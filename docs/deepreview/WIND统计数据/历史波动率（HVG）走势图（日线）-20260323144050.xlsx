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s资料\zs资料\衍生品模板\"/>
    </mc:Choice>
  </mc:AlternateContent>
  <bookViews>
    <workbookView xWindow="0" yWindow="0" windowWidth="28800" windowHeight="11580"/>
  </bookViews>
  <sheets>
    <sheet name="走势图" sheetId="3" r:id="rId1"/>
    <sheet name="计算区域" sheetId="1" r:id="rId2"/>
    <sheet name="作图数据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A4" i="4" l="1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3" i="4"/>
  <c r="F6" i="3" l="1"/>
  <c r="E6" i="3"/>
  <c r="D6" i="3"/>
  <c r="C6" i="3"/>
  <c r="B4" i="1"/>
  <c r="Y1" i="3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B9" i="1"/>
  <c r="B8" i="1"/>
  <c r="B7" i="1"/>
  <c r="B6" i="1"/>
  <c r="B5" i="1"/>
  <c r="B3" i="1"/>
  <c r="B2" i="1"/>
  <c r="F2" i="1" s="1"/>
  <c r="F5" i="1"/>
  <c r="F1" i="1"/>
  <c r="AG188" i="1" l="1"/>
  <c r="J186" i="4" s="1"/>
  <c r="AG189" i="1"/>
  <c r="J187" i="4" s="1"/>
  <c r="O581" i="1"/>
  <c r="O579" i="4" s="1"/>
  <c r="O1812" i="1"/>
  <c r="O1800" i="1"/>
  <c r="O1788" i="1"/>
  <c r="O1776" i="1"/>
  <c r="O1524" i="1"/>
  <c r="O1476" i="1"/>
  <c r="O1428" i="1"/>
  <c r="O1426" i="4" s="1"/>
  <c r="O1380" i="1"/>
  <c r="O1378" i="4" s="1"/>
  <c r="O1320" i="1"/>
  <c r="O1318" i="4" s="1"/>
  <c r="O1248" i="1"/>
  <c r="O1246" i="4" s="1"/>
  <c r="O1176" i="1"/>
  <c r="O1174" i="4" s="1"/>
  <c r="O1032" i="1"/>
  <c r="O1030" i="4" s="1"/>
  <c r="AE1607" i="1"/>
  <c r="O1763" i="1"/>
  <c r="O389" i="1"/>
  <c r="O387" i="4" s="1"/>
  <c r="O1739" i="1"/>
  <c r="O1713" i="1"/>
  <c r="O1679" i="1"/>
  <c r="O1643" i="1"/>
  <c r="O1607" i="1"/>
  <c r="O1571" i="1"/>
  <c r="O1811" i="1"/>
  <c r="O1799" i="1"/>
  <c r="O1787" i="1"/>
  <c r="O1775" i="1"/>
  <c r="O1761" i="1"/>
  <c r="O1737" i="1"/>
  <c r="O1710" i="1"/>
  <c r="O1677" i="1"/>
  <c r="O1641" i="1"/>
  <c r="O1605" i="1"/>
  <c r="O1569" i="1"/>
  <c r="O1523" i="1"/>
  <c r="O1475" i="1"/>
  <c r="O1427" i="1"/>
  <c r="O1425" i="4" s="1"/>
  <c r="O1379" i="1"/>
  <c r="O1377" i="4" s="1"/>
  <c r="O1314" i="1"/>
  <c r="O1312" i="4" s="1"/>
  <c r="O1242" i="1"/>
  <c r="O1240" i="4" s="1"/>
  <c r="O1164" i="1"/>
  <c r="O1162" i="4" s="1"/>
  <c r="O1015" i="1"/>
  <c r="O1013" i="4" s="1"/>
  <c r="O533" i="1"/>
  <c r="O531" i="4" s="1"/>
  <c r="O1810" i="1"/>
  <c r="O1798" i="1"/>
  <c r="O1786" i="1"/>
  <c r="O1774" i="1"/>
  <c r="O1758" i="1"/>
  <c r="O1734" i="1"/>
  <c r="O1705" i="1"/>
  <c r="O1674" i="1"/>
  <c r="O1638" i="1"/>
  <c r="O1602" i="1"/>
  <c r="O1566" i="1"/>
  <c r="O1518" i="1"/>
  <c r="O1470" i="1"/>
  <c r="O1422" i="1"/>
  <c r="O1420" i="4" s="1"/>
  <c r="O1374" i="1"/>
  <c r="O1372" i="4" s="1"/>
  <c r="O1308" i="1"/>
  <c r="O1306" i="4" s="1"/>
  <c r="O1236" i="1"/>
  <c r="O1234" i="4" s="1"/>
  <c r="O1152" i="1"/>
  <c r="O1150" i="4" s="1"/>
  <c r="O979" i="1"/>
  <c r="O977" i="4" s="1"/>
  <c r="O485" i="1"/>
  <c r="O483" i="4" s="1"/>
  <c r="O1809" i="1"/>
  <c r="O1797" i="1"/>
  <c r="O1785" i="1"/>
  <c r="O1773" i="1"/>
  <c r="O1756" i="1"/>
  <c r="O1732" i="1"/>
  <c r="O1704" i="1"/>
  <c r="O1668" i="1"/>
  <c r="O1632" i="1"/>
  <c r="O1596" i="1"/>
  <c r="O1560" i="1"/>
  <c r="O1512" i="1"/>
  <c r="O1464" i="1"/>
  <c r="O1416" i="1"/>
  <c r="O1414" i="4" s="1"/>
  <c r="O1368" i="1"/>
  <c r="O1366" i="4" s="1"/>
  <c r="O1302" i="1"/>
  <c r="O1300" i="4" s="1"/>
  <c r="O1230" i="1"/>
  <c r="O1228" i="4" s="1"/>
  <c r="O1140" i="1"/>
  <c r="O1138" i="4" s="1"/>
  <c r="O943" i="1"/>
  <c r="O941" i="4" s="1"/>
  <c r="O437" i="1"/>
  <c r="O435" i="4" s="1"/>
  <c r="O1808" i="1"/>
  <c r="O1796" i="1"/>
  <c r="O1784" i="1"/>
  <c r="O1772" i="1"/>
  <c r="O1753" i="1"/>
  <c r="O1729" i="1"/>
  <c r="O1703" i="1"/>
  <c r="O1667" i="1"/>
  <c r="O1631" i="1"/>
  <c r="O1595" i="1"/>
  <c r="O1559" i="1"/>
  <c r="O1511" i="1"/>
  <c r="O1463" i="1"/>
  <c r="O1415" i="1"/>
  <c r="O1413" i="4" s="1"/>
  <c r="O1367" i="1"/>
  <c r="O1365" i="4" s="1"/>
  <c r="O1296" i="1"/>
  <c r="O1294" i="4" s="1"/>
  <c r="O1224" i="1"/>
  <c r="O1222" i="4" s="1"/>
  <c r="O1128" i="1"/>
  <c r="O1126" i="4" s="1"/>
  <c r="O907" i="1"/>
  <c r="O905" i="4" s="1"/>
  <c r="O234" i="1"/>
  <c r="O232" i="4" s="1"/>
  <c r="O246" i="1"/>
  <c r="O244" i="4" s="1"/>
  <c r="O258" i="1"/>
  <c r="O256" i="4" s="1"/>
  <c r="O270" i="1"/>
  <c r="O268" i="4" s="1"/>
  <c r="O282" i="1"/>
  <c r="O280" i="4" s="1"/>
  <c r="O294" i="1"/>
  <c r="O292" i="4" s="1"/>
  <c r="O306" i="1"/>
  <c r="O304" i="4" s="1"/>
  <c r="O318" i="1"/>
  <c r="O316" i="4" s="1"/>
  <c r="O330" i="1"/>
  <c r="O328" i="4" s="1"/>
  <c r="O342" i="1"/>
  <c r="O340" i="4" s="1"/>
  <c r="O354" i="1"/>
  <c r="O352" i="4" s="1"/>
  <c r="O366" i="1"/>
  <c r="O364" i="4" s="1"/>
  <c r="O378" i="1"/>
  <c r="O376" i="4" s="1"/>
  <c r="O390" i="1"/>
  <c r="O388" i="4" s="1"/>
  <c r="O402" i="1"/>
  <c r="O400" i="4" s="1"/>
  <c r="O414" i="1"/>
  <c r="O412" i="4" s="1"/>
  <c r="O426" i="1"/>
  <c r="O424" i="4" s="1"/>
  <c r="O438" i="1"/>
  <c r="O436" i="4" s="1"/>
  <c r="O450" i="1"/>
  <c r="O448" i="4" s="1"/>
  <c r="O462" i="1"/>
  <c r="O460" i="4" s="1"/>
  <c r="O474" i="1"/>
  <c r="O472" i="4" s="1"/>
  <c r="O486" i="1"/>
  <c r="O484" i="4" s="1"/>
  <c r="O498" i="1"/>
  <c r="O496" i="4" s="1"/>
  <c r="O510" i="1"/>
  <c r="O508" i="4" s="1"/>
  <c r="O522" i="1"/>
  <c r="O520" i="4" s="1"/>
  <c r="O534" i="1"/>
  <c r="O532" i="4" s="1"/>
  <c r="O546" i="1"/>
  <c r="O544" i="4" s="1"/>
  <c r="O558" i="1"/>
  <c r="O556" i="4" s="1"/>
  <c r="O570" i="1"/>
  <c r="O568" i="4" s="1"/>
  <c r="O582" i="1"/>
  <c r="O580" i="4" s="1"/>
  <c r="O594" i="1"/>
  <c r="O592" i="4" s="1"/>
  <c r="O606" i="1"/>
  <c r="O604" i="4" s="1"/>
  <c r="O618" i="1"/>
  <c r="O616" i="4" s="1"/>
  <c r="O630" i="1"/>
  <c r="O628" i="4" s="1"/>
  <c r="O642" i="1"/>
  <c r="O640" i="4" s="1"/>
  <c r="O654" i="1"/>
  <c r="O652" i="4" s="1"/>
  <c r="O666" i="1"/>
  <c r="O664" i="4" s="1"/>
  <c r="O678" i="1"/>
  <c r="O676" i="4" s="1"/>
  <c r="O690" i="1"/>
  <c r="O688" i="4" s="1"/>
  <c r="O702" i="1"/>
  <c r="O700" i="4" s="1"/>
  <c r="O714" i="1"/>
  <c r="O712" i="4" s="1"/>
  <c r="O726" i="1"/>
  <c r="O724" i="4" s="1"/>
  <c r="O738" i="1"/>
  <c r="O736" i="4" s="1"/>
  <c r="O236" i="1"/>
  <c r="O234" i="4" s="1"/>
  <c r="O248" i="1"/>
  <c r="O246" i="4" s="1"/>
  <c r="O260" i="1"/>
  <c r="O258" i="4" s="1"/>
  <c r="O272" i="1"/>
  <c r="O270" i="4" s="1"/>
  <c r="O284" i="1"/>
  <c r="O282" i="4" s="1"/>
  <c r="O296" i="1"/>
  <c r="O294" i="4" s="1"/>
  <c r="O308" i="1"/>
  <c r="O306" i="4" s="1"/>
  <c r="O320" i="1"/>
  <c r="O318" i="4" s="1"/>
  <c r="O332" i="1"/>
  <c r="O330" i="4" s="1"/>
  <c r="O344" i="1"/>
  <c r="O342" i="4" s="1"/>
  <c r="O356" i="1"/>
  <c r="O354" i="4" s="1"/>
  <c r="O368" i="1"/>
  <c r="O366" i="4" s="1"/>
  <c r="O380" i="1"/>
  <c r="O378" i="4" s="1"/>
  <c r="O392" i="1"/>
  <c r="O390" i="4" s="1"/>
  <c r="O404" i="1"/>
  <c r="O402" i="4" s="1"/>
  <c r="O416" i="1"/>
  <c r="O414" i="4" s="1"/>
  <c r="O428" i="1"/>
  <c r="O426" i="4" s="1"/>
  <c r="O440" i="1"/>
  <c r="O438" i="4" s="1"/>
  <c r="O452" i="1"/>
  <c r="O450" i="4" s="1"/>
  <c r="O464" i="1"/>
  <c r="O462" i="4" s="1"/>
  <c r="O476" i="1"/>
  <c r="O474" i="4" s="1"/>
  <c r="O488" i="1"/>
  <c r="O486" i="4" s="1"/>
  <c r="O500" i="1"/>
  <c r="O498" i="4" s="1"/>
  <c r="O512" i="1"/>
  <c r="O510" i="4" s="1"/>
  <c r="O524" i="1"/>
  <c r="O522" i="4" s="1"/>
  <c r="O536" i="1"/>
  <c r="O534" i="4" s="1"/>
  <c r="O548" i="1"/>
  <c r="O546" i="4" s="1"/>
  <c r="O560" i="1"/>
  <c r="O558" i="4" s="1"/>
  <c r="O572" i="1"/>
  <c r="O570" i="4" s="1"/>
  <c r="O584" i="1"/>
  <c r="O582" i="4" s="1"/>
  <c r="O596" i="1"/>
  <c r="O594" i="4" s="1"/>
  <c r="O608" i="1"/>
  <c r="O606" i="4" s="1"/>
  <c r="O620" i="1"/>
  <c r="O618" i="4" s="1"/>
  <c r="O632" i="1"/>
  <c r="O630" i="4" s="1"/>
  <c r="O644" i="1"/>
  <c r="O642" i="4" s="1"/>
  <c r="O656" i="1"/>
  <c r="O654" i="4" s="1"/>
  <c r="O668" i="1"/>
  <c r="O666" i="4" s="1"/>
  <c r="O680" i="1"/>
  <c r="O678" i="4" s="1"/>
  <c r="O692" i="1"/>
  <c r="O690" i="4" s="1"/>
  <c r="O704" i="1"/>
  <c r="O702" i="4" s="1"/>
  <c r="O716" i="1"/>
  <c r="O714" i="4" s="1"/>
  <c r="O728" i="1"/>
  <c r="O726" i="4" s="1"/>
  <c r="O740" i="1"/>
  <c r="O738" i="4" s="1"/>
  <c r="O752" i="1"/>
  <c r="O750" i="4" s="1"/>
  <c r="O764" i="1"/>
  <c r="O762" i="4" s="1"/>
  <c r="O776" i="1"/>
  <c r="O774" i="4" s="1"/>
  <c r="O788" i="1"/>
  <c r="O786" i="4" s="1"/>
  <c r="O800" i="1"/>
  <c r="O798" i="4" s="1"/>
  <c r="O812" i="1"/>
  <c r="O810" i="4" s="1"/>
  <c r="O824" i="1"/>
  <c r="O822" i="4" s="1"/>
  <c r="O836" i="1"/>
  <c r="O834" i="4" s="1"/>
  <c r="O848" i="1"/>
  <c r="O846" i="4" s="1"/>
  <c r="O860" i="1"/>
  <c r="O858" i="4" s="1"/>
  <c r="O872" i="1"/>
  <c r="O870" i="4" s="1"/>
  <c r="O884" i="1"/>
  <c r="O882" i="4" s="1"/>
  <c r="O896" i="1"/>
  <c r="O894" i="4" s="1"/>
  <c r="O908" i="1"/>
  <c r="O906" i="4" s="1"/>
  <c r="O920" i="1"/>
  <c r="O918" i="4" s="1"/>
  <c r="O932" i="1"/>
  <c r="O930" i="4" s="1"/>
  <c r="O944" i="1"/>
  <c r="O942" i="4" s="1"/>
  <c r="O956" i="1"/>
  <c r="O954" i="4" s="1"/>
  <c r="O968" i="1"/>
  <c r="O966" i="4" s="1"/>
  <c r="O980" i="1"/>
  <c r="O978" i="4" s="1"/>
  <c r="O992" i="1"/>
  <c r="O990" i="4" s="1"/>
  <c r="O1004" i="1"/>
  <c r="O1002" i="4" s="1"/>
  <c r="O1016" i="1"/>
  <c r="O1014" i="4" s="1"/>
  <c r="O238" i="1"/>
  <c r="O236" i="4" s="1"/>
  <c r="O250" i="1"/>
  <c r="O248" i="4" s="1"/>
  <c r="O262" i="1"/>
  <c r="O260" i="4" s="1"/>
  <c r="O274" i="1"/>
  <c r="O272" i="4" s="1"/>
  <c r="O286" i="1"/>
  <c r="O284" i="4" s="1"/>
  <c r="O298" i="1"/>
  <c r="O296" i="4" s="1"/>
  <c r="O310" i="1"/>
  <c r="O308" i="4" s="1"/>
  <c r="O322" i="1"/>
  <c r="O320" i="4" s="1"/>
  <c r="O334" i="1"/>
  <c r="O332" i="4" s="1"/>
  <c r="O346" i="1"/>
  <c r="O344" i="4" s="1"/>
  <c r="O358" i="1"/>
  <c r="O356" i="4" s="1"/>
  <c r="O370" i="1"/>
  <c r="O368" i="4" s="1"/>
  <c r="O382" i="1"/>
  <c r="O380" i="4" s="1"/>
  <c r="O394" i="1"/>
  <c r="O392" i="4" s="1"/>
  <c r="O406" i="1"/>
  <c r="O404" i="4" s="1"/>
  <c r="O418" i="1"/>
  <c r="O416" i="4" s="1"/>
  <c r="O430" i="1"/>
  <c r="O428" i="4" s="1"/>
  <c r="O442" i="1"/>
  <c r="O440" i="4" s="1"/>
  <c r="O454" i="1"/>
  <c r="O452" i="4" s="1"/>
  <c r="O466" i="1"/>
  <c r="O464" i="4" s="1"/>
  <c r="O478" i="1"/>
  <c r="O476" i="4" s="1"/>
  <c r="O490" i="1"/>
  <c r="O488" i="4" s="1"/>
  <c r="O502" i="1"/>
  <c r="O500" i="4" s="1"/>
  <c r="O514" i="1"/>
  <c r="O512" i="4" s="1"/>
  <c r="O526" i="1"/>
  <c r="O524" i="4" s="1"/>
  <c r="O538" i="1"/>
  <c r="O536" i="4" s="1"/>
  <c r="O550" i="1"/>
  <c r="O548" i="4" s="1"/>
  <c r="O562" i="1"/>
  <c r="O560" i="4" s="1"/>
  <c r="O574" i="1"/>
  <c r="O572" i="4" s="1"/>
  <c r="O586" i="1"/>
  <c r="O584" i="4" s="1"/>
  <c r="O598" i="1"/>
  <c r="O596" i="4" s="1"/>
  <c r="O610" i="1"/>
  <c r="O608" i="4" s="1"/>
  <c r="O622" i="1"/>
  <c r="O620" i="4" s="1"/>
  <c r="O634" i="1"/>
  <c r="O632" i="4" s="1"/>
  <c r="O646" i="1"/>
  <c r="O644" i="4" s="1"/>
  <c r="O658" i="1"/>
  <c r="O656" i="4" s="1"/>
  <c r="O670" i="1"/>
  <c r="O668" i="4" s="1"/>
  <c r="O682" i="1"/>
  <c r="O680" i="4" s="1"/>
  <c r="O694" i="1"/>
  <c r="O692" i="4" s="1"/>
  <c r="O706" i="1"/>
  <c r="O704" i="4" s="1"/>
  <c r="O718" i="1"/>
  <c r="O716" i="4" s="1"/>
  <c r="O730" i="1"/>
  <c r="O728" i="4" s="1"/>
  <c r="O742" i="1"/>
  <c r="O740" i="4" s="1"/>
  <c r="O754" i="1"/>
  <c r="O752" i="4" s="1"/>
  <c r="O766" i="1"/>
  <c r="O764" i="4" s="1"/>
  <c r="O778" i="1"/>
  <c r="O776" i="4" s="1"/>
  <c r="O790" i="1"/>
  <c r="O788" i="4" s="1"/>
  <c r="O802" i="1"/>
  <c r="O800" i="4" s="1"/>
  <c r="O814" i="1"/>
  <c r="O812" i="4" s="1"/>
  <c r="O826" i="1"/>
  <c r="O824" i="4" s="1"/>
  <c r="O838" i="1"/>
  <c r="O836" i="4" s="1"/>
  <c r="O850" i="1"/>
  <c r="O848" i="4" s="1"/>
  <c r="O862" i="1"/>
  <c r="O860" i="4" s="1"/>
  <c r="O874" i="1"/>
  <c r="O872" i="4" s="1"/>
  <c r="O886" i="1"/>
  <c r="O884" i="4" s="1"/>
  <c r="O898" i="1"/>
  <c r="O896" i="4" s="1"/>
  <c r="O910" i="1"/>
  <c r="O908" i="4" s="1"/>
  <c r="O922" i="1"/>
  <c r="O920" i="4" s="1"/>
  <c r="O934" i="1"/>
  <c r="O932" i="4" s="1"/>
  <c r="O946" i="1"/>
  <c r="O944" i="4" s="1"/>
  <c r="O958" i="1"/>
  <c r="O956" i="4" s="1"/>
  <c r="O970" i="1"/>
  <c r="O968" i="4" s="1"/>
  <c r="O982" i="1"/>
  <c r="O980" i="4" s="1"/>
  <c r="O994" i="1"/>
  <c r="O992" i="4" s="1"/>
  <c r="O1006" i="1"/>
  <c r="O1004" i="4" s="1"/>
  <c r="O1018" i="1"/>
  <c r="O1016" i="4" s="1"/>
  <c r="O239" i="1"/>
  <c r="O237" i="4" s="1"/>
  <c r="O251" i="1"/>
  <c r="O249" i="4" s="1"/>
  <c r="O263" i="1"/>
  <c r="O261" i="4" s="1"/>
  <c r="O275" i="1"/>
  <c r="O273" i="4" s="1"/>
  <c r="O287" i="1"/>
  <c r="O285" i="4" s="1"/>
  <c r="O299" i="1"/>
  <c r="O297" i="4" s="1"/>
  <c r="O311" i="1"/>
  <c r="O309" i="4" s="1"/>
  <c r="O323" i="1"/>
  <c r="O321" i="4" s="1"/>
  <c r="O335" i="1"/>
  <c r="O333" i="4" s="1"/>
  <c r="O347" i="1"/>
  <c r="O345" i="4" s="1"/>
  <c r="O359" i="1"/>
  <c r="O357" i="4" s="1"/>
  <c r="O371" i="1"/>
  <c r="O369" i="4" s="1"/>
  <c r="O383" i="1"/>
  <c r="O381" i="4" s="1"/>
  <c r="O395" i="1"/>
  <c r="O393" i="4" s="1"/>
  <c r="O407" i="1"/>
  <c r="O405" i="4" s="1"/>
  <c r="O419" i="1"/>
  <c r="O417" i="4" s="1"/>
  <c r="O431" i="1"/>
  <c r="O429" i="4" s="1"/>
  <c r="O443" i="1"/>
  <c r="O441" i="4" s="1"/>
  <c r="O455" i="1"/>
  <c r="O453" i="4" s="1"/>
  <c r="O467" i="1"/>
  <c r="O465" i="4" s="1"/>
  <c r="O479" i="1"/>
  <c r="O477" i="4" s="1"/>
  <c r="O491" i="1"/>
  <c r="O489" i="4" s="1"/>
  <c r="O503" i="1"/>
  <c r="O501" i="4" s="1"/>
  <c r="O515" i="1"/>
  <c r="O513" i="4" s="1"/>
  <c r="O527" i="1"/>
  <c r="O525" i="4" s="1"/>
  <c r="O539" i="1"/>
  <c r="O537" i="4" s="1"/>
  <c r="O551" i="1"/>
  <c r="O549" i="4" s="1"/>
  <c r="O563" i="1"/>
  <c r="O561" i="4" s="1"/>
  <c r="O575" i="1"/>
  <c r="O573" i="4" s="1"/>
  <c r="O587" i="1"/>
  <c r="O585" i="4" s="1"/>
  <c r="O599" i="1"/>
  <c r="O597" i="4" s="1"/>
  <c r="O611" i="1"/>
  <c r="O609" i="4" s="1"/>
  <c r="O623" i="1"/>
  <c r="O621" i="4" s="1"/>
  <c r="O635" i="1"/>
  <c r="O633" i="4" s="1"/>
  <c r="O647" i="1"/>
  <c r="O645" i="4" s="1"/>
  <c r="O659" i="1"/>
  <c r="O657" i="4" s="1"/>
  <c r="O671" i="1"/>
  <c r="O669" i="4" s="1"/>
  <c r="O683" i="1"/>
  <c r="O681" i="4" s="1"/>
  <c r="O695" i="1"/>
  <c r="O693" i="4" s="1"/>
  <c r="O707" i="1"/>
  <c r="O705" i="4" s="1"/>
  <c r="O719" i="1"/>
  <c r="O717" i="4" s="1"/>
  <c r="O731" i="1"/>
  <c r="O729" i="4" s="1"/>
  <c r="O743" i="1"/>
  <c r="O741" i="4" s="1"/>
  <c r="O755" i="1"/>
  <c r="O753" i="4" s="1"/>
  <c r="O767" i="1"/>
  <c r="O765" i="4" s="1"/>
  <c r="O779" i="1"/>
  <c r="O777" i="4" s="1"/>
  <c r="O791" i="1"/>
  <c r="O789" i="4" s="1"/>
  <c r="O803" i="1"/>
  <c r="O801" i="4" s="1"/>
  <c r="O815" i="1"/>
  <c r="O813" i="4" s="1"/>
  <c r="O827" i="1"/>
  <c r="O825" i="4" s="1"/>
  <c r="O839" i="1"/>
  <c r="O837" i="4" s="1"/>
  <c r="O851" i="1"/>
  <c r="O849" i="4" s="1"/>
  <c r="O863" i="1"/>
  <c r="O861" i="4" s="1"/>
  <c r="O875" i="1"/>
  <c r="O873" i="4" s="1"/>
  <c r="O887" i="1"/>
  <c r="O885" i="4" s="1"/>
  <c r="O899" i="1"/>
  <c r="O897" i="4" s="1"/>
  <c r="O911" i="1"/>
  <c r="O909" i="4" s="1"/>
  <c r="O923" i="1"/>
  <c r="O921" i="4" s="1"/>
  <c r="O935" i="1"/>
  <c r="O933" i="4" s="1"/>
  <c r="O947" i="1"/>
  <c r="O945" i="4" s="1"/>
  <c r="O959" i="1"/>
  <c r="O957" i="4" s="1"/>
  <c r="O971" i="1"/>
  <c r="O969" i="4" s="1"/>
  <c r="O983" i="1"/>
  <c r="O981" i="4" s="1"/>
  <c r="O995" i="1"/>
  <c r="O993" i="4" s="1"/>
  <c r="O1007" i="1"/>
  <c r="O1005" i="4" s="1"/>
  <c r="O1019" i="1"/>
  <c r="O1017" i="4" s="1"/>
  <c r="O240" i="1"/>
  <c r="O238" i="4" s="1"/>
  <c r="O252" i="1"/>
  <c r="O250" i="4" s="1"/>
  <c r="O264" i="1"/>
  <c r="O262" i="4" s="1"/>
  <c r="O276" i="1"/>
  <c r="O274" i="4" s="1"/>
  <c r="O288" i="1"/>
  <c r="O286" i="4" s="1"/>
  <c r="O300" i="1"/>
  <c r="O298" i="4" s="1"/>
  <c r="O312" i="1"/>
  <c r="O310" i="4" s="1"/>
  <c r="O324" i="1"/>
  <c r="O322" i="4" s="1"/>
  <c r="O336" i="1"/>
  <c r="O334" i="4" s="1"/>
  <c r="O348" i="1"/>
  <c r="O346" i="4" s="1"/>
  <c r="O360" i="1"/>
  <c r="O358" i="4" s="1"/>
  <c r="O372" i="1"/>
  <c r="O370" i="4" s="1"/>
  <c r="O384" i="1"/>
  <c r="O382" i="4" s="1"/>
  <c r="O396" i="1"/>
  <c r="O394" i="4" s="1"/>
  <c r="O408" i="1"/>
  <c r="O406" i="4" s="1"/>
  <c r="O420" i="1"/>
  <c r="O418" i="4" s="1"/>
  <c r="O432" i="1"/>
  <c r="O430" i="4" s="1"/>
  <c r="O444" i="1"/>
  <c r="O442" i="4" s="1"/>
  <c r="O456" i="1"/>
  <c r="O454" i="4" s="1"/>
  <c r="O468" i="1"/>
  <c r="O466" i="4" s="1"/>
  <c r="O480" i="1"/>
  <c r="O478" i="4" s="1"/>
  <c r="O492" i="1"/>
  <c r="O490" i="4" s="1"/>
  <c r="O504" i="1"/>
  <c r="O502" i="4" s="1"/>
  <c r="O516" i="1"/>
  <c r="O514" i="4" s="1"/>
  <c r="O528" i="1"/>
  <c r="O526" i="4" s="1"/>
  <c r="O540" i="1"/>
  <c r="O538" i="4" s="1"/>
  <c r="O552" i="1"/>
  <c r="O550" i="4" s="1"/>
  <c r="O564" i="1"/>
  <c r="O562" i="4" s="1"/>
  <c r="O576" i="1"/>
  <c r="O574" i="4" s="1"/>
  <c r="O588" i="1"/>
  <c r="O586" i="4" s="1"/>
  <c r="O600" i="1"/>
  <c r="O598" i="4" s="1"/>
  <c r="O612" i="1"/>
  <c r="O610" i="4" s="1"/>
  <c r="O624" i="1"/>
  <c r="O622" i="4" s="1"/>
  <c r="O636" i="1"/>
  <c r="O634" i="4" s="1"/>
  <c r="O648" i="1"/>
  <c r="O646" i="4" s="1"/>
  <c r="O660" i="1"/>
  <c r="O658" i="4" s="1"/>
  <c r="O672" i="1"/>
  <c r="O670" i="4" s="1"/>
  <c r="O684" i="1"/>
  <c r="O682" i="4" s="1"/>
  <c r="O696" i="1"/>
  <c r="O694" i="4" s="1"/>
  <c r="O708" i="1"/>
  <c r="O706" i="4" s="1"/>
  <c r="O720" i="1"/>
  <c r="O718" i="4" s="1"/>
  <c r="O732" i="1"/>
  <c r="O730" i="4" s="1"/>
  <c r="O744" i="1"/>
  <c r="O742" i="4" s="1"/>
  <c r="O756" i="1"/>
  <c r="O754" i="4" s="1"/>
  <c r="O768" i="1"/>
  <c r="O766" i="4" s="1"/>
  <c r="O780" i="1"/>
  <c r="O778" i="4" s="1"/>
  <c r="O792" i="1"/>
  <c r="O790" i="4" s="1"/>
  <c r="O804" i="1"/>
  <c r="O802" i="4" s="1"/>
  <c r="O816" i="1"/>
  <c r="O814" i="4" s="1"/>
  <c r="O828" i="1"/>
  <c r="O826" i="4" s="1"/>
  <c r="O840" i="1"/>
  <c r="O838" i="4" s="1"/>
  <c r="O852" i="1"/>
  <c r="O850" i="4" s="1"/>
  <c r="O864" i="1"/>
  <c r="O862" i="4" s="1"/>
  <c r="O876" i="1"/>
  <c r="O874" i="4" s="1"/>
  <c r="O888" i="1"/>
  <c r="O886" i="4" s="1"/>
  <c r="O900" i="1"/>
  <c r="O898" i="4" s="1"/>
  <c r="O912" i="1"/>
  <c r="O910" i="4" s="1"/>
  <c r="O924" i="1"/>
  <c r="O922" i="4" s="1"/>
  <c r="O936" i="1"/>
  <c r="O934" i="4" s="1"/>
  <c r="O948" i="1"/>
  <c r="O946" i="4" s="1"/>
  <c r="O960" i="1"/>
  <c r="O958" i="4" s="1"/>
  <c r="O972" i="1"/>
  <c r="O970" i="4" s="1"/>
  <c r="O984" i="1"/>
  <c r="O982" i="4" s="1"/>
  <c r="O996" i="1"/>
  <c r="O994" i="4" s="1"/>
  <c r="O1008" i="1"/>
  <c r="O1006" i="4" s="1"/>
  <c r="O1020" i="1"/>
  <c r="O1018" i="4" s="1"/>
  <c r="O241" i="1"/>
  <c r="O239" i="4" s="1"/>
  <c r="O253" i="1"/>
  <c r="O251" i="4" s="1"/>
  <c r="O265" i="1"/>
  <c r="O263" i="4" s="1"/>
  <c r="O277" i="1"/>
  <c r="O275" i="4" s="1"/>
  <c r="O289" i="1"/>
  <c r="O287" i="4" s="1"/>
  <c r="O301" i="1"/>
  <c r="O299" i="4" s="1"/>
  <c r="O313" i="1"/>
  <c r="O311" i="4" s="1"/>
  <c r="O325" i="1"/>
  <c r="O323" i="4" s="1"/>
  <c r="O337" i="1"/>
  <c r="O335" i="4" s="1"/>
  <c r="O349" i="1"/>
  <c r="O347" i="4" s="1"/>
  <c r="O361" i="1"/>
  <c r="O359" i="4" s="1"/>
  <c r="O373" i="1"/>
  <c r="O371" i="4" s="1"/>
  <c r="O385" i="1"/>
  <c r="O383" i="4" s="1"/>
  <c r="O397" i="1"/>
  <c r="O395" i="4" s="1"/>
  <c r="O409" i="1"/>
  <c r="O407" i="4" s="1"/>
  <c r="O421" i="1"/>
  <c r="O419" i="4" s="1"/>
  <c r="O433" i="1"/>
  <c r="O431" i="4" s="1"/>
  <c r="O445" i="1"/>
  <c r="O443" i="4" s="1"/>
  <c r="O457" i="1"/>
  <c r="O455" i="4" s="1"/>
  <c r="O469" i="1"/>
  <c r="O467" i="4" s="1"/>
  <c r="O481" i="1"/>
  <c r="O479" i="4" s="1"/>
  <c r="O493" i="1"/>
  <c r="O491" i="4" s="1"/>
  <c r="O505" i="1"/>
  <c r="O503" i="4" s="1"/>
  <c r="O517" i="1"/>
  <c r="O515" i="4" s="1"/>
  <c r="O529" i="1"/>
  <c r="O527" i="4" s="1"/>
  <c r="O541" i="1"/>
  <c r="O539" i="4" s="1"/>
  <c r="O553" i="1"/>
  <c r="O551" i="4" s="1"/>
  <c r="O565" i="1"/>
  <c r="O563" i="4" s="1"/>
  <c r="O577" i="1"/>
  <c r="O575" i="4" s="1"/>
  <c r="O589" i="1"/>
  <c r="O587" i="4" s="1"/>
  <c r="O601" i="1"/>
  <c r="O599" i="4" s="1"/>
  <c r="O613" i="1"/>
  <c r="O611" i="4" s="1"/>
  <c r="O625" i="1"/>
  <c r="O623" i="4" s="1"/>
  <c r="O637" i="1"/>
  <c r="O635" i="4" s="1"/>
  <c r="O649" i="1"/>
  <c r="O647" i="4" s="1"/>
  <c r="O661" i="1"/>
  <c r="O659" i="4" s="1"/>
  <c r="O673" i="1"/>
  <c r="O671" i="4" s="1"/>
  <c r="O685" i="1"/>
  <c r="O683" i="4" s="1"/>
  <c r="O697" i="1"/>
  <c r="O695" i="4" s="1"/>
  <c r="O709" i="1"/>
  <c r="O707" i="4" s="1"/>
  <c r="O721" i="1"/>
  <c r="O719" i="4" s="1"/>
  <c r="O733" i="1"/>
  <c r="O731" i="4" s="1"/>
  <c r="O745" i="1"/>
  <c r="O743" i="4" s="1"/>
  <c r="O757" i="1"/>
  <c r="O755" i="4" s="1"/>
  <c r="O769" i="1"/>
  <c r="O767" i="4" s="1"/>
  <c r="O781" i="1"/>
  <c r="O779" i="4" s="1"/>
  <c r="O793" i="1"/>
  <c r="O791" i="4" s="1"/>
  <c r="O805" i="1"/>
  <c r="O803" i="4" s="1"/>
  <c r="O817" i="1"/>
  <c r="O815" i="4" s="1"/>
  <c r="O829" i="1"/>
  <c r="O827" i="4" s="1"/>
  <c r="O841" i="1"/>
  <c r="O839" i="4" s="1"/>
  <c r="O853" i="1"/>
  <c r="O851" i="4" s="1"/>
  <c r="O865" i="1"/>
  <c r="O863" i="4" s="1"/>
  <c r="O877" i="1"/>
  <c r="O875" i="4" s="1"/>
  <c r="O889" i="1"/>
  <c r="O887" i="4" s="1"/>
  <c r="O901" i="1"/>
  <c r="O899" i="4" s="1"/>
  <c r="O913" i="1"/>
  <c r="O911" i="4" s="1"/>
  <c r="O925" i="1"/>
  <c r="O923" i="4" s="1"/>
  <c r="O937" i="1"/>
  <c r="O935" i="4" s="1"/>
  <c r="O949" i="1"/>
  <c r="O947" i="4" s="1"/>
  <c r="O961" i="1"/>
  <c r="O959" i="4" s="1"/>
  <c r="O973" i="1"/>
  <c r="O971" i="4" s="1"/>
  <c r="O985" i="1"/>
  <c r="O983" i="4" s="1"/>
  <c r="O997" i="1"/>
  <c r="O995" i="4" s="1"/>
  <c r="O1009" i="1"/>
  <c r="O1007" i="4" s="1"/>
  <c r="O242" i="1"/>
  <c r="O240" i="4" s="1"/>
  <c r="O254" i="1"/>
  <c r="O252" i="4" s="1"/>
  <c r="O266" i="1"/>
  <c r="O264" i="4" s="1"/>
  <c r="O278" i="1"/>
  <c r="O276" i="4" s="1"/>
  <c r="O290" i="1"/>
  <c r="O288" i="4" s="1"/>
  <c r="O302" i="1"/>
  <c r="O300" i="4" s="1"/>
  <c r="O314" i="1"/>
  <c r="O312" i="4" s="1"/>
  <c r="O326" i="1"/>
  <c r="O324" i="4" s="1"/>
  <c r="O338" i="1"/>
  <c r="O336" i="4" s="1"/>
  <c r="O350" i="1"/>
  <c r="O348" i="4" s="1"/>
  <c r="O362" i="1"/>
  <c r="O360" i="4" s="1"/>
  <c r="O374" i="1"/>
  <c r="O372" i="4" s="1"/>
  <c r="O386" i="1"/>
  <c r="O384" i="4" s="1"/>
  <c r="O398" i="1"/>
  <c r="O396" i="4" s="1"/>
  <c r="O410" i="1"/>
  <c r="O408" i="4" s="1"/>
  <c r="O422" i="1"/>
  <c r="O420" i="4" s="1"/>
  <c r="O434" i="1"/>
  <c r="O432" i="4" s="1"/>
  <c r="O446" i="1"/>
  <c r="O444" i="4" s="1"/>
  <c r="O458" i="1"/>
  <c r="O456" i="4" s="1"/>
  <c r="O470" i="1"/>
  <c r="O468" i="4" s="1"/>
  <c r="O482" i="1"/>
  <c r="O480" i="4" s="1"/>
  <c r="O494" i="1"/>
  <c r="O492" i="4" s="1"/>
  <c r="O506" i="1"/>
  <c r="O504" i="4" s="1"/>
  <c r="O518" i="1"/>
  <c r="O516" i="4" s="1"/>
  <c r="O530" i="1"/>
  <c r="O528" i="4" s="1"/>
  <c r="O542" i="1"/>
  <c r="O540" i="4" s="1"/>
  <c r="O554" i="1"/>
  <c r="O552" i="4" s="1"/>
  <c r="O566" i="1"/>
  <c r="O564" i="4" s="1"/>
  <c r="O578" i="1"/>
  <c r="O576" i="4" s="1"/>
  <c r="O590" i="1"/>
  <c r="O588" i="4" s="1"/>
  <c r="O602" i="1"/>
  <c r="O600" i="4" s="1"/>
  <c r="O614" i="1"/>
  <c r="O612" i="4" s="1"/>
  <c r="O626" i="1"/>
  <c r="O624" i="4" s="1"/>
  <c r="O638" i="1"/>
  <c r="O636" i="4" s="1"/>
  <c r="O650" i="1"/>
  <c r="O648" i="4" s="1"/>
  <c r="O662" i="1"/>
  <c r="O660" i="4" s="1"/>
  <c r="O674" i="1"/>
  <c r="O672" i="4" s="1"/>
  <c r="O686" i="1"/>
  <c r="O684" i="4" s="1"/>
  <c r="O698" i="1"/>
  <c r="O696" i="4" s="1"/>
  <c r="O710" i="1"/>
  <c r="O708" i="4" s="1"/>
  <c r="O722" i="1"/>
  <c r="O720" i="4" s="1"/>
  <c r="O734" i="1"/>
  <c r="O732" i="4" s="1"/>
  <c r="O746" i="1"/>
  <c r="O744" i="4" s="1"/>
  <c r="O758" i="1"/>
  <c r="O756" i="4" s="1"/>
  <c r="O770" i="1"/>
  <c r="O768" i="4" s="1"/>
  <c r="O782" i="1"/>
  <c r="O780" i="4" s="1"/>
  <c r="O794" i="1"/>
  <c r="O792" i="4" s="1"/>
  <c r="O806" i="1"/>
  <c r="O804" i="4" s="1"/>
  <c r="O818" i="1"/>
  <c r="O816" i="4" s="1"/>
  <c r="O830" i="1"/>
  <c r="O828" i="4" s="1"/>
  <c r="O842" i="1"/>
  <c r="O840" i="4" s="1"/>
  <c r="O854" i="1"/>
  <c r="O852" i="4" s="1"/>
  <c r="O866" i="1"/>
  <c r="O864" i="4" s="1"/>
  <c r="O878" i="1"/>
  <c r="O876" i="4" s="1"/>
  <c r="O890" i="1"/>
  <c r="O888" i="4" s="1"/>
  <c r="O902" i="1"/>
  <c r="O900" i="4" s="1"/>
  <c r="O914" i="1"/>
  <c r="O912" i="4" s="1"/>
  <c r="O926" i="1"/>
  <c r="O924" i="4" s="1"/>
  <c r="O938" i="1"/>
  <c r="O936" i="4" s="1"/>
  <c r="O950" i="1"/>
  <c r="O948" i="4" s="1"/>
  <c r="O962" i="1"/>
  <c r="O960" i="4" s="1"/>
  <c r="O974" i="1"/>
  <c r="O972" i="4" s="1"/>
  <c r="O986" i="1"/>
  <c r="O984" i="4" s="1"/>
  <c r="O998" i="1"/>
  <c r="O996" i="4" s="1"/>
  <c r="O1010" i="1"/>
  <c r="O1008" i="4" s="1"/>
  <c r="O231" i="1"/>
  <c r="O229" i="4" s="1"/>
  <c r="O243" i="1"/>
  <c r="O241" i="4" s="1"/>
  <c r="O255" i="1"/>
  <c r="O253" i="4" s="1"/>
  <c r="O267" i="1"/>
  <c r="O265" i="4" s="1"/>
  <c r="O279" i="1"/>
  <c r="O277" i="4" s="1"/>
  <c r="O291" i="1"/>
  <c r="O289" i="4" s="1"/>
  <c r="O303" i="1"/>
  <c r="O301" i="4" s="1"/>
  <c r="O315" i="1"/>
  <c r="O313" i="4" s="1"/>
  <c r="O327" i="1"/>
  <c r="O325" i="4" s="1"/>
  <c r="O339" i="1"/>
  <c r="O337" i="4" s="1"/>
  <c r="O351" i="1"/>
  <c r="O349" i="4" s="1"/>
  <c r="O363" i="1"/>
  <c r="O361" i="4" s="1"/>
  <c r="O375" i="1"/>
  <c r="O373" i="4" s="1"/>
  <c r="O387" i="1"/>
  <c r="O385" i="4" s="1"/>
  <c r="O399" i="1"/>
  <c r="O397" i="4" s="1"/>
  <c r="O411" i="1"/>
  <c r="O409" i="4" s="1"/>
  <c r="O423" i="1"/>
  <c r="O421" i="4" s="1"/>
  <c r="O435" i="1"/>
  <c r="O433" i="4" s="1"/>
  <c r="O447" i="1"/>
  <c r="O445" i="4" s="1"/>
  <c r="O459" i="1"/>
  <c r="O457" i="4" s="1"/>
  <c r="O471" i="1"/>
  <c r="O469" i="4" s="1"/>
  <c r="O483" i="1"/>
  <c r="O481" i="4" s="1"/>
  <c r="O495" i="1"/>
  <c r="O493" i="4" s="1"/>
  <c r="O507" i="1"/>
  <c r="O505" i="4" s="1"/>
  <c r="O519" i="1"/>
  <c r="O517" i="4" s="1"/>
  <c r="O531" i="1"/>
  <c r="O529" i="4" s="1"/>
  <c r="O543" i="1"/>
  <c r="O541" i="4" s="1"/>
  <c r="O555" i="1"/>
  <c r="O553" i="4" s="1"/>
  <c r="O567" i="1"/>
  <c r="O565" i="4" s="1"/>
  <c r="O579" i="1"/>
  <c r="O577" i="4" s="1"/>
  <c r="O591" i="1"/>
  <c r="O589" i="4" s="1"/>
  <c r="O603" i="1"/>
  <c r="O601" i="4" s="1"/>
  <c r="O615" i="1"/>
  <c r="O613" i="4" s="1"/>
  <c r="O627" i="1"/>
  <c r="O625" i="4" s="1"/>
  <c r="O639" i="1"/>
  <c r="O637" i="4" s="1"/>
  <c r="O651" i="1"/>
  <c r="O649" i="4" s="1"/>
  <c r="O663" i="1"/>
  <c r="O661" i="4" s="1"/>
  <c r="O675" i="1"/>
  <c r="O673" i="4" s="1"/>
  <c r="O687" i="1"/>
  <c r="O685" i="4" s="1"/>
  <c r="O699" i="1"/>
  <c r="O697" i="4" s="1"/>
  <c r="O711" i="1"/>
  <c r="O709" i="4" s="1"/>
  <c r="O723" i="1"/>
  <c r="O721" i="4" s="1"/>
  <c r="O735" i="1"/>
  <c r="O733" i="4" s="1"/>
  <c r="O747" i="1"/>
  <c r="O745" i="4" s="1"/>
  <c r="O759" i="1"/>
  <c r="O757" i="4" s="1"/>
  <c r="O771" i="1"/>
  <c r="O769" i="4" s="1"/>
  <c r="O783" i="1"/>
  <c r="O781" i="4" s="1"/>
  <c r="O795" i="1"/>
  <c r="O793" i="4" s="1"/>
  <c r="O807" i="1"/>
  <c r="O805" i="4" s="1"/>
  <c r="O819" i="1"/>
  <c r="O817" i="4" s="1"/>
  <c r="O831" i="1"/>
  <c r="O829" i="4" s="1"/>
  <c r="O843" i="1"/>
  <c r="O841" i="4" s="1"/>
  <c r="O855" i="1"/>
  <c r="O853" i="4" s="1"/>
  <c r="O867" i="1"/>
  <c r="O865" i="4" s="1"/>
  <c r="O879" i="1"/>
  <c r="O877" i="4" s="1"/>
  <c r="O891" i="1"/>
  <c r="O889" i="4" s="1"/>
  <c r="O903" i="1"/>
  <c r="O901" i="4" s="1"/>
  <c r="O915" i="1"/>
  <c r="O913" i="4" s="1"/>
  <c r="O927" i="1"/>
  <c r="O925" i="4" s="1"/>
  <c r="O939" i="1"/>
  <c r="O937" i="4" s="1"/>
  <c r="O951" i="1"/>
  <c r="O949" i="4" s="1"/>
  <c r="O963" i="1"/>
  <c r="O961" i="4" s="1"/>
  <c r="O975" i="1"/>
  <c r="O973" i="4" s="1"/>
  <c r="O987" i="1"/>
  <c r="O985" i="4" s="1"/>
  <c r="O999" i="1"/>
  <c r="O997" i="4" s="1"/>
  <c r="O1011" i="1"/>
  <c r="O1009" i="4" s="1"/>
  <c r="O232" i="1"/>
  <c r="O230" i="4" s="1"/>
  <c r="O244" i="1"/>
  <c r="O242" i="4" s="1"/>
  <c r="O256" i="1"/>
  <c r="O254" i="4" s="1"/>
  <c r="O268" i="1"/>
  <c r="O266" i="4" s="1"/>
  <c r="O280" i="1"/>
  <c r="O278" i="4" s="1"/>
  <c r="O292" i="1"/>
  <c r="O290" i="4" s="1"/>
  <c r="O304" i="1"/>
  <c r="O302" i="4" s="1"/>
  <c r="O316" i="1"/>
  <c r="O314" i="4" s="1"/>
  <c r="O328" i="1"/>
  <c r="O326" i="4" s="1"/>
  <c r="O340" i="1"/>
  <c r="O338" i="4" s="1"/>
  <c r="O352" i="1"/>
  <c r="O350" i="4" s="1"/>
  <c r="O364" i="1"/>
  <c r="O362" i="4" s="1"/>
  <c r="O376" i="1"/>
  <c r="O374" i="4" s="1"/>
  <c r="O388" i="1"/>
  <c r="O386" i="4" s="1"/>
  <c r="O400" i="1"/>
  <c r="O398" i="4" s="1"/>
  <c r="O412" i="1"/>
  <c r="O410" i="4" s="1"/>
  <c r="O424" i="1"/>
  <c r="O422" i="4" s="1"/>
  <c r="O436" i="1"/>
  <c r="O434" i="4" s="1"/>
  <c r="O448" i="1"/>
  <c r="O446" i="4" s="1"/>
  <c r="O460" i="1"/>
  <c r="O458" i="4" s="1"/>
  <c r="O472" i="1"/>
  <c r="O470" i="4" s="1"/>
  <c r="O484" i="1"/>
  <c r="O482" i="4" s="1"/>
  <c r="O496" i="1"/>
  <c r="O494" i="4" s="1"/>
  <c r="O508" i="1"/>
  <c r="O506" i="4" s="1"/>
  <c r="O520" i="1"/>
  <c r="O518" i="4" s="1"/>
  <c r="O532" i="1"/>
  <c r="O530" i="4" s="1"/>
  <c r="O544" i="1"/>
  <c r="O542" i="4" s="1"/>
  <c r="O556" i="1"/>
  <c r="O554" i="4" s="1"/>
  <c r="O568" i="1"/>
  <c r="O566" i="4" s="1"/>
  <c r="O580" i="1"/>
  <c r="O578" i="4" s="1"/>
  <c r="O592" i="1"/>
  <c r="O590" i="4" s="1"/>
  <c r="O604" i="1"/>
  <c r="O602" i="4" s="1"/>
  <c r="O616" i="1"/>
  <c r="O614" i="4" s="1"/>
  <c r="O628" i="1"/>
  <c r="O626" i="4" s="1"/>
  <c r="O640" i="1"/>
  <c r="O638" i="4" s="1"/>
  <c r="O652" i="1"/>
  <c r="O650" i="4" s="1"/>
  <c r="O664" i="1"/>
  <c r="O662" i="4" s="1"/>
  <c r="O676" i="1"/>
  <c r="O674" i="4" s="1"/>
  <c r="O688" i="1"/>
  <c r="O686" i="4" s="1"/>
  <c r="O700" i="1"/>
  <c r="O698" i="4" s="1"/>
  <c r="O712" i="1"/>
  <c r="O710" i="4" s="1"/>
  <c r="O724" i="1"/>
  <c r="O722" i="4" s="1"/>
  <c r="O736" i="1"/>
  <c r="O734" i="4" s="1"/>
  <c r="O748" i="1"/>
  <c r="O746" i="4" s="1"/>
  <c r="O760" i="1"/>
  <c r="O758" i="4" s="1"/>
  <c r="O772" i="1"/>
  <c r="O770" i="4" s="1"/>
  <c r="O784" i="1"/>
  <c r="O782" i="4" s="1"/>
  <c r="O796" i="1"/>
  <c r="O794" i="4" s="1"/>
  <c r="O808" i="1"/>
  <c r="O806" i="4" s="1"/>
  <c r="O820" i="1"/>
  <c r="O818" i="4" s="1"/>
  <c r="O832" i="1"/>
  <c r="O830" i="4" s="1"/>
  <c r="O844" i="1"/>
  <c r="O842" i="4" s="1"/>
  <c r="O856" i="1"/>
  <c r="O854" i="4" s="1"/>
  <c r="O868" i="1"/>
  <c r="O866" i="4" s="1"/>
  <c r="O880" i="1"/>
  <c r="O878" i="4" s="1"/>
  <c r="O892" i="1"/>
  <c r="O890" i="4" s="1"/>
  <c r="O904" i="1"/>
  <c r="O902" i="4" s="1"/>
  <c r="O916" i="1"/>
  <c r="O914" i="4" s="1"/>
  <c r="O928" i="1"/>
  <c r="O926" i="4" s="1"/>
  <c r="O940" i="1"/>
  <c r="O938" i="4" s="1"/>
  <c r="O952" i="1"/>
  <c r="O950" i="4" s="1"/>
  <c r="O964" i="1"/>
  <c r="O962" i="4" s="1"/>
  <c r="O976" i="1"/>
  <c r="O974" i="4" s="1"/>
  <c r="O988" i="1"/>
  <c r="O986" i="4" s="1"/>
  <c r="O1000" i="1"/>
  <c r="O998" i="4" s="1"/>
  <c r="O1012" i="1"/>
  <c r="O1010" i="4" s="1"/>
  <c r="O1024" i="1"/>
  <c r="O1022" i="4" s="1"/>
  <c r="O247" i="1"/>
  <c r="O245" i="4" s="1"/>
  <c r="O295" i="1"/>
  <c r="O293" i="4" s="1"/>
  <c r="O343" i="1"/>
  <c r="O341" i="4" s="1"/>
  <c r="O391" i="1"/>
  <c r="O389" i="4" s="1"/>
  <c r="O439" i="1"/>
  <c r="O437" i="4" s="1"/>
  <c r="O487" i="1"/>
  <c r="O485" i="4" s="1"/>
  <c r="O535" i="1"/>
  <c r="O533" i="4" s="1"/>
  <c r="O583" i="1"/>
  <c r="O581" i="4" s="1"/>
  <c r="O631" i="1"/>
  <c r="O629" i="4" s="1"/>
  <c r="O679" i="1"/>
  <c r="O677" i="4" s="1"/>
  <c r="O727" i="1"/>
  <c r="O725" i="4" s="1"/>
  <c r="O765" i="1"/>
  <c r="O763" i="4" s="1"/>
  <c r="O801" i="1"/>
  <c r="O799" i="4" s="1"/>
  <c r="O837" i="1"/>
  <c r="O835" i="4" s="1"/>
  <c r="O873" i="1"/>
  <c r="O871" i="4" s="1"/>
  <c r="O909" i="1"/>
  <c r="O907" i="4" s="1"/>
  <c r="O945" i="1"/>
  <c r="O943" i="4" s="1"/>
  <c r="O981" i="1"/>
  <c r="O979" i="4" s="1"/>
  <c r="O1017" i="1"/>
  <c r="O1015" i="4" s="1"/>
  <c r="O1033" i="1"/>
  <c r="O1031" i="4" s="1"/>
  <c r="O1045" i="1"/>
  <c r="O1043" i="4" s="1"/>
  <c r="O1057" i="1"/>
  <c r="O1055" i="4" s="1"/>
  <c r="O1069" i="1"/>
  <c r="O1067" i="4" s="1"/>
  <c r="O1081" i="1"/>
  <c r="O1079" i="4" s="1"/>
  <c r="O1093" i="1"/>
  <c r="O1091" i="4" s="1"/>
  <c r="O1105" i="1"/>
  <c r="O1103" i="4" s="1"/>
  <c r="O1117" i="1"/>
  <c r="O1115" i="4" s="1"/>
  <c r="O1129" i="1"/>
  <c r="O1127" i="4" s="1"/>
  <c r="O1141" i="1"/>
  <c r="O1139" i="4" s="1"/>
  <c r="O1153" i="1"/>
  <c r="O1151" i="4" s="1"/>
  <c r="O1165" i="1"/>
  <c r="O1163" i="4" s="1"/>
  <c r="O1177" i="1"/>
  <c r="O1175" i="4" s="1"/>
  <c r="O1189" i="1"/>
  <c r="O1187" i="4" s="1"/>
  <c r="O1201" i="1"/>
  <c r="O1199" i="4" s="1"/>
  <c r="O1213" i="1"/>
  <c r="O1211" i="4" s="1"/>
  <c r="O1225" i="1"/>
  <c r="O1223" i="4" s="1"/>
  <c r="O1237" i="1"/>
  <c r="O1235" i="4" s="1"/>
  <c r="O1249" i="1"/>
  <c r="O1247" i="4" s="1"/>
  <c r="O1261" i="1"/>
  <c r="O1259" i="4" s="1"/>
  <c r="O1273" i="1"/>
  <c r="O1271" i="4" s="1"/>
  <c r="O1285" i="1"/>
  <c r="O1283" i="4" s="1"/>
  <c r="O1297" i="1"/>
  <c r="O1295" i="4" s="1"/>
  <c r="O1309" i="1"/>
  <c r="O1307" i="4" s="1"/>
  <c r="O1321" i="1"/>
  <c r="O1319" i="4" s="1"/>
  <c r="O1333" i="1"/>
  <c r="O1331" i="4" s="1"/>
  <c r="O1345" i="1"/>
  <c r="O1343" i="4" s="1"/>
  <c r="O1357" i="1"/>
  <c r="O1355" i="4" s="1"/>
  <c r="O1369" i="1"/>
  <c r="O1367" i="4" s="1"/>
  <c r="O1381" i="1"/>
  <c r="O1379" i="4" s="1"/>
  <c r="O1393" i="1"/>
  <c r="O1391" i="4" s="1"/>
  <c r="O1405" i="1"/>
  <c r="O1403" i="4" s="1"/>
  <c r="O1417" i="1"/>
  <c r="O1415" i="4" s="1"/>
  <c r="O1429" i="1"/>
  <c r="O1427" i="4" s="1"/>
  <c r="O1441" i="1"/>
  <c r="O1453" i="1"/>
  <c r="O1465" i="1"/>
  <c r="O1477" i="1"/>
  <c r="O1489" i="1"/>
  <c r="O1501" i="1"/>
  <c r="O1513" i="1"/>
  <c r="O1525" i="1"/>
  <c r="O1537" i="1"/>
  <c r="O1549" i="1"/>
  <c r="O1561" i="1"/>
  <c r="O1573" i="1"/>
  <c r="O1585" i="1"/>
  <c r="O1597" i="1"/>
  <c r="O1609" i="1"/>
  <c r="O1621" i="1"/>
  <c r="O1633" i="1"/>
  <c r="O1645" i="1"/>
  <c r="O1657" i="1"/>
  <c r="O1669" i="1"/>
  <c r="O1681" i="1"/>
  <c r="O1693" i="1"/>
  <c r="O249" i="1"/>
  <c r="O247" i="4" s="1"/>
  <c r="O297" i="1"/>
  <c r="O295" i="4" s="1"/>
  <c r="O345" i="1"/>
  <c r="O343" i="4" s="1"/>
  <c r="O393" i="1"/>
  <c r="O391" i="4" s="1"/>
  <c r="O441" i="1"/>
  <c r="O439" i="4" s="1"/>
  <c r="O489" i="1"/>
  <c r="O487" i="4" s="1"/>
  <c r="O537" i="1"/>
  <c r="O535" i="4" s="1"/>
  <c r="O585" i="1"/>
  <c r="O583" i="4" s="1"/>
  <c r="O633" i="1"/>
  <c r="O631" i="4" s="1"/>
  <c r="O681" i="1"/>
  <c r="O679" i="4" s="1"/>
  <c r="O729" i="1"/>
  <c r="O727" i="4" s="1"/>
  <c r="O773" i="1"/>
  <c r="O771" i="4" s="1"/>
  <c r="O809" i="1"/>
  <c r="O807" i="4" s="1"/>
  <c r="O845" i="1"/>
  <c r="O843" i="4" s="1"/>
  <c r="O881" i="1"/>
  <c r="O879" i="4" s="1"/>
  <c r="O917" i="1"/>
  <c r="O915" i="4" s="1"/>
  <c r="O953" i="1"/>
  <c r="O951" i="4" s="1"/>
  <c r="O989" i="1"/>
  <c r="O987" i="4" s="1"/>
  <c r="O1021" i="1"/>
  <c r="O1019" i="4" s="1"/>
  <c r="O1034" i="1"/>
  <c r="O1032" i="4" s="1"/>
  <c r="O1046" i="1"/>
  <c r="O1044" i="4" s="1"/>
  <c r="O1058" i="1"/>
  <c r="O1056" i="4" s="1"/>
  <c r="O1070" i="1"/>
  <c r="O1068" i="4" s="1"/>
  <c r="O1082" i="1"/>
  <c r="O1080" i="4" s="1"/>
  <c r="O1094" i="1"/>
  <c r="O1092" i="4" s="1"/>
  <c r="O1106" i="1"/>
  <c r="O1104" i="4" s="1"/>
  <c r="O1118" i="1"/>
  <c r="O1116" i="4" s="1"/>
  <c r="O1130" i="1"/>
  <c r="O1128" i="4" s="1"/>
  <c r="O1142" i="1"/>
  <c r="O1140" i="4" s="1"/>
  <c r="O1154" i="1"/>
  <c r="O1152" i="4" s="1"/>
  <c r="O1166" i="1"/>
  <c r="O1164" i="4" s="1"/>
  <c r="O1178" i="1"/>
  <c r="O1176" i="4" s="1"/>
  <c r="O1190" i="1"/>
  <c r="O1188" i="4" s="1"/>
  <c r="O1202" i="1"/>
  <c r="O1200" i="4" s="1"/>
  <c r="O1214" i="1"/>
  <c r="O1212" i="4" s="1"/>
  <c r="O1226" i="1"/>
  <c r="O1224" i="4" s="1"/>
  <c r="O1238" i="1"/>
  <c r="O1236" i="4" s="1"/>
  <c r="O1250" i="1"/>
  <c r="O1248" i="4" s="1"/>
  <c r="O1262" i="1"/>
  <c r="O1260" i="4" s="1"/>
  <c r="O1274" i="1"/>
  <c r="O1272" i="4" s="1"/>
  <c r="O1286" i="1"/>
  <c r="O1284" i="4" s="1"/>
  <c r="O1298" i="1"/>
  <c r="O1296" i="4" s="1"/>
  <c r="O1310" i="1"/>
  <c r="O1308" i="4" s="1"/>
  <c r="O1322" i="1"/>
  <c r="O1320" i="4" s="1"/>
  <c r="O1334" i="1"/>
  <c r="O1332" i="4" s="1"/>
  <c r="O1346" i="1"/>
  <c r="O1344" i="4" s="1"/>
  <c r="O1358" i="1"/>
  <c r="O1356" i="4" s="1"/>
  <c r="O1370" i="1"/>
  <c r="O1368" i="4" s="1"/>
  <c r="O1382" i="1"/>
  <c r="O1380" i="4" s="1"/>
  <c r="O1394" i="1"/>
  <c r="O1392" i="4" s="1"/>
  <c r="O1406" i="1"/>
  <c r="O1404" i="4" s="1"/>
  <c r="O1418" i="1"/>
  <c r="O1416" i="4" s="1"/>
  <c r="O1430" i="1"/>
  <c r="O1428" i="4" s="1"/>
  <c r="O1442" i="1"/>
  <c r="O1454" i="1"/>
  <c r="O1466" i="1"/>
  <c r="O1478" i="1"/>
  <c r="O1490" i="1"/>
  <c r="O1502" i="1"/>
  <c r="O1514" i="1"/>
  <c r="O1526" i="1"/>
  <c r="O1538" i="1"/>
  <c r="O1550" i="1"/>
  <c r="O1562" i="1"/>
  <c r="O1574" i="1"/>
  <c r="O1586" i="1"/>
  <c r="O1598" i="1"/>
  <c r="O1610" i="1"/>
  <c r="O1622" i="1"/>
  <c r="O1634" i="1"/>
  <c r="O1646" i="1"/>
  <c r="O1658" i="1"/>
  <c r="O1670" i="1"/>
  <c r="O1682" i="1"/>
  <c r="O1694" i="1"/>
  <c r="O1706" i="1"/>
  <c r="O1718" i="1"/>
  <c r="O1730" i="1"/>
  <c r="O1742" i="1"/>
  <c r="O1754" i="1"/>
  <c r="O257" i="1"/>
  <c r="O255" i="4" s="1"/>
  <c r="O305" i="1"/>
  <c r="O303" i="4" s="1"/>
  <c r="O353" i="1"/>
  <c r="O351" i="4" s="1"/>
  <c r="O401" i="1"/>
  <c r="O399" i="4" s="1"/>
  <c r="O449" i="1"/>
  <c r="O447" i="4" s="1"/>
  <c r="O497" i="1"/>
  <c r="O495" i="4" s="1"/>
  <c r="O545" i="1"/>
  <c r="O543" i="4" s="1"/>
  <c r="O593" i="1"/>
  <c r="O591" i="4" s="1"/>
  <c r="O641" i="1"/>
  <c r="O639" i="4" s="1"/>
  <c r="O689" i="1"/>
  <c r="O687" i="4" s="1"/>
  <c r="O737" i="1"/>
  <c r="O735" i="4" s="1"/>
  <c r="O774" i="1"/>
  <c r="O772" i="4" s="1"/>
  <c r="O810" i="1"/>
  <c r="O808" i="4" s="1"/>
  <c r="O846" i="1"/>
  <c r="O844" i="4" s="1"/>
  <c r="O882" i="1"/>
  <c r="O880" i="4" s="1"/>
  <c r="O918" i="1"/>
  <c r="O916" i="4" s="1"/>
  <c r="O954" i="1"/>
  <c r="O952" i="4" s="1"/>
  <c r="O990" i="1"/>
  <c r="O988" i="4" s="1"/>
  <c r="O1022" i="1"/>
  <c r="O1020" i="4" s="1"/>
  <c r="O1035" i="1"/>
  <c r="O1033" i="4" s="1"/>
  <c r="O1047" i="1"/>
  <c r="O1045" i="4" s="1"/>
  <c r="O1059" i="1"/>
  <c r="O1057" i="4" s="1"/>
  <c r="O1071" i="1"/>
  <c r="O1069" i="4" s="1"/>
  <c r="O1083" i="1"/>
  <c r="O1081" i="4" s="1"/>
  <c r="O1095" i="1"/>
  <c r="O1093" i="4" s="1"/>
  <c r="O1107" i="1"/>
  <c r="O1105" i="4" s="1"/>
  <c r="O1119" i="1"/>
  <c r="O1117" i="4" s="1"/>
  <c r="O1131" i="1"/>
  <c r="O1129" i="4" s="1"/>
  <c r="O1143" i="1"/>
  <c r="O1141" i="4" s="1"/>
  <c r="O1155" i="1"/>
  <c r="O1153" i="4" s="1"/>
  <c r="O1167" i="1"/>
  <c r="O1165" i="4" s="1"/>
  <c r="O1179" i="1"/>
  <c r="O1177" i="4" s="1"/>
  <c r="O1191" i="1"/>
  <c r="O1189" i="4" s="1"/>
  <c r="O1203" i="1"/>
  <c r="O1201" i="4" s="1"/>
  <c r="O1215" i="1"/>
  <c r="O1213" i="4" s="1"/>
  <c r="O1227" i="1"/>
  <c r="O1225" i="4" s="1"/>
  <c r="O1239" i="1"/>
  <c r="O1237" i="4" s="1"/>
  <c r="O1251" i="1"/>
  <c r="O1249" i="4" s="1"/>
  <c r="O1263" i="1"/>
  <c r="O1261" i="4" s="1"/>
  <c r="O1275" i="1"/>
  <c r="O1273" i="4" s="1"/>
  <c r="O1287" i="1"/>
  <c r="O1285" i="4" s="1"/>
  <c r="O1299" i="1"/>
  <c r="O1297" i="4" s="1"/>
  <c r="O1311" i="1"/>
  <c r="O1309" i="4" s="1"/>
  <c r="O1323" i="1"/>
  <c r="O1321" i="4" s="1"/>
  <c r="O1335" i="1"/>
  <c r="O1333" i="4" s="1"/>
  <c r="O1347" i="1"/>
  <c r="O1345" i="4" s="1"/>
  <c r="O1359" i="1"/>
  <c r="O1357" i="4" s="1"/>
  <c r="O1371" i="1"/>
  <c r="O1369" i="4" s="1"/>
  <c r="O1383" i="1"/>
  <c r="O1381" i="4" s="1"/>
  <c r="O1395" i="1"/>
  <c r="O1393" i="4" s="1"/>
  <c r="O1407" i="1"/>
  <c r="O1405" i="4" s="1"/>
  <c r="O1419" i="1"/>
  <c r="O1417" i="4" s="1"/>
  <c r="O1431" i="1"/>
  <c r="O1443" i="1"/>
  <c r="O1455" i="1"/>
  <c r="O1467" i="1"/>
  <c r="O1479" i="1"/>
  <c r="O1491" i="1"/>
  <c r="O1503" i="1"/>
  <c r="O1515" i="1"/>
  <c r="O1527" i="1"/>
  <c r="O1539" i="1"/>
  <c r="O1551" i="1"/>
  <c r="O1563" i="1"/>
  <c r="O1575" i="1"/>
  <c r="O1587" i="1"/>
  <c r="O1599" i="1"/>
  <c r="O1611" i="1"/>
  <c r="O1623" i="1"/>
  <c r="O1635" i="1"/>
  <c r="O1647" i="1"/>
  <c r="O1659" i="1"/>
  <c r="O1671" i="1"/>
  <c r="O1683" i="1"/>
  <c r="O1695" i="1"/>
  <c r="O1707" i="1"/>
  <c r="O1719" i="1"/>
  <c r="O1731" i="1"/>
  <c r="O1743" i="1"/>
  <c r="O1755" i="1"/>
  <c r="O1767" i="1"/>
  <c r="O259" i="1"/>
  <c r="O257" i="4" s="1"/>
  <c r="O307" i="1"/>
  <c r="O305" i="4" s="1"/>
  <c r="O355" i="1"/>
  <c r="O353" i="4" s="1"/>
  <c r="O403" i="1"/>
  <c r="O401" i="4" s="1"/>
  <c r="O451" i="1"/>
  <c r="O449" i="4" s="1"/>
  <c r="O499" i="1"/>
  <c r="O497" i="4" s="1"/>
  <c r="O547" i="1"/>
  <c r="O545" i="4" s="1"/>
  <c r="O595" i="1"/>
  <c r="O593" i="4" s="1"/>
  <c r="O643" i="1"/>
  <c r="O641" i="4" s="1"/>
  <c r="O691" i="1"/>
  <c r="O689" i="4" s="1"/>
  <c r="O739" i="1"/>
  <c r="O737" i="4" s="1"/>
  <c r="O775" i="1"/>
  <c r="O773" i="4" s="1"/>
  <c r="O811" i="1"/>
  <c r="O809" i="4" s="1"/>
  <c r="O847" i="1"/>
  <c r="O845" i="4" s="1"/>
  <c r="O883" i="1"/>
  <c r="O881" i="4" s="1"/>
  <c r="O919" i="1"/>
  <c r="O917" i="4" s="1"/>
  <c r="O955" i="1"/>
  <c r="O953" i="4" s="1"/>
  <c r="O991" i="1"/>
  <c r="O989" i="4" s="1"/>
  <c r="O1023" i="1"/>
  <c r="O1021" i="4" s="1"/>
  <c r="O1036" i="1"/>
  <c r="O1034" i="4" s="1"/>
  <c r="O1048" i="1"/>
  <c r="O1046" i="4" s="1"/>
  <c r="O1060" i="1"/>
  <c r="O1058" i="4" s="1"/>
  <c r="O1072" i="1"/>
  <c r="O1070" i="4" s="1"/>
  <c r="O1084" i="1"/>
  <c r="O1082" i="4" s="1"/>
  <c r="O1096" i="1"/>
  <c r="O1094" i="4" s="1"/>
  <c r="O1108" i="1"/>
  <c r="O1106" i="4" s="1"/>
  <c r="O1120" i="1"/>
  <c r="O1118" i="4" s="1"/>
  <c r="O1132" i="1"/>
  <c r="O1130" i="4" s="1"/>
  <c r="O1144" i="1"/>
  <c r="O1142" i="4" s="1"/>
  <c r="O1156" i="1"/>
  <c r="O1154" i="4" s="1"/>
  <c r="O1168" i="1"/>
  <c r="O1166" i="4" s="1"/>
  <c r="O1180" i="1"/>
  <c r="O1178" i="4" s="1"/>
  <c r="O1192" i="1"/>
  <c r="O1190" i="4" s="1"/>
  <c r="O1204" i="1"/>
  <c r="O1202" i="4" s="1"/>
  <c r="O1216" i="1"/>
  <c r="O1214" i="4" s="1"/>
  <c r="O1228" i="1"/>
  <c r="O1226" i="4" s="1"/>
  <c r="O1240" i="1"/>
  <c r="O1238" i="4" s="1"/>
  <c r="O1252" i="1"/>
  <c r="O1250" i="4" s="1"/>
  <c r="O1264" i="1"/>
  <c r="O1262" i="4" s="1"/>
  <c r="O1276" i="1"/>
  <c r="O1274" i="4" s="1"/>
  <c r="O1288" i="1"/>
  <c r="O1286" i="4" s="1"/>
  <c r="O1300" i="1"/>
  <c r="O1298" i="4" s="1"/>
  <c r="O1312" i="1"/>
  <c r="O1310" i="4" s="1"/>
  <c r="O1324" i="1"/>
  <c r="O1322" i="4" s="1"/>
  <c r="O1336" i="1"/>
  <c r="O1334" i="4" s="1"/>
  <c r="O1348" i="1"/>
  <c r="O1346" i="4" s="1"/>
  <c r="O1360" i="1"/>
  <c r="O1358" i="4" s="1"/>
  <c r="O1372" i="1"/>
  <c r="O1370" i="4" s="1"/>
  <c r="O1384" i="1"/>
  <c r="O1382" i="4" s="1"/>
  <c r="O1396" i="1"/>
  <c r="O1394" i="4" s="1"/>
  <c r="O1408" i="1"/>
  <c r="O1406" i="4" s="1"/>
  <c r="O1420" i="1"/>
  <c r="O1418" i="4" s="1"/>
  <c r="O1432" i="1"/>
  <c r="O1444" i="1"/>
  <c r="O1456" i="1"/>
  <c r="O1468" i="1"/>
  <c r="O1480" i="1"/>
  <c r="O1492" i="1"/>
  <c r="O1504" i="1"/>
  <c r="O1516" i="1"/>
  <c r="O1528" i="1"/>
  <c r="O1540" i="1"/>
  <c r="O1552" i="1"/>
  <c r="O1564" i="1"/>
  <c r="O1576" i="1"/>
  <c r="O1588" i="1"/>
  <c r="O1600" i="1"/>
  <c r="O1612" i="1"/>
  <c r="O1624" i="1"/>
  <c r="O1636" i="1"/>
  <c r="O1648" i="1"/>
  <c r="O1660" i="1"/>
  <c r="O1672" i="1"/>
  <c r="O1684" i="1"/>
  <c r="O1696" i="1"/>
  <c r="O1708" i="1"/>
  <c r="O1720" i="1"/>
  <c r="O261" i="1"/>
  <c r="O259" i="4" s="1"/>
  <c r="O309" i="1"/>
  <c r="O307" i="4" s="1"/>
  <c r="O357" i="1"/>
  <c r="O355" i="4" s="1"/>
  <c r="O405" i="1"/>
  <c r="O403" i="4" s="1"/>
  <c r="O453" i="1"/>
  <c r="O451" i="4" s="1"/>
  <c r="O501" i="1"/>
  <c r="O499" i="4" s="1"/>
  <c r="O549" i="1"/>
  <c r="O547" i="4" s="1"/>
  <c r="O597" i="1"/>
  <c r="O595" i="4" s="1"/>
  <c r="O645" i="1"/>
  <c r="O643" i="4" s="1"/>
  <c r="O693" i="1"/>
  <c r="O691" i="4" s="1"/>
  <c r="O741" i="1"/>
  <c r="O739" i="4" s="1"/>
  <c r="O777" i="1"/>
  <c r="O775" i="4" s="1"/>
  <c r="O813" i="1"/>
  <c r="O811" i="4" s="1"/>
  <c r="O849" i="1"/>
  <c r="O847" i="4" s="1"/>
  <c r="O885" i="1"/>
  <c r="O883" i="4" s="1"/>
  <c r="O921" i="1"/>
  <c r="O919" i="4" s="1"/>
  <c r="O957" i="1"/>
  <c r="O955" i="4" s="1"/>
  <c r="O993" i="1"/>
  <c r="O991" i="4" s="1"/>
  <c r="O1025" i="1"/>
  <c r="O1023" i="4" s="1"/>
  <c r="O1037" i="1"/>
  <c r="O1035" i="4" s="1"/>
  <c r="O1049" i="1"/>
  <c r="O1047" i="4" s="1"/>
  <c r="O1061" i="1"/>
  <c r="O1059" i="4" s="1"/>
  <c r="O1073" i="1"/>
  <c r="O1071" i="4" s="1"/>
  <c r="O1085" i="1"/>
  <c r="O1083" i="4" s="1"/>
  <c r="O1097" i="1"/>
  <c r="O1095" i="4" s="1"/>
  <c r="O1109" i="1"/>
  <c r="O1107" i="4" s="1"/>
  <c r="O1121" i="1"/>
  <c r="O1119" i="4" s="1"/>
  <c r="O1133" i="1"/>
  <c r="O1131" i="4" s="1"/>
  <c r="O1145" i="1"/>
  <c r="O1143" i="4" s="1"/>
  <c r="O1157" i="1"/>
  <c r="O1155" i="4" s="1"/>
  <c r="O1169" i="1"/>
  <c r="O1167" i="4" s="1"/>
  <c r="O1181" i="1"/>
  <c r="O1179" i="4" s="1"/>
  <c r="O1193" i="1"/>
  <c r="O1191" i="4" s="1"/>
  <c r="O1205" i="1"/>
  <c r="O1203" i="4" s="1"/>
  <c r="O1217" i="1"/>
  <c r="O1215" i="4" s="1"/>
  <c r="O1229" i="1"/>
  <c r="O1227" i="4" s="1"/>
  <c r="O1241" i="1"/>
  <c r="O1239" i="4" s="1"/>
  <c r="O1253" i="1"/>
  <c r="O1251" i="4" s="1"/>
  <c r="O1265" i="1"/>
  <c r="O1263" i="4" s="1"/>
  <c r="O1277" i="1"/>
  <c r="O1275" i="4" s="1"/>
  <c r="O1289" i="1"/>
  <c r="O1287" i="4" s="1"/>
  <c r="O1301" i="1"/>
  <c r="O1299" i="4" s="1"/>
  <c r="O1313" i="1"/>
  <c r="O1311" i="4" s="1"/>
  <c r="O1325" i="1"/>
  <c r="O1323" i="4" s="1"/>
  <c r="O1337" i="1"/>
  <c r="O1335" i="4" s="1"/>
  <c r="O1349" i="1"/>
  <c r="O1347" i="4" s="1"/>
  <c r="O1361" i="1"/>
  <c r="O1359" i="4" s="1"/>
  <c r="O1373" i="1"/>
  <c r="O1371" i="4" s="1"/>
  <c r="O1385" i="1"/>
  <c r="O1383" i="4" s="1"/>
  <c r="O1397" i="1"/>
  <c r="O1395" i="4" s="1"/>
  <c r="O1409" i="1"/>
  <c r="O1407" i="4" s="1"/>
  <c r="O1421" i="1"/>
  <c r="O1419" i="4" s="1"/>
  <c r="O1433" i="1"/>
  <c r="O1445" i="1"/>
  <c r="O1457" i="1"/>
  <c r="O1469" i="1"/>
  <c r="O1481" i="1"/>
  <c r="O1493" i="1"/>
  <c r="O1505" i="1"/>
  <c r="O1517" i="1"/>
  <c r="O1529" i="1"/>
  <c r="O1541" i="1"/>
  <c r="O1553" i="1"/>
  <c r="O1565" i="1"/>
  <c r="O1577" i="1"/>
  <c r="O1589" i="1"/>
  <c r="O1601" i="1"/>
  <c r="O1613" i="1"/>
  <c r="O1625" i="1"/>
  <c r="O1637" i="1"/>
  <c r="O1649" i="1"/>
  <c r="O1661" i="1"/>
  <c r="O1673" i="1"/>
  <c r="O1685" i="1"/>
  <c r="O1697" i="1"/>
  <c r="O1709" i="1"/>
  <c r="O1721" i="1"/>
  <c r="O1733" i="1"/>
  <c r="O1745" i="1"/>
  <c r="O1757" i="1"/>
  <c r="O269" i="1"/>
  <c r="O267" i="4" s="1"/>
  <c r="O317" i="1"/>
  <c r="O315" i="4" s="1"/>
  <c r="O365" i="1"/>
  <c r="O363" i="4" s="1"/>
  <c r="O413" i="1"/>
  <c r="O411" i="4" s="1"/>
  <c r="O461" i="1"/>
  <c r="O459" i="4" s="1"/>
  <c r="O509" i="1"/>
  <c r="O507" i="4" s="1"/>
  <c r="O557" i="1"/>
  <c r="O555" i="4" s="1"/>
  <c r="O605" i="1"/>
  <c r="O603" i="4" s="1"/>
  <c r="O653" i="1"/>
  <c r="O651" i="4" s="1"/>
  <c r="O701" i="1"/>
  <c r="O699" i="4" s="1"/>
  <c r="O749" i="1"/>
  <c r="O747" i="4" s="1"/>
  <c r="O785" i="1"/>
  <c r="O783" i="4" s="1"/>
  <c r="O821" i="1"/>
  <c r="O819" i="4" s="1"/>
  <c r="O857" i="1"/>
  <c r="O855" i="4" s="1"/>
  <c r="O893" i="1"/>
  <c r="O891" i="4" s="1"/>
  <c r="O929" i="1"/>
  <c r="O927" i="4" s="1"/>
  <c r="O965" i="1"/>
  <c r="O963" i="4" s="1"/>
  <c r="O1001" i="1"/>
  <c r="O999" i="4" s="1"/>
  <c r="O1026" i="1"/>
  <c r="O1024" i="4" s="1"/>
  <c r="O1038" i="1"/>
  <c r="O1036" i="4" s="1"/>
  <c r="O1050" i="1"/>
  <c r="O1048" i="4" s="1"/>
  <c r="O1062" i="1"/>
  <c r="O1060" i="4" s="1"/>
  <c r="O1074" i="1"/>
  <c r="O1072" i="4" s="1"/>
  <c r="O1086" i="1"/>
  <c r="O1084" i="4" s="1"/>
  <c r="O1098" i="1"/>
  <c r="O1096" i="4" s="1"/>
  <c r="O1110" i="1"/>
  <c r="O1108" i="4" s="1"/>
  <c r="O1122" i="1"/>
  <c r="O1120" i="4" s="1"/>
  <c r="O1134" i="1"/>
  <c r="O1132" i="4" s="1"/>
  <c r="O1146" i="1"/>
  <c r="O1144" i="4" s="1"/>
  <c r="O1158" i="1"/>
  <c r="O1156" i="4" s="1"/>
  <c r="O1170" i="1"/>
  <c r="O1168" i="4" s="1"/>
  <c r="O271" i="1"/>
  <c r="O269" i="4" s="1"/>
  <c r="O319" i="1"/>
  <c r="O317" i="4" s="1"/>
  <c r="O367" i="1"/>
  <c r="O365" i="4" s="1"/>
  <c r="O415" i="1"/>
  <c r="O413" i="4" s="1"/>
  <c r="O463" i="1"/>
  <c r="O461" i="4" s="1"/>
  <c r="O511" i="1"/>
  <c r="O509" i="4" s="1"/>
  <c r="O559" i="1"/>
  <c r="O557" i="4" s="1"/>
  <c r="O607" i="1"/>
  <c r="O605" i="4" s="1"/>
  <c r="O655" i="1"/>
  <c r="O653" i="4" s="1"/>
  <c r="O703" i="1"/>
  <c r="O701" i="4" s="1"/>
  <c r="O750" i="1"/>
  <c r="O748" i="4" s="1"/>
  <c r="O786" i="1"/>
  <c r="O784" i="4" s="1"/>
  <c r="O822" i="1"/>
  <c r="O820" i="4" s="1"/>
  <c r="O858" i="1"/>
  <c r="O856" i="4" s="1"/>
  <c r="O894" i="1"/>
  <c r="O892" i="4" s="1"/>
  <c r="O930" i="1"/>
  <c r="O928" i="4" s="1"/>
  <c r="O966" i="1"/>
  <c r="O964" i="4" s="1"/>
  <c r="O1002" i="1"/>
  <c r="O1000" i="4" s="1"/>
  <c r="O1027" i="1"/>
  <c r="O1025" i="4" s="1"/>
  <c r="O1039" i="1"/>
  <c r="O1037" i="4" s="1"/>
  <c r="O1051" i="1"/>
  <c r="O1049" i="4" s="1"/>
  <c r="O1063" i="1"/>
  <c r="O1061" i="4" s="1"/>
  <c r="O1075" i="1"/>
  <c r="O1073" i="4" s="1"/>
  <c r="O1087" i="1"/>
  <c r="O1085" i="4" s="1"/>
  <c r="O1099" i="1"/>
  <c r="O1097" i="4" s="1"/>
  <c r="O1111" i="1"/>
  <c r="O1109" i="4" s="1"/>
  <c r="O1123" i="1"/>
  <c r="O1121" i="4" s="1"/>
  <c r="O1135" i="1"/>
  <c r="O1133" i="4" s="1"/>
  <c r="O1147" i="1"/>
  <c r="O1145" i="4" s="1"/>
  <c r="O1159" i="1"/>
  <c r="O1157" i="4" s="1"/>
  <c r="O1171" i="1"/>
  <c r="O1169" i="4" s="1"/>
  <c r="O1183" i="1"/>
  <c r="O1181" i="4" s="1"/>
  <c r="O1195" i="1"/>
  <c r="O1193" i="4" s="1"/>
  <c r="O1207" i="1"/>
  <c r="O1205" i="4" s="1"/>
  <c r="O1219" i="1"/>
  <c r="O1217" i="4" s="1"/>
  <c r="O1231" i="1"/>
  <c r="O1229" i="4" s="1"/>
  <c r="O1243" i="1"/>
  <c r="O1241" i="4" s="1"/>
  <c r="O1255" i="1"/>
  <c r="O1253" i="4" s="1"/>
  <c r="O1267" i="1"/>
  <c r="O1265" i="4" s="1"/>
  <c r="O1279" i="1"/>
  <c r="O1277" i="4" s="1"/>
  <c r="O1291" i="1"/>
  <c r="O1289" i="4" s="1"/>
  <c r="O1303" i="1"/>
  <c r="O1301" i="4" s="1"/>
  <c r="O1315" i="1"/>
  <c r="O1313" i="4" s="1"/>
  <c r="O1327" i="1"/>
  <c r="O1325" i="4" s="1"/>
  <c r="O1339" i="1"/>
  <c r="O1337" i="4" s="1"/>
  <c r="O1351" i="1"/>
  <c r="O1349" i="4" s="1"/>
  <c r="O1363" i="1"/>
  <c r="O1361" i="4" s="1"/>
  <c r="O1375" i="1"/>
  <c r="O1373" i="4" s="1"/>
  <c r="O1387" i="1"/>
  <c r="O1385" i="4" s="1"/>
  <c r="O1399" i="1"/>
  <c r="O1397" i="4" s="1"/>
  <c r="O1411" i="1"/>
  <c r="O1409" i="4" s="1"/>
  <c r="O1423" i="1"/>
  <c r="O1421" i="4" s="1"/>
  <c r="O1435" i="1"/>
  <c r="O1447" i="1"/>
  <c r="O1459" i="1"/>
  <c r="O1471" i="1"/>
  <c r="O1483" i="1"/>
  <c r="O1495" i="1"/>
  <c r="O1507" i="1"/>
  <c r="O1519" i="1"/>
  <c r="O1531" i="1"/>
  <c r="O1543" i="1"/>
  <c r="O1555" i="1"/>
  <c r="O1567" i="1"/>
  <c r="O1579" i="1"/>
  <c r="O1591" i="1"/>
  <c r="O1603" i="1"/>
  <c r="O1615" i="1"/>
  <c r="O1627" i="1"/>
  <c r="O1639" i="1"/>
  <c r="O1651" i="1"/>
  <c r="O1663" i="1"/>
  <c r="O1675" i="1"/>
  <c r="O1687" i="1"/>
  <c r="O1699" i="1"/>
  <c r="O1711" i="1"/>
  <c r="O1723" i="1"/>
  <c r="O1735" i="1"/>
  <c r="O1747" i="1"/>
  <c r="O1759" i="1"/>
  <c r="O273" i="1"/>
  <c r="O271" i="4" s="1"/>
  <c r="O321" i="1"/>
  <c r="O319" i="4" s="1"/>
  <c r="O369" i="1"/>
  <c r="O367" i="4" s="1"/>
  <c r="O417" i="1"/>
  <c r="O415" i="4" s="1"/>
  <c r="O465" i="1"/>
  <c r="O463" i="4" s="1"/>
  <c r="O513" i="1"/>
  <c r="O511" i="4" s="1"/>
  <c r="O561" i="1"/>
  <c r="O559" i="4" s="1"/>
  <c r="O609" i="1"/>
  <c r="O607" i="4" s="1"/>
  <c r="O657" i="1"/>
  <c r="O655" i="4" s="1"/>
  <c r="O705" i="1"/>
  <c r="O703" i="4" s="1"/>
  <c r="O751" i="1"/>
  <c r="O749" i="4" s="1"/>
  <c r="O787" i="1"/>
  <c r="O785" i="4" s="1"/>
  <c r="O823" i="1"/>
  <c r="O821" i="4" s="1"/>
  <c r="O859" i="1"/>
  <c r="O857" i="4" s="1"/>
  <c r="O895" i="1"/>
  <c r="O893" i="4" s="1"/>
  <c r="O931" i="1"/>
  <c r="O929" i="4" s="1"/>
  <c r="O967" i="1"/>
  <c r="O965" i="4" s="1"/>
  <c r="O1003" i="1"/>
  <c r="O1001" i="4" s="1"/>
  <c r="O1028" i="1"/>
  <c r="O1026" i="4" s="1"/>
  <c r="O1040" i="1"/>
  <c r="O1038" i="4" s="1"/>
  <c r="O1052" i="1"/>
  <c r="O1050" i="4" s="1"/>
  <c r="O1064" i="1"/>
  <c r="O1062" i="4" s="1"/>
  <c r="O1076" i="1"/>
  <c r="O1074" i="4" s="1"/>
  <c r="O1088" i="1"/>
  <c r="O1086" i="4" s="1"/>
  <c r="O1100" i="1"/>
  <c r="O1098" i="4" s="1"/>
  <c r="O1112" i="1"/>
  <c r="O1110" i="4" s="1"/>
  <c r="O1124" i="1"/>
  <c r="O1122" i="4" s="1"/>
  <c r="O1136" i="1"/>
  <c r="O1134" i="4" s="1"/>
  <c r="O1148" i="1"/>
  <c r="O1146" i="4" s="1"/>
  <c r="O1160" i="1"/>
  <c r="O1158" i="4" s="1"/>
  <c r="O1172" i="1"/>
  <c r="O1170" i="4" s="1"/>
  <c r="O1184" i="1"/>
  <c r="O1182" i="4" s="1"/>
  <c r="O1196" i="1"/>
  <c r="O1194" i="4" s="1"/>
  <c r="O1208" i="1"/>
  <c r="O1206" i="4" s="1"/>
  <c r="O1220" i="1"/>
  <c r="O1218" i="4" s="1"/>
  <c r="O1232" i="1"/>
  <c r="O1230" i="4" s="1"/>
  <c r="O1244" i="1"/>
  <c r="O1242" i="4" s="1"/>
  <c r="O1256" i="1"/>
  <c r="O1254" i="4" s="1"/>
  <c r="O1268" i="1"/>
  <c r="O1266" i="4" s="1"/>
  <c r="O1280" i="1"/>
  <c r="O1278" i="4" s="1"/>
  <c r="O1292" i="1"/>
  <c r="O1290" i="4" s="1"/>
  <c r="O1304" i="1"/>
  <c r="O1302" i="4" s="1"/>
  <c r="O1316" i="1"/>
  <c r="O1314" i="4" s="1"/>
  <c r="O1328" i="1"/>
  <c r="O1326" i="4" s="1"/>
  <c r="O1340" i="1"/>
  <c r="O1338" i="4" s="1"/>
  <c r="O1352" i="1"/>
  <c r="O1350" i="4" s="1"/>
  <c r="O1364" i="1"/>
  <c r="O1362" i="4" s="1"/>
  <c r="O1376" i="1"/>
  <c r="O1374" i="4" s="1"/>
  <c r="O1388" i="1"/>
  <c r="O1386" i="4" s="1"/>
  <c r="O1400" i="1"/>
  <c r="O1398" i="4" s="1"/>
  <c r="O1412" i="1"/>
  <c r="O1410" i="4" s="1"/>
  <c r="O1424" i="1"/>
  <c r="O1422" i="4" s="1"/>
  <c r="O1436" i="1"/>
  <c r="O1448" i="1"/>
  <c r="O1460" i="1"/>
  <c r="O1472" i="1"/>
  <c r="O1484" i="1"/>
  <c r="O1496" i="1"/>
  <c r="O1508" i="1"/>
  <c r="O1520" i="1"/>
  <c r="O1532" i="1"/>
  <c r="O1544" i="1"/>
  <c r="O1556" i="1"/>
  <c r="O1568" i="1"/>
  <c r="O1580" i="1"/>
  <c r="O1592" i="1"/>
  <c r="O1604" i="1"/>
  <c r="O1616" i="1"/>
  <c r="O1628" i="1"/>
  <c r="O1640" i="1"/>
  <c r="O1652" i="1"/>
  <c r="O1664" i="1"/>
  <c r="O1676" i="1"/>
  <c r="O1688" i="1"/>
  <c r="O1700" i="1"/>
  <c r="O1712" i="1"/>
  <c r="O1724" i="1"/>
  <c r="O1736" i="1"/>
  <c r="O1748" i="1"/>
  <c r="O1760" i="1"/>
  <c r="O233" i="1"/>
  <c r="O231" i="4" s="1"/>
  <c r="O281" i="1"/>
  <c r="O279" i="4" s="1"/>
  <c r="O329" i="1"/>
  <c r="O327" i="4" s="1"/>
  <c r="O377" i="1"/>
  <c r="O375" i="4" s="1"/>
  <c r="O425" i="1"/>
  <c r="O423" i="4" s="1"/>
  <c r="O473" i="1"/>
  <c r="O471" i="4" s="1"/>
  <c r="O521" i="1"/>
  <c r="O519" i="4" s="1"/>
  <c r="O569" i="1"/>
  <c r="O567" i="4" s="1"/>
  <c r="O617" i="1"/>
  <c r="O615" i="4" s="1"/>
  <c r="O665" i="1"/>
  <c r="O663" i="4" s="1"/>
  <c r="O713" i="1"/>
  <c r="O711" i="4" s="1"/>
  <c r="O753" i="1"/>
  <c r="O751" i="4" s="1"/>
  <c r="O789" i="1"/>
  <c r="O787" i="4" s="1"/>
  <c r="O825" i="1"/>
  <c r="O823" i="4" s="1"/>
  <c r="O861" i="1"/>
  <c r="O859" i="4" s="1"/>
  <c r="O897" i="1"/>
  <c r="O895" i="4" s="1"/>
  <c r="O933" i="1"/>
  <c r="O931" i="4" s="1"/>
  <c r="O969" i="1"/>
  <c r="O967" i="4" s="1"/>
  <c r="O1005" i="1"/>
  <c r="O1003" i="4" s="1"/>
  <c r="O1029" i="1"/>
  <c r="O1027" i="4" s="1"/>
  <c r="O1041" i="1"/>
  <c r="O1039" i="4" s="1"/>
  <c r="O1053" i="1"/>
  <c r="O1051" i="4" s="1"/>
  <c r="O1065" i="1"/>
  <c r="O1063" i="4" s="1"/>
  <c r="O1077" i="1"/>
  <c r="O1075" i="4" s="1"/>
  <c r="O1089" i="1"/>
  <c r="O1087" i="4" s="1"/>
  <c r="O1101" i="1"/>
  <c r="O1099" i="4" s="1"/>
  <c r="O1113" i="1"/>
  <c r="O1111" i="4" s="1"/>
  <c r="O1125" i="1"/>
  <c r="O1123" i="4" s="1"/>
  <c r="O1137" i="1"/>
  <c r="O1135" i="4" s="1"/>
  <c r="O1149" i="1"/>
  <c r="O1147" i="4" s="1"/>
  <c r="O1161" i="1"/>
  <c r="O1159" i="4" s="1"/>
  <c r="O1173" i="1"/>
  <c r="O1171" i="4" s="1"/>
  <c r="O1185" i="1"/>
  <c r="O1183" i="4" s="1"/>
  <c r="O1197" i="1"/>
  <c r="O1195" i="4" s="1"/>
  <c r="O1209" i="1"/>
  <c r="O1207" i="4" s="1"/>
  <c r="O1221" i="1"/>
  <c r="O1219" i="4" s="1"/>
  <c r="O1233" i="1"/>
  <c r="O1231" i="4" s="1"/>
  <c r="O1245" i="1"/>
  <c r="O1243" i="4" s="1"/>
  <c r="O1257" i="1"/>
  <c r="O1255" i="4" s="1"/>
  <c r="O1269" i="1"/>
  <c r="O1267" i="4" s="1"/>
  <c r="O1281" i="1"/>
  <c r="O1279" i="4" s="1"/>
  <c r="O1293" i="1"/>
  <c r="O1291" i="4" s="1"/>
  <c r="O1305" i="1"/>
  <c r="O1303" i="4" s="1"/>
  <c r="O1317" i="1"/>
  <c r="O1315" i="4" s="1"/>
  <c r="O1329" i="1"/>
  <c r="O1327" i="4" s="1"/>
  <c r="O1341" i="1"/>
  <c r="O1339" i="4" s="1"/>
  <c r="O1353" i="1"/>
  <c r="O1351" i="4" s="1"/>
  <c r="O1365" i="1"/>
  <c r="O1363" i="4" s="1"/>
  <c r="O1377" i="1"/>
  <c r="O1375" i="4" s="1"/>
  <c r="O1389" i="1"/>
  <c r="O1387" i="4" s="1"/>
  <c r="O1401" i="1"/>
  <c r="O1399" i="4" s="1"/>
  <c r="O1413" i="1"/>
  <c r="O1411" i="4" s="1"/>
  <c r="O1425" i="1"/>
  <c r="O1423" i="4" s="1"/>
  <c r="O1437" i="1"/>
  <c r="O1449" i="1"/>
  <c r="O1461" i="1"/>
  <c r="O1473" i="1"/>
  <c r="O1485" i="1"/>
  <c r="O1497" i="1"/>
  <c r="O1509" i="1"/>
  <c r="O1521" i="1"/>
  <c r="O1533" i="1"/>
  <c r="O1545" i="1"/>
  <c r="O1557" i="1"/>
  <c r="O235" i="1"/>
  <c r="O233" i="4" s="1"/>
  <c r="O283" i="1"/>
  <c r="O281" i="4" s="1"/>
  <c r="O331" i="1"/>
  <c r="O329" i="4" s="1"/>
  <c r="O379" i="1"/>
  <c r="O377" i="4" s="1"/>
  <c r="O427" i="1"/>
  <c r="O425" i="4" s="1"/>
  <c r="O475" i="1"/>
  <c r="O473" i="4" s="1"/>
  <c r="O523" i="1"/>
  <c r="O521" i="4" s="1"/>
  <c r="O571" i="1"/>
  <c r="O569" i="4" s="1"/>
  <c r="O619" i="1"/>
  <c r="O617" i="4" s="1"/>
  <c r="O667" i="1"/>
  <c r="O665" i="4" s="1"/>
  <c r="O715" i="1"/>
  <c r="O713" i="4" s="1"/>
  <c r="O761" i="1"/>
  <c r="O759" i="4" s="1"/>
  <c r="O797" i="1"/>
  <c r="O795" i="4" s="1"/>
  <c r="O833" i="1"/>
  <c r="O831" i="4" s="1"/>
  <c r="O869" i="1"/>
  <c r="O867" i="4" s="1"/>
  <c r="O905" i="1"/>
  <c r="O903" i="4" s="1"/>
  <c r="O941" i="1"/>
  <c r="O939" i="4" s="1"/>
  <c r="O977" i="1"/>
  <c r="O975" i="4" s="1"/>
  <c r="O1013" i="1"/>
  <c r="O1011" i="4" s="1"/>
  <c r="O1030" i="1"/>
  <c r="O1028" i="4" s="1"/>
  <c r="O1042" i="1"/>
  <c r="O1040" i="4" s="1"/>
  <c r="O1054" i="1"/>
  <c r="O1052" i="4" s="1"/>
  <c r="O1066" i="1"/>
  <c r="O1064" i="4" s="1"/>
  <c r="O1078" i="1"/>
  <c r="O1076" i="4" s="1"/>
  <c r="O1090" i="1"/>
  <c r="O1088" i="4" s="1"/>
  <c r="O1102" i="1"/>
  <c r="O1100" i="4" s="1"/>
  <c r="O1114" i="1"/>
  <c r="O1112" i="4" s="1"/>
  <c r="O1126" i="1"/>
  <c r="O1124" i="4" s="1"/>
  <c r="O1138" i="1"/>
  <c r="O1136" i="4" s="1"/>
  <c r="O1150" i="1"/>
  <c r="O1148" i="4" s="1"/>
  <c r="O1162" i="1"/>
  <c r="O1160" i="4" s="1"/>
  <c r="O1174" i="1"/>
  <c r="O1172" i="4" s="1"/>
  <c r="O1186" i="1"/>
  <c r="O1184" i="4" s="1"/>
  <c r="O1198" i="1"/>
  <c r="O1196" i="4" s="1"/>
  <c r="O1210" i="1"/>
  <c r="O1208" i="4" s="1"/>
  <c r="O1222" i="1"/>
  <c r="O1220" i="4" s="1"/>
  <c r="O1234" i="1"/>
  <c r="O1232" i="4" s="1"/>
  <c r="O1246" i="1"/>
  <c r="O1244" i="4" s="1"/>
  <c r="O1258" i="1"/>
  <c r="O1256" i="4" s="1"/>
  <c r="O1270" i="1"/>
  <c r="O1268" i="4" s="1"/>
  <c r="O1282" i="1"/>
  <c r="O1280" i="4" s="1"/>
  <c r="O1294" i="1"/>
  <c r="O1292" i="4" s="1"/>
  <c r="O1306" i="1"/>
  <c r="O1304" i="4" s="1"/>
  <c r="O1318" i="1"/>
  <c r="O1316" i="4" s="1"/>
  <c r="O1330" i="1"/>
  <c r="O1328" i="4" s="1"/>
  <c r="O1342" i="1"/>
  <c r="O1340" i="4" s="1"/>
  <c r="O1354" i="1"/>
  <c r="O1352" i="4" s="1"/>
  <c r="O1366" i="1"/>
  <c r="O1364" i="4" s="1"/>
  <c r="O1378" i="1"/>
  <c r="O1376" i="4" s="1"/>
  <c r="O1390" i="1"/>
  <c r="O1388" i="4" s="1"/>
  <c r="O1402" i="1"/>
  <c r="O1400" i="4" s="1"/>
  <c r="O1414" i="1"/>
  <c r="O1412" i="4" s="1"/>
  <c r="O1426" i="1"/>
  <c r="O1424" i="4" s="1"/>
  <c r="O1438" i="1"/>
  <c r="O1450" i="1"/>
  <c r="O1462" i="1"/>
  <c r="O1474" i="1"/>
  <c r="O1486" i="1"/>
  <c r="O1498" i="1"/>
  <c r="O1510" i="1"/>
  <c r="O1522" i="1"/>
  <c r="O1534" i="1"/>
  <c r="O1546" i="1"/>
  <c r="O1558" i="1"/>
  <c r="O1570" i="1"/>
  <c r="O1582" i="1"/>
  <c r="O1594" i="1"/>
  <c r="O1606" i="1"/>
  <c r="O1618" i="1"/>
  <c r="O1630" i="1"/>
  <c r="O1642" i="1"/>
  <c r="O1654" i="1"/>
  <c r="O1666" i="1"/>
  <c r="O1678" i="1"/>
  <c r="O1690" i="1"/>
  <c r="O1702" i="1"/>
  <c r="O1714" i="1"/>
  <c r="O1726" i="1"/>
  <c r="O1738" i="1"/>
  <c r="O1750" i="1"/>
  <c r="O1762" i="1"/>
  <c r="O237" i="1"/>
  <c r="O235" i="4" s="1"/>
  <c r="O285" i="1"/>
  <c r="O283" i="4" s="1"/>
  <c r="O333" i="1"/>
  <c r="O331" i="4" s="1"/>
  <c r="O381" i="1"/>
  <c r="O379" i="4" s="1"/>
  <c r="O429" i="1"/>
  <c r="O427" i="4" s="1"/>
  <c r="O477" i="1"/>
  <c r="O475" i="4" s="1"/>
  <c r="O525" i="1"/>
  <c r="O523" i="4" s="1"/>
  <c r="O573" i="1"/>
  <c r="O571" i="4" s="1"/>
  <c r="O621" i="1"/>
  <c r="O619" i="4" s="1"/>
  <c r="O669" i="1"/>
  <c r="O667" i="4" s="1"/>
  <c r="O717" i="1"/>
  <c r="O715" i="4" s="1"/>
  <c r="O762" i="1"/>
  <c r="O760" i="4" s="1"/>
  <c r="O798" i="1"/>
  <c r="O796" i="4" s="1"/>
  <c r="O834" i="1"/>
  <c r="O832" i="4" s="1"/>
  <c r="O870" i="1"/>
  <c r="O868" i="4" s="1"/>
  <c r="O906" i="1"/>
  <c r="O904" i="4" s="1"/>
  <c r="O942" i="1"/>
  <c r="O940" i="4" s="1"/>
  <c r="O978" i="1"/>
  <c r="O976" i="4" s="1"/>
  <c r="O1014" i="1"/>
  <c r="O1012" i="4" s="1"/>
  <c r="O1031" i="1"/>
  <c r="O1029" i="4" s="1"/>
  <c r="O1043" i="1"/>
  <c r="O1041" i="4" s="1"/>
  <c r="O1055" i="1"/>
  <c r="O1053" i="4" s="1"/>
  <c r="O1067" i="1"/>
  <c r="O1065" i="4" s="1"/>
  <c r="O1079" i="1"/>
  <c r="O1077" i="4" s="1"/>
  <c r="O1091" i="1"/>
  <c r="O1089" i="4" s="1"/>
  <c r="O1103" i="1"/>
  <c r="O1101" i="4" s="1"/>
  <c r="O1115" i="1"/>
  <c r="O1113" i="4" s="1"/>
  <c r="O1127" i="1"/>
  <c r="O1125" i="4" s="1"/>
  <c r="O1139" i="1"/>
  <c r="O1137" i="4" s="1"/>
  <c r="O1151" i="1"/>
  <c r="O1149" i="4" s="1"/>
  <c r="O1163" i="1"/>
  <c r="O1161" i="4" s="1"/>
  <c r="O1175" i="1"/>
  <c r="O1173" i="4" s="1"/>
  <c r="O1187" i="1"/>
  <c r="O1185" i="4" s="1"/>
  <c r="O1199" i="1"/>
  <c r="O1197" i="4" s="1"/>
  <c r="O1211" i="1"/>
  <c r="O1209" i="4" s="1"/>
  <c r="O1223" i="1"/>
  <c r="O1221" i="4" s="1"/>
  <c r="O1235" i="1"/>
  <c r="O1233" i="4" s="1"/>
  <c r="O1247" i="1"/>
  <c r="O1245" i="4" s="1"/>
  <c r="O1259" i="1"/>
  <c r="O1257" i="4" s="1"/>
  <c r="O1271" i="1"/>
  <c r="O1269" i="4" s="1"/>
  <c r="O1283" i="1"/>
  <c r="O1281" i="4" s="1"/>
  <c r="O1295" i="1"/>
  <c r="O1293" i="4" s="1"/>
  <c r="O1307" i="1"/>
  <c r="O1305" i="4" s="1"/>
  <c r="O1319" i="1"/>
  <c r="O1317" i="4" s="1"/>
  <c r="O1331" i="1"/>
  <c r="O1329" i="4" s="1"/>
  <c r="O1343" i="1"/>
  <c r="O1341" i="4" s="1"/>
  <c r="O1355" i="1"/>
  <c r="O1353" i="4" s="1"/>
  <c r="O1819" i="1"/>
  <c r="O1807" i="1"/>
  <c r="O1795" i="1"/>
  <c r="O1783" i="1"/>
  <c r="O1771" i="1"/>
  <c r="O1752" i="1"/>
  <c r="O1728" i="1"/>
  <c r="O1701" i="1"/>
  <c r="O1665" i="1"/>
  <c r="O1629" i="1"/>
  <c r="O1593" i="1"/>
  <c r="O1554" i="1"/>
  <c r="O1506" i="1"/>
  <c r="O1458" i="1"/>
  <c r="O1410" i="1"/>
  <c r="O1408" i="4" s="1"/>
  <c r="O1362" i="1"/>
  <c r="O1360" i="4" s="1"/>
  <c r="O1290" i="1"/>
  <c r="O1288" i="4" s="1"/>
  <c r="O1218" i="1"/>
  <c r="O1216" i="4" s="1"/>
  <c r="O1116" i="1"/>
  <c r="O1114" i="4" s="1"/>
  <c r="O871" i="1"/>
  <c r="O869" i="4" s="1"/>
  <c r="O341" i="1"/>
  <c r="O339" i="4" s="1"/>
  <c r="O1818" i="1"/>
  <c r="O1806" i="1"/>
  <c r="O1794" i="1"/>
  <c r="O1782" i="1"/>
  <c r="O1770" i="1"/>
  <c r="O1751" i="1"/>
  <c r="O1727" i="1"/>
  <c r="O1698" i="1"/>
  <c r="O1662" i="1"/>
  <c r="O1626" i="1"/>
  <c r="O1590" i="1"/>
  <c r="O1548" i="1"/>
  <c r="O1500" i="1"/>
  <c r="O1452" i="1"/>
  <c r="O1404" i="1"/>
  <c r="O1402" i="4" s="1"/>
  <c r="O1356" i="1"/>
  <c r="O1354" i="4" s="1"/>
  <c r="O1284" i="1"/>
  <c r="O1282" i="4" s="1"/>
  <c r="O1212" i="1"/>
  <c r="O1210" i="4" s="1"/>
  <c r="O1104" i="1"/>
  <c r="O1102" i="4" s="1"/>
  <c r="O835" i="1"/>
  <c r="O833" i="4" s="1"/>
  <c r="O293" i="1"/>
  <c r="O291" i="4" s="1"/>
  <c r="O1817" i="1"/>
  <c r="O1805" i="1"/>
  <c r="O1793" i="1"/>
  <c r="O1781" i="1"/>
  <c r="O1769" i="1"/>
  <c r="O1749" i="1"/>
  <c r="O1725" i="1"/>
  <c r="O1692" i="1"/>
  <c r="O1656" i="1"/>
  <c r="O1620" i="1"/>
  <c r="O1584" i="1"/>
  <c r="O1547" i="1"/>
  <c r="O1499" i="1"/>
  <c r="O1451" i="1"/>
  <c r="O1403" i="1"/>
  <c r="O1401" i="4" s="1"/>
  <c r="O1350" i="1"/>
  <c r="O1348" i="4" s="1"/>
  <c r="O1278" i="1"/>
  <c r="O1276" i="4" s="1"/>
  <c r="O1206" i="1"/>
  <c r="O1204" i="4" s="1"/>
  <c r="O1092" i="1"/>
  <c r="O1090" i="4" s="1"/>
  <c r="O799" i="1"/>
  <c r="O797" i="4" s="1"/>
  <c r="O245" i="1"/>
  <c r="O243" i="4" s="1"/>
  <c r="O1816" i="1"/>
  <c r="O1804" i="1"/>
  <c r="O1792" i="1"/>
  <c r="O1780" i="1"/>
  <c r="O1768" i="1"/>
  <c r="O1746" i="1"/>
  <c r="O1722" i="1"/>
  <c r="O1691" i="1"/>
  <c r="O1655" i="1"/>
  <c r="O1619" i="1"/>
  <c r="O1583" i="1"/>
  <c r="O1542" i="1"/>
  <c r="O1494" i="1"/>
  <c r="O1446" i="1"/>
  <c r="O1398" i="1"/>
  <c r="O1396" i="4" s="1"/>
  <c r="O1344" i="1"/>
  <c r="O1342" i="4" s="1"/>
  <c r="O1272" i="1"/>
  <c r="O1270" i="4" s="1"/>
  <c r="O1200" i="1"/>
  <c r="O1198" i="4" s="1"/>
  <c r="O1080" i="1"/>
  <c r="O1078" i="4" s="1"/>
  <c r="O763" i="1"/>
  <c r="O761" i="4" s="1"/>
  <c r="O1815" i="1"/>
  <c r="O1803" i="1"/>
  <c r="O1791" i="1"/>
  <c r="O1779" i="1"/>
  <c r="O1766" i="1"/>
  <c r="O1744" i="1"/>
  <c r="O1717" i="1"/>
  <c r="O1689" i="1"/>
  <c r="O1653" i="1"/>
  <c r="O1617" i="1"/>
  <c r="O1581" i="1"/>
  <c r="O1536" i="1"/>
  <c r="O1488" i="1"/>
  <c r="O1440" i="1"/>
  <c r="O1392" i="1"/>
  <c r="O1390" i="4" s="1"/>
  <c r="O1338" i="1"/>
  <c r="O1336" i="4" s="1"/>
  <c r="O1266" i="1"/>
  <c r="O1264" i="4" s="1"/>
  <c r="O1194" i="1"/>
  <c r="O1192" i="4" s="1"/>
  <c r="O1068" i="1"/>
  <c r="O1066" i="4" s="1"/>
  <c r="O725" i="1"/>
  <c r="O723" i="4" s="1"/>
  <c r="O1814" i="1"/>
  <c r="O1802" i="1"/>
  <c r="O1790" i="1"/>
  <c r="O1778" i="1"/>
  <c r="O1765" i="1"/>
  <c r="O1741" i="1"/>
  <c r="O1716" i="1"/>
  <c r="O1686" i="1"/>
  <c r="O1650" i="1"/>
  <c r="O1614" i="1"/>
  <c r="O1578" i="1"/>
  <c r="O1535" i="1"/>
  <c r="O1487" i="1"/>
  <c r="O1439" i="1"/>
  <c r="O1391" i="1"/>
  <c r="O1389" i="4" s="1"/>
  <c r="O1332" i="1"/>
  <c r="O1330" i="4" s="1"/>
  <c r="O1260" i="1"/>
  <c r="O1258" i="4" s="1"/>
  <c r="O1188" i="1"/>
  <c r="O1186" i="4" s="1"/>
  <c r="O1056" i="1"/>
  <c r="O1054" i="4" s="1"/>
  <c r="O677" i="1"/>
  <c r="O675" i="4" s="1"/>
  <c r="O1813" i="1"/>
  <c r="O1801" i="1"/>
  <c r="O1789" i="1"/>
  <c r="O1777" i="1"/>
  <c r="O1764" i="1"/>
  <c r="O1740" i="1"/>
  <c r="O1715" i="1"/>
  <c r="O1680" i="1"/>
  <c r="O1644" i="1"/>
  <c r="O1608" i="1"/>
  <c r="O1572" i="1"/>
  <c r="O1530" i="1"/>
  <c r="O1482" i="1"/>
  <c r="O1434" i="1"/>
  <c r="O1386" i="1"/>
  <c r="O1384" i="4" s="1"/>
  <c r="O1326" i="1"/>
  <c r="O1324" i="4" s="1"/>
  <c r="O1254" i="1"/>
  <c r="O1252" i="4" s="1"/>
  <c r="O1182" i="1"/>
  <c r="O1180" i="4" s="1"/>
  <c r="O1044" i="1"/>
  <c r="O1042" i="4" s="1"/>
  <c r="O629" i="1"/>
  <c r="O627" i="4" s="1"/>
  <c r="AG1052" i="1"/>
  <c r="J1050" i="4" s="1"/>
  <c r="AD1811" i="1"/>
  <c r="AJ129" i="1"/>
  <c r="B127" i="4" s="1"/>
  <c r="AD1767" i="1"/>
  <c r="AG1661" i="1"/>
  <c r="AF1789" i="1"/>
  <c r="AG1716" i="1"/>
  <c r="AE1546" i="1"/>
  <c r="AE1502" i="1"/>
  <c r="AE1127" i="1"/>
  <c r="H1125" i="4" s="1"/>
  <c r="AE1789" i="1"/>
  <c r="AF1629" i="1"/>
  <c r="AF1607" i="1"/>
  <c r="AE1162" i="1"/>
  <c r="H1160" i="4" s="1"/>
  <c r="AD301" i="1"/>
  <c r="G299" i="4" s="1"/>
  <c r="AJ1709" i="1"/>
  <c r="AK1326" i="1"/>
  <c r="C1324" i="4" s="1"/>
  <c r="AL1183" i="1"/>
  <c r="D1181" i="4" s="1"/>
  <c r="AM132" i="1"/>
  <c r="E130" i="4" s="1"/>
  <c r="AF1798" i="1"/>
  <c r="AD1756" i="1"/>
  <c r="AD1724" i="1"/>
  <c r="AD1704" i="1"/>
  <c r="AD1586" i="1"/>
  <c r="AF1553" i="1"/>
  <c r="AE635" i="1"/>
  <c r="H633" i="4" s="1"/>
  <c r="AE623" i="1"/>
  <c r="H621" i="4" s="1"/>
  <c r="AE1586" i="1"/>
  <c r="AD1797" i="1"/>
  <c r="AF1723" i="1"/>
  <c r="AE1521" i="1"/>
  <c r="AD1466" i="1"/>
  <c r="AE1229" i="1"/>
  <c r="H1227" i="4" s="1"/>
  <c r="AG1818" i="1"/>
  <c r="AD1775" i="1"/>
  <c r="AD1594" i="1"/>
  <c r="AG1476" i="1"/>
  <c r="AG1465" i="1"/>
  <c r="AE1052" i="1"/>
  <c r="H1050" i="4" s="1"/>
  <c r="AF1775" i="1"/>
  <c r="AE1668" i="1"/>
  <c r="AF1646" i="1"/>
  <c r="AF1594" i="1"/>
  <c r="AE1485" i="1"/>
  <c r="AD1430" i="1"/>
  <c r="G1428" i="4" s="1"/>
  <c r="AG1763" i="1"/>
  <c r="AD1731" i="1"/>
  <c r="AF1710" i="1"/>
  <c r="AF1634" i="1"/>
  <c r="AD1485" i="1"/>
  <c r="AE1804" i="1"/>
  <c r="AD1710" i="1"/>
  <c r="AF1571" i="1"/>
  <c r="AD1803" i="1"/>
  <c r="AG1782" i="1"/>
  <c r="AE1654" i="1"/>
  <c r="AF1538" i="1"/>
  <c r="AF1367" i="1"/>
  <c r="I1365" i="4" s="1"/>
  <c r="AE1629" i="1"/>
  <c r="AF1781" i="1"/>
  <c r="AE1750" i="1"/>
  <c r="AE1739" i="1"/>
  <c r="AE1698" i="1"/>
  <c r="AD1675" i="1"/>
  <c r="AF1654" i="1"/>
  <c r="AE1621" i="1"/>
  <c r="AE1600" i="1"/>
  <c r="AF1579" i="1"/>
  <c r="AE1538" i="1"/>
  <c r="AD1449" i="1"/>
  <c r="AG1235" i="1"/>
  <c r="J1233" i="4" s="1"/>
  <c r="AF1739" i="1"/>
  <c r="AE1674" i="1"/>
  <c r="AD1600" i="1"/>
  <c r="AE1579" i="1"/>
  <c r="AG1546" i="1"/>
  <c r="AF1235" i="1"/>
  <c r="I1233" i="4" s="1"/>
  <c r="AD1796" i="1"/>
  <c r="AD1781" i="1"/>
  <c r="AD1774" i="1"/>
  <c r="AD1755" i="1"/>
  <c r="AD1750" i="1"/>
  <c r="AE1731" i="1"/>
  <c r="AG1710" i="1"/>
  <c r="AF1690" i="1"/>
  <c r="AF1681" i="1"/>
  <c r="AD1674" i="1"/>
  <c r="AG1667" i="1"/>
  <c r="AD1660" i="1"/>
  <c r="AG1653" i="1"/>
  <c r="AD1646" i="1"/>
  <c r="AF1639" i="1"/>
  <c r="AD1633" i="1"/>
  <c r="AD1599" i="1"/>
  <c r="AF1593" i="1"/>
  <c r="AF1585" i="1"/>
  <c r="AF1560" i="1"/>
  <c r="AE1553" i="1"/>
  <c r="AD1528" i="1"/>
  <c r="AE1510" i="1"/>
  <c r="AD1502" i="1"/>
  <c r="AE1438" i="1"/>
  <c r="AG1429" i="1"/>
  <c r="J1427" i="4" s="1"/>
  <c r="AF1355" i="1"/>
  <c r="I1353" i="4" s="1"/>
  <c r="AG1332" i="1"/>
  <c r="J1330" i="4" s="1"/>
  <c r="AG1190" i="1"/>
  <c r="J1188" i="4" s="1"/>
  <c r="AE1170" i="1"/>
  <c r="H1168" i="4" s="1"/>
  <c r="AD1093" i="1"/>
  <c r="G1091" i="4" s="1"/>
  <c r="AE1072" i="1"/>
  <c r="H1070" i="4" s="1"/>
  <c r="AG1030" i="1"/>
  <c r="J1028" i="4" s="1"/>
  <c r="AF622" i="1"/>
  <c r="I620" i="4" s="1"/>
  <c r="AD1815" i="1"/>
  <c r="AG1802" i="1"/>
  <c r="AF1795" i="1"/>
  <c r="AG1788" i="1"/>
  <c r="AG1766" i="1"/>
  <c r="AG1761" i="1"/>
  <c r="AG1742" i="1"/>
  <c r="AF1730" i="1"/>
  <c r="AD1715" i="1"/>
  <c r="AE1709" i="1"/>
  <c r="AG1703" i="1"/>
  <c r="AD1696" i="1"/>
  <c r="AD1689" i="1"/>
  <c r="AE1681" i="1"/>
  <c r="AD1667" i="1"/>
  <c r="AE1660" i="1"/>
  <c r="AD1639" i="1"/>
  <c r="AE1569" i="1"/>
  <c r="AD1560" i="1"/>
  <c r="AD1527" i="1"/>
  <c r="AD1510" i="1"/>
  <c r="AD1474" i="1"/>
  <c r="AD1438" i="1"/>
  <c r="AD1420" i="1"/>
  <c r="G1418" i="4" s="1"/>
  <c r="AG1387" i="1"/>
  <c r="J1385" i="4" s="1"/>
  <c r="AG1310" i="1"/>
  <c r="J1308" i="4" s="1"/>
  <c r="AE1169" i="1"/>
  <c r="H1167" i="4" s="1"/>
  <c r="AF1072" i="1"/>
  <c r="I1070" i="4" s="1"/>
  <c r="AD1060" i="1"/>
  <c r="G1058" i="4" s="1"/>
  <c r="AD1030" i="1"/>
  <c r="G1028" i="4" s="1"/>
  <c r="AG951" i="1"/>
  <c r="J949" i="4" s="1"/>
  <c r="AF1766" i="1"/>
  <c r="AG1749" i="1"/>
  <c r="AE1742" i="1"/>
  <c r="AF1721" i="1"/>
  <c r="AE1703" i="1"/>
  <c r="AD1688" i="1"/>
  <c r="AF1673" i="1"/>
  <c r="AE1659" i="1"/>
  <c r="AD1652" i="1"/>
  <c r="AF1645" i="1"/>
  <c r="AF1638" i="1"/>
  <c r="AG1632" i="1"/>
  <c r="AE1626" i="1"/>
  <c r="AE1618" i="1"/>
  <c r="AD1611" i="1"/>
  <c r="AD1605" i="1"/>
  <c r="AE1568" i="1"/>
  <c r="AD1491" i="1"/>
  <c r="AF1474" i="1"/>
  <c r="AD1463" i="1"/>
  <c r="AF1454" i="1"/>
  <c r="AD1419" i="1"/>
  <c r="G1417" i="4" s="1"/>
  <c r="AF1147" i="1"/>
  <c r="I1145" i="4" s="1"/>
  <c r="AD961" i="1"/>
  <c r="G959" i="4" s="1"/>
  <c r="AD762" i="1"/>
  <c r="G760" i="4" s="1"/>
  <c r="AG1814" i="1"/>
  <c r="AD1808" i="1"/>
  <c r="AE1801" i="1"/>
  <c r="AF1787" i="1"/>
  <c r="AD1766" i="1"/>
  <c r="AD1760" i="1"/>
  <c r="AG1753" i="1"/>
  <c r="AD1742" i="1"/>
  <c r="AG1735" i="1"/>
  <c r="AD1729" i="1"/>
  <c r="AD1721" i="1"/>
  <c r="AE1714" i="1"/>
  <c r="AF1703" i="1"/>
  <c r="AD1695" i="1"/>
  <c r="AF1687" i="1"/>
  <c r="AD1638" i="1"/>
  <c r="AF1632" i="1"/>
  <c r="AD1618" i="1"/>
  <c r="AE1597" i="1"/>
  <c r="AE1591" i="1"/>
  <c r="AF1583" i="1"/>
  <c r="AE1543" i="1"/>
  <c r="AF1535" i="1"/>
  <c r="AE1517" i="1"/>
  <c r="AE1499" i="1"/>
  <c r="AE1427" i="1"/>
  <c r="H1425" i="4" s="1"/>
  <c r="AD1242" i="1"/>
  <c r="G1240" i="4" s="1"/>
  <c r="AG1177" i="1"/>
  <c r="J1175" i="4" s="1"/>
  <c r="AD1113" i="1"/>
  <c r="G1111" i="4" s="1"/>
  <c r="AG1038" i="1"/>
  <c r="J1036" i="4" s="1"/>
  <c r="AD927" i="1"/>
  <c r="G925" i="4" s="1"/>
  <c r="AG524" i="1"/>
  <c r="J522" i="4" s="1"/>
  <c r="AF1814" i="1"/>
  <c r="AF1807" i="1"/>
  <c r="AF1793" i="1"/>
  <c r="AD1786" i="1"/>
  <c r="AF1778" i="1"/>
  <c r="AE1771" i="1"/>
  <c r="AG1759" i="1"/>
  <c r="AE1753" i="1"/>
  <c r="AE1735" i="1"/>
  <c r="AF1728" i="1"/>
  <c r="AG1721" i="1"/>
  <c r="AD1714" i="1"/>
  <c r="AE1695" i="1"/>
  <c r="AE1679" i="1"/>
  <c r="AF1657" i="1"/>
  <c r="AD1650" i="1"/>
  <c r="AD1632" i="1"/>
  <c r="AF1610" i="1"/>
  <c r="AE1604" i="1"/>
  <c r="AD1583" i="1"/>
  <c r="AD1543" i="1"/>
  <c r="AE1535" i="1"/>
  <c r="AD1499" i="1"/>
  <c r="AG1444" i="1"/>
  <c r="AD1427" i="1"/>
  <c r="G1425" i="4" s="1"/>
  <c r="AD1374" i="1"/>
  <c r="G1372" i="4" s="1"/>
  <c r="AG1318" i="1"/>
  <c r="J1316" i="4" s="1"/>
  <c r="AE1297" i="1"/>
  <c r="H1295" i="4" s="1"/>
  <c r="AE1177" i="1"/>
  <c r="H1175" i="4" s="1"/>
  <c r="AE1100" i="1"/>
  <c r="H1098" i="4" s="1"/>
  <c r="AE1079" i="1"/>
  <c r="H1077" i="4" s="1"/>
  <c r="AD1038" i="1"/>
  <c r="G1036" i="4" s="1"/>
  <c r="AD1814" i="1"/>
  <c r="AE1807" i="1"/>
  <c r="AG1800" i="1"/>
  <c r="AD1793" i="1"/>
  <c r="AF1786" i="1"/>
  <c r="AD1778" i="1"/>
  <c r="AE1759" i="1"/>
  <c r="AD1753" i="1"/>
  <c r="AG1741" i="1"/>
  <c r="AD1735" i="1"/>
  <c r="AE1728" i="1"/>
  <c r="AE1720" i="1"/>
  <c r="AG1706" i="1"/>
  <c r="AF1694" i="1"/>
  <c r="AF1679" i="1"/>
  <c r="AE1671" i="1"/>
  <c r="AD1664" i="1"/>
  <c r="AD1657" i="1"/>
  <c r="AE1643" i="1"/>
  <c r="AG1624" i="1"/>
  <c r="AG1617" i="1"/>
  <c r="AE1610" i="1"/>
  <c r="AG1603" i="1"/>
  <c r="AG1596" i="1"/>
  <c r="AF1574" i="1"/>
  <c r="AG1557" i="1"/>
  <c r="AF1549" i="1"/>
  <c r="AD1524" i="1"/>
  <c r="AD1507" i="1"/>
  <c r="AG1480" i="1"/>
  <c r="AE1452" i="1"/>
  <c r="AD1435" i="1"/>
  <c r="AE1196" i="1"/>
  <c r="H1194" i="4" s="1"/>
  <c r="AG1079" i="1"/>
  <c r="J1077" i="4" s="1"/>
  <c r="AD1016" i="1"/>
  <c r="G1014" i="4" s="1"/>
  <c r="AE1819" i="1"/>
  <c r="AF1800" i="1"/>
  <c r="AG1793" i="1"/>
  <c r="AD1785" i="1"/>
  <c r="AF1770" i="1"/>
  <c r="AG1764" i="1"/>
  <c r="AF1746" i="1"/>
  <c r="AE1734" i="1"/>
  <c r="AG1713" i="1"/>
  <c r="AE1706" i="1"/>
  <c r="AF1685" i="1"/>
  <c r="AE1678" i="1"/>
  <c r="AF1670" i="1"/>
  <c r="AF1663" i="1"/>
  <c r="AG1656" i="1"/>
  <c r="AF1649" i="1"/>
  <c r="AD1643" i="1"/>
  <c r="AD1636" i="1"/>
  <c r="AE1603" i="1"/>
  <c r="AD1596" i="1"/>
  <c r="AE1589" i="1"/>
  <c r="AE1582" i="1"/>
  <c r="AF1557" i="1"/>
  <c r="AD1549" i="1"/>
  <c r="AE1524" i="1"/>
  <c r="AE1488" i="1"/>
  <c r="AD1470" i="1"/>
  <c r="AG1451" i="1"/>
  <c r="AG1393" i="1"/>
  <c r="J1391" i="4" s="1"/>
  <c r="Y1584" i="1"/>
  <c r="AJ111" i="1"/>
  <c r="B109" i="4" s="1"/>
  <c r="AK130" i="1"/>
  <c r="C128" i="4" s="1"/>
  <c r="AL149" i="1"/>
  <c r="D147" i="4" s="1"/>
  <c r="AJ195" i="1"/>
  <c r="B193" i="4" s="1"/>
  <c r="AL257" i="1"/>
  <c r="D255" i="4" s="1"/>
  <c r="AK261" i="1"/>
  <c r="C259" i="4" s="1"/>
  <c r="AL264" i="1"/>
  <c r="D262" i="4" s="1"/>
  <c r="AJ271" i="1"/>
  <c r="B269" i="4" s="1"/>
  <c r="AM274" i="1"/>
  <c r="E272" i="4" s="1"/>
  <c r="AK281" i="1"/>
  <c r="C279" i="4" s="1"/>
  <c r="AK285" i="1"/>
  <c r="C283" i="4" s="1"/>
  <c r="AK292" i="1"/>
  <c r="C290" i="4" s="1"/>
  <c r="AL295" i="1"/>
  <c r="D293" i="4" s="1"/>
  <c r="AL303" i="1"/>
  <c r="D301" i="4" s="1"/>
  <c r="AM306" i="1"/>
  <c r="E304" i="4" s="1"/>
  <c r="AL313" i="1"/>
  <c r="D311" i="4" s="1"/>
  <c r="AM319" i="1"/>
  <c r="E317" i="4" s="1"/>
  <c r="AJ324" i="1"/>
  <c r="B322" i="4" s="1"/>
  <c r="AL327" i="1"/>
  <c r="D325" i="4" s="1"/>
  <c r="AJ330" i="1"/>
  <c r="B328" i="4" s="1"/>
  <c r="AK333" i="1"/>
  <c r="C331" i="4" s="1"/>
  <c r="AL336" i="1"/>
  <c r="D334" i="4" s="1"/>
  <c r="AL340" i="1"/>
  <c r="D338" i="4" s="1"/>
  <c r="AL344" i="1"/>
  <c r="D342" i="4" s="1"/>
  <c r="AM347" i="1"/>
  <c r="E345" i="4" s="1"/>
  <c r="AM351" i="1"/>
  <c r="E349" i="4" s="1"/>
  <c r="AK356" i="1"/>
  <c r="C354" i="4" s="1"/>
  <c r="AL359" i="1"/>
  <c r="D357" i="4" s="1"/>
  <c r="AL363" i="1"/>
  <c r="D361" i="4" s="1"/>
  <c r="AK368" i="1"/>
  <c r="C366" i="4" s="1"/>
  <c r="AM371" i="1"/>
  <c r="E369" i="4" s="1"/>
  <c r="AM375" i="1"/>
  <c r="E373" i="4" s="1"/>
  <c r="AK380" i="1"/>
  <c r="C378" i="4" s="1"/>
  <c r="AM383" i="1"/>
  <c r="E381" i="4" s="1"/>
  <c r="AM387" i="1"/>
  <c r="E385" i="4" s="1"/>
  <c r="AJ392" i="1"/>
  <c r="B390" i="4" s="1"/>
  <c r="AL395" i="1"/>
  <c r="D393" i="4" s="1"/>
  <c r="AM410" i="1"/>
  <c r="E408" i="4" s="1"/>
  <c r="AJ422" i="1"/>
  <c r="B420" i="4" s="1"/>
  <c r="AK425" i="1"/>
  <c r="C423" i="4" s="1"/>
  <c r="AL429" i="1"/>
  <c r="D427" i="4" s="1"/>
  <c r="AM433" i="1"/>
  <c r="E431" i="4" s="1"/>
  <c r="AM436" i="1"/>
  <c r="E434" i="4" s="1"/>
  <c r="AJ445" i="1"/>
  <c r="B443" i="4" s="1"/>
  <c r="AJ448" i="1"/>
  <c r="B446" i="4" s="1"/>
  <c r="AK452" i="1"/>
  <c r="C450" i="4" s="1"/>
  <c r="AM455" i="1"/>
  <c r="E453" i="4" s="1"/>
  <c r="AL467" i="1"/>
  <c r="D465" i="4" s="1"/>
  <c r="AJ475" i="1"/>
  <c r="B473" i="4" s="1"/>
  <c r="AJ482" i="1"/>
  <c r="B480" i="4" s="1"/>
  <c r="AK485" i="1"/>
  <c r="C483" i="4" s="1"/>
  <c r="AM494" i="1"/>
  <c r="E492" i="4" s="1"/>
  <c r="AL507" i="1"/>
  <c r="D505" i="4" s="1"/>
  <c r="AJ512" i="1"/>
  <c r="B510" i="4" s="1"/>
  <c r="AL519" i="1"/>
  <c r="D517" i="4" s="1"/>
  <c r="AM527" i="1"/>
  <c r="E525" i="4" s="1"/>
  <c r="AJ539" i="1"/>
  <c r="B537" i="4" s="1"/>
  <c r="AJ93" i="1"/>
  <c r="B91" i="4" s="1"/>
  <c r="AJ141" i="1"/>
  <c r="B139" i="4" s="1"/>
  <c r="AJ177" i="1"/>
  <c r="B175" i="4" s="1"/>
  <c r="AK214" i="1"/>
  <c r="C212" i="4" s="1"/>
  <c r="AL233" i="1"/>
  <c r="D231" i="4" s="1"/>
  <c r="AK247" i="1"/>
  <c r="C245" i="4" s="1"/>
  <c r="AL251" i="1"/>
  <c r="D249" i="4" s="1"/>
  <c r="AL261" i="1"/>
  <c r="D259" i="4" s="1"/>
  <c r="AM264" i="1"/>
  <c r="E262" i="4" s="1"/>
  <c r="AK268" i="1"/>
  <c r="C266" i="4" s="1"/>
  <c r="AL271" i="1"/>
  <c r="D269" i="4" s="1"/>
  <c r="AL281" i="1"/>
  <c r="D279" i="4" s="1"/>
  <c r="AL285" i="1"/>
  <c r="D283" i="4" s="1"/>
  <c r="AJ289" i="1"/>
  <c r="B287" i="4" s="1"/>
  <c r="AL292" i="1"/>
  <c r="D290" i="4" s="1"/>
  <c r="AM295" i="1"/>
  <c r="E293" i="4" s="1"/>
  <c r="AM303" i="1"/>
  <c r="E301" i="4" s="1"/>
  <c r="AJ310" i="1"/>
  <c r="B308" i="4" s="1"/>
  <c r="AM313" i="1"/>
  <c r="E311" i="4" s="1"/>
  <c r="AJ317" i="1"/>
  <c r="B315" i="4" s="1"/>
  <c r="AK324" i="1"/>
  <c r="C322" i="4" s="1"/>
  <c r="AM327" i="1"/>
  <c r="E325" i="4" s="1"/>
  <c r="AM330" i="1"/>
  <c r="E328" i="4" s="1"/>
  <c r="AL333" i="1"/>
  <c r="D331" i="4" s="1"/>
  <c r="AM336" i="1"/>
  <c r="E334" i="4" s="1"/>
  <c r="AM340" i="1"/>
  <c r="E338" i="4" s="1"/>
  <c r="AL356" i="1"/>
  <c r="D354" i="4" s="1"/>
  <c r="AM359" i="1"/>
  <c r="E357" i="4" s="1"/>
  <c r="AM363" i="1"/>
  <c r="E361" i="4" s="1"/>
  <c r="AL368" i="1"/>
  <c r="D366" i="4" s="1"/>
  <c r="AL380" i="1"/>
  <c r="D378" i="4" s="1"/>
  <c r="AK392" i="1"/>
  <c r="C390" i="4" s="1"/>
  <c r="AM395" i="1"/>
  <c r="E393" i="4" s="1"/>
  <c r="AL399" i="1"/>
  <c r="D397" i="4" s="1"/>
  <c r="AJ404" i="1"/>
  <c r="B402" i="4" s="1"/>
  <c r="AL407" i="1"/>
  <c r="D405" i="4" s="1"/>
  <c r="AJ415" i="1"/>
  <c r="B413" i="4" s="1"/>
  <c r="AM418" i="1"/>
  <c r="E416" i="4" s="1"/>
  <c r="AK422" i="1"/>
  <c r="C420" i="4" s="1"/>
  <c r="AM429" i="1"/>
  <c r="E427" i="4" s="1"/>
  <c r="AJ441" i="1"/>
  <c r="B439" i="4" s="1"/>
  <c r="AK445" i="1"/>
  <c r="C443" i="4" s="1"/>
  <c r="AK448" i="1"/>
  <c r="C446" i="4" s="1"/>
  <c r="AL452" i="1"/>
  <c r="D450" i="4" s="1"/>
  <c r="AL459" i="1"/>
  <c r="D457" i="4" s="1"/>
  <c r="AK464" i="1"/>
  <c r="C462" i="4" s="1"/>
  <c r="AM467" i="1"/>
  <c r="E465" i="4" s="1"/>
  <c r="AL471" i="1"/>
  <c r="D469" i="4" s="1"/>
  <c r="AJ479" i="1"/>
  <c r="B477" i="4" s="1"/>
  <c r="AK482" i="1"/>
  <c r="C480" i="4" s="1"/>
  <c r="AM491" i="1"/>
  <c r="E489" i="4" s="1"/>
  <c r="AJ500" i="1"/>
  <c r="B498" i="4" s="1"/>
  <c r="AK512" i="1"/>
  <c r="C510" i="4" s="1"/>
  <c r="AJ524" i="1"/>
  <c r="B522" i="4" s="1"/>
  <c r="AL531" i="1"/>
  <c r="D529" i="4" s="1"/>
  <c r="AK536" i="1"/>
  <c r="C534" i="4" s="1"/>
  <c r="AL539" i="1"/>
  <c r="D537" i="4" s="1"/>
  <c r="AJ159" i="1"/>
  <c r="B157" i="4" s="1"/>
  <c r="AJ243" i="1"/>
  <c r="B241" i="4" s="1"/>
  <c r="AM247" i="1"/>
  <c r="E245" i="4" s="1"/>
  <c r="AJ255" i="1"/>
  <c r="B253" i="4" s="1"/>
  <c r="AJ258" i="1"/>
  <c r="B256" i="4" s="1"/>
  <c r="AM261" i="1"/>
  <c r="E259" i="4" s="1"/>
  <c r="AL268" i="1"/>
  <c r="D266" i="4" s="1"/>
  <c r="AM271" i="1"/>
  <c r="E269" i="4" s="1"/>
  <c r="AL275" i="1"/>
  <c r="D273" i="4" s="1"/>
  <c r="AJ279" i="1"/>
  <c r="B277" i="4" s="1"/>
  <c r="AM285" i="1"/>
  <c r="E283" i="4" s="1"/>
  <c r="AK289" i="1"/>
  <c r="C287" i="4" s="1"/>
  <c r="AM292" i="1"/>
  <c r="E290" i="4" s="1"/>
  <c r="AL300" i="1"/>
  <c r="D298" i="4" s="1"/>
  <c r="AJ307" i="1"/>
  <c r="B305" i="4" s="1"/>
  <c r="AK310" i="1"/>
  <c r="C308" i="4" s="1"/>
  <c r="AK317" i="1"/>
  <c r="C315" i="4" s="1"/>
  <c r="AL324" i="1"/>
  <c r="D322" i="4" s="1"/>
  <c r="AM333" i="1"/>
  <c r="E331" i="4" s="1"/>
  <c r="AJ345" i="1"/>
  <c r="B343" i="4" s="1"/>
  <c r="AJ352" i="1"/>
  <c r="B350" i="4" s="1"/>
  <c r="AM356" i="1"/>
  <c r="E354" i="4" s="1"/>
  <c r="AM368" i="1"/>
  <c r="E366" i="4" s="1"/>
  <c r="AJ376" i="1"/>
  <c r="B374" i="4" s="1"/>
  <c r="AM380" i="1"/>
  <c r="E378" i="4" s="1"/>
  <c r="AJ388" i="1"/>
  <c r="B386" i="4" s="1"/>
  <c r="AL392" i="1"/>
  <c r="D390" i="4" s="1"/>
  <c r="AM399" i="1"/>
  <c r="E397" i="4" s="1"/>
  <c r="AK404" i="1"/>
  <c r="C402" i="4" s="1"/>
  <c r="AM407" i="1"/>
  <c r="E405" i="4" s="1"/>
  <c r="AL411" i="1"/>
  <c r="D409" i="4" s="1"/>
  <c r="AM422" i="1"/>
  <c r="E420" i="4" s="1"/>
  <c r="AJ434" i="1"/>
  <c r="B432" i="4" s="1"/>
  <c r="AJ437" i="1"/>
  <c r="B435" i="4" s="1"/>
  <c r="AK441" i="1"/>
  <c r="C439" i="4" s="1"/>
  <c r="AL445" i="1"/>
  <c r="D443" i="4" s="1"/>
  <c r="AL448" i="1"/>
  <c r="D446" i="4" s="1"/>
  <c r="AM452" i="1"/>
  <c r="E450" i="4" s="1"/>
  <c r="AL464" i="1"/>
  <c r="D462" i="4" s="1"/>
  <c r="AJ476" i="1"/>
  <c r="B474" i="4" s="1"/>
  <c r="AK479" i="1"/>
  <c r="C477" i="4" s="1"/>
  <c r="AM482" i="1"/>
  <c r="E480" i="4" s="1"/>
  <c r="AL495" i="1"/>
  <c r="D493" i="4" s="1"/>
  <c r="AK500" i="1"/>
  <c r="C498" i="4" s="1"/>
  <c r="AJ505" i="1"/>
  <c r="B503" i="4" s="1"/>
  <c r="AJ508" i="1"/>
  <c r="B506" i="4" s="1"/>
  <c r="AL512" i="1"/>
  <c r="D510" i="4" s="1"/>
  <c r="AJ517" i="1"/>
  <c r="B515" i="4" s="1"/>
  <c r="AJ520" i="1"/>
  <c r="B518" i="4" s="1"/>
  <c r="AK524" i="1"/>
  <c r="C522" i="4" s="1"/>
  <c r="AL536" i="1"/>
  <c r="D534" i="4" s="1"/>
  <c r="AM539" i="1"/>
  <c r="E537" i="4" s="1"/>
  <c r="AK94" i="1"/>
  <c r="C92" i="4" s="1"/>
  <c r="AJ123" i="1"/>
  <c r="B121" i="4" s="1"/>
  <c r="AK142" i="1"/>
  <c r="C140" i="4" s="1"/>
  <c r="AK178" i="1"/>
  <c r="C176" i="4" s="1"/>
  <c r="AJ207" i="1"/>
  <c r="B205" i="4" s="1"/>
  <c r="AL243" i="1"/>
  <c r="D241" i="4" s="1"/>
  <c r="AJ252" i="1"/>
  <c r="B250" i="4" s="1"/>
  <c r="AL255" i="1"/>
  <c r="D253" i="4" s="1"/>
  <c r="AM258" i="1"/>
  <c r="E256" i="4" s="1"/>
  <c r="AJ265" i="1"/>
  <c r="B263" i="4" s="1"/>
  <c r="AM268" i="1"/>
  <c r="E266" i="4" s="1"/>
  <c r="AL279" i="1"/>
  <c r="D277" i="4" s="1"/>
  <c r="AJ282" i="1"/>
  <c r="B280" i="4" s="1"/>
  <c r="AL289" i="1"/>
  <c r="D287" i="4" s="1"/>
  <c r="AM300" i="1"/>
  <c r="E298" i="4" s="1"/>
  <c r="AK304" i="1"/>
  <c r="C302" i="4" s="1"/>
  <c r="AK307" i="1"/>
  <c r="C305" i="4" s="1"/>
  <c r="AM310" i="1"/>
  <c r="E308" i="4" s="1"/>
  <c r="AL317" i="1"/>
  <c r="D315" i="4" s="1"/>
  <c r="AJ321" i="1"/>
  <c r="B319" i="4" s="1"/>
  <c r="AM324" i="1"/>
  <c r="E322" i="4" s="1"/>
  <c r="AJ328" i="1"/>
  <c r="B326" i="4" s="1"/>
  <c r="AJ331" i="1"/>
  <c r="B329" i="4" s="1"/>
  <c r="AJ337" i="1"/>
  <c r="B335" i="4" s="1"/>
  <c r="AJ341" i="1"/>
  <c r="B339" i="4" s="1"/>
  <c r="AK345" i="1"/>
  <c r="C343" i="4" s="1"/>
  <c r="AJ349" i="1"/>
  <c r="B347" i="4" s="1"/>
  <c r="AK352" i="1"/>
  <c r="C350" i="4" s="1"/>
  <c r="AJ364" i="1"/>
  <c r="B362" i="4" s="1"/>
  <c r="AJ373" i="1"/>
  <c r="B371" i="4" s="1"/>
  <c r="AK376" i="1"/>
  <c r="C374" i="4" s="1"/>
  <c r="AJ385" i="1"/>
  <c r="B383" i="4" s="1"/>
  <c r="AK388" i="1"/>
  <c r="C386" i="4" s="1"/>
  <c r="AM392" i="1"/>
  <c r="E390" i="4" s="1"/>
  <c r="AL404" i="1"/>
  <c r="D402" i="4" s="1"/>
  <c r="AJ416" i="1"/>
  <c r="B414" i="4" s="1"/>
  <c r="AL419" i="1"/>
  <c r="D417" i="4" s="1"/>
  <c r="AJ427" i="1"/>
  <c r="B425" i="4" s="1"/>
  <c r="AM430" i="1"/>
  <c r="E428" i="4" s="1"/>
  <c r="AK434" i="1"/>
  <c r="C432" i="4" s="1"/>
  <c r="AK437" i="1"/>
  <c r="C435" i="4" s="1"/>
  <c r="AL441" i="1"/>
  <c r="D439" i="4" s="1"/>
  <c r="AM445" i="1"/>
  <c r="E443" i="4" s="1"/>
  <c r="AM448" i="1"/>
  <c r="E446" i="4" s="1"/>
  <c r="AJ457" i="1"/>
  <c r="B455" i="4" s="1"/>
  <c r="AJ460" i="1"/>
  <c r="B458" i="4" s="1"/>
  <c r="AM464" i="1"/>
  <c r="E462" i="4" s="1"/>
  <c r="AJ472" i="1"/>
  <c r="B470" i="4" s="1"/>
  <c r="AK476" i="1"/>
  <c r="C474" i="4" s="1"/>
  <c r="AL479" i="1"/>
  <c r="D477" i="4" s="1"/>
  <c r="AL500" i="1"/>
  <c r="D498" i="4" s="1"/>
  <c r="AK505" i="1"/>
  <c r="C503" i="4" s="1"/>
  <c r="AL508" i="1"/>
  <c r="D506" i="4" s="1"/>
  <c r="AM512" i="1"/>
  <c r="E510" i="4" s="1"/>
  <c r="AK517" i="1"/>
  <c r="C515" i="4" s="1"/>
  <c r="AL520" i="1"/>
  <c r="D518" i="4" s="1"/>
  <c r="AL524" i="1"/>
  <c r="D522" i="4" s="1"/>
  <c r="AJ529" i="1"/>
  <c r="B527" i="4" s="1"/>
  <c r="AL532" i="1"/>
  <c r="D530" i="4" s="1"/>
  <c r="AM536" i="1"/>
  <c r="E534" i="4" s="1"/>
  <c r="AJ105" i="1"/>
  <c r="B103" i="4" s="1"/>
  <c r="AJ189" i="1"/>
  <c r="B187" i="4" s="1"/>
  <c r="AM216" i="1"/>
  <c r="E214" i="4" s="1"/>
  <c r="AK226" i="1"/>
  <c r="C224" i="4" s="1"/>
  <c r="AM243" i="1"/>
  <c r="E241" i="4" s="1"/>
  <c r="AK252" i="1"/>
  <c r="C250" i="4" s="1"/>
  <c r="AM255" i="1"/>
  <c r="E253" i="4" s="1"/>
  <c r="AJ262" i="1"/>
  <c r="B260" i="4" s="1"/>
  <c r="AK265" i="1"/>
  <c r="C263" i="4" s="1"/>
  <c r="AK276" i="1"/>
  <c r="C274" i="4" s="1"/>
  <c r="AM279" i="1"/>
  <c r="E277" i="4" s="1"/>
  <c r="AM282" i="1"/>
  <c r="E280" i="4" s="1"/>
  <c r="AJ286" i="1"/>
  <c r="B284" i="4" s="1"/>
  <c r="AM289" i="1"/>
  <c r="E287" i="4" s="1"/>
  <c r="AJ293" i="1"/>
  <c r="B291" i="4" s="1"/>
  <c r="AJ297" i="1"/>
  <c r="B295" i="4" s="1"/>
  <c r="AL304" i="1"/>
  <c r="D302" i="4" s="1"/>
  <c r="AL307" i="1"/>
  <c r="D305" i="4" s="1"/>
  <c r="AJ315" i="1"/>
  <c r="B313" i="4" s="1"/>
  <c r="AM317" i="1"/>
  <c r="E315" i="4" s="1"/>
  <c r="AL321" i="1"/>
  <c r="D319" i="4" s="1"/>
  <c r="AK328" i="1"/>
  <c r="C326" i="4" s="1"/>
  <c r="AK331" i="1"/>
  <c r="C329" i="4" s="1"/>
  <c r="AJ334" i="1"/>
  <c r="B332" i="4" s="1"/>
  <c r="AK337" i="1"/>
  <c r="C335" i="4" s="1"/>
  <c r="AL341" i="1"/>
  <c r="D339" i="4" s="1"/>
  <c r="AL345" i="1"/>
  <c r="D343" i="4" s="1"/>
  <c r="AK349" i="1"/>
  <c r="C347" i="4" s="1"/>
  <c r="AL352" i="1"/>
  <c r="D350" i="4" s="1"/>
  <c r="AJ357" i="1"/>
  <c r="B355" i="4" s="1"/>
  <c r="AJ361" i="1"/>
  <c r="B359" i="4" s="1"/>
  <c r="AK364" i="1"/>
  <c r="C362" i="4" s="1"/>
  <c r="AJ369" i="1"/>
  <c r="B367" i="4" s="1"/>
  <c r="AK373" i="1"/>
  <c r="C371" i="4" s="1"/>
  <c r="AL376" i="1"/>
  <c r="D374" i="4" s="1"/>
  <c r="AJ381" i="1"/>
  <c r="B379" i="4" s="1"/>
  <c r="AK385" i="1"/>
  <c r="C383" i="4" s="1"/>
  <c r="AL388" i="1"/>
  <c r="D386" i="4" s="1"/>
  <c r="AJ397" i="1"/>
  <c r="B395" i="4" s="1"/>
  <c r="AK400" i="1"/>
  <c r="C398" i="4" s="1"/>
  <c r="AM404" i="1"/>
  <c r="E402" i="4" s="1"/>
  <c r="AJ412" i="1"/>
  <c r="B410" i="4" s="1"/>
  <c r="AK416" i="1"/>
  <c r="C414" i="4" s="1"/>
  <c r="AM419" i="1"/>
  <c r="E417" i="4" s="1"/>
  <c r="AL423" i="1"/>
  <c r="D421" i="4" s="1"/>
  <c r="AL434" i="1"/>
  <c r="D432" i="4" s="1"/>
  <c r="AM441" i="1"/>
  <c r="E439" i="4" s="1"/>
  <c r="AJ453" i="1"/>
  <c r="B451" i="4" s="1"/>
  <c r="AK457" i="1"/>
  <c r="C455" i="4" s="1"/>
  <c r="AK460" i="1"/>
  <c r="C458" i="4" s="1"/>
  <c r="AJ469" i="1"/>
  <c r="B467" i="4" s="1"/>
  <c r="AK472" i="1"/>
  <c r="C470" i="4" s="1"/>
  <c r="AL476" i="1"/>
  <c r="D474" i="4" s="1"/>
  <c r="AM479" i="1"/>
  <c r="E477" i="4" s="1"/>
  <c r="AL483" i="1"/>
  <c r="D481" i="4" s="1"/>
  <c r="AK488" i="1"/>
  <c r="C486" i="4" s="1"/>
  <c r="AJ493" i="1"/>
  <c r="B491" i="4" s="1"/>
  <c r="AJ496" i="1"/>
  <c r="B494" i="4" s="1"/>
  <c r="AM500" i="1"/>
  <c r="E498" i="4" s="1"/>
  <c r="AL505" i="1"/>
  <c r="D503" i="4" s="1"/>
  <c r="AM508" i="1"/>
  <c r="E506" i="4" s="1"/>
  <c r="AL517" i="1"/>
  <c r="D515" i="4" s="1"/>
  <c r="AM520" i="1"/>
  <c r="E518" i="4" s="1"/>
  <c r="AM524" i="1"/>
  <c r="E522" i="4" s="1"/>
  <c r="AK529" i="1"/>
  <c r="C527" i="4" s="1"/>
  <c r="AM532" i="1"/>
  <c r="E530" i="4" s="1"/>
  <c r="AJ87" i="1"/>
  <c r="B85" i="4" s="1"/>
  <c r="AJ153" i="1"/>
  <c r="B151" i="4" s="1"/>
  <c r="AJ171" i="1"/>
  <c r="B169" i="4" s="1"/>
  <c r="AJ249" i="1"/>
  <c r="B247" i="4" s="1"/>
  <c r="AL252" i="1"/>
  <c r="D250" i="4" s="1"/>
  <c r="AJ259" i="1"/>
  <c r="B257" i="4" s="1"/>
  <c r="AK262" i="1"/>
  <c r="C260" i="4" s="1"/>
  <c r="AL265" i="1"/>
  <c r="D263" i="4" s="1"/>
  <c r="AJ269" i="1"/>
  <c r="B267" i="4" s="1"/>
  <c r="AJ273" i="1"/>
  <c r="B271" i="4" s="1"/>
  <c r="AL276" i="1"/>
  <c r="D274" i="4" s="1"/>
  <c r="AK286" i="1"/>
  <c r="C284" i="4" s="1"/>
  <c r="AK293" i="1"/>
  <c r="C291" i="4" s="1"/>
  <c r="AK297" i="1"/>
  <c r="C295" i="4" s="1"/>
  <c r="AJ301" i="1"/>
  <c r="B299" i="4" s="1"/>
  <c r="AM304" i="1"/>
  <c r="E302" i="4" s="1"/>
  <c r="AM307" i="1"/>
  <c r="E305" i="4" s="1"/>
  <c r="AL315" i="1"/>
  <c r="D313" i="4" s="1"/>
  <c r="AM321" i="1"/>
  <c r="E319" i="4" s="1"/>
  <c r="AJ325" i="1"/>
  <c r="B323" i="4" s="1"/>
  <c r="AL328" i="1"/>
  <c r="D326" i="4" s="1"/>
  <c r="AL331" i="1"/>
  <c r="D329" i="4" s="1"/>
  <c r="AK334" i="1"/>
  <c r="C332" i="4" s="1"/>
  <c r="AL337" i="1"/>
  <c r="D335" i="4" s="1"/>
  <c r="AM345" i="1"/>
  <c r="E343" i="4" s="1"/>
  <c r="AL349" i="1"/>
  <c r="D347" i="4" s="1"/>
  <c r="AM352" i="1"/>
  <c r="E350" i="4" s="1"/>
  <c r="AK357" i="1"/>
  <c r="C355" i="4" s="1"/>
  <c r="AK361" i="1"/>
  <c r="C359" i="4" s="1"/>
  <c r="AL364" i="1"/>
  <c r="D362" i="4" s="1"/>
  <c r="AK369" i="1"/>
  <c r="C367" i="4" s="1"/>
  <c r="AL373" i="1"/>
  <c r="D371" i="4" s="1"/>
  <c r="AM376" i="1"/>
  <c r="E374" i="4" s="1"/>
  <c r="AK381" i="1"/>
  <c r="C379" i="4" s="1"/>
  <c r="AL385" i="1"/>
  <c r="D383" i="4" s="1"/>
  <c r="AM388" i="1"/>
  <c r="E386" i="4" s="1"/>
  <c r="AJ393" i="1"/>
  <c r="B391" i="4" s="1"/>
  <c r="AK397" i="1"/>
  <c r="C395" i="4" s="1"/>
  <c r="AL400" i="1"/>
  <c r="D398" i="4" s="1"/>
  <c r="AJ409" i="1"/>
  <c r="B407" i="4" s="1"/>
  <c r="AK412" i="1"/>
  <c r="C410" i="4" s="1"/>
  <c r="AL416" i="1"/>
  <c r="D414" i="4" s="1"/>
  <c r="AJ428" i="1"/>
  <c r="B426" i="4" s="1"/>
  <c r="AL431" i="1"/>
  <c r="D429" i="4" s="1"/>
  <c r="AM434" i="1"/>
  <c r="E432" i="4" s="1"/>
  <c r="AJ446" i="1"/>
  <c r="B444" i="4" s="1"/>
  <c r="AJ449" i="1"/>
  <c r="B447" i="4" s="1"/>
  <c r="AK453" i="1"/>
  <c r="C451" i="4" s="1"/>
  <c r="AL457" i="1"/>
  <c r="D455" i="4" s="1"/>
  <c r="AL460" i="1"/>
  <c r="D458" i="4" s="1"/>
  <c r="AJ465" i="1"/>
  <c r="B463" i="4" s="1"/>
  <c r="AK469" i="1"/>
  <c r="C467" i="4" s="1"/>
  <c r="AL472" i="1"/>
  <c r="D470" i="4" s="1"/>
  <c r="AM476" i="1"/>
  <c r="E474" i="4" s="1"/>
  <c r="AL488" i="1"/>
  <c r="D486" i="4" s="1"/>
  <c r="AK493" i="1"/>
  <c r="C491" i="4" s="1"/>
  <c r="AL496" i="1"/>
  <c r="D494" i="4" s="1"/>
  <c r="AM505" i="1"/>
  <c r="E503" i="4" s="1"/>
  <c r="AK513" i="1"/>
  <c r="C511" i="4" s="1"/>
  <c r="AM517" i="1"/>
  <c r="E515" i="4" s="1"/>
  <c r="AL529" i="1"/>
  <c r="D527" i="4" s="1"/>
  <c r="AJ537" i="1"/>
  <c r="B535" i="4" s="1"/>
  <c r="AJ541" i="1"/>
  <c r="B539" i="4" s="1"/>
  <c r="AK106" i="1"/>
  <c r="C104" i="4" s="1"/>
  <c r="AJ135" i="1"/>
  <c r="B133" i="4" s="1"/>
  <c r="AK190" i="1"/>
  <c r="C188" i="4" s="1"/>
  <c r="AL209" i="1"/>
  <c r="D207" i="4" s="1"/>
  <c r="AK244" i="1"/>
  <c r="C242" i="4" s="1"/>
  <c r="AK249" i="1"/>
  <c r="C247" i="4" s="1"/>
  <c r="AM252" i="1"/>
  <c r="E250" i="4" s="1"/>
  <c r="AK256" i="1"/>
  <c r="C254" i="4" s="1"/>
  <c r="AK259" i="1"/>
  <c r="C257" i="4" s="1"/>
  <c r="AM262" i="1"/>
  <c r="E260" i="4" s="1"/>
  <c r="AM265" i="1"/>
  <c r="E263" i="4" s="1"/>
  <c r="AK269" i="1"/>
  <c r="C267" i="4" s="1"/>
  <c r="AK273" i="1"/>
  <c r="C271" i="4" s="1"/>
  <c r="AM276" i="1"/>
  <c r="E274" i="4" s="1"/>
  <c r="AJ280" i="1"/>
  <c r="B278" i="4" s="1"/>
  <c r="AJ283" i="1"/>
  <c r="B281" i="4" s="1"/>
  <c r="AM286" i="1"/>
  <c r="E284" i="4" s="1"/>
  <c r="AL293" i="1"/>
  <c r="D291" i="4" s="1"/>
  <c r="AL297" i="1"/>
  <c r="D295" i="4" s="1"/>
  <c r="AK301" i="1"/>
  <c r="C299" i="4" s="1"/>
  <c r="AK312" i="1"/>
  <c r="C310" i="4" s="1"/>
  <c r="AM315" i="1"/>
  <c r="E313" i="4" s="1"/>
  <c r="AJ318" i="1"/>
  <c r="B316" i="4" s="1"/>
  <c r="AK325" i="1"/>
  <c r="C323" i="4" s="1"/>
  <c r="AM328" i="1"/>
  <c r="E326" i="4" s="1"/>
  <c r="AM331" i="1"/>
  <c r="E329" i="4" s="1"/>
  <c r="AM334" i="1"/>
  <c r="E332" i="4" s="1"/>
  <c r="AM337" i="1"/>
  <c r="E335" i="4" s="1"/>
  <c r="AL342" i="1"/>
  <c r="D340" i="4" s="1"/>
  <c r="AM349" i="1"/>
  <c r="E347" i="4" s="1"/>
  <c r="AL357" i="1"/>
  <c r="D355" i="4" s="1"/>
  <c r="AL361" i="1"/>
  <c r="D359" i="4" s="1"/>
  <c r="AM364" i="1"/>
  <c r="E362" i="4" s="1"/>
  <c r="AL369" i="1"/>
  <c r="D367" i="4" s="1"/>
  <c r="AM373" i="1"/>
  <c r="E371" i="4" s="1"/>
  <c r="AL381" i="1"/>
  <c r="D379" i="4" s="1"/>
  <c r="AM385" i="1"/>
  <c r="E383" i="4" s="1"/>
  <c r="AK393" i="1"/>
  <c r="C391" i="4" s="1"/>
  <c r="AL397" i="1"/>
  <c r="D395" i="4" s="1"/>
  <c r="AM400" i="1"/>
  <c r="E398" i="4" s="1"/>
  <c r="AJ405" i="1"/>
  <c r="B403" i="4" s="1"/>
  <c r="AK409" i="1"/>
  <c r="C407" i="4" s="1"/>
  <c r="AL412" i="1"/>
  <c r="D410" i="4" s="1"/>
  <c r="AM416" i="1"/>
  <c r="E414" i="4" s="1"/>
  <c r="AJ424" i="1"/>
  <c r="B422" i="4" s="1"/>
  <c r="AK428" i="1"/>
  <c r="C426" i="4" s="1"/>
  <c r="AM431" i="1"/>
  <c r="E429" i="4" s="1"/>
  <c r="AJ439" i="1"/>
  <c r="B437" i="4" s="1"/>
  <c r="AM442" i="1"/>
  <c r="E440" i="4" s="1"/>
  <c r="AK446" i="1"/>
  <c r="C444" i="4" s="1"/>
  <c r="AK449" i="1"/>
  <c r="C447" i="4" s="1"/>
  <c r="AL453" i="1"/>
  <c r="D451" i="4" s="1"/>
  <c r="AM457" i="1"/>
  <c r="E455" i="4" s="1"/>
  <c r="AM460" i="1"/>
  <c r="E458" i="4" s="1"/>
  <c r="AK465" i="1"/>
  <c r="C463" i="4" s="1"/>
  <c r="AL469" i="1"/>
  <c r="D467" i="4" s="1"/>
  <c r="AM472" i="1"/>
  <c r="E470" i="4" s="1"/>
  <c r="AJ484" i="1"/>
  <c r="B482" i="4" s="1"/>
  <c r="AM488" i="1"/>
  <c r="E486" i="4" s="1"/>
  <c r="AL493" i="1"/>
  <c r="D491" i="4" s="1"/>
  <c r="AM496" i="1"/>
  <c r="E494" i="4" s="1"/>
  <c r="AK501" i="1"/>
  <c r="C499" i="4" s="1"/>
  <c r="AJ509" i="1"/>
  <c r="B507" i="4" s="1"/>
  <c r="AL513" i="1"/>
  <c r="D511" i="4" s="1"/>
  <c r="AJ521" i="1"/>
  <c r="B519" i="4" s="1"/>
  <c r="AK525" i="1"/>
  <c r="C523" i="4" s="1"/>
  <c r="AM529" i="1"/>
  <c r="E527" i="4" s="1"/>
  <c r="AJ533" i="1"/>
  <c r="B531" i="4" s="1"/>
  <c r="AK537" i="1"/>
  <c r="C535" i="4" s="1"/>
  <c r="AK541" i="1"/>
  <c r="C539" i="4" s="1"/>
  <c r="AJ117" i="1"/>
  <c r="B115" i="4" s="1"/>
  <c r="AK154" i="1"/>
  <c r="C152" i="4" s="1"/>
  <c r="AJ201" i="1"/>
  <c r="B199" i="4" s="1"/>
  <c r="AK238" i="1"/>
  <c r="C236" i="4" s="1"/>
  <c r="AM249" i="1"/>
  <c r="E247" i="4" s="1"/>
  <c r="AL256" i="1"/>
  <c r="D254" i="4" s="1"/>
  <c r="AL259" i="1"/>
  <c r="D257" i="4" s="1"/>
  <c r="AL269" i="1"/>
  <c r="D267" i="4" s="1"/>
  <c r="AL273" i="1"/>
  <c r="D271" i="4" s="1"/>
  <c r="AK280" i="1"/>
  <c r="C278" i="4" s="1"/>
  <c r="AL283" i="1"/>
  <c r="D281" i="4" s="1"/>
  <c r="AJ291" i="1"/>
  <c r="B289" i="4" s="1"/>
  <c r="AM297" i="1"/>
  <c r="E295" i="4" s="1"/>
  <c r="AL301" i="1"/>
  <c r="D299" i="4" s="1"/>
  <c r="AJ305" i="1"/>
  <c r="B303" i="4" s="1"/>
  <c r="AL312" i="1"/>
  <c r="D310" i="4" s="1"/>
  <c r="AM318" i="1"/>
  <c r="E316" i="4" s="1"/>
  <c r="AJ322" i="1"/>
  <c r="B320" i="4" s="1"/>
  <c r="AL325" i="1"/>
  <c r="D323" i="4" s="1"/>
  <c r="AM342" i="1"/>
  <c r="E340" i="4" s="1"/>
  <c r="AJ346" i="1"/>
  <c r="B344" i="4" s="1"/>
  <c r="AM357" i="1"/>
  <c r="E355" i="4" s="1"/>
  <c r="AM361" i="1"/>
  <c r="E359" i="4" s="1"/>
  <c r="AM369" i="1"/>
  <c r="E367" i="4" s="1"/>
  <c r="AM381" i="1"/>
  <c r="E379" i="4" s="1"/>
  <c r="AJ389" i="1"/>
  <c r="B387" i="4" s="1"/>
  <c r="AL393" i="1"/>
  <c r="D391" i="4" s="1"/>
  <c r="AM397" i="1"/>
  <c r="E395" i="4" s="1"/>
  <c r="AK405" i="1"/>
  <c r="C403" i="4" s="1"/>
  <c r="AL409" i="1"/>
  <c r="D407" i="4" s="1"/>
  <c r="AM412" i="1"/>
  <c r="E410" i="4" s="1"/>
  <c r="AJ421" i="1"/>
  <c r="B419" i="4" s="1"/>
  <c r="AK424" i="1"/>
  <c r="C422" i="4" s="1"/>
  <c r="AL428" i="1"/>
  <c r="D426" i="4" s="1"/>
  <c r="AL435" i="1"/>
  <c r="D433" i="4" s="1"/>
  <c r="AL446" i="1"/>
  <c r="D444" i="4" s="1"/>
  <c r="AM453" i="1"/>
  <c r="E451" i="4" s="1"/>
  <c r="AL465" i="1"/>
  <c r="D463" i="4" s="1"/>
  <c r="AM469" i="1"/>
  <c r="E467" i="4" s="1"/>
  <c r="AJ477" i="1"/>
  <c r="B475" i="4" s="1"/>
  <c r="AJ481" i="1"/>
  <c r="B479" i="4" s="1"/>
  <c r="AK484" i="1"/>
  <c r="C482" i="4" s="1"/>
  <c r="AM493" i="1"/>
  <c r="E491" i="4" s="1"/>
  <c r="AL501" i="1"/>
  <c r="D499" i="4" s="1"/>
  <c r="AJ506" i="1"/>
  <c r="B504" i="4" s="1"/>
  <c r="AK509" i="1"/>
  <c r="C507" i="4" s="1"/>
  <c r="AJ518" i="1"/>
  <c r="B516" i="4" s="1"/>
  <c r="AK521" i="1"/>
  <c r="C519" i="4" s="1"/>
  <c r="AL525" i="1"/>
  <c r="D523" i="4" s="1"/>
  <c r="AK533" i="1"/>
  <c r="C531" i="4" s="1"/>
  <c r="AL537" i="1"/>
  <c r="D535" i="4" s="1"/>
  <c r="AL89" i="1"/>
  <c r="D87" i="4" s="1"/>
  <c r="AL173" i="1"/>
  <c r="D171" i="4" s="1"/>
  <c r="AJ219" i="1"/>
  <c r="B217" i="4" s="1"/>
  <c r="AL245" i="1"/>
  <c r="D243" i="4" s="1"/>
  <c r="AJ253" i="1"/>
  <c r="B251" i="4" s="1"/>
  <c r="AM256" i="1"/>
  <c r="E254" i="4" s="1"/>
  <c r="AM259" i="1"/>
  <c r="E257" i="4" s="1"/>
  <c r="AL263" i="1"/>
  <c r="D261" i="4" s="1"/>
  <c r="AM273" i="1"/>
  <c r="E271" i="4" s="1"/>
  <c r="AJ277" i="1"/>
  <c r="B275" i="4" s="1"/>
  <c r="AL280" i="1"/>
  <c r="D278" i="4" s="1"/>
  <c r="AM283" i="1"/>
  <c r="E281" i="4" s="1"/>
  <c r="AL291" i="1"/>
  <c r="D289" i="4" s="1"/>
  <c r="AJ294" i="1"/>
  <c r="B292" i="4" s="1"/>
  <c r="AM301" i="1"/>
  <c r="E299" i="4" s="1"/>
  <c r="AK305" i="1"/>
  <c r="C303" i="4" s="1"/>
  <c r="AJ309" i="1"/>
  <c r="B307" i="4" s="1"/>
  <c r="AM312" i="1"/>
  <c r="E310" i="4" s="1"/>
  <c r="AJ316" i="1"/>
  <c r="B314" i="4" s="1"/>
  <c r="AK322" i="1"/>
  <c r="C320" i="4" s="1"/>
  <c r="AM325" i="1"/>
  <c r="E323" i="4" s="1"/>
  <c r="AJ329" i="1"/>
  <c r="B327" i="4" s="1"/>
  <c r="AK332" i="1"/>
  <c r="C330" i="4" s="1"/>
  <c r="AL335" i="1"/>
  <c r="D333" i="4" s="1"/>
  <c r="AK346" i="1"/>
  <c r="C344" i="4" s="1"/>
  <c r="AJ350" i="1"/>
  <c r="B348" i="4" s="1"/>
  <c r="AM354" i="1"/>
  <c r="E352" i="4" s="1"/>
  <c r="AJ374" i="1"/>
  <c r="B372" i="4" s="1"/>
  <c r="AJ386" i="1"/>
  <c r="B384" i="4" s="1"/>
  <c r="AM393" i="1"/>
  <c r="E391" i="4" s="1"/>
  <c r="AJ401" i="1"/>
  <c r="B399" i="4" s="1"/>
  <c r="AL405" i="1"/>
  <c r="D403" i="4" s="1"/>
  <c r="AM409" i="1"/>
  <c r="E407" i="4" s="1"/>
  <c r="AJ417" i="1"/>
  <c r="B415" i="4" s="1"/>
  <c r="AK421" i="1"/>
  <c r="C419" i="4" s="1"/>
  <c r="AL424" i="1"/>
  <c r="D422" i="4" s="1"/>
  <c r="AM428" i="1"/>
  <c r="E426" i="4" s="1"/>
  <c r="AJ440" i="1"/>
  <c r="B438" i="4" s="1"/>
  <c r="AL443" i="1"/>
  <c r="D441" i="4" s="1"/>
  <c r="AM446" i="1"/>
  <c r="E444" i="4" s="1"/>
  <c r="AJ458" i="1"/>
  <c r="B456" i="4" s="1"/>
  <c r="AJ461" i="1"/>
  <c r="B459" i="4" s="1"/>
  <c r="AM465" i="1"/>
  <c r="E463" i="4" s="1"/>
  <c r="AJ473" i="1"/>
  <c r="B471" i="4" s="1"/>
  <c r="AK477" i="1"/>
  <c r="C475" i="4" s="1"/>
  <c r="AK481" i="1"/>
  <c r="C479" i="4" s="1"/>
  <c r="AL484" i="1"/>
  <c r="D482" i="4" s="1"/>
  <c r="AK489" i="1"/>
  <c r="C487" i="4" s="1"/>
  <c r="AJ497" i="1"/>
  <c r="B495" i="4" s="1"/>
  <c r="AK506" i="1"/>
  <c r="C504" i="4" s="1"/>
  <c r="AM514" i="1"/>
  <c r="E512" i="4" s="1"/>
  <c r="AK518" i="1"/>
  <c r="C516" i="4" s="1"/>
  <c r="AL521" i="1"/>
  <c r="D519" i="4" s="1"/>
  <c r="AJ530" i="1"/>
  <c r="B528" i="4" s="1"/>
  <c r="AL533" i="1"/>
  <c r="D531" i="4" s="1"/>
  <c r="AM537" i="1"/>
  <c r="E535" i="4" s="1"/>
  <c r="AJ99" i="1"/>
  <c r="B97" i="4" s="1"/>
  <c r="AK118" i="1"/>
  <c r="C116" i="4" s="1"/>
  <c r="AJ147" i="1"/>
  <c r="B145" i="4" s="1"/>
  <c r="AJ165" i="1"/>
  <c r="B163" i="4" s="1"/>
  <c r="AJ183" i="1"/>
  <c r="B181" i="4" s="1"/>
  <c r="AK202" i="1"/>
  <c r="C200" i="4" s="1"/>
  <c r="AJ250" i="1"/>
  <c r="B248" i="4" s="1"/>
  <c r="AK253" i="1"/>
  <c r="C251" i="4" s="1"/>
  <c r="AJ267" i="1"/>
  <c r="B265" i="4" s="1"/>
  <c r="AJ270" i="1"/>
  <c r="B268" i="4" s="1"/>
  <c r="AK277" i="1"/>
  <c r="C275" i="4" s="1"/>
  <c r="AM280" i="1"/>
  <c r="E278" i="4" s="1"/>
  <c r="AK288" i="1"/>
  <c r="C286" i="4" s="1"/>
  <c r="AM291" i="1"/>
  <c r="E289" i="4" s="1"/>
  <c r="AM294" i="1"/>
  <c r="E292" i="4" s="1"/>
  <c r="AJ298" i="1"/>
  <c r="B296" i="4" s="1"/>
  <c r="AL305" i="1"/>
  <c r="D303" i="4" s="1"/>
  <c r="AK309" i="1"/>
  <c r="C307" i="4" s="1"/>
  <c r="AK316" i="1"/>
  <c r="C314" i="4" s="1"/>
  <c r="AJ319" i="1"/>
  <c r="B317" i="4" s="1"/>
  <c r="AM322" i="1"/>
  <c r="E320" i="4" s="1"/>
  <c r="AK329" i="1"/>
  <c r="C327" i="4" s="1"/>
  <c r="AL332" i="1"/>
  <c r="D330" i="4" s="1"/>
  <c r="AJ343" i="1"/>
  <c r="B341" i="4" s="1"/>
  <c r="AM346" i="1"/>
  <c r="E344" i="4" s="1"/>
  <c r="AK350" i="1"/>
  <c r="C348" i="4" s="1"/>
  <c r="AJ358" i="1"/>
  <c r="B356" i="4" s="1"/>
  <c r="AJ362" i="1"/>
  <c r="B360" i="4" s="1"/>
  <c r="AM370" i="1"/>
  <c r="E368" i="4" s="1"/>
  <c r="AK374" i="1"/>
  <c r="C372" i="4" s="1"/>
  <c r="AJ379" i="1"/>
  <c r="B377" i="4" s="1"/>
  <c r="AM382" i="1"/>
  <c r="E380" i="4" s="1"/>
  <c r="AK386" i="1"/>
  <c r="C384" i="4" s="1"/>
  <c r="AJ398" i="1"/>
  <c r="B396" i="4" s="1"/>
  <c r="AM405" i="1"/>
  <c r="E403" i="4" s="1"/>
  <c r="AJ413" i="1"/>
  <c r="B411" i="4" s="1"/>
  <c r="AK417" i="1"/>
  <c r="C415" i="4" s="1"/>
  <c r="AL421" i="1"/>
  <c r="D419" i="4" s="1"/>
  <c r="AM424" i="1"/>
  <c r="E422" i="4" s="1"/>
  <c r="AJ433" i="1"/>
  <c r="B431" i="4" s="1"/>
  <c r="AJ436" i="1"/>
  <c r="B434" i="4" s="1"/>
  <c r="AK440" i="1"/>
  <c r="C438" i="4" s="1"/>
  <c r="AM443" i="1"/>
  <c r="E441" i="4" s="1"/>
  <c r="AJ451" i="1"/>
  <c r="B449" i="4" s="1"/>
  <c r="AM454" i="1"/>
  <c r="E452" i="4" s="1"/>
  <c r="AK458" i="1"/>
  <c r="C456" i="4" s="1"/>
  <c r="AK461" i="1"/>
  <c r="C459" i="4" s="1"/>
  <c r="AJ470" i="1"/>
  <c r="B468" i="4" s="1"/>
  <c r="AK473" i="1"/>
  <c r="C471" i="4" s="1"/>
  <c r="AL477" i="1"/>
  <c r="D475" i="4" s="1"/>
  <c r="AL481" i="1"/>
  <c r="D479" i="4" s="1"/>
  <c r="AM484" i="1"/>
  <c r="E482" i="4" s="1"/>
  <c r="AL489" i="1"/>
  <c r="D487" i="4" s="1"/>
  <c r="AJ494" i="1"/>
  <c r="B492" i="4" s="1"/>
  <c r="AK497" i="1"/>
  <c r="C495" i="4" s="1"/>
  <c r="AM502" i="1"/>
  <c r="E500" i="4" s="1"/>
  <c r="AL506" i="1"/>
  <c r="D504" i="4" s="1"/>
  <c r="AL518" i="1"/>
  <c r="D516" i="4" s="1"/>
  <c r="AM521" i="1"/>
  <c r="E519" i="4" s="1"/>
  <c r="AM526" i="1"/>
  <c r="E524" i="4" s="1"/>
  <c r="AK530" i="1"/>
  <c r="C528" i="4" s="1"/>
  <c r="AM533" i="1"/>
  <c r="E531" i="4" s="1"/>
  <c r="AJ285" i="1"/>
  <c r="B283" i="4" s="1"/>
  <c r="AK336" i="1"/>
  <c r="C334" i="4" s="1"/>
  <c r="AL383" i="1"/>
  <c r="D381" i="4" s="1"/>
  <c r="AK410" i="1"/>
  <c r="C408" i="4" s="1"/>
  <c r="AK436" i="1"/>
  <c r="C434" i="4" s="1"/>
  <c r="AM530" i="1"/>
  <c r="E528" i="4" s="1"/>
  <c r="AM544" i="1"/>
  <c r="E542" i="4" s="1"/>
  <c r="AM560" i="1"/>
  <c r="E558" i="4" s="1"/>
  <c r="AL567" i="1"/>
  <c r="D565" i="4" s="1"/>
  <c r="AJ572" i="1"/>
  <c r="B570" i="4" s="1"/>
  <c r="AJ575" i="1"/>
  <c r="B573" i="4" s="1"/>
  <c r="AJ578" i="1"/>
  <c r="B576" i="4" s="1"/>
  <c r="AL582" i="1"/>
  <c r="D580" i="4" s="1"/>
  <c r="AM586" i="1"/>
  <c r="E584" i="4" s="1"/>
  <c r="AK590" i="1"/>
  <c r="C588" i="4" s="1"/>
  <c r="AL594" i="1"/>
  <c r="D592" i="4" s="1"/>
  <c r="AM598" i="1"/>
  <c r="E596" i="4" s="1"/>
  <c r="AK602" i="1"/>
  <c r="C600" i="4" s="1"/>
  <c r="AL606" i="1"/>
  <c r="D604" i="4" s="1"/>
  <c r="AM610" i="1"/>
  <c r="E608" i="4" s="1"/>
  <c r="AK614" i="1"/>
  <c r="C612" i="4" s="1"/>
  <c r="AL618" i="1"/>
  <c r="D616" i="4" s="1"/>
  <c r="AM622" i="1"/>
  <c r="E620" i="4" s="1"/>
  <c r="AK626" i="1"/>
  <c r="C624" i="4" s="1"/>
  <c r="AL630" i="1"/>
  <c r="D628" i="4" s="1"/>
  <c r="AM634" i="1"/>
  <c r="E632" i="4" s="1"/>
  <c r="AK638" i="1"/>
  <c r="C636" i="4" s="1"/>
  <c r="AL642" i="1"/>
  <c r="D640" i="4" s="1"/>
  <c r="AL646" i="1"/>
  <c r="D644" i="4" s="1"/>
  <c r="AJ654" i="1"/>
  <c r="B652" i="4" s="1"/>
  <c r="AJ658" i="1"/>
  <c r="B656" i="4" s="1"/>
  <c r="AL661" i="1"/>
  <c r="D659" i="4" s="1"/>
  <c r="AM665" i="1"/>
  <c r="E663" i="4" s="1"/>
  <c r="AK673" i="1"/>
  <c r="C671" i="4" s="1"/>
  <c r="AK677" i="1"/>
  <c r="C675" i="4" s="1"/>
  <c r="AL685" i="1"/>
  <c r="D683" i="4" s="1"/>
  <c r="AM689" i="1"/>
  <c r="E687" i="4" s="1"/>
  <c r="AJ694" i="1"/>
  <c r="B692" i="4" s="1"/>
  <c r="AL697" i="1"/>
  <c r="D695" i="4" s="1"/>
  <c r="AM701" i="1"/>
  <c r="E699" i="4" s="1"/>
  <c r="AJ706" i="1"/>
  <c r="B704" i="4" s="1"/>
  <c r="AL709" i="1"/>
  <c r="D707" i="4" s="1"/>
  <c r="AK713" i="1"/>
  <c r="C711" i="4" s="1"/>
  <c r="AJ721" i="1"/>
  <c r="B719" i="4" s="1"/>
  <c r="AL732" i="1"/>
  <c r="D730" i="4" s="1"/>
  <c r="AJ736" i="1"/>
  <c r="B734" i="4" s="1"/>
  <c r="AL740" i="1"/>
  <c r="D738" i="4" s="1"/>
  <c r="AJ744" i="1"/>
  <c r="B742" i="4" s="1"/>
  <c r="AM746" i="1"/>
  <c r="E744" i="4" s="1"/>
  <c r="AK755" i="1"/>
  <c r="C753" i="4" s="1"/>
  <c r="AK758" i="1"/>
  <c r="C756" i="4" s="1"/>
  <c r="AM778" i="1"/>
  <c r="E776" i="4" s="1"/>
  <c r="AM781" i="1"/>
  <c r="E779" i="4" s="1"/>
  <c r="AM785" i="1"/>
  <c r="E783" i="4" s="1"/>
  <c r="AJ790" i="1"/>
  <c r="B788" i="4" s="1"/>
  <c r="AJ793" i="1"/>
  <c r="B791" i="4" s="1"/>
  <c r="AM800" i="1"/>
  <c r="E798" i="4" s="1"/>
  <c r="AK804" i="1"/>
  <c r="C802" i="4" s="1"/>
  <c r="AJ808" i="1"/>
  <c r="B806" i="4" s="1"/>
  <c r="AL812" i="1"/>
  <c r="D810" i="4" s="1"/>
  <c r="AM823" i="1"/>
  <c r="E821" i="4" s="1"/>
  <c r="AJ836" i="1"/>
  <c r="B834" i="4" s="1"/>
  <c r="AK166" i="1"/>
  <c r="C164" i="4" s="1"/>
  <c r="AJ213" i="1"/>
  <c r="B211" i="4" s="1"/>
  <c r="AJ246" i="1"/>
  <c r="B244" i="4" s="1"/>
  <c r="AM253" i="1"/>
  <c r="E251" i="4" s="1"/>
  <c r="AM277" i="1"/>
  <c r="E275" i="4" s="1"/>
  <c r="AJ295" i="1"/>
  <c r="B293" i="4" s="1"/>
  <c r="AL319" i="1"/>
  <c r="D317" i="4" s="1"/>
  <c r="AL329" i="1"/>
  <c r="D327" i="4" s="1"/>
  <c r="AL375" i="1"/>
  <c r="D373" i="4" s="1"/>
  <c r="AM394" i="1"/>
  <c r="E392" i="4" s="1"/>
  <c r="AJ403" i="1"/>
  <c r="B401" i="4" s="1"/>
  <c r="AK429" i="1"/>
  <c r="C427" i="4" s="1"/>
  <c r="AK494" i="1"/>
  <c r="C492" i="4" s="1"/>
  <c r="AM541" i="1"/>
  <c r="E539" i="4" s="1"/>
  <c r="AJ545" i="1"/>
  <c r="B543" i="4" s="1"/>
  <c r="AK549" i="1"/>
  <c r="C547" i="4" s="1"/>
  <c r="AK553" i="1"/>
  <c r="C551" i="4" s="1"/>
  <c r="AM556" i="1"/>
  <c r="E554" i="4" s="1"/>
  <c r="AJ561" i="1"/>
  <c r="B559" i="4" s="1"/>
  <c r="AJ565" i="1"/>
  <c r="B563" i="4" s="1"/>
  <c r="AL568" i="1"/>
  <c r="D566" i="4" s="1"/>
  <c r="AL572" i="1"/>
  <c r="D570" i="4" s="1"/>
  <c r="AM575" i="1"/>
  <c r="E573" i="4" s="1"/>
  <c r="AK587" i="1"/>
  <c r="C585" i="4" s="1"/>
  <c r="AK599" i="1"/>
  <c r="C597" i="4" s="1"/>
  <c r="AK611" i="1"/>
  <c r="C609" i="4" s="1"/>
  <c r="AK623" i="1"/>
  <c r="C621" i="4" s="1"/>
  <c r="AK635" i="1"/>
  <c r="C633" i="4" s="1"/>
  <c r="AM643" i="1"/>
  <c r="E641" i="4" s="1"/>
  <c r="AK650" i="1"/>
  <c r="C648" i="4" s="1"/>
  <c r="AL654" i="1"/>
  <c r="D652" i="4" s="1"/>
  <c r="AM658" i="1"/>
  <c r="E656" i="4" s="1"/>
  <c r="AK666" i="1"/>
  <c r="C664" i="4" s="1"/>
  <c r="AL670" i="1"/>
  <c r="D668" i="4" s="1"/>
  <c r="AM673" i="1"/>
  <c r="E671" i="4" s="1"/>
  <c r="AL682" i="1"/>
  <c r="D680" i="4" s="1"/>
  <c r="AL690" i="1"/>
  <c r="D688" i="4" s="1"/>
  <c r="AM694" i="1"/>
  <c r="E692" i="4" s="1"/>
  <c r="AL702" i="1"/>
  <c r="D700" i="4" s="1"/>
  <c r="AM706" i="1"/>
  <c r="E704" i="4" s="1"/>
  <c r="AL718" i="1"/>
  <c r="D716" i="4" s="1"/>
  <c r="AM721" i="1"/>
  <c r="E719" i="4" s="1"/>
  <c r="AM725" i="1"/>
  <c r="E723" i="4" s="1"/>
  <c r="AJ730" i="1"/>
  <c r="B728" i="4" s="1"/>
  <c r="AJ733" i="1"/>
  <c r="B731" i="4" s="1"/>
  <c r="AL744" i="1"/>
  <c r="D742" i="4" s="1"/>
  <c r="AK752" i="1"/>
  <c r="C750" i="4" s="1"/>
  <c r="AM758" i="1"/>
  <c r="E756" i="4" s="1"/>
  <c r="AK767" i="1"/>
  <c r="C765" i="4" s="1"/>
  <c r="AK770" i="1"/>
  <c r="C768" i="4" s="1"/>
  <c r="AJ779" i="1"/>
  <c r="B777" i="4" s="1"/>
  <c r="AJ782" i="1"/>
  <c r="B780" i="4" s="1"/>
  <c r="AL786" i="1"/>
  <c r="D784" i="4" s="1"/>
  <c r="AM790" i="1"/>
  <c r="E788" i="4" s="1"/>
  <c r="AM793" i="1"/>
  <c r="E791" i="4" s="1"/>
  <c r="AK797" i="1"/>
  <c r="C795" i="4" s="1"/>
  <c r="AK801" i="1"/>
  <c r="C799" i="4" s="1"/>
  <c r="AK816" i="1"/>
  <c r="C814" i="4" s="1"/>
  <c r="AJ824" i="1"/>
  <c r="B822" i="4" s="1"/>
  <c r="AL828" i="1"/>
  <c r="D826" i="4" s="1"/>
  <c r="AM833" i="1"/>
  <c r="E831" i="4" s="1"/>
  <c r="AL288" i="1"/>
  <c r="D286" i="4" s="1"/>
  <c r="AK313" i="1"/>
  <c r="C311" i="4" s="1"/>
  <c r="AJ367" i="1"/>
  <c r="B365" i="4" s="1"/>
  <c r="AK413" i="1"/>
  <c r="C411" i="4" s="1"/>
  <c r="AJ515" i="1"/>
  <c r="B513" i="4" s="1"/>
  <c r="AJ542" i="1"/>
  <c r="B540" i="4" s="1"/>
  <c r="AM549" i="1"/>
  <c r="E547" i="4" s="1"/>
  <c r="AM553" i="1"/>
  <c r="E551" i="4" s="1"/>
  <c r="AJ557" i="1"/>
  <c r="B555" i="4" s="1"/>
  <c r="AL561" i="1"/>
  <c r="D559" i="4" s="1"/>
  <c r="AL565" i="1"/>
  <c r="D563" i="4" s="1"/>
  <c r="AK576" i="1"/>
  <c r="C574" i="4" s="1"/>
  <c r="AJ580" i="1"/>
  <c r="B578" i="4" s="1"/>
  <c r="AK584" i="1"/>
  <c r="C582" i="4" s="1"/>
  <c r="AJ592" i="1"/>
  <c r="B590" i="4" s="1"/>
  <c r="AK596" i="1"/>
  <c r="C594" i="4" s="1"/>
  <c r="AJ604" i="1"/>
  <c r="B602" i="4" s="1"/>
  <c r="AK608" i="1"/>
  <c r="C606" i="4" s="1"/>
  <c r="AJ616" i="1"/>
  <c r="B614" i="4" s="1"/>
  <c r="AK620" i="1"/>
  <c r="C618" i="4" s="1"/>
  <c r="AJ628" i="1"/>
  <c r="B626" i="4" s="1"/>
  <c r="AK632" i="1"/>
  <c r="C630" i="4" s="1"/>
  <c r="AJ640" i="1"/>
  <c r="B638" i="4" s="1"/>
  <c r="AJ644" i="1"/>
  <c r="B642" i="4" s="1"/>
  <c r="AM647" i="1"/>
  <c r="E645" i="4" s="1"/>
  <c r="AM655" i="1"/>
  <c r="E653" i="4" s="1"/>
  <c r="AJ659" i="1"/>
  <c r="B657" i="4" s="1"/>
  <c r="AK662" i="1"/>
  <c r="C660" i="4" s="1"/>
  <c r="AJ674" i="1"/>
  <c r="B672" i="4" s="1"/>
  <c r="AK686" i="1"/>
  <c r="C684" i="4" s="1"/>
  <c r="AM691" i="1"/>
  <c r="E689" i="4" s="1"/>
  <c r="AJ695" i="1"/>
  <c r="B693" i="4" s="1"/>
  <c r="AK698" i="1"/>
  <c r="C696" i="4" s="1"/>
  <c r="AM703" i="1"/>
  <c r="E701" i="4" s="1"/>
  <c r="AJ707" i="1"/>
  <c r="B705" i="4" s="1"/>
  <c r="AK710" i="1"/>
  <c r="C708" i="4" s="1"/>
  <c r="AJ722" i="1"/>
  <c r="B720" i="4" s="1"/>
  <c r="AL726" i="1"/>
  <c r="D724" i="4" s="1"/>
  <c r="AM730" i="1"/>
  <c r="E728" i="4" s="1"/>
  <c r="AM733" i="1"/>
  <c r="E731" i="4" s="1"/>
  <c r="AM737" i="1"/>
  <c r="E735" i="4" s="1"/>
  <c r="AJ742" i="1"/>
  <c r="B740" i="4" s="1"/>
  <c r="AL748" i="1"/>
  <c r="D746" i="4" s="1"/>
  <c r="AM752" i="1"/>
  <c r="E750" i="4" s="1"/>
  <c r="AK756" i="1"/>
  <c r="C754" i="4" s="1"/>
  <c r="AK764" i="1"/>
  <c r="C762" i="4" s="1"/>
  <c r="AM770" i="1"/>
  <c r="E768" i="4" s="1"/>
  <c r="AJ776" i="1"/>
  <c r="B774" i="4" s="1"/>
  <c r="AM779" i="1"/>
  <c r="E777" i="4" s="1"/>
  <c r="AL782" i="1"/>
  <c r="D780" i="4" s="1"/>
  <c r="AJ791" i="1"/>
  <c r="B789" i="4" s="1"/>
  <c r="AJ794" i="1"/>
  <c r="B792" i="4" s="1"/>
  <c r="AJ802" i="1"/>
  <c r="B800" i="4" s="1"/>
  <c r="AL805" i="1"/>
  <c r="D803" i="4" s="1"/>
  <c r="AK809" i="1"/>
  <c r="C807" i="4" s="1"/>
  <c r="AL824" i="1"/>
  <c r="D822" i="4" s="1"/>
  <c r="AL829" i="1"/>
  <c r="D827" i="4" s="1"/>
  <c r="AK834" i="1"/>
  <c r="C832" i="4" s="1"/>
  <c r="AJ264" i="1"/>
  <c r="B262" i="4" s="1"/>
  <c r="AM288" i="1"/>
  <c r="E286" i="4" s="1"/>
  <c r="AJ306" i="1"/>
  <c r="B304" i="4" s="1"/>
  <c r="AJ340" i="1"/>
  <c r="B338" i="4" s="1"/>
  <c r="AM358" i="1"/>
  <c r="E356" i="4" s="1"/>
  <c r="AL387" i="1"/>
  <c r="D385" i="4" s="1"/>
  <c r="AL458" i="1"/>
  <c r="D456" i="4" s="1"/>
  <c r="AM506" i="1"/>
  <c r="E504" i="4" s="1"/>
  <c r="AM515" i="1"/>
  <c r="E513" i="4" s="1"/>
  <c r="AK542" i="1"/>
  <c r="C540" i="4" s="1"/>
  <c r="AK557" i="1"/>
  <c r="C555" i="4" s="1"/>
  <c r="AM561" i="1"/>
  <c r="E559" i="4" s="1"/>
  <c r="AM565" i="1"/>
  <c r="E563" i="4" s="1"/>
  <c r="AJ569" i="1"/>
  <c r="B567" i="4" s="1"/>
  <c r="AJ573" i="1"/>
  <c r="B571" i="4" s="1"/>
  <c r="AL576" i="1"/>
  <c r="D574" i="4" s="1"/>
  <c r="AL580" i="1"/>
  <c r="D578" i="4" s="1"/>
  <c r="AL584" i="1"/>
  <c r="D582" i="4" s="1"/>
  <c r="AL588" i="1"/>
  <c r="D586" i="4" s="1"/>
  <c r="AL592" i="1"/>
  <c r="D590" i="4" s="1"/>
  <c r="AL596" i="1"/>
  <c r="D594" i="4" s="1"/>
  <c r="AL600" i="1"/>
  <c r="D598" i="4" s="1"/>
  <c r="AL604" i="1"/>
  <c r="D602" i="4" s="1"/>
  <c r="AL608" i="1"/>
  <c r="D606" i="4" s="1"/>
  <c r="AL612" i="1"/>
  <c r="D610" i="4" s="1"/>
  <c r="AL616" i="1"/>
  <c r="D614" i="4" s="1"/>
  <c r="AL620" i="1"/>
  <c r="D618" i="4" s="1"/>
  <c r="AL624" i="1"/>
  <c r="D622" i="4" s="1"/>
  <c r="AL628" i="1"/>
  <c r="D626" i="4" s="1"/>
  <c r="AL632" i="1"/>
  <c r="D630" i="4" s="1"/>
  <c r="AL636" i="1"/>
  <c r="D634" i="4" s="1"/>
  <c r="AL640" i="1"/>
  <c r="D638" i="4" s="1"/>
  <c r="AK644" i="1"/>
  <c r="C642" i="4" s="1"/>
  <c r="AK659" i="1"/>
  <c r="C657" i="4" s="1"/>
  <c r="AL662" i="1"/>
  <c r="D660" i="4" s="1"/>
  <c r="AM667" i="1"/>
  <c r="E665" i="4" s="1"/>
  <c r="AJ671" i="1"/>
  <c r="B669" i="4" s="1"/>
  <c r="AK674" i="1"/>
  <c r="C672" i="4" s="1"/>
  <c r="AM679" i="1"/>
  <c r="E677" i="4" s="1"/>
  <c r="AJ683" i="1"/>
  <c r="B681" i="4" s="1"/>
  <c r="AL686" i="1"/>
  <c r="D684" i="4" s="1"/>
  <c r="AK695" i="1"/>
  <c r="C693" i="4" s="1"/>
  <c r="AL698" i="1"/>
  <c r="D696" i="4" s="1"/>
  <c r="AK707" i="1"/>
  <c r="C705" i="4" s="1"/>
  <c r="AL710" i="1"/>
  <c r="D708" i="4" s="1"/>
  <c r="AM715" i="1"/>
  <c r="E713" i="4" s="1"/>
  <c r="AJ719" i="1"/>
  <c r="B717" i="4" s="1"/>
  <c r="AK722" i="1"/>
  <c r="C720" i="4" s="1"/>
  <c r="AL742" i="1"/>
  <c r="D740" i="4" s="1"/>
  <c r="AJ745" i="1"/>
  <c r="B743" i="4" s="1"/>
  <c r="AL756" i="1"/>
  <c r="D754" i="4" s="1"/>
  <c r="AJ760" i="1"/>
  <c r="B758" i="4" s="1"/>
  <c r="AL764" i="1"/>
  <c r="D762" i="4" s="1"/>
  <c r="AJ768" i="1"/>
  <c r="B766" i="4" s="1"/>
  <c r="AK776" i="1"/>
  <c r="C774" i="4" s="1"/>
  <c r="AM782" i="1"/>
  <c r="E780" i="4" s="1"/>
  <c r="AJ788" i="1"/>
  <c r="B786" i="4" s="1"/>
  <c r="AK791" i="1"/>
  <c r="C789" i="4" s="1"/>
  <c r="AK794" i="1"/>
  <c r="C792" i="4" s="1"/>
  <c r="AL798" i="1"/>
  <c r="D796" i="4" s="1"/>
  <c r="AL802" i="1"/>
  <c r="D800" i="4" s="1"/>
  <c r="AM805" i="1"/>
  <c r="E803" i="4" s="1"/>
  <c r="AM809" i="1"/>
  <c r="E807" i="4" s="1"/>
  <c r="AJ814" i="1"/>
  <c r="B812" i="4" s="1"/>
  <c r="AJ817" i="1"/>
  <c r="B815" i="4" s="1"/>
  <c r="AJ821" i="1"/>
  <c r="B819" i="4" s="1"/>
  <c r="AM824" i="1"/>
  <c r="E822" i="4" s="1"/>
  <c r="AM834" i="1"/>
  <c r="E832" i="4" s="1"/>
  <c r="AK264" i="1"/>
  <c r="C262" i="4" s="1"/>
  <c r="AK298" i="1"/>
  <c r="C296" i="4" s="1"/>
  <c r="AK340" i="1"/>
  <c r="C338" i="4" s="1"/>
  <c r="AM406" i="1"/>
  <c r="E404" i="4" s="1"/>
  <c r="AL440" i="1"/>
  <c r="D438" i="4" s="1"/>
  <c r="AM458" i="1"/>
  <c r="E456" i="4" s="1"/>
  <c r="AM478" i="1"/>
  <c r="E476" i="4" s="1"/>
  <c r="AL542" i="1"/>
  <c r="D540" i="4" s="1"/>
  <c r="AJ547" i="1"/>
  <c r="B545" i="4" s="1"/>
  <c r="AM550" i="1"/>
  <c r="E548" i="4" s="1"/>
  <c r="AJ554" i="1"/>
  <c r="B552" i="4" s="1"/>
  <c r="AK569" i="1"/>
  <c r="C567" i="4" s="1"/>
  <c r="AK573" i="1"/>
  <c r="C571" i="4" s="1"/>
  <c r="AM584" i="1"/>
  <c r="E582" i="4" s="1"/>
  <c r="AM596" i="1"/>
  <c r="E594" i="4" s="1"/>
  <c r="AM608" i="1"/>
  <c r="E606" i="4" s="1"/>
  <c r="AM620" i="1"/>
  <c r="E618" i="4" s="1"/>
  <c r="AM632" i="1"/>
  <c r="E630" i="4" s="1"/>
  <c r="AL644" i="1"/>
  <c r="D642" i="4" s="1"/>
  <c r="AL648" i="1"/>
  <c r="D646" i="4" s="1"/>
  <c r="AJ652" i="1"/>
  <c r="B650" i="4" s="1"/>
  <c r="AJ656" i="1"/>
  <c r="B654" i="4" s="1"/>
  <c r="AM659" i="1"/>
  <c r="E657" i="4" s="1"/>
  <c r="AK671" i="1"/>
  <c r="C669" i="4" s="1"/>
  <c r="AL674" i="1"/>
  <c r="D672" i="4" s="1"/>
  <c r="AK683" i="1"/>
  <c r="C681" i="4" s="1"/>
  <c r="AJ692" i="1"/>
  <c r="B690" i="4" s="1"/>
  <c r="AM695" i="1"/>
  <c r="E693" i="4" s="1"/>
  <c r="AJ704" i="1"/>
  <c r="B702" i="4" s="1"/>
  <c r="AM707" i="1"/>
  <c r="E705" i="4" s="1"/>
  <c r="AM710" i="1"/>
  <c r="E708" i="4" s="1"/>
  <c r="AK719" i="1"/>
  <c r="C717" i="4" s="1"/>
  <c r="AL722" i="1"/>
  <c r="D720" i="4" s="1"/>
  <c r="AM727" i="1"/>
  <c r="E725" i="4" s="1"/>
  <c r="AJ731" i="1"/>
  <c r="B729" i="4" s="1"/>
  <c r="AJ734" i="1"/>
  <c r="B732" i="4" s="1"/>
  <c r="AL738" i="1"/>
  <c r="D736" i="4" s="1"/>
  <c r="AM742" i="1"/>
  <c r="E740" i="4" s="1"/>
  <c r="AL745" i="1"/>
  <c r="D743" i="4" s="1"/>
  <c r="AK749" i="1"/>
  <c r="C747" i="4" s="1"/>
  <c r="AL760" i="1"/>
  <c r="D758" i="4" s="1"/>
  <c r="AM764" i="1"/>
  <c r="E762" i="4" s="1"/>
  <c r="AK768" i="1"/>
  <c r="C766" i="4" s="1"/>
  <c r="AL776" i="1"/>
  <c r="D774" i="4" s="1"/>
  <c r="AJ780" i="1"/>
  <c r="B778" i="4" s="1"/>
  <c r="AK788" i="1"/>
  <c r="C786" i="4" s="1"/>
  <c r="AM791" i="1"/>
  <c r="E789" i="4" s="1"/>
  <c r="AL794" i="1"/>
  <c r="D792" i="4" s="1"/>
  <c r="AM802" i="1"/>
  <c r="E800" i="4" s="1"/>
  <c r="AL814" i="1"/>
  <c r="D812" i="4" s="1"/>
  <c r="AL817" i="1"/>
  <c r="D815" i="4" s="1"/>
  <c r="AK821" i="1"/>
  <c r="C819" i="4" s="1"/>
  <c r="AL837" i="1"/>
  <c r="D835" i="4" s="1"/>
  <c r="AM240" i="1"/>
  <c r="E238" i="4" s="1"/>
  <c r="AJ257" i="1"/>
  <c r="B255" i="4" s="1"/>
  <c r="AJ281" i="1"/>
  <c r="B279" i="4" s="1"/>
  <c r="AM298" i="1"/>
  <c r="E296" i="4" s="1"/>
  <c r="AJ333" i="1"/>
  <c r="B331" i="4" s="1"/>
  <c r="AK398" i="1"/>
  <c r="C396" i="4" s="1"/>
  <c r="AK433" i="1"/>
  <c r="C431" i="4" s="1"/>
  <c r="AM440" i="1"/>
  <c r="E438" i="4" s="1"/>
  <c r="AJ527" i="1"/>
  <c r="B525" i="4" s="1"/>
  <c r="AM542" i="1"/>
  <c r="E540" i="4" s="1"/>
  <c r="AK554" i="1"/>
  <c r="C552" i="4" s="1"/>
  <c r="AM562" i="1"/>
  <c r="E560" i="4" s="1"/>
  <c r="AJ566" i="1"/>
  <c r="B564" i="4" s="1"/>
  <c r="AL573" i="1"/>
  <c r="D571" i="4" s="1"/>
  <c r="AJ577" i="1"/>
  <c r="B575" i="4" s="1"/>
  <c r="AK581" i="1"/>
  <c r="C579" i="4" s="1"/>
  <c r="AK589" i="1"/>
  <c r="C587" i="4" s="1"/>
  <c r="AK593" i="1"/>
  <c r="C591" i="4" s="1"/>
  <c r="AK601" i="1"/>
  <c r="C599" i="4" s="1"/>
  <c r="AK605" i="1"/>
  <c r="C603" i="4" s="1"/>
  <c r="AK613" i="1"/>
  <c r="C611" i="4" s="1"/>
  <c r="AK617" i="1"/>
  <c r="C615" i="4" s="1"/>
  <c r="AK625" i="1"/>
  <c r="C623" i="4" s="1"/>
  <c r="AK629" i="1"/>
  <c r="C627" i="4" s="1"/>
  <c r="AK637" i="1"/>
  <c r="C635" i="4" s="1"/>
  <c r="AK641" i="1"/>
  <c r="C639" i="4" s="1"/>
  <c r="AM644" i="1"/>
  <c r="E642" i="4" s="1"/>
  <c r="AL652" i="1"/>
  <c r="D650" i="4" s="1"/>
  <c r="AK656" i="1"/>
  <c r="C654" i="4" s="1"/>
  <c r="AJ668" i="1"/>
  <c r="B666" i="4" s="1"/>
  <c r="AM671" i="1"/>
  <c r="E669" i="4" s="1"/>
  <c r="AJ680" i="1"/>
  <c r="B678" i="4" s="1"/>
  <c r="AM683" i="1"/>
  <c r="E681" i="4" s="1"/>
  <c r="AK692" i="1"/>
  <c r="C690" i="4" s="1"/>
  <c r="AK704" i="1"/>
  <c r="C702" i="4" s="1"/>
  <c r="AJ716" i="1"/>
  <c r="B714" i="4" s="1"/>
  <c r="AM719" i="1"/>
  <c r="E717" i="4" s="1"/>
  <c r="AM722" i="1"/>
  <c r="E720" i="4" s="1"/>
  <c r="AK731" i="1"/>
  <c r="C729" i="4" s="1"/>
  <c r="AK734" i="1"/>
  <c r="C732" i="4" s="1"/>
  <c r="AM745" i="1"/>
  <c r="E743" i="4" s="1"/>
  <c r="AM749" i="1"/>
  <c r="E747" i="4" s="1"/>
  <c r="AJ754" i="1"/>
  <c r="B752" i="4" s="1"/>
  <c r="AJ757" i="1"/>
  <c r="B755" i="4" s="1"/>
  <c r="AL768" i="1"/>
  <c r="D766" i="4" s="1"/>
  <c r="AJ772" i="1"/>
  <c r="B770" i="4" s="1"/>
  <c r="AM776" i="1"/>
  <c r="E774" i="4" s="1"/>
  <c r="AK780" i="1"/>
  <c r="C778" i="4" s="1"/>
  <c r="AL788" i="1"/>
  <c r="D786" i="4" s="1"/>
  <c r="AM794" i="1"/>
  <c r="E792" i="4" s="1"/>
  <c r="AM799" i="1"/>
  <c r="E797" i="4" s="1"/>
  <c r="AJ806" i="1"/>
  <c r="B804" i="4" s="1"/>
  <c r="AL810" i="1"/>
  <c r="D808" i="4" s="1"/>
  <c r="AM814" i="1"/>
  <c r="E812" i="4" s="1"/>
  <c r="AM817" i="1"/>
  <c r="E815" i="4" s="1"/>
  <c r="AM821" i="1"/>
  <c r="E819" i="4" s="1"/>
  <c r="AJ831" i="1"/>
  <c r="B829" i="4" s="1"/>
  <c r="AJ835" i="1"/>
  <c r="B833" i="4" s="1"/>
  <c r="AK250" i="1"/>
  <c r="C248" i="4" s="1"/>
  <c r="AK257" i="1"/>
  <c r="C255" i="4" s="1"/>
  <c r="AJ274" i="1"/>
  <c r="B272" i="4" s="1"/>
  <c r="AL316" i="1"/>
  <c r="D314" i="4" s="1"/>
  <c r="AL351" i="1"/>
  <c r="D349" i="4" s="1"/>
  <c r="AJ380" i="1"/>
  <c r="B378" i="4" s="1"/>
  <c r="AM398" i="1"/>
  <c r="E396" i="4" s="1"/>
  <c r="AJ425" i="1"/>
  <c r="B423" i="4" s="1"/>
  <c r="AL433" i="1"/>
  <c r="D431" i="4" s="1"/>
  <c r="AK470" i="1"/>
  <c r="C468" i="4" s="1"/>
  <c r="AJ548" i="1"/>
  <c r="B546" i="4" s="1"/>
  <c r="AJ551" i="1"/>
  <c r="B549" i="4" s="1"/>
  <c r="AL554" i="1"/>
  <c r="D552" i="4" s="1"/>
  <c r="AJ559" i="1"/>
  <c r="B557" i="4" s="1"/>
  <c r="AK566" i="1"/>
  <c r="C564" i="4" s="1"/>
  <c r="AM573" i="1"/>
  <c r="E571" i="4" s="1"/>
  <c r="AK577" i="1"/>
  <c r="C575" i="4" s="1"/>
  <c r="AM581" i="1"/>
  <c r="E579" i="4" s="1"/>
  <c r="AL589" i="1"/>
  <c r="D587" i="4" s="1"/>
  <c r="AM593" i="1"/>
  <c r="E591" i="4" s="1"/>
  <c r="AL601" i="1"/>
  <c r="D599" i="4" s="1"/>
  <c r="AM605" i="1"/>
  <c r="E603" i="4" s="1"/>
  <c r="AL613" i="1"/>
  <c r="D611" i="4" s="1"/>
  <c r="AM617" i="1"/>
  <c r="E615" i="4" s="1"/>
  <c r="AL625" i="1"/>
  <c r="D623" i="4" s="1"/>
  <c r="AM629" i="1"/>
  <c r="E627" i="4" s="1"/>
  <c r="AL637" i="1"/>
  <c r="D635" i="4" s="1"/>
  <c r="AM641" i="1"/>
  <c r="E639" i="4" s="1"/>
  <c r="AJ649" i="1"/>
  <c r="B647" i="4" s="1"/>
  <c r="AL656" i="1"/>
  <c r="D654" i="4" s="1"/>
  <c r="AL660" i="1"/>
  <c r="D658" i="4" s="1"/>
  <c r="AJ664" i="1"/>
  <c r="B662" i="4" s="1"/>
  <c r="AK668" i="1"/>
  <c r="C666" i="4" s="1"/>
  <c r="AK680" i="1"/>
  <c r="C678" i="4" s="1"/>
  <c r="AJ688" i="1"/>
  <c r="B686" i="4" s="1"/>
  <c r="AL692" i="1"/>
  <c r="D690" i="4" s="1"/>
  <c r="AJ696" i="1"/>
  <c r="B694" i="4" s="1"/>
  <c r="AJ700" i="1"/>
  <c r="B698" i="4" s="1"/>
  <c r="AL704" i="1"/>
  <c r="D702" i="4" s="1"/>
  <c r="AJ708" i="1"/>
  <c r="B706" i="4" s="1"/>
  <c r="AK716" i="1"/>
  <c r="C714" i="4" s="1"/>
  <c r="AJ728" i="1"/>
  <c r="B726" i="4" s="1"/>
  <c r="AM731" i="1"/>
  <c r="E729" i="4" s="1"/>
  <c r="AL734" i="1"/>
  <c r="D732" i="4" s="1"/>
  <c r="AM739" i="1"/>
  <c r="E737" i="4" s="1"/>
  <c r="AJ743" i="1"/>
  <c r="B741" i="4" s="1"/>
  <c r="AL754" i="1"/>
  <c r="D752" i="4" s="1"/>
  <c r="AL757" i="1"/>
  <c r="D755" i="4" s="1"/>
  <c r="AK761" i="1"/>
  <c r="C759" i="4" s="1"/>
  <c r="AL772" i="1"/>
  <c r="D770" i="4" s="1"/>
  <c r="AL780" i="1"/>
  <c r="D778" i="4" s="1"/>
  <c r="AJ784" i="1"/>
  <c r="B782" i="4" s="1"/>
  <c r="AM788" i="1"/>
  <c r="E786" i="4" s="1"/>
  <c r="AJ792" i="1"/>
  <c r="B790" i="4" s="1"/>
  <c r="AJ803" i="1"/>
  <c r="B801" i="4" s="1"/>
  <c r="AM806" i="1"/>
  <c r="E804" i="4" s="1"/>
  <c r="AJ826" i="1"/>
  <c r="B824" i="4" s="1"/>
  <c r="AK831" i="1"/>
  <c r="C829" i="4" s="1"/>
  <c r="AK835" i="1"/>
  <c r="C833" i="4" s="1"/>
  <c r="AJ231" i="1"/>
  <c r="B229" i="4" s="1"/>
  <c r="AM250" i="1"/>
  <c r="E248" i="4" s="1"/>
  <c r="AK274" i="1"/>
  <c r="C272" i="4" s="1"/>
  <c r="AL309" i="1"/>
  <c r="D307" i="4" s="1"/>
  <c r="AM316" i="1"/>
  <c r="E314" i="4" s="1"/>
  <c r="AL371" i="1"/>
  <c r="D369" i="4" s="1"/>
  <c r="AL417" i="1"/>
  <c r="D415" i="4" s="1"/>
  <c r="AJ452" i="1"/>
  <c r="B450" i="4" s="1"/>
  <c r="AM470" i="1"/>
  <c r="E468" i="4" s="1"/>
  <c r="AM490" i="1"/>
  <c r="E488" i="4" s="1"/>
  <c r="AM518" i="1"/>
  <c r="E516" i="4" s="1"/>
  <c r="AM538" i="1"/>
  <c r="E536" i="4" s="1"/>
  <c r="AL543" i="1"/>
  <c r="D541" i="4" s="1"/>
  <c r="AK548" i="1"/>
  <c r="C546" i="4" s="1"/>
  <c r="AL551" i="1"/>
  <c r="D549" i="4" s="1"/>
  <c r="AM554" i="1"/>
  <c r="E552" i="4" s="1"/>
  <c r="AJ563" i="1"/>
  <c r="B561" i="4" s="1"/>
  <c r="AL566" i="1"/>
  <c r="D564" i="4" s="1"/>
  <c r="AL571" i="1"/>
  <c r="D569" i="4" s="1"/>
  <c r="AL577" i="1"/>
  <c r="D575" i="4" s="1"/>
  <c r="AJ586" i="1"/>
  <c r="B584" i="4" s="1"/>
  <c r="AM589" i="1"/>
  <c r="E587" i="4" s="1"/>
  <c r="AJ598" i="1"/>
  <c r="B596" i="4" s="1"/>
  <c r="AM601" i="1"/>
  <c r="E599" i="4" s="1"/>
  <c r="AJ610" i="1"/>
  <c r="B608" i="4" s="1"/>
  <c r="AM613" i="1"/>
  <c r="E611" i="4" s="1"/>
  <c r="AJ622" i="1"/>
  <c r="B620" i="4" s="1"/>
  <c r="AM625" i="1"/>
  <c r="E623" i="4" s="1"/>
  <c r="AJ634" i="1"/>
  <c r="B632" i="4" s="1"/>
  <c r="AM637" i="1"/>
  <c r="E635" i="4" s="1"/>
  <c r="AK649" i="1"/>
  <c r="C647" i="4" s="1"/>
  <c r="AK653" i="1"/>
  <c r="C651" i="4" s="1"/>
  <c r="AM656" i="1"/>
  <c r="E654" i="4" s="1"/>
  <c r="AL664" i="1"/>
  <c r="D662" i="4" s="1"/>
  <c r="AL668" i="1"/>
  <c r="D666" i="4" s="1"/>
  <c r="AL672" i="1"/>
  <c r="D670" i="4" s="1"/>
  <c r="AJ676" i="1"/>
  <c r="B674" i="4" s="1"/>
  <c r="AL680" i="1"/>
  <c r="D678" i="4" s="1"/>
  <c r="AL684" i="1"/>
  <c r="D682" i="4" s="1"/>
  <c r="AL688" i="1"/>
  <c r="D686" i="4" s="1"/>
  <c r="AM692" i="1"/>
  <c r="E690" i="4" s="1"/>
  <c r="AL696" i="1"/>
  <c r="D694" i="4" s="1"/>
  <c r="AL700" i="1"/>
  <c r="D698" i="4" s="1"/>
  <c r="AM704" i="1"/>
  <c r="E702" i="4" s="1"/>
  <c r="AL708" i="1"/>
  <c r="D706" i="4" s="1"/>
  <c r="AJ712" i="1"/>
  <c r="B710" i="4" s="1"/>
  <c r="AL716" i="1"/>
  <c r="D714" i="4" s="1"/>
  <c r="AJ720" i="1"/>
  <c r="B718" i="4" s="1"/>
  <c r="AK728" i="1"/>
  <c r="C726" i="4" s="1"/>
  <c r="AM734" i="1"/>
  <c r="E732" i="4" s="1"/>
  <c r="AK743" i="1"/>
  <c r="C741" i="4" s="1"/>
  <c r="AJ746" i="1"/>
  <c r="B744" i="4" s="1"/>
  <c r="AL750" i="1"/>
  <c r="D748" i="4" s="1"/>
  <c r="AM754" i="1"/>
  <c r="E752" i="4" s="1"/>
  <c r="AM757" i="1"/>
  <c r="E755" i="4" s="1"/>
  <c r="AM761" i="1"/>
  <c r="E759" i="4" s="1"/>
  <c r="AJ766" i="1"/>
  <c r="B764" i="4" s="1"/>
  <c r="AJ769" i="1"/>
  <c r="B767" i="4" s="1"/>
  <c r="AL784" i="1"/>
  <c r="D782" i="4" s="1"/>
  <c r="AK792" i="1"/>
  <c r="C790" i="4" s="1"/>
  <c r="AJ800" i="1"/>
  <c r="B798" i="4" s="1"/>
  <c r="AK803" i="1"/>
  <c r="C801" i="4" s="1"/>
  <c r="AJ815" i="1"/>
  <c r="B813" i="4" s="1"/>
  <c r="AJ818" i="1"/>
  <c r="B816" i="4" s="1"/>
  <c r="AK822" i="1"/>
  <c r="C820" i="4" s="1"/>
  <c r="AL826" i="1"/>
  <c r="D824" i="4" s="1"/>
  <c r="AL831" i="1"/>
  <c r="D829" i="4" s="1"/>
  <c r="AL835" i="1"/>
  <c r="D833" i="4" s="1"/>
  <c r="AL548" i="1"/>
  <c r="D546" i="4" s="1"/>
  <c r="AK561" i="1"/>
  <c r="C559" i="4" s="1"/>
  <c r="AM568" i="1"/>
  <c r="E566" i="4" s="1"/>
  <c r="AL575" i="1"/>
  <c r="D573" i="4" s="1"/>
  <c r="AJ590" i="1"/>
  <c r="B588" i="4" s="1"/>
  <c r="AM611" i="1"/>
  <c r="E609" i="4" s="1"/>
  <c r="AJ626" i="1"/>
  <c r="B624" i="4" s="1"/>
  <c r="AK647" i="1"/>
  <c r="C645" i="4" s="1"/>
  <c r="AM661" i="1"/>
  <c r="E659" i="4" s="1"/>
  <c r="AL676" i="1"/>
  <c r="D674" i="4" s="1"/>
  <c r="AL736" i="1"/>
  <c r="D734" i="4" s="1"/>
  <c r="AM743" i="1"/>
  <c r="E741" i="4" s="1"/>
  <c r="AJ756" i="1"/>
  <c r="B754" i="4" s="1"/>
  <c r="AM769" i="1"/>
  <c r="E767" i="4" s="1"/>
  <c r="AK782" i="1"/>
  <c r="C780" i="4" s="1"/>
  <c r="AM797" i="1"/>
  <c r="E795" i="4" s="1"/>
  <c r="AJ812" i="1"/>
  <c r="B810" i="4" s="1"/>
  <c r="AM837" i="1"/>
  <c r="E835" i="4" s="1"/>
  <c r="AM846" i="1"/>
  <c r="E844" i="4" s="1"/>
  <c r="AJ849" i="1"/>
  <c r="B847" i="4" s="1"/>
  <c r="AL853" i="1"/>
  <c r="D851" i="4" s="1"/>
  <c r="AM860" i="1"/>
  <c r="E858" i="4" s="1"/>
  <c r="AM864" i="1"/>
  <c r="E862" i="4" s="1"/>
  <c r="AL869" i="1"/>
  <c r="D867" i="4" s="1"/>
  <c r="AK872" i="1"/>
  <c r="C870" i="4" s="1"/>
  <c r="AJ876" i="1"/>
  <c r="B874" i="4" s="1"/>
  <c r="AL887" i="1"/>
  <c r="D885" i="4" s="1"/>
  <c r="AM891" i="1"/>
  <c r="E889" i="4" s="1"/>
  <c r="AL895" i="1"/>
  <c r="D893" i="4" s="1"/>
  <c r="AM903" i="1"/>
  <c r="E901" i="4" s="1"/>
  <c r="AL907" i="1"/>
  <c r="D905" i="4" s="1"/>
  <c r="AJ911" i="1"/>
  <c r="B909" i="4" s="1"/>
  <c r="AM919" i="1"/>
  <c r="E917" i="4" s="1"/>
  <c r="AJ923" i="1"/>
  <c r="B921" i="4" s="1"/>
  <c r="AM927" i="1"/>
  <c r="E925" i="4" s="1"/>
  <c r="AL931" i="1"/>
  <c r="D929" i="4" s="1"/>
  <c r="AJ935" i="1"/>
  <c r="B933" i="4" s="1"/>
  <c r="AM943" i="1"/>
  <c r="E941" i="4" s="1"/>
  <c r="AL947" i="1"/>
  <c r="D945" i="4" s="1"/>
  <c r="AJ965" i="1"/>
  <c r="B963" i="4" s="1"/>
  <c r="AJ968" i="1"/>
  <c r="B966" i="4" s="1"/>
  <c r="AK972" i="1"/>
  <c r="C970" i="4" s="1"/>
  <c r="AL977" i="1"/>
  <c r="D975" i="4" s="1"/>
  <c r="AM980" i="1"/>
  <c r="E978" i="4" s="1"/>
  <c r="AM989" i="1"/>
  <c r="E987" i="4" s="1"/>
  <c r="AL997" i="1"/>
  <c r="D995" i="4" s="1"/>
  <c r="AM1001" i="1"/>
  <c r="E999" i="4" s="1"/>
  <c r="AJ1017" i="1"/>
  <c r="B1015" i="4" s="1"/>
  <c r="AJ1029" i="1"/>
  <c r="B1027" i="4" s="1"/>
  <c r="AM1037" i="1"/>
  <c r="E1035" i="4" s="1"/>
  <c r="AL1045" i="1"/>
  <c r="D1043" i="4" s="1"/>
  <c r="AL1049" i="1"/>
  <c r="D1047" i="4" s="1"/>
  <c r="AM1052" i="1"/>
  <c r="E1050" i="4" s="1"/>
  <c r="AL1061" i="1"/>
  <c r="D1059" i="4" s="1"/>
  <c r="AJ1069" i="1"/>
  <c r="B1067" i="4" s="1"/>
  <c r="AK1074" i="1"/>
  <c r="C1072" i="4" s="1"/>
  <c r="AK344" i="1"/>
  <c r="C342" i="4" s="1"/>
  <c r="AM421" i="1"/>
  <c r="E419" i="4" s="1"/>
  <c r="AL530" i="1"/>
  <c r="D528" i="4" s="1"/>
  <c r="AL541" i="1"/>
  <c r="D539" i="4" s="1"/>
  <c r="AL555" i="1"/>
  <c r="D553" i="4" s="1"/>
  <c r="AJ584" i="1"/>
  <c r="B582" i="4" s="1"/>
  <c r="AL598" i="1"/>
  <c r="D596" i="4" s="1"/>
  <c r="AJ606" i="1"/>
  <c r="B604" i="4" s="1"/>
  <c r="AJ620" i="1"/>
  <c r="B618" i="4" s="1"/>
  <c r="AL634" i="1"/>
  <c r="D632" i="4" s="1"/>
  <c r="AJ642" i="1"/>
  <c r="B640" i="4" s="1"/>
  <c r="AJ662" i="1"/>
  <c r="B660" i="4" s="1"/>
  <c r="AJ670" i="1"/>
  <c r="B668" i="4" s="1"/>
  <c r="AM677" i="1"/>
  <c r="E675" i="4" s="1"/>
  <c r="AM709" i="1"/>
  <c r="E707" i="4" s="1"/>
  <c r="AM716" i="1"/>
  <c r="E714" i="4" s="1"/>
  <c r="AL730" i="1"/>
  <c r="D728" i="4" s="1"/>
  <c r="AK737" i="1"/>
  <c r="C735" i="4" s="1"/>
  <c r="AK744" i="1"/>
  <c r="C742" i="4" s="1"/>
  <c r="AM751" i="1"/>
  <c r="E749" i="4" s="1"/>
  <c r="AJ770" i="1"/>
  <c r="B768" i="4" s="1"/>
  <c r="AL792" i="1"/>
  <c r="D790" i="4" s="1"/>
  <c r="AM812" i="1"/>
  <c r="E810" i="4" s="1"/>
  <c r="AL818" i="1"/>
  <c r="D816" i="4" s="1"/>
  <c r="AJ833" i="1"/>
  <c r="B831" i="4" s="1"/>
  <c r="AK843" i="1"/>
  <c r="C841" i="4" s="1"/>
  <c r="AJ847" i="1"/>
  <c r="B845" i="4" s="1"/>
  <c r="AM849" i="1"/>
  <c r="E847" i="4" s="1"/>
  <c r="AM858" i="1"/>
  <c r="E856" i="4" s="1"/>
  <c r="AJ861" i="1"/>
  <c r="B859" i="4" s="1"/>
  <c r="AL865" i="1"/>
  <c r="D863" i="4" s="1"/>
  <c r="AM872" i="1"/>
  <c r="E870" i="4" s="1"/>
  <c r="AM876" i="1"/>
  <c r="E874" i="4" s="1"/>
  <c r="AL881" i="1"/>
  <c r="D879" i="4" s="1"/>
  <c r="AK884" i="1"/>
  <c r="C882" i="4" s="1"/>
  <c r="AJ888" i="1"/>
  <c r="B886" i="4" s="1"/>
  <c r="AL899" i="1"/>
  <c r="D897" i="4" s="1"/>
  <c r="AJ917" i="1"/>
  <c r="B915" i="4" s="1"/>
  <c r="AJ920" i="1"/>
  <c r="B918" i="4" s="1"/>
  <c r="AJ941" i="1"/>
  <c r="B939" i="4" s="1"/>
  <c r="AJ944" i="1"/>
  <c r="B942" i="4" s="1"/>
  <c r="AK948" i="1"/>
  <c r="C946" i="4" s="1"/>
  <c r="AL953" i="1"/>
  <c r="D951" i="4" s="1"/>
  <c r="AK956" i="1"/>
  <c r="C954" i="4" s="1"/>
  <c r="AM965" i="1"/>
  <c r="E963" i="4" s="1"/>
  <c r="AM968" i="1"/>
  <c r="E966" i="4" s="1"/>
  <c r="AL973" i="1"/>
  <c r="D971" i="4" s="1"/>
  <c r="AJ981" i="1"/>
  <c r="B979" i="4" s="1"/>
  <c r="AK990" i="1"/>
  <c r="C988" i="4" s="1"/>
  <c r="AL993" i="1"/>
  <c r="D991" i="4" s="1"/>
  <c r="AM998" i="1"/>
  <c r="E996" i="4" s="1"/>
  <c r="AK1002" i="1"/>
  <c r="C1000" i="4" s="1"/>
  <c r="AL1005" i="1"/>
  <c r="D1003" i="4" s="1"/>
  <c r="AJ1011" i="1"/>
  <c r="B1009" i="4" s="1"/>
  <c r="AM1014" i="1"/>
  <c r="E1012" i="4" s="1"/>
  <c r="AM1017" i="1"/>
  <c r="E1015" i="4" s="1"/>
  <c r="AJ1023" i="1"/>
  <c r="B1021" i="4" s="1"/>
  <c r="AM1026" i="1"/>
  <c r="E1024" i="4" s="1"/>
  <c r="AM1029" i="1"/>
  <c r="E1027" i="4" s="1"/>
  <c r="AK1038" i="1"/>
  <c r="C1036" i="4" s="1"/>
  <c r="AL1041" i="1"/>
  <c r="D1039" i="4" s="1"/>
  <c r="AM1046" i="1"/>
  <c r="E1044" i="4" s="1"/>
  <c r="AJ1053" i="1"/>
  <c r="B1051" i="4" s="1"/>
  <c r="AL1065" i="1"/>
  <c r="D1063" i="4" s="1"/>
  <c r="AM1074" i="1"/>
  <c r="E1072" i="4" s="1"/>
  <c r="AL455" i="1"/>
  <c r="D453" i="4" s="1"/>
  <c r="AM466" i="1"/>
  <c r="E464" i="4" s="1"/>
  <c r="AL549" i="1"/>
  <c r="D547" i="4" s="1"/>
  <c r="AL556" i="1"/>
  <c r="D554" i="4" s="1"/>
  <c r="AM563" i="1"/>
  <c r="E561" i="4" s="1"/>
  <c r="AM571" i="1"/>
  <c r="E569" i="4" s="1"/>
  <c r="AM599" i="1"/>
  <c r="E597" i="4" s="1"/>
  <c r="AJ614" i="1"/>
  <c r="B612" i="4" s="1"/>
  <c r="AM635" i="1"/>
  <c r="E633" i="4" s="1"/>
  <c r="AM649" i="1"/>
  <c r="E647" i="4" s="1"/>
  <c r="AL678" i="1"/>
  <c r="D676" i="4" s="1"/>
  <c r="AM685" i="1"/>
  <c r="E683" i="4" s="1"/>
  <c r="AL694" i="1"/>
  <c r="D692" i="4" s="1"/>
  <c r="AJ710" i="1"/>
  <c r="B708" i="4" s="1"/>
  <c r="AL724" i="1"/>
  <c r="D722" i="4" s="1"/>
  <c r="AJ752" i="1"/>
  <c r="B750" i="4" s="1"/>
  <c r="AL758" i="1"/>
  <c r="D756" i="4" s="1"/>
  <c r="AL766" i="1"/>
  <c r="D764" i="4" s="1"/>
  <c r="AL778" i="1"/>
  <c r="D776" i="4" s="1"/>
  <c r="AK785" i="1"/>
  <c r="C783" i="4" s="1"/>
  <c r="AL793" i="1"/>
  <c r="D791" i="4" s="1"/>
  <c r="AK800" i="1"/>
  <c r="C798" i="4" s="1"/>
  <c r="AL807" i="1"/>
  <c r="D805" i="4" s="1"/>
  <c r="AK813" i="1"/>
  <c r="C811" i="4" s="1"/>
  <c r="AM826" i="1"/>
  <c r="E824" i="4" s="1"/>
  <c r="AL839" i="1"/>
  <c r="D837" i="4" s="1"/>
  <c r="AM843" i="1"/>
  <c r="E841" i="4" s="1"/>
  <c r="AL847" i="1"/>
  <c r="D845" i="4" s="1"/>
  <c r="AK855" i="1"/>
  <c r="C853" i="4" s="1"/>
  <c r="AJ859" i="1"/>
  <c r="B857" i="4" s="1"/>
  <c r="AM861" i="1"/>
  <c r="E859" i="4" s="1"/>
  <c r="AM870" i="1"/>
  <c r="E868" i="4" s="1"/>
  <c r="AJ873" i="1"/>
  <c r="B871" i="4" s="1"/>
  <c r="AL877" i="1"/>
  <c r="D875" i="4" s="1"/>
  <c r="AM884" i="1"/>
  <c r="E882" i="4" s="1"/>
  <c r="AM888" i="1"/>
  <c r="E886" i="4" s="1"/>
  <c r="AL893" i="1"/>
  <c r="D891" i="4" s="1"/>
  <c r="AK896" i="1"/>
  <c r="C894" i="4" s="1"/>
  <c r="AK900" i="1"/>
  <c r="C898" i="4" s="1"/>
  <c r="AL905" i="1"/>
  <c r="D903" i="4" s="1"/>
  <c r="AK908" i="1"/>
  <c r="C906" i="4" s="1"/>
  <c r="AM917" i="1"/>
  <c r="E915" i="4" s="1"/>
  <c r="AL920" i="1"/>
  <c r="D918" i="4" s="1"/>
  <c r="AM924" i="1"/>
  <c r="E922" i="4" s="1"/>
  <c r="AL929" i="1"/>
  <c r="D927" i="4" s="1"/>
  <c r="AK932" i="1"/>
  <c r="C930" i="4" s="1"/>
  <c r="AM941" i="1"/>
  <c r="E939" i="4" s="1"/>
  <c r="AM944" i="1"/>
  <c r="E942" i="4" s="1"/>
  <c r="AL949" i="1"/>
  <c r="D947" i="4" s="1"/>
  <c r="AK966" i="1"/>
  <c r="C964" i="4" s="1"/>
  <c r="AJ969" i="1"/>
  <c r="B967" i="4" s="1"/>
  <c r="AM978" i="1"/>
  <c r="E976" i="4" s="1"/>
  <c r="AM981" i="1"/>
  <c r="E979" i="4" s="1"/>
  <c r="AJ987" i="1"/>
  <c r="B985" i="4" s="1"/>
  <c r="AJ999" i="1"/>
  <c r="B997" i="4" s="1"/>
  <c r="AL1011" i="1"/>
  <c r="D1009" i="4" s="1"/>
  <c r="AJ1015" i="1"/>
  <c r="B1013" i="4" s="1"/>
  <c r="AL1018" i="1"/>
  <c r="D1016" i="4" s="1"/>
  <c r="AL1023" i="1"/>
  <c r="D1021" i="4" s="1"/>
  <c r="AJ1027" i="1"/>
  <c r="B1025" i="4" s="1"/>
  <c r="AL1030" i="1"/>
  <c r="D1028" i="4" s="1"/>
  <c r="AK1035" i="1"/>
  <c r="C1033" i="4" s="1"/>
  <c r="AJ1047" i="1"/>
  <c r="B1045" i="4" s="1"/>
  <c r="AM1050" i="1"/>
  <c r="E1048" i="4" s="1"/>
  <c r="AM1053" i="1"/>
  <c r="E1051" i="4" s="1"/>
  <c r="AJ1059" i="1"/>
  <c r="B1057" i="4" s="1"/>
  <c r="AM1062" i="1"/>
  <c r="E1060" i="4" s="1"/>
  <c r="AK1071" i="1"/>
  <c r="C1069" i="4" s="1"/>
  <c r="AJ1075" i="1"/>
  <c r="B1073" i="4" s="1"/>
  <c r="AJ336" i="1"/>
  <c r="B334" i="4" s="1"/>
  <c r="AJ391" i="1"/>
  <c r="B389" i="4" s="1"/>
  <c r="AK578" i="1"/>
  <c r="C576" i="4" s="1"/>
  <c r="AK586" i="1"/>
  <c r="C584" i="4" s="1"/>
  <c r="AL614" i="1"/>
  <c r="D612" i="4" s="1"/>
  <c r="AK622" i="1"/>
  <c r="C620" i="4" s="1"/>
  <c r="AJ718" i="1"/>
  <c r="B716" i="4" s="1"/>
  <c r="AJ732" i="1"/>
  <c r="B730" i="4" s="1"/>
  <c r="AL752" i="1"/>
  <c r="D750" i="4" s="1"/>
  <c r="AM766" i="1"/>
  <c r="E764" i="4" s="1"/>
  <c r="AL800" i="1"/>
  <c r="D798" i="4" s="1"/>
  <c r="AL819" i="1"/>
  <c r="D817" i="4" s="1"/>
  <c r="AM835" i="1"/>
  <c r="E833" i="4" s="1"/>
  <c r="AM847" i="1"/>
  <c r="E845" i="4" s="1"/>
  <c r="AJ851" i="1"/>
  <c r="B849" i="4" s="1"/>
  <c r="AL855" i="1"/>
  <c r="D853" i="4" s="1"/>
  <c r="AK859" i="1"/>
  <c r="C857" i="4" s="1"/>
  <c r="AJ867" i="1"/>
  <c r="B865" i="4" s="1"/>
  <c r="AL873" i="1"/>
  <c r="D871" i="4" s="1"/>
  <c r="AK882" i="1"/>
  <c r="C880" i="4" s="1"/>
  <c r="AM893" i="1"/>
  <c r="E891" i="4" s="1"/>
  <c r="AL896" i="1"/>
  <c r="D894" i="4" s="1"/>
  <c r="AM905" i="1"/>
  <c r="E903" i="4" s="1"/>
  <c r="AM908" i="1"/>
  <c r="E906" i="4" s="1"/>
  <c r="AL913" i="1"/>
  <c r="D911" i="4" s="1"/>
  <c r="AM920" i="1"/>
  <c r="E918" i="4" s="1"/>
  <c r="AM929" i="1"/>
  <c r="E927" i="4" s="1"/>
  <c r="AM932" i="1"/>
  <c r="E930" i="4" s="1"/>
  <c r="AL937" i="1"/>
  <c r="D935" i="4" s="1"/>
  <c r="AK954" i="1"/>
  <c r="C952" i="4" s="1"/>
  <c r="AJ957" i="1"/>
  <c r="B955" i="4" s="1"/>
  <c r="AM966" i="1"/>
  <c r="E964" i="4" s="1"/>
  <c r="AL969" i="1"/>
  <c r="D967" i="4" s="1"/>
  <c r="AJ975" i="1"/>
  <c r="B973" i="4" s="1"/>
  <c r="AK987" i="1"/>
  <c r="C985" i="4" s="1"/>
  <c r="AJ991" i="1"/>
  <c r="B989" i="4" s="1"/>
  <c r="AK999" i="1"/>
  <c r="C997" i="4" s="1"/>
  <c r="AJ1003" i="1"/>
  <c r="B1001" i="4" s="1"/>
  <c r="AM1011" i="1"/>
  <c r="E1009" i="4" s="1"/>
  <c r="AK1015" i="1"/>
  <c r="C1013" i="4" s="1"/>
  <c r="AM1023" i="1"/>
  <c r="E1021" i="4" s="1"/>
  <c r="AK1027" i="1"/>
  <c r="C1025" i="4" s="1"/>
  <c r="AL1035" i="1"/>
  <c r="D1033" i="4" s="1"/>
  <c r="AJ1039" i="1"/>
  <c r="B1037" i="4" s="1"/>
  <c r="AK1047" i="1"/>
  <c r="C1045" i="4" s="1"/>
  <c r="AK1059" i="1"/>
  <c r="C1057" i="4" s="1"/>
  <c r="AL1066" i="1"/>
  <c r="D1064" i="4" s="1"/>
  <c r="AL1071" i="1"/>
  <c r="D1069" i="4" s="1"/>
  <c r="AL1075" i="1"/>
  <c r="D1073" i="4" s="1"/>
  <c r="AL253" i="1"/>
  <c r="D251" i="4" s="1"/>
  <c r="AL347" i="1"/>
  <c r="D345" i="4" s="1"/>
  <c r="AJ511" i="1"/>
  <c r="B509" i="4" s="1"/>
  <c r="AL544" i="1"/>
  <c r="D542" i="4" s="1"/>
  <c r="AK572" i="1"/>
  <c r="C570" i="4" s="1"/>
  <c r="AL586" i="1"/>
  <c r="D584" i="4" s="1"/>
  <c r="AJ594" i="1"/>
  <c r="B592" i="4" s="1"/>
  <c r="AJ608" i="1"/>
  <c r="B606" i="4" s="1"/>
  <c r="AL622" i="1"/>
  <c r="D620" i="4" s="1"/>
  <c r="AJ630" i="1"/>
  <c r="B628" i="4" s="1"/>
  <c r="AJ650" i="1"/>
  <c r="B648" i="4" s="1"/>
  <c r="AL658" i="1"/>
  <c r="D656" i="4" s="1"/>
  <c r="AK665" i="1"/>
  <c r="C663" i="4" s="1"/>
  <c r="AJ686" i="1"/>
  <c r="B684" i="4" s="1"/>
  <c r="AM718" i="1"/>
  <c r="E716" i="4" s="1"/>
  <c r="AK725" i="1"/>
  <c r="C723" i="4" s="1"/>
  <c r="AK732" i="1"/>
  <c r="C730" i="4" s="1"/>
  <c r="AJ740" i="1"/>
  <c r="B738" i="4" s="1"/>
  <c r="AK746" i="1"/>
  <c r="C744" i="4" s="1"/>
  <c r="AK779" i="1"/>
  <c r="C777" i="4" s="1"/>
  <c r="AL808" i="1"/>
  <c r="D806" i="4" s="1"/>
  <c r="AJ840" i="1"/>
  <c r="B838" i="4" s="1"/>
  <c r="AL851" i="1"/>
  <c r="D849" i="4" s="1"/>
  <c r="AM855" i="1"/>
  <c r="E853" i="4" s="1"/>
  <c r="AL859" i="1"/>
  <c r="D857" i="4" s="1"/>
  <c r="AK867" i="1"/>
  <c r="C865" i="4" s="1"/>
  <c r="AJ871" i="1"/>
  <c r="B869" i="4" s="1"/>
  <c r="AM873" i="1"/>
  <c r="E871" i="4" s="1"/>
  <c r="AM882" i="1"/>
  <c r="E880" i="4" s="1"/>
  <c r="AJ885" i="1"/>
  <c r="B883" i="4" s="1"/>
  <c r="AL889" i="1"/>
  <c r="D887" i="4" s="1"/>
  <c r="AM896" i="1"/>
  <c r="E894" i="4" s="1"/>
  <c r="AL901" i="1"/>
  <c r="D899" i="4" s="1"/>
  <c r="AK918" i="1"/>
  <c r="C916" i="4" s="1"/>
  <c r="AL925" i="1"/>
  <c r="D923" i="4" s="1"/>
  <c r="AK942" i="1"/>
  <c r="C940" i="4" s="1"/>
  <c r="AJ945" i="1"/>
  <c r="B943" i="4" s="1"/>
  <c r="AM954" i="1"/>
  <c r="E952" i="4" s="1"/>
  <c r="AL957" i="1"/>
  <c r="D955" i="4" s="1"/>
  <c r="AJ963" i="1"/>
  <c r="B961" i="4" s="1"/>
  <c r="AM969" i="1"/>
  <c r="E967" i="4" s="1"/>
  <c r="AK975" i="1"/>
  <c r="C973" i="4" s="1"/>
  <c r="AJ979" i="1"/>
  <c r="B977" i="4" s="1"/>
  <c r="AL987" i="1"/>
  <c r="D985" i="4" s="1"/>
  <c r="AK991" i="1"/>
  <c r="C989" i="4" s="1"/>
  <c r="AJ995" i="1"/>
  <c r="B993" i="4" s="1"/>
  <c r="AL999" i="1"/>
  <c r="D997" i="4" s="1"/>
  <c r="AK1003" i="1"/>
  <c r="C1001" i="4" s="1"/>
  <c r="AJ1007" i="1"/>
  <c r="B1005" i="4" s="1"/>
  <c r="AL1015" i="1"/>
  <c r="D1013" i="4" s="1"/>
  <c r="AJ1019" i="1"/>
  <c r="B1017" i="4" s="1"/>
  <c r="AL1027" i="1"/>
  <c r="D1025" i="4" s="1"/>
  <c r="AJ1031" i="1"/>
  <c r="B1029" i="4" s="1"/>
  <c r="AM1035" i="1"/>
  <c r="E1033" i="4" s="1"/>
  <c r="AK1039" i="1"/>
  <c r="C1037" i="4" s="1"/>
  <c r="AJ1043" i="1"/>
  <c r="B1041" i="4" s="1"/>
  <c r="AL1047" i="1"/>
  <c r="D1045" i="4" s="1"/>
  <c r="AJ1051" i="1"/>
  <c r="B1049" i="4" s="1"/>
  <c r="AL1059" i="1"/>
  <c r="D1057" i="4" s="1"/>
  <c r="AJ1063" i="1"/>
  <c r="B1061" i="4" s="1"/>
  <c r="AM1071" i="1"/>
  <c r="E1069" i="4" s="1"/>
  <c r="AM1075" i="1"/>
  <c r="E1073" i="4" s="1"/>
  <c r="AJ327" i="1"/>
  <c r="B325" i="4" s="1"/>
  <c r="AL436" i="1"/>
  <c r="D434" i="4" s="1"/>
  <c r="AL447" i="1"/>
  <c r="D445" i="4" s="1"/>
  <c r="AM551" i="1"/>
  <c r="E549" i="4" s="1"/>
  <c r="AK565" i="1"/>
  <c r="C563" i="4" s="1"/>
  <c r="AM572" i="1"/>
  <c r="E570" i="4" s="1"/>
  <c r="AK594" i="1"/>
  <c r="C592" i="4" s="1"/>
  <c r="AK630" i="1"/>
  <c r="C628" i="4" s="1"/>
  <c r="AL650" i="1"/>
  <c r="D648" i="4" s="1"/>
  <c r="AJ673" i="1"/>
  <c r="B671" i="4" s="1"/>
  <c r="AM680" i="1"/>
  <c r="E678" i="4" s="1"/>
  <c r="AL712" i="1"/>
  <c r="D710" i="4" s="1"/>
  <c r="AK740" i="1"/>
  <c r="C738" i="4" s="1"/>
  <c r="AL746" i="1"/>
  <c r="D744" i="4" s="1"/>
  <c r="AJ767" i="1"/>
  <c r="B765" i="4" s="1"/>
  <c r="AK773" i="1"/>
  <c r="C771" i="4" s="1"/>
  <c r="AK815" i="1"/>
  <c r="C813" i="4" s="1"/>
  <c r="AJ820" i="1"/>
  <c r="B818" i="4" s="1"/>
  <c r="AJ828" i="1"/>
  <c r="B826" i="4" s="1"/>
  <c r="AK836" i="1"/>
  <c r="C834" i="4" s="1"/>
  <c r="AK840" i="1"/>
  <c r="C838" i="4" s="1"/>
  <c r="AJ845" i="1"/>
  <c r="B843" i="4" s="1"/>
  <c r="AJ848" i="1"/>
  <c r="B846" i="4" s="1"/>
  <c r="AM859" i="1"/>
  <c r="E857" i="4" s="1"/>
  <c r="AJ863" i="1"/>
  <c r="B861" i="4" s="1"/>
  <c r="AL867" i="1"/>
  <c r="D865" i="4" s="1"/>
  <c r="AK871" i="1"/>
  <c r="C869" i="4" s="1"/>
  <c r="AJ879" i="1"/>
  <c r="B877" i="4" s="1"/>
  <c r="AL885" i="1"/>
  <c r="D883" i="4" s="1"/>
  <c r="AK894" i="1"/>
  <c r="C892" i="4" s="1"/>
  <c r="AK906" i="1"/>
  <c r="C904" i="4" s="1"/>
  <c r="AJ909" i="1"/>
  <c r="B907" i="4" s="1"/>
  <c r="AM918" i="1"/>
  <c r="E916" i="4" s="1"/>
  <c r="AJ921" i="1"/>
  <c r="B919" i="4" s="1"/>
  <c r="AK930" i="1"/>
  <c r="C928" i="4" s="1"/>
  <c r="AJ933" i="1"/>
  <c r="B931" i="4" s="1"/>
  <c r="AM942" i="1"/>
  <c r="E940" i="4" s="1"/>
  <c r="AL945" i="1"/>
  <c r="D943" i="4" s="1"/>
  <c r="AJ951" i="1"/>
  <c r="B949" i="4" s="1"/>
  <c r="AM957" i="1"/>
  <c r="E955" i="4" s="1"/>
  <c r="AK963" i="1"/>
  <c r="C961" i="4" s="1"/>
  <c r="AJ967" i="1"/>
  <c r="B965" i="4" s="1"/>
  <c r="AL975" i="1"/>
  <c r="D973" i="4" s="1"/>
  <c r="AK979" i="1"/>
  <c r="C977" i="4" s="1"/>
  <c r="AJ983" i="1"/>
  <c r="B981" i="4" s="1"/>
  <c r="AM987" i="1"/>
  <c r="E985" i="4" s="1"/>
  <c r="AL991" i="1"/>
  <c r="D989" i="4" s="1"/>
  <c r="AL995" i="1"/>
  <c r="D993" i="4" s="1"/>
  <c r="AM999" i="1"/>
  <c r="E997" i="4" s="1"/>
  <c r="AL1003" i="1"/>
  <c r="D1001" i="4" s="1"/>
  <c r="AL1007" i="1"/>
  <c r="D1005" i="4" s="1"/>
  <c r="AK1012" i="1"/>
  <c r="C1010" i="4" s="1"/>
  <c r="AM1015" i="1"/>
  <c r="E1013" i="4" s="1"/>
  <c r="AL1019" i="1"/>
  <c r="D1017" i="4" s="1"/>
  <c r="AK1024" i="1"/>
  <c r="C1022" i="4" s="1"/>
  <c r="AM1027" i="1"/>
  <c r="E1025" i="4" s="1"/>
  <c r="AL1031" i="1"/>
  <c r="D1029" i="4" s="1"/>
  <c r="AL1039" i="1"/>
  <c r="D1037" i="4" s="1"/>
  <c r="AL1043" i="1"/>
  <c r="D1041" i="4" s="1"/>
  <c r="AM1047" i="1"/>
  <c r="E1045" i="4" s="1"/>
  <c r="AK1051" i="1"/>
  <c r="C1049" i="4" s="1"/>
  <c r="AJ1055" i="1"/>
  <c r="B1053" i="4" s="1"/>
  <c r="AM1059" i="1"/>
  <c r="E1057" i="4" s="1"/>
  <c r="AK1063" i="1"/>
  <c r="C1061" i="4" s="1"/>
  <c r="AJ1067" i="1"/>
  <c r="B1065" i="4" s="1"/>
  <c r="AM481" i="1"/>
  <c r="E479" i="4" s="1"/>
  <c r="AK545" i="1"/>
  <c r="C543" i="4" s="1"/>
  <c r="AM587" i="1"/>
  <c r="E585" i="4" s="1"/>
  <c r="AJ602" i="1"/>
  <c r="B600" i="4" s="1"/>
  <c r="AM623" i="1"/>
  <c r="E621" i="4" s="1"/>
  <c r="AJ638" i="1"/>
  <c r="B636" i="4" s="1"/>
  <c r="AJ646" i="1"/>
  <c r="B644" i="4" s="1"/>
  <c r="AL666" i="1"/>
  <c r="D664" i="4" s="1"/>
  <c r="AL673" i="1"/>
  <c r="D671" i="4" s="1"/>
  <c r="AJ697" i="1"/>
  <c r="B695" i="4" s="1"/>
  <c r="AL733" i="1"/>
  <c r="D731" i="4" s="1"/>
  <c r="AM740" i="1"/>
  <c r="E738" i="4" s="1"/>
  <c r="AM767" i="1"/>
  <c r="E765" i="4" s="1"/>
  <c r="AM773" i="1"/>
  <c r="E771" i="4" s="1"/>
  <c r="AJ796" i="1"/>
  <c r="B794" i="4" s="1"/>
  <c r="AJ809" i="1"/>
  <c r="B807" i="4" s="1"/>
  <c r="AM815" i="1"/>
  <c r="E813" i="4" s="1"/>
  <c r="AL836" i="1"/>
  <c r="D834" i="4" s="1"/>
  <c r="AM840" i="1"/>
  <c r="E838" i="4" s="1"/>
  <c r="AL845" i="1"/>
  <c r="D843" i="4" s="1"/>
  <c r="AK848" i="1"/>
  <c r="C846" i="4" s="1"/>
  <c r="AJ852" i="1"/>
  <c r="B850" i="4" s="1"/>
  <c r="AL863" i="1"/>
  <c r="D861" i="4" s="1"/>
  <c r="AM867" i="1"/>
  <c r="E865" i="4" s="1"/>
  <c r="AL871" i="1"/>
  <c r="D869" i="4" s="1"/>
  <c r="AK879" i="1"/>
  <c r="C877" i="4" s="1"/>
  <c r="AJ883" i="1"/>
  <c r="B881" i="4" s="1"/>
  <c r="AM885" i="1"/>
  <c r="E883" i="4" s="1"/>
  <c r="AM894" i="1"/>
  <c r="E892" i="4" s="1"/>
  <c r="AJ897" i="1"/>
  <c r="B895" i="4" s="1"/>
  <c r="AM906" i="1"/>
  <c r="E904" i="4" s="1"/>
  <c r="AL909" i="1"/>
  <c r="D907" i="4" s="1"/>
  <c r="AJ915" i="1"/>
  <c r="B913" i="4" s="1"/>
  <c r="AL921" i="1"/>
  <c r="D919" i="4" s="1"/>
  <c r="AM930" i="1"/>
  <c r="E928" i="4" s="1"/>
  <c r="AL933" i="1"/>
  <c r="D931" i="4" s="1"/>
  <c r="AJ939" i="1"/>
  <c r="B937" i="4" s="1"/>
  <c r="AM945" i="1"/>
  <c r="E943" i="4" s="1"/>
  <c r="AK951" i="1"/>
  <c r="C949" i="4" s="1"/>
  <c r="AJ955" i="1"/>
  <c r="B953" i="4" s="1"/>
  <c r="AL963" i="1"/>
  <c r="D961" i="4" s="1"/>
  <c r="AK967" i="1"/>
  <c r="C965" i="4" s="1"/>
  <c r="AM975" i="1"/>
  <c r="E973" i="4" s="1"/>
  <c r="AL979" i="1"/>
  <c r="D977" i="4" s="1"/>
  <c r="AL983" i="1"/>
  <c r="D981" i="4" s="1"/>
  <c r="AM991" i="1"/>
  <c r="E989" i="4" s="1"/>
  <c r="AM1003" i="1"/>
  <c r="E1001" i="4" s="1"/>
  <c r="AK1036" i="1"/>
  <c r="C1034" i="4" s="1"/>
  <c r="AM1039" i="1"/>
  <c r="E1037" i="4" s="1"/>
  <c r="AL1051" i="1"/>
  <c r="D1049" i="4" s="1"/>
  <c r="AL1055" i="1"/>
  <c r="D1053" i="4" s="1"/>
  <c r="AL1063" i="1"/>
  <c r="D1061" i="4" s="1"/>
  <c r="AL1067" i="1"/>
  <c r="D1065" i="4" s="1"/>
  <c r="AK1072" i="1"/>
  <c r="C1070" i="4" s="1"/>
  <c r="AJ1076" i="1"/>
  <c r="B1074" i="4" s="1"/>
  <c r="AM417" i="1"/>
  <c r="E415" i="4" s="1"/>
  <c r="AM503" i="1"/>
  <c r="E501" i="4" s="1"/>
  <c r="AK560" i="1"/>
  <c r="C558" i="4" s="1"/>
  <c r="AM566" i="1"/>
  <c r="E564" i="4" s="1"/>
  <c r="AL602" i="1"/>
  <c r="D600" i="4" s="1"/>
  <c r="AK610" i="1"/>
  <c r="C608" i="4" s="1"/>
  <c r="AL638" i="1"/>
  <c r="D636" i="4" s="1"/>
  <c r="AK646" i="1"/>
  <c r="C644" i="4" s="1"/>
  <c r="AM697" i="1"/>
  <c r="E695" i="4" s="1"/>
  <c r="AL706" i="1"/>
  <c r="D704" i="4" s="1"/>
  <c r="AM713" i="1"/>
  <c r="E711" i="4" s="1"/>
  <c r="AL720" i="1"/>
  <c r="D718" i="4" s="1"/>
  <c r="AJ755" i="1"/>
  <c r="B753" i="4" s="1"/>
  <c r="AL762" i="1"/>
  <c r="D760" i="4" s="1"/>
  <c r="AJ781" i="1"/>
  <c r="B779" i="4" s="1"/>
  <c r="AK789" i="1"/>
  <c r="C787" i="4" s="1"/>
  <c r="AL796" i="1"/>
  <c r="D794" i="4" s="1"/>
  <c r="AM803" i="1"/>
  <c r="E801" i="4" s="1"/>
  <c r="AM836" i="1"/>
  <c r="E834" i="4" s="1"/>
  <c r="AM845" i="1"/>
  <c r="E843" i="4" s="1"/>
  <c r="AL848" i="1"/>
  <c r="D846" i="4" s="1"/>
  <c r="AK852" i="1"/>
  <c r="C850" i="4" s="1"/>
  <c r="AJ857" i="1"/>
  <c r="B855" i="4" s="1"/>
  <c r="AJ860" i="1"/>
  <c r="B858" i="4" s="1"/>
  <c r="AM871" i="1"/>
  <c r="E869" i="4" s="1"/>
  <c r="AJ875" i="1"/>
  <c r="B873" i="4" s="1"/>
  <c r="AL879" i="1"/>
  <c r="D877" i="4" s="1"/>
  <c r="AK883" i="1"/>
  <c r="C881" i="4" s="1"/>
  <c r="AJ891" i="1"/>
  <c r="B889" i="4" s="1"/>
  <c r="AL897" i="1"/>
  <c r="D895" i="4" s="1"/>
  <c r="AJ903" i="1"/>
  <c r="B901" i="4" s="1"/>
  <c r="AM909" i="1"/>
  <c r="E907" i="4" s="1"/>
  <c r="AK915" i="1"/>
  <c r="C913" i="4" s="1"/>
  <c r="AJ919" i="1"/>
  <c r="B917" i="4" s="1"/>
  <c r="AM921" i="1"/>
  <c r="E919" i="4" s="1"/>
  <c r="AJ927" i="1"/>
  <c r="B925" i="4" s="1"/>
  <c r="AM933" i="1"/>
  <c r="E931" i="4" s="1"/>
  <c r="AK939" i="1"/>
  <c r="C937" i="4" s="1"/>
  <c r="AJ943" i="1"/>
  <c r="B941" i="4" s="1"/>
  <c r="AL951" i="1"/>
  <c r="D949" i="4" s="1"/>
  <c r="AK955" i="1"/>
  <c r="C953" i="4" s="1"/>
  <c r="AM963" i="1"/>
  <c r="E961" i="4" s="1"/>
  <c r="AL967" i="1"/>
  <c r="D965" i="4" s="1"/>
  <c r="AJ971" i="1"/>
  <c r="B969" i="4" s="1"/>
  <c r="AM979" i="1"/>
  <c r="E977" i="4" s="1"/>
  <c r="AK996" i="1"/>
  <c r="C994" i="4" s="1"/>
  <c r="AK1008" i="1"/>
  <c r="C1006" i="4" s="1"/>
  <c r="AJ1013" i="1"/>
  <c r="B1011" i="4" s="1"/>
  <c r="AJ1016" i="1"/>
  <c r="B1014" i="4" s="1"/>
  <c r="AK1020" i="1"/>
  <c r="C1018" i="4" s="1"/>
  <c r="AJ1025" i="1"/>
  <c r="B1023" i="4" s="1"/>
  <c r="AJ1028" i="1"/>
  <c r="B1026" i="4" s="1"/>
  <c r="AK1032" i="1"/>
  <c r="C1030" i="4" s="1"/>
  <c r="AK1044" i="1"/>
  <c r="C1042" i="4" s="1"/>
  <c r="AK1048" i="1"/>
  <c r="C1046" i="4" s="1"/>
  <c r="AM1051" i="1"/>
  <c r="E1049" i="4" s="1"/>
  <c r="AK1060" i="1"/>
  <c r="C1058" i="4" s="1"/>
  <c r="AM1063" i="1"/>
  <c r="E1061" i="4" s="1"/>
  <c r="AL1076" i="1"/>
  <c r="D1074" i="4" s="1"/>
  <c r="AJ485" i="1"/>
  <c r="B483" i="4" s="1"/>
  <c r="AJ553" i="1"/>
  <c r="B551" i="4" s="1"/>
  <c r="AK582" i="1"/>
  <c r="C580" i="4" s="1"/>
  <c r="AK661" i="1"/>
  <c r="C659" i="4" s="1"/>
  <c r="AJ682" i="1"/>
  <c r="B680" i="4" s="1"/>
  <c r="AK701" i="1"/>
  <c r="C699" i="4" s="1"/>
  <c r="AJ839" i="1"/>
  <c r="B837" i="4" s="1"/>
  <c r="AJ869" i="1"/>
  <c r="B867" i="4" s="1"/>
  <c r="AL883" i="1"/>
  <c r="D881" i="4" s="1"/>
  <c r="AL903" i="1"/>
  <c r="D901" i="4" s="1"/>
  <c r="AL917" i="1"/>
  <c r="D915" i="4" s="1"/>
  <c r="AK924" i="1"/>
  <c r="C922" i="4" s="1"/>
  <c r="AK931" i="1"/>
  <c r="C929" i="4" s="1"/>
  <c r="AM953" i="1"/>
  <c r="E951" i="4" s="1"/>
  <c r="AL959" i="1"/>
  <c r="D957" i="4" s="1"/>
  <c r="AM967" i="1"/>
  <c r="E965" i="4" s="1"/>
  <c r="AM990" i="1"/>
  <c r="E988" i="4" s="1"/>
  <c r="AM1004" i="1"/>
  <c r="E1002" i="4" s="1"/>
  <c r="AK1026" i="1"/>
  <c r="C1024" i="4" s="1"/>
  <c r="AM1034" i="1"/>
  <c r="E1032" i="4" s="1"/>
  <c r="AM1040" i="1"/>
  <c r="E1038" i="4" s="1"/>
  <c r="AK1062" i="1"/>
  <c r="C1060" i="4" s="1"/>
  <c r="AJ1077" i="1"/>
  <c r="B1075" i="4" s="1"/>
  <c r="AJ1083" i="1"/>
  <c r="B1081" i="4" s="1"/>
  <c r="AL1086" i="1"/>
  <c r="D1084" i="4" s="1"/>
  <c r="AL1089" i="1"/>
  <c r="D1087" i="4" s="1"/>
  <c r="AM1095" i="1"/>
  <c r="E1093" i="4" s="1"/>
  <c r="AM1107" i="1"/>
  <c r="E1105" i="4" s="1"/>
  <c r="AM1119" i="1"/>
  <c r="E1117" i="4" s="1"/>
  <c r="AM1131" i="1"/>
  <c r="E1129" i="4" s="1"/>
  <c r="AM1143" i="1"/>
  <c r="E1141" i="4" s="1"/>
  <c r="AM1155" i="1"/>
  <c r="E1153" i="4" s="1"/>
  <c r="AM1167" i="1"/>
  <c r="E1165" i="4" s="1"/>
  <c r="AM1179" i="1"/>
  <c r="E1177" i="4" s="1"/>
  <c r="AJ1195" i="1"/>
  <c r="B1193" i="4" s="1"/>
  <c r="AJ1205" i="1"/>
  <c r="B1203" i="4" s="1"/>
  <c r="AM1207" i="1"/>
  <c r="E1205" i="4" s="1"/>
  <c r="AK1212" i="1"/>
  <c r="C1210" i="4" s="1"/>
  <c r="AK1217" i="1"/>
  <c r="C1215" i="4" s="1"/>
  <c r="AM1219" i="1"/>
  <c r="E1217" i="4" s="1"/>
  <c r="AK1224" i="1"/>
  <c r="C1222" i="4" s="1"/>
  <c r="AK1229" i="1"/>
  <c r="C1227" i="4" s="1"/>
  <c r="AK1236" i="1"/>
  <c r="C1234" i="4" s="1"/>
  <c r="AK1241" i="1"/>
  <c r="C1239" i="4" s="1"/>
  <c r="AL1253" i="1"/>
  <c r="D1251" i="4" s="1"/>
  <c r="AJ1256" i="1"/>
  <c r="B1254" i="4" s="1"/>
  <c r="AL1261" i="1"/>
  <c r="D1259" i="4" s="1"/>
  <c r="AL1268" i="1"/>
  <c r="D1266" i="4" s="1"/>
  <c r="AK1278" i="1"/>
  <c r="C1276" i="4" s="1"/>
  <c r="AJ1281" i="1"/>
  <c r="B1279" i="4" s="1"/>
  <c r="AM1287" i="1"/>
  <c r="E1285" i="4" s="1"/>
  <c r="AL1294" i="1"/>
  <c r="D1292" i="4" s="1"/>
  <c r="AM1299" i="1"/>
  <c r="E1297" i="4" s="1"/>
  <c r="AL1302" i="1"/>
  <c r="D1300" i="4" s="1"/>
  <c r="AM1310" i="1"/>
  <c r="E1308" i="4" s="1"/>
  <c r="AM1316" i="1"/>
  <c r="E1314" i="4" s="1"/>
  <c r="AJ261" i="1"/>
  <c r="B259" i="4" s="1"/>
  <c r="AM270" i="1"/>
  <c r="E268" i="4" s="1"/>
  <c r="AJ292" i="1"/>
  <c r="B290" i="4" s="1"/>
  <c r="AJ303" i="1"/>
  <c r="B301" i="4" s="1"/>
  <c r="AJ313" i="1"/>
  <c r="B311" i="4" s="1"/>
  <c r="AK634" i="1"/>
  <c r="C632" i="4" s="1"/>
  <c r="AM744" i="1"/>
  <c r="E742" i="4" s="1"/>
  <c r="AM831" i="1"/>
  <c r="E829" i="4" s="1"/>
  <c r="AK891" i="1"/>
  <c r="C889" i="4" s="1"/>
  <c r="AL911" i="1"/>
  <c r="D909" i="4" s="1"/>
  <c r="AM939" i="1"/>
  <c r="E937" i="4" s="1"/>
  <c r="AK960" i="1"/>
  <c r="C958" i="4" s="1"/>
  <c r="AK968" i="1"/>
  <c r="C966" i="4" s="1"/>
  <c r="AM977" i="1"/>
  <c r="E975" i="4" s="1"/>
  <c r="AM984" i="1"/>
  <c r="E982" i="4" s="1"/>
  <c r="AJ1005" i="1"/>
  <c r="B1003" i="4" s="1"/>
  <c r="AL1013" i="1"/>
  <c r="D1011" i="4" s="1"/>
  <c r="AM1020" i="1"/>
  <c r="E1018" i="4" s="1"/>
  <c r="AJ1035" i="1"/>
  <c r="B1033" i="4" s="1"/>
  <c r="AJ1041" i="1"/>
  <c r="B1039" i="4" s="1"/>
  <c r="AM1049" i="1"/>
  <c r="E1047" i="4" s="1"/>
  <c r="AM1056" i="1"/>
  <c r="E1054" i="4" s="1"/>
  <c r="AJ1071" i="1"/>
  <c r="B1069" i="4" s="1"/>
  <c r="AM1083" i="1"/>
  <c r="E1081" i="4" s="1"/>
  <c r="AL1099" i="1"/>
  <c r="D1097" i="4" s="1"/>
  <c r="AL1111" i="1"/>
  <c r="D1109" i="4" s="1"/>
  <c r="AL1123" i="1"/>
  <c r="D1121" i="4" s="1"/>
  <c r="AL1135" i="1"/>
  <c r="D1133" i="4" s="1"/>
  <c r="AL1147" i="1"/>
  <c r="D1145" i="4" s="1"/>
  <c r="AL1159" i="1"/>
  <c r="D1157" i="4" s="1"/>
  <c r="AK1171" i="1"/>
  <c r="C1169" i="4" s="1"/>
  <c r="AK1183" i="1"/>
  <c r="C1181" i="4" s="1"/>
  <c r="AJ1193" i="1"/>
  <c r="B1191" i="4" s="1"/>
  <c r="AM1195" i="1"/>
  <c r="E1193" i="4" s="1"/>
  <c r="AL1205" i="1"/>
  <c r="D1203" i="4" s="1"/>
  <c r="AJ1208" i="1"/>
  <c r="B1206" i="4" s="1"/>
  <c r="AK1213" i="1"/>
  <c r="C1211" i="4" s="1"/>
  <c r="AM1217" i="1"/>
  <c r="E1215" i="4" s="1"/>
  <c r="AJ1220" i="1"/>
  <c r="B1218" i="4" s="1"/>
  <c r="AK1225" i="1"/>
  <c r="C1223" i="4" s="1"/>
  <c r="AM1229" i="1"/>
  <c r="E1227" i="4" s="1"/>
  <c r="AL1232" i="1"/>
  <c r="D1230" i="4" s="1"/>
  <c r="AK1237" i="1"/>
  <c r="C1235" i="4" s="1"/>
  <c r="AM1241" i="1"/>
  <c r="E1239" i="4" s="1"/>
  <c r="AL1244" i="1"/>
  <c r="D1242" i="4" s="1"/>
  <c r="AL1249" i="1"/>
  <c r="D1247" i="4" s="1"/>
  <c r="AM1256" i="1"/>
  <c r="E1254" i="4" s="1"/>
  <c r="AM1262" i="1"/>
  <c r="E1260" i="4" s="1"/>
  <c r="AK1266" i="1"/>
  <c r="C1264" i="4" s="1"/>
  <c r="AM1275" i="1"/>
  <c r="E1273" i="4" s="1"/>
  <c r="AM1278" i="1"/>
  <c r="E1276" i="4" s="1"/>
  <c r="AL1291" i="1"/>
  <c r="D1289" i="4" s="1"/>
  <c r="AK1295" i="1"/>
  <c r="C1293" i="4" s="1"/>
  <c r="AK1300" i="1"/>
  <c r="C1298" i="4" s="1"/>
  <c r="AL1306" i="1"/>
  <c r="D1304" i="4" s="1"/>
  <c r="AK1311" i="1"/>
  <c r="C1309" i="4" s="1"/>
  <c r="AK1314" i="1"/>
  <c r="C1312" i="4" s="1"/>
  <c r="AJ596" i="1"/>
  <c r="B594" i="4" s="1"/>
  <c r="AK606" i="1"/>
  <c r="C604" i="4" s="1"/>
  <c r="AL626" i="1"/>
  <c r="D624" i="4" s="1"/>
  <c r="AM646" i="1"/>
  <c r="E644" i="4" s="1"/>
  <c r="AL774" i="1"/>
  <c r="D772" i="4" s="1"/>
  <c r="AL857" i="1"/>
  <c r="D855" i="4" s="1"/>
  <c r="AL884" i="1"/>
  <c r="D882" i="4" s="1"/>
  <c r="AK912" i="1"/>
  <c r="C910" i="4" s="1"/>
  <c r="AL919" i="1"/>
  <c r="D917" i="4" s="1"/>
  <c r="AK927" i="1"/>
  <c r="C925" i="4" s="1"/>
  <c r="AM955" i="1"/>
  <c r="E953" i="4" s="1"/>
  <c r="AL961" i="1"/>
  <c r="D959" i="4" s="1"/>
  <c r="AK978" i="1"/>
  <c r="C976" i="4" s="1"/>
  <c r="AL985" i="1"/>
  <c r="D983" i="4" s="1"/>
  <c r="AM992" i="1"/>
  <c r="E990" i="4" s="1"/>
  <c r="AK1050" i="1"/>
  <c r="C1048" i="4" s="1"/>
  <c r="AL1057" i="1"/>
  <c r="D1055" i="4" s="1"/>
  <c r="AJ1079" i="1"/>
  <c r="B1077" i="4" s="1"/>
  <c r="AL1087" i="1"/>
  <c r="D1085" i="4" s="1"/>
  <c r="AK1092" i="1"/>
  <c r="C1090" i="4" s="1"/>
  <c r="AK1097" i="1"/>
  <c r="C1095" i="4" s="1"/>
  <c r="AK1109" i="1"/>
  <c r="C1107" i="4" s="1"/>
  <c r="AK1121" i="1"/>
  <c r="C1119" i="4" s="1"/>
  <c r="AK1133" i="1"/>
  <c r="C1131" i="4" s="1"/>
  <c r="AK1145" i="1"/>
  <c r="C1143" i="4" s="1"/>
  <c r="AK1157" i="1"/>
  <c r="C1155" i="4" s="1"/>
  <c r="AK1169" i="1"/>
  <c r="C1167" i="4" s="1"/>
  <c r="AM1171" i="1"/>
  <c r="E1169" i="4" s="1"/>
  <c r="AK1181" i="1"/>
  <c r="C1179" i="4" s="1"/>
  <c r="AM1183" i="1"/>
  <c r="E1181" i="4" s="1"/>
  <c r="AL1193" i="1"/>
  <c r="D1191" i="4" s="1"/>
  <c r="AJ1196" i="1"/>
  <c r="B1194" i="4" s="1"/>
  <c r="AL1201" i="1"/>
  <c r="D1199" i="4" s="1"/>
  <c r="AM1208" i="1"/>
  <c r="E1206" i="4" s="1"/>
  <c r="AJ1218" i="1"/>
  <c r="B1216" i="4" s="1"/>
  <c r="AM1220" i="1"/>
  <c r="E1218" i="4" s="1"/>
  <c r="AJ1230" i="1"/>
  <c r="B1228" i="4" s="1"/>
  <c r="AJ1242" i="1"/>
  <c r="B1240" i="4" s="1"/>
  <c r="AM1250" i="1"/>
  <c r="E1248" i="4" s="1"/>
  <c r="AK1254" i="1"/>
  <c r="C1252" i="4" s="1"/>
  <c r="AJ1257" i="1"/>
  <c r="B1255" i="4" s="1"/>
  <c r="AK1263" i="1"/>
  <c r="C1261" i="4" s="1"/>
  <c r="AM1266" i="1"/>
  <c r="E1264" i="4" s="1"/>
  <c r="AK1276" i="1"/>
  <c r="C1274" i="4" s="1"/>
  <c r="AJ1279" i="1"/>
  <c r="B1277" i="4" s="1"/>
  <c r="AK1283" i="1"/>
  <c r="C1281" i="4" s="1"/>
  <c r="AK1289" i="1"/>
  <c r="C1287" i="4" s="1"/>
  <c r="AL1303" i="1"/>
  <c r="D1301" i="4" s="1"/>
  <c r="AJ1307" i="1"/>
  <c r="B1305" i="4" s="1"/>
  <c r="AJ1312" i="1"/>
  <c r="B1310" i="4" s="1"/>
  <c r="AM1314" i="1"/>
  <c r="E1312" i="4" s="1"/>
  <c r="AM548" i="1"/>
  <c r="E546" i="4" s="1"/>
  <c r="AM577" i="1"/>
  <c r="E575" i="4" s="1"/>
  <c r="AJ685" i="1"/>
  <c r="B683" i="4" s="1"/>
  <c r="AJ805" i="1"/>
  <c r="B803" i="4" s="1"/>
  <c r="AL849" i="1"/>
  <c r="D847" i="4" s="1"/>
  <c r="AM857" i="1"/>
  <c r="E855" i="4" s="1"/>
  <c r="AJ864" i="1"/>
  <c r="B862" i="4" s="1"/>
  <c r="AM879" i="1"/>
  <c r="E877" i="4" s="1"/>
  <c r="AL927" i="1"/>
  <c r="D925" i="4" s="1"/>
  <c r="AL941" i="1"/>
  <c r="D939" i="4" s="1"/>
  <c r="AJ1001" i="1"/>
  <c r="B999" i="4" s="1"/>
  <c r="AK1014" i="1"/>
  <c r="C1012" i="4" s="1"/>
  <c r="AL1029" i="1"/>
  <c r="D1027" i="4" s="1"/>
  <c r="AJ1037" i="1"/>
  <c r="B1035" i="4" s="1"/>
  <c r="AJ1065" i="1"/>
  <c r="B1063" i="4" s="1"/>
  <c r="AJ1085" i="1"/>
  <c r="B1083" i="4" s="1"/>
  <c r="AM1087" i="1"/>
  <c r="E1085" i="4" s="1"/>
  <c r="AL1097" i="1"/>
  <c r="D1095" i="4" s="1"/>
  <c r="AJ1100" i="1"/>
  <c r="B1098" i="4" s="1"/>
  <c r="AK1105" i="1"/>
  <c r="C1103" i="4" s="1"/>
  <c r="AL1109" i="1"/>
  <c r="D1107" i="4" s="1"/>
  <c r="AJ1112" i="1"/>
  <c r="B1110" i="4" s="1"/>
  <c r="AK1117" i="1"/>
  <c r="C1115" i="4" s="1"/>
  <c r="AL1121" i="1"/>
  <c r="D1119" i="4" s="1"/>
  <c r="AJ1124" i="1"/>
  <c r="B1122" i="4" s="1"/>
  <c r="AK1129" i="1"/>
  <c r="C1127" i="4" s="1"/>
  <c r="AL1133" i="1"/>
  <c r="D1131" i="4" s="1"/>
  <c r="AJ1136" i="1"/>
  <c r="B1134" i="4" s="1"/>
  <c r="AK1141" i="1"/>
  <c r="C1139" i="4" s="1"/>
  <c r="AL1145" i="1"/>
  <c r="D1143" i="4" s="1"/>
  <c r="AJ1148" i="1"/>
  <c r="B1146" i="4" s="1"/>
  <c r="AK1153" i="1"/>
  <c r="C1151" i="4" s="1"/>
  <c r="AL1157" i="1"/>
  <c r="D1155" i="4" s="1"/>
  <c r="AJ1160" i="1"/>
  <c r="B1158" i="4" s="1"/>
  <c r="AK1165" i="1"/>
  <c r="C1163" i="4" s="1"/>
  <c r="AL1169" i="1"/>
  <c r="D1167" i="4" s="1"/>
  <c r="AK1177" i="1"/>
  <c r="C1175" i="4" s="1"/>
  <c r="AL1181" i="1"/>
  <c r="D1179" i="4" s="1"/>
  <c r="AK1189" i="1"/>
  <c r="C1187" i="4" s="1"/>
  <c r="AM1193" i="1"/>
  <c r="E1191" i="4" s="1"/>
  <c r="AL1196" i="1"/>
  <c r="D1194" i="4" s="1"/>
  <c r="AJ1206" i="1"/>
  <c r="B1204" i="4" s="1"/>
  <c r="AM1214" i="1"/>
  <c r="E1212" i="4" s="1"/>
  <c r="AK1218" i="1"/>
  <c r="C1216" i="4" s="1"/>
  <c r="AM1226" i="1"/>
  <c r="E1224" i="4" s="1"/>
  <c r="AK1230" i="1"/>
  <c r="C1228" i="4" s="1"/>
  <c r="AJ1233" i="1"/>
  <c r="B1231" i="4" s="1"/>
  <c r="AK1242" i="1"/>
  <c r="C1240" i="4" s="1"/>
  <c r="AJ1245" i="1"/>
  <c r="B1243" i="4" s="1"/>
  <c r="AL1254" i="1"/>
  <c r="D1252" i="4" s="1"/>
  <c r="AM1263" i="1"/>
  <c r="E1261" i="4" s="1"/>
  <c r="AL1270" i="1"/>
  <c r="D1268" i="4" s="1"/>
  <c r="AL1279" i="1"/>
  <c r="D1277" i="4" s="1"/>
  <c r="AL1283" i="1"/>
  <c r="D1281" i="4" s="1"/>
  <c r="AL1289" i="1"/>
  <c r="D1287" i="4" s="1"/>
  <c r="AJ1292" i="1"/>
  <c r="B1290" i="4" s="1"/>
  <c r="AJ1301" i="1"/>
  <c r="B1299" i="4" s="1"/>
  <c r="AM1303" i="1"/>
  <c r="E1301" i="4" s="1"/>
  <c r="AK1307" i="1"/>
  <c r="C1305" i="4" s="1"/>
  <c r="AK1312" i="1"/>
  <c r="C1310" i="4" s="1"/>
  <c r="AK362" i="1"/>
  <c r="C360" i="4" s="1"/>
  <c r="AJ618" i="1"/>
  <c r="B616" i="4" s="1"/>
  <c r="AJ816" i="1"/>
  <c r="B814" i="4" s="1"/>
  <c r="AK824" i="1"/>
  <c r="C822" i="4" s="1"/>
  <c r="AJ843" i="1"/>
  <c r="B841" i="4" s="1"/>
  <c r="AK864" i="1"/>
  <c r="C862" i="4" s="1"/>
  <c r="AJ872" i="1"/>
  <c r="B870" i="4" s="1"/>
  <c r="AJ893" i="1"/>
  <c r="B891" i="4" s="1"/>
  <c r="AJ899" i="1"/>
  <c r="B897" i="4" s="1"/>
  <c r="AJ907" i="1"/>
  <c r="B905" i="4" s="1"/>
  <c r="AK920" i="1"/>
  <c r="C918" i="4" s="1"/>
  <c r="AJ956" i="1"/>
  <c r="B954" i="4" s="1"/>
  <c r="AL971" i="1"/>
  <c r="D969" i="4" s="1"/>
  <c r="AJ993" i="1"/>
  <c r="B991" i="4" s="1"/>
  <c r="AL1001" i="1"/>
  <c r="D999" i="4" s="1"/>
  <c r="AK1023" i="1"/>
  <c r="C1021" i="4" s="1"/>
  <c r="AL1037" i="1"/>
  <c r="D1035" i="4" s="1"/>
  <c r="AM1065" i="1"/>
  <c r="E1063" i="4" s="1"/>
  <c r="AJ1074" i="1"/>
  <c r="B1072" i="4" s="1"/>
  <c r="AK1080" i="1"/>
  <c r="C1078" i="4" s="1"/>
  <c r="AK1085" i="1"/>
  <c r="C1083" i="4" s="1"/>
  <c r="AK1093" i="1"/>
  <c r="C1091" i="4" s="1"/>
  <c r="AM1097" i="1"/>
  <c r="E1095" i="4" s="1"/>
  <c r="AL1100" i="1"/>
  <c r="D1098" i="4" s="1"/>
  <c r="AL1105" i="1"/>
  <c r="D1103" i="4" s="1"/>
  <c r="AM1109" i="1"/>
  <c r="E1107" i="4" s="1"/>
  <c r="AL1112" i="1"/>
  <c r="D1110" i="4" s="1"/>
  <c r="AL1117" i="1"/>
  <c r="D1115" i="4" s="1"/>
  <c r="AM1121" i="1"/>
  <c r="E1119" i="4" s="1"/>
  <c r="AL1124" i="1"/>
  <c r="D1122" i="4" s="1"/>
  <c r="AL1129" i="1"/>
  <c r="D1127" i="4" s="1"/>
  <c r="AM1133" i="1"/>
  <c r="E1131" i="4" s="1"/>
  <c r="AL1136" i="1"/>
  <c r="D1134" i="4" s="1"/>
  <c r="AL1141" i="1"/>
  <c r="D1139" i="4" s="1"/>
  <c r="AM1145" i="1"/>
  <c r="E1143" i="4" s="1"/>
  <c r="AL1148" i="1"/>
  <c r="D1146" i="4" s="1"/>
  <c r="AL1153" i="1"/>
  <c r="D1151" i="4" s="1"/>
  <c r="AM1157" i="1"/>
  <c r="E1155" i="4" s="1"/>
  <c r="AL1160" i="1"/>
  <c r="D1158" i="4" s="1"/>
  <c r="AL1165" i="1"/>
  <c r="D1163" i="4" s="1"/>
  <c r="AM1169" i="1"/>
  <c r="E1167" i="4" s="1"/>
  <c r="AJ1172" i="1"/>
  <c r="B1170" i="4" s="1"/>
  <c r="AL1177" i="1"/>
  <c r="D1175" i="4" s="1"/>
  <c r="AM1181" i="1"/>
  <c r="E1179" i="4" s="1"/>
  <c r="AJ1184" i="1"/>
  <c r="B1182" i="4" s="1"/>
  <c r="AL1189" i="1"/>
  <c r="D1187" i="4" s="1"/>
  <c r="AM1196" i="1"/>
  <c r="E1194" i="4" s="1"/>
  <c r="AM1202" i="1"/>
  <c r="E1200" i="4" s="1"/>
  <c r="AK1206" i="1"/>
  <c r="C1204" i="4" s="1"/>
  <c r="AJ1209" i="1"/>
  <c r="B1207" i="4" s="1"/>
  <c r="AL1218" i="1"/>
  <c r="D1216" i="4" s="1"/>
  <c r="AJ1221" i="1"/>
  <c r="B1219" i="4" s="1"/>
  <c r="AL1230" i="1"/>
  <c r="D1228" i="4" s="1"/>
  <c r="AL1233" i="1"/>
  <c r="D1231" i="4" s="1"/>
  <c r="AK1239" i="1"/>
  <c r="C1237" i="4" s="1"/>
  <c r="AL1242" i="1"/>
  <c r="D1240" i="4" s="1"/>
  <c r="AL1245" i="1"/>
  <c r="D1243" i="4" s="1"/>
  <c r="AK1251" i="1"/>
  <c r="C1249" i="4" s="1"/>
  <c r="AM1254" i="1"/>
  <c r="E1252" i="4" s="1"/>
  <c r="AJ1267" i="1"/>
  <c r="B1265" i="4" s="1"/>
  <c r="AJ1277" i="1"/>
  <c r="B1275" i="4" s="1"/>
  <c r="AM1279" i="1"/>
  <c r="E1277" i="4" s="1"/>
  <c r="AM1289" i="1"/>
  <c r="E1287" i="4" s="1"/>
  <c r="AL1292" i="1"/>
  <c r="D1290" i="4" s="1"/>
  <c r="AL1297" i="1"/>
  <c r="D1295" i="4" s="1"/>
  <c r="AK1301" i="1"/>
  <c r="C1299" i="4" s="1"/>
  <c r="AL1307" i="1"/>
  <c r="D1305" i="4" s="1"/>
  <c r="AM1312" i="1"/>
  <c r="E1310" i="4" s="1"/>
  <c r="AJ1315" i="1"/>
  <c r="B1313" i="4" s="1"/>
  <c r="AJ410" i="1"/>
  <c r="B408" i="4" s="1"/>
  <c r="AJ549" i="1"/>
  <c r="B547" i="4" s="1"/>
  <c r="AK598" i="1"/>
  <c r="C596" i="4" s="1"/>
  <c r="AK618" i="1"/>
  <c r="C616" i="4" s="1"/>
  <c r="AJ748" i="1"/>
  <c r="B746" i="4" s="1"/>
  <c r="AJ758" i="1"/>
  <c r="B756" i="4" s="1"/>
  <c r="AJ797" i="1"/>
  <c r="B795" i="4" s="1"/>
  <c r="AL816" i="1"/>
  <c r="D814" i="4" s="1"/>
  <c r="AL843" i="1"/>
  <c r="D841" i="4" s="1"/>
  <c r="AK858" i="1"/>
  <c r="C856" i="4" s="1"/>
  <c r="AL872" i="1"/>
  <c r="D870" i="4" s="1"/>
  <c r="AK907" i="1"/>
  <c r="C905" i="4" s="1"/>
  <c r="AL935" i="1"/>
  <c r="D933" i="4" s="1"/>
  <c r="AM956" i="1"/>
  <c r="E954" i="4" s="1"/>
  <c r="AJ980" i="1"/>
  <c r="B978" i="4" s="1"/>
  <c r="AM993" i="1"/>
  <c r="E991" i="4" s="1"/>
  <c r="AM1008" i="1"/>
  <c r="E1006" i="4" s="1"/>
  <c r="AM1044" i="1"/>
  <c r="E1042" i="4" s="1"/>
  <c r="AJ1052" i="1"/>
  <c r="B1050" i="4" s="1"/>
  <c r="AL1074" i="1"/>
  <c r="D1072" i="4" s="1"/>
  <c r="AL1085" i="1"/>
  <c r="D1083" i="4" s="1"/>
  <c r="AJ1088" i="1"/>
  <c r="B1086" i="4" s="1"/>
  <c r="AL1093" i="1"/>
  <c r="D1091" i="4" s="1"/>
  <c r="AM1100" i="1"/>
  <c r="E1098" i="4" s="1"/>
  <c r="AM1112" i="1"/>
  <c r="E1110" i="4" s="1"/>
  <c r="AM1124" i="1"/>
  <c r="E1122" i="4" s="1"/>
  <c r="AM1136" i="1"/>
  <c r="E1134" i="4" s="1"/>
  <c r="AM1148" i="1"/>
  <c r="E1146" i="4" s="1"/>
  <c r="AM1160" i="1"/>
  <c r="E1158" i="4" s="1"/>
  <c r="AL1172" i="1"/>
  <c r="D1170" i="4" s="1"/>
  <c r="AL1184" i="1"/>
  <c r="D1182" i="4" s="1"/>
  <c r="AJ1194" i="1"/>
  <c r="B1192" i="4" s="1"/>
  <c r="AL1206" i="1"/>
  <c r="D1204" i="4" s="1"/>
  <c r="AL1209" i="1"/>
  <c r="D1207" i="4" s="1"/>
  <c r="AK1215" i="1"/>
  <c r="C1213" i="4" s="1"/>
  <c r="AM1218" i="1"/>
  <c r="E1216" i="4" s="1"/>
  <c r="AL1221" i="1"/>
  <c r="D1219" i="4" s="1"/>
  <c r="AK1227" i="1"/>
  <c r="C1225" i="4" s="1"/>
  <c r="AM1230" i="1"/>
  <c r="E1228" i="4" s="1"/>
  <c r="AM1239" i="1"/>
  <c r="E1237" i="4" s="1"/>
  <c r="AM1242" i="1"/>
  <c r="E1240" i="4" s="1"/>
  <c r="AM1251" i="1"/>
  <c r="E1249" i="4" s="1"/>
  <c r="AJ1259" i="1"/>
  <c r="B1257" i="4" s="1"/>
  <c r="AK1267" i="1"/>
  <c r="C1265" i="4" s="1"/>
  <c r="AL1271" i="1"/>
  <c r="D1269" i="4" s="1"/>
  <c r="AK1277" i="1"/>
  <c r="C1275" i="4" s="1"/>
  <c r="AK1284" i="1"/>
  <c r="C1282" i="4" s="1"/>
  <c r="AM1292" i="1"/>
  <c r="E1290" i="4" s="1"/>
  <c r="AM1297" i="1"/>
  <c r="E1295" i="4" s="1"/>
  <c r="AL1301" i="1"/>
  <c r="D1299" i="4" s="1"/>
  <c r="AJ1304" i="1"/>
  <c r="B1302" i="4" s="1"/>
  <c r="AL1315" i="1"/>
  <c r="D1313" i="4" s="1"/>
  <c r="AL649" i="1"/>
  <c r="D647" i="4" s="1"/>
  <c r="AM668" i="1"/>
  <c r="E666" i="4" s="1"/>
  <c r="AJ698" i="1"/>
  <c r="B696" i="4" s="1"/>
  <c r="AL728" i="1"/>
  <c r="D726" i="4" s="1"/>
  <c r="AJ881" i="1"/>
  <c r="B879" i="4" s="1"/>
  <c r="AJ887" i="1"/>
  <c r="B885" i="4" s="1"/>
  <c r="AM907" i="1"/>
  <c r="E905" i="4" s="1"/>
  <c r="AL915" i="1"/>
  <c r="D913" i="4" s="1"/>
  <c r="AJ929" i="1"/>
  <c r="B927" i="4" s="1"/>
  <c r="AK943" i="1"/>
  <c r="C941" i="4" s="1"/>
  <c r="AM951" i="1"/>
  <c r="E949" i="4" s="1"/>
  <c r="AM1002" i="1"/>
  <c r="E1000" i="4" s="1"/>
  <c r="AM1016" i="1"/>
  <c r="E1014" i="4" s="1"/>
  <c r="AM1038" i="1"/>
  <c r="E1036" i="4" s="1"/>
  <c r="AK1081" i="1"/>
  <c r="C1079" i="4" s="1"/>
  <c r="AM1085" i="1"/>
  <c r="E1083" i="4" s="1"/>
  <c r="AL1088" i="1"/>
  <c r="D1086" i="4" s="1"/>
  <c r="AJ1098" i="1"/>
  <c r="B1096" i="4" s="1"/>
  <c r="AM1106" i="1"/>
  <c r="E1104" i="4" s="1"/>
  <c r="AJ1110" i="1"/>
  <c r="B1108" i="4" s="1"/>
  <c r="AM1118" i="1"/>
  <c r="E1116" i="4" s="1"/>
  <c r="AJ1122" i="1"/>
  <c r="B1120" i="4" s="1"/>
  <c r="AM1130" i="1"/>
  <c r="E1128" i="4" s="1"/>
  <c r="AJ1134" i="1"/>
  <c r="B1132" i="4" s="1"/>
  <c r="AM1142" i="1"/>
  <c r="E1140" i="4" s="1"/>
  <c r="AJ1146" i="1"/>
  <c r="B1144" i="4" s="1"/>
  <c r="AM1154" i="1"/>
  <c r="E1152" i="4" s="1"/>
  <c r="AJ1158" i="1"/>
  <c r="B1156" i="4" s="1"/>
  <c r="AM1166" i="1"/>
  <c r="E1164" i="4" s="1"/>
  <c r="AJ1170" i="1"/>
  <c r="B1168" i="4" s="1"/>
  <c r="AM1172" i="1"/>
  <c r="E1170" i="4" s="1"/>
  <c r="AM1178" i="1"/>
  <c r="E1176" i="4" s="1"/>
  <c r="AJ1182" i="1"/>
  <c r="B1180" i="4" s="1"/>
  <c r="AM1184" i="1"/>
  <c r="E1182" i="4" s="1"/>
  <c r="AM1190" i="1"/>
  <c r="E1188" i="4" s="1"/>
  <c r="AK1194" i="1"/>
  <c r="C1192" i="4" s="1"/>
  <c r="AJ1197" i="1"/>
  <c r="B1195" i="4" s="1"/>
  <c r="AK1203" i="1"/>
  <c r="C1201" i="4" s="1"/>
  <c r="AM1206" i="1"/>
  <c r="E1204" i="4" s="1"/>
  <c r="AM1215" i="1"/>
  <c r="E1213" i="4" s="1"/>
  <c r="AM1227" i="1"/>
  <c r="E1225" i="4" s="1"/>
  <c r="AJ1255" i="1"/>
  <c r="B1253" i="4" s="1"/>
  <c r="AJ1265" i="1"/>
  <c r="B1263" i="4" s="1"/>
  <c r="AL1267" i="1"/>
  <c r="D1265" i="4" s="1"/>
  <c r="AL1277" i="1"/>
  <c r="D1275" i="4" s="1"/>
  <c r="AJ1280" i="1"/>
  <c r="B1278" i="4" s="1"/>
  <c r="AJ1290" i="1"/>
  <c r="B1288" i="4" s="1"/>
  <c r="AM1301" i="1"/>
  <c r="E1299" i="4" s="1"/>
  <c r="AL1304" i="1"/>
  <c r="D1302" i="4" s="1"/>
  <c r="AL1308" i="1"/>
  <c r="D1306" i="4" s="1"/>
  <c r="AJ1313" i="1"/>
  <c r="B1311" i="4" s="1"/>
  <c r="AM1315" i="1"/>
  <c r="E1313" i="4" s="1"/>
  <c r="AL267" i="1"/>
  <c r="D265" i="4" s="1"/>
  <c r="AM309" i="1"/>
  <c r="E307" i="4" s="1"/>
  <c r="AK319" i="1"/>
  <c r="C317" i="4" s="1"/>
  <c r="AL560" i="1"/>
  <c r="D558" i="4" s="1"/>
  <c r="AL590" i="1"/>
  <c r="D588" i="4" s="1"/>
  <c r="AL610" i="1"/>
  <c r="D608" i="4" s="1"/>
  <c r="AJ709" i="1"/>
  <c r="B707" i="4" s="1"/>
  <c r="AM728" i="1"/>
  <c r="E726" i="4" s="1"/>
  <c r="AL769" i="1"/>
  <c r="D767" i="4" s="1"/>
  <c r="AJ778" i="1"/>
  <c r="B776" i="4" s="1"/>
  <c r="AJ837" i="1"/>
  <c r="B835" i="4" s="1"/>
  <c r="AM852" i="1"/>
  <c r="E850" i="4" s="1"/>
  <c r="AM881" i="1"/>
  <c r="E879" i="4" s="1"/>
  <c r="AJ895" i="1"/>
  <c r="B893" i="4" s="1"/>
  <c r="AM915" i="1"/>
  <c r="E913" i="4" s="1"/>
  <c r="AK936" i="1"/>
  <c r="C934" i="4" s="1"/>
  <c r="AL943" i="1"/>
  <c r="D941" i="4" s="1"/>
  <c r="AL965" i="1"/>
  <c r="D963" i="4" s="1"/>
  <c r="AL981" i="1"/>
  <c r="D979" i="4" s="1"/>
  <c r="AJ989" i="1"/>
  <c r="B987" i="4" s="1"/>
  <c r="AL1025" i="1"/>
  <c r="D1023" i="4" s="1"/>
  <c r="AM1032" i="1"/>
  <c r="E1030" i="4" s="1"/>
  <c r="AL1053" i="1"/>
  <c r="D1051" i="4" s="1"/>
  <c r="AJ1061" i="1"/>
  <c r="B1059" i="4" s="1"/>
  <c r="AL1081" i="1"/>
  <c r="D1079" i="4" s="1"/>
  <c r="AM1088" i="1"/>
  <c r="E1086" i="4" s="1"/>
  <c r="AK1098" i="1"/>
  <c r="C1096" i="4" s="1"/>
  <c r="AJ1101" i="1"/>
  <c r="B1099" i="4" s="1"/>
  <c r="AK1110" i="1"/>
  <c r="C1108" i="4" s="1"/>
  <c r="AJ1113" i="1"/>
  <c r="B1111" i="4" s="1"/>
  <c r="AK1122" i="1"/>
  <c r="C1120" i="4" s="1"/>
  <c r="AJ1125" i="1"/>
  <c r="B1123" i="4" s="1"/>
  <c r="AK1134" i="1"/>
  <c r="C1132" i="4" s="1"/>
  <c r="AJ1137" i="1"/>
  <c r="B1135" i="4" s="1"/>
  <c r="AK1146" i="1"/>
  <c r="C1144" i="4" s="1"/>
  <c r="AJ1149" i="1"/>
  <c r="B1147" i="4" s="1"/>
  <c r="AK1158" i="1"/>
  <c r="C1156" i="4" s="1"/>
  <c r="AJ1161" i="1"/>
  <c r="B1159" i="4" s="1"/>
  <c r="AK1170" i="1"/>
  <c r="C1168" i="4" s="1"/>
  <c r="AK1182" i="1"/>
  <c r="C1180" i="4" s="1"/>
  <c r="AL1194" i="1"/>
  <c r="D1192" i="4" s="1"/>
  <c r="AL1197" i="1"/>
  <c r="D1195" i="4" s="1"/>
  <c r="AM1203" i="1"/>
  <c r="E1201" i="4" s="1"/>
  <c r="AJ1219" i="1"/>
  <c r="B1217" i="4" s="1"/>
  <c r="AJ1231" i="1"/>
  <c r="B1229" i="4" s="1"/>
  <c r="AJ1235" i="1"/>
  <c r="B1233" i="4" s="1"/>
  <c r="AK1240" i="1"/>
  <c r="C1238" i="4" s="1"/>
  <c r="AJ1243" i="1"/>
  <c r="B1241" i="4" s="1"/>
  <c r="AJ1247" i="1"/>
  <c r="B1245" i="4" s="1"/>
  <c r="AL1255" i="1"/>
  <c r="D1253" i="4" s="1"/>
  <c r="AK1260" i="1"/>
  <c r="C1258" i="4" s="1"/>
  <c r="AK1265" i="1"/>
  <c r="C1263" i="4" s="1"/>
  <c r="AM1267" i="1"/>
  <c r="E1265" i="4" s="1"/>
  <c r="AK1272" i="1"/>
  <c r="C1270" i="4" s="1"/>
  <c r="AM1277" i="1"/>
  <c r="E1275" i="4" s="1"/>
  <c r="AL1280" i="1"/>
  <c r="D1278" i="4" s="1"/>
  <c r="AK1290" i="1"/>
  <c r="C1288" i="4" s="1"/>
  <c r="AJ1293" i="1"/>
  <c r="B1291" i="4" s="1"/>
  <c r="AK1298" i="1"/>
  <c r="C1296" i="4" s="1"/>
  <c r="AM1304" i="1"/>
  <c r="E1302" i="4" s="1"/>
  <c r="AK1313" i="1"/>
  <c r="C1311" i="4" s="1"/>
  <c r="AL721" i="1"/>
  <c r="D719" i="4" s="1"/>
  <c r="AM755" i="1"/>
  <c r="E753" i="4" s="1"/>
  <c r="AL841" i="1"/>
  <c r="D839" i="4" s="1"/>
  <c r="AK860" i="1"/>
  <c r="C858" i="4" s="1"/>
  <c r="AM869" i="1"/>
  <c r="E867" i="4" s="1"/>
  <c r="AK944" i="1"/>
  <c r="C942" i="4" s="1"/>
  <c r="AM1005" i="1"/>
  <c r="E1003" i="4" s="1"/>
  <c r="AM1025" i="1"/>
  <c r="E1023" i="4" s="1"/>
  <c r="AK1056" i="1"/>
  <c r="C1054" i="4" s="1"/>
  <c r="AM1076" i="1"/>
  <c r="E1074" i="4" s="1"/>
  <c r="AJ1099" i="1"/>
  <c r="B1097" i="4" s="1"/>
  <c r="AK1119" i="1"/>
  <c r="C1117" i="4" s="1"/>
  <c r="AL1125" i="1"/>
  <c r="D1123" i="4" s="1"/>
  <c r="AM1158" i="1"/>
  <c r="E1156" i="4" s="1"/>
  <c r="AJ1171" i="1"/>
  <c r="B1169" i="4" s="1"/>
  <c r="AM1191" i="1"/>
  <c r="E1189" i="4" s="1"/>
  <c r="AJ1207" i="1"/>
  <c r="B1205" i="4" s="1"/>
  <c r="AJ1266" i="1"/>
  <c r="B1264" i="4" s="1"/>
  <c r="AL1290" i="1"/>
  <c r="D1288" i="4" s="1"/>
  <c r="AJ1303" i="1"/>
  <c r="B1301" i="4" s="1"/>
  <c r="AK1322" i="1"/>
  <c r="C1320" i="4" s="1"/>
  <c r="AJ1326" i="1"/>
  <c r="B1324" i="4" s="1"/>
  <c r="AJ1330" i="1"/>
  <c r="B1328" i="4" s="1"/>
  <c r="AM1345" i="1"/>
  <c r="E1343" i="4" s="1"/>
  <c r="AM1357" i="1"/>
  <c r="E1355" i="4" s="1"/>
  <c r="AL1361" i="1"/>
  <c r="D1359" i="4" s="1"/>
  <c r="AL1365" i="1"/>
  <c r="D1363" i="4" s="1"/>
  <c r="AL1369" i="1"/>
  <c r="D1367" i="4" s="1"/>
  <c r="AK1373" i="1"/>
  <c r="C1371" i="4" s="1"/>
  <c r="AK1377" i="1"/>
  <c r="C1375" i="4" s="1"/>
  <c r="AK1381" i="1"/>
  <c r="C1379" i="4" s="1"/>
  <c r="AK1385" i="1"/>
  <c r="C1383" i="4" s="1"/>
  <c r="AK1389" i="1"/>
  <c r="C1387" i="4" s="1"/>
  <c r="AK1393" i="1"/>
  <c r="C1391" i="4" s="1"/>
  <c r="AJ1401" i="1"/>
  <c r="B1399" i="4" s="1"/>
  <c r="AJ1413" i="1"/>
  <c r="B1411" i="4" s="1"/>
  <c r="AJ1425" i="1"/>
  <c r="B1423" i="4" s="1"/>
  <c r="AJ1429" i="1"/>
  <c r="B1427" i="4" s="1"/>
  <c r="AL1432" i="1"/>
  <c r="AJ1437" i="1"/>
  <c r="AL1444" i="1"/>
  <c r="AJ1449" i="1"/>
  <c r="AK1456" i="1"/>
  <c r="AL1463" i="1"/>
  <c r="AK1475" i="1"/>
  <c r="AJ1483" i="1"/>
  <c r="AJ1487" i="1"/>
  <c r="AJ1498" i="1"/>
  <c r="AK1501" i="1"/>
  <c r="AL1511" i="1"/>
  <c r="AM1534" i="1"/>
  <c r="AJ1543" i="1"/>
  <c r="AJ1559" i="1"/>
  <c r="AL1571" i="1"/>
  <c r="AJ355" i="1"/>
  <c r="B353" i="4" s="1"/>
  <c r="AK689" i="1"/>
  <c r="C687" i="4" s="1"/>
  <c r="AK870" i="1"/>
  <c r="C868" i="4" s="1"/>
  <c r="AL955" i="1"/>
  <c r="D953" i="4" s="1"/>
  <c r="AJ977" i="1"/>
  <c r="B975" i="4" s="1"/>
  <c r="AL1077" i="1"/>
  <c r="D1075" i="4" s="1"/>
  <c r="AK1086" i="1"/>
  <c r="C1084" i="4" s="1"/>
  <c r="AK1107" i="1"/>
  <c r="C1105" i="4" s="1"/>
  <c r="AL1113" i="1"/>
  <c r="D1111" i="4" s="1"/>
  <c r="AM1146" i="1"/>
  <c r="E1144" i="4" s="1"/>
  <c r="AJ1159" i="1"/>
  <c r="B1157" i="4" s="1"/>
  <c r="AK1179" i="1"/>
  <c r="C1177" i="4" s="1"/>
  <c r="AJ1185" i="1"/>
  <c r="B1183" i="4" s="1"/>
  <c r="AJ1223" i="1"/>
  <c r="B1221" i="4" s="1"/>
  <c r="AL1231" i="1"/>
  <c r="D1229" i="4" s="1"/>
  <c r="AM1244" i="1"/>
  <c r="E1242" i="4" s="1"/>
  <c r="AJ1253" i="1"/>
  <c r="B1251" i="4" s="1"/>
  <c r="AK1275" i="1"/>
  <c r="C1273" i="4" s="1"/>
  <c r="AJ1283" i="1"/>
  <c r="B1281" i="4" s="1"/>
  <c r="AL1313" i="1"/>
  <c r="D1311" i="4" s="1"/>
  <c r="AJ1323" i="1"/>
  <c r="B1321" i="4" s="1"/>
  <c r="AL1326" i="1"/>
  <c r="D1324" i="4" s="1"/>
  <c r="AL1330" i="1"/>
  <c r="D1328" i="4" s="1"/>
  <c r="AK1338" i="1"/>
  <c r="C1336" i="4" s="1"/>
  <c r="AK1342" i="1"/>
  <c r="C1340" i="4" s="1"/>
  <c r="AK1350" i="1"/>
  <c r="C1348" i="4" s="1"/>
  <c r="AK1354" i="1"/>
  <c r="C1352" i="4" s="1"/>
  <c r="AK1358" i="1"/>
  <c r="C1356" i="4" s="1"/>
  <c r="AJ1362" i="1"/>
  <c r="B1360" i="4" s="1"/>
  <c r="AJ1366" i="1"/>
  <c r="B1364" i="4" s="1"/>
  <c r="AM1381" i="1"/>
  <c r="E1379" i="4" s="1"/>
  <c r="AM1393" i="1"/>
  <c r="E1391" i="4" s="1"/>
  <c r="AL1397" i="1"/>
  <c r="D1395" i="4" s="1"/>
  <c r="AL1401" i="1"/>
  <c r="D1399" i="4" s="1"/>
  <c r="AL1405" i="1"/>
  <c r="D1403" i="4" s="1"/>
  <c r="AL1409" i="1"/>
  <c r="D1407" i="4" s="1"/>
  <c r="AL1413" i="1"/>
  <c r="D1411" i="4" s="1"/>
  <c r="AL1417" i="1"/>
  <c r="D1415" i="4" s="1"/>
  <c r="AL1421" i="1"/>
  <c r="D1419" i="4" s="1"/>
  <c r="AL1425" i="1"/>
  <c r="D1423" i="4" s="1"/>
  <c r="AL1429" i="1"/>
  <c r="D1427" i="4" s="1"/>
  <c r="AL1437" i="1"/>
  <c r="AK1441" i="1"/>
  <c r="AL1449" i="1"/>
  <c r="AK1453" i="1"/>
  <c r="AM1456" i="1"/>
  <c r="AK1461" i="1"/>
  <c r="AK1468" i="1"/>
  <c r="AM1475" i="1"/>
  <c r="AK1480" i="1"/>
  <c r="AK1484" i="1"/>
  <c r="AL1487" i="1"/>
  <c r="AL1498" i="1"/>
  <c r="AM1501" i="1"/>
  <c r="AK1505" i="1"/>
  <c r="AK1509" i="1"/>
  <c r="AK1516" i="1"/>
  <c r="AK1523" i="1"/>
  <c r="AJ1535" i="1"/>
  <c r="AK1544" i="1"/>
  <c r="AK1547" i="1"/>
  <c r="AL1559" i="1"/>
  <c r="AK1564" i="1"/>
  <c r="AK1569" i="1"/>
  <c r="AL714" i="1"/>
  <c r="D712" i="4" s="1"/>
  <c r="AJ724" i="1"/>
  <c r="B722" i="4" s="1"/>
  <c r="AL790" i="1"/>
  <c r="D788" i="4" s="1"/>
  <c r="AK812" i="1"/>
  <c r="C810" i="4" s="1"/>
  <c r="AL822" i="1"/>
  <c r="D820" i="4" s="1"/>
  <c r="AJ947" i="1"/>
  <c r="B945" i="4" s="1"/>
  <c r="AL989" i="1"/>
  <c r="D987" i="4" s="1"/>
  <c r="AM1028" i="1"/>
  <c r="E1026" i="4" s="1"/>
  <c r="AJ1049" i="1"/>
  <c r="B1047" i="4" s="1"/>
  <c r="AK1095" i="1"/>
  <c r="C1093" i="4" s="1"/>
  <c r="AL1101" i="1"/>
  <c r="D1099" i="4" s="1"/>
  <c r="AM1134" i="1"/>
  <c r="E1132" i="4" s="1"/>
  <c r="AJ1147" i="1"/>
  <c r="B1145" i="4" s="1"/>
  <c r="AK1167" i="1"/>
  <c r="C1165" i="4" s="1"/>
  <c r="AJ1173" i="1"/>
  <c r="B1171" i="4" s="1"/>
  <c r="AL1217" i="1"/>
  <c r="D1215" i="4" s="1"/>
  <c r="AM1253" i="1"/>
  <c r="E1251" i="4" s="1"/>
  <c r="AK1261" i="1"/>
  <c r="C1259" i="4" s="1"/>
  <c r="AJ1268" i="1"/>
  <c r="B1266" i="4" s="1"/>
  <c r="AM1291" i="1"/>
  <c r="E1289" i="4" s="1"/>
  <c r="AL1319" i="1"/>
  <c r="D1317" i="4" s="1"/>
  <c r="AJ1324" i="1"/>
  <c r="B1322" i="4" s="1"/>
  <c r="AK1331" i="1"/>
  <c r="C1329" i="4" s="1"/>
  <c r="AM1338" i="1"/>
  <c r="E1336" i="4" s="1"/>
  <c r="AM1350" i="1"/>
  <c r="E1348" i="4" s="1"/>
  <c r="AJ1359" i="1"/>
  <c r="B1357" i="4" s="1"/>
  <c r="AL1362" i="1"/>
  <c r="D1360" i="4" s="1"/>
  <c r="AL1366" i="1"/>
  <c r="D1364" i="4" s="1"/>
  <c r="AK1374" i="1"/>
  <c r="C1372" i="4" s="1"/>
  <c r="AK1378" i="1"/>
  <c r="C1376" i="4" s="1"/>
  <c r="AK1386" i="1"/>
  <c r="C1384" i="4" s="1"/>
  <c r="AK1390" i="1"/>
  <c r="C1388" i="4" s="1"/>
  <c r="AK1394" i="1"/>
  <c r="C1392" i="4" s="1"/>
  <c r="AJ1398" i="1"/>
  <c r="B1396" i="4" s="1"/>
  <c r="AJ1402" i="1"/>
  <c r="B1400" i="4" s="1"/>
  <c r="AJ1410" i="1"/>
  <c r="B1408" i="4" s="1"/>
  <c r="AJ1414" i="1"/>
  <c r="B1412" i="4" s="1"/>
  <c r="AJ1422" i="1"/>
  <c r="B1420" i="4" s="1"/>
  <c r="AJ1426" i="1"/>
  <c r="B1424" i="4" s="1"/>
  <c r="AL1433" i="1"/>
  <c r="AJ1438" i="1"/>
  <c r="AM1441" i="1"/>
  <c r="AL1445" i="1"/>
  <c r="AJ1450" i="1"/>
  <c r="AM1453" i="1"/>
  <c r="AK1457" i="1"/>
  <c r="AJ1465" i="1"/>
  <c r="AM1468" i="1"/>
  <c r="AK1473" i="1"/>
  <c r="AM1480" i="1"/>
  <c r="AJ1485" i="1"/>
  <c r="AK1492" i="1"/>
  <c r="AK1502" i="1"/>
  <c r="AM1505" i="1"/>
  <c r="AJ1513" i="1"/>
  <c r="AM1516" i="1"/>
  <c r="AM1523" i="1"/>
  <c r="AK1528" i="1"/>
  <c r="AL1535" i="1"/>
  <c r="AK1540" i="1"/>
  <c r="AJ1545" i="1"/>
  <c r="AM1547" i="1"/>
  <c r="AK1552" i="1"/>
  <c r="AK1557" i="1"/>
  <c r="AM1564" i="1"/>
  <c r="AJ1573" i="1"/>
  <c r="AJ429" i="1"/>
  <c r="B427" i="4" s="1"/>
  <c r="AM670" i="1"/>
  <c r="E668" i="4" s="1"/>
  <c r="AL891" i="1"/>
  <c r="D889" i="4" s="1"/>
  <c r="AJ908" i="1"/>
  <c r="B906" i="4" s="1"/>
  <c r="AK919" i="1"/>
  <c r="C917" i="4" s="1"/>
  <c r="AJ1040" i="1"/>
  <c r="B1038" i="4" s="1"/>
  <c r="AJ1087" i="1"/>
  <c r="B1085" i="4" s="1"/>
  <c r="AJ1109" i="1"/>
  <c r="B1107" i="4" s="1"/>
  <c r="AJ1115" i="1"/>
  <c r="B1113" i="4" s="1"/>
  <c r="AL1122" i="1"/>
  <c r="D1120" i="4" s="1"/>
  <c r="AK1128" i="1"/>
  <c r="C1126" i="4" s="1"/>
  <c r="AM1147" i="1"/>
  <c r="E1145" i="4" s="1"/>
  <c r="AJ1155" i="1"/>
  <c r="B1153" i="4" s="1"/>
  <c r="AL1173" i="1"/>
  <c r="D1171" i="4" s="1"/>
  <c r="AJ1181" i="1"/>
  <c r="B1179" i="4" s="1"/>
  <c r="AM1194" i="1"/>
  <c r="E1192" i="4" s="1"/>
  <c r="AL1225" i="1"/>
  <c r="D1223" i="4" s="1"/>
  <c r="AJ1232" i="1"/>
  <c r="B1230" i="4" s="1"/>
  <c r="AM1268" i="1"/>
  <c r="E1266" i="4" s="1"/>
  <c r="AM1300" i="1"/>
  <c r="E1298" i="4" s="1"/>
  <c r="AJ1306" i="1"/>
  <c r="B1304" i="4" s="1"/>
  <c r="AJ1314" i="1"/>
  <c r="B1312" i="4" s="1"/>
  <c r="AM1319" i="1"/>
  <c r="E1317" i="4" s="1"/>
  <c r="AK1324" i="1"/>
  <c r="C1322" i="4" s="1"/>
  <c r="AJ1327" i="1"/>
  <c r="B1325" i="4" s="1"/>
  <c r="AL1331" i="1"/>
  <c r="D1329" i="4" s="1"/>
  <c r="AJ1336" i="1"/>
  <c r="B1334" i="4" s="1"/>
  <c r="AK1343" i="1"/>
  <c r="C1341" i="4" s="1"/>
  <c r="AJ1348" i="1"/>
  <c r="B1346" i="4" s="1"/>
  <c r="AK1355" i="1"/>
  <c r="C1353" i="4" s="1"/>
  <c r="AM1362" i="1"/>
  <c r="E1360" i="4" s="1"/>
  <c r="AJ1371" i="1"/>
  <c r="B1369" i="4" s="1"/>
  <c r="AL1374" i="1"/>
  <c r="D1372" i="4" s="1"/>
  <c r="AL1378" i="1"/>
  <c r="D1376" i="4" s="1"/>
  <c r="AJ1383" i="1"/>
  <c r="B1381" i="4" s="1"/>
  <c r="AL1386" i="1"/>
  <c r="D1384" i="4" s="1"/>
  <c r="AL1390" i="1"/>
  <c r="D1388" i="4" s="1"/>
  <c r="AK1398" i="1"/>
  <c r="C1396" i="4" s="1"/>
  <c r="AK1402" i="1"/>
  <c r="C1400" i="4" s="1"/>
  <c r="AK1410" i="1"/>
  <c r="C1408" i="4" s="1"/>
  <c r="AK1414" i="1"/>
  <c r="C1412" i="4" s="1"/>
  <c r="AK1422" i="1"/>
  <c r="C1420" i="4" s="1"/>
  <c r="AK1426" i="1"/>
  <c r="C1424" i="4" s="1"/>
  <c r="AK1430" i="1"/>
  <c r="C1428" i="4" s="1"/>
  <c r="AK1438" i="1"/>
  <c r="AK1450" i="1"/>
  <c r="AL1457" i="1"/>
  <c r="AJ1462" i="1"/>
  <c r="AK1465" i="1"/>
  <c r="AL1473" i="1"/>
  <c r="AJ1477" i="1"/>
  <c r="AK1485" i="1"/>
  <c r="AL1492" i="1"/>
  <c r="AK1496" i="1"/>
  <c r="AJ1499" i="1"/>
  <c r="AJ1510" i="1"/>
  <c r="AL1513" i="1"/>
  <c r="AJ1521" i="1"/>
  <c r="AL1528" i="1"/>
  <c r="AJ1533" i="1"/>
  <c r="AM1535" i="1"/>
  <c r="AL1540" i="1"/>
  <c r="AK1545" i="1"/>
  <c r="AL1552" i="1"/>
  <c r="AL1557" i="1"/>
  <c r="AM682" i="1"/>
  <c r="E680" i="4" s="1"/>
  <c r="AL770" i="1"/>
  <c r="D768" i="4" s="1"/>
  <c r="AL781" i="1"/>
  <c r="D779" i="4" s="1"/>
  <c r="AK846" i="1"/>
  <c r="C844" i="4" s="1"/>
  <c r="AJ855" i="1"/>
  <c r="B853" i="4" s="1"/>
  <c r="AM883" i="1"/>
  <c r="E881" i="4" s="1"/>
  <c r="AL939" i="1"/>
  <c r="D937" i="4" s="1"/>
  <c r="AM1061" i="1"/>
  <c r="E1059" i="4" s="1"/>
  <c r="AM1122" i="1"/>
  <c r="E1120" i="4" s="1"/>
  <c r="AJ1135" i="1"/>
  <c r="B1133" i="4" s="1"/>
  <c r="AK1155" i="1"/>
  <c r="C1153" i="4" s="1"/>
  <c r="AL1161" i="1"/>
  <c r="D1159" i="4" s="1"/>
  <c r="AM1232" i="1"/>
  <c r="E1230" i="4" s="1"/>
  <c r="AJ1241" i="1"/>
  <c r="B1239" i="4" s="1"/>
  <c r="AJ1254" i="1"/>
  <c r="B1252" i="4" s="1"/>
  <c r="AJ1278" i="1"/>
  <c r="B1276" i="4" s="1"/>
  <c r="AL1314" i="1"/>
  <c r="D1312" i="4" s="1"/>
  <c r="AL1324" i="1"/>
  <c r="D1322" i="4" s="1"/>
  <c r="AM1331" i="1"/>
  <c r="E1329" i="4" s="1"/>
  <c r="AK1336" i="1"/>
  <c r="C1334" i="4" s="1"/>
  <c r="AJ1339" i="1"/>
  <c r="B1337" i="4" s="1"/>
  <c r="AL1343" i="1"/>
  <c r="D1341" i="4" s="1"/>
  <c r="AK1348" i="1"/>
  <c r="C1346" i="4" s="1"/>
  <c r="AJ1351" i="1"/>
  <c r="B1349" i="4" s="1"/>
  <c r="AL1355" i="1"/>
  <c r="D1353" i="4" s="1"/>
  <c r="AJ1360" i="1"/>
  <c r="B1358" i="4" s="1"/>
  <c r="AK1367" i="1"/>
  <c r="C1365" i="4" s="1"/>
  <c r="AM1374" i="1"/>
  <c r="E1372" i="4" s="1"/>
  <c r="AM1386" i="1"/>
  <c r="E1384" i="4" s="1"/>
  <c r="AJ1395" i="1"/>
  <c r="B1393" i="4" s="1"/>
  <c r="AL1398" i="1"/>
  <c r="D1396" i="4" s="1"/>
  <c r="AL1402" i="1"/>
  <c r="D1400" i="4" s="1"/>
  <c r="AJ1407" i="1"/>
  <c r="B1405" i="4" s="1"/>
  <c r="AL1410" i="1"/>
  <c r="D1408" i="4" s="1"/>
  <c r="AL1414" i="1"/>
  <c r="D1412" i="4" s="1"/>
  <c r="AJ1419" i="1"/>
  <c r="B1417" i="4" s="1"/>
  <c r="AL1422" i="1"/>
  <c r="D1420" i="4" s="1"/>
  <c r="AM1434" i="1"/>
  <c r="AM1438" i="1"/>
  <c r="AK1442" i="1"/>
  <c r="AM1446" i="1"/>
  <c r="AM1450" i="1"/>
  <c r="AK1454" i="1"/>
  <c r="AK1462" i="1"/>
  <c r="AL1465" i="1"/>
  <c r="AK1469" i="1"/>
  <c r="AK1477" i="1"/>
  <c r="AJ1481" i="1"/>
  <c r="AL1485" i="1"/>
  <c r="AJ1489" i="1"/>
  <c r="AM1492" i="1"/>
  <c r="AM1496" i="1"/>
  <c r="AK1499" i="1"/>
  <c r="AL1503" i="1"/>
  <c r="AM1506" i="1"/>
  <c r="AK1510" i="1"/>
  <c r="AM1513" i="1"/>
  <c r="AJ1517" i="1"/>
  <c r="AK1521" i="1"/>
  <c r="AM1528" i="1"/>
  <c r="AK1533" i="1"/>
  <c r="AM1540" i="1"/>
  <c r="AL1545" i="1"/>
  <c r="AM1552" i="1"/>
  <c r="AJ1561" i="1"/>
  <c r="AK1570" i="1"/>
  <c r="AM1573" i="1"/>
  <c r="AL277" i="1"/>
  <c r="D275" i="4" s="1"/>
  <c r="AJ582" i="1"/>
  <c r="B580" i="4" s="1"/>
  <c r="AJ661" i="1"/>
  <c r="B659" i="4" s="1"/>
  <c r="AL804" i="1"/>
  <c r="D802" i="4" s="1"/>
  <c r="AJ931" i="1"/>
  <c r="B929" i="4" s="1"/>
  <c r="AJ959" i="1"/>
  <c r="B957" i="4" s="1"/>
  <c r="AK1011" i="1"/>
  <c r="C1009" i="4" s="1"/>
  <c r="AM1041" i="1"/>
  <c r="E1039" i="4" s="1"/>
  <c r="AJ1097" i="1"/>
  <c r="B1095" i="4" s="1"/>
  <c r="AJ1103" i="1"/>
  <c r="B1101" i="4" s="1"/>
  <c r="AL1110" i="1"/>
  <c r="D1108" i="4" s="1"/>
  <c r="AK1116" i="1"/>
  <c r="C1114" i="4" s="1"/>
  <c r="AM1135" i="1"/>
  <c r="E1133" i="4" s="1"/>
  <c r="AJ1143" i="1"/>
  <c r="B1141" i="4" s="1"/>
  <c r="AJ1169" i="1"/>
  <c r="B1167" i="4" s="1"/>
  <c r="AL1182" i="1"/>
  <c r="D1180" i="4" s="1"/>
  <c r="AK1188" i="1"/>
  <c r="C1186" i="4" s="1"/>
  <c r="AL1195" i="1"/>
  <c r="D1193" i="4" s="1"/>
  <c r="AJ1211" i="1"/>
  <c r="B1209" i="4" s="1"/>
  <c r="AK1219" i="1"/>
  <c r="C1217" i="4" s="1"/>
  <c r="AL1241" i="1"/>
  <c r="D1239" i="4" s="1"/>
  <c r="AK1248" i="1"/>
  <c r="C1246" i="4" s="1"/>
  <c r="AJ1269" i="1"/>
  <c r="B1267" i="4" s="1"/>
  <c r="AL1278" i="1"/>
  <c r="D1276" i="4" s="1"/>
  <c r="AK1287" i="1"/>
  <c r="C1285" i="4" s="1"/>
  <c r="AL1293" i="1"/>
  <c r="D1291" i="4" s="1"/>
  <c r="AM1324" i="1"/>
  <c r="E1322" i="4" s="1"/>
  <c r="AL1336" i="1"/>
  <c r="D1334" i="4" s="1"/>
  <c r="AM1343" i="1"/>
  <c r="E1341" i="4" s="1"/>
  <c r="AL1348" i="1"/>
  <c r="D1346" i="4" s="1"/>
  <c r="AM1355" i="1"/>
  <c r="E1353" i="4" s="1"/>
  <c r="AK1360" i="1"/>
  <c r="C1358" i="4" s="1"/>
  <c r="AJ1363" i="1"/>
  <c r="B1361" i="4" s="1"/>
  <c r="AL1367" i="1"/>
  <c r="D1365" i="4" s="1"/>
  <c r="AJ1372" i="1"/>
  <c r="B1370" i="4" s="1"/>
  <c r="AK1379" i="1"/>
  <c r="C1377" i="4" s="1"/>
  <c r="AJ1384" i="1"/>
  <c r="B1382" i="4" s="1"/>
  <c r="AK1391" i="1"/>
  <c r="C1389" i="4" s="1"/>
  <c r="AM1398" i="1"/>
  <c r="E1396" i="4" s="1"/>
  <c r="AM1410" i="1"/>
  <c r="E1408" i="4" s="1"/>
  <c r="AM1422" i="1"/>
  <c r="E1420" i="4" s="1"/>
  <c r="AK1427" i="1"/>
  <c r="C1425" i="4" s="1"/>
  <c r="AJ1431" i="1"/>
  <c r="AM1458" i="1"/>
  <c r="AL1462" i="1"/>
  <c r="AM1465" i="1"/>
  <c r="AL1469" i="1"/>
  <c r="AJ1474" i="1"/>
  <c r="AL1477" i="1"/>
  <c r="AK1481" i="1"/>
  <c r="AK1489" i="1"/>
  <c r="AL1499" i="1"/>
  <c r="AL1510" i="1"/>
  <c r="AK1517" i="1"/>
  <c r="AL1521" i="1"/>
  <c r="AJ1525" i="1"/>
  <c r="AL1533" i="1"/>
  <c r="AJ1549" i="1"/>
  <c r="AJ1558" i="1"/>
  <c r="AL1561" i="1"/>
  <c r="AM1566" i="1"/>
  <c r="AM267" i="1"/>
  <c r="E265" i="4" s="1"/>
  <c r="AK847" i="1"/>
  <c r="C845" i="4" s="1"/>
  <c r="AL875" i="1"/>
  <c r="D873" i="4" s="1"/>
  <c r="AJ884" i="1"/>
  <c r="B882" i="4" s="1"/>
  <c r="AM931" i="1"/>
  <c r="E929" i="4" s="1"/>
  <c r="AJ992" i="1"/>
  <c r="B990" i="4" s="1"/>
  <c r="AJ1089" i="1"/>
  <c r="B1087" i="4" s="1"/>
  <c r="AM1110" i="1"/>
  <c r="E1108" i="4" s="1"/>
  <c r="AJ1123" i="1"/>
  <c r="B1121" i="4" s="1"/>
  <c r="AK1143" i="1"/>
  <c r="C1141" i="4" s="1"/>
  <c r="AL1149" i="1"/>
  <c r="D1147" i="4" s="1"/>
  <c r="AM1182" i="1"/>
  <c r="E1180" i="4" s="1"/>
  <c r="AK1205" i="1"/>
  <c r="C1203" i="4" s="1"/>
  <c r="AL1219" i="1"/>
  <c r="D1217" i="4" s="1"/>
  <c r="AM1255" i="1"/>
  <c r="E1253" i="4" s="1"/>
  <c r="AJ1302" i="1"/>
  <c r="B1300" i="4" s="1"/>
  <c r="AK1321" i="1"/>
  <c r="C1319" i="4" s="1"/>
  <c r="AJ1329" i="1"/>
  <c r="B1327" i="4" s="1"/>
  <c r="AM1336" i="1"/>
  <c r="E1334" i="4" s="1"/>
  <c r="AM1348" i="1"/>
  <c r="E1346" i="4" s="1"/>
  <c r="AL1360" i="1"/>
  <c r="D1358" i="4" s="1"/>
  <c r="AM1367" i="1"/>
  <c r="E1365" i="4" s="1"/>
  <c r="AK1372" i="1"/>
  <c r="C1370" i="4" s="1"/>
  <c r="AJ1375" i="1"/>
  <c r="B1373" i="4" s="1"/>
  <c r="AL1379" i="1"/>
  <c r="D1377" i="4" s="1"/>
  <c r="AK1384" i="1"/>
  <c r="C1382" i="4" s="1"/>
  <c r="AJ1387" i="1"/>
  <c r="B1385" i="4" s="1"/>
  <c r="AL1391" i="1"/>
  <c r="D1389" i="4" s="1"/>
  <c r="AJ1396" i="1"/>
  <c r="B1394" i="4" s="1"/>
  <c r="AK1403" i="1"/>
  <c r="C1401" i="4" s="1"/>
  <c r="AJ1408" i="1"/>
  <c r="B1406" i="4" s="1"/>
  <c r="AK1415" i="1"/>
  <c r="C1413" i="4" s="1"/>
  <c r="AJ1420" i="1"/>
  <c r="B1418" i="4" s="1"/>
  <c r="AL1427" i="1"/>
  <c r="D1425" i="4" s="1"/>
  <c r="AL1431" i="1"/>
  <c r="AJ1435" i="1"/>
  <c r="AK1439" i="1"/>
  <c r="AL1443" i="1"/>
  <c r="AJ1447" i="1"/>
  <c r="AK1451" i="1"/>
  <c r="AJ1455" i="1"/>
  <c r="AM1462" i="1"/>
  <c r="AK1474" i="1"/>
  <c r="AM1477" i="1"/>
  <c r="AL1481" i="1"/>
  <c r="AJ1486" i="1"/>
  <c r="AL1489" i="1"/>
  <c r="AJ1493" i="1"/>
  <c r="AJ1497" i="1"/>
  <c r="AM1499" i="1"/>
  <c r="AJ1504" i="1"/>
  <c r="AJ1507" i="1"/>
  <c r="AM1510" i="1"/>
  <c r="AK1514" i="1"/>
  <c r="AL1517" i="1"/>
  <c r="AL1525" i="1"/>
  <c r="AK1529" i="1"/>
  <c r="AJ1537" i="1"/>
  <c r="AK1541" i="1"/>
  <c r="AJ1546" i="1"/>
  <c r="AL1549" i="1"/>
  <c r="AK1558" i="1"/>
  <c r="AM1561" i="1"/>
  <c r="AK642" i="1"/>
  <c r="C640" i="4" s="1"/>
  <c r="AM653" i="1"/>
  <c r="E651" i="4" s="1"/>
  <c r="AM763" i="1"/>
  <c r="E761" i="4" s="1"/>
  <c r="AK1083" i="1"/>
  <c r="C1081" i="4" s="1"/>
  <c r="AL1098" i="1"/>
  <c r="D1096" i="4" s="1"/>
  <c r="AK1104" i="1"/>
  <c r="C1102" i="4" s="1"/>
  <c r="AM1123" i="1"/>
  <c r="E1121" i="4" s="1"/>
  <c r="AJ1131" i="1"/>
  <c r="B1129" i="4" s="1"/>
  <c r="AJ1157" i="1"/>
  <c r="B1155" i="4" s="1"/>
  <c r="AJ1163" i="1"/>
  <c r="B1161" i="4" s="1"/>
  <c r="AL1170" i="1"/>
  <c r="D1168" i="4" s="1"/>
  <c r="AK1176" i="1"/>
  <c r="C1174" i="4" s="1"/>
  <c r="AM1205" i="1"/>
  <c r="E1203" i="4" s="1"/>
  <c r="AK1249" i="1"/>
  <c r="C1247" i="4" s="1"/>
  <c r="AL1265" i="1"/>
  <c r="D1263" i="4" s="1"/>
  <c r="AK1302" i="1"/>
  <c r="C1300" i="4" s="1"/>
  <c r="AJ1316" i="1"/>
  <c r="B1314" i="4" s="1"/>
  <c r="AL1321" i="1"/>
  <c r="D1319" i="4" s="1"/>
  <c r="AK1325" i="1"/>
  <c r="C1323" i="4" s="1"/>
  <c r="AK1329" i="1"/>
  <c r="C1327" i="4" s="1"/>
  <c r="AK1333" i="1"/>
  <c r="C1331" i="4" s="1"/>
  <c r="AJ1341" i="1"/>
  <c r="B1339" i="4" s="1"/>
  <c r="AJ1353" i="1"/>
  <c r="B1351" i="4" s="1"/>
  <c r="AM1360" i="1"/>
  <c r="E1358" i="4" s="1"/>
  <c r="AL1372" i="1"/>
  <c r="D1370" i="4" s="1"/>
  <c r="AM1379" i="1"/>
  <c r="E1377" i="4" s="1"/>
  <c r="AL1384" i="1"/>
  <c r="D1382" i="4" s="1"/>
  <c r="AM1391" i="1"/>
  <c r="E1389" i="4" s="1"/>
  <c r="AK1396" i="1"/>
  <c r="C1394" i="4" s="1"/>
  <c r="AJ1399" i="1"/>
  <c r="B1397" i="4" s="1"/>
  <c r="AL1403" i="1"/>
  <c r="D1401" i="4" s="1"/>
  <c r="AK1408" i="1"/>
  <c r="C1406" i="4" s="1"/>
  <c r="AJ1411" i="1"/>
  <c r="B1409" i="4" s="1"/>
  <c r="AL1415" i="1"/>
  <c r="D1413" i="4" s="1"/>
  <c r="AK1420" i="1"/>
  <c r="C1418" i="4" s="1"/>
  <c r="AJ1423" i="1"/>
  <c r="B1421" i="4" s="1"/>
  <c r="AM1427" i="1"/>
  <c r="E1425" i="4" s="1"/>
  <c r="AL1439" i="1"/>
  <c r="AL1451" i="1"/>
  <c r="AL1455" i="1"/>
  <c r="AJ1459" i="1"/>
  <c r="AK1466" i="1"/>
  <c r="AM1470" i="1"/>
  <c r="AM1474" i="1"/>
  <c r="AK1486" i="1"/>
  <c r="AM1489" i="1"/>
  <c r="AK1493" i="1"/>
  <c r="AK1497" i="1"/>
  <c r="AK1504" i="1"/>
  <c r="AM1517" i="1"/>
  <c r="AJ1522" i="1"/>
  <c r="AM1525" i="1"/>
  <c r="AL1529" i="1"/>
  <c r="AJ1534" i="1"/>
  <c r="AL1537" i="1"/>
  <c r="AL1541" i="1"/>
  <c r="AK1546" i="1"/>
  <c r="AM1549" i="1"/>
  <c r="AM1554" i="1"/>
  <c r="AL1558" i="1"/>
  <c r="AJ1567" i="1"/>
  <c r="AL861" i="1"/>
  <c r="D859" i="4" s="1"/>
  <c r="AM1111" i="1"/>
  <c r="E1109" i="4" s="1"/>
  <c r="AJ1121" i="1"/>
  <c r="B1119" i="4" s="1"/>
  <c r="AK1131" i="1"/>
  <c r="C1129" i="4" s="1"/>
  <c r="AJ1139" i="1"/>
  <c r="B1137" i="4" s="1"/>
  <c r="AL1213" i="1"/>
  <c r="D1211" i="4" s="1"/>
  <c r="AJ1291" i="1"/>
  <c r="B1289" i="4" s="1"/>
  <c r="AK1310" i="1"/>
  <c r="C1308" i="4" s="1"/>
  <c r="AM1326" i="1"/>
  <c r="E1324" i="4" s="1"/>
  <c r="AK1366" i="1"/>
  <c r="C1364" i="4" s="1"/>
  <c r="AL1373" i="1"/>
  <c r="D1371" i="4" s="1"/>
  <c r="AL1396" i="1"/>
  <c r="D1394" i="4" s="1"/>
  <c r="AK1433" i="1"/>
  <c r="AJ1441" i="1"/>
  <c r="AL1468" i="1"/>
  <c r="AL1475" i="1"/>
  <c r="AJ1509" i="1"/>
  <c r="AL1515" i="1"/>
  <c r="AL1534" i="1"/>
  <c r="AJ1570" i="1"/>
  <c r="AK1574" i="1"/>
  <c r="AL1583" i="1"/>
  <c r="AK1591" i="1"/>
  <c r="AJ1595" i="1"/>
  <c r="AL1598" i="1"/>
  <c r="AK1602" i="1"/>
  <c r="AM1606" i="1"/>
  <c r="AM1610" i="1"/>
  <c r="AK1623" i="1"/>
  <c r="AJ1628" i="1"/>
  <c r="AM1635" i="1"/>
  <c r="AL1640" i="1"/>
  <c r="AJ1645" i="1"/>
  <c r="AM1652" i="1"/>
  <c r="AL1657" i="1"/>
  <c r="AK1661" i="1"/>
  <c r="AK1665" i="1"/>
  <c r="AJ1670" i="1"/>
  <c r="AL1673" i="1"/>
  <c r="AL1677" i="1"/>
  <c r="AK1682" i="1"/>
  <c r="AL1690" i="1"/>
  <c r="AM1694" i="1"/>
  <c r="AK1698" i="1"/>
  <c r="AL1702" i="1"/>
  <c r="AL1706" i="1"/>
  <c r="AK1718" i="1"/>
  <c r="AM1721" i="1"/>
  <c r="AK1725" i="1"/>
  <c r="AK1733" i="1"/>
  <c r="AM1736" i="1"/>
  <c r="AJ1741" i="1"/>
  <c r="AK1748" i="1"/>
  <c r="AK1752" i="1"/>
  <c r="AM1755" i="1"/>
  <c r="AJ1763" i="1"/>
  <c r="AK1767" i="1"/>
  <c r="AJ1771" i="1"/>
  <c r="AM1774" i="1"/>
  <c r="AM1778" i="1"/>
  <c r="AK1782" i="1"/>
  <c r="AK1790" i="1"/>
  <c r="AL1793" i="1"/>
  <c r="AM818" i="1"/>
  <c r="E816" i="4" s="1"/>
  <c r="AM895" i="1"/>
  <c r="E893" i="4" s="1"/>
  <c r="AK1140" i="1"/>
  <c r="C1138" i="4" s="1"/>
  <c r="AL1243" i="1"/>
  <c r="D1241" i="4" s="1"/>
  <c r="AM1302" i="1"/>
  <c r="E1300" i="4" s="1"/>
  <c r="AK1341" i="1"/>
  <c r="C1339" i="4" s="1"/>
  <c r="AJ1347" i="1"/>
  <c r="B1345" i="4" s="1"/>
  <c r="AL1353" i="1"/>
  <c r="D1351" i="4" s="1"/>
  <c r="AJ1374" i="1"/>
  <c r="B1372" i="4" s="1"/>
  <c r="AL1389" i="1"/>
  <c r="D1387" i="4" s="1"/>
  <c r="AK1405" i="1"/>
  <c r="C1403" i="4" s="1"/>
  <c r="AL1420" i="1"/>
  <c r="D1418" i="4" s="1"/>
  <c r="AJ1456" i="1"/>
  <c r="AJ1463" i="1"/>
  <c r="AM1504" i="1"/>
  <c r="AJ1516" i="1"/>
  <c r="AM1522" i="1"/>
  <c r="AK1535" i="1"/>
  <c r="AL1564" i="1"/>
  <c r="AM1570" i="1"/>
  <c r="AL1575" i="1"/>
  <c r="AM1580" i="1"/>
  <c r="AK1588" i="1"/>
  <c r="AJ1592" i="1"/>
  <c r="AL1595" i="1"/>
  <c r="AJ1607" i="1"/>
  <c r="AK1611" i="1"/>
  <c r="AJ1616" i="1"/>
  <c r="AM1623" i="1"/>
  <c r="AL1628" i="1"/>
  <c r="AJ1633" i="1"/>
  <c r="AK1649" i="1"/>
  <c r="AK1653" i="1"/>
  <c r="AJ1658" i="1"/>
  <c r="AM1661" i="1"/>
  <c r="AL1670" i="1"/>
  <c r="AL1678" i="1"/>
  <c r="AK1695" i="1"/>
  <c r="AL1699" i="1"/>
  <c r="AM1714" i="1"/>
  <c r="AM1718" i="1"/>
  <c r="AK1722" i="1"/>
  <c r="AK1730" i="1"/>
  <c r="AM1733" i="1"/>
  <c r="AK1737" i="1"/>
  <c r="AK1745" i="1"/>
  <c r="AM1748" i="1"/>
  <c r="AJ1753" i="1"/>
  <c r="AK1760" i="1"/>
  <c r="AK1764" i="1"/>
  <c r="AM1767" i="1"/>
  <c r="AJ1775" i="1"/>
  <c r="AK1779" i="1"/>
  <c r="AJ1783" i="1"/>
  <c r="AM1786" i="1"/>
  <c r="AM1790" i="1"/>
  <c r="AL1797" i="1"/>
  <c r="AM156" i="1"/>
  <c r="E154" i="4" s="1"/>
  <c r="AK984" i="1"/>
  <c r="C982" i="4" s="1"/>
  <c r="AJ1095" i="1"/>
  <c r="B1093" i="4" s="1"/>
  <c r="AJ1133" i="1"/>
  <c r="B1131" i="4" s="1"/>
  <c r="AM1159" i="1"/>
  <c r="E1157" i="4" s="1"/>
  <c r="AM1243" i="1"/>
  <c r="E1241" i="4" s="1"/>
  <c r="AK1253" i="1"/>
  <c r="C1251" i="4" s="1"/>
  <c r="AJ1335" i="1"/>
  <c r="B1333" i="4" s="1"/>
  <c r="AL1341" i="1"/>
  <c r="D1339" i="4" s="1"/>
  <c r="AK1361" i="1"/>
  <c r="C1359" i="4" s="1"/>
  <c r="AK1397" i="1"/>
  <c r="C1395" i="4" s="1"/>
  <c r="AM1405" i="1"/>
  <c r="E1403" i="4" s="1"/>
  <c r="AK1413" i="1"/>
  <c r="C1411" i="4" s="1"/>
  <c r="AM1420" i="1"/>
  <c r="E1418" i="4" s="1"/>
  <c r="AK1429" i="1"/>
  <c r="C1427" i="4" s="1"/>
  <c r="AK1449" i="1"/>
  <c r="AL1456" i="1"/>
  <c r="AK1463" i="1"/>
  <c r="AJ1492" i="1"/>
  <c r="AK1498" i="1"/>
  <c r="AL1516" i="1"/>
  <c r="AL1551" i="1"/>
  <c r="AM1558" i="1"/>
  <c r="AL1588" i="1"/>
  <c r="AK1592" i="1"/>
  <c r="AM1595" i="1"/>
  <c r="AK1599" i="1"/>
  <c r="AJ1604" i="1"/>
  <c r="AL1611" i="1"/>
  <c r="AK1616" i="1"/>
  <c r="AM1628" i="1"/>
  <c r="AL1633" i="1"/>
  <c r="AJ1637" i="1"/>
  <c r="AK1641" i="1"/>
  <c r="AJ1646" i="1"/>
  <c r="AL1649" i="1"/>
  <c r="AL1653" i="1"/>
  <c r="AK1658" i="1"/>
  <c r="AL1666" i="1"/>
  <c r="AM1670" i="1"/>
  <c r="AK1674" i="1"/>
  <c r="AM1678" i="1"/>
  <c r="AK1683" i="1"/>
  <c r="AJ1691" i="1"/>
  <c r="AL1695" i="1"/>
  <c r="AJ1703" i="1"/>
  <c r="AK1707" i="1"/>
  <c r="AL1711" i="1"/>
  <c r="AL1726" i="1"/>
  <c r="AL1730" i="1"/>
  <c r="AL1737" i="1"/>
  <c r="AJ1742" i="1"/>
  <c r="AL1745" i="1"/>
  <c r="AL1753" i="1"/>
  <c r="AJ1757" i="1"/>
  <c r="AL1760" i="1"/>
  <c r="AJ1772" i="1"/>
  <c r="AL1779" i="1"/>
  <c r="AL1783" i="1"/>
  <c r="AK1794" i="1"/>
  <c r="AK654" i="1"/>
  <c r="C652" i="4" s="1"/>
  <c r="AK876" i="1"/>
  <c r="C874" i="4" s="1"/>
  <c r="AJ896" i="1"/>
  <c r="B894" i="4" s="1"/>
  <c r="AJ905" i="1"/>
  <c r="B903" i="4" s="1"/>
  <c r="AM996" i="1"/>
  <c r="E994" i="4" s="1"/>
  <c r="AL1017" i="1"/>
  <c r="D1015" i="4" s="1"/>
  <c r="AM1064" i="1"/>
  <c r="E1062" i="4" s="1"/>
  <c r="AJ1086" i="1"/>
  <c r="B1084" i="4" s="1"/>
  <c r="AJ1151" i="1"/>
  <c r="B1149" i="4" s="1"/>
  <c r="AJ1179" i="1"/>
  <c r="B1177" i="4" s="1"/>
  <c r="AL1207" i="1"/>
  <c r="D1205" i="4" s="1"/>
  <c r="AL1235" i="1"/>
  <c r="D1233" i="4" s="1"/>
  <c r="AM1313" i="1"/>
  <c r="E1311" i="4" s="1"/>
  <c r="AM1321" i="1"/>
  <c r="E1319" i="4" s="1"/>
  <c r="AL1329" i="1"/>
  <c r="D1327" i="4" s="1"/>
  <c r="AJ1354" i="1"/>
  <c r="B1352" i="4" s="1"/>
  <c r="AK1369" i="1"/>
  <c r="C1367" i="4" s="1"/>
  <c r="AJ1390" i="1"/>
  <c r="B1388" i="4" s="1"/>
  <c r="AM1429" i="1"/>
  <c r="E1427" i="4" s="1"/>
  <c r="AK1436" i="1"/>
  <c r="AM1463" i="1"/>
  <c r="AJ1471" i="1"/>
  <c r="AM1486" i="1"/>
  <c r="AM1498" i="1"/>
  <c r="AJ1505" i="1"/>
  <c r="AJ1511" i="1"/>
  <c r="AJ1523" i="1"/>
  <c r="AM1530" i="1"/>
  <c r="AJ1571" i="1"/>
  <c r="AJ1576" i="1"/>
  <c r="AJ1585" i="1"/>
  <c r="AM1588" i="1"/>
  <c r="AM1592" i="1"/>
  <c r="AL1599" i="1"/>
  <c r="AK1604" i="1"/>
  <c r="AM1611" i="1"/>
  <c r="AL1616" i="1"/>
  <c r="AJ1621" i="1"/>
  <c r="AK1637" i="1"/>
  <c r="AL1641" i="1"/>
  <c r="AK1646" i="1"/>
  <c r="AM1649" i="1"/>
  <c r="AM1658" i="1"/>
  <c r="AK1662" i="1"/>
  <c r="AM1666" i="1"/>
  <c r="AL1683" i="1"/>
  <c r="AJ1688" i="1"/>
  <c r="AM1695" i="1"/>
  <c r="AJ1700" i="1"/>
  <c r="AL1707" i="1"/>
  <c r="AJ1715" i="1"/>
  <c r="AK1719" i="1"/>
  <c r="AJ1723" i="1"/>
  <c r="AM1726" i="1"/>
  <c r="AM1730" i="1"/>
  <c r="AK1734" i="1"/>
  <c r="AK1742" i="1"/>
  <c r="AM1745" i="1"/>
  <c r="AK1749" i="1"/>
  <c r="AK1757" i="1"/>
  <c r="AM1760" i="1"/>
  <c r="AJ1765" i="1"/>
  <c r="AK1772" i="1"/>
  <c r="AK1776" i="1"/>
  <c r="AM1779" i="1"/>
  <c r="AJ1787" i="1"/>
  <c r="AJ1791" i="1"/>
  <c r="AL1798" i="1"/>
  <c r="AJ632" i="1"/>
  <c r="B630" i="4" s="1"/>
  <c r="AK888" i="1"/>
  <c r="C886" i="4" s="1"/>
  <c r="AM1086" i="1"/>
  <c r="E1084" i="4" s="1"/>
  <c r="AL1134" i="1"/>
  <c r="D1132" i="4" s="1"/>
  <c r="AM1170" i="1"/>
  <c r="E1168" i="4" s="1"/>
  <c r="AJ1217" i="1"/>
  <c r="B1215" i="4" s="1"/>
  <c r="AJ1244" i="1"/>
  <c r="B1242" i="4" s="1"/>
  <c r="AM1265" i="1"/>
  <c r="E1263" i="4" s="1"/>
  <c r="AL1295" i="1"/>
  <c r="D1293" i="4" s="1"/>
  <c r="AJ1342" i="1"/>
  <c r="B1340" i="4" s="1"/>
  <c r="AK1349" i="1"/>
  <c r="C1347" i="4" s="1"/>
  <c r="AL1354" i="1"/>
  <c r="D1352" i="4" s="1"/>
  <c r="AK1362" i="1"/>
  <c r="C1360" i="4" s="1"/>
  <c r="AM1369" i="1"/>
  <c r="E1367" i="4" s="1"/>
  <c r="AM1384" i="1"/>
  <c r="E1382" i="4" s="1"/>
  <c r="AK1421" i="1"/>
  <c r="C1419" i="4" s="1"/>
  <c r="AJ1444" i="1"/>
  <c r="AL1479" i="1"/>
  <c r="AL1493" i="1"/>
  <c r="AL1505" i="1"/>
  <c r="AK1511" i="1"/>
  <c r="AL1523" i="1"/>
  <c r="AM1537" i="1"/>
  <c r="AL1546" i="1"/>
  <c r="AJ1552" i="1"/>
  <c r="AK1559" i="1"/>
  <c r="AK1571" i="1"/>
  <c r="AK1576" i="1"/>
  <c r="AJ1582" i="1"/>
  <c r="AL1585" i="1"/>
  <c r="AM1599" i="1"/>
  <c r="AL1604" i="1"/>
  <c r="AJ1609" i="1"/>
  <c r="AM1616" i="1"/>
  <c r="AL1621" i="1"/>
  <c r="AJ1625" i="1"/>
  <c r="AK1629" i="1"/>
  <c r="AJ1634" i="1"/>
  <c r="AM1637" i="1"/>
  <c r="AL1646" i="1"/>
  <c r="AL1654" i="1"/>
  <c r="AK1671" i="1"/>
  <c r="AJ1679" i="1"/>
  <c r="AM1683" i="1"/>
  <c r="AK1688" i="1"/>
  <c r="AK1700" i="1"/>
  <c r="AK1704" i="1"/>
  <c r="AM1707" i="1"/>
  <c r="AJ1712" i="1"/>
  <c r="AL1719" i="1"/>
  <c r="AL1723" i="1"/>
  <c r="AL1738" i="1"/>
  <c r="AL1742" i="1"/>
  <c r="AL1749" i="1"/>
  <c r="AL563" i="1"/>
  <c r="D561" i="4" s="1"/>
  <c r="AM574" i="1"/>
  <c r="E572" i="4" s="1"/>
  <c r="AM897" i="1"/>
  <c r="E895" i="4" s="1"/>
  <c r="AJ1107" i="1"/>
  <c r="B1105" i="4" s="1"/>
  <c r="AK1152" i="1"/>
  <c r="C1150" i="4" s="1"/>
  <c r="AL1208" i="1"/>
  <c r="D1206" i="4" s="1"/>
  <c r="AJ1305" i="1"/>
  <c r="B1303" i="4" s="1"/>
  <c r="AK1330" i="1"/>
  <c r="C1328" i="4" s="1"/>
  <c r="AK1337" i="1"/>
  <c r="C1335" i="4" s="1"/>
  <c r="AL1342" i="1"/>
  <c r="D1340" i="4" s="1"/>
  <c r="AL1349" i="1"/>
  <c r="D1347" i="4" s="1"/>
  <c r="AJ1377" i="1"/>
  <c r="B1375" i="4" s="1"/>
  <c r="AM1415" i="1"/>
  <c r="E1413" i="4" s="1"/>
  <c r="AK1437" i="1"/>
  <c r="AK1444" i="1"/>
  <c r="AM1451" i="1"/>
  <c r="AK1472" i="1"/>
  <c r="AK1487" i="1"/>
  <c r="AM1493" i="1"/>
  <c r="AM1511" i="1"/>
  <c r="AM1518" i="1"/>
  <c r="AJ1531" i="1"/>
  <c r="AM1546" i="1"/>
  <c r="AM1559" i="1"/>
  <c r="AM1571" i="1"/>
  <c r="AL1576" i="1"/>
  <c r="AK1582" i="1"/>
  <c r="AM1585" i="1"/>
  <c r="AL1589" i="1"/>
  <c r="AK1593" i="1"/>
  <c r="AJ1597" i="1"/>
  <c r="AM1604" i="1"/>
  <c r="AK1609" i="1"/>
  <c r="AK1625" i="1"/>
  <c r="AL1629" i="1"/>
  <c r="AK1634" i="1"/>
  <c r="AL1642" i="1"/>
  <c r="AM1646" i="1"/>
  <c r="AK1650" i="1"/>
  <c r="AM1654" i="1"/>
  <c r="AK1659" i="1"/>
  <c r="AJ1667" i="1"/>
  <c r="AL1671" i="1"/>
  <c r="AJ1676" i="1"/>
  <c r="AL1688" i="1"/>
  <c r="AJ1693" i="1"/>
  <c r="AL1700" i="1"/>
  <c r="AK1712" i="1"/>
  <c r="AK1716" i="1"/>
  <c r="AM1719" i="1"/>
  <c r="AJ1727" i="1"/>
  <c r="AK1731" i="1"/>
  <c r="AJ1735" i="1"/>
  <c r="AM1738" i="1"/>
  <c r="AM1742" i="1"/>
  <c r="AK1746" i="1"/>
  <c r="AK1754" i="1"/>
  <c r="AM1757" i="1"/>
  <c r="AK1761" i="1"/>
  <c r="AK1769" i="1"/>
  <c r="AM1772" i="1"/>
  <c r="AJ1777" i="1"/>
  <c r="AK1784" i="1"/>
  <c r="AK1788" i="1"/>
  <c r="AL1791" i="1"/>
  <c r="AL1795" i="1"/>
  <c r="AL494" i="1"/>
  <c r="D492" i="4" s="1"/>
  <c r="AL553" i="1"/>
  <c r="D551" i="4" s="1"/>
  <c r="AJ764" i="1"/>
  <c r="B762" i="4" s="1"/>
  <c r="AJ953" i="1"/>
  <c r="B951" i="4" s="1"/>
  <c r="AM1098" i="1"/>
  <c r="E1096" i="4" s="1"/>
  <c r="AJ1127" i="1"/>
  <c r="B1125" i="4" s="1"/>
  <c r="AL1171" i="1"/>
  <c r="D1169" i="4" s="1"/>
  <c r="AK1200" i="1"/>
  <c r="C1198" i="4" s="1"/>
  <c r="AJ1229" i="1"/>
  <c r="B1227" i="4" s="1"/>
  <c r="AL1237" i="1"/>
  <c r="D1235" i="4" s="1"/>
  <c r="AL1256" i="1"/>
  <c r="D1254" i="4" s="1"/>
  <c r="AL1266" i="1"/>
  <c r="D1264" i="4" s="1"/>
  <c r="AL1337" i="1"/>
  <c r="D1335" i="4" s="1"/>
  <c r="AK1370" i="1"/>
  <c r="C1368" i="4" s="1"/>
  <c r="AL1377" i="1"/>
  <c r="D1375" i="4" s="1"/>
  <c r="AL1385" i="1"/>
  <c r="D1383" i="4" s="1"/>
  <c r="AL1408" i="1"/>
  <c r="D1406" i="4" s="1"/>
  <c r="AM1444" i="1"/>
  <c r="AJ1480" i="1"/>
  <c r="AM1487" i="1"/>
  <c r="AK1568" i="1"/>
  <c r="AM1576" i="1"/>
  <c r="AL1582" i="1"/>
  <c r="AL1593" i="1"/>
  <c r="AK1597" i="1"/>
  <c r="AL1609" i="1"/>
  <c r="AJ1613" i="1"/>
  <c r="AK1617" i="1"/>
  <c r="AJ1622" i="1"/>
  <c r="AM1625" i="1"/>
  <c r="AL1634" i="1"/>
  <c r="AK1638" i="1"/>
  <c r="AM1642" i="1"/>
  <c r="AL1659" i="1"/>
  <c r="AJ1664" i="1"/>
  <c r="AM1671" i="1"/>
  <c r="AK1676" i="1"/>
  <c r="AM1688" i="1"/>
  <c r="AL1693" i="1"/>
  <c r="AJ1697" i="1"/>
  <c r="AM1700" i="1"/>
  <c r="AJ1705" i="1"/>
  <c r="AL1712" i="1"/>
  <c r="AJ1724" i="1"/>
  <c r="AL1731" i="1"/>
  <c r="AL1735" i="1"/>
  <c r="AL1750" i="1"/>
  <c r="AL1754" i="1"/>
  <c r="AL1761" i="1"/>
  <c r="AJ1766" i="1"/>
  <c r="AL1769" i="1"/>
  <c r="AM848" i="1"/>
  <c r="E846" i="4" s="1"/>
  <c r="AJ932" i="1"/>
  <c r="B930" i="4" s="1"/>
  <c r="AJ1068" i="1"/>
  <c r="B1066" i="4" s="1"/>
  <c r="AM1099" i="1"/>
  <c r="E1097" i="4" s="1"/>
  <c r="AJ1119" i="1"/>
  <c r="B1117" i="4" s="1"/>
  <c r="AL1137" i="1"/>
  <c r="D1135" i="4" s="1"/>
  <c r="AK1164" i="1"/>
  <c r="C1162" i="4" s="1"/>
  <c r="AJ1183" i="1"/>
  <c r="B1181" i="4" s="1"/>
  <c r="AK1201" i="1"/>
  <c r="C1199" i="4" s="1"/>
  <c r="AL1220" i="1"/>
  <c r="D1218" i="4" s="1"/>
  <c r="AL1325" i="1"/>
  <c r="D1323" i="4" s="1"/>
  <c r="AJ1338" i="1"/>
  <c r="B1336" i="4" s="1"/>
  <c r="AL1350" i="1"/>
  <c r="D1348" i="4" s="1"/>
  <c r="AK1357" i="1"/>
  <c r="C1355" i="4" s="1"/>
  <c r="AJ1365" i="1"/>
  <c r="B1363" i="4" s="1"/>
  <c r="AJ1378" i="1"/>
  <c r="B1376" i="4" s="1"/>
  <c r="AJ1386" i="1"/>
  <c r="B1384" i="4" s="1"/>
  <c r="AK1417" i="1"/>
  <c r="C1415" i="4" s="1"/>
  <c r="AK1432" i="1"/>
  <c r="AM1439" i="1"/>
  <c r="AK1445" i="1"/>
  <c r="AJ1453" i="1"/>
  <c r="AL1467" i="1"/>
  <c r="AL1501" i="1"/>
  <c r="AK1508" i="1"/>
  <c r="AK1526" i="1"/>
  <c r="AL1547" i="1"/>
  <c r="AJ1555" i="1"/>
  <c r="AJ1569" i="1"/>
  <c r="AL1573" i="1"/>
  <c r="AM1590" i="1"/>
  <c r="AL1594" i="1"/>
  <c r="AK1601" i="1"/>
  <c r="AL1605" i="1"/>
  <c r="AJ1610" i="1"/>
  <c r="AM1613" i="1"/>
  <c r="AL1622" i="1"/>
  <c r="AK1626" i="1"/>
  <c r="AM1630" i="1"/>
  <c r="AJ1643" i="1"/>
  <c r="AL1647" i="1"/>
  <c r="AJ1652" i="1"/>
  <c r="AL1664" i="1"/>
  <c r="AJ1669" i="1"/>
  <c r="AM1676" i="1"/>
  <c r="AL1681" i="1"/>
  <c r="AK1685" i="1"/>
  <c r="AK1689" i="1"/>
  <c r="AJ1694" i="1"/>
  <c r="AL1697" i="1"/>
  <c r="AK1701" i="1"/>
  <c r="AK1709" i="1"/>
  <c r="AL1717" i="1"/>
  <c r="AJ1721" i="1"/>
  <c r="AL1724" i="1"/>
  <c r="AJ1736" i="1"/>
  <c r="AL1743" i="1"/>
  <c r="AL1747" i="1"/>
  <c r="AL1762" i="1"/>
  <c r="AL1766" i="1"/>
  <c r="AL1773" i="1"/>
  <c r="AJ1778" i="1"/>
  <c r="AL1781" i="1"/>
  <c r="AL1789" i="1"/>
  <c r="AK1796" i="1"/>
  <c r="AL860" i="1"/>
  <c r="D858" i="4" s="1"/>
  <c r="AK895" i="1"/>
  <c r="C893" i="4" s="1"/>
  <c r="AL1229" i="1"/>
  <c r="D1227" i="4" s="1"/>
  <c r="AJ1318" i="1"/>
  <c r="B1316" i="4" s="1"/>
  <c r="AJ1598" i="1"/>
  <c r="AK1605" i="1"/>
  <c r="AK1613" i="1"/>
  <c r="AK1628" i="1"/>
  <c r="AL1635" i="1"/>
  <c r="AM1659" i="1"/>
  <c r="AM1673" i="1"/>
  <c r="AM1709" i="1"/>
  <c r="AL1729" i="1"/>
  <c r="AK1736" i="1"/>
  <c r="AK1743" i="1"/>
  <c r="AM1762" i="1"/>
  <c r="AJ1769" i="1"/>
  <c r="AM1781" i="1"/>
  <c r="AJ1793" i="1"/>
  <c r="AM1802" i="1"/>
  <c r="AL1809" i="1"/>
  <c r="AK1814" i="1"/>
  <c r="AL1817" i="1"/>
  <c r="AD43" i="1"/>
  <c r="G41" i="4" s="1"/>
  <c r="AE74" i="1"/>
  <c r="H72" i="4" s="1"/>
  <c r="AD91" i="1"/>
  <c r="G89" i="4" s="1"/>
  <c r="AD115" i="1"/>
  <c r="G113" i="4" s="1"/>
  <c r="AG220" i="1"/>
  <c r="J218" i="4" s="1"/>
  <c r="AF237" i="1"/>
  <c r="I235" i="4" s="1"/>
  <c r="AD244" i="1"/>
  <c r="G242" i="4" s="1"/>
  <c r="AD254" i="1"/>
  <c r="G252" i="4" s="1"/>
  <c r="AE262" i="1"/>
  <c r="H260" i="4" s="1"/>
  <c r="AD266" i="1"/>
  <c r="G264" i="4" s="1"/>
  <c r="AF275" i="1"/>
  <c r="I273" i="4" s="1"/>
  <c r="AD279" i="1"/>
  <c r="G277" i="4" s="1"/>
  <c r="AG281" i="1"/>
  <c r="J279" i="4" s="1"/>
  <c r="AE287" i="1"/>
  <c r="H285" i="4" s="1"/>
  <c r="AD291" i="1"/>
  <c r="G289" i="4" s="1"/>
  <c r="AG293" i="1"/>
  <c r="J291" i="4" s="1"/>
  <c r="AL1185" i="1"/>
  <c r="D1183" i="4" s="1"/>
  <c r="AM1417" i="1"/>
  <c r="E1415" i="4" s="1"/>
  <c r="AK1448" i="1"/>
  <c r="AJ1495" i="1"/>
  <c r="AL1504" i="1"/>
  <c r="AK1522" i="1"/>
  <c r="AJ1540" i="1"/>
  <c r="AK1550" i="1"/>
  <c r="AL1569" i="1"/>
  <c r="AM1578" i="1"/>
  <c r="AJ1591" i="1"/>
  <c r="AK1598" i="1"/>
  <c r="AK1652" i="1"/>
  <c r="AJ1682" i="1"/>
  <c r="AL1736" i="1"/>
  <c r="AM1743" i="1"/>
  <c r="AM1750" i="1"/>
  <c r="AM1013" i="1"/>
  <c r="E1011" i="4" s="1"/>
  <c r="AK1319" i="1"/>
  <c r="C1317" i="4" s="1"/>
  <c r="AL1338" i="1"/>
  <c r="D1336" i="4" s="1"/>
  <c r="AL1357" i="1"/>
  <c r="D1355" i="4" s="1"/>
  <c r="AJ1389" i="1"/>
  <c r="B1387" i="4" s="1"/>
  <c r="AM1408" i="1"/>
  <c r="E1406" i="4" s="1"/>
  <c r="AJ1468" i="1"/>
  <c r="AK1532" i="1"/>
  <c r="AM1598" i="1"/>
  <c r="AL1606" i="1"/>
  <c r="AK1614" i="1"/>
  <c r="AL1645" i="1"/>
  <c r="AL1652" i="1"/>
  <c r="AM1682" i="1"/>
  <c r="AL1689" i="1"/>
  <c r="AK1697" i="1"/>
  <c r="AL1705" i="1"/>
  <c r="AK1710" i="1"/>
  <c r="AJ1717" i="1"/>
  <c r="AK1724" i="1"/>
  <c r="AJ1730" i="1"/>
  <c r="AL1757" i="1"/>
  <c r="AM1793" i="1"/>
  <c r="AJ1803" i="1"/>
  <c r="AL1810" i="1"/>
  <c r="AM1814" i="1"/>
  <c r="AE26" i="1"/>
  <c r="H24" i="4" s="1"/>
  <c r="AE61" i="1"/>
  <c r="H59" i="4" s="1"/>
  <c r="AE85" i="1"/>
  <c r="H83" i="4" s="1"/>
  <c r="AG124" i="1"/>
  <c r="J122" i="4" s="1"/>
  <c r="AD148" i="1"/>
  <c r="G146" i="4" s="1"/>
  <c r="AE157" i="1"/>
  <c r="H155" i="4" s="1"/>
  <c r="AD172" i="1"/>
  <c r="G170" i="4" s="1"/>
  <c r="AF213" i="1"/>
  <c r="I211" i="4" s="1"/>
  <c r="AE250" i="1"/>
  <c r="H248" i="4" s="1"/>
  <c r="AF254" i="1"/>
  <c r="I252" i="4" s="1"/>
  <c r="AF258" i="1"/>
  <c r="I256" i="4" s="1"/>
  <c r="AF266" i="1"/>
  <c r="I264" i="4" s="1"/>
  <c r="AF270" i="1"/>
  <c r="I268" i="4" s="1"/>
  <c r="AG279" i="1"/>
  <c r="J277" i="4" s="1"/>
  <c r="AD282" i="1"/>
  <c r="G280" i="4" s="1"/>
  <c r="AG291" i="1"/>
  <c r="J289" i="4" s="1"/>
  <c r="AD294" i="1"/>
  <c r="G292" i="4" s="1"/>
  <c r="AF299" i="1"/>
  <c r="I297" i="4" s="1"/>
  <c r="AM1231" i="1"/>
  <c r="E1229" i="4" s="1"/>
  <c r="AJ1289" i="1"/>
  <c r="B1287" i="4" s="1"/>
  <c r="AK1299" i="1"/>
  <c r="C1297" i="4" s="1"/>
  <c r="AK1460" i="1"/>
  <c r="AJ1515" i="1"/>
  <c r="AL1570" i="1"/>
  <c r="AK1586" i="1"/>
  <c r="AK1622" i="1"/>
  <c r="AL1630" i="1"/>
  <c r="AJ1661" i="1"/>
  <c r="AM1697" i="1"/>
  <c r="AM1724" i="1"/>
  <c r="AJ1751" i="1"/>
  <c r="AK1770" i="1"/>
  <c r="AL1777" i="1"/>
  <c r="AJ1789" i="1"/>
  <c r="AJ1799" i="1"/>
  <c r="AK1803" i="1"/>
  <c r="AJ1807" i="1"/>
  <c r="AM1810" i="1"/>
  <c r="AK1818" i="1"/>
  <c r="AE110" i="1"/>
  <c r="H108" i="4" s="1"/>
  <c r="AF117" i="1"/>
  <c r="I115" i="4" s="1"/>
  <c r="AE133" i="1"/>
  <c r="H131" i="4" s="1"/>
  <c r="AE181" i="1"/>
  <c r="H179" i="4" s="1"/>
  <c r="AE206" i="1"/>
  <c r="H204" i="4" s="1"/>
  <c r="AG250" i="1"/>
  <c r="J248" i="4" s="1"/>
  <c r="AE263" i="1"/>
  <c r="H261" i="4" s="1"/>
  <c r="AG266" i="1"/>
  <c r="J264" i="4" s="1"/>
  <c r="AG270" i="1"/>
  <c r="J268" i="4" s="1"/>
  <c r="AE276" i="1"/>
  <c r="H274" i="4" s="1"/>
  <c r="AF282" i="1"/>
  <c r="I280" i="4" s="1"/>
  <c r="AE288" i="1"/>
  <c r="H286" i="4" s="1"/>
  <c r="AF294" i="1"/>
  <c r="I292" i="4" s="1"/>
  <c r="AG303" i="1"/>
  <c r="J301" i="4" s="1"/>
  <c r="AJ1004" i="1"/>
  <c r="B1002" i="4" s="1"/>
  <c r="AJ1145" i="1"/>
  <c r="B1143" i="4" s="1"/>
  <c r="AK1409" i="1"/>
  <c r="C1407" i="4" s="1"/>
  <c r="AL1497" i="1"/>
  <c r="AK1580" i="1"/>
  <c r="AM1622" i="1"/>
  <c r="AL1661" i="1"/>
  <c r="AL1669" i="1"/>
  <c r="AL1676" i="1"/>
  <c r="AM1690" i="1"/>
  <c r="AJ1706" i="1"/>
  <c r="AJ1718" i="1"/>
  <c r="AM1731" i="1"/>
  <c r="AJ1745" i="1"/>
  <c r="AK1758" i="1"/>
  <c r="AL1765" i="1"/>
  <c r="AJ1784" i="1"/>
  <c r="AL1803" i="1"/>
  <c r="AL1807" i="1"/>
  <c r="AJ1815" i="1"/>
  <c r="AD19" i="1"/>
  <c r="G17" i="4" s="1"/>
  <c r="AD54" i="1"/>
  <c r="G52" i="4" s="1"/>
  <c r="AD62" i="1"/>
  <c r="G60" i="4" s="1"/>
  <c r="AF69" i="1"/>
  <c r="I67" i="4" s="1"/>
  <c r="AD86" i="1"/>
  <c r="G84" i="4" s="1"/>
  <c r="AD102" i="1"/>
  <c r="G100" i="4" s="1"/>
  <c r="AF141" i="1"/>
  <c r="I139" i="4" s="1"/>
  <c r="AE158" i="1"/>
  <c r="H156" i="4" s="1"/>
  <c r="AF165" i="1"/>
  <c r="I163" i="4" s="1"/>
  <c r="AF189" i="1"/>
  <c r="I187" i="4" s="1"/>
  <c r="AD198" i="1"/>
  <c r="G196" i="4" s="1"/>
  <c r="AD223" i="1"/>
  <c r="G221" i="4" s="1"/>
  <c r="AD232" i="1"/>
  <c r="G230" i="4" s="1"/>
  <c r="AD246" i="1"/>
  <c r="G244" i="4" s="1"/>
  <c r="AD255" i="1"/>
  <c r="G253" i="4" s="1"/>
  <c r="AD259" i="1"/>
  <c r="G257" i="4" s="1"/>
  <c r="AF276" i="1"/>
  <c r="I274" i="4" s="1"/>
  <c r="AD280" i="1"/>
  <c r="G278" i="4" s="1"/>
  <c r="AG282" i="1"/>
  <c r="J280" i="4" s="1"/>
  <c r="AF288" i="1"/>
  <c r="I286" i="4" s="1"/>
  <c r="AD292" i="1"/>
  <c r="G290" i="4" s="1"/>
  <c r="AG294" i="1"/>
  <c r="J292" i="4" s="1"/>
  <c r="AE300" i="1"/>
  <c r="H298" i="4" s="1"/>
  <c r="AJ1111" i="1"/>
  <c r="B1109" i="4" s="1"/>
  <c r="AJ1167" i="1"/>
  <c r="B1165" i="4" s="1"/>
  <c r="AM1280" i="1"/>
  <c r="E1278" i="4" s="1"/>
  <c r="AM1290" i="1"/>
  <c r="E1288" i="4" s="1"/>
  <c r="AJ1350" i="1"/>
  <c r="B1348" i="4" s="1"/>
  <c r="AL1381" i="1"/>
  <c r="D1379" i="4" s="1"/>
  <c r="AK1401" i="1"/>
  <c r="C1399" i="4" s="1"/>
  <c r="AL1441" i="1"/>
  <c r="AJ1461" i="1"/>
  <c r="AL1480" i="1"/>
  <c r="AK1490" i="1"/>
  <c r="AK1534" i="1"/>
  <c r="AL1563" i="1"/>
  <c r="AJ1587" i="1"/>
  <c r="AM1594" i="1"/>
  <c r="AJ1631" i="1"/>
  <c r="AK1647" i="1"/>
  <c r="AK1706" i="1"/>
  <c r="AM1712" i="1"/>
  <c r="AL1718" i="1"/>
  <c r="AL1725" i="1"/>
  <c r="AJ1739" i="1"/>
  <c r="AL1771" i="1"/>
  <c r="AK1778" i="1"/>
  <c r="AL1784" i="1"/>
  <c r="AJ1790" i="1"/>
  <c r="AJ1795" i="1"/>
  <c r="AM1803" i="1"/>
  <c r="AJ1811" i="1"/>
  <c r="AK1815" i="1"/>
  <c r="AJ1819" i="1"/>
  <c r="AD38" i="1"/>
  <c r="G36" i="4" s="1"/>
  <c r="AE62" i="1"/>
  <c r="H60" i="4" s="1"/>
  <c r="AD78" i="1"/>
  <c r="G76" i="4" s="1"/>
  <c r="AE86" i="1"/>
  <c r="H84" i="4" s="1"/>
  <c r="AD126" i="1"/>
  <c r="G124" i="4" s="1"/>
  <c r="AE134" i="1"/>
  <c r="H132" i="4" s="1"/>
  <c r="AD150" i="1"/>
  <c r="G148" i="4" s="1"/>
  <c r="AD174" i="1"/>
  <c r="G172" i="4" s="1"/>
  <c r="AE182" i="1"/>
  <c r="H180" i="4" s="1"/>
  <c r="AG232" i="1"/>
  <c r="J230" i="4" s="1"/>
  <c r="AE241" i="1"/>
  <c r="H239" i="4" s="1"/>
  <c r="AF246" i="1"/>
  <c r="I244" i="4" s="1"/>
  <c r="AF255" i="1"/>
  <c r="I253" i="4" s="1"/>
  <c r="AE259" i="1"/>
  <c r="H257" i="4" s="1"/>
  <c r="AD264" i="1"/>
  <c r="G262" i="4" s="1"/>
  <c r="AD267" i="1"/>
  <c r="G265" i="4" s="1"/>
  <c r="AF271" i="1"/>
  <c r="I269" i="4" s="1"/>
  <c r="AG276" i="1"/>
  <c r="J274" i="4" s="1"/>
  <c r="AE280" i="1"/>
  <c r="H278" i="4" s="1"/>
  <c r="AG288" i="1"/>
  <c r="J286" i="4" s="1"/>
  <c r="AE292" i="1"/>
  <c r="H290" i="4" s="1"/>
  <c r="AF300" i="1"/>
  <c r="I298" i="4" s="1"/>
  <c r="AL923" i="1"/>
  <c r="D921" i="4" s="1"/>
  <c r="AL1146" i="1"/>
  <c r="D1144" i="4" s="1"/>
  <c r="AL1333" i="1"/>
  <c r="D1331" i="4" s="1"/>
  <c r="AJ1432" i="1"/>
  <c r="AL1461" i="1"/>
  <c r="AM1508" i="1"/>
  <c r="AL1587" i="1"/>
  <c r="AJ1601" i="1"/>
  <c r="AL1617" i="1"/>
  <c r="AL1623" i="1"/>
  <c r="AJ1640" i="1"/>
  <c r="AM1647" i="1"/>
  <c r="AJ1655" i="1"/>
  <c r="AK1670" i="1"/>
  <c r="AK1677" i="1"/>
  <c r="AJ1685" i="1"/>
  <c r="AM1706" i="1"/>
  <c r="AJ1759" i="1"/>
  <c r="AK1766" i="1"/>
  <c r="AL1778" i="1"/>
  <c r="AM1784" i="1"/>
  <c r="AL1790" i="1"/>
  <c r="AJ1801" i="1"/>
  <c r="AJ1808" i="1"/>
  <c r="AL1815" i="1"/>
  <c r="AL1819" i="1"/>
  <c r="AE38" i="1"/>
  <c r="H36" i="4" s="1"/>
  <c r="AD55" i="1"/>
  <c r="G53" i="4" s="1"/>
  <c r="AD103" i="1"/>
  <c r="G101" i="4" s="1"/>
  <c r="AD112" i="1"/>
  <c r="G110" i="4" s="1"/>
  <c r="AD199" i="1"/>
  <c r="G197" i="4" s="1"/>
  <c r="AD208" i="1"/>
  <c r="G206" i="4" s="1"/>
  <c r="AG241" i="1"/>
  <c r="J239" i="4" s="1"/>
  <c r="AG255" i="1"/>
  <c r="J253" i="4" s="1"/>
  <c r="AF267" i="1"/>
  <c r="I265" i="4" s="1"/>
  <c r="AF280" i="1"/>
  <c r="I278" i="4" s="1"/>
  <c r="AF283" i="1"/>
  <c r="I281" i="4" s="1"/>
  <c r="AF292" i="1"/>
  <c r="I290" i="4" s="1"/>
  <c r="AF295" i="1"/>
  <c r="I293" i="4" s="1"/>
  <c r="AG300" i="1"/>
  <c r="J298" i="4" s="1"/>
  <c r="AL1158" i="1"/>
  <c r="D1156" i="4" s="1"/>
  <c r="AM1333" i="1"/>
  <c r="E1331" i="4" s="1"/>
  <c r="AM1372" i="1"/>
  <c r="E1370" i="4" s="1"/>
  <c r="AL1393" i="1"/>
  <c r="D1391" i="4" s="1"/>
  <c r="AM1432" i="1"/>
  <c r="AL1453" i="1"/>
  <c r="AL1491" i="1"/>
  <c r="AL1527" i="1"/>
  <c r="AJ1564" i="1"/>
  <c r="AM1582" i="1"/>
  <c r="AK1595" i="1"/>
  <c r="AM1601" i="1"/>
  <c r="AK1610" i="1"/>
  <c r="AK1640" i="1"/>
  <c r="AL1685" i="1"/>
  <c r="AK1713" i="1"/>
  <c r="AJ1733" i="1"/>
  <c r="AK1740" i="1"/>
  <c r="AJ1747" i="1"/>
  <c r="AJ1754" i="1"/>
  <c r="AL1759" i="1"/>
  <c r="AM1766" i="1"/>
  <c r="AL1772" i="1"/>
  <c r="AJ1796" i="1"/>
  <c r="AL1801" i="1"/>
  <c r="AK1808" i="1"/>
  <c r="AM1815" i="1"/>
  <c r="AF21" i="1"/>
  <c r="I19" i="4" s="1"/>
  <c r="AE49" i="1"/>
  <c r="H47" i="4" s="1"/>
  <c r="AD79" i="1"/>
  <c r="G77" i="4" s="1"/>
  <c r="AE97" i="1"/>
  <c r="H95" i="4" s="1"/>
  <c r="AG112" i="1"/>
  <c r="J110" i="4" s="1"/>
  <c r="AD127" i="1"/>
  <c r="G125" i="4" s="1"/>
  <c r="AD151" i="1"/>
  <c r="G149" i="4" s="1"/>
  <c r="AD160" i="1"/>
  <c r="G158" i="4" s="1"/>
  <c r="AD175" i="1"/>
  <c r="G173" i="4" s="1"/>
  <c r="AF225" i="1"/>
  <c r="I223" i="4" s="1"/>
  <c r="AD247" i="1"/>
  <c r="G245" i="4" s="1"/>
  <c r="AD253" i="1"/>
  <c r="G251" i="4" s="1"/>
  <c r="AE260" i="1"/>
  <c r="H258" i="4" s="1"/>
  <c r="AD265" i="1"/>
  <c r="G263" i="4" s="1"/>
  <c r="AG267" i="1"/>
  <c r="J265" i="4" s="1"/>
  <c r="AD277" i="1"/>
  <c r="G275" i="4" s="1"/>
  <c r="AG280" i="1"/>
  <c r="J278" i="4" s="1"/>
  <c r="AD289" i="1"/>
  <c r="G287" i="4" s="1"/>
  <c r="AG292" i="1"/>
  <c r="J290" i="4" s="1"/>
  <c r="AK1191" i="1"/>
  <c r="C1189" i="4" s="1"/>
  <c r="AM1403" i="1"/>
  <c r="E1401" i="4" s="1"/>
  <c r="AJ1473" i="1"/>
  <c r="AM1482" i="1"/>
  <c r="AL1509" i="1"/>
  <c r="AJ1519" i="1"/>
  <c r="AK1556" i="1"/>
  <c r="AJ1574" i="1"/>
  <c r="AJ1588" i="1"/>
  <c r="AL1610" i="1"/>
  <c r="AL1618" i="1"/>
  <c r="AM1640" i="1"/>
  <c r="AK1664" i="1"/>
  <c r="AM1685" i="1"/>
  <c r="AL1701" i="1"/>
  <c r="AL1713" i="1"/>
  <c r="AL1733" i="1"/>
  <c r="AM1754" i="1"/>
  <c r="AM246" i="1"/>
  <c r="E244" i="4" s="1"/>
  <c r="AK903" i="1"/>
  <c r="C901" i="4" s="1"/>
  <c r="AL1316" i="1"/>
  <c r="D1314" i="4" s="1"/>
  <c r="AK1334" i="1"/>
  <c r="C1332" i="4" s="1"/>
  <c r="AK1353" i="1"/>
  <c r="C1351" i="4" s="1"/>
  <c r="AJ1501" i="1"/>
  <c r="AJ1528" i="1"/>
  <c r="AJ1547" i="1"/>
  <c r="AJ1583" i="1"/>
  <c r="AM1618" i="1"/>
  <c r="AM1634" i="1"/>
  <c r="AJ1649" i="1"/>
  <c r="AJ1657" i="1"/>
  <c r="AM1664" i="1"/>
  <c r="AK1694" i="1"/>
  <c r="AK1721" i="1"/>
  <c r="AK1728" i="1"/>
  <c r="AL1741" i="1"/>
  <c r="AJ1748" i="1"/>
  <c r="AJ1760" i="1"/>
  <c r="AL1767" i="1"/>
  <c r="AK1773" i="1"/>
  <c r="AL1785" i="1"/>
  <c r="AM1791" i="1"/>
  <c r="AM1796" i="1"/>
  <c r="AJ1802" i="1"/>
  <c r="AK1805" i="1"/>
  <c r="AM1808" i="1"/>
  <c r="AL1813" i="1"/>
  <c r="AD50" i="1"/>
  <c r="G48" i="4" s="1"/>
  <c r="AF57" i="1"/>
  <c r="I55" i="4" s="1"/>
  <c r="AE73" i="1"/>
  <c r="H71" i="4" s="1"/>
  <c r="AD98" i="1"/>
  <c r="G96" i="4" s="1"/>
  <c r="AE145" i="1"/>
  <c r="H143" i="4" s="1"/>
  <c r="AE169" i="1"/>
  <c r="H167" i="4" s="1"/>
  <c r="AF201" i="1"/>
  <c r="I199" i="4" s="1"/>
  <c r="AD210" i="1"/>
  <c r="G208" i="4" s="1"/>
  <c r="AD235" i="1"/>
  <c r="G233" i="4" s="1"/>
  <c r="AF253" i="1"/>
  <c r="I251" i="4" s="1"/>
  <c r="AF256" i="1"/>
  <c r="I254" i="4" s="1"/>
  <c r="AF265" i="1"/>
  <c r="I263" i="4" s="1"/>
  <c r="AD268" i="1"/>
  <c r="G266" i="4" s="1"/>
  <c r="AG277" i="1"/>
  <c r="J275" i="4" s="1"/>
  <c r="AD281" i="1"/>
  <c r="G279" i="4" s="1"/>
  <c r="AD285" i="1"/>
  <c r="G283" i="4" s="1"/>
  <c r="AG289" i="1"/>
  <c r="J287" i="4" s="1"/>
  <c r="AD293" i="1"/>
  <c r="G291" i="4" s="1"/>
  <c r="AD297" i="1"/>
  <c r="G295" i="4" s="1"/>
  <c r="AE301" i="1"/>
  <c r="H299" i="4" s="1"/>
  <c r="AJ1557" i="1"/>
  <c r="AL1590" i="1"/>
  <c r="AK1635" i="1"/>
  <c r="AL1774" i="1"/>
  <c r="AL1814" i="1"/>
  <c r="AD66" i="1"/>
  <c r="G64" i="4" s="1"/>
  <c r="AE98" i="1"/>
  <c r="H96" i="4" s="1"/>
  <c r="AD187" i="1"/>
  <c r="G185" i="4" s="1"/>
  <c r="AE248" i="1"/>
  <c r="H246" i="4" s="1"/>
  <c r="AG262" i="1"/>
  <c r="J260" i="4" s="1"/>
  <c r="AE277" i="1"/>
  <c r="H275" i="4" s="1"/>
  <c r="AF293" i="1"/>
  <c r="I291" i="4" s="1"/>
  <c r="AG301" i="1"/>
  <c r="J299" i="4" s="1"/>
  <c r="AE305" i="1"/>
  <c r="H303" i="4" s="1"/>
  <c r="AE310" i="1"/>
  <c r="H308" i="4" s="1"/>
  <c r="AE317" i="1"/>
  <c r="H315" i="4" s="1"/>
  <c r="AD321" i="1"/>
  <c r="G319" i="4" s="1"/>
  <c r="AE325" i="1"/>
  <c r="H323" i="4" s="1"/>
  <c r="AF332" i="1"/>
  <c r="I330" i="4" s="1"/>
  <c r="AF340" i="1"/>
  <c r="I338" i="4" s="1"/>
  <c r="AF343" i="1"/>
  <c r="I341" i="4" s="1"/>
  <c r="AG348" i="1"/>
  <c r="J346" i="4" s="1"/>
  <c r="AE352" i="1"/>
  <c r="H350" i="4" s="1"/>
  <c r="AF360" i="1"/>
  <c r="I358" i="4" s="1"/>
  <c r="AD364" i="1"/>
  <c r="G362" i="4" s="1"/>
  <c r="AG366" i="1"/>
  <c r="J364" i="4" s="1"/>
  <c r="AE372" i="1"/>
  <c r="H370" i="4" s="1"/>
  <c r="AF378" i="1"/>
  <c r="I376" i="4" s="1"/>
  <c r="AG387" i="1"/>
  <c r="J385" i="4" s="1"/>
  <c r="AD390" i="1"/>
  <c r="G388" i="4" s="1"/>
  <c r="AF395" i="1"/>
  <c r="I393" i="4" s="1"/>
  <c r="AF399" i="1"/>
  <c r="I397" i="4" s="1"/>
  <c r="AD402" i="1"/>
  <c r="G400" i="4" s="1"/>
  <c r="AF407" i="1"/>
  <c r="I405" i="4" s="1"/>
  <c r="AG413" i="1"/>
  <c r="J411" i="4" s="1"/>
  <c r="AF425" i="1"/>
  <c r="I423" i="4" s="1"/>
  <c r="AE430" i="1"/>
  <c r="H428" i="4" s="1"/>
  <c r="AG433" i="1"/>
  <c r="J431" i="4" s="1"/>
  <c r="AE437" i="1"/>
  <c r="H435" i="4" s="1"/>
  <c r="AE445" i="1"/>
  <c r="H443" i="4" s="1"/>
  <c r="AE457" i="1"/>
  <c r="H455" i="4" s="1"/>
  <c r="AE469" i="1"/>
  <c r="H467" i="4" s="1"/>
  <c r="AD485" i="1"/>
  <c r="G483" i="4" s="1"/>
  <c r="AG493" i="1"/>
  <c r="J491" i="4" s="1"/>
  <c r="AF500" i="1"/>
  <c r="I498" i="4" s="1"/>
  <c r="AE513" i="1"/>
  <c r="H511" i="4" s="1"/>
  <c r="AG521" i="1"/>
  <c r="J519" i="4" s="1"/>
  <c r="AF528" i="1"/>
  <c r="I526" i="4" s="1"/>
  <c r="AE533" i="1"/>
  <c r="H531" i="4" s="1"/>
  <c r="AG536" i="1"/>
  <c r="J534" i="4" s="1"/>
  <c r="AD540" i="1"/>
  <c r="G538" i="4" s="1"/>
  <c r="AE548" i="1"/>
  <c r="H546" i="4" s="1"/>
  <c r="AD551" i="1"/>
  <c r="G549" i="4" s="1"/>
  <c r="AE555" i="1"/>
  <c r="H553" i="4" s="1"/>
  <c r="AG562" i="1"/>
  <c r="J560" i="4" s="1"/>
  <c r="AG566" i="1"/>
  <c r="J564" i="4" s="1"/>
  <c r="AM1396" i="1"/>
  <c r="E1394" i="4" s="1"/>
  <c r="AL1721" i="1"/>
  <c r="AK1793" i="1"/>
  <c r="AE109" i="1"/>
  <c r="H107" i="4" s="1"/>
  <c r="AD138" i="1"/>
  <c r="G136" i="4" s="1"/>
  <c r="AE230" i="1"/>
  <c r="H228" i="4" s="1"/>
  <c r="AF248" i="1"/>
  <c r="I246" i="4" s="1"/>
  <c r="AD256" i="1"/>
  <c r="G254" i="4" s="1"/>
  <c r="AF305" i="1"/>
  <c r="I303" i="4" s="1"/>
  <c r="AF317" i="1"/>
  <c r="I315" i="4" s="1"/>
  <c r="AG325" i="1"/>
  <c r="J323" i="4" s="1"/>
  <c r="AD329" i="1"/>
  <c r="G327" i="4" s="1"/>
  <c r="AD337" i="1"/>
  <c r="G335" i="4" s="1"/>
  <c r="AG340" i="1"/>
  <c r="J338" i="4" s="1"/>
  <c r="AF352" i="1"/>
  <c r="I350" i="4" s="1"/>
  <c r="AF355" i="1"/>
  <c r="I353" i="4" s="1"/>
  <c r="AG360" i="1"/>
  <c r="J358" i="4" s="1"/>
  <c r="AE364" i="1"/>
  <c r="H362" i="4" s="1"/>
  <c r="AF372" i="1"/>
  <c r="I370" i="4" s="1"/>
  <c r="AD376" i="1"/>
  <c r="G374" i="4" s="1"/>
  <c r="AG378" i="1"/>
  <c r="J376" i="4" s="1"/>
  <c r="AE384" i="1"/>
  <c r="H382" i="4" s="1"/>
  <c r="AF390" i="1"/>
  <c r="I388" i="4" s="1"/>
  <c r="AG399" i="1"/>
  <c r="J397" i="4" s="1"/>
  <c r="AF402" i="1"/>
  <c r="I400" i="4" s="1"/>
  <c r="AD411" i="1"/>
  <c r="G409" i="4" s="1"/>
  <c r="AE419" i="1"/>
  <c r="H417" i="4" s="1"/>
  <c r="AG425" i="1"/>
  <c r="J423" i="4" s="1"/>
  <c r="AF437" i="1"/>
  <c r="I435" i="4" s="1"/>
  <c r="AE442" i="1"/>
  <c r="H440" i="4" s="1"/>
  <c r="AF445" i="1"/>
  <c r="I443" i="4" s="1"/>
  <c r="AD449" i="1"/>
  <c r="G447" i="4" s="1"/>
  <c r="AF457" i="1"/>
  <c r="I455" i="4" s="1"/>
  <c r="AD461" i="1"/>
  <c r="G459" i="4" s="1"/>
  <c r="AD465" i="1"/>
  <c r="G463" i="4" s="1"/>
  <c r="AF469" i="1"/>
  <c r="I467" i="4" s="1"/>
  <c r="AD473" i="1"/>
  <c r="G471" i="4" s="1"/>
  <c r="AE478" i="1"/>
  <c r="H476" i="4" s="1"/>
  <c r="AE485" i="1"/>
  <c r="H483" i="4" s="1"/>
  <c r="AE490" i="1"/>
  <c r="H488" i="4" s="1"/>
  <c r="AD497" i="1"/>
  <c r="G495" i="4" s="1"/>
  <c r="AD506" i="1"/>
  <c r="G504" i="4" s="1"/>
  <c r="AF513" i="1"/>
  <c r="I511" i="4" s="1"/>
  <c r="AE525" i="1"/>
  <c r="H523" i="4" s="1"/>
  <c r="AG533" i="1"/>
  <c r="J531" i="4" s="1"/>
  <c r="AF540" i="1"/>
  <c r="I538" i="4" s="1"/>
  <c r="AF548" i="1"/>
  <c r="I546" i="4" s="1"/>
  <c r="AF555" i="1"/>
  <c r="I553" i="4" s="1"/>
  <c r="AD560" i="1"/>
  <c r="G558" i="4" s="1"/>
  <c r="AJ1681" i="1"/>
  <c r="AM1702" i="1"/>
  <c r="AK1755" i="1"/>
  <c r="AK1785" i="1"/>
  <c r="AK1802" i="1"/>
  <c r="AL1808" i="1"/>
  <c r="AD26" i="1"/>
  <c r="G24" i="4" s="1"/>
  <c r="AD67" i="1"/>
  <c r="G65" i="4" s="1"/>
  <c r="AF129" i="1"/>
  <c r="I127" i="4" s="1"/>
  <c r="AG160" i="1"/>
  <c r="J158" i="4" s="1"/>
  <c r="AD220" i="1"/>
  <c r="G218" i="4" s="1"/>
  <c r="AE242" i="1"/>
  <c r="H240" i="4" s="1"/>
  <c r="AG256" i="1"/>
  <c r="J254" i="4" s="1"/>
  <c r="AF287" i="1"/>
  <c r="I285" i="4" s="1"/>
  <c r="AG305" i="1"/>
  <c r="J303" i="4" s="1"/>
  <c r="AE311" i="1"/>
  <c r="H309" i="4" s="1"/>
  <c r="AD315" i="1"/>
  <c r="G313" i="4" s="1"/>
  <c r="AG317" i="1"/>
  <c r="J315" i="4" s="1"/>
  <c r="AE322" i="1"/>
  <c r="H320" i="4" s="1"/>
  <c r="AE329" i="1"/>
  <c r="H327" i="4" s="1"/>
  <c r="AD333" i="1"/>
  <c r="G331" i="4" s="1"/>
  <c r="AE337" i="1"/>
  <c r="H335" i="4" s="1"/>
  <c r="AF344" i="1"/>
  <c r="I342" i="4" s="1"/>
  <c r="AD349" i="1"/>
  <c r="G347" i="4" s="1"/>
  <c r="AG352" i="1"/>
  <c r="J350" i="4" s="1"/>
  <c r="AF364" i="1"/>
  <c r="I362" i="4" s="1"/>
  <c r="AF367" i="1"/>
  <c r="I365" i="4" s="1"/>
  <c r="AG372" i="1"/>
  <c r="J370" i="4" s="1"/>
  <c r="AE376" i="1"/>
  <c r="H374" i="4" s="1"/>
  <c r="AF384" i="1"/>
  <c r="I382" i="4" s="1"/>
  <c r="AD388" i="1"/>
  <c r="G386" i="4" s="1"/>
  <c r="AG390" i="1"/>
  <c r="J388" i="4" s="1"/>
  <c r="AE396" i="1"/>
  <c r="H394" i="4" s="1"/>
  <c r="AG402" i="1"/>
  <c r="J400" i="4" s="1"/>
  <c r="AD408" i="1"/>
  <c r="G406" i="4" s="1"/>
  <c r="AF411" i="1"/>
  <c r="I409" i="4" s="1"/>
  <c r="AD414" i="1"/>
  <c r="G412" i="4" s="1"/>
  <c r="AF419" i="1"/>
  <c r="I417" i="4" s="1"/>
  <c r="AD423" i="1"/>
  <c r="G421" i="4" s="1"/>
  <c r="AE431" i="1"/>
  <c r="H429" i="4" s="1"/>
  <c r="AG437" i="1"/>
  <c r="J435" i="4" s="1"/>
  <c r="AG445" i="1"/>
  <c r="J443" i="4" s="1"/>
  <c r="AE449" i="1"/>
  <c r="H447" i="4" s="1"/>
  <c r="AE454" i="1"/>
  <c r="H452" i="4" s="1"/>
  <c r="AG457" i="1"/>
  <c r="J455" i="4" s="1"/>
  <c r="AE461" i="1"/>
  <c r="H459" i="4" s="1"/>
  <c r="AG469" i="1"/>
  <c r="J467" i="4" s="1"/>
  <c r="AF473" i="1"/>
  <c r="I471" i="4" s="1"/>
  <c r="AD483" i="1"/>
  <c r="G481" i="4" s="1"/>
  <c r="AF485" i="1"/>
  <c r="I483" i="4" s="1"/>
  <c r="AE497" i="1"/>
  <c r="H495" i="4" s="1"/>
  <c r="AE501" i="1"/>
  <c r="H499" i="4" s="1"/>
  <c r="AE506" i="1"/>
  <c r="H504" i="4" s="1"/>
  <c r="AD511" i="1"/>
  <c r="G509" i="4" s="1"/>
  <c r="AG513" i="1"/>
  <c r="J511" i="4" s="1"/>
  <c r="AD518" i="1"/>
  <c r="G516" i="4" s="1"/>
  <c r="AF525" i="1"/>
  <c r="I523" i="4" s="1"/>
  <c r="AE537" i="1"/>
  <c r="H535" i="4" s="1"/>
  <c r="AE545" i="1"/>
  <c r="H543" i="4" s="1"/>
  <c r="AG548" i="1"/>
  <c r="J546" i="4" s="1"/>
  <c r="AD552" i="1"/>
  <c r="G550" i="4" s="1"/>
  <c r="AE560" i="1"/>
  <c r="H558" i="4" s="1"/>
  <c r="AD563" i="1"/>
  <c r="G561" i="4" s="1"/>
  <c r="AE567" i="1"/>
  <c r="H565" i="4" s="1"/>
  <c r="AK1583" i="1"/>
  <c r="AL1755" i="1"/>
  <c r="AL1802" i="1"/>
  <c r="AD90" i="1"/>
  <c r="G88" i="4" s="1"/>
  <c r="AD100" i="1"/>
  <c r="G98" i="4" s="1"/>
  <c r="AE121" i="1"/>
  <c r="H119" i="4" s="1"/>
  <c r="AD139" i="1"/>
  <c r="G137" i="4" s="1"/>
  <c r="AE170" i="1"/>
  <c r="H168" i="4" s="1"/>
  <c r="AD211" i="1"/>
  <c r="G209" i="4" s="1"/>
  <c r="AF279" i="1"/>
  <c r="I277" i="4" s="1"/>
  <c r="AD303" i="1"/>
  <c r="G301" i="4" s="1"/>
  <c r="AF311" i="1"/>
  <c r="I309" i="4" s="1"/>
  <c r="AF315" i="1"/>
  <c r="I313" i="4" s="1"/>
  <c r="AF329" i="1"/>
  <c r="I327" i="4" s="1"/>
  <c r="AG337" i="1"/>
  <c r="J335" i="4" s="1"/>
  <c r="AD341" i="1"/>
  <c r="G339" i="4" s="1"/>
  <c r="AE349" i="1"/>
  <c r="H347" i="4" s="1"/>
  <c r="AF356" i="1"/>
  <c r="I354" i="4" s="1"/>
  <c r="AD361" i="1"/>
  <c r="G359" i="4" s="1"/>
  <c r="AG364" i="1"/>
  <c r="J362" i="4" s="1"/>
  <c r="AF376" i="1"/>
  <c r="I374" i="4" s="1"/>
  <c r="AF379" i="1"/>
  <c r="I377" i="4" s="1"/>
  <c r="AG384" i="1"/>
  <c r="J382" i="4" s="1"/>
  <c r="AE388" i="1"/>
  <c r="H386" i="4" s="1"/>
  <c r="AF396" i="1"/>
  <c r="I394" i="4" s="1"/>
  <c r="AD400" i="1"/>
  <c r="G398" i="4" s="1"/>
  <c r="AE408" i="1"/>
  <c r="H406" i="4" s="1"/>
  <c r="AG411" i="1"/>
  <c r="J409" i="4" s="1"/>
  <c r="AF414" i="1"/>
  <c r="I412" i="4" s="1"/>
  <c r="AF423" i="1"/>
  <c r="I421" i="4" s="1"/>
  <c r="AD426" i="1"/>
  <c r="G424" i="4" s="1"/>
  <c r="AF431" i="1"/>
  <c r="I429" i="4" s="1"/>
  <c r="AD435" i="1"/>
  <c r="G433" i="4" s="1"/>
  <c r="AE443" i="1"/>
  <c r="H441" i="4" s="1"/>
  <c r="AF449" i="1"/>
  <c r="I447" i="4" s="1"/>
  <c r="AF461" i="1"/>
  <c r="I459" i="4" s="1"/>
  <c r="AE466" i="1"/>
  <c r="H464" i="4" s="1"/>
  <c r="AF479" i="1"/>
  <c r="I477" i="4" s="1"/>
  <c r="AE483" i="1"/>
  <c r="H481" i="4" s="1"/>
  <c r="AG485" i="1"/>
  <c r="J483" i="4" s="1"/>
  <c r="AE491" i="1"/>
  <c r="H489" i="4" s="1"/>
  <c r="AD495" i="1"/>
  <c r="G493" i="4" s="1"/>
  <c r="AF497" i="1"/>
  <c r="I495" i="4" s="1"/>
  <c r="AF506" i="1"/>
  <c r="I504" i="4" s="1"/>
  <c r="AE511" i="1"/>
  <c r="H509" i="4" s="1"/>
  <c r="AE518" i="1"/>
  <c r="H516" i="4" s="1"/>
  <c r="AD523" i="1"/>
  <c r="G521" i="4" s="1"/>
  <c r="AG525" i="1"/>
  <c r="J523" i="4" s="1"/>
  <c r="AD530" i="1"/>
  <c r="G528" i="4" s="1"/>
  <c r="AF537" i="1"/>
  <c r="I535" i="4" s="1"/>
  <c r="AD541" i="1"/>
  <c r="G539" i="4" s="1"/>
  <c r="AG545" i="1"/>
  <c r="J543" i="4" s="1"/>
  <c r="AF552" i="1"/>
  <c r="I550" i="4" s="1"/>
  <c r="AF560" i="1"/>
  <c r="I558" i="4" s="1"/>
  <c r="AM1583" i="1"/>
  <c r="AJ1673" i="1"/>
  <c r="AL1786" i="1"/>
  <c r="AK1809" i="1"/>
  <c r="AJ1817" i="1"/>
  <c r="AG243" i="1"/>
  <c r="J241" i="4" s="1"/>
  <c r="AE265" i="1"/>
  <c r="H263" i="4" s="1"/>
  <c r="AF303" i="1"/>
  <c r="I301" i="4" s="1"/>
  <c r="AD306" i="1"/>
  <c r="G304" i="4" s="1"/>
  <c r="AG315" i="1"/>
  <c r="J313" i="4" s="1"/>
  <c r="AD318" i="1"/>
  <c r="G316" i="4" s="1"/>
  <c r="AE323" i="1"/>
  <c r="H321" i="4" s="1"/>
  <c r="AD327" i="1"/>
  <c r="G325" i="4" s="1"/>
  <c r="AG329" i="1"/>
  <c r="J327" i="4" s="1"/>
  <c r="AE334" i="1"/>
  <c r="H332" i="4" s="1"/>
  <c r="AE341" i="1"/>
  <c r="H339" i="4" s="1"/>
  <c r="AG349" i="1"/>
  <c r="J347" i="4" s="1"/>
  <c r="AD353" i="1"/>
  <c r="G351" i="4" s="1"/>
  <c r="AE361" i="1"/>
  <c r="H359" i="4" s="1"/>
  <c r="AF368" i="1"/>
  <c r="I366" i="4" s="1"/>
  <c r="AD373" i="1"/>
  <c r="G371" i="4" s="1"/>
  <c r="AG376" i="1"/>
  <c r="J374" i="4" s="1"/>
  <c r="AF388" i="1"/>
  <c r="I386" i="4" s="1"/>
  <c r="AF391" i="1"/>
  <c r="I389" i="4" s="1"/>
  <c r="AG396" i="1"/>
  <c r="J394" i="4" s="1"/>
  <c r="AE400" i="1"/>
  <c r="H398" i="4" s="1"/>
  <c r="AF403" i="1"/>
  <c r="I401" i="4" s="1"/>
  <c r="AF408" i="1"/>
  <c r="I406" i="4" s="1"/>
  <c r="AG414" i="1"/>
  <c r="J412" i="4" s="1"/>
  <c r="AE420" i="1"/>
  <c r="H418" i="4" s="1"/>
  <c r="AG423" i="1"/>
  <c r="J421" i="4" s="1"/>
  <c r="AF426" i="1"/>
  <c r="I424" i="4" s="1"/>
  <c r="AF435" i="1"/>
  <c r="I433" i="4" s="1"/>
  <c r="AD438" i="1"/>
  <c r="G436" i="4" s="1"/>
  <c r="AF443" i="1"/>
  <c r="I441" i="4" s="1"/>
  <c r="AE455" i="1"/>
  <c r="H453" i="4" s="1"/>
  <c r="AD474" i="1"/>
  <c r="G472" i="4" s="1"/>
  <c r="AF483" i="1"/>
  <c r="I481" i="4" s="1"/>
  <c r="AF491" i="1"/>
  <c r="I489" i="4" s="1"/>
  <c r="AE495" i="1"/>
  <c r="H493" i="4" s="1"/>
  <c r="AG497" i="1"/>
  <c r="J495" i="4" s="1"/>
  <c r="AE502" i="1"/>
  <c r="H500" i="4" s="1"/>
  <c r="AG506" i="1"/>
  <c r="J504" i="4" s="1"/>
  <c r="AF511" i="1"/>
  <c r="I509" i="4" s="1"/>
  <c r="AD514" i="1"/>
  <c r="G512" i="4" s="1"/>
  <c r="AF518" i="1"/>
  <c r="I516" i="4" s="1"/>
  <c r="AE523" i="1"/>
  <c r="H521" i="4" s="1"/>
  <c r="AE530" i="1"/>
  <c r="H528" i="4" s="1"/>
  <c r="AD535" i="1"/>
  <c r="G533" i="4" s="1"/>
  <c r="AG537" i="1"/>
  <c r="J535" i="4" s="1"/>
  <c r="AE549" i="1"/>
  <c r="H547" i="4" s="1"/>
  <c r="AE557" i="1"/>
  <c r="H555" i="4" s="1"/>
  <c r="AG560" i="1"/>
  <c r="J558" i="4" s="1"/>
  <c r="AD564" i="1"/>
  <c r="G562" i="4" s="1"/>
  <c r="AK1365" i="1"/>
  <c r="C1363" i="4" s="1"/>
  <c r="AL1539" i="1"/>
  <c r="AK1673" i="1"/>
  <c r="AL1694" i="1"/>
  <c r="AL1714" i="1"/>
  <c r="AL1796" i="1"/>
  <c r="AK1817" i="1"/>
  <c r="AE50" i="1"/>
  <c r="H48" i="4" s="1"/>
  <c r="AE122" i="1"/>
  <c r="H120" i="4" s="1"/>
  <c r="AD162" i="1"/>
  <c r="G160" i="4" s="1"/>
  <c r="AD258" i="1"/>
  <c r="G256" i="4" s="1"/>
  <c r="AG265" i="1"/>
  <c r="J263" i="4" s="1"/>
  <c r="AD273" i="1"/>
  <c r="G271" i="4" s="1"/>
  <c r="AE289" i="1"/>
  <c r="H287" i="4" s="1"/>
  <c r="AF306" i="1"/>
  <c r="I304" i="4" s="1"/>
  <c r="AE312" i="1"/>
  <c r="H310" i="4" s="1"/>
  <c r="AF318" i="1"/>
  <c r="I316" i="4" s="1"/>
  <c r="AF323" i="1"/>
  <c r="I321" i="4" s="1"/>
  <c r="AF327" i="1"/>
  <c r="I325" i="4" s="1"/>
  <c r="AF341" i="1"/>
  <c r="I339" i="4" s="1"/>
  <c r="AE346" i="1"/>
  <c r="H344" i="4" s="1"/>
  <c r="AE353" i="1"/>
  <c r="H351" i="4" s="1"/>
  <c r="AG361" i="1"/>
  <c r="J359" i="4" s="1"/>
  <c r="AD365" i="1"/>
  <c r="G363" i="4" s="1"/>
  <c r="AE373" i="1"/>
  <c r="H371" i="4" s="1"/>
  <c r="AF380" i="1"/>
  <c r="I378" i="4" s="1"/>
  <c r="AD385" i="1"/>
  <c r="G383" i="4" s="1"/>
  <c r="AG388" i="1"/>
  <c r="J386" i="4" s="1"/>
  <c r="AF400" i="1"/>
  <c r="I398" i="4" s="1"/>
  <c r="AG408" i="1"/>
  <c r="J406" i="4" s="1"/>
  <c r="AD412" i="1"/>
  <c r="G410" i="4" s="1"/>
  <c r="AF420" i="1"/>
  <c r="I418" i="4" s="1"/>
  <c r="AG426" i="1"/>
  <c r="J424" i="4" s="1"/>
  <c r="AE432" i="1"/>
  <c r="H430" i="4" s="1"/>
  <c r="AG435" i="1"/>
  <c r="J433" i="4" s="1"/>
  <c r="AF438" i="1"/>
  <c r="I436" i="4" s="1"/>
  <c r="AD447" i="1"/>
  <c r="G445" i="4" s="1"/>
  <c r="AD450" i="1"/>
  <c r="G448" i="4" s="1"/>
  <c r="AF455" i="1"/>
  <c r="I453" i="4" s="1"/>
  <c r="AD459" i="1"/>
  <c r="G457" i="4" s="1"/>
  <c r="AD462" i="1"/>
  <c r="G460" i="4" s="1"/>
  <c r="AD471" i="1"/>
  <c r="G469" i="4" s="1"/>
  <c r="AF474" i="1"/>
  <c r="I472" i="4" s="1"/>
  <c r="AE480" i="1"/>
  <c r="H478" i="4" s="1"/>
  <c r="AG483" i="1"/>
  <c r="J481" i="4" s="1"/>
  <c r="AD486" i="1"/>
  <c r="G484" i="4" s="1"/>
  <c r="AF495" i="1"/>
  <c r="I493" i="4" s="1"/>
  <c r="AF502" i="1"/>
  <c r="I500" i="4" s="1"/>
  <c r="AG511" i="1"/>
  <c r="J509" i="4" s="1"/>
  <c r="AF514" i="1"/>
  <c r="I512" i="4" s="1"/>
  <c r="AG518" i="1"/>
  <c r="J516" i="4" s="1"/>
  <c r="AF523" i="1"/>
  <c r="I521" i="4" s="1"/>
  <c r="AD526" i="1"/>
  <c r="G524" i="4" s="1"/>
  <c r="AF530" i="1"/>
  <c r="I528" i="4" s="1"/>
  <c r="AE535" i="1"/>
  <c r="H533" i="4" s="1"/>
  <c r="AD542" i="1"/>
  <c r="G540" i="4" s="1"/>
  <c r="AF549" i="1"/>
  <c r="I547" i="4" s="1"/>
  <c r="AD553" i="1"/>
  <c r="G551" i="4" s="1"/>
  <c r="AG557" i="1"/>
  <c r="J555" i="4" s="1"/>
  <c r="AM1494" i="1"/>
  <c r="AL1748" i="1"/>
  <c r="AM1769" i="1"/>
  <c r="AM1817" i="1"/>
  <c r="AG244" i="1"/>
  <c r="J242" i="4" s="1"/>
  <c r="AE281" i="1"/>
  <c r="H279" i="4" s="1"/>
  <c r="AE298" i="1"/>
  <c r="H296" i="4" s="1"/>
  <c r="AD304" i="1"/>
  <c r="G302" i="4" s="1"/>
  <c r="AG306" i="1"/>
  <c r="J304" i="4" s="1"/>
  <c r="AF312" i="1"/>
  <c r="I310" i="4" s="1"/>
  <c r="AD316" i="1"/>
  <c r="G314" i="4" s="1"/>
  <c r="AG318" i="1"/>
  <c r="J316" i="4" s="1"/>
  <c r="AG327" i="1"/>
  <c r="J325" i="4" s="1"/>
  <c r="AD330" i="1"/>
  <c r="G328" i="4" s="1"/>
  <c r="AE335" i="1"/>
  <c r="H333" i="4" s="1"/>
  <c r="AD339" i="1"/>
  <c r="G337" i="4" s="1"/>
  <c r="AG341" i="1"/>
  <c r="J339" i="4" s="1"/>
  <c r="AF353" i="1"/>
  <c r="I351" i="4" s="1"/>
  <c r="AE358" i="1"/>
  <c r="H356" i="4" s="1"/>
  <c r="AE365" i="1"/>
  <c r="H363" i="4" s="1"/>
  <c r="AG373" i="1"/>
  <c r="J371" i="4" s="1"/>
  <c r="AD377" i="1"/>
  <c r="G375" i="4" s="1"/>
  <c r="AE385" i="1"/>
  <c r="H383" i="4" s="1"/>
  <c r="AF392" i="1"/>
  <c r="I390" i="4" s="1"/>
  <c r="AD397" i="1"/>
  <c r="G395" i="4" s="1"/>
  <c r="AF404" i="1"/>
  <c r="I402" i="4" s="1"/>
  <c r="AE412" i="1"/>
  <c r="H410" i="4" s="1"/>
  <c r="AF415" i="1"/>
  <c r="I413" i="4" s="1"/>
  <c r="AG420" i="1"/>
  <c r="J418" i="4" s="1"/>
  <c r="AD424" i="1"/>
  <c r="G422" i="4" s="1"/>
  <c r="AF432" i="1"/>
  <c r="I430" i="4" s="1"/>
  <c r="AG438" i="1"/>
  <c r="J436" i="4" s="1"/>
  <c r="AD444" i="1"/>
  <c r="G442" i="4" s="1"/>
  <c r="AF447" i="1"/>
  <c r="I445" i="4" s="1"/>
  <c r="AF450" i="1"/>
  <c r="I448" i="4" s="1"/>
  <c r="AF459" i="1"/>
  <c r="I457" i="4" s="1"/>
  <c r="AF462" i="1"/>
  <c r="I460" i="4" s="1"/>
  <c r="AD468" i="1"/>
  <c r="G466" i="4" s="1"/>
  <c r="AF471" i="1"/>
  <c r="I469" i="4" s="1"/>
  <c r="AG474" i="1"/>
  <c r="J472" i="4" s="1"/>
  <c r="AG480" i="1"/>
  <c r="J478" i="4" s="1"/>
  <c r="AF486" i="1"/>
  <c r="I484" i="4" s="1"/>
  <c r="AE492" i="1"/>
  <c r="H490" i="4" s="1"/>
  <c r="AG495" i="1"/>
  <c r="J493" i="4" s="1"/>
  <c r="AD498" i="1"/>
  <c r="G496" i="4" s="1"/>
  <c r="AG502" i="1"/>
  <c r="J500" i="4" s="1"/>
  <c r="AE507" i="1"/>
  <c r="H505" i="4" s="1"/>
  <c r="AG514" i="1"/>
  <c r="J512" i="4" s="1"/>
  <c r="AG523" i="1"/>
  <c r="J521" i="4" s="1"/>
  <c r="AF526" i="1"/>
  <c r="I524" i="4" s="1"/>
  <c r="AG530" i="1"/>
  <c r="J528" i="4" s="1"/>
  <c r="AF535" i="1"/>
  <c r="I533" i="4" s="1"/>
  <c r="AD538" i="1"/>
  <c r="G536" i="4" s="1"/>
  <c r="AE542" i="1"/>
  <c r="H540" i="4" s="1"/>
  <c r="AD547" i="1"/>
  <c r="G545" i="4" s="1"/>
  <c r="AG549" i="1"/>
  <c r="J547" i="4" s="1"/>
  <c r="AE561" i="1"/>
  <c r="H559" i="4" s="1"/>
  <c r="AE569" i="1"/>
  <c r="H567" i="4" s="1"/>
  <c r="AK1345" i="1"/>
  <c r="C1343" i="4" s="1"/>
  <c r="AK1425" i="1"/>
  <c r="C1423" i="4" s="1"/>
  <c r="AJ1619" i="1"/>
  <c r="AL1665" i="1"/>
  <c r="AK1797" i="1"/>
  <c r="AJ1805" i="1"/>
  <c r="AD114" i="1"/>
  <c r="G112" i="4" s="1"/>
  <c r="AD163" i="1"/>
  <c r="G161" i="4" s="1"/>
  <c r="AD184" i="1"/>
  <c r="G182" i="4" s="1"/>
  <c r="AE253" i="1"/>
  <c r="H251" i="4" s="1"/>
  <c r="AE266" i="1"/>
  <c r="H264" i="4" s="1"/>
  <c r="AF281" i="1"/>
  <c r="I279" i="4" s="1"/>
  <c r="AE304" i="1"/>
  <c r="H302" i="4" s="1"/>
  <c r="AG312" i="1"/>
  <c r="J310" i="4" s="1"/>
  <c r="AE316" i="1"/>
  <c r="H314" i="4" s="1"/>
  <c r="AE324" i="1"/>
  <c r="H322" i="4" s="1"/>
  <c r="AF330" i="1"/>
  <c r="I328" i="4" s="1"/>
  <c r="AF335" i="1"/>
  <c r="I333" i="4" s="1"/>
  <c r="AF339" i="1"/>
  <c r="I337" i="4" s="1"/>
  <c r="AE347" i="1"/>
  <c r="H345" i="4" s="1"/>
  <c r="AD351" i="1"/>
  <c r="G349" i="4" s="1"/>
  <c r="AG353" i="1"/>
  <c r="J351" i="4" s="1"/>
  <c r="AF365" i="1"/>
  <c r="I363" i="4" s="1"/>
  <c r="AE370" i="1"/>
  <c r="H368" i="4" s="1"/>
  <c r="AE377" i="1"/>
  <c r="H375" i="4" s="1"/>
  <c r="AG385" i="1"/>
  <c r="J383" i="4" s="1"/>
  <c r="AD389" i="1"/>
  <c r="G387" i="4" s="1"/>
  <c r="AE397" i="1"/>
  <c r="H395" i="4" s="1"/>
  <c r="AD401" i="1"/>
  <c r="G399" i="4" s="1"/>
  <c r="AD409" i="1"/>
  <c r="G407" i="4" s="1"/>
  <c r="AF412" i="1"/>
  <c r="I410" i="4" s="1"/>
  <c r="AE424" i="1"/>
  <c r="H422" i="4" s="1"/>
  <c r="AF427" i="1"/>
  <c r="I425" i="4" s="1"/>
  <c r="AG432" i="1"/>
  <c r="J430" i="4" s="1"/>
  <c r="AD436" i="1"/>
  <c r="G434" i="4" s="1"/>
  <c r="AE444" i="1"/>
  <c r="H442" i="4" s="1"/>
  <c r="AG447" i="1"/>
  <c r="J445" i="4" s="1"/>
  <c r="AG450" i="1"/>
  <c r="J448" i="4" s="1"/>
  <c r="AE456" i="1"/>
  <c r="H454" i="4" s="1"/>
  <c r="AG459" i="1"/>
  <c r="J457" i="4" s="1"/>
  <c r="AG462" i="1"/>
  <c r="J460" i="4" s="1"/>
  <c r="AE468" i="1"/>
  <c r="H466" i="4" s="1"/>
  <c r="AG471" i="1"/>
  <c r="J469" i="4" s="1"/>
  <c r="AD484" i="1"/>
  <c r="G482" i="4" s="1"/>
  <c r="AG486" i="1"/>
  <c r="J484" i="4" s="1"/>
  <c r="AG492" i="1"/>
  <c r="J490" i="4" s="1"/>
  <c r="AF498" i="1"/>
  <c r="I496" i="4" s="1"/>
  <c r="AF507" i="1"/>
  <c r="I505" i="4" s="1"/>
  <c r="AD512" i="1"/>
  <c r="G510" i="4" s="1"/>
  <c r="AE519" i="1"/>
  <c r="H517" i="4" s="1"/>
  <c r="AG526" i="1"/>
  <c r="J524" i="4" s="1"/>
  <c r="AG535" i="1"/>
  <c r="J533" i="4" s="1"/>
  <c r="AF538" i="1"/>
  <c r="I536" i="4" s="1"/>
  <c r="AF542" i="1"/>
  <c r="I540" i="4" s="1"/>
  <c r="AE547" i="1"/>
  <c r="H545" i="4" s="1"/>
  <c r="AL1345" i="1"/>
  <c r="D1343" i="4" s="1"/>
  <c r="AL1597" i="1"/>
  <c r="AK1686" i="1"/>
  <c r="AJ1781" i="1"/>
  <c r="AL1805" i="1"/>
  <c r="AD31" i="1"/>
  <c r="G29" i="4" s="1"/>
  <c r="AG52" i="1"/>
  <c r="J50" i="4" s="1"/>
  <c r="AD124" i="1"/>
  <c r="G122" i="4" s="1"/>
  <c r="AE194" i="1"/>
  <c r="H192" i="4" s="1"/>
  <c r="AG253" i="1"/>
  <c r="J251" i="4" s="1"/>
  <c r="AF260" i="1"/>
  <c r="I258" i="4" s="1"/>
  <c r="AE275" i="1"/>
  <c r="H273" i="4" s="1"/>
  <c r="AF291" i="1"/>
  <c r="I289" i="4" s="1"/>
  <c r="AE299" i="1"/>
  <c r="H297" i="4" s="1"/>
  <c r="AF304" i="1"/>
  <c r="I302" i="4" s="1"/>
  <c r="AF307" i="1"/>
  <c r="I305" i="4" s="1"/>
  <c r="AF316" i="1"/>
  <c r="I314" i="4" s="1"/>
  <c r="AF319" i="1"/>
  <c r="I317" i="4" s="1"/>
  <c r="AF324" i="1"/>
  <c r="I322" i="4" s="1"/>
  <c r="AD328" i="1"/>
  <c r="G326" i="4" s="1"/>
  <c r="AG330" i="1"/>
  <c r="J328" i="4" s="1"/>
  <c r="AG339" i="1"/>
  <c r="J337" i="4" s="1"/>
  <c r="AD342" i="1"/>
  <c r="G340" i="4" s="1"/>
  <c r="AF347" i="1"/>
  <c r="I345" i="4" s="1"/>
  <c r="AF351" i="1"/>
  <c r="I349" i="4" s="1"/>
  <c r="AE359" i="1"/>
  <c r="H357" i="4" s="1"/>
  <c r="AD363" i="1"/>
  <c r="G361" i="4" s="1"/>
  <c r="AG365" i="1"/>
  <c r="J363" i="4" s="1"/>
  <c r="AF377" i="1"/>
  <c r="I375" i="4" s="1"/>
  <c r="AE382" i="1"/>
  <c r="H380" i="4" s="1"/>
  <c r="AE389" i="1"/>
  <c r="H387" i="4" s="1"/>
  <c r="AG397" i="1"/>
  <c r="J395" i="4" s="1"/>
  <c r="AE401" i="1"/>
  <c r="H399" i="4" s="1"/>
  <c r="AE409" i="1"/>
  <c r="H407" i="4" s="1"/>
  <c r="AF416" i="1"/>
  <c r="I414" i="4" s="1"/>
  <c r="AD421" i="1"/>
  <c r="G419" i="4" s="1"/>
  <c r="AF424" i="1"/>
  <c r="I422" i="4" s="1"/>
  <c r="AE436" i="1"/>
  <c r="H434" i="4" s="1"/>
  <c r="AF439" i="1"/>
  <c r="I437" i="4" s="1"/>
  <c r="AF444" i="1"/>
  <c r="I442" i="4" s="1"/>
  <c r="AF456" i="1"/>
  <c r="I454" i="4" s="1"/>
  <c r="AF468" i="1"/>
  <c r="I466" i="4" s="1"/>
  <c r="AF475" i="1"/>
  <c r="I473" i="4" s="1"/>
  <c r="AD481" i="1"/>
  <c r="G479" i="4" s="1"/>
  <c r="AE484" i="1"/>
  <c r="H482" i="4" s="1"/>
  <c r="AD496" i="1"/>
  <c r="G494" i="4" s="1"/>
  <c r="AG498" i="1"/>
  <c r="J496" i="4" s="1"/>
  <c r="AE512" i="1"/>
  <c r="H510" i="4" s="1"/>
  <c r="AD515" i="1"/>
  <c r="G513" i="4" s="1"/>
  <c r="AF519" i="1"/>
  <c r="I517" i="4" s="1"/>
  <c r="AD524" i="1"/>
  <c r="G522" i="4" s="1"/>
  <c r="AE531" i="1"/>
  <c r="H529" i="4" s="1"/>
  <c r="AG538" i="1"/>
  <c r="J536" i="4" s="1"/>
  <c r="AG542" i="1"/>
  <c r="J540" i="4" s="1"/>
  <c r="AF547" i="1"/>
  <c r="I545" i="4" s="1"/>
  <c r="AD550" i="1"/>
  <c r="G548" i="4" s="1"/>
  <c r="AE554" i="1"/>
  <c r="H552" i="4" s="1"/>
  <c r="AD559" i="1"/>
  <c r="G557" i="4" s="1"/>
  <c r="AG561" i="1"/>
  <c r="J559" i="4" s="1"/>
  <c r="AK1193" i="1"/>
  <c r="C1191" i="4" s="1"/>
  <c r="AK1520" i="1"/>
  <c r="AK1781" i="1"/>
  <c r="AM1798" i="1"/>
  <c r="AM1805" i="1"/>
  <c r="AJ1813" i="1"/>
  <c r="AG64" i="1"/>
  <c r="J62" i="4" s="1"/>
  <c r="AG275" i="1"/>
  <c r="J273" i="4" s="1"/>
  <c r="AG304" i="1"/>
  <c r="J302" i="4" s="1"/>
  <c r="AD313" i="1"/>
  <c r="G311" i="4" s="1"/>
  <c r="AG316" i="1"/>
  <c r="J314" i="4" s="1"/>
  <c r="AG324" i="1"/>
  <c r="J322" i="4" s="1"/>
  <c r="AE328" i="1"/>
  <c r="H326" i="4" s="1"/>
  <c r="AE336" i="1"/>
  <c r="H334" i="4" s="1"/>
  <c r="AF342" i="1"/>
  <c r="I340" i="4" s="1"/>
  <c r="AG351" i="1"/>
  <c r="J349" i="4" s="1"/>
  <c r="AD354" i="1"/>
  <c r="G352" i="4" s="1"/>
  <c r="AF359" i="1"/>
  <c r="I357" i="4" s="1"/>
  <c r="AF363" i="1"/>
  <c r="I361" i="4" s="1"/>
  <c r="AE371" i="1"/>
  <c r="H369" i="4" s="1"/>
  <c r="AD375" i="1"/>
  <c r="G373" i="4" s="1"/>
  <c r="AG377" i="1"/>
  <c r="J375" i="4" s="1"/>
  <c r="AF389" i="1"/>
  <c r="I387" i="4" s="1"/>
  <c r="AE394" i="1"/>
  <c r="H392" i="4" s="1"/>
  <c r="AF401" i="1"/>
  <c r="I399" i="4" s="1"/>
  <c r="AE406" i="1"/>
  <c r="H404" i="4" s="1"/>
  <c r="AF409" i="1"/>
  <c r="I407" i="4" s="1"/>
  <c r="AD413" i="1"/>
  <c r="G411" i="4" s="1"/>
  <c r="AE421" i="1"/>
  <c r="H419" i="4" s="1"/>
  <c r="AF428" i="1"/>
  <c r="I426" i="4" s="1"/>
  <c r="AD433" i="1"/>
  <c r="G431" i="4" s="1"/>
  <c r="AF436" i="1"/>
  <c r="I434" i="4" s="1"/>
  <c r="AG444" i="1"/>
  <c r="J442" i="4" s="1"/>
  <c r="AD448" i="1"/>
  <c r="G446" i="4" s="1"/>
  <c r="AF451" i="1"/>
  <c r="I449" i="4" s="1"/>
  <c r="AG456" i="1"/>
  <c r="J454" i="4" s="1"/>
  <c r="AD460" i="1"/>
  <c r="G458" i="4" s="1"/>
  <c r="AF463" i="1"/>
  <c r="I461" i="4" s="1"/>
  <c r="AG468" i="1"/>
  <c r="J466" i="4" s="1"/>
  <c r="AD472" i="1"/>
  <c r="G470" i="4" s="1"/>
  <c r="AE481" i="1"/>
  <c r="H479" i="4" s="1"/>
  <c r="AF484" i="1"/>
  <c r="I482" i="4" s="1"/>
  <c r="AF487" i="1"/>
  <c r="I485" i="4" s="1"/>
  <c r="AD493" i="1"/>
  <c r="G491" i="4" s="1"/>
  <c r="AE496" i="1"/>
  <c r="H494" i="4" s="1"/>
  <c r="AF504" i="1"/>
  <c r="I502" i="4" s="1"/>
  <c r="AF512" i="1"/>
  <c r="I510" i="4" s="1"/>
  <c r="AE524" i="1"/>
  <c r="H522" i="4" s="1"/>
  <c r="AD527" i="1"/>
  <c r="G525" i="4" s="1"/>
  <c r="AF531" i="1"/>
  <c r="I529" i="4" s="1"/>
  <c r="AD536" i="1"/>
  <c r="G534" i="4" s="1"/>
  <c r="AG547" i="1"/>
  <c r="J545" i="4" s="1"/>
  <c r="AF550" i="1"/>
  <c r="I548" i="4" s="1"/>
  <c r="AF554" i="1"/>
  <c r="I552" i="4" s="1"/>
  <c r="AE559" i="1"/>
  <c r="H557" i="4" s="1"/>
  <c r="AD566" i="1"/>
  <c r="G564" i="4" s="1"/>
  <c r="AL1709" i="1"/>
  <c r="AK1791" i="1"/>
  <c r="AF261" i="1"/>
  <c r="I259" i="4" s="1"/>
  <c r="AE340" i="1"/>
  <c r="H338" i="4" s="1"/>
  <c r="AF366" i="1"/>
  <c r="I364" i="4" s="1"/>
  <c r="AG375" i="1"/>
  <c r="J373" i="4" s="1"/>
  <c r="AE493" i="1"/>
  <c r="H491" i="4" s="1"/>
  <c r="AG554" i="1"/>
  <c r="J552" i="4" s="1"/>
  <c r="AD562" i="1"/>
  <c r="G560" i="4" s="1"/>
  <c r="AG572" i="1"/>
  <c r="J570" i="4" s="1"/>
  <c r="AD576" i="1"/>
  <c r="G574" i="4" s="1"/>
  <c r="AG584" i="1"/>
  <c r="J582" i="4" s="1"/>
  <c r="AD588" i="1"/>
  <c r="G586" i="4" s="1"/>
  <c r="AF596" i="1"/>
  <c r="I594" i="4" s="1"/>
  <c r="AF603" i="1"/>
  <c r="I601" i="4" s="1"/>
  <c r="AE608" i="1"/>
  <c r="H606" i="4" s="1"/>
  <c r="AD611" i="1"/>
  <c r="G609" i="4" s="1"/>
  <c r="AF620" i="1"/>
  <c r="I618" i="4" s="1"/>
  <c r="AF632" i="1"/>
  <c r="I630" i="4" s="1"/>
  <c r="AD635" i="1"/>
  <c r="G633" i="4" s="1"/>
  <c r="AE639" i="1"/>
  <c r="H637" i="4" s="1"/>
  <c r="AD644" i="1"/>
  <c r="G642" i="4" s="1"/>
  <c r="AD656" i="1"/>
  <c r="G654" i="4" s="1"/>
  <c r="AG658" i="1"/>
  <c r="J656" i="4" s="1"/>
  <c r="AE670" i="1"/>
  <c r="H668" i="4" s="1"/>
  <c r="AE674" i="1"/>
  <c r="H672" i="4" s="1"/>
  <c r="AG679" i="1"/>
  <c r="J677" i="4" s="1"/>
  <c r="AD682" i="1"/>
  <c r="G680" i="4" s="1"/>
  <c r="AE690" i="1"/>
  <c r="H688" i="4" s="1"/>
  <c r="AF693" i="1"/>
  <c r="I691" i="4" s="1"/>
  <c r="AE702" i="1"/>
  <c r="H700" i="4" s="1"/>
  <c r="AF705" i="1"/>
  <c r="I703" i="4" s="1"/>
  <c r="AE713" i="1"/>
  <c r="H711" i="4" s="1"/>
  <c r="AD720" i="1"/>
  <c r="G718" i="4" s="1"/>
  <c r="AF729" i="1"/>
  <c r="I727" i="4" s="1"/>
  <c r="AD733" i="1"/>
  <c r="G731" i="4" s="1"/>
  <c r="AG736" i="1"/>
  <c r="J734" i="4" s="1"/>
  <c r="AE740" i="1"/>
  <c r="H738" i="4" s="1"/>
  <c r="AG746" i="1"/>
  <c r="J744" i="4" s="1"/>
  <c r="AD752" i="1"/>
  <c r="G750" i="4" s="1"/>
  <c r="AD759" i="1"/>
  <c r="G757" i="4" s="1"/>
  <c r="AG769" i="1"/>
  <c r="J767" i="4" s="1"/>
  <c r="AF772" i="1"/>
  <c r="I770" i="4" s="1"/>
  <c r="AF776" i="1"/>
  <c r="I774" i="4" s="1"/>
  <c r="AG783" i="1"/>
  <c r="J781" i="4" s="1"/>
  <c r="AD795" i="1"/>
  <c r="G793" i="4" s="1"/>
  <c r="AD802" i="1"/>
  <c r="G800" i="4" s="1"/>
  <c r="AG808" i="1"/>
  <c r="J806" i="4" s="1"/>
  <c r="AD823" i="1"/>
  <c r="G821" i="4" s="1"/>
  <c r="AD831" i="1"/>
  <c r="G829" i="4" s="1"/>
  <c r="AD838" i="1"/>
  <c r="G836" i="4" s="1"/>
  <c r="AG844" i="1"/>
  <c r="J842" i="4" s="1"/>
  <c r="AD859" i="1"/>
  <c r="G857" i="4" s="1"/>
  <c r="AF33" i="1"/>
  <c r="I31" i="4" s="1"/>
  <c r="AE218" i="1"/>
  <c r="H216" i="4" s="1"/>
  <c r="AD325" i="1"/>
  <c r="G323" i="4" s="1"/>
  <c r="AE413" i="1"/>
  <c r="H411" i="4" s="1"/>
  <c r="AG421" i="1"/>
  <c r="J419" i="4" s="1"/>
  <c r="AF448" i="1"/>
  <c r="I446" i="4" s="1"/>
  <c r="AG484" i="1"/>
  <c r="J482" i="4" s="1"/>
  <c r="AG569" i="1"/>
  <c r="J567" i="4" s="1"/>
  <c r="AE573" i="1"/>
  <c r="H571" i="4" s="1"/>
  <c r="AG581" i="1"/>
  <c r="J579" i="4" s="1"/>
  <c r="AE585" i="1"/>
  <c r="H583" i="4" s="1"/>
  <c r="AE593" i="1"/>
  <c r="H591" i="4" s="1"/>
  <c r="AF600" i="1"/>
  <c r="I598" i="4" s="1"/>
  <c r="AG608" i="1"/>
  <c r="J606" i="4" s="1"/>
  <c r="AD612" i="1"/>
  <c r="G610" i="4" s="1"/>
  <c r="AE617" i="1"/>
  <c r="H615" i="4" s="1"/>
  <c r="AF624" i="1"/>
  <c r="I622" i="4" s="1"/>
  <c r="AE629" i="1"/>
  <c r="H627" i="4" s="1"/>
  <c r="AD636" i="1"/>
  <c r="G634" i="4" s="1"/>
  <c r="AF644" i="1"/>
  <c r="I642" i="4" s="1"/>
  <c r="AF656" i="1"/>
  <c r="I654" i="4" s="1"/>
  <c r="AD659" i="1"/>
  <c r="G657" i="4" s="1"/>
  <c r="AF663" i="1"/>
  <c r="I661" i="4" s="1"/>
  <c r="AE668" i="1"/>
  <c r="H666" i="4" s="1"/>
  <c r="AG670" i="1"/>
  <c r="J668" i="4" s="1"/>
  <c r="AD680" i="1"/>
  <c r="G678" i="4" s="1"/>
  <c r="AF682" i="1"/>
  <c r="I680" i="4" s="1"/>
  <c r="AE686" i="1"/>
  <c r="H684" i="4" s="1"/>
  <c r="AD691" i="1"/>
  <c r="G689" i="4" s="1"/>
  <c r="AD703" i="1"/>
  <c r="G701" i="4" s="1"/>
  <c r="AF717" i="1"/>
  <c r="I715" i="4" s="1"/>
  <c r="AD727" i="1"/>
  <c r="G725" i="4" s="1"/>
  <c r="AE737" i="1"/>
  <c r="H735" i="4" s="1"/>
  <c r="AG740" i="1"/>
  <c r="J738" i="4" s="1"/>
  <c r="AG743" i="1"/>
  <c r="J741" i="4" s="1"/>
  <c r="AE747" i="1"/>
  <c r="H745" i="4" s="1"/>
  <c r="AF752" i="1"/>
  <c r="I750" i="4" s="1"/>
  <c r="AG755" i="1"/>
  <c r="J753" i="4" s="1"/>
  <c r="AF759" i="1"/>
  <c r="I757" i="4" s="1"/>
  <c r="AF762" i="1"/>
  <c r="I760" i="4" s="1"/>
  <c r="AE766" i="1"/>
  <c r="H764" i="4" s="1"/>
  <c r="AD770" i="1"/>
  <c r="G768" i="4" s="1"/>
  <c r="AE777" i="1"/>
  <c r="H775" i="4" s="1"/>
  <c r="AD781" i="1"/>
  <c r="G779" i="4" s="1"/>
  <c r="AD784" i="1"/>
  <c r="G782" i="4" s="1"/>
  <c r="AE788" i="1"/>
  <c r="H786" i="4" s="1"/>
  <c r="AG791" i="1"/>
  <c r="J789" i="4" s="1"/>
  <c r="AF795" i="1"/>
  <c r="I793" i="4" s="1"/>
  <c r="AF798" i="1"/>
  <c r="I796" i="4" s="1"/>
  <c r="AF802" i="1"/>
  <c r="I800" i="4" s="1"/>
  <c r="AE806" i="1"/>
  <c r="H804" i="4" s="1"/>
  <c r="AF809" i="1"/>
  <c r="I807" i="4" s="1"/>
  <c r="AF813" i="1"/>
  <c r="I811" i="4" s="1"/>
  <c r="AE817" i="1"/>
  <c r="H815" i="4" s="1"/>
  <c r="AE820" i="1"/>
  <c r="H818" i="4" s="1"/>
  <c r="AE824" i="1"/>
  <c r="H822" i="4" s="1"/>
  <c r="AG827" i="1"/>
  <c r="J825" i="4" s="1"/>
  <c r="AF831" i="1"/>
  <c r="I829" i="4" s="1"/>
  <c r="AF834" i="1"/>
  <c r="I832" i="4" s="1"/>
  <c r="AF838" i="1"/>
  <c r="I836" i="4" s="1"/>
  <c r="AE842" i="1"/>
  <c r="H840" i="4" s="1"/>
  <c r="AF845" i="1"/>
  <c r="I843" i="4" s="1"/>
  <c r="AF849" i="1"/>
  <c r="I847" i="4" s="1"/>
  <c r="AE853" i="1"/>
  <c r="H851" i="4" s="1"/>
  <c r="AE856" i="1"/>
  <c r="H854" i="4" s="1"/>
  <c r="AE860" i="1"/>
  <c r="H858" i="4" s="1"/>
  <c r="AG863" i="1"/>
  <c r="J861" i="4" s="1"/>
  <c r="AF867" i="1"/>
  <c r="I865" i="4" s="1"/>
  <c r="AD196" i="1"/>
  <c r="G194" i="4" s="1"/>
  <c r="AG342" i="1"/>
  <c r="J340" i="4" s="1"/>
  <c r="AE360" i="1"/>
  <c r="H358" i="4" s="1"/>
  <c r="AE395" i="1"/>
  <c r="H393" i="4" s="1"/>
  <c r="AF413" i="1"/>
  <c r="I411" i="4" s="1"/>
  <c r="AF440" i="1"/>
  <c r="I438" i="4" s="1"/>
  <c r="AG512" i="1"/>
  <c r="J510" i="4" s="1"/>
  <c r="AE521" i="1"/>
  <c r="H519" i="4" s="1"/>
  <c r="AD539" i="1"/>
  <c r="G537" i="4" s="1"/>
  <c r="AD548" i="1"/>
  <c r="G546" i="4" s="1"/>
  <c r="AF573" i="1"/>
  <c r="I571" i="4" s="1"/>
  <c r="AF585" i="1"/>
  <c r="I583" i="4" s="1"/>
  <c r="AD589" i="1"/>
  <c r="G587" i="4" s="1"/>
  <c r="AG593" i="1"/>
  <c r="J591" i="4" s="1"/>
  <c r="AE597" i="1"/>
  <c r="H595" i="4" s="1"/>
  <c r="AE605" i="1"/>
  <c r="H603" i="4" s="1"/>
  <c r="AF612" i="1"/>
  <c r="I610" i="4" s="1"/>
  <c r="AG617" i="1"/>
  <c r="J615" i="4" s="1"/>
  <c r="AE621" i="1"/>
  <c r="H619" i="4" s="1"/>
  <c r="AG629" i="1"/>
  <c r="J627" i="4" s="1"/>
  <c r="AD633" i="1"/>
  <c r="G631" i="4" s="1"/>
  <c r="AF636" i="1"/>
  <c r="I634" i="4" s="1"/>
  <c r="AG644" i="1"/>
  <c r="J642" i="4" s="1"/>
  <c r="AD648" i="1"/>
  <c r="G646" i="4" s="1"/>
  <c r="AE653" i="1"/>
  <c r="H651" i="4" s="1"/>
  <c r="AG656" i="1"/>
  <c r="J654" i="4" s="1"/>
  <c r="AF668" i="1"/>
  <c r="I666" i="4" s="1"/>
  <c r="AE675" i="1"/>
  <c r="H673" i="4" s="1"/>
  <c r="AE680" i="1"/>
  <c r="H678" i="4" s="1"/>
  <c r="AG682" i="1"/>
  <c r="J680" i="4" s="1"/>
  <c r="AF686" i="1"/>
  <c r="I684" i="4" s="1"/>
  <c r="AE691" i="1"/>
  <c r="H689" i="4" s="1"/>
  <c r="AD694" i="1"/>
  <c r="G692" i="4" s="1"/>
  <c r="AD698" i="1"/>
  <c r="G696" i="4" s="1"/>
  <c r="AE703" i="1"/>
  <c r="H701" i="4" s="1"/>
  <c r="AD706" i="1"/>
  <c r="G704" i="4" s="1"/>
  <c r="AD710" i="1"/>
  <c r="G708" i="4" s="1"/>
  <c r="AG717" i="1"/>
  <c r="J715" i="4" s="1"/>
  <c r="AE727" i="1"/>
  <c r="H725" i="4" s="1"/>
  <c r="AD730" i="1"/>
  <c r="G728" i="4" s="1"/>
  <c r="AD734" i="1"/>
  <c r="G732" i="4" s="1"/>
  <c r="AG737" i="1"/>
  <c r="J735" i="4" s="1"/>
  <c r="AG752" i="1"/>
  <c r="J750" i="4" s="1"/>
  <c r="AG759" i="1"/>
  <c r="J757" i="4" s="1"/>
  <c r="AG762" i="1"/>
  <c r="J760" i="4" s="1"/>
  <c r="AF766" i="1"/>
  <c r="I764" i="4" s="1"/>
  <c r="AE770" i="1"/>
  <c r="H768" i="4" s="1"/>
  <c r="AF773" i="1"/>
  <c r="I771" i="4" s="1"/>
  <c r="AF777" i="1"/>
  <c r="I775" i="4" s="1"/>
  <c r="AE781" i="1"/>
  <c r="H779" i="4" s="1"/>
  <c r="AE784" i="1"/>
  <c r="H782" i="4" s="1"/>
  <c r="AF788" i="1"/>
  <c r="I786" i="4" s="1"/>
  <c r="AG795" i="1"/>
  <c r="J793" i="4" s="1"/>
  <c r="AG802" i="1"/>
  <c r="J800" i="4" s="1"/>
  <c r="AG809" i="1"/>
  <c r="J807" i="4" s="1"/>
  <c r="AG817" i="1"/>
  <c r="J815" i="4" s="1"/>
  <c r="AF820" i="1"/>
  <c r="I818" i="4" s="1"/>
  <c r="AF824" i="1"/>
  <c r="I822" i="4" s="1"/>
  <c r="AG831" i="1"/>
  <c r="J829" i="4" s="1"/>
  <c r="AG838" i="1"/>
  <c r="J836" i="4" s="1"/>
  <c r="AG845" i="1"/>
  <c r="J843" i="4" s="1"/>
  <c r="AG853" i="1"/>
  <c r="J851" i="4" s="1"/>
  <c r="AF856" i="1"/>
  <c r="I854" i="4" s="1"/>
  <c r="AF860" i="1"/>
  <c r="I858" i="4" s="1"/>
  <c r="AG867" i="1"/>
  <c r="J865" i="4" s="1"/>
  <c r="AJ1475" i="1"/>
  <c r="AK1806" i="1"/>
  <c r="AD186" i="1"/>
  <c r="G184" i="4" s="1"/>
  <c r="AE254" i="1"/>
  <c r="H252" i="4" s="1"/>
  <c r="AD317" i="1"/>
  <c r="G315" i="4" s="1"/>
  <c r="AD352" i="1"/>
  <c r="G350" i="4" s="1"/>
  <c r="AD378" i="1"/>
  <c r="G376" i="4" s="1"/>
  <c r="AD387" i="1"/>
  <c r="G385" i="4" s="1"/>
  <c r="AD477" i="1"/>
  <c r="G475" i="4" s="1"/>
  <c r="AF564" i="1"/>
  <c r="I562" i="4" s="1"/>
  <c r="AG573" i="1"/>
  <c r="J571" i="4" s="1"/>
  <c r="AD578" i="1"/>
  <c r="G576" i="4" s="1"/>
  <c r="AG585" i="1"/>
  <c r="J583" i="4" s="1"/>
  <c r="AF597" i="1"/>
  <c r="I595" i="4" s="1"/>
  <c r="AD601" i="1"/>
  <c r="G599" i="4" s="1"/>
  <c r="AG605" i="1"/>
  <c r="J603" i="4" s="1"/>
  <c r="AE609" i="1"/>
  <c r="H607" i="4" s="1"/>
  <c r="AF621" i="1"/>
  <c r="I619" i="4" s="1"/>
  <c r="AE633" i="1"/>
  <c r="H631" i="4" s="1"/>
  <c r="AE641" i="1"/>
  <c r="H639" i="4" s="1"/>
  <c r="AF648" i="1"/>
  <c r="I646" i="4" s="1"/>
  <c r="AG653" i="1"/>
  <c r="J651" i="4" s="1"/>
  <c r="AD660" i="1"/>
  <c r="G658" i="4" s="1"/>
  <c r="AG668" i="1"/>
  <c r="J666" i="4" s="1"/>
  <c r="AD671" i="1"/>
  <c r="G669" i="4" s="1"/>
  <c r="AF680" i="1"/>
  <c r="I678" i="4" s="1"/>
  <c r="AG691" i="1"/>
  <c r="J689" i="4" s="1"/>
  <c r="AE694" i="1"/>
  <c r="H692" i="4" s="1"/>
  <c r="AE698" i="1"/>
  <c r="H696" i="4" s="1"/>
  <c r="AG703" i="1"/>
  <c r="J701" i="4" s="1"/>
  <c r="AE706" i="1"/>
  <c r="H704" i="4" s="1"/>
  <c r="AE710" i="1"/>
  <c r="H708" i="4" s="1"/>
  <c r="AD715" i="1"/>
  <c r="G713" i="4" s="1"/>
  <c r="AD722" i="1"/>
  <c r="G720" i="4" s="1"/>
  <c r="AG727" i="1"/>
  <c r="J725" i="4" s="1"/>
  <c r="AE730" i="1"/>
  <c r="H728" i="4" s="1"/>
  <c r="AE734" i="1"/>
  <c r="H732" i="4" s="1"/>
  <c r="AE741" i="1"/>
  <c r="H739" i="4" s="1"/>
  <c r="AF748" i="1"/>
  <c r="I746" i="4" s="1"/>
  <c r="AG766" i="1"/>
  <c r="J764" i="4" s="1"/>
  <c r="AG773" i="1"/>
  <c r="J771" i="4" s="1"/>
  <c r="AG781" i="1"/>
  <c r="J779" i="4" s="1"/>
  <c r="AF784" i="1"/>
  <c r="I782" i="4" s="1"/>
  <c r="AD799" i="1"/>
  <c r="G797" i="4" s="1"/>
  <c r="AD807" i="1"/>
  <c r="G805" i="4" s="1"/>
  <c r="AD814" i="1"/>
  <c r="G812" i="4" s="1"/>
  <c r="AG820" i="1"/>
  <c r="J818" i="4" s="1"/>
  <c r="AD835" i="1"/>
  <c r="G833" i="4" s="1"/>
  <c r="AD843" i="1"/>
  <c r="G841" i="4" s="1"/>
  <c r="AD850" i="1"/>
  <c r="G848" i="4" s="1"/>
  <c r="AG856" i="1"/>
  <c r="J854" i="4" s="1"/>
  <c r="AF336" i="1"/>
  <c r="I334" i="4" s="1"/>
  <c r="AF387" i="1"/>
  <c r="I385" i="4" s="1"/>
  <c r="AE433" i="1"/>
  <c r="H431" i="4" s="1"/>
  <c r="AE460" i="1"/>
  <c r="H458" i="4" s="1"/>
  <c r="AD469" i="1"/>
  <c r="G467" i="4" s="1"/>
  <c r="AF496" i="1"/>
  <c r="I494" i="4" s="1"/>
  <c r="AD505" i="1"/>
  <c r="G503" i="4" s="1"/>
  <c r="AD571" i="1"/>
  <c r="G569" i="4" s="1"/>
  <c r="AE578" i="1"/>
  <c r="H576" i="4" s="1"/>
  <c r="AD583" i="1"/>
  <c r="G581" i="4" s="1"/>
  <c r="AD590" i="1"/>
  <c r="G588" i="4" s="1"/>
  <c r="AG597" i="1"/>
  <c r="J595" i="4" s="1"/>
  <c r="AF609" i="1"/>
  <c r="I607" i="4" s="1"/>
  <c r="AG621" i="1"/>
  <c r="J619" i="4" s="1"/>
  <c r="AD626" i="1"/>
  <c r="G624" i="4" s="1"/>
  <c r="AF633" i="1"/>
  <c r="I631" i="4" s="1"/>
  <c r="AD637" i="1"/>
  <c r="G635" i="4" s="1"/>
  <c r="AG641" i="1"/>
  <c r="J639" i="4" s="1"/>
  <c r="AE645" i="1"/>
  <c r="H643" i="4" s="1"/>
  <c r="AD657" i="1"/>
  <c r="G655" i="4" s="1"/>
  <c r="AF660" i="1"/>
  <c r="I658" i="4" s="1"/>
  <c r="AE665" i="1"/>
  <c r="H663" i="4" s="1"/>
  <c r="AG680" i="1"/>
  <c r="J678" i="4" s="1"/>
  <c r="AD683" i="1"/>
  <c r="G681" i="4" s="1"/>
  <c r="AE687" i="1"/>
  <c r="H685" i="4" s="1"/>
  <c r="AF694" i="1"/>
  <c r="I692" i="4" s="1"/>
  <c r="AF698" i="1"/>
  <c r="I696" i="4" s="1"/>
  <c r="AF706" i="1"/>
  <c r="I704" i="4" s="1"/>
  <c r="AF710" i="1"/>
  <c r="I708" i="4" s="1"/>
  <c r="AE715" i="1"/>
  <c r="H713" i="4" s="1"/>
  <c r="AD718" i="1"/>
  <c r="G716" i="4" s="1"/>
  <c r="AE722" i="1"/>
  <c r="H720" i="4" s="1"/>
  <c r="AF730" i="1"/>
  <c r="I728" i="4" s="1"/>
  <c r="AF734" i="1"/>
  <c r="I732" i="4" s="1"/>
  <c r="AD738" i="1"/>
  <c r="G736" i="4" s="1"/>
  <c r="AF741" i="1"/>
  <c r="I739" i="4" s="1"/>
  <c r="AD745" i="1"/>
  <c r="G743" i="4" s="1"/>
  <c r="AG748" i="1"/>
  <c r="J746" i="4" s="1"/>
  <c r="AE753" i="1"/>
  <c r="H751" i="4" s="1"/>
  <c r="AD757" i="1"/>
  <c r="G755" i="4" s="1"/>
  <c r="AD760" i="1"/>
  <c r="G758" i="4" s="1"/>
  <c r="AD763" i="1"/>
  <c r="G761" i="4" s="1"/>
  <c r="AD771" i="1"/>
  <c r="G769" i="4" s="1"/>
  <c r="AD778" i="1"/>
  <c r="G776" i="4" s="1"/>
  <c r="AG784" i="1"/>
  <c r="J782" i="4" s="1"/>
  <c r="AE789" i="1"/>
  <c r="H787" i="4" s="1"/>
  <c r="AD793" i="1"/>
  <c r="G791" i="4" s="1"/>
  <c r="AD796" i="1"/>
  <c r="G794" i="4" s="1"/>
  <c r="AE803" i="1"/>
  <c r="H801" i="4" s="1"/>
  <c r="AE807" i="1"/>
  <c r="H805" i="4" s="1"/>
  <c r="AD810" i="1"/>
  <c r="G808" i="4" s="1"/>
  <c r="AE814" i="1"/>
  <c r="H812" i="4" s="1"/>
  <c r="AD818" i="1"/>
  <c r="G816" i="4" s="1"/>
  <c r="AE825" i="1"/>
  <c r="H823" i="4" s="1"/>
  <c r="AD829" i="1"/>
  <c r="G827" i="4" s="1"/>
  <c r="AD832" i="1"/>
  <c r="G830" i="4" s="1"/>
  <c r="AE839" i="1"/>
  <c r="H837" i="4" s="1"/>
  <c r="AE843" i="1"/>
  <c r="H841" i="4" s="1"/>
  <c r="AD846" i="1"/>
  <c r="G844" i="4" s="1"/>
  <c r="AE850" i="1"/>
  <c r="H848" i="4" s="1"/>
  <c r="AD854" i="1"/>
  <c r="G852" i="4" s="1"/>
  <c r="AE861" i="1"/>
  <c r="H859" i="4" s="1"/>
  <c r="AF177" i="1"/>
  <c r="I175" i="4" s="1"/>
  <c r="AF328" i="1"/>
  <c r="I326" i="4" s="1"/>
  <c r="AG336" i="1"/>
  <c r="J334" i="4" s="1"/>
  <c r="AF371" i="1"/>
  <c r="I369" i="4" s="1"/>
  <c r="AE407" i="1"/>
  <c r="H405" i="4" s="1"/>
  <c r="AF433" i="1"/>
  <c r="I431" i="4" s="1"/>
  <c r="AF460" i="1"/>
  <c r="I458" i="4" s="1"/>
  <c r="AG496" i="1"/>
  <c r="J494" i="4" s="1"/>
  <c r="AG550" i="1"/>
  <c r="J548" i="4" s="1"/>
  <c r="AF559" i="1"/>
  <c r="I557" i="4" s="1"/>
  <c r="AD565" i="1"/>
  <c r="G563" i="4" s="1"/>
  <c r="AE571" i="1"/>
  <c r="H569" i="4" s="1"/>
  <c r="AD574" i="1"/>
  <c r="G572" i="4" s="1"/>
  <c r="AF578" i="1"/>
  <c r="I576" i="4" s="1"/>
  <c r="AE583" i="1"/>
  <c r="H581" i="4" s="1"/>
  <c r="AD586" i="1"/>
  <c r="G584" i="4" s="1"/>
  <c r="AE590" i="1"/>
  <c r="H588" i="4" s="1"/>
  <c r="AD595" i="1"/>
  <c r="G593" i="4" s="1"/>
  <c r="AD602" i="1"/>
  <c r="G600" i="4" s="1"/>
  <c r="AG609" i="1"/>
  <c r="J607" i="4" s="1"/>
  <c r="AD614" i="1"/>
  <c r="G612" i="4" s="1"/>
  <c r="AD619" i="1"/>
  <c r="G617" i="4" s="1"/>
  <c r="AE626" i="1"/>
  <c r="H624" i="4" s="1"/>
  <c r="AD631" i="1"/>
  <c r="G629" i="4" s="1"/>
  <c r="AG633" i="1"/>
  <c r="J631" i="4" s="1"/>
  <c r="AF645" i="1"/>
  <c r="I643" i="4" s="1"/>
  <c r="AD649" i="1"/>
  <c r="G647" i="4" s="1"/>
  <c r="AE654" i="1"/>
  <c r="H652" i="4" s="1"/>
  <c r="AE657" i="1"/>
  <c r="H655" i="4" s="1"/>
  <c r="AG665" i="1"/>
  <c r="J663" i="4" s="1"/>
  <c r="AD669" i="1"/>
  <c r="G667" i="4" s="1"/>
  <c r="AD672" i="1"/>
  <c r="G670" i="4" s="1"/>
  <c r="AE677" i="1"/>
  <c r="H675" i="4" s="1"/>
  <c r="AF687" i="1"/>
  <c r="I685" i="4" s="1"/>
  <c r="AD692" i="1"/>
  <c r="G690" i="4" s="1"/>
  <c r="AG694" i="1"/>
  <c r="J692" i="4" s="1"/>
  <c r="AD704" i="1"/>
  <c r="G702" i="4" s="1"/>
  <c r="AG706" i="1"/>
  <c r="J704" i="4" s="1"/>
  <c r="AG710" i="1"/>
  <c r="J708" i="4" s="1"/>
  <c r="AG715" i="1"/>
  <c r="J713" i="4" s="1"/>
  <c r="AE718" i="1"/>
  <c r="H716" i="4" s="1"/>
  <c r="AF722" i="1"/>
  <c r="I720" i="4" s="1"/>
  <c r="AD728" i="1"/>
  <c r="G726" i="4" s="1"/>
  <c r="AG730" i="1"/>
  <c r="J728" i="4" s="1"/>
  <c r="AG734" i="1"/>
  <c r="J732" i="4" s="1"/>
  <c r="AG741" i="1"/>
  <c r="J739" i="4" s="1"/>
  <c r="AE745" i="1"/>
  <c r="H743" i="4" s="1"/>
  <c r="AF753" i="1"/>
  <c r="I751" i="4" s="1"/>
  <c r="AE757" i="1"/>
  <c r="H755" i="4" s="1"/>
  <c r="AE760" i="1"/>
  <c r="H758" i="4" s="1"/>
  <c r="AE767" i="1"/>
  <c r="H765" i="4" s="1"/>
  <c r="AE771" i="1"/>
  <c r="H769" i="4" s="1"/>
  <c r="AD774" i="1"/>
  <c r="G772" i="4" s="1"/>
  <c r="AE778" i="1"/>
  <c r="H776" i="4" s="1"/>
  <c r="AD782" i="1"/>
  <c r="G780" i="4" s="1"/>
  <c r="AF789" i="1"/>
  <c r="I787" i="4" s="1"/>
  <c r="AE793" i="1"/>
  <c r="H791" i="4" s="1"/>
  <c r="AE796" i="1"/>
  <c r="H794" i="4" s="1"/>
  <c r="AE800" i="1"/>
  <c r="H798" i="4" s="1"/>
  <c r="AG803" i="1"/>
  <c r="J801" i="4" s="1"/>
  <c r="AF807" i="1"/>
  <c r="I805" i="4" s="1"/>
  <c r="AF810" i="1"/>
  <c r="I808" i="4" s="1"/>
  <c r="AF814" i="1"/>
  <c r="I812" i="4" s="1"/>
  <c r="AE818" i="1"/>
  <c r="H816" i="4" s="1"/>
  <c r="AF821" i="1"/>
  <c r="I819" i="4" s="1"/>
  <c r="AF825" i="1"/>
  <c r="I823" i="4" s="1"/>
  <c r="AE829" i="1"/>
  <c r="H827" i="4" s="1"/>
  <c r="AE832" i="1"/>
  <c r="H830" i="4" s="1"/>
  <c r="AE836" i="1"/>
  <c r="H834" i="4" s="1"/>
  <c r="AG839" i="1"/>
  <c r="J837" i="4" s="1"/>
  <c r="AF843" i="1"/>
  <c r="I841" i="4" s="1"/>
  <c r="AF846" i="1"/>
  <c r="I844" i="4" s="1"/>
  <c r="AF850" i="1"/>
  <c r="I848" i="4" s="1"/>
  <c r="AE854" i="1"/>
  <c r="H852" i="4" s="1"/>
  <c r="AF857" i="1"/>
  <c r="I855" i="4" s="1"/>
  <c r="AF861" i="1"/>
  <c r="I859" i="4" s="1"/>
  <c r="AE865" i="1"/>
  <c r="H863" i="4" s="1"/>
  <c r="AG328" i="1"/>
  <c r="J326" i="4" s="1"/>
  <c r="AF354" i="1"/>
  <c r="I352" i="4" s="1"/>
  <c r="AG363" i="1"/>
  <c r="J361" i="4" s="1"/>
  <c r="AD425" i="1"/>
  <c r="G423" i="4" s="1"/>
  <c r="AF452" i="1"/>
  <c r="I450" i="4" s="1"/>
  <c r="AF524" i="1"/>
  <c r="I522" i="4" s="1"/>
  <c r="AG559" i="1"/>
  <c r="J557" i="4" s="1"/>
  <c r="AG571" i="1"/>
  <c r="J569" i="4" s="1"/>
  <c r="AF574" i="1"/>
  <c r="I572" i="4" s="1"/>
  <c r="AG578" i="1"/>
  <c r="J576" i="4" s="1"/>
  <c r="AG583" i="1"/>
  <c r="J581" i="4" s="1"/>
  <c r="AF586" i="1"/>
  <c r="I584" i="4" s="1"/>
  <c r="AF590" i="1"/>
  <c r="I588" i="4" s="1"/>
  <c r="AE595" i="1"/>
  <c r="H593" i="4" s="1"/>
  <c r="AD598" i="1"/>
  <c r="G596" i="4" s="1"/>
  <c r="AE602" i="1"/>
  <c r="H600" i="4" s="1"/>
  <c r="AD607" i="1"/>
  <c r="G605" i="4" s="1"/>
  <c r="AE614" i="1"/>
  <c r="H612" i="4" s="1"/>
  <c r="AE619" i="1"/>
  <c r="H617" i="4" s="1"/>
  <c r="AD622" i="1"/>
  <c r="G620" i="4" s="1"/>
  <c r="AF626" i="1"/>
  <c r="I624" i="4" s="1"/>
  <c r="AE631" i="1"/>
  <c r="H629" i="4" s="1"/>
  <c r="AD638" i="1"/>
  <c r="G636" i="4" s="1"/>
  <c r="AG645" i="1"/>
  <c r="J643" i="4" s="1"/>
  <c r="AF657" i="1"/>
  <c r="I655" i="4" s="1"/>
  <c r="AF661" i="1"/>
  <c r="I659" i="4" s="1"/>
  <c r="AE669" i="1"/>
  <c r="H667" i="4" s="1"/>
  <c r="AF672" i="1"/>
  <c r="I670" i="4" s="1"/>
  <c r="AG677" i="1"/>
  <c r="J675" i="4" s="1"/>
  <c r="AD681" i="1"/>
  <c r="G679" i="4" s="1"/>
  <c r="AD684" i="1"/>
  <c r="G682" i="4" s="1"/>
  <c r="AE692" i="1"/>
  <c r="H690" i="4" s="1"/>
  <c r="AE704" i="1"/>
  <c r="H702" i="4" s="1"/>
  <c r="AF718" i="1"/>
  <c r="I716" i="4" s="1"/>
  <c r="AG722" i="1"/>
  <c r="J720" i="4" s="1"/>
  <c r="AE728" i="1"/>
  <c r="H726" i="4" s="1"/>
  <c r="AD739" i="1"/>
  <c r="G737" i="4" s="1"/>
  <c r="AF745" i="1"/>
  <c r="I743" i="4" s="1"/>
  <c r="AE749" i="1"/>
  <c r="H747" i="4" s="1"/>
  <c r="AG757" i="1"/>
  <c r="J755" i="4" s="1"/>
  <c r="AF760" i="1"/>
  <c r="I758" i="4" s="1"/>
  <c r="AE764" i="1"/>
  <c r="H762" i="4" s="1"/>
  <c r="AG767" i="1"/>
  <c r="J765" i="4" s="1"/>
  <c r="AF771" i="1"/>
  <c r="I769" i="4" s="1"/>
  <c r="AF774" i="1"/>
  <c r="I772" i="4" s="1"/>
  <c r="AF778" i="1"/>
  <c r="I776" i="4" s="1"/>
  <c r="AE782" i="1"/>
  <c r="H780" i="4" s="1"/>
  <c r="AF785" i="1"/>
  <c r="I783" i="4" s="1"/>
  <c r="AG793" i="1"/>
  <c r="J791" i="4" s="1"/>
  <c r="AF796" i="1"/>
  <c r="I794" i="4" s="1"/>
  <c r="AF800" i="1"/>
  <c r="I798" i="4" s="1"/>
  <c r="AG807" i="1"/>
  <c r="J805" i="4" s="1"/>
  <c r="AG814" i="1"/>
  <c r="J812" i="4" s="1"/>
  <c r="AG821" i="1"/>
  <c r="J819" i="4" s="1"/>
  <c r="AG829" i="1"/>
  <c r="J827" i="4" s="1"/>
  <c r="AF832" i="1"/>
  <c r="I830" i="4" s="1"/>
  <c r="AF836" i="1"/>
  <c r="I834" i="4" s="1"/>
  <c r="AG843" i="1"/>
  <c r="J841" i="4" s="1"/>
  <c r="AG850" i="1"/>
  <c r="J848" i="4" s="1"/>
  <c r="AG857" i="1"/>
  <c r="J855" i="4" s="1"/>
  <c r="AG865" i="1"/>
  <c r="J863" i="4" s="1"/>
  <c r="AF868" i="1"/>
  <c r="I866" i="4" s="1"/>
  <c r="AJ1729" i="1"/>
  <c r="AG268" i="1"/>
  <c r="J266" i="4" s="1"/>
  <c r="AG409" i="1"/>
  <c r="J407" i="4" s="1"/>
  <c r="AE418" i="1"/>
  <c r="H416" i="4" s="1"/>
  <c r="AD445" i="1"/>
  <c r="G443" i="4" s="1"/>
  <c r="AE472" i="1"/>
  <c r="H470" i="4" s="1"/>
  <c r="AF481" i="1"/>
  <c r="I479" i="4" s="1"/>
  <c r="AF516" i="1"/>
  <c r="I514" i="4" s="1"/>
  <c r="AF543" i="1"/>
  <c r="I541" i="4" s="1"/>
  <c r="AF566" i="1"/>
  <c r="I564" i="4" s="1"/>
  <c r="AD572" i="1"/>
  <c r="G570" i="4" s="1"/>
  <c r="AE579" i="1"/>
  <c r="H577" i="4" s="1"/>
  <c r="AD584" i="1"/>
  <c r="G582" i="4" s="1"/>
  <c r="AG598" i="1"/>
  <c r="J596" i="4" s="1"/>
  <c r="AG602" i="1"/>
  <c r="J600" i="4" s="1"/>
  <c r="AG607" i="1"/>
  <c r="J605" i="4" s="1"/>
  <c r="AF610" i="1"/>
  <c r="I608" i="4" s="1"/>
  <c r="AG614" i="1"/>
  <c r="J612" i="4" s="1"/>
  <c r="AG622" i="1"/>
  <c r="J620" i="4" s="1"/>
  <c r="AF634" i="1"/>
  <c r="I632" i="4" s="1"/>
  <c r="AF638" i="1"/>
  <c r="I636" i="4" s="1"/>
  <c r="AE643" i="1"/>
  <c r="H641" i="4" s="1"/>
  <c r="AD646" i="1"/>
  <c r="G644" i="4" s="1"/>
  <c r="AE650" i="1"/>
  <c r="H648" i="4" s="1"/>
  <c r="AE655" i="1"/>
  <c r="H653" i="4" s="1"/>
  <c r="AD662" i="1"/>
  <c r="G660" i="4" s="1"/>
  <c r="AD667" i="1"/>
  <c r="G665" i="4" s="1"/>
  <c r="AG669" i="1"/>
  <c r="J667" i="4" s="1"/>
  <c r="AD673" i="1"/>
  <c r="G671" i="4" s="1"/>
  <c r="AF681" i="1"/>
  <c r="I679" i="4" s="1"/>
  <c r="AE689" i="1"/>
  <c r="H687" i="4" s="1"/>
  <c r="AG692" i="1"/>
  <c r="J690" i="4" s="1"/>
  <c r="AE701" i="1"/>
  <c r="H699" i="4" s="1"/>
  <c r="AG704" i="1"/>
  <c r="J702" i="4" s="1"/>
  <c r="AF711" i="1"/>
  <c r="I709" i="4" s="1"/>
  <c r="AE716" i="1"/>
  <c r="H714" i="4" s="1"/>
  <c r="AF723" i="1"/>
  <c r="I721" i="4" s="1"/>
  <c r="AG728" i="1"/>
  <c r="J726" i="4" s="1"/>
  <c r="AD732" i="1"/>
  <c r="G730" i="4" s="1"/>
  <c r="AF735" i="1"/>
  <c r="I733" i="4" s="1"/>
  <c r="AG739" i="1"/>
  <c r="J737" i="4" s="1"/>
  <c r="AE742" i="1"/>
  <c r="H740" i="4" s="1"/>
  <c r="AD746" i="1"/>
  <c r="G744" i="4" s="1"/>
  <c r="AE750" i="1"/>
  <c r="H748" i="4" s="1"/>
  <c r="AE754" i="1"/>
  <c r="H752" i="4" s="1"/>
  <c r="AD758" i="1"/>
  <c r="G756" i="4" s="1"/>
  <c r="AD775" i="1"/>
  <c r="G773" i="4" s="1"/>
  <c r="AD783" i="1"/>
  <c r="G781" i="4" s="1"/>
  <c r="AE790" i="1"/>
  <c r="H788" i="4" s="1"/>
  <c r="AD794" i="1"/>
  <c r="G792" i="4" s="1"/>
  <c r="AE801" i="1"/>
  <c r="H799" i="4" s="1"/>
  <c r="AD805" i="1"/>
  <c r="G803" i="4" s="1"/>
  <c r="AD808" i="1"/>
  <c r="G806" i="4" s="1"/>
  <c r="AE815" i="1"/>
  <c r="H813" i="4" s="1"/>
  <c r="AE819" i="1"/>
  <c r="H817" i="4" s="1"/>
  <c r="AD822" i="1"/>
  <c r="G820" i="4" s="1"/>
  <c r="AE826" i="1"/>
  <c r="H824" i="4" s="1"/>
  <c r="AD830" i="1"/>
  <c r="G828" i="4" s="1"/>
  <c r="AE837" i="1"/>
  <c r="H835" i="4" s="1"/>
  <c r="AD841" i="1"/>
  <c r="G839" i="4" s="1"/>
  <c r="AD844" i="1"/>
  <c r="G842" i="4" s="1"/>
  <c r="AE851" i="1"/>
  <c r="H849" i="4" s="1"/>
  <c r="AE855" i="1"/>
  <c r="H853" i="4" s="1"/>
  <c r="AD858" i="1"/>
  <c r="G856" i="4" s="1"/>
  <c r="AE862" i="1"/>
  <c r="H860" i="4" s="1"/>
  <c r="AD866" i="1"/>
  <c r="G864" i="4" s="1"/>
  <c r="AE313" i="1"/>
  <c r="H311" i="4" s="1"/>
  <c r="AG354" i="1"/>
  <c r="J352" i="4" s="1"/>
  <c r="AF472" i="1"/>
  <c r="I470" i="4" s="1"/>
  <c r="AE581" i="1"/>
  <c r="H579" i="4" s="1"/>
  <c r="AF588" i="1"/>
  <c r="I586" i="4" s="1"/>
  <c r="AD623" i="1"/>
  <c r="G621" i="4" s="1"/>
  <c r="AF650" i="1"/>
  <c r="I648" i="4" s="1"/>
  <c r="AG657" i="1"/>
  <c r="J655" i="4" s="1"/>
  <c r="AF670" i="1"/>
  <c r="I668" i="4" s="1"/>
  <c r="AD679" i="1"/>
  <c r="G677" i="4" s="1"/>
  <c r="AD685" i="1"/>
  <c r="G683" i="4" s="1"/>
  <c r="AG713" i="1"/>
  <c r="J711" i="4" s="1"/>
  <c r="AD719" i="1"/>
  <c r="G717" i="4" s="1"/>
  <c r="AG735" i="1"/>
  <c r="J733" i="4" s="1"/>
  <c r="AF742" i="1"/>
  <c r="I740" i="4" s="1"/>
  <c r="AE769" i="1"/>
  <c r="H767" i="4" s="1"/>
  <c r="AE776" i="1"/>
  <c r="H774" i="4" s="1"/>
  <c r="AF783" i="1"/>
  <c r="I781" i="4" s="1"/>
  <c r="AF790" i="1"/>
  <c r="I788" i="4" s="1"/>
  <c r="AD817" i="1"/>
  <c r="G815" i="4" s="1"/>
  <c r="AF837" i="1"/>
  <c r="I835" i="4" s="1"/>
  <c r="AE844" i="1"/>
  <c r="H842" i="4" s="1"/>
  <c r="AE873" i="1"/>
  <c r="H871" i="4" s="1"/>
  <c r="AD877" i="1"/>
  <c r="G875" i="4" s="1"/>
  <c r="AD880" i="1"/>
  <c r="G878" i="4" s="1"/>
  <c r="AE887" i="1"/>
  <c r="H885" i="4" s="1"/>
  <c r="AE891" i="1"/>
  <c r="H889" i="4" s="1"/>
  <c r="AE898" i="1"/>
  <c r="H896" i="4" s="1"/>
  <c r="AD902" i="1"/>
  <c r="G900" i="4" s="1"/>
  <c r="AE909" i="1"/>
  <c r="H907" i="4" s="1"/>
  <c r="AD913" i="1"/>
  <c r="G911" i="4" s="1"/>
  <c r="AD916" i="1"/>
  <c r="G914" i="4" s="1"/>
  <c r="AD919" i="1"/>
  <c r="G917" i="4" s="1"/>
  <c r="AE923" i="1"/>
  <c r="H921" i="4" s="1"/>
  <c r="AE927" i="1"/>
  <c r="H925" i="4" s="1"/>
  <c r="AD934" i="1"/>
  <c r="G932" i="4" s="1"/>
  <c r="AD938" i="1"/>
  <c r="G936" i="4" s="1"/>
  <c r="AD955" i="1"/>
  <c r="G953" i="4" s="1"/>
  <c r="AE961" i="1"/>
  <c r="H959" i="4" s="1"/>
  <c r="AD964" i="1"/>
  <c r="G962" i="4" s="1"/>
  <c r="AF968" i="1"/>
  <c r="I966" i="4" s="1"/>
  <c r="AG973" i="1"/>
  <c r="J971" i="4" s="1"/>
  <c r="AG976" i="1"/>
  <c r="J974" i="4" s="1"/>
  <c r="AF982" i="1"/>
  <c r="I980" i="4" s="1"/>
  <c r="AG985" i="1"/>
  <c r="J983" i="4" s="1"/>
  <c r="AF990" i="1"/>
  <c r="I988" i="4" s="1"/>
  <c r="AD993" i="1"/>
  <c r="G991" i="4" s="1"/>
  <c r="AG1001" i="1"/>
  <c r="J999" i="4" s="1"/>
  <c r="AG1004" i="1"/>
  <c r="J1002" i="4" s="1"/>
  <c r="AF1008" i="1"/>
  <c r="I1006" i="4" s="1"/>
  <c r="AE1012" i="1"/>
  <c r="H1010" i="4" s="1"/>
  <c r="AE1016" i="1"/>
  <c r="H1014" i="4" s="1"/>
  <c r="AD1020" i="1"/>
  <c r="G1018" i="4" s="1"/>
  <c r="AE1031" i="1"/>
  <c r="H1029" i="4" s="1"/>
  <c r="AE1035" i="1"/>
  <c r="H1033" i="4" s="1"/>
  <c r="AE1039" i="1"/>
  <c r="H1037" i="4" s="1"/>
  <c r="AF1042" i="1"/>
  <c r="I1040" i="4" s="1"/>
  <c r="AG1045" i="1"/>
  <c r="J1043" i="4" s="1"/>
  <c r="AF1050" i="1"/>
  <c r="I1048" i="4" s="1"/>
  <c r="AD1053" i="1"/>
  <c r="G1051" i="4" s="1"/>
  <c r="AG1056" i="1"/>
  <c r="J1054" i="4" s="1"/>
  <c r="AF1064" i="1"/>
  <c r="I1062" i="4" s="1"/>
  <c r="AE1068" i="1"/>
  <c r="H1066" i="4" s="1"/>
  <c r="AD1072" i="1"/>
  <c r="G1070" i="4" s="1"/>
  <c r="AD1076" i="1"/>
  <c r="G1074" i="4" s="1"/>
  <c r="AF1079" i="1"/>
  <c r="I1077" i="4" s="1"/>
  <c r="AF1083" i="1"/>
  <c r="I1081" i="4" s="1"/>
  <c r="AE1087" i="1"/>
  <c r="H1085" i="4" s="1"/>
  <c r="AG1090" i="1"/>
  <c r="J1088" i="4" s="1"/>
  <c r="AF1098" i="1"/>
  <c r="I1096" i="4" s="1"/>
  <c r="AE1109" i="1"/>
  <c r="H1107" i="4" s="1"/>
  <c r="AF1112" i="1"/>
  <c r="I1110" i="4" s="1"/>
  <c r="AF1116" i="1"/>
  <c r="I1114" i="4" s="1"/>
  <c r="AE1120" i="1"/>
  <c r="H1118" i="4" s="1"/>
  <c r="AD1124" i="1"/>
  <c r="G1122" i="4" s="1"/>
  <c r="AG1135" i="1"/>
  <c r="J1133" i="4" s="1"/>
  <c r="AF1139" i="1"/>
  <c r="I1137" i="4" s="1"/>
  <c r="AG1143" i="1"/>
  <c r="J1141" i="4" s="1"/>
  <c r="AE1147" i="1"/>
  <c r="H1145" i="4" s="1"/>
  <c r="AG1150" i="1"/>
  <c r="J1148" i="4" s="1"/>
  <c r="AG1153" i="1"/>
  <c r="J1151" i="4" s="1"/>
  <c r="AF1158" i="1"/>
  <c r="I1156" i="4" s="1"/>
  <c r="AD1162" i="1"/>
  <c r="G1160" i="4" s="1"/>
  <c r="AG1174" i="1"/>
  <c r="J1172" i="4" s="1"/>
  <c r="AE1182" i="1"/>
  <c r="H1180" i="4" s="1"/>
  <c r="AD1185" i="1"/>
  <c r="G1183" i="4" s="1"/>
  <c r="AG1188" i="1"/>
  <c r="J1186" i="4" s="1"/>
  <c r="AF1191" i="1"/>
  <c r="I1189" i="4" s="1"/>
  <c r="AE1199" i="1"/>
  <c r="H1197" i="4" s="1"/>
  <c r="AF1202" i="1"/>
  <c r="I1200" i="4" s="1"/>
  <c r="AE1205" i="1"/>
  <c r="H1203" i="4" s="1"/>
  <c r="AD1209" i="1"/>
  <c r="G1207" i="4" s="1"/>
  <c r="AG1211" i="1"/>
  <c r="J1209" i="4" s="1"/>
  <c r="AF1214" i="1"/>
  <c r="I1212" i="4" s="1"/>
  <c r="AE1219" i="1"/>
  <c r="H1217" i="4" s="1"/>
  <c r="AG1222" i="1"/>
  <c r="J1220" i="4" s="1"/>
  <c r="AE1225" i="1"/>
  <c r="H1223" i="4" s="1"/>
  <c r="AE1233" i="1"/>
  <c r="H1231" i="4" s="1"/>
  <c r="AG1238" i="1"/>
  <c r="J1236" i="4" s="1"/>
  <c r="AF1243" i="1"/>
  <c r="I1241" i="4" s="1"/>
  <c r="AF1249" i="1"/>
  <c r="I1247" i="4" s="1"/>
  <c r="AE1253" i="1"/>
  <c r="H1251" i="4" s="1"/>
  <c r="AF1257" i="1"/>
  <c r="I1255" i="4" s="1"/>
  <c r="AD1260" i="1"/>
  <c r="G1258" i="4" s="1"/>
  <c r="AG1267" i="1"/>
  <c r="J1265" i="4" s="1"/>
  <c r="AD1271" i="1"/>
  <c r="G1269" i="4" s="1"/>
  <c r="AG1273" i="1"/>
  <c r="J1271" i="4" s="1"/>
  <c r="AF1277" i="1"/>
  <c r="I1275" i="4" s="1"/>
  <c r="AG1281" i="1"/>
  <c r="J1279" i="4" s="1"/>
  <c r="AF1284" i="1"/>
  <c r="I1282" i="4" s="1"/>
  <c r="AD1287" i="1"/>
  <c r="G1285" i="4" s="1"/>
  <c r="AG1291" i="1"/>
  <c r="J1289" i="4" s="1"/>
  <c r="AD1295" i="1"/>
  <c r="G1293" i="4" s="1"/>
  <c r="AG1297" i="1"/>
  <c r="J1295" i="4" s="1"/>
  <c r="AF1301" i="1"/>
  <c r="I1299" i="4" s="1"/>
  <c r="AG1305" i="1"/>
  <c r="J1303" i="4" s="1"/>
  <c r="AF1308" i="1"/>
  <c r="I1306" i="4" s="1"/>
  <c r="AD1311" i="1"/>
  <c r="G1309" i="4" s="1"/>
  <c r="AG1315" i="1"/>
  <c r="J1313" i="4" s="1"/>
  <c r="AD1319" i="1"/>
  <c r="G1317" i="4" s="1"/>
  <c r="AG1321" i="1"/>
  <c r="J1319" i="4" s="1"/>
  <c r="AF1325" i="1"/>
  <c r="I1323" i="4" s="1"/>
  <c r="AG1329" i="1"/>
  <c r="J1327" i="4" s="1"/>
  <c r="AF1332" i="1"/>
  <c r="I1330" i="4" s="1"/>
  <c r="AD1335" i="1"/>
  <c r="G1333" i="4" s="1"/>
  <c r="AG1339" i="1"/>
  <c r="J1337" i="4" s="1"/>
  <c r="AD1343" i="1"/>
  <c r="G1341" i="4" s="1"/>
  <c r="AG1345" i="1"/>
  <c r="J1343" i="4" s="1"/>
  <c r="AF1349" i="1"/>
  <c r="I1347" i="4" s="1"/>
  <c r="AG1353" i="1"/>
  <c r="J1351" i="4" s="1"/>
  <c r="AF1356" i="1"/>
  <c r="I1354" i="4" s="1"/>
  <c r="AE1367" i="1"/>
  <c r="H1365" i="4" s="1"/>
  <c r="AD1378" i="1"/>
  <c r="G1376" i="4" s="1"/>
  <c r="AE1389" i="1"/>
  <c r="H1387" i="4" s="1"/>
  <c r="AG1399" i="1"/>
  <c r="J1397" i="4" s="1"/>
  <c r="AD1403" i="1"/>
  <c r="G1401" i="4" s="1"/>
  <c r="AG1405" i="1"/>
  <c r="J1403" i="4" s="1"/>
  <c r="AG1416" i="1"/>
  <c r="J1414" i="4" s="1"/>
  <c r="AE247" i="1"/>
  <c r="H245" i="4" s="1"/>
  <c r="AE293" i="1"/>
  <c r="H291" i="4" s="1"/>
  <c r="AG313" i="1"/>
  <c r="J311" i="4" s="1"/>
  <c r="AD366" i="1"/>
  <c r="G364" i="4" s="1"/>
  <c r="AE536" i="1"/>
  <c r="H534" i="4" s="1"/>
  <c r="AE566" i="1"/>
  <c r="H564" i="4" s="1"/>
  <c r="AG574" i="1"/>
  <c r="J572" i="4" s="1"/>
  <c r="AD596" i="1"/>
  <c r="G594" i="4" s="1"/>
  <c r="AF602" i="1"/>
  <c r="I600" i="4" s="1"/>
  <c r="AG631" i="1"/>
  <c r="J629" i="4" s="1"/>
  <c r="AE644" i="1"/>
  <c r="H642" i="4" s="1"/>
  <c r="AG650" i="1"/>
  <c r="J648" i="4" s="1"/>
  <c r="AE679" i="1"/>
  <c r="H677" i="4" s="1"/>
  <c r="AF685" i="1"/>
  <c r="I683" i="4" s="1"/>
  <c r="AE693" i="1"/>
  <c r="H691" i="4" s="1"/>
  <c r="AD707" i="1"/>
  <c r="G705" i="4" s="1"/>
  <c r="AE729" i="1"/>
  <c r="H727" i="4" s="1"/>
  <c r="AG742" i="1"/>
  <c r="J740" i="4" s="1"/>
  <c r="AG790" i="1"/>
  <c r="J788" i="4" s="1"/>
  <c r="AF797" i="1"/>
  <c r="I795" i="4" s="1"/>
  <c r="AD811" i="1"/>
  <c r="G809" i="4" s="1"/>
  <c r="AE831" i="1"/>
  <c r="H829" i="4" s="1"/>
  <c r="AF844" i="1"/>
  <c r="I842" i="4" s="1"/>
  <c r="AG851" i="1"/>
  <c r="J849" i="4" s="1"/>
  <c r="AF869" i="1"/>
  <c r="I867" i="4" s="1"/>
  <c r="AF873" i="1"/>
  <c r="I871" i="4" s="1"/>
  <c r="AE877" i="1"/>
  <c r="H875" i="4" s="1"/>
  <c r="AE880" i="1"/>
  <c r="H878" i="4" s="1"/>
  <c r="AE884" i="1"/>
  <c r="H882" i="4" s="1"/>
  <c r="AG887" i="1"/>
  <c r="J885" i="4" s="1"/>
  <c r="AF891" i="1"/>
  <c r="I889" i="4" s="1"/>
  <c r="AD894" i="1"/>
  <c r="G892" i="4" s="1"/>
  <c r="AF898" i="1"/>
  <c r="I896" i="4" s="1"/>
  <c r="AE902" i="1"/>
  <c r="H900" i="4" s="1"/>
  <c r="AE905" i="1"/>
  <c r="H903" i="4" s="1"/>
  <c r="AF909" i="1"/>
  <c r="I907" i="4" s="1"/>
  <c r="AE913" i="1"/>
  <c r="H911" i="4" s="1"/>
  <c r="AE916" i="1"/>
  <c r="H914" i="4" s="1"/>
  <c r="AG923" i="1"/>
  <c r="J921" i="4" s="1"/>
  <c r="AF927" i="1"/>
  <c r="I925" i="4" s="1"/>
  <c r="AD930" i="1"/>
  <c r="G928" i="4" s="1"/>
  <c r="AE934" i="1"/>
  <c r="H932" i="4" s="1"/>
  <c r="AE938" i="1"/>
  <c r="H936" i="4" s="1"/>
  <c r="AE941" i="1"/>
  <c r="H939" i="4" s="1"/>
  <c r="AE945" i="1"/>
  <c r="H943" i="4" s="1"/>
  <c r="AD949" i="1"/>
  <c r="G947" i="4" s="1"/>
  <c r="AD952" i="1"/>
  <c r="G950" i="4" s="1"/>
  <c r="AG961" i="1"/>
  <c r="J959" i="4" s="1"/>
  <c r="AE964" i="1"/>
  <c r="H962" i="4" s="1"/>
  <c r="AG982" i="1"/>
  <c r="J980" i="4" s="1"/>
  <c r="AG990" i="1"/>
  <c r="J988" i="4" s="1"/>
  <c r="AD997" i="1"/>
  <c r="G995" i="4" s="1"/>
  <c r="AG1008" i="1"/>
  <c r="J1006" i="4" s="1"/>
  <c r="AF1016" i="1"/>
  <c r="I1014" i="4" s="1"/>
  <c r="AD516" i="1"/>
  <c r="G514" i="4" s="1"/>
  <c r="AF536" i="1"/>
  <c r="I534" i="4" s="1"/>
  <c r="AE596" i="1"/>
  <c r="H594" i="4" s="1"/>
  <c r="AD610" i="1"/>
  <c r="G608" i="4" s="1"/>
  <c r="AD624" i="1"/>
  <c r="G622" i="4" s="1"/>
  <c r="AE638" i="1"/>
  <c r="H636" i="4" s="1"/>
  <c r="AD658" i="1"/>
  <c r="G656" i="4" s="1"/>
  <c r="AG693" i="1"/>
  <c r="J691" i="4" s="1"/>
  <c r="AF720" i="1"/>
  <c r="I718" i="4" s="1"/>
  <c r="AG729" i="1"/>
  <c r="J727" i="4" s="1"/>
  <c r="AE758" i="1"/>
  <c r="H756" i="4" s="1"/>
  <c r="AF764" i="1"/>
  <c r="I762" i="4" s="1"/>
  <c r="AG797" i="1"/>
  <c r="J795" i="4" s="1"/>
  <c r="AE805" i="1"/>
  <c r="H803" i="4" s="1"/>
  <c r="AE838" i="1"/>
  <c r="H836" i="4" s="1"/>
  <c r="AF858" i="1"/>
  <c r="I856" i="4" s="1"/>
  <c r="AD865" i="1"/>
  <c r="G863" i="4" s="1"/>
  <c r="AG869" i="1"/>
  <c r="J867" i="4" s="1"/>
  <c r="AG877" i="1"/>
  <c r="J875" i="4" s="1"/>
  <c r="AF880" i="1"/>
  <c r="I878" i="4" s="1"/>
  <c r="AF884" i="1"/>
  <c r="I882" i="4" s="1"/>
  <c r="AG891" i="1"/>
  <c r="J889" i="4" s="1"/>
  <c r="AF894" i="1"/>
  <c r="I892" i="4" s="1"/>
  <c r="AG898" i="1"/>
  <c r="J896" i="4" s="1"/>
  <c r="AF905" i="1"/>
  <c r="I903" i="4" s="1"/>
  <c r="AG913" i="1"/>
  <c r="J911" i="4" s="1"/>
  <c r="AF916" i="1"/>
  <c r="I914" i="4" s="1"/>
  <c r="AE920" i="1"/>
  <c r="H918" i="4" s="1"/>
  <c r="AG927" i="1"/>
  <c r="J925" i="4" s="1"/>
  <c r="AF930" i="1"/>
  <c r="I928" i="4" s="1"/>
  <c r="AF934" i="1"/>
  <c r="I932" i="4" s="1"/>
  <c r="AF941" i="1"/>
  <c r="I939" i="4" s="1"/>
  <c r="AF945" i="1"/>
  <c r="I943" i="4" s="1"/>
  <c r="AE949" i="1"/>
  <c r="H947" i="4" s="1"/>
  <c r="AE952" i="1"/>
  <c r="H950" i="4" s="1"/>
  <c r="AF964" i="1"/>
  <c r="I962" i="4" s="1"/>
  <c r="AD974" i="1"/>
  <c r="G972" i="4" s="1"/>
  <c r="AE977" i="1"/>
  <c r="H975" i="4" s="1"/>
  <c r="AF994" i="1"/>
  <c r="I992" i="4" s="1"/>
  <c r="AG997" i="1"/>
  <c r="J995" i="4" s="1"/>
  <c r="AF1002" i="1"/>
  <c r="I1000" i="4" s="1"/>
  <c r="AD1005" i="1"/>
  <c r="G1003" i="4" s="1"/>
  <c r="AG1013" i="1"/>
  <c r="J1011" i="4" s="1"/>
  <c r="AG1016" i="1"/>
  <c r="J1014" i="4" s="1"/>
  <c r="AF1020" i="1"/>
  <c r="I1018" i="4" s="1"/>
  <c r="AE1024" i="1"/>
  <c r="H1022" i="4" s="1"/>
  <c r="AE1028" i="1"/>
  <c r="H1026" i="4" s="1"/>
  <c r="AG1035" i="1"/>
  <c r="J1033" i="4" s="1"/>
  <c r="AG1039" i="1"/>
  <c r="J1037" i="4" s="1"/>
  <c r="AD1054" i="1"/>
  <c r="G1052" i="4" s="1"/>
  <c r="AD1057" i="1"/>
  <c r="G1055" i="4" s="1"/>
  <c r="AG1068" i="1"/>
  <c r="J1066" i="4" s="1"/>
  <c r="AF1076" i="1"/>
  <c r="I1074" i="4" s="1"/>
  <c r="AD1080" i="1"/>
  <c r="G1078" i="4" s="1"/>
  <c r="AG1087" i="1"/>
  <c r="J1085" i="4" s="1"/>
  <c r="AE1091" i="1"/>
  <c r="H1089" i="4" s="1"/>
  <c r="AE1095" i="1"/>
  <c r="H1093" i="4" s="1"/>
  <c r="AF1102" i="1"/>
  <c r="I1100" i="4" s="1"/>
  <c r="AG1105" i="1"/>
  <c r="J1103" i="4" s="1"/>
  <c r="AE1121" i="1"/>
  <c r="H1119" i="4" s="1"/>
  <c r="AF1124" i="1"/>
  <c r="I1122" i="4" s="1"/>
  <c r="AE1128" i="1"/>
  <c r="H1126" i="4" s="1"/>
  <c r="AE1132" i="1"/>
  <c r="H1130" i="4" s="1"/>
  <c r="AD1136" i="1"/>
  <c r="G1134" i="4" s="1"/>
  <c r="AD1140" i="1"/>
  <c r="G1138" i="4" s="1"/>
  <c r="AD1144" i="1"/>
  <c r="G1142" i="4" s="1"/>
  <c r="AG1147" i="1"/>
  <c r="J1145" i="4" s="1"/>
  <c r="AE1151" i="1"/>
  <c r="H1149" i="4" s="1"/>
  <c r="AG1162" i="1"/>
  <c r="J1160" i="4" s="1"/>
  <c r="AE1167" i="1"/>
  <c r="H1165" i="4" s="1"/>
  <c r="AF1171" i="1"/>
  <c r="I1169" i="4" s="1"/>
  <c r="AF1175" i="1"/>
  <c r="I1173" i="4" s="1"/>
  <c r="AG1182" i="1"/>
  <c r="J1180" i="4" s="1"/>
  <c r="AD1189" i="1"/>
  <c r="G1187" i="4" s="1"/>
  <c r="AG1196" i="1"/>
  <c r="J1194" i="4" s="1"/>
  <c r="AG1199" i="1"/>
  <c r="J1197" i="4" s="1"/>
  <c r="AF1209" i="1"/>
  <c r="I1207" i="4" s="1"/>
  <c r="AD1212" i="1"/>
  <c r="G1210" i="4" s="1"/>
  <c r="AG1219" i="1"/>
  <c r="J1217" i="4" s="1"/>
  <c r="AD1223" i="1"/>
  <c r="G1221" i="4" s="1"/>
  <c r="AG1225" i="1"/>
  <c r="J1223" i="4" s="1"/>
  <c r="AF1229" i="1"/>
  <c r="I1227" i="4" s="1"/>
  <c r="AG1233" i="1"/>
  <c r="J1231" i="4" s="1"/>
  <c r="AF1236" i="1"/>
  <c r="I1234" i="4" s="1"/>
  <c r="AE1247" i="1"/>
  <c r="H1245" i="4" s="1"/>
  <c r="AG1260" i="1"/>
  <c r="J1258" i="4" s="1"/>
  <c r="AE1264" i="1"/>
  <c r="H1262" i="4" s="1"/>
  <c r="AF1271" i="1"/>
  <c r="I1269" i="4" s="1"/>
  <c r="AE1274" i="1"/>
  <c r="H1272" i="4" s="1"/>
  <c r="AD1282" i="1"/>
  <c r="G1280" i="4" s="1"/>
  <c r="AE1288" i="1"/>
  <c r="H1286" i="4" s="1"/>
  <c r="AF1295" i="1"/>
  <c r="I1293" i="4" s="1"/>
  <c r="AE1298" i="1"/>
  <c r="H1296" i="4" s="1"/>
  <c r="AD1306" i="1"/>
  <c r="G1304" i="4" s="1"/>
  <c r="AE1312" i="1"/>
  <c r="H1310" i="4" s="1"/>
  <c r="AF1319" i="1"/>
  <c r="I1317" i="4" s="1"/>
  <c r="AE1322" i="1"/>
  <c r="H1320" i="4" s="1"/>
  <c r="AD1330" i="1"/>
  <c r="G1328" i="4" s="1"/>
  <c r="AE1336" i="1"/>
  <c r="H1334" i="4" s="1"/>
  <c r="AF1343" i="1"/>
  <c r="I1341" i="4" s="1"/>
  <c r="AE1346" i="1"/>
  <c r="H1344" i="4" s="1"/>
  <c r="AD1354" i="1"/>
  <c r="G1352" i="4" s="1"/>
  <c r="AG1360" i="1"/>
  <c r="J1358" i="4" s="1"/>
  <c r="AD1365" i="1"/>
  <c r="G1363" i="4" s="1"/>
  <c r="AG1367" i="1"/>
  <c r="J1365" i="4" s="1"/>
  <c r="AF1370" i="1"/>
  <c r="I1368" i="4" s="1"/>
  <c r="AE1375" i="1"/>
  <c r="H1373" i="4" s="1"/>
  <c r="AG1378" i="1"/>
  <c r="J1376" i="4" s="1"/>
  <c r="AE1381" i="1"/>
  <c r="H1379" i="4" s="1"/>
  <c r="AF1385" i="1"/>
  <c r="I1383" i="4" s="1"/>
  <c r="AG1389" i="1"/>
  <c r="J1387" i="4" s="1"/>
  <c r="AF1392" i="1"/>
  <c r="I1390" i="4" s="1"/>
  <c r="AE1396" i="1"/>
  <c r="H1394" i="4" s="1"/>
  <c r="AF1403" i="1"/>
  <c r="I1401" i="4" s="1"/>
  <c r="AE1406" i="1"/>
  <c r="H1404" i="4" s="1"/>
  <c r="AD1411" i="1"/>
  <c r="G1409" i="4" s="1"/>
  <c r="AE1414" i="1"/>
  <c r="H1412" i="4" s="1"/>
  <c r="AD1417" i="1"/>
  <c r="G1415" i="4" s="1"/>
  <c r="AD305" i="1"/>
  <c r="G303" i="4" s="1"/>
  <c r="AD399" i="1"/>
  <c r="G397" i="4" s="1"/>
  <c r="AF421" i="1"/>
  <c r="I419" i="4" s="1"/>
  <c r="AF464" i="1"/>
  <c r="I462" i="4" s="1"/>
  <c r="AF567" i="1"/>
  <c r="I565" i="4" s="1"/>
  <c r="AD575" i="1"/>
  <c r="G573" i="4" s="1"/>
  <c r="AG590" i="1"/>
  <c r="J588" i="4" s="1"/>
  <c r="AG596" i="1"/>
  <c r="J594" i="4" s="1"/>
  <c r="AE603" i="1"/>
  <c r="H601" i="4" s="1"/>
  <c r="AG610" i="1"/>
  <c r="J608" i="4" s="1"/>
  <c r="AG619" i="1"/>
  <c r="J617" i="4" s="1"/>
  <c r="AD632" i="1"/>
  <c r="G630" i="4" s="1"/>
  <c r="AG638" i="1"/>
  <c r="J636" i="4" s="1"/>
  <c r="AF658" i="1"/>
  <c r="I656" i="4" s="1"/>
  <c r="AD686" i="1"/>
  <c r="G684" i="4" s="1"/>
  <c r="AG701" i="1"/>
  <c r="J699" i="4" s="1"/>
  <c r="AD708" i="1"/>
  <c r="G706" i="4" s="1"/>
  <c r="AD743" i="1"/>
  <c r="G741" i="4" s="1"/>
  <c r="AE752" i="1"/>
  <c r="H750" i="4" s="1"/>
  <c r="AG771" i="1"/>
  <c r="J769" i="4" s="1"/>
  <c r="AG778" i="1"/>
  <c r="J776" i="4" s="1"/>
  <c r="AG785" i="1"/>
  <c r="J783" i="4" s="1"/>
  <c r="AE791" i="1"/>
  <c r="H789" i="4" s="1"/>
  <c r="AG805" i="1"/>
  <c r="J803" i="4" s="1"/>
  <c r="AE812" i="1"/>
  <c r="H810" i="4" s="1"/>
  <c r="AD819" i="1"/>
  <c r="G817" i="4" s="1"/>
  <c r="AD826" i="1"/>
  <c r="G824" i="4" s="1"/>
  <c r="AG832" i="1"/>
  <c r="J830" i="4" s="1"/>
  <c r="AD874" i="1"/>
  <c r="G872" i="4" s="1"/>
  <c r="AG880" i="1"/>
  <c r="J878" i="4" s="1"/>
  <c r="AD903" i="1"/>
  <c r="G901" i="4" s="1"/>
  <c r="AG905" i="1"/>
  <c r="J903" i="4" s="1"/>
  <c r="AD910" i="1"/>
  <c r="G908" i="4" s="1"/>
  <c r="AG916" i="1"/>
  <c r="J914" i="4" s="1"/>
  <c r="AF920" i="1"/>
  <c r="I918" i="4" s="1"/>
  <c r="AG934" i="1"/>
  <c r="J932" i="4" s="1"/>
  <c r="AD939" i="1"/>
  <c r="G937" i="4" s="1"/>
  <c r="AG941" i="1"/>
  <c r="J939" i="4" s="1"/>
  <c r="AG949" i="1"/>
  <c r="J947" i="4" s="1"/>
  <c r="AF952" i="1"/>
  <c r="I950" i="4" s="1"/>
  <c r="AD962" i="1"/>
  <c r="G960" i="4" s="1"/>
  <c r="AG964" i="1"/>
  <c r="J962" i="4" s="1"/>
  <c r="AD970" i="1"/>
  <c r="G968" i="4" s="1"/>
  <c r="AE974" i="1"/>
  <c r="H972" i="4" s="1"/>
  <c r="AE983" i="1"/>
  <c r="H981" i="4" s="1"/>
  <c r="AE987" i="1"/>
  <c r="H985" i="4" s="1"/>
  <c r="AE991" i="1"/>
  <c r="H989" i="4" s="1"/>
  <c r="AG994" i="1"/>
  <c r="J992" i="4" s="1"/>
  <c r="AG1002" i="1"/>
  <c r="J1000" i="4" s="1"/>
  <c r="AD1009" i="1"/>
  <c r="G1007" i="4" s="1"/>
  <c r="AG1020" i="1"/>
  <c r="J1018" i="4" s="1"/>
  <c r="AF1028" i="1"/>
  <c r="I1026" i="4" s="1"/>
  <c r="AD1032" i="1"/>
  <c r="G1030" i="4" s="1"/>
  <c r="AE1043" i="1"/>
  <c r="H1041" i="4" s="1"/>
  <c r="AE1047" i="1"/>
  <c r="H1045" i="4" s="1"/>
  <c r="AE1051" i="1"/>
  <c r="H1049" i="4" s="1"/>
  <c r="AF1054" i="1"/>
  <c r="I1052" i="4" s="1"/>
  <c r="AG1057" i="1"/>
  <c r="J1055" i="4" s="1"/>
  <c r="AF1062" i="1"/>
  <c r="I1060" i="4" s="1"/>
  <c r="AG1073" i="1"/>
  <c r="J1071" i="4" s="1"/>
  <c r="AG1076" i="1"/>
  <c r="J1074" i="4" s="1"/>
  <c r="AE1080" i="1"/>
  <c r="H1078" i="4" s="1"/>
  <c r="AD1084" i="1"/>
  <c r="G1082" i="4" s="1"/>
  <c r="AF1091" i="1"/>
  <c r="I1089" i="4" s="1"/>
  <c r="AF1095" i="1"/>
  <c r="I1093" i="4" s="1"/>
  <c r="AE1099" i="1"/>
  <c r="H1097" i="4" s="1"/>
  <c r="AG1102" i="1"/>
  <c r="J1100" i="4" s="1"/>
  <c r="AF1110" i="1"/>
  <c r="I1108" i="4" s="1"/>
  <c r="AD1114" i="1"/>
  <c r="G1112" i="4" s="1"/>
  <c r="AD1117" i="1"/>
  <c r="G1115" i="4" s="1"/>
  <c r="AG1121" i="1"/>
  <c r="J1119" i="4" s="1"/>
  <c r="AF1128" i="1"/>
  <c r="I1126" i="4" s="1"/>
  <c r="AE1136" i="1"/>
  <c r="H1134" i="4" s="1"/>
  <c r="AE1140" i="1"/>
  <c r="H1138" i="4" s="1"/>
  <c r="AE1144" i="1"/>
  <c r="H1142" i="4" s="1"/>
  <c r="AF1151" i="1"/>
  <c r="I1149" i="4" s="1"/>
  <c r="AE1155" i="1"/>
  <c r="H1153" i="4" s="1"/>
  <c r="AE1159" i="1"/>
  <c r="H1157" i="4" s="1"/>
  <c r="AF1167" i="1"/>
  <c r="I1165" i="4" s="1"/>
  <c r="AG1171" i="1"/>
  <c r="J1169" i="4" s="1"/>
  <c r="AE1186" i="1"/>
  <c r="H1184" i="4" s="1"/>
  <c r="AF1189" i="1"/>
  <c r="I1187" i="4" s="1"/>
  <c r="AD1192" i="1"/>
  <c r="G1190" i="4" s="1"/>
  <c r="AD1203" i="1"/>
  <c r="G1201" i="4" s="1"/>
  <c r="AD1206" i="1"/>
  <c r="G1204" i="4" s="1"/>
  <c r="AG1209" i="1"/>
  <c r="J1207" i="4" s="1"/>
  <c r="AF1212" i="1"/>
  <c r="I1210" i="4" s="1"/>
  <c r="AE1223" i="1"/>
  <c r="H1221" i="4" s="1"/>
  <c r="AG1236" i="1"/>
  <c r="J1234" i="4" s="1"/>
  <c r="AE1240" i="1"/>
  <c r="H1238" i="4" s="1"/>
  <c r="AF1247" i="1"/>
  <c r="I1245" i="4" s="1"/>
  <c r="AE1250" i="1"/>
  <c r="H1248" i="4" s="1"/>
  <c r="AD1258" i="1"/>
  <c r="G1256" i="4" s="1"/>
  <c r="AG1264" i="1"/>
  <c r="J1262" i="4" s="1"/>
  <c r="AD1269" i="1"/>
  <c r="G1267" i="4" s="1"/>
  <c r="AG1271" i="1"/>
  <c r="J1269" i="4" s="1"/>
  <c r="AF1274" i="1"/>
  <c r="I1272" i="4" s="1"/>
  <c r="AD1279" i="1"/>
  <c r="G1277" i="4" s="1"/>
  <c r="AE1282" i="1"/>
  <c r="H1280" i="4" s="1"/>
  <c r="AD1285" i="1"/>
  <c r="G1283" i="4" s="1"/>
  <c r="AG1288" i="1"/>
  <c r="J1286" i="4" s="1"/>
  <c r="AD1293" i="1"/>
  <c r="G1291" i="4" s="1"/>
  <c r="AG1295" i="1"/>
  <c r="J1293" i="4" s="1"/>
  <c r="AF1298" i="1"/>
  <c r="I1296" i="4" s="1"/>
  <c r="AD1303" i="1"/>
  <c r="G1301" i="4" s="1"/>
  <c r="AE1306" i="1"/>
  <c r="H1304" i="4" s="1"/>
  <c r="AD1309" i="1"/>
  <c r="G1307" i="4" s="1"/>
  <c r="AG1312" i="1"/>
  <c r="J1310" i="4" s="1"/>
  <c r="AD1317" i="1"/>
  <c r="G1315" i="4" s="1"/>
  <c r="AG1319" i="1"/>
  <c r="J1317" i="4" s="1"/>
  <c r="AF1322" i="1"/>
  <c r="I1320" i="4" s="1"/>
  <c r="AD1327" i="1"/>
  <c r="G1325" i="4" s="1"/>
  <c r="AE1330" i="1"/>
  <c r="H1328" i="4" s="1"/>
  <c r="AD1333" i="1"/>
  <c r="G1331" i="4" s="1"/>
  <c r="AG1336" i="1"/>
  <c r="J1334" i="4" s="1"/>
  <c r="AD1341" i="1"/>
  <c r="G1339" i="4" s="1"/>
  <c r="AG1343" i="1"/>
  <c r="J1341" i="4" s="1"/>
  <c r="AF1346" i="1"/>
  <c r="I1344" i="4" s="1"/>
  <c r="AD1351" i="1"/>
  <c r="G1349" i="4" s="1"/>
  <c r="AE1354" i="1"/>
  <c r="H1352" i="4" s="1"/>
  <c r="AD1357" i="1"/>
  <c r="G1355" i="4" s="1"/>
  <c r="AE1365" i="1"/>
  <c r="H1363" i="4" s="1"/>
  <c r="AF1375" i="1"/>
  <c r="I1373" i="4" s="1"/>
  <c r="AF1381" i="1"/>
  <c r="I1379" i="4" s="1"/>
  <c r="AG1392" i="1"/>
  <c r="J1390" i="4" s="1"/>
  <c r="AG1396" i="1"/>
  <c r="J1394" i="4" s="1"/>
  <c r="AD1401" i="1"/>
  <c r="G1399" i="4" s="1"/>
  <c r="AG1403" i="1"/>
  <c r="J1401" i="4" s="1"/>
  <c r="AF1406" i="1"/>
  <c r="I1404" i="4" s="1"/>
  <c r="AE1411" i="1"/>
  <c r="H1409" i="4" s="1"/>
  <c r="AG1414" i="1"/>
  <c r="J1412" i="4" s="1"/>
  <c r="AE1417" i="1"/>
  <c r="H1415" i="4" s="1"/>
  <c r="AE348" i="1"/>
  <c r="H346" i="4" s="1"/>
  <c r="AG389" i="1"/>
  <c r="J387" i="4" s="1"/>
  <c r="AD528" i="1"/>
  <c r="G526" i="4" s="1"/>
  <c r="AE584" i="1"/>
  <c r="H582" i="4" s="1"/>
  <c r="AE632" i="1"/>
  <c r="H630" i="4" s="1"/>
  <c r="AF646" i="1"/>
  <c r="I644" i="4" s="1"/>
  <c r="AE667" i="1"/>
  <c r="H665" i="4" s="1"/>
  <c r="AE681" i="1"/>
  <c r="H679" i="4" s="1"/>
  <c r="AF708" i="1"/>
  <c r="I706" i="4" s="1"/>
  <c r="AD716" i="1"/>
  <c r="G714" i="4" s="1"/>
  <c r="AE759" i="1"/>
  <c r="H757" i="4" s="1"/>
  <c r="AE765" i="1"/>
  <c r="H763" i="4" s="1"/>
  <c r="AD798" i="1"/>
  <c r="G796" i="4" s="1"/>
  <c r="AF812" i="1"/>
  <c r="I810" i="4" s="1"/>
  <c r="AF819" i="1"/>
  <c r="I817" i="4" s="1"/>
  <c r="AF826" i="1"/>
  <c r="I824" i="4" s="1"/>
  <c r="AD853" i="1"/>
  <c r="G851" i="4" s="1"/>
  <c r="AE866" i="1"/>
  <c r="H864" i="4" s="1"/>
  <c r="AD870" i="1"/>
  <c r="G868" i="4" s="1"/>
  <c r="AE874" i="1"/>
  <c r="H872" i="4" s="1"/>
  <c r="AD878" i="1"/>
  <c r="G876" i="4" s="1"/>
  <c r="AE885" i="1"/>
  <c r="H883" i="4" s="1"/>
  <c r="AD889" i="1"/>
  <c r="G887" i="4" s="1"/>
  <c r="AD892" i="1"/>
  <c r="G890" i="4" s="1"/>
  <c r="AE899" i="1"/>
  <c r="H897" i="4" s="1"/>
  <c r="AE903" i="1"/>
  <c r="H901" i="4" s="1"/>
  <c r="AE910" i="1"/>
  <c r="H908" i="4" s="1"/>
  <c r="AD914" i="1"/>
  <c r="G912" i="4" s="1"/>
  <c r="AD925" i="1"/>
  <c r="G923" i="4" s="1"/>
  <c r="AD928" i="1"/>
  <c r="G926" i="4" s="1"/>
  <c r="AE939" i="1"/>
  <c r="H937" i="4" s="1"/>
  <c r="AD946" i="1"/>
  <c r="G944" i="4" s="1"/>
  <c r="AG952" i="1"/>
  <c r="J950" i="4" s="1"/>
  <c r="AD958" i="1"/>
  <c r="G956" i="4" s="1"/>
  <c r="AE962" i="1"/>
  <c r="H960" i="4" s="1"/>
  <c r="AE970" i="1"/>
  <c r="H968" i="4" s="1"/>
  <c r="AF974" i="1"/>
  <c r="I972" i="4" s="1"/>
  <c r="AD978" i="1"/>
  <c r="G976" i="4" s="1"/>
  <c r="AF983" i="1"/>
  <c r="I981" i="4" s="1"/>
  <c r="AF987" i="1"/>
  <c r="I985" i="4" s="1"/>
  <c r="AF991" i="1"/>
  <c r="I989" i="4" s="1"/>
  <c r="AF1006" i="1"/>
  <c r="I1004" i="4" s="1"/>
  <c r="AG1009" i="1"/>
  <c r="J1007" i="4" s="1"/>
  <c r="AF1014" i="1"/>
  <c r="I1012" i="4" s="1"/>
  <c r="AD1017" i="1"/>
  <c r="G1015" i="4" s="1"/>
  <c r="AG1025" i="1"/>
  <c r="J1023" i="4" s="1"/>
  <c r="AG1028" i="1"/>
  <c r="J1026" i="4" s="1"/>
  <c r="AE1032" i="1"/>
  <c r="H1030" i="4" s="1"/>
  <c r="AD1036" i="1"/>
  <c r="G1034" i="4" s="1"/>
  <c r="AD1040" i="1"/>
  <c r="G1038" i="4" s="1"/>
  <c r="AF1043" i="1"/>
  <c r="I1041" i="4" s="1"/>
  <c r="AF1047" i="1"/>
  <c r="I1045" i="4" s="1"/>
  <c r="AF1051" i="1"/>
  <c r="I1049" i="4" s="1"/>
  <c r="AG1054" i="1"/>
  <c r="J1052" i="4" s="1"/>
  <c r="AG1062" i="1"/>
  <c r="J1060" i="4" s="1"/>
  <c r="AD1066" i="1"/>
  <c r="G1064" i="4" s="1"/>
  <c r="AD1069" i="1"/>
  <c r="G1067" i="4" s="1"/>
  <c r="AF1080" i="1"/>
  <c r="I1078" i="4" s="1"/>
  <c r="AE1084" i="1"/>
  <c r="H1082" i="4" s="1"/>
  <c r="AD1088" i="1"/>
  <c r="G1086" i="4" s="1"/>
  <c r="AG1095" i="1"/>
  <c r="J1093" i="4" s="1"/>
  <c r="AF1099" i="1"/>
  <c r="I1097" i="4" s="1"/>
  <c r="AG1110" i="1"/>
  <c r="J1108" i="4" s="1"/>
  <c r="AF1114" i="1"/>
  <c r="I1112" i="4" s="1"/>
  <c r="AG1117" i="1"/>
  <c r="J1115" i="4" s="1"/>
  <c r="AD1125" i="1"/>
  <c r="G1123" i="4" s="1"/>
  <c r="AG1128" i="1"/>
  <c r="J1126" i="4" s="1"/>
  <c r="AE1133" i="1"/>
  <c r="H1131" i="4" s="1"/>
  <c r="AF1136" i="1"/>
  <c r="I1134" i="4" s="1"/>
  <c r="AF1140" i="1"/>
  <c r="I1138" i="4" s="1"/>
  <c r="AD1148" i="1"/>
  <c r="G1146" i="4" s="1"/>
  <c r="AG1155" i="1"/>
  <c r="J1153" i="4" s="1"/>
  <c r="AF1159" i="1"/>
  <c r="I1157" i="4" s="1"/>
  <c r="AG1167" i="1"/>
  <c r="J1165" i="4" s="1"/>
  <c r="AD1176" i="1"/>
  <c r="G1174" i="4" s="1"/>
  <c r="AD1180" i="1"/>
  <c r="G1178" i="4" s="1"/>
  <c r="AE1183" i="1"/>
  <c r="H1181" i="4" s="1"/>
  <c r="AF1186" i="1"/>
  <c r="I1184" i="4" s="1"/>
  <c r="AG1189" i="1"/>
  <c r="J1187" i="4" s="1"/>
  <c r="AE1192" i="1"/>
  <c r="H1190" i="4" s="1"/>
  <c r="AE1197" i="1"/>
  <c r="H1195" i="4" s="1"/>
  <c r="AD1200" i="1"/>
  <c r="G1198" i="4" s="1"/>
  <c r="AE1203" i="1"/>
  <c r="H1201" i="4" s="1"/>
  <c r="AE1206" i="1"/>
  <c r="H1204" i="4" s="1"/>
  <c r="AG1212" i="1"/>
  <c r="J1210" i="4" s="1"/>
  <c r="AE1216" i="1"/>
  <c r="H1214" i="4" s="1"/>
  <c r="AF1223" i="1"/>
  <c r="I1221" i="4" s="1"/>
  <c r="AE1226" i="1"/>
  <c r="H1224" i="4" s="1"/>
  <c r="AD1234" i="1"/>
  <c r="G1232" i="4" s="1"/>
  <c r="AG1240" i="1"/>
  <c r="J1238" i="4" s="1"/>
  <c r="AD1245" i="1"/>
  <c r="G1243" i="4" s="1"/>
  <c r="AG1247" i="1"/>
  <c r="J1245" i="4" s="1"/>
  <c r="AF1250" i="1"/>
  <c r="I1248" i="4" s="1"/>
  <c r="AD1255" i="1"/>
  <c r="G1253" i="4" s="1"/>
  <c r="AE1258" i="1"/>
  <c r="H1256" i="4" s="1"/>
  <c r="AD1261" i="1"/>
  <c r="G1259" i="4" s="1"/>
  <c r="AE1269" i="1"/>
  <c r="H1267" i="4" s="1"/>
  <c r="AG1274" i="1"/>
  <c r="J1272" i="4" s="1"/>
  <c r="AE1279" i="1"/>
  <c r="H1277" i="4" s="1"/>
  <c r="AG1282" i="1"/>
  <c r="J1280" i="4" s="1"/>
  <c r="AE1285" i="1"/>
  <c r="H1283" i="4" s="1"/>
  <c r="AE1293" i="1"/>
  <c r="H1291" i="4" s="1"/>
  <c r="AG1298" i="1"/>
  <c r="J1296" i="4" s="1"/>
  <c r="AE1303" i="1"/>
  <c r="H1301" i="4" s="1"/>
  <c r="AG1306" i="1"/>
  <c r="J1304" i="4" s="1"/>
  <c r="AE1309" i="1"/>
  <c r="H1307" i="4" s="1"/>
  <c r="AE1317" i="1"/>
  <c r="H1315" i="4" s="1"/>
  <c r="AG1322" i="1"/>
  <c r="J1320" i="4" s="1"/>
  <c r="AE1327" i="1"/>
  <c r="H1325" i="4" s="1"/>
  <c r="AG1330" i="1"/>
  <c r="J1328" i="4" s="1"/>
  <c r="AE1333" i="1"/>
  <c r="H1331" i="4" s="1"/>
  <c r="AE1341" i="1"/>
  <c r="H1339" i="4" s="1"/>
  <c r="AG1346" i="1"/>
  <c r="J1344" i="4" s="1"/>
  <c r="AE1351" i="1"/>
  <c r="H1349" i="4" s="1"/>
  <c r="AG1354" i="1"/>
  <c r="J1352" i="4" s="1"/>
  <c r="AE1357" i="1"/>
  <c r="H1355" i="4" s="1"/>
  <c r="AE1361" i="1"/>
  <c r="H1359" i="4" s="1"/>
  <c r="AF1365" i="1"/>
  <c r="I1363" i="4" s="1"/>
  <c r="AD1368" i="1"/>
  <c r="G1366" i="4" s="1"/>
  <c r="AD1371" i="1"/>
  <c r="G1369" i="4" s="1"/>
  <c r="AG1375" i="1"/>
  <c r="J1373" i="4" s="1"/>
  <c r="AD1379" i="1"/>
  <c r="G1377" i="4" s="1"/>
  <c r="AG1381" i="1"/>
  <c r="J1379" i="4" s="1"/>
  <c r="AD1390" i="1"/>
  <c r="G1388" i="4" s="1"/>
  <c r="AE1401" i="1"/>
  <c r="H1399" i="4" s="1"/>
  <c r="AF1411" i="1"/>
  <c r="I1409" i="4" s="1"/>
  <c r="AF1417" i="1"/>
  <c r="I1415" i="4" s="1"/>
  <c r="AD74" i="1"/>
  <c r="G72" i="4" s="1"/>
  <c r="AF348" i="1"/>
  <c r="I346" i="4" s="1"/>
  <c r="AE509" i="1"/>
  <c r="H507" i="4" s="1"/>
  <c r="AF576" i="1"/>
  <c r="I574" i="4" s="1"/>
  <c r="AF584" i="1"/>
  <c r="I582" i="4" s="1"/>
  <c r="AE591" i="1"/>
  <c r="H589" i="4" s="1"/>
  <c r="AD620" i="1"/>
  <c r="G618" i="4" s="1"/>
  <c r="AG626" i="1"/>
  <c r="J624" i="4" s="1"/>
  <c r="AG632" i="1"/>
  <c r="J630" i="4" s="1"/>
  <c r="AF639" i="1"/>
  <c r="I637" i="4" s="1"/>
  <c r="AG646" i="1"/>
  <c r="J644" i="4" s="1"/>
  <c r="AG667" i="1"/>
  <c r="J665" i="4" s="1"/>
  <c r="AD674" i="1"/>
  <c r="G672" i="4" s="1"/>
  <c r="AG681" i="1"/>
  <c r="J679" i="4" s="1"/>
  <c r="AD695" i="1"/>
  <c r="G693" i="4" s="1"/>
  <c r="AF716" i="1"/>
  <c r="I714" i="4" s="1"/>
  <c r="AE739" i="1"/>
  <c r="H737" i="4" s="1"/>
  <c r="AF765" i="1"/>
  <c r="I763" i="4" s="1"/>
  <c r="AD772" i="1"/>
  <c r="G770" i="4" s="1"/>
  <c r="AE779" i="1"/>
  <c r="H777" i="4" s="1"/>
  <c r="AD786" i="1"/>
  <c r="G784" i="4" s="1"/>
  <c r="AD806" i="1"/>
  <c r="G804" i="4" s="1"/>
  <c r="AG819" i="1"/>
  <c r="J817" i="4" s="1"/>
  <c r="AG826" i="1"/>
  <c r="J824" i="4" s="1"/>
  <c r="AF833" i="1"/>
  <c r="I831" i="4" s="1"/>
  <c r="AD847" i="1"/>
  <c r="G845" i="4" s="1"/>
  <c r="AF870" i="1"/>
  <c r="I868" i="4" s="1"/>
  <c r="AF874" i="1"/>
  <c r="I872" i="4" s="1"/>
  <c r="AE878" i="1"/>
  <c r="H876" i="4" s="1"/>
  <c r="AE881" i="1"/>
  <c r="H879" i="4" s="1"/>
  <c r="AF885" i="1"/>
  <c r="I883" i="4" s="1"/>
  <c r="AE889" i="1"/>
  <c r="H887" i="4" s="1"/>
  <c r="AE892" i="1"/>
  <c r="H890" i="4" s="1"/>
  <c r="AE896" i="1"/>
  <c r="H894" i="4" s="1"/>
  <c r="AG899" i="1"/>
  <c r="J897" i="4" s="1"/>
  <c r="AF903" i="1"/>
  <c r="I901" i="4" s="1"/>
  <c r="AD906" i="1"/>
  <c r="G904" i="4" s="1"/>
  <c r="AF910" i="1"/>
  <c r="I908" i="4" s="1"/>
  <c r="AE914" i="1"/>
  <c r="H912" i="4" s="1"/>
  <c r="AE917" i="1"/>
  <c r="H915" i="4" s="1"/>
  <c r="AE921" i="1"/>
  <c r="H919" i="4" s="1"/>
  <c r="AE925" i="1"/>
  <c r="H923" i="4" s="1"/>
  <c r="AE928" i="1"/>
  <c r="H926" i="4" s="1"/>
  <c r="AD932" i="1"/>
  <c r="G930" i="4" s="1"/>
  <c r="AG935" i="1"/>
  <c r="J933" i="4" s="1"/>
  <c r="AF939" i="1"/>
  <c r="I937" i="4" s="1"/>
  <c r="AD942" i="1"/>
  <c r="G940" i="4" s="1"/>
  <c r="AE946" i="1"/>
  <c r="H944" i="4" s="1"/>
  <c r="AD950" i="1"/>
  <c r="G948" i="4" s="1"/>
  <c r="AE958" i="1"/>
  <c r="H956" i="4" s="1"/>
  <c r="AF962" i="1"/>
  <c r="I960" i="4" s="1"/>
  <c r="AE965" i="1"/>
  <c r="H963" i="4" s="1"/>
  <c r="AF970" i="1"/>
  <c r="I968" i="4" s="1"/>
  <c r="AG987" i="1"/>
  <c r="J985" i="4" s="1"/>
  <c r="AG991" i="1"/>
  <c r="J989" i="4" s="1"/>
  <c r="AE995" i="1"/>
  <c r="H993" i="4" s="1"/>
  <c r="AE999" i="1"/>
  <c r="H997" i="4" s="1"/>
  <c r="AE1003" i="1"/>
  <c r="H1001" i="4" s="1"/>
  <c r="AG1006" i="1"/>
  <c r="J1004" i="4" s="1"/>
  <c r="AG1014" i="1"/>
  <c r="J1012" i="4" s="1"/>
  <c r="AD1021" i="1"/>
  <c r="G1019" i="4" s="1"/>
  <c r="AF1032" i="1"/>
  <c r="I1030" i="4" s="1"/>
  <c r="AE1036" i="1"/>
  <c r="H1034" i="4" s="1"/>
  <c r="AE1040" i="1"/>
  <c r="H1038" i="4" s="1"/>
  <c r="AG1047" i="1"/>
  <c r="J1045" i="4" s="1"/>
  <c r="AG1051" i="1"/>
  <c r="J1049" i="4" s="1"/>
  <c r="AF1066" i="1"/>
  <c r="I1064" i="4" s="1"/>
  <c r="AG1069" i="1"/>
  <c r="J1067" i="4" s="1"/>
  <c r="AF1074" i="1"/>
  <c r="I1072" i="4" s="1"/>
  <c r="AD1077" i="1"/>
  <c r="G1075" i="4" s="1"/>
  <c r="AG1080" i="1"/>
  <c r="J1078" i="4" s="1"/>
  <c r="AE1088" i="1"/>
  <c r="H1086" i="4" s="1"/>
  <c r="AD1092" i="1"/>
  <c r="G1090" i="4" s="1"/>
  <c r="AG1099" i="1"/>
  <c r="J1097" i="4" s="1"/>
  <c r="AE1103" i="1"/>
  <c r="H1101" i="4" s="1"/>
  <c r="AE1107" i="1"/>
  <c r="H1105" i="4" s="1"/>
  <c r="AG1114" i="1"/>
  <c r="J1112" i="4" s="1"/>
  <c r="AF1122" i="1"/>
  <c r="I1120" i="4" s="1"/>
  <c r="AG1133" i="1"/>
  <c r="J1131" i="4" s="1"/>
  <c r="AG1140" i="1"/>
  <c r="J1138" i="4" s="1"/>
  <c r="AE1145" i="1"/>
  <c r="H1143" i="4" s="1"/>
  <c r="AE1148" i="1"/>
  <c r="H1146" i="4" s="1"/>
  <c r="AD1152" i="1"/>
  <c r="G1150" i="4" s="1"/>
  <c r="AG1159" i="1"/>
  <c r="J1157" i="4" s="1"/>
  <c r="AD1164" i="1"/>
  <c r="G1162" i="4" s="1"/>
  <c r="AD1172" i="1"/>
  <c r="G1170" i="4" s="1"/>
  <c r="AE1176" i="1"/>
  <c r="H1174" i="4" s="1"/>
  <c r="AE1180" i="1"/>
  <c r="H1178" i="4" s="1"/>
  <c r="AF1183" i="1"/>
  <c r="I1181" i="4" s="1"/>
  <c r="AG1186" i="1"/>
  <c r="J1184" i="4" s="1"/>
  <c r="AG1197" i="1"/>
  <c r="J1195" i="4" s="1"/>
  <c r="AE1200" i="1"/>
  <c r="H1198" i="4" s="1"/>
  <c r="AF1203" i="1"/>
  <c r="I1201" i="4" s="1"/>
  <c r="AF1206" i="1"/>
  <c r="I1204" i="4" s="1"/>
  <c r="AD1210" i="1"/>
  <c r="G1208" i="4" s="1"/>
  <c r="AG1216" i="1"/>
  <c r="J1214" i="4" s="1"/>
  <c r="AD1221" i="1"/>
  <c r="G1219" i="4" s="1"/>
  <c r="AG1223" i="1"/>
  <c r="J1221" i="4" s="1"/>
  <c r="AF1226" i="1"/>
  <c r="I1224" i="4" s="1"/>
  <c r="AD1231" i="1"/>
  <c r="G1229" i="4" s="1"/>
  <c r="AE1234" i="1"/>
  <c r="H1232" i="4" s="1"/>
  <c r="AD1237" i="1"/>
  <c r="G1235" i="4" s="1"/>
  <c r="AE1245" i="1"/>
  <c r="H1243" i="4" s="1"/>
  <c r="AG1250" i="1"/>
  <c r="J1248" i="4" s="1"/>
  <c r="AE1255" i="1"/>
  <c r="H1253" i="4" s="1"/>
  <c r="AG1258" i="1"/>
  <c r="J1256" i="4" s="1"/>
  <c r="AE1261" i="1"/>
  <c r="H1259" i="4" s="1"/>
  <c r="AE1265" i="1"/>
  <c r="H1263" i="4" s="1"/>
  <c r="AF1269" i="1"/>
  <c r="I1267" i="4" s="1"/>
  <c r="AD1272" i="1"/>
  <c r="G1270" i="4" s="1"/>
  <c r="AF1279" i="1"/>
  <c r="I1277" i="4" s="1"/>
  <c r="AF1285" i="1"/>
  <c r="I1283" i="4" s="1"/>
  <c r="AE1289" i="1"/>
  <c r="H1287" i="4" s="1"/>
  <c r="AF1293" i="1"/>
  <c r="I1291" i="4" s="1"/>
  <c r="AD1296" i="1"/>
  <c r="G1294" i="4" s="1"/>
  <c r="AF1303" i="1"/>
  <c r="I1301" i="4" s="1"/>
  <c r="AF1309" i="1"/>
  <c r="I1307" i="4" s="1"/>
  <c r="AE1313" i="1"/>
  <c r="H1311" i="4" s="1"/>
  <c r="AF1317" i="1"/>
  <c r="I1315" i="4" s="1"/>
  <c r="AD1320" i="1"/>
  <c r="G1318" i="4" s="1"/>
  <c r="AF1327" i="1"/>
  <c r="I1325" i="4" s="1"/>
  <c r="AF1333" i="1"/>
  <c r="I1331" i="4" s="1"/>
  <c r="AE1337" i="1"/>
  <c r="H1335" i="4" s="1"/>
  <c r="AF1341" i="1"/>
  <c r="I1339" i="4" s="1"/>
  <c r="AD1344" i="1"/>
  <c r="G1342" i="4" s="1"/>
  <c r="AF1351" i="1"/>
  <c r="I1349" i="4" s="1"/>
  <c r="AF1357" i="1"/>
  <c r="I1355" i="4" s="1"/>
  <c r="AF1361" i="1"/>
  <c r="I1359" i="4" s="1"/>
  <c r="AG1365" i="1"/>
  <c r="J1363" i="4" s="1"/>
  <c r="AF1368" i="1"/>
  <c r="I1366" i="4" s="1"/>
  <c r="AE1379" i="1"/>
  <c r="H1377" i="4" s="1"/>
  <c r="AD1387" i="1"/>
  <c r="G1385" i="4" s="1"/>
  <c r="AE1390" i="1"/>
  <c r="H1388" i="4" s="1"/>
  <c r="AD1393" i="1"/>
  <c r="G1391" i="4" s="1"/>
  <c r="AE1397" i="1"/>
  <c r="H1395" i="4" s="1"/>
  <c r="AF1401" i="1"/>
  <c r="I1399" i="4" s="1"/>
  <c r="AD1404" i="1"/>
  <c r="G1402" i="4" s="1"/>
  <c r="AD1407" i="1"/>
  <c r="G1405" i="4" s="1"/>
  <c r="AG1411" i="1"/>
  <c r="J1409" i="4" s="1"/>
  <c r="AD1415" i="1"/>
  <c r="G1413" i="4" s="1"/>
  <c r="AG1417" i="1"/>
  <c r="J1415" i="4" s="1"/>
  <c r="AG401" i="1"/>
  <c r="J399" i="4" s="1"/>
  <c r="AG509" i="1"/>
  <c r="J507" i="4" s="1"/>
  <c r="AF561" i="1"/>
  <c r="I559" i="4" s="1"/>
  <c r="AF591" i="1"/>
  <c r="I589" i="4" s="1"/>
  <c r="AF598" i="1"/>
  <c r="I596" i="4" s="1"/>
  <c r="AE620" i="1"/>
  <c r="H618" i="4" s="1"/>
  <c r="AF674" i="1"/>
  <c r="I672" i="4" s="1"/>
  <c r="AF709" i="1"/>
  <c r="I707" i="4" s="1"/>
  <c r="AG716" i="1"/>
  <c r="J714" i="4" s="1"/>
  <c r="AF732" i="1"/>
  <c r="I730" i="4" s="1"/>
  <c r="AD754" i="1"/>
  <c r="G752" i="4" s="1"/>
  <c r="AG760" i="1"/>
  <c r="J758" i="4" s="1"/>
  <c r="AE772" i="1"/>
  <c r="H770" i="4" s="1"/>
  <c r="AG779" i="1"/>
  <c r="J777" i="4" s="1"/>
  <c r="AF786" i="1"/>
  <c r="I784" i="4" s="1"/>
  <c r="AE813" i="1"/>
  <c r="H811" i="4" s="1"/>
  <c r="AG833" i="1"/>
  <c r="J831" i="4" s="1"/>
  <c r="AE841" i="1"/>
  <c r="H839" i="4" s="1"/>
  <c r="AD867" i="1"/>
  <c r="G865" i="4" s="1"/>
  <c r="AG874" i="1"/>
  <c r="J872" i="4" s="1"/>
  <c r="AF881" i="1"/>
  <c r="I879" i="4" s="1"/>
  <c r="AG889" i="1"/>
  <c r="J887" i="4" s="1"/>
  <c r="AF892" i="1"/>
  <c r="I890" i="4" s="1"/>
  <c r="AF896" i="1"/>
  <c r="I894" i="4" s="1"/>
  <c r="AG903" i="1"/>
  <c r="J901" i="4" s="1"/>
  <c r="AF906" i="1"/>
  <c r="I904" i="4" s="1"/>
  <c r="AG910" i="1"/>
  <c r="J908" i="4" s="1"/>
  <c r="AF917" i="1"/>
  <c r="I915" i="4" s="1"/>
  <c r="AG925" i="1"/>
  <c r="J923" i="4" s="1"/>
  <c r="AF928" i="1"/>
  <c r="I926" i="4" s="1"/>
  <c r="AE932" i="1"/>
  <c r="H930" i="4" s="1"/>
  <c r="AG939" i="1"/>
  <c r="J937" i="4" s="1"/>
  <c r="AF942" i="1"/>
  <c r="I940" i="4" s="1"/>
  <c r="AF946" i="1"/>
  <c r="I944" i="4" s="1"/>
  <c r="AE950" i="1"/>
  <c r="H948" i="4" s="1"/>
  <c r="AE953" i="1"/>
  <c r="H951" i="4" s="1"/>
  <c r="AF958" i="1"/>
  <c r="I956" i="4" s="1"/>
  <c r="AF965" i="1"/>
  <c r="I963" i="4" s="1"/>
  <c r="AG970" i="1"/>
  <c r="J968" i="4" s="1"/>
  <c r="AE975" i="1"/>
  <c r="H973" i="4" s="1"/>
  <c r="AG979" i="1"/>
  <c r="J977" i="4" s="1"/>
  <c r="AD984" i="1"/>
  <c r="G982" i="4" s="1"/>
  <c r="AF995" i="1"/>
  <c r="I993" i="4" s="1"/>
  <c r="AF999" i="1"/>
  <c r="I997" i="4" s="1"/>
  <c r="AF1003" i="1"/>
  <c r="I1001" i="4" s="1"/>
  <c r="AF1018" i="1"/>
  <c r="I1016" i="4" s="1"/>
  <c r="AG1021" i="1"/>
  <c r="J1019" i="4" s="1"/>
  <c r="AF1026" i="1"/>
  <c r="I1024" i="4" s="1"/>
  <c r="AD1029" i="1"/>
  <c r="G1027" i="4" s="1"/>
  <c r="AG1032" i="1"/>
  <c r="J1030" i="4" s="1"/>
  <c r="AF1040" i="1"/>
  <c r="I1038" i="4" s="1"/>
  <c r="AD1044" i="1"/>
  <c r="G1042" i="4" s="1"/>
  <c r="AE1055" i="1"/>
  <c r="H1053" i="4" s="1"/>
  <c r="AE1059" i="1"/>
  <c r="H1057" i="4" s="1"/>
  <c r="AE1063" i="1"/>
  <c r="H1061" i="4" s="1"/>
  <c r="AG1066" i="1"/>
  <c r="J1064" i="4" s="1"/>
  <c r="AG1074" i="1"/>
  <c r="J1072" i="4" s="1"/>
  <c r="AE1085" i="1"/>
  <c r="H1083" i="4" s="1"/>
  <c r="AF1088" i="1"/>
  <c r="I1086" i="4" s="1"/>
  <c r="AE1092" i="1"/>
  <c r="H1090" i="4" s="1"/>
  <c r="AD1096" i="1"/>
  <c r="G1094" i="4" s="1"/>
  <c r="AF1103" i="1"/>
  <c r="I1101" i="4" s="1"/>
  <c r="AF1107" i="1"/>
  <c r="I1105" i="4" s="1"/>
  <c r="AE1111" i="1"/>
  <c r="H1109" i="4" s="1"/>
  <c r="AG1122" i="1"/>
  <c r="J1120" i="4" s="1"/>
  <c r="AD1126" i="1"/>
  <c r="G1124" i="4" s="1"/>
  <c r="AG1129" i="1"/>
  <c r="J1127" i="4" s="1"/>
  <c r="AG1145" i="1"/>
  <c r="J1143" i="4" s="1"/>
  <c r="AF1148" i="1"/>
  <c r="I1146" i="4" s="1"/>
  <c r="AE1152" i="1"/>
  <c r="H1150" i="4" s="1"/>
  <c r="AD1156" i="1"/>
  <c r="G1154" i="4" s="1"/>
  <c r="AE1164" i="1"/>
  <c r="H1162" i="4" s="1"/>
  <c r="AD1168" i="1"/>
  <c r="G1166" i="4" s="1"/>
  <c r="AE1172" i="1"/>
  <c r="H1170" i="4" s="1"/>
  <c r="AF1176" i="1"/>
  <c r="I1174" i="4" s="1"/>
  <c r="AG1183" i="1"/>
  <c r="J1181" i="4" s="1"/>
  <c r="AD1190" i="1"/>
  <c r="G1188" i="4" s="1"/>
  <c r="AF1200" i="1"/>
  <c r="I1198" i="4" s="1"/>
  <c r="AG1203" i="1"/>
  <c r="J1201" i="4" s="1"/>
  <c r="AG1206" i="1"/>
  <c r="J1204" i="4" s="1"/>
  <c r="AE1210" i="1"/>
  <c r="H1208" i="4" s="1"/>
  <c r="AD1213" i="1"/>
  <c r="G1211" i="4" s="1"/>
  <c r="AE1221" i="1"/>
  <c r="H1219" i="4" s="1"/>
  <c r="AG1226" i="1"/>
  <c r="J1224" i="4" s="1"/>
  <c r="AE1231" i="1"/>
  <c r="H1229" i="4" s="1"/>
  <c r="AG1234" i="1"/>
  <c r="J1232" i="4" s="1"/>
  <c r="AE1237" i="1"/>
  <c r="H1235" i="4" s="1"/>
  <c r="AE1241" i="1"/>
  <c r="H1239" i="4" s="1"/>
  <c r="AF1245" i="1"/>
  <c r="I1243" i="4" s="1"/>
  <c r="AD1248" i="1"/>
  <c r="G1246" i="4" s="1"/>
  <c r="AF1255" i="1"/>
  <c r="I1253" i="4" s="1"/>
  <c r="AF1261" i="1"/>
  <c r="I1259" i="4" s="1"/>
  <c r="AF1265" i="1"/>
  <c r="I1263" i="4" s="1"/>
  <c r="AG1269" i="1"/>
  <c r="J1267" i="4" s="1"/>
  <c r="AF1272" i="1"/>
  <c r="I1270" i="4" s="1"/>
  <c r="AD1275" i="1"/>
  <c r="G1273" i="4" s="1"/>
  <c r="AG1279" i="1"/>
  <c r="J1277" i="4" s="1"/>
  <c r="AD1283" i="1"/>
  <c r="G1281" i="4" s="1"/>
  <c r="AG1285" i="1"/>
  <c r="J1283" i="4" s="1"/>
  <c r="AF1289" i="1"/>
  <c r="I1287" i="4" s="1"/>
  <c r="AG1293" i="1"/>
  <c r="J1291" i="4" s="1"/>
  <c r="AF1296" i="1"/>
  <c r="I1294" i="4" s="1"/>
  <c r="AD1299" i="1"/>
  <c r="G1297" i="4" s="1"/>
  <c r="AG1303" i="1"/>
  <c r="J1301" i="4" s="1"/>
  <c r="AD1307" i="1"/>
  <c r="G1305" i="4" s="1"/>
  <c r="AG1309" i="1"/>
  <c r="J1307" i="4" s="1"/>
  <c r="AF1313" i="1"/>
  <c r="I1311" i="4" s="1"/>
  <c r="AG1317" i="1"/>
  <c r="J1315" i="4" s="1"/>
  <c r="AF1320" i="1"/>
  <c r="I1318" i="4" s="1"/>
  <c r="AD1323" i="1"/>
  <c r="G1321" i="4" s="1"/>
  <c r="AG1327" i="1"/>
  <c r="J1325" i="4" s="1"/>
  <c r="AD1331" i="1"/>
  <c r="G1329" i="4" s="1"/>
  <c r="AG1333" i="1"/>
  <c r="J1331" i="4" s="1"/>
  <c r="AF1337" i="1"/>
  <c r="I1335" i="4" s="1"/>
  <c r="AG1341" i="1"/>
  <c r="J1339" i="4" s="1"/>
  <c r="AF1344" i="1"/>
  <c r="I1342" i="4" s="1"/>
  <c r="AD1347" i="1"/>
  <c r="G1345" i="4" s="1"/>
  <c r="AG1351" i="1"/>
  <c r="J1349" i="4" s="1"/>
  <c r="AD1355" i="1"/>
  <c r="G1353" i="4" s="1"/>
  <c r="AG1357" i="1"/>
  <c r="J1355" i="4" s="1"/>
  <c r="AG1368" i="1"/>
  <c r="J1366" i="4" s="1"/>
  <c r="AE1372" i="1"/>
  <c r="H1370" i="4" s="1"/>
  <c r="AF1379" i="1"/>
  <c r="I1377" i="4" s="1"/>
  <c r="AE1382" i="1"/>
  <c r="H1380" i="4" s="1"/>
  <c r="AE1387" i="1"/>
  <c r="H1385" i="4" s="1"/>
  <c r="AG1390" i="1"/>
  <c r="J1388" i="4" s="1"/>
  <c r="AE1393" i="1"/>
  <c r="H1391" i="4" s="1"/>
  <c r="AF1397" i="1"/>
  <c r="I1395" i="4" s="1"/>
  <c r="AG1401" i="1"/>
  <c r="J1399" i="4" s="1"/>
  <c r="AF1404" i="1"/>
  <c r="I1402" i="4" s="1"/>
  <c r="AE1415" i="1"/>
  <c r="H1413" i="4" s="1"/>
  <c r="AE146" i="1"/>
  <c r="H144" i="4" s="1"/>
  <c r="AD340" i="1"/>
  <c r="G338" i="4" s="1"/>
  <c r="AD457" i="1"/>
  <c r="G455" i="4" s="1"/>
  <c r="AE500" i="1"/>
  <c r="H498" i="4" s="1"/>
  <c r="AG620" i="1"/>
  <c r="J618" i="4" s="1"/>
  <c r="AE627" i="1"/>
  <c r="H625" i="4" s="1"/>
  <c r="AD647" i="1"/>
  <c r="G645" i="4" s="1"/>
  <c r="AD655" i="1"/>
  <c r="G653" i="4" s="1"/>
  <c r="AD668" i="1"/>
  <c r="G666" i="4" s="1"/>
  <c r="AE682" i="1"/>
  <c r="H680" i="4" s="1"/>
  <c r="AG689" i="1"/>
  <c r="J687" i="4" s="1"/>
  <c r="AD696" i="1"/>
  <c r="G694" i="4" s="1"/>
  <c r="AF704" i="1"/>
  <c r="I702" i="4" s="1"/>
  <c r="AD740" i="1"/>
  <c r="G738" i="4" s="1"/>
  <c r="AE746" i="1"/>
  <c r="H744" i="4" s="1"/>
  <c r="AF754" i="1"/>
  <c r="I752" i="4" s="1"/>
  <c r="AD766" i="1"/>
  <c r="G764" i="4" s="1"/>
  <c r="AG772" i="1"/>
  <c r="J770" i="4" s="1"/>
  <c r="AE794" i="1"/>
  <c r="H792" i="4" s="1"/>
  <c r="AD820" i="1"/>
  <c r="G818" i="4" s="1"/>
  <c r="AE827" i="1"/>
  <c r="H825" i="4" s="1"/>
  <c r="AG841" i="1"/>
  <c r="J839" i="4" s="1"/>
  <c r="AE848" i="1"/>
  <c r="H846" i="4" s="1"/>
  <c r="AD855" i="1"/>
  <c r="G853" i="4" s="1"/>
  <c r="AD862" i="1"/>
  <c r="G860" i="4" s="1"/>
  <c r="AE867" i="1"/>
  <c r="H865" i="4" s="1"/>
  <c r="AD871" i="1"/>
  <c r="G869" i="4" s="1"/>
  <c r="AD879" i="1"/>
  <c r="G877" i="4" s="1"/>
  <c r="AG881" i="1"/>
  <c r="J879" i="4" s="1"/>
  <c r="AD886" i="1"/>
  <c r="G884" i="4" s="1"/>
  <c r="AG892" i="1"/>
  <c r="J890" i="4" s="1"/>
  <c r="AD915" i="1"/>
  <c r="G913" i="4" s="1"/>
  <c r="AG917" i="1"/>
  <c r="J915" i="4" s="1"/>
  <c r="AD922" i="1"/>
  <c r="G920" i="4" s="1"/>
  <c r="AG928" i="1"/>
  <c r="J926" i="4" s="1"/>
  <c r="AF932" i="1"/>
  <c r="I930" i="4" s="1"/>
  <c r="AG946" i="1"/>
  <c r="J944" i="4" s="1"/>
  <c r="AF953" i="1"/>
  <c r="I951" i="4" s="1"/>
  <c r="AG958" i="1"/>
  <c r="J956" i="4" s="1"/>
  <c r="AD963" i="1"/>
  <c r="G961" i="4" s="1"/>
  <c r="AG965" i="1"/>
  <c r="J963" i="4" s="1"/>
  <c r="AF975" i="1"/>
  <c r="I973" i="4" s="1"/>
  <c r="AE984" i="1"/>
  <c r="H982" i="4" s="1"/>
  <c r="AD988" i="1"/>
  <c r="G986" i="4" s="1"/>
  <c r="AD992" i="1"/>
  <c r="G990" i="4" s="1"/>
  <c r="AG999" i="1"/>
  <c r="J997" i="4" s="1"/>
  <c r="AG1003" i="1"/>
  <c r="J1001" i="4" s="1"/>
  <c r="AE1007" i="1"/>
  <c r="H1005" i="4" s="1"/>
  <c r="AE1011" i="1"/>
  <c r="H1009" i="4" s="1"/>
  <c r="AE1015" i="1"/>
  <c r="H1013" i="4" s="1"/>
  <c r="AG1018" i="1"/>
  <c r="J1016" i="4" s="1"/>
  <c r="AG1026" i="1"/>
  <c r="J1024" i="4" s="1"/>
  <c r="AG1037" i="1"/>
  <c r="J1035" i="4" s="1"/>
  <c r="AG1040" i="1"/>
  <c r="J1038" i="4" s="1"/>
  <c r="AE1044" i="1"/>
  <c r="H1042" i="4" s="1"/>
  <c r="AD1048" i="1"/>
  <c r="G1046" i="4" s="1"/>
  <c r="AD1052" i="1"/>
  <c r="G1050" i="4" s="1"/>
  <c r="AF1055" i="1"/>
  <c r="I1053" i="4" s="1"/>
  <c r="AF1059" i="1"/>
  <c r="I1057" i="4" s="1"/>
  <c r="AF1063" i="1"/>
  <c r="I1061" i="4" s="1"/>
  <c r="AD1078" i="1"/>
  <c r="G1076" i="4" s="1"/>
  <c r="AD1081" i="1"/>
  <c r="G1079" i="4" s="1"/>
  <c r="AG1085" i="1"/>
  <c r="J1083" i="4" s="1"/>
  <c r="AF1092" i="1"/>
  <c r="I1090" i="4" s="1"/>
  <c r="AE1096" i="1"/>
  <c r="H1094" i="4" s="1"/>
  <c r="AD1100" i="1"/>
  <c r="G1098" i="4" s="1"/>
  <c r="AG1107" i="1"/>
  <c r="J1105" i="4" s="1"/>
  <c r="AF1111" i="1"/>
  <c r="I1109" i="4" s="1"/>
  <c r="AE1115" i="1"/>
  <c r="H1113" i="4" s="1"/>
  <c r="AE1119" i="1"/>
  <c r="H1117" i="4" s="1"/>
  <c r="AF1126" i="1"/>
  <c r="I1124" i="4" s="1"/>
  <c r="AF1134" i="1"/>
  <c r="I1132" i="4" s="1"/>
  <c r="AD1138" i="1"/>
  <c r="G1136" i="4" s="1"/>
  <c r="AD1141" i="1"/>
  <c r="G1139" i="4" s="1"/>
  <c r="AF1152" i="1"/>
  <c r="I1150" i="4" s="1"/>
  <c r="AE1156" i="1"/>
  <c r="H1154" i="4" s="1"/>
  <c r="AD1160" i="1"/>
  <c r="G1158" i="4" s="1"/>
  <c r="AF1164" i="1"/>
  <c r="I1162" i="4" s="1"/>
  <c r="AE1168" i="1"/>
  <c r="H1166" i="4" s="1"/>
  <c r="AF1172" i="1"/>
  <c r="I1170" i="4" s="1"/>
  <c r="AG1176" i="1"/>
  <c r="J1174" i="4" s="1"/>
  <c r="AD1181" i="1"/>
  <c r="G1179" i="4" s="1"/>
  <c r="AD1187" i="1"/>
  <c r="G1185" i="4" s="1"/>
  <c r="AF1190" i="1"/>
  <c r="I1188" i="4" s="1"/>
  <c r="AD1194" i="1"/>
  <c r="G1192" i="4" s="1"/>
  <c r="AD1198" i="1"/>
  <c r="G1196" i="4" s="1"/>
  <c r="AG1200" i="1"/>
  <c r="J1198" i="4" s="1"/>
  <c r="AG1210" i="1"/>
  <c r="J1208" i="4" s="1"/>
  <c r="AE1213" i="1"/>
  <c r="H1211" i="4" s="1"/>
  <c r="AE1217" i="1"/>
  <c r="H1215" i="4" s="1"/>
  <c r="AF1221" i="1"/>
  <c r="I1219" i="4" s="1"/>
  <c r="AD1224" i="1"/>
  <c r="G1222" i="4" s="1"/>
  <c r="AF1231" i="1"/>
  <c r="I1229" i="4" s="1"/>
  <c r="AF1237" i="1"/>
  <c r="I1235" i="4" s="1"/>
  <c r="AF1241" i="1"/>
  <c r="I1239" i="4" s="1"/>
  <c r="AG1245" i="1"/>
  <c r="J1243" i="4" s="1"/>
  <c r="AF1248" i="1"/>
  <c r="I1246" i="4" s="1"/>
  <c r="AD1251" i="1"/>
  <c r="G1249" i="4" s="1"/>
  <c r="AG1255" i="1"/>
  <c r="J1253" i="4" s="1"/>
  <c r="AD1259" i="1"/>
  <c r="G1257" i="4" s="1"/>
  <c r="AG1261" i="1"/>
  <c r="J1259" i="4" s="1"/>
  <c r="AG1272" i="1"/>
  <c r="J1270" i="4" s="1"/>
  <c r="AE1283" i="1"/>
  <c r="H1281" i="4" s="1"/>
  <c r="AG1296" i="1"/>
  <c r="J1294" i="4" s="1"/>
  <c r="AE1307" i="1"/>
  <c r="H1305" i="4" s="1"/>
  <c r="AG1320" i="1"/>
  <c r="J1318" i="4" s="1"/>
  <c r="AE1331" i="1"/>
  <c r="H1329" i="4" s="1"/>
  <c r="AG1344" i="1"/>
  <c r="J1342" i="4" s="1"/>
  <c r="AE1355" i="1"/>
  <c r="H1353" i="4" s="1"/>
  <c r="AD1366" i="1"/>
  <c r="G1364" i="4" s="1"/>
  <c r="AG1372" i="1"/>
  <c r="J1370" i="4" s="1"/>
  <c r="AD1377" i="1"/>
  <c r="G1375" i="4" s="1"/>
  <c r="AG1379" i="1"/>
  <c r="J1377" i="4" s="1"/>
  <c r="AF1382" i="1"/>
  <c r="I1380" i="4" s="1"/>
  <c r="AF1387" i="1"/>
  <c r="I1385" i="4" s="1"/>
  <c r="AF1393" i="1"/>
  <c r="I1391" i="4" s="1"/>
  <c r="AG1404" i="1"/>
  <c r="J1402" i="4" s="1"/>
  <c r="AE1408" i="1"/>
  <c r="H1406" i="4" s="1"/>
  <c r="AF1415" i="1"/>
  <c r="I1413" i="4" s="1"/>
  <c r="AE1418" i="1"/>
  <c r="H1416" i="4" s="1"/>
  <c r="AJ1814" i="1"/>
  <c r="AD136" i="1"/>
  <c r="G134" i="4" s="1"/>
  <c r="AE383" i="1"/>
  <c r="H381" i="4" s="1"/>
  <c r="AE425" i="1"/>
  <c r="H423" i="4" s="1"/>
  <c r="AF562" i="1"/>
  <c r="I560" i="4" s="1"/>
  <c r="AG586" i="1"/>
  <c r="J584" i="4" s="1"/>
  <c r="AD599" i="1"/>
  <c r="G597" i="4" s="1"/>
  <c r="AE607" i="1"/>
  <c r="H605" i="4" s="1"/>
  <c r="AF614" i="1"/>
  <c r="I612" i="4" s="1"/>
  <c r="AF627" i="1"/>
  <c r="I625" i="4" s="1"/>
  <c r="AD634" i="1"/>
  <c r="G632" i="4" s="1"/>
  <c r="AG655" i="1"/>
  <c r="J653" i="4" s="1"/>
  <c r="AE662" i="1"/>
  <c r="H660" i="4" s="1"/>
  <c r="AF696" i="1"/>
  <c r="I694" i="4" s="1"/>
  <c r="AE717" i="1"/>
  <c r="H715" i="4" s="1"/>
  <c r="AE733" i="1"/>
  <c r="H731" i="4" s="1"/>
  <c r="AF740" i="1"/>
  <c r="I738" i="4" s="1"/>
  <c r="AF746" i="1"/>
  <c r="I744" i="4" s="1"/>
  <c r="AG754" i="1"/>
  <c r="J752" i="4" s="1"/>
  <c r="AF761" i="1"/>
  <c r="I759" i="4" s="1"/>
  <c r="AF801" i="1"/>
  <c r="I799" i="4" s="1"/>
  <c r="AE808" i="1"/>
  <c r="H806" i="4" s="1"/>
  <c r="AD834" i="1"/>
  <c r="G832" i="4" s="1"/>
  <c r="AF848" i="1"/>
  <c r="I846" i="4" s="1"/>
  <c r="AF855" i="1"/>
  <c r="I853" i="4" s="1"/>
  <c r="AF862" i="1"/>
  <c r="I860" i="4" s="1"/>
  <c r="AE875" i="1"/>
  <c r="H873" i="4" s="1"/>
  <c r="AE879" i="1"/>
  <c r="H877" i="4" s="1"/>
  <c r="AE886" i="1"/>
  <c r="H884" i="4" s="1"/>
  <c r="AD890" i="1"/>
  <c r="G888" i="4" s="1"/>
  <c r="AE897" i="1"/>
  <c r="H895" i="4" s="1"/>
  <c r="AD901" i="1"/>
  <c r="G899" i="4" s="1"/>
  <c r="AD904" i="1"/>
  <c r="G902" i="4" s="1"/>
  <c r="AE911" i="1"/>
  <c r="H909" i="4" s="1"/>
  <c r="AE915" i="1"/>
  <c r="H913" i="4" s="1"/>
  <c r="AE922" i="1"/>
  <c r="H920" i="4" s="1"/>
  <c r="AD926" i="1"/>
  <c r="G924" i="4" s="1"/>
  <c r="AD937" i="1"/>
  <c r="G935" i="4" s="1"/>
  <c r="AD940" i="1"/>
  <c r="G938" i="4" s="1"/>
  <c r="AD943" i="1"/>
  <c r="G941" i="4" s="1"/>
  <c r="AD951" i="1"/>
  <c r="G949" i="4" s="1"/>
  <c r="AG953" i="1"/>
  <c r="J951" i="4" s="1"/>
  <c r="AE963" i="1"/>
  <c r="H961" i="4" s="1"/>
  <c r="AF980" i="1"/>
  <c r="I978" i="4" s="1"/>
  <c r="AF984" i="1"/>
  <c r="I982" i="4" s="1"/>
  <c r="AE988" i="1"/>
  <c r="H986" i="4" s="1"/>
  <c r="AE992" i="1"/>
  <c r="H990" i="4" s="1"/>
  <c r="AD996" i="1"/>
  <c r="G994" i="4" s="1"/>
  <c r="AF1007" i="1"/>
  <c r="I1005" i="4" s="1"/>
  <c r="AF1011" i="1"/>
  <c r="I1009" i="4" s="1"/>
  <c r="AF1015" i="1"/>
  <c r="I1013" i="4" s="1"/>
  <c r="AF320" i="1"/>
  <c r="I318" i="4" s="1"/>
  <c r="AF331" i="1"/>
  <c r="I329" i="4" s="1"/>
  <c r="AF383" i="1"/>
  <c r="I381" i="4" s="1"/>
  <c r="AD437" i="1"/>
  <c r="G435" i="4" s="1"/>
  <c r="AE448" i="1"/>
  <c r="H446" i="4" s="1"/>
  <c r="AE572" i="1"/>
  <c r="H570" i="4" s="1"/>
  <c r="AF579" i="1"/>
  <c r="I577" i="4" s="1"/>
  <c r="AG634" i="1"/>
  <c r="J632" i="4" s="1"/>
  <c r="AF662" i="1"/>
  <c r="I660" i="4" s="1"/>
  <c r="AF669" i="1"/>
  <c r="I667" i="4" s="1"/>
  <c r="AE705" i="1"/>
  <c r="H703" i="4" s="1"/>
  <c r="AE711" i="1"/>
  <c r="H709" i="4" s="1"/>
  <c r="AG761" i="1"/>
  <c r="J759" i="4" s="1"/>
  <c r="AE795" i="1"/>
  <c r="H793" i="4" s="1"/>
  <c r="AF808" i="1"/>
  <c r="I806" i="4" s="1"/>
  <c r="AG815" i="1"/>
  <c r="J813" i="4" s="1"/>
  <c r="AD842" i="1"/>
  <c r="G840" i="4" s="1"/>
  <c r="AG855" i="1"/>
  <c r="J853" i="4" s="1"/>
  <c r="AG862" i="1"/>
  <c r="J860" i="4" s="1"/>
  <c r="AD868" i="1"/>
  <c r="G866" i="4" s="1"/>
  <c r="AE872" i="1"/>
  <c r="H870" i="4" s="1"/>
  <c r="AG875" i="1"/>
  <c r="J873" i="4" s="1"/>
  <c r="AF879" i="1"/>
  <c r="I877" i="4" s="1"/>
  <c r="AD882" i="1"/>
  <c r="G880" i="4" s="1"/>
  <c r="AF886" i="1"/>
  <c r="I884" i="4" s="1"/>
  <c r="AE890" i="1"/>
  <c r="H888" i="4" s="1"/>
  <c r="AE893" i="1"/>
  <c r="H891" i="4" s="1"/>
  <c r="AF897" i="1"/>
  <c r="I895" i="4" s="1"/>
  <c r="AE901" i="1"/>
  <c r="H899" i="4" s="1"/>
  <c r="AE904" i="1"/>
  <c r="H902" i="4" s="1"/>
  <c r="AE908" i="1"/>
  <c r="H906" i="4" s="1"/>
  <c r="AG911" i="1"/>
  <c r="J909" i="4" s="1"/>
  <c r="AF915" i="1"/>
  <c r="I913" i="4" s="1"/>
  <c r="AD918" i="1"/>
  <c r="G916" i="4" s="1"/>
  <c r="AF922" i="1"/>
  <c r="I920" i="4" s="1"/>
  <c r="AE926" i="1"/>
  <c r="H924" i="4" s="1"/>
  <c r="AE929" i="1"/>
  <c r="H927" i="4" s="1"/>
  <c r="AE933" i="1"/>
  <c r="H931" i="4" s="1"/>
  <c r="AE937" i="1"/>
  <c r="H935" i="4" s="1"/>
  <c r="AE940" i="1"/>
  <c r="H938" i="4" s="1"/>
  <c r="AE947" i="1"/>
  <c r="H945" i="4" s="1"/>
  <c r="AE951" i="1"/>
  <c r="H949" i="4" s="1"/>
  <c r="AF963" i="1"/>
  <c r="I961" i="4" s="1"/>
  <c r="AG972" i="1"/>
  <c r="J970" i="4" s="1"/>
  <c r="AD976" i="1"/>
  <c r="G974" i="4" s="1"/>
  <c r="AG984" i="1"/>
  <c r="J982" i="4" s="1"/>
  <c r="AF992" i="1"/>
  <c r="I990" i="4" s="1"/>
  <c r="AE996" i="1"/>
  <c r="H994" i="4" s="1"/>
  <c r="AD1000" i="1"/>
  <c r="G998" i="4" s="1"/>
  <c r="AD1004" i="1"/>
  <c r="G1002" i="4" s="1"/>
  <c r="AG1011" i="1"/>
  <c r="J1009" i="4" s="1"/>
  <c r="AG1015" i="1"/>
  <c r="J1013" i="4" s="1"/>
  <c r="AE1019" i="1"/>
  <c r="H1017" i="4" s="1"/>
  <c r="AE1023" i="1"/>
  <c r="H1021" i="4" s="1"/>
  <c r="AE1027" i="1"/>
  <c r="H1025" i="4" s="1"/>
  <c r="AF1030" i="1"/>
  <c r="I1028" i="4" s="1"/>
  <c r="AG1033" i="1"/>
  <c r="J1031" i="4" s="1"/>
  <c r="AF1038" i="1"/>
  <c r="I1036" i="4" s="1"/>
  <c r="AD1041" i="1"/>
  <c r="G1039" i="4" s="1"/>
  <c r="AG1044" i="1"/>
  <c r="J1042" i="4" s="1"/>
  <c r="AF1052" i="1"/>
  <c r="I1050" i="4" s="1"/>
  <c r="AD1056" i="1"/>
  <c r="G1054" i="4" s="1"/>
  <c r="AF1067" i="1"/>
  <c r="I1065" i="4" s="1"/>
  <c r="AF1071" i="1"/>
  <c r="I1069" i="4" s="1"/>
  <c r="AF1075" i="1"/>
  <c r="I1073" i="4" s="1"/>
  <c r="AG1078" i="1"/>
  <c r="J1076" i="4" s="1"/>
  <c r="AF1086" i="1"/>
  <c r="I1084" i="4" s="1"/>
  <c r="AE1097" i="1"/>
  <c r="H1095" i="4" s="1"/>
  <c r="AF1100" i="1"/>
  <c r="I1098" i="4" s="1"/>
  <c r="AE1104" i="1"/>
  <c r="H1102" i="4" s="1"/>
  <c r="AD1108" i="1"/>
  <c r="G1106" i="4" s="1"/>
  <c r="AG1119" i="1"/>
  <c r="J1117" i="4" s="1"/>
  <c r="AF1123" i="1"/>
  <c r="I1121" i="4" s="1"/>
  <c r="AE1131" i="1"/>
  <c r="H1129" i="4" s="1"/>
  <c r="AG1138" i="1"/>
  <c r="J1136" i="4" s="1"/>
  <c r="AF1146" i="1"/>
  <c r="I1144" i="4" s="1"/>
  <c r="AE1157" i="1"/>
  <c r="H1155" i="4" s="1"/>
  <c r="AF1160" i="1"/>
  <c r="I1158" i="4" s="1"/>
  <c r="AD1169" i="1"/>
  <c r="G1167" i="4" s="1"/>
  <c r="AD1177" i="1"/>
  <c r="G1175" i="4" s="1"/>
  <c r="AG1181" i="1"/>
  <c r="J1179" i="4" s="1"/>
  <c r="AE1184" i="1"/>
  <c r="H1182" i="4" s="1"/>
  <c r="AD1188" i="1"/>
  <c r="G1186" i="4" s="1"/>
  <c r="AF1194" i="1"/>
  <c r="I1192" i="4" s="1"/>
  <c r="AF1198" i="1"/>
  <c r="I1196" i="4" s="1"/>
  <c r="AE1201" i="1"/>
  <c r="H1199" i="4" s="1"/>
  <c r="AF1204" i="1"/>
  <c r="I1202" i="4" s="1"/>
  <c r="AG1207" i="1"/>
  <c r="J1205" i="4" s="1"/>
  <c r="AD1211" i="1"/>
  <c r="G1209" i="4" s="1"/>
  <c r="AG1213" i="1"/>
  <c r="J1211" i="4" s="1"/>
  <c r="AG1224" i="1"/>
  <c r="J1222" i="4" s="1"/>
  <c r="AE1235" i="1"/>
  <c r="H1233" i="4" s="1"/>
  <c r="AD1246" i="1"/>
  <c r="G1244" i="4" s="1"/>
  <c r="AE1252" i="1"/>
  <c r="H1250" i="4" s="1"/>
  <c r="AF1259" i="1"/>
  <c r="I1257" i="4" s="1"/>
  <c r="AE1262" i="1"/>
  <c r="H1260" i="4" s="1"/>
  <c r="AD1267" i="1"/>
  <c r="G1265" i="4" s="1"/>
  <c r="AE1270" i="1"/>
  <c r="H1268" i="4" s="1"/>
  <c r="AD1273" i="1"/>
  <c r="G1271" i="4" s="1"/>
  <c r="AG1276" i="1"/>
  <c r="J1274" i="4" s="1"/>
  <c r="AD1281" i="1"/>
  <c r="G1279" i="4" s="1"/>
  <c r="AG1283" i="1"/>
  <c r="J1281" i="4" s="1"/>
  <c r="AF1286" i="1"/>
  <c r="I1284" i="4" s="1"/>
  <c r="AD1291" i="1"/>
  <c r="G1289" i="4" s="1"/>
  <c r="AE1294" i="1"/>
  <c r="H1292" i="4" s="1"/>
  <c r="AD1297" i="1"/>
  <c r="G1295" i="4" s="1"/>
  <c r="AG1300" i="1"/>
  <c r="J1298" i="4" s="1"/>
  <c r="AD1305" i="1"/>
  <c r="G1303" i="4" s="1"/>
  <c r="AG1307" i="1"/>
  <c r="J1305" i="4" s="1"/>
  <c r="AF1310" i="1"/>
  <c r="I1308" i="4" s="1"/>
  <c r="AD1315" i="1"/>
  <c r="G1313" i="4" s="1"/>
  <c r="AE1318" i="1"/>
  <c r="H1316" i="4" s="1"/>
  <c r="AD1321" i="1"/>
  <c r="G1319" i="4" s="1"/>
  <c r="AG1324" i="1"/>
  <c r="J1322" i="4" s="1"/>
  <c r="AD1329" i="1"/>
  <c r="G1327" i="4" s="1"/>
  <c r="AG1331" i="1"/>
  <c r="J1329" i="4" s="1"/>
  <c r="AF1334" i="1"/>
  <c r="I1332" i="4" s="1"/>
  <c r="AD1339" i="1"/>
  <c r="G1337" i="4" s="1"/>
  <c r="AE1342" i="1"/>
  <c r="H1340" i="4" s="1"/>
  <c r="AD1345" i="1"/>
  <c r="G1343" i="4" s="1"/>
  <c r="AG1348" i="1"/>
  <c r="J1346" i="4" s="1"/>
  <c r="AD1353" i="1"/>
  <c r="G1351" i="4" s="1"/>
  <c r="AG1355" i="1"/>
  <c r="J1353" i="4" s="1"/>
  <c r="AF1358" i="1"/>
  <c r="I1356" i="4" s="1"/>
  <c r="AE1363" i="1"/>
  <c r="H1361" i="4" s="1"/>
  <c r="AG1366" i="1"/>
  <c r="J1364" i="4" s="1"/>
  <c r="AE1369" i="1"/>
  <c r="H1367" i="4" s="1"/>
  <c r="AE1373" i="1"/>
  <c r="H1371" i="4" s="1"/>
  <c r="AF1377" i="1"/>
  <c r="I1375" i="4" s="1"/>
  <c r="AD1380" i="1"/>
  <c r="G1378" i="4" s="1"/>
  <c r="AE1391" i="1"/>
  <c r="H1389" i="4" s="1"/>
  <c r="AD1399" i="1"/>
  <c r="G1397" i="4" s="1"/>
  <c r="AE1402" i="1"/>
  <c r="H1400" i="4" s="1"/>
  <c r="AD1405" i="1"/>
  <c r="G1403" i="4" s="1"/>
  <c r="AE1413" i="1"/>
  <c r="H1411" i="4" s="1"/>
  <c r="AE656" i="1"/>
  <c r="H654" i="4" s="1"/>
  <c r="AD742" i="1"/>
  <c r="G740" i="4" s="1"/>
  <c r="AG796" i="1"/>
  <c r="J794" i="4" s="1"/>
  <c r="AD891" i="1"/>
  <c r="G889" i="4" s="1"/>
  <c r="AF908" i="1"/>
  <c r="I906" i="4" s="1"/>
  <c r="AF918" i="1"/>
  <c r="I916" i="4" s="1"/>
  <c r="AF944" i="1"/>
  <c r="I942" i="4" s="1"/>
  <c r="AD1008" i="1"/>
  <c r="G1006" i="4" s="1"/>
  <c r="AD1024" i="1"/>
  <c r="G1022" i="4" s="1"/>
  <c r="AE1060" i="1"/>
  <c r="H1058" i="4" s="1"/>
  <c r="AF1087" i="1"/>
  <c r="I1085" i="4" s="1"/>
  <c r="AG1093" i="1"/>
  <c r="J1091" i="4" s="1"/>
  <c r="AD1101" i="1"/>
  <c r="G1099" i="4" s="1"/>
  <c r="AF1127" i="1"/>
  <c r="I1125" i="4" s="1"/>
  <c r="AG1134" i="1"/>
  <c r="J1132" i="4" s="1"/>
  <c r="AG1184" i="1"/>
  <c r="J1182" i="4" s="1"/>
  <c r="AD1191" i="1"/>
  <c r="G1189" i="4" s="1"/>
  <c r="AE1204" i="1"/>
  <c r="H1202" i="4" s="1"/>
  <c r="AE1211" i="1"/>
  <c r="H1209" i="4" s="1"/>
  <c r="AF1224" i="1"/>
  <c r="I1222" i="4" s="1"/>
  <c r="AD1243" i="1"/>
  <c r="G1241" i="4" s="1"/>
  <c r="AE1276" i="1"/>
  <c r="H1274" i="4" s="1"/>
  <c r="AE1291" i="1"/>
  <c r="H1289" i="4" s="1"/>
  <c r="AF1297" i="1"/>
  <c r="I1295" i="4" s="1"/>
  <c r="AF1305" i="1"/>
  <c r="I1303" i="4" s="1"/>
  <c r="AE1319" i="1"/>
  <c r="H1317" i="4" s="1"/>
  <c r="AE1348" i="1"/>
  <c r="H1346" i="4" s="1"/>
  <c r="AD1375" i="1"/>
  <c r="G1373" i="4" s="1"/>
  <c r="AD1381" i="1"/>
  <c r="G1379" i="4" s="1"/>
  <c r="AG1408" i="1"/>
  <c r="J1406" i="4" s="1"/>
  <c r="AD1414" i="1"/>
  <c r="G1412" i="4" s="1"/>
  <c r="AE1420" i="1"/>
  <c r="H1418" i="4" s="1"/>
  <c r="AF1427" i="1"/>
  <c r="I1425" i="4" s="1"/>
  <c r="AE1430" i="1"/>
  <c r="H1428" i="4" s="1"/>
  <c r="AE1435" i="1"/>
  <c r="AG1438" i="1"/>
  <c r="AE1441" i="1"/>
  <c r="AE1445" i="1"/>
  <c r="AF1449" i="1"/>
  <c r="AD1452" i="1"/>
  <c r="AD1455" i="1"/>
  <c r="AE1463" i="1"/>
  <c r="AE1466" i="1"/>
  <c r="AD1471" i="1"/>
  <c r="AE1474" i="1"/>
  <c r="AD1477" i="1"/>
  <c r="AE1481" i="1"/>
  <c r="AF1485" i="1"/>
  <c r="AD1488" i="1"/>
  <c r="AF1499" i="1"/>
  <c r="AF1502" i="1"/>
  <c r="AE1507" i="1"/>
  <c r="AG1510" i="1"/>
  <c r="AF1513" i="1"/>
  <c r="AF1517" i="1"/>
  <c r="AG1521" i="1"/>
  <c r="AF1524" i="1"/>
  <c r="AE1528" i="1"/>
  <c r="AD1533" i="1"/>
  <c r="AG1535" i="1"/>
  <c r="AF1543" i="1"/>
  <c r="AG1549" i="1"/>
  <c r="AG1560" i="1"/>
  <c r="AG1564" i="1"/>
  <c r="AD1569" i="1"/>
  <c r="AD1575" i="1"/>
  <c r="AG1579" i="1"/>
  <c r="AE1583" i="1"/>
  <c r="AF1586" i="1"/>
  <c r="AD1591" i="1"/>
  <c r="AE1594" i="1"/>
  <c r="AD1597" i="1"/>
  <c r="AG1600" i="1"/>
  <c r="AG1607" i="1"/>
  <c r="AE1615" i="1"/>
  <c r="AG1618" i="1"/>
  <c r="AG1621" i="1"/>
  <c r="AG1626" i="1"/>
  <c r="AE1639" i="1"/>
  <c r="AG1643" i="1"/>
  <c r="AE1646" i="1"/>
  <c r="AD1654" i="1"/>
  <c r="AE1657" i="1"/>
  <c r="AF1660" i="1"/>
  <c r="AG1663" i="1"/>
  <c r="AD1668" i="1"/>
  <c r="AG1670" i="1"/>
  <c r="AF1674" i="1"/>
  <c r="AD1679" i="1"/>
  <c r="AG1681" i="1"/>
  <c r="AE1685" i="1"/>
  <c r="AG1689" i="1"/>
  <c r="AG1692" i="1"/>
  <c r="AF1699" i="1"/>
  <c r="AF1706" i="1"/>
  <c r="AE1710" i="1"/>
  <c r="AG1717" i="1"/>
  <c r="AE1721" i="1"/>
  <c r="AG1725" i="1"/>
  <c r="AG1728" i="1"/>
  <c r="AF1735" i="1"/>
  <c r="AF1742" i="1"/>
  <c r="AE1746" i="1"/>
  <c r="AF1753" i="1"/>
  <c r="AD1757" i="1"/>
  <c r="AF1764" i="1"/>
  <c r="AE1775" i="1"/>
  <c r="AE1778" i="1"/>
  <c r="AD1782" i="1"/>
  <c r="AE1786" i="1"/>
  <c r="AG1789" i="1"/>
  <c r="AE1793" i="1"/>
  <c r="AG1797" i="1"/>
  <c r="AD1804" i="1"/>
  <c r="AG1807" i="1"/>
  <c r="AE1812" i="1"/>
  <c r="AF268" i="1"/>
  <c r="I266" i="4" s="1"/>
  <c r="AG481" i="1"/>
  <c r="J479" i="4" s="1"/>
  <c r="AF572" i="1"/>
  <c r="I570" i="4" s="1"/>
  <c r="AE830" i="1"/>
  <c r="H828" i="4" s="1"/>
  <c r="AE863" i="1"/>
  <c r="H861" i="4" s="1"/>
  <c r="AF872" i="1"/>
  <c r="I870" i="4" s="1"/>
  <c r="AF882" i="1"/>
  <c r="I880" i="4" s="1"/>
  <c r="AG937" i="1"/>
  <c r="J935" i="4" s="1"/>
  <c r="AG963" i="1"/>
  <c r="J961" i="4" s="1"/>
  <c r="AE973" i="1"/>
  <c r="H971" i="4" s="1"/>
  <c r="AE982" i="1"/>
  <c r="H980" i="4" s="1"/>
  <c r="AE1000" i="1"/>
  <c r="H998" i="4" s="1"/>
  <c r="AE1008" i="1"/>
  <c r="H1006" i="4" s="1"/>
  <c r="AF1031" i="1"/>
  <c r="I1029" i="4" s="1"/>
  <c r="AF1039" i="1"/>
  <c r="I1037" i="4" s="1"/>
  <c r="AE1067" i="1"/>
  <c r="H1065" i="4" s="1"/>
  <c r="AE1108" i="1"/>
  <c r="H1106" i="4" s="1"/>
  <c r="AF1115" i="1"/>
  <c r="I1113" i="4" s="1"/>
  <c r="AD1149" i="1"/>
  <c r="G1147" i="4" s="1"/>
  <c r="AE1171" i="1"/>
  <c r="H1169" i="4" s="1"/>
  <c r="AG1178" i="1"/>
  <c r="J1176" i="4" s="1"/>
  <c r="AE1191" i="1"/>
  <c r="H1189" i="4" s="1"/>
  <c r="AE1198" i="1"/>
  <c r="H1196" i="4" s="1"/>
  <c r="AF1211" i="1"/>
  <c r="I1209" i="4" s="1"/>
  <c r="AD1236" i="1"/>
  <c r="G1234" i="4" s="1"/>
  <c r="AE1243" i="1"/>
  <c r="H1241" i="4" s="1"/>
  <c r="AD1249" i="1"/>
  <c r="G1247" i="4" s="1"/>
  <c r="AF1262" i="1"/>
  <c r="I1260" i="4" s="1"/>
  <c r="AD1270" i="1"/>
  <c r="G1268" i="4" s="1"/>
  <c r="AD1284" i="1"/>
  <c r="G1282" i="4" s="1"/>
  <c r="AF1291" i="1"/>
  <c r="I1289" i="4" s="1"/>
  <c r="AE1334" i="1"/>
  <c r="H1332" i="4" s="1"/>
  <c r="AD1342" i="1"/>
  <c r="G1340" i="4" s="1"/>
  <c r="AD1356" i="1"/>
  <c r="G1354" i="4" s="1"/>
  <c r="AD1363" i="1"/>
  <c r="G1361" i="4" s="1"/>
  <c r="AD1369" i="1"/>
  <c r="G1367" i="4" s="1"/>
  <c r="AD1389" i="1"/>
  <c r="G1387" i="4" s="1"/>
  <c r="AE1394" i="1"/>
  <c r="H1392" i="4" s="1"/>
  <c r="AD1402" i="1"/>
  <c r="G1400" i="4" s="1"/>
  <c r="AG1420" i="1"/>
  <c r="J1418" i="4" s="1"/>
  <c r="AD1425" i="1"/>
  <c r="G1423" i="4" s="1"/>
  <c r="AG1427" i="1"/>
  <c r="J1425" i="4" s="1"/>
  <c r="AF1430" i="1"/>
  <c r="I1428" i="4" s="1"/>
  <c r="AF1435" i="1"/>
  <c r="AF1441" i="1"/>
  <c r="AF1445" i="1"/>
  <c r="AG1449" i="1"/>
  <c r="AF1452" i="1"/>
  <c r="AF1463" i="1"/>
  <c r="AF1466" i="1"/>
  <c r="AE1471" i="1"/>
  <c r="AG1474" i="1"/>
  <c r="AF1477" i="1"/>
  <c r="AF1481" i="1"/>
  <c r="AG1485" i="1"/>
  <c r="AF1488" i="1"/>
  <c r="AE1492" i="1"/>
  <c r="AD1497" i="1"/>
  <c r="AG1499" i="1"/>
  <c r="AF1507" i="1"/>
  <c r="AG1513" i="1"/>
  <c r="AG1524" i="1"/>
  <c r="AG1528" i="1"/>
  <c r="AE1533" i="1"/>
  <c r="AD1539" i="1"/>
  <c r="AG1543" i="1"/>
  <c r="AD1547" i="1"/>
  <c r="AD1558" i="1"/>
  <c r="AF1569" i="1"/>
  <c r="AD1572" i="1"/>
  <c r="AF1575" i="1"/>
  <c r="AF375" i="1"/>
  <c r="I373" i="4" s="1"/>
  <c r="AF493" i="1"/>
  <c r="I491" i="4" s="1"/>
  <c r="AG595" i="1"/>
  <c r="J593" i="4" s="1"/>
  <c r="AF615" i="1"/>
  <c r="I613" i="4" s="1"/>
  <c r="AE755" i="1"/>
  <c r="H753" i="4" s="1"/>
  <c r="AG901" i="1"/>
  <c r="J899" i="4" s="1"/>
  <c r="AF929" i="1"/>
  <c r="I927" i="4" s="1"/>
  <c r="AD954" i="1"/>
  <c r="G952" i="4" s="1"/>
  <c r="AG992" i="1"/>
  <c r="J990" i="4" s="1"/>
  <c r="AG1061" i="1"/>
  <c r="J1059" i="4" s="1"/>
  <c r="AG1081" i="1"/>
  <c r="J1079" i="4" s="1"/>
  <c r="AD1102" i="1"/>
  <c r="G1100" i="4" s="1"/>
  <c r="AD1128" i="1"/>
  <c r="G1126" i="4" s="1"/>
  <c r="AE1135" i="1"/>
  <c r="H1133" i="4" s="1"/>
  <c r="AE1143" i="1"/>
  <c r="H1141" i="4" s="1"/>
  <c r="AG1164" i="1"/>
  <c r="J1162" i="4" s="1"/>
  <c r="AG1185" i="1"/>
  <c r="J1183" i="4" s="1"/>
  <c r="AG1191" i="1"/>
  <c r="J1189" i="4" s="1"/>
  <c r="AG1198" i="1"/>
  <c r="J1196" i="4" s="1"/>
  <c r="AD1205" i="1"/>
  <c r="G1203" i="4" s="1"/>
  <c r="AD1219" i="1"/>
  <c r="G1217" i="4" s="1"/>
  <c r="AD1225" i="1"/>
  <c r="G1223" i="4" s="1"/>
  <c r="AG1231" i="1"/>
  <c r="J1229" i="4" s="1"/>
  <c r="AG1243" i="1"/>
  <c r="J1241" i="4" s="1"/>
  <c r="AE1249" i="1"/>
  <c r="H1247" i="4" s="1"/>
  <c r="AD1257" i="1"/>
  <c r="G1255" i="4" s="1"/>
  <c r="AG1262" i="1"/>
  <c r="J1260" i="4" s="1"/>
  <c r="AG1270" i="1"/>
  <c r="J1268" i="4" s="1"/>
  <c r="AE1277" i="1"/>
  <c r="H1275" i="4" s="1"/>
  <c r="AG1284" i="1"/>
  <c r="J1282" i="4" s="1"/>
  <c r="AG1334" i="1"/>
  <c r="J1332" i="4" s="1"/>
  <c r="AG1342" i="1"/>
  <c r="J1340" i="4" s="1"/>
  <c r="AE1349" i="1"/>
  <c r="H1347" i="4" s="1"/>
  <c r="AG1356" i="1"/>
  <c r="J1354" i="4" s="1"/>
  <c r="AF1363" i="1"/>
  <c r="I1361" i="4" s="1"/>
  <c r="AF1369" i="1"/>
  <c r="I1367" i="4" s="1"/>
  <c r="AF1389" i="1"/>
  <c r="I1387" i="4" s="1"/>
  <c r="AF1394" i="1"/>
  <c r="I1392" i="4" s="1"/>
  <c r="AG1402" i="1"/>
  <c r="J1400" i="4" s="1"/>
  <c r="AE1409" i="1"/>
  <c r="H1407" i="4" s="1"/>
  <c r="AG1415" i="1"/>
  <c r="J1413" i="4" s="1"/>
  <c r="AE1425" i="1"/>
  <c r="H1423" i="4" s="1"/>
  <c r="AG1435" i="1"/>
  <c r="AD1439" i="1"/>
  <c r="AG1441" i="1"/>
  <c r="AG1452" i="1"/>
  <c r="AE1456" i="1"/>
  <c r="AD1461" i="1"/>
  <c r="AG1463" i="1"/>
  <c r="AF1471" i="1"/>
  <c r="AG1477" i="1"/>
  <c r="AG1488" i="1"/>
  <c r="AG1492" i="1"/>
  <c r="AE1497" i="1"/>
  <c r="AD1503" i="1"/>
  <c r="AG1507" i="1"/>
  <c r="AD1511" i="1"/>
  <c r="AD1522" i="1"/>
  <c r="AF1533" i="1"/>
  <c r="AD1536" i="1"/>
  <c r="AE1547" i="1"/>
  <c r="AE1550" i="1"/>
  <c r="AD1555" i="1"/>
  <c r="AE1558" i="1"/>
  <c r="AD1561" i="1"/>
  <c r="AE1565" i="1"/>
  <c r="AG1569" i="1"/>
  <c r="AF1572" i="1"/>
  <c r="AG1583" i="1"/>
  <c r="AD1587" i="1"/>
  <c r="AF1591" i="1"/>
  <c r="AF1597" i="1"/>
  <c r="AE1601" i="1"/>
  <c r="AF1605" i="1"/>
  <c r="AD1608" i="1"/>
  <c r="AG1615" i="1"/>
  <c r="AD1619" i="1"/>
  <c r="AE1622" i="1"/>
  <c r="AD1627" i="1"/>
  <c r="AE1633" i="1"/>
  <c r="AF1636" i="1"/>
  <c r="AG1639" i="1"/>
  <c r="AD1644" i="1"/>
  <c r="AG1646" i="1"/>
  <c r="AE1650" i="1"/>
  <c r="AG1657" i="1"/>
  <c r="AD1661" i="1"/>
  <c r="AF1668" i="1"/>
  <c r="AD1671" i="1"/>
  <c r="AE1675" i="1"/>
  <c r="AG1679" i="1"/>
  <c r="AD1682" i="1"/>
  <c r="AD1690" i="1"/>
  <c r="AE1693" i="1"/>
  <c r="AE1704" i="1"/>
  <c r="AE1715" i="1"/>
  <c r="AD1718" i="1"/>
  <c r="AD1726" i="1"/>
  <c r="AE1729" i="1"/>
  <c r="AE1740" i="1"/>
  <c r="AE1751" i="1"/>
  <c r="AF1757" i="1"/>
  <c r="AF1771" i="1"/>
  <c r="AD1776" i="1"/>
  <c r="AG1778" i="1"/>
  <c r="AF1782" i="1"/>
  <c r="AD1787" i="1"/>
  <c r="AD1790" i="1"/>
  <c r="AD1798" i="1"/>
  <c r="AF1801" i="1"/>
  <c r="AD1805" i="1"/>
  <c r="AG1812" i="1"/>
  <c r="AF1819" i="1"/>
  <c r="AF893" i="1"/>
  <c r="I891" i="4" s="1"/>
  <c r="AG929" i="1"/>
  <c r="J927" i="4" s="1"/>
  <c r="AF1019" i="1"/>
  <c r="I1017" i="4" s="1"/>
  <c r="AE1048" i="1"/>
  <c r="H1046" i="4" s="1"/>
  <c r="AD1068" i="1"/>
  <c r="G1066" i="4" s="1"/>
  <c r="AE1075" i="1"/>
  <c r="H1073" i="4" s="1"/>
  <c r="AD1089" i="1"/>
  <c r="G1087" i="4" s="1"/>
  <c r="AG1109" i="1"/>
  <c r="J1107" i="4" s="1"/>
  <c r="AD1116" i="1"/>
  <c r="G1114" i="4" s="1"/>
  <c r="AE1123" i="1"/>
  <c r="H1121" i="4" s="1"/>
  <c r="AF1135" i="1"/>
  <c r="I1133" i="4" s="1"/>
  <c r="AF1143" i="1"/>
  <c r="I1141" i="4" s="1"/>
  <c r="AD1150" i="1"/>
  <c r="G1148" i="4" s="1"/>
  <c r="AG1157" i="1"/>
  <c r="J1155" i="4" s="1"/>
  <c r="AG1205" i="1"/>
  <c r="J1203" i="4" s="1"/>
  <c r="AF1219" i="1"/>
  <c r="I1217" i="4" s="1"/>
  <c r="AF1225" i="1"/>
  <c r="I1223" i="4" s="1"/>
  <c r="AG1237" i="1"/>
  <c r="J1235" i="4" s="1"/>
  <c r="AG1249" i="1"/>
  <c r="J1247" i="4" s="1"/>
  <c r="AE1257" i="1"/>
  <c r="H1255" i="4" s="1"/>
  <c r="AF1307" i="1"/>
  <c r="I1305" i="4" s="1"/>
  <c r="AE1321" i="1"/>
  <c r="H1319" i="4" s="1"/>
  <c r="AE1329" i="1"/>
  <c r="H1327" i="4" s="1"/>
  <c r="AG1363" i="1"/>
  <c r="J1361" i="4" s="1"/>
  <c r="AG1369" i="1"/>
  <c r="J1367" i="4" s="1"/>
  <c r="AE1377" i="1"/>
  <c r="H1375" i="4" s="1"/>
  <c r="AF1409" i="1"/>
  <c r="I1407" i="4" s="1"/>
  <c r="AE1421" i="1"/>
  <c r="H1419" i="4" s="1"/>
  <c r="AF1425" i="1"/>
  <c r="I1423" i="4" s="1"/>
  <c r="AD1428" i="1"/>
  <c r="G1426" i="4" s="1"/>
  <c r="AE1439" i="1"/>
  <c r="AD1450" i="1"/>
  <c r="AG1456" i="1"/>
  <c r="AE1461" i="1"/>
  <c r="AD1467" i="1"/>
  <c r="AG1471" i="1"/>
  <c r="AD1475" i="1"/>
  <c r="AD1486" i="1"/>
  <c r="AF1497" i="1"/>
  <c r="AD1500" i="1"/>
  <c r="AE1511" i="1"/>
  <c r="AE1514" i="1"/>
  <c r="AD1519" i="1"/>
  <c r="AE1522" i="1"/>
  <c r="AD1525" i="1"/>
  <c r="AE1529" i="1"/>
  <c r="AG1533" i="1"/>
  <c r="AF1536" i="1"/>
  <c r="AE1540" i="1"/>
  <c r="AF1547" i="1"/>
  <c r="AF1550" i="1"/>
  <c r="AE1555" i="1"/>
  <c r="AG1558" i="1"/>
  <c r="AF1561" i="1"/>
  <c r="AG1572" i="1"/>
  <c r="AE1576" i="1"/>
  <c r="AD1581" i="1"/>
  <c r="AF1587" i="1"/>
  <c r="AG1591" i="1"/>
  <c r="AD1595" i="1"/>
  <c r="AG1597" i="1"/>
  <c r="AF1601" i="1"/>
  <c r="AG1605" i="1"/>
  <c r="AG1608" i="1"/>
  <c r="AE1612" i="1"/>
  <c r="AE1619" i="1"/>
  <c r="AF1622" i="1"/>
  <c r="AE1627" i="1"/>
  <c r="AD1631" i="1"/>
  <c r="AF1633" i="1"/>
  <c r="AE1644" i="1"/>
  <c r="AF1650" i="1"/>
  <c r="AD1655" i="1"/>
  <c r="AE1661" i="1"/>
  <c r="AG1665" i="1"/>
  <c r="AG1668" i="1"/>
  <c r="AF1675" i="1"/>
  <c r="AE1682" i="1"/>
  <c r="AD1686" i="1"/>
  <c r="AE1690" i="1"/>
  <c r="AF1693" i="1"/>
  <c r="AD1697" i="1"/>
  <c r="AF1704" i="1"/>
  <c r="AD1707" i="1"/>
  <c r="AE1711" i="1"/>
  <c r="AG1715" i="1"/>
  <c r="AE1718" i="1"/>
  <c r="AD1722" i="1"/>
  <c r="AE1726" i="1"/>
  <c r="AF1729" i="1"/>
  <c r="AD1733" i="1"/>
  <c r="AF1740" i="1"/>
  <c r="AD1743" i="1"/>
  <c r="AE1747" i="1"/>
  <c r="AG1751" i="1"/>
  <c r="AD1754" i="1"/>
  <c r="AD1762" i="1"/>
  <c r="AD1765" i="1"/>
  <c r="AD1768" i="1"/>
  <c r="AG1771" i="1"/>
  <c r="AE1776" i="1"/>
  <c r="AE1787" i="1"/>
  <c r="AE1790" i="1"/>
  <c r="AD1794" i="1"/>
  <c r="AE1798" i="1"/>
  <c r="AG1801" i="1"/>
  <c r="AE1805" i="1"/>
  <c r="AG1809" i="1"/>
  <c r="AD1816" i="1"/>
  <c r="AG1819" i="1"/>
  <c r="AD670" i="1"/>
  <c r="G668" i="4" s="1"/>
  <c r="AF692" i="1"/>
  <c r="I690" i="4" s="1"/>
  <c r="AE735" i="1"/>
  <c r="H733" i="4" s="1"/>
  <c r="AF822" i="1"/>
  <c r="I820" i="4" s="1"/>
  <c r="AG893" i="1"/>
  <c r="J891" i="4" s="1"/>
  <c r="AG947" i="1"/>
  <c r="J945" i="4" s="1"/>
  <c r="AF1027" i="1"/>
  <c r="I1025" i="4" s="1"/>
  <c r="AD1033" i="1"/>
  <c r="G1031" i="4" s="1"/>
  <c r="AE1056" i="1"/>
  <c r="H1054" i="4" s="1"/>
  <c r="AF1068" i="1"/>
  <c r="I1066" i="4" s="1"/>
  <c r="AG1075" i="1"/>
  <c r="J1073" i="4" s="1"/>
  <c r="AE1116" i="1"/>
  <c r="H1114" i="4" s="1"/>
  <c r="AG1123" i="1"/>
  <c r="J1121" i="4" s="1"/>
  <c r="AF1150" i="1"/>
  <c r="I1148" i="4" s="1"/>
  <c r="AD1165" i="1"/>
  <c r="G1163" i="4" s="1"/>
  <c r="AF1199" i="1"/>
  <c r="I1197" i="4" s="1"/>
  <c r="AF1213" i="1"/>
  <c r="I1211" i="4" s="1"/>
  <c r="AG1257" i="1"/>
  <c r="J1255" i="4" s="1"/>
  <c r="AE1271" i="1"/>
  <c r="H1269" i="4" s="1"/>
  <c r="AE1300" i="1"/>
  <c r="H1298" i="4" s="1"/>
  <c r="AE1315" i="1"/>
  <c r="H1313" i="4" s="1"/>
  <c r="AF1321" i="1"/>
  <c r="I1319" i="4" s="1"/>
  <c r="AF1329" i="1"/>
  <c r="I1327" i="4" s="1"/>
  <c r="AE1343" i="1"/>
  <c r="H1341" i="4" s="1"/>
  <c r="AG1377" i="1"/>
  <c r="J1375" i="4" s="1"/>
  <c r="AE1384" i="1"/>
  <c r="H1382" i="4" s="1"/>
  <c r="AE1403" i="1"/>
  <c r="H1401" i="4" s="1"/>
  <c r="AD1416" i="1"/>
  <c r="G1414" i="4" s="1"/>
  <c r="AF1421" i="1"/>
  <c r="I1419" i="4" s="1"/>
  <c r="AG1425" i="1"/>
  <c r="J1423" i="4" s="1"/>
  <c r="AF1428" i="1"/>
  <c r="I1426" i="4" s="1"/>
  <c r="AE1432" i="1"/>
  <c r="AF1439" i="1"/>
  <c r="AE1442" i="1"/>
  <c r="AD1447" i="1"/>
  <c r="AE1450" i="1"/>
  <c r="AD1453" i="1"/>
  <c r="AF1461" i="1"/>
  <c r="AD1464" i="1"/>
  <c r="AE1475" i="1"/>
  <c r="AE1478" i="1"/>
  <c r="AD1483" i="1"/>
  <c r="AE1486" i="1"/>
  <c r="AD1489" i="1"/>
  <c r="AE1493" i="1"/>
  <c r="AG1497" i="1"/>
  <c r="AF1500" i="1"/>
  <c r="AE1504" i="1"/>
  <c r="AF1511" i="1"/>
  <c r="AF1514" i="1"/>
  <c r="AE1519" i="1"/>
  <c r="AG1522" i="1"/>
  <c r="AF1525" i="1"/>
  <c r="AG1536" i="1"/>
  <c r="AG1540" i="1"/>
  <c r="AD1545" i="1"/>
  <c r="AG1547" i="1"/>
  <c r="AF1555" i="1"/>
  <c r="AG1561" i="1"/>
  <c r="AD1570" i="1"/>
  <c r="AG1576" i="1"/>
  <c r="AF1581" i="1"/>
  <c r="AD1584" i="1"/>
  <c r="AE1595" i="1"/>
  <c r="AG1612" i="1"/>
  <c r="AE1616" i="1"/>
  <c r="AF1619" i="1"/>
  <c r="AF1627" i="1"/>
  <c r="AE1631" i="1"/>
  <c r="AG1633" i="1"/>
  <c r="AD1637" i="1"/>
  <c r="AF1644" i="1"/>
  <c r="AD1647" i="1"/>
  <c r="AE1655" i="1"/>
  <c r="AD1658" i="1"/>
  <c r="AF1661" i="1"/>
  <c r="AD1672" i="1"/>
  <c r="AG1675" i="1"/>
  <c r="AD1680" i="1"/>
  <c r="AF1682" i="1"/>
  <c r="AE1686" i="1"/>
  <c r="AG1693" i="1"/>
  <c r="AE1697" i="1"/>
  <c r="AG1701" i="1"/>
  <c r="AG1704" i="1"/>
  <c r="AF1711" i="1"/>
  <c r="AF1718" i="1"/>
  <c r="AE1722" i="1"/>
  <c r="AG1729" i="1"/>
  <c r="AE1733" i="1"/>
  <c r="AG1737" i="1"/>
  <c r="AG1740" i="1"/>
  <c r="AF1747" i="1"/>
  <c r="AE1754" i="1"/>
  <c r="AD1758" i="1"/>
  <c r="AE1762" i="1"/>
  <c r="AE1765" i="1"/>
  <c r="AF1776" i="1"/>
  <c r="AD1779" i="1"/>
  <c r="AE1783" i="1"/>
  <c r="AF1790" i="1"/>
  <c r="AE1794" i="1"/>
  <c r="AF1805" i="1"/>
  <c r="AE1813" i="1"/>
  <c r="AD587" i="1"/>
  <c r="G585" i="4" s="1"/>
  <c r="AD608" i="1"/>
  <c r="G606" i="4" s="1"/>
  <c r="AD650" i="1"/>
  <c r="G648" i="4" s="1"/>
  <c r="AD790" i="1"/>
  <c r="G788" i="4" s="1"/>
  <c r="AD856" i="1"/>
  <c r="G854" i="4" s="1"/>
  <c r="AG922" i="1"/>
  <c r="J920" i="4" s="1"/>
  <c r="AF940" i="1"/>
  <c r="I938" i="4" s="1"/>
  <c r="AE976" i="1"/>
  <c r="H974" i="4" s="1"/>
  <c r="AD985" i="1"/>
  <c r="G983" i="4" s="1"/>
  <c r="AE1020" i="1"/>
  <c r="H1018" i="4" s="1"/>
  <c r="AG1027" i="1"/>
  <c r="J1025" i="4" s="1"/>
  <c r="AD1042" i="1"/>
  <c r="G1040" i="4" s="1"/>
  <c r="AG1049" i="1"/>
  <c r="J1047" i="4" s="1"/>
  <c r="AF1056" i="1"/>
  <c r="I1054" i="4" s="1"/>
  <c r="AG1063" i="1"/>
  <c r="J1061" i="4" s="1"/>
  <c r="AE1083" i="1"/>
  <c r="H1081" i="4" s="1"/>
  <c r="AD1090" i="1"/>
  <c r="G1088" i="4" s="1"/>
  <c r="AG1097" i="1"/>
  <c r="J1095" i="4" s="1"/>
  <c r="AD1104" i="1"/>
  <c r="G1102" i="4" s="1"/>
  <c r="AG1116" i="1"/>
  <c r="J1114" i="4" s="1"/>
  <c r="AG1158" i="1"/>
  <c r="J1156" i="4" s="1"/>
  <c r="AG1165" i="1"/>
  <c r="J1163" i="4" s="1"/>
  <c r="AD1174" i="1"/>
  <c r="G1172" i="4" s="1"/>
  <c r="AF1181" i="1"/>
  <c r="I1179" i="4" s="1"/>
  <c r="AD1233" i="1"/>
  <c r="G1231" i="4" s="1"/>
  <c r="AE1238" i="1"/>
  <c r="H1236" i="4" s="1"/>
  <c r="AE1286" i="1"/>
  <c r="H1284" i="4" s="1"/>
  <c r="AD1294" i="1"/>
  <c r="G1292" i="4" s="1"/>
  <c r="AD1308" i="1"/>
  <c r="G1306" i="4" s="1"/>
  <c r="AF1315" i="1"/>
  <c r="I1313" i="4" s="1"/>
  <c r="AE1358" i="1"/>
  <c r="H1356" i="4" s="1"/>
  <c r="AE1370" i="1"/>
  <c r="H1368" i="4" s="1"/>
  <c r="AG1384" i="1"/>
  <c r="J1382" i="4" s="1"/>
  <c r="AD1391" i="1"/>
  <c r="G1389" i="4" s="1"/>
  <c r="AF1416" i="1"/>
  <c r="I1414" i="4" s="1"/>
  <c r="AG1428" i="1"/>
  <c r="J1426" i="4" s="1"/>
  <c r="AG1432" i="1"/>
  <c r="AD1437" i="1"/>
  <c r="AG1439" i="1"/>
  <c r="AF1442" i="1"/>
  <c r="AE1447" i="1"/>
  <c r="AG1450" i="1"/>
  <c r="AE1453" i="1"/>
  <c r="AE1457" i="1"/>
  <c r="AG1461" i="1"/>
  <c r="AF1464" i="1"/>
  <c r="AE1468" i="1"/>
  <c r="AF1475" i="1"/>
  <c r="AF1478" i="1"/>
  <c r="AE1483" i="1"/>
  <c r="AG1486" i="1"/>
  <c r="AF1489" i="1"/>
  <c r="AG1500" i="1"/>
  <c r="AG1504" i="1"/>
  <c r="AD1509" i="1"/>
  <c r="AG1511" i="1"/>
  <c r="AF1519" i="1"/>
  <c r="AG1525" i="1"/>
  <c r="AD1534" i="1"/>
  <c r="AE1545" i="1"/>
  <c r="AD1551" i="1"/>
  <c r="AG1555" i="1"/>
  <c r="AD1559" i="1"/>
  <c r="AD1567" i="1"/>
  <c r="AE1570" i="1"/>
  <c r="AD1573" i="1"/>
  <c r="AG1581" i="1"/>
  <c r="AG1584" i="1"/>
  <c r="AE1588" i="1"/>
  <c r="AE1592" i="1"/>
  <c r="AF1595" i="1"/>
  <c r="AE1598" i="1"/>
  <c r="AG1602" i="1"/>
  <c r="AD1606" i="1"/>
  <c r="AD1609" i="1"/>
  <c r="AG1619" i="1"/>
  <c r="AD1623" i="1"/>
  <c r="AG1627" i="1"/>
  <c r="AF1631" i="1"/>
  <c r="AE1637" i="1"/>
  <c r="AG1641" i="1"/>
  <c r="AG1644" i="1"/>
  <c r="AE1651" i="1"/>
  <c r="AG1655" i="1"/>
  <c r="AE1658" i="1"/>
  <c r="AD1666" i="1"/>
  <c r="AE1669" i="1"/>
  <c r="AE1680" i="1"/>
  <c r="AG1682" i="1"/>
  <c r="AF1686" i="1"/>
  <c r="AD1691" i="1"/>
  <c r="AF1697" i="1"/>
  <c r="AD1708" i="1"/>
  <c r="AG1711" i="1"/>
  <c r="AD1716" i="1"/>
  <c r="AG1718" i="1"/>
  <c r="AF1722" i="1"/>
  <c r="AD1727" i="1"/>
  <c r="AF1733" i="1"/>
  <c r="AD1744" i="1"/>
  <c r="AG1747" i="1"/>
  <c r="AD1752" i="1"/>
  <c r="AF1754" i="1"/>
  <c r="AE1758" i="1"/>
  <c r="AF1765" i="1"/>
  <c r="AD1769" i="1"/>
  <c r="AG1776" i="1"/>
  <c r="AF1783" i="1"/>
  <c r="AD1788" i="1"/>
  <c r="AG1790" i="1"/>
  <c r="AF1794" i="1"/>
  <c r="AD1799" i="1"/>
  <c r="AD1802" i="1"/>
  <c r="AD1810" i="1"/>
  <c r="AF1813" i="1"/>
  <c r="AD1817" i="1"/>
  <c r="AE543" i="1"/>
  <c r="H541" i="4" s="1"/>
  <c r="AD554" i="1"/>
  <c r="G552" i="4" s="1"/>
  <c r="AF608" i="1"/>
  <c r="I606" i="4" s="1"/>
  <c r="AD769" i="1"/>
  <c r="G767" i="4" s="1"/>
  <c r="AG886" i="1"/>
  <c r="J884" i="4" s="1"/>
  <c r="AF904" i="1"/>
  <c r="I902" i="4" s="1"/>
  <c r="AG940" i="1"/>
  <c r="J938" i="4" s="1"/>
  <c r="AD967" i="1"/>
  <c r="G965" i="4" s="1"/>
  <c r="AF976" i="1"/>
  <c r="I974" i="4" s="1"/>
  <c r="AE1004" i="1"/>
  <c r="H1002" i="4" s="1"/>
  <c r="AD1012" i="1"/>
  <c r="G1010" i="4" s="1"/>
  <c r="AG1042" i="1"/>
  <c r="J1040" i="4" s="1"/>
  <c r="AE1076" i="1"/>
  <c r="H1074" i="4" s="1"/>
  <c r="AG1083" i="1"/>
  <c r="J1081" i="4" s="1"/>
  <c r="AF1090" i="1"/>
  <c r="I1088" i="4" s="1"/>
  <c r="AF1104" i="1"/>
  <c r="I1102" i="4" s="1"/>
  <c r="AG1111" i="1"/>
  <c r="J1109" i="4" s="1"/>
  <c r="AE1124" i="1"/>
  <c r="H1122" i="4" s="1"/>
  <c r="AF1131" i="1"/>
  <c r="I1129" i="4" s="1"/>
  <c r="AF1174" i="1"/>
  <c r="I1172" i="4" s="1"/>
  <c r="AE1188" i="1"/>
  <c r="H1186" i="4" s="1"/>
  <c r="AE1194" i="1"/>
  <c r="H1192" i="4" s="1"/>
  <c r="AE1207" i="1"/>
  <c r="H1205" i="4" s="1"/>
  <c r="AE1214" i="1"/>
  <c r="H1212" i="4" s="1"/>
  <c r="AG1221" i="1"/>
  <c r="J1219" i="4" s="1"/>
  <c r="AD1227" i="1"/>
  <c r="G1225" i="4" s="1"/>
  <c r="AF1233" i="1"/>
  <c r="I1231" i="4" s="1"/>
  <c r="AF1238" i="1"/>
  <c r="I1236" i="4" s="1"/>
  <c r="AE1246" i="1"/>
  <c r="H1244" i="4" s="1"/>
  <c r="AG1286" i="1"/>
  <c r="J1284" i="4" s="1"/>
  <c r="AG1294" i="1"/>
  <c r="J1292" i="4" s="1"/>
  <c r="AE1301" i="1"/>
  <c r="H1299" i="4" s="1"/>
  <c r="AG1308" i="1"/>
  <c r="J1306" i="4" s="1"/>
  <c r="AE1378" i="1"/>
  <c r="H1376" i="4" s="1"/>
  <c r="AF1391" i="1"/>
  <c r="I1389" i="4" s="1"/>
  <c r="AD1426" i="1"/>
  <c r="G1424" i="4" s="1"/>
  <c r="AE1437" i="1"/>
  <c r="AF1447" i="1"/>
  <c r="AF1453" i="1"/>
  <c r="AG1464" i="1"/>
  <c r="AG1468" i="1"/>
  <c r="AD1473" i="1"/>
  <c r="AG1475" i="1"/>
  <c r="AF1483" i="1"/>
  <c r="AG1489" i="1"/>
  <c r="AD1498" i="1"/>
  <c r="AE1509" i="1"/>
  <c r="AD1515" i="1"/>
  <c r="AG1519" i="1"/>
  <c r="AD1523" i="1"/>
  <c r="AD1531" i="1"/>
  <c r="AE1534" i="1"/>
  <c r="AD1537" i="1"/>
  <c r="AE1541" i="1"/>
  <c r="AF1545" i="1"/>
  <c r="AD1548" i="1"/>
  <c r="AE1559" i="1"/>
  <c r="AE1562" i="1"/>
  <c r="AE1567" i="1"/>
  <c r="AG1570" i="1"/>
  <c r="AF1573" i="1"/>
  <c r="AE1577" i="1"/>
  <c r="AG1588" i="1"/>
  <c r="AG1595" i="1"/>
  <c r="AF1598" i="1"/>
  <c r="AE1606" i="1"/>
  <c r="AE1609" i="1"/>
  <c r="AE1613" i="1"/>
  <c r="AD1617" i="1"/>
  <c r="AG1631" i="1"/>
  <c r="AD1634" i="1"/>
  <c r="AF1637" i="1"/>
  <c r="AD1648" i="1"/>
  <c r="AF1651" i="1"/>
  <c r="AF1658" i="1"/>
  <c r="AD1662" i="1"/>
  <c r="AE1666" i="1"/>
  <c r="AF1669" i="1"/>
  <c r="AD1673" i="1"/>
  <c r="AF1680" i="1"/>
  <c r="AE1691" i="1"/>
  <c r="AD1694" i="1"/>
  <c r="AD1702" i="1"/>
  <c r="AE1705" i="1"/>
  <c r="AE1716" i="1"/>
  <c r="AE1727" i="1"/>
  <c r="AD1730" i="1"/>
  <c r="AD1738" i="1"/>
  <c r="AE1741" i="1"/>
  <c r="AE1752" i="1"/>
  <c r="AG1754" i="1"/>
  <c r="AF1758" i="1"/>
  <c r="AD1763" i="1"/>
  <c r="AG1765" i="1"/>
  <c r="AE1769" i="1"/>
  <c r="AG1773" i="1"/>
  <c r="AD1780" i="1"/>
  <c r="AG1783" i="1"/>
  <c r="AE1788" i="1"/>
  <c r="AE1799" i="1"/>
  <c r="AE1802" i="1"/>
  <c r="AD1806" i="1"/>
  <c r="AE1810" i="1"/>
  <c r="AG1813" i="1"/>
  <c r="AE1817" i="1"/>
  <c r="AF684" i="1"/>
  <c r="I682" i="4" s="1"/>
  <c r="AG705" i="1"/>
  <c r="J703" i="4" s="1"/>
  <c r="AE802" i="1"/>
  <c r="H800" i="4" s="1"/>
  <c r="AE868" i="1"/>
  <c r="H866" i="4" s="1"/>
  <c r="AG904" i="1"/>
  <c r="J902" i="4" s="1"/>
  <c r="AF996" i="1"/>
  <c r="I994" i="4" s="1"/>
  <c r="AF1004" i="1"/>
  <c r="I1002" i="4" s="1"/>
  <c r="AD1028" i="1"/>
  <c r="G1026" i="4" s="1"/>
  <c r="AF1035" i="1"/>
  <c r="I1033" i="4" s="1"/>
  <c r="AG1050" i="1"/>
  <c r="J1048" i="4" s="1"/>
  <c r="AD1064" i="1"/>
  <c r="G1062" i="4" s="1"/>
  <c r="AG1098" i="1"/>
  <c r="J1096" i="4" s="1"/>
  <c r="AG1104" i="1"/>
  <c r="J1102" i="4" s="1"/>
  <c r="AG1131" i="1"/>
  <c r="J1129" i="4" s="1"/>
  <c r="AF1138" i="1"/>
  <c r="I1136" i="4" s="1"/>
  <c r="AD1146" i="1"/>
  <c r="G1144" i="4" s="1"/>
  <c r="AG1152" i="1"/>
  <c r="J1150" i="4" s="1"/>
  <c r="AD1182" i="1"/>
  <c r="G1180" i="4" s="1"/>
  <c r="AF1188" i="1"/>
  <c r="I1186" i="4" s="1"/>
  <c r="AG1194" i="1"/>
  <c r="J1192" i="4" s="1"/>
  <c r="AG1201" i="1"/>
  <c r="J1199" i="4" s="1"/>
  <c r="AG1214" i="1"/>
  <c r="J1212" i="4" s="1"/>
  <c r="AG1246" i="1"/>
  <c r="J1244" i="4" s="1"/>
  <c r="AG1252" i="1"/>
  <c r="J1250" i="4" s="1"/>
  <c r="AE1259" i="1"/>
  <c r="H1257" i="4" s="1"/>
  <c r="AE1273" i="1"/>
  <c r="H1271" i="4" s="1"/>
  <c r="AE1281" i="1"/>
  <c r="H1279" i="4" s="1"/>
  <c r="AF1331" i="1"/>
  <c r="I1329" i="4" s="1"/>
  <c r="AE1345" i="1"/>
  <c r="H1343" i="4" s="1"/>
  <c r="AE1353" i="1"/>
  <c r="H1351" i="4" s="1"/>
  <c r="AD1359" i="1"/>
  <c r="G1357" i="4" s="1"/>
  <c r="AE1366" i="1"/>
  <c r="H1364" i="4" s="1"/>
  <c r="AE1385" i="1"/>
  <c r="H1383" i="4" s="1"/>
  <c r="AG1391" i="1"/>
  <c r="J1389" i="4" s="1"/>
  <c r="AE1405" i="1"/>
  <c r="H1403" i="4" s="1"/>
  <c r="AD1423" i="1"/>
  <c r="G1421" i="4" s="1"/>
  <c r="AE1426" i="1"/>
  <c r="H1424" i="4" s="1"/>
  <c r="AD1429" i="1"/>
  <c r="G1427" i="4" s="1"/>
  <c r="AE1433" i="1"/>
  <c r="AF1437" i="1"/>
  <c r="AD1440" i="1"/>
  <c r="AD1443" i="1"/>
  <c r="AG1447" i="1"/>
  <c r="AD1451" i="1"/>
  <c r="AG1453" i="1"/>
  <c r="AD1462" i="1"/>
  <c r="AE1473" i="1"/>
  <c r="AD1479" i="1"/>
  <c r="AG1483" i="1"/>
  <c r="AD1487" i="1"/>
  <c r="AD1495" i="1"/>
  <c r="AE1498" i="1"/>
  <c r="AD1501" i="1"/>
  <c r="AE1505" i="1"/>
  <c r="AF1509" i="1"/>
  <c r="AD1512" i="1"/>
  <c r="AE1523" i="1"/>
  <c r="AE1526" i="1"/>
  <c r="AE1531" i="1"/>
  <c r="AG1534" i="1"/>
  <c r="AF1537" i="1"/>
  <c r="AF1541" i="1"/>
  <c r="AG1545" i="1"/>
  <c r="AF1548" i="1"/>
  <c r="AE1552" i="1"/>
  <c r="AF1559" i="1"/>
  <c r="AF1562" i="1"/>
  <c r="AF1567" i="1"/>
  <c r="AG1573" i="1"/>
  <c r="AD1582" i="1"/>
  <c r="AD1585" i="1"/>
  <c r="AD1593" i="1"/>
  <c r="AD1603" i="1"/>
  <c r="AG1606" i="1"/>
  <c r="AF1609" i="1"/>
  <c r="AF1613" i="1"/>
  <c r="AF1617" i="1"/>
  <c r="AD1620" i="1"/>
  <c r="AE1624" i="1"/>
  <c r="AE1628" i="1"/>
  <c r="AE1634" i="1"/>
  <c r="AD1642" i="1"/>
  <c r="AE1645" i="1"/>
  <c r="AF1648" i="1"/>
  <c r="AG1651" i="1"/>
  <c r="AD1656" i="1"/>
  <c r="AG1658" i="1"/>
  <c r="AE1662" i="1"/>
  <c r="AG1669" i="1"/>
  <c r="AE1673" i="1"/>
  <c r="AG1677" i="1"/>
  <c r="AG1680" i="1"/>
  <c r="AD1683" i="1"/>
  <c r="AE1687" i="1"/>
  <c r="AG1691" i="1"/>
  <c r="AE1694" i="1"/>
  <c r="AD1698" i="1"/>
  <c r="AE1702" i="1"/>
  <c r="AF1705" i="1"/>
  <c r="AD1709" i="1"/>
  <c r="AF1716" i="1"/>
  <c r="AD1719" i="1"/>
  <c r="AE1723" i="1"/>
  <c r="AG1727" i="1"/>
  <c r="AE1730" i="1"/>
  <c r="AD1734" i="1"/>
  <c r="AE1738" i="1"/>
  <c r="AF1741" i="1"/>
  <c r="AD1745" i="1"/>
  <c r="AF1752" i="1"/>
  <c r="AE1763" i="1"/>
  <c r="AF1769" i="1"/>
  <c r="AE1777" i="1"/>
  <c r="AF1788" i="1"/>
  <c r="AD1791" i="1"/>
  <c r="AE1795" i="1"/>
  <c r="AF1802" i="1"/>
  <c r="AE1806" i="1"/>
  <c r="AF1817" i="1"/>
  <c r="AD600" i="1"/>
  <c r="G598" i="4" s="1"/>
  <c r="AD643" i="1"/>
  <c r="G641" i="4" s="1"/>
  <c r="AE663" i="1"/>
  <c r="H661" i="4" s="1"/>
  <c r="AF728" i="1"/>
  <c r="I726" i="4" s="1"/>
  <c r="AG868" i="1"/>
  <c r="J866" i="4" s="1"/>
  <c r="AG915" i="1"/>
  <c r="J913" i="4" s="1"/>
  <c r="AF933" i="1"/>
  <c r="I931" i="4" s="1"/>
  <c r="AG996" i="1"/>
  <c r="J994" i="4" s="1"/>
  <c r="AE1064" i="1"/>
  <c r="H1062" i="4" s="1"/>
  <c r="AE1071" i="1"/>
  <c r="H1069" i="4" s="1"/>
  <c r="AD1112" i="1"/>
  <c r="G1110" i="4" s="1"/>
  <c r="AG1146" i="1"/>
  <c r="J1144" i="4" s="1"/>
  <c r="AE1160" i="1"/>
  <c r="H1158" i="4" s="1"/>
  <c r="AF1182" i="1"/>
  <c r="I1180" i="4" s="1"/>
  <c r="AD1222" i="1"/>
  <c r="G1220" i="4" s="1"/>
  <c r="AE1228" i="1"/>
  <c r="H1226" i="4" s="1"/>
  <c r="AG1259" i="1"/>
  <c r="J1257" i="4" s="1"/>
  <c r="AE1267" i="1"/>
  <c r="H1265" i="4" s="1"/>
  <c r="AF1273" i="1"/>
  <c r="I1271" i="4" s="1"/>
  <c r="AF1281" i="1"/>
  <c r="I1279" i="4" s="1"/>
  <c r="AE1295" i="1"/>
  <c r="H1293" i="4" s="1"/>
  <c r="AE1324" i="1"/>
  <c r="H1322" i="4" s="1"/>
  <c r="AE1339" i="1"/>
  <c r="H1337" i="4" s="1"/>
  <c r="AF1345" i="1"/>
  <c r="I1343" i="4" s="1"/>
  <c r="AF1353" i="1"/>
  <c r="I1351" i="4" s="1"/>
  <c r="AE1399" i="1"/>
  <c r="H1397" i="4" s="1"/>
  <c r="AF1405" i="1"/>
  <c r="I1403" i="4" s="1"/>
  <c r="AD1413" i="1"/>
  <c r="G1411" i="4" s="1"/>
  <c r="AF1418" i="1"/>
  <c r="I1416" i="4" s="1"/>
  <c r="AE1423" i="1"/>
  <c r="H1421" i="4" s="1"/>
  <c r="AG1426" i="1"/>
  <c r="J1424" i="4" s="1"/>
  <c r="AE1429" i="1"/>
  <c r="H1427" i="4" s="1"/>
  <c r="AF1433" i="1"/>
  <c r="AG1437" i="1"/>
  <c r="AF1440" i="1"/>
  <c r="AE1451" i="1"/>
  <c r="AD1459" i="1"/>
  <c r="AE1462" i="1"/>
  <c r="AD1465" i="1"/>
  <c r="AE1469" i="1"/>
  <c r="AF1473" i="1"/>
  <c r="AD1476" i="1"/>
  <c r="AE1487" i="1"/>
  <c r="AE1490" i="1"/>
  <c r="AE1495" i="1"/>
  <c r="AG1498" i="1"/>
  <c r="AF1501" i="1"/>
  <c r="AF1505" i="1"/>
  <c r="AG1509" i="1"/>
  <c r="AF1512" i="1"/>
  <c r="AE1516" i="1"/>
  <c r="AF1523" i="1"/>
  <c r="AF1526" i="1"/>
  <c r="AF1531" i="1"/>
  <c r="AG1537" i="1"/>
  <c r="AG1548" i="1"/>
  <c r="AG1552" i="1"/>
  <c r="AD1557" i="1"/>
  <c r="AG1559" i="1"/>
  <c r="AG1567" i="1"/>
  <c r="AD1571" i="1"/>
  <c r="AG643" i="1"/>
  <c r="J641" i="4" s="1"/>
  <c r="AG718" i="1"/>
  <c r="J716" i="4" s="1"/>
  <c r="AE783" i="1"/>
  <c r="H781" i="4" s="1"/>
  <c r="AE849" i="1"/>
  <c r="H847" i="4" s="1"/>
  <c r="AG879" i="1"/>
  <c r="J877" i="4" s="1"/>
  <c r="AF951" i="1"/>
  <c r="I949" i="4" s="1"/>
  <c r="AF1023" i="1"/>
  <c r="I1021" i="4" s="1"/>
  <c r="AF1044" i="1"/>
  <c r="I1042" i="4" s="1"/>
  <c r="AG1059" i="1"/>
  <c r="J1057" i="4" s="1"/>
  <c r="AG1064" i="1"/>
  <c r="J1062" i="4" s="1"/>
  <c r="AG1071" i="1"/>
  <c r="J1069" i="4" s="1"/>
  <c r="AF1078" i="1"/>
  <c r="I1076" i="4" s="1"/>
  <c r="AG1092" i="1"/>
  <c r="J1090" i="4" s="1"/>
  <c r="AD1105" i="1"/>
  <c r="G1103" i="4" s="1"/>
  <c r="AE1112" i="1"/>
  <c r="H1110" i="4" s="1"/>
  <c r="AF1119" i="1"/>
  <c r="I1117" i="4" s="1"/>
  <c r="AG1126" i="1"/>
  <c r="J1124" i="4" s="1"/>
  <c r="AD1132" i="1"/>
  <c r="G1130" i="4" s="1"/>
  <c r="AE1139" i="1"/>
  <c r="H1137" i="4" s="1"/>
  <c r="AD1153" i="1"/>
  <c r="G1151" i="4" s="1"/>
  <c r="AG1202" i="1"/>
  <c r="J1200" i="4" s="1"/>
  <c r="AE1209" i="1"/>
  <c r="H1207" i="4" s="1"/>
  <c r="AE1222" i="1"/>
  <c r="H1220" i="4" s="1"/>
  <c r="AG1228" i="1"/>
  <c r="J1226" i="4" s="1"/>
  <c r="AD1235" i="1"/>
  <c r="G1233" i="4" s="1"/>
  <c r="AD1247" i="1"/>
  <c r="G1245" i="4" s="1"/>
  <c r="AF1253" i="1"/>
  <c r="I1251" i="4" s="1"/>
  <c r="AF1267" i="1"/>
  <c r="I1265" i="4" s="1"/>
  <c r="AE1310" i="1"/>
  <c r="H1308" i="4" s="1"/>
  <c r="AD1318" i="1"/>
  <c r="G1316" i="4" s="1"/>
  <c r="AD1332" i="1"/>
  <c r="G1330" i="4" s="1"/>
  <c r="AF1339" i="1"/>
  <c r="I1337" i="4" s="1"/>
  <c r="AE1360" i="1"/>
  <c r="H1358" i="4" s="1"/>
  <c r="AD1367" i="1"/>
  <c r="G1365" i="4" s="1"/>
  <c r="AF1373" i="1"/>
  <c r="I1371" i="4" s="1"/>
  <c r="AF1380" i="1"/>
  <c r="I1378" i="4" s="1"/>
  <c r="AD1392" i="1"/>
  <c r="G1390" i="4" s="1"/>
  <c r="AF1399" i="1"/>
  <c r="I1397" i="4" s="1"/>
  <c r="AF1413" i="1"/>
  <c r="I1411" i="4" s="1"/>
  <c r="AF1423" i="1"/>
  <c r="I1421" i="4" s="1"/>
  <c r="AF1429" i="1"/>
  <c r="I1427" i="4" s="1"/>
  <c r="AG1440" i="1"/>
  <c r="AE1444" i="1"/>
  <c r="AF1451" i="1"/>
  <c r="AE1454" i="1"/>
  <c r="AE1459" i="1"/>
  <c r="AG1462" i="1"/>
  <c r="AF1465" i="1"/>
  <c r="AF1469" i="1"/>
  <c r="AG1473" i="1"/>
  <c r="AF1476" i="1"/>
  <c r="AE1480" i="1"/>
  <c r="AF1487" i="1"/>
  <c r="AF1490" i="1"/>
  <c r="AF1495" i="1"/>
  <c r="AG1501" i="1"/>
  <c r="AG1512" i="1"/>
  <c r="AG1516" i="1"/>
  <c r="AD1521" i="1"/>
  <c r="AG1523" i="1"/>
  <c r="AG1531" i="1"/>
  <c r="AD1535" i="1"/>
  <c r="AD1546" i="1"/>
  <c r="AE1557" i="1"/>
  <c r="AD1563" i="1"/>
  <c r="AE1571" i="1"/>
  <c r="AE1574" i="1"/>
  <c r="AD1579" i="1"/>
  <c r="AG1582" i="1"/>
  <c r="AG1585" i="1"/>
  <c r="AF1589" i="1"/>
  <c r="AG1593" i="1"/>
  <c r="AF1596" i="1"/>
  <c r="AF1599" i="1"/>
  <c r="AF1603" i="1"/>
  <c r="AD1607" i="1"/>
  <c r="AG1614" i="1"/>
  <c r="AD1621" i="1"/>
  <c r="AD1629" i="1"/>
  <c r="AE1632" i="1"/>
  <c r="AG1634" i="1"/>
  <c r="AE1638" i="1"/>
  <c r="AG1645" i="1"/>
  <c r="AD1649" i="1"/>
  <c r="AF1656" i="1"/>
  <c r="AD1659" i="1"/>
  <c r="AE1667" i="1"/>
  <c r="AD1670" i="1"/>
  <c r="AD1678" i="1"/>
  <c r="AD1681" i="1"/>
  <c r="AD1684" i="1"/>
  <c r="AG1687" i="1"/>
  <c r="AD1692" i="1"/>
  <c r="AG1694" i="1"/>
  <c r="AF1698" i="1"/>
  <c r="AD1703" i="1"/>
  <c r="AF1709" i="1"/>
  <c r="AD1720" i="1"/>
  <c r="AG1723" i="1"/>
  <c r="AD1728" i="1"/>
  <c r="AG1730" i="1"/>
  <c r="AF1734" i="1"/>
  <c r="AD1739" i="1"/>
  <c r="AF1745" i="1"/>
  <c r="AF1759" i="1"/>
  <c r="AE1766" i="1"/>
  <c r="AD1770" i="1"/>
  <c r="AE1774" i="1"/>
  <c r="AG1777" i="1"/>
  <c r="AE1781" i="1"/>
  <c r="AG1785" i="1"/>
  <c r="AD1792" i="1"/>
  <c r="AG1795" i="1"/>
  <c r="AE1800" i="1"/>
  <c r="AE1811" i="1"/>
  <c r="AE1814" i="1"/>
  <c r="AD1818" i="1"/>
  <c r="AF1806" i="1"/>
  <c r="AD1800" i="1"/>
  <c r="AE1792" i="1"/>
  <c r="AF1777" i="1"/>
  <c r="AE1770" i="1"/>
  <c r="AE1764" i="1"/>
  <c r="AG1752" i="1"/>
  <c r="AD1746" i="1"/>
  <c r="AD1740" i="1"/>
  <c r="AD1706" i="1"/>
  <c r="AG1699" i="1"/>
  <c r="AD1693" i="1"/>
  <c r="AD1685" i="1"/>
  <c r="AF1678" i="1"/>
  <c r="AE1670" i="1"/>
  <c r="AE1663" i="1"/>
  <c r="AE1656" i="1"/>
  <c r="AE1649" i="1"/>
  <c r="AD1630" i="1"/>
  <c r="AG1609" i="1"/>
  <c r="AE1564" i="1"/>
  <c r="AG1487" i="1"/>
  <c r="AG1459" i="1"/>
  <c r="AD1326" i="1"/>
  <c r="G1324" i="4" s="1"/>
  <c r="AE1305" i="1"/>
  <c r="H1303" i="4" s="1"/>
  <c r="AF1283" i="1"/>
  <c r="I1281" i="4" s="1"/>
  <c r="AF1260" i="1"/>
  <c r="I1258" i="4" s="1"/>
  <c r="AF1217" i="1"/>
  <c r="I1215" i="4" s="1"/>
  <c r="AD1184" i="1"/>
  <c r="G1182" i="4" s="1"/>
  <c r="AE1153" i="1"/>
  <c r="H1151" i="4" s="1"/>
  <c r="AD1120" i="1"/>
  <c r="G1118" i="4" s="1"/>
  <c r="AD1087" i="1"/>
  <c r="G1085" i="4" s="1"/>
  <c r="AD1045" i="1"/>
  <c r="G1043" i="4" s="1"/>
  <c r="AF1818" i="1"/>
  <c r="AF1812" i="1"/>
  <c r="AG1770" i="1"/>
  <c r="AD1764" i="1"/>
  <c r="AE1757" i="1"/>
  <c r="AG1746" i="1"/>
  <c r="AF1726" i="1"/>
  <c r="AF1717" i="1"/>
  <c r="AE1699" i="1"/>
  <c r="AF1692" i="1"/>
  <c r="AG1685" i="1"/>
  <c r="AG1649" i="1"/>
  <c r="AE1642" i="1"/>
  <c r="AD1635" i="1"/>
  <c r="AF1615" i="1"/>
  <c r="AD1564" i="1"/>
  <c r="AD1513" i="1"/>
  <c r="AF1459" i="1"/>
  <c r="AD1441" i="1"/>
  <c r="AE1325" i="1"/>
  <c r="H1323" i="4" s="1"/>
  <c r="AG1248" i="1"/>
  <c r="J1246" i="4" s="1"/>
  <c r="AF1120" i="1"/>
  <c r="I1118" i="4" s="1"/>
  <c r="AG1086" i="1"/>
  <c r="J1084" i="4" s="1"/>
  <c r="AE1045" i="1"/>
  <c r="H1043" i="4" s="1"/>
  <c r="AD990" i="1"/>
  <c r="G988" i="4" s="1"/>
  <c r="AD697" i="1"/>
  <c r="G695" i="4" s="1"/>
  <c r="AE1818" i="1"/>
  <c r="AD1812" i="1"/>
  <c r="AG1805" i="1"/>
  <c r="AE1782" i="1"/>
  <c r="AG1757" i="1"/>
  <c r="AD1751" i="1"/>
  <c r="AE1745" i="1"/>
  <c r="AG1739" i="1"/>
  <c r="AD1732" i="1"/>
  <c r="AD1725" i="1"/>
  <c r="AE1717" i="1"/>
  <c r="AG1705" i="1"/>
  <c r="AD1699" i="1"/>
  <c r="AE1692" i="1"/>
  <c r="AE1684" i="1"/>
  <c r="AF1662" i="1"/>
  <c r="AE1635" i="1"/>
  <c r="AG1629" i="1"/>
  <c r="AF1621" i="1"/>
  <c r="AD1615" i="1"/>
  <c r="AE1608" i="1"/>
  <c r="AG1594" i="1"/>
  <c r="AE1580" i="1"/>
  <c r="AG1571" i="1"/>
  <c r="AF1521" i="1"/>
  <c r="AE1513" i="1"/>
  <c r="AG1495" i="1"/>
  <c r="AE1477" i="1"/>
  <c r="AE1449" i="1"/>
  <c r="AG1423" i="1"/>
  <c r="J1421" i="4" s="1"/>
  <c r="AG1413" i="1"/>
  <c r="J1411" i="4" s="1"/>
  <c r="AG1380" i="1"/>
  <c r="J1378" i="4" s="1"/>
  <c r="AF1162" i="1"/>
  <c r="I1160" i="4" s="1"/>
  <c r="AG1023" i="1"/>
  <c r="J1021" i="4" s="1"/>
  <c r="AG989" i="1"/>
  <c r="J987" i="4" s="1"/>
  <c r="AE944" i="1"/>
  <c r="H942" i="4" s="1"/>
  <c r="AD898" i="1"/>
  <c r="G896" i="4" s="1"/>
  <c r="AD1807" i="1"/>
  <c r="AE1803" i="1"/>
  <c r="AD1789" i="1"/>
  <c r="AE1756" i="1"/>
  <c r="AF1750" i="1"/>
  <c r="AD1717" i="1"/>
  <c r="AF1714" i="1"/>
  <c r="AG1674" i="1"/>
  <c r="AD1663" i="1"/>
  <c r="AD1653" i="1"/>
  <c r="AF1643" i="1"/>
  <c r="AE1625" i="1"/>
  <c r="AF1618" i="1"/>
  <c r="AE1560" i="1"/>
  <c r="AE1549" i="1"/>
  <c r="AD1538" i="1"/>
  <c r="AF1510" i="1"/>
  <c r="AD1506" i="1"/>
  <c r="AF1438" i="1"/>
  <c r="AD1434" i="1"/>
  <c r="AD1406" i="1"/>
  <c r="G1404" i="4" s="1"/>
  <c r="AF1354" i="1"/>
  <c r="I1352" i="4" s="1"/>
  <c r="AD1346" i="1"/>
  <c r="G1344" i="4" s="1"/>
  <c r="AG1325" i="1"/>
  <c r="J1323" i="4" s="1"/>
  <c r="AF1282" i="1"/>
  <c r="I1280" i="4" s="1"/>
  <c r="AD1274" i="1"/>
  <c r="G1272" i="4" s="1"/>
  <c r="AE1260" i="1"/>
  <c r="H1258" i="4" s="1"/>
  <c r="AF1177" i="1"/>
  <c r="I1175" i="4" s="1"/>
  <c r="AF1169" i="1"/>
  <c r="I1167" i="4" s="1"/>
  <c r="AD1161" i="1"/>
  <c r="G1159" i="4" s="1"/>
  <c r="AD1147" i="1"/>
  <c r="G1145" i="4" s="1"/>
  <c r="AD1086" i="1"/>
  <c r="G1084" i="4" s="1"/>
  <c r="AF961" i="1"/>
  <c r="I959" i="4" s="1"/>
  <c r="AD580" i="1"/>
  <c r="G578" i="4" s="1"/>
  <c r="AD418" i="1"/>
  <c r="G416" i="4" s="1"/>
  <c r="AD1574" i="1"/>
  <c r="AF1546" i="1"/>
  <c r="AD1542" i="1"/>
  <c r="AD1480" i="1"/>
  <c r="AD1454" i="1"/>
  <c r="AD1444" i="1"/>
  <c r="AE1380" i="1"/>
  <c r="H1378" i="4" s="1"/>
  <c r="AG1373" i="1"/>
  <c r="J1371" i="4" s="1"/>
  <c r="AE1332" i="1"/>
  <c r="H1330" i="4" s="1"/>
  <c r="AD1288" i="1"/>
  <c r="G1286" i="4" s="1"/>
  <c r="AG1253" i="1"/>
  <c r="J1251" i="4" s="1"/>
  <c r="AE1202" i="1"/>
  <c r="H1200" i="4" s="1"/>
  <c r="AE1189" i="1"/>
  <c r="H1187" i="4" s="1"/>
  <c r="AG1139" i="1"/>
  <c r="J1137" i="4" s="1"/>
  <c r="AD1023" i="1"/>
  <c r="G1021" i="4" s="1"/>
  <c r="AG837" i="1"/>
  <c r="J835" i="4" s="1"/>
  <c r="AF1811" i="1"/>
  <c r="AD1784" i="1"/>
  <c r="AG1781" i="1"/>
  <c r="AF1774" i="1"/>
  <c r="AD1759" i="1"/>
  <c r="AE1755" i="1"/>
  <c r="AD1749" i="1"/>
  <c r="AD1713" i="1"/>
  <c r="AF1667" i="1"/>
  <c r="AG1638" i="1"/>
  <c r="AE1596" i="1"/>
  <c r="AD1516" i="1"/>
  <c r="AD1490" i="1"/>
  <c r="AE1476" i="1"/>
  <c r="AE1465" i="1"/>
  <c r="AD1302" i="1"/>
  <c r="G1300" i="4" s="1"/>
  <c r="AD1239" i="1"/>
  <c r="G1237" i="4" s="1"/>
  <c r="AE1175" i="1"/>
  <c r="H1173" i="4" s="1"/>
  <c r="AD1167" i="1"/>
  <c r="G1165" i="4" s="1"/>
  <c r="AG1091" i="1"/>
  <c r="J1089" i="4" s="1"/>
  <c r="AG968" i="1"/>
  <c r="J966" i="4" s="1"/>
  <c r="AD887" i="1"/>
  <c r="G885" i="4" s="1"/>
  <c r="AG555" i="1"/>
  <c r="J553" i="4" s="1"/>
  <c r="AD1795" i="1"/>
  <c r="AE1791" i="1"/>
  <c r="AD1777" i="1"/>
  <c r="AD1748" i="1"/>
  <c r="AG1745" i="1"/>
  <c r="AG1734" i="1"/>
  <c r="AD1723" i="1"/>
  <c r="AE1719" i="1"/>
  <c r="AD1712" i="1"/>
  <c r="AG1709" i="1"/>
  <c r="AG1698" i="1"/>
  <c r="AD1687" i="1"/>
  <c r="AE1683" i="1"/>
  <c r="AD1677" i="1"/>
  <c r="AD1645" i="1"/>
  <c r="AF1642" i="1"/>
  <c r="AG1628" i="1"/>
  <c r="AD1624" i="1"/>
  <c r="AE1620" i="1"/>
  <c r="AE1593" i="1"/>
  <c r="AE1585" i="1"/>
  <c r="AF1582" i="1"/>
  <c r="AD1552" i="1"/>
  <c r="AD1526" i="1"/>
  <c r="AE1512" i="1"/>
  <c r="AE1501" i="1"/>
  <c r="AF1462" i="1"/>
  <c r="AD1458" i="1"/>
  <c r="AE1440" i="1"/>
  <c r="AD1252" i="1"/>
  <c r="G1250" i="4" s="1"/>
  <c r="AD1201" i="1"/>
  <c r="G1199" i="4" s="1"/>
  <c r="AD1098" i="1"/>
  <c r="G1096" i="4" s="1"/>
  <c r="AE1057" i="1"/>
  <c r="H1055" i="4" s="1"/>
  <c r="AD1050" i="1"/>
  <c r="G1048" i="4" s="1"/>
  <c r="AD1035" i="1"/>
  <c r="G1033" i="4" s="1"/>
  <c r="AD923" i="1"/>
  <c r="G921" i="4" s="1"/>
  <c r="AF877" i="1"/>
  <c r="I875" i="4" s="1"/>
  <c r="AE588" i="1"/>
  <c r="H586" i="4" s="1"/>
  <c r="AG1806" i="1"/>
  <c r="AE1780" i="1"/>
  <c r="AD1773" i="1"/>
  <c r="AF1763" i="1"/>
  <c r="AD1741" i="1"/>
  <c r="AF1738" i="1"/>
  <c r="AD1705" i="1"/>
  <c r="AF1702" i="1"/>
  <c r="AD1676" i="1"/>
  <c r="AG1673" i="1"/>
  <c r="AG1662" i="1"/>
  <c r="AE1648" i="1"/>
  <c r="AE1617" i="1"/>
  <c r="AF1577" i="1"/>
  <c r="AD1562" i="1"/>
  <c r="AE1548" i="1"/>
  <c r="AE1537" i="1"/>
  <c r="AF1498" i="1"/>
  <c r="AD1494" i="1"/>
  <c r="AF1426" i="1"/>
  <c r="I1424" i="4" s="1"/>
  <c r="AD1422" i="1"/>
  <c r="G1420" i="4" s="1"/>
  <c r="AF1378" i="1"/>
  <c r="I1376" i="4" s="1"/>
  <c r="AF1330" i="1"/>
  <c r="I1328" i="4" s="1"/>
  <c r="AD1322" i="1"/>
  <c r="G1320" i="4" s="1"/>
  <c r="AG1301" i="1"/>
  <c r="J1299" i="4" s="1"/>
  <c r="AF1246" i="1"/>
  <c r="I1244" i="4" s="1"/>
  <c r="AD1214" i="1"/>
  <c r="G1212" i="4" s="1"/>
  <c r="AD1131" i="1"/>
  <c r="G1129" i="4" s="1"/>
  <c r="AG1124" i="1"/>
  <c r="J1122" i="4" s="1"/>
  <c r="AF1012" i="1"/>
  <c r="I1010" i="4" s="1"/>
  <c r="AF913" i="1"/>
  <c r="I911" i="4" s="1"/>
  <c r="AD629" i="1"/>
  <c r="G627" i="4" s="1"/>
  <c r="AG33" i="1"/>
  <c r="J31" i="4" s="1"/>
  <c r="AG1817" i="1"/>
  <c r="AF1810" i="1"/>
  <c r="AF1799" i="1"/>
  <c r="AD1772" i="1"/>
  <c r="AG1769" i="1"/>
  <c r="AE1744" i="1"/>
  <c r="AF1727" i="1"/>
  <c r="AE1708" i="1"/>
  <c r="AF1691" i="1"/>
  <c r="AD1669" i="1"/>
  <c r="AF1666" i="1"/>
  <c r="AD1651" i="1"/>
  <c r="AD1641" i="1"/>
  <c r="AF1606" i="1"/>
  <c r="AD1588" i="1"/>
  <c r="AE1573" i="1"/>
  <c r="AF1534" i="1"/>
  <c r="AD1530" i="1"/>
  <c r="AD1468" i="1"/>
  <c r="AD1396" i="1"/>
  <c r="G1394" i="4" s="1"/>
  <c r="AD1336" i="1"/>
  <c r="G1334" i="4" s="1"/>
  <c r="AE1308" i="1"/>
  <c r="H1306" i="4" s="1"/>
  <c r="AD1264" i="1"/>
  <c r="G1262" i="4" s="1"/>
  <c r="AE1158" i="1"/>
  <c r="H1156" i="4" s="1"/>
  <c r="AF1144" i="1"/>
  <c r="I1142" i="4" s="1"/>
  <c r="AG1136" i="1"/>
  <c r="J1134" i="4" s="1"/>
  <c r="AD1097" i="1"/>
  <c r="G1095" i="4" s="1"/>
  <c r="AD1083" i="1"/>
  <c r="G1081" i="4" s="1"/>
  <c r="AE1042" i="1"/>
  <c r="H1040" i="4" s="1"/>
  <c r="AE985" i="1"/>
  <c r="H983" i="4" s="1"/>
  <c r="AD1813" i="1"/>
  <c r="AD1783" i="1"/>
  <c r="AE1779" i="1"/>
  <c r="AG1758" i="1"/>
  <c r="AD1737" i="1"/>
  <c r="AD1701" i="1"/>
  <c r="AE1672" i="1"/>
  <c r="AE1647" i="1"/>
  <c r="AD1640" i="1"/>
  <c r="AG1637" i="1"/>
  <c r="AE1584" i="1"/>
  <c r="AF1570" i="1"/>
  <c r="AD1504" i="1"/>
  <c r="AE1489" i="1"/>
  <c r="AD1478" i="1"/>
  <c r="AE1464" i="1"/>
  <c r="AD1442" i="1"/>
  <c r="AD1432" i="1"/>
  <c r="AD1350" i="1"/>
  <c r="G1348" i="4" s="1"/>
  <c r="AD1278" i="1"/>
  <c r="G1276" i="4" s="1"/>
  <c r="AD1199" i="1"/>
  <c r="G1197" i="4" s="1"/>
  <c r="AD1173" i="1"/>
  <c r="G1171" i="4" s="1"/>
  <c r="AD1027" i="1"/>
  <c r="G1025" i="4" s="1"/>
  <c r="AF902" i="1"/>
  <c r="I900" i="4" s="1"/>
  <c r="AD713" i="1"/>
  <c r="G711" i="4" s="1"/>
  <c r="AE1816" i="1"/>
  <c r="AD1809" i="1"/>
  <c r="AG1794" i="1"/>
  <c r="AE1768" i="1"/>
  <c r="AF1762" i="1"/>
  <c r="AD1747" i="1"/>
  <c r="AE1743" i="1"/>
  <c r="AD1736" i="1"/>
  <c r="AG1733" i="1"/>
  <c r="AG1722" i="1"/>
  <c r="AD1711" i="1"/>
  <c r="AE1707" i="1"/>
  <c r="AD1700" i="1"/>
  <c r="AG1697" i="1"/>
  <c r="AG1686" i="1"/>
  <c r="AD1665" i="1"/>
  <c r="AF1655" i="1"/>
  <c r="AD1612" i="1"/>
  <c r="AE1581" i="1"/>
  <c r="AD1576" i="1"/>
  <c r="AD1540" i="1"/>
  <c r="AE1525" i="1"/>
  <c r="AD1514" i="1"/>
  <c r="AE1500" i="1"/>
  <c r="AF1486" i="1"/>
  <c r="AD1482" i="1"/>
  <c r="AF1450" i="1"/>
  <c r="AD1446" i="1"/>
  <c r="AD1431" i="1"/>
  <c r="AE1428" i="1"/>
  <c r="H1426" i="4" s="1"/>
  <c r="AG1421" i="1"/>
  <c r="J1419" i="4" s="1"/>
  <c r="AE1212" i="1"/>
  <c r="H1210" i="4" s="1"/>
  <c r="AD1157" i="1"/>
  <c r="G1155" i="4" s="1"/>
  <c r="AD1109" i="1"/>
  <c r="G1107" i="4" s="1"/>
  <c r="AD1095" i="1"/>
  <c r="G1093" i="4" s="1"/>
  <c r="AG1019" i="1"/>
  <c r="J1017" i="4" s="1"/>
  <c r="AD1001" i="1"/>
  <c r="G999" i="4" s="1"/>
  <c r="AF938" i="1"/>
  <c r="I936" i="4" s="1"/>
  <c r="AD883" i="1"/>
  <c r="G881" i="4" s="1"/>
  <c r="AG873" i="1"/>
  <c r="J871" i="4" s="1"/>
  <c r="AD809" i="1"/>
  <c r="G807" i="4" s="1"/>
  <c r="AD573" i="1"/>
  <c r="G571" i="4" s="1"/>
  <c r="AE1561" i="1"/>
  <c r="AD1550" i="1"/>
  <c r="AE1536" i="1"/>
  <c r="AF1522" i="1"/>
  <c r="AD1518" i="1"/>
  <c r="AD1456" i="1"/>
  <c r="AG1349" i="1"/>
  <c r="J1347" i="4" s="1"/>
  <c r="AF1306" i="1"/>
  <c r="I1304" i="4" s="1"/>
  <c r="AD1298" i="1"/>
  <c r="G1296" i="4" s="1"/>
  <c r="AG1277" i="1"/>
  <c r="J1275" i="4" s="1"/>
  <c r="AF1205" i="1"/>
  <c r="I1203" i="4" s="1"/>
  <c r="AE1054" i="1"/>
  <c r="H1052" i="4" s="1"/>
  <c r="AG909" i="1"/>
  <c r="J907" i="4" s="1"/>
  <c r="AD776" i="1"/>
  <c r="G774" i="4" s="1"/>
  <c r="AD1819" i="1"/>
  <c r="AE1815" i="1"/>
  <c r="AD1801" i="1"/>
  <c r="AD1771" i="1"/>
  <c r="AE1767" i="1"/>
  <c r="AD1761" i="1"/>
  <c r="AF1751" i="1"/>
  <c r="AE1732" i="1"/>
  <c r="AF1715" i="1"/>
  <c r="AE1696" i="1"/>
  <c r="AG1650" i="1"/>
  <c r="AE1636" i="1"/>
  <c r="AF1630" i="1"/>
  <c r="AF1611" i="1"/>
  <c r="AE1605" i="1"/>
  <c r="AE1572" i="1"/>
  <c r="AF1558" i="1"/>
  <c r="AD1554" i="1"/>
  <c r="AD1492" i="1"/>
  <c r="AE1356" i="1"/>
  <c r="H1354" i="4" s="1"/>
  <c r="AD1312" i="1"/>
  <c r="G1310" i="4" s="1"/>
  <c r="AE1284" i="1"/>
  <c r="H1282" i="4" s="1"/>
  <c r="AD1262" i="1"/>
  <c r="G1260" i="4" s="1"/>
  <c r="AD1121" i="1"/>
  <c r="G1119" i="4" s="1"/>
  <c r="AF1108" i="1"/>
  <c r="I1106" i="4" s="1"/>
  <c r="AD1039" i="1"/>
  <c r="G1037" i="4" s="1"/>
  <c r="AG1031" i="1"/>
  <c r="J1029" i="4" s="1"/>
  <c r="AD982" i="1"/>
  <c r="G980" i="4" s="1"/>
  <c r="AF973" i="1"/>
  <c r="I971" i="4" s="1"/>
  <c r="AF830" i="1"/>
  <c r="I828" i="4" s="1"/>
  <c r="AE678" i="1"/>
  <c r="H676" i="4" s="1"/>
  <c r="AE636" i="1"/>
  <c r="H634" i="4" s="1"/>
  <c r="AE1416" i="1"/>
  <c r="H1414" i="4" s="1"/>
  <c r="AG1409" i="1"/>
  <c r="J1407" i="4" s="1"/>
  <c r="AD1394" i="1"/>
  <c r="G1392" i="4" s="1"/>
  <c r="AD1384" i="1"/>
  <c r="G1382" i="4" s="1"/>
  <c r="AD1238" i="1"/>
  <c r="G1236" i="4" s="1"/>
  <c r="AD1228" i="1"/>
  <c r="G1226" i="4" s="1"/>
  <c r="AF1222" i="1"/>
  <c r="I1220" i="4" s="1"/>
  <c r="AD1218" i="1"/>
  <c r="G1216" i="4" s="1"/>
  <c r="AE1174" i="1"/>
  <c r="H1172" i="4" s="1"/>
  <c r="AF1165" i="1"/>
  <c r="I1163" i="4" s="1"/>
  <c r="AF1153" i="1"/>
  <c r="I1151" i="4" s="1"/>
  <c r="AE1150" i="1"/>
  <c r="H1148" i="4" s="1"/>
  <c r="AD1143" i="1"/>
  <c r="G1141" i="4" s="1"/>
  <c r="AD1135" i="1"/>
  <c r="G1133" i="4" s="1"/>
  <c r="AG1127" i="1"/>
  <c r="J1125" i="4" s="1"/>
  <c r="AG1112" i="1"/>
  <c r="J1110" i="4" s="1"/>
  <c r="AE1093" i="1"/>
  <c r="H1091" i="4" s="1"/>
  <c r="AE1090" i="1"/>
  <c r="H1088" i="4" s="1"/>
  <c r="AF1060" i="1"/>
  <c r="I1058" i="4" s="1"/>
  <c r="AD1049" i="1"/>
  <c r="G1047" i="4" s="1"/>
  <c r="AD989" i="1"/>
  <c r="G987" i="4" s="1"/>
  <c r="AG960" i="1"/>
  <c r="J958" i="4" s="1"/>
  <c r="AF954" i="1"/>
  <c r="I952" i="4" s="1"/>
  <c r="AD944" i="1"/>
  <c r="G942" i="4" s="1"/>
  <c r="AE822" i="1"/>
  <c r="H820" i="4" s="1"/>
  <c r="AF727" i="1"/>
  <c r="I725" i="4" s="1"/>
  <c r="AF691" i="1"/>
  <c r="I689" i="4" s="1"/>
  <c r="AE615" i="1"/>
  <c r="H613" i="4" s="1"/>
  <c r="AJ1792" i="1"/>
  <c r="AF1000" i="1"/>
  <c r="I998" i="4" s="1"/>
  <c r="AD966" i="1"/>
  <c r="G964" i="4" s="1"/>
  <c r="AD929" i="1"/>
  <c r="G927" i="4" s="1"/>
  <c r="AE918" i="1"/>
  <c r="H916" i="4" s="1"/>
  <c r="AD908" i="1"/>
  <c r="G906" i="4" s="1"/>
  <c r="AD893" i="1"/>
  <c r="G891" i="4" s="1"/>
  <c r="AE882" i="1"/>
  <c r="H880" i="4" s="1"/>
  <c r="AD872" i="1"/>
  <c r="G870" i="4" s="1"/>
  <c r="AD815" i="1"/>
  <c r="G813" i="4" s="1"/>
  <c r="AD788" i="1"/>
  <c r="G786" i="4" s="1"/>
  <c r="AF781" i="1"/>
  <c r="I779" i="4" s="1"/>
  <c r="AD705" i="1"/>
  <c r="G703" i="4" s="1"/>
  <c r="AD593" i="1"/>
  <c r="G591" i="4" s="1"/>
  <c r="AG579" i="1"/>
  <c r="J577" i="4" s="1"/>
  <c r="AF1402" i="1"/>
  <c r="I1400" i="4" s="1"/>
  <c r="AD1398" i="1"/>
  <c r="G1396" i="4" s="1"/>
  <c r="AD1358" i="1"/>
  <c r="G1356" i="4" s="1"/>
  <c r="AD1348" i="1"/>
  <c r="G1346" i="4" s="1"/>
  <c r="AF1342" i="1"/>
  <c r="I1340" i="4" s="1"/>
  <c r="AD1338" i="1"/>
  <c r="G1336" i="4" s="1"/>
  <c r="AD1334" i="1"/>
  <c r="G1332" i="4" s="1"/>
  <c r="AD1324" i="1"/>
  <c r="G1322" i="4" s="1"/>
  <c r="AF1318" i="1"/>
  <c r="I1316" i="4" s="1"/>
  <c r="AD1314" i="1"/>
  <c r="G1312" i="4" s="1"/>
  <c r="AD1310" i="1"/>
  <c r="G1308" i="4" s="1"/>
  <c r="AD1300" i="1"/>
  <c r="G1298" i="4" s="1"/>
  <c r="AF1294" i="1"/>
  <c r="I1292" i="4" s="1"/>
  <c r="AD1290" i="1"/>
  <c r="G1288" i="4" s="1"/>
  <c r="AD1286" i="1"/>
  <c r="G1284" i="4" s="1"/>
  <c r="AD1276" i="1"/>
  <c r="G1274" i="4" s="1"/>
  <c r="AF1270" i="1"/>
  <c r="I1268" i="4" s="1"/>
  <c r="AD1266" i="1"/>
  <c r="G1264" i="4" s="1"/>
  <c r="AD1207" i="1"/>
  <c r="G1205" i="4" s="1"/>
  <c r="AG1204" i="1"/>
  <c r="J1202" i="4" s="1"/>
  <c r="AF1184" i="1"/>
  <c r="I1182" i="4" s="1"/>
  <c r="AE1146" i="1"/>
  <c r="H1144" i="4" s="1"/>
  <c r="AD1123" i="1"/>
  <c r="G1121" i="4" s="1"/>
  <c r="AD1075" i="1"/>
  <c r="G1073" i="4" s="1"/>
  <c r="AD1071" i="1"/>
  <c r="G1069" i="4" s="1"/>
  <c r="AG1067" i="1"/>
  <c r="J1065" i="4" s="1"/>
  <c r="AE1033" i="1"/>
  <c r="H1031" i="4" s="1"/>
  <c r="AE1030" i="1"/>
  <c r="H1028" i="4" s="1"/>
  <c r="AG980" i="1"/>
  <c r="J978" i="4" s="1"/>
  <c r="AE971" i="1"/>
  <c r="H969" i="4" s="1"/>
  <c r="AF937" i="1"/>
  <c r="I935" i="4" s="1"/>
  <c r="AF926" i="1"/>
  <c r="I924" i="4" s="1"/>
  <c r="AD911" i="1"/>
  <c r="G909" i="4" s="1"/>
  <c r="AD907" i="1"/>
  <c r="G905" i="4" s="1"/>
  <c r="AF901" i="1"/>
  <c r="I899" i="4" s="1"/>
  <c r="AG897" i="1"/>
  <c r="J895" i="4" s="1"/>
  <c r="AF890" i="1"/>
  <c r="I888" i="4" s="1"/>
  <c r="AD875" i="1"/>
  <c r="G873" i="4" s="1"/>
  <c r="AG801" i="1"/>
  <c r="J799" i="4" s="1"/>
  <c r="AG733" i="1"/>
  <c r="J731" i="4" s="1"/>
  <c r="AE725" i="1"/>
  <c r="H723" i="4" s="1"/>
  <c r="AG662" i="1"/>
  <c r="J660" i="4" s="1"/>
  <c r="AE599" i="1"/>
  <c r="H597" i="4" s="1"/>
  <c r="AD1418" i="1"/>
  <c r="G1416" i="4" s="1"/>
  <c r="AD1408" i="1"/>
  <c r="G1406" i="4" s="1"/>
  <c r="AF1366" i="1"/>
  <c r="I1364" i="4" s="1"/>
  <c r="AD1362" i="1"/>
  <c r="G1360" i="4" s="1"/>
  <c r="AE1224" i="1"/>
  <c r="H1222" i="4" s="1"/>
  <c r="AG1217" i="1"/>
  <c r="J1215" i="4" s="1"/>
  <c r="AE1181" i="1"/>
  <c r="H1179" i="4" s="1"/>
  <c r="AG1160" i="1"/>
  <c r="J1158" i="4" s="1"/>
  <c r="AE1138" i="1"/>
  <c r="H1136" i="4" s="1"/>
  <c r="AD1119" i="1"/>
  <c r="G1117" i="4" s="1"/>
  <c r="AG1115" i="1"/>
  <c r="J1113" i="4" s="1"/>
  <c r="AG1100" i="1"/>
  <c r="J1098" i="4" s="1"/>
  <c r="AE1081" i="1"/>
  <c r="H1079" i="4" s="1"/>
  <c r="AE1078" i="1"/>
  <c r="H1076" i="4" s="1"/>
  <c r="AF1048" i="1"/>
  <c r="I1046" i="4" s="1"/>
  <c r="AD1037" i="1"/>
  <c r="G1035" i="4" s="1"/>
  <c r="AD1015" i="1"/>
  <c r="G1013" i="4" s="1"/>
  <c r="AD1011" i="1"/>
  <c r="G1009" i="4" s="1"/>
  <c r="AG1007" i="1"/>
  <c r="J1005" i="4" s="1"/>
  <c r="AF988" i="1"/>
  <c r="I986" i="4" s="1"/>
  <c r="AF794" i="1"/>
  <c r="I792" i="4" s="1"/>
  <c r="AD689" i="1"/>
  <c r="G687" i="4" s="1"/>
  <c r="AD585" i="1"/>
  <c r="G583" i="4" s="1"/>
  <c r="AD1382" i="1"/>
  <c r="G1380" i="4" s="1"/>
  <c r="AD1372" i="1"/>
  <c r="G1370" i="4" s="1"/>
  <c r="AE1248" i="1"/>
  <c r="H1246" i="4" s="1"/>
  <c r="AG1241" i="1"/>
  <c r="J1239" i="4" s="1"/>
  <c r="AD1193" i="1"/>
  <c r="G1191" i="4" s="1"/>
  <c r="AE1190" i="1"/>
  <c r="H1188" i="4" s="1"/>
  <c r="AF1168" i="1"/>
  <c r="I1166" i="4" s="1"/>
  <c r="AF1156" i="1"/>
  <c r="I1154" i="4" s="1"/>
  <c r="AD1137" i="1"/>
  <c r="G1135" i="4" s="1"/>
  <c r="AD1129" i="1"/>
  <c r="G1127" i="4" s="1"/>
  <c r="AE1126" i="1"/>
  <c r="H1124" i="4" s="1"/>
  <c r="AD1111" i="1"/>
  <c r="G1109" i="4" s="1"/>
  <c r="AF1096" i="1"/>
  <c r="I1094" i="4" s="1"/>
  <c r="AD1085" i="1"/>
  <c r="G1083" i="4" s="1"/>
  <c r="AD1063" i="1"/>
  <c r="G1061" i="4" s="1"/>
  <c r="AD1059" i="1"/>
  <c r="G1057" i="4" s="1"/>
  <c r="AG1055" i="1"/>
  <c r="J1053" i="4" s="1"/>
  <c r="AD1026" i="1"/>
  <c r="G1024" i="4" s="1"/>
  <c r="AD1018" i="1"/>
  <c r="G1016" i="4" s="1"/>
  <c r="AD979" i="1"/>
  <c r="G977" i="4" s="1"/>
  <c r="AG975" i="1"/>
  <c r="J973" i="4" s="1"/>
  <c r="AD953" i="1"/>
  <c r="G951" i="4" s="1"/>
  <c r="AF841" i="1"/>
  <c r="I839" i="4" s="1"/>
  <c r="AE723" i="1"/>
  <c r="H721" i="4" s="1"/>
  <c r="AF703" i="1"/>
  <c r="I701" i="4" s="1"/>
  <c r="AE612" i="1"/>
  <c r="H610" i="4" s="1"/>
  <c r="AD569" i="1"/>
  <c r="G567" i="4" s="1"/>
  <c r="AE1404" i="1"/>
  <c r="H1402" i="4" s="1"/>
  <c r="AG1397" i="1"/>
  <c r="J1395" i="4" s="1"/>
  <c r="AE1344" i="1"/>
  <c r="H1342" i="4" s="1"/>
  <c r="AG1337" i="1"/>
  <c r="J1335" i="4" s="1"/>
  <c r="AE1320" i="1"/>
  <c r="H1318" i="4" s="1"/>
  <c r="AG1313" i="1"/>
  <c r="J1311" i="4" s="1"/>
  <c r="AE1296" i="1"/>
  <c r="H1294" i="4" s="1"/>
  <c r="AG1289" i="1"/>
  <c r="J1287" i="4" s="1"/>
  <c r="AE1272" i="1"/>
  <c r="H1270" i="4" s="1"/>
  <c r="AG1265" i="1"/>
  <c r="J1263" i="4" s="1"/>
  <c r="AF1210" i="1"/>
  <c r="I1208" i="4" s="1"/>
  <c r="AG1172" i="1"/>
  <c r="J1170" i="4" s="1"/>
  <c r="AD1145" i="1"/>
  <c r="G1143" i="4" s="1"/>
  <c r="AD1122" i="1"/>
  <c r="G1120" i="4" s="1"/>
  <c r="AD1107" i="1"/>
  <c r="G1105" i="4" s="1"/>
  <c r="AG1103" i="1"/>
  <c r="J1101" i="4" s="1"/>
  <c r="AD1074" i="1"/>
  <c r="G1072" i="4" s="1"/>
  <c r="AE1021" i="1"/>
  <c r="H1019" i="4" s="1"/>
  <c r="AD1003" i="1"/>
  <c r="G1001" i="4" s="1"/>
  <c r="AD999" i="1"/>
  <c r="G997" i="4" s="1"/>
  <c r="AG995" i="1"/>
  <c r="J993" i="4" s="1"/>
  <c r="AD965" i="1"/>
  <c r="G963" i="4" s="1"/>
  <c r="AF950" i="1"/>
  <c r="I948" i="4" s="1"/>
  <c r="AE942" i="1"/>
  <c r="H940" i="4" s="1"/>
  <c r="AE935" i="1"/>
  <c r="H933" i="4" s="1"/>
  <c r="AG932" i="1"/>
  <c r="J930" i="4" s="1"/>
  <c r="AD917" i="1"/>
  <c r="G915" i="4" s="1"/>
  <c r="AE906" i="1"/>
  <c r="H904" i="4" s="1"/>
  <c r="AD896" i="1"/>
  <c r="G894" i="4" s="1"/>
  <c r="AD881" i="1"/>
  <c r="G879" i="4" s="1"/>
  <c r="AD860" i="1"/>
  <c r="G858" i="4" s="1"/>
  <c r="AG674" i="1"/>
  <c r="J672" i="4" s="1"/>
  <c r="AE659" i="1"/>
  <c r="H657" i="4" s="1"/>
  <c r="AE611" i="1"/>
  <c r="H609" i="4" s="1"/>
  <c r="AD604" i="1"/>
  <c r="G602" i="4" s="1"/>
  <c r="AE576" i="1"/>
  <c r="H574" i="4" s="1"/>
  <c r="AD262" i="1"/>
  <c r="G260" i="4" s="1"/>
  <c r="AF1390" i="1"/>
  <c r="I1388" i="4" s="1"/>
  <c r="AD1386" i="1"/>
  <c r="G1384" i="4" s="1"/>
  <c r="AE1368" i="1"/>
  <c r="H1366" i="4" s="1"/>
  <c r="AG1361" i="1"/>
  <c r="J1359" i="4" s="1"/>
  <c r="AF1234" i="1"/>
  <c r="I1232" i="4" s="1"/>
  <c r="AD1230" i="1"/>
  <c r="G1228" i="4" s="1"/>
  <c r="AD1226" i="1"/>
  <c r="G1224" i="4" s="1"/>
  <c r="AD1216" i="1"/>
  <c r="G1214" i="4" s="1"/>
  <c r="AF1197" i="1"/>
  <c r="I1195" i="4" s="1"/>
  <c r="AD1183" i="1"/>
  <c r="G1181" i="4" s="1"/>
  <c r="AG1148" i="1"/>
  <c r="J1146" i="4" s="1"/>
  <c r="AD1133" i="1"/>
  <c r="G1131" i="4" s="1"/>
  <c r="AG1088" i="1"/>
  <c r="J1086" i="4" s="1"/>
  <c r="AE1069" i="1"/>
  <c r="H1067" i="4" s="1"/>
  <c r="AE1066" i="1"/>
  <c r="H1064" i="4" s="1"/>
  <c r="AF1036" i="1"/>
  <c r="I1034" i="4" s="1"/>
  <c r="AD1025" i="1"/>
  <c r="G1023" i="4" s="1"/>
  <c r="AD1014" i="1"/>
  <c r="G1012" i="4" s="1"/>
  <c r="AD1006" i="1"/>
  <c r="G1004" i="4" s="1"/>
  <c r="AD931" i="1"/>
  <c r="G929" i="4" s="1"/>
  <c r="AF925" i="1"/>
  <c r="I923" i="4" s="1"/>
  <c r="AF914" i="1"/>
  <c r="I912" i="4" s="1"/>
  <c r="AD899" i="1"/>
  <c r="G897" i="4" s="1"/>
  <c r="AD895" i="1"/>
  <c r="G893" i="4" s="1"/>
  <c r="AF889" i="1"/>
  <c r="I887" i="4" s="1"/>
  <c r="AG885" i="1"/>
  <c r="J883" i="4" s="1"/>
  <c r="AF878" i="1"/>
  <c r="I876" i="4" s="1"/>
  <c r="AE870" i="1"/>
  <c r="H868" i="4" s="1"/>
  <c r="AF866" i="1"/>
  <c r="I864" i="4" s="1"/>
  <c r="AF667" i="1"/>
  <c r="I665" i="4" s="1"/>
  <c r="AD652" i="1"/>
  <c r="G650" i="4" s="1"/>
  <c r="AE646" i="1"/>
  <c r="H644" i="4" s="1"/>
  <c r="AF1258" i="1"/>
  <c r="I1256" i="4" s="1"/>
  <c r="AD1254" i="1"/>
  <c r="G1252" i="4" s="1"/>
  <c r="AD1250" i="1"/>
  <c r="G1248" i="4" s="1"/>
  <c r="AD1240" i="1"/>
  <c r="G1238" i="4" s="1"/>
  <c r="AD1215" i="1"/>
  <c r="G1213" i="4" s="1"/>
  <c r="AG1192" i="1"/>
  <c r="J1190" i="4" s="1"/>
  <c r="AD1186" i="1"/>
  <c r="G1184" i="4" s="1"/>
  <c r="AD1159" i="1"/>
  <c r="G1157" i="4" s="1"/>
  <c r="AD1155" i="1"/>
  <c r="G1153" i="4" s="1"/>
  <c r="AE1117" i="1"/>
  <c r="H1115" i="4" s="1"/>
  <c r="AE1114" i="1"/>
  <c r="H1112" i="4" s="1"/>
  <c r="AD1110" i="1"/>
  <c r="G1108" i="4" s="1"/>
  <c r="AD1099" i="1"/>
  <c r="G1097" i="4" s="1"/>
  <c r="AF1084" i="1"/>
  <c r="I1082" i="4" s="1"/>
  <c r="AD1073" i="1"/>
  <c r="G1071" i="4" s="1"/>
  <c r="AD1065" i="1"/>
  <c r="G1063" i="4" s="1"/>
  <c r="AD1062" i="1"/>
  <c r="G1060" i="4" s="1"/>
  <c r="AD1051" i="1"/>
  <c r="G1049" i="4" s="1"/>
  <c r="AD1047" i="1"/>
  <c r="G1045" i="4" s="1"/>
  <c r="AG1043" i="1"/>
  <c r="J1041" i="4" s="1"/>
  <c r="AE1009" i="1"/>
  <c r="H1007" i="4" s="1"/>
  <c r="AD991" i="1"/>
  <c r="G989" i="4" s="1"/>
  <c r="AD987" i="1"/>
  <c r="G985" i="4" s="1"/>
  <c r="AD983" i="1"/>
  <c r="G981" i="4" s="1"/>
  <c r="AG962" i="1"/>
  <c r="J960" i="4" s="1"/>
  <c r="AE957" i="1"/>
  <c r="H955" i="4" s="1"/>
  <c r="AD845" i="1"/>
  <c r="G843" i="4" s="1"/>
  <c r="AD701" i="1"/>
  <c r="G699" i="4" s="1"/>
  <c r="AG603" i="1"/>
  <c r="J601" i="4" s="1"/>
  <c r="AD464" i="1"/>
  <c r="G462" i="4" s="1"/>
  <c r="AF325" i="1"/>
  <c r="I323" i="4" s="1"/>
  <c r="AD1013" i="1"/>
  <c r="G1011" i="4" s="1"/>
  <c r="AD1002" i="1"/>
  <c r="G1000" i="4" s="1"/>
  <c r="AD994" i="1"/>
  <c r="G992" i="4" s="1"/>
  <c r="AD977" i="1"/>
  <c r="G975" i="4" s="1"/>
  <c r="AG974" i="1"/>
  <c r="J972" i="4" s="1"/>
  <c r="AD920" i="1"/>
  <c r="G918" i="4" s="1"/>
  <c r="AE858" i="1"/>
  <c r="H856" i="4" s="1"/>
  <c r="AF805" i="1"/>
  <c r="I803" i="4" s="1"/>
  <c r="AG777" i="1"/>
  <c r="J775" i="4" s="1"/>
  <c r="AF770" i="1"/>
  <c r="I768" i="4" s="1"/>
  <c r="AF758" i="1"/>
  <c r="I756" i="4" s="1"/>
  <c r="AE720" i="1"/>
  <c r="H718" i="4" s="1"/>
  <c r="AD430" i="1"/>
  <c r="G428" i="4" s="1"/>
  <c r="AF1414" i="1"/>
  <c r="I1412" i="4" s="1"/>
  <c r="AD1410" i="1"/>
  <c r="G1408" i="4" s="1"/>
  <c r="AD1395" i="1"/>
  <c r="G1393" i="4" s="1"/>
  <c r="AE1392" i="1"/>
  <c r="H1390" i="4" s="1"/>
  <c r="AG1385" i="1"/>
  <c r="J1383" i="4" s="1"/>
  <c r="AD1370" i="1"/>
  <c r="G1368" i="4" s="1"/>
  <c r="AD1360" i="1"/>
  <c r="G1358" i="4" s="1"/>
  <c r="AD1263" i="1"/>
  <c r="G1261" i="4" s="1"/>
  <c r="AE1236" i="1"/>
  <c r="H1234" i="4" s="1"/>
  <c r="AG1229" i="1"/>
  <c r="J1227" i="4" s="1"/>
  <c r="AD1196" i="1"/>
  <c r="G1194" i="4" s="1"/>
  <c r="AF1178" i="1"/>
  <c r="I1176" i="4" s="1"/>
  <c r="AD1171" i="1"/>
  <c r="G1169" i="4" s="1"/>
  <c r="AF1132" i="1"/>
  <c r="I1130" i="4" s="1"/>
  <c r="AE1105" i="1"/>
  <c r="H1103" i="4" s="1"/>
  <c r="AE1102" i="1"/>
  <c r="H1100" i="4" s="1"/>
  <c r="AD1061" i="1"/>
  <c r="G1059" i="4" s="1"/>
  <c r="AF1024" i="1"/>
  <c r="I1022" i="4" s="1"/>
  <c r="AE997" i="1"/>
  <c r="H995" i="4" s="1"/>
  <c r="AF949" i="1"/>
  <c r="I947" i="4" s="1"/>
  <c r="AD941" i="1"/>
  <c r="G939" i="4" s="1"/>
  <c r="AE930" i="1"/>
  <c r="H928" i="4" s="1"/>
  <c r="AD905" i="1"/>
  <c r="G903" i="4" s="1"/>
  <c r="AE894" i="1"/>
  <c r="H892" i="4" s="1"/>
  <c r="AD884" i="1"/>
  <c r="G882" i="4" s="1"/>
  <c r="AD869" i="1"/>
  <c r="G867" i="4" s="1"/>
  <c r="AD851" i="1"/>
  <c r="G849" i="4" s="1"/>
  <c r="AD824" i="1"/>
  <c r="G822" i="4" s="1"/>
  <c r="AD750" i="1"/>
  <c r="G748" i="4" s="1"/>
  <c r="AD729" i="1"/>
  <c r="G727" i="4" s="1"/>
  <c r="AD693" i="1"/>
  <c r="G691" i="4" s="1"/>
  <c r="AD617" i="1"/>
  <c r="G615" i="4" s="1"/>
  <c r="AD848" i="1"/>
  <c r="G846" i="4" s="1"/>
  <c r="AD833" i="1"/>
  <c r="G831" i="4" s="1"/>
  <c r="AD812" i="1"/>
  <c r="G810" i="4" s="1"/>
  <c r="AD797" i="1"/>
  <c r="G795" i="4" s="1"/>
  <c r="AE786" i="1"/>
  <c r="H784" i="4" s="1"/>
  <c r="AD779" i="1"/>
  <c r="G777" i="4" s="1"/>
  <c r="AF769" i="1"/>
  <c r="I767" i="4" s="1"/>
  <c r="AG765" i="1"/>
  <c r="J763" i="4" s="1"/>
  <c r="AD761" i="1"/>
  <c r="G759" i="4" s="1"/>
  <c r="AE719" i="1"/>
  <c r="H717" i="4" s="1"/>
  <c r="AE708" i="1"/>
  <c r="H706" i="4" s="1"/>
  <c r="AE696" i="1"/>
  <c r="H694" i="4" s="1"/>
  <c r="AF679" i="1"/>
  <c r="I677" i="4" s="1"/>
  <c r="AE658" i="1"/>
  <c r="H656" i="4" s="1"/>
  <c r="AG591" i="1"/>
  <c r="J589" i="4" s="1"/>
  <c r="AE587" i="1"/>
  <c r="H585" i="4" s="1"/>
  <c r="AE575" i="1"/>
  <c r="H573" i="4" s="1"/>
  <c r="AE390" i="1"/>
  <c r="H388" i="4" s="1"/>
  <c r="AF157" i="1"/>
  <c r="I155" i="4" s="1"/>
  <c r="AD735" i="1"/>
  <c r="G733" i="4" s="1"/>
  <c r="AE707" i="1"/>
  <c r="H705" i="4" s="1"/>
  <c r="AE695" i="1"/>
  <c r="H693" i="4" s="1"/>
  <c r="AE666" i="1"/>
  <c r="H664" i="4" s="1"/>
  <c r="AF655" i="1"/>
  <c r="I653" i="4" s="1"/>
  <c r="AF643" i="1"/>
  <c r="I641" i="4" s="1"/>
  <c r="AE634" i="1"/>
  <c r="H632" i="4" s="1"/>
  <c r="AE610" i="1"/>
  <c r="H608" i="4" s="1"/>
  <c r="AE551" i="1"/>
  <c r="H549" i="4" s="1"/>
  <c r="AD489" i="1"/>
  <c r="G487" i="4" s="1"/>
  <c r="AE399" i="1"/>
  <c r="H397" i="4" s="1"/>
  <c r="AD372" i="1"/>
  <c r="G370" i="4" s="1"/>
  <c r="AL1658" i="1"/>
  <c r="AD785" i="1"/>
  <c r="G783" i="4" s="1"/>
  <c r="AD764" i="1"/>
  <c r="G762" i="4" s="1"/>
  <c r="AG749" i="1"/>
  <c r="J747" i="4" s="1"/>
  <c r="AF739" i="1"/>
  <c r="I737" i="4" s="1"/>
  <c r="AE699" i="1"/>
  <c r="H697" i="4" s="1"/>
  <c r="AE684" i="1"/>
  <c r="H682" i="4" s="1"/>
  <c r="AD661" i="1"/>
  <c r="G659" i="4" s="1"/>
  <c r="AE622" i="1"/>
  <c r="H620" i="4" s="1"/>
  <c r="AF607" i="1"/>
  <c r="I605" i="4" s="1"/>
  <c r="AE598" i="1"/>
  <c r="H596" i="4" s="1"/>
  <c r="AD533" i="1"/>
  <c r="G531" i="4" s="1"/>
  <c r="AD452" i="1"/>
  <c r="G450" i="4" s="1"/>
  <c r="AD310" i="1"/>
  <c r="G308" i="4" s="1"/>
  <c r="AG100" i="1"/>
  <c r="J98" i="4" s="1"/>
  <c r="AJ1774" i="1"/>
  <c r="AJ1762" i="1"/>
  <c r="AD857" i="1"/>
  <c r="G855" i="4" s="1"/>
  <c r="AD836" i="1"/>
  <c r="G834" i="4" s="1"/>
  <c r="AD821" i="1"/>
  <c r="G819" i="4" s="1"/>
  <c r="AD800" i="1"/>
  <c r="G798" i="4" s="1"/>
  <c r="AF782" i="1"/>
  <c r="I780" i="4" s="1"/>
  <c r="AE774" i="1"/>
  <c r="H772" i="4" s="1"/>
  <c r="AD767" i="1"/>
  <c r="G765" i="4" s="1"/>
  <c r="AD677" i="1"/>
  <c r="G675" i="4" s="1"/>
  <c r="AE672" i="1"/>
  <c r="H670" i="4" s="1"/>
  <c r="AF631" i="1"/>
  <c r="I629" i="4" s="1"/>
  <c r="AF619" i="1"/>
  <c r="I617" i="4" s="1"/>
  <c r="AF595" i="1"/>
  <c r="I593" i="4" s="1"/>
  <c r="AE586" i="1"/>
  <c r="H584" i="4" s="1"/>
  <c r="AE574" i="1"/>
  <c r="H572" i="4" s="1"/>
  <c r="AE550" i="1"/>
  <c r="H548" i="4" s="1"/>
  <c r="AD532" i="1"/>
  <c r="G530" i="4" s="1"/>
  <c r="AG407" i="1"/>
  <c r="J405" i="4" s="1"/>
  <c r="AD309" i="1"/>
  <c r="G307" i="4" s="1"/>
  <c r="AJ1773" i="1"/>
  <c r="AF865" i="1"/>
  <c r="I863" i="4" s="1"/>
  <c r="AG861" i="1"/>
  <c r="J859" i="4" s="1"/>
  <c r="AF854" i="1"/>
  <c r="I852" i="4" s="1"/>
  <c r="AE846" i="1"/>
  <c r="H844" i="4" s="1"/>
  <c r="AD839" i="1"/>
  <c r="G837" i="4" s="1"/>
  <c r="AF829" i="1"/>
  <c r="I827" i="4" s="1"/>
  <c r="AG825" i="1"/>
  <c r="J823" i="4" s="1"/>
  <c r="AF818" i="1"/>
  <c r="I816" i="4" s="1"/>
  <c r="AE810" i="1"/>
  <c r="H808" i="4" s="1"/>
  <c r="AD803" i="1"/>
  <c r="G801" i="4" s="1"/>
  <c r="AF793" i="1"/>
  <c r="I791" i="4" s="1"/>
  <c r="AG789" i="1"/>
  <c r="J787" i="4" s="1"/>
  <c r="AF757" i="1"/>
  <c r="I755" i="4" s="1"/>
  <c r="AG753" i="1"/>
  <c r="J751" i="4" s="1"/>
  <c r="AG745" i="1"/>
  <c r="J743" i="4" s="1"/>
  <c r="AE683" i="1"/>
  <c r="H681" i="4" s="1"/>
  <c r="AD665" i="1"/>
  <c r="G663" i="4" s="1"/>
  <c r="AD645" i="1"/>
  <c r="G643" i="4" s="1"/>
  <c r="AF583" i="1"/>
  <c r="I581" i="4" s="1"/>
  <c r="AF571" i="1"/>
  <c r="I569" i="4" s="1"/>
  <c r="AE540" i="1"/>
  <c r="H538" i="4" s="1"/>
  <c r="AD513" i="1"/>
  <c r="G511" i="4" s="1"/>
  <c r="AD441" i="1"/>
  <c r="G439" i="4" s="1"/>
  <c r="AD343" i="1"/>
  <c r="G341" i="4" s="1"/>
  <c r="AD744" i="1"/>
  <c r="G742" i="4" s="1"/>
  <c r="AD741" i="1"/>
  <c r="G739" i="4" s="1"/>
  <c r="AF715" i="1"/>
  <c r="I713" i="4" s="1"/>
  <c r="AE671" i="1"/>
  <c r="H669" i="4" s="1"/>
  <c r="AE660" i="1"/>
  <c r="H658" i="4" s="1"/>
  <c r="AD641" i="1"/>
  <c r="G639" i="4" s="1"/>
  <c r="AD625" i="1"/>
  <c r="G623" i="4" s="1"/>
  <c r="AD609" i="1"/>
  <c r="G607" i="4" s="1"/>
  <c r="AE378" i="1"/>
  <c r="H376" i="4" s="1"/>
  <c r="AD773" i="1"/>
  <c r="G771" i="4" s="1"/>
  <c r="AD721" i="1"/>
  <c r="G719" i="4" s="1"/>
  <c r="AG698" i="1"/>
  <c r="J696" i="4" s="1"/>
  <c r="AF675" i="1"/>
  <c r="I673" i="4" s="1"/>
  <c r="AD653" i="1"/>
  <c r="G651" i="4" s="1"/>
  <c r="AE648" i="1"/>
  <c r="H646" i="4" s="1"/>
  <c r="AD640" i="1"/>
  <c r="G638" i="4" s="1"/>
  <c r="AD621" i="1"/>
  <c r="G619" i="4" s="1"/>
  <c r="AD605" i="1"/>
  <c r="G603" i="4" s="1"/>
  <c r="AD597" i="1"/>
  <c r="G595" i="4" s="1"/>
  <c r="AD577" i="1"/>
  <c r="G575" i="4" s="1"/>
  <c r="AD521" i="1"/>
  <c r="G519" i="4" s="1"/>
  <c r="AG395" i="1"/>
  <c r="J393" i="4" s="1"/>
  <c r="AD360" i="1"/>
  <c r="G358" i="4" s="1"/>
  <c r="AL1782" i="1"/>
  <c r="AD863" i="1"/>
  <c r="G861" i="4" s="1"/>
  <c r="AF853" i="1"/>
  <c r="I851" i="4" s="1"/>
  <c r="AG849" i="1"/>
  <c r="J847" i="4" s="1"/>
  <c r="AF842" i="1"/>
  <c r="I840" i="4" s="1"/>
  <c r="AE834" i="1"/>
  <c r="H832" i="4" s="1"/>
  <c r="AD827" i="1"/>
  <c r="G825" i="4" s="1"/>
  <c r="AF817" i="1"/>
  <c r="I815" i="4" s="1"/>
  <c r="AG813" i="1"/>
  <c r="J811" i="4" s="1"/>
  <c r="AF806" i="1"/>
  <c r="I804" i="4" s="1"/>
  <c r="AE798" i="1"/>
  <c r="H796" i="4" s="1"/>
  <c r="AD791" i="1"/>
  <c r="G789" i="4" s="1"/>
  <c r="AD787" i="1"/>
  <c r="G785" i="4" s="1"/>
  <c r="AE762" i="1"/>
  <c r="H760" i="4" s="1"/>
  <c r="AD755" i="1"/>
  <c r="G753" i="4" s="1"/>
  <c r="AE726" i="1"/>
  <c r="H724" i="4" s="1"/>
  <c r="AD717" i="1"/>
  <c r="G715" i="4" s="1"/>
  <c r="AD709" i="1"/>
  <c r="G707" i="4" s="1"/>
  <c r="AF697" i="1"/>
  <c r="I695" i="4" s="1"/>
  <c r="AG686" i="1"/>
  <c r="J684" i="4" s="1"/>
  <c r="AE651" i="1"/>
  <c r="H649" i="4" s="1"/>
  <c r="AE647" i="1"/>
  <c r="H645" i="4" s="1"/>
  <c r="AD628" i="1"/>
  <c r="G626" i="4" s="1"/>
  <c r="AE624" i="1"/>
  <c r="H622" i="4" s="1"/>
  <c r="AD616" i="1"/>
  <c r="G614" i="4" s="1"/>
  <c r="AE600" i="1"/>
  <c r="H598" i="4" s="1"/>
  <c r="AD592" i="1"/>
  <c r="G590" i="4" s="1"/>
  <c r="AD581" i="1"/>
  <c r="G579" i="4" s="1"/>
  <c r="AE528" i="1"/>
  <c r="H526" i="4" s="1"/>
  <c r="AD429" i="1"/>
  <c r="G427" i="4" s="1"/>
  <c r="AE402" i="1"/>
  <c r="H400" i="4" s="1"/>
  <c r="AD332" i="1"/>
  <c r="G330" i="4" s="1"/>
  <c r="AE562" i="1"/>
  <c r="H560" i="4" s="1"/>
  <c r="AG543" i="1"/>
  <c r="J541" i="4" s="1"/>
  <c r="AE539" i="1"/>
  <c r="H537" i="4" s="1"/>
  <c r="AD520" i="1"/>
  <c r="G518" i="4" s="1"/>
  <c r="AE516" i="1"/>
  <c r="H514" i="4" s="1"/>
  <c r="AD509" i="1"/>
  <c r="G507" i="4" s="1"/>
  <c r="AF499" i="1"/>
  <c r="I497" i="4" s="1"/>
  <c r="AF476" i="1"/>
  <c r="I474" i="4" s="1"/>
  <c r="AD440" i="1"/>
  <c r="G438" i="4" s="1"/>
  <c r="AD417" i="1"/>
  <c r="G415" i="4" s="1"/>
  <c r="AE387" i="1"/>
  <c r="H385" i="4" s="1"/>
  <c r="AG383" i="1"/>
  <c r="J381" i="4" s="1"/>
  <c r="AE366" i="1"/>
  <c r="H364" i="4" s="1"/>
  <c r="AD348" i="1"/>
  <c r="G346" i="4" s="1"/>
  <c r="AD331" i="1"/>
  <c r="G329" i="4" s="1"/>
  <c r="AD320" i="1"/>
  <c r="G318" i="4" s="1"/>
  <c r="AD308" i="1"/>
  <c r="G306" i="4" s="1"/>
  <c r="AE268" i="1"/>
  <c r="H266" i="4" s="1"/>
  <c r="AG254" i="1"/>
  <c r="J252" i="4" s="1"/>
  <c r="AE238" i="1"/>
  <c r="H236" i="4" s="1"/>
  <c r="AD195" i="1"/>
  <c r="G193" i="4" s="1"/>
  <c r="AE186" i="1"/>
  <c r="H184" i="4" s="1"/>
  <c r="AD22" i="1"/>
  <c r="G20" i="4" s="1"/>
  <c r="AJ1761" i="1"/>
  <c r="AE527" i="1"/>
  <c r="H525" i="4" s="1"/>
  <c r="AD508" i="1"/>
  <c r="G506" i="4" s="1"/>
  <c r="AD504" i="1"/>
  <c r="G502" i="4" s="1"/>
  <c r="AD487" i="1"/>
  <c r="G485" i="4" s="1"/>
  <c r="AG472" i="1"/>
  <c r="J470" i="4" s="1"/>
  <c r="AD463" i="1"/>
  <c r="G461" i="4" s="1"/>
  <c r="AG460" i="1"/>
  <c r="J458" i="4" s="1"/>
  <c r="AD451" i="1"/>
  <c r="G449" i="4" s="1"/>
  <c r="AG448" i="1"/>
  <c r="J446" i="4" s="1"/>
  <c r="AD428" i="1"/>
  <c r="G426" i="4" s="1"/>
  <c r="AD406" i="1"/>
  <c r="G404" i="4" s="1"/>
  <c r="AD394" i="1"/>
  <c r="G392" i="4" s="1"/>
  <c r="AE375" i="1"/>
  <c r="H373" i="4" s="1"/>
  <c r="AG371" i="1"/>
  <c r="J369" i="4" s="1"/>
  <c r="AE354" i="1"/>
  <c r="H352" i="4" s="1"/>
  <c r="AD336" i="1"/>
  <c r="G334" i="4" s="1"/>
  <c r="AF313" i="1"/>
  <c r="I311" i="4" s="1"/>
  <c r="AE282" i="1"/>
  <c r="H280" i="4" s="1"/>
  <c r="AE226" i="1"/>
  <c r="H224" i="4" s="1"/>
  <c r="AE115" i="1"/>
  <c r="H113" i="4" s="1"/>
  <c r="AD73" i="1"/>
  <c r="G71" i="4" s="1"/>
  <c r="AK1643" i="1"/>
  <c r="AJ1577" i="1"/>
  <c r="AL1426" i="1"/>
  <c r="D1424" i="4" s="1"/>
  <c r="AG531" i="1"/>
  <c r="J529" i="4" s="1"/>
  <c r="AE515" i="1"/>
  <c r="H513" i="4" s="1"/>
  <c r="AD503" i="1"/>
  <c r="G501" i="4" s="1"/>
  <c r="AD475" i="1"/>
  <c r="G473" i="4" s="1"/>
  <c r="AD439" i="1"/>
  <c r="G437" i="4" s="1"/>
  <c r="AD416" i="1"/>
  <c r="G414" i="4" s="1"/>
  <c r="AD393" i="1"/>
  <c r="G391" i="4" s="1"/>
  <c r="AD382" i="1"/>
  <c r="G380" i="4" s="1"/>
  <c r="AE363" i="1"/>
  <c r="H361" i="4" s="1"/>
  <c r="AG359" i="1"/>
  <c r="J357" i="4" s="1"/>
  <c r="AE342" i="1"/>
  <c r="H340" i="4" s="1"/>
  <c r="AD319" i="1"/>
  <c r="G317" i="4" s="1"/>
  <c r="AD307" i="1"/>
  <c r="G305" i="4" s="1"/>
  <c r="AE291" i="1"/>
  <c r="H289" i="4" s="1"/>
  <c r="AD275" i="1"/>
  <c r="G273" i="4" s="1"/>
  <c r="AJ1484" i="1"/>
  <c r="AG519" i="1"/>
  <c r="J517" i="4" s="1"/>
  <c r="AD456" i="1"/>
  <c r="G454" i="4" s="1"/>
  <c r="AG436" i="1"/>
  <c r="J434" i="4" s="1"/>
  <c r="AD427" i="1"/>
  <c r="G425" i="4" s="1"/>
  <c r="AD381" i="1"/>
  <c r="G379" i="4" s="1"/>
  <c r="AD370" i="1"/>
  <c r="G368" i="4" s="1"/>
  <c r="AE351" i="1"/>
  <c r="H349" i="4" s="1"/>
  <c r="AG347" i="1"/>
  <c r="J345" i="4" s="1"/>
  <c r="AD324" i="1"/>
  <c r="G322" i="4" s="1"/>
  <c r="AD82" i="1"/>
  <c r="G80" i="4" s="1"/>
  <c r="AJ1788" i="1"/>
  <c r="AJ1780" i="1"/>
  <c r="AJ1695" i="1"/>
  <c r="AJ1665" i="1"/>
  <c r="AD561" i="1"/>
  <c r="G559" i="4" s="1"/>
  <c r="AE538" i="1"/>
  <c r="H536" i="4" s="1"/>
  <c r="AG507" i="1"/>
  <c r="J505" i="4" s="1"/>
  <c r="AE498" i="1"/>
  <c r="H496" i="4" s="1"/>
  <c r="AD492" i="1"/>
  <c r="G490" i="4" s="1"/>
  <c r="AG424" i="1"/>
  <c r="J422" i="4" s="1"/>
  <c r="AD415" i="1"/>
  <c r="G413" i="4" s="1"/>
  <c r="AD404" i="1"/>
  <c r="G402" i="4" s="1"/>
  <c r="AF397" i="1"/>
  <c r="I395" i="4" s="1"/>
  <c r="AD392" i="1"/>
  <c r="G390" i="4" s="1"/>
  <c r="AD369" i="1"/>
  <c r="G367" i="4" s="1"/>
  <c r="AD358" i="1"/>
  <c r="G356" i="4" s="1"/>
  <c r="AE339" i="1"/>
  <c r="H337" i="4" s="1"/>
  <c r="AG335" i="1"/>
  <c r="J333" i="4" s="1"/>
  <c r="AE330" i="1"/>
  <c r="H328" i="4" s="1"/>
  <c r="AD298" i="1"/>
  <c r="G296" i="4" s="1"/>
  <c r="AE243" i="1"/>
  <c r="H241" i="4" s="1"/>
  <c r="AD202" i="1"/>
  <c r="G200" i="4" s="1"/>
  <c r="AD61" i="1"/>
  <c r="G59" i="4" s="1"/>
  <c r="AJ1810" i="1"/>
  <c r="AD568" i="1"/>
  <c r="G566" i="4" s="1"/>
  <c r="AE526" i="1"/>
  <c r="H524" i="4" s="1"/>
  <c r="AE486" i="1"/>
  <c r="H484" i="4" s="1"/>
  <c r="AD480" i="1"/>
  <c r="G478" i="4" s="1"/>
  <c r="AE471" i="1"/>
  <c r="H469" i="4" s="1"/>
  <c r="AE467" i="1"/>
  <c r="H465" i="4" s="1"/>
  <c r="AE462" i="1"/>
  <c r="H460" i="4" s="1"/>
  <c r="AE459" i="1"/>
  <c r="H457" i="4" s="1"/>
  <c r="AE450" i="1"/>
  <c r="H448" i="4" s="1"/>
  <c r="AE447" i="1"/>
  <c r="H445" i="4" s="1"/>
  <c r="AD432" i="1"/>
  <c r="G430" i="4" s="1"/>
  <c r="AG412" i="1"/>
  <c r="J410" i="4" s="1"/>
  <c r="AF385" i="1"/>
  <c r="I383" i="4" s="1"/>
  <c r="AD380" i="1"/>
  <c r="G378" i="4" s="1"/>
  <c r="AD357" i="1"/>
  <c r="G355" i="4" s="1"/>
  <c r="AD346" i="1"/>
  <c r="G344" i="4" s="1"/>
  <c r="AD312" i="1"/>
  <c r="G310" i="4" s="1"/>
  <c r="AE199" i="1"/>
  <c r="H197" i="4" s="1"/>
  <c r="AF50" i="1"/>
  <c r="I48" i="4" s="1"/>
  <c r="AE564" i="1"/>
  <c r="H562" i="4" s="1"/>
  <c r="AD557" i="1"/>
  <c r="G555" i="4" s="1"/>
  <c r="AD549" i="1"/>
  <c r="G547" i="4" s="1"/>
  <c r="AE514" i="1"/>
  <c r="H512" i="4" s="1"/>
  <c r="AD502" i="1"/>
  <c r="G500" i="4" s="1"/>
  <c r="AE474" i="1"/>
  <c r="H472" i="4" s="1"/>
  <c r="AG455" i="1"/>
  <c r="J453" i="4" s="1"/>
  <c r="AE438" i="1"/>
  <c r="H436" i="4" s="1"/>
  <c r="AD420" i="1"/>
  <c r="G418" i="4" s="1"/>
  <c r="AD403" i="1"/>
  <c r="G401" i="4" s="1"/>
  <c r="AD391" i="1"/>
  <c r="G389" i="4" s="1"/>
  <c r="AF373" i="1"/>
  <c r="I371" i="4" s="1"/>
  <c r="AD368" i="1"/>
  <c r="G366" i="4" s="1"/>
  <c r="AD345" i="1"/>
  <c r="G343" i="4" s="1"/>
  <c r="AD334" i="1"/>
  <c r="G332" i="4" s="1"/>
  <c r="AE327" i="1"/>
  <c r="H325" i="4" s="1"/>
  <c r="AG323" i="1"/>
  <c r="J321" i="4" s="1"/>
  <c r="AE318" i="1"/>
  <c r="H316" i="4" s="1"/>
  <c r="AE306" i="1"/>
  <c r="H304" i="4" s="1"/>
  <c r="AD257" i="1"/>
  <c r="G255" i="4" s="1"/>
  <c r="AD250" i="1"/>
  <c r="G248" i="4" s="1"/>
  <c r="AF218" i="1"/>
  <c r="I216" i="4" s="1"/>
  <c r="AJ1809" i="1"/>
  <c r="AJ1627" i="1"/>
  <c r="AD556" i="1"/>
  <c r="G554" i="4" s="1"/>
  <c r="AE479" i="1"/>
  <c r="H477" i="4" s="1"/>
  <c r="AD466" i="1"/>
  <c r="G464" i="4" s="1"/>
  <c r="AG443" i="1"/>
  <c r="J441" i="4" s="1"/>
  <c r="AE435" i="1"/>
  <c r="H433" i="4" s="1"/>
  <c r="AE426" i="1"/>
  <c r="H424" i="4" s="1"/>
  <c r="AG400" i="1"/>
  <c r="J398" i="4" s="1"/>
  <c r="AD379" i="1"/>
  <c r="G377" i="4" s="1"/>
  <c r="AF361" i="1"/>
  <c r="I359" i="4" s="1"/>
  <c r="AD356" i="1"/>
  <c r="G354" i="4" s="1"/>
  <c r="AE279" i="1"/>
  <c r="H277" i="4" s="1"/>
  <c r="AJ1816" i="1"/>
  <c r="AL1722" i="1"/>
  <c r="AG567" i="1"/>
  <c r="J565" i="4" s="1"/>
  <c r="AE563" i="1"/>
  <c r="H561" i="4" s="1"/>
  <c r="AE552" i="1"/>
  <c r="H550" i="4" s="1"/>
  <c r="AD545" i="1"/>
  <c r="G543" i="4" s="1"/>
  <c r="AD537" i="1"/>
  <c r="G535" i="4" s="1"/>
  <c r="AD529" i="1"/>
  <c r="G527" i="4" s="1"/>
  <c r="AD501" i="1"/>
  <c r="G499" i="4" s="1"/>
  <c r="AG494" i="1"/>
  <c r="J492" i="4" s="1"/>
  <c r="AD454" i="1"/>
  <c r="G452" i="4" s="1"/>
  <c r="AG431" i="1"/>
  <c r="J429" i="4" s="1"/>
  <c r="AE423" i="1"/>
  <c r="H421" i="4" s="1"/>
  <c r="AE414" i="1"/>
  <c r="H412" i="4" s="1"/>
  <c r="AD396" i="1"/>
  <c r="G394" i="4" s="1"/>
  <c r="AD367" i="1"/>
  <c r="G365" i="4" s="1"/>
  <c r="AF349" i="1"/>
  <c r="I347" i="4" s="1"/>
  <c r="AD344" i="1"/>
  <c r="G342" i="4" s="1"/>
  <c r="AD322" i="1"/>
  <c r="G320" i="4" s="1"/>
  <c r="AE315" i="1"/>
  <c r="H313" i="4" s="1"/>
  <c r="AG311" i="1"/>
  <c r="J309" i="4" s="1"/>
  <c r="AE294" i="1"/>
  <c r="H292" i="4" s="1"/>
  <c r="AG287" i="1"/>
  <c r="J285" i="4" s="1"/>
  <c r="AD270" i="1"/>
  <c r="G268" i="4" s="1"/>
  <c r="AE210" i="1"/>
  <c r="H208" i="4" s="1"/>
  <c r="AD89" i="1"/>
  <c r="G87" i="4" s="1"/>
  <c r="AG57" i="1"/>
  <c r="J55" i="4" s="1"/>
  <c r="AD544" i="1"/>
  <c r="G542" i="4" s="1"/>
  <c r="AD525" i="1"/>
  <c r="G523" i="4" s="1"/>
  <c r="AD478" i="1"/>
  <c r="G476" i="4" s="1"/>
  <c r="AE473" i="1"/>
  <c r="H471" i="4" s="1"/>
  <c r="AG461" i="1"/>
  <c r="J459" i="4" s="1"/>
  <c r="AD453" i="1"/>
  <c r="G451" i="4" s="1"/>
  <c r="AG449" i="1"/>
  <c r="J447" i="4" s="1"/>
  <c r="AD442" i="1"/>
  <c r="G440" i="4" s="1"/>
  <c r="AG419" i="1"/>
  <c r="J417" i="4" s="1"/>
  <c r="AE411" i="1"/>
  <c r="H409" i="4" s="1"/>
  <c r="AD384" i="1"/>
  <c r="G382" i="4" s="1"/>
  <c r="AD355" i="1"/>
  <c r="G353" i="4" s="1"/>
  <c r="AF337" i="1"/>
  <c r="I335" i="4" s="1"/>
  <c r="AD286" i="1"/>
  <c r="G284" i="4" s="1"/>
  <c r="AD178" i="1"/>
  <c r="G176" i="4" s="1"/>
  <c r="AE138" i="1"/>
  <c r="H136" i="4" s="1"/>
  <c r="AD25" i="1"/>
  <c r="G23" i="4" s="1"/>
  <c r="AD274" i="1"/>
  <c r="G272" i="4" s="1"/>
  <c r="AD248" i="1"/>
  <c r="G246" i="4" s="1"/>
  <c r="AD243" i="1"/>
  <c r="G241" i="4" s="1"/>
  <c r="AD226" i="1"/>
  <c r="G224" i="4" s="1"/>
  <c r="AD219" i="1"/>
  <c r="G217" i="4" s="1"/>
  <c r="AF193" i="1"/>
  <c r="I191" i="4" s="1"/>
  <c r="AF182" i="1"/>
  <c r="I180" i="4" s="1"/>
  <c r="AF158" i="1"/>
  <c r="I156" i="4" s="1"/>
  <c r="AF134" i="1"/>
  <c r="I132" i="4" s="1"/>
  <c r="AE127" i="1"/>
  <c r="H125" i="4" s="1"/>
  <c r="AE114" i="1"/>
  <c r="H112" i="4" s="1"/>
  <c r="AJ1702" i="1"/>
  <c r="AL1626" i="1"/>
  <c r="AJ1611" i="1"/>
  <c r="AJ1603" i="1"/>
  <c r="AJ1575" i="1"/>
  <c r="AJ1092" i="1"/>
  <c r="B1090" i="4" s="1"/>
  <c r="AK869" i="1"/>
  <c r="C867" i="4" s="1"/>
  <c r="AJ1767" i="1"/>
  <c r="AM1741" i="1"/>
  <c r="AJ1672" i="1"/>
  <c r="AM1657" i="1"/>
  <c r="AL1602" i="1"/>
  <c r="AJ1424" i="1"/>
  <c r="B1422" i="4" s="1"/>
  <c r="AJ1373" i="1"/>
  <c r="B1371" i="4" s="1"/>
  <c r="AJ1138" i="1"/>
  <c r="B1136" i="4" s="1"/>
  <c r="AF301" i="1"/>
  <c r="I299" i="4" s="1"/>
  <c r="AD296" i="1"/>
  <c r="G294" i="4" s="1"/>
  <c r="AD284" i="1"/>
  <c r="G282" i="4" s="1"/>
  <c r="AE256" i="1"/>
  <c r="H254" i="4" s="1"/>
  <c r="AG242" i="1"/>
  <c r="J240" i="4" s="1"/>
  <c r="AE234" i="1"/>
  <c r="H232" i="4" s="1"/>
  <c r="AF217" i="1"/>
  <c r="I215" i="4" s="1"/>
  <c r="AF206" i="1"/>
  <c r="I204" i="4" s="1"/>
  <c r="AG184" i="1"/>
  <c r="J182" i="4" s="1"/>
  <c r="AG182" i="1"/>
  <c r="J180" i="4" s="1"/>
  <c r="AD135" i="1"/>
  <c r="G133" i="4" s="1"/>
  <c r="AF86" i="1"/>
  <c r="I84" i="4" s="1"/>
  <c r="AD39" i="1"/>
  <c r="G37" i="4" s="1"/>
  <c r="AE31" i="1"/>
  <c r="H29" i="4" s="1"/>
  <c r="AM1813" i="1"/>
  <c r="AJ1779" i="1"/>
  <c r="AJ1701" i="1"/>
  <c r="AJ1678" i="1"/>
  <c r="AJ1648" i="1"/>
  <c r="AM1633" i="1"/>
  <c r="AJ1412" i="1"/>
  <c r="B1410" i="4" s="1"/>
  <c r="AF289" i="1"/>
  <c r="I287" i="4" s="1"/>
  <c r="AF277" i="1"/>
  <c r="I275" i="4" s="1"/>
  <c r="AD272" i="1"/>
  <c r="G270" i="4" s="1"/>
  <c r="AD260" i="1"/>
  <c r="G258" i="4" s="1"/>
  <c r="AF247" i="1"/>
  <c r="I245" i="4" s="1"/>
  <c r="AF190" i="1"/>
  <c r="I188" i="4" s="1"/>
  <c r="AD166" i="1"/>
  <c r="G164" i="4" s="1"/>
  <c r="AD159" i="1"/>
  <c r="G157" i="4" s="1"/>
  <c r="AD142" i="1"/>
  <c r="G140" i="4" s="1"/>
  <c r="AF127" i="1"/>
  <c r="I125" i="4" s="1"/>
  <c r="AF70" i="1"/>
  <c r="I68" i="4" s="1"/>
  <c r="AD49" i="1"/>
  <c r="G47" i="4" s="1"/>
  <c r="AJ1812" i="1"/>
  <c r="AJ1804" i="1"/>
  <c r="AK1573" i="1"/>
  <c r="AK1555" i="1"/>
  <c r="AJ1224" i="1"/>
  <c r="B1222" i="4" s="1"/>
  <c r="AD295" i="1"/>
  <c r="G293" i="4" s="1"/>
  <c r="AD283" i="1"/>
  <c r="G281" i="4" s="1"/>
  <c r="AG208" i="1"/>
  <c r="J206" i="4" s="1"/>
  <c r="AG206" i="1"/>
  <c r="J204" i="4" s="1"/>
  <c r="AD70" i="1"/>
  <c r="G68" i="4" s="1"/>
  <c r="AE55" i="1"/>
  <c r="H53" i="4" s="1"/>
  <c r="AG40" i="1"/>
  <c r="J38" i="4" s="1"/>
  <c r="AM1801" i="1"/>
  <c r="AM1753" i="1"/>
  <c r="AJ1699" i="1"/>
  <c r="AJ1677" i="1"/>
  <c r="AJ1623" i="1"/>
  <c r="AK1257" i="1"/>
  <c r="C1255" i="4" s="1"/>
  <c r="AM626" i="1"/>
  <c r="E624" i="4" s="1"/>
  <c r="AM614" i="1"/>
  <c r="E612" i="4" s="1"/>
  <c r="AD271" i="1"/>
  <c r="G269" i="4" s="1"/>
  <c r="AE267" i="1"/>
  <c r="H265" i="4" s="1"/>
  <c r="AE251" i="1"/>
  <c r="H249" i="4" s="1"/>
  <c r="AD214" i="1"/>
  <c r="G212" i="4" s="1"/>
  <c r="AD207" i="1"/>
  <c r="G205" i="4" s="1"/>
  <c r="AE126" i="1"/>
  <c r="H124" i="4" s="1"/>
  <c r="AD111" i="1"/>
  <c r="G109" i="4" s="1"/>
  <c r="AD77" i="1"/>
  <c r="G75" i="4" s="1"/>
  <c r="AD27" i="1"/>
  <c r="G25" i="4" s="1"/>
  <c r="AK1819" i="1"/>
  <c r="AK1811" i="1"/>
  <c r="AJ1800" i="1"/>
  <c r="AK1771" i="1"/>
  <c r="AJ1752" i="1"/>
  <c r="AJ1725" i="1"/>
  <c r="AL1698" i="1"/>
  <c r="AJ1639" i="1"/>
  <c r="AK1631" i="1"/>
  <c r="AJ1594" i="1"/>
  <c r="AJ1563" i="1"/>
  <c r="AK1543" i="1"/>
  <c r="AK721" i="1"/>
  <c r="C719" i="4" s="1"/>
  <c r="AD300" i="1"/>
  <c r="G298" i="4" s="1"/>
  <c r="AF259" i="1"/>
  <c r="I257" i="4" s="1"/>
  <c r="AE255" i="1"/>
  <c r="H253" i="4" s="1"/>
  <c r="AE246" i="1"/>
  <c r="H244" i="4" s="1"/>
  <c r="AD229" i="1"/>
  <c r="G227" i="4" s="1"/>
  <c r="AE198" i="1"/>
  <c r="H196" i="4" s="1"/>
  <c r="AF170" i="1"/>
  <c r="I168" i="4" s="1"/>
  <c r="AE139" i="1"/>
  <c r="H137" i="4" s="1"/>
  <c r="AF122" i="1"/>
  <c r="I120" i="4" s="1"/>
  <c r="AE102" i="1"/>
  <c r="H100" i="4" s="1"/>
  <c r="AE77" i="1"/>
  <c r="H75" i="4" s="1"/>
  <c r="AF62" i="1"/>
  <c r="I60" i="4" s="1"/>
  <c r="AD37" i="1"/>
  <c r="G35" i="4" s="1"/>
  <c r="AJ1690" i="1"/>
  <c r="AM1669" i="1"/>
  <c r="AJ1653" i="1"/>
  <c r="AK1607" i="1"/>
  <c r="AD288" i="1"/>
  <c r="G286" i="4" s="1"/>
  <c r="AD276" i="1"/>
  <c r="G274" i="4" s="1"/>
  <c r="AF242" i="1"/>
  <c r="I240" i="4" s="1"/>
  <c r="AD238" i="1"/>
  <c r="G236" i="4" s="1"/>
  <c r="AD231" i="1"/>
  <c r="G229" i="4" s="1"/>
  <c r="AE222" i="1"/>
  <c r="H220" i="4" s="1"/>
  <c r="AF133" i="1"/>
  <c r="I131" i="4" s="1"/>
  <c r="AG117" i="1"/>
  <c r="J115" i="4" s="1"/>
  <c r="AG110" i="1"/>
  <c r="J108" i="4" s="1"/>
  <c r="AG28" i="1"/>
  <c r="J26" i="4" s="1"/>
  <c r="AL1818" i="1"/>
  <c r="AK1807" i="1"/>
  <c r="AK1799" i="1"/>
  <c r="AM1789" i="1"/>
  <c r="AK1783" i="1"/>
  <c r="AM1777" i="1"/>
  <c r="AJ1764" i="1"/>
  <c r="AJ1744" i="1"/>
  <c r="AJ1737" i="1"/>
  <c r="AL1592" i="1"/>
  <c r="AJ1579" i="1"/>
  <c r="AL635" i="1"/>
  <c r="D633" i="4" s="1"/>
  <c r="AK1763" i="1"/>
  <c r="AJ1689" i="1"/>
  <c r="AM1645" i="1"/>
  <c r="AJ1636" i="1"/>
  <c r="AL1614" i="1"/>
  <c r="AJ1606" i="1"/>
  <c r="AK742" i="1"/>
  <c r="C740" i="4" s="1"/>
  <c r="AK730" i="1"/>
  <c r="C728" i="4" s="1"/>
  <c r="AE303" i="1"/>
  <c r="H301" i="4" s="1"/>
  <c r="AG299" i="1"/>
  <c r="J297" i="4" s="1"/>
  <c r="AF269" i="1"/>
  <c r="I267" i="4" s="1"/>
  <c r="AE258" i="1"/>
  <c r="H256" i="4" s="1"/>
  <c r="AF249" i="1"/>
  <c r="I247" i="4" s="1"/>
  <c r="AG230" i="1"/>
  <c r="J228" i="4" s="1"/>
  <c r="AF163" i="1"/>
  <c r="I161" i="4" s="1"/>
  <c r="AD130" i="1"/>
  <c r="G128" i="4" s="1"/>
  <c r="AG122" i="1"/>
  <c r="J120" i="4" s="1"/>
  <c r="AD109" i="1"/>
  <c r="G107" i="4" s="1"/>
  <c r="AE67" i="1"/>
  <c r="H65" i="4" s="1"/>
  <c r="AF26" i="1"/>
  <c r="I24" i="4" s="1"/>
  <c r="AL1806" i="1"/>
  <c r="AK1775" i="1"/>
  <c r="AJ1756" i="1"/>
  <c r="AL1682" i="1"/>
  <c r="AJ1644" i="1"/>
  <c r="AL1591" i="1"/>
  <c r="AK1513" i="1"/>
  <c r="AJ1467" i="1"/>
  <c r="AM1366" i="1"/>
  <c r="E1364" i="4" s="1"/>
  <c r="AJ1785" i="1"/>
  <c r="AL1770" i="1"/>
  <c r="AK1759" i="1"/>
  <c r="AJ1755" i="1"/>
  <c r="AK1751" i="1"/>
  <c r="AJ1740" i="1"/>
  <c r="AJ1732" i="1"/>
  <c r="AM1729" i="1"/>
  <c r="AJ1713" i="1"/>
  <c r="AJ1660" i="1"/>
  <c r="AJ1656" i="1"/>
  <c r="AJ1635" i="1"/>
  <c r="AJ1618" i="1"/>
  <c r="AK1587" i="1"/>
  <c r="AM1425" i="1"/>
  <c r="E1423" i="4" s="1"/>
  <c r="AM1402" i="1"/>
  <c r="E1400" i="4" s="1"/>
  <c r="AK1268" i="1"/>
  <c r="C1266" i="4" s="1"/>
  <c r="AL944" i="1"/>
  <c r="D942" i="4" s="1"/>
  <c r="AK790" i="1"/>
  <c r="C788" i="4" s="1"/>
  <c r="AJ555" i="1"/>
  <c r="B553" i="4" s="1"/>
  <c r="AL1758" i="1"/>
  <c r="AK1747" i="1"/>
  <c r="AJ1743" i="1"/>
  <c r="AK1739" i="1"/>
  <c r="AJ1728" i="1"/>
  <c r="AJ1720" i="1"/>
  <c r="AM1717" i="1"/>
  <c r="AM1681" i="1"/>
  <c r="AJ1668" i="1"/>
  <c r="AK1655" i="1"/>
  <c r="AJ1651" i="1"/>
  <c r="AJ1647" i="1"/>
  <c r="AJ1630" i="1"/>
  <c r="AJ1605" i="1"/>
  <c r="AL1601" i="1"/>
  <c r="AJ1590" i="1"/>
  <c r="AM1586" i="1"/>
  <c r="AJ1460" i="1"/>
  <c r="AL1438" i="1"/>
  <c r="AM1401" i="1"/>
  <c r="E1399" i="4" s="1"/>
  <c r="AJ1393" i="1"/>
  <c r="B1391" i="4" s="1"/>
  <c r="AJ1331" i="1"/>
  <c r="B1329" i="4" s="1"/>
  <c r="AJ1750" i="1"/>
  <c r="AJ1708" i="1"/>
  <c r="AM1705" i="1"/>
  <c r="AJ1684" i="1"/>
  <c r="AJ1680" i="1"/>
  <c r="AL1638" i="1"/>
  <c r="AJ1617" i="1"/>
  <c r="AL1613" i="1"/>
  <c r="AJ1600" i="1"/>
  <c r="AJ1568" i="1"/>
  <c r="AK1538" i="1"/>
  <c r="AJ1400" i="1"/>
  <c r="B1398" i="4" s="1"/>
  <c r="AJ1385" i="1"/>
  <c r="B1383" i="4" s="1"/>
  <c r="AK1323" i="1"/>
  <c r="C1321" i="4" s="1"/>
  <c r="AK1077" i="1"/>
  <c r="C1075" i="4" s="1"/>
  <c r="AJ998" i="1"/>
  <c r="B996" i="4" s="1"/>
  <c r="AL1746" i="1"/>
  <c r="AK1735" i="1"/>
  <c r="AJ1731" i="1"/>
  <c r="AK1727" i="1"/>
  <c r="AJ1716" i="1"/>
  <c r="AJ1696" i="1"/>
  <c r="AM1693" i="1"/>
  <c r="AK1667" i="1"/>
  <c r="AJ1663" i="1"/>
  <c r="AJ1659" i="1"/>
  <c r="AL1650" i="1"/>
  <c r="AJ1642" i="1"/>
  <c r="AJ1612" i="1"/>
  <c r="AM1597" i="1"/>
  <c r="AJ1593" i="1"/>
  <c r="AK1589" i="1"/>
  <c r="AM1437" i="1"/>
  <c r="AM1377" i="1"/>
  <c r="E1375" i="4" s="1"/>
  <c r="AM1330" i="1"/>
  <c r="E1328" i="4" s="1"/>
  <c r="AJ1236" i="1"/>
  <c r="B1234" i="4" s="1"/>
  <c r="AJ1199" i="1"/>
  <c r="B1197" i="4" s="1"/>
  <c r="AJ1126" i="1"/>
  <c r="B1124" i="4" s="1"/>
  <c r="AK1795" i="1"/>
  <c r="AJ1738" i="1"/>
  <c r="AJ1704" i="1"/>
  <c r="AJ1692" i="1"/>
  <c r="AK1679" i="1"/>
  <c r="AJ1675" i="1"/>
  <c r="AJ1671" i="1"/>
  <c r="AJ1654" i="1"/>
  <c r="AJ1629" i="1"/>
  <c r="AL1625" i="1"/>
  <c r="AM1609" i="1"/>
  <c r="AJ1596" i="1"/>
  <c r="AJ1479" i="1"/>
  <c r="AJ1457" i="1"/>
  <c r="AL1450" i="1"/>
  <c r="AM1414" i="1"/>
  <c r="E1412" i="4" s="1"/>
  <c r="AJ1198" i="1"/>
  <c r="B1196" i="4" s="1"/>
  <c r="AM690" i="1"/>
  <c r="E688" i="4" s="1"/>
  <c r="AJ1798" i="1"/>
  <c r="AK1787" i="1"/>
  <c r="AJ1776" i="1"/>
  <c r="AJ1768" i="1"/>
  <c r="AM1765" i="1"/>
  <c r="AJ1749" i="1"/>
  <c r="AL1734" i="1"/>
  <c r="AK1723" i="1"/>
  <c r="AJ1719" i="1"/>
  <c r="AK1715" i="1"/>
  <c r="AL1662" i="1"/>
  <c r="AJ1624" i="1"/>
  <c r="AM1621" i="1"/>
  <c r="AJ1608" i="1"/>
  <c r="AK1585" i="1"/>
  <c r="AM1581" i="1"/>
  <c r="AJ1565" i="1"/>
  <c r="AM1545" i="1"/>
  <c r="AK1471" i="1"/>
  <c r="AJ1369" i="1"/>
  <c r="B1367" i="4" s="1"/>
  <c r="AJ1114" i="1"/>
  <c r="B1112" i="4" s="1"/>
  <c r="AL1794" i="1"/>
  <c r="AJ1726" i="1"/>
  <c r="AJ1711" i="1"/>
  <c r="AJ1707" i="1"/>
  <c r="AK1703" i="1"/>
  <c r="AK1691" i="1"/>
  <c r="AJ1687" i="1"/>
  <c r="AJ1683" i="1"/>
  <c r="AL1674" i="1"/>
  <c r="AJ1666" i="1"/>
  <c r="AJ1641" i="1"/>
  <c r="AL1637" i="1"/>
  <c r="AJ1620" i="1"/>
  <c r="AJ1599" i="1"/>
  <c r="AJ1544" i="1"/>
  <c r="AM1485" i="1"/>
  <c r="AM1449" i="1"/>
  <c r="AM1413" i="1"/>
  <c r="E1411" i="4" s="1"/>
  <c r="AK1382" i="1"/>
  <c r="C1380" i="4" s="1"/>
  <c r="AJ1361" i="1"/>
  <c r="B1359" i="4" s="1"/>
  <c r="AM853" i="1"/>
  <c r="E851" i="4" s="1"/>
  <c r="AJ120" i="1"/>
  <c r="B118" i="4" s="1"/>
  <c r="AJ1797" i="1"/>
  <c r="AJ1786" i="1"/>
  <c r="AJ1714" i="1"/>
  <c r="AL1710" i="1"/>
  <c r="AL1686" i="1"/>
  <c r="AJ1632" i="1"/>
  <c r="AK1619" i="1"/>
  <c r="AJ1615" i="1"/>
  <c r="AJ1580" i="1"/>
  <c r="AM1542" i="1"/>
  <c r="AK1483" i="1"/>
  <c r="AM1389" i="1"/>
  <c r="E1387" i="4" s="1"/>
  <c r="AJ1381" i="1"/>
  <c r="B1379" i="4" s="1"/>
  <c r="AK1359" i="1"/>
  <c r="C1357" i="4" s="1"/>
  <c r="AK1346" i="1"/>
  <c r="C1344" i="4" s="1"/>
  <c r="AM1261" i="1"/>
  <c r="E1259" i="4" s="1"/>
  <c r="AK1562" i="1"/>
  <c r="AK1515" i="1"/>
  <c r="AJ1508" i="1"/>
  <c r="AJ1482" i="1"/>
  <c r="AK1478" i="1"/>
  <c r="AJ1448" i="1"/>
  <c r="AJ1436" i="1"/>
  <c r="AJ1388" i="1"/>
  <c r="B1386" i="4" s="1"/>
  <c r="AJ1376" i="1"/>
  <c r="B1374" i="4" s="1"/>
  <c r="AM1365" i="1"/>
  <c r="E1363" i="4" s="1"/>
  <c r="AJ1357" i="1"/>
  <c r="B1355" i="4" s="1"/>
  <c r="AJ1349" i="1"/>
  <c r="B1347" i="4" s="1"/>
  <c r="AJ1345" i="1"/>
  <c r="B1343" i="4" s="1"/>
  <c r="AJ1337" i="1"/>
  <c r="B1335" i="4" s="1"/>
  <c r="AM1295" i="1"/>
  <c r="E1293" i="4" s="1"/>
  <c r="AK1256" i="1"/>
  <c r="C1254" i="4" s="1"/>
  <c r="AK1220" i="1"/>
  <c r="C1218" i="4" s="1"/>
  <c r="AM1213" i="1"/>
  <c r="E1211" i="4" s="1"/>
  <c r="AJ1150" i="1"/>
  <c r="B1148" i="4" s="1"/>
  <c r="AJ1090" i="1"/>
  <c r="B1088" i="4" s="1"/>
  <c r="AL1033" i="1"/>
  <c r="D1031" i="4" s="1"/>
  <c r="AK1567" i="1"/>
  <c r="AL1522" i="1"/>
  <c r="AJ1470" i="1"/>
  <c r="AK1459" i="1"/>
  <c r="AK1423" i="1"/>
  <c r="C1421" i="4" s="1"/>
  <c r="AK1411" i="1"/>
  <c r="C1409" i="4" s="1"/>
  <c r="AK1399" i="1"/>
  <c r="C1397" i="4" s="1"/>
  <c r="AJ1364" i="1"/>
  <c r="B1362" i="4" s="1"/>
  <c r="AM1353" i="1"/>
  <c r="E1351" i="4" s="1"/>
  <c r="AM1341" i="1"/>
  <c r="E1339" i="4" s="1"/>
  <c r="AJ1333" i="1"/>
  <c r="B1331" i="4" s="1"/>
  <c r="AJ1325" i="1"/>
  <c r="B1323" i="4" s="1"/>
  <c r="AK1288" i="1"/>
  <c r="C1286" i="4" s="1"/>
  <c r="AK1279" i="1"/>
  <c r="C1277" i="4" s="1"/>
  <c r="AJ1212" i="1"/>
  <c r="B1210" i="4" s="1"/>
  <c r="AK1196" i="1"/>
  <c r="C1194" i="4" s="1"/>
  <c r="AL1083" i="1"/>
  <c r="D1081" i="4" s="1"/>
  <c r="AK911" i="1"/>
  <c r="C909" i="4" s="1"/>
  <c r="AJ838" i="1"/>
  <c r="B836" i="4" s="1"/>
  <c r="AJ1553" i="1"/>
  <c r="AJ1541" i="1"/>
  <c r="AK1537" i="1"/>
  <c r="AJ1529" i="1"/>
  <c r="AK1507" i="1"/>
  <c r="AM1497" i="1"/>
  <c r="AL1486" i="1"/>
  <c r="AK1455" i="1"/>
  <c r="AJ1451" i="1"/>
  <c r="AK1447" i="1"/>
  <c r="AJ1443" i="1"/>
  <c r="AJ1439" i="1"/>
  <c r="AK1435" i="1"/>
  <c r="AJ1415" i="1"/>
  <c r="B1413" i="4" s="1"/>
  <c r="AJ1403" i="1"/>
  <c r="B1401" i="4" s="1"/>
  <c r="AK1387" i="1"/>
  <c r="C1385" i="4" s="1"/>
  <c r="AK1375" i="1"/>
  <c r="C1373" i="4" s="1"/>
  <c r="AJ1352" i="1"/>
  <c r="B1350" i="4" s="1"/>
  <c r="AJ1340" i="1"/>
  <c r="B1338" i="4" s="1"/>
  <c r="AM1329" i="1"/>
  <c r="E1327" i="4" s="1"/>
  <c r="AJ1321" i="1"/>
  <c r="B1319" i="4" s="1"/>
  <c r="AK1315" i="1"/>
  <c r="C1313" i="4" s="1"/>
  <c r="AJ1175" i="1"/>
  <c r="B1173" i="4" s="1"/>
  <c r="AJ1162" i="1"/>
  <c r="B1160" i="4" s="1"/>
  <c r="AK1089" i="1"/>
  <c r="C1087" i="4" s="1"/>
  <c r="AJ1082" i="1"/>
  <c r="B1080" i="4" s="1"/>
  <c r="AM1072" i="1"/>
  <c r="E1070" i="4" s="1"/>
  <c r="AL1021" i="1"/>
  <c r="D1019" i="4" s="1"/>
  <c r="AJ751" i="1"/>
  <c r="B749" i="4" s="1"/>
  <c r="AK694" i="1"/>
  <c r="C692" i="4" s="1"/>
  <c r="AK1549" i="1"/>
  <c r="AK1525" i="1"/>
  <c r="AL1474" i="1"/>
  <c r="AJ1458" i="1"/>
  <c r="AK1431" i="1"/>
  <c r="AJ1427" i="1"/>
  <c r="B1425" i="4" s="1"/>
  <c r="AJ1391" i="1"/>
  <c r="B1389" i="4" s="1"/>
  <c r="AJ1379" i="1"/>
  <c r="B1377" i="4" s="1"/>
  <c r="AK1363" i="1"/>
  <c r="C1361" i="4" s="1"/>
  <c r="AJ1328" i="1"/>
  <c r="B1326" i="4" s="1"/>
  <c r="AM1307" i="1"/>
  <c r="E1305" i="4" s="1"/>
  <c r="AJ1287" i="1"/>
  <c r="B1285" i="4" s="1"/>
  <c r="AJ1263" i="1"/>
  <c r="B1261" i="4" s="1"/>
  <c r="AJ1248" i="1"/>
  <c r="B1246" i="4" s="1"/>
  <c r="AK1195" i="1"/>
  <c r="C1193" i="4" s="1"/>
  <c r="AK1561" i="1"/>
  <c r="AJ1506" i="1"/>
  <c r="AJ1503" i="1"/>
  <c r="AM1481" i="1"/>
  <c r="AJ1469" i="1"/>
  <c r="AJ1446" i="1"/>
  <c r="AJ1434" i="1"/>
  <c r="AK1419" i="1"/>
  <c r="C1417" i="4" s="1"/>
  <c r="AK1407" i="1"/>
  <c r="C1405" i="4" s="1"/>
  <c r="AK1395" i="1"/>
  <c r="C1393" i="4" s="1"/>
  <c r="AJ1367" i="1"/>
  <c r="B1365" i="4" s="1"/>
  <c r="AK1351" i="1"/>
  <c r="C1349" i="4" s="1"/>
  <c r="AK1339" i="1"/>
  <c r="C1337" i="4" s="1"/>
  <c r="AJ1187" i="1"/>
  <c r="B1185" i="4" s="1"/>
  <c r="AJ1102" i="1"/>
  <c r="B1100" i="4" s="1"/>
  <c r="AL990" i="1"/>
  <c r="D988" i="4" s="1"/>
  <c r="AK969" i="1"/>
  <c r="C967" i="4" s="1"/>
  <c r="AL846" i="1"/>
  <c r="D844" i="4" s="1"/>
  <c r="AK604" i="1"/>
  <c r="C602" i="4" s="1"/>
  <c r="AK592" i="1"/>
  <c r="C590" i="4" s="1"/>
  <c r="AM1533" i="1"/>
  <c r="AM1521" i="1"/>
  <c r="AJ1496" i="1"/>
  <c r="AK1418" i="1"/>
  <c r="C1416" i="4" s="1"/>
  <c r="AK1383" i="1"/>
  <c r="C1381" i="4" s="1"/>
  <c r="AK1371" i="1"/>
  <c r="C1369" i="4" s="1"/>
  <c r="AJ1355" i="1"/>
  <c r="B1353" i="4" s="1"/>
  <c r="AJ1343" i="1"/>
  <c r="B1341" i="4" s="1"/>
  <c r="AK1327" i="1"/>
  <c r="C1325" i="4" s="1"/>
  <c r="AL1300" i="1"/>
  <c r="D1298" i="4" s="1"/>
  <c r="AM1225" i="1"/>
  <c r="E1223" i="4" s="1"/>
  <c r="AL1069" i="1"/>
  <c r="D1067" i="4" s="1"/>
  <c r="AL968" i="1"/>
  <c r="D966" i="4" s="1"/>
  <c r="AJ854" i="1"/>
  <c r="B852" i="4" s="1"/>
  <c r="AM1557" i="1"/>
  <c r="AJ1532" i="1"/>
  <c r="AJ1520" i="1"/>
  <c r="AK1495" i="1"/>
  <c r="AM1473" i="1"/>
  <c r="AJ1445" i="1"/>
  <c r="AJ1433" i="1"/>
  <c r="AM1390" i="1"/>
  <c r="E1388" i="4" s="1"/>
  <c r="AM1378" i="1"/>
  <c r="E1376" i="4" s="1"/>
  <c r="AK1347" i="1"/>
  <c r="C1345" i="4" s="1"/>
  <c r="AK1335" i="1"/>
  <c r="C1333" i="4" s="1"/>
  <c r="AL1305" i="1"/>
  <c r="D1303" i="4" s="1"/>
  <c r="AJ1299" i="1"/>
  <c r="B1297" i="4" s="1"/>
  <c r="AK1208" i="1"/>
  <c r="C1206" i="4" s="1"/>
  <c r="AL966" i="1"/>
  <c r="D964" i="4" s="1"/>
  <c r="AK917" i="1"/>
  <c r="C915" i="4" s="1"/>
  <c r="AJ344" i="1"/>
  <c r="B342" i="4" s="1"/>
  <c r="AM1569" i="1"/>
  <c r="AJ1556" i="1"/>
  <c r="AJ1551" i="1"/>
  <c r="AJ1539" i="1"/>
  <c r="AK1531" i="1"/>
  <c r="AJ1527" i="1"/>
  <c r="AK1519" i="1"/>
  <c r="AM1509" i="1"/>
  <c r="AJ1494" i="1"/>
  <c r="AJ1491" i="1"/>
  <c r="AJ1472" i="1"/>
  <c r="AM1461" i="1"/>
  <c r="AJ1421" i="1"/>
  <c r="B1419" i="4" s="1"/>
  <c r="AJ1417" i="1"/>
  <c r="B1415" i="4" s="1"/>
  <c r="AJ1409" i="1"/>
  <c r="B1407" i="4" s="1"/>
  <c r="AJ1405" i="1"/>
  <c r="B1403" i="4" s="1"/>
  <c r="AJ1397" i="1"/>
  <c r="B1395" i="4" s="1"/>
  <c r="AM1354" i="1"/>
  <c r="E1352" i="4" s="1"/>
  <c r="AM1342" i="1"/>
  <c r="E1340" i="4" s="1"/>
  <c r="AM1318" i="1"/>
  <c r="E1316" i="4" s="1"/>
  <c r="AL1312" i="1"/>
  <c r="D1310" i="4" s="1"/>
  <c r="AL1282" i="1"/>
  <c r="D1280" i="4" s="1"/>
  <c r="AM1274" i="1"/>
  <c r="E1272" i="4" s="1"/>
  <c r="AM1237" i="1"/>
  <c r="E1235" i="4" s="1"/>
  <c r="AL611" i="1"/>
  <c r="D609" i="4" s="1"/>
  <c r="AK1316" i="1"/>
  <c r="C1314" i="4" s="1"/>
  <c r="AJ1309" i="1"/>
  <c r="B1307" i="4" s="1"/>
  <c r="AK1286" i="1"/>
  <c r="C1284" i="4" s="1"/>
  <c r="AK1207" i="1"/>
  <c r="C1205" i="4" s="1"/>
  <c r="AJ1191" i="1"/>
  <c r="B1189" i="4" s="1"/>
  <c r="AK1185" i="1"/>
  <c r="C1183" i="4" s="1"/>
  <c r="AL1179" i="1"/>
  <c r="D1177" i="4" s="1"/>
  <c r="AK1173" i="1"/>
  <c r="C1171" i="4" s="1"/>
  <c r="AL1167" i="1"/>
  <c r="D1165" i="4" s="1"/>
  <c r="AL1155" i="1"/>
  <c r="D1153" i="4" s="1"/>
  <c r="AL1143" i="1"/>
  <c r="D1141" i="4" s="1"/>
  <c r="AL1131" i="1"/>
  <c r="D1129" i="4" s="1"/>
  <c r="AL1119" i="1"/>
  <c r="D1117" i="4" s="1"/>
  <c r="AL1107" i="1"/>
  <c r="D1105" i="4" s="1"/>
  <c r="AL1095" i="1"/>
  <c r="D1093" i="4" s="1"/>
  <c r="AK1076" i="1"/>
  <c r="C1074" i="4" s="1"/>
  <c r="AK1017" i="1"/>
  <c r="C1015" i="4" s="1"/>
  <c r="AJ974" i="1"/>
  <c r="B972" i="4" s="1"/>
  <c r="AK923" i="1"/>
  <c r="C921" i="4" s="1"/>
  <c r="AL888" i="1"/>
  <c r="D886" i="4" s="1"/>
  <c r="AJ1272" i="1"/>
  <c r="B1270" i="4" s="1"/>
  <c r="AJ1260" i="1"/>
  <c r="B1258" i="4" s="1"/>
  <c r="AK1252" i="1"/>
  <c r="C1250" i="4" s="1"/>
  <c r="AL1247" i="1"/>
  <c r="D1245" i="4" s="1"/>
  <c r="AK1243" i="1"/>
  <c r="C1241" i="4" s="1"/>
  <c r="AK1231" i="1"/>
  <c r="C1229" i="4" s="1"/>
  <c r="AJ1222" i="1"/>
  <c r="B1220" i="4" s="1"/>
  <c r="AJ1210" i="1"/>
  <c r="B1208" i="4" s="1"/>
  <c r="AK1161" i="1"/>
  <c r="C1159" i="4" s="1"/>
  <c r="AK1149" i="1"/>
  <c r="C1147" i="4" s="1"/>
  <c r="AK1137" i="1"/>
  <c r="C1135" i="4" s="1"/>
  <c r="AK1125" i="1"/>
  <c r="C1123" i="4" s="1"/>
  <c r="AK1113" i="1"/>
  <c r="C1111" i="4" s="1"/>
  <c r="AK1101" i="1"/>
  <c r="C1099" i="4" s="1"/>
  <c r="AJ1094" i="1"/>
  <c r="B1092" i="4" s="1"/>
  <c r="AK1075" i="1"/>
  <c r="C1073" i="4" s="1"/>
  <c r="AK1061" i="1"/>
  <c r="C1059" i="4" s="1"/>
  <c r="AK1053" i="1"/>
  <c r="C1051" i="4" s="1"/>
  <c r="AL1009" i="1"/>
  <c r="D1007" i="4" s="1"/>
  <c r="AK981" i="1"/>
  <c r="C979" i="4" s="1"/>
  <c r="AM973" i="1"/>
  <c r="E971" i="4" s="1"/>
  <c r="AK965" i="1"/>
  <c r="C963" i="4" s="1"/>
  <c r="AJ922" i="1"/>
  <c r="B920" i="4" s="1"/>
  <c r="AK873" i="1"/>
  <c r="C871" i="4" s="1"/>
  <c r="AJ866" i="1"/>
  <c r="B864" i="4" s="1"/>
  <c r="AK837" i="1"/>
  <c r="C835" i="4" s="1"/>
  <c r="AK640" i="1"/>
  <c r="C638" i="4" s="1"/>
  <c r="AL599" i="1"/>
  <c r="D597" i="4" s="1"/>
  <c r="AM590" i="1"/>
  <c r="E588" i="4" s="1"/>
  <c r="AK1308" i="1"/>
  <c r="C1306" i="4" s="1"/>
  <c r="AK1280" i="1"/>
  <c r="C1278" i="4" s="1"/>
  <c r="AK1255" i="1"/>
  <c r="C1253" i="4" s="1"/>
  <c r="AJ1203" i="1"/>
  <c r="B1201" i="4" s="1"/>
  <c r="AK1197" i="1"/>
  <c r="C1195" i="4" s="1"/>
  <c r="AJ1190" i="1"/>
  <c r="B1188" i="4" s="1"/>
  <c r="AJ1178" i="1"/>
  <c r="B1176" i="4" s="1"/>
  <c r="AJ1166" i="1"/>
  <c r="B1164" i="4" s="1"/>
  <c r="AJ1154" i="1"/>
  <c r="B1152" i="4" s="1"/>
  <c r="AJ1142" i="1"/>
  <c r="B1140" i="4" s="1"/>
  <c r="AJ1130" i="1"/>
  <c r="B1128" i="4" s="1"/>
  <c r="AJ1118" i="1"/>
  <c r="B1116" i="4" s="1"/>
  <c r="AJ1106" i="1"/>
  <c r="B1104" i="4" s="1"/>
  <c r="AM1081" i="1"/>
  <c r="E1079" i="4" s="1"/>
  <c r="AL1038" i="1"/>
  <c r="D1036" i="4" s="1"/>
  <c r="AL1002" i="1"/>
  <c r="D1000" i="4" s="1"/>
  <c r="AJ972" i="1"/>
  <c r="B970" i="4" s="1"/>
  <c r="AJ900" i="1"/>
  <c r="B898" i="4" s="1"/>
  <c r="AK887" i="1"/>
  <c r="C885" i="4" s="1"/>
  <c r="AM865" i="1"/>
  <c r="E863" i="4" s="1"/>
  <c r="AK539" i="1"/>
  <c r="C537" i="4" s="1"/>
  <c r="AK1304" i="1"/>
  <c r="C1302" i="4" s="1"/>
  <c r="AJ1284" i="1"/>
  <c r="B1282" i="4" s="1"/>
  <c r="AJ1271" i="1"/>
  <c r="B1269" i="4" s="1"/>
  <c r="AK1264" i="1"/>
  <c r="C1262" i="4" s="1"/>
  <c r="AL1259" i="1"/>
  <c r="D1257" i="4" s="1"/>
  <c r="AJ1227" i="1"/>
  <c r="B1225" i="4" s="1"/>
  <c r="AJ1215" i="1"/>
  <c r="B1213" i="4" s="1"/>
  <c r="AK1088" i="1"/>
  <c r="C1086" i="4" s="1"/>
  <c r="AK1052" i="1"/>
  <c r="C1050" i="4" s="1"/>
  <c r="AK980" i="1"/>
  <c r="C978" i="4" s="1"/>
  <c r="AK935" i="1"/>
  <c r="C933" i="4" s="1"/>
  <c r="AJ850" i="1"/>
  <c r="B848" i="4" s="1"/>
  <c r="AL707" i="1"/>
  <c r="D705" i="4" s="1"/>
  <c r="AJ677" i="1"/>
  <c r="B675" i="4" s="1"/>
  <c r="AK628" i="1"/>
  <c r="C626" i="4" s="1"/>
  <c r="AJ568" i="1"/>
  <c r="B566" i="4" s="1"/>
  <c r="AJ1297" i="1"/>
  <c r="B1295" i="4" s="1"/>
  <c r="AJ1251" i="1"/>
  <c r="B1249" i="4" s="1"/>
  <c r="AJ1239" i="1"/>
  <c r="B1237" i="4" s="1"/>
  <c r="AK1221" i="1"/>
  <c r="C1219" i="4" s="1"/>
  <c r="AK1209" i="1"/>
  <c r="C1207" i="4" s="1"/>
  <c r="AJ1202" i="1"/>
  <c r="B1200" i="4" s="1"/>
  <c r="AK1184" i="1"/>
  <c r="C1182" i="4" s="1"/>
  <c r="AK1172" i="1"/>
  <c r="C1170" i="4" s="1"/>
  <c r="AM1093" i="1"/>
  <c r="E1091" i="4" s="1"/>
  <c r="AJ1080" i="1"/>
  <c r="B1078" i="4" s="1"/>
  <c r="AM949" i="1"/>
  <c r="E947" i="4" s="1"/>
  <c r="AJ934" i="1"/>
  <c r="B932" i="4" s="1"/>
  <c r="AL834" i="1"/>
  <c r="D832" i="4" s="1"/>
  <c r="AJ785" i="1"/>
  <c r="B783" i="4" s="1"/>
  <c r="AK736" i="1"/>
  <c r="C734" i="4" s="1"/>
  <c r="AJ1319" i="1"/>
  <c r="B1317" i="4" s="1"/>
  <c r="AK1296" i="1"/>
  <c r="C1294" i="4" s="1"/>
  <c r="AK1292" i="1"/>
  <c r="C1290" i="4" s="1"/>
  <c r="AK1245" i="1"/>
  <c r="C1243" i="4" s="1"/>
  <c r="AK1233" i="1"/>
  <c r="C1231" i="4" s="1"/>
  <c r="AJ1226" i="1"/>
  <c r="B1224" i="4" s="1"/>
  <c r="AJ1214" i="1"/>
  <c r="B1212" i="4" s="1"/>
  <c r="AM1189" i="1"/>
  <c r="E1187" i="4" s="1"/>
  <c r="AM1177" i="1"/>
  <c r="E1175" i="4" s="1"/>
  <c r="AM1165" i="1"/>
  <c r="E1163" i="4" s="1"/>
  <c r="AK1160" i="1"/>
  <c r="C1158" i="4" s="1"/>
  <c r="AM1153" i="1"/>
  <c r="E1151" i="4" s="1"/>
  <c r="AK1148" i="1"/>
  <c r="C1146" i="4" s="1"/>
  <c r="AM1141" i="1"/>
  <c r="E1139" i="4" s="1"/>
  <c r="AK1136" i="1"/>
  <c r="C1134" i="4" s="1"/>
  <c r="AM1129" i="1"/>
  <c r="E1127" i="4" s="1"/>
  <c r="AK1124" i="1"/>
  <c r="C1122" i="4" s="1"/>
  <c r="AM1117" i="1"/>
  <c r="E1115" i="4" s="1"/>
  <c r="AK1112" i="1"/>
  <c r="C1110" i="4" s="1"/>
  <c r="AM1105" i="1"/>
  <c r="E1103" i="4" s="1"/>
  <c r="AK1100" i="1"/>
  <c r="C1098" i="4" s="1"/>
  <c r="AK1029" i="1"/>
  <c r="C1027" i="4" s="1"/>
  <c r="AJ948" i="1"/>
  <c r="B946" i="4" s="1"/>
  <c r="AK941" i="1"/>
  <c r="C939" i="4" s="1"/>
  <c r="AJ898" i="1"/>
  <c r="B896" i="4" s="1"/>
  <c r="AK849" i="1"/>
  <c r="C847" i="4" s="1"/>
  <c r="AJ842" i="1"/>
  <c r="B840" i="4" s="1"/>
  <c r="AJ735" i="1"/>
  <c r="B733" i="4" s="1"/>
  <c r="AK1303" i="1"/>
  <c r="C1301" i="4" s="1"/>
  <c r="AM1283" i="1"/>
  <c r="E1281" i="4" s="1"/>
  <c r="AK1269" i="1"/>
  <c r="C1267" i="4" s="1"/>
  <c r="AM1201" i="1"/>
  <c r="E1199" i="4" s="1"/>
  <c r="AJ1188" i="1"/>
  <c r="B1186" i="4" s="1"/>
  <c r="AJ1176" i="1"/>
  <c r="B1174" i="4" s="1"/>
  <c r="AJ1164" i="1"/>
  <c r="B1162" i="4" s="1"/>
  <c r="AJ1152" i="1"/>
  <c r="B1150" i="4" s="1"/>
  <c r="AJ1140" i="1"/>
  <c r="B1138" i="4" s="1"/>
  <c r="AJ1128" i="1"/>
  <c r="B1126" i="4" s="1"/>
  <c r="AJ1116" i="1"/>
  <c r="B1114" i="4" s="1"/>
  <c r="AJ1104" i="1"/>
  <c r="B1102" i="4" s="1"/>
  <c r="AJ1091" i="1"/>
  <c r="B1089" i="4" s="1"/>
  <c r="AK1087" i="1"/>
  <c r="C1085" i="4" s="1"/>
  <c r="AJ1078" i="1"/>
  <c r="B1076" i="4" s="1"/>
  <c r="AJ1064" i="1"/>
  <c r="B1062" i="4" s="1"/>
  <c r="AK947" i="1"/>
  <c r="C945" i="4" s="1"/>
  <c r="AM877" i="1"/>
  <c r="E875" i="4" s="1"/>
  <c r="AJ804" i="1"/>
  <c r="B802" i="4" s="1"/>
  <c r="AK793" i="1"/>
  <c r="C791" i="4" s="1"/>
  <c r="AK575" i="1"/>
  <c r="C573" i="4" s="1"/>
  <c r="AK1291" i="1"/>
  <c r="C1289" i="4" s="1"/>
  <c r="AJ1275" i="1"/>
  <c r="B1273" i="4" s="1"/>
  <c r="AM1249" i="1"/>
  <c r="E1247" i="4" s="1"/>
  <c r="AK1244" i="1"/>
  <c r="C1242" i="4" s="1"/>
  <c r="AK1232" i="1"/>
  <c r="C1230" i="4" s="1"/>
  <c r="AJ1200" i="1"/>
  <c r="B1198" i="4" s="1"/>
  <c r="AJ1186" i="1"/>
  <c r="B1184" i="4" s="1"/>
  <c r="AJ1174" i="1"/>
  <c r="B1172" i="4" s="1"/>
  <c r="AK1159" i="1"/>
  <c r="C1157" i="4" s="1"/>
  <c r="AK1147" i="1"/>
  <c r="C1145" i="4" s="1"/>
  <c r="AK1135" i="1"/>
  <c r="C1133" i="4" s="1"/>
  <c r="AK1123" i="1"/>
  <c r="C1121" i="4" s="1"/>
  <c r="AK1111" i="1"/>
  <c r="C1109" i="4" s="1"/>
  <c r="AK1099" i="1"/>
  <c r="C1097" i="4" s="1"/>
  <c r="AJ1070" i="1"/>
  <c r="B1068" i="4" s="1"/>
  <c r="AK1049" i="1"/>
  <c r="C1047" i="4" s="1"/>
  <c r="AM997" i="1"/>
  <c r="E995" i="4" s="1"/>
  <c r="AK977" i="1"/>
  <c r="C975" i="4" s="1"/>
  <c r="AJ910" i="1"/>
  <c r="B908" i="4" s="1"/>
  <c r="AL876" i="1"/>
  <c r="D874" i="4" s="1"/>
  <c r="AK861" i="1"/>
  <c r="C859" i="4" s="1"/>
  <c r="AJ462" i="1"/>
  <c r="B460" i="4" s="1"/>
  <c r="AK1073" i="1"/>
  <c r="C1071" i="4" s="1"/>
  <c r="AJ1056" i="1"/>
  <c r="B1054" i="4" s="1"/>
  <c r="AK1040" i="1"/>
  <c r="C1038" i="4" s="1"/>
  <c r="AK1037" i="1"/>
  <c r="C1035" i="4" s="1"/>
  <c r="AK1004" i="1"/>
  <c r="C1002" i="4" s="1"/>
  <c r="AK1001" i="1"/>
  <c r="C999" i="4" s="1"/>
  <c r="AK992" i="1"/>
  <c r="C990" i="4" s="1"/>
  <c r="AK989" i="1"/>
  <c r="C987" i="4" s="1"/>
  <c r="AJ984" i="1"/>
  <c r="B982" i="4" s="1"/>
  <c r="AK959" i="1"/>
  <c r="C957" i="4" s="1"/>
  <c r="AJ946" i="1"/>
  <c r="B944" i="4" s="1"/>
  <c r="AJ886" i="1"/>
  <c r="B884" i="4" s="1"/>
  <c r="AL864" i="1"/>
  <c r="D862" i="4" s="1"/>
  <c r="AM841" i="1"/>
  <c r="E839" i="4" s="1"/>
  <c r="AJ689" i="1"/>
  <c r="B687" i="4" s="1"/>
  <c r="AM674" i="1"/>
  <c r="E672" i="4" s="1"/>
  <c r="AL482" i="1"/>
  <c r="D480" i="4" s="1"/>
  <c r="AJ395" i="1"/>
  <c r="B393" i="4" s="1"/>
  <c r="AJ1044" i="1"/>
  <c r="B1042" i="4" s="1"/>
  <c r="AJ1032" i="1"/>
  <c r="B1030" i="4" s="1"/>
  <c r="AK1028" i="1"/>
  <c r="C1026" i="4" s="1"/>
  <c r="AK1025" i="1"/>
  <c r="C1023" i="4" s="1"/>
  <c r="AJ1020" i="1"/>
  <c r="B1018" i="4" s="1"/>
  <c r="AK1016" i="1"/>
  <c r="C1014" i="4" s="1"/>
  <c r="AK1013" i="1"/>
  <c r="C1011" i="4" s="1"/>
  <c r="AJ1008" i="1"/>
  <c r="B1006" i="4" s="1"/>
  <c r="AJ996" i="1"/>
  <c r="B994" i="4" s="1"/>
  <c r="AK971" i="1"/>
  <c r="C969" i="4" s="1"/>
  <c r="AJ958" i="1"/>
  <c r="B956" i="4" s="1"/>
  <c r="AK875" i="1"/>
  <c r="C873" i="4" s="1"/>
  <c r="AK857" i="1"/>
  <c r="C855" i="4" s="1"/>
  <c r="AM829" i="1"/>
  <c r="E827" i="4" s="1"/>
  <c r="AM762" i="1"/>
  <c r="E760" i="4" s="1"/>
  <c r="AL755" i="1"/>
  <c r="D753" i="4" s="1"/>
  <c r="AJ747" i="1"/>
  <c r="B745" i="4" s="1"/>
  <c r="AJ713" i="1"/>
  <c r="B711" i="4" s="1"/>
  <c r="AK706" i="1"/>
  <c r="C704" i="4" s="1"/>
  <c r="AJ631" i="1"/>
  <c r="B629" i="4" s="1"/>
  <c r="AJ595" i="1"/>
  <c r="B593" i="4" s="1"/>
  <c r="AJ383" i="1"/>
  <c r="B381" i="4" s="1"/>
  <c r="AJ970" i="1"/>
  <c r="B968" i="4" s="1"/>
  <c r="AJ926" i="1"/>
  <c r="B924" i="4" s="1"/>
  <c r="AJ902" i="1"/>
  <c r="B900" i="4" s="1"/>
  <c r="AK897" i="1"/>
  <c r="C895" i="4" s="1"/>
  <c r="AJ890" i="1"/>
  <c r="B888" i="4" s="1"/>
  <c r="AJ874" i="1"/>
  <c r="B872" i="4" s="1"/>
  <c r="AL852" i="1"/>
  <c r="D850" i="4" s="1"/>
  <c r="AK802" i="1"/>
  <c r="C800" i="4" s="1"/>
  <c r="AK733" i="1"/>
  <c r="C731" i="4" s="1"/>
  <c r="AM726" i="1"/>
  <c r="E724" i="4" s="1"/>
  <c r="AK697" i="1"/>
  <c r="C695" i="4" s="1"/>
  <c r="AM666" i="1"/>
  <c r="E664" i="4" s="1"/>
  <c r="AL659" i="1"/>
  <c r="D657" i="4" s="1"/>
  <c r="AM638" i="1"/>
  <c r="E636" i="4" s="1"/>
  <c r="AL623" i="1"/>
  <c r="D621" i="4" s="1"/>
  <c r="AK616" i="1"/>
  <c r="C614" i="4" s="1"/>
  <c r="AM602" i="1"/>
  <c r="E600" i="4" s="1"/>
  <c r="AL587" i="1"/>
  <c r="D585" i="4" s="1"/>
  <c r="AK580" i="1"/>
  <c r="C578" i="4" s="1"/>
  <c r="AL545" i="1"/>
  <c r="D543" i="4" s="1"/>
  <c r="AK1067" i="1"/>
  <c r="C1065" i="4" s="1"/>
  <c r="AK1055" i="1"/>
  <c r="C1053" i="4" s="1"/>
  <c r="AK983" i="1"/>
  <c r="C981" i="4" s="1"/>
  <c r="AJ938" i="1"/>
  <c r="B936" i="4" s="1"/>
  <c r="AK933" i="1"/>
  <c r="C931" i="4" s="1"/>
  <c r="AL930" i="1"/>
  <c r="D928" i="4" s="1"/>
  <c r="AK921" i="1"/>
  <c r="C919" i="4" s="1"/>
  <c r="AJ914" i="1"/>
  <c r="B912" i="4" s="1"/>
  <c r="AK909" i="1"/>
  <c r="C907" i="4" s="1"/>
  <c r="AL906" i="1"/>
  <c r="D904" i="4" s="1"/>
  <c r="AL894" i="1"/>
  <c r="D892" i="4" s="1"/>
  <c r="AK863" i="1"/>
  <c r="C861" i="4" s="1"/>
  <c r="AK845" i="1"/>
  <c r="C843" i="4" s="1"/>
  <c r="AK327" i="1"/>
  <c r="C325" i="4" s="1"/>
  <c r="AK295" i="1"/>
  <c r="C293" i="4" s="1"/>
  <c r="AL1054" i="1"/>
  <c r="D1052" i="4" s="1"/>
  <c r="AK1043" i="1"/>
  <c r="C1041" i="4" s="1"/>
  <c r="AK1031" i="1"/>
  <c r="C1029" i="4" s="1"/>
  <c r="AK1019" i="1"/>
  <c r="C1017" i="4" s="1"/>
  <c r="AK1007" i="1"/>
  <c r="C1005" i="4" s="1"/>
  <c r="AK995" i="1"/>
  <c r="C993" i="4" s="1"/>
  <c r="AJ982" i="1"/>
  <c r="B980" i="4" s="1"/>
  <c r="AJ950" i="1"/>
  <c r="B948" i="4" s="1"/>
  <c r="AK945" i="1"/>
  <c r="C943" i="4" s="1"/>
  <c r="AL942" i="1"/>
  <c r="D940" i="4" s="1"/>
  <c r="AM925" i="1"/>
  <c r="E923" i="4" s="1"/>
  <c r="AL918" i="1"/>
  <c r="D916" i="4" s="1"/>
  <c r="AM901" i="1"/>
  <c r="E899" i="4" s="1"/>
  <c r="AM889" i="1"/>
  <c r="E887" i="4" s="1"/>
  <c r="AK885" i="1"/>
  <c r="C883" i="4" s="1"/>
  <c r="AJ878" i="1"/>
  <c r="B876" i="4" s="1"/>
  <c r="AJ862" i="1"/>
  <c r="B860" i="4" s="1"/>
  <c r="AL840" i="1"/>
  <c r="D838" i="4" s="1"/>
  <c r="AK808" i="1"/>
  <c r="C806" i="4" s="1"/>
  <c r="AM786" i="1"/>
  <c r="E784" i="4" s="1"/>
  <c r="AL779" i="1"/>
  <c r="D777" i="4" s="1"/>
  <c r="AJ759" i="1"/>
  <c r="B757" i="4" s="1"/>
  <c r="AJ703" i="1"/>
  <c r="B701" i="4" s="1"/>
  <c r="AL695" i="1"/>
  <c r="D693" i="4" s="1"/>
  <c r="AJ665" i="1"/>
  <c r="B663" i="4" s="1"/>
  <c r="AK658" i="1"/>
  <c r="C656" i="4" s="1"/>
  <c r="AL557" i="1"/>
  <c r="D555" i="4" s="1"/>
  <c r="AJ544" i="1"/>
  <c r="B542" i="4" s="1"/>
  <c r="AJ522" i="1"/>
  <c r="B520" i="4" s="1"/>
  <c r="AM403" i="1"/>
  <c r="E401" i="4" s="1"/>
  <c r="AJ1066" i="1"/>
  <c r="B1064" i="4" s="1"/>
  <c r="AL1006" i="1"/>
  <c r="D1004" i="4" s="1"/>
  <c r="AJ994" i="1"/>
  <c r="B992" i="4" s="1"/>
  <c r="AJ962" i="1"/>
  <c r="B960" i="4" s="1"/>
  <c r="AK957" i="1"/>
  <c r="C955" i="4" s="1"/>
  <c r="AL954" i="1"/>
  <c r="D952" i="4" s="1"/>
  <c r="AM937" i="1"/>
  <c r="E935" i="4" s="1"/>
  <c r="AM913" i="1"/>
  <c r="E911" i="4" s="1"/>
  <c r="AL882" i="1"/>
  <c r="D880" i="4" s="1"/>
  <c r="AK851" i="1"/>
  <c r="C849" i="4" s="1"/>
  <c r="AM702" i="1"/>
  <c r="E700" i="4" s="1"/>
  <c r="AJ643" i="1"/>
  <c r="B641" i="4" s="1"/>
  <c r="AJ607" i="1"/>
  <c r="B605" i="4" s="1"/>
  <c r="AL578" i="1"/>
  <c r="D576" i="4" s="1"/>
  <c r="AL1062" i="1"/>
  <c r="D1060" i="4" s="1"/>
  <c r="AL1050" i="1"/>
  <c r="D1048" i="4" s="1"/>
  <c r="AJ986" i="1"/>
  <c r="B984" i="4" s="1"/>
  <c r="AL978" i="1"/>
  <c r="D976" i="4" s="1"/>
  <c r="AM961" i="1"/>
  <c r="E959" i="4" s="1"/>
  <c r="AJ936" i="1"/>
  <c r="B934" i="4" s="1"/>
  <c r="AL932" i="1"/>
  <c r="D930" i="4" s="1"/>
  <c r="AK929" i="1"/>
  <c r="C927" i="4" s="1"/>
  <c r="AJ924" i="1"/>
  <c r="B922" i="4" s="1"/>
  <c r="AJ912" i="1"/>
  <c r="B910" i="4" s="1"/>
  <c r="AL908" i="1"/>
  <c r="D906" i="4" s="1"/>
  <c r="AK905" i="1"/>
  <c r="C903" i="4" s="1"/>
  <c r="AK893" i="1"/>
  <c r="C891" i="4" s="1"/>
  <c r="AL870" i="1"/>
  <c r="D868" i="4" s="1"/>
  <c r="AK839" i="1"/>
  <c r="C837" i="4" s="1"/>
  <c r="AJ701" i="1"/>
  <c r="B699" i="4" s="1"/>
  <c r="AK685" i="1"/>
  <c r="C683" i="4" s="1"/>
  <c r="AJ655" i="1"/>
  <c r="B653" i="4" s="1"/>
  <c r="AJ519" i="1"/>
  <c r="B517" i="4" s="1"/>
  <c r="AJ203" i="1"/>
  <c r="B201" i="4" s="1"/>
  <c r="AK1065" i="1"/>
  <c r="C1063" i="4" s="1"/>
  <c r="AK1041" i="1"/>
  <c r="C1039" i="4" s="1"/>
  <c r="AL1026" i="1"/>
  <c r="D1024" i="4" s="1"/>
  <c r="AM1022" i="1"/>
  <c r="E1020" i="4" s="1"/>
  <c r="AL1014" i="1"/>
  <c r="D1012" i="4" s="1"/>
  <c r="AM1010" i="1"/>
  <c r="E1008" i="4" s="1"/>
  <c r="AK1005" i="1"/>
  <c r="C1003" i="4" s="1"/>
  <c r="AK993" i="1"/>
  <c r="C991" i="4" s="1"/>
  <c r="AM985" i="1"/>
  <c r="E983" i="4" s="1"/>
  <c r="AJ960" i="1"/>
  <c r="B958" i="4" s="1"/>
  <c r="AL956" i="1"/>
  <c r="D954" i="4" s="1"/>
  <c r="AK953" i="1"/>
  <c r="C951" i="4" s="1"/>
  <c r="AK899" i="1"/>
  <c r="C897" i="4" s="1"/>
  <c r="AK881" i="1"/>
  <c r="C879" i="4" s="1"/>
  <c r="AL858" i="1"/>
  <c r="D856" i="4" s="1"/>
  <c r="AL791" i="1"/>
  <c r="D789" i="4" s="1"/>
  <c r="AK709" i="1"/>
  <c r="C707" i="4" s="1"/>
  <c r="AJ691" i="1"/>
  <c r="B689" i="4" s="1"/>
  <c r="AM654" i="1"/>
  <c r="E652" i="4" s="1"/>
  <c r="AJ619" i="1"/>
  <c r="B617" i="4" s="1"/>
  <c r="AJ583" i="1"/>
  <c r="B581" i="4" s="1"/>
  <c r="AJ474" i="1"/>
  <c r="B472" i="4" s="1"/>
  <c r="AJ375" i="1"/>
  <c r="B373" i="4" s="1"/>
  <c r="AJ363" i="1"/>
  <c r="B361" i="4" s="1"/>
  <c r="AK796" i="1"/>
  <c r="C794" i="4" s="1"/>
  <c r="AK781" i="1"/>
  <c r="C779" i="4" s="1"/>
  <c r="AK778" i="1"/>
  <c r="C776" i="4" s="1"/>
  <c r="AJ773" i="1"/>
  <c r="B771" i="4" s="1"/>
  <c r="AM732" i="1"/>
  <c r="E730" i="4" s="1"/>
  <c r="AK724" i="1"/>
  <c r="C722" i="4" s="1"/>
  <c r="AM642" i="1"/>
  <c r="E640" i="4" s="1"/>
  <c r="AM630" i="1"/>
  <c r="E628" i="4" s="1"/>
  <c r="AM618" i="1"/>
  <c r="E616" i="4" s="1"/>
  <c r="AM606" i="1"/>
  <c r="E604" i="4" s="1"/>
  <c r="AM594" i="1"/>
  <c r="E592" i="4" s="1"/>
  <c r="AM582" i="1"/>
  <c r="E580" i="4" s="1"/>
  <c r="AJ574" i="1"/>
  <c r="B572" i="4" s="1"/>
  <c r="AJ560" i="1"/>
  <c r="B558" i="4" s="1"/>
  <c r="AK818" i="1"/>
  <c r="C816" i="4" s="1"/>
  <c r="AL815" i="1"/>
  <c r="D813" i="4" s="1"/>
  <c r="AM811" i="1"/>
  <c r="E809" i="4" s="1"/>
  <c r="AK777" i="1"/>
  <c r="C775" i="4" s="1"/>
  <c r="AK769" i="1"/>
  <c r="C767" i="4" s="1"/>
  <c r="AK766" i="1"/>
  <c r="C764" i="4" s="1"/>
  <c r="AM750" i="1"/>
  <c r="E748" i="4" s="1"/>
  <c r="AJ723" i="1"/>
  <c r="B721" i="4" s="1"/>
  <c r="AK720" i="1"/>
  <c r="C718" i="4" s="1"/>
  <c r="AK712" i="1"/>
  <c r="C710" i="4" s="1"/>
  <c r="AJ684" i="1"/>
  <c r="B682" i="4" s="1"/>
  <c r="AK676" i="1"/>
  <c r="C674" i="4" s="1"/>
  <c r="AJ672" i="1"/>
  <c r="B670" i="4" s="1"/>
  <c r="AJ653" i="1"/>
  <c r="B651" i="4" s="1"/>
  <c r="AK571" i="1"/>
  <c r="C569" i="4" s="1"/>
  <c r="AK563" i="1"/>
  <c r="C561" i="4" s="1"/>
  <c r="AJ543" i="1"/>
  <c r="B541" i="4" s="1"/>
  <c r="AJ499" i="1"/>
  <c r="B497" i="4" s="1"/>
  <c r="AJ490" i="1"/>
  <c r="B488" i="4" s="1"/>
  <c r="AJ371" i="1"/>
  <c r="B369" i="4" s="1"/>
  <c r="AJ91" i="1"/>
  <c r="B89" i="4" s="1"/>
  <c r="AK826" i="1"/>
  <c r="C824" i="4" s="1"/>
  <c r="AL803" i="1"/>
  <c r="D801" i="4" s="1"/>
  <c r="AM792" i="1"/>
  <c r="E790" i="4" s="1"/>
  <c r="AK784" i="1"/>
  <c r="C782" i="4" s="1"/>
  <c r="AJ761" i="1"/>
  <c r="B759" i="4" s="1"/>
  <c r="AL743" i="1"/>
  <c r="D741" i="4" s="1"/>
  <c r="AJ739" i="1"/>
  <c r="B737" i="4" s="1"/>
  <c r="AJ711" i="1"/>
  <c r="B709" i="4" s="1"/>
  <c r="AK708" i="1"/>
  <c r="C706" i="4" s="1"/>
  <c r="AK700" i="1"/>
  <c r="C698" i="4" s="1"/>
  <c r="AK696" i="1"/>
  <c r="C694" i="4" s="1"/>
  <c r="AK688" i="1"/>
  <c r="C686" i="4" s="1"/>
  <c r="AJ675" i="1"/>
  <c r="B673" i="4" s="1"/>
  <c r="AK664" i="1"/>
  <c r="C662" i="4" s="1"/>
  <c r="AJ660" i="1"/>
  <c r="B658" i="4" s="1"/>
  <c r="AK551" i="1"/>
  <c r="C549" i="4" s="1"/>
  <c r="AJ498" i="1"/>
  <c r="B496" i="4" s="1"/>
  <c r="AL425" i="1"/>
  <c r="D423" i="4" s="1"/>
  <c r="AJ351" i="1"/>
  <c r="B349" i="4" s="1"/>
  <c r="AJ148" i="1"/>
  <c r="B146" i="4" s="1"/>
  <c r="AK825" i="1"/>
  <c r="C823" i="4" s="1"/>
  <c r="AK806" i="1"/>
  <c r="C804" i="4" s="1"/>
  <c r="AK772" i="1"/>
  <c r="C770" i="4" s="1"/>
  <c r="AK757" i="1"/>
  <c r="C755" i="4" s="1"/>
  <c r="AK754" i="1"/>
  <c r="C752" i="4" s="1"/>
  <c r="AJ699" i="1"/>
  <c r="B697" i="4" s="1"/>
  <c r="AJ687" i="1"/>
  <c r="B685" i="4" s="1"/>
  <c r="AJ663" i="1"/>
  <c r="B661" i="4" s="1"/>
  <c r="AJ641" i="1"/>
  <c r="B639" i="4" s="1"/>
  <c r="AJ637" i="1"/>
  <c r="B635" i="4" s="1"/>
  <c r="AJ629" i="1"/>
  <c r="B627" i="4" s="1"/>
  <c r="AJ625" i="1"/>
  <c r="B623" i="4" s="1"/>
  <c r="AJ617" i="1"/>
  <c r="B615" i="4" s="1"/>
  <c r="AJ613" i="1"/>
  <c r="B611" i="4" s="1"/>
  <c r="AJ605" i="1"/>
  <c r="B603" i="4" s="1"/>
  <c r="AJ601" i="1"/>
  <c r="B599" i="4" s="1"/>
  <c r="AJ593" i="1"/>
  <c r="B591" i="4" s="1"/>
  <c r="AJ589" i="1"/>
  <c r="B587" i="4" s="1"/>
  <c r="AJ581" i="1"/>
  <c r="B579" i="4" s="1"/>
  <c r="AJ562" i="1"/>
  <c r="B560" i="4" s="1"/>
  <c r="AJ558" i="1"/>
  <c r="B556" i="4" s="1"/>
  <c r="AK527" i="1"/>
  <c r="C525" i="4" s="1"/>
  <c r="AJ507" i="1"/>
  <c r="B505" i="4" s="1"/>
  <c r="AJ359" i="1"/>
  <c r="B357" i="4" s="1"/>
  <c r="AM281" i="1"/>
  <c r="E279" i="4" s="1"/>
  <c r="AJ830" i="1"/>
  <c r="B828" i="4" s="1"/>
  <c r="AM780" i="1"/>
  <c r="E778" i="4" s="1"/>
  <c r="AJ749" i="1"/>
  <c r="B747" i="4" s="1"/>
  <c r="AM738" i="1"/>
  <c r="E736" i="4" s="1"/>
  <c r="AL731" i="1"/>
  <c r="D729" i="4" s="1"/>
  <c r="AJ727" i="1"/>
  <c r="B725" i="4" s="1"/>
  <c r="AK652" i="1"/>
  <c r="C650" i="4" s="1"/>
  <c r="AJ648" i="1"/>
  <c r="B646" i="4" s="1"/>
  <c r="AJ550" i="1"/>
  <c r="B548" i="4" s="1"/>
  <c r="AJ535" i="1"/>
  <c r="B533" i="4" s="1"/>
  <c r="AJ478" i="1"/>
  <c r="B476" i="4" s="1"/>
  <c r="AJ414" i="1"/>
  <c r="B412" i="4" s="1"/>
  <c r="AJ406" i="1"/>
  <c r="B404" i="4" s="1"/>
  <c r="AJ368" i="1"/>
  <c r="B366" i="4" s="1"/>
  <c r="AL821" i="1"/>
  <c r="D819" i="4" s="1"/>
  <c r="AK817" i="1"/>
  <c r="C815" i="4" s="1"/>
  <c r="AK814" i="1"/>
  <c r="C812" i="4" s="1"/>
  <c r="AM798" i="1"/>
  <c r="E796" i="4" s="1"/>
  <c r="AM768" i="1"/>
  <c r="E766" i="4" s="1"/>
  <c r="AK760" i="1"/>
  <c r="C758" i="4" s="1"/>
  <c r="AK745" i="1"/>
  <c r="C743" i="4" s="1"/>
  <c r="AL719" i="1"/>
  <c r="D717" i="4" s="1"/>
  <c r="AJ715" i="1"/>
  <c r="B713" i="4" s="1"/>
  <c r="AL683" i="1"/>
  <c r="D681" i="4" s="1"/>
  <c r="AJ679" i="1"/>
  <c r="B677" i="4" s="1"/>
  <c r="AL671" i="1"/>
  <c r="D669" i="4" s="1"/>
  <c r="AJ667" i="1"/>
  <c r="B665" i="4" s="1"/>
  <c r="AJ651" i="1"/>
  <c r="B649" i="4" s="1"/>
  <c r="AJ636" i="1"/>
  <c r="B634" i="4" s="1"/>
  <c r="AJ624" i="1"/>
  <c r="B622" i="4" s="1"/>
  <c r="AJ612" i="1"/>
  <c r="B610" i="4" s="1"/>
  <c r="AJ600" i="1"/>
  <c r="B598" i="4" s="1"/>
  <c r="AJ588" i="1"/>
  <c r="B586" i="4" s="1"/>
  <c r="AL569" i="1"/>
  <c r="D567" i="4" s="1"/>
  <c r="AJ546" i="1"/>
  <c r="B544" i="4" s="1"/>
  <c r="AJ534" i="1"/>
  <c r="B532" i="4" s="1"/>
  <c r="AJ467" i="1"/>
  <c r="B465" i="4" s="1"/>
  <c r="AL422" i="1"/>
  <c r="D420" i="4" s="1"/>
  <c r="AJ387" i="1"/>
  <c r="B385" i="4" s="1"/>
  <c r="AK306" i="1"/>
  <c r="C304" i="4" s="1"/>
  <c r="AK271" i="1"/>
  <c r="C269" i="4" s="1"/>
  <c r="AL820" i="1"/>
  <c r="D818" i="4" s="1"/>
  <c r="AL809" i="1"/>
  <c r="D807" i="4" s="1"/>
  <c r="AK805" i="1"/>
  <c r="C803" i="4" s="1"/>
  <c r="AM775" i="1"/>
  <c r="E773" i="4" s="1"/>
  <c r="AM756" i="1"/>
  <c r="E754" i="4" s="1"/>
  <c r="AK748" i="1"/>
  <c r="C746" i="4" s="1"/>
  <c r="AJ737" i="1"/>
  <c r="B735" i="4" s="1"/>
  <c r="AM714" i="1"/>
  <c r="E712" i="4" s="1"/>
  <c r="AM698" i="1"/>
  <c r="E696" i="4" s="1"/>
  <c r="AM686" i="1"/>
  <c r="E684" i="4" s="1"/>
  <c r="AM678" i="1"/>
  <c r="E676" i="4" s="1"/>
  <c r="AM662" i="1"/>
  <c r="E660" i="4" s="1"/>
  <c r="AL647" i="1"/>
  <c r="D645" i="4" s="1"/>
  <c r="AJ639" i="1"/>
  <c r="B637" i="4" s="1"/>
  <c r="AJ627" i="1"/>
  <c r="B625" i="4" s="1"/>
  <c r="AJ615" i="1"/>
  <c r="B613" i="4" s="1"/>
  <c r="AJ603" i="1"/>
  <c r="B601" i="4" s="1"/>
  <c r="AJ591" i="1"/>
  <c r="B589" i="4" s="1"/>
  <c r="AJ579" i="1"/>
  <c r="B577" i="4" s="1"/>
  <c r="AJ523" i="1"/>
  <c r="B521" i="4" s="1"/>
  <c r="AL485" i="1"/>
  <c r="D483" i="4" s="1"/>
  <c r="AJ356" i="1"/>
  <c r="B354" i="4" s="1"/>
  <c r="AJ347" i="1"/>
  <c r="B345" i="4" s="1"/>
  <c r="AK833" i="1"/>
  <c r="C831" i="4" s="1"/>
  <c r="AM828" i="1"/>
  <c r="E826" i="4" s="1"/>
  <c r="AM816" i="1"/>
  <c r="E814" i="4" s="1"/>
  <c r="AL797" i="1"/>
  <c r="D795" i="4" s="1"/>
  <c r="AM774" i="1"/>
  <c r="E772" i="4" s="1"/>
  <c r="AL767" i="1"/>
  <c r="D765" i="4" s="1"/>
  <c r="AJ763" i="1"/>
  <c r="B761" i="4" s="1"/>
  <c r="AJ725" i="1"/>
  <c r="B723" i="4" s="1"/>
  <c r="AK718" i="1"/>
  <c r="C716" i="4" s="1"/>
  <c r="AK682" i="1"/>
  <c r="C680" i="4" s="1"/>
  <c r="AK670" i="1"/>
  <c r="C668" i="4" s="1"/>
  <c r="AM650" i="1"/>
  <c r="E648" i="4" s="1"/>
  <c r="AJ556" i="1"/>
  <c r="B554" i="4" s="1"/>
  <c r="AJ503" i="1"/>
  <c r="B501" i="4" s="1"/>
  <c r="AJ455" i="1"/>
  <c r="B453" i="4" s="1"/>
  <c r="AK303" i="1"/>
  <c r="C301" i="4" s="1"/>
  <c r="AK129" i="1"/>
  <c r="C127" i="4" s="1"/>
  <c r="AJ119" i="1"/>
  <c r="B117" i="4" s="1"/>
  <c r="AJ538" i="1"/>
  <c r="B536" i="4" s="1"/>
  <c r="AK515" i="1"/>
  <c r="C513" i="4" s="1"/>
  <c r="AJ466" i="1"/>
  <c r="B464" i="4" s="1"/>
  <c r="AJ447" i="1"/>
  <c r="B445" i="4" s="1"/>
  <c r="AL410" i="1"/>
  <c r="D408" i="4" s="1"/>
  <c r="AJ402" i="1"/>
  <c r="B400" i="4" s="1"/>
  <c r="AJ394" i="1"/>
  <c r="B392" i="4" s="1"/>
  <c r="AM391" i="1"/>
  <c r="E389" i="4" s="1"/>
  <c r="AM367" i="1"/>
  <c r="E365" i="4" s="1"/>
  <c r="AM355" i="1"/>
  <c r="E353" i="4" s="1"/>
  <c r="AJ302" i="1"/>
  <c r="B300" i="4" s="1"/>
  <c r="AL274" i="1"/>
  <c r="D272" i="4" s="1"/>
  <c r="AM257" i="1"/>
  <c r="E255" i="4" s="1"/>
  <c r="AK246" i="1"/>
  <c r="C244" i="4" s="1"/>
  <c r="AJ90" i="1"/>
  <c r="B88" i="4" s="1"/>
  <c r="AJ526" i="1"/>
  <c r="B524" i="4" s="1"/>
  <c r="AJ510" i="1"/>
  <c r="B508" i="4" s="1"/>
  <c r="AJ502" i="1"/>
  <c r="B500" i="4" s="1"/>
  <c r="AL470" i="1"/>
  <c r="D468" i="4" s="1"/>
  <c r="AJ454" i="1"/>
  <c r="B452" i="4" s="1"/>
  <c r="AL413" i="1"/>
  <c r="D411" i="4" s="1"/>
  <c r="AL398" i="1"/>
  <c r="D396" i="4" s="1"/>
  <c r="AJ390" i="1"/>
  <c r="B388" i="4" s="1"/>
  <c r="AJ382" i="1"/>
  <c r="B380" i="4" s="1"/>
  <c r="AM379" i="1"/>
  <c r="E377" i="4" s="1"/>
  <c r="AJ370" i="1"/>
  <c r="B368" i="4" s="1"/>
  <c r="AJ366" i="1"/>
  <c r="B364" i="4" s="1"/>
  <c r="AL362" i="1"/>
  <c r="D360" i="4" s="1"/>
  <c r="AK358" i="1"/>
  <c r="C356" i="4" s="1"/>
  <c r="AM343" i="1"/>
  <c r="E341" i="4" s="1"/>
  <c r="AK339" i="1"/>
  <c r="C337" i="4" s="1"/>
  <c r="AL298" i="1"/>
  <c r="D296" i="4" s="1"/>
  <c r="AJ288" i="1"/>
  <c r="B286" i="4" s="1"/>
  <c r="AK270" i="1"/>
  <c r="C268" i="4" s="1"/>
  <c r="AK267" i="1"/>
  <c r="C265" i="4" s="1"/>
  <c r="AL250" i="1"/>
  <c r="D248" i="4" s="1"/>
  <c r="AJ239" i="1"/>
  <c r="B237" i="4" s="1"/>
  <c r="AK201" i="1"/>
  <c r="C199" i="4" s="1"/>
  <c r="AK183" i="1"/>
  <c r="C181" i="4" s="1"/>
  <c r="AK165" i="1"/>
  <c r="C163" i="4" s="1"/>
  <c r="AJ155" i="1"/>
  <c r="B153" i="4" s="1"/>
  <c r="AK147" i="1"/>
  <c r="C145" i="4" s="1"/>
  <c r="AJ107" i="1"/>
  <c r="B105" i="4" s="1"/>
  <c r="AK99" i="1"/>
  <c r="C97" i="4" s="1"/>
  <c r="AJ514" i="1"/>
  <c r="B512" i="4" s="1"/>
  <c r="AL497" i="1"/>
  <c r="D495" i="4" s="1"/>
  <c r="AJ489" i="1"/>
  <c r="B487" i="4" s="1"/>
  <c r="AL473" i="1"/>
  <c r="D471" i="4" s="1"/>
  <c r="AL461" i="1"/>
  <c r="D459" i="4" s="1"/>
  <c r="AJ450" i="1"/>
  <c r="B448" i="4" s="1"/>
  <c r="AJ443" i="1"/>
  <c r="B441" i="4" s="1"/>
  <c r="AK401" i="1"/>
  <c r="C399" i="4" s="1"/>
  <c r="AL386" i="1"/>
  <c r="D384" i="4" s="1"/>
  <c r="AJ378" i="1"/>
  <c r="B376" i="4" s="1"/>
  <c r="AL374" i="1"/>
  <c r="D372" i="4" s="1"/>
  <c r="AK365" i="1"/>
  <c r="C363" i="4" s="1"/>
  <c r="AJ354" i="1"/>
  <c r="B352" i="4" s="1"/>
  <c r="AL350" i="1"/>
  <c r="D348" i="4" s="1"/>
  <c r="AM329" i="1"/>
  <c r="E327" i="4" s="1"/>
  <c r="AK294" i="1"/>
  <c r="C292" i="4" s="1"/>
  <c r="AJ287" i="1"/>
  <c r="B285" i="4" s="1"/>
  <c r="AJ266" i="1"/>
  <c r="B264" i="4" s="1"/>
  <c r="AJ263" i="1"/>
  <c r="B261" i="4" s="1"/>
  <c r="AJ244" i="1"/>
  <c r="B242" i="4" s="1"/>
  <c r="AJ191" i="1"/>
  <c r="B189" i="4" s="1"/>
  <c r="AK181" i="1"/>
  <c r="C179" i="4" s="1"/>
  <c r="AJ172" i="1"/>
  <c r="B170" i="4" s="1"/>
  <c r="AK145" i="1"/>
  <c r="C143" i="4" s="1"/>
  <c r="AK97" i="1"/>
  <c r="C95" i="4" s="1"/>
  <c r="AK89" i="1"/>
  <c r="C87" i="4" s="1"/>
  <c r="AM477" i="1"/>
  <c r="E475" i="4" s="1"/>
  <c r="AJ435" i="1"/>
  <c r="B433" i="4" s="1"/>
  <c r="AK389" i="1"/>
  <c r="C387" i="4" s="1"/>
  <c r="AK377" i="1"/>
  <c r="C375" i="4" s="1"/>
  <c r="AK353" i="1"/>
  <c r="C351" i="4" s="1"/>
  <c r="AL346" i="1"/>
  <c r="D344" i="4" s="1"/>
  <c r="AL322" i="1"/>
  <c r="D320" i="4" s="1"/>
  <c r="AM305" i="1"/>
  <c r="E303" i="4" s="1"/>
  <c r="AK291" i="1"/>
  <c r="C289" i="4" s="1"/>
  <c r="AL237" i="1"/>
  <c r="D235" i="4" s="1"/>
  <c r="AJ525" i="1"/>
  <c r="B523" i="4" s="1"/>
  <c r="AL509" i="1"/>
  <c r="D507" i="4" s="1"/>
  <c r="AJ501" i="1"/>
  <c r="B499" i="4" s="1"/>
  <c r="AJ442" i="1"/>
  <c r="B440" i="4" s="1"/>
  <c r="AM439" i="1"/>
  <c r="E437" i="4" s="1"/>
  <c r="AK342" i="1"/>
  <c r="C340" i="4" s="1"/>
  <c r="AK318" i="1"/>
  <c r="C316" i="4" s="1"/>
  <c r="AJ312" i="1"/>
  <c r="B310" i="4" s="1"/>
  <c r="AJ290" i="1"/>
  <c r="B288" i="4" s="1"/>
  <c r="AK283" i="1"/>
  <c r="C281" i="4" s="1"/>
  <c r="AJ256" i="1"/>
  <c r="B254" i="4" s="1"/>
  <c r="AK237" i="1"/>
  <c r="C235" i="4" s="1"/>
  <c r="AJ227" i="1"/>
  <c r="B225" i="4" s="1"/>
  <c r="AJ208" i="1"/>
  <c r="B206" i="4" s="1"/>
  <c r="AK189" i="1"/>
  <c r="C187" i="4" s="1"/>
  <c r="AJ144" i="1"/>
  <c r="B142" i="4" s="1"/>
  <c r="AJ124" i="1"/>
  <c r="B122" i="4" s="1"/>
  <c r="AJ513" i="1"/>
  <c r="B511" i="4" s="1"/>
  <c r="AL449" i="1"/>
  <c r="D447" i="4" s="1"/>
  <c r="AJ438" i="1"/>
  <c r="B436" i="4" s="1"/>
  <c r="AJ431" i="1"/>
  <c r="B429" i="4" s="1"/>
  <c r="AJ311" i="1"/>
  <c r="B309" i="4" s="1"/>
  <c r="AM269" i="1"/>
  <c r="E267" i="4" s="1"/>
  <c r="AL249" i="1"/>
  <c r="D247" i="4" s="1"/>
  <c r="AJ179" i="1"/>
  <c r="B177" i="4" s="1"/>
  <c r="AK153" i="1"/>
  <c r="C151" i="4" s="1"/>
  <c r="AJ143" i="1"/>
  <c r="B141" i="4" s="1"/>
  <c r="AK115" i="1"/>
  <c r="C113" i="4" s="1"/>
  <c r="AK93" i="1"/>
  <c r="C91" i="4" s="1"/>
  <c r="AK87" i="1"/>
  <c r="C85" i="4" s="1"/>
  <c r="AK496" i="1"/>
  <c r="C494" i="4" s="1"/>
  <c r="AJ488" i="1"/>
  <c r="B486" i="4" s="1"/>
  <c r="AJ483" i="1"/>
  <c r="B481" i="4" s="1"/>
  <c r="AJ423" i="1"/>
  <c r="B421" i="4" s="1"/>
  <c r="AJ400" i="1"/>
  <c r="B398" i="4" s="1"/>
  <c r="AL334" i="1"/>
  <c r="D332" i="4" s="1"/>
  <c r="AK315" i="1"/>
  <c r="C313" i="4" s="1"/>
  <c r="AM293" i="1"/>
  <c r="E291" i="4" s="1"/>
  <c r="AL286" i="1"/>
  <c r="D284" i="4" s="1"/>
  <c r="AJ276" i="1"/>
  <c r="B274" i="4" s="1"/>
  <c r="AL262" i="1"/>
  <c r="D260" i="4" s="1"/>
  <c r="AM225" i="1"/>
  <c r="E223" i="4" s="1"/>
  <c r="AM144" i="1"/>
  <c r="E142" i="4" s="1"/>
  <c r="AK85" i="1"/>
  <c r="C83" i="4" s="1"/>
  <c r="AJ532" i="1"/>
  <c r="B530" i="4" s="1"/>
  <c r="AJ487" i="1"/>
  <c r="B485" i="4" s="1"/>
  <c r="AJ430" i="1"/>
  <c r="B428" i="4" s="1"/>
  <c r="AM427" i="1"/>
  <c r="E425" i="4" s="1"/>
  <c r="AJ419" i="1"/>
  <c r="B417" i="4" s="1"/>
  <c r="AM341" i="1"/>
  <c r="E339" i="4" s="1"/>
  <c r="AK321" i="1"/>
  <c r="C319" i="4" s="1"/>
  <c r="AJ314" i="1"/>
  <c r="B312" i="4" s="1"/>
  <c r="AJ304" i="1"/>
  <c r="B302" i="4" s="1"/>
  <c r="AK282" i="1"/>
  <c r="C280" i="4" s="1"/>
  <c r="AM231" i="1"/>
  <c r="E229" i="4" s="1"/>
  <c r="AK225" i="1"/>
  <c r="C223" i="4" s="1"/>
  <c r="AJ215" i="1"/>
  <c r="B213" i="4" s="1"/>
  <c r="AK207" i="1"/>
  <c r="C205" i="4" s="1"/>
  <c r="AK132" i="1"/>
  <c r="C130" i="4" s="1"/>
  <c r="AK123" i="1"/>
  <c r="C121" i="4" s="1"/>
  <c r="AK520" i="1"/>
  <c r="C518" i="4" s="1"/>
  <c r="AK508" i="1"/>
  <c r="C506" i="4" s="1"/>
  <c r="AJ495" i="1"/>
  <c r="B493" i="4" s="1"/>
  <c r="AJ486" i="1"/>
  <c r="B484" i="4" s="1"/>
  <c r="AL437" i="1"/>
  <c r="D435" i="4" s="1"/>
  <c r="AJ426" i="1"/>
  <c r="B424" i="4" s="1"/>
  <c r="AJ411" i="1"/>
  <c r="B409" i="4" s="1"/>
  <c r="AJ300" i="1"/>
  <c r="B298" i="4" s="1"/>
  <c r="AK279" i="1"/>
  <c r="C277" i="4" s="1"/>
  <c r="AJ275" i="1"/>
  <c r="B273" i="4" s="1"/>
  <c r="AK258" i="1"/>
  <c r="C256" i="4" s="1"/>
  <c r="AK255" i="1"/>
  <c r="C253" i="4" s="1"/>
  <c r="AK243" i="1"/>
  <c r="C241" i="4" s="1"/>
  <c r="AK205" i="1"/>
  <c r="C203" i="4" s="1"/>
  <c r="AJ131" i="1"/>
  <c r="B129" i="4" s="1"/>
  <c r="AK121" i="1"/>
  <c r="C119" i="4" s="1"/>
  <c r="AJ103" i="1"/>
  <c r="B101" i="4" s="1"/>
  <c r="AJ536" i="1"/>
  <c r="B534" i="4" s="1"/>
  <c r="AJ531" i="1"/>
  <c r="B529" i="4" s="1"/>
  <c r="AJ491" i="1"/>
  <c r="B489" i="4" s="1"/>
  <c r="AJ471" i="1"/>
  <c r="B469" i="4" s="1"/>
  <c r="AJ464" i="1"/>
  <c r="B462" i="4" s="1"/>
  <c r="AJ459" i="1"/>
  <c r="B457" i="4" s="1"/>
  <c r="AJ418" i="1"/>
  <c r="B416" i="4" s="1"/>
  <c r="AM415" i="1"/>
  <c r="E413" i="4" s="1"/>
  <c r="AJ407" i="1"/>
  <c r="B405" i="4" s="1"/>
  <c r="AJ399" i="1"/>
  <c r="B397" i="4" s="1"/>
  <c r="AL310" i="1"/>
  <c r="D308" i="4" s="1"/>
  <c r="AJ299" i="1"/>
  <c r="B297" i="4" s="1"/>
  <c r="AJ278" i="1"/>
  <c r="B276" i="4" s="1"/>
  <c r="AJ268" i="1"/>
  <c r="B266" i="4" s="1"/>
  <c r="AJ254" i="1"/>
  <c r="B252" i="4" s="1"/>
  <c r="AJ251" i="1"/>
  <c r="B249" i="4" s="1"/>
  <c r="AJ247" i="1"/>
  <c r="B245" i="4" s="1"/>
  <c r="AK241" i="1"/>
  <c r="C239" i="4" s="1"/>
  <c r="AJ232" i="1"/>
  <c r="B230" i="4" s="1"/>
  <c r="AK213" i="1"/>
  <c r="C211" i="4" s="1"/>
  <c r="AJ167" i="1"/>
  <c r="B165" i="4" s="1"/>
  <c r="AK141" i="1"/>
  <c r="C139" i="4" s="1"/>
  <c r="AJ1464" i="1"/>
  <c r="AK1464" i="1"/>
  <c r="AL1464" i="1"/>
  <c r="AM1464" i="1"/>
  <c r="AL1406" i="1"/>
  <c r="D1404" i="4" s="1"/>
  <c r="AM1406" i="1"/>
  <c r="E1404" i="4" s="1"/>
  <c r="AJ1406" i="1"/>
  <c r="B1404" i="4" s="1"/>
  <c r="AJ1320" i="1"/>
  <c r="B1318" i="4" s="1"/>
  <c r="AK1320" i="1"/>
  <c r="C1318" i="4" s="1"/>
  <c r="AL1320" i="1"/>
  <c r="D1318" i="4" s="1"/>
  <c r="AM1320" i="1"/>
  <c r="E1318" i="4" s="1"/>
  <c r="AM1273" i="1"/>
  <c r="E1271" i="4" s="1"/>
  <c r="AJ1273" i="1"/>
  <c r="B1271" i="4" s="1"/>
  <c r="AK1273" i="1"/>
  <c r="C1271" i="4" s="1"/>
  <c r="AJ964" i="1"/>
  <c r="B962" i="4" s="1"/>
  <c r="AK964" i="1"/>
  <c r="C962" i="4" s="1"/>
  <c r="AL964" i="1"/>
  <c r="D962" i="4" s="1"/>
  <c r="AM964" i="1"/>
  <c r="E962" i="4" s="1"/>
  <c r="AJ771" i="1"/>
  <c r="B769" i="4" s="1"/>
  <c r="AK771" i="1"/>
  <c r="C769" i="4" s="1"/>
  <c r="AL771" i="1"/>
  <c r="D769" i="4" s="1"/>
  <c r="AM771" i="1"/>
  <c r="E769" i="4" s="1"/>
  <c r="AJ753" i="1"/>
  <c r="B751" i="4" s="1"/>
  <c r="AK753" i="1"/>
  <c r="C751" i="4" s="1"/>
  <c r="AL753" i="1"/>
  <c r="D751" i="4" s="1"/>
  <c r="AM753" i="1"/>
  <c r="E751" i="4" s="1"/>
  <c r="AM463" i="1"/>
  <c r="E461" i="4" s="1"/>
  <c r="AK463" i="1"/>
  <c r="C461" i="4" s="1"/>
  <c r="AL463" i="1"/>
  <c r="D461" i="4" s="1"/>
  <c r="AJ463" i="1"/>
  <c r="B461" i="4" s="1"/>
  <c r="AJ1818" i="1"/>
  <c r="AK1813" i="1"/>
  <c r="AJ1806" i="1"/>
  <c r="AK1801" i="1"/>
  <c r="AJ1794" i="1"/>
  <c r="AK1789" i="1"/>
  <c r="AJ1782" i="1"/>
  <c r="AK1777" i="1"/>
  <c r="AJ1770" i="1"/>
  <c r="AK1765" i="1"/>
  <c r="AJ1758" i="1"/>
  <c r="AK1753" i="1"/>
  <c r="AJ1746" i="1"/>
  <c r="AK1741" i="1"/>
  <c r="AJ1734" i="1"/>
  <c r="AK1729" i="1"/>
  <c r="AJ1722" i="1"/>
  <c r="AK1717" i="1"/>
  <c r="AJ1710" i="1"/>
  <c r="AK1705" i="1"/>
  <c r="AJ1698" i="1"/>
  <c r="AK1693" i="1"/>
  <c r="AJ1686" i="1"/>
  <c r="AK1681" i="1"/>
  <c r="AJ1674" i="1"/>
  <c r="AK1669" i="1"/>
  <c r="AJ1662" i="1"/>
  <c r="AK1657" i="1"/>
  <c r="AJ1650" i="1"/>
  <c r="AK1645" i="1"/>
  <c r="AJ1638" i="1"/>
  <c r="AK1633" i="1"/>
  <c r="AJ1626" i="1"/>
  <c r="AK1621" i="1"/>
  <c r="AJ1614" i="1"/>
  <c r="AJ1602" i="1"/>
  <c r="AJ1586" i="1"/>
  <c r="AL1550" i="1"/>
  <c r="AM1550" i="1"/>
  <c r="AJ1550" i="1"/>
  <c r="AL1394" i="1"/>
  <c r="D1392" i="4" s="1"/>
  <c r="AM1394" i="1"/>
  <c r="E1392" i="4" s="1"/>
  <c r="AJ1394" i="1"/>
  <c r="B1392" i="4" s="1"/>
  <c r="AJ1285" i="1"/>
  <c r="B1283" i="4" s="1"/>
  <c r="AK1285" i="1"/>
  <c r="C1283" i="4" s="1"/>
  <c r="AL1285" i="1"/>
  <c r="D1283" i="4" s="1"/>
  <c r="AM1285" i="1"/>
  <c r="E1283" i="4" s="1"/>
  <c r="AJ1589" i="1"/>
  <c r="AM1589" i="1"/>
  <c r="AK1579" i="1"/>
  <c r="AL1579" i="1"/>
  <c r="AM1579" i="1"/>
  <c r="AL1562" i="1"/>
  <c r="AM1562" i="1"/>
  <c r="AJ1562" i="1"/>
  <c r="AJ1542" i="1"/>
  <c r="AK1542" i="1"/>
  <c r="AL1542" i="1"/>
  <c r="AL1538" i="1"/>
  <c r="AM1538" i="1"/>
  <c r="AJ1538" i="1"/>
  <c r="AL1382" i="1"/>
  <c r="D1380" i="4" s="1"/>
  <c r="AM1382" i="1"/>
  <c r="E1380" i="4" s="1"/>
  <c r="AJ1382" i="1"/>
  <c r="B1380" i="4" s="1"/>
  <c r="AL1574" i="1"/>
  <c r="AM1574" i="1"/>
  <c r="AJ1554" i="1"/>
  <c r="AK1554" i="1"/>
  <c r="AL1554" i="1"/>
  <c r="AJ1530" i="1"/>
  <c r="AK1530" i="1"/>
  <c r="AL1530" i="1"/>
  <c r="AL1526" i="1"/>
  <c r="AM1526" i="1"/>
  <c r="AJ1526" i="1"/>
  <c r="AJ1518" i="1"/>
  <c r="AK1518" i="1"/>
  <c r="AL1518" i="1"/>
  <c r="AL1490" i="1"/>
  <c r="AM1490" i="1"/>
  <c r="AJ1490" i="1"/>
  <c r="AJ1452" i="1"/>
  <c r="AK1452" i="1"/>
  <c r="AL1452" i="1"/>
  <c r="AM1452" i="1"/>
  <c r="AJ1440" i="1"/>
  <c r="AK1440" i="1"/>
  <c r="AL1440" i="1"/>
  <c r="AM1440" i="1"/>
  <c r="AL1370" i="1"/>
  <c r="D1368" i="4" s="1"/>
  <c r="AM1370" i="1"/>
  <c r="E1368" i="4" s="1"/>
  <c r="AJ1370" i="1"/>
  <c r="B1368" i="4" s="1"/>
  <c r="AM1812" i="1"/>
  <c r="AK1810" i="1"/>
  <c r="AM1800" i="1"/>
  <c r="AK1798" i="1"/>
  <c r="AM1788" i="1"/>
  <c r="AK1786" i="1"/>
  <c r="AM1776" i="1"/>
  <c r="AK1774" i="1"/>
  <c r="AM1764" i="1"/>
  <c r="AK1762" i="1"/>
  <c r="AM1752" i="1"/>
  <c r="AK1750" i="1"/>
  <c r="AM1740" i="1"/>
  <c r="AK1738" i="1"/>
  <c r="AM1728" i="1"/>
  <c r="AK1726" i="1"/>
  <c r="AM1716" i="1"/>
  <c r="AK1714" i="1"/>
  <c r="AM1704" i="1"/>
  <c r="AK1702" i="1"/>
  <c r="AM1692" i="1"/>
  <c r="AK1690" i="1"/>
  <c r="AM1680" i="1"/>
  <c r="AK1678" i="1"/>
  <c r="AM1668" i="1"/>
  <c r="AK1666" i="1"/>
  <c r="AM1656" i="1"/>
  <c r="AK1654" i="1"/>
  <c r="AM1644" i="1"/>
  <c r="AK1642" i="1"/>
  <c r="AM1632" i="1"/>
  <c r="AK1630" i="1"/>
  <c r="AM1620" i="1"/>
  <c r="AK1618" i="1"/>
  <c r="AM1608" i="1"/>
  <c r="AK1606" i="1"/>
  <c r="AM1596" i="1"/>
  <c r="AK1594" i="1"/>
  <c r="AM1591" i="1"/>
  <c r="AJ1578" i="1"/>
  <c r="AK1578" i="1"/>
  <c r="AL1578" i="1"/>
  <c r="AJ1566" i="1"/>
  <c r="AK1566" i="1"/>
  <c r="AL1566" i="1"/>
  <c r="AJ1500" i="1"/>
  <c r="AK1500" i="1"/>
  <c r="AL1500" i="1"/>
  <c r="AM1500" i="1"/>
  <c r="AJ1428" i="1"/>
  <c r="B1426" i="4" s="1"/>
  <c r="AK1428" i="1"/>
  <c r="C1426" i="4" s="1"/>
  <c r="AL1428" i="1"/>
  <c r="D1426" i="4" s="1"/>
  <c r="AM1428" i="1"/>
  <c r="E1426" i="4" s="1"/>
  <c r="AJ1416" i="1"/>
  <c r="B1414" i="4" s="1"/>
  <c r="AK1416" i="1"/>
  <c r="C1414" i="4" s="1"/>
  <c r="AL1416" i="1"/>
  <c r="D1414" i="4" s="1"/>
  <c r="AM1416" i="1"/>
  <c r="E1414" i="4" s="1"/>
  <c r="AL1358" i="1"/>
  <c r="D1356" i="4" s="1"/>
  <c r="AM1358" i="1"/>
  <c r="E1356" i="4" s="1"/>
  <c r="AJ1358" i="1"/>
  <c r="B1356" i="4" s="1"/>
  <c r="AM1819" i="1"/>
  <c r="AL1812" i="1"/>
  <c r="AM1807" i="1"/>
  <c r="AL1800" i="1"/>
  <c r="AM1795" i="1"/>
  <c r="AL1788" i="1"/>
  <c r="AM1783" i="1"/>
  <c r="AL1776" i="1"/>
  <c r="AM1771" i="1"/>
  <c r="AL1764" i="1"/>
  <c r="AM1759" i="1"/>
  <c r="AL1752" i="1"/>
  <c r="AM1747" i="1"/>
  <c r="AL1740" i="1"/>
  <c r="AM1735" i="1"/>
  <c r="AL1728" i="1"/>
  <c r="AM1723" i="1"/>
  <c r="AL1716" i="1"/>
  <c r="AM1711" i="1"/>
  <c r="AL1704" i="1"/>
  <c r="AM1699" i="1"/>
  <c r="AL1692" i="1"/>
  <c r="AM1687" i="1"/>
  <c r="AL1680" i="1"/>
  <c r="AM1675" i="1"/>
  <c r="AL1668" i="1"/>
  <c r="AM1663" i="1"/>
  <c r="AL1656" i="1"/>
  <c r="AM1651" i="1"/>
  <c r="AL1644" i="1"/>
  <c r="AM1639" i="1"/>
  <c r="AL1632" i="1"/>
  <c r="AM1627" i="1"/>
  <c r="AL1620" i="1"/>
  <c r="AM1615" i="1"/>
  <c r="AL1608" i="1"/>
  <c r="AM1603" i="1"/>
  <c r="AL1596" i="1"/>
  <c r="AL1478" i="1"/>
  <c r="AM1478" i="1"/>
  <c r="AJ1478" i="1"/>
  <c r="AJ1404" i="1"/>
  <c r="B1402" i="4" s="1"/>
  <c r="AK1404" i="1"/>
  <c r="C1402" i="4" s="1"/>
  <c r="AL1404" i="1"/>
  <c r="D1402" i="4" s="1"/>
  <c r="AM1404" i="1"/>
  <c r="E1402" i="4" s="1"/>
  <c r="AL1346" i="1"/>
  <c r="D1344" i="4" s="1"/>
  <c r="AM1346" i="1"/>
  <c r="E1344" i="4" s="1"/>
  <c r="AJ1346" i="1"/>
  <c r="B1344" i="4" s="1"/>
  <c r="AK1812" i="1"/>
  <c r="AK1800" i="1"/>
  <c r="AK1692" i="1"/>
  <c r="AL1687" i="1"/>
  <c r="AK1680" i="1"/>
  <c r="AL1675" i="1"/>
  <c r="AK1668" i="1"/>
  <c r="AL1663" i="1"/>
  <c r="AK1656" i="1"/>
  <c r="AL1651" i="1"/>
  <c r="AK1644" i="1"/>
  <c r="AL1639" i="1"/>
  <c r="AK1632" i="1"/>
  <c r="AL1627" i="1"/>
  <c r="AK1620" i="1"/>
  <c r="AL1615" i="1"/>
  <c r="AK1608" i="1"/>
  <c r="AL1603" i="1"/>
  <c r="AK1596" i="1"/>
  <c r="AL1581" i="1"/>
  <c r="AJ1548" i="1"/>
  <c r="AK1548" i="1"/>
  <c r="AL1548" i="1"/>
  <c r="AM1548" i="1"/>
  <c r="AL1514" i="1"/>
  <c r="AM1514" i="1"/>
  <c r="AJ1514" i="1"/>
  <c r="AL1466" i="1"/>
  <c r="AM1466" i="1"/>
  <c r="AJ1466" i="1"/>
  <c r="AJ1392" i="1"/>
  <c r="B1390" i="4" s="1"/>
  <c r="AK1392" i="1"/>
  <c r="C1390" i="4" s="1"/>
  <c r="AL1392" i="1"/>
  <c r="D1390" i="4" s="1"/>
  <c r="AM1392" i="1"/>
  <c r="E1390" i="4" s="1"/>
  <c r="AL1334" i="1"/>
  <c r="D1332" i="4" s="1"/>
  <c r="AM1334" i="1"/>
  <c r="E1332" i="4" s="1"/>
  <c r="AJ1334" i="1"/>
  <c r="B1332" i="4" s="1"/>
  <c r="AJ1238" i="1"/>
  <c r="B1236" i="4" s="1"/>
  <c r="AK1238" i="1"/>
  <c r="C1236" i="4" s="1"/>
  <c r="AL1238" i="1"/>
  <c r="D1236" i="4" s="1"/>
  <c r="AM1238" i="1"/>
  <c r="E1236" i="4" s="1"/>
  <c r="AM1809" i="1"/>
  <c r="AM1797" i="1"/>
  <c r="AM1785" i="1"/>
  <c r="AM1773" i="1"/>
  <c r="AM1761" i="1"/>
  <c r="AM1749" i="1"/>
  <c r="AM1737" i="1"/>
  <c r="AM1725" i="1"/>
  <c r="AM1713" i="1"/>
  <c r="AK1711" i="1"/>
  <c r="AM1701" i="1"/>
  <c r="AK1699" i="1"/>
  <c r="AM1689" i="1"/>
  <c r="AK1687" i="1"/>
  <c r="AM1677" i="1"/>
  <c r="AK1675" i="1"/>
  <c r="AM1665" i="1"/>
  <c r="AK1663" i="1"/>
  <c r="AM1653" i="1"/>
  <c r="AK1651" i="1"/>
  <c r="AM1641" i="1"/>
  <c r="AK1639" i="1"/>
  <c r="AM1629" i="1"/>
  <c r="AK1627" i="1"/>
  <c r="AM1617" i="1"/>
  <c r="AK1615" i="1"/>
  <c r="AM1605" i="1"/>
  <c r="AK1603" i="1"/>
  <c r="AM1593" i="1"/>
  <c r="AJ1584" i="1"/>
  <c r="AK1584" i="1"/>
  <c r="AL1584" i="1"/>
  <c r="AM1584" i="1"/>
  <c r="AK1581" i="1"/>
  <c r="AJ1560" i="1"/>
  <c r="AK1560" i="1"/>
  <c r="AL1560" i="1"/>
  <c r="AM1560" i="1"/>
  <c r="AJ1536" i="1"/>
  <c r="AK1536" i="1"/>
  <c r="AL1536" i="1"/>
  <c r="AM1536" i="1"/>
  <c r="AJ1380" i="1"/>
  <c r="B1378" i="4" s="1"/>
  <c r="AK1380" i="1"/>
  <c r="C1378" i="4" s="1"/>
  <c r="AL1380" i="1"/>
  <c r="D1378" i="4" s="1"/>
  <c r="AM1380" i="1"/>
  <c r="E1378" i="4" s="1"/>
  <c r="AL1322" i="1"/>
  <c r="D1320" i="4" s="1"/>
  <c r="AM1322" i="1"/>
  <c r="E1320" i="4" s="1"/>
  <c r="AJ1322" i="1"/>
  <c r="B1320" i="4" s="1"/>
  <c r="AK1317" i="1"/>
  <c r="C1315" i="4" s="1"/>
  <c r="AM1317" i="1"/>
  <c r="E1315" i="4" s="1"/>
  <c r="AJ1317" i="1"/>
  <c r="B1315" i="4" s="1"/>
  <c r="AL1317" i="1"/>
  <c r="D1315" i="4" s="1"/>
  <c r="AM1816" i="1"/>
  <c r="AM1804" i="1"/>
  <c r="AM1792" i="1"/>
  <c r="AM1780" i="1"/>
  <c r="AM1768" i="1"/>
  <c r="AM1756" i="1"/>
  <c r="AM1744" i="1"/>
  <c r="AM1732" i="1"/>
  <c r="AM1720" i="1"/>
  <c r="AM1708" i="1"/>
  <c r="AM1696" i="1"/>
  <c r="AM1684" i="1"/>
  <c r="AM1672" i="1"/>
  <c r="AM1660" i="1"/>
  <c r="AM1648" i="1"/>
  <c r="AM1636" i="1"/>
  <c r="AM1624" i="1"/>
  <c r="AM1612" i="1"/>
  <c r="AM1600" i="1"/>
  <c r="AJ1581" i="1"/>
  <c r="AJ1572" i="1"/>
  <c r="AK1572" i="1"/>
  <c r="AL1572" i="1"/>
  <c r="AM1572" i="1"/>
  <c r="AJ1524" i="1"/>
  <c r="AK1524" i="1"/>
  <c r="AL1524" i="1"/>
  <c r="AM1524" i="1"/>
  <c r="AJ1368" i="1"/>
  <c r="B1366" i="4" s="1"/>
  <c r="AK1368" i="1"/>
  <c r="C1366" i="4" s="1"/>
  <c r="AL1368" i="1"/>
  <c r="D1366" i="4" s="1"/>
  <c r="AM1368" i="1"/>
  <c r="E1366" i="4" s="1"/>
  <c r="AL1288" i="1"/>
  <c r="D1286" i="4" s="1"/>
  <c r="AM1288" i="1"/>
  <c r="E1286" i="4" s="1"/>
  <c r="AJ1288" i="1"/>
  <c r="B1286" i="4" s="1"/>
  <c r="AL1816" i="1"/>
  <c r="AM1811" i="1"/>
  <c r="AL1804" i="1"/>
  <c r="AM1799" i="1"/>
  <c r="AL1792" i="1"/>
  <c r="AM1787" i="1"/>
  <c r="AL1780" i="1"/>
  <c r="AM1775" i="1"/>
  <c r="AL1768" i="1"/>
  <c r="AM1763" i="1"/>
  <c r="AL1756" i="1"/>
  <c r="AM1751" i="1"/>
  <c r="AL1744" i="1"/>
  <c r="AM1739" i="1"/>
  <c r="AL1732" i="1"/>
  <c r="AM1727" i="1"/>
  <c r="AL1720" i="1"/>
  <c r="AM1715" i="1"/>
  <c r="AL1708" i="1"/>
  <c r="AM1703" i="1"/>
  <c r="AL1696" i="1"/>
  <c r="AM1691" i="1"/>
  <c r="AL1684" i="1"/>
  <c r="AM1679" i="1"/>
  <c r="AL1672" i="1"/>
  <c r="AM1667" i="1"/>
  <c r="AL1660" i="1"/>
  <c r="AM1655" i="1"/>
  <c r="AL1648" i="1"/>
  <c r="AM1643" i="1"/>
  <c r="AL1636" i="1"/>
  <c r="AM1631" i="1"/>
  <c r="AL1624" i="1"/>
  <c r="AM1619" i="1"/>
  <c r="AL1612" i="1"/>
  <c r="AM1607" i="1"/>
  <c r="AL1600" i="1"/>
  <c r="AJ1488" i="1"/>
  <c r="AK1488" i="1"/>
  <c r="AL1488" i="1"/>
  <c r="AM1488" i="1"/>
  <c r="AL1454" i="1"/>
  <c r="AM1454" i="1"/>
  <c r="AJ1454" i="1"/>
  <c r="AL1442" i="1"/>
  <c r="AM1442" i="1"/>
  <c r="AJ1442" i="1"/>
  <c r="AJ1356" i="1"/>
  <c r="B1354" i="4" s="1"/>
  <c r="AK1356" i="1"/>
  <c r="C1354" i="4" s="1"/>
  <c r="AL1356" i="1"/>
  <c r="D1354" i="4" s="1"/>
  <c r="AM1356" i="1"/>
  <c r="E1354" i="4" s="1"/>
  <c r="AM1818" i="1"/>
  <c r="AK1816" i="1"/>
  <c r="AL1811" i="1"/>
  <c r="AM1806" i="1"/>
  <c r="AK1804" i="1"/>
  <c r="AL1799" i="1"/>
  <c r="AM1794" i="1"/>
  <c r="AK1792" i="1"/>
  <c r="AL1787" i="1"/>
  <c r="AM1782" i="1"/>
  <c r="AK1780" i="1"/>
  <c r="AL1775" i="1"/>
  <c r="AM1770" i="1"/>
  <c r="AK1768" i="1"/>
  <c r="AL1763" i="1"/>
  <c r="AM1758" i="1"/>
  <c r="AK1756" i="1"/>
  <c r="AL1751" i="1"/>
  <c r="AM1746" i="1"/>
  <c r="AK1744" i="1"/>
  <c r="AL1739" i="1"/>
  <c r="AM1734" i="1"/>
  <c r="AK1732" i="1"/>
  <c r="AL1727" i="1"/>
  <c r="AM1722" i="1"/>
  <c r="AK1720" i="1"/>
  <c r="AL1715" i="1"/>
  <c r="AM1710" i="1"/>
  <c r="AK1708" i="1"/>
  <c r="AL1703" i="1"/>
  <c r="AM1698" i="1"/>
  <c r="AK1696" i="1"/>
  <c r="AL1691" i="1"/>
  <c r="AM1686" i="1"/>
  <c r="AK1684" i="1"/>
  <c r="AL1679" i="1"/>
  <c r="AM1674" i="1"/>
  <c r="AK1672" i="1"/>
  <c r="AL1667" i="1"/>
  <c r="AM1662" i="1"/>
  <c r="AK1660" i="1"/>
  <c r="AL1655" i="1"/>
  <c r="AM1650" i="1"/>
  <c r="AK1648" i="1"/>
  <c r="AL1643" i="1"/>
  <c r="AM1638" i="1"/>
  <c r="AK1636" i="1"/>
  <c r="AL1631" i="1"/>
  <c r="AM1626" i="1"/>
  <c r="AK1624" i="1"/>
  <c r="AL1619" i="1"/>
  <c r="AM1614" i="1"/>
  <c r="AK1612" i="1"/>
  <c r="AL1607" i="1"/>
  <c r="AM1602" i="1"/>
  <c r="AK1600" i="1"/>
  <c r="AK1590" i="1"/>
  <c r="AL1502" i="1"/>
  <c r="AM1502" i="1"/>
  <c r="AJ1502" i="1"/>
  <c r="AL1430" i="1"/>
  <c r="D1428" i="4" s="1"/>
  <c r="AM1430" i="1"/>
  <c r="E1428" i="4" s="1"/>
  <c r="AJ1430" i="1"/>
  <c r="B1428" i="4" s="1"/>
  <c r="AJ1344" i="1"/>
  <c r="B1342" i="4" s="1"/>
  <c r="AK1344" i="1"/>
  <c r="C1342" i="4" s="1"/>
  <c r="AL1344" i="1"/>
  <c r="D1342" i="4" s="1"/>
  <c r="AM1344" i="1"/>
  <c r="E1342" i="4" s="1"/>
  <c r="AL1586" i="1"/>
  <c r="AJ1512" i="1"/>
  <c r="AK1512" i="1"/>
  <c r="AL1512" i="1"/>
  <c r="AM1512" i="1"/>
  <c r="AJ1476" i="1"/>
  <c r="AK1476" i="1"/>
  <c r="AL1476" i="1"/>
  <c r="AM1476" i="1"/>
  <c r="AL1418" i="1"/>
  <c r="D1416" i="4" s="1"/>
  <c r="AM1418" i="1"/>
  <c r="E1416" i="4" s="1"/>
  <c r="AJ1418" i="1"/>
  <c r="B1416" i="4" s="1"/>
  <c r="AK1406" i="1"/>
  <c r="C1404" i="4" s="1"/>
  <c r="AJ1332" i="1"/>
  <c r="B1330" i="4" s="1"/>
  <c r="AK1332" i="1"/>
  <c r="C1330" i="4" s="1"/>
  <c r="AL1332" i="1"/>
  <c r="D1330" i="4" s="1"/>
  <c r="AM1332" i="1"/>
  <c r="E1330" i="4" s="1"/>
  <c r="AL1273" i="1"/>
  <c r="D1271" i="4" s="1"/>
  <c r="AJ1311" i="1"/>
  <c r="B1309" i="4" s="1"/>
  <c r="AL1311" i="1"/>
  <c r="D1309" i="4" s="1"/>
  <c r="AJ1298" i="1"/>
  <c r="B1296" i="4" s="1"/>
  <c r="AL1298" i="1"/>
  <c r="D1296" i="4" s="1"/>
  <c r="AJ1294" i="1"/>
  <c r="B1292" i="4" s="1"/>
  <c r="AK1294" i="1"/>
  <c r="C1292" i="4" s="1"/>
  <c r="AM1294" i="1"/>
  <c r="E1292" i="4" s="1"/>
  <c r="AJ1262" i="1"/>
  <c r="B1260" i="4" s="1"/>
  <c r="AK1262" i="1"/>
  <c r="C1260" i="4" s="1"/>
  <c r="AL1262" i="1"/>
  <c r="D1260" i="4" s="1"/>
  <c r="AJ1250" i="1"/>
  <c r="B1248" i="4" s="1"/>
  <c r="AK1250" i="1"/>
  <c r="C1248" i="4" s="1"/>
  <c r="AL1250" i="1"/>
  <c r="D1248" i="4" s="1"/>
  <c r="AL1068" i="1"/>
  <c r="D1066" i="4" s="1"/>
  <c r="AK1068" i="1"/>
  <c r="C1066" i="4" s="1"/>
  <c r="AM1068" i="1"/>
  <c r="E1066" i="4" s="1"/>
  <c r="AJ976" i="1"/>
  <c r="B974" i="4" s="1"/>
  <c r="AK976" i="1"/>
  <c r="C974" i="4" s="1"/>
  <c r="AL976" i="1"/>
  <c r="D974" i="4" s="1"/>
  <c r="AM976" i="1"/>
  <c r="E974" i="4" s="1"/>
  <c r="AJ868" i="1"/>
  <c r="B866" i="4" s="1"/>
  <c r="AK868" i="1"/>
  <c r="C866" i="4" s="1"/>
  <c r="AL868" i="1"/>
  <c r="D866" i="4" s="1"/>
  <c r="AM868" i="1"/>
  <c r="E866" i="4" s="1"/>
  <c r="AL1506" i="1"/>
  <c r="AL1494" i="1"/>
  <c r="AL1482" i="1"/>
  <c r="AL1470" i="1"/>
  <c r="AL1458" i="1"/>
  <c r="AL1446" i="1"/>
  <c r="AL1434" i="1"/>
  <c r="AM1568" i="1"/>
  <c r="AM1556" i="1"/>
  <c r="AM1544" i="1"/>
  <c r="AM1532" i="1"/>
  <c r="AM1520" i="1"/>
  <c r="AK1506" i="1"/>
  <c r="AK1494" i="1"/>
  <c r="AM1484" i="1"/>
  <c r="AK1482" i="1"/>
  <c r="AM1472" i="1"/>
  <c r="AK1470" i="1"/>
  <c r="AM1460" i="1"/>
  <c r="AK1458" i="1"/>
  <c r="AM1448" i="1"/>
  <c r="AK1446" i="1"/>
  <c r="AM1436" i="1"/>
  <c r="AK1434" i="1"/>
  <c r="AM1424" i="1"/>
  <c r="E1422" i="4" s="1"/>
  <c r="AM1412" i="1"/>
  <c r="E1410" i="4" s="1"/>
  <c r="AM1400" i="1"/>
  <c r="E1398" i="4" s="1"/>
  <c r="AM1388" i="1"/>
  <c r="E1386" i="4" s="1"/>
  <c r="AM1376" i="1"/>
  <c r="E1374" i="4" s="1"/>
  <c r="AM1364" i="1"/>
  <c r="E1362" i="4" s="1"/>
  <c r="AM1352" i="1"/>
  <c r="E1350" i="4" s="1"/>
  <c r="AM1340" i="1"/>
  <c r="E1338" i="4" s="1"/>
  <c r="AM1328" i="1"/>
  <c r="E1326" i="4" s="1"/>
  <c r="AJ1310" i="1"/>
  <c r="B1308" i="4" s="1"/>
  <c r="AL1310" i="1"/>
  <c r="D1308" i="4" s="1"/>
  <c r="AK1297" i="1"/>
  <c r="C1295" i="4" s="1"/>
  <c r="AK1293" i="1"/>
  <c r="C1291" i="4" s="1"/>
  <c r="AM1293" i="1"/>
  <c r="E1291" i="4" s="1"/>
  <c r="AJ1012" i="1"/>
  <c r="B1010" i="4" s="1"/>
  <c r="AL1012" i="1"/>
  <c r="D1010" i="4" s="1"/>
  <c r="AM1012" i="1"/>
  <c r="E1010" i="4" s="1"/>
  <c r="AM1587" i="1"/>
  <c r="AL1580" i="1"/>
  <c r="AM1575" i="1"/>
  <c r="AL1568" i="1"/>
  <c r="AM1563" i="1"/>
  <c r="AL1556" i="1"/>
  <c r="AM1551" i="1"/>
  <c r="AL1544" i="1"/>
  <c r="AM1539" i="1"/>
  <c r="AL1532" i="1"/>
  <c r="AM1527" i="1"/>
  <c r="AL1520" i="1"/>
  <c r="AM1515" i="1"/>
  <c r="AL1508" i="1"/>
  <c r="AM1503" i="1"/>
  <c r="AL1496" i="1"/>
  <c r="AM1491" i="1"/>
  <c r="AL1484" i="1"/>
  <c r="AM1479" i="1"/>
  <c r="AL1472" i="1"/>
  <c r="AM1467" i="1"/>
  <c r="AL1460" i="1"/>
  <c r="AM1455" i="1"/>
  <c r="AL1448" i="1"/>
  <c r="AM1443" i="1"/>
  <c r="AL1436" i="1"/>
  <c r="AM1431" i="1"/>
  <c r="AL1424" i="1"/>
  <c r="D1422" i="4" s="1"/>
  <c r="AM1419" i="1"/>
  <c r="E1417" i="4" s="1"/>
  <c r="AL1412" i="1"/>
  <c r="D1410" i="4" s="1"/>
  <c r="AM1407" i="1"/>
  <c r="E1405" i="4" s="1"/>
  <c r="AL1400" i="1"/>
  <c r="D1398" i="4" s="1"/>
  <c r="AM1395" i="1"/>
  <c r="E1393" i="4" s="1"/>
  <c r="AL1388" i="1"/>
  <c r="D1386" i="4" s="1"/>
  <c r="AM1383" i="1"/>
  <c r="E1381" i="4" s="1"/>
  <c r="AL1376" i="1"/>
  <c r="D1374" i="4" s="1"/>
  <c r="AM1371" i="1"/>
  <c r="E1369" i="4" s="1"/>
  <c r="AL1364" i="1"/>
  <c r="D1362" i="4" s="1"/>
  <c r="AM1359" i="1"/>
  <c r="E1357" i="4" s="1"/>
  <c r="AL1352" i="1"/>
  <c r="D1350" i="4" s="1"/>
  <c r="AM1347" i="1"/>
  <c r="E1345" i="4" s="1"/>
  <c r="AL1340" i="1"/>
  <c r="D1338" i="4" s="1"/>
  <c r="AM1335" i="1"/>
  <c r="E1333" i="4" s="1"/>
  <c r="AL1328" i="1"/>
  <c r="D1326" i="4" s="1"/>
  <c r="AM1323" i="1"/>
  <c r="E1321" i="4" s="1"/>
  <c r="AM1309" i="1"/>
  <c r="E1307" i="4" s="1"/>
  <c r="AM1426" i="1"/>
  <c r="E1424" i="4" s="1"/>
  <c r="AK1424" i="1"/>
  <c r="C1422" i="4" s="1"/>
  <c r="AL1419" i="1"/>
  <c r="D1417" i="4" s="1"/>
  <c r="AK1412" i="1"/>
  <c r="C1410" i="4" s="1"/>
  <c r="AL1407" i="1"/>
  <c r="D1405" i="4" s="1"/>
  <c r="AK1400" i="1"/>
  <c r="C1398" i="4" s="1"/>
  <c r="AL1395" i="1"/>
  <c r="D1393" i="4" s="1"/>
  <c r="AK1388" i="1"/>
  <c r="C1386" i="4" s="1"/>
  <c r="AL1383" i="1"/>
  <c r="D1381" i="4" s="1"/>
  <c r="AK1376" i="1"/>
  <c r="C1374" i="4" s="1"/>
  <c r="AL1371" i="1"/>
  <c r="D1369" i="4" s="1"/>
  <c r="AK1364" i="1"/>
  <c r="C1362" i="4" s="1"/>
  <c r="AL1359" i="1"/>
  <c r="D1357" i="4" s="1"/>
  <c r="AK1352" i="1"/>
  <c r="C1350" i="4" s="1"/>
  <c r="AL1347" i="1"/>
  <c r="D1345" i="4" s="1"/>
  <c r="AK1340" i="1"/>
  <c r="C1338" i="4" s="1"/>
  <c r="AL1335" i="1"/>
  <c r="D1333" i="4" s="1"/>
  <c r="AK1328" i="1"/>
  <c r="C1326" i="4" s="1"/>
  <c r="AL1323" i="1"/>
  <c r="D1321" i="4" s="1"/>
  <c r="AL1318" i="1"/>
  <c r="D1316" i="4" s="1"/>
  <c r="AL1309" i="1"/>
  <c r="D1307" i="4" s="1"/>
  <c r="AK1306" i="1"/>
  <c r="C1304" i="4" s="1"/>
  <c r="AM1306" i="1"/>
  <c r="E1304" i="4" s="1"/>
  <c r="AJ1300" i="1"/>
  <c r="B1298" i="4" s="1"/>
  <c r="AM1286" i="1"/>
  <c r="E1284" i="4" s="1"/>
  <c r="AJ1276" i="1"/>
  <c r="B1274" i="4" s="1"/>
  <c r="AL1276" i="1"/>
  <c r="D1274" i="4" s="1"/>
  <c r="AM1276" i="1"/>
  <c r="E1274" i="4" s="1"/>
  <c r="AJ1042" i="1"/>
  <c r="B1040" i="4" s="1"/>
  <c r="AK1042" i="1"/>
  <c r="C1040" i="4" s="1"/>
  <c r="AM1042" i="1"/>
  <c r="E1040" i="4" s="1"/>
  <c r="AL1042" i="1"/>
  <c r="D1040" i="4" s="1"/>
  <c r="AM1577" i="1"/>
  <c r="AK1575" i="1"/>
  <c r="AM1565" i="1"/>
  <c r="AK1563" i="1"/>
  <c r="AM1553" i="1"/>
  <c r="AK1551" i="1"/>
  <c r="AM1541" i="1"/>
  <c r="AK1539" i="1"/>
  <c r="AM1529" i="1"/>
  <c r="AK1527" i="1"/>
  <c r="AK1503" i="1"/>
  <c r="AK1491" i="1"/>
  <c r="AK1479" i="1"/>
  <c r="AM1469" i="1"/>
  <c r="AK1467" i="1"/>
  <c r="AM1457" i="1"/>
  <c r="AM1445" i="1"/>
  <c r="AK1443" i="1"/>
  <c r="AM1433" i="1"/>
  <c r="AM1421" i="1"/>
  <c r="E1419" i="4" s="1"/>
  <c r="AM1409" i="1"/>
  <c r="E1407" i="4" s="1"/>
  <c r="AM1397" i="1"/>
  <c r="E1395" i="4" s="1"/>
  <c r="AM1385" i="1"/>
  <c r="E1383" i="4" s="1"/>
  <c r="AM1373" i="1"/>
  <c r="E1371" i="4" s="1"/>
  <c r="AM1361" i="1"/>
  <c r="E1359" i="4" s="1"/>
  <c r="AM1349" i="1"/>
  <c r="E1347" i="4" s="1"/>
  <c r="AM1337" i="1"/>
  <c r="E1335" i="4" s="1"/>
  <c r="AM1325" i="1"/>
  <c r="E1323" i="4" s="1"/>
  <c r="AK1318" i="1"/>
  <c r="C1316" i="4" s="1"/>
  <c r="AK1309" i="1"/>
  <c r="C1307" i="4" s="1"/>
  <c r="AJ1296" i="1"/>
  <c r="B1294" i="4" s="1"/>
  <c r="AL1296" i="1"/>
  <c r="D1294" i="4" s="1"/>
  <c r="AM1296" i="1"/>
  <c r="E1294" i="4" s="1"/>
  <c r="AK1271" i="1"/>
  <c r="C1269" i="4" s="1"/>
  <c r="AM1271" i="1"/>
  <c r="E1269" i="4" s="1"/>
  <c r="AJ1192" i="1"/>
  <c r="B1190" i="4" s="1"/>
  <c r="AK1192" i="1"/>
  <c r="C1190" i="4" s="1"/>
  <c r="AL1192" i="1"/>
  <c r="D1190" i="4" s="1"/>
  <c r="AM1192" i="1"/>
  <c r="E1190" i="4" s="1"/>
  <c r="AK1187" i="1"/>
  <c r="C1185" i="4" s="1"/>
  <c r="AL1187" i="1"/>
  <c r="D1185" i="4" s="1"/>
  <c r="AM1187" i="1"/>
  <c r="E1185" i="4" s="1"/>
  <c r="AJ1180" i="1"/>
  <c r="B1178" i="4" s="1"/>
  <c r="AK1180" i="1"/>
  <c r="C1178" i="4" s="1"/>
  <c r="AL1180" i="1"/>
  <c r="D1178" i="4" s="1"/>
  <c r="AM1180" i="1"/>
  <c r="E1178" i="4" s="1"/>
  <c r="AJ1084" i="1"/>
  <c r="B1082" i="4" s="1"/>
  <c r="AK1084" i="1"/>
  <c r="C1082" i="4" s="1"/>
  <c r="AL1084" i="1"/>
  <c r="D1082" i="4" s="1"/>
  <c r="AM1084" i="1"/>
  <c r="E1082" i="4" s="1"/>
  <c r="AK1079" i="1"/>
  <c r="C1077" i="4" s="1"/>
  <c r="AL1079" i="1"/>
  <c r="D1077" i="4" s="1"/>
  <c r="AM1079" i="1"/>
  <c r="E1077" i="4" s="1"/>
  <c r="AL1577" i="1"/>
  <c r="AL1565" i="1"/>
  <c r="AL1553" i="1"/>
  <c r="AJ1286" i="1"/>
  <c r="B1284" i="4" s="1"/>
  <c r="AL1286" i="1"/>
  <c r="D1284" i="4" s="1"/>
  <c r="AJ1282" i="1"/>
  <c r="B1280" i="4" s="1"/>
  <c r="AK1282" i="1"/>
  <c r="C1280" i="4" s="1"/>
  <c r="AM1282" i="1"/>
  <c r="E1280" i="4" s="1"/>
  <c r="AJ1264" i="1"/>
  <c r="B1262" i="4" s="1"/>
  <c r="AL1264" i="1"/>
  <c r="D1262" i="4" s="1"/>
  <c r="AM1264" i="1"/>
  <c r="E1262" i="4" s="1"/>
  <c r="AJ1252" i="1"/>
  <c r="B1250" i="4" s="1"/>
  <c r="AL1252" i="1"/>
  <c r="D1250" i="4" s="1"/>
  <c r="AM1252" i="1"/>
  <c r="E1250" i="4" s="1"/>
  <c r="AJ1204" i="1"/>
  <c r="B1202" i="4" s="1"/>
  <c r="AK1204" i="1"/>
  <c r="C1202" i="4" s="1"/>
  <c r="AL1204" i="1"/>
  <c r="D1202" i="4" s="1"/>
  <c r="AM1204" i="1"/>
  <c r="E1202" i="4" s="1"/>
  <c r="AK1199" i="1"/>
  <c r="C1197" i="4" s="1"/>
  <c r="AL1199" i="1"/>
  <c r="D1197" i="4" s="1"/>
  <c r="AM1199" i="1"/>
  <c r="E1197" i="4" s="1"/>
  <c r="AK1175" i="1"/>
  <c r="C1173" i="4" s="1"/>
  <c r="AL1175" i="1"/>
  <c r="D1173" i="4" s="1"/>
  <c r="AM1175" i="1"/>
  <c r="E1173" i="4" s="1"/>
  <c r="AJ1168" i="1"/>
  <c r="B1166" i="4" s="1"/>
  <c r="AK1168" i="1"/>
  <c r="C1166" i="4" s="1"/>
  <c r="AL1168" i="1"/>
  <c r="D1166" i="4" s="1"/>
  <c r="AM1168" i="1"/>
  <c r="E1166" i="4" s="1"/>
  <c r="AJ1156" i="1"/>
  <c r="B1154" i="4" s="1"/>
  <c r="AK1156" i="1"/>
  <c r="C1154" i="4" s="1"/>
  <c r="AL1156" i="1"/>
  <c r="D1154" i="4" s="1"/>
  <c r="AM1156" i="1"/>
  <c r="E1154" i="4" s="1"/>
  <c r="AJ1144" i="1"/>
  <c r="B1142" i="4" s="1"/>
  <c r="AK1144" i="1"/>
  <c r="C1142" i="4" s="1"/>
  <c r="AL1144" i="1"/>
  <c r="D1142" i="4" s="1"/>
  <c r="AM1144" i="1"/>
  <c r="E1142" i="4" s="1"/>
  <c r="AJ1132" i="1"/>
  <c r="B1130" i="4" s="1"/>
  <c r="AK1132" i="1"/>
  <c r="C1130" i="4" s="1"/>
  <c r="AL1132" i="1"/>
  <c r="D1130" i="4" s="1"/>
  <c r="AM1132" i="1"/>
  <c r="E1130" i="4" s="1"/>
  <c r="AJ1120" i="1"/>
  <c r="B1118" i="4" s="1"/>
  <c r="AK1120" i="1"/>
  <c r="C1118" i="4" s="1"/>
  <c r="AL1120" i="1"/>
  <c r="D1118" i="4" s="1"/>
  <c r="AM1120" i="1"/>
  <c r="E1118" i="4" s="1"/>
  <c r="AJ1108" i="1"/>
  <c r="B1106" i="4" s="1"/>
  <c r="AK1108" i="1"/>
  <c r="C1106" i="4" s="1"/>
  <c r="AL1108" i="1"/>
  <c r="D1106" i="4" s="1"/>
  <c r="AM1108" i="1"/>
  <c r="E1106" i="4" s="1"/>
  <c r="AJ1096" i="1"/>
  <c r="B1094" i="4" s="1"/>
  <c r="AK1096" i="1"/>
  <c r="C1094" i="4" s="1"/>
  <c r="AL1096" i="1"/>
  <c r="D1094" i="4" s="1"/>
  <c r="AM1096" i="1"/>
  <c r="E1094" i="4" s="1"/>
  <c r="AK1091" i="1"/>
  <c r="C1089" i="4" s="1"/>
  <c r="AL1091" i="1"/>
  <c r="D1089" i="4" s="1"/>
  <c r="AM1091" i="1"/>
  <c r="E1089" i="4" s="1"/>
  <c r="AJ1058" i="1"/>
  <c r="B1056" i="4" s="1"/>
  <c r="AK1058" i="1"/>
  <c r="C1056" i="4" s="1"/>
  <c r="AL1058" i="1"/>
  <c r="D1056" i="4" s="1"/>
  <c r="AM1058" i="1"/>
  <c r="E1056" i="4" s="1"/>
  <c r="AK1577" i="1"/>
  <c r="AM1567" i="1"/>
  <c r="AK1565" i="1"/>
  <c r="AM1555" i="1"/>
  <c r="AK1553" i="1"/>
  <c r="AM1543" i="1"/>
  <c r="AM1531" i="1"/>
  <c r="AM1519" i="1"/>
  <c r="AM1507" i="1"/>
  <c r="AM1495" i="1"/>
  <c r="AM1483" i="1"/>
  <c r="AM1471" i="1"/>
  <c r="AM1459" i="1"/>
  <c r="AM1447" i="1"/>
  <c r="AM1435" i="1"/>
  <c r="AM1423" i="1"/>
  <c r="E1421" i="4" s="1"/>
  <c r="AM1411" i="1"/>
  <c r="E1409" i="4" s="1"/>
  <c r="AM1399" i="1"/>
  <c r="E1397" i="4" s="1"/>
  <c r="AM1387" i="1"/>
  <c r="E1385" i="4" s="1"/>
  <c r="AM1375" i="1"/>
  <c r="E1373" i="4" s="1"/>
  <c r="AM1363" i="1"/>
  <c r="E1361" i="4" s="1"/>
  <c r="AM1351" i="1"/>
  <c r="E1349" i="4" s="1"/>
  <c r="AM1339" i="1"/>
  <c r="E1337" i="4" s="1"/>
  <c r="AM1327" i="1"/>
  <c r="E1325" i="4" s="1"/>
  <c r="AK1305" i="1"/>
  <c r="C1303" i="4" s="1"/>
  <c r="AM1305" i="1"/>
  <c r="E1303" i="4" s="1"/>
  <c r="AJ1270" i="1"/>
  <c r="B1268" i="4" s="1"/>
  <c r="AK1270" i="1"/>
  <c r="C1268" i="4" s="1"/>
  <c r="AM1270" i="1"/>
  <c r="E1268" i="4" s="1"/>
  <c r="AK1259" i="1"/>
  <c r="C1257" i="4" s="1"/>
  <c r="AM1259" i="1"/>
  <c r="E1257" i="4" s="1"/>
  <c r="AK1247" i="1"/>
  <c r="C1245" i="4" s="1"/>
  <c r="AM1247" i="1"/>
  <c r="E1245" i="4" s="1"/>
  <c r="AJ1240" i="1"/>
  <c r="B1238" i="4" s="1"/>
  <c r="AL1240" i="1"/>
  <c r="D1238" i="4" s="1"/>
  <c r="AM1240" i="1"/>
  <c r="E1238" i="4" s="1"/>
  <c r="AJ1228" i="1"/>
  <c r="B1226" i="4" s="1"/>
  <c r="AK1228" i="1"/>
  <c r="C1226" i="4" s="1"/>
  <c r="AL1228" i="1"/>
  <c r="D1226" i="4" s="1"/>
  <c r="AM1228" i="1"/>
  <c r="E1226" i="4" s="1"/>
  <c r="AK1223" i="1"/>
  <c r="C1221" i="4" s="1"/>
  <c r="AL1223" i="1"/>
  <c r="D1221" i="4" s="1"/>
  <c r="AM1223" i="1"/>
  <c r="E1221" i="4" s="1"/>
  <c r="AJ1216" i="1"/>
  <c r="B1214" i="4" s="1"/>
  <c r="AK1216" i="1"/>
  <c r="C1214" i="4" s="1"/>
  <c r="AL1216" i="1"/>
  <c r="D1214" i="4" s="1"/>
  <c r="AM1216" i="1"/>
  <c r="E1214" i="4" s="1"/>
  <c r="AK1211" i="1"/>
  <c r="C1209" i="4" s="1"/>
  <c r="AL1211" i="1"/>
  <c r="D1209" i="4" s="1"/>
  <c r="AM1211" i="1"/>
  <c r="E1209" i="4" s="1"/>
  <c r="AK1163" i="1"/>
  <c r="C1161" i="4" s="1"/>
  <c r="AL1163" i="1"/>
  <c r="D1161" i="4" s="1"/>
  <c r="AM1163" i="1"/>
  <c r="E1161" i="4" s="1"/>
  <c r="AK1151" i="1"/>
  <c r="C1149" i="4" s="1"/>
  <c r="AL1151" i="1"/>
  <c r="D1149" i="4" s="1"/>
  <c r="AM1151" i="1"/>
  <c r="E1149" i="4" s="1"/>
  <c r="AK1139" i="1"/>
  <c r="C1137" i="4" s="1"/>
  <c r="AL1139" i="1"/>
  <c r="D1137" i="4" s="1"/>
  <c r="AM1139" i="1"/>
  <c r="E1137" i="4" s="1"/>
  <c r="AK1127" i="1"/>
  <c r="C1125" i="4" s="1"/>
  <c r="AL1127" i="1"/>
  <c r="D1125" i="4" s="1"/>
  <c r="AM1127" i="1"/>
  <c r="E1125" i="4" s="1"/>
  <c r="AK1115" i="1"/>
  <c r="C1113" i="4" s="1"/>
  <c r="AL1115" i="1"/>
  <c r="D1113" i="4" s="1"/>
  <c r="AM1115" i="1"/>
  <c r="E1113" i="4" s="1"/>
  <c r="AK1103" i="1"/>
  <c r="C1101" i="4" s="1"/>
  <c r="AL1103" i="1"/>
  <c r="D1101" i="4" s="1"/>
  <c r="AM1103" i="1"/>
  <c r="E1101" i="4" s="1"/>
  <c r="AL1567" i="1"/>
  <c r="AL1555" i="1"/>
  <c r="AL1543" i="1"/>
  <c r="AL1531" i="1"/>
  <c r="AL1519" i="1"/>
  <c r="AL1507" i="1"/>
  <c r="AL1495" i="1"/>
  <c r="AL1483" i="1"/>
  <c r="AL1471" i="1"/>
  <c r="AL1459" i="1"/>
  <c r="AL1447" i="1"/>
  <c r="AL1435" i="1"/>
  <c r="AL1423" i="1"/>
  <c r="D1421" i="4" s="1"/>
  <c r="AL1411" i="1"/>
  <c r="D1409" i="4" s="1"/>
  <c r="AL1399" i="1"/>
  <c r="D1397" i="4" s="1"/>
  <c r="AL1387" i="1"/>
  <c r="D1385" i="4" s="1"/>
  <c r="AL1375" i="1"/>
  <c r="D1373" i="4" s="1"/>
  <c r="AL1363" i="1"/>
  <c r="D1361" i="4" s="1"/>
  <c r="AL1351" i="1"/>
  <c r="D1349" i="4" s="1"/>
  <c r="AL1339" i="1"/>
  <c r="D1337" i="4" s="1"/>
  <c r="AL1327" i="1"/>
  <c r="D1325" i="4" s="1"/>
  <c r="AJ1295" i="1"/>
  <c r="B1293" i="4" s="1"/>
  <c r="AK1281" i="1"/>
  <c r="C1279" i="4" s="1"/>
  <c r="AL1281" i="1"/>
  <c r="D1279" i="4" s="1"/>
  <c r="AM1281" i="1"/>
  <c r="E1279" i="4" s="1"/>
  <c r="AJ1258" i="1"/>
  <c r="B1256" i="4" s="1"/>
  <c r="AK1258" i="1"/>
  <c r="C1256" i="4" s="1"/>
  <c r="AL1258" i="1"/>
  <c r="D1256" i="4" s="1"/>
  <c r="AM1258" i="1"/>
  <c r="E1256" i="4" s="1"/>
  <c r="AJ1246" i="1"/>
  <c r="B1244" i="4" s="1"/>
  <c r="AK1246" i="1"/>
  <c r="C1244" i="4" s="1"/>
  <c r="AL1246" i="1"/>
  <c r="D1244" i="4" s="1"/>
  <c r="AM1246" i="1"/>
  <c r="E1244" i="4" s="1"/>
  <c r="AK1235" i="1"/>
  <c r="C1233" i="4" s="1"/>
  <c r="AM1235" i="1"/>
  <c r="E1233" i="4" s="1"/>
  <c r="AM1311" i="1"/>
  <c r="E1309" i="4" s="1"/>
  <c r="AJ1308" i="1"/>
  <c r="B1306" i="4" s="1"/>
  <c r="AM1308" i="1"/>
  <c r="E1306" i="4" s="1"/>
  <c r="AM1298" i="1"/>
  <c r="E1296" i="4" s="1"/>
  <c r="AJ1274" i="1"/>
  <c r="B1272" i="4" s="1"/>
  <c r="AK1274" i="1"/>
  <c r="C1272" i="4" s="1"/>
  <c r="AL1274" i="1"/>
  <c r="D1272" i="4" s="1"/>
  <c r="AJ1234" i="1"/>
  <c r="B1232" i="4" s="1"/>
  <c r="AK1234" i="1"/>
  <c r="C1232" i="4" s="1"/>
  <c r="AL1234" i="1"/>
  <c r="D1232" i="4" s="1"/>
  <c r="AM1234" i="1"/>
  <c r="E1232" i="4" s="1"/>
  <c r="AL1299" i="1"/>
  <c r="D1297" i="4" s="1"/>
  <c r="AL1287" i="1"/>
  <c r="D1285" i="4" s="1"/>
  <c r="AL1275" i="1"/>
  <c r="D1273" i="4" s="1"/>
  <c r="AL1263" i="1"/>
  <c r="D1261" i="4" s="1"/>
  <c r="AJ1261" i="1"/>
  <c r="B1259" i="4" s="1"/>
  <c r="AL1251" i="1"/>
  <c r="D1249" i="4" s="1"/>
  <c r="AJ1249" i="1"/>
  <c r="B1247" i="4" s="1"/>
  <c r="AL1239" i="1"/>
  <c r="D1237" i="4" s="1"/>
  <c r="AJ1237" i="1"/>
  <c r="B1235" i="4" s="1"/>
  <c r="AL1227" i="1"/>
  <c r="D1225" i="4" s="1"/>
  <c r="AJ1225" i="1"/>
  <c r="B1223" i="4" s="1"/>
  <c r="AM1222" i="1"/>
  <c r="E1220" i="4" s="1"/>
  <c r="AL1215" i="1"/>
  <c r="D1213" i="4" s="1"/>
  <c r="AJ1213" i="1"/>
  <c r="B1211" i="4" s="1"/>
  <c r="AM1210" i="1"/>
  <c r="E1208" i="4" s="1"/>
  <c r="AL1203" i="1"/>
  <c r="D1201" i="4" s="1"/>
  <c r="AJ1201" i="1"/>
  <c r="B1199" i="4" s="1"/>
  <c r="AM1198" i="1"/>
  <c r="E1196" i="4" s="1"/>
  <c r="AL1191" i="1"/>
  <c r="D1189" i="4" s="1"/>
  <c r="AJ1189" i="1"/>
  <c r="B1187" i="4" s="1"/>
  <c r="AM1186" i="1"/>
  <c r="E1184" i="4" s="1"/>
  <c r="AJ1177" i="1"/>
  <c r="B1175" i="4" s="1"/>
  <c r="AM1174" i="1"/>
  <c r="E1172" i="4" s="1"/>
  <c r="AJ1165" i="1"/>
  <c r="B1163" i="4" s="1"/>
  <c r="AM1162" i="1"/>
  <c r="E1160" i="4" s="1"/>
  <c r="AJ1153" i="1"/>
  <c r="B1151" i="4" s="1"/>
  <c r="AM1150" i="1"/>
  <c r="E1148" i="4" s="1"/>
  <c r="AJ1141" i="1"/>
  <c r="B1139" i="4" s="1"/>
  <c r="AM1138" i="1"/>
  <c r="E1136" i="4" s="1"/>
  <c r="AJ1129" i="1"/>
  <c r="B1127" i="4" s="1"/>
  <c r="AM1126" i="1"/>
  <c r="E1124" i="4" s="1"/>
  <c r="AJ1117" i="1"/>
  <c r="B1115" i="4" s="1"/>
  <c r="AM1114" i="1"/>
  <c r="E1112" i="4" s="1"/>
  <c r="AJ1105" i="1"/>
  <c r="B1103" i="4" s="1"/>
  <c r="AM1102" i="1"/>
  <c r="E1100" i="4" s="1"/>
  <c r="AJ1093" i="1"/>
  <c r="B1091" i="4" s="1"/>
  <c r="AM1090" i="1"/>
  <c r="E1088" i="4" s="1"/>
  <c r="AJ1081" i="1"/>
  <c r="B1079" i="4" s="1"/>
  <c r="AM1078" i="1"/>
  <c r="E1076" i="4" s="1"/>
  <c r="AM1057" i="1"/>
  <c r="E1055" i="4" s="1"/>
  <c r="AJ1057" i="1"/>
  <c r="B1055" i="4" s="1"/>
  <c r="AK1057" i="1"/>
  <c r="C1055" i="4" s="1"/>
  <c r="AJ1046" i="1"/>
  <c r="B1044" i="4" s="1"/>
  <c r="AK1046" i="1"/>
  <c r="C1044" i="4" s="1"/>
  <c r="AL1046" i="1"/>
  <c r="D1044" i="4" s="1"/>
  <c r="AJ1030" i="1"/>
  <c r="B1028" i="4" s="1"/>
  <c r="AK1030" i="1"/>
  <c r="C1028" i="4" s="1"/>
  <c r="AM1030" i="1"/>
  <c r="E1028" i="4" s="1"/>
  <c r="AJ1000" i="1"/>
  <c r="B998" i="4" s="1"/>
  <c r="AK1000" i="1"/>
  <c r="C998" i="4" s="1"/>
  <c r="AL1000" i="1"/>
  <c r="D998" i="4" s="1"/>
  <c r="AM1000" i="1"/>
  <c r="E998" i="4" s="1"/>
  <c r="AJ988" i="1"/>
  <c r="B986" i="4" s="1"/>
  <c r="AK988" i="1"/>
  <c r="C986" i="4" s="1"/>
  <c r="AL988" i="1"/>
  <c r="D986" i="4" s="1"/>
  <c r="AM988" i="1"/>
  <c r="E986" i="4" s="1"/>
  <c r="AJ787" i="1"/>
  <c r="B785" i="4" s="1"/>
  <c r="AK787" i="1"/>
  <c r="C785" i="4" s="1"/>
  <c r="AL787" i="1"/>
  <c r="D785" i="4" s="1"/>
  <c r="AM787" i="1"/>
  <c r="E785" i="4" s="1"/>
  <c r="AL1222" i="1"/>
  <c r="D1220" i="4" s="1"/>
  <c r="AL1210" i="1"/>
  <c r="D1208" i="4" s="1"/>
  <c r="AL1198" i="1"/>
  <c r="D1196" i="4" s="1"/>
  <c r="AL1186" i="1"/>
  <c r="D1184" i="4" s="1"/>
  <c r="AL1174" i="1"/>
  <c r="D1172" i="4" s="1"/>
  <c r="AL1162" i="1"/>
  <c r="D1160" i="4" s="1"/>
  <c r="AL1150" i="1"/>
  <c r="D1148" i="4" s="1"/>
  <c r="AL1138" i="1"/>
  <c r="D1136" i="4" s="1"/>
  <c r="AL1126" i="1"/>
  <c r="D1124" i="4" s="1"/>
  <c r="AL1114" i="1"/>
  <c r="D1112" i="4" s="1"/>
  <c r="AL1102" i="1"/>
  <c r="D1100" i="4" s="1"/>
  <c r="AL1090" i="1"/>
  <c r="D1088" i="4" s="1"/>
  <c r="AL1078" i="1"/>
  <c r="D1076" i="4" s="1"/>
  <c r="AM1073" i="1"/>
  <c r="E1071" i="4" s="1"/>
  <c r="AM1070" i="1"/>
  <c r="E1068" i="4" s="1"/>
  <c r="AK1064" i="1"/>
  <c r="C1062" i="4" s="1"/>
  <c r="AL1064" i="1"/>
  <c r="D1062" i="4" s="1"/>
  <c r="AJ856" i="1"/>
  <c r="B854" i="4" s="1"/>
  <c r="AK856" i="1"/>
  <c r="C854" i="4" s="1"/>
  <c r="AL856" i="1"/>
  <c r="D854" i="4" s="1"/>
  <c r="AM856" i="1"/>
  <c r="E854" i="4" s="1"/>
  <c r="AM1284" i="1"/>
  <c r="E1282" i="4" s="1"/>
  <c r="AM1272" i="1"/>
  <c r="E1270" i="4" s="1"/>
  <c r="AM1260" i="1"/>
  <c r="E1258" i="4" s="1"/>
  <c r="AM1248" i="1"/>
  <c r="E1246" i="4" s="1"/>
  <c r="AM1236" i="1"/>
  <c r="E1234" i="4" s="1"/>
  <c r="AM1224" i="1"/>
  <c r="E1222" i="4" s="1"/>
  <c r="AK1222" i="1"/>
  <c r="C1220" i="4" s="1"/>
  <c r="AM1212" i="1"/>
  <c r="E1210" i="4" s="1"/>
  <c r="AK1210" i="1"/>
  <c r="C1208" i="4" s="1"/>
  <c r="AM1200" i="1"/>
  <c r="E1198" i="4" s="1"/>
  <c r="AK1198" i="1"/>
  <c r="C1196" i="4" s="1"/>
  <c r="AM1188" i="1"/>
  <c r="E1186" i="4" s="1"/>
  <c r="AK1186" i="1"/>
  <c r="C1184" i="4" s="1"/>
  <c r="AM1176" i="1"/>
  <c r="E1174" i="4" s="1"/>
  <c r="AK1174" i="1"/>
  <c r="C1172" i="4" s="1"/>
  <c r="AM1164" i="1"/>
  <c r="E1162" i="4" s="1"/>
  <c r="AK1162" i="1"/>
  <c r="C1160" i="4" s="1"/>
  <c r="AM1152" i="1"/>
  <c r="E1150" i="4" s="1"/>
  <c r="AK1150" i="1"/>
  <c r="C1148" i="4" s="1"/>
  <c r="AM1140" i="1"/>
  <c r="E1138" i="4" s="1"/>
  <c r="AK1138" i="1"/>
  <c r="C1136" i="4" s="1"/>
  <c r="AM1128" i="1"/>
  <c r="E1126" i="4" s="1"/>
  <c r="AK1126" i="1"/>
  <c r="C1124" i="4" s="1"/>
  <c r="AM1116" i="1"/>
  <c r="E1114" i="4" s="1"/>
  <c r="AK1114" i="1"/>
  <c r="C1112" i="4" s="1"/>
  <c r="AM1104" i="1"/>
  <c r="E1102" i="4" s="1"/>
  <c r="AK1102" i="1"/>
  <c r="C1100" i="4" s="1"/>
  <c r="AM1092" i="1"/>
  <c r="E1090" i="4" s="1"/>
  <c r="AK1090" i="1"/>
  <c r="C1088" i="4" s="1"/>
  <c r="AM1080" i="1"/>
  <c r="E1078" i="4" s="1"/>
  <c r="AK1078" i="1"/>
  <c r="C1076" i="4" s="1"/>
  <c r="AL1073" i="1"/>
  <c r="D1071" i="4" s="1"/>
  <c r="AL1070" i="1"/>
  <c r="D1068" i="4" s="1"/>
  <c r="AM1045" i="1"/>
  <c r="E1043" i="4" s="1"/>
  <c r="AJ1045" i="1"/>
  <c r="B1043" i="4" s="1"/>
  <c r="AK1045" i="1"/>
  <c r="C1043" i="4" s="1"/>
  <c r="AJ1034" i="1"/>
  <c r="B1032" i="4" s="1"/>
  <c r="AK1034" i="1"/>
  <c r="C1032" i="4" s="1"/>
  <c r="AL1034" i="1"/>
  <c r="D1032" i="4" s="1"/>
  <c r="AJ1018" i="1"/>
  <c r="B1016" i="4" s="1"/>
  <c r="AK1018" i="1"/>
  <c r="C1016" i="4" s="1"/>
  <c r="AM1018" i="1"/>
  <c r="E1016" i="4" s="1"/>
  <c r="AL1284" i="1"/>
  <c r="D1282" i="4" s="1"/>
  <c r="AL1272" i="1"/>
  <c r="D1270" i="4" s="1"/>
  <c r="AL1260" i="1"/>
  <c r="D1258" i="4" s="1"/>
  <c r="AL1248" i="1"/>
  <c r="D1246" i="4" s="1"/>
  <c r="AL1236" i="1"/>
  <c r="D1234" i="4" s="1"/>
  <c r="AL1224" i="1"/>
  <c r="D1222" i="4" s="1"/>
  <c r="AL1212" i="1"/>
  <c r="D1210" i="4" s="1"/>
  <c r="AL1200" i="1"/>
  <c r="D1198" i="4" s="1"/>
  <c r="AL1188" i="1"/>
  <c r="D1186" i="4" s="1"/>
  <c r="AL1176" i="1"/>
  <c r="D1174" i="4" s="1"/>
  <c r="AL1164" i="1"/>
  <c r="D1162" i="4" s="1"/>
  <c r="AL1152" i="1"/>
  <c r="D1150" i="4" s="1"/>
  <c r="AL1140" i="1"/>
  <c r="D1138" i="4" s="1"/>
  <c r="AL1128" i="1"/>
  <c r="D1126" i="4" s="1"/>
  <c r="AL1116" i="1"/>
  <c r="D1114" i="4" s="1"/>
  <c r="AL1104" i="1"/>
  <c r="D1102" i="4" s="1"/>
  <c r="AL1092" i="1"/>
  <c r="D1090" i="4" s="1"/>
  <c r="AL1080" i="1"/>
  <c r="D1078" i="4" s="1"/>
  <c r="AJ1073" i="1"/>
  <c r="B1071" i="4" s="1"/>
  <c r="AK1070" i="1"/>
  <c r="C1068" i="4" s="1"/>
  <c r="AM1066" i="1"/>
  <c r="E1064" i="4" s="1"/>
  <c r="AJ1060" i="1"/>
  <c r="B1058" i="4" s="1"/>
  <c r="AL1060" i="1"/>
  <c r="D1058" i="4" s="1"/>
  <c r="AM1060" i="1"/>
  <c r="E1058" i="4" s="1"/>
  <c r="AJ844" i="1"/>
  <c r="B842" i="4" s="1"/>
  <c r="AK844" i="1"/>
  <c r="C842" i="4" s="1"/>
  <c r="AL844" i="1"/>
  <c r="D842" i="4" s="1"/>
  <c r="AM844" i="1"/>
  <c r="E842" i="4" s="1"/>
  <c r="AM1094" i="1"/>
  <c r="E1092" i="4" s="1"/>
  <c r="AM1082" i="1"/>
  <c r="E1080" i="4" s="1"/>
  <c r="AM1033" i="1"/>
  <c r="E1031" i="4" s="1"/>
  <c r="AJ1033" i="1"/>
  <c r="B1031" i="4" s="1"/>
  <c r="AK1033" i="1"/>
  <c r="C1031" i="4" s="1"/>
  <c r="AJ1022" i="1"/>
  <c r="B1020" i="4" s="1"/>
  <c r="AK1022" i="1"/>
  <c r="C1020" i="4" s="1"/>
  <c r="AL1022" i="1"/>
  <c r="D1020" i="4" s="1"/>
  <c r="AJ1006" i="1"/>
  <c r="B1004" i="4" s="1"/>
  <c r="AK1006" i="1"/>
  <c r="C1004" i="4" s="1"/>
  <c r="AM1006" i="1"/>
  <c r="E1004" i="4" s="1"/>
  <c r="AJ832" i="1"/>
  <c r="B830" i="4" s="1"/>
  <c r="AK832" i="1"/>
  <c r="C830" i="4" s="1"/>
  <c r="AL832" i="1"/>
  <c r="D830" i="4" s="1"/>
  <c r="AM832" i="1"/>
  <c r="E830" i="4" s="1"/>
  <c r="AJ827" i="1"/>
  <c r="B825" i="4" s="1"/>
  <c r="AK827" i="1"/>
  <c r="C825" i="4" s="1"/>
  <c r="AL827" i="1"/>
  <c r="D825" i="4" s="1"/>
  <c r="AM827" i="1"/>
  <c r="E825" i="4" s="1"/>
  <c r="AM1269" i="1"/>
  <c r="E1267" i="4" s="1"/>
  <c r="AM1257" i="1"/>
  <c r="E1255" i="4" s="1"/>
  <c r="AM1245" i="1"/>
  <c r="E1243" i="4" s="1"/>
  <c r="AM1233" i="1"/>
  <c r="E1231" i="4" s="1"/>
  <c r="AL1226" i="1"/>
  <c r="D1224" i="4" s="1"/>
  <c r="AM1221" i="1"/>
  <c r="E1219" i="4" s="1"/>
  <c r="AL1214" i="1"/>
  <c r="D1212" i="4" s="1"/>
  <c r="AM1209" i="1"/>
  <c r="E1207" i="4" s="1"/>
  <c r="AL1202" i="1"/>
  <c r="D1200" i="4" s="1"/>
  <c r="AM1197" i="1"/>
  <c r="E1195" i="4" s="1"/>
  <c r="AL1190" i="1"/>
  <c r="D1188" i="4" s="1"/>
  <c r="AM1185" i="1"/>
  <c r="E1183" i="4" s="1"/>
  <c r="AL1178" i="1"/>
  <c r="D1176" i="4" s="1"/>
  <c r="AM1173" i="1"/>
  <c r="E1171" i="4" s="1"/>
  <c r="AL1166" i="1"/>
  <c r="D1164" i="4" s="1"/>
  <c r="AM1161" i="1"/>
  <c r="E1159" i="4" s="1"/>
  <c r="AL1154" i="1"/>
  <c r="D1152" i="4" s="1"/>
  <c r="AM1149" i="1"/>
  <c r="E1147" i="4" s="1"/>
  <c r="AL1142" i="1"/>
  <c r="D1140" i="4" s="1"/>
  <c r="AM1137" i="1"/>
  <c r="E1135" i="4" s="1"/>
  <c r="AL1130" i="1"/>
  <c r="D1128" i="4" s="1"/>
  <c r="AM1125" i="1"/>
  <c r="E1123" i="4" s="1"/>
  <c r="AL1118" i="1"/>
  <c r="D1116" i="4" s="1"/>
  <c r="AM1113" i="1"/>
  <c r="E1111" i="4" s="1"/>
  <c r="AL1106" i="1"/>
  <c r="D1104" i="4" s="1"/>
  <c r="AM1101" i="1"/>
  <c r="E1099" i="4" s="1"/>
  <c r="AL1094" i="1"/>
  <c r="D1092" i="4" s="1"/>
  <c r="AM1089" i="1"/>
  <c r="E1087" i="4" s="1"/>
  <c r="AL1082" i="1"/>
  <c r="D1080" i="4" s="1"/>
  <c r="AM1077" i="1"/>
  <c r="E1075" i="4" s="1"/>
  <c r="AK1066" i="1"/>
  <c r="C1064" i="4" s="1"/>
  <c r="AJ1048" i="1"/>
  <c r="B1046" i="4" s="1"/>
  <c r="AL1048" i="1"/>
  <c r="D1046" i="4" s="1"/>
  <c r="AM1048" i="1"/>
  <c r="E1046" i="4" s="1"/>
  <c r="AL1269" i="1"/>
  <c r="D1267" i="4" s="1"/>
  <c r="AL1257" i="1"/>
  <c r="D1255" i="4" s="1"/>
  <c r="AK1226" i="1"/>
  <c r="C1224" i="4" s="1"/>
  <c r="AK1214" i="1"/>
  <c r="C1212" i="4" s="1"/>
  <c r="AK1202" i="1"/>
  <c r="C1200" i="4" s="1"/>
  <c r="AK1190" i="1"/>
  <c r="C1188" i="4" s="1"/>
  <c r="AK1178" i="1"/>
  <c r="C1176" i="4" s="1"/>
  <c r="AK1166" i="1"/>
  <c r="C1164" i="4" s="1"/>
  <c r="AK1154" i="1"/>
  <c r="C1152" i="4" s="1"/>
  <c r="AK1142" i="1"/>
  <c r="C1140" i="4" s="1"/>
  <c r="AK1130" i="1"/>
  <c r="C1128" i="4" s="1"/>
  <c r="AK1118" i="1"/>
  <c r="C1116" i="4" s="1"/>
  <c r="AK1106" i="1"/>
  <c r="C1104" i="4" s="1"/>
  <c r="AK1094" i="1"/>
  <c r="C1092" i="4" s="1"/>
  <c r="AK1082" i="1"/>
  <c r="C1080" i="4" s="1"/>
  <c r="AM1021" i="1"/>
  <c r="E1019" i="4" s="1"/>
  <c r="AJ1021" i="1"/>
  <c r="B1019" i="4" s="1"/>
  <c r="AK1021" i="1"/>
  <c r="C1019" i="4" s="1"/>
  <c r="AJ1010" i="1"/>
  <c r="B1008" i="4" s="1"/>
  <c r="AK1010" i="1"/>
  <c r="C1008" i="4" s="1"/>
  <c r="AL1010" i="1"/>
  <c r="D1008" i="4" s="1"/>
  <c r="AJ1072" i="1"/>
  <c r="B1070" i="4" s="1"/>
  <c r="AL1072" i="1"/>
  <c r="D1070" i="4" s="1"/>
  <c r="AM1069" i="1"/>
  <c r="E1067" i="4" s="1"/>
  <c r="AK1069" i="1"/>
  <c r="C1067" i="4" s="1"/>
  <c r="AJ1036" i="1"/>
  <c r="B1034" i="4" s="1"/>
  <c r="AL1036" i="1"/>
  <c r="D1034" i="4" s="1"/>
  <c r="AM1036" i="1"/>
  <c r="E1034" i="4" s="1"/>
  <c r="AJ928" i="1"/>
  <c r="B926" i="4" s="1"/>
  <c r="AK928" i="1"/>
  <c r="C926" i="4" s="1"/>
  <c r="AL928" i="1"/>
  <c r="D926" i="4" s="1"/>
  <c r="AM928" i="1"/>
  <c r="E926" i="4" s="1"/>
  <c r="AJ904" i="1"/>
  <c r="B902" i="4" s="1"/>
  <c r="AK904" i="1"/>
  <c r="C902" i="4" s="1"/>
  <c r="AL904" i="1"/>
  <c r="D902" i="4" s="1"/>
  <c r="AM904" i="1"/>
  <c r="E902" i="4" s="1"/>
  <c r="AJ892" i="1"/>
  <c r="B890" i="4" s="1"/>
  <c r="AK892" i="1"/>
  <c r="C890" i="4" s="1"/>
  <c r="AL892" i="1"/>
  <c r="D890" i="4" s="1"/>
  <c r="AM892" i="1"/>
  <c r="E890" i="4" s="1"/>
  <c r="AJ1054" i="1"/>
  <c r="B1052" i="4" s="1"/>
  <c r="AK1054" i="1"/>
  <c r="C1052" i="4" s="1"/>
  <c r="AM1054" i="1"/>
  <c r="E1052" i="4" s="1"/>
  <c r="AM1009" i="1"/>
  <c r="E1007" i="4" s="1"/>
  <c r="AJ1009" i="1"/>
  <c r="B1007" i="4" s="1"/>
  <c r="AK1009" i="1"/>
  <c r="C1007" i="4" s="1"/>
  <c r="AJ940" i="1"/>
  <c r="B938" i="4" s="1"/>
  <c r="AK940" i="1"/>
  <c r="C938" i="4" s="1"/>
  <c r="AL940" i="1"/>
  <c r="D938" i="4" s="1"/>
  <c r="AM940" i="1"/>
  <c r="E938" i="4" s="1"/>
  <c r="AJ916" i="1"/>
  <c r="B914" i="4" s="1"/>
  <c r="AK916" i="1"/>
  <c r="C914" i="4" s="1"/>
  <c r="AL916" i="1"/>
  <c r="D914" i="4" s="1"/>
  <c r="AM916" i="1"/>
  <c r="E914" i="4" s="1"/>
  <c r="AJ1024" i="1"/>
  <c r="B1022" i="4" s="1"/>
  <c r="AL1024" i="1"/>
  <c r="D1022" i="4" s="1"/>
  <c r="AM1024" i="1"/>
  <c r="E1022" i="4" s="1"/>
  <c r="AJ952" i="1"/>
  <c r="B950" i="4" s="1"/>
  <c r="AK952" i="1"/>
  <c r="C950" i="4" s="1"/>
  <c r="AL952" i="1"/>
  <c r="D950" i="4" s="1"/>
  <c r="AM952" i="1"/>
  <c r="E950" i="4" s="1"/>
  <c r="AJ880" i="1"/>
  <c r="B878" i="4" s="1"/>
  <c r="AK880" i="1"/>
  <c r="C878" i="4" s="1"/>
  <c r="AL880" i="1"/>
  <c r="D878" i="4" s="1"/>
  <c r="AM880" i="1"/>
  <c r="E878" i="4" s="1"/>
  <c r="AJ1062" i="1"/>
  <c r="B1060" i="4" s="1"/>
  <c r="AL1052" i="1"/>
  <c r="D1050" i="4" s="1"/>
  <c r="AJ1050" i="1"/>
  <c r="B1048" i="4" s="1"/>
  <c r="AL1040" i="1"/>
  <c r="D1038" i="4" s="1"/>
  <c r="AJ1038" i="1"/>
  <c r="B1036" i="4" s="1"/>
  <c r="AL1028" i="1"/>
  <c r="D1026" i="4" s="1"/>
  <c r="AJ1026" i="1"/>
  <c r="B1024" i="4" s="1"/>
  <c r="AL1016" i="1"/>
  <c r="D1014" i="4" s="1"/>
  <c r="AJ1014" i="1"/>
  <c r="B1012" i="4" s="1"/>
  <c r="AL1004" i="1"/>
  <c r="D1002" i="4" s="1"/>
  <c r="AJ1002" i="1"/>
  <c r="B1000" i="4" s="1"/>
  <c r="AK997" i="1"/>
  <c r="C995" i="4" s="1"/>
  <c r="AL992" i="1"/>
  <c r="D990" i="4" s="1"/>
  <c r="AJ990" i="1"/>
  <c r="B988" i="4" s="1"/>
  <c r="AK985" i="1"/>
  <c r="C983" i="4" s="1"/>
  <c r="AL980" i="1"/>
  <c r="D978" i="4" s="1"/>
  <c r="AJ978" i="1"/>
  <c r="B976" i="4" s="1"/>
  <c r="AK973" i="1"/>
  <c r="C971" i="4" s="1"/>
  <c r="AJ966" i="1"/>
  <c r="B964" i="4" s="1"/>
  <c r="AK961" i="1"/>
  <c r="C959" i="4" s="1"/>
  <c r="AJ954" i="1"/>
  <c r="B952" i="4" s="1"/>
  <c r="AK949" i="1"/>
  <c r="C947" i="4" s="1"/>
  <c r="AJ942" i="1"/>
  <c r="B940" i="4" s="1"/>
  <c r="AK937" i="1"/>
  <c r="C935" i="4" s="1"/>
  <c r="AJ930" i="1"/>
  <c r="B928" i="4" s="1"/>
  <c r="AK925" i="1"/>
  <c r="C923" i="4" s="1"/>
  <c r="AJ918" i="1"/>
  <c r="B916" i="4" s="1"/>
  <c r="AK913" i="1"/>
  <c r="C911" i="4" s="1"/>
  <c r="AJ906" i="1"/>
  <c r="B904" i="4" s="1"/>
  <c r="AK901" i="1"/>
  <c r="C899" i="4" s="1"/>
  <c r="AJ894" i="1"/>
  <c r="B892" i="4" s="1"/>
  <c r="AK889" i="1"/>
  <c r="C887" i="4" s="1"/>
  <c r="AJ882" i="1"/>
  <c r="B880" i="4" s="1"/>
  <c r="AK877" i="1"/>
  <c r="C875" i="4" s="1"/>
  <c r="AJ870" i="1"/>
  <c r="B868" i="4" s="1"/>
  <c r="AK865" i="1"/>
  <c r="C863" i="4" s="1"/>
  <c r="AJ858" i="1"/>
  <c r="B856" i="4" s="1"/>
  <c r="AK853" i="1"/>
  <c r="C851" i="4" s="1"/>
  <c r="AJ846" i="1"/>
  <c r="B844" i="4" s="1"/>
  <c r="AK841" i="1"/>
  <c r="C839" i="4" s="1"/>
  <c r="AJ834" i="1"/>
  <c r="B832" i="4" s="1"/>
  <c r="AK829" i="1"/>
  <c r="C827" i="4" s="1"/>
  <c r="AJ823" i="1"/>
  <c r="B821" i="4" s="1"/>
  <c r="AK823" i="1"/>
  <c r="C821" i="4" s="1"/>
  <c r="AL823" i="1"/>
  <c r="D821" i="4" s="1"/>
  <c r="AJ819" i="1"/>
  <c r="B817" i="4" s="1"/>
  <c r="AK819" i="1"/>
  <c r="C817" i="4" s="1"/>
  <c r="AM819" i="1"/>
  <c r="E817" i="4" s="1"/>
  <c r="AJ801" i="1"/>
  <c r="B799" i="4" s="1"/>
  <c r="AL801" i="1"/>
  <c r="D799" i="4" s="1"/>
  <c r="AM801" i="1"/>
  <c r="E799" i="4" s="1"/>
  <c r="AJ997" i="1"/>
  <c r="B995" i="4" s="1"/>
  <c r="AM994" i="1"/>
  <c r="E992" i="4" s="1"/>
  <c r="AJ985" i="1"/>
  <c r="B983" i="4" s="1"/>
  <c r="AM982" i="1"/>
  <c r="E980" i="4" s="1"/>
  <c r="AJ973" i="1"/>
  <c r="B971" i="4" s="1"/>
  <c r="AM970" i="1"/>
  <c r="E968" i="4" s="1"/>
  <c r="AJ961" i="1"/>
  <c r="B959" i="4" s="1"/>
  <c r="AM958" i="1"/>
  <c r="E956" i="4" s="1"/>
  <c r="AJ949" i="1"/>
  <c r="B947" i="4" s="1"/>
  <c r="AM946" i="1"/>
  <c r="E944" i="4" s="1"/>
  <c r="AJ937" i="1"/>
  <c r="B935" i="4" s="1"/>
  <c r="AM934" i="1"/>
  <c r="E932" i="4" s="1"/>
  <c r="AJ925" i="1"/>
  <c r="B923" i="4" s="1"/>
  <c r="AM922" i="1"/>
  <c r="E920" i="4" s="1"/>
  <c r="AJ913" i="1"/>
  <c r="B911" i="4" s="1"/>
  <c r="AM910" i="1"/>
  <c r="E908" i="4" s="1"/>
  <c r="AJ901" i="1"/>
  <c r="B899" i="4" s="1"/>
  <c r="AM898" i="1"/>
  <c r="E896" i="4" s="1"/>
  <c r="AJ889" i="1"/>
  <c r="B887" i="4" s="1"/>
  <c r="AM886" i="1"/>
  <c r="E884" i="4" s="1"/>
  <c r="AJ877" i="1"/>
  <c r="B875" i="4" s="1"/>
  <c r="AM874" i="1"/>
  <c r="E872" i="4" s="1"/>
  <c r="AJ865" i="1"/>
  <c r="B863" i="4" s="1"/>
  <c r="AM862" i="1"/>
  <c r="E860" i="4" s="1"/>
  <c r="AJ853" i="1"/>
  <c r="B851" i="4" s="1"/>
  <c r="AM850" i="1"/>
  <c r="E848" i="4" s="1"/>
  <c r="AJ841" i="1"/>
  <c r="B839" i="4" s="1"/>
  <c r="AM838" i="1"/>
  <c r="E836" i="4" s="1"/>
  <c r="AJ829" i="1"/>
  <c r="B827" i="4" s="1"/>
  <c r="AL994" i="1"/>
  <c r="D992" i="4" s="1"/>
  <c r="AL982" i="1"/>
  <c r="D980" i="4" s="1"/>
  <c r="AL970" i="1"/>
  <c r="D968" i="4" s="1"/>
  <c r="AL958" i="1"/>
  <c r="D956" i="4" s="1"/>
  <c r="AL946" i="1"/>
  <c r="D944" i="4" s="1"/>
  <c r="AL934" i="1"/>
  <c r="D932" i="4" s="1"/>
  <c r="AL922" i="1"/>
  <c r="D920" i="4" s="1"/>
  <c r="AL910" i="1"/>
  <c r="D908" i="4" s="1"/>
  <c r="AL898" i="1"/>
  <c r="D896" i="4" s="1"/>
  <c r="AL886" i="1"/>
  <c r="D884" i="4" s="1"/>
  <c r="AL874" i="1"/>
  <c r="D872" i="4" s="1"/>
  <c r="AL862" i="1"/>
  <c r="D860" i="4" s="1"/>
  <c r="AL850" i="1"/>
  <c r="D848" i="4" s="1"/>
  <c r="AL838" i="1"/>
  <c r="D836" i="4" s="1"/>
  <c r="AJ775" i="1"/>
  <c r="B773" i="4" s="1"/>
  <c r="AK775" i="1"/>
  <c r="C773" i="4" s="1"/>
  <c r="AL775" i="1"/>
  <c r="D773" i="4" s="1"/>
  <c r="AJ741" i="1"/>
  <c r="B739" i="4" s="1"/>
  <c r="AK741" i="1"/>
  <c r="C739" i="4" s="1"/>
  <c r="AL741" i="1"/>
  <c r="D739" i="4" s="1"/>
  <c r="AM741" i="1"/>
  <c r="E739" i="4" s="1"/>
  <c r="AK994" i="1"/>
  <c r="C992" i="4" s="1"/>
  <c r="AK982" i="1"/>
  <c r="C980" i="4" s="1"/>
  <c r="AM972" i="1"/>
  <c r="E970" i="4" s="1"/>
  <c r="AK970" i="1"/>
  <c r="C968" i="4" s="1"/>
  <c r="AM960" i="1"/>
  <c r="E958" i="4" s="1"/>
  <c r="AK958" i="1"/>
  <c r="C956" i="4" s="1"/>
  <c r="AM948" i="1"/>
  <c r="E946" i="4" s="1"/>
  <c r="AK946" i="1"/>
  <c r="C944" i="4" s="1"/>
  <c r="AM936" i="1"/>
  <c r="E934" i="4" s="1"/>
  <c r="AK934" i="1"/>
  <c r="C932" i="4" s="1"/>
  <c r="AK922" i="1"/>
  <c r="C920" i="4" s="1"/>
  <c r="AM912" i="1"/>
  <c r="E910" i="4" s="1"/>
  <c r="AK910" i="1"/>
  <c r="C908" i="4" s="1"/>
  <c r="AM900" i="1"/>
  <c r="E898" i="4" s="1"/>
  <c r="AK898" i="1"/>
  <c r="C896" i="4" s="1"/>
  <c r="AK886" i="1"/>
  <c r="C884" i="4" s="1"/>
  <c r="AK874" i="1"/>
  <c r="C872" i="4" s="1"/>
  <c r="AK862" i="1"/>
  <c r="C860" i="4" s="1"/>
  <c r="AK850" i="1"/>
  <c r="C848" i="4" s="1"/>
  <c r="AK838" i="1"/>
  <c r="C836" i="4" s="1"/>
  <c r="AL833" i="1"/>
  <c r="D831" i="4" s="1"/>
  <c r="AM822" i="1"/>
  <c r="E820" i="4" s="1"/>
  <c r="AJ822" i="1"/>
  <c r="B820" i="4" s="1"/>
  <c r="AL1056" i="1"/>
  <c r="D1054" i="4" s="1"/>
  <c r="AL1044" i="1"/>
  <c r="D1042" i="4" s="1"/>
  <c r="AL1032" i="1"/>
  <c r="D1030" i="4" s="1"/>
  <c r="AL1020" i="1"/>
  <c r="D1018" i="4" s="1"/>
  <c r="AL1008" i="1"/>
  <c r="D1006" i="4" s="1"/>
  <c r="AL996" i="1"/>
  <c r="D994" i="4" s="1"/>
  <c r="AL984" i="1"/>
  <c r="D982" i="4" s="1"/>
  <c r="AL972" i="1"/>
  <c r="D970" i="4" s="1"/>
  <c r="AL960" i="1"/>
  <c r="D958" i="4" s="1"/>
  <c r="AL948" i="1"/>
  <c r="D946" i="4" s="1"/>
  <c r="AL936" i="1"/>
  <c r="D934" i="4" s="1"/>
  <c r="AL924" i="1"/>
  <c r="D922" i="4" s="1"/>
  <c r="AL912" i="1"/>
  <c r="D910" i="4" s="1"/>
  <c r="AL900" i="1"/>
  <c r="D898" i="4" s="1"/>
  <c r="AK828" i="1"/>
  <c r="C826" i="4" s="1"/>
  <c r="AJ807" i="1"/>
  <c r="B805" i="4" s="1"/>
  <c r="AK807" i="1"/>
  <c r="C805" i="4" s="1"/>
  <c r="AM807" i="1"/>
  <c r="E805" i="4" s="1"/>
  <c r="AJ789" i="1"/>
  <c r="B787" i="4" s="1"/>
  <c r="AL789" i="1"/>
  <c r="D787" i="4" s="1"/>
  <c r="AM789" i="1"/>
  <c r="E787" i="4" s="1"/>
  <c r="AJ729" i="1"/>
  <c r="B727" i="4" s="1"/>
  <c r="AK729" i="1"/>
  <c r="C727" i="4" s="1"/>
  <c r="AL729" i="1"/>
  <c r="D727" i="4" s="1"/>
  <c r="AM729" i="1"/>
  <c r="E727" i="4" s="1"/>
  <c r="AL564" i="1"/>
  <c r="D562" i="4" s="1"/>
  <c r="AM564" i="1"/>
  <c r="E562" i="4" s="1"/>
  <c r="AJ564" i="1"/>
  <c r="B562" i="4" s="1"/>
  <c r="AK564" i="1"/>
  <c r="C562" i="4" s="1"/>
  <c r="AM986" i="1"/>
  <c r="E984" i="4" s="1"/>
  <c r="AM974" i="1"/>
  <c r="E972" i="4" s="1"/>
  <c r="AM962" i="1"/>
  <c r="E960" i="4" s="1"/>
  <c r="AM950" i="1"/>
  <c r="E948" i="4" s="1"/>
  <c r="AM938" i="1"/>
  <c r="E936" i="4" s="1"/>
  <c r="AM926" i="1"/>
  <c r="E924" i="4" s="1"/>
  <c r="AM914" i="1"/>
  <c r="E912" i="4" s="1"/>
  <c r="AM902" i="1"/>
  <c r="E900" i="4" s="1"/>
  <c r="AM890" i="1"/>
  <c r="E888" i="4" s="1"/>
  <c r="AM878" i="1"/>
  <c r="E876" i="4" s="1"/>
  <c r="AM866" i="1"/>
  <c r="E864" i="4" s="1"/>
  <c r="AM854" i="1"/>
  <c r="E852" i="4" s="1"/>
  <c r="AM842" i="1"/>
  <c r="E840" i="4" s="1"/>
  <c r="AM830" i="1"/>
  <c r="E828" i="4" s="1"/>
  <c r="AJ825" i="1"/>
  <c r="B823" i="4" s="1"/>
  <c r="AL825" i="1"/>
  <c r="D823" i="4" s="1"/>
  <c r="AM825" i="1"/>
  <c r="E823" i="4" s="1"/>
  <c r="AJ811" i="1"/>
  <c r="B809" i="4" s="1"/>
  <c r="AK811" i="1"/>
  <c r="C809" i="4" s="1"/>
  <c r="AL811" i="1"/>
  <c r="D809" i="4" s="1"/>
  <c r="AJ795" i="1"/>
  <c r="B793" i="4" s="1"/>
  <c r="AK795" i="1"/>
  <c r="C793" i="4" s="1"/>
  <c r="AL795" i="1"/>
  <c r="D793" i="4" s="1"/>
  <c r="AM795" i="1"/>
  <c r="E793" i="4" s="1"/>
  <c r="AJ717" i="1"/>
  <c r="B715" i="4" s="1"/>
  <c r="AK717" i="1"/>
  <c r="C715" i="4" s="1"/>
  <c r="AL717" i="1"/>
  <c r="D715" i="4" s="1"/>
  <c r="AM717" i="1"/>
  <c r="E715" i="4" s="1"/>
  <c r="AJ681" i="1"/>
  <c r="B679" i="4" s="1"/>
  <c r="AK681" i="1"/>
  <c r="C679" i="4" s="1"/>
  <c r="AL681" i="1"/>
  <c r="D679" i="4" s="1"/>
  <c r="AM681" i="1"/>
  <c r="E679" i="4" s="1"/>
  <c r="AJ669" i="1"/>
  <c r="B667" i="4" s="1"/>
  <c r="AK669" i="1"/>
  <c r="C667" i="4" s="1"/>
  <c r="AL669" i="1"/>
  <c r="D667" i="4" s="1"/>
  <c r="AM669" i="1"/>
  <c r="E667" i="4" s="1"/>
  <c r="AL998" i="1"/>
  <c r="D996" i="4" s="1"/>
  <c r="AL986" i="1"/>
  <c r="D984" i="4" s="1"/>
  <c r="AL974" i="1"/>
  <c r="D972" i="4" s="1"/>
  <c r="AL962" i="1"/>
  <c r="D960" i="4" s="1"/>
  <c r="AL950" i="1"/>
  <c r="D948" i="4" s="1"/>
  <c r="AL938" i="1"/>
  <c r="D936" i="4" s="1"/>
  <c r="AL926" i="1"/>
  <c r="D924" i="4" s="1"/>
  <c r="AL914" i="1"/>
  <c r="D912" i="4" s="1"/>
  <c r="AL902" i="1"/>
  <c r="D900" i="4" s="1"/>
  <c r="AL890" i="1"/>
  <c r="D888" i="4" s="1"/>
  <c r="AL878" i="1"/>
  <c r="D876" i="4" s="1"/>
  <c r="AL866" i="1"/>
  <c r="D864" i="4" s="1"/>
  <c r="AL854" i="1"/>
  <c r="D852" i="4" s="1"/>
  <c r="AL842" i="1"/>
  <c r="D840" i="4" s="1"/>
  <c r="AL830" i="1"/>
  <c r="D828" i="4" s="1"/>
  <c r="AJ705" i="1"/>
  <c r="B703" i="4" s="1"/>
  <c r="AK705" i="1"/>
  <c r="C703" i="4" s="1"/>
  <c r="AL705" i="1"/>
  <c r="D703" i="4" s="1"/>
  <c r="AM705" i="1"/>
  <c r="E703" i="4" s="1"/>
  <c r="AJ693" i="1"/>
  <c r="B691" i="4" s="1"/>
  <c r="AK693" i="1"/>
  <c r="C691" i="4" s="1"/>
  <c r="AL693" i="1"/>
  <c r="D691" i="4" s="1"/>
  <c r="AM693" i="1"/>
  <c r="E691" i="4" s="1"/>
  <c r="AJ657" i="1"/>
  <c r="B655" i="4" s="1"/>
  <c r="AK657" i="1"/>
  <c r="C655" i="4" s="1"/>
  <c r="AL657" i="1"/>
  <c r="D655" i="4" s="1"/>
  <c r="AM657" i="1"/>
  <c r="E655" i="4" s="1"/>
  <c r="AK998" i="1"/>
  <c r="C996" i="4" s="1"/>
  <c r="AK986" i="1"/>
  <c r="C984" i="4" s="1"/>
  <c r="AK974" i="1"/>
  <c r="C972" i="4" s="1"/>
  <c r="AK962" i="1"/>
  <c r="C960" i="4" s="1"/>
  <c r="AK950" i="1"/>
  <c r="C948" i="4" s="1"/>
  <c r="AK938" i="1"/>
  <c r="C936" i="4" s="1"/>
  <c r="AK926" i="1"/>
  <c r="C924" i="4" s="1"/>
  <c r="AK914" i="1"/>
  <c r="C912" i="4" s="1"/>
  <c r="AK902" i="1"/>
  <c r="C900" i="4" s="1"/>
  <c r="AK890" i="1"/>
  <c r="C888" i="4" s="1"/>
  <c r="AK878" i="1"/>
  <c r="C876" i="4" s="1"/>
  <c r="AK866" i="1"/>
  <c r="C864" i="4" s="1"/>
  <c r="AK854" i="1"/>
  <c r="C852" i="4" s="1"/>
  <c r="AK842" i="1"/>
  <c r="C840" i="4" s="1"/>
  <c r="AK830" i="1"/>
  <c r="C828" i="4" s="1"/>
  <c r="AM810" i="1"/>
  <c r="E808" i="4" s="1"/>
  <c r="AJ810" i="1"/>
  <c r="B808" i="4" s="1"/>
  <c r="AK810" i="1"/>
  <c r="C808" i="4" s="1"/>
  <c r="AJ799" i="1"/>
  <c r="B797" i="4" s="1"/>
  <c r="AK799" i="1"/>
  <c r="C797" i="4" s="1"/>
  <c r="AL799" i="1"/>
  <c r="D797" i="4" s="1"/>
  <c r="AJ777" i="1"/>
  <c r="B775" i="4" s="1"/>
  <c r="AL777" i="1"/>
  <c r="D775" i="4" s="1"/>
  <c r="AM777" i="1"/>
  <c r="E775" i="4" s="1"/>
  <c r="AM1067" i="1"/>
  <c r="E1065" i="4" s="1"/>
  <c r="AM1055" i="1"/>
  <c r="E1053" i="4" s="1"/>
  <c r="AM1043" i="1"/>
  <c r="E1041" i="4" s="1"/>
  <c r="AM1031" i="1"/>
  <c r="E1029" i="4" s="1"/>
  <c r="AM1019" i="1"/>
  <c r="E1017" i="4" s="1"/>
  <c r="AM1007" i="1"/>
  <c r="E1005" i="4" s="1"/>
  <c r="AM995" i="1"/>
  <c r="E993" i="4" s="1"/>
  <c r="AM983" i="1"/>
  <c r="E981" i="4" s="1"/>
  <c r="AM971" i="1"/>
  <c r="E969" i="4" s="1"/>
  <c r="AM959" i="1"/>
  <c r="E957" i="4" s="1"/>
  <c r="AM947" i="1"/>
  <c r="E945" i="4" s="1"/>
  <c r="AM935" i="1"/>
  <c r="E933" i="4" s="1"/>
  <c r="AM923" i="1"/>
  <c r="E921" i="4" s="1"/>
  <c r="AM911" i="1"/>
  <c r="E909" i="4" s="1"/>
  <c r="AM899" i="1"/>
  <c r="E897" i="4" s="1"/>
  <c r="AM887" i="1"/>
  <c r="E885" i="4" s="1"/>
  <c r="AM875" i="1"/>
  <c r="E873" i="4" s="1"/>
  <c r="AM863" i="1"/>
  <c r="E861" i="4" s="1"/>
  <c r="AM851" i="1"/>
  <c r="E849" i="4" s="1"/>
  <c r="AM839" i="1"/>
  <c r="E837" i="4" s="1"/>
  <c r="AJ783" i="1"/>
  <c r="B781" i="4" s="1"/>
  <c r="AK783" i="1"/>
  <c r="C781" i="4" s="1"/>
  <c r="AL783" i="1"/>
  <c r="D781" i="4" s="1"/>
  <c r="AM783" i="1"/>
  <c r="E781" i="4" s="1"/>
  <c r="AJ645" i="1"/>
  <c r="B643" i="4" s="1"/>
  <c r="AK645" i="1"/>
  <c r="C643" i="4" s="1"/>
  <c r="AL645" i="1"/>
  <c r="D643" i="4" s="1"/>
  <c r="AM645" i="1"/>
  <c r="E643" i="4" s="1"/>
  <c r="AJ765" i="1"/>
  <c r="B763" i="4" s="1"/>
  <c r="AK765" i="1"/>
  <c r="C763" i="4" s="1"/>
  <c r="AL765" i="1"/>
  <c r="D763" i="4" s="1"/>
  <c r="AM765" i="1"/>
  <c r="E763" i="4" s="1"/>
  <c r="AJ633" i="1"/>
  <c r="B631" i="4" s="1"/>
  <c r="AK633" i="1"/>
  <c r="C631" i="4" s="1"/>
  <c r="AL633" i="1"/>
  <c r="D631" i="4" s="1"/>
  <c r="AM633" i="1"/>
  <c r="E631" i="4" s="1"/>
  <c r="AJ621" i="1"/>
  <c r="B619" i="4" s="1"/>
  <c r="AK621" i="1"/>
  <c r="C619" i="4" s="1"/>
  <c r="AL621" i="1"/>
  <c r="D619" i="4" s="1"/>
  <c r="AM621" i="1"/>
  <c r="E619" i="4" s="1"/>
  <c r="AJ609" i="1"/>
  <c r="B607" i="4" s="1"/>
  <c r="AK609" i="1"/>
  <c r="C607" i="4" s="1"/>
  <c r="AL609" i="1"/>
  <c r="D607" i="4" s="1"/>
  <c r="AM609" i="1"/>
  <c r="E607" i="4" s="1"/>
  <c r="AJ597" i="1"/>
  <c r="B595" i="4" s="1"/>
  <c r="AK597" i="1"/>
  <c r="C595" i="4" s="1"/>
  <c r="AL597" i="1"/>
  <c r="D595" i="4" s="1"/>
  <c r="AM597" i="1"/>
  <c r="E595" i="4" s="1"/>
  <c r="AJ585" i="1"/>
  <c r="B583" i="4" s="1"/>
  <c r="AK585" i="1"/>
  <c r="C583" i="4" s="1"/>
  <c r="AL585" i="1"/>
  <c r="D583" i="4" s="1"/>
  <c r="AM585" i="1"/>
  <c r="E583" i="4" s="1"/>
  <c r="AK820" i="1"/>
  <c r="C818" i="4" s="1"/>
  <c r="AM820" i="1"/>
  <c r="E818" i="4" s="1"/>
  <c r="AJ813" i="1"/>
  <c r="B811" i="4" s="1"/>
  <c r="AL813" i="1"/>
  <c r="D811" i="4" s="1"/>
  <c r="AM813" i="1"/>
  <c r="E811" i="4" s="1"/>
  <c r="AK798" i="1"/>
  <c r="C796" i="4" s="1"/>
  <c r="AK786" i="1"/>
  <c r="C784" i="4" s="1"/>
  <c r="AK774" i="1"/>
  <c r="C772" i="4" s="1"/>
  <c r="AK762" i="1"/>
  <c r="C760" i="4" s="1"/>
  <c r="AK750" i="1"/>
  <c r="C748" i="4" s="1"/>
  <c r="AK738" i="1"/>
  <c r="C736" i="4" s="1"/>
  <c r="AK726" i="1"/>
  <c r="C724" i="4" s="1"/>
  <c r="AK714" i="1"/>
  <c r="C712" i="4" s="1"/>
  <c r="AK702" i="1"/>
  <c r="C700" i="4" s="1"/>
  <c r="AK690" i="1"/>
  <c r="C688" i="4" s="1"/>
  <c r="AK678" i="1"/>
  <c r="C676" i="4" s="1"/>
  <c r="AJ647" i="1"/>
  <c r="B645" i="4" s="1"/>
  <c r="AJ635" i="1"/>
  <c r="B633" i="4" s="1"/>
  <c r="AJ623" i="1"/>
  <c r="B621" i="4" s="1"/>
  <c r="AJ611" i="1"/>
  <c r="B609" i="4" s="1"/>
  <c r="AJ599" i="1"/>
  <c r="B597" i="4" s="1"/>
  <c r="AJ587" i="1"/>
  <c r="B585" i="4" s="1"/>
  <c r="AJ567" i="1"/>
  <c r="B565" i="4" s="1"/>
  <c r="AK567" i="1"/>
  <c r="C565" i="4" s="1"/>
  <c r="AM567" i="1"/>
  <c r="E565" i="4" s="1"/>
  <c r="AL552" i="1"/>
  <c r="D550" i="4" s="1"/>
  <c r="AM552" i="1"/>
  <c r="E550" i="4" s="1"/>
  <c r="AJ552" i="1"/>
  <c r="B550" i="4" s="1"/>
  <c r="AK552" i="1"/>
  <c r="C550" i="4" s="1"/>
  <c r="AL444" i="1"/>
  <c r="D442" i="4" s="1"/>
  <c r="AM444" i="1"/>
  <c r="E442" i="4" s="1"/>
  <c r="AJ444" i="1"/>
  <c r="B442" i="4" s="1"/>
  <c r="AK444" i="1"/>
  <c r="C442" i="4" s="1"/>
  <c r="AJ798" i="1"/>
  <c r="B796" i="4" s="1"/>
  <c r="AJ786" i="1"/>
  <c r="B784" i="4" s="1"/>
  <c r="AJ774" i="1"/>
  <c r="B772" i="4" s="1"/>
  <c r="AJ762" i="1"/>
  <c r="B760" i="4" s="1"/>
  <c r="AM759" i="1"/>
  <c r="E757" i="4" s="1"/>
  <c r="AJ750" i="1"/>
  <c r="B748" i="4" s="1"/>
  <c r="AM747" i="1"/>
  <c r="E745" i="4" s="1"/>
  <c r="AJ738" i="1"/>
  <c r="B736" i="4" s="1"/>
  <c r="AM735" i="1"/>
  <c r="E733" i="4" s="1"/>
  <c r="AJ726" i="1"/>
  <c r="B724" i="4" s="1"/>
  <c r="AM723" i="1"/>
  <c r="E721" i="4" s="1"/>
  <c r="AJ714" i="1"/>
  <c r="B712" i="4" s="1"/>
  <c r="AM711" i="1"/>
  <c r="E709" i="4" s="1"/>
  <c r="AJ702" i="1"/>
  <c r="B700" i="4" s="1"/>
  <c r="AM699" i="1"/>
  <c r="E697" i="4" s="1"/>
  <c r="AJ690" i="1"/>
  <c r="B688" i="4" s="1"/>
  <c r="AM687" i="1"/>
  <c r="E685" i="4" s="1"/>
  <c r="AJ678" i="1"/>
  <c r="B676" i="4" s="1"/>
  <c r="AM675" i="1"/>
  <c r="E673" i="4" s="1"/>
  <c r="AJ666" i="1"/>
  <c r="B664" i="4" s="1"/>
  <c r="AM663" i="1"/>
  <c r="E661" i="4" s="1"/>
  <c r="AM651" i="1"/>
  <c r="E649" i="4" s="1"/>
  <c r="AM639" i="1"/>
  <c r="E637" i="4" s="1"/>
  <c r="AM627" i="1"/>
  <c r="E625" i="4" s="1"/>
  <c r="AM615" i="1"/>
  <c r="E613" i="4" s="1"/>
  <c r="AM603" i="1"/>
  <c r="E601" i="4" s="1"/>
  <c r="AM591" i="1"/>
  <c r="E589" i="4" s="1"/>
  <c r="AM579" i="1"/>
  <c r="E577" i="4" s="1"/>
  <c r="AK574" i="1"/>
  <c r="C572" i="4" s="1"/>
  <c r="AL574" i="1"/>
  <c r="D572" i="4" s="1"/>
  <c r="AM171" i="1"/>
  <c r="E169" i="4" s="1"/>
  <c r="AL759" i="1"/>
  <c r="D757" i="4" s="1"/>
  <c r="AL747" i="1"/>
  <c r="D745" i="4" s="1"/>
  <c r="AL735" i="1"/>
  <c r="D733" i="4" s="1"/>
  <c r="AL723" i="1"/>
  <c r="D721" i="4" s="1"/>
  <c r="AL711" i="1"/>
  <c r="D709" i="4" s="1"/>
  <c r="AL699" i="1"/>
  <c r="D697" i="4" s="1"/>
  <c r="AL687" i="1"/>
  <c r="D685" i="4" s="1"/>
  <c r="AL675" i="1"/>
  <c r="D673" i="4" s="1"/>
  <c r="AL663" i="1"/>
  <c r="D661" i="4" s="1"/>
  <c r="AL651" i="1"/>
  <c r="D649" i="4" s="1"/>
  <c r="AL639" i="1"/>
  <c r="D637" i="4" s="1"/>
  <c r="AL627" i="1"/>
  <c r="D625" i="4" s="1"/>
  <c r="AL615" i="1"/>
  <c r="D613" i="4" s="1"/>
  <c r="AL603" i="1"/>
  <c r="D601" i="4" s="1"/>
  <c r="AL591" i="1"/>
  <c r="D589" i="4" s="1"/>
  <c r="AL579" i="1"/>
  <c r="D577" i="4" s="1"/>
  <c r="AJ571" i="1"/>
  <c r="B569" i="4" s="1"/>
  <c r="AL540" i="1"/>
  <c r="D538" i="4" s="1"/>
  <c r="AM540" i="1"/>
  <c r="E538" i="4" s="1"/>
  <c r="AJ540" i="1"/>
  <c r="B538" i="4" s="1"/>
  <c r="AK540" i="1"/>
  <c r="C538" i="4" s="1"/>
  <c r="AM451" i="1"/>
  <c r="E449" i="4" s="1"/>
  <c r="AK451" i="1"/>
  <c r="C449" i="4" s="1"/>
  <c r="AL451" i="1"/>
  <c r="D449" i="4" s="1"/>
  <c r="AK759" i="1"/>
  <c r="C757" i="4" s="1"/>
  <c r="AK747" i="1"/>
  <c r="C745" i="4" s="1"/>
  <c r="AK735" i="1"/>
  <c r="C733" i="4" s="1"/>
  <c r="AK723" i="1"/>
  <c r="C721" i="4" s="1"/>
  <c r="AK711" i="1"/>
  <c r="C709" i="4" s="1"/>
  <c r="AK699" i="1"/>
  <c r="C697" i="4" s="1"/>
  <c r="AK687" i="1"/>
  <c r="C685" i="4" s="1"/>
  <c r="AK675" i="1"/>
  <c r="C673" i="4" s="1"/>
  <c r="AK663" i="1"/>
  <c r="C661" i="4" s="1"/>
  <c r="AK651" i="1"/>
  <c r="C649" i="4" s="1"/>
  <c r="AK639" i="1"/>
  <c r="C637" i="4" s="1"/>
  <c r="AK627" i="1"/>
  <c r="C625" i="4" s="1"/>
  <c r="AK615" i="1"/>
  <c r="C613" i="4" s="1"/>
  <c r="AK603" i="1"/>
  <c r="C601" i="4" s="1"/>
  <c r="AK591" i="1"/>
  <c r="C589" i="4" s="1"/>
  <c r="AK579" i="1"/>
  <c r="C577" i="4" s="1"/>
  <c r="AL432" i="1"/>
  <c r="D430" i="4" s="1"/>
  <c r="AM432" i="1"/>
  <c r="E430" i="4" s="1"/>
  <c r="AJ432" i="1"/>
  <c r="B430" i="4" s="1"/>
  <c r="AK432" i="1"/>
  <c r="C430" i="4" s="1"/>
  <c r="AM804" i="1"/>
  <c r="E802" i="4" s="1"/>
  <c r="AL785" i="1"/>
  <c r="D783" i="4" s="1"/>
  <c r="AL773" i="1"/>
  <c r="D771" i="4" s="1"/>
  <c r="AL761" i="1"/>
  <c r="D759" i="4" s="1"/>
  <c r="AL749" i="1"/>
  <c r="D747" i="4" s="1"/>
  <c r="AL737" i="1"/>
  <c r="D735" i="4" s="1"/>
  <c r="AL725" i="1"/>
  <c r="D723" i="4" s="1"/>
  <c r="AM720" i="1"/>
  <c r="E718" i="4" s="1"/>
  <c r="AL713" i="1"/>
  <c r="D711" i="4" s="1"/>
  <c r="AM708" i="1"/>
  <c r="E706" i="4" s="1"/>
  <c r="AL701" i="1"/>
  <c r="D699" i="4" s="1"/>
  <c r="AM696" i="1"/>
  <c r="E694" i="4" s="1"/>
  <c r="AL689" i="1"/>
  <c r="D687" i="4" s="1"/>
  <c r="AM684" i="1"/>
  <c r="E682" i="4" s="1"/>
  <c r="AL677" i="1"/>
  <c r="D675" i="4" s="1"/>
  <c r="AM672" i="1"/>
  <c r="E670" i="4" s="1"/>
  <c r="AL665" i="1"/>
  <c r="D663" i="4" s="1"/>
  <c r="AM660" i="1"/>
  <c r="E658" i="4" s="1"/>
  <c r="AL653" i="1"/>
  <c r="D651" i="4" s="1"/>
  <c r="AM648" i="1"/>
  <c r="E646" i="4" s="1"/>
  <c r="AL641" i="1"/>
  <c r="D639" i="4" s="1"/>
  <c r="AM636" i="1"/>
  <c r="E634" i="4" s="1"/>
  <c r="AL629" i="1"/>
  <c r="D627" i="4" s="1"/>
  <c r="AM624" i="1"/>
  <c r="E622" i="4" s="1"/>
  <c r="AL617" i="1"/>
  <c r="D615" i="4" s="1"/>
  <c r="AM612" i="1"/>
  <c r="E610" i="4" s="1"/>
  <c r="AL605" i="1"/>
  <c r="D603" i="4" s="1"/>
  <c r="AM600" i="1"/>
  <c r="E598" i="4" s="1"/>
  <c r="AL593" i="1"/>
  <c r="D591" i="4" s="1"/>
  <c r="AM588" i="1"/>
  <c r="E586" i="4" s="1"/>
  <c r="AL581" i="1"/>
  <c r="D579" i="4" s="1"/>
  <c r="AJ570" i="1"/>
  <c r="B568" i="4" s="1"/>
  <c r="AK570" i="1"/>
  <c r="C568" i="4" s="1"/>
  <c r="AL570" i="1"/>
  <c r="D568" i="4" s="1"/>
  <c r="AM570" i="1"/>
  <c r="E568" i="4" s="1"/>
  <c r="AM559" i="1"/>
  <c r="E557" i="4" s="1"/>
  <c r="AK559" i="1"/>
  <c r="C557" i="4" s="1"/>
  <c r="AL559" i="1"/>
  <c r="D557" i="4" s="1"/>
  <c r="AL480" i="1"/>
  <c r="D478" i="4" s="1"/>
  <c r="AM480" i="1"/>
  <c r="E478" i="4" s="1"/>
  <c r="AJ480" i="1"/>
  <c r="B478" i="4" s="1"/>
  <c r="AK480" i="1"/>
  <c r="C478" i="4" s="1"/>
  <c r="AM631" i="1"/>
  <c r="E629" i="4" s="1"/>
  <c r="AM619" i="1"/>
  <c r="E617" i="4" s="1"/>
  <c r="AM607" i="1"/>
  <c r="E605" i="4" s="1"/>
  <c r="AM595" i="1"/>
  <c r="E593" i="4" s="1"/>
  <c r="AM583" i="1"/>
  <c r="E581" i="4" s="1"/>
  <c r="AL528" i="1"/>
  <c r="D526" i="4" s="1"/>
  <c r="AM528" i="1"/>
  <c r="E526" i="4" s="1"/>
  <c r="AJ528" i="1"/>
  <c r="B526" i="4" s="1"/>
  <c r="AK528" i="1"/>
  <c r="C526" i="4" s="1"/>
  <c r="AL420" i="1"/>
  <c r="D418" i="4" s="1"/>
  <c r="AM420" i="1"/>
  <c r="E418" i="4" s="1"/>
  <c r="AJ420" i="1"/>
  <c r="B418" i="4" s="1"/>
  <c r="AK420" i="1"/>
  <c r="C418" i="4" s="1"/>
  <c r="AL200" i="1"/>
  <c r="D198" i="4" s="1"/>
  <c r="AM200" i="1"/>
  <c r="E198" i="4" s="1"/>
  <c r="AM198" i="1"/>
  <c r="E196" i="4" s="1"/>
  <c r="AJ199" i="1"/>
  <c r="B197" i="4" s="1"/>
  <c r="AK199" i="1"/>
  <c r="C197" i="4" s="1"/>
  <c r="AL199" i="1"/>
  <c r="D197" i="4" s="1"/>
  <c r="AM199" i="1"/>
  <c r="E197" i="4" s="1"/>
  <c r="AJ200" i="1"/>
  <c r="B198" i="4" s="1"/>
  <c r="AK200" i="1"/>
  <c r="C198" i="4" s="1"/>
  <c r="AM180" i="1"/>
  <c r="E178" i="4" s="1"/>
  <c r="AL197" i="1"/>
  <c r="D195" i="4" s="1"/>
  <c r="AM192" i="1"/>
  <c r="E190" i="4" s="1"/>
  <c r="AL763" i="1"/>
  <c r="D761" i="4" s="1"/>
  <c r="AL751" i="1"/>
  <c r="D749" i="4" s="1"/>
  <c r="AL739" i="1"/>
  <c r="D737" i="4" s="1"/>
  <c r="AL727" i="1"/>
  <c r="D725" i="4" s="1"/>
  <c r="AL715" i="1"/>
  <c r="D713" i="4" s="1"/>
  <c r="AL703" i="1"/>
  <c r="D701" i="4" s="1"/>
  <c r="AL691" i="1"/>
  <c r="D689" i="4" s="1"/>
  <c r="AK684" i="1"/>
  <c r="C682" i="4" s="1"/>
  <c r="AL679" i="1"/>
  <c r="D677" i="4" s="1"/>
  <c r="AK672" i="1"/>
  <c r="C670" i="4" s="1"/>
  <c r="AL667" i="1"/>
  <c r="D665" i="4" s="1"/>
  <c r="AK660" i="1"/>
  <c r="C658" i="4" s="1"/>
  <c r="AL655" i="1"/>
  <c r="D653" i="4" s="1"/>
  <c r="AK648" i="1"/>
  <c r="C646" i="4" s="1"/>
  <c r="AL643" i="1"/>
  <c r="D641" i="4" s="1"/>
  <c r="AK636" i="1"/>
  <c r="C634" i="4" s="1"/>
  <c r="AL631" i="1"/>
  <c r="D629" i="4" s="1"/>
  <c r="AK624" i="1"/>
  <c r="C622" i="4" s="1"/>
  <c r="AL619" i="1"/>
  <c r="D617" i="4" s="1"/>
  <c r="AK612" i="1"/>
  <c r="C610" i="4" s="1"/>
  <c r="AL607" i="1"/>
  <c r="D605" i="4" s="1"/>
  <c r="AK600" i="1"/>
  <c r="C598" i="4" s="1"/>
  <c r="AL595" i="1"/>
  <c r="D593" i="4" s="1"/>
  <c r="AK588" i="1"/>
  <c r="C586" i="4" s="1"/>
  <c r="AL583" i="1"/>
  <c r="D581" i="4" s="1"/>
  <c r="AM578" i="1"/>
  <c r="E576" i="4" s="1"/>
  <c r="AM576" i="1"/>
  <c r="E574" i="4" s="1"/>
  <c r="AJ576" i="1"/>
  <c r="B574" i="4" s="1"/>
  <c r="AM547" i="1"/>
  <c r="E545" i="4" s="1"/>
  <c r="AK547" i="1"/>
  <c r="C545" i="4" s="1"/>
  <c r="AL547" i="1"/>
  <c r="D545" i="4" s="1"/>
  <c r="AL492" i="1"/>
  <c r="D490" i="4" s="1"/>
  <c r="AM492" i="1"/>
  <c r="E490" i="4" s="1"/>
  <c r="AJ492" i="1"/>
  <c r="B490" i="4" s="1"/>
  <c r="AK492" i="1"/>
  <c r="C490" i="4" s="1"/>
  <c r="AL806" i="1"/>
  <c r="D804" i="4" s="1"/>
  <c r="AK763" i="1"/>
  <c r="C761" i="4" s="1"/>
  <c r="AK751" i="1"/>
  <c r="C749" i="4" s="1"/>
  <c r="AK739" i="1"/>
  <c r="C737" i="4" s="1"/>
  <c r="AK727" i="1"/>
  <c r="C725" i="4" s="1"/>
  <c r="AK715" i="1"/>
  <c r="C713" i="4" s="1"/>
  <c r="AK703" i="1"/>
  <c r="C701" i="4" s="1"/>
  <c r="AK691" i="1"/>
  <c r="C689" i="4" s="1"/>
  <c r="AK679" i="1"/>
  <c r="C677" i="4" s="1"/>
  <c r="AK667" i="1"/>
  <c r="C665" i="4" s="1"/>
  <c r="AK655" i="1"/>
  <c r="C653" i="4" s="1"/>
  <c r="AK643" i="1"/>
  <c r="C641" i="4" s="1"/>
  <c r="AK631" i="1"/>
  <c r="C629" i="4" s="1"/>
  <c r="AK619" i="1"/>
  <c r="C617" i="4" s="1"/>
  <c r="AK607" i="1"/>
  <c r="C605" i="4" s="1"/>
  <c r="AK595" i="1"/>
  <c r="C593" i="4" s="1"/>
  <c r="AK583" i="1"/>
  <c r="C581" i="4" s="1"/>
  <c r="AM535" i="1"/>
  <c r="E533" i="4" s="1"/>
  <c r="AK535" i="1"/>
  <c r="C533" i="4" s="1"/>
  <c r="AL535" i="1"/>
  <c r="D533" i="4" s="1"/>
  <c r="AL516" i="1"/>
  <c r="D514" i="4" s="1"/>
  <c r="AM516" i="1"/>
  <c r="E514" i="4" s="1"/>
  <c r="AJ516" i="1"/>
  <c r="B514" i="4" s="1"/>
  <c r="AK516" i="1"/>
  <c r="C514" i="4" s="1"/>
  <c r="AL504" i="1"/>
  <c r="D502" i="4" s="1"/>
  <c r="AM504" i="1"/>
  <c r="E502" i="4" s="1"/>
  <c r="AJ504" i="1"/>
  <c r="B502" i="4" s="1"/>
  <c r="AK504" i="1"/>
  <c r="C502" i="4" s="1"/>
  <c r="AM487" i="1"/>
  <c r="E485" i="4" s="1"/>
  <c r="AK487" i="1"/>
  <c r="C485" i="4" s="1"/>
  <c r="AL487" i="1"/>
  <c r="D485" i="4" s="1"/>
  <c r="AL468" i="1"/>
  <c r="D466" i="4" s="1"/>
  <c r="AM468" i="1"/>
  <c r="E466" i="4" s="1"/>
  <c r="AJ468" i="1"/>
  <c r="B466" i="4" s="1"/>
  <c r="AK468" i="1"/>
  <c r="C466" i="4" s="1"/>
  <c r="AL408" i="1"/>
  <c r="D406" i="4" s="1"/>
  <c r="AM408" i="1"/>
  <c r="E406" i="4" s="1"/>
  <c r="AJ408" i="1"/>
  <c r="B406" i="4" s="1"/>
  <c r="AK408" i="1"/>
  <c r="C406" i="4" s="1"/>
  <c r="AM808" i="1"/>
  <c r="E806" i="4" s="1"/>
  <c r="AM796" i="1"/>
  <c r="E794" i="4" s="1"/>
  <c r="AM784" i="1"/>
  <c r="E782" i="4" s="1"/>
  <c r="AM772" i="1"/>
  <c r="E770" i="4" s="1"/>
  <c r="AM760" i="1"/>
  <c r="E758" i="4" s="1"/>
  <c r="AM748" i="1"/>
  <c r="E746" i="4" s="1"/>
  <c r="AM736" i="1"/>
  <c r="E734" i="4" s="1"/>
  <c r="AM724" i="1"/>
  <c r="E722" i="4" s="1"/>
  <c r="AM712" i="1"/>
  <c r="E710" i="4" s="1"/>
  <c r="AM700" i="1"/>
  <c r="E698" i="4" s="1"/>
  <c r="AM688" i="1"/>
  <c r="E686" i="4" s="1"/>
  <c r="AM676" i="1"/>
  <c r="E674" i="4" s="1"/>
  <c r="AM664" i="1"/>
  <c r="E662" i="4" s="1"/>
  <c r="AM652" i="1"/>
  <c r="E650" i="4" s="1"/>
  <c r="AM640" i="1"/>
  <c r="E638" i="4" s="1"/>
  <c r="AM628" i="1"/>
  <c r="E626" i="4" s="1"/>
  <c r="AM616" i="1"/>
  <c r="E614" i="4" s="1"/>
  <c r="AM604" i="1"/>
  <c r="E602" i="4" s="1"/>
  <c r="AM592" i="1"/>
  <c r="E590" i="4" s="1"/>
  <c r="AM580" i="1"/>
  <c r="E578" i="4" s="1"/>
  <c r="AM523" i="1"/>
  <c r="E521" i="4" s="1"/>
  <c r="AK523" i="1"/>
  <c r="C521" i="4" s="1"/>
  <c r="AL523" i="1"/>
  <c r="D521" i="4" s="1"/>
  <c r="AL396" i="1"/>
  <c r="D394" i="4" s="1"/>
  <c r="AM396" i="1"/>
  <c r="E394" i="4" s="1"/>
  <c r="AJ396" i="1"/>
  <c r="B394" i="4" s="1"/>
  <c r="AK396" i="1"/>
  <c r="C394" i="4" s="1"/>
  <c r="AL360" i="1"/>
  <c r="D358" i="4" s="1"/>
  <c r="AM360" i="1"/>
  <c r="E358" i="4" s="1"/>
  <c r="AJ360" i="1"/>
  <c r="B358" i="4" s="1"/>
  <c r="AK360" i="1"/>
  <c r="C358" i="4" s="1"/>
  <c r="AL296" i="1"/>
  <c r="D294" i="4" s="1"/>
  <c r="AM296" i="1"/>
  <c r="E294" i="4" s="1"/>
  <c r="AJ296" i="1"/>
  <c r="B294" i="4" s="1"/>
  <c r="AK296" i="1"/>
  <c r="C294" i="4" s="1"/>
  <c r="AM499" i="1"/>
  <c r="E497" i="4" s="1"/>
  <c r="AK499" i="1"/>
  <c r="C497" i="4" s="1"/>
  <c r="AL499" i="1"/>
  <c r="D497" i="4" s="1"/>
  <c r="AL456" i="1"/>
  <c r="D454" i="4" s="1"/>
  <c r="AM456" i="1"/>
  <c r="E454" i="4" s="1"/>
  <c r="AJ456" i="1"/>
  <c r="B454" i="4" s="1"/>
  <c r="AK456" i="1"/>
  <c r="C454" i="4" s="1"/>
  <c r="AL384" i="1"/>
  <c r="D382" i="4" s="1"/>
  <c r="AM384" i="1"/>
  <c r="E382" i="4" s="1"/>
  <c r="AJ384" i="1"/>
  <c r="B382" i="4" s="1"/>
  <c r="AK384" i="1"/>
  <c r="C382" i="4" s="1"/>
  <c r="AL372" i="1"/>
  <c r="D370" i="4" s="1"/>
  <c r="AM372" i="1"/>
  <c r="E370" i="4" s="1"/>
  <c r="AJ372" i="1"/>
  <c r="B370" i="4" s="1"/>
  <c r="AK372" i="1"/>
  <c r="C370" i="4" s="1"/>
  <c r="AL348" i="1"/>
  <c r="D346" i="4" s="1"/>
  <c r="AM348" i="1"/>
  <c r="E346" i="4" s="1"/>
  <c r="AJ348" i="1"/>
  <c r="B346" i="4" s="1"/>
  <c r="AK348" i="1"/>
  <c r="C346" i="4" s="1"/>
  <c r="AM511" i="1"/>
  <c r="E509" i="4" s="1"/>
  <c r="AK511" i="1"/>
  <c r="C509" i="4" s="1"/>
  <c r="AL511" i="1"/>
  <c r="D509" i="4" s="1"/>
  <c r="AM475" i="1"/>
  <c r="E473" i="4" s="1"/>
  <c r="AK475" i="1"/>
  <c r="C473" i="4" s="1"/>
  <c r="AL475" i="1"/>
  <c r="D473" i="4" s="1"/>
  <c r="AL439" i="1"/>
  <c r="D437" i="4" s="1"/>
  <c r="AL427" i="1"/>
  <c r="D425" i="4" s="1"/>
  <c r="AL415" i="1"/>
  <c r="D413" i="4" s="1"/>
  <c r="AL403" i="1"/>
  <c r="D401" i="4" s="1"/>
  <c r="AL391" i="1"/>
  <c r="D389" i="4" s="1"/>
  <c r="AM386" i="1"/>
  <c r="E384" i="4" s="1"/>
  <c r="AL379" i="1"/>
  <c r="D377" i="4" s="1"/>
  <c r="AJ377" i="1"/>
  <c r="B375" i="4" s="1"/>
  <c r="AM374" i="1"/>
  <c r="E372" i="4" s="1"/>
  <c r="AL367" i="1"/>
  <c r="D365" i="4" s="1"/>
  <c r="AJ365" i="1"/>
  <c r="B363" i="4" s="1"/>
  <c r="AM362" i="1"/>
  <c r="E360" i="4" s="1"/>
  <c r="AL355" i="1"/>
  <c r="D353" i="4" s="1"/>
  <c r="AJ353" i="1"/>
  <c r="B351" i="4" s="1"/>
  <c r="AM350" i="1"/>
  <c r="E348" i="4" s="1"/>
  <c r="AL343" i="1"/>
  <c r="D341" i="4" s="1"/>
  <c r="AJ234" i="1"/>
  <c r="B232" i="4" s="1"/>
  <c r="AL236" i="1"/>
  <c r="D234" i="4" s="1"/>
  <c r="AM236" i="1"/>
  <c r="E234" i="4" s="1"/>
  <c r="AM234" i="1"/>
  <c r="E232" i="4" s="1"/>
  <c r="AJ235" i="1"/>
  <c r="B233" i="4" s="1"/>
  <c r="AK235" i="1"/>
  <c r="C233" i="4" s="1"/>
  <c r="AL235" i="1"/>
  <c r="D233" i="4" s="1"/>
  <c r="AM235" i="1"/>
  <c r="E233" i="4" s="1"/>
  <c r="AJ236" i="1"/>
  <c r="B234" i="4" s="1"/>
  <c r="AK236" i="1"/>
  <c r="C234" i="4" s="1"/>
  <c r="AK217" i="1"/>
  <c r="C215" i="4" s="1"/>
  <c r="AL176" i="1"/>
  <c r="D174" i="4" s="1"/>
  <c r="AM176" i="1"/>
  <c r="E174" i="4" s="1"/>
  <c r="AM174" i="1"/>
  <c r="E172" i="4" s="1"/>
  <c r="AJ175" i="1"/>
  <c r="B173" i="4" s="1"/>
  <c r="AK175" i="1"/>
  <c r="C173" i="4" s="1"/>
  <c r="AL175" i="1"/>
  <c r="D173" i="4" s="1"/>
  <c r="AM175" i="1"/>
  <c r="E173" i="4" s="1"/>
  <c r="AJ176" i="1"/>
  <c r="B174" i="4" s="1"/>
  <c r="AK176" i="1"/>
  <c r="C174" i="4" s="1"/>
  <c r="AK159" i="1"/>
  <c r="C157" i="4" s="1"/>
  <c r="AM147" i="1"/>
  <c r="E145" i="4" s="1"/>
  <c r="AM525" i="1"/>
  <c r="E523" i="4" s="1"/>
  <c r="AM513" i="1"/>
  <c r="E511" i="4" s="1"/>
  <c r="AM501" i="1"/>
  <c r="E499" i="4" s="1"/>
  <c r="AM489" i="1"/>
  <c r="E487" i="4" s="1"/>
  <c r="AK439" i="1"/>
  <c r="C437" i="4" s="1"/>
  <c r="AK427" i="1"/>
  <c r="C425" i="4" s="1"/>
  <c r="AK415" i="1"/>
  <c r="C413" i="4" s="1"/>
  <c r="AK403" i="1"/>
  <c r="C401" i="4" s="1"/>
  <c r="AK391" i="1"/>
  <c r="C389" i="4" s="1"/>
  <c r="AK379" i="1"/>
  <c r="C377" i="4" s="1"/>
  <c r="AK367" i="1"/>
  <c r="C365" i="4" s="1"/>
  <c r="AK355" i="1"/>
  <c r="C353" i="4" s="1"/>
  <c r="AK343" i="1"/>
  <c r="C341" i="4" s="1"/>
  <c r="AL272" i="1"/>
  <c r="D270" i="4" s="1"/>
  <c r="AM272" i="1"/>
  <c r="E270" i="4" s="1"/>
  <c r="AJ272" i="1"/>
  <c r="B270" i="4" s="1"/>
  <c r="AK272" i="1"/>
  <c r="C270" i="4" s="1"/>
  <c r="AL248" i="1"/>
  <c r="D246" i="4" s="1"/>
  <c r="AM248" i="1"/>
  <c r="E246" i="4" s="1"/>
  <c r="AJ248" i="1"/>
  <c r="B246" i="4" s="1"/>
  <c r="AK248" i="1"/>
  <c r="C246" i="4" s="1"/>
  <c r="AK157" i="1"/>
  <c r="C155" i="4" s="1"/>
  <c r="AJ114" i="1"/>
  <c r="B112" i="4" s="1"/>
  <c r="AL116" i="1"/>
  <c r="D114" i="4" s="1"/>
  <c r="AM116" i="1"/>
  <c r="E114" i="4" s="1"/>
  <c r="AK112" i="1"/>
  <c r="C110" i="4" s="1"/>
  <c r="AM114" i="1"/>
  <c r="E112" i="4" s="1"/>
  <c r="AJ115" i="1"/>
  <c r="B113" i="4" s="1"/>
  <c r="AL115" i="1"/>
  <c r="D113" i="4" s="1"/>
  <c r="AM115" i="1"/>
  <c r="E113" i="4" s="1"/>
  <c r="AJ116" i="1"/>
  <c r="B114" i="4" s="1"/>
  <c r="AK116" i="1"/>
  <c r="C114" i="4" s="1"/>
  <c r="AK107" i="1"/>
  <c r="C105" i="4" s="1"/>
  <c r="AL320" i="1"/>
  <c r="D318" i="4" s="1"/>
  <c r="AM320" i="1"/>
  <c r="E318" i="4" s="1"/>
  <c r="AJ320" i="1"/>
  <c r="B318" i="4" s="1"/>
  <c r="AK320" i="1"/>
  <c r="C318" i="4" s="1"/>
  <c r="AL140" i="1"/>
  <c r="D138" i="4" s="1"/>
  <c r="AM140" i="1"/>
  <c r="E138" i="4" s="1"/>
  <c r="AM138" i="1"/>
  <c r="E136" i="4" s="1"/>
  <c r="AJ139" i="1"/>
  <c r="B137" i="4" s="1"/>
  <c r="AK139" i="1"/>
  <c r="C137" i="4" s="1"/>
  <c r="AL139" i="1"/>
  <c r="D137" i="4" s="1"/>
  <c r="AM139" i="1"/>
  <c r="E137" i="4" s="1"/>
  <c r="AJ140" i="1"/>
  <c r="B138" i="4" s="1"/>
  <c r="AK140" i="1"/>
  <c r="C138" i="4" s="1"/>
  <c r="AM111" i="1"/>
  <c r="E109" i="4" s="1"/>
  <c r="AK568" i="1"/>
  <c r="C566" i="4" s="1"/>
  <c r="AM558" i="1"/>
  <c r="E556" i="4" s="1"/>
  <c r="AK556" i="1"/>
  <c r="C554" i="4" s="1"/>
  <c r="AM546" i="1"/>
  <c r="E544" i="4" s="1"/>
  <c r="AK544" i="1"/>
  <c r="C542" i="4" s="1"/>
  <c r="AM534" i="1"/>
  <c r="E532" i="4" s="1"/>
  <c r="AK532" i="1"/>
  <c r="C530" i="4" s="1"/>
  <c r="AL527" i="1"/>
  <c r="D525" i="4" s="1"/>
  <c r="AM522" i="1"/>
  <c r="E520" i="4" s="1"/>
  <c r="AL515" i="1"/>
  <c r="D513" i="4" s="1"/>
  <c r="AM510" i="1"/>
  <c r="E508" i="4" s="1"/>
  <c r="AL503" i="1"/>
  <c r="D501" i="4" s="1"/>
  <c r="AM498" i="1"/>
  <c r="E496" i="4" s="1"/>
  <c r="AL491" i="1"/>
  <c r="D489" i="4" s="1"/>
  <c r="AM486" i="1"/>
  <c r="E484" i="4" s="1"/>
  <c r="AM474" i="1"/>
  <c r="E472" i="4" s="1"/>
  <c r="AM462" i="1"/>
  <c r="E460" i="4" s="1"/>
  <c r="AM450" i="1"/>
  <c r="E448" i="4" s="1"/>
  <c r="AM438" i="1"/>
  <c r="E436" i="4" s="1"/>
  <c r="AM426" i="1"/>
  <c r="E424" i="4" s="1"/>
  <c r="AM414" i="1"/>
  <c r="E412" i="4" s="1"/>
  <c r="AM402" i="1"/>
  <c r="E400" i="4" s="1"/>
  <c r="AM390" i="1"/>
  <c r="E388" i="4" s="1"/>
  <c r="AM378" i="1"/>
  <c r="E376" i="4" s="1"/>
  <c r="AM366" i="1"/>
  <c r="E364" i="4" s="1"/>
  <c r="AJ222" i="1"/>
  <c r="B220" i="4" s="1"/>
  <c r="AL224" i="1"/>
  <c r="D222" i="4" s="1"/>
  <c r="AM224" i="1"/>
  <c r="E222" i="4" s="1"/>
  <c r="AM222" i="1"/>
  <c r="E220" i="4" s="1"/>
  <c r="AJ223" i="1"/>
  <c r="B221" i="4" s="1"/>
  <c r="AK223" i="1"/>
  <c r="C221" i="4" s="1"/>
  <c r="AL223" i="1"/>
  <c r="D221" i="4" s="1"/>
  <c r="AM223" i="1"/>
  <c r="E221" i="4" s="1"/>
  <c r="AJ224" i="1"/>
  <c r="B222" i="4" s="1"/>
  <c r="AK224" i="1"/>
  <c r="C222" i="4" s="1"/>
  <c r="AM195" i="1"/>
  <c r="E193" i="4" s="1"/>
  <c r="AK156" i="1"/>
  <c r="C154" i="4" s="1"/>
  <c r="AL113" i="1"/>
  <c r="D111" i="4" s="1"/>
  <c r="AM96" i="1"/>
  <c r="E94" i="4" s="1"/>
  <c r="AM87" i="1"/>
  <c r="E85" i="4" s="1"/>
  <c r="AL558" i="1"/>
  <c r="D556" i="4" s="1"/>
  <c r="AL546" i="1"/>
  <c r="D544" i="4" s="1"/>
  <c r="AL534" i="1"/>
  <c r="D532" i="4" s="1"/>
  <c r="AL522" i="1"/>
  <c r="D520" i="4" s="1"/>
  <c r="AL510" i="1"/>
  <c r="D508" i="4" s="1"/>
  <c r="AK503" i="1"/>
  <c r="C501" i="4" s="1"/>
  <c r="AL498" i="1"/>
  <c r="D496" i="4" s="1"/>
  <c r="AK491" i="1"/>
  <c r="C489" i="4" s="1"/>
  <c r="AL486" i="1"/>
  <c r="D484" i="4" s="1"/>
  <c r="AL474" i="1"/>
  <c r="D472" i="4" s="1"/>
  <c r="AK467" i="1"/>
  <c r="C465" i="4" s="1"/>
  <c r="AL462" i="1"/>
  <c r="D460" i="4" s="1"/>
  <c r="AK455" i="1"/>
  <c r="C453" i="4" s="1"/>
  <c r="AL450" i="1"/>
  <c r="D448" i="4" s="1"/>
  <c r="AK443" i="1"/>
  <c r="C441" i="4" s="1"/>
  <c r="AL438" i="1"/>
  <c r="D436" i="4" s="1"/>
  <c r="AK431" i="1"/>
  <c r="C429" i="4" s="1"/>
  <c r="AL426" i="1"/>
  <c r="D424" i="4" s="1"/>
  <c r="AK419" i="1"/>
  <c r="C417" i="4" s="1"/>
  <c r="AL414" i="1"/>
  <c r="D412" i="4" s="1"/>
  <c r="AK407" i="1"/>
  <c r="C405" i="4" s="1"/>
  <c r="AL402" i="1"/>
  <c r="D400" i="4" s="1"/>
  <c r="AK395" i="1"/>
  <c r="C393" i="4" s="1"/>
  <c r="AL390" i="1"/>
  <c r="D388" i="4" s="1"/>
  <c r="AK383" i="1"/>
  <c r="C381" i="4" s="1"/>
  <c r="AL378" i="1"/>
  <c r="D376" i="4" s="1"/>
  <c r="AK371" i="1"/>
  <c r="C369" i="4" s="1"/>
  <c r="AL366" i="1"/>
  <c r="D364" i="4" s="1"/>
  <c r="AK359" i="1"/>
  <c r="C357" i="4" s="1"/>
  <c r="AL354" i="1"/>
  <c r="D352" i="4" s="1"/>
  <c r="AK347" i="1"/>
  <c r="C345" i="4" s="1"/>
  <c r="AM339" i="1"/>
  <c r="E337" i="4" s="1"/>
  <c r="AK330" i="1"/>
  <c r="C328" i="4" s="1"/>
  <c r="AL330" i="1"/>
  <c r="D328" i="4" s="1"/>
  <c r="AL164" i="1"/>
  <c r="D162" i="4" s="1"/>
  <c r="AM164" i="1"/>
  <c r="E162" i="4" s="1"/>
  <c r="AM162" i="1"/>
  <c r="E160" i="4" s="1"/>
  <c r="AJ163" i="1"/>
  <c r="B161" i="4" s="1"/>
  <c r="AK163" i="1"/>
  <c r="C161" i="4" s="1"/>
  <c r="AL163" i="1"/>
  <c r="D161" i="4" s="1"/>
  <c r="AM163" i="1"/>
  <c r="E161" i="4" s="1"/>
  <c r="AJ164" i="1"/>
  <c r="B162" i="4" s="1"/>
  <c r="AK164" i="1"/>
  <c r="C162" i="4" s="1"/>
  <c r="AM135" i="1"/>
  <c r="E133" i="4" s="1"/>
  <c r="AM93" i="1"/>
  <c r="E91" i="4" s="1"/>
  <c r="AK558" i="1"/>
  <c r="C556" i="4" s="1"/>
  <c r="AK546" i="1"/>
  <c r="C544" i="4" s="1"/>
  <c r="AK534" i="1"/>
  <c r="C532" i="4" s="1"/>
  <c r="AK522" i="1"/>
  <c r="C520" i="4" s="1"/>
  <c r="AK510" i="1"/>
  <c r="C508" i="4" s="1"/>
  <c r="AK498" i="1"/>
  <c r="C496" i="4" s="1"/>
  <c r="AK486" i="1"/>
  <c r="C484" i="4" s="1"/>
  <c r="AK474" i="1"/>
  <c r="C472" i="4" s="1"/>
  <c r="AK462" i="1"/>
  <c r="C460" i="4" s="1"/>
  <c r="AK450" i="1"/>
  <c r="C448" i="4" s="1"/>
  <c r="AK438" i="1"/>
  <c r="C436" i="4" s="1"/>
  <c r="AK426" i="1"/>
  <c r="C424" i="4" s="1"/>
  <c r="AK414" i="1"/>
  <c r="C412" i="4" s="1"/>
  <c r="AK402" i="1"/>
  <c r="C400" i="4" s="1"/>
  <c r="AK390" i="1"/>
  <c r="C388" i="4" s="1"/>
  <c r="AK378" i="1"/>
  <c r="C376" i="4" s="1"/>
  <c r="AK366" i="1"/>
  <c r="C364" i="4" s="1"/>
  <c r="AK354" i="1"/>
  <c r="C352" i="4" s="1"/>
  <c r="AM344" i="1"/>
  <c r="E342" i="4" s="1"/>
  <c r="AJ342" i="1"/>
  <c r="B340" i="4" s="1"/>
  <c r="AL339" i="1"/>
  <c r="D337" i="4" s="1"/>
  <c r="AJ323" i="1"/>
  <c r="B321" i="4" s="1"/>
  <c r="AK323" i="1"/>
  <c r="C321" i="4" s="1"/>
  <c r="AL323" i="1"/>
  <c r="D321" i="4" s="1"/>
  <c r="AM323" i="1"/>
  <c r="E321" i="4" s="1"/>
  <c r="AM219" i="1"/>
  <c r="E217" i="4" s="1"/>
  <c r="AJ196" i="1"/>
  <c r="B194" i="4" s="1"/>
  <c r="AL137" i="1"/>
  <c r="D135" i="4" s="1"/>
  <c r="AM120" i="1"/>
  <c r="E118" i="4" s="1"/>
  <c r="AJ112" i="1"/>
  <c r="B110" i="4" s="1"/>
  <c r="AL104" i="1"/>
  <c r="D102" i="4" s="1"/>
  <c r="AM104" i="1"/>
  <c r="E102" i="4" s="1"/>
  <c r="AL102" i="1"/>
  <c r="D100" i="4" s="1"/>
  <c r="AK100" i="1"/>
  <c r="C98" i="4" s="1"/>
  <c r="AM102" i="1"/>
  <c r="E100" i="4" s="1"/>
  <c r="AK103" i="1"/>
  <c r="C101" i="4" s="1"/>
  <c r="AL103" i="1"/>
  <c r="D101" i="4" s="1"/>
  <c r="AM103" i="1"/>
  <c r="E101" i="4" s="1"/>
  <c r="AJ104" i="1"/>
  <c r="B102" i="4" s="1"/>
  <c r="AK104" i="1"/>
  <c r="C102" i="4" s="1"/>
  <c r="AM555" i="1"/>
  <c r="E553" i="4" s="1"/>
  <c r="AM543" i="1"/>
  <c r="E541" i="4" s="1"/>
  <c r="AM531" i="1"/>
  <c r="E529" i="4" s="1"/>
  <c r="AM519" i="1"/>
  <c r="E517" i="4" s="1"/>
  <c r="AM507" i="1"/>
  <c r="E505" i="4" s="1"/>
  <c r="AM495" i="1"/>
  <c r="E493" i="4" s="1"/>
  <c r="AM483" i="1"/>
  <c r="E481" i="4" s="1"/>
  <c r="AM471" i="1"/>
  <c r="E469" i="4" s="1"/>
  <c r="AM459" i="1"/>
  <c r="E457" i="4" s="1"/>
  <c r="AM447" i="1"/>
  <c r="E445" i="4" s="1"/>
  <c r="AM435" i="1"/>
  <c r="E433" i="4" s="1"/>
  <c r="AM423" i="1"/>
  <c r="E421" i="4" s="1"/>
  <c r="AM411" i="1"/>
  <c r="E409" i="4" s="1"/>
  <c r="AJ339" i="1"/>
  <c r="B337" i="4" s="1"/>
  <c r="AJ326" i="1"/>
  <c r="B324" i="4" s="1"/>
  <c r="AK326" i="1"/>
  <c r="C324" i="4" s="1"/>
  <c r="AL326" i="1"/>
  <c r="D324" i="4" s="1"/>
  <c r="AM326" i="1"/>
  <c r="E324" i="4" s="1"/>
  <c r="AL284" i="1"/>
  <c r="D282" i="4" s="1"/>
  <c r="AM284" i="1"/>
  <c r="E282" i="4" s="1"/>
  <c r="AJ284" i="1"/>
  <c r="B282" i="4" s="1"/>
  <c r="AK284" i="1"/>
  <c r="C282" i="4" s="1"/>
  <c r="AL260" i="1"/>
  <c r="D258" i="4" s="1"/>
  <c r="AM260" i="1"/>
  <c r="E258" i="4" s="1"/>
  <c r="AJ260" i="1"/>
  <c r="B258" i="4" s="1"/>
  <c r="AK260" i="1"/>
  <c r="C258" i="4" s="1"/>
  <c r="AK231" i="1"/>
  <c r="C229" i="4" s="1"/>
  <c r="AL221" i="1"/>
  <c r="D219" i="4" s="1"/>
  <c r="AM204" i="1"/>
  <c r="E202" i="4" s="1"/>
  <c r="AL188" i="1"/>
  <c r="D186" i="4" s="1"/>
  <c r="AM188" i="1"/>
  <c r="E186" i="4" s="1"/>
  <c r="AM186" i="1"/>
  <c r="E184" i="4" s="1"/>
  <c r="AJ187" i="1"/>
  <c r="B185" i="4" s="1"/>
  <c r="AK187" i="1"/>
  <c r="C185" i="4" s="1"/>
  <c r="AL187" i="1"/>
  <c r="D185" i="4" s="1"/>
  <c r="AM187" i="1"/>
  <c r="E185" i="4" s="1"/>
  <c r="AJ188" i="1"/>
  <c r="B186" i="4" s="1"/>
  <c r="AK188" i="1"/>
  <c r="C186" i="4" s="1"/>
  <c r="AK171" i="1"/>
  <c r="C169" i="4" s="1"/>
  <c r="AM159" i="1"/>
  <c r="E157" i="4" s="1"/>
  <c r="AJ136" i="1"/>
  <c r="B134" i="4" s="1"/>
  <c r="AK229" i="1"/>
  <c r="C227" i="4" s="1"/>
  <c r="AJ220" i="1"/>
  <c r="B218" i="4" s="1"/>
  <c r="AK169" i="1"/>
  <c r="C167" i="4" s="1"/>
  <c r="AL161" i="1"/>
  <c r="D159" i="4" s="1"/>
  <c r="AL128" i="1"/>
  <c r="D126" i="4" s="1"/>
  <c r="AM128" i="1"/>
  <c r="E126" i="4" s="1"/>
  <c r="AM126" i="1"/>
  <c r="E124" i="4" s="1"/>
  <c r="AJ127" i="1"/>
  <c r="B125" i="4" s="1"/>
  <c r="AK127" i="1"/>
  <c r="C125" i="4" s="1"/>
  <c r="AL127" i="1"/>
  <c r="D125" i="4" s="1"/>
  <c r="AM127" i="1"/>
  <c r="E125" i="4" s="1"/>
  <c r="AJ128" i="1"/>
  <c r="B126" i="4" s="1"/>
  <c r="AK128" i="1"/>
  <c r="C126" i="4" s="1"/>
  <c r="AJ102" i="1"/>
  <c r="B100" i="4" s="1"/>
  <c r="AL94" i="1"/>
  <c r="D92" i="4" s="1"/>
  <c r="AM569" i="1"/>
  <c r="E567" i="4" s="1"/>
  <c r="AL562" i="1"/>
  <c r="D560" i="4" s="1"/>
  <c r="AM557" i="1"/>
  <c r="E555" i="4" s="1"/>
  <c r="AK555" i="1"/>
  <c r="C553" i="4" s="1"/>
  <c r="AL550" i="1"/>
  <c r="D548" i="4" s="1"/>
  <c r="AM545" i="1"/>
  <c r="E543" i="4" s="1"/>
  <c r="AK543" i="1"/>
  <c r="C541" i="4" s="1"/>
  <c r="AL538" i="1"/>
  <c r="D536" i="4" s="1"/>
  <c r="AK531" i="1"/>
  <c r="C529" i="4" s="1"/>
  <c r="AL526" i="1"/>
  <c r="D524" i="4" s="1"/>
  <c r="AK519" i="1"/>
  <c r="C517" i="4" s="1"/>
  <c r="AL514" i="1"/>
  <c r="D512" i="4" s="1"/>
  <c r="AM509" i="1"/>
  <c r="E507" i="4" s="1"/>
  <c r="AK507" i="1"/>
  <c r="C505" i="4" s="1"/>
  <c r="AL502" i="1"/>
  <c r="D500" i="4" s="1"/>
  <c r="AM497" i="1"/>
  <c r="E495" i="4" s="1"/>
  <c r="AK495" i="1"/>
  <c r="C493" i="4" s="1"/>
  <c r="AL490" i="1"/>
  <c r="D488" i="4" s="1"/>
  <c r="AM485" i="1"/>
  <c r="E483" i="4" s="1"/>
  <c r="AK483" i="1"/>
  <c r="C481" i="4" s="1"/>
  <c r="AL478" i="1"/>
  <c r="D476" i="4" s="1"/>
  <c r="AM473" i="1"/>
  <c r="E471" i="4" s="1"/>
  <c r="AK471" i="1"/>
  <c r="C469" i="4" s="1"/>
  <c r="AL466" i="1"/>
  <c r="D464" i="4" s="1"/>
  <c r="AM461" i="1"/>
  <c r="E459" i="4" s="1"/>
  <c r="AK459" i="1"/>
  <c r="C457" i="4" s="1"/>
  <c r="AL454" i="1"/>
  <c r="D452" i="4" s="1"/>
  <c r="AM449" i="1"/>
  <c r="E447" i="4" s="1"/>
  <c r="AK447" i="1"/>
  <c r="C445" i="4" s="1"/>
  <c r="AL442" i="1"/>
  <c r="D440" i="4" s="1"/>
  <c r="AM437" i="1"/>
  <c r="E435" i="4" s="1"/>
  <c r="AK435" i="1"/>
  <c r="C433" i="4" s="1"/>
  <c r="AL430" i="1"/>
  <c r="D428" i="4" s="1"/>
  <c r="AM425" i="1"/>
  <c r="E423" i="4" s="1"/>
  <c r="AK423" i="1"/>
  <c r="C421" i="4" s="1"/>
  <c r="AL418" i="1"/>
  <c r="D416" i="4" s="1"/>
  <c r="AM413" i="1"/>
  <c r="E411" i="4" s="1"/>
  <c r="AK411" i="1"/>
  <c r="C409" i="4" s="1"/>
  <c r="AL406" i="1"/>
  <c r="D404" i="4" s="1"/>
  <c r="AM401" i="1"/>
  <c r="E399" i="4" s="1"/>
  <c r="AK399" i="1"/>
  <c r="C397" i="4" s="1"/>
  <c r="AL394" i="1"/>
  <c r="D392" i="4" s="1"/>
  <c r="AM389" i="1"/>
  <c r="E387" i="4" s="1"/>
  <c r="AK387" i="1"/>
  <c r="C385" i="4" s="1"/>
  <c r="AL382" i="1"/>
  <c r="D380" i="4" s="1"/>
  <c r="AM377" i="1"/>
  <c r="E375" i="4" s="1"/>
  <c r="AK375" i="1"/>
  <c r="C373" i="4" s="1"/>
  <c r="AL370" i="1"/>
  <c r="D368" i="4" s="1"/>
  <c r="AM365" i="1"/>
  <c r="E363" i="4" s="1"/>
  <c r="AK363" i="1"/>
  <c r="C361" i="4" s="1"/>
  <c r="AL358" i="1"/>
  <c r="D356" i="4" s="1"/>
  <c r="AM353" i="1"/>
  <c r="E351" i="4" s="1"/>
  <c r="AK351" i="1"/>
  <c r="C349" i="4" s="1"/>
  <c r="AK341" i="1"/>
  <c r="C339" i="4" s="1"/>
  <c r="AJ338" i="1"/>
  <c r="B336" i="4" s="1"/>
  <c r="AK338" i="1"/>
  <c r="C336" i="4" s="1"/>
  <c r="AL338" i="1"/>
  <c r="D336" i="4" s="1"/>
  <c r="AM338" i="1"/>
  <c r="E336" i="4" s="1"/>
  <c r="AJ335" i="1"/>
  <c r="B333" i="4" s="1"/>
  <c r="AK335" i="1"/>
  <c r="C333" i="4" s="1"/>
  <c r="AM335" i="1"/>
  <c r="E333" i="4" s="1"/>
  <c r="AM332" i="1"/>
  <c r="E330" i="4" s="1"/>
  <c r="AJ332" i="1"/>
  <c r="B330" i="4" s="1"/>
  <c r="AL212" i="1"/>
  <c r="D210" i="4" s="1"/>
  <c r="AM212" i="1"/>
  <c r="E210" i="4" s="1"/>
  <c r="AM210" i="1"/>
  <c r="E208" i="4" s="1"/>
  <c r="AJ211" i="1"/>
  <c r="B209" i="4" s="1"/>
  <c r="AK211" i="1"/>
  <c r="C209" i="4" s="1"/>
  <c r="AL211" i="1"/>
  <c r="D209" i="4" s="1"/>
  <c r="AM211" i="1"/>
  <c r="E209" i="4" s="1"/>
  <c r="AJ212" i="1"/>
  <c r="B210" i="4" s="1"/>
  <c r="AK212" i="1"/>
  <c r="C210" i="4" s="1"/>
  <c r="AK195" i="1"/>
  <c r="C193" i="4" s="1"/>
  <c r="AM183" i="1"/>
  <c r="E181" i="4" s="1"/>
  <c r="AJ161" i="1"/>
  <c r="B159" i="4" s="1"/>
  <c r="AK109" i="1"/>
  <c r="C107" i="4" s="1"/>
  <c r="AL101" i="1"/>
  <c r="D99" i="4" s="1"/>
  <c r="AM84" i="1"/>
  <c r="E82" i="4" s="1"/>
  <c r="AK562" i="1"/>
  <c r="C560" i="4" s="1"/>
  <c r="AK550" i="1"/>
  <c r="C548" i="4" s="1"/>
  <c r="AK538" i="1"/>
  <c r="C536" i="4" s="1"/>
  <c r="AK526" i="1"/>
  <c r="C524" i="4" s="1"/>
  <c r="AK514" i="1"/>
  <c r="C512" i="4" s="1"/>
  <c r="AK502" i="1"/>
  <c r="C500" i="4" s="1"/>
  <c r="AK490" i="1"/>
  <c r="C488" i="4" s="1"/>
  <c r="AK478" i="1"/>
  <c r="C476" i="4" s="1"/>
  <c r="AK466" i="1"/>
  <c r="C464" i="4" s="1"/>
  <c r="AK454" i="1"/>
  <c r="C452" i="4" s="1"/>
  <c r="AK442" i="1"/>
  <c r="C440" i="4" s="1"/>
  <c r="AK430" i="1"/>
  <c r="C428" i="4" s="1"/>
  <c r="AK418" i="1"/>
  <c r="C416" i="4" s="1"/>
  <c r="AK406" i="1"/>
  <c r="C404" i="4" s="1"/>
  <c r="AL401" i="1"/>
  <c r="D399" i="4" s="1"/>
  <c r="AK394" i="1"/>
  <c r="C392" i="4" s="1"/>
  <c r="AL389" i="1"/>
  <c r="D387" i="4" s="1"/>
  <c r="AK382" i="1"/>
  <c r="C380" i="4" s="1"/>
  <c r="AL377" i="1"/>
  <c r="D375" i="4" s="1"/>
  <c r="AK370" i="1"/>
  <c r="C368" i="4" s="1"/>
  <c r="AL365" i="1"/>
  <c r="D363" i="4" s="1"/>
  <c r="AL353" i="1"/>
  <c r="D351" i="4" s="1"/>
  <c r="AL308" i="1"/>
  <c r="D306" i="4" s="1"/>
  <c r="AM308" i="1"/>
  <c r="E306" i="4" s="1"/>
  <c r="AJ308" i="1"/>
  <c r="B306" i="4" s="1"/>
  <c r="AK308" i="1"/>
  <c r="C306" i="4" s="1"/>
  <c r="AM228" i="1"/>
  <c r="E226" i="4" s="1"/>
  <c r="AK193" i="1"/>
  <c r="C191" i="4" s="1"/>
  <c r="AL185" i="1"/>
  <c r="D183" i="4" s="1"/>
  <c r="AM168" i="1"/>
  <c r="E166" i="4" s="1"/>
  <c r="AL160" i="1"/>
  <c r="D158" i="4" s="1"/>
  <c r="AJ150" i="1"/>
  <c r="B148" i="4" s="1"/>
  <c r="AL152" i="1"/>
  <c r="D150" i="4" s="1"/>
  <c r="AM152" i="1"/>
  <c r="E150" i="4" s="1"/>
  <c r="AK148" i="1"/>
  <c r="C146" i="4" s="1"/>
  <c r="AM150" i="1"/>
  <c r="E148" i="4" s="1"/>
  <c r="AJ151" i="1"/>
  <c r="B149" i="4" s="1"/>
  <c r="AK151" i="1"/>
  <c r="C149" i="4" s="1"/>
  <c r="AL151" i="1"/>
  <c r="D149" i="4" s="1"/>
  <c r="AM151" i="1"/>
  <c r="E149" i="4" s="1"/>
  <c r="AJ152" i="1"/>
  <c r="B150" i="4" s="1"/>
  <c r="AK152" i="1"/>
  <c r="C150" i="4" s="1"/>
  <c r="AK135" i="1"/>
  <c r="C133" i="4" s="1"/>
  <c r="AM123" i="1"/>
  <c r="E121" i="4" s="1"/>
  <c r="AL100" i="1"/>
  <c r="D98" i="4" s="1"/>
  <c r="AL93" i="1"/>
  <c r="D91" i="4" s="1"/>
  <c r="AK219" i="1"/>
  <c r="C217" i="4" s="1"/>
  <c r="AM207" i="1"/>
  <c r="E205" i="4" s="1"/>
  <c r="AJ184" i="1"/>
  <c r="B182" i="4" s="1"/>
  <c r="AK168" i="1"/>
  <c r="C166" i="4" s="1"/>
  <c r="AK133" i="1"/>
  <c r="C131" i="4" s="1"/>
  <c r="AL125" i="1"/>
  <c r="D123" i="4" s="1"/>
  <c r="AM108" i="1"/>
  <c r="E106" i="4" s="1"/>
  <c r="AM99" i="1"/>
  <c r="E97" i="4" s="1"/>
  <c r="AL92" i="1"/>
  <c r="D90" i="4" s="1"/>
  <c r="AK90" i="1"/>
  <c r="C88" i="4" s="1"/>
  <c r="AM92" i="1"/>
  <c r="E90" i="4" s="1"/>
  <c r="AL90" i="1"/>
  <c r="D88" i="4" s="1"/>
  <c r="AM90" i="1"/>
  <c r="E88" i="4" s="1"/>
  <c r="AL91" i="1"/>
  <c r="D89" i="4" s="1"/>
  <c r="AM91" i="1"/>
  <c r="E89" i="4" s="1"/>
  <c r="AJ92" i="1"/>
  <c r="B90" i="4" s="1"/>
  <c r="AK92" i="1"/>
  <c r="C90" i="4" s="1"/>
  <c r="AJ241" i="1"/>
  <c r="B239" i="4" s="1"/>
  <c r="AM238" i="1"/>
  <c r="E236" i="4" s="1"/>
  <c r="AL231" i="1"/>
  <c r="D229" i="4" s="1"/>
  <c r="AJ229" i="1"/>
  <c r="B227" i="4" s="1"/>
  <c r="AM226" i="1"/>
  <c r="E224" i="4" s="1"/>
  <c r="AL219" i="1"/>
  <c r="D217" i="4" s="1"/>
  <c r="AJ217" i="1"/>
  <c r="B215" i="4" s="1"/>
  <c r="AM214" i="1"/>
  <c r="E212" i="4" s="1"/>
  <c r="AL207" i="1"/>
  <c r="D205" i="4" s="1"/>
  <c r="AJ205" i="1"/>
  <c r="B203" i="4" s="1"/>
  <c r="AM202" i="1"/>
  <c r="E200" i="4" s="1"/>
  <c r="AL195" i="1"/>
  <c r="D193" i="4" s="1"/>
  <c r="AJ193" i="1"/>
  <c r="B191" i="4" s="1"/>
  <c r="AM190" i="1"/>
  <c r="E188" i="4" s="1"/>
  <c r="AL183" i="1"/>
  <c r="D181" i="4" s="1"/>
  <c r="AJ181" i="1"/>
  <c r="B179" i="4" s="1"/>
  <c r="AM178" i="1"/>
  <c r="E176" i="4" s="1"/>
  <c r="AL171" i="1"/>
  <c r="D169" i="4" s="1"/>
  <c r="AJ169" i="1"/>
  <c r="B167" i="4" s="1"/>
  <c r="AM166" i="1"/>
  <c r="E164" i="4" s="1"/>
  <c r="AL159" i="1"/>
  <c r="D157" i="4" s="1"/>
  <c r="AJ157" i="1"/>
  <c r="B155" i="4" s="1"/>
  <c r="AM154" i="1"/>
  <c r="E152" i="4" s="1"/>
  <c r="AL147" i="1"/>
  <c r="D145" i="4" s="1"/>
  <c r="AJ145" i="1"/>
  <c r="B143" i="4" s="1"/>
  <c r="AM142" i="1"/>
  <c r="E140" i="4" s="1"/>
  <c r="AL135" i="1"/>
  <c r="D133" i="4" s="1"/>
  <c r="AJ133" i="1"/>
  <c r="B131" i="4" s="1"/>
  <c r="AM130" i="1"/>
  <c r="E128" i="4" s="1"/>
  <c r="AL123" i="1"/>
  <c r="D121" i="4" s="1"/>
  <c r="AJ121" i="1"/>
  <c r="B119" i="4" s="1"/>
  <c r="AM118" i="1"/>
  <c r="E116" i="4" s="1"/>
  <c r="AL111" i="1"/>
  <c r="D109" i="4" s="1"/>
  <c r="AJ109" i="1"/>
  <c r="B107" i="4" s="1"/>
  <c r="AM106" i="1"/>
  <c r="E104" i="4" s="1"/>
  <c r="AL99" i="1"/>
  <c r="D97" i="4" s="1"/>
  <c r="AJ97" i="1"/>
  <c r="B95" i="4" s="1"/>
  <c r="AM94" i="1"/>
  <c r="E92" i="4" s="1"/>
  <c r="AL87" i="1"/>
  <c r="D85" i="4" s="1"/>
  <c r="AJ85" i="1"/>
  <c r="B83" i="4" s="1"/>
  <c r="AM245" i="1"/>
  <c r="E243" i="4" s="1"/>
  <c r="AL238" i="1"/>
  <c r="D236" i="4" s="1"/>
  <c r="AM233" i="1"/>
  <c r="E231" i="4" s="1"/>
  <c r="AL226" i="1"/>
  <c r="D224" i="4" s="1"/>
  <c r="AM221" i="1"/>
  <c r="E219" i="4" s="1"/>
  <c r="AL214" i="1"/>
  <c r="D212" i="4" s="1"/>
  <c r="AM209" i="1"/>
  <c r="E207" i="4" s="1"/>
  <c r="AL202" i="1"/>
  <c r="D200" i="4" s="1"/>
  <c r="AM197" i="1"/>
  <c r="E195" i="4" s="1"/>
  <c r="AL190" i="1"/>
  <c r="D188" i="4" s="1"/>
  <c r="AM185" i="1"/>
  <c r="E183" i="4" s="1"/>
  <c r="AL178" i="1"/>
  <c r="D176" i="4" s="1"/>
  <c r="AM173" i="1"/>
  <c r="E171" i="4" s="1"/>
  <c r="AL166" i="1"/>
  <c r="D164" i="4" s="1"/>
  <c r="AM161" i="1"/>
  <c r="E159" i="4" s="1"/>
  <c r="AL154" i="1"/>
  <c r="D152" i="4" s="1"/>
  <c r="AM149" i="1"/>
  <c r="E147" i="4" s="1"/>
  <c r="AL142" i="1"/>
  <c r="D140" i="4" s="1"/>
  <c r="AM137" i="1"/>
  <c r="E135" i="4" s="1"/>
  <c r="AL130" i="1"/>
  <c r="D128" i="4" s="1"/>
  <c r="AM125" i="1"/>
  <c r="E123" i="4" s="1"/>
  <c r="AL118" i="1"/>
  <c r="D116" i="4" s="1"/>
  <c r="AM113" i="1"/>
  <c r="E111" i="4" s="1"/>
  <c r="AK111" i="1"/>
  <c r="C109" i="4" s="1"/>
  <c r="AL106" i="1"/>
  <c r="D104" i="4" s="1"/>
  <c r="AM101" i="1"/>
  <c r="E99" i="4" s="1"/>
  <c r="AM89" i="1"/>
  <c r="E87" i="4" s="1"/>
  <c r="AK245" i="1"/>
  <c r="C243" i="4" s="1"/>
  <c r="AL240" i="1"/>
  <c r="D238" i="4" s="1"/>
  <c r="AJ238" i="1"/>
  <c r="B236" i="4" s="1"/>
  <c r="AK233" i="1"/>
  <c r="C231" i="4" s="1"/>
  <c r="AL228" i="1"/>
  <c r="D226" i="4" s="1"/>
  <c r="AJ226" i="1"/>
  <c r="B224" i="4" s="1"/>
  <c r="AK221" i="1"/>
  <c r="C219" i="4" s="1"/>
  <c r="AL216" i="1"/>
  <c r="D214" i="4" s="1"/>
  <c r="AJ214" i="1"/>
  <c r="B212" i="4" s="1"/>
  <c r="AK209" i="1"/>
  <c r="C207" i="4" s="1"/>
  <c r="AL204" i="1"/>
  <c r="D202" i="4" s="1"/>
  <c r="AJ202" i="1"/>
  <c r="B200" i="4" s="1"/>
  <c r="AK197" i="1"/>
  <c r="C195" i="4" s="1"/>
  <c r="AL192" i="1"/>
  <c r="D190" i="4" s="1"/>
  <c r="AJ190" i="1"/>
  <c r="B188" i="4" s="1"/>
  <c r="AK185" i="1"/>
  <c r="C183" i="4" s="1"/>
  <c r="AL180" i="1"/>
  <c r="D178" i="4" s="1"/>
  <c r="AJ178" i="1"/>
  <c r="B176" i="4" s="1"/>
  <c r="AK173" i="1"/>
  <c r="C171" i="4" s="1"/>
  <c r="AL168" i="1"/>
  <c r="D166" i="4" s="1"/>
  <c r="AJ166" i="1"/>
  <c r="B164" i="4" s="1"/>
  <c r="AK161" i="1"/>
  <c r="C159" i="4" s="1"/>
  <c r="AL156" i="1"/>
  <c r="D154" i="4" s="1"/>
  <c r="AJ154" i="1"/>
  <c r="B152" i="4" s="1"/>
  <c r="AK149" i="1"/>
  <c r="C147" i="4" s="1"/>
  <c r="AL144" i="1"/>
  <c r="D142" i="4" s="1"/>
  <c r="AJ142" i="1"/>
  <c r="B140" i="4" s="1"/>
  <c r="AK137" i="1"/>
  <c r="C135" i="4" s="1"/>
  <c r="AL132" i="1"/>
  <c r="D130" i="4" s="1"/>
  <c r="AJ130" i="1"/>
  <c r="B128" i="4" s="1"/>
  <c r="AK125" i="1"/>
  <c r="C123" i="4" s="1"/>
  <c r="AL120" i="1"/>
  <c r="D118" i="4" s="1"/>
  <c r="AJ118" i="1"/>
  <c r="B116" i="4" s="1"/>
  <c r="AK113" i="1"/>
  <c r="C111" i="4" s="1"/>
  <c r="AL108" i="1"/>
  <c r="D106" i="4" s="1"/>
  <c r="AJ106" i="1"/>
  <c r="B104" i="4" s="1"/>
  <c r="AK101" i="1"/>
  <c r="C99" i="4" s="1"/>
  <c r="AL96" i="1"/>
  <c r="D94" i="4" s="1"/>
  <c r="AJ94" i="1"/>
  <c r="B92" i="4" s="1"/>
  <c r="AL84" i="1"/>
  <c r="D82" i="4" s="1"/>
  <c r="AM314" i="1"/>
  <c r="E312" i="4" s="1"/>
  <c r="AM302" i="1"/>
  <c r="E300" i="4" s="1"/>
  <c r="AK300" i="1"/>
  <c r="C298" i="4" s="1"/>
  <c r="AM290" i="1"/>
  <c r="E288" i="4" s="1"/>
  <c r="AM278" i="1"/>
  <c r="E276" i="4" s="1"/>
  <c r="AM266" i="1"/>
  <c r="E264" i="4" s="1"/>
  <c r="AM254" i="1"/>
  <c r="E252" i="4" s="1"/>
  <c r="AL247" i="1"/>
  <c r="D245" i="4" s="1"/>
  <c r="AJ245" i="1"/>
  <c r="B243" i="4" s="1"/>
  <c r="AM242" i="1"/>
  <c r="E240" i="4" s="1"/>
  <c r="AK240" i="1"/>
  <c r="C238" i="4" s="1"/>
  <c r="AJ233" i="1"/>
  <c r="B231" i="4" s="1"/>
  <c r="AM230" i="1"/>
  <c r="E228" i="4" s="1"/>
  <c r="AK228" i="1"/>
  <c r="C226" i="4" s="1"/>
  <c r="AJ221" i="1"/>
  <c r="B219" i="4" s="1"/>
  <c r="AM218" i="1"/>
  <c r="E216" i="4" s="1"/>
  <c r="AK216" i="1"/>
  <c r="C214" i="4" s="1"/>
  <c r="AJ209" i="1"/>
  <c r="B207" i="4" s="1"/>
  <c r="AM206" i="1"/>
  <c r="E204" i="4" s="1"/>
  <c r="AK204" i="1"/>
  <c r="C202" i="4" s="1"/>
  <c r="AJ197" i="1"/>
  <c r="B195" i="4" s="1"/>
  <c r="AM194" i="1"/>
  <c r="E192" i="4" s="1"/>
  <c r="AK192" i="1"/>
  <c r="C190" i="4" s="1"/>
  <c r="AJ185" i="1"/>
  <c r="B183" i="4" s="1"/>
  <c r="AM182" i="1"/>
  <c r="E180" i="4" s="1"/>
  <c r="AK180" i="1"/>
  <c r="C178" i="4" s="1"/>
  <c r="AJ173" i="1"/>
  <c r="B171" i="4" s="1"/>
  <c r="AM170" i="1"/>
  <c r="E168" i="4" s="1"/>
  <c r="AM158" i="1"/>
  <c r="E156" i="4" s="1"/>
  <c r="AJ149" i="1"/>
  <c r="B147" i="4" s="1"/>
  <c r="AM146" i="1"/>
  <c r="E144" i="4" s="1"/>
  <c r="AK144" i="1"/>
  <c r="C142" i="4" s="1"/>
  <c r="AJ137" i="1"/>
  <c r="B135" i="4" s="1"/>
  <c r="AM134" i="1"/>
  <c r="E132" i="4" s="1"/>
  <c r="AJ125" i="1"/>
  <c r="B123" i="4" s="1"/>
  <c r="AM122" i="1"/>
  <c r="E120" i="4" s="1"/>
  <c r="AK120" i="1"/>
  <c r="C118" i="4" s="1"/>
  <c r="AJ113" i="1"/>
  <c r="B111" i="4" s="1"/>
  <c r="AM110" i="1"/>
  <c r="E108" i="4" s="1"/>
  <c r="AK108" i="1"/>
  <c r="C106" i="4" s="1"/>
  <c r="AJ101" i="1"/>
  <c r="B99" i="4" s="1"/>
  <c r="AM98" i="1"/>
  <c r="E96" i="4" s="1"/>
  <c r="AK96" i="1"/>
  <c r="C94" i="4" s="1"/>
  <c r="AJ89" i="1"/>
  <c r="B87" i="4" s="1"/>
  <c r="AM86" i="1"/>
  <c r="E84" i="4" s="1"/>
  <c r="AK84" i="1"/>
  <c r="C82" i="4" s="1"/>
  <c r="AL314" i="1"/>
  <c r="D312" i="4" s="1"/>
  <c r="AL302" i="1"/>
  <c r="D300" i="4" s="1"/>
  <c r="AL290" i="1"/>
  <c r="D288" i="4" s="1"/>
  <c r="AL278" i="1"/>
  <c r="D276" i="4" s="1"/>
  <c r="AL266" i="1"/>
  <c r="D264" i="4" s="1"/>
  <c r="AL254" i="1"/>
  <c r="D252" i="4" s="1"/>
  <c r="AL242" i="1"/>
  <c r="D240" i="4" s="1"/>
  <c r="AJ240" i="1"/>
  <c r="B238" i="4" s="1"/>
  <c r="AM237" i="1"/>
  <c r="E235" i="4" s="1"/>
  <c r="AL230" i="1"/>
  <c r="D228" i="4" s="1"/>
  <c r="AJ228" i="1"/>
  <c r="B226" i="4" s="1"/>
  <c r="AL218" i="1"/>
  <c r="D216" i="4" s="1"/>
  <c r="AJ216" i="1"/>
  <c r="B214" i="4" s="1"/>
  <c r="AM213" i="1"/>
  <c r="E211" i="4" s="1"/>
  <c r="AL206" i="1"/>
  <c r="D204" i="4" s="1"/>
  <c r="AJ204" i="1"/>
  <c r="B202" i="4" s="1"/>
  <c r="AM201" i="1"/>
  <c r="E199" i="4" s="1"/>
  <c r="AL194" i="1"/>
  <c r="D192" i="4" s="1"/>
  <c r="AJ192" i="1"/>
  <c r="B190" i="4" s="1"/>
  <c r="AM189" i="1"/>
  <c r="E187" i="4" s="1"/>
  <c r="AL182" i="1"/>
  <c r="D180" i="4" s="1"/>
  <c r="AJ180" i="1"/>
  <c r="B178" i="4" s="1"/>
  <c r="AM177" i="1"/>
  <c r="E175" i="4" s="1"/>
  <c r="AL170" i="1"/>
  <c r="D168" i="4" s="1"/>
  <c r="AJ168" i="1"/>
  <c r="B166" i="4" s="1"/>
  <c r="AM165" i="1"/>
  <c r="E163" i="4" s="1"/>
  <c r="AL158" i="1"/>
  <c r="D156" i="4" s="1"/>
  <c r="AJ156" i="1"/>
  <c r="B154" i="4" s="1"/>
  <c r="AM153" i="1"/>
  <c r="E151" i="4" s="1"/>
  <c r="AL146" i="1"/>
  <c r="D144" i="4" s="1"/>
  <c r="AM141" i="1"/>
  <c r="E139" i="4" s="1"/>
  <c r="AL134" i="1"/>
  <c r="D132" i="4" s="1"/>
  <c r="AJ132" i="1"/>
  <c r="B130" i="4" s="1"/>
  <c r="AM129" i="1"/>
  <c r="E127" i="4" s="1"/>
  <c r="AL122" i="1"/>
  <c r="D120" i="4" s="1"/>
  <c r="AM117" i="1"/>
  <c r="E115" i="4" s="1"/>
  <c r="AL110" i="1"/>
  <c r="D108" i="4" s="1"/>
  <c r="AJ108" i="1"/>
  <c r="B106" i="4" s="1"/>
  <c r="AM105" i="1"/>
  <c r="E103" i="4" s="1"/>
  <c r="AL98" i="1"/>
  <c r="D96" i="4" s="1"/>
  <c r="AJ96" i="1"/>
  <c r="B94" i="4" s="1"/>
  <c r="AK91" i="1"/>
  <c r="C89" i="4" s="1"/>
  <c r="AL86" i="1"/>
  <c r="D84" i="4" s="1"/>
  <c r="AJ84" i="1"/>
  <c r="B82" i="4" s="1"/>
  <c r="AK314" i="1"/>
  <c r="C312" i="4" s="1"/>
  <c r="AK302" i="1"/>
  <c r="C300" i="4" s="1"/>
  <c r="AK290" i="1"/>
  <c r="C288" i="4" s="1"/>
  <c r="AK278" i="1"/>
  <c r="C276" i="4" s="1"/>
  <c r="AK266" i="1"/>
  <c r="C264" i="4" s="1"/>
  <c r="AK254" i="1"/>
  <c r="C252" i="4" s="1"/>
  <c r="AM244" i="1"/>
  <c r="E242" i="4" s="1"/>
  <c r="AK242" i="1"/>
  <c r="C240" i="4" s="1"/>
  <c r="AM232" i="1"/>
  <c r="E230" i="4" s="1"/>
  <c r="AK230" i="1"/>
  <c r="C228" i="4" s="1"/>
  <c r="AL225" i="1"/>
  <c r="D223" i="4" s="1"/>
  <c r="AM220" i="1"/>
  <c r="E218" i="4" s="1"/>
  <c r="AK218" i="1"/>
  <c r="C216" i="4" s="1"/>
  <c r="AL213" i="1"/>
  <c r="D211" i="4" s="1"/>
  <c r="AM208" i="1"/>
  <c r="E206" i="4" s="1"/>
  <c r="AK206" i="1"/>
  <c r="C204" i="4" s="1"/>
  <c r="AL201" i="1"/>
  <c r="D199" i="4" s="1"/>
  <c r="AM196" i="1"/>
  <c r="E194" i="4" s="1"/>
  <c r="AK194" i="1"/>
  <c r="C192" i="4" s="1"/>
  <c r="AL189" i="1"/>
  <c r="D187" i="4" s="1"/>
  <c r="AM184" i="1"/>
  <c r="E182" i="4" s="1"/>
  <c r="AK182" i="1"/>
  <c r="C180" i="4" s="1"/>
  <c r="AL177" i="1"/>
  <c r="D175" i="4" s="1"/>
  <c r="AM172" i="1"/>
  <c r="E170" i="4" s="1"/>
  <c r="AK170" i="1"/>
  <c r="C168" i="4" s="1"/>
  <c r="AL165" i="1"/>
  <c r="D163" i="4" s="1"/>
  <c r="AM160" i="1"/>
  <c r="E158" i="4" s="1"/>
  <c r="AK158" i="1"/>
  <c r="C156" i="4" s="1"/>
  <c r="AL153" i="1"/>
  <c r="D151" i="4" s="1"/>
  <c r="AM148" i="1"/>
  <c r="E146" i="4" s="1"/>
  <c r="AK146" i="1"/>
  <c r="C144" i="4" s="1"/>
  <c r="AL141" i="1"/>
  <c r="D139" i="4" s="1"/>
  <c r="AM136" i="1"/>
  <c r="E134" i="4" s="1"/>
  <c r="AK134" i="1"/>
  <c r="C132" i="4" s="1"/>
  <c r="AL129" i="1"/>
  <c r="D127" i="4" s="1"/>
  <c r="AM124" i="1"/>
  <c r="E122" i="4" s="1"/>
  <c r="AK122" i="1"/>
  <c r="C120" i="4" s="1"/>
  <c r="AL117" i="1"/>
  <c r="D115" i="4" s="1"/>
  <c r="AM112" i="1"/>
  <c r="E110" i="4" s="1"/>
  <c r="AK110" i="1"/>
  <c r="C108" i="4" s="1"/>
  <c r="AL105" i="1"/>
  <c r="D103" i="4" s="1"/>
  <c r="AM100" i="1"/>
  <c r="E98" i="4" s="1"/>
  <c r="AK98" i="1"/>
  <c r="C96" i="4" s="1"/>
  <c r="AM88" i="1"/>
  <c r="E86" i="4" s="1"/>
  <c r="AK86" i="1"/>
  <c r="C84" i="4" s="1"/>
  <c r="AM311" i="1"/>
  <c r="E309" i="4" s="1"/>
  <c r="AM299" i="1"/>
  <c r="E297" i="4" s="1"/>
  <c r="AM287" i="1"/>
  <c r="E285" i="4" s="1"/>
  <c r="AM275" i="1"/>
  <c r="E273" i="4" s="1"/>
  <c r="AM263" i="1"/>
  <c r="E261" i="4" s="1"/>
  <c r="AM251" i="1"/>
  <c r="E249" i="4" s="1"/>
  <c r="AL244" i="1"/>
  <c r="D242" i="4" s="1"/>
  <c r="AJ242" i="1"/>
  <c r="B240" i="4" s="1"/>
  <c r="AM239" i="1"/>
  <c r="E237" i="4" s="1"/>
  <c r="AL232" i="1"/>
  <c r="D230" i="4" s="1"/>
  <c r="AJ230" i="1"/>
  <c r="B228" i="4" s="1"/>
  <c r="AM227" i="1"/>
  <c r="E225" i="4" s="1"/>
  <c r="AL220" i="1"/>
  <c r="D218" i="4" s="1"/>
  <c r="AJ218" i="1"/>
  <c r="B216" i="4" s="1"/>
  <c r="AM215" i="1"/>
  <c r="E213" i="4" s="1"/>
  <c r="AL208" i="1"/>
  <c r="D206" i="4" s="1"/>
  <c r="AJ206" i="1"/>
  <c r="B204" i="4" s="1"/>
  <c r="AM203" i="1"/>
  <c r="E201" i="4" s="1"/>
  <c r="AL196" i="1"/>
  <c r="D194" i="4" s="1"/>
  <c r="AJ194" i="1"/>
  <c r="B192" i="4" s="1"/>
  <c r="AM191" i="1"/>
  <c r="E189" i="4" s="1"/>
  <c r="AL184" i="1"/>
  <c r="D182" i="4" s="1"/>
  <c r="AJ182" i="1"/>
  <c r="B180" i="4" s="1"/>
  <c r="AM179" i="1"/>
  <c r="E177" i="4" s="1"/>
  <c r="AK177" i="1"/>
  <c r="C175" i="4" s="1"/>
  <c r="AL172" i="1"/>
  <c r="D170" i="4" s="1"/>
  <c r="AJ170" i="1"/>
  <c r="B168" i="4" s="1"/>
  <c r="AM167" i="1"/>
  <c r="E165" i="4" s="1"/>
  <c r="AJ158" i="1"/>
  <c r="B156" i="4" s="1"/>
  <c r="AM155" i="1"/>
  <c r="E153" i="4" s="1"/>
  <c r="AL148" i="1"/>
  <c r="D146" i="4" s="1"/>
  <c r="AJ146" i="1"/>
  <c r="B144" i="4" s="1"/>
  <c r="AM143" i="1"/>
  <c r="E141" i="4" s="1"/>
  <c r="AL136" i="1"/>
  <c r="D134" i="4" s="1"/>
  <c r="AJ134" i="1"/>
  <c r="B132" i="4" s="1"/>
  <c r="AM131" i="1"/>
  <c r="E129" i="4" s="1"/>
  <c r="AL124" i="1"/>
  <c r="D122" i="4" s="1"/>
  <c r="AJ122" i="1"/>
  <c r="B120" i="4" s="1"/>
  <c r="AM119" i="1"/>
  <c r="E117" i="4" s="1"/>
  <c r="AK117" i="1"/>
  <c r="C115" i="4" s="1"/>
  <c r="AL112" i="1"/>
  <c r="D110" i="4" s="1"/>
  <c r="AJ110" i="1"/>
  <c r="B108" i="4" s="1"/>
  <c r="AM107" i="1"/>
  <c r="E105" i="4" s="1"/>
  <c r="AK105" i="1"/>
  <c r="C103" i="4" s="1"/>
  <c r="AJ98" i="1"/>
  <c r="B96" i="4" s="1"/>
  <c r="AM95" i="1"/>
  <c r="E93" i="4" s="1"/>
  <c r="AL88" i="1"/>
  <c r="D86" i="4" s="1"/>
  <c r="AJ86" i="1"/>
  <c r="B84" i="4" s="1"/>
  <c r="AM83" i="1"/>
  <c r="E81" i="4" s="1"/>
  <c r="AL311" i="1"/>
  <c r="D309" i="4" s="1"/>
  <c r="AL299" i="1"/>
  <c r="D297" i="4" s="1"/>
  <c r="AL287" i="1"/>
  <c r="D285" i="4" s="1"/>
  <c r="AL239" i="1"/>
  <c r="D237" i="4" s="1"/>
  <c r="AJ237" i="1"/>
  <c r="B235" i="4" s="1"/>
  <c r="AK232" i="1"/>
  <c r="C230" i="4" s="1"/>
  <c r="AL227" i="1"/>
  <c r="D225" i="4" s="1"/>
  <c r="AJ225" i="1"/>
  <c r="B223" i="4" s="1"/>
  <c r="AK220" i="1"/>
  <c r="C218" i="4" s="1"/>
  <c r="AL215" i="1"/>
  <c r="D213" i="4" s="1"/>
  <c r="AK208" i="1"/>
  <c r="C206" i="4" s="1"/>
  <c r="AL203" i="1"/>
  <c r="D201" i="4" s="1"/>
  <c r="AK196" i="1"/>
  <c r="C194" i="4" s="1"/>
  <c r="AL191" i="1"/>
  <c r="D189" i="4" s="1"/>
  <c r="AK184" i="1"/>
  <c r="C182" i="4" s="1"/>
  <c r="AL179" i="1"/>
  <c r="D177" i="4" s="1"/>
  <c r="AK172" i="1"/>
  <c r="C170" i="4" s="1"/>
  <c r="AL167" i="1"/>
  <c r="D165" i="4" s="1"/>
  <c r="AK160" i="1"/>
  <c r="C158" i="4" s="1"/>
  <c r="AL155" i="1"/>
  <c r="D153" i="4" s="1"/>
  <c r="AL143" i="1"/>
  <c r="D141" i="4" s="1"/>
  <c r="AK136" i="1"/>
  <c r="C134" i="4" s="1"/>
  <c r="AL131" i="1"/>
  <c r="D129" i="4" s="1"/>
  <c r="AK124" i="1"/>
  <c r="C122" i="4" s="1"/>
  <c r="AL119" i="1"/>
  <c r="D117" i="4" s="1"/>
  <c r="AL107" i="1"/>
  <c r="D105" i="4" s="1"/>
  <c r="AL95" i="1"/>
  <c r="D93" i="4" s="1"/>
  <c r="AK88" i="1"/>
  <c r="C86" i="4" s="1"/>
  <c r="AL83" i="1"/>
  <c r="D81" i="4" s="1"/>
  <c r="AL318" i="1"/>
  <c r="D316" i="4" s="1"/>
  <c r="AK311" i="1"/>
  <c r="C309" i="4" s="1"/>
  <c r="AL306" i="1"/>
  <c r="D304" i="4" s="1"/>
  <c r="AK299" i="1"/>
  <c r="C297" i="4" s="1"/>
  <c r="AL294" i="1"/>
  <c r="D292" i="4" s="1"/>
  <c r="AK287" i="1"/>
  <c r="C285" i="4" s="1"/>
  <c r="AL282" i="1"/>
  <c r="D280" i="4" s="1"/>
  <c r="AK275" i="1"/>
  <c r="C273" i="4" s="1"/>
  <c r="AL270" i="1"/>
  <c r="D268" i="4" s="1"/>
  <c r="AK263" i="1"/>
  <c r="C261" i="4" s="1"/>
  <c r="AL258" i="1"/>
  <c r="D256" i="4" s="1"/>
  <c r="AK251" i="1"/>
  <c r="C249" i="4" s="1"/>
  <c r="AL246" i="1"/>
  <c r="D244" i="4" s="1"/>
  <c r="AM241" i="1"/>
  <c r="E239" i="4" s="1"/>
  <c r="AK239" i="1"/>
  <c r="C237" i="4" s="1"/>
  <c r="AL234" i="1"/>
  <c r="D232" i="4" s="1"/>
  <c r="AM229" i="1"/>
  <c r="E227" i="4" s="1"/>
  <c r="AK227" i="1"/>
  <c r="C225" i="4" s="1"/>
  <c r="AL222" i="1"/>
  <c r="D220" i="4" s="1"/>
  <c r="AM217" i="1"/>
  <c r="E215" i="4" s="1"/>
  <c r="AK215" i="1"/>
  <c r="C213" i="4" s="1"/>
  <c r="AL210" i="1"/>
  <c r="D208" i="4" s="1"/>
  <c r="AM205" i="1"/>
  <c r="E203" i="4" s="1"/>
  <c r="AK203" i="1"/>
  <c r="C201" i="4" s="1"/>
  <c r="AL198" i="1"/>
  <c r="D196" i="4" s="1"/>
  <c r="AM193" i="1"/>
  <c r="E191" i="4" s="1"/>
  <c r="AK191" i="1"/>
  <c r="C189" i="4" s="1"/>
  <c r="AL186" i="1"/>
  <c r="D184" i="4" s="1"/>
  <c r="AM181" i="1"/>
  <c r="E179" i="4" s="1"/>
  <c r="AK179" i="1"/>
  <c r="C177" i="4" s="1"/>
  <c r="AL174" i="1"/>
  <c r="D172" i="4" s="1"/>
  <c r="AM169" i="1"/>
  <c r="E167" i="4" s="1"/>
  <c r="AK167" i="1"/>
  <c r="C165" i="4" s="1"/>
  <c r="AL162" i="1"/>
  <c r="D160" i="4" s="1"/>
  <c r="AJ160" i="1"/>
  <c r="B158" i="4" s="1"/>
  <c r="AM157" i="1"/>
  <c r="E155" i="4" s="1"/>
  <c r="AK155" i="1"/>
  <c r="C153" i="4" s="1"/>
  <c r="AL150" i="1"/>
  <c r="D148" i="4" s="1"/>
  <c r="AM145" i="1"/>
  <c r="E143" i="4" s="1"/>
  <c r="AK143" i="1"/>
  <c r="C141" i="4" s="1"/>
  <c r="AL138" i="1"/>
  <c r="D136" i="4" s="1"/>
  <c r="AM133" i="1"/>
  <c r="E131" i="4" s="1"/>
  <c r="AK131" i="1"/>
  <c r="C129" i="4" s="1"/>
  <c r="AL126" i="1"/>
  <c r="D124" i="4" s="1"/>
  <c r="AM121" i="1"/>
  <c r="E119" i="4" s="1"/>
  <c r="AK119" i="1"/>
  <c r="C117" i="4" s="1"/>
  <c r="AL114" i="1"/>
  <c r="D112" i="4" s="1"/>
  <c r="AM109" i="1"/>
  <c r="E107" i="4" s="1"/>
  <c r="AJ100" i="1"/>
  <c r="B98" i="4" s="1"/>
  <c r="AM97" i="1"/>
  <c r="E95" i="4" s="1"/>
  <c r="AK95" i="1"/>
  <c r="C93" i="4" s="1"/>
  <c r="AJ88" i="1"/>
  <c r="B86" i="4" s="1"/>
  <c r="AM85" i="1"/>
  <c r="E83" i="4" s="1"/>
  <c r="AK83" i="1"/>
  <c r="C81" i="4" s="1"/>
  <c r="AL241" i="1"/>
  <c r="D239" i="4" s="1"/>
  <c r="AK234" i="1"/>
  <c r="C232" i="4" s="1"/>
  <c r="AL229" i="1"/>
  <c r="D227" i="4" s="1"/>
  <c r="AK222" i="1"/>
  <c r="C220" i="4" s="1"/>
  <c r="AL217" i="1"/>
  <c r="D215" i="4" s="1"/>
  <c r="AK210" i="1"/>
  <c r="C208" i="4" s="1"/>
  <c r="AL205" i="1"/>
  <c r="D203" i="4" s="1"/>
  <c r="AK198" i="1"/>
  <c r="C196" i="4" s="1"/>
  <c r="AL193" i="1"/>
  <c r="D191" i="4" s="1"/>
  <c r="AK186" i="1"/>
  <c r="C184" i="4" s="1"/>
  <c r="AL181" i="1"/>
  <c r="D179" i="4" s="1"/>
  <c r="AK174" i="1"/>
  <c r="C172" i="4" s="1"/>
  <c r="AL169" i="1"/>
  <c r="D167" i="4" s="1"/>
  <c r="AK162" i="1"/>
  <c r="C160" i="4" s="1"/>
  <c r="AL157" i="1"/>
  <c r="D155" i="4" s="1"/>
  <c r="AK150" i="1"/>
  <c r="C148" i="4" s="1"/>
  <c r="AL145" i="1"/>
  <c r="D143" i="4" s="1"/>
  <c r="AK138" i="1"/>
  <c r="C136" i="4" s="1"/>
  <c r="AL133" i="1"/>
  <c r="D131" i="4" s="1"/>
  <c r="AK126" i="1"/>
  <c r="C124" i="4" s="1"/>
  <c r="AL121" i="1"/>
  <c r="D119" i="4" s="1"/>
  <c r="AK114" i="1"/>
  <c r="C112" i="4" s="1"/>
  <c r="AL109" i="1"/>
  <c r="D107" i="4" s="1"/>
  <c r="AK102" i="1"/>
  <c r="C100" i="4" s="1"/>
  <c r="AL97" i="1"/>
  <c r="D95" i="4" s="1"/>
  <c r="AJ95" i="1"/>
  <c r="B93" i="4" s="1"/>
  <c r="AL85" i="1"/>
  <c r="D83" i="4" s="1"/>
  <c r="AJ83" i="1"/>
  <c r="B81" i="4" s="1"/>
  <c r="AJ210" i="1"/>
  <c r="B208" i="4" s="1"/>
  <c r="AJ198" i="1"/>
  <c r="B196" i="4" s="1"/>
  <c r="AJ186" i="1"/>
  <c r="B184" i="4" s="1"/>
  <c r="AJ174" i="1"/>
  <c r="B172" i="4" s="1"/>
  <c r="AJ162" i="1"/>
  <c r="B160" i="4" s="1"/>
  <c r="AJ138" i="1"/>
  <c r="B136" i="4" s="1"/>
  <c r="AJ126" i="1"/>
  <c r="B124" i="4" s="1"/>
  <c r="AG1613" i="1"/>
  <c r="AD1613" i="1"/>
  <c r="AE1575" i="1"/>
  <c r="AG1575" i="1"/>
  <c r="AE1539" i="1"/>
  <c r="AF1539" i="1"/>
  <c r="AG1539" i="1"/>
  <c r="AE1503" i="1"/>
  <c r="AF1503" i="1"/>
  <c r="AG1503" i="1"/>
  <c r="AE1467" i="1"/>
  <c r="AF1467" i="1"/>
  <c r="AG1467" i="1"/>
  <c r="AD1436" i="1"/>
  <c r="AE1436" i="1"/>
  <c r="AF1436" i="1"/>
  <c r="AG1436" i="1"/>
  <c r="AE1407" i="1"/>
  <c r="H1405" i="4" s="1"/>
  <c r="AF1407" i="1"/>
  <c r="I1405" i="4" s="1"/>
  <c r="AG1407" i="1"/>
  <c r="J1405" i="4" s="1"/>
  <c r="AD1082" i="1"/>
  <c r="G1080" i="4" s="1"/>
  <c r="AE1082" i="1"/>
  <c r="H1080" i="4" s="1"/>
  <c r="AF1082" i="1"/>
  <c r="I1080" i="4" s="1"/>
  <c r="AG1082" i="1"/>
  <c r="J1080" i="4" s="1"/>
  <c r="AD981" i="1"/>
  <c r="G979" i="4" s="1"/>
  <c r="AE981" i="1"/>
  <c r="H979" i="4" s="1"/>
  <c r="AF981" i="1"/>
  <c r="I979" i="4" s="1"/>
  <c r="AG981" i="1"/>
  <c r="J979" i="4" s="1"/>
  <c r="AG1529" i="1"/>
  <c r="AD1529" i="1"/>
  <c r="AG1457" i="1"/>
  <c r="AD1457" i="1"/>
  <c r="AD1328" i="1"/>
  <c r="G1326" i="4" s="1"/>
  <c r="AE1328" i="1"/>
  <c r="H1326" i="4" s="1"/>
  <c r="AF1328" i="1"/>
  <c r="I1326" i="4" s="1"/>
  <c r="AG1328" i="1"/>
  <c r="J1326" i="4" s="1"/>
  <c r="AD1034" i="1"/>
  <c r="G1032" i="4" s="1"/>
  <c r="AE1034" i="1"/>
  <c r="H1032" i="4" s="1"/>
  <c r="AF1034" i="1"/>
  <c r="I1032" i="4" s="1"/>
  <c r="AG1034" i="1"/>
  <c r="J1032" i="4" s="1"/>
  <c r="AE1599" i="1"/>
  <c r="AG1599" i="1"/>
  <c r="AG1589" i="1"/>
  <c r="AD1589" i="1"/>
  <c r="AD1376" i="1"/>
  <c r="G1374" i="4" s="1"/>
  <c r="AE1376" i="1"/>
  <c r="H1374" i="4" s="1"/>
  <c r="AF1376" i="1"/>
  <c r="I1374" i="4" s="1"/>
  <c r="AG1376" i="1"/>
  <c r="J1374" i="4" s="1"/>
  <c r="AE1347" i="1"/>
  <c r="H1345" i="4" s="1"/>
  <c r="AF1347" i="1"/>
  <c r="I1345" i="4" s="1"/>
  <c r="AG1347" i="1"/>
  <c r="J1345" i="4" s="1"/>
  <c r="AE1323" i="1"/>
  <c r="H1321" i="4" s="1"/>
  <c r="AF1323" i="1"/>
  <c r="I1321" i="4" s="1"/>
  <c r="AG1323" i="1"/>
  <c r="J1321" i="4" s="1"/>
  <c r="AE1299" i="1"/>
  <c r="H1297" i="4" s="1"/>
  <c r="AF1299" i="1"/>
  <c r="I1297" i="4" s="1"/>
  <c r="AG1299" i="1"/>
  <c r="J1297" i="4" s="1"/>
  <c r="AE1275" i="1"/>
  <c r="H1273" i="4" s="1"/>
  <c r="AF1275" i="1"/>
  <c r="I1273" i="4" s="1"/>
  <c r="AG1275" i="1"/>
  <c r="J1273" i="4" s="1"/>
  <c r="AE1251" i="1"/>
  <c r="H1249" i="4" s="1"/>
  <c r="AF1251" i="1"/>
  <c r="I1249" i="4" s="1"/>
  <c r="AG1251" i="1"/>
  <c r="J1249" i="4" s="1"/>
  <c r="AE1227" i="1"/>
  <c r="H1225" i="4" s="1"/>
  <c r="AF1227" i="1"/>
  <c r="I1225" i="4" s="1"/>
  <c r="AG1227" i="1"/>
  <c r="J1225" i="4" s="1"/>
  <c r="AG1816" i="1"/>
  <c r="AF1809" i="1"/>
  <c r="AG1804" i="1"/>
  <c r="AF1797" i="1"/>
  <c r="AG1792" i="1"/>
  <c r="AF1785" i="1"/>
  <c r="AG1780" i="1"/>
  <c r="AF1773" i="1"/>
  <c r="AG1768" i="1"/>
  <c r="AF1761" i="1"/>
  <c r="AG1756" i="1"/>
  <c r="AF1749" i="1"/>
  <c r="AG1744" i="1"/>
  <c r="AF1737" i="1"/>
  <c r="AG1732" i="1"/>
  <c r="AF1725" i="1"/>
  <c r="AG1720" i="1"/>
  <c r="AF1713" i="1"/>
  <c r="AG1708" i="1"/>
  <c r="AF1701" i="1"/>
  <c r="AG1696" i="1"/>
  <c r="AF1689" i="1"/>
  <c r="AG1684" i="1"/>
  <c r="AF1677" i="1"/>
  <c r="AG1672" i="1"/>
  <c r="AF1665" i="1"/>
  <c r="AG1660" i="1"/>
  <c r="AF1653" i="1"/>
  <c r="AG1648" i="1"/>
  <c r="AF1641" i="1"/>
  <c r="AG1636" i="1"/>
  <c r="AD1626" i="1"/>
  <c r="AF1626" i="1"/>
  <c r="AD1622" i="1"/>
  <c r="AG1622" i="1"/>
  <c r="AD1616" i="1"/>
  <c r="AF1616" i="1"/>
  <c r="AG1616" i="1"/>
  <c r="AD1568" i="1"/>
  <c r="AF1568" i="1"/>
  <c r="AG1568" i="1"/>
  <c r="AD1532" i="1"/>
  <c r="AE1532" i="1"/>
  <c r="AF1532" i="1"/>
  <c r="AG1532" i="1"/>
  <c r="AD1496" i="1"/>
  <c r="AE1496" i="1"/>
  <c r="AF1496" i="1"/>
  <c r="AG1496" i="1"/>
  <c r="AD1460" i="1"/>
  <c r="AE1460" i="1"/>
  <c r="AF1460" i="1"/>
  <c r="AG1460" i="1"/>
  <c r="AE1431" i="1"/>
  <c r="AF1431" i="1"/>
  <c r="AG1431" i="1"/>
  <c r="AD1130" i="1"/>
  <c r="G1128" i="4" s="1"/>
  <c r="AE1130" i="1"/>
  <c r="H1128" i="4" s="1"/>
  <c r="AF1130" i="1"/>
  <c r="I1128" i="4" s="1"/>
  <c r="AG1130" i="1"/>
  <c r="J1128" i="4" s="1"/>
  <c r="AD1544" i="1"/>
  <c r="AE1544" i="1"/>
  <c r="AF1544" i="1"/>
  <c r="AG1544" i="1"/>
  <c r="AE1383" i="1"/>
  <c r="H1381" i="4" s="1"/>
  <c r="AF1383" i="1"/>
  <c r="I1381" i="4" s="1"/>
  <c r="AG1383" i="1"/>
  <c r="J1381" i="4" s="1"/>
  <c r="AD1352" i="1"/>
  <c r="G1350" i="4" s="1"/>
  <c r="AE1352" i="1"/>
  <c r="H1350" i="4" s="1"/>
  <c r="AF1352" i="1"/>
  <c r="I1350" i="4" s="1"/>
  <c r="AG1352" i="1"/>
  <c r="J1350" i="4" s="1"/>
  <c r="AD1304" i="1"/>
  <c r="G1302" i="4" s="1"/>
  <c r="AE1304" i="1"/>
  <c r="H1302" i="4" s="1"/>
  <c r="AF1304" i="1"/>
  <c r="I1302" i="4" s="1"/>
  <c r="AG1304" i="1"/>
  <c r="J1302" i="4" s="1"/>
  <c r="AF1816" i="1"/>
  <c r="AG1811" i="1"/>
  <c r="AE1809" i="1"/>
  <c r="AF1804" i="1"/>
  <c r="AG1799" i="1"/>
  <c r="AE1797" i="1"/>
  <c r="AF1792" i="1"/>
  <c r="AG1787" i="1"/>
  <c r="AE1785" i="1"/>
  <c r="AF1780" i="1"/>
  <c r="AG1775" i="1"/>
  <c r="AE1773" i="1"/>
  <c r="AF1768" i="1"/>
  <c r="AE1761" i="1"/>
  <c r="AF1756" i="1"/>
  <c r="AE1749" i="1"/>
  <c r="AF1744" i="1"/>
  <c r="AE1737" i="1"/>
  <c r="AF1732" i="1"/>
  <c r="AE1725" i="1"/>
  <c r="AF1720" i="1"/>
  <c r="AE1713" i="1"/>
  <c r="AF1708" i="1"/>
  <c r="AE1701" i="1"/>
  <c r="AF1696" i="1"/>
  <c r="AE1689" i="1"/>
  <c r="AF1684" i="1"/>
  <c r="AE1677" i="1"/>
  <c r="AF1672" i="1"/>
  <c r="AE1665" i="1"/>
  <c r="AE1653" i="1"/>
  <c r="AE1641" i="1"/>
  <c r="AF1625" i="1"/>
  <c r="AD1578" i="1"/>
  <c r="AE1578" i="1"/>
  <c r="AF1578" i="1"/>
  <c r="AG1578" i="1"/>
  <c r="AG1553" i="1"/>
  <c r="AD1553" i="1"/>
  <c r="AG1517" i="1"/>
  <c r="AD1517" i="1"/>
  <c r="AG1481" i="1"/>
  <c r="AD1481" i="1"/>
  <c r="AD1400" i="1"/>
  <c r="G1398" i="4" s="1"/>
  <c r="AE1400" i="1"/>
  <c r="H1398" i="4" s="1"/>
  <c r="AF1400" i="1"/>
  <c r="I1398" i="4" s="1"/>
  <c r="AG1400" i="1"/>
  <c r="J1398" i="4" s="1"/>
  <c r="AE1371" i="1"/>
  <c r="H1369" i="4" s="1"/>
  <c r="AF1371" i="1"/>
  <c r="I1369" i="4" s="1"/>
  <c r="AG1371" i="1"/>
  <c r="J1369" i="4" s="1"/>
  <c r="AG1187" i="1"/>
  <c r="J1185" i="4" s="1"/>
  <c r="AE1187" i="1"/>
  <c r="H1185" i="4" s="1"/>
  <c r="AF1187" i="1"/>
  <c r="I1185" i="4" s="1"/>
  <c r="AE1141" i="1"/>
  <c r="H1139" i="4" s="1"/>
  <c r="AF1141" i="1"/>
  <c r="I1139" i="4" s="1"/>
  <c r="AG1141" i="1"/>
  <c r="J1139" i="4" s="1"/>
  <c r="AD1472" i="1"/>
  <c r="AE1472" i="1"/>
  <c r="AF1472" i="1"/>
  <c r="AG1472" i="1"/>
  <c r="AF1608" i="1"/>
  <c r="AD1602" i="1"/>
  <c r="AE1602" i="1"/>
  <c r="AF1602" i="1"/>
  <c r="AD1598" i="1"/>
  <c r="AG1598" i="1"/>
  <c r="AD1592" i="1"/>
  <c r="AF1592" i="1"/>
  <c r="AG1592" i="1"/>
  <c r="AF1584" i="1"/>
  <c r="AE1563" i="1"/>
  <c r="AF1563" i="1"/>
  <c r="AG1563" i="1"/>
  <c r="AE1527" i="1"/>
  <c r="AF1527" i="1"/>
  <c r="AG1527" i="1"/>
  <c r="AE1491" i="1"/>
  <c r="AF1491" i="1"/>
  <c r="AG1491" i="1"/>
  <c r="AE1455" i="1"/>
  <c r="AF1455" i="1"/>
  <c r="AG1455" i="1"/>
  <c r="AG1445" i="1"/>
  <c r="AD1445" i="1"/>
  <c r="AD1508" i="1"/>
  <c r="AE1508" i="1"/>
  <c r="AF1508" i="1"/>
  <c r="AG1508" i="1"/>
  <c r="AG1625" i="1"/>
  <c r="AD1625" i="1"/>
  <c r="AD1424" i="1"/>
  <c r="G1422" i="4" s="1"/>
  <c r="AE1424" i="1"/>
  <c r="H1422" i="4" s="1"/>
  <c r="AF1424" i="1"/>
  <c r="I1422" i="4" s="1"/>
  <c r="AG1424" i="1"/>
  <c r="J1422" i="4" s="1"/>
  <c r="AE1395" i="1"/>
  <c r="H1393" i="4" s="1"/>
  <c r="AF1395" i="1"/>
  <c r="I1393" i="4" s="1"/>
  <c r="AG1395" i="1"/>
  <c r="J1393" i="4" s="1"/>
  <c r="AD1340" i="1"/>
  <c r="G1338" i="4" s="1"/>
  <c r="AE1340" i="1"/>
  <c r="H1338" i="4" s="1"/>
  <c r="AF1340" i="1"/>
  <c r="I1338" i="4" s="1"/>
  <c r="AG1340" i="1"/>
  <c r="J1338" i="4" s="1"/>
  <c r="AD1316" i="1"/>
  <c r="G1314" i="4" s="1"/>
  <c r="AE1316" i="1"/>
  <c r="H1314" i="4" s="1"/>
  <c r="AF1316" i="1"/>
  <c r="I1314" i="4" s="1"/>
  <c r="AG1316" i="1"/>
  <c r="J1314" i="4" s="1"/>
  <c r="AD1292" i="1"/>
  <c r="G1290" i="4" s="1"/>
  <c r="AE1292" i="1"/>
  <c r="H1290" i="4" s="1"/>
  <c r="AF1292" i="1"/>
  <c r="I1290" i="4" s="1"/>
  <c r="AG1292" i="1"/>
  <c r="J1290" i="4" s="1"/>
  <c r="AD1268" i="1"/>
  <c r="G1266" i="4" s="1"/>
  <c r="AE1268" i="1"/>
  <c r="H1266" i="4" s="1"/>
  <c r="AF1268" i="1"/>
  <c r="I1266" i="4" s="1"/>
  <c r="AG1268" i="1"/>
  <c r="J1266" i="4" s="1"/>
  <c r="AD1244" i="1"/>
  <c r="G1242" i="4" s="1"/>
  <c r="AE1244" i="1"/>
  <c r="H1242" i="4" s="1"/>
  <c r="AF1244" i="1"/>
  <c r="I1242" i="4" s="1"/>
  <c r="AG1244" i="1"/>
  <c r="J1242" i="4" s="1"/>
  <c r="AD1220" i="1"/>
  <c r="G1218" i="4" s="1"/>
  <c r="AE1220" i="1"/>
  <c r="H1218" i="4" s="1"/>
  <c r="AF1220" i="1"/>
  <c r="I1218" i="4" s="1"/>
  <c r="AG1220" i="1"/>
  <c r="J1218" i="4" s="1"/>
  <c r="AD1590" i="1"/>
  <c r="AE1590" i="1"/>
  <c r="AF1590" i="1"/>
  <c r="AG1590" i="1"/>
  <c r="AD156" i="1"/>
  <c r="G154" i="4" s="1"/>
  <c r="AE156" i="1"/>
  <c r="H154" i="4" s="1"/>
  <c r="AF156" i="1"/>
  <c r="I154" i="4" s="1"/>
  <c r="AG156" i="1"/>
  <c r="J154" i="4" s="1"/>
  <c r="AG148" i="1"/>
  <c r="J146" i="4" s="1"/>
  <c r="AG136" i="1"/>
  <c r="J134" i="4" s="1"/>
  <c r="AF153" i="1"/>
  <c r="I151" i="4" s="1"/>
  <c r="AD1232" i="1"/>
  <c r="G1230" i="4" s="1"/>
  <c r="AE1232" i="1"/>
  <c r="H1230" i="4" s="1"/>
  <c r="AF1232" i="1"/>
  <c r="I1230" i="4" s="1"/>
  <c r="AG1232" i="1"/>
  <c r="J1230" i="4" s="1"/>
  <c r="AG1808" i="1"/>
  <c r="AG1796" i="1"/>
  <c r="AG1784" i="1"/>
  <c r="AG1772" i="1"/>
  <c r="AG1760" i="1"/>
  <c r="AG1748" i="1"/>
  <c r="AG1736" i="1"/>
  <c r="AG1724" i="1"/>
  <c r="AG1712" i="1"/>
  <c r="AG1700" i="1"/>
  <c r="AG1688" i="1"/>
  <c r="AG1676" i="1"/>
  <c r="AG1664" i="1"/>
  <c r="AG1652" i="1"/>
  <c r="AG1640" i="1"/>
  <c r="AD1628" i="1"/>
  <c r="AF1628" i="1"/>
  <c r="AE1611" i="1"/>
  <c r="AG1611" i="1"/>
  <c r="AG1577" i="1"/>
  <c r="AD1577" i="1"/>
  <c r="AD1556" i="1"/>
  <c r="AE1556" i="1"/>
  <c r="AF1556" i="1"/>
  <c r="AG1556" i="1"/>
  <c r="AD1520" i="1"/>
  <c r="AE1520" i="1"/>
  <c r="AF1520" i="1"/>
  <c r="AG1520" i="1"/>
  <c r="AD1484" i="1"/>
  <c r="AE1484" i="1"/>
  <c r="AF1484" i="1"/>
  <c r="AG1484" i="1"/>
  <c r="AD1364" i="1"/>
  <c r="G1362" i="4" s="1"/>
  <c r="AE1364" i="1"/>
  <c r="H1362" i="4" s="1"/>
  <c r="AF1364" i="1"/>
  <c r="I1362" i="4" s="1"/>
  <c r="AG1364" i="1"/>
  <c r="J1362" i="4" s="1"/>
  <c r="AG1163" i="1"/>
  <c r="J1161" i="4" s="1"/>
  <c r="AD1163" i="1"/>
  <c r="G1161" i="4" s="1"/>
  <c r="AE1163" i="1"/>
  <c r="H1161" i="4" s="1"/>
  <c r="AF1163" i="1"/>
  <c r="I1161" i="4" s="1"/>
  <c r="AE1623" i="1"/>
  <c r="AG1623" i="1"/>
  <c r="AD1256" i="1"/>
  <c r="G1254" i="4" s="1"/>
  <c r="AE1256" i="1"/>
  <c r="H1254" i="4" s="1"/>
  <c r="AF1256" i="1"/>
  <c r="I1254" i="4" s="1"/>
  <c r="AG1256" i="1"/>
  <c r="J1254" i="4" s="1"/>
  <c r="AG1815" i="1"/>
  <c r="AF1808" i="1"/>
  <c r="AG1803" i="1"/>
  <c r="AF1796" i="1"/>
  <c r="AG1791" i="1"/>
  <c r="AF1784" i="1"/>
  <c r="AG1779" i="1"/>
  <c r="AF1772" i="1"/>
  <c r="AG1767" i="1"/>
  <c r="AF1760" i="1"/>
  <c r="AG1755" i="1"/>
  <c r="AF1748" i="1"/>
  <c r="AG1743" i="1"/>
  <c r="AF1736" i="1"/>
  <c r="AG1731" i="1"/>
  <c r="AF1724" i="1"/>
  <c r="AG1719" i="1"/>
  <c r="AF1712" i="1"/>
  <c r="AG1707" i="1"/>
  <c r="AF1700" i="1"/>
  <c r="AG1695" i="1"/>
  <c r="AF1688" i="1"/>
  <c r="AG1683" i="1"/>
  <c r="AF1676" i="1"/>
  <c r="AG1671" i="1"/>
  <c r="AF1664" i="1"/>
  <c r="AG1659" i="1"/>
  <c r="AF1652" i="1"/>
  <c r="AG1647" i="1"/>
  <c r="AF1640" i="1"/>
  <c r="AG1635" i="1"/>
  <c r="AG1601" i="1"/>
  <c r="AD1601" i="1"/>
  <c r="AE1587" i="1"/>
  <c r="AG1587" i="1"/>
  <c r="AG1541" i="1"/>
  <c r="AD1541" i="1"/>
  <c r="AG1505" i="1"/>
  <c r="AD1505" i="1"/>
  <c r="AG1469" i="1"/>
  <c r="AD1469" i="1"/>
  <c r="AD1448" i="1"/>
  <c r="AE1448" i="1"/>
  <c r="AF1448" i="1"/>
  <c r="AG1448" i="1"/>
  <c r="AE1419" i="1"/>
  <c r="H1417" i="4" s="1"/>
  <c r="AF1419" i="1"/>
  <c r="I1417" i="4" s="1"/>
  <c r="AG1419" i="1"/>
  <c r="J1417" i="4" s="1"/>
  <c r="AE1335" i="1"/>
  <c r="H1333" i="4" s="1"/>
  <c r="AF1335" i="1"/>
  <c r="I1333" i="4" s="1"/>
  <c r="AG1335" i="1"/>
  <c r="J1333" i="4" s="1"/>
  <c r="AE1311" i="1"/>
  <c r="H1309" i="4" s="1"/>
  <c r="AF1311" i="1"/>
  <c r="I1309" i="4" s="1"/>
  <c r="AG1311" i="1"/>
  <c r="J1309" i="4" s="1"/>
  <c r="AE1287" i="1"/>
  <c r="H1285" i="4" s="1"/>
  <c r="AF1287" i="1"/>
  <c r="I1285" i="4" s="1"/>
  <c r="AG1287" i="1"/>
  <c r="J1285" i="4" s="1"/>
  <c r="AE1263" i="1"/>
  <c r="H1261" i="4" s="1"/>
  <c r="AF1263" i="1"/>
  <c r="I1261" i="4" s="1"/>
  <c r="AG1263" i="1"/>
  <c r="J1261" i="4" s="1"/>
  <c r="AE1239" i="1"/>
  <c r="H1237" i="4" s="1"/>
  <c r="AF1239" i="1"/>
  <c r="I1237" i="4" s="1"/>
  <c r="AG1239" i="1"/>
  <c r="J1237" i="4" s="1"/>
  <c r="AE1215" i="1"/>
  <c r="H1213" i="4" s="1"/>
  <c r="AF1215" i="1"/>
  <c r="I1213" i="4" s="1"/>
  <c r="AG1215" i="1"/>
  <c r="J1213" i="4" s="1"/>
  <c r="AD1179" i="1"/>
  <c r="G1177" i="4" s="1"/>
  <c r="AE1179" i="1"/>
  <c r="H1177" i="4" s="1"/>
  <c r="AF1179" i="1"/>
  <c r="I1177" i="4" s="1"/>
  <c r="AG1179" i="1"/>
  <c r="J1177" i="4" s="1"/>
  <c r="AG1565" i="1"/>
  <c r="AD1565" i="1"/>
  <c r="AG1493" i="1"/>
  <c r="AD1493" i="1"/>
  <c r="AD1280" i="1"/>
  <c r="G1278" i="4" s="1"/>
  <c r="AE1280" i="1"/>
  <c r="H1278" i="4" s="1"/>
  <c r="AF1280" i="1"/>
  <c r="I1278" i="4" s="1"/>
  <c r="AG1280" i="1"/>
  <c r="J1278" i="4" s="1"/>
  <c r="AE517" i="1"/>
  <c r="H515" i="4" s="1"/>
  <c r="AF517" i="1"/>
  <c r="I515" i="4" s="1"/>
  <c r="AG517" i="1"/>
  <c r="J515" i="4" s="1"/>
  <c r="AD517" i="1"/>
  <c r="G515" i="4" s="1"/>
  <c r="AD314" i="1"/>
  <c r="G312" i="4" s="1"/>
  <c r="AE314" i="1"/>
  <c r="H312" i="4" s="1"/>
  <c r="AF314" i="1"/>
  <c r="I312" i="4" s="1"/>
  <c r="AG314" i="1"/>
  <c r="J312" i="4" s="1"/>
  <c r="AF1815" i="1"/>
  <c r="AG1810" i="1"/>
  <c r="AE1808" i="1"/>
  <c r="AF1803" i="1"/>
  <c r="AG1798" i="1"/>
  <c r="AE1796" i="1"/>
  <c r="AF1791" i="1"/>
  <c r="AG1786" i="1"/>
  <c r="AE1784" i="1"/>
  <c r="AF1779" i="1"/>
  <c r="AG1774" i="1"/>
  <c r="AE1772" i="1"/>
  <c r="AF1767" i="1"/>
  <c r="AG1762" i="1"/>
  <c r="AE1760" i="1"/>
  <c r="AF1755" i="1"/>
  <c r="AG1750" i="1"/>
  <c r="AE1748" i="1"/>
  <c r="AF1743" i="1"/>
  <c r="AG1738" i="1"/>
  <c r="AE1736" i="1"/>
  <c r="AF1731" i="1"/>
  <c r="AG1726" i="1"/>
  <c r="AE1724" i="1"/>
  <c r="AF1719" i="1"/>
  <c r="AG1714" i="1"/>
  <c r="AE1712" i="1"/>
  <c r="AF1707" i="1"/>
  <c r="AG1702" i="1"/>
  <c r="AE1700" i="1"/>
  <c r="AF1695" i="1"/>
  <c r="AG1690" i="1"/>
  <c r="AE1688" i="1"/>
  <c r="AF1683" i="1"/>
  <c r="AG1678" i="1"/>
  <c r="AE1676" i="1"/>
  <c r="AF1671" i="1"/>
  <c r="AG1666" i="1"/>
  <c r="AE1664" i="1"/>
  <c r="AF1659" i="1"/>
  <c r="AG1654" i="1"/>
  <c r="AE1652" i="1"/>
  <c r="AF1647" i="1"/>
  <c r="AG1642" i="1"/>
  <c r="AE1640" i="1"/>
  <c r="AF1635" i="1"/>
  <c r="AG1630" i="1"/>
  <c r="AG1620" i="1"/>
  <c r="AD1566" i="1"/>
  <c r="AE1566" i="1"/>
  <c r="AF1566" i="1"/>
  <c r="AG1566" i="1"/>
  <c r="AE1551" i="1"/>
  <c r="AF1551" i="1"/>
  <c r="AG1551" i="1"/>
  <c r="AE1515" i="1"/>
  <c r="AF1515" i="1"/>
  <c r="AG1515" i="1"/>
  <c r="AE1479" i="1"/>
  <c r="AF1479" i="1"/>
  <c r="AG1479" i="1"/>
  <c r="AD1388" i="1"/>
  <c r="G1386" i="4" s="1"/>
  <c r="AE1388" i="1"/>
  <c r="H1386" i="4" s="1"/>
  <c r="AF1388" i="1"/>
  <c r="I1386" i="4" s="1"/>
  <c r="AG1388" i="1"/>
  <c r="J1386" i="4" s="1"/>
  <c r="AE1359" i="1"/>
  <c r="H1357" i="4" s="1"/>
  <c r="AF1359" i="1"/>
  <c r="I1357" i="4" s="1"/>
  <c r="AG1359" i="1"/>
  <c r="J1357" i="4" s="1"/>
  <c r="AD1412" i="1"/>
  <c r="G1410" i="4" s="1"/>
  <c r="AE1412" i="1"/>
  <c r="H1410" i="4" s="1"/>
  <c r="AF1412" i="1"/>
  <c r="I1410" i="4" s="1"/>
  <c r="AG1412" i="1"/>
  <c r="J1410" i="4" s="1"/>
  <c r="AD1195" i="1"/>
  <c r="G1193" i="4" s="1"/>
  <c r="AE1195" i="1"/>
  <c r="H1193" i="4" s="1"/>
  <c r="AF1195" i="1"/>
  <c r="I1193" i="4" s="1"/>
  <c r="AG1195" i="1"/>
  <c r="J1193" i="4" s="1"/>
  <c r="AD1208" i="1"/>
  <c r="G1206" i="4" s="1"/>
  <c r="AE1208" i="1"/>
  <c r="H1206" i="4" s="1"/>
  <c r="AF1208" i="1"/>
  <c r="I1206" i="4" s="1"/>
  <c r="AG1208" i="1"/>
  <c r="J1206" i="4" s="1"/>
  <c r="AE731" i="1"/>
  <c r="H729" i="4" s="1"/>
  <c r="AF731" i="1"/>
  <c r="I729" i="4" s="1"/>
  <c r="AG731" i="1"/>
  <c r="J729" i="4" s="1"/>
  <c r="AD731" i="1"/>
  <c r="G729" i="4" s="1"/>
  <c r="AD510" i="1"/>
  <c r="G508" i="4" s="1"/>
  <c r="AE510" i="1"/>
  <c r="H508" i="4" s="1"/>
  <c r="AF510" i="1"/>
  <c r="I508" i="4" s="1"/>
  <c r="AG510" i="1"/>
  <c r="J508" i="4" s="1"/>
  <c r="AD302" i="1"/>
  <c r="G300" i="4" s="1"/>
  <c r="AE302" i="1"/>
  <c r="H300" i="4" s="1"/>
  <c r="AF302" i="1"/>
  <c r="I300" i="4" s="1"/>
  <c r="AG302" i="1"/>
  <c r="J300" i="4" s="1"/>
  <c r="AD154" i="1"/>
  <c r="G152" i="4" s="1"/>
  <c r="AE1630" i="1"/>
  <c r="AF1623" i="1"/>
  <c r="AF1620" i="1"/>
  <c r="AD1614" i="1"/>
  <c r="AE1614" i="1"/>
  <c r="AF1614" i="1"/>
  <c r="AD1610" i="1"/>
  <c r="AG1610" i="1"/>
  <c r="AD1604" i="1"/>
  <c r="AF1604" i="1"/>
  <c r="AG1604" i="1"/>
  <c r="AD1580" i="1"/>
  <c r="AF1580" i="1"/>
  <c r="AG1580" i="1"/>
  <c r="AF1565" i="1"/>
  <c r="AF1529" i="1"/>
  <c r="AF1493" i="1"/>
  <c r="AF1457" i="1"/>
  <c r="AE1443" i="1"/>
  <c r="AF1443" i="1"/>
  <c r="AG1443" i="1"/>
  <c r="AG1433" i="1"/>
  <c r="AD1433" i="1"/>
  <c r="AD1383" i="1"/>
  <c r="G1381" i="4" s="1"/>
  <c r="AD1166" i="1"/>
  <c r="G1164" i="4" s="1"/>
  <c r="AE1166" i="1"/>
  <c r="H1164" i="4" s="1"/>
  <c r="AF1166" i="1"/>
  <c r="I1164" i="4" s="1"/>
  <c r="AG1166" i="1"/>
  <c r="J1164" i="4" s="1"/>
  <c r="AG1586" i="1"/>
  <c r="AG1574" i="1"/>
  <c r="AG1562" i="1"/>
  <c r="AG1550" i="1"/>
  <c r="AG1538" i="1"/>
  <c r="AG1526" i="1"/>
  <c r="AG1514" i="1"/>
  <c r="AG1502" i="1"/>
  <c r="AG1490" i="1"/>
  <c r="AG1478" i="1"/>
  <c r="AG1466" i="1"/>
  <c r="AG1454" i="1"/>
  <c r="AG1442" i="1"/>
  <c r="AG1430" i="1"/>
  <c r="J1428" i="4" s="1"/>
  <c r="AD1421" i="1"/>
  <c r="G1419" i="4" s="1"/>
  <c r="AG1418" i="1"/>
  <c r="J1416" i="4" s="1"/>
  <c r="AD1409" i="1"/>
  <c r="G1407" i="4" s="1"/>
  <c r="AG1406" i="1"/>
  <c r="J1404" i="4" s="1"/>
  <c r="AD1397" i="1"/>
  <c r="G1395" i="4" s="1"/>
  <c r="AG1394" i="1"/>
  <c r="J1392" i="4" s="1"/>
  <c r="AD1385" i="1"/>
  <c r="G1383" i="4" s="1"/>
  <c r="AG1382" i="1"/>
  <c r="J1380" i="4" s="1"/>
  <c r="AD1373" i="1"/>
  <c r="G1371" i="4" s="1"/>
  <c r="AG1370" i="1"/>
  <c r="J1368" i="4" s="1"/>
  <c r="AD1361" i="1"/>
  <c r="G1359" i="4" s="1"/>
  <c r="AG1358" i="1"/>
  <c r="J1356" i="4" s="1"/>
  <c r="AD1349" i="1"/>
  <c r="G1347" i="4" s="1"/>
  <c r="AD1337" i="1"/>
  <c r="G1335" i="4" s="1"/>
  <c r="AD1325" i="1"/>
  <c r="G1323" i="4" s="1"/>
  <c r="AD1313" i="1"/>
  <c r="G1311" i="4" s="1"/>
  <c r="AD1301" i="1"/>
  <c r="G1299" i="4" s="1"/>
  <c r="AD1289" i="1"/>
  <c r="G1287" i="4" s="1"/>
  <c r="AD1277" i="1"/>
  <c r="G1275" i="4" s="1"/>
  <c r="AD1265" i="1"/>
  <c r="G1263" i="4" s="1"/>
  <c r="AD1253" i="1"/>
  <c r="G1251" i="4" s="1"/>
  <c r="AD1241" i="1"/>
  <c r="G1239" i="4" s="1"/>
  <c r="AD1229" i="1"/>
  <c r="G1227" i="4" s="1"/>
  <c r="AD1217" i="1"/>
  <c r="G1215" i="4" s="1"/>
  <c r="AF1207" i="1"/>
  <c r="I1205" i="4" s="1"/>
  <c r="AD1202" i="1"/>
  <c r="G1200" i="4" s="1"/>
  <c r="AD1197" i="1"/>
  <c r="G1195" i="4" s="1"/>
  <c r="AE1165" i="1"/>
  <c r="H1163" i="4" s="1"/>
  <c r="AF1155" i="1"/>
  <c r="I1153" i="4" s="1"/>
  <c r="AD1134" i="1"/>
  <c r="G1132" i="4" s="1"/>
  <c r="AE1134" i="1"/>
  <c r="H1132" i="4" s="1"/>
  <c r="AE1089" i="1"/>
  <c r="H1087" i="4" s="1"/>
  <c r="AF1089" i="1"/>
  <c r="I1087" i="4" s="1"/>
  <c r="AG1089" i="1"/>
  <c r="J1087" i="4" s="1"/>
  <c r="AE1041" i="1"/>
  <c r="H1039" i="4" s="1"/>
  <c r="AF1041" i="1"/>
  <c r="I1039" i="4" s="1"/>
  <c r="AG1041" i="1"/>
  <c r="J1039" i="4" s="1"/>
  <c r="AD972" i="1"/>
  <c r="G970" i="4" s="1"/>
  <c r="AE972" i="1"/>
  <c r="H970" i="4" s="1"/>
  <c r="AF972" i="1"/>
  <c r="I970" i="4" s="1"/>
  <c r="AD959" i="1"/>
  <c r="G957" i="4" s="1"/>
  <c r="AF959" i="1"/>
  <c r="I957" i="4" s="1"/>
  <c r="AE959" i="1"/>
  <c r="H957" i="4" s="1"/>
  <c r="AG959" i="1"/>
  <c r="J957" i="4" s="1"/>
  <c r="AD1178" i="1"/>
  <c r="G1176" i="4" s="1"/>
  <c r="AE1178" i="1"/>
  <c r="H1176" i="4" s="1"/>
  <c r="AG1175" i="1"/>
  <c r="J1173" i="4" s="1"/>
  <c r="AD1175" i="1"/>
  <c r="G1173" i="4" s="1"/>
  <c r="AE1137" i="1"/>
  <c r="H1135" i="4" s="1"/>
  <c r="AF1137" i="1"/>
  <c r="I1135" i="4" s="1"/>
  <c r="AG1137" i="1"/>
  <c r="J1135" i="4" s="1"/>
  <c r="AD1118" i="1"/>
  <c r="G1116" i="4" s="1"/>
  <c r="AE1118" i="1"/>
  <c r="H1116" i="4" s="1"/>
  <c r="AF1118" i="1"/>
  <c r="I1116" i="4" s="1"/>
  <c r="AG1118" i="1"/>
  <c r="J1116" i="4" s="1"/>
  <c r="AD1070" i="1"/>
  <c r="G1068" i="4" s="1"/>
  <c r="AE1070" i="1"/>
  <c r="H1068" i="4" s="1"/>
  <c r="AF1070" i="1"/>
  <c r="I1068" i="4" s="1"/>
  <c r="AG1070" i="1"/>
  <c r="J1068" i="4" s="1"/>
  <c r="AD1022" i="1"/>
  <c r="G1020" i="4" s="1"/>
  <c r="AE1022" i="1"/>
  <c r="H1020" i="4" s="1"/>
  <c r="AF1022" i="1"/>
  <c r="I1020" i="4" s="1"/>
  <c r="AG1022" i="1"/>
  <c r="J1020" i="4" s="1"/>
  <c r="AF1624" i="1"/>
  <c r="AF1612" i="1"/>
  <c r="AF1600" i="1"/>
  <c r="AF1588" i="1"/>
  <c r="AF1576" i="1"/>
  <c r="AF1564" i="1"/>
  <c r="AF1552" i="1"/>
  <c r="AF1540" i="1"/>
  <c r="AF1528" i="1"/>
  <c r="AF1516" i="1"/>
  <c r="AF1504" i="1"/>
  <c r="AF1492" i="1"/>
  <c r="AF1480" i="1"/>
  <c r="AF1468" i="1"/>
  <c r="AF1456" i="1"/>
  <c r="AF1444" i="1"/>
  <c r="AF1432" i="1"/>
  <c r="AF1420" i="1"/>
  <c r="I1418" i="4" s="1"/>
  <c r="AF1408" i="1"/>
  <c r="I1406" i="4" s="1"/>
  <c r="AF1396" i="1"/>
  <c r="I1394" i="4" s="1"/>
  <c r="AF1384" i="1"/>
  <c r="I1382" i="4" s="1"/>
  <c r="AF1372" i="1"/>
  <c r="I1370" i="4" s="1"/>
  <c r="AF1360" i="1"/>
  <c r="I1358" i="4" s="1"/>
  <c r="AF1348" i="1"/>
  <c r="I1346" i="4" s="1"/>
  <c r="AF1336" i="1"/>
  <c r="I1334" i="4" s="1"/>
  <c r="AF1324" i="1"/>
  <c r="I1322" i="4" s="1"/>
  <c r="AF1312" i="1"/>
  <c r="I1310" i="4" s="1"/>
  <c r="AF1300" i="1"/>
  <c r="I1298" i="4" s="1"/>
  <c r="AF1288" i="1"/>
  <c r="I1286" i="4" s="1"/>
  <c r="AF1276" i="1"/>
  <c r="I1274" i="4" s="1"/>
  <c r="AF1264" i="1"/>
  <c r="I1262" i="4" s="1"/>
  <c r="AF1252" i="1"/>
  <c r="I1250" i="4" s="1"/>
  <c r="AF1240" i="1"/>
  <c r="I1238" i="4" s="1"/>
  <c r="AF1228" i="1"/>
  <c r="I1226" i="4" s="1"/>
  <c r="AF1216" i="1"/>
  <c r="I1214" i="4" s="1"/>
  <c r="AD1204" i="1"/>
  <c r="G1202" i="4" s="1"/>
  <c r="AF1201" i="1"/>
  <c r="I1199" i="4" s="1"/>
  <c r="AF1196" i="1"/>
  <c r="I1194" i="4" s="1"/>
  <c r="AD1158" i="1"/>
  <c r="G1156" i="4" s="1"/>
  <c r="AD1154" i="1"/>
  <c r="G1152" i="4" s="1"/>
  <c r="AE1154" i="1"/>
  <c r="H1152" i="4" s="1"/>
  <c r="AF1154" i="1"/>
  <c r="I1152" i="4" s="1"/>
  <c r="AG1154" i="1"/>
  <c r="J1152" i="4" s="1"/>
  <c r="AG1151" i="1"/>
  <c r="J1149" i="4" s="1"/>
  <c r="AD1151" i="1"/>
  <c r="G1149" i="4" s="1"/>
  <c r="AE1125" i="1"/>
  <c r="H1123" i="4" s="1"/>
  <c r="AF1125" i="1"/>
  <c r="I1123" i="4" s="1"/>
  <c r="AG1125" i="1"/>
  <c r="J1123" i="4" s="1"/>
  <c r="AE1077" i="1"/>
  <c r="H1075" i="4" s="1"/>
  <c r="AF1077" i="1"/>
  <c r="I1075" i="4" s="1"/>
  <c r="AG1077" i="1"/>
  <c r="J1075" i="4" s="1"/>
  <c r="AE1029" i="1"/>
  <c r="H1027" i="4" s="1"/>
  <c r="AF1029" i="1"/>
  <c r="I1027" i="4" s="1"/>
  <c r="AG1029" i="1"/>
  <c r="J1027" i="4" s="1"/>
  <c r="AD1010" i="1"/>
  <c r="G1008" i="4" s="1"/>
  <c r="AE1010" i="1"/>
  <c r="H1008" i="4" s="1"/>
  <c r="AF1010" i="1"/>
  <c r="I1008" i="4" s="1"/>
  <c r="AG1010" i="1"/>
  <c r="J1008" i="4" s="1"/>
  <c r="AD900" i="1"/>
  <c r="G898" i="4" s="1"/>
  <c r="AE900" i="1"/>
  <c r="H898" i="4" s="1"/>
  <c r="AF900" i="1"/>
  <c r="I898" i="4" s="1"/>
  <c r="AG900" i="1"/>
  <c r="J898" i="4" s="1"/>
  <c r="AG1554" i="1"/>
  <c r="AG1542" i="1"/>
  <c r="AG1530" i="1"/>
  <c r="AG1518" i="1"/>
  <c r="AG1506" i="1"/>
  <c r="AG1494" i="1"/>
  <c r="AG1482" i="1"/>
  <c r="AG1470" i="1"/>
  <c r="AG1458" i="1"/>
  <c r="AG1446" i="1"/>
  <c r="AG1434" i="1"/>
  <c r="AG1422" i="1"/>
  <c r="J1420" i="4" s="1"/>
  <c r="AG1410" i="1"/>
  <c r="J1408" i="4" s="1"/>
  <c r="AG1398" i="1"/>
  <c r="J1396" i="4" s="1"/>
  <c r="AG1386" i="1"/>
  <c r="J1384" i="4" s="1"/>
  <c r="AG1374" i="1"/>
  <c r="J1372" i="4" s="1"/>
  <c r="AG1362" i="1"/>
  <c r="J1360" i="4" s="1"/>
  <c r="AG1350" i="1"/>
  <c r="J1348" i="4" s="1"/>
  <c r="AG1338" i="1"/>
  <c r="J1336" i="4" s="1"/>
  <c r="AG1326" i="1"/>
  <c r="J1324" i="4" s="1"/>
  <c r="AG1314" i="1"/>
  <c r="J1312" i="4" s="1"/>
  <c r="AG1302" i="1"/>
  <c r="J1300" i="4" s="1"/>
  <c r="AG1290" i="1"/>
  <c r="J1288" i="4" s="1"/>
  <c r="AG1278" i="1"/>
  <c r="J1276" i="4" s="1"/>
  <c r="AG1266" i="1"/>
  <c r="J1264" i="4" s="1"/>
  <c r="AG1254" i="1"/>
  <c r="J1252" i="4" s="1"/>
  <c r="AG1242" i="1"/>
  <c r="J1240" i="4" s="1"/>
  <c r="AG1230" i="1"/>
  <c r="J1228" i="4" s="1"/>
  <c r="AG1218" i="1"/>
  <c r="J1216" i="4" s="1"/>
  <c r="AG1193" i="1"/>
  <c r="J1191" i="4" s="1"/>
  <c r="AE1161" i="1"/>
  <c r="H1159" i="4" s="1"/>
  <c r="AF1161" i="1"/>
  <c r="I1159" i="4" s="1"/>
  <c r="AG1161" i="1"/>
  <c r="J1159" i="4" s="1"/>
  <c r="AD1106" i="1"/>
  <c r="G1104" i="4" s="1"/>
  <c r="AE1106" i="1"/>
  <c r="H1104" i="4" s="1"/>
  <c r="AF1106" i="1"/>
  <c r="I1104" i="4" s="1"/>
  <c r="AG1106" i="1"/>
  <c r="J1104" i="4" s="1"/>
  <c r="AD1058" i="1"/>
  <c r="G1056" i="4" s="1"/>
  <c r="AE1058" i="1"/>
  <c r="H1056" i="4" s="1"/>
  <c r="AF1058" i="1"/>
  <c r="I1056" i="4" s="1"/>
  <c r="AG1058" i="1"/>
  <c r="J1056" i="4" s="1"/>
  <c r="AF1554" i="1"/>
  <c r="AF1542" i="1"/>
  <c r="AF1530" i="1"/>
  <c r="AF1518" i="1"/>
  <c r="AF1506" i="1"/>
  <c r="AF1494" i="1"/>
  <c r="AF1482" i="1"/>
  <c r="AF1470" i="1"/>
  <c r="AF1458" i="1"/>
  <c r="AF1446" i="1"/>
  <c r="AF1434" i="1"/>
  <c r="AF1422" i="1"/>
  <c r="I1420" i="4" s="1"/>
  <c r="AF1410" i="1"/>
  <c r="I1408" i="4" s="1"/>
  <c r="AF1398" i="1"/>
  <c r="I1396" i="4" s="1"/>
  <c r="AF1386" i="1"/>
  <c r="I1384" i="4" s="1"/>
  <c r="AF1374" i="1"/>
  <c r="I1372" i="4" s="1"/>
  <c r="AF1362" i="1"/>
  <c r="I1360" i="4" s="1"/>
  <c r="AF1350" i="1"/>
  <c r="I1348" i="4" s="1"/>
  <c r="AF1338" i="1"/>
  <c r="I1336" i="4" s="1"/>
  <c r="AF1326" i="1"/>
  <c r="I1324" i="4" s="1"/>
  <c r="AF1314" i="1"/>
  <c r="I1312" i="4" s="1"/>
  <c r="AF1302" i="1"/>
  <c r="I1300" i="4" s="1"/>
  <c r="AF1290" i="1"/>
  <c r="I1288" i="4" s="1"/>
  <c r="AF1278" i="1"/>
  <c r="I1276" i="4" s="1"/>
  <c r="AF1266" i="1"/>
  <c r="I1264" i="4" s="1"/>
  <c r="AF1254" i="1"/>
  <c r="I1252" i="4" s="1"/>
  <c r="AF1242" i="1"/>
  <c r="I1240" i="4" s="1"/>
  <c r="AF1230" i="1"/>
  <c r="I1228" i="4" s="1"/>
  <c r="AF1218" i="1"/>
  <c r="I1216" i="4" s="1"/>
  <c r="AF1193" i="1"/>
  <c r="I1191" i="4" s="1"/>
  <c r="AF1180" i="1"/>
  <c r="I1178" i="4" s="1"/>
  <c r="AG1180" i="1"/>
  <c r="J1178" i="4" s="1"/>
  <c r="AG1170" i="1"/>
  <c r="J1168" i="4" s="1"/>
  <c r="AE1017" i="1"/>
  <c r="H1015" i="4" s="1"/>
  <c r="AF1017" i="1"/>
  <c r="I1015" i="4" s="1"/>
  <c r="AG1017" i="1"/>
  <c r="J1015" i="4" s="1"/>
  <c r="AD998" i="1"/>
  <c r="G996" i="4" s="1"/>
  <c r="AE998" i="1"/>
  <c r="H996" i="4" s="1"/>
  <c r="AF998" i="1"/>
  <c r="I996" i="4" s="1"/>
  <c r="AG998" i="1"/>
  <c r="J996" i="4" s="1"/>
  <c r="AE978" i="1"/>
  <c r="H976" i="4" s="1"/>
  <c r="AF978" i="1"/>
  <c r="I976" i="4" s="1"/>
  <c r="AG978" i="1"/>
  <c r="J976" i="4" s="1"/>
  <c r="AG921" i="1"/>
  <c r="J919" i="4" s="1"/>
  <c r="AD921" i="1"/>
  <c r="G919" i="4" s="1"/>
  <c r="AF921" i="1"/>
  <c r="I919" i="4" s="1"/>
  <c r="AE1554" i="1"/>
  <c r="AE1542" i="1"/>
  <c r="AE1530" i="1"/>
  <c r="AE1518" i="1"/>
  <c r="AE1506" i="1"/>
  <c r="AE1494" i="1"/>
  <c r="AE1482" i="1"/>
  <c r="AE1470" i="1"/>
  <c r="AE1458" i="1"/>
  <c r="AE1446" i="1"/>
  <c r="AE1434" i="1"/>
  <c r="AE1422" i="1"/>
  <c r="H1420" i="4" s="1"/>
  <c r="AE1410" i="1"/>
  <c r="H1408" i="4" s="1"/>
  <c r="AE1398" i="1"/>
  <c r="H1396" i="4" s="1"/>
  <c r="AE1386" i="1"/>
  <c r="H1384" i="4" s="1"/>
  <c r="AE1374" i="1"/>
  <c r="H1372" i="4" s="1"/>
  <c r="AE1362" i="1"/>
  <c r="H1360" i="4" s="1"/>
  <c r="AE1350" i="1"/>
  <c r="H1348" i="4" s="1"/>
  <c r="AE1338" i="1"/>
  <c r="H1336" i="4" s="1"/>
  <c r="AE1326" i="1"/>
  <c r="H1324" i="4" s="1"/>
  <c r="AE1314" i="1"/>
  <c r="H1312" i="4" s="1"/>
  <c r="AE1302" i="1"/>
  <c r="H1300" i="4" s="1"/>
  <c r="AE1290" i="1"/>
  <c r="H1288" i="4" s="1"/>
  <c r="AE1278" i="1"/>
  <c r="H1276" i="4" s="1"/>
  <c r="AE1266" i="1"/>
  <c r="H1264" i="4" s="1"/>
  <c r="AE1254" i="1"/>
  <c r="H1252" i="4" s="1"/>
  <c r="AE1242" i="1"/>
  <c r="H1240" i="4" s="1"/>
  <c r="AE1230" i="1"/>
  <c r="H1228" i="4" s="1"/>
  <c r="AE1218" i="1"/>
  <c r="H1216" i="4" s="1"/>
  <c r="AE1193" i="1"/>
  <c r="H1191" i="4" s="1"/>
  <c r="AG1173" i="1"/>
  <c r="J1171" i="4" s="1"/>
  <c r="AF1170" i="1"/>
  <c r="I1168" i="4" s="1"/>
  <c r="AE1113" i="1"/>
  <c r="H1111" i="4" s="1"/>
  <c r="AF1113" i="1"/>
  <c r="I1111" i="4" s="1"/>
  <c r="AG1113" i="1"/>
  <c r="J1111" i="4" s="1"/>
  <c r="AE1065" i="1"/>
  <c r="H1063" i="4" s="1"/>
  <c r="AF1065" i="1"/>
  <c r="I1063" i="4" s="1"/>
  <c r="AG1065" i="1"/>
  <c r="J1063" i="4" s="1"/>
  <c r="AE931" i="1"/>
  <c r="H929" i="4" s="1"/>
  <c r="AF931" i="1"/>
  <c r="I929" i="4" s="1"/>
  <c r="AG931" i="1"/>
  <c r="J929" i="4" s="1"/>
  <c r="AE1185" i="1"/>
  <c r="H1183" i="4" s="1"/>
  <c r="AF1185" i="1"/>
  <c r="I1183" i="4" s="1"/>
  <c r="AD1170" i="1"/>
  <c r="G1168" i="4" s="1"/>
  <c r="AD1094" i="1"/>
  <c r="G1092" i="4" s="1"/>
  <c r="AE1094" i="1"/>
  <c r="H1092" i="4" s="1"/>
  <c r="AF1094" i="1"/>
  <c r="I1092" i="4" s="1"/>
  <c r="AG1094" i="1"/>
  <c r="J1092" i="4" s="1"/>
  <c r="AD1046" i="1"/>
  <c r="G1044" i="4" s="1"/>
  <c r="AE1046" i="1"/>
  <c r="H1044" i="4" s="1"/>
  <c r="AF1046" i="1"/>
  <c r="I1044" i="4" s="1"/>
  <c r="AG1046" i="1"/>
  <c r="J1044" i="4" s="1"/>
  <c r="AE1005" i="1"/>
  <c r="H1003" i="4" s="1"/>
  <c r="AF1005" i="1"/>
  <c r="I1003" i="4" s="1"/>
  <c r="AG1005" i="1"/>
  <c r="J1003" i="4" s="1"/>
  <c r="AD986" i="1"/>
  <c r="G984" i="4" s="1"/>
  <c r="AE986" i="1"/>
  <c r="H984" i="4" s="1"/>
  <c r="AF986" i="1"/>
  <c r="I984" i="4" s="1"/>
  <c r="AG986" i="1"/>
  <c r="J984" i="4" s="1"/>
  <c r="AG969" i="1"/>
  <c r="J967" i="4" s="1"/>
  <c r="AD969" i="1"/>
  <c r="G967" i="4" s="1"/>
  <c r="AE969" i="1"/>
  <c r="H967" i="4" s="1"/>
  <c r="AF969" i="1"/>
  <c r="I967" i="4" s="1"/>
  <c r="AG956" i="1"/>
  <c r="J954" i="4" s="1"/>
  <c r="AD956" i="1"/>
  <c r="G954" i="4" s="1"/>
  <c r="AE956" i="1"/>
  <c r="H954" i="4" s="1"/>
  <c r="AF956" i="1"/>
  <c r="I954" i="4" s="1"/>
  <c r="AE1173" i="1"/>
  <c r="H1171" i="4" s="1"/>
  <c r="AF1173" i="1"/>
  <c r="I1171" i="4" s="1"/>
  <c r="AD1142" i="1"/>
  <c r="G1140" i="4" s="1"/>
  <c r="AE1142" i="1"/>
  <c r="H1140" i="4" s="1"/>
  <c r="AF1142" i="1"/>
  <c r="I1140" i="4" s="1"/>
  <c r="AG1142" i="1"/>
  <c r="J1140" i="4" s="1"/>
  <c r="AF1192" i="1"/>
  <c r="I1190" i="4" s="1"/>
  <c r="AG1169" i="1"/>
  <c r="J1167" i="4" s="1"/>
  <c r="AE1149" i="1"/>
  <c r="H1147" i="4" s="1"/>
  <c r="AF1149" i="1"/>
  <c r="I1147" i="4" s="1"/>
  <c r="AG1149" i="1"/>
  <c r="J1147" i="4" s="1"/>
  <c r="AE1101" i="1"/>
  <c r="H1099" i="4" s="1"/>
  <c r="AF1101" i="1"/>
  <c r="I1099" i="4" s="1"/>
  <c r="AG1101" i="1"/>
  <c r="J1099" i="4" s="1"/>
  <c r="AE1053" i="1"/>
  <c r="H1051" i="4" s="1"/>
  <c r="AF1053" i="1"/>
  <c r="I1051" i="4" s="1"/>
  <c r="AG1053" i="1"/>
  <c r="J1051" i="4" s="1"/>
  <c r="AE993" i="1"/>
  <c r="H991" i="4" s="1"/>
  <c r="AF993" i="1"/>
  <c r="I991" i="4" s="1"/>
  <c r="AG993" i="1"/>
  <c r="J991" i="4" s="1"/>
  <c r="AD1139" i="1"/>
  <c r="G1137" i="4" s="1"/>
  <c r="AF1129" i="1"/>
  <c r="I1127" i="4" s="1"/>
  <c r="AD1127" i="1"/>
  <c r="G1125" i="4" s="1"/>
  <c r="AE1122" i="1"/>
  <c r="H1120" i="4" s="1"/>
  <c r="AF1117" i="1"/>
  <c r="I1115" i="4" s="1"/>
  <c r="AD1115" i="1"/>
  <c r="G1113" i="4" s="1"/>
  <c r="AE1110" i="1"/>
  <c r="H1108" i="4" s="1"/>
  <c r="AF1105" i="1"/>
  <c r="I1103" i="4" s="1"/>
  <c r="AD1103" i="1"/>
  <c r="G1101" i="4" s="1"/>
  <c r="AE1098" i="1"/>
  <c r="H1096" i="4" s="1"/>
  <c r="AF1093" i="1"/>
  <c r="I1091" i="4" s="1"/>
  <c r="AD1091" i="1"/>
  <c r="G1089" i="4" s="1"/>
  <c r="AE1086" i="1"/>
  <c r="H1084" i="4" s="1"/>
  <c r="AF1081" i="1"/>
  <c r="I1079" i="4" s="1"/>
  <c r="AD1079" i="1"/>
  <c r="G1077" i="4" s="1"/>
  <c r="AE1074" i="1"/>
  <c r="H1072" i="4" s="1"/>
  <c r="AF1069" i="1"/>
  <c r="I1067" i="4" s="1"/>
  <c r="AD1067" i="1"/>
  <c r="G1065" i="4" s="1"/>
  <c r="AE1062" i="1"/>
  <c r="H1060" i="4" s="1"/>
  <c r="AF1057" i="1"/>
  <c r="I1055" i="4" s="1"/>
  <c r="AD1055" i="1"/>
  <c r="G1053" i="4" s="1"/>
  <c r="AE1050" i="1"/>
  <c r="H1048" i="4" s="1"/>
  <c r="AF1045" i="1"/>
  <c r="I1043" i="4" s="1"/>
  <c r="AD1043" i="1"/>
  <c r="G1041" i="4" s="1"/>
  <c r="AE1038" i="1"/>
  <c r="H1036" i="4" s="1"/>
  <c r="AF1033" i="1"/>
  <c r="I1031" i="4" s="1"/>
  <c r="AD1031" i="1"/>
  <c r="G1029" i="4" s="1"/>
  <c r="AE1026" i="1"/>
  <c r="H1024" i="4" s="1"/>
  <c r="AF1021" i="1"/>
  <c r="I1019" i="4" s="1"/>
  <c r="AD1019" i="1"/>
  <c r="G1017" i="4" s="1"/>
  <c r="AE1014" i="1"/>
  <c r="H1012" i="4" s="1"/>
  <c r="AF1009" i="1"/>
  <c r="I1007" i="4" s="1"/>
  <c r="AD1007" i="1"/>
  <c r="G1005" i="4" s="1"/>
  <c r="AE1002" i="1"/>
  <c r="H1000" i="4" s="1"/>
  <c r="AF997" i="1"/>
  <c r="I995" i="4" s="1"/>
  <c r="AD995" i="1"/>
  <c r="G993" i="4" s="1"/>
  <c r="AE990" i="1"/>
  <c r="H988" i="4" s="1"/>
  <c r="AF985" i="1"/>
  <c r="I983" i="4" s="1"/>
  <c r="AE980" i="1"/>
  <c r="H978" i="4" s="1"/>
  <c r="AG977" i="1"/>
  <c r="J975" i="4" s="1"/>
  <c r="AD975" i="1"/>
  <c r="G973" i="4" s="1"/>
  <c r="AG971" i="1"/>
  <c r="J969" i="4" s="1"/>
  <c r="AE968" i="1"/>
  <c r="H966" i="4" s="1"/>
  <c r="AE955" i="1"/>
  <c r="H953" i="4" s="1"/>
  <c r="AF955" i="1"/>
  <c r="I953" i="4" s="1"/>
  <c r="AG955" i="1"/>
  <c r="J953" i="4" s="1"/>
  <c r="AG945" i="1"/>
  <c r="J943" i="4" s="1"/>
  <c r="AD945" i="1"/>
  <c r="G943" i="4" s="1"/>
  <c r="AD924" i="1"/>
  <c r="G922" i="4" s="1"/>
  <c r="AE924" i="1"/>
  <c r="H922" i="4" s="1"/>
  <c r="AF924" i="1"/>
  <c r="I922" i="4" s="1"/>
  <c r="AG924" i="1"/>
  <c r="J922" i="4" s="1"/>
  <c r="AE871" i="1"/>
  <c r="H869" i="4" s="1"/>
  <c r="AF871" i="1"/>
  <c r="I869" i="4" s="1"/>
  <c r="AG871" i="1"/>
  <c r="J869" i="4" s="1"/>
  <c r="AD864" i="1"/>
  <c r="G862" i="4" s="1"/>
  <c r="AE864" i="1"/>
  <c r="H862" i="4" s="1"/>
  <c r="AF864" i="1"/>
  <c r="I862" i="4" s="1"/>
  <c r="AG864" i="1"/>
  <c r="J862" i="4" s="1"/>
  <c r="AE835" i="1"/>
  <c r="H833" i="4" s="1"/>
  <c r="AF835" i="1"/>
  <c r="I833" i="4" s="1"/>
  <c r="AG835" i="1"/>
  <c r="J833" i="4" s="1"/>
  <c r="AD828" i="1"/>
  <c r="G826" i="4" s="1"/>
  <c r="AE828" i="1"/>
  <c r="H826" i="4" s="1"/>
  <c r="AF828" i="1"/>
  <c r="I826" i="4" s="1"/>
  <c r="AG828" i="1"/>
  <c r="J826" i="4" s="1"/>
  <c r="AE799" i="1"/>
  <c r="H797" i="4" s="1"/>
  <c r="AF799" i="1"/>
  <c r="I797" i="4" s="1"/>
  <c r="AG799" i="1"/>
  <c r="J797" i="4" s="1"/>
  <c r="AD792" i="1"/>
  <c r="G790" i="4" s="1"/>
  <c r="AE792" i="1"/>
  <c r="H790" i="4" s="1"/>
  <c r="AF792" i="1"/>
  <c r="I790" i="4" s="1"/>
  <c r="AG792" i="1"/>
  <c r="J790" i="4" s="1"/>
  <c r="AE763" i="1"/>
  <c r="H761" i="4" s="1"/>
  <c r="AF763" i="1"/>
  <c r="I761" i="4" s="1"/>
  <c r="AG763" i="1"/>
  <c r="J761" i="4" s="1"/>
  <c r="AE1129" i="1"/>
  <c r="H1127" i="4" s="1"/>
  <c r="AD980" i="1"/>
  <c r="G978" i="4" s="1"/>
  <c r="AF977" i="1"/>
  <c r="I975" i="4" s="1"/>
  <c r="AD968" i="1"/>
  <c r="G966" i="4" s="1"/>
  <c r="AD948" i="1"/>
  <c r="G946" i="4" s="1"/>
  <c r="AE948" i="1"/>
  <c r="H946" i="4" s="1"/>
  <c r="AF948" i="1"/>
  <c r="I946" i="4" s="1"/>
  <c r="AG948" i="1"/>
  <c r="J946" i="4" s="1"/>
  <c r="AD756" i="1"/>
  <c r="G754" i="4" s="1"/>
  <c r="AE756" i="1"/>
  <c r="H754" i="4" s="1"/>
  <c r="AF756" i="1"/>
  <c r="I754" i="4" s="1"/>
  <c r="AG756" i="1"/>
  <c r="J754" i="4" s="1"/>
  <c r="AF738" i="1"/>
  <c r="I736" i="4" s="1"/>
  <c r="AG738" i="1"/>
  <c r="J736" i="4" s="1"/>
  <c r="AE738" i="1"/>
  <c r="H736" i="4" s="1"/>
  <c r="AD971" i="1"/>
  <c r="G969" i="4" s="1"/>
  <c r="AF971" i="1"/>
  <c r="I969" i="4" s="1"/>
  <c r="AE895" i="1"/>
  <c r="H893" i="4" s="1"/>
  <c r="AF895" i="1"/>
  <c r="I893" i="4" s="1"/>
  <c r="AG895" i="1"/>
  <c r="J893" i="4" s="1"/>
  <c r="AE744" i="1"/>
  <c r="H742" i="4" s="1"/>
  <c r="AG744" i="1"/>
  <c r="J742" i="4" s="1"/>
  <c r="AF744" i="1"/>
  <c r="I742" i="4" s="1"/>
  <c r="AE613" i="1"/>
  <c r="H611" i="4" s="1"/>
  <c r="AF613" i="1"/>
  <c r="I611" i="4" s="1"/>
  <c r="AG613" i="1"/>
  <c r="J611" i="4" s="1"/>
  <c r="AD613" i="1"/>
  <c r="G611" i="4" s="1"/>
  <c r="AD594" i="1"/>
  <c r="G592" i="4" s="1"/>
  <c r="AE594" i="1"/>
  <c r="H592" i="4" s="1"/>
  <c r="AF594" i="1"/>
  <c r="I592" i="4" s="1"/>
  <c r="AG594" i="1"/>
  <c r="J592" i="4" s="1"/>
  <c r="AE954" i="1"/>
  <c r="H952" i="4" s="1"/>
  <c r="AG954" i="1"/>
  <c r="J952" i="4" s="1"/>
  <c r="AD888" i="1"/>
  <c r="G886" i="4" s="1"/>
  <c r="AE888" i="1"/>
  <c r="H886" i="4" s="1"/>
  <c r="AF888" i="1"/>
  <c r="I886" i="4" s="1"/>
  <c r="AG888" i="1"/>
  <c r="J886" i="4" s="1"/>
  <c r="AD747" i="1"/>
  <c r="G745" i="4" s="1"/>
  <c r="AF747" i="1"/>
  <c r="I745" i="4" s="1"/>
  <c r="AG747" i="1"/>
  <c r="J745" i="4" s="1"/>
  <c r="AD714" i="1"/>
  <c r="G712" i="4" s="1"/>
  <c r="AF714" i="1"/>
  <c r="I712" i="4" s="1"/>
  <c r="AG714" i="1"/>
  <c r="J712" i="4" s="1"/>
  <c r="AE714" i="1"/>
  <c r="H712" i="4" s="1"/>
  <c r="AE601" i="1"/>
  <c r="H599" i="4" s="1"/>
  <c r="AF601" i="1"/>
  <c r="I599" i="4" s="1"/>
  <c r="AG601" i="1"/>
  <c r="J599" i="4" s="1"/>
  <c r="AD582" i="1"/>
  <c r="G580" i="4" s="1"/>
  <c r="AE582" i="1"/>
  <c r="H580" i="4" s="1"/>
  <c r="AF582" i="1"/>
  <c r="I580" i="4" s="1"/>
  <c r="AG582" i="1"/>
  <c r="J580" i="4" s="1"/>
  <c r="AF1157" i="1"/>
  <c r="I1155" i="4" s="1"/>
  <c r="AF1145" i="1"/>
  <c r="I1143" i="4" s="1"/>
  <c r="AF1133" i="1"/>
  <c r="I1131" i="4" s="1"/>
  <c r="AF1121" i="1"/>
  <c r="I1119" i="4" s="1"/>
  <c r="AF1109" i="1"/>
  <c r="I1107" i="4" s="1"/>
  <c r="AF1097" i="1"/>
  <c r="I1095" i="4" s="1"/>
  <c r="AF1085" i="1"/>
  <c r="I1083" i="4" s="1"/>
  <c r="AF1073" i="1"/>
  <c r="I1071" i="4" s="1"/>
  <c r="AF1061" i="1"/>
  <c r="I1059" i="4" s="1"/>
  <c r="AF1049" i="1"/>
  <c r="I1047" i="4" s="1"/>
  <c r="AF1037" i="1"/>
  <c r="I1035" i="4" s="1"/>
  <c r="AF1025" i="1"/>
  <c r="I1023" i="4" s="1"/>
  <c r="AE1018" i="1"/>
  <c r="H1016" i="4" s="1"/>
  <c r="AF1013" i="1"/>
  <c r="I1011" i="4" s="1"/>
  <c r="AE1006" i="1"/>
  <c r="H1004" i="4" s="1"/>
  <c r="AF1001" i="1"/>
  <c r="I999" i="4" s="1"/>
  <c r="AE994" i="1"/>
  <c r="H992" i="4" s="1"/>
  <c r="AF989" i="1"/>
  <c r="I987" i="4" s="1"/>
  <c r="AF979" i="1"/>
  <c r="I977" i="4" s="1"/>
  <c r="AE967" i="1"/>
  <c r="H965" i="4" s="1"/>
  <c r="AF967" i="1"/>
  <c r="I965" i="4" s="1"/>
  <c r="AG967" i="1"/>
  <c r="J965" i="4" s="1"/>
  <c r="AF957" i="1"/>
  <c r="I955" i="4" s="1"/>
  <c r="AD947" i="1"/>
  <c r="G945" i="4" s="1"/>
  <c r="AF947" i="1"/>
  <c r="I945" i="4" s="1"/>
  <c r="AE919" i="1"/>
  <c r="H917" i="4" s="1"/>
  <c r="AF919" i="1"/>
  <c r="I917" i="4" s="1"/>
  <c r="AG919" i="1"/>
  <c r="J917" i="4" s="1"/>
  <c r="AE859" i="1"/>
  <c r="H857" i="4" s="1"/>
  <c r="AF859" i="1"/>
  <c r="I857" i="4" s="1"/>
  <c r="AG859" i="1"/>
  <c r="J857" i="4" s="1"/>
  <c r="AD852" i="1"/>
  <c r="G850" i="4" s="1"/>
  <c r="AE852" i="1"/>
  <c r="H850" i="4" s="1"/>
  <c r="AF852" i="1"/>
  <c r="I850" i="4" s="1"/>
  <c r="AG852" i="1"/>
  <c r="J850" i="4" s="1"/>
  <c r="AE823" i="1"/>
  <c r="H821" i="4" s="1"/>
  <c r="AF823" i="1"/>
  <c r="I821" i="4" s="1"/>
  <c r="AG823" i="1"/>
  <c r="J821" i="4" s="1"/>
  <c r="AD816" i="1"/>
  <c r="G814" i="4" s="1"/>
  <c r="AE816" i="1"/>
  <c r="H814" i="4" s="1"/>
  <c r="AF816" i="1"/>
  <c r="I814" i="4" s="1"/>
  <c r="AG816" i="1"/>
  <c r="J814" i="4" s="1"/>
  <c r="AE787" i="1"/>
  <c r="H785" i="4" s="1"/>
  <c r="AF787" i="1"/>
  <c r="I785" i="4" s="1"/>
  <c r="AG787" i="1"/>
  <c r="J785" i="4" s="1"/>
  <c r="AD780" i="1"/>
  <c r="G778" i="4" s="1"/>
  <c r="AE780" i="1"/>
  <c r="H778" i="4" s="1"/>
  <c r="AF780" i="1"/>
  <c r="I778" i="4" s="1"/>
  <c r="AG780" i="1"/>
  <c r="J778" i="4" s="1"/>
  <c r="AE1073" i="1"/>
  <c r="H1071" i="4" s="1"/>
  <c r="AE1061" i="1"/>
  <c r="H1059" i="4" s="1"/>
  <c r="AE1049" i="1"/>
  <c r="H1047" i="4" s="1"/>
  <c r="AE1037" i="1"/>
  <c r="H1035" i="4" s="1"/>
  <c r="AE1025" i="1"/>
  <c r="H1023" i="4" s="1"/>
  <c r="AE1013" i="1"/>
  <c r="H1011" i="4" s="1"/>
  <c r="AE1001" i="1"/>
  <c r="H999" i="4" s="1"/>
  <c r="AE989" i="1"/>
  <c r="H987" i="4" s="1"/>
  <c r="AE979" i="1"/>
  <c r="H977" i="4" s="1"/>
  <c r="AF966" i="1"/>
  <c r="I964" i="4" s="1"/>
  <c r="AE943" i="1"/>
  <c r="H941" i="4" s="1"/>
  <c r="AF943" i="1"/>
  <c r="I941" i="4" s="1"/>
  <c r="AG943" i="1"/>
  <c r="J941" i="4" s="1"/>
  <c r="AG933" i="1"/>
  <c r="J931" i="4" s="1"/>
  <c r="AD933" i="1"/>
  <c r="G931" i="4" s="1"/>
  <c r="AD912" i="1"/>
  <c r="G910" i="4" s="1"/>
  <c r="AE912" i="1"/>
  <c r="H910" i="4" s="1"/>
  <c r="AF912" i="1"/>
  <c r="I910" i="4" s="1"/>
  <c r="AG912" i="1"/>
  <c r="J910" i="4" s="1"/>
  <c r="AG957" i="1"/>
  <c r="J955" i="4" s="1"/>
  <c r="AD957" i="1"/>
  <c r="G955" i="4" s="1"/>
  <c r="AD936" i="1"/>
  <c r="G934" i="4" s="1"/>
  <c r="AE936" i="1"/>
  <c r="H934" i="4" s="1"/>
  <c r="AF936" i="1"/>
  <c r="I934" i="4" s="1"/>
  <c r="AG936" i="1"/>
  <c r="J934" i="4" s="1"/>
  <c r="AF751" i="1"/>
  <c r="I749" i="4" s="1"/>
  <c r="AD751" i="1"/>
  <c r="G749" i="4" s="1"/>
  <c r="AE751" i="1"/>
  <c r="H749" i="4" s="1"/>
  <c r="AG751" i="1"/>
  <c r="J749" i="4" s="1"/>
  <c r="AG651" i="1"/>
  <c r="J649" i="4" s="1"/>
  <c r="AD651" i="1"/>
  <c r="G649" i="4" s="1"/>
  <c r="AF651" i="1"/>
  <c r="I649" i="4" s="1"/>
  <c r="AE966" i="1"/>
  <c r="H964" i="4" s="1"/>
  <c r="AG966" i="1"/>
  <c r="J964" i="4" s="1"/>
  <c r="AD960" i="1"/>
  <c r="G958" i="4" s="1"/>
  <c r="AE960" i="1"/>
  <c r="H958" i="4" s="1"/>
  <c r="AF960" i="1"/>
  <c r="I958" i="4" s="1"/>
  <c r="AE883" i="1"/>
  <c r="H881" i="4" s="1"/>
  <c r="AF883" i="1"/>
  <c r="I881" i="4" s="1"/>
  <c r="AG883" i="1"/>
  <c r="J881" i="4" s="1"/>
  <c r="AD724" i="1"/>
  <c r="G722" i="4" s="1"/>
  <c r="AE724" i="1"/>
  <c r="H722" i="4" s="1"/>
  <c r="AF724" i="1"/>
  <c r="I722" i="4" s="1"/>
  <c r="AG724" i="1"/>
  <c r="J722" i="4" s="1"/>
  <c r="AG1168" i="1"/>
  <c r="J1166" i="4" s="1"/>
  <c r="AG1156" i="1"/>
  <c r="J1154" i="4" s="1"/>
  <c r="AG1144" i="1"/>
  <c r="J1142" i="4" s="1"/>
  <c r="AG1132" i="1"/>
  <c r="J1130" i="4" s="1"/>
  <c r="AG1120" i="1"/>
  <c r="J1118" i="4" s="1"/>
  <c r="AG1108" i="1"/>
  <c r="J1106" i="4" s="1"/>
  <c r="AG1096" i="1"/>
  <c r="J1094" i="4" s="1"/>
  <c r="AG1084" i="1"/>
  <c r="J1082" i="4" s="1"/>
  <c r="AG1072" i="1"/>
  <c r="J1070" i="4" s="1"/>
  <c r="AG1060" i="1"/>
  <c r="J1058" i="4" s="1"/>
  <c r="AG1048" i="1"/>
  <c r="J1046" i="4" s="1"/>
  <c r="AG1036" i="1"/>
  <c r="J1034" i="4" s="1"/>
  <c r="AG1024" i="1"/>
  <c r="J1022" i="4" s="1"/>
  <c r="AG1012" i="1"/>
  <c r="J1010" i="4" s="1"/>
  <c r="AG1000" i="1"/>
  <c r="J998" i="4" s="1"/>
  <c r="AG988" i="1"/>
  <c r="J986" i="4" s="1"/>
  <c r="AD973" i="1"/>
  <c r="G971" i="4" s="1"/>
  <c r="AD876" i="1"/>
  <c r="G874" i="4" s="1"/>
  <c r="AE876" i="1"/>
  <c r="H874" i="4" s="1"/>
  <c r="AF876" i="1"/>
  <c r="I874" i="4" s="1"/>
  <c r="AG876" i="1"/>
  <c r="J874" i="4" s="1"/>
  <c r="AE847" i="1"/>
  <c r="H845" i="4" s="1"/>
  <c r="AF847" i="1"/>
  <c r="I845" i="4" s="1"/>
  <c r="AG847" i="1"/>
  <c r="J845" i="4" s="1"/>
  <c r="AD840" i="1"/>
  <c r="G838" i="4" s="1"/>
  <c r="AE840" i="1"/>
  <c r="H838" i="4" s="1"/>
  <c r="AF840" i="1"/>
  <c r="I838" i="4" s="1"/>
  <c r="AG840" i="1"/>
  <c r="J838" i="4" s="1"/>
  <c r="AE811" i="1"/>
  <c r="H809" i="4" s="1"/>
  <c r="AF811" i="1"/>
  <c r="I809" i="4" s="1"/>
  <c r="AG811" i="1"/>
  <c r="J809" i="4" s="1"/>
  <c r="AD804" i="1"/>
  <c r="G802" i="4" s="1"/>
  <c r="AE804" i="1"/>
  <c r="H802" i="4" s="1"/>
  <c r="AF804" i="1"/>
  <c r="I802" i="4" s="1"/>
  <c r="AG804" i="1"/>
  <c r="J802" i="4" s="1"/>
  <c r="AE775" i="1"/>
  <c r="H773" i="4" s="1"/>
  <c r="AF775" i="1"/>
  <c r="I773" i="4" s="1"/>
  <c r="AG775" i="1"/>
  <c r="J773" i="4" s="1"/>
  <c r="AD768" i="1"/>
  <c r="G766" i="4" s="1"/>
  <c r="AE768" i="1"/>
  <c r="H766" i="4" s="1"/>
  <c r="AF768" i="1"/>
  <c r="I766" i="4" s="1"/>
  <c r="AG768" i="1"/>
  <c r="J766" i="4" s="1"/>
  <c r="AG983" i="1"/>
  <c r="J981" i="4" s="1"/>
  <c r="AD935" i="1"/>
  <c r="G933" i="4" s="1"/>
  <c r="AF935" i="1"/>
  <c r="I933" i="4" s="1"/>
  <c r="AE907" i="1"/>
  <c r="H905" i="4" s="1"/>
  <c r="AF907" i="1"/>
  <c r="I905" i="4" s="1"/>
  <c r="AG907" i="1"/>
  <c r="J905" i="4" s="1"/>
  <c r="AE673" i="1"/>
  <c r="H671" i="4" s="1"/>
  <c r="AG673" i="1"/>
  <c r="J671" i="4" s="1"/>
  <c r="AF673" i="1"/>
  <c r="I671" i="4" s="1"/>
  <c r="AG942" i="1"/>
  <c r="J940" i="4" s="1"/>
  <c r="AG930" i="1"/>
  <c r="J928" i="4" s="1"/>
  <c r="AF923" i="1"/>
  <c r="I921" i="4" s="1"/>
  <c r="AG918" i="1"/>
  <c r="J916" i="4" s="1"/>
  <c r="AF911" i="1"/>
  <c r="I909" i="4" s="1"/>
  <c r="AD909" i="1"/>
  <c r="G907" i="4" s="1"/>
  <c r="AG906" i="1"/>
  <c r="J904" i="4" s="1"/>
  <c r="AF899" i="1"/>
  <c r="I897" i="4" s="1"/>
  <c r="AD897" i="1"/>
  <c r="G895" i="4" s="1"/>
  <c r="AG894" i="1"/>
  <c r="J892" i="4" s="1"/>
  <c r="AF887" i="1"/>
  <c r="I885" i="4" s="1"/>
  <c r="AD885" i="1"/>
  <c r="G883" i="4" s="1"/>
  <c r="AG882" i="1"/>
  <c r="J880" i="4" s="1"/>
  <c r="AF875" i="1"/>
  <c r="I873" i="4" s="1"/>
  <c r="AD873" i="1"/>
  <c r="G871" i="4" s="1"/>
  <c r="AG870" i="1"/>
  <c r="J868" i="4" s="1"/>
  <c r="AF863" i="1"/>
  <c r="I861" i="4" s="1"/>
  <c r="AD861" i="1"/>
  <c r="G859" i="4" s="1"/>
  <c r="AG858" i="1"/>
  <c r="J856" i="4" s="1"/>
  <c r="AF851" i="1"/>
  <c r="I849" i="4" s="1"/>
  <c r="AD849" i="1"/>
  <c r="G847" i="4" s="1"/>
  <c r="AG846" i="1"/>
  <c r="J844" i="4" s="1"/>
  <c r="AF839" i="1"/>
  <c r="I837" i="4" s="1"/>
  <c r="AD837" i="1"/>
  <c r="G835" i="4" s="1"/>
  <c r="AG834" i="1"/>
  <c r="J832" i="4" s="1"/>
  <c r="AF827" i="1"/>
  <c r="I825" i="4" s="1"/>
  <c r="AD825" i="1"/>
  <c r="G823" i="4" s="1"/>
  <c r="AG822" i="1"/>
  <c r="J820" i="4" s="1"/>
  <c r="AF815" i="1"/>
  <c r="I813" i="4" s="1"/>
  <c r="AD813" i="1"/>
  <c r="G811" i="4" s="1"/>
  <c r="AG810" i="1"/>
  <c r="J808" i="4" s="1"/>
  <c r="AF803" i="1"/>
  <c r="I801" i="4" s="1"/>
  <c r="AD801" i="1"/>
  <c r="G799" i="4" s="1"/>
  <c r="AG798" i="1"/>
  <c r="J796" i="4" s="1"/>
  <c r="AF791" i="1"/>
  <c r="I789" i="4" s="1"/>
  <c r="AD789" i="1"/>
  <c r="G787" i="4" s="1"/>
  <c r="AG786" i="1"/>
  <c r="J784" i="4" s="1"/>
  <c r="AF779" i="1"/>
  <c r="I777" i="4" s="1"/>
  <c r="AD777" i="1"/>
  <c r="G775" i="4" s="1"/>
  <c r="AG774" i="1"/>
  <c r="J772" i="4" s="1"/>
  <c r="AF767" i="1"/>
  <c r="I765" i="4" s="1"/>
  <c r="AD765" i="1"/>
  <c r="G763" i="4" s="1"/>
  <c r="AF755" i="1"/>
  <c r="I753" i="4" s="1"/>
  <c r="AD753" i="1"/>
  <c r="G751" i="4" s="1"/>
  <c r="AG687" i="1"/>
  <c r="J685" i="4" s="1"/>
  <c r="AD687" i="1"/>
  <c r="G685" i="4" s="1"/>
  <c r="AG639" i="1"/>
  <c r="J637" i="4" s="1"/>
  <c r="AD639" i="1"/>
  <c r="G637" i="4" s="1"/>
  <c r="AE589" i="1"/>
  <c r="H587" i="4" s="1"/>
  <c r="AF589" i="1"/>
  <c r="I587" i="4" s="1"/>
  <c r="AG589" i="1"/>
  <c r="J587" i="4" s="1"/>
  <c r="AD570" i="1"/>
  <c r="G568" i="4" s="1"/>
  <c r="AE570" i="1"/>
  <c r="H568" i="4" s="1"/>
  <c r="AF570" i="1"/>
  <c r="I568" i="4" s="1"/>
  <c r="AG570" i="1"/>
  <c r="J568" i="4" s="1"/>
  <c r="AE505" i="1"/>
  <c r="H503" i="4" s="1"/>
  <c r="AF505" i="1"/>
  <c r="I503" i="4" s="1"/>
  <c r="AG505" i="1"/>
  <c r="J503" i="4" s="1"/>
  <c r="AD488" i="1"/>
  <c r="G486" i="4" s="1"/>
  <c r="AE488" i="1"/>
  <c r="H486" i="4" s="1"/>
  <c r="AG488" i="1"/>
  <c r="J486" i="4" s="1"/>
  <c r="AF488" i="1"/>
  <c r="I486" i="4" s="1"/>
  <c r="AE477" i="1"/>
  <c r="H475" i="4" s="1"/>
  <c r="AF477" i="1"/>
  <c r="I475" i="4" s="1"/>
  <c r="AG477" i="1"/>
  <c r="J475" i="4" s="1"/>
  <c r="AE321" i="1"/>
  <c r="H319" i="4" s="1"/>
  <c r="AF321" i="1"/>
  <c r="I319" i="4" s="1"/>
  <c r="AG321" i="1"/>
  <c r="J319" i="4" s="1"/>
  <c r="AF750" i="1"/>
  <c r="I748" i="4" s="1"/>
  <c r="AG750" i="1"/>
  <c r="J748" i="4" s="1"/>
  <c r="AG723" i="1"/>
  <c r="J721" i="4" s="1"/>
  <c r="AD723" i="1"/>
  <c r="G721" i="4" s="1"/>
  <c r="AE709" i="1"/>
  <c r="H707" i="4" s="1"/>
  <c r="AG709" i="1"/>
  <c r="J707" i="4" s="1"/>
  <c r="AD676" i="1"/>
  <c r="G674" i="4" s="1"/>
  <c r="AE676" i="1"/>
  <c r="H674" i="4" s="1"/>
  <c r="AF676" i="1"/>
  <c r="I674" i="4" s="1"/>
  <c r="AG676" i="1"/>
  <c r="J674" i="4" s="1"/>
  <c r="AD666" i="1"/>
  <c r="G664" i="4" s="1"/>
  <c r="AF666" i="1"/>
  <c r="I664" i="4" s="1"/>
  <c r="AG666" i="1"/>
  <c r="J664" i="4" s="1"/>
  <c r="AE577" i="1"/>
  <c r="H575" i="4" s="1"/>
  <c r="AF577" i="1"/>
  <c r="I575" i="4" s="1"/>
  <c r="AG577" i="1"/>
  <c r="J575" i="4" s="1"/>
  <c r="AG944" i="1"/>
  <c r="J942" i="4" s="1"/>
  <c r="AG920" i="1"/>
  <c r="J918" i="4" s="1"/>
  <c r="AG908" i="1"/>
  <c r="J906" i="4" s="1"/>
  <c r="AG896" i="1"/>
  <c r="J894" i="4" s="1"/>
  <c r="AG884" i="1"/>
  <c r="J882" i="4" s="1"/>
  <c r="AG872" i="1"/>
  <c r="J870" i="4" s="1"/>
  <c r="AG860" i="1"/>
  <c r="J858" i="4" s="1"/>
  <c r="AG848" i="1"/>
  <c r="J846" i="4" s="1"/>
  <c r="AG836" i="1"/>
  <c r="J834" i="4" s="1"/>
  <c r="AG824" i="1"/>
  <c r="J822" i="4" s="1"/>
  <c r="AG812" i="1"/>
  <c r="J810" i="4" s="1"/>
  <c r="AG800" i="1"/>
  <c r="J798" i="4" s="1"/>
  <c r="AG788" i="1"/>
  <c r="J786" i="4" s="1"/>
  <c r="AG776" i="1"/>
  <c r="J774" i="4" s="1"/>
  <c r="AG764" i="1"/>
  <c r="J762" i="4" s="1"/>
  <c r="AE743" i="1"/>
  <c r="H741" i="4" s="1"/>
  <c r="AF743" i="1"/>
  <c r="I741" i="4" s="1"/>
  <c r="AD737" i="1"/>
  <c r="G735" i="4" s="1"/>
  <c r="AF737" i="1"/>
  <c r="I735" i="4" s="1"/>
  <c r="AF733" i="1"/>
  <c r="I731" i="4" s="1"/>
  <c r="AD712" i="1"/>
  <c r="G710" i="4" s="1"/>
  <c r="AE712" i="1"/>
  <c r="H710" i="4" s="1"/>
  <c r="AF712" i="1"/>
  <c r="I710" i="4" s="1"/>
  <c r="AG712" i="1"/>
  <c r="J710" i="4" s="1"/>
  <c r="AD702" i="1"/>
  <c r="G700" i="4" s="1"/>
  <c r="AF702" i="1"/>
  <c r="I700" i="4" s="1"/>
  <c r="AG702" i="1"/>
  <c r="J700" i="4" s="1"/>
  <c r="AG627" i="1"/>
  <c r="J625" i="4" s="1"/>
  <c r="AD627" i="1"/>
  <c r="G625" i="4" s="1"/>
  <c r="AE565" i="1"/>
  <c r="H563" i="4" s="1"/>
  <c r="AF565" i="1"/>
  <c r="I563" i="4" s="1"/>
  <c r="AG565" i="1"/>
  <c r="J563" i="4" s="1"/>
  <c r="AD558" i="1"/>
  <c r="G556" i="4" s="1"/>
  <c r="AE558" i="1"/>
  <c r="H556" i="4" s="1"/>
  <c r="AF558" i="1"/>
  <c r="I556" i="4" s="1"/>
  <c r="AG558" i="1"/>
  <c r="J556" i="4" s="1"/>
  <c r="AE661" i="1"/>
  <c r="H659" i="4" s="1"/>
  <c r="AG661" i="1"/>
  <c r="J659" i="4" s="1"/>
  <c r="AG615" i="1"/>
  <c r="J613" i="4" s="1"/>
  <c r="AD615" i="1"/>
  <c r="G613" i="4" s="1"/>
  <c r="AE405" i="1"/>
  <c r="H403" i="4" s="1"/>
  <c r="AF405" i="1"/>
  <c r="I403" i="4" s="1"/>
  <c r="AG405" i="1"/>
  <c r="J403" i="4" s="1"/>
  <c r="AD405" i="1"/>
  <c r="G403" i="4" s="1"/>
  <c r="AD386" i="1"/>
  <c r="G384" i="4" s="1"/>
  <c r="AE386" i="1"/>
  <c r="H384" i="4" s="1"/>
  <c r="AF386" i="1"/>
  <c r="I384" i="4" s="1"/>
  <c r="AG386" i="1"/>
  <c r="J384" i="4" s="1"/>
  <c r="AD749" i="1"/>
  <c r="G747" i="4" s="1"/>
  <c r="AF749" i="1"/>
  <c r="I747" i="4" s="1"/>
  <c r="AD736" i="1"/>
  <c r="G734" i="4" s="1"/>
  <c r="AE736" i="1"/>
  <c r="H734" i="4" s="1"/>
  <c r="AF736" i="1"/>
  <c r="I734" i="4" s="1"/>
  <c r="AE697" i="1"/>
  <c r="H695" i="4" s="1"/>
  <c r="AG697" i="1"/>
  <c r="J695" i="4" s="1"/>
  <c r="AG675" i="1"/>
  <c r="J673" i="4" s="1"/>
  <c r="AD675" i="1"/>
  <c r="G673" i="4" s="1"/>
  <c r="AD654" i="1"/>
  <c r="G652" i="4" s="1"/>
  <c r="AF654" i="1"/>
  <c r="I652" i="4" s="1"/>
  <c r="AG654" i="1"/>
  <c r="J652" i="4" s="1"/>
  <c r="AE553" i="1"/>
  <c r="H551" i="4" s="1"/>
  <c r="AF553" i="1"/>
  <c r="I551" i="4" s="1"/>
  <c r="AG553" i="1"/>
  <c r="J551" i="4" s="1"/>
  <c r="AD546" i="1"/>
  <c r="G544" i="4" s="1"/>
  <c r="AE546" i="1"/>
  <c r="H544" i="4" s="1"/>
  <c r="AF546" i="1"/>
  <c r="I544" i="4" s="1"/>
  <c r="AG546" i="1"/>
  <c r="J544" i="4" s="1"/>
  <c r="AE393" i="1"/>
  <c r="H391" i="4" s="1"/>
  <c r="AF393" i="1"/>
  <c r="I391" i="4" s="1"/>
  <c r="AG393" i="1"/>
  <c r="J391" i="4" s="1"/>
  <c r="AG711" i="1"/>
  <c r="J709" i="4" s="1"/>
  <c r="AD711" i="1"/>
  <c r="G709" i="4" s="1"/>
  <c r="AD690" i="1"/>
  <c r="G688" i="4" s="1"/>
  <c r="AF690" i="1"/>
  <c r="I688" i="4" s="1"/>
  <c r="AG690" i="1"/>
  <c r="J688" i="4" s="1"/>
  <c r="AD664" i="1"/>
  <c r="G662" i="4" s="1"/>
  <c r="AE664" i="1"/>
  <c r="H662" i="4" s="1"/>
  <c r="AF664" i="1"/>
  <c r="I662" i="4" s="1"/>
  <c r="AG664" i="1"/>
  <c r="J662" i="4" s="1"/>
  <c r="AD642" i="1"/>
  <c r="G640" i="4" s="1"/>
  <c r="AE642" i="1"/>
  <c r="H640" i="4" s="1"/>
  <c r="AF642" i="1"/>
  <c r="I640" i="4" s="1"/>
  <c r="AG642" i="1"/>
  <c r="J640" i="4" s="1"/>
  <c r="AD726" i="1"/>
  <c r="G724" i="4" s="1"/>
  <c r="AF726" i="1"/>
  <c r="I724" i="4" s="1"/>
  <c r="AG726" i="1"/>
  <c r="J724" i="4" s="1"/>
  <c r="AD700" i="1"/>
  <c r="G698" i="4" s="1"/>
  <c r="AE700" i="1"/>
  <c r="H698" i="4" s="1"/>
  <c r="AF700" i="1"/>
  <c r="I698" i="4" s="1"/>
  <c r="AG700" i="1"/>
  <c r="J698" i="4" s="1"/>
  <c r="AE649" i="1"/>
  <c r="H647" i="4" s="1"/>
  <c r="AF649" i="1"/>
  <c r="I647" i="4" s="1"/>
  <c r="AG649" i="1"/>
  <c r="J647" i="4" s="1"/>
  <c r="AE541" i="1"/>
  <c r="H539" i="4" s="1"/>
  <c r="AF541" i="1"/>
  <c r="I539" i="4" s="1"/>
  <c r="AG541" i="1"/>
  <c r="J539" i="4" s="1"/>
  <c r="AD534" i="1"/>
  <c r="G532" i="4" s="1"/>
  <c r="AE534" i="1"/>
  <c r="H532" i="4" s="1"/>
  <c r="AF534" i="1"/>
  <c r="I532" i="4" s="1"/>
  <c r="AG534" i="1"/>
  <c r="J532" i="4" s="1"/>
  <c r="AE869" i="1"/>
  <c r="H867" i="4" s="1"/>
  <c r="AE857" i="1"/>
  <c r="H855" i="4" s="1"/>
  <c r="AE845" i="1"/>
  <c r="H843" i="4" s="1"/>
  <c r="AE833" i="1"/>
  <c r="H831" i="4" s="1"/>
  <c r="AE821" i="1"/>
  <c r="H819" i="4" s="1"/>
  <c r="AE809" i="1"/>
  <c r="H807" i="4" s="1"/>
  <c r="AE797" i="1"/>
  <c r="H795" i="4" s="1"/>
  <c r="AE785" i="1"/>
  <c r="H783" i="4" s="1"/>
  <c r="AE773" i="1"/>
  <c r="H771" i="4" s="1"/>
  <c r="AE761" i="1"/>
  <c r="H759" i="4" s="1"/>
  <c r="AD748" i="1"/>
  <c r="G746" i="4" s="1"/>
  <c r="AE748" i="1"/>
  <c r="H746" i="4" s="1"/>
  <c r="AG725" i="1"/>
  <c r="J723" i="4" s="1"/>
  <c r="AF721" i="1"/>
  <c r="I719" i="4" s="1"/>
  <c r="AF699" i="1"/>
  <c r="I697" i="4" s="1"/>
  <c r="AE685" i="1"/>
  <c r="H683" i="4" s="1"/>
  <c r="AG685" i="1"/>
  <c r="J683" i="4" s="1"/>
  <c r="AE637" i="1"/>
  <c r="H635" i="4" s="1"/>
  <c r="AF637" i="1"/>
  <c r="I635" i="4" s="1"/>
  <c r="AG637" i="1"/>
  <c r="J635" i="4" s="1"/>
  <c r="AD630" i="1"/>
  <c r="G628" i="4" s="1"/>
  <c r="AE630" i="1"/>
  <c r="H628" i="4" s="1"/>
  <c r="AF630" i="1"/>
  <c r="I628" i="4" s="1"/>
  <c r="AG630" i="1"/>
  <c r="J628" i="4" s="1"/>
  <c r="AD446" i="1"/>
  <c r="G444" i="4" s="1"/>
  <c r="AE446" i="1"/>
  <c r="H444" i="4" s="1"/>
  <c r="AF446" i="1"/>
  <c r="I444" i="4" s="1"/>
  <c r="AG446" i="1"/>
  <c r="J444" i="4" s="1"/>
  <c r="AG950" i="1"/>
  <c r="J948" i="4" s="1"/>
  <c r="AG938" i="1"/>
  <c r="J936" i="4" s="1"/>
  <c r="AG926" i="1"/>
  <c r="J924" i="4" s="1"/>
  <c r="AG914" i="1"/>
  <c r="J912" i="4" s="1"/>
  <c r="AG902" i="1"/>
  <c r="J900" i="4" s="1"/>
  <c r="AG890" i="1"/>
  <c r="J888" i="4" s="1"/>
  <c r="AG878" i="1"/>
  <c r="J876" i="4" s="1"/>
  <c r="AG866" i="1"/>
  <c r="J864" i="4" s="1"/>
  <c r="AG854" i="1"/>
  <c r="J852" i="4" s="1"/>
  <c r="AG842" i="1"/>
  <c r="J840" i="4" s="1"/>
  <c r="AG830" i="1"/>
  <c r="J828" i="4" s="1"/>
  <c r="AG818" i="1"/>
  <c r="J816" i="4" s="1"/>
  <c r="AG806" i="1"/>
  <c r="J804" i="4" s="1"/>
  <c r="AG794" i="1"/>
  <c r="J792" i="4" s="1"/>
  <c r="AG782" i="1"/>
  <c r="J780" i="4" s="1"/>
  <c r="AG770" i="1"/>
  <c r="J768" i="4" s="1"/>
  <c r="AG758" i="1"/>
  <c r="J756" i="4" s="1"/>
  <c r="AE732" i="1"/>
  <c r="H730" i="4" s="1"/>
  <c r="AG732" i="1"/>
  <c r="J730" i="4" s="1"/>
  <c r="AG663" i="1"/>
  <c r="J661" i="4" s="1"/>
  <c r="AD663" i="1"/>
  <c r="G661" i="4" s="1"/>
  <c r="AD618" i="1"/>
  <c r="G616" i="4" s="1"/>
  <c r="AE618" i="1"/>
  <c r="H616" i="4" s="1"/>
  <c r="AF618" i="1"/>
  <c r="I616" i="4" s="1"/>
  <c r="AG618" i="1"/>
  <c r="J616" i="4" s="1"/>
  <c r="AE529" i="1"/>
  <c r="H527" i="4" s="1"/>
  <c r="AF529" i="1"/>
  <c r="I527" i="4" s="1"/>
  <c r="AG529" i="1"/>
  <c r="J527" i="4" s="1"/>
  <c r="AD522" i="1"/>
  <c r="G520" i="4" s="1"/>
  <c r="AE522" i="1"/>
  <c r="H520" i="4" s="1"/>
  <c r="AF522" i="1"/>
  <c r="I520" i="4" s="1"/>
  <c r="AG522" i="1"/>
  <c r="J520" i="4" s="1"/>
  <c r="AD725" i="1"/>
  <c r="G723" i="4" s="1"/>
  <c r="AF725" i="1"/>
  <c r="I723" i="4" s="1"/>
  <c r="AE721" i="1"/>
  <c r="H719" i="4" s="1"/>
  <c r="AG721" i="1"/>
  <c r="J719" i="4" s="1"/>
  <c r="AG699" i="1"/>
  <c r="J697" i="4" s="1"/>
  <c r="AD699" i="1"/>
  <c r="G697" i="4" s="1"/>
  <c r="AD688" i="1"/>
  <c r="G686" i="4" s="1"/>
  <c r="AE688" i="1"/>
  <c r="H686" i="4" s="1"/>
  <c r="AF688" i="1"/>
  <c r="I686" i="4" s="1"/>
  <c r="AG688" i="1"/>
  <c r="J686" i="4" s="1"/>
  <c r="AD678" i="1"/>
  <c r="G676" i="4" s="1"/>
  <c r="AF678" i="1"/>
  <c r="I676" i="4" s="1"/>
  <c r="AG678" i="1"/>
  <c r="J676" i="4" s="1"/>
  <c r="AE625" i="1"/>
  <c r="H623" i="4" s="1"/>
  <c r="AF625" i="1"/>
  <c r="I623" i="4" s="1"/>
  <c r="AG625" i="1"/>
  <c r="J623" i="4" s="1"/>
  <c r="AD606" i="1"/>
  <c r="G604" i="4" s="1"/>
  <c r="AE606" i="1"/>
  <c r="H604" i="4" s="1"/>
  <c r="AF606" i="1"/>
  <c r="I604" i="4" s="1"/>
  <c r="AG606" i="1"/>
  <c r="J604" i="4" s="1"/>
  <c r="AG720" i="1"/>
  <c r="J718" i="4" s="1"/>
  <c r="AF713" i="1"/>
  <c r="I711" i="4" s="1"/>
  <c r="AG708" i="1"/>
  <c r="J706" i="4" s="1"/>
  <c r="AF701" i="1"/>
  <c r="I699" i="4" s="1"/>
  <c r="AG696" i="1"/>
  <c r="J694" i="4" s="1"/>
  <c r="AF689" i="1"/>
  <c r="I687" i="4" s="1"/>
  <c r="AG684" i="1"/>
  <c r="J682" i="4" s="1"/>
  <c r="AF677" i="1"/>
  <c r="I675" i="4" s="1"/>
  <c r="AG672" i="1"/>
  <c r="J670" i="4" s="1"/>
  <c r="AF665" i="1"/>
  <c r="I663" i="4" s="1"/>
  <c r="AG660" i="1"/>
  <c r="J658" i="4" s="1"/>
  <c r="AF653" i="1"/>
  <c r="I651" i="4" s="1"/>
  <c r="AG648" i="1"/>
  <c r="J646" i="4" s="1"/>
  <c r="AF641" i="1"/>
  <c r="I639" i="4" s="1"/>
  <c r="AG636" i="1"/>
  <c r="J634" i="4" s="1"/>
  <c r="AF629" i="1"/>
  <c r="I627" i="4" s="1"/>
  <c r="AG624" i="1"/>
  <c r="J622" i="4" s="1"/>
  <c r="AF617" i="1"/>
  <c r="I615" i="4" s="1"/>
  <c r="AG612" i="1"/>
  <c r="J610" i="4" s="1"/>
  <c r="AF605" i="1"/>
  <c r="I603" i="4" s="1"/>
  <c r="AD603" i="1"/>
  <c r="G601" i="4" s="1"/>
  <c r="AG600" i="1"/>
  <c r="J598" i="4" s="1"/>
  <c r="AF593" i="1"/>
  <c r="I591" i="4" s="1"/>
  <c r="AD591" i="1"/>
  <c r="G589" i="4" s="1"/>
  <c r="AG588" i="1"/>
  <c r="J586" i="4" s="1"/>
  <c r="AF581" i="1"/>
  <c r="I579" i="4" s="1"/>
  <c r="AD579" i="1"/>
  <c r="G577" i="4" s="1"/>
  <c r="AG576" i="1"/>
  <c r="J574" i="4" s="1"/>
  <c r="AF569" i="1"/>
  <c r="I567" i="4" s="1"/>
  <c r="AD567" i="1"/>
  <c r="G565" i="4" s="1"/>
  <c r="AG564" i="1"/>
  <c r="J562" i="4" s="1"/>
  <c r="AF557" i="1"/>
  <c r="I555" i="4" s="1"/>
  <c r="AD555" i="1"/>
  <c r="G553" i="4" s="1"/>
  <c r="AG552" i="1"/>
  <c r="J550" i="4" s="1"/>
  <c r="AF545" i="1"/>
  <c r="I543" i="4" s="1"/>
  <c r="AD543" i="1"/>
  <c r="G541" i="4" s="1"/>
  <c r="AG540" i="1"/>
  <c r="J538" i="4" s="1"/>
  <c r="AF533" i="1"/>
  <c r="I531" i="4" s="1"/>
  <c r="AD531" i="1"/>
  <c r="G529" i="4" s="1"/>
  <c r="AG528" i="1"/>
  <c r="J526" i="4" s="1"/>
  <c r="AF521" i="1"/>
  <c r="I519" i="4" s="1"/>
  <c r="AD519" i="1"/>
  <c r="G517" i="4" s="1"/>
  <c r="AG516" i="1"/>
  <c r="J514" i="4" s="1"/>
  <c r="AF509" i="1"/>
  <c r="I507" i="4" s="1"/>
  <c r="AD507" i="1"/>
  <c r="G505" i="4" s="1"/>
  <c r="AG504" i="1"/>
  <c r="J502" i="4" s="1"/>
  <c r="AE465" i="1"/>
  <c r="H463" i="4" s="1"/>
  <c r="AF465" i="1"/>
  <c r="I463" i="4" s="1"/>
  <c r="AG465" i="1"/>
  <c r="J463" i="4" s="1"/>
  <c r="AD374" i="1"/>
  <c r="G372" i="4" s="1"/>
  <c r="AE374" i="1"/>
  <c r="H372" i="4" s="1"/>
  <c r="AF374" i="1"/>
  <c r="I372" i="4" s="1"/>
  <c r="AG374" i="1"/>
  <c r="J372" i="4" s="1"/>
  <c r="AD290" i="1"/>
  <c r="G288" i="4" s="1"/>
  <c r="AE290" i="1"/>
  <c r="H288" i="4" s="1"/>
  <c r="AF290" i="1"/>
  <c r="I288" i="4" s="1"/>
  <c r="AG290" i="1"/>
  <c r="J288" i="4" s="1"/>
  <c r="AD278" i="1"/>
  <c r="G276" i="4" s="1"/>
  <c r="AE278" i="1"/>
  <c r="H276" i="4" s="1"/>
  <c r="AF278" i="1"/>
  <c r="I276" i="4" s="1"/>
  <c r="AG278" i="1"/>
  <c r="J276" i="4" s="1"/>
  <c r="AD476" i="1"/>
  <c r="G474" i="4" s="1"/>
  <c r="AE476" i="1"/>
  <c r="H474" i="4" s="1"/>
  <c r="AG476" i="1"/>
  <c r="J474" i="4" s="1"/>
  <c r="AE453" i="1"/>
  <c r="H451" i="4" s="1"/>
  <c r="AF453" i="1"/>
  <c r="I451" i="4" s="1"/>
  <c r="AG453" i="1"/>
  <c r="J451" i="4" s="1"/>
  <c r="AD434" i="1"/>
  <c r="G432" i="4" s="1"/>
  <c r="AE434" i="1"/>
  <c r="H432" i="4" s="1"/>
  <c r="AF434" i="1"/>
  <c r="I432" i="4" s="1"/>
  <c r="AG434" i="1"/>
  <c r="J432" i="4" s="1"/>
  <c r="AE381" i="1"/>
  <c r="H379" i="4" s="1"/>
  <c r="AF381" i="1"/>
  <c r="I379" i="4" s="1"/>
  <c r="AG381" i="1"/>
  <c r="J379" i="4" s="1"/>
  <c r="AE309" i="1"/>
  <c r="H307" i="4" s="1"/>
  <c r="AF309" i="1"/>
  <c r="I307" i="4" s="1"/>
  <c r="AG309" i="1"/>
  <c r="J307" i="4" s="1"/>
  <c r="AE504" i="1"/>
  <c r="H502" i="4" s="1"/>
  <c r="AD362" i="1"/>
  <c r="G360" i="4" s="1"/>
  <c r="AE362" i="1"/>
  <c r="H360" i="4" s="1"/>
  <c r="AF362" i="1"/>
  <c r="I360" i="4" s="1"/>
  <c r="AG362" i="1"/>
  <c r="J360" i="4" s="1"/>
  <c r="AE297" i="1"/>
  <c r="H295" i="4" s="1"/>
  <c r="AF297" i="1"/>
  <c r="I295" i="4" s="1"/>
  <c r="AG297" i="1"/>
  <c r="J295" i="4" s="1"/>
  <c r="AE285" i="1"/>
  <c r="H283" i="4" s="1"/>
  <c r="AF285" i="1"/>
  <c r="I283" i="4" s="1"/>
  <c r="AG285" i="1"/>
  <c r="J283" i="4" s="1"/>
  <c r="AF501" i="1"/>
  <c r="I499" i="4" s="1"/>
  <c r="AG501" i="1"/>
  <c r="J499" i="4" s="1"/>
  <c r="AE441" i="1"/>
  <c r="H439" i="4" s="1"/>
  <c r="AF441" i="1"/>
  <c r="I439" i="4" s="1"/>
  <c r="AG441" i="1"/>
  <c r="J439" i="4" s="1"/>
  <c r="AD422" i="1"/>
  <c r="G420" i="4" s="1"/>
  <c r="AE422" i="1"/>
  <c r="H420" i="4" s="1"/>
  <c r="AF422" i="1"/>
  <c r="I420" i="4" s="1"/>
  <c r="AG422" i="1"/>
  <c r="J420" i="4" s="1"/>
  <c r="AE369" i="1"/>
  <c r="H367" i="4" s="1"/>
  <c r="AF369" i="1"/>
  <c r="I367" i="4" s="1"/>
  <c r="AG369" i="1"/>
  <c r="J367" i="4" s="1"/>
  <c r="AE273" i="1"/>
  <c r="H271" i="4" s="1"/>
  <c r="AF273" i="1"/>
  <c r="I271" i="4" s="1"/>
  <c r="AG273" i="1"/>
  <c r="J271" i="4" s="1"/>
  <c r="AG652" i="1"/>
  <c r="J650" i="4" s="1"/>
  <c r="AG640" i="1"/>
  <c r="J638" i="4" s="1"/>
  <c r="AG628" i="1"/>
  <c r="J626" i="4" s="1"/>
  <c r="AG616" i="1"/>
  <c r="J614" i="4" s="1"/>
  <c r="AG604" i="1"/>
  <c r="J602" i="4" s="1"/>
  <c r="AG592" i="1"/>
  <c r="J590" i="4" s="1"/>
  <c r="AG580" i="1"/>
  <c r="J578" i="4" s="1"/>
  <c r="AG568" i="1"/>
  <c r="J566" i="4" s="1"/>
  <c r="AG556" i="1"/>
  <c r="J554" i="4" s="1"/>
  <c r="AG544" i="1"/>
  <c r="J542" i="4" s="1"/>
  <c r="AG532" i="1"/>
  <c r="J530" i="4" s="1"/>
  <c r="AG520" i="1"/>
  <c r="J518" i="4" s="1"/>
  <c r="AG508" i="1"/>
  <c r="J506" i="4" s="1"/>
  <c r="AG503" i="1"/>
  <c r="J501" i="4" s="1"/>
  <c r="AG491" i="1"/>
  <c r="J489" i="4" s="1"/>
  <c r="AD491" i="1"/>
  <c r="G489" i="4" s="1"/>
  <c r="AD350" i="1"/>
  <c r="G348" i="4" s="1"/>
  <c r="AE350" i="1"/>
  <c r="H348" i="4" s="1"/>
  <c r="AF350" i="1"/>
  <c r="I348" i="4" s="1"/>
  <c r="AG350" i="1"/>
  <c r="J348" i="4" s="1"/>
  <c r="AG719" i="1"/>
  <c r="J717" i="4" s="1"/>
  <c r="AG707" i="1"/>
  <c r="J705" i="4" s="1"/>
  <c r="AG695" i="1"/>
  <c r="J693" i="4" s="1"/>
  <c r="AG683" i="1"/>
  <c r="J681" i="4" s="1"/>
  <c r="AG671" i="1"/>
  <c r="J669" i="4" s="1"/>
  <c r="AG659" i="1"/>
  <c r="J657" i="4" s="1"/>
  <c r="AF652" i="1"/>
  <c r="I650" i="4" s="1"/>
  <c r="AG647" i="1"/>
  <c r="J645" i="4" s="1"/>
  <c r="AF640" i="1"/>
  <c r="I638" i="4" s="1"/>
  <c r="AG635" i="1"/>
  <c r="J633" i="4" s="1"/>
  <c r="AF628" i="1"/>
  <c r="I626" i="4" s="1"/>
  <c r="AG623" i="1"/>
  <c r="J621" i="4" s="1"/>
  <c r="AF616" i="1"/>
  <c r="I614" i="4" s="1"/>
  <c r="AG611" i="1"/>
  <c r="J609" i="4" s="1"/>
  <c r="AF604" i="1"/>
  <c r="I602" i="4" s="1"/>
  <c r="AG599" i="1"/>
  <c r="J597" i="4" s="1"/>
  <c r="AF592" i="1"/>
  <c r="I590" i="4" s="1"/>
  <c r="AG587" i="1"/>
  <c r="J585" i="4" s="1"/>
  <c r="AF580" i="1"/>
  <c r="I578" i="4" s="1"/>
  <c r="AG575" i="1"/>
  <c r="J573" i="4" s="1"/>
  <c r="AF568" i="1"/>
  <c r="I566" i="4" s="1"/>
  <c r="AG563" i="1"/>
  <c r="J561" i="4" s="1"/>
  <c r="AF556" i="1"/>
  <c r="I554" i="4" s="1"/>
  <c r="AG551" i="1"/>
  <c r="J549" i="4" s="1"/>
  <c r="AF544" i="1"/>
  <c r="I542" i="4" s="1"/>
  <c r="AG539" i="1"/>
  <c r="J537" i="4" s="1"/>
  <c r="AF532" i="1"/>
  <c r="I530" i="4" s="1"/>
  <c r="AG527" i="1"/>
  <c r="J525" i="4" s="1"/>
  <c r="AF520" i="1"/>
  <c r="I518" i="4" s="1"/>
  <c r="AG515" i="1"/>
  <c r="J513" i="4" s="1"/>
  <c r="AF508" i="1"/>
  <c r="I506" i="4" s="1"/>
  <c r="AF503" i="1"/>
  <c r="I501" i="4" s="1"/>
  <c r="AD494" i="1"/>
  <c r="G492" i="4" s="1"/>
  <c r="AE494" i="1"/>
  <c r="H492" i="4" s="1"/>
  <c r="AF494" i="1"/>
  <c r="I492" i="4" s="1"/>
  <c r="AE429" i="1"/>
  <c r="H427" i="4" s="1"/>
  <c r="AF429" i="1"/>
  <c r="I427" i="4" s="1"/>
  <c r="AG429" i="1"/>
  <c r="J427" i="4" s="1"/>
  <c r="AD410" i="1"/>
  <c r="G408" i="4" s="1"/>
  <c r="AE410" i="1"/>
  <c r="H408" i="4" s="1"/>
  <c r="AF410" i="1"/>
  <c r="I408" i="4" s="1"/>
  <c r="AG410" i="1"/>
  <c r="J408" i="4" s="1"/>
  <c r="AE357" i="1"/>
  <c r="H355" i="4" s="1"/>
  <c r="AF357" i="1"/>
  <c r="I355" i="4" s="1"/>
  <c r="AG357" i="1"/>
  <c r="J355" i="4" s="1"/>
  <c r="AD252" i="1"/>
  <c r="G250" i="4" s="1"/>
  <c r="AE252" i="1"/>
  <c r="H250" i="4" s="1"/>
  <c r="AF252" i="1"/>
  <c r="I250" i="4" s="1"/>
  <c r="AG252" i="1"/>
  <c r="J250" i="4" s="1"/>
  <c r="AD96" i="1"/>
  <c r="G94" i="4" s="1"/>
  <c r="AE96" i="1"/>
  <c r="H94" i="4" s="1"/>
  <c r="AF96" i="1"/>
  <c r="I94" i="4" s="1"/>
  <c r="AG96" i="1"/>
  <c r="J94" i="4" s="1"/>
  <c r="AG88" i="1"/>
  <c r="J86" i="4" s="1"/>
  <c r="AG76" i="1"/>
  <c r="J74" i="4" s="1"/>
  <c r="AF93" i="1"/>
  <c r="I91" i="4" s="1"/>
  <c r="AF719" i="1"/>
  <c r="I717" i="4" s="1"/>
  <c r="AF707" i="1"/>
  <c r="I705" i="4" s="1"/>
  <c r="AF695" i="1"/>
  <c r="I693" i="4" s="1"/>
  <c r="AF683" i="1"/>
  <c r="I681" i="4" s="1"/>
  <c r="AF671" i="1"/>
  <c r="I669" i="4" s="1"/>
  <c r="AF659" i="1"/>
  <c r="I657" i="4" s="1"/>
  <c r="AE652" i="1"/>
  <c r="H650" i="4" s="1"/>
  <c r="AF647" i="1"/>
  <c r="I645" i="4" s="1"/>
  <c r="AE640" i="1"/>
  <c r="H638" i="4" s="1"/>
  <c r="AF635" i="1"/>
  <c r="I633" i="4" s="1"/>
  <c r="AE628" i="1"/>
  <c r="H626" i="4" s="1"/>
  <c r="AF623" i="1"/>
  <c r="I621" i="4" s="1"/>
  <c r="AE616" i="1"/>
  <c r="H614" i="4" s="1"/>
  <c r="AF611" i="1"/>
  <c r="I609" i="4" s="1"/>
  <c r="AE604" i="1"/>
  <c r="H602" i="4" s="1"/>
  <c r="AF599" i="1"/>
  <c r="I597" i="4" s="1"/>
  <c r="AE592" i="1"/>
  <c r="H590" i="4" s="1"/>
  <c r="AF587" i="1"/>
  <c r="I585" i="4" s="1"/>
  <c r="AE580" i="1"/>
  <c r="H578" i="4" s="1"/>
  <c r="AF575" i="1"/>
  <c r="I573" i="4" s="1"/>
  <c r="AE568" i="1"/>
  <c r="H566" i="4" s="1"/>
  <c r="AF563" i="1"/>
  <c r="I561" i="4" s="1"/>
  <c r="AE556" i="1"/>
  <c r="H554" i="4" s="1"/>
  <c r="AF551" i="1"/>
  <c r="I549" i="4" s="1"/>
  <c r="AE544" i="1"/>
  <c r="H542" i="4" s="1"/>
  <c r="AF539" i="1"/>
  <c r="I537" i="4" s="1"/>
  <c r="AE532" i="1"/>
  <c r="H530" i="4" s="1"/>
  <c r="AF527" i="1"/>
  <c r="I525" i="4" s="1"/>
  <c r="AE520" i="1"/>
  <c r="H518" i="4" s="1"/>
  <c r="AF515" i="1"/>
  <c r="I513" i="4" s="1"/>
  <c r="AE508" i="1"/>
  <c r="H506" i="4" s="1"/>
  <c r="AE503" i="1"/>
  <c r="H501" i="4" s="1"/>
  <c r="AD500" i="1"/>
  <c r="G498" i="4" s="1"/>
  <c r="AG500" i="1"/>
  <c r="J498" i="4" s="1"/>
  <c r="AD490" i="1"/>
  <c r="G488" i="4" s="1"/>
  <c r="AF490" i="1"/>
  <c r="I488" i="4" s="1"/>
  <c r="AG490" i="1"/>
  <c r="J488" i="4" s="1"/>
  <c r="AF467" i="1"/>
  <c r="I465" i="4" s="1"/>
  <c r="AD338" i="1"/>
  <c r="G336" i="4" s="1"/>
  <c r="AE338" i="1"/>
  <c r="H336" i="4" s="1"/>
  <c r="AF338" i="1"/>
  <c r="I336" i="4" s="1"/>
  <c r="AG338" i="1"/>
  <c r="J336" i="4" s="1"/>
  <c r="AF94" i="1"/>
  <c r="I92" i="4" s="1"/>
  <c r="AG479" i="1"/>
  <c r="J477" i="4" s="1"/>
  <c r="AD479" i="1"/>
  <c r="G477" i="4" s="1"/>
  <c r="AD470" i="1"/>
  <c r="G468" i="4" s="1"/>
  <c r="AE470" i="1"/>
  <c r="H468" i="4" s="1"/>
  <c r="AF470" i="1"/>
  <c r="I468" i="4" s="1"/>
  <c r="AG470" i="1"/>
  <c r="J468" i="4" s="1"/>
  <c r="AE417" i="1"/>
  <c r="H415" i="4" s="1"/>
  <c r="AF417" i="1"/>
  <c r="I415" i="4" s="1"/>
  <c r="AG417" i="1"/>
  <c r="J415" i="4" s="1"/>
  <c r="AE345" i="1"/>
  <c r="H343" i="4" s="1"/>
  <c r="AF345" i="1"/>
  <c r="I343" i="4" s="1"/>
  <c r="AG345" i="1"/>
  <c r="J343" i="4" s="1"/>
  <c r="AD499" i="1"/>
  <c r="G497" i="4" s="1"/>
  <c r="AE499" i="1"/>
  <c r="H497" i="4" s="1"/>
  <c r="AG499" i="1"/>
  <c r="J497" i="4" s="1"/>
  <c r="AE489" i="1"/>
  <c r="H487" i="4" s="1"/>
  <c r="AF489" i="1"/>
  <c r="I487" i="4" s="1"/>
  <c r="AG489" i="1"/>
  <c r="J487" i="4" s="1"/>
  <c r="AD482" i="1"/>
  <c r="G480" i="4" s="1"/>
  <c r="AE482" i="1"/>
  <c r="H480" i="4" s="1"/>
  <c r="AF482" i="1"/>
  <c r="I480" i="4" s="1"/>
  <c r="AG482" i="1"/>
  <c r="J480" i="4" s="1"/>
  <c r="AG467" i="1"/>
  <c r="J465" i="4" s="1"/>
  <c r="AD467" i="1"/>
  <c r="G465" i="4" s="1"/>
  <c r="AD398" i="1"/>
  <c r="G396" i="4" s="1"/>
  <c r="AE398" i="1"/>
  <c r="H396" i="4" s="1"/>
  <c r="AF398" i="1"/>
  <c r="I396" i="4" s="1"/>
  <c r="AG398" i="1"/>
  <c r="J396" i="4" s="1"/>
  <c r="AD326" i="1"/>
  <c r="G324" i="4" s="1"/>
  <c r="AE326" i="1"/>
  <c r="H324" i="4" s="1"/>
  <c r="AF326" i="1"/>
  <c r="I324" i="4" s="1"/>
  <c r="AG326" i="1"/>
  <c r="J324" i="4" s="1"/>
  <c r="AD458" i="1"/>
  <c r="G456" i="4" s="1"/>
  <c r="AE458" i="1"/>
  <c r="H456" i="4" s="1"/>
  <c r="AF458" i="1"/>
  <c r="I456" i="4" s="1"/>
  <c r="AG458" i="1"/>
  <c r="J456" i="4" s="1"/>
  <c r="AE333" i="1"/>
  <c r="H331" i="4" s="1"/>
  <c r="AF333" i="1"/>
  <c r="I331" i="4" s="1"/>
  <c r="AG333" i="1"/>
  <c r="J331" i="4" s="1"/>
  <c r="AG146" i="1"/>
  <c r="J144" i="4" s="1"/>
  <c r="AG464" i="1"/>
  <c r="J462" i="4" s="1"/>
  <c r="AD455" i="1"/>
  <c r="G453" i="4" s="1"/>
  <c r="AG452" i="1"/>
  <c r="J450" i="4" s="1"/>
  <c r="AD443" i="1"/>
  <c r="G441" i="4" s="1"/>
  <c r="AG440" i="1"/>
  <c r="J438" i="4" s="1"/>
  <c r="AD431" i="1"/>
  <c r="G429" i="4" s="1"/>
  <c r="AG428" i="1"/>
  <c r="J426" i="4" s="1"/>
  <c r="AD419" i="1"/>
  <c r="G417" i="4" s="1"/>
  <c r="AG416" i="1"/>
  <c r="J414" i="4" s="1"/>
  <c r="AD407" i="1"/>
  <c r="G405" i="4" s="1"/>
  <c r="AG404" i="1"/>
  <c r="J402" i="4" s="1"/>
  <c r="AD395" i="1"/>
  <c r="G393" i="4" s="1"/>
  <c r="AG392" i="1"/>
  <c r="J390" i="4" s="1"/>
  <c r="AD383" i="1"/>
  <c r="G381" i="4" s="1"/>
  <c r="AG380" i="1"/>
  <c r="J378" i="4" s="1"/>
  <c r="AD371" i="1"/>
  <c r="G369" i="4" s="1"/>
  <c r="AG368" i="1"/>
  <c r="J366" i="4" s="1"/>
  <c r="AD359" i="1"/>
  <c r="G357" i="4" s="1"/>
  <c r="AG356" i="1"/>
  <c r="J354" i="4" s="1"/>
  <c r="AD347" i="1"/>
  <c r="G345" i="4" s="1"/>
  <c r="AG344" i="1"/>
  <c r="J342" i="4" s="1"/>
  <c r="AD335" i="1"/>
  <c r="G333" i="4" s="1"/>
  <c r="AG332" i="1"/>
  <c r="J330" i="4" s="1"/>
  <c r="AD323" i="1"/>
  <c r="G321" i="4" s="1"/>
  <c r="AG320" i="1"/>
  <c r="J318" i="4" s="1"/>
  <c r="AD311" i="1"/>
  <c r="G309" i="4" s="1"/>
  <c r="AG308" i="1"/>
  <c r="J306" i="4" s="1"/>
  <c r="AD299" i="1"/>
  <c r="G297" i="4" s="1"/>
  <c r="AG296" i="1"/>
  <c r="J294" i="4" s="1"/>
  <c r="AD287" i="1"/>
  <c r="G285" i="4" s="1"/>
  <c r="AG284" i="1"/>
  <c r="J282" i="4" s="1"/>
  <c r="AG272" i="1"/>
  <c r="J270" i="4" s="1"/>
  <c r="AE270" i="1"/>
  <c r="H268" i="4" s="1"/>
  <c r="AE264" i="1"/>
  <c r="H262" i="4" s="1"/>
  <c r="AF264" i="1"/>
  <c r="I262" i="4" s="1"/>
  <c r="AG264" i="1"/>
  <c r="J262" i="4" s="1"/>
  <c r="AF230" i="1"/>
  <c r="I228" i="4" s="1"/>
  <c r="AE223" i="1"/>
  <c r="H221" i="4" s="1"/>
  <c r="AE175" i="1"/>
  <c r="H173" i="4" s="1"/>
  <c r="AE162" i="1"/>
  <c r="H160" i="4" s="1"/>
  <c r="AF139" i="1"/>
  <c r="I137" i="4" s="1"/>
  <c r="AD132" i="1"/>
  <c r="G130" i="4" s="1"/>
  <c r="AE132" i="1"/>
  <c r="H130" i="4" s="1"/>
  <c r="AF132" i="1"/>
  <c r="I130" i="4" s="1"/>
  <c r="AG132" i="1"/>
  <c r="J130" i="4" s="1"/>
  <c r="AF98" i="1"/>
  <c r="I96" i="4" s="1"/>
  <c r="AD94" i="1"/>
  <c r="G92" i="4" s="1"/>
  <c r="AE79" i="1"/>
  <c r="H77" i="4" s="1"/>
  <c r="AD72" i="1"/>
  <c r="G70" i="4" s="1"/>
  <c r="AE72" i="1"/>
  <c r="H70" i="4" s="1"/>
  <c r="AF72" i="1"/>
  <c r="I70" i="4" s="1"/>
  <c r="AG72" i="1"/>
  <c r="J70" i="4" s="1"/>
  <c r="AE56" i="1"/>
  <c r="H54" i="4" s="1"/>
  <c r="AE32" i="1"/>
  <c r="H30" i="4" s="1"/>
  <c r="AD24" i="1"/>
  <c r="G22" i="4" s="1"/>
  <c r="AE24" i="1"/>
  <c r="H22" i="4" s="1"/>
  <c r="AF24" i="1"/>
  <c r="I22" i="4" s="1"/>
  <c r="AG24" i="1"/>
  <c r="J22" i="4" s="1"/>
  <c r="AD23" i="1"/>
  <c r="G21" i="4" s="1"/>
  <c r="AE23" i="1"/>
  <c r="H21" i="4" s="1"/>
  <c r="AF23" i="1"/>
  <c r="I21" i="4" s="1"/>
  <c r="AE21" i="1"/>
  <c r="H19" i="4" s="1"/>
  <c r="AG23" i="1"/>
  <c r="J21" i="4" s="1"/>
  <c r="AF308" i="1"/>
  <c r="I306" i="4" s="1"/>
  <c r="AF296" i="1"/>
  <c r="I294" i="4" s="1"/>
  <c r="AF284" i="1"/>
  <c r="I282" i="4" s="1"/>
  <c r="AF272" i="1"/>
  <c r="I270" i="4" s="1"/>
  <c r="AD251" i="1"/>
  <c r="G249" i="4" s="1"/>
  <c r="AF251" i="1"/>
  <c r="I249" i="4" s="1"/>
  <c r="AG251" i="1"/>
  <c r="J249" i="4" s="1"/>
  <c r="AD216" i="1"/>
  <c r="G214" i="4" s="1"/>
  <c r="AE216" i="1"/>
  <c r="H214" i="4" s="1"/>
  <c r="AF216" i="1"/>
  <c r="I214" i="4" s="1"/>
  <c r="AG216" i="1"/>
  <c r="J214" i="4" s="1"/>
  <c r="AD192" i="1"/>
  <c r="G190" i="4" s="1"/>
  <c r="AE192" i="1"/>
  <c r="H190" i="4" s="1"/>
  <c r="AF192" i="1"/>
  <c r="I190" i="4" s="1"/>
  <c r="AG192" i="1"/>
  <c r="J190" i="4" s="1"/>
  <c r="AG478" i="1"/>
  <c r="J476" i="4" s="1"/>
  <c r="AG466" i="1"/>
  <c r="J464" i="4" s="1"/>
  <c r="AE464" i="1"/>
  <c r="H462" i="4" s="1"/>
  <c r="AG454" i="1"/>
  <c r="J452" i="4" s="1"/>
  <c r="AE452" i="1"/>
  <c r="H450" i="4" s="1"/>
  <c r="AG442" i="1"/>
  <c r="J440" i="4" s="1"/>
  <c r="AE440" i="1"/>
  <c r="H438" i="4" s="1"/>
  <c r="AG430" i="1"/>
  <c r="J428" i="4" s="1"/>
  <c r="AE428" i="1"/>
  <c r="H426" i="4" s="1"/>
  <c r="AG418" i="1"/>
  <c r="J416" i="4" s="1"/>
  <c r="AE416" i="1"/>
  <c r="H414" i="4" s="1"/>
  <c r="AG406" i="1"/>
  <c r="J404" i="4" s="1"/>
  <c r="AE404" i="1"/>
  <c r="H402" i="4" s="1"/>
  <c r="AG394" i="1"/>
  <c r="J392" i="4" s="1"/>
  <c r="AE392" i="1"/>
  <c r="H390" i="4" s="1"/>
  <c r="AG382" i="1"/>
  <c r="J380" i="4" s="1"/>
  <c r="AE380" i="1"/>
  <c r="H378" i="4" s="1"/>
  <c r="AG370" i="1"/>
  <c r="J368" i="4" s="1"/>
  <c r="AE368" i="1"/>
  <c r="H366" i="4" s="1"/>
  <c r="AG358" i="1"/>
  <c r="J356" i="4" s="1"/>
  <c r="AE356" i="1"/>
  <c r="H354" i="4" s="1"/>
  <c r="AG346" i="1"/>
  <c r="J344" i="4" s="1"/>
  <c r="AE344" i="1"/>
  <c r="H342" i="4" s="1"/>
  <c r="AG334" i="1"/>
  <c r="J332" i="4" s="1"/>
  <c r="AE332" i="1"/>
  <c r="H330" i="4" s="1"/>
  <c r="AG322" i="1"/>
  <c r="J320" i="4" s="1"/>
  <c r="AE320" i="1"/>
  <c r="H318" i="4" s="1"/>
  <c r="AG310" i="1"/>
  <c r="J308" i="4" s="1"/>
  <c r="AE308" i="1"/>
  <c r="H306" i="4" s="1"/>
  <c r="AG298" i="1"/>
  <c r="J296" i="4" s="1"/>
  <c r="AE296" i="1"/>
  <c r="H294" i="4" s="1"/>
  <c r="AG286" i="1"/>
  <c r="J284" i="4" s="1"/>
  <c r="AE284" i="1"/>
  <c r="H282" i="4" s="1"/>
  <c r="AG274" i="1"/>
  <c r="J272" i="4" s="1"/>
  <c r="AE272" i="1"/>
  <c r="H270" i="4" s="1"/>
  <c r="AD263" i="1"/>
  <c r="G261" i="4" s="1"/>
  <c r="AF263" i="1"/>
  <c r="I261" i="4" s="1"/>
  <c r="AG263" i="1"/>
  <c r="J261" i="4" s="1"/>
  <c r="AE151" i="1"/>
  <c r="H149" i="4" s="1"/>
  <c r="AD108" i="1"/>
  <c r="G106" i="4" s="1"/>
  <c r="AE108" i="1"/>
  <c r="H106" i="4" s="1"/>
  <c r="AF108" i="1"/>
  <c r="I106" i="4" s="1"/>
  <c r="AG108" i="1"/>
  <c r="J106" i="4" s="1"/>
  <c r="AG93" i="1"/>
  <c r="J91" i="4" s="1"/>
  <c r="AD48" i="1"/>
  <c r="G46" i="4" s="1"/>
  <c r="AE48" i="1"/>
  <c r="H46" i="4" s="1"/>
  <c r="AD46" i="1"/>
  <c r="G44" i="4" s="1"/>
  <c r="AF48" i="1"/>
  <c r="I46" i="4" s="1"/>
  <c r="AE46" i="1"/>
  <c r="H44" i="4" s="1"/>
  <c r="AG48" i="1"/>
  <c r="J46" i="4" s="1"/>
  <c r="AF46" i="1"/>
  <c r="I44" i="4" s="1"/>
  <c r="AD47" i="1"/>
  <c r="G45" i="4" s="1"/>
  <c r="AE47" i="1"/>
  <c r="H45" i="4" s="1"/>
  <c r="AF47" i="1"/>
  <c r="I45" i="4" s="1"/>
  <c r="AE45" i="1"/>
  <c r="H43" i="4" s="1"/>
  <c r="AG47" i="1"/>
  <c r="J45" i="4" s="1"/>
  <c r="AF478" i="1"/>
  <c r="I476" i="4" s="1"/>
  <c r="AG473" i="1"/>
  <c r="J471" i="4" s="1"/>
  <c r="AF466" i="1"/>
  <c r="I464" i="4" s="1"/>
  <c r="AF454" i="1"/>
  <c r="I452" i="4" s="1"/>
  <c r="AF442" i="1"/>
  <c r="I440" i="4" s="1"/>
  <c r="AF430" i="1"/>
  <c r="I428" i="4" s="1"/>
  <c r="AF418" i="1"/>
  <c r="I416" i="4" s="1"/>
  <c r="AF406" i="1"/>
  <c r="I404" i="4" s="1"/>
  <c r="AF394" i="1"/>
  <c r="I392" i="4" s="1"/>
  <c r="AF382" i="1"/>
  <c r="I380" i="4" s="1"/>
  <c r="AF370" i="1"/>
  <c r="I368" i="4" s="1"/>
  <c r="AF358" i="1"/>
  <c r="I356" i="4" s="1"/>
  <c r="AF346" i="1"/>
  <c r="I344" i="4" s="1"/>
  <c r="AF334" i="1"/>
  <c r="I332" i="4" s="1"/>
  <c r="AF322" i="1"/>
  <c r="I320" i="4" s="1"/>
  <c r="AF310" i="1"/>
  <c r="I308" i="4" s="1"/>
  <c r="AF298" i="1"/>
  <c r="I296" i="4" s="1"/>
  <c r="AF286" i="1"/>
  <c r="I284" i="4" s="1"/>
  <c r="AF274" i="1"/>
  <c r="I272" i="4" s="1"/>
  <c r="AD240" i="1"/>
  <c r="G238" i="4" s="1"/>
  <c r="AE240" i="1"/>
  <c r="H238" i="4" s="1"/>
  <c r="AF240" i="1"/>
  <c r="I238" i="4" s="1"/>
  <c r="AG240" i="1"/>
  <c r="J238" i="4" s="1"/>
  <c r="AE239" i="1"/>
  <c r="H237" i="4" s="1"/>
  <c r="AE214" i="1"/>
  <c r="H212" i="4" s="1"/>
  <c r="AD190" i="1"/>
  <c r="G188" i="4" s="1"/>
  <c r="AF181" i="1"/>
  <c r="I179" i="4" s="1"/>
  <c r="AG175" i="1"/>
  <c r="J173" i="4" s="1"/>
  <c r="AD168" i="1"/>
  <c r="G166" i="4" s="1"/>
  <c r="AE168" i="1"/>
  <c r="H166" i="4" s="1"/>
  <c r="AF168" i="1"/>
  <c r="I166" i="4" s="1"/>
  <c r="AG168" i="1"/>
  <c r="J166" i="4" s="1"/>
  <c r="AF106" i="1"/>
  <c r="I104" i="4" s="1"/>
  <c r="AG98" i="1"/>
  <c r="J96" i="4" s="1"/>
  <c r="AE286" i="1"/>
  <c r="H284" i="4" s="1"/>
  <c r="AE274" i="1"/>
  <c r="H272" i="4" s="1"/>
  <c r="AD269" i="1"/>
  <c r="G267" i="4" s="1"/>
  <c r="AE269" i="1"/>
  <c r="H267" i="4" s="1"/>
  <c r="AG269" i="1"/>
  <c r="J267" i="4" s="1"/>
  <c r="AF145" i="1"/>
  <c r="I143" i="4" s="1"/>
  <c r="AD106" i="1"/>
  <c r="G104" i="4" s="1"/>
  <c r="AG69" i="1"/>
  <c r="J67" i="4" s="1"/>
  <c r="AG50" i="1"/>
  <c r="J48" i="4" s="1"/>
  <c r="AG46" i="1"/>
  <c r="J44" i="4" s="1"/>
  <c r="AG21" i="1"/>
  <c r="J19" i="4" s="1"/>
  <c r="AF492" i="1"/>
  <c r="I490" i="4" s="1"/>
  <c r="AG487" i="1"/>
  <c r="J485" i="4" s="1"/>
  <c r="AF480" i="1"/>
  <c r="I478" i="4" s="1"/>
  <c r="AG475" i="1"/>
  <c r="J473" i="4" s="1"/>
  <c r="AG463" i="1"/>
  <c r="J461" i="4" s="1"/>
  <c r="AG451" i="1"/>
  <c r="J449" i="4" s="1"/>
  <c r="AG439" i="1"/>
  <c r="J437" i="4" s="1"/>
  <c r="AG427" i="1"/>
  <c r="J425" i="4" s="1"/>
  <c r="AG415" i="1"/>
  <c r="J413" i="4" s="1"/>
  <c r="AG403" i="1"/>
  <c r="J401" i="4" s="1"/>
  <c r="AG391" i="1"/>
  <c r="J389" i="4" s="1"/>
  <c r="AG379" i="1"/>
  <c r="J377" i="4" s="1"/>
  <c r="AG367" i="1"/>
  <c r="J365" i="4" s="1"/>
  <c r="AG355" i="1"/>
  <c r="J353" i="4" s="1"/>
  <c r="AG343" i="1"/>
  <c r="J341" i="4" s="1"/>
  <c r="AG331" i="1"/>
  <c r="J329" i="4" s="1"/>
  <c r="AG319" i="1"/>
  <c r="J317" i="4" s="1"/>
  <c r="AG307" i="1"/>
  <c r="J305" i="4" s="1"/>
  <c r="AG295" i="1"/>
  <c r="J293" i="4" s="1"/>
  <c r="AG283" i="1"/>
  <c r="J281" i="4" s="1"/>
  <c r="AG271" i="1"/>
  <c r="J269" i="4" s="1"/>
  <c r="AE211" i="1"/>
  <c r="H209" i="4" s="1"/>
  <c r="AF205" i="1"/>
  <c r="I203" i="4" s="1"/>
  <c r="AF194" i="1"/>
  <c r="I192" i="4" s="1"/>
  <c r="AE187" i="1"/>
  <c r="H185" i="4" s="1"/>
  <c r="AE174" i="1"/>
  <c r="H172" i="4" s="1"/>
  <c r="AE166" i="1"/>
  <c r="H164" i="4" s="1"/>
  <c r="AG158" i="1"/>
  <c r="J156" i="4" s="1"/>
  <c r="AG151" i="1"/>
  <c r="J149" i="4" s="1"/>
  <c r="AD144" i="1"/>
  <c r="G142" i="4" s="1"/>
  <c r="AE144" i="1"/>
  <c r="H142" i="4" s="1"/>
  <c r="AF144" i="1"/>
  <c r="I142" i="4" s="1"/>
  <c r="AG144" i="1"/>
  <c r="J142" i="4" s="1"/>
  <c r="AF110" i="1"/>
  <c r="I108" i="4" s="1"/>
  <c r="AF105" i="1"/>
  <c r="I103" i="4" s="1"/>
  <c r="AE91" i="1"/>
  <c r="H89" i="4" s="1"/>
  <c r="AD84" i="1"/>
  <c r="G82" i="4" s="1"/>
  <c r="AE84" i="1"/>
  <c r="H82" i="4" s="1"/>
  <c r="AF84" i="1"/>
  <c r="I82" i="4" s="1"/>
  <c r="AG84" i="1"/>
  <c r="J82" i="4" s="1"/>
  <c r="AF74" i="1"/>
  <c r="I72" i="4" s="1"/>
  <c r="AE68" i="1"/>
  <c r="H66" i="4" s="1"/>
  <c r="AF45" i="1"/>
  <c r="I43" i="4" s="1"/>
  <c r="AF38" i="1"/>
  <c r="I36" i="4" s="1"/>
  <c r="AD20" i="1"/>
  <c r="G18" i="4" s="1"/>
  <c r="AG249" i="1"/>
  <c r="J247" i="4" s="1"/>
  <c r="AD249" i="1"/>
  <c r="G247" i="4" s="1"/>
  <c r="AE249" i="1"/>
  <c r="H247" i="4" s="1"/>
  <c r="AG196" i="1"/>
  <c r="J194" i="4" s="1"/>
  <c r="AG105" i="1"/>
  <c r="J103" i="4" s="1"/>
  <c r="AF82" i="1"/>
  <c r="I80" i="4" s="1"/>
  <c r="AG45" i="1"/>
  <c r="J43" i="4" s="1"/>
  <c r="AE487" i="1"/>
  <c r="H485" i="4" s="1"/>
  <c r="AE475" i="1"/>
  <c r="H473" i="4" s="1"/>
  <c r="AE463" i="1"/>
  <c r="H461" i="4" s="1"/>
  <c r="AE451" i="1"/>
  <c r="H449" i="4" s="1"/>
  <c r="AE439" i="1"/>
  <c r="H437" i="4" s="1"/>
  <c r="AE427" i="1"/>
  <c r="H425" i="4" s="1"/>
  <c r="AE415" i="1"/>
  <c r="H413" i="4" s="1"/>
  <c r="AE403" i="1"/>
  <c r="H401" i="4" s="1"/>
  <c r="AE391" i="1"/>
  <c r="H389" i="4" s="1"/>
  <c r="AE379" i="1"/>
  <c r="H377" i="4" s="1"/>
  <c r="AE367" i="1"/>
  <c r="H365" i="4" s="1"/>
  <c r="AE355" i="1"/>
  <c r="H353" i="4" s="1"/>
  <c r="AE343" i="1"/>
  <c r="H341" i="4" s="1"/>
  <c r="AE331" i="1"/>
  <c r="H329" i="4" s="1"/>
  <c r="AE319" i="1"/>
  <c r="H317" i="4" s="1"/>
  <c r="AE307" i="1"/>
  <c r="H305" i="4" s="1"/>
  <c r="AE295" i="1"/>
  <c r="H293" i="4" s="1"/>
  <c r="AE283" i="1"/>
  <c r="H281" i="4" s="1"/>
  <c r="AE271" i="1"/>
  <c r="H269" i="4" s="1"/>
  <c r="AG261" i="1"/>
  <c r="J259" i="4" s="1"/>
  <c r="AD261" i="1"/>
  <c r="G259" i="4" s="1"/>
  <c r="AE261" i="1"/>
  <c r="H259" i="4" s="1"/>
  <c r="AE235" i="1"/>
  <c r="H233" i="4" s="1"/>
  <c r="AD204" i="1"/>
  <c r="G202" i="4" s="1"/>
  <c r="AE204" i="1"/>
  <c r="H202" i="4" s="1"/>
  <c r="AF204" i="1"/>
  <c r="I202" i="4" s="1"/>
  <c r="AG204" i="1"/>
  <c r="J202" i="4" s="1"/>
  <c r="AG172" i="1"/>
  <c r="J170" i="4" s="1"/>
  <c r="AE163" i="1"/>
  <c r="H161" i="4" s="1"/>
  <c r="AE150" i="1"/>
  <c r="H148" i="4" s="1"/>
  <c r="AD120" i="1"/>
  <c r="G118" i="4" s="1"/>
  <c r="AE120" i="1"/>
  <c r="H118" i="4" s="1"/>
  <c r="AF120" i="1"/>
  <c r="I118" i="4" s="1"/>
  <c r="AG120" i="1"/>
  <c r="J118" i="4" s="1"/>
  <c r="AG89" i="1"/>
  <c r="J87" i="4" s="1"/>
  <c r="AD60" i="1"/>
  <c r="G58" i="4" s="1"/>
  <c r="AE60" i="1"/>
  <c r="H58" i="4" s="1"/>
  <c r="AF60" i="1"/>
  <c r="I58" i="4" s="1"/>
  <c r="AG60" i="1"/>
  <c r="J58" i="4" s="1"/>
  <c r="AF51" i="1"/>
  <c r="I49" i="4" s="1"/>
  <c r="AE44" i="1"/>
  <c r="H42" i="4" s="1"/>
  <c r="AD36" i="1"/>
  <c r="G34" i="4" s="1"/>
  <c r="AE36" i="1"/>
  <c r="H34" i="4" s="1"/>
  <c r="AD34" i="1"/>
  <c r="G32" i="4" s="1"/>
  <c r="AF36" i="1"/>
  <c r="I34" i="4" s="1"/>
  <c r="AG36" i="1"/>
  <c r="J34" i="4" s="1"/>
  <c r="AD35" i="1"/>
  <c r="G33" i="4" s="1"/>
  <c r="AE35" i="1"/>
  <c r="H33" i="4" s="1"/>
  <c r="AF35" i="1"/>
  <c r="I33" i="4" s="1"/>
  <c r="AE33" i="1"/>
  <c r="H31" i="4" s="1"/>
  <c r="AG35" i="1"/>
  <c r="J33" i="4" s="1"/>
  <c r="AE27" i="1"/>
  <c r="H25" i="4" s="1"/>
  <c r="AE19" i="1"/>
  <c r="H17" i="4" s="1"/>
  <c r="AD228" i="1"/>
  <c r="G226" i="4" s="1"/>
  <c r="AE228" i="1"/>
  <c r="H226" i="4" s="1"/>
  <c r="AF228" i="1"/>
  <c r="I226" i="4" s="1"/>
  <c r="AG228" i="1"/>
  <c r="J226" i="4" s="1"/>
  <c r="AG218" i="1"/>
  <c r="J216" i="4" s="1"/>
  <c r="AF202" i="1"/>
  <c r="I200" i="4" s="1"/>
  <c r="AG194" i="1"/>
  <c r="J192" i="4" s="1"/>
  <c r="AD180" i="1"/>
  <c r="G178" i="4" s="1"/>
  <c r="AE180" i="1"/>
  <c r="H178" i="4" s="1"/>
  <c r="AF180" i="1"/>
  <c r="I178" i="4" s="1"/>
  <c r="AG180" i="1"/>
  <c r="J178" i="4" s="1"/>
  <c r="AF146" i="1"/>
  <c r="I144" i="4" s="1"/>
  <c r="AD118" i="1"/>
  <c r="G116" i="4" s="1"/>
  <c r="AF81" i="1"/>
  <c r="I79" i="4" s="1"/>
  <c r="AE58" i="1"/>
  <c r="H56" i="4" s="1"/>
  <c r="AF178" i="1"/>
  <c r="I176" i="4" s="1"/>
  <c r="AG170" i="1"/>
  <c r="J168" i="4" s="1"/>
  <c r="AG134" i="1"/>
  <c r="J132" i="4" s="1"/>
  <c r="AE103" i="1"/>
  <c r="H101" i="4" s="1"/>
  <c r="AG81" i="1"/>
  <c r="J79" i="4" s="1"/>
  <c r="AG62" i="1"/>
  <c r="J60" i="4" s="1"/>
  <c r="AD58" i="1"/>
  <c r="G56" i="4" s="1"/>
  <c r="AE43" i="1"/>
  <c r="H41" i="4" s="1"/>
  <c r="AE34" i="1"/>
  <c r="H32" i="4" s="1"/>
  <c r="AF244" i="1"/>
  <c r="I242" i="4" s="1"/>
  <c r="AD242" i="1"/>
  <c r="G240" i="4" s="1"/>
  <c r="AG239" i="1"/>
  <c r="J237" i="4" s="1"/>
  <c r="AE237" i="1"/>
  <c r="H235" i="4" s="1"/>
  <c r="AF232" i="1"/>
  <c r="I230" i="4" s="1"/>
  <c r="AD230" i="1"/>
  <c r="G228" i="4" s="1"/>
  <c r="AG227" i="1"/>
  <c r="J225" i="4" s="1"/>
  <c r="AE225" i="1"/>
  <c r="H223" i="4" s="1"/>
  <c r="AF220" i="1"/>
  <c r="I218" i="4" s="1"/>
  <c r="AD218" i="1"/>
  <c r="G216" i="4" s="1"/>
  <c r="AG215" i="1"/>
  <c r="J213" i="4" s="1"/>
  <c r="AE213" i="1"/>
  <c r="H211" i="4" s="1"/>
  <c r="AF208" i="1"/>
  <c r="I206" i="4" s="1"/>
  <c r="AD206" i="1"/>
  <c r="G204" i="4" s="1"/>
  <c r="AG203" i="1"/>
  <c r="J201" i="4" s="1"/>
  <c r="AE201" i="1"/>
  <c r="H199" i="4" s="1"/>
  <c r="AF196" i="1"/>
  <c r="I194" i="4" s="1"/>
  <c r="AD194" i="1"/>
  <c r="G192" i="4" s="1"/>
  <c r="AG191" i="1"/>
  <c r="J189" i="4" s="1"/>
  <c r="AE189" i="1"/>
  <c r="H187" i="4" s="1"/>
  <c r="AF184" i="1"/>
  <c r="I182" i="4" s="1"/>
  <c r="AD182" i="1"/>
  <c r="G180" i="4" s="1"/>
  <c r="AG179" i="1"/>
  <c r="J177" i="4" s="1"/>
  <c r="AE177" i="1"/>
  <c r="H175" i="4" s="1"/>
  <c r="AF172" i="1"/>
  <c r="I170" i="4" s="1"/>
  <c r="AD170" i="1"/>
  <c r="G168" i="4" s="1"/>
  <c r="AG167" i="1"/>
  <c r="J165" i="4" s="1"/>
  <c r="AE165" i="1"/>
  <c r="H163" i="4" s="1"/>
  <c r="AF160" i="1"/>
  <c r="I158" i="4" s="1"/>
  <c r="AD158" i="1"/>
  <c r="G156" i="4" s="1"/>
  <c r="AG155" i="1"/>
  <c r="J153" i="4" s="1"/>
  <c r="AE153" i="1"/>
  <c r="H151" i="4" s="1"/>
  <c r="AF148" i="1"/>
  <c r="I146" i="4" s="1"/>
  <c r="AD146" i="1"/>
  <c r="G144" i="4" s="1"/>
  <c r="AG143" i="1"/>
  <c r="J141" i="4" s="1"/>
  <c r="AE141" i="1"/>
  <c r="H139" i="4" s="1"/>
  <c r="AF136" i="1"/>
  <c r="I134" i="4" s="1"/>
  <c r="AD134" i="1"/>
  <c r="G132" i="4" s="1"/>
  <c r="AG131" i="1"/>
  <c r="J129" i="4" s="1"/>
  <c r="AE129" i="1"/>
  <c r="H127" i="4" s="1"/>
  <c r="AF124" i="1"/>
  <c r="I122" i="4" s="1"/>
  <c r="AD122" i="1"/>
  <c r="G120" i="4" s="1"/>
  <c r="AG119" i="1"/>
  <c r="J117" i="4" s="1"/>
  <c r="AE117" i="1"/>
  <c r="H115" i="4" s="1"/>
  <c r="AF112" i="1"/>
  <c r="I110" i="4" s="1"/>
  <c r="AD110" i="1"/>
  <c r="G108" i="4" s="1"/>
  <c r="AG107" i="1"/>
  <c r="J105" i="4" s="1"/>
  <c r="AE105" i="1"/>
  <c r="H103" i="4" s="1"/>
  <c r="AF100" i="1"/>
  <c r="I98" i="4" s="1"/>
  <c r="AG95" i="1"/>
  <c r="J93" i="4" s="1"/>
  <c r="AE93" i="1"/>
  <c r="H91" i="4" s="1"/>
  <c r="AF88" i="1"/>
  <c r="I86" i="4" s="1"/>
  <c r="AG83" i="1"/>
  <c r="J81" i="4" s="1"/>
  <c r="AE81" i="1"/>
  <c r="H79" i="4" s="1"/>
  <c r="AF76" i="1"/>
  <c r="I74" i="4" s="1"/>
  <c r="AG71" i="1"/>
  <c r="J69" i="4" s="1"/>
  <c r="AE69" i="1"/>
  <c r="H67" i="4" s="1"/>
  <c r="AF64" i="1"/>
  <c r="I62" i="4" s="1"/>
  <c r="AG59" i="1"/>
  <c r="J57" i="4" s="1"/>
  <c r="AE57" i="1"/>
  <c r="H55" i="4" s="1"/>
  <c r="AF52" i="1"/>
  <c r="I50" i="4" s="1"/>
  <c r="AF40" i="1"/>
  <c r="I38" i="4" s="1"/>
  <c r="AF28" i="1"/>
  <c r="I26" i="4" s="1"/>
  <c r="AG258" i="1"/>
  <c r="J256" i="4" s="1"/>
  <c r="AG246" i="1"/>
  <c r="J244" i="4" s="1"/>
  <c r="AE244" i="1"/>
  <c r="H242" i="4" s="1"/>
  <c r="AF239" i="1"/>
  <c r="I237" i="4" s="1"/>
  <c r="AD237" i="1"/>
  <c r="G235" i="4" s="1"/>
  <c r="AG234" i="1"/>
  <c r="J232" i="4" s="1"/>
  <c r="AE232" i="1"/>
  <c r="H230" i="4" s="1"/>
  <c r="AF227" i="1"/>
  <c r="I225" i="4" s="1"/>
  <c r="AD225" i="1"/>
  <c r="G223" i="4" s="1"/>
  <c r="AG222" i="1"/>
  <c r="J220" i="4" s="1"/>
  <c r="AE220" i="1"/>
  <c r="H218" i="4" s="1"/>
  <c r="AF215" i="1"/>
  <c r="I213" i="4" s="1"/>
  <c r="AD213" i="1"/>
  <c r="G211" i="4" s="1"/>
  <c r="AG210" i="1"/>
  <c r="J208" i="4" s="1"/>
  <c r="AE208" i="1"/>
  <c r="H206" i="4" s="1"/>
  <c r="AF203" i="1"/>
  <c r="I201" i="4" s="1"/>
  <c r="AD201" i="1"/>
  <c r="G199" i="4" s="1"/>
  <c r="AG198" i="1"/>
  <c r="J196" i="4" s="1"/>
  <c r="AE196" i="1"/>
  <c r="H194" i="4" s="1"/>
  <c r="AF191" i="1"/>
  <c r="I189" i="4" s="1"/>
  <c r="AD189" i="1"/>
  <c r="G187" i="4" s="1"/>
  <c r="AG186" i="1"/>
  <c r="J184" i="4" s="1"/>
  <c r="AE184" i="1"/>
  <c r="H182" i="4" s="1"/>
  <c r="AF179" i="1"/>
  <c r="I177" i="4" s="1"/>
  <c r="AD177" i="1"/>
  <c r="G175" i="4" s="1"/>
  <c r="AG174" i="1"/>
  <c r="J172" i="4" s="1"/>
  <c r="AE172" i="1"/>
  <c r="H170" i="4" s="1"/>
  <c r="AF167" i="1"/>
  <c r="I165" i="4" s="1"/>
  <c r="AD165" i="1"/>
  <c r="G163" i="4" s="1"/>
  <c r="AG162" i="1"/>
  <c r="J160" i="4" s="1"/>
  <c r="AE160" i="1"/>
  <c r="H158" i="4" s="1"/>
  <c r="AF155" i="1"/>
  <c r="I153" i="4" s="1"/>
  <c r="AD153" i="1"/>
  <c r="G151" i="4" s="1"/>
  <c r="AG150" i="1"/>
  <c r="J148" i="4" s="1"/>
  <c r="AE148" i="1"/>
  <c r="H146" i="4" s="1"/>
  <c r="AF143" i="1"/>
  <c r="I141" i="4" s="1"/>
  <c r="AD141" i="1"/>
  <c r="G139" i="4" s="1"/>
  <c r="AG138" i="1"/>
  <c r="J136" i="4" s="1"/>
  <c r="AE136" i="1"/>
  <c r="H134" i="4" s="1"/>
  <c r="AF131" i="1"/>
  <c r="I129" i="4" s="1"/>
  <c r="AD129" i="1"/>
  <c r="G127" i="4" s="1"/>
  <c r="AG126" i="1"/>
  <c r="J124" i="4" s="1"/>
  <c r="AE124" i="1"/>
  <c r="H122" i="4" s="1"/>
  <c r="AF119" i="1"/>
  <c r="I117" i="4" s="1"/>
  <c r="AD117" i="1"/>
  <c r="G115" i="4" s="1"/>
  <c r="AG114" i="1"/>
  <c r="J112" i="4" s="1"/>
  <c r="AE112" i="1"/>
  <c r="H110" i="4" s="1"/>
  <c r="AF107" i="1"/>
  <c r="I105" i="4" s="1"/>
  <c r="AD105" i="1"/>
  <c r="G103" i="4" s="1"/>
  <c r="AG102" i="1"/>
  <c r="J100" i="4" s="1"/>
  <c r="AE100" i="1"/>
  <c r="H98" i="4" s="1"/>
  <c r="AF95" i="1"/>
  <c r="I93" i="4" s="1"/>
  <c r="AD93" i="1"/>
  <c r="G91" i="4" s="1"/>
  <c r="AG90" i="1"/>
  <c r="J88" i="4" s="1"/>
  <c r="AE88" i="1"/>
  <c r="H86" i="4" s="1"/>
  <c r="AF83" i="1"/>
  <c r="I81" i="4" s="1"/>
  <c r="AD81" i="1"/>
  <c r="G79" i="4" s="1"/>
  <c r="AG78" i="1"/>
  <c r="J76" i="4" s="1"/>
  <c r="AE76" i="1"/>
  <c r="H74" i="4" s="1"/>
  <c r="AF71" i="1"/>
  <c r="I69" i="4" s="1"/>
  <c r="AD69" i="1"/>
  <c r="G67" i="4" s="1"/>
  <c r="AG66" i="1"/>
  <c r="J64" i="4" s="1"/>
  <c r="AE64" i="1"/>
  <c r="H62" i="4" s="1"/>
  <c r="AF59" i="1"/>
  <c r="I57" i="4" s="1"/>
  <c r="AD57" i="1"/>
  <c r="G55" i="4" s="1"/>
  <c r="AG54" i="1"/>
  <c r="J52" i="4" s="1"/>
  <c r="AE52" i="1"/>
  <c r="H50" i="4" s="1"/>
  <c r="AD45" i="1"/>
  <c r="G43" i="4" s="1"/>
  <c r="AG42" i="1"/>
  <c r="J40" i="4" s="1"/>
  <c r="AE40" i="1"/>
  <c r="H38" i="4" s="1"/>
  <c r="AD33" i="1"/>
  <c r="G31" i="4" s="1"/>
  <c r="AG30" i="1"/>
  <c r="J28" i="4" s="1"/>
  <c r="AE28" i="1"/>
  <c r="H26" i="4" s="1"/>
  <c r="AD21" i="1"/>
  <c r="G19" i="4" s="1"/>
  <c r="AG18" i="1"/>
  <c r="J16" i="4" s="1"/>
  <c r="AF234" i="1"/>
  <c r="I232" i="4" s="1"/>
  <c r="AG229" i="1"/>
  <c r="J227" i="4" s="1"/>
  <c r="AE227" i="1"/>
  <c r="H225" i="4" s="1"/>
  <c r="AF222" i="1"/>
  <c r="I220" i="4" s="1"/>
  <c r="AG217" i="1"/>
  <c r="J215" i="4" s="1"/>
  <c r="AE215" i="1"/>
  <c r="H213" i="4" s="1"/>
  <c r="AF210" i="1"/>
  <c r="I208" i="4" s="1"/>
  <c r="AG205" i="1"/>
  <c r="J203" i="4" s="1"/>
  <c r="AE203" i="1"/>
  <c r="H201" i="4" s="1"/>
  <c r="AF198" i="1"/>
  <c r="I196" i="4" s="1"/>
  <c r="AG193" i="1"/>
  <c r="J191" i="4" s="1"/>
  <c r="AE191" i="1"/>
  <c r="H189" i="4" s="1"/>
  <c r="AF186" i="1"/>
  <c r="I184" i="4" s="1"/>
  <c r="AG181" i="1"/>
  <c r="J179" i="4" s="1"/>
  <c r="AE179" i="1"/>
  <c r="H177" i="4" s="1"/>
  <c r="AF174" i="1"/>
  <c r="I172" i="4" s="1"/>
  <c r="AG169" i="1"/>
  <c r="J167" i="4" s="1"/>
  <c r="AE167" i="1"/>
  <c r="H165" i="4" s="1"/>
  <c r="AF162" i="1"/>
  <c r="I160" i="4" s="1"/>
  <c r="AG157" i="1"/>
  <c r="J155" i="4" s="1"/>
  <c r="AE155" i="1"/>
  <c r="H153" i="4" s="1"/>
  <c r="AF150" i="1"/>
  <c r="I148" i="4" s="1"/>
  <c r="AG145" i="1"/>
  <c r="J143" i="4" s="1"/>
  <c r="AE143" i="1"/>
  <c r="H141" i="4" s="1"/>
  <c r="AF138" i="1"/>
  <c r="I136" i="4" s="1"/>
  <c r="AG133" i="1"/>
  <c r="J131" i="4" s="1"/>
  <c r="AE131" i="1"/>
  <c r="H129" i="4" s="1"/>
  <c r="AF126" i="1"/>
  <c r="I124" i="4" s="1"/>
  <c r="AG121" i="1"/>
  <c r="J119" i="4" s="1"/>
  <c r="AE119" i="1"/>
  <c r="H117" i="4" s="1"/>
  <c r="AF114" i="1"/>
  <c r="I112" i="4" s="1"/>
  <c r="AG109" i="1"/>
  <c r="J107" i="4" s="1"/>
  <c r="AE107" i="1"/>
  <c r="H105" i="4" s="1"/>
  <c r="AF102" i="1"/>
  <c r="I100" i="4" s="1"/>
  <c r="AG97" i="1"/>
  <c r="J95" i="4" s="1"/>
  <c r="AE95" i="1"/>
  <c r="H93" i="4" s="1"/>
  <c r="AF90" i="1"/>
  <c r="I88" i="4" s="1"/>
  <c r="AD88" i="1"/>
  <c r="G86" i="4" s="1"/>
  <c r="AG85" i="1"/>
  <c r="J83" i="4" s="1"/>
  <c r="AE83" i="1"/>
  <c r="H81" i="4" s="1"/>
  <c r="AF78" i="1"/>
  <c r="I76" i="4" s="1"/>
  <c r="AD76" i="1"/>
  <c r="G74" i="4" s="1"/>
  <c r="AG73" i="1"/>
  <c r="J71" i="4" s="1"/>
  <c r="AE71" i="1"/>
  <c r="H69" i="4" s="1"/>
  <c r="AF66" i="1"/>
  <c r="I64" i="4" s="1"/>
  <c r="AD64" i="1"/>
  <c r="G62" i="4" s="1"/>
  <c r="AG61" i="1"/>
  <c r="J59" i="4" s="1"/>
  <c r="AE59" i="1"/>
  <c r="H57" i="4" s="1"/>
  <c r="AF54" i="1"/>
  <c r="I52" i="4" s="1"/>
  <c r="AD52" i="1"/>
  <c r="G50" i="4" s="1"/>
  <c r="AG49" i="1"/>
  <c r="J47" i="4" s="1"/>
  <c r="AF42" i="1"/>
  <c r="I40" i="4" s="1"/>
  <c r="AD40" i="1"/>
  <c r="G38" i="4" s="1"/>
  <c r="AG37" i="1"/>
  <c r="J35" i="4" s="1"/>
  <c r="AF30" i="1"/>
  <c r="I28" i="4" s="1"/>
  <c r="AD28" i="1"/>
  <c r="G26" i="4" s="1"/>
  <c r="AG25" i="1"/>
  <c r="J23" i="4" s="1"/>
  <c r="AF18" i="1"/>
  <c r="I16" i="4" s="1"/>
  <c r="AG260" i="1"/>
  <c r="J258" i="4" s="1"/>
  <c r="AG248" i="1"/>
  <c r="J246" i="4" s="1"/>
  <c r="AF241" i="1"/>
  <c r="I239" i="4" s="1"/>
  <c r="AD239" i="1"/>
  <c r="G237" i="4" s="1"/>
  <c r="AG236" i="1"/>
  <c r="J234" i="4" s="1"/>
  <c r="AF229" i="1"/>
  <c r="I227" i="4" s="1"/>
  <c r="AD227" i="1"/>
  <c r="G225" i="4" s="1"/>
  <c r="AG224" i="1"/>
  <c r="J222" i="4" s="1"/>
  <c r="AD215" i="1"/>
  <c r="G213" i="4" s="1"/>
  <c r="AG212" i="1"/>
  <c r="J210" i="4" s="1"/>
  <c r="AD203" i="1"/>
  <c r="G201" i="4" s="1"/>
  <c r="AG200" i="1"/>
  <c r="J198" i="4" s="1"/>
  <c r="AD191" i="1"/>
  <c r="G189" i="4" s="1"/>
  <c r="AD179" i="1"/>
  <c r="G177" i="4" s="1"/>
  <c r="AG176" i="1"/>
  <c r="J174" i="4" s="1"/>
  <c r="AF169" i="1"/>
  <c r="I167" i="4" s="1"/>
  <c r="AD167" i="1"/>
  <c r="G165" i="4" s="1"/>
  <c r="AG164" i="1"/>
  <c r="J162" i="4" s="1"/>
  <c r="AD155" i="1"/>
  <c r="G153" i="4" s="1"/>
  <c r="AG152" i="1"/>
  <c r="J150" i="4" s="1"/>
  <c r="AD143" i="1"/>
  <c r="G141" i="4" s="1"/>
  <c r="AG140" i="1"/>
  <c r="J138" i="4" s="1"/>
  <c r="AD131" i="1"/>
  <c r="G129" i="4" s="1"/>
  <c r="AG128" i="1"/>
  <c r="J126" i="4" s="1"/>
  <c r="AF121" i="1"/>
  <c r="I119" i="4" s="1"/>
  <c r="AD119" i="1"/>
  <c r="G117" i="4" s="1"/>
  <c r="AG116" i="1"/>
  <c r="J114" i="4" s="1"/>
  <c r="AF109" i="1"/>
  <c r="I107" i="4" s="1"/>
  <c r="AD107" i="1"/>
  <c r="G105" i="4" s="1"/>
  <c r="AG104" i="1"/>
  <c r="J102" i="4" s="1"/>
  <c r="AF97" i="1"/>
  <c r="I95" i="4" s="1"/>
  <c r="AD95" i="1"/>
  <c r="G93" i="4" s="1"/>
  <c r="AG92" i="1"/>
  <c r="J90" i="4" s="1"/>
  <c r="AE90" i="1"/>
  <c r="H88" i="4" s="1"/>
  <c r="AF85" i="1"/>
  <c r="I83" i="4" s="1"/>
  <c r="AD83" i="1"/>
  <c r="G81" i="4" s="1"/>
  <c r="AG80" i="1"/>
  <c r="J78" i="4" s="1"/>
  <c r="AE78" i="1"/>
  <c r="H76" i="4" s="1"/>
  <c r="AF73" i="1"/>
  <c r="I71" i="4" s="1"/>
  <c r="AD71" i="1"/>
  <c r="G69" i="4" s="1"/>
  <c r="AG68" i="1"/>
  <c r="J66" i="4" s="1"/>
  <c r="AE66" i="1"/>
  <c r="H64" i="4" s="1"/>
  <c r="AF61" i="1"/>
  <c r="I59" i="4" s="1"/>
  <c r="AD59" i="1"/>
  <c r="G57" i="4" s="1"/>
  <c r="AG56" i="1"/>
  <c r="J54" i="4" s="1"/>
  <c r="AE54" i="1"/>
  <c r="H52" i="4" s="1"/>
  <c r="AF49" i="1"/>
  <c r="I47" i="4" s="1"/>
  <c r="AG44" i="1"/>
  <c r="J42" i="4" s="1"/>
  <c r="AE42" i="1"/>
  <c r="H40" i="4" s="1"/>
  <c r="AF37" i="1"/>
  <c r="I35" i="4" s="1"/>
  <c r="AG32" i="1"/>
  <c r="J30" i="4" s="1"/>
  <c r="AE30" i="1"/>
  <c r="H28" i="4" s="1"/>
  <c r="AF25" i="1"/>
  <c r="I23" i="4" s="1"/>
  <c r="AG20" i="1"/>
  <c r="J18" i="4" s="1"/>
  <c r="AE18" i="1"/>
  <c r="H16" i="4" s="1"/>
  <c r="AF236" i="1"/>
  <c r="I234" i="4" s="1"/>
  <c r="AD234" i="1"/>
  <c r="G232" i="4" s="1"/>
  <c r="AG231" i="1"/>
  <c r="J229" i="4" s="1"/>
  <c r="AE229" i="1"/>
  <c r="H227" i="4" s="1"/>
  <c r="AF224" i="1"/>
  <c r="I222" i="4" s="1"/>
  <c r="AD222" i="1"/>
  <c r="G220" i="4" s="1"/>
  <c r="AG219" i="1"/>
  <c r="J217" i="4" s="1"/>
  <c r="AE217" i="1"/>
  <c r="H215" i="4" s="1"/>
  <c r="AF212" i="1"/>
  <c r="I210" i="4" s="1"/>
  <c r="AG207" i="1"/>
  <c r="J205" i="4" s="1"/>
  <c r="AE205" i="1"/>
  <c r="H203" i="4" s="1"/>
  <c r="AF200" i="1"/>
  <c r="I198" i="4" s="1"/>
  <c r="AG195" i="1"/>
  <c r="J193" i="4" s="1"/>
  <c r="AE193" i="1"/>
  <c r="H191" i="4" s="1"/>
  <c r="AF188" i="1"/>
  <c r="I186" i="4" s="1"/>
  <c r="AG183" i="1"/>
  <c r="J181" i="4" s="1"/>
  <c r="AF176" i="1"/>
  <c r="I174" i="4" s="1"/>
  <c r="AG171" i="1"/>
  <c r="J169" i="4" s="1"/>
  <c r="AF164" i="1"/>
  <c r="I162" i="4" s="1"/>
  <c r="AG159" i="1"/>
  <c r="J157" i="4" s="1"/>
  <c r="AF152" i="1"/>
  <c r="I150" i="4" s="1"/>
  <c r="AG147" i="1"/>
  <c r="J145" i="4" s="1"/>
  <c r="AF140" i="1"/>
  <c r="I138" i="4" s="1"/>
  <c r="AG135" i="1"/>
  <c r="J133" i="4" s="1"/>
  <c r="AF128" i="1"/>
  <c r="I126" i="4" s="1"/>
  <c r="AG123" i="1"/>
  <c r="J121" i="4" s="1"/>
  <c r="AF116" i="1"/>
  <c r="I114" i="4" s="1"/>
  <c r="AG111" i="1"/>
  <c r="J109" i="4" s="1"/>
  <c r="AF104" i="1"/>
  <c r="I102" i="4" s="1"/>
  <c r="AG99" i="1"/>
  <c r="J97" i="4" s="1"/>
  <c r="AF92" i="1"/>
  <c r="I90" i="4" s="1"/>
  <c r="AG87" i="1"/>
  <c r="J85" i="4" s="1"/>
  <c r="AF80" i="1"/>
  <c r="I78" i="4" s="1"/>
  <c r="AG75" i="1"/>
  <c r="J73" i="4" s="1"/>
  <c r="AF68" i="1"/>
  <c r="I66" i="4" s="1"/>
  <c r="AG63" i="1"/>
  <c r="J61" i="4" s="1"/>
  <c r="AF56" i="1"/>
  <c r="I54" i="4" s="1"/>
  <c r="AG51" i="1"/>
  <c r="J49" i="4" s="1"/>
  <c r="AF44" i="1"/>
  <c r="I42" i="4" s="1"/>
  <c r="AD42" i="1"/>
  <c r="G40" i="4" s="1"/>
  <c r="AG39" i="1"/>
  <c r="J37" i="4" s="1"/>
  <c r="AE37" i="1"/>
  <c r="H35" i="4" s="1"/>
  <c r="AF32" i="1"/>
  <c r="I30" i="4" s="1"/>
  <c r="AD30" i="1"/>
  <c r="G28" i="4" s="1"/>
  <c r="AG27" i="1"/>
  <c r="J25" i="4" s="1"/>
  <c r="AE25" i="1"/>
  <c r="H23" i="4" s="1"/>
  <c r="AF20" i="1"/>
  <c r="I18" i="4" s="1"/>
  <c r="AD18" i="1"/>
  <c r="G16" i="4" s="1"/>
  <c r="AF243" i="1"/>
  <c r="I241" i="4" s="1"/>
  <c r="AD241" i="1"/>
  <c r="G239" i="4" s="1"/>
  <c r="AG238" i="1"/>
  <c r="J236" i="4" s="1"/>
  <c r="AE236" i="1"/>
  <c r="H234" i="4" s="1"/>
  <c r="AF231" i="1"/>
  <c r="I229" i="4" s="1"/>
  <c r="AG226" i="1"/>
  <c r="J224" i="4" s="1"/>
  <c r="AE224" i="1"/>
  <c r="H222" i="4" s="1"/>
  <c r="AF219" i="1"/>
  <c r="I217" i="4" s="1"/>
  <c r="AD217" i="1"/>
  <c r="G215" i="4" s="1"/>
  <c r="AG214" i="1"/>
  <c r="J212" i="4" s="1"/>
  <c r="AE212" i="1"/>
  <c r="H210" i="4" s="1"/>
  <c r="AF207" i="1"/>
  <c r="I205" i="4" s="1"/>
  <c r="AD205" i="1"/>
  <c r="G203" i="4" s="1"/>
  <c r="AG202" i="1"/>
  <c r="J200" i="4" s="1"/>
  <c r="AE200" i="1"/>
  <c r="H198" i="4" s="1"/>
  <c r="AF195" i="1"/>
  <c r="I193" i="4" s="1"/>
  <c r="AD193" i="1"/>
  <c r="G191" i="4" s="1"/>
  <c r="AG190" i="1"/>
  <c r="J188" i="4" s="1"/>
  <c r="AE188" i="1"/>
  <c r="H186" i="4" s="1"/>
  <c r="AF183" i="1"/>
  <c r="I181" i="4" s="1"/>
  <c r="AD181" i="1"/>
  <c r="G179" i="4" s="1"/>
  <c r="AG178" i="1"/>
  <c r="J176" i="4" s="1"/>
  <c r="AE176" i="1"/>
  <c r="H174" i="4" s="1"/>
  <c r="AF171" i="1"/>
  <c r="I169" i="4" s="1"/>
  <c r="AD169" i="1"/>
  <c r="G167" i="4" s="1"/>
  <c r="AG166" i="1"/>
  <c r="J164" i="4" s="1"/>
  <c r="AE164" i="1"/>
  <c r="H162" i="4" s="1"/>
  <c r="AF159" i="1"/>
  <c r="I157" i="4" s="1"/>
  <c r="AD157" i="1"/>
  <c r="G155" i="4" s="1"/>
  <c r="AG154" i="1"/>
  <c r="J152" i="4" s="1"/>
  <c r="AE152" i="1"/>
  <c r="H150" i="4" s="1"/>
  <c r="AF147" i="1"/>
  <c r="I145" i="4" s="1"/>
  <c r="AD145" i="1"/>
  <c r="G143" i="4" s="1"/>
  <c r="AG142" i="1"/>
  <c r="J140" i="4" s="1"/>
  <c r="AE140" i="1"/>
  <c r="H138" i="4" s="1"/>
  <c r="AF135" i="1"/>
  <c r="I133" i="4" s="1"/>
  <c r="AD133" i="1"/>
  <c r="G131" i="4" s="1"/>
  <c r="AG130" i="1"/>
  <c r="J128" i="4" s="1"/>
  <c r="AE128" i="1"/>
  <c r="H126" i="4" s="1"/>
  <c r="AF123" i="1"/>
  <c r="I121" i="4" s="1"/>
  <c r="AD121" i="1"/>
  <c r="G119" i="4" s="1"/>
  <c r="AG118" i="1"/>
  <c r="J116" i="4" s="1"/>
  <c r="AE116" i="1"/>
  <c r="H114" i="4" s="1"/>
  <c r="AF111" i="1"/>
  <c r="I109" i="4" s="1"/>
  <c r="AG106" i="1"/>
  <c r="J104" i="4" s="1"/>
  <c r="AE104" i="1"/>
  <c r="H102" i="4" s="1"/>
  <c r="AF99" i="1"/>
  <c r="I97" i="4" s="1"/>
  <c r="AD97" i="1"/>
  <c r="G95" i="4" s="1"/>
  <c r="AG94" i="1"/>
  <c r="J92" i="4" s="1"/>
  <c r="AE92" i="1"/>
  <c r="H90" i="4" s="1"/>
  <c r="AF87" i="1"/>
  <c r="I85" i="4" s="1"/>
  <c r="AD85" i="1"/>
  <c r="G83" i="4" s="1"/>
  <c r="AG82" i="1"/>
  <c r="J80" i="4" s="1"/>
  <c r="AE80" i="1"/>
  <c r="H78" i="4" s="1"/>
  <c r="AF75" i="1"/>
  <c r="I73" i="4" s="1"/>
  <c r="AG70" i="1"/>
  <c r="J68" i="4" s="1"/>
  <c r="AF63" i="1"/>
  <c r="I61" i="4" s="1"/>
  <c r="AG58" i="1"/>
  <c r="J56" i="4" s="1"/>
  <c r="AF39" i="1"/>
  <c r="I37" i="4" s="1"/>
  <c r="AG34" i="1"/>
  <c r="J32" i="4" s="1"/>
  <c r="AF27" i="1"/>
  <c r="I25" i="4" s="1"/>
  <c r="AG22" i="1"/>
  <c r="J20" i="4" s="1"/>
  <c r="AE20" i="1"/>
  <c r="H18" i="4" s="1"/>
  <c r="AF262" i="1"/>
  <c r="I260" i="4" s="1"/>
  <c r="AG257" i="1"/>
  <c r="J255" i="4" s="1"/>
  <c r="AF250" i="1"/>
  <c r="I248" i="4" s="1"/>
  <c r="AG245" i="1"/>
  <c r="J243" i="4" s="1"/>
  <c r="AF238" i="1"/>
  <c r="I236" i="4" s="1"/>
  <c r="AD236" i="1"/>
  <c r="G234" i="4" s="1"/>
  <c r="AG233" i="1"/>
  <c r="J231" i="4" s="1"/>
  <c r="AE231" i="1"/>
  <c r="H229" i="4" s="1"/>
  <c r="AF226" i="1"/>
  <c r="I224" i="4" s="1"/>
  <c r="AD224" i="1"/>
  <c r="G222" i="4" s="1"/>
  <c r="AG221" i="1"/>
  <c r="J219" i="4" s="1"/>
  <c r="AE219" i="1"/>
  <c r="H217" i="4" s="1"/>
  <c r="AF214" i="1"/>
  <c r="I212" i="4" s="1"/>
  <c r="AD212" i="1"/>
  <c r="G210" i="4" s="1"/>
  <c r="AG209" i="1"/>
  <c r="J207" i="4" s="1"/>
  <c r="AE207" i="1"/>
  <c r="H205" i="4" s="1"/>
  <c r="AD200" i="1"/>
  <c r="G198" i="4" s="1"/>
  <c r="AG197" i="1"/>
  <c r="J195" i="4" s="1"/>
  <c r="AE195" i="1"/>
  <c r="H193" i="4" s="1"/>
  <c r="AD188" i="1"/>
  <c r="G186" i="4" s="1"/>
  <c r="AG185" i="1"/>
  <c r="J183" i="4" s="1"/>
  <c r="AE183" i="1"/>
  <c r="H181" i="4" s="1"/>
  <c r="AD176" i="1"/>
  <c r="G174" i="4" s="1"/>
  <c r="AG173" i="1"/>
  <c r="J171" i="4" s="1"/>
  <c r="AE171" i="1"/>
  <c r="H169" i="4" s="1"/>
  <c r="AF166" i="1"/>
  <c r="I164" i="4" s="1"/>
  <c r="AD164" i="1"/>
  <c r="G162" i="4" s="1"/>
  <c r="AG161" i="1"/>
  <c r="J159" i="4" s="1"/>
  <c r="AE159" i="1"/>
  <c r="H157" i="4" s="1"/>
  <c r="AF154" i="1"/>
  <c r="I152" i="4" s="1"/>
  <c r="AD152" i="1"/>
  <c r="G150" i="4" s="1"/>
  <c r="AG149" i="1"/>
  <c r="J147" i="4" s="1"/>
  <c r="AE147" i="1"/>
  <c r="H145" i="4" s="1"/>
  <c r="AF142" i="1"/>
  <c r="I140" i="4" s="1"/>
  <c r="AD140" i="1"/>
  <c r="G138" i="4" s="1"/>
  <c r="AG137" i="1"/>
  <c r="J135" i="4" s="1"/>
  <c r="AE135" i="1"/>
  <c r="H133" i="4" s="1"/>
  <c r="AF130" i="1"/>
  <c r="I128" i="4" s="1"/>
  <c r="AD128" i="1"/>
  <c r="G126" i="4" s="1"/>
  <c r="AG125" i="1"/>
  <c r="J123" i="4" s="1"/>
  <c r="AE123" i="1"/>
  <c r="H121" i="4" s="1"/>
  <c r="AF118" i="1"/>
  <c r="I116" i="4" s="1"/>
  <c r="AD116" i="1"/>
  <c r="G114" i="4" s="1"/>
  <c r="AG113" i="1"/>
  <c r="J111" i="4" s="1"/>
  <c r="AE111" i="1"/>
  <c r="H109" i="4" s="1"/>
  <c r="AD104" i="1"/>
  <c r="G102" i="4" s="1"/>
  <c r="AG101" i="1"/>
  <c r="J99" i="4" s="1"/>
  <c r="AE99" i="1"/>
  <c r="H97" i="4" s="1"/>
  <c r="AD92" i="1"/>
  <c r="G90" i="4" s="1"/>
  <c r="AE87" i="1"/>
  <c r="H85" i="4" s="1"/>
  <c r="AD80" i="1"/>
  <c r="G78" i="4" s="1"/>
  <c r="AG77" i="1"/>
  <c r="J75" i="4" s="1"/>
  <c r="AE75" i="1"/>
  <c r="H73" i="4" s="1"/>
  <c r="AD68" i="1"/>
  <c r="G66" i="4" s="1"/>
  <c r="AG65" i="1"/>
  <c r="J63" i="4" s="1"/>
  <c r="AE63" i="1"/>
  <c r="H61" i="4" s="1"/>
  <c r="AF58" i="1"/>
  <c r="I56" i="4" s="1"/>
  <c r="AD56" i="1"/>
  <c r="G54" i="4" s="1"/>
  <c r="AG53" i="1"/>
  <c r="J51" i="4" s="1"/>
  <c r="AE51" i="1"/>
  <c r="H49" i="4" s="1"/>
  <c r="AD44" i="1"/>
  <c r="G42" i="4" s="1"/>
  <c r="AG41" i="1"/>
  <c r="J39" i="4" s="1"/>
  <c r="AE39" i="1"/>
  <c r="H37" i="4" s="1"/>
  <c r="AF34" i="1"/>
  <c r="I32" i="4" s="1"/>
  <c r="AD32" i="1"/>
  <c r="G30" i="4" s="1"/>
  <c r="AG29" i="1"/>
  <c r="J27" i="4" s="1"/>
  <c r="AF22" i="1"/>
  <c r="I20" i="4" s="1"/>
  <c r="AG17" i="1"/>
  <c r="J15" i="4" s="1"/>
  <c r="AF257" i="1"/>
  <c r="I255" i="4" s="1"/>
  <c r="AF245" i="1"/>
  <c r="I243" i="4" s="1"/>
  <c r="AF233" i="1"/>
  <c r="I231" i="4" s="1"/>
  <c r="AF221" i="1"/>
  <c r="I219" i="4" s="1"/>
  <c r="AF209" i="1"/>
  <c r="I207" i="4" s="1"/>
  <c r="AE202" i="1"/>
  <c r="H200" i="4" s="1"/>
  <c r="AF197" i="1"/>
  <c r="I195" i="4" s="1"/>
  <c r="AE190" i="1"/>
  <c r="H188" i="4" s="1"/>
  <c r="AF185" i="1"/>
  <c r="I183" i="4" s="1"/>
  <c r="AD183" i="1"/>
  <c r="G181" i="4" s="1"/>
  <c r="AE178" i="1"/>
  <c r="H176" i="4" s="1"/>
  <c r="AF173" i="1"/>
  <c r="I171" i="4" s="1"/>
  <c r="AD171" i="1"/>
  <c r="G169" i="4" s="1"/>
  <c r="AF161" i="1"/>
  <c r="I159" i="4" s="1"/>
  <c r="AE154" i="1"/>
  <c r="H152" i="4" s="1"/>
  <c r="AF149" i="1"/>
  <c r="I147" i="4" s="1"/>
  <c r="AD147" i="1"/>
  <c r="G145" i="4" s="1"/>
  <c r="AE142" i="1"/>
  <c r="H140" i="4" s="1"/>
  <c r="AF137" i="1"/>
  <c r="I135" i="4" s="1"/>
  <c r="AE130" i="1"/>
  <c r="H128" i="4" s="1"/>
  <c r="AF125" i="1"/>
  <c r="I123" i="4" s="1"/>
  <c r="AD123" i="1"/>
  <c r="G121" i="4" s="1"/>
  <c r="AE118" i="1"/>
  <c r="H116" i="4" s="1"/>
  <c r="AF113" i="1"/>
  <c r="I111" i="4" s="1"/>
  <c r="AE106" i="1"/>
  <c r="H104" i="4" s="1"/>
  <c r="AF101" i="1"/>
  <c r="I99" i="4" s="1"/>
  <c r="AD99" i="1"/>
  <c r="G97" i="4" s="1"/>
  <c r="AE94" i="1"/>
  <c r="H92" i="4" s="1"/>
  <c r="AF89" i="1"/>
  <c r="I87" i="4" s="1"/>
  <c r="AD87" i="1"/>
  <c r="G85" i="4" s="1"/>
  <c r="AE82" i="1"/>
  <c r="H80" i="4" s="1"/>
  <c r="AF77" i="1"/>
  <c r="I75" i="4" s="1"/>
  <c r="AD75" i="1"/>
  <c r="G73" i="4" s="1"/>
  <c r="AE70" i="1"/>
  <c r="H68" i="4" s="1"/>
  <c r="AF65" i="1"/>
  <c r="I63" i="4" s="1"/>
  <c r="AD63" i="1"/>
  <c r="G61" i="4" s="1"/>
  <c r="AF53" i="1"/>
  <c r="I51" i="4" s="1"/>
  <c r="AD51" i="1"/>
  <c r="G49" i="4" s="1"/>
  <c r="AF41" i="1"/>
  <c r="I39" i="4" s="1"/>
  <c r="AF29" i="1"/>
  <c r="I27" i="4" s="1"/>
  <c r="AE22" i="1"/>
  <c r="H20" i="4" s="1"/>
  <c r="AF17" i="1"/>
  <c r="I15" i="4" s="1"/>
  <c r="AG259" i="1"/>
  <c r="J257" i="4" s="1"/>
  <c r="AE257" i="1"/>
  <c r="H255" i="4" s="1"/>
  <c r="AG247" i="1"/>
  <c r="J245" i="4" s="1"/>
  <c r="AE245" i="1"/>
  <c r="H243" i="4" s="1"/>
  <c r="AG235" i="1"/>
  <c r="J233" i="4" s="1"/>
  <c r="AE233" i="1"/>
  <c r="H231" i="4" s="1"/>
  <c r="AG223" i="1"/>
  <c r="J221" i="4" s="1"/>
  <c r="AE221" i="1"/>
  <c r="H219" i="4" s="1"/>
  <c r="AG211" i="1"/>
  <c r="J209" i="4" s="1"/>
  <c r="AE209" i="1"/>
  <c r="H207" i="4" s="1"/>
  <c r="AG199" i="1"/>
  <c r="J197" i="4" s="1"/>
  <c r="AE197" i="1"/>
  <c r="H195" i="4" s="1"/>
  <c r="AG187" i="1"/>
  <c r="J185" i="4" s="1"/>
  <c r="AE185" i="1"/>
  <c r="H183" i="4" s="1"/>
  <c r="AE173" i="1"/>
  <c r="H171" i="4" s="1"/>
  <c r="AG163" i="1"/>
  <c r="J161" i="4" s="1"/>
  <c r="AE161" i="1"/>
  <c r="H159" i="4" s="1"/>
  <c r="AE149" i="1"/>
  <c r="H147" i="4" s="1"/>
  <c r="AG139" i="1"/>
  <c r="J137" i="4" s="1"/>
  <c r="AE137" i="1"/>
  <c r="H135" i="4" s="1"/>
  <c r="AG127" i="1"/>
  <c r="J125" i="4" s="1"/>
  <c r="AE125" i="1"/>
  <c r="H123" i="4" s="1"/>
  <c r="AG115" i="1"/>
  <c r="J113" i="4" s="1"/>
  <c r="AE113" i="1"/>
  <c r="H111" i="4" s="1"/>
  <c r="AG103" i="1"/>
  <c r="J101" i="4" s="1"/>
  <c r="AE101" i="1"/>
  <c r="H99" i="4" s="1"/>
  <c r="AG91" i="1"/>
  <c r="J89" i="4" s="1"/>
  <c r="AE89" i="1"/>
  <c r="H87" i="4" s="1"/>
  <c r="AG79" i="1"/>
  <c r="J77" i="4" s="1"/>
  <c r="AG67" i="1"/>
  <c r="J65" i="4" s="1"/>
  <c r="AE65" i="1"/>
  <c r="H63" i="4" s="1"/>
  <c r="AG55" i="1"/>
  <c r="J53" i="4" s="1"/>
  <c r="AE53" i="1"/>
  <c r="H51" i="4" s="1"/>
  <c r="AG43" i="1"/>
  <c r="J41" i="4" s="1"/>
  <c r="AE41" i="1"/>
  <c r="H39" i="4" s="1"/>
  <c r="AG31" i="1"/>
  <c r="J29" i="4" s="1"/>
  <c r="AE29" i="1"/>
  <c r="H27" i="4" s="1"/>
  <c r="AG19" i="1"/>
  <c r="J17" i="4" s="1"/>
  <c r="AE17" i="1"/>
  <c r="H15" i="4" s="1"/>
  <c r="AD245" i="1"/>
  <c r="G243" i="4" s="1"/>
  <c r="AF235" i="1"/>
  <c r="I233" i="4" s="1"/>
  <c r="AD233" i="1"/>
  <c r="G231" i="4" s="1"/>
  <c r="AF223" i="1"/>
  <c r="I221" i="4" s="1"/>
  <c r="AD221" i="1"/>
  <c r="G219" i="4" s="1"/>
  <c r="AF211" i="1"/>
  <c r="I209" i="4" s="1"/>
  <c r="AD209" i="1"/>
  <c r="G207" i="4" s="1"/>
  <c r="AF199" i="1"/>
  <c r="I197" i="4" s="1"/>
  <c r="AD197" i="1"/>
  <c r="G195" i="4" s="1"/>
  <c r="AF187" i="1"/>
  <c r="I185" i="4" s="1"/>
  <c r="AD185" i="1"/>
  <c r="G183" i="4" s="1"/>
  <c r="AF175" i="1"/>
  <c r="I173" i="4" s="1"/>
  <c r="AD173" i="1"/>
  <c r="G171" i="4" s="1"/>
  <c r="AD161" i="1"/>
  <c r="G159" i="4" s="1"/>
  <c r="AF151" i="1"/>
  <c r="I149" i="4" s="1"/>
  <c r="AD149" i="1"/>
  <c r="G147" i="4" s="1"/>
  <c r="AD137" i="1"/>
  <c r="G135" i="4" s="1"/>
  <c r="AD125" i="1"/>
  <c r="G123" i="4" s="1"/>
  <c r="AF115" i="1"/>
  <c r="I113" i="4" s="1"/>
  <c r="AD113" i="1"/>
  <c r="G111" i="4" s="1"/>
  <c r="AF103" i="1"/>
  <c r="I101" i="4" s="1"/>
  <c r="AD101" i="1"/>
  <c r="G99" i="4" s="1"/>
  <c r="AF91" i="1"/>
  <c r="I89" i="4" s="1"/>
  <c r="AG86" i="1"/>
  <c r="J84" i="4" s="1"/>
  <c r="AF79" i="1"/>
  <c r="I77" i="4" s="1"/>
  <c r="AG74" i="1"/>
  <c r="J72" i="4" s="1"/>
  <c r="AF67" i="1"/>
  <c r="I65" i="4" s="1"/>
  <c r="AD65" i="1"/>
  <c r="G63" i="4" s="1"/>
  <c r="AF55" i="1"/>
  <c r="I53" i="4" s="1"/>
  <c r="AD53" i="1"/>
  <c r="G51" i="4" s="1"/>
  <c r="AF43" i="1"/>
  <c r="I41" i="4" s="1"/>
  <c r="AD41" i="1"/>
  <c r="G39" i="4" s="1"/>
  <c r="AG38" i="1"/>
  <c r="J36" i="4" s="1"/>
  <c r="AF31" i="1"/>
  <c r="I29" i="4" s="1"/>
  <c r="AD29" i="1"/>
  <c r="G27" i="4" s="1"/>
  <c r="AG26" i="1"/>
  <c r="J24" i="4" s="1"/>
  <c r="AF19" i="1"/>
  <c r="I17" i="4" s="1"/>
  <c r="AD17" i="1"/>
  <c r="G15" i="4" s="1"/>
  <c r="AG237" i="1"/>
  <c r="J235" i="4" s="1"/>
  <c r="AG225" i="1"/>
  <c r="J223" i="4" s="1"/>
  <c r="AG213" i="1"/>
  <c r="J211" i="4" s="1"/>
  <c r="AG201" i="1"/>
  <c r="J199" i="4" s="1"/>
  <c r="AG177" i="1"/>
  <c r="J175" i="4" s="1"/>
  <c r="AG165" i="1"/>
  <c r="J163" i="4" s="1"/>
  <c r="AG153" i="1"/>
  <c r="J151" i="4" s="1"/>
  <c r="AG141" i="1"/>
  <c r="J139" i="4" s="1"/>
  <c r="AG129" i="1"/>
  <c r="J127" i="4" s="1"/>
  <c r="X1664" i="1"/>
  <c r="X1814" i="1"/>
  <c r="X1404" i="1"/>
  <c r="V1402" i="4" s="1"/>
  <c r="X1641" i="1"/>
  <c r="X1791" i="1"/>
  <c r="X1604" i="1"/>
  <c r="AA1546" i="1"/>
  <c r="X277" i="1"/>
  <c r="V275" i="4" s="1"/>
  <c r="X1811" i="1"/>
  <c r="AA1742" i="1"/>
  <c r="AA1752" i="1"/>
  <c r="L648" i="1"/>
  <c r="L646" i="4" s="1"/>
  <c r="L1740" i="1"/>
  <c r="X1634" i="1"/>
  <c r="X1748" i="1"/>
  <c r="M550" i="1"/>
  <c r="M548" i="4" s="1"/>
  <c r="X1819" i="1"/>
  <c r="X1656" i="1"/>
  <c r="N420" i="1"/>
  <c r="N418" i="4" s="1"/>
  <c r="X1571" i="1"/>
  <c r="AA1584" i="1"/>
  <c r="Y1803" i="1"/>
  <c r="Y1763" i="1"/>
  <c r="Y1341" i="1"/>
  <c r="W1339" i="4" s="1"/>
  <c r="X1818" i="1"/>
  <c r="Z1811" i="1"/>
  <c r="Y1791" i="1"/>
  <c r="AA1733" i="1"/>
  <c r="Z1693" i="1"/>
  <c r="X1682" i="1"/>
  <c r="AA1663" i="1"/>
  <c r="Z1644" i="1"/>
  <c r="X1351" i="1"/>
  <c r="V1349" i="4" s="1"/>
  <c r="Y1783" i="1"/>
  <c r="Y1410" i="1"/>
  <c r="W1408" i="4" s="1"/>
  <c r="Z1714" i="1"/>
  <c r="Y1694" i="1"/>
  <c r="Y240" i="1"/>
  <c r="W238" i="4" s="1"/>
  <c r="AA252" i="1"/>
  <c r="Y250" i="4" s="1"/>
  <c r="Y255" i="1"/>
  <c r="W253" i="4" s="1"/>
  <c r="Y259" i="1"/>
  <c r="W257" i="4" s="1"/>
  <c r="X264" i="1"/>
  <c r="V262" i="4" s="1"/>
  <c r="Z268" i="1"/>
  <c r="X266" i="4" s="1"/>
  <c r="AA278" i="1"/>
  <c r="Y276" i="4" s="1"/>
  <c r="Z285" i="1"/>
  <c r="X283" i="4" s="1"/>
  <c r="Z291" i="1"/>
  <c r="X289" i="4" s="1"/>
  <c r="AA302" i="1"/>
  <c r="Y300" i="4" s="1"/>
  <c r="Y341" i="1"/>
  <c r="W339" i="4" s="1"/>
  <c r="Y352" i="1"/>
  <c r="W350" i="4" s="1"/>
  <c r="Y366" i="1"/>
  <c r="W364" i="4" s="1"/>
  <c r="AA371" i="1"/>
  <c r="Y369" i="4" s="1"/>
  <c r="Y388" i="1"/>
  <c r="W386" i="4" s="1"/>
  <c r="Y398" i="1"/>
  <c r="W396" i="4" s="1"/>
  <c r="Y415" i="1"/>
  <c r="W413" i="4" s="1"/>
  <c r="Y427" i="1"/>
  <c r="W425" i="4" s="1"/>
  <c r="Z438" i="1"/>
  <c r="X436" i="4" s="1"/>
  <c r="Y444" i="1"/>
  <c r="W442" i="4" s="1"/>
  <c r="Y449" i="1"/>
  <c r="W447" i="4" s="1"/>
  <c r="Y459" i="1"/>
  <c r="W457" i="4" s="1"/>
  <c r="AA462" i="1"/>
  <c r="Y460" i="4" s="1"/>
  <c r="X473" i="1"/>
  <c r="V471" i="4" s="1"/>
  <c r="AA482" i="1"/>
  <c r="Y480" i="4" s="1"/>
  <c r="X492" i="1"/>
  <c r="V490" i="4" s="1"/>
  <c r="Y501" i="1"/>
  <c r="W499" i="4" s="1"/>
  <c r="Y510" i="1"/>
  <c r="W508" i="4" s="1"/>
  <c r="X514" i="1"/>
  <c r="V512" i="4" s="1"/>
  <c r="Y517" i="1"/>
  <c r="W515" i="4" s="1"/>
  <c r="Y521" i="1"/>
  <c r="W519" i="4" s="1"/>
  <c r="AA525" i="1"/>
  <c r="Y523" i="4" s="1"/>
  <c r="Z536" i="1"/>
  <c r="X534" i="4" s="1"/>
  <c r="Y540" i="1"/>
  <c r="W538" i="4" s="1"/>
  <c r="X543" i="1"/>
  <c r="V541" i="4" s="1"/>
  <c r="AA554" i="1"/>
  <c r="Y552" i="4" s="1"/>
  <c r="Y559" i="1"/>
  <c r="W557" i="4" s="1"/>
  <c r="AA562" i="1"/>
  <c r="Y560" i="4" s="1"/>
  <c r="X566" i="1"/>
  <c r="V564" i="4" s="1"/>
  <c r="X570" i="1"/>
  <c r="V568" i="4" s="1"/>
  <c r="Y574" i="1"/>
  <c r="W572" i="4" s="1"/>
  <c r="Z577" i="1"/>
  <c r="X575" i="4" s="1"/>
  <c r="Z581" i="1"/>
  <c r="X579" i="4" s="1"/>
  <c r="X586" i="1"/>
  <c r="V584" i="4" s="1"/>
  <c r="Y589" i="1"/>
  <c r="W587" i="4" s="1"/>
  <c r="Y593" i="1"/>
  <c r="W591" i="4" s="1"/>
  <c r="X601" i="1"/>
  <c r="V599" i="4" s="1"/>
  <c r="X613" i="1"/>
  <c r="V611" i="4" s="1"/>
  <c r="AA624" i="1"/>
  <c r="Y622" i="4" s="1"/>
  <c r="AA627" i="1"/>
  <c r="Y625" i="4" s="1"/>
  <c r="Y632" i="1"/>
  <c r="W630" i="4" s="1"/>
  <c r="Y636" i="1"/>
  <c r="W634" i="4" s="1"/>
  <c r="X639" i="1"/>
  <c r="V637" i="4" s="1"/>
  <c r="AA643" i="1"/>
  <c r="Y641" i="4" s="1"/>
  <c r="Z650" i="1"/>
  <c r="X648" i="4" s="1"/>
  <c r="Y248" i="1"/>
  <c r="W246" i="4" s="1"/>
  <c r="Z255" i="1"/>
  <c r="X253" i="4" s="1"/>
  <c r="Z259" i="1"/>
  <c r="X257" i="4" s="1"/>
  <c r="Y264" i="1"/>
  <c r="W262" i="4" s="1"/>
  <c r="AA268" i="1"/>
  <c r="Y266" i="4" s="1"/>
  <c r="AA285" i="1"/>
  <c r="Y283" i="4" s="1"/>
  <c r="AA291" i="1"/>
  <c r="Y289" i="4" s="1"/>
  <c r="Y296" i="1"/>
  <c r="W294" i="4" s="1"/>
  <c r="Y309" i="1"/>
  <c r="W307" i="4" s="1"/>
  <c r="Y315" i="1"/>
  <c r="W313" i="4" s="1"/>
  <c r="X329" i="1"/>
  <c r="V327" i="4" s="1"/>
  <c r="AA341" i="1"/>
  <c r="Y339" i="4" s="1"/>
  <c r="Y360" i="1"/>
  <c r="W358" i="4" s="1"/>
  <c r="X377" i="1"/>
  <c r="V375" i="4" s="1"/>
  <c r="Z383" i="1"/>
  <c r="X381" i="4" s="1"/>
  <c r="Z388" i="1"/>
  <c r="X386" i="4" s="1"/>
  <c r="Y393" i="1"/>
  <c r="W391" i="4" s="1"/>
  <c r="AA398" i="1"/>
  <c r="Y396" i="4" s="1"/>
  <c r="AA404" i="1"/>
  <c r="Y402" i="4" s="1"/>
  <c r="AA410" i="1"/>
  <c r="Y408" i="4" s="1"/>
  <c r="Z415" i="1"/>
  <c r="X413" i="4" s="1"/>
  <c r="AA421" i="1"/>
  <c r="Y419" i="4" s="1"/>
  <c r="Z427" i="1"/>
  <c r="X425" i="4" s="1"/>
  <c r="AA433" i="1"/>
  <c r="Y431" i="4" s="1"/>
  <c r="Z444" i="1"/>
  <c r="X442" i="4" s="1"/>
  <c r="AA449" i="1"/>
  <c r="Y447" i="4" s="1"/>
  <c r="Z459" i="1"/>
  <c r="X457" i="4" s="1"/>
  <c r="X468" i="1"/>
  <c r="V466" i="4" s="1"/>
  <c r="X479" i="1"/>
  <c r="V477" i="4" s="1"/>
  <c r="X488" i="1"/>
  <c r="V486" i="4" s="1"/>
  <c r="Y492" i="1"/>
  <c r="W490" i="4" s="1"/>
  <c r="X497" i="1"/>
  <c r="V495" i="4" s="1"/>
  <c r="AA501" i="1"/>
  <c r="Y499" i="4" s="1"/>
  <c r="X506" i="1"/>
  <c r="V504" i="4" s="1"/>
  <c r="AA510" i="1"/>
  <c r="Y508" i="4" s="1"/>
  <c r="Y514" i="1"/>
  <c r="W512" i="4" s="1"/>
  <c r="Z517" i="1"/>
  <c r="X515" i="4" s="1"/>
  <c r="Z521" i="1"/>
  <c r="X519" i="4" s="1"/>
  <c r="X529" i="1"/>
  <c r="V527" i="4" s="1"/>
  <c r="Z540" i="1"/>
  <c r="X538" i="4" s="1"/>
  <c r="Z543" i="1"/>
  <c r="X541" i="4" s="1"/>
  <c r="Y548" i="1"/>
  <c r="W546" i="4" s="1"/>
  <c r="X552" i="1"/>
  <c r="V550" i="4" s="1"/>
  <c r="AA559" i="1"/>
  <c r="Y557" i="4" s="1"/>
  <c r="Z566" i="1"/>
  <c r="X564" i="4" s="1"/>
  <c r="Z574" i="1"/>
  <c r="X572" i="4" s="1"/>
  <c r="Y586" i="1"/>
  <c r="W584" i="4" s="1"/>
  <c r="Z589" i="1"/>
  <c r="X587" i="4" s="1"/>
  <c r="Z593" i="1"/>
  <c r="X591" i="4" s="1"/>
  <c r="X598" i="1"/>
  <c r="V596" i="4" s="1"/>
  <c r="Y601" i="1"/>
  <c r="W599" i="4" s="1"/>
  <c r="Y605" i="1"/>
  <c r="W603" i="4" s="1"/>
  <c r="X610" i="1"/>
  <c r="V608" i="4" s="1"/>
  <c r="Y613" i="1"/>
  <c r="W611" i="4" s="1"/>
  <c r="Y617" i="1"/>
  <c r="W615" i="4" s="1"/>
  <c r="AA621" i="1"/>
  <c r="Y619" i="4" s="1"/>
  <c r="Z632" i="1"/>
  <c r="X630" i="4" s="1"/>
  <c r="Z636" i="1"/>
  <c r="X634" i="4" s="1"/>
  <c r="Z639" i="1"/>
  <c r="X637" i="4" s="1"/>
  <c r="AA650" i="1"/>
  <c r="Y648" i="4" s="1"/>
  <c r="X253" i="1"/>
  <c r="V251" i="4" s="1"/>
  <c r="AA255" i="1"/>
  <c r="Y253" i="4" s="1"/>
  <c r="Y275" i="1"/>
  <c r="W273" i="4" s="1"/>
  <c r="Y279" i="1"/>
  <c r="W277" i="4" s="1"/>
  <c r="Z296" i="1"/>
  <c r="X294" i="4" s="1"/>
  <c r="AA303" i="1"/>
  <c r="Y301" i="4" s="1"/>
  <c r="Z309" i="1"/>
  <c r="X307" i="4" s="1"/>
  <c r="Y329" i="1"/>
  <c r="W327" i="4" s="1"/>
  <c r="X353" i="1"/>
  <c r="V351" i="4" s="1"/>
  <c r="Y367" i="1"/>
  <c r="W365" i="4" s="1"/>
  <c r="Y372" i="1"/>
  <c r="W370" i="4" s="1"/>
  <c r="AA383" i="1"/>
  <c r="Y381" i="4" s="1"/>
  <c r="AA388" i="1"/>
  <c r="Y386" i="4" s="1"/>
  <c r="Z393" i="1"/>
  <c r="X391" i="4" s="1"/>
  <c r="AA415" i="1"/>
  <c r="Y413" i="4" s="1"/>
  <c r="AA427" i="1"/>
  <c r="Y425" i="4" s="1"/>
  <c r="Y439" i="1"/>
  <c r="W437" i="4" s="1"/>
  <c r="AA444" i="1"/>
  <c r="Y442" i="4" s="1"/>
  <c r="AA459" i="1"/>
  <c r="Y457" i="4" s="1"/>
  <c r="Z463" i="1"/>
  <c r="X461" i="4" s="1"/>
  <c r="Y468" i="1"/>
  <c r="W466" i="4" s="1"/>
  <c r="Y479" i="1"/>
  <c r="W477" i="4" s="1"/>
  <c r="Y483" i="1"/>
  <c r="W481" i="4" s="1"/>
  <c r="Y488" i="1"/>
  <c r="W486" i="4" s="1"/>
  <c r="Z492" i="1"/>
  <c r="X490" i="4" s="1"/>
  <c r="Z506" i="1"/>
  <c r="X504" i="4" s="1"/>
  <c r="Z514" i="1"/>
  <c r="X512" i="4" s="1"/>
  <c r="AA521" i="1"/>
  <c r="Y519" i="4" s="1"/>
  <c r="X526" i="1"/>
  <c r="V524" i="4" s="1"/>
  <c r="Y529" i="1"/>
  <c r="W527" i="4" s="1"/>
  <c r="Y533" i="1"/>
  <c r="W531" i="4" s="1"/>
  <c r="Y537" i="1"/>
  <c r="W535" i="4" s="1"/>
  <c r="AA540" i="1"/>
  <c r="Y538" i="4" s="1"/>
  <c r="AA543" i="1"/>
  <c r="Y541" i="4" s="1"/>
  <c r="Z548" i="1"/>
  <c r="X546" i="4" s="1"/>
  <c r="Y552" i="1"/>
  <c r="W550" i="4" s="1"/>
  <c r="X555" i="1"/>
  <c r="V553" i="4" s="1"/>
  <c r="AA566" i="1"/>
  <c r="Y564" i="4" s="1"/>
  <c r="Y571" i="1"/>
  <c r="W569" i="4" s="1"/>
  <c r="AA574" i="1"/>
  <c r="Y572" i="4" s="1"/>
  <c r="X578" i="1"/>
  <c r="V576" i="4" s="1"/>
  <c r="X582" i="1"/>
  <c r="V580" i="4" s="1"/>
  <c r="Z586" i="1"/>
  <c r="X584" i="4" s="1"/>
  <c r="Y598" i="1"/>
  <c r="W596" i="4" s="1"/>
  <c r="Z601" i="1"/>
  <c r="X599" i="4" s="1"/>
  <c r="Z605" i="1"/>
  <c r="X603" i="4" s="1"/>
  <c r="Y610" i="1"/>
  <c r="W608" i="4" s="1"/>
  <c r="Z613" i="1"/>
  <c r="X611" i="4" s="1"/>
  <c r="Z617" i="1"/>
  <c r="X615" i="4" s="1"/>
  <c r="X625" i="1"/>
  <c r="V623" i="4" s="1"/>
  <c r="AA636" i="1"/>
  <c r="Y634" i="4" s="1"/>
  <c r="AA639" i="1"/>
  <c r="Y637" i="4" s="1"/>
  <c r="Y644" i="1"/>
  <c r="W642" i="4" s="1"/>
  <c r="X648" i="1"/>
  <c r="V646" i="4" s="1"/>
  <c r="X233" i="1"/>
  <c r="V231" i="4" s="1"/>
  <c r="AA242" i="1"/>
  <c r="Y240" i="4" s="1"/>
  <c r="Y249" i="1"/>
  <c r="W247" i="4" s="1"/>
  <c r="Y253" i="1"/>
  <c r="W251" i="4" s="1"/>
  <c r="Y260" i="1"/>
  <c r="W258" i="4" s="1"/>
  <c r="X265" i="1"/>
  <c r="V263" i="4" s="1"/>
  <c r="X269" i="1"/>
  <c r="V267" i="4" s="1"/>
  <c r="AA275" i="1"/>
  <c r="Y273" i="4" s="1"/>
  <c r="AA296" i="1"/>
  <c r="Y294" i="4" s="1"/>
  <c r="AA309" i="1"/>
  <c r="Y307" i="4" s="1"/>
  <c r="Y324" i="1"/>
  <c r="W322" i="4" s="1"/>
  <c r="AA329" i="1"/>
  <c r="Y327" i="4" s="1"/>
  <c r="Y336" i="1"/>
  <c r="W334" i="4" s="1"/>
  <c r="Y342" i="1"/>
  <c r="W340" i="4" s="1"/>
  <c r="Y348" i="1"/>
  <c r="W346" i="4" s="1"/>
  <c r="Y361" i="1"/>
  <c r="W359" i="4" s="1"/>
  <c r="Z367" i="1"/>
  <c r="X365" i="4" s="1"/>
  <c r="Z372" i="1"/>
  <c r="X370" i="4" s="1"/>
  <c r="AA393" i="1"/>
  <c r="Y391" i="4" s="1"/>
  <c r="Y405" i="1"/>
  <c r="W403" i="4" s="1"/>
  <c r="AA422" i="1"/>
  <c r="Y420" i="4" s="1"/>
  <c r="AA434" i="1"/>
  <c r="Y432" i="4" s="1"/>
  <c r="Z439" i="1"/>
  <c r="X437" i="4" s="1"/>
  <c r="Y450" i="1"/>
  <c r="W448" i="4" s="1"/>
  <c r="Y455" i="1"/>
  <c r="W453" i="4" s="1"/>
  <c r="Y475" i="1"/>
  <c r="W473" i="4" s="1"/>
  <c r="AA479" i="1"/>
  <c r="Y477" i="4" s="1"/>
  <c r="Z483" i="1"/>
  <c r="X481" i="4" s="1"/>
  <c r="AA488" i="1"/>
  <c r="Y486" i="4" s="1"/>
  <c r="AA492" i="1"/>
  <c r="Y490" i="4" s="1"/>
  <c r="Y498" i="1"/>
  <c r="W496" i="4" s="1"/>
  <c r="AA506" i="1"/>
  <c r="Y504" i="4" s="1"/>
  <c r="Y511" i="1"/>
  <c r="W509" i="4" s="1"/>
  <c r="AA514" i="1"/>
  <c r="Y512" i="4" s="1"/>
  <c r="X518" i="1"/>
  <c r="V516" i="4" s="1"/>
  <c r="Y526" i="1"/>
  <c r="W524" i="4" s="1"/>
  <c r="Z529" i="1"/>
  <c r="X527" i="4" s="1"/>
  <c r="Z533" i="1"/>
  <c r="X531" i="4" s="1"/>
  <c r="AA537" i="1"/>
  <c r="Y535" i="4" s="1"/>
  <c r="Z552" i="1"/>
  <c r="X550" i="4" s="1"/>
  <c r="Z555" i="1"/>
  <c r="X553" i="4" s="1"/>
  <c r="Y560" i="1"/>
  <c r="W558" i="4" s="1"/>
  <c r="X564" i="1"/>
  <c r="V562" i="4" s="1"/>
  <c r="AA571" i="1"/>
  <c r="Y569" i="4" s="1"/>
  <c r="Z578" i="1"/>
  <c r="X576" i="4" s="1"/>
  <c r="AA586" i="1"/>
  <c r="Y584" i="4" s="1"/>
  <c r="X590" i="1"/>
  <c r="V588" i="4" s="1"/>
  <c r="Z598" i="1"/>
  <c r="X596" i="4" s="1"/>
  <c r="Z610" i="1"/>
  <c r="X608" i="4" s="1"/>
  <c r="X622" i="1"/>
  <c r="V620" i="4" s="1"/>
  <c r="Y625" i="1"/>
  <c r="W623" i="4" s="1"/>
  <c r="Y629" i="1"/>
  <c r="W627" i="4" s="1"/>
  <c r="AA633" i="1"/>
  <c r="Y631" i="4" s="1"/>
  <c r="Z644" i="1"/>
  <c r="X642" i="4" s="1"/>
  <c r="Y648" i="1"/>
  <c r="W646" i="4" s="1"/>
  <c r="AA249" i="1"/>
  <c r="Y247" i="4" s="1"/>
  <c r="AA253" i="1"/>
  <c r="Y251" i="4" s="1"/>
  <c r="X256" i="1"/>
  <c r="V254" i="4" s="1"/>
  <c r="Z280" i="1"/>
  <c r="X278" i="4" s="1"/>
  <c r="X293" i="1"/>
  <c r="V291" i="4" s="1"/>
  <c r="X317" i="1"/>
  <c r="V315" i="4" s="1"/>
  <c r="Z324" i="1"/>
  <c r="X322" i="4" s="1"/>
  <c r="Z348" i="1"/>
  <c r="X346" i="4" s="1"/>
  <c r="Z361" i="1"/>
  <c r="X359" i="4" s="1"/>
  <c r="AA372" i="1"/>
  <c r="Y370" i="4" s="1"/>
  <c r="Y379" i="1"/>
  <c r="W377" i="4" s="1"/>
  <c r="Y384" i="1"/>
  <c r="W382" i="4" s="1"/>
  <c r="X389" i="1"/>
  <c r="V387" i="4" s="1"/>
  <c r="Z400" i="1"/>
  <c r="X398" i="4" s="1"/>
  <c r="Z405" i="1"/>
  <c r="X403" i="4" s="1"/>
  <c r="Z412" i="1"/>
  <c r="X410" i="4" s="1"/>
  <c r="AA439" i="1"/>
  <c r="Y437" i="4" s="1"/>
  <c r="Z450" i="1"/>
  <c r="X448" i="4" s="1"/>
  <c r="Z455" i="1"/>
  <c r="X453" i="4" s="1"/>
  <c r="X460" i="1"/>
  <c r="V458" i="4" s="1"/>
  <c r="X464" i="1"/>
  <c r="V462" i="4" s="1"/>
  <c r="Z475" i="1"/>
  <c r="X473" i="4" s="1"/>
  <c r="AA483" i="1"/>
  <c r="Y481" i="4" s="1"/>
  <c r="X503" i="1"/>
  <c r="V501" i="4" s="1"/>
  <c r="AA511" i="1"/>
  <c r="Y509" i="4" s="1"/>
  <c r="Z518" i="1"/>
  <c r="X516" i="4" s="1"/>
  <c r="Z526" i="1"/>
  <c r="X524" i="4" s="1"/>
  <c r="AA533" i="1"/>
  <c r="Y531" i="4" s="1"/>
  <c r="X541" i="1"/>
  <c r="V539" i="4" s="1"/>
  <c r="Y549" i="1"/>
  <c r="W547" i="4" s="1"/>
  <c r="AA552" i="1"/>
  <c r="Y550" i="4" s="1"/>
  <c r="AA555" i="1"/>
  <c r="Y553" i="4" s="1"/>
  <c r="Z560" i="1"/>
  <c r="X558" i="4" s="1"/>
  <c r="Y564" i="1"/>
  <c r="W562" i="4" s="1"/>
  <c r="X567" i="1"/>
  <c r="V565" i="4" s="1"/>
  <c r="AA578" i="1"/>
  <c r="Y576" i="4" s="1"/>
  <c r="Y583" i="1"/>
  <c r="W581" i="4" s="1"/>
  <c r="Z590" i="1"/>
  <c r="X588" i="4" s="1"/>
  <c r="Y595" i="1"/>
  <c r="W593" i="4" s="1"/>
  <c r="AA598" i="1"/>
  <c r="Y596" i="4" s="1"/>
  <c r="X602" i="1"/>
  <c r="V600" i="4" s="1"/>
  <c r="AA610" i="1"/>
  <c r="Y608" i="4" s="1"/>
  <c r="X614" i="1"/>
  <c r="V612" i="4" s="1"/>
  <c r="X618" i="1"/>
  <c r="V616" i="4" s="1"/>
  <c r="Y622" i="1"/>
  <c r="W620" i="4" s="1"/>
  <c r="Z625" i="1"/>
  <c r="X623" i="4" s="1"/>
  <c r="Z629" i="1"/>
  <c r="X627" i="4" s="1"/>
  <c r="X637" i="1"/>
  <c r="V635" i="4" s="1"/>
  <c r="Z648" i="1"/>
  <c r="X646" i="4" s="1"/>
  <c r="Z651" i="1"/>
  <c r="X649" i="4" s="1"/>
  <c r="Y256" i="1"/>
  <c r="W254" i="4" s="1"/>
  <c r="Y261" i="1"/>
  <c r="W259" i="4" s="1"/>
  <c r="X266" i="1"/>
  <c r="V264" i="4" s="1"/>
  <c r="X276" i="1"/>
  <c r="V274" i="4" s="1"/>
  <c r="Y288" i="1"/>
  <c r="W286" i="4" s="1"/>
  <c r="AA293" i="1"/>
  <c r="Y291" i="4" s="1"/>
  <c r="X305" i="1"/>
  <c r="V303" i="4" s="1"/>
  <c r="AA317" i="1"/>
  <c r="Y315" i="4" s="1"/>
  <c r="X330" i="1"/>
  <c r="V328" i="4" s="1"/>
  <c r="Z343" i="1"/>
  <c r="X341" i="4" s="1"/>
  <c r="AA348" i="1"/>
  <c r="Y346" i="4" s="1"/>
  <c r="Y355" i="1"/>
  <c r="W353" i="4" s="1"/>
  <c r="AA368" i="1"/>
  <c r="Y366" i="4" s="1"/>
  <c r="Z379" i="1"/>
  <c r="X377" i="4" s="1"/>
  <c r="AA389" i="1"/>
  <c r="Y387" i="4" s="1"/>
  <c r="AA400" i="1"/>
  <c r="Y398" i="4" s="1"/>
  <c r="AA405" i="1"/>
  <c r="Y403" i="4" s="1"/>
  <c r="Z446" i="1"/>
  <c r="X444" i="4" s="1"/>
  <c r="AA450" i="1"/>
  <c r="Y448" i="4" s="1"/>
  <c r="AA455" i="1"/>
  <c r="Y453" i="4" s="1"/>
  <c r="Y460" i="1"/>
  <c r="W458" i="4" s="1"/>
  <c r="AA464" i="1"/>
  <c r="Y462" i="4" s="1"/>
  <c r="Z470" i="1"/>
  <c r="X468" i="4" s="1"/>
  <c r="X480" i="1"/>
  <c r="V478" i="4" s="1"/>
  <c r="Y489" i="1"/>
  <c r="W487" i="4" s="1"/>
  <c r="Y499" i="1"/>
  <c r="W497" i="4" s="1"/>
  <c r="AA503" i="1"/>
  <c r="Y501" i="4" s="1"/>
  <c r="Y507" i="1"/>
  <c r="W505" i="4" s="1"/>
  <c r="AA518" i="1"/>
  <c r="Y516" i="4" s="1"/>
  <c r="Y523" i="1"/>
  <c r="W521" i="4" s="1"/>
  <c r="AA526" i="1"/>
  <c r="Y524" i="4" s="1"/>
  <c r="X530" i="1"/>
  <c r="V528" i="4" s="1"/>
  <c r="X538" i="1"/>
  <c r="V536" i="4" s="1"/>
  <c r="Y541" i="1"/>
  <c r="W539" i="4" s="1"/>
  <c r="Y545" i="1"/>
  <c r="W543" i="4" s="1"/>
  <c r="AA549" i="1"/>
  <c r="Y547" i="4" s="1"/>
  <c r="Z564" i="1"/>
  <c r="X562" i="4" s="1"/>
  <c r="Z567" i="1"/>
  <c r="X565" i="4" s="1"/>
  <c r="Y572" i="1"/>
  <c r="W570" i="4" s="1"/>
  <c r="X576" i="1"/>
  <c r="V574" i="4" s="1"/>
  <c r="AA583" i="1"/>
  <c r="Y581" i="4" s="1"/>
  <c r="AA590" i="1"/>
  <c r="Y588" i="4" s="1"/>
  <c r="AA595" i="1"/>
  <c r="Y593" i="4" s="1"/>
  <c r="Z602" i="1"/>
  <c r="X600" i="4" s="1"/>
  <c r="Y607" i="1"/>
  <c r="W605" i="4" s="1"/>
  <c r="Z614" i="1"/>
  <c r="X612" i="4" s="1"/>
  <c r="Z622" i="1"/>
  <c r="X620" i="4" s="1"/>
  <c r="X634" i="1"/>
  <c r="V632" i="4" s="1"/>
  <c r="Y637" i="1"/>
  <c r="W635" i="4" s="1"/>
  <c r="Y641" i="1"/>
  <c r="W639" i="4" s="1"/>
  <c r="Y645" i="1"/>
  <c r="W643" i="4" s="1"/>
  <c r="AA648" i="1"/>
  <c r="Y646" i="4" s="1"/>
  <c r="AA651" i="1"/>
  <c r="Y649" i="4" s="1"/>
  <c r="X254" i="1"/>
  <c r="V252" i="4" s="1"/>
  <c r="Z256" i="1"/>
  <c r="X254" i="4" s="1"/>
  <c r="Z261" i="1"/>
  <c r="X259" i="4" s="1"/>
  <c r="Y266" i="1"/>
  <c r="W264" i="4" s="1"/>
  <c r="Z271" i="1"/>
  <c r="X269" i="4" s="1"/>
  <c r="Y276" i="1"/>
  <c r="W274" i="4" s="1"/>
  <c r="X281" i="1"/>
  <c r="V279" i="4" s="1"/>
  <c r="Y325" i="1"/>
  <c r="W323" i="4" s="1"/>
  <c r="Y330" i="1"/>
  <c r="W328" i="4" s="1"/>
  <c r="AA338" i="1"/>
  <c r="Y336" i="4" s="1"/>
  <c r="AA343" i="1"/>
  <c r="Y341" i="4" s="1"/>
  <c r="Z355" i="1"/>
  <c r="X353" i="4" s="1"/>
  <c r="AA362" i="1"/>
  <c r="Y360" i="4" s="1"/>
  <c r="AA373" i="1"/>
  <c r="Y371" i="4" s="1"/>
  <c r="AA385" i="1"/>
  <c r="Y383" i="4" s="1"/>
  <c r="AA395" i="1"/>
  <c r="Y393" i="4" s="1"/>
  <c r="X413" i="1"/>
  <c r="V411" i="4" s="1"/>
  <c r="X424" i="1"/>
  <c r="V422" i="4" s="1"/>
  <c r="X436" i="1"/>
  <c r="V434" i="4" s="1"/>
  <c r="AA446" i="1"/>
  <c r="Y444" i="4" s="1"/>
  <c r="AA470" i="1"/>
  <c r="Y468" i="4" s="1"/>
  <c r="X476" i="1"/>
  <c r="V474" i="4" s="1"/>
  <c r="Y480" i="1"/>
  <c r="W478" i="4" s="1"/>
  <c r="AA489" i="1"/>
  <c r="Y487" i="4" s="1"/>
  <c r="X494" i="1"/>
  <c r="V492" i="4" s="1"/>
  <c r="Z499" i="1"/>
  <c r="X497" i="4" s="1"/>
  <c r="Y512" i="1"/>
  <c r="W510" i="4" s="1"/>
  <c r="X516" i="1"/>
  <c r="V514" i="4" s="1"/>
  <c r="AA523" i="1"/>
  <c r="Y521" i="4" s="1"/>
  <c r="Z530" i="1"/>
  <c r="X528" i="4" s="1"/>
  <c r="X534" i="1"/>
  <c r="V532" i="4" s="1"/>
  <c r="Y538" i="1"/>
  <c r="W536" i="4" s="1"/>
  <c r="Z541" i="1"/>
  <c r="X539" i="4" s="1"/>
  <c r="Z545" i="1"/>
  <c r="X543" i="4" s="1"/>
  <c r="X553" i="1"/>
  <c r="V551" i="4" s="1"/>
  <c r="Y561" i="1"/>
  <c r="W559" i="4" s="1"/>
  <c r="AA564" i="1"/>
  <c r="Y562" i="4" s="1"/>
  <c r="AA567" i="1"/>
  <c r="Y565" i="4" s="1"/>
  <c r="Z572" i="1"/>
  <c r="X570" i="4" s="1"/>
  <c r="Y576" i="1"/>
  <c r="W574" i="4" s="1"/>
  <c r="X579" i="1"/>
  <c r="V577" i="4" s="1"/>
  <c r="X588" i="1"/>
  <c r="V586" i="4" s="1"/>
  <c r="AA602" i="1"/>
  <c r="Y600" i="4" s="1"/>
  <c r="AA607" i="1"/>
  <c r="Y605" i="4" s="1"/>
  <c r="AA614" i="1"/>
  <c r="Y612" i="4" s="1"/>
  <c r="Y619" i="1"/>
  <c r="W617" i="4" s="1"/>
  <c r="AA622" i="1"/>
  <c r="Y620" i="4" s="1"/>
  <c r="X626" i="1"/>
  <c r="V624" i="4" s="1"/>
  <c r="X630" i="1"/>
  <c r="V628" i="4" s="1"/>
  <c r="Y634" i="1"/>
  <c r="W632" i="4" s="1"/>
  <c r="Z637" i="1"/>
  <c r="X635" i="4" s="1"/>
  <c r="Z641" i="1"/>
  <c r="X639" i="4" s="1"/>
  <c r="AA645" i="1"/>
  <c r="Y643" i="4" s="1"/>
  <c r="AA251" i="1"/>
  <c r="Y249" i="4" s="1"/>
  <c r="Z254" i="1"/>
  <c r="X252" i="4" s="1"/>
  <c r="AA266" i="1"/>
  <c r="Y264" i="4" s="1"/>
  <c r="Y272" i="1"/>
  <c r="W270" i="4" s="1"/>
  <c r="AA277" i="1"/>
  <c r="Y275" i="4" s="1"/>
  <c r="Y300" i="1"/>
  <c r="W298" i="4" s="1"/>
  <c r="Y306" i="1"/>
  <c r="W304" i="4" s="1"/>
  <c r="Z319" i="1"/>
  <c r="X317" i="4" s="1"/>
  <c r="AA326" i="1"/>
  <c r="Y324" i="4" s="1"/>
  <c r="Z331" i="1"/>
  <c r="X329" i="4" s="1"/>
  <c r="Y339" i="1"/>
  <c r="W337" i="4" s="1"/>
  <c r="X344" i="1"/>
  <c r="V342" i="4" s="1"/>
  <c r="AA350" i="1"/>
  <c r="Y348" i="4" s="1"/>
  <c r="AA369" i="1"/>
  <c r="Y367" i="4" s="1"/>
  <c r="Z374" i="1"/>
  <c r="X372" i="4" s="1"/>
  <c r="Z386" i="1"/>
  <c r="X384" i="4" s="1"/>
  <c r="X391" i="1"/>
  <c r="V389" i="4" s="1"/>
  <c r="Y396" i="1"/>
  <c r="W394" i="4" s="1"/>
  <c r="Y401" i="1"/>
  <c r="W399" i="4" s="1"/>
  <c r="AA407" i="1"/>
  <c r="Y405" i="4" s="1"/>
  <c r="AA413" i="1"/>
  <c r="Y411" i="4" s="1"/>
  <c r="X425" i="1"/>
  <c r="V423" i="4" s="1"/>
  <c r="X437" i="1"/>
  <c r="V435" i="4" s="1"/>
  <c r="Z451" i="1"/>
  <c r="X449" i="4" s="1"/>
  <c r="AA461" i="1"/>
  <c r="Y459" i="4" s="1"/>
  <c r="Y471" i="1"/>
  <c r="W469" i="4" s="1"/>
  <c r="AA476" i="1"/>
  <c r="Y474" i="4" s="1"/>
  <c r="AA494" i="1"/>
  <c r="Y492" i="4" s="1"/>
  <c r="X500" i="1"/>
  <c r="V498" i="4" s="1"/>
  <c r="Y504" i="1"/>
  <c r="W502" i="4" s="1"/>
  <c r="Z516" i="1"/>
  <c r="X514" i="4" s="1"/>
  <c r="Z519" i="1"/>
  <c r="X517" i="4" s="1"/>
  <c r="Y524" i="1"/>
  <c r="W522" i="4" s="1"/>
  <c r="X528" i="1"/>
  <c r="V526" i="4" s="1"/>
  <c r="Y535" i="1"/>
  <c r="W533" i="4" s="1"/>
  <c r="AA538" i="1"/>
  <c r="Y536" i="4" s="1"/>
  <c r="X542" i="1"/>
  <c r="V540" i="4" s="1"/>
  <c r="X546" i="1"/>
  <c r="V544" i="4" s="1"/>
  <c r="Y550" i="1"/>
  <c r="W548" i="4" s="1"/>
  <c r="Z553" i="1"/>
  <c r="X551" i="4" s="1"/>
  <c r="Z557" i="1"/>
  <c r="X555" i="4" s="1"/>
  <c r="X565" i="1"/>
  <c r="V563" i="4" s="1"/>
  <c r="Y573" i="1"/>
  <c r="W571" i="4" s="1"/>
  <c r="AA576" i="1"/>
  <c r="Y574" i="4" s="1"/>
  <c r="AA579" i="1"/>
  <c r="Y577" i="4" s="1"/>
  <c r="Z584" i="1"/>
  <c r="X582" i="4" s="1"/>
  <c r="Z588" i="1"/>
  <c r="X586" i="4" s="1"/>
  <c r="Z591" i="1"/>
  <c r="X589" i="4" s="1"/>
  <c r="Z596" i="1"/>
  <c r="X594" i="4" s="1"/>
  <c r="Y600" i="1"/>
  <c r="W598" i="4" s="1"/>
  <c r="X603" i="1"/>
  <c r="V601" i="4" s="1"/>
  <c r="Y608" i="1"/>
  <c r="W606" i="4" s="1"/>
  <c r="Y612" i="1"/>
  <c r="W610" i="4" s="1"/>
  <c r="X615" i="1"/>
  <c r="V613" i="4" s="1"/>
  <c r="AA619" i="1"/>
  <c r="Y617" i="4" s="1"/>
  <c r="AA626" i="1"/>
  <c r="Y624" i="4" s="1"/>
  <c r="Y631" i="1"/>
  <c r="W629" i="4" s="1"/>
  <c r="AA634" i="1"/>
  <c r="Y632" i="4" s="1"/>
  <c r="X638" i="1"/>
  <c r="V636" i="4" s="1"/>
  <c r="X642" i="1"/>
  <c r="V640" i="4" s="1"/>
  <c r="X646" i="1"/>
  <c r="V644" i="4" s="1"/>
  <c r="Y649" i="1"/>
  <c r="W647" i="4" s="1"/>
  <c r="Y653" i="1"/>
  <c r="W651" i="4" s="1"/>
  <c r="Y247" i="1"/>
  <c r="W245" i="4" s="1"/>
  <c r="X252" i="1"/>
  <c r="V250" i="4" s="1"/>
  <c r="AA263" i="1"/>
  <c r="Y261" i="4" s="1"/>
  <c r="Z267" i="1"/>
  <c r="X265" i="4" s="1"/>
  <c r="Y273" i="1"/>
  <c r="W271" i="4" s="1"/>
  <c r="X278" i="1"/>
  <c r="V276" i="4" s="1"/>
  <c r="Z295" i="1"/>
  <c r="X293" i="4" s="1"/>
  <c r="Y301" i="1"/>
  <c r="W299" i="4" s="1"/>
  <c r="Z307" i="1"/>
  <c r="X305" i="4" s="1"/>
  <c r="Y314" i="1"/>
  <c r="W312" i="4" s="1"/>
  <c r="AA327" i="1"/>
  <c r="Y325" i="4" s="1"/>
  <c r="Y351" i="1"/>
  <c r="W349" i="4" s="1"/>
  <c r="X365" i="1"/>
  <c r="V363" i="4" s="1"/>
  <c r="AA381" i="1"/>
  <c r="Y379" i="4" s="1"/>
  <c r="AA391" i="1"/>
  <c r="Y389" i="4" s="1"/>
  <c r="Y408" i="1"/>
  <c r="W406" i="4" s="1"/>
  <c r="Y414" i="1"/>
  <c r="W412" i="4" s="1"/>
  <c r="Z420" i="1"/>
  <c r="X418" i="4" s="1"/>
  <c r="Z432" i="1"/>
  <c r="X430" i="4" s="1"/>
  <c r="AA437" i="1"/>
  <c r="Y435" i="4" s="1"/>
  <c r="AA458" i="1"/>
  <c r="Y456" i="4" s="1"/>
  <c r="Y462" i="1"/>
  <c r="W460" i="4" s="1"/>
  <c r="X467" i="1"/>
  <c r="V465" i="4" s="1"/>
  <c r="AA477" i="1"/>
  <c r="Y475" i="4" s="1"/>
  <c r="X482" i="1"/>
  <c r="V480" i="4" s="1"/>
  <c r="Y487" i="1"/>
  <c r="W485" i="4" s="1"/>
  <c r="AA491" i="1"/>
  <c r="Y489" i="4" s="1"/>
  <c r="Y495" i="1"/>
  <c r="W493" i="4" s="1"/>
  <c r="AA500" i="1"/>
  <c r="Y498" i="4" s="1"/>
  <c r="AA504" i="1"/>
  <c r="Y502" i="4" s="1"/>
  <c r="AA509" i="1"/>
  <c r="Y507" i="4" s="1"/>
  <c r="AA513" i="1"/>
  <c r="Y511" i="4" s="1"/>
  <c r="Z528" i="1"/>
  <c r="X526" i="4" s="1"/>
  <c r="Z531" i="1"/>
  <c r="X529" i="4" s="1"/>
  <c r="AA542" i="1"/>
  <c r="Y540" i="4" s="1"/>
  <c r="Y547" i="1"/>
  <c r="W545" i="4" s="1"/>
  <c r="AA550" i="1"/>
  <c r="Y548" i="4" s="1"/>
  <c r="X554" i="1"/>
  <c r="V552" i="4" s="1"/>
  <c r="X558" i="1"/>
  <c r="V556" i="4" s="1"/>
  <c r="Y562" i="1"/>
  <c r="W560" i="4" s="1"/>
  <c r="Z565" i="1"/>
  <c r="X563" i="4" s="1"/>
  <c r="Z569" i="1"/>
  <c r="X567" i="4" s="1"/>
  <c r="X577" i="1"/>
  <c r="V575" i="4" s="1"/>
  <c r="AA585" i="1"/>
  <c r="Y583" i="4" s="1"/>
  <c r="Y597" i="1"/>
  <c r="W595" i="4" s="1"/>
  <c r="AA600" i="1"/>
  <c r="Y598" i="4" s="1"/>
  <c r="AA603" i="1"/>
  <c r="Y601" i="4" s="1"/>
  <c r="AA612" i="1"/>
  <c r="Y610" i="4" s="1"/>
  <c r="AA615" i="1"/>
  <c r="Y613" i="4" s="1"/>
  <c r="Y620" i="1"/>
  <c r="W618" i="4" s="1"/>
  <c r="Y624" i="1"/>
  <c r="W622" i="4" s="1"/>
  <c r="X627" i="1"/>
  <c r="V625" i="4" s="1"/>
  <c r="AA631" i="1"/>
  <c r="Y629" i="4" s="1"/>
  <c r="AA638" i="1"/>
  <c r="Y636" i="4" s="1"/>
  <c r="Y643" i="1"/>
  <c r="W641" i="4" s="1"/>
  <c r="Z646" i="1"/>
  <c r="X644" i="4" s="1"/>
  <c r="Y251" i="1"/>
  <c r="W249" i="4" s="1"/>
  <c r="X257" i="1"/>
  <c r="V255" i="4" s="1"/>
  <c r="Y295" i="1"/>
  <c r="W293" i="4" s="1"/>
  <c r="AA357" i="1"/>
  <c r="Y355" i="4" s="1"/>
  <c r="X444" i="1"/>
  <c r="V442" i="4" s="1"/>
  <c r="X461" i="1"/>
  <c r="V459" i="4" s="1"/>
  <c r="X562" i="1"/>
  <c r="V560" i="4" s="1"/>
  <c r="Z627" i="1"/>
  <c r="X625" i="4" s="1"/>
  <c r="X636" i="1"/>
  <c r="V634" i="4" s="1"/>
  <c r="Y657" i="1"/>
  <c r="W655" i="4" s="1"/>
  <c r="AA663" i="1"/>
  <c r="Y661" i="4" s="1"/>
  <c r="Y668" i="1"/>
  <c r="W666" i="4" s="1"/>
  <c r="Y672" i="1"/>
  <c r="W670" i="4" s="1"/>
  <c r="X675" i="1"/>
  <c r="V673" i="4" s="1"/>
  <c r="AA679" i="1"/>
  <c r="Y677" i="4" s="1"/>
  <c r="AA686" i="1"/>
  <c r="Y684" i="4" s="1"/>
  <c r="Y691" i="1"/>
  <c r="W689" i="4" s="1"/>
  <c r="AA694" i="1"/>
  <c r="Y692" i="4" s="1"/>
  <c r="X698" i="1"/>
  <c r="V696" i="4" s="1"/>
  <c r="X702" i="1"/>
  <c r="V700" i="4" s="1"/>
  <c r="Y706" i="1"/>
  <c r="W704" i="4" s="1"/>
  <c r="Z722" i="1"/>
  <c r="X720" i="4" s="1"/>
  <c r="AA730" i="1"/>
  <c r="Y728" i="4" s="1"/>
  <c r="X734" i="1"/>
  <c r="V732" i="4" s="1"/>
  <c r="Z739" i="1"/>
  <c r="X737" i="4" s="1"/>
  <c r="X746" i="1"/>
  <c r="V744" i="4" s="1"/>
  <c r="Z751" i="1"/>
  <c r="X749" i="4" s="1"/>
  <c r="Y763" i="1"/>
  <c r="W761" i="4" s="1"/>
  <c r="AA766" i="1"/>
  <c r="Y764" i="4" s="1"/>
  <c r="Z769" i="1"/>
  <c r="X767" i="4" s="1"/>
  <c r="X774" i="1"/>
  <c r="V772" i="4" s="1"/>
  <c r="X778" i="1"/>
  <c r="V776" i="4" s="1"/>
  <c r="X784" i="1"/>
  <c r="V782" i="4" s="1"/>
  <c r="AA788" i="1"/>
  <c r="Y786" i="4" s="1"/>
  <c r="X792" i="1"/>
  <c r="V790" i="4" s="1"/>
  <c r="Z795" i="1"/>
  <c r="X793" i="4" s="1"/>
  <c r="Y800" i="1"/>
  <c r="W798" i="4" s="1"/>
  <c r="AA803" i="1"/>
  <c r="Y801" i="4" s="1"/>
  <c r="Z806" i="1"/>
  <c r="X804" i="4" s="1"/>
  <c r="X815" i="1"/>
  <c r="V813" i="4" s="1"/>
  <c r="Z822" i="1"/>
  <c r="X820" i="4" s="1"/>
  <c r="Z826" i="1"/>
  <c r="X824" i="4" s="1"/>
  <c r="Y829" i="1"/>
  <c r="W827" i="4" s="1"/>
  <c r="Z840" i="1"/>
  <c r="X838" i="4" s="1"/>
  <c r="Z843" i="1"/>
  <c r="X841" i="4" s="1"/>
  <c r="Y848" i="1"/>
  <c r="W846" i="4" s="1"/>
  <c r="AA851" i="1"/>
  <c r="Y849" i="4" s="1"/>
  <c r="X854" i="1"/>
  <c r="V852" i="4" s="1"/>
  <c r="Z858" i="1"/>
  <c r="X856" i="4" s="1"/>
  <c r="Z862" i="1"/>
  <c r="X860" i="4" s="1"/>
  <c r="Y865" i="1"/>
  <c r="W863" i="4" s="1"/>
  <c r="Z876" i="1"/>
  <c r="X874" i="4" s="1"/>
  <c r="AA879" i="1"/>
  <c r="Y877" i="4" s="1"/>
  <c r="Z884" i="1"/>
  <c r="X882" i="4" s="1"/>
  <c r="Z278" i="1"/>
  <c r="X276" i="4" s="1"/>
  <c r="AA295" i="1"/>
  <c r="Y293" i="4" s="1"/>
  <c r="X306" i="1"/>
  <c r="V304" i="4" s="1"/>
  <c r="Y369" i="1"/>
  <c r="W367" i="4" s="1"/>
  <c r="X452" i="1"/>
  <c r="V450" i="4" s="1"/>
  <c r="AA480" i="1"/>
  <c r="Y478" i="4" s="1"/>
  <c r="AA530" i="1"/>
  <c r="Y528" i="4" s="1"/>
  <c r="Z554" i="1"/>
  <c r="X552" i="4" s="1"/>
  <c r="Z562" i="1"/>
  <c r="X560" i="4" s="1"/>
  <c r="Z579" i="1"/>
  <c r="X577" i="4" s="1"/>
  <c r="Y588" i="1"/>
  <c r="W586" i="4" s="1"/>
  <c r="Z603" i="1"/>
  <c r="X601" i="4" s="1"/>
  <c r="X612" i="1"/>
  <c r="V610" i="4" s="1"/>
  <c r="Z620" i="1"/>
  <c r="X618" i="4" s="1"/>
  <c r="Y646" i="1"/>
  <c r="W644" i="4" s="1"/>
  <c r="AA657" i="1"/>
  <c r="Y655" i="4" s="1"/>
  <c r="X661" i="1"/>
  <c r="V659" i="4" s="1"/>
  <c r="Z668" i="1"/>
  <c r="X666" i="4" s="1"/>
  <c r="Z672" i="1"/>
  <c r="X670" i="4" s="1"/>
  <c r="Z675" i="1"/>
  <c r="X673" i="4" s="1"/>
  <c r="X684" i="1"/>
  <c r="V682" i="4" s="1"/>
  <c r="Z691" i="1"/>
  <c r="X689" i="4" s="1"/>
  <c r="Z698" i="1"/>
  <c r="X696" i="4" s="1"/>
  <c r="AA706" i="1"/>
  <c r="Y704" i="4" s="1"/>
  <c r="X710" i="1"/>
  <c r="V708" i="4" s="1"/>
  <c r="AA722" i="1"/>
  <c r="Y720" i="4" s="1"/>
  <c r="Y727" i="1"/>
  <c r="W725" i="4" s="1"/>
  <c r="Z734" i="1"/>
  <c r="X732" i="4" s="1"/>
  <c r="AA739" i="1"/>
  <c r="Y737" i="4" s="1"/>
  <c r="X743" i="1"/>
  <c r="V741" i="4" s="1"/>
  <c r="Y746" i="1"/>
  <c r="W744" i="4" s="1"/>
  <c r="AA751" i="1"/>
  <c r="Y749" i="4" s="1"/>
  <c r="X756" i="1"/>
  <c r="V754" i="4" s="1"/>
  <c r="X759" i="1"/>
  <c r="V757" i="4" s="1"/>
  <c r="AA763" i="1"/>
  <c r="Y761" i="4" s="1"/>
  <c r="AA769" i="1"/>
  <c r="Y767" i="4" s="1"/>
  <c r="Y774" i="1"/>
  <c r="W772" i="4" s="1"/>
  <c r="Y778" i="1"/>
  <c r="W776" i="4" s="1"/>
  <c r="X781" i="1"/>
  <c r="V779" i="4" s="1"/>
  <c r="Z792" i="1"/>
  <c r="X790" i="4" s="1"/>
  <c r="AA795" i="1"/>
  <c r="Y793" i="4" s="1"/>
  <c r="Z800" i="1"/>
  <c r="X798" i="4" s="1"/>
  <c r="X812" i="1"/>
  <c r="V810" i="4" s="1"/>
  <c r="Y815" i="1"/>
  <c r="W813" i="4" s="1"/>
  <c r="X818" i="1"/>
  <c r="V816" i="4" s="1"/>
  <c r="AA826" i="1"/>
  <c r="Y824" i="4" s="1"/>
  <c r="Z829" i="1"/>
  <c r="X827" i="4" s="1"/>
  <c r="X834" i="1"/>
  <c r="V832" i="4" s="1"/>
  <c r="X838" i="1"/>
  <c r="V836" i="4" s="1"/>
  <c r="AA840" i="1"/>
  <c r="Y838" i="4" s="1"/>
  <c r="AA843" i="1"/>
  <c r="Y841" i="4" s="1"/>
  <c r="Z848" i="1"/>
  <c r="X846" i="4" s="1"/>
  <c r="Z854" i="1"/>
  <c r="X852" i="4" s="1"/>
  <c r="AA862" i="1"/>
  <c r="Y860" i="4" s="1"/>
  <c r="Z865" i="1"/>
  <c r="X863" i="4" s="1"/>
  <c r="AA876" i="1"/>
  <c r="Y874" i="4" s="1"/>
  <c r="AA884" i="1"/>
  <c r="Y882" i="4" s="1"/>
  <c r="X888" i="1"/>
  <c r="V886" i="4" s="1"/>
  <c r="Y252" i="1"/>
  <c r="W250" i="4" s="1"/>
  <c r="Y289" i="1"/>
  <c r="W287" i="4" s="1"/>
  <c r="Y419" i="1"/>
  <c r="W417" i="4" s="1"/>
  <c r="Z462" i="1"/>
  <c r="X460" i="4" s="1"/>
  <c r="AA471" i="1"/>
  <c r="Y469" i="4" s="1"/>
  <c r="Z508" i="1"/>
  <c r="X506" i="4" s="1"/>
  <c r="Y516" i="1"/>
  <c r="W514" i="4" s="1"/>
  <c r="Z538" i="1"/>
  <c r="X536" i="4" s="1"/>
  <c r="AA547" i="1"/>
  <c r="Y545" i="4" s="1"/>
  <c r="AA588" i="1"/>
  <c r="Y586" i="4" s="1"/>
  <c r="Y596" i="1"/>
  <c r="W594" i="4" s="1"/>
  <c r="Z612" i="1"/>
  <c r="X610" i="4" s="1"/>
  <c r="AA646" i="1"/>
  <c r="Y644" i="4" s="1"/>
  <c r="Z653" i="1"/>
  <c r="X651" i="4" s="1"/>
  <c r="Y661" i="1"/>
  <c r="W659" i="4" s="1"/>
  <c r="AA672" i="1"/>
  <c r="Y670" i="4" s="1"/>
  <c r="AA675" i="1"/>
  <c r="Y673" i="4" s="1"/>
  <c r="Y680" i="1"/>
  <c r="W678" i="4" s="1"/>
  <c r="Y684" i="1"/>
  <c r="W682" i="4" s="1"/>
  <c r="X687" i="1"/>
  <c r="V685" i="4" s="1"/>
  <c r="AA691" i="1"/>
  <c r="Y689" i="4" s="1"/>
  <c r="AA698" i="1"/>
  <c r="Y696" i="4" s="1"/>
  <c r="Y703" i="1"/>
  <c r="W701" i="4" s="1"/>
  <c r="Z710" i="1"/>
  <c r="X708" i="4" s="1"/>
  <c r="Y715" i="1"/>
  <c r="W713" i="4" s="1"/>
  <c r="X720" i="1"/>
  <c r="V718" i="4" s="1"/>
  <c r="Z727" i="1"/>
  <c r="X725" i="4" s="1"/>
  <c r="AA734" i="1"/>
  <c r="Y732" i="4" s="1"/>
  <c r="Z746" i="1"/>
  <c r="X744" i="4" s="1"/>
  <c r="Y756" i="1"/>
  <c r="W754" i="4" s="1"/>
  <c r="Y759" i="1"/>
  <c r="W757" i="4" s="1"/>
  <c r="X767" i="1"/>
  <c r="V765" i="4" s="1"/>
  <c r="Z774" i="1"/>
  <c r="X772" i="4" s="1"/>
  <c r="Z778" i="1"/>
  <c r="X776" i="4" s="1"/>
  <c r="Y781" i="1"/>
  <c r="W779" i="4" s="1"/>
  <c r="AA792" i="1"/>
  <c r="Y790" i="4" s="1"/>
  <c r="AA800" i="1"/>
  <c r="Y798" i="4" s="1"/>
  <c r="X804" i="1"/>
  <c r="V802" i="4" s="1"/>
  <c r="Z807" i="1"/>
  <c r="X805" i="4" s="1"/>
  <c r="Y812" i="1"/>
  <c r="W810" i="4" s="1"/>
  <c r="AA815" i="1"/>
  <c r="Y813" i="4" s="1"/>
  <c r="Z818" i="1"/>
  <c r="X816" i="4" s="1"/>
  <c r="Y823" i="1"/>
  <c r="W821" i="4" s="1"/>
  <c r="AA829" i="1"/>
  <c r="Y827" i="4" s="1"/>
  <c r="Y834" i="1"/>
  <c r="W832" i="4" s="1"/>
  <c r="Y838" i="1"/>
  <c r="W836" i="4" s="1"/>
  <c r="AA848" i="1"/>
  <c r="Y846" i="4" s="1"/>
  <c r="X852" i="1"/>
  <c r="V850" i="4" s="1"/>
  <c r="Y859" i="1"/>
  <c r="W857" i="4" s="1"/>
  <c r="AA865" i="1"/>
  <c r="Y863" i="4" s="1"/>
  <c r="X870" i="1"/>
  <c r="V868" i="4" s="1"/>
  <c r="X874" i="1"/>
  <c r="V872" i="4" s="1"/>
  <c r="Y888" i="1"/>
  <c r="W886" i="4" s="1"/>
  <c r="Z891" i="1"/>
  <c r="X889" i="4" s="1"/>
  <c r="AA380" i="1"/>
  <c r="Y378" i="4" s="1"/>
  <c r="Y437" i="1"/>
  <c r="W435" i="4" s="1"/>
  <c r="Y500" i="1"/>
  <c r="W498" i="4" s="1"/>
  <c r="AA516" i="1"/>
  <c r="Y514" i="4" s="1"/>
  <c r="Z524" i="1"/>
  <c r="X522" i="4" s="1"/>
  <c r="X531" i="1"/>
  <c r="V529" i="4" s="1"/>
  <c r="AA573" i="1"/>
  <c r="Y571" i="4" s="1"/>
  <c r="Z638" i="1"/>
  <c r="X636" i="4" s="1"/>
  <c r="X658" i="1"/>
  <c r="V656" i="4" s="1"/>
  <c r="Z661" i="1"/>
  <c r="X659" i="4" s="1"/>
  <c r="Y665" i="1"/>
  <c r="W663" i="4" s="1"/>
  <c r="Y669" i="1"/>
  <c r="W667" i="4" s="1"/>
  <c r="Z680" i="1"/>
  <c r="X678" i="4" s="1"/>
  <c r="Z684" i="1"/>
  <c r="X682" i="4" s="1"/>
  <c r="Z687" i="1"/>
  <c r="X685" i="4" s="1"/>
  <c r="X696" i="1"/>
  <c r="V694" i="4" s="1"/>
  <c r="Z703" i="1"/>
  <c r="X701" i="4" s="1"/>
  <c r="AA710" i="1"/>
  <c r="Y708" i="4" s="1"/>
  <c r="Z715" i="1"/>
  <c r="X713" i="4" s="1"/>
  <c r="Y720" i="1"/>
  <c r="W718" i="4" s="1"/>
  <c r="X723" i="1"/>
  <c r="V721" i="4" s="1"/>
  <c r="AA727" i="1"/>
  <c r="Y725" i="4" s="1"/>
  <c r="X732" i="1"/>
  <c r="V730" i="4" s="1"/>
  <c r="Y740" i="1"/>
  <c r="W738" i="4" s="1"/>
  <c r="X744" i="1"/>
  <c r="V742" i="4" s="1"/>
  <c r="AA746" i="1"/>
  <c r="Y744" i="4" s="1"/>
  <c r="X752" i="1"/>
  <c r="V750" i="4" s="1"/>
  <c r="Z756" i="1"/>
  <c r="X754" i="4" s="1"/>
  <c r="AA759" i="1"/>
  <c r="Y757" i="4" s="1"/>
  <c r="X764" i="1"/>
  <c r="V762" i="4" s="1"/>
  <c r="Y767" i="1"/>
  <c r="W765" i="4" s="1"/>
  <c r="X770" i="1"/>
  <c r="V768" i="4" s="1"/>
  <c r="AA778" i="1"/>
  <c r="Y776" i="4" s="1"/>
  <c r="Z781" i="1"/>
  <c r="X779" i="4" s="1"/>
  <c r="X786" i="1"/>
  <c r="V784" i="4" s="1"/>
  <c r="X790" i="1"/>
  <c r="V788" i="4" s="1"/>
  <c r="Z804" i="1"/>
  <c r="X802" i="4" s="1"/>
  <c r="AA807" i="1"/>
  <c r="Y805" i="4" s="1"/>
  <c r="Z812" i="1"/>
  <c r="X810" i="4" s="1"/>
  <c r="X827" i="1"/>
  <c r="V825" i="4" s="1"/>
  <c r="Z834" i="1"/>
  <c r="X832" i="4" s="1"/>
  <c r="Z838" i="1"/>
  <c r="X836" i="4" s="1"/>
  <c r="X841" i="1"/>
  <c r="V839" i="4" s="1"/>
  <c r="Y852" i="1"/>
  <c r="W850" i="4" s="1"/>
  <c r="Y855" i="1"/>
  <c r="W853" i="4" s="1"/>
  <c r="X863" i="1"/>
  <c r="V861" i="4" s="1"/>
  <c r="Y870" i="1"/>
  <c r="W868" i="4" s="1"/>
  <c r="Y874" i="1"/>
  <c r="W872" i="4" s="1"/>
  <c r="Y877" i="1"/>
  <c r="W875" i="4" s="1"/>
  <c r="Z888" i="1"/>
  <c r="X886" i="4" s="1"/>
  <c r="X245" i="1"/>
  <c r="V243" i="4" s="1"/>
  <c r="AA290" i="1"/>
  <c r="Y288" i="4" s="1"/>
  <c r="Y371" i="1"/>
  <c r="W369" i="4" s="1"/>
  <c r="Y420" i="1"/>
  <c r="W418" i="4" s="1"/>
  <c r="Z482" i="1"/>
  <c r="X480" i="4" s="1"/>
  <c r="X491" i="1"/>
  <c r="V489" i="4" s="1"/>
  <c r="X509" i="1"/>
  <c r="V507" i="4" s="1"/>
  <c r="AA531" i="1"/>
  <c r="Y529" i="4" s="1"/>
  <c r="Y581" i="1"/>
  <c r="W579" i="4" s="1"/>
  <c r="X589" i="1"/>
  <c r="V587" i="4" s="1"/>
  <c r="AA597" i="1"/>
  <c r="Y595" i="4" s="1"/>
  <c r="Y658" i="1"/>
  <c r="W656" i="4" s="1"/>
  <c r="Z665" i="1"/>
  <c r="X663" i="4" s="1"/>
  <c r="AA669" i="1"/>
  <c r="Y667" i="4" s="1"/>
  <c r="X673" i="1"/>
  <c r="V671" i="4" s="1"/>
  <c r="AA684" i="1"/>
  <c r="Y682" i="4" s="1"/>
  <c r="AA687" i="1"/>
  <c r="Y685" i="4" s="1"/>
  <c r="Y692" i="1"/>
  <c r="W690" i="4" s="1"/>
  <c r="Y696" i="1"/>
  <c r="W694" i="4" s="1"/>
  <c r="X699" i="1"/>
  <c r="V697" i="4" s="1"/>
  <c r="AA703" i="1"/>
  <c r="Y701" i="4" s="1"/>
  <c r="X708" i="1"/>
  <c r="V706" i="4" s="1"/>
  <c r="AA715" i="1"/>
  <c r="Y713" i="4" s="1"/>
  <c r="Z720" i="1"/>
  <c r="X718" i="4" s="1"/>
  <c r="Z723" i="1"/>
  <c r="X721" i="4" s="1"/>
  <c r="Y732" i="1"/>
  <c r="W730" i="4" s="1"/>
  <c r="Z735" i="1"/>
  <c r="X733" i="4" s="1"/>
  <c r="Z740" i="1"/>
  <c r="X738" i="4" s="1"/>
  <c r="Y744" i="1"/>
  <c r="W742" i="4" s="1"/>
  <c r="Z752" i="1"/>
  <c r="X750" i="4" s="1"/>
  <c r="AA756" i="1"/>
  <c r="Y754" i="4" s="1"/>
  <c r="Y764" i="1"/>
  <c r="W762" i="4" s="1"/>
  <c r="AA767" i="1"/>
  <c r="Y765" i="4" s="1"/>
  <c r="Z770" i="1"/>
  <c r="X768" i="4" s="1"/>
  <c r="Y775" i="1"/>
  <c r="W773" i="4" s="1"/>
  <c r="AA781" i="1"/>
  <c r="Y779" i="4" s="1"/>
  <c r="Y786" i="1"/>
  <c r="W784" i="4" s="1"/>
  <c r="Y790" i="1"/>
  <c r="W788" i="4" s="1"/>
  <c r="X793" i="1"/>
  <c r="V791" i="4" s="1"/>
  <c r="AA804" i="1"/>
  <c r="Y802" i="4" s="1"/>
  <c r="AA812" i="1"/>
  <c r="Y810" i="4" s="1"/>
  <c r="X816" i="1"/>
  <c r="V814" i="4" s="1"/>
  <c r="Z819" i="1"/>
  <c r="X817" i="4" s="1"/>
  <c r="X824" i="1"/>
  <c r="V822" i="4" s="1"/>
  <c r="Y827" i="1"/>
  <c r="W825" i="4" s="1"/>
  <c r="X830" i="1"/>
  <c r="V828" i="4" s="1"/>
  <c r="AA838" i="1"/>
  <c r="Y836" i="4" s="1"/>
  <c r="Y841" i="1"/>
  <c r="W839" i="4" s="1"/>
  <c r="Z852" i="1"/>
  <c r="X850" i="4" s="1"/>
  <c r="Z855" i="1"/>
  <c r="X853" i="4" s="1"/>
  <c r="X860" i="1"/>
  <c r="V858" i="4" s="1"/>
  <c r="Y863" i="1"/>
  <c r="W861" i="4" s="1"/>
  <c r="X866" i="1"/>
  <c r="V864" i="4" s="1"/>
  <c r="Z870" i="1"/>
  <c r="X868" i="4" s="1"/>
  <c r="Z874" i="1"/>
  <c r="X872" i="4" s="1"/>
  <c r="Z877" i="1"/>
  <c r="X875" i="4" s="1"/>
  <c r="X882" i="1"/>
  <c r="V880" i="4" s="1"/>
  <c r="X886" i="1"/>
  <c r="V884" i="4" s="1"/>
  <c r="AA888" i="1"/>
  <c r="Y886" i="4" s="1"/>
  <c r="Y254" i="1"/>
  <c r="W252" i="4" s="1"/>
  <c r="AA261" i="1"/>
  <c r="Y259" i="4" s="1"/>
  <c r="X341" i="1"/>
  <c r="V339" i="4" s="1"/>
  <c r="Y381" i="1"/>
  <c r="W379" i="4" s="1"/>
  <c r="Z391" i="1"/>
  <c r="X389" i="4" s="1"/>
  <c r="X401" i="1"/>
  <c r="V399" i="4" s="1"/>
  <c r="AA420" i="1"/>
  <c r="Y418" i="4" s="1"/>
  <c r="X448" i="1"/>
  <c r="V446" i="4" s="1"/>
  <c r="X517" i="1"/>
  <c r="V515" i="4" s="1"/>
  <c r="Y525" i="1"/>
  <c r="W523" i="4" s="1"/>
  <c r="X540" i="1"/>
  <c r="V538" i="4" s="1"/>
  <c r="Y557" i="1"/>
  <c r="W555" i="4" s="1"/>
  <c r="Y565" i="1"/>
  <c r="W563" i="4" s="1"/>
  <c r="X574" i="1"/>
  <c r="V572" i="4" s="1"/>
  <c r="Z631" i="1"/>
  <c r="X629" i="4" s="1"/>
  <c r="Y655" i="1"/>
  <c r="W653" i="4" s="1"/>
  <c r="AA658" i="1"/>
  <c r="Y656" i="4" s="1"/>
  <c r="X662" i="1"/>
  <c r="V660" i="4" s="1"/>
  <c r="Y673" i="1"/>
  <c r="W671" i="4" s="1"/>
  <c r="Y677" i="1"/>
  <c r="W675" i="4" s="1"/>
  <c r="Y681" i="1"/>
  <c r="W679" i="4" s="1"/>
  <c r="Z692" i="1"/>
  <c r="X690" i="4" s="1"/>
  <c r="Z696" i="1"/>
  <c r="X694" i="4" s="1"/>
  <c r="Z699" i="1"/>
  <c r="X697" i="4" s="1"/>
  <c r="Y708" i="1"/>
  <c r="W706" i="4" s="1"/>
  <c r="X711" i="1"/>
  <c r="V709" i="4" s="1"/>
  <c r="AA720" i="1"/>
  <c r="Y718" i="4" s="1"/>
  <c r="AA723" i="1"/>
  <c r="Y721" i="4" s="1"/>
  <c r="Y728" i="1"/>
  <c r="W726" i="4" s="1"/>
  <c r="Z732" i="1"/>
  <c r="X730" i="4" s="1"/>
  <c r="AA735" i="1"/>
  <c r="Y733" i="4" s="1"/>
  <c r="AA740" i="1"/>
  <c r="Y738" i="4" s="1"/>
  <c r="Z744" i="1"/>
  <c r="X742" i="4" s="1"/>
  <c r="AA752" i="1"/>
  <c r="Y750" i="4" s="1"/>
  <c r="X760" i="1"/>
  <c r="V758" i="4" s="1"/>
  <c r="Z764" i="1"/>
  <c r="X762" i="4" s="1"/>
  <c r="X779" i="1"/>
  <c r="V777" i="4" s="1"/>
  <c r="Z786" i="1"/>
  <c r="X784" i="4" s="1"/>
  <c r="Z790" i="1"/>
  <c r="X788" i="4" s="1"/>
  <c r="Y793" i="1"/>
  <c r="W791" i="4" s="1"/>
  <c r="X798" i="1"/>
  <c r="V796" i="4" s="1"/>
  <c r="X802" i="1"/>
  <c r="V800" i="4" s="1"/>
  <c r="Z816" i="1"/>
  <c r="X814" i="4" s="1"/>
  <c r="AA819" i="1"/>
  <c r="Y817" i="4" s="1"/>
  <c r="Y824" i="1"/>
  <c r="W822" i="4" s="1"/>
  <c r="AA827" i="1"/>
  <c r="Y825" i="4" s="1"/>
  <c r="Z830" i="1"/>
  <c r="X828" i="4" s="1"/>
  <c r="Y835" i="1"/>
  <c r="W833" i="4" s="1"/>
  <c r="Z841" i="1"/>
  <c r="X839" i="4" s="1"/>
  <c r="X846" i="1"/>
  <c r="V844" i="4" s="1"/>
  <c r="X850" i="1"/>
  <c r="V848" i="4" s="1"/>
  <c r="AA852" i="1"/>
  <c r="Y850" i="4" s="1"/>
  <c r="AA855" i="1"/>
  <c r="Y853" i="4" s="1"/>
  <c r="Y860" i="1"/>
  <c r="W858" i="4" s="1"/>
  <c r="AA863" i="1"/>
  <c r="Y861" i="4" s="1"/>
  <c r="Z866" i="1"/>
  <c r="X864" i="4" s="1"/>
  <c r="AA874" i="1"/>
  <c r="Y872" i="4" s="1"/>
  <c r="AA877" i="1"/>
  <c r="Y875" i="4" s="1"/>
  <c r="Y882" i="1"/>
  <c r="W880" i="4" s="1"/>
  <c r="Y886" i="1"/>
  <c r="W884" i="4" s="1"/>
  <c r="AA254" i="1"/>
  <c r="Y252" i="4" s="1"/>
  <c r="Y291" i="1"/>
  <c r="W289" i="4" s="1"/>
  <c r="AA331" i="1"/>
  <c r="Y329" i="4" s="1"/>
  <c r="Y431" i="1"/>
  <c r="W429" i="4" s="1"/>
  <c r="Y456" i="1"/>
  <c r="W454" i="4" s="1"/>
  <c r="AA465" i="1"/>
  <c r="Y463" i="4" s="1"/>
  <c r="X550" i="1"/>
  <c r="V548" i="4" s="1"/>
  <c r="Z615" i="1"/>
  <c r="X613" i="4" s="1"/>
  <c r="X624" i="1"/>
  <c r="V622" i="4" s="1"/>
  <c r="X649" i="1"/>
  <c r="V647" i="4" s="1"/>
  <c r="Z655" i="1"/>
  <c r="X653" i="4" s="1"/>
  <c r="Y662" i="1"/>
  <c r="W660" i="4" s="1"/>
  <c r="X666" i="1"/>
  <c r="V664" i="4" s="1"/>
  <c r="X670" i="1"/>
  <c r="V668" i="4" s="1"/>
  <c r="Z673" i="1"/>
  <c r="X671" i="4" s="1"/>
  <c r="Z677" i="1"/>
  <c r="X675" i="4" s="1"/>
  <c r="AA681" i="1"/>
  <c r="Y679" i="4" s="1"/>
  <c r="X685" i="1"/>
  <c r="V683" i="4" s="1"/>
  <c r="AA696" i="1"/>
  <c r="Y694" i="4" s="1"/>
  <c r="AA699" i="1"/>
  <c r="Y697" i="4" s="1"/>
  <c r="Y704" i="1"/>
  <c r="W702" i="4" s="1"/>
  <c r="Z708" i="1"/>
  <c r="X706" i="4" s="1"/>
  <c r="Z711" i="1"/>
  <c r="X709" i="4" s="1"/>
  <c r="Z728" i="1"/>
  <c r="X726" i="4" s="1"/>
  <c r="AA732" i="1"/>
  <c r="Y730" i="4" s="1"/>
  <c r="AA744" i="1"/>
  <c r="Y742" i="4" s="1"/>
  <c r="X757" i="1"/>
  <c r="V755" i="4" s="1"/>
  <c r="AA764" i="1"/>
  <c r="Y762" i="4" s="1"/>
  <c r="X768" i="1"/>
  <c r="V766" i="4" s="1"/>
  <c r="Z771" i="1"/>
  <c r="X769" i="4" s="1"/>
  <c r="X776" i="1"/>
  <c r="V774" i="4" s="1"/>
  <c r="Y779" i="1"/>
  <c r="W777" i="4" s="1"/>
  <c r="X782" i="1"/>
  <c r="V780" i="4" s="1"/>
  <c r="AA790" i="1"/>
  <c r="Y788" i="4" s="1"/>
  <c r="Z793" i="1"/>
  <c r="X791" i="4" s="1"/>
  <c r="Y798" i="1"/>
  <c r="W796" i="4" s="1"/>
  <c r="Y802" i="1"/>
  <c r="W800" i="4" s="1"/>
  <c r="X805" i="1"/>
  <c r="V803" i="4" s="1"/>
  <c r="AA816" i="1"/>
  <c r="Y814" i="4" s="1"/>
  <c r="Z824" i="1"/>
  <c r="X822" i="4" s="1"/>
  <c r="X839" i="1"/>
  <c r="V837" i="4" s="1"/>
  <c r="AA841" i="1"/>
  <c r="Y839" i="4" s="1"/>
  <c r="Y846" i="1"/>
  <c r="W844" i="4" s="1"/>
  <c r="Y850" i="1"/>
  <c r="W848" i="4" s="1"/>
  <c r="Z860" i="1"/>
  <c r="X858" i="4" s="1"/>
  <c r="Y871" i="1"/>
  <c r="W869" i="4" s="1"/>
  <c r="Z882" i="1"/>
  <c r="X880" i="4" s="1"/>
  <c r="Z886" i="1"/>
  <c r="X884" i="4" s="1"/>
  <c r="Z247" i="1"/>
  <c r="X245" i="4" s="1"/>
  <c r="AA273" i="1"/>
  <c r="Y271" i="4" s="1"/>
  <c r="Z283" i="1"/>
  <c r="X281" i="4" s="1"/>
  <c r="Z321" i="1"/>
  <c r="X319" i="4" s="1"/>
  <c r="Y413" i="1"/>
  <c r="W411" i="4" s="1"/>
  <c r="X449" i="1"/>
  <c r="V447" i="4" s="1"/>
  <c r="Z550" i="1"/>
  <c r="X548" i="4" s="1"/>
  <c r="X591" i="1"/>
  <c r="V589" i="4" s="1"/>
  <c r="Z608" i="1"/>
  <c r="X606" i="4" s="1"/>
  <c r="Z624" i="1"/>
  <c r="X622" i="4" s="1"/>
  <c r="Z649" i="1"/>
  <c r="X647" i="4" s="1"/>
  <c r="X255" i="1"/>
  <c r="V253" i="4" s="1"/>
  <c r="Y312" i="1"/>
  <c r="W310" i="4" s="1"/>
  <c r="AA374" i="1"/>
  <c r="Y372" i="4" s="1"/>
  <c r="Z403" i="1"/>
  <c r="X401" i="4" s="1"/>
  <c r="Y432" i="1"/>
  <c r="W430" i="4" s="1"/>
  <c r="Y476" i="1"/>
  <c r="W474" i="4" s="1"/>
  <c r="X485" i="1"/>
  <c r="V483" i="4" s="1"/>
  <c r="Z494" i="1"/>
  <c r="X492" i="4" s="1"/>
  <c r="X504" i="1"/>
  <c r="V502" i="4" s="1"/>
  <c r="Z512" i="1"/>
  <c r="X510" i="4" s="1"/>
  <c r="X519" i="1"/>
  <c r="V517" i="4" s="1"/>
  <c r="Z542" i="1"/>
  <c r="X540" i="4" s="1"/>
  <c r="Z576" i="1"/>
  <c r="X574" i="4" s="1"/>
  <c r="Y584" i="1"/>
  <c r="W582" i="4" s="1"/>
  <c r="AA591" i="1"/>
  <c r="Y589" i="4" s="1"/>
  <c r="X600" i="1"/>
  <c r="V598" i="4" s="1"/>
  <c r="X660" i="1"/>
  <c r="V658" i="4" s="1"/>
  <c r="AA662" i="1"/>
  <c r="Y660" i="4" s="1"/>
  <c r="Y667" i="1"/>
  <c r="W665" i="4" s="1"/>
  <c r="AA670" i="1"/>
  <c r="Y668" i="4" s="1"/>
  <c r="X674" i="1"/>
  <c r="V672" i="4" s="1"/>
  <c r="X678" i="1"/>
  <c r="V676" i="4" s="1"/>
  <c r="X682" i="1"/>
  <c r="V680" i="4" s="1"/>
  <c r="Z685" i="1"/>
  <c r="X683" i="4" s="1"/>
  <c r="Z689" i="1"/>
  <c r="X687" i="4" s="1"/>
  <c r="AA693" i="1"/>
  <c r="Y691" i="4" s="1"/>
  <c r="X697" i="1"/>
  <c r="V695" i="4" s="1"/>
  <c r="Y721" i="1"/>
  <c r="W719" i="4" s="1"/>
  <c r="Y725" i="1"/>
  <c r="W723" i="4" s="1"/>
  <c r="AA729" i="1"/>
  <c r="Y727" i="4" s="1"/>
  <c r="X733" i="1"/>
  <c r="V731" i="4" s="1"/>
  <c r="Y737" i="1"/>
  <c r="W735" i="4" s="1"/>
  <c r="X745" i="1"/>
  <c r="V743" i="4" s="1"/>
  <c r="X750" i="1"/>
  <c r="V748" i="4" s="1"/>
  <c r="AA753" i="1"/>
  <c r="Y751" i="4" s="1"/>
  <c r="AA761" i="1"/>
  <c r="Y759" i="4" s="1"/>
  <c r="AA768" i="1"/>
  <c r="Y766" i="4" s="1"/>
  <c r="Z776" i="1"/>
  <c r="X774" i="4" s="1"/>
  <c r="X791" i="1"/>
  <c r="V789" i="4" s="1"/>
  <c r="AA802" i="1"/>
  <c r="Y800" i="4" s="1"/>
  <c r="Z805" i="1"/>
  <c r="X803" i="4" s="1"/>
  <c r="Y810" i="1"/>
  <c r="W808" i="4" s="1"/>
  <c r="Y814" i="1"/>
  <c r="W812" i="4" s="1"/>
  <c r="X817" i="1"/>
  <c r="V815" i="4" s="1"/>
  <c r="Z828" i="1"/>
  <c r="X826" i="4" s="1"/>
  <c r="Z831" i="1"/>
  <c r="X829" i="4" s="1"/>
  <c r="Y836" i="1"/>
  <c r="W834" i="4" s="1"/>
  <c r="AA839" i="1"/>
  <c r="Y837" i="4" s="1"/>
  <c r="X842" i="1"/>
  <c r="V840" i="4" s="1"/>
  <c r="AA850" i="1"/>
  <c r="Y848" i="4" s="1"/>
  <c r="Y853" i="1"/>
  <c r="W851" i="4" s="1"/>
  <c r="Z864" i="1"/>
  <c r="X862" i="4" s="1"/>
  <c r="Z867" i="1"/>
  <c r="X865" i="4" s="1"/>
  <c r="X872" i="1"/>
  <c r="V870" i="4" s="1"/>
  <c r="Y875" i="1"/>
  <c r="W873" i="4" s="1"/>
  <c r="Z878" i="1"/>
  <c r="X876" i="4" s="1"/>
  <c r="Y883" i="1"/>
  <c r="W881" i="4" s="1"/>
  <c r="X240" i="1"/>
  <c r="V238" i="4" s="1"/>
  <c r="AA256" i="1"/>
  <c r="Y254" i="4" s="1"/>
  <c r="X294" i="1"/>
  <c r="V292" i="4" s="1"/>
  <c r="Y443" i="1"/>
  <c r="W441" i="4" s="1"/>
  <c r="Y451" i="1"/>
  <c r="W449" i="4" s="1"/>
  <c r="Y513" i="1"/>
  <c r="W511" i="4" s="1"/>
  <c r="AA528" i="1"/>
  <c r="Y526" i="4" s="1"/>
  <c r="AA561" i="1"/>
  <c r="Y559" i="4" s="1"/>
  <c r="Y569" i="1"/>
  <c r="W567" i="4" s="1"/>
  <c r="Y577" i="1"/>
  <c r="W575" i="4" s="1"/>
  <c r="Z626" i="1"/>
  <c r="X624" i="4" s="1"/>
  <c r="Z656" i="1"/>
  <c r="X654" i="4" s="1"/>
  <c r="Z660" i="1"/>
  <c r="X658" i="4" s="1"/>
  <c r="X663" i="1"/>
  <c r="V661" i="4" s="1"/>
  <c r="AA667" i="1"/>
  <c r="Y665" i="4" s="1"/>
  <c r="AA674" i="1"/>
  <c r="Y672" i="4" s="1"/>
  <c r="Y679" i="1"/>
  <c r="W677" i="4" s="1"/>
  <c r="AA682" i="1"/>
  <c r="Y680" i="4" s="1"/>
  <c r="X686" i="1"/>
  <c r="V684" i="4" s="1"/>
  <c r="X690" i="1"/>
  <c r="V688" i="4" s="1"/>
  <c r="X694" i="1"/>
  <c r="V692" i="4" s="1"/>
  <c r="Z697" i="1"/>
  <c r="X695" i="4" s="1"/>
  <c r="Z701" i="1"/>
  <c r="X699" i="4" s="1"/>
  <c r="Y709" i="1"/>
  <c r="W707" i="4" s="1"/>
  <c r="Y713" i="1"/>
  <c r="W711" i="4" s="1"/>
  <c r="Y718" i="1"/>
  <c r="W716" i="4" s="1"/>
  <c r="X730" i="1"/>
  <c r="V728" i="4" s="1"/>
  <c r="Z733" i="1"/>
  <c r="X731" i="4" s="1"/>
  <c r="Y742" i="1"/>
  <c r="W740" i="4" s="1"/>
  <c r="Z745" i="1"/>
  <c r="X743" i="4" s="1"/>
  <c r="X754" i="1"/>
  <c r="V752" i="4" s="1"/>
  <c r="Z758" i="1"/>
  <c r="X756" i="4" s="1"/>
  <c r="X762" i="1"/>
  <c r="V760" i="4" s="1"/>
  <c r="Y766" i="1"/>
  <c r="W764" i="4" s="1"/>
  <c r="X769" i="1"/>
  <c r="V767" i="4" s="1"/>
  <c r="Z780" i="1"/>
  <c r="X778" i="4" s="1"/>
  <c r="AA783" i="1"/>
  <c r="Y781" i="4" s="1"/>
  <c r="Y788" i="1"/>
  <c r="W786" i="4" s="1"/>
  <c r="AA791" i="1"/>
  <c r="Y789" i="4" s="1"/>
  <c r="Z794" i="1"/>
  <c r="X792" i="4" s="1"/>
  <c r="X803" i="1"/>
  <c r="V801" i="4" s="1"/>
  <c r="AA814" i="1"/>
  <c r="Y812" i="4" s="1"/>
  <c r="Z817" i="1"/>
  <c r="X815" i="4" s="1"/>
  <c r="X822" i="1"/>
  <c r="V820" i="4" s="1"/>
  <c r="X826" i="1"/>
  <c r="V824" i="4" s="1"/>
  <c r="AA836" i="1"/>
  <c r="Y834" i="4" s="1"/>
  <c r="X840" i="1"/>
  <c r="V838" i="4" s="1"/>
  <c r="X851" i="1"/>
  <c r="V849" i="4" s="1"/>
  <c r="AA853" i="1"/>
  <c r="Y851" i="4" s="1"/>
  <c r="X858" i="1"/>
  <c r="V856" i="4" s="1"/>
  <c r="X862" i="1"/>
  <c r="V860" i="4" s="1"/>
  <c r="Z872" i="1"/>
  <c r="X870" i="4" s="1"/>
  <c r="Y879" i="1"/>
  <c r="W877" i="4" s="1"/>
  <c r="X884" i="1"/>
  <c r="V882" i="4" s="1"/>
  <c r="Y887" i="1"/>
  <c r="W885" i="4" s="1"/>
  <c r="Z266" i="1"/>
  <c r="X264" i="4" s="1"/>
  <c r="Z619" i="1"/>
  <c r="X617" i="4" s="1"/>
  <c r="X651" i="1"/>
  <c r="V649" i="4" s="1"/>
  <c r="Y660" i="1"/>
  <c r="W658" i="4" s="1"/>
  <c r="Y694" i="1"/>
  <c r="W692" i="4" s="1"/>
  <c r="X718" i="1"/>
  <c r="V716" i="4" s="1"/>
  <c r="Z725" i="1"/>
  <c r="X723" i="4" s="1"/>
  <c r="AA742" i="1"/>
  <c r="Y740" i="4" s="1"/>
  <c r="Y751" i="1"/>
  <c r="W749" i="4" s="1"/>
  <c r="Z782" i="1"/>
  <c r="X780" i="4" s="1"/>
  <c r="Z798" i="1"/>
  <c r="X796" i="4" s="1"/>
  <c r="AA314" i="1"/>
  <c r="Y312" i="4" s="1"/>
  <c r="AA451" i="1"/>
  <c r="Y449" i="4" s="1"/>
  <c r="AA519" i="1"/>
  <c r="Y517" i="4" s="1"/>
  <c r="AA609" i="1"/>
  <c r="Y607" i="4" s="1"/>
  <c r="AA660" i="1"/>
  <c r="Y658" i="4" s="1"/>
  <c r="Z686" i="1"/>
  <c r="X684" i="4" s="1"/>
  <c r="Z704" i="1"/>
  <c r="X702" i="4" s="1"/>
  <c r="AA718" i="1"/>
  <c r="Y716" i="4" s="1"/>
  <c r="Z768" i="1"/>
  <c r="X766" i="4" s="1"/>
  <c r="Y776" i="1"/>
  <c r="W774" i="4" s="1"/>
  <c r="AA805" i="1"/>
  <c r="Y803" i="4" s="1"/>
  <c r="X820" i="1"/>
  <c r="V818" i="4" s="1"/>
  <c r="X828" i="1"/>
  <c r="V826" i="4" s="1"/>
  <c r="Z850" i="1"/>
  <c r="X848" i="4" s="1"/>
  <c r="Y872" i="1"/>
  <c r="W870" i="4" s="1"/>
  <c r="X887" i="1"/>
  <c r="V885" i="4" s="1"/>
  <c r="AA891" i="1"/>
  <c r="Y889" i="4" s="1"/>
  <c r="Y896" i="1"/>
  <c r="W894" i="4" s="1"/>
  <c r="AA899" i="1"/>
  <c r="Y897" i="4" s="1"/>
  <c r="X911" i="1"/>
  <c r="V909" i="4" s="1"/>
  <c r="X914" i="1"/>
  <c r="V912" i="4" s="1"/>
  <c r="Z918" i="1"/>
  <c r="X916" i="4" s="1"/>
  <c r="AA922" i="1"/>
  <c r="Y920" i="4" s="1"/>
  <c r="AA925" i="1"/>
  <c r="Y923" i="4" s="1"/>
  <c r="Y933" i="1"/>
  <c r="W931" i="4" s="1"/>
  <c r="X936" i="1"/>
  <c r="V934" i="4" s="1"/>
  <c r="Z939" i="1"/>
  <c r="X937" i="4" s="1"/>
  <c r="X944" i="1"/>
  <c r="V942" i="4" s="1"/>
  <c r="X948" i="1"/>
  <c r="V946" i="4" s="1"/>
  <c r="Y951" i="1"/>
  <c r="W949" i="4" s="1"/>
  <c r="AA961" i="1"/>
  <c r="Y959" i="4" s="1"/>
  <c r="X966" i="1"/>
  <c r="V964" i="4" s="1"/>
  <c r="Z973" i="1"/>
  <c r="X971" i="4" s="1"/>
  <c r="AA984" i="1"/>
  <c r="Y982" i="4" s="1"/>
  <c r="Z988" i="1"/>
  <c r="X986" i="4" s="1"/>
  <c r="X993" i="1"/>
  <c r="V991" i="4" s="1"/>
  <c r="Y997" i="1"/>
  <c r="W995" i="4" s="1"/>
  <c r="X1002" i="1"/>
  <c r="V1000" i="4" s="1"/>
  <c r="Y1006" i="1"/>
  <c r="W1004" i="4" s="1"/>
  <c r="Y1009" i="1"/>
  <c r="W1007" i="4" s="1"/>
  <c r="AA1012" i="1"/>
  <c r="Y1010" i="4" s="1"/>
  <c r="Y1015" i="1"/>
  <c r="W1013" i="4" s="1"/>
  <c r="Y1020" i="1"/>
  <c r="W1018" i="4" s="1"/>
  <c r="AA1023" i="1"/>
  <c r="Y1021" i="4" s="1"/>
  <c r="X1035" i="1"/>
  <c r="V1033" i="4" s="1"/>
  <c r="X1038" i="1"/>
  <c r="V1036" i="4" s="1"/>
  <c r="Y1042" i="1"/>
  <c r="W1040" i="4" s="1"/>
  <c r="AA1046" i="1"/>
  <c r="Y1044" i="4" s="1"/>
  <c r="Z1049" i="1"/>
  <c r="X1047" i="4" s="1"/>
  <c r="AA1060" i="1"/>
  <c r="Y1058" i="4" s="1"/>
  <c r="Z1063" i="1"/>
  <c r="X1061" i="4" s="1"/>
  <c r="AA1068" i="1"/>
  <c r="Y1066" i="4" s="1"/>
  <c r="X1072" i="1"/>
  <c r="V1070" i="4" s="1"/>
  <c r="X1075" i="1"/>
  <c r="V1073" i="4" s="1"/>
  <c r="Y1080" i="1"/>
  <c r="W1078" i="4" s="1"/>
  <c r="AA1083" i="1"/>
  <c r="Y1081" i="4" s="1"/>
  <c r="X1086" i="1"/>
  <c r="V1084" i="4" s="1"/>
  <c r="Z1090" i="1"/>
  <c r="X1088" i="4" s="1"/>
  <c r="Z1097" i="1"/>
  <c r="X1095" i="4" s="1"/>
  <c r="X1106" i="1"/>
  <c r="V1104" i="4" s="1"/>
  <c r="AA1111" i="1"/>
  <c r="Y1109" i="4" s="1"/>
  <c r="AA1116" i="1"/>
  <c r="Y1114" i="4" s="1"/>
  <c r="X1120" i="1"/>
  <c r="V1118" i="4" s="1"/>
  <c r="X1123" i="1"/>
  <c r="V1121" i="4" s="1"/>
  <c r="Y1128" i="1"/>
  <c r="W1126" i="4" s="1"/>
  <c r="AA1131" i="1"/>
  <c r="Y1129" i="4" s="1"/>
  <c r="X1134" i="1"/>
  <c r="V1132" i="4" s="1"/>
  <c r="X1143" i="1"/>
  <c r="V1141" i="4" s="1"/>
  <c r="AA1145" i="1"/>
  <c r="Y1143" i="4" s="1"/>
  <c r="Z1149" i="1"/>
  <c r="X1147" i="4" s="1"/>
  <c r="Y1154" i="1"/>
  <c r="W1152" i="4" s="1"/>
  <c r="AA1159" i="1"/>
  <c r="Y1157" i="4" s="1"/>
  <c r="Z643" i="1"/>
  <c r="X641" i="4" s="1"/>
  <c r="AA711" i="1"/>
  <c r="Y709" i="4" s="1"/>
  <c r="X726" i="1"/>
  <c r="V724" i="4" s="1"/>
  <c r="AA776" i="1"/>
  <c r="Y774" i="4" s="1"/>
  <c r="Z783" i="1"/>
  <c r="X781" i="4" s="1"/>
  <c r="Y791" i="1"/>
  <c r="W789" i="4" s="1"/>
  <c r="Y799" i="1"/>
  <c r="W797" i="4" s="1"/>
  <c r="AA396" i="1"/>
  <c r="Y394" i="4" s="1"/>
  <c r="Z487" i="1"/>
  <c r="X485" i="4" s="1"/>
  <c r="Y553" i="1"/>
  <c r="W551" i="4" s="1"/>
  <c r="Z600" i="1"/>
  <c r="X598" i="4" s="1"/>
  <c r="Y670" i="1"/>
  <c r="W668" i="4" s="1"/>
  <c r="Z679" i="1"/>
  <c r="X677" i="4" s="1"/>
  <c r="AA705" i="1"/>
  <c r="Y703" i="4" s="1"/>
  <c r="Y753" i="1"/>
  <c r="W751" i="4" s="1"/>
  <c r="Z761" i="1"/>
  <c r="X759" i="4" s="1"/>
  <c r="Y769" i="1"/>
  <c r="W767" i="4" s="1"/>
  <c r="X806" i="1"/>
  <c r="V804" i="4" s="1"/>
  <c r="X814" i="1"/>
  <c r="V812" i="4" s="1"/>
  <c r="Z836" i="1"/>
  <c r="X834" i="4" s="1"/>
  <c r="Y851" i="1"/>
  <c r="W849" i="4" s="1"/>
  <c r="X892" i="1"/>
  <c r="V890" i="4" s="1"/>
  <c r="AA896" i="1"/>
  <c r="Y894" i="4" s="1"/>
  <c r="X900" i="1"/>
  <c r="V898" i="4" s="1"/>
  <c r="Z903" i="1"/>
  <c r="X901" i="4" s="1"/>
  <c r="Y908" i="1"/>
  <c r="W906" i="4" s="1"/>
  <c r="AA386" i="1"/>
  <c r="Y384" i="4" s="1"/>
  <c r="Z634" i="1"/>
  <c r="X632" i="4" s="1"/>
  <c r="Z662" i="1"/>
  <c r="X660" i="4" s="1"/>
  <c r="Y697" i="1"/>
  <c r="W695" i="4" s="1"/>
  <c r="Y745" i="1"/>
  <c r="W743" i="4" s="1"/>
  <c r="X800" i="1"/>
  <c r="V798" i="4" s="1"/>
  <c r="Z814" i="1"/>
  <c r="X812" i="4" s="1"/>
  <c r="Y822" i="1"/>
  <c r="W820" i="4" s="1"/>
  <c r="X829" i="1"/>
  <c r="V827" i="4" s="1"/>
  <c r="Z900" i="1"/>
  <c r="X898" i="4" s="1"/>
  <c r="AA903" i="1"/>
  <c r="Y901" i="4" s="1"/>
  <c r="Z908" i="1"/>
  <c r="X906" i="4" s="1"/>
  <c r="Y915" i="1"/>
  <c r="W913" i="4" s="1"/>
  <c r="X920" i="1"/>
  <c r="V918" i="4" s="1"/>
  <c r="Y923" i="1"/>
  <c r="W921" i="4" s="1"/>
  <c r="Z926" i="1"/>
  <c r="X924" i="4" s="1"/>
  <c r="Z930" i="1"/>
  <c r="X928" i="4" s="1"/>
  <c r="X934" i="1"/>
  <c r="V932" i="4" s="1"/>
  <c r="X940" i="1"/>
  <c r="V938" i="4" s="1"/>
  <c r="AA944" i="1"/>
  <c r="Y942" i="4" s="1"/>
  <c r="AA948" i="1"/>
  <c r="Y946" i="4" s="1"/>
  <c r="Z956" i="1"/>
  <c r="X954" i="4" s="1"/>
  <c r="AA959" i="1"/>
  <c r="Y957" i="4" s="1"/>
  <c r="Z962" i="1"/>
  <c r="X960" i="4" s="1"/>
  <c r="Z970" i="1"/>
  <c r="X968" i="4" s="1"/>
  <c r="X974" i="1"/>
  <c r="V972" i="4" s="1"/>
  <c r="Z982" i="1"/>
  <c r="X980" i="4" s="1"/>
  <c r="Z985" i="1"/>
  <c r="X983" i="4" s="1"/>
  <c r="Y994" i="1"/>
  <c r="W992" i="4" s="1"/>
  <c r="AA1002" i="1"/>
  <c r="Y1000" i="4" s="1"/>
  <c r="X1010" i="1"/>
  <c r="V1008" i="4" s="1"/>
  <c r="Y1013" i="1"/>
  <c r="W1011" i="4" s="1"/>
  <c r="AA1024" i="1"/>
  <c r="Y1022" i="4" s="1"/>
  <c r="Z1027" i="1"/>
  <c r="X1025" i="4" s="1"/>
  <c r="Z1032" i="1"/>
  <c r="X1030" i="4" s="1"/>
  <c r="X1039" i="1"/>
  <c r="V1037" i="4" s="1"/>
  <c r="Y1047" i="1"/>
  <c r="W1045" i="4" s="1"/>
  <c r="X1050" i="1"/>
  <c r="V1048" i="4" s="1"/>
  <c r="Z1058" i="1"/>
  <c r="X1056" i="4" s="1"/>
  <c r="Y1061" i="1"/>
  <c r="W1059" i="4" s="1"/>
  <c r="X1070" i="1"/>
  <c r="V1068" i="4" s="1"/>
  <c r="AA1075" i="1"/>
  <c r="Y1073" i="4" s="1"/>
  <c r="Y1084" i="1"/>
  <c r="W1082" i="4" s="1"/>
  <c r="X1087" i="1"/>
  <c r="V1085" i="4" s="1"/>
  <c r="Y1092" i="1"/>
  <c r="W1090" i="4" s="1"/>
  <c r="AA1095" i="1"/>
  <c r="Y1093" i="4" s="1"/>
  <c r="X1098" i="1"/>
  <c r="V1096" i="4" s="1"/>
  <c r="Y1102" i="1"/>
  <c r="W1100" i="4" s="1"/>
  <c r="AA1106" i="1"/>
  <c r="Y1104" i="4" s="1"/>
  <c r="Z1109" i="1"/>
  <c r="X1107" i="4" s="1"/>
  <c r="X1118" i="1"/>
  <c r="V1116" i="4" s="1"/>
  <c r="AA1123" i="1"/>
  <c r="Y1121" i="4" s="1"/>
  <c r="Y1132" i="1"/>
  <c r="W1130" i="4" s="1"/>
  <c r="X1135" i="1"/>
  <c r="V1133" i="4" s="1"/>
  <c r="Z1140" i="1"/>
  <c r="X1138" i="4" s="1"/>
  <c r="Z1146" i="1"/>
  <c r="X1144" i="4" s="1"/>
  <c r="Z1157" i="1"/>
  <c r="X1155" i="4" s="1"/>
  <c r="AA432" i="1"/>
  <c r="Y430" i="4" s="1"/>
  <c r="AA655" i="1"/>
  <c r="Y653" i="4" s="1"/>
  <c r="Y689" i="1"/>
  <c r="W687" i="4" s="1"/>
  <c r="X706" i="1"/>
  <c r="V704" i="4" s="1"/>
  <c r="Z713" i="1"/>
  <c r="X711" i="4" s="1"/>
  <c r="X721" i="1"/>
  <c r="V719" i="4" s="1"/>
  <c r="AA793" i="1"/>
  <c r="Y791" i="4" s="1"/>
  <c r="AA860" i="1"/>
  <c r="Y858" i="4" s="1"/>
  <c r="Y867" i="1"/>
  <c r="W865" i="4" s="1"/>
  <c r="Y889" i="1"/>
  <c r="W887" i="4" s="1"/>
  <c r="AA900" i="1"/>
  <c r="Y898" i="4" s="1"/>
  <c r="AA908" i="1"/>
  <c r="Y906" i="4" s="1"/>
  <c r="X912" i="1"/>
  <c r="V910" i="4" s="1"/>
  <c r="Z915" i="1"/>
  <c r="X913" i="4" s="1"/>
  <c r="Y920" i="1"/>
  <c r="W918" i="4" s="1"/>
  <c r="AA923" i="1"/>
  <c r="Y921" i="4" s="1"/>
  <c r="Y934" i="1"/>
  <c r="W932" i="4" s="1"/>
  <c r="Y937" i="1"/>
  <c r="W935" i="4" s="1"/>
  <c r="Z940" i="1"/>
  <c r="X938" i="4" s="1"/>
  <c r="X952" i="1"/>
  <c r="V950" i="4" s="1"/>
  <c r="AA956" i="1"/>
  <c r="Y954" i="4" s="1"/>
  <c r="AA970" i="1"/>
  <c r="Y968" i="4" s="1"/>
  <c r="Z974" i="1"/>
  <c r="X972" i="4" s="1"/>
  <c r="X980" i="1"/>
  <c r="V978" i="4" s="1"/>
  <c r="AA982" i="1"/>
  <c r="Y980" i="4" s="1"/>
  <c r="AA985" i="1"/>
  <c r="Y983" i="4" s="1"/>
  <c r="Z994" i="1"/>
  <c r="X992" i="4" s="1"/>
  <c r="Y999" i="1"/>
  <c r="W997" i="4" s="1"/>
  <c r="Z1007" i="1"/>
  <c r="X1005" i="4" s="1"/>
  <c r="Z1010" i="1"/>
  <c r="X1008" i="4" s="1"/>
  <c r="Z1013" i="1"/>
  <c r="X1011" i="4" s="1"/>
  <c r="AA1027" i="1"/>
  <c r="Y1025" i="4" s="1"/>
  <c r="AA1032" i="1"/>
  <c r="Y1030" i="4" s="1"/>
  <c r="X1036" i="1"/>
  <c r="V1034" i="4" s="1"/>
  <c r="Y1039" i="1"/>
  <c r="W1037" i="4" s="1"/>
  <c r="Y1044" i="1"/>
  <c r="W1042" i="4" s="1"/>
  <c r="AA1047" i="1"/>
  <c r="Y1045" i="4" s="1"/>
  <c r="Z1050" i="1"/>
  <c r="X1048" i="4" s="1"/>
  <c r="Y1054" i="1"/>
  <c r="W1052" i="4" s="1"/>
  <c r="AA1058" i="1"/>
  <c r="Y1056" i="4" s="1"/>
  <c r="Z1061" i="1"/>
  <c r="X1059" i="4" s="1"/>
  <c r="Z1065" i="1"/>
  <c r="X1063" i="4" s="1"/>
  <c r="Y1070" i="1"/>
  <c r="W1068" i="4" s="1"/>
  <c r="X1073" i="1"/>
  <c r="V1071" i="4" s="1"/>
  <c r="Z1084" i="1"/>
  <c r="X1082" i="4" s="1"/>
  <c r="Y1087" i="1"/>
  <c r="W1085" i="4" s="1"/>
  <c r="Z1092" i="1"/>
  <c r="X1090" i="4" s="1"/>
  <c r="Z1098" i="1"/>
  <c r="X1096" i="4" s="1"/>
  <c r="Z1102" i="1"/>
  <c r="X1100" i="4" s="1"/>
  <c r="AA1109" i="1"/>
  <c r="Y1107" i="4" s="1"/>
  <c r="Z1113" i="1"/>
  <c r="X1111" i="4" s="1"/>
  <c r="Y1118" i="1"/>
  <c r="W1116" i="4" s="1"/>
  <c r="X1121" i="1"/>
  <c r="V1119" i="4" s="1"/>
  <c r="Z1132" i="1"/>
  <c r="X1130" i="4" s="1"/>
  <c r="Y1135" i="1"/>
  <c r="W1133" i="4" s="1"/>
  <c r="AA1140" i="1"/>
  <c r="Y1138" i="4" s="1"/>
  <c r="X1144" i="1"/>
  <c r="V1142" i="4" s="1"/>
  <c r="X1155" i="1"/>
  <c r="V1153" i="4" s="1"/>
  <c r="AA1157" i="1"/>
  <c r="Y1155" i="4" s="1"/>
  <c r="Y467" i="1"/>
  <c r="W465" i="4" s="1"/>
  <c r="Z663" i="1"/>
  <c r="X661" i="4" s="1"/>
  <c r="X672" i="1"/>
  <c r="V670" i="4" s="1"/>
  <c r="Z721" i="1"/>
  <c r="X719" i="4" s="1"/>
  <c r="Y739" i="1"/>
  <c r="W737" i="4" s="1"/>
  <c r="AA771" i="1"/>
  <c r="Y769" i="4" s="1"/>
  <c r="AA779" i="1"/>
  <c r="Y777" i="4" s="1"/>
  <c r="Z846" i="1"/>
  <c r="X844" i="4" s="1"/>
  <c r="X853" i="1"/>
  <c r="V851" i="4" s="1"/>
  <c r="AA867" i="1"/>
  <c r="Y865" i="4" s="1"/>
  <c r="X875" i="1"/>
  <c r="V873" i="4" s="1"/>
  <c r="Z889" i="1"/>
  <c r="X887" i="4" s="1"/>
  <c r="X894" i="1"/>
  <c r="V892" i="4" s="1"/>
  <c r="X898" i="1"/>
  <c r="V896" i="4" s="1"/>
  <c r="Z912" i="1"/>
  <c r="X910" i="4" s="1"/>
  <c r="AA915" i="1"/>
  <c r="Y913" i="4" s="1"/>
  <c r="Z920" i="1"/>
  <c r="X918" i="4" s="1"/>
  <c r="Y927" i="1"/>
  <c r="W925" i="4" s="1"/>
  <c r="Y931" i="1"/>
  <c r="W929" i="4" s="1"/>
  <c r="Z934" i="1"/>
  <c r="X932" i="4" s="1"/>
  <c r="Z937" i="1"/>
  <c r="X935" i="4" s="1"/>
  <c r="Y949" i="1"/>
  <c r="W947" i="4" s="1"/>
  <c r="Z952" i="1"/>
  <c r="X950" i="4" s="1"/>
  <c r="X960" i="1"/>
  <c r="V958" i="4" s="1"/>
  <c r="Y963" i="1"/>
  <c r="W961" i="4" s="1"/>
  <c r="X968" i="1"/>
  <c r="V966" i="4" s="1"/>
  <c r="Y980" i="1"/>
  <c r="W978" i="4" s="1"/>
  <c r="AA991" i="1"/>
  <c r="Y989" i="4" s="1"/>
  <c r="AA994" i="1"/>
  <c r="Y992" i="4" s="1"/>
  <c r="Z999" i="1"/>
  <c r="X997" i="4" s="1"/>
  <c r="Y1003" i="1"/>
  <c r="W1001" i="4" s="1"/>
  <c r="AA1007" i="1"/>
  <c r="Y1005" i="4" s="1"/>
  <c r="AA1010" i="1"/>
  <c r="Y1008" i="4" s="1"/>
  <c r="AA1013" i="1"/>
  <c r="Y1011" i="4" s="1"/>
  <c r="Z1017" i="1"/>
  <c r="X1015" i="4" s="1"/>
  <c r="X1022" i="1"/>
  <c r="V1020" i="4" s="1"/>
  <c r="X1025" i="1"/>
  <c r="V1023" i="4" s="1"/>
  <c r="AA1036" i="1"/>
  <c r="Y1034" i="4" s="1"/>
  <c r="Z1039" i="1"/>
  <c r="X1037" i="4" s="1"/>
  <c r="Z1044" i="1"/>
  <c r="X1042" i="4" s="1"/>
  <c r="Z1054" i="1"/>
  <c r="X1052" i="4" s="1"/>
  <c r="AA535" i="1"/>
  <c r="Y533" i="4" s="1"/>
  <c r="Y656" i="1"/>
  <c r="W654" i="4" s="1"/>
  <c r="Y682" i="1"/>
  <c r="W680" i="4" s="1"/>
  <c r="Y730" i="1"/>
  <c r="W728" i="4" s="1"/>
  <c r="Y787" i="1"/>
  <c r="W785" i="4" s="1"/>
  <c r="X794" i="1"/>
  <c r="V792" i="4" s="1"/>
  <c r="Z802" i="1"/>
  <c r="X800" i="4" s="1"/>
  <c r="AA824" i="1"/>
  <c r="Y822" i="4" s="1"/>
  <c r="Y831" i="1"/>
  <c r="W829" i="4" s="1"/>
  <c r="Y839" i="1"/>
  <c r="W837" i="4" s="1"/>
  <c r="Z853" i="1"/>
  <c r="X851" i="4" s="1"/>
  <c r="AA875" i="1"/>
  <c r="Y873" i="4" s="1"/>
  <c r="AA889" i="1"/>
  <c r="Y887" i="4" s="1"/>
  <c r="Y894" i="1"/>
  <c r="W892" i="4" s="1"/>
  <c r="Y898" i="1"/>
  <c r="W896" i="4" s="1"/>
  <c r="Y901" i="1"/>
  <c r="W899" i="4" s="1"/>
  <c r="AA912" i="1"/>
  <c r="Y910" i="4" s="1"/>
  <c r="AA920" i="1"/>
  <c r="Y918" i="4" s="1"/>
  <c r="X924" i="1"/>
  <c r="V922" i="4" s="1"/>
  <c r="Z927" i="1"/>
  <c r="X925" i="4" s="1"/>
  <c r="AA934" i="1"/>
  <c r="Y932" i="4" s="1"/>
  <c r="AA937" i="1"/>
  <c r="Y935" i="4" s="1"/>
  <c r="X946" i="1"/>
  <c r="V944" i="4" s="1"/>
  <c r="Z949" i="1"/>
  <c r="X947" i="4" s="1"/>
  <c r="Y957" i="1"/>
  <c r="W955" i="4" s="1"/>
  <c r="Y960" i="1"/>
  <c r="W958" i="4" s="1"/>
  <c r="Z963" i="1"/>
  <c r="X961" i="4" s="1"/>
  <c r="Y968" i="1"/>
  <c r="W966" i="4" s="1"/>
  <c r="Y975" i="1"/>
  <c r="W973" i="4" s="1"/>
  <c r="Z980" i="1"/>
  <c r="X978" i="4" s="1"/>
  <c r="X983" i="1"/>
  <c r="V981" i="4" s="1"/>
  <c r="AA999" i="1"/>
  <c r="Y997" i="4" s="1"/>
  <c r="AA1017" i="1"/>
  <c r="Y1015" i="4" s="1"/>
  <c r="Y1022" i="1"/>
  <c r="W1020" i="4" s="1"/>
  <c r="Y1025" i="1"/>
  <c r="W1023" i="4" s="1"/>
  <c r="AA1039" i="1"/>
  <c r="Y1037" i="4" s="1"/>
  <c r="AA1044" i="1"/>
  <c r="Y1042" i="4" s="1"/>
  <c r="X1048" i="1"/>
  <c r="V1046" i="4" s="1"/>
  <c r="X1051" i="1"/>
  <c r="V1049" i="4" s="1"/>
  <c r="X1059" i="1"/>
  <c r="V1057" i="4" s="1"/>
  <c r="Y1066" i="1"/>
  <c r="W1064" i="4" s="1"/>
  <c r="AA1070" i="1"/>
  <c r="Y1068" i="4" s="1"/>
  <c r="Z1073" i="1"/>
  <c r="X1071" i="4" s="1"/>
  <c r="Z1077" i="1"/>
  <c r="X1075" i="4" s="1"/>
  <c r="Y1082" i="1"/>
  <c r="W1080" i="4" s="1"/>
  <c r="AA1087" i="1"/>
  <c r="Y1085" i="4" s="1"/>
  <c r="Y1096" i="1"/>
  <c r="W1094" i="4" s="1"/>
  <c r="X1099" i="1"/>
  <c r="V1097" i="4" s="1"/>
  <c r="Y1107" i="1"/>
  <c r="W1105" i="4" s="1"/>
  <c r="X1110" i="1"/>
  <c r="V1108" i="4" s="1"/>
  <c r="Y1114" i="1"/>
  <c r="W1112" i="4" s="1"/>
  <c r="AA1118" i="1"/>
  <c r="Y1116" i="4" s="1"/>
  <c r="Z1121" i="1"/>
  <c r="X1119" i="4" s="1"/>
  <c r="Z1125" i="1"/>
  <c r="X1123" i="4" s="1"/>
  <c r="Y1130" i="1"/>
  <c r="W1128" i="4" s="1"/>
  <c r="AA1135" i="1"/>
  <c r="Y1133" i="4" s="1"/>
  <c r="Z1144" i="1"/>
  <c r="X1142" i="4" s="1"/>
  <c r="Y1147" i="1"/>
  <c r="W1145" i="4" s="1"/>
  <c r="Z1152" i="1"/>
  <c r="X1150" i="4" s="1"/>
  <c r="AA1155" i="1"/>
  <c r="Y1153" i="4" s="1"/>
  <c r="X1158" i="1"/>
  <c r="V1156" i="4" s="1"/>
  <c r="AA344" i="1"/>
  <c r="Y342" i="4" s="1"/>
  <c r="AA708" i="1"/>
  <c r="Y706" i="4" s="1"/>
  <c r="X722" i="1"/>
  <c r="V720" i="4" s="1"/>
  <c r="Z757" i="1"/>
  <c r="X755" i="4" s="1"/>
  <c r="X772" i="1"/>
  <c r="V770" i="4" s="1"/>
  <c r="X780" i="1"/>
  <c r="V778" i="4" s="1"/>
  <c r="X810" i="1"/>
  <c r="V808" i="4" s="1"/>
  <c r="Y817" i="1"/>
  <c r="W815" i="4" s="1"/>
  <c r="AA831" i="1"/>
  <c r="Y829" i="4" s="1"/>
  <c r="Y847" i="1"/>
  <c r="W845" i="4" s="1"/>
  <c r="Y862" i="1"/>
  <c r="W860" i="4" s="1"/>
  <c r="X868" i="1"/>
  <c r="V866" i="4" s="1"/>
  <c r="Y884" i="1"/>
  <c r="W882" i="4" s="1"/>
  <c r="Z894" i="1"/>
  <c r="X892" i="4" s="1"/>
  <c r="Z898" i="1"/>
  <c r="X896" i="4" s="1"/>
  <c r="Z901" i="1"/>
  <c r="X899" i="4" s="1"/>
  <c r="X906" i="1"/>
  <c r="V904" i="4" s="1"/>
  <c r="X910" i="1"/>
  <c r="V908" i="4" s="1"/>
  <c r="X916" i="1"/>
  <c r="V914" i="4" s="1"/>
  <c r="Z924" i="1"/>
  <c r="X922" i="4" s="1"/>
  <c r="AA927" i="1"/>
  <c r="Y925" i="4" s="1"/>
  <c r="X932" i="1"/>
  <c r="V930" i="4" s="1"/>
  <c r="X942" i="1"/>
  <c r="V940" i="4" s="1"/>
  <c r="Y946" i="1"/>
  <c r="W944" i="4" s="1"/>
  <c r="AA949" i="1"/>
  <c r="Y947" i="4" s="1"/>
  <c r="Z960" i="1"/>
  <c r="X958" i="4" s="1"/>
  <c r="AA963" i="1"/>
  <c r="Y961" i="4" s="1"/>
  <c r="Z968" i="1"/>
  <c r="X966" i="4" s="1"/>
  <c r="X972" i="1"/>
  <c r="V970" i="4" s="1"/>
  <c r="Z975" i="1"/>
  <c r="X973" i="4" s="1"/>
  <c r="AA980" i="1"/>
  <c r="Y978" i="4" s="1"/>
  <c r="Y983" i="1"/>
  <c r="W981" i="4" s="1"/>
  <c r="Y987" i="1"/>
  <c r="W985" i="4" s="1"/>
  <c r="X992" i="1"/>
  <c r="V990" i="4" s="1"/>
  <c r="X1008" i="1"/>
  <c r="V1006" i="4" s="1"/>
  <c r="X1011" i="1"/>
  <c r="V1009" i="4" s="1"/>
  <c r="X1014" i="1"/>
  <c r="V1012" i="4" s="1"/>
  <c r="Z1022" i="1"/>
  <c r="X1020" i="4" s="1"/>
  <c r="Z1025" i="1"/>
  <c r="X1023" i="4" s="1"/>
  <c r="Z1029" i="1"/>
  <c r="X1027" i="4" s="1"/>
  <c r="X1034" i="1"/>
  <c r="V1032" i="4" s="1"/>
  <c r="X1037" i="1"/>
  <c r="V1035" i="4" s="1"/>
  <c r="Z1048" i="1"/>
  <c r="X1046" i="4" s="1"/>
  <c r="Y1051" i="1"/>
  <c r="W1049" i="4" s="1"/>
  <c r="Y1059" i="1"/>
  <c r="W1057" i="4" s="1"/>
  <c r="X1062" i="1"/>
  <c r="V1060" i="4" s="1"/>
  <c r="Z1066" i="1"/>
  <c r="X1064" i="4" s="1"/>
  <c r="AA1073" i="1"/>
  <c r="Y1071" i="4" s="1"/>
  <c r="Z1082" i="1"/>
  <c r="X1080" i="4" s="1"/>
  <c r="X1085" i="1"/>
  <c r="V1083" i="4" s="1"/>
  <c r="Z1096" i="1"/>
  <c r="X1094" i="4" s="1"/>
  <c r="Y1099" i="1"/>
  <c r="W1097" i="4" s="1"/>
  <c r="Y1104" i="1"/>
  <c r="W1102" i="4" s="1"/>
  <c r="AA1107" i="1"/>
  <c r="Y1105" i="4" s="1"/>
  <c r="Z1110" i="1"/>
  <c r="X1108" i="4" s="1"/>
  <c r="Z1114" i="1"/>
  <c r="X1112" i="4" s="1"/>
  <c r="AA1121" i="1"/>
  <c r="Y1119" i="4" s="1"/>
  <c r="Z1130" i="1"/>
  <c r="X1128" i="4" s="1"/>
  <c r="X1133" i="1"/>
  <c r="V1131" i="4" s="1"/>
  <c r="X1142" i="1"/>
  <c r="V1140" i="4" s="1"/>
  <c r="AA1144" i="1"/>
  <c r="Y1142" i="4" s="1"/>
  <c r="Z1147" i="1"/>
  <c r="X1145" i="4" s="1"/>
  <c r="AA1152" i="1"/>
  <c r="Y1150" i="4" s="1"/>
  <c r="Z1158" i="1"/>
  <c r="X1156" i="4" s="1"/>
  <c r="AA345" i="1"/>
  <c r="Y343" i="4" s="1"/>
  <c r="X650" i="1"/>
  <c r="V648" i="4" s="1"/>
  <c r="Y693" i="1"/>
  <c r="W691" i="4" s="1"/>
  <c r="X709" i="1"/>
  <c r="V707" i="4" s="1"/>
  <c r="AA717" i="1"/>
  <c r="Y715" i="4" s="1"/>
  <c r="Y750" i="1"/>
  <c r="W748" i="4" s="1"/>
  <c r="X758" i="1"/>
  <c r="V756" i="4" s="1"/>
  <c r="Z766" i="1"/>
  <c r="X764" i="4" s="1"/>
  <c r="Z788" i="1"/>
  <c r="X786" i="4" s="1"/>
  <c r="Y826" i="1"/>
  <c r="W824" i="4" s="1"/>
  <c r="X848" i="1"/>
  <c r="V846" i="4" s="1"/>
  <c r="Z890" i="1"/>
  <c r="X888" i="4" s="1"/>
  <c r="Y895" i="1"/>
  <c r="W893" i="4" s="1"/>
  <c r="Z906" i="1"/>
  <c r="X904" i="4" s="1"/>
  <c r="Z910" i="1"/>
  <c r="X908" i="4" s="1"/>
  <c r="Z913" i="1"/>
  <c r="X911" i="4" s="1"/>
  <c r="X922" i="1"/>
  <c r="V920" i="4" s="1"/>
  <c r="X928" i="1"/>
  <c r="V926" i="4" s="1"/>
  <c r="Z932" i="1"/>
  <c r="X930" i="4" s="1"/>
  <c r="Y935" i="1"/>
  <c r="W933" i="4" s="1"/>
  <c r="Z938" i="1"/>
  <c r="X936" i="4" s="1"/>
  <c r="Z942" i="1"/>
  <c r="X940" i="4" s="1"/>
  <c r="AA946" i="1"/>
  <c r="Y944" i="4" s="1"/>
  <c r="X950" i="1"/>
  <c r="V948" i="4" s="1"/>
  <c r="Y954" i="1"/>
  <c r="W952" i="4" s="1"/>
  <c r="Y958" i="1"/>
  <c r="W956" i="4" s="1"/>
  <c r="X964" i="1"/>
  <c r="V962" i="4" s="1"/>
  <c r="AA972" i="1"/>
  <c r="Y970" i="4" s="1"/>
  <c r="X981" i="1"/>
  <c r="V979" i="4" s="1"/>
  <c r="AA987" i="1"/>
  <c r="Y985" i="4" s="1"/>
  <c r="Z992" i="1"/>
  <c r="X990" i="4" s="1"/>
  <c r="Z996" i="1"/>
  <c r="X994" i="4" s="1"/>
  <c r="Y1000" i="1"/>
  <c r="W998" i="4" s="1"/>
  <c r="AA1005" i="1"/>
  <c r="Y1003" i="4" s="1"/>
  <c r="AA1008" i="1"/>
  <c r="Y1006" i="4" s="1"/>
  <c r="AA1011" i="1"/>
  <c r="Y1009" i="4" s="1"/>
  <c r="Z1014" i="1"/>
  <c r="X1012" i="4" s="1"/>
  <c r="Z1018" i="1"/>
  <c r="X1016" i="4" s="1"/>
  <c r="Z1034" i="1"/>
  <c r="X1032" i="4" s="1"/>
  <c r="Z1037" i="1"/>
  <c r="X1035" i="4" s="1"/>
  <c r="Z1041" i="1"/>
  <c r="X1039" i="4" s="1"/>
  <c r="X1046" i="1"/>
  <c r="V1044" i="4" s="1"/>
  <c r="AA1051" i="1"/>
  <c r="Y1049" i="4" s="1"/>
  <c r="Z1056" i="1"/>
  <c r="X1054" i="4" s="1"/>
  <c r="Y1071" i="1"/>
  <c r="W1069" i="4" s="1"/>
  <c r="X1074" i="1"/>
  <c r="V1072" i="4" s="1"/>
  <c r="Z1078" i="1"/>
  <c r="X1076" i="4" s="1"/>
  <c r="Z1085" i="1"/>
  <c r="X1083" i="4" s="1"/>
  <c r="Z1089" i="1"/>
  <c r="X1087" i="4" s="1"/>
  <c r="Y1094" i="1"/>
  <c r="W1092" i="4" s="1"/>
  <c r="AA1099" i="1"/>
  <c r="Y1097" i="4" s="1"/>
  <c r="AA1104" i="1"/>
  <c r="Y1102" i="4" s="1"/>
  <c r="X1108" i="1"/>
  <c r="V1106" i="4" s="1"/>
  <c r="X1111" i="1"/>
  <c r="V1109" i="4" s="1"/>
  <c r="Y1119" i="1"/>
  <c r="W1117" i="4" s="1"/>
  <c r="X1122" i="1"/>
  <c r="V1120" i="4" s="1"/>
  <c r="Z1126" i="1"/>
  <c r="X1124" i="4" s="1"/>
  <c r="Z1133" i="1"/>
  <c r="X1131" i="4" s="1"/>
  <c r="Z1137" i="1"/>
  <c r="X1135" i="4" s="1"/>
  <c r="Z1142" i="1"/>
  <c r="X1140" i="4" s="1"/>
  <c r="X1145" i="1"/>
  <c r="V1143" i="4" s="1"/>
  <c r="Y1153" i="1"/>
  <c r="W1151" i="4" s="1"/>
  <c r="Y1156" i="1"/>
  <c r="W1154" i="4" s="1"/>
  <c r="Y528" i="1"/>
  <c r="W526" i="4" s="1"/>
  <c r="AA758" i="1"/>
  <c r="Y756" i="4" s="1"/>
  <c r="AA780" i="1"/>
  <c r="Y778" i="4" s="1"/>
  <c r="Y811" i="1"/>
  <c r="W809" i="4" s="1"/>
  <c r="Z842" i="1"/>
  <c r="X840" i="4" s="1"/>
  <c r="Y903" i="1"/>
  <c r="W901" i="4" s="1"/>
  <c r="AA910" i="1"/>
  <c r="Y908" i="4" s="1"/>
  <c r="X930" i="1"/>
  <c r="V928" i="4" s="1"/>
  <c r="Y942" i="1"/>
  <c r="W940" i="4" s="1"/>
  <c r="AA960" i="1"/>
  <c r="Y958" i="4" s="1"/>
  <c r="Y992" i="1"/>
  <c r="W990" i="4" s="1"/>
  <c r="X1006" i="1"/>
  <c r="V1004" i="4" s="1"/>
  <c r="AA1029" i="1"/>
  <c r="Y1027" i="4" s="1"/>
  <c r="Y1035" i="1"/>
  <c r="W1033" i="4" s="1"/>
  <c r="X1060" i="1"/>
  <c r="V1058" i="4" s="1"/>
  <c r="Y1083" i="1"/>
  <c r="W1081" i="4" s="1"/>
  <c r="X1095" i="1"/>
  <c r="V1093" i="4" s="1"/>
  <c r="X1119" i="1"/>
  <c r="V1117" i="4" s="1"/>
  <c r="Z1135" i="1"/>
  <c r="X1133" i="4" s="1"/>
  <c r="AA1147" i="1"/>
  <c r="Y1145" i="4" s="1"/>
  <c r="Z1154" i="1"/>
  <c r="X1152" i="4" s="1"/>
  <c r="Y1164" i="1"/>
  <c r="W1162" i="4" s="1"/>
  <c r="Y1167" i="1"/>
  <c r="W1165" i="4" s="1"/>
  <c r="Z1178" i="1"/>
  <c r="X1176" i="4" s="1"/>
  <c r="Y1181" i="1"/>
  <c r="W1179" i="4" s="1"/>
  <c r="X1184" i="1"/>
  <c r="V1182" i="4" s="1"/>
  <c r="AA1192" i="1"/>
  <c r="Y1190" i="4" s="1"/>
  <c r="Z1195" i="1"/>
  <c r="X1193" i="4" s="1"/>
  <c r="AA1200" i="1"/>
  <c r="Y1198" i="4" s="1"/>
  <c r="X1204" i="1"/>
  <c r="V1202" i="4" s="1"/>
  <c r="X1207" i="1"/>
  <c r="V1205" i="4" s="1"/>
  <c r="Z1216" i="1"/>
  <c r="X1214" i="4" s="1"/>
  <c r="Y1219" i="1"/>
  <c r="W1217" i="4" s="1"/>
  <c r="AA1224" i="1"/>
  <c r="Y1222" i="4" s="1"/>
  <c r="X1228" i="1"/>
  <c r="V1226" i="4" s="1"/>
  <c r="Y1231" i="1"/>
  <c r="W1229" i="4" s="1"/>
  <c r="Z1239" i="1"/>
  <c r="X1237" i="4" s="1"/>
  <c r="X1244" i="1"/>
  <c r="V1242" i="4" s="1"/>
  <c r="Y1256" i="1"/>
  <c r="W1254" i="4" s="1"/>
  <c r="Z1260" i="1"/>
  <c r="X1258" i="4" s="1"/>
  <c r="X1264" i="1"/>
  <c r="V1262" i="4" s="1"/>
  <c r="Y1268" i="1"/>
  <c r="W1266" i="4" s="1"/>
  <c r="Z1272" i="1"/>
  <c r="X1270" i="4" s="1"/>
  <c r="X1276" i="1"/>
  <c r="V1274" i="4" s="1"/>
  <c r="Y1280" i="1"/>
  <c r="W1278" i="4" s="1"/>
  <c r="Z1284" i="1"/>
  <c r="X1282" i="4" s="1"/>
  <c r="X1288" i="1"/>
  <c r="V1286" i="4" s="1"/>
  <c r="Y1292" i="1"/>
  <c r="W1290" i="4" s="1"/>
  <c r="Y1296" i="1"/>
  <c r="W1294" i="4" s="1"/>
  <c r="Z1299" i="1"/>
  <c r="X1297" i="4" s="1"/>
  <c r="AA1307" i="1"/>
  <c r="Y1305" i="4" s="1"/>
  <c r="X1311" i="1"/>
  <c r="V1309" i="4" s="1"/>
  <c r="AA1322" i="1"/>
  <c r="Y1320" i="4" s="1"/>
  <c r="Z1325" i="1"/>
  <c r="X1323" i="4" s="1"/>
  <c r="Z1330" i="1"/>
  <c r="X1328" i="4" s="1"/>
  <c r="Y1334" i="1"/>
  <c r="W1332" i="4" s="1"/>
  <c r="X1337" i="1"/>
  <c r="V1335" i="4" s="1"/>
  <c r="X1342" i="1"/>
  <c r="V1340" i="4" s="1"/>
  <c r="AA1348" i="1"/>
  <c r="Y1346" i="4" s="1"/>
  <c r="Y1353" i="1"/>
  <c r="W1351" i="4" s="1"/>
  <c r="AA1356" i="1"/>
  <c r="Y1354" i="4" s="1"/>
  <c r="Y803" i="1"/>
  <c r="W801" i="4" s="1"/>
  <c r="AA872" i="1"/>
  <c r="Y870" i="4" s="1"/>
  <c r="X890" i="1"/>
  <c r="V888" i="4" s="1"/>
  <c r="AA898" i="1"/>
  <c r="Y896" i="4" s="1"/>
  <c r="AA924" i="1"/>
  <c r="Y922" i="4" s="1"/>
  <c r="Y930" i="1"/>
  <c r="W928" i="4" s="1"/>
  <c r="Z936" i="1"/>
  <c r="X934" i="4" s="1"/>
  <c r="X956" i="1"/>
  <c r="V954" i="4" s="1"/>
  <c r="Y973" i="1"/>
  <c r="W971" i="4" s="1"/>
  <c r="Y985" i="1"/>
  <c r="W983" i="4" s="1"/>
  <c r="AA992" i="1"/>
  <c r="Y990" i="4" s="1"/>
  <c r="Z1006" i="1"/>
  <c r="X1004" i="4" s="1"/>
  <c r="X1012" i="1"/>
  <c r="V1010" i="4" s="1"/>
  <c r="Y1018" i="1"/>
  <c r="W1016" i="4" s="1"/>
  <c r="X1024" i="1"/>
  <c r="V1022" i="4" s="1"/>
  <c r="AA1035" i="1"/>
  <c r="Y1033" i="4" s="1"/>
  <c r="Z1042" i="1"/>
  <c r="X1040" i="4" s="1"/>
  <c r="X1049" i="1"/>
  <c r="V1047" i="4" s="1"/>
  <c r="Z1060" i="1"/>
  <c r="X1058" i="4" s="1"/>
  <c r="Z1072" i="1"/>
  <c r="X1070" i="4" s="1"/>
  <c r="Y1078" i="1"/>
  <c r="W1076" i="4" s="1"/>
  <c r="Y1095" i="1"/>
  <c r="W1093" i="4" s="1"/>
  <c r="X1100" i="1"/>
  <c r="V1098" i="4" s="1"/>
  <c r="X1107" i="1"/>
  <c r="V1105" i="4" s="1"/>
  <c r="X1112" i="1"/>
  <c r="V1110" i="4" s="1"/>
  <c r="AA1119" i="1"/>
  <c r="Y1117" i="4" s="1"/>
  <c r="X1131" i="1"/>
  <c r="V1129" i="4" s="1"/>
  <c r="Y1143" i="1"/>
  <c r="W1141" i="4" s="1"/>
  <c r="AA1154" i="1"/>
  <c r="Y1152" i="4" s="1"/>
  <c r="X1159" i="1"/>
  <c r="V1157" i="4" s="1"/>
  <c r="Z1164" i="1"/>
  <c r="X1162" i="4" s="1"/>
  <c r="AA1167" i="1"/>
  <c r="Y1165" i="4" s="1"/>
  <c r="X1170" i="1"/>
  <c r="V1168" i="4" s="1"/>
  <c r="Y1174" i="1"/>
  <c r="W1172" i="4" s="1"/>
  <c r="AA1178" i="1"/>
  <c r="Y1176" i="4" s="1"/>
  <c r="Z1181" i="1"/>
  <c r="X1179" i="4" s="1"/>
  <c r="X1190" i="1"/>
  <c r="V1188" i="4" s="1"/>
  <c r="AA1195" i="1"/>
  <c r="Y1193" i="4" s="1"/>
  <c r="Z1204" i="1"/>
  <c r="X1202" i="4" s="1"/>
  <c r="Y1207" i="1"/>
  <c r="W1205" i="4" s="1"/>
  <c r="AA1216" i="1"/>
  <c r="Y1214" i="4" s="1"/>
  <c r="Z1219" i="1"/>
  <c r="X1217" i="4" s="1"/>
  <c r="Z1228" i="1"/>
  <c r="X1226" i="4" s="1"/>
  <c r="Z1231" i="1"/>
  <c r="X1229" i="4" s="1"/>
  <c r="Y1236" i="1"/>
  <c r="W1234" i="4" s="1"/>
  <c r="Y1244" i="1"/>
  <c r="W1242" i="4" s="1"/>
  <c r="Z1248" i="1"/>
  <c r="X1246" i="4" s="1"/>
  <c r="X1252" i="1"/>
  <c r="V1250" i="4" s="1"/>
  <c r="AA1260" i="1"/>
  <c r="Y1258" i="4" s="1"/>
  <c r="Z1264" i="1"/>
  <c r="X1262" i="4" s="1"/>
  <c r="AA1272" i="1"/>
  <c r="Y1270" i="4" s="1"/>
  <c r="Z1276" i="1"/>
  <c r="X1274" i="4" s="1"/>
  <c r="AA1284" i="1"/>
  <c r="Y1282" i="4" s="1"/>
  <c r="Z1288" i="1"/>
  <c r="X1286" i="4" s="1"/>
  <c r="Z1296" i="1"/>
  <c r="X1294" i="4" s="1"/>
  <c r="X1304" i="1"/>
  <c r="V1302" i="4" s="1"/>
  <c r="Y1311" i="1"/>
  <c r="W1309" i="4" s="1"/>
  <c r="Y1319" i="1"/>
  <c r="W1317" i="4" s="1"/>
  <c r="AA1325" i="1"/>
  <c r="Y1323" i="4" s="1"/>
  <c r="AA1330" i="1"/>
  <c r="Y1328" i="4" s="1"/>
  <c r="Z1334" i="1"/>
  <c r="X1332" i="4" s="1"/>
  <c r="Y1337" i="1"/>
  <c r="W1335" i="4" s="1"/>
  <c r="Y1342" i="1"/>
  <c r="W1340" i="4" s="1"/>
  <c r="X1346" i="1"/>
  <c r="V1344" i="4" s="1"/>
  <c r="X1360" i="1"/>
  <c r="V1358" i="4" s="1"/>
  <c r="Y843" i="1"/>
  <c r="W841" i="4" s="1"/>
  <c r="X864" i="1"/>
  <c r="V862" i="4" s="1"/>
  <c r="Y911" i="1"/>
  <c r="W909" i="4" s="1"/>
  <c r="X918" i="1"/>
  <c r="V916" i="4" s="1"/>
  <c r="AA936" i="1"/>
  <c r="Y934" i="4" s="1"/>
  <c r="Z950" i="1"/>
  <c r="X948" i="4" s="1"/>
  <c r="Y956" i="1"/>
  <c r="W954" i="4" s="1"/>
  <c r="Y961" i="1"/>
  <c r="W959" i="4" s="1"/>
  <c r="AA968" i="1"/>
  <c r="Y966" i="4" s="1"/>
  <c r="AA973" i="1"/>
  <c r="Y971" i="4" s="1"/>
  <c r="Y981" i="1"/>
  <c r="W979" i="4" s="1"/>
  <c r="X1000" i="1"/>
  <c r="V998" i="4" s="1"/>
  <c r="AA1006" i="1"/>
  <c r="Y1004" i="4" s="1"/>
  <c r="Y1030" i="1"/>
  <c r="W1028" i="4" s="1"/>
  <c r="Y1049" i="1"/>
  <c r="W1047" i="4" s="1"/>
  <c r="AA1072" i="1"/>
  <c r="Y1070" i="4" s="1"/>
  <c r="X1084" i="1"/>
  <c r="V1082" i="4" s="1"/>
  <c r="Y1090" i="1"/>
  <c r="W1088" i="4" s="1"/>
  <c r="Y1131" i="1"/>
  <c r="W1129" i="4" s="1"/>
  <c r="AA1143" i="1"/>
  <c r="Y1141" i="4" s="1"/>
  <c r="Z1148" i="1"/>
  <c r="X1146" i="4" s="1"/>
  <c r="Y1159" i="1"/>
  <c r="W1157" i="4" s="1"/>
  <c r="AA1164" i="1"/>
  <c r="Y1162" i="4" s="1"/>
  <c r="Z1170" i="1"/>
  <c r="X1168" i="4" s="1"/>
  <c r="AA1181" i="1"/>
  <c r="Y1179" i="4" s="1"/>
  <c r="Z1185" i="1"/>
  <c r="X1183" i="4" s="1"/>
  <c r="Y1190" i="1"/>
  <c r="W1188" i="4" s="1"/>
  <c r="X1193" i="1"/>
  <c r="V1191" i="4" s="1"/>
  <c r="AA1204" i="1"/>
  <c r="Y1202" i="4" s="1"/>
  <c r="Z1207" i="1"/>
  <c r="X1205" i="4" s="1"/>
  <c r="X1214" i="1"/>
  <c r="V1212" i="4" s="1"/>
  <c r="AA1219" i="1"/>
  <c r="Y1217" i="4" s="1"/>
  <c r="Y1225" i="1"/>
  <c r="W1223" i="4" s="1"/>
  <c r="AA1228" i="1"/>
  <c r="Y1226" i="4" s="1"/>
  <c r="Z1236" i="1"/>
  <c r="X1234" i="4" s="1"/>
  <c r="X1240" i="1"/>
  <c r="V1238" i="4" s="1"/>
  <c r="AA1248" i="1"/>
  <c r="Y1246" i="4" s="1"/>
  <c r="Z1252" i="1"/>
  <c r="X1250" i="4" s="1"/>
  <c r="Y1257" i="1"/>
  <c r="W1255" i="4" s="1"/>
  <c r="AA1264" i="1"/>
  <c r="Y1262" i="4" s="1"/>
  <c r="Y1269" i="1"/>
  <c r="W1267" i="4" s="1"/>
  <c r="AA1276" i="1"/>
  <c r="Y1274" i="4" s="1"/>
  <c r="Y1281" i="1"/>
  <c r="W1279" i="4" s="1"/>
  <c r="AA1288" i="1"/>
  <c r="Y1286" i="4" s="1"/>
  <c r="Y1293" i="1"/>
  <c r="W1291" i="4" s="1"/>
  <c r="AA1296" i="1"/>
  <c r="Y1294" i="4" s="1"/>
  <c r="X1300" i="1"/>
  <c r="V1298" i="4" s="1"/>
  <c r="Y1304" i="1"/>
  <c r="W1302" i="4" s="1"/>
  <c r="Y1308" i="1"/>
  <c r="W1306" i="4" s="1"/>
  <c r="Z1311" i="1"/>
  <c r="X1309" i="4" s="1"/>
  <c r="AA1319" i="1"/>
  <c r="Y1317" i="4" s="1"/>
  <c r="X1323" i="1"/>
  <c r="V1321" i="4" s="1"/>
  <c r="AA1334" i="1"/>
  <c r="Y1332" i="4" s="1"/>
  <c r="Z1337" i="1"/>
  <c r="X1335" i="4" s="1"/>
  <c r="Z1342" i="1"/>
  <c r="X1340" i="4" s="1"/>
  <c r="Y1346" i="1"/>
  <c r="W1344" i="4" s="1"/>
  <c r="X1349" i="1"/>
  <c r="V1347" i="4" s="1"/>
  <c r="X1354" i="1"/>
  <c r="V1352" i="4" s="1"/>
  <c r="Z1360" i="1"/>
  <c r="X1358" i="4" s="1"/>
  <c r="Y425" i="1"/>
  <c r="W423" i="4" s="1"/>
  <c r="AA864" i="1"/>
  <c r="Y862" i="4" s="1"/>
  <c r="Y891" i="1"/>
  <c r="W889" i="4" s="1"/>
  <c r="X899" i="1"/>
  <c r="V897" i="4" s="1"/>
  <c r="AA911" i="1"/>
  <c r="Y909" i="4" s="1"/>
  <c r="Y918" i="1"/>
  <c r="W916" i="4" s="1"/>
  <c r="Y925" i="1"/>
  <c r="W923" i="4" s="1"/>
  <c r="Y944" i="1"/>
  <c r="W942" i="4" s="1"/>
  <c r="Z961" i="1"/>
  <c r="X959" i="4" s="1"/>
  <c r="AA981" i="1"/>
  <c r="Y979" i="4" s="1"/>
  <c r="X1013" i="1"/>
  <c r="V1011" i="4" s="1"/>
  <c r="AA1025" i="1"/>
  <c r="Y1023" i="4" s="1"/>
  <c r="Z1030" i="1"/>
  <c r="X1028" i="4" s="1"/>
  <c r="AA1049" i="1"/>
  <c r="Y1047" i="4" s="1"/>
  <c r="Y1056" i="1"/>
  <c r="W1054" i="4" s="1"/>
  <c r="X1061" i="1"/>
  <c r="V1059" i="4" s="1"/>
  <c r="AA1084" i="1"/>
  <c r="Y1082" i="4" s="1"/>
  <c r="X1096" i="1"/>
  <c r="V1094" i="4" s="1"/>
  <c r="Z1101" i="1"/>
  <c r="X1099" i="4" s="1"/>
  <c r="Z1108" i="1"/>
  <c r="X1106" i="4" s="1"/>
  <c r="Z1120" i="1"/>
  <c r="X1118" i="4" s="1"/>
  <c r="Y1126" i="1"/>
  <c r="W1124" i="4" s="1"/>
  <c r="Y1155" i="1"/>
  <c r="W1153" i="4" s="1"/>
  <c r="Z1159" i="1"/>
  <c r="X1157" i="4" s="1"/>
  <c r="X1168" i="1"/>
  <c r="V1166" i="4" s="1"/>
  <c r="X1179" i="1"/>
  <c r="V1177" i="4" s="1"/>
  <c r="Z1190" i="1"/>
  <c r="X1188" i="4" s="1"/>
  <c r="Y1193" i="1"/>
  <c r="W1191" i="4" s="1"/>
  <c r="X1196" i="1"/>
  <c r="V1194" i="4" s="1"/>
  <c r="X1202" i="1"/>
  <c r="V1200" i="4" s="1"/>
  <c r="AA1207" i="1"/>
  <c r="Y1205" i="4" s="1"/>
  <c r="Y1214" i="1"/>
  <c r="W1212" i="4" s="1"/>
  <c r="X1217" i="1"/>
  <c r="V1215" i="4" s="1"/>
  <c r="AA1225" i="1"/>
  <c r="Y1223" i="4" s="1"/>
  <c r="Y1232" i="1"/>
  <c r="W1230" i="4" s="1"/>
  <c r="AA1236" i="1"/>
  <c r="Y1234" i="4" s="1"/>
  <c r="Z1240" i="1"/>
  <c r="X1238" i="4" s="1"/>
  <c r="Y1245" i="1"/>
  <c r="W1243" i="4" s="1"/>
  <c r="AA1252" i="1"/>
  <c r="Y1250" i="4" s="1"/>
  <c r="Z1300" i="1"/>
  <c r="X1298" i="4" s="1"/>
  <c r="Z1308" i="1"/>
  <c r="X1306" i="4" s="1"/>
  <c r="X1316" i="1"/>
  <c r="V1314" i="4" s="1"/>
  <c r="Y1323" i="1"/>
  <c r="W1321" i="4" s="1"/>
  <c r="Y1331" i="1"/>
  <c r="W1329" i="4" s="1"/>
  <c r="AA1337" i="1"/>
  <c r="Y1335" i="4" s="1"/>
  <c r="AA1342" i="1"/>
  <c r="Y1340" i="4" s="1"/>
  <c r="Z1346" i="1"/>
  <c r="X1344" i="4" s="1"/>
  <c r="Y1349" i="1"/>
  <c r="W1347" i="4" s="1"/>
  <c r="Y1354" i="1"/>
  <c r="W1352" i="4" s="1"/>
  <c r="X1358" i="1"/>
  <c r="V1356" i="4" s="1"/>
  <c r="X876" i="1"/>
  <c r="V874" i="4" s="1"/>
  <c r="Y907" i="1"/>
  <c r="W905" i="4" s="1"/>
  <c r="Y913" i="1"/>
  <c r="W911" i="4" s="1"/>
  <c r="X926" i="1"/>
  <c r="V924" i="4" s="1"/>
  <c r="Z958" i="1"/>
  <c r="X956" i="4" s="1"/>
  <c r="Y982" i="1"/>
  <c r="W980" i="4" s="1"/>
  <c r="Y988" i="1"/>
  <c r="W986" i="4" s="1"/>
  <c r="Z1002" i="1"/>
  <c r="X1000" i="4" s="1"/>
  <c r="Z1026" i="1"/>
  <c r="X1024" i="4" s="1"/>
  <c r="Y1032" i="1"/>
  <c r="W1030" i="4" s="1"/>
  <c r="Y1046" i="1"/>
  <c r="W1044" i="4" s="1"/>
  <c r="Z1051" i="1"/>
  <c r="X1049" i="4" s="1"/>
  <c r="Z1062" i="1"/>
  <c r="X1060" i="4" s="1"/>
  <c r="Z1074" i="1"/>
  <c r="X1072" i="4" s="1"/>
  <c r="AA1085" i="1"/>
  <c r="Y1083" i="4" s="1"/>
  <c r="X1097" i="1"/>
  <c r="V1095" i="4" s="1"/>
  <c r="X1109" i="1"/>
  <c r="V1107" i="4" s="1"/>
  <c r="Y1116" i="1"/>
  <c r="W1114" i="4" s="1"/>
  <c r="Y1121" i="1"/>
  <c r="W1119" i="4" s="1"/>
  <c r="Z1128" i="1"/>
  <c r="X1126" i="4" s="1"/>
  <c r="Y1145" i="1"/>
  <c r="W1143" i="4" s="1"/>
  <c r="Z1156" i="1"/>
  <c r="X1154" i="4" s="1"/>
  <c r="X1166" i="1"/>
  <c r="V1164" i="4" s="1"/>
  <c r="AA1168" i="1"/>
  <c r="Y1166" i="4" s="1"/>
  <c r="Z1171" i="1"/>
  <c r="X1169" i="4" s="1"/>
  <c r="AA1176" i="1"/>
  <c r="Y1174" i="4" s="1"/>
  <c r="X1191" i="1"/>
  <c r="V1189" i="4" s="1"/>
  <c r="Z1197" i="1"/>
  <c r="X1195" i="4" s="1"/>
  <c r="AA1202" i="1"/>
  <c r="Y1200" i="4" s="1"/>
  <c r="Z1205" i="1"/>
  <c r="X1203" i="4" s="1"/>
  <c r="AA1217" i="1"/>
  <c r="Y1215" i="4" s="1"/>
  <c r="Y1226" i="1"/>
  <c r="W1224" i="4" s="1"/>
  <c r="AA1229" i="1"/>
  <c r="Y1227" i="4" s="1"/>
  <c r="Z1233" i="1"/>
  <c r="X1231" i="4" s="1"/>
  <c r="X1238" i="1"/>
  <c r="V1236" i="4" s="1"/>
  <c r="Y1241" i="1"/>
  <c r="W1239" i="4" s="1"/>
  <c r="Y1246" i="1"/>
  <c r="W1244" i="4" s="1"/>
  <c r="Y1250" i="1"/>
  <c r="W1248" i="4" s="1"/>
  <c r="Z1253" i="1"/>
  <c r="X1251" i="4" s="1"/>
  <c r="Z1258" i="1"/>
  <c r="X1256" i="4" s="1"/>
  <c r="Z1262" i="1"/>
  <c r="X1260" i="4" s="1"/>
  <c r="Z1265" i="1"/>
  <c r="X1263" i="4" s="1"/>
  <c r="Z1270" i="1"/>
  <c r="X1268" i="4" s="1"/>
  <c r="Z1274" i="1"/>
  <c r="X1272" i="4" s="1"/>
  <c r="Z1277" i="1"/>
  <c r="X1275" i="4" s="1"/>
  <c r="Z1282" i="1"/>
  <c r="X1280" i="4" s="1"/>
  <c r="Z1286" i="1"/>
  <c r="X1284" i="4" s="1"/>
  <c r="Z1289" i="1"/>
  <c r="X1287" i="4" s="1"/>
  <c r="Z1294" i="1"/>
  <c r="X1292" i="4" s="1"/>
  <c r="Y1298" i="1"/>
  <c r="W1296" i="4" s="1"/>
  <c r="X1301" i="1"/>
  <c r="V1299" i="4" s="1"/>
  <c r="X1306" i="1"/>
  <c r="V1304" i="4" s="1"/>
  <c r="AA1312" i="1"/>
  <c r="Y1310" i="4" s="1"/>
  <c r="Y1317" i="1"/>
  <c r="W1315" i="4" s="1"/>
  <c r="AA1320" i="1"/>
  <c r="Y1318" i="4" s="1"/>
  <c r="X1324" i="1"/>
  <c r="V1322" i="4" s="1"/>
  <c r="Y1328" i="1"/>
  <c r="W1326" i="4" s="1"/>
  <c r="Y1332" i="1"/>
  <c r="W1330" i="4" s="1"/>
  <c r="Z1335" i="1"/>
  <c r="X1333" i="4" s="1"/>
  <c r="AA1343" i="1"/>
  <c r="Y1341" i="4" s="1"/>
  <c r="X1347" i="1"/>
  <c r="V1345" i="4" s="1"/>
  <c r="AA1358" i="1"/>
  <c r="Y1356" i="4" s="1"/>
  <c r="Y1361" i="1"/>
  <c r="W1359" i="4" s="1"/>
  <c r="Z709" i="1"/>
  <c r="X707" i="4" s="1"/>
  <c r="X742" i="1"/>
  <c r="V740" i="4" s="1"/>
  <c r="AA817" i="1"/>
  <c r="Y815" i="4" s="1"/>
  <c r="AA828" i="1"/>
  <c r="Y826" i="4" s="1"/>
  <c r="Y858" i="1"/>
  <c r="W856" i="4" s="1"/>
  <c r="AA886" i="1"/>
  <c r="Y884" i="4" s="1"/>
  <c r="AA901" i="1"/>
  <c r="Y899" i="4" s="1"/>
  <c r="AA913" i="1"/>
  <c r="Y911" i="4" s="1"/>
  <c r="AA933" i="1"/>
  <c r="Y931" i="4" s="1"/>
  <c r="Y939" i="1"/>
  <c r="W937" i="4" s="1"/>
  <c r="Z946" i="1"/>
  <c r="X944" i="4" s="1"/>
  <c r="AA958" i="1"/>
  <c r="Y956" i="4" s="1"/>
  <c r="X970" i="1"/>
  <c r="V968" i="4" s="1"/>
  <c r="Z976" i="1"/>
  <c r="X974" i="4" s="1"/>
  <c r="X996" i="1"/>
  <c r="V994" i="4" s="1"/>
  <c r="X1009" i="1"/>
  <c r="V1007" i="4" s="1"/>
  <c r="X1015" i="1"/>
  <c r="V1013" i="4" s="1"/>
  <c r="Z1038" i="1"/>
  <c r="X1036" i="4" s="1"/>
  <c r="Z1046" i="1"/>
  <c r="X1044" i="4" s="1"/>
  <c r="X1058" i="1"/>
  <c r="V1056" i="4" s="1"/>
  <c r="Y1097" i="1"/>
  <c r="W1095" i="4" s="1"/>
  <c r="Z1104" i="1"/>
  <c r="X1102" i="4" s="1"/>
  <c r="Y1109" i="1"/>
  <c r="W1107" i="4" s="1"/>
  <c r="Z1116" i="1"/>
  <c r="X1114" i="4" s="1"/>
  <c r="AA1128" i="1"/>
  <c r="Y1126" i="4" s="1"/>
  <c r="Y1133" i="1"/>
  <c r="W1131" i="4" s="1"/>
  <c r="Y1140" i="1"/>
  <c r="W1138" i="4" s="1"/>
  <c r="Z1145" i="1"/>
  <c r="X1143" i="4" s="1"/>
  <c r="AA1156" i="1"/>
  <c r="Y1154" i="4" s="1"/>
  <c r="Z1161" i="1"/>
  <c r="X1159" i="4" s="1"/>
  <c r="Y1166" i="1"/>
  <c r="W1164" i="4" s="1"/>
  <c r="AA1171" i="1"/>
  <c r="Y1169" i="4" s="1"/>
  <c r="X1180" i="1"/>
  <c r="V1178" i="4" s="1"/>
  <c r="X1183" i="1"/>
  <c r="V1181" i="4" s="1"/>
  <c r="Y1191" i="1"/>
  <c r="W1189" i="4" s="1"/>
  <c r="X1194" i="1"/>
  <c r="V1192" i="4" s="1"/>
  <c r="AA1205" i="1"/>
  <c r="Y1203" i="4" s="1"/>
  <c r="Z1209" i="1"/>
  <c r="X1207" i="4" s="1"/>
  <c r="Y733" i="1"/>
  <c r="W731" i="4" s="1"/>
  <c r="X908" i="1"/>
  <c r="V906" i="4" s="1"/>
  <c r="Y922" i="1"/>
  <c r="W920" i="4" s="1"/>
  <c r="AA939" i="1"/>
  <c r="Y937" i="4" s="1"/>
  <c r="Y970" i="1"/>
  <c r="W968" i="4" s="1"/>
  <c r="AA983" i="1"/>
  <c r="Y981" i="4" s="1"/>
  <c r="Y989" i="1"/>
  <c r="W987" i="4" s="1"/>
  <c r="AA996" i="1"/>
  <c r="Y994" i="4" s="1"/>
  <c r="Z1009" i="1"/>
  <c r="X1007" i="4" s="1"/>
  <c r="Z1015" i="1"/>
  <c r="X1013" i="4" s="1"/>
  <c r="AA1022" i="1"/>
  <c r="Y1020" i="4" s="1"/>
  <c r="X1027" i="1"/>
  <c r="V1025" i="4" s="1"/>
  <c r="X1052" i="1"/>
  <c r="V1050" i="4" s="1"/>
  <c r="Y1058" i="1"/>
  <c r="W1056" i="4" s="1"/>
  <c r="X1063" i="1"/>
  <c r="V1061" i="4" s="1"/>
  <c r="Z1070" i="1"/>
  <c r="X1068" i="4" s="1"/>
  <c r="Y1075" i="1"/>
  <c r="W1073" i="4" s="1"/>
  <c r="X1082" i="1"/>
  <c r="V1080" i="4" s="1"/>
  <c r="Z1086" i="1"/>
  <c r="X1084" i="4" s="1"/>
  <c r="X1094" i="1"/>
  <c r="V1092" i="4" s="1"/>
  <c r="AA1097" i="1"/>
  <c r="Y1095" i="4" s="1"/>
  <c r="Z1122" i="1"/>
  <c r="X1120" i="4" s="1"/>
  <c r="AA1133" i="1"/>
  <c r="Y1131" i="4" s="1"/>
  <c r="Y1152" i="1"/>
  <c r="W1150" i="4" s="1"/>
  <c r="Z1166" i="1"/>
  <c r="X1164" i="4" s="1"/>
  <c r="X1169" i="1"/>
  <c r="V1167" i="4" s="1"/>
  <c r="Y1177" i="1"/>
  <c r="W1175" i="4" s="1"/>
  <c r="Z1180" i="1"/>
  <c r="X1178" i="4" s="1"/>
  <c r="Y1183" i="1"/>
  <c r="W1181" i="4" s="1"/>
  <c r="Y1188" i="1"/>
  <c r="W1186" i="4" s="1"/>
  <c r="AA1191" i="1"/>
  <c r="Y1189" i="4" s="1"/>
  <c r="Z1194" i="1"/>
  <c r="X1192" i="4" s="1"/>
  <c r="X1203" i="1"/>
  <c r="V1201" i="4" s="1"/>
  <c r="Y1215" i="1"/>
  <c r="W1213" i="4" s="1"/>
  <c r="X1218" i="1"/>
  <c r="V1216" i="4" s="1"/>
  <c r="AA1226" i="1"/>
  <c r="Y1224" i="4" s="1"/>
  <c r="X1230" i="1"/>
  <c r="V1228" i="4" s="1"/>
  <c r="Z1238" i="1"/>
  <c r="X1236" i="4" s="1"/>
  <c r="AA1241" i="1"/>
  <c r="Y1239" i="4" s="1"/>
  <c r="AA1246" i="1"/>
  <c r="Y1244" i="4" s="1"/>
  <c r="AA1250" i="1"/>
  <c r="Y1248" i="4" s="1"/>
  <c r="AA1298" i="1"/>
  <c r="Y1296" i="4" s="1"/>
  <c r="Z1301" i="1"/>
  <c r="X1299" i="4" s="1"/>
  <c r="Z1306" i="1"/>
  <c r="X1304" i="4" s="1"/>
  <c r="Y1310" i="1"/>
  <c r="W1308" i="4" s="1"/>
  <c r="X1313" i="1"/>
  <c r="V1311" i="4" s="1"/>
  <c r="X1318" i="1"/>
  <c r="V1316" i="4" s="1"/>
  <c r="AA1324" i="1"/>
  <c r="Y1322" i="4" s="1"/>
  <c r="Y1329" i="1"/>
  <c r="W1327" i="4" s="1"/>
  <c r="AA1332" i="1"/>
  <c r="Y1330" i="4" s="1"/>
  <c r="X1336" i="1"/>
  <c r="V1334" i="4" s="1"/>
  <c r="Y1340" i="1"/>
  <c r="W1338" i="4" s="1"/>
  <c r="Y1344" i="1"/>
  <c r="W1342" i="4" s="1"/>
  <c r="Z1347" i="1"/>
  <c r="X1345" i="4" s="1"/>
  <c r="AA1355" i="1"/>
  <c r="Y1353" i="4" s="1"/>
  <c r="X1359" i="1"/>
  <c r="V1357" i="4" s="1"/>
  <c r="AA1361" i="1"/>
  <c r="Y1359" i="4" s="1"/>
  <c r="Y536" i="1"/>
  <c r="W534" i="4" s="1"/>
  <c r="Z667" i="1"/>
  <c r="X665" i="4" s="1"/>
  <c r="X766" i="1"/>
  <c r="V764" i="4" s="1"/>
  <c r="X788" i="1"/>
  <c r="V786" i="4" s="1"/>
  <c r="Y840" i="1"/>
  <c r="W838" i="4" s="1"/>
  <c r="X878" i="1"/>
  <c r="V876" i="4" s="1"/>
  <c r="AA887" i="1"/>
  <c r="Y885" i="4" s="1"/>
  <c r="X896" i="1"/>
  <c r="V894" i="4" s="1"/>
  <c r="X902" i="1"/>
  <c r="V900" i="4" s="1"/>
  <c r="Z914" i="1"/>
  <c r="X912" i="4" s="1"/>
  <c r="Z922" i="1"/>
  <c r="X920" i="4" s="1"/>
  <c r="Z928" i="1"/>
  <c r="X926" i="4" s="1"/>
  <c r="X954" i="1"/>
  <c r="V952" i="4" s="1"/>
  <c r="X959" i="1"/>
  <c r="V957" i="4" s="1"/>
  <c r="AA1015" i="1"/>
  <c r="Y1013" i="4" s="1"/>
  <c r="Y1027" i="1"/>
  <c r="W1025" i="4" s="1"/>
  <c r="Y1034" i="1"/>
  <c r="W1032" i="4" s="1"/>
  <c r="X1047" i="1"/>
  <c r="V1045" i="4" s="1"/>
  <c r="Y1063" i="1"/>
  <c r="W1061" i="4" s="1"/>
  <c r="Z1075" i="1"/>
  <c r="X1073" i="4" s="1"/>
  <c r="AA1082" i="1"/>
  <c r="Y1080" i="4" s="1"/>
  <c r="Z1094" i="1"/>
  <c r="X1092" i="4" s="1"/>
  <c r="X1146" i="1"/>
  <c r="V1144" i="4" s="1"/>
  <c r="X1157" i="1"/>
  <c r="V1155" i="4" s="1"/>
  <c r="Y1162" i="1"/>
  <c r="W1160" i="4" s="1"/>
  <c r="AA1166" i="1"/>
  <c r="Y1164" i="4" s="1"/>
  <c r="Y1169" i="1"/>
  <c r="W1167" i="4" s="1"/>
  <c r="Z1172" i="1"/>
  <c r="X1170" i="4" s="1"/>
  <c r="AA1180" i="1"/>
  <c r="Y1178" i="4" s="1"/>
  <c r="Z1183" i="1"/>
  <c r="X1181" i="4" s="1"/>
  <c r="Z1188" i="1"/>
  <c r="X1186" i="4" s="1"/>
  <c r="Y1203" i="1"/>
  <c r="W1201" i="4" s="1"/>
  <c r="X1206" i="1"/>
  <c r="V1204" i="4" s="1"/>
  <c r="Z1210" i="1"/>
  <c r="X1208" i="4" s="1"/>
  <c r="AA1215" i="1"/>
  <c r="Y1213" i="4" s="1"/>
  <c r="Z1218" i="1"/>
  <c r="X1216" i="4" s="1"/>
  <c r="Z1230" i="1"/>
  <c r="X1228" i="4" s="1"/>
  <c r="AA1238" i="1"/>
  <c r="Y1236" i="4" s="1"/>
  <c r="Y1259" i="1"/>
  <c r="W1257" i="4" s="1"/>
  <c r="Y1263" i="1"/>
  <c r="W1261" i="4" s="1"/>
  <c r="Y1271" i="1"/>
  <c r="W1269" i="4" s="1"/>
  <c r="Y1275" i="1"/>
  <c r="W1273" i="4" s="1"/>
  <c r="Y1283" i="1"/>
  <c r="W1281" i="4" s="1"/>
  <c r="Y1287" i="1"/>
  <c r="W1285" i="4" s="1"/>
  <c r="Y1295" i="1"/>
  <c r="W1293" i="4" s="1"/>
  <c r="AA1301" i="1"/>
  <c r="Y1299" i="4" s="1"/>
  <c r="AA1306" i="1"/>
  <c r="Y1304" i="4" s="1"/>
  <c r="Z1310" i="1"/>
  <c r="X1308" i="4" s="1"/>
  <c r="Y1313" i="1"/>
  <c r="W1311" i="4" s="1"/>
  <c r="Y1318" i="1"/>
  <c r="W1316" i="4" s="1"/>
  <c r="X1322" i="1"/>
  <c r="V1320" i="4" s="1"/>
  <c r="Z1336" i="1"/>
  <c r="X1334" i="4" s="1"/>
  <c r="Z1344" i="1"/>
  <c r="X1342" i="4" s="1"/>
  <c r="X1352" i="1"/>
  <c r="V1350" i="4" s="1"/>
  <c r="Y1359" i="1"/>
  <c r="W1357" i="4" s="1"/>
  <c r="Y932" i="1"/>
  <c r="W930" i="4" s="1"/>
  <c r="Y966" i="1"/>
  <c r="W964" i="4" s="1"/>
  <c r="Z1020" i="1"/>
  <c r="X1018" i="4" s="1"/>
  <c r="AA1037" i="1"/>
  <c r="Y1035" i="4" s="1"/>
  <c r="AA1056" i="1"/>
  <c r="Y1054" i="4" s="1"/>
  <c r="Z1099" i="1"/>
  <c r="X1097" i="4" s="1"/>
  <c r="AA1108" i="1"/>
  <c r="Y1106" i="4" s="1"/>
  <c r="AA1142" i="1"/>
  <c r="Y1140" i="4" s="1"/>
  <c r="Y1168" i="1"/>
  <c r="W1166" i="4" s="1"/>
  <c r="Z1186" i="1"/>
  <c r="X1184" i="4" s="1"/>
  <c r="Z1193" i="1"/>
  <c r="X1191" i="4" s="1"/>
  <c r="Y1200" i="1"/>
  <c r="W1198" i="4" s="1"/>
  <c r="AA1214" i="1"/>
  <c r="Y1212" i="4" s="1"/>
  <c r="X1220" i="1"/>
  <c r="V1218" i="4" s="1"/>
  <c r="AA1233" i="1"/>
  <c r="Y1231" i="4" s="1"/>
  <c r="AA1240" i="1"/>
  <c r="Y1238" i="4" s="1"/>
  <c r="AA1247" i="1"/>
  <c r="Y1245" i="4" s="1"/>
  <c r="AA1253" i="1"/>
  <c r="Y1251" i="4" s="1"/>
  <c r="AA1265" i="1"/>
  <c r="Y1263" i="4" s="1"/>
  <c r="AA1277" i="1"/>
  <c r="Y1275" i="4" s="1"/>
  <c r="AA1289" i="1"/>
  <c r="Y1287" i="4" s="1"/>
  <c r="Y1322" i="1"/>
  <c r="W1320" i="4" s="1"/>
  <c r="X1328" i="1"/>
  <c r="V1326" i="4" s="1"/>
  <c r="Z1348" i="1"/>
  <c r="X1346" i="4" s="1"/>
  <c r="X1372" i="1"/>
  <c r="V1370" i="4" s="1"/>
  <c r="Y1376" i="1"/>
  <c r="W1374" i="4" s="1"/>
  <c r="Y1380" i="1"/>
  <c r="W1378" i="4" s="1"/>
  <c r="Z1383" i="1"/>
  <c r="X1381" i="4" s="1"/>
  <c r="Y1391" i="1"/>
  <c r="W1389" i="4" s="1"/>
  <c r="Z1397" i="1"/>
  <c r="X1395" i="4" s="1"/>
  <c r="Z1402" i="1"/>
  <c r="X1400" i="4" s="1"/>
  <c r="Y1406" i="1"/>
  <c r="W1404" i="4" s="1"/>
  <c r="X1420" i="1"/>
  <c r="V1418" i="4" s="1"/>
  <c r="Y1424" i="1"/>
  <c r="W1422" i="4" s="1"/>
  <c r="Y1428" i="1"/>
  <c r="W1426" i="4" s="1"/>
  <c r="Z1431" i="1"/>
  <c r="Y1439" i="1"/>
  <c r="Z1445" i="1"/>
  <c r="Z1450" i="1"/>
  <c r="X1454" i="1"/>
  <c r="AA1456" i="1"/>
  <c r="Y1461" i="1"/>
  <c r="AA1464" i="1"/>
  <c r="AA1467" i="1"/>
  <c r="AA1475" i="1"/>
  <c r="Z1481" i="1"/>
  <c r="Z1486" i="1"/>
  <c r="Z1492" i="1"/>
  <c r="AA1500" i="1"/>
  <c r="AA1511" i="1"/>
  <c r="X1515" i="1"/>
  <c r="AA1517" i="1"/>
  <c r="Z1529" i="1"/>
  <c r="Z1533" i="1"/>
  <c r="AA1538" i="1"/>
  <c r="Z1541" i="1"/>
  <c r="AA1549" i="1"/>
  <c r="X1552" i="1"/>
  <c r="Z1557" i="1"/>
  <c r="Z674" i="1"/>
  <c r="X672" i="4" s="1"/>
  <c r="Y685" i="1"/>
  <c r="W683" i="4" s="1"/>
  <c r="X836" i="1"/>
  <c r="V834" i="4" s="1"/>
  <c r="Z902" i="1"/>
  <c r="X900" i="4" s="1"/>
  <c r="X923" i="1"/>
  <c r="V921" i="4" s="1"/>
  <c r="AA932" i="1"/>
  <c r="Y930" i="4" s="1"/>
  <c r="X958" i="1"/>
  <c r="V956" i="4" s="1"/>
  <c r="Z966" i="1"/>
  <c r="X964" i="4" s="1"/>
  <c r="Y1002" i="1"/>
  <c r="W1000" i="4" s="1"/>
  <c r="Y1011" i="1"/>
  <c r="W1009" i="4" s="1"/>
  <c r="AA1020" i="1"/>
  <c r="Y1018" i="4" s="1"/>
  <c r="AA1048" i="1"/>
  <c r="Y1046" i="4" s="1"/>
  <c r="Y1073" i="1"/>
  <c r="W1071" i="4" s="1"/>
  <c r="Z1118" i="1"/>
  <c r="X1116" i="4" s="1"/>
  <c r="Z1134" i="1"/>
  <c r="X1132" i="4" s="1"/>
  <c r="Z1160" i="1"/>
  <c r="X1158" i="4" s="1"/>
  <c r="Z1168" i="1"/>
  <c r="X1166" i="4" s="1"/>
  <c r="AA1193" i="1"/>
  <c r="Y1191" i="4" s="1"/>
  <c r="Z1200" i="1"/>
  <c r="X1198" i="4" s="1"/>
  <c r="Z1206" i="1"/>
  <c r="X1204" i="4" s="1"/>
  <c r="Z1220" i="1"/>
  <c r="X1218" i="4" s="1"/>
  <c r="AA1227" i="1"/>
  <c r="Y1225" i="4" s="1"/>
  <c r="X1310" i="1"/>
  <c r="V1308" i="4" s="1"/>
  <c r="Y1316" i="1"/>
  <c r="W1314" i="4" s="1"/>
  <c r="Z1322" i="1"/>
  <c r="X1320" i="4" s="1"/>
  <c r="X1335" i="1"/>
  <c r="V1333" i="4" s="1"/>
  <c r="Y1355" i="1"/>
  <c r="W1353" i="4" s="1"/>
  <c r="AA1360" i="1"/>
  <c r="Y1358" i="4" s="1"/>
  <c r="X1366" i="1"/>
  <c r="V1364" i="4" s="1"/>
  <c r="Z1372" i="1"/>
  <c r="X1370" i="4" s="1"/>
  <c r="Z1380" i="1"/>
  <c r="X1378" i="4" s="1"/>
  <c r="AA1383" i="1"/>
  <c r="Y1381" i="4" s="1"/>
  <c r="AA1391" i="1"/>
  <c r="Y1389" i="4" s="1"/>
  <c r="X1395" i="1"/>
  <c r="V1393" i="4" s="1"/>
  <c r="AA1397" i="1"/>
  <c r="Y1395" i="4" s="1"/>
  <c r="AA1402" i="1"/>
  <c r="Y1400" i="4" s="1"/>
  <c r="Z1406" i="1"/>
  <c r="X1404" i="4" s="1"/>
  <c r="X1409" i="1"/>
  <c r="V1407" i="4" s="1"/>
  <c r="X1414" i="1"/>
  <c r="V1412" i="4" s="1"/>
  <c r="Z1420" i="1"/>
  <c r="X1418" i="4" s="1"/>
  <c r="Z1428" i="1"/>
  <c r="X1426" i="4" s="1"/>
  <c r="AA1431" i="1"/>
  <c r="AA1439" i="1"/>
  <c r="X1443" i="1"/>
  <c r="AA1445" i="1"/>
  <c r="AA1450" i="1"/>
  <c r="Y1454" i="1"/>
  <c r="X1472" i="1"/>
  <c r="X1479" i="1"/>
  <c r="AA1481" i="1"/>
  <c r="AA1486" i="1"/>
  <c r="X1490" i="1"/>
  <c r="AA1492" i="1"/>
  <c r="X1504" i="1"/>
  <c r="Y1515" i="1"/>
  <c r="X1527" i="1"/>
  <c r="AA1529" i="1"/>
  <c r="AA1541" i="1"/>
  <c r="Z1552" i="1"/>
  <c r="AA1557" i="1"/>
  <c r="AA975" i="1"/>
  <c r="Y973" i="4" s="1"/>
  <c r="X984" i="1"/>
  <c r="V982" i="4" s="1"/>
  <c r="X1083" i="1"/>
  <c r="V1081" i="4" s="1"/>
  <c r="AA1092" i="1"/>
  <c r="Y1090" i="4" s="1"/>
  <c r="X1181" i="1"/>
  <c r="V1179" i="4" s="1"/>
  <c r="X1215" i="1"/>
  <c r="V1213" i="4" s="1"/>
  <c r="Z1241" i="1"/>
  <c r="X1239" i="4" s="1"/>
  <c r="AA1310" i="1"/>
  <c r="Y1308" i="4" s="1"/>
  <c r="Y1335" i="1"/>
  <c r="W1333" i="4" s="1"/>
  <c r="Y1343" i="1"/>
  <c r="W1341" i="4" s="1"/>
  <c r="Z1349" i="1"/>
  <c r="X1347" i="4" s="1"/>
  <c r="Y1366" i="1"/>
  <c r="W1364" i="4" s="1"/>
  <c r="X1370" i="1"/>
  <c r="V1368" i="4" s="1"/>
  <c r="AA1372" i="1"/>
  <c r="Y1370" i="4" s="1"/>
  <c r="Y1377" i="1"/>
  <c r="W1375" i="4" s="1"/>
  <c r="AA1380" i="1"/>
  <c r="Y1378" i="4" s="1"/>
  <c r="X1388" i="1"/>
  <c r="V1386" i="4" s="1"/>
  <c r="Y1395" i="1"/>
  <c r="W1393" i="4" s="1"/>
  <c r="AA1406" i="1"/>
  <c r="Y1404" i="4" s="1"/>
  <c r="Y1409" i="1"/>
  <c r="W1407" i="4" s="1"/>
  <c r="Y1414" i="1"/>
  <c r="W1412" i="4" s="1"/>
  <c r="X1418" i="1"/>
  <c r="V1416" i="4" s="1"/>
  <c r="AA1420" i="1"/>
  <c r="Y1418" i="4" s="1"/>
  <c r="Y1425" i="1"/>
  <c r="W1423" i="4" s="1"/>
  <c r="AA1428" i="1"/>
  <c r="Y1426" i="4" s="1"/>
  <c r="X1436" i="1"/>
  <c r="Y1443" i="1"/>
  <c r="Z1454" i="1"/>
  <c r="X1457" i="1"/>
  <c r="X1462" i="1"/>
  <c r="X1465" i="1"/>
  <c r="X1468" i="1"/>
  <c r="Y1472" i="1"/>
  <c r="Y1476" i="1"/>
  <c r="Y1479" i="1"/>
  <c r="Y1490" i="1"/>
  <c r="X1498" i="1"/>
  <c r="Z1504" i="1"/>
  <c r="Y1508" i="1"/>
  <c r="Y1512" i="1"/>
  <c r="Z1515" i="1"/>
  <c r="X1518" i="1"/>
  <c r="Y1524" i="1"/>
  <c r="Y1527" i="1"/>
  <c r="X1539" i="1"/>
  <c r="X1546" i="1"/>
  <c r="X1550" i="1"/>
  <c r="AA1552" i="1"/>
  <c r="Z951" i="1"/>
  <c r="X949" i="4" s="1"/>
  <c r="Y959" i="1"/>
  <c r="W957" i="4" s="1"/>
  <c r="Z984" i="1"/>
  <c r="X982" i="4" s="1"/>
  <c r="X994" i="1"/>
  <c r="V992" i="4" s="1"/>
  <c r="Y1144" i="1"/>
  <c r="W1142" i="4" s="1"/>
  <c r="Z1169" i="1"/>
  <c r="X1167" i="4" s="1"/>
  <c r="Y1176" i="1"/>
  <c r="W1174" i="4" s="1"/>
  <c r="AA1188" i="1"/>
  <c r="Y1186" i="4" s="1"/>
  <c r="Z1221" i="1"/>
  <c r="X1219" i="4" s="1"/>
  <c r="Y1235" i="1"/>
  <c r="W1233" i="4" s="1"/>
  <c r="X1262" i="1"/>
  <c r="V1260" i="4" s="1"/>
  <c r="X1274" i="1"/>
  <c r="V1272" i="4" s="1"/>
  <c r="X1286" i="1"/>
  <c r="V1284" i="4" s="1"/>
  <c r="X1298" i="1"/>
  <c r="V1296" i="4" s="1"/>
  <c r="Z1323" i="1"/>
  <c r="X1321" i="4" s="1"/>
  <c r="X1330" i="1"/>
  <c r="V1328" i="4" s="1"/>
  <c r="AA1349" i="1"/>
  <c r="Y1347" i="4" s="1"/>
  <c r="Y1356" i="1"/>
  <c r="W1354" i="4" s="1"/>
  <c r="X1361" i="1"/>
  <c r="V1359" i="4" s="1"/>
  <c r="Z1366" i="1"/>
  <c r="X1364" i="4" s="1"/>
  <c r="Y1370" i="1"/>
  <c r="W1368" i="4" s="1"/>
  <c r="X1384" i="1"/>
  <c r="V1382" i="4" s="1"/>
  <c r="Y1388" i="1"/>
  <c r="W1386" i="4" s="1"/>
  <c r="Y1392" i="1"/>
  <c r="W1390" i="4" s="1"/>
  <c r="Z1395" i="1"/>
  <c r="X1393" i="4" s="1"/>
  <c r="Y1403" i="1"/>
  <c r="W1401" i="4" s="1"/>
  <c r="Z1409" i="1"/>
  <c r="X1407" i="4" s="1"/>
  <c r="Z1414" i="1"/>
  <c r="X1412" i="4" s="1"/>
  <c r="Y1418" i="1"/>
  <c r="W1416" i="4" s="1"/>
  <c r="X1432" i="1"/>
  <c r="Y1436" i="1"/>
  <c r="Y1440" i="1"/>
  <c r="Z1443" i="1"/>
  <c r="Y1451" i="1"/>
  <c r="AA1454" i="1"/>
  <c r="Y1457" i="1"/>
  <c r="Y1462" i="1"/>
  <c r="Z1468" i="1"/>
  <c r="Z1476" i="1"/>
  <c r="Z1479" i="1"/>
  <c r="Y1487" i="1"/>
  <c r="Z1490" i="1"/>
  <c r="X1493" i="1"/>
  <c r="Y1498" i="1"/>
  <c r="X1502" i="1"/>
  <c r="AA1504" i="1"/>
  <c r="Z1508" i="1"/>
  <c r="Z1512" i="1"/>
  <c r="AA1515" i="1"/>
  <c r="Z1524" i="1"/>
  <c r="Z1527" i="1"/>
  <c r="X1530" i="1"/>
  <c r="Y1539" i="1"/>
  <c r="X1542" i="1"/>
  <c r="Y1546" i="1"/>
  <c r="Y1550" i="1"/>
  <c r="X1558" i="1"/>
  <c r="Y805" i="1"/>
  <c r="W803" i="4" s="1"/>
  <c r="Z925" i="1"/>
  <c r="X923" i="4" s="1"/>
  <c r="AA951" i="1"/>
  <c r="Y949" i="4" s="1"/>
  <c r="AA1059" i="1"/>
  <c r="Y1057" i="4" s="1"/>
  <c r="Y1068" i="1"/>
  <c r="W1066" i="4" s="1"/>
  <c r="Y1111" i="1"/>
  <c r="W1109" i="4" s="1"/>
  <c r="AA1120" i="1"/>
  <c r="Y1118" i="4" s="1"/>
  <c r="X1154" i="1"/>
  <c r="V1152" i="4" s="1"/>
  <c r="AA1169" i="1"/>
  <c r="Y1167" i="4" s="1"/>
  <c r="Z1176" i="1"/>
  <c r="X1174" i="4" s="1"/>
  <c r="X1182" i="1"/>
  <c r="V1180" i="4" s="1"/>
  <c r="X1195" i="1"/>
  <c r="V1193" i="4" s="1"/>
  <c r="Y1202" i="1"/>
  <c r="W1200" i="4" s="1"/>
  <c r="Z1208" i="1"/>
  <c r="X1206" i="4" s="1"/>
  <c r="X1216" i="1"/>
  <c r="V1214" i="4" s="1"/>
  <c r="X1229" i="1"/>
  <c r="V1227" i="4" s="1"/>
  <c r="AA1235" i="1"/>
  <c r="Y1233" i="4" s="1"/>
  <c r="X1250" i="1"/>
  <c r="V1248" i="4" s="1"/>
  <c r="X1256" i="1"/>
  <c r="V1254" i="4" s="1"/>
  <c r="Y1262" i="1"/>
  <c r="W1260" i="4" s="1"/>
  <c r="X1268" i="1"/>
  <c r="V1266" i="4" s="1"/>
  <c r="Y1274" i="1"/>
  <c r="W1272" i="4" s="1"/>
  <c r="X1280" i="1"/>
  <c r="V1278" i="4" s="1"/>
  <c r="Y1286" i="1"/>
  <c r="W1284" i="4" s="1"/>
  <c r="X1292" i="1"/>
  <c r="V1290" i="4" s="1"/>
  <c r="Z1298" i="1"/>
  <c r="X1296" i="4" s="1"/>
  <c r="Y1305" i="1"/>
  <c r="W1303" i="4" s="1"/>
  <c r="Z1318" i="1"/>
  <c r="X1316" i="4" s="1"/>
  <c r="Y1330" i="1"/>
  <c r="W1328" i="4" s="1"/>
  <c r="AA1336" i="1"/>
  <c r="Y1334" i="4" s="1"/>
  <c r="AA1344" i="1"/>
  <c r="Y1342" i="4" s="1"/>
  <c r="Z1356" i="1"/>
  <c r="X1354" i="4" s="1"/>
  <c r="Z1361" i="1"/>
  <c r="X1359" i="4" s="1"/>
  <c r="AA1366" i="1"/>
  <c r="Y1364" i="4" s="1"/>
  <c r="Z1370" i="1"/>
  <c r="X1368" i="4" s="1"/>
  <c r="X1373" i="1"/>
  <c r="V1371" i="4" s="1"/>
  <c r="X1378" i="1"/>
  <c r="V1376" i="4" s="1"/>
  <c r="Z1384" i="1"/>
  <c r="X1382" i="4" s="1"/>
  <c r="Z1392" i="1"/>
  <c r="X1390" i="4" s="1"/>
  <c r="AA1395" i="1"/>
  <c r="Y1393" i="4" s="1"/>
  <c r="AA1403" i="1"/>
  <c r="Y1401" i="4" s="1"/>
  <c r="X1407" i="1"/>
  <c r="V1405" i="4" s="1"/>
  <c r="AA1409" i="1"/>
  <c r="Y1407" i="4" s="1"/>
  <c r="AA1414" i="1"/>
  <c r="Y1412" i="4" s="1"/>
  <c r="Z1418" i="1"/>
  <c r="X1416" i="4" s="1"/>
  <c r="X1421" i="1"/>
  <c r="V1419" i="4" s="1"/>
  <c r="X1426" i="1"/>
  <c r="V1424" i="4" s="1"/>
  <c r="Z1432" i="1"/>
  <c r="Z1440" i="1"/>
  <c r="AA1443" i="1"/>
  <c r="AA1451" i="1"/>
  <c r="Z1457" i="1"/>
  <c r="Z1462" i="1"/>
  <c r="X1466" i="1"/>
  <c r="AA1468" i="1"/>
  <c r="Y1473" i="1"/>
  <c r="AA1476" i="1"/>
  <c r="AA1479" i="1"/>
  <c r="AA1487" i="1"/>
  <c r="AA1490" i="1"/>
  <c r="Y1493" i="1"/>
  <c r="Z1498" i="1"/>
  <c r="Y1502" i="1"/>
  <c r="AA1512" i="1"/>
  <c r="AA1519" i="1"/>
  <c r="AA1524" i="1"/>
  <c r="AA1527" i="1"/>
  <c r="Z1530" i="1"/>
  <c r="Y1536" i="1"/>
  <c r="Z1539" i="1"/>
  <c r="Z896" i="1"/>
  <c r="X894" i="4" s="1"/>
  <c r="X935" i="1"/>
  <c r="V933" i="4" s="1"/>
  <c r="Z944" i="1"/>
  <c r="X942" i="4" s="1"/>
  <c r="Y969" i="1"/>
  <c r="W967" i="4" s="1"/>
  <c r="Y1005" i="1"/>
  <c r="W1003" i="4" s="1"/>
  <c r="Y1014" i="1"/>
  <c r="W1012" i="4" s="1"/>
  <c r="X1023" i="1"/>
  <c r="V1021" i="4" s="1"/>
  <c r="AA1041" i="1"/>
  <c r="Y1039" i="4" s="1"/>
  <c r="Z1068" i="1"/>
  <c r="X1066" i="4" s="1"/>
  <c r="Y1085" i="1"/>
  <c r="W1083" i="4" s="1"/>
  <c r="AA1094" i="1"/>
  <c r="Y1092" i="4" s="1"/>
  <c r="Z1111" i="1"/>
  <c r="X1109" i="4" s="1"/>
  <c r="X1130" i="1"/>
  <c r="V1128" i="4" s="1"/>
  <c r="Z1182" i="1"/>
  <c r="X1180" i="4" s="1"/>
  <c r="Y1195" i="1"/>
  <c r="W1193" i="4" s="1"/>
  <c r="Z1202" i="1"/>
  <c r="X1200" i="4" s="1"/>
  <c r="Z1229" i="1"/>
  <c r="X1227" i="4" s="1"/>
  <c r="Z1250" i="1"/>
  <c r="X1248" i="4" s="1"/>
  <c r="AA1262" i="1"/>
  <c r="Y1260" i="4" s="1"/>
  <c r="AA1274" i="1"/>
  <c r="Y1272" i="4" s="1"/>
  <c r="Y701" i="1"/>
  <c r="W699" i="4" s="1"/>
  <c r="Y906" i="1"/>
  <c r="W904" i="4" s="1"/>
  <c r="AA935" i="1"/>
  <c r="Y933" i="4" s="1"/>
  <c r="AA969" i="1"/>
  <c r="Y967" i="4" s="1"/>
  <c r="Y1023" i="1"/>
  <c r="W1021" i="4" s="1"/>
  <c r="AA1130" i="1"/>
  <c r="Y1128" i="4" s="1"/>
  <c r="Z1138" i="1"/>
  <c r="X1136" i="4" s="1"/>
  <c r="AA1190" i="1"/>
  <c r="Y1188" i="4" s="1"/>
  <c r="Y1217" i="1"/>
  <c r="W1215" i="4" s="1"/>
  <c r="Y1223" i="1"/>
  <c r="W1221" i="4" s="1"/>
  <c r="X1299" i="1"/>
  <c r="V1297" i="4" s="1"/>
  <c r="Y1306" i="1"/>
  <c r="W1304" i="4" s="1"/>
  <c r="Z1312" i="1"/>
  <c r="X1310" i="4" s="1"/>
  <c r="AA1331" i="1"/>
  <c r="Y1329" i="4" s="1"/>
  <c r="Y1367" i="1"/>
  <c r="W1365" i="4" s="1"/>
  <c r="Z1373" i="1"/>
  <c r="X1371" i="4" s="1"/>
  <c r="Z1378" i="1"/>
  <c r="X1376" i="4" s="1"/>
  <c r="Y1382" i="1"/>
  <c r="W1380" i="4" s="1"/>
  <c r="X1396" i="1"/>
  <c r="V1394" i="4" s="1"/>
  <c r="Y1400" i="1"/>
  <c r="W1398" i="4" s="1"/>
  <c r="Y1404" i="1"/>
  <c r="W1402" i="4" s="1"/>
  <c r="Z1407" i="1"/>
  <c r="X1405" i="4" s="1"/>
  <c r="Y1415" i="1"/>
  <c r="W1413" i="4" s="1"/>
  <c r="Z1421" i="1"/>
  <c r="X1419" i="4" s="1"/>
  <c r="Z1426" i="1"/>
  <c r="X1424" i="4" s="1"/>
  <c r="Y1430" i="1"/>
  <c r="W1428" i="4" s="1"/>
  <c r="X1444" i="1"/>
  <c r="Y1448" i="1"/>
  <c r="Y1452" i="1"/>
  <c r="Y1455" i="1"/>
  <c r="Z1466" i="1"/>
  <c r="X1469" i="1"/>
  <c r="X1474" i="1"/>
  <c r="X1477" i="1"/>
  <c r="X1480" i="1"/>
  <c r="Y1484" i="1"/>
  <c r="Y1488" i="1"/>
  <c r="X1491" i="1"/>
  <c r="AA1493" i="1"/>
  <c r="AA1502" i="1"/>
  <c r="Y1505" i="1"/>
  <c r="Z1516" i="1"/>
  <c r="X1520" i="1"/>
  <c r="X1525" i="1"/>
  <c r="X1528" i="1"/>
  <c r="X1531" i="1"/>
  <c r="AA1536" i="1"/>
  <c r="X1540" i="1"/>
  <c r="Z1543" i="1"/>
  <c r="X1555" i="1"/>
  <c r="X962" i="1"/>
  <c r="V960" i="4" s="1"/>
  <c r="Y979" i="1"/>
  <c r="W977" i="4" s="1"/>
  <c r="Z987" i="1"/>
  <c r="X985" i="4" s="1"/>
  <c r="Z997" i="1"/>
  <c r="X995" i="4" s="1"/>
  <c r="AA1034" i="1"/>
  <c r="Y1032" i="4" s="1"/>
  <c r="Z1053" i="1"/>
  <c r="X1051" i="4" s="1"/>
  <c r="AA1061" i="1"/>
  <c r="Y1059" i="4" s="1"/>
  <c r="X1147" i="1"/>
  <c r="V1145" i="4" s="1"/>
  <c r="X1156" i="1"/>
  <c r="V1154" i="4" s="1"/>
  <c r="Y1165" i="1"/>
  <c r="W1163" i="4" s="1"/>
  <c r="X1171" i="1"/>
  <c r="V1169" i="4" s="1"/>
  <c r="X1178" i="1"/>
  <c r="V1176" i="4" s="1"/>
  <c r="AA1183" i="1"/>
  <c r="Y1181" i="4" s="1"/>
  <c r="Z1196" i="1"/>
  <c r="X1194" i="4" s="1"/>
  <c r="AA1203" i="1"/>
  <c r="Y1201" i="4" s="1"/>
  <c r="Z1217" i="1"/>
  <c r="X1215" i="4" s="1"/>
  <c r="Y1251" i="1"/>
  <c r="W1249" i="4" s="1"/>
  <c r="X1258" i="1"/>
  <c r="V1256" i="4" s="1"/>
  <c r="Z1263" i="1"/>
  <c r="X1261" i="4" s="1"/>
  <c r="X1270" i="1"/>
  <c r="V1268" i="4" s="1"/>
  <c r="Z1275" i="1"/>
  <c r="X1273" i="4" s="1"/>
  <c r="X1282" i="1"/>
  <c r="V1280" i="4" s="1"/>
  <c r="Z1287" i="1"/>
  <c r="X1285" i="4" s="1"/>
  <c r="X1294" i="1"/>
  <c r="V1292" i="4" s="1"/>
  <c r="Y1299" i="1"/>
  <c r="W1297" i="4" s="1"/>
  <c r="X1325" i="1"/>
  <c r="V1323" i="4" s="1"/>
  <c r="AA1346" i="1"/>
  <c r="Y1344" i="4" s="1"/>
  <c r="Y1352" i="1"/>
  <c r="W1350" i="4" s="1"/>
  <c r="Y1358" i="1"/>
  <c r="W1356" i="4" s="1"/>
  <c r="AA1367" i="1"/>
  <c r="Y1365" i="4" s="1"/>
  <c r="X1371" i="1"/>
  <c r="V1369" i="4" s="1"/>
  <c r="AA1373" i="1"/>
  <c r="Y1371" i="4" s="1"/>
  <c r="AA1378" i="1"/>
  <c r="Y1376" i="4" s="1"/>
  <c r="Z1382" i="1"/>
  <c r="X1380" i="4" s="1"/>
  <c r="X1385" i="1"/>
  <c r="V1383" i="4" s="1"/>
  <c r="X1390" i="1"/>
  <c r="V1388" i="4" s="1"/>
  <c r="Z1396" i="1"/>
  <c r="X1394" i="4" s="1"/>
  <c r="Z1404" i="1"/>
  <c r="X1402" i="4" s="1"/>
  <c r="AA1407" i="1"/>
  <c r="Y1405" i="4" s="1"/>
  <c r="AA1415" i="1"/>
  <c r="Y1413" i="4" s="1"/>
  <c r="X1419" i="1"/>
  <c r="V1417" i="4" s="1"/>
  <c r="AA1421" i="1"/>
  <c r="Y1419" i="4" s="1"/>
  <c r="AA1426" i="1"/>
  <c r="Y1424" i="4" s="1"/>
  <c r="Z1430" i="1"/>
  <c r="X1428" i="4" s="1"/>
  <c r="X1433" i="1"/>
  <c r="X1438" i="1"/>
  <c r="Z1444" i="1"/>
  <c r="Z1452" i="1"/>
  <c r="Z1455" i="1"/>
  <c r="Y1463" i="1"/>
  <c r="AA1466" i="1"/>
  <c r="Y1469" i="1"/>
  <c r="Y1474" i="1"/>
  <c r="Z1480" i="1"/>
  <c r="Z1488" i="1"/>
  <c r="Y1491" i="1"/>
  <c r="Y1499" i="1"/>
  <c r="Z1505" i="1"/>
  <c r="Y1510" i="1"/>
  <c r="X1514" i="1"/>
  <c r="AA1516" i="1"/>
  <c r="Y1520" i="1"/>
  <c r="Z1528" i="1"/>
  <c r="AA1531" i="1"/>
  <c r="Z1540" i="1"/>
  <c r="AA1543" i="1"/>
  <c r="X1547" i="1"/>
  <c r="X1551" i="1"/>
  <c r="Y1555" i="1"/>
  <c r="X865" i="1"/>
  <c r="V863" i="4" s="1"/>
  <c r="Z954" i="1"/>
  <c r="X952" i="4" s="1"/>
  <c r="AA1053" i="1"/>
  <c r="Y1051" i="4" s="1"/>
  <c r="Z1087" i="1"/>
  <c r="X1085" i="4" s="1"/>
  <c r="AA1096" i="1"/>
  <c r="Y1094" i="4" s="1"/>
  <c r="Y1106" i="1"/>
  <c r="W1104" i="4" s="1"/>
  <c r="Y1123" i="1"/>
  <c r="W1121" i="4" s="1"/>
  <c r="Y1171" i="1"/>
  <c r="W1169" i="4" s="1"/>
  <c r="Y1178" i="1"/>
  <c r="W1176" i="4" s="1"/>
  <c r="X1231" i="1"/>
  <c r="V1229" i="4" s="1"/>
  <c r="Y1238" i="1"/>
  <c r="W1236" i="4" s="1"/>
  <c r="X1246" i="1"/>
  <c r="V1244" i="4" s="1"/>
  <c r="Z1251" i="1"/>
  <c r="X1249" i="4" s="1"/>
  <c r="Y1258" i="1"/>
  <c r="W1256" i="4" s="1"/>
  <c r="Y1270" i="1"/>
  <c r="W1268" i="4" s="1"/>
  <c r="Y1282" i="1"/>
  <c r="W1280" i="4" s="1"/>
  <c r="Y1294" i="1"/>
  <c r="W1292" i="4" s="1"/>
  <c r="Y1307" i="1"/>
  <c r="W1305" i="4" s="1"/>
  <c r="Z1313" i="1"/>
  <c r="X1311" i="4" s="1"/>
  <c r="Y1320" i="1"/>
  <c r="W1318" i="4" s="1"/>
  <c r="Y1325" i="1"/>
  <c r="W1323" i="4" s="1"/>
  <c r="Z1332" i="1"/>
  <c r="X1330" i="4" s="1"/>
  <c r="Z1358" i="1"/>
  <c r="X1356" i="4" s="1"/>
  <c r="X1364" i="1"/>
  <c r="V1362" i="4" s="1"/>
  <c r="Y1371" i="1"/>
  <c r="W1369" i="4" s="1"/>
  <c r="AA1382" i="1"/>
  <c r="Y1380" i="4" s="1"/>
  <c r="Y1385" i="1"/>
  <c r="W1383" i="4" s="1"/>
  <c r="Y1390" i="1"/>
  <c r="W1388" i="4" s="1"/>
  <c r="X1394" i="1"/>
  <c r="V1392" i="4" s="1"/>
  <c r="AA1396" i="1"/>
  <c r="Y1394" i="4" s="1"/>
  <c r="Y1401" i="1"/>
  <c r="W1399" i="4" s="1"/>
  <c r="AA1404" i="1"/>
  <c r="Y1402" i="4" s="1"/>
  <c r="X1412" i="1"/>
  <c r="V1410" i="4" s="1"/>
  <c r="Y1419" i="1"/>
  <c r="W1417" i="4" s="1"/>
  <c r="AA1430" i="1"/>
  <c r="Y1428" i="4" s="1"/>
  <c r="Y1433" i="1"/>
  <c r="Y1438" i="1"/>
  <c r="X1442" i="1"/>
  <c r="AA1444" i="1"/>
  <c r="Y1449" i="1"/>
  <c r="AA1452" i="1"/>
  <c r="AA1455" i="1"/>
  <c r="AA1463" i="1"/>
  <c r="Z1469" i="1"/>
  <c r="Z1474" i="1"/>
  <c r="X1478" i="1"/>
  <c r="AA1480" i="1"/>
  <c r="Y1485" i="1"/>
  <c r="AA1488" i="1"/>
  <c r="Z1491" i="1"/>
  <c r="Z1494" i="1"/>
  <c r="AA1499" i="1"/>
  <c r="X1503" i="1"/>
  <c r="AA1505" i="1"/>
  <c r="Z1510" i="1"/>
  <c r="Y1514" i="1"/>
  <c r="X1526" i="1"/>
  <c r="AA1528" i="1"/>
  <c r="AA1540" i="1"/>
  <c r="Y1547" i="1"/>
  <c r="Y1551" i="1"/>
  <c r="Z1555" i="1"/>
  <c r="Y899" i="1"/>
  <c r="W897" i="4" s="1"/>
  <c r="Z1008" i="1"/>
  <c r="X1006" i="4" s="1"/>
  <c r="X1071" i="1"/>
  <c r="V1069" i="4" s="1"/>
  <c r="Z1080" i="1"/>
  <c r="X1078" i="4" s="1"/>
  <c r="Z1106" i="1"/>
  <c r="X1104" i="4" s="1"/>
  <c r="Z1123" i="1"/>
  <c r="X1121" i="4" s="1"/>
  <c r="X1132" i="1"/>
  <c r="V1130" i="4" s="1"/>
  <c r="Y1157" i="1"/>
  <c r="W1155" i="4" s="1"/>
  <c r="X1192" i="1"/>
  <c r="V1190" i="4" s="1"/>
  <c r="Z1246" i="1"/>
  <c r="X1244" i="4" s="1"/>
  <c r="AA1258" i="1"/>
  <c r="Y1256" i="4" s="1"/>
  <c r="AA1270" i="1"/>
  <c r="Y1268" i="4" s="1"/>
  <c r="AA1282" i="1"/>
  <c r="Y1280" i="4" s="1"/>
  <c r="AA1294" i="1"/>
  <c r="Y1292" i="4" s="1"/>
  <c r="AA1300" i="1"/>
  <c r="Y1298" i="4" s="1"/>
  <c r="AA1313" i="1"/>
  <c r="Y1311" i="4" s="1"/>
  <c r="Z1320" i="1"/>
  <c r="X1318" i="4" s="1"/>
  <c r="X1340" i="1"/>
  <c r="V1338" i="4" s="1"/>
  <c r="Y1347" i="1"/>
  <c r="W1345" i="4" s="1"/>
  <c r="Y1364" i="1"/>
  <c r="W1362" i="4" s="1"/>
  <c r="Y1368" i="1"/>
  <c r="W1366" i="4" s="1"/>
  <c r="Z1371" i="1"/>
  <c r="X1369" i="4" s="1"/>
  <c r="Y1379" i="1"/>
  <c r="W1377" i="4" s="1"/>
  <c r="Z1385" i="1"/>
  <c r="X1383" i="4" s="1"/>
  <c r="Z1390" i="1"/>
  <c r="X1388" i="4" s="1"/>
  <c r="Y1394" i="1"/>
  <c r="W1392" i="4" s="1"/>
  <c r="X1408" i="1"/>
  <c r="V1406" i="4" s="1"/>
  <c r="Y1412" i="1"/>
  <c r="W1410" i="4" s="1"/>
  <c r="Y1416" i="1"/>
  <c r="W1414" i="4" s="1"/>
  <c r="Z1419" i="1"/>
  <c r="X1417" i="4" s="1"/>
  <c r="Y1427" i="1"/>
  <c r="W1425" i="4" s="1"/>
  <c r="Z1433" i="1"/>
  <c r="Z1438" i="1"/>
  <c r="Y1442" i="1"/>
  <c r="X1460" i="1"/>
  <c r="X1467" i="1"/>
  <c r="AA1469" i="1"/>
  <c r="AA1474" i="1"/>
  <c r="Y1478" i="1"/>
  <c r="AA1491" i="1"/>
  <c r="Y1503" i="1"/>
  <c r="AA1510" i="1"/>
  <c r="Z1514" i="1"/>
  <c r="X1517" i="1"/>
  <c r="Y1521" i="1"/>
  <c r="Y1526" i="1"/>
  <c r="Y1532" i="1"/>
  <c r="X1538" i="1"/>
  <c r="Y1544" i="1"/>
  <c r="AA1547" i="1"/>
  <c r="Z1551" i="1"/>
  <c r="AA1384" i="1"/>
  <c r="Y1382" i="4" s="1"/>
  <c r="AA1392" i="1"/>
  <c r="Y1390" i="4" s="1"/>
  <c r="Y1407" i="1"/>
  <c r="W1405" i="4" s="1"/>
  <c r="X1445" i="1"/>
  <c r="X1505" i="1"/>
  <c r="X1529" i="1"/>
  <c r="Z1544" i="1"/>
  <c r="X1560" i="1"/>
  <c r="Z1562" i="1"/>
  <c r="Y1567" i="1"/>
  <c r="AA1571" i="1"/>
  <c r="X1574" i="1"/>
  <c r="Y1578" i="1"/>
  <c r="X1583" i="1"/>
  <c r="AA1597" i="1"/>
  <c r="Z1601" i="1"/>
  <c r="Y1606" i="1"/>
  <c r="Z1609" i="1"/>
  <c r="Y1613" i="1"/>
  <c r="X1618" i="1"/>
  <c r="X1621" i="1"/>
  <c r="X1625" i="1"/>
  <c r="AA1641" i="1"/>
  <c r="AA1644" i="1"/>
  <c r="Z1656" i="1"/>
  <c r="Z1668" i="1"/>
  <c r="Z1680" i="1"/>
  <c r="Y1692" i="1"/>
  <c r="X1695" i="1"/>
  <c r="X1704" i="1"/>
  <c r="AA1711" i="1"/>
  <c r="Z1718" i="1"/>
  <c r="Y1723" i="1"/>
  <c r="Y1727" i="1"/>
  <c r="X1730" i="1"/>
  <c r="Y1734" i="1"/>
  <c r="AA1741" i="1"/>
  <c r="Z1745" i="1"/>
  <c r="X1750" i="1"/>
  <c r="X1753" i="1"/>
  <c r="Y1757" i="1"/>
  <c r="X1769" i="1"/>
  <c r="AA1773" i="1"/>
  <c r="AA1776" i="1"/>
  <c r="Y1785" i="1"/>
  <c r="Z1788" i="1"/>
  <c r="Y1800" i="1"/>
  <c r="X1803" i="1"/>
  <c r="Y910" i="1"/>
  <c r="W908" i="4" s="1"/>
  <c r="AA1080" i="1"/>
  <c r="Y1078" i="4" s="1"/>
  <c r="Y1253" i="1"/>
  <c r="W1251" i="4" s="1"/>
  <c r="Y1301" i="1"/>
  <c r="W1299" i="4" s="1"/>
  <c r="AA1370" i="1"/>
  <c r="Y1368" i="4" s="1"/>
  <c r="Y1378" i="1"/>
  <c r="W1376" i="4" s="1"/>
  <c r="X1400" i="1"/>
  <c r="V1398" i="4" s="1"/>
  <c r="Z1416" i="1"/>
  <c r="X1414" i="4" s="1"/>
  <c r="X1431" i="1"/>
  <c r="AA1438" i="1"/>
  <c r="Y1445" i="1"/>
  <c r="X1453" i="1"/>
  <c r="Y1460" i="1"/>
  <c r="Y1467" i="1"/>
  <c r="X1484" i="1"/>
  <c r="Y1529" i="1"/>
  <c r="Y1538" i="1"/>
  <c r="AA1544" i="1"/>
  <c r="AA1551" i="1"/>
  <c r="Y1560" i="1"/>
  <c r="AA1562" i="1"/>
  <c r="Z1567" i="1"/>
  <c r="Y1574" i="1"/>
  <c r="Y1583" i="1"/>
  <c r="X1586" i="1"/>
  <c r="Y1590" i="1"/>
  <c r="X1595" i="1"/>
  <c r="AA1609" i="1"/>
  <c r="Z1613" i="1"/>
  <c r="Y1618" i="1"/>
  <c r="Z1621" i="1"/>
  <c r="Y1625" i="1"/>
  <c r="X1630" i="1"/>
  <c r="X1633" i="1"/>
  <c r="X1637" i="1"/>
  <c r="AA1653" i="1"/>
  <c r="AA1656" i="1"/>
  <c r="AA1665" i="1"/>
  <c r="AA1668" i="1"/>
  <c r="AA1677" i="1"/>
  <c r="AA1680" i="1"/>
  <c r="Y1689" i="1"/>
  <c r="Z1692" i="1"/>
  <c r="Y1704" i="1"/>
  <c r="X1707" i="1"/>
  <c r="X1716" i="1"/>
  <c r="AA1718" i="1"/>
  <c r="Z1723" i="1"/>
  <c r="AA1727" i="1"/>
  <c r="Y1730" i="1"/>
  <c r="X1739" i="1"/>
  <c r="Y1750" i="1"/>
  <c r="Z1753" i="1"/>
  <c r="Z1757" i="1"/>
  <c r="X1762" i="1"/>
  <c r="X1765" i="1"/>
  <c r="Y1769" i="1"/>
  <c r="X1781" i="1"/>
  <c r="AA1785" i="1"/>
  <c r="AA1788" i="1"/>
  <c r="Y1797" i="1"/>
  <c r="Z1800" i="1"/>
  <c r="Y1150" i="1"/>
  <c r="W1148" i="4" s="1"/>
  <c r="Z1192" i="1"/>
  <c r="X1190" i="4" s="1"/>
  <c r="Y1233" i="1"/>
  <c r="W1231" i="4" s="1"/>
  <c r="AA1283" i="1"/>
  <c r="Y1281" i="4" s="1"/>
  <c r="X1312" i="1"/>
  <c r="V1310" i="4" s="1"/>
  <c r="Z1354" i="1"/>
  <c r="X1352" i="4" s="1"/>
  <c r="AA1385" i="1"/>
  <c r="Y1383" i="4" s="1"/>
  <c r="Z1408" i="1"/>
  <c r="X1406" i="4" s="1"/>
  <c r="AA1416" i="1"/>
  <c r="Y1414" i="4" s="1"/>
  <c r="X1424" i="1"/>
  <c r="V1422" i="4" s="1"/>
  <c r="Y1431" i="1"/>
  <c r="Z1467" i="1"/>
  <c r="X1492" i="1"/>
  <c r="Y1500" i="1"/>
  <c r="X1506" i="1"/>
  <c r="AA1514" i="1"/>
  <c r="X1522" i="1"/>
  <c r="Z1538" i="1"/>
  <c r="Z1560" i="1"/>
  <c r="AA1567" i="1"/>
  <c r="X1572" i="1"/>
  <c r="Z1574" i="1"/>
  <c r="Y1579" i="1"/>
  <c r="AA1583" i="1"/>
  <c r="Y1586" i="1"/>
  <c r="Y1595" i="1"/>
  <c r="X1598" i="1"/>
  <c r="Y1602" i="1"/>
  <c r="X1607" i="1"/>
  <c r="AA1621" i="1"/>
  <c r="Z1625" i="1"/>
  <c r="Y1630" i="1"/>
  <c r="Z1633" i="1"/>
  <c r="Y1637" i="1"/>
  <c r="X1642" i="1"/>
  <c r="X1645" i="1"/>
  <c r="X1649" i="1"/>
  <c r="X1661" i="1"/>
  <c r="X1673" i="1"/>
  <c r="X1685" i="1"/>
  <c r="AA1689" i="1"/>
  <c r="AA1692" i="1"/>
  <c r="Y1701" i="1"/>
  <c r="Z1704" i="1"/>
  <c r="Y1716" i="1"/>
  <c r="AA1723" i="1"/>
  <c r="Z1730" i="1"/>
  <c r="Y1735" i="1"/>
  <c r="Y1739" i="1"/>
  <c r="X1742" i="1"/>
  <c r="Y1746" i="1"/>
  <c r="AA1753" i="1"/>
  <c r="Y1762" i="1"/>
  <c r="Z1765" i="1"/>
  <c r="Z1769" i="1"/>
  <c r="X1774" i="1"/>
  <c r="X1777" i="1"/>
  <c r="Y1781" i="1"/>
  <c r="X1793" i="1"/>
  <c r="AA1797" i="1"/>
  <c r="AA1800" i="1"/>
  <c r="X1026" i="1"/>
  <c r="V1024" i="4" s="1"/>
  <c r="Y1037" i="1"/>
  <c r="W1035" i="4" s="1"/>
  <c r="AA1071" i="1"/>
  <c r="Y1069" i="4" s="1"/>
  <c r="Z1173" i="1"/>
  <c r="X1171" i="4" s="1"/>
  <c r="Z1214" i="1"/>
  <c r="X1212" i="4" s="1"/>
  <c r="X1265" i="1"/>
  <c r="V1263" i="4" s="1"/>
  <c r="X1334" i="1"/>
  <c r="V1332" i="4" s="1"/>
  <c r="AA1354" i="1"/>
  <c r="Y1352" i="4" s="1"/>
  <c r="AA1371" i="1"/>
  <c r="Y1369" i="4" s="1"/>
  <c r="AA1379" i="1"/>
  <c r="Y1377" i="4" s="1"/>
  <c r="Z1394" i="1"/>
  <c r="X1392" i="4" s="1"/>
  <c r="AA1408" i="1"/>
  <c r="Y1406" i="4" s="1"/>
  <c r="Z1478" i="1"/>
  <c r="Z1500" i="1"/>
  <c r="Z1506" i="1"/>
  <c r="AA1560" i="1"/>
  <c r="X1563" i="1"/>
  <c r="Y1572" i="1"/>
  <c r="AA1574" i="1"/>
  <c r="Z1579" i="1"/>
  <c r="Z1586" i="1"/>
  <c r="Y1591" i="1"/>
  <c r="AA1595" i="1"/>
  <c r="Y1598" i="1"/>
  <c r="Y1607" i="1"/>
  <c r="X1610" i="1"/>
  <c r="Y1614" i="1"/>
  <c r="X1619" i="1"/>
  <c r="AA1633" i="1"/>
  <c r="Z1637" i="1"/>
  <c r="Y1642" i="1"/>
  <c r="Z1645" i="1"/>
  <c r="Y1649" i="1"/>
  <c r="X1654" i="1"/>
  <c r="X1657" i="1"/>
  <c r="Y1661" i="1"/>
  <c r="X1666" i="1"/>
  <c r="X1669" i="1"/>
  <c r="Y1673" i="1"/>
  <c r="X1678" i="1"/>
  <c r="X1681" i="1"/>
  <c r="Y1685" i="1"/>
  <c r="X1697" i="1"/>
  <c r="AA1701" i="1"/>
  <c r="AA1704" i="1"/>
  <c r="Y1713" i="1"/>
  <c r="Z1716" i="1"/>
  <c r="X1719" i="1"/>
  <c r="X1728" i="1"/>
  <c r="AA1730" i="1"/>
  <c r="Z1735" i="1"/>
  <c r="AA1739" i="1"/>
  <c r="Y1742" i="1"/>
  <c r="X1751" i="1"/>
  <c r="Y1758" i="1"/>
  <c r="AA1765" i="1"/>
  <c r="Y1774" i="1"/>
  <c r="Z1777" i="1"/>
  <c r="Z1781" i="1"/>
  <c r="X1786" i="1"/>
  <c r="X1789" i="1"/>
  <c r="Y1793" i="1"/>
  <c r="X1805" i="1"/>
  <c r="X1205" i="1"/>
  <c r="V1203" i="4" s="1"/>
  <c r="Y1265" i="1"/>
  <c r="W1263" i="4" s="1"/>
  <c r="Z1324" i="1"/>
  <c r="X1322" i="4" s="1"/>
  <c r="AA1394" i="1"/>
  <c r="Y1392" i="4" s="1"/>
  <c r="X1402" i="1"/>
  <c r="V1400" i="4" s="1"/>
  <c r="AA1432" i="1"/>
  <c r="AA1440" i="1"/>
  <c r="X1455" i="1"/>
  <c r="AA1462" i="1"/>
  <c r="AA1478" i="1"/>
  <c r="X1486" i="1"/>
  <c r="Z1493" i="1"/>
  <c r="Z1546" i="1"/>
  <c r="Z1572" i="1"/>
  <c r="AA1579" i="1"/>
  <c r="X1584" i="1"/>
  <c r="AA1586" i="1"/>
  <c r="Z1591" i="1"/>
  <c r="Z1598" i="1"/>
  <c r="Y1603" i="1"/>
  <c r="AA1607" i="1"/>
  <c r="Y1610" i="1"/>
  <c r="Y1619" i="1"/>
  <c r="X1622" i="1"/>
  <c r="Y1626" i="1"/>
  <c r="X1631" i="1"/>
  <c r="AA1645" i="1"/>
  <c r="Z1649" i="1"/>
  <c r="Y1654" i="1"/>
  <c r="Z1657" i="1"/>
  <c r="Z1661" i="1"/>
  <c r="Y1666" i="1"/>
  <c r="Z1669" i="1"/>
  <c r="Z1673" i="1"/>
  <c r="Y1678" i="1"/>
  <c r="Z1681" i="1"/>
  <c r="Z1685" i="1"/>
  <c r="X1690" i="1"/>
  <c r="X1693" i="1"/>
  <c r="Y1697" i="1"/>
  <c r="X1709" i="1"/>
  <c r="AA1713" i="1"/>
  <c r="AA1716" i="1"/>
  <c r="Y1728" i="1"/>
  <c r="AA1735" i="1"/>
  <c r="Z1742" i="1"/>
  <c r="Y1747" i="1"/>
  <c r="Y1751" i="1"/>
  <c r="X1754" i="1"/>
  <c r="X1763" i="1"/>
  <c r="Y1770" i="1"/>
  <c r="AA1777" i="1"/>
  <c r="Y1786" i="1"/>
  <c r="Z1789" i="1"/>
  <c r="Z1793" i="1"/>
  <c r="X1798" i="1"/>
  <c r="X1801" i="1"/>
  <c r="Y1805" i="1"/>
  <c r="Z810" i="1"/>
  <c r="X808" i="4" s="1"/>
  <c r="X938" i="1"/>
  <c r="V936" i="4" s="1"/>
  <c r="Z948" i="1"/>
  <c r="X946" i="4" s="1"/>
  <c r="X982" i="1"/>
  <c r="V980" i="4" s="1"/>
  <c r="AA1063" i="1"/>
  <c r="Y1061" i="4" s="1"/>
  <c r="AA1132" i="1"/>
  <c r="Y1130" i="4" s="1"/>
  <c r="Z1226" i="1"/>
  <c r="X1224" i="4" s="1"/>
  <c r="Y1247" i="1"/>
  <c r="W1245" i="4" s="1"/>
  <c r="X1277" i="1"/>
  <c r="V1275" i="4" s="1"/>
  <c r="AA1286" i="1"/>
  <c r="Y1284" i="4" s="1"/>
  <c r="AA1295" i="1"/>
  <c r="Y1293" i="4" s="1"/>
  <c r="Y1373" i="1"/>
  <c r="W1371" i="4" s="1"/>
  <c r="AA1433" i="1"/>
  <c r="X1456" i="1"/>
  <c r="Z1502" i="1"/>
  <c r="Y1533" i="1"/>
  <c r="X1541" i="1"/>
  <c r="Y1561" i="1"/>
  <c r="X1565" i="1"/>
  <c r="Z1584" i="1"/>
  <c r="X1587" i="1"/>
  <c r="Y1596" i="1"/>
  <c r="AA1603" i="1"/>
  <c r="X1608" i="1"/>
  <c r="AA1610" i="1"/>
  <c r="Z1615" i="1"/>
  <c r="Z1622" i="1"/>
  <c r="Y1627" i="1"/>
  <c r="AA1631" i="1"/>
  <c r="Y1634" i="1"/>
  <c r="Y1643" i="1"/>
  <c r="X1646" i="1"/>
  <c r="Y1650" i="1"/>
  <c r="X1655" i="1"/>
  <c r="Y1662" i="1"/>
  <c r="X1667" i="1"/>
  <c r="Y1674" i="1"/>
  <c r="X1679" i="1"/>
  <c r="Y1686" i="1"/>
  <c r="AA1693" i="1"/>
  <c r="Y1702" i="1"/>
  <c r="Z1705" i="1"/>
  <c r="Z1709" i="1"/>
  <c r="X1714" i="1"/>
  <c r="X1717" i="1"/>
  <c r="X1721" i="1"/>
  <c r="AA1725" i="1"/>
  <c r="AA1728" i="1"/>
  <c r="Y1740" i="1"/>
  <c r="AA1747" i="1"/>
  <c r="AA1754" i="1"/>
  <c r="Z1759" i="1"/>
  <c r="AA1763" i="1"/>
  <c r="Z1766" i="1"/>
  <c r="Y1771" i="1"/>
  <c r="Y1775" i="1"/>
  <c r="X1778" i="1"/>
  <c r="X1787" i="1"/>
  <c r="Y1794" i="1"/>
  <c r="AA1801" i="1"/>
  <c r="AA741" i="1"/>
  <c r="Y739" i="4" s="1"/>
  <c r="X1167" i="1"/>
  <c r="V1165" i="4" s="1"/>
  <c r="AA1259" i="1"/>
  <c r="Y1257" i="4" s="1"/>
  <c r="X1397" i="1"/>
  <c r="V1395" i="4" s="1"/>
  <c r="AA1442" i="1"/>
  <c r="X1450" i="1"/>
  <c r="Z1464" i="1"/>
  <c r="X1481" i="1"/>
  <c r="X1496" i="1"/>
  <c r="Z1503" i="1"/>
  <c r="Z1517" i="1"/>
  <c r="AA1526" i="1"/>
  <c r="AA1561" i="1"/>
  <c r="Z1565" i="1"/>
  <c r="Y1570" i="1"/>
  <c r="Y1573" i="1"/>
  <c r="X1577" i="1"/>
  <c r="AA1593" i="1"/>
  <c r="AA1596" i="1"/>
  <c r="Z1608" i="1"/>
  <c r="X1611" i="1"/>
  <c r="Y1620" i="1"/>
  <c r="AA1627" i="1"/>
  <c r="X1632" i="1"/>
  <c r="AA1634" i="1"/>
  <c r="Z1639" i="1"/>
  <c r="Z1646" i="1"/>
  <c r="Y1651" i="1"/>
  <c r="AA1655" i="1"/>
  <c r="Z1658" i="1"/>
  <c r="Y1663" i="1"/>
  <c r="AA1667" i="1"/>
  <c r="Z1670" i="1"/>
  <c r="Y1675" i="1"/>
  <c r="AA1679" i="1"/>
  <c r="Z1682" i="1"/>
  <c r="Y1687" i="1"/>
  <c r="Y1691" i="1"/>
  <c r="X1694" i="1"/>
  <c r="X1703" i="1"/>
  <c r="Y1710" i="1"/>
  <c r="AA1717" i="1"/>
  <c r="Z1721" i="1"/>
  <c r="X1726" i="1"/>
  <c r="X1729" i="1"/>
  <c r="X1733" i="1"/>
  <c r="AA1737" i="1"/>
  <c r="AA1740" i="1"/>
  <c r="Y1752" i="1"/>
  <c r="X1755" i="1"/>
  <c r="X1764" i="1"/>
  <c r="AA1771" i="1"/>
  <c r="AA1778" i="1"/>
  <c r="Z1783" i="1"/>
  <c r="AA1787" i="1"/>
  <c r="Z1790" i="1"/>
  <c r="Y1795" i="1"/>
  <c r="Y1799" i="1"/>
  <c r="X1802" i="1"/>
  <c r="X1219" i="1"/>
  <c r="V1217" i="4" s="1"/>
  <c r="Y1239" i="1"/>
  <c r="W1237" i="4" s="1"/>
  <c r="AA1308" i="1"/>
  <c r="Y1306" i="4" s="1"/>
  <c r="AA1318" i="1"/>
  <c r="Y1316" i="4" s="1"/>
  <c r="Z1359" i="1"/>
  <c r="X1357" i="4" s="1"/>
  <c r="Z1368" i="1"/>
  <c r="X1366" i="4" s="1"/>
  <c r="X1383" i="1"/>
  <c r="V1381" i="4" s="1"/>
  <c r="AA1390" i="1"/>
  <c r="Y1388" i="4" s="1"/>
  <c r="Y1397" i="1"/>
  <c r="W1395" i="4" s="1"/>
  <c r="Y1413" i="1"/>
  <c r="W1411" i="4" s="1"/>
  <c r="Y1450" i="1"/>
  <c r="AA1457" i="1"/>
  <c r="Y1481" i="1"/>
  <c r="X1489" i="1"/>
  <c r="AA1503" i="1"/>
  <c r="Z1573" i="1"/>
  <c r="Y1577" i="1"/>
  <c r="X1582" i="1"/>
  <c r="X1585" i="1"/>
  <c r="X1589" i="1"/>
  <c r="AA1605" i="1"/>
  <c r="AA1608" i="1"/>
  <c r="Z1620" i="1"/>
  <c r="X1623" i="1"/>
  <c r="Y1632" i="1"/>
  <c r="AA1639" i="1"/>
  <c r="X1644" i="1"/>
  <c r="AA1646" i="1"/>
  <c r="Z1651" i="1"/>
  <c r="AA1658" i="1"/>
  <c r="Z1663" i="1"/>
  <c r="AA1670" i="1"/>
  <c r="Z1675" i="1"/>
  <c r="AA1682" i="1"/>
  <c r="Z1687" i="1"/>
  <c r="AA1691" i="1"/>
  <c r="Z1694" i="1"/>
  <c r="Y1699" i="1"/>
  <c r="Y1703" i="1"/>
  <c r="X1706" i="1"/>
  <c r="X1715" i="1"/>
  <c r="Y1726" i="1"/>
  <c r="Z1729" i="1"/>
  <c r="Y1733" i="1"/>
  <c r="Y1749" i="1"/>
  <c r="Z1752" i="1"/>
  <c r="Y1764" i="1"/>
  <c r="X1767" i="1"/>
  <c r="X1776" i="1"/>
  <c r="AA1783" i="1"/>
  <c r="AA1790" i="1"/>
  <c r="Z1795" i="1"/>
  <c r="AA1799" i="1"/>
  <c r="Z1802" i="1"/>
  <c r="Y1807" i="1"/>
  <c r="Y1205" i="1"/>
  <c r="W1203" i="4" s="1"/>
  <c r="Y1517" i="1"/>
  <c r="Y1571" i="1"/>
  <c r="Z1585" i="1"/>
  <c r="AA1598" i="1"/>
  <c r="X1613" i="1"/>
  <c r="X1620" i="1"/>
  <c r="Z1634" i="1"/>
  <c r="X1671" i="1"/>
  <c r="X1680" i="1"/>
  <c r="AA1687" i="1"/>
  <c r="AA1694" i="1"/>
  <c r="Y1715" i="1"/>
  <c r="AA1729" i="1"/>
  <c r="X1757" i="1"/>
  <c r="Z1771" i="1"/>
  <c r="X1800" i="1"/>
  <c r="Z1807" i="1"/>
  <c r="AA1811" i="1"/>
  <c r="Z1814" i="1"/>
  <c r="Y1819" i="1"/>
  <c r="Y948" i="1"/>
  <c r="W946" i="4" s="1"/>
  <c r="Y1365" i="1"/>
  <c r="W1363" i="4" s="1"/>
  <c r="X1406" i="1"/>
  <c r="V1404" i="4" s="1"/>
  <c r="Y1426" i="1"/>
  <c r="W1424" i="4" s="1"/>
  <c r="Z1456" i="1"/>
  <c r="Y1466" i="1"/>
  <c r="AA1498" i="1"/>
  <c r="Y1509" i="1"/>
  <c r="Y1565" i="1"/>
  <c r="AA1585" i="1"/>
  <c r="X1606" i="1"/>
  <c r="AA1620" i="1"/>
  <c r="X1643" i="1"/>
  <c r="AA1657" i="1"/>
  <c r="Y1680" i="1"/>
  <c r="X1702" i="1"/>
  <c r="AA1715" i="1"/>
  <c r="Y1722" i="1"/>
  <c r="X1738" i="1"/>
  <c r="X1743" i="1"/>
  <c r="Z1764" i="1"/>
  <c r="Z1778" i="1"/>
  <c r="AA1807" i="1"/>
  <c r="AA1814" i="1"/>
  <c r="Z1819" i="1"/>
  <c r="Z972" i="1"/>
  <c r="X970" i="4" s="1"/>
  <c r="X1376" i="1"/>
  <c r="V1374" i="4" s="1"/>
  <c r="AA1418" i="1"/>
  <c r="Y1416" i="4" s="1"/>
  <c r="AA1572" i="1"/>
  <c r="X1594" i="1"/>
  <c r="X1599" i="1"/>
  <c r="AA1629" i="1"/>
  <c r="X1635" i="1"/>
  <c r="AA1643" i="1"/>
  <c r="Y1709" i="1"/>
  <c r="Y1738" i="1"/>
  <c r="AA1751" i="1"/>
  <c r="AA1764" i="1"/>
  <c r="Y1787" i="1"/>
  <c r="Z1801" i="1"/>
  <c r="X1812" i="1"/>
  <c r="AA1819" i="1"/>
  <c r="X856" i="1"/>
  <c r="V854" i="4" s="1"/>
  <c r="Z879" i="1"/>
  <c r="X877" i="4" s="1"/>
  <c r="Y1277" i="1"/>
  <c r="W1275" i="4" s="1"/>
  <c r="AA1427" i="1"/>
  <c r="Y1425" i="4" s="1"/>
  <c r="Y1437" i="1"/>
  <c r="AA1489" i="1"/>
  <c r="Y1541" i="1"/>
  <c r="Z1550" i="1"/>
  <c r="Y1566" i="1"/>
  <c r="Y1594" i="1"/>
  <c r="Y1615" i="1"/>
  <c r="AA1651" i="1"/>
  <c r="X1658" i="1"/>
  <c r="Y1667" i="1"/>
  <c r="AA1681" i="1"/>
  <c r="AA1703" i="1"/>
  <c r="X1731" i="1"/>
  <c r="Y1759" i="1"/>
  <c r="Y1773" i="1"/>
  <c r="X1779" i="1"/>
  <c r="Y1812" i="1"/>
  <c r="X1815" i="1"/>
  <c r="Y1186" i="1"/>
  <c r="W1184" i="4" s="1"/>
  <c r="X1289" i="1"/>
  <c r="V1287" i="4" s="1"/>
  <c r="AA1419" i="1"/>
  <c r="Y1417" i="4" s="1"/>
  <c r="X1448" i="1"/>
  <c r="Y1511" i="1"/>
  <c r="AA1550" i="1"/>
  <c r="X1573" i="1"/>
  <c r="AA1581" i="1"/>
  <c r="Y1608" i="1"/>
  <c r="AA1615" i="1"/>
  <c r="Y1622" i="1"/>
  <c r="Y1644" i="1"/>
  <c r="Y1690" i="1"/>
  <c r="Z1697" i="1"/>
  <c r="Z1717" i="1"/>
  <c r="X1745" i="1"/>
  <c r="X1752" i="1"/>
  <c r="AA1759" i="1"/>
  <c r="X1788" i="1"/>
  <c r="AA1795" i="1"/>
  <c r="AA1802" i="1"/>
  <c r="Y1809" i="1"/>
  <c r="Z1812" i="1"/>
  <c r="X1348" i="1"/>
  <c r="V1346" i="4" s="1"/>
  <c r="AA1359" i="1"/>
  <c r="Y1357" i="4" s="1"/>
  <c r="Y1389" i="1"/>
  <c r="W1387" i="4" s="1"/>
  <c r="X1543" i="1"/>
  <c r="Z1561" i="1"/>
  <c r="Y1582" i="1"/>
  <c r="Y1589" i="1"/>
  <c r="X1596" i="1"/>
  <c r="Y1601" i="1"/>
  <c r="X1609" i="1"/>
  <c r="Y1638" i="1"/>
  <c r="Y1668" i="1"/>
  <c r="X1691" i="1"/>
  <c r="Y1698" i="1"/>
  <c r="X1705" i="1"/>
  <c r="Z1711" i="1"/>
  <c r="X1718" i="1"/>
  <c r="Z1733" i="1"/>
  <c r="Z1740" i="1"/>
  <c r="AA1766" i="1"/>
  <c r="X1775" i="1"/>
  <c r="X1817" i="1"/>
  <c r="Y1179" i="1"/>
  <c r="W1177" i="4" s="1"/>
  <c r="Y1421" i="1"/>
  <c r="W1419" i="4" s="1"/>
  <c r="X1430" i="1"/>
  <c r="V1428" i="4" s="1"/>
  <c r="AA1569" i="1"/>
  <c r="Z1589" i="1"/>
  <c r="Z1596" i="1"/>
  <c r="AA1617" i="1"/>
  <c r="Z1632" i="1"/>
  <c r="X1683" i="1"/>
  <c r="AA1705" i="1"/>
  <c r="Y1718" i="1"/>
  <c r="Y1761" i="1"/>
  <c r="AA1775" i="1"/>
  <c r="Y1782" i="1"/>
  <c r="AA1789" i="1"/>
  <c r="X1810" i="1"/>
  <c r="X1813" i="1"/>
  <c r="Y1817" i="1"/>
  <c r="AA1179" i="1"/>
  <c r="Y1177" i="4" s="1"/>
  <c r="AA1271" i="1"/>
  <c r="Y1269" i="4" s="1"/>
  <c r="Y1402" i="1"/>
  <c r="W1400" i="4" s="1"/>
  <c r="X1562" i="1"/>
  <c r="X1575" i="1"/>
  <c r="Z1610" i="1"/>
  <c r="AA1632" i="1"/>
  <c r="Y1639" i="1"/>
  <c r="Y1646" i="1"/>
  <c r="Y1655" i="1"/>
  <c r="AA1669" i="1"/>
  <c r="X1692" i="1"/>
  <c r="Z1699" i="1"/>
  <c r="X1727" i="1"/>
  <c r="X1741" i="1"/>
  <c r="Z1747" i="1"/>
  <c r="Z1754" i="1"/>
  <c r="AA1761" i="1"/>
  <c r="Y1798" i="1"/>
  <c r="Z1805" i="1"/>
  <c r="Y1810" i="1"/>
  <c r="Z1813" i="1"/>
  <c r="Z1817" i="1"/>
  <c r="AA1817" i="1"/>
  <c r="X1790" i="1"/>
  <c r="X1771" i="1"/>
  <c r="Z1741" i="1"/>
  <c r="X1663" i="1"/>
  <c r="AA1613" i="1"/>
  <c r="AA1573" i="1"/>
  <c r="AA1555" i="1"/>
  <c r="Z1442" i="1"/>
  <c r="Y1383" i="1"/>
  <c r="W1381" i="4" s="1"/>
  <c r="Y1714" i="1"/>
  <c r="Y1434" i="1"/>
  <c r="AA1809" i="1"/>
  <c r="X1799" i="1"/>
  <c r="AA1749" i="1"/>
  <c r="Y1721" i="1"/>
  <c r="Y1711" i="1"/>
  <c r="Y1671" i="1"/>
  <c r="AA1622" i="1"/>
  <c r="X1601" i="1"/>
  <c r="Y1486" i="1"/>
  <c r="Y1475" i="1"/>
  <c r="Y1464" i="1"/>
  <c r="Y1811" i="1"/>
  <c r="Y1818" i="1"/>
  <c r="Z1603" i="1"/>
  <c r="Y1556" i="1"/>
  <c r="Y1444" i="1"/>
  <c r="Z504" i="1"/>
  <c r="X502" i="4" s="1"/>
  <c r="AA1769" i="1"/>
  <c r="X1740" i="1"/>
  <c r="AA1721" i="1"/>
  <c r="X1670" i="1"/>
  <c r="Y1631" i="1"/>
  <c r="Y1611" i="1"/>
  <c r="AA1591" i="1"/>
  <c r="Y1562" i="1"/>
  <c r="X1475" i="1"/>
  <c r="X1382" i="1"/>
  <c r="V1380" i="4" s="1"/>
  <c r="Y1289" i="1"/>
  <c r="W1287" i="4" s="1"/>
  <c r="X1064" i="1"/>
  <c r="V1062" i="4" s="1"/>
  <c r="Y1679" i="1"/>
  <c r="Y1814" i="1"/>
  <c r="AA1757" i="1"/>
  <c r="Z1728" i="1"/>
  <c r="AA1699" i="1"/>
  <c r="Z1679" i="1"/>
  <c r="X1659" i="1"/>
  <c r="X1640" i="1"/>
  <c r="Y1609" i="1"/>
  <c r="X1561" i="1"/>
  <c r="X1415" i="1"/>
  <c r="V1413" i="4" s="1"/>
  <c r="Y1788" i="1"/>
  <c r="Y1729" i="1"/>
  <c r="Y1158" i="1"/>
  <c r="W1156" i="4" s="1"/>
  <c r="M599" i="1"/>
  <c r="M597" i="4" s="1"/>
  <c r="AA1813" i="1"/>
  <c r="Y1806" i="1"/>
  <c r="X1796" i="1"/>
  <c r="Z1776" i="1"/>
  <c r="X1766" i="1"/>
  <c r="X1668" i="1"/>
  <c r="AA1619" i="1"/>
  <c r="X1570" i="1"/>
  <c r="AA1368" i="1"/>
  <c r="Y1366" i="4" s="1"/>
  <c r="Y1776" i="1"/>
  <c r="Y1755" i="1"/>
  <c r="Y1745" i="1"/>
  <c r="Y1737" i="1"/>
  <c r="X1687" i="1"/>
  <c r="Z1597" i="1"/>
  <c r="X1516" i="1"/>
  <c r="X1226" i="1"/>
  <c r="V1224" i="4" s="1"/>
  <c r="AA1812" i="1"/>
  <c r="X1785" i="1"/>
  <c r="AA1706" i="1"/>
  <c r="X1686" i="1"/>
  <c r="X1647" i="1"/>
  <c r="Z1627" i="1"/>
  <c r="X1597" i="1"/>
  <c r="Z1577" i="1"/>
  <c r="Z1526" i="1"/>
  <c r="Y1142" i="1"/>
  <c r="W1140" i="4" s="1"/>
  <c r="X1784" i="1"/>
  <c r="X1736" i="1"/>
  <c r="Y1725" i="1"/>
  <c r="Z1706" i="1"/>
  <c r="AA1675" i="1"/>
  <c r="Y1656" i="1"/>
  <c r="Y1647" i="1"/>
  <c r="X1627" i="1"/>
  <c r="AA1577" i="1"/>
  <c r="Z1536" i="1"/>
  <c r="X1768" i="1"/>
  <c r="X1662" i="1"/>
  <c r="AA1625" i="1"/>
  <c r="Z1618" i="1"/>
  <c r="Z1525" i="1"/>
  <c r="X1452" i="1"/>
  <c r="X1391" i="1"/>
  <c r="V1389" i="4" s="1"/>
  <c r="X1734" i="1"/>
  <c r="Z1727" i="1"/>
  <c r="Z1655" i="1"/>
  <c r="X1624" i="1"/>
  <c r="Z1583" i="1"/>
  <c r="Y1813" i="1"/>
  <c r="Z1810" i="1"/>
  <c r="Y1753" i="1"/>
  <c r="Z1726" i="1"/>
  <c r="Y1683" i="1"/>
  <c r="X1676" i="1"/>
  <c r="X1816" i="1"/>
  <c r="X1780" i="1"/>
  <c r="X1675" i="1"/>
  <c r="Y1659" i="1"/>
  <c r="X1652" i="1"/>
  <c r="X1588" i="1"/>
  <c r="X1567" i="1"/>
  <c r="Y1802" i="1"/>
  <c r="X1795" i="1"/>
  <c r="Y1717" i="1"/>
  <c r="X1710" i="1"/>
  <c r="X1674" i="1"/>
  <c r="X1636" i="1"/>
  <c r="Y1587" i="1"/>
  <c r="AA1520" i="1"/>
  <c r="X1367" i="1"/>
  <c r="V1365" i="4" s="1"/>
  <c r="Y1815" i="1"/>
  <c r="X1794" i="1"/>
  <c r="X1773" i="1"/>
  <c r="X1723" i="1"/>
  <c r="Z1703" i="1"/>
  <c r="Z1667" i="1"/>
  <c r="X1651" i="1"/>
  <c r="Y1621" i="1"/>
  <c r="X1580" i="1"/>
  <c r="Z1559" i="1"/>
  <c r="Z1787" i="1"/>
  <c r="Y1695" i="1"/>
  <c r="X1688" i="1"/>
  <c r="X1650" i="1"/>
  <c r="X1629" i="1"/>
  <c r="X1488" i="1"/>
  <c r="Y1778" i="1"/>
  <c r="Z1750" i="1"/>
  <c r="Z1606" i="1"/>
  <c r="X1593" i="1"/>
  <c r="X1578" i="1"/>
  <c r="AA1565" i="1"/>
  <c r="X1548" i="1"/>
  <c r="Y1528" i="1"/>
  <c r="Y1779" i="1"/>
  <c r="X1772" i="1"/>
  <c r="X1761" i="1"/>
  <c r="X1756" i="1"/>
  <c r="AA1745" i="1"/>
  <c r="Y1741" i="1"/>
  <c r="Z1738" i="1"/>
  <c r="X1722" i="1"/>
  <c r="X1711" i="1"/>
  <c r="Y1635" i="1"/>
  <c r="X1628" i="1"/>
  <c r="X1617" i="1"/>
  <c r="X1612" i="1"/>
  <c r="AA1601" i="1"/>
  <c r="Y1597" i="1"/>
  <c r="Z1594" i="1"/>
  <c r="Z1571" i="1"/>
  <c r="X1566" i="1"/>
  <c r="Y1558" i="1"/>
  <c r="AA1376" i="1"/>
  <c r="Y1374" i="4" s="1"/>
  <c r="X1807" i="1"/>
  <c r="Y1767" i="1"/>
  <c r="X1760" i="1"/>
  <c r="X1749" i="1"/>
  <c r="X1744" i="1"/>
  <c r="Z1715" i="1"/>
  <c r="Y1706" i="1"/>
  <c r="X1699" i="1"/>
  <c r="Y1623" i="1"/>
  <c r="X1616" i="1"/>
  <c r="X1605" i="1"/>
  <c r="X1600" i="1"/>
  <c r="AA1589" i="1"/>
  <c r="Y1585" i="1"/>
  <c r="Z1582" i="1"/>
  <c r="X1557" i="1"/>
  <c r="X1549" i="1"/>
  <c r="X1428" i="1"/>
  <c r="V1426" i="4" s="1"/>
  <c r="Y1420" i="1"/>
  <c r="W1418" i="4" s="1"/>
  <c r="X1413" i="1"/>
  <c r="V1411" i="4" s="1"/>
  <c r="AA1328" i="1"/>
  <c r="Y1326" i="4" s="1"/>
  <c r="X1806" i="1"/>
  <c r="Z1799" i="1"/>
  <c r="Y1790" i="1"/>
  <c r="X1783" i="1"/>
  <c r="Y1743" i="1"/>
  <c r="X1737" i="1"/>
  <c r="X1732" i="1"/>
  <c r="X1698" i="1"/>
  <c r="Z1691" i="1"/>
  <c r="Y1682" i="1"/>
  <c r="Y1670" i="1"/>
  <c r="Y1658" i="1"/>
  <c r="X1639" i="1"/>
  <c r="Y1599" i="1"/>
  <c r="X1592" i="1"/>
  <c r="X1581" i="1"/>
  <c r="X1576" i="1"/>
  <c r="Z1570" i="1"/>
  <c r="Y1480" i="1"/>
  <c r="Y1396" i="1"/>
  <c r="W1394" i="4" s="1"/>
  <c r="X1782" i="1"/>
  <c r="Z1775" i="1"/>
  <c r="Y1766" i="1"/>
  <c r="X1759" i="1"/>
  <c r="Y1731" i="1"/>
  <c r="X1725" i="1"/>
  <c r="X1720" i="1"/>
  <c r="Y1705" i="1"/>
  <c r="Z1702" i="1"/>
  <c r="Z1643" i="1"/>
  <c r="X1638" i="1"/>
  <c r="X1615" i="1"/>
  <c r="Y1575" i="1"/>
  <c r="X1569" i="1"/>
  <c r="X1564" i="1"/>
  <c r="AA1554" i="1"/>
  <c r="Y1540" i="1"/>
  <c r="X1380" i="1"/>
  <c r="V1378" i="4" s="1"/>
  <c r="Y1372" i="1"/>
  <c r="W1370" i="4" s="1"/>
  <c r="X1365" i="1"/>
  <c r="V1363" i="4" s="1"/>
  <c r="Y1801" i="1"/>
  <c r="Z1798" i="1"/>
  <c r="X1770" i="1"/>
  <c r="Z1763" i="1"/>
  <c r="Y1754" i="1"/>
  <c r="X1747" i="1"/>
  <c r="X1724" i="1"/>
  <c r="AA1709" i="1"/>
  <c r="Y1693" i="1"/>
  <c r="Z1690" i="1"/>
  <c r="Z1631" i="1"/>
  <c r="X1626" i="1"/>
  <c r="X1603" i="1"/>
  <c r="X1568" i="1"/>
  <c r="Y1531" i="1"/>
  <c r="Y1386" i="1"/>
  <c r="W1384" i="4" s="1"/>
  <c r="AA1805" i="1"/>
  <c r="Y1789" i="1"/>
  <c r="Z1786" i="1"/>
  <c r="X1758" i="1"/>
  <c r="Z1751" i="1"/>
  <c r="Y1719" i="1"/>
  <c r="X1713" i="1"/>
  <c r="X1708" i="1"/>
  <c r="AA1697" i="1"/>
  <c r="Y1681" i="1"/>
  <c r="Z1678" i="1"/>
  <c r="Y1669" i="1"/>
  <c r="Z1666" i="1"/>
  <c r="Y1657" i="1"/>
  <c r="Z1654" i="1"/>
  <c r="Z1619" i="1"/>
  <c r="X1614" i="1"/>
  <c r="X1591" i="1"/>
  <c r="Y1563" i="1"/>
  <c r="Y1552" i="1"/>
  <c r="X1461" i="1"/>
  <c r="X1439" i="1"/>
  <c r="X1173" i="1"/>
  <c r="V1171" i="4" s="1"/>
  <c r="Y900" i="1"/>
  <c r="W898" i="4" s="1"/>
  <c r="X1809" i="1"/>
  <c r="X1804" i="1"/>
  <c r="AA1793" i="1"/>
  <c r="Y1777" i="1"/>
  <c r="Z1774" i="1"/>
  <c r="X1746" i="1"/>
  <c r="X1735" i="1"/>
  <c r="X1712" i="1"/>
  <c r="X1701" i="1"/>
  <c r="X1696" i="1"/>
  <c r="AA1685" i="1"/>
  <c r="AA1673" i="1"/>
  <c r="AA1661" i="1"/>
  <c r="AA1649" i="1"/>
  <c r="Y1645" i="1"/>
  <c r="Z1642" i="1"/>
  <c r="Z1607" i="1"/>
  <c r="X1602" i="1"/>
  <c r="X1579" i="1"/>
  <c r="Y1522" i="1"/>
  <c r="Y1492" i="1"/>
  <c r="AA1424" i="1"/>
  <c r="Y1422" i="4" s="1"/>
  <c r="X1233" i="1"/>
  <c r="V1231" i="4" s="1"/>
  <c r="Z1150" i="1"/>
  <c r="X1148" i="4" s="1"/>
  <c r="X1808" i="1"/>
  <c r="X1797" i="1"/>
  <c r="X1792" i="1"/>
  <c r="AA1781" i="1"/>
  <c r="Y1765" i="1"/>
  <c r="Z1762" i="1"/>
  <c r="Z1739" i="1"/>
  <c r="Y1707" i="1"/>
  <c r="X1700" i="1"/>
  <c r="X1689" i="1"/>
  <c r="X1684" i="1"/>
  <c r="X1677" i="1"/>
  <c r="X1672" i="1"/>
  <c r="X1665" i="1"/>
  <c r="X1660" i="1"/>
  <c r="X1653" i="1"/>
  <c r="X1648" i="1"/>
  <c r="AA1637" i="1"/>
  <c r="Y1633" i="1"/>
  <c r="Z1630" i="1"/>
  <c r="Z1595" i="1"/>
  <c r="X1590" i="1"/>
  <c r="Z1513" i="1"/>
  <c r="X1253" i="1"/>
  <c r="V1251" i="4" s="1"/>
  <c r="X1556" i="1"/>
  <c r="X1500" i="1"/>
  <c r="X1464" i="1"/>
  <c r="Y1456" i="1"/>
  <c r="X1423" i="1"/>
  <c r="V1421" i="4" s="1"/>
  <c r="X1375" i="1"/>
  <c r="V1373" i="4" s="1"/>
  <c r="X1239" i="1"/>
  <c r="V1237" i="4" s="1"/>
  <c r="Z1167" i="1"/>
  <c r="X1165" i="4" s="1"/>
  <c r="X1115" i="1"/>
  <c r="V1113" i="4" s="1"/>
  <c r="Y955" i="1"/>
  <c r="W953" i="4" s="1"/>
  <c r="X1544" i="1"/>
  <c r="AA1532" i="1"/>
  <c r="AA1460" i="1"/>
  <c r="X1427" i="1"/>
  <c r="V1425" i="4" s="1"/>
  <c r="Y1422" i="1"/>
  <c r="W1420" i="4" s="1"/>
  <c r="X1416" i="1"/>
  <c r="V1414" i="4" s="1"/>
  <c r="Y1408" i="1"/>
  <c r="W1406" i="4" s="1"/>
  <c r="X1379" i="1"/>
  <c r="V1377" i="4" s="1"/>
  <c r="Y1374" i="1"/>
  <c r="W1372" i="4" s="1"/>
  <c r="X1368" i="1"/>
  <c r="V1366" i="4" s="1"/>
  <c r="X1353" i="1"/>
  <c r="V1351" i="4" s="1"/>
  <c r="AA1347" i="1"/>
  <c r="Y1345" i="4" s="1"/>
  <c r="Y1288" i="1"/>
  <c r="W1286" i="4" s="1"/>
  <c r="Y1276" i="1"/>
  <c r="W1274" i="4" s="1"/>
  <c r="Y1264" i="1"/>
  <c r="W1262" i="4" s="1"/>
  <c r="Y1218" i="1"/>
  <c r="W1216" i="4" s="1"/>
  <c r="Y1204" i="1"/>
  <c r="W1202" i="4" s="1"/>
  <c r="X1197" i="1"/>
  <c r="V1195" i="4" s="1"/>
  <c r="Z1184" i="1"/>
  <c r="X1182" i="4" s="1"/>
  <c r="Z1035" i="1"/>
  <c r="X1033" i="4" s="1"/>
  <c r="X998" i="1"/>
  <c r="V996" i="4" s="1"/>
  <c r="AA988" i="1"/>
  <c r="Y986" i="4" s="1"/>
  <c r="Y919" i="1"/>
  <c r="W917" i="4" s="1"/>
  <c r="Z1537" i="1"/>
  <c r="X1449" i="1"/>
  <c r="AA1412" i="1"/>
  <c r="Y1410" i="4" s="1"/>
  <c r="X1401" i="1"/>
  <c r="V1399" i="4" s="1"/>
  <c r="AA1364" i="1"/>
  <c r="Y1362" i="4" s="1"/>
  <c r="X1339" i="1"/>
  <c r="V1337" i="4" s="1"/>
  <c r="X1332" i="1"/>
  <c r="V1330" i="4" s="1"/>
  <c r="X1307" i="1"/>
  <c r="V1305" i="4" s="1"/>
  <c r="AA1231" i="1"/>
  <c r="Y1229" i="4" s="1"/>
  <c r="X1224" i="1"/>
  <c r="V1222" i="4" s="1"/>
  <c r="Z1191" i="1"/>
  <c r="X1189" i="4" s="1"/>
  <c r="X907" i="1"/>
  <c r="V905" i="4" s="1"/>
  <c r="Y842" i="1"/>
  <c r="W840" i="4" s="1"/>
  <c r="X585" i="1"/>
  <c r="V583" i="4" s="1"/>
  <c r="Z1547" i="1"/>
  <c r="X1510" i="1"/>
  <c r="X1499" i="1"/>
  <c r="X1463" i="1"/>
  <c r="X1411" i="1"/>
  <c r="V1409" i="4" s="1"/>
  <c r="X1363" i="1"/>
  <c r="V1361" i="4" s="1"/>
  <c r="Y1338" i="1"/>
  <c r="W1336" i="4" s="1"/>
  <c r="Z1237" i="1"/>
  <c r="X1235" i="4" s="1"/>
  <c r="Y962" i="1"/>
  <c r="W960" i="4" s="1"/>
  <c r="X725" i="1"/>
  <c r="V723" i="4" s="1"/>
  <c r="AA1244" i="1"/>
  <c r="Y1242" i="4" s="1"/>
  <c r="X1164" i="1"/>
  <c r="V1162" i="4" s="1"/>
  <c r="X1077" i="1"/>
  <c r="V1075" i="4" s="1"/>
  <c r="Y926" i="1"/>
  <c r="W924" i="4" s="1"/>
  <c r="Y1543" i="1"/>
  <c r="Y1516" i="1"/>
  <c r="AA1484" i="1"/>
  <c r="AA1448" i="1"/>
  <c r="X1437" i="1"/>
  <c r="AA1400" i="1"/>
  <c r="Y1398" i="4" s="1"/>
  <c r="X1389" i="1"/>
  <c r="V1387" i="4" s="1"/>
  <c r="Y1324" i="1"/>
  <c r="W1322" i="4" s="1"/>
  <c r="X1243" i="1"/>
  <c r="V1241" i="4" s="1"/>
  <c r="Y1189" i="1"/>
  <c r="W1187" i="4" s="1"/>
  <c r="X1103" i="1"/>
  <c r="V1101" i="4" s="1"/>
  <c r="X1041" i="1"/>
  <c r="V1039" i="4" s="1"/>
  <c r="X1032" i="1"/>
  <c r="V1030" i="4" s="1"/>
  <c r="X915" i="1"/>
  <c r="V913" i="4" s="1"/>
  <c r="Z851" i="1"/>
  <c r="X849" i="4" s="1"/>
  <c r="X1553" i="1"/>
  <c r="X1536" i="1"/>
  <c r="Z1519" i="1"/>
  <c r="X1473" i="1"/>
  <c r="X1399" i="1"/>
  <c r="V1397" i="4" s="1"/>
  <c r="X1344" i="1"/>
  <c r="V1342" i="4" s="1"/>
  <c r="Y1336" i="1"/>
  <c r="W1334" i="4" s="1"/>
  <c r="AA1311" i="1"/>
  <c r="Y1309" i="4" s="1"/>
  <c r="AA1292" i="1"/>
  <c r="Y1290" i="4" s="1"/>
  <c r="AA1280" i="1"/>
  <c r="Y1278" i="4" s="1"/>
  <c r="AA1268" i="1"/>
  <c r="Y1266" i="4" s="1"/>
  <c r="AA1256" i="1"/>
  <c r="Y1254" i="4" s="1"/>
  <c r="Y1216" i="1"/>
  <c r="W1214" i="4" s="1"/>
  <c r="AA1102" i="1"/>
  <c r="Y1100" i="4" s="1"/>
  <c r="Y1050" i="1"/>
  <c r="W1048" i="4" s="1"/>
  <c r="AA1542" i="1"/>
  <c r="Y1535" i="1"/>
  <c r="X1487" i="1"/>
  <c r="Z1482" i="1"/>
  <c r="X1451" i="1"/>
  <c r="Y1446" i="1"/>
  <c r="X1440" i="1"/>
  <c r="Y1432" i="1"/>
  <c r="X1403" i="1"/>
  <c r="V1401" i="4" s="1"/>
  <c r="Y1398" i="1"/>
  <c r="W1396" i="4" s="1"/>
  <c r="X1392" i="1"/>
  <c r="V1390" i="4" s="1"/>
  <c r="Y1384" i="1"/>
  <c r="W1382" i="4" s="1"/>
  <c r="X1317" i="1"/>
  <c r="V1315" i="4" s="1"/>
  <c r="Y1228" i="1"/>
  <c r="W1226" i="4" s="1"/>
  <c r="X1128" i="1"/>
  <c r="V1126" i="4" s="1"/>
  <c r="Y1074" i="1"/>
  <c r="W1072" i="4" s="1"/>
  <c r="AA1539" i="1"/>
  <c r="X1534" i="1"/>
  <c r="X1524" i="1"/>
  <c r="X1512" i="1"/>
  <c r="AA1508" i="1"/>
  <c r="Z1501" i="1"/>
  <c r="X1476" i="1"/>
  <c r="Y1468" i="1"/>
  <c r="AA1436" i="1"/>
  <c r="X1425" i="1"/>
  <c r="V1423" i="4" s="1"/>
  <c r="AA1388" i="1"/>
  <c r="Y1386" i="4" s="1"/>
  <c r="X1377" i="1"/>
  <c r="V1375" i="4" s="1"/>
  <c r="X1343" i="1"/>
  <c r="V1341" i="4" s="1"/>
  <c r="X1329" i="1"/>
  <c r="V1327" i="4" s="1"/>
  <c r="X1303" i="1"/>
  <c r="V1301" i="4" s="1"/>
  <c r="X1241" i="1"/>
  <c r="V1239" i="4" s="1"/>
  <c r="X1127" i="1"/>
  <c r="V1125" i="4" s="1"/>
  <c r="X1092" i="1"/>
  <c r="V1090" i="4" s="1"/>
  <c r="Y1523" i="1"/>
  <c r="Y1504" i="1"/>
  <c r="Y1497" i="1"/>
  <c r="AA1472" i="1"/>
  <c r="X1435" i="1"/>
  <c r="X1387" i="1"/>
  <c r="V1385" i="4" s="1"/>
  <c r="Y1302" i="1"/>
  <c r="W1300" i="4" s="1"/>
  <c r="X1296" i="1"/>
  <c r="V1294" i="4" s="1"/>
  <c r="X1284" i="1"/>
  <c r="V1282" i="4" s="1"/>
  <c r="X1272" i="1"/>
  <c r="V1270" i="4" s="1"/>
  <c r="X1260" i="1"/>
  <c r="V1258" i="4" s="1"/>
  <c r="X1160" i="1"/>
  <c r="V1158" i="4" s="1"/>
  <c r="Z923" i="1"/>
  <c r="X921" i="4" s="1"/>
  <c r="Y1362" i="1"/>
  <c r="W1360" i="4" s="1"/>
  <c r="X1356" i="1"/>
  <c r="V1354" i="4" s="1"/>
  <c r="Y1348" i="1"/>
  <c r="W1346" i="4" s="1"/>
  <c r="X1341" i="1"/>
  <c r="V1339" i="4" s="1"/>
  <c r="AA1299" i="1"/>
  <c r="Y1297" i="4" s="1"/>
  <c r="X1291" i="1"/>
  <c r="V1289" i="4" s="1"/>
  <c r="X1279" i="1"/>
  <c r="V1277" i="4" s="1"/>
  <c r="X1267" i="1"/>
  <c r="V1265" i="4" s="1"/>
  <c r="X1255" i="1"/>
  <c r="V1253" i="4" s="1"/>
  <c r="X1251" i="1"/>
  <c r="V1249" i="4" s="1"/>
  <c r="X1247" i="1"/>
  <c r="V1245" i="4" s="1"/>
  <c r="Y1242" i="1"/>
  <c r="W1240" i="4" s="1"/>
  <c r="Z1227" i="1"/>
  <c r="X1225" i="4" s="1"/>
  <c r="X1200" i="1"/>
  <c r="V1198" i="4" s="1"/>
  <c r="Y1192" i="1"/>
  <c r="W1190" i="4" s="1"/>
  <c r="Y1134" i="1"/>
  <c r="W1132" i="4" s="1"/>
  <c r="Y1098" i="1"/>
  <c r="W1096" i="4" s="1"/>
  <c r="Z1059" i="1"/>
  <c r="X1057" i="4" s="1"/>
  <c r="Y1010" i="1"/>
  <c r="W1008" i="4" s="1"/>
  <c r="AA997" i="1"/>
  <c r="Y995" i="4" s="1"/>
  <c r="AA966" i="1"/>
  <c r="Y964" i="4" s="1"/>
  <c r="AA1352" i="1"/>
  <c r="Y1350" i="4" s="1"/>
  <c r="X1295" i="1"/>
  <c r="V1293" i="4" s="1"/>
  <c r="Y1290" i="1"/>
  <c r="W1288" i="4" s="1"/>
  <c r="X1287" i="1"/>
  <c r="V1285" i="4" s="1"/>
  <c r="X1283" i="1"/>
  <c r="V1281" i="4" s="1"/>
  <c r="Y1278" i="1"/>
  <c r="W1276" i="4" s="1"/>
  <c r="X1275" i="1"/>
  <c r="V1273" i="4" s="1"/>
  <c r="X1271" i="1"/>
  <c r="V1269" i="4" s="1"/>
  <c r="Y1266" i="1"/>
  <c r="W1264" i="4" s="1"/>
  <c r="X1263" i="1"/>
  <c r="V1261" i="4" s="1"/>
  <c r="X1259" i="1"/>
  <c r="V1257" i="4" s="1"/>
  <c r="Y1254" i="1"/>
  <c r="W1252" i="4" s="1"/>
  <c r="AA1222" i="1"/>
  <c r="Y1220" i="4" s="1"/>
  <c r="AA1210" i="1"/>
  <c r="Y1208" i="4" s="1"/>
  <c r="Y1206" i="1"/>
  <c r="W1204" i="4" s="1"/>
  <c r="X1172" i="1"/>
  <c r="V1170" i="4" s="1"/>
  <c r="Z1162" i="1"/>
  <c r="X1160" i="4" s="1"/>
  <c r="Y1146" i="1"/>
  <c r="W1144" i="4" s="1"/>
  <c r="Y1110" i="1"/>
  <c r="W1108" i="4" s="1"/>
  <c r="Z1047" i="1"/>
  <c r="X1045" i="4" s="1"/>
  <c r="Y914" i="1"/>
  <c r="W912" i="4" s="1"/>
  <c r="Z1203" i="1"/>
  <c r="X1201" i="4" s="1"/>
  <c r="AA1198" i="1"/>
  <c r="Y1196" i="4" s="1"/>
  <c r="X1188" i="1"/>
  <c r="V1186" i="4" s="1"/>
  <c r="Y1122" i="1"/>
  <c r="W1120" i="4" s="1"/>
  <c r="Y1086" i="1"/>
  <c r="W1084" i="4" s="1"/>
  <c r="Z964" i="1"/>
  <c r="X962" i="4" s="1"/>
  <c r="X895" i="1"/>
  <c r="V893" i="4" s="1"/>
  <c r="X1355" i="1"/>
  <c r="V1353" i="4" s="1"/>
  <c r="Y1350" i="1"/>
  <c r="W1348" i="4" s="1"/>
  <c r="AA1340" i="1"/>
  <c r="Y1338" i="4" s="1"/>
  <c r="Z1215" i="1"/>
  <c r="X1213" i="4" s="1"/>
  <c r="X1209" i="1"/>
  <c r="V1207" i="4" s="1"/>
  <c r="Y1194" i="1"/>
  <c r="W1192" i="4" s="1"/>
  <c r="Y1180" i="1"/>
  <c r="W1178" i="4" s="1"/>
  <c r="X1140" i="1"/>
  <c r="V1138" i="4" s="1"/>
  <c r="Y1038" i="1"/>
  <c r="W1036" i="4" s="1"/>
  <c r="AA1009" i="1"/>
  <c r="Y1007" i="4" s="1"/>
  <c r="X939" i="1"/>
  <c r="V937" i="4" s="1"/>
  <c r="AA1335" i="1"/>
  <c r="Y1333" i="4" s="1"/>
  <c r="X1327" i="1"/>
  <c r="V1325" i="4" s="1"/>
  <c r="X1320" i="1"/>
  <c r="V1318" i="4" s="1"/>
  <c r="Y1312" i="1"/>
  <c r="W1310" i="4" s="1"/>
  <c r="X1305" i="1"/>
  <c r="V1303" i="4" s="1"/>
  <c r="Y1229" i="1"/>
  <c r="W1227" i="4" s="1"/>
  <c r="Y1182" i="1"/>
  <c r="W1180" i="4" s="1"/>
  <c r="X1176" i="1"/>
  <c r="V1174" i="4" s="1"/>
  <c r="X1149" i="1"/>
  <c r="V1147" i="4" s="1"/>
  <c r="Y1138" i="1"/>
  <c r="W1136" i="4" s="1"/>
  <c r="AA1114" i="1"/>
  <c r="Y1112" i="4" s="1"/>
  <c r="X1091" i="1"/>
  <c r="V1089" i="4" s="1"/>
  <c r="X1080" i="1"/>
  <c r="V1078" i="4" s="1"/>
  <c r="X1020" i="1"/>
  <c r="V1018" i="4" s="1"/>
  <c r="X1001" i="1"/>
  <c r="V999" i="4" s="1"/>
  <c r="Y974" i="1"/>
  <c r="W972" i="4" s="1"/>
  <c r="X951" i="1"/>
  <c r="V949" i="4" s="1"/>
  <c r="X1331" i="1"/>
  <c r="V1329" i="4" s="1"/>
  <c r="Y1326" i="1"/>
  <c r="W1324" i="4" s="1"/>
  <c r="AA1316" i="1"/>
  <c r="Y1314" i="4" s="1"/>
  <c r="X1245" i="1"/>
  <c r="V1243" i="4" s="1"/>
  <c r="AA1232" i="1"/>
  <c r="Y1230" i="4" s="1"/>
  <c r="Z1179" i="1"/>
  <c r="X1177" i="4" s="1"/>
  <c r="X1137" i="1"/>
  <c r="V1135" i="4" s="1"/>
  <c r="Y1120" i="1"/>
  <c r="W1118" i="4" s="1"/>
  <c r="Y1108" i="1"/>
  <c r="W1106" i="4" s="1"/>
  <c r="X1079" i="1"/>
  <c r="V1077" i="4" s="1"/>
  <c r="X1067" i="1"/>
  <c r="V1065" i="4" s="1"/>
  <c r="X1043" i="1"/>
  <c r="V1041" i="4" s="1"/>
  <c r="X1019" i="1"/>
  <c r="V1017" i="4" s="1"/>
  <c r="Z993" i="1"/>
  <c r="X991" i="4" s="1"/>
  <c r="Z694" i="1"/>
  <c r="X692" i="4" s="1"/>
  <c r="AA1323" i="1"/>
  <c r="Y1321" i="4" s="1"/>
  <c r="X1315" i="1"/>
  <c r="V1313" i="4" s="1"/>
  <c r="X1308" i="1"/>
  <c r="V1306" i="4" s="1"/>
  <c r="Y1300" i="1"/>
  <c r="W1298" i="4" s="1"/>
  <c r="X1293" i="1"/>
  <c r="V1291" i="4" s="1"/>
  <c r="X1281" i="1"/>
  <c r="V1279" i="4" s="1"/>
  <c r="X1269" i="1"/>
  <c r="V1267" i="4" s="1"/>
  <c r="X1257" i="1"/>
  <c r="V1255" i="4" s="1"/>
  <c r="Y1240" i="1"/>
  <c r="W1238" i="4" s="1"/>
  <c r="Y1201" i="1"/>
  <c r="W1199" i="4" s="1"/>
  <c r="X1185" i="1"/>
  <c r="V1183" i="4" s="1"/>
  <c r="X1125" i="1"/>
  <c r="V1123" i="4" s="1"/>
  <c r="AA1090" i="1"/>
  <c r="Y1088" i="4" s="1"/>
  <c r="AA1066" i="1"/>
  <c r="Y1064" i="4" s="1"/>
  <c r="Z981" i="1"/>
  <c r="X979" i="4" s="1"/>
  <c r="Y950" i="1"/>
  <c r="W948" i="4" s="1"/>
  <c r="Y943" i="1"/>
  <c r="W941" i="4" s="1"/>
  <c r="Z911" i="1"/>
  <c r="X909" i="4" s="1"/>
  <c r="X495" i="1"/>
  <c r="V493" i="4" s="1"/>
  <c r="X459" i="1"/>
  <c r="V457" i="4" s="1"/>
  <c r="Y1360" i="1"/>
  <c r="W1358" i="4" s="1"/>
  <c r="X1319" i="1"/>
  <c r="V1317" i="4" s="1"/>
  <c r="Y1314" i="1"/>
  <c r="W1312" i="4" s="1"/>
  <c r="AA1304" i="1"/>
  <c r="Y1302" i="4" s="1"/>
  <c r="Y1252" i="1"/>
  <c r="W1250" i="4" s="1"/>
  <c r="X1248" i="1"/>
  <c r="V1246" i="4" s="1"/>
  <c r="X1236" i="1"/>
  <c r="V1234" i="4" s="1"/>
  <c r="Y1213" i="1"/>
  <c r="W1211" i="4" s="1"/>
  <c r="Z1174" i="1"/>
  <c r="X1172" i="4" s="1"/>
  <c r="Y1170" i="1"/>
  <c r="W1168" i="4" s="1"/>
  <c r="Z1143" i="1"/>
  <c r="X1141" i="4" s="1"/>
  <c r="X1089" i="1"/>
  <c r="V1087" i="4" s="1"/>
  <c r="Y1072" i="1"/>
  <c r="W1070" i="4" s="1"/>
  <c r="AA1042" i="1"/>
  <c r="Y1040" i="4" s="1"/>
  <c r="Y1024" i="1"/>
  <c r="W1022" i="4" s="1"/>
  <c r="Y1012" i="1"/>
  <c r="W1010" i="4" s="1"/>
  <c r="X985" i="1"/>
  <c r="V983" i="4" s="1"/>
  <c r="X973" i="1"/>
  <c r="V971" i="4" s="1"/>
  <c r="Y936" i="1"/>
  <c r="W934" i="4" s="1"/>
  <c r="X1148" i="1"/>
  <c r="V1146" i="4" s="1"/>
  <c r="Z1131" i="1"/>
  <c r="X1129" i="4" s="1"/>
  <c r="X1116" i="1"/>
  <c r="V1114" i="4" s="1"/>
  <c r="Z1083" i="1"/>
  <c r="X1081" i="4" s="1"/>
  <c r="X1068" i="1"/>
  <c r="V1066" i="4" s="1"/>
  <c r="Y1060" i="1"/>
  <c r="W1058" i="4" s="1"/>
  <c r="AA1030" i="1"/>
  <c r="Y1028" i="4" s="1"/>
  <c r="Y1026" i="1"/>
  <c r="W1024" i="4" s="1"/>
  <c r="Z1023" i="1"/>
  <c r="X1021" i="4" s="1"/>
  <c r="Y984" i="1"/>
  <c r="W982" i="4" s="1"/>
  <c r="X976" i="1"/>
  <c r="V974" i="4" s="1"/>
  <c r="X961" i="1"/>
  <c r="V959" i="4" s="1"/>
  <c r="X925" i="1"/>
  <c r="V923" i="4" s="1"/>
  <c r="AA918" i="1"/>
  <c r="Y916" i="4" s="1"/>
  <c r="Y902" i="1"/>
  <c r="W900" i="4" s="1"/>
  <c r="Z899" i="1"/>
  <c r="X897" i="4" s="1"/>
  <c r="X833" i="1"/>
  <c r="V831" i="4" s="1"/>
  <c r="AA774" i="1"/>
  <c r="Y772" i="4" s="1"/>
  <c r="AA733" i="1"/>
  <c r="Y731" i="4" s="1"/>
  <c r="Y675" i="1"/>
  <c r="W673" i="4" s="1"/>
  <c r="X667" i="1"/>
  <c r="V665" i="4" s="1"/>
  <c r="X415" i="1"/>
  <c r="V413" i="4" s="1"/>
  <c r="X1136" i="1"/>
  <c r="V1134" i="4" s="1"/>
  <c r="AA1126" i="1"/>
  <c r="Y1124" i="4" s="1"/>
  <c r="Z1119" i="1"/>
  <c r="X1117" i="4" s="1"/>
  <c r="X1088" i="1"/>
  <c r="V1086" i="4" s="1"/>
  <c r="AA1078" i="1"/>
  <c r="Y1076" i="4" s="1"/>
  <c r="Z1071" i="1"/>
  <c r="X1069" i="4" s="1"/>
  <c r="X1056" i="1"/>
  <c r="V1054" i="4" s="1"/>
  <c r="X1040" i="1"/>
  <c r="V1038" i="4" s="1"/>
  <c r="AA1018" i="1"/>
  <c r="Y1016" i="4" s="1"/>
  <c r="Z1005" i="1"/>
  <c r="X1003" i="4" s="1"/>
  <c r="AA1000" i="1"/>
  <c r="Y998" i="4" s="1"/>
  <c r="Y996" i="1"/>
  <c r="W994" i="4" s="1"/>
  <c r="AA954" i="1"/>
  <c r="Y952" i="4" s="1"/>
  <c r="Y938" i="1"/>
  <c r="W936" i="4" s="1"/>
  <c r="Z935" i="1"/>
  <c r="X933" i="4" s="1"/>
  <c r="Y921" i="1"/>
  <c r="W919" i="4" s="1"/>
  <c r="X913" i="1"/>
  <c r="V911" i="4" s="1"/>
  <c r="Y890" i="1"/>
  <c r="W888" i="4" s="1"/>
  <c r="Y854" i="1"/>
  <c r="W852" i="4" s="1"/>
  <c r="Z803" i="1"/>
  <c r="X801" i="4" s="1"/>
  <c r="X795" i="1"/>
  <c r="V793" i="4" s="1"/>
  <c r="Y674" i="1"/>
  <c r="W672" i="4" s="1"/>
  <c r="X657" i="1"/>
  <c r="V655" i="4" s="1"/>
  <c r="Y627" i="1"/>
  <c r="W625" i="4" s="1"/>
  <c r="X1104" i="1"/>
  <c r="V1102" i="4" s="1"/>
  <c r="Y1062" i="1"/>
  <c r="W1060" i="4" s="1"/>
  <c r="X1055" i="1"/>
  <c r="V1053" i="4" s="1"/>
  <c r="X1029" i="1"/>
  <c r="V1027" i="4" s="1"/>
  <c r="AA1014" i="1"/>
  <c r="Y1012" i="4" s="1"/>
  <c r="Z1011" i="1"/>
  <c r="X1009" i="4" s="1"/>
  <c r="Y1008" i="1"/>
  <c r="W1006" i="4" s="1"/>
  <c r="X1004" i="1"/>
  <c r="V1002" i="4" s="1"/>
  <c r="X987" i="1"/>
  <c r="V985" i="4" s="1"/>
  <c r="Y972" i="1"/>
  <c r="W970" i="4" s="1"/>
  <c r="AA942" i="1"/>
  <c r="Y940" i="4" s="1"/>
  <c r="Z916" i="1"/>
  <c r="X914" i="4" s="1"/>
  <c r="AA906" i="1"/>
  <c r="Y904" i="4" s="1"/>
  <c r="X700" i="1"/>
  <c r="V698" i="4" s="1"/>
  <c r="X691" i="1"/>
  <c r="V689" i="4" s="1"/>
  <c r="X366" i="1"/>
  <c r="V364" i="4" s="1"/>
  <c r="X285" i="1"/>
  <c r="V283" i="4" s="1"/>
  <c r="Y1048" i="1"/>
  <c r="W1046" i="4" s="1"/>
  <c r="X1028" i="1"/>
  <c r="V1026" i="4" s="1"/>
  <c r="Z983" i="1"/>
  <c r="X981" i="4" s="1"/>
  <c r="X975" i="1"/>
  <c r="V973" i="4" s="1"/>
  <c r="Z971" i="1"/>
  <c r="X969" i="4" s="1"/>
  <c r="Y924" i="1"/>
  <c r="W922" i="4" s="1"/>
  <c r="AA909" i="1"/>
  <c r="Y907" i="4" s="1"/>
  <c r="X905" i="1"/>
  <c r="V903" i="4" s="1"/>
  <c r="X901" i="1"/>
  <c r="V899" i="4" s="1"/>
  <c r="X883" i="1"/>
  <c r="V881" i="4" s="1"/>
  <c r="Z730" i="1"/>
  <c r="X728" i="4" s="1"/>
  <c r="Z682" i="1"/>
  <c r="X680" i="4" s="1"/>
  <c r="X1152" i="1"/>
  <c r="V1150" i="4" s="1"/>
  <c r="Z1107" i="1"/>
  <c r="X1105" i="4" s="1"/>
  <c r="X1017" i="1"/>
  <c r="V1015" i="4" s="1"/>
  <c r="Y991" i="1"/>
  <c r="W989" i="4" s="1"/>
  <c r="X963" i="1"/>
  <c r="V961" i="4" s="1"/>
  <c r="X949" i="1"/>
  <c r="V947" i="4" s="1"/>
  <c r="Y945" i="1"/>
  <c r="W943" i="4" s="1"/>
  <c r="X927" i="1"/>
  <c r="V925" i="4" s="1"/>
  <c r="X904" i="1"/>
  <c r="V902" i="4" s="1"/>
  <c r="AA894" i="1"/>
  <c r="Y892" i="4" s="1"/>
  <c r="Z815" i="1"/>
  <c r="X813" i="4" s="1"/>
  <c r="X763" i="1"/>
  <c r="V761" i="4" s="1"/>
  <c r="Z755" i="1"/>
  <c r="X753" i="4" s="1"/>
  <c r="X729" i="1"/>
  <c r="V727" i="4" s="1"/>
  <c r="Y698" i="1"/>
  <c r="W696" i="4" s="1"/>
  <c r="Y663" i="1"/>
  <c r="W661" i="4" s="1"/>
  <c r="X1161" i="1"/>
  <c r="V1159" i="4" s="1"/>
  <c r="Z1155" i="1"/>
  <c r="X1153" i="4" s="1"/>
  <c r="X1113" i="1"/>
  <c r="V1111" i="4" s="1"/>
  <c r="X1065" i="1"/>
  <c r="V1063" i="4" s="1"/>
  <c r="AA1054" i="1"/>
  <c r="Y1052" i="4" s="1"/>
  <c r="X1044" i="1"/>
  <c r="V1042" i="4" s="1"/>
  <c r="Y1036" i="1"/>
  <c r="W1034" i="4" s="1"/>
  <c r="X1016" i="1"/>
  <c r="V1014" i="4" s="1"/>
  <c r="X1007" i="1"/>
  <c r="V1005" i="4" s="1"/>
  <c r="X999" i="1"/>
  <c r="V997" i="4" s="1"/>
  <c r="X990" i="1"/>
  <c r="V988" i="4" s="1"/>
  <c r="Y967" i="1"/>
  <c r="W965" i="4" s="1"/>
  <c r="X937" i="1"/>
  <c r="V935" i="4" s="1"/>
  <c r="Y912" i="1"/>
  <c r="W910" i="4" s="1"/>
  <c r="X893" i="1"/>
  <c r="V891" i="4" s="1"/>
  <c r="X738" i="1"/>
  <c r="V736" i="4" s="1"/>
  <c r="X713" i="1"/>
  <c r="V711" i="4" s="1"/>
  <c r="Y543" i="1"/>
  <c r="W541" i="4" s="1"/>
  <c r="X477" i="1"/>
  <c r="V475" i="4" s="1"/>
  <c r="AA822" i="1"/>
  <c r="Y820" i="4" s="1"/>
  <c r="Y792" i="1"/>
  <c r="W790" i="4" s="1"/>
  <c r="AA745" i="1"/>
  <c r="Y743" i="4" s="1"/>
  <c r="AA697" i="1"/>
  <c r="Y695" i="4" s="1"/>
  <c r="AA577" i="1"/>
  <c r="Y575" i="4" s="1"/>
  <c r="X521" i="1"/>
  <c r="V519" i="4" s="1"/>
  <c r="X679" i="1"/>
  <c r="V677" i="4" s="1"/>
  <c r="X1139" i="1"/>
  <c r="V1137" i="4" s="1"/>
  <c r="X1101" i="1"/>
  <c r="V1099" i="4" s="1"/>
  <c r="Z1095" i="1"/>
  <c r="X1093" i="4" s="1"/>
  <c r="X1053" i="1"/>
  <c r="V1051" i="4" s="1"/>
  <c r="X1031" i="1"/>
  <c r="V1029" i="4" s="1"/>
  <c r="AA978" i="1"/>
  <c r="Y976" i="4" s="1"/>
  <c r="Z959" i="1"/>
  <c r="X957" i="4" s="1"/>
  <c r="AA930" i="1"/>
  <c r="Y928" i="4" s="1"/>
  <c r="X903" i="1"/>
  <c r="V901" i="4" s="1"/>
  <c r="X879" i="1"/>
  <c r="V877" i="4" s="1"/>
  <c r="AA858" i="1"/>
  <c r="Y856" i="4" s="1"/>
  <c r="Z791" i="1"/>
  <c r="X789" i="4" s="1"/>
  <c r="Y734" i="1"/>
  <c r="W732" i="4" s="1"/>
  <c r="Y686" i="1"/>
  <c r="W684" i="4" s="1"/>
  <c r="AA668" i="1"/>
  <c r="Y666" i="4" s="1"/>
  <c r="Y876" i="1"/>
  <c r="W874" i="4" s="1"/>
  <c r="X843" i="1"/>
  <c r="V841" i="4" s="1"/>
  <c r="X832" i="1"/>
  <c r="V830" i="4" s="1"/>
  <c r="X811" i="1"/>
  <c r="V809" i="4" s="1"/>
  <c r="Y806" i="1"/>
  <c r="W804" i="4" s="1"/>
  <c r="X773" i="1"/>
  <c r="V771" i="4" s="1"/>
  <c r="X751" i="1"/>
  <c r="V749" i="4" s="1"/>
  <c r="X739" i="1"/>
  <c r="V737" i="4" s="1"/>
  <c r="Y722" i="1"/>
  <c r="W720" i="4" s="1"/>
  <c r="Z706" i="1"/>
  <c r="X704" i="4" s="1"/>
  <c r="AA601" i="1"/>
  <c r="Y599" i="4" s="1"/>
  <c r="X593" i="1"/>
  <c r="V591" i="4" s="1"/>
  <c r="X505" i="1"/>
  <c r="V503" i="4" s="1"/>
  <c r="X496" i="1"/>
  <c r="V494" i="4" s="1"/>
  <c r="AA487" i="1"/>
  <c r="Y485" i="4" s="1"/>
  <c r="Z425" i="1"/>
  <c r="X423" i="4" s="1"/>
  <c r="Z396" i="1"/>
  <c r="X394" i="4" s="1"/>
  <c r="X386" i="1"/>
  <c r="V384" i="4" s="1"/>
  <c r="X376" i="1"/>
  <c r="V374" i="4" s="1"/>
  <c r="X356" i="1"/>
  <c r="V354" i="4" s="1"/>
  <c r="X314" i="1"/>
  <c r="V312" i="4" s="1"/>
  <c r="Z887" i="1"/>
  <c r="X885" i="4" s="1"/>
  <c r="X857" i="1"/>
  <c r="V855" i="4" s="1"/>
  <c r="X847" i="1"/>
  <c r="V845" i="4" s="1"/>
  <c r="X821" i="1"/>
  <c r="V819" i="4" s="1"/>
  <c r="X799" i="1"/>
  <c r="V797" i="4" s="1"/>
  <c r="Y794" i="1"/>
  <c r="W792" i="4" s="1"/>
  <c r="X783" i="1"/>
  <c r="V781" i="4" s="1"/>
  <c r="Y780" i="1"/>
  <c r="W778" i="4" s="1"/>
  <c r="Y758" i="1"/>
  <c r="W756" i="4" s="1"/>
  <c r="Z742" i="1"/>
  <c r="X740" i="4" s="1"/>
  <c r="Z718" i="1"/>
  <c r="X716" i="4" s="1"/>
  <c r="X712" i="1"/>
  <c r="V710" i="4" s="1"/>
  <c r="AA709" i="1"/>
  <c r="Y707" i="4" s="1"/>
  <c r="X705" i="1"/>
  <c r="V703" i="4" s="1"/>
  <c r="X701" i="1"/>
  <c r="V699" i="4" s="1"/>
  <c r="AA656" i="1"/>
  <c r="Y654" i="4" s="1"/>
  <c r="X643" i="1"/>
  <c r="V641" i="4" s="1"/>
  <c r="X568" i="1"/>
  <c r="V566" i="4" s="1"/>
  <c r="X535" i="1"/>
  <c r="V533" i="4" s="1"/>
  <c r="Z467" i="1"/>
  <c r="X465" i="4" s="1"/>
  <c r="X458" i="1"/>
  <c r="V456" i="4" s="1"/>
  <c r="X414" i="1"/>
  <c r="V412" i="4" s="1"/>
  <c r="Y365" i="1"/>
  <c r="W363" i="4" s="1"/>
  <c r="Y344" i="1"/>
  <c r="W342" i="4" s="1"/>
  <c r="X333" i="1"/>
  <c r="V331" i="4" s="1"/>
  <c r="X302" i="1"/>
  <c r="V300" i="4" s="1"/>
  <c r="Z264" i="1"/>
  <c r="X262" i="4" s="1"/>
  <c r="X239" i="1"/>
  <c r="V237" i="4" s="1"/>
  <c r="X616" i="1"/>
  <c r="V614" i="4" s="1"/>
  <c r="X559" i="1"/>
  <c r="V557" i="4" s="1"/>
  <c r="Y542" i="1"/>
  <c r="W540" i="4" s="1"/>
  <c r="X374" i="1"/>
  <c r="V372" i="4" s="1"/>
  <c r="X301" i="1"/>
  <c r="V299" i="4" s="1"/>
  <c r="X263" i="1"/>
  <c r="V261" i="4" s="1"/>
  <c r="Y878" i="1"/>
  <c r="W876" i="4" s="1"/>
  <c r="Z875" i="1"/>
  <c r="X873" i="4" s="1"/>
  <c r="X867" i="1"/>
  <c r="V865" i="4" s="1"/>
  <c r="Y864" i="1"/>
  <c r="W862" i="4" s="1"/>
  <c r="X831" i="1"/>
  <c r="V829" i="4" s="1"/>
  <c r="Y828" i="1"/>
  <c r="W826" i="4" s="1"/>
  <c r="AA810" i="1"/>
  <c r="Y808" i="4" s="1"/>
  <c r="X787" i="1"/>
  <c r="V785" i="4" s="1"/>
  <c r="X761" i="1"/>
  <c r="V759" i="4" s="1"/>
  <c r="X753" i="1"/>
  <c r="V751" i="4" s="1"/>
  <c r="AA749" i="1"/>
  <c r="Y747" i="4" s="1"/>
  <c r="X741" i="1"/>
  <c r="V739" i="4" s="1"/>
  <c r="X724" i="1"/>
  <c r="V722" i="4" s="1"/>
  <c r="AA721" i="1"/>
  <c r="Y719" i="4" s="1"/>
  <c r="X717" i="1"/>
  <c r="V715" i="4" s="1"/>
  <c r="X693" i="1"/>
  <c r="V691" i="4" s="1"/>
  <c r="X689" i="1"/>
  <c r="V687" i="4" s="1"/>
  <c r="AA632" i="1"/>
  <c r="Y630" i="4" s="1"/>
  <c r="AA608" i="1"/>
  <c r="Y606" i="4" s="1"/>
  <c r="Y566" i="1"/>
  <c r="W564" i="4" s="1"/>
  <c r="X402" i="1"/>
  <c r="V400" i="4" s="1"/>
  <c r="X392" i="1"/>
  <c r="V390" i="4" s="1"/>
  <c r="X363" i="1"/>
  <c r="V361" i="4" s="1"/>
  <c r="X352" i="1"/>
  <c r="V350" i="4" s="1"/>
  <c r="Z300" i="1"/>
  <c r="X298" i="4" s="1"/>
  <c r="X273" i="1"/>
  <c r="V271" i="4" s="1"/>
  <c r="AA247" i="1"/>
  <c r="Y245" i="4" s="1"/>
  <c r="X236" i="1"/>
  <c r="V234" i="4" s="1"/>
  <c r="X889" i="1"/>
  <c r="V887" i="4" s="1"/>
  <c r="X871" i="1"/>
  <c r="V869" i="4" s="1"/>
  <c r="Z839" i="1"/>
  <c r="X837" i="4" s="1"/>
  <c r="X809" i="1"/>
  <c r="V807" i="4" s="1"/>
  <c r="Y782" i="1"/>
  <c r="W780" i="4" s="1"/>
  <c r="X771" i="1"/>
  <c r="V769" i="4" s="1"/>
  <c r="Y768" i="1"/>
  <c r="W766" i="4" s="1"/>
  <c r="Y757" i="1"/>
  <c r="W755" i="4" s="1"/>
  <c r="Y716" i="1"/>
  <c r="W714" i="4" s="1"/>
  <c r="AA704" i="1"/>
  <c r="Y702" i="4" s="1"/>
  <c r="X688" i="1"/>
  <c r="V686" i="4" s="1"/>
  <c r="AA685" i="1"/>
  <c r="Y683" i="4" s="1"/>
  <c r="Z670" i="1"/>
  <c r="X668" i="4" s="1"/>
  <c r="Y615" i="1"/>
  <c r="W613" i="4" s="1"/>
  <c r="X510" i="1"/>
  <c r="V508" i="4" s="1"/>
  <c r="X351" i="1"/>
  <c r="V349" i="4" s="1"/>
  <c r="X331" i="1"/>
  <c r="V329" i="4" s="1"/>
  <c r="X320" i="1"/>
  <c r="V318" i="4" s="1"/>
  <c r="X282" i="1"/>
  <c r="V280" i="4" s="1"/>
  <c r="X272" i="1"/>
  <c r="V270" i="4" s="1"/>
  <c r="AA846" i="1"/>
  <c r="Y844" i="4" s="1"/>
  <c r="X835" i="1"/>
  <c r="V833" i="4" s="1"/>
  <c r="X808" i="1"/>
  <c r="V806" i="4" s="1"/>
  <c r="AA798" i="1"/>
  <c r="Y796" i="4" s="1"/>
  <c r="Z779" i="1"/>
  <c r="X777" i="4" s="1"/>
  <c r="Z760" i="1"/>
  <c r="X758" i="4" s="1"/>
  <c r="Y711" i="1"/>
  <c r="W709" i="4" s="1"/>
  <c r="X681" i="1"/>
  <c r="V679" i="4" s="1"/>
  <c r="X677" i="1"/>
  <c r="V675" i="4" s="1"/>
  <c r="X655" i="1"/>
  <c r="V653" i="4" s="1"/>
  <c r="Y639" i="1"/>
  <c r="W637" i="4" s="1"/>
  <c r="X631" i="1"/>
  <c r="V629" i="4" s="1"/>
  <c r="AA565" i="1"/>
  <c r="Y563" i="4" s="1"/>
  <c r="X501" i="1"/>
  <c r="V499" i="4" s="1"/>
  <c r="Y473" i="1"/>
  <c r="W471" i="4" s="1"/>
  <c r="X438" i="1"/>
  <c r="V436" i="4" s="1"/>
  <c r="Y391" i="1"/>
  <c r="W389" i="4" s="1"/>
  <c r="X350" i="1"/>
  <c r="V348" i="4" s="1"/>
  <c r="AA319" i="1"/>
  <c r="Y317" i="4" s="1"/>
  <c r="AA882" i="1"/>
  <c r="Y880" i="4" s="1"/>
  <c r="Y866" i="1"/>
  <c r="W864" i="4" s="1"/>
  <c r="X845" i="1"/>
  <c r="V843" i="4" s="1"/>
  <c r="Y830" i="1"/>
  <c r="W828" i="4" s="1"/>
  <c r="X819" i="1"/>
  <c r="V817" i="4" s="1"/>
  <c r="Y816" i="1"/>
  <c r="W814" i="4" s="1"/>
  <c r="X797" i="1"/>
  <c r="V795" i="4" s="1"/>
  <c r="X775" i="1"/>
  <c r="V773" i="4" s="1"/>
  <c r="Y735" i="1"/>
  <c r="W733" i="4" s="1"/>
  <c r="Y699" i="1"/>
  <c r="W697" i="4" s="1"/>
  <c r="AA692" i="1"/>
  <c r="Y690" i="4" s="1"/>
  <c r="X676" i="1"/>
  <c r="V674" i="4" s="1"/>
  <c r="AA673" i="1"/>
  <c r="Y671" i="4" s="1"/>
  <c r="X654" i="1"/>
  <c r="V652" i="4" s="1"/>
  <c r="AA613" i="1"/>
  <c r="Y611" i="4" s="1"/>
  <c r="X597" i="1"/>
  <c r="V595" i="4" s="1"/>
  <c r="Y482" i="1"/>
  <c r="W480" i="4" s="1"/>
  <c r="X447" i="1"/>
  <c r="V445" i="4" s="1"/>
  <c r="X340" i="1"/>
  <c r="V338" i="4" s="1"/>
  <c r="X308" i="1"/>
  <c r="V306" i="4" s="1"/>
  <c r="X881" i="1"/>
  <c r="V879" i="4" s="1"/>
  <c r="X877" i="1"/>
  <c r="V875" i="4" s="1"/>
  <c r="Z863" i="1"/>
  <c r="X861" i="4" s="1"/>
  <c r="X855" i="1"/>
  <c r="V853" i="4" s="1"/>
  <c r="X844" i="1"/>
  <c r="V842" i="4" s="1"/>
  <c r="Z827" i="1"/>
  <c r="X825" i="4" s="1"/>
  <c r="AA786" i="1"/>
  <c r="Y784" i="4" s="1"/>
  <c r="Y770" i="1"/>
  <c r="W768" i="4" s="1"/>
  <c r="Y752" i="1"/>
  <c r="W750" i="4" s="1"/>
  <c r="X740" i="1"/>
  <c r="V738" i="4" s="1"/>
  <c r="Y723" i="1"/>
  <c r="W721" i="4" s="1"/>
  <c r="X669" i="1"/>
  <c r="V667" i="4" s="1"/>
  <c r="X665" i="1"/>
  <c r="V663" i="4" s="1"/>
  <c r="Z658" i="1"/>
  <c r="X656" i="4" s="1"/>
  <c r="Y638" i="1"/>
  <c r="W636" i="4" s="1"/>
  <c r="X604" i="1"/>
  <c r="V602" i="4" s="1"/>
  <c r="X580" i="1"/>
  <c r="V578" i="4" s="1"/>
  <c r="X573" i="1"/>
  <c r="V571" i="4" s="1"/>
  <c r="AA524" i="1"/>
  <c r="Y522" i="4" s="1"/>
  <c r="Z500" i="1"/>
  <c r="X498" i="4" s="1"/>
  <c r="Z437" i="1"/>
  <c r="X435" i="4" s="1"/>
  <c r="X409" i="1"/>
  <c r="V407" i="4" s="1"/>
  <c r="X359" i="1"/>
  <c r="V357" i="4" s="1"/>
  <c r="X339" i="1"/>
  <c r="V337" i="4" s="1"/>
  <c r="X328" i="1"/>
  <c r="V326" i="4" s="1"/>
  <c r="AA307" i="1"/>
  <c r="Y305" i="4" s="1"/>
  <c r="AA259" i="1"/>
  <c r="Y257" i="4" s="1"/>
  <c r="X880" i="1"/>
  <c r="V878" i="4" s="1"/>
  <c r="AA870" i="1"/>
  <c r="Y868" i="4" s="1"/>
  <c r="X859" i="1"/>
  <c r="V857" i="4" s="1"/>
  <c r="X823" i="1"/>
  <c r="V821" i="4" s="1"/>
  <c r="X807" i="1"/>
  <c r="V805" i="4" s="1"/>
  <c r="Y804" i="1"/>
  <c r="W802" i="4" s="1"/>
  <c r="X785" i="1"/>
  <c r="V783" i="4" s="1"/>
  <c r="Z767" i="1"/>
  <c r="X765" i="4" s="1"/>
  <c r="X715" i="1"/>
  <c r="V713" i="4" s="1"/>
  <c r="X703" i="1"/>
  <c r="V701" i="4" s="1"/>
  <c r="Y687" i="1"/>
  <c r="W685" i="4" s="1"/>
  <c r="AA680" i="1"/>
  <c r="Y678" i="4" s="1"/>
  <c r="X664" i="1"/>
  <c r="V662" i="4" s="1"/>
  <c r="X653" i="1"/>
  <c r="V651" i="4" s="1"/>
  <c r="X547" i="1"/>
  <c r="V545" i="4" s="1"/>
  <c r="X471" i="1"/>
  <c r="V469" i="4" s="1"/>
  <c r="X462" i="1"/>
  <c r="V460" i="4" s="1"/>
  <c r="X427" i="1"/>
  <c r="V425" i="4" s="1"/>
  <c r="Z408" i="1"/>
  <c r="X406" i="4" s="1"/>
  <c r="X398" i="1"/>
  <c r="V396" i="4" s="1"/>
  <c r="X388" i="1"/>
  <c r="V386" i="4" s="1"/>
  <c r="X327" i="1"/>
  <c r="V325" i="4" s="1"/>
  <c r="X268" i="1"/>
  <c r="V266" i="4" s="1"/>
  <c r="Z252" i="1"/>
  <c r="X250" i="4" s="1"/>
  <c r="X891" i="1"/>
  <c r="V889" i="4" s="1"/>
  <c r="X869" i="1"/>
  <c r="V867" i="4" s="1"/>
  <c r="AA834" i="1"/>
  <c r="Y832" i="4" s="1"/>
  <c r="Y818" i="1"/>
  <c r="W816" i="4" s="1"/>
  <c r="Z759" i="1"/>
  <c r="X757" i="4" s="1"/>
  <c r="X727" i="1"/>
  <c r="V725" i="4" s="1"/>
  <c r="Y710" i="1"/>
  <c r="W708" i="4" s="1"/>
  <c r="AA661" i="1"/>
  <c r="Y659" i="4" s="1"/>
  <c r="AA620" i="1"/>
  <c r="Y618" i="4" s="1"/>
  <c r="Y603" i="1"/>
  <c r="W601" i="4" s="1"/>
  <c r="Y554" i="1"/>
  <c r="W552" i="4" s="1"/>
  <c r="X407" i="1"/>
  <c r="V405" i="4" s="1"/>
  <c r="X326" i="1"/>
  <c r="V324" i="4" s="1"/>
  <c r="Y278" i="1"/>
  <c r="W276" i="4" s="1"/>
  <c r="X267" i="1"/>
  <c r="V265" i="4" s="1"/>
  <c r="Y650" i="1"/>
  <c r="W648" i="4" s="1"/>
  <c r="X609" i="1"/>
  <c r="V607" i="4" s="1"/>
  <c r="X592" i="1"/>
  <c r="V590" i="4" s="1"/>
  <c r="AA589" i="1"/>
  <c r="Y587" i="4" s="1"/>
  <c r="X581" i="1"/>
  <c r="V579" i="4" s="1"/>
  <c r="AA536" i="1"/>
  <c r="Y534" i="4" s="1"/>
  <c r="X525" i="1"/>
  <c r="V523" i="4" s="1"/>
  <c r="X520" i="1"/>
  <c r="V518" i="4" s="1"/>
  <c r="AA517" i="1"/>
  <c r="Y515" i="4" s="1"/>
  <c r="X472" i="1"/>
  <c r="V470" i="4" s="1"/>
  <c r="Y452" i="1"/>
  <c r="W450" i="4" s="1"/>
  <c r="Z449" i="1"/>
  <c r="X447" i="4" s="1"/>
  <c r="X426" i="1"/>
  <c r="V424" i="4" s="1"/>
  <c r="AA403" i="1"/>
  <c r="Y401" i="4" s="1"/>
  <c r="X397" i="1"/>
  <c r="V395" i="4" s="1"/>
  <c r="X387" i="1"/>
  <c r="V385" i="4" s="1"/>
  <c r="X375" i="1"/>
  <c r="V373" i="4" s="1"/>
  <c r="X371" i="1"/>
  <c r="V369" i="4" s="1"/>
  <c r="X345" i="1"/>
  <c r="V343" i="4" s="1"/>
  <c r="Z341" i="1"/>
  <c r="X339" i="4" s="1"/>
  <c r="X332" i="1"/>
  <c r="V330" i="4" s="1"/>
  <c r="X321" i="1"/>
  <c r="V319" i="4" s="1"/>
  <c r="X291" i="1"/>
  <c r="V289" i="4" s="1"/>
  <c r="X284" i="1"/>
  <c r="V282" i="4" s="1"/>
  <c r="X258" i="1"/>
  <c r="V256" i="4" s="1"/>
  <c r="Z240" i="1"/>
  <c r="X238" i="4" s="1"/>
  <c r="X569" i="1"/>
  <c r="V567" i="4" s="1"/>
  <c r="Y531" i="1"/>
  <c r="W529" i="4" s="1"/>
  <c r="X513" i="1"/>
  <c r="V511" i="4" s="1"/>
  <c r="Y491" i="1"/>
  <c r="W489" i="4" s="1"/>
  <c r="X486" i="1"/>
  <c r="V484" i="4" s="1"/>
  <c r="X481" i="1"/>
  <c r="V479" i="4" s="1"/>
  <c r="X457" i="1"/>
  <c r="V455" i="4" s="1"/>
  <c r="Y448" i="1"/>
  <c r="W446" i="4" s="1"/>
  <c r="X443" i="1"/>
  <c r="V441" i="4" s="1"/>
  <c r="X432" i="1"/>
  <c r="V430" i="4" s="1"/>
  <c r="X420" i="1"/>
  <c r="V418" i="4" s="1"/>
  <c r="X381" i="1"/>
  <c r="V379" i="4" s="1"/>
  <c r="X364" i="1"/>
  <c r="V362" i="4" s="1"/>
  <c r="X357" i="1"/>
  <c r="V355" i="4" s="1"/>
  <c r="X313" i="1"/>
  <c r="V311" i="4" s="1"/>
  <c r="X295" i="1"/>
  <c r="V293" i="4" s="1"/>
  <c r="X290" i="1"/>
  <c r="V288" i="4" s="1"/>
  <c r="AA283" i="1"/>
  <c r="Y281" i="4" s="1"/>
  <c r="Y257" i="1"/>
  <c r="W255" i="4" s="1"/>
  <c r="X246" i="1"/>
  <c r="V244" i="4" s="1"/>
  <c r="X652" i="1"/>
  <c r="V650" i="4" s="1"/>
  <c r="AA649" i="1"/>
  <c r="Y647" i="4" s="1"/>
  <c r="AA596" i="1"/>
  <c r="Y594" i="4" s="1"/>
  <c r="Y591" i="1"/>
  <c r="W589" i="4" s="1"/>
  <c r="AA584" i="1"/>
  <c r="Y582" i="4" s="1"/>
  <c r="X557" i="1"/>
  <c r="V555" i="4" s="1"/>
  <c r="Y519" i="1"/>
  <c r="W517" i="4" s="1"/>
  <c r="X508" i="1"/>
  <c r="V506" i="4" s="1"/>
  <c r="Y485" i="1"/>
  <c r="W483" i="4" s="1"/>
  <c r="X465" i="1"/>
  <c r="V463" i="4" s="1"/>
  <c r="Y461" i="1"/>
  <c r="W459" i="4" s="1"/>
  <c r="Z456" i="1"/>
  <c r="X454" i="4" s="1"/>
  <c r="X451" i="1"/>
  <c r="V449" i="4" s="1"/>
  <c r="X441" i="1"/>
  <c r="V439" i="4" s="1"/>
  <c r="X431" i="1"/>
  <c r="V429" i="4" s="1"/>
  <c r="X419" i="1"/>
  <c r="V417" i="4" s="1"/>
  <c r="Z401" i="1"/>
  <c r="X399" i="4" s="1"/>
  <c r="X390" i="1"/>
  <c r="V388" i="4" s="1"/>
  <c r="X380" i="1"/>
  <c r="V378" i="4" s="1"/>
  <c r="X369" i="1"/>
  <c r="V367" i="4" s="1"/>
  <c r="X349" i="1"/>
  <c r="V347" i="4" s="1"/>
  <c r="X318" i="1"/>
  <c r="V316" i="4" s="1"/>
  <c r="Z312" i="1"/>
  <c r="X310" i="4" s="1"/>
  <c r="Z306" i="1"/>
  <c r="X304" i="4" s="1"/>
  <c r="X299" i="1"/>
  <c r="V297" i="4" s="1"/>
  <c r="Y294" i="1"/>
  <c r="W292" i="4" s="1"/>
  <c r="X289" i="1"/>
  <c r="V287" i="4" s="1"/>
  <c r="X251" i="1"/>
  <c r="V249" i="4" s="1"/>
  <c r="Y245" i="1"/>
  <c r="W243" i="4" s="1"/>
  <c r="Y236" i="1"/>
  <c r="W234" i="4" s="1"/>
  <c r="Y626" i="1"/>
  <c r="W624" i="4" s="1"/>
  <c r="X619" i="1"/>
  <c r="V617" i="4" s="1"/>
  <c r="Y579" i="1"/>
  <c r="W577" i="4" s="1"/>
  <c r="X561" i="1"/>
  <c r="V559" i="4" s="1"/>
  <c r="X556" i="1"/>
  <c r="V554" i="4" s="1"/>
  <c r="AA553" i="1"/>
  <c r="Y551" i="4" s="1"/>
  <c r="AA512" i="1"/>
  <c r="Y510" i="4" s="1"/>
  <c r="Y494" i="1"/>
  <c r="W492" i="4" s="1"/>
  <c r="X484" i="1"/>
  <c r="V482" i="4" s="1"/>
  <c r="Z476" i="1"/>
  <c r="X474" i="4" s="1"/>
  <c r="X440" i="1"/>
  <c r="V438" i="4" s="1"/>
  <c r="Y436" i="1"/>
  <c r="W434" i="4" s="1"/>
  <c r="Y424" i="1"/>
  <c r="W422" i="4" s="1"/>
  <c r="Z413" i="1"/>
  <c r="X411" i="4" s="1"/>
  <c r="X395" i="1"/>
  <c r="V393" i="4" s="1"/>
  <c r="X385" i="1"/>
  <c r="V383" i="4" s="1"/>
  <c r="X373" i="1"/>
  <c r="V371" i="4" s="1"/>
  <c r="X362" i="1"/>
  <c r="V360" i="4" s="1"/>
  <c r="X338" i="1"/>
  <c r="V336" i="4" s="1"/>
  <c r="X325" i="1"/>
  <c r="V323" i="4" s="1"/>
  <c r="X311" i="1"/>
  <c r="V309" i="4" s="1"/>
  <c r="Y281" i="1"/>
  <c r="W279" i="4" s="1"/>
  <c r="AA271" i="1"/>
  <c r="Y269" i="4" s="1"/>
  <c r="X243" i="1"/>
  <c r="V241" i="4" s="1"/>
  <c r="X645" i="1"/>
  <c r="V643" i="4" s="1"/>
  <c r="X641" i="1"/>
  <c r="V639" i="4" s="1"/>
  <c r="X607" i="1"/>
  <c r="V605" i="4" s="1"/>
  <c r="AA572" i="1"/>
  <c r="Y570" i="4" s="1"/>
  <c r="X545" i="1"/>
  <c r="V543" i="4" s="1"/>
  <c r="Y530" i="1"/>
  <c r="W528" i="4" s="1"/>
  <c r="X523" i="1"/>
  <c r="V521" i="4" s="1"/>
  <c r="X507" i="1"/>
  <c r="V505" i="4" s="1"/>
  <c r="AA499" i="1"/>
  <c r="Y497" i="4" s="1"/>
  <c r="X493" i="1"/>
  <c r="V491" i="4" s="1"/>
  <c r="X489" i="1"/>
  <c r="V487" i="4" s="1"/>
  <c r="Z480" i="1"/>
  <c r="X478" i="4" s="1"/>
  <c r="X470" i="1"/>
  <c r="V468" i="4" s="1"/>
  <c r="X446" i="1"/>
  <c r="V444" i="4" s="1"/>
  <c r="X435" i="1"/>
  <c r="V433" i="4" s="1"/>
  <c r="X429" i="1"/>
  <c r="V427" i="4" s="1"/>
  <c r="X423" i="1"/>
  <c r="V421" i="4" s="1"/>
  <c r="X417" i="1"/>
  <c r="V415" i="4" s="1"/>
  <c r="X368" i="1"/>
  <c r="V366" i="4" s="1"/>
  <c r="AA355" i="1"/>
  <c r="Y353" i="4" s="1"/>
  <c r="X343" i="1"/>
  <c r="V341" i="4" s="1"/>
  <c r="X337" i="1"/>
  <c r="V335" i="4" s="1"/>
  <c r="Z330" i="1"/>
  <c r="X328" i="4" s="1"/>
  <c r="Y305" i="1"/>
  <c r="W303" i="4" s="1"/>
  <c r="X297" i="1"/>
  <c r="V295" i="4" s="1"/>
  <c r="Z288" i="1"/>
  <c r="X286" i="4" s="1"/>
  <c r="Z276" i="1"/>
  <c r="X274" i="4" s="1"/>
  <c r="X270" i="1"/>
  <c r="V268" i="4" s="1"/>
  <c r="X261" i="1"/>
  <c r="V259" i="4" s="1"/>
  <c r="X640" i="1"/>
  <c r="V638" i="4" s="1"/>
  <c r="AA637" i="1"/>
  <c r="Y635" i="4" s="1"/>
  <c r="Y614" i="1"/>
  <c r="W612" i="4" s="1"/>
  <c r="X606" i="1"/>
  <c r="V604" i="4" s="1"/>
  <c r="Y602" i="1"/>
  <c r="W600" i="4" s="1"/>
  <c r="X595" i="1"/>
  <c r="V593" i="4" s="1"/>
  <c r="X583" i="1"/>
  <c r="V581" i="4" s="1"/>
  <c r="Y567" i="1"/>
  <c r="W565" i="4" s="1"/>
  <c r="X549" i="1"/>
  <c r="V547" i="4" s="1"/>
  <c r="X544" i="1"/>
  <c r="V542" i="4" s="1"/>
  <c r="AA541" i="1"/>
  <c r="Y539" i="4" s="1"/>
  <c r="X522" i="1"/>
  <c r="V520" i="4" s="1"/>
  <c r="Y503" i="1"/>
  <c r="W501" i="4" s="1"/>
  <c r="X469" i="1"/>
  <c r="V467" i="4" s="1"/>
  <c r="Y464" i="1"/>
  <c r="W462" i="4" s="1"/>
  <c r="Z460" i="1"/>
  <c r="X458" i="4" s="1"/>
  <c r="X445" i="1"/>
  <c r="V443" i="4" s="1"/>
  <c r="X428" i="1"/>
  <c r="V426" i="4" s="1"/>
  <c r="X416" i="1"/>
  <c r="V414" i="4" s="1"/>
  <c r="X412" i="1"/>
  <c r="V410" i="4" s="1"/>
  <c r="X400" i="1"/>
  <c r="V398" i="4" s="1"/>
  <c r="Y389" i="1"/>
  <c r="W387" i="4" s="1"/>
  <c r="Z384" i="1"/>
  <c r="X382" i="4" s="1"/>
  <c r="AA379" i="1"/>
  <c r="Y377" i="4" s="1"/>
  <c r="X354" i="1"/>
  <c r="V352" i="4" s="1"/>
  <c r="Y317" i="1"/>
  <c r="W315" i="4" s="1"/>
  <c r="X304" i="1"/>
  <c r="V302" i="4" s="1"/>
  <c r="Y293" i="1"/>
  <c r="W291" i="4" s="1"/>
  <c r="X287" i="1"/>
  <c r="V285" i="4" s="1"/>
  <c r="X280" i="1"/>
  <c r="V278" i="4" s="1"/>
  <c r="Y651" i="1"/>
  <c r="W649" i="4" s="1"/>
  <c r="X633" i="1"/>
  <c r="V631" i="4" s="1"/>
  <c r="X629" i="1"/>
  <c r="V627" i="4" s="1"/>
  <c r="X594" i="1"/>
  <c r="V592" i="4" s="1"/>
  <c r="Y590" i="1"/>
  <c r="W588" i="4" s="1"/>
  <c r="AA560" i="1"/>
  <c r="Y558" i="4" s="1"/>
  <c r="Y518" i="1"/>
  <c r="W516" i="4" s="1"/>
  <c r="X511" i="1"/>
  <c r="V509" i="4" s="1"/>
  <c r="X498" i="1"/>
  <c r="V496" i="4" s="1"/>
  <c r="AA475" i="1"/>
  <c r="Y473" i="4" s="1"/>
  <c r="X455" i="1"/>
  <c r="V453" i="4" s="1"/>
  <c r="X450" i="1"/>
  <c r="V448" i="4" s="1"/>
  <c r="X434" i="1"/>
  <c r="V432" i="4" s="1"/>
  <c r="X422" i="1"/>
  <c r="V420" i="4" s="1"/>
  <c r="X411" i="1"/>
  <c r="V409" i="4" s="1"/>
  <c r="X405" i="1"/>
  <c r="V403" i="4" s="1"/>
  <c r="X399" i="1"/>
  <c r="V397" i="4" s="1"/>
  <c r="X378" i="1"/>
  <c r="V376" i="4" s="1"/>
  <c r="X361" i="1"/>
  <c r="V359" i="4" s="1"/>
  <c r="X348" i="1"/>
  <c r="V346" i="4" s="1"/>
  <c r="X342" i="1"/>
  <c r="V340" i="4" s="1"/>
  <c r="Z336" i="1"/>
  <c r="X334" i="4" s="1"/>
  <c r="AA324" i="1"/>
  <c r="Y322" i="4" s="1"/>
  <c r="X316" i="1"/>
  <c r="V314" i="4" s="1"/>
  <c r="X292" i="1"/>
  <c r="V290" i="4" s="1"/>
  <c r="Y269" i="1"/>
  <c r="W267" i="4" s="1"/>
  <c r="Y265" i="1"/>
  <c r="W263" i="4" s="1"/>
  <c r="X260" i="1"/>
  <c r="V258" i="4" s="1"/>
  <c r="X249" i="1"/>
  <c r="V247" i="4" s="1"/>
  <c r="Y242" i="1"/>
  <c r="W240" i="4" s="1"/>
  <c r="AA644" i="1"/>
  <c r="Y642" i="4" s="1"/>
  <c r="X628" i="1"/>
  <c r="V626" i="4" s="1"/>
  <c r="AA625" i="1"/>
  <c r="Y623" i="4" s="1"/>
  <c r="Y578" i="1"/>
  <c r="W576" i="4" s="1"/>
  <c r="X571" i="1"/>
  <c r="V569" i="4" s="1"/>
  <c r="Y555" i="1"/>
  <c r="W553" i="4" s="1"/>
  <c r="X537" i="1"/>
  <c r="V535" i="4" s="1"/>
  <c r="X533" i="1"/>
  <c r="V531" i="4" s="1"/>
  <c r="X483" i="1"/>
  <c r="V481" i="4" s="1"/>
  <c r="X474" i="1"/>
  <c r="V472" i="4" s="1"/>
  <c r="AA463" i="1"/>
  <c r="Y461" i="4" s="1"/>
  <c r="X439" i="1"/>
  <c r="V437" i="4" s="1"/>
  <c r="X372" i="1"/>
  <c r="V370" i="4" s="1"/>
  <c r="AA367" i="1"/>
  <c r="Y365" i="4" s="1"/>
  <c r="Y353" i="1"/>
  <c r="W351" i="4" s="1"/>
  <c r="X347" i="1"/>
  <c r="V345" i="4" s="1"/>
  <c r="X335" i="1"/>
  <c r="V333" i="4" s="1"/>
  <c r="X323" i="1"/>
  <c r="V321" i="4" s="1"/>
  <c r="X303" i="1"/>
  <c r="V301" i="4" s="1"/>
  <c r="X279" i="1"/>
  <c r="V277" i="4" s="1"/>
  <c r="X275" i="1"/>
  <c r="V273" i="4" s="1"/>
  <c r="Z253" i="1"/>
  <c r="X251" i="4" s="1"/>
  <c r="AA240" i="1"/>
  <c r="Y238" i="4" s="1"/>
  <c r="X621" i="1"/>
  <c r="V619" i="4" s="1"/>
  <c r="X617" i="1"/>
  <c r="V615" i="4" s="1"/>
  <c r="X605" i="1"/>
  <c r="V603" i="4" s="1"/>
  <c r="AA548" i="1"/>
  <c r="Y546" i="4" s="1"/>
  <c r="X532" i="1"/>
  <c r="V530" i="4" s="1"/>
  <c r="AA529" i="1"/>
  <c r="Y527" i="4" s="1"/>
  <c r="Y506" i="1"/>
  <c r="W504" i="4" s="1"/>
  <c r="Y497" i="1"/>
  <c r="W495" i="4" s="1"/>
  <c r="Z488" i="1"/>
  <c r="X486" i="4" s="1"/>
  <c r="Z479" i="1"/>
  <c r="X477" i="4" s="1"/>
  <c r="Z468" i="1"/>
  <c r="X466" i="4" s="1"/>
  <c r="X453" i="1"/>
  <c r="V451" i="4" s="1"/>
  <c r="X433" i="1"/>
  <c r="V431" i="4" s="1"/>
  <c r="X421" i="1"/>
  <c r="V419" i="4" s="1"/>
  <c r="X410" i="1"/>
  <c r="V408" i="4" s="1"/>
  <c r="X404" i="1"/>
  <c r="V402" i="4" s="1"/>
  <c r="X393" i="1"/>
  <c r="V391" i="4" s="1"/>
  <c r="X383" i="1"/>
  <c r="V381" i="4" s="1"/>
  <c r="Y377" i="1"/>
  <c r="W375" i="4" s="1"/>
  <c r="Z360" i="1"/>
  <c r="X358" i="4" s="1"/>
  <c r="Z329" i="1"/>
  <c r="X327" i="4" s="1"/>
  <c r="X315" i="1"/>
  <c r="V313" i="4" s="1"/>
  <c r="X309" i="1"/>
  <c r="V307" i="4" s="1"/>
  <c r="X296" i="1"/>
  <c r="V294" i="4" s="1"/>
  <c r="X248" i="1"/>
  <c r="V246" i="4" s="1"/>
  <c r="Y1530" i="1"/>
  <c r="AA1530" i="1"/>
  <c r="X1495" i="1"/>
  <c r="Y1495" i="1"/>
  <c r="Z1495" i="1"/>
  <c r="AA1495" i="1"/>
  <c r="Z1489" i="1"/>
  <c r="Y1489" i="1"/>
  <c r="Y1470" i="1"/>
  <c r="Z1470" i="1"/>
  <c r="AA1470" i="1"/>
  <c r="X1470" i="1"/>
  <c r="Z1285" i="1"/>
  <c r="X1283" i="4" s="1"/>
  <c r="AA1285" i="1"/>
  <c r="Y1283" i="4" s="1"/>
  <c r="X1285" i="1"/>
  <c r="V1283" i="4" s="1"/>
  <c r="Y1285" i="1"/>
  <c r="W1283" i="4" s="1"/>
  <c r="Z1273" i="1"/>
  <c r="X1271" i="4" s="1"/>
  <c r="AA1273" i="1"/>
  <c r="Y1271" i="4" s="1"/>
  <c r="X1273" i="1"/>
  <c r="V1271" i="4" s="1"/>
  <c r="Y1273" i="1"/>
  <c r="W1271" i="4" s="1"/>
  <c r="Z1261" i="1"/>
  <c r="X1259" i="4" s="1"/>
  <c r="AA1261" i="1"/>
  <c r="Y1259" i="4" s="1"/>
  <c r="X1261" i="1"/>
  <c r="V1259" i="4" s="1"/>
  <c r="Y1261" i="1"/>
  <c r="W1259" i="4" s="1"/>
  <c r="Y796" i="1"/>
  <c r="W794" i="4" s="1"/>
  <c r="Z796" i="1"/>
  <c r="X794" i="4" s="1"/>
  <c r="AA796" i="1"/>
  <c r="Y794" i="4" s="1"/>
  <c r="X796" i="1"/>
  <c r="V794" i="4" s="1"/>
  <c r="Y1518" i="1"/>
  <c r="AA1518" i="1"/>
  <c r="X1533" i="1"/>
  <c r="AA1533" i="1"/>
  <c r="X1521" i="1"/>
  <c r="Z1521" i="1"/>
  <c r="AA1521" i="1"/>
  <c r="Z1453" i="1"/>
  <c r="AA1453" i="1"/>
  <c r="Y1453" i="1"/>
  <c r="Z1405" i="1"/>
  <c r="X1403" i="4" s="1"/>
  <c r="AA1405" i="1"/>
  <c r="Y1403" i="4" s="1"/>
  <c r="X1405" i="1"/>
  <c r="V1403" i="4" s="1"/>
  <c r="Y1405" i="1"/>
  <c r="W1403" i="4" s="1"/>
  <c r="Z1357" i="1"/>
  <c r="X1355" i="4" s="1"/>
  <c r="AA1357" i="1"/>
  <c r="Y1355" i="4" s="1"/>
  <c r="X1357" i="1"/>
  <c r="V1355" i="4" s="1"/>
  <c r="Y1357" i="1"/>
  <c r="W1355" i="4" s="1"/>
  <c r="X1545" i="1"/>
  <c r="AA1545" i="1"/>
  <c r="Z1369" i="1"/>
  <c r="X1367" i="4" s="1"/>
  <c r="AA1369" i="1"/>
  <c r="Y1367" i="4" s="1"/>
  <c r="X1369" i="1"/>
  <c r="V1367" i="4" s="1"/>
  <c r="Y1369" i="1"/>
  <c r="W1367" i="4" s="1"/>
  <c r="AA1816" i="1"/>
  <c r="Z1809" i="1"/>
  <c r="AA1804" i="1"/>
  <c r="Z1797" i="1"/>
  <c r="AA1792" i="1"/>
  <c r="Z1785" i="1"/>
  <c r="AA1780" i="1"/>
  <c r="Z1773" i="1"/>
  <c r="AA1768" i="1"/>
  <c r="Z1761" i="1"/>
  <c r="AA1756" i="1"/>
  <c r="Z1749" i="1"/>
  <c r="AA1744" i="1"/>
  <c r="Z1737" i="1"/>
  <c r="AA1732" i="1"/>
  <c r="Z1725" i="1"/>
  <c r="AA1720" i="1"/>
  <c r="Z1713" i="1"/>
  <c r="AA1708" i="1"/>
  <c r="Z1701" i="1"/>
  <c r="AA1696" i="1"/>
  <c r="Z1689" i="1"/>
  <c r="AA1684" i="1"/>
  <c r="Z1677" i="1"/>
  <c r="AA1672" i="1"/>
  <c r="Z1665" i="1"/>
  <c r="AA1660" i="1"/>
  <c r="Z1653" i="1"/>
  <c r="AA1648" i="1"/>
  <c r="Z1641" i="1"/>
  <c r="AA1636" i="1"/>
  <c r="Z1629" i="1"/>
  <c r="AA1624" i="1"/>
  <c r="Z1617" i="1"/>
  <c r="AA1612" i="1"/>
  <c r="Z1605" i="1"/>
  <c r="AA1600" i="1"/>
  <c r="Z1593" i="1"/>
  <c r="AA1588" i="1"/>
  <c r="Z1581" i="1"/>
  <c r="AA1576" i="1"/>
  <c r="Z1569" i="1"/>
  <c r="AA1564" i="1"/>
  <c r="Y1557" i="1"/>
  <c r="Z1554" i="1"/>
  <c r="Z1549" i="1"/>
  <c r="Z1532" i="1"/>
  <c r="Z1520" i="1"/>
  <c r="X1508" i="1"/>
  <c r="Y1494" i="1"/>
  <c r="AA1494" i="1"/>
  <c r="X1494" i="1"/>
  <c r="X1485" i="1"/>
  <c r="Z1485" i="1"/>
  <c r="AA1485" i="1"/>
  <c r="Z1816" i="1"/>
  <c r="Z1804" i="1"/>
  <c r="Z1792" i="1"/>
  <c r="Z1780" i="1"/>
  <c r="Z1768" i="1"/>
  <c r="Z1756" i="1"/>
  <c r="Z1744" i="1"/>
  <c r="Z1732" i="1"/>
  <c r="Z1720" i="1"/>
  <c r="Z1708" i="1"/>
  <c r="Z1696" i="1"/>
  <c r="Z1684" i="1"/>
  <c r="Y1677" i="1"/>
  <c r="Z1672" i="1"/>
  <c r="Y1665" i="1"/>
  <c r="Z1660" i="1"/>
  <c r="Y1653" i="1"/>
  <c r="Z1648" i="1"/>
  <c r="Y1641" i="1"/>
  <c r="Z1636" i="1"/>
  <c r="Y1629" i="1"/>
  <c r="Z1624" i="1"/>
  <c r="Y1617" i="1"/>
  <c r="Z1612" i="1"/>
  <c r="Y1605" i="1"/>
  <c r="Z1600" i="1"/>
  <c r="Y1593" i="1"/>
  <c r="Z1588" i="1"/>
  <c r="Y1581" i="1"/>
  <c r="Z1576" i="1"/>
  <c r="Y1569" i="1"/>
  <c r="Z1564" i="1"/>
  <c r="AA1559" i="1"/>
  <c r="Y1554" i="1"/>
  <c r="Y1549" i="1"/>
  <c r="AA1535" i="1"/>
  <c r="AA1501" i="1"/>
  <c r="X1459" i="1"/>
  <c r="Y1459" i="1"/>
  <c r="Z1459" i="1"/>
  <c r="AA1459" i="1"/>
  <c r="Z1345" i="1"/>
  <c r="X1343" i="4" s="1"/>
  <c r="AA1345" i="1"/>
  <c r="Y1343" i="4" s="1"/>
  <c r="X1345" i="1"/>
  <c r="V1343" i="4" s="1"/>
  <c r="Y1345" i="1"/>
  <c r="W1343" i="4" s="1"/>
  <c r="X1212" i="1"/>
  <c r="V1210" i="4" s="1"/>
  <c r="AA1212" i="1"/>
  <c r="Y1210" i="4" s="1"/>
  <c r="Y1212" i="1"/>
  <c r="W1210" i="4" s="1"/>
  <c r="Z1212" i="1"/>
  <c r="X1210" i="4" s="1"/>
  <c r="AA1818" i="1"/>
  <c r="Y1816" i="1"/>
  <c r="AA1806" i="1"/>
  <c r="Y1804" i="1"/>
  <c r="AA1794" i="1"/>
  <c r="Y1792" i="1"/>
  <c r="AA1782" i="1"/>
  <c r="Y1780" i="1"/>
  <c r="AA1770" i="1"/>
  <c r="Y1768" i="1"/>
  <c r="AA1758" i="1"/>
  <c r="Y1756" i="1"/>
  <c r="AA1746" i="1"/>
  <c r="Y1744" i="1"/>
  <c r="AA1734" i="1"/>
  <c r="Y1732" i="1"/>
  <c r="AA1722" i="1"/>
  <c r="Y1720" i="1"/>
  <c r="AA1710" i="1"/>
  <c r="Y1708" i="1"/>
  <c r="AA1698" i="1"/>
  <c r="Y1696" i="1"/>
  <c r="AA1686" i="1"/>
  <c r="Y1684" i="1"/>
  <c r="AA1674" i="1"/>
  <c r="Y1672" i="1"/>
  <c r="AA1662" i="1"/>
  <c r="Y1660" i="1"/>
  <c r="AA1650" i="1"/>
  <c r="Y1648" i="1"/>
  <c r="AA1638" i="1"/>
  <c r="Y1636" i="1"/>
  <c r="AA1626" i="1"/>
  <c r="Y1624" i="1"/>
  <c r="AA1614" i="1"/>
  <c r="Y1612" i="1"/>
  <c r="AA1602" i="1"/>
  <c r="Y1600" i="1"/>
  <c r="AA1590" i="1"/>
  <c r="Y1588" i="1"/>
  <c r="AA1578" i="1"/>
  <c r="Y1576" i="1"/>
  <c r="AA1566" i="1"/>
  <c r="Y1564" i="1"/>
  <c r="Y1559" i="1"/>
  <c r="AA1556" i="1"/>
  <c r="X1554" i="1"/>
  <c r="X1532" i="1"/>
  <c r="AA1523" i="1"/>
  <c r="X1507" i="1"/>
  <c r="Y1507" i="1"/>
  <c r="Z1507" i="1"/>
  <c r="AA1507" i="1"/>
  <c r="Y1501" i="1"/>
  <c r="Y1458" i="1"/>
  <c r="Z1458" i="1"/>
  <c r="AA1458" i="1"/>
  <c r="X1458" i="1"/>
  <c r="Z1441" i="1"/>
  <c r="AA1441" i="1"/>
  <c r="X1441" i="1"/>
  <c r="Y1441" i="1"/>
  <c r="Z1393" i="1"/>
  <c r="X1391" i="4" s="1"/>
  <c r="AA1393" i="1"/>
  <c r="Y1391" i="4" s="1"/>
  <c r="X1393" i="1"/>
  <c r="V1391" i="4" s="1"/>
  <c r="Y1393" i="1"/>
  <c r="W1391" i="4" s="1"/>
  <c r="X1163" i="1"/>
  <c r="V1161" i="4" s="1"/>
  <c r="Y1163" i="1"/>
  <c r="W1161" i="4" s="1"/>
  <c r="Z1163" i="1"/>
  <c r="X1161" i="4" s="1"/>
  <c r="AA1163" i="1"/>
  <c r="Y1161" i="4" s="1"/>
  <c r="Z1818" i="1"/>
  <c r="Z1806" i="1"/>
  <c r="Z1794" i="1"/>
  <c r="Z1782" i="1"/>
  <c r="Z1770" i="1"/>
  <c r="Z1758" i="1"/>
  <c r="Z1746" i="1"/>
  <c r="Z1734" i="1"/>
  <c r="Z1722" i="1"/>
  <c r="Z1710" i="1"/>
  <c r="Z1698" i="1"/>
  <c r="Z1686" i="1"/>
  <c r="Z1674" i="1"/>
  <c r="Z1662" i="1"/>
  <c r="Z1650" i="1"/>
  <c r="Z1638" i="1"/>
  <c r="Z1626" i="1"/>
  <c r="Z1614" i="1"/>
  <c r="Z1602" i="1"/>
  <c r="Z1590" i="1"/>
  <c r="Z1578" i="1"/>
  <c r="Z1566" i="1"/>
  <c r="X1559" i="1"/>
  <c r="Z1556" i="1"/>
  <c r="X1535" i="1"/>
  <c r="Z1535" i="1"/>
  <c r="X1511" i="1"/>
  <c r="Z1511" i="1"/>
  <c r="X1501" i="1"/>
  <c r="Z1477" i="1"/>
  <c r="AA1477" i="1"/>
  <c r="Y1477" i="1"/>
  <c r="Z1333" i="1"/>
  <c r="X1331" i="4" s="1"/>
  <c r="AA1333" i="1"/>
  <c r="Y1331" i="4" s="1"/>
  <c r="X1333" i="1"/>
  <c r="V1331" i="4" s="1"/>
  <c r="Y1333" i="1"/>
  <c r="W1331" i="4" s="1"/>
  <c r="AA1808" i="1"/>
  <c r="AA1796" i="1"/>
  <c r="AA1784" i="1"/>
  <c r="AA1772" i="1"/>
  <c r="AA1760" i="1"/>
  <c r="AA1748" i="1"/>
  <c r="AA1736" i="1"/>
  <c r="AA1724" i="1"/>
  <c r="AA1712" i="1"/>
  <c r="AA1700" i="1"/>
  <c r="AA1688" i="1"/>
  <c r="AA1676" i="1"/>
  <c r="AA1664" i="1"/>
  <c r="AA1652" i="1"/>
  <c r="AA1640" i="1"/>
  <c r="AA1628" i="1"/>
  <c r="AA1616" i="1"/>
  <c r="AA1604" i="1"/>
  <c r="AA1592" i="1"/>
  <c r="AA1580" i="1"/>
  <c r="AA1568" i="1"/>
  <c r="AA1553" i="1"/>
  <c r="AA1548" i="1"/>
  <c r="AA1534" i="1"/>
  <c r="X1523" i="1"/>
  <c r="Z1523" i="1"/>
  <c r="X1483" i="1"/>
  <c r="Y1483" i="1"/>
  <c r="Z1483" i="1"/>
  <c r="AA1483" i="1"/>
  <c r="Z1234" i="1"/>
  <c r="X1232" i="4" s="1"/>
  <c r="AA1234" i="1"/>
  <c r="Y1232" i="4" s="1"/>
  <c r="X1234" i="1"/>
  <c r="V1232" i="4" s="1"/>
  <c r="Y1234" i="1"/>
  <c r="W1232" i="4" s="1"/>
  <c r="AA1815" i="1"/>
  <c r="Z1808" i="1"/>
  <c r="AA1803" i="1"/>
  <c r="Z1796" i="1"/>
  <c r="AA1791" i="1"/>
  <c r="Z1784" i="1"/>
  <c r="AA1779" i="1"/>
  <c r="Z1772" i="1"/>
  <c r="AA1767" i="1"/>
  <c r="Z1760" i="1"/>
  <c r="AA1755" i="1"/>
  <c r="Z1748" i="1"/>
  <c r="AA1743" i="1"/>
  <c r="Z1736" i="1"/>
  <c r="AA1731" i="1"/>
  <c r="Z1724" i="1"/>
  <c r="AA1719" i="1"/>
  <c r="Z1712" i="1"/>
  <c r="AA1707" i="1"/>
  <c r="Z1700" i="1"/>
  <c r="AA1695" i="1"/>
  <c r="Z1688" i="1"/>
  <c r="AA1683" i="1"/>
  <c r="Z1676" i="1"/>
  <c r="AA1671" i="1"/>
  <c r="Z1664" i="1"/>
  <c r="AA1659" i="1"/>
  <c r="Z1652" i="1"/>
  <c r="AA1647" i="1"/>
  <c r="Z1640" i="1"/>
  <c r="AA1635" i="1"/>
  <c r="Z1628" i="1"/>
  <c r="AA1623" i="1"/>
  <c r="Z1616" i="1"/>
  <c r="AA1611" i="1"/>
  <c r="Z1604" i="1"/>
  <c r="AA1599" i="1"/>
  <c r="Z1592" i="1"/>
  <c r="AA1587" i="1"/>
  <c r="Z1580" i="1"/>
  <c r="AA1575" i="1"/>
  <c r="Z1568" i="1"/>
  <c r="AA1563" i="1"/>
  <c r="AA1558" i="1"/>
  <c r="Z1553" i="1"/>
  <c r="Z1548" i="1"/>
  <c r="AA1537" i="1"/>
  <c r="Z1534" i="1"/>
  <c r="Z1531" i="1"/>
  <c r="AA1522" i="1"/>
  <c r="AA1513" i="1"/>
  <c r="Y1506" i="1"/>
  <c r="AA1506" i="1"/>
  <c r="X1447" i="1"/>
  <c r="Y1447" i="1"/>
  <c r="Z1447" i="1"/>
  <c r="AA1447" i="1"/>
  <c r="Z1429" i="1"/>
  <c r="X1427" i="4" s="1"/>
  <c r="AA1429" i="1"/>
  <c r="Y1427" i="4" s="1"/>
  <c r="X1429" i="1"/>
  <c r="V1427" i="4" s="1"/>
  <c r="Y1429" i="1"/>
  <c r="W1427" i="4" s="1"/>
  <c r="Z1381" i="1"/>
  <c r="X1379" i="4" s="1"/>
  <c r="AA1381" i="1"/>
  <c r="Y1379" i="4" s="1"/>
  <c r="X1381" i="1"/>
  <c r="V1379" i="4" s="1"/>
  <c r="Y1381" i="1"/>
  <c r="W1379" i="4" s="1"/>
  <c r="Z1321" i="1"/>
  <c r="X1319" i="4" s="1"/>
  <c r="AA1321" i="1"/>
  <c r="Y1319" i="4" s="1"/>
  <c r="X1321" i="1"/>
  <c r="V1319" i="4" s="1"/>
  <c r="Y1321" i="1"/>
  <c r="W1319" i="4" s="1"/>
  <c r="Y1076" i="1"/>
  <c r="W1074" i="4" s="1"/>
  <c r="Z1076" i="1"/>
  <c r="X1074" i="4" s="1"/>
  <c r="AA1076" i="1"/>
  <c r="Y1074" i="4" s="1"/>
  <c r="X1076" i="1"/>
  <c r="V1074" i="4" s="1"/>
  <c r="Z1417" i="1"/>
  <c r="X1415" i="4" s="1"/>
  <c r="AA1417" i="1"/>
  <c r="Y1415" i="4" s="1"/>
  <c r="X1417" i="1"/>
  <c r="V1415" i="4" s="1"/>
  <c r="Y1417" i="1"/>
  <c r="W1415" i="4" s="1"/>
  <c r="AA1496" i="1"/>
  <c r="Z1496" i="1"/>
  <c r="Z1249" i="1"/>
  <c r="X1247" i="4" s="1"/>
  <c r="AA1249" i="1"/>
  <c r="Y1247" i="4" s="1"/>
  <c r="X1249" i="1"/>
  <c r="V1247" i="4" s="1"/>
  <c r="Y1249" i="1"/>
  <c r="W1247" i="4" s="1"/>
  <c r="Z1815" i="1"/>
  <c r="AA1810" i="1"/>
  <c r="Y1808" i="1"/>
  <c r="Z1803" i="1"/>
  <c r="AA1798" i="1"/>
  <c r="Y1796" i="1"/>
  <c r="Z1791" i="1"/>
  <c r="AA1786" i="1"/>
  <c r="Y1784" i="1"/>
  <c r="Z1779" i="1"/>
  <c r="AA1774" i="1"/>
  <c r="Y1772" i="1"/>
  <c r="Z1767" i="1"/>
  <c r="AA1762" i="1"/>
  <c r="Y1760" i="1"/>
  <c r="Z1755" i="1"/>
  <c r="AA1750" i="1"/>
  <c r="Y1748" i="1"/>
  <c r="Z1743" i="1"/>
  <c r="AA1738" i="1"/>
  <c r="Y1736" i="1"/>
  <c r="Z1731" i="1"/>
  <c r="AA1726" i="1"/>
  <c r="Y1724" i="1"/>
  <c r="Z1719" i="1"/>
  <c r="AA1714" i="1"/>
  <c r="Y1712" i="1"/>
  <c r="Z1707" i="1"/>
  <c r="AA1702" i="1"/>
  <c r="Y1700" i="1"/>
  <c r="Z1695" i="1"/>
  <c r="AA1690" i="1"/>
  <c r="Y1688" i="1"/>
  <c r="Z1683" i="1"/>
  <c r="AA1678" i="1"/>
  <c r="Y1676" i="1"/>
  <c r="Z1671" i="1"/>
  <c r="AA1666" i="1"/>
  <c r="Y1664" i="1"/>
  <c r="Z1659" i="1"/>
  <c r="AA1654" i="1"/>
  <c r="Y1652" i="1"/>
  <c r="Z1647" i="1"/>
  <c r="AA1642" i="1"/>
  <c r="Y1640" i="1"/>
  <c r="Z1635" i="1"/>
  <c r="AA1630" i="1"/>
  <c r="Y1628" i="1"/>
  <c r="Z1623" i="1"/>
  <c r="AA1618" i="1"/>
  <c r="Y1616" i="1"/>
  <c r="Z1611" i="1"/>
  <c r="AA1606" i="1"/>
  <c r="Y1604" i="1"/>
  <c r="Z1599" i="1"/>
  <c r="AA1594" i="1"/>
  <c r="Y1592" i="1"/>
  <c r="Z1587" i="1"/>
  <c r="AA1582" i="1"/>
  <c r="Y1580" i="1"/>
  <c r="Z1575" i="1"/>
  <c r="AA1570" i="1"/>
  <c r="Y1568" i="1"/>
  <c r="Z1563" i="1"/>
  <c r="Z1558" i="1"/>
  <c r="Y1553" i="1"/>
  <c r="Y1548" i="1"/>
  <c r="Z1545" i="1"/>
  <c r="Z1542" i="1"/>
  <c r="Y1537" i="1"/>
  <c r="Y1534" i="1"/>
  <c r="AA1525" i="1"/>
  <c r="Z1522" i="1"/>
  <c r="X1519" i="1"/>
  <c r="Y1519" i="1"/>
  <c r="Y1513" i="1"/>
  <c r="X1497" i="1"/>
  <c r="Z1497" i="1"/>
  <c r="AA1497" i="1"/>
  <c r="Y1482" i="1"/>
  <c r="AA1482" i="1"/>
  <c r="X1482" i="1"/>
  <c r="X1081" i="1"/>
  <c r="V1079" i="4" s="1"/>
  <c r="Y1081" i="1"/>
  <c r="W1079" i="4" s="1"/>
  <c r="Z1081" i="1"/>
  <c r="X1079" i="4" s="1"/>
  <c r="AA1081" i="1"/>
  <c r="Y1079" i="4" s="1"/>
  <c r="X1509" i="1"/>
  <c r="Z1509" i="1"/>
  <c r="AA1509" i="1"/>
  <c r="X1471" i="1"/>
  <c r="Y1471" i="1"/>
  <c r="Z1471" i="1"/>
  <c r="AA1471" i="1"/>
  <c r="Z1297" i="1"/>
  <c r="X1295" i="4" s="1"/>
  <c r="AA1297" i="1"/>
  <c r="Y1295" i="4" s="1"/>
  <c r="X1297" i="1"/>
  <c r="V1295" i="4" s="1"/>
  <c r="Y1297" i="1"/>
  <c r="W1295" i="4" s="1"/>
  <c r="Y1545" i="1"/>
  <c r="Y1542" i="1"/>
  <c r="X1537" i="1"/>
  <c r="Y1525" i="1"/>
  <c r="Z1518" i="1"/>
  <c r="X1513" i="1"/>
  <c r="Y1496" i="1"/>
  <c r="Z1465" i="1"/>
  <c r="AA1465" i="1"/>
  <c r="Y1465" i="1"/>
  <c r="Z1309" i="1"/>
  <c r="X1307" i="4" s="1"/>
  <c r="AA1309" i="1"/>
  <c r="Y1307" i="4" s="1"/>
  <c r="X1309" i="1"/>
  <c r="V1307" i="4" s="1"/>
  <c r="Y1309" i="1"/>
  <c r="W1307" i="4" s="1"/>
  <c r="Z1484" i="1"/>
  <c r="Z1472" i="1"/>
  <c r="Z1460" i="1"/>
  <c r="Z1448" i="1"/>
  <c r="X1446" i="1"/>
  <c r="Z1436" i="1"/>
  <c r="X1434" i="1"/>
  <c r="Z1424" i="1"/>
  <c r="X1422" i="4" s="1"/>
  <c r="X1422" i="1"/>
  <c r="V1420" i="4" s="1"/>
  <c r="Z1412" i="1"/>
  <c r="X1410" i="4" s="1"/>
  <c r="X1410" i="1"/>
  <c r="V1408" i="4" s="1"/>
  <c r="Z1400" i="1"/>
  <c r="X1398" i="4" s="1"/>
  <c r="X1398" i="1"/>
  <c r="V1396" i="4" s="1"/>
  <c r="Z1388" i="1"/>
  <c r="X1386" i="4" s="1"/>
  <c r="X1386" i="1"/>
  <c r="V1384" i="4" s="1"/>
  <c r="Z1376" i="1"/>
  <c r="X1374" i="4" s="1"/>
  <c r="X1374" i="1"/>
  <c r="V1372" i="4" s="1"/>
  <c r="Z1364" i="1"/>
  <c r="X1362" i="4" s="1"/>
  <c r="X1362" i="1"/>
  <c r="V1360" i="4" s="1"/>
  <c r="Z1352" i="1"/>
  <c r="X1350" i="4" s="1"/>
  <c r="X1350" i="1"/>
  <c r="V1348" i="4" s="1"/>
  <c r="Z1340" i="1"/>
  <c r="X1338" i="4" s="1"/>
  <c r="X1338" i="1"/>
  <c r="V1336" i="4" s="1"/>
  <c r="Z1328" i="1"/>
  <c r="X1326" i="4" s="1"/>
  <c r="X1326" i="1"/>
  <c r="V1324" i="4" s="1"/>
  <c r="Z1316" i="1"/>
  <c r="X1314" i="4" s="1"/>
  <c r="X1314" i="1"/>
  <c r="V1312" i="4" s="1"/>
  <c r="Z1304" i="1"/>
  <c r="X1302" i="4" s="1"/>
  <c r="X1302" i="1"/>
  <c r="V1300" i="4" s="1"/>
  <c r="Z1292" i="1"/>
  <c r="X1290" i="4" s="1"/>
  <c r="X1290" i="1"/>
  <c r="V1288" i="4" s="1"/>
  <c r="AA1287" i="1"/>
  <c r="Y1285" i="4" s="1"/>
  <c r="Z1280" i="1"/>
  <c r="X1278" i="4" s="1"/>
  <c r="X1278" i="1"/>
  <c r="V1276" i="4" s="1"/>
  <c r="AA1275" i="1"/>
  <c r="Y1273" i="4" s="1"/>
  <c r="Z1268" i="1"/>
  <c r="X1266" i="4" s="1"/>
  <c r="X1266" i="1"/>
  <c r="V1264" i="4" s="1"/>
  <c r="AA1263" i="1"/>
  <c r="Y1261" i="4" s="1"/>
  <c r="Z1256" i="1"/>
  <c r="X1254" i="4" s="1"/>
  <c r="X1254" i="1"/>
  <c r="V1252" i="4" s="1"/>
  <c r="AA1251" i="1"/>
  <c r="Y1249" i="4" s="1"/>
  <c r="Z1244" i="1"/>
  <c r="X1242" i="4" s="1"/>
  <c r="X1242" i="1"/>
  <c r="V1240" i="4" s="1"/>
  <c r="AA1239" i="1"/>
  <c r="Y1237" i="4" s="1"/>
  <c r="X1237" i="1"/>
  <c r="V1235" i="4" s="1"/>
  <c r="X1222" i="1"/>
  <c r="V1220" i="4" s="1"/>
  <c r="Y1208" i="1"/>
  <c r="W1206" i="4" s="1"/>
  <c r="AA1208" i="1"/>
  <c r="Y1206" i="4" s="1"/>
  <c r="X1198" i="1"/>
  <c r="V1196" i="4" s="1"/>
  <c r="X1129" i="1"/>
  <c r="V1127" i="4" s="1"/>
  <c r="Y1129" i="1"/>
  <c r="W1127" i="4" s="1"/>
  <c r="Z1129" i="1"/>
  <c r="X1127" i="4" s="1"/>
  <c r="AA1129" i="1"/>
  <c r="Y1127" i="4" s="1"/>
  <c r="Y1124" i="1"/>
  <c r="W1122" i="4" s="1"/>
  <c r="Z1124" i="1"/>
  <c r="X1122" i="4" s="1"/>
  <c r="AA1124" i="1"/>
  <c r="Y1122" i="4" s="1"/>
  <c r="X1045" i="1"/>
  <c r="V1043" i="4" s="1"/>
  <c r="Y1045" i="1"/>
  <c r="W1043" i="4" s="1"/>
  <c r="Z1045" i="1"/>
  <c r="X1043" i="4" s="1"/>
  <c r="AA1045" i="1"/>
  <c r="Y1043" i="4" s="1"/>
  <c r="Y747" i="1"/>
  <c r="W745" i="4" s="1"/>
  <c r="Z747" i="1"/>
  <c r="X745" i="4" s="1"/>
  <c r="AA747" i="1"/>
  <c r="Y745" i="4" s="1"/>
  <c r="X747" i="1"/>
  <c r="V745" i="4" s="1"/>
  <c r="Y1040" i="1"/>
  <c r="W1038" i="4" s="1"/>
  <c r="Z1040" i="1"/>
  <c r="X1038" i="4" s="1"/>
  <c r="AA1040" i="1"/>
  <c r="Y1038" i="4" s="1"/>
  <c r="Z947" i="1"/>
  <c r="X945" i="4" s="1"/>
  <c r="X947" i="1"/>
  <c r="V945" i="4" s="1"/>
  <c r="Y947" i="1"/>
  <c r="W945" i="4" s="1"/>
  <c r="AA947" i="1"/>
  <c r="Y945" i="4" s="1"/>
  <c r="X358" i="1"/>
  <c r="V356" i="4" s="1"/>
  <c r="Y358" i="1"/>
  <c r="W356" i="4" s="1"/>
  <c r="Z358" i="1"/>
  <c r="X356" i="4" s="1"/>
  <c r="AA358" i="1"/>
  <c r="Y356" i="4" s="1"/>
  <c r="X1225" i="1"/>
  <c r="V1223" i="4" s="1"/>
  <c r="Z1225" i="1"/>
  <c r="X1223" i="4" s="1"/>
  <c r="X1221" i="1"/>
  <c r="V1219" i="4" s="1"/>
  <c r="Y1221" i="1"/>
  <c r="W1219" i="4" s="1"/>
  <c r="AA1221" i="1"/>
  <c r="Y1219" i="4" s="1"/>
  <c r="X1211" i="1"/>
  <c r="V1209" i="4" s="1"/>
  <c r="Y1211" i="1"/>
  <c r="W1209" i="4" s="1"/>
  <c r="Z1211" i="1"/>
  <c r="X1209" i="4" s="1"/>
  <c r="AA1211" i="1"/>
  <c r="Y1209" i="4" s="1"/>
  <c r="X1187" i="1"/>
  <c r="V1185" i="4" s="1"/>
  <c r="Y1187" i="1"/>
  <c r="W1185" i="4" s="1"/>
  <c r="Z1187" i="1"/>
  <c r="X1185" i="4" s="1"/>
  <c r="AA1187" i="1"/>
  <c r="Y1185" i="4" s="1"/>
  <c r="X1177" i="1"/>
  <c r="V1175" i="4" s="1"/>
  <c r="Z1177" i="1"/>
  <c r="X1175" i="4" s="1"/>
  <c r="AA1177" i="1"/>
  <c r="Y1175" i="4" s="1"/>
  <c r="X1153" i="1"/>
  <c r="V1151" i="4" s="1"/>
  <c r="Z1153" i="1"/>
  <c r="X1151" i="4" s="1"/>
  <c r="AA1153" i="1"/>
  <c r="Y1151" i="4" s="1"/>
  <c r="X1117" i="1"/>
  <c r="V1115" i="4" s="1"/>
  <c r="Y1117" i="1"/>
  <c r="W1115" i="4" s="1"/>
  <c r="Z1117" i="1"/>
  <c r="X1115" i="4" s="1"/>
  <c r="AA1117" i="1"/>
  <c r="Y1115" i="4" s="1"/>
  <c r="Y1112" i="1"/>
  <c r="W1110" i="4" s="1"/>
  <c r="Z1112" i="1"/>
  <c r="X1110" i="4" s="1"/>
  <c r="AA1112" i="1"/>
  <c r="Y1110" i="4" s="1"/>
  <c r="X1033" i="1"/>
  <c r="V1031" i="4" s="1"/>
  <c r="Y1033" i="1"/>
  <c r="W1031" i="4" s="1"/>
  <c r="Z1033" i="1"/>
  <c r="X1031" i="4" s="1"/>
  <c r="AA1033" i="1"/>
  <c r="Y1031" i="4" s="1"/>
  <c r="AA1435" i="1"/>
  <c r="AA1423" i="1"/>
  <c r="Y1421" i="4" s="1"/>
  <c r="AA1411" i="1"/>
  <c r="Y1409" i="4" s="1"/>
  <c r="AA1399" i="1"/>
  <c r="Y1397" i="4" s="1"/>
  <c r="AA1387" i="1"/>
  <c r="Y1385" i="4" s="1"/>
  <c r="AA1375" i="1"/>
  <c r="Y1373" i="4" s="1"/>
  <c r="AA1363" i="1"/>
  <c r="Y1361" i="4" s="1"/>
  <c r="AA1351" i="1"/>
  <c r="Y1349" i="4" s="1"/>
  <c r="AA1339" i="1"/>
  <c r="Y1337" i="4" s="1"/>
  <c r="AA1327" i="1"/>
  <c r="Y1325" i="4" s="1"/>
  <c r="AA1315" i="1"/>
  <c r="Y1313" i="4" s="1"/>
  <c r="AA1303" i="1"/>
  <c r="Y1301" i="4" s="1"/>
  <c r="AA1291" i="1"/>
  <c r="Y1289" i="4" s="1"/>
  <c r="AA1279" i="1"/>
  <c r="Y1277" i="4" s="1"/>
  <c r="AA1267" i="1"/>
  <c r="Y1265" i="4" s="1"/>
  <c r="AA1255" i="1"/>
  <c r="Y1253" i="4" s="1"/>
  <c r="AA1243" i="1"/>
  <c r="Y1241" i="4" s="1"/>
  <c r="X1201" i="1"/>
  <c r="V1199" i="4" s="1"/>
  <c r="Z1201" i="1"/>
  <c r="X1199" i="4" s="1"/>
  <c r="AA1201" i="1"/>
  <c r="Y1199" i="4" s="1"/>
  <c r="Y1172" i="1"/>
  <c r="W1170" i="4" s="1"/>
  <c r="AA1172" i="1"/>
  <c r="Y1170" i="4" s="1"/>
  <c r="Y1148" i="1"/>
  <c r="W1146" i="4" s="1"/>
  <c r="AA1148" i="1"/>
  <c r="Y1146" i="4" s="1"/>
  <c r="AA1138" i="1"/>
  <c r="Y1136" i="4" s="1"/>
  <c r="X1138" i="1"/>
  <c r="V1136" i="4" s="1"/>
  <c r="Y1028" i="1"/>
  <c r="W1026" i="4" s="1"/>
  <c r="Z1028" i="1"/>
  <c r="X1026" i="4" s="1"/>
  <c r="AA1028" i="1"/>
  <c r="Y1026" i="4" s="1"/>
  <c r="X995" i="1"/>
  <c r="V993" i="4" s="1"/>
  <c r="Y995" i="1"/>
  <c r="W993" i="4" s="1"/>
  <c r="Z995" i="1"/>
  <c r="X993" i="4" s="1"/>
  <c r="AA995" i="1"/>
  <c r="Y993" i="4" s="1"/>
  <c r="X837" i="1"/>
  <c r="V835" i="4" s="1"/>
  <c r="Y837" i="1"/>
  <c r="W835" i="4" s="1"/>
  <c r="Z837" i="1"/>
  <c r="X835" i="4" s="1"/>
  <c r="AA837" i="1"/>
  <c r="Y835" i="4" s="1"/>
  <c r="Z1435" i="1"/>
  <c r="Z1423" i="1"/>
  <c r="X1421" i="4" s="1"/>
  <c r="Z1411" i="1"/>
  <c r="X1409" i="4" s="1"/>
  <c r="Z1399" i="1"/>
  <c r="X1397" i="4" s="1"/>
  <c r="Z1387" i="1"/>
  <c r="X1385" i="4" s="1"/>
  <c r="Z1375" i="1"/>
  <c r="X1373" i="4" s="1"/>
  <c r="Z1363" i="1"/>
  <c r="X1361" i="4" s="1"/>
  <c r="Z1351" i="1"/>
  <c r="X1349" i="4" s="1"/>
  <c r="Z1339" i="1"/>
  <c r="X1337" i="4" s="1"/>
  <c r="Z1327" i="1"/>
  <c r="X1325" i="4" s="1"/>
  <c r="Z1315" i="1"/>
  <c r="X1313" i="4" s="1"/>
  <c r="Z1303" i="1"/>
  <c r="X1301" i="4" s="1"/>
  <c r="Z1291" i="1"/>
  <c r="X1289" i="4" s="1"/>
  <c r="Y1284" i="1"/>
  <c r="W1282" i="4" s="1"/>
  <c r="Z1279" i="1"/>
  <c r="X1277" i="4" s="1"/>
  <c r="Y1272" i="1"/>
  <c r="W1270" i="4" s="1"/>
  <c r="Z1267" i="1"/>
  <c r="X1265" i="4" s="1"/>
  <c r="Y1260" i="1"/>
  <c r="W1258" i="4" s="1"/>
  <c r="Z1255" i="1"/>
  <c r="X1253" i="4" s="1"/>
  <c r="Y1248" i="1"/>
  <c r="W1246" i="4" s="1"/>
  <c r="Z1243" i="1"/>
  <c r="X1241" i="4" s="1"/>
  <c r="Y1227" i="1"/>
  <c r="W1225" i="4" s="1"/>
  <c r="Z1224" i="1"/>
  <c r="X1222" i="4" s="1"/>
  <c r="Y1210" i="1"/>
  <c r="W1208" i="4" s="1"/>
  <c r="AA1162" i="1"/>
  <c r="Y1160" i="4" s="1"/>
  <c r="X1162" i="1"/>
  <c r="V1160" i="4" s="1"/>
  <c r="X1069" i="1"/>
  <c r="V1067" i="4" s="1"/>
  <c r="Y1069" i="1"/>
  <c r="W1067" i="4" s="1"/>
  <c r="Z1069" i="1"/>
  <c r="X1067" i="4" s="1"/>
  <c r="AA1069" i="1"/>
  <c r="Y1067" i="4" s="1"/>
  <c r="Y1064" i="1"/>
  <c r="W1062" i="4" s="1"/>
  <c r="Z1064" i="1"/>
  <c r="X1062" i="4" s="1"/>
  <c r="AA1064" i="1"/>
  <c r="Y1062" i="4" s="1"/>
  <c r="Y986" i="1"/>
  <c r="W984" i="4" s="1"/>
  <c r="AA986" i="1"/>
  <c r="Y984" i="4" s="1"/>
  <c r="X986" i="1"/>
  <c r="V984" i="4" s="1"/>
  <c r="Z986" i="1"/>
  <c r="X984" i="4" s="1"/>
  <c r="X953" i="1"/>
  <c r="V951" i="4" s="1"/>
  <c r="Y953" i="1"/>
  <c r="W951" i="4" s="1"/>
  <c r="Z953" i="1"/>
  <c r="X951" i="4" s="1"/>
  <c r="AA953" i="1"/>
  <c r="Y951" i="4" s="1"/>
  <c r="Y868" i="1"/>
  <c r="W866" i="4" s="1"/>
  <c r="Z868" i="1"/>
  <c r="X866" i="4" s="1"/>
  <c r="AA868" i="1"/>
  <c r="Y866" i="4" s="1"/>
  <c r="AA1473" i="1"/>
  <c r="AA1461" i="1"/>
  <c r="AA1449" i="1"/>
  <c r="AA1437" i="1"/>
  <c r="Y1435" i="1"/>
  <c r="AA1425" i="1"/>
  <c r="Y1423" i="4" s="1"/>
  <c r="Y1423" i="1"/>
  <c r="W1421" i="4" s="1"/>
  <c r="AA1413" i="1"/>
  <c r="Y1411" i="4" s="1"/>
  <c r="Y1411" i="1"/>
  <c r="W1409" i="4" s="1"/>
  <c r="AA1401" i="1"/>
  <c r="Y1399" i="4" s="1"/>
  <c r="Y1399" i="1"/>
  <c r="W1397" i="4" s="1"/>
  <c r="AA1389" i="1"/>
  <c r="Y1387" i="4" s="1"/>
  <c r="Y1387" i="1"/>
  <c r="W1385" i="4" s="1"/>
  <c r="AA1377" i="1"/>
  <c r="Y1375" i="4" s="1"/>
  <c r="Y1375" i="1"/>
  <c r="W1373" i="4" s="1"/>
  <c r="AA1365" i="1"/>
  <c r="Y1363" i="4" s="1"/>
  <c r="Y1363" i="1"/>
  <c r="W1361" i="4" s="1"/>
  <c r="AA1353" i="1"/>
  <c r="Y1351" i="4" s="1"/>
  <c r="Y1351" i="1"/>
  <c r="W1349" i="4" s="1"/>
  <c r="AA1341" i="1"/>
  <c r="Y1339" i="4" s="1"/>
  <c r="Y1339" i="1"/>
  <c r="W1337" i="4" s="1"/>
  <c r="AA1329" i="1"/>
  <c r="Y1327" i="4" s="1"/>
  <c r="Y1327" i="1"/>
  <c r="W1325" i="4" s="1"/>
  <c r="AA1317" i="1"/>
  <c r="Y1315" i="4" s="1"/>
  <c r="Y1315" i="1"/>
  <c r="W1313" i="4" s="1"/>
  <c r="AA1305" i="1"/>
  <c r="Y1303" i="4" s="1"/>
  <c r="Y1303" i="1"/>
  <c r="W1301" i="4" s="1"/>
  <c r="AA1293" i="1"/>
  <c r="Y1291" i="4" s="1"/>
  <c r="Y1291" i="1"/>
  <c r="W1289" i="4" s="1"/>
  <c r="AA1281" i="1"/>
  <c r="Y1279" i="4" s="1"/>
  <c r="Y1279" i="1"/>
  <c r="W1277" i="4" s="1"/>
  <c r="AA1269" i="1"/>
  <c r="Y1267" i="4" s="1"/>
  <c r="Y1267" i="1"/>
  <c r="W1265" i="4" s="1"/>
  <c r="AA1257" i="1"/>
  <c r="Y1255" i="4" s="1"/>
  <c r="Y1255" i="1"/>
  <c r="W1253" i="4" s="1"/>
  <c r="AA1245" i="1"/>
  <c r="Y1243" i="4" s="1"/>
  <c r="Y1243" i="1"/>
  <c r="W1241" i="4" s="1"/>
  <c r="Y1230" i="1"/>
  <c r="W1228" i="4" s="1"/>
  <c r="AA1230" i="1"/>
  <c r="Y1228" i="4" s="1"/>
  <c r="X1227" i="1"/>
  <c r="V1225" i="4" s="1"/>
  <c r="Y1224" i="1"/>
  <c r="W1222" i="4" s="1"/>
  <c r="Y1220" i="1"/>
  <c r="W1218" i="4" s="1"/>
  <c r="AA1220" i="1"/>
  <c r="Y1218" i="4" s="1"/>
  <c r="X1210" i="1"/>
  <c r="V1208" i="4" s="1"/>
  <c r="Y1196" i="1"/>
  <c r="W1194" i="4" s="1"/>
  <c r="AA1196" i="1"/>
  <c r="Y1194" i="4" s="1"/>
  <c r="AA1186" i="1"/>
  <c r="Y1184" i="4" s="1"/>
  <c r="X1186" i="1"/>
  <c r="V1184" i="4" s="1"/>
  <c r="X1105" i="1"/>
  <c r="V1103" i="4" s="1"/>
  <c r="Y1105" i="1"/>
  <c r="W1103" i="4" s="1"/>
  <c r="Z1105" i="1"/>
  <c r="X1103" i="4" s="1"/>
  <c r="AA1105" i="1"/>
  <c r="Y1103" i="4" s="1"/>
  <c r="Y1100" i="1"/>
  <c r="W1098" i="4" s="1"/>
  <c r="Z1100" i="1"/>
  <c r="X1098" i="4" s="1"/>
  <c r="AA1100" i="1"/>
  <c r="Y1098" i="4" s="1"/>
  <c r="X1021" i="1"/>
  <c r="V1019" i="4" s="1"/>
  <c r="Y1021" i="1"/>
  <c r="W1019" i="4" s="1"/>
  <c r="Z1021" i="1"/>
  <c r="X1019" i="4" s="1"/>
  <c r="AA1021" i="1"/>
  <c r="Y1019" i="4" s="1"/>
  <c r="X1003" i="1"/>
  <c r="V1001" i="4" s="1"/>
  <c r="Z1003" i="1"/>
  <c r="X1001" i="4" s="1"/>
  <c r="AA1003" i="1"/>
  <c r="Y1001" i="4" s="1"/>
  <c r="X957" i="1"/>
  <c r="V955" i="4" s="1"/>
  <c r="Z957" i="1"/>
  <c r="X955" i="4" s="1"/>
  <c r="AA957" i="1"/>
  <c r="Y955" i="4" s="1"/>
  <c r="Z1473" i="1"/>
  <c r="Z1461" i="1"/>
  <c r="Z1449" i="1"/>
  <c r="Z1437" i="1"/>
  <c r="Z1425" i="1"/>
  <c r="X1423" i="4" s="1"/>
  <c r="Z1413" i="1"/>
  <c r="X1411" i="4" s="1"/>
  <c r="Z1401" i="1"/>
  <c r="X1399" i="4" s="1"/>
  <c r="Z1389" i="1"/>
  <c r="X1387" i="4" s="1"/>
  <c r="Z1377" i="1"/>
  <c r="X1375" i="4" s="1"/>
  <c r="Z1365" i="1"/>
  <c r="X1363" i="4" s="1"/>
  <c r="Z1353" i="1"/>
  <c r="X1351" i="4" s="1"/>
  <c r="Z1341" i="1"/>
  <c r="X1339" i="4" s="1"/>
  <c r="Z1329" i="1"/>
  <c r="X1327" i="4" s="1"/>
  <c r="Z1317" i="1"/>
  <c r="X1315" i="4" s="1"/>
  <c r="Z1305" i="1"/>
  <c r="X1303" i="4" s="1"/>
  <c r="Z1293" i="1"/>
  <c r="X1291" i="4" s="1"/>
  <c r="Z1281" i="1"/>
  <c r="X1279" i="4" s="1"/>
  <c r="Z1269" i="1"/>
  <c r="X1267" i="4" s="1"/>
  <c r="Z1257" i="1"/>
  <c r="X1255" i="4" s="1"/>
  <c r="Z1245" i="1"/>
  <c r="X1243" i="4" s="1"/>
  <c r="Z1232" i="1"/>
  <c r="X1230" i="4" s="1"/>
  <c r="Y1016" i="1"/>
  <c r="W1014" i="4" s="1"/>
  <c r="Z1016" i="1"/>
  <c r="X1014" i="4" s="1"/>
  <c r="AA1016" i="1"/>
  <c r="Y1014" i="4" s="1"/>
  <c r="X909" i="1"/>
  <c r="V907" i="4" s="1"/>
  <c r="Y909" i="1"/>
  <c r="W907" i="4" s="1"/>
  <c r="Z909" i="1"/>
  <c r="X907" i="4" s="1"/>
  <c r="X1175" i="1"/>
  <c r="V1173" i="4" s="1"/>
  <c r="Y1175" i="1"/>
  <c r="W1173" i="4" s="1"/>
  <c r="Z1175" i="1"/>
  <c r="X1173" i="4" s="1"/>
  <c r="AA1175" i="1"/>
  <c r="Y1173" i="4" s="1"/>
  <c r="X1151" i="1"/>
  <c r="V1149" i="4" s="1"/>
  <c r="Y1151" i="1"/>
  <c r="W1149" i="4" s="1"/>
  <c r="Z1151" i="1"/>
  <c r="X1149" i="4" s="1"/>
  <c r="AA1151" i="1"/>
  <c r="Y1149" i="4" s="1"/>
  <c r="X1141" i="1"/>
  <c r="V1139" i="4" s="1"/>
  <c r="Y1141" i="1"/>
  <c r="W1139" i="4" s="1"/>
  <c r="Z1141" i="1"/>
  <c r="X1139" i="4" s="1"/>
  <c r="AA1141" i="1"/>
  <c r="Y1139" i="4" s="1"/>
  <c r="Y1136" i="1"/>
  <c r="W1134" i="4" s="1"/>
  <c r="Z1136" i="1"/>
  <c r="X1134" i="4" s="1"/>
  <c r="AA1136" i="1"/>
  <c r="Y1134" i="4" s="1"/>
  <c r="X1057" i="1"/>
  <c r="V1055" i="4" s="1"/>
  <c r="Y1057" i="1"/>
  <c r="W1055" i="4" s="1"/>
  <c r="Z1057" i="1"/>
  <c r="X1055" i="4" s="1"/>
  <c r="AA1057" i="1"/>
  <c r="Y1055" i="4" s="1"/>
  <c r="X967" i="1"/>
  <c r="V965" i="4" s="1"/>
  <c r="Z967" i="1"/>
  <c r="X965" i="4" s="1"/>
  <c r="AA967" i="1"/>
  <c r="Y965" i="4" s="1"/>
  <c r="Z1499" i="1"/>
  <c r="Z1487" i="1"/>
  <c r="Z1475" i="1"/>
  <c r="Z1463" i="1"/>
  <c r="Z1451" i="1"/>
  <c r="AA1446" i="1"/>
  <c r="Z1439" i="1"/>
  <c r="AA1434" i="1"/>
  <c r="Z1427" i="1"/>
  <c r="X1425" i="4" s="1"/>
  <c r="AA1422" i="1"/>
  <c r="Y1420" i="4" s="1"/>
  <c r="Z1415" i="1"/>
  <c r="X1413" i="4" s="1"/>
  <c r="AA1410" i="1"/>
  <c r="Y1408" i="4" s="1"/>
  <c r="Z1403" i="1"/>
  <c r="X1401" i="4" s="1"/>
  <c r="AA1398" i="1"/>
  <c r="Y1396" i="4" s="1"/>
  <c r="Z1391" i="1"/>
  <c r="X1389" i="4" s="1"/>
  <c r="AA1386" i="1"/>
  <c r="Y1384" i="4" s="1"/>
  <c r="Z1379" i="1"/>
  <c r="X1377" i="4" s="1"/>
  <c r="AA1374" i="1"/>
  <c r="Y1372" i="4" s="1"/>
  <c r="Z1367" i="1"/>
  <c r="X1365" i="4" s="1"/>
  <c r="AA1362" i="1"/>
  <c r="Y1360" i="4" s="1"/>
  <c r="Z1355" i="1"/>
  <c r="X1353" i="4" s="1"/>
  <c r="AA1350" i="1"/>
  <c r="Y1348" i="4" s="1"/>
  <c r="Z1343" i="1"/>
  <c r="X1341" i="4" s="1"/>
  <c r="AA1338" i="1"/>
  <c r="Y1336" i="4" s="1"/>
  <c r="Z1331" i="1"/>
  <c r="X1329" i="4" s="1"/>
  <c r="AA1326" i="1"/>
  <c r="Y1324" i="4" s="1"/>
  <c r="Z1319" i="1"/>
  <c r="X1317" i="4" s="1"/>
  <c r="AA1314" i="1"/>
  <c r="Y1312" i="4" s="1"/>
  <c r="Z1307" i="1"/>
  <c r="X1305" i="4" s="1"/>
  <c r="AA1302" i="1"/>
  <c r="Y1300" i="4" s="1"/>
  <c r="Z1295" i="1"/>
  <c r="X1293" i="4" s="1"/>
  <c r="AA1290" i="1"/>
  <c r="Y1288" i="4" s="1"/>
  <c r="Z1283" i="1"/>
  <c r="X1281" i="4" s="1"/>
  <c r="AA1278" i="1"/>
  <c r="Y1276" i="4" s="1"/>
  <c r="Z1271" i="1"/>
  <c r="X1269" i="4" s="1"/>
  <c r="AA1266" i="1"/>
  <c r="Y1264" i="4" s="1"/>
  <c r="Z1259" i="1"/>
  <c r="X1257" i="4" s="1"/>
  <c r="AA1254" i="1"/>
  <c r="Y1252" i="4" s="1"/>
  <c r="Z1247" i="1"/>
  <c r="X1245" i="4" s="1"/>
  <c r="AA1242" i="1"/>
  <c r="Y1240" i="4" s="1"/>
  <c r="X1235" i="1"/>
  <c r="V1233" i="4" s="1"/>
  <c r="Z1235" i="1"/>
  <c r="X1233" i="4" s="1"/>
  <c r="X1232" i="1"/>
  <c r="V1230" i="4" s="1"/>
  <c r="X1223" i="1"/>
  <c r="V1221" i="4" s="1"/>
  <c r="Z1223" i="1"/>
  <c r="X1221" i="4" s="1"/>
  <c r="AA1223" i="1"/>
  <c r="Y1221" i="4" s="1"/>
  <c r="X1199" i="1"/>
  <c r="V1197" i="4" s="1"/>
  <c r="Y1199" i="1"/>
  <c r="W1197" i="4" s="1"/>
  <c r="Z1199" i="1"/>
  <c r="X1197" i="4" s="1"/>
  <c r="AA1199" i="1"/>
  <c r="Y1197" i="4" s="1"/>
  <c r="X1165" i="1"/>
  <c r="V1163" i="4" s="1"/>
  <c r="Z1165" i="1"/>
  <c r="X1163" i="4" s="1"/>
  <c r="AA1165" i="1"/>
  <c r="Y1163" i="4" s="1"/>
  <c r="Y1052" i="1"/>
  <c r="W1050" i="4" s="1"/>
  <c r="Z1052" i="1"/>
  <c r="X1050" i="4" s="1"/>
  <c r="AA1052" i="1"/>
  <c r="Y1050" i="4" s="1"/>
  <c r="X989" i="1"/>
  <c r="V987" i="4" s="1"/>
  <c r="Z989" i="1"/>
  <c r="X987" i="4" s="1"/>
  <c r="AA989" i="1"/>
  <c r="Y987" i="4" s="1"/>
  <c r="Z1446" i="1"/>
  <c r="Z1434" i="1"/>
  <c r="Z1422" i="1"/>
  <c r="X1420" i="4" s="1"/>
  <c r="Z1410" i="1"/>
  <c r="X1408" i="4" s="1"/>
  <c r="Z1398" i="1"/>
  <c r="X1396" i="4" s="1"/>
  <c r="Z1386" i="1"/>
  <c r="X1384" i="4" s="1"/>
  <c r="Z1374" i="1"/>
  <c r="X1372" i="4" s="1"/>
  <c r="Z1362" i="1"/>
  <c r="X1360" i="4" s="1"/>
  <c r="Z1350" i="1"/>
  <c r="X1348" i="4" s="1"/>
  <c r="Z1338" i="1"/>
  <c r="X1336" i="4" s="1"/>
  <c r="Z1326" i="1"/>
  <c r="X1324" i="4" s="1"/>
  <c r="Z1314" i="1"/>
  <c r="X1312" i="4" s="1"/>
  <c r="Z1302" i="1"/>
  <c r="X1300" i="4" s="1"/>
  <c r="Z1290" i="1"/>
  <c r="X1288" i="4" s="1"/>
  <c r="Z1278" i="1"/>
  <c r="X1276" i="4" s="1"/>
  <c r="Z1266" i="1"/>
  <c r="X1264" i="4" s="1"/>
  <c r="Z1254" i="1"/>
  <c r="X1252" i="4" s="1"/>
  <c r="Z1242" i="1"/>
  <c r="X1240" i="4" s="1"/>
  <c r="AA1237" i="1"/>
  <c r="Y1235" i="4" s="1"/>
  <c r="Z1222" i="1"/>
  <c r="X1220" i="4" s="1"/>
  <c r="X1213" i="1"/>
  <c r="V1211" i="4" s="1"/>
  <c r="Z1213" i="1"/>
  <c r="X1211" i="4" s="1"/>
  <c r="AA1213" i="1"/>
  <c r="Y1211" i="4" s="1"/>
  <c r="Z1198" i="1"/>
  <c r="X1196" i="4" s="1"/>
  <c r="X1189" i="1"/>
  <c r="V1187" i="4" s="1"/>
  <c r="Z1189" i="1"/>
  <c r="X1187" i="4" s="1"/>
  <c r="AA1189" i="1"/>
  <c r="Y1187" i="4" s="1"/>
  <c r="Y1160" i="1"/>
  <c r="W1158" i="4" s="1"/>
  <c r="AA1160" i="1"/>
  <c r="Y1158" i="4" s="1"/>
  <c r="X1093" i="1"/>
  <c r="V1091" i="4" s="1"/>
  <c r="Y1093" i="1"/>
  <c r="W1091" i="4" s="1"/>
  <c r="Z1093" i="1"/>
  <c r="X1091" i="4" s="1"/>
  <c r="AA1093" i="1"/>
  <c r="Y1091" i="4" s="1"/>
  <c r="Y1088" i="1"/>
  <c r="W1086" i="4" s="1"/>
  <c r="Z1088" i="1"/>
  <c r="X1086" i="4" s="1"/>
  <c r="AA1088" i="1"/>
  <c r="Y1086" i="4" s="1"/>
  <c r="Y1237" i="1"/>
  <c r="W1235" i="4" s="1"/>
  <c r="Y1222" i="1"/>
  <c r="W1220" i="4" s="1"/>
  <c r="X1208" i="1"/>
  <c r="V1206" i="4" s="1"/>
  <c r="Y1198" i="1"/>
  <c r="W1196" i="4" s="1"/>
  <c r="Y1184" i="1"/>
  <c r="W1182" i="4" s="1"/>
  <c r="AA1184" i="1"/>
  <c r="Y1182" i="4" s="1"/>
  <c r="AA1174" i="1"/>
  <c r="Y1172" i="4" s="1"/>
  <c r="X1174" i="1"/>
  <c r="V1172" i="4" s="1"/>
  <c r="AA1150" i="1"/>
  <c r="Y1148" i="4" s="1"/>
  <c r="X1150" i="1"/>
  <c r="V1148" i="4" s="1"/>
  <c r="X1124" i="1"/>
  <c r="V1122" i="4" s="1"/>
  <c r="X977" i="1"/>
  <c r="V975" i="4" s="1"/>
  <c r="Y977" i="1"/>
  <c r="W975" i="4" s="1"/>
  <c r="Z977" i="1"/>
  <c r="X975" i="4" s="1"/>
  <c r="AA977" i="1"/>
  <c r="Y975" i="4" s="1"/>
  <c r="X1126" i="1"/>
  <c r="V1124" i="4" s="1"/>
  <c r="X1114" i="1"/>
  <c r="V1112" i="4" s="1"/>
  <c r="X1102" i="1"/>
  <c r="V1100" i="4" s="1"/>
  <c r="X1090" i="1"/>
  <c r="V1088" i="4" s="1"/>
  <c r="X1078" i="1"/>
  <c r="V1076" i="4" s="1"/>
  <c r="X1066" i="1"/>
  <c r="V1064" i="4" s="1"/>
  <c r="X1054" i="1"/>
  <c r="V1052" i="4" s="1"/>
  <c r="X1042" i="1"/>
  <c r="V1040" i="4" s="1"/>
  <c r="X1030" i="1"/>
  <c r="V1028" i="4" s="1"/>
  <c r="X1018" i="1"/>
  <c r="V1016" i="4" s="1"/>
  <c r="X997" i="1"/>
  <c r="V995" i="4" s="1"/>
  <c r="X933" i="1"/>
  <c r="V931" i="4" s="1"/>
  <c r="Z933" i="1"/>
  <c r="X931" i="4" s="1"/>
  <c r="X929" i="1"/>
  <c r="V927" i="4" s="1"/>
  <c r="Y929" i="1"/>
  <c r="W927" i="4" s="1"/>
  <c r="Z929" i="1"/>
  <c r="X927" i="4" s="1"/>
  <c r="AA929" i="1"/>
  <c r="Y927" i="4" s="1"/>
  <c r="X789" i="1"/>
  <c r="V787" i="4" s="1"/>
  <c r="Y789" i="1"/>
  <c r="W787" i="4" s="1"/>
  <c r="Z789" i="1"/>
  <c r="X787" i="4" s="1"/>
  <c r="AA789" i="1"/>
  <c r="Y787" i="4" s="1"/>
  <c r="Y558" i="1"/>
  <c r="W556" i="4" s="1"/>
  <c r="Z558" i="1"/>
  <c r="X556" i="4" s="1"/>
  <c r="AA558" i="1"/>
  <c r="Y556" i="4" s="1"/>
  <c r="X539" i="1"/>
  <c r="V537" i="4" s="1"/>
  <c r="Y539" i="1"/>
  <c r="W537" i="4" s="1"/>
  <c r="Z539" i="1"/>
  <c r="X537" i="4" s="1"/>
  <c r="AA539" i="1"/>
  <c r="Y537" i="4" s="1"/>
  <c r="Y976" i="1"/>
  <c r="W974" i="4" s="1"/>
  <c r="AA976" i="1"/>
  <c r="Y974" i="4" s="1"/>
  <c r="X943" i="1"/>
  <c r="V941" i="4" s="1"/>
  <c r="Z943" i="1"/>
  <c r="X941" i="4" s="1"/>
  <c r="AA943" i="1"/>
  <c r="Y941" i="4" s="1"/>
  <c r="X919" i="1"/>
  <c r="V917" i="4" s="1"/>
  <c r="Z919" i="1"/>
  <c r="X917" i="4" s="1"/>
  <c r="AA919" i="1"/>
  <c r="Y917" i="4" s="1"/>
  <c r="Y904" i="1"/>
  <c r="W902" i="4" s="1"/>
  <c r="Z904" i="1"/>
  <c r="X902" i="4" s="1"/>
  <c r="AA904" i="1"/>
  <c r="Y902" i="4" s="1"/>
  <c r="X861" i="1"/>
  <c r="V859" i="4" s="1"/>
  <c r="Y861" i="1"/>
  <c r="W859" i="4" s="1"/>
  <c r="Z861" i="1"/>
  <c r="X859" i="4" s="1"/>
  <c r="AA861" i="1"/>
  <c r="Y859" i="4" s="1"/>
  <c r="Y832" i="1"/>
  <c r="W830" i="4" s="1"/>
  <c r="Z832" i="1"/>
  <c r="X830" i="4" s="1"/>
  <c r="AA832" i="1"/>
  <c r="Y830" i="4" s="1"/>
  <c r="AA1209" i="1"/>
  <c r="Y1207" i="4" s="1"/>
  <c r="AA1197" i="1"/>
  <c r="Y1195" i="4" s="1"/>
  <c r="AA1185" i="1"/>
  <c r="Y1183" i="4" s="1"/>
  <c r="AA1173" i="1"/>
  <c r="Y1171" i="4" s="1"/>
  <c r="AA1161" i="1"/>
  <c r="Y1159" i="4" s="1"/>
  <c r="AA1149" i="1"/>
  <c r="Y1147" i="4" s="1"/>
  <c r="AA1137" i="1"/>
  <c r="Y1135" i="4" s="1"/>
  <c r="AA1125" i="1"/>
  <c r="Y1123" i="4" s="1"/>
  <c r="AA1113" i="1"/>
  <c r="Y1111" i="4" s="1"/>
  <c r="AA1101" i="1"/>
  <c r="Y1099" i="4" s="1"/>
  <c r="AA1089" i="1"/>
  <c r="Y1087" i="4" s="1"/>
  <c r="AA1077" i="1"/>
  <c r="Y1075" i="4" s="1"/>
  <c r="AA1065" i="1"/>
  <c r="Y1063" i="4" s="1"/>
  <c r="X1005" i="1"/>
  <c r="V1003" i="4" s="1"/>
  <c r="X988" i="1"/>
  <c r="V986" i="4" s="1"/>
  <c r="Y952" i="1"/>
  <c r="W950" i="4" s="1"/>
  <c r="AA952" i="1"/>
  <c r="Y950" i="4" s="1"/>
  <c r="X897" i="1"/>
  <c r="V895" i="4" s="1"/>
  <c r="Y897" i="1"/>
  <c r="W895" i="4" s="1"/>
  <c r="Z897" i="1"/>
  <c r="X895" i="4" s="1"/>
  <c r="AA897" i="1"/>
  <c r="Y895" i="4" s="1"/>
  <c r="Y784" i="1"/>
  <c r="W782" i="4" s="1"/>
  <c r="Z784" i="1"/>
  <c r="X782" i="4" s="1"/>
  <c r="AA784" i="1"/>
  <c r="Y782" i="4" s="1"/>
  <c r="Y714" i="1"/>
  <c r="W712" i="4" s="1"/>
  <c r="Z714" i="1"/>
  <c r="X712" i="4" s="1"/>
  <c r="AA714" i="1"/>
  <c r="Y712" i="4" s="1"/>
  <c r="X714" i="1"/>
  <c r="V712" i="4" s="1"/>
  <c r="Y642" i="1"/>
  <c r="W640" i="4" s="1"/>
  <c r="Z642" i="1"/>
  <c r="X640" i="4" s="1"/>
  <c r="AA642" i="1"/>
  <c r="Y640" i="4" s="1"/>
  <c r="X623" i="1"/>
  <c r="V621" i="4" s="1"/>
  <c r="Y623" i="1"/>
  <c r="W621" i="4" s="1"/>
  <c r="Z623" i="1"/>
  <c r="X621" i="4" s="1"/>
  <c r="AA623" i="1"/>
  <c r="Y621" i="4" s="1"/>
  <c r="X991" i="1"/>
  <c r="V989" i="4" s="1"/>
  <c r="Z991" i="1"/>
  <c r="X989" i="4" s="1"/>
  <c r="Y928" i="1"/>
  <c r="W926" i="4" s="1"/>
  <c r="AA928" i="1"/>
  <c r="Y926" i="4" s="1"/>
  <c r="Y856" i="1"/>
  <c r="W854" i="4" s="1"/>
  <c r="Z856" i="1"/>
  <c r="X854" i="4" s="1"/>
  <c r="AA856" i="1"/>
  <c r="Y854" i="4" s="1"/>
  <c r="X825" i="1"/>
  <c r="V823" i="4" s="1"/>
  <c r="Y825" i="1"/>
  <c r="W823" i="4" s="1"/>
  <c r="Z825" i="1"/>
  <c r="X823" i="4" s="1"/>
  <c r="AA825" i="1"/>
  <c r="Y823" i="4" s="1"/>
  <c r="X777" i="1"/>
  <c r="V775" i="4" s="1"/>
  <c r="Y777" i="1"/>
  <c r="W775" i="4" s="1"/>
  <c r="Z777" i="1"/>
  <c r="X775" i="4" s="1"/>
  <c r="AA777" i="1"/>
  <c r="Y775" i="4" s="1"/>
  <c r="Y702" i="1"/>
  <c r="W700" i="4" s="1"/>
  <c r="Z702" i="1"/>
  <c r="X700" i="4" s="1"/>
  <c r="AA702" i="1"/>
  <c r="Y700" i="4" s="1"/>
  <c r="X683" i="1"/>
  <c r="V681" i="4" s="1"/>
  <c r="Y683" i="1"/>
  <c r="W681" i="4" s="1"/>
  <c r="Z683" i="1"/>
  <c r="X681" i="4" s="1"/>
  <c r="AA683" i="1"/>
  <c r="Y681" i="4" s="1"/>
  <c r="Y1209" i="1"/>
  <c r="W1207" i="4" s="1"/>
  <c r="Y1197" i="1"/>
  <c r="W1195" i="4" s="1"/>
  <c r="Y1185" i="1"/>
  <c r="W1183" i="4" s="1"/>
  <c r="Y1173" i="1"/>
  <c r="W1171" i="4" s="1"/>
  <c r="Y1161" i="1"/>
  <c r="W1159" i="4" s="1"/>
  <c r="Y1149" i="1"/>
  <c r="W1147" i="4" s="1"/>
  <c r="AA1139" i="1"/>
  <c r="Y1137" i="4" s="1"/>
  <c r="Y1137" i="1"/>
  <c r="W1135" i="4" s="1"/>
  <c r="AA1127" i="1"/>
  <c r="Y1125" i="4" s="1"/>
  <c r="Y1125" i="1"/>
  <c r="W1123" i="4" s="1"/>
  <c r="AA1115" i="1"/>
  <c r="Y1113" i="4" s="1"/>
  <c r="Y1113" i="1"/>
  <c r="W1111" i="4" s="1"/>
  <c r="AA1103" i="1"/>
  <c r="Y1101" i="4" s="1"/>
  <c r="Y1101" i="1"/>
  <c r="W1099" i="4" s="1"/>
  <c r="AA1091" i="1"/>
  <c r="Y1089" i="4" s="1"/>
  <c r="Y1089" i="1"/>
  <c r="W1087" i="4" s="1"/>
  <c r="AA1079" i="1"/>
  <c r="Y1077" i="4" s="1"/>
  <c r="Y1077" i="1"/>
  <c r="W1075" i="4" s="1"/>
  <c r="AA1067" i="1"/>
  <c r="Y1065" i="4" s="1"/>
  <c r="Y1065" i="1"/>
  <c r="W1063" i="4" s="1"/>
  <c r="AA1055" i="1"/>
  <c r="Y1053" i="4" s="1"/>
  <c r="Y1053" i="1"/>
  <c r="W1051" i="4" s="1"/>
  <c r="AA1043" i="1"/>
  <c r="Y1041" i="4" s="1"/>
  <c r="Y1041" i="1"/>
  <c r="W1039" i="4" s="1"/>
  <c r="Z1036" i="1"/>
  <c r="X1034" i="4" s="1"/>
  <c r="AA1031" i="1"/>
  <c r="Y1029" i="4" s="1"/>
  <c r="Y1029" i="1"/>
  <c r="W1027" i="4" s="1"/>
  <c r="Z1024" i="1"/>
  <c r="X1022" i="4" s="1"/>
  <c r="AA1019" i="1"/>
  <c r="Y1017" i="4" s="1"/>
  <c r="Y1017" i="1"/>
  <c r="W1015" i="4" s="1"/>
  <c r="Z1012" i="1"/>
  <c r="X1010" i="4" s="1"/>
  <c r="Y1007" i="1"/>
  <c r="W1005" i="4" s="1"/>
  <c r="AA1004" i="1"/>
  <c r="Y1002" i="4" s="1"/>
  <c r="AA993" i="1"/>
  <c r="Y991" i="4" s="1"/>
  <c r="AA990" i="1"/>
  <c r="Y988" i="4" s="1"/>
  <c r="X979" i="1"/>
  <c r="V977" i="4" s="1"/>
  <c r="Z979" i="1"/>
  <c r="X977" i="4" s="1"/>
  <c r="AA979" i="1"/>
  <c r="Y977" i="4" s="1"/>
  <c r="X969" i="1"/>
  <c r="V967" i="4" s="1"/>
  <c r="Z969" i="1"/>
  <c r="X967" i="4" s="1"/>
  <c r="X965" i="1"/>
  <c r="V963" i="4" s="1"/>
  <c r="Y965" i="1"/>
  <c r="W963" i="4" s="1"/>
  <c r="Z965" i="1"/>
  <c r="X963" i="4" s="1"/>
  <c r="AA965" i="1"/>
  <c r="Y963" i="4" s="1"/>
  <c r="AA945" i="1"/>
  <c r="Y943" i="4" s="1"/>
  <c r="AA921" i="1"/>
  <c r="Y919" i="4" s="1"/>
  <c r="Y892" i="1"/>
  <c r="W890" i="4" s="1"/>
  <c r="Z892" i="1"/>
  <c r="X890" i="4" s="1"/>
  <c r="AA892" i="1"/>
  <c r="Y890" i="4" s="1"/>
  <c r="AA762" i="1"/>
  <c r="Y760" i="4" s="1"/>
  <c r="Y762" i="1"/>
  <c r="W760" i="4" s="1"/>
  <c r="Z762" i="1"/>
  <c r="X760" i="4" s="1"/>
  <c r="Y754" i="1"/>
  <c r="W752" i="4" s="1"/>
  <c r="Z754" i="1"/>
  <c r="X752" i="4" s="1"/>
  <c r="AA754" i="1"/>
  <c r="Y752" i="4" s="1"/>
  <c r="AA1218" i="1"/>
  <c r="Y1216" i="4" s="1"/>
  <c r="AA1206" i="1"/>
  <c r="Y1204" i="4" s="1"/>
  <c r="AA1194" i="1"/>
  <c r="Y1192" i="4" s="1"/>
  <c r="AA1182" i="1"/>
  <c r="Y1180" i="4" s="1"/>
  <c r="AA1170" i="1"/>
  <c r="Y1168" i="4" s="1"/>
  <c r="AA1158" i="1"/>
  <c r="Y1156" i="4" s="1"/>
  <c r="AA1146" i="1"/>
  <c r="Y1144" i="4" s="1"/>
  <c r="Z1139" i="1"/>
  <c r="X1137" i="4" s="1"/>
  <c r="AA1134" i="1"/>
  <c r="Y1132" i="4" s="1"/>
  <c r="Z1127" i="1"/>
  <c r="X1125" i="4" s="1"/>
  <c r="AA1122" i="1"/>
  <c r="Y1120" i="4" s="1"/>
  <c r="Z1115" i="1"/>
  <c r="X1113" i="4" s="1"/>
  <c r="AA1110" i="1"/>
  <c r="Y1108" i="4" s="1"/>
  <c r="Z1103" i="1"/>
  <c r="X1101" i="4" s="1"/>
  <c r="AA1098" i="1"/>
  <c r="Y1096" i="4" s="1"/>
  <c r="Z1091" i="1"/>
  <c r="X1089" i="4" s="1"/>
  <c r="AA1086" i="1"/>
  <c r="Y1084" i="4" s="1"/>
  <c r="Z1079" i="1"/>
  <c r="X1077" i="4" s="1"/>
  <c r="AA1074" i="1"/>
  <c r="Y1072" i="4" s="1"/>
  <c r="Z1067" i="1"/>
  <c r="X1065" i="4" s="1"/>
  <c r="AA1062" i="1"/>
  <c r="Y1060" i="4" s="1"/>
  <c r="Z1055" i="1"/>
  <c r="X1053" i="4" s="1"/>
  <c r="AA1050" i="1"/>
  <c r="Y1048" i="4" s="1"/>
  <c r="Z1043" i="1"/>
  <c r="X1041" i="4" s="1"/>
  <c r="AA1038" i="1"/>
  <c r="Y1036" i="4" s="1"/>
  <c r="Z1031" i="1"/>
  <c r="X1029" i="4" s="1"/>
  <c r="AA1026" i="1"/>
  <c r="Y1024" i="4" s="1"/>
  <c r="Z1019" i="1"/>
  <c r="X1017" i="4" s="1"/>
  <c r="Z1004" i="1"/>
  <c r="X1002" i="4" s="1"/>
  <c r="AA1001" i="1"/>
  <c r="Y999" i="4" s="1"/>
  <c r="Y993" i="1"/>
  <c r="W991" i="4" s="1"/>
  <c r="Z990" i="1"/>
  <c r="X988" i="4" s="1"/>
  <c r="Z978" i="1"/>
  <c r="X976" i="4" s="1"/>
  <c r="AA971" i="1"/>
  <c r="Y969" i="4" s="1"/>
  <c r="Y820" i="1"/>
  <c r="W818" i="4" s="1"/>
  <c r="Z820" i="1"/>
  <c r="X818" i="4" s="1"/>
  <c r="AA820" i="1"/>
  <c r="Y818" i="4" s="1"/>
  <c r="Y772" i="1"/>
  <c r="W770" i="4" s="1"/>
  <c r="Z772" i="1"/>
  <c r="X770" i="4" s="1"/>
  <c r="AA772" i="1"/>
  <c r="Y770" i="4" s="1"/>
  <c r="Y1139" i="1"/>
  <c r="W1137" i="4" s="1"/>
  <c r="Y1127" i="1"/>
  <c r="W1125" i="4" s="1"/>
  <c r="Y1115" i="1"/>
  <c r="W1113" i="4" s="1"/>
  <c r="Y1103" i="1"/>
  <c r="W1101" i="4" s="1"/>
  <c r="Y1091" i="1"/>
  <c r="W1089" i="4" s="1"/>
  <c r="Y1079" i="1"/>
  <c r="W1077" i="4" s="1"/>
  <c r="Y1067" i="1"/>
  <c r="W1065" i="4" s="1"/>
  <c r="Y1055" i="1"/>
  <c r="W1053" i="4" s="1"/>
  <c r="Y1043" i="1"/>
  <c r="W1041" i="4" s="1"/>
  <c r="Y1031" i="1"/>
  <c r="W1029" i="4" s="1"/>
  <c r="Y1019" i="1"/>
  <c r="W1017" i="4" s="1"/>
  <c r="Y1004" i="1"/>
  <c r="W1002" i="4" s="1"/>
  <c r="Z1001" i="1"/>
  <c r="X999" i="4" s="1"/>
  <c r="Z998" i="1"/>
  <c r="X996" i="4" s="1"/>
  <c r="Y990" i="1"/>
  <c r="W988" i="4" s="1"/>
  <c r="Y978" i="1"/>
  <c r="W976" i="4" s="1"/>
  <c r="Y971" i="1"/>
  <c r="W969" i="4" s="1"/>
  <c r="X955" i="1"/>
  <c r="V953" i="4" s="1"/>
  <c r="Z955" i="1"/>
  <c r="X953" i="4" s="1"/>
  <c r="AA955" i="1"/>
  <c r="Y953" i="4" s="1"/>
  <c r="X945" i="1"/>
  <c r="V943" i="4" s="1"/>
  <c r="Z945" i="1"/>
  <c r="X943" i="4" s="1"/>
  <c r="X941" i="1"/>
  <c r="V939" i="4" s="1"/>
  <c r="Y941" i="1"/>
  <c r="W939" i="4" s="1"/>
  <c r="Z941" i="1"/>
  <c r="X939" i="4" s="1"/>
  <c r="AA941" i="1"/>
  <c r="Y939" i="4" s="1"/>
  <c r="X921" i="1"/>
  <c r="V919" i="4" s="1"/>
  <c r="Z921" i="1"/>
  <c r="X919" i="4" s="1"/>
  <c r="X917" i="1"/>
  <c r="V915" i="4" s="1"/>
  <c r="Y917" i="1"/>
  <c r="W915" i="4" s="1"/>
  <c r="Z917" i="1"/>
  <c r="X915" i="4" s="1"/>
  <c r="AA917" i="1"/>
  <c r="Y915" i="4" s="1"/>
  <c r="X885" i="1"/>
  <c r="V883" i="4" s="1"/>
  <c r="Y885" i="1"/>
  <c r="W883" i="4" s="1"/>
  <c r="Z885" i="1"/>
  <c r="X883" i="4" s="1"/>
  <c r="AA885" i="1"/>
  <c r="Y883" i="4" s="1"/>
  <c r="X849" i="1"/>
  <c r="V847" i="4" s="1"/>
  <c r="Y849" i="1"/>
  <c r="W847" i="4" s="1"/>
  <c r="Z849" i="1"/>
  <c r="X847" i="4" s="1"/>
  <c r="AA849" i="1"/>
  <c r="Y847" i="4" s="1"/>
  <c r="X813" i="1"/>
  <c r="V811" i="4" s="1"/>
  <c r="Y813" i="1"/>
  <c r="W811" i="4" s="1"/>
  <c r="Z813" i="1"/>
  <c r="X811" i="4" s="1"/>
  <c r="AA813" i="1"/>
  <c r="Y811" i="4" s="1"/>
  <c r="X765" i="1"/>
  <c r="V763" i="4" s="1"/>
  <c r="Y765" i="1"/>
  <c r="W763" i="4" s="1"/>
  <c r="Z765" i="1"/>
  <c r="X763" i="4" s="1"/>
  <c r="AA765" i="1"/>
  <c r="Y763" i="4" s="1"/>
  <c r="Y1001" i="1"/>
  <c r="W999" i="4" s="1"/>
  <c r="X978" i="1"/>
  <c r="V976" i="4" s="1"/>
  <c r="X971" i="1"/>
  <c r="V969" i="4" s="1"/>
  <c r="Y964" i="1"/>
  <c r="W962" i="4" s="1"/>
  <c r="AA964" i="1"/>
  <c r="Y962" i="4" s="1"/>
  <c r="X931" i="1"/>
  <c r="V929" i="4" s="1"/>
  <c r="Z931" i="1"/>
  <c r="X929" i="4" s="1"/>
  <c r="AA931" i="1"/>
  <c r="Y929" i="4" s="1"/>
  <c r="X737" i="1"/>
  <c r="V735" i="4" s="1"/>
  <c r="AA737" i="1"/>
  <c r="Y735" i="4" s="1"/>
  <c r="Z737" i="1"/>
  <c r="X735" i="4" s="1"/>
  <c r="Y998" i="1"/>
  <c r="W996" i="4" s="1"/>
  <c r="AA998" i="1"/>
  <c r="Y996" i="4" s="1"/>
  <c r="Y880" i="1"/>
  <c r="W878" i="4" s="1"/>
  <c r="Z880" i="1"/>
  <c r="X878" i="4" s="1"/>
  <c r="AA880" i="1"/>
  <c r="Y878" i="4" s="1"/>
  <c r="Y844" i="1"/>
  <c r="W842" i="4" s="1"/>
  <c r="Z844" i="1"/>
  <c r="X842" i="4" s="1"/>
  <c r="AA844" i="1"/>
  <c r="Y842" i="4" s="1"/>
  <c r="Y808" i="1"/>
  <c r="W806" i="4" s="1"/>
  <c r="Z808" i="1"/>
  <c r="X806" i="4" s="1"/>
  <c r="AA808" i="1"/>
  <c r="Y806" i="4" s="1"/>
  <c r="Z1000" i="1"/>
  <c r="X998" i="4" s="1"/>
  <c r="Y940" i="1"/>
  <c r="W938" i="4" s="1"/>
  <c r="AA940" i="1"/>
  <c r="Y938" i="4" s="1"/>
  <c r="Y916" i="1"/>
  <c r="W914" i="4" s="1"/>
  <c r="AA916" i="1"/>
  <c r="Y914" i="4" s="1"/>
  <c r="X873" i="1"/>
  <c r="V871" i="4" s="1"/>
  <c r="Y873" i="1"/>
  <c r="W871" i="4" s="1"/>
  <c r="Z873" i="1"/>
  <c r="X871" i="4" s="1"/>
  <c r="AA873" i="1"/>
  <c r="Y871" i="4" s="1"/>
  <c r="X801" i="1"/>
  <c r="V799" i="4" s="1"/>
  <c r="Y801" i="1"/>
  <c r="W799" i="4" s="1"/>
  <c r="Z801" i="1"/>
  <c r="X799" i="4" s="1"/>
  <c r="AA801" i="1"/>
  <c r="Y799" i="4" s="1"/>
  <c r="X736" i="1"/>
  <c r="V734" i="4" s="1"/>
  <c r="Y736" i="1"/>
  <c r="W734" i="4" s="1"/>
  <c r="Z736" i="1"/>
  <c r="X734" i="4" s="1"/>
  <c r="AA736" i="1"/>
  <c r="Y734" i="4" s="1"/>
  <c r="X370" i="1"/>
  <c r="V368" i="4" s="1"/>
  <c r="Y370" i="1"/>
  <c r="W368" i="4" s="1"/>
  <c r="Z370" i="1"/>
  <c r="X368" i="4" s="1"/>
  <c r="AA370" i="1"/>
  <c r="Y368" i="4" s="1"/>
  <c r="Y690" i="1"/>
  <c r="W688" i="4" s="1"/>
  <c r="Z690" i="1"/>
  <c r="X688" i="4" s="1"/>
  <c r="AA690" i="1"/>
  <c r="Y688" i="4" s="1"/>
  <c r="X671" i="1"/>
  <c r="V669" i="4" s="1"/>
  <c r="Y671" i="1"/>
  <c r="W669" i="4" s="1"/>
  <c r="Z671" i="1"/>
  <c r="X669" i="4" s="1"/>
  <c r="AA671" i="1"/>
  <c r="Y669" i="4" s="1"/>
  <c r="Y630" i="1"/>
  <c r="W628" i="4" s="1"/>
  <c r="Z630" i="1"/>
  <c r="X628" i="4" s="1"/>
  <c r="AA630" i="1"/>
  <c r="Y628" i="4" s="1"/>
  <c r="X611" i="1"/>
  <c r="V609" i="4" s="1"/>
  <c r="Y611" i="1"/>
  <c r="W609" i="4" s="1"/>
  <c r="Z611" i="1"/>
  <c r="X609" i="4" s="1"/>
  <c r="AA611" i="1"/>
  <c r="Y609" i="4" s="1"/>
  <c r="Y546" i="1"/>
  <c r="W544" i="4" s="1"/>
  <c r="Z546" i="1"/>
  <c r="X544" i="4" s="1"/>
  <c r="AA546" i="1"/>
  <c r="Y544" i="4" s="1"/>
  <c r="AA905" i="1"/>
  <c r="Y903" i="4" s="1"/>
  <c r="AA893" i="1"/>
  <c r="Y891" i="4" s="1"/>
  <c r="AA881" i="1"/>
  <c r="Y879" i="4" s="1"/>
  <c r="AA869" i="1"/>
  <c r="Y867" i="4" s="1"/>
  <c r="AA857" i="1"/>
  <c r="Y855" i="4" s="1"/>
  <c r="AA845" i="1"/>
  <c r="Y843" i="4" s="1"/>
  <c r="AA833" i="1"/>
  <c r="Y831" i="4" s="1"/>
  <c r="AA821" i="1"/>
  <c r="Y819" i="4" s="1"/>
  <c r="Y819" i="1"/>
  <c r="W817" i="4" s="1"/>
  <c r="AA809" i="1"/>
  <c r="Y807" i="4" s="1"/>
  <c r="Y807" i="1"/>
  <c r="W805" i="4" s="1"/>
  <c r="AA797" i="1"/>
  <c r="Y795" i="4" s="1"/>
  <c r="Y795" i="1"/>
  <c r="W793" i="4" s="1"/>
  <c r="AA785" i="1"/>
  <c r="Y783" i="4" s="1"/>
  <c r="Y783" i="1"/>
  <c r="W781" i="4" s="1"/>
  <c r="AA773" i="1"/>
  <c r="Y771" i="4" s="1"/>
  <c r="Y771" i="1"/>
  <c r="W769" i="4" s="1"/>
  <c r="Y761" i="1"/>
  <c r="W759" i="4" s="1"/>
  <c r="Z750" i="1"/>
  <c r="X748" i="4" s="1"/>
  <c r="AA750" i="1"/>
  <c r="Y748" i="4" s="1"/>
  <c r="Z716" i="1"/>
  <c r="X714" i="4" s="1"/>
  <c r="X599" i="1"/>
  <c r="V597" i="4" s="1"/>
  <c r="Y599" i="1"/>
  <c r="W597" i="4" s="1"/>
  <c r="Z599" i="1"/>
  <c r="X597" i="4" s="1"/>
  <c r="AA599" i="1"/>
  <c r="Y597" i="4" s="1"/>
  <c r="X527" i="1"/>
  <c r="V525" i="4" s="1"/>
  <c r="Y527" i="1"/>
  <c r="W525" i="4" s="1"/>
  <c r="Z527" i="1"/>
  <c r="X525" i="4" s="1"/>
  <c r="AA527" i="1"/>
  <c r="Y525" i="4" s="1"/>
  <c r="Z905" i="1"/>
  <c r="X903" i="4" s="1"/>
  <c r="Z893" i="1"/>
  <c r="X891" i="4" s="1"/>
  <c r="Z881" i="1"/>
  <c r="X879" i="4" s="1"/>
  <c r="Z869" i="1"/>
  <c r="X867" i="4" s="1"/>
  <c r="Z857" i="1"/>
  <c r="X855" i="4" s="1"/>
  <c r="Z845" i="1"/>
  <c r="X843" i="4" s="1"/>
  <c r="Z833" i="1"/>
  <c r="X831" i="4" s="1"/>
  <c r="Z821" i="1"/>
  <c r="X819" i="4" s="1"/>
  <c r="Z809" i="1"/>
  <c r="X807" i="4" s="1"/>
  <c r="Z797" i="1"/>
  <c r="X795" i="4" s="1"/>
  <c r="Z785" i="1"/>
  <c r="X783" i="4" s="1"/>
  <c r="Z773" i="1"/>
  <c r="X771" i="4" s="1"/>
  <c r="AA755" i="1"/>
  <c r="Y753" i="4" s="1"/>
  <c r="Z749" i="1"/>
  <c r="X747" i="4" s="1"/>
  <c r="Y743" i="1"/>
  <c r="W741" i="4" s="1"/>
  <c r="Z743" i="1"/>
  <c r="X741" i="4" s="1"/>
  <c r="AA743" i="1"/>
  <c r="Y741" i="4" s="1"/>
  <c r="X735" i="1"/>
  <c r="V733" i="4" s="1"/>
  <c r="AA728" i="1"/>
  <c r="Y726" i="4" s="1"/>
  <c r="X728" i="1"/>
  <c r="V726" i="4" s="1"/>
  <c r="Y678" i="1"/>
  <c r="W676" i="4" s="1"/>
  <c r="Z678" i="1"/>
  <c r="X676" i="4" s="1"/>
  <c r="AA678" i="1"/>
  <c r="Y676" i="4" s="1"/>
  <c r="Y618" i="1"/>
  <c r="W616" i="4" s="1"/>
  <c r="Z618" i="1"/>
  <c r="X616" i="4" s="1"/>
  <c r="AA618" i="1"/>
  <c r="Y616" i="4" s="1"/>
  <c r="Y534" i="1"/>
  <c r="W532" i="4" s="1"/>
  <c r="Z534" i="1"/>
  <c r="X532" i="4" s="1"/>
  <c r="AA534" i="1"/>
  <c r="Y532" i="4" s="1"/>
  <c r="AA907" i="1"/>
  <c r="Y905" i="4" s="1"/>
  <c r="Y905" i="1"/>
  <c r="W903" i="4" s="1"/>
  <c r="AA895" i="1"/>
  <c r="Y893" i="4" s="1"/>
  <c r="Y893" i="1"/>
  <c r="W891" i="4" s="1"/>
  <c r="AA883" i="1"/>
  <c r="Y881" i="4" s="1"/>
  <c r="Y881" i="1"/>
  <c r="W879" i="4" s="1"/>
  <c r="AA871" i="1"/>
  <c r="Y869" i="4" s="1"/>
  <c r="Y869" i="1"/>
  <c r="W867" i="4" s="1"/>
  <c r="AA859" i="1"/>
  <c r="Y857" i="4" s="1"/>
  <c r="Y857" i="1"/>
  <c r="W855" i="4" s="1"/>
  <c r="AA847" i="1"/>
  <c r="Y845" i="4" s="1"/>
  <c r="Y845" i="1"/>
  <c r="W843" i="4" s="1"/>
  <c r="AA835" i="1"/>
  <c r="Y833" i="4" s="1"/>
  <c r="Y833" i="1"/>
  <c r="W831" i="4" s="1"/>
  <c r="AA823" i="1"/>
  <c r="Y821" i="4" s="1"/>
  <c r="Y821" i="1"/>
  <c r="W819" i="4" s="1"/>
  <c r="AA811" i="1"/>
  <c r="Y809" i="4" s="1"/>
  <c r="Y809" i="1"/>
  <c r="W807" i="4" s="1"/>
  <c r="AA799" i="1"/>
  <c r="Y797" i="4" s="1"/>
  <c r="Y797" i="1"/>
  <c r="W795" i="4" s="1"/>
  <c r="AA787" i="1"/>
  <c r="Y785" i="4" s="1"/>
  <c r="Y785" i="1"/>
  <c r="W783" i="4" s="1"/>
  <c r="AA775" i="1"/>
  <c r="Y773" i="4" s="1"/>
  <c r="Y773" i="1"/>
  <c r="W771" i="4" s="1"/>
  <c r="Y755" i="1"/>
  <c r="W753" i="4" s="1"/>
  <c r="Y749" i="1"/>
  <c r="W747" i="4" s="1"/>
  <c r="AA716" i="1"/>
  <c r="Y714" i="4" s="1"/>
  <c r="X716" i="1"/>
  <c r="V714" i="4" s="1"/>
  <c r="X659" i="1"/>
  <c r="V657" i="4" s="1"/>
  <c r="Y659" i="1"/>
  <c r="W657" i="4" s="1"/>
  <c r="Z659" i="1"/>
  <c r="X657" i="4" s="1"/>
  <c r="AA659" i="1"/>
  <c r="Y657" i="4" s="1"/>
  <c r="Y606" i="1"/>
  <c r="W604" i="4" s="1"/>
  <c r="Z606" i="1"/>
  <c r="X604" i="4" s="1"/>
  <c r="AA606" i="1"/>
  <c r="Y604" i="4" s="1"/>
  <c r="X587" i="1"/>
  <c r="V585" i="4" s="1"/>
  <c r="Y587" i="1"/>
  <c r="W585" i="4" s="1"/>
  <c r="Z587" i="1"/>
  <c r="X585" i="4" s="1"/>
  <c r="AA587" i="1"/>
  <c r="Y585" i="4" s="1"/>
  <c r="AA974" i="1"/>
  <c r="Y972" i="4" s="1"/>
  <c r="AA962" i="1"/>
  <c r="Y960" i="4" s="1"/>
  <c r="AA950" i="1"/>
  <c r="Y948" i="4" s="1"/>
  <c r="AA938" i="1"/>
  <c r="Y936" i="4" s="1"/>
  <c r="AA926" i="1"/>
  <c r="Y924" i="4" s="1"/>
  <c r="AA914" i="1"/>
  <c r="Y912" i="4" s="1"/>
  <c r="Z907" i="1"/>
  <c r="X905" i="4" s="1"/>
  <c r="AA902" i="1"/>
  <c r="Y900" i="4" s="1"/>
  <c r="Z895" i="1"/>
  <c r="X893" i="4" s="1"/>
  <c r="AA890" i="1"/>
  <c r="Y888" i="4" s="1"/>
  <c r="Z883" i="1"/>
  <c r="X881" i="4" s="1"/>
  <c r="AA878" i="1"/>
  <c r="Y876" i="4" s="1"/>
  <c r="Z871" i="1"/>
  <c r="X869" i="4" s="1"/>
  <c r="AA866" i="1"/>
  <c r="Y864" i="4" s="1"/>
  <c r="Z859" i="1"/>
  <c r="X857" i="4" s="1"/>
  <c r="AA854" i="1"/>
  <c r="Y852" i="4" s="1"/>
  <c r="Z847" i="1"/>
  <c r="X845" i="4" s="1"/>
  <c r="AA842" i="1"/>
  <c r="Y840" i="4" s="1"/>
  <c r="Z835" i="1"/>
  <c r="X833" i="4" s="1"/>
  <c r="AA830" i="1"/>
  <c r="Y828" i="4" s="1"/>
  <c r="Z823" i="1"/>
  <c r="X821" i="4" s="1"/>
  <c r="AA818" i="1"/>
  <c r="Y816" i="4" s="1"/>
  <c r="Z811" i="1"/>
  <c r="X809" i="4" s="1"/>
  <c r="AA806" i="1"/>
  <c r="Y804" i="4" s="1"/>
  <c r="Z799" i="1"/>
  <c r="X797" i="4" s="1"/>
  <c r="AA794" i="1"/>
  <c r="Y792" i="4" s="1"/>
  <c r="Z787" i="1"/>
  <c r="X785" i="4" s="1"/>
  <c r="AA782" i="1"/>
  <c r="Y780" i="4" s="1"/>
  <c r="Z775" i="1"/>
  <c r="X773" i="4" s="1"/>
  <c r="AA770" i="1"/>
  <c r="Y768" i="4" s="1"/>
  <c r="Z763" i="1"/>
  <c r="X761" i="4" s="1"/>
  <c r="AA757" i="1"/>
  <c r="Y755" i="4" s="1"/>
  <c r="X755" i="1"/>
  <c r="V753" i="4" s="1"/>
  <c r="X749" i="1"/>
  <c r="V747" i="4" s="1"/>
  <c r="Y666" i="1"/>
  <c r="W664" i="4" s="1"/>
  <c r="Z666" i="1"/>
  <c r="X664" i="4" s="1"/>
  <c r="AA666" i="1"/>
  <c r="Y664" i="4" s="1"/>
  <c r="X575" i="1"/>
  <c r="V573" i="4" s="1"/>
  <c r="Y575" i="1"/>
  <c r="W573" i="4" s="1"/>
  <c r="Z575" i="1"/>
  <c r="X573" i="4" s="1"/>
  <c r="AA575" i="1"/>
  <c r="Y573" i="4" s="1"/>
  <c r="X515" i="1"/>
  <c r="V513" i="4" s="1"/>
  <c r="Y515" i="1"/>
  <c r="W513" i="4" s="1"/>
  <c r="Z515" i="1"/>
  <c r="X513" i="4" s="1"/>
  <c r="AA515" i="1"/>
  <c r="Y513" i="4" s="1"/>
  <c r="Y738" i="1"/>
  <c r="W736" i="4" s="1"/>
  <c r="X731" i="1"/>
  <c r="V729" i="4" s="1"/>
  <c r="Y731" i="1"/>
  <c r="W729" i="4" s="1"/>
  <c r="Z731" i="1"/>
  <c r="X729" i="4" s="1"/>
  <c r="AA731" i="1"/>
  <c r="Y729" i="4" s="1"/>
  <c r="X647" i="1"/>
  <c r="V645" i="4" s="1"/>
  <c r="Y647" i="1"/>
  <c r="W645" i="4" s="1"/>
  <c r="Z647" i="1"/>
  <c r="X645" i="4" s="1"/>
  <c r="AA647" i="1"/>
  <c r="Y645" i="4" s="1"/>
  <c r="Y594" i="1"/>
  <c r="W592" i="4" s="1"/>
  <c r="Z594" i="1"/>
  <c r="X592" i="4" s="1"/>
  <c r="AA594" i="1"/>
  <c r="Y592" i="4" s="1"/>
  <c r="Y522" i="1"/>
  <c r="W520" i="4" s="1"/>
  <c r="Z522" i="1"/>
  <c r="X520" i="4" s="1"/>
  <c r="AA522" i="1"/>
  <c r="Y520" i="4" s="1"/>
  <c r="Y760" i="1"/>
  <c r="W758" i="4" s="1"/>
  <c r="AA760" i="1"/>
  <c r="Y758" i="4" s="1"/>
  <c r="X748" i="1"/>
  <c r="V746" i="4" s="1"/>
  <c r="Y748" i="1"/>
  <c r="W746" i="4" s="1"/>
  <c r="Z748" i="1"/>
  <c r="X746" i="4" s="1"/>
  <c r="AA748" i="1"/>
  <c r="Y746" i="4" s="1"/>
  <c r="X719" i="1"/>
  <c r="V717" i="4" s="1"/>
  <c r="Y719" i="1"/>
  <c r="W717" i="4" s="1"/>
  <c r="Z719" i="1"/>
  <c r="X717" i="4" s="1"/>
  <c r="AA719" i="1"/>
  <c r="Y717" i="4" s="1"/>
  <c r="Y582" i="1"/>
  <c r="W580" i="4" s="1"/>
  <c r="Z582" i="1"/>
  <c r="X580" i="4" s="1"/>
  <c r="AA582" i="1"/>
  <c r="Y580" i="4" s="1"/>
  <c r="X563" i="1"/>
  <c r="V561" i="4" s="1"/>
  <c r="Y563" i="1"/>
  <c r="W561" i="4" s="1"/>
  <c r="Z563" i="1"/>
  <c r="X561" i="4" s="1"/>
  <c r="AA563" i="1"/>
  <c r="Y561" i="4" s="1"/>
  <c r="Z738" i="1"/>
  <c r="X736" i="4" s="1"/>
  <c r="AA738" i="1"/>
  <c r="Y736" i="4" s="1"/>
  <c r="X707" i="1"/>
  <c r="V705" i="4" s="1"/>
  <c r="Y707" i="1"/>
  <c r="W705" i="4" s="1"/>
  <c r="Z707" i="1"/>
  <c r="X705" i="4" s="1"/>
  <c r="AA707" i="1"/>
  <c r="Y705" i="4" s="1"/>
  <c r="Y654" i="1"/>
  <c r="W652" i="4" s="1"/>
  <c r="Z654" i="1"/>
  <c r="X652" i="4" s="1"/>
  <c r="AA654" i="1"/>
  <c r="Y652" i="4" s="1"/>
  <c r="Y726" i="1"/>
  <c r="W724" i="4" s="1"/>
  <c r="Z726" i="1"/>
  <c r="X724" i="4" s="1"/>
  <c r="AA726" i="1"/>
  <c r="Y724" i="4" s="1"/>
  <c r="X695" i="1"/>
  <c r="V693" i="4" s="1"/>
  <c r="Y695" i="1"/>
  <c r="W693" i="4" s="1"/>
  <c r="Z695" i="1"/>
  <c r="X693" i="4" s="1"/>
  <c r="AA695" i="1"/>
  <c r="Y693" i="4" s="1"/>
  <c r="X635" i="1"/>
  <c r="V633" i="4" s="1"/>
  <c r="Y635" i="1"/>
  <c r="W633" i="4" s="1"/>
  <c r="Z635" i="1"/>
  <c r="X633" i="4" s="1"/>
  <c r="AA635" i="1"/>
  <c r="Y633" i="4" s="1"/>
  <c r="Y570" i="1"/>
  <c r="W568" i="4" s="1"/>
  <c r="Z570" i="1"/>
  <c r="X568" i="4" s="1"/>
  <c r="AA570" i="1"/>
  <c r="Y568" i="4" s="1"/>
  <c r="X551" i="1"/>
  <c r="V549" i="4" s="1"/>
  <c r="Y551" i="1"/>
  <c r="W549" i="4" s="1"/>
  <c r="Z551" i="1"/>
  <c r="X549" i="4" s="1"/>
  <c r="AA551" i="1"/>
  <c r="Y549" i="4" s="1"/>
  <c r="AA725" i="1"/>
  <c r="Y723" i="4" s="1"/>
  <c r="AA713" i="1"/>
  <c r="Y711" i="4" s="1"/>
  <c r="X704" i="1"/>
  <c r="V702" i="4" s="1"/>
  <c r="AA701" i="1"/>
  <c r="Y699" i="4" s="1"/>
  <c r="X692" i="1"/>
  <c r="V690" i="4" s="1"/>
  <c r="AA689" i="1"/>
  <c r="Y687" i="4" s="1"/>
  <c r="X680" i="1"/>
  <c r="V678" i="4" s="1"/>
  <c r="AA677" i="1"/>
  <c r="Y675" i="4" s="1"/>
  <c r="X668" i="1"/>
  <c r="V666" i="4" s="1"/>
  <c r="AA665" i="1"/>
  <c r="Y663" i="4" s="1"/>
  <c r="X656" i="1"/>
  <c r="V654" i="4" s="1"/>
  <c r="AA653" i="1"/>
  <c r="Y651" i="4" s="1"/>
  <c r="X644" i="1"/>
  <c r="V642" i="4" s="1"/>
  <c r="AA641" i="1"/>
  <c r="Y639" i="4" s="1"/>
  <c r="X632" i="1"/>
  <c r="V630" i="4" s="1"/>
  <c r="AA629" i="1"/>
  <c r="Y627" i="4" s="1"/>
  <c r="X620" i="1"/>
  <c r="V618" i="4" s="1"/>
  <c r="AA617" i="1"/>
  <c r="Y615" i="4" s="1"/>
  <c r="X608" i="1"/>
  <c r="V606" i="4" s="1"/>
  <c r="AA605" i="1"/>
  <c r="Y603" i="4" s="1"/>
  <c r="X596" i="1"/>
  <c r="V594" i="4" s="1"/>
  <c r="AA593" i="1"/>
  <c r="Y591" i="4" s="1"/>
  <c r="X584" i="1"/>
  <c r="V582" i="4" s="1"/>
  <c r="AA581" i="1"/>
  <c r="Y579" i="4" s="1"/>
  <c r="X572" i="1"/>
  <c r="V570" i="4" s="1"/>
  <c r="AA569" i="1"/>
  <c r="Y567" i="4" s="1"/>
  <c r="X560" i="1"/>
  <c r="V558" i="4" s="1"/>
  <c r="AA557" i="1"/>
  <c r="Y555" i="4" s="1"/>
  <c r="X548" i="1"/>
  <c r="V546" i="4" s="1"/>
  <c r="AA545" i="1"/>
  <c r="Y543" i="4" s="1"/>
  <c r="X536" i="1"/>
  <c r="V534" i="4" s="1"/>
  <c r="X524" i="1"/>
  <c r="V522" i="4" s="1"/>
  <c r="X512" i="1"/>
  <c r="V510" i="4" s="1"/>
  <c r="Y509" i="1"/>
  <c r="W507" i="4" s="1"/>
  <c r="Z509" i="1"/>
  <c r="X507" i="4" s="1"/>
  <c r="X466" i="1"/>
  <c r="V464" i="4" s="1"/>
  <c r="Y466" i="1"/>
  <c r="W464" i="4" s="1"/>
  <c r="Z466" i="1"/>
  <c r="X464" i="4" s="1"/>
  <c r="AA466" i="1"/>
  <c r="Y464" i="4" s="1"/>
  <c r="X262" i="1"/>
  <c r="V260" i="4" s="1"/>
  <c r="Y262" i="1"/>
  <c r="W260" i="4" s="1"/>
  <c r="Z262" i="1"/>
  <c r="X260" i="4" s="1"/>
  <c r="AA262" i="1"/>
  <c r="Y260" i="4" s="1"/>
  <c r="X238" i="1"/>
  <c r="V236" i="4" s="1"/>
  <c r="Y238" i="1"/>
  <c r="W236" i="4" s="1"/>
  <c r="Z238" i="1"/>
  <c r="X236" i="4" s="1"/>
  <c r="AA238" i="1"/>
  <c r="Y236" i="4" s="1"/>
  <c r="Y235" i="1"/>
  <c r="W233" i="4" s="1"/>
  <c r="AA237" i="1"/>
  <c r="Y235" i="4" s="1"/>
  <c r="X490" i="1"/>
  <c r="V488" i="4" s="1"/>
  <c r="Y490" i="1"/>
  <c r="W488" i="4" s="1"/>
  <c r="Z490" i="1"/>
  <c r="X488" i="4" s="1"/>
  <c r="AA490" i="1"/>
  <c r="Y488" i="4" s="1"/>
  <c r="X442" i="1"/>
  <c r="V440" i="4" s="1"/>
  <c r="Y442" i="1"/>
  <c r="W440" i="4" s="1"/>
  <c r="Z442" i="1"/>
  <c r="X440" i="4" s="1"/>
  <c r="AA442" i="1"/>
  <c r="Y440" i="4" s="1"/>
  <c r="X406" i="1"/>
  <c r="V404" i="4" s="1"/>
  <c r="Y406" i="1"/>
  <c r="W404" i="4" s="1"/>
  <c r="Z406" i="1"/>
  <c r="X404" i="4" s="1"/>
  <c r="AA406" i="1"/>
  <c r="Y404" i="4" s="1"/>
  <c r="Z607" i="1"/>
  <c r="X605" i="4" s="1"/>
  <c r="Z595" i="1"/>
  <c r="X593" i="4" s="1"/>
  <c r="Z583" i="1"/>
  <c r="X581" i="4" s="1"/>
  <c r="Z571" i="1"/>
  <c r="X569" i="4" s="1"/>
  <c r="Z559" i="1"/>
  <c r="X557" i="4" s="1"/>
  <c r="Z547" i="1"/>
  <c r="X545" i="4" s="1"/>
  <c r="Z535" i="1"/>
  <c r="X533" i="4" s="1"/>
  <c r="Z523" i="1"/>
  <c r="X521" i="4" s="1"/>
  <c r="Z511" i="1"/>
  <c r="X509" i="4" s="1"/>
  <c r="X430" i="1"/>
  <c r="V428" i="4" s="1"/>
  <c r="Y430" i="1"/>
  <c r="W428" i="4" s="1"/>
  <c r="Z430" i="1"/>
  <c r="X428" i="4" s="1"/>
  <c r="AA430" i="1"/>
  <c r="Y428" i="4" s="1"/>
  <c r="X418" i="1"/>
  <c r="V416" i="4" s="1"/>
  <c r="Y418" i="1"/>
  <c r="W416" i="4" s="1"/>
  <c r="Z418" i="1"/>
  <c r="X416" i="4" s="1"/>
  <c r="AA418" i="1"/>
  <c r="Y416" i="4" s="1"/>
  <c r="X298" i="1"/>
  <c r="V296" i="4" s="1"/>
  <c r="Y298" i="1"/>
  <c r="W296" i="4" s="1"/>
  <c r="Z298" i="1"/>
  <c r="X296" i="4" s="1"/>
  <c r="AA298" i="1"/>
  <c r="Y296" i="4" s="1"/>
  <c r="X250" i="1"/>
  <c r="V248" i="4" s="1"/>
  <c r="Y250" i="1"/>
  <c r="W248" i="4" s="1"/>
  <c r="Z250" i="1"/>
  <c r="X248" i="4" s="1"/>
  <c r="AA250" i="1"/>
  <c r="Y248" i="4" s="1"/>
  <c r="Z235" i="1"/>
  <c r="X233" i="4" s="1"/>
  <c r="X394" i="1"/>
  <c r="V392" i="4" s="1"/>
  <c r="Y394" i="1"/>
  <c r="W392" i="4" s="1"/>
  <c r="Z394" i="1"/>
  <c r="X392" i="4" s="1"/>
  <c r="AA394" i="1"/>
  <c r="Y392" i="4" s="1"/>
  <c r="X310" i="1"/>
  <c r="V308" i="4" s="1"/>
  <c r="Y310" i="1"/>
  <c r="W308" i="4" s="1"/>
  <c r="Z310" i="1"/>
  <c r="X308" i="4" s="1"/>
  <c r="AA310" i="1"/>
  <c r="Y308" i="4" s="1"/>
  <c r="AA235" i="1"/>
  <c r="Y233" i="4" s="1"/>
  <c r="Z753" i="1"/>
  <c r="X751" i="4" s="1"/>
  <c r="Z741" i="1"/>
  <c r="X739" i="4" s="1"/>
  <c r="Z729" i="1"/>
  <c r="X727" i="4" s="1"/>
  <c r="AA724" i="1"/>
  <c r="Y722" i="4" s="1"/>
  <c r="Z717" i="1"/>
  <c r="X715" i="4" s="1"/>
  <c r="AA712" i="1"/>
  <c r="Y710" i="4" s="1"/>
  <c r="Z705" i="1"/>
  <c r="X703" i="4" s="1"/>
  <c r="AA700" i="1"/>
  <c r="Y698" i="4" s="1"/>
  <c r="Z693" i="1"/>
  <c r="X691" i="4" s="1"/>
  <c r="AA688" i="1"/>
  <c r="Y686" i="4" s="1"/>
  <c r="Z681" i="1"/>
  <c r="X679" i="4" s="1"/>
  <c r="AA676" i="1"/>
  <c r="Y674" i="4" s="1"/>
  <c r="Z669" i="1"/>
  <c r="X667" i="4" s="1"/>
  <c r="AA664" i="1"/>
  <c r="Y662" i="4" s="1"/>
  <c r="Z657" i="1"/>
  <c r="X655" i="4" s="1"/>
  <c r="AA652" i="1"/>
  <c r="Y650" i="4" s="1"/>
  <c r="Z645" i="1"/>
  <c r="X643" i="4" s="1"/>
  <c r="AA640" i="1"/>
  <c r="Y638" i="4" s="1"/>
  <c r="Z633" i="1"/>
  <c r="X631" i="4" s="1"/>
  <c r="AA628" i="1"/>
  <c r="Y626" i="4" s="1"/>
  <c r="Z621" i="1"/>
  <c r="X619" i="4" s="1"/>
  <c r="AA616" i="1"/>
  <c r="Y614" i="4" s="1"/>
  <c r="Z609" i="1"/>
  <c r="X607" i="4" s="1"/>
  <c r="AA604" i="1"/>
  <c r="Y602" i="4" s="1"/>
  <c r="Z597" i="1"/>
  <c r="X595" i="4" s="1"/>
  <c r="AA592" i="1"/>
  <c r="Y590" i="4" s="1"/>
  <c r="Z585" i="1"/>
  <c r="X583" i="4" s="1"/>
  <c r="AA580" i="1"/>
  <c r="Y578" i="4" s="1"/>
  <c r="Z573" i="1"/>
  <c r="X571" i="4" s="1"/>
  <c r="AA568" i="1"/>
  <c r="Y566" i="4" s="1"/>
  <c r="Z561" i="1"/>
  <c r="X559" i="4" s="1"/>
  <c r="AA556" i="1"/>
  <c r="Y554" i="4" s="1"/>
  <c r="Z549" i="1"/>
  <c r="X547" i="4" s="1"/>
  <c r="AA544" i="1"/>
  <c r="Y542" i="4" s="1"/>
  <c r="Z537" i="1"/>
  <c r="X535" i="4" s="1"/>
  <c r="AA532" i="1"/>
  <c r="Y530" i="4" s="1"/>
  <c r="Z525" i="1"/>
  <c r="X523" i="4" s="1"/>
  <c r="AA520" i="1"/>
  <c r="Y518" i="4" s="1"/>
  <c r="Z513" i="1"/>
  <c r="X511" i="4" s="1"/>
  <c r="X234" i="1"/>
  <c r="V232" i="4" s="1"/>
  <c r="Y741" i="1"/>
  <c r="W739" i="4" s="1"/>
  <c r="Y729" i="1"/>
  <c r="W727" i="4" s="1"/>
  <c r="Z724" i="1"/>
  <c r="X722" i="4" s="1"/>
  <c r="Y717" i="1"/>
  <c r="W715" i="4" s="1"/>
  <c r="Z712" i="1"/>
  <c r="X710" i="4" s="1"/>
  <c r="Y705" i="1"/>
  <c r="W703" i="4" s="1"/>
  <c r="Z700" i="1"/>
  <c r="X698" i="4" s="1"/>
  <c r="Z688" i="1"/>
  <c r="X686" i="4" s="1"/>
  <c r="Z676" i="1"/>
  <c r="X674" i="4" s="1"/>
  <c r="Z664" i="1"/>
  <c r="X662" i="4" s="1"/>
  <c r="Z652" i="1"/>
  <c r="X650" i="4" s="1"/>
  <c r="Z640" i="1"/>
  <c r="X638" i="4" s="1"/>
  <c r="Y633" i="1"/>
  <c r="W631" i="4" s="1"/>
  <c r="Z628" i="1"/>
  <c r="X626" i="4" s="1"/>
  <c r="Y621" i="1"/>
  <c r="W619" i="4" s="1"/>
  <c r="Z616" i="1"/>
  <c r="X614" i="4" s="1"/>
  <c r="Y609" i="1"/>
  <c r="W607" i="4" s="1"/>
  <c r="Z604" i="1"/>
  <c r="X602" i="4" s="1"/>
  <c r="Z592" i="1"/>
  <c r="X590" i="4" s="1"/>
  <c r="Y585" i="1"/>
  <c r="W583" i="4" s="1"/>
  <c r="Z580" i="1"/>
  <c r="X578" i="4" s="1"/>
  <c r="Z568" i="1"/>
  <c r="X566" i="4" s="1"/>
  <c r="Z556" i="1"/>
  <c r="X554" i="4" s="1"/>
  <c r="Z544" i="1"/>
  <c r="X542" i="4" s="1"/>
  <c r="Z532" i="1"/>
  <c r="X530" i="4" s="1"/>
  <c r="Z520" i="1"/>
  <c r="X518" i="4" s="1"/>
  <c r="X502" i="1"/>
  <c r="V500" i="4" s="1"/>
  <c r="Y502" i="1"/>
  <c r="W500" i="4" s="1"/>
  <c r="Z502" i="1"/>
  <c r="X500" i="4" s="1"/>
  <c r="AA502" i="1"/>
  <c r="Y500" i="4" s="1"/>
  <c r="X286" i="1"/>
  <c r="V284" i="4" s="1"/>
  <c r="Y286" i="1"/>
  <c r="W284" i="4" s="1"/>
  <c r="Z286" i="1"/>
  <c r="X284" i="4" s="1"/>
  <c r="AA286" i="1"/>
  <c r="Y284" i="4" s="1"/>
  <c r="Y724" i="1"/>
  <c r="W722" i="4" s="1"/>
  <c r="Y712" i="1"/>
  <c r="W710" i="4" s="1"/>
  <c r="Y700" i="1"/>
  <c r="W698" i="4" s="1"/>
  <c r="Y688" i="1"/>
  <c r="W686" i="4" s="1"/>
  <c r="Y676" i="1"/>
  <c r="W674" i="4" s="1"/>
  <c r="Y664" i="1"/>
  <c r="W662" i="4" s="1"/>
  <c r="Y652" i="1"/>
  <c r="W650" i="4" s="1"/>
  <c r="Y640" i="1"/>
  <c r="W638" i="4" s="1"/>
  <c r="Y628" i="1"/>
  <c r="W626" i="4" s="1"/>
  <c r="Y616" i="1"/>
  <c r="W614" i="4" s="1"/>
  <c r="Y604" i="1"/>
  <c r="W602" i="4" s="1"/>
  <c r="Y592" i="1"/>
  <c r="W590" i="4" s="1"/>
  <c r="Y580" i="1"/>
  <c r="W578" i="4" s="1"/>
  <c r="Y568" i="1"/>
  <c r="W566" i="4" s="1"/>
  <c r="Y556" i="1"/>
  <c r="W554" i="4" s="1"/>
  <c r="Y544" i="1"/>
  <c r="W542" i="4" s="1"/>
  <c r="Y532" i="1"/>
  <c r="W530" i="4" s="1"/>
  <c r="Y520" i="1"/>
  <c r="W518" i="4" s="1"/>
  <c r="X454" i="1"/>
  <c r="V452" i="4" s="1"/>
  <c r="Y454" i="1"/>
  <c r="W452" i="4" s="1"/>
  <c r="Z454" i="1"/>
  <c r="X452" i="4" s="1"/>
  <c r="AA454" i="1"/>
  <c r="Y452" i="4" s="1"/>
  <c r="Y233" i="1"/>
  <c r="W231" i="4" s="1"/>
  <c r="X346" i="1"/>
  <c r="V344" i="4" s="1"/>
  <c r="Y346" i="1"/>
  <c r="W344" i="4" s="1"/>
  <c r="Z346" i="1"/>
  <c r="X344" i="4" s="1"/>
  <c r="AA346" i="1"/>
  <c r="Y344" i="4" s="1"/>
  <c r="X334" i="1"/>
  <c r="V332" i="4" s="1"/>
  <c r="Y334" i="1"/>
  <c r="W332" i="4" s="1"/>
  <c r="Z334" i="1"/>
  <c r="X332" i="4" s="1"/>
  <c r="AA334" i="1"/>
  <c r="Y332" i="4" s="1"/>
  <c r="X322" i="1"/>
  <c r="V320" i="4" s="1"/>
  <c r="Y322" i="1"/>
  <c r="W320" i="4" s="1"/>
  <c r="Z322" i="1"/>
  <c r="X320" i="4" s="1"/>
  <c r="AA322" i="1"/>
  <c r="Y320" i="4" s="1"/>
  <c r="X274" i="1"/>
  <c r="V272" i="4" s="1"/>
  <c r="Y274" i="1"/>
  <c r="W272" i="4" s="1"/>
  <c r="Z274" i="1"/>
  <c r="X272" i="4" s="1"/>
  <c r="AA274" i="1"/>
  <c r="Y272" i="4" s="1"/>
  <c r="X478" i="1"/>
  <c r="V476" i="4" s="1"/>
  <c r="Y478" i="1"/>
  <c r="W476" i="4" s="1"/>
  <c r="Z478" i="1"/>
  <c r="X476" i="4" s="1"/>
  <c r="AA478" i="1"/>
  <c r="Y476" i="4" s="1"/>
  <c r="X382" i="1"/>
  <c r="V380" i="4" s="1"/>
  <c r="Y382" i="1"/>
  <c r="W380" i="4" s="1"/>
  <c r="Z382" i="1"/>
  <c r="X380" i="4" s="1"/>
  <c r="AA382" i="1"/>
  <c r="Y380" i="4" s="1"/>
  <c r="Y463" i="1"/>
  <c r="W461" i="4" s="1"/>
  <c r="Z458" i="1"/>
  <c r="X456" i="4" s="1"/>
  <c r="X456" i="1"/>
  <c r="V454" i="4" s="1"/>
  <c r="AA453" i="1"/>
  <c r="Y451" i="4" s="1"/>
  <c r="AA441" i="1"/>
  <c r="Y439" i="4" s="1"/>
  <c r="Z434" i="1"/>
  <c r="X432" i="4" s="1"/>
  <c r="AA429" i="1"/>
  <c r="Y427" i="4" s="1"/>
  <c r="Z422" i="1"/>
  <c r="X420" i="4" s="1"/>
  <c r="AA417" i="1"/>
  <c r="Y415" i="4" s="1"/>
  <c r="Z410" i="1"/>
  <c r="X408" i="4" s="1"/>
  <c r="X408" i="1"/>
  <c r="V406" i="4" s="1"/>
  <c r="Y403" i="1"/>
  <c r="W401" i="4" s="1"/>
  <c r="Z398" i="1"/>
  <c r="X396" i="4" s="1"/>
  <c r="X396" i="1"/>
  <c r="V394" i="4" s="1"/>
  <c r="X384" i="1"/>
  <c r="V382" i="4" s="1"/>
  <c r="Z362" i="1"/>
  <c r="X360" i="4" s="1"/>
  <c r="X360" i="1"/>
  <c r="V358" i="4" s="1"/>
  <c r="Z350" i="1"/>
  <c r="X348" i="4" s="1"/>
  <c r="Y343" i="1"/>
  <c r="W341" i="4" s="1"/>
  <c r="Z338" i="1"/>
  <c r="X336" i="4" s="1"/>
  <c r="X336" i="1"/>
  <c r="V334" i="4" s="1"/>
  <c r="AA333" i="1"/>
  <c r="Y331" i="4" s="1"/>
  <c r="Y331" i="1"/>
  <c r="W329" i="4" s="1"/>
  <c r="Z326" i="1"/>
  <c r="X324" i="4" s="1"/>
  <c r="X324" i="1"/>
  <c r="V322" i="4" s="1"/>
  <c r="AA321" i="1"/>
  <c r="Y319" i="4" s="1"/>
  <c r="Y319" i="1"/>
  <c r="W317" i="4" s="1"/>
  <c r="Z314" i="1"/>
  <c r="X312" i="4" s="1"/>
  <c r="X312" i="1"/>
  <c r="V310" i="4" s="1"/>
  <c r="Y307" i="1"/>
  <c r="W305" i="4" s="1"/>
  <c r="Z302" i="1"/>
  <c r="X300" i="4" s="1"/>
  <c r="X300" i="1"/>
  <c r="V298" i="4" s="1"/>
  <c r="AA297" i="1"/>
  <c r="Y295" i="4" s="1"/>
  <c r="Z290" i="1"/>
  <c r="X288" i="4" s="1"/>
  <c r="X288" i="1"/>
  <c r="V286" i="4" s="1"/>
  <c r="Y283" i="1"/>
  <c r="W281" i="4" s="1"/>
  <c r="Y271" i="1"/>
  <c r="W269" i="4" s="1"/>
  <c r="Z242" i="1"/>
  <c r="X240" i="4" s="1"/>
  <c r="AA508" i="1"/>
  <c r="Y506" i="4" s="1"/>
  <c r="Z501" i="1"/>
  <c r="X499" i="4" s="1"/>
  <c r="X499" i="1"/>
  <c r="V497" i="4" s="1"/>
  <c r="AA496" i="1"/>
  <c r="Y494" i="4" s="1"/>
  <c r="Z489" i="1"/>
  <c r="X487" i="4" s="1"/>
  <c r="X487" i="1"/>
  <c r="V485" i="4" s="1"/>
  <c r="AA484" i="1"/>
  <c r="Y482" i="4" s="1"/>
  <c r="Z477" i="1"/>
  <c r="X475" i="4" s="1"/>
  <c r="X475" i="1"/>
  <c r="V473" i="4" s="1"/>
  <c r="AA472" i="1"/>
  <c r="Y470" i="4" s="1"/>
  <c r="Y470" i="1"/>
  <c r="W468" i="4" s="1"/>
  <c r="Z465" i="1"/>
  <c r="X463" i="4" s="1"/>
  <c r="X463" i="1"/>
  <c r="V461" i="4" s="1"/>
  <c r="AA460" i="1"/>
  <c r="Y458" i="4" s="1"/>
  <c r="Y458" i="1"/>
  <c r="W456" i="4" s="1"/>
  <c r="Z453" i="1"/>
  <c r="X451" i="4" s="1"/>
  <c r="AA448" i="1"/>
  <c r="Y446" i="4" s="1"/>
  <c r="Y446" i="1"/>
  <c r="W444" i="4" s="1"/>
  <c r="Z441" i="1"/>
  <c r="X439" i="4" s="1"/>
  <c r="AA436" i="1"/>
  <c r="Y434" i="4" s="1"/>
  <c r="Y434" i="1"/>
  <c r="W432" i="4" s="1"/>
  <c r="Z429" i="1"/>
  <c r="X427" i="4" s="1"/>
  <c r="AA424" i="1"/>
  <c r="Y422" i="4" s="1"/>
  <c r="Y422" i="1"/>
  <c r="W420" i="4" s="1"/>
  <c r="Z417" i="1"/>
  <c r="X415" i="4" s="1"/>
  <c r="AA412" i="1"/>
  <c r="Y410" i="4" s="1"/>
  <c r="Y410" i="1"/>
  <c r="W408" i="4" s="1"/>
  <c r="X403" i="1"/>
  <c r="V401" i="4" s="1"/>
  <c r="Y386" i="1"/>
  <c r="W384" i="4" s="1"/>
  <c r="Z381" i="1"/>
  <c r="X379" i="4" s="1"/>
  <c r="X379" i="1"/>
  <c r="V377" i="4" s="1"/>
  <c r="AA376" i="1"/>
  <c r="Y374" i="4" s="1"/>
  <c r="Y374" i="1"/>
  <c r="W372" i="4" s="1"/>
  <c r="Z369" i="1"/>
  <c r="X367" i="4" s="1"/>
  <c r="X367" i="1"/>
  <c r="V365" i="4" s="1"/>
  <c r="AA364" i="1"/>
  <c r="Y362" i="4" s="1"/>
  <c r="Y362" i="1"/>
  <c r="W360" i="4" s="1"/>
  <c r="Z357" i="1"/>
  <c r="X355" i="4" s="1"/>
  <c r="X355" i="1"/>
  <c r="V353" i="4" s="1"/>
  <c r="AA352" i="1"/>
  <c r="Y350" i="4" s="1"/>
  <c r="Y350" i="1"/>
  <c r="W348" i="4" s="1"/>
  <c r="Z345" i="1"/>
  <c r="X343" i="4" s="1"/>
  <c r="AA340" i="1"/>
  <c r="Y338" i="4" s="1"/>
  <c r="Y338" i="1"/>
  <c r="W336" i="4" s="1"/>
  <c r="Z333" i="1"/>
  <c r="X331" i="4" s="1"/>
  <c r="AA328" i="1"/>
  <c r="Y326" i="4" s="1"/>
  <c r="Y326" i="1"/>
  <c r="W324" i="4" s="1"/>
  <c r="X319" i="1"/>
  <c r="V317" i="4" s="1"/>
  <c r="AA316" i="1"/>
  <c r="Y314" i="4" s="1"/>
  <c r="X307" i="1"/>
  <c r="V305" i="4" s="1"/>
  <c r="AA304" i="1"/>
  <c r="Y302" i="4" s="1"/>
  <c r="Y302" i="1"/>
  <c r="W300" i="4" s="1"/>
  <c r="Z297" i="1"/>
  <c r="X295" i="4" s="1"/>
  <c r="AA292" i="1"/>
  <c r="Y290" i="4" s="1"/>
  <c r="Y290" i="1"/>
  <c r="W288" i="4" s="1"/>
  <c r="X283" i="1"/>
  <c r="V281" i="4" s="1"/>
  <c r="AA280" i="1"/>
  <c r="Y278" i="4" s="1"/>
  <c r="Z273" i="1"/>
  <c r="X271" i="4" s="1"/>
  <c r="X271" i="1"/>
  <c r="V269" i="4" s="1"/>
  <c r="X259" i="1"/>
  <c r="V257" i="4" s="1"/>
  <c r="Z249" i="1"/>
  <c r="X247" i="4" s="1"/>
  <c r="X247" i="1"/>
  <c r="V245" i="4" s="1"/>
  <c r="AA244" i="1"/>
  <c r="Y242" i="4" s="1"/>
  <c r="Z237" i="1"/>
  <c r="X235" i="4" s="1"/>
  <c r="X235" i="1"/>
  <c r="V233" i="4" s="1"/>
  <c r="AA232" i="1"/>
  <c r="Y230" i="4" s="1"/>
  <c r="Z496" i="1"/>
  <c r="X494" i="4" s="1"/>
  <c r="Z484" i="1"/>
  <c r="X482" i="4" s="1"/>
  <c r="Y477" i="1"/>
  <c r="W475" i="4" s="1"/>
  <c r="Z472" i="1"/>
  <c r="X470" i="4" s="1"/>
  <c r="AA467" i="1"/>
  <c r="Y465" i="4" s="1"/>
  <c r="Y465" i="1"/>
  <c r="W463" i="4" s="1"/>
  <c r="Y453" i="1"/>
  <c r="W451" i="4" s="1"/>
  <c r="Z448" i="1"/>
  <c r="X446" i="4" s="1"/>
  <c r="AA443" i="1"/>
  <c r="Y441" i="4" s="1"/>
  <c r="Y441" i="1"/>
  <c r="W439" i="4" s="1"/>
  <c r="Z436" i="1"/>
  <c r="X434" i="4" s="1"/>
  <c r="AA431" i="1"/>
  <c r="Y429" i="4" s="1"/>
  <c r="Y429" i="1"/>
  <c r="W427" i="4" s="1"/>
  <c r="Z424" i="1"/>
  <c r="X422" i="4" s="1"/>
  <c r="AA419" i="1"/>
  <c r="Y417" i="4" s="1"/>
  <c r="Y417" i="1"/>
  <c r="W415" i="4" s="1"/>
  <c r="Z376" i="1"/>
  <c r="X374" i="4" s="1"/>
  <c r="Z364" i="1"/>
  <c r="X362" i="4" s="1"/>
  <c r="AA359" i="1"/>
  <c r="Y357" i="4" s="1"/>
  <c r="Y357" i="1"/>
  <c r="W355" i="4" s="1"/>
  <c r="Z352" i="1"/>
  <c r="X350" i="4" s="1"/>
  <c r="AA347" i="1"/>
  <c r="Y345" i="4" s="1"/>
  <c r="Y345" i="1"/>
  <c r="W343" i="4" s="1"/>
  <c r="Z340" i="1"/>
  <c r="X338" i="4" s="1"/>
  <c r="AA335" i="1"/>
  <c r="Y333" i="4" s="1"/>
  <c r="Y333" i="1"/>
  <c r="W331" i="4" s="1"/>
  <c r="Z328" i="1"/>
  <c r="X326" i="4" s="1"/>
  <c r="AA323" i="1"/>
  <c r="Y321" i="4" s="1"/>
  <c r="Y321" i="1"/>
  <c r="W319" i="4" s="1"/>
  <c r="Z316" i="1"/>
  <c r="X314" i="4" s="1"/>
  <c r="AA311" i="1"/>
  <c r="Y309" i="4" s="1"/>
  <c r="Z304" i="1"/>
  <c r="X302" i="4" s="1"/>
  <c r="AA299" i="1"/>
  <c r="Y297" i="4" s="1"/>
  <c r="Y297" i="1"/>
  <c r="W295" i="4" s="1"/>
  <c r="Z292" i="1"/>
  <c r="X290" i="4" s="1"/>
  <c r="AA287" i="1"/>
  <c r="Y285" i="4" s="1"/>
  <c r="Y285" i="1"/>
  <c r="W283" i="4" s="1"/>
  <c r="Z244" i="1"/>
  <c r="X242" i="4" s="1"/>
  <c r="X242" i="1"/>
  <c r="V240" i="4" s="1"/>
  <c r="AA239" i="1"/>
  <c r="Y237" i="4" s="1"/>
  <c r="Y237" i="1"/>
  <c r="W235" i="4" s="1"/>
  <c r="Z232" i="1"/>
  <c r="X230" i="4" s="1"/>
  <c r="Y508" i="1"/>
  <c r="W506" i="4" s="1"/>
  <c r="Z503" i="1"/>
  <c r="X501" i="4" s="1"/>
  <c r="AA498" i="1"/>
  <c r="Y496" i="4" s="1"/>
  <c r="Y496" i="1"/>
  <c r="W494" i="4" s="1"/>
  <c r="Z491" i="1"/>
  <c r="X489" i="4" s="1"/>
  <c r="AA486" i="1"/>
  <c r="Y484" i="4" s="1"/>
  <c r="Y484" i="1"/>
  <c r="W482" i="4" s="1"/>
  <c r="AA474" i="1"/>
  <c r="Y472" i="4" s="1"/>
  <c r="Y472" i="1"/>
  <c r="W470" i="4" s="1"/>
  <c r="Z443" i="1"/>
  <c r="X441" i="4" s="1"/>
  <c r="AA438" i="1"/>
  <c r="Y436" i="4" s="1"/>
  <c r="Z431" i="1"/>
  <c r="X429" i="4" s="1"/>
  <c r="AA426" i="1"/>
  <c r="Y424" i="4" s="1"/>
  <c r="Z419" i="1"/>
  <c r="X417" i="4" s="1"/>
  <c r="AA414" i="1"/>
  <c r="Y412" i="4" s="1"/>
  <c r="Y412" i="1"/>
  <c r="W410" i="4" s="1"/>
  <c r="Z407" i="1"/>
  <c r="X405" i="4" s="1"/>
  <c r="AA402" i="1"/>
  <c r="Y400" i="4" s="1"/>
  <c r="Y400" i="1"/>
  <c r="W398" i="4" s="1"/>
  <c r="Z395" i="1"/>
  <c r="X393" i="4" s="1"/>
  <c r="AA390" i="1"/>
  <c r="Y388" i="4" s="1"/>
  <c r="AA378" i="1"/>
  <c r="Y376" i="4" s="1"/>
  <c r="Y376" i="1"/>
  <c r="W374" i="4" s="1"/>
  <c r="Z371" i="1"/>
  <c r="X369" i="4" s="1"/>
  <c r="AA366" i="1"/>
  <c r="Y364" i="4" s="1"/>
  <c r="Y364" i="1"/>
  <c r="W362" i="4" s="1"/>
  <c r="Z359" i="1"/>
  <c r="X357" i="4" s="1"/>
  <c r="AA354" i="1"/>
  <c r="Y352" i="4" s="1"/>
  <c r="Z347" i="1"/>
  <c r="X345" i="4" s="1"/>
  <c r="AA342" i="1"/>
  <c r="Y340" i="4" s="1"/>
  <c r="Y340" i="1"/>
  <c r="W338" i="4" s="1"/>
  <c r="Z335" i="1"/>
  <c r="X333" i="4" s="1"/>
  <c r="AA330" i="1"/>
  <c r="Y328" i="4" s="1"/>
  <c r="Y328" i="1"/>
  <c r="W326" i="4" s="1"/>
  <c r="Z323" i="1"/>
  <c r="X321" i="4" s="1"/>
  <c r="AA318" i="1"/>
  <c r="Y316" i="4" s="1"/>
  <c r="Y316" i="1"/>
  <c r="W314" i="4" s="1"/>
  <c r="Z311" i="1"/>
  <c r="X309" i="4" s="1"/>
  <c r="AA306" i="1"/>
  <c r="Y304" i="4" s="1"/>
  <c r="Y304" i="1"/>
  <c r="W302" i="4" s="1"/>
  <c r="Z299" i="1"/>
  <c r="X297" i="4" s="1"/>
  <c r="AA294" i="1"/>
  <c r="Y292" i="4" s="1"/>
  <c r="Y292" i="1"/>
  <c r="W290" i="4" s="1"/>
  <c r="Z287" i="1"/>
  <c r="X285" i="4" s="1"/>
  <c r="AA282" i="1"/>
  <c r="Y280" i="4" s="1"/>
  <c r="Y280" i="1"/>
  <c r="W278" i="4" s="1"/>
  <c r="Z275" i="1"/>
  <c r="X273" i="4" s="1"/>
  <c r="AA270" i="1"/>
  <c r="Y268" i="4" s="1"/>
  <c r="Y268" i="1"/>
  <c r="W266" i="4" s="1"/>
  <c r="Z263" i="1"/>
  <c r="X261" i="4" s="1"/>
  <c r="AA258" i="1"/>
  <c r="Y256" i="4" s="1"/>
  <c r="Z251" i="1"/>
  <c r="X249" i="4" s="1"/>
  <c r="AA246" i="1"/>
  <c r="Y244" i="4" s="1"/>
  <c r="Y244" i="1"/>
  <c r="W242" i="4" s="1"/>
  <c r="Z239" i="1"/>
  <c r="X237" i="4" s="1"/>
  <c r="X237" i="1"/>
  <c r="V235" i="4" s="1"/>
  <c r="AA234" i="1"/>
  <c r="Y232" i="4" s="1"/>
  <c r="Y232" i="1"/>
  <c r="W230" i="4" s="1"/>
  <c r="Z510" i="1"/>
  <c r="X508" i="4" s="1"/>
  <c r="AA505" i="1"/>
  <c r="Y503" i="4" s="1"/>
  <c r="Z498" i="1"/>
  <c r="X496" i="4" s="1"/>
  <c r="AA493" i="1"/>
  <c r="Y491" i="4" s="1"/>
  <c r="Z486" i="1"/>
  <c r="X484" i="4" s="1"/>
  <c r="AA481" i="1"/>
  <c r="Y479" i="4" s="1"/>
  <c r="Z474" i="1"/>
  <c r="X472" i="4" s="1"/>
  <c r="AA469" i="1"/>
  <c r="Y467" i="4" s="1"/>
  <c r="AA457" i="1"/>
  <c r="Y455" i="4" s="1"/>
  <c r="AA445" i="1"/>
  <c r="Y443" i="4" s="1"/>
  <c r="Z426" i="1"/>
  <c r="X424" i="4" s="1"/>
  <c r="Z414" i="1"/>
  <c r="X412" i="4" s="1"/>
  <c r="AA409" i="1"/>
  <c r="Y407" i="4" s="1"/>
  <c r="Y407" i="1"/>
  <c r="W405" i="4" s="1"/>
  <c r="Z402" i="1"/>
  <c r="X400" i="4" s="1"/>
  <c r="AA397" i="1"/>
  <c r="Y395" i="4" s="1"/>
  <c r="Y395" i="1"/>
  <c r="W393" i="4" s="1"/>
  <c r="Z390" i="1"/>
  <c r="X388" i="4" s="1"/>
  <c r="Y383" i="1"/>
  <c r="W381" i="4" s="1"/>
  <c r="Z378" i="1"/>
  <c r="X376" i="4" s="1"/>
  <c r="Z366" i="1"/>
  <c r="X364" i="4" s="1"/>
  <c r="AA361" i="1"/>
  <c r="Y359" i="4" s="1"/>
  <c r="Y359" i="1"/>
  <c r="W357" i="4" s="1"/>
  <c r="Z354" i="1"/>
  <c r="X352" i="4" s="1"/>
  <c r="AA349" i="1"/>
  <c r="Y347" i="4" s="1"/>
  <c r="Y347" i="1"/>
  <c r="W345" i="4" s="1"/>
  <c r="Z342" i="1"/>
  <c r="X340" i="4" s="1"/>
  <c r="AA337" i="1"/>
  <c r="Y335" i="4" s="1"/>
  <c r="Y335" i="1"/>
  <c r="W333" i="4" s="1"/>
  <c r="AA325" i="1"/>
  <c r="Y323" i="4" s="1"/>
  <c r="Y323" i="1"/>
  <c r="W321" i="4" s="1"/>
  <c r="Z318" i="1"/>
  <c r="X316" i="4" s="1"/>
  <c r="AA313" i="1"/>
  <c r="Y311" i="4" s="1"/>
  <c r="Y311" i="1"/>
  <c r="W309" i="4" s="1"/>
  <c r="AA301" i="1"/>
  <c r="Y299" i="4" s="1"/>
  <c r="Y299" i="1"/>
  <c r="W297" i="4" s="1"/>
  <c r="Z294" i="1"/>
  <c r="X292" i="4" s="1"/>
  <c r="AA289" i="1"/>
  <c r="Y287" i="4" s="1"/>
  <c r="Y287" i="1"/>
  <c r="W285" i="4" s="1"/>
  <c r="Z282" i="1"/>
  <c r="X280" i="4" s="1"/>
  <c r="Z270" i="1"/>
  <c r="X268" i="4" s="1"/>
  <c r="AA265" i="1"/>
  <c r="Y263" i="4" s="1"/>
  <c r="Y263" i="1"/>
  <c r="W261" i="4" s="1"/>
  <c r="Z258" i="1"/>
  <c r="X256" i="4" s="1"/>
  <c r="Z246" i="1"/>
  <c r="X244" i="4" s="1"/>
  <c r="X244" i="1"/>
  <c r="V242" i="4" s="1"/>
  <c r="AA241" i="1"/>
  <c r="Y239" i="4" s="1"/>
  <c r="Y239" i="1"/>
  <c r="W237" i="4" s="1"/>
  <c r="Z234" i="1"/>
  <c r="X232" i="4" s="1"/>
  <c r="X232" i="1"/>
  <c r="V230" i="4" s="1"/>
  <c r="Z505" i="1"/>
  <c r="X503" i="4" s="1"/>
  <c r="Z493" i="1"/>
  <c r="X491" i="4" s="1"/>
  <c r="Y486" i="1"/>
  <c r="W484" i="4" s="1"/>
  <c r="Z481" i="1"/>
  <c r="X479" i="4" s="1"/>
  <c r="Y474" i="1"/>
  <c r="W472" i="4" s="1"/>
  <c r="Z469" i="1"/>
  <c r="X467" i="4" s="1"/>
  <c r="Z457" i="1"/>
  <c r="X455" i="4" s="1"/>
  <c r="AA452" i="1"/>
  <c r="Y450" i="4" s="1"/>
  <c r="Z445" i="1"/>
  <c r="X443" i="4" s="1"/>
  <c r="AA440" i="1"/>
  <c r="Y438" i="4" s="1"/>
  <c r="Y438" i="1"/>
  <c r="W436" i="4" s="1"/>
  <c r="Z433" i="1"/>
  <c r="X431" i="4" s="1"/>
  <c r="AA428" i="1"/>
  <c r="Y426" i="4" s="1"/>
  <c r="Y426" i="1"/>
  <c r="W424" i="4" s="1"/>
  <c r="Z421" i="1"/>
  <c r="X419" i="4" s="1"/>
  <c r="AA416" i="1"/>
  <c r="Y414" i="4" s="1"/>
  <c r="Z409" i="1"/>
  <c r="X407" i="4" s="1"/>
  <c r="Y402" i="1"/>
  <c r="W400" i="4" s="1"/>
  <c r="Z397" i="1"/>
  <c r="X395" i="4" s="1"/>
  <c r="AA392" i="1"/>
  <c r="Y390" i="4" s="1"/>
  <c r="Y390" i="1"/>
  <c r="W388" i="4" s="1"/>
  <c r="Z385" i="1"/>
  <c r="X383" i="4" s="1"/>
  <c r="Y378" i="1"/>
  <c r="W376" i="4" s="1"/>
  <c r="Z373" i="1"/>
  <c r="X371" i="4" s="1"/>
  <c r="AA356" i="1"/>
  <c r="Y354" i="4" s="1"/>
  <c r="Y354" i="1"/>
  <c r="W352" i="4" s="1"/>
  <c r="Z349" i="1"/>
  <c r="X347" i="4" s="1"/>
  <c r="Z337" i="1"/>
  <c r="X335" i="4" s="1"/>
  <c r="AA332" i="1"/>
  <c r="Y330" i="4" s="1"/>
  <c r="Z325" i="1"/>
  <c r="X323" i="4" s="1"/>
  <c r="AA320" i="1"/>
  <c r="Y318" i="4" s="1"/>
  <c r="Y318" i="1"/>
  <c r="W316" i="4" s="1"/>
  <c r="Z313" i="1"/>
  <c r="X311" i="4" s="1"/>
  <c r="AA308" i="1"/>
  <c r="Y306" i="4" s="1"/>
  <c r="Z301" i="1"/>
  <c r="X299" i="4" s="1"/>
  <c r="Z289" i="1"/>
  <c r="X287" i="4" s="1"/>
  <c r="AA284" i="1"/>
  <c r="Y282" i="4" s="1"/>
  <c r="Y282" i="1"/>
  <c r="W280" i="4" s="1"/>
  <c r="Z277" i="1"/>
  <c r="X275" i="4" s="1"/>
  <c r="AA272" i="1"/>
  <c r="Y270" i="4" s="1"/>
  <c r="Y270" i="1"/>
  <c r="W268" i="4" s="1"/>
  <c r="Z265" i="1"/>
  <c r="X263" i="4" s="1"/>
  <c r="AA260" i="1"/>
  <c r="Y258" i="4" s="1"/>
  <c r="Y258" i="1"/>
  <c r="W256" i="4" s="1"/>
  <c r="AA248" i="1"/>
  <c r="Y246" i="4" s="1"/>
  <c r="Y246" i="1"/>
  <c r="W244" i="4" s="1"/>
  <c r="Z241" i="1"/>
  <c r="X239" i="4" s="1"/>
  <c r="AA236" i="1"/>
  <c r="Y234" i="4" s="1"/>
  <c r="Y234" i="1"/>
  <c r="W232" i="4" s="1"/>
  <c r="AA507" i="1"/>
  <c r="Y505" i="4" s="1"/>
  <c r="Y505" i="1"/>
  <c r="W503" i="4" s="1"/>
  <c r="AA495" i="1"/>
  <c r="Y493" i="4" s="1"/>
  <c r="Y493" i="1"/>
  <c r="W491" i="4" s="1"/>
  <c r="Y481" i="1"/>
  <c r="W479" i="4" s="1"/>
  <c r="Y469" i="1"/>
  <c r="W467" i="4" s="1"/>
  <c r="Z464" i="1"/>
  <c r="X462" i="4" s="1"/>
  <c r="Y457" i="1"/>
  <c r="W455" i="4" s="1"/>
  <c r="Z452" i="1"/>
  <c r="X450" i="4" s="1"/>
  <c r="AA447" i="1"/>
  <c r="Y445" i="4" s="1"/>
  <c r="Y445" i="1"/>
  <c r="W443" i="4" s="1"/>
  <c r="Z440" i="1"/>
  <c r="X438" i="4" s="1"/>
  <c r="AA435" i="1"/>
  <c r="Y433" i="4" s="1"/>
  <c r="Y433" i="1"/>
  <c r="W431" i="4" s="1"/>
  <c r="Z428" i="1"/>
  <c r="X426" i="4" s="1"/>
  <c r="AA423" i="1"/>
  <c r="Y421" i="4" s="1"/>
  <c r="Y421" i="1"/>
  <c r="W419" i="4" s="1"/>
  <c r="Z416" i="1"/>
  <c r="X414" i="4" s="1"/>
  <c r="AA411" i="1"/>
  <c r="Y409" i="4" s="1"/>
  <c r="Y409" i="1"/>
  <c r="W407" i="4" s="1"/>
  <c r="Z404" i="1"/>
  <c r="X402" i="4" s="1"/>
  <c r="AA399" i="1"/>
  <c r="Y397" i="4" s="1"/>
  <c r="Y397" i="1"/>
  <c r="W395" i="4" s="1"/>
  <c r="Z392" i="1"/>
  <c r="X390" i="4" s="1"/>
  <c r="AA387" i="1"/>
  <c r="Y385" i="4" s="1"/>
  <c r="Y385" i="1"/>
  <c r="W383" i="4" s="1"/>
  <c r="Z380" i="1"/>
  <c r="X378" i="4" s="1"/>
  <c r="AA375" i="1"/>
  <c r="Y373" i="4" s="1"/>
  <c r="Y373" i="1"/>
  <c r="W371" i="4" s="1"/>
  <c r="Z368" i="1"/>
  <c r="X366" i="4" s="1"/>
  <c r="AA363" i="1"/>
  <c r="Y361" i="4" s="1"/>
  <c r="Z356" i="1"/>
  <c r="X354" i="4" s="1"/>
  <c r="AA351" i="1"/>
  <c r="Y349" i="4" s="1"/>
  <c r="Y349" i="1"/>
  <c r="W347" i="4" s="1"/>
  <c r="Z344" i="1"/>
  <c r="X342" i="4" s="1"/>
  <c r="AA339" i="1"/>
  <c r="Y337" i="4" s="1"/>
  <c r="Y337" i="1"/>
  <c r="W335" i="4" s="1"/>
  <c r="Z332" i="1"/>
  <c r="X330" i="4" s="1"/>
  <c r="Z320" i="1"/>
  <c r="X318" i="4" s="1"/>
  <c r="AA315" i="1"/>
  <c r="Y313" i="4" s="1"/>
  <c r="Y313" i="1"/>
  <c r="W311" i="4" s="1"/>
  <c r="Z308" i="1"/>
  <c r="X306" i="4" s="1"/>
  <c r="Z284" i="1"/>
  <c r="X282" i="4" s="1"/>
  <c r="AA279" i="1"/>
  <c r="Y277" i="4" s="1"/>
  <c r="Y277" i="1"/>
  <c r="W275" i="4" s="1"/>
  <c r="Z272" i="1"/>
  <c r="X270" i="4" s="1"/>
  <c r="AA267" i="1"/>
  <c r="Y265" i="4" s="1"/>
  <c r="Z260" i="1"/>
  <c r="X258" i="4" s="1"/>
  <c r="Z248" i="1"/>
  <c r="X246" i="4" s="1"/>
  <c r="AA243" i="1"/>
  <c r="Y241" i="4" s="1"/>
  <c r="Y241" i="1"/>
  <c r="W239" i="4" s="1"/>
  <c r="Z236" i="1"/>
  <c r="X234" i="4" s="1"/>
  <c r="AA231" i="1"/>
  <c r="Y229" i="4" s="1"/>
  <c r="Z507" i="1"/>
  <c r="X505" i="4" s="1"/>
  <c r="Z495" i="1"/>
  <c r="X493" i="4" s="1"/>
  <c r="Z471" i="1"/>
  <c r="X469" i="4" s="1"/>
  <c r="Z447" i="1"/>
  <c r="X445" i="4" s="1"/>
  <c r="Y440" i="1"/>
  <c r="W438" i="4" s="1"/>
  <c r="Z435" i="1"/>
  <c r="X433" i="4" s="1"/>
  <c r="Y428" i="1"/>
  <c r="W426" i="4" s="1"/>
  <c r="Z423" i="1"/>
  <c r="X421" i="4" s="1"/>
  <c r="Y416" i="1"/>
  <c r="W414" i="4" s="1"/>
  <c r="Z411" i="1"/>
  <c r="X409" i="4" s="1"/>
  <c r="Y404" i="1"/>
  <c r="W402" i="4" s="1"/>
  <c r="Z399" i="1"/>
  <c r="X397" i="4" s="1"/>
  <c r="Y392" i="1"/>
  <c r="W390" i="4" s="1"/>
  <c r="Z387" i="1"/>
  <c r="X385" i="4" s="1"/>
  <c r="Y380" i="1"/>
  <c r="W378" i="4" s="1"/>
  <c r="Z375" i="1"/>
  <c r="X373" i="4" s="1"/>
  <c r="Y368" i="1"/>
  <c r="W366" i="4" s="1"/>
  <c r="Z363" i="1"/>
  <c r="X361" i="4" s="1"/>
  <c r="Y356" i="1"/>
  <c r="W354" i="4" s="1"/>
  <c r="Z351" i="1"/>
  <c r="X349" i="4" s="1"/>
  <c r="Z339" i="1"/>
  <c r="X337" i="4" s="1"/>
  <c r="Y332" i="1"/>
  <c r="W330" i="4" s="1"/>
  <c r="Z327" i="1"/>
  <c r="X325" i="4" s="1"/>
  <c r="Y320" i="1"/>
  <c r="W318" i="4" s="1"/>
  <c r="Z315" i="1"/>
  <c r="X313" i="4" s="1"/>
  <c r="Y308" i="1"/>
  <c r="W306" i="4" s="1"/>
  <c r="Z303" i="1"/>
  <c r="X301" i="4" s="1"/>
  <c r="Y284" i="1"/>
  <c r="W282" i="4" s="1"/>
  <c r="Z279" i="1"/>
  <c r="X277" i="4" s="1"/>
  <c r="Z243" i="1"/>
  <c r="X241" i="4" s="1"/>
  <c r="X241" i="1"/>
  <c r="V239" i="4" s="1"/>
  <c r="Z231" i="1"/>
  <c r="X229" i="4" s="1"/>
  <c r="AA497" i="1"/>
  <c r="Y495" i="4" s="1"/>
  <c r="AA485" i="1"/>
  <c r="Y483" i="4" s="1"/>
  <c r="AA473" i="1"/>
  <c r="Y471" i="4" s="1"/>
  <c r="Y447" i="1"/>
  <c r="W445" i="4" s="1"/>
  <c r="Y435" i="1"/>
  <c r="W433" i="4" s="1"/>
  <c r="AA425" i="1"/>
  <c r="Y423" i="4" s="1"/>
  <c r="Y423" i="1"/>
  <c r="W421" i="4" s="1"/>
  <c r="Y411" i="1"/>
  <c r="W409" i="4" s="1"/>
  <c r="AA401" i="1"/>
  <c r="Y399" i="4" s="1"/>
  <c r="Y399" i="1"/>
  <c r="W397" i="4" s="1"/>
  <c r="Y387" i="1"/>
  <c r="W385" i="4" s="1"/>
  <c r="AA377" i="1"/>
  <c r="Y375" i="4" s="1"/>
  <c r="Y375" i="1"/>
  <c r="W373" i="4" s="1"/>
  <c r="AA365" i="1"/>
  <c r="Y363" i="4" s="1"/>
  <c r="Y363" i="1"/>
  <c r="W361" i="4" s="1"/>
  <c r="AA353" i="1"/>
  <c r="Y351" i="4" s="1"/>
  <c r="Y327" i="1"/>
  <c r="W325" i="4" s="1"/>
  <c r="AA305" i="1"/>
  <c r="Y303" i="4" s="1"/>
  <c r="Y303" i="1"/>
  <c r="W301" i="4" s="1"/>
  <c r="AA281" i="1"/>
  <c r="Y279" i="4" s="1"/>
  <c r="AA269" i="1"/>
  <c r="Y267" i="4" s="1"/>
  <c r="Y267" i="1"/>
  <c r="W265" i="4" s="1"/>
  <c r="AA257" i="1"/>
  <c r="Y255" i="4" s="1"/>
  <c r="AA245" i="1"/>
  <c r="Y243" i="4" s="1"/>
  <c r="Y243" i="1"/>
  <c r="W241" i="4" s="1"/>
  <c r="AA233" i="1"/>
  <c r="Y231" i="4" s="1"/>
  <c r="Y231" i="1"/>
  <c r="W229" i="4" s="1"/>
  <c r="Z497" i="1"/>
  <c r="X495" i="4" s="1"/>
  <c r="Z485" i="1"/>
  <c r="X483" i="4" s="1"/>
  <c r="Z473" i="1"/>
  <c r="X471" i="4" s="1"/>
  <c r="AA468" i="1"/>
  <c r="Y466" i="4" s="1"/>
  <c r="Z461" i="1"/>
  <c r="X459" i="4" s="1"/>
  <c r="AA456" i="1"/>
  <c r="Y454" i="4" s="1"/>
  <c r="AA408" i="1"/>
  <c r="Y406" i="4" s="1"/>
  <c r="Z389" i="1"/>
  <c r="X387" i="4" s="1"/>
  <c r="AA384" i="1"/>
  <c r="Y382" i="4" s="1"/>
  <c r="Z377" i="1"/>
  <c r="X375" i="4" s="1"/>
  <c r="Z365" i="1"/>
  <c r="X363" i="4" s="1"/>
  <c r="AA360" i="1"/>
  <c r="Y358" i="4" s="1"/>
  <c r="Z353" i="1"/>
  <c r="X351" i="4" s="1"/>
  <c r="AA336" i="1"/>
  <c r="Y334" i="4" s="1"/>
  <c r="Z317" i="1"/>
  <c r="X315" i="4" s="1"/>
  <c r="AA312" i="1"/>
  <c r="Y310" i="4" s="1"/>
  <c r="Z305" i="1"/>
  <c r="X303" i="4" s="1"/>
  <c r="AA300" i="1"/>
  <c r="Y298" i="4" s="1"/>
  <c r="Z293" i="1"/>
  <c r="X291" i="4" s="1"/>
  <c r="AA288" i="1"/>
  <c r="Y286" i="4" s="1"/>
  <c r="Z281" i="1"/>
  <c r="X279" i="4" s="1"/>
  <c r="AA276" i="1"/>
  <c r="Y274" i="4" s="1"/>
  <c r="Z269" i="1"/>
  <c r="X267" i="4" s="1"/>
  <c r="AA264" i="1"/>
  <c r="Y262" i="4" s="1"/>
  <c r="Z257" i="1"/>
  <c r="X255" i="4" s="1"/>
  <c r="Z245" i="1"/>
  <c r="X243" i="4" s="1"/>
  <c r="Z233" i="1"/>
  <c r="X231" i="4" s="1"/>
  <c r="X231" i="1"/>
  <c r="V229" i="4" s="1"/>
  <c r="U1721" i="1"/>
  <c r="M621" i="1"/>
  <c r="M619" i="4" s="1"/>
  <c r="N567" i="1"/>
  <c r="N565" i="4" s="1"/>
  <c r="N450" i="1"/>
  <c r="N448" i="4" s="1"/>
  <c r="L1597" i="1"/>
  <c r="L641" i="1"/>
  <c r="L639" i="4" s="1"/>
  <c r="N310" i="1"/>
  <c r="N308" i="4" s="1"/>
  <c r="M1771" i="1"/>
  <c r="L1417" i="1"/>
  <c r="L1415" i="4" s="1"/>
  <c r="L640" i="1"/>
  <c r="L638" i="4" s="1"/>
  <c r="N575" i="1"/>
  <c r="N573" i="4" s="1"/>
  <c r="N1439" i="1"/>
  <c r="M584" i="1"/>
  <c r="M582" i="4" s="1"/>
  <c r="N529" i="1"/>
  <c r="N527" i="4" s="1"/>
  <c r="N402" i="1"/>
  <c r="N400" i="4" s="1"/>
  <c r="L1780" i="1"/>
  <c r="M412" i="1"/>
  <c r="M410" i="4" s="1"/>
  <c r="M626" i="1"/>
  <c r="M624" i="4" s="1"/>
  <c r="N480" i="1"/>
  <c r="N478" i="4" s="1"/>
  <c r="L678" i="1"/>
  <c r="L676" i="4" s="1"/>
  <c r="M648" i="1"/>
  <c r="M646" i="4" s="1"/>
  <c r="M1446" i="1"/>
  <c r="M591" i="1"/>
  <c r="M589" i="4" s="1"/>
  <c r="M1706" i="1"/>
  <c r="N1238" i="1"/>
  <c r="N1236" i="4" s="1"/>
  <c r="N633" i="1"/>
  <c r="N631" i="4" s="1"/>
  <c r="M612" i="1"/>
  <c r="M610" i="4" s="1"/>
  <c r="M575" i="1"/>
  <c r="M573" i="4" s="1"/>
  <c r="M567" i="1"/>
  <c r="M565" i="4" s="1"/>
  <c r="L550" i="1"/>
  <c r="L548" i="4" s="1"/>
  <c r="N459" i="1"/>
  <c r="N457" i="4" s="1"/>
  <c r="M256" i="1"/>
  <c r="M254" i="4" s="1"/>
  <c r="N1779" i="1"/>
  <c r="N1566" i="1"/>
  <c r="N639" i="1"/>
  <c r="N637" i="4" s="1"/>
  <c r="M633" i="1"/>
  <c r="M631" i="4" s="1"/>
  <c r="L597" i="1"/>
  <c r="L595" i="4" s="1"/>
  <c r="M558" i="1"/>
  <c r="M556" i="4" s="1"/>
  <c r="N468" i="1"/>
  <c r="N466" i="4" s="1"/>
  <c r="M419" i="1"/>
  <c r="M417" i="4" s="1"/>
  <c r="L362" i="1"/>
  <c r="L360" i="4" s="1"/>
  <c r="N318" i="1"/>
  <c r="N316" i="4" s="1"/>
  <c r="M265" i="1"/>
  <c r="M263" i="4" s="1"/>
  <c r="M1779" i="1"/>
  <c r="N1638" i="1"/>
  <c r="L1344" i="1"/>
  <c r="L1342" i="4" s="1"/>
  <c r="N1321" i="1"/>
  <c r="N1319" i="4" s="1"/>
  <c r="L624" i="1"/>
  <c r="L622" i="4" s="1"/>
  <c r="N611" i="1"/>
  <c r="N609" i="4" s="1"/>
  <c r="N603" i="1"/>
  <c r="N601" i="4" s="1"/>
  <c r="N558" i="1"/>
  <c r="N556" i="4" s="1"/>
  <c r="M468" i="1"/>
  <c r="M466" i="4" s="1"/>
  <c r="N362" i="1"/>
  <c r="N360" i="4" s="1"/>
  <c r="M328" i="1"/>
  <c r="M326" i="4" s="1"/>
  <c r="N1604" i="1"/>
  <c r="N1541" i="1"/>
  <c r="N638" i="1"/>
  <c r="N636" i="4" s="1"/>
  <c r="N632" i="1"/>
  <c r="N630" i="4" s="1"/>
  <c r="M624" i="1"/>
  <c r="M622" i="4" s="1"/>
  <c r="M603" i="1"/>
  <c r="M601" i="4" s="1"/>
  <c r="M596" i="1"/>
  <c r="M594" i="4" s="1"/>
  <c r="L573" i="1"/>
  <c r="L571" i="4" s="1"/>
  <c r="N526" i="1"/>
  <c r="N524" i="4" s="1"/>
  <c r="N426" i="1"/>
  <c r="N424" i="4" s="1"/>
  <c r="N399" i="1"/>
  <c r="N397" i="4" s="1"/>
  <c r="N338" i="1"/>
  <c r="N336" i="4" s="1"/>
  <c r="N1747" i="1"/>
  <c r="N1573" i="1"/>
  <c r="L757" i="1"/>
  <c r="L755" i="4" s="1"/>
  <c r="N645" i="1"/>
  <c r="N643" i="4" s="1"/>
  <c r="N610" i="1"/>
  <c r="N608" i="4" s="1"/>
  <c r="N587" i="1"/>
  <c r="N585" i="4" s="1"/>
  <c r="N579" i="1"/>
  <c r="N577" i="4" s="1"/>
  <c r="L476" i="1"/>
  <c r="L474" i="4" s="1"/>
  <c r="N408" i="1"/>
  <c r="N406" i="4" s="1"/>
  <c r="M378" i="1"/>
  <c r="M376" i="4" s="1"/>
  <c r="L369" i="1"/>
  <c r="L367" i="4" s="1"/>
  <c r="M272" i="1"/>
  <c r="M270" i="4" s="1"/>
  <c r="N242" i="1"/>
  <c r="N240" i="4" s="1"/>
  <c r="L1756" i="1"/>
  <c r="N1645" i="1"/>
  <c r="L1613" i="1"/>
  <c r="L1582" i="1"/>
  <c r="M645" i="1"/>
  <c r="M643" i="4" s="1"/>
  <c r="N623" i="1"/>
  <c r="N621" i="4" s="1"/>
  <c r="M587" i="1"/>
  <c r="M585" i="4" s="1"/>
  <c r="M579" i="1"/>
  <c r="M577" i="4" s="1"/>
  <c r="M572" i="1"/>
  <c r="M570" i="4" s="1"/>
  <c r="M514" i="1"/>
  <c r="M512" i="4" s="1"/>
  <c r="N505" i="1"/>
  <c r="N503" i="4" s="1"/>
  <c r="N484" i="1"/>
  <c r="N482" i="4" s="1"/>
  <c r="N435" i="1"/>
  <c r="N433" i="4" s="1"/>
  <c r="N377" i="1"/>
  <c r="N375" i="4" s="1"/>
  <c r="M368" i="1"/>
  <c r="M366" i="4" s="1"/>
  <c r="M336" i="1"/>
  <c r="M334" i="4" s="1"/>
  <c r="M1818" i="1"/>
  <c r="M1645" i="1"/>
  <c r="L1612" i="1"/>
  <c r="L636" i="1"/>
  <c r="L634" i="4" s="1"/>
  <c r="M609" i="1"/>
  <c r="M607" i="4" s="1"/>
  <c r="N563" i="1"/>
  <c r="N561" i="4" s="1"/>
  <c r="M484" i="1"/>
  <c r="M482" i="4" s="1"/>
  <c r="N444" i="1"/>
  <c r="N442" i="4" s="1"/>
  <c r="N415" i="1"/>
  <c r="N413" i="4" s="1"/>
  <c r="M387" i="1"/>
  <c r="M385" i="4" s="1"/>
  <c r="M377" i="1"/>
  <c r="M375" i="4" s="1"/>
  <c r="N303" i="1"/>
  <c r="N301" i="4" s="1"/>
  <c r="N271" i="1"/>
  <c r="N269" i="4" s="1"/>
  <c r="N1765" i="1"/>
  <c r="M1700" i="1"/>
  <c r="M636" i="1"/>
  <c r="M634" i="4" s="1"/>
  <c r="L628" i="1"/>
  <c r="L626" i="4" s="1"/>
  <c r="N615" i="1"/>
  <c r="N613" i="4" s="1"/>
  <c r="L609" i="1"/>
  <c r="L607" i="4" s="1"/>
  <c r="M563" i="1"/>
  <c r="M561" i="4" s="1"/>
  <c r="N553" i="1"/>
  <c r="N551" i="4" s="1"/>
  <c r="N423" i="1"/>
  <c r="N421" i="4" s="1"/>
  <c r="N280" i="1"/>
  <c r="N278" i="4" s="1"/>
  <c r="M1795" i="1"/>
  <c r="M1732" i="1"/>
  <c r="N1589" i="1"/>
  <c r="L1513" i="1"/>
  <c r="M615" i="1"/>
  <c r="M613" i="4" s="1"/>
  <c r="L585" i="1"/>
  <c r="L583" i="4" s="1"/>
  <c r="M522" i="1"/>
  <c r="M520" i="4" s="1"/>
  <c r="N513" i="1"/>
  <c r="N511" i="4" s="1"/>
  <c r="N312" i="1"/>
  <c r="N310" i="4" s="1"/>
  <c r="M1620" i="1"/>
  <c r="M1589" i="1"/>
  <c r="M1559" i="1"/>
  <c r="M1396" i="1"/>
  <c r="M1394" i="4" s="1"/>
  <c r="N627" i="1"/>
  <c r="N625" i="4" s="1"/>
  <c r="N621" i="1"/>
  <c r="N619" i="4" s="1"/>
  <c r="N599" i="1"/>
  <c r="N597" i="4" s="1"/>
  <c r="N591" i="1"/>
  <c r="N589" i="4" s="1"/>
  <c r="M530" i="1"/>
  <c r="M528" i="4" s="1"/>
  <c r="M491" i="1"/>
  <c r="M489" i="4" s="1"/>
  <c r="N451" i="1"/>
  <c r="N449" i="4" s="1"/>
  <c r="N394" i="1"/>
  <c r="N392" i="4" s="1"/>
  <c r="M248" i="1"/>
  <c r="M246" i="4" s="1"/>
  <c r="M1803" i="1"/>
  <c r="L579" i="1"/>
  <c r="L577" i="4" s="1"/>
  <c r="L475" i="1"/>
  <c r="L473" i="4" s="1"/>
  <c r="L1674" i="1"/>
  <c r="L1172" i="1"/>
  <c r="L1170" i="4" s="1"/>
  <c r="L633" i="1"/>
  <c r="L631" i="4" s="1"/>
  <c r="L615" i="1"/>
  <c r="L613" i="4" s="1"/>
  <c r="L563" i="1"/>
  <c r="L561" i="4" s="1"/>
  <c r="M402" i="1"/>
  <c r="M400" i="4" s="1"/>
  <c r="L387" i="1"/>
  <c r="L385" i="4" s="1"/>
  <c r="L368" i="1"/>
  <c r="L366" i="4" s="1"/>
  <c r="M352" i="1"/>
  <c r="M350" i="4" s="1"/>
  <c r="N336" i="1"/>
  <c r="N334" i="4" s="1"/>
  <c r="M318" i="1"/>
  <c r="M316" i="4" s="1"/>
  <c r="L256" i="1"/>
  <c r="L254" i="4" s="1"/>
  <c r="N1817" i="1"/>
  <c r="M1809" i="1"/>
  <c r="L1794" i="1"/>
  <c r="L1786" i="1"/>
  <c r="L1730" i="1"/>
  <c r="L1721" i="1"/>
  <c r="M1705" i="1"/>
  <c r="M1682" i="1"/>
  <c r="M1659" i="1"/>
  <c r="N1548" i="1"/>
  <c r="M1540" i="1"/>
  <c r="N1489" i="1"/>
  <c r="N1426" i="1"/>
  <c r="N1424" i="4" s="1"/>
  <c r="N1342" i="1"/>
  <c r="N1340" i="4" s="1"/>
  <c r="L1205" i="1"/>
  <c r="L1203" i="4" s="1"/>
  <c r="L567" i="1"/>
  <c r="L565" i="4" s="1"/>
  <c r="L1763" i="1"/>
  <c r="M649" i="1"/>
  <c r="M647" i="4" s="1"/>
  <c r="M684" i="1"/>
  <c r="M682" i="4" s="1"/>
  <c r="M735" i="1"/>
  <c r="M733" i="4" s="1"/>
  <c r="M780" i="1"/>
  <c r="M778" i="4" s="1"/>
  <c r="M811" i="1"/>
  <c r="M809" i="4" s="1"/>
  <c r="M856" i="1"/>
  <c r="M854" i="4" s="1"/>
  <c r="M865" i="1"/>
  <c r="M863" i="4" s="1"/>
  <c r="M903" i="1"/>
  <c r="M901" i="4" s="1"/>
  <c r="M925" i="1"/>
  <c r="M923" i="4" s="1"/>
  <c r="M936" i="1"/>
  <c r="M934" i="4" s="1"/>
  <c r="M957" i="1"/>
  <c r="M955" i="4" s="1"/>
  <c r="M972" i="1"/>
  <c r="M970" i="4" s="1"/>
  <c r="M997" i="1"/>
  <c r="M995" i="4" s="1"/>
  <c r="M1029" i="1"/>
  <c r="M1027" i="4" s="1"/>
  <c r="M1065" i="1"/>
  <c r="M1063" i="4" s="1"/>
  <c r="M673" i="1"/>
  <c r="M671" i="4" s="1"/>
  <c r="M679" i="1"/>
  <c r="M677" i="4" s="1"/>
  <c r="M706" i="1"/>
  <c r="M704" i="4" s="1"/>
  <c r="M783" i="1"/>
  <c r="M781" i="4" s="1"/>
  <c r="M808" i="1"/>
  <c r="M806" i="4" s="1"/>
  <c r="M876" i="1"/>
  <c r="M874" i="4" s="1"/>
  <c r="M879" i="1"/>
  <c r="M877" i="4" s="1"/>
  <c r="M914" i="1"/>
  <c r="M912" i="4" s="1"/>
  <c r="M918" i="1"/>
  <c r="M916" i="4" s="1"/>
  <c r="M921" i="1"/>
  <c r="M919" i="4" s="1"/>
  <c r="M950" i="1"/>
  <c r="M948" i="4" s="1"/>
  <c r="M954" i="1"/>
  <c r="M952" i="4" s="1"/>
  <c r="M961" i="1"/>
  <c r="M959" i="4" s="1"/>
  <c r="M986" i="1"/>
  <c r="M984" i="4" s="1"/>
  <c r="M990" i="1"/>
  <c r="M988" i="4" s="1"/>
  <c r="M1022" i="1"/>
  <c r="M1020" i="4" s="1"/>
  <c r="M1026" i="1"/>
  <c r="M1024" i="4" s="1"/>
  <c r="M1033" i="1"/>
  <c r="M1031" i="4" s="1"/>
  <c r="M1040" i="1"/>
  <c r="M1038" i="4" s="1"/>
  <c r="M1044" i="1"/>
  <c r="M1042" i="4" s="1"/>
  <c r="M669" i="1"/>
  <c r="M667" i="4" s="1"/>
  <c r="M696" i="1"/>
  <c r="M694" i="4" s="1"/>
  <c r="M710" i="1"/>
  <c r="M708" i="4" s="1"/>
  <c r="M733" i="1"/>
  <c r="M731" i="4" s="1"/>
  <c r="M744" i="1"/>
  <c r="M742" i="4" s="1"/>
  <c r="M754" i="1"/>
  <c r="M752" i="4" s="1"/>
  <c r="M769" i="1"/>
  <c r="M767" i="4" s="1"/>
  <c r="M775" i="1"/>
  <c r="M773" i="4" s="1"/>
  <c r="M817" i="1"/>
  <c r="M815" i="4" s="1"/>
  <c r="M828" i="1"/>
  <c r="M826" i="4" s="1"/>
  <c r="M831" i="1"/>
  <c r="M829" i="4" s="1"/>
  <c r="M854" i="1"/>
  <c r="M852" i="4" s="1"/>
  <c r="M868" i="1"/>
  <c r="M866" i="4" s="1"/>
  <c r="M871" i="1"/>
  <c r="M869" i="4" s="1"/>
  <c r="M888" i="1"/>
  <c r="M886" i="4" s="1"/>
  <c r="M891" i="1"/>
  <c r="M889" i="4" s="1"/>
  <c r="M900" i="1"/>
  <c r="M898" i="4" s="1"/>
  <c r="M907" i="1"/>
  <c r="M905" i="4" s="1"/>
  <c r="M929" i="1"/>
  <c r="M927" i="4" s="1"/>
  <c r="M1001" i="1"/>
  <c r="M999" i="4" s="1"/>
  <c r="M1058" i="1"/>
  <c r="M1056" i="4" s="1"/>
  <c r="M1062" i="1"/>
  <c r="M1060" i="4" s="1"/>
  <c r="M658" i="1"/>
  <c r="M656" i="4" s="1"/>
  <c r="M662" i="1"/>
  <c r="M660" i="4" s="1"/>
  <c r="M739" i="1"/>
  <c r="M737" i="4" s="1"/>
  <c r="M758" i="1"/>
  <c r="M756" i="4" s="1"/>
  <c r="M792" i="1"/>
  <c r="M790" i="4" s="1"/>
  <c r="M802" i="1"/>
  <c r="M800" i="4" s="1"/>
  <c r="M806" i="1"/>
  <c r="M804" i="4" s="1"/>
  <c r="M823" i="1"/>
  <c r="M821" i="4" s="1"/>
  <c r="M965" i="1"/>
  <c r="M963" i="4" s="1"/>
  <c r="M1005" i="1"/>
  <c r="M1003" i="4" s="1"/>
  <c r="M1009" i="1"/>
  <c r="M1007" i="4" s="1"/>
  <c r="M1016" i="1"/>
  <c r="M1014" i="4" s="1"/>
  <c r="M1037" i="1"/>
  <c r="M1035" i="4" s="1"/>
  <c r="M685" i="1"/>
  <c r="M683" i="4" s="1"/>
  <c r="M691" i="1"/>
  <c r="M689" i="4" s="1"/>
  <c r="M722" i="1"/>
  <c r="M720" i="4" s="1"/>
  <c r="M747" i="1"/>
  <c r="M745" i="4" s="1"/>
  <c r="M781" i="1"/>
  <c r="M779" i="4" s="1"/>
  <c r="M795" i="1"/>
  <c r="M793" i="4" s="1"/>
  <c r="M820" i="1"/>
  <c r="M818" i="4" s="1"/>
  <c r="M840" i="1"/>
  <c r="M838" i="4" s="1"/>
  <c r="M843" i="1"/>
  <c r="M841" i="4" s="1"/>
  <c r="M866" i="1"/>
  <c r="M864" i="4" s="1"/>
  <c r="M877" i="1"/>
  <c r="M875" i="4" s="1"/>
  <c r="M883" i="1"/>
  <c r="M881" i="4" s="1"/>
  <c r="M937" i="1"/>
  <c r="M935" i="4" s="1"/>
  <c r="M948" i="1"/>
  <c r="M946" i="4" s="1"/>
  <c r="M969" i="1"/>
  <c r="M967" i="4" s="1"/>
  <c r="M973" i="1"/>
  <c r="M971" i="4" s="1"/>
  <c r="M984" i="1"/>
  <c r="M982" i="4" s="1"/>
  <c r="M1020" i="1"/>
  <c r="M1018" i="4" s="1"/>
  <c r="M1052" i="1"/>
  <c r="M1050" i="4" s="1"/>
  <c r="M650" i="1"/>
  <c r="M648" i="4" s="1"/>
  <c r="M708" i="1"/>
  <c r="M706" i="4" s="1"/>
  <c r="M787" i="1"/>
  <c r="M785" i="4" s="1"/>
  <c r="M829" i="1"/>
  <c r="M827" i="4" s="1"/>
  <c r="M889" i="1"/>
  <c r="M887" i="4" s="1"/>
  <c r="M901" i="1"/>
  <c r="M899" i="4" s="1"/>
  <c r="M904" i="1"/>
  <c r="M902" i="4" s="1"/>
  <c r="M908" i="1"/>
  <c r="M906" i="4" s="1"/>
  <c r="M912" i="1"/>
  <c r="M910" i="4" s="1"/>
  <c r="M926" i="1"/>
  <c r="M924" i="4" s="1"/>
  <c r="M930" i="1"/>
  <c r="M928" i="4" s="1"/>
  <c r="M933" i="1"/>
  <c r="M931" i="4" s="1"/>
  <c r="M998" i="1"/>
  <c r="M996" i="4" s="1"/>
  <c r="M1002" i="1"/>
  <c r="M1000" i="4" s="1"/>
  <c r="M1013" i="1"/>
  <c r="M1011" i="4" s="1"/>
  <c r="M1041" i="1"/>
  <c r="M1039" i="4" s="1"/>
  <c r="M1045" i="1"/>
  <c r="M1043" i="4" s="1"/>
  <c r="M1056" i="1"/>
  <c r="M1054" i="4" s="1"/>
  <c r="M660" i="1"/>
  <c r="M658" i="4" s="1"/>
  <c r="M674" i="1"/>
  <c r="M672" i="4" s="1"/>
  <c r="M697" i="1"/>
  <c r="M695" i="4" s="1"/>
  <c r="M703" i="1"/>
  <c r="M701" i="4" s="1"/>
  <c r="M730" i="1"/>
  <c r="M728" i="4" s="1"/>
  <c r="M745" i="1"/>
  <c r="M743" i="4" s="1"/>
  <c r="M756" i="1"/>
  <c r="M754" i="4" s="1"/>
  <c r="M766" i="1"/>
  <c r="M764" i="4" s="1"/>
  <c r="M770" i="1"/>
  <c r="M768" i="4" s="1"/>
  <c r="M784" i="1"/>
  <c r="M782" i="4" s="1"/>
  <c r="M818" i="1"/>
  <c r="M816" i="4" s="1"/>
  <c r="M835" i="1"/>
  <c r="M833" i="4" s="1"/>
  <c r="M880" i="1"/>
  <c r="M878" i="4" s="1"/>
  <c r="M897" i="1"/>
  <c r="M895" i="4" s="1"/>
  <c r="M941" i="1"/>
  <c r="M939" i="4" s="1"/>
  <c r="M962" i="1"/>
  <c r="M960" i="4" s="1"/>
  <c r="M966" i="1"/>
  <c r="M964" i="4" s="1"/>
  <c r="M977" i="1"/>
  <c r="M975" i="4" s="1"/>
  <c r="M1034" i="1"/>
  <c r="M1032" i="4" s="1"/>
  <c r="M1038" i="1"/>
  <c r="M1036" i="4" s="1"/>
  <c r="M720" i="1"/>
  <c r="M718" i="4" s="1"/>
  <c r="M734" i="1"/>
  <c r="M732" i="4" s="1"/>
  <c r="M751" i="1"/>
  <c r="M749" i="4" s="1"/>
  <c r="M793" i="1"/>
  <c r="M791" i="4" s="1"/>
  <c r="M804" i="1"/>
  <c r="M802" i="4" s="1"/>
  <c r="M832" i="1"/>
  <c r="M830" i="4" s="1"/>
  <c r="M841" i="1"/>
  <c r="M839" i="4" s="1"/>
  <c r="M852" i="1"/>
  <c r="M850" i="4" s="1"/>
  <c r="M855" i="1"/>
  <c r="M853" i="4" s="1"/>
  <c r="M892" i="1"/>
  <c r="M890" i="4" s="1"/>
  <c r="M981" i="1"/>
  <c r="M979" i="4" s="1"/>
  <c r="M1017" i="1"/>
  <c r="M1015" i="4" s="1"/>
  <c r="M1049" i="1"/>
  <c r="M1047" i="4" s="1"/>
  <c r="M682" i="1"/>
  <c r="M680" i="4" s="1"/>
  <c r="M759" i="1"/>
  <c r="M757" i="4" s="1"/>
  <c r="M782" i="1"/>
  <c r="M780" i="4" s="1"/>
  <c r="M799" i="1"/>
  <c r="M797" i="4" s="1"/>
  <c r="M807" i="1"/>
  <c r="M805" i="4" s="1"/>
  <c r="M878" i="1"/>
  <c r="M876" i="4" s="1"/>
  <c r="M913" i="1"/>
  <c r="M911" i="4" s="1"/>
  <c r="M945" i="1"/>
  <c r="M943" i="4" s="1"/>
  <c r="M949" i="1"/>
  <c r="M947" i="4" s="1"/>
  <c r="M985" i="1"/>
  <c r="M983" i="4" s="1"/>
  <c r="M996" i="1"/>
  <c r="M994" i="4" s="1"/>
  <c r="M1010" i="1"/>
  <c r="M1008" i="4" s="1"/>
  <c r="M1014" i="1"/>
  <c r="M1012" i="4" s="1"/>
  <c r="M1021" i="1"/>
  <c r="M1019" i="4" s="1"/>
  <c r="M1028" i="1"/>
  <c r="M1026" i="4" s="1"/>
  <c r="M1053" i="1"/>
  <c r="M1051" i="4" s="1"/>
  <c r="M1064" i="1"/>
  <c r="M1062" i="4" s="1"/>
  <c r="M742" i="1"/>
  <c r="M740" i="4" s="1"/>
  <c r="M819" i="1"/>
  <c r="M817" i="4" s="1"/>
  <c r="M890" i="1"/>
  <c r="M888" i="4" s="1"/>
  <c r="M898" i="1"/>
  <c r="M896" i="4" s="1"/>
  <c r="M1050" i="1"/>
  <c r="M1048" i="4" s="1"/>
  <c r="M1109" i="1"/>
  <c r="M1107" i="4" s="1"/>
  <c r="M1142" i="1"/>
  <c r="M1140" i="4" s="1"/>
  <c r="M1172" i="1"/>
  <c r="M1170" i="4" s="1"/>
  <c r="M1175" i="1"/>
  <c r="M1173" i="4" s="1"/>
  <c r="M1178" i="1"/>
  <c r="M1176" i="4" s="1"/>
  <c r="M1185" i="1"/>
  <c r="M1183" i="4" s="1"/>
  <c r="M1188" i="1"/>
  <c r="M1186" i="4" s="1"/>
  <c r="M1205" i="1"/>
  <c r="M1203" i="4" s="1"/>
  <c r="M1212" i="1"/>
  <c r="M1210" i="4" s="1"/>
  <c r="M1229" i="1"/>
  <c r="M1227" i="4" s="1"/>
  <c r="M1236" i="1"/>
  <c r="M1234" i="4" s="1"/>
  <c r="M1247" i="1"/>
  <c r="M1245" i="4" s="1"/>
  <c r="M1265" i="1"/>
  <c r="M1263" i="4" s="1"/>
  <c r="M1295" i="1"/>
  <c r="M1293" i="4" s="1"/>
  <c r="M1298" i="1"/>
  <c r="M1296" i="4" s="1"/>
  <c r="M1302" i="1"/>
  <c r="M1300" i="4" s="1"/>
  <c r="M1325" i="1"/>
  <c r="M1323" i="4" s="1"/>
  <c r="M1373" i="1"/>
  <c r="M1371" i="4" s="1"/>
  <c r="M1383" i="1"/>
  <c r="M1381" i="4" s="1"/>
  <c r="M1408" i="1"/>
  <c r="M1406" i="4" s="1"/>
  <c r="M1417" i="1"/>
  <c r="M1415" i="4" s="1"/>
  <c r="M1427" i="1"/>
  <c r="M1425" i="4" s="1"/>
  <c r="M1440" i="1"/>
  <c r="M1450" i="1"/>
  <c r="M1459" i="1"/>
  <c r="M1463" i="1"/>
  <c r="M1476" i="1"/>
  <c r="M1486" i="1"/>
  <c r="M1510" i="1"/>
  <c r="M1513" i="1"/>
  <c r="M1517" i="1"/>
  <c r="M1524" i="1"/>
  <c r="M1535" i="1"/>
  <c r="M727" i="1"/>
  <c r="M725" i="4" s="1"/>
  <c r="M805" i="1"/>
  <c r="M803" i="4" s="1"/>
  <c r="M989" i="1"/>
  <c r="M987" i="4" s="1"/>
  <c r="M1077" i="1"/>
  <c r="M1075" i="4" s="1"/>
  <c r="M1159" i="1"/>
  <c r="M1157" i="4" s="1"/>
  <c r="M1199" i="1"/>
  <c r="M1197" i="4" s="1"/>
  <c r="M1202" i="1"/>
  <c r="M1200" i="4" s="1"/>
  <c r="M1209" i="1"/>
  <c r="M1207" i="4" s="1"/>
  <c r="M1226" i="1"/>
  <c r="M1224" i="4" s="1"/>
  <c r="M1233" i="1"/>
  <c r="M1231" i="4" s="1"/>
  <c r="M1244" i="1"/>
  <c r="M1242" i="4" s="1"/>
  <c r="M1269" i="1"/>
  <c r="M1267" i="4" s="1"/>
  <c r="M1277" i="1"/>
  <c r="M1275" i="4" s="1"/>
  <c r="M1310" i="1"/>
  <c r="M1308" i="4" s="1"/>
  <c r="M1314" i="1"/>
  <c r="M1312" i="4" s="1"/>
  <c r="M1355" i="1"/>
  <c r="M1353" i="4" s="1"/>
  <c r="M1370" i="1"/>
  <c r="M1368" i="4" s="1"/>
  <c r="M1380" i="1"/>
  <c r="M1378" i="4" s="1"/>
  <c r="M1386" i="1"/>
  <c r="M1384" i="4" s="1"/>
  <c r="M1402" i="1"/>
  <c r="M1400" i="4" s="1"/>
  <c r="M1411" i="1"/>
  <c r="M1409" i="4" s="1"/>
  <c r="M1421" i="1"/>
  <c r="M1419" i="4" s="1"/>
  <c r="M1453" i="1"/>
  <c r="M1489" i="1"/>
  <c r="M1493" i="1"/>
  <c r="M1531" i="1"/>
  <c r="M844" i="1"/>
  <c r="M842" i="4" s="1"/>
  <c r="M867" i="1"/>
  <c r="M865" i="4" s="1"/>
  <c r="M938" i="1"/>
  <c r="M936" i="4" s="1"/>
  <c r="M960" i="1"/>
  <c r="M958" i="4" s="1"/>
  <c r="M1070" i="1"/>
  <c r="M1068" i="4" s="1"/>
  <c r="M1074" i="1"/>
  <c r="M1072" i="4" s="1"/>
  <c r="M1081" i="1"/>
  <c r="M1079" i="4" s="1"/>
  <c r="M1088" i="1"/>
  <c r="M1086" i="4" s="1"/>
  <c r="M1117" i="1"/>
  <c r="M1115" i="4" s="1"/>
  <c r="M1139" i="1"/>
  <c r="M1137" i="4" s="1"/>
  <c r="M1223" i="1"/>
  <c r="M1221" i="4" s="1"/>
  <c r="M1284" i="1"/>
  <c r="M1282" i="4" s="1"/>
  <c r="M1292" i="1"/>
  <c r="M1290" i="4" s="1"/>
  <c r="M698" i="1"/>
  <c r="M696" i="4" s="1"/>
  <c r="M721" i="1"/>
  <c r="M719" i="4" s="1"/>
  <c r="M830" i="1"/>
  <c r="M828" i="4" s="1"/>
  <c r="M859" i="1"/>
  <c r="M857" i="4" s="1"/>
  <c r="M874" i="1"/>
  <c r="M872" i="4" s="1"/>
  <c r="M1092" i="1"/>
  <c r="M1090" i="4" s="1"/>
  <c r="M1106" i="1"/>
  <c r="M1104" i="4" s="1"/>
  <c r="M1110" i="1"/>
  <c r="M1108" i="4" s="1"/>
  <c r="M1113" i="1"/>
  <c r="M1111" i="4" s="1"/>
  <c r="M1124" i="1"/>
  <c r="M1122" i="4" s="1"/>
  <c r="M1136" i="1"/>
  <c r="M1134" i="4" s="1"/>
  <c r="M1146" i="1"/>
  <c r="M1144" i="4" s="1"/>
  <c r="M1149" i="1"/>
  <c r="M1147" i="4" s="1"/>
  <c r="M1152" i="1"/>
  <c r="M1150" i="4" s="1"/>
  <c r="M1169" i="1"/>
  <c r="M1167" i="4" s="1"/>
  <c r="M1183" i="1"/>
  <c r="M1181" i="4" s="1"/>
  <c r="M1196" i="1"/>
  <c r="M1194" i="4" s="1"/>
  <c r="M1220" i="1"/>
  <c r="M1218" i="4" s="1"/>
  <c r="M1278" i="1"/>
  <c r="M1276" i="4" s="1"/>
  <c r="M1281" i="1"/>
  <c r="M1279" i="4" s="1"/>
  <c r="M1319" i="1"/>
  <c r="M1317" i="4" s="1"/>
  <c r="M1322" i="1"/>
  <c r="M1320" i="4" s="1"/>
  <c r="M1359" i="1"/>
  <c r="M1357" i="4" s="1"/>
  <c r="M1390" i="1"/>
  <c r="M1388" i="4" s="1"/>
  <c r="M1399" i="1"/>
  <c r="M1397" i="4" s="1"/>
  <c r="M1409" i="1"/>
  <c r="M1407" i="4" s="1"/>
  <c r="M1415" i="1"/>
  <c r="M1413" i="4" s="1"/>
  <c r="M1434" i="1"/>
  <c r="M1444" i="1"/>
  <c r="M1470" i="1"/>
  <c r="M1480" i="1"/>
  <c r="M1483" i="1"/>
  <c r="M1507" i="1"/>
  <c r="M1511" i="1"/>
  <c r="M1528" i="1"/>
  <c r="M667" i="1"/>
  <c r="M665" i="4" s="1"/>
  <c r="M768" i="1"/>
  <c r="M766" i="4" s="1"/>
  <c r="M853" i="1"/>
  <c r="M851" i="4" s="1"/>
  <c r="M909" i="1"/>
  <c r="M907" i="4" s="1"/>
  <c r="M924" i="1"/>
  <c r="M922" i="4" s="1"/>
  <c r="M953" i="1"/>
  <c r="M951" i="4" s="1"/>
  <c r="M1085" i="1"/>
  <c r="M1083" i="4" s="1"/>
  <c r="M1121" i="1"/>
  <c r="M1119" i="4" s="1"/>
  <c r="M1163" i="1"/>
  <c r="M1161" i="4" s="1"/>
  <c r="M1166" i="1"/>
  <c r="M1164" i="4" s="1"/>
  <c r="M1173" i="1"/>
  <c r="M1171" i="4" s="1"/>
  <c r="M1176" i="1"/>
  <c r="M1174" i="4" s="1"/>
  <c r="M1207" i="1"/>
  <c r="M1205" i="4" s="1"/>
  <c r="M1231" i="1"/>
  <c r="M1229" i="4" s="1"/>
  <c r="M1241" i="1"/>
  <c r="M1239" i="4" s="1"/>
  <c r="M1248" i="1"/>
  <c r="M1246" i="4" s="1"/>
  <c r="M1256" i="1"/>
  <c r="M1254" i="4" s="1"/>
  <c r="M1259" i="1"/>
  <c r="M1257" i="4" s="1"/>
  <c r="M1262" i="1"/>
  <c r="M1260" i="4" s="1"/>
  <c r="M1267" i="1"/>
  <c r="M1265" i="4" s="1"/>
  <c r="M1296" i="1"/>
  <c r="M1294" i="4" s="1"/>
  <c r="M1349" i="1"/>
  <c r="M1347" i="4" s="1"/>
  <c r="M1374" i="1"/>
  <c r="M1372" i="4" s="1"/>
  <c r="M1393" i="1"/>
  <c r="M1391" i="4" s="1"/>
  <c r="M1428" i="1"/>
  <c r="M1426" i="4" s="1"/>
  <c r="M1438" i="1"/>
  <c r="M1447" i="1"/>
  <c r="M1451" i="1"/>
  <c r="M1464" i="1"/>
  <c r="M1474" i="1"/>
  <c r="M1487" i="1"/>
  <c r="M1536" i="1"/>
  <c r="M661" i="1"/>
  <c r="M659" i="4" s="1"/>
  <c r="M902" i="1"/>
  <c r="M900" i="4" s="1"/>
  <c r="M1046" i="1"/>
  <c r="M1044" i="4" s="1"/>
  <c r="M1068" i="1"/>
  <c r="M1066" i="4" s="1"/>
  <c r="M1200" i="1"/>
  <c r="M1198" i="4" s="1"/>
  <c r="M1224" i="1"/>
  <c r="M1222" i="4" s="1"/>
  <c r="M1245" i="1"/>
  <c r="M1243" i="4" s="1"/>
  <c r="M1293" i="1"/>
  <c r="M1291" i="4" s="1"/>
  <c r="M1346" i="1"/>
  <c r="M1344" i="4" s="1"/>
  <c r="M1353" i="1"/>
  <c r="M1351" i="4" s="1"/>
  <c r="M1356" i="1"/>
  <c r="M1354" i="4" s="1"/>
  <c r="M1368" i="1"/>
  <c r="M1366" i="4" s="1"/>
  <c r="M1378" i="1"/>
  <c r="M1376" i="4" s="1"/>
  <c r="M1384" i="1"/>
  <c r="M1382" i="4" s="1"/>
  <c r="M1397" i="1"/>
  <c r="M1395" i="4" s="1"/>
  <c r="M1403" i="1"/>
  <c r="M1401" i="4" s="1"/>
  <c r="M1441" i="1"/>
  <c r="M1477" i="1"/>
  <c r="M1481" i="1"/>
  <c r="M1504" i="1"/>
  <c r="M1522" i="1"/>
  <c r="M1525" i="1"/>
  <c r="M1529" i="1"/>
  <c r="M715" i="1"/>
  <c r="M713" i="4" s="1"/>
  <c r="M746" i="1"/>
  <c r="M744" i="4" s="1"/>
  <c r="M816" i="1"/>
  <c r="M814" i="4" s="1"/>
  <c r="M917" i="1"/>
  <c r="M915" i="4" s="1"/>
  <c r="M978" i="1"/>
  <c r="M976" i="4" s="1"/>
  <c r="M1008" i="1"/>
  <c r="M1006" i="4" s="1"/>
  <c r="M1089" i="1"/>
  <c r="M1087" i="4" s="1"/>
  <c r="M1093" i="1"/>
  <c r="M1091" i="4" s="1"/>
  <c r="M1100" i="1"/>
  <c r="M1098" i="4" s="1"/>
  <c r="M1104" i="1"/>
  <c r="M1102" i="4" s="1"/>
  <c r="M1129" i="1"/>
  <c r="M1127" i="4" s="1"/>
  <c r="M1147" i="1"/>
  <c r="M1145" i="4" s="1"/>
  <c r="M1160" i="1"/>
  <c r="M1158" i="4" s="1"/>
  <c r="M1193" i="1"/>
  <c r="M1191" i="4" s="1"/>
  <c r="M1217" i="1"/>
  <c r="M1215" i="4" s="1"/>
  <c r="M1274" i="1"/>
  <c r="M1272" i="4" s="1"/>
  <c r="M1279" i="1"/>
  <c r="M1277" i="4" s="1"/>
  <c r="M1304" i="1"/>
  <c r="M1302" i="4" s="1"/>
  <c r="M1308" i="1"/>
  <c r="M1306" i="4" s="1"/>
  <c r="M1316" i="1"/>
  <c r="M1314" i="4" s="1"/>
  <c r="M1327" i="1"/>
  <c r="M1325" i="4" s="1"/>
  <c r="M1343" i="1"/>
  <c r="M1341" i="4" s="1"/>
  <c r="M1365" i="1"/>
  <c r="M1363" i="4" s="1"/>
  <c r="M1371" i="1"/>
  <c r="M1369" i="4" s="1"/>
  <c r="M1381" i="1"/>
  <c r="M1379" i="4" s="1"/>
  <c r="M1387" i="1"/>
  <c r="M1385" i="4" s="1"/>
  <c r="M1422" i="1"/>
  <c r="M1420" i="4" s="1"/>
  <c r="M1445" i="1"/>
  <c r="M1498" i="1"/>
  <c r="M709" i="1"/>
  <c r="M707" i="4" s="1"/>
  <c r="M886" i="1"/>
  <c r="M884" i="4" s="1"/>
  <c r="M993" i="1"/>
  <c r="M991" i="4" s="1"/>
  <c r="M1032" i="1"/>
  <c r="M1030" i="4" s="1"/>
  <c r="M1061" i="1"/>
  <c r="M1059" i="4" s="1"/>
  <c r="M1082" i="1"/>
  <c r="M1080" i="4" s="1"/>
  <c r="M1086" i="1"/>
  <c r="M1084" i="4" s="1"/>
  <c r="M1118" i="1"/>
  <c r="M1116" i="4" s="1"/>
  <c r="M1122" i="1"/>
  <c r="M1120" i="4" s="1"/>
  <c r="M1125" i="1"/>
  <c r="M1123" i="4" s="1"/>
  <c r="M1137" i="1"/>
  <c r="M1135" i="4" s="1"/>
  <c r="M1171" i="1"/>
  <c r="M1169" i="4" s="1"/>
  <c r="M1197" i="1"/>
  <c r="M1195" i="4" s="1"/>
  <c r="M1221" i="1"/>
  <c r="M1219" i="4" s="1"/>
  <c r="M1253" i="1"/>
  <c r="M1251" i="4" s="1"/>
  <c r="M1320" i="1"/>
  <c r="M1318" i="4" s="1"/>
  <c r="M1340" i="1"/>
  <c r="M1338" i="4" s="1"/>
  <c r="M1391" i="1"/>
  <c r="M1389" i="4" s="1"/>
  <c r="M1416" i="1"/>
  <c r="M1414" i="4" s="1"/>
  <c r="M1432" i="1"/>
  <c r="M1458" i="1"/>
  <c r="M1468" i="1"/>
  <c r="M1501" i="1"/>
  <c r="M1505" i="1"/>
  <c r="M1512" i="1"/>
  <c r="M686" i="1"/>
  <c r="M684" i="4" s="1"/>
  <c r="M732" i="1"/>
  <c r="M730" i="4" s="1"/>
  <c r="M794" i="1"/>
  <c r="M792" i="4" s="1"/>
  <c r="M847" i="1"/>
  <c r="M845" i="4" s="1"/>
  <c r="M1097" i="1"/>
  <c r="M1095" i="4" s="1"/>
  <c r="M1141" i="1"/>
  <c r="M1139" i="4" s="1"/>
  <c r="M1164" i="1"/>
  <c r="M1162" i="4" s="1"/>
  <c r="M1184" i="1"/>
  <c r="M1182" i="4" s="1"/>
  <c r="M1187" i="1"/>
  <c r="M1185" i="4" s="1"/>
  <c r="M1190" i="1"/>
  <c r="M1188" i="4" s="1"/>
  <c r="M1214" i="1"/>
  <c r="M1212" i="4" s="1"/>
  <c r="M1238" i="1"/>
  <c r="M1236" i="4" s="1"/>
  <c r="M1243" i="1"/>
  <c r="M1241" i="4" s="1"/>
  <c r="M1257" i="1"/>
  <c r="M1255" i="4" s="1"/>
  <c r="M1260" i="1"/>
  <c r="M1258" i="4" s="1"/>
  <c r="M1375" i="1"/>
  <c r="M1373" i="4" s="1"/>
  <c r="M1385" i="1"/>
  <c r="M1383" i="4" s="1"/>
  <c r="M1410" i="1"/>
  <c r="M1408" i="4" s="1"/>
  <c r="M1426" i="1"/>
  <c r="M1424" i="4" s="1"/>
  <c r="M1435" i="1"/>
  <c r="M1439" i="1"/>
  <c r="M1452" i="1"/>
  <c r="M1462" i="1"/>
  <c r="M1471" i="1"/>
  <c r="M1475" i="1"/>
  <c r="M1488" i="1"/>
  <c r="M1519" i="1"/>
  <c r="M1523" i="1"/>
  <c r="M757" i="1"/>
  <c r="M755" i="4" s="1"/>
  <c r="M771" i="1"/>
  <c r="M769" i="4" s="1"/>
  <c r="M826" i="1"/>
  <c r="M824" i="4" s="1"/>
  <c r="M1080" i="1"/>
  <c r="M1078" i="4" s="1"/>
  <c r="M1101" i="1"/>
  <c r="M1099" i="4" s="1"/>
  <c r="M1105" i="1"/>
  <c r="M1103" i="4" s="1"/>
  <c r="M1133" i="1"/>
  <c r="M1131" i="4" s="1"/>
  <c r="M1161" i="1"/>
  <c r="M1159" i="4" s="1"/>
  <c r="M1195" i="1"/>
  <c r="M1193" i="4" s="1"/>
  <c r="M1219" i="1"/>
  <c r="M1217" i="4" s="1"/>
  <c r="M1283" i="1"/>
  <c r="M1281" i="4" s="1"/>
  <c r="M1286" i="1"/>
  <c r="M1284" i="4" s="1"/>
  <c r="M1301" i="1"/>
  <c r="M1299" i="4" s="1"/>
  <c r="M1331" i="1"/>
  <c r="M1329" i="4" s="1"/>
  <c r="M1334" i="1"/>
  <c r="M1332" i="4" s="1"/>
  <c r="M1338" i="1"/>
  <c r="M1336" i="4" s="1"/>
  <c r="M1341" i="1"/>
  <c r="M1339" i="4" s="1"/>
  <c r="M1344" i="1"/>
  <c r="M1342" i="4" s="1"/>
  <c r="M1398" i="1"/>
  <c r="M1396" i="4" s="1"/>
  <c r="M1420" i="1"/>
  <c r="M1418" i="4" s="1"/>
  <c r="M1433" i="1"/>
  <c r="M1469" i="1"/>
  <c r="M1482" i="1"/>
  <c r="M1499" i="1"/>
  <c r="M1516" i="1"/>
  <c r="M1094" i="1"/>
  <c r="M1092" i="4" s="1"/>
  <c r="M1537" i="1"/>
  <c r="M1583" i="1"/>
  <c r="M1595" i="1"/>
  <c r="M1613" i="1"/>
  <c r="M1625" i="1"/>
  <c r="M1639" i="1"/>
  <c r="M1671" i="1"/>
  <c r="M1701" i="1"/>
  <c r="M1718" i="1"/>
  <c r="M1730" i="1"/>
  <c r="M1753" i="1"/>
  <c r="M1760" i="1"/>
  <c r="M1780" i="1"/>
  <c r="M254" i="1"/>
  <c r="M252" i="4" s="1"/>
  <c r="M266" i="1"/>
  <c r="M264" i="4" s="1"/>
  <c r="M291" i="1"/>
  <c r="M289" i="4" s="1"/>
  <c r="M312" i="1"/>
  <c r="M310" i="4" s="1"/>
  <c r="M350" i="1"/>
  <c r="M348" i="4" s="1"/>
  <c r="M356" i="1"/>
  <c r="M354" i="4" s="1"/>
  <c r="M396" i="1"/>
  <c r="M394" i="4" s="1"/>
  <c r="M436" i="1"/>
  <c r="M434" i="4" s="1"/>
  <c r="M476" i="1"/>
  <c r="M474" i="4" s="1"/>
  <c r="M518" i="1"/>
  <c r="M516" i="4" s="1"/>
  <c r="M1057" i="1"/>
  <c r="M1055" i="4" s="1"/>
  <c r="M1076" i="1"/>
  <c r="M1074" i="4" s="1"/>
  <c r="M1112" i="1"/>
  <c r="M1110" i="4" s="1"/>
  <c r="M1130" i="1"/>
  <c r="M1128" i="4" s="1"/>
  <c r="M1181" i="1"/>
  <c r="M1179" i="4" s="1"/>
  <c r="M1317" i="1"/>
  <c r="M1315" i="4" s="1"/>
  <c r="M1352" i="1"/>
  <c r="M1350" i="4" s="1"/>
  <c r="M1405" i="1"/>
  <c r="M1403" i="4" s="1"/>
  <c r="M1457" i="1"/>
  <c r="M1492" i="1"/>
  <c r="M1552" i="1"/>
  <c r="M1591" i="1"/>
  <c r="M1602" i="1"/>
  <c r="M1609" i="1"/>
  <c r="M1643" i="1"/>
  <c r="M1663" i="1"/>
  <c r="M1683" i="1"/>
  <c r="M1713" i="1"/>
  <c r="M1742" i="1"/>
  <c r="M1765" i="1"/>
  <c r="M1772" i="1"/>
  <c r="M1792" i="1"/>
  <c r="M1807" i="1"/>
  <c r="M1810" i="1"/>
  <c r="M1815" i="1"/>
  <c r="M316" i="1"/>
  <c r="M314" i="4" s="1"/>
  <c r="M338" i="1"/>
  <c r="M336" i="4" s="1"/>
  <c r="M344" i="1"/>
  <c r="M342" i="4" s="1"/>
  <c r="M363" i="1"/>
  <c r="M361" i="4" s="1"/>
  <c r="M384" i="1"/>
  <c r="M382" i="4" s="1"/>
  <c r="M400" i="1"/>
  <c r="M398" i="4" s="1"/>
  <c r="M421" i="1"/>
  <c r="M419" i="4" s="1"/>
  <c r="M424" i="1"/>
  <c r="M422" i="4" s="1"/>
  <c r="M457" i="1"/>
  <c r="M455" i="4" s="1"/>
  <c r="M460" i="1"/>
  <c r="M458" i="4" s="1"/>
  <c r="M485" i="1"/>
  <c r="M483" i="4" s="1"/>
  <c r="M502" i="1"/>
  <c r="M500" i="4" s="1"/>
  <c r="M510" i="1"/>
  <c r="M508" i="4" s="1"/>
  <c r="M560" i="1"/>
  <c r="M558" i="4" s="1"/>
  <c r="M1025" i="1"/>
  <c r="M1023" i="4" s="1"/>
  <c r="M1148" i="1"/>
  <c r="M1146" i="4" s="1"/>
  <c r="M1157" i="1"/>
  <c r="M1155" i="4" s="1"/>
  <c r="M1232" i="1"/>
  <c r="M1230" i="4" s="1"/>
  <c r="M1268" i="1"/>
  <c r="M1266" i="4" s="1"/>
  <c r="M1361" i="1"/>
  <c r="M1359" i="4" s="1"/>
  <c r="M1369" i="1"/>
  <c r="M1367" i="4" s="1"/>
  <c r="M1392" i="1"/>
  <c r="M1390" i="4" s="1"/>
  <c r="M1465" i="1"/>
  <c r="M1500" i="1"/>
  <c r="M1564" i="1"/>
  <c r="M1572" i="1"/>
  <c r="M1579" i="1"/>
  <c r="M1606" i="1"/>
  <c r="M1675" i="1"/>
  <c r="M1695" i="1"/>
  <c r="M1737" i="1"/>
  <c r="M1754" i="1"/>
  <c r="M1777" i="1"/>
  <c r="M1784" i="1"/>
  <c r="M249" i="1"/>
  <c r="M247" i="4" s="1"/>
  <c r="M261" i="1"/>
  <c r="M259" i="4" s="1"/>
  <c r="M279" i="1"/>
  <c r="M277" i="4" s="1"/>
  <c r="M300" i="1"/>
  <c r="M298" i="4" s="1"/>
  <c r="M326" i="1"/>
  <c r="M324" i="4" s="1"/>
  <c r="M332" i="1"/>
  <c r="M330" i="4" s="1"/>
  <c r="M353" i="1"/>
  <c r="M351" i="4" s="1"/>
  <c r="M388" i="1"/>
  <c r="M386" i="4" s="1"/>
  <c r="M416" i="1"/>
  <c r="M414" i="4" s="1"/>
  <c r="M452" i="1"/>
  <c r="M450" i="4" s="1"/>
  <c r="M464" i="1"/>
  <c r="M462" i="4" s="1"/>
  <c r="M470" i="1"/>
  <c r="M468" i="4" s="1"/>
  <c r="M482" i="1"/>
  <c r="M480" i="4" s="1"/>
  <c r="M506" i="1"/>
  <c r="M504" i="4" s="1"/>
  <c r="M536" i="1"/>
  <c r="M534" i="4" s="1"/>
  <c r="M539" i="1"/>
  <c r="M537" i="4" s="1"/>
  <c r="M548" i="1"/>
  <c r="M546" i="4" s="1"/>
  <c r="M551" i="1"/>
  <c r="M549" i="4" s="1"/>
  <c r="M1069" i="1"/>
  <c r="M1067" i="4" s="1"/>
  <c r="M1208" i="1"/>
  <c r="M1206" i="4" s="1"/>
  <c r="M1250" i="1"/>
  <c r="M1248" i="4" s="1"/>
  <c r="M1332" i="1"/>
  <c r="M1330" i="4" s="1"/>
  <c r="M1339" i="1"/>
  <c r="M1337" i="4" s="1"/>
  <c r="M1429" i="1"/>
  <c r="M1427" i="4" s="1"/>
  <c r="M1546" i="1"/>
  <c r="M1549" i="1"/>
  <c r="M1553" i="1"/>
  <c r="M1584" i="1"/>
  <c r="M1618" i="1"/>
  <c r="M1626" i="1"/>
  <c r="M1630" i="1"/>
  <c r="M1637" i="1"/>
  <c r="M1660" i="1"/>
  <c r="M1687" i="1"/>
  <c r="M1707" i="1"/>
  <c r="M1749" i="1"/>
  <c r="M1766" i="1"/>
  <c r="M1789" i="1"/>
  <c r="M1796" i="1"/>
  <c r="M1804" i="1"/>
  <c r="M1819" i="1"/>
  <c r="M304" i="1"/>
  <c r="M302" i="4" s="1"/>
  <c r="M341" i="1"/>
  <c r="M339" i="4" s="1"/>
  <c r="M372" i="1"/>
  <c r="M370" i="4" s="1"/>
  <c r="M376" i="1"/>
  <c r="M374" i="4" s="1"/>
  <c r="M410" i="1"/>
  <c r="M408" i="4" s="1"/>
  <c r="M440" i="1"/>
  <c r="M438" i="4" s="1"/>
  <c r="M446" i="1"/>
  <c r="M444" i="4" s="1"/>
  <c r="M473" i="1"/>
  <c r="M471" i="4" s="1"/>
  <c r="M490" i="1"/>
  <c r="M488" i="4" s="1"/>
  <c r="M498" i="1"/>
  <c r="M496" i="4" s="1"/>
  <c r="M524" i="1"/>
  <c r="M522" i="4" s="1"/>
  <c r="M527" i="1"/>
  <c r="M525" i="4" s="1"/>
  <c r="M555" i="1"/>
  <c r="M553" i="4" s="1"/>
  <c r="M672" i="1"/>
  <c r="M670" i="4" s="1"/>
  <c r="M1123" i="1"/>
  <c r="M1121" i="4" s="1"/>
  <c r="M1326" i="1"/>
  <c r="M1324" i="4" s="1"/>
  <c r="M1362" i="1"/>
  <c r="M1360" i="4" s="1"/>
  <c r="M1414" i="1"/>
  <c r="M1412" i="4" s="1"/>
  <c r="M1561" i="1"/>
  <c r="M1565" i="1"/>
  <c r="M1596" i="1"/>
  <c r="M1621" i="1"/>
  <c r="M1633" i="1"/>
  <c r="M1640" i="1"/>
  <c r="M1644" i="1"/>
  <c r="M1648" i="1"/>
  <c r="M1672" i="1"/>
  <c r="M1699" i="1"/>
  <c r="M1719" i="1"/>
  <c r="M1731" i="1"/>
  <c r="M1761" i="1"/>
  <c r="M1778" i="1"/>
  <c r="M255" i="1"/>
  <c r="M253" i="4" s="1"/>
  <c r="M267" i="1"/>
  <c r="M265" i="4" s="1"/>
  <c r="M288" i="1"/>
  <c r="M286" i="4" s="1"/>
  <c r="M314" i="1"/>
  <c r="M312" i="4" s="1"/>
  <c r="M320" i="1"/>
  <c r="M318" i="4" s="1"/>
  <c r="M329" i="1"/>
  <c r="M327" i="4" s="1"/>
  <c r="M351" i="1"/>
  <c r="M349" i="4" s="1"/>
  <c r="M404" i="1"/>
  <c r="M402" i="4" s="1"/>
  <c r="M413" i="1"/>
  <c r="M411" i="4" s="1"/>
  <c r="M428" i="1"/>
  <c r="M426" i="4" s="1"/>
  <c r="M434" i="1"/>
  <c r="M432" i="4" s="1"/>
  <c r="M449" i="1"/>
  <c r="M447" i="4" s="1"/>
  <c r="M494" i="1"/>
  <c r="M492" i="4" s="1"/>
  <c r="M515" i="1"/>
  <c r="M513" i="4" s="1"/>
  <c r="M531" i="1"/>
  <c r="M529" i="4" s="1"/>
  <c r="M543" i="1"/>
  <c r="M541" i="4" s="1"/>
  <c r="M561" i="1"/>
  <c r="M559" i="4" s="1"/>
  <c r="M1098" i="1"/>
  <c r="M1096" i="4" s="1"/>
  <c r="M1280" i="1"/>
  <c r="M1278" i="4" s="1"/>
  <c r="M1347" i="1"/>
  <c r="M1345" i="4" s="1"/>
  <c r="M1379" i="1"/>
  <c r="M1377" i="4" s="1"/>
  <c r="M1576" i="1"/>
  <c r="M1603" i="1"/>
  <c r="M1615" i="1"/>
  <c r="M1652" i="1"/>
  <c r="M1657" i="1"/>
  <c r="M1664" i="1"/>
  <c r="M1684" i="1"/>
  <c r="M1711" i="1"/>
  <c r="M1743" i="1"/>
  <c r="M1773" i="1"/>
  <c r="M1790" i="1"/>
  <c r="M1801" i="1"/>
  <c r="M1808" i="1"/>
  <c r="M1816" i="1"/>
  <c r="M240" i="1"/>
  <c r="M238" i="4" s="1"/>
  <c r="M292" i="1"/>
  <c r="M290" i="4" s="1"/>
  <c r="M308" i="1"/>
  <c r="M306" i="4" s="1"/>
  <c r="M339" i="1"/>
  <c r="M337" i="4" s="1"/>
  <c r="M392" i="1"/>
  <c r="M390" i="4" s="1"/>
  <c r="M398" i="1"/>
  <c r="M396" i="4" s="1"/>
  <c r="M422" i="1"/>
  <c r="M420" i="4" s="1"/>
  <c r="M437" i="1"/>
  <c r="M435" i="4" s="1"/>
  <c r="M458" i="1"/>
  <c r="M456" i="4" s="1"/>
  <c r="M471" i="1"/>
  <c r="M469" i="4" s="1"/>
  <c r="M479" i="1"/>
  <c r="M477" i="4" s="1"/>
  <c r="M519" i="1"/>
  <c r="M517" i="4" s="1"/>
  <c r="M537" i="1"/>
  <c r="M535" i="4" s="1"/>
  <c r="M549" i="1"/>
  <c r="M547" i="4" s="1"/>
  <c r="M796" i="1"/>
  <c r="M794" i="4" s="1"/>
  <c r="M1151" i="1"/>
  <c r="M1149" i="4" s="1"/>
  <c r="M1305" i="1"/>
  <c r="M1303" i="4" s="1"/>
  <c r="M1495" i="1"/>
  <c r="M1543" i="1"/>
  <c r="M1547" i="1"/>
  <c r="M1558" i="1"/>
  <c r="M1588" i="1"/>
  <c r="M1669" i="1"/>
  <c r="M1676" i="1"/>
  <c r="M1696" i="1"/>
  <c r="M1723" i="1"/>
  <c r="M1735" i="1"/>
  <c r="M1755" i="1"/>
  <c r="M1785" i="1"/>
  <c r="M276" i="1"/>
  <c r="M274" i="4" s="1"/>
  <c r="M302" i="1"/>
  <c r="M300" i="4" s="1"/>
  <c r="M317" i="1"/>
  <c r="M315" i="4" s="1"/>
  <c r="M327" i="1"/>
  <c r="M325" i="4" s="1"/>
  <c r="M360" i="1"/>
  <c r="M358" i="4" s="1"/>
  <c r="M364" i="1"/>
  <c r="M362" i="4" s="1"/>
  <c r="M380" i="1"/>
  <c r="M378" i="4" s="1"/>
  <c r="M386" i="1"/>
  <c r="M384" i="4" s="1"/>
  <c r="M401" i="1"/>
  <c r="M399" i="4" s="1"/>
  <c r="M411" i="1"/>
  <c r="M409" i="4" s="1"/>
  <c r="M425" i="1"/>
  <c r="M423" i="4" s="1"/>
  <c r="M447" i="1"/>
  <c r="M445" i="4" s="1"/>
  <c r="M461" i="1"/>
  <c r="M459" i="4" s="1"/>
  <c r="M503" i="1"/>
  <c r="M501" i="4" s="1"/>
  <c r="M525" i="1"/>
  <c r="M523" i="4" s="1"/>
  <c r="M763" i="1"/>
  <c r="M761" i="4" s="1"/>
  <c r="M974" i="1"/>
  <c r="M972" i="4" s="1"/>
  <c r="M1235" i="1"/>
  <c r="M1233" i="4" s="1"/>
  <c r="M1271" i="1"/>
  <c r="M1269" i="4" s="1"/>
  <c r="M1313" i="1"/>
  <c r="M1311" i="4" s="1"/>
  <c r="M1328" i="1"/>
  <c r="M1326" i="4" s="1"/>
  <c r="M1423" i="1"/>
  <c r="M1421" i="4" s="1"/>
  <c r="M1570" i="1"/>
  <c r="M1573" i="1"/>
  <c r="M1577" i="1"/>
  <c r="M1600" i="1"/>
  <c r="M1619" i="1"/>
  <c r="M1627" i="1"/>
  <c r="M1631" i="1"/>
  <c r="M1638" i="1"/>
  <c r="M1653" i="1"/>
  <c r="M1658" i="1"/>
  <c r="M1681" i="1"/>
  <c r="M1688" i="1"/>
  <c r="M1708" i="1"/>
  <c r="M1747" i="1"/>
  <c r="M1767" i="1"/>
  <c r="M1797" i="1"/>
  <c r="M1802" i="1"/>
  <c r="M1813" i="1"/>
  <c r="M241" i="1"/>
  <c r="M239" i="4" s="1"/>
  <c r="M252" i="1"/>
  <c r="M250" i="4" s="1"/>
  <c r="M264" i="1"/>
  <c r="M262" i="4" s="1"/>
  <c r="M280" i="1"/>
  <c r="M278" i="4" s="1"/>
  <c r="M296" i="1"/>
  <c r="M294" i="4" s="1"/>
  <c r="M374" i="1"/>
  <c r="M372" i="4" s="1"/>
  <c r="M389" i="1"/>
  <c r="M387" i="4" s="1"/>
  <c r="M435" i="1"/>
  <c r="M433" i="4" s="1"/>
  <c r="M455" i="1"/>
  <c r="M453" i="4" s="1"/>
  <c r="M507" i="1"/>
  <c r="M505" i="4" s="1"/>
  <c r="M513" i="1"/>
  <c r="M511" i="4" s="1"/>
  <c r="M842" i="1"/>
  <c r="M840" i="4" s="1"/>
  <c r="M864" i="1"/>
  <c r="M862" i="4" s="1"/>
  <c r="M942" i="1"/>
  <c r="M940" i="4" s="1"/>
  <c r="M1073" i="1"/>
  <c r="M1071" i="4" s="1"/>
  <c r="M1255" i="1"/>
  <c r="M1253" i="4" s="1"/>
  <c r="M1291" i="1"/>
  <c r="M1289" i="4" s="1"/>
  <c r="M1329" i="1"/>
  <c r="M1327" i="4" s="1"/>
  <c r="M1154" i="1"/>
  <c r="M1152" i="4" s="1"/>
  <c r="M1307" i="1"/>
  <c r="M1305" i="4" s="1"/>
  <c r="M1351" i="1"/>
  <c r="M1349" i="4" s="1"/>
  <c r="M1358" i="1"/>
  <c r="M1356" i="4" s="1"/>
  <c r="M1366" i="1"/>
  <c r="M1364" i="4" s="1"/>
  <c r="M1404" i="1"/>
  <c r="M1402" i="4" s="1"/>
  <c r="M1541" i="1"/>
  <c r="M1548" i="1"/>
  <c r="M1555" i="1"/>
  <c r="M1571" i="1"/>
  <c r="M1612" i="1"/>
  <c r="M1642" i="1"/>
  <c r="M1677" i="1"/>
  <c r="M1694" i="1"/>
  <c r="M1717" i="1"/>
  <c r="M1724" i="1"/>
  <c r="M1729" i="1"/>
  <c r="M1736" i="1"/>
  <c r="M1756" i="1"/>
  <c r="M1783" i="1"/>
  <c r="M260" i="1"/>
  <c r="M258" i="4" s="1"/>
  <c r="M278" i="1"/>
  <c r="M276" i="4" s="1"/>
  <c r="M303" i="1"/>
  <c r="M301" i="4" s="1"/>
  <c r="M324" i="1"/>
  <c r="M322" i="4" s="1"/>
  <c r="M340" i="1"/>
  <c r="M338" i="4" s="1"/>
  <c r="M362" i="1"/>
  <c r="M360" i="4" s="1"/>
  <c r="M375" i="1"/>
  <c r="M373" i="4" s="1"/>
  <c r="M408" i="1"/>
  <c r="M406" i="4" s="1"/>
  <c r="M420" i="1"/>
  <c r="M418" i="4" s="1"/>
  <c r="M444" i="1"/>
  <c r="M442" i="4" s="1"/>
  <c r="M472" i="1"/>
  <c r="M470" i="4" s="1"/>
  <c r="M481" i="1"/>
  <c r="M479" i="4" s="1"/>
  <c r="M526" i="1"/>
  <c r="M524" i="4" s="1"/>
  <c r="M534" i="1"/>
  <c r="M532" i="4" s="1"/>
  <c r="M546" i="1"/>
  <c r="M544" i="4" s="1"/>
  <c r="L645" i="1"/>
  <c r="L643" i="4" s="1"/>
  <c r="M611" i="1"/>
  <c r="M609" i="4" s="1"/>
  <c r="L599" i="1"/>
  <c r="L597" i="4" s="1"/>
  <c r="L584" i="1"/>
  <c r="L582" i="4" s="1"/>
  <c r="L572" i="1"/>
  <c r="L570" i="4" s="1"/>
  <c r="M475" i="1"/>
  <c r="M473" i="4" s="1"/>
  <c r="M459" i="1"/>
  <c r="M457" i="4" s="1"/>
  <c r="N664" i="1"/>
  <c r="N662" i="4" s="1"/>
  <c r="N698" i="1"/>
  <c r="N696" i="4" s="1"/>
  <c r="N701" i="1"/>
  <c r="N699" i="4" s="1"/>
  <c r="N721" i="1"/>
  <c r="N719" i="4" s="1"/>
  <c r="N727" i="1"/>
  <c r="N725" i="4" s="1"/>
  <c r="N738" i="1"/>
  <c r="N736" i="4" s="1"/>
  <c r="N746" i="1"/>
  <c r="N744" i="4" s="1"/>
  <c r="N763" i="1"/>
  <c r="N761" i="4" s="1"/>
  <c r="N771" i="1"/>
  <c r="N769" i="4" s="1"/>
  <c r="N794" i="1"/>
  <c r="N792" i="4" s="1"/>
  <c r="N801" i="1"/>
  <c r="N799" i="4" s="1"/>
  <c r="N819" i="1"/>
  <c r="N817" i="4" s="1"/>
  <c r="N822" i="1"/>
  <c r="N820" i="4" s="1"/>
  <c r="N833" i="1"/>
  <c r="N831" i="4" s="1"/>
  <c r="N842" i="1"/>
  <c r="N840" i="4" s="1"/>
  <c r="N859" i="1"/>
  <c r="N857" i="4" s="1"/>
  <c r="N882" i="1"/>
  <c r="N880" i="4" s="1"/>
  <c r="N993" i="1"/>
  <c r="N991" i="4" s="1"/>
  <c r="N1004" i="1"/>
  <c r="N1002" i="4" s="1"/>
  <c r="N1008" i="1"/>
  <c r="N1006" i="4" s="1"/>
  <c r="N1015" i="1"/>
  <c r="N1013" i="4" s="1"/>
  <c r="N649" i="1"/>
  <c r="N647" i="4" s="1"/>
  <c r="N690" i="1"/>
  <c r="N688" i="4" s="1"/>
  <c r="N717" i="1"/>
  <c r="N715" i="4" s="1"/>
  <c r="N724" i="1"/>
  <c r="N722" i="4" s="1"/>
  <c r="N735" i="1"/>
  <c r="N733" i="4" s="1"/>
  <c r="N749" i="1"/>
  <c r="N747" i="4" s="1"/>
  <c r="N760" i="1"/>
  <c r="N758" i="4" s="1"/>
  <c r="N811" i="1"/>
  <c r="N809" i="4" s="1"/>
  <c r="N849" i="1"/>
  <c r="N847" i="4" s="1"/>
  <c r="N856" i="1"/>
  <c r="N854" i="4" s="1"/>
  <c r="N894" i="1"/>
  <c r="N892" i="4" s="1"/>
  <c r="N903" i="1"/>
  <c r="N901" i="4" s="1"/>
  <c r="N925" i="1"/>
  <c r="N923" i="4" s="1"/>
  <c r="N932" i="1"/>
  <c r="N930" i="4" s="1"/>
  <c r="N936" i="1"/>
  <c r="N934" i="4" s="1"/>
  <c r="N943" i="1"/>
  <c r="N941" i="4" s="1"/>
  <c r="N957" i="1"/>
  <c r="N955" i="4" s="1"/>
  <c r="N968" i="1"/>
  <c r="N966" i="4" s="1"/>
  <c r="N972" i="1"/>
  <c r="N970" i="4" s="1"/>
  <c r="N979" i="1"/>
  <c r="N977" i="4" s="1"/>
  <c r="N997" i="1"/>
  <c r="N995" i="4" s="1"/>
  <c r="N1012" i="1"/>
  <c r="N1010" i="4" s="1"/>
  <c r="N1029" i="1"/>
  <c r="N1027" i="4" s="1"/>
  <c r="N1051" i="1"/>
  <c r="N1049" i="4" s="1"/>
  <c r="N1065" i="1"/>
  <c r="N1063" i="4" s="1"/>
  <c r="N652" i="1"/>
  <c r="N650" i="4" s="1"/>
  <c r="N673" i="1"/>
  <c r="N671" i="4" s="1"/>
  <c r="N679" i="1"/>
  <c r="N677" i="4" s="1"/>
  <c r="N687" i="1"/>
  <c r="N685" i="4" s="1"/>
  <c r="N783" i="1"/>
  <c r="N781" i="4" s="1"/>
  <c r="N786" i="1"/>
  <c r="N784" i="4" s="1"/>
  <c r="N797" i="1"/>
  <c r="N795" i="4" s="1"/>
  <c r="N808" i="1"/>
  <c r="N806" i="4" s="1"/>
  <c r="N845" i="1"/>
  <c r="N843" i="4" s="1"/>
  <c r="N879" i="1"/>
  <c r="N877" i="4" s="1"/>
  <c r="N914" i="1"/>
  <c r="N912" i="4" s="1"/>
  <c r="N918" i="1"/>
  <c r="N916" i="4" s="1"/>
  <c r="N921" i="1"/>
  <c r="N919" i="4" s="1"/>
  <c r="N940" i="1"/>
  <c r="N938" i="4" s="1"/>
  <c r="N950" i="1"/>
  <c r="N948" i="4" s="1"/>
  <c r="N954" i="1"/>
  <c r="N952" i="4" s="1"/>
  <c r="N961" i="1"/>
  <c r="N959" i="4" s="1"/>
  <c r="N976" i="1"/>
  <c r="N974" i="4" s="1"/>
  <c r="N986" i="1"/>
  <c r="N984" i="4" s="1"/>
  <c r="N990" i="1"/>
  <c r="N988" i="4" s="1"/>
  <c r="N1022" i="1"/>
  <c r="N1020" i="4" s="1"/>
  <c r="N1026" i="1"/>
  <c r="N1024" i="4" s="1"/>
  <c r="N1033" i="1"/>
  <c r="N1031" i="4" s="1"/>
  <c r="N1040" i="1"/>
  <c r="N1038" i="4" s="1"/>
  <c r="N1044" i="1"/>
  <c r="N1042" i="4" s="1"/>
  <c r="N669" i="1"/>
  <c r="N667" i="4" s="1"/>
  <c r="N676" i="1"/>
  <c r="N674" i="4" s="1"/>
  <c r="N702" i="1"/>
  <c r="N700" i="4" s="1"/>
  <c r="N710" i="1"/>
  <c r="N708" i="4" s="1"/>
  <c r="N713" i="1"/>
  <c r="N711" i="4" s="1"/>
  <c r="N729" i="1"/>
  <c r="N727" i="4" s="1"/>
  <c r="N733" i="1"/>
  <c r="N731" i="4" s="1"/>
  <c r="N765" i="1"/>
  <c r="N763" i="4" s="1"/>
  <c r="N775" i="1"/>
  <c r="N773" i="4" s="1"/>
  <c r="N831" i="1"/>
  <c r="N829" i="4" s="1"/>
  <c r="N834" i="1"/>
  <c r="N832" i="4" s="1"/>
  <c r="N854" i="1"/>
  <c r="N852" i="4" s="1"/>
  <c r="N861" i="1"/>
  <c r="N859" i="4" s="1"/>
  <c r="N868" i="1"/>
  <c r="N866" i="4" s="1"/>
  <c r="N871" i="1"/>
  <c r="N869" i="4" s="1"/>
  <c r="N891" i="1"/>
  <c r="N889" i="4" s="1"/>
  <c r="N907" i="1"/>
  <c r="N905" i="4" s="1"/>
  <c r="N1048" i="1"/>
  <c r="N1046" i="4" s="1"/>
  <c r="N1058" i="1"/>
  <c r="N1056" i="4" s="1"/>
  <c r="N1062" i="1"/>
  <c r="N1060" i="4" s="1"/>
  <c r="N662" i="1"/>
  <c r="N660" i="4" s="1"/>
  <c r="N665" i="1"/>
  <c r="N663" i="4" s="1"/>
  <c r="N699" i="1"/>
  <c r="N697" i="4" s="1"/>
  <c r="N739" i="1"/>
  <c r="N737" i="4" s="1"/>
  <c r="N750" i="1"/>
  <c r="N748" i="4" s="1"/>
  <c r="N758" i="1"/>
  <c r="N756" i="4" s="1"/>
  <c r="N772" i="1"/>
  <c r="N770" i="4" s="1"/>
  <c r="N806" i="1"/>
  <c r="N804" i="4" s="1"/>
  <c r="N813" i="1"/>
  <c r="N811" i="4" s="1"/>
  <c r="N823" i="1"/>
  <c r="N821" i="4" s="1"/>
  <c r="N857" i="1"/>
  <c r="N855" i="4" s="1"/>
  <c r="N944" i="1"/>
  <c r="N942" i="4" s="1"/>
  <c r="N980" i="1"/>
  <c r="N978" i="4" s="1"/>
  <c r="N1005" i="1"/>
  <c r="N1003" i="4" s="1"/>
  <c r="N1009" i="1"/>
  <c r="N1007" i="4" s="1"/>
  <c r="N1016" i="1"/>
  <c r="N1014" i="4" s="1"/>
  <c r="N681" i="1"/>
  <c r="N679" i="4" s="1"/>
  <c r="N685" i="1"/>
  <c r="N683" i="4" s="1"/>
  <c r="N691" i="1"/>
  <c r="N689" i="4" s="1"/>
  <c r="N722" i="1"/>
  <c r="N720" i="4" s="1"/>
  <c r="N725" i="1"/>
  <c r="N723" i="4" s="1"/>
  <c r="N736" i="1"/>
  <c r="N734" i="4" s="1"/>
  <c r="N747" i="1"/>
  <c r="N745" i="4" s="1"/>
  <c r="N761" i="1"/>
  <c r="N759" i="4" s="1"/>
  <c r="N795" i="1"/>
  <c r="N793" i="4" s="1"/>
  <c r="N798" i="1"/>
  <c r="N796" i="4" s="1"/>
  <c r="N820" i="1"/>
  <c r="N818" i="4" s="1"/>
  <c r="N843" i="1"/>
  <c r="N841" i="4" s="1"/>
  <c r="N846" i="1"/>
  <c r="N844" i="4" s="1"/>
  <c r="N866" i="1"/>
  <c r="N864" i="4" s="1"/>
  <c r="N883" i="1"/>
  <c r="N881" i="4" s="1"/>
  <c r="N937" i="1"/>
  <c r="N935" i="4" s="1"/>
  <c r="N948" i="1"/>
  <c r="N946" i="4" s="1"/>
  <c r="N955" i="1"/>
  <c r="N953" i="4" s="1"/>
  <c r="N969" i="1"/>
  <c r="N967" i="4" s="1"/>
  <c r="N973" i="1"/>
  <c r="N971" i="4" s="1"/>
  <c r="N984" i="1"/>
  <c r="N982" i="4" s="1"/>
  <c r="N991" i="1"/>
  <c r="N989" i="4" s="1"/>
  <c r="N1020" i="1"/>
  <c r="N1018" i="4" s="1"/>
  <c r="N1027" i="1"/>
  <c r="N1025" i="4" s="1"/>
  <c r="N1052" i="1"/>
  <c r="N1050" i="4" s="1"/>
  <c r="N1063" i="1"/>
  <c r="N1061" i="4" s="1"/>
  <c r="N650" i="1"/>
  <c r="N648" i="4" s="1"/>
  <c r="N653" i="1"/>
  <c r="N651" i="4" s="1"/>
  <c r="N688" i="1"/>
  <c r="N686" i="4" s="1"/>
  <c r="N714" i="1"/>
  <c r="N712" i="4" s="1"/>
  <c r="N777" i="1"/>
  <c r="N775" i="4" s="1"/>
  <c r="N787" i="1"/>
  <c r="N785" i="4" s="1"/>
  <c r="N809" i="1"/>
  <c r="N807" i="4" s="1"/>
  <c r="N873" i="1"/>
  <c r="N871" i="4" s="1"/>
  <c r="N904" i="1"/>
  <c r="N902" i="4" s="1"/>
  <c r="N908" i="1"/>
  <c r="N906" i="4" s="1"/>
  <c r="N912" i="1"/>
  <c r="N910" i="4" s="1"/>
  <c r="N916" i="1"/>
  <c r="N914" i="4" s="1"/>
  <c r="N919" i="1"/>
  <c r="N917" i="4" s="1"/>
  <c r="N926" i="1"/>
  <c r="N924" i="4" s="1"/>
  <c r="N930" i="1"/>
  <c r="N928" i="4" s="1"/>
  <c r="N933" i="1"/>
  <c r="N931" i="4" s="1"/>
  <c r="N952" i="1"/>
  <c r="N950" i="4" s="1"/>
  <c r="N988" i="1"/>
  <c r="N986" i="4" s="1"/>
  <c r="N998" i="1"/>
  <c r="N996" i="4" s="1"/>
  <c r="N1002" i="1"/>
  <c r="N1000" i="4" s="1"/>
  <c r="N1024" i="1"/>
  <c r="N1022" i="4" s="1"/>
  <c r="N1041" i="1"/>
  <c r="N1039" i="4" s="1"/>
  <c r="N1045" i="1"/>
  <c r="N1043" i="4" s="1"/>
  <c r="N1056" i="1"/>
  <c r="N1054" i="4" s="1"/>
  <c r="N666" i="1"/>
  <c r="N664" i="4" s="1"/>
  <c r="N674" i="1"/>
  <c r="N672" i="4" s="1"/>
  <c r="N677" i="1"/>
  <c r="N675" i="4" s="1"/>
  <c r="N697" i="1"/>
  <c r="N695" i="4" s="1"/>
  <c r="N703" i="1"/>
  <c r="N701" i="4" s="1"/>
  <c r="N711" i="1"/>
  <c r="N709" i="4" s="1"/>
  <c r="N741" i="1"/>
  <c r="N739" i="4" s="1"/>
  <c r="N745" i="1"/>
  <c r="N743" i="4" s="1"/>
  <c r="N770" i="1"/>
  <c r="N768" i="4" s="1"/>
  <c r="N784" i="1"/>
  <c r="N782" i="4" s="1"/>
  <c r="N818" i="1"/>
  <c r="N816" i="4" s="1"/>
  <c r="N825" i="1"/>
  <c r="N823" i="4" s="1"/>
  <c r="N835" i="1"/>
  <c r="N833" i="4" s="1"/>
  <c r="N858" i="1"/>
  <c r="N856" i="4" s="1"/>
  <c r="N869" i="1"/>
  <c r="N867" i="4" s="1"/>
  <c r="N880" i="1"/>
  <c r="N878" i="4" s="1"/>
  <c r="N884" i="1"/>
  <c r="N882" i="4" s="1"/>
  <c r="N897" i="1"/>
  <c r="N895" i="4" s="1"/>
  <c r="N962" i="1"/>
  <c r="N960" i="4" s="1"/>
  <c r="N966" i="1"/>
  <c r="N964" i="4" s="1"/>
  <c r="N1034" i="1"/>
  <c r="N1032" i="4" s="1"/>
  <c r="N1038" i="1"/>
  <c r="N1036" i="4" s="1"/>
  <c r="N1060" i="1"/>
  <c r="N1058" i="4" s="1"/>
  <c r="N663" i="1"/>
  <c r="N661" i="4" s="1"/>
  <c r="N693" i="1"/>
  <c r="N691" i="4" s="1"/>
  <c r="N700" i="1"/>
  <c r="N698" i="4" s="1"/>
  <c r="N726" i="1"/>
  <c r="N724" i="4" s="1"/>
  <c r="N734" i="1"/>
  <c r="N732" i="4" s="1"/>
  <c r="N751" i="1"/>
  <c r="N749" i="4" s="1"/>
  <c r="N762" i="1"/>
  <c r="N760" i="4" s="1"/>
  <c r="N773" i="1"/>
  <c r="N771" i="4" s="1"/>
  <c r="N832" i="1"/>
  <c r="N830" i="4" s="1"/>
  <c r="N855" i="1"/>
  <c r="N853" i="4" s="1"/>
  <c r="N892" i="1"/>
  <c r="N890" i="4" s="1"/>
  <c r="N956" i="1"/>
  <c r="N954" i="4" s="1"/>
  <c r="N981" i="1"/>
  <c r="N979" i="4" s="1"/>
  <c r="N992" i="1"/>
  <c r="N990" i="4" s="1"/>
  <c r="N1017" i="1"/>
  <c r="N1015" i="4" s="1"/>
  <c r="N789" i="1"/>
  <c r="N787" i="4" s="1"/>
  <c r="N796" i="1"/>
  <c r="N794" i="4" s="1"/>
  <c r="N906" i="1"/>
  <c r="N904" i="4" s="1"/>
  <c r="N967" i="1"/>
  <c r="N965" i="4" s="1"/>
  <c r="N974" i="1"/>
  <c r="N972" i="4" s="1"/>
  <c r="N1057" i="1"/>
  <c r="N1055" i="4" s="1"/>
  <c r="N1084" i="1"/>
  <c r="N1082" i="4" s="1"/>
  <c r="N1094" i="1"/>
  <c r="N1092" i="4" s="1"/>
  <c r="N1098" i="1"/>
  <c r="N1096" i="4" s="1"/>
  <c r="N1112" i="1"/>
  <c r="N1110" i="4" s="1"/>
  <c r="N1130" i="1"/>
  <c r="N1128" i="4" s="1"/>
  <c r="N1148" i="1"/>
  <c r="N1146" i="4" s="1"/>
  <c r="N1154" i="1"/>
  <c r="N1152" i="4" s="1"/>
  <c r="N1165" i="1"/>
  <c r="N1163" i="4" s="1"/>
  <c r="N1239" i="1"/>
  <c r="N1237" i="4" s="1"/>
  <c r="N1250" i="1"/>
  <c r="N1248" i="4" s="1"/>
  <c r="N1255" i="1"/>
  <c r="N1253" i="4" s="1"/>
  <c r="N1261" i="1"/>
  <c r="N1259" i="4" s="1"/>
  <c r="N1280" i="1"/>
  <c r="N1278" i="4" s="1"/>
  <c r="N1348" i="1"/>
  <c r="N1346" i="4" s="1"/>
  <c r="N1358" i="1"/>
  <c r="N1356" i="4" s="1"/>
  <c r="N1362" i="1"/>
  <c r="N1360" i="4" s="1"/>
  <c r="N1366" i="1"/>
  <c r="N1364" i="4" s="1"/>
  <c r="N1376" i="1"/>
  <c r="N1374" i="4" s="1"/>
  <c r="N1392" i="1"/>
  <c r="N1390" i="4" s="1"/>
  <c r="N1414" i="1"/>
  <c r="N1412" i="4" s="1"/>
  <c r="N1423" i="1"/>
  <c r="N1421" i="4" s="1"/>
  <c r="N1436" i="1"/>
  <c r="N1446" i="1"/>
  <c r="N1472" i="1"/>
  <c r="N1520" i="1"/>
  <c r="N705" i="1"/>
  <c r="N703" i="4" s="1"/>
  <c r="N782" i="1"/>
  <c r="N780" i="4" s="1"/>
  <c r="N890" i="1"/>
  <c r="N888" i="4" s="1"/>
  <c r="N1028" i="1"/>
  <c r="N1026" i="4" s="1"/>
  <c r="N1036" i="1"/>
  <c r="N1034" i="4" s="1"/>
  <c r="N1050" i="1"/>
  <c r="N1048" i="4" s="1"/>
  <c r="N1142" i="1"/>
  <c r="N1140" i="4" s="1"/>
  <c r="N1172" i="1"/>
  <c r="N1170" i="4" s="1"/>
  <c r="N1178" i="1"/>
  <c r="N1176" i="4" s="1"/>
  <c r="N1185" i="1"/>
  <c r="N1183" i="4" s="1"/>
  <c r="N1188" i="1"/>
  <c r="N1186" i="4" s="1"/>
  <c r="N1212" i="1"/>
  <c r="N1210" i="4" s="1"/>
  <c r="N1236" i="1"/>
  <c r="N1234" i="4" s="1"/>
  <c r="N1298" i="1"/>
  <c r="N1296" i="4" s="1"/>
  <c r="N1345" i="1"/>
  <c r="N1343" i="4" s="1"/>
  <c r="N1373" i="1"/>
  <c r="N1371" i="4" s="1"/>
  <c r="N1383" i="1"/>
  <c r="N1381" i="4" s="1"/>
  <c r="N1417" i="1"/>
  <c r="N1415" i="4" s="1"/>
  <c r="N1427" i="1"/>
  <c r="N1425" i="4" s="1"/>
  <c r="N1440" i="1"/>
  <c r="N1450" i="1"/>
  <c r="N1459" i="1"/>
  <c r="N1463" i="1"/>
  <c r="N1476" i="1"/>
  <c r="N1486" i="1"/>
  <c r="N1496" i="1"/>
  <c r="N1503" i="1"/>
  <c r="N1513" i="1"/>
  <c r="N1517" i="1"/>
  <c r="N1524" i="1"/>
  <c r="N1535" i="1"/>
  <c r="N651" i="1"/>
  <c r="N649" i="4" s="1"/>
  <c r="N712" i="1"/>
  <c r="N710" i="4" s="1"/>
  <c r="N759" i="1"/>
  <c r="N757" i="4" s="1"/>
  <c r="N1021" i="1"/>
  <c r="N1019" i="4" s="1"/>
  <c r="N1077" i="1"/>
  <c r="N1075" i="4" s="1"/>
  <c r="N1159" i="1"/>
  <c r="N1157" i="4" s="1"/>
  <c r="N1192" i="1"/>
  <c r="N1190" i="4" s="1"/>
  <c r="N1202" i="1"/>
  <c r="N1200" i="4" s="1"/>
  <c r="N1209" i="1"/>
  <c r="N1207" i="4" s="1"/>
  <c r="N1216" i="1"/>
  <c r="N1214" i="4" s="1"/>
  <c r="N1226" i="1"/>
  <c r="N1224" i="4" s="1"/>
  <c r="N1233" i="1"/>
  <c r="N1231" i="4" s="1"/>
  <c r="N1244" i="1"/>
  <c r="N1242" i="4" s="1"/>
  <c r="N1269" i="1"/>
  <c r="N1267" i="4" s="1"/>
  <c r="N1273" i="1"/>
  <c r="N1271" i="4" s="1"/>
  <c r="N1287" i="1"/>
  <c r="N1285" i="4" s="1"/>
  <c r="N1303" i="1"/>
  <c r="N1301" i="4" s="1"/>
  <c r="N689" i="1"/>
  <c r="N687" i="4" s="1"/>
  <c r="N774" i="1"/>
  <c r="N772" i="4" s="1"/>
  <c r="N821" i="1"/>
  <c r="N819" i="4" s="1"/>
  <c r="N837" i="1"/>
  <c r="N835" i="4" s="1"/>
  <c r="N844" i="1"/>
  <c r="N842" i="4" s="1"/>
  <c r="N867" i="1"/>
  <c r="N865" i="4" s="1"/>
  <c r="N938" i="1"/>
  <c r="N936" i="4" s="1"/>
  <c r="N945" i="1"/>
  <c r="N943" i="4" s="1"/>
  <c r="N960" i="1"/>
  <c r="N958" i="4" s="1"/>
  <c r="N1014" i="1"/>
  <c r="N1012" i="4" s="1"/>
  <c r="N1070" i="1"/>
  <c r="N1068" i="4" s="1"/>
  <c r="N1074" i="1"/>
  <c r="N1072" i="4" s="1"/>
  <c r="N1081" i="1"/>
  <c r="N1079" i="4" s="1"/>
  <c r="N1088" i="1"/>
  <c r="N1086" i="4" s="1"/>
  <c r="N1117" i="1"/>
  <c r="N1115" i="4" s="1"/>
  <c r="N1131" i="1"/>
  <c r="N1129" i="4" s="1"/>
  <c r="N1251" i="1"/>
  <c r="N1249" i="4" s="1"/>
  <c r="N1284" i="1"/>
  <c r="N1282" i="4" s="1"/>
  <c r="N1326" i="1"/>
  <c r="N1324" i="4" s="1"/>
  <c r="N1329" i="1"/>
  <c r="N1327" i="4" s="1"/>
  <c r="N1332" i="1"/>
  <c r="N1330" i="4" s="1"/>
  <c r="N1339" i="1"/>
  <c r="N1337" i="4" s="1"/>
  <c r="N1405" i="1"/>
  <c r="N1403" i="4" s="1"/>
  <c r="N1424" i="1"/>
  <c r="N1422" i="4" s="1"/>
  <c r="N1431" i="1"/>
  <c r="N1457" i="1"/>
  <c r="N1467" i="1"/>
  <c r="N1500" i="1"/>
  <c r="N753" i="1"/>
  <c r="N751" i="4" s="1"/>
  <c r="N807" i="1"/>
  <c r="N805" i="4" s="1"/>
  <c r="N830" i="1"/>
  <c r="N828" i="4" s="1"/>
  <c r="N931" i="1"/>
  <c r="N929" i="4" s="1"/>
  <c r="N1096" i="1"/>
  <c r="N1094" i="4" s="1"/>
  <c r="N1106" i="1"/>
  <c r="N1104" i="4" s="1"/>
  <c r="N1110" i="1"/>
  <c r="N1108" i="4" s="1"/>
  <c r="N1113" i="1"/>
  <c r="N1111" i="4" s="1"/>
  <c r="N1124" i="1"/>
  <c r="N1122" i="4" s="1"/>
  <c r="N1136" i="1"/>
  <c r="N1134" i="4" s="1"/>
  <c r="N1149" i="1"/>
  <c r="N1147" i="4" s="1"/>
  <c r="N1152" i="1"/>
  <c r="N1150" i="4" s="1"/>
  <c r="N1179" i="1"/>
  <c r="N1177" i="4" s="1"/>
  <c r="N1183" i="1"/>
  <c r="N1181" i="4" s="1"/>
  <c r="N1189" i="1"/>
  <c r="N1187" i="4" s="1"/>
  <c r="N1196" i="1"/>
  <c r="N1194" i="4" s="1"/>
  <c r="N1213" i="1"/>
  <c r="N1211" i="4" s="1"/>
  <c r="N1220" i="1"/>
  <c r="N1218" i="4" s="1"/>
  <c r="N1237" i="1"/>
  <c r="N1235" i="4" s="1"/>
  <c r="N1281" i="1"/>
  <c r="N1279" i="4" s="1"/>
  <c r="N1322" i="1"/>
  <c r="N1320" i="4" s="1"/>
  <c r="N1359" i="1"/>
  <c r="N1357" i="4" s="1"/>
  <c r="N1390" i="1"/>
  <c r="N1388" i="4" s="1"/>
  <c r="N1399" i="1"/>
  <c r="N1397" i="4" s="1"/>
  <c r="N1409" i="1"/>
  <c r="N1407" i="4" s="1"/>
  <c r="N1415" i="1"/>
  <c r="N1413" i="4" s="1"/>
  <c r="N1434" i="1"/>
  <c r="N1460" i="1"/>
  <c r="N1470" i="1"/>
  <c r="N1483" i="1"/>
  <c r="N1507" i="1"/>
  <c r="N1511" i="1"/>
  <c r="N1518" i="1"/>
  <c r="N667" i="1"/>
  <c r="N665" i="4" s="1"/>
  <c r="N675" i="1"/>
  <c r="N673" i="4" s="1"/>
  <c r="N737" i="1"/>
  <c r="N735" i="4" s="1"/>
  <c r="N799" i="1"/>
  <c r="N797" i="4" s="1"/>
  <c r="N909" i="1"/>
  <c r="N907" i="4" s="1"/>
  <c r="N924" i="1"/>
  <c r="N922" i="4" s="1"/>
  <c r="N1000" i="1"/>
  <c r="N998" i="4" s="1"/>
  <c r="N1039" i="1"/>
  <c r="N1037" i="4" s="1"/>
  <c r="N1053" i="1"/>
  <c r="N1051" i="4" s="1"/>
  <c r="N1075" i="1"/>
  <c r="N1073" i="4" s="1"/>
  <c r="N1140" i="1"/>
  <c r="N1138" i="4" s="1"/>
  <c r="N1143" i="1"/>
  <c r="N1141" i="4" s="1"/>
  <c r="N1156" i="1"/>
  <c r="N1154" i="4" s="1"/>
  <c r="N1166" i="1"/>
  <c r="N1164" i="4" s="1"/>
  <c r="N1173" i="1"/>
  <c r="N1171" i="4" s="1"/>
  <c r="N1176" i="1"/>
  <c r="N1174" i="4" s="1"/>
  <c r="N1203" i="1"/>
  <c r="N1201" i="4" s="1"/>
  <c r="N1207" i="1"/>
  <c r="N1205" i="4" s="1"/>
  <c r="N1227" i="1"/>
  <c r="N1225" i="4" s="1"/>
  <c r="N1231" i="1"/>
  <c r="N1229" i="4" s="1"/>
  <c r="N1256" i="1"/>
  <c r="N1254" i="4" s="1"/>
  <c r="N1262" i="1"/>
  <c r="N1260" i="4" s="1"/>
  <c r="N1267" i="1"/>
  <c r="N1265" i="4" s="1"/>
  <c r="N1296" i="1"/>
  <c r="N1294" i="4" s="1"/>
  <c r="N1336" i="1"/>
  <c r="N1334" i="4" s="1"/>
  <c r="N1374" i="1"/>
  <c r="N1372" i="4" s="1"/>
  <c r="N1393" i="1"/>
  <c r="N1391" i="4" s="1"/>
  <c r="N1412" i="1"/>
  <c r="N1410" i="4" s="1"/>
  <c r="N1428" i="1"/>
  <c r="N1426" i="4" s="1"/>
  <c r="N1438" i="1"/>
  <c r="N1447" i="1"/>
  <c r="N1451" i="1"/>
  <c r="N1464" i="1"/>
  <c r="N1474" i="1"/>
  <c r="N1487" i="1"/>
  <c r="N1494" i="1"/>
  <c r="N1532" i="1"/>
  <c r="N1536" i="1"/>
  <c r="N661" i="1"/>
  <c r="N659" i="4" s="1"/>
  <c r="N723" i="1"/>
  <c r="N721" i="4" s="1"/>
  <c r="N985" i="1"/>
  <c r="N983" i="4" s="1"/>
  <c r="N1046" i="1"/>
  <c r="N1044" i="4" s="1"/>
  <c r="N1068" i="1"/>
  <c r="N1066" i="4" s="1"/>
  <c r="N1200" i="1"/>
  <c r="N1198" i="4" s="1"/>
  <c r="N1224" i="1"/>
  <c r="N1222" i="4" s="1"/>
  <c r="N1245" i="1"/>
  <c r="N1243" i="4" s="1"/>
  <c r="N1285" i="1"/>
  <c r="N1283" i="4" s="1"/>
  <c r="N1293" i="1"/>
  <c r="N1291" i="4" s="1"/>
  <c r="N1300" i="1"/>
  <c r="N1298" i="4" s="1"/>
  <c r="N1333" i="1"/>
  <c r="N1331" i="4" s="1"/>
  <c r="N1346" i="1"/>
  <c r="N1344" i="4" s="1"/>
  <c r="N1350" i="1"/>
  <c r="N1348" i="4" s="1"/>
  <c r="N1353" i="1"/>
  <c r="N1351" i="4" s="1"/>
  <c r="N1356" i="1"/>
  <c r="N1354" i="4" s="1"/>
  <c r="N1368" i="1"/>
  <c r="N1366" i="4" s="1"/>
  <c r="N1378" i="1"/>
  <c r="N1376" i="4" s="1"/>
  <c r="N1397" i="1"/>
  <c r="N1395" i="4" s="1"/>
  <c r="N1403" i="1"/>
  <c r="N1401" i="4" s="1"/>
  <c r="N1419" i="1"/>
  <c r="N1417" i="4" s="1"/>
  <c r="N1441" i="1"/>
  <c r="N1477" i="1"/>
  <c r="N1481" i="1"/>
  <c r="N1515" i="1"/>
  <c r="N1525" i="1"/>
  <c r="N1529" i="1"/>
  <c r="N654" i="1"/>
  <c r="N652" i="4" s="1"/>
  <c r="N715" i="1"/>
  <c r="N713" i="4" s="1"/>
  <c r="N785" i="1"/>
  <c r="N783" i="4" s="1"/>
  <c r="N978" i="1"/>
  <c r="N976" i="4" s="1"/>
  <c r="N1072" i="1"/>
  <c r="N1070" i="4" s="1"/>
  <c r="N1089" i="1"/>
  <c r="N1087" i="4" s="1"/>
  <c r="N1093" i="1"/>
  <c r="N1091" i="4" s="1"/>
  <c r="N1100" i="1"/>
  <c r="N1098" i="4" s="1"/>
  <c r="N1104" i="1"/>
  <c r="N1102" i="4" s="1"/>
  <c r="N1111" i="1"/>
  <c r="N1109" i="4" s="1"/>
  <c r="N1129" i="1"/>
  <c r="N1127" i="4" s="1"/>
  <c r="N1132" i="1"/>
  <c r="N1130" i="4" s="1"/>
  <c r="N1147" i="1"/>
  <c r="N1145" i="4" s="1"/>
  <c r="N1153" i="1"/>
  <c r="N1151" i="4" s="1"/>
  <c r="N1160" i="1"/>
  <c r="N1158" i="4" s="1"/>
  <c r="N1180" i="1"/>
  <c r="N1178" i="4" s="1"/>
  <c r="N1249" i="1"/>
  <c r="N1247" i="4" s="1"/>
  <c r="N1274" i="1"/>
  <c r="N1272" i="4" s="1"/>
  <c r="N1279" i="1"/>
  <c r="N1277" i="4" s="1"/>
  <c r="N1312" i="1"/>
  <c r="N1310" i="4" s="1"/>
  <c r="N1323" i="1"/>
  <c r="N1321" i="4" s="1"/>
  <c r="N1327" i="1"/>
  <c r="N1325" i="4" s="1"/>
  <c r="N1365" i="1"/>
  <c r="N1363" i="4" s="1"/>
  <c r="N1371" i="1"/>
  <c r="N1369" i="4" s="1"/>
  <c r="N1381" i="1"/>
  <c r="N1379" i="4" s="1"/>
  <c r="N1387" i="1"/>
  <c r="N1385" i="4" s="1"/>
  <c r="N1400" i="1"/>
  <c r="N1398" i="4" s="1"/>
  <c r="N1422" i="1"/>
  <c r="N1420" i="4" s="1"/>
  <c r="N1445" i="1"/>
  <c r="N1455" i="1"/>
  <c r="N1484" i="1"/>
  <c r="N1491" i="1"/>
  <c r="N1498" i="1"/>
  <c r="N1508" i="1"/>
  <c r="N709" i="1"/>
  <c r="N707" i="4" s="1"/>
  <c r="N878" i="1"/>
  <c r="N876" i="4" s="1"/>
  <c r="N964" i="1"/>
  <c r="N962" i="4" s="1"/>
  <c r="N1032" i="1"/>
  <c r="N1030" i="4" s="1"/>
  <c r="N1082" i="1"/>
  <c r="N1080" i="4" s="1"/>
  <c r="N1086" i="1"/>
  <c r="N1084" i="4" s="1"/>
  <c r="N1108" i="1"/>
  <c r="N1106" i="4" s="1"/>
  <c r="N1118" i="1"/>
  <c r="N1116" i="4" s="1"/>
  <c r="N1122" i="1"/>
  <c r="N1120" i="4" s="1"/>
  <c r="N1125" i="1"/>
  <c r="N1123" i="4" s="1"/>
  <c r="N1137" i="1"/>
  <c r="N1135" i="4" s="1"/>
  <c r="N1167" i="1"/>
  <c r="N1165" i="4" s="1"/>
  <c r="N1171" i="1"/>
  <c r="N1169" i="4" s="1"/>
  <c r="N1177" i="1"/>
  <c r="N1175" i="4" s="1"/>
  <c r="N1197" i="1"/>
  <c r="N1195" i="4" s="1"/>
  <c r="N1204" i="1"/>
  <c r="N1202" i="4" s="1"/>
  <c r="N1221" i="1"/>
  <c r="N1219" i="4" s="1"/>
  <c r="N1228" i="1"/>
  <c r="N1226" i="4" s="1"/>
  <c r="N1263" i="1"/>
  <c r="N1261" i="4" s="1"/>
  <c r="N1297" i="1"/>
  <c r="N1295" i="4" s="1"/>
  <c r="N1320" i="1"/>
  <c r="N1318" i="4" s="1"/>
  <c r="N1391" i="1"/>
  <c r="N1389" i="4" s="1"/>
  <c r="N1407" i="1"/>
  <c r="N1405" i="4" s="1"/>
  <c r="N1416" i="1"/>
  <c r="N1414" i="4" s="1"/>
  <c r="N1448" i="1"/>
  <c r="N1458" i="1"/>
  <c r="N1501" i="1"/>
  <c r="N1505" i="1"/>
  <c r="N1512" i="1"/>
  <c r="N678" i="1"/>
  <c r="N676" i="4" s="1"/>
  <c r="N920" i="1"/>
  <c r="N918" i="4" s="1"/>
  <c r="N928" i="1"/>
  <c r="N926" i="4" s="1"/>
  <c r="N942" i="1"/>
  <c r="N940" i="4" s="1"/>
  <c r="N1003" i="1"/>
  <c r="N1001" i="4" s="1"/>
  <c r="N1069" i="1"/>
  <c r="N1067" i="4" s="1"/>
  <c r="N1076" i="1"/>
  <c r="N1074" i="4" s="1"/>
  <c r="N1087" i="1"/>
  <c r="N1085" i="4" s="1"/>
  <c r="N1208" i="1"/>
  <c r="N1206" i="4" s="1"/>
  <c r="N1232" i="1"/>
  <c r="N1230" i="4" s="1"/>
  <c r="N1268" i="1"/>
  <c r="N1266" i="4" s="1"/>
  <c r="N1291" i="1"/>
  <c r="N1289" i="4" s="1"/>
  <c r="N1317" i="1"/>
  <c r="N1315" i="4" s="1"/>
  <c r="N1324" i="1"/>
  <c r="N1322" i="4" s="1"/>
  <c r="N1347" i="1"/>
  <c r="N1345" i="4" s="1"/>
  <c r="N1351" i="1"/>
  <c r="N1349" i="4" s="1"/>
  <c r="N1369" i="1"/>
  <c r="N1367" i="4" s="1"/>
  <c r="N1379" i="1"/>
  <c r="N1377" i="4" s="1"/>
  <c r="N1388" i="1"/>
  <c r="N1386" i="4" s="1"/>
  <c r="N1395" i="1"/>
  <c r="N1393" i="4" s="1"/>
  <c r="N1404" i="1"/>
  <c r="N1402" i="4" s="1"/>
  <c r="N1429" i="1"/>
  <c r="N1427" i="4" s="1"/>
  <c r="N1465" i="1"/>
  <c r="N1495" i="1"/>
  <c r="N1537" i="1"/>
  <c r="N757" i="1"/>
  <c r="N755" i="4" s="1"/>
  <c r="N913" i="1"/>
  <c r="N911" i="4" s="1"/>
  <c r="N1214" i="1"/>
  <c r="N1212" i="4" s="1"/>
  <c r="N1257" i="1"/>
  <c r="N1255" i="4" s="1"/>
  <c r="N1344" i="1"/>
  <c r="N1342" i="4" s="1"/>
  <c r="N1375" i="1"/>
  <c r="N1373" i="4" s="1"/>
  <c r="N1411" i="1"/>
  <c r="N1409" i="4" s="1"/>
  <c r="N1499" i="1"/>
  <c r="N1560" i="1"/>
  <c r="N1567" i="1"/>
  <c r="N1620" i="1"/>
  <c r="N1632" i="1"/>
  <c r="N1659" i="1"/>
  <c r="N1689" i="1"/>
  <c r="N1721" i="1"/>
  <c r="N1733" i="1"/>
  <c r="N1748" i="1"/>
  <c r="N1795" i="1"/>
  <c r="N1803" i="1"/>
  <c r="N248" i="1"/>
  <c r="N246" i="4" s="1"/>
  <c r="N272" i="1"/>
  <c r="N270" i="4" s="1"/>
  <c r="N281" i="1"/>
  <c r="N279" i="4" s="1"/>
  <c r="N306" i="1"/>
  <c r="N304" i="4" s="1"/>
  <c r="N328" i="1"/>
  <c r="N326" i="4" s="1"/>
  <c r="N365" i="1"/>
  <c r="N363" i="4" s="1"/>
  <c r="N390" i="1"/>
  <c r="N388" i="4" s="1"/>
  <c r="N412" i="1"/>
  <c r="N410" i="4" s="1"/>
  <c r="N432" i="1"/>
  <c r="N430" i="4" s="1"/>
  <c r="N439" i="1"/>
  <c r="N437" i="4" s="1"/>
  <c r="N448" i="1"/>
  <c r="N446" i="4" s="1"/>
  <c r="N489" i="1"/>
  <c r="N487" i="4" s="1"/>
  <c r="N514" i="1"/>
  <c r="N512" i="4" s="1"/>
  <c r="N530" i="1"/>
  <c r="N528" i="4" s="1"/>
  <c r="N542" i="1"/>
  <c r="N540" i="4" s="1"/>
  <c r="N554" i="1"/>
  <c r="N552" i="4" s="1"/>
  <c r="N748" i="1"/>
  <c r="N746" i="4" s="1"/>
  <c r="N1309" i="1"/>
  <c r="N1307" i="4" s="1"/>
  <c r="N1338" i="1"/>
  <c r="N1336" i="4" s="1"/>
  <c r="N1398" i="1"/>
  <c r="N1396" i="4" s="1"/>
  <c r="N1575" i="1"/>
  <c r="N1595" i="1"/>
  <c r="N1613" i="1"/>
  <c r="N1625" i="1"/>
  <c r="N1639" i="1"/>
  <c r="N1671" i="1"/>
  <c r="N1701" i="1"/>
  <c r="N1745" i="1"/>
  <c r="N1760" i="1"/>
  <c r="N286" i="1"/>
  <c r="N284" i="4" s="1"/>
  <c r="N291" i="1"/>
  <c r="N289" i="4" s="1"/>
  <c r="N319" i="1"/>
  <c r="N317" i="4" s="1"/>
  <c r="N356" i="1"/>
  <c r="N354" i="4" s="1"/>
  <c r="N378" i="1"/>
  <c r="N376" i="4" s="1"/>
  <c r="N396" i="1"/>
  <c r="N394" i="4" s="1"/>
  <c r="N403" i="1"/>
  <c r="N401" i="4" s="1"/>
  <c r="N427" i="1"/>
  <c r="N425" i="4" s="1"/>
  <c r="N436" i="1"/>
  <c r="N434" i="4" s="1"/>
  <c r="N476" i="1"/>
  <c r="N474" i="4" s="1"/>
  <c r="N493" i="1"/>
  <c r="N491" i="4" s="1"/>
  <c r="N518" i="1"/>
  <c r="N516" i="4" s="1"/>
  <c r="N847" i="1"/>
  <c r="N845" i="4" s="1"/>
  <c r="N1190" i="1"/>
  <c r="N1188" i="4" s="1"/>
  <c r="N1471" i="1"/>
  <c r="N1479" i="1"/>
  <c r="N1523" i="1"/>
  <c r="N1530" i="1"/>
  <c r="N1542" i="1"/>
  <c r="N1556" i="1"/>
  <c r="N1587" i="1"/>
  <c r="N1591" i="1"/>
  <c r="N1602" i="1"/>
  <c r="N1609" i="1"/>
  <c r="N1643" i="1"/>
  <c r="N1663" i="1"/>
  <c r="N1683" i="1"/>
  <c r="N1713" i="1"/>
  <c r="N1725" i="1"/>
  <c r="N1757" i="1"/>
  <c r="N1772" i="1"/>
  <c r="N1807" i="1"/>
  <c r="N1815" i="1"/>
  <c r="N257" i="1"/>
  <c r="N255" i="4" s="1"/>
  <c r="N269" i="1"/>
  <c r="N267" i="4" s="1"/>
  <c r="N294" i="1"/>
  <c r="N292" i="4" s="1"/>
  <c r="N307" i="1"/>
  <c r="N305" i="4" s="1"/>
  <c r="N316" i="1"/>
  <c r="N314" i="4" s="1"/>
  <c r="N344" i="1"/>
  <c r="N342" i="4" s="1"/>
  <c r="N363" i="1"/>
  <c r="N361" i="4" s="1"/>
  <c r="N384" i="1"/>
  <c r="N382" i="4" s="1"/>
  <c r="N391" i="1"/>
  <c r="N389" i="4" s="1"/>
  <c r="N400" i="1"/>
  <c r="N398" i="4" s="1"/>
  <c r="N424" i="1"/>
  <c r="N422" i="4" s="1"/>
  <c r="N460" i="1"/>
  <c r="N458" i="4" s="1"/>
  <c r="N485" i="1"/>
  <c r="N483" i="4" s="1"/>
  <c r="N502" i="1"/>
  <c r="N500" i="4" s="1"/>
  <c r="N870" i="1"/>
  <c r="N868" i="4" s="1"/>
  <c r="N1105" i="1"/>
  <c r="N1103" i="4" s="1"/>
  <c r="N1286" i="1"/>
  <c r="N1284" i="4" s="1"/>
  <c r="N1310" i="1"/>
  <c r="N1308" i="4" s="1"/>
  <c r="N1385" i="1"/>
  <c r="N1383" i="4" s="1"/>
  <c r="N1435" i="1"/>
  <c r="N1443" i="1"/>
  <c r="N1493" i="1"/>
  <c r="N1568" i="1"/>
  <c r="N1572" i="1"/>
  <c r="N1579" i="1"/>
  <c r="N1599" i="1"/>
  <c r="N1651" i="1"/>
  <c r="N1675" i="1"/>
  <c r="N1695" i="1"/>
  <c r="N1737" i="1"/>
  <c r="N1769" i="1"/>
  <c r="N1784" i="1"/>
  <c r="N249" i="1"/>
  <c r="N247" i="4" s="1"/>
  <c r="N261" i="1"/>
  <c r="N259" i="4" s="1"/>
  <c r="N274" i="1"/>
  <c r="N272" i="4" s="1"/>
  <c r="N279" i="1"/>
  <c r="N277" i="4" s="1"/>
  <c r="N332" i="1"/>
  <c r="N330" i="4" s="1"/>
  <c r="N353" i="1"/>
  <c r="N351" i="4" s="1"/>
  <c r="N379" i="1"/>
  <c r="N377" i="4" s="1"/>
  <c r="N388" i="1"/>
  <c r="N386" i="4" s="1"/>
  <c r="N416" i="1"/>
  <c r="N414" i="4" s="1"/>
  <c r="N452" i="1"/>
  <c r="N450" i="4" s="1"/>
  <c r="N464" i="1"/>
  <c r="N462" i="4" s="1"/>
  <c r="N506" i="1"/>
  <c r="N504" i="4" s="1"/>
  <c r="N539" i="1"/>
  <c r="N537" i="4" s="1"/>
  <c r="N551" i="1"/>
  <c r="N549" i="4" s="1"/>
  <c r="N1225" i="1"/>
  <c r="N1223" i="4" s="1"/>
  <c r="N1260" i="1"/>
  <c r="N1258" i="4" s="1"/>
  <c r="N1354" i="1"/>
  <c r="N1352" i="4" s="1"/>
  <c r="N1370" i="1"/>
  <c r="N1368" i="4" s="1"/>
  <c r="N1421" i="1"/>
  <c r="N1419" i="4" s="1"/>
  <c r="N1531" i="1"/>
  <c r="N1549" i="1"/>
  <c r="N1553" i="1"/>
  <c r="N1584" i="1"/>
  <c r="N1626" i="1"/>
  <c r="N1637" i="1"/>
  <c r="N1687" i="1"/>
  <c r="N1707" i="1"/>
  <c r="N1749" i="1"/>
  <c r="N1781" i="1"/>
  <c r="N1796" i="1"/>
  <c r="N1819" i="1"/>
  <c r="N282" i="1"/>
  <c r="N280" i="4" s="1"/>
  <c r="N295" i="1"/>
  <c r="N293" i="4" s="1"/>
  <c r="N304" i="1"/>
  <c r="N302" i="4" s="1"/>
  <c r="N341" i="1"/>
  <c r="N339" i="4" s="1"/>
  <c r="N366" i="1"/>
  <c r="N364" i="4" s="1"/>
  <c r="N376" i="1"/>
  <c r="N374" i="4" s="1"/>
  <c r="N440" i="1"/>
  <c r="N438" i="4" s="1"/>
  <c r="N473" i="1"/>
  <c r="N471" i="4" s="1"/>
  <c r="N490" i="1"/>
  <c r="N488" i="4" s="1"/>
  <c r="N555" i="1"/>
  <c r="N553" i="4" s="1"/>
  <c r="N949" i="1"/>
  <c r="N947" i="4" s="1"/>
  <c r="N1168" i="1"/>
  <c r="N1166" i="4" s="1"/>
  <c r="N1184" i="1"/>
  <c r="N1182" i="4" s="1"/>
  <c r="N1201" i="1"/>
  <c r="N1199" i="4" s="1"/>
  <c r="N1243" i="1"/>
  <c r="N1241" i="4" s="1"/>
  <c r="N1386" i="1"/>
  <c r="N1384" i="4" s="1"/>
  <c r="N1452" i="1"/>
  <c r="N1539" i="1"/>
  <c r="N1561" i="1"/>
  <c r="N1565" i="1"/>
  <c r="N1596" i="1"/>
  <c r="N1621" i="1"/>
  <c r="N1633" i="1"/>
  <c r="N1644" i="1"/>
  <c r="N1648" i="1"/>
  <c r="N1699" i="1"/>
  <c r="N1719" i="1"/>
  <c r="N1731" i="1"/>
  <c r="N1761" i="1"/>
  <c r="N1793" i="1"/>
  <c r="N255" i="1"/>
  <c r="N253" i="4" s="1"/>
  <c r="N267" i="1"/>
  <c r="N265" i="4" s="1"/>
  <c r="N320" i="1"/>
  <c r="N318" i="4" s="1"/>
  <c r="N329" i="1"/>
  <c r="N327" i="4" s="1"/>
  <c r="N346" i="1"/>
  <c r="N344" i="4" s="1"/>
  <c r="N351" i="1"/>
  <c r="N349" i="4" s="1"/>
  <c r="N404" i="1"/>
  <c r="N402" i="4" s="1"/>
  <c r="N413" i="1"/>
  <c r="N411" i="4" s="1"/>
  <c r="N428" i="1"/>
  <c r="N426" i="4" s="1"/>
  <c r="N449" i="1"/>
  <c r="N447" i="4" s="1"/>
  <c r="N483" i="1"/>
  <c r="N481" i="4" s="1"/>
  <c r="N494" i="1"/>
  <c r="N492" i="4" s="1"/>
  <c r="N531" i="1"/>
  <c r="N529" i="4" s="1"/>
  <c r="N543" i="1"/>
  <c r="N541" i="4" s="1"/>
  <c r="N561" i="1"/>
  <c r="N559" i="4" s="1"/>
  <c r="N996" i="1"/>
  <c r="N994" i="4" s="1"/>
  <c r="N1116" i="1"/>
  <c r="N1114" i="4" s="1"/>
  <c r="N1341" i="1"/>
  <c r="N1339" i="4" s="1"/>
  <c r="N1363" i="1"/>
  <c r="N1361" i="4" s="1"/>
  <c r="N1603" i="1"/>
  <c r="N1615" i="1"/>
  <c r="N1664" i="1"/>
  <c r="N1711" i="1"/>
  <c r="N1743" i="1"/>
  <c r="N1773" i="1"/>
  <c r="N1808" i="1"/>
  <c r="N270" i="1"/>
  <c r="N268" i="4" s="1"/>
  <c r="N283" i="1"/>
  <c r="N281" i="4" s="1"/>
  <c r="N292" i="1"/>
  <c r="N290" i="4" s="1"/>
  <c r="N308" i="1"/>
  <c r="N306" i="4" s="1"/>
  <c r="N334" i="1"/>
  <c r="N332" i="4" s="1"/>
  <c r="N339" i="1"/>
  <c r="N337" i="4" s="1"/>
  <c r="N367" i="1"/>
  <c r="N365" i="4" s="1"/>
  <c r="N392" i="1"/>
  <c r="N390" i="4" s="1"/>
  <c r="N418" i="1"/>
  <c r="N416" i="4" s="1"/>
  <c r="N437" i="1"/>
  <c r="N435" i="4" s="1"/>
  <c r="N471" i="1"/>
  <c r="N469" i="4" s="1"/>
  <c r="N519" i="1"/>
  <c r="N517" i="4" s="1"/>
  <c r="N537" i="1"/>
  <c r="N535" i="4" s="1"/>
  <c r="N549" i="1"/>
  <c r="N547" i="4" s="1"/>
  <c r="N1080" i="1"/>
  <c r="N1078" i="4" s="1"/>
  <c r="N1161" i="1"/>
  <c r="N1159" i="4" s="1"/>
  <c r="N1219" i="1"/>
  <c r="N1217" i="4" s="1"/>
  <c r="N1334" i="1"/>
  <c r="N1332" i="4" s="1"/>
  <c r="N1380" i="1"/>
  <c r="N1378" i="4" s="1"/>
  <c r="N1402" i="1"/>
  <c r="N1400" i="4" s="1"/>
  <c r="N1453" i="1"/>
  <c r="N1475" i="1"/>
  <c r="N1488" i="1"/>
  <c r="N1543" i="1"/>
  <c r="N1547" i="1"/>
  <c r="N1554" i="1"/>
  <c r="N1661" i="1"/>
  <c r="N1676" i="1"/>
  <c r="N1723" i="1"/>
  <c r="N1735" i="1"/>
  <c r="N1755" i="1"/>
  <c r="N1785" i="1"/>
  <c r="N1805" i="1"/>
  <c r="N259" i="1"/>
  <c r="N257" i="4" s="1"/>
  <c r="N317" i="1"/>
  <c r="N315" i="4" s="1"/>
  <c r="N327" i="1"/>
  <c r="N325" i="4" s="1"/>
  <c r="N354" i="1"/>
  <c r="N352" i="4" s="1"/>
  <c r="N364" i="1"/>
  <c r="N362" i="4" s="1"/>
  <c r="N380" i="1"/>
  <c r="N378" i="4" s="1"/>
  <c r="N401" i="1"/>
  <c r="N399" i="4" s="1"/>
  <c r="N411" i="1"/>
  <c r="N409" i="4" s="1"/>
  <c r="N425" i="1"/>
  <c r="N423" i="4" s="1"/>
  <c r="N442" i="1"/>
  <c r="N440" i="4" s="1"/>
  <c r="N447" i="1"/>
  <c r="N445" i="4" s="1"/>
  <c r="N461" i="1"/>
  <c r="N459" i="4" s="1"/>
  <c r="N474" i="1"/>
  <c r="N472" i="4" s="1"/>
  <c r="N525" i="1"/>
  <c r="N523" i="4" s="1"/>
  <c r="N655" i="1"/>
  <c r="N653" i="4" s="1"/>
  <c r="N686" i="1"/>
  <c r="N684" i="4" s="1"/>
  <c r="N810" i="1"/>
  <c r="N808" i="4" s="1"/>
  <c r="N1064" i="1"/>
  <c r="N1062" i="4" s="1"/>
  <c r="N1101" i="1"/>
  <c r="N1099" i="4" s="1"/>
  <c r="N1144" i="1"/>
  <c r="N1142" i="4" s="1"/>
  <c r="N1195" i="1"/>
  <c r="N1193" i="4" s="1"/>
  <c r="N1314" i="1"/>
  <c r="N1312" i="4" s="1"/>
  <c r="N1335" i="1"/>
  <c r="N1333" i="4" s="1"/>
  <c r="N1010" i="1"/>
  <c r="N1008" i="4" s="1"/>
  <c r="N1410" i="1"/>
  <c r="N1408" i="4" s="1"/>
  <c r="N1462" i="1"/>
  <c r="N1469" i="1"/>
  <c r="N1544" i="1"/>
  <c r="N1563" i="1"/>
  <c r="N1597" i="1"/>
  <c r="N1601" i="1"/>
  <c r="N1616" i="1"/>
  <c r="N1665" i="1"/>
  <c r="N1697" i="1"/>
  <c r="N1712" i="1"/>
  <c r="N1771" i="1"/>
  <c r="N1791" i="1"/>
  <c r="N1809" i="1"/>
  <c r="N256" i="1"/>
  <c r="N254" i="4" s="1"/>
  <c r="N268" i="1"/>
  <c r="N266" i="4" s="1"/>
  <c r="N284" i="1"/>
  <c r="N282" i="4" s="1"/>
  <c r="N293" i="1"/>
  <c r="N291" i="4" s="1"/>
  <c r="N343" i="1"/>
  <c r="N341" i="4" s="1"/>
  <c r="N352" i="1"/>
  <c r="N350" i="4" s="1"/>
  <c r="N368" i="1"/>
  <c r="N366" i="4" s="1"/>
  <c r="N382" i="1"/>
  <c r="N380" i="4" s="1"/>
  <c r="N387" i="1"/>
  <c r="N385" i="4" s="1"/>
  <c r="N438" i="1"/>
  <c r="N436" i="4" s="1"/>
  <c r="N456" i="1"/>
  <c r="N454" i="4" s="1"/>
  <c r="N495" i="1"/>
  <c r="N493" i="4" s="1"/>
  <c r="N501" i="1"/>
  <c r="N499" i="4" s="1"/>
  <c r="N538" i="1"/>
  <c r="N536" i="4" s="1"/>
  <c r="N550" i="1"/>
  <c r="N548" i="4" s="1"/>
  <c r="N647" i="1"/>
  <c r="N645" i="4" s="1"/>
  <c r="M639" i="1"/>
  <c r="M637" i="4" s="1"/>
  <c r="N635" i="1"/>
  <c r="N633" i="4" s="1"/>
  <c r="L627" i="1"/>
  <c r="L625" i="4" s="1"/>
  <c r="M623" i="1"/>
  <c r="M621" i="4" s="1"/>
  <c r="M620" i="1"/>
  <c r="M618" i="4" s="1"/>
  <c r="L611" i="1"/>
  <c r="L609" i="4" s="1"/>
  <c r="L608" i="1"/>
  <c r="L606" i="4" s="1"/>
  <c r="N602" i="1"/>
  <c r="N600" i="4" s="1"/>
  <c r="N596" i="1"/>
  <c r="N594" i="4" s="1"/>
  <c r="N590" i="1"/>
  <c r="N588" i="4" s="1"/>
  <c r="N584" i="1"/>
  <c r="N582" i="4" s="1"/>
  <c r="N578" i="1"/>
  <c r="N576" i="4" s="1"/>
  <c r="N572" i="1"/>
  <c r="N570" i="4" s="1"/>
  <c r="N566" i="1"/>
  <c r="N564" i="4" s="1"/>
  <c r="L547" i="1"/>
  <c r="L545" i="4" s="1"/>
  <c r="M538" i="1"/>
  <c r="M536" i="4" s="1"/>
  <c r="L520" i="1"/>
  <c r="L518" i="4" s="1"/>
  <c r="L504" i="1"/>
  <c r="L502" i="4" s="1"/>
  <c r="M489" i="1"/>
  <c r="M487" i="4" s="1"/>
  <c r="L450" i="1"/>
  <c r="L448" i="4" s="1"/>
  <c r="L352" i="1"/>
  <c r="L350" i="4" s="1"/>
  <c r="L293" i="1"/>
  <c r="L291" i="4" s="1"/>
  <c r="L285" i="1"/>
  <c r="L283" i="4" s="1"/>
  <c r="N247" i="1"/>
  <c r="N245" i="4" s="1"/>
  <c r="L1817" i="1"/>
  <c r="L1809" i="1"/>
  <c r="N1736" i="1"/>
  <c r="L1729" i="1"/>
  <c r="M1712" i="1"/>
  <c r="L1705" i="1"/>
  <c r="M1689" i="1"/>
  <c r="L1682" i="1"/>
  <c r="M1650" i="1"/>
  <c r="N1635" i="1"/>
  <c r="N1619" i="1"/>
  <c r="M1594" i="1"/>
  <c r="N1571" i="1"/>
  <c r="N1555" i="1"/>
  <c r="L1548" i="1"/>
  <c r="L1520" i="1"/>
  <c r="M1456" i="1"/>
  <c r="L1272" i="1"/>
  <c r="L1270" i="4" s="1"/>
  <c r="S1806" i="1"/>
  <c r="M627" i="1"/>
  <c r="M625" i="4" s="1"/>
  <c r="M608" i="1"/>
  <c r="M606" i="4" s="1"/>
  <c r="L596" i="1"/>
  <c r="L594" i="4" s="1"/>
  <c r="L587" i="1"/>
  <c r="L585" i="4" s="1"/>
  <c r="L575" i="1"/>
  <c r="L573" i="4" s="1"/>
  <c r="L521" i="1"/>
  <c r="L519" i="4" s="1"/>
  <c r="M426" i="1"/>
  <c r="M424" i="4" s="1"/>
  <c r="M647" i="1"/>
  <c r="M645" i="4" s="1"/>
  <c r="L639" i="1"/>
  <c r="L637" i="4" s="1"/>
  <c r="M635" i="1"/>
  <c r="M633" i="4" s="1"/>
  <c r="M632" i="1"/>
  <c r="M630" i="4" s="1"/>
  <c r="L623" i="1"/>
  <c r="L621" i="4" s="1"/>
  <c r="L620" i="1"/>
  <c r="L618" i="4" s="1"/>
  <c r="N614" i="1"/>
  <c r="N612" i="4" s="1"/>
  <c r="N608" i="1"/>
  <c r="N606" i="4" s="1"/>
  <c r="M602" i="1"/>
  <c r="M600" i="4" s="1"/>
  <c r="M595" i="1"/>
  <c r="M593" i="4" s="1"/>
  <c r="M590" i="1"/>
  <c r="M588" i="4" s="1"/>
  <c r="M583" i="1"/>
  <c r="M581" i="4" s="1"/>
  <c r="M578" i="1"/>
  <c r="M576" i="4" s="1"/>
  <c r="M571" i="1"/>
  <c r="M569" i="4" s="1"/>
  <c r="M566" i="1"/>
  <c r="M564" i="4" s="1"/>
  <c r="M554" i="1"/>
  <c r="M552" i="4" s="1"/>
  <c r="N546" i="1"/>
  <c r="N544" i="4" s="1"/>
  <c r="L538" i="1"/>
  <c r="L536" i="4" s="1"/>
  <c r="M504" i="1"/>
  <c r="M502" i="4" s="1"/>
  <c r="M495" i="1"/>
  <c r="M493" i="4" s="1"/>
  <c r="N375" i="1"/>
  <c r="N373" i="4" s="1"/>
  <c r="N342" i="1"/>
  <c r="N340" i="4" s="1"/>
  <c r="M293" i="1"/>
  <c r="M291" i="4" s="1"/>
  <c r="M284" i="1"/>
  <c r="M282" i="4" s="1"/>
  <c r="L278" i="1"/>
  <c r="L276" i="4" s="1"/>
  <c r="L1753" i="1"/>
  <c r="M1745" i="1"/>
  <c r="N1729" i="1"/>
  <c r="L1697" i="1"/>
  <c r="N1673" i="1"/>
  <c r="N1642" i="1"/>
  <c r="M1635" i="1"/>
  <c r="N1627" i="1"/>
  <c r="M1601" i="1"/>
  <c r="L1594" i="1"/>
  <c r="N1578" i="1"/>
  <c r="L1555" i="1"/>
  <c r="L1528" i="1"/>
  <c r="N1519" i="1"/>
  <c r="L1383" i="1"/>
  <c r="L1381" i="4" s="1"/>
  <c r="L1373" i="1"/>
  <c r="L1371" i="4" s="1"/>
  <c r="L1247" i="1"/>
  <c r="L1245" i="4" s="1"/>
  <c r="L1787" i="1"/>
  <c r="L1604" i="1"/>
  <c r="R236" i="1"/>
  <c r="Q234" i="4" s="1"/>
  <c r="U245" i="1"/>
  <c r="T243" i="4" s="1"/>
  <c r="U248" i="1"/>
  <c r="T246" i="4" s="1"/>
  <c r="U251" i="1"/>
  <c r="T249" i="4" s="1"/>
  <c r="U256" i="1"/>
  <c r="T254" i="4" s="1"/>
  <c r="U259" i="1"/>
  <c r="T257" i="4" s="1"/>
  <c r="U262" i="1"/>
  <c r="T260" i="4" s="1"/>
  <c r="U267" i="1"/>
  <c r="T265" i="4" s="1"/>
  <c r="U270" i="1"/>
  <c r="T268" i="4" s="1"/>
  <c r="U273" i="1"/>
  <c r="T271" i="4" s="1"/>
  <c r="U276" i="1"/>
  <c r="T274" i="4" s="1"/>
  <c r="U281" i="1"/>
  <c r="T279" i="4" s="1"/>
  <c r="R243" i="1"/>
  <c r="Q241" i="4" s="1"/>
  <c r="R246" i="1"/>
  <c r="Q244" i="4" s="1"/>
  <c r="R249" i="1"/>
  <c r="Q247" i="4" s="1"/>
  <c r="R252" i="1"/>
  <c r="Q250" i="4" s="1"/>
  <c r="R257" i="1"/>
  <c r="Q255" i="4" s="1"/>
  <c r="R260" i="1"/>
  <c r="Q258" i="4" s="1"/>
  <c r="R263" i="1"/>
  <c r="Q261" i="4" s="1"/>
  <c r="R268" i="1"/>
  <c r="Q266" i="4" s="1"/>
  <c r="R271" i="1"/>
  <c r="Q269" i="4" s="1"/>
  <c r="R274" i="1"/>
  <c r="Q272" i="4" s="1"/>
  <c r="R279" i="1"/>
  <c r="Q277" i="4" s="1"/>
  <c r="R282" i="1"/>
  <c r="Q280" i="4" s="1"/>
  <c r="S243" i="1"/>
  <c r="R241" i="4" s="1"/>
  <c r="S246" i="1"/>
  <c r="R244" i="4" s="1"/>
  <c r="S249" i="1"/>
  <c r="R247" i="4" s="1"/>
  <c r="S252" i="1"/>
  <c r="R250" i="4" s="1"/>
  <c r="S257" i="1"/>
  <c r="R255" i="4" s="1"/>
  <c r="S260" i="1"/>
  <c r="R258" i="4" s="1"/>
  <c r="S263" i="1"/>
  <c r="R261" i="4" s="1"/>
  <c r="S268" i="1"/>
  <c r="R266" i="4" s="1"/>
  <c r="S271" i="1"/>
  <c r="R269" i="4" s="1"/>
  <c r="S274" i="1"/>
  <c r="R272" i="4" s="1"/>
  <c r="S279" i="1"/>
  <c r="R277" i="4" s="1"/>
  <c r="S282" i="1"/>
  <c r="R280" i="4" s="1"/>
  <c r="T243" i="1"/>
  <c r="S241" i="4" s="1"/>
  <c r="T246" i="1"/>
  <c r="S244" i="4" s="1"/>
  <c r="T249" i="1"/>
  <c r="S247" i="4" s="1"/>
  <c r="T252" i="1"/>
  <c r="S250" i="4" s="1"/>
  <c r="T257" i="1"/>
  <c r="S255" i="4" s="1"/>
  <c r="T260" i="1"/>
  <c r="S258" i="4" s="1"/>
  <c r="T263" i="1"/>
  <c r="S261" i="4" s="1"/>
  <c r="T268" i="1"/>
  <c r="S266" i="4" s="1"/>
  <c r="T271" i="1"/>
  <c r="S269" i="4" s="1"/>
  <c r="T274" i="1"/>
  <c r="S272" i="4" s="1"/>
  <c r="T279" i="1"/>
  <c r="S277" i="4" s="1"/>
  <c r="T282" i="1"/>
  <c r="S280" i="4" s="1"/>
  <c r="U243" i="1"/>
  <c r="T241" i="4" s="1"/>
  <c r="U246" i="1"/>
  <c r="T244" i="4" s="1"/>
  <c r="U249" i="1"/>
  <c r="T247" i="4" s="1"/>
  <c r="U252" i="1"/>
  <c r="T250" i="4" s="1"/>
  <c r="U257" i="1"/>
  <c r="T255" i="4" s="1"/>
  <c r="U260" i="1"/>
  <c r="T258" i="4" s="1"/>
  <c r="U263" i="1"/>
  <c r="T261" i="4" s="1"/>
  <c r="U268" i="1"/>
  <c r="T266" i="4" s="1"/>
  <c r="U271" i="1"/>
  <c r="T269" i="4" s="1"/>
  <c r="U274" i="1"/>
  <c r="T272" i="4" s="1"/>
  <c r="U279" i="1"/>
  <c r="T277" i="4" s="1"/>
  <c r="U282" i="1"/>
  <c r="T280" i="4" s="1"/>
  <c r="R244" i="1"/>
  <c r="Q242" i="4" s="1"/>
  <c r="R247" i="1"/>
  <c r="Q245" i="4" s="1"/>
  <c r="R250" i="1"/>
  <c r="Q248" i="4" s="1"/>
  <c r="R255" i="1"/>
  <c r="Q253" i="4" s="1"/>
  <c r="R258" i="1"/>
  <c r="Q256" i="4" s="1"/>
  <c r="R261" i="1"/>
  <c r="Q259" i="4" s="1"/>
  <c r="R264" i="1"/>
  <c r="Q262" i="4" s="1"/>
  <c r="R269" i="1"/>
  <c r="Q267" i="4" s="1"/>
  <c r="R272" i="1"/>
  <c r="Q270" i="4" s="1"/>
  <c r="R275" i="1"/>
  <c r="Q273" i="4" s="1"/>
  <c r="R280" i="1"/>
  <c r="Q278" i="4" s="1"/>
  <c r="R231" i="1"/>
  <c r="Q229" i="4" s="1"/>
  <c r="S244" i="1"/>
  <c r="R242" i="4" s="1"/>
  <c r="S247" i="1"/>
  <c r="R245" i="4" s="1"/>
  <c r="S250" i="1"/>
  <c r="R248" i="4" s="1"/>
  <c r="S255" i="1"/>
  <c r="R253" i="4" s="1"/>
  <c r="S258" i="1"/>
  <c r="R256" i="4" s="1"/>
  <c r="S261" i="1"/>
  <c r="R259" i="4" s="1"/>
  <c r="S264" i="1"/>
  <c r="R262" i="4" s="1"/>
  <c r="S269" i="1"/>
  <c r="R267" i="4" s="1"/>
  <c r="S272" i="1"/>
  <c r="R270" i="4" s="1"/>
  <c r="S275" i="1"/>
  <c r="R273" i="4" s="1"/>
  <c r="S280" i="1"/>
  <c r="R278" i="4" s="1"/>
  <c r="S231" i="1"/>
  <c r="R229" i="4" s="1"/>
  <c r="T244" i="1"/>
  <c r="S242" i="4" s="1"/>
  <c r="T247" i="1"/>
  <c r="S245" i="4" s="1"/>
  <c r="T250" i="1"/>
  <c r="S248" i="4" s="1"/>
  <c r="T255" i="1"/>
  <c r="S253" i="4" s="1"/>
  <c r="T258" i="1"/>
  <c r="S256" i="4" s="1"/>
  <c r="T261" i="1"/>
  <c r="S259" i="4" s="1"/>
  <c r="T264" i="1"/>
  <c r="S262" i="4" s="1"/>
  <c r="T269" i="1"/>
  <c r="S267" i="4" s="1"/>
  <c r="T272" i="1"/>
  <c r="S270" i="4" s="1"/>
  <c r="T275" i="1"/>
  <c r="S273" i="4" s="1"/>
  <c r="T280" i="1"/>
  <c r="S278" i="4" s="1"/>
  <c r="R232" i="1"/>
  <c r="Q230" i="4" s="1"/>
  <c r="U244" i="1"/>
  <c r="T242" i="4" s="1"/>
  <c r="U247" i="1"/>
  <c r="T245" i="4" s="1"/>
  <c r="U250" i="1"/>
  <c r="T248" i="4" s="1"/>
  <c r="U255" i="1"/>
  <c r="T253" i="4" s="1"/>
  <c r="U258" i="1"/>
  <c r="T256" i="4" s="1"/>
  <c r="U261" i="1"/>
  <c r="T259" i="4" s="1"/>
  <c r="U264" i="1"/>
  <c r="T262" i="4" s="1"/>
  <c r="U269" i="1"/>
  <c r="T267" i="4" s="1"/>
  <c r="U272" i="1"/>
  <c r="T270" i="4" s="1"/>
  <c r="U275" i="1"/>
  <c r="T273" i="4" s="1"/>
  <c r="U280" i="1"/>
  <c r="T278" i="4" s="1"/>
  <c r="R233" i="1"/>
  <c r="Q231" i="4" s="1"/>
  <c r="R245" i="1"/>
  <c r="Q243" i="4" s="1"/>
  <c r="R248" i="1"/>
  <c r="Q246" i="4" s="1"/>
  <c r="R251" i="1"/>
  <c r="Q249" i="4" s="1"/>
  <c r="R256" i="1"/>
  <c r="Q254" i="4" s="1"/>
  <c r="R259" i="1"/>
  <c r="Q257" i="4" s="1"/>
  <c r="R262" i="1"/>
  <c r="Q260" i="4" s="1"/>
  <c r="R267" i="1"/>
  <c r="Q265" i="4" s="1"/>
  <c r="R270" i="1"/>
  <c r="Q268" i="4" s="1"/>
  <c r="R273" i="1"/>
  <c r="Q271" i="4" s="1"/>
  <c r="R276" i="1"/>
  <c r="Q274" i="4" s="1"/>
  <c r="R281" i="1"/>
  <c r="Q279" i="4" s="1"/>
  <c r="T248" i="1"/>
  <c r="S246" i="4" s="1"/>
  <c r="T270" i="1"/>
  <c r="S268" i="4" s="1"/>
  <c r="S284" i="1"/>
  <c r="R282" i="4" s="1"/>
  <c r="S287" i="1"/>
  <c r="R285" i="4" s="1"/>
  <c r="S292" i="1"/>
  <c r="R290" i="4" s="1"/>
  <c r="S295" i="1"/>
  <c r="R293" i="4" s="1"/>
  <c r="S298" i="1"/>
  <c r="R296" i="4" s="1"/>
  <c r="S303" i="1"/>
  <c r="R301" i="4" s="1"/>
  <c r="S306" i="1"/>
  <c r="R304" i="4" s="1"/>
  <c r="S309" i="1"/>
  <c r="R307" i="4" s="1"/>
  <c r="S312" i="1"/>
  <c r="R310" i="4" s="1"/>
  <c r="S317" i="1"/>
  <c r="R315" i="4" s="1"/>
  <c r="S320" i="1"/>
  <c r="R318" i="4" s="1"/>
  <c r="S323" i="1"/>
  <c r="R321" i="4" s="1"/>
  <c r="S328" i="1"/>
  <c r="R326" i="4" s="1"/>
  <c r="S331" i="1"/>
  <c r="R329" i="4" s="1"/>
  <c r="S334" i="1"/>
  <c r="R332" i="4" s="1"/>
  <c r="S339" i="1"/>
  <c r="R337" i="4" s="1"/>
  <c r="S342" i="1"/>
  <c r="R340" i="4" s="1"/>
  <c r="S345" i="1"/>
  <c r="R343" i="4" s="1"/>
  <c r="S348" i="1"/>
  <c r="R346" i="4" s="1"/>
  <c r="S353" i="1"/>
  <c r="R351" i="4" s="1"/>
  <c r="S356" i="1"/>
  <c r="R354" i="4" s="1"/>
  <c r="S359" i="1"/>
  <c r="R357" i="4" s="1"/>
  <c r="S364" i="1"/>
  <c r="R362" i="4" s="1"/>
  <c r="S367" i="1"/>
  <c r="R365" i="4" s="1"/>
  <c r="S370" i="1"/>
  <c r="R368" i="4" s="1"/>
  <c r="S375" i="1"/>
  <c r="R373" i="4" s="1"/>
  <c r="S378" i="1"/>
  <c r="R376" i="4" s="1"/>
  <c r="S381" i="1"/>
  <c r="R379" i="4" s="1"/>
  <c r="S384" i="1"/>
  <c r="R382" i="4" s="1"/>
  <c r="S389" i="1"/>
  <c r="R387" i="4" s="1"/>
  <c r="S392" i="1"/>
  <c r="R390" i="4" s="1"/>
  <c r="S395" i="1"/>
  <c r="R393" i="4" s="1"/>
  <c r="S400" i="1"/>
  <c r="R398" i="4" s="1"/>
  <c r="S403" i="1"/>
  <c r="R401" i="4" s="1"/>
  <c r="S406" i="1"/>
  <c r="R404" i="4" s="1"/>
  <c r="S411" i="1"/>
  <c r="R409" i="4" s="1"/>
  <c r="S414" i="1"/>
  <c r="R412" i="4" s="1"/>
  <c r="S417" i="1"/>
  <c r="R415" i="4" s="1"/>
  <c r="S420" i="1"/>
  <c r="R418" i="4" s="1"/>
  <c r="S425" i="1"/>
  <c r="R423" i="4" s="1"/>
  <c r="S428" i="1"/>
  <c r="R426" i="4" s="1"/>
  <c r="S431" i="1"/>
  <c r="R429" i="4" s="1"/>
  <c r="S436" i="1"/>
  <c r="R434" i="4" s="1"/>
  <c r="S439" i="1"/>
  <c r="R437" i="4" s="1"/>
  <c r="S442" i="1"/>
  <c r="R440" i="4" s="1"/>
  <c r="S447" i="1"/>
  <c r="R445" i="4" s="1"/>
  <c r="S450" i="1"/>
  <c r="R448" i="4" s="1"/>
  <c r="S453" i="1"/>
  <c r="R451" i="4" s="1"/>
  <c r="S456" i="1"/>
  <c r="R454" i="4" s="1"/>
  <c r="S461" i="1"/>
  <c r="R459" i="4" s="1"/>
  <c r="S464" i="1"/>
  <c r="R462" i="4" s="1"/>
  <c r="S467" i="1"/>
  <c r="R465" i="4" s="1"/>
  <c r="S472" i="1"/>
  <c r="R470" i="4" s="1"/>
  <c r="S475" i="1"/>
  <c r="R473" i="4" s="1"/>
  <c r="S478" i="1"/>
  <c r="R476" i="4" s="1"/>
  <c r="S483" i="1"/>
  <c r="R481" i="4" s="1"/>
  <c r="S486" i="1"/>
  <c r="R484" i="4" s="1"/>
  <c r="S489" i="1"/>
  <c r="R487" i="4" s="1"/>
  <c r="S492" i="1"/>
  <c r="R490" i="4" s="1"/>
  <c r="S497" i="1"/>
  <c r="R495" i="4" s="1"/>
  <c r="S500" i="1"/>
  <c r="R498" i="4" s="1"/>
  <c r="S503" i="1"/>
  <c r="R501" i="4" s="1"/>
  <c r="S508" i="1"/>
  <c r="R506" i="4" s="1"/>
  <c r="S511" i="1"/>
  <c r="R509" i="4" s="1"/>
  <c r="S514" i="1"/>
  <c r="R512" i="4" s="1"/>
  <c r="S519" i="1"/>
  <c r="R517" i="4" s="1"/>
  <c r="S522" i="1"/>
  <c r="R520" i="4" s="1"/>
  <c r="S525" i="1"/>
  <c r="R523" i="4" s="1"/>
  <c r="S528" i="1"/>
  <c r="R526" i="4" s="1"/>
  <c r="S533" i="1"/>
  <c r="R531" i="4" s="1"/>
  <c r="S536" i="1"/>
  <c r="R534" i="4" s="1"/>
  <c r="S251" i="1"/>
  <c r="R249" i="4" s="1"/>
  <c r="S273" i="1"/>
  <c r="R271" i="4" s="1"/>
  <c r="T284" i="1"/>
  <c r="S282" i="4" s="1"/>
  <c r="T287" i="1"/>
  <c r="S285" i="4" s="1"/>
  <c r="T292" i="1"/>
  <c r="S290" i="4" s="1"/>
  <c r="T295" i="1"/>
  <c r="S293" i="4" s="1"/>
  <c r="T298" i="1"/>
  <c r="S296" i="4" s="1"/>
  <c r="T303" i="1"/>
  <c r="S301" i="4" s="1"/>
  <c r="T306" i="1"/>
  <c r="S304" i="4" s="1"/>
  <c r="T309" i="1"/>
  <c r="S307" i="4" s="1"/>
  <c r="T312" i="1"/>
  <c r="S310" i="4" s="1"/>
  <c r="T317" i="1"/>
  <c r="S315" i="4" s="1"/>
  <c r="T320" i="1"/>
  <c r="S318" i="4" s="1"/>
  <c r="T323" i="1"/>
  <c r="S321" i="4" s="1"/>
  <c r="T328" i="1"/>
  <c r="S326" i="4" s="1"/>
  <c r="T331" i="1"/>
  <c r="S329" i="4" s="1"/>
  <c r="T334" i="1"/>
  <c r="S332" i="4" s="1"/>
  <c r="T339" i="1"/>
  <c r="S337" i="4" s="1"/>
  <c r="T342" i="1"/>
  <c r="S340" i="4" s="1"/>
  <c r="T345" i="1"/>
  <c r="S343" i="4" s="1"/>
  <c r="T348" i="1"/>
  <c r="S346" i="4" s="1"/>
  <c r="T353" i="1"/>
  <c r="S351" i="4" s="1"/>
  <c r="T356" i="1"/>
  <c r="S354" i="4" s="1"/>
  <c r="T359" i="1"/>
  <c r="S357" i="4" s="1"/>
  <c r="T364" i="1"/>
  <c r="S362" i="4" s="1"/>
  <c r="T367" i="1"/>
  <c r="S365" i="4" s="1"/>
  <c r="T370" i="1"/>
  <c r="S368" i="4" s="1"/>
  <c r="T375" i="1"/>
  <c r="S373" i="4" s="1"/>
  <c r="T378" i="1"/>
  <c r="S376" i="4" s="1"/>
  <c r="T381" i="1"/>
  <c r="S379" i="4" s="1"/>
  <c r="T384" i="1"/>
  <c r="S382" i="4" s="1"/>
  <c r="T389" i="1"/>
  <c r="S387" i="4" s="1"/>
  <c r="T392" i="1"/>
  <c r="S390" i="4" s="1"/>
  <c r="T395" i="1"/>
  <c r="S393" i="4" s="1"/>
  <c r="T400" i="1"/>
  <c r="S398" i="4" s="1"/>
  <c r="T403" i="1"/>
  <c r="S401" i="4" s="1"/>
  <c r="T406" i="1"/>
  <c r="S404" i="4" s="1"/>
  <c r="T411" i="1"/>
  <c r="S409" i="4" s="1"/>
  <c r="T414" i="1"/>
  <c r="S412" i="4" s="1"/>
  <c r="T417" i="1"/>
  <c r="S415" i="4" s="1"/>
  <c r="T420" i="1"/>
  <c r="S418" i="4" s="1"/>
  <c r="T425" i="1"/>
  <c r="S423" i="4" s="1"/>
  <c r="T428" i="1"/>
  <c r="S426" i="4" s="1"/>
  <c r="T431" i="1"/>
  <c r="S429" i="4" s="1"/>
  <c r="T436" i="1"/>
  <c r="S434" i="4" s="1"/>
  <c r="T439" i="1"/>
  <c r="S437" i="4" s="1"/>
  <c r="T442" i="1"/>
  <c r="S440" i="4" s="1"/>
  <c r="T447" i="1"/>
  <c r="S445" i="4" s="1"/>
  <c r="T450" i="1"/>
  <c r="S448" i="4" s="1"/>
  <c r="T453" i="1"/>
  <c r="S451" i="4" s="1"/>
  <c r="T456" i="1"/>
  <c r="S454" i="4" s="1"/>
  <c r="T461" i="1"/>
  <c r="S459" i="4" s="1"/>
  <c r="T464" i="1"/>
  <c r="S462" i="4" s="1"/>
  <c r="T467" i="1"/>
  <c r="S465" i="4" s="1"/>
  <c r="T472" i="1"/>
  <c r="S470" i="4" s="1"/>
  <c r="T475" i="1"/>
  <c r="S473" i="4" s="1"/>
  <c r="T478" i="1"/>
  <c r="S476" i="4" s="1"/>
  <c r="T483" i="1"/>
  <c r="S481" i="4" s="1"/>
  <c r="T486" i="1"/>
  <c r="S484" i="4" s="1"/>
  <c r="T489" i="1"/>
  <c r="S487" i="4" s="1"/>
  <c r="T492" i="1"/>
  <c r="S490" i="4" s="1"/>
  <c r="T497" i="1"/>
  <c r="S495" i="4" s="1"/>
  <c r="T500" i="1"/>
  <c r="S498" i="4" s="1"/>
  <c r="T503" i="1"/>
  <c r="S501" i="4" s="1"/>
  <c r="T508" i="1"/>
  <c r="S506" i="4" s="1"/>
  <c r="T511" i="1"/>
  <c r="S509" i="4" s="1"/>
  <c r="T514" i="1"/>
  <c r="S512" i="4" s="1"/>
  <c r="T519" i="1"/>
  <c r="S517" i="4" s="1"/>
  <c r="T522" i="1"/>
  <c r="S520" i="4" s="1"/>
  <c r="T525" i="1"/>
  <c r="S523" i="4" s="1"/>
  <c r="T528" i="1"/>
  <c r="S526" i="4" s="1"/>
  <c r="T533" i="1"/>
  <c r="S531" i="4" s="1"/>
  <c r="T536" i="1"/>
  <c r="S534" i="4" s="1"/>
  <c r="T251" i="1"/>
  <c r="S249" i="4" s="1"/>
  <c r="T273" i="1"/>
  <c r="S271" i="4" s="1"/>
  <c r="U284" i="1"/>
  <c r="T282" i="4" s="1"/>
  <c r="U287" i="1"/>
  <c r="T285" i="4" s="1"/>
  <c r="U292" i="1"/>
  <c r="T290" i="4" s="1"/>
  <c r="U295" i="1"/>
  <c r="T293" i="4" s="1"/>
  <c r="U298" i="1"/>
  <c r="T296" i="4" s="1"/>
  <c r="U303" i="1"/>
  <c r="T301" i="4" s="1"/>
  <c r="U306" i="1"/>
  <c r="T304" i="4" s="1"/>
  <c r="U309" i="1"/>
  <c r="T307" i="4" s="1"/>
  <c r="U312" i="1"/>
  <c r="T310" i="4" s="1"/>
  <c r="U317" i="1"/>
  <c r="T315" i="4" s="1"/>
  <c r="U320" i="1"/>
  <c r="T318" i="4" s="1"/>
  <c r="U323" i="1"/>
  <c r="T321" i="4" s="1"/>
  <c r="U328" i="1"/>
  <c r="T326" i="4" s="1"/>
  <c r="U331" i="1"/>
  <c r="T329" i="4" s="1"/>
  <c r="U334" i="1"/>
  <c r="T332" i="4" s="1"/>
  <c r="U339" i="1"/>
  <c r="T337" i="4" s="1"/>
  <c r="U342" i="1"/>
  <c r="T340" i="4" s="1"/>
  <c r="U345" i="1"/>
  <c r="T343" i="4" s="1"/>
  <c r="U348" i="1"/>
  <c r="T346" i="4" s="1"/>
  <c r="U353" i="1"/>
  <c r="T351" i="4" s="1"/>
  <c r="U356" i="1"/>
  <c r="T354" i="4" s="1"/>
  <c r="U359" i="1"/>
  <c r="T357" i="4" s="1"/>
  <c r="U364" i="1"/>
  <c r="T362" i="4" s="1"/>
  <c r="U367" i="1"/>
  <c r="T365" i="4" s="1"/>
  <c r="U370" i="1"/>
  <c r="T368" i="4" s="1"/>
  <c r="U375" i="1"/>
  <c r="T373" i="4" s="1"/>
  <c r="U378" i="1"/>
  <c r="T376" i="4" s="1"/>
  <c r="U381" i="1"/>
  <c r="T379" i="4" s="1"/>
  <c r="U384" i="1"/>
  <c r="T382" i="4" s="1"/>
  <c r="U389" i="1"/>
  <c r="T387" i="4" s="1"/>
  <c r="U392" i="1"/>
  <c r="T390" i="4" s="1"/>
  <c r="U395" i="1"/>
  <c r="T393" i="4" s="1"/>
  <c r="U400" i="1"/>
  <c r="T398" i="4" s="1"/>
  <c r="U403" i="1"/>
  <c r="T401" i="4" s="1"/>
  <c r="U406" i="1"/>
  <c r="T404" i="4" s="1"/>
  <c r="U411" i="1"/>
  <c r="T409" i="4" s="1"/>
  <c r="U414" i="1"/>
  <c r="T412" i="4" s="1"/>
  <c r="U417" i="1"/>
  <c r="T415" i="4" s="1"/>
  <c r="U420" i="1"/>
  <c r="T418" i="4" s="1"/>
  <c r="U425" i="1"/>
  <c r="T423" i="4" s="1"/>
  <c r="U428" i="1"/>
  <c r="T426" i="4" s="1"/>
  <c r="U431" i="1"/>
  <c r="T429" i="4" s="1"/>
  <c r="U436" i="1"/>
  <c r="T434" i="4" s="1"/>
  <c r="U439" i="1"/>
  <c r="T437" i="4" s="1"/>
  <c r="U442" i="1"/>
  <c r="T440" i="4" s="1"/>
  <c r="U447" i="1"/>
  <c r="T445" i="4" s="1"/>
  <c r="U450" i="1"/>
  <c r="T448" i="4" s="1"/>
  <c r="U453" i="1"/>
  <c r="T451" i="4" s="1"/>
  <c r="U456" i="1"/>
  <c r="T454" i="4" s="1"/>
  <c r="U461" i="1"/>
  <c r="T459" i="4" s="1"/>
  <c r="U464" i="1"/>
  <c r="T462" i="4" s="1"/>
  <c r="U467" i="1"/>
  <c r="T465" i="4" s="1"/>
  <c r="U472" i="1"/>
  <c r="T470" i="4" s="1"/>
  <c r="U475" i="1"/>
  <c r="T473" i="4" s="1"/>
  <c r="U478" i="1"/>
  <c r="T476" i="4" s="1"/>
  <c r="U483" i="1"/>
  <c r="T481" i="4" s="1"/>
  <c r="U486" i="1"/>
  <c r="T484" i="4" s="1"/>
  <c r="U489" i="1"/>
  <c r="T487" i="4" s="1"/>
  <c r="U492" i="1"/>
  <c r="T490" i="4" s="1"/>
  <c r="U497" i="1"/>
  <c r="T495" i="4" s="1"/>
  <c r="U500" i="1"/>
  <c r="T498" i="4" s="1"/>
  <c r="U503" i="1"/>
  <c r="T501" i="4" s="1"/>
  <c r="U508" i="1"/>
  <c r="T506" i="4" s="1"/>
  <c r="U511" i="1"/>
  <c r="T509" i="4" s="1"/>
  <c r="U514" i="1"/>
  <c r="T512" i="4" s="1"/>
  <c r="U519" i="1"/>
  <c r="T517" i="4" s="1"/>
  <c r="U522" i="1"/>
  <c r="T520" i="4" s="1"/>
  <c r="U525" i="1"/>
  <c r="T523" i="4" s="1"/>
  <c r="U528" i="1"/>
  <c r="T526" i="4" s="1"/>
  <c r="U533" i="1"/>
  <c r="T531" i="4" s="1"/>
  <c r="U536" i="1"/>
  <c r="T534" i="4" s="1"/>
  <c r="S256" i="1"/>
  <c r="R254" i="4" s="1"/>
  <c r="S276" i="1"/>
  <c r="R274" i="4" s="1"/>
  <c r="R285" i="1"/>
  <c r="Q283" i="4" s="1"/>
  <c r="R288" i="1"/>
  <c r="Q286" i="4" s="1"/>
  <c r="R293" i="1"/>
  <c r="Q291" i="4" s="1"/>
  <c r="R296" i="1"/>
  <c r="Q294" i="4" s="1"/>
  <c r="R299" i="1"/>
  <c r="Q297" i="4" s="1"/>
  <c r="R304" i="1"/>
  <c r="Q302" i="4" s="1"/>
  <c r="R307" i="1"/>
  <c r="Q305" i="4" s="1"/>
  <c r="R310" i="1"/>
  <c r="Q308" i="4" s="1"/>
  <c r="R315" i="1"/>
  <c r="Q313" i="4" s="1"/>
  <c r="R318" i="1"/>
  <c r="Q316" i="4" s="1"/>
  <c r="R321" i="1"/>
  <c r="Q319" i="4" s="1"/>
  <c r="R324" i="1"/>
  <c r="Q322" i="4" s="1"/>
  <c r="R329" i="1"/>
  <c r="Q327" i="4" s="1"/>
  <c r="R332" i="1"/>
  <c r="Q330" i="4" s="1"/>
  <c r="R335" i="1"/>
  <c r="Q333" i="4" s="1"/>
  <c r="R340" i="1"/>
  <c r="Q338" i="4" s="1"/>
  <c r="R343" i="1"/>
  <c r="Q341" i="4" s="1"/>
  <c r="R346" i="1"/>
  <c r="Q344" i="4" s="1"/>
  <c r="R351" i="1"/>
  <c r="Q349" i="4" s="1"/>
  <c r="R354" i="1"/>
  <c r="Q352" i="4" s="1"/>
  <c r="R357" i="1"/>
  <c r="Q355" i="4" s="1"/>
  <c r="R360" i="1"/>
  <c r="Q358" i="4" s="1"/>
  <c r="R365" i="1"/>
  <c r="Q363" i="4" s="1"/>
  <c r="R368" i="1"/>
  <c r="Q366" i="4" s="1"/>
  <c r="R371" i="1"/>
  <c r="Q369" i="4" s="1"/>
  <c r="R376" i="1"/>
  <c r="Q374" i="4" s="1"/>
  <c r="R379" i="1"/>
  <c r="Q377" i="4" s="1"/>
  <c r="R382" i="1"/>
  <c r="Q380" i="4" s="1"/>
  <c r="R387" i="1"/>
  <c r="Q385" i="4" s="1"/>
  <c r="R390" i="1"/>
  <c r="Q388" i="4" s="1"/>
  <c r="R393" i="1"/>
  <c r="Q391" i="4" s="1"/>
  <c r="R396" i="1"/>
  <c r="Q394" i="4" s="1"/>
  <c r="R401" i="1"/>
  <c r="Q399" i="4" s="1"/>
  <c r="R404" i="1"/>
  <c r="Q402" i="4" s="1"/>
  <c r="R407" i="1"/>
  <c r="Q405" i="4" s="1"/>
  <c r="R412" i="1"/>
  <c r="Q410" i="4" s="1"/>
  <c r="R415" i="1"/>
  <c r="Q413" i="4" s="1"/>
  <c r="R418" i="1"/>
  <c r="Q416" i="4" s="1"/>
  <c r="R423" i="1"/>
  <c r="Q421" i="4" s="1"/>
  <c r="R426" i="1"/>
  <c r="Q424" i="4" s="1"/>
  <c r="R429" i="1"/>
  <c r="Q427" i="4" s="1"/>
  <c r="R432" i="1"/>
  <c r="Q430" i="4" s="1"/>
  <c r="R437" i="1"/>
  <c r="Q435" i="4" s="1"/>
  <c r="R440" i="1"/>
  <c r="Q438" i="4" s="1"/>
  <c r="R443" i="1"/>
  <c r="Q441" i="4" s="1"/>
  <c r="R448" i="1"/>
  <c r="Q446" i="4" s="1"/>
  <c r="R451" i="1"/>
  <c r="Q449" i="4" s="1"/>
  <c r="R454" i="1"/>
  <c r="Q452" i="4" s="1"/>
  <c r="R459" i="1"/>
  <c r="Q457" i="4" s="1"/>
  <c r="R462" i="1"/>
  <c r="Q460" i="4" s="1"/>
  <c r="R465" i="1"/>
  <c r="Q463" i="4" s="1"/>
  <c r="R468" i="1"/>
  <c r="Q466" i="4" s="1"/>
  <c r="R473" i="1"/>
  <c r="Q471" i="4" s="1"/>
  <c r="R476" i="1"/>
  <c r="Q474" i="4" s="1"/>
  <c r="R479" i="1"/>
  <c r="Q477" i="4" s="1"/>
  <c r="R484" i="1"/>
  <c r="Q482" i="4" s="1"/>
  <c r="R487" i="1"/>
  <c r="Q485" i="4" s="1"/>
  <c r="R490" i="1"/>
  <c r="Q488" i="4" s="1"/>
  <c r="R495" i="1"/>
  <c r="Q493" i="4" s="1"/>
  <c r="R498" i="1"/>
  <c r="Q496" i="4" s="1"/>
  <c r="R501" i="1"/>
  <c r="Q499" i="4" s="1"/>
  <c r="R504" i="1"/>
  <c r="Q502" i="4" s="1"/>
  <c r="R509" i="1"/>
  <c r="Q507" i="4" s="1"/>
  <c r="R512" i="1"/>
  <c r="Q510" i="4" s="1"/>
  <c r="R515" i="1"/>
  <c r="Q513" i="4" s="1"/>
  <c r="R520" i="1"/>
  <c r="Q518" i="4" s="1"/>
  <c r="R523" i="1"/>
  <c r="Q521" i="4" s="1"/>
  <c r="R526" i="1"/>
  <c r="Q524" i="4" s="1"/>
  <c r="R531" i="1"/>
  <c r="Q529" i="4" s="1"/>
  <c r="R534" i="1"/>
  <c r="Q532" i="4" s="1"/>
  <c r="R537" i="1"/>
  <c r="Q535" i="4" s="1"/>
  <c r="T256" i="1"/>
  <c r="S254" i="4" s="1"/>
  <c r="T276" i="1"/>
  <c r="S274" i="4" s="1"/>
  <c r="S285" i="1"/>
  <c r="R283" i="4" s="1"/>
  <c r="S288" i="1"/>
  <c r="R286" i="4" s="1"/>
  <c r="S293" i="1"/>
  <c r="R291" i="4" s="1"/>
  <c r="S296" i="1"/>
  <c r="R294" i="4" s="1"/>
  <c r="S299" i="1"/>
  <c r="R297" i="4" s="1"/>
  <c r="S304" i="1"/>
  <c r="R302" i="4" s="1"/>
  <c r="S307" i="1"/>
  <c r="R305" i="4" s="1"/>
  <c r="S310" i="1"/>
  <c r="R308" i="4" s="1"/>
  <c r="S315" i="1"/>
  <c r="R313" i="4" s="1"/>
  <c r="S318" i="1"/>
  <c r="R316" i="4" s="1"/>
  <c r="S321" i="1"/>
  <c r="R319" i="4" s="1"/>
  <c r="S324" i="1"/>
  <c r="R322" i="4" s="1"/>
  <c r="S329" i="1"/>
  <c r="R327" i="4" s="1"/>
  <c r="S332" i="1"/>
  <c r="R330" i="4" s="1"/>
  <c r="S335" i="1"/>
  <c r="R333" i="4" s="1"/>
  <c r="S340" i="1"/>
  <c r="R338" i="4" s="1"/>
  <c r="S343" i="1"/>
  <c r="R341" i="4" s="1"/>
  <c r="S346" i="1"/>
  <c r="R344" i="4" s="1"/>
  <c r="S351" i="1"/>
  <c r="R349" i="4" s="1"/>
  <c r="S354" i="1"/>
  <c r="R352" i="4" s="1"/>
  <c r="S357" i="1"/>
  <c r="R355" i="4" s="1"/>
  <c r="S360" i="1"/>
  <c r="R358" i="4" s="1"/>
  <c r="S365" i="1"/>
  <c r="R363" i="4" s="1"/>
  <c r="S368" i="1"/>
  <c r="R366" i="4" s="1"/>
  <c r="S371" i="1"/>
  <c r="R369" i="4" s="1"/>
  <c r="S376" i="1"/>
  <c r="R374" i="4" s="1"/>
  <c r="S379" i="1"/>
  <c r="R377" i="4" s="1"/>
  <c r="S382" i="1"/>
  <c r="R380" i="4" s="1"/>
  <c r="S387" i="1"/>
  <c r="R385" i="4" s="1"/>
  <c r="S390" i="1"/>
  <c r="R388" i="4" s="1"/>
  <c r="S393" i="1"/>
  <c r="R391" i="4" s="1"/>
  <c r="S396" i="1"/>
  <c r="R394" i="4" s="1"/>
  <c r="S401" i="1"/>
  <c r="R399" i="4" s="1"/>
  <c r="S404" i="1"/>
  <c r="R402" i="4" s="1"/>
  <c r="S407" i="1"/>
  <c r="R405" i="4" s="1"/>
  <c r="S412" i="1"/>
  <c r="R410" i="4" s="1"/>
  <c r="S415" i="1"/>
  <c r="R413" i="4" s="1"/>
  <c r="S418" i="1"/>
  <c r="R416" i="4" s="1"/>
  <c r="S423" i="1"/>
  <c r="R421" i="4" s="1"/>
  <c r="S426" i="1"/>
  <c r="R424" i="4" s="1"/>
  <c r="S429" i="1"/>
  <c r="R427" i="4" s="1"/>
  <c r="S432" i="1"/>
  <c r="R430" i="4" s="1"/>
  <c r="S437" i="1"/>
  <c r="R435" i="4" s="1"/>
  <c r="S440" i="1"/>
  <c r="R438" i="4" s="1"/>
  <c r="S443" i="1"/>
  <c r="R441" i="4" s="1"/>
  <c r="S448" i="1"/>
  <c r="R446" i="4" s="1"/>
  <c r="S451" i="1"/>
  <c r="R449" i="4" s="1"/>
  <c r="S454" i="1"/>
  <c r="R452" i="4" s="1"/>
  <c r="S459" i="1"/>
  <c r="R457" i="4" s="1"/>
  <c r="S462" i="1"/>
  <c r="R460" i="4" s="1"/>
  <c r="S465" i="1"/>
  <c r="R463" i="4" s="1"/>
  <c r="S468" i="1"/>
  <c r="R466" i="4" s="1"/>
  <c r="S473" i="1"/>
  <c r="R471" i="4" s="1"/>
  <c r="S476" i="1"/>
  <c r="R474" i="4" s="1"/>
  <c r="S479" i="1"/>
  <c r="R477" i="4" s="1"/>
  <c r="S484" i="1"/>
  <c r="R482" i="4" s="1"/>
  <c r="S487" i="1"/>
  <c r="R485" i="4" s="1"/>
  <c r="S490" i="1"/>
  <c r="R488" i="4" s="1"/>
  <c r="S495" i="1"/>
  <c r="R493" i="4" s="1"/>
  <c r="S498" i="1"/>
  <c r="R496" i="4" s="1"/>
  <c r="S501" i="1"/>
  <c r="R499" i="4" s="1"/>
  <c r="S504" i="1"/>
  <c r="R502" i="4" s="1"/>
  <c r="S509" i="1"/>
  <c r="R507" i="4" s="1"/>
  <c r="S512" i="1"/>
  <c r="R510" i="4" s="1"/>
  <c r="S515" i="1"/>
  <c r="R513" i="4" s="1"/>
  <c r="S520" i="1"/>
  <c r="R518" i="4" s="1"/>
  <c r="S523" i="1"/>
  <c r="R521" i="4" s="1"/>
  <c r="S526" i="1"/>
  <c r="R524" i="4" s="1"/>
  <c r="S531" i="1"/>
  <c r="R529" i="4" s="1"/>
  <c r="S534" i="1"/>
  <c r="R532" i="4" s="1"/>
  <c r="S537" i="1"/>
  <c r="R535" i="4" s="1"/>
  <c r="S259" i="1"/>
  <c r="R257" i="4" s="1"/>
  <c r="S281" i="1"/>
  <c r="R279" i="4" s="1"/>
  <c r="T285" i="1"/>
  <c r="S283" i="4" s="1"/>
  <c r="T288" i="1"/>
  <c r="S286" i="4" s="1"/>
  <c r="T293" i="1"/>
  <c r="S291" i="4" s="1"/>
  <c r="T296" i="1"/>
  <c r="S294" i="4" s="1"/>
  <c r="T299" i="1"/>
  <c r="S297" i="4" s="1"/>
  <c r="T304" i="1"/>
  <c r="S302" i="4" s="1"/>
  <c r="T307" i="1"/>
  <c r="S305" i="4" s="1"/>
  <c r="T310" i="1"/>
  <c r="S308" i="4" s="1"/>
  <c r="T315" i="1"/>
  <c r="S313" i="4" s="1"/>
  <c r="T318" i="1"/>
  <c r="S316" i="4" s="1"/>
  <c r="T321" i="1"/>
  <c r="S319" i="4" s="1"/>
  <c r="T324" i="1"/>
  <c r="S322" i="4" s="1"/>
  <c r="T329" i="1"/>
  <c r="S327" i="4" s="1"/>
  <c r="T332" i="1"/>
  <c r="S330" i="4" s="1"/>
  <c r="T335" i="1"/>
  <c r="S333" i="4" s="1"/>
  <c r="T340" i="1"/>
  <c r="S338" i="4" s="1"/>
  <c r="T343" i="1"/>
  <c r="S341" i="4" s="1"/>
  <c r="T346" i="1"/>
  <c r="S344" i="4" s="1"/>
  <c r="T351" i="1"/>
  <c r="S349" i="4" s="1"/>
  <c r="T354" i="1"/>
  <c r="S352" i="4" s="1"/>
  <c r="T357" i="1"/>
  <c r="S355" i="4" s="1"/>
  <c r="T360" i="1"/>
  <c r="S358" i="4" s="1"/>
  <c r="T365" i="1"/>
  <c r="S363" i="4" s="1"/>
  <c r="T368" i="1"/>
  <c r="S366" i="4" s="1"/>
  <c r="T371" i="1"/>
  <c r="S369" i="4" s="1"/>
  <c r="T376" i="1"/>
  <c r="S374" i="4" s="1"/>
  <c r="T379" i="1"/>
  <c r="S377" i="4" s="1"/>
  <c r="T382" i="1"/>
  <c r="S380" i="4" s="1"/>
  <c r="T387" i="1"/>
  <c r="S385" i="4" s="1"/>
  <c r="T390" i="1"/>
  <c r="S388" i="4" s="1"/>
  <c r="T393" i="1"/>
  <c r="S391" i="4" s="1"/>
  <c r="T396" i="1"/>
  <c r="S394" i="4" s="1"/>
  <c r="T401" i="1"/>
  <c r="S399" i="4" s="1"/>
  <c r="T404" i="1"/>
  <c r="S402" i="4" s="1"/>
  <c r="T407" i="1"/>
  <c r="S405" i="4" s="1"/>
  <c r="T412" i="1"/>
  <c r="S410" i="4" s="1"/>
  <c r="T415" i="1"/>
  <c r="S413" i="4" s="1"/>
  <c r="T418" i="1"/>
  <c r="S416" i="4" s="1"/>
  <c r="T423" i="1"/>
  <c r="S421" i="4" s="1"/>
  <c r="T426" i="1"/>
  <c r="S424" i="4" s="1"/>
  <c r="T429" i="1"/>
  <c r="S427" i="4" s="1"/>
  <c r="T432" i="1"/>
  <c r="S430" i="4" s="1"/>
  <c r="T437" i="1"/>
  <c r="S435" i="4" s="1"/>
  <c r="T440" i="1"/>
  <c r="S438" i="4" s="1"/>
  <c r="T443" i="1"/>
  <c r="S441" i="4" s="1"/>
  <c r="T448" i="1"/>
  <c r="S446" i="4" s="1"/>
  <c r="T451" i="1"/>
  <c r="S449" i="4" s="1"/>
  <c r="T454" i="1"/>
  <c r="S452" i="4" s="1"/>
  <c r="T459" i="1"/>
  <c r="S457" i="4" s="1"/>
  <c r="T462" i="1"/>
  <c r="S460" i="4" s="1"/>
  <c r="T465" i="1"/>
  <c r="S463" i="4" s="1"/>
  <c r="T468" i="1"/>
  <c r="S466" i="4" s="1"/>
  <c r="T473" i="1"/>
  <c r="S471" i="4" s="1"/>
  <c r="T476" i="1"/>
  <c r="S474" i="4" s="1"/>
  <c r="T479" i="1"/>
  <c r="S477" i="4" s="1"/>
  <c r="T484" i="1"/>
  <c r="S482" i="4" s="1"/>
  <c r="T487" i="1"/>
  <c r="S485" i="4" s="1"/>
  <c r="T490" i="1"/>
  <c r="S488" i="4" s="1"/>
  <c r="T495" i="1"/>
  <c r="S493" i="4" s="1"/>
  <c r="T498" i="1"/>
  <c r="S496" i="4" s="1"/>
  <c r="T501" i="1"/>
  <c r="S499" i="4" s="1"/>
  <c r="T504" i="1"/>
  <c r="S502" i="4" s="1"/>
  <c r="T509" i="1"/>
  <c r="S507" i="4" s="1"/>
  <c r="T512" i="1"/>
  <c r="S510" i="4" s="1"/>
  <c r="T515" i="1"/>
  <c r="S513" i="4" s="1"/>
  <c r="T520" i="1"/>
  <c r="S518" i="4" s="1"/>
  <c r="T523" i="1"/>
  <c r="S521" i="4" s="1"/>
  <c r="T526" i="1"/>
  <c r="S524" i="4" s="1"/>
  <c r="T531" i="1"/>
  <c r="S529" i="4" s="1"/>
  <c r="T534" i="1"/>
  <c r="S532" i="4" s="1"/>
  <c r="T537" i="1"/>
  <c r="S535" i="4" s="1"/>
  <c r="T259" i="1"/>
  <c r="S257" i="4" s="1"/>
  <c r="T281" i="1"/>
  <c r="S279" i="4" s="1"/>
  <c r="U285" i="1"/>
  <c r="T283" i="4" s="1"/>
  <c r="U288" i="1"/>
  <c r="T286" i="4" s="1"/>
  <c r="U293" i="1"/>
  <c r="T291" i="4" s="1"/>
  <c r="U296" i="1"/>
  <c r="T294" i="4" s="1"/>
  <c r="U299" i="1"/>
  <c r="T297" i="4" s="1"/>
  <c r="U304" i="1"/>
  <c r="T302" i="4" s="1"/>
  <c r="U307" i="1"/>
  <c r="T305" i="4" s="1"/>
  <c r="U310" i="1"/>
  <c r="T308" i="4" s="1"/>
  <c r="U315" i="1"/>
  <c r="T313" i="4" s="1"/>
  <c r="U318" i="1"/>
  <c r="T316" i="4" s="1"/>
  <c r="U321" i="1"/>
  <c r="T319" i="4" s="1"/>
  <c r="U324" i="1"/>
  <c r="T322" i="4" s="1"/>
  <c r="U329" i="1"/>
  <c r="T327" i="4" s="1"/>
  <c r="U332" i="1"/>
  <c r="T330" i="4" s="1"/>
  <c r="U335" i="1"/>
  <c r="T333" i="4" s="1"/>
  <c r="U340" i="1"/>
  <c r="T338" i="4" s="1"/>
  <c r="U343" i="1"/>
  <c r="T341" i="4" s="1"/>
  <c r="U346" i="1"/>
  <c r="T344" i="4" s="1"/>
  <c r="U351" i="1"/>
  <c r="T349" i="4" s="1"/>
  <c r="U354" i="1"/>
  <c r="T352" i="4" s="1"/>
  <c r="U357" i="1"/>
  <c r="T355" i="4" s="1"/>
  <c r="U360" i="1"/>
  <c r="T358" i="4" s="1"/>
  <c r="U365" i="1"/>
  <c r="T363" i="4" s="1"/>
  <c r="U368" i="1"/>
  <c r="T366" i="4" s="1"/>
  <c r="U371" i="1"/>
  <c r="T369" i="4" s="1"/>
  <c r="U376" i="1"/>
  <c r="T374" i="4" s="1"/>
  <c r="U379" i="1"/>
  <c r="T377" i="4" s="1"/>
  <c r="U382" i="1"/>
  <c r="T380" i="4" s="1"/>
  <c r="U387" i="1"/>
  <c r="T385" i="4" s="1"/>
  <c r="U390" i="1"/>
  <c r="T388" i="4" s="1"/>
  <c r="U393" i="1"/>
  <c r="T391" i="4" s="1"/>
  <c r="U396" i="1"/>
  <c r="T394" i="4" s="1"/>
  <c r="U401" i="1"/>
  <c r="T399" i="4" s="1"/>
  <c r="U404" i="1"/>
  <c r="T402" i="4" s="1"/>
  <c r="U407" i="1"/>
  <c r="T405" i="4" s="1"/>
  <c r="U412" i="1"/>
  <c r="T410" i="4" s="1"/>
  <c r="U415" i="1"/>
  <c r="T413" i="4" s="1"/>
  <c r="U418" i="1"/>
  <c r="T416" i="4" s="1"/>
  <c r="U423" i="1"/>
  <c r="T421" i="4" s="1"/>
  <c r="U426" i="1"/>
  <c r="T424" i="4" s="1"/>
  <c r="U429" i="1"/>
  <c r="T427" i="4" s="1"/>
  <c r="U432" i="1"/>
  <c r="T430" i="4" s="1"/>
  <c r="U437" i="1"/>
  <c r="T435" i="4" s="1"/>
  <c r="U440" i="1"/>
  <c r="T438" i="4" s="1"/>
  <c r="U443" i="1"/>
  <c r="T441" i="4" s="1"/>
  <c r="U448" i="1"/>
  <c r="T446" i="4" s="1"/>
  <c r="U451" i="1"/>
  <c r="T449" i="4" s="1"/>
  <c r="U454" i="1"/>
  <c r="T452" i="4" s="1"/>
  <c r="U459" i="1"/>
  <c r="T457" i="4" s="1"/>
  <c r="U462" i="1"/>
  <c r="T460" i="4" s="1"/>
  <c r="U465" i="1"/>
  <c r="T463" i="4" s="1"/>
  <c r="U468" i="1"/>
  <c r="T466" i="4" s="1"/>
  <c r="U473" i="1"/>
  <c r="T471" i="4" s="1"/>
  <c r="U476" i="1"/>
  <c r="T474" i="4" s="1"/>
  <c r="U479" i="1"/>
  <c r="T477" i="4" s="1"/>
  <c r="U484" i="1"/>
  <c r="T482" i="4" s="1"/>
  <c r="U487" i="1"/>
  <c r="T485" i="4" s="1"/>
  <c r="U490" i="1"/>
  <c r="T488" i="4" s="1"/>
  <c r="U495" i="1"/>
  <c r="T493" i="4" s="1"/>
  <c r="U498" i="1"/>
  <c r="T496" i="4" s="1"/>
  <c r="U501" i="1"/>
  <c r="T499" i="4" s="1"/>
  <c r="U504" i="1"/>
  <c r="T502" i="4" s="1"/>
  <c r="U509" i="1"/>
  <c r="T507" i="4" s="1"/>
  <c r="U512" i="1"/>
  <c r="T510" i="4" s="1"/>
  <c r="U515" i="1"/>
  <c r="T513" i="4" s="1"/>
  <c r="U520" i="1"/>
  <c r="T518" i="4" s="1"/>
  <c r="U523" i="1"/>
  <c r="T521" i="4" s="1"/>
  <c r="U526" i="1"/>
  <c r="T524" i="4" s="1"/>
  <c r="U531" i="1"/>
  <c r="T529" i="4" s="1"/>
  <c r="U534" i="1"/>
  <c r="T532" i="4" s="1"/>
  <c r="R234" i="1"/>
  <c r="Q232" i="4" s="1"/>
  <c r="S262" i="1"/>
  <c r="R260" i="4" s="1"/>
  <c r="R283" i="1"/>
  <c r="Q281" i="4" s="1"/>
  <c r="R286" i="1"/>
  <c r="Q284" i="4" s="1"/>
  <c r="R291" i="1"/>
  <c r="Q289" i="4" s="1"/>
  <c r="R294" i="1"/>
  <c r="Q292" i="4" s="1"/>
  <c r="R297" i="1"/>
  <c r="Q295" i="4" s="1"/>
  <c r="R300" i="1"/>
  <c r="Q298" i="4" s="1"/>
  <c r="R305" i="1"/>
  <c r="Q303" i="4" s="1"/>
  <c r="R308" i="1"/>
  <c r="Q306" i="4" s="1"/>
  <c r="R311" i="1"/>
  <c r="Q309" i="4" s="1"/>
  <c r="R316" i="1"/>
  <c r="Q314" i="4" s="1"/>
  <c r="R319" i="1"/>
  <c r="Q317" i="4" s="1"/>
  <c r="R322" i="1"/>
  <c r="Q320" i="4" s="1"/>
  <c r="R327" i="1"/>
  <c r="Q325" i="4" s="1"/>
  <c r="R330" i="1"/>
  <c r="Q328" i="4" s="1"/>
  <c r="R333" i="1"/>
  <c r="Q331" i="4" s="1"/>
  <c r="R336" i="1"/>
  <c r="Q334" i="4" s="1"/>
  <c r="R341" i="1"/>
  <c r="Q339" i="4" s="1"/>
  <c r="R344" i="1"/>
  <c r="Q342" i="4" s="1"/>
  <c r="R347" i="1"/>
  <c r="Q345" i="4" s="1"/>
  <c r="R352" i="1"/>
  <c r="Q350" i="4" s="1"/>
  <c r="R355" i="1"/>
  <c r="Q353" i="4" s="1"/>
  <c r="R358" i="1"/>
  <c r="Q356" i="4" s="1"/>
  <c r="R363" i="1"/>
  <c r="Q361" i="4" s="1"/>
  <c r="R366" i="1"/>
  <c r="Q364" i="4" s="1"/>
  <c r="R369" i="1"/>
  <c r="Q367" i="4" s="1"/>
  <c r="R372" i="1"/>
  <c r="Q370" i="4" s="1"/>
  <c r="R377" i="1"/>
  <c r="Q375" i="4" s="1"/>
  <c r="R380" i="1"/>
  <c r="Q378" i="4" s="1"/>
  <c r="R383" i="1"/>
  <c r="Q381" i="4" s="1"/>
  <c r="R388" i="1"/>
  <c r="Q386" i="4" s="1"/>
  <c r="R391" i="1"/>
  <c r="Q389" i="4" s="1"/>
  <c r="R394" i="1"/>
  <c r="Q392" i="4" s="1"/>
  <c r="R399" i="1"/>
  <c r="Q397" i="4" s="1"/>
  <c r="R402" i="1"/>
  <c r="Q400" i="4" s="1"/>
  <c r="R405" i="1"/>
  <c r="Q403" i="4" s="1"/>
  <c r="R408" i="1"/>
  <c r="Q406" i="4" s="1"/>
  <c r="R413" i="1"/>
  <c r="Q411" i="4" s="1"/>
  <c r="R416" i="1"/>
  <c r="Q414" i="4" s="1"/>
  <c r="R419" i="1"/>
  <c r="Q417" i="4" s="1"/>
  <c r="R424" i="1"/>
  <c r="Q422" i="4" s="1"/>
  <c r="R427" i="1"/>
  <c r="Q425" i="4" s="1"/>
  <c r="R430" i="1"/>
  <c r="Q428" i="4" s="1"/>
  <c r="R435" i="1"/>
  <c r="Q433" i="4" s="1"/>
  <c r="R438" i="1"/>
  <c r="Q436" i="4" s="1"/>
  <c r="R441" i="1"/>
  <c r="Q439" i="4" s="1"/>
  <c r="R444" i="1"/>
  <c r="Q442" i="4" s="1"/>
  <c r="R449" i="1"/>
  <c r="Q447" i="4" s="1"/>
  <c r="R452" i="1"/>
  <c r="Q450" i="4" s="1"/>
  <c r="R455" i="1"/>
  <c r="Q453" i="4" s="1"/>
  <c r="R460" i="1"/>
  <c r="Q458" i="4" s="1"/>
  <c r="R463" i="1"/>
  <c r="Q461" i="4" s="1"/>
  <c r="R466" i="1"/>
  <c r="Q464" i="4" s="1"/>
  <c r="R471" i="1"/>
  <c r="Q469" i="4" s="1"/>
  <c r="R474" i="1"/>
  <c r="Q472" i="4" s="1"/>
  <c r="R477" i="1"/>
  <c r="Q475" i="4" s="1"/>
  <c r="R480" i="1"/>
  <c r="Q478" i="4" s="1"/>
  <c r="R485" i="1"/>
  <c r="Q483" i="4" s="1"/>
  <c r="R488" i="1"/>
  <c r="Q486" i="4" s="1"/>
  <c r="R491" i="1"/>
  <c r="Q489" i="4" s="1"/>
  <c r="R496" i="1"/>
  <c r="Q494" i="4" s="1"/>
  <c r="R499" i="1"/>
  <c r="Q497" i="4" s="1"/>
  <c r="R502" i="1"/>
  <c r="Q500" i="4" s="1"/>
  <c r="R507" i="1"/>
  <c r="Q505" i="4" s="1"/>
  <c r="R510" i="1"/>
  <c r="Q508" i="4" s="1"/>
  <c r="R513" i="1"/>
  <c r="Q511" i="4" s="1"/>
  <c r="R516" i="1"/>
  <c r="Q514" i="4" s="1"/>
  <c r="R521" i="1"/>
  <c r="Q519" i="4" s="1"/>
  <c r="R524" i="1"/>
  <c r="Q522" i="4" s="1"/>
  <c r="R527" i="1"/>
  <c r="Q525" i="4" s="1"/>
  <c r="R532" i="1"/>
  <c r="Q530" i="4" s="1"/>
  <c r="R535" i="1"/>
  <c r="Q533" i="4" s="1"/>
  <c r="R235" i="1"/>
  <c r="Q233" i="4" s="1"/>
  <c r="T262" i="1"/>
  <c r="S260" i="4" s="1"/>
  <c r="S283" i="1"/>
  <c r="R281" i="4" s="1"/>
  <c r="S286" i="1"/>
  <c r="R284" i="4" s="1"/>
  <c r="S291" i="1"/>
  <c r="R289" i="4" s="1"/>
  <c r="S294" i="1"/>
  <c r="R292" i="4" s="1"/>
  <c r="S297" i="1"/>
  <c r="R295" i="4" s="1"/>
  <c r="S300" i="1"/>
  <c r="R298" i="4" s="1"/>
  <c r="S305" i="1"/>
  <c r="R303" i="4" s="1"/>
  <c r="S308" i="1"/>
  <c r="R306" i="4" s="1"/>
  <c r="S311" i="1"/>
  <c r="R309" i="4" s="1"/>
  <c r="S316" i="1"/>
  <c r="R314" i="4" s="1"/>
  <c r="S319" i="1"/>
  <c r="R317" i="4" s="1"/>
  <c r="S322" i="1"/>
  <c r="R320" i="4" s="1"/>
  <c r="S327" i="1"/>
  <c r="R325" i="4" s="1"/>
  <c r="S330" i="1"/>
  <c r="R328" i="4" s="1"/>
  <c r="S333" i="1"/>
  <c r="R331" i="4" s="1"/>
  <c r="S336" i="1"/>
  <c r="R334" i="4" s="1"/>
  <c r="S341" i="1"/>
  <c r="R339" i="4" s="1"/>
  <c r="S344" i="1"/>
  <c r="R342" i="4" s="1"/>
  <c r="S347" i="1"/>
  <c r="R345" i="4" s="1"/>
  <c r="S352" i="1"/>
  <c r="R350" i="4" s="1"/>
  <c r="S355" i="1"/>
  <c r="R353" i="4" s="1"/>
  <c r="S358" i="1"/>
  <c r="R356" i="4" s="1"/>
  <c r="S363" i="1"/>
  <c r="R361" i="4" s="1"/>
  <c r="S366" i="1"/>
  <c r="R364" i="4" s="1"/>
  <c r="S369" i="1"/>
  <c r="R367" i="4" s="1"/>
  <c r="S372" i="1"/>
  <c r="R370" i="4" s="1"/>
  <c r="S377" i="1"/>
  <c r="R375" i="4" s="1"/>
  <c r="S380" i="1"/>
  <c r="R378" i="4" s="1"/>
  <c r="S383" i="1"/>
  <c r="R381" i="4" s="1"/>
  <c r="S388" i="1"/>
  <c r="R386" i="4" s="1"/>
  <c r="S391" i="1"/>
  <c r="R389" i="4" s="1"/>
  <c r="S394" i="1"/>
  <c r="R392" i="4" s="1"/>
  <c r="S399" i="1"/>
  <c r="R397" i="4" s="1"/>
  <c r="S402" i="1"/>
  <c r="R400" i="4" s="1"/>
  <c r="S405" i="1"/>
  <c r="R403" i="4" s="1"/>
  <c r="S408" i="1"/>
  <c r="R406" i="4" s="1"/>
  <c r="S413" i="1"/>
  <c r="R411" i="4" s="1"/>
  <c r="S416" i="1"/>
  <c r="R414" i="4" s="1"/>
  <c r="S419" i="1"/>
  <c r="R417" i="4" s="1"/>
  <c r="S424" i="1"/>
  <c r="R422" i="4" s="1"/>
  <c r="S427" i="1"/>
  <c r="R425" i="4" s="1"/>
  <c r="S430" i="1"/>
  <c r="R428" i="4" s="1"/>
  <c r="S435" i="1"/>
  <c r="R433" i="4" s="1"/>
  <c r="S438" i="1"/>
  <c r="R436" i="4" s="1"/>
  <c r="S441" i="1"/>
  <c r="R439" i="4" s="1"/>
  <c r="S444" i="1"/>
  <c r="R442" i="4" s="1"/>
  <c r="S449" i="1"/>
  <c r="R447" i="4" s="1"/>
  <c r="S452" i="1"/>
  <c r="R450" i="4" s="1"/>
  <c r="S455" i="1"/>
  <c r="R453" i="4" s="1"/>
  <c r="S460" i="1"/>
  <c r="R458" i="4" s="1"/>
  <c r="S463" i="1"/>
  <c r="R461" i="4" s="1"/>
  <c r="S466" i="1"/>
  <c r="R464" i="4" s="1"/>
  <c r="S471" i="1"/>
  <c r="R469" i="4" s="1"/>
  <c r="S474" i="1"/>
  <c r="R472" i="4" s="1"/>
  <c r="S477" i="1"/>
  <c r="R475" i="4" s="1"/>
  <c r="S480" i="1"/>
  <c r="R478" i="4" s="1"/>
  <c r="S485" i="1"/>
  <c r="R483" i="4" s="1"/>
  <c r="S488" i="1"/>
  <c r="R486" i="4" s="1"/>
  <c r="S491" i="1"/>
  <c r="R489" i="4" s="1"/>
  <c r="S496" i="1"/>
  <c r="R494" i="4" s="1"/>
  <c r="S499" i="1"/>
  <c r="R497" i="4" s="1"/>
  <c r="S502" i="1"/>
  <c r="R500" i="4" s="1"/>
  <c r="S507" i="1"/>
  <c r="R505" i="4" s="1"/>
  <c r="S510" i="1"/>
  <c r="R508" i="4" s="1"/>
  <c r="S513" i="1"/>
  <c r="R511" i="4" s="1"/>
  <c r="S516" i="1"/>
  <c r="R514" i="4" s="1"/>
  <c r="S521" i="1"/>
  <c r="R519" i="4" s="1"/>
  <c r="S524" i="1"/>
  <c r="R522" i="4" s="1"/>
  <c r="S527" i="1"/>
  <c r="R525" i="4" s="1"/>
  <c r="S532" i="1"/>
  <c r="R530" i="4" s="1"/>
  <c r="S535" i="1"/>
  <c r="R533" i="4" s="1"/>
  <c r="U283" i="1"/>
  <c r="T281" i="4" s="1"/>
  <c r="U297" i="1"/>
  <c r="T295" i="4" s="1"/>
  <c r="U311" i="1"/>
  <c r="T309" i="4" s="1"/>
  <c r="U327" i="1"/>
  <c r="T325" i="4" s="1"/>
  <c r="U341" i="1"/>
  <c r="T339" i="4" s="1"/>
  <c r="U355" i="1"/>
  <c r="T353" i="4" s="1"/>
  <c r="U369" i="1"/>
  <c r="T367" i="4" s="1"/>
  <c r="U383" i="1"/>
  <c r="T381" i="4" s="1"/>
  <c r="U399" i="1"/>
  <c r="T397" i="4" s="1"/>
  <c r="U413" i="1"/>
  <c r="T411" i="4" s="1"/>
  <c r="U427" i="1"/>
  <c r="T425" i="4" s="1"/>
  <c r="U441" i="1"/>
  <c r="T439" i="4" s="1"/>
  <c r="U455" i="1"/>
  <c r="T453" i="4" s="1"/>
  <c r="U471" i="1"/>
  <c r="T469" i="4" s="1"/>
  <c r="U485" i="1"/>
  <c r="T483" i="4" s="1"/>
  <c r="U499" i="1"/>
  <c r="T497" i="4" s="1"/>
  <c r="U513" i="1"/>
  <c r="T511" i="4" s="1"/>
  <c r="U527" i="1"/>
  <c r="T525" i="4" s="1"/>
  <c r="U538" i="1"/>
  <c r="T536" i="4" s="1"/>
  <c r="U543" i="1"/>
  <c r="T541" i="4" s="1"/>
  <c r="U546" i="1"/>
  <c r="T544" i="4" s="1"/>
  <c r="U549" i="1"/>
  <c r="T547" i="4" s="1"/>
  <c r="U552" i="1"/>
  <c r="T550" i="4" s="1"/>
  <c r="U557" i="1"/>
  <c r="T555" i="4" s="1"/>
  <c r="U560" i="1"/>
  <c r="T558" i="4" s="1"/>
  <c r="U563" i="1"/>
  <c r="T561" i="4" s="1"/>
  <c r="U568" i="1"/>
  <c r="T566" i="4" s="1"/>
  <c r="U571" i="1"/>
  <c r="T569" i="4" s="1"/>
  <c r="U574" i="1"/>
  <c r="T572" i="4" s="1"/>
  <c r="U579" i="1"/>
  <c r="T577" i="4" s="1"/>
  <c r="U582" i="1"/>
  <c r="T580" i="4" s="1"/>
  <c r="U585" i="1"/>
  <c r="T583" i="4" s="1"/>
  <c r="U588" i="1"/>
  <c r="T586" i="4" s="1"/>
  <c r="U593" i="1"/>
  <c r="T591" i="4" s="1"/>
  <c r="U596" i="1"/>
  <c r="T594" i="4" s="1"/>
  <c r="U599" i="1"/>
  <c r="T597" i="4" s="1"/>
  <c r="U604" i="1"/>
  <c r="T602" i="4" s="1"/>
  <c r="U607" i="1"/>
  <c r="T605" i="4" s="1"/>
  <c r="U610" i="1"/>
  <c r="T608" i="4" s="1"/>
  <c r="U615" i="1"/>
  <c r="T613" i="4" s="1"/>
  <c r="U618" i="1"/>
  <c r="T616" i="4" s="1"/>
  <c r="U621" i="1"/>
  <c r="T619" i="4" s="1"/>
  <c r="U624" i="1"/>
  <c r="T622" i="4" s="1"/>
  <c r="U629" i="1"/>
  <c r="T627" i="4" s="1"/>
  <c r="U632" i="1"/>
  <c r="T630" i="4" s="1"/>
  <c r="U635" i="1"/>
  <c r="T633" i="4" s="1"/>
  <c r="U640" i="1"/>
  <c r="T638" i="4" s="1"/>
  <c r="U643" i="1"/>
  <c r="T641" i="4" s="1"/>
  <c r="U646" i="1"/>
  <c r="T644" i="4" s="1"/>
  <c r="U651" i="1"/>
  <c r="T649" i="4" s="1"/>
  <c r="U654" i="1"/>
  <c r="T652" i="4" s="1"/>
  <c r="U657" i="1"/>
  <c r="T655" i="4" s="1"/>
  <c r="U660" i="1"/>
  <c r="T658" i="4" s="1"/>
  <c r="U665" i="1"/>
  <c r="T663" i="4" s="1"/>
  <c r="U668" i="1"/>
  <c r="T666" i="4" s="1"/>
  <c r="U671" i="1"/>
  <c r="T669" i="4" s="1"/>
  <c r="U676" i="1"/>
  <c r="T674" i="4" s="1"/>
  <c r="U679" i="1"/>
  <c r="T677" i="4" s="1"/>
  <c r="U682" i="1"/>
  <c r="T680" i="4" s="1"/>
  <c r="U687" i="1"/>
  <c r="T685" i="4" s="1"/>
  <c r="U690" i="1"/>
  <c r="T688" i="4" s="1"/>
  <c r="U693" i="1"/>
  <c r="T691" i="4" s="1"/>
  <c r="U696" i="1"/>
  <c r="T694" i="4" s="1"/>
  <c r="U701" i="1"/>
  <c r="T699" i="4" s="1"/>
  <c r="U704" i="1"/>
  <c r="T702" i="4" s="1"/>
  <c r="U707" i="1"/>
  <c r="T705" i="4" s="1"/>
  <c r="U712" i="1"/>
  <c r="T710" i="4" s="1"/>
  <c r="U715" i="1"/>
  <c r="T713" i="4" s="1"/>
  <c r="U718" i="1"/>
  <c r="T716" i="4" s="1"/>
  <c r="U723" i="1"/>
  <c r="T721" i="4" s="1"/>
  <c r="U726" i="1"/>
  <c r="T724" i="4" s="1"/>
  <c r="U729" i="1"/>
  <c r="T727" i="4" s="1"/>
  <c r="U732" i="1"/>
  <c r="T730" i="4" s="1"/>
  <c r="U737" i="1"/>
  <c r="T735" i="4" s="1"/>
  <c r="U740" i="1"/>
  <c r="T738" i="4" s="1"/>
  <c r="U743" i="1"/>
  <c r="T741" i="4" s="1"/>
  <c r="U748" i="1"/>
  <c r="T746" i="4" s="1"/>
  <c r="U751" i="1"/>
  <c r="T749" i="4" s="1"/>
  <c r="U754" i="1"/>
  <c r="T752" i="4" s="1"/>
  <c r="U759" i="1"/>
  <c r="T757" i="4" s="1"/>
  <c r="R284" i="1"/>
  <c r="Q282" i="4" s="1"/>
  <c r="R298" i="1"/>
  <c r="Q296" i="4" s="1"/>
  <c r="R312" i="1"/>
  <c r="Q310" i="4" s="1"/>
  <c r="R328" i="1"/>
  <c r="Q326" i="4" s="1"/>
  <c r="R342" i="1"/>
  <c r="Q340" i="4" s="1"/>
  <c r="R356" i="1"/>
  <c r="Q354" i="4" s="1"/>
  <c r="R370" i="1"/>
  <c r="Q368" i="4" s="1"/>
  <c r="R384" i="1"/>
  <c r="Q382" i="4" s="1"/>
  <c r="R400" i="1"/>
  <c r="Q398" i="4" s="1"/>
  <c r="R414" i="1"/>
  <c r="Q412" i="4" s="1"/>
  <c r="R428" i="1"/>
  <c r="Q426" i="4" s="1"/>
  <c r="R442" i="1"/>
  <c r="Q440" i="4" s="1"/>
  <c r="R456" i="1"/>
  <c r="Q454" i="4" s="1"/>
  <c r="R472" i="1"/>
  <c r="Q470" i="4" s="1"/>
  <c r="R486" i="1"/>
  <c r="Q484" i="4" s="1"/>
  <c r="R500" i="1"/>
  <c r="Q498" i="4" s="1"/>
  <c r="R514" i="1"/>
  <c r="Q512" i="4" s="1"/>
  <c r="R528" i="1"/>
  <c r="Q526" i="4" s="1"/>
  <c r="R539" i="1"/>
  <c r="Q537" i="4" s="1"/>
  <c r="R544" i="1"/>
  <c r="Q542" i="4" s="1"/>
  <c r="R547" i="1"/>
  <c r="Q545" i="4" s="1"/>
  <c r="R550" i="1"/>
  <c r="Q548" i="4" s="1"/>
  <c r="R555" i="1"/>
  <c r="Q553" i="4" s="1"/>
  <c r="R558" i="1"/>
  <c r="Q556" i="4" s="1"/>
  <c r="R561" i="1"/>
  <c r="Q559" i="4" s="1"/>
  <c r="R564" i="1"/>
  <c r="Q562" i="4" s="1"/>
  <c r="R569" i="1"/>
  <c r="Q567" i="4" s="1"/>
  <c r="R572" i="1"/>
  <c r="Q570" i="4" s="1"/>
  <c r="R575" i="1"/>
  <c r="Q573" i="4" s="1"/>
  <c r="R580" i="1"/>
  <c r="Q578" i="4" s="1"/>
  <c r="R583" i="1"/>
  <c r="Q581" i="4" s="1"/>
  <c r="R586" i="1"/>
  <c r="Q584" i="4" s="1"/>
  <c r="R591" i="1"/>
  <c r="Q589" i="4" s="1"/>
  <c r="R594" i="1"/>
  <c r="Q592" i="4" s="1"/>
  <c r="R597" i="1"/>
  <c r="Q595" i="4" s="1"/>
  <c r="R600" i="1"/>
  <c r="Q598" i="4" s="1"/>
  <c r="R605" i="1"/>
  <c r="Q603" i="4" s="1"/>
  <c r="R608" i="1"/>
  <c r="Q606" i="4" s="1"/>
  <c r="R611" i="1"/>
  <c r="Q609" i="4" s="1"/>
  <c r="R616" i="1"/>
  <c r="Q614" i="4" s="1"/>
  <c r="R619" i="1"/>
  <c r="Q617" i="4" s="1"/>
  <c r="R622" i="1"/>
  <c r="Q620" i="4" s="1"/>
  <c r="R627" i="1"/>
  <c r="Q625" i="4" s="1"/>
  <c r="R630" i="1"/>
  <c r="Q628" i="4" s="1"/>
  <c r="R633" i="1"/>
  <c r="Q631" i="4" s="1"/>
  <c r="R636" i="1"/>
  <c r="Q634" i="4" s="1"/>
  <c r="R641" i="1"/>
  <c r="Q639" i="4" s="1"/>
  <c r="R644" i="1"/>
  <c r="Q642" i="4" s="1"/>
  <c r="R647" i="1"/>
  <c r="Q645" i="4" s="1"/>
  <c r="R652" i="1"/>
  <c r="Q650" i="4" s="1"/>
  <c r="R655" i="1"/>
  <c r="Q653" i="4" s="1"/>
  <c r="R658" i="1"/>
  <c r="Q656" i="4" s="1"/>
  <c r="R663" i="1"/>
  <c r="Q661" i="4" s="1"/>
  <c r="R666" i="1"/>
  <c r="Q664" i="4" s="1"/>
  <c r="R669" i="1"/>
  <c r="Q667" i="4" s="1"/>
  <c r="R672" i="1"/>
  <c r="Q670" i="4" s="1"/>
  <c r="R677" i="1"/>
  <c r="Q675" i="4" s="1"/>
  <c r="R680" i="1"/>
  <c r="Q678" i="4" s="1"/>
  <c r="R683" i="1"/>
  <c r="Q681" i="4" s="1"/>
  <c r="R688" i="1"/>
  <c r="Q686" i="4" s="1"/>
  <c r="R691" i="1"/>
  <c r="Q689" i="4" s="1"/>
  <c r="R694" i="1"/>
  <c r="Q692" i="4" s="1"/>
  <c r="R699" i="1"/>
  <c r="Q697" i="4" s="1"/>
  <c r="R702" i="1"/>
  <c r="Q700" i="4" s="1"/>
  <c r="R705" i="1"/>
  <c r="Q703" i="4" s="1"/>
  <c r="R708" i="1"/>
  <c r="Q706" i="4" s="1"/>
  <c r="R713" i="1"/>
  <c r="Q711" i="4" s="1"/>
  <c r="R716" i="1"/>
  <c r="Q714" i="4" s="1"/>
  <c r="R719" i="1"/>
  <c r="Q717" i="4" s="1"/>
  <c r="R724" i="1"/>
  <c r="Q722" i="4" s="1"/>
  <c r="R727" i="1"/>
  <c r="Q725" i="4" s="1"/>
  <c r="R730" i="1"/>
  <c r="Q728" i="4" s="1"/>
  <c r="R735" i="1"/>
  <c r="Q733" i="4" s="1"/>
  <c r="R738" i="1"/>
  <c r="Q736" i="4" s="1"/>
  <c r="R741" i="1"/>
  <c r="Q739" i="4" s="1"/>
  <c r="R744" i="1"/>
  <c r="Q742" i="4" s="1"/>
  <c r="R749" i="1"/>
  <c r="Q747" i="4" s="1"/>
  <c r="R752" i="1"/>
  <c r="Q750" i="4" s="1"/>
  <c r="R755" i="1"/>
  <c r="Q753" i="4" s="1"/>
  <c r="R760" i="1"/>
  <c r="Q758" i="4" s="1"/>
  <c r="T286" i="1"/>
  <c r="S284" i="4" s="1"/>
  <c r="T300" i="1"/>
  <c r="S298" i="4" s="1"/>
  <c r="T316" i="1"/>
  <c r="S314" i="4" s="1"/>
  <c r="T330" i="1"/>
  <c r="S328" i="4" s="1"/>
  <c r="T344" i="1"/>
  <c r="S342" i="4" s="1"/>
  <c r="T358" i="1"/>
  <c r="S356" i="4" s="1"/>
  <c r="T372" i="1"/>
  <c r="S370" i="4" s="1"/>
  <c r="T388" i="1"/>
  <c r="S386" i="4" s="1"/>
  <c r="T402" i="1"/>
  <c r="S400" i="4" s="1"/>
  <c r="T416" i="1"/>
  <c r="S414" i="4" s="1"/>
  <c r="T430" i="1"/>
  <c r="S428" i="4" s="1"/>
  <c r="T444" i="1"/>
  <c r="S442" i="4" s="1"/>
  <c r="T460" i="1"/>
  <c r="S458" i="4" s="1"/>
  <c r="T474" i="1"/>
  <c r="S472" i="4" s="1"/>
  <c r="T488" i="1"/>
  <c r="S486" i="4" s="1"/>
  <c r="T502" i="1"/>
  <c r="S500" i="4" s="1"/>
  <c r="T516" i="1"/>
  <c r="S514" i="4" s="1"/>
  <c r="T532" i="1"/>
  <c r="S530" i="4" s="1"/>
  <c r="S539" i="1"/>
  <c r="R537" i="4" s="1"/>
  <c r="S544" i="1"/>
  <c r="R542" i="4" s="1"/>
  <c r="S547" i="1"/>
  <c r="R545" i="4" s="1"/>
  <c r="S550" i="1"/>
  <c r="R548" i="4" s="1"/>
  <c r="S555" i="1"/>
  <c r="R553" i="4" s="1"/>
  <c r="S558" i="1"/>
  <c r="R556" i="4" s="1"/>
  <c r="S561" i="1"/>
  <c r="R559" i="4" s="1"/>
  <c r="S564" i="1"/>
  <c r="R562" i="4" s="1"/>
  <c r="S569" i="1"/>
  <c r="R567" i="4" s="1"/>
  <c r="S572" i="1"/>
  <c r="R570" i="4" s="1"/>
  <c r="S575" i="1"/>
  <c r="R573" i="4" s="1"/>
  <c r="S580" i="1"/>
  <c r="R578" i="4" s="1"/>
  <c r="S583" i="1"/>
  <c r="R581" i="4" s="1"/>
  <c r="S586" i="1"/>
  <c r="R584" i="4" s="1"/>
  <c r="S591" i="1"/>
  <c r="R589" i="4" s="1"/>
  <c r="S594" i="1"/>
  <c r="R592" i="4" s="1"/>
  <c r="S597" i="1"/>
  <c r="R595" i="4" s="1"/>
  <c r="S600" i="1"/>
  <c r="R598" i="4" s="1"/>
  <c r="S605" i="1"/>
  <c r="R603" i="4" s="1"/>
  <c r="S608" i="1"/>
  <c r="R606" i="4" s="1"/>
  <c r="S611" i="1"/>
  <c r="R609" i="4" s="1"/>
  <c r="S616" i="1"/>
  <c r="R614" i="4" s="1"/>
  <c r="S619" i="1"/>
  <c r="R617" i="4" s="1"/>
  <c r="S622" i="1"/>
  <c r="R620" i="4" s="1"/>
  <c r="S627" i="1"/>
  <c r="R625" i="4" s="1"/>
  <c r="S630" i="1"/>
  <c r="R628" i="4" s="1"/>
  <c r="S633" i="1"/>
  <c r="R631" i="4" s="1"/>
  <c r="S636" i="1"/>
  <c r="R634" i="4" s="1"/>
  <c r="S641" i="1"/>
  <c r="R639" i="4" s="1"/>
  <c r="S644" i="1"/>
  <c r="R642" i="4" s="1"/>
  <c r="S647" i="1"/>
  <c r="R645" i="4" s="1"/>
  <c r="S652" i="1"/>
  <c r="R650" i="4" s="1"/>
  <c r="S655" i="1"/>
  <c r="R653" i="4" s="1"/>
  <c r="S658" i="1"/>
  <c r="R656" i="4" s="1"/>
  <c r="S663" i="1"/>
  <c r="R661" i="4" s="1"/>
  <c r="S666" i="1"/>
  <c r="R664" i="4" s="1"/>
  <c r="S669" i="1"/>
  <c r="R667" i="4" s="1"/>
  <c r="S672" i="1"/>
  <c r="R670" i="4" s="1"/>
  <c r="S677" i="1"/>
  <c r="R675" i="4" s="1"/>
  <c r="S680" i="1"/>
  <c r="R678" i="4" s="1"/>
  <c r="S683" i="1"/>
  <c r="R681" i="4" s="1"/>
  <c r="S688" i="1"/>
  <c r="R686" i="4" s="1"/>
  <c r="S691" i="1"/>
  <c r="R689" i="4" s="1"/>
  <c r="S694" i="1"/>
  <c r="R692" i="4" s="1"/>
  <c r="S699" i="1"/>
  <c r="R697" i="4" s="1"/>
  <c r="S702" i="1"/>
  <c r="R700" i="4" s="1"/>
  <c r="S705" i="1"/>
  <c r="R703" i="4" s="1"/>
  <c r="S708" i="1"/>
  <c r="R706" i="4" s="1"/>
  <c r="S713" i="1"/>
  <c r="R711" i="4" s="1"/>
  <c r="S716" i="1"/>
  <c r="R714" i="4" s="1"/>
  <c r="S719" i="1"/>
  <c r="R717" i="4" s="1"/>
  <c r="S724" i="1"/>
  <c r="R722" i="4" s="1"/>
  <c r="S727" i="1"/>
  <c r="R725" i="4" s="1"/>
  <c r="S730" i="1"/>
  <c r="R728" i="4" s="1"/>
  <c r="S735" i="1"/>
  <c r="R733" i="4" s="1"/>
  <c r="S738" i="1"/>
  <c r="R736" i="4" s="1"/>
  <c r="S741" i="1"/>
  <c r="R739" i="4" s="1"/>
  <c r="S744" i="1"/>
  <c r="R742" i="4" s="1"/>
  <c r="S749" i="1"/>
  <c r="R747" i="4" s="1"/>
  <c r="S752" i="1"/>
  <c r="R750" i="4" s="1"/>
  <c r="S755" i="1"/>
  <c r="R753" i="4" s="1"/>
  <c r="S760" i="1"/>
  <c r="R758" i="4" s="1"/>
  <c r="U286" i="1"/>
  <c r="T284" i="4" s="1"/>
  <c r="U300" i="1"/>
  <c r="T298" i="4" s="1"/>
  <c r="U316" i="1"/>
  <c r="T314" i="4" s="1"/>
  <c r="U330" i="1"/>
  <c r="T328" i="4" s="1"/>
  <c r="U344" i="1"/>
  <c r="T342" i="4" s="1"/>
  <c r="U358" i="1"/>
  <c r="T356" i="4" s="1"/>
  <c r="U372" i="1"/>
  <c r="T370" i="4" s="1"/>
  <c r="U388" i="1"/>
  <c r="T386" i="4" s="1"/>
  <c r="U402" i="1"/>
  <c r="T400" i="4" s="1"/>
  <c r="U416" i="1"/>
  <c r="T414" i="4" s="1"/>
  <c r="U430" i="1"/>
  <c r="T428" i="4" s="1"/>
  <c r="U444" i="1"/>
  <c r="T442" i="4" s="1"/>
  <c r="U460" i="1"/>
  <c r="T458" i="4" s="1"/>
  <c r="U474" i="1"/>
  <c r="T472" i="4" s="1"/>
  <c r="U488" i="1"/>
  <c r="T486" i="4" s="1"/>
  <c r="U502" i="1"/>
  <c r="T500" i="4" s="1"/>
  <c r="U516" i="1"/>
  <c r="T514" i="4" s="1"/>
  <c r="U532" i="1"/>
  <c r="T530" i="4" s="1"/>
  <c r="T539" i="1"/>
  <c r="S537" i="4" s="1"/>
  <c r="T544" i="1"/>
  <c r="S542" i="4" s="1"/>
  <c r="T547" i="1"/>
  <c r="S545" i="4" s="1"/>
  <c r="T550" i="1"/>
  <c r="S548" i="4" s="1"/>
  <c r="T555" i="1"/>
  <c r="S553" i="4" s="1"/>
  <c r="T558" i="1"/>
  <c r="S556" i="4" s="1"/>
  <c r="T561" i="1"/>
  <c r="S559" i="4" s="1"/>
  <c r="T564" i="1"/>
  <c r="S562" i="4" s="1"/>
  <c r="T569" i="1"/>
  <c r="S567" i="4" s="1"/>
  <c r="T572" i="1"/>
  <c r="S570" i="4" s="1"/>
  <c r="T575" i="1"/>
  <c r="S573" i="4" s="1"/>
  <c r="T580" i="1"/>
  <c r="S578" i="4" s="1"/>
  <c r="T583" i="1"/>
  <c r="S581" i="4" s="1"/>
  <c r="T586" i="1"/>
  <c r="S584" i="4" s="1"/>
  <c r="T591" i="1"/>
  <c r="S589" i="4" s="1"/>
  <c r="T594" i="1"/>
  <c r="S592" i="4" s="1"/>
  <c r="T597" i="1"/>
  <c r="S595" i="4" s="1"/>
  <c r="T600" i="1"/>
  <c r="S598" i="4" s="1"/>
  <c r="T605" i="1"/>
  <c r="S603" i="4" s="1"/>
  <c r="T608" i="1"/>
  <c r="S606" i="4" s="1"/>
  <c r="T611" i="1"/>
  <c r="S609" i="4" s="1"/>
  <c r="T616" i="1"/>
  <c r="S614" i="4" s="1"/>
  <c r="T619" i="1"/>
  <c r="S617" i="4" s="1"/>
  <c r="T622" i="1"/>
  <c r="S620" i="4" s="1"/>
  <c r="T627" i="1"/>
  <c r="S625" i="4" s="1"/>
  <c r="T630" i="1"/>
  <c r="S628" i="4" s="1"/>
  <c r="T633" i="1"/>
  <c r="S631" i="4" s="1"/>
  <c r="T636" i="1"/>
  <c r="S634" i="4" s="1"/>
  <c r="T641" i="1"/>
  <c r="S639" i="4" s="1"/>
  <c r="T644" i="1"/>
  <c r="S642" i="4" s="1"/>
  <c r="T647" i="1"/>
  <c r="S645" i="4" s="1"/>
  <c r="T652" i="1"/>
  <c r="S650" i="4" s="1"/>
  <c r="T655" i="1"/>
  <c r="S653" i="4" s="1"/>
  <c r="T658" i="1"/>
  <c r="S656" i="4" s="1"/>
  <c r="T663" i="1"/>
  <c r="S661" i="4" s="1"/>
  <c r="T666" i="1"/>
  <c r="S664" i="4" s="1"/>
  <c r="T669" i="1"/>
  <c r="S667" i="4" s="1"/>
  <c r="T672" i="1"/>
  <c r="S670" i="4" s="1"/>
  <c r="T677" i="1"/>
  <c r="S675" i="4" s="1"/>
  <c r="T680" i="1"/>
  <c r="S678" i="4" s="1"/>
  <c r="T683" i="1"/>
  <c r="S681" i="4" s="1"/>
  <c r="T688" i="1"/>
  <c r="S686" i="4" s="1"/>
  <c r="T691" i="1"/>
  <c r="S689" i="4" s="1"/>
  <c r="T694" i="1"/>
  <c r="S692" i="4" s="1"/>
  <c r="T699" i="1"/>
  <c r="S697" i="4" s="1"/>
  <c r="T702" i="1"/>
  <c r="S700" i="4" s="1"/>
  <c r="T705" i="1"/>
  <c r="S703" i="4" s="1"/>
  <c r="T708" i="1"/>
  <c r="S706" i="4" s="1"/>
  <c r="T713" i="1"/>
  <c r="S711" i="4" s="1"/>
  <c r="T716" i="1"/>
  <c r="S714" i="4" s="1"/>
  <c r="T719" i="1"/>
  <c r="S717" i="4" s="1"/>
  <c r="T724" i="1"/>
  <c r="S722" i="4" s="1"/>
  <c r="T727" i="1"/>
  <c r="S725" i="4" s="1"/>
  <c r="T730" i="1"/>
  <c r="S728" i="4" s="1"/>
  <c r="T735" i="1"/>
  <c r="S733" i="4" s="1"/>
  <c r="T738" i="1"/>
  <c r="S736" i="4" s="1"/>
  <c r="T741" i="1"/>
  <c r="S739" i="4" s="1"/>
  <c r="T744" i="1"/>
  <c r="S742" i="4" s="1"/>
  <c r="T749" i="1"/>
  <c r="S747" i="4" s="1"/>
  <c r="T752" i="1"/>
  <c r="S750" i="4" s="1"/>
  <c r="T755" i="1"/>
  <c r="S753" i="4" s="1"/>
  <c r="T760" i="1"/>
  <c r="S758" i="4" s="1"/>
  <c r="R287" i="1"/>
  <c r="Q285" i="4" s="1"/>
  <c r="R303" i="1"/>
  <c r="Q301" i="4" s="1"/>
  <c r="R317" i="1"/>
  <c r="Q315" i="4" s="1"/>
  <c r="R331" i="1"/>
  <c r="Q329" i="4" s="1"/>
  <c r="R345" i="1"/>
  <c r="Q343" i="4" s="1"/>
  <c r="R359" i="1"/>
  <c r="Q357" i="4" s="1"/>
  <c r="R375" i="1"/>
  <c r="Q373" i="4" s="1"/>
  <c r="R389" i="1"/>
  <c r="Q387" i="4" s="1"/>
  <c r="R403" i="1"/>
  <c r="Q401" i="4" s="1"/>
  <c r="R417" i="1"/>
  <c r="Q415" i="4" s="1"/>
  <c r="R431" i="1"/>
  <c r="Q429" i="4" s="1"/>
  <c r="R447" i="1"/>
  <c r="Q445" i="4" s="1"/>
  <c r="R461" i="1"/>
  <c r="Q459" i="4" s="1"/>
  <c r="R475" i="1"/>
  <c r="Q473" i="4" s="1"/>
  <c r="R489" i="1"/>
  <c r="Q487" i="4" s="1"/>
  <c r="R503" i="1"/>
  <c r="Q501" i="4" s="1"/>
  <c r="R519" i="1"/>
  <c r="Q517" i="4" s="1"/>
  <c r="R533" i="1"/>
  <c r="Q531" i="4" s="1"/>
  <c r="U539" i="1"/>
  <c r="T537" i="4" s="1"/>
  <c r="U544" i="1"/>
  <c r="T542" i="4" s="1"/>
  <c r="U547" i="1"/>
  <c r="T545" i="4" s="1"/>
  <c r="U550" i="1"/>
  <c r="T548" i="4" s="1"/>
  <c r="U555" i="1"/>
  <c r="T553" i="4" s="1"/>
  <c r="U558" i="1"/>
  <c r="T556" i="4" s="1"/>
  <c r="U561" i="1"/>
  <c r="T559" i="4" s="1"/>
  <c r="U564" i="1"/>
  <c r="T562" i="4" s="1"/>
  <c r="U569" i="1"/>
  <c r="T567" i="4" s="1"/>
  <c r="U572" i="1"/>
  <c r="T570" i="4" s="1"/>
  <c r="U575" i="1"/>
  <c r="T573" i="4" s="1"/>
  <c r="U580" i="1"/>
  <c r="T578" i="4" s="1"/>
  <c r="U583" i="1"/>
  <c r="T581" i="4" s="1"/>
  <c r="U586" i="1"/>
  <c r="T584" i="4" s="1"/>
  <c r="U591" i="1"/>
  <c r="T589" i="4" s="1"/>
  <c r="U594" i="1"/>
  <c r="T592" i="4" s="1"/>
  <c r="U597" i="1"/>
  <c r="T595" i="4" s="1"/>
  <c r="U600" i="1"/>
  <c r="T598" i="4" s="1"/>
  <c r="U605" i="1"/>
  <c r="T603" i="4" s="1"/>
  <c r="U608" i="1"/>
  <c r="T606" i="4" s="1"/>
  <c r="U611" i="1"/>
  <c r="T609" i="4" s="1"/>
  <c r="U616" i="1"/>
  <c r="T614" i="4" s="1"/>
  <c r="U619" i="1"/>
  <c r="T617" i="4" s="1"/>
  <c r="U622" i="1"/>
  <c r="T620" i="4" s="1"/>
  <c r="U627" i="1"/>
  <c r="T625" i="4" s="1"/>
  <c r="U630" i="1"/>
  <c r="T628" i="4" s="1"/>
  <c r="U633" i="1"/>
  <c r="T631" i="4" s="1"/>
  <c r="U636" i="1"/>
  <c r="T634" i="4" s="1"/>
  <c r="U641" i="1"/>
  <c r="T639" i="4" s="1"/>
  <c r="U644" i="1"/>
  <c r="T642" i="4" s="1"/>
  <c r="U647" i="1"/>
  <c r="T645" i="4" s="1"/>
  <c r="U652" i="1"/>
  <c r="T650" i="4" s="1"/>
  <c r="U655" i="1"/>
  <c r="T653" i="4" s="1"/>
  <c r="U658" i="1"/>
  <c r="T656" i="4" s="1"/>
  <c r="U663" i="1"/>
  <c r="T661" i="4" s="1"/>
  <c r="U666" i="1"/>
  <c r="T664" i="4" s="1"/>
  <c r="U669" i="1"/>
  <c r="T667" i="4" s="1"/>
  <c r="U672" i="1"/>
  <c r="T670" i="4" s="1"/>
  <c r="U677" i="1"/>
  <c r="T675" i="4" s="1"/>
  <c r="U680" i="1"/>
  <c r="T678" i="4" s="1"/>
  <c r="U683" i="1"/>
  <c r="T681" i="4" s="1"/>
  <c r="U688" i="1"/>
  <c r="T686" i="4" s="1"/>
  <c r="U691" i="1"/>
  <c r="T689" i="4" s="1"/>
  <c r="U694" i="1"/>
  <c r="T692" i="4" s="1"/>
  <c r="U699" i="1"/>
  <c r="T697" i="4" s="1"/>
  <c r="U702" i="1"/>
  <c r="T700" i="4" s="1"/>
  <c r="U705" i="1"/>
  <c r="T703" i="4" s="1"/>
  <c r="U708" i="1"/>
  <c r="T706" i="4" s="1"/>
  <c r="U713" i="1"/>
  <c r="T711" i="4" s="1"/>
  <c r="U716" i="1"/>
  <c r="T714" i="4" s="1"/>
  <c r="U719" i="1"/>
  <c r="T717" i="4" s="1"/>
  <c r="U724" i="1"/>
  <c r="T722" i="4" s="1"/>
  <c r="U727" i="1"/>
  <c r="T725" i="4" s="1"/>
  <c r="U730" i="1"/>
  <c r="T728" i="4" s="1"/>
  <c r="U735" i="1"/>
  <c r="T733" i="4" s="1"/>
  <c r="U738" i="1"/>
  <c r="T736" i="4" s="1"/>
  <c r="U741" i="1"/>
  <c r="T739" i="4" s="1"/>
  <c r="U744" i="1"/>
  <c r="T742" i="4" s="1"/>
  <c r="U749" i="1"/>
  <c r="T747" i="4" s="1"/>
  <c r="U752" i="1"/>
  <c r="T750" i="4" s="1"/>
  <c r="U755" i="1"/>
  <c r="T753" i="4" s="1"/>
  <c r="U760" i="1"/>
  <c r="T758" i="4" s="1"/>
  <c r="S245" i="1"/>
  <c r="R243" i="4" s="1"/>
  <c r="T291" i="1"/>
  <c r="S289" i="4" s="1"/>
  <c r="T305" i="1"/>
  <c r="S303" i="4" s="1"/>
  <c r="T319" i="1"/>
  <c r="S317" i="4" s="1"/>
  <c r="T333" i="1"/>
  <c r="S331" i="4" s="1"/>
  <c r="T347" i="1"/>
  <c r="S345" i="4" s="1"/>
  <c r="T363" i="1"/>
  <c r="S361" i="4" s="1"/>
  <c r="T377" i="1"/>
  <c r="S375" i="4" s="1"/>
  <c r="T245" i="1"/>
  <c r="S243" i="4" s="1"/>
  <c r="U291" i="1"/>
  <c r="T289" i="4" s="1"/>
  <c r="U305" i="1"/>
  <c r="T303" i="4" s="1"/>
  <c r="U319" i="1"/>
  <c r="T317" i="4" s="1"/>
  <c r="U333" i="1"/>
  <c r="T331" i="4" s="1"/>
  <c r="U347" i="1"/>
  <c r="T345" i="4" s="1"/>
  <c r="U363" i="1"/>
  <c r="T361" i="4" s="1"/>
  <c r="U377" i="1"/>
  <c r="T375" i="4" s="1"/>
  <c r="U391" i="1"/>
  <c r="T389" i="4" s="1"/>
  <c r="U405" i="1"/>
  <c r="T403" i="4" s="1"/>
  <c r="U419" i="1"/>
  <c r="T417" i="4" s="1"/>
  <c r="U435" i="1"/>
  <c r="T433" i="4" s="1"/>
  <c r="U449" i="1"/>
  <c r="T447" i="4" s="1"/>
  <c r="U463" i="1"/>
  <c r="T461" i="4" s="1"/>
  <c r="U477" i="1"/>
  <c r="T475" i="4" s="1"/>
  <c r="U491" i="1"/>
  <c r="T489" i="4" s="1"/>
  <c r="U507" i="1"/>
  <c r="T505" i="4" s="1"/>
  <c r="U521" i="1"/>
  <c r="T519" i="4" s="1"/>
  <c r="U535" i="1"/>
  <c r="T533" i="4" s="1"/>
  <c r="S540" i="1"/>
  <c r="R538" i="4" s="1"/>
  <c r="S545" i="1"/>
  <c r="R543" i="4" s="1"/>
  <c r="S548" i="1"/>
  <c r="R546" i="4" s="1"/>
  <c r="S551" i="1"/>
  <c r="R549" i="4" s="1"/>
  <c r="S556" i="1"/>
  <c r="R554" i="4" s="1"/>
  <c r="S559" i="1"/>
  <c r="R557" i="4" s="1"/>
  <c r="S562" i="1"/>
  <c r="R560" i="4" s="1"/>
  <c r="S567" i="1"/>
  <c r="R565" i="4" s="1"/>
  <c r="S570" i="1"/>
  <c r="R568" i="4" s="1"/>
  <c r="S573" i="1"/>
  <c r="R571" i="4" s="1"/>
  <c r="S576" i="1"/>
  <c r="R574" i="4" s="1"/>
  <c r="S581" i="1"/>
  <c r="R579" i="4" s="1"/>
  <c r="S584" i="1"/>
  <c r="R582" i="4" s="1"/>
  <c r="S587" i="1"/>
  <c r="R585" i="4" s="1"/>
  <c r="S592" i="1"/>
  <c r="R590" i="4" s="1"/>
  <c r="S595" i="1"/>
  <c r="R593" i="4" s="1"/>
  <c r="S598" i="1"/>
  <c r="R596" i="4" s="1"/>
  <c r="S603" i="1"/>
  <c r="R601" i="4" s="1"/>
  <c r="S606" i="1"/>
  <c r="R604" i="4" s="1"/>
  <c r="S609" i="1"/>
  <c r="R607" i="4" s="1"/>
  <c r="S612" i="1"/>
  <c r="R610" i="4" s="1"/>
  <c r="S617" i="1"/>
  <c r="R615" i="4" s="1"/>
  <c r="S620" i="1"/>
  <c r="R618" i="4" s="1"/>
  <c r="S623" i="1"/>
  <c r="R621" i="4" s="1"/>
  <c r="S628" i="1"/>
  <c r="R626" i="4" s="1"/>
  <c r="S631" i="1"/>
  <c r="R629" i="4" s="1"/>
  <c r="S634" i="1"/>
  <c r="R632" i="4" s="1"/>
  <c r="S639" i="1"/>
  <c r="R637" i="4" s="1"/>
  <c r="S642" i="1"/>
  <c r="R640" i="4" s="1"/>
  <c r="S645" i="1"/>
  <c r="R643" i="4" s="1"/>
  <c r="S648" i="1"/>
  <c r="R646" i="4" s="1"/>
  <c r="S653" i="1"/>
  <c r="R651" i="4" s="1"/>
  <c r="S656" i="1"/>
  <c r="R654" i="4" s="1"/>
  <c r="S659" i="1"/>
  <c r="R657" i="4" s="1"/>
  <c r="S664" i="1"/>
  <c r="R662" i="4" s="1"/>
  <c r="S667" i="1"/>
  <c r="R665" i="4" s="1"/>
  <c r="S670" i="1"/>
  <c r="R668" i="4" s="1"/>
  <c r="S675" i="1"/>
  <c r="R673" i="4" s="1"/>
  <c r="S678" i="1"/>
  <c r="R676" i="4" s="1"/>
  <c r="S681" i="1"/>
  <c r="R679" i="4" s="1"/>
  <c r="S684" i="1"/>
  <c r="R682" i="4" s="1"/>
  <c r="S689" i="1"/>
  <c r="R687" i="4" s="1"/>
  <c r="S692" i="1"/>
  <c r="R690" i="4" s="1"/>
  <c r="S695" i="1"/>
  <c r="R693" i="4" s="1"/>
  <c r="S700" i="1"/>
  <c r="R698" i="4" s="1"/>
  <c r="S703" i="1"/>
  <c r="R701" i="4" s="1"/>
  <c r="S706" i="1"/>
  <c r="R704" i="4" s="1"/>
  <c r="S711" i="1"/>
  <c r="R709" i="4" s="1"/>
  <c r="S714" i="1"/>
  <c r="R712" i="4" s="1"/>
  <c r="S717" i="1"/>
  <c r="R715" i="4" s="1"/>
  <c r="S720" i="1"/>
  <c r="R718" i="4" s="1"/>
  <c r="S725" i="1"/>
  <c r="R723" i="4" s="1"/>
  <c r="S728" i="1"/>
  <c r="R726" i="4" s="1"/>
  <c r="S731" i="1"/>
  <c r="R729" i="4" s="1"/>
  <c r="S736" i="1"/>
  <c r="R734" i="4" s="1"/>
  <c r="S739" i="1"/>
  <c r="R737" i="4" s="1"/>
  <c r="S742" i="1"/>
  <c r="R740" i="4" s="1"/>
  <c r="S747" i="1"/>
  <c r="R745" i="4" s="1"/>
  <c r="S750" i="1"/>
  <c r="R748" i="4" s="1"/>
  <c r="S753" i="1"/>
  <c r="R751" i="4" s="1"/>
  <c r="S756" i="1"/>
  <c r="R754" i="4" s="1"/>
  <c r="S761" i="1"/>
  <c r="R759" i="4" s="1"/>
  <c r="S248" i="1"/>
  <c r="R246" i="4" s="1"/>
  <c r="R292" i="1"/>
  <c r="Q290" i="4" s="1"/>
  <c r="R306" i="1"/>
  <c r="Q304" i="4" s="1"/>
  <c r="R320" i="1"/>
  <c r="Q318" i="4" s="1"/>
  <c r="R334" i="1"/>
  <c r="Q332" i="4" s="1"/>
  <c r="R348" i="1"/>
  <c r="Q346" i="4" s="1"/>
  <c r="R364" i="1"/>
  <c r="Q362" i="4" s="1"/>
  <c r="R378" i="1"/>
  <c r="Q376" i="4" s="1"/>
  <c r="R392" i="1"/>
  <c r="Q390" i="4" s="1"/>
  <c r="R406" i="1"/>
  <c r="Q404" i="4" s="1"/>
  <c r="R420" i="1"/>
  <c r="Q418" i="4" s="1"/>
  <c r="R436" i="1"/>
  <c r="Q434" i="4" s="1"/>
  <c r="R450" i="1"/>
  <c r="Q448" i="4" s="1"/>
  <c r="R464" i="1"/>
  <c r="Q462" i="4" s="1"/>
  <c r="R478" i="1"/>
  <c r="Q476" i="4" s="1"/>
  <c r="R492" i="1"/>
  <c r="Q490" i="4" s="1"/>
  <c r="R508" i="1"/>
  <c r="Q506" i="4" s="1"/>
  <c r="R522" i="1"/>
  <c r="Q520" i="4" s="1"/>
  <c r="R536" i="1"/>
  <c r="Q534" i="4" s="1"/>
  <c r="S267" i="1"/>
  <c r="R265" i="4" s="1"/>
  <c r="T294" i="1"/>
  <c r="S292" i="4" s="1"/>
  <c r="T308" i="1"/>
  <c r="S306" i="4" s="1"/>
  <c r="T322" i="1"/>
  <c r="S320" i="4" s="1"/>
  <c r="T336" i="1"/>
  <c r="S334" i="4" s="1"/>
  <c r="T352" i="1"/>
  <c r="S350" i="4" s="1"/>
  <c r="T366" i="1"/>
  <c r="S364" i="4" s="1"/>
  <c r="T380" i="1"/>
  <c r="S378" i="4" s="1"/>
  <c r="T394" i="1"/>
  <c r="S392" i="4" s="1"/>
  <c r="T408" i="1"/>
  <c r="S406" i="4" s="1"/>
  <c r="T424" i="1"/>
  <c r="S422" i="4" s="1"/>
  <c r="T438" i="1"/>
  <c r="S436" i="4" s="1"/>
  <c r="T452" i="1"/>
  <c r="S450" i="4" s="1"/>
  <c r="T466" i="1"/>
  <c r="S464" i="4" s="1"/>
  <c r="T480" i="1"/>
  <c r="S478" i="4" s="1"/>
  <c r="T496" i="1"/>
  <c r="S494" i="4" s="1"/>
  <c r="T510" i="1"/>
  <c r="S508" i="4" s="1"/>
  <c r="T524" i="1"/>
  <c r="S522" i="4" s="1"/>
  <c r="U537" i="1"/>
  <c r="T535" i="4" s="1"/>
  <c r="U540" i="1"/>
  <c r="T538" i="4" s="1"/>
  <c r="U545" i="1"/>
  <c r="T543" i="4" s="1"/>
  <c r="U548" i="1"/>
  <c r="T546" i="4" s="1"/>
  <c r="U551" i="1"/>
  <c r="T549" i="4" s="1"/>
  <c r="U556" i="1"/>
  <c r="T554" i="4" s="1"/>
  <c r="U559" i="1"/>
  <c r="T557" i="4" s="1"/>
  <c r="U562" i="1"/>
  <c r="T560" i="4" s="1"/>
  <c r="U567" i="1"/>
  <c r="T565" i="4" s="1"/>
  <c r="U570" i="1"/>
  <c r="T568" i="4" s="1"/>
  <c r="U573" i="1"/>
  <c r="T571" i="4" s="1"/>
  <c r="U576" i="1"/>
  <c r="T574" i="4" s="1"/>
  <c r="U581" i="1"/>
  <c r="T579" i="4" s="1"/>
  <c r="U584" i="1"/>
  <c r="T582" i="4" s="1"/>
  <c r="U587" i="1"/>
  <c r="T585" i="4" s="1"/>
  <c r="U592" i="1"/>
  <c r="T590" i="4" s="1"/>
  <c r="U595" i="1"/>
  <c r="T593" i="4" s="1"/>
  <c r="U598" i="1"/>
  <c r="T596" i="4" s="1"/>
  <c r="U603" i="1"/>
  <c r="T601" i="4" s="1"/>
  <c r="U606" i="1"/>
  <c r="T604" i="4" s="1"/>
  <c r="U609" i="1"/>
  <c r="T607" i="4" s="1"/>
  <c r="U612" i="1"/>
  <c r="T610" i="4" s="1"/>
  <c r="U617" i="1"/>
  <c r="T615" i="4" s="1"/>
  <c r="U620" i="1"/>
  <c r="T618" i="4" s="1"/>
  <c r="U623" i="1"/>
  <c r="T621" i="4" s="1"/>
  <c r="U628" i="1"/>
  <c r="T626" i="4" s="1"/>
  <c r="U631" i="1"/>
  <c r="T629" i="4" s="1"/>
  <c r="U634" i="1"/>
  <c r="T632" i="4" s="1"/>
  <c r="T267" i="1"/>
  <c r="S265" i="4" s="1"/>
  <c r="U294" i="1"/>
  <c r="T292" i="4" s="1"/>
  <c r="U308" i="1"/>
  <c r="T306" i="4" s="1"/>
  <c r="U322" i="1"/>
  <c r="T320" i="4" s="1"/>
  <c r="U336" i="1"/>
  <c r="T334" i="4" s="1"/>
  <c r="U352" i="1"/>
  <c r="T350" i="4" s="1"/>
  <c r="U366" i="1"/>
  <c r="T364" i="4" s="1"/>
  <c r="U380" i="1"/>
  <c r="T378" i="4" s="1"/>
  <c r="U394" i="1"/>
  <c r="T392" i="4" s="1"/>
  <c r="U408" i="1"/>
  <c r="T406" i="4" s="1"/>
  <c r="U424" i="1"/>
  <c r="T422" i="4" s="1"/>
  <c r="U438" i="1"/>
  <c r="T436" i="4" s="1"/>
  <c r="U452" i="1"/>
  <c r="T450" i="4" s="1"/>
  <c r="U466" i="1"/>
  <c r="T464" i="4" s="1"/>
  <c r="U480" i="1"/>
  <c r="T478" i="4" s="1"/>
  <c r="U496" i="1"/>
  <c r="T494" i="4" s="1"/>
  <c r="U510" i="1"/>
  <c r="T508" i="4" s="1"/>
  <c r="U524" i="1"/>
  <c r="T522" i="4" s="1"/>
  <c r="R538" i="1"/>
  <c r="Q536" i="4" s="1"/>
  <c r="R543" i="1"/>
  <c r="Q541" i="4" s="1"/>
  <c r="R546" i="1"/>
  <c r="Q544" i="4" s="1"/>
  <c r="R549" i="1"/>
  <c r="Q547" i="4" s="1"/>
  <c r="R552" i="1"/>
  <c r="Q550" i="4" s="1"/>
  <c r="R557" i="1"/>
  <c r="Q555" i="4" s="1"/>
  <c r="R560" i="1"/>
  <c r="Q558" i="4" s="1"/>
  <c r="R563" i="1"/>
  <c r="Q561" i="4" s="1"/>
  <c r="R568" i="1"/>
  <c r="Q566" i="4" s="1"/>
  <c r="R571" i="1"/>
  <c r="Q569" i="4" s="1"/>
  <c r="R574" i="1"/>
  <c r="Q572" i="4" s="1"/>
  <c r="R579" i="1"/>
  <c r="Q577" i="4" s="1"/>
  <c r="R582" i="1"/>
  <c r="Q580" i="4" s="1"/>
  <c r="R585" i="1"/>
  <c r="Q583" i="4" s="1"/>
  <c r="R588" i="1"/>
  <c r="Q586" i="4" s="1"/>
  <c r="R593" i="1"/>
  <c r="Q591" i="4" s="1"/>
  <c r="R596" i="1"/>
  <c r="Q594" i="4" s="1"/>
  <c r="R599" i="1"/>
  <c r="Q597" i="4" s="1"/>
  <c r="R604" i="1"/>
  <c r="Q602" i="4" s="1"/>
  <c r="R607" i="1"/>
  <c r="Q605" i="4" s="1"/>
  <c r="R610" i="1"/>
  <c r="Q608" i="4" s="1"/>
  <c r="R615" i="1"/>
  <c r="Q613" i="4" s="1"/>
  <c r="R618" i="1"/>
  <c r="Q616" i="4" s="1"/>
  <c r="R621" i="1"/>
  <c r="Q619" i="4" s="1"/>
  <c r="R624" i="1"/>
  <c r="Q622" i="4" s="1"/>
  <c r="R629" i="1"/>
  <c r="Q627" i="4" s="1"/>
  <c r="R632" i="1"/>
  <c r="Q630" i="4" s="1"/>
  <c r="R635" i="1"/>
  <c r="Q633" i="4" s="1"/>
  <c r="R640" i="1"/>
  <c r="Q638" i="4" s="1"/>
  <c r="R643" i="1"/>
  <c r="Q641" i="4" s="1"/>
  <c r="R646" i="1"/>
  <c r="Q644" i="4" s="1"/>
  <c r="R651" i="1"/>
  <c r="Q649" i="4" s="1"/>
  <c r="R654" i="1"/>
  <c r="Q652" i="4" s="1"/>
  <c r="R657" i="1"/>
  <c r="Q655" i="4" s="1"/>
  <c r="R660" i="1"/>
  <c r="Q658" i="4" s="1"/>
  <c r="R665" i="1"/>
  <c r="Q663" i="4" s="1"/>
  <c r="R668" i="1"/>
  <c r="Q666" i="4" s="1"/>
  <c r="R671" i="1"/>
  <c r="Q669" i="4" s="1"/>
  <c r="R676" i="1"/>
  <c r="Q674" i="4" s="1"/>
  <c r="R679" i="1"/>
  <c r="Q677" i="4" s="1"/>
  <c r="R682" i="1"/>
  <c r="Q680" i="4" s="1"/>
  <c r="R687" i="1"/>
  <c r="Q685" i="4" s="1"/>
  <c r="R690" i="1"/>
  <c r="Q688" i="4" s="1"/>
  <c r="R693" i="1"/>
  <c r="Q691" i="4" s="1"/>
  <c r="R696" i="1"/>
  <c r="Q694" i="4" s="1"/>
  <c r="R701" i="1"/>
  <c r="Q699" i="4" s="1"/>
  <c r="R704" i="1"/>
  <c r="Q702" i="4" s="1"/>
  <c r="R707" i="1"/>
  <c r="Q705" i="4" s="1"/>
  <c r="R712" i="1"/>
  <c r="Q710" i="4" s="1"/>
  <c r="R715" i="1"/>
  <c r="Q713" i="4" s="1"/>
  <c r="R718" i="1"/>
  <c r="Q716" i="4" s="1"/>
  <c r="R723" i="1"/>
  <c r="Q721" i="4" s="1"/>
  <c r="R726" i="1"/>
  <c r="Q724" i="4" s="1"/>
  <c r="R729" i="1"/>
  <c r="Q727" i="4" s="1"/>
  <c r="R732" i="1"/>
  <c r="Q730" i="4" s="1"/>
  <c r="R737" i="1"/>
  <c r="Q735" i="4" s="1"/>
  <c r="R740" i="1"/>
  <c r="Q738" i="4" s="1"/>
  <c r="R743" i="1"/>
  <c r="Q741" i="4" s="1"/>
  <c r="R748" i="1"/>
  <c r="Q746" i="4" s="1"/>
  <c r="R751" i="1"/>
  <c r="Q749" i="4" s="1"/>
  <c r="R754" i="1"/>
  <c r="Q752" i="4" s="1"/>
  <c r="R759" i="1"/>
  <c r="Q757" i="4" s="1"/>
  <c r="R762" i="1"/>
  <c r="Q760" i="4" s="1"/>
  <c r="S270" i="1"/>
  <c r="R268" i="4" s="1"/>
  <c r="R295" i="1"/>
  <c r="Q293" i="4" s="1"/>
  <c r="R309" i="1"/>
  <c r="Q307" i="4" s="1"/>
  <c r="R323" i="1"/>
  <c r="Q321" i="4" s="1"/>
  <c r="R339" i="1"/>
  <c r="Q337" i="4" s="1"/>
  <c r="R353" i="1"/>
  <c r="Q351" i="4" s="1"/>
  <c r="R367" i="1"/>
  <c r="Q365" i="4" s="1"/>
  <c r="R381" i="1"/>
  <c r="Q379" i="4" s="1"/>
  <c r="R395" i="1"/>
  <c r="Q393" i="4" s="1"/>
  <c r="R411" i="1"/>
  <c r="Q409" i="4" s="1"/>
  <c r="R425" i="1"/>
  <c r="Q423" i="4" s="1"/>
  <c r="R439" i="1"/>
  <c r="Q437" i="4" s="1"/>
  <c r="R453" i="1"/>
  <c r="Q451" i="4" s="1"/>
  <c r="R467" i="1"/>
  <c r="Q465" i="4" s="1"/>
  <c r="R483" i="1"/>
  <c r="Q481" i="4" s="1"/>
  <c r="R497" i="1"/>
  <c r="Q495" i="4" s="1"/>
  <c r="R511" i="1"/>
  <c r="Q509" i="4" s="1"/>
  <c r="R525" i="1"/>
  <c r="Q523" i="4" s="1"/>
  <c r="S538" i="1"/>
  <c r="R536" i="4" s="1"/>
  <c r="S543" i="1"/>
  <c r="R541" i="4" s="1"/>
  <c r="S546" i="1"/>
  <c r="R544" i="4" s="1"/>
  <c r="S549" i="1"/>
  <c r="R547" i="4" s="1"/>
  <c r="S552" i="1"/>
  <c r="R550" i="4" s="1"/>
  <c r="S557" i="1"/>
  <c r="R555" i="4" s="1"/>
  <c r="S560" i="1"/>
  <c r="R558" i="4" s="1"/>
  <c r="S563" i="1"/>
  <c r="R561" i="4" s="1"/>
  <c r="S568" i="1"/>
  <c r="R566" i="4" s="1"/>
  <c r="S571" i="1"/>
  <c r="R569" i="4" s="1"/>
  <c r="S574" i="1"/>
  <c r="R572" i="4" s="1"/>
  <c r="S579" i="1"/>
  <c r="R577" i="4" s="1"/>
  <c r="S582" i="1"/>
  <c r="R580" i="4" s="1"/>
  <c r="S585" i="1"/>
  <c r="R583" i="4" s="1"/>
  <c r="S588" i="1"/>
  <c r="R586" i="4" s="1"/>
  <c r="S593" i="1"/>
  <c r="R591" i="4" s="1"/>
  <c r="S596" i="1"/>
  <c r="R594" i="4" s="1"/>
  <c r="S599" i="1"/>
  <c r="R597" i="4" s="1"/>
  <c r="S604" i="1"/>
  <c r="R602" i="4" s="1"/>
  <c r="S607" i="1"/>
  <c r="R605" i="4" s="1"/>
  <c r="S610" i="1"/>
  <c r="R608" i="4" s="1"/>
  <c r="S615" i="1"/>
  <c r="R613" i="4" s="1"/>
  <c r="S618" i="1"/>
  <c r="R616" i="4" s="1"/>
  <c r="S621" i="1"/>
  <c r="R619" i="4" s="1"/>
  <c r="S624" i="1"/>
  <c r="R622" i="4" s="1"/>
  <c r="S629" i="1"/>
  <c r="R627" i="4" s="1"/>
  <c r="S632" i="1"/>
  <c r="R630" i="4" s="1"/>
  <c r="S635" i="1"/>
  <c r="R633" i="4" s="1"/>
  <c r="S640" i="1"/>
  <c r="R638" i="4" s="1"/>
  <c r="S643" i="1"/>
  <c r="R641" i="4" s="1"/>
  <c r="S646" i="1"/>
  <c r="R644" i="4" s="1"/>
  <c r="S651" i="1"/>
  <c r="R649" i="4" s="1"/>
  <c r="S654" i="1"/>
  <c r="R652" i="4" s="1"/>
  <c r="S657" i="1"/>
  <c r="R655" i="4" s="1"/>
  <c r="S660" i="1"/>
  <c r="R658" i="4" s="1"/>
  <c r="S665" i="1"/>
  <c r="R663" i="4" s="1"/>
  <c r="S668" i="1"/>
  <c r="R666" i="4" s="1"/>
  <c r="S671" i="1"/>
  <c r="R669" i="4" s="1"/>
  <c r="S676" i="1"/>
  <c r="R674" i="4" s="1"/>
  <c r="S679" i="1"/>
  <c r="R677" i="4" s="1"/>
  <c r="S682" i="1"/>
  <c r="R680" i="4" s="1"/>
  <c r="S687" i="1"/>
  <c r="R685" i="4" s="1"/>
  <c r="S690" i="1"/>
  <c r="R688" i="4" s="1"/>
  <c r="S693" i="1"/>
  <c r="R691" i="4" s="1"/>
  <c r="S696" i="1"/>
  <c r="R694" i="4" s="1"/>
  <c r="T341" i="1"/>
  <c r="S339" i="4" s="1"/>
  <c r="T449" i="1"/>
  <c r="S447" i="4" s="1"/>
  <c r="T535" i="1"/>
  <c r="S533" i="4" s="1"/>
  <c r="T551" i="1"/>
  <c r="S549" i="4" s="1"/>
  <c r="T567" i="1"/>
  <c r="S565" i="4" s="1"/>
  <c r="T581" i="1"/>
  <c r="S579" i="4" s="1"/>
  <c r="T595" i="1"/>
  <c r="S593" i="4" s="1"/>
  <c r="T609" i="1"/>
  <c r="S607" i="4" s="1"/>
  <c r="T623" i="1"/>
  <c r="S621" i="4" s="1"/>
  <c r="T639" i="1"/>
  <c r="S637" i="4" s="1"/>
  <c r="T648" i="1"/>
  <c r="S646" i="4" s="1"/>
  <c r="T659" i="1"/>
  <c r="S657" i="4" s="1"/>
  <c r="T670" i="1"/>
  <c r="S668" i="4" s="1"/>
  <c r="T681" i="1"/>
  <c r="S679" i="4" s="1"/>
  <c r="T692" i="1"/>
  <c r="S690" i="4" s="1"/>
  <c r="R703" i="1"/>
  <c r="Q701" i="4" s="1"/>
  <c r="U711" i="1"/>
  <c r="T709" i="4" s="1"/>
  <c r="T718" i="1"/>
  <c r="S716" i="4" s="1"/>
  <c r="T728" i="1"/>
  <c r="S726" i="4" s="1"/>
  <c r="S737" i="1"/>
  <c r="R735" i="4" s="1"/>
  <c r="R747" i="1"/>
  <c r="Q745" i="4" s="1"/>
  <c r="U753" i="1"/>
  <c r="T751" i="4" s="1"/>
  <c r="T762" i="1"/>
  <c r="S760" i="4" s="1"/>
  <c r="T765" i="1"/>
  <c r="S763" i="4" s="1"/>
  <c r="T768" i="1"/>
  <c r="S766" i="4" s="1"/>
  <c r="T773" i="1"/>
  <c r="S771" i="4" s="1"/>
  <c r="T776" i="1"/>
  <c r="S774" i="4" s="1"/>
  <c r="T779" i="1"/>
  <c r="S777" i="4" s="1"/>
  <c r="T784" i="1"/>
  <c r="S782" i="4" s="1"/>
  <c r="T787" i="1"/>
  <c r="S785" i="4" s="1"/>
  <c r="T790" i="1"/>
  <c r="S788" i="4" s="1"/>
  <c r="T795" i="1"/>
  <c r="S793" i="4" s="1"/>
  <c r="T798" i="1"/>
  <c r="S796" i="4" s="1"/>
  <c r="T801" i="1"/>
  <c r="S799" i="4" s="1"/>
  <c r="T804" i="1"/>
  <c r="S802" i="4" s="1"/>
  <c r="T809" i="1"/>
  <c r="S807" i="4" s="1"/>
  <c r="T812" i="1"/>
  <c r="S810" i="4" s="1"/>
  <c r="T815" i="1"/>
  <c r="S813" i="4" s="1"/>
  <c r="T820" i="1"/>
  <c r="S818" i="4" s="1"/>
  <c r="T823" i="1"/>
  <c r="S821" i="4" s="1"/>
  <c r="T826" i="1"/>
  <c r="S824" i="4" s="1"/>
  <c r="T831" i="1"/>
  <c r="S829" i="4" s="1"/>
  <c r="T834" i="1"/>
  <c r="S832" i="4" s="1"/>
  <c r="T837" i="1"/>
  <c r="S835" i="4" s="1"/>
  <c r="T840" i="1"/>
  <c r="S838" i="4" s="1"/>
  <c r="T845" i="1"/>
  <c r="S843" i="4" s="1"/>
  <c r="T848" i="1"/>
  <c r="S846" i="4" s="1"/>
  <c r="T851" i="1"/>
  <c r="S849" i="4" s="1"/>
  <c r="T856" i="1"/>
  <c r="S854" i="4" s="1"/>
  <c r="T859" i="1"/>
  <c r="S857" i="4" s="1"/>
  <c r="T862" i="1"/>
  <c r="S860" i="4" s="1"/>
  <c r="T867" i="1"/>
  <c r="S865" i="4" s="1"/>
  <c r="T870" i="1"/>
  <c r="S868" i="4" s="1"/>
  <c r="T873" i="1"/>
  <c r="S871" i="4" s="1"/>
  <c r="T876" i="1"/>
  <c r="S874" i="4" s="1"/>
  <c r="T881" i="1"/>
  <c r="S879" i="4" s="1"/>
  <c r="T884" i="1"/>
  <c r="S882" i="4" s="1"/>
  <c r="T887" i="1"/>
  <c r="S885" i="4" s="1"/>
  <c r="T892" i="1"/>
  <c r="S890" i="4" s="1"/>
  <c r="T895" i="1"/>
  <c r="S893" i="4" s="1"/>
  <c r="T898" i="1"/>
  <c r="S896" i="4" s="1"/>
  <c r="T903" i="1"/>
  <c r="S901" i="4" s="1"/>
  <c r="T906" i="1"/>
  <c r="S904" i="4" s="1"/>
  <c r="T909" i="1"/>
  <c r="S907" i="4" s="1"/>
  <c r="T912" i="1"/>
  <c r="S910" i="4" s="1"/>
  <c r="T917" i="1"/>
  <c r="S915" i="4" s="1"/>
  <c r="T920" i="1"/>
  <c r="S918" i="4" s="1"/>
  <c r="T923" i="1"/>
  <c r="S921" i="4" s="1"/>
  <c r="T928" i="1"/>
  <c r="S926" i="4" s="1"/>
  <c r="T931" i="1"/>
  <c r="S929" i="4" s="1"/>
  <c r="T934" i="1"/>
  <c r="S932" i="4" s="1"/>
  <c r="T939" i="1"/>
  <c r="S937" i="4" s="1"/>
  <c r="T942" i="1"/>
  <c r="S940" i="4" s="1"/>
  <c r="T945" i="1"/>
  <c r="S943" i="4" s="1"/>
  <c r="T948" i="1"/>
  <c r="S946" i="4" s="1"/>
  <c r="T953" i="1"/>
  <c r="S951" i="4" s="1"/>
  <c r="T956" i="1"/>
  <c r="S954" i="4" s="1"/>
  <c r="T959" i="1"/>
  <c r="S957" i="4" s="1"/>
  <c r="T964" i="1"/>
  <c r="S962" i="4" s="1"/>
  <c r="T967" i="1"/>
  <c r="S965" i="4" s="1"/>
  <c r="T970" i="1"/>
  <c r="S968" i="4" s="1"/>
  <c r="T975" i="1"/>
  <c r="S973" i="4" s="1"/>
  <c r="T978" i="1"/>
  <c r="S976" i="4" s="1"/>
  <c r="T981" i="1"/>
  <c r="S979" i="4" s="1"/>
  <c r="T984" i="1"/>
  <c r="S982" i="4" s="1"/>
  <c r="T355" i="1"/>
  <c r="S353" i="4" s="1"/>
  <c r="T455" i="1"/>
  <c r="S453" i="4" s="1"/>
  <c r="T538" i="1"/>
  <c r="S536" i="4" s="1"/>
  <c r="T552" i="1"/>
  <c r="S550" i="4" s="1"/>
  <c r="T568" i="1"/>
  <c r="S566" i="4" s="1"/>
  <c r="T582" i="1"/>
  <c r="S580" i="4" s="1"/>
  <c r="T596" i="1"/>
  <c r="S594" i="4" s="1"/>
  <c r="T610" i="1"/>
  <c r="S608" i="4" s="1"/>
  <c r="T624" i="1"/>
  <c r="S622" i="4" s="1"/>
  <c r="U639" i="1"/>
  <c r="T637" i="4" s="1"/>
  <c r="U648" i="1"/>
  <c r="T646" i="4" s="1"/>
  <c r="U659" i="1"/>
  <c r="T657" i="4" s="1"/>
  <c r="U670" i="1"/>
  <c r="T668" i="4" s="1"/>
  <c r="U681" i="1"/>
  <c r="T679" i="4" s="1"/>
  <c r="U692" i="1"/>
  <c r="T690" i="4" s="1"/>
  <c r="T703" i="1"/>
  <c r="S701" i="4" s="1"/>
  <c r="S712" i="1"/>
  <c r="R710" i="4" s="1"/>
  <c r="R720" i="1"/>
  <c r="Q718" i="4" s="1"/>
  <c r="U728" i="1"/>
  <c r="T726" i="4" s="1"/>
  <c r="T737" i="1"/>
  <c r="S735" i="4" s="1"/>
  <c r="T747" i="1"/>
  <c r="S745" i="4" s="1"/>
  <c r="S754" i="1"/>
  <c r="R752" i="4" s="1"/>
  <c r="U762" i="1"/>
  <c r="T760" i="4" s="1"/>
  <c r="U765" i="1"/>
  <c r="T763" i="4" s="1"/>
  <c r="U768" i="1"/>
  <c r="T766" i="4" s="1"/>
  <c r="U773" i="1"/>
  <c r="T771" i="4" s="1"/>
  <c r="U776" i="1"/>
  <c r="T774" i="4" s="1"/>
  <c r="U779" i="1"/>
  <c r="T777" i="4" s="1"/>
  <c r="U784" i="1"/>
  <c r="T782" i="4" s="1"/>
  <c r="U787" i="1"/>
  <c r="T785" i="4" s="1"/>
  <c r="U790" i="1"/>
  <c r="T788" i="4" s="1"/>
  <c r="U795" i="1"/>
  <c r="T793" i="4" s="1"/>
  <c r="U798" i="1"/>
  <c r="T796" i="4" s="1"/>
  <c r="U801" i="1"/>
  <c r="T799" i="4" s="1"/>
  <c r="U804" i="1"/>
  <c r="T802" i="4" s="1"/>
  <c r="U809" i="1"/>
  <c r="T807" i="4" s="1"/>
  <c r="U812" i="1"/>
  <c r="T810" i="4" s="1"/>
  <c r="U815" i="1"/>
  <c r="T813" i="4" s="1"/>
  <c r="U820" i="1"/>
  <c r="T818" i="4" s="1"/>
  <c r="U823" i="1"/>
  <c r="T821" i="4" s="1"/>
  <c r="U826" i="1"/>
  <c r="T824" i="4" s="1"/>
  <c r="U831" i="1"/>
  <c r="T829" i="4" s="1"/>
  <c r="U834" i="1"/>
  <c r="T832" i="4" s="1"/>
  <c r="U837" i="1"/>
  <c r="T835" i="4" s="1"/>
  <c r="U840" i="1"/>
  <c r="T838" i="4" s="1"/>
  <c r="U845" i="1"/>
  <c r="T843" i="4" s="1"/>
  <c r="U848" i="1"/>
  <c r="T846" i="4" s="1"/>
  <c r="U851" i="1"/>
  <c r="T849" i="4" s="1"/>
  <c r="U856" i="1"/>
  <c r="T854" i="4" s="1"/>
  <c r="U859" i="1"/>
  <c r="T857" i="4" s="1"/>
  <c r="U862" i="1"/>
  <c r="T860" i="4" s="1"/>
  <c r="U867" i="1"/>
  <c r="T865" i="4" s="1"/>
  <c r="U870" i="1"/>
  <c r="T868" i="4" s="1"/>
  <c r="U873" i="1"/>
  <c r="T871" i="4" s="1"/>
  <c r="U876" i="1"/>
  <c r="T874" i="4" s="1"/>
  <c r="U881" i="1"/>
  <c r="T879" i="4" s="1"/>
  <c r="U884" i="1"/>
  <c r="T882" i="4" s="1"/>
  <c r="U887" i="1"/>
  <c r="T885" i="4" s="1"/>
  <c r="U892" i="1"/>
  <c r="T890" i="4" s="1"/>
  <c r="U895" i="1"/>
  <c r="T893" i="4" s="1"/>
  <c r="U898" i="1"/>
  <c r="T896" i="4" s="1"/>
  <c r="U903" i="1"/>
  <c r="T901" i="4" s="1"/>
  <c r="U906" i="1"/>
  <c r="T904" i="4" s="1"/>
  <c r="U909" i="1"/>
  <c r="T907" i="4" s="1"/>
  <c r="U912" i="1"/>
  <c r="T910" i="4" s="1"/>
  <c r="U917" i="1"/>
  <c r="T915" i="4" s="1"/>
  <c r="U920" i="1"/>
  <c r="T918" i="4" s="1"/>
  <c r="U923" i="1"/>
  <c r="T921" i="4" s="1"/>
  <c r="U928" i="1"/>
  <c r="T926" i="4" s="1"/>
  <c r="U931" i="1"/>
  <c r="T929" i="4" s="1"/>
  <c r="U934" i="1"/>
  <c r="T932" i="4" s="1"/>
  <c r="U939" i="1"/>
  <c r="T937" i="4" s="1"/>
  <c r="U942" i="1"/>
  <c r="T940" i="4" s="1"/>
  <c r="U945" i="1"/>
  <c r="T943" i="4" s="1"/>
  <c r="U948" i="1"/>
  <c r="T946" i="4" s="1"/>
  <c r="U953" i="1"/>
  <c r="T951" i="4" s="1"/>
  <c r="U956" i="1"/>
  <c r="T954" i="4" s="1"/>
  <c r="U959" i="1"/>
  <c r="T957" i="4" s="1"/>
  <c r="U964" i="1"/>
  <c r="T962" i="4" s="1"/>
  <c r="U967" i="1"/>
  <c r="T965" i="4" s="1"/>
  <c r="U970" i="1"/>
  <c r="T968" i="4" s="1"/>
  <c r="U975" i="1"/>
  <c r="T973" i="4" s="1"/>
  <c r="U978" i="1"/>
  <c r="T976" i="4" s="1"/>
  <c r="U981" i="1"/>
  <c r="T979" i="4" s="1"/>
  <c r="U984" i="1"/>
  <c r="T982" i="4" s="1"/>
  <c r="T369" i="1"/>
  <c r="S367" i="4" s="1"/>
  <c r="T463" i="1"/>
  <c r="S461" i="4" s="1"/>
  <c r="R540" i="1"/>
  <c r="Q538" i="4" s="1"/>
  <c r="R556" i="1"/>
  <c r="Q554" i="4" s="1"/>
  <c r="R570" i="1"/>
  <c r="Q568" i="4" s="1"/>
  <c r="R584" i="1"/>
  <c r="Q582" i="4" s="1"/>
  <c r="R598" i="1"/>
  <c r="Q596" i="4" s="1"/>
  <c r="R612" i="1"/>
  <c r="Q610" i="4" s="1"/>
  <c r="R628" i="1"/>
  <c r="Q626" i="4" s="1"/>
  <c r="T640" i="1"/>
  <c r="S638" i="4" s="1"/>
  <c r="T651" i="1"/>
  <c r="S649" i="4" s="1"/>
  <c r="T660" i="1"/>
  <c r="S658" i="4" s="1"/>
  <c r="T671" i="1"/>
  <c r="S669" i="4" s="1"/>
  <c r="T682" i="1"/>
  <c r="S680" i="4" s="1"/>
  <c r="T693" i="1"/>
  <c r="S691" i="4" s="1"/>
  <c r="U703" i="1"/>
  <c r="T701" i="4" s="1"/>
  <c r="T712" i="1"/>
  <c r="S710" i="4" s="1"/>
  <c r="T720" i="1"/>
  <c r="S718" i="4" s="1"/>
  <c r="S729" i="1"/>
  <c r="R727" i="4" s="1"/>
  <c r="R739" i="1"/>
  <c r="Q737" i="4" s="1"/>
  <c r="U747" i="1"/>
  <c r="T745" i="4" s="1"/>
  <c r="T754" i="1"/>
  <c r="S752" i="4" s="1"/>
  <c r="R763" i="1"/>
  <c r="Q761" i="4" s="1"/>
  <c r="R766" i="1"/>
  <c r="Q764" i="4" s="1"/>
  <c r="R771" i="1"/>
  <c r="Q769" i="4" s="1"/>
  <c r="R774" i="1"/>
  <c r="Q772" i="4" s="1"/>
  <c r="R777" i="1"/>
  <c r="Q775" i="4" s="1"/>
  <c r="R780" i="1"/>
  <c r="Q778" i="4" s="1"/>
  <c r="R785" i="1"/>
  <c r="Q783" i="4" s="1"/>
  <c r="R788" i="1"/>
  <c r="Q786" i="4" s="1"/>
  <c r="R791" i="1"/>
  <c r="Q789" i="4" s="1"/>
  <c r="R796" i="1"/>
  <c r="Q794" i="4" s="1"/>
  <c r="R799" i="1"/>
  <c r="Q797" i="4" s="1"/>
  <c r="R802" i="1"/>
  <c r="Q800" i="4" s="1"/>
  <c r="R807" i="1"/>
  <c r="Q805" i="4" s="1"/>
  <c r="R810" i="1"/>
  <c r="Q808" i="4" s="1"/>
  <c r="R813" i="1"/>
  <c r="Q811" i="4" s="1"/>
  <c r="R816" i="1"/>
  <c r="Q814" i="4" s="1"/>
  <c r="R821" i="1"/>
  <c r="Q819" i="4" s="1"/>
  <c r="R824" i="1"/>
  <c r="Q822" i="4" s="1"/>
  <c r="R827" i="1"/>
  <c r="Q825" i="4" s="1"/>
  <c r="R832" i="1"/>
  <c r="Q830" i="4" s="1"/>
  <c r="R835" i="1"/>
  <c r="Q833" i="4" s="1"/>
  <c r="R838" i="1"/>
  <c r="Q836" i="4" s="1"/>
  <c r="R843" i="1"/>
  <c r="Q841" i="4" s="1"/>
  <c r="R846" i="1"/>
  <c r="Q844" i="4" s="1"/>
  <c r="R849" i="1"/>
  <c r="Q847" i="4" s="1"/>
  <c r="R852" i="1"/>
  <c r="Q850" i="4" s="1"/>
  <c r="R857" i="1"/>
  <c r="Q855" i="4" s="1"/>
  <c r="R860" i="1"/>
  <c r="Q858" i="4" s="1"/>
  <c r="R863" i="1"/>
  <c r="Q861" i="4" s="1"/>
  <c r="R868" i="1"/>
  <c r="Q866" i="4" s="1"/>
  <c r="R871" i="1"/>
  <c r="Q869" i="4" s="1"/>
  <c r="R874" i="1"/>
  <c r="Q872" i="4" s="1"/>
  <c r="R879" i="1"/>
  <c r="Q877" i="4" s="1"/>
  <c r="R882" i="1"/>
  <c r="Q880" i="4" s="1"/>
  <c r="R885" i="1"/>
  <c r="Q883" i="4" s="1"/>
  <c r="R888" i="1"/>
  <c r="Q886" i="4" s="1"/>
  <c r="R893" i="1"/>
  <c r="Q891" i="4" s="1"/>
  <c r="R896" i="1"/>
  <c r="Q894" i="4" s="1"/>
  <c r="R899" i="1"/>
  <c r="Q897" i="4" s="1"/>
  <c r="R904" i="1"/>
  <c r="Q902" i="4" s="1"/>
  <c r="R907" i="1"/>
  <c r="Q905" i="4" s="1"/>
  <c r="R910" i="1"/>
  <c r="Q908" i="4" s="1"/>
  <c r="R915" i="1"/>
  <c r="Q913" i="4" s="1"/>
  <c r="R918" i="1"/>
  <c r="Q916" i="4" s="1"/>
  <c r="R921" i="1"/>
  <c r="Q919" i="4" s="1"/>
  <c r="R924" i="1"/>
  <c r="Q922" i="4" s="1"/>
  <c r="R929" i="1"/>
  <c r="Q927" i="4" s="1"/>
  <c r="R932" i="1"/>
  <c r="Q930" i="4" s="1"/>
  <c r="R935" i="1"/>
  <c r="Q933" i="4" s="1"/>
  <c r="R940" i="1"/>
  <c r="Q938" i="4" s="1"/>
  <c r="R943" i="1"/>
  <c r="Q941" i="4" s="1"/>
  <c r="R946" i="1"/>
  <c r="Q944" i="4" s="1"/>
  <c r="R951" i="1"/>
  <c r="Q949" i="4" s="1"/>
  <c r="R954" i="1"/>
  <c r="Q952" i="4" s="1"/>
  <c r="R957" i="1"/>
  <c r="Q955" i="4" s="1"/>
  <c r="R960" i="1"/>
  <c r="Q958" i="4" s="1"/>
  <c r="R965" i="1"/>
  <c r="Q963" i="4" s="1"/>
  <c r="R968" i="1"/>
  <c r="Q966" i="4" s="1"/>
  <c r="R971" i="1"/>
  <c r="Q969" i="4" s="1"/>
  <c r="R976" i="1"/>
  <c r="Q974" i="4" s="1"/>
  <c r="R979" i="1"/>
  <c r="Q977" i="4" s="1"/>
  <c r="R982" i="1"/>
  <c r="Q980" i="4" s="1"/>
  <c r="T985" i="1"/>
  <c r="S983" i="4" s="1"/>
  <c r="T383" i="1"/>
  <c r="S381" i="4" s="1"/>
  <c r="T471" i="1"/>
  <c r="S469" i="4" s="1"/>
  <c r="T540" i="1"/>
  <c r="S538" i="4" s="1"/>
  <c r="T556" i="1"/>
  <c r="S554" i="4" s="1"/>
  <c r="T570" i="1"/>
  <c r="S568" i="4" s="1"/>
  <c r="T584" i="1"/>
  <c r="S582" i="4" s="1"/>
  <c r="T598" i="1"/>
  <c r="S596" i="4" s="1"/>
  <c r="T612" i="1"/>
  <c r="S610" i="4" s="1"/>
  <c r="T628" i="1"/>
  <c r="S626" i="4" s="1"/>
  <c r="R642" i="1"/>
  <c r="Q640" i="4" s="1"/>
  <c r="R653" i="1"/>
  <c r="Q651" i="4" s="1"/>
  <c r="R664" i="1"/>
  <c r="Q662" i="4" s="1"/>
  <c r="R675" i="1"/>
  <c r="Q673" i="4" s="1"/>
  <c r="R684" i="1"/>
  <c r="Q682" i="4" s="1"/>
  <c r="R695" i="1"/>
  <c r="Q693" i="4" s="1"/>
  <c r="S704" i="1"/>
  <c r="R702" i="4" s="1"/>
  <c r="R714" i="1"/>
  <c r="Q712" i="4" s="1"/>
  <c r="U720" i="1"/>
  <c r="T718" i="4" s="1"/>
  <c r="T729" i="1"/>
  <c r="S727" i="4" s="1"/>
  <c r="T739" i="1"/>
  <c r="S737" i="4" s="1"/>
  <c r="S748" i="1"/>
  <c r="R746" i="4" s="1"/>
  <c r="R756" i="1"/>
  <c r="Q754" i="4" s="1"/>
  <c r="S763" i="1"/>
  <c r="R761" i="4" s="1"/>
  <c r="S766" i="1"/>
  <c r="R764" i="4" s="1"/>
  <c r="S771" i="1"/>
  <c r="R769" i="4" s="1"/>
  <c r="S774" i="1"/>
  <c r="R772" i="4" s="1"/>
  <c r="S777" i="1"/>
  <c r="R775" i="4" s="1"/>
  <c r="S780" i="1"/>
  <c r="R778" i="4" s="1"/>
  <c r="S785" i="1"/>
  <c r="R783" i="4" s="1"/>
  <c r="S788" i="1"/>
  <c r="R786" i="4" s="1"/>
  <c r="S791" i="1"/>
  <c r="R789" i="4" s="1"/>
  <c r="S796" i="1"/>
  <c r="R794" i="4" s="1"/>
  <c r="S799" i="1"/>
  <c r="R797" i="4" s="1"/>
  <c r="S802" i="1"/>
  <c r="R800" i="4" s="1"/>
  <c r="S807" i="1"/>
  <c r="R805" i="4" s="1"/>
  <c r="S810" i="1"/>
  <c r="R808" i="4" s="1"/>
  <c r="S813" i="1"/>
  <c r="R811" i="4" s="1"/>
  <c r="S816" i="1"/>
  <c r="R814" i="4" s="1"/>
  <c r="S821" i="1"/>
  <c r="R819" i="4" s="1"/>
  <c r="S824" i="1"/>
  <c r="R822" i="4" s="1"/>
  <c r="S827" i="1"/>
  <c r="R825" i="4" s="1"/>
  <c r="S832" i="1"/>
  <c r="R830" i="4" s="1"/>
  <c r="S835" i="1"/>
  <c r="R833" i="4" s="1"/>
  <c r="S838" i="1"/>
  <c r="R836" i="4" s="1"/>
  <c r="S843" i="1"/>
  <c r="R841" i="4" s="1"/>
  <c r="S846" i="1"/>
  <c r="R844" i="4" s="1"/>
  <c r="S849" i="1"/>
  <c r="R847" i="4" s="1"/>
  <c r="S852" i="1"/>
  <c r="R850" i="4" s="1"/>
  <c r="S857" i="1"/>
  <c r="R855" i="4" s="1"/>
  <c r="S860" i="1"/>
  <c r="R858" i="4" s="1"/>
  <c r="S863" i="1"/>
  <c r="R861" i="4" s="1"/>
  <c r="S868" i="1"/>
  <c r="R866" i="4" s="1"/>
  <c r="S871" i="1"/>
  <c r="R869" i="4" s="1"/>
  <c r="S874" i="1"/>
  <c r="R872" i="4" s="1"/>
  <c r="S879" i="1"/>
  <c r="R877" i="4" s="1"/>
  <c r="S882" i="1"/>
  <c r="R880" i="4" s="1"/>
  <c r="S885" i="1"/>
  <c r="R883" i="4" s="1"/>
  <c r="S888" i="1"/>
  <c r="R886" i="4" s="1"/>
  <c r="S893" i="1"/>
  <c r="R891" i="4" s="1"/>
  <c r="S896" i="1"/>
  <c r="R894" i="4" s="1"/>
  <c r="S899" i="1"/>
  <c r="R897" i="4" s="1"/>
  <c r="S904" i="1"/>
  <c r="R902" i="4" s="1"/>
  <c r="S907" i="1"/>
  <c r="R905" i="4" s="1"/>
  <c r="S910" i="1"/>
  <c r="R908" i="4" s="1"/>
  <c r="S915" i="1"/>
  <c r="R913" i="4" s="1"/>
  <c r="S918" i="1"/>
  <c r="R916" i="4" s="1"/>
  <c r="S921" i="1"/>
  <c r="R919" i="4" s="1"/>
  <c r="S924" i="1"/>
  <c r="R922" i="4" s="1"/>
  <c r="S929" i="1"/>
  <c r="R927" i="4" s="1"/>
  <c r="S932" i="1"/>
  <c r="R930" i="4" s="1"/>
  <c r="S935" i="1"/>
  <c r="R933" i="4" s="1"/>
  <c r="S940" i="1"/>
  <c r="R938" i="4" s="1"/>
  <c r="S943" i="1"/>
  <c r="R941" i="4" s="1"/>
  <c r="S946" i="1"/>
  <c r="R944" i="4" s="1"/>
  <c r="S951" i="1"/>
  <c r="R949" i="4" s="1"/>
  <c r="S954" i="1"/>
  <c r="R952" i="4" s="1"/>
  <c r="S957" i="1"/>
  <c r="R955" i="4" s="1"/>
  <c r="S960" i="1"/>
  <c r="R958" i="4" s="1"/>
  <c r="S965" i="1"/>
  <c r="R963" i="4" s="1"/>
  <c r="S968" i="1"/>
  <c r="R966" i="4" s="1"/>
  <c r="S971" i="1"/>
  <c r="R969" i="4" s="1"/>
  <c r="S976" i="1"/>
  <c r="R974" i="4" s="1"/>
  <c r="S979" i="1"/>
  <c r="R977" i="4" s="1"/>
  <c r="S982" i="1"/>
  <c r="R980" i="4" s="1"/>
  <c r="R987" i="1"/>
  <c r="Q985" i="4" s="1"/>
  <c r="T391" i="1"/>
  <c r="S389" i="4" s="1"/>
  <c r="T477" i="1"/>
  <c r="S475" i="4" s="1"/>
  <c r="T543" i="1"/>
  <c r="S541" i="4" s="1"/>
  <c r="T557" i="1"/>
  <c r="S555" i="4" s="1"/>
  <c r="T571" i="1"/>
  <c r="S569" i="4" s="1"/>
  <c r="T585" i="1"/>
  <c r="S583" i="4" s="1"/>
  <c r="T599" i="1"/>
  <c r="S597" i="4" s="1"/>
  <c r="T615" i="1"/>
  <c r="S613" i="4" s="1"/>
  <c r="T629" i="1"/>
  <c r="S627" i="4" s="1"/>
  <c r="T642" i="1"/>
  <c r="S640" i="4" s="1"/>
  <c r="T653" i="1"/>
  <c r="S651" i="4" s="1"/>
  <c r="T664" i="1"/>
  <c r="S662" i="4" s="1"/>
  <c r="T675" i="1"/>
  <c r="S673" i="4" s="1"/>
  <c r="T684" i="1"/>
  <c r="S682" i="4" s="1"/>
  <c r="T695" i="1"/>
  <c r="S693" i="4" s="1"/>
  <c r="T704" i="1"/>
  <c r="S702" i="4" s="1"/>
  <c r="T714" i="1"/>
  <c r="S712" i="4" s="1"/>
  <c r="S723" i="1"/>
  <c r="R721" i="4" s="1"/>
  <c r="R731" i="1"/>
  <c r="Q729" i="4" s="1"/>
  <c r="U739" i="1"/>
  <c r="T737" i="4" s="1"/>
  <c r="T748" i="1"/>
  <c r="S746" i="4" s="1"/>
  <c r="T756" i="1"/>
  <c r="S754" i="4" s="1"/>
  <c r="T763" i="1"/>
  <c r="S761" i="4" s="1"/>
  <c r="T766" i="1"/>
  <c r="S764" i="4" s="1"/>
  <c r="T771" i="1"/>
  <c r="S769" i="4" s="1"/>
  <c r="T774" i="1"/>
  <c r="S772" i="4" s="1"/>
  <c r="T777" i="1"/>
  <c r="S775" i="4" s="1"/>
  <c r="T780" i="1"/>
  <c r="S778" i="4" s="1"/>
  <c r="T785" i="1"/>
  <c r="S783" i="4" s="1"/>
  <c r="T788" i="1"/>
  <c r="S786" i="4" s="1"/>
  <c r="T791" i="1"/>
  <c r="S789" i="4" s="1"/>
  <c r="T796" i="1"/>
  <c r="S794" i="4" s="1"/>
  <c r="T799" i="1"/>
  <c r="S797" i="4" s="1"/>
  <c r="T802" i="1"/>
  <c r="S800" i="4" s="1"/>
  <c r="T807" i="1"/>
  <c r="S805" i="4" s="1"/>
  <c r="T810" i="1"/>
  <c r="S808" i="4" s="1"/>
  <c r="T813" i="1"/>
  <c r="S811" i="4" s="1"/>
  <c r="T816" i="1"/>
  <c r="S814" i="4" s="1"/>
  <c r="T821" i="1"/>
  <c r="S819" i="4" s="1"/>
  <c r="T824" i="1"/>
  <c r="S822" i="4" s="1"/>
  <c r="T827" i="1"/>
  <c r="S825" i="4" s="1"/>
  <c r="T832" i="1"/>
  <c r="S830" i="4" s="1"/>
  <c r="T835" i="1"/>
  <c r="S833" i="4" s="1"/>
  <c r="T838" i="1"/>
  <c r="S836" i="4" s="1"/>
  <c r="T843" i="1"/>
  <c r="S841" i="4" s="1"/>
  <c r="T846" i="1"/>
  <c r="S844" i="4" s="1"/>
  <c r="T849" i="1"/>
  <c r="S847" i="4" s="1"/>
  <c r="T852" i="1"/>
  <c r="S850" i="4" s="1"/>
  <c r="T857" i="1"/>
  <c r="S855" i="4" s="1"/>
  <c r="T860" i="1"/>
  <c r="S858" i="4" s="1"/>
  <c r="T863" i="1"/>
  <c r="S861" i="4" s="1"/>
  <c r="T868" i="1"/>
  <c r="S866" i="4" s="1"/>
  <c r="T871" i="1"/>
  <c r="S869" i="4" s="1"/>
  <c r="T874" i="1"/>
  <c r="S872" i="4" s="1"/>
  <c r="T879" i="1"/>
  <c r="S877" i="4" s="1"/>
  <c r="T882" i="1"/>
  <c r="S880" i="4" s="1"/>
  <c r="T885" i="1"/>
  <c r="S883" i="4" s="1"/>
  <c r="T888" i="1"/>
  <c r="S886" i="4" s="1"/>
  <c r="T893" i="1"/>
  <c r="S891" i="4" s="1"/>
  <c r="T896" i="1"/>
  <c r="S894" i="4" s="1"/>
  <c r="T899" i="1"/>
  <c r="S897" i="4" s="1"/>
  <c r="T904" i="1"/>
  <c r="S902" i="4" s="1"/>
  <c r="T907" i="1"/>
  <c r="S905" i="4" s="1"/>
  <c r="T910" i="1"/>
  <c r="S908" i="4" s="1"/>
  <c r="T915" i="1"/>
  <c r="S913" i="4" s="1"/>
  <c r="T918" i="1"/>
  <c r="S916" i="4" s="1"/>
  <c r="T921" i="1"/>
  <c r="S919" i="4" s="1"/>
  <c r="T924" i="1"/>
  <c r="S922" i="4" s="1"/>
  <c r="T929" i="1"/>
  <c r="S927" i="4" s="1"/>
  <c r="T932" i="1"/>
  <c r="S930" i="4" s="1"/>
  <c r="T935" i="1"/>
  <c r="S933" i="4" s="1"/>
  <c r="T940" i="1"/>
  <c r="S938" i="4" s="1"/>
  <c r="T943" i="1"/>
  <c r="S941" i="4" s="1"/>
  <c r="T946" i="1"/>
  <c r="S944" i="4" s="1"/>
  <c r="T951" i="1"/>
  <c r="S949" i="4" s="1"/>
  <c r="T954" i="1"/>
  <c r="S952" i="4" s="1"/>
  <c r="T957" i="1"/>
  <c r="S955" i="4" s="1"/>
  <c r="T960" i="1"/>
  <c r="S958" i="4" s="1"/>
  <c r="T965" i="1"/>
  <c r="S963" i="4" s="1"/>
  <c r="T968" i="1"/>
  <c r="S966" i="4" s="1"/>
  <c r="T971" i="1"/>
  <c r="S969" i="4" s="1"/>
  <c r="T976" i="1"/>
  <c r="S974" i="4" s="1"/>
  <c r="T979" i="1"/>
  <c r="S977" i="4" s="1"/>
  <c r="T982" i="1"/>
  <c r="S980" i="4" s="1"/>
  <c r="S987" i="1"/>
  <c r="R985" i="4" s="1"/>
  <c r="T399" i="1"/>
  <c r="S397" i="4" s="1"/>
  <c r="T485" i="1"/>
  <c r="S483" i="4" s="1"/>
  <c r="R545" i="1"/>
  <c r="Q543" i="4" s="1"/>
  <c r="R559" i="1"/>
  <c r="Q557" i="4" s="1"/>
  <c r="R573" i="1"/>
  <c r="Q571" i="4" s="1"/>
  <c r="R587" i="1"/>
  <c r="Q585" i="4" s="1"/>
  <c r="R603" i="1"/>
  <c r="Q601" i="4" s="1"/>
  <c r="R617" i="1"/>
  <c r="Q615" i="4" s="1"/>
  <c r="R631" i="1"/>
  <c r="Q629" i="4" s="1"/>
  <c r="U642" i="1"/>
  <c r="T640" i="4" s="1"/>
  <c r="U653" i="1"/>
  <c r="T651" i="4" s="1"/>
  <c r="U664" i="1"/>
  <c r="T662" i="4" s="1"/>
  <c r="U675" i="1"/>
  <c r="T673" i="4" s="1"/>
  <c r="U684" i="1"/>
  <c r="T682" i="4" s="1"/>
  <c r="U695" i="1"/>
  <c r="T693" i="4" s="1"/>
  <c r="R706" i="1"/>
  <c r="Q704" i="4" s="1"/>
  <c r="U714" i="1"/>
  <c r="T712" i="4" s="1"/>
  <c r="T723" i="1"/>
  <c r="S721" i="4" s="1"/>
  <c r="T731" i="1"/>
  <c r="S729" i="4" s="1"/>
  <c r="S740" i="1"/>
  <c r="R738" i="4" s="1"/>
  <c r="R750" i="1"/>
  <c r="Q748" i="4" s="1"/>
  <c r="U756" i="1"/>
  <c r="T754" i="4" s="1"/>
  <c r="U763" i="1"/>
  <c r="T761" i="4" s="1"/>
  <c r="U766" i="1"/>
  <c r="T764" i="4" s="1"/>
  <c r="U771" i="1"/>
  <c r="T769" i="4" s="1"/>
  <c r="U774" i="1"/>
  <c r="T772" i="4" s="1"/>
  <c r="U777" i="1"/>
  <c r="T775" i="4" s="1"/>
  <c r="U780" i="1"/>
  <c r="T778" i="4" s="1"/>
  <c r="U785" i="1"/>
  <c r="T783" i="4" s="1"/>
  <c r="U788" i="1"/>
  <c r="T786" i="4" s="1"/>
  <c r="U791" i="1"/>
  <c r="T789" i="4" s="1"/>
  <c r="U796" i="1"/>
  <c r="T794" i="4" s="1"/>
  <c r="U799" i="1"/>
  <c r="T797" i="4" s="1"/>
  <c r="U802" i="1"/>
  <c r="T800" i="4" s="1"/>
  <c r="U807" i="1"/>
  <c r="T805" i="4" s="1"/>
  <c r="U810" i="1"/>
  <c r="T808" i="4" s="1"/>
  <c r="U813" i="1"/>
  <c r="T811" i="4" s="1"/>
  <c r="U816" i="1"/>
  <c r="T814" i="4" s="1"/>
  <c r="U821" i="1"/>
  <c r="T819" i="4" s="1"/>
  <c r="U824" i="1"/>
  <c r="T822" i="4" s="1"/>
  <c r="U827" i="1"/>
  <c r="T825" i="4" s="1"/>
  <c r="U832" i="1"/>
  <c r="T830" i="4" s="1"/>
  <c r="U835" i="1"/>
  <c r="T833" i="4" s="1"/>
  <c r="U838" i="1"/>
  <c r="T836" i="4" s="1"/>
  <c r="U843" i="1"/>
  <c r="T841" i="4" s="1"/>
  <c r="U846" i="1"/>
  <c r="T844" i="4" s="1"/>
  <c r="U849" i="1"/>
  <c r="T847" i="4" s="1"/>
  <c r="U852" i="1"/>
  <c r="T850" i="4" s="1"/>
  <c r="U857" i="1"/>
  <c r="T855" i="4" s="1"/>
  <c r="U860" i="1"/>
  <c r="T858" i="4" s="1"/>
  <c r="U863" i="1"/>
  <c r="T861" i="4" s="1"/>
  <c r="U868" i="1"/>
  <c r="T866" i="4" s="1"/>
  <c r="U871" i="1"/>
  <c r="T869" i="4" s="1"/>
  <c r="U874" i="1"/>
  <c r="T872" i="4" s="1"/>
  <c r="U879" i="1"/>
  <c r="T877" i="4" s="1"/>
  <c r="U882" i="1"/>
  <c r="T880" i="4" s="1"/>
  <c r="U885" i="1"/>
  <c r="T883" i="4" s="1"/>
  <c r="U888" i="1"/>
  <c r="T886" i="4" s="1"/>
  <c r="U893" i="1"/>
  <c r="T891" i="4" s="1"/>
  <c r="U896" i="1"/>
  <c r="T894" i="4" s="1"/>
  <c r="U899" i="1"/>
  <c r="T897" i="4" s="1"/>
  <c r="U904" i="1"/>
  <c r="T902" i="4" s="1"/>
  <c r="U907" i="1"/>
  <c r="T905" i="4" s="1"/>
  <c r="U910" i="1"/>
  <c r="T908" i="4" s="1"/>
  <c r="U915" i="1"/>
  <c r="T913" i="4" s="1"/>
  <c r="U918" i="1"/>
  <c r="T916" i="4" s="1"/>
  <c r="U921" i="1"/>
  <c r="T919" i="4" s="1"/>
  <c r="U924" i="1"/>
  <c r="T922" i="4" s="1"/>
  <c r="U929" i="1"/>
  <c r="T927" i="4" s="1"/>
  <c r="U932" i="1"/>
  <c r="T930" i="4" s="1"/>
  <c r="U935" i="1"/>
  <c r="T933" i="4" s="1"/>
  <c r="U940" i="1"/>
  <c r="T938" i="4" s="1"/>
  <c r="U943" i="1"/>
  <c r="T941" i="4" s="1"/>
  <c r="U946" i="1"/>
  <c r="T944" i="4" s="1"/>
  <c r="U951" i="1"/>
  <c r="T949" i="4" s="1"/>
  <c r="U954" i="1"/>
  <c r="T952" i="4" s="1"/>
  <c r="U957" i="1"/>
  <c r="T955" i="4" s="1"/>
  <c r="U960" i="1"/>
  <c r="T958" i="4" s="1"/>
  <c r="U965" i="1"/>
  <c r="T963" i="4" s="1"/>
  <c r="U968" i="1"/>
  <c r="T966" i="4" s="1"/>
  <c r="U971" i="1"/>
  <c r="T969" i="4" s="1"/>
  <c r="U976" i="1"/>
  <c r="T974" i="4" s="1"/>
  <c r="U979" i="1"/>
  <c r="T977" i="4" s="1"/>
  <c r="U982" i="1"/>
  <c r="T980" i="4" s="1"/>
  <c r="T987" i="1"/>
  <c r="S985" i="4" s="1"/>
  <c r="T405" i="1"/>
  <c r="S403" i="4" s="1"/>
  <c r="T491" i="1"/>
  <c r="S489" i="4" s="1"/>
  <c r="T545" i="1"/>
  <c r="S543" i="4" s="1"/>
  <c r="T559" i="1"/>
  <c r="S557" i="4" s="1"/>
  <c r="T573" i="1"/>
  <c r="S571" i="4" s="1"/>
  <c r="T587" i="1"/>
  <c r="S585" i="4" s="1"/>
  <c r="T603" i="1"/>
  <c r="S601" i="4" s="1"/>
  <c r="T617" i="1"/>
  <c r="S615" i="4" s="1"/>
  <c r="T631" i="1"/>
  <c r="S629" i="4" s="1"/>
  <c r="T643" i="1"/>
  <c r="S641" i="4" s="1"/>
  <c r="T654" i="1"/>
  <c r="S652" i="4" s="1"/>
  <c r="T665" i="1"/>
  <c r="S663" i="4" s="1"/>
  <c r="T676" i="1"/>
  <c r="S674" i="4" s="1"/>
  <c r="T687" i="1"/>
  <c r="S685" i="4" s="1"/>
  <c r="T696" i="1"/>
  <c r="S694" i="4" s="1"/>
  <c r="T706" i="1"/>
  <c r="S704" i="4" s="1"/>
  <c r="S715" i="1"/>
  <c r="R713" i="4" s="1"/>
  <c r="R725" i="1"/>
  <c r="Q723" i="4" s="1"/>
  <c r="U731" i="1"/>
  <c r="T729" i="4" s="1"/>
  <c r="T740" i="1"/>
  <c r="S738" i="4" s="1"/>
  <c r="T750" i="1"/>
  <c r="S748" i="4" s="1"/>
  <c r="S759" i="1"/>
  <c r="R757" i="4" s="1"/>
  <c r="R764" i="1"/>
  <c r="Q762" i="4" s="1"/>
  <c r="R767" i="1"/>
  <c r="Q765" i="4" s="1"/>
  <c r="R772" i="1"/>
  <c r="Q770" i="4" s="1"/>
  <c r="R775" i="1"/>
  <c r="Q773" i="4" s="1"/>
  <c r="R778" i="1"/>
  <c r="Q776" i="4" s="1"/>
  <c r="R783" i="1"/>
  <c r="Q781" i="4" s="1"/>
  <c r="R786" i="1"/>
  <c r="Q784" i="4" s="1"/>
  <c r="R789" i="1"/>
  <c r="Q787" i="4" s="1"/>
  <c r="R792" i="1"/>
  <c r="Q790" i="4" s="1"/>
  <c r="R797" i="1"/>
  <c r="Q795" i="4" s="1"/>
  <c r="R800" i="1"/>
  <c r="Q798" i="4" s="1"/>
  <c r="R803" i="1"/>
  <c r="Q801" i="4" s="1"/>
  <c r="R808" i="1"/>
  <c r="Q806" i="4" s="1"/>
  <c r="R811" i="1"/>
  <c r="Q809" i="4" s="1"/>
  <c r="R814" i="1"/>
  <c r="Q812" i="4" s="1"/>
  <c r="R819" i="1"/>
  <c r="Q817" i="4" s="1"/>
  <c r="R822" i="1"/>
  <c r="Q820" i="4" s="1"/>
  <c r="R825" i="1"/>
  <c r="Q823" i="4" s="1"/>
  <c r="R828" i="1"/>
  <c r="Q826" i="4" s="1"/>
  <c r="R833" i="1"/>
  <c r="Q831" i="4" s="1"/>
  <c r="R836" i="1"/>
  <c r="Q834" i="4" s="1"/>
  <c r="R839" i="1"/>
  <c r="Q837" i="4" s="1"/>
  <c r="R844" i="1"/>
  <c r="Q842" i="4" s="1"/>
  <c r="R847" i="1"/>
  <c r="Q845" i="4" s="1"/>
  <c r="R850" i="1"/>
  <c r="Q848" i="4" s="1"/>
  <c r="R855" i="1"/>
  <c r="Q853" i="4" s="1"/>
  <c r="R858" i="1"/>
  <c r="Q856" i="4" s="1"/>
  <c r="R861" i="1"/>
  <c r="Q859" i="4" s="1"/>
  <c r="R864" i="1"/>
  <c r="Q862" i="4" s="1"/>
  <c r="R869" i="1"/>
  <c r="Q867" i="4" s="1"/>
  <c r="R872" i="1"/>
  <c r="Q870" i="4" s="1"/>
  <c r="R875" i="1"/>
  <c r="Q873" i="4" s="1"/>
  <c r="R880" i="1"/>
  <c r="Q878" i="4" s="1"/>
  <c r="R883" i="1"/>
  <c r="Q881" i="4" s="1"/>
  <c r="R886" i="1"/>
  <c r="Q884" i="4" s="1"/>
  <c r="R891" i="1"/>
  <c r="Q889" i="4" s="1"/>
  <c r="R894" i="1"/>
  <c r="Q892" i="4" s="1"/>
  <c r="R897" i="1"/>
  <c r="Q895" i="4" s="1"/>
  <c r="R900" i="1"/>
  <c r="Q898" i="4" s="1"/>
  <c r="R905" i="1"/>
  <c r="Q903" i="4" s="1"/>
  <c r="R908" i="1"/>
  <c r="Q906" i="4" s="1"/>
  <c r="R911" i="1"/>
  <c r="Q909" i="4" s="1"/>
  <c r="R916" i="1"/>
  <c r="Q914" i="4" s="1"/>
  <c r="R919" i="1"/>
  <c r="Q917" i="4" s="1"/>
  <c r="R922" i="1"/>
  <c r="Q920" i="4" s="1"/>
  <c r="R927" i="1"/>
  <c r="Q925" i="4" s="1"/>
  <c r="R930" i="1"/>
  <c r="Q928" i="4" s="1"/>
  <c r="R933" i="1"/>
  <c r="Q931" i="4" s="1"/>
  <c r="R936" i="1"/>
  <c r="Q934" i="4" s="1"/>
  <c r="R941" i="1"/>
  <c r="Q939" i="4" s="1"/>
  <c r="R944" i="1"/>
  <c r="Q942" i="4" s="1"/>
  <c r="R947" i="1"/>
  <c r="Q945" i="4" s="1"/>
  <c r="R952" i="1"/>
  <c r="Q950" i="4" s="1"/>
  <c r="R955" i="1"/>
  <c r="Q953" i="4" s="1"/>
  <c r="R958" i="1"/>
  <c r="Q956" i="4" s="1"/>
  <c r="R963" i="1"/>
  <c r="Q961" i="4" s="1"/>
  <c r="R966" i="1"/>
  <c r="Q964" i="4" s="1"/>
  <c r="R969" i="1"/>
  <c r="Q967" i="4" s="1"/>
  <c r="R972" i="1"/>
  <c r="Q970" i="4" s="1"/>
  <c r="R977" i="1"/>
  <c r="Q975" i="4" s="1"/>
  <c r="R980" i="1"/>
  <c r="Q978" i="4" s="1"/>
  <c r="R983" i="1"/>
  <c r="Q981" i="4" s="1"/>
  <c r="U987" i="1"/>
  <c r="T985" i="4" s="1"/>
  <c r="T311" i="1"/>
  <c r="S309" i="4" s="1"/>
  <c r="T435" i="1"/>
  <c r="S433" i="4" s="1"/>
  <c r="T521" i="1"/>
  <c r="S519" i="4" s="1"/>
  <c r="T549" i="1"/>
  <c r="S547" i="4" s="1"/>
  <c r="T563" i="1"/>
  <c r="S561" i="4" s="1"/>
  <c r="T579" i="1"/>
  <c r="S577" i="4" s="1"/>
  <c r="T593" i="1"/>
  <c r="S591" i="4" s="1"/>
  <c r="T607" i="1"/>
  <c r="S605" i="4" s="1"/>
  <c r="T621" i="1"/>
  <c r="S619" i="4" s="1"/>
  <c r="T635" i="1"/>
  <c r="S633" i="4" s="1"/>
  <c r="T646" i="1"/>
  <c r="S644" i="4" s="1"/>
  <c r="T657" i="1"/>
  <c r="S655" i="4" s="1"/>
  <c r="T668" i="1"/>
  <c r="S666" i="4" s="1"/>
  <c r="T679" i="1"/>
  <c r="S677" i="4" s="1"/>
  <c r="T690" i="1"/>
  <c r="S688" i="4" s="1"/>
  <c r="S701" i="1"/>
  <c r="R699" i="4" s="1"/>
  <c r="R711" i="1"/>
  <c r="Q709" i="4" s="1"/>
  <c r="U717" i="1"/>
  <c r="T715" i="4" s="1"/>
  <c r="T726" i="1"/>
  <c r="S724" i="4" s="1"/>
  <c r="T736" i="1"/>
  <c r="S734" i="4" s="1"/>
  <c r="S743" i="1"/>
  <c r="R741" i="4" s="1"/>
  <c r="R753" i="1"/>
  <c r="Q751" i="4" s="1"/>
  <c r="U761" i="1"/>
  <c r="T759" i="4" s="1"/>
  <c r="R765" i="1"/>
  <c r="Q763" i="4" s="1"/>
  <c r="R768" i="1"/>
  <c r="Q766" i="4" s="1"/>
  <c r="R773" i="1"/>
  <c r="Q771" i="4" s="1"/>
  <c r="R776" i="1"/>
  <c r="Q774" i="4" s="1"/>
  <c r="R779" i="1"/>
  <c r="Q777" i="4" s="1"/>
  <c r="R784" i="1"/>
  <c r="Q782" i="4" s="1"/>
  <c r="R787" i="1"/>
  <c r="Q785" i="4" s="1"/>
  <c r="R790" i="1"/>
  <c r="Q788" i="4" s="1"/>
  <c r="R795" i="1"/>
  <c r="Q793" i="4" s="1"/>
  <c r="R798" i="1"/>
  <c r="Q796" i="4" s="1"/>
  <c r="R801" i="1"/>
  <c r="Q799" i="4" s="1"/>
  <c r="R804" i="1"/>
  <c r="Q802" i="4" s="1"/>
  <c r="R809" i="1"/>
  <c r="Q807" i="4" s="1"/>
  <c r="R812" i="1"/>
  <c r="Q810" i="4" s="1"/>
  <c r="R815" i="1"/>
  <c r="Q813" i="4" s="1"/>
  <c r="R820" i="1"/>
  <c r="Q818" i="4" s="1"/>
  <c r="R823" i="1"/>
  <c r="Q821" i="4" s="1"/>
  <c r="R826" i="1"/>
  <c r="Q824" i="4" s="1"/>
  <c r="R831" i="1"/>
  <c r="Q829" i="4" s="1"/>
  <c r="R834" i="1"/>
  <c r="Q832" i="4" s="1"/>
  <c r="R837" i="1"/>
  <c r="Q835" i="4" s="1"/>
  <c r="R840" i="1"/>
  <c r="Q838" i="4" s="1"/>
  <c r="R845" i="1"/>
  <c r="Q843" i="4" s="1"/>
  <c r="R848" i="1"/>
  <c r="Q846" i="4" s="1"/>
  <c r="R851" i="1"/>
  <c r="Q849" i="4" s="1"/>
  <c r="R856" i="1"/>
  <c r="Q854" i="4" s="1"/>
  <c r="R859" i="1"/>
  <c r="Q857" i="4" s="1"/>
  <c r="R862" i="1"/>
  <c r="Q860" i="4" s="1"/>
  <c r="R867" i="1"/>
  <c r="Q865" i="4" s="1"/>
  <c r="R870" i="1"/>
  <c r="Q868" i="4" s="1"/>
  <c r="R873" i="1"/>
  <c r="Q871" i="4" s="1"/>
  <c r="R876" i="1"/>
  <c r="Q874" i="4" s="1"/>
  <c r="R881" i="1"/>
  <c r="Q879" i="4" s="1"/>
  <c r="R884" i="1"/>
  <c r="Q882" i="4" s="1"/>
  <c r="R887" i="1"/>
  <c r="Q885" i="4" s="1"/>
  <c r="R892" i="1"/>
  <c r="Q890" i="4" s="1"/>
  <c r="R895" i="1"/>
  <c r="Q893" i="4" s="1"/>
  <c r="R898" i="1"/>
  <c r="Q896" i="4" s="1"/>
  <c r="R903" i="1"/>
  <c r="Q901" i="4" s="1"/>
  <c r="R906" i="1"/>
  <c r="Q904" i="4" s="1"/>
  <c r="R909" i="1"/>
  <c r="Q907" i="4" s="1"/>
  <c r="R912" i="1"/>
  <c r="Q910" i="4" s="1"/>
  <c r="R917" i="1"/>
  <c r="Q915" i="4" s="1"/>
  <c r="R920" i="1"/>
  <c r="Q918" i="4" s="1"/>
  <c r="R923" i="1"/>
  <c r="Q921" i="4" s="1"/>
  <c r="R928" i="1"/>
  <c r="Q926" i="4" s="1"/>
  <c r="R931" i="1"/>
  <c r="Q929" i="4" s="1"/>
  <c r="R934" i="1"/>
  <c r="Q932" i="4" s="1"/>
  <c r="R939" i="1"/>
  <c r="Q937" i="4" s="1"/>
  <c r="R942" i="1"/>
  <c r="Q940" i="4" s="1"/>
  <c r="R945" i="1"/>
  <c r="Q943" i="4" s="1"/>
  <c r="R948" i="1"/>
  <c r="Q946" i="4" s="1"/>
  <c r="R953" i="1"/>
  <c r="Q951" i="4" s="1"/>
  <c r="R956" i="1"/>
  <c r="Q954" i="4" s="1"/>
  <c r="R959" i="1"/>
  <c r="Q957" i="4" s="1"/>
  <c r="R964" i="1"/>
  <c r="Q962" i="4" s="1"/>
  <c r="R967" i="1"/>
  <c r="Q965" i="4" s="1"/>
  <c r="R970" i="1"/>
  <c r="Q968" i="4" s="1"/>
  <c r="R975" i="1"/>
  <c r="Q973" i="4" s="1"/>
  <c r="R978" i="1"/>
  <c r="Q976" i="4" s="1"/>
  <c r="R981" i="1"/>
  <c r="Q979" i="4" s="1"/>
  <c r="R984" i="1"/>
  <c r="Q982" i="4" s="1"/>
  <c r="U988" i="1"/>
  <c r="T986" i="4" s="1"/>
  <c r="T441" i="1"/>
  <c r="S439" i="4" s="1"/>
  <c r="R567" i="1"/>
  <c r="Q565" i="4" s="1"/>
  <c r="R609" i="1"/>
  <c r="Q607" i="4" s="1"/>
  <c r="R648" i="1"/>
  <c r="Q646" i="4" s="1"/>
  <c r="R681" i="1"/>
  <c r="Q679" i="4" s="1"/>
  <c r="T711" i="1"/>
  <c r="S709" i="4" s="1"/>
  <c r="U736" i="1"/>
  <c r="T734" i="4" s="1"/>
  <c r="S762" i="1"/>
  <c r="R760" i="4" s="1"/>
  <c r="S773" i="1"/>
  <c r="R771" i="4" s="1"/>
  <c r="S784" i="1"/>
  <c r="R782" i="4" s="1"/>
  <c r="S795" i="1"/>
  <c r="R793" i="4" s="1"/>
  <c r="S804" i="1"/>
  <c r="R802" i="4" s="1"/>
  <c r="S815" i="1"/>
  <c r="R813" i="4" s="1"/>
  <c r="S826" i="1"/>
  <c r="R824" i="4" s="1"/>
  <c r="S837" i="1"/>
  <c r="R835" i="4" s="1"/>
  <c r="S848" i="1"/>
  <c r="R846" i="4" s="1"/>
  <c r="S859" i="1"/>
  <c r="R857" i="4" s="1"/>
  <c r="S870" i="1"/>
  <c r="R868" i="4" s="1"/>
  <c r="S881" i="1"/>
  <c r="R879" i="4" s="1"/>
  <c r="S892" i="1"/>
  <c r="R890" i="4" s="1"/>
  <c r="S903" i="1"/>
  <c r="R901" i="4" s="1"/>
  <c r="S912" i="1"/>
  <c r="R910" i="4" s="1"/>
  <c r="S923" i="1"/>
  <c r="R921" i="4" s="1"/>
  <c r="S934" i="1"/>
  <c r="R932" i="4" s="1"/>
  <c r="S945" i="1"/>
  <c r="R943" i="4" s="1"/>
  <c r="S956" i="1"/>
  <c r="R954" i="4" s="1"/>
  <c r="S967" i="1"/>
  <c r="R965" i="4" s="1"/>
  <c r="S978" i="1"/>
  <c r="R976" i="4" s="1"/>
  <c r="R989" i="1"/>
  <c r="Q987" i="4" s="1"/>
  <c r="R992" i="1"/>
  <c r="Q990" i="4" s="1"/>
  <c r="R995" i="1"/>
  <c r="Q993" i="4" s="1"/>
  <c r="R1000" i="1"/>
  <c r="Q998" i="4" s="1"/>
  <c r="R1003" i="1"/>
  <c r="Q1001" i="4" s="1"/>
  <c r="R1006" i="1"/>
  <c r="Q1004" i="4" s="1"/>
  <c r="R1011" i="1"/>
  <c r="Q1009" i="4" s="1"/>
  <c r="R1014" i="1"/>
  <c r="Q1012" i="4" s="1"/>
  <c r="R1017" i="1"/>
  <c r="Q1015" i="4" s="1"/>
  <c r="R1020" i="1"/>
  <c r="Q1018" i="4" s="1"/>
  <c r="R1025" i="1"/>
  <c r="Q1023" i="4" s="1"/>
  <c r="R1028" i="1"/>
  <c r="Q1026" i="4" s="1"/>
  <c r="R1031" i="1"/>
  <c r="Q1029" i="4" s="1"/>
  <c r="R1036" i="1"/>
  <c r="Q1034" i="4" s="1"/>
  <c r="R1039" i="1"/>
  <c r="Q1037" i="4" s="1"/>
  <c r="R1042" i="1"/>
  <c r="Q1040" i="4" s="1"/>
  <c r="U1045" i="1"/>
  <c r="T1043" i="4" s="1"/>
  <c r="T1049" i="1"/>
  <c r="S1047" i="4" s="1"/>
  <c r="T1052" i="1"/>
  <c r="S1050" i="4" s="1"/>
  <c r="T1055" i="1"/>
  <c r="S1053" i="4" s="1"/>
  <c r="T1060" i="1"/>
  <c r="S1058" i="4" s="1"/>
  <c r="T1063" i="1"/>
  <c r="S1061" i="4" s="1"/>
  <c r="T1066" i="1"/>
  <c r="S1064" i="4" s="1"/>
  <c r="T1071" i="1"/>
  <c r="S1069" i="4" s="1"/>
  <c r="T1074" i="1"/>
  <c r="S1072" i="4" s="1"/>
  <c r="T1077" i="1"/>
  <c r="S1075" i="4" s="1"/>
  <c r="T1080" i="1"/>
  <c r="S1078" i="4" s="1"/>
  <c r="T1085" i="1"/>
  <c r="S1083" i="4" s="1"/>
  <c r="T1088" i="1"/>
  <c r="S1086" i="4" s="1"/>
  <c r="T1091" i="1"/>
  <c r="S1089" i="4" s="1"/>
  <c r="T1096" i="1"/>
  <c r="S1094" i="4" s="1"/>
  <c r="T1099" i="1"/>
  <c r="S1097" i="4" s="1"/>
  <c r="T1102" i="1"/>
  <c r="S1100" i="4" s="1"/>
  <c r="T1107" i="1"/>
  <c r="S1105" i="4" s="1"/>
  <c r="T1110" i="1"/>
  <c r="S1108" i="4" s="1"/>
  <c r="T1113" i="1"/>
  <c r="S1111" i="4" s="1"/>
  <c r="T1116" i="1"/>
  <c r="S1114" i="4" s="1"/>
  <c r="T1121" i="1"/>
  <c r="S1119" i="4" s="1"/>
  <c r="T1124" i="1"/>
  <c r="S1122" i="4" s="1"/>
  <c r="T1127" i="1"/>
  <c r="S1125" i="4" s="1"/>
  <c r="T1132" i="1"/>
  <c r="S1130" i="4" s="1"/>
  <c r="T1135" i="1"/>
  <c r="S1133" i="4" s="1"/>
  <c r="T1138" i="1"/>
  <c r="S1136" i="4" s="1"/>
  <c r="T1143" i="1"/>
  <c r="S1141" i="4" s="1"/>
  <c r="T1146" i="1"/>
  <c r="S1144" i="4" s="1"/>
  <c r="T1149" i="1"/>
  <c r="S1147" i="4" s="1"/>
  <c r="T1152" i="1"/>
  <c r="S1150" i="4" s="1"/>
  <c r="T1157" i="1"/>
  <c r="S1155" i="4" s="1"/>
  <c r="T1160" i="1"/>
  <c r="S1158" i="4" s="1"/>
  <c r="T1163" i="1"/>
  <c r="S1161" i="4" s="1"/>
  <c r="T1168" i="1"/>
  <c r="S1166" i="4" s="1"/>
  <c r="T1171" i="1"/>
  <c r="S1169" i="4" s="1"/>
  <c r="T1174" i="1"/>
  <c r="S1172" i="4" s="1"/>
  <c r="T1179" i="1"/>
  <c r="S1177" i="4" s="1"/>
  <c r="T1182" i="1"/>
  <c r="S1180" i="4" s="1"/>
  <c r="T1185" i="1"/>
  <c r="S1183" i="4" s="1"/>
  <c r="T1188" i="1"/>
  <c r="S1186" i="4" s="1"/>
  <c r="T499" i="1"/>
  <c r="S497" i="4" s="1"/>
  <c r="T574" i="1"/>
  <c r="S572" i="4" s="1"/>
  <c r="T618" i="1"/>
  <c r="S616" i="4" s="1"/>
  <c r="R656" i="1"/>
  <c r="Q654" i="4" s="1"/>
  <c r="R689" i="1"/>
  <c r="Q687" i="4" s="1"/>
  <c r="T715" i="1"/>
  <c r="S713" i="4" s="1"/>
  <c r="R742" i="1"/>
  <c r="Q740" i="4" s="1"/>
  <c r="S764" i="1"/>
  <c r="R762" i="4" s="1"/>
  <c r="S775" i="1"/>
  <c r="R773" i="4" s="1"/>
  <c r="S786" i="1"/>
  <c r="R784" i="4" s="1"/>
  <c r="S797" i="1"/>
  <c r="R795" i="4" s="1"/>
  <c r="S808" i="1"/>
  <c r="R806" i="4" s="1"/>
  <c r="S819" i="1"/>
  <c r="R817" i="4" s="1"/>
  <c r="S828" i="1"/>
  <c r="R826" i="4" s="1"/>
  <c r="S839" i="1"/>
  <c r="R837" i="4" s="1"/>
  <c r="S850" i="1"/>
  <c r="R848" i="4" s="1"/>
  <c r="S861" i="1"/>
  <c r="R859" i="4" s="1"/>
  <c r="S872" i="1"/>
  <c r="R870" i="4" s="1"/>
  <c r="S883" i="1"/>
  <c r="R881" i="4" s="1"/>
  <c r="S894" i="1"/>
  <c r="R892" i="4" s="1"/>
  <c r="S905" i="1"/>
  <c r="R903" i="4" s="1"/>
  <c r="S916" i="1"/>
  <c r="R914" i="4" s="1"/>
  <c r="S927" i="1"/>
  <c r="R925" i="4" s="1"/>
  <c r="S936" i="1"/>
  <c r="R934" i="4" s="1"/>
  <c r="S947" i="1"/>
  <c r="R945" i="4" s="1"/>
  <c r="S958" i="1"/>
  <c r="R956" i="4" s="1"/>
  <c r="S969" i="1"/>
  <c r="R967" i="4" s="1"/>
  <c r="S980" i="1"/>
  <c r="R978" i="4" s="1"/>
  <c r="S989" i="1"/>
  <c r="R987" i="4" s="1"/>
  <c r="S992" i="1"/>
  <c r="R990" i="4" s="1"/>
  <c r="S995" i="1"/>
  <c r="R993" i="4" s="1"/>
  <c r="S1000" i="1"/>
  <c r="R998" i="4" s="1"/>
  <c r="S1003" i="1"/>
  <c r="R1001" i="4" s="1"/>
  <c r="S1006" i="1"/>
  <c r="R1004" i="4" s="1"/>
  <c r="S1011" i="1"/>
  <c r="R1009" i="4" s="1"/>
  <c r="S1014" i="1"/>
  <c r="R1012" i="4" s="1"/>
  <c r="S1017" i="1"/>
  <c r="R1015" i="4" s="1"/>
  <c r="S1020" i="1"/>
  <c r="R1018" i="4" s="1"/>
  <c r="S1025" i="1"/>
  <c r="R1023" i="4" s="1"/>
  <c r="S1028" i="1"/>
  <c r="R1026" i="4" s="1"/>
  <c r="S1031" i="1"/>
  <c r="R1029" i="4" s="1"/>
  <c r="S1036" i="1"/>
  <c r="R1034" i="4" s="1"/>
  <c r="S1039" i="1"/>
  <c r="R1037" i="4" s="1"/>
  <c r="S1042" i="1"/>
  <c r="R1040" i="4" s="1"/>
  <c r="R1046" i="1"/>
  <c r="Q1044" i="4" s="1"/>
  <c r="U1049" i="1"/>
  <c r="T1047" i="4" s="1"/>
  <c r="U1052" i="1"/>
  <c r="T1050" i="4" s="1"/>
  <c r="U1055" i="1"/>
  <c r="T1053" i="4" s="1"/>
  <c r="U1060" i="1"/>
  <c r="T1058" i="4" s="1"/>
  <c r="U1063" i="1"/>
  <c r="T1061" i="4" s="1"/>
  <c r="U1066" i="1"/>
  <c r="T1064" i="4" s="1"/>
  <c r="U1071" i="1"/>
  <c r="T1069" i="4" s="1"/>
  <c r="U1074" i="1"/>
  <c r="T1072" i="4" s="1"/>
  <c r="U1077" i="1"/>
  <c r="T1075" i="4" s="1"/>
  <c r="U1080" i="1"/>
  <c r="T1078" i="4" s="1"/>
  <c r="U1085" i="1"/>
  <c r="T1083" i="4" s="1"/>
  <c r="U1088" i="1"/>
  <c r="T1086" i="4" s="1"/>
  <c r="U1091" i="1"/>
  <c r="T1089" i="4" s="1"/>
  <c r="U1096" i="1"/>
  <c r="T1094" i="4" s="1"/>
  <c r="U1099" i="1"/>
  <c r="T1097" i="4" s="1"/>
  <c r="U1102" i="1"/>
  <c r="T1100" i="4" s="1"/>
  <c r="U1107" i="1"/>
  <c r="T1105" i="4" s="1"/>
  <c r="U1110" i="1"/>
  <c r="T1108" i="4" s="1"/>
  <c r="U1113" i="1"/>
  <c r="T1111" i="4" s="1"/>
  <c r="U1116" i="1"/>
  <c r="T1114" i="4" s="1"/>
  <c r="U1121" i="1"/>
  <c r="T1119" i="4" s="1"/>
  <c r="U1124" i="1"/>
  <c r="T1122" i="4" s="1"/>
  <c r="U1127" i="1"/>
  <c r="T1125" i="4" s="1"/>
  <c r="U1132" i="1"/>
  <c r="T1130" i="4" s="1"/>
  <c r="U1135" i="1"/>
  <c r="T1133" i="4" s="1"/>
  <c r="U1138" i="1"/>
  <c r="T1136" i="4" s="1"/>
  <c r="U1143" i="1"/>
  <c r="T1141" i="4" s="1"/>
  <c r="U1146" i="1"/>
  <c r="T1144" i="4" s="1"/>
  <c r="U1149" i="1"/>
  <c r="T1147" i="4" s="1"/>
  <c r="U1152" i="1"/>
  <c r="T1150" i="4" s="1"/>
  <c r="U1157" i="1"/>
  <c r="T1155" i="4" s="1"/>
  <c r="U1160" i="1"/>
  <c r="T1158" i="4" s="1"/>
  <c r="U1163" i="1"/>
  <c r="T1161" i="4" s="1"/>
  <c r="U1168" i="1"/>
  <c r="T1166" i="4" s="1"/>
  <c r="U1171" i="1"/>
  <c r="T1169" i="4" s="1"/>
  <c r="U1174" i="1"/>
  <c r="T1172" i="4" s="1"/>
  <c r="U1179" i="1"/>
  <c r="T1177" i="4" s="1"/>
  <c r="U1182" i="1"/>
  <c r="T1180" i="4" s="1"/>
  <c r="U1185" i="1"/>
  <c r="T1183" i="4" s="1"/>
  <c r="U1188" i="1"/>
  <c r="T1186" i="4" s="1"/>
  <c r="T507" i="1"/>
  <c r="S505" i="4" s="1"/>
  <c r="R576" i="1"/>
  <c r="Q574" i="4" s="1"/>
  <c r="R620" i="1"/>
  <c r="Q618" i="4" s="1"/>
  <c r="T656" i="1"/>
  <c r="S654" i="4" s="1"/>
  <c r="T689" i="1"/>
  <c r="S687" i="4" s="1"/>
  <c r="R717" i="1"/>
  <c r="Q715" i="4" s="1"/>
  <c r="T742" i="1"/>
  <c r="S740" i="4" s="1"/>
  <c r="T764" i="1"/>
  <c r="S762" i="4" s="1"/>
  <c r="T775" i="1"/>
  <c r="S773" i="4" s="1"/>
  <c r="T786" i="1"/>
  <c r="S784" i="4" s="1"/>
  <c r="T797" i="1"/>
  <c r="S795" i="4" s="1"/>
  <c r="T808" i="1"/>
  <c r="S806" i="4" s="1"/>
  <c r="T819" i="1"/>
  <c r="S817" i="4" s="1"/>
  <c r="T828" i="1"/>
  <c r="S826" i="4" s="1"/>
  <c r="T839" i="1"/>
  <c r="S837" i="4" s="1"/>
  <c r="T850" i="1"/>
  <c r="S848" i="4" s="1"/>
  <c r="T861" i="1"/>
  <c r="S859" i="4" s="1"/>
  <c r="T872" i="1"/>
  <c r="S870" i="4" s="1"/>
  <c r="T883" i="1"/>
  <c r="S881" i="4" s="1"/>
  <c r="T894" i="1"/>
  <c r="S892" i="4" s="1"/>
  <c r="T905" i="1"/>
  <c r="S903" i="4" s="1"/>
  <c r="T916" i="1"/>
  <c r="S914" i="4" s="1"/>
  <c r="T927" i="1"/>
  <c r="S925" i="4" s="1"/>
  <c r="T936" i="1"/>
  <c r="S934" i="4" s="1"/>
  <c r="T947" i="1"/>
  <c r="S945" i="4" s="1"/>
  <c r="T958" i="1"/>
  <c r="S956" i="4" s="1"/>
  <c r="T969" i="1"/>
  <c r="S967" i="4" s="1"/>
  <c r="T980" i="1"/>
  <c r="S978" i="4" s="1"/>
  <c r="T989" i="1"/>
  <c r="S987" i="4" s="1"/>
  <c r="T992" i="1"/>
  <c r="S990" i="4" s="1"/>
  <c r="T995" i="1"/>
  <c r="S993" i="4" s="1"/>
  <c r="T1000" i="1"/>
  <c r="S998" i="4" s="1"/>
  <c r="T1003" i="1"/>
  <c r="S1001" i="4" s="1"/>
  <c r="T1006" i="1"/>
  <c r="S1004" i="4" s="1"/>
  <c r="T1011" i="1"/>
  <c r="S1009" i="4" s="1"/>
  <c r="T1014" i="1"/>
  <c r="S1012" i="4" s="1"/>
  <c r="T1017" i="1"/>
  <c r="S1015" i="4" s="1"/>
  <c r="T1020" i="1"/>
  <c r="S1018" i="4" s="1"/>
  <c r="T1025" i="1"/>
  <c r="S1023" i="4" s="1"/>
  <c r="T1028" i="1"/>
  <c r="S1026" i="4" s="1"/>
  <c r="T1031" i="1"/>
  <c r="S1029" i="4" s="1"/>
  <c r="T1036" i="1"/>
  <c r="S1034" i="4" s="1"/>
  <c r="T1039" i="1"/>
  <c r="S1037" i="4" s="1"/>
  <c r="T1042" i="1"/>
  <c r="S1040" i="4" s="1"/>
  <c r="R1047" i="1"/>
  <c r="Q1045" i="4" s="1"/>
  <c r="R1050" i="1"/>
  <c r="Q1048" i="4" s="1"/>
  <c r="R1053" i="1"/>
  <c r="Q1051" i="4" s="1"/>
  <c r="R1056" i="1"/>
  <c r="Q1054" i="4" s="1"/>
  <c r="R1061" i="1"/>
  <c r="Q1059" i="4" s="1"/>
  <c r="R1064" i="1"/>
  <c r="Q1062" i="4" s="1"/>
  <c r="R1067" i="1"/>
  <c r="Q1065" i="4" s="1"/>
  <c r="R1072" i="1"/>
  <c r="Q1070" i="4" s="1"/>
  <c r="R1075" i="1"/>
  <c r="Q1073" i="4" s="1"/>
  <c r="R1078" i="1"/>
  <c r="Q1076" i="4" s="1"/>
  <c r="R1083" i="1"/>
  <c r="Q1081" i="4" s="1"/>
  <c r="R1086" i="1"/>
  <c r="Q1084" i="4" s="1"/>
  <c r="R1089" i="1"/>
  <c r="Q1087" i="4" s="1"/>
  <c r="R1092" i="1"/>
  <c r="Q1090" i="4" s="1"/>
  <c r="R1097" i="1"/>
  <c r="Q1095" i="4" s="1"/>
  <c r="R1100" i="1"/>
  <c r="Q1098" i="4" s="1"/>
  <c r="R1103" i="1"/>
  <c r="Q1101" i="4" s="1"/>
  <c r="R1108" i="1"/>
  <c r="Q1106" i="4" s="1"/>
  <c r="R1111" i="1"/>
  <c r="Q1109" i="4" s="1"/>
  <c r="R1114" i="1"/>
  <c r="Q1112" i="4" s="1"/>
  <c r="R1119" i="1"/>
  <c r="Q1117" i="4" s="1"/>
  <c r="R1122" i="1"/>
  <c r="Q1120" i="4" s="1"/>
  <c r="R1125" i="1"/>
  <c r="Q1123" i="4" s="1"/>
  <c r="R1128" i="1"/>
  <c r="Q1126" i="4" s="1"/>
  <c r="R1133" i="1"/>
  <c r="Q1131" i="4" s="1"/>
  <c r="R1136" i="1"/>
  <c r="Q1134" i="4" s="1"/>
  <c r="R1139" i="1"/>
  <c r="Q1137" i="4" s="1"/>
  <c r="R1144" i="1"/>
  <c r="Q1142" i="4" s="1"/>
  <c r="R1147" i="1"/>
  <c r="Q1145" i="4" s="1"/>
  <c r="R1150" i="1"/>
  <c r="Q1148" i="4" s="1"/>
  <c r="R1155" i="1"/>
  <c r="Q1153" i="4" s="1"/>
  <c r="R1158" i="1"/>
  <c r="Q1156" i="4" s="1"/>
  <c r="R1161" i="1"/>
  <c r="Q1159" i="4" s="1"/>
  <c r="R1164" i="1"/>
  <c r="Q1162" i="4" s="1"/>
  <c r="R1169" i="1"/>
  <c r="Q1167" i="4" s="1"/>
  <c r="R1172" i="1"/>
  <c r="Q1170" i="4" s="1"/>
  <c r="R1175" i="1"/>
  <c r="Q1173" i="4" s="1"/>
  <c r="R1180" i="1"/>
  <c r="Q1178" i="4" s="1"/>
  <c r="R1183" i="1"/>
  <c r="Q1181" i="4" s="1"/>
  <c r="R1186" i="1"/>
  <c r="Q1184" i="4" s="1"/>
  <c r="R1191" i="1"/>
  <c r="Q1189" i="4" s="1"/>
  <c r="T513" i="1"/>
  <c r="S511" i="4" s="1"/>
  <c r="T576" i="1"/>
  <c r="S574" i="4" s="1"/>
  <c r="T620" i="1"/>
  <c r="S618" i="4" s="1"/>
  <c r="U656" i="1"/>
  <c r="T654" i="4" s="1"/>
  <c r="U689" i="1"/>
  <c r="T687" i="4" s="1"/>
  <c r="T717" i="1"/>
  <c r="S715" i="4" s="1"/>
  <c r="U742" i="1"/>
  <c r="T740" i="4" s="1"/>
  <c r="U764" i="1"/>
  <c r="T762" i="4" s="1"/>
  <c r="U775" i="1"/>
  <c r="T773" i="4" s="1"/>
  <c r="U786" i="1"/>
  <c r="T784" i="4" s="1"/>
  <c r="U797" i="1"/>
  <c r="T795" i="4" s="1"/>
  <c r="U808" i="1"/>
  <c r="T806" i="4" s="1"/>
  <c r="U819" i="1"/>
  <c r="T817" i="4" s="1"/>
  <c r="U828" i="1"/>
  <c r="T826" i="4" s="1"/>
  <c r="U839" i="1"/>
  <c r="T837" i="4" s="1"/>
  <c r="U850" i="1"/>
  <c r="T848" i="4" s="1"/>
  <c r="U861" i="1"/>
  <c r="T859" i="4" s="1"/>
  <c r="U872" i="1"/>
  <c r="T870" i="4" s="1"/>
  <c r="U883" i="1"/>
  <c r="T881" i="4" s="1"/>
  <c r="U894" i="1"/>
  <c r="T892" i="4" s="1"/>
  <c r="U905" i="1"/>
  <c r="T903" i="4" s="1"/>
  <c r="U916" i="1"/>
  <c r="T914" i="4" s="1"/>
  <c r="U927" i="1"/>
  <c r="T925" i="4" s="1"/>
  <c r="U936" i="1"/>
  <c r="T934" i="4" s="1"/>
  <c r="U947" i="1"/>
  <c r="T945" i="4" s="1"/>
  <c r="U958" i="1"/>
  <c r="T956" i="4" s="1"/>
  <c r="U969" i="1"/>
  <c r="T967" i="4" s="1"/>
  <c r="U980" i="1"/>
  <c r="T978" i="4" s="1"/>
  <c r="U989" i="1"/>
  <c r="T987" i="4" s="1"/>
  <c r="U992" i="1"/>
  <c r="T990" i="4" s="1"/>
  <c r="U995" i="1"/>
  <c r="T993" i="4" s="1"/>
  <c r="U1000" i="1"/>
  <c r="T998" i="4" s="1"/>
  <c r="U1003" i="1"/>
  <c r="T1001" i="4" s="1"/>
  <c r="U1006" i="1"/>
  <c r="T1004" i="4" s="1"/>
  <c r="U1011" i="1"/>
  <c r="T1009" i="4" s="1"/>
  <c r="U1014" i="1"/>
  <c r="T1012" i="4" s="1"/>
  <c r="U1017" i="1"/>
  <c r="T1015" i="4" s="1"/>
  <c r="U1020" i="1"/>
  <c r="T1018" i="4" s="1"/>
  <c r="U1025" i="1"/>
  <c r="T1023" i="4" s="1"/>
  <c r="U1028" i="1"/>
  <c r="T1026" i="4" s="1"/>
  <c r="U1031" i="1"/>
  <c r="T1029" i="4" s="1"/>
  <c r="U1036" i="1"/>
  <c r="T1034" i="4" s="1"/>
  <c r="U1039" i="1"/>
  <c r="T1037" i="4" s="1"/>
  <c r="U1042" i="1"/>
  <c r="T1040" i="4" s="1"/>
  <c r="S1047" i="1"/>
  <c r="R1045" i="4" s="1"/>
  <c r="S1050" i="1"/>
  <c r="R1048" i="4" s="1"/>
  <c r="S1053" i="1"/>
  <c r="R1051" i="4" s="1"/>
  <c r="S1056" i="1"/>
  <c r="R1054" i="4" s="1"/>
  <c r="S1061" i="1"/>
  <c r="R1059" i="4" s="1"/>
  <c r="S1064" i="1"/>
  <c r="R1062" i="4" s="1"/>
  <c r="S1067" i="1"/>
  <c r="R1065" i="4" s="1"/>
  <c r="S1072" i="1"/>
  <c r="R1070" i="4" s="1"/>
  <c r="S1075" i="1"/>
  <c r="R1073" i="4" s="1"/>
  <c r="S1078" i="1"/>
  <c r="R1076" i="4" s="1"/>
  <c r="S1083" i="1"/>
  <c r="R1081" i="4" s="1"/>
  <c r="S1086" i="1"/>
  <c r="R1084" i="4" s="1"/>
  <c r="S1089" i="1"/>
  <c r="R1087" i="4" s="1"/>
  <c r="S1092" i="1"/>
  <c r="R1090" i="4" s="1"/>
  <c r="S1097" i="1"/>
  <c r="R1095" i="4" s="1"/>
  <c r="S1100" i="1"/>
  <c r="R1098" i="4" s="1"/>
  <c r="S1103" i="1"/>
  <c r="R1101" i="4" s="1"/>
  <c r="S1108" i="1"/>
  <c r="R1106" i="4" s="1"/>
  <c r="S1111" i="1"/>
  <c r="R1109" i="4" s="1"/>
  <c r="S1114" i="1"/>
  <c r="R1112" i="4" s="1"/>
  <c r="S1119" i="1"/>
  <c r="R1117" i="4" s="1"/>
  <c r="S1122" i="1"/>
  <c r="R1120" i="4" s="1"/>
  <c r="S1125" i="1"/>
  <c r="R1123" i="4" s="1"/>
  <c r="S1128" i="1"/>
  <c r="R1126" i="4" s="1"/>
  <c r="S1133" i="1"/>
  <c r="R1131" i="4" s="1"/>
  <c r="S1136" i="1"/>
  <c r="R1134" i="4" s="1"/>
  <c r="S1139" i="1"/>
  <c r="R1137" i="4" s="1"/>
  <c r="S1144" i="1"/>
  <c r="R1142" i="4" s="1"/>
  <c r="S1147" i="1"/>
  <c r="R1145" i="4" s="1"/>
  <c r="S1150" i="1"/>
  <c r="R1148" i="4" s="1"/>
  <c r="S1155" i="1"/>
  <c r="R1153" i="4" s="1"/>
  <c r="S1158" i="1"/>
  <c r="R1156" i="4" s="1"/>
  <c r="S1161" i="1"/>
  <c r="R1159" i="4" s="1"/>
  <c r="S1164" i="1"/>
  <c r="R1162" i="4" s="1"/>
  <c r="S1169" i="1"/>
  <c r="R1167" i="4" s="1"/>
  <c r="S1172" i="1"/>
  <c r="R1170" i="4" s="1"/>
  <c r="S1175" i="1"/>
  <c r="R1173" i="4" s="1"/>
  <c r="S1180" i="1"/>
  <c r="R1178" i="4" s="1"/>
  <c r="S1183" i="1"/>
  <c r="R1181" i="4" s="1"/>
  <c r="S1186" i="1"/>
  <c r="R1184" i="4" s="1"/>
  <c r="S1191" i="1"/>
  <c r="R1189" i="4" s="1"/>
  <c r="T527" i="1"/>
  <c r="S525" i="4" s="1"/>
  <c r="R581" i="1"/>
  <c r="Q579" i="4" s="1"/>
  <c r="R623" i="1"/>
  <c r="Q621" i="4" s="1"/>
  <c r="R659" i="1"/>
  <c r="Q657" i="4" s="1"/>
  <c r="R692" i="1"/>
  <c r="Q690" i="4" s="1"/>
  <c r="S718" i="1"/>
  <c r="R716" i="4" s="1"/>
  <c r="T743" i="1"/>
  <c r="S741" i="4" s="1"/>
  <c r="S765" i="1"/>
  <c r="R763" i="4" s="1"/>
  <c r="S776" i="1"/>
  <c r="R774" i="4" s="1"/>
  <c r="S787" i="1"/>
  <c r="R785" i="4" s="1"/>
  <c r="S798" i="1"/>
  <c r="R796" i="4" s="1"/>
  <c r="S809" i="1"/>
  <c r="R807" i="4" s="1"/>
  <c r="S820" i="1"/>
  <c r="R818" i="4" s="1"/>
  <c r="S831" i="1"/>
  <c r="R829" i="4" s="1"/>
  <c r="S840" i="1"/>
  <c r="R838" i="4" s="1"/>
  <c r="S851" i="1"/>
  <c r="R849" i="4" s="1"/>
  <c r="S862" i="1"/>
  <c r="R860" i="4" s="1"/>
  <c r="S873" i="1"/>
  <c r="R871" i="4" s="1"/>
  <c r="S884" i="1"/>
  <c r="R882" i="4" s="1"/>
  <c r="S895" i="1"/>
  <c r="R893" i="4" s="1"/>
  <c r="S906" i="1"/>
  <c r="R904" i="4" s="1"/>
  <c r="S917" i="1"/>
  <c r="R915" i="4" s="1"/>
  <c r="S928" i="1"/>
  <c r="R926" i="4" s="1"/>
  <c r="S939" i="1"/>
  <c r="R937" i="4" s="1"/>
  <c r="S948" i="1"/>
  <c r="R946" i="4" s="1"/>
  <c r="S959" i="1"/>
  <c r="R957" i="4" s="1"/>
  <c r="S970" i="1"/>
  <c r="R968" i="4" s="1"/>
  <c r="S981" i="1"/>
  <c r="R979" i="4" s="1"/>
  <c r="R990" i="1"/>
  <c r="Q988" i="4" s="1"/>
  <c r="R993" i="1"/>
  <c r="Q991" i="4" s="1"/>
  <c r="R996" i="1"/>
  <c r="Q994" i="4" s="1"/>
  <c r="R1001" i="1"/>
  <c r="Q999" i="4" s="1"/>
  <c r="R1004" i="1"/>
  <c r="Q1002" i="4" s="1"/>
  <c r="R1007" i="1"/>
  <c r="Q1005" i="4" s="1"/>
  <c r="R1012" i="1"/>
  <c r="Q1010" i="4" s="1"/>
  <c r="R1015" i="1"/>
  <c r="Q1013" i="4" s="1"/>
  <c r="R1018" i="1"/>
  <c r="Q1016" i="4" s="1"/>
  <c r="R1023" i="1"/>
  <c r="Q1021" i="4" s="1"/>
  <c r="R1026" i="1"/>
  <c r="Q1024" i="4" s="1"/>
  <c r="R1029" i="1"/>
  <c r="Q1027" i="4" s="1"/>
  <c r="R1032" i="1"/>
  <c r="Q1030" i="4" s="1"/>
  <c r="R1037" i="1"/>
  <c r="Q1035" i="4" s="1"/>
  <c r="R1040" i="1"/>
  <c r="Q1038" i="4" s="1"/>
  <c r="R1043" i="1"/>
  <c r="Q1041" i="4" s="1"/>
  <c r="T1047" i="1"/>
  <c r="S1045" i="4" s="1"/>
  <c r="T1050" i="1"/>
  <c r="S1048" i="4" s="1"/>
  <c r="T1053" i="1"/>
  <c r="S1051" i="4" s="1"/>
  <c r="T1056" i="1"/>
  <c r="S1054" i="4" s="1"/>
  <c r="T1061" i="1"/>
  <c r="S1059" i="4" s="1"/>
  <c r="T1064" i="1"/>
  <c r="S1062" i="4" s="1"/>
  <c r="T1067" i="1"/>
  <c r="S1065" i="4" s="1"/>
  <c r="T1072" i="1"/>
  <c r="S1070" i="4" s="1"/>
  <c r="T1075" i="1"/>
  <c r="S1073" i="4" s="1"/>
  <c r="T1078" i="1"/>
  <c r="S1076" i="4" s="1"/>
  <c r="T1083" i="1"/>
  <c r="S1081" i="4" s="1"/>
  <c r="T1086" i="1"/>
  <c r="S1084" i="4" s="1"/>
  <c r="T1089" i="1"/>
  <c r="S1087" i="4" s="1"/>
  <c r="T1092" i="1"/>
  <c r="S1090" i="4" s="1"/>
  <c r="T1097" i="1"/>
  <c r="S1095" i="4" s="1"/>
  <c r="T1100" i="1"/>
  <c r="S1098" i="4" s="1"/>
  <c r="T1103" i="1"/>
  <c r="S1101" i="4" s="1"/>
  <c r="T1108" i="1"/>
  <c r="S1106" i="4" s="1"/>
  <c r="T1111" i="1"/>
  <c r="S1109" i="4" s="1"/>
  <c r="T1114" i="1"/>
  <c r="S1112" i="4" s="1"/>
  <c r="T1119" i="1"/>
  <c r="S1117" i="4" s="1"/>
  <c r="T1122" i="1"/>
  <c r="S1120" i="4" s="1"/>
  <c r="T1125" i="1"/>
  <c r="S1123" i="4" s="1"/>
  <c r="T1128" i="1"/>
  <c r="S1126" i="4" s="1"/>
  <c r="T1133" i="1"/>
  <c r="S1131" i="4" s="1"/>
  <c r="T1136" i="1"/>
  <c r="S1134" i="4" s="1"/>
  <c r="T1139" i="1"/>
  <c r="S1137" i="4" s="1"/>
  <c r="T1144" i="1"/>
  <c r="S1142" i="4" s="1"/>
  <c r="T1147" i="1"/>
  <c r="S1145" i="4" s="1"/>
  <c r="T1150" i="1"/>
  <c r="S1148" i="4" s="1"/>
  <c r="T1155" i="1"/>
  <c r="S1153" i="4" s="1"/>
  <c r="T1158" i="1"/>
  <c r="S1156" i="4" s="1"/>
  <c r="T1161" i="1"/>
  <c r="S1159" i="4" s="1"/>
  <c r="T1164" i="1"/>
  <c r="S1162" i="4" s="1"/>
  <c r="T1169" i="1"/>
  <c r="S1167" i="4" s="1"/>
  <c r="T1172" i="1"/>
  <c r="S1170" i="4" s="1"/>
  <c r="T1175" i="1"/>
  <c r="S1173" i="4" s="1"/>
  <c r="T1180" i="1"/>
  <c r="S1178" i="4" s="1"/>
  <c r="T1183" i="1"/>
  <c r="S1181" i="4" s="1"/>
  <c r="T1186" i="1"/>
  <c r="S1184" i="4" s="1"/>
  <c r="T546" i="1"/>
  <c r="S544" i="4" s="1"/>
  <c r="T588" i="1"/>
  <c r="S586" i="4" s="1"/>
  <c r="T632" i="1"/>
  <c r="S630" i="4" s="1"/>
  <c r="R667" i="1"/>
  <c r="Q665" i="4" s="1"/>
  <c r="R700" i="1"/>
  <c r="Q698" i="4" s="1"/>
  <c r="T725" i="1"/>
  <c r="S723" i="4" s="1"/>
  <c r="U750" i="1"/>
  <c r="T748" i="4" s="1"/>
  <c r="S767" i="1"/>
  <c r="R765" i="4" s="1"/>
  <c r="S778" i="1"/>
  <c r="R776" i="4" s="1"/>
  <c r="S789" i="1"/>
  <c r="R787" i="4" s="1"/>
  <c r="S800" i="1"/>
  <c r="R798" i="4" s="1"/>
  <c r="S811" i="1"/>
  <c r="R809" i="4" s="1"/>
  <c r="S822" i="1"/>
  <c r="R820" i="4" s="1"/>
  <c r="S833" i="1"/>
  <c r="R831" i="4" s="1"/>
  <c r="S844" i="1"/>
  <c r="R842" i="4" s="1"/>
  <c r="S855" i="1"/>
  <c r="R853" i="4" s="1"/>
  <c r="S864" i="1"/>
  <c r="R862" i="4" s="1"/>
  <c r="S875" i="1"/>
  <c r="R873" i="4" s="1"/>
  <c r="S886" i="1"/>
  <c r="R884" i="4" s="1"/>
  <c r="S897" i="1"/>
  <c r="R895" i="4" s="1"/>
  <c r="S908" i="1"/>
  <c r="R906" i="4" s="1"/>
  <c r="S919" i="1"/>
  <c r="R917" i="4" s="1"/>
  <c r="S930" i="1"/>
  <c r="R928" i="4" s="1"/>
  <c r="S941" i="1"/>
  <c r="R939" i="4" s="1"/>
  <c r="S952" i="1"/>
  <c r="R950" i="4" s="1"/>
  <c r="S963" i="1"/>
  <c r="R961" i="4" s="1"/>
  <c r="S972" i="1"/>
  <c r="R970" i="4" s="1"/>
  <c r="S983" i="1"/>
  <c r="R981" i="4" s="1"/>
  <c r="S990" i="1"/>
  <c r="R988" i="4" s="1"/>
  <c r="S993" i="1"/>
  <c r="R991" i="4" s="1"/>
  <c r="S996" i="1"/>
  <c r="R994" i="4" s="1"/>
  <c r="S1001" i="1"/>
  <c r="R999" i="4" s="1"/>
  <c r="S1004" i="1"/>
  <c r="R1002" i="4" s="1"/>
  <c r="S1007" i="1"/>
  <c r="R1005" i="4" s="1"/>
  <c r="S1012" i="1"/>
  <c r="R1010" i="4" s="1"/>
  <c r="S1015" i="1"/>
  <c r="R1013" i="4" s="1"/>
  <c r="S1018" i="1"/>
  <c r="R1016" i="4" s="1"/>
  <c r="S1023" i="1"/>
  <c r="R1021" i="4" s="1"/>
  <c r="S1026" i="1"/>
  <c r="R1024" i="4" s="1"/>
  <c r="S1029" i="1"/>
  <c r="R1027" i="4" s="1"/>
  <c r="S1032" i="1"/>
  <c r="R1030" i="4" s="1"/>
  <c r="S1037" i="1"/>
  <c r="R1035" i="4" s="1"/>
  <c r="S1040" i="1"/>
  <c r="R1038" i="4" s="1"/>
  <c r="S1043" i="1"/>
  <c r="R1041" i="4" s="1"/>
  <c r="U1047" i="1"/>
  <c r="T1045" i="4" s="1"/>
  <c r="U1050" i="1"/>
  <c r="T1048" i="4" s="1"/>
  <c r="U1053" i="1"/>
  <c r="T1051" i="4" s="1"/>
  <c r="U1056" i="1"/>
  <c r="T1054" i="4" s="1"/>
  <c r="U1061" i="1"/>
  <c r="T1059" i="4" s="1"/>
  <c r="U1064" i="1"/>
  <c r="T1062" i="4" s="1"/>
  <c r="U1067" i="1"/>
  <c r="T1065" i="4" s="1"/>
  <c r="U1072" i="1"/>
  <c r="T1070" i="4" s="1"/>
  <c r="U1075" i="1"/>
  <c r="T1073" i="4" s="1"/>
  <c r="U1078" i="1"/>
  <c r="T1076" i="4" s="1"/>
  <c r="U1083" i="1"/>
  <c r="T1081" i="4" s="1"/>
  <c r="U1086" i="1"/>
  <c r="T1084" i="4" s="1"/>
  <c r="U1089" i="1"/>
  <c r="T1087" i="4" s="1"/>
  <c r="U1092" i="1"/>
  <c r="T1090" i="4" s="1"/>
  <c r="U1097" i="1"/>
  <c r="T1095" i="4" s="1"/>
  <c r="U1100" i="1"/>
  <c r="T1098" i="4" s="1"/>
  <c r="U1103" i="1"/>
  <c r="T1101" i="4" s="1"/>
  <c r="U1108" i="1"/>
  <c r="T1106" i="4" s="1"/>
  <c r="U1111" i="1"/>
  <c r="T1109" i="4" s="1"/>
  <c r="U1114" i="1"/>
  <c r="T1112" i="4" s="1"/>
  <c r="U1119" i="1"/>
  <c r="T1117" i="4" s="1"/>
  <c r="U1122" i="1"/>
  <c r="T1120" i="4" s="1"/>
  <c r="U1125" i="1"/>
  <c r="T1123" i="4" s="1"/>
  <c r="U1128" i="1"/>
  <c r="T1126" i="4" s="1"/>
  <c r="U1133" i="1"/>
  <c r="T1131" i="4" s="1"/>
  <c r="U1136" i="1"/>
  <c r="T1134" i="4" s="1"/>
  <c r="U1139" i="1"/>
  <c r="T1137" i="4" s="1"/>
  <c r="U1144" i="1"/>
  <c r="T1142" i="4" s="1"/>
  <c r="U1147" i="1"/>
  <c r="T1145" i="4" s="1"/>
  <c r="U1150" i="1"/>
  <c r="T1148" i="4" s="1"/>
  <c r="U1155" i="1"/>
  <c r="T1153" i="4" s="1"/>
  <c r="U1158" i="1"/>
  <c r="T1156" i="4" s="1"/>
  <c r="U1161" i="1"/>
  <c r="T1159" i="4" s="1"/>
  <c r="U1164" i="1"/>
  <c r="T1162" i="4" s="1"/>
  <c r="U1169" i="1"/>
  <c r="T1167" i="4" s="1"/>
  <c r="U1172" i="1"/>
  <c r="T1170" i="4" s="1"/>
  <c r="U1175" i="1"/>
  <c r="T1173" i="4" s="1"/>
  <c r="U1180" i="1"/>
  <c r="T1178" i="4" s="1"/>
  <c r="U1183" i="1"/>
  <c r="T1181" i="4" s="1"/>
  <c r="U1186" i="1"/>
  <c r="T1184" i="4" s="1"/>
  <c r="U1191" i="1"/>
  <c r="T1189" i="4" s="1"/>
  <c r="T283" i="1"/>
  <c r="S281" i="4" s="1"/>
  <c r="R548" i="1"/>
  <c r="Q546" i="4" s="1"/>
  <c r="R592" i="1"/>
  <c r="Q590" i="4" s="1"/>
  <c r="R634" i="1"/>
  <c r="Q632" i="4" s="1"/>
  <c r="T667" i="1"/>
  <c r="S665" i="4" s="1"/>
  <c r="T700" i="1"/>
  <c r="S698" i="4" s="1"/>
  <c r="U725" i="1"/>
  <c r="T723" i="4" s="1"/>
  <c r="S751" i="1"/>
  <c r="R749" i="4" s="1"/>
  <c r="T767" i="1"/>
  <c r="S765" i="4" s="1"/>
  <c r="T778" i="1"/>
  <c r="S776" i="4" s="1"/>
  <c r="T789" i="1"/>
  <c r="S787" i="4" s="1"/>
  <c r="T800" i="1"/>
  <c r="S798" i="4" s="1"/>
  <c r="T811" i="1"/>
  <c r="S809" i="4" s="1"/>
  <c r="T822" i="1"/>
  <c r="S820" i="4" s="1"/>
  <c r="T833" i="1"/>
  <c r="S831" i="4" s="1"/>
  <c r="T844" i="1"/>
  <c r="S842" i="4" s="1"/>
  <c r="T855" i="1"/>
  <c r="S853" i="4" s="1"/>
  <c r="T864" i="1"/>
  <c r="S862" i="4" s="1"/>
  <c r="T875" i="1"/>
  <c r="S873" i="4" s="1"/>
  <c r="T886" i="1"/>
  <c r="S884" i="4" s="1"/>
  <c r="T897" i="1"/>
  <c r="S895" i="4" s="1"/>
  <c r="T908" i="1"/>
  <c r="S906" i="4" s="1"/>
  <c r="T919" i="1"/>
  <c r="S917" i="4" s="1"/>
  <c r="T930" i="1"/>
  <c r="S928" i="4" s="1"/>
  <c r="T941" i="1"/>
  <c r="S939" i="4" s="1"/>
  <c r="T952" i="1"/>
  <c r="S950" i="4" s="1"/>
  <c r="T963" i="1"/>
  <c r="S961" i="4" s="1"/>
  <c r="T972" i="1"/>
  <c r="S970" i="4" s="1"/>
  <c r="T983" i="1"/>
  <c r="S981" i="4" s="1"/>
  <c r="T990" i="1"/>
  <c r="S988" i="4" s="1"/>
  <c r="T993" i="1"/>
  <c r="S991" i="4" s="1"/>
  <c r="T996" i="1"/>
  <c r="S994" i="4" s="1"/>
  <c r="T1001" i="1"/>
  <c r="S999" i="4" s="1"/>
  <c r="T1004" i="1"/>
  <c r="S1002" i="4" s="1"/>
  <c r="T1007" i="1"/>
  <c r="S1005" i="4" s="1"/>
  <c r="T1012" i="1"/>
  <c r="S1010" i="4" s="1"/>
  <c r="T1015" i="1"/>
  <c r="S1013" i="4" s="1"/>
  <c r="T1018" i="1"/>
  <c r="S1016" i="4" s="1"/>
  <c r="T1023" i="1"/>
  <c r="S1021" i="4" s="1"/>
  <c r="T1026" i="1"/>
  <c r="S1024" i="4" s="1"/>
  <c r="T1029" i="1"/>
  <c r="S1027" i="4" s="1"/>
  <c r="T1032" i="1"/>
  <c r="S1030" i="4" s="1"/>
  <c r="T1037" i="1"/>
  <c r="S1035" i="4" s="1"/>
  <c r="T1040" i="1"/>
  <c r="S1038" i="4" s="1"/>
  <c r="T1043" i="1"/>
  <c r="S1041" i="4" s="1"/>
  <c r="R1048" i="1"/>
  <c r="Q1046" i="4" s="1"/>
  <c r="R1051" i="1"/>
  <c r="Q1049" i="4" s="1"/>
  <c r="R1054" i="1"/>
  <c r="Q1052" i="4" s="1"/>
  <c r="R1059" i="1"/>
  <c r="Q1057" i="4" s="1"/>
  <c r="R1062" i="1"/>
  <c r="Q1060" i="4" s="1"/>
  <c r="R1065" i="1"/>
  <c r="Q1063" i="4" s="1"/>
  <c r="R1068" i="1"/>
  <c r="Q1066" i="4" s="1"/>
  <c r="R1073" i="1"/>
  <c r="Q1071" i="4" s="1"/>
  <c r="R1076" i="1"/>
  <c r="Q1074" i="4" s="1"/>
  <c r="R1079" i="1"/>
  <c r="Q1077" i="4" s="1"/>
  <c r="R1084" i="1"/>
  <c r="Q1082" i="4" s="1"/>
  <c r="R1087" i="1"/>
  <c r="Q1085" i="4" s="1"/>
  <c r="R1090" i="1"/>
  <c r="Q1088" i="4" s="1"/>
  <c r="R1095" i="1"/>
  <c r="Q1093" i="4" s="1"/>
  <c r="R1098" i="1"/>
  <c r="Q1096" i="4" s="1"/>
  <c r="R1101" i="1"/>
  <c r="Q1099" i="4" s="1"/>
  <c r="R1104" i="1"/>
  <c r="Q1102" i="4" s="1"/>
  <c r="R1109" i="1"/>
  <c r="Q1107" i="4" s="1"/>
  <c r="R1112" i="1"/>
  <c r="Q1110" i="4" s="1"/>
  <c r="R1115" i="1"/>
  <c r="Q1113" i="4" s="1"/>
  <c r="R1120" i="1"/>
  <c r="Q1118" i="4" s="1"/>
  <c r="R1123" i="1"/>
  <c r="Q1121" i="4" s="1"/>
  <c r="R1126" i="1"/>
  <c r="Q1124" i="4" s="1"/>
  <c r="R1131" i="1"/>
  <c r="Q1129" i="4" s="1"/>
  <c r="R1134" i="1"/>
  <c r="Q1132" i="4" s="1"/>
  <c r="R1137" i="1"/>
  <c r="Q1135" i="4" s="1"/>
  <c r="R1140" i="1"/>
  <c r="Q1138" i="4" s="1"/>
  <c r="R1145" i="1"/>
  <c r="Q1143" i="4" s="1"/>
  <c r="R1148" i="1"/>
  <c r="Q1146" i="4" s="1"/>
  <c r="R1151" i="1"/>
  <c r="Q1149" i="4" s="1"/>
  <c r="R1156" i="1"/>
  <c r="Q1154" i="4" s="1"/>
  <c r="R1159" i="1"/>
  <c r="Q1157" i="4" s="1"/>
  <c r="R1162" i="1"/>
  <c r="Q1160" i="4" s="1"/>
  <c r="R1167" i="1"/>
  <c r="Q1165" i="4" s="1"/>
  <c r="R1170" i="1"/>
  <c r="Q1168" i="4" s="1"/>
  <c r="R1173" i="1"/>
  <c r="Q1171" i="4" s="1"/>
  <c r="R1176" i="1"/>
  <c r="Q1174" i="4" s="1"/>
  <c r="R1181" i="1"/>
  <c r="Q1179" i="4" s="1"/>
  <c r="R1184" i="1"/>
  <c r="Q1182" i="4" s="1"/>
  <c r="R1187" i="1"/>
  <c r="Q1185" i="4" s="1"/>
  <c r="R1192" i="1"/>
  <c r="Q1190" i="4" s="1"/>
  <c r="T297" i="1"/>
  <c r="S295" i="4" s="1"/>
  <c r="T548" i="1"/>
  <c r="S546" i="4" s="1"/>
  <c r="T592" i="1"/>
  <c r="S590" i="4" s="1"/>
  <c r="T634" i="1"/>
  <c r="S632" i="4" s="1"/>
  <c r="U667" i="1"/>
  <c r="T665" i="4" s="1"/>
  <c r="U700" i="1"/>
  <c r="T698" i="4" s="1"/>
  <c r="S726" i="1"/>
  <c r="R724" i="4" s="1"/>
  <c r="T751" i="1"/>
  <c r="S749" i="4" s="1"/>
  <c r="U767" i="1"/>
  <c r="T765" i="4" s="1"/>
  <c r="U778" i="1"/>
  <c r="T776" i="4" s="1"/>
  <c r="U789" i="1"/>
  <c r="T787" i="4" s="1"/>
  <c r="U800" i="1"/>
  <c r="T798" i="4" s="1"/>
  <c r="U811" i="1"/>
  <c r="T809" i="4" s="1"/>
  <c r="U822" i="1"/>
  <c r="T820" i="4" s="1"/>
  <c r="U833" i="1"/>
  <c r="T831" i="4" s="1"/>
  <c r="U844" i="1"/>
  <c r="T842" i="4" s="1"/>
  <c r="U855" i="1"/>
  <c r="T853" i="4" s="1"/>
  <c r="U864" i="1"/>
  <c r="T862" i="4" s="1"/>
  <c r="U875" i="1"/>
  <c r="T873" i="4" s="1"/>
  <c r="U886" i="1"/>
  <c r="T884" i="4" s="1"/>
  <c r="U897" i="1"/>
  <c r="T895" i="4" s="1"/>
  <c r="U908" i="1"/>
  <c r="T906" i="4" s="1"/>
  <c r="U919" i="1"/>
  <c r="T917" i="4" s="1"/>
  <c r="U930" i="1"/>
  <c r="T928" i="4" s="1"/>
  <c r="U941" i="1"/>
  <c r="T939" i="4" s="1"/>
  <c r="U952" i="1"/>
  <c r="T950" i="4" s="1"/>
  <c r="U963" i="1"/>
  <c r="T961" i="4" s="1"/>
  <c r="U972" i="1"/>
  <c r="T970" i="4" s="1"/>
  <c r="U983" i="1"/>
  <c r="T981" i="4" s="1"/>
  <c r="U990" i="1"/>
  <c r="T988" i="4" s="1"/>
  <c r="U993" i="1"/>
  <c r="T991" i="4" s="1"/>
  <c r="U996" i="1"/>
  <c r="T994" i="4" s="1"/>
  <c r="U1001" i="1"/>
  <c r="T999" i="4" s="1"/>
  <c r="U1004" i="1"/>
  <c r="T1002" i="4" s="1"/>
  <c r="U1007" i="1"/>
  <c r="T1005" i="4" s="1"/>
  <c r="U1012" i="1"/>
  <c r="T1010" i="4" s="1"/>
  <c r="U1015" i="1"/>
  <c r="T1013" i="4" s="1"/>
  <c r="U1018" i="1"/>
  <c r="T1016" i="4" s="1"/>
  <c r="U1023" i="1"/>
  <c r="T1021" i="4" s="1"/>
  <c r="U1026" i="1"/>
  <c r="T1024" i="4" s="1"/>
  <c r="U1029" i="1"/>
  <c r="T1027" i="4" s="1"/>
  <c r="U1032" i="1"/>
  <c r="T1030" i="4" s="1"/>
  <c r="U1037" i="1"/>
  <c r="T1035" i="4" s="1"/>
  <c r="U1040" i="1"/>
  <c r="T1038" i="4" s="1"/>
  <c r="U1043" i="1"/>
  <c r="T1041" i="4" s="1"/>
  <c r="S1048" i="1"/>
  <c r="R1046" i="4" s="1"/>
  <c r="S1051" i="1"/>
  <c r="R1049" i="4" s="1"/>
  <c r="S1054" i="1"/>
  <c r="R1052" i="4" s="1"/>
  <c r="S1059" i="1"/>
  <c r="R1057" i="4" s="1"/>
  <c r="S1062" i="1"/>
  <c r="R1060" i="4" s="1"/>
  <c r="S1065" i="1"/>
  <c r="R1063" i="4" s="1"/>
  <c r="S1068" i="1"/>
  <c r="R1066" i="4" s="1"/>
  <c r="S1073" i="1"/>
  <c r="R1071" i="4" s="1"/>
  <c r="S1076" i="1"/>
  <c r="R1074" i="4" s="1"/>
  <c r="S1079" i="1"/>
  <c r="R1077" i="4" s="1"/>
  <c r="S1084" i="1"/>
  <c r="R1082" i="4" s="1"/>
  <c r="S1087" i="1"/>
  <c r="R1085" i="4" s="1"/>
  <c r="S1090" i="1"/>
  <c r="R1088" i="4" s="1"/>
  <c r="S1095" i="1"/>
  <c r="R1093" i="4" s="1"/>
  <c r="S1098" i="1"/>
  <c r="R1096" i="4" s="1"/>
  <c r="S1101" i="1"/>
  <c r="R1099" i="4" s="1"/>
  <c r="S1104" i="1"/>
  <c r="R1102" i="4" s="1"/>
  <c r="S1109" i="1"/>
  <c r="R1107" i="4" s="1"/>
  <c r="S1112" i="1"/>
  <c r="R1110" i="4" s="1"/>
  <c r="S1115" i="1"/>
  <c r="R1113" i="4" s="1"/>
  <c r="S1120" i="1"/>
  <c r="R1118" i="4" s="1"/>
  <c r="S1123" i="1"/>
  <c r="R1121" i="4" s="1"/>
  <c r="S1126" i="1"/>
  <c r="R1124" i="4" s="1"/>
  <c r="S1131" i="1"/>
  <c r="R1129" i="4" s="1"/>
  <c r="S1134" i="1"/>
  <c r="R1132" i="4" s="1"/>
  <c r="S1137" i="1"/>
  <c r="R1135" i="4" s="1"/>
  <c r="S1140" i="1"/>
  <c r="R1138" i="4" s="1"/>
  <c r="S1145" i="1"/>
  <c r="R1143" i="4" s="1"/>
  <c r="S1148" i="1"/>
  <c r="R1146" i="4" s="1"/>
  <c r="S1151" i="1"/>
  <c r="R1149" i="4" s="1"/>
  <c r="S1156" i="1"/>
  <c r="R1154" i="4" s="1"/>
  <c r="S1159" i="1"/>
  <c r="R1157" i="4" s="1"/>
  <c r="S1162" i="1"/>
  <c r="R1160" i="4" s="1"/>
  <c r="S1167" i="1"/>
  <c r="R1165" i="4" s="1"/>
  <c r="S1170" i="1"/>
  <c r="R1168" i="4" s="1"/>
  <c r="S1173" i="1"/>
  <c r="R1171" i="4" s="1"/>
  <c r="S1176" i="1"/>
  <c r="R1174" i="4" s="1"/>
  <c r="S1181" i="1"/>
  <c r="R1179" i="4" s="1"/>
  <c r="S1184" i="1"/>
  <c r="R1182" i="4" s="1"/>
  <c r="S1187" i="1"/>
  <c r="R1185" i="4" s="1"/>
  <c r="T327" i="1"/>
  <c r="S325" i="4" s="1"/>
  <c r="R551" i="1"/>
  <c r="Q549" i="4" s="1"/>
  <c r="R595" i="1"/>
  <c r="Q593" i="4" s="1"/>
  <c r="R639" i="1"/>
  <c r="Q637" i="4" s="1"/>
  <c r="R670" i="1"/>
  <c r="Q668" i="4" s="1"/>
  <c r="T701" i="1"/>
  <c r="S699" i="4" s="1"/>
  <c r="R728" i="1"/>
  <c r="Q726" i="4" s="1"/>
  <c r="T753" i="1"/>
  <c r="S751" i="4" s="1"/>
  <c r="S768" i="1"/>
  <c r="R766" i="4" s="1"/>
  <c r="S779" i="1"/>
  <c r="R777" i="4" s="1"/>
  <c r="S790" i="1"/>
  <c r="R788" i="4" s="1"/>
  <c r="S801" i="1"/>
  <c r="R799" i="4" s="1"/>
  <c r="S812" i="1"/>
  <c r="R810" i="4" s="1"/>
  <c r="S823" i="1"/>
  <c r="R821" i="4" s="1"/>
  <c r="S834" i="1"/>
  <c r="R832" i="4" s="1"/>
  <c r="S845" i="1"/>
  <c r="R843" i="4" s="1"/>
  <c r="S856" i="1"/>
  <c r="R854" i="4" s="1"/>
  <c r="S867" i="1"/>
  <c r="R865" i="4" s="1"/>
  <c r="S876" i="1"/>
  <c r="R874" i="4" s="1"/>
  <c r="S887" i="1"/>
  <c r="R885" i="4" s="1"/>
  <c r="S898" i="1"/>
  <c r="R896" i="4" s="1"/>
  <c r="S909" i="1"/>
  <c r="R907" i="4" s="1"/>
  <c r="S920" i="1"/>
  <c r="R918" i="4" s="1"/>
  <c r="S931" i="1"/>
  <c r="R929" i="4" s="1"/>
  <c r="S942" i="1"/>
  <c r="R940" i="4" s="1"/>
  <c r="S953" i="1"/>
  <c r="R951" i="4" s="1"/>
  <c r="S964" i="1"/>
  <c r="R962" i="4" s="1"/>
  <c r="S975" i="1"/>
  <c r="R973" i="4" s="1"/>
  <c r="S984" i="1"/>
  <c r="R982" i="4" s="1"/>
  <c r="R991" i="1"/>
  <c r="Q989" i="4" s="1"/>
  <c r="R994" i="1"/>
  <c r="Q992" i="4" s="1"/>
  <c r="R999" i="1"/>
  <c r="Q997" i="4" s="1"/>
  <c r="R1002" i="1"/>
  <c r="Q1000" i="4" s="1"/>
  <c r="R1005" i="1"/>
  <c r="Q1003" i="4" s="1"/>
  <c r="R1008" i="1"/>
  <c r="Q1006" i="4" s="1"/>
  <c r="R1013" i="1"/>
  <c r="Q1011" i="4" s="1"/>
  <c r="R1016" i="1"/>
  <c r="Q1014" i="4" s="1"/>
  <c r="R1019" i="1"/>
  <c r="Q1017" i="4" s="1"/>
  <c r="R1024" i="1"/>
  <c r="Q1022" i="4" s="1"/>
  <c r="R1027" i="1"/>
  <c r="Q1025" i="4" s="1"/>
  <c r="R1030" i="1"/>
  <c r="Q1028" i="4" s="1"/>
  <c r="R1035" i="1"/>
  <c r="Q1033" i="4" s="1"/>
  <c r="R1038" i="1"/>
  <c r="Q1036" i="4" s="1"/>
  <c r="R1041" i="1"/>
  <c r="Q1039" i="4" s="1"/>
  <c r="R1044" i="1"/>
  <c r="Q1042" i="4" s="1"/>
  <c r="T1048" i="1"/>
  <c r="S1046" i="4" s="1"/>
  <c r="T1051" i="1"/>
  <c r="S1049" i="4" s="1"/>
  <c r="T1054" i="1"/>
  <c r="S1052" i="4" s="1"/>
  <c r="T1059" i="1"/>
  <c r="S1057" i="4" s="1"/>
  <c r="T1062" i="1"/>
  <c r="S1060" i="4" s="1"/>
  <c r="T1065" i="1"/>
  <c r="S1063" i="4" s="1"/>
  <c r="T1068" i="1"/>
  <c r="S1066" i="4" s="1"/>
  <c r="T1073" i="1"/>
  <c r="S1071" i="4" s="1"/>
  <c r="T1076" i="1"/>
  <c r="S1074" i="4" s="1"/>
  <c r="T1079" i="1"/>
  <c r="S1077" i="4" s="1"/>
  <c r="T1084" i="1"/>
  <c r="S1082" i="4" s="1"/>
  <c r="T1087" i="1"/>
  <c r="S1085" i="4" s="1"/>
  <c r="T1090" i="1"/>
  <c r="S1088" i="4" s="1"/>
  <c r="T1095" i="1"/>
  <c r="S1093" i="4" s="1"/>
  <c r="T1098" i="1"/>
  <c r="S1096" i="4" s="1"/>
  <c r="T1101" i="1"/>
  <c r="S1099" i="4" s="1"/>
  <c r="T1104" i="1"/>
  <c r="S1102" i="4" s="1"/>
  <c r="T1109" i="1"/>
  <c r="S1107" i="4" s="1"/>
  <c r="T1112" i="1"/>
  <c r="S1110" i="4" s="1"/>
  <c r="T1115" i="1"/>
  <c r="S1113" i="4" s="1"/>
  <c r="T1120" i="1"/>
  <c r="S1118" i="4" s="1"/>
  <c r="T1123" i="1"/>
  <c r="S1121" i="4" s="1"/>
  <c r="T1126" i="1"/>
  <c r="S1124" i="4" s="1"/>
  <c r="T1131" i="1"/>
  <c r="S1129" i="4" s="1"/>
  <c r="T1134" i="1"/>
  <c r="S1132" i="4" s="1"/>
  <c r="T1137" i="1"/>
  <c r="S1135" i="4" s="1"/>
  <c r="T1140" i="1"/>
  <c r="S1138" i="4" s="1"/>
  <c r="T1145" i="1"/>
  <c r="S1143" i="4" s="1"/>
  <c r="T1148" i="1"/>
  <c r="S1146" i="4" s="1"/>
  <c r="T1151" i="1"/>
  <c r="S1149" i="4" s="1"/>
  <c r="T1156" i="1"/>
  <c r="S1154" i="4" s="1"/>
  <c r="T1159" i="1"/>
  <c r="S1157" i="4" s="1"/>
  <c r="T1162" i="1"/>
  <c r="S1160" i="4" s="1"/>
  <c r="T1167" i="1"/>
  <c r="S1165" i="4" s="1"/>
  <c r="T1170" i="1"/>
  <c r="S1168" i="4" s="1"/>
  <c r="T1173" i="1"/>
  <c r="S1171" i="4" s="1"/>
  <c r="T1176" i="1"/>
  <c r="S1174" i="4" s="1"/>
  <c r="T1181" i="1"/>
  <c r="S1179" i="4" s="1"/>
  <c r="T1184" i="1"/>
  <c r="S1182" i="4" s="1"/>
  <c r="T1187" i="1"/>
  <c r="S1185" i="4" s="1"/>
  <c r="R606" i="1"/>
  <c r="Q604" i="4" s="1"/>
  <c r="T732" i="1"/>
  <c r="S730" i="4" s="1"/>
  <c r="T792" i="1"/>
  <c r="S790" i="4" s="1"/>
  <c r="T836" i="1"/>
  <c r="S834" i="4" s="1"/>
  <c r="T880" i="1"/>
  <c r="S878" i="4" s="1"/>
  <c r="T922" i="1"/>
  <c r="S920" i="4" s="1"/>
  <c r="T966" i="1"/>
  <c r="S964" i="4" s="1"/>
  <c r="T994" i="1"/>
  <c r="S992" i="4" s="1"/>
  <c r="T1008" i="1"/>
  <c r="S1006" i="4" s="1"/>
  <c r="T1024" i="1"/>
  <c r="S1022" i="4" s="1"/>
  <c r="T1038" i="1"/>
  <c r="S1036" i="4" s="1"/>
  <c r="R1052" i="1"/>
  <c r="Q1050" i="4" s="1"/>
  <c r="R1066" i="1"/>
  <c r="Q1064" i="4" s="1"/>
  <c r="R1080" i="1"/>
  <c r="Q1078" i="4" s="1"/>
  <c r="R1096" i="1"/>
  <c r="Q1094" i="4" s="1"/>
  <c r="R1110" i="1"/>
  <c r="Q1108" i="4" s="1"/>
  <c r="R1124" i="1"/>
  <c r="Q1122" i="4" s="1"/>
  <c r="R1138" i="1"/>
  <c r="Q1136" i="4" s="1"/>
  <c r="R1152" i="1"/>
  <c r="Q1150" i="4" s="1"/>
  <c r="R1168" i="1"/>
  <c r="Q1166" i="4" s="1"/>
  <c r="R1182" i="1"/>
  <c r="Q1180" i="4" s="1"/>
  <c r="R1193" i="1"/>
  <c r="Q1191" i="4" s="1"/>
  <c r="R1196" i="1"/>
  <c r="Q1194" i="4" s="1"/>
  <c r="R1199" i="1"/>
  <c r="Q1197" i="4" s="1"/>
  <c r="R1204" i="1"/>
  <c r="Q1202" i="4" s="1"/>
  <c r="R1207" i="1"/>
  <c r="Q1205" i="4" s="1"/>
  <c r="R1210" i="1"/>
  <c r="Q1208" i="4" s="1"/>
  <c r="R1215" i="1"/>
  <c r="Q1213" i="4" s="1"/>
  <c r="R1218" i="1"/>
  <c r="Q1216" i="4" s="1"/>
  <c r="R1221" i="1"/>
  <c r="Q1219" i="4" s="1"/>
  <c r="R1224" i="1"/>
  <c r="Q1222" i="4" s="1"/>
  <c r="R1229" i="1"/>
  <c r="Q1227" i="4" s="1"/>
  <c r="R1232" i="1"/>
  <c r="Q1230" i="4" s="1"/>
  <c r="R1235" i="1"/>
  <c r="Q1233" i="4" s="1"/>
  <c r="R1240" i="1"/>
  <c r="Q1238" i="4" s="1"/>
  <c r="R1243" i="1"/>
  <c r="Q1241" i="4" s="1"/>
  <c r="R1246" i="1"/>
  <c r="Q1244" i="4" s="1"/>
  <c r="R1251" i="1"/>
  <c r="Q1249" i="4" s="1"/>
  <c r="R1254" i="1"/>
  <c r="Q1252" i="4" s="1"/>
  <c r="R1257" i="1"/>
  <c r="Q1255" i="4" s="1"/>
  <c r="R1260" i="1"/>
  <c r="Q1258" i="4" s="1"/>
  <c r="R1265" i="1"/>
  <c r="Q1263" i="4" s="1"/>
  <c r="R1268" i="1"/>
  <c r="Q1266" i="4" s="1"/>
  <c r="R1271" i="1"/>
  <c r="Q1269" i="4" s="1"/>
  <c r="R1276" i="1"/>
  <c r="Q1274" i="4" s="1"/>
  <c r="R1279" i="1"/>
  <c r="Q1277" i="4" s="1"/>
  <c r="R1282" i="1"/>
  <c r="Q1280" i="4" s="1"/>
  <c r="R1287" i="1"/>
  <c r="Q1285" i="4" s="1"/>
  <c r="R1290" i="1"/>
  <c r="Q1288" i="4" s="1"/>
  <c r="R1293" i="1"/>
  <c r="Q1291" i="4" s="1"/>
  <c r="R1296" i="1"/>
  <c r="Q1294" i="4" s="1"/>
  <c r="R1301" i="1"/>
  <c r="Q1299" i="4" s="1"/>
  <c r="R1304" i="1"/>
  <c r="Q1302" i="4" s="1"/>
  <c r="R1307" i="1"/>
  <c r="Q1305" i="4" s="1"/>
  <c r="R1312" i="1"/>
  <c r="Q1310" i="4" s="1"/>
  <c r="R1315" i="1"/>
  <c r="Q1313" i="4" s="1"/>
  <c r="R1318" i="1"/>
  <c r="Q1316" i="4" s="1"/>
  <c r="R1323" i="1"/>
  <c r="Q1321" i="4" s="1"/>
  <c r="R1326" i="1"/>
  <c r="Q1324" i="4" s="1"/>
  <c r="R1329" i="1"/>
  <c r="Q1327" i="4" s="1"/>
  <c r="R1332" i="1"/>
  <c r="Q1330" i="4" s="1"/>
  <c r="R1337" i="1"/>
  <c r="Q1335" i="4" s="1"/>
  <c r="R1340" i="1"/>
  <c r="Q1338" i="4" s="1"/>
  <c r="R1343" i="1"/>
  <c r="Q1341" i="4" s="1"/>
  <c r="R1348" i="1"/>
  <c r="Q1346" i="4" s="1"/>
  <c r="R1351" i="1"/>
  <c r="Q1349" i="4" s="1"/>
  <c r="R1354" i="1"/>
  <c r="Q1352" i="4" s="1"/>
  <c r="R1359" i="1"/>
  <c r="Q1357" i="4" s="1"/>
  <c r="R1362" i="1"/>
  <c r="Q1360" i="4" s="1"/>
  <c r="R1365" i="1"/>
  <c r="Q1363" i="4" s="1"/>
  <c r="R1368" i="1"/>
  <c r="Q1366" i="4" s="1"/>
  <c r="R1373" i="1"/>
  <c r="Q1371" i="4" s="1"/>
  <c r="T606" i="1"/>
  <c r="S604" i="4" s="1"/>
  <c r="R736" i="1"/>
  <c r="Q734" i="4" s="1"/>
  <c r="U792" i="1"/>
  <c r="T790" i="4" s="1"/>
  <c r="U836" i="1"/>
  <c r="T834" i="4" s="1"/>
  <c r="U880" i="1"/>
  <c r="T878" i="4" s="1"/>
  <c r="U922" i="1"/>
  <c r="T920" i="4" s="1"/>
  <c r="U966" i="1"/>
  <c r="T964" i="4" s="1"/>
  <c r="U994" i="1"/>
  <c r="T992" i="4" s="1"/>
  <c r="U1008" i="1"/>
  <c r="T1006" i="4" s="1"/>
  <c r="U1024" i="1"/>
  <c r="T1022" i="4" s="1"/>
  <c r="U1038" i="1"/>
  <c r="T1036" i="4" s="1"/>
  <c r="S1052" i="1"/>
  <c r="R1050" i="4" s="1"/>
  <c r="S1066" i="1"/>
  <c r="R1064" i="4" s="1"/>
  <c r="S1080" i="1"/>
  <c r="R1078" i="4" s="1"/>
  <c r="S1096" i="1"/>
  <c r="R1094" i="4" s="1"/>
  <c r="S1110" i="1"/>
  <c r="R1108" i="4" s="1"/>
  <c r="S1124" i="1"/>
  <c r="R1122" i="4" s="1"/>
  <c r="S1138" i="1"/>
  <c r="R1136" i="4" s="1"/>
  <c r="S1152" i="1"/>
  <c r="R1150" i="4" s="1"/>
  <c r="S1168" i="1"/>
  <c r="R1166" i="4" s="1"/>
  <c r="S1182" i="1"/>
  <c r="R1180" i="4" s="1"/>
  <c r="S1193" i="1"/>
  <c r="R1191" i="4" s="1"/>
  <c r="S1196" i="1"/>
  <c r="R1194" i="4" s="1"/>
  <c r="S1199" i="1"/>
  <c r="R1197" i="4" s="1"/>
  <c r="S1204" i="1"/>
  <c r="R1202" i="4" s="1"/>
  <c r="S1207" i="1"/>
  <c r="R1205" i="4" s="1"/>
  <c r="S1210" i="1"/>
  <c r="R1208" i="4" s="1"/>
  <c r="S1215" i="1"/>
  <c r="R1213" i="4" s="1"/>
  <c r="S1218" i="1"/>
  <c r="R1216" i="4" s="1"/>
  <c r="S1221" i="1"/>
  <c r="R1219" i="4" s="1"/>
  <c r="S1224" i="1"/>
  <c r="R1222" i="4" s="1"/>
  <c r="S1229" i="1"/>
  <c r="R1227" i="4" s="1"/>
  <c r="S1232" i="1"/>
  <c r="R1230" i="4" s="1"/>
  <c r="S1235" i="1"/>
  <c r="R1233" i="4" s="1"/>
  <c r="S1240" i="1"/>
  <c r="R1238" i="4" s="1"/>
  <c r="S1243" i="1"/>
  <c r="R1241" i="4" s="1"/>
  <c r="S1246" i="1"/>
  <c r="R1244" i="4" s="1"/>
  <c r="S1251" i="1"/>
  <c r="R1249" i="4" s="1"/>
  <c r="S1254" i="1"/>
  <c r="R1252" i="4" s="1"/>
  <c r="S1257" i="1"/>
  <c r="R1255" i="4" s="1"/>
  <c r="S1260" i="1"/>
  <c r="R1258" i="4" s="1"/>
  <c r="S1265" i="1"/>
  <c r="R1263" i="4" s="1"/>
  <c r="S1268" i="1"/>
  <c r="R1266" i="4" s="1"/>
  <c r="S1271" i="1"/>
  <c r="R1269" i="4" s="1"/>
  <c r="S1276" i="1"/>
  <c r="R1274" i="4" s="1"/>
  <c r="S1279" i="1"/>
  <c r="R1277" i="4" s="1"/>
  <c r="S1282" i="1"/>
  <c r="R1280" i="4" s="1"/>
  <c r="S1287" i="1"/>
  <c r="R1285" i="4" s="1"/>
  <c r="S1290" i="1"/>
  <c r="R1288" i="4" s="1"/>
  <c r="S1293" i="1"/>
  <c r="R1291" i="4" s="1"/>
  <c r="S1296" i="1"/>
  <c r="R1294" i="4" s="1"/>
  <c r="S1301" i="1"/>
  <c r="R1299" i="4" s="1"/>
  <c r="S1304" i="1"/>
  <c r="R1302" i="4" s="1"/>
  <c r="S1307" i="1"/>
  <c r="R1305" i="4" s="1"/>
  <c r="S1312" i="1"/>
  <c r="R1310" i="4" s="1"/>
  <c r="S1315" i="1"/>
  <c r="R1313" i="4" s="1"/>
  <c r="S1318" i="1"/>
  <c r="R1316" i="4" s="1"/>
  <c r="S1323" i="1"/>
  <c r="R1321" i="4" s="1"/>
  <c r="S1326" i="1"/>
  <c r="R1324" i="4" s="1"/>
  <c r="S1329" i="1"/>
  <c r="R1327" i="4" s="1"/>
  <c r="S1332" i="1"/>
  <c r="R1330" i="4" s="1"/>
  <c r="S1337" i="1"/>
  <c r="R1335" i="4" s="1"/>
  <c r="S1340" i="1"/>
  <c r="R1338" i="4" s="1"/>
  <c r="S1343" i="1"/>
  <c r="R1341" i="4" s="1"/>
  <c r="S1348" i="1"/>
  <c r="R1346" i="4" s="1"/>
  <c r="S1351" i="1"/>
  <c r="R1349" i="4" s="1"/>
  <c r="S1354" i="1"/>
  <c r="R1352" i="4" s="1"/>
  <c r="S1359" i="1"/>
  <c r="R1357" i="4" s="1"/>
  <c r="S1362" i="1"/>
  <c r="R1360" i="4" s="1"/>
  <c r="S1365" i="1"/>
  <c r="R1363" i="4" s="1"/>
  <c r="S1368" i="1"/>
  <c r="R1366" i="4" s="1"/>
  <c r="S1373" i="1"/>
  <c r="R1371" i="4" s="1"/>
  <c r="R645" i="1"/>
  <c r="Q643" i="4" s="1"/>
  <c r="T759" i="1"/>
  <c r="S757" i="4" s="1"/>
  <c r="S803" i="1"/>
  <c r="R801" i="4" s="1"/>
  <c r="S847" i="1"/>
  <c r="R845" i="4" s="1"/>
  <c r="S891" i="1"/>
  <c r="R889" i="4" s="1"/>
  <c r="S933" i="1"/>
  <c r="R931" i="4" s="1"/>
  <c r="S977" i="1"/>
  <c r="R975" i="4" s="1"/>
  <c r="S999" i="1"/>
  <c r="R997" i="4" s="1"/>
  <c r="S1013" i="1"/>
  <c r="R1011" i="4" s="1"/>
  <c r="S1027" i="1"/>
  <c r="R1025" i="4" s="1"/>
  <c r="S1041" i="1"/>
  <c r="R1039" i="4" s="1"/>
  <c r="U1054" i="1"/>
  <c r="T1052" i="4" s="1"/>
  <c r="U1068" i="1"/>
  <c r="T1066" i="4" s="1"/>
  <c r="U1084" i="1"/>
  <c r="T1082" i="4" s="1"/>
  <c r="U1098" i="1"/>
  <c r="T1096" i="4" s="1"/>
  <c r="U1112" i="1"/>
  <c r="T1110" i="4" s="1"/>
  <c r="U1126" i="1"/>
  <c r="T1124" i="4" s="1"/>
  <c r="U1140" i="1"/>
  <c r="T1138" i="4" s="1"/>
  <c r="U1156" i="1"/>
  <c r="T1154" i="4" s="1"/>
  <c r="U1170" i="1"/>
  <c r="T1168" i="4" s="1"/>
  <c r="U1184" i="1"/>
  <c r="T1182" i="4" s="1"/>
  <c r="T1193" i="1"/>
  <c r="S1191" i="4" s="1"/>
  <c r="T1196" i="1"/>
  <c r="S1194" i="4" s="1"/>
  <c r="T1199" i="1"/>
  <c r="S1197" i="4" s="1"/>
  <c r="T1204" i="1"/>
  <c r="S1202" i="4" s="1"/>
  <c r="T1207" i="1"/>
  <c r="S1205" i="4" s="1"/>
  <c r="T1210" i="1"/>
  <c r="S1208" i="4" s="1"/>
  <c r="T1215" i="1"/>
  <c r="S1213" i="4" s="1"/>
  <c r="T1218" i="1"/>
  <c r="S1216" i="4" s="1"/>
  <c r="T1221" i="1"/>
  <c r="S1219" i="4" s="1"/>
  <c r="T1224" i="1"/>
  <c r="S1222" i="4" s="1"/>
  <c r="T1229" i="1"/>
  <c r="S1227" i="4" s="1"/>
  <c r="T1232" i="1"/>
  <c r="S1230" i="4" s="1"/>
  <c r="T1235" i="1"/>
  <c r="S1233" i="4" s="1"/>
  <c r="T1240" i="1"/>
  <c r="S1238" i="4" s="1"/>
  <c r="T1243" i="1"/>
  <c r="S1241" i="4" s="1"/>
  <c r="T1246" i="1"/>
  <c r="S1244" i="4" s="1"/>
  <c r="T1251" i="1"/>
  <c r="S1249" i="4" s="1"/>
  <c r="T1254" i="1"/>
  <c r="S1252" i="4" s="1"/>
  <c r="T1257" i="1"/>
  <c r="S1255" i="4" s="1"/>
  <c r="T1260" i="1"/>
  <c r="S1258" i="4" s="1"/>
  <c r="T1265" i="1"/>
  <c r="S1263" i="4" s="1"/>
  <c r="T1268" i="1"/>
  <c r="S1266" i="4" s="1"/>
  <c r="T1271" i="1"/>
  <c r="S1269" i="4" s="1"/>
  <c r="T1276" i="1"/>
  <c r="S1274" i="4" s="1"/>
  <c r="T1279" i="1"/>
  <c r="S1277" i="4" s="1"/>
  <c r="T1282" i="1"/>
  <c r="S1280" i="4" s="1"/>
  <c r="T1287" i="1"/>
  <c r="S1285" i="4" s="1"/>
  <c r="T1290" i="1"/>
  <c r="S1288" i="4" s="1"/>
  <c r="T1293" i="1"/>
  <c r="S1291" i="4" s="1"/>
  <c r="T1296" i="1"/>
  <c r="S1294" i="4" s="1"/>
  <c r="T1301" i="1"/>
  <c r="S1299" i="4" s="1"/>
  <c r="T1304" i="1"/>
  <c r="S1302" i="4" s="1"/>
  <c r="T1307" i="1"/>
  <c r="S1305" i="4" s="1"/>
  <c r="T1312" i="1"/>
  <c r="S1310" i="4" s="1"/>
  <c r="T1315" i="1"/>
  <c r="S1313" i="4" s="1"/>
  <c r="T1318" i="1"/>
  <c r="S1316" i="4" s="1"/>
  <c r="T1323" i="1"/>
  <c r="S1321" i="4" s="1"/>
  <c r="T1326" i="1"/>
  <c r="S1324" i="4" s="1"/>
  <c r="T1329" i="1"/>
  <c r="S1327" i="4" s="1"/>
  <c r="T1332" i="1"/>
  <c r="S1330" i="4" s="1"/>
  <c r="T1337" i="1"/>
  <c r="S1335" i="4" s="1"/>
  <c r="T1340" i="1"/>
  <c r="S1338" i="4" s="1"/>
  <c r="T1343" i="1"/>
  <c r="S1341" i="4" s="1"/>
  <c r="T1348" i="1"/>
  <c r="S1346" i="4" s="1"/>
  <c r="T1351" i="1"/>
  <c r="S1349" i="4" s="1"/>
  <c r="T1354" i="1"/>
  <c r="S1352" i="4" s="1"/>
  <c r="T1359" i="1"/>
  <c r="S1357" i="4" s="1"/>
  <c r="T1362" i="1"/>
  <c r="S1360" i="4" s="1"/>
  <c r="T1365" i="1"/>
  <c r="S1363" i="4" s="1"/>
  <c r="T1368" i="1"/>
  <c r="S1366" i="4" s="1"/>
  <c r="T1373" i="1"/>
  <c r="S1371" i="4" s="1"/>
  <c r="T645" i="1"/>
  <c r="S643" i="4" s="1"/>
  <c r="R761" i="1"/>
  <c r="Q759" i="4" s="1"/>
  <c r="T803" i="1"/>
  <c r="S801" i="4" s="1"/>
  <c r="T847" i="1"/>
  <c r="S845" i="4" s="1"/>
  <c r="T891" i="1"/>
  <c r="S889" i="4" s="1"/>
  <c r="T933" i="1"/>
  <c r="S931" i="4" s="1"/>
  <c r="T977" i="1"/>
  <c r="S975" i="4" s="1"/>
  <c r="T999" i="1"/>
  <c r="S997" i="4" s="1"/>
  <c r="T1013" i="1"/>
  <c r="S1011" i="4" s="1"/>
  <c r="T1027" i="1"/>
  <c r="S1025" i="4" s="1"/>
  <c r="T1041" i="1"/>
  <c r="S1039" i="4" s="1"/>
  <c r="R1055" i="1"/>
  <c r="Q1053" i="4" s="1"/>
  <c r="R1071" i="1"/>
  <c r="Q1069" i="4" s="1"/>
  <c r="R1085" i="1"/>
  <c r="Q1083" i="4" s="1"/>
  <c r="R1099" i="1"/>
  <c r="Q1097" i="4" s="1"/>
  <c r="R1113" i="1"/>
  <c r="Q1111" i="4" s="1"/>
  <c r="R1127" i="1"/>
  <c r="Q1125" i="4" s="1"/>
  <c r="R1143" i="1"/>
  <c r="Q1141" i="4" s="1"/>
  <c r="R1157" i="1"/>
  <c r="Q1155" i="4" s="1"/>
  <c r="R1171" i="1"/>
  <c r="Q1169" i="4" s="1"/>
  <c r="R1185" i="1"/>
  <c r="Q1183" i="4" s="1"/>
  <c r="U1193" i="1"/>
  <c r="T1191" i="4" s="1"/>
  <c r="U1196" i="1"/>
  <c r="T1194" i="4" s="1"/>
  <c r="U1199" i="1"/>
  <c r="T1197" i="4" s="1"/>
  <c r="U1204" i="1"/>
  <c r="T1202" i="4" s="1"/>
  <c r="U1207" i="1"/>
  <c r="T1205" i="4" s="1"/>
  <c r="U1210" i="1"/>
  <c r="T1208" i="4" s="1"/>
  <c r="U1215" i="1"/>
  <c r="T1213" i="4" s="1"/>
  <c r="U1218" i="1"/>
  <c r="T1216" i="4" s="1"/>
  <c r="U1221" i="1"/>
  <c r="T1219" i="4" s="1"/>
  <c r="U1224" i="1"/>
  <c r="T1222" i="4" s="1"/>
  <c r="U1229" i="1"/>
  <c r="T1227" i="4" s="1"/>
  <c r="U1232" i="1"/>
  <c r="T1230" i="4" s="1"/>
  <c r="U1235" i="1"/>
  <c r="T1233" i="4" s="1"/>
  <c r="U1240" i="1"/>
  <c r="T1238" i="4" s="1"/>
  <c r="U1243" i="1"/>
  <c r="T1241" i="4" s="1"/>
  <c r="U1246" i="1"/>
  <c r="T1244" i="4" s="1"/>
  <c r="U1251" i="1"/>
  <c r="T1249" i="4" s="1"/>
  <c r="U1254" i="1"/>
  <c r="T1252" i="4" s="1"/>
  <c r="U1257" i="1"/>
  <c r="T1255" i="4" s="1"/>
  <c r="U1260" i="1"/>
  <c r="T1258" i="4" s="1"/>
  <c r="U1265" i="1"/>
  <c r="T1263" i="4" s="1"/>
  <c r="U1268" i="1"/>
  <c r="T1266" i="4" s="1"/>
  <c r="U1271" i="1"/>
  <c r="T1269" i="4" s="1"/>
  <c r="U1276" i="1"/>
  <c r="T1274" i="4" s="1"/>
  <c r="U1279" i="1"/>
  <c r="T1277" i="4" s="1"/>
  <c r="U1282" i="1"/>
  <c r="T1280" i="4" s="1"/>
  <c r="U1287" i="1"/>
  <c r="T1285" i="4" s="1"/>
  <c r="U1290" i="1"/>
  <c r="T1288" i="4" s="1"/>
  <c r="U1293" i="1"/>
  <c r="T1291" i="4" s="1"/>
  <c r="U1296" i="1"/>
  <c r="T1294" i="4" s="1"/>
  <c r="U1301" i="1"/>
  <c r="T1299" i="4" s="1"/>
  <c r="U1304" i="1"/>
  <c r="T1302" i="4" s="1"/>
  <c r="U1307" i="1"/>
  <c r="T1305" i="4" s="1"/>
  <c r="U1312" i="1"/>
  <c r="T1310" i="4" s="1"/>
  <c r="U1315" i="1"/>
  <c r="T1313" i="4" s="1"/>
  <c r="U1318" i="1"/>
  <c r="T1316" i="4" s="1"/>
  <c r="U1323" i="1"/>
  <c r="T1321" i="4" s="1"/>
  <c r="U1326" i="1"/>
  <c r="T1324" i="4" s="1"/>
  <c r="U1329" i="1"/>
  <c r="T1327" i="4" s="1"/>
  <c r="U1332" i="1"/>
  <c r="T1330" i="4" s="1"/>
  <c r="U1337" i="1"/>
  <c r="T1335" i="4" s="1"/>
  <c r="U1340" i="1"/>
  <c r="T1338" i="4" s="1"/>
  <c r="U1343" i="1"/>
  <c r="T1341" i="4" s="1"/>
  <c r="U1348" i="1"/>
  <c r="T1346" i="4" s="1"/>
  <c r="U1351" i="1"/>
  <c r="T1349" i="4" s="1"/>
  <c r="U1354" i="1"/>
  <c r="T1352" i="4" s="1"/>
  <c r="U1359" i="1"/>
  <c r="T1357" i="4" s="1"/>
  <c r="U1362" i="1"/>
  <c r="T1360" i="4" s="1"/>
  <c r="U1365" i="1"/>
  <c r="T1363" i="4" s="1"/>
  <c r="U1368" i="1"/>
  <c r="T1366" i="4" s="1"/>
  <c r="U1373" i="1"/>
  <c r="T1371" i="4" s="1"/>
  <c r="U645" i="1"/>
  <c r="T643" i="4" s="1"/>
  <c r="T761" i="1"/>
  <c r="S759" i="4" s="1"/>
  <c r="U803" i="1"/>
  <c r="T801" i="4" s="1"/>
  <c r="U847" i="1"/>
  <c r="T845" i="4" s="1"/>
  <c r="U891" i="1"/>
  <c r="T889" i="4" s="1"/>
  <c r="U933" i="1"/>
  <c r="T931" i="4" s="1"/>
  <c r="U977" i="1"/>
  <c r="T975" i="4" s="1"/>
  <c r="U999" i="1"/>
  <c r="T997" i="4" s="1"/>
  <c r="U1013" i="1"/>
  <c r="T1011" i="4" s="1"/>
  <c r="U1027" i="1"/>
  <c r="T1025" i="4" s="1"/>
  <c r="U1041" i="1"/>
  <c r="T1039" i="4" s="1"/>
  <c r="S1055" i="1"/>
  <c r="R1053" i="4" s="1"/>
  <c r="S1071" i="1"/>
  <c r="R1069" i="4" s="1"/>
  <c r="S1085" i="1"/>
  <c r="R1083" i="4" s="1"/>
  <c r="S1099" i="1"/>
  <c r="R1097" i="4" s="1"/>
  <c r="S1113" i="1"/>
  <c r="R1111" i="4" s="1"/>
  <c r="S1127" i="1"/>
  <c r="R1125" i="4" s="1"/>
  <c r="S1143" i="1"/>
  <c r="R1141" i="4" s="1"/>
  <c r="S1157" i="1"/>
  <c r="R1155" i="4" s="1"/>
  <c r="S1171" i="1"/>
  <c r="R1169" i="4" s="1"/>
  <c r="S1185" i="1"/>
  <c r="R1183" i="4" s="1"/>
  <c r="R1194" i="1"/>
  <c r="Q1192" i="4" s="1"/>
  <c r="R1197" i="1"/>
  <c r="Q1195" i="4" s="1"/>
  <c r="R1200" i="1"/>
  <c r="Q1198" i="4" s="1"/>
  <c r="R1205" i="1"/>
  <c r="Q1203" i="4" s="1"/>
  <c r="R1208" i="1"/>
  <c r="Q1206" i="4" s="1"/>
  <c r="R1211" i="1"/>
  <c r="Q1209" i="4" s="1"/>
  <c r="R1216" i="1"/>
  <c r="Q1214" i="4" s="1"/>
  <c r="R1219" i="1"/>
  <c r="Q1217" i="4" s="1"/>
  <c r="R1222" i="1"/>
  <c r="Q1220" i="4" s="1"/>
  <c r="R1227" i="1"/>
  <c r="Q1225" i="4" s="1"/>
  <c r="R1230" i="1"/>
  <c r="Q1228" i="4" s="1"/>
  <c r="R1233" i="1"/>
  <c r="Q1231" i="4" s="1"/>
  <c r="R1236" i="1"/>
  <c r="Q1234" i="4" s="1"/>
  <c r="R1241" i="1"/>
  <c r="Q1239" i="4" s="1"/>
  <c r="R1244" i="1"/>
  <c r="Q1242" i="4" s="1"/>
  <c r="R1247" i="1"/>
  <c r="Q1245" i="4" s="1"/>
  <c r="R1252" i="1"/>
  <c r="Q1250" i="4" s="1"/>
  <c r="R1255" i="1"/>
  <c r="Q1253" i="4" s="1"/>
  <c r="R1258" i="1"/>
  <c r="Q1256" i="4" s="1"/>
  <c r="R1263" i="1"/>
  <c r="Q1261" i="4" s="1"/>
  <c r="R1266" i="1"/>
  <c r="Q1264" i="4" s="1"/>
  <c r="R1269" i="1"/>
  <c r="Q1267" i="4" s="1"/>
  <c r="R1272" i="1"/>
  <c r="Q1270" i="4" s="1"/>
  <c r="R1277" i="1"/>
  <c r="Q1275" i="4" s="1"/>
  <c r="R1280" i="1"/>
  <c r="Q1278" i="4" s="1"/>
  <c r="R1283" i="1"/>
  <c r="Q1281" i="4" s="1"/>
  <c r="R1288" i="1"/>
  <c r="Q1286" i="4" s="1"/>
  <c r="R1291" i="1"/>
  <c r="Q1289" i="4" s="1"/>
  <c r="R1294" i="1"/>
  <c r="Q1292" i="4" s="1"/>
  <c r="R1299" i="1"/>
  <c r="Q1297" i="4" s="1"/>
  <c r="R1302" i="1"/>
  <c r="Q1300" i="4" s="1"/>
  <c r="R1305" i="1"/>
  <c r="Q1303" i="4" s="1"/>
  <c r="R1308" i="1"/>
  <c r="Q1306" i="4" s="1"/>
  <c r="R1313" i="1"/>
  <c r="Q1311" i="4" s="1"/>
  <c r="R1316" i="1"/>
  <c r="Q1314" i="4" s="1"/>
  <c r="R1319" i="1"/>
  <c r="Q1317" i="4" s="1"/>
  <c r="R1324" i="1"/>
  <c r="Q1322" i="4" s="1"/>
  <c r="R1327" i="1"/>
  <c r="Q1325" i="4" s="1"/>
  <c r="R1330" i="1"/>
  <c r="Q1328" i="4" s="1"/>
  <c r="R1335" i="1"/>
  <c r="Q1333" i="4" s="1"/>
  <c r="R1338" i="1"/>
  <c r="Q1336" i="4" s="1"/>
  <c r="R1341" i="1"/>
  <c r="Q1339" i="4" s="1"/>
  <c r="R1344" i="1"/>
  <c r="Q1342" i="4" s="1"/>
  <c r="R1349" i="1"/>
  <c r="Q1347" i="4" s="1"/>
  <c r="R1352" i="1"/>
  <c r="Q1350" i="4" s="1"/>
  <c r="R1355" i="1"/>
  <c r="Q1353" i="4" s="1"/>
  <c r="R1360" i="1"/>
  <c r="Q1358" i="4" s="1"/>
  <c r="R1363" i="1"/>
  <c r="Q1361" i="4" s="1"/>
  <c r="R1366" i="1"/>
  <c r="Q1364" i="4" s="1"/>
  <c r="R1371" i="1"/>
  <c r="Q1369" i="4" s="1"/>
  <c r="T413" i="1"/>
  <c r="S411" i="4" s="1"/>
  <c r="R678" i="1"/>
  <c r="Q676" i="4" s="1"/>
  <c r="S772" i="1"/>
  <c r="R770" i="4" s="1"/>
  <c r="S814" i="1"/>
  <c r="R812" i="4" s="1"/>
  <c r="S858" i="1"/>
  <c r="R856" i="4" s="1"/>
  <c r="S900" i="1"/>
  <c r="R898" i="4" s="1"/>
  <c r="S944" i="1"/>
  <c r="R942" i="4" s="1"/>
  <c r="R988" i="1"/>
  <c r="Q986" i="4" s="1"/>
  <c r="S1002" i="1"/>
  <c r="R1000" i="4" s="1"/>
  <c r="S1016" i="1"/>
  <c r="R1014" i="4" s="1"/>
  <c r="S1030" i="1"/>
  <c r="R1028" i="4" s="1"/>
  <c r="S1044" i="1"/>
  <c r="R1042" i="4" s="1"/>
  <c r="U1059" i="1"/>
  <c r="T1057" i="4" s="1"/>
  <c r="U1073" i="1"/>
  <c r="T1071" i="4" s="1"/>
  <c r="U1087" i="1"/>
  <c r="T1085" i="4" s="1"/>
  <c r="U1101" i="1"/>
  <c r="T1099" i="4" s="1"/>
  <c r="U1115" i="1"/>
  <c r="T1113" i="4" s="1"/>
  <c r="U1131" i="1"/>
  <c r="T1129" i="4" s="1"/>
  <c r="U1145" i="1"/>
  <c r="T1143" i="4" s="1"/>
  <c r="U1159" i="1"/>
  <c r="T1157" i="4" s="1"/>
  <c r="U1173" i="1"/>
  <c r="T1171" i="4" s="1"/>
  <c r="U1187" i="1"/>
  <c r="T1185" i="4" s="1"/>
  <c r="S1194" i="1"/>
  <c r="R1192" i="4" s="1"/>
  <c r="S1197" i="1"/>
  <c r="R1195" i="4" s="1"/>
  <c r="S1200" i="1"/>
  <c r="R1198" i="4" s="1"/>
  <c r="S1205" i="1"/>
  <c r="R1203" i="4" s="1"/>
  <c r="S1208" i="1"/>
  <c r="R1206" i="4" s="1"/>
  <c r="S1211" i="1"/>
  <c r="R1209" i="4" s="1"/>
  <c r="S1216" i="1"/>
  <c r="R1214" i="4" s="1"/>
  <c r="S1219" i="1"/>
  <c r="R1217" i="4" s="1"/>
  <c r="S1222" i="1"/>
  <c r="R1220" i="4" s="1"/>
  <c r="S1227" i="1"/>
  <c r="R1225" i="4" s="1"/>
  <c r="S1230" i="1"/>
  <c r="R1228" i="4" s="1"/>
  <c r="S1233" i="1"/>
  <c r="R1231" i="4" s="1"/>
  <c r="S1236" i="1"/>
  <c r="R1234" i="4" s="1"/>
  <c r="S1241" i="1"/>
  <c r="R1239" i="4" s="1"/>
  <c r="S1244" i="1"/>
  <c r="R1242" i="4" s="1"/>
  <c r="S1247" i="1"/>
  <c r="R1245" i="4" s="1"/>
  <c r="S1252" i="1"/>
  <c r="R1250" i="4" s="1"/>
  <c r="S1255" i="1"/>
  <c r="R1253" i="4" s="1"/>
  <c r="S1258" i="1"/>
  <c r="R1256" i="4" s="1"/>
  <c r="S1263" i="1"/>
  <c r="R1261" i="4" s="1"/>
  <c r="S1266" i="1"/>
  <c r="R1264" i="4" s="1"/>
  <c r="S1269" i="1"/>
  <c r="R1267" i="4" s="1"/>
  <c r="S1272" i="1"/>
  <c r="R1270" i="4" s="1"/>
  <c r="S1277" i="1"/>
  <c r="R1275" i="4" s="1"/>
  <c r="S1280" i="1"/>
  <c r="R1278" i="4" s="1"/>
  <c r="S1283" i="1"/>
  <c r="R1281" i="4" s="1"/>
  <c r="S1288" i="1"/>
  <c r="R1286" i="4" s="1"/>
  <c r="S1291" i="1"/>
  <c r="R1289" i="4" s="1"/>
  <c r="S1294" i="1"/>
  <c r="R1292" i="4" s="1"/>
  <c r="S1299" i="1"/>
  <c r="R1297" i="4" s="1"/>
  <c r="S1302" i="1"/>
  <c r="R1300" i="4" s="1"/>
  <c r="S1305" i="1"/>
  <c r="R1303" i="4" s="1"/>
  <c r="S1308" i="1"/>
  <c r="R1306" i="4" s="1"/>
  <c r="S1313" i="1"/>
  <c r="R1311" i="4" s="1"/>
  <c r="S1316" i="1"/>
  <c r="R1314" i="4" s="1"/>
  <c r="S1319" i="1"/>
  <c r="R1317" i="4" s="1"/>
  <c r="S1324" i="1"/>
  <c r="R1322" i="4" s="1"/>
  <c r="S1327" i="1"/>
  <c r="R1325" i="4" s="1"/>
  <c r="S1330" i="1"/>
  <c r="R1328" i="4" s="1"/>
  <c r="S1335" i="1"/>
  <c r="R1333" i="4" s="1"/>
  <c r="S1338" i="1"/>
  <c r="R1336" i="4" s="1"/>
  <c r="S1341" i="1"/>
  <c r="R1339" i="4" s="1"/>
  <c r="S1344" i="1"/>
  <c r="R1342" i="4" s="1"/>
  <c r="S1349" i="1"/>
  <c r="R1347" i="4" s="1"/>
  <c r="S1352" i="1"/>
  <c r="R1350" i="4" s="1"/>
  <c r="S1355" i="1"/>
  <c r="R1353" i="4" s="1"/>
  <c r="S1360" i="1"/>
  <c r="R1358" i="4" s="1"/>
  <c r="S1363" i="1"/>
  <c r="R1361" i="4" s="1"/>
  <c r="S1366" i="1"/>
  <c r="R1364" i="4" s="1"/>
  <c r="S1371" i="1"/>
  <c r="R1369" i="4" s="1"/>
  <c r="T419" i="1"/>
  <c r="S417" i="4" s="1"/>
  <c r="T678" i="1"/>
  <c r="S676" i="4" s="1"/>
  <c r="T772" i="1"/>
  <c r="S770" i="4" s="1"/>
  <c r="T814" i="1"/>
  <c r="S812" i="4" s="1"/>
  <c r="T858" i="1"/>
  <c r="S856" i="4" s="1"/>
  <c r="T900" i="1"/>
  <c r="S898" i="4" s="1"/>
  <c r="T944" i="1"/>
  <c r="S942" i="4" s="1"/>
  <c r="S988" i="1"/>
  <c r="R986" i="4" s="1"/>
  <c r="T1002" i="1"/>
  <c r="S1000" i="4" s="1"/>
  <c r="T1016" i="1"/>
  <c r="S1014" i="4" s="1"/>
  <c r="T1030" i="1"/>
  <c r="S1028" i="4" s="1"/>
  <c r="T1044" i="1"/>
  <c r="S1042" i="4" s="1"/>
  <c r="R1060" i="1"/>
  <c r="Q1058" i="4" s="1"/>
  <c r="R1074" i="1"/>
  <c r="Q1072" i="4" s="1"/>
  <c r="R1088" i="1"/>
  <c r="Q1086" i="4" s="1"/>
  <c r="R1102" i="1"/>
  <c r="Q1100" i="4" s="1"/>
  <c r="R1116" i="1"/>
  <c r="Q1114" i="4" s="1"/>
  <c r="R1132" i="1"/>
  <c r="Q1130" i="4" s="1"/>
  <c r="R1146" i="1"/>
  <c r="Q1144" i="4" s="1"/>
  <c r="R1160" i="1"/>
  <c r="Q1158" i="4" s="1"/>
  <c r="R1174" i="1"/>
  <c r="Q1172" i="4" s="1"/>
  <c r="R1188" i="1"/>
  <c r="Q1186" i="4" s="1"/>
  <c r="T1194" i="1"/>
  <c r="S1192" i="4" s="1"/>
  <c r="T1197" i="1"/>
  <c r="S1195" i="4" s="1"/>
  <c r="T1200" i="1"/>
  <c r="S1198" i="4" s="1"/>
  <c r="T1205" i="1"/>
  <c r="S1203" i="4" s="1"/>
  <c r="T1208" i="1"/>
  <c r="S1206" i="4" s="1"/>
  <c r="T1211" i="1"/>
  <c r="S1209" i="4" s="1"/>
  <c r="T1216" i="1"/>
  <c r="S1214" i="4" s="1"/>
  <c r="T1219" i="1"/>
  <c r="S1217" i="4" s="1"/>
  <c r="T1222" i="1"/>
  <c r="S1220" i="4" s="1"/>
  <c r="T1227" i="1"/>
  <c r="S1225" i="4" s="1"/>
  <c r="T1230" i="1"/>
  <c r="S1228" i="4" s="1"/>
  <c r="T1233" i="1"/>
  <c r="S1231" i="4" s="1"/>
  <c r="T1236" i="1"/>
  <c r="S1234" i="4" s="1"/>
  <c r="T1241" i="1"/>
  <c r="S1239" i="4" s="1"/>
  <c r="T1244" i="1"/>
  <c r="S1242" i="4" s="1"/>
  <c r="T1247" i="1"/>
  <c r="S1245" i="4" s="1"/>
  <c r="T1252" i="1"/>
  <c r="S1250" i="4" s="1"/>
  <c r="T1255" i="1"/>
  <c r="S1253" i="4" s="1"/>
  <c r="T1258" i="1"/>
  <c r="S1256" i="4" s="1"/>
  <c r="T1263" i="1"/>
  <c r="S1261" i="4" s="1"/>
  <c r="T1266" i="1"/>
  <c r="S1264" i="4" s="1"/>
  <c r="T1269" i="1"/>
  <c r="S1267" i="4" s="1"/>
  <c r="T1272" i="1"/>
  <c r="S1270" i="4" s="1"/>
  <c r="T1277" i="1"/>
  <c r="S1275" i="4" s="1"/>
  <c r="T1280" i="1"/>
  <c r="S1278" i="4" s="1"/>
  <c r="T1283" i="1"/>
  <c r="S1281" i="4" s="1"/>
  <c r="T1288" i="1"/>
  <c r="S1286" i="4" s="1"/>
  <c r="T1291" i="1"/>
  <c r="S1289" i="4" s="1"/>
  <c r="T1294" i="1"/>
  <c r="S1292" i="4" s="1"/>
  <c r="T1299" i="1"/>
  <c r="S1297" i="4" s="1"/>
  <c r="T1302" i="1"/>
  <c r="S1300" i="4" s="1"/>
  <c r="T1305" i="1"/>
  <c r="S1303" i="4" s="1"/>
  <c r="T1308" i="1"/>
  <c r="S1306" i="4" s="1"/>
  <c r="T1313" i="1"/>
  <c r="S1311" i="4" s="1"/>
  <c r="T1316" i="1"/>
  <c r="S1314" i="4" s="1"/>
  <c r="T1319" i="1"/>
  <c r="S1317" i="4" s="1"/>
  <c r="T1324" i="1"/>
  <c r="S1322" i="4" s="1"/>
  <c r="T1327" i="1"/>
  <c r="S1325" i="4" s="1"/>
  <c r="T1330" i="1"/>
  <c r="S1328" i="4" s="1"/>
  <c r="T1335" i="1"/>
  <c r="S1333" i="4" s="1"/>
  <c r="T1338" i="1"/>
  <c r="S1336" i="4" s="1"/>
  <c r="T1341" i="1"/>
  <c r="S1339" i="4" s="1"/>
  <c r="T1344" i="1"/>
  <c r="S1342" i="4" s="1"/>
  <c r="T1349" i="1"/>
  <c r="S1347" i="4" s="1"/>
  <c r="T1352" i="1"/>
  <c r="S1350" i="4" s="1"/>
  <c r="T1355" i="1"/>
  <c r="S1353" i="4" s="1"/>
  <c r="T1360" i="1"/>
  <c r="S1358" i="4" s="1"/>
  <c r="T1363" i="1"/>
  <c r="S1361" i="4" s="1"/>
  <c r="T1366" i="1"/>
  <c r="S1364" i="4" s="1"/>
  <c r="T1371" i="1"/>
  <c r="S1369" i="4" s="1"/>
  <c r="T427" i="1"/>
  <c r="S425" i="4" s="1"/>
  <c r="U678" i="1"/>
  <c r="T676" i="4" s="1"/>
  <c r="U772" i="1"/>
  <c r="T770" i="4" s="1"/>
  <c r="U814" i="1"/>
  <c r="T812" i="4" s="1"/>
  <c r="U858" i="1"/>
  <c r="T856" i="4" s="1"/>
  <c r="U900" i="1"/>
  <c r="T898" i="4" s="1"/>
  <c r="U944" i="1"/>
  <c r="T942" i="4" s="1"/>
  <c r="T988" i="1"/>
  <c r="S986" i="4" s="1"/>
  <c r="U1002" i="1"/>
  <c r="T1000" i="4" s="1"/>
  <c r="U1016" i="1"/>
  <c r="T1014" i="4" s="1"/>
  <c r="U1030" i="1"/>
  <c r="T1028" i="4" s="1"/>
  <c r="U1044" i="1"/>
  <c r="T1042" i="4" s="1"/>
  <c r="S1060" i="1"/>
  <c r="R1058" i="4" s="1"/>
  <c r="S1074" i="1"/>
  <c r="R1072" i="4" s="1"/>
  <c r="S1088" i="1"/>
  <c r="R1086" i="4" s="1"/>
  <c r="S1102" i="1"/>
  <c r="R1100" i="4" s="1"/>
  <c r="S1116" i="1"/>
  <c r="R1114" i="4" s="1"/>
  <c r="S1132" i="1"/>
  <c r="R1130" i="4" s="1"/>
  <c r="S1146" i="1"/>
  <c r="R1144" i="4" s="1"/>
  <c r="S1160" i="1"/>
  <c r="R1158" i="4" s="1"/>
  <c r="S1174" i="1"/>
  <c r="R1172" i="4" s="1"/>
  <c r="S1188" i="1"/>
  <c r="R1186" i="4" s="1"/>
  <c r="U1194" i="1"/>
  <c r="T1192" i="4" s="1"/>
  <c r="U1197" i="1"/>
  <c r="T1195" i="4" s="1"/>
  <c r="U1200" i="1"/>
  <c r="T1198" i="4" s="1"/>
  <c r="U1205" i="1"/>
  <c r="T1203" i="4" s="1"/>
  <c r="U1208" i="1"/>
  <c r="T1206" i="4" s="1"/>
  <c r="U1211" i="1"/>
  <c r="T1209" i="4" s="1"/>
  <c r="U1216" i="1"/>
  <c r="T1214" i="4" s="1"/>
  <c r="U1219" i="1"/>
  <c r="T1217" i="4" s="1"/>
  <c r="U1222" i="1"/>
  <c r="T1220" i="4" s="1"/>
  <c r="U1227" i="1"/>
  <c r="T1225" i="4" s="1"/>
  <c r="U1230" i="1"/>
  <c r="T1228" i="4" s="1"/>
  <c r="U1233" i="1"/>
  <c r="T1231" i="4" s="1"/>
  <c r="U1236" i="1"/>
  <c r="T1234" i="4" s="1"/>
  <c r="U1241" i="1"/>
  <c r="T1239" i="4" s="1"/>
  <c r="U1244" i="1"/>
  <c r="T1242" i="4" s="1"/>
  <c r="U1247" i="1"/>
  <c r="T1245" i="4" s="1"/>
  <c r="U1252" i="1"/>
  <c r="T1250" i="4" s="1"/>
  <c r="U1255" i="1"/>
  <c r="T1253" i="4" s="1"/>
  <c r="U1258" i="1"/>
  <c r="T1256" i="4" s="1"/>
  <c r="U1263" i="1"/>
  <c r="T1261" i="4" s="1"/>
  <c r="U1266" i="1"/>
  <c r="T1264" i="4" s="1"/>
  <c r="U1269" i="1"/>
  <c r="T1267" i="4" s="1"/>
  <c r="U1272" i="1"/>
  <c r="T1270" i="4" s="1"/>
  <c r="U1277" i="1"/>
  <c r="T1275" i="4" s="1"/>
  <c r="U1280" i="1"/>
  <c r="T1278" i="4" s="1"/>
  <c r="U1283" i="1"/>
  <c r="T1281" i="4" s="1"/>
  <c r="U1288" i="1"/>
  <c r="T1286" i="4" s="1"/>
  <c r="U1291" i="1"/>
  <c r="T1289" i="4" s="1"/>
  <c r="U1294" i="1"/>
  <c r="T1292" i="4" s="1"/>
  <c r="U1299" i="1"/>
  <c r="T1297" i="4" s="1"/>
  <c r="U1302" i="1"/>
  <c r="T1300" i="4" s="1"/>
  <c r="U1305" i="1"/>
  <c r="T1303" i="4" s="1"/>
  <c r="U1308" i="1"/>
  <c r="T1306" i="4" s="1"/>
  <c r="U1313" i="1"/>
  <c r="T1311" i="4" s="1"/>
  <c r="U1316" i="1"/>
  <c r="T1314" i="4" s="1"/>
  <c r="U1319" i="1"/>
  <c r="T1317" i="4" s="1"/>
  <c r="U1324" i="1"/>
  <c r="T1322" i="4" s="1"/>
  <c r="U1327" i="1"/>
  <c r="T1325" i="4" s="1"/>
  <c r="U1330" i="1"/>
  <c r="T1328" i="4" s="1"/>
  <c r="U1335" i="1"/>
  <c r="T1333" i="4" s="1"/>
  <c r="U1338" i="1"/>
  <c r="T1336" i="4" s="1"/>
  <c r="U1341" i="1"/>
  <c r="T1339" i="4" s="1"/>
  <c r="U1344" i="1"/>
  <c r="T1342" i="4" s="1"/>
  <c r="U1349" i="1"/>
  <c r="T1347" i="4" s="1"/>
  <c r="U1352" i="1"/>
  <c r="T1350" i="4" s="1"/>
  <c r="U1355" i="1"/>
  <c r="T1353" i="4" s="1"/>
  <c r="U1360" i="1"/>
  <c r="T1358" i="4" s="1"/>
  <c r="U1363" i="1"/>
  <c r="T1361" i="4" s="1"/>
  <c r="U1366" i="1"/>
  <c r="T1364" i="4" s="1"/>
  <c r="U1371" i="1"/>
  <c r="T1369" i="4" s="1"/>
  <c r="T562" i="1"/>
  <c r="S560" i="4" s="1"/>
  <c r="T707" i="1"/>
  <c r="S705" i="4" s="1"/>
  <c r="U783" i="1"/>
  <c r="T781" i="4" s="1"/>
  <c r="U825" i="1"/>
  <c r="T823" i="4" s="1"/>
  <c r="U869" i="1"/>
  <c r="T867" i="4" s="1"/>
  <c r="U911" i="1"/>
  <c r="T909" i="4" s="1"/>
  <c r="U955" i="1"/>
  <c r="T953" i="4" s="1"/>
  <c r="U991" i="1"/>
  <c r="T989" i="4" s="1"/>
  <c r="U1005" i="1"/>
  <c r="T1003" i="4" s="1"/>
  <c r="U1019" i="1"/>
  <c r="T1017" i="4" s="1"/>
  <c r="U1035" i="1"/>
  <c r="T1033" i="4" s="1"/>
  <c r="S1049" i="1"/>
  <c r="R1047" i="4" s="1"/>
  <c r="S1063" i="1"/>
  <c r="R1061" i="4" s="1"/>
  <c r="S1077" i="1"/>
  <c r="R1075" i="4" s="1"/>
  <c r="S1091" i="1"/>
  <c r="R1089" i="4" s="1"/>
  <c r="S1107" i="1"/>
  <c r="R1105" i="4" s="1"/>
  <c r="S1121" i="1"/>
  <c r="R1119" i="4" s="1"/>
  <c r="S1135" i="1"/>
  <c r="R1133" i="4" s="1"/>
  <c r="S1149" i="1"/>
  <c r="R1147" i="4" s="1"/>
  <c r="S1163" i="1"/>
  <c r="R1161" i="4" s="1"/>
  <c r="S1179" i="1"/>
  <c r="R1177" i="4" s="1"/>
  <c r="T1192" i="1"/>
  <c r="S1190" i="4" s="1"/>
  <c r="T1195" i="1"/>
  <c r="S1193" i="4" s="1"/>
  <c r="T1198" i="1"/>
  <c r="S1196" i="4" s="1"/>
  <c r="T1203" i="1"/>
  <c r="S1201" i="4" s="1"/>
  <c r="T1206" i="1"/>
  <c r="S1204" i="4" s="1"/>
  <c r="T1209" i="1"/>
  <c r="S1207" i="4" s="1"/>
  <c r="T1212" i="1"/>
  <c r="S1210" i="4" s="1"/>
  <c r="T1217" i="1"/>
  <c r="S1215" i="4" s="1"/>
  <c r="T1220" i="1"/>
  <c r="S1218" i="4" s="1"/>
  <c r="T1223" i="1"/>
  <c r="S1221" i="4" s="1"/>
  <c r="T1228" i="1"/>
  <c r="S1226" i="4" s="1"/>
  <c r="T1231" i="1"/>
  <c r="S1229" i="4" s="1"/>
  <c r="T1234" i="1"/>
  <c r="S1232" i="4" s="1"/>
  <c r="T1239" i="1"/>
  <c r="S1237" i="4" s="1"/>
  <c r="T1242" i="1"/>
  <c r="S1240" i="4" s="1"/>
  <c r="T1245" i="1"/>
  <c r="S1243" i="4" s="1"/>
  <c r="T1248" i="1"/>
  <c r="S1246" i="4" s="1"/>
  <c r="T1253" i="1"/>
  <c r="S1251" i="4" s="1"/>
  <c r="T1256" i="1"/>
  <c r="S1254" i="4" s="1"/>
  <c r="T1259" i="1"/>
  <c r="S1257" i="4" s="1"/>
  <c r="T1264" i="1"/>
  <c r="S1262" i="4" s="1"/>
  <c r="T1267" i="1"/>
  <c r="S1265" i="4" s="1"/>
  <c r="T1270" i="1"/>
  <c r="S1268" i="4" s="1"/>
  <c r="T1275" i="1"/>
  <c r="S1273" i="4" s="1"/>
  <c r="T1278" i="1"/>
  <c r="S1276" i="4" s="1"/>
  <c r="T1281" i="1"/>
  <c r="S1279" i="4" s="1"/>
  <c r="T1284" i="1"/>
  <c r="S1282" i="4" s="1"/>
  <c r="T1289" i="1"/>
  <c r="S1287" i="4" s="1"/>
  <c r="T1292" i="1"/>
  <c r="S1290" i="4" s="1"/>
  <c r="T1295" i="1"/>
  <c r="S1293" i="4" s="1"/>
  <c r="T1300" i="1"/>
  <c r="S1298" i="4" s="1"/>
  <c r="T1303" i="1"/>
  <c r="S1301" i="4" s="1"/>
  <c r="T1306" i="1"/>
  <c r="S1304" i="4" s="1"/>
  <c r="T1311" i="1"/>
  <c r="S1309" i="4" s="1"/>
  <c r="T1314" i="1"/>
  <c r="S1312" i="4" s="1"/>
  <c r="T1317" i="1"/>
  <c r="S1315" i="4" s="1"/>
  <c r="T1320" i="1"/>
  <c r="S1318" i="4" s="1"/>
  <c r="T1325" i="1"/>
  <c r="S1323" i="4" s="1"/>
  <c r="T1328" i="1"/>
  <c r="S1326" i="4" s="1"/>
  <c r="T1331" i="1"/>
  <c r="S1329" i="4" s="1"/>
  <c r="T1336" i="1"/>
  <c r="S1334" i="4" s="1"/>
  <c r="T1339" i="1"/>
  <c r="S1337" i="4" s="1"/>
  <c r="T1342" i="1"/>
  <c r="S1340" i="4" s="1"/>
  <c r="T1347" i="1"/>
  <c r="S1345" i="4" s="1"/>
  <c r="T1350" i="1"/>
  <c r="S1348" i="4" s="1"/>
  <c r="T1353" i="1"/>
  <c r="S1351" i="4" s="1"/>
  <c r="T1356" i="1"/>
  <c r="S1354" i="4" s="1"/>
  <c r="T1361" i="1"/>
  <c r="S1359" i="4" s="1"/>
  <c r="T1364" i="1"/>
  <c r="S1362" i="4" s="1"/>
  <c r="T1367" i="1"/>
  <c r="S1365" i="4" s="1"/>
  <c r="T1372" i="1"/>
  <c r="S1370" i="4" s="1"/>
  <c r="T604" i="1"/>
  <c r="S602" i="4" s="1"/>
  <c r="S732" i="1"/>
  <c r="R730" i="4" s="1"/>
  <c r="S792" i="1"/>
  <c r="R790" i="4" s="1"/>
  <c r="S836" i="1"/>
  <c r="R834" i="4" s="1"/>
  <c r="S880" i="1"/>
  <c r="R878" i="4" s="1"/>
  <c r="S922" i="1"/>
  <c r="R920" i="4" s="1"/>
  <c r="S966" i="1"/>
  <c r="R964" i="4" s="1"/>
  <c r="S994" i="1"/>
  <c r="R992" i="4" s="1"/>
  <c r="S1008" i="1"/>
  <c r="R1006" i="4" s="1"/>
  <c r="S1024" i="1"/>
  <c r="R1022" i="4" s="1"/>
  <c r="S1038" i="1"/>
  <c r="R1036" i="4" s="1"/>
  <c r="U1051" i="1"/>
  <c r="T1049" i="4" s="1"/>
  <c r="U1065" i="1"/>
  <c r="T1063" i="4" s="1"/>
  <c r="U1079" i="1"/>
  <c r="T1077" i="4" s="1"/>
  <c r="U1095" i="1"/>
  <c r="T1093" i="4" s="1"/>
  <c r="U1109" i="1"/>
  <c r="T1107" i="4" s="1"/>
  <c r="U1123" i="1"/>
  <c r="T1121" i="4" s="1"/>
  <c r="U1137" i="1"/>
  <c r="T1135" i="4" s="1"/>
  <c r="U1151" i="1"/>
  <c r="T1149" i="4" s="1"/>
  <c r="U1167" i="1"/>
  <c r="T1165" i="4" s="1"/>
  <c r="U1181" i="1"/>
  <c r="T1179" i="4" s="1"/>
  <c r="U1192" i="1"/>
  <c r="T1190" i="4" s="1"/>
  <c r="U1195" i="1"/>
  <c r="T1193" i="4" s="1"/>
  <c r="U1198" i="1"/>
  <c r="T1196" i="4" s="1"/>
  <c r="U1203" i="1"/>
  <c r="T1201" i="4" s="1"/>
  <c r="U1206" i="1"/>
  <c r="T1204" i="4" s="1"/>
  <c r="U1209" i="1"/>
  <c r="T1207" i="4" s="1"/>
  <c r="U1212" i="1"/>
  <c r="T1210" i="4" s="1"/>
  <c r="U1217" i="1"/>
  <c r="T1215" i="4" s="1"/>
  <c r="U1220" i="1"/>
  <c r="T1218" i="4" s="1"/>
  <c r="U1223" i="1"/>
  <c r="T1221" i="4" s="1"/>
  <c r="U1228" i="1"/>
  <c r="T1226" i="4" s="1"/>
  <c r="U1231" i="1"/>
  <c r="T1229" i="4" s="1"/>
  <c r="U1234" i="1"/>
  <c r="T1232" i="4" s="1"/>
  <c r="U1239" i="1"/>
  <c r="T1237" i="4" s="1"/>
  <c r="U1242" i="1"/>
  <c r="T1240" i="4" s="1"/>
  <c r="U1245" i="1"/>
  <c r="T1243" i="4" s="1"/>
  <c r="U1248" i="1"/>
  <c r="T1246" i="4" s="1"/>
  <c r="U1253" i="1"/>
  <c r="T1251" i="4" s="1"/>
  <c r="U1256" i="1"/>
  <c r="T1254" i="4" s="1"/>
  <c r="U1259" i="1"/>
  <c r="T1257" i="4" s="1"/>
  <c r="U1264" i="1"/>
  <c r="T1262" i="4" s="1"/>
  <c r="U1267" i="1"/>
  <c r="T1265" i="4" s="1"/>
  <c r="U1270" i="1"/>
  <c r="T1268" i="4" s="1"/>
  <c r="U1275" i="1"/>
  <c r="T1273" i="4" s="1"/>
  <c r="U1278" i="1"/>
  <c r="T1276" i="4" s="1"/>
  <c r="U1281" i="1"/>
  <c r="T1279" i="4" s="1"/>
  <c r="U1284" i="1"/>
  <c r="T1282" i="4" s="1"/>
  <c r="U1289" i="1"/>
  <c r="T1287" i="4" s="1"/>
  <c r="U1292" i="1"/>
  <c r="T1290" i="4" s="1"/>
  <c r="U1295" i="1"/>
  <c r="T1293" i="4" s="1"/>
  <c r="U1300" i="1"/>
  <c r="T1298" i="4" s="1"/>
  <c r="U1303" i="1"/>
  <c r="T1301" i="4" s="1"/>
  <c r="U1306" i="1"/>
  <c r="T1304" i="4" s="1"/>
  <c r="U1311" i="1"/>
  <c r="T1309" i="4" s="1"/>
  <c r="U1314" i="1"/>
  <c r="T1312" i="4" s="1"/>
  <c r="U1317" i="1"/>
  <c r="T1315" i="4" s="1"/>
  <c r="U1320" i="1"/>
  <c r="T1318" i="4" s="1"/>
  <c r="U1325" i="1"/>
  <c r="T1323" i="4" s="1"/>
  <c r="U1328" i="1"/>
  <c r="T1326" i="4" s="1"/>
  <c r="U1331" i="1"/>
  <c r="T1329" i="4" s="1"/>
  <c r="U1336" i="1"/>
  <c r="T1334" i="4" s="1"/>
  <c r="U1339" i="1"/>
  <c r="T1337" i="4" s="1"/>
  <c r="U1342" i="1"/>
  <c r="T1340" i="4" s="1"/>
  <c r="U1347" i="1"/>
  <c r="T1345" i="4" s="1"/>
  <c r="U1350" i="1"/>
  <c r="T1348" i="4" s="1"/>
  <c r="U1353" i="1"/>
  <c r="T1351" i="4" s="1"/>
  <c r="U1356" i="1"/>
  <c r="T1354" i="4" s="1"/>
  <c r="U1361" i="1"/>
  <c r="T1359" i="4" s="1"/>
  <c r="U1364" i="1"/>
  <c r="T1362" i="4" s="1"/>
  <c r="U1367" i="1"/>
  <c r="T1365" i="4" s="1"/>
  <c r="T825" i="1"/>
  <c r="S823" i="4" s="1"/>
  <c r="T1019" i="1"/>
  <c r="S1017" i="4" s="1"/>
  <c r="R1107" i="1"/>
  <c r="Q1105" i="4" s="1"/>
  <c r="S1192" i="1"/>
  <c r="R1190" i="4" s="1"/>
  <c r="S1212" i="1"/>
  <c r="R1210" i="4" s="1"/>
  <c r="S1234" i="1"/>
  <c r="R1232" i="4" s="1"/>
  <c r="S1256" i="1"/>
  <c r="R1254" i="4" s="1"/>
  <c r="S1278" i="1"/>
  <c r="R1276" i="4" s="1"/>
  <c r="S1300" i="1"/>
  <c r="R1298" i="4" s="1"/>
  <c r="S1320" i="1"/>
  <c r="R1318" i="4" s="1"/>
  <c r="S1342" i="1"/>
  <c r="R1340" i="4" s="1"/>
  <c r="S1364" i="1"/>
  <c r="R1362" i="4" s="1"/>
  <c r="T1375" i="1"/>
  <c r="S1373" i="4" s="1"/>
  <c r="T1378" i="1"/>
  <c r="S1376" i="4" s="1"/>
  <c r="T1383" i="1"/>
  <c r="S1381" i="4" s="1"/>
  <c r="T1386" i="1"/>
  <c r="S1384" i="4" s="1"/>
  <c r="T1389" i="1"/>
  <c r="S1387" i="4" s="1"/>
  <c r="T1392" i="1"/>
  <c r="S1390" i="4" s="1"/>
  <c r="T1397" i="1"/>
  <c r="S1395" i="4" s="1"/>
  <c r="T1400" i="1"/>
  <c r="S1398" i="4" s="1"/>
  <c r="T1403" i="1"/>
  <c r="S1401" i="4" s="1"/>
  <c r="T1408" i="1"/>
  <c r="S1406" i="4" s="1"/>
  <c r="T1411" i="1"/>
  <c r="S1409" i="4" s="1"/>
  <c r="T1414" i="1"/>
  <c r="S1412" i="4" s="1"/>
  <c r="T1419" i="1"/>
  <c r="S1417" i="4" s="1"/>
  <c r="T1422" i="1"/>
  <c r="S1420" i="4" s="1"/>
  <c r="T1425" i="1"/>
  <c r="S1423" i="4" s="1"/>
  <c r="T1428" i="1"/>
  <c r="S1426" i="4" s="1"/>
  <c r="T1433" i="1"/>
  <c r="T1436" i="1"/>
  <c r="T1439" i="1"/>
  <c r="T1444" i="1"/>
  <c r="T1447" i="1"/>
  <c r="T1450" i="1"/>
  <c r="T1455" i="1"/>
  <c r="T1458" i="1"/>
  <c r="T1461" i="1"/>
  <c r="T1464" i="1"/>
  <c r="T1469" i="1"/>
  <c r="T1472" i="1"/>
  <c r="T1475" i="1"/>
  <c r="T1480" i="1"/>
  <c r="T1483" i="1"/>
  <c r="T1486" i="1"/>
  <c r="T1491" i="1"/>
  <c r="T1494" i="1"/>
  <c r="T1497" i="1"/>
  <c r="T1500" i="1"/>
  <c r="T1505" i="1"/>
  <c r="T1508" i="1"/>
  <c r="T1511" i="1"/>
  <c r="T1516" i="1"/>
  <c r="T1519" i="1"/>
  <c r="T1522" i="1"/>
  <c r="T1527" i="1"/>
  <c r="T1530" i="1"/>
  <c r="T1533" i="1"/>
  <c r="T1536" i="1"/>
  <c r="T1541" i="1"/>
  <c r="T1544" i="1"/>
  <c r="T1547" i="1"/>
  <c r="S1552" i="1"/>
  <c r="S1555" i="1"/>
  <c r="S1558" i="1"/>
  <c r="S1563" i="1"/>
  <c r="S1566" i="1"/>
  <c r="S1569" i="1"/>
  <c r="S1572" i="1"/>
  <c r="S1577" i="1"/>
  <c r="S1580" i="1"/>
  <c r="S1583" i="1"/>
  <c r="S1588" i="1"/>
  <c r="S1591" i="1"/>
  <c r="S1594" i="1"/>
  <c r="S1599" i="1"/>
  <c r="S1602" i="1"/>
  <c r="S1605" i="1"/>
  <c r="S1608" i="1"/>
  <c r="S1613" i="1"/>
  <c r="S1616" i="1"/>
  <c r="S1619" i="1"/>
  <c r="S1624" i="1"/>
  <c r="S1627" i="1"/>
  <c r="S1630" i="1"/>
  <c r="S1635" i="1"/>
  <c r="S1638" i="1"/>
  <c r="S869" i="1"/>
  <c r="R867" i="4" s="1"/>
  <c r="S1035" i="1"/>
  <c r="R1033" i="4" s="1"/>
  <c r="U1120" i="1"/>
  <c r="T1118" i="4" s="1"/>
  <c r="R1195" i="1"/>
  <c r="Q1193" i="4" s="1"/>
  <c r="R1217" i="1"/>
  <c r="Q1215" i="4" s="1"/>
  <c r="R1239" i="1"/>
  <c r="Q1237" i="4" s="1"/>
  <c r="R1259" i="1"/>
  <c r="Q1257" i="4" s="1"/>
  <c r="R1281" i="1"/>
  <c r="Q1279" i="4" s="1"/>
  <c r="R1303" i="1"/>
  <c r="Q1301" i="4" s="1"/>
  <c r="R1325" i="1"/>
  <c r="Q1323" i="4" s="1"/>
  <c r="R1347" i="1"/>
  <c r="Q1345" i="4" s="1"/>
  <c r="R1367" i="1"/>
  <c r="Q1365" i="4" s="1"/>
  <c r="U1375" i="1"/>
  <c r="T1373" i="4" s="1"/>
  <c r="U1378" i="1"/>
  <c r="T1376" i="4" s="1"/>
  <c r="U1383" i="1"/>
  <c r="T1381" i="4" s="1"/>
  <c r="U1386" i="1"/>
  <c r="T1384" i="4" s="1"/>
  <c r="U1389" i="1"/>
  <c r="T1387" i="4" s="1"/>
  <c r="U1392" i="1"/>
  <c r="T1390" i="4" s="1"/>
  <c r="U1397" i="1"/>
  <c r="T1395" i="4" s="1"/>
  <c r="U1400" i="1"/>
  <c r="T1398" i="4" s="1"/>
  <c r="U1403" i="1"/>
  <c r="T1401" i="4" s="1"/>
  <c r="U1408" i="1"/>
  <c r="T1406" i="4" s="1"/>
  <c r="U1411" i="1"/>
  <c r="T1409" i="4" s="1"/>
  <c r="U1414" i="1"/>
  <c r="T1412" i="4" s="1"/>
  <c r="U1419" i="1"/>
  <c r="T1417" i="4" s="1"/>
  <c r="U1422" i="1"/>
  <c r="T1420" i="4" s="1"/>
  <c r="U1425" i="1"/>
  <c r="T1423" i="4" s="1"/>
  <c r="U1428" i="1"/>
  <c r="T1426" i="4" s="1"/>
  <c r="U1433" i="1"/>
  <c r="U1436" i="1"/>
  <c r="U1439" i="1"/>
  <c r="U1444" i="1"/>
  <c r="U1447" i="1"/>
  <c r="U1450" i="1"/>
  <c r="U1455" i="1"/>
  <c r="U1458" i="1"/>
  <c r="U1461" i="1"/>
  <c r="U1464" i="1"/>
  <c r="U1469" i="1"/>
  <c r="U1472" i="1"/>
  <c r="U1475" i="1"/>
  <c r="U1480" i="1"/>
  <c r="U1483" i="1"/>
  <c r="U1486" i="1"/>
  <c r="U1491" i="1"/>
  <c r="U1494" i="1"/>
  <c r="U1497" i="1"/>
  <c r="U1500" i="1"/>
  <c r="U1505" i="1"/>
  <c r="U1508" i="1"/>
  <c r="U1511" i="1"/>
  <c r="U1516" i="1"/>
  <c r="U1519" i="1"/>
  <c r="U1522" i="1"/>
  <c r="U1527" i="1"/>
  <c r="U1530" i="1"/>
  <c r="U1533" i="1"/>
  <c r="U1536" i="1"/>
  <c r="U1541" i="1"/>
  <c r="U1544" i="1"/>
  <c r="U1547" i="1"/>
  <c r="T1552" i="1"/>
  <c r="T1555" i="1"/>
  <c r="T1558" i="1"/>
  <c r="T1563" i="1"/>
  <c r="T1566" i="1"/>
  <c r="T1569" i="1"/>
  <c r="T1572" i="1"/>
  <c r="T1577" i="1"/>
  <c r="T1580" i="1"/>
  <c r="T1583" i="1"/>
  <c r="T1588" i="1"/>
  <c r="T1591" i="1"/>
  <c r="T1594" i="1"/>
  <c r="T1599" i="1"/>
  <c r="T1602" i="1"/>
  <c r="T1605" i="1"/>
  <c r="T1608" i="1"/>
  <c r="T1613" i="1"/>
  <c r="T1616" i="1"/>
  <c r="T1619" i="1"/>
  <c r="T1624" i="1"/>
  <c r="T1627" i="1"/>
  <c r="T1630" i="1"/>
  <c r="T1635" i="1"/>
  <c r="T869" i="1"/>
  <c r="S867" i="4" s="1"/>
  <c r="T1035" i="1"/>
  <c r="S1033" i="4" s="1"/>
  <c r="R1121" i="1"/>
  <c r="Q1119" i="4" s="1"/>
  <c r="S1195" i="1"/>
  <c r="R1193" i="4" s="1"/>
  <c r="S1217" i="1"/>
  <c r="R1215" i="4" s="1"/>
  <c r="S1239" i="1"/>
  <c r="R1237" i="4" s="1"/>
  <c r="S1259" i="1"/>
  <c r="R1257" i="4" s="1"/>
  <c r="S1281" i="1"/>
  <c r="R1279" i="4" s="1"/>
  <c r="S1303" i="1"/>
  <c r="R1301" i="4" s="1"/>
  <c r="S1325" i="1"/>
  <c r="R1323" i="4" s="1"/>
  <c r="S1347" i="1"/>
  <c r="R1345" i="4" s="1"/>
  <c r="S1367" i="1"/>
  <c r="R1365" i="4" s="1"/>
  <c r="R1376" i="1"/>
  <c r="Q1374" i="4" s="1"/>
  <c r="R1379" i="1"/>
  <c r="Q1377" i="4" s="1"/>
  <c r="R1384" i="1"/>
  <c r="Q1382" i="4" s="1"/>
  <c r="R1387" i="1"/>
  <c r="Q1385" i="4" s="1"/>
  <c r="R1390" i="1"/>
  <c r="Q1388" i="4" s="1"/>
  <c r="R1395" i="1"/>
  <c r="Q1393" i="4" s="1"/>
  <c r="R1398" i="1"/>
  <c r="Q1396" i="4" s="1"/>
  <c r="R1401" i="1"/>
  <c r="Q1399" i="4" s="1"/>
  <c r="R1404" i="1"/>
  <c r="Q1402" i="4" s="1"/>
  <c r="R1409" i="1"/>
  <c r="Q1407" i="4" s="1"/>
  <c r="R1412" i="1"/>
  <c r="Q1410" i="4" s="1"/>
  <c r="R1415" i="1"/>
  <c r="Q1413" i="4" s="1"/>
  <c r="R1420" i="1"/>
  <c r="Q1418" i="4" s="1"/>
  <c r="R1423" i="1"/>
  <c r="Q1421" i="4" s="1"/>
  <c r="R1426" i="1"/>
  <c r="Q1424" i="4" s="1"/>
  <c r="R1431" i="1"/>
  <c r="R1434" i="1"/>
  <c r="R1437" i="1"/>
  <c r="R1440" i="1"/>
  <c r="R1445" i="1"/>
  <c r="R1448" i="1"/>
  <c r="R1451" i="1"/>
  <c r="R1456" i="1"/>
  <c r="R1459" i="1"/>
  <c r="R1462" i="1"/>
  <c r="R1467" i="1"/>
  <c r="R1470" i="1"/>
  <c r="R1473" i="1"/>
  <c r="R1476" i="1"/>
  <c r="R1481" i="1"/>
  <c r="R1484" i="1"/>
  <c r="R1487" i="1"/>
  <c r="R1492" i="1"/>
  <c r="R1495" i="1"/>
  <c r="R1498" i="1"/>
  <c r="R1503" i="1"/>
  <c r="R1506" i="1"/>
  <c r="R1509" i="1"/>
  <c r="R1512" i="1"/>
  <c r="R1517" i="1"/>
  <c r="R1520" i="1"/>
  <c r="R1523" i="1"/>
  <c r="R1528" i="1"/>
  <c r="R1531" i="1"/>
  <c r="R1534" i="1"/>
  <c r="R1539" i="1"/>
  <c r="R1542" i="1"/>
  <c r="R1545" i="1"/>
  <c r="R1548" i="1"/>
  <c r="U1552" i="1"/>
  <c r="U1555" i="1"/>
  <c r="U1558" i="1"/>
  <c r="U1563" i="1"/>
  <c r="U1566" i="1"/>
  <c r="U1569" i="1"/>
  <c r="U1572" i="1"/>
  <c r="U1577" i="1"/>
  <c r="U1580" i="1"/>
  <c r="U1583" i="1"/>
  <c r="U1588" i="1"/>
  <c r="U1591" i="1"/>
  <c r="U1594" i="1"/>
  <c r="U1599" i="1"/>
  <c r="U1602" i="1"/>
  <c r="U1605" i="1"/>
  <c r="U1608" i="1"/>
  <c r="U1613" i="1"/>
  <c r="U1616" i="1"/>
  <c r="U1619" i="1"/>
  <c r="U1624" i="1"/>
  <c r="U1627" i="1"/>
  <c r="U1630" i="1"/>
  <c r="U1635" i="1"/>
  <c r="U1638" i="1"/>
  <c r="S911" i="1"/>
  <c r="R909" i="4" s="1"/>
  <c r="U1048" i="1"/>
  <c r="T1046" i="4" s="1"/>
  <c r="U1134" i="1"/>
  <c r="T1132" i="4" s="1"/>
  <c r="R1198" i="1"/>
  <c r="Q1196" i="4" s="1"/>
  <c r="R1220" i="1"/>
  <c r="Q1218" i="4" s="1"/>
  <c r="R1242" i="1"/>
  <c r="Q1240" i="4" s="1"/>
  <c r="R1264" i="1"/>
  <c r="Q1262" i="4" s="1"/>
  <c r="R1284" i="1"/>
  <c r="Q1282" i="4" s="1"/>
  <c r="R1306" i="1"/>
  <c r="Q1304" i="4" s="1"/>
  <c r="R1328" i="1"/>
  <c r="Q1326" i="4" s="1"/>
  <c r="R1350" i="1"/>
  <c r="Q1348" i="4" s="1"/>
  <c r="R1372" i="1"/>
  <c r="Q1370" i="4" s="1"/>
  <c r="S1376" i="1"/>
  <c r="R1374" i="4" s="1"/>
  <c r="S1379" i="1"/>
  <c r="R1377" i="4" s="1"/>
  <c r="S1384" i="1"/>
  <c r="R1382" i="4" s="1"/>
  <c r="S1387" i="1"/>
  <c r="R1385" i="4" s="1"/>
  <c r="S1390" i="1"/>
  <c r="R1388" i="4" s="1"/>
  <c r="S1395" i="1"/>
  <c r="R1393" i="4" s="1"/>
  <c r="S1398" i="1"/>
  <c r="R1396" i="4" s="1"/>
  <c r="S1401" i="1"/>
  <c r="R1399" i="4" s="1"/>
  <c r="S1404" i="1"/>
  <c r="R1402" i="4" s="1"/>
  <c r="S1409" i="1"/>
  <c r="R1407" i="4" s="1"/>
  <c r="S1412" i="1"/>
  <c r="R1410" i="4" s="1"/>
  <c r="S1415" i="1"/>
  <c r="R1413" i="4" s="1"/>
  <c r="S1420" i="1"/>
  <c r="R1418" i="4" s="1"/>
  <c r="S1423" i="1"/>
  <c r="R1421" i="4" s="1"/>
  <c r="S1426" i="1"/>
  <c r="R1424" i="4" s="1"/>
  <c r="S1431" i="1"/>
  <c r="S1434" i="1"/>
  <c r="S1437" i="1"/>
  <c r="S1440" i="1"/>
  <c r="S1445" i="1"/>
  <c r="S1448" i="1"/>
  <c r="S1451" i="1"/>
  <c r="S1456" i="1"/>
  <c r="S1459" i="1"/>
  <c r="S1462" i="1"/>
  <c r="S1467" i="1"/>
  <c r="S1470" i="1"/>
  <c r="S1473" i="1"/>
  <c r="S1476" i="1"/>
  <c r="S1481" i="1"/>
  <c r="S1484" i="1"/>
  <c r="S1487" i="1"/>
  <c r="S1492" i="1"/>
  <c r="S1495" i="1"/>
  <c r="S1498" i="1"/>
  <c r="S1503" i="1"/>
  <c r="S1506" i="1"/>
  <c r="S1509" i="1"/>
  <c r="S1512" i="1"/>
  <c r="S1517" i="1"/>
  <c r="S1520" i="1"/>
  <c r="S1523" i="1"/>
  <c r="S1528" i="1"/>
  <c r="S1531" i="1"/>
  <c r="S1534" i="1"/>
  <c r="S1539" i="1"/>
  <c r="S1542" i="1"/>
  <c r="S1545" i="1"/>
  <c r="S1548" i="1"/>
  <c r="R1553" i="1"/>
  <c r="R1556" i="1"/>
  <c r="R1559" i="1"/>
  <c r="R1564" i="1"/>
  <c r="R1567" i="1"/>
  <c r="R1570" i="1"/>
  <c r="R1575" i="1"/>
  <c r="R1578" i="1"/>
  <c r="R1581" i="1"/>
  <c r="R1584" i="1"/>
  <c r="R1589" i="1"/>
  <c r="R1592" i="1"/>
  <c r="R1595" i="1"/>
  <c r="R1600" i="1"/>
  <c r="R1603" i="1"/>
  <c r="R1606" i="1"/>
  <c r="R1611" i="1"/>
  <c r="R1614" i="1"/>
  <c r="R1617" i="1"/>
  <c r="R1620" i="1"/>
  <c r="R1625" i="1"/>
  <c r="R1628" i="1"/>
  <c r="R1631" i="1"/>
  <c r="R1636" i="1"/>
  <c r="T911" i="1"/>
  <c r="S909" i="4" s="1"/>
  <c r="R1049" i="1"/>
  <c r="Q1047" i="4" s="1"/>
  <c r="R1135" i="1"/>
  <c r="Q1133" i="4" s="1"/>
  <c r="S1198" i="1"/>
  <c r="R1196" i="4" s="1"/>
  <c r="S1220" i="1"/>
  <c r="R1218" i="4" s="1"/>
  <c r="S1242" i="1"/>
  <c r="R1240" i="4" s="1"/>
  <c r="S1264" i="1"/>
  <c r="R1262" i="4" s="1"/>
  <c r="S1284" i="1"/>
  <c r="R1282" i="4" s="1"/>
  <c r="S1306" i="1"/>
  <c r="R1304" i="4" s="1"/>
  <c r="S1328" i="1"/>
  <c r="R1326" i="4" s="1"/>
  <c r="S1350" i="1"/>
  <c r="R1348" i="4" s="1"/>
  <c r="S1372" i="1"/>
  <c r="R1370" i="4" s="1"/>
  <c r="T1376" i="1"/>
  <c r="S1374" i="4" s="1"/>
  <c r="T1379" i="1"/>
  <c r="S1377" i="4" s="1"/>
  <c r="T1384" i="1"/>
  <c r="S1382" i="4" s="1"/>
  <c r="T1387" i="1"/>
  <c r="S1385" i="4" s="1"/>
  <c r="T1390" i="1"/>
  <c r="S1388" i="4" s="1"/>
  <c r="T1395" i="1"/>
  <c r="S1393" i="4" s="1"/>
  <c r="T1398" i="1"/>
  <c r="S1396" i="4" s="1"/>
  <c r="T1401" i="1"/>
  <c r="S1399" i="4" s="1"/>
  <c r="T1404" i="1"/>
  <c r="S1402" i="4" s="1"/>
  <c r="T1409" i="1"/>
  <c r="S1407" i="4" s="1"/>
  <c r="T1412" i="1"/>
  <c r="S1410" i="4" s="1"/>
  <c r="T1415" i="1"/>
  <c r="S1413" i="4" s="1"/>
  <c r="T1420" i="1"/>
  <c r="S1418" i="4" s="1"/>
  <c r="T1423" i="1"/>
  <c r="S1421" i="4" s="1"/>
  <c r="T1426" i="1"/>
  <c r="S1424" i="4" s="1"/>
  <c r="T1431" i="1"/>
  <c r="T1434" i="1"/>
  <c r="T1437" i="1"/>
  <c r="T1440" i="1"/>
  <c r="T1445" i="1"/>
  <c r="T1448" i="1"/>
  <c r="T1451" i="1"/>
  <c r="T1456" i="1"/>
  <c r="T1459" i="1"/>
  <c r="T1462" i="1"/>
  <c r="T1467" i="1"/>
  <c r="T1470" i="1"/>
  <c r="T1473" i="1"/>
  <c r="T1476" i="1"/>
  <c r="T1481" i="1"/>
  <c r="T1484" i="1"/>
  <c r="T1487" i="1"/>
  <c r="T1492" i="1"/>
  <c r="T1495" i="1"/>
  <c r="T1498" i="1"/>
  <c r="T1503" i="1"/>
  <c r="T1506" i="1"/>
  <c r="T1509" i="1"/>
  <c r="T1512" i="1"/>
  <c r="T1517" i="1"/>
  <c r="T1520" i="1"/>
  <c r="T1523" i="1"/>
  <c r="T1528" i="1"/>
  <c r="T1531" i="1"/>
  <c r="T1534" i="1"/>
  <c r="T1539" i="1"/>
  <c r="T1542" i="1"/>
  <c r="T1545" i="1"/>
  <c r="T1548" i="1"/>
  <c r="S1553" i="1"/>
  <c r="S1556" i="1"/>
  <c r="S1559" i="1"/>
  <c r="S1564" i="1"/>
  <c r="S1567" i="1"/>
  <c r="S1570" i="1"/>
  <c r="S1575" i="1"/>
  <c r="S1578" i="1"/>
  <c r="S1581" i="1"/>
  <c r="S1584" i="1"/>
  <c r="S1589" i="1"/>
  <c r="S1592" i="1"/>
  <c r="S1595" i="1"/>
  <c r="S1600" i="1"/>
  <c r="S1603" i="1"/>
  <c r="S1606" i="1"/>
  <c r="S1611" i="1"/>
  <c r="S1614" i="1"/>
  <c r="S1617" i="1"/>
  <c r="S1620" i="1"/>
  <c r="S1625" i="1"/>
  <c r="S1628" i="1"/>
  <c r="S1631" i="1"/>
  <c r="S1636" i="1"/>
  <c r="T560" i="1"/>
  <c r="S558" i="4" s="1"/>
  <c r="S955" i="1"/>
  <c r="R953" i="4" s="1"/>
  <c r="U1062" i="1"/>
  <c r="T1060" i="4" s="1"/>
  <c r="U1148" i="1"/>
  <c r="T1146" i="4" s="1"/>
  <c r="R1203" i="1"/>
  <c r="Q1201" i="4" s="1"/>
  <c r="R1223" i="1"/>
  <c r="Q1221" i="4" s="1"/>
  <c r="R1245" i="1"/>
  <c r="Q1243" i="4" s="1"/>
  <c r="R1267" i="1"/>
  <c r="Q1265" i="4" s="1"/>
  <c r="R1289" i="1"/>
  <c r="Q1287" i="4" s="1"/>
  <c r="R1311" i="1"/>
  <c r="Q1309" i="4" s="1"/>
  <c r="R1331" i="1"/>
  <c r="Q1329" i="4" s="1"/>
  <c r="R1353" i="1"/>
  <c r="Q1351" i="4" s="1"/>
  <c r="U1372" i="1"/>
  <c r="T1370" i="4" s="1"/>
  <c r="U1376" i="1"/>
  <c r="T1374" i="4" s="1"/>
  <c r="U1379" i="1"/>
  <c r="T1377" i="4" s="1"/>
  <c r="U1384" i="1"/>
  <c r="T1382" i="4" s="1"/>
  <c r="U1387" i="1"/>
  <c r="T1385" i="4" s="1"/>
  <c r="U1390" i="1"/>
  <c r="T1388" i="4" s="1"/>
  <c r="U1395" i="1"/>
  <c r="T1393" i="4" s="1"/>
  <c r="U1398" i="1"/>
  <c r="T1396" i="4" s="1"/>
  <c r="U1401" i="1"/>
  <c r="T1399" i="4" s="1"/>
  <c r="U1404" i="1"/>
  <c r="T1402" i="4" s="1"/>
  <c r="U1409" i="1"/>
  <c r="T1407" i="4" s="1"/>
  <c r="U1412" i="1"/>
  <c r="T1410" i="4" s="1"/>
  <c r="U1415" i="1"/>
  <c r="T1413" i="4" s="1"/>
  <c r="U1420" i="1"/>
  <c r="T1418" i="4" s="1"/>
  <c r="U1423" i="1"/>
  <c r="T1421" i="4" s="1"/>
  <c r="U1426" i="1"/>
  <c r="T1424" i="4" s="1"/>
  <c r="U1431" i="1"/>
  <c r="U1434" i="1"/>
  <c r="U1437" i="1"/>
  <c r="U1440" i="1"/>
  <c r="U1445" i="1"/>
  <c r="U1448" i="1"/>
  <c r="U1451" i="1"/>
  <c r="U1456" i="1"/>
  <c r="U1459" i="1"/>
  <c r="U1462" i="1"/>
  <c r="U1467" i="1"/>
  <c r="U1470" i="1"/>
  <c r="U1473" i="1"/>
  <c r="U1476" i="1"/>
  <c r="U1481" i="1"/>
  <c r="U1484" i="1"/>
  <c r="U1487" i="1"/>
  <c r="U1492" i="1"/>
  <c r="U1495" i="1"/>
  <c r="U1498" i="1"/>
  <c r="U1503" i="1"/>
  <c r="U1506" i="1"/>
  <c r="U1509" i="1"/>
  <c r="U1512" i="1"/>
  <c r="U1517" i="1"/>
  <c r="U1520" i="1"/>
  <c r="U1523" i="1"/>
  <c r="U1528" i="1"/>
  <c r="U1531" i="1"/>
  <c r="U1534" i="1"/>
  <c r="U1539" i="1"/>
  <c r="U1542" i="1"/>
  <c r="U1545" i="1"/>
  <c r="U1548" i="1"/>
  <c r="T1553" i="1"/>
  <c r="T1556" i="1"/>
  <c r="T1559" i="1"/>
  <c r="T1564" i="1"/>
  <c r="T1567" i="1"/>
  <c r="T1570" i="1"/>
  <c r="T1575" i="1"/>
  <c r="T1578" i="1"/>
  <c r="T1581" i="1"/>
  <c r="T1584" i="1"/>
  <c r="T1589" i="1"/>
  <c r="T1592" i="1"/>
  <c r="T1595" i="1"/>
  <c r="T1600" i="1"/>
  <c r="T1603" i="1"/>
  <c r="T1606" i="1"/>
  <c r="T1611" i="1"/>
  <c r="T1614" i="1"/>
  <c r="T1617" i="1"/>
  <c r="T1620" i="1"/>
  <c r="T1625" i="1"/>
  <c r="T1628" i="1"/>
  <c r="T1631" i="1"/>
  <c r="T1636" i="1"/>
  <c r="R562" i="1"/>
  <c r="Q560" i="4" s="1"/>
  <c r="T955" i="1"/>
  <c r="S953" i="4" s="1"/>
  <c r="R1063" i="1"/>
  <c r="Q1061" i="4" s="1"/>
  <c r="R1149" i="1"/>
  <c r="Q1147" i="4" s="1"/>
  <c r="S1203" i="1"/>
  <c r="R1201" i="4" s="1"/>
  <c r="S1223" i="1"/>
  <c r="R1221" i="4" s="1"/>
  <c r="S1245" i="1"/>
  <c r="R1243" i="4" s="1"/>
  <c r="S1267" i="1"/>
  <c r="R1265" i="4" s="1"/>
  <c r="S1289" i="1"/>
  <c r="R1287" i="4" s="1"/>
  <c r="S1311" i="1"/>
  <c r="R1309" i="4" s="1"/>
  <c r="S1331" i="1"/>
  <c r="R1329" i="4" s="1"/>
  <c r="S1353" i="1"/>
  <c r="R1351" i="4" s="1"/>
  <c r="R1374" i="1"/>
  <c r="Q1372" i="4" s="1"/>
  <c r="R1377" i="1"/>
  <c r="Q1375" i="4" s="1"/>
  <c r="R1380" i="1"/>
  <c r="Q1378" i="4" s="1"/>
  <c r="R1385" i="1"/>
  <c r="Q1383" i="4" s="1"/>
  <c r="R1388" i="1"/>
  <c r="Q1386" i="4" s="1"/>
  <c r="R1391" i="1"/>
  <c r="Q1389" i="4" s="1"/>
  <c r="R1396" i="1"/>
  <c r="Q1394" i="4" s="1"/>
  <c r="R1399" i="1"/>
  <c r="Q1397" i="4" s="1"/>
  <c r="R1402" i="1"/>
  <c r="Q1400" i="4" s="1"/>
  <c r="R1407" i="1"/>
  <c r="Q1405" i="4" s="1"/>
  <c r="R1410" i="1"/>
  <c r="Q1408" i="4" s="1"/>
  <c r="R1413" i="1"/>
  <c r="Q1411" i="4" s="1"/>
  <c r="R1416" i="1"/>
  <c r="Q1414" i="4" s="1"/>
  <c r="R1421" i="1"/>
  <c r="Q1419" i="4" s="1"/>
  <c r="R1424" i="1"/>
  <c r="Q1422" i="4" s="1"/>
  <c r="R1427" i="1"/>
  <c r="Q1425" i="4" s="1"/>
  <c r="R1432" i="1"/>
  <c r="R1435" i="1"/>
  <c r="R1438" i="1"/>
  <c r="R1443" i="1"/>
  <c r="R1446" i="1"/>
  <c r="R1449" i="1"/>
  <c r="R1452" i="1"/>
  <c r="R1457" i="1"/>
  <c r="R1460" i="1"/>
  <c r="R1463" i="1"/>
  <c r="R1468" i="1"/>
  <c r="R1471" i="1"/>
  <c r="R1474" i="1"/>
  <c r="R1479" i="1"/>
  <c r="R1482" i="1"/>
  <c r="R1485" i="1"/>
  <c r="R1488" i="1"/>
  <c r="R1493" i="1"/>
  <c r="R1496" i="1"/>
  <c r="R1499" i="1"/>
  <c r="R1504" i="1"/>
  <c r="R1507" i="1"/>
  <c r="R1510" i="1"/>
  <c r="R1515" i="1"/>
  <c r="R1518" i="1"/>
  <c r="R1521" i="1"/>
  <c r="R1524" i="1"/>
  <c r="R1529" i="1"/>
  <c r="R1532" i="1"/>
  <c r="R1535" i="1"/>
  <c r="R1540" i="1"/>
  <c r="R1543" i="1"/>
  <c r="R1546" i="1"/>
  <c r="U1549" i="1"/>
  <c r="U1553" i="1"/>
  <c r="U1556" i="1"/>
  <c r="U1559" i="1"/>
  <c r="U1564" i="1"/>
  <c r="U1567" i="1"/>
  <c r="U1570" i="1"/>
  <c r="U1575" i="1"/>
  <c r="U1578" i="1"/>
  <c r="U1581" i="1"/>
  <c r="U1584" i="1"/>
  <c r="U1589" i="1"/>
  <c r="U1592" i="1"/>
  <c r="U1595" i="1"/>
  <c r="U1600" i="1"/>
  <c r="U1603" i="1"/>
  <c r="U1606" i="1"/>
  <c r="U1611" i="1"/>
  <c r="U1614" i="1"/>
  <c r="U1617" i="1"/>
  <c r="U1620" i="1"/>
  <c r="U1625" i="1"/>
  <c r="U1628" i="1"/>
  <c r="U1631" i="1"/>
  <c r="U1636" i="1"/>
  <c r="U706" i="1"/>
  <c r="T704" i="4" s="1"/>
  <c r="S991" i="1"/>
  <c r="R989" i="4" s="1"/>
  <c r="U1076" i="1"/>
  <c r="T1074" i="4" s="1"/>
  <c r="U1162" i="1"/>
  <c r="T1160" i="4" s="1"/>
  <c r="R1206" i="1"/>
  <c r="Q1204" i="4" s="1"/>
  <c r="R1228" i="1"/>
  <c r="Q1226" i="4" s="1"/>
  <c r="R1248" i="1"/>
  <c r="Q1246" i="4" s="1"/>
  <c r="R1270" i="1"/>
  <c r="Q1268" i="4" s="1"/>
  <c r="R1292" i="1"/>
  <c r="Q1290" i="4" s="1"/>
  <c r="R1314" i="1"/>
  <c r="Q1312" i="4" s="1"/>
  <c r="R1336" i="1"/>
  <c r="Q1334" i="4" s="1"/>
  <c r="R1356" i="1"/>
  <c r="Q1354" i="4" s="1"/>
  <c r="S1374" i="1"/>
  <c r="R1372" i="4" s="1"/>
  <c r="S1377" i="1"/>
  <c r="R1375" i="4" s="1"/>
  <c r="S1380" i="1"/>
  <c r="R1378" i="4" s="1"/>
  <c r="S1385" i="1"/>
  <c r="R1383" i="4" s="1"/>
  <c r="S1388" i="1"/>
  <c r="R1386" i="4" s="1"/>
  <c r="S1391" i="1"/>
  <c r="R1389" i="4" s="1"/>
  <c r="S1396" i="1"/>
  <c r="R1394" i="4" s="1"/>
  <c r="S1399" i="1"/>
  <c r="R1397" i="4" s="1"/>
  <c r="S1402" i="1"/>
  <c r="R1400" i="4" s="1"/>
  <c r="S1407" i="1"/>
  <c r="R1405" i="4" s="1"/>
  <c r="S1410" i="1"/>
  <c r="R1408" i="4" s="1"/>
  <c r="S1413" i="1"/>
  <c r="R1411" i="4" s="1"/>
  <c r="S1416" i="1"/>
  <c r="R1414" i="4" s="1"/>
  <c r="S1421" i="1"/>
  <c r="R1419" i="4" s="1"/>
  <c r="S1424" i="1"/>
  <c r="R1422" i="4" s="1"/>
  <c r="S1427" i="1"/>
  <c r="R1425" i="4" s="1"/>
  <c r="S1432" i="1"/>
  <c r="S1435" i="1"/>
  <c r="S1438" i="1"/>
  <c r="S1443" i="1"/>
  <c r="S1446" i="1"/>
  <c r="S1449" i="1"/>
  <c r="S1452" i="1"/>
  <c r="S1457" i="1"/>
  <c r="S1460" i="1"/>
  <c r="S1463" i="1"/>
  <c r="S1468" i="1"/>
  <c r="S1471" i="1"/>
  <c r="S1474" i="1"/>
  <c r="S1479" i="1"/>
  <c r="S1482" i="1"/>
  <c r="S1485" i="1"/>
  <c r="S1488" i="1"/>
  <c r="S1493" i="1"/>
  <c r="S1496" i="1"/>
  <c r="S1499" i="1"/>
  <c r="S1504" i="1"/>
  <c r="S1507" i="1"/>
  <c r="S1510" i="1"/>
  <c r="S1515" i="1"/>
  <c r="S1518" i="1"/>
  <c r="S1521" i="1"/>
  <c r="S1524" i="1"/>
  <c r="S1529" i="1"/>
  <c r="S1532" i="1"/>
  <c r="S1535" i="1"/>
  <c r="S1540" i="1"/>
  <c r="S1543" i="1"/>
  <c r="S1546" i="1"/>
  <c r="R1551" i="1"/>
  <c r="R1554" i="1"/>
  <c r="R1557" i="1"/>
  <c r="R1560" i="1"/>
  <c r="R1565" i="1"/>
  <c r="R1568" i="1"/>
  <c r="R1571" i="1"/>
  <c r="R1576" i="1"/>
  <c r="R1579" i="1"/>
  <c r="R1582" i="1"/>
  <c r="R1587" i="1"/>
  <c r="R1590" i="1"/>
  <c r="R1593" i="1"/>
  <c r="R1596" i="1"/>
  <c r="R1601" i="1"/>
  <c r="R1604" i="1"/>
  <c r="R1607" i="1"/>
  <c r="R1612" i="1"/>
  <c r="R1615" i="1"/>
  <c r="R1618" i="1"/>
  <c r="R1623" i="1"/>
  <c r="R1626" i="1"/>
  <c r="R1629" i="1"/>
  <c r="R1632" i="1"/>
  <c r="R1637" i="1"/>
  <c r="S707" i="1"/>
  <c r="R705" i="4" s="1"/>
  <c r="T991" i="1"/>
  <c r="S989" i="4" s="1"/>
  <c r="R1077" i="1"/>
  <c r="Q1075" i="4" s="1"/>
  <c r="R1163" i="1"/>
  <c r="Q1161" i="4" s="1"/>
  <c r="S1206" i="1"/>
  <c r="R1204" i="4" s="1"/>
  <c r="S1228" i="1"/>
  <c r="R1226" i="4" s="1"/>
  <c r="S1248" i="1"/>
  <c r="R1246" i="4" s="1"/>
  <c r="S1270" i="1"/>
  <c r="R1268" i="4" s="1"/>
  <c r="S1292" i="1"/>
  <c r="R1290" i="4" s="1"/>
  <c r="S1314" i="1"/>
  <c r="R1312" i="4" s="1"/>
  <c r="S1336" i="1"/>
  <c r="R1334" i="4" s="1"/>
  <c r="S1356" i="1"/>
  <c r="R1354" i="4" s="1"/>
  <c r="T1374" i="1"/>
  <c r="S1372" i="4" s="1"/>
  <c r="T1377" i="1"/>
  <c r="S1375" i="4" s="1"/>
  <c r="T1380" i="1"/>
  <c r="S1378" i="4" s="1"/>
  <c r="T1385" i="1"/>
  <c r="S1383" i="4" s="1"/>
  <c r="T1388" i="1"/>
  <c r="S1386" i="4" s="1"/>
  <c r="T1391" i="1"/>
  <c r="S1389" i="4" s="1"/>
  <c r="T1396" i="1"/>
  <c r="S1394" i="4" s="1"/>
  <c r="T1399" i="1"/>
  <c r="S1397" i="4" s="1"/>
  <c r="T1402" i="1"/>
  <c r="S1400" i="4" s="1"/>
  <c r="T1407" i="1"/>
  <c r="S1405" i="4" s="1"/>
  <c r="T1410" i="1"/>
  <c r="S1408" i="4" s="1"/>
  <c r="T1413" i="1"/>
  <c r="S1411" i="4" s="1"/>
  <c r="T1416" i="1"/>
  <c r="S1414" i="4" s="1"/>
  <c r="T1421" i="1"/>
  <c r="S1419" i="4" s="1"/>
  <c r="T1424" i="1"/>
  <c r="S1422" i="4" s="1"/>
  <c r="T1427" i="1"/>
  <c r="S1425" i="4" s="1"/>
  <c r="T1432" i="1"/>
  <c r="T1435" i="1"/>
  <c r="T1438" i="1"/>
  <c r="T1443" i="1"/>
  <c r="T1446" i="1"/>
  <c r="T1449" i="1"/>
  <c r="T1452" i="1"/>
  <c r="T1457" i="1"/>
  <c r="T1460" i="1"/>
  <c r="T1463" i="1"/>
  <c r="T1468" i="1"/>
  <c r="T1471" i="1"/>
  <c r="T1474" i="1"/>
  <c r="T1479" i="1"/>
  <c r="T1482" i="1"/>
  <c r="T1485" i="1"/>
  <c r="T1488" i="1"/>
  <c r="T1493" i="1"/>
  <c r="T1496" i="1"/>
  <c r="T1499" i="1"/>
  <c r="T1504" i="1"/>
  <c r="T1507" i="1"/>
  <c r="T1510" i="1"/>
  <c r="T1515" i="1"/>
  <c r="T1518" i="1"/>
  <c r="T1521" i="1"/>
  <c r="T1524" i="1"/>
  <c r="T1529" i="1"/>
  <c r="T1532" i="1"/>
  <c r="T1535" i="1"/>
  <c r="T1540" i="1"/>
  <c r="T1543" i="1"/>
  <c r="T1546" i="1"/>
  <c r="S1551" i="1"/>
  <c r="S1554" i="1"/>
  <c r="S1557" i="1"/>
  <c r="S1560" i="1"/>
  <c r="S1565" i="1"/>
  <c r="S1568" i="1"/>
  <c r="S1571" i="1"/>
  <c r="S1576" i="1"/>
  <c r="S1579" i="1"/>
  <c r="S1582" i="1"/>
  <c r="S1587" i="1"/>
  <c r="S1590" i="1"/>
  <c r="S1593" i="1"/>
  <c r="S1596" i="1"/>
  <c r="S1601" i="1"/>
  <c r="S1604" i="1"/>
  <c r="S1607" i="1"/>
  <c r="S1612" i="1"/>
  <c r="S1615" i="1"/>
  <c r="S1618" i="1"/>
  <c r="S1623" i="1"/>
  <c r="S1626" i="1"/>
  <c r="S1629" i="1"/>
  <c r="S1632" i="1"/>
  <c r="S1637" i="1"/>
  <c r="T783" i="1"/>
  <c r="S781" i="4" s="1"/>
  <c r="T1005" i="1"/>
  <c r="S1003" i="4" s="1"/>
  <c r="R1091" i="1"/>
  <c r="Q1089" i="4" s="1"/>
  <c r="R1179" i="1"/>
  <c r="Q1177" i="4" s="1"/>
  <c r="S1209" i="1"/>
  <c r="R1207" i="4" s="1"/>
  <c r="S1231" i="1"/>
  <c r="R1229" i="4" s="1"/>
  <c r="S1253" i="1"/>
  <c r="R1251" i="4" s="1"/>
  <c r="S1275" i="1"/>
  <c r="R1273" i="4" s="1"/>
  <c r="S1295" i="1"/>
  <c r="R1293" i="4" s="1"/>
  <c r="S1317" i="1"/>
  <c r="R1315" i="4" s="1"/>
  <c r="S1339" i="1"/>
  <c r="R1337" i="4" s="1"/>
  <c r="S1361" i="1"/>
  <c r="R1359" i="4" s="1"/>
  <c r="R1375" i="1"/>
  <c r="Q1373" i="4" s="1"/>
  <c r="R1378" i="1"/>
  <c r="Q1376" i="4" s="1"/>
  <c r="R1383" i="1"/>
  <c r="Q1381" i="4" s="1"/>
  <c r="R1386" i="1"/>
  <c r="Q1384" i="4" s="1"/>
  <c r="R1389" i="1"/>
  <c r="Q1387" i="4" s="1"/>
  <c r="R1392" i="1"/>
  <c r="Q1390" i="4" s="1"/>
  <c r="R1397" i="1"/>
  <c r="Q1395" i="4" s="1"/>
  <c r="R1400" i="1"/>
  <c r="Q1398" i="4" s="1"/>
  <c r="R1403" i="1"/>
  <c r="Q1401" i="4" s="1"/>
  <c r="R1408" i="1"/>
  <c r="Q1406" i="4" s="1"/>
  <c r="R1411" i="1"/>
  <c r="Q1409" i="4" s="1"/>
  <c r="R1414" i="1"/>
  <c r="Q1412" i="4" s="1"/>
  <c r="R1419" i="1"/>
  <c r="Q1417" i="4" s="1"/>
  <c r="R1422" i="1"/>
  <c r="Q1420" i="4" s="1"/>
  <c r="R1425" i="1"/>
  <c r="Q1423" i="4" s="1"/>
  <c r="R1428" i="1"/>
  <c r="Q1426" i="4" s="1"/>
  <c r="R1433" i="1"/>
  <c r="R1436" i="1"/>
  <c r="R1439" i="1"/>
  <c r="R1444" i="1"/>
  <c r="R1447" i="1"/>
  <c r="R1450" i="1"/>
  <c r="R1455" i="1"/>
  <c r="R1458" i="1"/>
  <c r="R1461" i="1"/>
  <c r="R1464" i="1"/>
  <c r="R1469" i="1"/>
  <c r="R1472" i="1"/>
  <c r="R1475" i="1"/>
  <c r="R1480" i="1"/>
  <c r="R1483" i="1"/>
  <c r="R1486" i="1"/>
  <c r="R1491" i="1"/>
  <c r="R1494" i="1"/>
  <c r="R1497" i="1"/>
  <c r="R1500" i="1"/>
  <c r="R1505" i="1"/>
  <c r="R1508" i="1"/>
  <c r="R1511" i="1"/>
  <c r="R1516" i="1"/>
  <c r="R1519" i="1"/>
  <c r="R1522" i="1"/>
  <c r="R1527" i="1"/>
  <c r="R1530" i="1"/>
  <c r="R1533" i="1"/>
  <c r="R1536" i="1"/>
  <c r="R1541" i="1"/>
  <c r="R1544" i="1"/>
  <c r="R1547" i="1"/>
  <c r="U1551" i="1"/>
  <c r="U1554" i="1"/>
  <c r="U1557" i="1"/>
  <c r="U1560" i="1"/>
  <c r="U1565" i="1"/>
  <c r="U1568" i="1"/>
  <c r="U1571" i="1"/>
  <c r="U1576" i="1"/>
  <c r="U1579" i="1"/>
  <c r="U1582" i="1"/>
  <c r="U1587" i="1"/>
  <c r="U1590" i="1"/>
  <c r="U1593" i="1"/>
  <c r="U1596" i="1"/>
  <c r="U1601" i="1"/>
  <c r="U1604" i="1"/>
  <c r="U1607" i="1"/>
  <c r="U1612" i="1"/>
  <c r="U1615" i="1"/>
  <c r="U1618" i="1"/>
  <c r="U1623" i="1"/>
  <c r="U1626" i="1"/>
  <c r="U1629" i="1"/>
  <c r="U1632" i="1"/>
  <c r="T1191" i="1"/>
  <c r="S1189" i="4" s="1"/>
  <c r="R1320" i="1"/>
  <c r="Q1318" i="4" s="1"/>
  <c r="S1386" i="1"/>
  <c r="R1384" i="4" s="1"/>
  <c r="S1408" i="1"/>
  <c r="R1406" i="4" s="1"/>
  <c r="S1428" i="1"/>
  <c r="R1426" i="4" s="1"/>
  <c r="S1450" i="1"/>
  <c r="S1472" i="1"/>
  <c r="S1494" i="1"/>
  <c r="S1516" i="1"/>
  <c r="S1536" i="1"/>
  <c r="R1558" i="1"/>
  <c r="R1580" i="1"/>
  <c r="R1602" i="1"/>
  <c r="R1624" i="1"/>
  <c r="S1639" i="1"/>
  <c r="S1642" i="1"/>
  <c r="S1647" i="1"/>
  <c r="S1650" i="1"/>
  <c r="S1653" i="1"/>
  <c r="S1656" i="1"/>
  <c r="S1661" i="1"/>
  <c r="S1664" i="1"/>
  <c r="S1667" i="1"/>
  <c r="S1672" i="1"/>
  <c r="S1675" i="1"/>
  <c r="S1678" i="1"/>
  <c r="S1683" i="1"/>
  <c r="S1686" i="1"/>
  <c r="S1689" i="1"/>
  <c r="S1692" i="1"/>
  <c r="S1697" i="1"/>
  <c r="S1700" i="1"/>
  <c r="S1703" i="1"/>
  <c r="S1708" i="1"/>
  <c r="S1711" i="1"/>
  <c r="S1714" i="1"/>
  <c r="S1719" i="1"/>
  <c r="S1722" i="1"/>
  <c r="S1725" i="1"/>
  <c r="S1728" i="1"/>
  <c r="S1733" i="1"/>
  <c r="S1736" i="1"/>
  <c r="S1739" i="1"/>
  <c r="U1743" i="1"/>
  <c r="U1746" i="1"/>
  <c r="U1749" i="1"/>
  <c r="U1752" i="1"/>
  <c r="U1757" i="1"/>
  <c r="U1760" i="1"/>
  <c r="U1763" i="1"/>
  <c r="U1768" i="1"/>
  <c r="U1771" i="1"/>
  <c r="U1774" i="1"/>
  <c r="S1779" i="1"/>
  <c r="S1782" i="1"/>
  <c r="S1785" i="1"/>
  <c r="S1788" i="1"/>
  <c r="R1793" i="1"/>
  <c r="R1796" i="1"/>
  <c r="R1799" i="1"/>
  <c r="U1803" i="1"/>
  <c r="U1806" i="1"/>
  <c r="U1809" i="1"/>
  <c r="U1812" i="1"/>
  <c r="T1817" i="1"/>
  <c r="R1209" i="1"/>
  <c r="Q1207" i="4" s="1"/>
  <c r="R1339" i="1"/>
  <c r="Q1337" i="4" s="1"/>
  <c r="U1388" i="1"/>
  <c r="T1386" i="4" s="1"/>
  <c r="U1410" i="1"/>
  <c r="T1408" i="4" s="1"/>
  <c r="U1432" i="1"/>
  <c r="U1452" i="1"/>
  <c r="U1474" i="1"/>
  <c r="U1496" i="1"/>
  <c r="U1518" i="1"/>
  <c r="U1540" i="1"/>
  <c r="T1560" i="1"/>
  <c r="T1582" i="1"/>
  <c r="T1604" i="1"/>
  <c r="T1626" i="1"/>
  <c r="T1639" i="1"/>
  <c r="T1642" i="1"/>
  <c r="T1647" i="1"/>
  <c r="T1650" i="1"/>
  <c r="T1653" i="1"/>
  <c r="T1656" i="1"/>
  <c r="T1661" i="1"/>
  <c r="T1664" i="1"/>
  <c r="T1667" i="1"/>
  <c r="T1672" i="1"/>
  <c r="T1675" i="1"/>
  <c r="T1678" i="1"/>
  <c r="T1683" i="1"/>
  <c r="T1686" i="1"/>
  <c r="T1689" i="1"/>
  <c r="T1692" i="1"/>
  <c r="T1697" i="1"/>
  <c r="T1700" i="1"/>
  <c r="T1703" i="1"/>
  <c r="T1708" i="1"/>
  <c r="T1711" i="1"/>
  <c r="T1714" i="1"/>
  <c r="T1719" i="1"/>
  <c r="T1722" i="1"/>
  <c r="T1725" i="1"/>
  <c r="T1728" i="1"/>
  <c r="T1733" i="1"/>
  <c r="T1736" i="1"/>
  <c r="T1739" i="1"/>
  <c r="R1744" i="1"/>
  <c r="R1747" i="1"/>
  <c r="R1750" i="1"/>
  <c r="R1755" i="1"/>
  <c r="R1758" i="1"/>
  <c r="R1761" i="1"/>
  <c r="R1764" i="1"/>
  <c r="R1769" i="1"/>
  <c r="R1772" i="1"/>
  <c r="R1775" i="1"/>
  <c r="T1779" i="1"/>
  <c r="T1782" i="1"/>
  <c r="T1785" i="1"/>
  <c r="T1788" i="1"/>
  <c r="S1793" i="1"/>
  <c r="S1796" i="1"/>
  <c r="S1799" i="1"/>
  <c r="R1804" i="1"/>
  <c r="R1807" i="1"/>
  <c r="R1810" i="1"/>
  <c r="T1814" i="1"/>
  <c r="U1817" i="1"/>
  <c r="R1212" i="1"/>
  <c r="Q1210" i="4" s="1"/>
  <c r="R1342" i="1"/>
  <c r="Q1340" i="4" s="1"/>
  <c r="S1389" i="1"/>
  <c r="R1387" i="4" s="1"/>
  <c r="S1411" i="1"/>
  <c r="R1409" i="4" s="1"/>
  <c r="S1433" i="1"/>
  <c r="S1455" i="1"/>
  <c r="S1475" i="1"/>
  <c r="S1497" i="1"/>
  <c r="S1519" i="1"/>
  <c r="S1541" i="1"/>
  <c r="R1563" i="1"/>
  <c r="R1583" i="1"/>
  <c r="R1605" i="1"/>
  <c r="R1627" i="1"/>
  <c r="U1639" i="1"/>
  <c r="U1642" i="1"/>
  <c r="U1647" i="1"/>
  <c r="U1650" i="1"/>
  <c r="U1653" i="1"/>
  <c r="U1656" i="1"/>
  <c r="U1661" i="1"/>
  <c r="U1664" i="1"/>
  <c r="U1667" i="1"/>
  <c r="U1672" i="1"/>
  <c r="U1675" i="1"/>
  <c r="U1678" i="1"/>
  <c r="U1683" i="1"/>
  <c r="U1686" i="1"/>
  <c r="U1689" i="1"/>
  <c r="U1692" i="1"/>
  <c r="U1697" i="1"/>
  <c r="U1700" i="1"/>
  <c r="U1703" i="1"/>
  <c r="U1708" i="1"/>
  <c r="U1711" i="1"/>
  <c r="U1714" i="1"/>
  <c r="U1719" i="1"/>
  <c r="U1722" i="1"/>
  <c r="U1725" i="1"/>
  <c r="U1728" i="1"/>
  <c r="U1733" i="1"/>
  <c r="U1736" i="1"/>
  <c r="U1739" i="1"/>
  <c r="S1744" i="1"/>
  <c r="S1747" i="1"/>
  <c r="S1750" i="1"/>
  <c r="S1755" i="1"/>
  <c r="S1758" i="1"/>
  <c r="S1761" i="1"/>
  <c r="S1764" i="1"/>
  <c r="S1769" i="1"/>
  <c r="S1772" i="1"/>
  <c r="S1775" i="1"/>
  <c r="U1779" i="1"/>
  <c r="U1782" i="1"/>
  <c r="U1785" i="1"/>
  <c r="U1788" i="1"/>
  <c r="T1793" i="1"/>
  <c r="T1796" i="1"/>
  <c r="T1799" i="1"/>
  <c r="S1804" i="1"/>
  <c r="S1807" i="1"/>
  <c r="S1810" i="1"/>
  <c r="R1815" i="1"/>
  <c r="R1818" i="1"/>
  <c r="R1231" i="1"/>
  <c r="Q1229" i="4" s="1"/>
  <c r="R1361" i="1"/>
  <c r="Q1359" i="4" s="1"/>
  <c r="U1391" i="1"/>
  <c r="T1389" i="4" s="1"/>
  <c r="U1413" i="1"/>
  <c r="T1411" i="4" s="1"/>
  <c r="U1435" i="1"/>
  <c r="U1457" i="1"/>
  <c r="U1479" i="1"/>
  <c r="U1499" i="1"/>
  <c r="U1521" i="1"/>
  <c r="U1543" i="1"/>
  <c r="T1565" i="1"/>
  <c r="T1587" i="1"/>
  <c r="T1607" i="1"/>
  <c r="T1629" i="1"/>
  <c r="R1640" i="1"/>
  <c r="R1643" i="1"/>
  <c r="R1648" i="1"/>
  <c r="R1651" i="1"/>
  <c r="R1654" i="1"/>
  <c r="R1659" i="1"/>
  <c r="R1662" i="1"/>
  <c r="R1665" i="1"/>
  <c r="R1668" i="1"/>
  <c r="R1673" i="1"/>
  <c r="R1676" i="1"/>
  <c r="R1679" i="1"/>
  <c r="R1684" i="1"/>
  <c r="R1687" i="1"/>
  <c r="R1690" i="1"/>
  <c r="R1695" i="1"/>
  <c r="R1698" i="1"/>
  <c r="R1701" i="1"/>
  <c r="R1704" i="1"/>
  <c r="R1709" i="1"/>
  <c r="R1712" i="1"/>
  <c r="R1715" i="1"/>
  <c r="R1720" i="1"/>
  <c r="R1723" i="1"/>
  <c r="R1726" i="1"/>
  <c r="R1731" i="1"/>
  <c r="R1734" i="1"/>
  <c r="R1737" i="1"/>
  <c r="R1740" i="1"/>
  <c r="T1744" i="1"/>
  <c r="T1747" i="1"/>
  <c r="T1750" i="1"/>
  <c r="T1755" i="1"/>
  <c r="T1758" i="1"/>
  <c r="T1761" i="1"/>
  <c r="T1764" i="1"/>
  <c r="T1769" i="1"/>
  <c r="T1772" i="1"/>
  <c r="T1775" i="1"/>
  <c r="R1780" i="1"/>
  <c r="R1783" i="1"/>
  <c r="R1786" i="1"/>
  <c r="T1790" i="1"/>
  <c r="U1793" i="1"/>
  <c r="U1796" i="1"/>
  <c r="U1799" i="1"/>
  <c r="T1804" i="1"/>
  <c r="T1807" i="1"/>
  <c r="T1810" i="1"/>
  <c r="S1815" i="1"/>
  <c r="S1818" i="1"/>
  <c r="R1234" i="1"/>
  <c r="Q1232" i="4" s="1"/>
  <c r="R1364" i="1"/>
  <c r="Q1362" i="4" s="1"/>
  <c r="S1392" i="1"/>
  <c r="R1390" i="4" s="1"/>
  <c r="S1414" i="1"/>
  <c r="R1412" i="4" s="1"/>
  <c r="S1436" i="1"/>
  <c r="S1458" i="1"/>
  <c r="S1480" i="1"/>
  <c r="S1500" i="1"/>
  <c r="S1522" i="1"/>
  <c r="S1544" i="1"/>
  <c r="R1566" i="1"/>
  <c r="R1588" i="1"/>
  <c r="R1608" i="1"/>
  <c r="R1630" i="1"/>
  <c r="S1640" i="1"/>
  <c r="S1643" i="1"/>
  <c r="S1648" i="1"/>
  <c r="S1651" i="1"/>
  <c r="S1654" i="1"/>
  <c r="S1659" i="1"/>
  <c r="S1662" i="1"/>
  <c r="S1665" i="1"/>
  <c r="S1668" i="1"/>
  <c r="S1673" i="1"/>
  <c r="S1676" i="1"/>
  <c r="S1679" i="1"/>
  <c r="S1684" i="1"/>
  <c r="S1687" i="1"/>
  <c r="S1690" i="1"/>
  <c r="S1695" i="1"/>
  <c r="S1698" i="1"/>
  <c r="S1701" i="1"/>
  <c r="S1704" i="1"/>
  <c r="S1709" i="1"/>
  <c r="S1712" i="1"/>
  <c r="S1715" i="1"/>
  <c r="S1720" i="1"/>
  <c r="S1723" i="1"/>
  <c r="S1726" i="1"/>
  <c r="S1731" i="1"/>
  <c r="S1734" i="1"/>
  <c r="S1737" i="1"/>
  <c r="S1740" i="1"/>
  <c r="U1744" i="1"/>
  <c r="U1747" i="1"/>
  <c r="U1750" i="1"/>
  <c r="U1755" i="1"/>
  <c r="U1758" i="1"/>
  <c r="U1761" i="1"/>
  <c r="U1764" i="1"/>
  <c r="U1769" i="1"/>
  <c r="U1772" i="1"/>
  <c r="U1775" i="1"/>
  <c r="S1780" i="1"/>
  <c r="S1783" i="1"/>
  <c r="S1786" i="1"/>
  <c r="R1791" i="1"/>
  <c r="R1794" i="1"/>
  <c r="R1797" i="1"/>
  <c r="R1800" i="1"/>
  <c r="U1804" i="1"/>
  <c r="U1807" i="1"/>
  <c r="U1810" i="1"/>
  <c r="T1815" i="1"/>
  <c r="T1818" i="1"/>
  <c r="S783" i="1"/>
  <c r="R781" i="4" s="1"/>
  <c r="R1253" i="1"/>
  <c r="Q1251" i="4" s="1"/>
  <c r="U1374" i="1"/>
  <c r="T1372" i="4" s="1"/>
  <c r="U1396" i="1"/>
  <c r="T1394" i="4" s="1"/>
  <c r="U1416" i="1"/>
  <c r="T1414" i="4" s="1"/>
  <c r="U1438" i="1"/>
  <c r="U1460" i="1"/>
  <c r="U1482" i="1"/>
  <c r="U1504" i="1"/>
  <c r="U1524" i="1"/>
  <c r="U1546" i="1"/>
  <c r="T1568" i="1"/>
  <c r="T1590" i="1"/>
  <c r="T1612" i="1"/>
  <c r="T1632" i="1"/>
  <c r="T1640" i="1"/>
  <c r="T1643" i="1"/>
  <c r="T1648" i="1"/>
  <c r="T1651" i="1"/>
  <c r="T1654" i="1"/>
  <c r="T1659" i="1"/>
  <c r="T1662" i="1"/>
  <c r="T1665" i="1"/>
  <c r="T1668" i="1"/>
  <c r="T1673" i="1"/>
  <c r="T1676" i="1"/>
  <c r="T1679" i="1"/>
  <c r="T1684" i="1"/>
  <c r="T1687" i="1"/>
  <c r="T1690" i="1"/>
  <c r="T1695" i="1"/>
  <c r="T1698" i="1"/>
  <c r="T1701" i="1"/>
  <c r="T1704" i="1"/>
  <c r="T1709" i="1"/>
  <c r="T1712" i="1"/>
  <c r="T1715" i="1"/>
  <c r="T1720" i="1"/>
  <c r="T1723" i="1"/>
  <c r="T1726" i="1"/>
  <c r="T1731" i="1"/>
  <c r="T1734" i="1"/>
  <c r="T1737" i="1"/>
  <c r="T1740" i="1"/>
  <c r="R1745" i="1"/>
  <c r="R1748" i="1"/>
  <c r="R1751" i="1"/>
  <c r="R1756" i="1"/>
  <c r="R1759" i="1"/>
  <c r="R1762" i="1"/>
  <c r="R1767" i="1"/>
  <c r="R1770" i="1"/>
  <c r="R1773" i="1"/>
  <c r="R1776" i="1"/>
  <c r="T1780" i="1"/>
  <c r="T1783" i="1"/>
  <c r="T1786" i="1"/>
  <c r="S1791" i="1"/>
  <c r="S1794" i="1"/>
  <c r="S1797" i="1"/>
  <c r="S1800" i="1"/>
  <c r="R1805" i="1"/>
  <c r="R1808" i="1"/>
  <c r="R1811" i="1"/>
  <c r="U1815" i="1"/>
  <c r="U1818" i="1"/>
  <c r="S825" i="1"/>
  <c r="R823" i="4" s="1"/>
  <c r="R1256" i="1"/>
  <c r="Q1254" i="4" s="1"/>
  <c r="S1375" i="1"/>
  <c r="R1373" i="4" s="1"/>
  <c r="S1397" i="1"/>
  <c r="R1395" i="4" s="1"/>
  <c r="S1419" i="1"/>
  <c r="R1417" i="4" s="1"/>
  <c r="S1439" i="1"/>
  <c r="S1461" i="1"/>
  <c r="S1483" i="1"/>
  <c r="S1505" i="1"/>
  <c r="S1527" i="1"/>
  <c r="S1547" i="1"/>
  <c r="R1569" i="1"/>
  <c r="R1591" i="1"/>
  <c r="R1613" i="1"/>
  <c r="R1635" i="1"/>
  <c r="U1640" i="1"/>
  <c r="U1643" i="1"/>
  <c r="U1648" i="1"/>
  <c r="U1651" i="1"/>
  <c r="U1654" i="1"/>
  <c r="U1659" i="1"/>
  <c r="U1662" i="1"/>
  <c r="U1665" i="1"/>
  <c r="U1668" i="1"/>
  <c r="U1673" i="1"/>
  <c r="U1676" i="1"/>
  <c r="U1679" i="1"/>
  <c r="U1684" i="1"/>
  <c r="U1687" i="1"/>
  <c r="U1690" i="1"/>
  <c r="U1695" i="1"/>
  <c r="U1698" i="1"/>
  <c r="U1701" i="1"/>
  <c r="U1704" i="1"/>
  <c r="U1709" i="1"/>
  <c r="U1712" i="1"/>
  <c r="U1715" i="1"/>
  <c r="U1720" i="1"/>
  <c r="U1723" i="1"/>
  <c r="U1726" i="1"/>
  <c r="U1731" i="1"/>
  <c r="U1734" i="1"/>
  <c r="U1737" i="1"/>
  <c r="U1740" i="1"/>
  <c r="S1745" i="1"/>
  <c r="S1748" i="1"/>
  <c r="S1751" i="1"/>
  <c r="S1756" i="1"/>
  <c r="S1759" i="1"/>
  <c r="S1762" i="1"/>
  <c r="S1767" i="1"/>
  <c r="S1770" i="1"/>
  <c r="S1773" i="1"/>
  <c r="S1776" i="1"/>
  <c r="U1780" i="1"/>
  <c r="U1783" i="1"/>
  <c r="U1786" i="1"/>
  <c r="T1791" i="1"/>
  <c r="T1794" i="1"/>
  <c r="T1797" i="1"/>
  <c r="T1800" i="1"/>
  <c r="S1805" i="1"/>
  <c r="S1808" i="1"/>
  <c r="S1811" i="1"/>
  <c r="R1816" i="1"/>
  <c r="R1819" i="1"/>
  <c r="S1005" i="1"/>
  <c r="R1003" i="4" s="1"/>
  <c r="R1275" i="1"/>
  <c r="Q1273" i="4" s="1"/>
  <c r="U1377" i="1"/>
  <c r="T1375" i="4" s="1"/>
  <c r="U1399" i="1"/>
  <c r="T1397" i="4" s="1"/>
  <c r="U1421" i="1"/>
  <c r="T1419" i="4" s="1"/>
  <c r="U1443" i="1"/>
  <c r="U1463" i="1"/>
  <c r="U1485" i="1"/>
  <c r="U1507" i="1"/>
  <c r="U1529" i="1"/>
  <c r="T1551" i="1"/>
  <c r="T1571" i="1"/>
  <c r="T1593" i="1"/>
  <c r="T1615" i="1"/>
  <c r="T1637" i="1"/>
  <c r="R1641" i="1"/>
  <c r="R1644" i="1"/>
  <c r="R1649" i="1"/>
  <c r="R1652" i="1"/>
  <c r="R1655" i="1"/>
  <c r="R1660" i="1"/>
  <c r="R1663" i="1"/>
  <c r="R1666" i="1"/>
  <c r="R1671" i="1"/>
  <c r="R1674" i="1"/>
  <c r="R1677" i="1"/>
  <c r="R1680" i="1"/>
  <c r="R1685" i="1"/>
  <c r="R1688" i="1"/>
  <c r="R1691" i="1"/>
  <c r="R1696" i="1"/>
  <c r="R1699" i="1"/>
  <c r="R1702" i="1"/>
  <c r="R1707" i="1"/>
  <c r="R1710" i="1"/>
  <c r="R1713" i="1"/>
  <c r="R1716" i="1"/>
  <c r="R1721" i="1"/>
  <c r="R1724" i="1"/>
  <c r="R1727" i="1"/>
  <c r="R1732" i="1"/>
  <c r="R1735" i="1"/>
  <c r="R1738" i="1"/>
  <c r="U1741" i="1"/>
  <c r="T1745" i="1"/>
  <c r="T1748" i="1"/>
  <c r="T1751" i="1"/>
  <c r="T1756" i="1"/>
  <c r="T1759" i="1"/>
  <c r="T1762" i="1"/>
  <c r="T1767" i="1"/>
  <c r="T1770" i="1"/>
  <c r="T1773" i="1"/>
  <c r="T1776" i="1"/>
  <c r="R1781" i="1"/>
  <c r="R1784" i="1"/>
  <c r="R1787" i="1"/>
  <c r="U1791" i="1"/>
  <c r="U1794" i="1"/>
  <c r="U1797" i="1"/>
  <c r="U1800" i="1"/>
  <c r="T1805" i="1"/>
  <c r="T1808" i="1"/>
  <c r="T1811" i="1"/>
  <c r="S1816" i="1"/>
  <c r="S1819" i="1"/>
  <c r="S1019" i="1"/>
  <c r="R1017" i="4" s="1"/>
  <c r="R1278" i="1"/>
  <c r="Q1276" i="4" s="1"/>
  <c r="S1378" i="1"/>
  <c r="R1376" i="4" s="1"/>
  <c r="S1400" i="1"/>
  <c r="R1398" i="4" s="1"/>
  <c r="S1422" i="1"/>
  <c r="R1420" i="4" s="1"/>
  <c r="S1444" i="1"/>
  <c r="S1464" i="1"/>
  <c r="S1486" i="1"/>
  <c r="S1508" i="1"/>
  <c r="S1530" i="1"/>
  <c r="R1552" i="1"/>
  <c r="R1572" i="1"/>
  <c r="R1594" i="1"/>
  <c r="R1616" i="1"/>
  <c r="U1637" i="1"/>
  <c r="S1641" i="1"/>
  <c r="S1644" i="1"/>
  <c r="S1649" i="1"/>
  <c r="S1652" i="1"/>
  <c r="S1655" i="1"/>
  <c r="S1660" i="1"/>
  <c r="S1663" i="1"/>
  <c r="S1666" i="1"/>
  <c r="S1671" i="1"/>
  <c r="S1674" i="1"/>
  <c r="S1677" i="1"/>
  <c r="S1680" i="1"/>
  <c r="S1685" i="1"/>
  <c r="S1688" i="1"/>
  <c r="S1691" i="1"/>
  <c r="S1696" i="1"/>
  <c r="S1699" i="1"/>
  <c r="S1702" i="1"/>
  <c r="S1707" i="1"/>
  <c r="S1710" i="1"/>
  <c r="S1713" i="1"/>
  <c r="S1716" i="1"/>
  <c r="S1721" i="1"/>
  <c r="S1724" i="1"/>
  <c r="S1727" i="1"/>
  <c r="S1732" i="1"/>
  <c r="S1735" i="1"/>
  <c r="S1738" i="1"/>
  <c r="R1742" i="1"/>
  <c r="U1745" i="1"/>
  <c r="U1748" i="1"/>
  <c r="U1751" i="1"/>
  <c r="U1756" i="1"/>
  <c r="U1759" i="1"/>
  <c r="U1762" i="1"/>
  <c r="U1767" i="1"/>
  <c r="U1770" i="1"/>
  <c r="U1773" i="1"/>
  <c r="U1776" i="1"/>
  <c r="S1781" i="1"/>
  <c r="S1784" i="1"/>
  <c r="S1787" i="1"/>
  <c r="R1792" i="1"/>
  <c r="R1795" i="1"/>
  <c r="R1798" i="1"/>
  <c r="T1802" i="1"/>
  <c r="U1805" i="1"/>
  <c r="U1808" i="1"/>
  <c r="U1811" i="1"/>
  <c r="T1816" i="1"/>
  <c r="T1819" i="1"/>
  <c r="S1383" i="1"/>
  <c r="R1381" i="4" s="1"/>
  <c r="S1469" i="1"/>
  <c r="R1555" i="1"/>
  <c r="T1638" i="1"/>
  <c r="U1652" i="1"/>
  <c r="U1666" i="1"/>
  <c r="U1680" i="1"/>
  <c r="U1696" i="1"/>
  <c r="U1710" i="1"/>
  <c r="U1724" i="1"/>
  <c r="U1738" i="1"/>
  <c r="S1752" i="1"/>
  <c r="S1768" i="1"/>
  <c r="U1781" i="1"/>
  <c r="T1795" i="1"/>
  <c r="S1809" i="1"/>
  <c r="U1385" i="1"/>
  <c r="T1383" i="4" s="1"/>
  <c r="U1471" i="1"/>
  <c r="T1557" i="1"/>
  <c r="R1639" i="1"/>
  <c r="R1653" i="1"/>
  <c r="R1667" i="1"/>
  <c r="R1683" i="1"/>
  <c r="R1697" i="1"/>
  <c r="R1711" i="1"/>
  <c r="R1725" i="1"/>
  <c r="R1739" i="1"/>
  <c r="T1752" i="1"/>
  <c r="T1768" i="1"/>
  <c r="R1782" i="1"/>
  <c r="U1795" i="1"/>
  <c r="T1809" i="1"/>
  <c r="U1402" i="1"/>
  <c r="T1400" i="4" s="1"/>
  <c r="U1488" i="1"/>
  <c r="T1576" i="1"/>
  <c r="T1641" i="1"/>
  <c r="T1655" i="1"/>
  <c r="T1671" i="1"/>
  <c r="T1685" i="1"/>
  <c r="T1699" i="1"/>
  <c r="T1713" i="1"/>
  <c r="T1727" i="1"/>
  <c r="R1743" i="1"/>
  <c r="R1757" i="1"/>
  <c r="R1771" i="1"/>
  <c r="T1784" i="1"/>
  <c r="S1798" i="1"/>
  <c r="R1812" i="1"/>
  <c r="S1403" i="1"/>
  <c r="R1401" i="4" s="1"/>
  <c r="S1491" i="1"/>
  <c r="R1577" i="1"/>
  <c r="U1641" i="1"/>
  <c r="U1655" i="1"/>
  <c r="U1671" i="1"/>
  <c r="U1685" i="1"/>
  <c r="U1699" i="1"/>
  <c r="U1713" i="1"/>
  <c r="U1727" i="1"/>
  <c r="S1743" i="1"/>
  <c r="S1757" i="1"/>
  <c r="S1771" i="1"/>
  <c r="U1784" i="1"/>
  <c r="T1798" i="1"/>
  <c r="S1812" i="1"/>
  <c r="U1407" i="1"/>
  <c r="T1405" i="4" s="1"/>
  <c r="U1493" i="1"/>
  <c r="T1579" i="1"/>
  <c r="R1642" i="1"/>
  <c r="R1656" i="1"/>
  <c r="R1672" i="1"/>
  <c r="R1686" i="1"/>
  <c r="R1700" i="1"/>
  <c r="R1714" i="1"/>
  <c r="R1728" i="1"/>
  <c r="T1743" i="1"/>
  <c r="T1757" i="1"/>
  <c r="T1771" i="1"/>
  <c r="R1785" i="1"/>
  <c r="U1798" i="1"/>
  <c r="T1812" i="1"/>
  <c r="U1090" i="1"/>
  <c r="T1088" i="4" s="1"/>
  <c r="U1424" i="1"/>
  <c r="T1422" i="4" s="1"/>
  <c r="U1510" i="1"/>
  <c r="T1596" i="1"/>
  <c r="T1644" i="1"/>
  <c r="T1660" i="1"/>
  <c r="T1674" i="1"/>
  <c r="T1688" i="1"/>
  <c r="T1702" i="1"/>
  <c r="T1716" i="1"/>
  <c r="T1732" i="1"/>
  <c r="R1746" i="1"/>
  <c r="R1760" i="1"/>
  <c r="R1774" i="1"/>
  <c r="T1787" i="1"/>
  <c r="R1803" i="1"/>
  <c r="U1816" i="1"/>
  <c r="U1104" i="1"/>
  <c r="T1102" i="4" s="1"/>
  <c r="S1425" i="1"/>
  <c r="R1423" i="4" s="1"/>
  <c r="S1511" i="1"/>
  <c r="R1599" i="1"/>
  <c r="U1644" i="1"/>
  <c r="U1660" i="1"/>
  <c r="U1674" i="1"/>
  <c r="U1688" i="1"/>
  <c r="U1702" i="1"/>
  <c r="U1716" i="1"/>
  <c r="U1732" i="1"/>
  <c r="S1746" i="1"/>
  <c r="S1760" i="1"/>
  <c r="S1774" i="1"/>
  <c r="U1787" i="1"/>
  <c r="S1803" i="1"/>
  <c r="R1817" i="1"/>
  <c r="U1176" i="1"/>
  <c r="T1174" i="4" s="1"/>
  <c r="U1427" i="1"/>
  <c r="T1425" i="4" s="1"/>
  <c r="U1515" i="1"/>
  <c r="T1601" i="1"/>
  <c r="R1647" i="1"/>
  <c r="R1661" i="1"/>
  <c r="R1675" i="1"/>
  <c r="R1689" i="1"/>
  <c r="R1703" i="1"/>
  <c r="R1719" i="1"/>
  <c r="R1733" i="1"/>
  <c r="T1746" i="1"/>
  <c r="T1760" i="1"/>
  <c r="T1774" i="1"/>
  <c r="R1788" i="1"/>
  <c r="T1803" i="1"/>
  <c r="S1817" i="1"/>
  <c r="R1295" i="1"/>
  <c r="Q1293" i="4" s="1"/>
  <c r="U1446" i="1"/>
  <c r="U1532" i="1"/>
  <c r="T1618" i="1"/>
  <c r="T1649" i="1"/>
  <c r="T1663" i="1"/>
  <c r="T1677" i="1"/>
  <c r="T1691" i="1"/>
  <c r="T1707" i="1"/>
  <c r="T1721" i="1"/>
  <c r="T1735" i="1"/>
  <c r="R1749" i="1"/>
  <c r="R1763" i="1"/>
  <c r="U1777" i="1"/>
  <c r="S1792" i="1"/>
  <c r="R1806" i="1"/>
  <c r="U1819" i="1"/>
  <c r="R1317" i="1"/>
  <c r="Q1315" i="4" s="1"/>
  <c r="U1449" i="1"/>
  <c r="U1535" i="1"/>
  <c r="T1623" i="1"/>
  <c r="R1650" i="1"/>
  <c r="R1664" i="1"/>
  <c r="R1678" i="1"/>
  <c r="R1692" i="1"/>
  <c r="R1708" i="1"/>
  <c r="R1722" i="1"/>
  <c r="R1736" i="1"/>
  <c r="T1749" i="1"/>
  <c r="T1763" i="1"/>
  <c r="R1779" i="1"/>
  <c r="U1792" i="1"/>
  <c r="T1806" i="1"/>
  <c r="R1638" i="1"/>
  <c r="T1724" i="1"/>
  <c r="R1809" i="1"/>
  <c r="U1649" i="1"/>
  <c r="U1735" i="1"/>
  <c r="T1652" i="1"/>
  <c r="T1738" i="1"/>
  <c r="U1663" i="1"/>
  <c r="S1749" i="1"/>
  <c r="T1666" i="1"/>
  <c r="R1752" i="1"/>
  <c r="R1300" i="1"/>
  <c r="Q1298" i="4" s="1"/>
  <c r="U1677" i="1"/>
  <c r="S1763" i="1"/>
  <c r="U1380" i="1"/>
  <c r="T1378" i="4" s="1"/>
  <c r="T1680" i="1"/>
  <c r="R1768" i="1"/>
  <c r="S1447" i="1"/>
  <c r="U1691" i="1"/>
  <c r="R1778" i="1"/>
  <c r="U1468" i="1"/>
  <c r="T1696" i="1"/>
  <c r="T1781" i="1"/>
  <c r="S1533" i="1"/>
  <c r="U1707" i="1"/>
  <c r="T1792" i="1"/>
  <c r="T1554" i="1"/>
  <c r="T1710" i="1"/>
  <c r="S1795" i="1"/>
  <c r="L647" i="1"/>
  <c r="L645" i="4" s="1"/>
  <c r="M644" i="1"/>
  <c r="M642" i="4" s="1"/>
  <c r="L635" i="1"/>
  <c r="L633" i="4" s="1"/>
  <c r="L632" i="1"/>
  <c r="L630" i="4" s="1"/>
  <c r="N626" i="1"/>
  <c r="N624" i="4" s="1"/>
  <c r="N620" i="1"/>
  <c r="N618" i="4" s="1"/>
  <c r="M614" i="1"/>
  <c r="M612" i="4" s="1"/>
  <c r="L607" i="1"/>
  <c r="L605" i="4" s="1"/>
  <c r="L602" i="1"/>
  <c r="L600" i="4" s="1"/>
  <c r="N598" i="1"/>
  <c r="N596" i="4" s="1"/>
  <c r="L595" i="1"/>
  <c r="L593" i="4" s="1"/>
  <c r="L590" i="1"/>
  <c r="L588" i="4" s="1"/>
  <c r="N586" i="1"/>
  <c r="N584" i="4" s="1"/>
  <c r="L583" i="1"/>
  <c r="L581" i="4" s="1"/>
  <c r="L578" i="1"/>
  <c r="L576" i="4" s="1"/>
  <c r="N574" i="1"/>
  <c r="N572" i="4" s="1"/>
  <c r="L571" i="1"/>
  <c r="L569" i="4" s="1"/>
  <c r="L566" i="1"/>
  <c r="L564" i="4" s="1"/>
  <c r="N562" i="1"/>
  <c r="N560" i="4" s="1"/>
  <c r="L545" i="1"/>
  <c r="L543" i="4" s="1"/>
  <c r="L518" i="1"/>
  <c r="L516" i="4" s="1"/>
  <c r="L495" i="1"/>
  <c r="L493" i="4" s="1"/>
  <c r="N481" i="1"/>
  <c r="N479" i="4" s="1"/>
  <c r="N472" i="1"/>
  <c r="N470" i="4" s="1"/>
  <c r="N457" i="1"/>
  <c r="N455" i="4" s="1"/>
  <c r="M432" i="1"/>
  <c r="M430" i="4" s="1"/>
  <c r="L375" i="1"/>
  <c r="L373" i="4" s="1"/>
  <c r="L284" i="1"/>
  <c r="L282" i="4" s="1"/>
  <c r="N278" i="1"/>
  <c r="N276" i="4" s="1"/>
  <c r="L254" i="1"/>
  <c r="L252" i="4" s="1"/>
  <c r="L1776" i="1"/>
  <c r="M1768" i="1"/>
  <c r="M1744" i="1"/>
  <c r="M1720" i="1"/>
  <c r="M1697" i="1"/>
  <c r="N1688" i="1"/>
  <c r="M1665" i="1"/>
  <c r="N1649" i="1"/>
  <c r="N1634" i="1"/>
  <c r="N1608" i="1"/>
  <c r="L1601" i="1"/>
  <c r="N1585" i="1"/>
  <c r="M1578" i="1"/>
  <c r="L1563" i="1"/>
  <c r="L1476" i="1"/>
  <c r="L1424" i="1"/>
  <c r="L1422" i="4" s="1"/>
  <c r="L967" i="1"/>
  <c r="L965" i="4" s="1"/>
  <c r="L811" i="1"/>
  <c r="L809" i="4" s="1"/>
  <c r="R1619" i="1"/>
  <c r="L1744" i="1"/>
  <c r="L1665" i="1"/>
  <c r="M1649" i="1"/>
  <c r="M1608" i="1"/>
  <c r="M1585" i="1"/>
  <c r="N1577" i="1"/>
  <c r="M1563" i="1"/>
  <c r="N1527" i="1"/>
  <c r="N1433" i="1"/>
  <c r="L1771" i="1"/>
  <c r="M606" i="1"/>
  <c r="M604" i="4" s="1"/>
  <c r="M598" i="1"/>
  <c r="M596" i="4" s="1"/>
  <c r="M582" i="1"/>
  <c r="M580" i="4" s="1"/>
  <c r="M562" i="1"/>
  <c r="M560" i="4" s="1"/>
  <c r="L350" i="1"/>
  <c r="L348" i="4" s="1"/>
  <c r="L306" i="1"/>
  <c r="L304" i="4" s="1"/>
  <c r="L291" i="1"/>
  <c r="L289" i="4" s="1"/>
  <c r="M268" i="1"/>
  <c r="M266" i="4" s="1"/>
  <c r="N260" i="1"/>
  <c r="N258" i="4" s="1"/>
  <c r="M1798" i="1"/>
  <c r="N1783" i="1"/>
  <c r="L1752" i="1"/>
  <c r="N644" i="1"/>
  <c r="N642" i="4" s="1"/>
  <c r="M638" i="1"/>
  <c r="M636" i="4" s="1"/>
  <c r="L631" i="1"/>
  <c r="L629" i="4" s="1"/>
  <c r="L626" i="1"/>
  <c r="L624" i="4" s="1"/>
  <c r="N622" i="1"/>
  <c r="N620" i="4" s="1"/>
  <c r="M618" i="1"/>
  <c r="M616" i="4" s="1"/>
  <c r="M610" i="1"/>
  <c r="M608" i="4" s="1"/>
  <c r="N606" i="1"/>
  <c r="N604" i="4" s="1"/>
  <c r="N601" i="1"/>
  <c r="N599" i="4" s="1"/>
  <c r="L598" i="1"/>
  <c r="L596" i="4" s="1"/>
  <c r="N594" i="1"/>
  <c r="N592" i="4" s="1"/>
  <c r="N589" i="1"/>
  <c r="N587" i="4" s="1"/>
  <c r="L586" i="1"/>
  <c r="L584" i="4" s="1"/>
  <c r="N582" i="1"/>
  <c r="N580" i="4" s="1"/>
  <c r="N577" i="1"/>
  <c r="N575" i="4" s="1"/>
  <c r="L574" i="1"/>
  <c r="L572" i="4" s="1"/>
  <c r="N570" i="1"/>
  <c r="N568" i="4" s="1"/>
  <c r="N565" i="1"/>
  <c r="N563" i="4" s="1"/>
  <c r="L535" i="1"/>
  <c r="L533" i="4" s="1"/>
  <c r="L526" i="1"/>
  <c r="L524" i="4" s="1"/>
  <c r="N517" i="1"/>
  <c r="N515" i="4" s="1"/>
  <c r="L509" i="1"/>
  <c r="L507" i="4" s="1"/>
  <c r="N463" i="1"/>
  <c r="N461" i="4" s="1"/>
  <c r="L438" i="1"/>
  <c r="L436" i="4" s="1"/>
  <c r="M431" i="1"/>
  <c r="M429" i="4" s="1"/>
  <c r="M423" i="1"/>
  <c r="M421" i="4" s="1"/>
  <c r="M399" i="1"/>
  <c r="M397" i="4" s="1"/>
  <c r="L356" i="1"/>
  <c r="L354" i="4" s="1"/>
  <c r="N340" i="1"/>
  <c r="N338" i="4" s="1"/>
  <c r="N331" i="1"/>
  <c r="N329" i="4" s="1"/>
  <c r="N324" i="1"/>
  <c r="N322" i="4" s="1"/>
  <c r="M315" i="1"/>
  <c r="M313" i="4" s="1"/>
  <c r="N298" i="1"/>
  <c r="N296" i="4" s="1"/>
  <c r="L268" i="1"/>
  <c r="L266" i="4" s="1"/>
  <c r="L260" i="1"/>
  <c r="L258" i="4" s="1"/>
  <c r="M253" i="1"/>
  <c r="M251" i="4" s="1"/>
  <c r="M1814" i="1"/>
  <c r="M1806" i="1"/>
  <c r="M1791" i="1"/>
  <c r="L1783" i="1"/>
  <c r="M1759" i="1"/>
  <c r="L1751" i="1"/>
  <c r="N1709" i="1"/>
  <c r="L1671" i="1"/>
  <c r="L1625" i="1"/>
  <c r="M1616" i="1"/>
  <c r="M1527" i="1"/>
  <c r="L1390" i="1"/>
  <c r="L1388" i="4" s="1"/>
  <c r="M1211" i="1"/>
  <c r="M1209" i="4" s="1"/>
  <c r="L603" i="1"/>
  <c r="L601" i="4" s="1"/>
  <c r="L619" i="1"/>
  <c r="L617" i="4" s="1"/>
  <c r="M570" i="1"/>
  <c r="M568" i="4" s="1"/>
  <c r="M456" i="1"/>
  <c r="M454" i="4" s="1"/>
  <c r="M448" i="1"/>
  <c r="M446" i="4" s="1"/>
  <c r="L390" i="1"/>
  <c r="L388" i="4" s="1"/>
  <c r="L383" i="1"/>
  <c r="L381" i="4" s="1"/>
  <c r="M365" i="1"/>
  <c r="M363" i="4" s="1"/>
  <c r="N315" i="1"/>
  <c r="N313" i="4" s="1"/>
  <c r="N1759" i="1"/>
  <c r="N646" i="1"/>
  <c r="N644" i="4" s="1"/>
  <c r="L643" i="1"/>
  <c r="L641" i="4" s="1"/>
  <c r="L638" i="1"/>
  <c r="L636" i="4" s="1"/>
  <c r="N634" i="1"/>
  <c r="N632" i="4" s="1"/>
  <c r="M630" i="1"/>
  <c r="M628" i="4" s="1"/>
  <c r="M622" i="1"/>
  <c r="M620" i="4" s="1"/>
  <c r="N618" i="1"/>
  <c r="N616" i="4" s="1"/>
  <c r="N613" i="1"/>
  <c r="N611" i="4" s="1"/>
  <c r="L610" i="1"/>
  <c r="L608" i="4" s="1"/>
  <c r="L605" i="1"/>
  <c r="L603" i="4" s="1"/>
  <c r="L593" i="1"/>
  <c r="L591" i="4" s="1"/>
  <c r="L581" i="1"/>
  <c r="L579" i="4" s="1"/>
  <c r="L569" i="1"/>
  <c r="L567" i="4" s="1"/>
  <c r="M542" i="1"/>
  <c r="M540" i="4" s="1"/>
  <c r="N534" i="1"/>
  <c r="N532" i="4" s="1"/>
  <c r="M501" i="1"/>
  <c r="M499" i="4" s="1"/>
  <c r="M438" i="1"/>
  <c r="M436" i="4" s="1"/>
  <c r="N430" i="1"/>
  <c r="N428" i="4" s="1"/>
  <c r="N414" i="1"/>
  <c r="N412" i="4" s="1"/>
  <c r="L407" i="1"/>
  <c r="L405" i="4" s="1"/>
  <c r="L381" i="1"/>
  <c r="L379" i="4" s="1"/>
  <c r="L340" i="1"/>
  <c r="L338" i="4" s="1"/>
  <c r="L323" i="1"/>
  <c r="L321" i="4" s="1"/>
  <c r="L253" i="1"/>
  <c r="L251" i="4" s="1"/>
  <c r="M243" i="1"/>
  <c r="M241" i="4" s="1"/>
  <c r="L233" i="1"/>
  <c r="L231" i="4" s="1"/>
  <c r="L1814" i="1"/>
  <c r="L1791" i="1"/>
  <c r="L1774" i="1"/>
  <c r="N1767" i="1"/>
  <c r="L1733" i="1"/>
  <c r="L1718" i="1"/>
  <c r="M1709" i="1"/>
  <c r="L1701" i="1"/>
  <c r="M1686" i="1"/>
  <c r="N1677" i="1"/>
  <c r="L1639" i="1"/>
  <c r="M1632" i="1"/>
  <c r="L1616" i="1"/>
  <c r="N1552" i="1"/>
  <c r="L1544" i="1"/>
  <c r="N1506" i="1"/>
  <c r="L1188" i="1"/>
  <c r="L1186" i="4" s="1"/>
  <c r="L673" i="1"/>
  <c r="L671" i="4" s="1"/>
  <c r="L679" i="1"/>
  <c r="L677" i="4" s="1"/>
  <c r="L690" i="1"/>
  <c r="L688" i="4" s="1"/>
  <c r="L724" i="1"/>
  <c r="L722" i="4" s="1"/>
  <c r="L749" i="1"/>
  <c r="L747" i="4" s="1"/>
  <c r="L760" i="1"/>
  <c r="L758" i="4" s="1"/>
  <c r="L783" i="1"/>
  <c r="L781" i="4" s="1"/>
  <c r="L808" i="1"/>
  <c r="L806" i="4" s="1"/>
  <c r="L876" i="1"/>
  <c r="L874" i="4" s="1"/>
  <c r="L879" i="1"/>
  <c r="L877" i="4" s="1"/>
  <c r="L894" i="1"/>
  <c r="L892" i="4" s="1"/>
  <c r="L914" i="1"/>
  <c r="L912" i="4" s="1"/>
  <c r="L918" i="1"/>
  <c r="L916" i="4" s="1"/>
  <c r="L921" i="1"/>
  <c r="L919" i="4" s="1"/>
  <c r="L946" i="1"/>
  <c r="L944" i="4" s="1"/>
  <c r="L950" i="1"/>
  <c r="L948" i="4" s="1"/>
  <c r="L954" i="1"/>
  <c r="L952" i="4" s="1"/>
  <c r="L961" i="1"/>
  <c r="L959" i="4" s="1"/>
  <c r="L986" i="1"/>
  <c r="L984" i="4" s="1"/>
  <c r="L990" i="1"/>
  <c r="L988" i="4" s="1"/>
  <c r="L1022" i="1"/>
  <c r="L1020" i="4" s="1"/>
  <c r="L1026" i="1"/>
  <c r="L1024" i="4" s="1"/>
  <c r="L1033" i="1"/>
  <c r="L1031" i="4" s="1"/>
  <c r="L1054" i="1"/>
  <c r="L1052" i="4" s="1"/>
  <c r="L652" i="1"/>
  <c r="L650" i="4" s="1"/>
  <c r="L687" i="1"/>
  <c r="L685" i="4" s="1"/>
  <c r="L696" i="1"/>
  <c r="L694" i="4" s="1"/>
  <c r="L710" i="1"/>
  <c r="L708" i="4" s="1"/>
  <c r="L733" i="1"/>
  <c r="L731" i="4" s="1"/>
  <c r="L744" i="1"/>
  <c r="L742" i="4" s="1"/>
  <c r="L769" i="1"/>
  <c r="L767" i="4" s="1"/>
  <c r="L775" i="1"/>
  <c r="L773" i="4" s="1"/>
  <c r="L786" i="1"/>
  <c r="L784" i="4" s="1"/>
  <c r="L797" i="1"/>
  <c r="L795" i="4" s="1"/>
  <c r="L817" i="1"/>
  <c r="L815" i="4" s="1"/>
  <c r="L828" i="1"/>
  <c r="L826" i="4" s="1"/>
  <c r="L831" i="1"/>
  <c r="L829" i="4" s="1"/>
  <c r="L845" i="1"/>
  <c r="L843" i="4" s="1"/>
  <c r="L854" i="1"/>
  <c r="L852" i="4" s="1"/>
  <c r="L868" i="1"/>
  <c r="L866" i="4" s="1"/>
  <c r="L871" i="1"/>
  <c r="L869" i="4" s="1"/>
  <c r="L888" i="1"/>
  <c r="L886" i="4" s="1"/>
  <c r="L891" i="1"/>
  <c r="L889" i="4" s="1"/>
  <c r="L900" i="1"/>
  <c r="L898" i="4" s="1"/>
  <c r="L910" i="1"/>
  <c r="L908" i="4" s="1"/>
  <c r="L929" i="1"/>
  <c r="L927" i="4" s="1"/>
  <c r="L983" i="1"/>
  <c r="L981" i="4" s="1"/>
  <c r="L1001" i="1"/>
  <c r="L999" i="4" s="1"/>
  <c r="L1019" i="1"/>
  <c r="L1017" i="4" s="1"/>
  <c r="L1058" i="1"/>
  <c r="L1056" i="4" s="1"/>
  <c r="L1062" i="1"/>
  <c r="L1060" i="4" s="1"/>
  <c r="L662" i="1"/>
  <c r="L660" i="4" s="1"/>
  <c r="L676" i="1"/>
  <c r="L674" i="4" s="1"/>
  <c r="L702" i="1"/>
  <c r="L700" i="4" s="1"/>
  <c r="L713" i="1"/>
  <c r="L711" i="4" s="1"/>
  <c r="L739" i="1"/>
  <c r="L737" i="4" s="1"/>
  <c r="L758" i="1"/>
  <c r="L756" i="4" s="1"/>
  <c r="L792" i="1"/>
  <c r="L790" i="4" s="1"/>
  <c r="L806" i="1"/>
  <c r="L804" i="4" s="1"/>
  <c r="L823" i="1"/>
  <c r="L821" i="4" s="1"/>
  <c r="L834" i="1"/>
  <c r="L832" i="4" s="1"/>
  <c r="L965" i="1"/>
  <c r="L963" i="4" s="1"/>
  <c r="L1009" i="1"/>
  <c r="L1007" i="4" s="1"/>
  <c r="L1037" i="1"/>
  <c r="L1035" i="4" s="1"/>
  <c r="L1055" i="1"/>
  <c r="L1053" i="4" s="1"/>
  <c r="L665" i="1"/>
  <c r="L663" i="4" s="1"/>
  <c r="L685" i="1"/>
  <c r="L683" i="4" s="1"/>
  <c r="L691" i="1"/>
  <c r="L689" i="4" s="1"/>
  <c r="L699" i="1"/>
  <c r="L697" i="4" s="1"/>
  <c r="L722" i="1"/>
  <c r="L720" i="4" s="1"/>
  <c r="L747" i="1"/>
  <c r="L745" i="4" s="1"/>
  <c r="L750" i="1"/>
  <c r="L748" i="4" s="1"/>
  <c r="L772" i="1"/>
  <c r="L770" i="4" s="1"/>
  <c r="L781" i="1"/>
  <c r="L779" i="4" s="1"/>
  <c r="L795" i="1"/>
  <c r="L793" i="4" s="1"/>
  <c r="L820" i="1"/>
  <c r="L818" i="4" s="1"/>
  <c r="L840" i="1"/>
  <c r="L838" i="4" s="1"/>
  <c r="L843" i="1"/>
  <c r="L841" i="4" s="1"/>
  <c r="L866" i="1"/>
  <c r="L864" i="4" s="1"/>
  <c r="L883" i="1"/>
  <c r="L881" i="4" s="1"/>
  <c r="L937" i="1"/>
  <c r="L935" i="4" s="1"/>
  <c r="L973" i="1"/>
  <c r="L971" i="4" s="1"/>
  <c r="L994" i="1"/>
  <c r="L992" i="4" s="1"/>
  <c r="L650" i="1"/>
  <c r="L648" i="4" s="1"/>
  <c r="L708" i="1"/>
  <c r="L706" i="4" s="1"/>
  <c r="L725" i="1"/>
  <c r="L723" i="4" s="1"/>
  <c r="L736" i="1"/>
  <c r="L734" i="4" s="1"/>
  <c r="L761" i="1"/>
  <c r="L759" i="4" s="1"/>
  <c r="L787" i="1"/>
  <c r="L785" i="4" s="1"/>
  <c r="L798" i="1"/>
  <c r="L796" i="4" s="1"/>
  <c r="L846" i="1"/>
  <c r="L844" i="4" s="1"/>
  <c r="L904" i="1"/>
  <c r="L902" i="4" s="1"/>
  <c r="L926" i="1"/>
  <c r="L924" i="4" s="1"/>
  <c r="L930" i="1"/>
  <c r="L928" i="4" s="1"/>
  <c r="L933" i="1"/>
  <c r="L931" i="4" s="1"/>
  <c r="L958" i="1"/>
  <c r="L956" i="4" s="1"/>
  <c r="L998" i="1"/>
  <c r="L996" i="4" s="1"/>
  <c r="L1002" i="1"/>
  <c r="L1000" i="4" s="1"/>
  <c r="L1013" i="1"/>
  <c r="L1011" i="4" s="1"/>
  <c r="L1030" i="1"/>
  <c r="L1028" i="4" s="1"/>
  <c r="L1045" i="1"/>
  <c r="L1043" i="4" s="1"/>
  <c r="L1066" i="1"/>
  <c r="L1064" i="4" s="1"/>
  <c r="L653" i="1"/>
  <c r="L651" i="4" s="1"/>
  <c r="L674" i="1"/>
  <c r="L672" i="4" s="1"/>
  <c r="L688" i="1"/>
  <c r="L686" i="4" s="1"/>
  <c r="L697" i="1"/>
  <c r="L695" i="4" s="1"/>
  <c r="L703" i="1"/>
  <c r="L701" i="4" s="1"/>
  <c r="L714" i="1"/>
  <c r="L712" i="4" s="1"/>
  <c r="L745" i="1"/>
  <c r="L743" i="4" s="1"/>
  <c r="L756" i="1"/>
  <c r="L754" i="4" s="1"/>
  <c r="L770" i="1"/>
  <c r="L768" i="4" s="1"/>
  <c r="L784" i="1"/>
  <c r="L782" i="4" s="1"/>
  <c r="L809" i="1"/>
  <c r="L807" i="4" s="1"/>
  <c r="L818" i="1"/>
  <c r="L816" i="4" s="1"/>
  <c r="L835" i="1"/>
  <c r="L833" i="4" s="1"/>
  <c r="L880" i="1"/>
  <c r="L878" i="4" s="1"/>
  <c r="L919" i="1"/>
  <c r="L917" i="4" s="1"/>
  <c r="L922" i="1"/>
  <c r="L920" i="4" s="1"/>
  <c r="L941" i="1"/>
  <c r="L939" i="4" s="1"/>
  <c r="L962" i="1"/>
  <c r="L960" i="4" s="1"/>
  <c r="L966" i="1"/>
  <c r="L964" i="4" s="1"/>
  <c r="L977" i="1"/>
  <c r="L975" i="4" s="1"/>
  <c r="L995" i="1"/>
  <c r="L993" i="4" s="1"/>
  <c r="L1034" i="1"/>
  <c r="L1032" i="4" s="1"/>
  <c r="L1038" i="1"/>
  <c r="L1036" i="4" s="1"/>
  <c r="L666" i="1"/>
  <c r="L664" i="4" s="1"/>
  <c r="L677" i="1"/>
  <c r="L675" i="4" s="1"/>
  <c r="L711" i="1"/>
  <c r="L709" i="4" s="1"/>
  <c r="L720" i="1"/>
  <c r="L718" i="4" s="1"/>
  <c r="L734" i="1"/>
  <c r="L732" i="4" s="1"/>
  <c r="L751" i="1"/>
  <c r="L749" i="4" s="1"/>
  <c r="L793" i="1"/>
  <c r="L791" i="4" s="1"/>
  <c r="L804" i="1"/>
  <c r="L802" i="4" s="1"/>
  <c r="L832" i="1"/>
  <c r="L830" i="4" s="1"/>
  <c r="L852" i="1"/>
  <c r="L850" i="4" s="1"/>
  <c r="L855" i="1"/>
  <c r="L853" i="4" s="1"/>
  <c r="L858" i="1"/>
  <c r="L856" i="4" s="1"/>
  <c r="L869" i="1"/>
  <c r="L867" i="4" s="1"/>
  <c r="L892" i="1"/>
  <c r="L890" i="4" s="1"/>
  <c r="L959" i="1"/>
  <c r="L957" i="4" s="1"/>
  <c r="L1031" i="1"/>
  <c r="L1029" i="4" s="1"/>
  <c r="L1049" i="1"/>
  <c r="L1047" i="4" s="1"/>
  <c r="L1067" i="1"/>
  <c r="L1065" i="4" s="1"/>
  <c r="L663" i="1"/>
  <c r="L661" i="4" s="1"/>
  <c r="L700" i="1"/>
  <c r="L698" i="4" s="1"/>
  <c r="L726" i="1"/>
  <c r="L724" i="4" s="1"/>
  <c r="L759" i="1"/>
  <c r="L757" i="4" s="1"/>
  <c r="L762" i="1"/>
  <c r="L760" i="4" s="1"/>
  <c r="L773" i="1"/>
  <c r="L771" i="4" s="1"/>
  <c r="L782" i="1"/>
  <c r="L780" i="4" s="1"/>
  <c r="L799" i="1"/>
  <c r="L797" i="4" s="1"/>
  <c r="L807" i="1"/>
  <c r="L805" i="4" s="1"/>
  <c r="L878" i="1"/>
  <c r="L876" i="4" s="1"/>
  <c r="L945" i="1"/>
  <c r="L943" i="4" s="1"/>
  <c r="L949" i="1"/>
  <c r="L947" i="4" s="1"/>
  <c r="L985" i="1"/>
  <c r="L983" i="4" s="1"/>
  <c r="L1010" i="1"/>
  <c r="L1008" i="4" s="1"/>
  <c r="L1014" i="1"/>
  <c r="L1012" i="4" s="1"/>
  <c r="L1021" i="1"/>
  <c r="L1019" i="4" s="1"/>
  <c r="L654" i="1"/>
  <c r="L652" i="4" s="1"/>
  <c r="L672" i="1"/>
  <c r="L670" i="4" s="1"/>
  <c r="L686" i="1"/>
  <c r="L684" i="4" s="1"/>
  <c r="L709" i="1"/>
  <c r="L707" i="4" s="1"/>
  <c r="L715" i="1"/>
  <c r="L713" i="4" s="1"/>
  <c r="L723" i="1"/>
  <c r="L721" i="4" s="1"/>
  <c r="L737" i="1"/>
  <c r="L735" i="4" s="1"/>
  <c r="L748" i="1"/>
  <c r="L746" i="4" s="1"/>
  <c r="L796" i="1"/>
  <c r="L794" i="4" s="1"/>
  <c r="L810" i="1"/>
  <c r="L808" i="4" s="1"/>
  <c r="L821" i="1"/>
  <c r="L819" i="4" s="1"/>
  <c r="L830" i="1"/>
  <c r="L828" i="4" s="1"/>
  <c r="L844" i="1"/>
  <c r="L842" i="4" s="1"/>
  <c r="L847" i="1"/>
  <c r="L845" i="4" s="1"/>
  <c r="L864" i="1"/>
  <c r="L862" i="4" s="1"/>
  <c r="L867" i="1"/>
  <c r="L865" i="4" s="1"/>
  <c r="L890" i="1"/>
  <c r="L888" i="4" s="1"/>
  <c r="L902" i="1"/>
  <c r="L900" i="4" s="1"/>
  <c r="L909" i="1"/>
  <c r="L907" i="4" s="1"/>
  <c r="L938" i="1"/>
  <c r="L936" i="4" s="1"/>
  <c r="L942" i="1"/>
  <c r="L940" i="4" s="1"/>
  <c r="L974" i="1"/>
  <c r="L972" i="4" s="1"/>
  <c r="L978" i="1"/>
  <c r="L976" i="4" s="1"/>
  <c r="L1007" i="1"/>
  <c r="L1005" i="4" s="1"/>
  <c r="L1057" i="1"/>
  <c r="L1055" i="4" s="1"/>
  <c r="L727" i="1"/>
  <c r="L725" i="4" s="1"/>
  <c r="L805" i="1"/>
  <c r="L803" i="4" s="1"/>
  <c r="L989" i="1"/>
  <c r="L987" i="4" s="1"/>
  <c r="L1091" i="1"/>
  <c r="L1089" i="4" s="1"/>
  <c r="L1127" i="1"/>
  <c r="L1125" i="4" s="1"/>
  <c r="L1159" i="1"/>
  <c r="L1157" i="4" s="1"/>
  <c r="L1199" i="1"/>
  <c r="L1197" i="4" s="1"/>
  <c r="L1202" i="1"/>
  <c r="L1200" i="4" s="1"/>
  <c r="L1226" i="1"/>
  <c r="L1224" i="4" s="1"/>
  <c r="L1244" i="1"/>
  <c r="L1242" i="4" s="1"/>
  <c r="L1258" i="1"/>
  <c r="L1256" i="4" s="1"/>
  <c r="L1277" i="1"/>
  <c r="L1275" i="4" s="1"/>
  <c r="L1310" i="1"/>
  <c r="L1308" i="4" s="1"/>
  <c r="L1355" i="1"/>
  <c r="L1353" i="4" s="1"/>
  <c r="L1370" i="1"/>
  <c r="L1368" i="4" s="1"/>
  <c r="L1380" i="1"/>
  <c r="L1378" i="4" s="1"/>
  <c r="L1386" i="1"/>
  <c r="L1384" i="4" s="1"/>
  <c r="L1402" i="1"/>
  <c r="L1400" i="4" s="1"/>
  <c r="L1411" i="1"/>
  <c r="L1409" i="4" s="1"/>
  <c r="L1421" i="1"/>
  <c r="L1419" i="4" s="1"/>
  <c r="L1453" i="1"/>
  <c r="L1489" i="1"/>
  <c r="L1503" i="1"/>
  <c r="L1531" i="1"/>
  <c r="L651" i="1"/>
  <c r="L649" i="4" s="1"/>
  <c r="L712" i="1"/>
  <c r="L710" i="4" s="1"/>
  <c r="L997" i="1"/>
  <c r="L995" i="4" s="1"/>
  <c r="L1070" i="1"/>
  <c r="L1068" i="4" s="1"/>
  <c r="L1074" i="1"/>
  <c r="L1072" i="4" s="1"/>
  <c r="L1081" i="1"/>
  <c r="L1079" i="4" s="1"/>
  <c r="L1088" i="1"/>
  <c r="L1086" i="4" s="1"/>
  <c r="L1117" i="1"/>
  <c r="L1115" i="4" s="1"/>
  <c r="L1139" i="1"/>
  <c r="L1137" i="4" s="1"/>
  <c r="L1192" i="1"/>
  <c r="L1190" i="4" s="1"/>
  <c r="L1216" i="1"/>
  <c r="L1214" i="4" s="1"/>
  <c r="L1223" i="1"/>
  <c r="L1221" i="4" s="1"/>
  <c r="L1273" i="1"/>
  <c r="L1271" i="4" s="1"/>
  <c r="L1284" i="1"/>
  <c r="L1282" i="4" s="1"/>
  <c r="L1292" i="1"/>
  <c r="L1290" i="4" s="1"/>
  <c r="L1307" i="1"/>
  <c r="L1305" i="4" s="1"/>
  <c r="L1332" i="1"/>
  <c r="L1330" i="4" s="1"/>
  <c r="L1339" i="1"/>
  <c r="L1337" i="4" s="1"/>
  <c r="L1352" i="1"/>
  <c r="L1350" i="4" s="1"/>
  <c r="L1396" i="1"/>
  <c r="L1394" i="4" s="1"/>
  <c r="L1405" i="1"/>
  <c r="L1403" i="4" s="1"/>
  <c r="L1457" i="1"/>
  <c r="L1500" i="1"/>
  <c r="L689" i="1"/>
  <c r="L687" i="4" s="1"/>
  <c r="L698" i="1"/>
  <c r="L696" i="4" s="1"/>
  <c r="L721" i="1"/>
  <c r="L719" i="4" s="1"/>
  <c r="L735" i="1"/>
  <c r="L733" i="4" s="1"/>
  <c r="L774" i="1"/>
  <c r="L772" i="4" s="1"/>
  <c r="L859" i="1"/>
  <c r="L857" i="4" s="1"/>
  <c r="L882" i="1"/>
  <c r="L880" i="4" s="1"/>
  <c r="L982" i="1"/>
  <c r="L980" i="4" s="1"/>
  <c r="L1099" i="1"/>
  <c r="L1097" i="4" s="1"/>
  <c r="L1106" i="1"/>
  <c r="L1104" i="4" s="1"/>
  <c r="L1110" i="1"/>
  <c r="L1108" i="4" s="1"/>
  <c r="L1124" i="1"/>
  <c r="L1122" i="4" s="1"/>
  <c r="L1136" i="1"/>
  <c r="L1134" i="4" s="1"/>
  <c r="L1146" i="1"/>
  <c r="L1144" i="4" s="1"/>
  <c r="L1152" i="1"/>
  <c r="L1150" i="4" s="1"/>
  <c r="L1169" i="1"/>
  <c r="L1167" i="4" s="1"/>
  <c r="L1183" i="1"/>
  <c r="L1181" i="4" s="1"/>
  <c r="L1196" i="1"/>
  <c r="L1194" i="4" s="1"/>
  <c r="L1220" i="1"/>
  <c r="L1218" i="4" s="1"/>
  <c r="L667" i="1"/>
  <c r="L665" i="4" s="1"/>
  <c r="L768" i="1"/>
  <c r="L766" i="4" s="1"/>
  <c r="L931" i="1"/>
  <c r="L929" i="4" s="1"/>
  <c r="L953" i="1"/>
  <c r="L951" i="4" s="1"/>
  <c r="L1085" i="1"/>
  <c r="L1083" i="4" s="1"/>
  <c r="L1103" i="1"/>
  <c r="L1101" i="4" s="1"/>
  <c r="L1121" i="1"/>
  <c r="L1119" i="4" s="1"/>
  <c r="L1128" i="1"/>
  <c r="L1126" i="4" s="1"/>
  <c r="L1163" i="1"/>
  <c r="L1161" i="4" s="1"/>
  <c r="L1166" i="1"/>
  <c r="L1164" i="4" s="1"/>
  <c r="L1176" i="1"/>
  <c r="L1174" i="4" s="1"/>
  <c r="L1189" i="1"/>
  <c r="L1187" i="4" s="1"/>
  <c r="L1207" i="1"/>
  <c r="L1205" i="4" s="1"/>
  <c r="L1213" i="1"/>
  <c r="L1211" i="4" s="1"/>
  <c r="L1231" i="1"/>
  <c r="L1229" i="4" s="1"/>
  <c r="L1237" i="1"/>
  <c r="L1235" i="4" s="1"/>
  <c r="L1248" i="1"/>
  <c r="L1246" i="4" s="1"/>
  <c r="L1256" i="1"/>
  <c r="L1254" i="4" s="1"/>
  <c r="L1259" i="1"/>
  <c r="L1257" i="4" s="1"/>
  <c r="L1262" i="1"/>
  <c r="L1260" i="4" s="1"/>
  <c r="L1267" i="1"/>
  <c r="L1265" i="4" s="1"/>
  <c r="L1296" i="1"/>
  <c r="L1294" i="4" s="1"/>
  <c r="L1349" i="1"/>
  <c r="L1347" i="4" s="1"/>
  <c r="L1393" i="1"/>
  <c r="L1391" i="4" s="1"/>
  <c r="L1428" i="1"/>
  <c r="L1426" i="4" s="1"/>
  <c r="L1438" i="1"/>
  <c r="L1447" i="1"/>
  <c r="L1464" i="1"/>
  <c r="L1474" i="1"/>
  <c r="L1497" i="1"/>
  <c r="L1518" i="1"/>
  <c r="L1536" i="1"/>
  <c r="L661" i="1"/>
  <c r="L659" i="4" s="1"/>
  <c r="L675" i="1"/>
  <c r="L673" i="4" s="1"/>
  <c r="L1046" i="1"/>
  <c r="L1044" i="4" s="1"/>
  <c r="L1143" i="1"/>
  <c r="L1141" i="4" s="1"/>
  <c r="L1156" i="1"/>
  <c r="L1154" i="4" s="1"/>
  <c r="L1186" i="1"/>
  <c r="L1184" i="4" s="1"/>
  <c r="L1200" i="1"/>
  <c r="L1198" i="4" s="1"/>
  <c r="L1336" i="1"/>
  <c r="L1334" i="4" s="1"/>
  <c r="L1346" i="1"/>
  <c r="L1344" i="4" s="1"/>
  <c r="L1356" i="1"/>
  <c r="L1354" i="4" s="1"/>
  <c r="L1368" i="1"/>
  <c r="L1366" i="4" s="1"/>
  <c r="L1378" i="1"/>
  <c r="L1376" i="4" s="1"/>
  <c r="L1384" i="1"/>
  <c r="L1382" i="4" s="1"/>
  <c r="L1397" i="1"/>
  <c r="L1395" i="4" s="1"/>
  <c r="L1441" i="1"/>
  <c r="L1477" i="1"/>
  <c r="L1494" i="1"/>
  <c r="L1504" i="1"/>
  <c r="L1522" i="1"/>
  <c r="L1525" i="1"/>
  <c r="L684" i="1"/>
  <c r="L682" i="4" s="1"/>
  <c r="L746" i="1"/>
  <c r="L744" i="4" s="1"/>
  <c r="L816" i="1"/>
  <c r="L814" i="4" s="1"/>
  <c r="L822" i="1"/>
  <c r="L820" i="4" s="1"/>
  <c r="L917" i="1"/>
  <c r="L915" i="4" s="1"/>
  <c r="L1078" i="1"/>
  <c r="L1076" i="4" s="1"/>
  <c r="L1093" i="1"/>
  <c r="L1091" i="4" s="1"/>
  <c r="L1100" i="1"/>
  <c r="L1098" i="4" s="1"/>
  <c r="L1129" i="1"/>
  <c r="L1127" i="4" s="1"/>
  <c r="L1147" i="1"/>
  <c r="L1145" i="4" s="1"/>
  <c r="L1160" i="1"/>
  <c r="L1158" i="4" s="1"/>
  <c r="L1193" i="1"/>
  <c r="L1191" i="4" s="1"/>
  <c r="L1210" i="1"/>
  <c r="L1208" i="4" s="1"/>
  <c r="L1217" i="1"/>
  <c r="L1215" i="4" s="1"/>
  <c r="L1234" i="1"/>
  <c r="L1232" i="4" s="1"/>
  <c r="L1270" i="1"/>
  <c r="L1268" i="4" s="1"/>
  <c r="L1274" i="1"/>
  <c r="L1272" i="4" s="1"/>
  <c r="L1279" i="1"/>
  <c r="L1277" i="4" s="1"/>
  <c r="L1285" i="1"/>
  <c r="L1283" i="4" s="1"/>
  <c r="L1300" i="1"/>
  <c r="L1298" i="4" s="1"/>
  <c r="L1304" i="1"/>
  <c r="L1302" i="4" s="1"/>
  <c r="L1308" i="1"/>
  <c r="L1306" i="4" s="1"/>
  <c r="L1316" i="1"/>
  <c r="L1314" i="4" s="1"/>
  <c r="L1327" i="1"/>
  <c r="L1325" i="4" s="1"/>
  <c r="L1333" i="1"/>
  <c r="L1331" i="4" s="1"/>
  <c r="L1343" i="1"/>
  <c r="L1341" i="4" s="1"/>
  <c r="L1371" i="1"/>
  <c r="L1369" i="4" s="1"/>
  <c r="L1381" i="1"/>
  <c r="L1379" i="4" s="1"/>
  <c r="L1387" i="1"/>
  <c r="L1385" i="4" s="1"/>
  <c r="L1419" i="1"/>
  <c r="L1417" i="4" s="1"/>
  <c r="L1422" i="1"/>
  <c r="L1420" i="4" s="1"/>
  <c r="L1445" i="1"/>
  <c r="L1498" i="1"/>
  <c r="L1515" i="1"/>
  <c r="L785" i="1"/>
  <c r="L783" i="4" s="1"/>
  <c r="L971" i="1"/>
  <c r="L969" i="4" s="1"/>
  <c r="L1061" i="1"/>
  <c r="L1059" i="4" s="1"/>
  <c r="L1082" i="1"/>
  <c r="L1080" i="4" s="1"/>
  <c r="L1086" i="1"/>
  <c r="L1084" i="4" s="1"/>
  <c r="L1111" i="1"/>
  <c r="L1109" i="4" s="1"/>
  <c r="L1118" i="1"/>
  <c r="L1116" i="4" s="1"/>
  <c r="L1122" i="1"/>
  <c r="L1120" i="4" s="1"/>
  <c r="L1132" i="1"/>
  <c r="L1130" i="4" s="1"/>
  <c r="L1153" i="1"/>
  <c r="L1151" i="4" s="1"/>
  <c r="L1171" i="1"/>
  <c r="L1169" i="4" s="1"/>
  <c r="L1180" i="1"/>
  <c r="L1178" i="4" s="1"/>
  <c r="L1249" i="1"/>
  <c r="L1247" i="4" s="1"/>
  <c r="L1312" i="1"/>
  <c r="L1310" i="4" s="1"/>
  <c r="L1320" i="1"/>
  <c r="L1318" i="4" s="1"/>
  <c r="L1330" i="1"/>
  <c r="L1328" i="4" s="1"/>
  <c r="L1340" i="1"/>
  <c r="L1338" i="4" s="1"/>
  <c r="L1416" i="1"/>
  <c r="L1414" i="4" s="1"/>
  <c r="L1432" i="1"/>
  <c r="L1455" i="1"/>
  <c r="L1458" i="1"/>
  <c r="L1468" i="1"/>
  <c r="L1491" i="1"/>
  <c r="L1501" i="1"/>
  <c r="L1512" i="1"/>
  <c r="L732" i="1"/>
  <c r="L730" i="4" s="1"/>
  <c r="L738" i="1"/>
  <c r="L736" i="4" s="1"/>
  <c r="L794" i="1"/>
  <c r="L792" i="4" s="1"/>
  <c r="L903" i="1"/>
  <c r="L901" i="4" s="1"/>
  <c r="L1079" i="1"/>
  <c r="L1077" i="4" s="1"/>
  <c r="L1097" i="1"/>
  <c r="L1095" i="4" s="1"/>
  <c r="L1114" i="1"/>
  <c r="L1112" i="4" s="1"/>
  <c r="L1141" i="1"/>
  <c r="L1139" i="4" s="1"/>
  <c r="L1150" i="1"/>
  <c r="L1148" i="4" s="1"/>
  <c r="L1164" i="1"/>
  <c r="L1162" i="4" s="1"/>
  <c r="L1177" i="1"/>
  <c r="L1175" i="4" s="1"/>
  <c r="L1184" i="1"/>
  <c r="L1182" i="4" s="1"/>
  <c r="L1187" i="1"/>
  <c r="L1185" i="4" s="1"/>
  <c r="L1190" i="1"/>
  <c r="L1188" i="4" s="1"/>
  <c r="L1204" i="1"/>
  <c r="L1202" i="4" s="1"/>
  <c r="L1214" i="1"/>
  <c r="L1212" i="4" s="1"/>
  <c r="L1228" i="1"/>
  <c r="L1226" i="4" s="1"/>
  <c r="L1238" i="1"/>
  <c r="L1236" i="4" s="1"/>
  <c r="L1243" i="1"/>
  <c r="L1241" i="4" s="1"/>
  <c r="L1260" i="1"/>
  <c r="L1258" i="4" s="1"/>
  <c r="L1282" i="1"/>
  <c r="L1280" i="4" s="1"/>
  <c r="L1297" i="1"/>
  <c r="L1295" i="4" s="1"/>
  <c r="L1375" i="1"/>
  <c r="L1373" i="4" s="1"/>
  <c r="L1385" i="1"/>
  <c r="L1383" i="4" s="1"/>
  <c r="L1407" i="1"/>
  <c r="L1405" i="4" s="1"/>
  <c r="L1410" i="1"/>
  <c r="L1408" i="4" s="1"/>
  <c r="L1426" i="1"/>
  <c r="L1424" i="4" s="1"/>
  <c r="L1435" i="1"/>
  <c r="L1452" i="1"/>
  <c r="L1462" i="1"/>
  <c r="L1471" i="1"/>
  <c r="L1488" i="1"/>
  <c r="L1519" i="1"/>
  <c r="L701" i="1"/>
  <c r="L699" i="4" s="1"/>
  <c r="L763" i="1"/>
  <c r="L761" i="4" s="1"/>
  <c r="L870" i="1"/>
  <c r="L868" i="4" s="1"/>
  <c r="L1025" i="1"/>
  <c r="L1023" i="4" s="1"/>
  <c r="L1069" i="1"/>
  <c r="L1067" i="4" s="1"/>
  <c r="L1076" i="1"/>
  <c r="L1074" i="4" s="1"/>
  <c r="L1144" i="1"/>
  <c r="L1142" i="4" s="1"/>
  <c r="L1157" i="1"/>
  <c r="L1155" i="4" s="1"/>
  <c r="L1174" i="1"/>
  <c r="L1172" i="4" s="1"/>
  <c r="L1201" i="1"/>
  <c r="L1199" i="4" s="1"/>
  <c r="L1208" i="1"/>
  <c r="L1206" i="4" s="1"/>
  <c r="L1211" i="1"/>
  <c r="L1209" i="4" s="1"/>
  <c r="L1225" i="1"/>
  <c r="L1223" i="4" s="1"/>
  <c r="L1232" i="1"/>
  <c r="L1230" i="4" s="1"/>
  <c r="L1235" i="1"/>
  <c r="L1233" i="4" s="1"/>
  <c r="L1268" i="1"/>
  <c r="L1266" i="4" s="1"/>
  <c r="L1271" i="1"/>
  <c r="L1269" i="4" s="1"/>
  <c r="L1291" i="1"/>
  <c r="L1289" i="4" s="1"/>
  <c r="L1309" i="1"/>
  <c r="L1307" i="4" s="1"/>
  <c r="L1337" i="1"/>
  <c r="L1335" i="4" s="1"/>
  <c r="L1351" i="1"/>
  <c r="L1349" i="4" s="1"/>
  <c r="L1361" i="1"/>
  <c r="L1359" i="4" s="1"/>
  <c r="L1404" i="1"/>
  <c r="L1402" i="4" s="1"/>
  <c r="L1413" i="1"/>
  <c r="L1411" i="4" s="1"/>
  <c r="L1429" i="1"/>
  <c r="L1427" i="4" s="1"/>
  <c r="L1465" i="1"/>
  <c r="L1495" i="1"/>
  <c r="L1530" i="1"/>
  <c r="L1534" i="1"/>
  <c r="L1537" i="1"/>
  <c r="L649" i="1"/>
  <c r="L647" i="4" s="1"/>
  <c r="L780" i="1"/>
  <c r="L778" i="4" s="1"/>
  <c r="L833" i="1"/>
  <c r="L831" i="4" s="1"/>
  <c r="L842" i="1"/>
  <c r="L840" i="4" s="1"/>
  <c r="L856" i="1"/>
  <c r="L854" i="4" s="1"/>
  <c r="L957" i="1"/>
  <c r="L955" i="4" s="1"/>
  <c r="L1018" i="1"/>
  <c r="L1016" i="4" s="1"/>
  <c r="L1073" i="1"/>
  <c r="L1071" i="4" s="1"/>
  <c r="L1090" i="1"/>
  <c r="L1088" i="4" s="1"/>
  <c r="L1094" i="1"/>
  <c r="L1092" i="4" s="1"/>
  <c r="L1098" i="1"/>
  <c r="L1096" i="4" s="1"/>
  <c r="L1112" i="1"/>
  <c r="L1110" i="4" s="1"/>
  <c r="L1116" i="1"/>
  <c r="L1114" i="4" s="1"/>
  <c r="L1123" i="1"/>
  <c r="L1121" i="4" s="1"/>
  <c r="L1130" i="1"/>
  <c r="L1128" i="4" s="1"/>
  <c r="L1148" i="1"/>
  <c r="L1146" i="4" s="1"/>
  <c r="L1151" i="1"/>
  <c r="L1149" i="4" s="1"/>
  <c r="L1154" i="1"/>
  <c r="L1152" i="4" s="1"/>
  <c r="L1168" i="1"/>
  <c r="L1166" i="4" s="1"/>
  <c r="L1181" i="1"/>
  <c r="L1179" i="4" s="1"/>
  <c r="L1250" i="1"/>
  <c r="L1248" i="4" s="1"/>
  <c r="L1255" i="1"/>
  <c r="L1253" i="4" s="1"/>
  <c r="L1280" i="1"/>
  <c r="L1278" i="4" s="1"/>
  <c r="L1313" i="1"/>
  <c r="L1311" i="4" s="1"/>
  <c r="L1321" i="1"/>
  <c r="L1319" i="4" s="1"/>
  <c r="L1328" i="1"/>
  <c r="L1326" i="4" s="1"/>
  <c r="L1358" i="1"/>
  <c r="L1356" i="4" s="1"/>
  <c r="L1366" i="1"/>
  <c r="L1364" i="4" s="1"/>
  <c r="L1392" i="1"/>
  <c r="L1390" i="4" s="1"/>
  <c r="L1401" i="1"/>
  <c r="L1399" i="4" s="1"/>
  <c r="L1414" i="1"/>
  <c r="L1412" i="4" s="1"/>
  <c r="L1423" i="1"/>
  <c r="L1421" i="4" s="1"/>
  <c r="L1443" i="1"/>
  <c r="L1446" i="1"/>
  <c r="L1456" i="1"/>
  <c r="L1479" i="1"/>
  <c r="L1492" i="1"/>
  <c r="L1506" i="1"/>
  <c r="L1527" i="1"/>
  <c r="L1138" i="1"/>
  <c r="L1136" i="4" s="1"/>
  <c r="L1331" i="1"/>
  <c r="L1329" i="4" s="1"/>
  <c r="L1398" i="1"/>
  <c r="L1396" i="4" s="1"/>
  <c r="L1470" i="1"/>
  <c r="L1545" i="1"/>
  <c r="L1552" i="1"/>
  <c r="L1575" i="1"/>
  <c r="L1602" i="1"/>
  <c r="L1609" i="1"/>
  <c r="L1617" i="1"/>
  <c r="L1629" i="1"/>
  <c r="L1643" i="1"/>
  <c r="L1663" i="1"/>
  <c r="L1683" i="1"/>
  <c r="L1686" i="1"/>
  <c r="L1713" i="1"/>
  <c r="L1745" i="1"/>
  <c r="L1765" i="1"/>
  <c r="L1807" i="1"/>
  <c r="L1815" i="1"/>
  <c r="L1818" i="1"/>
  <c r="L316" i="1"/>
  <c r="L314" i="4" s="1"/>
  <c r="L338" i="1"/>
  <c r="L336" i="4" s="1"/>
  <c r="L344" i="1"/>
  <c r="L342" i="4" s="1"/>
  <c r="L378" i="1"/>
  <c r="L376" i="4" s="1"/>
  <c r="L400" i="1"/>
  <c r="L398" i="4" s="1"/>
  <c r="L424" i="1"/>
  <c r="L422" i="4" s="1"/>
  <c r="L457" i="1"/>
  <c r="L455" i="4" s="1"/>
  <c r="L460" i="1"/>
  <c r="L458" i="4" s="1"/>
  <c r="L485" i="1"/>
  <c r="L483" i="4" s="1"/>
  <c r="L560" i="1"/>
  <c r="L558" i="4" s="1"/>
  <c r="L1165" i="1"/>
  <c r="L1163" i="4" s="1"/>
  <c r="L1301" i="1"/>
  <c r="L1299" i="4" s="1"/>
  <c r="L1324" i="1"/>
  <c r="L1322" i="4" s="1"/>
  <c r="L1434" i="1"/>
  <c r="L1450" i="1"/>
  <c r="L1485" i="1"/>
  <c r="L1507" i="1"/>
  <c r="L1542" i="1"/>
  <c r="L1564" i="1"/>
  <c r="L1572" i="1"/>
  <c r="L1587" i="1"/>
  <c r="L1606" i="1"/>
  <c r="L1636" i="1"/>
  <c r="L1675" i="1"/>
  <c r="L1695" i="1"/>
  <c r="L1698" i="1"/>
  <c r="L1725" i="1"/>
  <c r="L1737" i="1"/>
  <c r="L1757" i="1"/>
  <c r="L1777" i="1"/>
  <c r="L257" i="1"/>
  <c r="L255" i="4" s="1"/>
  <c r="L261" i="1"/>
  <c r="L259" i="4" s="1"/>
  <c r="L269" i="1"/>
  <c r="L267" i="4" s="1"/>
  <c r="L279" i="1"/>
  <c r="L277" i="4" s="1"/>
  <c r="L294" i="1"/>
  <c r="L292" i="4" s="1"/>
  <c r="L326" i="1"/>
  <c r="L324" i="4" s="1"/>
  <c r="L332" i="1"/>
  <c r="L330" i="4" s="1"/>
  <c r="L353" i="1"/>
  <c r="L351" i="4" s="1"/>
  <c r="L388" i="1"/>
  <c r="L386" i="4" s="1"/>
  <c r="L416" i="1"/>
  <c r="L414" i="4" s="1"/>
  <c r="L452" i="1"/>
  <c r="L450" i="4" s="1"/>
  <c r="L464" i="1"/>
  <c r="L462" i="4" s="1"/>
  <c r="L470" i="1"/>
  <c r="L468" i="4" s="1"/>
  <c r="L482" i="1"/>
  <c r="L480" i="4" s="1"/>
  <c r="L506" i="1"/>
  <c r="L504" i="4" s="1"/>
  <c r="L536" i="1"/>
  <c r="L534" i="4" s="1"/>
  <c r="L539" i="1"/>
  <c r="L537" i="4" s="1"/>
  <c r="L548" i="1"/>
  <c r="L546" i="4" s="1"/>
  <c r="L551" i="1"/>
  <c r="L549" i="4" s="1"/>
  <c r="L1105" i="1"/>
  <c r="L1103" i="4" s="1"/>
  <c r="L1286" i="1"/>
  <c r="L1284" i="4" s="1"/>
  <c r="L1420" i="1"/>
  <c r="L1418" i="4" s="1"/>
  <c r="L1546" i="1"/>
  <c r="L1549" i="1"/>
  <c r="L1584" i="1"/>
  <c r="L1599" i="1"/>
  <c r="L1618" i="1"/>
  <c r="L1630" i="1"/>
  <c r="L1651" i="1"/>
  <c r="L1687" i="1"/>
  <c r="L1707" i="1"/>
  <c r="L1710" i="1"/>
  <c r="L1749" i="1"/>
  <c r="L1769" i="1"/>
  <c r="L1789" i="1"/>
  <c r="L1819" i="1"/>
  <c r="L304" i="1"/>
  <c r="L302" i="4" s="1"/>
  <c r="L341" i="1"/>
  <c r="L339" i="4" s="1"/>
  <c r="L376" i="1"/>
  <c r="L374" i="4" s="1"/>
  <c r="L410" i="1"/>
  <c r="L408" i="4" s="1"/>
  <c r="L440" i="1"/>
  <c r="L438" i="4" s="1"/>
  <c r="L446" i="1"/>
  <c r="L444" i="4" s="1"/>
  <c r="L473" i="1"/>
  <c r="L471" i="4" s="1"/>
  <c r="L524" i="1"/>
  <c r="L522" i="4" s="1"/>
  <c r="L527" i="1"/>
  <c r="L525" i="4" s="1"/>
  <c r="L555" i="1"/>
  <c r="L553" i="4" s="1"/>
  <c r="L1399" i="1"/>
  <c r="L1397" i="4" s="1"/>
  <c r="L1486" i="1"/>
  <c r="L1561" i="1"/>
  <c r="L1596" i="1"/>
  <c r="L1621" i="1"/>
  <c r="L1633" i="1"/>
  <c r="L1648" i="1"/>
  <c r="L1699" i="1"/>
  <c r="L1719" i="1"/>
  <c r="L1722" i="1"/>
  <c r="L1731" i="1"/>
  <c r="L1734" i="1"/>
  <c r="L1761" i="1"/>
  <c r="L1781" i="1"/>
  <c r="L245" i="1"/>
  <c r="L243" i="4" s="1"/>
  <c r="L255" i="1"/>
  <c r="L253" i="4" s="1"/>
  <c r="L267" i="1"/>
  <c r="L265" i="4" s="1"/>
  <c r="L282" i="1"/>
  <c r="L280" i="4" s="1"/>
  <c r="L314" i="1"/>
  <c r="L312" i="4" s="1"/>
  <c r="L320" i="1"/>
  <c r="L318" i="4" s="1"/>
  <c r="L329" i="1"/>
  <c r="L327" i="4" s="1"/>
  <c r="L351" i="1"/>
  <c r="L349" i="4" s="1"/>
  <c r="L366" i="1"/>
  <c r="L364" i="4" s="1"/>
  <c r="L404" i="1"/>
  <c r="L402" i="4" s="1"/>
  <c r="L413" i="1"/>
  <c r="L411" i="4" s="1"/>
  <c r="L428" i="1"/>
  <c r="L426" i="4" s="1"/>
  <c r="L434" i="1"/>
  <c r="L432" i="4" s="1"/>
  <c r="L449" i="1"/>
  <c r="L447" i="4" s="1"/>
  <c r="L494" i="1"/>
  <c r="L492" i="4" s="1"/>
  <c r="L515" i="1"/>
  <c r="L513" i="4" s="1"/>
  <c r="L531" i="1"/>
  <c r="L529" i="4" s="1"/>
  <c r="L543" i="1"/>
  <c r="L541" i="4" s="1"/>
  <c r="L771" i="1"/>
  <c r="L769" i="4" s="1"/>
  <c r="L1175" i="1"/>
  <c r="L1173" i="4" s="1"/>
  <c r="L1295" i="1"/>
  <c r="L1293" i="4" s="1"/>
  <c r="L1480" i="1"/>
  <c r="L1509" i="1"/>
  <c r="L1516" i="1"/>
  <c r="L1524" i="1"/>
  <c r="L1539" i="1"/>
  <c r="L1576" i="1"/>
  <c r="L1615" i="1"/>
  <c r="L1657" i="1"/>
  <c r="L1711" i="1"/>
  <c r="L1743" i="1"/>
  <c r="L1746" i="1"/>
  <c r="L1773" i="1"/>
  <c r="L1793" i="1"/>
  <c r="L1801" i="1"/>
  <c r="L292" i="1"/>
  <c r="L290" i="4" s="1"/>
  <c r="L308" i="1"/>
  <c r="L306" i="4" s="1"/>
  <c r="L339" i="1"/>
  <c r="L337" i="4" s="1"/>
  <c r="L392" i="1"/>
  <c r="L390" i="4" s="1"/>
  <c r="L398" i="1"/>
  <c r="L396" i="4" s="1"/>
  <c r="L422" i="1"/>
  <c r="L420" i="4" s="1"/>
  <c r="L437" i="1"/>
  <c r="L435" i="4" s="1"/>
  <c r="L458" i="1"/>
  <c r="L456" i="4" s="1"/>
  <c r="L512" i="1"/>
  <c r="L510" i="4" s="1"/>
  <c r="L519" i="1"/>
  <c r="L517" i="4" s="1"/>
  <c r="L1050" i="1"/>
  <c r="L1048" i="4" s="1"/>
  <c r="L1133" i="1"/>
  <c r="L1131" i="4" s="1"/>
  <c r="L1319" i="1"/>
  <c r="L1317" i="4" s="1"/>
  <c r="L1444" i="1"/>
  <c r="L1459" i="1"/>
  <c r="L1543" i="1"/>
  <c r="L1558" i="1"/>
  <c r="L1588" i="1"/>
  <c r="L1607" i="1"/>
  <c r="L1669" i="1"/>
  <c r="L1723" i="1"/>
  <c r="L1735" i="1"/>
  <c r="L1755" i="1"/>
  <c r="L1758" i="1"/>
  <c r="L1785" i="1"/>
  <c r="L258" i="1"/>
  <c r="L256" i="4" s="1"/>
  <c r="L270" i="1"/>
  <c r="L268" i="4" s="1"/>
  <c r="L302" i="1"/>
  <c r="L300" i="4" s="1"/>
  <c r="L317" i="1"/>
  <c r="L315" i="4" s="1"/>
  <c r="L327" i="1"/>
  <c r="L325" i="4" s="1"/>
  <c r="L364" i="1"/>
  <c r="L362" i="4" s="1"/>
  <c r="L380" i="1"/>
  <c r="L378" i="4" s="1"/>
  <c r="L386" i="1"/>
  <c r="L384" i="4" s="1"/>
  <c r="L401" i="1"/>
  <c r="L399" i="4" s="1"/>
  <c r="L425" i="1"/>
  <c r="L423" i="4" s="1"/>
  <c r="L461" i="1"/>
  <c r="L459" i="4" s="1"/>
  <c r="L503" i="1"/>
  <c r="L501" i="4" s="1"/>
  <c r="L1142" i="1"/>
  <c r="L1140" i="4" s="1"/>
  <c r="L1219" i="1"/>
  <c r="L1217" i="4" s="1"/>
  <c r="L1261" i="1"/>
  <c r="L1259" i="4" s="1"/>
  <c r="L1334" i="1"/>
  <c r="L1332" i="4" s="1"/>
  <c r="L1395" i="1"/>
  <c r="L1393" i="4" s="1"/>
  <c r="L1408" i="1"/>
  <c r="L1406" i="4" s="1"/>
  <c r="L1467" i="1"/>
  <c r="L1510" i="1"/>
  <c r="L1554" i="1"/>
  <c r="L1570" i="1"/>
  <c r="L1573" i="1"/>
  <c r="L1593" i="1"/>
  <c r="L1600" i="1"/>
  <c r="L1611" i="1"/>
  <c r="L1619" i="1"/>
  <c r="L1627" i="1"/>
  <c r="L1631" i="1"/>
  <c r="L1638" i="1"/>
  <c r="L1661" i="1"/>
  <c r="L1681" i="1"/>
  <c r="L1747" i="1"/>
  <c r="L1767" i="1"/>
  <c r="L1770" i="1"/>
  <c r="L1797" i="1"/>
  <c r="L1805" i="1"/>
  <c r="L1813" i="1"/>
  <c r="L246" i="1"/>
  <c r="L244" i="4" s="1"/>
  <c r="L280" i="1"/>
  <c r="L278" i="4" s="1"/>
  <c r="L296" i="1"/>
  <c r="L294" i="4" s="1"/>
  <c r="L354" i="1"/>
  <c r="L352" i="4" s="1"/>
  <c r="L374" i="1"/>
  <c r="L372" i="4" s="1"/>
  <c r="L389" i="1"/>
  <c r="L387" i="4" s="1"/>
  <c r="L487" i="1"/>
  <c r="L485" i="4" s="1"/>
  <c r="L500" i="1"/>
  <c r="L498" i="4" s="1"/>
  <c r="L507" i="1"/>
  <c r="L505" i="4" s="1"/>
  <c r="L528" i="1"/>
  <c r="L526" i="4" s="1"/>
  <c r="L540" i="1"/>
  <c r="L538" i="4" s="1"/>
  <c r="L552" i="1"/>
  <c r="L550" i="4" s="1"/>
  <c r="L664" i="1"/>
  <c r="L662" i="4" s="1"/>
  <c r="L1431" i="1"/>
  <c r="L1482" i="1"/>
  <c r="L1540" i="1"/>
  <c r="L1566" i="1"/>
  <c r="L1585" i="1"/>
  <c r="L1608" i="1"/>
  <c r="L1641" i="1"/>
  <c r="L1645" i="1"/>
  <c r="L1673" i="1"/>
  <c r="L1693" i="1"/>
  <c r="L1759" i="1"/>
  <c r="L1779" i="1"/>
  <c r="L1782" i="1"/>
  <c r="L290" i="1"/>
  <c r="L288" i="4" s="1"/>
  <c r="L305" i="1"/>
  <c r="L303" i="4" s="1"/>
  <c r="L315" i="1"/>
  <c r="L313" i="4" s="1"/>
  <c r="L342" i="1"/>
  <c r="L340" i="4" s="1"/>
  <c r="L377" i="1"/>
  <c r="L375" i="4" s="1"/>
  <c r="L484" i="1"/>
  <c r="L482" i="4" s="1"/>
  <c r="L491" i="1"/>
  <c r="L489" i="4" s="1"/>
  <c r="L516" i="1"/>
  <c r="L514" i="4" s="1"/>
  <c r="L819" i="1"/>
  <c r="L817" i="4" s="1"/>
  <c r="L1195" i="1"/>
  <c r="L1193" i="4" s="1"/>
  <c r="L1043" i="1"/>
  <c r="L1041" i="4" s="1"/>
  <c r="L1109" i="1"/>
  <c r="L1107" i="4" s="1"/>
  <c r="L1178" i="1"/>
  <c r="L1176" i="4" s="1"/>
  <c r="L1283" i="1"/>
  <c r="L1281" i="4" s="1"/>
  <c r="L1298" i="1"/>
  <c r="L1296" i="4" s="1"/>
  <c r="L1229" i="1"/>
  <c r="L1227" i="4" s="1"/>
  <c r="L1322" i="1"/>
  <c r="L1320" i="4" s="1"/>
  <c r="L1433" i="1"/>
  <c r="L1440" i="1"/>
  <c r="L1483" i="1"/>
  <c r="L1560" i="1"/>
  <c r="L1578" i="1"/>
  <c r="L1620" i="1"/>
  <c r="L1632" i="1"/>
  <c r="L1635" i="1"/>
  <c r="L1654" i="1"/>
  <c r="L1659" i="1"/>
  <c r="L1662" i="1"/>
  <c r="L1689" i="1"/>
  <c r="L1709" i="1"/>
  <c r="L1741" i="1"/>
  <c r="L1795" i="1"/>
  <c r="L1803" i="1"/>
  <c r="L1806" i="1"/>
  <c r="L248" i="1"/>
  <c r="L246" i="4" s="1"/>
  <c r="L272" i="1"/>
  <c r="L270" i="4" s="1"/>
  <c r="L318" i="1"/>
  <c r="L316" i="4" s="1"/>
  <c r="L328" i="1"/>
  <c r="L326" i="4" s="1"/>
  <c r="L365" i="1"/>
  <c r="L363" i="4" s="1"/>
  <c r="L402" i="1"/>
  <c r="L400" i="4" s="1"/>
  <c r="L412" i="1"/>
  <c r="L410" i="4" s="1"/>
  <c r="L426" i="1"/>
  <c r="L424" i="4" s="1"/>
  <c r="L448" i="1"/>
  <c r="L446" i="4" s="1"/>
  <c r="L530" i="1"/>
  <c r="L528" i="4" s="1"/>
  <c r="L542" i="1"/>
  <c r="L540" i="4" s="1"/>
  <c r="L554" i="1"/>
  <c r="L552" i="4" s="1"/>
  <c r="L621" i="1"/>
  <c r="L619" i="4" s="1"/>
  <c r="L303" i="1"/>
  <c r="L301" i="4" s="1"/>
  <c r="L265" i="1"/>
  <c r="L263" i="4" s="1"/>
  <c r="L1541" i="1"/>
  <c r="L1469" i="1"/>
  <c r="M594" i="1"/>
  <c r="M592" i="4" s="1"/>
  <c r="M586" i="1"/>
  <c r="M584" i="4" s="1"/>
  <c r="M574" i="1"/>
  <c r="M572" i="4" s="1"/>
  <c r="L472" i="1"/>
  <c r="L470" i="4" s="1"/>
  <c r="M646" i="1"/>
  <c r="M644" i="4" s="1"/>
  <c r="M642" i="1"/>
  <c r="M640" i="4" s="1"/>
  <c r="M634" i="1"/>
  <c r="M632" i="4" s="1"/>
  <c r="N630" i="1"/>
  <c r="N628" i="4" s="1"/>
  <c r="N625" i="1"/>
  <c r="N623" i="4" s="1"/>
  <c r="L622" i="1"/>
  <c r="L620" i="4" s="1"/>
  <c r="L617" i="1"/>
  <c r="L615" i="4" s="1"/>
  <c r="L604" i="1"/>
  <c r="L602" i="4" s="1"/>
  <c r="L600" i="1"/>
  <c r="L598" i="4" s="1"/>
  <c r="N597" i="1"/>
  <c r="N595" i="4" s="1"/>
  <c r="L592" i="1"/>
  <c r="L590" i="4" s="1"/>
  <c r="L588" i="1"/>
  <c r="L586" i="4" s="1"/>
  <c r="N585" i="1"/>
  <c r="N583" i="4" s="1"/>
  <c r="L580" i="1"/>
  <c r="L578" i="4" s="1"/>
  <c r="L576" i="1"/>
  <c r="L574" i="4" s="1"/>
  <c r="N573" i="1"/>
  <c r="N571" i="4" s="1"/>
  <c r="L568" i="1"/>
  <c r="L566" i="4" s="1"/>
  <c r="L564" i="1"/>
  <c r="L562" i="4" s="1"/>
  <c r="N560" i="1"/>
  <c r="N558" i="4" s="1"/>
  <c r="L533" i="1"/>
  <c r="L531" i="4" s="1"/>
  <c r="L501" i="1"/>
  <c r="L499" i="4" s="1"/>
  <c r="L492" i="1"/>
  <c r="L490" i="4" s="1"/>
  <c r="L462" i="1"/>
  <c r="L460" i="4" s="1"/>
  <c r="L414" i="1"/>
  <c r="L412" i="4" s="1"/>
  <c r="N389" i="1"/>
  <c r="N387" i="4" s="1"/>
  <c r="N355" i="1"/>
  <c r="N353" i="4" s="1"/>
  <c r="M348" i="1"/>
  <c r="M346" i="4" s="1"/>
  <c r="N330" i="1"/>
  <c r="N328" i="4" s="1"/>
  <c r="N305" i="1"/>
  <c r="N303" i="4" s="1"/>
  <c r="L297" i="1"/>
  <c r="L295" i="4" s="1"/>
  <c r="M290" i="1"/>
  <c r="M288" i="4" s="1"/>
  <c r="L281" i="1"/>
  <c r="L279" i="4" s="1"/>
  <c r="N1797" i="1"/>
  <c r="M1741" i="1"/>
  <c r="N1724" i="1"/>
  <c r="L1717" i="1"/>
  <c r="L1694" i="1"/>
  <c r="N1685" i="1"/>
  <c r="L1677" i="1"/>
  <c r="M1654" i="1"/>
  <c r="L1623" i="1"/>
  <c r="L1590" i="1"/>
  <c r="M1575" i="1"/>
  <c r="M1567" i="1"/>
  <c r="M1560" i="1"/>
  <c r="N1551" i="1"/>
  <c r="M1534" i="1"/>
  <c r="L1409" i="1"/>
  <c r="L1407" i="4" s="1"/>
  <c r="L591" i="1"/>
  <c r="L589" i="4" s="1"/>
  <c r="L1521" i="1"/>
  <c r="L644" i="1"/>
  <c r="L642" i="4" s="1"/>
  <c r="L614" i="1"/>
  <c r="L612" i="4" s="1"/>
  <c r="L488" i="1"/>
  <c r="L486" i="4" s="1"/>
  <c r="L646" i="1"/>
  <c r="L644" i="4" s="1"/>
  <c r="N642" i="1"/>
  <c r="N640" i="4" s="1"/>
  <c r="N637" i="1"/>
  <c r="N635" i="4" s="1"/>
  <c r="L634" i="1"/>
  <c r="L632" i="4" s="1"/>
  <c r="L629" i="1"/>
  <c r="L627" i="4" s="1"/>
  <c r="L616" i="1"/>
  <c r="L614" i="4" s="1"/>
  <c r="L612" i="1"/>
  <c r="L610" i="4" s="1"/>
  <c r="N609" i="1"/>
  <c r="N607" i="4" s="1"/>
  <c r="M600" i="1"/>
  <c r="M598" i="4" s="1"/>
  <c r="M597" i="1"/>
  <c r="M595" i="4" s="1"/>
  <c r="M588" i="1"/>
  <c r="M586" i="4" s="1"/>
  <c r="M585" i="1"/>
  <c r="M583" i="4" s="1"/>
  <c r="M576" i="1"/>
  <c r="M574" i="4" s="1"/>
  <c r="M573" i="1"/>
  <c r="M571" i="4" s="1"/>
  <c r="M564" i="1"/>
  <c r="M562" i="4" s="1"/>
  <c r="N541" i="1"/>
  <c r="N539" i="4" s="1"/>
  <c r="N507" i="1"/>
  <c r="N505" i="4" s="1"/>
  <c r="M469" i="1"/>
  <c r="M467" i="4" s="1"/>
  <c r="L436" i="1"/>
  <c r="L434" i="4" s="1"/>
  <c r="L330" i="1"/>
  <c r="L328" i="4" s="1"/>
  <c r="N296" i="1"/>
  <c r="N294" i="4" s="1"/>
  <c r="L266" i="1"/>
  <c r="L264" i="4" s="1"/>
  <c r="M1748" i="1"/>
  <c r="N1741" i="1"/>
  <c r="N1717" i="1"/>
  <c r="N1700" i="1"/>
  <c r="M1693" i="1"/>
  <c r="L1685" i="1"/>
  <c r="M1670" i="1"/>
  <c r="M1662" i="1"/>
  <c r="N1654" i="1"/>
  <c r="L1646" i="1"/>
  <c r="N1631" i="1"/>
  <c r="M1623" i="1"/>
  <c r="L1605" i="1"/>
  <c r="M1597" i="1"/>
  <c r="M1582" i="1"/>
  <c r="L1551" i="1"/>
  <c r="N1482" i="1"/>
  <c r="N1164" i="1"/>
  <c r="N1162" i="4" s="1"/>
  <c r="L559" i="1"/>
  <c r="L557" i="4" s="1"/>
  <c r="N522" i="1"/>
  <c r="N520" i="4" s="1"/>
  <c r="L514" i="1"/>
  <c r="L512" i="4" s="1"/>
  <c r="L508" i="1"/>
  <c r="L506" i="4" s="1"/>
  <c r="M492" i="1"/>
  <c r="M490" i="4" s="1"/>
  <c r="L489" i="1"/>
  <c r="L487" i="4" s="1"/>
  <c r="N469" i="1"/>
  <c r="N467" i="4" s="1"/>
  <c r="L395" i="1"/>
  <c r="L393" i="4" s="1"/>
  <c r="M390" i="1"/>
  <c r="M388" i="4" s="1"/>
  <c r="N350" i="1"/>
  <c r="N348" i="4" s="1"/>
  <c r="L311" i="1"/>
  <c r="L309" i="4" s="1"/>
  <c r="M306" i="1"/>
  <c r="M304" i="4" s="1"/>
  <c r="M281" i="1"/>
  <c r="M279" i="4" s="1"/>
  <c r="N266" i="1"/>
  <c r="N264" i="4" s="1"/>
  <c r="N254" i="1"/>
  <c r="N252" i="4" s="1"/>
  <c r="M233" i="1"/>
  <c r="M231" i="4" s="1"/>
  <c r="L1798" i="1"/>
  <c r="L1775" i="1"/>
  <c r="L1768" i="1"/>
  <c r="L1764" i="1"/>
  <c r="N1753" i="1"/>
  <c r="M1733" i="1"/>
  <c r="M1721" i="1"/>
  <c r="L1706" i="1"/>
  <c r="M1674" i="1"/>
  <c r="L1650" i="1"/>
  <c r="L1628" i="1"/>
  <c r="L1624" i="1"/>
  <c r="M1590" i="1"/>
  <c r="L1567" i="1"/>
  <c r="M1506" i="1"/>
  <c r="N1456" i="1"/>
  <c r="L1265" i="1"/>
  <c r="L1263" i="4" s="1"/>
  <c r="L1145" i="1"/>
  <c r="L1143" i="4" s="1"/>
  <c r="L865" i="1"/>
  <c r="L863" i="4" s="1"/>
  <c r="L1101" i="1"/>
  <c r="L1099" i="4" s="1"/>
  <c r="M1091" i="1"/>
  <c r="M1089" i="4" s="1"/>
  <c r="N1073" i="1"/>
  <c r="N1071" i="4" s="1"/>
  <c r="L562" i="1"/>
  <c r="L560" i="4" s="1"/>
  <c r="L557" i="1"/>
  <c r="L555" i="4" s="1"/>
  <c r="L544" i="1"/>
  <c r="L542" i="4" s="1"/>
  <c r="L532" i="1"/>
  <c r="L530" i="4" s="1"/>
  <c r="M488" i="1"/>
  <c r="M486" i="4" s="1"/>
  <c r="M480" i="1"/>
  <c r="M478" i="4" s="1"/>
  <c r="L459" i="1"/>
  <c r="L457" i="4" s="1"/>
  <c r="M450" i="1"/>
  <c r="M448" i="4" s="1"/>
  <c r="L423" i="1"/>
  <c r="L421" i="4" s="1"/>
  <c r="M414" i="1"/>
  <c r="M412" i="4" s="1"/>
  <c r="N406" i="1"/>
  <c r="N404" i="4" s="1"/>
  <c r="L399" i="1"/>
  <c r="L397" i="4" s="1"/>
  <c r="L393" i="1"/>
  <c r="L391" i="4" s="1"/>
  <c r="N348" i="1"/>
  <c r="N346" i="4" s="1"/>
  <c r="L335" i="1"/>
  <c r="L333" i="4" s="1"/>
  <c r="M330" i="1"/>
  <c r="M328" i="4" s="1"/>
  <c r="N322" i="1"/>
  <c r="N320" i="4" s="1"/>
  <c r="L309" i="1"/>
  <c r="L307" i="4" s="1"/>
  <c r="M1817" i="1"/>
  <c r="M1794" i="1"/>
  <c r="L1762" i="1"/>
  <c r="L1739" i="1"/>
  <c r="L1732" i="1"/>
  <c r="L1728" i="1"/>
  <c r="L1720" i="1"/>
  <c r="L1716" i="1"/>
  <c r="N1705" i="1"/>
  <c r="M1685" i="1"/>
  <c r="L1670" i="1"/>
  <c r="N1594" i="1"/>
  <c r="L1589" i="1"/>
  <c r="N1582" i="1"/>
  <c r="M1551" i="1"/>
  <c r="L1388" i="1"/>
  <c r="L1386" i="4" s="1"/>
  <c r="N1349" i="1"/>
  <c r="N1347" i="4" s="1"/>
  <c r="M1321" i="1"/>
  <c r="M1319" i="4" s="1"/>
  <c r="L556" i="1"/>
  <c r="L554" i="4" s="1"/>
  <c r="M516" i="1"/>
  <c r="M514" i="4" s="1"/>
  <c r="L513" i="1"/>
  <c r="L511" i="4" s="1"/>
  <c r="N491" i="1"/>
  <c r="N489" i="4" s="1"/>
  <c r="L474" i="1"/>
  <c r="L472" i="4" s="1"/>
  <c r="M467" i="1"/>
  <c r="M465" i="4" s="1"/>
  <c r="L435" i="1"/>
  <c r="L433" i="4" s="1"/>
  <c r="L405" i="1"/>
  <c r="L403" i="4" s="1"/>
  <c r="L347" i="1"/>
  <c r="L345" i="4" s="1"/>
  <c r="M342" i="1"/>
  <c r="M340" i="4" s="1"/>
  <c r="L321" i="1"/>
  <c r="L319" i="4" s="1"/>
  <c r="M305" i="1"/>
  <c r="M303" i="4" s="1"/>
  <c r="N290" i="1"/>
  <c r="N288" i="4" s="1"/>
  <c r="N264" i="1"/>
  <c r="N262" i="4" s="1"/>
  <c r="N252" i="1"/>
  <c r="N250" i="4" s="1"/>
  <c r="L1802" i="1"/>
  <c r="M1782" i="1"/>
  <c r="L1750" i="1"/>
  <c r="L1727" i="1"/>
  <c r="L1715" i="1"/>
  <c r="L1708" i="1"/>
  <c r="L1704" i="1"/>
  <c r="N1693" i="1"/>
  <c r="M1673" i="1"/>
  <c r="L1658" i="1"/>
  <c r="L1653" i="1"/>
  <c r="L1581" i="1"/>
  <c r="L1577" i="1"/>
  <c r="M1566" i="1"/>
  <c r="N1540" i="1"/>
  <c r="M1518" i="1"/>
  <c r="M1503" i="1"/>
  <c r="M1348" i="1"/>
  <c r="M1346" i="4" s="1"/>
  <c r="N1328" i="1"/>
  <c r="N1326" i="4" s="1"/>
  <c r="L1185" i="1"/>
  <c r="L1183" i="4" s="1"/>
  <c r="L1161" i="1"/>
  <c r="L1159" i="4" s="1"/>
  <c r="L1134" i="1"/>
  <c r="L1132" i="4" s="1"/>
  <c r="M552" i="1"/>
  <c r="M550" i="4" s="1"/>
  <c r="M540" i="1"/>
  <c r="M538" i="4" s="1"/>
  <c r="M528" i="1"/>
  <c r="M526" i="4" s="1"/>
  <c r="L525" i="1"/>
  <c r="L523" i="4" s="1"/>
  <c r="M500" i="1"/>
  <c r="M498" i="4" s="1"/>
  <c r="M487" i="1"/>
  <c r="M485" i="4" s="1"/>
  <c r="M466" i="1"/>
  <c r="M464" i="4" s="1"/>
  <c r="L447" i="1"/>
  <c r="L445" i="4" s="1"/>
  <c r="L411" i="1"/>
  <c r="L409" i="4" s="1"/>
  <c r="N374" i="1"/>
  <c r="N372" i="4" s="1"/>
  <c r="N360" i="1"/>
  <c r="N358" i="4" s="1"/>
  <c r="M354" i="1"/>
  <c r="M352" i="4" s="1"/>
  <c r="N276" i="1"/>
  <c r="N274" i="4" s="1"/>
  <c r="L263" i="1"/>
  <c r="L261" i="4" s="1"/>
  <c r="L251" i="1"/>
  <c r="L249" i="4" s="1"/>
  <c r="L243" i="1"/>
  <c r="L241" i="4" s="1"/>
  <c r="N1813" i="1"/>
  <c r="M1805" i="1"/>
  <c r="M1770" i="1"/>
  <c r="L1738" i="1"/>
  <c r="L1703" i="1"/>
  <c r="L1696" i="1"/>
  <c r="L1692" i="1"/>
  <c r="N1681" i="1"/>
  <c r="M1661" i="1"/>
  <c r="M1611" i="1"/>
  <c r="N1580" i="1"/>
  <c r="N1570" i="1"/>
  <c r="M1554" i="1"/>
  <c r="L1517" i="1"/>
  <c r="N1355" i="1"/>
  <c r="N1353" i="4" s="1"/>
  <c r="L1341" i="1"/>
  <c r="L1339" i="4" s="1"/>
  <c r="N1151" i="1"/>
  <c r="N1149" i="4" s="1"/>
  <c r="L549" i="1"/>
  <c r="L547" i="4" s="1"/>
  <c r="L537" i="1"/>
  <c r="L535" i="4" s="1"/>
  <c r="N503" i="1"/>
  <c r="N501" i="4" s="1"/>
  <c r="L499" i="1"/>
  <c r="L497" i="4" s="1"/>
  <c r="M486" i="1"/>
  <c r="M484" i="4" s="1"/>
  <c r="L471" i="1"/>
  <c r="L469" i="4" s="1"/>
  <c r="M465" i="1"/>
  <c r="M463" i="4" s="1"/>
  <c r="N386" i="1"/>
  <c r="N384" i="4" s="1"/>
  <c r="L359" i="1"/>
  <c r="L357" i="4" s="1"/>
  <c r="L333" i="1"/>
  <c r="L331" i="4" s="1"/>
  <c r="N302" i="1"/>
  <c r="N300" i="4" s="1"/>
  <c r="L275" i="1"/>
  <c r="L273" i="4" s="1"/>
  <c r="M270" i="1"/>
  <c r="M268" i="4" s="1"/>
  <c r="M258" i="1"/>
  <c r="M256" i="4" s="1"/>
  <c r="N240" i="1"/>
  <c r="N238" i="4" s="1"/>
  <c r="L1816" i="1"/>
  <c r="L1812" i="1"/>
  <c r="L1790" i="1"/>
  <c r="M1758" i="1"/>
  <c r="L1726" i="1"/>
  <c r="L1714" i="1"/>
  <c r="L1691" i="1"/>
  <c r="L1684" i="1"/>
  <c r="L1680" i="1"/>
  <c r="N1669" i="1"/>
  <c r="L1652" i="1"/>
  <c r="L1603" i="1"/>
  <c r="M1592" i="1"/>
  <c r="N1588" i="1"/>
  <c r="L1569" i="1"/>
  <c r="N1558" i="1"/>
  <c r="L1436" i="1"/>
  <c r="M1168" i="1"/>
  <c r="M1166" i="4" s="1"/>
  <c r="L928" i="1"/>
  <c r="L926" i="4" s="1"/>
  <c r="M906" i="1"/>
  <c r="M904" i="4" s="1"/>
  <c r="L827" i="1"/>
  <c r="L825" i="4" s="1"/>
  <c r="M694" i="1"/>
  <c r="M692" i="4" s="1"/>
  <c r="L561" i="1"/>
  <c r="L559" i="4" s="1"/>
  <c r="M512" i="1"/>
  <c r="M510" i="4" s="1"/>
  <c r="M478" i="1"/>
  <c r="M476" i="4" s="1"/>
  <c r="N458" i="1"/>
  <c r="N456" i="4" s="1"/>
  <c r="N422" i="1"/>
  <c r="N420" i="4" s="1"/>
  <c r="N398" i="1"/>
  <c r="N396" i="4" s="1"/>
  <c r="L345" i="1"/>
  <c r="L343" i="4" s="1"/>
  <c r="N288" i="1"/>
  <c r="N286" i="4" s="1"/>
  <c r="L239" i="1"/>
  <c r="L237" i="4" s="1"/>
  <c r="L1811" i="1"/>
  <c r="N1801" i="1"/>
  <c r="M1793" i="1"/>
  <c r="L1778" i="1"/>
  <c r="M1746" i="1"/>
  <c r="L1702" i="1"/>
  <c r="L1679" i="1"/>
  <c r="L1672" i="1"/>
  <c r="L1668" i="1"/>
  <c r="N1657" i="1"/>
  <c r="L1640" i="1"/>
  <c r="N1576" i="1"/>
  <c r="L1565" i="1"/>
  <c r="L1557" i="1"/>
  <c r="M1539" i="1"/>
  <c r="L1472" i="1"/>
  <c r="N1123" i="1"/>
  <c r="N1121" i="4" s="1"/>
  <c r="N805" i="1"/>
  <c r="N803" i="4" s="1"/>
  <c r="N515" i="1"/>
  <c r="N513" i="4" s="1"/>
  <c r="L511" i="1"/>
  <c r="L509" i="4" s="1"/>
  <c r="N498" i="1"/>
  <c r="N496" i="4" s="1"/>
  <c r="L490" i="1"/>
  <c r="L488" i="4" s="1"/>
  <c r="N434" i="1"/>
  <c r="N432" i="4" s="1"/>
  <c r="N372" i="1"/>
  <c r="N370" i="4" s="1"/>
  <c r="M366" i="1"/>
  <c r="M364" i="4" s="1"/>
  <c r="L357" i="1"/>
  <c r="L355" i="4" s="1"/>
  <c r="N314" i="1"/>
  <c r="N312" i="4" s="1"/>
  <c r="L287" i="1"/>
  <c r="L285" i="4" s="1"/>
  <c r="M282" i="1"/>
  <c r="M280" i="4" s="1"/>
  <c r="M245" i="1"/>
  <c r="M243" i="4" s="1"/>
  <c r="L1804" i="1"/>
  <c r="L1800" i="1"/>
  <c r="M1781" i="1"/>
  <c r="L1766" i="1"/>
  <c r="M1734" i="1"/>
  <c r="M1722" i="1"/>
  <c r="L1690" i="1"/>
  <c r="L1667" i="1"/>
  <c r="L1660" i="1"/>
  <c r="L1656" i="1"/>
  <c r="L1614" i="1"/>
  <c r="L1568" i="1"/>
  <c r="L1553" i="1"/>
  <c r="M1443" i="1"/>
  <c r="L1377" i="1"/>
  <c r="L1375" i="4" s="1"/>
  <c r="L1325" i="1"/>
  <c r="L1323" i="4" s="1"/>
  <c r="N1199" i="1"/>
  <c r="N1197" i="4" s="1"/>
  <c r="N527" i="1"/>
  <c r="N525" i="4" s="1"/>
  <c r="N524" i="1"/>
  <c r="N522" i="4" s="1"/>
  <c r="L497" i="1"/>
  <c r="L495" i="4" s="1"/>
  <c r="N446" i="1"/>
  <c r="N444" i="4" s="1"/>
  <c r="M433" i="1"/>
  <c r="M431" i="4" s="1"/>
  <c r="N410" i="1"/>
  <c r="N408" i="4" s="1"/>
  <c r="L371" i="1"/>
  <c r="L369" i="4" s="1"/>
  <c r="N300" i="1"/>
  <c r="N298" i="4" s="1"/>
  <c r="L273" i="1"/>
  <c r="L271" i="4" s="1"/>
  <c r="L249" i="1"/>
  <c r="L247" i="4" s="1"/>
  <c r="L1799" i="1"/>
  <c r="N1789" i="1"/>
  <c r="M1769" i="1"/>
  <c r="L1754" i="1"/>
  <c r="M1710" i="1"/>
  <c r="L1678" i="1"/>
  <c r="L1655" i="1"/>
  <c r="M1651" i="1"/>
  <c r="M1647" i="1"/>
  <c r="N1630" i="1"/>
  <c r="N1618" i="1"/>
  <c r="M1599" i="1"/>
  <c r="L1579" i="1"/>
  <c r="L1556" i="1"/>
  <c r="N1546" i="1"/>
  <c r="M1479" i="1"/>
  <c r="L1376" i="1"/>
  <c r="L1374" i="4" s="1"/>
  <c r="N1215" i="1"/>
  <c r="N1213" i="4" s="1"/>
  <c r="N780" i="1"/>
  <c r="N778" i="4" s="1"/>
  <c r="N548" i="1"/>
  <c r="N546" i="4" s="1"/>
  <c r="N536" i="1"/>
  <c r="N534" i="4" s="1"/>
  <c r="L523" i="1"/>
  <c r="L521" i="4" s="1"/>
  <c r="N510" i="1"/>
  <c r="N508" i="4" s="1"/>
  <c r="L502" i="1"/>
  <c r="L500" i="4" s="1"/>
  <c r="L496" i="1"/>
  <c r="L494" i="4" s="1"/>
  <c r="N482" i="1"/>
  <c r="N480" i="4" s="1"/>
  <c r="N470" i="1"/>
  <c r="N468" i="4" s="1"/>
  <c r="M445" i="1"/>
  <c r="M443" i="4" s="1"/>
  <c r="N370" i="1"/>
  <c r="N368" i="4" s="1"/>
  <c r="L363" i="1"/>
  <c r="L361" i="4" s="1"/>
  <c r="N326" i="1"/>
  <c r="N324" i="4" s="1"/>
  <c r="L299" i="1"/>
  <c r="L297" i="4" s="1"/>
  <c r="M294" i="1"/>
  <c r="M292" i="4" s="1"/>
  <c r="M269" i="1"/>
  <c r="M267" i="4" s="1"/>
  <c r="M257" i="1"/>
  <c r="M255" i="4" s="1"/>
  <c r="L1810" i="1"/>
  <c r="L1792" i="1"/>
  <c r="L1788" i="1"/>
  <c r="N1777" i="1"/>
  <c r="M1757" i="1"/>
  <c r="L1742" i="1"/>
  <c r="M1725" i="1"/>
  <c r="M1698" i="1"/>
  <c r="L1666" i="1"/>
  <c r="M1636" i="1"/>
  <c r="N1606" i="1"/>
  <c r="L1591" i="1"/>
  <c r="M1587" i="1"/>
  <c r="N1564" i="1"/>
  <c r="M1542" i="1"/>
  <c r="N1492" i="1"/>
  <c r="N1181" i="1"/>
  <c r="N1179" i="4" s="1"/>
  <c r="L1084" i="1"/>
  <c r="L1082" i="4" s="1"/>
  <c r="L935" i="1"/>
  <c r="L933" i="4" s="1"/>
  <c r="N1510" i="1"/>
  <c r="N1408" i="1"/>
  <c r="N1406" i="4" s="1"/>
  <c r="L1306" i="1"/>
  <c r="L1304" i="4" s="1"/>
  <c r="N1295" i="1"/>
  <c r="N1293" i="4" s="1"/>
  <c r="M1261" i="1"/>
  <c r="M1259" i="4" s="1"/>
  <c r="N1247" i="1"/>
  <c r="N1245" i="4" s="1"/>
  <c r="N1229" i="1"/>
  <c r="N1227" i="4" s="1"/>
  <c r="L1222" i="1"/>
  <c r="L1220" i="4" s="1"/>
  <c r="N1205" i="1"/>
  <c r="N1203" i="4" s="1"/>
  <c r="N1175" i="1"/>
  <c r="N1173" i="4" s="1"/>
  <c r="M1165" i="1"/>
  <c r="M1163" i="4" s="1"/>
  <c r="L1126" i="1"/>
  <c r="L1124" i="4" s="1"/>
  <c r="N1109" i="1"/>
  <c r="N1107" i="4" s="1"/>
  <c r="M1043" i="1"/>
  <c r="M1041" i="4" s="1"/>
  <c r="L695" i="1"/>
  <c r="L693" i="4" s="1"/>
  <c r="M664" i="1"/>
  <c r="M662" i="4" s="1"/>
  <c r="N1516" i="1"/>
  <c r="N1420" i="1"/>
  <c r="N1418" i="4" s="1"/>
  <c r="M1395" i="1"/>
  <c r="M1393" i="4" s="1"/>
  <c r="M1354" i="1"/>
  <c r="M1352" i="4" s="1"/>
  <c r="N1331" i="1"/>
  <c r="N1329" i="4" s="1"/>
  <c r="M1324" i="1"/>
  <c r="M1322" i="4" s="1"/>
  <c r="L1317" i="1"/>
  <c r="L1315" i="4" s="1"/>
  <c r="L1294" i="1"/>
  <c r="L1292" i="4" s="1"/>
  <c r="N1283" i="1"/>
  <c r="N1281" i="4" s="1"/>
  <c r="L1246" i="1"/>
  <c r="L1244" i="4" s="1"/>
  <c r="L1115" i="1"/>
  <c r="L1113" i="4" s="1"/>
  <c r="M887" i="1"/>
  <c r="M885" i="4" s="1"/>
  <c r="L779" i="1"/>
  <c r="L777" i="4" s="1"/>
  <c r="M724" i="1"/>
  <c r="M722" i="4" s="1"/>
  <c r="L655" i="1"/>
  <c r="L653" i="4" s="1"/>
  <c r="N1534" i="1"/>
  <c r="M1530" i="1"/>
  <c r="L1448" i="1"/>
  <c r="N1361" i="1"/>
  <c r="N1359" i="4" s="1"/>
  <c r="M1357" i="1"/>
  <c r="M1355" i="4" s="1"/>
  <c r="M1309" i="1"/>
  <c r="M1307" i="4" s="1"/>
  <c r="N1271" i="1"/>
  <c r="N1269" i="4" s="1"/>
  <c r="L1257" i="1"/>
  <c r="L1255" i="4" s="1"/>
  <c r="N1235" i="1"/>
  <c r="N1233" i="4" s="1"/>
  <c r="M1225" i="1"/>
  <c r="M1223" i="4" s="1"/>
  <c r="N1211" i="1"/>
  <c r="N1209" i="4" s="1"/>
  <c r="M1201" i="1"/>
  <c r="M1199" i="4" s="1"/>
  <c r="N1157" i="1"/>
  <c r="N1155" i="4" s="1"/>
  <c r="M1144" i="1"/>
  <c r="M1142" i="4" s="1"/>
  <c r="L964" i="1"/>
  <c r="L962" i="4" s="1"/>
  <c r="M894" i="1"/>
  <c r="M892" i="4" s="1"/>
  <c r="L801" i="1"/>
  <c r="L799" i="4" s="1"/>
  <c r="L1508" i="1"/>
  <c r="L1505" i="1"/>
  <c r="L1484" i="1"/>
  <c r="M1407" i="1"/>
  <c r="M1405" i="4" s="1"/>
  <c r="L1400" i="1"/>
  <c r="L1398" i="4" s="1"/>
  <c r="M1297" i="1"/>
  <c r="M1295" i="4" s="1"/>
  <c r="M1290" i="1"/>
  <c r="M1288" i="4" s="1"/>
  <c r="L1253" i="1"/>
  <c r="L1251" i="4" s="1"/>
  <c r="M1228" i="1"/>
  <c r="M1226" i="4" s="1"/>
  <c r="L1221" i="1"/>
  <c r="L1219" i="4" s="1"/>
  <c r="M1204" i="1"/>
  <c r="M1202" i="4" s="1"/>
  <c r="L1197" i="1"/>
  <c r="L1195" i="4" s="1"/>
  <c r="N1187" i="1"/>
  <c r="N1185" i="4" s="1"/>
  <c r="M1177" i="1"/>
  <c r="M1175" i="4" s="1"/>
  <c r="N1141" i="1"/>
  <c r="N1139" i="4" s="1"/>
  <c r="L1137" i="1"/>
  <c r="L1135" i="4" s="1"/>
  <c r="L1125" i="1"/>
  <c r="L1123" i="4" s="1"/>
  <c r="N1097" i="1"/>
  <c r="N1095" i="4" s="1"/>
  <c r="M1079" i="1"/>
  <c r="M1077" i="4" s="1"/>
  <c r="L1072" i="1"/>
  <c r="L1070" i="4" s="1"/>
  <c r="L993" i="1"/>
  <c r="L991" i="4" s="1"/>
  <c r="L925" i="1"/>
  <c r="L923" i="4" s="1"/>
  <c r="L893" i="1"/>
  <c r="L891" i="4" s="1"/>
  <c r="M738" i="1"/>
  <c r="M736" i="4" s="1"/>
  <c r="M1491" i="1"/>
  <c r="N1468" i="1"/>
  <c r="L1461" i="1"/>
  <c r="M1455" i="1"/>
  <c r="N1432" i="1"/>
  <c r="L1425" i="1"/>
  <c r="L1423" i="4" s="1"/>
  <c r="L1365" i="1"/>
  <c r="L1363" i="4" s="1"/>
  <c r="M1360" i="1"/>
  <c r="M1358" i="4" s="1"/>
  <c r="M1350" i="1"/>
  <c r="M1348" i="4" s="1"/>
  <c r="N1340" i="1"/>
  <c r="N1338" i="4" s="1"/>
  <c r="M1312" i="1"/>
  <c r="M1310" i="4" s="1"/>
  <c r="M1249" i="1"/>
  <c r="M1247" i="4" s="1"/>
  <c r="M1180" i="1"/>
  <c r="M1178" i="4" s="1"/>
  <c r="M1153" i="1"/>
  <c r="M1151" i="4" s="1"/>
  <c r="M1132" i="1"/>
  <c r="M1130" i="4" s="1"/>
  <c r="M1111" i="1"/>
  <c r="M1109" i="4" s="1"/>
  <c r="L1089" i="1"/>
  <c r="L1087" i="4" s="1"/>
  <c r="N1061" i="1"/>
  <c r="N1059" i="4" s="1"/>
  <c r="L1015" i="1"/>
  <c r="L1013" i="4" s="1"/>
  <c r="N876" i="1"/>
  <c r="N874" i="4" s="1"/>
  <c r="L1532" i="1"/>
  <c r="L1529" i="1"/>
  <c r="M1515" i="1"/>
  <c r="L1481" i="1"/>
  <c r="M1419" i="1"/>
  <c r="M1417" i="4" s="1"/>
  <c r="L1412" i="1"/>
  <c r="L1410" i="4" s="1"/>
  <c r="L1364" i="1"/>
  <c r="L1362" i="4" s="1"/>
  <c r="L1353" i="1"/>
  <c r="L1351" i="4" s="1"/>
  <c r="N1343" i="1"/>
  <c r="N1341" i="4" s="1"/>
  <c r="M1333" i="1"/>
  <c r="M1331" i="4" s="1"/>
  <c r="N1316" i="1"/>
  <c r="N1314" i="4" s="1"/>
  <c r="N1304" i="1"/>
  <c r="N1302" i="4" s="1"/>
  <c r="M1300" i="1"/>
  <c r="M1298" i="4" s="1"/>
  <c r="L1293" i="1"/>
  <c r="L1291" i="4" s="1"/>
  <c r="M1285" i="1"/>
  <c r="M1283" i="4" s="1"/>
  <c r="L1252" i="1"/>
  <c r="L1250" i="4" s="1"/>
  <c r="L1245" i="1"/>
  <c r="L1243" i="4" s="1"/>
  <c r="N1217" i="1"/>
  <c r="N1215" i="4" s="1"/>
  <c r="N1193" i="1"/>
  <c r="N1191" i="4" s="1"/>
  <c r="L1075" i="1"/>
  <c r="L1073" i="4" s="1"/>
  <c r="L1039" i="1"/>
  <c r="L1037" i="4" s="1"/>
  <c r="L1000" i="1"/>
  <c r="L998" i="4" s="1"/>
  <c r="M822" i="1"/>
  <c r="M820" i="4" s="1"/>
  <c r="M760" i="1"/>
  <c r="M758" i="4" s="1"/>
  <c r="M690" i="1"/>
  <c r="M688" i="4" s="1"/>
  <c r="N684" i="1"/>
  <c r="N682" i="4" s="1"/>
  <c r="N1522" i="1"/>
  <c r="N1504" i="1"/>
  <c r="M1494" i="1"/>
  <c r="L1460" i="1"/>
  <c r="N1384" i="1"/>
  <c r="N1382" i="4" s="1"/>
  <c r="M1336" i="1"/>
  <c r="M1334" i="4" s="1"/>
  <c r="N1299" i="1"/>
  <c r="N1297" i="4" s="1"/>
  <c r="N1288" i="1"/>
  <c r="N1286" i="4" s="1"/>
  <c r="L1241" i="1"/>
  <c r="L1239" i="4" s="1"/>
  <c r="L1173" i="1"/>
  <c r="L1171" i="4" s="1"/>
  <c r="M1156" i="1"/>
  <c r="M1154" i="4" s="1"/>
  <c r="M1143" i="1"/>
  <c r="M1141" i="4" s="1"/>
  <c r="L1029" i="1"/>
  <c r="L1027" i="4" s="1"/>
  <c r="L853" i="1"/>
  <c r="L851" i="4" s="1"/>
  <c r="L753" i="1"/>
  <c r="L751" i="4" s="1"/>
  <c r="L683" i="1"/>
  <c r="L681" i="4" s="1"/>
  <c r="M675" i="1"/>
  <c r="M673" i="4" s="1"/>
  <c r="L1281" i="1"/>
  <c r="L1279" i="4" s="1"/>
  <c r="N1259" i="1"/>
  <c r="N1257" i="4" s="1"/>
  <c r="M1237" i="1"/>
  <c r="M1235" i="4" s="1"/>
  <c r="M1213" i="1"/>
  <c r="M1211" i="4" s="1"/>
  <c r="M1189" i="1"/>
  <c r="M1187" i="4" s="1"/>
  <c r="N1163" i="1"/>
  <c r="N1161" i="4" s="1"/>
  <c r="L1149" i="1"/>
  <c r="L1147" i="4" s="1"/>
  <c r="L1113" i="1"/>
  <c r="L1111" i="4" s="1"/>
  <c r="M1103" i="1"/>
  <c r="M1101" i="4" s="1"/>
  <c r="N1092" i="1"/>
  <c r="N1090" i="4" s="1"/>
  <c r="N1085" i="1"/>
  <c r="N1083" i="4" s="1"/>
  <c r="L837" i="1"/>
  <c r="L835" i="4" s="1"/>
  <c r="M790" i="1"/>
  <c r="M788" i="4" s="1"/>
  <c r="N1528" i="1"/>
  <c r="N1480" i="1"/>
  <c r="L1473" i="1"/>
  <c r="M1467" i="1"/>
  <c r="N1444" i="1"/>
  <c r="L1437" i="1"/>
  <c r="M1431" i="1"/>
  <c r="L1363" i="1"/>
  <c r="L1361" i="4" s="1"/>
  <c r="M1342" i="1"/>
  <c r="M1340" i="4" s="1"/>
  <c r="L1329" i="1"/>
  <c r="L1327" i="4" s="1"/>
  <c r="N1319" i="1"/>
  <c r="N1317" i="4" s="1"/>
  <c r="L1303" i="1"/>
  <c r="L1301" i="4" s="1"/>
  <c r="L1240" i="1"/>
  <c r="L1238" i="4" s="1"/>
  <c r="N1169" i="1"/>
  <c r="N1167" i="4" s="1"/>
  <c r="M1099" i="1"/>
  <c r="M1097" i="4" s="1"/>
  <c r="L1065" i="1"/>
  <c r="L1063" i="4" s="1"/>
  <c r="M882" i="1"/>
  <c r="M880" i="4" s="1"/>
  <c r="M774" i="1"/>
  <c r="M772" i="4" s="1"/>
  <c r="L743" i="1"/>
  <c r="L741" i="4" s="1"/>
  <c r="L1496" i="1"/>
  <c r="L1493" i="1"/>
  <c r="N1396" i="1"/>
  <c r="N1394" i="4" s="1"/>
  <c r="N1352" i="1"/>
  <c r="N1350" i="4" s="1"/>
  <c r="M1345" i="1"/>
  <c r="M1343" i="4" s="1"/>
  <c r="N1307" i="1"/>
  <c r="N1305" i="4" s="1"/>
  <c r="N1292" i="1"/>
  <c r="N1290" i="4" s="1"/>
  <c r="M1273" i="1"/>
  <c r="M1271" i="4" s="1"/>
  <c r="L1269" i="1"/>
  <c r="L1267" i="4" s="1"/>
  <c r="L1233" i="1"/>
  <c r="L1231" i="4" s="1"/>
  <c r="N1223" i="1"/>
  <c r="N1221" i="4" s="1"/>
  <c r="M1216" i="1"/>
  <c r="M1214" i="4" s="1"/>
  <c r="L1209" i="1"/>
  <c r="L1207" i="4" s="1"/>
  <c r="M1192" i="1"/>
  <c r="M1190" i="4" s="1"/>
  <c r="N1139" i="1"/>
  <c r="N1137" i="4" s="1"/>
  <c r="N1120" i="1"/>
  <c r="N1118" i="4" s="1"/>
  <c r="L1077" i="1"/>
  <c r="L1075" i="4" s="1"/>
  <c r="L1036" i="1"/>
  <c r="L1034" i="4" s="1"/>
  <c r="L1004" i="1"/>
  <c r="L1002" i="4" s="1"/>
  <c r="M712" i="1"/>
  <c r="M710" i="4" s="1"/>
  <c r="L705" i="1"/>
  <c r="L703" i="4" s="1"/>
  <c r="N1025" i="1"/>
  <c r="N1023" i="4" s="1"/>
  <c r="L1003" i="1"/>
  <c r="L1001" i="4" s="1"/>
  <c r="N989" i="1"/>
  <c r="N987" i="4" s="1"/>
  <c r="M971" i="1"/>
  <c r="M969" i="4" s="1"/>
  <c r="N953" i="1"/>
  <c r="N951" i="4" s="1"/>
  <c r="M931" i="1"/>
  <c r="M929" i="4" s="1"/>
  <c r="L920" i="1"/>
  <c r="L918" i="4" s="1"/>
  <c r="N917" i="1"/>
  <c r="N915" i="4" s="1"/>
  <c r="M905" i="1"/>
  <c r="M903" i="4" s="1"/>
  <c r="M870" i="1"/>
  <c r="M868" i="4" s="1"/>
  <c r="N816" i="1"/>
  <c r="N814" i="4" s="1"/>
  <c r="L789" i="1"/>
  <c r="L787" i="4" s="1"/>
  <c r="M778" i="1"/>
  <c r="M776" i="4" s="1"/>
  <c r="N768" i="1"/>
  <c r="N766" i="4" s="1"/>
  <c r="N732" i="1"/>
  <c r="N730" i="4" s="1"/>
  <c r="M678" i="1"/>
  <c r="M676" i="4" s="1"/>
  <c r="M651" i="1"/>
  <c r="M649" i="4" s="1"/>
  <c r="L1064" i="1"/>
  <c r="L1062" i="4" s="1"/>
  <c r="L1053" i="1"/>
  <c r="L1051" i="4" s="1"/>
  <c r="L1028" i="1"/>
  <c r="L1026" i="4" s="1"/>
  <c r="M1007" i="1"/>
  <c r="M1005" i="4" s="1"/>
  <c r="L992" i="1"/>
  <c r="L990" i="4" s="1"/>
  <c r="L956" i="1"/>
  <c r="L954" i="4" s="1"/>
  <c r="L913" i="1"/>
  <c r="L911" i="4" s="1"/>
  <c r="N902" i="1"/>
  <c r="N900" i="4" s="1"/>
  <c r="N864" i="1"/>
  <c r="N862" i="4" s="1"/>
  <c r="L815" i="1"/>
  <c r="L813" i="4" s="1"/>
  <c r="M810" i="1"/>
  <c r="M808" i="4" s="1"/>
  <c r="L767" i="1"/>
  <c r="L765" i="4" s="1"/>
  <c r="M748" i="1"/>
  <c r="M746" i="4" s="1"/>
  <c r="L731" i="1"/>
  <c r="L729" i="4" s="1"/>
  <c r="M723" i="1"/>
  <c r="M721" i="4" s="1"/>
  <c r="L693" i="1"/>
  <c r="L691" i="4" s="1"/>
  <c r="N672" i="1"/>
  <c r="N670" i="4" s="1"/>
  <c r="M654" i="1"/>
  <c r="M652" i="4" s="1"/>
  <c r="L1060" i="1"/>
  <c r="L1058" i="4" s="1"/>
  <c r="L1017" i="1"/>
  <c r="L1015" i="4" s="1"/>
  <c r="L981" i="1"/>
  <c r="L979" i="4" s="1"/>
  <c r="L923" i="1"/>
  <c r="L921" i="4" s="1"/>
  <c r="L863" i="1"/>
  <c r="L861" i="4" s="1"/>
  <c r="L841" i="1"/>
  <c r="L839" i="4" s="1"/>
  <c r="L825" i="1"/>
  <c r="L823" i="4" s="1"/>
  <c r="M814" i="1"/>
  <c r="M812" i="4" s="1"/>
  <c r="M762" i="1"/>
  <c r="M760" i="4" s="1"/>
  <c r="L741" i="1"/>
  <c r="L739" i="4" s="1"/>
  <c r="M726" i="1"/>
  <c r="M724" i="4" s="1"/>
  <c r="M700" i="1"/>
  <c r="M698" i="4" s="1"/>
  <c r="L671" i="1"/>
  <c r="L669" i="4" s="1"/>
  <c r="M663" i="1"/>
  <c r="M661" i="4" s="1"/>
  <c r="M1067" i="1"/>
  <c r="M1065" i="4" s="1"/>
  <c r="N1049" i="1"/>
  <c r="N1047" i="4" s="1"/>
  <c r="M1031" i="1"/>
  <c r="M1029" i="4" s="1"/>
  <c r="L1024" i="1"/>
  <c r="L1022" i="4" s="1"/>
  <c r="L988" i="1"/>
  <c r="L986" i="4" s="1"/>
  <c r="M959" i="1"/>
  <c r="M957" i="4" s="1"/>
  <c r="L952" i="1"/>
  <c r="L950" i="4" s="1"/>
  <c r="L916" i="1"/>
  <c r="L914" i="4" s="1"/>
  <c r="L897" i="1"/>
  <c r="L895" i="4" s="1"/>
  <c r="L873" i="1"/>
  <c r="L871" i="4" s="1"/>
  <c r="M862" i="1"/>
  <c r="M860" i="4" s="1"/>
  <c r="M858" i="1"/>
  <c r="M856" i="4" s="1"/>
  <c r="N852" i="1"/>
  <c r="N850" i="4" s="1"/>
  <c r="N804" i="1"/>
  <c r="N802" i="4" s="1"/>
  <c r="N793" i="1"/>
  <c r="N791" i="4" s="1"/>
  <c r="L777" i="1"/>
  <c r="L775" i="4" s="1"/>
  <c r="N720" i="1"/>
  <c r="N718" i="4" s="1"/>
  <c r="M711" i="1"/>
  <c r="M709" i="4" s="1"/>
  <c r="M670" i="1"/>
  <c r="M668" i="4" s="1"/>
  <c r="M666" i="1"/>
  <c r="M664" i="4" s="1"/>
  <c r="L660" i="1"/>
  <c r="L658" i="4" s="1"/>
  <c r="L1063" i="1"/>
  <c r="L1061" i="4" s="1"/>
  <c r="L1041" i="1"/>
  <c r="L1039" i="4" s="1"/>
  <c r="L1027" i="1"/>
  <c r="L1025" i="4" s="1"/>
  <c r="M995" i="1"/>
  <c r="M993" i="4" s="1"/>
  <c r="L991" i="1"/>
  <c r="L989" i="4" s="1"/>
  <c r="N977" i="1"/>
  <c r="N975" i="4" s="1"/>
  <c r="L955" i="1"/>
  <c r="L953" i="4" s="1"/>
  <c r="N941" i="1"/>
  <c r="N939" i="4" s="1"/>
  <c r="M919" i="1"/>
  <c r="M917" i="4" s="1"/>
  <c r="L901" i="1"/>
  <c r="L899" i="4" s="1"/>
  <c r="N896" i="1"/>
  <c r="N894" i="4" s="1"/>
  <c r="L889" i="1"/>
  <c r="L887" i="4" s="1"/>
  <c r="N872" i="1"/>
  <c r="N870" i="4" s="1"/>
  <c r="L851" i="1"/>
  <c r="L849" i="4" s="1"/>
  <c r="L829" i="1"/>
  <c r="L827" i="4" s="1"/>
  <c r="L803" i="1"/>
  <c r="L801" i="4" s="1"/>
  <c r="N756" i="1"/>
  <c r="N754" i="4" s="1"/>
  <c r="L719" i="1"/>
  <c r="L717" i="4" s="1"/>
  <c r="M714" i="1"/>
  <c r="M712" i="4" s="1"/>
  <c r="M688" i="1"/>
  <c r="M686" i="4" s="1"/>
  <c r="L681" i="1"/>
  <c r="L679" i="4" s="1"/>
  <c r="L659" i="1"/>
  <c r="L657" i="4" s="1"/>
  <c r="L1052" i="1"/>
  <c r="L1050" i="4" s="1"/>
  <c r="N1013" i="1"/>
  <c r="N1011" i="4" s="1"/>
  <c r="L980" i="1"/>
  <c r="L978" i="4" s="1"/>
  <c r="L969" i="1"/>
  <c r="L967" i="4" s="1"/>
  <c r="L944" i="1"/>
  <c r="L942" i="4" s="1"/>
  <c r="L877" i="1"/>
  <c r="L875" i="4" s="1"/>
  <c r="L857" i="1"/>
  <c r="L855" i="4" s="1"/>
  <c r="M850" i="1"/>
  <c r="M848" i="4" s="1"/>
  <c r="M846" i="1"/>
  <c r="M844" i="4" s="1"/>
  <c r="L813" i="1"/>
  <c r="L811" i="4" s="1"/>
  <c r="M798" i="1"/>
  <c r="M796" i="4" s="1"/>
  <c r="L755" i="1"/>
  <c r="L753" i="4" s="1"/>
  <c r="M736" i="1"/>
  <c r="M734" i="4" s="1"/>
  <c r="M718" i="1"/>
  <c r="M716" i="4" s="1"/>
  <c r="N708" i="1"/>
  <c r="N706" i="4" s="1"/>
  <c r="L1048" i="1"/>
  <c r="L1046" i="4" s="1"/>
  <c r="L1016" i="1"/>
  <c r="L1014" i="4" s="1"/>
  <c r="L1005" i="1"/>
  <c r="L1003" i="4" s="1"/>
  <c r="L911" i="1"/>
  <c r="L909" i="4" s="1"/>
  <c r="L861" i="1"/>
  <c r="L859" i="4" s="1"/>
  <c r="N840" i="1"/>
  <c r="N838" i="4" s="1"/>
  <c r="N781" i="1"/>
  <c r="N779" i="4" s="1"/>
  <c r="M772" i="1"/>
  <c r="M770" i="4" s="1"/>
  <c r="L765" i="1"/>
  <c r="L763" i="4" s="1"/>
  <c r="M750" i="1"/>
  <c r="M748" i="4" s="1"/>
  <c r="L729" i="1"/>
  <c r="L727" i="4" s="1"/>
  <c r="L707" i="1"/>
  <c r="L705" i="4" s="1"/>
  <c r="M699" i="1"/>
  <c r="M697" i="4" s="1"/>
  <c r="M1055" i="1"/>
  <c r="M1053" i="4" s="1"/>
  <c r="N1037" i="1"/>
  <c r="N1035" i="4" s="1"/>
  <c r="L976" i="1"/>
  <c r="L974" i="4" s="1"/>
  <c r="N965" i="1"/>
  <c r="N963" i="4" s="1"/>
  <c r="L947" i="1"/>
  <c r="L945" i="4" s="1"/>
  <c r="L940" i="1"/>
  <c r="L938" i="4" s="1"/>
  <c r="L839" i="1"/>
  <c r="L837" i="4" s="1"/>
  <c r="M834" i="1"/>
  <c r="M832" i="4" s="1"/>
  <c r="N792" i="1"/>
  <c r="N790" i="4" s="1"/>
  <c r="M702" i="1"/>
  <c r="M700" i="4" s="1"/>
  <c r="M676" i="1"/>
  <c r="M674" i="4" s="1"/>
  <c r="L669" i="1"/>
  <c r="L667" i="4" s="1"/>
  <c r="L657" i="1"/>
  <c r="L655" i="4" s="1"/>
  <c r="L1051" i="1"/>
  <c r="L1049" i="4" s="1"/>
  <c r="L1040" i="1"/>
  <c r="L1038" i="4" s="1"/>
  <c r="M1019" i="1"/>
  <c r="M1017" i="4" s="1"/>
  <c r="L1012" i="1"/>
  <c r="L1010" i="4" s="1"/>
  <c r="N1001" i="1"/>
  <c r="N999" i="4" s="1"/>
  <c r="M983" i="1"/>
  <c r="M981" i="4" s="1"/>
  <c r="L979" i="1"/>
  <c r="L977" i="4" s="1"/>
  <c r="L968" i="1"/>
  <c r="L966" i="4" s="1"/>
  <c r="L943" i="1"/>
  <c r="L941" i="4" s="1"/>
  <c r="L932" i="1"/>
  <c r="L930" i="4" s="1"/>
  <c r="N929" i="1"/>
  <c r="N927" i="4" s="1"/>
  <c r="N900" i="1"/>
  <c r="N898" i="4" s="1"/>
  <c r="N888" i="1"/>
  <c r="N886" i="4" s="1"/>
  <c r="L849" i="1"/>
  <c r="L847" i="4" s="1"/>
  <c r="M838" i="1"/>
  <c r="M836" i="4" s="1"/>
  <c r="N828" i="1"/>
  <c r="N826" i="4" s="1"/>
  <c r="N817" i="1"/>
  <c r="N815" i="4" s="1"/>
  <c r="L791" i="1"/>
  <c r="L789" i="4" s="1"/>
  <c r="M786" i="1"/>
  <c r="M784" i="4" s="1"/>
  <c r="N769" i="1"/>
  <c r="N767" i="4" s="1"/>
  <c r="N744" i="1"/>
  <c r="N742" i="4" s="1"/>
  <c r="L717" i="1"/>
  <c r="L715" i="4" s="1"/>
  <c r="N696" i="1"/>
  <c r="N694" i="4" s="1"/>
  <c r="M687" i="1"/>
  <c r="M685" i="4" s="1"/>
  <c r="M652" i="1"/>
  <c r="M650" i="4" s="1"/>
  <c r="U1814" i="1"/>
  <c r="U1802" i="1"/>
  <c r="U1790" i="1"/>
  <c r="R1754" i="1"/>
  <c r="R1730" i="1"/>
  <c r="R1718" i="1"/>
  <c r="R1706" i="1"/>
  <c r="R1670" i="1"/>
  <c r="R1658" i="1"/>
  <c r="R1646" i="1"/>
  <c r="R1622" i="1"/>
  <c r="R1586" i="1"/>
  <c r="R1574" i="1"/>
  <c r="R1118" i="1"/>
  <c r="Q1116" i="4" s="1"/>
  <c r="R1813" i="1"/>
  <c r="R1801" i="1"/>
  <c r="R1789" i="1"/>
  <c r="S1777" i="1"/>
  <c r="S1765" i="1"/>
  <c r="S1753" i="1"/>
  <c r="R1741" i="1"/>
  <c r="U1729" i="1"/>
  <c r="U1717" i="1"/>
  <c r="U1693" i="1"/>
  <c r="U1645" i="1"/>
  <c r="U1633" i="1"/>
  <c r="U1621" i="1"/>
  <c r="U1597" i="1"/>
  <c r="U1573" i="1"/>
  <c r="U1537" i="1"/>
  <c r="U1513" i="1"/>
  <c r="U1489" i="1"/>
  <c r="S1009" i="1"/>
  <c r="R1007" i="4" s="1"/>
  <c r="R290" i="1"/>
  <c r="Q288" i="4" s="1"/>
  <c r="S290" i="1"/>
  <c r="R288" i="4" s="1"/>
  <c r="T290" i="1"/>
  <c r="S288" i="4" s="1"/>
  <c r="U290" i="1"/>
  <c r="T288" i="4" s="1"/>
  <c r="R1669" i="1"/>
  <c r="S1669" i="1"/>
  <c r="T1669" i="1"/>
  <c r="R1561" i="1"/>
  <c r="S1561" i="1"/>
  <c r="T1561" i="1"/>
  <c r="R1453" i="1"/>
  <c r="S1453" i="1"/>
  <c r="T1453" i="1"/>
  <c r="U1453" i="1"/>
  <c r="R1345" i="1"/>
  <c r="Q1343" i="4" s="1"/>
  <c r="S1345" i="1"/>
  <c r="R1343" i="4" s="1"/>
  <c r="T1345" i="1"/>
  <c r="S1343" i="4" s="1"/>
  <c r="U1345" i="1"/>
  <c r="T1343" i="4" s="1"/>
  <c r="R1237" i="1"/>
  <c r="Q1235" i="4" s="1"/>
  <c r="S1237" i="1"/>
  <c r="R1235" i="4" s="1"/>
  <c r="T1237" i="1"/>
  <c r="S1235" i="4" s="1"/>
  <c r="U1237" i="1"/>
  <c r="T1235" i="4" s="1"/>
  <c r="R1141" i="1"/>
  <c r="Q1139" i="4" s="1"/>
  <c r="S1141" i="1"/>
  <c r="R1139" i="4" s="1"/>
  <c r="T1141" i="1"/>
  <c r="S1139" i="4" s="1"/>
  <c r="U1141" i="1"/>
  <c r="T1139" i="4" s="1"/>
  <c r="U1033" i="1"/>
  <c r="T1031" i="4" s="1"/>
  <c r="R1033" i="1"/>
  <c r="Q1031" i="4" s="1"/>
  <c r="S1033" i="1"/>
  <c r="R1031" i="4" s="1"/>
  <c r="T1033" i="1"/>
  <c r="S1031" i="4" s="1"/>
  <c r="U925" i="1"/>
  <c r="T923" i="4" s="1"/>
  <c r="R925" i="1"/>
  <c r="Q923" i="4" s="1"/>
  <c r="S925" i="1"/>
  <c r="R923" i="4" s="1"/>
  <c r="T925" i="1"/>
  <c r="S923" i="4" s="1"/>
  <c r="U805" i="1"/>
  <c r="T803" i="4" s="1"/>
  <c r="R805" i="1"/>
  <c r="Q803" i="4" s="1"/>
  <c r="S805" i="1"/>
  <c r="R803" i="4" s="1"/>
  <c r="T805" i="1"/>
  <c r="S803" i="4" s="1"/>
  <c r="U697" i="1"/>
  <c r="T695" i="4" s="1"/>
  <c r="R697" i="1"/>
  <c r="Q695" i="4" s="1"/>
  <c r="S697" i="1"/>
  <c r="R695" i="4" s="1"/>
  <c r="T697" i="1"/>
  <c r="S695" i="4" s="1"/>
  <c r="U601" i="1"/>
  <c r="T599" i="4" s="1"/>
  <c r="R601" i="1"/>
  <c r="Q599" i="4" s="1"/>
  <c r="S601" i="1"/>
  <c r="R599" i="4" s="1"/>
  <c r="T601" i="1"/>
  <c r="S599" i="4" s="1"/>
  <c r="U505" i="1"/>
  <c r="T503" i="4" s="1"/>
  <c r="R505" i="1"/>
  <c r="Q503" i="4" s="1"/>
  <c r="S505" i="1"/>
  <c r="R503" i="4" s="1"/>
  <c r="T505" i="1"/>
  <c r="S503" i="4" s="1"/>
  <c r="U433" i="1"/>
  <c r="T431" i="4" s="1"/>
  <c r="R433" i="1"/>
  <c r="Q431" i="4" s="1"/>
  <c r="S433" i="1"/>
  <c r="R431" i="4" s="1"/>
  <c r="T433" i="1"/>
  <c r="S431" i="4" s="1"/>
  <c r="U385" i="1"/>
  <c r="T383" i="4" s="1"/>
  <c r="R385" i="1"/>
  <c r="Q383" i="4" s="1"/>
  <c r="S385" i="1"/>
  <c r="R383" i="4" s="1"/>
  <c r="T385" i="1"/>
  <c r="S383" i="4" s="1"/>
  <c r="U361" i="1"/>
  <c r="T359" i="4" s="1"/>
  <c r="R361" i="1"/>
  <c r="Q359" i="4" s="1"/>
  <c r="S361" i="1"/>
  <c r="R359" i="4" s="1"/>
  <c r="T361" i="1"/>
  <c r="S359" i="4" s="1"/>
  <c r="U232" i="1"/>
  <c r="T230" i="4" s="1"/>
  <c r="U235" i="1"/>
  <c r="T233" i="4" s="1"/>
  <c r="U238" i="1"/>
  <c r="T236" i="4" s="1"/>
  <c r="U241" i="1"/>
  <c r="T239" i="4" s="1"/>
  <c r="R239" i="1"/>
  <c r="Q237" i="4" s="1"/>
  <c r="S233" i="1"/>
  <c r="R231" i="4" s="1"/>
  <c r="S236" i="1"/>
  <c r="R234" i="4" s="1"/>
  <c r="S239" i="1"/>
  <c r="R237" i="4" s="1"/>
  <c r="T233" i="1"/>
  <c r="S231" i="4" s="1"/>
  <c r="T236" i="1"/>
  <c r="S234" i="4" s="1"/>
  <c r="T239" i="1"/>
  <c r="S237" i="4" s="1"/>
  <c r="U233" i="1"/>
  <c r="T231" i="4" s="1"/>
  <c r="U236" i="1"/>
  <c r="T234" i="4" s="1"/>
  <c r="U239" i="1"/>
  <c r="T237" i="4" s="1"/>
  <c r="R237" i="1"/>
  <c r="Q235" i="4" s="1"/>
  <c r="R240" i="1"/>
  <c r="Q238" i="4" s="1"/>
  <c r="S234" i="1"/>
  <c r="R232" i="4" s="1"/>
  <c r="S237" i="1"/>
  <c r="R235" i="4" s="1"/>
  <c r="S240" i="1"/>
  <c r="R238" i="4" s="1"/>
  <c r="T231" i="1"/>
  <c r="S229" i="4" s="1"/>
  <c r="T234" i="1"/>
  <c r="S232" i="4" s="1"/>
  <c r="T237" i="1"/>
  <c r="S235" i="4" s="1"/>
  <c r="T240" i="1"/>
  <c r="S238" i="4" s="1"/>
  <c r="U231" i="1"/>
  <c r="T229" i="4" s="1"/>
  <c r="U234" i="1"/>
  <c r="T232" i="4" s="1"/>
  <c r="U237" i="1"/>
  <c r="T235" i="4" s="1"/>
  <c r="U240" i="1"/>
  <c r="T238" i="4" s="1"/>
  <c r="R238" i="1"/>
  <c r="Q236" i="4" s="1"/>
  <c r="R241" i="1"/>
  <c r="Q239" i="4" s="1"/>
  <c r="S235" i="1"/>
  <c r="R233" i="4" s="1"/>
  <c r="T235" i="1"/>
  <c r="S233" i="4" s="1"/>
  <c r="S238" i="1"/>
  <c r="R236" i="4" s="1"/>
  <c r="T238" i="1"/>
  <c r="S236" i="4" s="1"/>
  <c r="S241" i="1"/>
  <c r="R239" i="4" s="1"/>
  <c r="T241" i="1"/>
  <c r="S239" i="4" s="1"/>
  <c r="R1814" i="1"/>
  <c r="R1802" i="1"/>
  <c r="R1790" i="1"/>
  <c r="T1777" i="1"/>
  <c r="U1669" i="1"/>
  <c r="S232" i="1"/>
  <c r="R230" i="4" s="1"/>
  <c r="S1682" i="1"/>
  <c r="T1682" i="1"/>
  <c r="U1682" i="1"/>
  <c r="S1574" i="1"/>
  <c r="T1574" i="1"/>
  <c r="U1574" i="1"/>
  <c r="R1478" i="1"/>
  <c r="S1478" i="1"/>
  <c r="T1478" i="1"/>
  <c r="U1478" i="1"/>
  <c r="R1370" i="1"/>
  <c r="Q1368" i="4" s="1"/>
  <c r="S1370" i="1"/>
  <c r="R1368" i="4" s="1"/>
  <c r="T1370" i="1"/>
  <c r="S1368" i="4" s="1"/>
  <c r="U1370" i="1"/>
  <c r="T1368" i="4" s="1"/>
  <c r="R1262" i="1"/>
  <c r="Q1260" i="4" s="1"/>
  <c r="S1262" i="1"/>
  <c r="R1260" i="4" s="1"/>
  <c r="T1262" i="1"/>
  <c r="S1260" i="4" s="1"/>
  <c r="U1262" i="1"/>
  <c r="T1260" i="4" s="1"/>
  <c r="R1154" i="1"/>
  <c r="Q1152" i="4" s="1"/>
  <c r="S1154" i="1"/>
  <c r="R1152" i="4" s="1"/>
  <c r="T1154" i="1"/>
  <c r="S1152" i="4" s="1"/>
  <c r="U1154" i="1"/>
  <c r="T1152" i="4" s="1"/>
  <c r="S1034" i="1"/>
  <c r="R1032" i="4" s="1"/>
  <c r="T1034" i="1"/>
  <c r="S1032" i="4" s="1"/>
  <c r="U1034" i="1"/>
  <c r="T1032" i="4" s="1"/>
  <c r="R1034" i="1"/>
  <c r="Q1032" i="4" s="1"/>
  <c r="R938" i="1"/>
  <c r="Q936" i="4" s="1"/>
  <c r="S938" i="1"/>
  <c r="R936" i="4" s="1"/>
  <c r="T938" i="1"/>
  <c r="S936" i="4" s="1"/>
  <c r="U938" i="1"/>
  <c r="T936" i="4" s="1"/>
  <c r="R830" i="1"/>
  <c r="Q828" i="4" s="1"/>
  <c r="S830" i="1"/>
  <c r="R828" i="4" s="1"/>
  <c r="T830" i="1"/>
  <c r="S828" i="4" s="1"/>
  <c r="U830" i="1"/>
  <c r="T828" i="4" s="1"/>
  <c r="R710" i="1"/>
  <c r="Q708" i="4" s="1"/>
  <c r="S710" i="1"/>
  <c r="R708" i="4" s="1"/>
  <c r="T710" i="1"/>
  <c r="S708" i="4" s="1"/>
  <c r="U710" i="1"/>
  <c r="T708" i="4" s="1"/>
  <c r="R590" i="1"/>
  <c r="Q588" i="4" s="1"/>
  <c r="S590" i="1"/>
  <c r="R588" i="4" s="1"/>
  <c r="T590" i="1"/>
  <c r="S588" i="4" s="1"/>
  <c r="U590" i="1"/>
  <c r="T588" i="4" s="1"/>
  <c r="R266" i="1"/>
  <c r="Q264" i="4" s="1"/>
  <c r="S266" i="1"/>
  <c r="R264" i="4" s="1"/>
  <c r="T266" i="1"/>
  <c r="S264" i="4" s="1"/>
  <c r="U266" i="1"/>
  <c r="T264" i="4" s="1"/>
  <c r="R1693" i="1"/>
  <c r="S1693" i="1"/>
  <c r="T1693" i="1"/>
  <c r="R1585" i="1"/>
  <c r="S1585" i="1"/>
  <c r="T1585" i="1"/>
  <c r="R1477" i="1"/>
  <c r="S1477" i="1"/>
  <c r="T1477" i="1"/>
  <c r="R1369" i="1"/>
  <c r="Q1367" i="4" s="1"/>
  <c r="S1369" i="1"/>
  <c r="R1367" i="4" s="1"/>
  <c r="T1369" i="1"/>
  <c r="S1367" i="4" s="1"/>
  <c r="U1369" i="1"/>
  <c r="T1367" i="4" s="1"/>
  <c r="R1273" i="1"/>
  <c r="Q1271" i="4" s="1"/>
  <c r="S1273" i="1"/>
  <c r="R1271" i="4" s="1"/>
  <c r="T1273" i="1"/>
  <c r="S1271" i="4" s="1"/>
  <c r="U1273" i="1"/>
  <c r="T1271" i="4" s="1"/>
  <c r="R1165" i="1"/>
  <c r="Q1163" i="4" s="1"/>
  <c r="S1165" i="1"/>
  <c r="R1163" i="4" s="1"/>
  <c r="T1165" i="1"/>
  <c r="S1163" i="4" s="1"/>
  <c r="U1165" i="1"/>
  <c r="T1163" i="4" s="1"/>
  <c r="R1057" i="1"/>
  <c r="Q1055" i="4" s="1"/>
  <c r="S1057" i="1"/>
  <c r="R1055" i="4" s="1"/>
  <c r="T1057" i="1"/>
  <c r="S1055" i="4" s="1"/>
  <c r="U1057" i="1"/>
  <c r="T1055" i="4" s="1"/>
  <c r="U949" i="1"/>
  <c r="T947" i="4" s="1"/>
  <c r="R949" i="1"/>
  <c r="Q947" i="4" s="1"/>
  <c r="S949" i="1"/>
  <c r="R947" i="4" s="1"/>
  <c r="T949" i="1"/>
  <c r="S947" i="4" s="1"/>
  <c r="U853" i="1"/>
  <c r="T851" i="4" s="1"/>
  <c r="R853" i="1"/>
  <c r="Q851" i="4" s="1"/>
  <c r="S853" i="1"/>
  <c r="R851" i="4" s="1"/>
  <c r="T853" i="1"/>
  <c r="S851" i="4" s="1"/>
  <c r="U745" i="1"/>
  <c r="T743" i="4" s="1"/>
  <c r="R745" i="1"/>
  <c r="Q743" i="4" s="1"/>
  <c r="S745" i="1"/>
  <c r="R743" i="4" s="1"/>
  <c r="T745" i="1"/>
  <c r="S743" i="4" s="1"/>
  <c r="U637" i="1"/>
  <c r="T635" i="4" s="1"/>
  <c r="R637" i="1"/>
  <c r="Q635" i="4" s="1"/>
  <c r="S637" i="1"/>
  <c r="R635" i="4" s="1"/>
  <c r="T637" i="1"/>
  <c r="S635" i="4" s="1"/>
  <c r="U529" i="1"/>
  <c r="T527" i="4" s="1"/>
  <c r="R529" i="1"/>
  <c r="Q527" i="4" s="1"/>
  <c r="S529" i="1"/>
  <c r="R527" i="4" s="1"/>
  <c r="T529" i="1"/>
  <c r="S527" i="4" s="1"/>
  <c r="U265" i="1"/>
  <c r="T263" i="4" s="1"/>
  <c r="R265" i="1"/>
  <c r="Q263" i="4" s="1"/>
  <c r="S265" i="1"/>
  <c r="R263" i="4" s="1"/>
  <c r="T265" i="1"/>
  <c r="S263" i="4" s="1"/>
  <c r="U1813" i="1"/>
  <c r="U1801" i="1"/>
  <c r="U1789" i="1"/>
  <c r="R1777" i="1"/>
  <c r="S1766" i="1"/>
  <c r="T1766" i="1"/>
  <c r="U1766" i="1"/>
  <c r="S1670" i="1"/>
  <c r="T1670" i="1"/>
  <c r="U1670" i="1"/>
  <c r="S1598" i="1"/>
  <c r="T1598" i="1"/>
  <c r="U1598" i="1"/>
  <c r="R1490" i="1"/>
  <c r="S1490" i="1"/>
  <c r="T1490" i="1"/>
  <c r="U1490" i="1"/>
  <c r="R1406" i="1"/>
  <c r="Q1404" i="4" s="1"/>
  <c r="S1406" i="1"/>
  <c r="R1404" i="4" s="1"/>
  <c r="T1406" i="1"/>
  <c r="S1404" i="4" s="1"/>
  <c r="U1406" i="1"/>
  <c r="T1404" i="4" s="1"/>
  <c r="R1310" i="1"/>
  <c r="Q1308" i="4" s="1"/>
  <c r="S1310" i="1"/>
  <c r="R1308" i="4" s="1"/>
  <c r="T1310" i="1"/>
  <c r="S1308" i="4" s="1"/>
  <c r="U1310" i="1"/>
  <c r="T1308" i="4" s="1"/>
  <c r="R1226" i="1"/>
  <c r="Q1224" i="4" s="1"/>
  <c r="S1226" i="1"/>
  <c r="R1224" i="4" s="1"/>
  <c r="T1226" i="1"/>
  <c r="S1224" i="4" s="1"/>
  <c r="U1226" i="1"/>
  <c r="T1224" i="4" s="1"/>
  <c r="R1142" i="1"/>
  <c r="Q1140" i="4" s="1"/>
  <c r="S1142" i="1"/>
  <c r="R1140" i="4" s="1"/>
  <c r="T1142" i="1"/>
  <c r="S1140" i="4" s="1"/>
  <c r="U1142" i="1"/>
  <c r="T1140" i="4" s="1"/>
  <c r="S1046" i="1"/>
  <c r="R1044" i="4" s="1"/>
  <c r="T1046" i="1"/>
  <c r="S1044" i="4" s="1"/>
  <c r="U1046" i="1"/>
  <c r="T1044" i="4" s="1"/>
  <c r="R962" i="1"/>
  <c r="Q960" i="4" s="1"/>
  <c r="S962" i="1"/>
  <c r="R960" i="4" s="1"/>
  <c r="T962" i="1"/>
  <c r="S960" i="4" s="1"/>
  <c r="U962" i="1"/>
  <c r="T960" i="4" s="1"/>
  <c r="R854" i="1"/>
  <c r="Q852" i="4" s="1"/>
  <c r="S854" i="1"/>
  <c r="R852" i="4" s="1"/>
  <c r="T854" i="1"/>
  <c r="S852" i="4" s="1"/>
  <c r="U854" i="1"/>
  <c r="T852" i="4" s="1"/>
  <c r="R746" i="1"/>
  <c r="Q744" i="4" s="1"/>
  <c r="S746" i="1"/>
  <c r="R744" i="4" s="1"/>
  <c r="T746" i="1"/>
  <c r="S744" i="4" s="1"/>
  <c r="U746" i="1"/>
  <c r="T744" i="4" s="1"/>
  <c r="R674" i="1"/>
  <c r="Q672" i="4" s="1"/>
  <c r="S674" i="1"/>
  <c r="R672" i="4" s="1"/>
  <c r="T674" i="1"/>
  <c r="S672" i="4" s="1"/>
  <c r="U674" i="1"/>
  <c r="T672" i="4" s="1"/>
  <c r="R602" i="1"/>
  <c r="Q600" i="4" s="1"/>
  <c r="S602" i="1"/>
  <c r="R600" i="4" s="1"/>
  <c r="T602" i="1"/>
  <c r="S600" i="4" s="1"/>
  <c r="U602" i="1"/>
  <c r="T600" i="4" s="1"/>
  <c r="R530" i="1"/>
  <c r="Q528" i="4" s="1"/>
  <c r="S530" i="1"/>
  <c r="R528" i="4" s="1"/>
  <c r="T530" i="1"/>
  <c r="S528" i="4" s="1"/>
  <c r="U530" i="1"/>
  <c r="T528" i="4" s="1"/>
  <c r="R470" i="1"/>
  <c r="Q468" i="4" s="1"/>
  <c r="S470" i="1"/>
  <c r="R468" i="4" s="1"/>
  <c r="T470" i="1"/>
  <c r="S468" i="4" s="1"/>
  <c r="U470" i="1"/>
  <c r="T468" i="4" s="1"/>
  <c r="R434" i="1"/>
  <c r="Q432" i="4" s="1"/>
  <c r="S434" i="1"/>
  <c r="R432" i="4" s="1"/>
  <c r="T434" i="1"/>
  <c r="S432" i="4" s="1"/>
  <c r="U434" i="1"/>
  <c r="T432" i="4" s="1"/>
  <c r="R398" i="1"/>
  <c r="Q396" i="4" s="1"/>
  <c r="S398" i="1"/>
  <c r="R396" i="4" s="1"/>
  <c r="T398" i="1"/>
  <c r="S396" i="4" s="1"/>
  <c r="U398" i="1"/>
  <c r="T396" i="4" s="1"/>
  <c r="R386" i="1"/>
  <c r="Q384" i="4" s="1"/>
  <c r="S386" i="1"/>
  <c r="R384" i="4" s="1"/>
  <c r="T386" i="1"/>
  <c r="S384" i="4" s="1"/>
  <c r="U386" i="1"/>
  <c r="T384" i="4" s="1"/>
  <c r="R302" i="1"/>
  <c r="Q300" i="4" s="1"/>
  <c r="S302" i="1"/>
  <c r="R300" i="4" s="1"/>
  <c r="T302" i="1"/>
  <c r="S300" i="4" s="1"/>
  <c r="U302" i="1"/>
  <c r="T300" i="4" s="1"/>
  <c r="S1814" i="1"/>
  <c r="R1657" i="1"/>
  <c r="S1657" i="1"/>
  <c r="T1657" i="1"/>
  <c r="R1549" i="1"/>
  <c r="S1549" i="1"/>
  <c r="T1549" i="1"/>
  <c r="R1441" i="1"/>
  <c r="S1441" i="1"/>
  <c r="T1441" i="1"/>
  <c r="U1441" i="1"/>
  <c r="R1333" i="1"/>
  <c r="Q1331" i="4" s="1"/>
  <c r="S1333" i="1"/>
  <c r="R1331" i="4" s="1"/>
  <c r="T1333" i="1"/>
  <c r="S1331" i="4" s="1"/>
  <c r="U1333" i="1"/>
  <c r="T1331" i="4" s="1"/>
  <c r="R1225" i="1"/>
  <c r="Q1223" i="4" s="1"/>
  <c r="S1225" i="1"/>
  <c r="R1223" i="4" s="1"/>
  <c r="T1225" i="1"/>
  <c r="S1223" i="4" s="1"/>
  <c r="U1225" i="1"/>
  <c r="T1223" i="4" s="1"/>
  <c r="R1129" i="1"/>
  <c r="Q1127" i="4" s="1"/>
  <c r="S1129" i="1"/>
  <c r="R1127" i="4" s="1"/>
  <c r="T1129" i="1"/>
  <c r="S1127" i="4" s="1"/>
  <c r="U1129" i="1"/>
  <c r="T1127" i="4" s="1"/>
  <c r="U1021" i="1"/>
  <c r="T1019" i="4" s="1"/>
  <c r="R1021" i="1"/>
  <c r="Q1019" i="4" s="1"/>
  <c r="S1021" i="1"/>
  <c r="R1019" i="4" s="1"/>
  <c r="T1021" i="1"/>
  <c r="S1019" i="4" s="1"/>
  <c r="U913" i="1"/>
  <c r="T911" i="4" s="1"/>
  <c r="R913" i="1"/>
  <c r="Q911" i="4" s="1"/>
  <c r="S913" i="1"/>
  <c r="R911" i="4" s="1"/>
  <c r="T913" i="1"/>
  <c r="S911" i="4" s="1"/>
  <c r="U817" i="1"/>
  <c r="T815" i="4" s="1"/>
  <c r="R817" i="1"/>
  <c r="Q815" i="4" s="1"/>
  <c r="S817" i="1"/>
  <c r="R815" i="4" s="1"/>
  <c r="T817" i="1"/>
  <c r="S815" i="4" s="1"/>
  <c r="U721" i="1"/>
  <c r="T719" i="4" s="1"/>
  <c r="R721" i="1"/>
  <c r="Q719" i="4" s="1"/>
  <c r="S721" i="1"/>
  <c r="R719" i="4" s="1"/>
  <c r="T721" i="1"/>
  <c r="S719" i="4" s="1"/>
  <c r="U625" i="1"/>
  <c r="T623" i="4" s="1"/>
  <c r="R625" i="1"/>
  <c r="Q623" i="4" s="1"/>
  <c r="S625" i="1"/>
  <c r="R623" i="4" s="1"/>
  <c r="T625" i="1"/>
  <c r="S623" i="4" s="1"/>
  <c r="U517" i="1"/>
  <c r="T515" i="4" s="1"/>
  <c r="R517" i="1"/>
  <c r="Q515" i="4" s="1"/>
  <c r="S517" i="1"/>
  <c r="R515" i="4" s="1"/>
  <c r="T517" i="1"/>
  <c r="S515" i="4" s="1"/>
  <c r="U445" i="1"/>
  <c r="T443" i="4" s="1"/>
  <c r="R445" i="1"/>
  <c r="Q443" i="4" s="1"/>
  <c r="S445" i="1"/>
  <c r="R443" i="4" s="1"/>
  <c r="T445" i="1"/>
  <c r="S443" i="4" s="1"/>
  <c r="U397" i="1"/>
  <c r="T395" i="4" s="1"/>
  <c r="R397" i="1"/>
  <c r="Q395" i="4" s="1"/>
  <c r="S397" i="1"/>
  <c r="R395" i="4" s="1"/>
  <c r="T397" i="1"/>
  <c r="S395" i="4" s="1"/>
  <c r="U373" i="1"/>
  <c r="T371" i="4" s="1"/>
  <c r="R373" i="1"/>
  <c r="Q371" i="4" s="1"/>
  <c r="S373" i="1"/>
  <c r="R371" i="4" s="1"/>
  <c r="T373" i="1"/>
  <c r="S371" i="4" s="1"/>
  <c r="U301" i="1"/>
  <c r="T299" i="4" s="1"/>
  <c r="R301" i="1"/>
  <c r="Q299" i="4" s="1"/>
  <c r="S301" i="1"/>
  <c r="R299" i="4" s="1"/>
  <c r="T301" i="1"/>
  <c r="S299" i="4" s="1"/>
  <c r="T1813" i="1"/>
  <c r="T1801" i="1"/>
  <c r="T1789" i="1"/>
  <c r="S1694" i="1"/>
  <c r="T1694" i="1"/>
  <c r="U1694" i="1"/>
  <c r="S1562" i="1"/>
  <c r="T1562" i="1"/>
  <c r="U1562" i="1"/>
  <c r="R1454" i="1"/>
  <c r="S1454" i="1"/>
  <c r="T1454" i="1"/>
  <c r="U1454" i="1"/>
  <c r="R1334" i="1"/>
  <c r="Q1332" i="4" s="1"/>
  <c r="S1334" i="1"/>
  <c r="R1332" i="4" s="1"/>
  <c r="T1334" i="1"/>
  <c r="S1332" i="4" s="1"/>
  <c r="U1334" i="1"/>
  <c r="T1332" i="4" s="1"/>
  <c r="R1214" i="1"/>
  <c r="Q1212" i="4" s="1"/>
  <c r="S1214" i="1"/>
  <c r="R1212" i="4" s="1"/>
  <c r="T1214" i="1"/>
  <c r="S1212" i="4" s="1"/>
  <c r="U1214" i="1"/>
  <c r="T1212" i="4" s="1"/>
  <c r="S1106" i="1"/>
  <c r="R1104" i="4" s="1"/>
  <c r="T1106" i="1"/>
  <c r="S1104" i="4" s="1"/>
  <c r="U1106" i="1"/>
  <c r="T1104" i="4" s="1"/>
  <c r="R1106" i="1"/>
  <c r="Q1104" i="4" s="1"/>
  <c r="S998" i="1"/>
  <c r="R996" i="4" s="1"/>
  <c r="T998" i="1"/>
  <c r="S996" i="4" s="1"/>
  <c r="U998" i="1"/>
  <c r="T996" i="4" s="1"/>
  <c r="R998" i="1"/>
  <c r="Q996" i="4" s="1"/>
  <c r="R866" i="1"/>
  <c r="Q864" i="4" s="1"/>
  <c r="S866" i="1"/>
  <c r="R864" i="4" s="1"/>
  <c r="T866" i="1"/>
  <c r="S864" i="4" s="1"/>
  <c r="U866" i="1"/>
  <c r="T864" i="4" s="1"/>
  <c r="R770" i="1"/>
  <c r="Q768" i="4" s="1"/>
  <c r="S770" i="1"/>
  <c r="R768" i="4" s="1"/>
  <c r="T770" i="1"/>
  <c r="S768" i="4" s="1"/>
  <c r="U770" i="1"/>
  <c r="T768" i="4" s="1"/>
  <c r="R662" i="1"/>
  <c r="Q660" i="4" s="1"/>
  <c r="S662" i="1"/>
  <c r="R660" i="4" s="1"/>
  <c r="T662" i="1"/>
  <c r="S660" i="4" s="1"/>
  <c r="U662" i="1"/>
  <c r="T660" i="4" s="1"/>
  <c r="R542" i="1"/>
  <c r="Q540" i="4" s="1"/>
  <c r="S542" i="1"/>
  <c r="R540" i="4" s="1"/>
  <c r="T542" i="1"/>
  <c r="S540" i="4" s="1"/>
  <c r="U542" i="1"/>
  <c r="T540" i="4" s="1"/>
  <c r="R242" i="1"/>
  <c r="Q240" i="4" s="1"/>
  <c r="S242" i="1"/>
  <c r="R240" i="4" s="1"/>
  <c r="T242" i="1"/>
  <c r="S240" i="4" s="1"/>
  <c r="U242" i="1"/>
  <c r="T240" i="4" s="1"/>
  <c r="S1802" i="1"/>
  <c r="R1705" i="1"/>
  <c r="S1705" i="1"/>
  <c r="T1705" i="1"/>
  <c r="R1597" i="1"/>
  <c r="S1597" i="1"/>
  <c r="T1597" i="1"/>
  <c r="R1489" i="1"/>
  <c r="S1489" i="1"/>
  <c r="T1489" i="1"/>
  <c r="R1381" i="1"/>
  <c r="Q1379" i="4" s="1"/>
  <c r="S1381" i="1"/>
  <c r="R1379" i="4" s="1"/>
  <c r="T1381" i="1"/>
  <c r="S1379" i="4" s="1"/>
  <c r="U1381" i="1"/>
  <c r="T1379" i="4" s="1"/>
  <c r="R1249" i="1"/>
  <c r="Q1247" i="4" s="1"/>
  <c r="S1249" i="1"/>
  <c r="R1247" i="4" s="1"/>
  <c r="T1249" i="1"/>
  <c r="S1247" i="4" s="1"/>
  <c r="U1249" i="1"/>
  <c r="T1247" i="4" s="1"/>
  <c r="R1093" i="1"/>
  <c r="Q1091" i="4" s="1"/>
  <c r="S1093" i="1"/>
  <c r="R1091" i="4" s="1"/>
  <c r="T1093" i="1"/>
  <c r="S1091" i="4" s="1"/>
  <c r="U1093" i="1"/>
  <c r="T1091" i="4" s="1"/>
  <c r="U961" i="1"/>
  <c r="T959" i="4" s="1"/>
  <c r="R961" i="1"/>
  <c r="Q959" i="4" s="1"/>
  <c r="S961" i="1"/>
  <c r="R959" i="4" s="1"/>
  <c r="T961" i="1"/>
  <c r="S959" i="4" s="1"/>
  <c r="U829" i="1"/>
  <c r="T827" i="4" s="1"/>
  <c r="R829" i="1"/>
  <c r="Q827" i="4" s="1"/>
  <c r="S829" i="1"/>
  <c r="R827" i="4" s="1"/>
  <c r="T829" i="1"/>
  <c r="S827" i="4" s="1"/>
  <c r="U709" i="1"/>
  <c r="T707" i="4" s="1"/>
  <c r="R709" i="1"/>
  <c r="Q707" i="4" s="1"/>
  <c r="S709" i="1"/>
  <c r="R707" i="4" s="1"/>
  <c r="T709" i="1"/>
  <c r="S707" i="4" s="1"/>
  <c r="U553" i="1"/>
  <c r="T551" i="4" s="1"/>
  <c r="R553" i="1"/>
  <c r="Q551" i="4" s="1"/>
  <c r="S553" i="1"/>
  <c r="R551" i="4" s="1"/>
  <c r="T553" i="1"/>
  <c r="S551" i="4" s="1"/>
  <c r="U289" i="1"/>
  <c r="T287" i="4" s="1"/>
  <c r="R289" i="1"/>
  <c r="Q287" i="4" s="1"/>
  <c r="S289" i="1"/>
  <c r="R287" i="4" s="1"/>
  <c r="T289" i="1"/>
  <c r="S287" i="4" s="1"/>
  <c r="S1813" i="1"/>
  <c r="S1801" i="1"/>
  <c r="S1789" i="1"/>
  <c r="U1753" i="1"/>
  <c r="S1742" i="1"/>
  <c r="T1742" i="1"/>
  <c r="U1742" i="1"/>
  <c r="S1634" i="1"/>
  <c r="T1634" i="1"/>
  <c r="U1634" i="1"/>
  <c r="R1526" i="1"/>
  <c r="S1526" i="1"/>
  <c r="T1526" i="1"/>
  <c r="U1526" i="1"/>
  <c r="R1418" i="1"/>
  <c r="Q1416" i="4" s="1"/>
  <c r="S1418" i="1"/>
  <c r="R1416" i="4" s="1"/>
  <c r="T1418" i="1"/>
  <c r="S1416" i="4" s="1"/>
  <c r="U1418" i="1"/>
  <c r="T1416" i="4" s="1"/>
  <c r="R1298" i="1"/>
  <c r="Q1296" i="4" s="1"/>
  <c r="S1298" i="1"/>
  <c r="R1296" i="4" s="1"/>
  <c r="T1298" i="1"/>
  <c r="S1296" i="4" s="1"/>
  <c r="U1298" i="1"/>
  <c r="T1296" i="4" s="1"/>
  <c r="R1190" i="1"/>
  <c r="Q1188" i="4" s="1"/>
  <c r="S1190" i="1"/>
  <c r="R1188" i="4" s="1"/>
  <c r="T1190" i="1"/>
  <c r="S1188" i="4" s="1"/>
  <c r="U1190" i="1"/>
  <c r="T1188" i="4" s="1"/>
  <c r="S1082" i="1"/>
  <c r="R1080" i="4" s="1"/>
  <c r="T1082" i="1"/>
  <c r="S1080" i="4" s="1"/>
  <c r="U1082" i="1"/>
  <c r="T1080" i="4" s="1"/>
  <c r="S974" i="1"/>
  <c r="R972" i="4" s="1"/>
  <c r="T974" i="1"/>
  <c r="S972" i="4" s="1"/>
  <c r="U974" i="1"/>
  <c r="T972" i="4" s="1"/>
  <c r="R974" i="1"/>
  <c r="Q972" i="4" s="1"/>
  <c r="R890" i="1"/>
  <c r="Q888" i="4" s="1"/>
  <c r="S890" i="1"/>
  <c r="R888" i="4" s="1"/>
  <c r="T890" i="1"/>
  <c r="S888" i="4" s="1"/>
  <c r="U890" i="1"/>
  <c r="T888" i="4" s="1"/>
  <c r="R782" i="1"/>
  <c r="Q780" i="4" s="1"/>
  <c r="S782" i="1"/>
  <c r="R780" i="4" s="1"/>
  <c r="T782" i="1"/>
  <c r="S780" i="4" s="1"/>
  <c r="U782" i="1"/>
  <c r="T780" i="4" s="1"/>
  <c r="R638" i="1"/>
  <c r="Q636" i="4" s="1"/>
  <c r="S638" i="1"/>
  <c r="R636" i="4" s="1"/>
  <c r="T638" i="1"/>
  <c r="S636" i="4" s="1"/>
  <c r="U638" i="1"/>
  <c r="T636" i="4" s="1"/>
  <c r="R278" i="1"/>
  <c r="Q276" i="4" s="1"/>
  <c r="S278" i="1"/>
  <c r="R276" i="4" s="1"/>
  <c r="T278" i="1"/>
  <c r="S276" i="4" s="1"/>
  <c r="U278" i="1"/>
  <c r="T276" i="4" s="1"/>
  <c r="R1694" i="1"/>
  <c r="R1681" i="1"/>
  <c r="S1681" i="1"/>
  <c r="T1681" i="1"/>
  <c r="R1573" i="1"/>
  <c r="S1573" i="1"/>
  <c r="T1573" i="1"/>
  <c r="R1465" i="1"/>
  <c r="S1465" i="1"/>
  <c r="T1465" i="1"/>
  <c r="U1465" i="1"/>
  <c r="R1357" i="1"/>
  <c r="Q1355" i="4" s="1"/>
  <c r="S1357" i="1"/>
  <c r="R1355" i="4" s="1"/>
  <c r="T1357" i="1"/>
  <c r="S1355" i="4" s="1"/>
  <c r="U1357" i="1"/>
  <c r="T1355" i="4" s="1"/>
  <c r="R1261" i="1"/>
  <c r="Q1259" i="4" s="1"/>
  <c r="S1261" i="1"/>
  <c r="R1259" i="4" s="1"/>
  <c r="T1261" i="1"/>
  <c r="S1259" i="4" s="1"/>
  <c r="U1261" i="1"/>
  <c r="T1259" i="4" s="1"/>
  <c r="R1153" i="1"/>
  <c r="Q1151" i="4" s="1"/>
  <c r="S1153" i="1"/>
  <c r="R1151" i="4" s="1"/>
  <c r="T1153" i="1"/>
  <c r="S1151" i="4" s="1"/>
  <c r="U1153" i="1"/>
  <c r="T1151" i="4" s="1"/>
  <c r="R1045" i="1"/>
  <c r="Q1043" i="4" s="1"/>
  <c r="S1045" i="1"/>
  <c r="R1043" i="4" s="1"/>
  <c r="T1045" i="1"/>
  <c r="S1043" i="4" s="1"/>
  <c r="U937" i="1"/>
  <c r="T935" i="4" s="1"/>
  <c r="R937" i="1"/>
  <c r="Q935" i="4" s="1"/>
  <c r="S937" i="1"/>
  <c r="R935" i="4" s="1"/>
  <c r="T937" i="1"/>
  <c r="S935" i="4" s="1"/>
  <c r="U841" i="1"/>
  <c r="T839" i="4" s="1"/>
  <c r="R841" i="1"/>
  <c r="Q839" i="4" s="1"/>
  <c r="S841" i="1"/>
  <c r="R839" i="4" s="1"/>
  <c r="T841" i="1"/>
  <c r="S839" i="4" s="1"/>
  <c r="U733" i="1"/>
  <c r="T731" i="4" s="1"/>
  <c r="R733" i="1"/>
  <c r="Q731" i="4" s="1"/>
  <c r="S733" i="1"/>
  <c r="R731" i="4" s="1"/>
  <c r="T733" i="1"/>
  <c r="S731" i="4" s="1"/>
  <c r="U613" i="1"/>
  <c r="T611" i="4" s="1"/>
  <c r="R613" i="1"/>
  <c r="Q611" i="4" s="1"/>
  <c r="S613" i="1"/>
  <c r="R611" i="4" s="1"/>
  <c r="T613" i="1"/>
  <c r="S611" i="4" s="1"/>
  <c r="U277" i="1"/>
  <c r="T275" i="4" s="1"/>
  <c r="R277" i="1"/>
  <c r="Q275" i="4" s="1"/>
  <c r="S277" i="1"/>
  <c r="R275" i="4" s="1"/>
  <c r="T277" i="1"/>
  <c r="S275" i="4" s="1"/>
  <c r="T1753" i="1"/>
  <c r="S1718" i="1"/>
  <c r="T1718" i="1"/>
  <c r="U1718" i="1"/>
  <c r="S1610" i="1"/>
  <c r="T1610" i="1"/>
  <c r="U1610" i="1"/>
  <c r="R1514" i="1"/>
  <c r="S1514" i="1"/>
  <c r="T1514" i="1"/>
  <c r="U1514" i="1"/>
  <c r="R1382" i="1"/>
  <c r="Q1380" i="4" s="1"/>
  <c r="S1382" i="1"/>
  <c r="R1380" i="4" s="1"/>
  <c r="T1382" i="1"/>
  <c r="S1380" i="4" s="1"/>
  <c r="U1382" i="1"/>
  <c r="T1380" i="4" s="1"/>
  <c r="R1274" i="1"/>
  <c r="Q1272" i="4" s="1"/>
  <c r="S1274" i="1"/>
  <c r="R1272" i="4" s="1"/>
  <c r="T1274" i="1"/>
  <c r="S1272" i="4" s="1"/>
  <c r="U1274" i="1"/>
  <c r="T1272" i="4" s="1"/>
  <c r="R1166" i="1"/>
  <c r="Q1164" i="4" s="1"/>
  <c r="S1166" i="1"/>
  <c r="R1164" i="4" s="1"/>
  <c r="T1166" i="1"/>
  <c r="S1164" i="4" s="1"/>
  <c r="U1166" i="1"/>
  <c r="T1164" i="4" s="1"/>
  <c r="S1070" i="1"/>
  <c r="R1068" i="4" s="1"/>
  <c r="T1070" i="1"/>
  <c r="S1068" i="4" s="1"/>
  <c r="U1070" i="1"/>
  <c r="T1068" i="4" s="1"/>
  <c r="R1070" i="1"/>
  <c r="Q1068" i="4" s="1"/>
  <c r="R950" i="1"/>
  <c r="Q948" i="4" s="1"/>
  <c r="S950" i="1"/>
  <c r="R948" i="4" s="1"/>
  <c r="T950" i="1"/>
  <c r="S948" i="4" s="1"/>
  <c r="U950" i="1"/>
  <c r="T948" i="4" s="1"/>
  <c r="R842" i="1"/>
  <c r="Q840" i="4" s="1"/>
  <c r="S842" i="1"/>
  <c r="R840" i="4" s="1"/>
  <c r="T842" i="1"/>
  <c r="S840" i="4" s="1"/>
  <c r="U842" i="1"/>
  <c r="T840" i="4" s="1"/>
  <c r="R722" i="1"/>
  <c r="Q720" i="4" s="1"/>
  <c r="S722" i="1"/>
  <c r="R720" i="4" s="1"/>
  <c r="T722" i="1"/>
  <c r="S720" i="4" s="1"/>
  <c r="U722" i="1"/>
  <c r="T720" i="4" s="1"/>
  <c r="R626" i="1"/>
  <c r="Q624" i="4" s="1"/>
  <c r="S626" i="1"/>
  <c r="R624" i="4" s="1"/>
  <c r="T626" i="1"/>
  <c r="S624" i="4" s="1"/>
  <c r="U626" i="1"/>
  <c r="T624" i="4" s="1"/>
  <c r="R494" i="1"/>
  <c r="Q492" i="4" s="1"/>
  <c r="S494" i="1"/>
  <c r="R492" i="4" s="1"/>
  <c r="T494" i="1"/>
  <c r="S492" i="4" s="1"/>
  <c r="U494" i="1"/>
  <c r="T492" i="4" s="1"/>
  <c r="R314" i="1"/>
  <c r="Q312" i="4" s="1"/>
  <c r="S314" i="1"/>
  <c r="R312" i="4" s="1"/>
  <c r="T314" i="1"/>
  <c r="S312" i="4" s="1"/>
  <c r="U314" i="1"/>
  <c r="T312" i="4" s="1"/>
  <c r="R1717" i="1"/>
  <c r="S1717" i="1"/>
  <c r="T1717" i="1"/>
  <c r="R1609" i="1"/>
  <c r="S1609" i="1"/>
  <c r="T1609" i="1"/>
  <c r="R1501" i="1"/>
  <c r="S1501" i="1"/>
  <c r="T1501" i="1"/>
  <c r="R1393" i="1"/>
  <c r="Q1391" i="4" s="1"/>
  <c r="S1393" i="1"/>
  <c r="R1391" i="4" s="1"/>
  <c r="T1393" i="1"/>
  <c r="S1391" i="4" s="1"/>
  <c r="U1393" i="1"/>
  <c r="T1391" i="4" s="1"/>
  <c r="R1285" i="1"/>
  <c r="Q1283" i="4" s="1"/>
  <c r="S1285" i="1"/>
  <c r="R1283" i="4" s="1"/>
  <c r="T1285" i="1"/>
  <c r="S1283" i="4" s="1"/>
  <c r="U1285" i="1"/>
  <c r="T1283" i="4" s="1"/>
  <c r="R1189" i="1"/>
  <c r="Q1187" i="4" s="1"/>
  <c r="S1189" i="1"/>
  <c r="R1187" i="4" s="1"/>
  <c r="T1189" i="1"/>
  <c r="S1187" i="4" s="1"/>
  <c r="U1189" i="1"/>
  <c r="T1187" i="4" s="1"/>
  <c r="R1069" i="1"/>
  <c r="Q1067" i="4" s="1"/>
  <c r="S1069" i="1"/>
  <c r="R1067" i="4" s="1"/>
  <c r="T1069" i="1"/>
  <c r="S1067" i="4" s="1"/>
  <c r="U1069" i="1"/>
  <c r="T1067" i="4" s="1"/>
  <c r="U973" i="1"/>
  <c r="T971" i="4" s="1"/>
  <c r="R973" i="1"/>
  <c r="Q971" i="4" s="1"/>
  <c r="S973" i="1"/>
  <c r="R971" i="4" s="1"/>
  <c r="T973" i="1"/>
  <c r="S971" i="4" s="1"/>
  <c r="U865" i="1"/>
  <c r="T863" i="4" s="1"/>
  <c r="R865" i="1"/>
  <c r="Q863" i="4" s="1"/>
  <c r="S865" i="1"/>
  <c r="R863" i="4" s="1"/>
  <c r="T865" i="1"/>
  <c r="S863" i="4" s="1"/>
  <c r="U757" i="1"/>
  <c r="T755" i="4" s="1"/>
  <c r="R757" i="1"/>
  <c r="Q755" i="4" s="1"/>
  <c r="S757" i="1"/>
  <c r="R755" i="4" s="1"/>
  <c r="T757" i="1"/>
  <c r="S755" i="4" s="1"/>
  <c r="U649" i="1"/>
  <c r="T647" i="4" s="1"/>
  <c r="R649" i="1"/>
  <c r="Q647" i="4" s="1"/>
  <c r="S649" i="1"/>
  <c r="R647" i="4" s="1"/>
  <c r="T649" i="1"/>
  <c r="S647" i="4" s="1"/>
  <c r="U541" i="1"/>
  <c r="T539" i="4" s="1"/>
  <c r="R541" i="1"/>
  <c r="Q539" i="4" s="1"/>
  <c r="S541" i="1"/>
  <c r="R539" i="4" s="1"/>
  <c r="T541" i="1"/>
  <c r="S539" i="4" s="1"/>
  <c r="U469" i="1"/>
  <c r="T467" i="4" s="1"/>
  <c r="R469" i="1"/>
  <c r="Q467" i="4" s="1"/>
  <c r="S469" i="1"/>
  <c r="R467" i="4" s="1"/>
  <c r="T469" i="1"/>
  <c r="S467" i="4" s="1"/>
  <c r="U253" i="1"/>
  <c r="T251" i="4" s="1"/>
  <c r="R253" i="1"/>
  <c r="Q251" i="4" s="1"/>
  <c r="S253" i="1"/>
  <c r="R251" i="4" s="1"/>
  <c r="T253" i="1"/>
  <c r="S251" i="4" s="1"/>
  <c r="R1753" i="1"/>
  <c r="R1682" i="1"/>
  <c r="R1634" i="1"/>
  <c r="R1610" i="1"/>
  <c r="R1562" i="1"/>
  <c r="U1477" i="1"/>
  <c r="T1778" i="1"/>
  <c r="U1778" i="1"/>
  <c r="S1658" i="1"/>
  <c r="T1658" i="1"/>
  <c r="U1658" i="1"/>
  <c r="R1550" i="1"/>
  <c r="S1550" i="1"/>
  <c r="T1550" i="1"/>
  <c r="U1550" i="1"/>
  <c r="R1442" i="1"/>
  <c r="S1442" i="1"/>
  <c r="T1442" i="1"/>
  <c r="U1442" i="1"/>
  <c r="R1358" i="1"/>
  <c r="Q1356" i="4" s="1"/>
  <c r="S1358" i="1"/>
  <c r="R1356" i="4" s="1"/>
  <c r="T1358" i="1"/>
  <c r="S1356" i="4" s="1"/>
  <c r="U1358" i="1"/>
  <c r="T1356" i="4" s="1"/>
  <c r="R1250" i="1"/>
  <c r="Q1248" i="4" s="1"/>
  <c r="S1250" i="1"/>
  <c r="R1248" i="4" s="1"/>
  <c r="T1250" i="1"/>
  <c r="S1248" i="4" s="1"/>
  <c r="U1250" i="1"/>
  <c r="T1248" i="4" s="1"/>
  <c r="S1130" i="1"/>
  <c r="R1128" i="4" s="1"/>
  <c r="T1130" i="1"/>
  <c r="S1128" i="4" s="1"/>
  <c r="U1130" i="1"/>
  <c r="T1128" i="4" s="1"/>
  <c r="R1130" i="1"/>
  <c r="Q1128" i="4" s="1"/>
  <c r="S1022" i="1"/>
  <c r="R1020" i="4" s="1"/>
  <c r="T1022" i="1"/>
  <c r="S1020" i="4" s="1"/>
  <c r="U1022" i="1"/>
  <c r="T1020" i="4" s="1"/>
  <c r="R1022" i="1"/>
  <c r="Q1020" i="4" s="1"/>
  <c r="R914" i="1"/>
  <c r="Q912" i="4" s="1"/>
  <c r="S914" i="1"/>
  <c r="R912" i="4" s="1"/>
  <c r="T914" i="1"/>
  <c r="S912" i="4" s="1"/>
  <c r="U914" i="1"/>
  <c r="T912" i="4" s="1"/>
  <c r="R806" i="1"/>
  <c r="Q804" i="4" s="1"/>
  <c r="S806" i="1"/>
  <c r="R804" i="4" s="1"/>
  <c r="T806" i="1"/>
  <c r="S804" i="4" s="1"/>
  <c r="U806" i="1"/>
  <c r="T804" i="4" s="1"/>
  <c r="R698" i="1"/>
  <c r="Q696" i="4" s="1"/>
  <c r="S698" i="1"/>
  <c r="R696" i="4" s="1"/>
  <c r="T698" i="1"/>
  <c r="S696" i="4" s="1"/>
  <c r="U698" i="1"/>
  <c r="T696" i="4" s="1"/>
  <c r="R578" i="1"/>
  <c r="Q576" i="4" s="1"/>
  <c r="S578" i="1"/>
  <c r="R576" i="4" s="1"/>
  <c r="T578" i="1"/>
  <c r="S576" i="4" s="1"/>
  <c r="U578" i="1"/>
  <c r="T576" i="4" s="1"/>
  <c r="R518" i="1"/>
  <c r="Q516" i="4" s="1"/>
  <c r="S518" i="1"/>
  <c r="R516" i="4" s="1"/>
  <c r="T518" i="1"/>
  <c r="S516" i="4" s="1"/>
  <c r="U518" i="1"/>
  <c r="T516" i="4" s="1"/>
  <c r="R458" i="1"/>
  <c r="Q456" i="4" s="1"/>
  <c r="S458" i="1"/>
  <c r="R456" i="4" s="1"/>
  <c r="T458" i="1"/>
  <c r="S456" i="4" s="1"/>
  <c r="U458" i="1"/>
  <c r="T456" i="4" s="1"/>
  <c r="R422" i="1"/>
  <c r="Q420" i="4" s="1"/>
  <c r="S422" i="1"/>
  <c r="R420" i="4" s="1"/>
  <c r="T422" i="1"/>
  <c r="S420" i="4" s="1"/>
  <c r="U422" i="1"/>
  <c r="T420" i="4" s="1"/>
  <c r="R374" i="1"/>
  <c r="Q372" i="4" s="1"/>
  <c r="S374" i="1"/>
  <c r="R372" i="4" s="1"/>
  <c r="T374" i="1"/>
  <c r="S372" i="4" s="1"/>
  <c r="U374" i="1"/>
  <c r="T372" i="4" s="1"/>
  <c r="R338" i="1"/>
  <c r="Q336" i="4" s="1"/>
  <c r="S338" i="1"/>
  <c r="R336" i="4" s="1"/>
  <c r="T338" i="1"/>
  <c r="S336" i="4" s="1"/>
  <c r="U338" i="1"/>
  <c r="T336" i="4" s="1"/>
  <c r="S1741" i="1"/>
  <c r="T1741" i="1"/>
  <c r="R1645" i="1"/>
  <c r="S1645" i="1"/>
  <c r="T1645" i="1"/>
  <c r="R1537" i="1"/>
  <c r="S1537" i="1"/>
  <c r="T1537" i="1"/>
  <c r="R1417" i="1"/>
  <c r="Q1415" i="4" s="1"/>
  <c r="S1417" i="1"/>
  <c r="R1415" i="4" s="1"/>
  <c r="T1417" i="1"/>
  <c r="S1415" i="4" s="1"/>
  <c r="U1417" i="1"/>
  <c r="T1415" i="4" s="1"/>
  <c r="R1309" i="1"/>
  <c r="Q1307" i="4" s="1"/>
  <c r="S1309" i="1"/>
  <c r="R1307" i="4" s="1"/>
  <c r="T1309" i="1"/>
  <c r="S1307" i="4" s="1"/>
  <c r="U1309" i="1"/>
  <c r="T1307" i="4" s="1"/>
  <c r="R1201" i="1"/>
  <c r="Q1199" i="4" s="1"/>
  <c r="S1201" i="1"/>
  <c r="R1199" i="4" s="1"/>
  <c r="T1201" i="1"/>
  <c r="S1199" i="4" s="1"/>
  <c r="U1201" i="1"/>
  <c r="T1199" i="4" s="1"/>
  <c r="R1117" i="1"/>
  <c r="Q1115" i="4" s="1"/>
  <c r="S1117" i="1"/>
  <c r="R1115" i="4" s="1"/>
  <c r="T1117" i="1"/>
  <c r="S1115" i="4" s="1"/>
  <c r="U1009" i="1"/>
  <c r="T1007" i="4" s="1"/>
  <c r="R1009" i="1"/>
  <c r="Q1007" i="4" s="1"/>
  <c r="T1009" i="1"/>
  <c r="S1007" i="4" s="1"/>
  <c r="U901" i="1"/>
  <c r="T899" i="4" s="1"/>
  <c r="R901" i="1"/>
  <c r="Q899" i="4" s="1"/>
  <c r="S901" i="1"/>
  <c r="R899" i="4" s="1"/>
  <c r="T901" i="1"/>
  <c r="S899" i="4" s="1"/>
  <c r="U781" i="1"/>
  <c r="T779" i="4" s="1"/>
  <c r="R781" i="1"/>
  <c r="Q779" i="4" s="1"/>
  <c r="S781" i="1"/>
  <c r="R779" i="4" s="1"/>
  <c r="T781" i="1"/>
  <c r="S779" i="4" s="1"/>
  <c r="U685" i="1"/>
  <c r="T683" i="4" s="1"/>
  <c r="R685" i="1"/>
  <c r="Q683" i="4" s="1"/>
  <c r="S685" i="1"/>
  <c r="R683" i="4" s="1"/>
  <c r="T685" i="1"/>
  <c r="S683" i="4" s="1"/>
  <c r="U589" i="1"/>
  <c r="T587" i="4" s="1"/>
  <c r="R589" i="1"/>
  <c r="Q587" i="4" s="1"/>
  <c r="S589" i="1"/>
  <c r="R587" i="4" s="1"/>
  <c r="T589" i="1"/>
  <c r="S587" i="4" s="1"/>
  <c r="U481" i="1"/>
  <c r="T479" i="4" s="1"/>
  <c r="R481" i="1"/>
  <c r="Q479" i="4" s="1"/>
  <c r="S481" i="1"/>
  <c r="R479" i="4" s="1"/>
  <c r="T481" i="1"/>
  <c r="S479" i="4" s="1"/>
  <c r="U409" i="1"/>
  <c r="T407" i="4" s="1"/>
  <c r="R409" i="1"/>
  <c r="Q407" i="4" s="1"/>
  <c r="S409" i="1"/>
  <c r="R407" i="4" s="1"/>
  <c r="T409" i="1"/>
  <c r="S407" i="4" s="1"/>
  <c r="U325" i="1"/>
  <c r="T323" i="4" s="1"/>
  <c r="R325" i="1"/>
  <c r="Q323" i="4" s="1"/>
  <c r="S325" i="1"/>
  <c r="R323" i="4" s="1"/>
  <c r="T325" i="1"/>
  <c r="S323" i="4" s="1"/>
  <c r="R1766" i="1"/>
  <c r="U1705" i="1"/>
  <c r="U1681" i="1"/>
  <c r="U1657" i="1"/>
  <c r="U1609" i="1"/>
  <c r="U1585" i="1"/>
  <c r="U1561" i="1"/>
  <c r="S1730" i="1"/>
  <c r="T1730" i="1"/>
  <c r="U1730" i="1"/>
  <c r="S1622" i="1"/>
  <c r="T1622" i="1"/>
  <c r="U1622" i="1"/>
  <c r="R1502" i="1"/>
  <c r="S1502" i="1"/>
  <c r="T1502" i="1"/>
  <c r="U1502" i="1"/>
  <c r="R1394" i="1"/>
  <c r="Q1392" i="4" s="1"/>
  <c r="S1394" i="1"/>
  <c r="R1392" i="4" s="1"/>
  <c r="T1394" i="1"/>
  <c r="S1392" i="4" s="1"/>
  <c r="U1394" i="1"/>
  <c r="T1392" i="4" s="1"/>
  <c r="R1286" i="1"/>
  <c r="Q1284" i="4" s="1"/>
  <c r="S1286" i="1"/>
  <c r="R1284" i="4" s="1"/>
  <c r="T1286" i="1"/>
  <c r="S1284" i="4" s="1"/>
  <c r="U1286" i="1"/>
  <c r="T1284" i="4" s="1"/>
  <c r="R1178" i="1"/>
  <c r="Q1176" i="4" s="1"/>
  <c r="S1178" i="1"/>
  <c r="R1176" i="4" s="1"/>
  <c r="T1178" i="1"/>
  <c r="S1176" i="4" s="1"/>
  <c r="U1178" i="1"/>
  <c r="T1176" i="4" s="1"/>
  <c r="S1058" i="1"/>
  <c r="R1056" i="4" s="1"/>
  <c r="T1058" i="1"/>
  <c r="S1056" i="4" s="1"/>
  <c r="U1058" i="1"/>
  <c r="T1056" i="4" s="1"/>
  <c r="R1058" i="1"/>
  <c r="Q1056" i="4" s="1"/>
  <c r="R926" i="1"/>
  <c r="Q924" i="4" s="1"/>
  <c r="S926" i="1"/>
  <c r="R924" i="4" s="1"/>
  <c r="T926" i="1"/>
  <c r="S924" i="4" s="1"/>
  <c r="U926" i="1"/>
  <c r="T924" i="4" s="1"/>
  <c r="R818" i="1"/>
  <c r="Q816" i="4" s="1"/>
  <c r="S818" i="1"/>
  <c r="R816" i="4" s="1"/>
  <c r="T818" i="1"/>
  <c r="S816" i="4" s="1"/>
  <c r="U818" i="1"/>
  <c r="T816" i="4" s="1"/>
  <c r="R734" i="1"/>
  <c r="Q732" i="4" s="1"/>
  <c r="S734" i="1"/>
  <c r="R732" i="4" s="1"/>
  <c r="T734" i="1"/>
  <c r="S732" i="4" s="1"/>
  <c r="U734" i="1"/>
  <c r="T732" i="4" s="1"/>
  <c r="R614" i="1"/>
  <c r="Q612" i="4" s="1"/>
  <c r="S614" i="1"/>
  <c r="R612" i="4" s="1"/>
  <c r="T614" i="1"/>
  <c r="S612" i="4" s="1"/>
  <c r="U614" i="1"/>
  <c r="T612" i="4" s="1"/>
  <c r="R506" i="1"/>
  <c r="Q504" i="4" s="1"/>
  <c r="S506" i="1"/>
  <c r="R504" i="4" s="1"/>
  <c r="T506" i="1"/>
  <c r="S504" i="4" s="1"/>
  <c r="U506" i="1"/>
  <c r="T504" i="4" s="1"/>
  <c r="R350" i="1"/>
  <c r="Q348" i="4" s="1"/>
  <c r="S350" i="1"/>
  <c r="R348" i="4" s="1"/>
  <c r="T350" i="1"/>
  <c r="S348" i="4" s="1"/>
  <c r="U350" i="1"/>
  <c r="T348" i="4" s="1"/>
  <c r="T232" i="1"/>
  <c r="S230" i="4" s="1"/>
  <c r="R1729" i="1"/>
  <c r="S1729" i="1"/>
  <c r="T1729" i="1"/>
  <c r="R1621" i="1"/>
  <c r="S1621" i="1"/>
  <c r="T1621" i="1"/>
  <c r="R1513" i="1"/>
  <c r="S1513" i="1"/>
  <c r="T1513" i="1"/>
  <c r="R1405" i="1"/>
  <c r="Q1403" i="4" s="1"/>
  <c r="S1405" i="1"/>
  <c r="R1403" i="4" s="1"/>
  <c r="T1405" i="1"/>
  <c r="S1403" i="4" s="1"/>
  <c r="U1405" i="1"/>
  <c r="T1403" i="4" s="1"/>
  <c r="R1297" i="1"/>
  <c r="Q1295" i="4" s="1"/>
  <c r="S1297" i="1"/>
  <c r="R1295" i="4" s="1"/>
  <c r="T1297" i="1"/>
  <c r="S1295" i="4" s="1"/>
  <c r="U1297" i="1"/>
  <c r="T1295" i="4" s="1"/>
  <c r="R1177" i="1"/>
  <c r="Q1175" i="4" s="1"/>
  <c r="S1177" i="1"/>
  <c r="R1175" i="4" s="1"/>
  <c r="T1177" i="1"/>
  <c r="S1175" i="4" s="1"/>
  <c r="U1177" i="1"/>
  <c r="T1175" i="4" s="1"/>
  <c r="R1081" i="1"/>
  <c r="Q1079" i="4" s="1"/>
  <c r="S1081" i="1"/>
  <c r="R1079" i="4" s="1"/>
  <c r="T1081" i="1"/>
  <c r="S1079" i="4" s="1"/>
  <c r="U985" i="1"/>
  <c r="T983" i="4" s="1"/>
  <c r="R985" i="1"/>
  <c r="Q983" i="4" s="1"/>
  <c r="S985" i="1"/>
  <c r="R983" i="4" s="1"/>
  <c r="U877" i="1"/>
  <c r="T875" i="4" s="1"/>
  <c r="R877" i="1"/>
  <c r="Q875" i="4" s="1"/>
  <c r="S877" i="1"/>
  <c r="R875" i="4" s="1"/>
  <c r="T877" i="1"/>
  <c r="S875" i="4" s="1"/>
  <c r="U769" i="1"/>
  <c r="T767" i="4" s="1"/>
  <c r="R769" i="1"/>
  <c r="Q767" i="4" s="1"/>
  <c r="S769" i="1"/>
  <c r="R767" i="4" s="1"/>
  <c r="T769" i="1"/>
  <c r="S767" i="4" s="1"/>
  <c r="U661" i="1"/>
  <c r="T659" i="4" s="1"/>
  <c r="R661" i="1"/>
  <c r="Q659" i="4" s="1"/>
  <c r="S661" i="1"/>
  <c r="R659" i="4" s="1"/>
  <c r="T661" i="1"/>
  <c r="S659" i="4" s="1"/>
  <c r="U565" i="1"/>
  <c r="T563" i="4" s="1"/>
  <c r="R565" i="1"/>
  <c r="Q563" i="4" s="1"/>
  <c r="S565" i="1"/>
  <c r="R563" i="4" s="1"/>
  <c r="T565" i="1"/>
  <c r="S563" i="4" s="1"/>
  <c r="U457" i="1"/>
  <c r="T455" i="4" s="1"/>
  <c r="R457" i="1"/>
  <c r="Q455" i="4" s="1"/>
  <c r="S457" i="1"/>
  <c r="R455" i="4" s="1"/>
  <c r="T457" i="1"/>
  <c r="S455" i="4" s="1"/>
  <c r="U313" i="1"/>
  <c r="T311" i="4" s="1"/>
  <c r="R313" i="1"/>
  <c r="Q311" i="4" s="1"/>
  <c r="S313" i="1"/>
  <c r="R311" i="4" s="1"/>
  <c r="T313" i="1"/>
  <c r="S311" i="4" s="1"/>
  <c r="U1765" i="1"/>
  <c r="U1501" i="1"/>
  <c r="U1117" i="1"/>
  <c r="T1115" i="4" s="1"/>
  <c r="S1754" i="1"/>
  <c r="T1754" i="1"/>
  <c r="U1754" i="1"/>
  <c r="S1646" i="1"/>
  <c r="T1646" i="1"/>
  <c r="U1646" i="1"/>
  <c r="R1538" i="1"/>
  <c r="S1538" i="1"/>
  <c r="T1538" i="1"/>
  <c r="U1538" i="1"/>
  <c r="R1430" i="1"/>
  <c r="Q1428" i="4" s="1"/>
  <c r="S1430" i="1"/>
  <c r="R1428" i="4" s="1"/>
  <c r="T1430" i="1"/>
  <c r="S1428" i="4" s="1"/>
  <c r="U1430" i="1"/>
  <c r="T1428" i="4" s="1"/>
  <c r="R1322" i="1"/>
  <c r="Q1320" i="4" s="1"/>
  <c r="S1322" i="1"/>
  <c r="R1320" i="4" s="1"/>
  <c r="T1322" i="1"/>
  <c r="S1320" i="4" s="1"/>
  <c r="U1322" i="1"/>
  <c r="T1320" i="4" s="1"/>
  <c r="R1238" i="1"/>
  <c r="Q1236" i="4" s="1"/>
  <c r="S1238" i="1"/>
  <c r="R1236" i="4" s="1"/>
  <c r="T1238" i="1"/>
  <c r="S1236" i="4" s="1"/>
  <c r="U1238" i="1"/>
  <c r="T1236" i="4" s="1"/>
  <c r="S1118" i="1"/>
  <c r="R1116" i="4" s="1"/>
  <c r="T1118" i="1"/>
  <c r="S1116" i="4" s="1"/>
  <c r="U1118" i="1"/>
  <c r="T1116" i="4" s="1"/>
  <c r="S1010" i="1"/>
  <c r="R1008" i="4" s="1"/>
  <c r="T1010" i="1"/>
  <c r="S1008" i="4" s="1"/>
  <c r="U1010" i="1"/>
  <c r="T1008" i="4" s="1"/>
  <c r="R1010" i="1"/>
  <c r="Q1008" i="4" s="1"/>
  <c r="R902" i="1"/>
  <c r="Q900" i="4" s="1"/>
  <c r="S902" i="1"/>
  <c r="R900" i="4" s="1"/>
  <c r="T902" i="1"/>
  <c r="S900" i="4" s="1"/>
  <c r="U902" i="1"/>
  <c r="T900" i="4" s="1"/>
  <c r="R794" i="1"/>
  <c r="Q792" i="4" s="1"/>
  <c r="S794" i="1"/>
  <c r="R792" i="4" s="1"/>
  <c r="T794" i="1"/>
  <c r="S792" i="4" s="1"/>
  <c r="U794" i="1"/>
  <c r="T792" i="4" s="1"/>
  <c r="R686" i="1"/>
  <c r="Q684" i="4" s="1"/>
  <c r="S686" i="1"/>
  <c r="R684" i="4" s="1"/>
  <c r="T686" i="1"/>
  <c r="S684" i="4" s="1"/>
  <c r="U686" i="1"/>
  <c r="T684" i="4" s="1"/>
  <c r="R566" i="1"/>
  <c r="Q564" i="4" s="1"/>
  <c r="S566" i="1"/>
  <c r="R564" i="4" s="1"/>
  <c r="T566" i="1"/>
  <c r="S564" i="4" s="1"/>
  <c r="U566" i="1"/>
  <c r="T564" i="4" s="1"/>
  <c r="R482" i="1"/>
  <c r="Q480" i="4" s="1"/>
  <c r="S482" i="1"/>
  <c r="R480" i="4" s="1"/>
  <c r="T482" i="1"/>
  <c r="S480" i="4" s="1"/>
  <c r="U482" i="1"/>
  <c r="T480" i="4" s="1"/>
  <c r="R446" i="1"/>
  <c r="Q444" i="4" s="1"/>
  <c r="S446" i="1"/>
  <c r="R444" i="4" s="1"/>
  <c r="T446" i="1"/>
  <c r="S444" i="4" s="1"/>
  <c r="U446" i="1"/>
  <c r="T444" i="4" s="1"/>
  <c r="R410" i="1"/>
  <c r="Q408" i="4" s="1"/>
  <c r="S410" i="1"/>
  <c r="R408" i="4" s="1"/>
  <c r="T410" i="1"/>
  <c r="S408" i="4" s="1"/>
  <c r="U410" i="1"/>
  <c r="T408" i="4" s="1"/>
  <c r="R362" i="1"/>
  <c r="Q360" i="4" s="1"/>
  <c r="S362" i="1"/>
  <c r="R360" i="4" s="1"/>
  <c r="T362" i="1"/>
  <c r="S360" i="4" s="1"/>
  <c r="U362" i="1"/>
  <c r="T360" i="4" s="1"/>
  <c r="R326" i="1"/>
  <c r="Q324" i="4" s="1"/>
  <c r="S326" i="1"/>
  <c r="R324" i="4" s="1"/>
  <c r="T326" i="1"/>
  <c r="S324" i="4" s="1"/>
  <c r="U326" i="1"/>
  <c r="T324" i="4" s="1"/>
  <c r="R1598" i="1"/>
  <c r="R1633" i="1"/>
  <c r="S1633" i="1"/>
  <c r="T1633" i="1"/>
  <c r="R1525" i="1"/>
  <c r="S1525" i="1"/>
  <c r="T1525" i="1"/>
  <c r="R1429" i="1"/>
  <c r="Q1427" i="4" s="1"/>
  <c r="S1429" i="1"/>
  <c r="R1427" i="4" s="1"/>
  <c r="T1429" i="1"/>
  <c r="S1427" i="4" s="1"/>
  <c r="U1429" i="1"/>
  <c r="T1427" i="4" s="1"/>
  <c r="R1321" i="1"/>
  <c r="Q1319" i="4" s="1"/>
  <c r="S1321" i="1"/>
  <c r="R1319" i="4" s="1"/>
  <c r="T1321" i="1"/>
  <c r="S1319" i="4" s="1"/>
  <c r="U1321" i="1"/>
  <c r="T1319" i="4" s="1"/>
  <c r="R1213" i="1"/>
  <c r="Q1211" i="4" s="1"/>
  <c r="S1213" i="1"/>
  <c r="R1211" i="4" s="1"/>
  <c r="T1213" i="1"/>
  <c r="S1211" i="4" s="1"/>
  <c r="U1213" i="1"/>
  <c r="T1211" i="4" s="1"/>
  <c r="R1105" i="1"/>
  <c r="Q1103" i="4" s="1"/>
  <c r="S1105" i="1"/>
  <c r="R1103" i="4" s="1"/>
  <c r="T1105" i="1"/>
  <c r="S1103" i="4" s="1"/>
  <c r="U1105" i="1"/>
  <c r="T1103" i="4" s="1"/>
  <c r="U997" i="1"/>
  <c r="T995" i="4" s="1"/>
  <c r="R997" i="1"/>
  <c r="Q995" i="4" s="1"/>
  <c r="S997" i="1"/>
  <c r="R995" i="4" s="1"/>
  <c r="T997" i="1"/>
  <c r="S995" i="4" s="1"/>
  <c r="U889" i="1"/>
  <c r="T887" i="4" s="1"/>
  <c r="R889" i="1"/>
  <c r="Q887" i="4" s="1"/>
  <c r="S889" i="1"/>
  <c r="R887" i="4" s="1"/>
  <c r="T889" i="1"/>
  <c r="S887" i="4" s="1"/>
  <c r="U793" i="1"/>
  <c r="T791" i="4" s="1"/>
  <c r="R793" i="1"/>
  <c r="Q791" i="4" s="1"/>
  <c r="S793" i="1"/>
  <c r="R791" i="4" s="1"/>
  <c r="T793" i="1"/>
  <c r="S791" i="4" s="1"/>
  <c r="U673" i="1"/>
  <c r="T671" i="4" s="1"/>
  <c r="R673" i="1"/>
  <c r="Q671" i="4" s="1"/>
  <c r="S673" i="1"/>
  <c r="R671" i="4" s="1"/>
  <c r="T673" i="1"/>
  <c r="S671" i="4" s="1"/>
  <c r="U577" i="1"/>
  <c r="T575" i="4" s="1"/>
  <c r="R577" i="1"/>
  <c r="Q575" i="4" s="1"/>
  <c r="S577" i="1"/>
  <c r="R575" i="4" s="1"/>
  <c r="T577" i="1"/>
  <c r="S575" i="4" s="1"/>
  <c r="U493" i="1"/>
  <c r="T491" i="4" s="1"/>
  <c r="R493" i="1"/>
  <c r="Q491" i="4" s="1"/>
  <c r="S493" i="1"/>
  <c r="R491" i="4" s="1"/>
  <c r="T493" i="1"/>
  <c r="S491" i="4" s="1"/>
  <c r="U421" i="1"/>
  <c r="T419" i="4" s="1"/>
  <c r="R421" i="1"/>
  <c r="Q419" i="4" s="1"/>
  <c r="S421" i="1"/>
  <c r="R419" i="4" s="1"/>
  <c r="T421" i="1"/>
  <c r="S419" i="4" s="1"/>
  <c r="U337" i="1"/>
  <c r="T335" i="4" s="1"/>
  <c r="R337" i="1"/>
  <c r="Q335" i="4" s="1"/>
  <c r="S337" i="1"/>
  <c r="R335" i="4" s="1"/>
  <c r="T337" i="1"/>
  <c r="S335" i="4" s="1"/>
  <c r="T1765" i="1"/>
  <c r="R1082" i="1"/>
  <c r="Q1080" i="4" s="1"/>
  <c r="S1706" i="1"/>
  <c r="T1706" i="1"/>
  <c r="U1706" i="1"/>
  <c r="S1586" i="1"/>
  <c r="T1586" i="1"/>
  <c r="U1586" i="1"/>
  <c r="R1466" i="1"/>
  <c r="S1466" i="1"/>
  <c r="T1466" i="1"/>
  <c r="U1466" i="1"/>
  <c r="R1346" i="1"/>
  <c r="Q1344" i="4" s="1"/>
  <c r="S1346" i="1"/>
  <c r="R1344" i="4" s="1"/>
  <c r="T1346" i="1"/>
  <c r="S1344" i="4" s="1"/>
  <c r="U1346" i="1"/>
  <c r="T1344" i="4" s="1"/>
  <c r="R1202" i="1"/>
  <c r="Q1200" i="4" s="1"/>
  <c r="S1202" i="1"/>
  <c r="R1200" i="4" s="1"/>
  <c r="T1202" i="1"/>
  <c r="S1200" i="4" s="1"/>
  <c r="U1202" i="1"/>
  <c r="T1200" i="4" s="1"/>
  <c r="S1094" i="1"/>
  <c r="R1092" i="4" s="1"/>
  <c r="T1094" i="1"/>
  <c r="S1092" i="4" s="1"/>
  <c r="U1094" i="1"/>
  <c r="T1092" i="4" s="1"/>
  <c r="R1094" i="1"/>
  <c r="Q1092" i="4" s="1"/>
  <c r="S986" i="1"/>
  <c r="R984" i="4" s="1"/>
  <c r="T986" i="1"/>
  <c r="S984" i="4" s="1"/>
  <c r="U986" i="1"/>
  <c r="T984" i="4" s="1"/>
  <c r="R878" i="1"/>
  <c r="Q876" i="4" s="1"/>
  <c r="S878" i="1"/>
  <c r="R876" i="4" s="1"/>
  <c r="T878" i="1"/>
  <c r="S876" i="4" s="1"/>
  <c r="U878" i="1"/>
  <c r="T876" i="4" s="1"/>
  <c r="R758" i="1"/>
  <c r="Q756" i="4" s="1"/>
  <c r="S758" i="1"/>
  <c r="R756" i="4" s="1"/>
  <c r="T758" i="1"/>
  <c r="S756" i="4" s="1"/>
  <c r="U758" i="1"/>
  <c r="T756" i="4" s="1"/>
  <c r="R650" i="1"/>
  <c r="Q648" i="4" s="1"/>
  <c r="S650" i="1"/>
  <c r="R648" i="4" s="1"/>
  <c r="T650" i="1"/>
  <c r="S648" i="4" s="1"/>
  <c r="U650" i="1"/>
  <c r="T648" i="4" s="1"/>
  <c r="R554" i="1"/>
  <c r="Q552" i="4" s="1"/>
  <c r="S554" i="1"/>
  <c r="R552" i="4" s="1"/>
  <c r="T554" i="1"/>
  <c r="S552" i="4" s="1"/>
  <c r="U554" i="1"/>
  <c r="T552" i="4" s="1"/>
  <c r="R254" i="1"/>
  <c r="Q252" i="4" s="1"/>
  <c r="S254" i="1"/>
  <c r="R252" i="4" s="1"/>
  <c r="T254" i="1"/>
  <c r="S252" i="4" s="1"/>
  <c r="U254" i="1"/>
  <c r="T252" i="4" s="1"/>
  <c r="S1790" i="1"/>
  <c r="U349" i="1"/>
  <c r="T347" i="4" s="1"/>
  <c r="R349" i="1"/>
  <c r="Q347" i="4" s="1"/>
  <c r="S349" i="1"/>
  <c r="R347" i="4" s="1"/>
  <c r="T349" i="1"/>
  <c r="S347" i="4" s="1"/>
  <c r="S1778" i="1"/>
  <c r="R1765" i="1"/>
  <c r="U1525" i="1"/>
  <c r="U1081" i="1"/>
  <c r="T1079" i="4" s="1"/>
  <c r="R986" i="1"/>
  <c r="Q984" i="4" s="1"/>
  <c r="M1629" i="1"/>
  <c r="N1629" i="1"/>
  <c r="N1810" i="1"/>
  <c r="L1808" i="1"/>
  <c r="N1798" i="1"/>
  <c r="L1796" i="1"/>
  <c r="N1786" i="1"/>
  <c r="L1784" i="1"/>
  <c r="N1774" i="1"/>
  <c r="L1772" i="1"/>
  <c r="N1762" i="1"/>
  <c r="L1760" i="1"/>
  <c r="N1750" i="1"/>
  <c r="L1748" i="1"/>
  <c r="N1738" i="1"/>
  <c r="L1736" i="1"/>
  <c r="N1726" i="1"/>
  <c r="L1724" i="1"/>
  <c r="N1714" i="1"/>
  <c r="L1712" i="1"/>
  <c r="N1702" i="1"/>
  <c r="L1700" i="1"/>
  <c r="N1690" i="1"/>
  <c r="L1688" i="1"/>
  <c r="N1678" i="1"/>
  <c r="L1676" i="1"/>
  <c r="N1666" i="1"/>
  <c r="L1664" i="1"/>
  <c r="L1649" i="1"/>
  <c r="N1646" i="1"/>
  <c r="L1644" i="1"/>
  <c r="M1641" i="1"/>
  <c r="N1641" i="1"/>
  <c r="L1626" i="1"/>
  <c r="L1622" i="1"/>
  <c r="M1622" i="1"/>
  <c r="N1622" i="1"/>
  <c r="N1600" i="1"/>
  <c r="M1593" i="1"/>
  <c r="N1593" i="1"/>
  <c r="L1490" i="1"/>
  <c r="M1490" i="1"/>
  <c r="N1490" i="1"/>
  <c r="M1401" i="1"/>
  <c r="M1399" i="4" s="1"/>
  <c r="N1401" i="1"/>
  <c r="N1399" i="4" s="1"/>
  <c r="M1318" i="1"/>
  <c r="M1316" i="4" s="1"/>
  <c r="N1318" i="1"/>
  <c r="N1316" i="4" s="1"/>
  <c r="L1318" i="1"/>
  <c r="L1316" i="4" s="1"/>
  <c r="M1533" i="1"/>
  <c r="N1533" i="1"/>
  <c r="L1442" i="1"/>
  <c r="M1442" i="1"/>
  <c r="N1442" i="1"/>
  <c r="L927" i="1"/>
  <c r="L925" i="4" s="1"/>
  <c r="M927" i="1"/>
  <c r="M925" i="4" s="1"/>
  <c r="N927" i="1"/>
  <c r="N925" i="4" s="1"/>
  <c r="M1786" i="1"/>
  <c r="M1774" i="1"/>
  <c r="M1762" i="1"/>
  <c r="M1750" i="1"/>
  <c r="M1738" i="1"/>
  <c r="M1726" i="1"/>
  <c r="M1714" i="1"/>
  <c r="M1702" i="1"/>
  <c r="M1690" i="1"/>
  <c r="M1678" i="1"/>
  <c r="M1666" i="1"/>
  <c r="M1646" i="1"/>
  <c r="N1628" i="1"/>
  <c r="N1592" i="1"/>
  <c r="M1557" i="1"/>
  <c r="N1557" i="1"/>
  <c r="L1514" i="1"/>
  <c r="M1514" i="1"/>
  <c r="N1514" i="1"/>
  <c r="M1461" i="1"/>
  <c r="N1461" i="1"/>
  <c r="L1382" i="1"/>
  <c r="L1380" i="4" s="1"/>
  <c r="M1382" i="1"/>
  <c r="M1380" i="4" s="1"/>
  <c r="N1382" i="1"/>
  <c r="N1380" i="4" s="1"/>
  <c r="L1251" i="1"/>
  <c r="L1249" i="4" s="1"/>
  <c r="M1251" i="1"/>
  <c r="M1249" i="4" s="1"/>
  <c r="L1155" i="1"/>
  <c r="L1153" i="4" s="1"/>
  <c r="M1155" i="1"/>
  <c r="M1153" i="4" s="1"/>
  <c r="N1155" i="1"/>
  <c r="N1153" i="4" s="1"/>
  <c r="L1586" i="1"/>
  <c r="M1586" i="1"/>
  <c r="N1586" i="1"/>
  <c r="M934" i="1"/>
  <c r="M932" i="4" s="1"/>
  <c r="N934" i="1"/>
  <c r="N932" i="4" s="1"/>
  <c r="L934" i="1"/>
  <c r="L932" i="4" s="1"/>
  <c r="L885" i="1"/>
  <c r="L883" i="4" s="1"/>
  <c r="M885" i="1"/>
  <c r="M883" i="4" s="1"/>
  <c r="N885" i="1"/>
  <c r="N883" i="4" s="1"/>
  <c r="N1812" i="1"/>
  <c r="N1800" i="1"/>
  <c r="N1788" i="1"/>
  <c r="N1776" i="1"/>
  <c r="N1764" i="1"/>
  <c r="N1752" i="1"/>
  <c r="N1740" i="1"/>
  <c r="N1728" i="1"/>
  <c r="N1716" i="1"/>
  <c r="N1704" i="1"/>
  <c r="N1692" i="1"/>
  <c r="N1680" i="1"/>
  <c r="N1668" i="1"/>
  <c r="N1656" i="1"/>
  <c r="N1640" i="1"/>
  <c r="L1634" i="1"/>
  <c r="M1634" i="1"/>
  <c r="M1628" i="1"/>
  <c r="L1574" i="1"/>
  <c r="M1574" i="1"/>
  <c r="N1574" i="1"/>
  <c r="M1497" i="1"/>
  <c r="N1497" i="1"/>
  <c r="L1454" i="1"/>
  <c r="M1454" i="1"/>
  <c r="N1454" i="1"/>
  <c r="M1413" i="1"/>
  <c r="M1411" i="4" s="1"/>
  <c r="N1413" i="1"/>
  <c r="N1411" i="4" s="1"/>
  <c r="L1394" i="1"/>
  <c r="L1392" i="4" s="1"/>
  <c r="M1394" i="1"/>
  <c r="M1392" i="4" s="1"/>
  <c r="N1394" i="1"/>
  <c r="N1392" i="4" s="1"/>
  <c r="M1372" i="1"/>
  <c r="M1370" i="4" s="1"/>
  <c r="L1372" i="1"/>
  <c r="L1370" i="4" s="1"/>
  <c r="N1372" i="1"/>
  <c r="N1370" i="4" s="1"/>
  <c r="L1266" i="1"/>
  <c r="L1264" i="4" s="1"/>
  <c r="N1266" i="1"/>
  <c r="N1264" i="4" s="1"/>
  <c r="M1266" i="1"/>
  <c r="M1264" i="4" s="1"/>
  <c r="M1162" i="1"/>
  <c r="M1160" i="4" s="1"/>
  <c r="N1162" i="1"/>
  <c r="N1160" i="4" s="1"/>
  <c r="L1162" i="1"/>
  <c r="L1160" i="4" s="1"/>
  <c r="L1550" i="1"/>
  <c r="M1550" i="1"/>
  <c r="N1550" i="1"/>
  <c r="M1315" i="1"/>
  <c r="M1313" i="4" s="1"/>
  <c r="N1315" i="1"/>
  <c r="N1313" i="4" s="1"/>
  <c r="L1583" i="1"/>
  <c r="M1812" i="1"/>
  <c r="M1800" i="1"/>
  <c r="M1788" i="1"/>
  <c r="M1776" i="1"/>
  <c r="M1764" i="1"/>
  <c r="M1752" i="1"/>
  <c r="M1740" i="1"/>
  <c r="M1728" i="1"/>
  <c r="M1716" i="1"/>
  <c r="M1704" i="1"/>
  <c r="M1692" i="1"/>
  <c r="M1680" i="1"/>
  <c r="M1668" i="1"/>
  <c r="M1656" i="1"/>
  <c r="L1592" i="1"/>
  <c r="L1571" i="1"/>
  <c r="L1538" i="1"/>
  <c r="M1538" i="1"/>
  <c r="N1538" i="1"/>
  <c r="M1521" i="1"/>
  <c r="N1521" i="1"/>
  <c r="L1302" i="1"/>
  <c r="L1300" i="4" s="1"/>
  <c r="N1302" i="1"/>
  <c r="N1300" i="4" s="1"/>
  <c r="M1389" i="1"/>
  <c r="M1387" i="4" s="1"/>
  <c r="N1389" i="1"/>
  <c r="N1387" i="4" s="1"/>
  <c r="M1042" i="1"/>
  <c r="M1040" i="4" s="1"/>
  <c r="N1042" i="1"/>
  <c r="N1040" i="4" s="1"/>
  <c r="L1042" i="1"/>
  <c r="L1040" i="4" s="1"/>
  <c r="N1814" i="1"/>
  <c r="N1802" i="1"/>
  <c r="N1790" i="1"/>
  <c r="N1778" i="1"/>
  <c r="N1766" i="1"/>
  <c r="N1754" i="1"/>
  <c r="N1742" i="1"/>
  <c r="N1730" i="1"/>
  <c r="N1718" i="1"/>
  <c r="N1706" i="1"/>
  <c r="N1694" i="1"/>
  <c r="N1682" i="1"/>
  <c r="N1670" i="1"/>
  <c r="N1658" i="1"/>
  <c r="N1653" i="1"/>
  <c r="N1612" i="1"/>
  <c r="M1473" i="1"/>
  <c r="N1473" i="1"/>
  <c r="M1425" i="1"/>
  <c r="M1423" i="4" s="1"/>
  <c r="N1425" i="1"/>
  <c r="N1423" i="4" s="1"/>
  <c r="L1406" i="1"/>
  <c r="L1404" i="4" s="1"/>
  <c r="M1406" i="1"/>
  <c r="M1404" i="4" s="1"/>
  <c r="N1406" i="1"/>
  <c r="N1404" i="4" s="1"/>
  <c r="M1272" i="1"/>
  <c r="M1270" i="4" s="1"/>
  <c r="N1272" i="1"/>
  <c r="N1270" i="4" s="1"/>
  <c r="L1191" i="1"/>
  <c r="L1189" i="4" s="1"/>
  <c r="M1191" i="1"/>
  <c r="M1189" i="4" s="1"/>
  <c r="N1191" i="1"/>
  <c r="N1189" i="4" s="1"/>
  <c r="L1637" i="1"/>
  <c r="M1624" i="1"/>
  <c r="M1605" i="1"/>
  <c r="N1605" i="1"/>
  <c r="L1598" i="1"/>
  <c r="M1598" i="1"/>
  <c r="N1598" i="1"/>
  <c r="M1581" i="1"/>
  <c r="N1581" i="1"/>
  <c r="N1559" i="1"/>
  <c r="M1545" i="1"/>
  <c r="N1545" i="1"/>
  <c r="L1466" i="1"/>
  <c r="M1466" i="1"/>
  <c r="N1466" i="1"/>
  <c r="N1337" i="1"/>
  <c r="N1335" i="4" s="1"/>
  <c r="M1337" i="1"/>
  <c r="M1335" i="4" s="1"/>
  <c r="L1275" i="1"/>
  <c r="L1273" i="4" s="1"/>
  <c r="M1275" i="1"/>
  <c r="M1273" i="4" s="1"/>
  <c r="N1275" i="1"/>
  <c r="N1273" i="4" s="1"/>
  <c r="M1198" i="1"/>
  <c r="M1196" i="4" s="1"/>
  <c r="N1198" i="1"/>
  <c r="N1196" i="4" s="1"/>
  <c r="L1198" i="1"/>
  <c r="L1196" i="4" s="1"/>
  <c r="L1311" i="1"/>
  <c r="L1309" i="4" s="1"/>
  <c r="M1311" i="1"/>
  <c r="M1309" i="4" s="1"/>
  <c r="M881" i="1"/>
  <c r="M879" i="4" s="1"/>
  <c r="N881" i="1"/>
  <c r="N879" i="4" s="1"/>
  <c r="L881" i="1"/>
  <c r="L879" i="4" s="1"/>
  <c r="N1816" i="1"/>
  <c r="N1804" i="1"/>
  <c r="N1792" i="1"/>
  <c r="N1780" i="1"/>
  <c r="N1768" i="1"/>
  <c r="N1756" i="1"/>
  <c r="N1744" i="1"/>
  <c r="N1732" i="1"/>
  <c r="N1720" i="1"/>
  <c r="N1708" i="1"/>
  <c r="N1696" i="1"/>
  <c r="N1684" i="1"/>
  <c r="N1672" i="1"/>
  <c r="N1660" i="1"/>
  <c r="N1650" i="1"/>
  <c r="N1611" i="1"/>
  <c r="L1595" i="1"/>
  <c r="L1562" i="1"/>
  <c r="M1562" i="1"/>
  <c r="N1562" i="1"/>
  <c r="L1502" i="1"/>
  <c r="M1502" i="1"/>
  <c r="N1502" i="1"/>
  <c r="L1418" i="1"/>
  <c r="L1416" i="4" s="1"/>
  <c r="M1418" i="1"/>
  <c r="M1416" i="4" s="1"/>
  <c r="N1418" i="1"/>
  <c r="N1416" i="4" s="1"/>
  <c r="L1305" i="1"/>
  <c r="L1303" i="4" s="1"/>
  <c r="N1305" i="1"/>
  <c r="N1303" i="4" s="1"/>
  <c r="N1811" i="1"/>
  <c r="N1799" i="1"/>
  <c r="N1787" i="1"/>
  <c r="N1775" i="1"/>
  <c r="N1763" i="1"/>
  <c r="N1751" i="1"/>
  <c r="N1739" i="1"/>
  <c r="N1727" i="1"/>
  <c r="N1715" i="1"/>
  <c r="N1703" i="1"/>
  <c r="N1691" i="1"/>
  <c r="N1679" i="1"/>
  <c r="N1667" i="1"/>
  <c r="N1655" i="1"/>
  <c r="N1624" i="1"/>
  <c r="N1614" i="1"/>
  <c r="L1580" i="1"/>
  <c r="M1580" i="1"/>
  <c r="L1559" i="1"/>
  <c r="M1437" i="1"/>
  <c r="N1437" i="1"/>
  <c r="L1242" i="1"/>
  <c r="L1240" i="4" s="1"/>
  <c r="M1242" i="1"/>
  <c r="M1240" i="4" s="1"/>
  <c r="N1242" i="1"/>
  <c r="N1240" i="4" s="1"/>
  <c r="N1818" i="1"/>
  <c r="M1811" i="1"/>
  <c r="N1806" i="1"/>
  <c r="M1799" i="1"/>
  <c r="N1794" i="1"/>
  <c r="M1787" i="1"/>
  <c r="N1782" i="1"/>
  <c r="M1775" i="1"/>
  <c r="N1770" i="1"/>
  <c r="M1763" i="1"/>
  <c r="N1758" i="1"/>
  <c r="M1751" i="1"/>
  <c r="N1746" i="1"/>
  <c r="M1739" i="1"/>
  <c r="N1734" i="1"/>
  <c r="M1727" i="1"/>
  <c r="N1722" i="1"/>
  <c r="M1715" i="1"/>
  <c r="N1710" i="1"/>
  <c r="M1703" i="1"/>
  <c r="N1698" i="1"/>
  <c r="M1691" i="1"/>
  <c r="N1686" i="1"/>
  <c r="M1679" i="1"/>
  <c r="N1674" i="1"/>
  <c r="M1667" i="1"/>
  <c r="N1662" i="1"/>
  <c r="M1655" i="1"/>
  <c r="N1647" i="1"/>
  <c r="L1642" i="1"/>
  <c r="N1636" i="1"/>
  <c r="M1617" i="1"/>
  <c r="N1617" i="1"/>
  <c r="M1614" i="1"/>
  <c r="N1607" i="1"/>
  <c r="M1604" i="1"/>
  <c r="L1526" i="1"/>
  <c r="M1526" i="1"/>
  <c r="N1526" i="1"/>
  <c r="M1509" i="1"/>
  <c r="N1509" i="1"/>
  <c r="M1485" i="1"/>
  <c r="N1485" i="1"/>
  <c r="L1478" i="1"/>
  <c r="M1478" i="1"/>
  <c r="N1478" i="1"/>
  <c r="L1430" i="1"/>
  <c r="L1428" i="4" s="1"/>
  <c r="M1430" i="1"/>
  <c r="M1428" i="4" s="1"/>
  <c r="N1430" i="1"/>
  <c r="N1428" i="4" s="1"/>
  <c r="N1364" i="1"/>
  <c r="N1362" i="4" s="1"/>
  <c r="M1364" i="1"/>
  <c r="M1362" i="4" s="1"/>
  <c r="M1282" i="1"/>
  <c r="M1280" i="4" s="1"/>
  <c r="N1282" i="1"/>
  <c r="N1280" i="4" s="1"/>
  <c r="L1218" i="1"/>
  <c r="L1216" i="4" s="1"/>
  <c r="M1218" i="1"/>
  <c r="M1216" i="4" s="1"/>
  <c r="N1218" i="1"/>
  <c r="N1216" i="4" s="1"/>
  <c r="M1449" i="1"/>
  <c r="N1449" i="1"/>
  <c r="N1652" i="1"/>
  <c r="L1647" i="1"/>
  <c r="N1623" i="1"/>
  <c r="L1610" i="1"/>
  <c r="M1610" i="1"/>
  <c r="N1610" i="1"/>
  <c r="M1607" i="1"/>
  <c r="N1590" i="1"/>
  <c r="N1583" i="1"/>
  <c r="M1569" i="1"/>
  <c r="N1569" i="1"/>
  <c r="L1533" i="1"/>
  <c r="L1449" i="1"/>
  <c r="L1389" i="1"/>
  <c r="L1387" i="4" s="1"/>
  <c r="M1377" i="1"/>
  <c r="M1375" i="4" s="1"/>
  <c r="N1377" i="1"/>
  <c r="N1375" i="4" s="1"/>
  <c r="N1367" i="1"/>
  <c r="N1365" i="4" s="1"/>
  <c r="L1367" i="1"/>
  <c r="L1365" i="4" s="1"/>
  <c r="M1367" i="1"/>
  <c r="M1365" i="4" s="1"/>
  <c r="L1315" i="1"/>
  <c r="L1313" i="4" s="1"/>
  <c r="N1311" i="1"/>
  <c r="N1309" i="4" s="1"/>
  <c r="N1289" i="1"/>
  <c r="N1287" i="4" s="1"/>
  <c r="L1289" i="1"/>
  <c r="L1287" i="4" s="1"/>
  <c r="M1289" i="1"/>
  <c r="M1287" i="4" s="1"/>
  <c r="L1547" i="1"/>
  <c r="L1535" i="1"/>
  <c r="L1523" i="1"/>
  <c r="L1511" i="1"/>
  <c r="L1499" i="1"/>
  <c r="L1487" i="1"/>
  <c r="L1475" i="1"/>
  <c r="L1463" i="1"/>
  <c r="L1451" i="1"/>
  <c r="L1439" i="1"/>
  <c r="L1427" i="1"/>
  <c r="L1425" i="4" s="1"/>
  <c r="L1415" i="1"/>
  <c r="L1413" i="4" s="1"/>
  <c r="L1403" i="1"/>
  <c r="L1401" i="4" s="1"/>
  <c r="L1391" i="1"/>
  <c r="L1389" i="4" s="1"/>
  <c r="L1379" i="1"/>
  <c r="L1377" i="4" s="1"/>
  <c r="L1374" i="1"/>
  <c r="L1372" i="4" s="1"/>
  <c r="L1369" i="1"/>
  <c r="L1367" i="4" s="1"/>
  <c r="M1234" i="1"/>
  <c r="M1232" i="4" s="1"/>
  <c r="N1234" i="1"/>
  <c r="N1232" i="4" s="1"/>
  <c r="L1227" i="1"/>
  <c r="L1225" i="4" s="1"/>
  <c r="M1227" i="1"/>
  <c r="M1225" i="4" s="1"/>
  <c r="M1128" i="1"/>
  <c r="M1126" i="4" s="1"/>
  <c r="N1128" i="1"/>
  <c r="N1126" i="4" s="1"/>
  <c r="M970" i="1"/>
  <c r="M968" i="4" s="1"/>
  <c r="N970" i="1"/>
  <c r="N968" i="4" s="1"/>
  <c r="L970" i="1"/>
  <c r="L968" i="4" s="1"/>
  <c r="M1330" i="1"/>
  <c r="M1328" i="4" s="1"/>
  <c r="N1330" i="1"/>
  <c r="N1328" i="4" s="1"/>
  <c r="L1288" i="1"/>
  <c r="L1286" i="4" s="1"/>
  <c r="M1288" i="1"/>
  <c r="M1286" i="4" s="1"/>
  <c r="N1265" i="1"/>
  <c r="N1263" i="4" s="1"/>
  <c r="M1258" i="1"/>
  <c r="M1256" i="4" s="1"/>
  <c r="N1258" i="1"/>
  <c r="N1256" i="4" s="1"/>
  <c r="N1241" i="1"/>
  <c r="N1239" i="4" s="1"/>
  <c r="L1194" i="1"/>
  <c r="L1192" i="4" s="1"/>
  <c r="M1194" i="1"/>
  <c r="M1192" i="4" s="1"/>
  <c r="N1194" i="1"/>
  <c r="N1192" i="4" s="1"/>
  <c r="L1158" i="1"/>
  <c r="L1156" i="4" s="1"/>
  <c r="M1158" i="1"/>
  <c r="M1156" i="4" s="1"/>
  <c r="N1158" i="1"/>
  <c r="N1156" i="4" s="1"/>
  <c r="L1135" i="1"/>
  <c r="L1133" i="4" s="1"/>
  <c r="M1135" i="1"/>
  <c r="M1133" i="4" s="1"/>
  <c r="N1135" i="1"/>
  <c r="N1133" i="4" s="1"/>
  <c r="L1095" i="1"/>
  <c r="L1093" i="4" s="1"/>
  <c r="M1095" i="1"/>
  <c r="M1093" i="4" s="1"/>
  <c r="N1095" i="1"/>
  <c r="N1093" i="4" s="1"/>
  <c r="M1006" i="1"/>
  <c r="M1004" i="4" s="1"/>
  <c r="N1006" i="1"/>
  <c r="N1004" i="4" s="1"/>
  <c r="L1006" i="1"/>
  <c r="L1004" i="4" s="1"/>
  <c r="M1568" i="1"/>
  <c r="M1556" i="1"/>
  <c r="M1544" i="1"/>
  <c r="M1532" i="1"/>
  <c r="M1520" i="1"/>
  <c r="M1508" i="1"/>
  <c r="M1496" i="1"/>
  <c r="M1484" i="1"/>
  <c r="M1472" i="1"/>
  <c r="M1460" i="1"/>
  <c r="M1448" i="1"/>
  <c r="M1436" i="1"/>
  <c r="M1424" i="1"/>
  <c r="M1422" i="4" s="1"/>
  <c r="M1412" i="1"/>
  <c r="M1410" i="4" s="1"/>
  <c r="M1400" i="1"/>
  <c r="M1398" i="4" s="1"/>
  <c r="M1388" i="1"/>
  <c r="M1386" i="4" s="1"/>
  <c r="M1376" i="1"/>
  <c r="M1374" i="4" s="1"/>
  <c r="M1363" i="1"/>
  <c r="M1361" i="4" s="1"/>
  <c r="N1360" i="1"/>
  <c r="N1358" i="4" s="1"/>
  <c r="N1357" i="1"/>
  <c r="N1355" i="4" s="1"/>
  <c r="L1323" i="1"/>
  <c r="L1321" i="4" s="1"/>
  <c r="M1323" i="1"/>
  <c r="M1321" i="4" s="1"/>
  <c r="L1314" i="1"/>
  <c r="L1312" i="4" s="1"/>
  <c r="N1301" i="1"/>
  <c r="N1299" i="4" s="1"/>
  <c r="M1210" i="1"/>
  <c r="M1208" i="4" s="1"/>
  <c r="N1210" i="1"/>
  <c r="N1208" i="4" s="1"/>
  <c r="L1203" i="1"/>
  <c r="L1201" i="4" s="1"/>
  <c r="M1203" i="1"/>
  <c r="M1201" i="4" s="1"/>
  <c r="M1174" i="1"/>
  <c r="M1172" i="4" s="1"/>
  <c r="N1174" i="1"/>
  <c r="N1172" i="4" s="1"/>
  <c r="L1167" i="1"/>
  <c r="L1165" i="4" s="1"/>
  <c r="M1167" i="1"/>
  <c r="M1165" i="4" s="1"/>
  <c r="M1145" i="1"/>
  <c r="M1143" i="4" s="1"/>
  <c r="N1145" i="1"/>
  <c r="N1143" i="4" s="1"/>
  <c r="M1102" i="1"/>
  <c r="M1100" i="4" s="1"/>
  <c r="N1102" i="1"/>
  <c r="N1100" i="4" s="1"/>
  <c r="L1102" i="1"/>
  <c r="L1100" i="4" s="1"/>
  <c r="L1360" i="1"/>
  <c r="L1358" i="4" s="1"/>
  <c r="L1357" i="1"/>
  <c r="L1355" i="4" s="1"/>
  <c r="L1354" i="1"/>
  <c r="L1352" i="4" s="1"/>
  <c r="L1348" i="1"/>
  <c r="L1346" i="4" s="1"/>
  <c r="L1345" i="1"/>
  <c r="L1343" i="4" s="1"/>
  <c r="L1342" i="1"/>
  <c r="L1340" i="4" s="1"/>
  <c r="L1287" i="1"/>
  <c r="L1285" i="4" s="1"/>
  <c r="M1287" i="1"/>
  <c r="M1285" i="4" s="1"/>
  <c r="L1278" i="1"/>
  <c r="L1276" i="4" s="1"/>
  <c r="N1278" i="1"/>
  <c r="N1276" i="4" s="1"/>
  <c r="L1264" i="1"/>
  <c r="L1262" i="4" s="1"/>
  <c r="M1264" i="1"/>
  <c r="M1262" i="4" s="1"/>
  <c r="N1264" i="1"/>
  <c r="N1262" i="4" s="1"/>
  <c r="L1230" i="1"/>
  <c r="L1228" i="4" s="1"/>
  <c r="M1230" i="1"/>
  <c r="M1228" i="4" s="1"/>
  <c r="N1230" i="1"/>
  <c r="N1228" i="4" s="1"/>
  <c r="M1134" i="1"/>
  <c r="M1132" i="4" s="1"/>
  <c r="N1134" i="1"/>
  <c r="N1132" i="4" s="1"/>
  <c r="L1023" i="1"/>
  <c r="L1021" i="4" s="1"/>
  <c r="M1023" i="1"/>
  <c r="M1021" i="4" s="1"/>
  <c r="N1023" i="1"/>
  <c r="N1021" i="4" s="1"/>
  <c r="M1294" i="1"/>
  <c r="M1292" i="4" s="1"/>
  <c r="N1294" i="1"/>
  <c r="N1292" i="4" s="1"/>
  <c r="L1254" i="1"/>
  <c r="L1252" i="4" s="1"/>
  <c r="M1254" i="1"/>
  <c r="M1252" i="4" s="1"/>
  <c r="N1254" i="1"/>
  <c r="N1252" i="4" s="1"/>
  <c r="M1066" i="1"/>
  <c r="M1064" i="4" s="1"/>
  <c r="N1066" i="1"/>
  <c r="N1064" i="4" s="1"/>
  <c r="L1335" i="1"/>
  <c r="L1333" i="4" s="1"/>
  <c r="M1335" i="1"/>
  <c r="M1333" i="4" s="1"/>
  <c r="L1326" i="1"/>
  <c r="L1324" i="4" s="1"/>
  <c r="N1313" i="1"/>
  <c r="N1311" i="4" s="1"/>
  <c r="L1263" i="1"/>
  <c r="L1261" i="4" s="1"/>
  <c r="M1263" i="1"/>
  <c r="M1261" i="4" s="1"/>
  <c r="L1239" i="1"/>
  <c r="L1237" i="4" s="1"/>
  <c r="M1239" i="1"/>
  <c r="M1237" i="4" s="1"/>
  <c r="L1206" i="1"/>
  <c r="L1204" i="4" s="1"/>
  <c r="M1206" i="1"/>
  <c r="M1204" i="4" s="1"/>
  <c r="N1206" i="1"/>
  <c r="N1204" i="4" s="1"/>
  <c r="L1170" i="1"/>
  <c r="L1168" i="4" s="1"/>
  <c r="M1170" i="1"/>
  <c r="M1168" i="4" s="1"/>
  <c r="N1170" i="1"/>
  <c r="N1168" i="4" s="1"/>
  <c r="M1303" i="1"/>
  <c r="M1301" i="4" s="1"/>
  <c r="N1277" i="1"/>
  <c r="N1275" i="4" s="1"/>
  <c r="M1270" i="1"/>
  <c r="M1268" i="4" s="1"/>
  <c r="N1270" i="1"/>
  <c r="N1268" i="4" s="1"/>
  <c r="M1186" i="1"/>
  <c r="M1184" i="4" s="1"/>
  <c r="N1186" i="1"/>
  <c r="N1184" i="4" s="1"/>
  <c r="L1179" i="1"/>
  <c r="L1177" i="4" s="1"/>
  <c r="M1179" i="1"/>
  <c r="M1177" i="4" s="1"/>
  <c r="M1150" i="1"/>
  <c r="M1148" i="4" s="1"/>
  <c r="N1150" i="1"/>
  <c r="N1148" i="4" s="1"/>
  <c r="L1362" i="1"/>
  <c r="L1360" i="4" s="1"/>
  <c r="L1359" i="1"/>
  <c r="L1357" i="4" s="1"/>
  <c r="L1347" i="1"/>
  <c r="L1345" i="4" s="1"/>
  <c r="M1306" i="1"/>
  <c r="M1304" i="4" s="1"/>
  <c r="N1306" i="1"/>
  <c r="N1304" i="4" s="1"/>
  <c r="L1290" i="1"/>
  <c r="L1288" i="4" s="1"/>
  <c r="N1290" i="1"/>
  <c r="N1288" i="4" s="1"/>
  <c r="N1253" i="1"/>
  <c r="N1251" i="4" s="1"/>
  <c r="M1246" i="1"/>
  <c r="M1244" i="4" s="1"/>
  <c r="N1246" i="1"/>
  <c r="N1244" i="4" s="1"/>
  <c r="M1222" i="1"/>
  <c r="M1220" i="4" s="1"/>
  <c r="N1222" i="1"/>
  <c r="N1220" i="4" s="1"/>
  <c r="L1215" i="1"/>
  <c r="L1213" i="4" s="1"/>
  <c r="M1215" i="1"/>
  <c r="M1213" i="4" s="1"/>
  <c r="M1115" i="1"/>
  <c r="M1113" i="4" s="1"/>
  <c r="N1115" i="1"/>
  <c r="N1113" i="4" s="1"/>
  <c r="L1350" i="1"/>
  <c r="L1348" i="4" s="1"/>
  <c r="L1338" i="1"/>
  <c r="L1336" i="4" s="1"/>
  <c r="N1325" i="1"/>
  <c r="N1323" i="4" s="1"/>
  <c r="L1299" i="1"/>
  <c r="L1297" i="4" s="1"/>
  <c r="M1299" i="1"/>
  <c r="M1297" i="4" s="1"/>
  <c r="L1276" i="1"/>
  <c r="L1274" i="4" s="1"/>
  <c r="M1276" i="1"/>
  <c r="M1274" i="4" s="1"/>
  <c r="N1276" i="1"/>
  <c r="N1274" i="4" s="1"/>
  <c r="N1308" i="1"/>
  <c r="N1306" i="4" s="1"/>
  <c r="N1248" i="1"/>
  <c r="N1246" i="4" s="1"/>
  <c r="L1182" i="1"/>
  <c r="L1180" i="4" s="1"/>
  <c r="M1182" i="1"/>
  <c r="M1180" i="4" s="1"/>
  <c r="N1182" i="1"/>
  <c r="N1180" i="4" s="1"/>
  <c r="L1140" i="1"/>
  <c r="L1138" i="4" s="1"/>
  <c r="M1140" i="1"/>
  <c r="M1138" i="4" s="1"/>
  <c r="L1236" i="1"/>
  <c r="L1234" i="4" s="1"/>
  <c r="L1224" i="1"/>
  <c r="L1222" i="4" s="1"/>
  <c r="L1212" i="1"/>
  <c r="L1210" i="4" s="1"/>
  <c r="L1108" i="1"/>
  <c r="L1106" i="4" s="1"/>
  <c r="M1108" i="1"/>
  <c r="M1106" i="4" s="1"/>
  <c r="L1083" i="1"/>
  <c r="L1081" i="4" s="1"/>
  <c r="M1083" i="1"/>
  <c r="M1081" i="4" s="1"/>
  <c r="N1083" i="1"/>
  <c r="N1081" i="4" s="1"/>
  <c r="M1030" i="1"/>
  <c r="M1028" i="4" s="1"/>
  <c r="N1030" i="1"/>
  <c r="N1028" i="4" s="1"/>
  <c r="L987" i="1"/>
  <c r="L985" i="4" s="1"/>
  <c r="M987" i="1"/>
  <c r="M985" i="4" s="1"/>
  <c r="N987" i="1"/>
  <c r="N985" i="4" s="1"/>
  <c r="N682" i="1"/>
  <c r="N680" i="4" s="1"/>
  <c r="L682" i="1"/>
  <c r="L680" i="4" s="1"/>
  <c r="N1121" i="1"/>
  <c r="N1119" i="4" s="1"/>
  <c r="M1114" i="1"/>
  <c r="M1112" i="4" s="1"/>
  <c r="N1114" i="1"/>
  <c r="N1112" i="4" s="1"/>
  <c r="L1107" i="1"/>
  <c r="L1105" i="4" s="1"/>
  <c r="M1107" i="1"/>
  <c r="M1105" i="4" s="1"/>
  <c r="N1107" i="1"/>
  <c r="N1105" i="4" s="1"/>
  <c r="M1090" i="1"/>
  <c r="M1088" i="4" s="1"/>
  <c r="N1090" i="1"/>
  <c r="N1088" i="4" s="1"/>
  <c r="L1087" i="1"/>
  <c r="L1085" i="4" s="1"/>
  <c r="M1087" i="1"/>
  <c r="M1085" i="4" s="1"/>
  <c r="L1047" i="1"/>
  <c r="L1045" i="4" s="1"/>
  <c r="M1047" i="1"/>
  <c r="M1045" i="4" s="1"/>
  <c r="N1047" i="1"/>
  <c r="N1045" i="4" s="1"/>
  <c r="L951" i="1"/>
  <c r="L949" i="4" s="1"/>
  <c r="M951" i="1"/>
  <c r="M949" i="4" s="1"/>
  <c r="N951" i="1"/>
  <c r="N949" i="4" s="1"/>
  <c r="N1252" i="1"/>
  <c r="N1250" i="4" s="1"/>
  <c r="N1240" i="1"/>
  <c r="N1238" i="4" s="1"/>
  <c r="N1133" i="1"/>
  <c r="N1131" i="4" s="1"/>
  <c r="M1127" i="1"/>
  <c r="M1125" i="4" s="1"/>
  <c r="N1127" i="1"/>
  <c r="N1125" i="4" s="1"/>
  <c r="L1104" i="1"/>
  <c r="L1102" i="4" s="1"/>
  <c r="M994" i="1"/>
  <c r="M992" i="4" s="1"/>
  <c r="N994" i="1"/>
  <c r="N992" i="4" s="1"/>
  <c r="M958" i="1"/>
  <c r="M956" i="4" s="1"/>
  <c r="N958" i="1"/>
  <c r="N956" i="4" s="1"/>
  <c r="M922" i="1"/>
  <c r="M920" i="4" s="1"/>
  <c r="N922" i="1"/>
  <c r="N920" i="4" s="1"/>
  <c r="L915" i="1"/>
  <c r="L913" i="4" s="1"/>
  <c r="M915" i="1"/>
  <c r="M913" i="4" s="1"/>
  <c r="N915" i="1"/>
  <c r="N913" i="4" s="1"/>
  <c r="N766" i="1"/>
  <c r="N764" i="4" s="1"/>
  <c r="L766" i="1"/>
  <c r="L764" i="4" s="1"/>
  <c r="L740" i="1"/>
  <c r="L738" i="4" s="1"/>
  <c r="M740" i="1"/>
  <c r="M738" i="4" s="1"/>
  <c r="N740" i="1"/>
  <c r="N738" i="4" s="1"/>
  <c r="N730" i="1"/>
  <c r="N728" i="4" s="1"/>
  <c r="L730" i="1"/>
  <c r="L728" i="4" s="1"/>
  <c r="M1252" i="1"/>
  <c r="M1250" i="4" s="1"/>
  <c r="M1240" i="1"/>
  <c r="M1238" i="4" s="1"/>
  <c r="N1146" i="1"/>
  <c r="N1144" i="4" s="1"/>
  <c r="M1054" i="1"/>
  <c r="M1052" i="4" s="1"/>
  <c r="N1054" i="1"/>
  <c r="N1052" i="4" s="1"/>
  <c r="L895" i="1"/>
  <c r="L893" i="4" s="1"/>
  <c r="M895" i="1"/>
  <c r="M893" i="4" s="1"/>
  <c r="N895" i="1"/>
  <c r="N893" i="4" s="1"/>
  <c r="M1126" i="1"/>
  <c r="M1124" i="4" s="1"/>
  <c r="N1126" i="1"/>
  <c r="N1124" i="4" s="1"/>
  <c r="L1120" i="1"/>
  <c r="L1118" i="4" s="1"/>
  <c r="M1120" i="1"/>
  <c r="M1118" i="4" s="1"/>
  <c r="L1011" i="1"/>
  <c r="L1009" i="4" s="1"/>
  <c r="M1011" i="1"/>
  <c r="M1009" i="4" s="1"/>
  <c r="N1011" i="1"/>
  <c r="N1009" i="4" s="1"/>
  <c r="L975" i="1"/>
  <c r="L973" i="4" s="1"/>
  <c r="M975" i="1"/>
  <c r="M973" i="4" s="1"/>
  <c r="N975" i="1"/>
  <c r="N973" i="4" s="1"/>
  <c r="M1138" i="1"/>
  <c r="M1136" i="4" s="1"/>
  <c r="N1138" i="1"/>
  <c r="N1136" i="4" s="1"/>
  <c r="L1071" i="1"/>
  <c r="L1069" i="4" s="1"/>
  <c r="M1071" i="1"/>
  <c r="M1069" i="4" s="1"/>
  <c r="N1071" i="1"/>
  <c r="N1069" i="4" s="1"/>
  <c r="M1018" i="1"/>
  <c r="M1016" i="4" s="1"/>
  <c r="N1018" i="1"/>
  <c r="N1016" i="4" s="1"/>
  <c r="L939" i="1"/>
  <c r="L937" i="4" s="1"/>
  <c r="M939" i="1"/>
  <c r="M937" i="4" s="1"/>
  <c r="N939" i="1"/>
  <c r="N937" i="4" s="1"/>
  <c r="L1119" i="1"/>
  <c r="L1117" i="4" s="1"/>
  <c r="M1119" i="1"/>
  <c r="M1117" i="4" s="1"/>
  <c r="N1119" i="1"/>
  <c r="N1117" i="4" s="1"/>
  <c r="M1116" i="1"/>
  <c r="M1114" i="4" s="1"/>
  <c r="N1099" i="1"/>
  <c r="N1097" i="4" s="1"/>
  <c r="L1096" i="1"/>
  <c r="L1094" i="4" s="1"/>
  <c r="M1096" i="1"/>
  <c r="M1094" i="4" s="1"/>
  <c r="M1078" i="1"/>
  <c r="M1076" i="4" s="1"/>
  <c r="N1078" i="1"/>
  <c r="N1076" i="4" s="1"/>
  <c r="L1035" i="1"/>
  <c r="L1033" i="4" s="1"/>
  <c r="M1035" i="1"/>
  <c r="M1033" i="4" s="1"/>
  <c r="N1035" i="1"/>
  <c r="N1033" i="4" s="1"/>
  <c r="M982" i="1"/>
  <c r="M980" i="4" s="1"/>
  <c r="N982" i="1"/>
  <c r="N980" i="4" s="1"/>
  <c r="M946" i="1"/>
  <c r="M944" i="4" s="1"/>
  <c r="N946" i="1"/>
  <c r="N944" i="4" s="1"/>
  <c r="M910" i="1"/>
  <c r="M908" i="4" s="1"/>
  <c r="N910" i="1"/>
  <c r="N908" i="4" s="1"/>
  <c r="L899" i="1"/>
  <c r="L897" i="4" s="1"/>
  <c r="N899" i="1"/>
  <c r="N897" i="4" s="1"/>
  <c r="M899" i="1"/>
  <c r="M897" i="4" s="1"/>
  <c r="L1092" i="1"/>
  <c r="L1090" i="4" s="1"/>
  <c r="L999" i="1"/>
  <c r="L997" i="4" s="1"/>
  <c r="M999" i="1"/>
  <c r="M997" i="4" s="1"/>
  <c r="N999" i="1"/>
  <c r="N997" i="4" s="1"/>
  <c r="L963" i="1"/>
  <c r="L961" i="4" s="1"/>
  <c r="M963" i="1"/>
  <c r="M961" i="4" s="1"/>
  <c r="N963" i="1"/>
  <c r="N961" i="4" s="1"/>
  <c r="L1131" i="1"/>
  <c r="L1129" i="4" s="1"/>
  <c r="M1131" i="1"/>
  <c r="M1129" i="4" s="1"/>
  <c r="L1059" i="1"/>
  <c r="L1057" i="4" s="1"/>
  <c r="M1059" i="1"/>
  <c r="M1057" i="4" s="1"/>
  <c r="N1059" i="1"/>
  <c r="N1057" i="4" s="1"/>
  <c r="L875" i="1"/>
  <c r="L873" i="4" s="1"/>
  <c r="M875" i="1"/>
  <c r="M873" i="4" s="1"/>
  <c r="N875" i="1"/>
  <c r="N873" i="4" s="1"/>
  <c r="L1080" i="1"/>
  <c r="L1078" i="4" s="1"/>
  <c r="M1075" i="1"/>
  <c r="M1073" i="4" s="1"/>
  <c r="L1068" i="1"/>
  <c r="L1066" i="4" s="1"/>
  <c r="M1063" i="1"/>
  <c r="M1061" i="4" s="1"/>
  <c r="L1056" i="1"/>
  <c r="L1054" i="4" s="1"/>
  <c r="M1051" i="1"/>
  <c r="M1049" i="4" s="1"/>
  <c r="L1044" i="1"/>
  <c r="L1042" i="4" s="1"/>
  <c r="M1039" i="1"/>
  <c r="M1037" i="4" s="1"/>
  <c r="L1032" i="1"/>
  <c r="L1030" i="4" s="1"/>
  <c r="M1027" i="1"/>
  <c r="M1025" i="4" s="1"/>
  <c r="L1020" i="1"/>
  <c r="L1018" i="4" s="1"/>
  <c r="M1015" i="1"/>
  <c r="M1013" i="4" s="1"/>
  <c r="L1008" i="1"/>
  <c r="L1006" i="4" s="1"/>
  <c r="M1003" i="1"/>
  <c r="M1001" i="4" s="1"/>
  <c r="L996" i="1"/>
  <c r="L994" i="4" s="1"/>
  <c r="M991" i="1"/>
  <c r="M989" i="4" s="1"/>
  <c r="L984" i="1"/>
  <c r="L982" i="4" s="1"/>
  <c r="M979" i="1"/>
  <c r="M977" i="4" s="1"/>
  <c r="L972" i="1"/>
  <c r="L970" i="4" s="1"/>
  <c r="M967" i="1"/>
  <c r="M965" i="4" s="1"/>
  <c r="L960" i="1"/>
  <c r="L958" i="4" s="1"/>
  <c r="M955" i="1"/>
  <c r="M953" i="4" s="1"/>
  <c r="L948" i="1"/>
  <c r="L946" i="4" s="1"/>
  <c r="M943" i="1"/>
  <c r="M941" i="4" s="1"/>
  <c r="L936" i="1"/>
  <c r="L934" i="4" s="1"/>
  <c r="L924" i="1"/>
  <c r="L922" i="4" s="1"/>
  <c r="L912" i="1"/>
  <c r="L910" i="4" s="1"/>
  <c r="L907" i="1"/>
  <c r="L905" i="4" s="1"/>
  <c r="N898" i="1"/>
  <c r="N896" i="4" s="1"/>
  <c r="L898" i="1"/>
  <c r="L896" i="4" s="1"/>
  <c r="L884" i="1"/>
  <c r="L882" i="4" s="1"/>
  <c r="M884" i="1"/>
  <c r="M882" i="4" s="1"/>
  <c r="N874" i="1"/>
  <c r="N872" i="4" s="1"/>
  <c r="L874" i="1"/>
  <c r="L872" i="4" s="1"/>
  <c r="M845" i="1"/>
  <c r="M843" i="4" s="1"/>
  <c r="L812" i="1"/>
  <c r="L810" i="4" s="1"/>
  <c r="M812" i="1"/>
  <c r="M810" i="4" s="1"/>
  <c r="N812" i="1"/>
  <c r="N810" i="4" s="1"/>
  <c r="N802" i="1"/>
  <c r="N800" i="4" s="1"/>
  <c r="L802" i="1"/>
  <c r="L800" i="4" s="1"/>
  <c r="L776" i="1"/>
  <c r="L774" i="4" s="1"/>
  <c r="M776" i="1"/>
  <c r="M774" i="4" s="1"/>
  <c r="N776" i="1"/>
  <c r="N774" i="4" s="1"/>
  <c r="L692" i="1"/>
  <c r="L690" i="4" s="1"/>
  <c r="M692" i="1"/>
  <c r="M690" i="4" s="1"/>
  <c r="N692" i="1"/>
  <c r="N690" i="4" s="1"/>
  <c r="L848" i="1"/>
  <c r="L846" i="4" s="1"/>
  <c r="M848" i="1"/>
  <c r="M846" i="4" s="1"/>
  <c r="N848" i="1"/>
  <c r="N846" i="4" s="1"/>
  <c r="N838" i="1"/>
  <c r="N836" i="4" s="1"/>
  <c r="L838" i="1"/>
  <c r="L836" i="4" s="1"/>
  <c r="N718" i="1"/>
  <c r="N716" i="4" s="1"/>
  <c r="L718" i="1"/>
  <c r="L716" i="4" s="1"/>
  <c r="N670" i="1"/>
  <c r="N668" i="4" s="1"/>
  <c r="L670" i="1"/>
  <c r="L668" i="4" s="1"/>
  <c r="N1103" i="1"/>
  <c r="N1101" i="4" s="1"/>
  <c r="N1091" i="1"/>
  <c r="N1089" i="4" s="1"/>
  <c r="M1084" i="1"/>
  <c r="M1082" i="4" s="1"/>
  <c r="N1079" i="1"/>
  <c r="N1077" i="4" s="1"/>
  <c r="M1072" i="1"/>
  <c r="M1070" i="4" s="1"/>
  <c r="N1067" i="1"/>
  <c r="N1065" i="4" s="1"/>
  <c r="M1060" i="1"/>
  <c r="M1058" i="4" s="1"/>
  <c r="N1055" i="1"/>
  <c r="N1053" i="4" s="1"/>
  <c r="M1048" i="1"/>
  <c r="M1046" i="4" s="1"/>
  <c r="N1043" i="1"/>
  <c r="N1041" i="4" s="1"/>
  <c r="M1036" i="1"/>
  <c r="M1034" i="4" s="1"/>
  <c r="N1031" i="1"/>
  <c r="N1029" i="4" s="1"/>
  <c r="M1024" i="1"/>
  <c r="M1022" i="4" s="1"/>
  <c r="N1019" i="1"/>
  <c r="N1017" i="4" s="1"/>
  <c r="M1012" i="1"/>
  <c r="M1010" i="4" s="1"/>
  <c r="N1007" i="1"/>
  <c r="N1005" i="4" s="1"/>
  <c r="M1000" i="1"/>
  <c r="M998" i="4" s="1"/>
  <c r="N995" i="1"/>
  <c r="N993" i="4" s="1"/>
  <c r="M988" i="1"/>
  <c r="M986" i="4" s="1"/>
  <c r="N983" i="1"/>
  <c r="N981" i="4" s="1"/>
  <c r="M976" i="1"/>
  <c r="M974" i="4" s="1"/>
  <c r="N971" i="1"/>
  <c r="N969" i="4" s="1"/>
  <c r="M964" i="1"/>
  <c r="M962" i="4" s="1"/>
  <c r="N959" i="1"/>
  <c r="N957" i="4" s="1"/>
  <c r="M952" i="1"/>
  <c r="M950" i="4" s="1"/>
  <c r="N947" i="1"/>
  <c r="N945" i="4" s="1"/>
  <c r="M940" i="1"/>
  <c r="M938" i="4" s="1"/>
  <c r="N935" i="1"/>
  <c r="N933" i="4" s="1"/>
  <c r="M928" i="1"/>
  <c r="M926" i="4" s="1"/>
  <c r="N923" i="1"/>
  <c r="N921" i="4" s="1"/>
  <c r="M916" i="1"/>
  <c r="M914" i="4" s="1"/>
  <c r="N911" i="1"/>
  <c r="N909" i="4" s="1"/>
  <c r="N893" i="1"/>
  <c r="N891" i="4" s="1"/>
  <c r="L764" i="1"/>
  <c r="L762" i="4" s="1"/>
  <c r="M764" i="1"/>
  <c r="M762" i="4" s="1"/>
  <c r="N764" i="1"/>
  <c r="N762" i="4" s="1"/>
  <c r="N754" i="1"/>
  <c r="N752" i="4" s="1"/>
  <c r="L754" i="1"/>
  <c r="L752" i="4" s="1"/>
  <c r="L728" i="1"/>
  <c r="L726" i="4" s="1"/>
  <c r="M728" i="1"/>
  <c r="M726" i="4" s="1"/>
  <c r="N728" i="1"/>
  <c r="N726" i="4" s="1"/>
  <c r="L680" i="1"/>
  <c r="L678" i="4" s="1"/>
  <c r="M680" i="1"/>
  <c r="M678" i="4" s="1"/>
  <c r="N680" i="1"/>
  <c r="N678" i="4" s="1"/>
  <c r="M947" i="1"/>
  <c r="M945" i="4" s="1"/>
  <c r="M935" i="1"/>
  <c r="M933" i="4" s="1"/>
  <c r="M923" i="1"/>
  <c r="M921" i="4" s="1"/>
  <c r="M911" i="1"/>
  <c r="M909" i="4" s="1"/>
  <c r="L906" i="1"/>
  <c r="L904" i="4" s="1"/>
  <c r="M869" i="1"/>
  <c r="M867" i="4" s="1"/>
  <c r="N826" i="1"/>
  <c r="N824" i="4" s="1"/>
  <c r="L826" i="1"/>
  <c r="L824" i="4" s="1"/>
  <c r="L800" i="1"/>
  <c r="L798" i="4" s="1"/>
  <c r="M800" i="1"/>
  <c r="M798" i="4" s="1"/>
  <c r="N800" i="1"/>
  <c r="N798" i="4" s="1"/>
  <c r="N790" i="1"/>
  <c r="N788" i="4" s="1"/>
  <c r="L790" i="1"/>
  <c r="L788" i="4" s="1"/>
  <c r="M893" i="1"/>
  <c r="M891" i="4" s="1"/>
  <c r="L887" i="1"/>
  <c r="L885" i="4" s="1"/>
  <c r="N887" i="1"/>
  <c r="N885" i="4" s="1"/>
  <c r="L872" i="1"/>
  <c r="L870" i="4" s="1"/>
  <c r="M872" i="1"/>
  <c r="M870" i="4" s="1"/>
  <c r="N862" i="1"/>
  <c r="N860" i="4" s="1"/>
  <c r="L862" i="1"/>
  <c r="L860" i="4" s="1"/>
  <c r="L836" i="1"/>
  <c r="L834" i="4" s="1"/>
  <c r="M836" i="1"/>
  <c r="M834" i="4" s="1"/>
  <c r="N836" i="1"/>
  <c r="N834" i="4" s="1"/>
  <c r="N706" i="1"/>
  <c r="N704" i="4" s="1"/>
  <c r="L706" i="1"/>
  <c r="L704" i="4" s="1"/>
  <c r="N658" i="1"/>
  <c r="N656" i="4" s="1"/>
  <c r="L658" i="1"/>
  <c r="L656" i="4" s="1"/>
  <c r="L896" i="1"/>
  <c r="L894" i="4" s="1"/>
  <c r="M896" i="1"/>
  <c r="M894" i="4" s="1"/>
  <c r="L716" i="1"/>
  <c r="L714" i="4" s="1"/>
  <c r="M716" i="1"/>
  <c r="M714" i="4" s="1"/>
  <c r="N716" i="1"/>
  <c r="N714" i="4" s="1"/>
  <c r="M1004" i="1"/>
  <c r="M1002" i="4" s="1"/>
  <c r="M992" i="1"/>
  <c r="M990" i="4" s="1"/>
  <c r="M980" i="1"/>
  <c r="M978" i="4" s="1"/>
  <c r="M968" i="1"/>
  <c r="M966" i="4" s="1"/>
  <c r="M956" i="1"/>
  <c r="M954" i="4" s="1"/>
  <c r="M944" i="1"/>
  <c r="M942" i="4" s="1"/>
  <c r="M932" i="1"/>
  <c r="M930" i="4" s="1"/>
  <c r="M920" i="1"/>
  <c r="M918" i="4" s="1"/>
  <c r="L908" i="1"/>
  <c r="L906" i="4" s="1"/>
  <c r="N905" i="1"/>
  <c r="N903" i="4" s="1"/>
  <c r="N886" i="1"/>
  <c r="N884" i="4" s="1"/>
  <c r="L886" i="1"/>
  <c r="L884" i="4" s="1"/>
  <c r="L752" i="1"/>
  <c r="L750" i="4" s="1"/>
  <c r="M752" i="1"/>
  <c r="M750" i="4" s="1"/>
  <c r="N752" i="1"/>
  <c r="N750" i="4" s="1"/>
  <c r="N742" i="1"/>
  <c r="N740" i="4" s="1"/>
  <c r="L742" i="1"/>
  <c r="L740" i="4" s="1"/>
  <c r="L668" i="1"/>
  <c r="L666" i="4" s="1"/>
  <c r="M668" i="1"/>
  <c r="M666" i="4" s="1"/>
  <c r="N668" i="1"/>
  <c r="N666" i="4" s="1"/>
  <c r="L656" i="1"/>
  <c r="L654" i="4" s="1"/>
  <c r="M656" i="1"/>
  <c r="M654" i="4" s="1"/>
  <c r="N656" i="1"/>
  <c r="N654" i="4" s="1"/>
  <c r="L905" i="1"/>
  <c r="L903" i="4" s="1"/>
  <c r="M857" i="1"/>
  <c r="M855" i="4" s="1"/>
  <c r="L824" i="1"/>
  <c r="L822" i="4" s="1"/>
  <c r="M824" i="1"/>
  <c r="M822" i="4" s="1"/>
  <c r="N824" i="1"/>
  <c r="N822" i="4" s="1"/>
  <c r="N814" i="1"/>
  <c r="N812" i="4" s="1"/>
  <c r="L814" i="1"/>
  <c r="L812" i="4" s="1"/>
  <c r="L788" i="1"/>
  <c r="L786" i="4" s="1"/>
  <c r="M788" i="1"/>
  <c r="M786" i="4" s="1"/>
  <c r="N788" i="1"/>
  <c r="N786" i="4" s="1"/>
  <c r="N778" i="1"/>
  <c r="N776" i="4" s="1"/>
  <c r="L778" i="1"/>
  <c r="L776" i="4" s="1"/>
  <c r="N694" i="1"/>
  <c r="N692" i="4" s="1"/>
  <c r="L694" i="1"/>
  <c r="L692" i="4" s="1"/>
  <c r="L860" i="1"/>
  <c r="L858" i="4" s="1"/>
  <c r="M860" i="1"/>
  <c r="M858" i="4" s="1"/>
  <c r="N860" i="1"/>
  <c r="N858" i="4" s="1"/>
  <c r="N850" i="1"/>
  <c r="N848" i="4" s="1"/>
  <c r="L850" i="1"/>
  <c r="L848" i="4" s="1"/>
  <c r="L704" i="1"/>
  <c r="L702" i="4" s="1"/>
  <c r="M704" i="1"/>
  <c r="M702" i="4" s="1"/>
  <c r="N704" i="1"/>
  <c r="N702" i="4" s="1"/>
  <c r="M833" i="1"/>
  <c r="M831" i="4" s="1"/>
  <c r="M821" i="1"/>
  <c r="M819" i="4" s="1"/>
  <c r="M809" i="1"/>
  <c r="M807" i="4" s="1"/>
  <c r="M797" i="1"/>
  <c r="M795" i="4" s="1"/>
  <c r="M785" i="1"/>
  <c r="M783" i="4" s="1"/>
  <c r="M773" i="1"/>
  <c r="M771" i="4" s="1"/>
  <c r="M761" i="1"/>
  <c r="M759" i="4" s="1"/>
  <c r="M749" i="1"/>
  <c r="M747" i="4" s="1"/>
  <c r="M737" i="1"/>
  <c r="M735" i="4" s="1"/>
  <c r="M725" i="1"/>
  <c r="M723" i="4" s="1"/>
  <c r="M713" i="1"/>
  <c r="M711" i="4" s="1"/>
  <c r="M701" i="1"/>
  <c r="M699" i="4" s="1"/>
  <c r="M689" i="1"/>
  <c r="M687" i="4" s="1"/>
  <c r="M677" i="1"/>
  <c r="M675" i="4" s="1"/>
  <c r="M665" i="1"/>
  <c r="M663" i="4" s="1"/>
  <c r="N660" i="1"/>
  <c r="N658" i="4" s="1"/>
  <c r="M653" i="1"/>
  <c r="M651" i="4" s="1"/>
  <c r="M655" i="1"/>
  <c r="M653" i="4" s="1"/>
  <c r="N657" i="1"/>
  <c r="N655" i="4" s="1"/>
  <c r="M873" i="1"/>
  <c r="M871" i="4" s="1"/>
  <c r="M861" i="1"/>
  <c r="M859" i="4" s="1"/>
  <c r="M849" i="1"/>
  <c r="M847" i="4" s="1"/>
  <c r="M837" i="1"/>
  <c r="M835" i="4" s="1"/>
  <c r="M825" i="1"/>
  <c r="M823" i="4" s="1"/>
  <c r="M813" i="1"/>
  <c r="M811" i="4" s="1"/>
  <c r="M801" i="1"/>
  <c r="M799" i="4" s="1"/>
  <c r="M789" i="1"/>
  <c r="M787" i="4" s="1"/>
  <c r="M777" i="1"/>
  <c r="M775" i="4" s="1"/>
  <c r="M765" i="1"/>
  <c r="M763" i="4" s="1"/>
  <c r="M753" i="1"/>
  <c r="M751" i="4" s="1"/>
  <c r="M741" i="1"/>
  <c r="M739" i="4" s="1"/>
  <c r="M729" i="1"/>
  <c r="M727" i="4" s="1"/>
  <c r="M717" i="1"/>
  <c r="M715" i="4" s="1"/>
  <c r="M705" i="1"/>
  <c r="M703" i="4" s="1"/>
  <c r="M693" i="1"/>
  <c r="M691" i="4" s="1"/>
  <c r="M681" i="1"/>
  <c r="M679" i="4" s="1"/>
  <c r="M657" i="1"/>
  <c r="M655" i="4" s="1"/>
  <c r="N863" i="1"/>
  <c r="N861" i="4" s="1"/>
  <c r="N851" i="1"/>
  <c r="N849" i="4" s="1"/>
  <c r="N839" i="1"/>
  <c r="N837" i="4" s="1"/>
  <c r="N827" i="1"/>
  <c r="N825" i="4" s="1"/>
  <c r="N815" i="1"/>
  <c r="N813" i="4" s="1"/>
  <c r="N803" i="1"/>
  <c r="N801" i="4" s="1"/>
  <c r="N791" i="1"/>
  <c r="N789" i="4" s="1"/>
  <c r="N779" i="1"/>
  <c r="N777" i="4" s="1"/>
  <c r="N767" i="1"/>
  <c r="N765" i="4" s="1"/>
  <c r="N755" i="1"/>
  <c r="N753" i="4" s="1"/>
  <c r="N743" i="1"/>
  <c r="N741" i="4" s="1"/>
  <c r="N731" i="1"/>
  <c r="N729" i="4" s="1"/>
  <c r="N719" i="1"/>
  <c r="N717" i="4" s="1"/>
  <c r="N707" i="1"/>
  <c r="N705" i="4" s="1"/>
  <c r="N695" i="1"/>
  <c r="N693" i="4" s="1"/>
  <c r="N683" i="1"/>
  <c r="N681" i="4" s="1"/>
  <c r="N671" i="1"/>
  <c r="N669" i="4" s="1"/>
  <c r="N659" i="1"/>
  <c r="N657" i="4" s="1"/>
  <c r="M863" i="1"/>
  <c r="M861" i="4" s="1"/>
  <c r="M851" i="1"/>
  <c r="M849" i="4" s="1"/>
  <c r="M839" i="1"/>
  <c r="M837" i="4" s="1"/>
  <c r="M827" i="1"/>
  <c r="M825" i="4" s="1"/>
  <c r="M815" i="1"/>
  <c r="M813" i="4" s="1"/>
  <c r="M803" i="1"/>
  <c r="M801" i="4" s="1"/>
  <c r="M791" i="1"/>
  <c r="M789" i="4" s="1"/>
  <c r="M779" i="1"/>
  <c r="M777" i="4" s="1"/>
  <c r="M767" i="1"/>
  <c r="M765" i="4" s="1"/>
  <c r="M755" i="1"/>
  <c r="M753" i="4" s="1"/>
  <c r="M743" i="1"/>
  <c r="M741" i="4" s="1"/>
  <c r="M731" i="1"/>
  <c r="M729" i="4" s="1"/>
  <c r="M719" i="1"/>
  <c r="M717" i="4" s="1"/>
  <c r="M707" i="1"/>
  <c r="M705" i="4" s="1"/>
  <c r="M695" i="1"/>
  <c r="M693" i="4" s="1"/>
  <c r="M683" i="1"/>
  <c r="M681" i="4" s="1"/>
  <c r="M671" i="1"/>
  <c r="M669" i="4" s="1"/>
  <c r="M659" i="1"/>
  <c r="M657" i="4" s="1"/>
  <c r="N901" i="1"/>
  <c r="N899" i="4" s="1"/>
  <c r="N889" i="1"/>
  <c r="N887" i="4" s="1"/>
  <c r="N877" i="1"/>
  <c r="N875" i="4" s="1"/>
  <c r="N865" i="1"/>
  <c r="N863" i="4" s="1"/>
  <c r="N853" i="1"/>
  <c r="N851" i="4" s="1"/>
  <c r="N841" i="1"/>
  <c r="N839" i="4" s="1"/>
  <c r="N829" i="1"/>
  <c r="N827" i="4" s="1"/>
  <c r="L477" i="1"/>
  <c r="L475" i="4" s="1"/>
  <c r="L642" i="1"/>
  <c r="L640" i="4" s="1"/>
  <c r="M637" i="1"/>
  <c r="M635" i="4" s="1"/>
  <c r="L630" i="1"/>
  <c r="L628" i="4" s="1"/>
  <c r="M625" i="1"/>
  <c r="M623" i="4" s="1"/>
  <c r="L618" i="1"/>
  <c r="L616" i="4" s="1"/>
  <c r="M613" i="1"/>
  <c r="M611" i="4" s="1"/>
  <c r="L606" i="1"/>
  <c r="L604" i="4" s="1"/>
  <c r="M601" i="1"/>
  <c r="M599" i="4" s="1"/>
  <c r="L594" i="1"/>
  <c r="L592" i="4" s="1"/>
  <c r="M589" i="1"/>
  <c r="M587" i="4" s="1"/>
  <c r="L582" i="1"/>
  <c r="L580" i="4" s="1"/>
  <c r="M577" i="1"/>
  <c r="M575" i="4" s="1"/>
  <c r="L570" i="1"/>
  <c r="L568" i="4" s="1"/>
  <c r="M565" i="1"/>
  <c r="M563" i="4" s="1"/>
  <c r="L558" i="1"/>
  <c r="L556" i="4" s="1"/>
  <c r="M553" i="1"/>
  <c r="M551" i="4" s="1"/>
  <c r="L546" i="1"/>
  <c r="L544" i="4" s="1"/>
  <c r="M541" i="1"/>
  <c r="M539" i="4" s="1"/>
  <c r="L534" i="1"/>
  <c r="L532" i="4" s="1"/>
  <c r="M529" i="1"/>
  <c r="M527" i="4" s="1"/>
  <c r="L522" i="1"/>
  <c r="L520" i="4" s="1"/>
  <c r="M517" i="1"/>
  <c r="M515" i="4" s="1"/>
  <c r="N512" i="1"/>
  <c r="N510" i="4" s="1"/>
  <c r="L510" i="1"/>
  <c r="L508" i="4" s="1"/>
  <c r="M505" i="1"/>
  <c r="M503" i="4" s="1"/>
  <c r="N500" i="1"/>
  <c r="N498" i="4" s="1"/>
  <c r="L498" i="1"/>
  <c r="L496" i="4" s="1"/>
  <c r="M493" i="1"/>
  <c r="M491" i="4" s="1"/>
  <c r="N488" i="1"/>
  <c r="N486" i="4" s="1"/>
  <c r="M483" i="1"/>
  <c r="M481" i="4" s="1"/>
  <c r="L453" i="1"/>
  <c r="L451" i="4" s="1"/>
  <c r="M453" i="1"/>
  <c r="M451" i="4" s="1"/>
  <c r="N453" i="1"/>
  <c r="N451" i="4" s="1"/>
  <c r="L301" i="1"/>
  <c r="L299" i="4" s="1"/>
  <c r="M301" i="1"/>
  <c r="M299" i="4" s="1"/>
  <c r="N301" i="1"/>
  <c r="N299" i="4" s="1"/>
  <c r="L358" i="1"/>
  <c r="L356" i="4" s="1"/>
  <c r="M358" i="1"/>
  <c r="M356" i="4" s="1"/>
  <c r="L637" i="1"/>
  <c r="L635" i="4" s="1"/>
  <c r="L625" i="1"/>
  <c r="L623" i="4" s="1"/>
  <c r="L613" i="1"/>
  <c r="L611" i="4" s="1"/>
  <c r="L601" i="1"/>
  <c r="L599" i="4" s="1"/>
  <c r="L589" i="1"/>
  <c r="L587" i="4" s="1"/>
  <c r="L577" i="1"/>
  <c r="L575" i="4" s="1"/>
  <c r="L565" i="1"/>
  <c r="L563" i="4" s="1"/>
  <c r="L553" i="1"/>
  <c r="L551" i="4" s="1"/>
  <c r="L541" i="1"/>
  <c r="L539" i="4" s="1"/>
  <c r="L529" i="1"/>
  <c r="L527" i="4" s="1"/>
  <c r="L517" i="1"/>
  <c r="L515" i="4" s="1"/>
  <c r="L505" i="1"/>
  <c r="L503" i="4" s="1"/>
  <c r="L493" i="1"/>
  <c r="L491" i="4" s="1"/>
  <c r="L483" i="1"/>
  <c r="L481" i="4" s="1"/>
  <c r="L480" i="1"/>
  <c r="L478" i="4" s="1"/>
  <c r="L442" i="1"/>
  <c r="L440" i="4" s="1"/>
  <c r="M442" i="1"/>
  <c r="M440" i="4" s="1"/>
  <c r="L431" i="1"/>
  <c r="L429" i="4" s="1"/>
  <c r="N431" i="1"/>
  <c r="N429" i="4" s="1"/>
  <c r="L370" i="1"/>
  <c r="L368" i="4" s="1"/>
  <c r="M370" i="1"/>
  <c r="M368" i="4" s="1"/>
  <c r="L274" i="1"/>
  <c r="L272" i="4" s="1"/>
  <c r="M274" i="1"/>
  <c r="M272" i="4" s="1"/>
  <c r="L238" i="1"/>
  <c r="L236" i="4" s="1"/>
  <c r="M238" i="1"/>
  <c r="M236" i="4" s="1"/>
  <c r="M231" i="1"/>
  <c r="M229" i="4" s="1"/>
  <c r="L236" i="1"/>
  <c r="L234" i="4" s="1"/>
  <c r="N238" i="1"/>
  <c r="N236" i="4" s="1"/>
  <c r="L234" i="1"/>
  <c r="L232" i="4" s="1"/>
  <c r="N236" i="1"/>
  <c r="N234" i="4" s="1"/>
  <c r="L237" i="1"/>
  <c r="L235" i="4" s="1"/>
  <c r="M237" i="1"/>
  <c r="M235" i="4" s="1"/>
  <c r="N237" i="1"/>
  <c r="N235" i="4" s="1"/>
  <c r="L467" i="1"/>
  <c r="L465" i="4" s="1"/>
  <c r="N467" i="1"/>
  <c r="N465" i="4" s="1"/>
  <c r="L441" i="1"/>
  <c r="L439" i="4" s="1"/>
  <c r="M441" i="1"/>
  <c r="M439" i="4" s="1"/>
  <c r="N441" i="1"/>
  <c r="N439" i="4" s="1"/>
  <c r="L313" i="1"/>
  <c r="L311" i="4" s="1"/>
  <c r="M313" i="1"/>
  <c r="M311" i="4" s="1"/>
  <c r="N313" i="1"/>
  <c r="N311" i="4" s="1"/>
  <c r="N641" i="1"/>
  <c r="N639" i="4" s="1"/>
  <c r="N629" i="1"/>
  <c r="N627" i="4" s="1"/>
  <c r="N617" i="1"/>
  <c r="N615" i="4" s="1"/>
  <c r="N605" i="1"/>
  <c r="N603" i="4" s="1"/>
  <c r="N593" i="1"/>
  <c r="N591" i="4" s="1"/>
  <c r="N581" i="1"/>
  <c r="N579" i="4" s="1"/>
  <c r="N569" i="1"/>
  <c r="N567" i="4" s="1"/>
  <c r="N557" i="1"/>
  <c r="N555" i="4" s="1"/>
  <c r="N545" i="1"/>
  <c r="N543" i="4" s="1"/>
  <c r="N533" i="1"/>
  <c r="N531" i="4" s="1"/>
  <c r="N521" i="1"/>
  <c r="N519" i="4" s="1"/>
  <c r="N509" i="1"/>
  <c r="N507" i="4" s="1"/>
  <c r="N497" i="1"/>
  <c r="N495" i="4" s="1"/>
  <c r="L463" i="1"/>
  <c r="L461" i="4" s="1"/>
  <c r="M463" i="1"/>
  <c r="M461" i="4" s="1"/>
  <c r="L430" i="1"/>
  <c r="L428" i="4" s="1"/>
  <c r="M430" i="1"/>
  <c r="M428" i="4" s="1"/>
  <c r="L419" i="1"/>
  <c r="L417" i="4" s="1"/>
  <c r="N419" i="1"/>
  <c r="N417" i="4" s="1"/>
  <c r="L382" i="1"/>
  <c r="L380" i="4" s="1"/>
  <c r="M382" i="1"/>
  <c r="M380" i="4" s="1"/>
  <c r="L325" i="1"/>
  <c r="L323" i="4" s="1"/>
  <c r="M325" i="1"/>
  <c r="M323" i="4" s="1"/>
  <c r="N325" i="1"/>
  <c r="N323" i="4" s="1"/>
  <c r="L286" i="1"/>
  <c r="L284" i="4" s="1"/>
  <c r="M286" i="1"/>
  <c r="M284" i="4" s="1"/>
  <c r="N233" i="1"/>
  <c r="N231" i="4" s="1"/>
  <c r="L262" i="1"/>
  <c r="L260" i="4" s="1"/>
  <c r="M262" i="1"/>
  <c r="M260" i="4" s="1"/>
  <c r="N262" i="1"/>
  <c r="N260" i="4" s="1"/>
  <c r="N648" i="1"/>
  <c r="N646" i="4" s="1"/>
  <c r="M641" i="1"/>
  <c r="M639" i="4" s="1"/>
  <c r="N636" i="1"/>
  <c r="N634" i="4" s="1"/>
  <c r="M629" i="1"/>
  <c r="M627" i="4" s="1"/>
  <c r="N624" i="1"/>
  <c r="N622" i="4" s="1"/>
  <c r="M617" i="1"/>
  <c r="M615" i="4" s="1"/>
  <c r="N612" i="1"/>
  <c r="N610" i="4" s="1"/>
  <c r="M605" i="1"/>
  <c r="M603" i="4" s="1"/>
  <c r="N600" i="1"/>
  <c r="N598" i="4" s="1"/>
  <c r="M593" i="1"/>
  <c r="M591" i="4" s="1"/>
  <c r="N588" i="1"/>
  <c r="N586" i="4" s="1"/>
  <c r="M581" i="1"/>
  <c r="M579" i="4" s="1"/>
  <c r="N576" i="1"/>
  <c r="N574" i="4" s="1"/>
  <c r="M569" i="1"/>
  <c r="M567" i="4" s="1"/>
  <c r="N564" i="1"/>
  <c r="N562" i="4" s="1"/>
  <c r="M557" i="1"/>
  <c r="M555" i="4" s="1"/>
  <c r="N552" i="1"/>
  <c r="N550" i="4" s="1"/>
  <c r="M545" i="1"/>
  <c r="M543" i="4" s="1"/>
  <c r="N540" i="1"/>
  <c r="N538" i="4" s="1"/>
  <c r="M533" i="1"/>
  <c r="M531" i="4" s="1"/>
  <c r="N528" i="1"/>
  <c r="N526" i="4" s="1"/>
  <c r="M521" i="1"/>
  <c r="M519" i="4" s="1"/>
  <c r="N516" i="1"/>
  <c r="N514" i="4" s="1"/>
  <c r="M509" i="1"/>
  <c r="M507" i="4" s="1"/>
  <c r="N504" i="1"/>
  <c r="N502" i="4" s="1"/>
  <c r="M497" i="1"/>
  <c r="M495" i="4" s="1"/>
  <c r="N492" i="1"/>
  <c r="N490" i="4" s="1"/>
  <c r="L479" i="1"/>
  <c r="L477" i="4" s="1"/>
  <c r="N479" i="1"/>
  <c r="N477" i="4" s="1"/>
  <c r="N466" i="1"/>
  <c r="N464" i="4" s="1"/>
  <c r="N462" i="1"/>
  <c r="N460" i="4" s="1"/>
  <c r="L429" i="1"/>
  <c r="L427" i="4" s="1"/>
  <c r="M429" i="1"/>
  <c r="M427" i="4" s="1"/>
  <c r="N429" i="1"/>
  <c r="N427" i="4" s="1"/>
  <c r="L394" i="1"/>
  <c r="L392" i="4" s="1"/>
  <c r="M394" i="1"/>
  <c r="M392" i="4" s="1"/>
  <c r="L337" i="1"/>
  <c r="L335" i="4" s="1"/>
  <c r="M337" i="1"/>
  <c r="M335" i="4" s="1"/>
  <c r="N337" i="1"/>
  <c r="N335" i="4" s="1"/>
  <c r="N235" i="1"/>
  <c r="N233" i="4" s="1"/>
  <c r="L443" i="1"/>
  <c r="L441" i="4" s="1"/>
  <c r="N443" i="1"/>
  <c r="N441" i="4" s="1"/>
  <c r="L409" i="1"/>
  <c r="L407" i="4" s="1"/>
  <c r="N409" i="1"/>
  <c r="N407" i="4" s="1"/>
  <c r="L250" i="1"/>
  <c r="L248" i="4" s="1"/>
  <c r="M250" i="1"/>
  <c r="M248" i="4" s="1"/>
  <c r="N250" i="1"/>
  <c r="N248" i="4" s="1"/>
  <c r="N643" i="1"/>
  <c r="N641" i="4" s="1"/>
  <c r="N631" i="1"/>
  <c r="N629" i="4" s="1"/>
  <c r="N619" i="1"/>
  <c r="N617" i="4" s="1"/>
  <c r="N607" i="1"/>
  <c r="N605" i="4" s="1"/>
  <c r="N595" i="1"/>
  <c r="N593" i="4" s="1"/>
  <c r="N583" i="1"/>
  <c r="N581" i="4" s="1"/>
  <c r="N571" i="1"/>
  <c r="N569" i="4" s="1"/>
  <c r="N559" i="1"/>
  <c r="N557" i="4" s="1"/>
  <c r="N547" i="1"/>
  <c r="N545" i="4" s="1"/>
  <c r="N535" i="1"/>
  <c r="N533" i="4" s="1"/>
  <c r="N523" i="1"/>
  <c r="N521" i="4" s="1"/>
  <c r="N511" i="1"/>
  <c r="N509" i="4" s="1"/>
  <c r="N499" i="1"/>
  <c r="N497" i="4" s="1"/>
  <c r="N487" i="1"/>
  <c r="N485" i="4" s="1"/>
  <c r="N475" i="1"/>
  <c r="N473" i="4" s="1"/>
  <c r="L466" i="1"/>
  <c r="L464" i="4" s="1"/>
  <c r="L418" i="1"/>
  <c r="L416" i="4" s="1"/>
  <c r="M418" i="1"/>
  <c r="M416" i="4" s="1"/>
  <c r="L406" i="1"/>
  <c r="L404" i="4" s="1"/>
  <c r="M406" i="1"/>
  <c r="M404" i="4" s="1"/>
  <c r="L349" i="1"/>
  <c r="L347" i="4" s="1"/>
  <c r="M349" i="1"/>
  <c r="M347" i="4" s="1"/>
  <c r="N349" i="1"/>
  <c r="N347" i="4" s="1"/>
  <c r="L298" i="1"/>
  <c r="L296" i="4" s="1"/>
  <c r="M298" i="1"/>
  <c r="M296" i="4" s="1"/>
  <c r="M643" i="1"/>
  <c r="M641" i="4" s="1"/>
  <c r="M631" i="1"/>
  <c r="M629" i="4" s="1"/>
  <c r="M619" i="1"/>
  <c r="M617" i="4" s="1"/>
  <c r="M607" i="1"/>
  <c r="M605" i="4" s="1"/>
  <c r="M559" i="1"/>
  <c r="M557" i="4" s="1"/>
  <c r="M547" i="1"/>
  <c r="M545" i="4" s="1"/>
  <c r="M535" i="1"/>
  <c r="M533" i="4" s="1"/>
  <c r="M523" i="1"/>
  <c r="M521" i="4" s="1"/>
  <c r="M511" i="1"/>
  <c r="M509" i="4" s="1"/>
  <c r="M499" i="1"/>
  <c r="M497" i="4" s="1"/>
  <c r="N478" i="1"/>
  <c r="N476" i="4" s="1"/>
  <c r="M462" i="1"/>
  <c r="M460" i="4" s="1"/>
  <c r="L445" i="1"/>
  <c r="L443" i="4" s="1"/>
  <c r="N445" i="1"/>
  <c r="N443" i="4" s="1"/>
  <c r="L417" i="1"/>
  <c r="L415" i="4" s="1"/>
  <c r="M417" i="1"/>
  <c r="M415" i="4" s="1"/>
  <c r="N417" i="1"/>
  <c r="N415" i="4" s="1"/>
  <c r="L361" i="1"/>
  <c r="L359" i="4" s="1"/>
  <c r="M361" i="1"/>
  <c r="M359" i="4" s="1"/>
  <c r="N361" i="1"/>
  <c r="N359" i="4" s="1"/>
  <c r="L454" i="1"/>
  <c r="L452" i="4" s="1"/>
  <c r="M454" i="1"/>
  <c r="M452" i="4" s="1"/>
  <c r="L478" i="1"/>
  <c r="L476" i="4" s="1"/>
  <c r="L469" i="1"/>
  <c r="L467" i="4" s="1"/>
  <c r="L310" i="1"/>
  <c r="L308" i="4" s="1"/>
  <c r="M310" i="1"/>
  <c r="M308" i="4" s="1"/>
  <c r="N640" i="1"/>
  <c r="N638" i="4" s="1"/>
  <c r="N628" i="1"/>
  <c r="N626" i="4" s="1"/>
  <c r="N616" i="1"/>
  <c r="N614" i="4" s="1"/>
  <c r="N604" i="1"/>
  <c r="N602" i="4" s="1"/>
  <c r="N592" i="1"/>
  <c r="N590" i="4" s="1"/>
  <c r="N580" i="1"/>
  <c r="N578" i="4" s="1"/>
  <c r="N568" i="1"/>
  <c r="N566" i="4" s="1"/>
  <c r="N556" i="1"/>
  <c r="N554" i="4" s="1"/>
  <c r="N544" i="1"/>
  <c r="N542" i="4" s="1"/>
  <c r="N532" i="1"/>
  <c r="N530" i="4" s="1"/>
  <c r="N520" i="1"/>
  <c r="N518" i="4" s="1"/>
  <c r="N508" i="1"/>
  <c r="N506" i="4" s="1"/>
  <c r="N496" i="1"/>
  <c r="N494" i="4" s="1"/>
  <c r="L465" i="1"/>
  <c r="L463" i="4" s="1"/>
  <c r="N465" i="1"/>
  <c r="N463" i="4" s="1"/>
  <c r="L433" i="1"/>
  <c r="L431" i="4" s="1"/>
  <c r="N433" i="1"/>
  <c r="N431" i="4" s="1"/>
  <c r="L373" i="1"/>
  <c r="L371" i="4" s="1"/>
  <c r="M373" i="1"/>
  <c r="M371" i="4" s="1"/>
  <c r="N373" i="1"/>
  <c r="N371" i="4" s="1"/>
  <c r="L322" i="1"/>
  <c r="L320" i="4" s="1"/>
  <c r="M322" i="1"/>
  <c r="M320" i="4" s="1"/>
  <c r="L277" i="1"/>
  <c r="L275" i="4" s="1"/>
  <c r="M277" i="1"/>
  <c r="M275" i="4" s="1"/>
  <c r="N277" i="1"/>
  <c r="N275" i="4" s="1"/>
  <c r="M640" i="1"/>
  <c r="M638" i="4" s="1"/>
  <c r="M628" i="1"/>
  <c r="M626" i="4" s="1"/>
  <c r="M616" i="1"/>
  <c r="M614" i="4" s="1"/>
  <c r="M604" i="1"/>
  <c r="M602" i="4" s="1"/>
  <c r="M592" i="1"/>
  <c r="M590" i="4" s="1"/>
  <c r="M580" i="1"/>
  <c r="M578" i="4" s="1"/>
  <c r="M568" i="1"/>
  <c r="M566" i="4" s="1"/>
  <c r="M556" i="1"/>
  <c r="M554" i="4" s="1"/>
  <c r="M544" i="1"/>
  <c r="M542" i="4" s="1"/>
  <c r="M532" i="1"/>
  <c r="M530" i="4" s="1"/>
  <c r="M520" i="1"/>
  <c r="M518" i="4" s="1"/>
  <c r="M508" i="1"/>
  <c r="M506" i="4" s="1"/>
  <c r="M496" i="1"/>
  <c r="M494" i="4" s="1"/>
  <c r="N486" i="1"/>
  <c r="N484" i="4" s="1"/>
  <c r="L481" i="1"/>
  <c r="L479" i="4" s="1"/>
  <c r="N477" i="1"/>
  <c r="N475" i="4" s="1"/>
  <c r="L455" i="1"/>
  <c r="L453" i="4" s="1"/>
  <c r="N455" i="1"/>
  <c r="N453" i="4" s="1"/>
  <c r="L385" i="1"/>
  <c r="L383" i="4" s="1"/>
  <c r="M385" i="1"/>
  <c r="M383" i="4" s="1"/>
  <c r="N385" i="1"/>
  <c r="N383" i="4" s="1"/>
  <c r="L334" i="1"/>
  <c r="L332" i="4" s="1"/>
  <c r="M334" i="1"/>
  <c r="M332" i="4" s="1"/>
  <c r="L486" i="1"/>
  <c r="L484" i="4" s="1"/>
  <c r="M477" i="1"/>
  <c r="M475" i="4" s="1"/>
  <c r="M474" i="1"/>
  <c r="M472" i="4" s="1"/>
  <c r="N454" i="1"/>
  <c r="N452" i="4" s="1"/>
  <c r="M443" i="1"/>
  <c r="M441" i="4" s="1"/>
  <c r="L421" i="1"/>
  <c r="L419" i="4" s="1"/>
  <c r="N421" i="1"/>
  <c r="N419" i="4" s="1"/>
  <c r="M409" i="1"/>
  <c r="M407" i="4" s="1"/>
  <c r="L397" i="1"/>
  <c r="L395" i="4" s="1"/>
  <c r="M397" i="1"/>
  <c r="M395" i="4" s="1"/>
  <c r="N397" i="1"/>
  <c r="N395" i="4" s="1"/>
  <c r="N358" i="1"/>
  <c r="N356" i="4" s="1"/>
  <c r="L346" i="1"/>
  <c r="L344" i="4" s="1"/>
  <c r="M346" i="1"/>
  <c r="M344" i="4" s="1"/>
  <c r="L289" i="1"/>
  <c r="L287" i="4" s="1"/>
  <c r="M289" i="1"/>
  <c r="M287" i="4" s="1"/>
  <c r="N289" i="1"/>
  <c r="N287" i="4" s="1"/>
  <c r="L468" i="1"/>
  <c r="L466" i="4" s="1"/>
  <c r="L456" i="1"/>
  <c r="L454" i="4" s="1"/>
  <c r="M451" i="1"/>
  <c r="M449" i="4" s="1"/>
  <c r="L444" i="1"/>
  <c r="L442" i="4" s="1"/>
  <c r="M439" i="1"/>
  <c r="M437" i="4" s="1"/>
  <c r="L432" i="1"/>
  <c r="L430" i="4" s="1"/>
  <c r="M427" i="1"/>
  <c r="M425" i="4" s="1"/>
  <c r="L420" i="1"/>
  <c r="L418" i="4" s="1"/>
  <c r="M415" i="1"/>
  <c r="M413" i="4" s="1"/>
  <c r="L408" i="1"/>
  <c r="L406" i="4" s="1"/>
  <c r="M403" i="1"/>
  <c r="M401" i="4" s="1"/>
  <c r="L396" i="1"/>
  <c r="L394" i="4" s="1"/>
  <c r="M391" i="1"/>
  <c r="M389" i="4" s="1"/>
  <c r="L384" i="1"/>
  <c r="L382" i="4" s="1"/>
  <c r="M379" i="1"/>
  <c r="M377" i="4" s="1"/>
  <c r="L372" i="1"/>
  <c r="L370" i="4" s="1"/>
  <c r="M367" i="1"/>
  <c r="M365" i="4" s="1"/>
  <c r="L360" i="1"/>
  <c r="L358" i="4" s="1"/>
  <c r="M355" i="1"/>
  <c r="M353" i="4" s="1"/>
  <c r="L348" i="1"/>
  <c r="L346" i="4" s="1"/>
  <c r="M343" i="1"/>
  <c r="M341" i="4" s="1"/>
  <c r="L336" i="1"/>
  <c r="L334" i="4" s="1"/>
  <c r="M331" i="1"/>
  <c r="M329" i="4" s="1"/>
  <c r="L324" i="1"/>
  <c r="L322" i="4" s="1"/>
  <c r="M319" i="1"/>
  <c r="M317" i="4" s="1"/>
  <c r="L312" i="1"/>
  <c r="L310" i="4" s="1"/>
  <c r="M307" i="1"/>
  <c r="M305" i="4" s="1"/>
  <c r="L300" i="1"/>
  <c r="L298" i="4" s="1"/>
  <c r="M295" i="1"/>
  <c r="M293" i="4" s="1"/>
  <c r="L288" i="1"/>
  <c r="L286" i="4" s="1"/>
  <c r="M283" i="1"/>
  <c r="M281" i="4" s="1"/>
  <c r="L276" i="1"/>
  <c r="L274" i="4" s="1"/>
  <c r="M271" i="1"/>
  <c r="M269" i="4" s="1"/>
  <c r="L264" i="1"/>
  <c r="L262" i="4" s="1"/>
  <c r="M259" i="1"/>
  <c r="M257" i="4" s="1"/>
  <c r="L252" i="1"/>
  <c r="L250" i="4" s="1"/>
  <c r="M247" i="1"/>
  <c r="M245" i="4" s="1"/>
  <c r="L240" i="1"/>
  <c r="L238" i="4" s="1"/>
  <c r="M235" i="1"/>
  <c r="M233" i="4" s="1"/>
  <c r="L451" i="1"/>
  <c r="L449" i="4" s="1"/>
  <c r="L439" i="1"/>
  <c r="L437" i="4" s="1"/>
  <c r="L427" i="1"/>
  <c r="L425" i="4" s="1"/>
  <c r="L415" i="1"/>
  <c r="L413" i="4" s="1"/>
  <c r="N405" i="1"/>
  <c r="N403" i="4" s="1"/>
  <c r="L403" i="1"/>
  <c r="L401" i="4" s="1"/>
  <c r="N393" i="1"/>
  <c r="N391" i="4" s="1"/>
  <c r="L391" i="1"/>
  <c r="L389" i="4" s="1"/>
  <c r="N381" i="1"/>
  <c r="N379" i="4" s="1"/>
  <c r="L379" i="1"/>
  <c r="L377" i="4" s="1"/>
  <c r="N369" i="1"/>
  <c r="N367" i="4" s="1"/>
  <c r="L367" i="1"/>
  <c r="L365" i="4" s="1"/>
  <c r="N357" i="1"/>
  <c r="N355" i="4" s="1"/>
  <c r="L355" i="1"/>
  <c r="L353" i="4" s="1"/>
  <c r="N345" i="1"/>
  <c r="N343" i="4" s="1"/>
  <c r="L343" i="1"/>
  <c r="L341" i="4" s="1"/>
  <c r="N333" i="1"/>
  <c r="N331" i="4" s="1"/>
  <c r="L331" i="1"/>
  <c r="L329" i="4" s="1"/>
  <c r="N321" i="1"/>
  <c r="N319" i="4" s="1"/>
  <c r="L319" i="1"/>
  <c r="L317" i="4" s="1"/>
  <c r="N309" i="1"/>
  <c r="N307" i="4" s="1"/>
  <c r="L307" i="1"/>
  <c r="L305" i="4" s="1"/>
  <c r="N297" i="1"/>
  <c r="N295" i="4" s="1"/>
  <c r="L295" i="1"/>
  <c r="L293" i="4" s="1"/>
  <c r="N285" i="1"/>
  <c r="N283" i="4" s="1"/>
  <c r="L283" i="1"/>
  <c r="L281" i="4" s="1"/>
  <c r="N273" i="1"/>
  <c r="N271" i="4" s="1"/>
  <c r="L271" i="1"/>
  <c r="L269" i="4" s="1"/>
  <c r="L259" i="1"/>
  <c r="L257" i="4" s="1"/>
  <c r="L247" i="1"/>
  <c r="L245" i="4" s="1"/>
  <c r="M242" i="1"/>
  <c r="M240" i="4" s="1"/>
  <c r="L235" i="1"/>
  <c r="L233" i="4" s="1"/>
  <c r="M405" i="1"/>
  <c r="M403" i="4" s="1"/>
  <c r="M393" i="1"/>
  <c r="M391" i="4" s="1"/>
  <c r="M381" i="1"/>
  <c r="M379" i="4" s="1"/>
  <c r="M369" i="1"/>
  <c r="M367" i="4" s="1"/>
  <c r="M357" i="1"/>
  <c r="M355" i="4" s="1"/>
  <c r="M345" i="1"/>
  <c r="M343" i="4" s="1"/>
  <c r="M333" i="1"/>
  <c r="M331" i="4" s="1"/>
  <c r="M321" i="1"/>
  <c r="M319" i="4" s="1"/>
  <c r="M309" i="1"/>
  <c r="M307" i="4" s="1"/>
  <c r="M297" i="1"/>
  <c r="M295" i="4" s="1"/>
  <c r="M285" i="1"/>
  <c r="M283" i="4" s="1"/>
  <c r="M273" i="1"/>
  <c r="M271" i="4" s="1"/>
  <c r="N244" i="1"/>
  <c r="N242" i="4" s="1"/>
  <c r="L242" i="1"/>
  <c r="L240" i="4" s="1"/>
  <c r="N232" i="1"/>
  <c r="N230" i="4" s="1"/>
  <c r="N407" i="1"/>
  <c r="N405" i="4" s="1"/>
  <c r="N395" i="1"/>
  <c r="N393" i="4" s="1"/>
  <c r="N383" i="1"/>
  <c r="N381" i="4" s="1"/>
  <c r="N371" i="1"/>
  <c r="N369" i="4" s="1"/>
  <c r="N359" i="1"/>
  <c r="N357" i="4" s="1"/>
  <c r="N347" i="1"/>
  <c r="N345" i="4" s="1"/>
  <c r="N335" i="1"/>
  <c r="N333" i="4" s="1"/>
  <c r="N323" i="1"/>
  <c r="N321" i="4" s="1"/>
  <c r="N311" i="1"/>
  <c r="N309" i="4" s="1"/>
  <c r="N299" i="1"/>
  <c r="N297" i="4" s="1"/>
  <c r="N287" i="1"/>
  <c r="N285" i="4" s="1"/>
  <c r="N275" i="1"/>
  <c r="N273" i="4" s="1"/>
  <c r="N263" i="1"/>
  <c r="N261" i="4" s="1"/>
  <c r="N251" i="1"/>
  <c r="N249" i="4" s="1"/>
  <c r="M244" i="1"/>
  <c r="M242" i="4" s="1"/>
  <c r="N239" i="1"/>
  <c r="N237" i="4" s="1"/>
  <c r="M232" i="1"/>
  <c r="M230" i="4" s="1"/>
  <c r="M407" i="1"/>
  <c r="M405" i="4" s="1"/>
  <c r="M395" i="1"/>
  <c r="M393" i="4" s="1"/>
  <c r="M383" i="1"/>
  <c r="M381" i="4" s="1"/>
  <c r="M371" i="1"/>
  <c r="M369" i="4" s="1"/>
  <c r="M359" i="1"/>
  <c r="M357" i="4" s="1"/>
  <c r="M347" i="1"/>
  <c r="M345" i="4" s="1"/>
  <c r="M335" i="1"/>
  <c r="M333" i="4" s="1"/>
  <c r="M323" i="1"/>
  <c r="M321" i="4" s="1"/>
  <c r="M311" i="1"/>
  <c r="M309" i="4" s="1"/>
  <c r="M299" i="1"/>
  <c r="M297" i="4" s="1"/>
  <c r="M287" i="1"/>
  <c r="M285" i="4" s="1"/>
  <c r="M275" i="1"/>
  <c r="M273" i="4" s="1"/>
  <c r="M263" i="1"/>
  <c r="M261" i="4" s="1"/>
  <c r="N258" i="1"/>
  <c r="N256" i="4" s="1"/>
  <c r="M251" i="1"/>
  <c r="M249" i="4" s="1"/>
  <c r="N246" i="1"/>
  <c r="N244" i="4" s="1"/>
  <c r="L244" i="1"/>
  <c r="L242" i="4" s="1"/>
  <c r="M239" i="1"/>
  <c r="M237" i="4" s="1"/>
  <c r="N234" i="1"/>
  <c r="N232" i="4" s="1"/>
  <c r="L232" i="1"/>
  <c r="L230" i="4" s="1"/>
  <c r="N265" i="1"/>
  <c r="N263" i="4" s="1"/>
  <c r="N253" i="1"/>
  <c r="N251" i="4" s="1"/>
  <c r="M246" i="1"/>
  <c r="M244" i="4" s="1"/>
  <c r="N241" i="1"/>
  <c r="N239" i="4" s="1"/>
  <c r="M234" i="1"/>
  <c r="M232" i="4" s="1"/>
  <c r="N243" i="1"/>
  <c r="N241" i="4" s="1"/>
  <c r="L241" i="1"/>
  <c r="L239" i="4" s="1"/>
  <c r="M236" i="1"/>
  <c r="M234" i="4" s="1"/>
  <c r="N231" i="1"/>
  <c r="N229" i="4" s="1"/>
  <c r="N245" i="1"/>
  <c r="N243" i="4" s="1"/>
  <c r="L231" i="1"/>
  <c r="L229" i="4" s="1"/>
  <c r="W230" i="1" l="1"/>
  <c r="Q230" i="1"/>
  <c r="K230" i="1"/>
  <c r="O230" i="1" s="1"/>
  <c r="O228" i="4" s="1"/>
  <c r="W229" i="1"/>
  <c r="Q229" i="1"/>
  <c r="K229" i="1"/>
  <c r="O229" i="1" s="1"/>
  <c r="O227" i="4" s="1"/>
  <c r="W228" i="1"/>
  <c r="Q228" i="1"/>
  <c r="K228" i="1"/>
  <c r="W227" i="1"/>
  <c r="Q227" i="1"/>
  <c r="K227" i="1"/>
  <c r="O227" i="1" s="1"/>
  <c r="O225" i="4" s="1"/>
  <c r="W226" i="1"/>
  <c r="Q226" i="1"/>
  <c r="K226" i="1"/>
  <c r="W225" i="1"/>
  <c r="Q225" i="1"/>
  <c r="K225" i="1"/>
  <c r="W224" i="1"/>
  <c r="Q224" i="1"/>
  <c r="K224" i="1"/>
  <c r="W223" i="1"/>
  <c r="Q223" i="1"/>
  <c r="K223" i="1"/>
  <c r="O223" i="1" s="1"/>
  <c r="O221" i="4" s="1"/>
  <c r="W222" i="1"/>
  <c r="Q222" i="1"/>
  <c r="K222" i="1"/>
  <c r="W221" i="1"/>
  <c r="Q221" i="1"/>
  <c r="K221" i="1"/>
  <c r="W220" i="1"/>
  <c r="Q220" i="1"/>
  <c r="K220" i="1"/>
  <c r="W219" i="1"/>
  <c r="Q219" i="1"/>
  <c r="K219" i="1"/>
  <c r="O219" i="1" s="1"/>
  <c r="O217" i="4" s="1"/>
  <c r="W218" i="1"/>
  <c r="Q218" i="1"/>
  <c r="K218" i="1"/>
  <c r="W217" i="1"/>
  <c r="Q217" i="1"/>
  <c r="K217" i="1"/>
  <c r="W216" i="1"/>
  <c r="Q216" i="1"/>
  <c r="K216" i="1"/>
  <c r="W215" i="1"/>
  <c r="Q215" i="1"/>
  <c r="K215" i="1"/>
  <c r="O215" i="1" s="1"/>
  <c r="O213" i="4" s="1"/>
  <c r="W214" i="1"/>
  <c r="Q214" i="1"/>
  <c r="K214" i="1"/>
  <c r="W213" i="1"/>
  <c r="Q213" i="1"/>
  <c r="K213" i="1"/>
  <c r="W212" i="1"/>
  <c r="Q212" i="1"/>
  <c r="K212" i="1"/>
  <c r="W211" i="1"/>
  <c r="Q211" i="1"/>
  <c r="K211" i="1"/>
  <c r="O211" i="1" s="1"/>
  <c r="O209" i="4" s="1"/>
  <c r="W210" i="1"/>
  <c r="Q210" i="1"/>
  <c r="K210" i="1"/>
  <c r="W209" i="1"/>
  <c r="Q209" i="1"/>
  <c r="K209" i="1"/>
  <c r="W208" i="1"/>
  <c r="Q208" i="1"/>
  <c r="K208" i="1"/>
  <c r="W207" i="1"/>
  <c r="Q207" i="1"/>
  <c r="K207" i="1"/>
  <c r="O207" i="1" s="1"/>
  <c r="O205" i="4" s="1"/>
  <c r="W206" i="1"/>
  <c r="Q206" i="1"/>
  <c r="K206" i="1"/>
  <c r="W205" i="1"/>
  <c r="Q205" i="1"/>
  <c r="K205" i="1"/>
  <c r="W204" i="1"/>
  <c r="Q204" i="1"/>
  <c r="K204" i="1"/>
  <c r="W203" i="1"/>
  <c r="Q203" i="1"/>
  <c r="K203" i="1"/>
  <c r="O203" i="1" s="1"/>
  <c r="O201" i="4" s="1"/>
  <c r="W202" i="1"/>
  <c r="Q202" i="1"/>
  <c r="K202" i="1"/>
  <c r="W201" i="1"/>
  <c r="Q201" i="1"/>
  <c r="K201" i="1"/>
  <c r="W200" i="1"/>
  <c r="Q200" i="1"/>
  <c r="K200" i="1"/>
  <c r="W199" i="1"/>
  <c r="Q199" i="1"/>
  <c r="K199" i="1"/>
  <c r="W198" i="1"/>
  <c r="Q198" i="1"/>
  <c r="K198" i="1"/>
  <c r="W197" i="1"/>
  <c r="Q197" i="1"/>
  <c r="K197" i="1"/>
  <c r="W196" i="1"/>
  <c r="Q196" i="1"/>
  <c r="K196" i="1"/>
  <c r="W195" i="1"/>
  <c r="Q195" i="1"/>
  <c r="K195" i="1"/>
  <c r="O195" i="1" s="1"/>
  <c r="O193" i="4" s="1"/>
  <c r="W194" i="1"/>
  <c r="Q194" i="1"/>
  <c r="K194" i="1"/>
  <c r="W193" i="1"/>
  <c r="Q193" i="1"/>
  <c r="K193" i="1"/>
  <c r="W192" i="1"/>
  <c r="Q192" i="1"/>
  <c r="K192" i="1"/>
  <c r="W191" i="1"/>
  <c r="Q191" i="1"/>
  <c r="K191" i="1"/>
  <c r="W190" i="1"/>
  <c r="Q190" i="1"/>
  <c r="K190" i="1"/>
  <c r="W189" i="1"/>
  <c r="Q189" i="1"/>
  <c r="K189" i="1"/>
  <c r="W188" i="1"/>
  <c r="Q188" i="1"/>
  <c r="K188" i="1"/>
  <c r="W187" i="1"/>
  <c r="Q187" i="1"/>
  <c r="K187" i="1"/>
  <c r="W186" i="1"/>
  <c r="Q186" i="1"/>
  <c r="K186" i="1"/>
  <c r="W185" i="1"/>
  <c r="Q185" i="1"/>
  <c r="K185" i="1"/>
  <c r="W184" i="1"/>
  <c r="Q184" i="1"/>
  <c r="K184" i="1"/>
  <c r="W183" i="1"/>
  <c r="Q183" i="1"/>
  <c r="K183" i="1"/>
  <c r="W182" i="1"/>
  <c r="Q182" i="1"/>
  <c r="K182" i="1"/>
  <c r="W181" i="1"/>
  <c r="Q181" i="1"/>
  <c r="K181" i="1"/>
  <c r="W180" i="1"/>
  <c r="Q180" i="1"/>
  <c r="K180" i="1"/>
  <c r="W179" i="1"/>
  <c r="Q179" i="1"/>
  <c r="K179" i="1"/>
  <c r="O179" i="1" s="1"/>
  <c r="O177" i="4" s="1"/>
  <c r="W178" i="1"/>
  <c r="Q178" i="1"/>
  <c r="K178" i="1"/>
  <c r="W177" i="1"/>
  <c r="Q177" i="1"/>
  <c r="K177" i="1"/>
  <c r="W176" i="1"/>
  <c r="Q176" i="1"/>
  <c r="K176" i="1"/>
  <c r="W175" i="1"/>
  <c r="Q175" i="1"/>
  <c r="K175" i="1"/>
  <c r="O175" i="1" s="1"/>
  <c r="O173" i="4" s="1"/>
  <c r="W174" i="1"/>
  <c r="Q174" i="1"/>
  <c r="K174" i="1"/>
  <c r="W173" i="1"/>
  <c r="Q173" i="1"/>
  <c r="K173" i="1"/>
  <c r="W172" i="1"/>
  <c r="Q172" i="1"/>
  <c r="K172" i="1"/>
  <c r="W171" i="1"/>
  <c r="Q171" i="1"/>
  <c r="K171" i="1"/>
  <c r="O171" i="1" s="1"/>
  <c r="O169" i="4" s="1"/>
  <c r="W170" i="1"/>
  <c r="Q170" i="1"/>
  <c r="K170" i="1"/>
  <c r="W169" i="1"/>
  <c r="Q169" i="1"/>
  <c r="K169" i="1"/>
  <c r="W168" i="1"/>
  <c r="Q168" i="1"/>
  <c r="K168" i="1"/>
  <c r="W167" i="1"/>
  <c r="Q167" i="1"/>
  <c r="K167" i="1"/>
  <c r="O167" i="1" s="1"/>
  <c r="O165" i="4" s="1"/>
  <c r="W166" i="1"/>
  <c r="Q166" i="1"/>
  <c r="K166" i="1"/>
  <c r="W165" i="1"/>
  <c r="Q165" i="1"/>
  <c r="K165" i="1"/>
  <c r="W164" i="1"/>
  <c r="Q164" i="1"/>
  <c r="K164" i="1"/>
  <c r="W163" i="1"/>
  <c r="Q163" i="1"/>
  <c r="K163" i="1"/>
  <c r="O163" i="1" s="1"/>
  <c r="O161" i="4" s="1"/>
  <c r="W162" i="1"/>
  <c r="Q162" i="1"/>
  <c r="K162" i="1"/>
  <c r="W161" i="1"/>
  <c r="Q161" i="1"/>
  <c r="K161" i="1"/>
  <c r="W160" i="1"/>
  <c r="Q160" i="1"/>
  <c r="K160" i="1"/>
  <c r="W159" i="1"/>
  <c r="Q159" i="1"/>
  <c r="K159" i="1"/>
  <c r="O159" i="1" s="1"/>
  <c r="O157" i="4" s="1"/>
  <c r="W158" i="1"/>
  <c r="Q158" i="1"/>
  <c r="K158" i="1"/>
  <c r="W157" i="1"/>
  <c r="Q157" i="1"/>
  <c r="K157" i="1"/>
  <c r="W156" i="1"/>
  <c r="Q156" i="1"/>
  <c r="K156" i="1"/>
  <c r="W155" i="1"/>
  <c r="Q155" i="1"/>
  <c r="K155" i="1"/>
  <c r="O155" i="1" s="1"/>
  <c r="O153" i="4" s="1"/>
  <c r="W154" i="1"/>
  <c r="Q154" i="1"/>
  <c r="K154" i="1"/>
  <c r="W153" i="1"/>
  <c r="Q153" i="1"/>
  <c r="K153" i="1"/>
  <c r="W152" i="1"/>
  <c r="Q152" i="1"/>
  <c r="K152" i="1"/>
  <c r="W151" i="1"/>
  <c r="Q151" i="1"/>
  <c r="K151" i="1"/>
  <c r="O151" i="1" s="1"/>
  <c r="O149" i="4" s="1"/>
  <c r="W150" i="1"/>
  <c r="Q150" i="1"/>
  <c r="K150" i="1"/>
  <c r="W149" i="1"/>
  <c r="Q149" i="1"/>
  <c r="K149" i="1"/>
  <c r="W148" i="1"/>
  <c r="Q148" i="1"/>
  <c r="K148" i="1"/>
  <c r="W147" i="1"/>
  <c r="Q147" i="1"/>
  <c r="K147" i="1"/>
  <c r="O147" i="1" s="1"/>
  <c r="O145" i="4" s="1"/>
  <c r="W146" i="1"/>
  <c r="Q146" i="1"/>
  <c r="K146" i="1"/>
  <c r="W145" i="1"/>
  <c r="Q145" i="1"/>
  <c r="K145" i="1"/>
  <c r="W144" i="1"/>
  <c r="Q144" i="1"/>
  <c r="K144" i="1"/>
  <c r="W143" i="1"/>
  <c r="Q143" i="1"/>
  <c r="K143" i="1"/>
  <c r="W142" i="1"/>
  <c r="Q142" i="1"/>
  <c r="K142" i="1"/>
  <c r="W141" i="1"/>
  <c r="Q141" i="1"/>
  <c r="K141" i="1"/>
  <c r="W140" i="1"/>
  <c r="Q140" i="1"/>
  <c r="K140" i="1"/>
  <c r="W139" i="1"/>
  <c r="Q139" i="1"/>
  <c r="K139" i="1"/>
  <c r="O139" i="1" s="1"/>
  <c r="O137" i="4" s="1"/>
  <c r="W138" i="1"/>
  <c r="Q138" i="1"/>
  <c r="K138" i="1"/>
  <c r="W137" i="1"/>
  <c r="Q137" i="1"/>
  <c r="K137" i="1"/>
  <c r="W136" i="1"/>
  <c r="Q136" i="1"/>
  <c r="K136" i="1"/>
  <c r="W135" i="1"/>
  <c r="Q135" i="1"/>
  <c r="K135" i="1"/>
  <c r="O135" i="1" s="1"/>
  <c r="O133" i="4" s="1"/>
  <c r="W134" i="1"/>
  <c r="Q134" i="1"/>
  <c r="K134" i="1"/>
  <c r="W133" i="1"/>
  <c r="Q133" i="1"/>
  <c r="K133" i="1"/>
  <c r="W132" i="1"/>
  <c r="Q132" i="1"/>
  <c r="K132" i="1"/>
  <c r="W131" i="1"/>
  <c r="Q131" i="1"/>
  <c r="K131" i="1"/>
  <c r="O131" i="1" s="1"/>
  <c r="O129" i="4" s="1"/>
  <c r="W130" i="1"/>
  <c r="Q130" i="1"/>
  <c r="K130" i="1"/>
  <c r="W129" i="1"/>
  <c r="Q129" i="1"/>
  <c r="K129" i="1"/>
  <c r="W128" i="1"/>
  <c r="Q128" i="1"/>
  <c r="K128" i="1"/>
  <c r="W127" i="1"/>
  <c r="Q127" i="1"/>
  <c r="K127" i="1"/>
  <c r="O127" i="1" s="1"/>
  <c r="O125" i="4" s="1"/>
  <c r="W126" i="1"/>
  <c r="Q126" i="1"/>
  <c r="K126" i="1"/>
  <c r="W125" i="1"/>
  <c r="Q125" i="1"/>
  <c r="K125" i="1"/>
  <c r="W124" i="1"/>
  <c r="Q124" i="1"/>
  <c r="K124" i="1"/>
  <c r="W123" i="1"/>
  <c r="Q123" i="1"/>
  <c r="K123" i="1"/>
  <c r="O123" i="1" s="1"/>
  <c r="O121" i="4" s="1"/>
  <c r="W122" i="1"/>
  <c r="Q122" i="1"/>
  <c r="K122" i="1"/>
  <c r="W121" i="1"/>
  <c r="Q121" i="1"/>
  <c r="K121" i="1"/>
  <c r="W120" i="1"/>
  <c r="Q120" i="1"/>
  <c r="K120" i="1"/>
  <c r="W119" i="1"/>
  <c r="Q119" i="1"/>
  <c r="K119" i="1"/>
  <c r="O119" i="1" s="1"/>
  <c r="O117" i="4" s="1"/>
  <c r="W118" i="1"/>
  <c r="Q118" i="1"/>
  <c r="K118" i="1"/>
  <c r="W117" i="1"/>
  <c r="Q117" i="1"/>
  <c r="K117" i="1"/>
  <c r="W116" i="1"/>
  <c r="Q116" i="1"/>
  <c r="K116" i="1"/>
  <c r="W115" i="1"/>
  <c r="Q115" i="1"/>
  <c r="K115" i="1"/>
  <c r="O115" i="1" s="1"/>
  <c r="O113" i="4" s="1"/>
  <c r="W114" i="1"/>
  <c r="Q114" i="1"/>
  <c r="K114" i="1"/>
  <c r="W113" i="1"/>
  <c r="Q113" i="1"/>
  <c r="K113" i="1"/>
  <c r="W112" i="1"/>
  <c r="Q112" i="1"/>
  <c r="K112" i="1"/>
  <c r="W111" i="1"/>
  <c r="Q111" i="1"/>
  <c r="K111" i="1"/>
  <c r="O111" i="1" s="1"/>
  <c r="O109" i="4" s="1"/>
  <c r="W110" i="1"/>
  <c r="Q110" i="1"/>
  <c r="K110" i="1"/>
  <c r="W109" i="1"/>
  <c r="Q109" i="1"/>
  <c r="K109" i="1"/>
  <c r="W108" i="1"/>
  <c r="Q108" i="1"/>
  <c r="K108" i="1"/>
  <c r="W107" i="1"/>
  <c r="Q107" i="1"/>
  <c r="K107" i="1"/>
  <c r="O107" i="1" s="1"/>
  <c r="O105" i="4" s="1"/>
  <c r="W106" i="1"/>
  <c r="Q106" i="1"/>
  <c r="K106" i="1"/>
  <c r="W105" i="1"/>
  <c r="Q105" i="1"/>
  <c r="K105" i="1"/>
  <c r="W104" i="1"/>
  <c r="Q104" i="1"/>
  <c r="K104" i="1"/>
  <c r="W103" i="1"/>
  <c r="Q103" i="1"/>
  <c r="K103" i="1"/>
  <c r="O103" i="1" s="1"/>
  <c r="O101" i="4" s="1"/>
  <c r="W102" i="1"/>
  <c r="Q102" i="1"/>
  <c r="K102" i="1"/>
  <c r="W101" i="1"/>
  <c r="Q101" i="1"/>
  <c r="K101" i="1"/>
  <c r="W100" i="1"/>
  <c r="Q100" i="1"/>
  <c r="K100" i="1"/>
  <c r="W99" i="1"/>
  <c r="Q99" i="1"/>
  <c r="K99" i="1"/>
  <c r="O99" i="1" s="1"/>
  <c r="O97" i="4" s="1"/>
  <c r="W98" i="1"/>
  <c r="Q98" i="1"/>
  <c r="K98" i="1"/>
  <c r="W97" i="1"/>
  <c r="Q97" i="1"/>
  <c r="K97" i="1"/>
  <c r="W96" i="1"/>
  <c r="Q96" i="1"/>
  <c r="K96" i="1"/>
  <c r="W95" i="1"/>
  <c r="Q95" i="1"/>
  <c r="K95" i="1"/>
  <c r="O95" i="1" s="1"/>
  <c r="O93" i="4" s="1"/>
  <c r="W94" i="1"/>
  <c r="Q94" i="1"/>
  <c r="K94" i="1"/>
  <c r="W93" i="1"/>
  <c r="Q93" i="1"/>
  <c r="K93" i="1"/>
  <c r="W92" i="1"/>
  <c r="Q92" i="1"/>
  <c r="K92" i="1"/>
  <c r="W91" i="1"/>
  <c r="Q91" i="1"/>
  <c r="K91" i="1"/>
  <c r="O91" i="1" s="1"/>
  <c r="O89" i="4" s="1"/>
  <c r="W90" i="1"/>
  <c r="Q90" i="1"/>
  <c r="K90" i="1"/>
  <c r="W89" i="1"/>
  <c r="Q89" i="1"/>
  <c r="K89" i="1"/>
  <c r="W88" i="1"/>
  <c r="Q88" i="1"/>
  <c r="K88" i="1"/>
  <c r="W87" i="1"/>
  <c r="Q87" i="1"/>
  <c r="K87" i="1"/>
  <c r="O87" i="1" s="1"/>
  <c r="O85" i="4" s="1"/>
  <c r="W86" i="1"/>
  <c r="Q86" i="1"/>
  <c r="K86" i="1"/>
  <c r="W85" i="1"/>
  <c r="Q85" i="1"/>
  <c r="K85" i="1"/>
  <c r="W84" i="1"/>
  <c r="Q84" i="1"/>
  <c r="K84" i="1"/>
  <c r="W83" i="1"/>
  <c r="Q83" i="1"/>
  <c r="K83" i="1"/>
  <c r="O83" i="1" s="1"/>
  <c r="O81" i="4" s="1"/>
  <c r="AI82" i="1"/>
  <c r="W82" i="1"/>
  <c r="Q82" i="1"/>
  <c r="K82" i="1"/>
  <c r="AI81" i="1"/>
  <c r="W81" i="1"/>
  <c r="Q81" i="1"/>
  <c r="K81" i="1"/>
  <c r="AI80" i="1"/>
  <c r="W80" i="1"/>
  <c r="Q80" i="1"/>
  <c r="K80" i="1"/>
  <c r="O80" i="1" s="1"/>
  <c r="O78" i="4" s="1"/>
  <c r="AI79" i="1"/>
  <c r="W79" i="1"/>
  <c r="Q79" i="1"/>
  <c r="K79" i="1"/>
  <c r="AI78" i="1"/>
  <c r="W78" i="1"/>
  <c r="Q78" i="1"/>
  <c r="K78" i="1"/>
  <c r="AI77" i="1"/>
  <c r="W77" i="1"/>
  <c r="Q77" i="1"/>
  <c r="K77" i="1"/>
  <c r="O77" i="1" s="1"/>
  <c r="O75" i="4" s="1"/>
  <c r="AI76" i="1"/>
  <c r="W76" i="1"/>
  <c r="Q76" i="1"/>
  <c r="K76" i="1"/>
  <c r="AI75" i="1"/>
  <c r="W75" i="1"/>
  <c r="Q75" i="1"/>
  <c r="K75" i="1"/>
  <c r="AI74" i="1"/>
  <c r="W74" i="1"/>
  <c r="Q74" i="1"/>
  <c r="K74" i="1"/>
  <c r="AI73" i="1"/>
  <c r="W73" i="1"/>
  <c r="Q73" i="1"/>
  <c r="K73" i="1"/>
  <c r="AI72" i="1"/>
  <c r="W72" i="1"/>
  <c r="Q72" i="1"/>
  <c r="K72" i="1"/>
  <c r="AI71" i="1"/>
  <c r="W71" i="1"/>
  <c r="Q71" i="1"/>
  <c r="K71" i="1"/>
  <c r="AI70" i="1"/>
  <c r="W70" i="1"/>
  <c r="Q70" i="1"/>
  <c r="K70" i="1"/>
  <c r="AI69" i="1"/>
  <c r="W69" i="1"/>
  <c r="Q69" i="1"/>
  <c r="K69" i="1"/>
  <c r="AI68" i="1"/>
  <c r="W68" i="1"/>
  <c r="Q68" i="1"/>
  <c r="K68" i="1"/>
  <c r="AI67" i="1"/>
  <c r="W67" i="1"/>
  <c r="Q67" i="1"/>
  <c r="K67" i="1"/>
  <c r="AI66" i="1"/>
  <c r="W66" i="1"/>
  <c r="Q66" i="1"/>
  <c r="K66" i="1"/>
  <c r="AI65" i="1"/>
  <c r="W65" i="1"/>
  <c r="Q65" i="1"/>
  <c r="K65" i="1"/>
  <c r="AI64" i="1"/>
  <c r="W64" i="1"/>
  <c r="Q64" i="1"/>
  <c r="K64" i="1"/>
  <c r="AI63" i="1"/>
  <c r="W63" i="1"/>
  <c r="Q63" i="1"/>
  <c r="K63" i="1"/>
  <c r="AI62" i="1"/>
  <c r="W62" i="1"/>
  <c r="Q62" i="1"/>
  <c r="K62" i="1"/>
  <c r="AI61" i="1"/>
  <c r="W61" i="1"/>
  <c r="Q61" i="1"/>
  <c r="K61" i="1"/>
  <c r="AI60" i="1"/>
  <c r="W60" i="1"/>
  <c r="Q60" i="1"/>
  <c r="K60" i="1"/>
  <c r="AI59" i="1"/>
  <c r="W59" i="1"/>
  <c r="Q59" i="1"/>
  <c r="K59" i="1"/>
  <c r="AI58" i="1"/>
  <c r="W58" i="1"/>
  <c r="Q58" i="1"/>
  <c r="K58" i="1"/>
  <c r="AI57" i="1"/>
  <c r="W57" i="1"/>
  <c r="Q57" i="1"/>
  <c r="K57" i="1"/>
  <c r="AI56" i="1"/>
  <c r="W56" i="1"/>
  <c r="Q56" i="1"/>
  <c r="K56" i="1"/>
  <c r="AI55" i="1"/>
  <c r="W55" i="1"/>
  <c r="Q55" i="1"/>
  <c r="K55" i="1"/>
  <c r="AI54" i="1"/>
  <c r="W54" i="1"/>
  <c r="Q54" i="1"/>
  <c r="K54" i="1"/>
  <c r="AI53" i="1"/>
  <c r="W53" i="1"/>
  <c r="Q53" i="1"/>
  <c r="K53" i="1"/>
  <c r="AI52" i="1"/>
  <c r="W52" i="1"/>
  <c r="Q52" i="1"/>
  <c r="K52" i="1"/>
  <c r="AI51" i="1"/>
  <c r="W51" i="1"/>
  <c r="Q51" i="1"/>
  <c r="K51" i="1"/>
  <c r="AI50" i="1"/>
  <c r="W50" i="1"/>
  <c r="Q50" i="1"/>
  <c r="K50" i="1"/>
  <c r="AI49" i="1"/>
  <c r="W49" i="1"/>
  <c r="Q49" i="1"/>
  <c r="K49" i="1"/>
  <c r="AI48" i="1"/>
  <c r="W48" i="1"/>
  <c r="Q48" i="1"/>
  <c r="K48" i="1"/>
  <c r="AI47" i="1"/>
  <c r="W47" i="1"/>
  <c r="Q47" i="1"/>
  <c r="K47" i="1"/>
  <c r="AI46" i="1"/>
  <c r="W46" i="1"/>
  <c r="Q46" i="1"/>
  <c r="K46" i="1"/>
  <c r="AI45" i="1"/>
  <c r="W45" i="1"/>
  <c r="Q45" i="1"/>
  <c r="K45" i="1"/>
  <c r="AI44" i="1"/>
  <c r="W44" i="1"/>
  <c r="Q44" i="1"/>
  <c r="K44" i="1"/>
  <c r="AI43" i="1"/>
  <c r="W43" i="1"/>
  <c r="Q43" i="1"/>
  <c r="K43" i="1"/>
  <c r="AI42" i="1"/>
  <c r="W42" i="1"/>
  <c r="Q42" i="1"/>
  <c r="K42" i="1"/>
  <c r="AI41" i="1"/>
  <c r="W41" i="1"/>
  <c r="Q41" i="1"/>
  <c r="K41" i="1"/>
  <c r="AI40" i="1"/>
  <c r="W40" i="1"/>
  <c r="Q40" i="1"/>
  <c r="K40" i="1"/>
  <c r="AI39" i="1"/>
  <c r="W39" i="1"/>
  <c r="Q39" i="1"/>
  <c r="K39" i="1"/>
  <c r="AI38" i="1"/>
  <c r="W38" i="1"/>
  <c r="Q38" i="1"/>
  <c r="K38" i="1"/>
  <c r="AI37" i="1"/>
  <c r="W37" i="1"/>
  <c r="Q37" i="1"/>
  <c r="K37" i="1"/>
  <c r="AI36" i="1"/>
  <c r="W36" i="1"/>
  <c r="Q36" i="1"/>
  <c r="K36" i="1"/>
  <c r="AI35" i="1"/>
  <c r="W35" i="1"/>
  <c r="Q35" i="1"/>
  <c r="K35" i="1"/>
  <c r="AI34" i="1"/>
  <c r="W34" i="1"/>
  <c r="Q34" i="1"/>
  <c r="K34" i="1"/>
  <c r="AI33" i="1"/>
  <c r="W33" i="1"/>
  <c r="Q33" i="1"/>
  <c r="K33" i="1"/>
  <c r="AI32" i="1"/>
  <c r="W32" i="1"/>
  <c r="Q32" i="1"/>
  <c r="K32" i="1"/>
  <c r="AI31" i="1"/>
  <c r="W31" i="1"/>
  <c r="Q31" i="1"/>
  <c r="K31" i="1"/>
  <c r="AI30" i="1"/>
  <c r="W30" i="1"/>
  <c r="Q30" i="1"/>
  <c r="K30" i="1"/>
  <c r="AI29" i="1"/>
  <c r="W29" i="1"/>
  <c r="Q29" i="1"/>
  <c r="K29" i="1"/>
  <c r="AI28" i="1"/>
  <c r="W28" i="1"/>
  <c r="Q28" i="1"/>
  <c r="K28" i="1"/>
  <c r="AI27" i="1"/>
  <c r="W27" i="1"/>
  <c r="Q27" i="1"/>
  <c r="K27" i="1"/>
  <c r="AI26" i="1"/>
  <c r="W26" i="1"/>
  <c r="Q26" i="1"/>
  <c r="K26" i="1"/>
  <c r="AI25" i="1"/>
  <c r="W25" i="1"/>
  <c r="Q25" i="1"/>
  <c r="K25" i="1"/>
  <c r="AI24" i="1"/>
  <c r="W24" i="1"/>
  <c r="Q24" i="1"/>
  <c r="K24" i="1"/>
  <c r="AI23" i="1"/>
  <c r="W23" i="1"/>
  <c r="Q23" i="1"/>
  <c r="K23" i="1"/>
  <c r="AI22" i="1"/>
  <c r="W22" i="1"/>
  <c r="Q22" i="1"/>
  <c r="K22" i="1"/>
  <c r="AI21" i="1"/>
  <c r="W21" i="1"/>
  <c r="Q21" i="1"/>
  <c r="K21" i="1"/>
  <c r="AI20" i="1"/>
  <c r="W20" i="1"/>
  <c r="Q20" i="1"/>
  <c r="K20" i="1"/>
  <c r="AI19" i="1"/>
  <c r="W19" i="1"/>
  <c r="Q19" i="1"/>
  <c r="K19" i="1"/>
  <c r="AI18" i="1"/>
  <c r="W18" i="1"/>
  <c r="Q18" i="1"/>
  <c r="K18" i="1"/>
  <c r="AI17" i="1"/>
  <c r="W17" i="1"/>
  <c r="Q17" i="1"/>
  <c r="K17" i="1"/>
  <c r="O17" i="1" s="1"/>
  <c r="O15" i="4" s="1"/>
  <c r="AI16" i="1"/>
  <c r="AC16" i="1"/>
  <c r="W16" i="1"/>
  <c r="Q16" i="1"/>
  <c r="K16" i="1"/>
  <c r="AI15" i="1"/>
  <c r="AC15" i="1"/>
  <c r="W15" i="1"/>
  <c r="Q15" i="1"/>
  <c r="K15" i="1"/>
  <c r="AI14" i="1"/>
  <c r="AC14" i="1"/>
  <c r="W14" i="1"/>
  <c r="Q14" i="1"/>
  <c r="K14" i="1"/>
  <c r="AI13" i="1"/>
  <c r="AC13" i="1"/>
  <c r="W13" i="1"/>
  <c r="Q13" i="1"/>
  <c r="K13" i="1"/>
  <c r="AI12" i="1"/>
  <c r="AC12" i="1"/>
  <c r="W12" i="1"/>
  <c r="Q12" i="1"/>
  <c r="K12" i="1"/>
  <c r="AI11" i="1"/>
  <c r="AC11" i="1"/>
  <c r="W11" i="1"/>
  <c r="Q11" i="1"/>
  <c r="K11" i="1"/>
  <c r="AI10" i="1"/>
  <c r="AC10" i="1"/>
  <c r="W10" i="1"/>
  <c r="Q10" i="1"/>
  <c r="K10" i="1"/>
  <c r="AI9" i="1"/>
  <c r="AC9" i="1"/>
  <c r="W9" i="1"/>
  <c r="Q9" i="1"/>
  <c r="K9" i="1"/>
  <c r="AI8" i="1"/>
  <c r="AC8" i="1"/>
  <c r="W8" i="1"/>
  <c r="Q8" i="1"/>
  <c r="K8" i="1"/>
  <c r="AI7" i="1"/>
  <c r="AC7" i="1"/>
  <c r="W7" i="1"/>
  <c r="Q7" i="1"/>
  <c r="K7" i="1"/>
  <c r="AI6" i="1"/>
  <c r="AC6" i="1"/>
  <c r="W6" i="1"/>
  <c r="Q6" i="1"/>
  <c r="K6" i="1"/>
  <c r="AI5" i="1"/>
  <c r="AC5" i="1"/>
  <c r="K5" i="1"/>
  <c r="O26" i="1" l="1"/>
  <c r="O24" i="4" s="1"/>
  <c r="O38" i="1"/>
  <c r="O36" i="4" s="1"/>
  <c r="O50" i="1"/>
  <c r="O48" i="4" s="1"/>
  <c r="O71" i="1"/>
  <c r="O69" i="4" s="1"/>
  <c r="O74" i="1"/>
  <c r="O72" i="4" s="1"/>
  <c r="O29" i="1"/>
  <c r="O27" i="4" s="1"/>
  <c r="O44" i="1"/>
  <c r="O42" i="4" s="1"/>
  <c r="O62" i="1"/>
  <c r="O60" i="4" s="1"/>
  <c r="O143" i="1"/>
  <c r="O141" i="4" s="1"/>
  <c r="O23" i="1"/>
  <c r="O21" i="4" s="1"/>
  <c r="O41" i="1"/>
  <c r="O39" i="4" s="1"/>
  <c r="O20" i="1"/>
  <c r="O18" i="4" s="1"/>
  <c r="O32" i="1"/>
  <c r="O30" i="4" s="1"/>
  <c r="O47" i="1"/>
  <c r="O45" i="4" s="1"/>
  <c r="O68" i="1"/>
  <c r="O66" i="4" s="1"/>
  <c r="O65" i="1"/>
  <c r="O63" i="4" s="1"/>
  <c r="O59" i="1"/>
  <c r="O57" i="4" s="1"/>
  <c r="O56" i="1"/>
  <c r="O54" i="4" s="1"/>
  <c r="O35" i="1"/>
  <c r="O33" i="4" s="1"/>
  <c r="O53" i="1"/>
  <c r="O51" i="4" s="1"/>
  <c r="O191" i="1"/>
  <c r="O189" i="4" s="1"/>
  <c r="O199" i="1"/>
  <c r="O197" i="4" s="1"/>
  <c r="O183" i="1"/>
  <c r="O181" i="4" s="1"/>
  <c r="O228" i="1"/>
  <c r="O226" i="4" s="1"/>
  <c r="O5" i="1"/>
  <c r="O3" i="4" s="1"/>
  <c r="O15" i="1"/>
  <c r="O13" i="4" s="1"/>
  <c r="O8" i="1"/>
  <c r="O6" i="4" s="1"/>
  <c r="O84" i="1"/>
  <c r="O82" i="4" s="1"/>
  <c r="O88" i="1"/>
  <c r="O86" i="4" s="1"/>
  <c r="O92" i="1"/>
  <c r="O90" i="4" s="1"/>
  <c r="O96" i="1"/>
  <c r="O94" i="4" s="1"/>
  <c r="O100" i="1"/>
  <c r="O98" i="4" s="1"/>
  <c r="O104" i="1"/>
  <c r="O102" i="4" s="1"/>
  <c r="O108" i="1"/>
  <c r="O106" i="4" s="1"/>
  <c r="O112" i="1"/>
  <c r="O110" i="4" s="1"/>
  <c r="O116" i="1"/>
  <c r="O114" i="4" s="1"/>
  <c r="O120" i="1"/>
  <c r="O118" i="4" s="1"/>
  <c r="O124" i="1"/>
  <c r="O122" i="4" s="1"/>
  <c r="O128" i="1"/>
  <c r="O126" i="4" s="1"/>
  <c r="O132" i="1"/>
  <c r="O130" i="4" s="1"/>
  <c r="O136" i="1"/>
  <c r="O134" i="4" s="1"/>
  <c r="O140" i="1"/>
  <c r="O138" i="4" s="1"/>
  <c r="O144" i="1"/>
  <c r="O142" i="4" s="1"/>
  <c r="O148" i="1"/>
  <c r="O146" i="4" s="1"/>
  <c r="O152" i="1"/>
  <c r="O150" i="4" s="1"/>
  <c r="O156" i="1"/>
  <c r="O154" i="4" s="1"/>
  <c r="O160" i="1"/>
  <c r="O158" i="4" s="1"/>
  <c r="O164" i="1"/>
  <c r="O162" i="4" s="1"/>
  <c r="O168" i="1"/>
  <c r="O166" i="4" s="1"/>
  <c r="O172" i="1"/>
  <c r="O170" i="4" s="1"/>
  <c r="O176" i="1"/>
  <c r="O174" i="4" s="1"/>
  <c r="O180" i="1"/>
  <c r="O178" i="4" s="1"/>
  <c r="O184" i="1"/>
  <c r="O182" i="4" s="1"/>
  <c r="O188" i="1"/>
  <c r="O186" i="4" s="1"/>
  <c r="O192" i="1"/>
  <c r="O190" i="4" s="1"/>
  <c r="O196" i="1"/>
  <c r="O194" i="4" s="1"/>
  <c r="O200" i="1"/>
  <c r="O198" i="4" s="1"/>
  <c r="O204" i="1"/>
  <c r="O202" i="4" s="1"/>
  <c r="O208" i="1"/>
  <c r="O206" i="4" s="1"/>
  <c r="O212" i="1"/>
  <c r="O210" i="4" s="1"/>
  <c r="O216" i="1"/>
  <c r="O214" i="4" s="1"/>
  <c r="O220" i="1"/>
  <c r="O218" i="4" s="1"/>
  <c r="O224" i="1"/>
  <c r="O222" i="4" s="1"/>
  <c r="O24" i="1"/>
  <c r="O22" i="4" s="1"/>
  <c r="O36" i="1"/>
  <c r="O34" i="4" s="1"/>
  <c r="O42" i="1"/>
  <c r="O40" i="4" s="1"/>
  <c r="O45" i="1"/>
  <c r="O43" i="4" s="1"/>
  <c r="O48" i="1"/>
  <c r="O46" i="4" s="1"/>
  <c r="O51" i="1"/>
  <c r="O49" i="4" s="1"/>
  <c r="O54" i="1"/>
  <c r="O52" i="4" s="1"/>
  <c r="O57" i="1"/>
  <c r="O55" i="4" s="1"/>
  <c r="O60" i="1"/>
  <c r="O58" i="4" s="1"/>
  <c r="O63" i="1"/>
  <c r="O61" i="4" s="1"/>
  <c r="O66" i="1"/>
  <c r="O64" i="4" s="1"/>
  <c r="O69" i="1"/>
  <c r="O67" i="4" s="1"/>
  <c r="O72" i="1"/>
  <c r="O70" i="4" s="1"/>
  <c r="O75" i="1"/>
  <c r="O73" i="4" s="1"/>
  <c r="O78" i="1"/>
  <c r="O76" i="4" s="1"/>
  <c r="O81" i="1"/>
  <c r="O79" i="4" s="1"/>
  <c r="O13" i="1"/>
  <c r="O11" i="4" s="1"/>
  <c r="O33" i="1"/>
  <c r="O31" i="4" s="1"/>
  <c r="O21" i="1"/>
  <c r="O19" i="4" s="1"/>
  <c r="O39" i="1"/>
  <c r="O37" i="4" s="1"/>
  <c r="O11" i="1"/>
  <c r="O9" i="4" s="1"/>
  <c r="O85" i="1"/>
  <c r="O83" i="4" s="1"/>
  <c r="O89" i="1"/>
  <c r="O87" i="4" s="1"/>
  <c r="O93" i="1"/>
  <c r="O91" i="4" s="1"/>
  <c r="O97" i="1"/>
  <c r="O95" i="4" s="1"/>
  <c r="O101" i="1"/>
  <c r="O99" i="4" s="1"/>
  <c r="O105" i="1"/>
  <c r="O103" i="4" s="1"/>
  <c r="O109" i="1"/>
  <c r="O107" i="4" s="1"/>
  <c r="O113" i="1"/>
  <c r="O111" i="4" s="1"/>
  <c r="O117" i="1"/>
  <c r="O115" i="4" s="1"/>
  <c r="O121" i="1"/>
  <c r="O119" i="4" s="1"/>
  <c r="O125" i="1"/>
  <c r="O123" i="4" s="1"/>
  <c r="O129" i="1"/>
  <c r="O127" i="4" s="1"/>
  <c r="O133" i="1"/>
  <c r="O131" i="4" s="1"/>
  <c r="O137" i="1"/>
  <c r="O135" i="4" s="1"/>
  <c r="O141" i="1"/>
  <c r="O139" i="4" s="1"/>
  <c r="O145" i="1"/>
  <c r="O143" i="4" s="1"/>
  <c r="O149" i="1"/>
  <c r="O147" i="4" s="1"/>
  <c r="O153" i="1"/>
  <c r="O151" i="4" s="1"/>
  <c r="O157" i="1"/>
  <c r="O155" i="4" s="1"/>
  <c r="O161" i="1"/>
  <c r="O159" i="4" s="1"/>
  <c r="O165" i="1"/>
  <c r="O163" i="4" s="1"/>
  <c r="O169" i="1"/>
  <c r="O167" i="4" s="1"/>
  <c r="O173" i="1"/>
  <c r="O171" i="4" s="1"/>
  <c r="O177" i="1"/>
  <c r="O175" i="4" s="1"/>
  <c r="O181" i="1"/>
  <c r="O179" i="4" s="1"/>
  <c r="O185" i="1"/>
  <c r="O183" i="4" s="1"/>
  <c r="O189" i="1"/>
  <c r="O187" i="4" s="1"/>
  <c r="O193" i="1"/>
  <c r="O191" i="4" s="1"/>
  <c r="O197" i="1"/>
  <c r="O195" i="4" s="1"/>
  <c r="O201" i="1"/>
  <c r="O199" i="4" s="1"/>
  <c r="O205" i="1"/>
  <c r="O203" i="4" s="1"/>
  <c r="O209" i="1"/>
  <c r="O207" i="4" s="1"/>
  <c r="O213" i="1"/>
  <c r="O211" i="4" s="1"/>
  <c r="O217" i="1"/>
  <c r="O215" i="4" s="1"/>
  <c r="O221" i="1"/>
  <c r="O219" i="4" s="1"/>
  <c r="O225" i="1"/>
  <c r="O223" i="4" s="1"/>
  <c r="O27" i="1"/>
  <c r="O25" i="4" s="1"/>
  <c r="O6" i="1"/>
  <c r="O4" i="4" s="1"/>
  <c r="O16" i="1"/>
  <c r="O14" i="4" s="1"/>
  <c r="O18" i="1"/>
  <c r="O16" i="4" s="1"/>
  <c r="O30" i="1"/>
  <c r="O28" i="4" s="1"/>
  <c r="O9" i="1"/>
  <c r="O7" i="4" s="1"/>
  <c r="O19" i="1"/>
  <c r="O17" i="4" s="1"/>
  <c r="O22" i="1"/>
  <c r="O20" i="4" s="1"/>
  <c r="O25" i="1"/>
  <c r="O23" i="4" s="1"/>
  <c r="O28" i="1"/>
  <c r="O26" i="4" s="1"/>
  <c r="O31" i="1"/>
  <c r="O29" i="4" s="1"/>
  <c r="O34" i="1"/>
  <c r="O32" i="4" s="1"/>
  <c r="O37" i="1"/>
  <c r="O35" i="4" s="1"/>
  <c r="O40" i="1"/>
  <c r="O38" i="4" s="1"/>
  <c r="O43" i="1"/>
  <c r="O41" i="4" s="1"/>
  <c r="O46" i="1"/>
  <c r="O44" i="4" s="1"/>
  <c r="O49" i="1"/>
  <c r="O47" i="4" s="1"/>
  <c r="O52" i="1"/>
  <c r="O50" i="4" s="1"/>
  <c r="O55" i="1"/>
  <c r="O53" i="4" s="1"/>
  <c r="O58" i="1"/>
  <c r="O56" i="4" s="1"/>
  <c r="O61" i="1"/>
  <c r="O59" i="4" s="1"/>
  <c r="O64" i="1"/>
  <c r="O62" i="4" s="1"/>
  <c r="O67" i="1"/>
  <c r="O65" i="4" s="1"/>
  <c r="O70" i="1"/>
  <c r="O68" i="4" s="1"/>
  <c r="O73" i="1"/>
  <c r="O71" i="4" s="1"/>
  <c r="O76" i="1"/>
  <c r="O74" i="4" s="1"/>
  <c r="O79" i="1"/>
  <c r="O77" i="4" s="1"/>
  <c r="O82" i="1"/>
  <c r="O80" i="4" s="1"/>
  <c r="O187" i="1"/>
  <c r="O185" i="4" s="1"/>
  <c r="O10" i="1"/>
  <c r="O8" i="4" s="1"/>
  <c r="O86" i="1"/>
  <c r="O84" i="4" s="1"/>
  <c r="O90" i="1"/>
  <c r="O88" i="4" s="1"/>
  <c r="O94" i="1"/>
  <c r="O92" i="4" s="1"/>
  <c r="O98" i="1"/>
  <c r="O96" i="4" s="1"/>
  <c r="O102" i="1"/>
  <c r="O100" i="4" s="1"/>
  <c r="O106" i="1"/>
  <c r="O104" i="4" s="1"/>
  <c r="O110" i="1"/>
  <c r="O108" i="4" s="1"/>
  <c r="O114" i="1"/>
  <c r="O112" i="4" s="1"/>
  <c r="O118" i="1"/>
  <c r="O116" i="4" s="1"/>
  <c r="O122" i="1"/>
  <c r="O120" i="4" s="1"/>
  <c r="O126" i="1"/>
  <c r="O124" i="4" s="1"/>
  <c r="O130" i="1"/>
  <c r="O128" i="4" s="1"/>
  <c r="O134" i="1"/>
  <c r="O132" i="4" s="1"/>
  <c r="O138" i="1"/>
  <c r="O136" i="4" s="1"/>
  <c r="O142" i="1"/>
  <c r="O140" i="4" s="1"/>
  <c r="O146" i="1"/>
  <c r="O144" i="4" s="1"/>
  <c r="O150" i="1"/>
  <c r="O148" i="4" s="1"/>
  <c r="O154" i="1"/>
  <c r="O152" i="4" s="1"/>
  <c r="O158" i="1"/>
  <c r="O156" i="4" s="1"/>
  <c r="O162" i="1"/>
  <c r="O160" i="4" s="1"/>
  <c r="O166" i="1"/>
  <c r="O164" i="4" s="1"/>
  <c r="O170" i="1"/>
  <c r="O168" i="4" s="1"/>
  <c r="O174" i="1"/>
  <c r="O172" i="4" s="1"/>
  <c r="O178" i="1"/>
  <c r="O176" i="4" s="1"/>
  <c r="O182" i="1"/>
  <c r="O180" i="4" s="1"/>
  <c r="O186" i="1"/>
  <c r="O184" i="4" s="1"/>
  <c r="O190" i="1"/>
  <c r="O188" i="4" s="1"/>
  <c r="O194" i="1"/>
  <c r="O192" i="4" s="1"/>
  <c r="O198" i="1"/>
  <c r="O196" i="4" s="1"/>
  <c r="O202" i="1"/>
  <c r="O200" i="4" s="1"/>
  <c r="O206" i="1"/>
  <c r="O204" i="4" s="1"/>
  <c r="O210" i="1"/>
  <c r="O208" i="4" s="1"/>
  <c r="O214" i="1"/>
  <c r="O212" i="4" s="1"/>
  <c r="O218" i="1"/>
  <c r="O216" i="4" s="1"/>
  <c r="O222" i="1"/>
  <c r="O220" i="4" s="1"/>
  <c r="O226" i="1"/>
  <c r="O224" i="4" s="1"/>
  <c r="O14" i="1"/>
  <c r="O12" i="4" s="1"/>
  <c r="O7" i="1"/>
  <c r="O5" i="4" s="1"/>
  <c r="O12" i="1"/>
  <c r="O10" i="4" s="1"/>
  <c r="AA19" i="1"/>
  <c r="Y17" i="4" s="1"/>
  <c r="Z19" i="1"/>
  <c r="X17" i="4" s="1"/>
  <c r="X19" i="1"/>
  <c r="V17" i="4" s="1"/>
  <c r="Y19" i="1"/>
  <c r="W17" i="4" s="1"/>
  <c r="X49" i="1"/>
  <c r="V47" i="4" s="1"/>
  <c r="Y49" i="1"/>
  <c r="W47" i="4" s="1"/>
  <c r="Z49" i="1"/>
  <c r="X47" i="4" s="1"/>
  <c r="AA49" i="1"/>
  <c r="Y47" i="4" s="1"/>
  <c r="S86" i="1"/>
  <c r="R84" i="4" s="1"/>
  <c r="T86" i="1"/>
  <c r="S84" i="4" s="1"/>
  <c r="R86" i="1"/>
  <c r="Q84" i="4" s="1"/>
  <c r="U86" i="1"/>
  <c r="T84" i="4" s="1"/>
  <c r="S146" i="1"/>
  <c r="R144" i="4" s="1"/>
  <c r="U146" i="1"/>
  <c r="T144" i="4" s="1"/>
  <c r="T146" i="1"/>
  <c r="S144" i="4" s="1"/>
  <c r="R146" i="1"/>
  <c r="Q144" i="4" s="1"/>
  <c r="AG14" i="1"/>
  <c r="J12" i="4" s="1"/>
  <c r="AE14" i="1"/>
  <c r="H12" i="4" s="1"/>
  <c r="AF14" i="1"/>
  <c r="I12" i="4" s="1"/>
  <c r="AD14" i="1"/>
  <c r="G12" i="4" s="1"/>
  <c r="L44" i="1"/>
  <c r="L42" i="4" s="1"/>
  <c r="M44" i="1"/>
  <c r="M42" i="4" s="1"/>
  <c r="N44" i="1"/>
  <c r="N42" i="4" s="1"/>
  <c r="M59" i="1"/>
  <c r="M57" i="4" s="1"/>
  <c r="N59" i="1"/>
  <c r="N57" i="4" s="1"/>
  <c r="L59" i="1"/>
  <c r="L57" i="4" s="1"/>
  <c r="N77" i="1"/>
  <c r="N75" i="4" s="1"/>
  <c r="M77" i="1"/>
  <c r="M75" i="4" s="1"/>
  <c r="L77" i="1"/>
  <c r="L75" i="4" s="1"/>
  <c r="L103" i="1"/>
  <c r="L101" i="4" s="1"/>
  <c r="N103" i="1"/>
  <c r="N101" i="4" s="1"/>
  <c r="M103" i="1"/>
  <c r="M101" i="4" s="1"/>
  <c r="L111" i="1"/>
  <c r="L109" i="4" s="1"/>
  <c r="M111" i="1"/>
  <c r="M109" i="4" s="1"/>
  <c r="N111" i="1"/>
  <c r="N109" i="4" s="1"/>
  <c r="L115" i="1"/>
  <c r="L113" i="4" s="1"/>
  <c r="N115" i="1"/>
  <c r="N113" i="4" s="1"/>
  <c r="M115" i="1"/>
  <c r="M113" i="4" s="1"/>
  <c r="L119" i="1"/>
  <c r="L117" i="4" s="1"/>
  <c r="N119" i="1"/>
  <c r="N117" i="4" s="1"/>
  <c r="M119" i="1"/>
  <c r="M117" i="4" s="1"/>
  <c r="L123" i="1"/>
  <c r="L121" i="4" s="1"/>
  <c r="N123" i="1"/>
  <c r="N121" i="4" s="1"/>
  <c r="M123" i="1"/>
  <c r="M121" i="4" s="1"/>
  <c r="L139" i="1"/>
  <c r="L137" i="4" s="1"/>
  <c r="N139" i="1"/>
  <c r="N137" i="4" s="1"/>
  <c r="M139" i="1"/>
  <c r="M137" i="4" s="1"/>
  <c r="N163" i="1"/>
  <c r="N161" i="4" s="1"/>
  <c r="M163" i="1"/>
  <c r="M161" i="4" s="1"/>
  <c r="L163" i="1"/>
  <c r="L161" i="4" s="1"/>
  <c r="L171" i="1"/>
  <c r="L169" i="4" s="1"/>
  <c r="M171" i="1"/>
  <c r="M169" i="4" s="1"/>
  <c r="N171" i="1"/>
  <c r="N169" i="4" s="1"/>
  <c r="L175" i="1"/>
  <c r="L173" i="4" s="1"/>
  <c r="M175" i="1"/>
  <c r="M173" i="4" s="1"/>
  <c r="N175" i="1"/>
  <c r="N173" i="4" s="1"/>
  <c r="L179" i="1"/>
  <c r="L177" i="4" s="1"/>
  <c r="N179" i="1"/>
  <c r="N177" i="4" s="1"/>
  <c r="M179" i="1"/>
  <c r="M177" i="4" s="1"/>
  <c r="L183" i="1"/>
  <c r="L181" i="4" s="1"/>
  <c r="M183" i="1"/>
  <c r="M181" i="4" s="1"/>
  <c r="N183" i="1"/>
  <c r="N181" i="4" s="1"/>
  <c r="L187" i="1"/>
  <c r="L185" i="4" s="1"/>
  <c r="M187" i="1"/>
  <c r="M185" i="4" s="1"/>
  <c r="N187" i="1"/>
  <c r="N185" i="4" s="1"/>
  <c r="L191" i="1"/>
  <c r="L189" i="4" s="1"/>
  <c r="M191" i="1"/>
  <c r="M189" i="4" s="1"/>
  <c r="N191" i="1"/>
  <c r="N189" i="4" s="1"/>
  <c r="L195" i="1"/>
  <c r="L193" i="4" s="1"/>
  <c r="M195" i="1"/>
  <c r="M193" i="4" s="1"/>
  <c r="N195" i="1"/>
  <c r="N193" i="4" s="1"/>
  <c r="L199" i="1"/>
  <c r="L197" i="4" s="1"/>
  <c r="N199" i="1"/>
  <c r="N197" i="4" s="1"/>
  <c r="M199" i="1"/>
  <c r="M197" i="4" s="1"/>
  <c r="L203" i="1"/>
  <c r="L201" i="4" s="1"/>
  <c r="M203" i="1"/>
  <c r="M201" i="4" s="1"/>
  <c r="N203" i="1"/>
  <c r="N201" i="4" s="1"/>
  <c r="L207" i="1"/>
  <c r="L205" i="4" s="1"/>
  <c r="N207" i="1"/>
  <c r="N205" i="4" s="1"/>
  <c r="M207" i="1"/>
  <c r="M205" i="4" s="1"/>
  <c r="L211" i="1"/>
  <c r="L209" i="4" s="1"/>
  <c r="M211" i="1"/>
  <c r="M209" i="4" s="1"/>
  <c r="N211" i="1"/>
  <c r="N209" i="4" s="1"/>
  <c r="L215" i="1"/>
  <c r="L213" i="4" s="1"/>
  <c r="M215" i="1"/>
  <c r="M213" i="4" s="1"/>
  <c r="N215" i="1"/>
  <c r="N213" i="4" s="1"/>
  <c r="L219" i="1"/>
  <c r="L217" i="4" s="1"/>
  <c r="N219" i="1"/>
  <c r="N217" i="4" s="1"/>
  <c r="M219" i="1"/>
  <c r="M217" i="4" s="1"/>
  <c r="L223" i="1"/>
  <c r="L221" i="4" s="1"/>
  <c r="N223" i="1"/>
  <c r="N221" i="4" s="1"/>
  <c r="M223" i="1"/>
  <c r="M221" i="4" s="1"/>
  <c r="L227" i="1"/>
  <c r="L225" i="4" s="1"/>
  <c r="N227" i="1"/>
  <c r="N225" i="4" s="1"/>
  <c r="M227" i="1"/>
  <c r="M225" i="4" s="1"/>
  <c r="Y28" i="1"/>
  <c r="W26" i="4" s="1"/>
  <c r="AA28" i="1"/>
  <c r="Y26" i="4" s="1"/>
  <c r="X28" i="1"/>
  <c r="V26" i="4" s="1"/>
  <c r="Z28" i="1"/>
  <c r="X26" i="4" s="1"/>
  <c r="AA55" i="1"/>
  <c r="Y53" i="4" s="1"/>
  <c r="Y55" i="1"/>
  <c r="W53" i="4" s="1"/>
  <c r="X55" i="1"/>
  <c r="V53" i="4" s="1"/>
  <c r="Z55" i="1"/>
  <c r="X53" i="4" s="1"/>
  <c r="AA76" i="1"/>
  <c r="Y74" i="4" s="1"/>
  <c r="Y76" i="1"/>
  <c r="W74" i="4" s="1"/>
  <c r="Z76" i="1"/>
  <c r="X74" i="4" s="1"/>
  <c r="X76" i="1"/>
  <c r="V74" i="4" s="1"/>
  <c r="AA82" i="1"/>
  <c r="Y80" i="4" s="1"/>
  <c r="Z82" i="1"/>
  <c r="X80" i="4" s="1"/>
  <c r="X82" i="1"/>
  <c r="V80" i="4" s="1"/>
  <c r="Y82" i="1"/>
  <c r="W80" i="4" s="1"/>
  <c r="S122" i="1"/>
  <c r="R120" i="4" s="1"/>
  <c r="R122" i="1"/>
  <c r="Q120" i="4" s="1"/>
  <c r="T122" i="1"/>
  <c r="S120" i="4" s="1"/>
  <c r="U122" i="1"/>
  <c r="T120" i="4" s="1"/>
  <c r="R150" i="1"/>
  <c r="Q148" i="4" s="1"/>
  <c r="S150" i="1"/>
  <c r="R148" i="4" s="1"/>
  <c r="T150" i="1"/>
  <c r="S148" i="4" s="1"/>
  <c r="U150" i="1"/>
  <c r="T148" i="4" s="1"/>
  <c r="L17" i="1"/>
  <c r="L15" i="4" s="1"/>
  <c r="N17" i="1"/>
  <c r="N15" i="4" s="1"/>
  <c r="M17" i="1"/>
  <c r="M15" i="4" s="1"/>
  <c r="L56" i="1"/>
  <c r="L54" i="4" s="1"/>
  <c r="N56" i="1"/>
  <c r="N54" i="4" s="1"/>
  <c r="M56" i="1"/>
  <c r="M54" i="4" s="1"/>
  <c r="L95" i="1"/>
  <c r="L93" i="4" s="1"/>
  <c r="N95" i="1"/>
  <c r="N93" i="4" s="1"/>
  <c r="M95" i="1"/>
  <c r="M93" i="4" s="1"/>
  <c r="L135" i="1"/>
  <c r="L133" i="4" s="1"/>
  <c r="N135" i="1"/>
  <c r="N133" i="4" s="1"/>
  <c r="M135" i="1"/>
  <c r="M133" i="4" s="1"/>
  <c r="R17" i="1"/>
  <c r="Q15" i="4" s="1"/>
  <c r="U17" i="1"/>
  <c r="T15" i="4" s="1"/>
  <c r="S17" i="1"/>
  <c r="R15" i="4" s="1"/>
  <c r="T17" i="1"/>
  <c r="S15" i="4" s="1"/>
  <c r="R47" i="1"/>
  <c r="Q45" i="4" s="1"/>
  <c r="T47" i="1"/>
  <c r="S45" i="4" s="1"/>
  <c r="S47" i="1"/>
  <c r="R45" i="4" s="1"/>
  <c r="U47" i="1"/>
  <c r="T45" i="4" s="1"/>
  <c r="S74" i="1"/>
  <c r="R72" i="4" s="1"/>
  <c r="U74" i="1"/>
  <c r="T72" i="4" s="1"/>
  <c r="T74" i="1"/>
  <c r="S72" i="4" s="1"/>
  <c r="R74" i="1"/>
  <c r="Q72" i="4" s="1"/>
  <c r="R111" i="1"/>
  <c r="Q109" i="4" s="1"/>
  <c r="S111" i="1"/>
  <c r="R109" i="4" s="1"/>
  <c r="T111" i="1"/>
  <c r="S109" i="4" s="1"/>
  <c r="U111" i="1"/>
  <c r="T109" i="4" s="1"/>
  <c r="T143" i="1"/>
  <c r="S141" i="4" s="1"/>
  <c r="U143" i="1"/>
  <c r="T141" i="4" s="1"/>
  <c r="R143" i="1"/>
  <c r="Q141" i="4" s="1"/>
  <c r="S143" i="1"/>
  <c r="R141" i="4" s="1"/>
  <c r="S175" i="1"/>
  <c r="R173" i="4" s="1"/>
  <c r="T175" i="1"/>
  <c r="S173" i="4" s="1"/>
  <c r="R175" i="1"/>
  <c r="Q173" i="4" s="1"/>
  <c r="U175" i="1"/>
  <c r="T173" i="4" s="1"/>
  <c r="T179" i="1"/>
  <c r="S177" i="4" s="1"/>
  <c r="R179" i="1"/>
  <c r="Q177" i="4" s="1"/>
  <c r="S179" i="1"/>
  <c r="R177" i="4" s="1"/>
  <c r="U179" i="1"/>
  <c r="T177" i="4" s="1"/>
  <c r="R183" i="1"/>
  <c r="Q181" i="4" s="1"/>
  <c r="S183" i="1"/>
  <c r="R181" i="4" s="1"/>
  <c r="T183" i="1"/>
  <c r="S181" i="4" s="1"/>
  <c r="U183" i="1"/>
  <c r="T181" i="4" s="1"/>
  <c r="U219" i="1"/>
  <c r="T217" i="4" s="1"/>
  <c r="T219" i="1"/>
  <c r="S217" i="4" s="1"/>
  <c r="R219" i="1"/>
  <c r="Q217" i="4" s="1"/>
  <c r="S219" i="1"/>
  <c r="R217" i="4" s="1"/>
  <c r="R223" i="1"/>
  <c r="Q221" i="4" s="1"/>
  <c r="S223" i="1"/>
  <c r="R221" i="4" s="1"/>
  <c r="T223" i="1"/>
  <c r="S221" i="4" s="1"/>
  <c r="U223" i="1"/>
  <c r="T221" i="4" s="1"/>
  <c r="R227" i="1"/>
  <c r="Q225" i="4" s="1"/>
  <c r="S227" i="1"/>
  <c r="R225" i="4" s="1"/>
  <c r="U227" i="1"/>
  <c r="T225" i="4" s="1"/>
  <c r="T227" i="1"/>
  <c r="S225" i="4" s="1"/>
  <c r="N7" i="1"/>
  <c r="N5" i="4" s="1"/>
  <c r="M7" i="1"/>
  <c r="M5" i="4" s="1"/>
  <c r="L7" i="1"/>
  <c r="L5" i="4" s="1"/>
  <c r="X37" i="1"/>
  <c r="V35" i="4" s="1"/>
  <c r="Z37" i="1"/>
  <c r="X35" i="4" s="1"/>
  <c r="AA37" i="1"/>
  <c r="Y35" i="4" s="1"/>
  <c r="Y37" i="1"/>
  <c r="W35" i="4" s="1"/>
  <c r="AA70" i="1"/>
  <c r="Y68" i="4" s="1"/>
  <c r="Z70" i="1"/>
  <c r="X68" i="4" s="1"/>
  <c r="X70" i="1"/>
  <c r="V68" i="4" s="1"/>
  <c r="Y70" i="1"/>
  <c r="W68" i="4" s="1"/>
  <c r="S118" i="1"/>
  <c r="R116" i="4" s="1"/>
  <c r="T118" i="1"/>
  <c r="S116" i="4" s="1"/>
  <c r="R118" i="1"/>
  <c r="Q116" i="4" s="1"/>
  <c r="U118" i="1"/>
  <c r="T116" i="4" s="1"/>
  <c r="R166" i="1"/>
  <c r="Q164" i="4" s="1"/>
  <c r="U166" i="1"/>
  <c r="T164" i="4" s="1"/>
  <c r="S166" i="1"/>
  <c r="R164" i="4" s="1"/>
  <c r="T166" i="1"/>
  <c r="S164" i="4" s="1"/>
  <c r="L20" i="1"/>
  <c r="L18" i="4" s="1"/>
  <c r="M20" i="1"/>
  <c r="M18" i="4" s="1"/>
  <c r="N20" i="1"/>
  <c r="N18" i="4" s="1"/>
  <c r="M38" i="1"/>
  <c r="M36" i="4" s="1"/>
  <c r="N38" i="1"/>
  <c r="N36" i="4" s="1"/>
  <c r="L38" i="1"/>
  <c r="L36" i="4" s="1"/>
  <c r="M68" i="1"/>
  <c r="M66" i="4" s="1"/>
  <c r="N68" i="1"/>
  <c r="N66" i="4" s="1"/>
  <c r="L68" i="1"/>
  <c r="L66" i="4" s="1"/>
  <c r="L99" i="1"/>
  <c r="L97" i="4" s="1"/>
  <c r="N99" i="1"/>
  <c r="N97" i="4" s="1"/>
  <c r="M99" i="1"/>
  <c r="M97" i="4" s="1"/>
  <c r="L159" i="1"/>
  <c r="L157" i="4" s="1"/>
  <c r="M159" i="1"/>
  <c r="M157" i="4" s="1"/>
  <c r="N159" i="1"/>
  <c r="N157" i="4" s="1"/>
  <c r="X12" i="1"/>
  <c r="V10" i="4" s="1"/>
  <c r="Y12" i="1"/>
  <c r="W10" i="4" s="1"/>
  <c r="AA12" i="1"/>
  <c r="Y10" i="4" s="1"/>
  <c r="Z12" i="1"/>
  <c r="X10" i="4" s="1"/>
  <c r="R32" i="1"/>
  <c r="Q30" i="4" s="1"/>
  <c r="U32" i="1"/>
  <c r="T30" i="4" s="1"/>
  <c r="S32" i="1"/>
  <c r="R30" i="4" s="1"/>
  <c r="T32" i="1"/>
  <c r="S30" i="4" s="1"/>
  <c r="R62" i="1"/>
  <c r="Q60" i="4" s="1"/>
  <c r="S62" i="1"/>
  <c r="R60" i="4" s="1"/>
  <c r="T62" i="1"/>
  <c r="S60" i="4" s="1"/>
  <c r="U62" i="1"/>
  <c r="T60" i="4" s="1"/>
  <c r="U91" i="1"/>
  <c r="T89" i="4" s="1"/>
  <c r="R91" i="1"/>
  <c r="Q89" i="4" s="1"/>
  <c r="S91" i="1"/>
  <c r="R89" i="4" s="1"/>
  <c r="T91" i="1"/>
  <c r="S89" i="4" s="1"/>
  <c r="R123" i="1"/>
  <c r="Q121" i="4" s="1"/>
  <c r="S123" i="1"/>
  <c r="R121" i="4" s="1"/>
  <c r="T123" i="1"/>
  <c r="S121" i="4" s="1"/>
  <c r="U123" i="1"/>
  <c r="T121" i="4" s="1"/>
  <c r="R159" i="1"/>
  <c r="Q157" i="4" s="1"/>
  <c r="S159" i="1"/>
  <c r="R157" i="4" s="1"/>
  <c r="T159" i="1"/>
  <c r="S157" i="4" s="1"/>
  <c r="U159" i="1"/>
  <c r="T157" i="4" s="1"/>
  <c r="R207" i="1"/>
  <c r="Q205" i="4" s="1"/>
  <c r="S207" i="1"/>
  <c r="R205" i="4" s="1"/>
  <c r="T207" i="1"/>
  <c r="S205" i="4" s="1"/>
  <c r="U207" i="1"/>
  <c r="T205" i="4" s="1"/>
  <c r="N5" i="1"/>
  <c r="N3" i="4" s="1"/>
  <c r="L5" i="1"/>
  <c r="L3" i="4" s="1"/>
  <c r="M5" i="1"/>
  <c r="M3" i="4" s="1"/>
  <c r="AM7" i="1"/>
  <c r="E5" i="4" s="1"/>
  <c r="AJ7" i="1"/>
  <c r="B5" i="4" s="1"/>
  <c r="AL7" i="1"/>
  <c r="D5" i="4" s="1"/>
  <c r="AK7" i="1"/>
  <c r="C5" i="4" s="1"/>
  <c r="U10" i="1"/>
  <c r="T8" i="4" s="1"/>
  <c r="S10" i="1"/>
  <c r="R8" i="4" s="1"/>
  <c r="T10" i="1"/>
  <c r="S8" i="4" s="1"/>
  <c r="R10" i="1"/>
  <c r="Q8" i="4" s="1"/>
  <c r="AG12" i="1"/>
  <c r="J10" i="4" s="1"/>
  <c r="AF12" i="1"/>
  <c r="I10" i="4" s="1"/>
  <c r="AE12" i="1"/>
  <c r="H10" i="4" s="1"/>
  <c r="AD12" i="1"/>
  <c r="G10" i="4" s="1"/>
  <c r="N15" i="1"/>
  <c r="N13" i="4" s="1"/>
  <c r="M15" i="1"/>
  <c r="M13" i="4" s="1"/>
  <c r="L15" i="1"/>
  <c r="L13" i="4" s="1"/>
  <c r="Y17" i="1"/>
  <c r="W15" i="4" s="1"/>
  <c r="Z17" i="1"/>
  <c r="X15" i="4" s="1"/>
  <c r="AA17" i="1"/>
  <c r="Y15" i="4" s="1"/>
  <c r="X17" i="1"/>
  <c r="V15" i="4" s="1"/>
  <c r="Y20" i="1"/>
  <c r="W18" i="4" s="1"/>
  <c r="AA20" i="1"/>
  <c r="Y18" i="4" s="1"/>
  <c r="X20" i="1"/>
  <c r="V18" i="4" s="1"/>
  <c r="Z20" i="1"/>
  <c r="X18" i="4" s="1"/>
  <c r="AA23" i="1"/>
  <c r="Y21" i="4" s="1"/>
  <c r="Y23" i="1"/>
  <c r="W21" i="4" s="1"/>
  <c r="X23" i="1"/>
  <c r="V21" i="4" s="1"/>
  <c r="Z23" i="1"/>
  <c r="X21" i="4" s="1"/>
  <c r="X26" i="1"/>
  <c r="V24" i="4" s="1"/>
  <c r="AA26" i="1"/>
  <c r="Y24" i="4" s="1"/>
  <c r="Y26" i="1"/>
  <c r="W24" i="4" s="1"/>
  <c r="Z26" i="1"/>
  <c r="X24" i="4" s="1"/>
  <c r="AA29" i="1"/>
  <c r="Y27" i="4" s="1"/>
  <c r="Y29" i="1"/>
  <c r="W27" i="4" s="1"/>
  <c r="X29" i="1"/>
  <c r="V27" i="4" s="1"/>
  <c r="Z29" i="1"/>
  <c r="X27" i="4" s="1"/>
  <c r="AA32" i="1"/>
  <c r="Y30" i="4" s="1"/>
  <c r="Z32" i="1"/>
  <c r="X30" i="4" s="1"/>
  <c r="X32" i="1"/>
  <c r="V30" i="4" s="1"/>
  <c r="Y32" i="1"/>
  <c r="W30" i="4" s="1"/>
  <c r="Y35" i="1"/>
  <c r="W33" i="4" s="1"/>
  <c r="AA35" i="1"/>
  <c r="Y33" i="4" s="1"/>
  <c r="Z35" i="1"/>
  <c r="X33" i="4" s="1"/>
  <c r="X35" i="1"/>
  <c r="V33" i="4" s="1"/>
  <c r="AA38" i="1"/>
  <c r="Y36" i="4" s="1"/>
  <c r="X38" i="1"/>
  <c r="V36" i="4" s="1"/>
  <c r="Y38" i="1"/>
  <c r="W36" i="4" s="1"/>
  <c r="Z38" i="1"/>
  <c r="X36" i="4" s="1"/>
  <c r="Y41" i="1"/>
  <c r="W39" i="4" s="1"/>
  <c r="AA41" i="1"/>
  <c r="Y39" i="4" s="1"/>
  <c r="Z41" i="1"/>
  <c r="X39" i="4" s="1"/>
  <c r="X41" i="1"/>
  <c r="V39" i="4" s="1"/>
  <c r="AA44" i="1"/>
  <c r="Y42" i="4" s="1"/>
  <c r="Y44" i="1"/>
  <c r="W42" i="4" s="1"/>
  <c r="X44" i="1"/>
  <c r="V42" i="4" s="1"/>
  <c r="Z44" i="1"/>
  <c r="X42" i="4" s="1"/>
  <c r="Y47" i="1"/>
  <c r="W45" i="4" s="1"/>
  <c r="AA47" i="1"/>
  <c r="Y45" i="4" s="1"/>
  <c r="X47" i="1"/>
  <c r="V45" i="4" s="1"/>
  <c r="Z47" i="1"/>
  <c r="X45" i="4" s="1"/>
  <c r="AA50" i="1"/>
  <c r="Y48" i="4" s="1"/>
  <c r="Z50" i="1"/>
  <c r="X48" i="4" s="1"/>
  <c r="X50" i="1"/>
  <c r="V48" i="4" s="1"/>
  <c r="Y50" i="1"/>
  <c r="W48" i="4" s="1"/>
  <c r="Y53" i="1"/>
  <c r="W51" i="4" s="1"/>
  <c r="Z53" i="1"/>
  <c r="X51" i="4" s="1"/>
  <c r="X53" i="1"/>
  <c r="V51" i="4" s="1"/>
  <c r="AA53" i="1"/>
  <c r="Y51" i="4" s="1"/>
  <c r="Y56" i="1"/>
  <c r="W54" i="4" s="1"/>
  <c r="Z56" i="1"/>
  <c r="X54" i="4" s="1"/>
  <c r="AA56" i="1"/>
  <c r="Y54" i="4" s="1"/>
  <c r="X56" i="1"/>
  <c r="V54" i="4" s="1"/>
  <c r="Y59" i="1"/>
  <c r="W57" i="4" s="1"/>
  <c r="X59" i="1"/>
  <c r="V57" i="4" s="1"/>
  <c r="AA59" i="1"/>
  <c r="Y57" i="4" s="1"/>
  <c r="Z59" i="1"/>
  <c r="X57" i="4" s="1"/>
  <c r="X62" i="1"/>
  <c r="V60" i="4" s="1"/>
  <c r="Y62" i="1"/>
  <c r="W60" i="4" s="1"/>
  <c r="AA62" i="1"/>
  <c r="Y60" i="4" s="1"/>
  <c r="Z62" i="1"/>
  <c r="X60" i="4" s="1"/>
  <c r="Y65" i="1"/>
  <c r="W63" i="4" s="1"/>
  <c r="AA65" i="1"/>
  <c r="Y63" i="4" s="1"/>
  <c r="X65" i="1"/>
  <c r="V63" i="4" s="1"/>
  <c r="Z65" i="1"/>
  <c r="X63" i="4" s="1"/>
  <c r="Y68" i="1"/>
  <c r="W66" i="4" s="1"/>
  <c r="Z68" i="1"/>
  <c r="X66" i="4" s="1"/>
  <c r="X68" i="1"/>
  <c r="V66" i="4" s="1"/>
  <c r="AA68" i="1"/>
  <c r="Y66" i="4" s="1"/>
  <c r="Z71" i="1"/>
  <c r="X69" i="4" s="1"/>
  <c r="X71" i="1"/>
  <c r="V69" i="4" s="1"/>
  <c r="Y71" i="1"/>
  <c r="W69" i="4" s="1"/>
  <c r="AA71" i="1"/>
  <c r="Y69" i="4" s="1"/>
  <c r="X74" i="1"/>
  <c r="V72" i="4" s="1"/>
  <c r="AA74" i="1"/>
  <c r="Y72" i="4" s="1"/>
  <c r="Z74" i="1"/>
  <c r="X72" i="4" s="1"/>
  <c r="Y74" i="1"/>
  <c r="W72" i="4" s="1"/>
  <c r="Y77" i="1"/>
  <c r="W75" i="4" s="1"/>
  <c r="AA77" i="1"/>
  <c r="Y75" i="4" s="1"/>
  <c r="Z77" i="1"/>
  <c r="X75" i="4" s="1"/>
  <c r="X77" i="1"/>
  <c r="V75" i="4" s="1"/>
  <c r="Y80" i="1"/>
  <c r="W78" i="4" s="1"/>
  <c r="AA80" i="1"/>
  <c r="Y78" i="4" s="1"/>
  <c r="X80" i="1"/>
  <c r="V78" i="4" s="1"/>
  <c r="Z80" i="1"/>
  <c r="X78" i="4" s="1"/>
  <c r="AA83" i="1"/>
  <c r="Y81" i="4" s="1"/>
  <c r="X83" i="1"/>
  <c r="V81" i="4" s="1"/>
  <c r="Z83" i="1"/>
  <c r="X81" i="4" s="1"/>
  <c r="Y83" i="1"/>
  <c r="W81" i="4" s="1"/>
  <c r="X87" i="1"/>
  <c r="V85" i="4" s="1"/>
  <c r="AA87" i="1"/>
  <c r="Y85" i="4" s="1"/>
  <c r="Z87" i="1"/>
  <c r="X85" i="4" s="1"/>
  <c r="Y87" i="1"/>
  <c r="W85" i="4" s="1"/>
  <c r="Z91" i="1"/>
  <c r="X89" i="4" s="1"/>
  <c r="X91" i="1"/>
  <c r="V89" i="4" s="1"/>
  <c r="AA91" i="1"/>
  <c r="Y89" i="4" s="1"/>
  <c r="Y91" i="1"/>
  <c r="W89" i="4" s="1"/>
  <c r="AA95" i="1"/>
  <c r="Y93" i="4" s="1"/>
  <c r="X95" i="1"/>
  <c r="V93" i="4" s="1"/>
  <c r="Z95" i="1"/>
  <c r="X93" i="4" s="1"/>
  <c r="Y95" i="1"/>
  <c r="W93" i="4" s="1"/>
  <c r="X99" i="1"/>
  <c r="V97" i="4" s="1"/>
  <c r="Z99" i="1"/>
  <c r="X97" i="4" s="1"/>
  <c r="AA99" i="1"/>
  <c r="Y97" i="4" s="1"/>
  <c r="Y99" i="1"/>
  <c r="W97" i="4" s="1"/>
  <c r="Z103" i="1"/>
  <c r="X101" i="4" s="1"/>
  <c r="Y103" i="1"/>
  <c r="W101" i="4" s="1"/>
  <c r="AA103" i="1"/>
  <c r="Y101" i="4" s="1"/>
  <c r="X103" i="1"/>
  <c r="V101" i="4" s="1"/>
  <c r="Z107" i="1"/>
  <c r="X105" i="4" s="1"/>
  <c r="AA107" i="1"/>
  <c r="Y105" i="4" s="1"/>
  <c r="X107" i="1"/>
  <c r="V105" i="4" s="1"/>
  <c r="Y107" i="1"/>
  <c r="W105" i="4" s="1"/>
  <c r="X111" i="1"/>
  <c r="V109" i="4" s="1"/>
  <c r="Z111" i="1"/>
  <c r="X109" i="4" s="1"/>
  <c r="AA111" i="1"/>
  <c r="Y109" i="4" s="1"/>
  <c r="Y111" i="1"/>
  <c r="W109" i="4" s="1"/>
  <c r="Y115" i="1"/>
  <c r="W113" i="4" s="1"/>
  <c r="X115" i="1"/>
  <c r="V113" i="4" s="1"/>
  <c r="AA115" i="1"/>
  <c r="Y113" i="4" s="1"/>
  <c r="Z115" i="1"/>
  <c r="X113" i="4" s="1"/>
  <c r="AA119" i="1"/>
  <c r="Y117" i="4" s="1"/>
  <c r="X119" i="1"/>
  <c r="V117" i="4" s="1"/>
  <c r="Y119" i="1"/>
  <c r="W117" i="4" s="1"/>
  <c r="Z119" i="1"/>
  <c r="X117" i="4" s="1"/>
  <c r="Z123" i="1"/>
  <c r="X121" i="4" s="1"/>
  <c r="AA123" i="1"/>
  <c r="Y121" i="4" s="1"/>
  <c r="X123" i="1"/>
  <c r="V121" i="4" s="1"/>
  <c r="Y123" i="1"/>
  <c r="W121" i="4" s="1"/>
  <c r="AA127" i="1"/>
  <c r="Y125" i="4" s="1"/>
  <c r="Z127" i="1"/>
  <c r="X125" i="4" s="1"/>
  <c r="X127" i="1"/>
  <c r="V125" i="4" s="1"/>
  <c r="Y127" i="1"/>
  <c r="W125" i="4" s="1"/>
  <c r="Y131" i="1"/>
  <c r="W129" i="4" s="1"/>
  <c r="AA131" i="1"/>
  <c r="Y129" i="4" s="1"/>
  <c r="X131" i="1"/>
  <c r="V129" i="4" s="1"/>
  <c r="Z131" i="1"/>
  <c r="X129" i="4" s="1"/>
  <c r="Z135" i="1"/>
  <c r="X133" i="4" s="1"/>
  <c r="AA135" i="1"/>
  <c r="Y133" i="4" s="1"/>
  <c r="X135" i="1"/>
  <c r="V133" i="4" s="1"/>
  <c r="Y135" i="1"/>
  <c r="W133" i="4" s="1"/>
  <c r="Y139" i="1"/>
  <c r="W137" i="4" s="1"/>
  <c r="Z139" i="1"/>
  <c r="X137" i="4" s="1"/>
  <c r="AA139" i="1"/>
  <c r="Y137" i="4" s="1"/>
  <c r="X139" i="1"/>
  <c r="V137" i="4" s="1"/>
  <c r="AA143" i="1"/>
  <c r="Y141" i="4" s="1"/>
  <c r="Z143" i="1"/>
  <c r="X141" i="4" s="1"/>
  <c r="Y143" i="1"/>
  <c r="W141" i="4" s="1"/>
  <c r="X143" i="1"/>
  <c r="V141" i="4" s="1"/>
  <c r="Z147" i="1"/>
  <c r="X145" i="4" s="1"/>
  <c r="AA147" i="1"/>
  <c r="Y145" i="4" s="1"/>
  <c r="X147" i="1"/>
  <c r="V145" i="4" s="1"/>
  <c r="Y147" i="1"/>
  <c r="W145" i="4" s="1"/>
  <c r="X151" i="1"/>
  <c r="V149" i="4" s="1"/>
  <c r="Y151" i="1"/>
  <c r="W149" i="4" s="1"/>
  <c r="AA151" i="1"/>
  <c r="Y149" i="4" s="1"/>
  <c r="Z151" i="1"/>
  <c r="X149" i="4" s="1"/>
  <c r="X155" i="1"/>
  <c r="V153" i="4" s="1"/>
  <c r="Y155" i="1"/>
  <c r="W153" i="4" s="1"/>
  <c r="Z155" i="1"/>
  <c r="X153" i="4" s="1"/>
  <c r="AA155" i="1"/>
  <c r="Y153" i="4" s="1"/>
  <c r="AA159" i="1"/>
  <c r="Y157" i="4" s="1"/>
  <c r="Y159" i="1"/>
  <c r="W157" i="4" s="1"/>
  <c r="Z159" i="1"/>
  <c r="X157" i="4" s="1"/>
  <c r="X159" i="1"/>
  <c r="V157" i="4" s="1"/>
  <c r="Z163" i="1"/>
  <c r="X161" i="4" s="1"/>
  <c r="AA163" i="1"/>
  <c r="Y161" i="4" s="1"/>
  <c r="Y163" i="1"/>
  <c r="W161" i="4" s="1"/>
  <c r="X163" i="1"/>
  <c r="V161" i="4" s="1"/>
  <c r="AA167" i="1"/>
  <c r="Y165" i="4" s="1"/>
  <c r="X167" i="1"/>
  <c r="V165" i="4" s="1"/>
  <c r="Y167" i="1"/>
  <c r="W165" i="4" s="1"/>
  <c r="Z167" i="1"/>
  <c r="X165" i="4" s="1"/>
  <c r="X171" i="1"/>
  <c r="V169" i="4" s="1"/>
  <c r="Z171" i="1"/>
  <c r="X169" i="4" s="1"/>
  <c r="Y171" i="1"/>
  <c r="W169" i="4" s="1"/>
  <c r="AA171" i="1"/>
  <c r="Y169" i="4" s="1"/>
  <c r="Z175" i="1"/>
  <c r="X173" i="4" s="1"/>
  <c r="AA175" i="1"/>
  <c r="Y173" i="4" s="1"/>
  <c r="Y175" i="1"/>
  <c r="W173" i="4" s="1"/>
  <c r="X175" i="1"/>
  <c r="V173" i="4" s="1"/>
  <c r="X179" i="1"/>
  <c r="V177" i="4" s="1"/>
  <c r="AA179" i="1"/>
  <c r="Y177" i="4" s="1"/>
  <c r="Y179" i="1"/>
  <c r="W177" i="4" s="1"/>
  <c r="Z179" i="1"/>
  <c r="X177" i="4" s="1"/>
  <c r="X183" i="1"/>
  <c r="V181" i="4" s="1"/>
  <c r="AA183" i="1"/>
  <c r="Y181" i="4" s="1"/>
  <c r="Y183" i="1"/>
  <c r="W181" i="4" s="1"/>
  <c r="Z183" i="1"/>
  <c r="X181" i="4" s="1"/>
  <c r="X187" i="1"/>
  <c r="V185" i="4" s="1"/>
  <c r="AA187" i="1"/>
  <c r="Y185" i="4" s="1"/>
  <c r="Z187" i="1"/>
  <c r="X185" i="4" s="1"/>
  <c r="Y187" i="1"/>
  <c r="W185" i="4" s="1"/>
  <c r="X191" i="1"/>
  <c r="V189" i="4" s="1"/>
  <c r="AA191" i="1"/>
  <c r="Y189" i="4" s="1"/>
  <c r="Z191" i="1"/>
  <c r="X189" i="4" s="1"/>
  <c r="Y191" i="1"/>
  <c r="W189" i="4" s="1"/>
  <c r="Z195" i="1"/>
  <c r="X193" i="4" s="1"/>
  <c r="X195" i="1"/>
  <c r="V193" i="4" s="1"/>
  <c r="Y195" i="1"/>
  <c r="W193" i="4" s="1"/>
  <c r="AA195" i="1"/>
  <c r="Y193" i="4" s="1"/>
  <c r="Z199" i="1"/>
  <c r="X197" i="4" s="1"/>
  <c r="X199" i="1"/>
  <c r="V197" i="4" s="1"/>
  <c r="AA199" i="1"/>
  <c r="Y197" i="4" s="1"/>
  <c r="Y199" i="1"/>
  <c r="W197" i="4" s="1"/>
  <c r="Y203" i="1"/>
  <c r="W201" i="4" s="1"/>
  <c r="X203" i="1"/>
  <c r="V201" i="4" s="1"/>
  <c r="Z203" i="1"/>
  <c r="X201" i="4" s="1"/>
  <c r="AA203" i="1"/>
  <c r="Y201" i="4" s="1"/>
  <c r="Z207" i="1"/>
  <c r="X205" i="4" s="1"/>
  <c r="AA207" i="1"/>
  <c r="Y205" i="4" s="1"/>
  <c r="Y207" i="1"/>
  <c r="W205" i="4" s="1"/>
  <c r="X207" i="1"/>
  <c r="V205" i="4" s="1"/>
  <c r="AA211" i="1"/>
  <c r="Y209" i="4" s="1"/>
  <c r="Z211" i="1"/>
  <c r="X209" i="4" s="1"/>
  <c r="X211" i="1"/>
  <c r="V209" i="4" s="1"/>
  <c r="Y211" i="1"/>
  <c r="W209" i="4" s="1"/>
  <c r="AA215" i="1"/>
  <c r="Y213" i="4" s="1"/>
  <c r="Y215" i="1"/>
  <c r="W213" i="4" s="1"/>
  <c r="Z215" i="1"/>
  <c r="X213" i="4" s="1"/>
  <c r="X215" i="1"/>
  <c r="V213" i="4" s="1"/>
  <c r="Z219" i="1"/>
  <c r="X217" i="4" s="1"/>
  <c r="AA219" i="1"/>
  <c r="Y217" i="4" s="1"/>
  <c r="Y219" i="1"/>
  <c r="W217" i="4" s="1"/>
  <c r="X219" i="1"/>
  <c r="V217" i="4" s="1"/>
  <c r="X223" i="1"/>
  <c r="V221" i="4" s="1"/>
  <c r="AA223" i="1"/>
  <c r="Y221" i="4" s="1"/>
  <c r="Z223" i="1"/>
  <c r="X221" i="4" s="1"/>
  <c r="Y223" i="1"/>
  <c r="W221" i="4" s="1"/>
  <c r="Y227" i="1"/>
  <c r="W225" i="4" s="1"/>
  <c r="AA227" i="1"/>
  <c r="Y225" i="4" s="1"/>
  <c r="X227" i="1"/>
  <c r="V225" i="4" s="1"/>
  <c r="Z227" i="1"/>
  <c r="X225" i="4" s="1"/>
  <c r="S14" i="1"/>
  <c r="R12" i="4" s="1"/>
  <c r="T14" i="1"/>
  <c r="S12" i="4" s="1"/>
  <c r="U14" i="1"/>
  <c r="T12" i="4" s="1"/>
  <c r="R14" i="1"/>
  <c r="Q12" i="4" s="1"/>
  <c r="AA43" i="1"/>
  <c r="Y41" i="4" s="1"/>
  <c r="Z43" i="1"/>
  <c r="X41" i="4" s="1"/>
  <c r="X43" i="1"/>
  <c r="V41" i="4" s="1"/>
  <c r="Y43" i="1"/>
  <c r="W41" i="4" s="1"/>
  <c r="X73" i="1"/>
  <c r="V71" i="4" s="1"/>
  <c r="Z73" i="1"/>
  <c r="X71" i="4" s="1"/>
  <c r="AA73" i="1"/>
  <c r="Y71" i="4" s="1"/>
  <c r="Y73" i="1"/>
  <c r="W71" i="4" s="1"/>
  <c r="U106" i="1"/>
  <c r="T104" i="4" s="1"/>
  <c r="S106" i="1"/>
  <c r="R104" i="4" s="1"/>
  <c r="T106" i="1"/>
  <c r="S104" i="4" s="1"/>
  <c r="R106" i="1"/>
  <c r="Q104" i="4" s="1"/>
  <c r="S158" i="1"/>
  <c r="R156" i="4" s="1"/>
  <c r="R158" i="1"/>
  <c r="Q156" i="4" s="1"/>
  <c r="T158" i="1"/>
  <c r="S156" i="4" s="1"/>
  <c r="U158" i="1"/>
  <c r="T156" i="4" s="1"/>
  <c r="AM9" i="1"/>
  <c r="E7" i="4" s="1"/>
  <c r="AJ9" i="1"/>
  <c r="B7" i="4" s="1"/>
  <c r="AK9" i="1"/>
  <c r="C7" i="4" s="1"/>
  <c r="AL9" i="1"/>
  <c r="D7" i="4" s="1"/>
  <c r="L35" i="1"/>
  <c r="L33" i="4" s="1"/>
  <c r="M35" i="1"/>
  <c r="M33" i="4" s="1"/>
  <c r="N35" i="1"/>
  <c r="N33" i="4" s="1"/>
  <c r="M80" i="1"/>
  <c r="M78" i="4" s="1"/>
  <c r="N80" i="1"/>
  <c r="N78" i="4" s="1"/>
  <c r="L80" i="1"/>
  <c r="L78" i="4" s="1"/>
  <c r="L143" i="1"/>
  <c r="L141" i="4" s="1"/>
  <c r="M143" i="1"/>
  <c r="M141" i="4" s="1"/>
  <c r="N143" i="1"/>
  <c r="N141" i="4" s="1"/>
  <c r="T20" i="1"/>
  <c r="S18" i="4" s="1"/>
  <c r="S20" i="1"/>
  <c r="R18" i="4" s="1"/>
  <c r="U20" i="1"/>
  <c r="T18" i="4" s="1"/>
  <c r="R20" i="1"/>
  <c r="Q18" i="4" s="1"/>
  <c r="S44" i="1"/>
  <c r="R42" i="4" s="1"/>
  <c r="U44" i="1"/>
  <c r="T42" i="4" s="1"/>
  <c r="T44" i="1"/>
  <c r="S42" i="4" s="1"/>
  <c r="R44" i="1"/>
  <c r="Q42" i="4" s="1"/>
  <c r="R68" i="1"/>
  <c r="Q66" i="4" s="1"/>
  <c r="U68" i="1"/>
  <c r="T66" i="4" s="1"/>
  <c r="S68" i="1"/>
  <c r="R66" i="4" s="1"/>
  <c r="T68" i="1"/>
  <c r="S66" i="4" s="1"/>
  <c r="U115" i="1"/>
  <c r="T113" i="4" s="1"/>
  <c r="R115" i="1"/>
  <c r="Q113" i="4" s="1"/>
  <c r="S115" i="1"/>
  <c r="R113" i="4" s="1"/>
  <c r="T115" i="1"/>
  <c r="S113" i="4" s="1"/>
  <c r="R155" i="1"/>
  <c r="Q153" i="4" s="1"/>
  <c r="T155" i="1"/>
  <c r="S153" i="4" s="1"/>
  <c r="S155" i="1"/>
  <c r="R153" i="4" s="1"/>
  <c r="U155" i="1"/>
  <c r="T153" i="4" s="1"/>
  <c r="S203" i="1"/>
  <c r="R201" i="4" s="1"/>
  <c r="T203" i="1"/>
  <c r="S201" i="4" s="1"/>
  <c r="U203" i="1"/>
  <c r="T201" i="4" s="1"/>
  <c r="R203" i="1"/>
  <c r="Q201" i="4" s="1"/>
  <c r="AG5" i="1"/>
  <c r="J3" i="4" s="1"/>
  <c r="AE5" i="1"/>
  <c r="H3" i="4" s="1"/>
  <c r="AD5" i="1"/>
  <c r="G3" i="4" s="1"/>
  <c r="AF5" i="1"/>
  <c r="I3" i="4" s="1"/>
  <c r="N8" i="1"/>
  <c r="N6" i="4" s="1"/>
  <c r="L8" i="1"/>
  <c r="L6" i="4" s="1"/>
  <c r="M8" i="1"/>
  <c r="M6" i="4" s="1"/>
  <c r="AA10" i="1"/>
  <c r="Y8" i="4" s="1"/>
  <c r="Z10" i="1"/>
  <c r="X8" i="4" s="1"/>
  <c r="Y10" i="1"/>
  <c r="W8" i="4" s="1"/>
  <c r="X10" i="1"/>
  <c r="V8" i="4" s="1"/>
  <c r="AM12" i="1"/>
  <c r="E10" i="4" s="1"/>
  <c r="AL12" i="1"/>
  <c r="D10" i="4" s="1"/>
  <c r="AJ12" i="1"/>
  <c r="B10" i="4" s="1"/>
  <c r="AK12" i="1"/>
  <c r="C10" i="4" s="1"/>
  <c r="R15" i="1"/>
  <c r="Q13" i="4" s="1"/>
  <c r="S15" i="1"/>
  <c r="R13" i="4" s="1"/>
  <c r="T15" i="1"/>
  <c r="S13" i="4" s="1"/>
  <c r="U15" i="1"/>
  <c r="T13" i="4" s="1"/>
  <c r="AM17" i="1"/>
  <c r="E15" i="4" s="1"/>
  <c r="AK17" i="1"/>
  <c r="C15" i="4" s="1"/>
  <c r="AJ17" i="1"/>
  <c r="B15" i="4" s="1"/>
  <c r="AL17" i="1"/>
  <c r="D15" i="4" s="1"/>
  <c r="AK20" i="1"/>
  <c r="C18" i="4" s="1"/>
  <c r="AM20" i="1"/>
  <c r="E18" i="4" s="1"/>
  <c r="AL20" i="1"/>
  <c r="D18" i="4" s="1"/>
  <c r="AJ20" i="1"/>
  <c r="B18" i="4" s="1"/>
  <c r="AK23" i="1"/>
  <c r="C21" i="4" s="1"/>
  <c r="AL23" i="1"/>
  <c r="D21" i="4" s="1"/>
  <c r="AM23" i="1"/>
  <c r="E21" i="4" s="1"/>
  <c r="AJ23" i="1"/>
  <c r="B21" i="4" s="1"/>
  <c r="AL26" i="1"/>
  <c r="D24" i="4" s="1"/>
  <c r="AK26" i="1"/>
  <c r="C24" i="4" s="1"/>
  <c r="AJ26" i="1"/>
  <c r="B24" i="4" s="1"/>
  <c r="AM26" i="1"/>
  <c r="E24" i="4" s="1"/>
  <c r="AM29" i="1"/>
  <c r="E27" i="4" s="1"/>
  <c r="AJ29" i="1"/>
  <c r="B27" i="4" s="1"/>
  <c r="AK29" i="1"/>
  <c r="C27" i="4" s="1"/>
  <c r="AL29" i="1"/>
  <c r="D27" i="4" s="1"/>
  <c r="AK32" i="1"/>
  <c r="C30" i="4" s="1"/>
  <c r="AM32" i="1"/>
  <c r="E30" i="4" s="1"/>
  <c r="AJ32" i="1"/>
  <c r="B30" i="4" s="1"/>
  <c r="AL32" i="1"/>
  <c r="D30" i="4" s="1"/>
  <c r="AJ35" i="1"/>
  <c r="B33" i="4" s="1"/>
  <c r="AM35" i="1"/>
  <c r="E33" i="4" s="1"/>
  <c r="AK35" i="1"/>
  <c r="C33" i="4" s="1"/>
  <c r="AL35" i="1"/>
  <c r="D33" i="4" s="1"/>
  <c r="AL38" i="1"/>
  <c r="D36" i="4" s="1"/>
  <c r="AJ38" i="1"/>
  <c r="B36" i="4" s="1"/>
  <c r="AK38" i="1"/>
  <c r="C36" i="4" s="1"/>
  <c r="AM38" i="1"/>
  <c r="E36" i="4" s="1"/>
  <c r="AK41" i="1"/>
  <c r="C39" i="4" s="1"/>
  <c r="AL41" i="1"/>
  <c r="D39" i="4" s="1"/>
  <c r="AM41" i="1"/>
  <c r="E39" i="4" s="1"/>
  <c r="AJ41" i="1"/>
  <c r="B39" i="4" s="1"/>
  <c r="AK44" i="1"/>
  <c r="C42" i="4" s="1"/>
  <c r="AJ44" i="1"/>
  <c r="B42" i="4" s="1"/>
  <c r="AM44" i="1"/>
  <c r="E42" i="4" s="1"/>
  <c r="AL44" i="1"/>
  <c r="D42" i="4" s="1"/>
  <c r="AJ47" i="1"/>
  <c r="B45" i="4" s="1"/>
  <c r="AK47" i="1"/>
  <c r="C45" i="4" s="1"/>
  <c r="AM47" i="1"/>
  <c r="E45" i="4" s="1"/>
  <c r="AL47" i="1"/>
  <c r="D45" i="4" s="1"/>
  <c r="AM50" i="1"/>
  <c r="E48" i="4" s="1"/>
  <c r="AL50" i="1"/>
  <c r="D48" i="4" s="1"/>
  <c r="AJ50" i="1"/>
  <c r="B48" i="4" s="1"/>
  <c r="AK50" i="1"/>
  <c r="C48" i="4" s="1"/>
  <c r="AK53" i="1"/>
  <c r="C51" i="4" s="1"/>
  <c r="AL53" i="1"/>
  <c r="D51" i="4" s="1"/>
  <c r="AJ53" i="1"/>
  <c r="B51" i="4" s="1"/>
  <c r="AM53" i="1"/>
  <c r="E51" i="4" s="1"/>
  <c r="AL56" i="1"/>
  <c r="D54" i="4" s="1"/>
  <c r="AK56" i="1"/>
  <c r="C54" i="4" s="1"/>
  <c r="AJ56" i="1"/>
  <c r="B54" i="4" s="1"/>
  <c r="AM56" i="1"/>
  <c r="E54" i="4" s="1"/>
  <c r="AJ59" i="1"/>
  <c r="B57" i="4" s="1"/>
  <c r="AK59" i="1"/>
  <c r="C57" i="4" s="1"/>
  <c r="AM59" i="1"/>
  <c r="E57" i="4" s="1"/>
  <c r="AL59" i="1"/>
  <c r="D57" i="4" s="1"/>
  <c r="AK62" i="1"/>
  <c r="C60" i="4" s="1"/>
  <c r="AM62" i="1"/>
  <c r="E60" i="4" s="1"/>
  <c r="AL62" i="1"/>
  <c r="D60" i="4" s="1"/>
  <c r="AJ62" i="1"/>
  <c r="B60" i="4" s="1"/>
  <c r="AM65" i="1"/>
  <c r="E63" i="4" s="1"/>
  <c r="AK65" i="1"/>
  <c r="C63" i="4" s="1"/>
  <c r="AL65" i="1"/>
  <c r="D63" i="4" s="1"/>
  <c r="AJ65" i="1"/>
  <c r="B63" i="4" s="1"/>
  <c r="AM68" i="1"/>
  <c r="E66" i="4" s="1"/>
  <c r="AL68" i="1"/>
  <c r="D66" i="4" s="1"/>
  <c r="AK68" i="1"/>
  <c r="C66" i="4" s="1"/>
  <c r="AJ68" i="1"/>
  <c r="B66" i="4" s="1"/>
  <c r="AL71" i="1"/>
  <c r="D69" i="4" s="1"/>
  <c r="AJ71" i="1"/>
  <c r="B69" i="4" s="1"/>
  <c r="AK71" i="1"/>
  <c r="C69" i="4" s="1"/>
  <c r="AM71" i="1"/>
  <c r="E69" i="4" s="1"/>
  <c r="AK74" i="1"/>
  <c r="C72" i="4" s="1"/>
  <c r="AL74" i="1"/>
  <c r="D72" i="4" s="1"/>
  <c r="AM74" i="1"/>
  <c r="E72" i="4" s="1"/>
  <c r="AJ74" i="1"/>
  <c r="B72" i="4" s="1"/>
  <c r="AM77" i="1"/>
  <c r="E75" i="4" s="1"/>
  <c r="AK77" i="1"/>
  <c r="C75" i="4" s="1"/>
  <c r="AL77" i="1"/>
  <c r="D75" i="4" s="1"/>
  <c r="AJ77" i="1"/>
  <c r="B75" i="4" s="1"/>
  <c r="AM80" i="1"/>
  <c r="E78" i="4" s="1"/>
  <c r="AK80" i="1"/>
  <c r="C78" i="4" s="1"/>
  <c r="AL80" i="1"/>
  <c r="D78" i="4" s="1"/>
  <c r="AJ80" i="1"/>
  <c r="B78" i="4" s="1"/>
  <c r="L84" i="1"/>
  <c r="L82" i="4" s="1"/>
  <c r="N84" i="1"/>
  <c r="N82" i="4" s="1"/>
  <c r="M84" i="1"/>
  <c r="M82" i="4" s="1"/>
  <c r="L88" i="1"/>
  <c r="L86" i="4" s="1"/>
  <c r="N88" i="1"/>
  <c r="N86" i="4" s="1"/>
  <c r="M88" i="1"/>
  <c r="M86" i="4" s="1"/>
  <c r="L92" i="1"/>
  <c r="L90" i="4" s="1"/>
  <c r="M92" i="1"/>
  <c r="M90" i="4" s="1"/>
  <c r="N92" i="1"/>
  <c r="N90" i="4" s="1"/>
  <c r="L96" i="1"/>
  <c r="L94" i="4" s="1"/>
  <c r="M96" i="1"/>
  <c r="M94" i="4" s="1"/>
  <c r="N96" i="1"/>
  <c r="N94" i="4" s="1"/>
  <c r="L100" i="1"/>
  <c r="L98" i="4" s="1"/>
  <c r="N100" i="1"/>
  <c r="N98" i="4" s="1"/>
  <c r="M100" i="1"/>
  <c r="M98" i="4" s="1"/>
  <c r="L104" i="1"/>
  <c r="L102" i="4" s="1"/>
  <c r="N104" i="1"/>
  <c r="N102" i="4" s="1"/>
  <c r="M104" i="1"/>
  <c r="M102" i="4" s="1"/>
  <c r="L108" i="1"/>
  <c r="L106" i="4" s="1"/>
  <c r="N108" i="1"/>
  <c r="N106" i="4" s="1"/>
  <c r="M108" i="1"/>
  <c r="M106" i="4" s="1"/>
  <c r="L112" i="1"/>
  <c r="L110" i="4" s="1"/>
  <c r="M112" i="1"/>
  <c r="M110" i="4" s="1"/>
  <c r="N112" i="1"/>
  <c r="N110" i="4" s="1"/>
  <c r="L116" i="1"/>
  <c r="L114" i="4" s="1"/>
  <c r="M116" i="1"/>
  <c r="M114" i="4" s="1"/>
  <c r="N116" i="1"/>
  <c r="N114" i="4" s="1"/>
  <c r="L120" i="1"/>
  <c r="L118" i="4" s="1"/>
  <c r="N120" i="1"/>
  <c r="N118" i="4" s="1"/>
  <c r="M120" i="1"/>
  <c r="M118" i="4" s="1"/>
  <c r="L124" i="1"/>
  <c r="L122" i="4" s="1"/>
  <c r="M124" i="1"/>
  <c r="M122" i="4" s="1"/>
  <c r="N124" i="1"/>
  <c r="N122" i="4" s="1"/>
  <c r="L128" i="1"/>
  <c r="L126" i="4" s="1"/>
  <c r="M128" i="1"/>
  <c r="M126" i="4" s="1"/>
  <c r="N128" i="1"/>
  <c r="N126" i="4" s="1"/>
  <c r="L132" i="1"/>
  <c r="L130" i="4" s="1"/>
  <c r="N132" i="1"/>
  <c r="N130" i="4" s="1"/>
  <c r="M132" i="1"/>
  <c r="M130" i="4" s="1"/>
  <c r="L136" i="1"/>
  <c r="L134" i="4" s="1"/>
  <c r="M136" i="1"/>
  <c r="M134" i="4" s="1"/>
  <c r="N136" i="1"/>
  <c r="N134" i="4" s="1"/>
  <c r="L140" i="1"/>
  <c r="L138" i="4" s="1"/>
  <c r="N140" i="1"/>
  <c r="N138" i="4" s="1"/>
  <c r="M140" i="1"/>
  <c r="M138" i="4" s="1"/>
  <c r="L144" i="1"/>
  <c r="L142" i="4" s="1"/>
  <c r="N144" i="1"/>
  <c r="N142" i="4" s="1"/>
  <c r="M144" i="1"/>
  <c r="M142" i="4" s="1"/>
  <c r="L148" i="1"/>
  <c r="L146" i="4" s="1"/>
  <c r="M148" i="1"/>
  <c r="M146" i="4" s="1"/>
  <c r="N148" i="1"/>
  <c r="N146" i="4" s="1"/>
  <c r="L152" i="1"/>
  <c r="L150" i="4" s="1"/>
  <c r="N152" i="1"/>
  <c r="N150" i="4" s="1"/>
  <c r="M152" i="1"/>
  <c r="M150" i="4" s="1"/>
  <c r="L156" i="1"/>
  <c r="L154" i="4" s="1"/>
  <c r="M156" i="1"/>
  <c r="M154" i="4" s="1"/>
  <c r="N156" i="1"/>
  <c r="N154" i="4" s="1"/>
  <c r="L160" i="1"/>
  <c r="L158" i="4" s="1"/>
  <c r="M160" i="1"/>
  <c r="M158" i="4" s="1"/>
  <c r="N160" i="1"/>
  <c r="N158" i="4" s="1"/>
  <c r="L164" i="1"/>
  <c r="L162" i="4" s="1"/>
  <c r="M164" i="1"/>
  <c r="M162" i="4" s="1"/>
  <c r="N164" i="1"/>
  <c r="N162" i="4" s="1"/>
  <c r="L168" i="1"/>
  <c r="L166" i="4" s="1"/>
  <c r="M168" i="1"/>
  <c r="M166" i="4" s="1"/>
  <c r="N168" i="1"/>
  <c r="N166" i="4" s="1"/>
  <c r="L172" i="1"/>
  <c r="L170" i="4" s="1"/>
  <c r="N172" i="1"/>
  <c r="N170" i="4" s="1"/>
  <c r="M172" i="1"/>
  <c r="M170" i="4" s="1"/>
  <c r="L176" i="1"/>
  <c r="L174" i="4" s="1"/>
  <c r="N176" i="1"/>
  <c r="N174" i="4" s="1"/>
  <c r="M176" i="1"/>
  <c r="M174" i="4" s="1"/>
  <c r="M180" i="1"/>
  <c r="M178" i="4" s="1"/>
  <c r="L180" i="1"/>
  <c r="L178" i="4" s="1"/>
  <c r="N180" i="1"/>
  <c r="N178" i="4" s="1"/>
  <c r="L184" i="1"/>
  <c r="L182" i="4" s="1"/>
  <c r="N184" i="1"/>
  <c r="N182" i="4" s="1"/>
  <c r="M184" i="1"/>
  <c r="M182" i="4" s="1"/>
  <c r="L188" i="1"/>
  <c r="L186" i="4" s="1"/>
  <c r="N188" i="1"/>
  <c r="N186" i="4" s="1"/>
  <c r="M188" i="1"/>
  <c r="M186" i="4" s="1"/>
  <c r="L192" i="1"/>
  <c r="L190" i="4" s="1"/>
  <c r="M192" i="1"/>
  <c r="M190" i="4" s="1"/>
  <c r="N192" i="1"/>
  <c r="N190" i="4" s="1"/>
  <c r="L196" i="1"/>
  <c r="L194" i="4" s="1"/>
  <c r="N196" i="1"/>
  <c r="N194" i="4" s="1"/>
  <c r="M196" i="1"/>
  <c r="M194" i="4" s="1"/>
  <c r="L200" i="1"/>
  <c r="L198" i="4" s="1"/>
  <c r="N200" i="1"/>
  <c r="N198" i="4" s="1"/>
  <c r="M200" i="1"/>
  <c r="M198" i="4" s="1"/>
  <c r="L204" i="1"/>
  <c r="L202" i="4" s="1"/>
  <c r="M204" i="1"/>
  <c r="M202" i="4" s="1"/>
  <c r="N204" i="1"/>
  <c r="N202" i="4" s="1"/>
  <c r="L208" i="1"/>
  <c r="L206" i="4" s="1"/>
  <c r="N208" i="1"/>
  <c r="N206" i="4" s="1"/>
  <c r="M208" i="1"/>
  <c r="M206" i="4" s="1"/>
  <c r="L212" i="1"/>
  <c r="L210" i="4" s="1"/>
  <c r="M212" i="1"/>
  <c r="M210" i="4" s="1"/>
  <c r="N212" i="1"/>
  <c r="N210" i="4" s="1"/>
  <c r="L216" i="1"/>
  <c r="L214" i="4" s="1"/>
  <c r="N216" i="1"/>
  <c r="N214" i="4" s="1"/>
  <c r="M216" i="1"/>
  <c r="M214" i="4" s="1"/>
  <c r="L220" i="1"/>
  <c r="L218" i="4" s="1"/>
  <c r="N220" i="1"/>
  <c r="N218" i="4" s="1"/>
  <c r="M220" i="1"/>
  <c r="M218" i="4" s="1"/>
  <c r="L224" i="1"/>
  <c r="L222" i="4" s="1"/>
  <c r="N224" i="1"/>
  <c r="N222" i="4" s="1"/>
  <c r="M224" i="1"/>
  <c r="M222" i="4" s="1"/>
  <c r="L228" i="1"/>
  <c r="L226" i="4" s="1"/>
  <c r="N228" i="1"/>
  <c r="N226" i="4" s="1"/>
  <c r="M228" i="1"/>
  <c r="M226" i="4" s="1"/>
  <c r="X25" i="1"/>
  <c r="V23" i="4" s="1"/>
  <c r="Y25" i="1"/>
  <c r="W23" i="4" s="1"/>
  <c r="AA25" i="1"/>
  <c r="Y23" i="4" s="1"/>
  <c r="Z25" i="1"/>
  <c r="X23" i="4" s="1"/>
  <c r="Z52" i="1"/>
  <c r="X50" i="4" s="1"/>
  <c r="Y52" i="1"/>
  <c r="W50" i="4" s="1"/>
  <c r="AA52" i="1"/>
  <c r="Y50" i="4" s="1"/>
  <c r="X52" i="1"/>
  <c r="V50" i="4" s="1"/>
  <c r="Y79" i="1"/>
  <c r="W77" i="4" s="1"/>
  <c r="X79" i="1"/>
  <c r="V77" i="4" s="1"/>
  <c r="AA79" i="1"/>
  <c r="Y77" i="4" s="1"/>
  <c r="Z79" i="1"/>
  <c r="X77" i="4" s="1"/>
  <c r="R114" i="1"/>
  <c r="Q112" i="4" s="1"/>
  <c r="S114" i="1"/>
  <c r="R112" i="4" s="1"/>
  <c r="T114" i="1"/>
  <c r="S112" i="4" s="1"/>
  <c r="U114" i="1"/>
  <c r="T112" i="4" s="1"/>
  <c r="R170" i="1"/>
  <c r="Q168" i="4" s="1"/>
  <c r="S170" i="1"/>
  <c r="R168" i="4" s="1"/>
  <c r="T170" i="1"/>
  <c r="S168" i="4" s="1"/>
  <c r="U170" i="1"/>
  <c r="T168" i="4" s="1"/>
  <c r="N41" i="1"/>
  <c r="N39" i="4" s="1"/>
  <c r="L41" i="1"/>
  <c r="L39" i="4" s="1"/>
  <c r="M41" i="1"/>
  <c r="M39" i="4" s="1"/>
  <c r="L65" i="1"/>
  <c r="L63" i="4" s="1"/>
  <c r="N65" i="1"/>
  <c r="N63" i="4" s="1"/>
  <c r="M65" i="1"/>
  <c r="M63" i="4" s="1"/>
  <c r="L107" i="1"/>
  <c r="L105" i="4" s="1"/>
  <c r="N107" i="1"/>
  <c r="N105" i="4" s="1"/>
  <c r="M107" i="1"/>
  <c r="M105" i="4" s="1"/>
  <c r="L167" i="1"/>
  <c r="L165" i="4" s="1"/>
  <c r="N167" i="1"/>
  <c r="N165" i="4" s="1"/>
  <c r="M167" i="1"/>
  <c r="M165" i="4" s="1"/>
  <c r="AL14" i="1"/>
  <c r="D12" i="4" s="1"/>
  <c r="AK14" i="1"/>
  <c r="C12" i="4" s="1"/>
  <c r="AM14" i="1"/>
  <c r="E12" i="4" s="1"/>
  <c r="AJ14" i="1"/>
  <c r="B12" i="4" s="1"/>
  <c r="R41" i="1"/>
  <c r="Q39" i="4" s="1"/>
  <c r="T41" i="1"/>
  <c r="S39" i="4" s="1"/>
  <c r="S41" i="1"/>
  <c r="R39" i="4" s="1"/>
  <c r="U41" i="1"/>
  <c r="T39" i="4" s="1"/>
  <c r="S65" i="1"/>
  <c r="R63" i="4" s="1"/>
  <c r="T65" i="1"/>
  <c r="S63" i="4" s="1"/>
  <c r="R65" i="1"/>
  <c r="Q63" i="4" s="1"/>
  <c r="U65" i="1"/>
  <c r="T63" i="4" s="1"/>
  <c r="S95" i="1"/>
  <c r="R93" i="4" s="1"/>
  <c r="T95" i="1"/>
  <c r="S93" i="4" s="1"/>
  <c r="R95" i="1"/>
  <c r="Q93" i="4" s="1"/>
  <c r="U95" i="1"/>
  <c r="T93" i="4" s="1"/>
  <c r="R135" i="1"/>
  <c r="Q133" i="4" s="1"/>
  <c r="S135" i="1"/>
  <c r="R133" i="4" s="1"/>
  <c r="T135" i="1"/>
  <c r="S133" i="4" s="1"/>
  <c r="U135" i="1"/>
  <c r="T133" i="4" s="1"/>
  <c r="R171" i="1"/>
  <c r="Q169" i="4" s="1"/>
  <c r="S171" i="1"/>
  <c r="R169" i="4" s="1"/>
  <c r="T171" i="1"/>
  <c r="S169" i="4" s="1"/>
  <c r="U171" i="1"/>
  <c r="T169" i="4" s="1"/>
  <c r="R195" i="1"/>
  <c r="Q193" i="4" s="1"/>
  <c r="S195" i="1"/>
  <c r="R193" i="4" s="1"/>
  <c r="T195" i="1"/>
  <c r="S193" i="4" s="1"/>
  <c r="U195" i="1"/>
  <c r="T193" i="4" s="1"/>
  <c r="AK5" i="1"/>
  <c r="AL5" i="1"/>
  <c r="AJ5" i="1"/>
  <c r="AM5" i="1"/>
  <c r="E3" i="4" s="1"/>
  <c r="S8" i="1"/>
  <c r="R6" i="4" s="1"/>
  <c r="U8" i="1"/>
  <c r="T6" i="4" s="1"/>
  <c r="T8" i="1"/>
  <c r="S6" i="4" s="1"/>
  <c r="R8" i="1"/>
  <c r="Q6" i="4" s="1"/>
  <c r="AE10" i="1"/>
  <c r="H8" i="4" s="1"/>
  <c r="AD10" i="1"/>
  <c r="G8" i="4" s="1"/>
  <c r="AG10" i="1"/>
  <c r="J8" i="4" s="1"/>
  <c r="AF10" i="1"/>
  <c r="I8" i="4" s="1"/>
  <c r="M13" i="1"/>
  <c r="M11" i="4" s="1"/>
  <c r="N13" i="1"/>
  <c r="N11" i="4" s="1"/>
  <c r="L13" i="1"/>
  <c r="L11" i="4" s="1"/>
  <c r="X15" i="1"/>
  <c r="V13" i="4" s="1"/>
  <c r="AA15" i="1"/>
  <c r="Y13" i="4" s="1"/>
  <c r="Y15" i="1"/>
  <c r="W13" i="4" s="1"/>
  <c r="Z15" i="1"/>
  <c r="X13" i="4" s="1"/>
  <c r="M18" i="1"/>
  <c r="M16" i="4" s="1"/>
  <c r="N18" i="1"/>
  <c r="N16" i="4" s="1"/>
  <c r="L18" i="1"/>
  <c r="L16" i="4" s="1"/>
  <c r="L21" i="1"/>
  <c r="L19" i="4" s="1"/>
  <c r="N21" i="1"/>
  <c r="N19" i="4" s="1"/>
  <c r="M21" i="1"/>
  <c r="M19" i="4" s="1"/>
  <c r="M24" i="1"/>
  <c r="M22" i="4" s="1"/>
  <c r="L24" i="1"/>
  <c r="L22" i="4" s="1"/>
  <c r="N24" i="1"/>
  <c r="N22" i="4" s="1"/>
  <c r="M27" i="1"/>
  <c r="M25" i="4" s="1"/>
  <c r="N27" i="1"/>
  <c r="N25" i="4" s="1"/>
  <c r="L27" i="1"/>
  <c r="L25" i="4" s="1"/>
  <c r="N30" i="1"/>
  <c r="N28" i="4" s="1"/>
  <c r="L30" i="1"/>
  <c r="L28" i="4" s="1"/>
  <c r="M30" i="1"/>
  <c r="M28" i="4" s="1"/>
  <c r="L33" i="1"/>
  <c r="L31" i="4" s="1"/>
  <c r="M33" i="1"/>
  <c r="M31" i="4" s="1"/>
  <c r="N33" i="1"/>
  <c r="N31" i="4" s="1"/>
  <c r="M36" i="1"/>
  <c r="M34" i="4" s="1"/>
  <c r="N36" i="1"/>
  <c r="N34" i="4" s="1"/>
  <c r="L36" i="1"/>
  <c r="L34" i="4" s="1"/>
  <c r="M39" i="1"/>
  <c r="M37" i="4" s="1"/>
  <c r="L39" i="1"/>
  <c r="L37" i="4" s="1"/>
  <c r="N39" i="1"/>
  <c r="N37" i="4" s="1"/>
  <c r="N42" i="1"/>
  <c r="N40" i="4" s="1"/>
  <c r="L42" i="1"/>
  <c r="L40" i="4" s="1"/>
  <c r="M42" i="1"/>
  <c r="M40" i="4" s="1"/>
  <c r="N45" i="1"/>
  <c r="N43" i="4" s="1"/>
  <c r="M45" i="1"/>
  <c r="M43" i="4" s="1"/>
  <c r="L45" i="1"/>
  <c r="L43" i="4" s="1"/>
  <c r="M48" i="1"/>
  <c r="M46" i="4" s="1"/>
  <c r="N48" i="1"/>
  <c r="N46" i="4" s="1"/>
  <c r="L48" i="1"/>
  <c r="L46" i="4" s="1"/>
  <c r="M51" i="1"/>
  <c r="M49" i="4" s="1"/>
  <c r="N51" i="1"/>
  <c r="N49" i="4" s="1"/>
  <c r="L51" i="1"/>
  <c r="L49" i="4" s="1"/>
  <c r="L54" i="1"/>
  <c r="L52" i="4" s="1"/>
  <c r="N54" i="1"/>
  <c r="N52" i="4" s="1"/>
  <c r="M54" i="1"/>
  <c r="M52" i="4" s="1"/>
  <c r="M57" i="1"/>
  <c r="M55" i="4" s="1"/>
  <c r="N57" i="1"/>
  <c r="N55" i="4" s="1"/>
  <c r="L57" i="1"/>
  <c r="L55" i="4" s="1"/>
  <c r="L60" i="1"/>
  <c r="L58" i="4" s="1"/>
  <c r="N60" i="1"/>
  <c r="N58" i="4" s="1"/>
  <c r="M60" i="1"/>
  <c r="M58" i="4" s="1"/>
  <c r="L63" i="1"/>
  <c r="L61" i="4" s="1"/>
  <c r="M63" i="1"/>
  <c r="M61" i="4" s="1"/>
  <c r="N63" i="1"/>
  <c r="N61" i="4" s="1"/>
  <c r="N66" i="1"/>
  <c r="N64" i="4" s="1"/>
  <c r="L66" i="1"/>
  <c r="L64" i="4" s="1"/>
  <c r="M66" i="1"/>
  <c r="M64" i="4" s="1"/>
  <c r="M69" i="1"/>
  <c r="M67" i="4" s="1"/>
  <c r="L69" i="1"/>
  <c r="L67" i="4" s="1"/>
  <c r="N69" i="1"/>
  <c r="N67" i="4" s="1"/>
  <c r="L72" i="1"/>
  <c r="L70" i="4" s="1"/>
  <c r="N72" i="1"/>
  <c r="N70" i="4" s="1"/>
  <c r="M72" i="1"/>
  <c r="M70" i="4" s="1"/>
  <c r="L75" i="1"/>
  <c r="L73" i="4" s="1"/>
  <c r="M75" i="1"/>
  <c r="M73" i="4" s="1"/>
  <c r="N75" i="1"/>
  <c r="N73" i="4" s="1"/>
  <c r="L78" i="1"/>
  <c r="L76" i="4" s="1"/>
  <c r="N78" i="1"/>
  <c r="N76" i="4" s="1"/>
  <c r="M78" i="1"/>
  <c r="M76" i="4" s="1"/>
  <c r="N81" i="1"/>
  <c r="N79" i="4" s="1"/>
  <c r="L81" i="1"/>
  <c r="L79" i="4" s="1"/>
  <c r="M81" i="1"/>
  <c r="M79" i="4" s="1"/>
  <c r="R84" i="1"/>
  <c r="Q82" i="4" s="1"/>
  <c r="S84" i="1"/>
  <c r="R82" i="4" s="1"/>
  <c r="T84" i="1"/>
  <c r="S82" i="4" s="1"/>
  <c r="U84" i="1"/>
  <c r="T82" i="4" s="1"/>
  <c r="R88" i="1"/>
  <c r="Q86" i="4" s="1"/>
  <c r="T88" i="1"/>
  <c r="S86" i="4" s="1"/>
  <c r="S88" i="1"/>
  <c r="R86" i="4" s="1"/>
  <c r="U88" i="1"/>
  <c r="T86" i="4" s="1"/>
  <c r="T92" i="1"/>
  <c r="S90" i="4" s="1"/>
  <c r="R92" i="1"/>
  <c r="Q90" i="4" s="1"/>
  <c r="U92" i="1"/>
  <c r="T90" i="4" s="1"/>
  <c r="S92" i="1"/>
  <c r="R90" i="4" s="1"/>
  <c r="S96" i="1"/>
  <c r="R94" i="4" s="1"/>
  <c r="T96" i="1"/>
  <c r="S94" i="4" s="1"/>
  <c r="U96" i="1"/>
  <c r="T94" i="4" s="1"/>
  <c r="R96" i="1"/>
  <c r="Q94" i="4" s="1"/>
  <c r="U100" i="1"/>
  <c r="T98" i="4" s="1"/>
  <c r="T100" i="1"/>
  <c r="S98" i="4" s="1"/>
  <c r="R100" i="1"/>
  <c r="Q98" i="4" s="1"/>
  <c r="S100" i="1"/>
  <c r="R98" i="4" s="1"/>
  <c r="R104" i="1"/>
  <c r="Q102" i="4" s="1"/>
  <c r="U104" i="1"/>
  <c r="T102" i="4" s="1"/>
  <c r="S104" i="1"/>
  <c r="R102" i="4" s="1"/>
  <c r="T104" i="1"/>
  <c r="S102" i="4" s="1"/>
  <c r="R108" i="1"/>
  <c r="Q106" i="4" s="1"/>
  <c r="S108" i="1"/>
  <c r="R106" i="4" s="1"/>
  <c r="T108" i="1"/>
  <c r="S106" i="4" s="1"/>
  <c r="U108" i="1"/>
  <c r="T106" i="4" s="1"/>
  <c r="S112" i="1"/>
  <c r="R110" i="4" s="1"/>
  <c r="T112" i="1"/>
  <c r="S110" i="4" s="1"/>
  <c r="R112" i="1"/>
  <c r="Q110" i="4" s="1"/>
  <c r="U112" i="1"/>
  <c r="T110" i="4" s="1"/>
  <c r="S116" i="1"/>
  <c r="R114" i="4" s="1"/>
  <c r="U116" i="1"/>
  <c r="T114" i="4" s="1"/>
  <c r="R116" i="1"/>
  <c r="Q114" i="4" s="1"/>
  <c r="T116" i="1"/>
  <c r="S114" i="4" s="1"/>
  <c r="R120" i="1"/>
  <c r="Q118" i="4" s="1"/>
  <c r="S120" i="1"/>
  <c r="R118" i="4" s="1"/>
  <c r="T120" i="1"/>
  <c r="S118" i="4" s="1"/>
  <c r="U120" i="1"/>
  <c r="T118" i="4" s="1"/>
  <c r="U124" i="1"/>
  <c r="T122" i="4" s="1"/>
  <c r="R124" i="1"/>
  <c r="Q122" i="4" s="1"/>
  <c r="T124" i="1"/>
  <c r="S122" i="4" s="1"/>
  <c r="S124" i="1"/>
  <c r="R122" i="4" s="1"/>
  <c r="T128" i="1"/>
  <c r="S126" i="4" s="1"/>
  <c r="R128" i="1"/>
  <c r="Q126" i="4" s="1"/>
  <c r="S128" i="1"/>
  <c r="R126" i="4" s="1"/>
  <c r="U128" i="1"/>
  <c r="T126" i="4" s="1"/>
  <c r="S132" i="1"/>
  <c r="R130" i="4" s="1"/>
  <c r="T132" i="1"/>
  <c r="S130" i="4" s="1"/>
  <c r="U132" i="1"/>
  <c r="T130" i="4" s="1"/>
  <c r="R132" i="1"/>
  <c r="Q130" i="4" s="1"/>
  <c r="U136" i="1"/>
  <c r="T134" i="4" s="1"/>
  <c r="S136" i="1"/>
  <c r="R134" i="4" s="1"/>
  <c r="T136" i="1"/>
  <c r="S134" i="4" s="1"/>
  <c r="R136" i="1"/>
  <c r="Q134" i="4" s="1"/>
  <c r="R140" i="1"/>
  <c r="Q138" i="4" s="1"/>
  <c r="U140" i="1"/>
  <c r="T138" i="4" s="1"/>
  <c r="S140" i="1"/>
  <c r="R138" i="4" s="1"/>
  <c r="T140" i="1"/>
  <c r="S138" i="4" s="1"/>
  <c r="R144" i="1"/>
  <c r="Q142" i="4" s="1"/>
  <c r="S144" i="1"/>
  <c r="R142" i="4" s="1"/>
  <c r="T144" i="1"/>
  <c r="S142" i="4" s="1"/>
  <c r="U144" i="1"/>
  <c r="T142" i="4" s="1"/>
  <c r="U148" i="1"/>
  <c r="T146" i="4" s="1"/>
  <c r="R148" i="1"/>
  <c r="Q146" i="4" s="1"/>
  <c r="S148" i="1"/>
  <c r="R146" i="4" s="1"/>
  <c r="T148" i="1"/>
  <c r="S146" i="4" s="1"/>
  <c r="S152" i="1"/>
  <c r="R150" i="4" s="1"/>
  <c r="U152" i="1"/>
  <c r="T150" i="4" s="1"/>
  <c r="R152" i="1"/>
  <c r="Q150" i="4" s="1"/>
  <c r="T152" i="1"/>
  <c r="S150" i="4" s="1"/>
  <c r="R156" i="1"/>
  <c r="Q154" i="4" s="1"/>
  <c r="S156" i="1"/>
  <c r="R154" i="4" s="1"/>
  <c r="T156" i="1"/>
  <c r="S154" i="4" s="1"/>
  <c r="U156" i="1"/>
  <c r="T154" i="4" s="1"/>
  <c r="R160" i="1"/>
  <c r="Q158" i="4" s="1"/>
  <c r="S160" i="1"/>
  <c r="R158" i="4" s="1"/>
  <c r="T160" i="1"/>
  <c r="S158" i="4" s="1"/>
  <c r="U160" i="1"/>
  <c r="T158" i="4" s="1"/>
  <c r="T164" i="1"/>
  <c r="S162" i="4" s="1"/>
  <c r="R164" i="1"/>
  <c r="Q162" i="4" s="1"/>
  <c r="S164" i="1"/>
  <c r="R162" i="4" s="1"/>
  <c r="U164" i="1"/>
  <c r="T162" i="4" s="1"/>
  <c r="S168" i="1"/>
  <c r="R166" i="4" s="1"/>
  <c r="T168" i="1"/>
  <c r="S166" i="4" s="1"/>
  <c r="U168" i="1"/>
  <c r="T166" i="4" s="1"/>
  <c r="R168" i="1"/>
  <c r="Q166" i="4" s="1"/>
  <c r="U172" i="1"/>
  <c r="T170" i="4" s="1"/>
  <c r="S172" i="1"/>
  <c r="R170" i="4" s="1"/>
  <c r="R172" i="1"/>
  <c r="Q170" i="4" s="1"/>
  <c r="T172" i="1"/>
  <c r="S170" i="4" s="1"/>
  <c r="U176" i="1"/>
  <c r="T174" i="4" s="1"/>
  <c r="R176" i="1"/>
  <c r="Q174" i="4" s="1"/>
  <c r="S176" i="1"/>
  <c r="R174" i="4" s="1"/>
  <c r="T176" i="1"/>
  <c r="S174" i="4" s="1"/>
  <c r="R180" i="1"/>
  <c r="Q178" i="4" s="1"/>
  <c r="S180" i="1"/>
  <c r="R178" i="4" s="1"/>
  <c r="T180" i="1"/>
  <c r="S178" i="4" s="1"/>
  <c r="U180" i="1"/>
  <c r="T178" i="4" s="1"/>
  <c r="U184" i="1"/>
  <c r="T182" i="4" s="1"/>
  <c r="R184" i="1"/>
  <c r="Q182" i="4" s="1"/>
  <c r="S184" i="1"/>
  <c r="R182" i="4" s="1"/>
  <c r="T184" i="1"/>
  <c r="S182" i="4" s="1"/>
  <c r="S188" i="1"/>
  <c r="R186" i="4" s="1"/>
  <c r="U188" i="1"/>
  <c r="T186" i="4" s="1"/>
  <c r="R188" i="1"/>
  <c r="Q186" i="4" s="1"/>
  <c r="T188" i="1"/>
  <c r="S186" i="4" s="1"/>
  <c r="R192" i="1"/>
  <c r="Q190" i="4" s="1"/>
  <c r="S192" i="1"/>
  <c r="R190" i="4" s="1"/>
  <c r="T192" i="1"/>
  <c r="S190" i="4" s="1"/>
  <c r="U192" i="1"/>
  <c r="T190" i="4" s="1"/>
  <c r="R196" i="1"/>
  <c r="Q194" i="4" s="1"/>
  <c r="U196" i="1"/>
  <c r="T194" i="4" s="1"/>
  <c r="T196" i="1"/>
  <c r="S194" i="4" s="1"/>
  <c r="S196" i="1"/>
  <c r="R194" i="4" s="1"/>
  <c r="T200" i="1"/>
  <c r="S198" i="4" s="1"/>
  <c r="U200" i="1"/>
  <c r="T198" i="4" s="1"/>
  <c r="R200" i="1"/>
  <c r="Q198" i="4" s="1"/>
  <c r="S200" i="1"/>
  <c r="R198" i="4" s="1"/>
  <c r="S204" i="1"/>
  <c r="R202" i="4" s="1"/>
  <c r="T204" i="1"/>
  <c r="S202" i="4" s="1"/>
  <c r="U204" i="1"/>
  <c r="T202" i="4" s="1"/>
  <c r="R204" i="1"/>
  <c r="Q202" i="4" s="1"/>
  <c r="U208" i="1"/>
  <c r="T206" i="4" s="1"/>
  <c r="R208" i="1"/>
  <c r="Q206" i="4" s="1"/>
  <c r="S208" i="1"/>
  <c r="R206" i="4" s="1"/>
  <c r="T208" i="1"/>
  <c r="S206" i="4" s="1"/>
  <c r="R212" i="1"/>
  <c r="Q210" i="4" s="1"/>
  <c r="S212" i="1"/>
  <c r="R210" i="4" s="1"/>
  <c r="U212" i="1"/>
  <c r="T210" i="4" s="1"/>
  <c r="T212" i="1"/>
  <c r="S210" i="4" s="1"/>
  <c r="T216" i="1"/>
  <c r="S214" i="4" s="1"/>
  <c r="R216" i="1"/>
  <c r="Q214" i="4" s="1"/>
  <c r="S216" i="1"/>
  <c r="R214" i="4" s="1"/>
  <c r="U216" i="1"/>
  <c r="T214" i="4" s="1"/>
  <c r="S220" i="1"/>
  <c r="R218" i="4" s="1"/>
  <c r="R220" i="1"/>
  <c r="Q218" i="4" s="1"/>
  <c r="T220" i="1"/>
  <c r="S218" i="4" s="1"/>
  <c r="U220" i="1"/>
  <c r="T218" i="4" s="1"/>
  <c r="R224" i="1"/>
  <c r="Q222" i="4" s="1"/>
  <c r="T224" i="1"/>
  <c r="S222" i="4" s="1"/>
  <c r="S224" i="1"/>
  <c r="R222" i="4" s="1"/>
  <c r="U224" i="1"/>
  <c r="T222" i="4" s="1"/>
  <c r="R228" i="1"/>
  <c r="Q226" i="4" s="1"/>
  <c r="U228" i="1"/>
  <c r="T226" i="4" s="1"/>
  <c r="S228" i="1"/>
  <c r="R226" i="4" s="1"/>
  <c r="T228" i="1"/>
  <c r="S226" i="4" s="1"/>
  <c r="L131" i="1"/>
  <c r="L129" i="4" s="1"/>
  <c r="M131" i="1"/>
  <c r="M129" i="4" s="1"/>
  <c r="N131" i="1"/>
  <c r="N129" i="4" s="1"/>
  <c r="R29" i="1"/>
  <c r="Q27" i="4" s="1"/>
  <c r="S29" i="1"/>
  <c r="R27" i="4" s="1"/>
  <c r="T29" i="1"/>
  <c r="S27" i="4" s="1"/>
  <c r="U29" i="1"/>
  <c r="T27" i="4" s="1"/>
  <c r="R53" i="1"/>
  <c r="Q51" i="4" s="1"/>
  <c r="U53" i="1"/>
  <c r="T51" i="4" s="1"/>
  <c r="S53" i="1"/>
  <c r="R51" i="4" s="1"/>
  <c r="T53" i="1"/>
  <c r="S51" i="4" s="1"/>
  <c r="S80" i="1"/>
  <c r="R78" i="4" s="1"/>
  <c r="U80" i="1"/>
  <c r="T78" i="4" s="1"/>
  <c r="T80" i="1"/>
  <c r="S78" i="4" s="1"/>
  <c r="R80" i="1"/>
  <c r="Q78" i="4" s="1"/>
  <c r="T107" i="1"/>
  <c r="S105" i="4" s="1"/>
  <c r="R107" i="1"/>
  <c r="Q105" i="4" s="1"/>
  <c r="S107" i="1"/>
  <c r="R105" i="4" s="1"/>
  <c r="U107" i="1"/>
  <c r="T105" i="4" s="1"/>
  <c r="R147" i="1"/>
  <c r="Q145" i="4" s="1"/>
  <c r="S147" i="1"/>
  <c r="R145" i="4" s="1"/>
  <c r="T147" i="1"/>
  <c r="S145" i="4" s="1"/>
  <c r="U147" i="1"/>
  <c r="T145" i="4" s="1"/>
  <c r="T215" i="1"/>
  <c r="S213" i="4" s="1"/>
  <c r="U215" i="1"/>
  <c r="T213" i="4" s="1"/>
  <c r="R215" i="1"/>
  <c r="Q213" i="4" s="1"/>
  <c r="S215" i="1"/>
  <c r="R213" i="4" s="1"/>
  <c r="N6" i="1"/>
  <c r="N4" i="4" s="1"/>
  <c r="L6" i="1"/>
  <c r="L4" i="4" s="1"/>
  <c r="M6" i="1"/>
  <c r="M4" i="4" s="1"/>
  <c r="AA8" i="1"/>
  <c r="Y6" i="4" s="1"/>
  <c r="Y8" i="1"/>
  <c r="W6" i="4" s="1"/>
  <c r="X8" i="1"/>
  <c r="V6" i="4" s="1"/>
  <c r="Z8" i="1"/>
  <c r="X6" i="4" s="1"/>
  <c r="AL10" i="1"/>
  <c r="D8" i="4" s="1"/>
  <c r="AK10" i="1"/>
  <c r="C8" i="4" s="1"/>
  <c r="AM10" i="1"/>
  <c r="E8" i="4" s="1"/>
  <c r="AJ10" i="1"/>
  <c r="B8" i="4" s="1"/>
  <c r="U13" i="1"/>
  <c r="T11" i="4" s="1"/>
  <c r="T13" i="1"/>
  <c r="S11" i="4" s="1"/>
  <c r="S13" i="1"/>
  <c r="R11" i="4" s="1"/>
  <c r="R13" i="1"/>
  <c r="Q11" i="4" s="1"/>
  <c r="AD15" i="1"/>
  <c r="G13" i="4" s="1"/>
  <c r="AF15" i="1"/>
  <c r="I13" i="4" s="1"/>
  <c r="AG15" i="1"/>
  <c r="J13" i="4" s="1"/>
  <c r="AE15" i="1"/>
  <c r="H13" i="4" s="1"/>
  <c r="U18" i="1"/>
  <c r="T16" i="4" s="1"/>
  <c r="R18" i="1"/>
  <c r="Q16" i="4" s="1"/>
  <c r="S18" i="1"/>
  <c r="R16" i="4" s="1"/>
  <c r="T18" i="1"/>
  <c r="S16" i="4" s="1"/>
  <c r="T21" i="1"/>
  <c r="S19" i="4" s="1"/>
  <c r="U21" i="1"/>
  <c r="T19" i="4" s="1"/>
  <c r="R21" i="1"/>
  <c r="Q19" i="4" s="1"/>
  <c r="S21" i="1"/>
  <c r="R19" i="4" s="1"/>
  <c r="S24" i="1"/>
  <c r="R22" i="4" s="1"/>
  <c r="T24" i="1"/>
  <c r="S22" i="4" s="1"/>
  <c r="U24" i="1"/>
  <c r="T22" i="4" s="1"/>
  <c r="R24" i="1"/>
  <c r="Q22" i="4" s="1"/>
  <c r="R27" i="1"/>
  <c r="Q25" i="4" s="1"/>
  <c r="S27" i="1"/>
  <c r="R25" i="4" s="1"/>
  <c r="T27" i="1"/>
  <c r="S25" i="4" s="1"/>
  <c r="U27" i="1"/>
  <c r="T25" i="4" s="1"/>
  <c r="R30" i="1"/>
  <c r="Q28" i="4" s="1"/>
  <c r="S30" i="1"/>
  <c r="R28" i="4" s="1"/>
  <c r="T30" i="1"/>
  <c r="S28" i="4" s="1"/>
  <c r="U30" i="1"/>
  <c r="T28" i="4" s="1"/>
  <c r="R33" i="1"/>
  <c r="Q31" i="4" s="1"/>
  <c r="S33" i="1"/>
  <c r="R31" i="4" s="1"/>
  <c r="T33" i="1"/>
  <c r="S31" i="4" s="1"/>
  <c r="U33" i="1"/>
  <c r="T31" i="4" s="1"/>
  <c r="R36" i="1"/>
  <c r="Q34" i="4" s="1"/>
  <c r="S36" i="1"/>
  <c r="R34" i="4" s="1"/>
  <c r="T36" i="1"/>
  <c r="S34" i="4" s="1"/>
  <c r="U36" i="1"/>
  <c r="T34" i="4" s="1"/>
  <c r="R39" i="1"/>
  <c r="Q37" i="4" s="1"/>
  <c r="S39" i="1"/>
  <c r="R37" i="4" s="1"/>
  <c r="T39" i="1"/>
  <c r="S37" i="4" s="1"/>
  <c r="U39" i="1"/>
  <c r="T37" i="4" s="1"/>
  <c r="R42" i="1"/>
  <c r="Q40" i="4" s="1"/>
  <c r="S42" i="1"/>
  <c r="R40" i="4" s="1"/>
  <c r="T42" i="1"/>
  <c r="S40" i="4" s="1"/>
  <c r="U42" i="1"/>
  <c r="T40" i="4" s="1"/>
  <c r="R45" i="1"/>
  <c r="Q43" i="4" s="1"/>
  <c r="S45" i="1"/>
  <c r="R43" i="4" s="1"/>
  <c r="T45" i="1"/>
  <c r="S43" i="4" s="1"/>
  <c r="U45" i="1"/>
  <c r="T43" i="4" s="1"/>
  <c r="R48" i="1"/>
  <c r="Q46" i="4" s="1"/>
  <c r="S48" i="1"/>
  <c r="R46" i="4" s="1"/>
  <c r="T48" i="1"/>
  <c r="S46" i="4" s="1"/>
  <c r="U48" i="1"/>
  <c r="T46" i="4" s="1"/>
  <c r="R51" i="1"/>
  <c r="Q49" i="4" s="1"/>
  <c r="S51" i="1"/>
  <c r="R49" i="4" s="1"/>
  <c r="T51" i="1"/>
  <c r="S49" i="4" s="1"/>
  <c r="U51" i="1"/>
  <c r="T49" i="4" s="1"/>
  <c r="U54" i="1"/>
  <c r="T52" i="4" s="1"/>
  <c r="R54" i="1"/>
  <c r="Q52" i="4" s="1"/>
  <c r="S54" i="1"/>
  <c r="R52" i="4" s="1"/>
  <c r="T54" i="1"/>
  <c r="S52" i="4" s="1"/>
  <c r="T57" i="1"/>
  <c r="S55" i="4" s="1"/>
  <c r="U57" i="1"/>
  <c r="T55" i="4" s="1"/>
  <c r="R57" i="1"/>
  <c r="Q55" i="4" s="1"/>
  <c r="S57" i="1"/>
  <c r="R55" i="4" s="1"/>
  <c r="S60" i="1"/>
  <c r="R58" i="4" s="1"/>
  <c r="T60" i="1"/>
  <c r="S58" i="4" s="1"/>
  <c r="U60" i="1"/>
  <c r="T58" i="4" s="1"/>
  <c r="R60" i="1"/>
  <c r="Q58" i="4" s="1"/>
  <c r="R63" i="1"/>
  <c r="Q61" i="4" s="1"/>
  <c r="S63" i="1"/>
  <c r="R61" i="4" s="1"/>
  <c r="T63" i="1"/>
  <c r="S61" i="4" s="1"/>
  <c r="U63" i="1"/>
  <c r="T61" i="4" s="1"/>
  <c r="R66" i="1"/>
  <c r="Q64" i="4" s="1"/>
  <c r="S66" i="1"/>
  <c r="R64" i="4" s="1"/>
  <c r="T66" i="1"/>
  <c r="S64" i="4" s="1"/>
  <c r="U66" i="1"/>
  <c r="T64" i="4" s="1"/>
  <c r="R69" i="1"/>
  <c r="Q67" i="4" s="1"/>
  <c r="S69" i="1"/>
  <c r="R67" i="4" s="1"/>
  <c r="T69" i="1"/>
  <c r="S67" i="4" s="1"/>
  <c r="U69" i="1"/>
  <c r="T67" i="4" s="1"/>
  <c r="R72" i="1"/>
  <c r="Q70" i="4" s="1"/>
  <c r="S72" i="1"/>
  <c r="R70" i="4" s="1"/>
  <c r="T72" i="1"/>
  <c r="S70" i="4" s="1"/>
  <c r="U72" i="1"/>
  <c r="T70" i="4" s="1"/>
  <c r="R75" i="1"/>
  <c r="Q73" i="4" s="1"/>
  <c r="S75" i="1"/>
  <c r="R73" i="4" s="1"/>
  <c r="T75" i="1"/>
  <c r="S73" i="4" s="1"/>
  <c r="U75" i="1"/>
  <c r="T73" i="4" s="1"/>
  <c r="R78" i="1"/>
  <c r="Q76" i="4" s="1"/>
  <c r="S78" i="1"/>
  <c r="R76" i="4" s="1"/>
  <c r="T78" i="1"/>
  <c r="S76" i="4" s="1"/>
  <c r="U78" i="1"/>
  <c r="T76" i="4" s="1"/>
  <c r="R81" i="1"/>
  <c r="Q79" i="4" s="1"/>
  <c r="S81" i="1"/>
  <c r="R79" i="4" s="1"/>
  <c r="T81" i="1"/>
  <c r="S79" i="4" s="1"/>
  <c r="U81" i="1"/>
  <c r="T79" i="4" s="1"/>
  <c r="X84" i="1"/>
  <c r="V82" i="4" s="1"/>
  <c r="Y84" i="1"/>
  <c r="W82" i="4" s="1"/>
  <c r="AA84" i="1"/>
  <c r="Y82" i="4" s="1"/>
  <c r="Z84" i="1"/>
  <c r="X82" i="4" s="1"/>
  <c r="AA88" i="1"/>
  <c r="Y86" i="4" s="1"/>
  <c r="Z88" i="1"/>
  <c r="X86" i="4" s="1"/>
  <c r="X88" i="1"/>
  <c r="V86" i="4" s="1"/>
  <c r="Y88" i="1"/>
  <c r="W86" i="4" s="1"/>
  <c r="Z92" i="1"/>
  <c r="X90" i="4" s="1"/>
  <c r="X92" i="1"/>
  <c r="V90" i="4" s="1"/>
  <c r="AA92" i="1"/>
  <c r="Y90" i="4" s="1"/>
  <c r="Y92" i="1"/>
  <c r="W90" i="4" s="1"/>
  <c r="X96" i="1"/>
  <c r="V94" i="4" s="1"/>
  <c r="Z96" i="1"/>
  <c r="X94" i="4" s="1"/>
  <c r="AA96" i="1"/>
  <c r="Y94" i="4" s="1"/>
  <c r="Y96" i="1"/>
  <c r="W94" i="4" s="1"/>
  <c r="X100" i="1"/>
  <c r="V98" i="4" s="1"/>
  <c r="Z100" i="1"/>
  <c r="X98" i="4" s="1"/>
  <c r="Y100" i="1"/>
  <c r="W98" i="4" s="1"/>
  <c r="AA100" i="1"/>
  <c r="Y98" i="4" s="1"/>
  <c r="AA104" i="1"/>
  <c r="Y102" i="4" s="1"/>
  <c r="X104" i="1"/>
  <c r="V102" i="4" s="1"/>
  <c r="Z104" i="1"/>
  <c r="X102" i="4" s="1"/>
  <c r="Y104" i="1"/>
  <c r="W102" i="4" s="1"/>
  <c r="AA108" i="1"/>
  <c r="Y106" i="4" s="1"/>
  <c r="X108" i="1"/>
  <c r="V106" i="4" s="1"/>
  <c r="Z108" i="1"/>
  <c r="X106" i="4" s="1"/>
  <c r="Y108" i="1"/>
  <c r="W106" i="4" s="1"/>
  <c r="Z112" i="1"/>
  <c r="X110" i="4" s="1"/>
  <c r="AA112" i="1"/>
  <c r="Y110" i="4" s="1"/>
  <c r="X112" i="1"/>
  <c r="V110" i="4" s="1"/>
  <c r="Y112" i="1"/>
  <c r="W110" i="4" s="1"/>
  <c r="AA116" i="1"/>
  <c r="Y114" i="4" s="1"/>
  <c r="Z116" i="1"/>
  <c r="X114" i="4" s="1"/>
  <c r="Y116" i="1"/>
  <c r="W114" i="4" s="1"/>
  <c r="X116" i="1"/>
  <c r="V114" i="4" s="1"/>
  <c r="AA120" i="1"/>
  <c r="Y118" i="4" s="1"/>
  <c r="Z120" i="1"/>
  <c r="X118" i="4" s="1"/>
  <c r="X120" i="1"/>
  <c r="V118" i="4" s="1"/>
  <c r="Y120" i="1"/>
  <c r="W118" i="4" s="1"/>
  <c r="Z124" i="1"/>
  <c r="X122" i="4" s="1"/>
  <c r="Y124" i="1"/>
  <c r="W122" i="4" s="1"/>
  <c r="X124" i="1"/>
  <c r="V122" i="4" s="1"/>
  <c r="AA124" i="1"/>
  <c r="Y122" i="4" s="1"/>
  <c r="AA128" i="1"/>
  <c r="Y126" i="4" s="1"/>
  <c r="Y128" i="1"/>
  <c r="W126" i="4" s="1"/>
  <c r="X128" i="1"/>
  <c r="V126" i="4" s="1"/>
  <c r="Z128" i="1"/>
  <c r="X126" i="4" s="1"/>
  <c r="AA132" i="1"/>
  <c r="Y130" i="4" s="1"/>
  <c r="Y132" i="1"/>
  <c r="W130" i="4" s="1"/>
  <c r="Z132" i="1"/>
  <c r="X130" i="4" s="1"/>
  <c r="X132" i="1"/>
  <c r="V130" i="4" s="1"/>
  <c r="AA136" i="1"/>
  <c r="Y134" i="4" s="1"/>
  <c r="Z136" i="1"/>
  <c r="X134" i="4" s="1"/>
  <c r="Y136" i="1"/>
  <c r="W134" i="4" s="1"/>
  <c r="X136" i="1"/>
  <c r="V134" i="4" s="1"/>
  <c r="X140" i="1"/>
  <c r="V138" i="4" s="1"/>
  <c r="Y140" i="1"/>
  <c r="W138" i="4" s="1"/>
  <c r="Z140" i="1"/>
  <c r="X138" i="4" s="1"/>
  <c r="AA140" i="1"/>
  <c r="Y138" i="4" s="1"/>
  <c r="X144" i="1"/>
  <c r="V142" i="4" s="1"/>
  <c r="Y144" i="1"/>
  <c r="W142" i="4" s="1"/>
  <c r="Z144" i="1"/>
  <c r="X142" i="4" s="1"/>
  <c r="AA144" i="1"/>
  <c r="Y142" i="4" s="1"/>
  <c r="X148" i="1"/>
  <c r="V146" i="4" s="1"/>
  <c r="AA148" i="1"/>
  <c r="Y146" i="4" s="1"/>
  <c r="Y148" i="1"/>
  <c r="W146" i="4" s="1"/>
  <c r="Z148" i="1"/>
  <c r="X146" i="4" s="1"/>
  <c r="X152" i="1"/>
  <c r="V150" i="4" s="1"/>
  <c r="Y152" i="1"/>
  <c r="W150" i="4" s="1"/>
  <c r="AA152" i="1"/>
  <c r="Y150" i="4" s="1"/>
  <c r="Z152" i="1"/>
  <c r="X150" i="4" s="1"/>
  <c r="X156" i="1"/>
  <c r="V154" i="4" s="1"/>
  <c r="AA156" i="1"/>
  <c r="Y154" i="4" s="1"/>
  <c r="Z156" i="1"/>
  <c r="X154" i="4" s="1"/>
  <c r="Y156" i="1"/>
  <c r="W154" i="4" s="1"/>
  <c r="AA160" i="1"/>
  <c r="Y158" i="4" s="1"/>
  <c r="Z160" i="1"/>
  <c r="X158" i="4" s="1"/>
  <c r="Y160" i="1"/>
  <c r="W158" i="4" s="1"/>
  <c r="X160" i="1"/>
  <c r="V158" i="4" s="1"/>
  <c r="Z164" i="1"/>
  <c r="X162" i="4" s="1"/>
  <c r="X164" i="1"/>
  <c r="V162" i="4" s="1"/>
  <c r="Y164" i="1"/>
  <c r="W162" i="4" s="1"/>
  <c r="AA164" i="1"/>
  <c r="Y162" i="4" s="1"/>
  <c r="Z168" i="1"/>
  <c r="X166" i="4" s="1"/>
  <c r="X168" i="1"/>
  <c r="V166" i="4" s="1"/>
  <c r="Y168" i="1"/>
  <c r="W166" i="4" s="1"/>
  <c r="AA168" i="1"/>
  <c r="Y166" i="4" s="1"/>
  <c r="X172" i="1"/>
  <c r="V170" i="4" s="1"/>
  <c r="AA172" i="1"/>
  <c r="Y170" i="4" s="1"/>
  <c r="Z172" i="1"/>
  <c r="X170" i="4" s="1"/>
  <c r="Y172" i="1"/>
  <c r="W170" i="4" s="1"/>
  <c r="AA176" i="1"/>
  <c r="Y174" i="4" s="1"/>
  <c r="Y176" i="1"/>
  <c r="W174" i="4" s="1"/>
  <c r="X176" i="1"/>
  <c r="V174" i="4" s="1"/>
  <c r="Z176" i="1"/>
  <c r="X174" i="4" s="1"/>
  <c r="AA180" i="1"/>
  <c r="Y178" i="4" s="1"/>
  <c r="X180" i="1"/>
  <c r="V178" i="4" s="1"/>
  <c r="Y180" i="1"/>
  <c r="W178" i="4" s="1"/>
  <c r="Z180" i="1"/>
  <c r="X178" i="4" s="1"/>
  <c r="Z184" i="1"/>
  <c r="X182" i="4" s="1"/>
  <c r="X184" i="1"/>
  <c r="V182" i="4" s="1"/>
  <c r="AA184" i="1"/>
  <c r="Y182" i="4" s="1"/>
  <c r="Y184" i="1"/>
  <c r="W182" i="4" s="1"/>
  <c r="AA188" i="1"/>
  <c r="Y186" i="4" s="1"/>
  <c r="Z188" i="1"/>
  <c r="X186" i="4" s="1"/>
  <c r="X188" i="1"/>
  <c r="V186" i="4" s="1"/>
  <c r="Y188" i="1"/>
  <c r="W186" i="4" s="1"/>
  <c r="AA192" i="1"/>
  <c r="Y190" i="4" s="1"/>
  <c r="Z192" i="1"/>
  <c r="X190" i="4" s="1"/>
  <c r="Y192" i="1"/>
  <c r="W190" i="4" s="1"/>
  <c r="X192" i="1"/>
  <c r="V190" i="4" s="1"/>
  <c r="Z196" i="1"/>
  <c r="X194" i="4" s="1"/>
  <c r="X196" i="1"/>
  <c r="V194" i="4" s="1"/>
  <c r="AA196" i="1"/>
  <c r="Y194" i="4" s="1"/>
  <c r="Y196" i="1"/>
  <c r="W194" i="4" s="1"/>
  <c r="AA200" i="1"/>
  <c r="Y198" i="4" s="1"/>
  <c r="X200" i="1"/>
  <c r="V198" i="4" s="1"/>
  <c r="Y200" i="1"/>
  <c r="W198" i="4" s="1"/>
  <c r="Z200" i="1"/>
  <c r="X198" i="4" s="1"/>
  <c r="X204" i="1"/>
  <c r="V202" i="4" s="1"/>
  <c r="AA204" i="1"/>
  <c r="Y202" i="4" s="1"/>
  <c r="Y204" i="1"/>
  <c r="W202" i="4" s="1"/>
  <c r="Z204" i="1"/>
  <c r="X202" i="4" s="1"/>
  <c r="AA208" i="1"/>
  <c r="Y206" i="4" s="1"/>
  <c r="Z208" i="1"/>
  <c r="X206" i="4" s="1"/>
  <c r="X208" i="1"/>
  <c r="V206" i="4" s="1"/>
  <c r="Y208" i="1"/>
  <c r="W206" i="4" s="1"/>
  <c r="Y212" i="1"/>
  <c r="W210" i="4" s="1"/>
  <c r="X212" i="1"/>
  <c r="V210" i="4" s="1"/>
  <c r="AA212" i="1"/>
  <c r="Y210" i="4" s="1"/>
  <c r="Z212" i="1"/>
  <c r="X210" i="4" s="1"/>
  <c r="X216" i="1"/>
  <c r="V214" i="4" s="1"/>
  <c r="Z216" i="1"/>
  <c r="X214" i="4" s="1"/>
  <c r="AA216" i="1"/>
  <c r="Y214" i="4" s="1"/>
  <c r="Y216" i="1"/>
  <c r="W214" i="4" s="1"/>
  <c r="AA220" i="1"/>
  <c r="Y218" i="4" s="1"/>
  <c r="Y220" i="1"/>
  <c r="W218" i="4" s="1"/>
  <c r="X220" i="1"/>
  <c r="V218" i="4" s="1"/>
  <c r="Z220" i="1"/>
  <c r="X218" i="4" s="1"/>
  <c r="X224" i="1"/>
  <c r="V222" i="4" s="1"/>
  <c r="AA224" i="1"/>
  <c r="Y222" i="4" s="1"/>
  <c r="Y224" i="1"/>
  <c r="W222" i="4" s="1"/>
  <c r="Z224" i="1"/>
  <c r="X222" i="4" s="1"/>
  <c r="AA228" i="1"/>
  <c r="Y226" i="4" s="1"/>
  <c r="X228" i="1"/>
  <c r="V226" i="4" s="1"/>
  <c r="Z228" i="1"/>
  <c r="X226" i="4" s="1"/>
  <c r="Y228" i="1"/>
  <c r="W226" i="4" s="1"/>
  <c r="Y34" i="1"/>
  <c r="W32" i="4" s="1"/>
  <c r="AA34" i="1"/>
  <c r="Y32" i="4" s="1"/>
  <c r="Z34" i="1"/>
  <c r="X32" i="4" s="1"/>
  <c r="X34" i="1"/>
  <c r="V32" i="4" s="1"/>
  <c r="AA64" i="1"/>
  <c r="Y62" i="4" s="1"/>
  <c r="Z64" i="1"/>
  <c r="X62" i="4" s="1"/>
  <c r="Y64" i="1"/>
  <c r="W62" i="4" s="1"/>
  <c r="X64" i="1"/>
  <c r="V62" i="4" s="1"/>
  <c r="R102" i="1"/>
  <c r="Q100" i="4" s="1"/>
  <c r="S102" i="1"/>
  <c r="R100" i="4" s="1"/>
  <c r="T102" i="1"/>
  <c r="S100" i="4" s="1"/>
  <c r="U102" i="1"/>
  <c r="T100" i="4" s="1"/>
  <c r="R138" i="1"/>
  <c r="Q136" i="4" s="1"/>
  <c r="S138" i="1"/>
  <c r="R136" i="4" s="1"/>
  <c r="T138" i="1"/>
  <c r="S136" i="4" s="1"/>
  <c r="U138" i="1"/>
  <c r="T136" i="4" s="1"/>
  <c r="R12" i="1"/>
  <c r="Q10" i="4" s="1"/>
  <c r="S12" i="1"/>
  <c r="R10" i="4" s="1"/>
  <c r="T12" i="1"/>
  <c r="S10" i="4" s="1"/>
  <c r="U12" i="1"/>
  <c r="T10" i="4" s="1"/>
  <c r="M32" i="1"/>
  <c r="M30" i="4" s="1"/>
  <c r="L32" i="1"/>
  <c r="L30" i="4" s="1"/>
  <c r="N32" i="1"/>
  <c r="N30" i="4" s="1"/>
  <c r="M50" i="1"/>
  <c r="M48" i="4" s="1"/>
  <c r="N50" i="1"/>
  <c r="N48" i="4" s="1"/>
  <c r="L50" i="1"/>
  <c r="L48" i="4" s="1"/>
  <c r="M62" i="1"/>
  <c r="M60" i="4" s="1"/>
  <c r="N62" i="1"/>
  <c r="N60" i="4" s="1"/>
  <c r="L62" i="1"/>
  <c r="L60" i="4" s="1"/>
  <c r="M71" i="1"/>
  <c r="M69" i="4" s="1"/>
  <c r="L71" i="1"/>
  <c r="L69" i="4" s="1"/>
  <c r="N71" i="1"/>
  <c r="N69" i="4" s="1"/>
  <c r="L87" i="1"/>
  <c r="L85" i="4" s="1"/>
  <c r="N87" i="1"/>
  <c r="N85" i="4" s="1"/>
  <c r="M87" i="1"/>
  <c r="M85" i="4" s="1"/>
  <c r="L127" i="1"/>
  <c r="L125" i="4" s="1"/>
  <c r="N127" i="1"/>
  <c r="N125" i="4" s="1"/>
  <c r="M127" i="1"/>
  <c r="M125" i="4" s="1"/>
  <c r="R26" i="1"/>
  <c r="Q24" i="4" s="1"/>
  <c r="S26" i="1"/>
  <c r="R24" i="4" s="1"/>
  <c r="T26" i="1"/>
  <c r="S24" i="4" s="1"/>
  <c r="U26" i="1"/>
  <c r="T24" i="4" s="1"/>
  <c r="S50" i="1"/>
  <c r="R48" i="4" s="1"/>
  <c r="T50" i="1"/>
  <c r="S48" i="4" s="1"/>
  <c r="U50" i="1"/>
  <c r="T48" i="4" s="1"/>
  <c r="R50" i="1"/>
  <c r="Q48" i="4" s="1"/>
  <c r="R83" i="1"/>
  <c r="Q81" i="4" s="1"/>
  <c r="T83" i="1"/>
  <c r="S81" i="4" s="1"/>
  <c r="S83" i="1"/>
  <c r="R81" i="4" s="1"/>
  <c r="U83" i="1"/>
  <c r="T81" i="4" s="1"/>
  <c r="U127" i="1"/>
  <c r="T125" i="4" s="1"/>
  <c r="R127" i="1"/>
  <c r="Q125" i="4" s="1"/>
  <c r="S127" i="1"/>
  <c r="R125" i="4" s="1"/>
  <c r="T127" i="1"/>
  <c r="S125" i="4" s="1"/>
  <c r="U187" i="1"/>
  <c r="T185" i="4" s="1"/>
  <c r="S187" i="1"/>
  <c r="R185" i="4" s="1"/>
  <c r="T187" i="1"/>
  <c r="S185" i="4" s="1"/>
  <c r="R187" i="1"/>
  <c r="Q185" i="4" s="1"/>
  <c r="R6" i="1"/>
  <c r="Q4" i="4" s="1"/>
  <c r="S6" i="1"/>
  <c r="R4" i="4" s="1"/>
  <c r="T6" i="1"/>
  <c r="S4" i="4" s="1"/>
  <c r="U6" i="1"/>
  <c r="T4" i="4" s="1"/>
  <c r="AF8" i="1"/>
  <c r="I6" i="4" s="1"/>
  <c r="AE8" i="1"/>
  <c r="H6" i="4" s="1"/>
  <c r="AD8" i="1"/>
  <c r="G6" i="4" s="1"/>
  <c r="AG8" i="1"/>
  <c r="J6" i="4" s="1"/>
  <c r="L11" i="1"/>
  <c r="L9" i="4" s="1"/>
  <c r="M11" i="1"/>
  <c r="M9" i="4" s="1"/>
  <c r="N11" i="1"/>
  <c r="N9" i="4" s="1"/>
  <c r="X13" i="1"/>
  <c r="V11" i="4" s="1"/>
  <c r="AA13" i="1"/>
  <c r="Y11" i="4" s="1"/>
  <c r="Y13" i="1"/>
  <c r="W11" i="4" s="1"/>
  <c r="Z13" i="1"/>
  <c r="X11" i="4" s="1"/>
  <c r="AJ15" i="1"/>
  <c r="B13" i="4" s="1"/>
  <c r="AK15" i="1"/>
  <c r="C13" i="4" s="1"/>
  <c r="AM15" i="1"/>
  <c r="E13" i="4" s="1"/>
  <c r="AL15" i="1"/>
  <c r="D13" i="4" s="1"/>
  <c r="Z18" i="1"/>
  <c r="X16" i="4" s="1"/>
  <c r="Y18" i="1"/>
  <c r="W16" i="4" s="1"/>
  <c r="AA18" i="1"/>
  <c r="Y16" i="4" s="1"/>
  <c r="X18" i="1"/>
  <c r="V16" i="4" s="1"/>
  <c r="Z21" i="1"/>
  <c r="X19" i="4" s="1"/>
  <c r="AA21" i="1"/>
  <c r="Y19" i="4" s="1"/>
  <c r="X21" i="1"/>
  <c r="V19" i="4" s="1"/>
  <c r="Y21" i="1"/>
  <c r="W19" i="4" s="1"/>
  <c r="Z24" i="1"/>
  <c r="X22" i="4" s="1"/>
  <c r="Y24" i="1"/>
  <c r="W22" i="4" s="1"/>
  <c r="X24" i="1"/>
  <c r="V22" i="4" s="1"/>
  <c r="AA24" i="1"/>
  <c r="Y22" i="4" s="1"/>
  <c r="X27" i="1"/>
  <c r="V25" i="4" s="1"/>
  <c r="Z27" i="1"/>
  <c r="X25" i="4" s="1"/>
  <c r="AA27" i="1"/>
  <c r="Y25" i="4" s="1"/>
  <c r="Y27" i="1"/>
  <c r="W25" i="4" s="1"/>
  <c r="Z30" i="1"/>
  <c r="X28" i="4" s="1"/>
  <c r="Y30" i="1"/>
  <c r="W28" i="4" s="1"/>
  <c r="AA30" i="1"/>
  <c r="Y28" i="4" s="1"/>
  <c r="X30" i="1"/>
  <c r="V28" i="4" s="1"/>
  <c r="X33" i="1"/>
  <c r="V31" i="4" s="1"/>
  <c r="Z33" i="1"/>
  <c r="X31" i="4" s="1"/>
  <c r="AA33" i="1"/>
  <c r="Y31" i="4" s="1"/>
  <c r="Y33" i="1"/>
  <c r="W31" i="4" s="1"/>
  <c r="AA36" i="1"/>
  <c r="Y34" i="4" s="1"/>
  <c r="Y36" i="1"/>
  <c r="W34" i="4" s="1"/>
  <c r="X36" i="1"/>
  <c r="V34" i="4" s="1"/>
  <c r="Z36" i="1"/>
  <c r="X34" i="4" s="1"/>
  <c r="X39" i="1"/>
  <c r="V37" i="4" s="1"/>
  <c r="Z39" i="1"/>
  <c r="X37" i="4" s="1"/>
  <c r="AA39" i="1"/>
  <c r="Y37" i="4" s="1"/>
  <c r="Y39" i="1"/>
  <c r="W37" i="4" s="1"/>
  <c r="Y42" i="1"/>
  <c r="W40" i="4" s="1"/>
  <c r="Z42" i="1"/>
  <c r="X40" i="4" s="1"/>
  <c r="AA42" i="1"/>
  <c r="Y40" i="4" s="1"/>
  <c r="X42" i="1"/>
  <c r="V40" i="4" s="1"/>
  <c r="AA45" i="1"/>
  <c r="Y43" i="4" s="1"/>
  <c r="Y45" i="1"/>
  <c r="W43" i="4" s="1"/>
  <c r="Z45" i="1"/>
  <c r="X43" i="4" s="1"/>
  <c r="X45" i="1"/>
  <c r="V43" i="4" s="1"/>
  <c r="AA48" i="1"/>
  <c r="Y46" i="4" s="1"/>
  <c r="Z48" i="1"/>
  <c r="X46" i="4" s="1"/>
  <c r="X48" i="1"/>
  <c r="V46" i="4" s="1"/>
  <c r="Y48" i="1"/>
  <c r="W46" i="4" s="1"/>
  <c r="X51" i="1"/>
  <c r="V49" i="4" s="1"/>
  <c r="Z51" i="1"/>
  <c r="X49" i="4" s="1"/>
  <c r="AA51" i="1"/>
  <c r="Y49" i="4" s="1"/>
  <c r="Y51" i="1"/>
  <c r="W49" i="4" s="1"/>
  <c r="AA54" i="1"/>
  <c r="Y52" i="4" s="1"/>
  <c r="Z54" i="1"/>
  <c r="X52" i="4" s="1"/>
  <c r="Y54" i="1"/>
  <c r="W52" i="4" s="1"/>
  <c r="X54" i="1"/>
  <c r="V52" i="4" s="1"/>
  <c r="Z57" i="1"/>
  <c r="X55" i="4" s="1"/>
  <c r="AA57" i="1"/>
  <c r="Y55" i="4" s="1"/>
  <c r="X57" i="1"/>
  <c r="V55" i="4" s="1"/>
  <c r="Y57" i="1"/>
  <c r="W55" i="4" s="1"/>
  <c r="AA60" i="1"/>
  <c r="Y58" i="4" s="1"/>
  <c r="X60" i="1"/>
  <c r="V58" i="4" s="1"/>
  <c r="Z60" i="1"/>
  <c r="X58" i="4" s="1"/>
  <c r="Y60" i="1"/>
  <c r="W58" i="4" s="1"/>
  <c r="X63" i="1"/>
  <c r="V61" i="4" s="1"/>
  <c r="Z63" i="1"/>
  <c r="X61" i="4" s="1"/>
  <c r="AA63" i="1"/>
  <c r="Y61" i="4" s="1"/>
  <c r="Y63" i="1"/>
  <c r="W61" i="4" s="1"/>
  <c r="Y66" i="1"/>
  <c r="W64" i="4" s="1"/>
  <c r="Z66" i="1"/>
  <c r="X64" i="4" s="1"/>
  <c r="AA66" i="1"/>
  <c r="Y64" i="4" s="1"/>
  <c r="X66" i="1"/>
  <c r="V64" i="4" s="1"/>
  <c r="Z69" i="1"/>
  <c r="X67" i="4" s="1"/>
  <c r="AA69" i="1"/>
  <c r="Y67" i="4" s="1"/>
  <c r="X69" i="1"/>
  <c r="V67" i="4" s="1"/>
  <c r="Y69" i="1"/>
  <c r="W67" i="4" s="1"/>
  <c r="Z72" i="1"/>
  <c r="X70" i="4" s="1"/>
  <c r="AA72" i="1"/>
  <c r="Y70" i="4" s="1"/>
  <c r="Y72" i="1"/>
  <c r="W70" i="4" s="1"/>
  <c r="X72" i="1"/>
  <c r="V70" i="4" s="1"/>
  <c r="X75" i="1"/>
  <c r="V73" i="4" s="1"/>
  <c r="Z75" i="1"/>
  <c r="X73" i="4" s="1"/>
  <c r="Y75" i="1"/>
  <c r="W73" i="4" s="1"/>
  <c r="AA75" i="1"/>
  <c r="Y73" i="4" s="1"/>
  <c r="Y78" i="1"/>
  <c r="W76" i="4" s="1"/>
  <c r="Z78" i="1"/>
  <c r="X76" i="4" s="1"/>
  <c r="AA78" i="1"/>
  <c r="Y76" i="4" s="1"/>
  <c r="X78" i="1"/>
  <c r="V76" i="4" s="1"/>
  <c r="X81" i="1"/>
  <c r="V79" i="4" s="1"/>
  <c r="Z81" i="1"/>
  <c r="X79" i="4" s="1"/>
  <c r="AA81" i="1"/>
  <c r="Y79" i="4" s="1"/>
  <c r="Y81" i="1"/>
  <c r="W79" i="4" s="1"/>
  <c r="L85" i="1"/>
  <c r="L83" i="4" s="1"/>
  <c r="M85" i="1"/>
  <c r="M83" i="4" s="1"/>
  <c r="N85" i="1"/>
  <c r="N83" i="4" s="1"/>
  <c r="L89" i="1"/>
  <c r="L87" i="4" s="1"/>
  <c r="N89" i="1"/>
  <c r="N87" i="4" s="1"/>
  <c r="M89" i="1"/>
  <c r="M87" i="4" s="1"/>
  <c r="L93" i="1"/>
  <c r="L91" i="4" s="1"/>
  <c r="N93" i="1"/>
  <c r="N91" i="4" s="1"/>
  <c r="M93" i="1"/>
  <c r="M91" i="4" s="1"/>
  <c r="L97" i="1"/>
  <c r="L95" i="4" s="1"/>
  <c r="N97" i="1"/>
  <c r="N95" i="4" s="1"/>
  <c r="M97" i="1"/>
  <c r="M95" i="4" s="1"/>
  <c r="L101" i="1"/>
  <c r="L99" i="4" s="1"/>
  <c r="N101" i="1"/>
  <c r="N99" i="4" s="1"/>
  <c r="M101" i="1"/>
  <c r="M99" i="4" s="1"/>
  <c r="L105" i="1"/>
  <c r="L103" i="4" s="1"/>
  <c r="M105" i="1"/>
  <c r="M103" i="4" s="1"/>
  <c r="N105" i="1"/>
  <c r="N103" i="4" s="1"/>
  <c r="L109" i="1"/>
  <c r="L107" i="4" s="1"/>
  <c r="N109" i="1"/>
  <c r="N107" i="4" s="1"/>
  <c r="M109" i="1"/>
  <c r="M107" i="4" s="1"/>
  <c r="L113" i="1"/>
  <c r="L111" i="4" s="1"/>
  <c r="N113" i="1"/>
  <c r="N111" i="4" s="1"/>
  <c r="M113" i="1"/>
  <c r="M111" i="4" s="1"/>
  <c r="L117" i="1"/>
  <c r="L115" i="4" s="1"/>
  <c r="M117" i="1"/>
  <c r="M115" i="4" s="1"/>
  <c r="N117" i="1"/>
  <c r="N115" i="4" s="1"/>
  <c r="L121" i="1"/>
  <c r="L119" i="4" s="1"/>
  <c r="N121" i="1"/>
  <c r="N119" i="4" s="1"/>
  <c r="M121" i="1"/>
  <c r="M119" i="4" s="1"/>
  <c r="L125" i="1"/>
  <c r="L123" i="4" s="1"/>
  <c r="N125" i="1"/>
  <c r="N123" i="4" s="1"/>
  <c r="M125" i="1"/>
  <c r="M123" i="4" s="1"/>
  <c r="L129" i="1"/>
  <c r="L127" i="4" s="1"/>
  <c r="N129" i="1"/>
  <c r="N127" i="4" s="1"/>
  <c r="M129" i="1"/>
  <c r="M127" i="4" s="1"/>
  <c r="L133" i="1"/>
  <c r="L131" i="4" s="1"/>
  <c r="N133" i="1"/>
  <c r="N131" i="4" s="1"/>
  <c r="M133" i="1"/>
  <c r="M131" i="4" s="1"/>
  <c r="L137" i="1"/>
  <c r="L135" i="4" s="1"/>
  <c r="M137" i="1"/>
  <c r="M135" i="4" s="1"/>
  <c r="N137" i="1"/>
  <c r="N135" i="4" s="1"/>
  <c r="L141" i="1"/>
  <c r="L139" i="4" s="1"/>
  <c r="N141" i="1"/>
  <c r="N139" i="4" s="1"/>
  <c r="M141" i="1"/>
  <c r="M139" i="4" s="1"/>
  <c r="L145" i="1"/>
  <c r="L143" i="4" s="1"/>
  <c r="N145" i="1"/>
  <c r="N143" i="4" s="1"/>
  <c r="M145" i="1"/>
  <c r="M143" i="4" s="1"/>
  <c r="L149" i="1"/>
  <c r="L147" i="4" s="1"/>
  <c r="M149" i="1"/>
  <c r="M147" i="4" s="1"/>
  <c r="N149" i="1"/>
  <c r="N147" i="4" s="1"/>
  <c r="L153" i="1"/>
  <c r="L151" i="4" s="1"/>
  <c r="M153" i="1"/>
  <c r="M151" i="4" s="1"/>
  <c r="N153" i="1"/>
  <c r="N151" i="4" s="1"/>
  <c r="L157" i="1"/>
  <c r="L155" i="4" s="1"/>
  <c r="M157" i="1"/>
  <c r="M155" i="4" s="1"/>
  <c r="N157" i="1"/>
  <c r="N155" i="4" s="1"/>
  <c r="L161" i="1"/>
  <c r="L159" i="4" s="1"/>
  <c r="M161" i="1"/>
  <c r="M159" i="4" s="1"/>
  <c r="N161" i="1"/>
  <c r="N159" i="4" s="1"/>
  <c r="L165" i="1"/>
  <c r="L163" i="4" s="1"/>
  <c r="M165" i="1"/>
  <c r="M163" i="4" s="1"/>
  <c r="N165" i="1"/>
  <c r="N163" i="4" s="1"/>
  <c r="L169" i="1"/>
  <c r="L167" i="4" s="1"/>
  <c r="M169" i="1"/>
  <c r="M167" i="4" s="1"/>
  <c r="N169" i="1"/>
  <c r="N167" i="4" s="1"/>
  <c r="L173" i="1"/>
  <c r="L171" i="4" s="1"/>
  <c r="N173" i="1"/>
  <c r="N171" i="4" s="1"/>
  <c r="M173" i="1"/>
  <c r="M171" i="4" s="1"/>
  <c r="L177" i="1"/>
  <c r="L175" i="4" s="1"/>
  <c r="M177" i="1"/>
  <c r="M175" i="4" s="1"/>
  <c r="N177" i="1"/>
  <c r="N175" i="4" s="1"/>
  <c r="L181" i="1"/>
  <c r="L179" i="4" s="1"/>
  <c r="M181" i="1"/>
  <c r="M179" i="4" s="1"/>
  <c r="N181" i="1"/>
  <c r="N179" i="4" s="1"/>
  <c r="L185" i="1"/>
  <c r="L183" i="4" s="1"/>
  <c r="N185" i="1"/>
  <c r="N183" i="4" s="1"/>
  <c r="M185" i="1"/>
  <c r="M183" i="4" s="1"/>
  <c r="L189" i="1"/>
  <c r="L187" i="4" s="1"/>
  <c r="M189" i="1"/>
  <c r="M187" i="4" s="1"/>
  <c r="N189" i="1"/>
  <c r="N187" i="4" s="1"/>
  <c r="L193" i="1"/>
  <c r="L191" i="4" s="1"/>
  <c r="N193" i="1"/>
  <c r="N191" i="4" s="1"/>
  <c r="M193" i="1"/>
  <c r="M191" i="4" s="1"/>
  <c r="L197" i="1"/>
  <c r="L195" i="4" s="1"/>
  <c r="N197" i="1"/>
  <c r="N195" i="4" s="1"/>
  <c r="M197" i="1"/>
  <c r="M195" i="4" s="1"/>
  <c r="L201" i="1"/>
  <c r="L199" i="4" s="1"/>
  <c r="N201" i="1"/>
  <c r="N199" i="4" s="1"/>
  <c r="M201" i="1"/>
  <c r="M199" i="4" s="1"/>
  <c r="L205" i="1"/>
  <c r="L203" i="4" s="1"/>
  <c r="N205" i="1"/>
  <c r="N203" i="4" s="1"/>
  <c r="M205" i="1"/>
  <c r="M203" i="4" s="1"/>
  <c r="L209" i="1"/>
  <c r="L207" i="4" s="1"/>
  <c r="M209" i="1"/>
  <c r="M207" i="4" s="1"/>
  <c r="N209" i="1"/>
  <c r="N207" i="4" s="1"/>
  <c r="L213" i="1"/>
  <c r="L211" i="4" s="1"/>
  <c r="M213" i="1"/>
  <c r="M211" i="4" s="1"/>
  <c r="N213" i="1"/>
  <c r="N211" i="4" s="1"/>
  <c r="L217" i="1"/>
  <c r="L215" i="4" s="1"/>
  <c r="N217" i="1"/>
  <c r="N215" i="4" s="1"/>
  <c r="M217" i="1"/>
  <c r="M215" i="4" s="1"/>
  <c r="L221" i="1"/>
  <c r="L219" i="4" s="1"/>
  <c r="N221" i="1"/>
  <c r="N219" i="4" s="1"/>
  <c r="M221" i="1"/>
  <c r="M219" i="4" s="1"/>
  <c r="L225" i="1"/>
  <c r="L223" i="4" s="1"/>
  <c r="M225" i="1"/>
  <c r="M223" i="4" s="1"/>
  <c r="N225" i="1"/>
  <c r="N223" i="4" s="1"/>
  <c r="L229" i="1"/>
  <c r="L227" i="4" s="1"/>
  <c r="M229" i="1"/>
  <c r="M227" i="4" s="1"/>
  <c r="N229" i="1"/>
  <c r="N227" i="4" s="1"/>
  <c r="AG16" i="1"/>
  <c r="J14" i="4" s="1"/>
  <c r="AD16" i="1"/>
  <c r="G14" i="4" s="1"/>
  <c r="AE16" i="1"/>
  <c r="H14" i="4" s="1"/>
  <c r="AF16" i="1"/>
  <c r="I14" i="4" s="1"/>
  <c r="Z40" i="1"/>
  <c r="X38" i="4" s="1"/>
  <c r="AA40" i="1"/>
  <c r="Y38" i="4" s="1"/>
  <c r="Y40" i="1"/>
  <c r="W38" i="4" s="1"/>
  <c r="X40" i="1"/>
  <c r="V38" i="4" s="1"/>
  <c r="Y61" i="1"/>
  <c r="W59" i="4" s="1"/>
  <c r="AA61" i="1"/>
  <c r="Y59" i="4" s="1"/>
  <c r="Z61" i="1"/>
  <c r="X59" i="4" s="1"/>
  <c r="X61" i="1"/>
  <c r="V59" i="4" s="1"/>
  <c r="R98" i="1"/>
  <c r="Q96" i="4" s="1"/>
  <c r="S98" i="1"/>
  <c r="R96" i="4" s="1"/>
  <c r="T98" i="1"/>
  <c r="S96" i="4" s="1"/>
  <c r="U98" i="1"/>
  <c r="T96" i="4" s="1"/>
  <c r="R134" i="1"/>
  <c r="Q132" i="4" s="1"/>
  <c r="S134" i="1"/>
  <c r="R132" i="4" s="1"/>
  <c r="T134" i="1"/>
  <c r="S132" i="4" s="1"/>
  <c r="U134" i="1"/>
  <c r="T132" i="4" s="1"/>
  <c r="R174" i="1"/>
  <c r="Q172" i="4" s="1"/>
  <c r="S174" i="1"/>
  <c r="R172" i="4" s="1"/>
  <c r="T174" i="1"/>
  <c r="S172" i="4" s="1"/>
  <c r="U174" i="1"/>
  <c r="T172" i="4" s="1"/>
  <c r="N23" i="1"/>
  <c r="N21" i="4" s="1"/>
  <c r="L23" i="1"/>
  <c r="L21" i="4" s="1"/>
  <c r="M23" i="1"/>
  <c r="M21" i="4" s="1"/>
  <c r="M47" i="1"/>
  <c r="M45" i="4" s="1"/>
  <c r="N47" i="1"/>
  <c r="N45" i="4" s="1"/>
  <c r="L47" i="1"/>
  <c r="L45" i="4" s="1"/>
  <c r="L83" i="1"/>
  <c r="L81" i="4" s="1"/>
  <c r="M83" i="1"/>
  <c r="M81" i="4" s="1"/>
  <c r="N83" i="1"/>
  <c r="N81" i="4" s="1"/>
  <c r="L155" i="1"/>
  <c r="L153" i="4" s="1"/>
  <c r="M155" i="1"/>
  <c r="M153" i="4" s="1"/>
  <c r="N155" i="1"/>
  <c r="N153" i="4" s="1"/>
  <c r="AD7" i="1"/>
  <c r="G5" i="4" s="1"/>
  <c r="AF7" i="1"/>
  <c r="I5" i="4" s="1"/>
  <c r="AG7" i="1"/>
  <c r="J5" i="4" s="1"/>
  <c r="AE7" i="1"/>
  <c r="H5" i="4" s="1"/>
  <c r="T35" i="1"/>
  <c r="S33" i="4" s="1"/>
  <c r="U35" i="1"/>
  <c r="T33" i="4" s="1"/>
  <c r="R35" i="1"/>
  <c r="Q33" i="4" s="1"/>
  <c r="S35" i="1"/>
  <c r="R33" i="4" s="1"/>
  <c r="T56" i="1"/>
  <c r="S54" i="4" s="1"/>
  <c r="S56" i="1"/>
  <c r="R54" i="4" s="1"/>
  <c r="U56" i="1"/>
  <c r="T54" i="4" s="1"/>
  <c r="R56" i="1"/>
  <c r="Q54" i="4" s="1"/>
  <c r="R77" i="1"/>
  <c r="Q75" i="4" s="1"/>
  <c r="T77" i="1"/>
  <c r="S75" i="4" s="1"/>
  <c r="S77" i="1"/>
  <c r="R75" i="4" s="1"/>
  <c r="U77" i="1"/>
  <c r="T75" i="4" s="1"/>
  <c r="S103" i="1"/>
  <c r="R101" i="4" s="1"/>
  <c r="T103" i="1"/>
  <c r="S101" i="4" s="1"/>
  <c r="R103" i="1"/>
  <c r="Q101" i="4" s="1"/>
  <c r="U103" i="1"/>
  <c r="T101" i="4" s="1"/>
  <c r="U139" i="1"/>
  <c r="T137" i="4" s="1"/>
  <c r="R139" i="1"/>
  <c r="Q137" i="4" s="1"/>
  <c r="T139" i="1"/>
  <c r="S137" i="4" s="1"/>
  <c r="S139" i="1"/>
  <c r="R137" i="4" s="1"/>
  <c r="S167" i="1"/>
  <c r="R165" i="4" s="1"/>
  <c r="R167" i="1"/>
  <c r="Q165" i="4" s="1"/>
  <c r="T167" i="1"/>
  <c r="S165" i="4" s="1"/>
  <c r="U167" i="1"/>
  <c r="T165" i="4" s="1"/>
  <c r="R191" i="1"/>
  <c r="Q189" i="4" s="1"/>
  <c r="T191" i="1"/>
  <c r="S189" i="4" s="1"/>
  <c r="S191" i="1"/>
  <c r="R189" i="4" s="1"/>
  <c r="U191" i="1"/>
  <c r="T189" i="4" s="1"/>
  <c r="Z6" i="1"/>
  <c r="X4" i="4" s="1"/>
  <c r="AA6" i="1"/>
  <c r="Y4" i="4" s="1"/>
  <c r="X6" i="1"/>
  <c r="V4" i="4" s="1"/>
  <c r="Y6" i="1"/>
  <c r="W4" i="4" s="1"/>
  <c r="AL8" i="1"/>
  <c r="D6" i="4" s="1"/>
  <c r="AJ8" i="1"/>
  <c r="B6" i="4" s="1"/>
  <c r="AM8" i="1"/>
  <c r="E6" i="4" s="1"/>
  <c r="AK8" i="1"/>
  <c r="C6" i="4" s="1"/>
  <c r="R11" i="1"/>
  <c r="Q9" i="4" s="1"/>
  <c r="T11" i="1"/>
  <c r="S9" i="4" s="1"/>
  <c r="S11" i="1"/>
  <c r="R9" i="4" s="1"/>
  <c r="U11" i="1"/>
  <c r="T9" i="4" s="1"/>
  <c r="AG13" i="1"/>
  <c r="J11" i="4" s="1"/>
  <c r="AD13" i="1"/>
  <c r="G11" i="4" s="1"/>
  <c r="AF13" i="1"/>
  <c r="I11" i="4" s="1"/>
  <c r="AE13" i="1"/>
  <c r="H11" i="4" s="1"/>
  <c r="M16" i="1"/>
  <c r="M14" i="4" s="1"/>
  <c r="L16" i="1"/>
  <c r="L14" i="4" s="1"/>
  <c r="N16" i="1"/>
  <c r="N14" i="4" s="1"/>
  <c r="AJ18" i="1"/>
  <c r="B16" i="4" s="1"/>
  <c r="AK18" i="1"/>
  <c r="C16" i="4" s="1"/>
  <c r="AL18" i="1"/>
  <c r="D16" i="4" s="1"/>
  <c r="AM18" i="1"/>
  <c r="E16" i="4" s="1"/>
  <c r="AJ21" i="1"/>
  <c r="B19" i="4" s="1"/>
  <c r="AM21" i="1"/>
  <c r="E19" i="4" s="1"/>
  <c r="AK21" i="1"/>
  <c r="C19" i="4" s="1"/>
  <c r="AL21" i="1"/>
  <c r="D19" i="4" s="1"/>
  <c r="AJ24" i="1"/>
  <c r="B22" i="4" s="1"/>
  <c r="AM24" i="1"/>
  <c r="E22" i="4" s="1"/>
  <c r="AL24" i="1"/>
  <c r="D22" i="4" s="1"/>
  <c r="AK24" i="1"/>
  <c r="C22" i="4" s="1"/>
  <c r="AK27" i="1"/>
  <c r="C25" i="4" s="1"/>
  <c r="AJ27" i="1"/>
  <c r="B25" i="4" s="1"/>
  <c r="AL27" i="1"/>
  <c r="D25" i="4" s="1"/>
  <c r="AM27" i="1"/>
  <c r="E25" i="4" s="1"/>
  <c r="AJ30" i="1"/>
  <c r="B28" i="4" s="1"/>
  <c r="AL30" i="1"/>
  <c r="D28" i="4" s="1"/>
  <c r="AK30" i="1"/>
  <c r="C28" i="4" s="1"/>
  <c r="AM30" i="1"/>
  <c r="E28" i="4" s="1"/>
  <c r="AJ33" i="1"/>
  <c r="B31" i="4" s="1"/>
  <c r="AM33" i="1"/>
  <c r="E31" i="4" s="1"/>
  <c r="AK33" i="1"/>
  <c r="C31" i="4" s="1"/>
  <c r="AL33" i="1"/>
  <c r="D31" i="4" s="1"/>
  <c r="AK36" i="1"/>
  <c r="C34" i="4" s="1"/>
  <c r="AM36" i="1"/>
  <c r="E34" i="4" s="1"/>
  <c r="AL36" i="1"/>
  <c r="D34" i="4" s="1"/>
  <c r="AJ36" i="1"/>
  <c r="B34" i="4" s="1"/>
  <c r="AM39" i="1"/>
  <c r="E37" i="4" s="1"/>
  <c r="AK39" i="1"/>
  <c r="C37" i="4" s="1"/>
  <c r="AJ39" i="1"/>
  <c r="B37" i="4" s="1"/>
  <c r="AL39" i="1"/>
  <c r="D37" i="4" s="1"/>
  <c r="AJ42" i="1"/>
  <c r="B40" i="4" s="1"/>
  <c r="AL42" i="1"/>
  <c r="D40" i="4" s="1"/>
  <c r="AK42" i="1"/>
  <c r="C40" i="4" s="1"/>
  <c r="AM42" i="1"/>
  <c r="E40" i="4" s="1"/>
  <c r="AK45" i="1"/>
  <c r="C43" i="4" s="1"/>
  <c r="AL45" i="1"/>
  <c r="D43" i="4" s="1"/>
  <c r="AJ45" i="1"/>
  <c r="B43" i="4" s="1"/>
  <c r="AM45" i="1"/>
  <c r="E43" i="4" s="1"/>
  <c r="AK48" i="1"/>
  <c r="C46" i="4" s="1"/>
  <c r="AJ48" i="1"/>
  <c r="B46" i="4" s="1"/>
  <c r="AM48" i="1"/>
  <c r="E46" i="4" s="1"/>
  <c r="AL48" i="1"/>
  <c r="D46" i="4" s="1"/>
  <c r="AJ51" i="1"/>
  <c r="B49" i="4" s="1"/>
  <c r="AM51" i="1"/>
  <c r="E49" i="4" s="1"/>
  <c r="AK51" i="1"/>
  <c r="C49" i="4" s="1"/>
  <c r="AL51" i="1"/>
  <c r="D49" i="4" s="1"/>
  <c r="AK54" i="1"/>
  <c r="C52" i="4" s="1"/>
  <c r="AM54" i="1"/>
  <c r="E52" i="4" s="1"/>
  <c r="AJ54" i="1"/>
  <c r="B52" i="4" s="1"/>
  <c r="AL54" i="1"/>
  <c r="D52" i="4" s="1"/>
  <c r="AM57" i="1"/>
  <c r="E55" i="4" s="1"/>
  <c r="AK57" i="1"/>
  <c r="C55" i="4" s="1"/>
  <c r="AL57" i="1"/>
  <c r="D55" i="4" s="1"/>
  <c r="AJ57" i="1"/>
  <c r="B55" i="4" s="1"/>
  <c r="AJ60" i="1"/>
  <c r="B58" i="4" s="1"/>
  <c r="AM60" i="1"/>
  <c r="E58" i="4" s="1"/>
  <c r="AL60" i="1"/>
  <c r="D58" i="4" s="1"/>
  <c r="AK60" i="1"/>
  <c r="C58" i="4" s="1"/>
  <c r="AL63" i="1"/>
  <c r="D61" i="4" s="1"/>
  <c r="AJ63" i="1"/>
  <c r="B61" i="4" s="1"/>
  <c r="AK63" i="1"/>
  <c r="C61" i="4" s="1"/>
  <c r="AM63" i="1"/>
  <c r="E61" i="4" s="1"/>
  <c r="AK66" i="1"/>
  <c r="C64" i="4" s="1"/>
  <c r="AM66" i="1"/>
  <c r="E64" i="4" s="1"/>
  <c r="AJ66" i="1"/>
  <c r="B64" i="4" s="1"/>
  <c r="AL66" i="1"/>
  <c r="D64" i="4" s="1"/>
  <c r="AM69" i="1"/>
  <c r="E67" i="4" s="1"/>
  <c r="AJ69" i="1"/>
  <c r="B67" i="4" s="1"/>
  <c r="AK69" i="1"/>
  <c r="C67" i="4" s="1"/>
  <c r="AL69" i="1"/>
  <c r="D67" i="4" s="1"/>
  <c r="AM72" i="1"/>
  <c r="E70" i="4" s="1"/>
  <c r="AK72" i="1"/>
  <c r="C70" i="4" s="1"/>
  <c r="AL72" i="1"/>
  <c r="D70" i="4" s="1"/>
  <c r="AJ72" i="1"/>
  <c r="B70" i="4" s="1"/>
  <c r="AL75" i="1"/>
  <c r="D73" i="4" s="1"/>
  <c r="AJ75" i="1"/>
  <c r="B73" i="4" s="1"/>
  <c r="AK75" i="1"/>
  <c r="C73" i="4" s="1"/>
  <c r="AM75" i="1"/>
  <c r="E73" i="4" s="1"/>
  <c r="AK78" i="1"/>
  <c r="C76" i="4" s="1"/>
  <c r="AJ78" i="1"/>
  <c r="B76" i="4" s="1"/>
  <c r="AM78" i="1"/>
  <c r="E76" i="4" s="1"/>
  <c r="AL78" i="1"/>
  <c r="D76" i="4" s="1"/>
  <c r="AM81" i="1"/>
  <c r="E79" i="4" s="1"/>
  <c r="AJ81" i="1"/>
  <c r="B79" i="4" s="1"/>
  <c r="AK81" i="1"/>
  <c r="C79" i="4" s="1"/>
  <c r="AL81" i="1"/>
  <c r="D79" i="4" s="1"/>
  <c r="U85" i="1"/>
  <c r="T83" i="4" s="1"/>
  <c r="T85" i="1"/>
  <c r="S83" i="4" s="1"/>
  <c r="S85" i="1"/>
  <c r="R83" i="4" s="1"/>
  <c r="R85" i="1"/>
  <c r="Q83" i="4" s="1"/>
  <c r="R89" i="1"/>
  <c r="Q87" i="4" s="1"/>
  <c r="U89" i="1"/>
  <c r="T87" i="4" s="1"/>
  <c r="S89" i="1"/>
  <c r="R87" i="4" s="1"/>
  <c r="T89" i="1"/>
  <c r="S87" i="4" s="1"/>
  <c r="T93" i="1"/>
  <c r="S91" i="4" s="1"/>
  <c r="U93" i="1"/>
  <c r="T91" i="4" s="1"/>
  <c r="R93" i="1"/>
  <c r="Q91" i="4" s="1"/>
  <c r="S93" i="1"/>
  <c r="R91" i="4" s="1"/>
  <c r="R97" i="1"/>
  <c r="Q95" i="4" s="1"/>
  <c r="U97" i="1"/>
  <c r="T95" i="4" s="1"/>
  <c r="S97" i="1"/>
  <c r="R95" i="4" s="1"/>
  <c r="T97" i="1"/>
  <c r="S95" i="4" s="1"/>
  <c r="S101" i="1"/>
  <c r="R99" i="4" s="1"/>
  <c r="R101" i="1"/>
  <c r="Q99" i="4" s="1"/>
  <c r="T101" i="1"/>
  <c r="S99" i="4" s="1"/>
  <c r="U101" i="1"/>
  <c r="T99" i="4" s="1"/>
  <c r="R105" i="1"/>
  <c r="Q103" i="4" s="1"/>
  <c r="S105" i="1"/>
  <c r="R103" i="4" s="1"/>
  <c r="T105" i="1"/>
  <c r="S103" i="4" s="1"/>
  <c r="U105" i="1"/>
  <c r="T103" i="4" s="1"/>
  <c r="S109" i="1"/>
  <c r="R107" i="4" s="1"/>
  <c r="T109" i="1"/>
  <c r="S107" i="4" s="1"/>
  <c r="R109" i="1"/>
  <c r="Q107" i="4" s="1"/>
  <c r="U109" i="1"/>
  <c r="T107" i="4" s="1"/>
  <c r="R113" i="1"/>
  <c r="Q111" i="4" s="1"/>
  <c r="T113" i="1"/>
  <c r="S111" i="4" s="1"/>
  <c r="S113" i="1"/>
  <c r="R111" i="4" s="1"/>
  <c r="U113" i="1"/>
  <c r="T111" i="4" s="1"/>
  <c r="R117" i="1"/>
  <c r="Q115" i="4" s="1"/>
  <c r="S117" i="1"/>
  <c r="R115" i="4" s="1"/>
  <c r="T117" i="1"/>
  <c r="S115" i="4" s="1"/>
  <c r="U117" i="1"/>
  <c r="T115" i="4" s="1"/>
  <c r="U121" i="1"/>
  <c r="T119" i="4" s="1"/>
  <c r="S121" i="1"/>
  <c r="R119" i="4" s="1"/>
  <c r="T121" i="1"/>
  <c r="S119" i="4" s="1"/>
  <c r="R121" i="1"/>
  <c r="Q119" i="4" s="1"/>
  <c r="R125" i="1"/>
  <c r="Q123" i="4" s="1"/>
  <c r="U125" i="1"/>
  <c r="T123" i="4" s="1"/>
  <c r="S125" i="1"/>
  <c r="R123" i="4" s="1"/>
  <c r="T125" i="1"/>
  <c r="S123" i="4" s="1"/>
  <c r="T129" i="1"/>
  <c r="S127" i="4" s="1"/>
  <c r="U129" i="1"/>
  <c r="T127" i="4" s="1"/>
  <c r="R129" i="1"/>
  <c r="Q127" i="4" s="1"/>
  <c r="S129" i="1"/>
  <c r="R127" i="4" s="1"/>
  <c r="T133" i="1"/>
  <c r="S131" i="4" s="1"/>
  <c r="U133" i="1"/>
  <c r="T131" i="4" s="1"/>
  <c r="R133" i="1"/>
  <c r="Q131" i="4" s="1"/>
  <c r="S133" i="1"/>
  <c r="R131" i="4" s="1"/>
  <c r="R137" i="1"/>
  <c r="Q135" i="4" s="1"/>
  <c r="S137" i="1"/>
  <c r="R135" i="4" s="1"/>
  <c r="T137" i="1"/>
  <c r="S135" i="4" s="1"/>
  <c r="U137" i="1"/>
  <c r="T135" i="4" s="1"/>
  <c r="R141" i="1"/>
  <c r="Q139" i="4" s="1"/>
  <c r="S141" i="1"/>
  <c r="R139" i="4" s="1"/>
  <c r="T141" i="1"/>
  <c r="S139" i="4" s="1"/>
  <c r="U141" i="1"/>
  <c r="T139" i="4" s="1"/>
  <c r="U145" i="1"/>
  <c r="T143" i="4" s="1"/>
  <c r="S145" i="1"/>
  <c r="R143" i="4" s="1"/>
  <c r="R145" i="1"/>
  <c r="Q143" i="4" s="1"/>
  <c r="T145" i="1"/>
  <c r="S143" i="4" s="1"/>
  <c r="R149" i="1"/>
  <c r="Q147" i="4" s="1"/>
  <c r="T149" i="1"/>
  <c r="S147" i="4" s="1"/>
  <c r="S149" i="1"/>
  <c r="R147" i="4" s="1"/>
  <c r="U149" i="1"/>
  <c r="T147" i="4" s="1"/>
  <c r="R153" i="1"/>
  <c r="Q151" i="4" s="1"/>
  <c r="S153" i="1"/>
  <c r="R151" i="4" s="1"/>
  <c r="T153" i="1"/>
  <c r="S151" i="4" s="1"/>
  <c r="U153" i="1"/>
  <c r="T151" i="4" s="1"/>
  <c r="U157" i="1"/>
  <c r="T155" i="4" s="1"/>
  <c r="T157" i="1"/>
  <c r="S155" i="4" s="1"/>
  <c r="S157" i="1"/>
  <c r="R155" i="4" s="1"/>
  <c r="R157" i="1"/>
  <c r="Q155" i="4" s="1"/>
  <c r="R161" i="1"/>
  <c r="Q159" i="4" s="1"/>
  <c r="U161" i="1"/>
  <c r="T159" i="4" s="1"/>
  <c r="S161" i="1"/>
  <c r="R159" i="4" s="1"/>
  <c r="T161" i="1"/>
  <c r="S159" i="4" s="1"/>
  <c r="T165" i="1"/>
  <c r="S163" i="4" s="1"/>
  <c r="U165" i="1"/>
  <c r="T163" i="4" s="1"/>
  <c r="R165" i="1"/>
  <c r="Q163" i="4" s="1"/>
  <c r="S165" i="1"/>
  <c r="R163" i="4" s="1"/>
  <c r="S169" i="1"/>
  <c r="R167" i="4" s="1"/>
  <c r="T169" i="1"/>
  <c r="S167" i="4" s="1"/>
  <c r="R169" i="1"/>
  <c r="Q167" i="4" s="1"/>
  <c r="U169" i="1"/>
  <c r="T167" i="4" s="1"/>
  <c r="R173" i="1"/>
  <c r="Q171" i="4" s="1"/>
  <c r="S173" i="1"/>
  <c r="R171" i="4" s="1"/>
  <c r="T173" i="1"/>
  <c r="S171" i="4" s="1"/>
  <c r="U173" i="1"/>
  <c r="T171" i="4" s="1"/>
  <c r="R177" i="1"/>
  <c r="Q175" i="4" s="1"/>
  <c r="S177" i="1"/>
  <c r="R175" i="4" s="1"/>
  <c r="T177" i="1"/>
  <c r="S175" i="4" s="1"/>
  <c r="U177" i="1"/>
  <c r="T175" i="4" s="1"/>
  <c r="R181" i="1"/>
  <c r="Q179" i="4" s="1"/>
  <c r="S181" i="1"/>
  <c r="R179" i="4" s="1"/>
  <c r="T181" i="1"/>
  <c r="S179" i="4" s="1"/>
  <c r="U181" i="1"/>
  <c r="T179" i="4" s="1"/>
  <c r="R185" i="1"/>
  <c r="Q183" i="4" s="1"/>
  <c r="T185" i="1"/>
  <c r="S183" i="4" s="1"/>
  <c r="S185" i="1"/>
  <c r="R183" i="4" s="1"/>
  <c r="U185" i="1"/>
  <c r="T183" i="4" s="1"/>
  <c r="R189" i="1"/>
  <c r="Q187" i="4" s="1"/>
  <c r="S189" i="1"/>
  <c r="R187" i="4" s="1"/>
  <c r="T189" i="1"/>
  <c r="S187" i="4" s="1"/>
  <c r="U189" i="1"/>
  <c r="T187" i="4" s="1"/>
  <c r="U193" i="1"/>
  <c r="T191" i="4" s="1"/>
  <c r="T193" i="1"/>
  <c r="S191" i="4" s="1"/>
  <c r="S193" i="1"/>
  <c r="R191" i="4" s="1"/>
  <c r="R193" i="1"/>
  <c r="Q191" i="4" s="1"/>
  <c r="R197" i="1"/>
  <c r="Q195" i="4" s="1"/>
  <c r="U197" i="1"/>
  <c r="T195" i="4" s="1"/>
  <c r="S197" i="1"/>
  <c r="R195" i="4" s="1"/>
  <c r="T197" i="1"/>
  <c r="S195" i="4" s="1"/>
  <c r="T201" i="1"/>
  <c r="S199" i="4" s="1"/>
  <c r="U201" i="1"/>
  <c r="T199" i="4" s="1"/>
  <c r="R201" i="1"/>
  <c r="Q199" i="4" s="1"/>
  <c r="S201" i="1"/>
  <c r="R199" i="4" s="1"/>
  <c r="S205" i="1"/>
  <c r="R203" i="4" s="1"/>
  <c r="R205" i="1"/>
  <c r="Q203" i="4" s="1"/>
  <c r="U205" i="1"/>
  <c r="T203" i="4" s="1"/>
  <c r="T205" i="1"/>
  <c r="S203" i="4" s="1"/>
  <c r="R209" i="1"/>
  <c r="Q207" i="4" s="1"/>
  <c r="S209" i="1"/>
  <c r="R207" i="4" s="1"/>
  <c r="T209" i="1"/>
  <c r="S207" i="4" s="1"/>
  <c r="U209" i="1"/>
  <c r="T207" i="4" s="1"/>
  <c r="R213" i="1"/>
  <c r="Q211" i="4" s="1"/>
  <c r="S213" i="1"/>
  <c r="R211" i="4" s="1"/>
  <c r="T213" i="1"/>
  <c r="S211" i="4" s="1"/>
  <c r="U213" i="1"/>
  <c r="T211" i="4" s="1"/>
  <c r="S217" i="1"/>
  <c r="R215" i="4" s="1"/>
  <c r="R217" i="1"/>
  <c r="Q215" i="4" s="1"/>
  <c r="T217" i="1"/>
  <c r="S215" i="4" s="1"/>
  <c r="U217" i="1"/>
  <c r="T215" i="4" s="1"/>
  <c r="R221" i="1"/>
  <c r="Q219" i="4" s="1"/>
  <c r="S221" i="1"/>
  <c r="R219" i="4" s="1"/>
  <c r="T221" i="1"/>
  <c r="S219" i="4" s="1"/>
  <c r="U221" i="1"/>
  <c r="T219" i="4" s="1"/>
  <c r="U225" i="1"/>
  <c r="T223" i="4" s="1"/>
  <c r="R225" i="1"/>
  <c r="Q223" i="4" s="1"/>
  <c r="S225" i="1"/>
  <c r="R223" i="4" s="1"/>
  <c r="T225" i="1"/>
  <c r="S223" i="4" s="1"/>
  <c r="R229" i="1"/>
  <c r="Q227" i="4" s="1"/>
  <c r="U229" i="1"/>
  <c r="T227" i="4" s="1"/>
  <c r="S229" i="1"/>
  <c r="R227" i="4" s="1"/>
  <c r="T229" i="1"/>
  <c r="S227" i="4" s="1"/>
  <c r="X9" i="1"/>
  <c r="V7" i="4" s="1"/>
  <c r="Y9" i="1"/>
  <c r="W7" i="4" s="1"/>
  <c r="Z9" i="1"/>
  <c r="X7" i="4" s="1"/>
  <c r="AA9" i="1"/>
  <c r="Y7" i="4" s="1"/>
  <c r="Y31" i="1"/>
  <c r="W29" i="4" s="1"/>
  <c r="X31" i="1"/>
  <c r="V29" i="4" s="1"/>
  <c r="Z31" i="1"/>
  <c r="X29" i="4" s="1"/>
  <c r="AA31" i="1"/>
  <c r="Y29" i="4" s="1"/>
  <c r="X67" i="1"/>
  <c r="V65" i="4" s="1"/>
  <c r="Z67" i="1"/>
  <c r="X65" i="4" s="1"/>
  <c r="Y67" i="1"/>
  <c r="W65" i="4" s="1"/>
  <c r="AA67" i="1"/>
  <c r="Y65" i="4" s="1"/>
  <c r="S110" i="1"/>
  <c r="R108" i="4" s="1"/>
  <c r="U110" i="1"/>
  <c r="T108" i="4" s="1"/>
  <c r="R110" i="1"/>
  <c r="Q108" i="4" s="1"/>
  <c r="T110" i="1"/>
  <c r="S108" i="4" s="1"/>
  <c r="S154" i="1"/>
  <c r="R152" i="4" s="1"/>
  <c r="T154" i="1"/>
  <c r="S152" i="4" s="1"/>
  <c r="U154" i="1"/>
  <c r="T152" i="4" s="1"/>
  <c r="R154" i="1"/>
  <c r="Q152" i="4" s="1"/>
  <c r="Y7" i="1"/>
  <c r="W5" i="4" s="1"/>
  <c r="AA7" i="1"/>
  <c r="Y5" i="4" s="1"/>
  <c r="Z7" i="1"/>
  <c r="X5" i="4" s="1"/>
  <c r="X7" i="1"/>
  <c r="V5" i="4" s="1"/>
  <c r="M29" i="1"/>
  <c r="M27" i="4" s="1"/>
  <c r="L29" i="1"/>
  <c r="L27" i="4" s="1"/>
  <c r="N29" i="1"/>
  <c r="N27" i="4" s="1"/>
  <c r="L53" i="1"/>
  <c r="L51" i="4" s="1"/>
  <c r="N53" i="1"/>
  <c r="N51" i="4" s="1"/>
  <c r="M53" i="1"/>
  <c r="M51" i="4" s="1"/>
  <c r="L91" i="1"/>
  <c r="L89" i="4" s="1"/>
  <c r="N91" i="1"/>
  <c r="N89" i="4" s="1"/>
  <c r="M91" i="1"/>
  <c r="M89" i="4" s="1"/>
  <c r="L147" i="1"/>
  <c r="L145" i="4" s="1"/>
  <c r="N147" i="1"/>
  <c r="N145" i="4" s="1"/>
  <c r="M147" i="1"/>
  <c r="M145" i="4" s="1"/>
  <c r="S23" i="1"/>
  <c r="R21" i="4" s="1"/>
  <c r="T23" i="1"/>
  <c r="S21" i="4" s="1"/>
  <c r="U23" i="1"/>
  <c r="T21" i="4" s="1"/>
  <c r="R23" i="1"/>
  <c r="Q21" i="4" s="1"/>
  <c r="S59" i="1"/>
  <c r="R57" i="4" s="1"/>
  <c r="T59" i="1"/>
  <c r="S57" i="4" s="1"/>
  <c r="U59" i="1"/>
  <c r="T57" i="4" s="1"/>
  <c r="R59" i="1"/>
  <c r="Q57" i="4" s="1"/>
  <c r="R87" i="1"/>
  <c r="Q85" i="4" s="1"/>
  <c r="S87" i="1"/>
  <c r="R85" i="4" s="1"/>
  <c r="T87" i="1"/>
  <c r="S85" i="4" s="1"/>
  <c r="U87" i="1"/>
  <c r="T85" i="4" s="1"/>
  <c r="R119" i="1"/>
  <c r="Q117" i="4" s="1"/>
  <c r="T119" i="1"/>
  <c r="S117" i="4" s="1"/>
  <c r="S119" i="1"/>
  <c r="R117" i="4" s="1"/>
  <c r="U119" i="1"/>
  <c r="T117" i="4" s="1"/>
  <c r="U151" i="1"/>
  <c r="T149" i="4" s="1"/>
  <c r="T151" i="1"/>
  <c r="S149" i="4" s="1"/>
  <c r="R151" i="1"/>
  <c r="Q149" i="4" s="1"/>
  <c r="S151" i="1"/>
  <c r="R149" i="4" s="1"/>
  <c r="U211" i="1"/>
  <c r="T209" i="4" s="1"/>
  <c r="R211" i="1"/>
  <c r="Q209" i="4" s="1"/>
  <c r="T211" i="1"/>
  <c r="S209" i="4" s="1"/>
  <c r="S211" i="1"/>
  <c r="R209" i="4" s="1"/>
  <c r="AD6" i="1"/>
  <c r="G4" i="4" s="1"/>
  <c r="AE6" i="1"/>
  <c r="H4" i="4" s="1"/>
  <c r="AG6" i="1"/>
  <c r="J4" i="4" s="1"/>
  <c r="AF6" i="1"/>
  <c r="I4" i="4" s="1"/>
  <c r="N9" i="1"/>
  <c r="N7" i="4" s="1"/>
  <c r="L9" i="1"/>
  <c r="L7" i="4" s="1"/>
  <c r="M9" i="1"/>
  <c r="M7" i="4" s="1"/>
  <c r="Z11" i="1"/>
  <c r="X9" i="4" s="1"/>
  <c r="X11" i="1"/>
  <c r="V9" i="4" s="1"/>
  <c r="AA11" i="1"/>
  <c r="Y9" i="4" s="1"/>
  <c r="Y11" i="1"/>
  <c r="W9" i="4" s="1"/>
  <c r="AM13" i="1"/>
  <c r="E11" i="4" s="1"/>
  <c r="AK13" i="1"/>
  <c r="C11" i="4" s="1"/>
  <c r="AL13" i="1"/>
  <c r="D11" i="4" s="1"/>
  <c r="AJ13" i="1"/>
  <c r="B11" i="4" s="1"/>
  <c r="R16" i="1"/>
  <c r="Q14" i="4" s="1"/>
  <c r="S16" i="1"/>
  <c r="R14" i="4" s="1"/>
  <c r="U16" i="1"/>
  <c r="T14" i="4" s="1"/>
  <c r="T16" i="1"/>
  <c r="S14" i="4" s="1"/>
  <c r="M19" i="1"/>
  <c r="M17" i="4" s="1"/>
  <c r="L19" i="1"/>
  <c r="L17" i="4" s="1"/>
  <c r="N19" i="1"/>
  <c r="N17" i="4" s="1"/>
  <c r="M22" i="1"/>
  <c r="M20" i="4" s="1"/>
  <c r="L22" i="1"/>
  <c r="L20" i="4" s="1"/>
  <c r="N22" i="1"/>
  <c r="N20" i="4" s="1"/>
  <c r="L25" i="1"/>
  <c r="L23" i="4" s="1"/>
  <c r="M25" i="1"/>
  <c r="M23" i="4" s="1"/>
  <c r="N25" i="1"/>
  <c r="N23" i="4" s="1"/>
  <c r="N28" i="1"/>
  <c r="N26" i="4" s="1"/>
  <c r="L28" i="1"/>
  <c r="L26" i="4" s="1"/>
  <c r="M28" i="1"/>
  <c r="M26" i="4" s="1"/>
  <c r="M31" i="1"/>
  <c r="M29" i="4" s="1"/>
  <c r="L31" i="1"/>
  <c r="L29" i="4" s="1"/>
  <c r="N31" i="1"/>
  <c r="N29" i="4" s="1"/>
  <c r="L34" i="1"/>
  <c r="L32" i="4" s="1"/>
  <c r="N34" i="1"/>
  <c r="N32" i="4" s="1"/>
  <c r="M34" i="1"/>
  <c r="M32" i="4" s="1"/>
  <c r="M37" i="1"/>
  <c r="M35" i="4" s="1"/>
  <c r="N37" i="1"/>
  <c r="N35" i="4" s="1"/>
  <c r="L37" i="1"/>
  <c r="L35" i="4" s="1"/>
  <c r="N40" i="1"/>
  <c r="N38" i="4" s="1"/>
  <c r="M40" i="1"/>
  <c r="M38" i="4" s="1"/>
  <c r="L40" i="1"/>
  <c r="L38" i="4" s="1"/>
  <c r="N43" i="1"/>
  <c r="N41" i="4" s="1"/>
  <c r="L43" i="1"/>
  <c r="L41" i="4" s="1"/>
  <c r="M43" i="1"/>
  <c r="M41" i="4" s="1"/>
  <c r="L46" i="1"/>
  <c r="L44" i="4" s="1"/>
  <c r="N46" i="1"/>
  <c r="N44" i="4" s="1"/>
  <c r="M46" i="1"/>
  <c r="M44" i="4" s="1"/>
  <c r="M49" i="1"/>
  <c r="M47" i="4" s="1"/>
  <c r="L49" i="1"/>
  <c r="L47" i="4" s="1"/>
  <c r="N49" i="1"/>
  <c r="N47" i="4" s="1"/>
  <c r="L52" i="1"/>
  <c r="L50" i="4" s="1"/>
  <c r="N52" i="1"/>
  <c r="N50" i="4" s="1"/>
  <c r="M52" i="1"/>
  <c r="M50" i="4" s="1"/>
  <c r="L55" i="1"/>
  <c r="L53" i="4" s="1"/>
  <c r="N55" i="1"/>
  <c r="N53" i="4" s="1"/>
  <c r="M55" i="1"/>
  <c r="M53" i="4" s="1"/>
  <c r="M58" i="1"/>
  <c r="M56" i="4" s="1"/>
  <c r="N58" i="1"/>
  <c r="N56" i="4" s="1"/>
  <c r="L58" i="1"/>
  <c r="L56" i="4" s="1"/>
  <c r="L61" i="1"/>
  <c r="L59" i="4" s="1"/>
  <c r="N61" i="1"/>
  <c r="N59" i="4" s="1"/>
  <c r="M61" i="1"/>
  <c r="M59" i="4" s="1"/>
  <c r="N64" i="1"/>
  <c r="N62" i="4" s="1"/>
  <c r="M64" i="1"/>
  <c r="M62" i="4" s="1"/>
  <c r="L64" i="1"/>
  <c r="L62" i="4" s="1"/>
  <c r="M67" i="1"/>
  <c r="M65" i="4" s="1"/>
  <c r="N67" i="1"/>
  <c r="N65" i="4" s="1"/>
  <c r="L67" i="1"/>
  <c r="L65" i="4" s="1"/>
  <c r="M70" i="1"/>
  <c r="M68" i="4" s="1"/>
  <c r="L70" i="1"/>
  <c r="L68" i="4" s="1"/>
  <c r="N70" i="1"/>
  <c r="N68" i="4" s="1"/>
  <c r="N73" i="1"/>
  <c r="N71" i="4" s="1"/>
  <c r="M73" i="1"/>
  <c r="M71" i="4" s="1"/>
  <c r="L73" i="1"/>
  <c r="L71" i="4" s="1"/>
  <c r="N76" i="1"/>
  <c r="N74" i="4" s="1"/>
  <c r="L76" i="1"/>
  <c r="L74" i="4" s="1"/>
  <c r="M76" i="1"/>
  <c r="M74" i="4" s="1"/>
  <c r="N79" i="1"/>
  <c r="N77" i="4" s="1"/>
  <c r="L79" i="1"/>
  <c r="L77" i="4" s="1"/>
  <c r="M79" i="1"/>
  <c r="M77" i="4" s="1"/>
  <c r="M82" i="1"/>
  <c r="M80" i="4" s="1"/>
  <c r="L82" i="1"/>
  <c r="L80" i="4" s="1"/>
  <c r="N82" i="1"/>
  <c r="N80" i="4" s="1"/>
  <c r="Y85" i="1"/>
  <c r="W83" i="4" s="1"/>
  <c r="AA85" i="1"/>
  <c r="Y83" i="4" s="1"/>
  <c r="X85" i="1"/>
  <c r="V83" i="4" s="1"/>
  <c r="Z85" i="1"/>
  <c r="X83" i="4" s="1"/>
  <c r="AA89" i="1"/>
  <c r="Y87" i="4" s="1"/>
  <c r="Z89" i="1"/>
  <c r="X87" i="4" s="1"/>
  <c r="Y89" i="1"/>
  <c r="W87" i="4" s="1"/>
  <c r="X89" i="1"/>
  <c r="V87" i="4" s="1"/>
  <c r="Y93" i="1"/>
  <c r="W91" i="4" s="1"/>
  <c r="Z93" i="1"/>
  <c r="X91" i="4" s="1"/>
  <c r="AA93" i="1"/>
  <c r="Y91" i="4" s="1"/>
  <c r="X93" i="1"/>
  <c r="V91" i="4" s="1"/>
  <c r="Y97" i="1"/>
  <c r="W95" i="4" s="1"/>
  <c r="X97" i="1"/>
  <c r="V95" i="4" s="1"/>
  <c r="Z97" i="1"/>
  <c r="X95" i="4" s="1"/>
  <c r="AA97" i="1"/>
  <c r="Y95" i="4" s="1"/>
  <c r="AA101" i="1"/>
  <c r="Y99" i="4" s="1"/>
  <c r="X101" i="1"/>
  <c r="V99" i="4" s="1"/>
  <c r="Y101" i="1"/>
  <c r="W99" i="4" s="1"/>
  <c r="Z101" i="1"/>
  <c r="X99" i="4" s="1"/>
  <c r="Z105" i="1"/>
  <c r="X103" i="4" s="1"/>
  <c r="Y105" i="1"/>
  <c r="W103" i="4" s="1"/>
  <c r="AA105" i="1"/>
  <c r="Y103" i="4" s="1"/>
  <c r="X105" i="1"/>
  <c r="V103" i="4" s="1"/>
  <c r="Z109" i="1"/>
  <c r="X107" i="4" s="1"/>
  <c r="AA109" i="1"/>
  <c r="Y107" i="4" s="1"/>
  <c r="X109" i="1"/>
  <c r="V107" i="4" s="1"/>
  <c r="Y109" i="1"/>
  <c r="W107" i="4" s="1"/>
  <c r="X113" i="1"/>
  <c r="V111" i="4" s="1"/>
  <c r="AA113" i="1"/>
  <c r="Y111" i="4" s="1"/>
  <c r="Z113" i="1"/>
  <c r="X111" i="4" s="1"/>
  <c r="Y113" i="1"/>
  <c r="W111" i="4" s="1"/>
  <c r="AA117" i="1"/>
  <c r="Y115" i="4" s="1"/>
  <c r="X117" i="1"/>
  <c r="V115" i="4" s="1"/>
  <c r="Z117" i="1"/>
  <c r="X115" i="4" s="1"/>
  <c r="Y117" i="1"/>
  <c r="W115" i="4" s="1"/>
  <c r="AA121" i="1"/>
  <c r="Y119" i="4" s="1"/>
  <c r="Z121" i="1"/>
  <c r="X119" i="4" s="1"/>
  <c r="X121" i="1"/>
  <c r="V119" i="4" s="1"/>
  <c r="Y121" i="1"/>
  <c r="W119" i="4" s="1"/>
  <c r="AA125" i="1"/>
  <c r="Y123" i="4" s="1"/>
  <c r="Y125" i="1"/>
  <c r="W123" i="4" s="1"/>
  <c r="Z125" i="1"/>
  <c r="X123" i="4" s="1"/>
  <c r="X125" i="1"/>
  <c r="V123" i="4" s="1"/>
  <c r="Z129" i="1"/>
  <c r="X127" i="4" s="1"/>
  <c r="AA129" i="1"/>
  <c r="Y127" i="4" s="1"/>
  <c r="X129" i="1"/>
  <c r="V127" i="4" s="1"/>
  <c r="Y129" i="1"/>
  <c r="W127" i="4" s="1"/>
  <c r="X133" i="1"/>
  <c r="V131" i="4" s="1"/>
  <c r="AA133" i="1"/>
  <c r="Y131" i="4" s="1"/>
  <c r="Z133" i="1"/>
  <c r="X131" i="4" s="1"/>
  <c r="Y133" i="1"/>
  <c r="W131" i="4" s="1"/>
  <c r="AA137" i="1"/>
  <c r="Y135" i="4" s="1"/>
  <c r="Y137" i="1"/>
  <c r="W135" i="4" s="1"/>
  <c r="X137" i="1"/>
  <c r="V135" i="4" s="1"/>
  <c r="Z137" i="1"/>
  <c r="X135" i="4" s="1"/>
  <c r="Z141" i="1"/>
  <c r="X139" i="4" s="1"/>
  <c r="AA141" i="1"/>
  <c r="Y139" i="4" s="1"/>
  <c r="Y141" i="1"/>
  <c r="W139" i="4" s="1"/>
  <c r="X141" i="1"/>
  <c r="V139" i="4" s="1"/>
  <c r="Z145" i="1"/>
  <c r="X143" i="4" s="1"/>
  <c r="X145" i="1"/>
  <c r="V143" i="4" s="1"/>
  <c r="AA145" i="1"/>
  <c r="Y143" i="4" s="1"/>
  <c r="Y145" i="1"/>
  <c r="W143" i="4" s="1"/>
  <c r="AA149" i="1"/>
  <c r="Y147" i="4" s="1"/>
  <c r="Y149" i="1"/>
  <c r="W147" i="4" s="1"/>
  <c r="X149" i="1"/>
  <c r="V147" i="4" s="1"/>
  <c r="Z149" i="1"/>
  <c r="X147" i="4" s="1"/>
  <c r="Z153" i="1"/>
  <c r="X151" i="4" s="1"/>
  <c r="AA153" i="1"/>
  <c r="Y151" i="4" s="1"/>
  <c r="X153" i="1"/>
  <c r="V151" i="4" s="1"/>
  <c r="Y153" i="1"/>
  <c r="W151" i="4" s="1"/>
  <c r="Z157" i="1"/>
  <c r="X155" i="4" s="1"/>
  <c r="AA157" i="1"/>
  <c r="Y155" i="4" s="1"/>
  <c r="Y157" i="1"/>
  <c r="W155" i="4" s="1"/>
  <c r="X157" i="1"/>
  <c r="V155" i="4" s="1"/>
  <c r="Z161" i="1"/>
  <c r="X159" i="4" s="1"/>
  <c r="Y161" i="1"/>
  <c r="W159" i="4" s="1"/>
  <c r="AA161" i="1"/>
  <c r="Y159" i="4" s="1"/>
  <c r="X161" i="1"/>
  <c r="V159" i="4" s="1"/>
  <c r="Z165" i="1"/>
  <c r="X163" i="4" s="1"/>
  <c r="X165" i="1"/>
  <c r="V163" i="4" s="1"/>
  <c r="Y165" i="1"/>
  <c r="W163" i="4" s="1"/>
  <c r="AA165" i="1"/>
  <c r="Y163" i="4" s="1"/>
  <c r="X169" i="1"/>
  <c r="V167" i="4" s="1"/>
  <c r="AA169" i="1"/>
  <c r="Y167" i="4" s="1"/>
  <c r="Y169" i="1"/>
  <c r="W167" i="4" s="1"/>
  <c r="Z169" i="1"/>
  <c r="X167" i="4" s="1"/>
  <c r="AA173" i="1"/>
  <c r="Y171" i="4" s="1"/>
  <c r="X173" i="1"/>
  <c r="V171" i="4" s="1"/>
  <c r="Y173" i="1"/>
  <c r="W171" i="4" s="1"/>
  <c r="Z173" i="1"/>
  <c r="X171" i="4" s="1"/>
  <c r="X177" i="1"/>
  <c r="V175" i="4" s="1"/>
  <c r="AA177" i="1"/>
  <c r="Y175" i="4" s="1"/>
  <c r="Z177" i="1"/>
  <c r="X175" i="4" s="1"/>
  <c r="Y177" i="1"/>
  <c r="W175" i="4" s="1"/>
  <c r="Y181" i="1"/>
  <c r="W179" i="4" s="1"/>
  <c r="AA181" i="1"/>
  <c r="Y179" i="4" s="1"/>
  <c r="Z181" i="1"/>
  <c r="X179" i="4" s="1"/>
  <c r="X181" i="1"/>
  <c r="V179" i="4" s="1"/>
  <c r="AA185" i="1"/>
  <c r="Y183" i="4" s="1"/>
  <c r="X185" i="1"/>
  <c r="V183" i="4" s="1"/>
  <c r="Z185" i="1"/>
  <c r="X183" i="4" s="1"/>
  <c r="Y185" i="1"/>
  <c r="W183" i="4" s="1"/>
  <c r="X189" i="1"/>
  <c r="V187" i="4" s="1"/>
  <c r="Y189" i="1"/>
  <c r="W187" i="4" s="1"/>
  <c r="AA189" i="1"/>
  <c r="Y187" i="4" s="1"/>
  <c r="Z189" i="1"/>
  <c r="X187" i="4" s="1"/>
  <c r="AA193" i="1"/>
  <c r="Y191" i="4" s="1"/>
  <c r="Z193" i="1"/>
  <c r="X191" i="4" s="1"/>
  <c r="Y193" i="1"/>
  <c r="W191" i="4" s="1"/>
  <c r="X193" i="1"/>
  <c r="V191" i="4" s="1"/>
  <c r="Z197" i="1"/>
  <c r="X195" i="4" s="1"/>
  <c r="X197" i="1"/>
  <c r="V195" i="4" s="1"/>
  <c r="AA197" i="1"/>
  <c r="Y195" i="4" s="1"/>
  <c r="Y197" i="1"/>
  <c r="W195" i="4" s="1"/>
  <c r="Z201" i="1"/>
  <c r="X199" i="4" s="1"/>
  <c r="X201" i="1"/>
  <c r="V199" i="4" s="1"/>
  <c r="Y201" i="1"/>
  <c r="W199" i="4" s="1"/>
  <c r="AA201" i="1"/>
  <c r="Y199" i="4" s="1"/>
  <c r="AA205" i="1"/>
  <c r="Y203" i="4" s="1"/>
  <c r="X205" i="1"/>
  <c r="V203" i="4" s="1"/>
  <c r="Z205" i="1"/>
  <c r="X203" i="4" s="1"/>
  <c r="Y205" i="1"/>
  <c r="W203" i="4" s="1"/>
  <c r="X209" i="1"/>
  <c r="V207" i="4" s="1"/>
  <c r="AA209" i="1"/>
  <c r="Y207" i="4" s="1"/>
  <c r="Z209" i="1"/>
  <c r="X207" i="4" s="1"/>
  <c r="Y209" i="1"/>
  <c r="W207" i="4" s="1"/>
  <c r="Y213" i="1"/>
  <c r="W211" i="4" s="1"/>
  <c r="X213" i="1"/>
  <c r="V211" i="4" s="1"/>
  <c r="Z213" i="1"/>
  <c r="X211" i="4" s="1"/>
  <c r="AA213" i="1"/>
  <c r="Y211" i="4" s="1"/>
  <c r="AA217" i="1"/>
  <c r="Y215" i="4" s="1"/>
  <c r="Z217" i="1"/>
  <c r="X215" i="4" s="1"/>
  <c r="Y217" i="1"/>
  <c r="W215" i="4" s="1"/>
  <c r="X217" i="1"/>
  <c r="V215" i="4" s="1"/>
  <c r="Z221" i="1"/>
  <c r="X219" i="4" s="1"/>
  <c r="X221" i="1"/>
  <c r="V219" i="4" s="1"/>
  <c r="AA221" i="1"/>
  <c r="Y219" i="4" s="1"/>
  <c r="Y221" i="1"/>
  <c r="W219" i="4" s="1"/>
  <c r="X225" i="1"/>
  <c r="V223" i="4" s="1"/>
  <c r="Y225" i="1"/>
  <c r="W223" i="4" s="1"/>
  <c r="Z225" i="1"/>
  <c r="X223" i="4" s="1"/>
  <c r="AA225" i="1"/>
  <c r="Y223" i="4" s="1"/>
  <c r="Y229" i="1"/>
  <c r="W227" i="4" s="1"/>
  <c r="X229" i="1"/>
  <c r="V227" i="4" s="1"/>
  <c r="Z229" i="1"/>
  <c r="X227" i="4" s="1"/>
  <c r="AA229" i="1"/>
  <c r="Y227" i="4" s="1"/>
  <c r="Z22" i="1"/>
  <c r="X20" i="4" s="1"/>
  <c r="AA22" i="1"/>
  <c r="Y20" i="4" s="1"/>
  <c r="X22" i="1"/>
  <c r="V20" i="4" s="1"/>
  <c r="Y22" i="1"/>
  <c r="W20" i="4" s="1"/>
  <c r="Z58" i="1"/>
  <c r="X56" i="4" s="1"/>
  <c r="X58" i="1"/>
  <c r="V56" i="4" s="1"/>
  <c r="Y58" i="1"/>
  <c r="W56" i="4" s="1"/>
  <c r="AA58" i="1"/>
  <c r="Y56" i="4" s="1"/>
  <c r="U90" i="1"/>
  <c r="T88" i="4" s="1"/>
  <c r="R90" i="1"/>
  <c r="Q88" i="4" s="1"/>
  <c r="S90" i="1"/>
  <c r="R88" i="4" s="1"/>
  <c r="T90" i="1"/>
  <c r="S88" i="4" s="1"/>
  <c r="U126" i="1"/>
  <c r="T124" i="4" s="1"/>
  <c r="R126" i="1"/>
  <c r="Q124" i="4" s="1"/>
  <c r="S126" i="1"/>
  <c r="R124" i="4" s="1"/>
  <c r="T126" i="1"/>
  <c r="S124" i="4" s="1"/>
  <c r="U162" i="1"/>
  <c r="T160" i="4" s="1"/>
  <c r="R162" i="1"/>
  <c r="Q160" i="4" s="1"/>
  <c r="S162" i="1"/>
  <c r="R160" i="4" s="1"/>
  <c r="T162" i="1"/>
  <c r="S160" i="4" s="1"/>
  <c r="M26" i="1"/>
  <c r="M24" i="4" s="1"/>
  <c r="N26" i="1"/>
  <c r="N24" i="4" s="1"/>
  <c r="L26" i="1"/>
  <c r="L24" i="4" s="1"/>
  <c r="N74" i="1"/>
  <c r="N72" i="4" s="1"/>
  <c r="M74" i="1"/>
  <c r="M72" i="4" s="1"/>
  <c r="L74" i="1"/>
  <c r="L72" i="4" s="1"/>
  <c r="L151" i="1"/>
  <c r="L149" i="4" s="1"/>
  <c r="M151" i="1"/>
  <c r="M149" i="4" s="1"/>
  <c r="N151" i="1"/>
  <c r="N149" i="4" s="1"/>
  <c r="M10" i="1"/>
  <c r="M8" i="4" s="1"/>
  <c r="L10" i="1"/>
  <c r="L8" i="4" s="1"/>
  <c r="N10" i="1"/>
  <c r="N8" i="4" s="1"/>
  <c r="S38" i="1"/>
  <c r="R36" i="4" s="1"/>
  <c r="U38" i="1"/>
  <c r="T36" i="4" s="1"/>
  <c r="T38" i="1"/>
  <c r="S36" i="4" s="1"/>
  <c r="R38" i="1"/>
  <c r="Q36" i="4" s="1"/>
  <c r="T71" i="1"/>
  <c r="S69" i="4" s="1"/>
  <c r="S71" i="1"/>
  <c r="R69" i="4" s="1"/>
  <c r="R71" i="1"/>
  <c r="Q69" i="4" s="1"/>
  <c r="U71" i="1"/>
  <c r="T69" i="4" s="1"/>
  <c r="R99" i="1"/>
  <c r="Q97" i="4" s="1"/>
  <c r="S99" i="1"/>
  <c r="R97" i="4" s="1"/>
  <c r="T99" i="1"/>
  <c r="S97" i="4" s="1"/>
  <c r="U99" i="1"/>
  <c r="T97" i="4" s="1"/>
  <c r="S131" i="1"/>
  <c r="R129" i="4" s="1"/>
  <c r="R131" i="1"/>
  <c r="Q129" i="4" s="1"/>
  <c r="T131" i="1"/>
  <c r="S129" i="4" s="1"/>
  <c r="U131" i="1"/>
  <c r="T129" i="4" s="1"/>
  <c r="U163" i="1"/>
  <c r="T161" i="4" s="1"/>
  <c r="R163" i="1"/>
  <c r="Q161" i="4" s="1"/>
  <c r="S163" i="1"/>
  <c r="R161" i="4" s="1"/>
  <c r="T163" i="1"/>
  <c r="S161" i="4" s="1"/>
  <c r="U199" i="1"/>
  <c r="T197" i="4" s="1"/>
  <c r="R199" i="1"/>
  <c r="Q197" i="4" s="1"/>
  <c r="S199" i="1"/>
  <c r="R197" i="4" s="1"/>
  <c r="T199" i="1"/>
  <c r="S197" i="4" s="1"/>
  <c r="AK6" i="1"/>
  <c r="C4" i="4" s="1"/>
  <c r="AJ6" i="1"/>
  <c r="B4" i="4" s="1"/>
  <c r="AM6" i="1"/>
  <c r="E4" i="4" s="1"/>
  <c r="AL6" i="1"/>
  <c r="D4" i="4" s="1"/>
  <c r="R9" i="1"/>
  <c r="Q7" i="4" s="1"/>
  <c r="S9" i="1"/>
  <c r="R7" i="4" s="1"/>
  <c r="T9" i="1"/>
  <c r="S7" i="4" s="1"/>
  <c r="U9" i="1"/>
  <c r="T7" i="4" s="1"/>
  <c r="AE11" i="1"/>
  <c r="H9" i="4" s="1"/>
  <c r="AF11" i="1"/>
  <c r="I9" i="4" s="1"/>
  <c r="AG11" i="1"/>
  <c r="J9" i="4" s="1"/>
  <c r="AD11" i="1"/>
  <c r="G9" i="4" s="1"/>
  <c r="L14" i="1"/>
  <c r="L12" i="4" s="1"/>
  <c r="N14" i="1"/>
  <c r="N12" i="4" s="1"/>
  <c r="M14" i="1"/>
  <c r="M12" i="4" s="1"/>
  <c r="AA16" i="1"/>
  <c r="Y14" i="4" s="1"/>
  <c r="Z16" i="1"/>
  <c r="X14" i="4" s="1"/>
  <c r="X16" i="1"/>
  <c r="V14" i="4" s="1"/>
  <c r="Y16" i="1"/>
  <c r="W14" i="4" s="1"/>
  <c r="U19" i="1"/>
  <c r="T17" i="4" s="1"/>
  <c r="T19" i="1"/>
  <c r="S17" i="4" s="1"/>
  <c r="R19" i="1"/>
  <c r="Q17" i="4" s="1"/>
  <c r="S19" i="1"/>
  <c r="R17" i="4" s="1"/>
  <c r="S22" i="1"/>
  <c r="R20" i="4" s="1"/>
  <c r="R22" i="1"/>
  <c r="Q20" i="4" s="1"/>
  <c r="T22" i="1"/>
  <c r="S20" i="4" s="1"/>
  <c r="U22" i="1"/>
  <c r="T20" i="4" s="1"/>
  <c r="R25" i="1"/>
  <c r="Q23" i="4" s="1"/>
  <c r="S25" i="1"/>
  <c r="R23" i="4" s="1"/>
  <c r="U25" i="1"/>
  <c r="T23" i="4" s="1"/>
  <c r="T25" i="1"/>
  <c r="S23" i="4" s="1"/>
  <c r="U28" i="1"/>
  <c r="T26" i="4" s="1"/>
  <c r="R28" i="1"/>
  <c r="Q26" i="4" s="1"/>
  <c r="S28" i="1"/>
  <c r="R26" i="4" s="1"/>
  <c r="T28" i="1"/>
  <c r="S26" i="4" s="1"/>
  <c r="S31" i="1"/>
  <c r="R29" i="4" s="1"/>
  <c r="T31" i="1"/>
  <c r="S29" i="4" s="1"/>
  <c r="R31" i="1"/>
  <c r="Q29" i="4" s="1"/>
  <c r="U31" i="1"/>
  <c r="T29" i="4" s="1"/>
  <c r="U34" i="1"/>
  <c r="T32" i="4" s="1"/>
  <c r="S34" i="1"/>
  <c r="R32" i="4" s="1"/>
  <c r="R34" i="1"/>
  <c r="Q32" i="4" s="1"/>
  <c r="T34" i="1"/>
  <c r="S32" i="4" s="1"/>
  <c r="S37" i="1"/>
  <c r="R35" i="4" s="1"/>
  <c r="T37" i="1"/>
  <c r="S35" i="4" s="1"/>
  <c r="U37" i="1"/>
  <c r="T35" i="4" s="1"/>
  <c r="R37" i="1"/>
  <c r="Q35" i="4" s="1"/>
  <c r="S40" i="1"/>
  <c r="R38" i="4" s="1"/>
  <c r="T40" i="1"/>
  <c r="S38" i="4" s="1"/>
  <c r="U40" i="1"/>
  <c r="T38" i="4" s="1"/>
  <c r="R40" i="1"/>
  <c r="Q38" i="4" s="1"/>
  <c r="U43" i="1"/>
  <c r="T41" i="4" s="1"/>
  <c r="S43" i="1"/>
  <c r="R41" i="4" s="1"/>
  <c r="T43" i="1"/>
  <c r="S41" i="4" s="1"/>
  <c r="R43" i="1"/>
  <c r="Q41" i="4" s="1"/>
  <c r="S46" i="1"/>
  <c r="R44" i="4" s="1"/>
  <c r="U46" i="1"/>
  <c r="T44" i="4" s="1"/>
  <c r="T46" i="1"/>
  <c r="S44" i="4" s="1"/>
  <c r="R46" i="1"/>
  <c r="Q44" i="4" s="1"/>
  <c r="U49" i="1"/>
  <c r="T47" i="4" s="1"/>
  <c r="S49" i="1"/>
  <c r="R47" i="4" s="1"/>
  <c r="T49" i="1"/>
  <c r="S47" i="4" s="1"/>
  <c r="R49" i="1"/>
  <c r="Q47" i="4" s="1"/>
  <c r="R52" i="1"/>
  <c r="Q50" i="4" s="1"/>
  <c r="T52" i="1"/>
  <c r="S50" i="4" s="1"/>
  <c r="S52" i="1"/>
  <c r="R50" i="4" s="1"/>
  <c r="U52" i="1"/>
  <c r="T50" i="4" s="1"/>
  <c r="U55" i="1"/>
  <c r="T53" i="4" s="1"/>
  <c r="R55" i="1"/>
  <c r="Q53" i="4" s="1"/>
  <c r="S55" i="1"/>
  <c r="R53" i="4" s="1"/>
  <c r="T55" i="1"/>
  <c r="S53" i="4" s="1"/>
  <c r="R58" i="1"/>
  <c r="Q56" i="4" s="1"/>
  <c r="S58" i="1"/>
  <c r="R56" i="4" s="1"/>
  <c r="T58" i="1"/>
  <c r="S56" i="4" s="1"/>
  <c r="U58" i="1"/>
  <c r="T56" i="4" s="1"/>
  <c r="U61" i="1"/>
  <c r="T59" i="4" s="1"/>
  <c r="R61" i="1"/>
  <c r="Q59" i="4" s="1"/>
  <c r="S61" i="1"/>
  <c r="R59" i="4" s="1"/>
  <c r="T61" i="1"/>
  <c r="S59" i="4" s="1"/>
  <c r="U64" i="1"/>
  <c r="T62" i="4" s="1"/>
  <c r="R64" i="1"/>
  <c r="Q62" i="4" s="1"/>
  <c r="S64" i="1"/>
  <c r="R62" i="4" s="1"/>
  <c r="T64" i="1"/>
  <c r="S62" i="4" s="1"/>
  <c r="U67" i="1"/>
  <c r="T65" i="4" s="1"/>
  <c r="R67" i="1"/>
  <c r="Q65" i="4" s="1"/>
  <c r="T67" i="1"/>
  <c r="S65" i="4" s="1"/>
  <c r="S67" i="1"/>
  <c r="R65" i="4" s="1"/>
  <c r="U70" i="1"/>
  <c r="T68" i="4" s="1"/>
  <c r="T70" i="1"/>
  <c r="S68" i="4" s="1"/>
  <c r="S70" i="1"/>
  <c r="R68" i="4" s="1"/>
  <c r="R70" i="1"/>
  <c r="Q68" i="4" s="1"/>
  <c r="U73" i="1"/>
  <c r="T71" i="4" s="1"/>
  <c r="S73" i="1"/>
  <c r="R71" i="4" s="1"/>
  <c r="T73" i="1"/>
  <c r="S71" i="4" s="1"/>
  <c r="R73" i="1"/>
  <c r="Q71" i="4" s="1"/>
  <c r="U76" i="1"/>
  <c r="T74" i="4" s="1"/>
  <c r="S76" i="1"/>
  <c r="R74" i="4" s="1"/>
  <c r="T76" i="1"/>
  <c r="S74" i="4" s="1"/>
  <c r="R76" i="1"/>
  <c r="Q74" i="4" s="1"/>
  <c r="U79" i="1"/>
  <c r="T77" i="4" s="1"/>
  <c r="S79" i="1"/>
  <c r="R77" i="4" s="1"/>
  <c r="R79" i="1"/>
  <c r="Q77" i="4" s="1"/>
  <c r="T79" i="1"/>
  <c r="S77" i="4" s="1"/>
  <c r="U82" i="1"/>
  <c r="T80" i="4" s="1"/>
  <c r="R82" i="1"/>
  <c r="Q80" i="4" s="1"/>
  <c r="S82" i="1"/>
  <c r="R80" i="4" s="1"/>
  <c r="T82" i="1"/>
  <c r="S80" i="4" s="1"/>
  <c r="L86" i="1"/>
  <c r="L84" i="4" s="1"/>
  <c r="N86" i="1"/>
  <c r="N84" i="4" s="1"/>
  <c r="M86" i="1"/>
  <c r="M84" i="4" s="1"/>
  <c r="L90" i="1"/>
  <c r="L88" i="4" s="1"/>
  <c r="M90" i="1"/>
  <c r="M88" i="4" s="1"/>
  <c r="N90" i="1"/>
  <c r="N88" i="4" s="1"/>
  <c r="L94" i="1"/>
  <c r="L92" i="4" s="1"/>
  <c r="N94" i="1"/>
  <c r="N92" i="4" s="1"/>
  <c r="M94" i="1"/>
  <c r="M92" i="4" s="1"/>
  <c r="L98" i="1"/>
  <c r="L96" i="4" s="1"/>
  <c r="N98" i="1"/>
  <c r="N96" i="4" s="1"/>
  <c r="M98" i="1"/>
  <c r="M96" i="4" s="1"/>
  <c r="L102" i="1"/>
  <c r="L100" i="4" s="1"/>
  <c r="M102" i="1"/>
  <c r="M100" i="4" s="1"/>
  <c r="N102" i="1"/>
  <c r="N100" i="4" s="1"/>
  <c r="L106" i="1"/>
  <c r="L104" i="4" s="1"/>
  <c r="N106" i="1"/>
  <c r="N104" i="4" s="1"/>
  <c r="M106" i="1"/>
  <c r="M104" i="4" s="1"/>
  <c r="L110" i="1"/>
  <c r="L108" i="4" s="1"/>
  <c r="M110" i="1"/>
  <c r="M108" i="4" s="1"/>
  <c r="N110" i="1"/>
  <c r="N108" i="4" s="1"/>
  <c r="L114" i="1"/>
  <c r="L112" i="4" s="1"/>
  <c r="N114" i="1"/>
  <c r="N112" i="4" s="1"/>
  <c r="M114" i="1"/>
  <c r="M112" i="4" s="1"/>
  <c r="L118" i="1"/>
  <c r="L116" i="4" s="1"/>
  <c r="N118" i="1"/>
  <c r="N116" i="4" s="1"/>
  <c r="M118" i="1"/>
  <c r="M116" i="4" s="1"/>
  <c r="L122" i="1"/>
  <c r="L120" i="4" s="1"/>
  <c r="N122" i="1"/>
  <c r="N120" i="4" s="1"/>
  <c r="M122" i="1"/>
  <c r="M120" i="4" s="1"/>
  <c r="L126" i="1"/>
  <c r="L124" i="4" s="1"/>
  <c r="M126" i="1"/>
  <c r="M124" i="4" s="1"/>
  <c r="N126" i="1"/>
  <c r="N124" i="4" s="1"/>
  <c r="L130" i="1"/>
  <c r="L128" i="4" s="1"/>
  <c r="N130" i="1"/>
  <c r="N128" i="4" s="1"/>
  <c r="M130" i="1"/>
  <c r="M128" i="4" s="1"/>
  <c r="L134" i="1"/>
  <c r="L132" i="4" s="1"/>
  <c r="M134" i="1"/>
  <c r="M132" i="4" s="1"/>
  <c r="N134" i="1"/>
  <c r="N132" i="4" s="1"/>
  <c r="L138" i="1"/>
  <c r="L136" i="4" s="1"/>
  <c r="M138" i="1"/>
  <c r="M136" i="4" s="1"/>
  <c r="N138" i="1"/>
  <c r="N136" i="4" s="1"/>
  <c r="L142" i="1"/>
  <c r="L140" i="4" s="1"/>
  <c r="N142" i="1"/>
  <c r="N140" i="4" s="1"/>
  <c r="M142" i="1"/>
  <c r="M140" i="4" s="1"/>
  <c r="L146" i="1"/>
  <c r="L144" i="4" s="1"/>
  <c r="M146" i="1"/>
  <c r="M144" i="4" s="1"/>
  <c r="N146" i="1"/>
  <c r="N144" i="4" s="1"/>
  <c r="N150" i="1"/>
  <c r="N148" i="4" s="1"/>
  <c r="L150" i="1"/>
  <c r="L148" i="4" s="1"/>
  <c r="M150" i="1"/>
  <c r="M148" i="4" s="1"/>
  <c r="L154" i="1"/>
  <c r="L152" i="4" s="1"/>
  <c r="M154" i="1"/>
  <c r="M152" i="4" s="1"/>
  <c r="N154" i="1"/>
  <c r="N152" i="4" s="1"/>
  <c r="L158" i="1"/>
  <c r="L156" i="4" s="1"/>
  <c r="N158" i="1"/>
  <c r="N156" i="4" s="1"/>
  <c r="M158" i="1"/>
  <c r="M156" i="4" s="1"/>
  <c r="L162" i="1"/>
  <c r="L160" i="4" s="1"/>
  <c r="M162" i="1"/>
  <c r="M160" i="4" s="1"/>
  <c r="N162" i="1"/>
  <c r="N160" i="4" s="1"/>
  <c r="L166" i="1"/>
  <c r="L164" i="4" s="1"/>
  <c r="M166" i="1"/>
  <c r="M164" i="4" s="1"/>
  <c r="N166" i="1"/>
  <c r="N164" i="4" s="1"/>
  <c r="L170" i="1"/>
  <c r="L168" i="4" s="1"/>
  <c r="M170" i="1"/>
  <c r="M168" i="4" s="1"/>
  <c r="N170" i="1"/>
  <c r="N168" i="4" s="1"/>
  <c r="L174" i="1"/>
  <c r="L172" i="4" s="1"/>
  <c r="N174" i="1"/>
  <c r="N172" i="4" s="1"/>
  <c r="M174" i="1"/>
  <c r="M172" i="4" s="1"/>
  <c r="L178" i="1"/>
  <c r="L176" i="4" s="1"/>
  <c r="N178" i="1"/>
  <c r="N176" i="4" s="1"/>
  <c r="M178" i="1"/>
  <c r="M176" i="4" s="1"/>
  <c r="L182" i="1"/>
  <c r="L180" i="4" s="1"/>
  <c r="M182" i="1"/>
  <c r="M180" i="4" s="1"/>
  <c r="N182" i="1"/>
  <c r="N180" i="4" s="1"/>
  <c r="L186" i="1"/>
  <c r="L184" i="4" s="1"/>
  <c r="N186" i="1"/>
  <c r="N184" i="4" s="1"/>
  <c r="M186" i="1"/>
  <c r="M184" i="4" s="1"/>
  <c r="L190" i="1"/>
  <c r="L188" i="4" s="1"/>
  <c r="M190" i="1"/>
  <c r="M188" i="4" s="1"/>
  <c r="N190" i="1"/>
  <c r="N188" i="4" s="1"/>
  <c r="L194" i="1"/>
  <c r="L192" i="4" s="1"/>
  <c r="M194" i="1"/>
  <c r="M192" i="4" s="1"/>
  <c r="N194" i="1"/>
  <c r="N192" i="4" s="1"/>
  <c r="L198" i="1"/>
  <c r="L196" i="4" s="1"/>
  <c r="N198" i="1"/>
  <c r="N196" i="4" s="1"/>
  <c r="M198" i="1"/>
  <c r="M196" i="4" s="1"/>
  <c r="L202" i="1"/>
  <c r="L200" i="4" s="1"/>
  <c r="M202" i="1"/>
  <c r="M200" i="4" s="1"/>
  <c r="N202" i="1"/>
  <c r="N200" i="4" s="1"/>
  <c r="L206" i="1"/>
  <c r="L204" i="4" s="1"/>
  <c r="M206" i="1"/>
  <c r="M204" i="4" s="1"/>
  <c r="N206" i="1"/>
  <c r="N204" i="4" s="1"/>
  <c r="L210" i="1"/>
  <c r="L208" i="4" s="1"/>
  <c r="N210" i="1"/>
  <c r="N208" i="4" s="1"/>
  <c r="M210" i="1"/>
  <c r="M208" i="4" s="1"/>
  <c r="L214" i="1"/>
  <c r="L212" i="4" s="1"/>
  <c r="M214" i="1"/>
  <c r="M212" i="4" s="1"/>
  <c r="N214" i="1"/>
  <c r="N212" i="4" s="1"/>
  <c r="L218" i="1"/>
  <c r="L216" i="4" s="1"/>
  <c r="N218" i="1"/>
  <c r="N216" i="4" s="1"/>
  <c r="M218" i="1"/>
  <c r="M216" i="4" s="1"/>
  <c r="L222" i="1"/>
  <c r="L220" i="4" s="1"/>
  <c r="N222" i="1"/>
  <c r="N220" i="4" s="1"/>
  <c r="M222" i="1"/>
  <c r="M220" i="4" s="1"/>
  <c r="L226" i="1"/>
  <c r="L224" i="4" s="1"/>
  <c r="M226" i="1"/>
  <c r="M224" i="4" s="1"/>
  <c r="N226" i="1"/>
  <c r="N224" i="4" s="1"/>
  <c r="L230" i="1"/>
  <c r="L228" i="4" s="1"/>
  <c r="N230" i="1"/>
  <c r="N228" i="4" s="1"/>
  <c r="M230" i="1"/>
  <c r="M228" i="4" s="1"/>
  <c r="AM11" i="1"/>
  <c r="E9" i="4" s="1"/>
  <c r="AL11" i="1"/>
  <c r="D9" i="4" s="1"/>
  <c r="AJ11" i="1"/>
  <c r="B9" i="4" s="1"/>
  <c r="AK11" i="1"/>
  <c r="C9" i="4" s="1"/>
  <c r="Z46" i="1"/>
  <c r="X44" i="4" s="1"/>
  <c r="AA46" i="1"/>
  <c r="Y44" i="4" s="1"/>
  <c r="X46" i="1"/>
  <c r="V44" i="4" s="1"/>
  <c r="Y46" i="1"/>
  <c r="W44" i="4" s="1"/>
  <c r="R94" i="1"/>
  <c r="Q92" i="4" s="1"/>
  <c r="S94" i="1"/>
  <c r="R92" i="4" s="1"/>
  <c r="U94" i="1"/>
  <c r="T92" i="4" s="1"/>
  <c r="T94" i="1"/>
  <c r="S92" i="4" s="1"/>
  <c r="U130" i="1"/>
  <c r="T128" i="4" s="1"/>
  <c r="R130" i="1"/>
  <c r="Q128" i="4" s="1"/>
  <c r="S130" i="1"/>
  <c r="R128" i="4" s="1"/>
  <c r="T130" i="1"/>
  <c r="S128" i="4" s="1"/>
  <c r="U142" i="1"/>
  <c r="T140" i="4" s="1"/>
  <c r="T142" i="1"/>
  <c r="S140" i="4" s="1"/>
  <c r="S142" i="1"/>
  <c r="R140" i="4" s="1"/>
  <c r="R142" i="1"/>
  <c r="Q140" i="4" s="1"/>
  <c r="U178" i="1"/>
  <c r="T176" i="4" s="1"/>
  <c r="S178" i="1"/>
  <c r="R176" i="4" s="1"/>
  <c r="R178" i="1"/>
  <c r="Q176" i="4" s="1"/>
  <c r="T178" i="1"/>
  <c r="S176" i="4" s="1"/>
  <c r="S182" i="1"/>
  <c r="R180" i="4" s="1"/>
  <c r="U182" i="1"/>
  <c r="T180" i="4" s="1"/>
  <c r="R182" i="1"/>
  <c r="Q180" i="4" s="1"/>
  <c r="T182" i="1"/>
  <c r="S180" i="4" s="1"/>
  <c r="R186" i="1"/>
  <c r="Q184" i="4" s="1"/>
  <c r="S186" i="1"/>
  <c r="R184" i="4" s="1"/>
  <c r="T186" i="1"/>
  <c r="S184" i="4" s="1"/>
  <c r="U186" i="1"/>
  <c r="T184" i="4" s="1"/>
  <c r="U190" i="1"/>
  <c r="T188" i="4" s="1"/>
  <c r="S190" i="1"/>
  <c r="R188" i="4" s="1"/>
  <c r="T190" i="1"/>
  <c r="S188" i="4" s="1"/>
  <c r="R190" i="1"/>
  <c r="Q188" i="4" s="1"/>
  <c r="S194" i="1"/>
  <c r="R192" i="4" s="1"/>
  <c r="R194" i="1"/>
  <c r="Q192" i="4" s="1"/>
  <c r="T194" i="1"/>
  <c r="S192" i="4" s="1"/>
  <c r="U194" i="1"/>
  <c r="T192" i="4" s="1"/>
  <c r="U198" i="1"/>
  <c r="T196" i="4" s="1"/>
  <c r="R198" i="1"/>
  <c r="Q196" i="4" s="1"/>
  <c r="S198" i="1"/>
  <c r="R196" i="4" s="1"/>
  <c r="T198" i="1"/>
  <c r="S196" i="4" s="1"/>
  <c r="T202" i="1"/>
  <c r="S200" i="4" s="1"/>
  <c r="R202" i="1"/>
  <c r="Q200" i="4" s="1"/>
  <c r="U202" i="1"/>
  <c r="T200" i="4" s="1"/>
  <c r="S202" i="1"/>
  <c r="R200" i="4" s="1"/>
  <c r="R206" i="1"/>
  <c r="Q204" i="4" s="1"/>
  <c r="S206" i="1"/>
  <c r="R204" i="4" s="1"/>
  <c r="T206" i="1"/>
  <c r="S204" i="4" s="1"/>
  <c r="U206" i="1"/>
  <c r="T204" i="4" s="1"/>
  <c r="R210" i="1"/>
  <c r="Q208" i="4" s="1"/>
  <c r="S210" i="1"/>
  <c r="R208" i="4" s="1"/>
  <c r="T210" i="1"/>
  <c r="S208" i="4" s="1"/>
  <c r="U210" i="1"/>
  <c r="T208" i="4" s="1"/>
  <c r="R214" i="1"/>
  <c r="Q212" i="4" s="1"/>
  <c r="S214" i="1"/>
  <c r="R212" i="4" s="1"/>
  <c r="T214" i="1"/>
  <c r="S212" i="4" s="1"/>
  <c r="U214" i="1"/>
  <c r="T212" i="4" s="1"/>
  <c r="U218" i="1"/>
  <c r="T216" i="4" s="1"/>
  <c r="R218" i="1"/>
  <c r="Q216" i="4" s="1"/>
  <c r="S218" i="1"/>
  <c r="R216" i="4" s="1"/>
  <c r="T218" i="1"/>
  <c r="S216" i="4" s="1"/>
  <c r="U222" i="1"/>
  <c r="T220" i="4" s="1"/>
  <c r="R222" i="1"/>
  <c r="Q220" i="4" s="1"/>
  <c r="S222" i="1"/>
  <c r="R220" i="4" s="1"/>
  <c r="T222" i="1"/>
  <c r="S220" i="4" s="1"/>
  <c r="R226" i="1"/>
  <c r="Q224" i="4" s="1"/>
  <c r="S226" i="1"/>
  <c r="R224" i="4" s="1"/>
  <c r="T226" i="1"/>
  <c r="S224" i="4" s="1"/>
  <c r="U226" i="1"/>
  <c r="T224" i="4" s="1"/>
  <c r="R230" i="1"/>
  <c r="Q228" i="4" s="1"/>
  <c r="S230" i="1"/>
  <c r="R228" i="4" s="1"/>
  <c r="U230" i="1"/>
  <c r="T228" i="4" s="1"/>
  <c r="T230" i="1"/>
  <c r="S228" i="4" s="1"/>
  <c r="U7" i="1"/>
  <c r="T5" i="4" s="1"/>
  <c r="S7" i="1"/>
  <c r="R5" i="4" s="1"/>
  <c r="T7" i="1"/>
  <c r="S5" i="4" s="1"/>
  <c r="R7" i="1"/>
  <c r="Q5" i="4" s="1"/>
  <c r="AD9" i="1"/>
  <c r="G7" i="4" s="1"/>
  <c r="AG9" i="1"/>
  <c r="J7" i="4" s="1"/>
  <c r="AF9" i="1"/>
  <c r="I7" i="4" s="1"/>
  <c r="AE9" i="1"/>
  <c r="H7" i="4" s="1"/>
  <c r="N12" i="1"/>
  <c r="N10" i="4" s="1"/>
  <c r="M12" i="1"/>
  <c r="M10" i="4" s="1"/>
  <c r="L12" i="1"/>
  <c r="L10" i="4" s="1"/>
  <c r="Z14" i="1"/>
  <c r="X12" i="4" s="1"/>
  <c r="X14" i="1"/>
  <c r="V12" i="4" s="1"/>
  <c r="AA14" i="1"/>
  <c r="Y12" i="4" s="1"/>
  <c r="Y14" i="1"/>
  <c r="W12" i="4" s="1"/>
  <c r="AM16" i="1"/>
  <c r="E14" i="4" s="1"/>
  <c r="AL16" i="1"/>
  <c r="D14" i="4" s="1"/>
  <c r="AJ16" i="1"/>
  <c r="B14" i="4" s="1"/>
  <c r="AK16" i="1"/>
  <c r="C14" i="4" s="1"/>
  <c r="AK19" i="1"/>
  <c r="C17" i="4" s="1"/>
  <c r="AL19" i="1"/>
  <c r="D17" i="4" s="1"/>
  <c r="AJ19" i="1"/>
  <c r="B17" i="4" s="1"/>
  <c r="AM19" i="1"/>
  <c r="E17" i="4" s="1"/>
  <c r="AL22" i="1"/>
  <c r="D20" i="4" s="1"/>
  <c r="AJ22" i="1"/>
  <c r="B20" i="4" s="1"/>
  <c r="AK22" i="1"/>
  <c r="C20" i="4" s="1"/>
  <c r="AM22" i="1"/>
  <c r="E20" i="4" s="1"/>
  <c r="AM25" i="1"/>
  <c r="E23" i="4" s="1"/>
  <c r="AK25" i="1"/>
  <c r="C23" i="4" s="1"/>
  <c r="AJ25" i="1"/>
  <c r="B23" i="4" s="1"/>
  <c r="AL25" i="1"/>
  <c r="D23" i="4" s="1"/>
  <c r="AM28" i="1"/>
  <c r="E26" i="4" s="1"/>
  <c r="AL28" i="1"/>
  <c r="D26" i="4" s="1"/>
  <c r="AJ28" i="1"/>
  <c r="B26" i="4" s="1"/>
  <c r="AK28" i="1"/>
  <c r="C26" i="4" s="1"/>
  <c r="AM31" i="1"/>
  <c r="E29" i="4" s="1"/>
  <c r="AL31" i="1"/>
  <c r="D29" i="4" s="1"/>
  <c r="AK31" i="1"/>
  <c r="C29" i="4" s="1"/>
  <c r="AJ31" i="1"/>
  <c r="B29" i="4" s="1"/>
  <c r="AL34" i="1"/>
  <c r="D32" i="4" s="1"/>
  <c r="AJ34" i="1"/>
  <c r="B32" i="4" s="1"/>
  <c r="AK34" i="1"/>
  <c r="C32" i="4" s="1"/>
  <c r="AM34" i="1"/>
  <c r="E32" i="4" s="1"/>
  <c r="AL37" i="1"/>
  <c r="D35" i="4" s="1"/>
  <c r="AM37" i="1"/>
  <c r="E35" i="4" s="1"/>
  <c r="AK37" i="1"/>
  <c r="C35" i="4" s="1"/>
  <c r="AJ37" i="1"/>
  <c r="B35" i="4" s="1"/>
  <c r="AM40" i="1"/>
  <c r="E38" i="4" s="1"/>
  <c r="AJ40" i="1"/>
  <c r="B38" i="4" s="1"/>
  <c r="AL40" i="1"/>
  <c r="D38" i="4" s="1"/>
  <c r="AK40" i="1"/>
  <c r="C38" i="4" s="1"/>
  <c r="AM43" i="1"/>
  <c r="E41" i="4" s="1"/>
  <c r="AK43" i="1"/>
  <c r="C41" i="4" s="1"/>
  <c r="AL43" i="1"/>
  <c r="D41" i="4" s="1"/>
  <c r="AJ43" i="1"/>
  <c r="B41" i="4" s="1"/>
  <c r="AM46" i="1"/>
  <c r="E44" i="4" s="1"/>
  <c r="AL46" i="1"/>
  <c r="D44" i="4" s="1"/>
  <c r="AJ46" i="1"/>
  <c r="B44" i="4" s="1"/>
  <c r="AK46" i="1"/>
  <c r="C44" i="4" s="1"/>
  <c r="AK49" i="1"/>
  <c r="C47" i="4" s="1"/>
  <c r="AL49" i="1"/>
  <c r="D47" i="4" s="1"/>
  <c r="AJ49" i="1"/>
  <c r="B47" i="4" s="1"/>
  <c r="AM49" i="1"/>
  <c r="E47" i="4" s="1"/>
  <c r="AL52" i="1"/>
  <c r="D50" i="4" s="1"/>
  <c r="AJ52" i="1"/>
  <c r="B50" i="4" s="1"/>
  <c r="AM52" i="1"/>
  <c r="E50" i="4" s="1"/>
  <c r="AK52" i="1"/>
  <c r="C50" i="4" s="1"/>
  <c r="AK55" i="1"/>
  <c r="C53" i="4" s="1"/>
  <c r="AM55" i="1"/>
  <c r="E53" i="4" s="1"/>
  <c r="AL55" i="1"/>
  <c r="D53" i="4" s="1"/>
  <c r="AJ55" i="1"/>
  <c r="B53" i="4" s="1"/>
  <c r="AK58" i="1"/>
  <c r="C56" i="4" s="1"/>
  <c r="AJ58" i="1"/>
  <c r="B56" i="4" s="1"/>
  <c r="AM58" i="1"/>
  <c r="E56" i="4" s="1"/>
  <c r="AL58" i="1"/>
  <c r="D56" i="4" s="1"/>
  <c r="AM61" i="1"/>
  <c r="E59" i="4" s="1"/>
  <c r="AK61" i="1"/>
  <c r="C59" i="4" s="1"/>
  <c r="AL61" i="1"/>
  <c r="D59" i="4" s="1"/>
  <c r="AJ61" i="1"/>
  <c r="B59" i="4" s="1"/>
  <c r="AK64" i="1"/>
  <c r="C62" i="4" s="1"/>
  <c r="AM64" i="1"/>
  <c r="E62" i="4" s="1"/>
  <c r="AL64" i="1"/>
  <c r="D62" i="4" s="1"/>
  <c r="AJ64" i="1"/>
  <c r="B62" i="4" s="1"/>
  <c r="AK67" i="1"/>
  <c r="C65" i="4" s="1"/>
  <c r="AJ67" i="1"/>
  <c r="B65" i="4" s="1"/>
  <c r="AL67" i="1"/>
  <c r="D65" i="4" s="1"/>
  <c r="AM67" i="1"/>
  <c r="E65" i="4" s="1"/>
  <c r="AJ70" i="1"/>
  <c r="B68" i="4" s="1"/>
  <c r="AK70" i="1"/>
  <c r="C68" i="4" s="1"/>
  <c r="AL70" i="1"/>
  <c r="D68" i="4" s="1"/>
  <c r="AM70" i="1"/>
  <c r="E68" i="4" s="1"/>
  <c r="AM73" i="1"/>
  <c r="E71" i="4" s="1"/>
  <c r="AK73" i="1"/>
  <c r="C71" i="4" s="1"/>
  <c r="AL73" i="1"/>
  <c r="D71" i="4" s="1"/>
  <c r="AJ73" i="1"/>
  <c r="B71" i="4" s="1"/>
  <c r="AK76" i="1"/>
  <c r="C74" i="4" s="1"/>
  <c r="AM76" i="1"/>
  <c r="E74" i="4" s="1"/>
  <c r="AL76" i="1"/>
  <c r="D74" i="4" s="1"/>
  <c r="AJ76" i="1"/>
  <c r="B74" i="4" s="1"/>
  <c r="AM79" i="1"/>
  <c r="E77" i="4" s="1"/>
  <c r="AJ79" i="1"/>
  <c r="B77" i="4" s="1"/>
  <c r="AL79" i="1"/>
  <c r="D77" i="4" s="1"/>
  <c r="AK79" i="1"/>
  <c r="C77" i="4" s="1"/>
  <c r="AJ82" i="1"/>
  <c r="B80" i="4" s="1"/>
  <c r="AL82" i="1"/>
  <c r="D80" i="4" s="1"/>
  <c r="AK82" i="1"/>
  <c r="C80" i="4" s="1"/>
  <c r="AM82" i="1"/>
  <c r="E80" i="4" s="1"/>
  <c r="Z86" i="1"/>
  <c r="X84" i="4" s="1"/>
  <c r="AA86" i="1"/>
  <c r="Y84" i="4" s="1"/>
  <c r="X86" i="1"/>
  <c r="V84" i="4" s="1"/>
  <c r="Y86" i="1"/>
  <c r="W84" i="4" s="1"/>
  <c r="Z90" i="1"/>
  <c r="X88" i="4" s="1"/>
  <c r="AA90" i="1"/>
  <c r="Y88" i="4" s="1"/>
  <c r="X90" i="1"/>
  <c r="V88" i="4" s="1"/>
  <c r="Y90" i="1"/>
  <c r="W88" i="4" s="1"/>
  <c r="Y94" i="1"/>
  <c r="W92" i="4" s="1"/>
  <c r="Z94" i="1"/>
  <c r="X92" i="4" s="1"/>
  <c r="X94" i="1"/>
  <c r="V92" i="4" s="1"/>
  <c r="AA94" i="1"/>
  <c r="Y92" i="4" s="1"/>
  <c r="X98" i="1"/>
  <c r="V96" i="4" s="1"/>
  <c r="Z98" i="1"/>
  <c r="X96" i="4" s="1"/>
  <c r="AA98" i="1"/>
  <c r="Y96" i="4" s="1"/>
  <c r="Y98" i="1"/>
  <c r="W96" i="4" s="1"/>
  <c r="Z102" i="1"/>
  <c r="X100" i="4" s="1"/>
  <c r="X102" i="1"/>
  <c r="V100" i="4" s="1"/>
  <c r="Y102" i="1"/>
  <c r="W100" i="4" s="1"/>
  <c r="AA102" i="1"/>
  <c r="Y100" i="4" s="1"/>
  <c r="Y106" i="1"/>
  <c r="W104" i="4" s="1"/>
  <c r="X106" i="1"/>
  <c r="V104" i="4" s="1"/>
  <c r="AA106" i="1"/>
  <c r="Y104" i="4" s="1"/>
  <c r="Z106" i="1"/>
  <c r="X104" i="4" s="1"/>
  <c r="Z110" i="1"/>
  <c r="X108" i="4" s="1"/>
  <c r="AA110" i="1"/>
  <c r="Y108" i="4" s="1"/>
  <c r="X110" i="1"/>
  <c r="V108" i="4" s="1"/>
  <c r="Y110" i="1"/>
  <c r="W108" i="4" s="1"/>
  <c r="X114" i="1"/>
  <c r="V112" i="4" s="1"/>
  <c r="Z114" i="1"/>
  <c r="X112" i="4" s="1"/>
  <c r="AA114" i="1"/>
  <c r="Y112" i="4" s="1"/>
  <c r="Y114" i="1"/>
  <c r="W112" i="4" s="1"/>
  <c r="Y118" i="1"/>
  <c r="W116" i="4" s="1"/>
  <c r="Z118" i="1"/>
  <c r="X116" i="4" s="1"/>
  <c r="X118" i="1"/>
  <c r="V116" i="4" s="1"/>
  <c r="AA118" i="1"/>
  <c r="Y116" i="4" s="1"/>
  <c r="X122" i="1"/>
  <c r="V120" i="4" s="1"/>
  <c r="AA122" i="1"/>
  <c r="Y120" i="4" s="1"/>
  <c r="Z122" i="1"/>
  <c r="X120" i="4" s="1"/>
  <c r="Y122" i="1"/>
  <c r="W120" i="4" s="1"/>
  <c r="AA126" i="1"/>
  <c r="Y124" i="4" s="1"/>
  <c r="Z126" i="1"/>
  <c r="X124" i="4" s="1"/>
  <c r="X126" i="1"/>
  <c r="V124" i="4" s="1"/>
  <c r="Y126" i="1"/>
  <c r="W124" i="4" s="1"/>
  <c r="Y130" i="1"/>
  <c r="W128" i="4" s="1"/>
  <c r="Z130" i="1"/>
  <c r="X128" i="4" s="1"/>
  <c r="X130" i="1"/>
  <c r="V128" i="4" s="1"/>
  <c r="AA130" i="1"/>
  <c r="Y128" i="4" s="1"/>
  <c r="X134" i="1"/>
  <c r="V132" i="4" s="1"/>
  <c r="Z134" i="1"/>
  <c r="X132" i="4" s="1"/>
  <c r="Y134" i="1"/>
  <c r="W132" i="4" s="1"/>
  <c r="AA134" i="1"/>
  <c r="Y132" i="4" s="1"/>
  <c r="X138" i="1"/>
  <c r="V136" i="4" s="1"/>
  <c r="Z138" i="1"/>
  <c r="X136" i="4" s="1"/>
  <c r="AA138" i="1"/>
  <c r="Y136" i="4" s="1"/>
  <c r="Y138" i="1"/>
  <c r="W136" i="4" s="1"/>
  <c r="AA142" i="1"/>
  <c r="Y140" i="4" s="1"/>
  <c r="Y142" i="1"/>
  <c r="W140" i="4" s="1"/>
  <c r="Z142" i="1"/>
  <c r="X140" i="4" s="1"/>
  <c r="X142" i="1"/>
  <c r="V140" i="4" s="1"/>
  <c r="X146" i="1"/>
  <c r="V144" i="4" s="1"/>
  <c r="Z146" i="1"/>
  <c r="X144" i="4" s="1"/>
  <c r="AA146" i="1"/>
  <c r="Y144" i="4" s="1"/>
  <c r="Y146" i="1"/>
  <c r="W144" i="4" s="1"/>
  <c r="X150" i="1"/>
  <c r="V148" i="4" s="1"/>
  <c r="Z150" i="1"/>
  <c r="X148" i="4" s="1"/>
  <c r="Y150" i="1"/>
  <c r="W148" i="4" s="1"/>
  <c r="AA150" i="1"/>
  <c r="Y148" i="4" s="1"/>
  <c r="AA154" i="1"/>
  <c r="Y152" i="4" s="1"/>
  <c r="Z154" i="1"/>
  <c r="X152" i="4" s="1"/>
  <c r="Y154" i="1"/>
  <c r="W152" i="4" s="1"/>
  <c r="X154" i="1"/>
  <c r="V152" i="4" s="1"/>
  <c r="X158" i="1"/>
  <c r="V156" i="4" s="1"/>
  <c r="Z158" i="1"/>
  <c r="X156" i="4" s="1"/>
  <c r="AA158" i="1"/>
  <c r="Y156" i="4" s="1"/>
  <c r="Y158" i="1"/>
  <c r="W156" i="4" s="1"/>
  <c r="Z162" i="1"/>
  <c r="X160" i="4" s="1"/>
  <c r="AA162" i="1"/>
  <c r="Y160" i="4" s="1"/>
  <c r="Y162" i="1"/>
  <c r="W160" i="4" s="1"/>
  <c r="X162" i="1"/>
  <c r="V160" i="4" s="1"/>
  <c r="X166" i="1"/>
  <c r="V164" i="4" s="1"/>
  <c r="Y166" i="1"/>
  <c r="W164" i="4" s="1"/>
  <c r="Z166" i="1"/>
  <c r="X164" i="4" s="1"/>
  <c r="AA166" i="1"/>
  <c r="Y164" i="4" s="1"/>
  <c r="X170" i="1"/>
  <c r="V168" i="4" s="1"/>
  <c r="AA170" i="1"/>
  <c r="Y168" i="4" s="1"/>
  <c r="Z170" i="1"/>
  <c r="X168" i="4" s="1"/>
  <c r="Y170" i="1"/>
  <c r="W168" i="4" s="1"/>
  <c r="Z174" i="1"/>
  <c r="X172" i="4" s="1"/>
  <c r="AA174" i="1"/>
  <c r="Y172" i="4" s="1"/>
  <c r="X174" i="1"/>
  <c r="V172" i="4" s="1"/>
  <c r="Y174" i="1"/>
  <c r="W172" i="4" s="1"/>
  <c r="X178" i="1"/>
  <c r="V176" i="4" s="1"/>
  <c r="AA178" i="1"/>
  <c r="Y176" i="4" s="1"/>
  <c r="Y178" i="1"/>
  <c r="W176" i="4" s="1"/>
  <c r="Z178" i="1"/>
  <c r="X176" i="4" s="1"/>
  <c r="AA182" i="1"/>
  <c r="Y180" i="4" s="1"/>
  <c r="Y182" i="1"/>
  <c r="W180" i="4" s="1"/>
  <c r="Z182" i="1"/>
  <c r="X180" i="4" s="1"/>
  <c r="X182" i="1"/>
  <c r="V180" i="4" s="1"/>
  <c r="X186" i="1"/>
  <c r="V184" i="4" s="1"/>
  <c r="AA186" i="1"/>
  <c r="Y184" i="4" s="1"/>
  <c r="Y186" i="1"/>
  <c r="W184" i="4" s="1"/>
  <c r="Z186" i="1"/>
  <c r="X184" i="4" s="1"/>
  <c r="Z190" i="1"/>
  <c r="X188" i="4" s="1"/>
  <c r="X190" i="1"/>
  <c r="V188" i="4" s="1"/>
  <c r="Y190" i="1"/>
  <c r="W188" i="4" s="1"/>
  <c r="AA190" i="1"/>
  <c r="Y188" i="4" s="1"/>
  <c r="AA194" i="1"/>
  <c r="Y192" i="4" s="1"/>
  <c r="Y194" i="1"/>
  <c r="W192" i="4" s="1"/>
  <c r="Z194" i="1"/>
  <c r="X192" i="4" s="1"/>
  <c r="X194" i="1"/>
  <c r="V192" i="4" s="1"/>
  <c r="AA198" i="1"/>
  <c r="Y196" i="4" s="1"/>
  <c r="Z198" i="1"/>
  <c r="X196" i="4" s="1"/>
  <c r="Y198" i="1"/>
  <c r="W196" i="4" s="1"/>
  <c r="X198" i="1"/>
  <c r="V196" i="4" s="1"/>
  <c r="X202" i="1"/>
  <c r="V200" i="4" s="1"/>
  <c r="Z202" i="1"/>
  <c r="X200" i="4" s="1"/>
  <c r="Y202" i="1"/>
  <c r="W200" i="4" s="1"/>
  <c r="AA202" i="1"/>
  <c r="Y200" i="4" s="1"/>
  <c r="X206" i="1"/>
  <c r="V204" i="4" s="1"/>
  <c r="AA206" i="1"/>
  <c r="Y204" i="4" s="1"/>
  <c r="Y206" i="1"/>
  <c r="W204" i="4" s="1"/>
  <c r="Z206" i="1"/>
  <c r="X204" i="4" s="1"/>
  <c r="X210" i="1"/>
  <c r="V208" i="4" s="1"/>
  <c r="AA210" i="1"/>
  <c r="Y208" i="4" s="1"/>
  <c r="Y210" i="1"/>
  <c r="W208" i="4" s="1"/>
  <c r="Z210" i="1"/>
  <c r="X208" i="4" s="1"/>
  <c r="AA214" i="1"/>
  <c r="Y212" i="4" s="1"/>
  <c r="X214" i="1"/>
  <c r="V212" i="4" s="1"/>
  <c r="Z214" i="1"/>
  <c r="X212" i="4" s="1"/>
  <c r="Y214" i="1"/>
  <c r="W212" i="4" s="1"/>
  <c r="AA218" i="1"/>
  <c r="Y216" i="4" s="1"/>
  <c r="X218" i="1"/>
  <c r="V216" i="4" s="1"/>
  <c r="Y218" i="1"/>
  <c r="W216" i="4" s="1"/>
  <c r="Z218" i="1"/>
  <c r="X216" i="4" s="1"/>
  <c r="AA222" i="1"/>
  <c r="Y220" i="4" s="1"/>
  <c r="Z222" i="1"/>
  <c r="X220" i="4" s="1"/>
  <c r="X222" i="1"/>
  <c r="V220" i="4" s="1"/>
  <c r="Y222" i="1"/>
  <c r="W220" i="4" s="1"/>
  <c r="AA226" i="1"/>
  <c r="Y224" i="4" s="1"/>
  <c r="Y226" i="1"/>
  <c r="W224" i="4" s="1"/>
  <c r="Z226" i="1"/>
  <c r="X224" i="4" s="1"/>
  <c r="X226" i="1"/>
  <c r="V224" i="4" s="1"/>
  <c r="Z230" i="1"/>
  <c r="X228" i="4" s="1"/>
  <c r="AA230" i="1"/>
  <c r="Y228" i="4" s="1"/>
  <c r="X230" i="1"/>
  <c r="V228" i="4" s="1"/>
  <c r="Y230" i="1"/>
  <c r="W228" i="4" s="1"/>
  <c r="Q5" i="1"/>
  <c r="W5" i="1"/>
  <c r="B3" i="4" l="1"/>
  <c r="C3" i="4"/>
  <c r="D3" i="4"/>
  <c r="Z5" i="1"/>
  <c r="X3" i="4" s="1"/>
  <c r="AA5" i="1"/>
  <c r="Y3" i="4" s="1"/>
  <c r="X5" i="1"/>
  <c r="Y5" i="1"/>
  <c r="W3" i="4" s="1"/>
  <c r="T5" i="1"/>
  <c r="S3" i="4" s="1"/>
  <c r="U5" i="1"/>
  <c r="T3" i="4" s="1"/>
  <c r="R5" i="1"/>
  <c r="S5" i="1"/>
  <c r="R3" i="4" s="1"/>
  <c r="V3" i="4" l="1"/>
  <c r="Q3" i="4"/>
</calcChain>
</file>

<file path=xl/comments1.xml><?xml version="1.0" encoding="utf-8"?>
<comments xmlns="http://schemas.openxmlformats.org/spreadsheetml/2006/main">
  <authors>
    <author>Zhai Shuai</author>
  </authors>
  <commentLis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为计算区域源数据的开始日期，如果出现取值数据大于一年，请调整折线图取值范围</t>
        </r>
      </text>
    </comment>
  </commentList>
</comments>
</file>

<file path=xl/comments2.xml><?xml version="1.0" encoding="utf-8"?>
<comments xmlns="http://schemas.openxmlformats.org/spreadsheetml/2006/main">
  <authors>
    <author>Zhai Shuai</author>
  </authors>
  <commentList>
    <comment ref="F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<sst xmlns="http://schemas.openxmlformats.org/spreadsheetml/2006/main" count="91" uniqueCount="56">
  <si>
    <t>日期</t>
    <phoneticPr fontId="1" type="noConversion"/>
  </si>
  <si>
    <t>Date</t>
    <phoneticPr fontId="1" type="noConversion"/>
  </si>
  <si>
    <t>开盘价</t>
    <phoneticPr fontId="1" type="noConversion"/>
  </si>
  <si>
    <t>最高价</t>
    <phoneticPr fontId="1" type="noConversion"/>
  </si>
  <si>
    <t>最低价</t>
    <phoneticPr fontId="1" type="noConversion"/>
  </si>
  <si>
    <t>收盘价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</si>
  <si>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</si>
  <si>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</si>
  <si>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</si>
  <si>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close</t>
    <phoneticPr fontId="1" type="noConversion"/>
  </si>
  <si>
    <t>RS</t>
    <phoneticPr fontId="4" type="noConversion"/>
  </si>
  <si>
    <t>PKM</t>
    <phoneticPr fontId="4" type="noConversion"/>
  </si>
  <si>
    <t>最近更新：</t>
    <phoneticPr fontId="1" type="noConversion"/>
  </si>
  <si>
    <t>品种选择</t>
    <phoneticPr fontId="1" type="noConversion"/>
  </si>
  <si>
    <t>开始日期</t>
    <phoneticPr fontId="1" type="noConversion"/>
  </si>
  <si>
    <t>截止日期</t>
    <phoneticPr fontId="1" type="noConversion"/>
  </si>
  <si>
    <t>计算周期</t>
    <phoneticPr fontId="1" type="noConversion"/>
  </si>
  <si>
    <t>年化系数</t>
    <phoneticPr fontId="1" type="noConversion"/>
  </si>
  <si>
    <t>参数区域</t>
    <phoneticPr fontId="1" type="noConversion"/>
  </si>
  <si>
    <t>历史波动率（HVG）走势图（日线）</t>
    <phoneticPr fontId="4" type="noConversion"/>
  </si>
  <si>
    <t>标的</t>
    <phoneticPr fontId="1" type="noConversion"/>
  </si>
  <si>
    <t>开始日期</t>
    <phoneticPr fontId="1" type="noConversion"/>
  </si>
  <si>
    <t>截止日期</t>
    <phoneticPr fontId="1" type="noConversion"/>
  </si>
  <si>
    <t>计算周期1</t>
    <phoneticPr fontId="1" type="noConversion"/>
  </si>
  <si>
    <t>计算周期2</t>
    <phoneticPr fontId="1" type="noConversion"/>
  </si>
  <si>
    <t>计算周期3</t>
    <phoneticPr fontId="1" type="noConversion"/>
  </si>
  <si>
    <t>计算周期4</t>
    <phoneticPr fontId="1" type="noConversion"/>
  </si>
  <si>
    <t>年化系数</t>
    <phoneticPr fontId="1" type="noConversion"/>
  </si>
  <si>
    <t>周期1结果</t>
    <phoneticPr fontId="4" type="noConversion"/>
  </si>
  <si>
    <t>周期2结果</t>
    <phoneticPr fontId="4" type="noConversion"/>
  </si>
  <si>
    <t>周期3结果</t>
    <phoneticPr fontId="4" type="noConversion"/>
  </si>
  <si>
    <t>周期4结果</t>
    <phoneticPr fontId="4" type="noConversion"/>
  </si>
  <si>
    <t>GK</t>
    <phoneticPr fontId="4" type="noConversion"/>
  </si>
  <si>
    <r>
      <rPr>
        <b/>
        <sz val="10"/>
        <rFont val="宋体"/>
        <family val="3"/>
        <charset val="134"/>
      </rPr>
      <t>步骤</t>
    </r>
    <r>
      <rPr>
        <b/>
        <sz val="10"/>
        <rFont val="Arial"/>
        <family val="2"/>
      </rPr>
      <t>1</t>
    </r>
    <phoneticPr fontId="4" type="noConversion"/>
  </si>
  <si>
    <t>数据区域</t>
    <phoneticPr fontId="1" type="noConversion"/>
  </si>
  <si>
    <t>计算区域</t>
    <phoneticPr fontId="1" type="noConversion"/>
  </si>
  <si>
    <r>
      <rPr>
        <b/>
        <sz val="10"/>
        <rFont val="宋体"/>
        <family val="3"/>
        <charset val="134"/>
      </rPr>
      <t>步骤</t>
    </r>
    <r>
      <rPr>
        <b/>
        <sz val="10"/>
        <rFont val="Arial"/>
        <family val="2"/>
      </rPr>
      <t>1</t>
    </r>
    <phoneticPr fontId="4" type="noConversion"/>
  </si>
  <si>
    <r>
      <rPr>
        <b/>
        <sz val="10"/>
        <rFont val="宋体"/>
        <family val="3"/>
        <charset val="134"/>
      </rPr>
      <t>收益率标准差模型</t>
    </r>
    <r>
      <rPr>
        <sz val="10"/>
        <rFont val="Arial"/>
        <family val="2"/>
      </rPr>
      <t/>
    </r>
    <phoneticPr fontId="4" type="noConversion"/>
  </si>
  <si>
    <r>
      <rPr>
        <b/>
        <sz val="10"/>
        <rFont val="宋体"/>
        <family val="3"/>
        <charset val="134"/>
      </rPr>
      <t>收益率标准差模型</t>
    </r>
    <r>
      <rPr>
        <b/>
        <sz val="10"/>
        <rFont val="Arial"/>
        <family val="2"/>
      </rPr>
      <t>-</t>
    </r>
    <r>
      <rPr>
        <b/>
        <sz val="10"/>
        <rFont val="宋体"/>
        <family val="3"/>
        <charset val="134"/>
      </rPr>
      <t>风险中性调整</t>
    </r>
    <phoneticPr fontId="4" type="noConversion"/>
  </si>
  <si>
    <t>收益率标准差模型</t>
  </si>
  <si>
    <t>传统收益率标准差模型—风险中性调整</t>
    <phoneticPr fontId="4" type="noConversion"/>
  </si>
  <si>
    <t>510050.SH</t>
    <phoneticPr fontId="1" type="noConversion"/>
  </si>
  <si>
    <t>Parkinson模型</t>
    <phoneticPr fontId="4" type="noConversion"/>
  </si>
  <si>
    <t>Garman-Klass模型</t>
    <phoneticPr fontId="4" type="noConversion"/>
  </si>
  <si>
    <t>Rogers-Satchell模型</t>
    <phoneticPr fontId="4" type="noConversion"/>
  </si>
  <si>
    <t>HV</t>
    <phoneticPr fontId="1" type="noConversion"/>
  </si>
  <si>
    <t>日期</t>
    <phoneticPr fontId="1" type="noConversion"/>
  </si>
  <si>
    <t>收益率标准差模型</t>
    <phoneticPr fontId="1" type="noConversion"/>
  </si>
  <si>
    <t>周期1</t>
    <phoneticPr fontId="1" type="noConversion"/>
  </si>
  <si>
    <t>周期2</t>
    <phoneticPr fontId="1" type="noConversion"/>
  </si>
  <si>
    <t>周期3</t>
    <phoneticPr fontId="1" type="noConversion"/>
  </si>
  <si>
    <t>周期4</t>
    <phoneticPr fontId="1" type="noConversion"/>
  </si>
  <si>
    <t>收益率标准差模型-风险中性调整</t>
    <phoneticPr fontId="1" type="noConversion"/>
  </si>
  <si>
    <t>PKM模型</t>
    <phoneticPr fontId="1" type="noConversion"/>
  </si>
  <si>
    <t>GK模型</t>
    <phoneticPr fontId="1" type="noConversion"/>
  </si>
  <si>
    <t>RS模型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</si>
</sst>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0.0000"/>
    <numFmt numFmtId="178" formatCode="0.0000_ "/>
  </numFmts>
  <fonts count="1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1"/>
      <color theme="1"/>
      <name val="等线"/>
      <family val="2"/>
      <charset val="134"/>
      <scheme val="minor"/>
    </font>
    <font>
      <sz val="14"/>
      <color theme="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1"/>
      <color theme="6" tint="0.79998168889431442"/>
      <name val="等线"/>
      <family val="2"/>
      <charset val="134"/>
      <scheme val="minor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1"/>
      <color theme="2"/>
      <name val="等线"/>
      <family val="2"/>
      <charset val="134"/>
      <scheme val="minor"/>
    </font>
    <font>
      <b/>
      <sz val="12"/>
      <name val="微软雅黑"/>
      <family val="2"/>
      <charset val="134"/>
    </font>
    <font>
      <sz val="10"/>
      <color rgb="FF212121"/>
      <name val="微软雅黑"/>
      <family val="2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2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8717"/>
        <bgColor indexed="64"/>
      </patternFill>
    </fill>
    <fill>
      <patternFill patternType="solid">
        <fgColor rgb="FF2277A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/>
    <xf numFmtId="0" fontId="0" fillId="3" borderId="0" xfId="0" applyFill="1" applyAlignment="1"/>
    <xf numFmtId="0" fontId="0" fillId="4" borderId="0" xfId="0" applyFill="1" applyAlignment="1"/>
    <xf numFmtId="178" fontId="0" fillId="0" borderId="0" xfId="0" applyNumberFormat="1" applyAlignment="1"/>
    <xf numFmtId="0" fontId="0" fillId="2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6" fillId="6" borderId="0" xfId="0" applyFont="1" applyFill="1" applyAlignment="1">
      <alignment vertical="center"/>
    </xf>
    <xf numFmtId="0" fontId="0" fillId="6" borderId="0" xfId="0" applyFill="1" applyAlignment="1">
      <alignment horizontal="right"/>
    </xf>
    <xf numFmtId="0" fontId="7" fillId="6" borderId="0" xfId="0" applyFont="1" applyFill="1" applyAlignment="1">
      <alignment horizontal="right" vertical="center"/>
    </xf>
    <xf numFmtId="14" fontId="7" fillId="6" borderId="0" xfId="0" applyNumberFormat="1" applyFont="1" applyFill="1" applyAlignment="1">
      <alignment horizontal="left" vertical="center"/>
    </xf>
    <xf numFmtId="0" fontId="0" fillId="7" borderId="0" xfId="0" applyFill="1" applyAlignment="1"/>
    <xf numFmtId="0" fontId="0" fillId="7" borderId="0" xfId="0" applyFill="1" applyAlignment="1">
      <alignment horizontal="right"/>
    </xf>
    <xf numFmtId="14" fontId="8" fillId="7" borderId="0" xfId="0" applyNumberFormat="1" applyFont="1" applyFill="1" applyAlignment="1"/>
    <xf numFmtId="0" fontId="9" fillId="8" borderId="0" xfId="0" applyFont="1" applyFill="1" applyAlignment="1"/>
    <xf numFmtId="176" fontId="10" fillId="9" borderId="0" xfId="0" applyNumberFormat="1" applyFont="1" applyFill="1" applyBorder="1" applyAlignment="1">
      <alignment horizontal="center"/>
    </xf>
    <xf numFmtId="176" fontId="11" fillId="7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0" fontId="12" fillId="3" borderId="2" xfId="0" applyFont="1" applyFill="1" applyBorder="1" applyAlignment="1">
      <alignment vertical="top"/>
    </xf>
    <xf numFmtId="0" fontId="0" fillId="3" borderId="2" xfId="0" applyFill="1" applyBorder="1" applyAlignment="1"/>
    <xf numFmtId="0" fontId="0" fillId="3" borderId="2" xfId="0" applyFill="1" applyBorder="1" applyAlignment="1">
      <alignment horizontal="right"/>
    </xf>
    <xf numFmtId="0" fontId="12" fillId="3" borderId="0" xfId="0" applyFont="1" applyFill="1" applyBorder="1" applyAlignment="1">
      <alignment vertical="top"/>
    </xf>
    <xf numFmtId="0" fontId="0" fillId="3" borderId="0" xfId="0" applyFill="1" applyBorder="1" applyAlignment="1"/>
    <xf numFmtId="0" fontId="0" fillId="3" borderId="0" xfId="0" applyFill="1" applyBorder="1" applyAlignment="1">
      <alignment horizontal="right"/>
    </xf>
    <xf numFmtId="0" fontId="13" fillId="3" borderId="0" xfId="0" applyFont="1" applyFill="1" applyAlignment="1"/>
    <xf numFmtId="0" fontId="13" fillId="3" borderId="0" xfId="0" applyFont="1" applyFill="1" applyAlignment="1">
      <alignment horizontal="right"/>
    </xf>
    <xf numFmtId="0" fontId="10" fillId="9" borderId="0" xfId="0" applyNumberFormat="1" applyFont="1" applyFill="1" applyBorder="1" applyAlignment="1">
      <alignment horizontal="center"/>
    </xf>
    <xf numFmtId="14" fontId="0" fillId="0" borderId="0" xfId="0" applyNumberFormat="1">
      <alignment vertical="center"/>
    </xf>
    <xf numFmtId="0" fontId="5" fillId="0" borderId="0" xfId="0" applyFont="1" applyAlignment="1"/>
    <xf numFmtId="0" fontId="14" fillId="3" borderId="1" xfId="0" applyFont="1" applyFill="1" applyBorder="1" applyAlignment="1">
      <alignment horizontal="center" vertical="center"/>
    </xf>
    <xf numFmtId="0" fontId="15" fillId="3" borderId="0" xfId="0" applyFont="1" applyFill="1" applyAlignment="1"/>
    <xf numFmtId="0" fontId="5" fillId="3" borderId="0" xfId="0" applyFont="1" applyFill="1" applyAlignment="1"/>
    <xf numFmtId="0" fontId="16" fillId="0" borderId="0" xfId="0" applyFont="1">
      <alignment vertical="center"/>
    </xf>
    <xf numFmtId="0" fontId="0" fillId="11" borderId="0" xfId="0" applyFill="1" applyAlignment="1"/>
    <xf numFmtId="0" fontId="11" fillId="7" borderId="0" xfId="0" applyFont="1" applyFill="1" applyAlignment="1"/>
    <xf numFmtId="0" fontId="17" fillId="7" borderId="0" xfId="0" applyFont="1" applyFill="1" applyAlignment="1"/>
    <xf numFmtId="0" fontId="16" fillId="14" borderId="3" xfId="0" applyFont="1" applyFill="1" applyBorder="1">
      <alignment vertical="center"/>
    </xf>
    <xf numFmtId="14" fontId="16" fillId="14" borderId="3" xfId="0" applyNumberFormat="1" applyFont="1" applyFill="1" applyBorder="1">
      <alignment vertical="center"/>
    </xf>
    <xf numFmtId="0" fontId="16" fillId="13" borderId="0" xfId="0" applyFont="1" applyFill="1">
      <alignment vertical="center"/>
    </xf>
    <xf numFmtId="0" fontId="0" fillId="13" borderId="0" xfId="0" applyNumberFormat="1" applyFill="1" applyAlignment="1">
      <alignment horizontal="right" vertical="center"/>
    </xf>
    <xf numFmtId="0" fontId="0" fillId="13" borderId="0" xfId="0" applyFill="1">
      <alignment vertical="center"/>
    </xf>
    <xf numFmtId="176" fontId="0" fillId="13" borderId="0" xfId="0" applyNumberFormat="1" applyFill="1" applyAlignment="1">
      <alignment horizontal="right" vertical="center"/>
    </xf>
    <xf numFmtId="177" fontId="0" fillId="13" borderId="0" xfId="0" applyNumberFormat="1" applyFill="1" applyAlignment="1">
      <alignment horizontal="right" vertical="center"/>
    </xf>
    <xf numFmtId="0" fontId="14" fillId="10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05D5D"/>
      <color rgb="FF5FBEBF"/>
      <color rgb="FFF68717"/>
      <color rgb="FF227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走势图!$C$6</c:f>
              <c:strCache>
                <c:ptCount val="1"/>
                <c:pt idx="0">
                  <c:v>HV5</c:v>
                </c:pt>
              </c:strCache>
            </c:strRef>
          </c:tx>
          <c:spPr>
            <a:ln w="28575" cap="rnd">
              <a:solidFill>
                <a:srgbClr val="2277A2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作图数据!$B$3:$B$246</c:f>
              <c:numCache>
                <c:formatCode>General</c:formatCode>
                <c:ptCount val="244"/>
                <c:pt idx="0">
                  <c:v>9.0013931056827187E-2</c:v>
                </c:pt>
                <c:pt idx="1">
                  <c:v>9.1326791195797716E-2</c:v>
                </c:pt>
                <c:pt idx="2">
                  <c:v>9.6212310379739333E-2</c:v>
                </c:pt>
                <c:pt idx="3">
                  <c:v>0.19684651368547137</c:v>
                </c:pt>
                <c:pt idx="4">
                  <c:v>0.18365818500915565</c:v>
                </c:pt>
                <c:pt idx="5">
                  <c:v>0.18974442725300458</c:v>
                </c:pt>
                <c:pt idx="6">
                  <c:v>0.19589319532442034</c:v>
                </c:pt>
                <c:pt idx="7">
                  <c:v>0.19972607086647129</c:v>
                </c:pt>
                <c:pt idx="8">
                  <c:v>0.11769568688016432</c:v>
                </c:pt>
                <c:pt idx="9">
                  <c:v>8.5504000369882247E-2</c:v>
                </c:pt>
                <c:pt idx="10">
                  <c:v>8.9929380324747274E-2</c:v>
                </c:pt>
                <c:pt idx="11">
                  <c:v>9.6939925377924951E-2</c:v>
                </c:pt>
                <c:pt idx="12">
                  <c:v>0.10155408664941315</c:v>
                </c:pt>
                <c:pt idx="13">
                  <c:v>0.10498881075933839</c:v>
                </c:pt>
                <c:pt idx="14">
                  <c:v>8.9558554341227059E-2</c:v>
                </c:pt>
                <c:pt idx="15">
                  <c:v>7.7240890232936232E-2</c:v>
                </c:pt>
                <c:pt idx="16">
                  <c:v>0.19730040160748294</c:v>
                </c:pt>
                <c:pt idx="17">
                  <c:v>0.22276803101266246</c:v>
                </c:pt>
                <c:pt idx="18">
                  <c:v>0.21481787361685475</c:v>
                </c:pt>
                <c:pt idx="19">
                  <c:v>0.22582428340116162</c:v>
                </c:pt>
                <c:pt idx="20">
                  <c:v>0.22721967860411543</c:v>
                </c:pt>
                <c:pt idx="21">
                  <c:v>0.12102238663389202</c:v>
                </c:pt>
                <c:pt idx="22">
                  <c:v>0.12214436055026351</c:v>
                </c:pt>
                <c:pt idx="23">
                  <c:v>0.10315583185354553</c:v>
                </c:pt>
                <c:pt idx="24">
                  <c:v>9.2015838191127186E-2</c:v>
                </c:pt>
                <c:pt idx="25">
                  <c:v>9.2034540683977373E-2</c:v>
                </c:pt>
                <c:pt idx="26">
                  <c:v>7.0415472667047285E-2</c:v>
                </c:pt>
                <c:pt idx="27">
                  <c:v>7.2197822037829387E-2</c:v>
                </c:pt>
                <c:pt idx="28">
                  <c:v>9.3180249849703564E-2</c:v>
                </c:pt>
                <c:pt idx="29">
                  <c:v>9.3019719615475269E-2</c:v>
                </c:pt>
                <c:pt idx="30">
                  <c:v>0.12855051261645747</c:v>
                </c:pt>
                <c:pt idx="31">
                  <c:v>0.24341398430894468</c:v>
                </c:pt>
                <c:pt idx="32">
                  <c:v>0.24990471806681666</c:v>
                </c:pt>
                <c:pt idx="33">
                  <c:v>0.21992414042637443</c:v>
                </c:pt>
                <c:pt idx="34">
                  <c:v>0.20506690564171745</c:v>
                </c:pt>
                <c:pt idx="35">
                  <c:v>0.22034215575414859</c:v>
                </c:pt>
                <c:pt idx="36">
                  <c:v>0.11079926549320107</c:v>
                </c:pt>
                <c:pt idx="37">
                  <c:v>0.11230322215693971</c:v>
                </c:pt>
                <c:pt idx="38">
                  <c:v>0.12562067498036186</c:v>
                </c:pt>
                <c:pt idx="39">
                  <c:v>0.15046981331796058</c:v>
                </c:pt>
                <c:pt idx="40">
                  <c:v>0.12551769532553</c:v>
                </c:pt>
                <c:pt idx="41">
                  <c:v>0.13132849114174172</c:v>
                </c:pt>
                <c:pt idx="42">
                  <c:v>0.34002621243012465</c:v>
                </c:pt>
                <c:pt idx="43">
                  <c:v>0.3431737557830804</c:v>
                </c:pt>
                <c:pt idx="44">
                  <c:v>0.34589464798829361</c:v>
                </c:pt>
                <c:pt idx="45">
                  <c:v>0.32996696478139825</c:v>
                </c:pt>
                <c:pt idx="46">
                  <c:v>0.26354860228666566</c:v>
                </c:pt>
                <c:pt idx="47">
                  <c:v>0.16498979185294949</c:v>
                </c:pt>
                <c:pt idx="48">
                  <c:v>0.19114823262687539</c:v>
                </c:pt>
                <c:pt idx="49">
                  <c:v>0.14172991869754206</c:v>
                </c:pt>
                <c:pt idx="50">
                  <c:v>0.12057318279056735</c:v>
                </c:pt>
                <c:pt idx="51">
                  <c:v>9.4498370088539368E-2</c:v>
                </c:pt>
                <c:pt idx="52">
                  <c:v>0.10010207609713148</c:v>
                </c:pt>
                <c:pt idx="53">
                  <c:v>9.753680747763091E-2</c:v>
                </c:pt>
                <c:pt idx="54">
                  <c:v>9.5736581688079178E-2</c:v>
                </c:pt>
                <c:pt idx="55">
                  <c:v>9.676501230732644E-2</c:v>
                </c:pt>
                <c:pt idx="56">
                  <c:v>0.23516814586020116</c:v>
                </c:pt>
                <c:pt idx="57">
                  <c:v>0.25882966188245821</c:v>
                </c:pt>
                <c:pt idx="58">
                  <c:v>0.26166673202676566</c:v>
                </c:pt>
                <c:pt idx="59">
                  <c:v>0.3251554352828922</c:v>
                </c:pt>
                <c:pt idx="60">
                  <c:v>0.3407328515382313</c:v>
                </c:pt>
                <c:pt idx="61">
                  <c:v>0.23507328685008677</c:v>
                </c:pt>
                <c:pt idx="62">
                  <c:v>0.36505049666040301</c:v>
                </c:pt>
                <c:pt idx="63">
                  <c:v>0.63643096794878928</c:v>
                </c:pt>
                <c:pt idx="64">
                  <c:v>0.68076587971240832</c:v>
                </c:pt>
                <c:pt idx="65">
                  <c:v>0.84945626050649259</c:v>
                </c:pt>
                <c:pt idx="66">
                  <c:v>0.84280205953236953</c:v>
                </c:pt>
                <c:pt idx="67">
                  <c:v>0.88040159839894794</c:v>
                </c:pt>
                <c:pt idx="68">
                  <c:v>0.34160691519755781</c:v>
                </c:pt>
                <c:pt idx="69">
                  <c:v>0.31731690356559533</c:v>
                </c:pt>
                <c:pt idx="70">
                  <c:v>0.35995625672530135</c:v>
                </c:pt>
                <c:pt idx="71">
                  <c:v>0.40463341960972427</c:v>
                </c:pt>
                <c:pt idx="72">
                  <c:v>0.31769476059578394</c:v>
                </c:pt>
                <c:pt idx="73">
                  <c:v>0.32400119419991591</c:v>
                </c:pt>
                <c:pt idx="74">
                  <c:v>5.2344566413235587E-2</c:v>
                </c:pt>
                <c:pt idx="75">
                  <c:v>7.2447632596815012E-2</c:v>
                </c:pt>
                <c:pt idx="76">
                  <c:v>8.8796477193562248E-2</c:v>
                </c:pt>
                <c:pt idx="77">
                  <c:v>7.1721566207235091E-2</c:v>
                </c:pt>
                <c:pt idx="78">
                  <c:v>8.1107590235628912E-2</c:v>
                </c:pt>
                <c:pt idx="79">
                  <c:v>7.7437483762174589E-2</c:v>
                </c:pt>
                <c:pt idx="80">
                  <c:v>9.1609040740322001E-2</c:v>
                </c:pt>
                <c:pt idx="81">
                  <c:v>9.5599377857289156E-2</c:v>
                </c:pt>
                <c:pt idx="82">
                  <c:v>8.407998515918097E-2</c:v>
                </c:pt>
                <c:pt idx="83">
                  <c:v>0.10049849761614976</c:v>
                </c:pt>
                <c:pt idx="84">
                  <c:v>0.15007521068540206</c:v>
                </c:pt>
                <c:pt idx="85">
                  <c:v>0.14521579485051886</c:v>
                </c:pt>
                <c:pt idx="86">
                  <c:v>0.14386873168943634</c:v>
                </c:pt>
                <c:pt idx="87">
                  <c:v>0.15053778972651874</c:v>
                </c:pt>
                <c:pt idx="88">
                  <c:v>0.10887554815651419</c:v>
                </c:pt>
                <c:pt idx="89">
                  <c:v>9.2320761008367794E-2</c:v>
                </c:pt>
                <c:pt idx="90">
                  <c:v>7.4841814689900671E-2</c:v>
                </c:pt>
                <c:pt idx="91">
                  <c:v>6.3532418351470957E-2</c:v>
                </c:pt>
                <c:pt idx="92">
                  <c:v>6.7485945599162656E-2</c:v>
                </c:pt>
                <c:pt idx="93">
                  <c:v>7.4005214296545288E-2</c:v>
                </c:pt>
                <c:pt idx="94">
                  <c:v>6.9059637117029796E-2</c:v>
                </c:pt>
                <c:pt idx="95">
                  <c:v>0.11328329284310754</c:v>
                </c:pt>
                <c:pt idx="96">
                  <c:v>0.11541621738107</c:v>
                </c:pt>
                <c:pt idx="97">
                  <c:v>0.10902336272738246</c:v>
                </c:pt>
                <c:pt idx="98">
                  <c:v>0.11019060147409385</c:v>
                </c:pt>
                <c:pt idx="99">
                  <c:v>0.11052474965191546</c:v>
                </c:pt>
                <c:pt idx="100">
                  <c:v>4.7600562459674499E-2</c:v>
                </c:pt>
                <c:pt idx="101">
                  <c:v>2.5895172032675044E-2</c:v>
                </c:pt>
                <c:pt idx="102">
                  <c:v>5.49007644851272E-2</c:v>
                </c:pt>
                <c:pt idx="103">
                  <c:v>6.4346482432833918E-2</c:v>
                </c:pt>
                <c:pt idx="104">
                  <c:v>6.7645750600794904E-2</c:v>
                </c:pt>
                <c:pt idx="105">
                  <c:v>3.8974824586679196E-2</c:v>
                </c:pt>
                <c:pt idx="106">
                  <c:v>0.16216731996062744</c:v>
                </c:pt>
                <c:pt idx="107">
                  <c:v>0.16001896173331662</c:v>
                </c:pt>
                <c:pt idx="108">
                  <c:v>0.15555845293098799</c:v>
                </c:pt>
                <c:pt idx="109">
                  <c:v>0.14997980885284323</c:v>
                </c:pt>
                <c:pt idx="110">
                  <c:v>0.16060413864095083</c:v>
                </c:pt>
                <c:pt idx="111">
                  <c:v>4.4788559321267442E-2</c:v>
                </c:pt>
                <c:pt idx="112">
                  <c:v>7.1222303686548749E-2</c:v>
                </c:pt>
                <c:pt idx="113">
                  <c:v>6.8924314658538155E-2</c:v>
                </c:pt>
                <c:pt idx="114">
                  <c:v>0.12117776705681979</c:v>
                </c:pt>
                <c:pt idx="115">
                  <c:v>0.13407882880822924</c:v>
                </c:pt>
                <c:pt idx="116">
                  <c:v>0.14188679190267806</c:v>
                </c:pt>
                <c:pt idx="117">
                  <c:v>0.10163200642661965</c:v>
                </c:pt>
                <c:pt idx="118">
                  <c:v>1.9491457719336032E-2</c:v>
                </c:pt>
                <c:pt idx="119">
                  <c:v>1.5263404955014784E-2</c:v>
                </c:pt>
                <c:pt idx="120">
                  <c:v>4.579591775019784E-2</c:v>
                </c:pt>
                <c:pt idx="121">
                  <c:v>6.92725523183087E-2</c:v>
                </c:pt>
                <c:pt idx="122">
                  <c:v>7.5040015912782185E-2</c:v>
                </c:pt>
                <c:pt idx="123">
                  <c:v>0.10640187697498947</c:v>
                </c:pt>
                <c:pt idx="124">
                  <c:v>0.13175756842582476</c:v>
                </c:pt>
                <c:pt idx="125">
                  <c:v>0.10213804809728488</c:v>
                </c:pt>
                <c:pt idx="126">
                  <c:v>0.10293295141041998</c:v>
                </c:pt>
                <c:pt idx="127">
                  <c:v>7.804132426704051E-2</c:v>
                </c:pt>
                <c:pt idx="128">
                  <c:v>8.331466666154233E-2</c:v>
                </c:pt>
                <c:pt idx="129">
                  <c:v>5.1238770480655386E-2</c:v>
                </c:pt>
                <c:pt idx="130">
                  <c:v>4.9022180311616828E-2</c:v>
                </c:pt>
                <c:pt idx="131">
                  <c:v>4.6805687279814025E-2</c:v>
                </c:pt>
                <c:pt idx="132">
                  <c:v>5.2954638243461083E-2</c:v>
                </c:pt>
                <c:pt idx="133">
                  <c:v>4.4227037122230077E-2</c:v>
                </c:pt>
                <c:pt idx="134">
                  <c:v>3.4119899337635123E-2</c:v>
                </c:pt>
                <c:pt idx="135">
                  <c:v>3.4067306365259412E-2</c:v>
                </c:pt>
                <c:pt idx="136">
                  <c:v>3.4005541137182502E-2</c:v>
                </c:pt>
                <c:pt idx="137">
                  <c:v>2.8025702953603088E-2</c:v>
                </c:pt>
                <c:pt idx="138">
                  <c:v>4.6016890979246265E-2</c:v>
                </c:pt>
                <c:pt idx="139">
                  <c:v>7.6531147263559099E-2</c:v>
                </c:pt>
                <c:pt idx="140">
                  <c:v>7.9643597638978769E-2</c:v>
                </c:pt>
                <c:pt idx="141">
                  <c:v>7.7838419135730752E-2</c:v>
                </c:pt>
                <c:pt idx="142">
                  <c:v>0.10910424327392075</c:v>
                </c:pt>
                <c:pt idx="143">
                  <c:v>0.10708562175917591</c:v>
                </c:pt>
                <c:pt idx="144">
                  <c:v>7.5243439489561775E-2</c:v>
                </c:pt>
                <c:pt idx="145">
                  <c:v>7.5222562633212697E-2</c:v>
                </c:pt>
                <c:pt idx="146">
                  <c:v>0.102576721245787</c:v>
                </c:pt>
                <c:pt idx="147">
                  <c:v>6.5839015117771293E-2</c:v>
                </c:pt>
                <c:pt idx="148">
                  <c:v>6.2965618576915655E-2</c:v>
                </c:pt>
                <c:pt idx="149">
                  <c:v>7.735132395894273E-2</c:v>
                </c:pt>
                <c:pt idx="150">
                  <c:v>7.3947006344075056E-2</c:v>
                </c:pt>
                <c:pt idx="151">
                  <c:v>5.0274437762485739E-2</c:v>
                </c:pt>
                <c:pt idx="152">
                  <c:v>9.4932726860094366E-2</c:v>
                </c:pt>
                <c:pt idx="153">
                  <c:v>0.12188289293532011</c:v>
                </c:pt>
                <c:pt idx="154">
                  <c:v>0.13158165471409844</c:v>
                </c:pt>
                <c:pt idx="155">
                  <c:v>0.13157240885961427</c:v>
                </c:pt>
                <c:pt idx="156">
                  <c:v>0.13178102726601465</c:v>
                </c:pt>
                <c:pt idx="157">
                  <c:v>9.8405636739967245E-2</c:v>
                </c:pt>
                <c:pt idx="158">
                  <c:v>0.14233085077627469</c:v>
                </c:pt>
                <c:pt idx="159">
                  <c:v>0.1023566335071988</c:v>
                </c:pt>
                <c:pt idx="160">
                  <c:v>0.12855682430467788</c:v>
                </c:pt>
                <c:pt idx="161">
                  <c:v>0.13233132359798822</c:v>
                </c:pt>
                <c:pt idx="162">
                  <c:v>0.13424494407668469</c:v>
                </c:pt>
                <c:pt idx="163">
                  <c:v>7.1309212066124519E-2</c:v>
                </c:pt>
                <c:pt idx="164">
                  <c:v>8.2469917183490976E-2</c:v>
                </c:pt>
                <c:pt idx="165">
                  <c:v>7.6829312674050382E-2</c:v>
                </c:pt>
                <c:pt idx="166">
                  <c:v>7.2178176573517286E-2</c:v>
                </c:pt>
                <c:pt idx="167">
                  <c:v>0.1023113346251167</c:v>
                </c:pt>
                <c:pt idx="168">
                  <c:v>0.11637524637054504</c:v>
                </c:pt>
                <c:pt idx="169">
                  <c:v>0.11562449849996161</c:v>
                </c:pt>
                <c:pt idx="170">
                  <c:v>0.10936330838404761</c:v>
                </c:pt>
                <c:pt idx="171">
                  <c:v>0.10662342657744299</c:v>
                </c:pt>
                <c:pt idx="172">
                  <c:v>9.2456388990447502E-2</c:v>
                </c:pt>
                <c:pt idx="173">
                  <c:v>9.7743835155782915E-2</c:v>
                </c:pt>
                <c:pt idx="174">
                  <c:v>0.10312643195586621</c:v>
                </c:pt>
                <c:pt idx="175">
                  <c:v>7.6760736082491565E-2</c:v>
                </c:pt>
                <c:pt idx="176">
                  <c:v>7.3751089863907479E-2</c:v>
                </c:pt>
                <c:pt idx="177">
                  <c:v>0.10610320106629388</c:v>
                </c:pt>
                <c:pt idx="178">
                  <c:v>0.10271400091614774</c:v>
                </c:pt>
                <c:pt idx="179">
                  <c:v>0.1726036219302097</c:v>
                </c:pt>
                <c:pt idx="180">
                  <c:v>0.1817397218206174</c:v>
                </c:pt>
                <c:pt idx="181">
                  <c:v>0.18513846927203706</c:v>
                </c:pt>
                <c:pt idx="182">
                  <c:v>0.1779633331950404</c:v>
                </c:pt>
                <c:pt idx="183">
                  <c:v>0.18029139650969289</c:v>
                </c:pt>
                <c:pt idx="184">
                  <c:v>4.7255339582934174E-2</c:v>
                </c:pt>
                <c:pt idx="185">
                  <c:v>3.0110943138037218E-2</c:v>
                </c:pt>
                <c:pt idx="186">
                  <c:v>2.615383975557704E-2</c:v>
                </c:pt>
                <c:pt idx="187">
                  <c:v>0.10386937190930444</c:v>
                </c:pt>
                <c:pt idx="188">
                  <c:v>0.10147255314372303</c:v>
                </c:pt>
                <c:pt idx="189">
                  <c:v>8.5410680801695768E-2</c:v>
                </c:pt>
                <c:pt idx="190">
                  <c:v>9.4674823348551221E-2</c:v>
                </c:pt>
                <c:pt idx="191">
                  <c:v>8.9271663488480438E-2</c:v>
                </c:pt>
                <c:pt idx="192">
                  <c:v>6.1912445373496057E-2</c:v>
                </c:pt>
                <c:pt idx="193">
                  <c:v>8.2428340067736985E-2</c:v>
                </c:pt>
                <c:pt idx="194">
                  <c:v>7.7671181318601623E-2</c:v>
                </c:pt>
                <c:pt idx="195">
                  <c:v>7.7589479799735989E-2</c:v>
                </c:pt>
                <c:pt idx="196">
                  <c:v>7.6720322415087971E-2</c:v>
                </c:pt>
                <c:pt idx="197">
                  <c:v>9.0301922580472635E-2</c:v>
                </c:pt>
                <c:pt idx="198">
                  <c:v>6.5803264991943652E-2</c:v>
                </c:pt>
                <c:pt idx="199">
                  <c:v>6.8156922213282053E-2</c:v>
                </c:pt>
                <c:pt idx="200">
                  <c:v>7.9998897456646817E-2</c:v>
                </c:pt>
                <c:pt idx="201">
                  <c:v>7.5106971154123001E-2</c:v>
                </c:pt>
                <c:pt idx="202">
                  <c:v>9.1572769717377323E-2</c:v>
                </c:pt>
                <c:pt idx="203">
                  <c:v>9.1351438645290051E-2</c:v>
                </c:pt>
                <c:pt idx="204">
                  <c:v>9.2794801681624808E-2</c:v>
                </c:pt>
                <c:pt idx="205">
                  <c:v>7.9297475709849463E-2</c:v>
                </c:pt>
                <c:pt idx="206">
                  <c:v>0.11595876762681151</c:v>
                </c:pt>
                <c:pt idx="207">
                  <c:v>0.10583121145059324</c:v>
                </c:pt>
                <c:pt idx="208">
                  <c:v>0.1055242428661137</c:v>
                </c:pt>
                <c:pt idx="209">
                  <c:v>0.10574806975252864</c:v>
                </c:pt>
                <c:pt idx="210">
                  <c:v>0.10836573958077514</c:v>
                </c:pt>
                <c:pt idx="211">
                  <c:v>8.1401601708925075E-2</c:v>
                </c:pt>
                <c:pt idx="212">
                  <c:v>0.15586104943532952</c:v>
                </c:pt>
                <c:pt idx="213">
                  <c:v>0.15455561465131523</c:v>
                </c:pt>
                <c:pt idx="214">
                  <c:v>0.15756684616272515</c:v>
                </c:pt>
                <c:pt idx="215">
                  <c:v>0.19828350941195966</c:v>
                </c:pt>
                <c:pt idx="216">
                  <c:v>0.19858280087512303</c:v>
                </c:pt>
                <c:pt idx="217">
                  <c:v>0.11317423708562156</c:v>
                </c:pt>
                <c:pt idx="218">
                  <c:v>0.10784565668463252</c:v>
                </c:pt>
                <c:pt idx="219">
                  <c:v>0.11364899404368692</c:v>
                </c:pt>
                <c:pt idx="220">
                  <c:v>0.16808826905892885</c:v>
                </c:pt>
                <c:pt idx="221">
                  <c:v>0.14469622889777073</c:v>
                </c:pt>
                <c:pt idx="222">
                  <c:v>0.19412847140538556</c:v>
                </c:pt>
                <c:pt idx="223">
                  <c:v>0.21066314427446672</c:v>
                </c:pt>
                <c:pt idx="224">
                  <c:v>0.22418138475745258</c:v>
                </c:pt>
                <c:pt idx="225">
                  <c:v>0.13915261554530836</c:v>
                </c:pt>
                <c:pt idx="226">
                  <c:v>7.6409737212165041E-2</c:v>
                </c:pt>
                <c:pt idx="227">
                  <c:v>9.677749913641695E-2</c:v>
                </c:pt>
                <c:pt idx="228">
                  <c:v>0.22024362322017951</c:v>
                </c:pt>
                <c:pt idx="229">
                  <c:v>0.23878264392824136</c:v>
                </c:pt>
                <c:pt idx="230">
                  <c:v>0.18075084370049865</c:v>
                </c:pt>
                <c:pt idx="231">
                  <c:v>0.20447119924360138</c:v>
                </c:pt>
                <c:pt idx="232">
                  <c:v>0.20197851084931734</c:v>
                </c:pt>
                <c:pt idx="233">
                  <c:v>0.18077441922962945</c:v>
                </c:pt>
                <c:pt idx="234">
                  <c:v>0.2319310945983937</c:v>
                </c:pt>
                <c:pt idx="235">
                  <c:v>0.23811941182281612</c:v>
                </c:pt>
                <c:pt idx="236">
                  <c:v>0.22697581730316793</c:v>
                </c:pt>
                <c:pt idx="237">
                  <c:v>0.22606010342699592</c:v>
                </c:pt>
                <c:pt idx="238">
                  <c:v>0.17023833400348826</c:v>
                </c:pt>
                <c:pt idx="239">
                  <c:v>5.6996677424903899E-2</c:v>
                </c:pt>
                <c:pt idx="240">
                  <c:v>3.9351732626731632E-2</c:v>
                </c:pt>
                <c:pt idx="241">
                  <c:v>8.1735917050349952E-2</c:v>
                </c:pt>
                <c:pt idx="242">
                  <c:v>8.1703146400347842E-2</c:v>
                </c:pt>
                <c:pt idx="243">
                  <c:v>6.8562517640083892E-2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F-490D-AAEC-7264B6258DE8}"/>
            </c:ext>
          </c:extLst>
        </c:ser>
        <c:ser>
          <c:idx val="1"/>
          <c:order val="1"/>
          <c:tx>
            <c:strRef>
              <c:f>走势图!$D$6</c:f>
              <c:strCache>
                <c:ptCount val="1"/>
                <c:pt idx="0">
                  <c:v>HV10</c:v>
                </c:pt>
              </c:strCache>
            </c:strRef>
          </c:tx>
          <c:spPr>
            <a:ln w="28575" cap="rnd">
              <a:solidFill>
                <a:srgbClr val="F68717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作图数据!$C$3:$C$246</c:f>
              <c:numCache>
                <c:formatCode>General</c:formatCode>
                <c:ptCount val="244"/>
                <c:pt idx="0">
                  <c:v>0.1529285903804227</c:v>
                </c:pt>
                <c:pt idx="1">
                  <c:v>0.15408811271279516</c:v>
                </c:pt>
                <c:pt idx="2">
                  <c:v>0.1533504932767894</c:v>
                </c:pt>
                <c:pt idx="3">
                  <c:v>0.15917706688863983</c:v>
                </c:pt>
                <c:pt idx="4">
                  <c:v>0.17254792781166398</c:v>
                </c:pt>
                <c:pt idx="5">
                  <c:v>0.17684938092343272</c:v>
                </c:pt>
                <c:pt idx="6">
                  <c:v>0.17666906209313479</c:v>
                </c:pt>
                <c:pt idx="7">
                  <c:v>0.17237511206761419</c:v>
                </c:pt>
                <c:pt idx="8">
                  <c:v>0.11288811957489028</c:v>
                </c:pt>
                <c:pt idx="9">
                  <c:v>8.2782685434004216E-2</c:v>
                </c:pt>
                <c:pt idx="10">
                  <c:v>8.2991051665605442E-2</c:v>
                </c:pt>
                <c:pt idx="11">
                  <c:v>0.15759657635372176</c:v>
                </c:pt>
                <c:pt idx="12">
                  <c:v>0.16619489821246428</c:v>
                </c:pt>
                <c:pt idx="13">
                  <c:v>0.1698808259516244</c:v>
                </c:pt>
                <c:pt idx="14">
                  <c:v>0.16765156867080963</c:v>
                </c:pt>
                <c:pt idx="15">
                  <c:v>0.16158179418887994</c:v>
                </c:pt>
                <c:pt idx="16">
                  <c:v>0.17002965599279332</c:v>
                </c:pt>
                <c:pt idx="17">
                  <c:v>0.17062724708909355</c:v>
                </c:pt>
                <c:pt idx="18">
                  <c:v>0.16719904927550408</c:v>
                </c:pt>
                <c:pt idx="19">
                  <c:v>0.16719573833231377</c:v>
                </c:pt>
                <c:pt idx="20">
                  <c:v>0.16819497829515909</c:v>
                </c:pt>
                <c:pt idx="21">
                  <c:v>9.705767865172886E-2</c:v>
                </c:pt>
                <c:pt idx="22">
                  <c:v>9.4597448921724586E-2</c:v>
                </c:pt>
                <c:pt idx="23">
                  <c:v>9.3342872667279433E-2</c:v>
                </c:pt>
                <c:pt idx="24">
                  <c:v>8.8550880535549853E-2</c:v>
                </c:pt>
                <c:pt idx="25">
                  <c:v>0.10592403383087935</c:v>
                </c:pt>
                <c:pt idx="26">
                  <c:v>0.17953333222184167</c:v>
                </c:pt>
                <c:pt idx="27">
                  <c:v>0.18000068313505768</c:v>
                </c:pt>
                <c:pt idx="28">
                  <c:v>0.18070460324454901</c:v>
                </c:pt>
                <c:pt idx="29">
                  <c:v>0.17831520629308534</c:v>
                </c:pt>
                <c:pt idx="30">
                  <c:v>0.17850332944405536</c:v>
                </c:pt>
                <c:pt idx="31">
                  <c:v>0.18104093700256646</c:v>
                </c:pt>
                <c:pt idx="32">
                  <c:v>0.18265664214085048</c:v>
                </c:pt>
                <c:pt idx="33">
                  <c:v>0.17039380554291933</c:v>
                </c:pt>
                <c:pt idx="34">
                  <c:v>0.17061328193429121</c:v>
                </c:pt>
                <c:pt idx="35">
                  <c:v>0.17020647247118556</c:v>
                </c:pt>
                <c:pt idx="36">
                  <c:v>0.12510289876244149</c:v>
                </c:pt>
                <c:pt idx="37">
                  <c:v>0.24263458156311105</c:v>
                </c:pt>
                <c:pt idx="38">
                  <c:v>0.24408139481136787</c:v>
                </c:pt>
                <c:pt idx="39">
                  <c:v>0.26686949863933312</c:v>
                </c:pt>
                <c:pt idx="40">
                  <c:v>0.26926491133605174</c:v>
                </c:pt>
                <c:pt idx="41">
                  <c:v>0.26035834445957196</c:v>
                </c:pt>
                <c:pt idx="42">
                  <c:v>0.25409163528662487</c:v>
                </c:pt>
                <c:pt idx="43">
                  <c:v>0.26614736800771771</c:v>
                </c:pt>
                <c:pt idx="44">
                  <c:v>0.25458418005667593</c:v>
                </c:pt>
                <c:pt idx="45">
                  <c:v>0.25039751288651158</c:v>
                </c:pt>
                <c:pt idx="46">
                  <c:v>0.23085005343858409</c:v>
                </c:pt>
                <c:pt idx="47">
                  <c:v>0.15611387344792263</c:v>
                </c:pt>
                <c:pt idx="48">
                  <c:v>0.1513573037679973</c:v>
                </c:pt>
                <c:pt idx="49">
                  <c:v>0.11436744126806969</c:v>
                </c:pt>
                <c:pt idx="50">
                  <c:v>0.10449803438371483</c:v>
                </c:pt>
                <c:pt idx="51">
                  <c:v>0.18479383979689837</c:v>
                </c:pt>
                <c:pt idx="52">
                  <c:v>0.20205914582667397</c:v>
                </c:pt>
                <c:pt idx="53">
                  <c:v>0.19011590567726616</c:v>
                </c:pt>
                <c:pt idx="54">
                  <c:v>0.22731598199346631</c:v>
                </c:pt>
                <c:pt idx="55">
                  <c:v>0.236144404373865</c:v>
                </c:pt>
                <c:pt idx="56">
                  <c:v>0.25659724155088992</c:v>
                </c:pt>
                <c:pt idx="57">
                  <c:v>0.30137260802762184</c:v>
                </c:pt>
                <c:pt idx="58">
                  <c:v>0.48332209559767658</c:v>
                </c:pt>
                <c:pt idx="59">
                  <c:v>0.50359789834740254</c:v>
                </c:pt>
                <c:pt idx="60">
                  <c:v>0.61155813495402656</c:v>
                </c:pt>
                <c:pt idx="61">
                  <c:v>0.62495135131250823</c:v>
                </c:pt>
                <c:pt idx="62">
                  <c:v>0.66140330766851707</c:v>
                </c:pt>
                <c:pt idx="63">
                  <c:v>0.65814285725477717</c:v>
                </c:pt>
                <c:pt idx="64">
                  <c:v>0.64930153534660984</c:v>
                </c:pt>
                <c:pt idx="65">
                  <c:v>0.65350681896449769</c:v>
                </c:pt>
                <c:pt idx="66">
                  <c:v>0.62604024347834952</c:v>
                </c:pt>
                <c:pt idx="67">
                  <c:v>0.62662728805837797</c:v>
                </c:pt>
                <c:pt idx="68">
                  <c:v>0.37877619678219498</c:v>
                </c:pt>
                <c:pt idx="69">
                  <c:v>0.40419962938228177</c:v>
                </c:pt>
                <c:pt idx="70">
                  <c:v>0.35083719012016512</c:v>
                </c:pt>
                <c:pt idx="71">
                  <c:v>0.3418784050684599</c:v>
                </c:pt>
                <c:pt idx="72">
                  <c:v>0.25381160024228816</c:v>
                </c:pt>
                <c:pt idx="73">
                  <c:v>0.26955643219254199</c:v>
                </c:pt>
                <c:pt idx="74">
                  <c:v>9.3400485879673797E-2</c:v>
                </c:pt>
                <c:pt idx="75">
                  <c:v>9.1563601072642345E-2</c:v>
                </c:pt>
                <c:pt idx="76">
                  <c:v>9.5450613348417923E-2</c:v>
                </c:pt>
                <c:pt idx="77">
                  <c:v>8.3056690442594408E-2</c:v>
                </c:pt>
                <c:pt idx="78">
                  <c:v>8.6917414371269028E-2</c:v>
                </c:pt>
                <c:pt idx="79">
                  <c:v>0.11356609644269423</c:v>
                </c:pt>
                <c:pt idx="80">
                  <c:v>0.11491035090040347</c:v>
                </c:pt>
                <c:pt idx="81">
                  <c:v>0.11521789532057614</c:v>
                </c:pt>
                <c:pt idx="82">
                  <c:v>0.11574518583262362</c:v>
                </c:pt>
                <c:pt idx="83">
                  <c:v>0.10773990557809419</c:v>
                </c:pt>
                <c:pt idx="84">
                  <c:v>0.11847656907992409</c:v>
                </c:pt>
                <c:pt idx="85">
                  <c:v>0.11884615540136503</c:v>
                </c:pt>
                <c:pt idx="86">
                  <c:v>0.11553501377578616</c:v>
                </c:pt>
                <c:pt idx="87">
                  <c:v>0.11496685687350509</c:v>
                </c:pt>
                <c:pt idx="88">
                  <c:v>8.9645891863800356E-2</c:v>
                </c:pt>
                <c:pt idx="89">
                  <c:v>7.9713614633293989E-2</c:v>
                </c:pt>
                <c:pt idx="90">
                  <c:v>9.3639972437391222E-2</c:v>
                </c:pt>
                <c:pt idx="91">
                  <c:v>9.0035980112258121E-2</c:v>
                </c:pt>
                <c:pt idx="92">
                  <c:v>9.056779354131278E-2</c:v>
                </c:pt>
                <c:pt idx="93">
                  <c:v>8.954601052164439E-2</c:v>
                </c:pt>
                <c:pt idx="94">
                  <c:v>8.7057810221728718E-2</c:v>
                </c:pt>
                <c:pt idx="95">
                  <c:v>8.7541344460471307E-2</c:v>
                </c:pt>
                <c:pt idx="96">
                  <c:v>8.1999778902633699E-2</c:v>
                </c:pt>
                <c:pt idx="97">
                  <c:v>8.9311524397670664E-2</c:v>
                </c:pt>
                <c:pt idx="98">
                  <c:v>9.4703806200643142E-2</c:v>
                </c:pt>
                <c:pt idx="99">
                  <c:v>9.4985904165231616E-2</c:v>
                </c:pt>
                <c:pt idx="100">
                  <c:v>5.5396839349497705E-2</c:v>
                </c:pt>
                <c:pt idx="101">
                  <c:v>0.11060712998831233</c:v>
                </c:pt>
                <c:pt idx="102">
                  <c:v>0.11283285049321937</c:v>
                </c:pt>
                <c:pt idx="103">
                  <c:v>0.11298139248500121</c:v>
                </c:pt>
                <c:pt idx="104">
                  <c:v>0.1130097672588843</c:v>
                </c:pt>
                <c:pt idx="105">
                  <c:v>0.11593642973402679</c:v>
                </c:pt>
                <c:pt idx="106">
                  <c:v>0.11528682512981775</c:v>
                </c:pt>
                <c:pt idx="107">
                  <c:v>0.12378870158262814</c:v>
                </c:pt>
                <c:pt idx="108">
                  <c:v>0.12626860330340384</c:v>
                </c:pt>
                <c:pt idx="109">
                  <c:v>0.13667599700126104</c:v>
                </c:pt>
                <c:pt idx="110">
                  <c:v>0.14044712249484506</c:v>
                </c:pt>
                <c:pt idx="111">
                  <c:v>0.10356652765880499</c:v>
                </c:pt>
                <c:pt idx="112">
                  <c:v>0.10783175162151538</c:v>
                </c:pt>
                <c:pt idx="113">
                  <c:v>0.1117605397229017</c:v>
                </c:pt>
                <c:pt idx="114">
                  <c:v>0.11758877905852341</c:v>
                </c:pt>
                <c:pt idx="115">
                  <c:v>0.11786691536843895</c:v>
                </c:pt>
                <c:pt idx="116">
                  <c:v>0.11595564635069547</c:v>
                </c:pt>
                <c:pt idx="117">
                  <c:v>8.9583750150507513E-2</c:v>
                </c:pt>
                <c:pt idx="118">
                  <c:v>7.2413748378291773E-2</c:v>
                </c:pt>
                <c:pt idx="119">
                  <c:v>9.3059847461644182E-2</c:v>
                </c:pt>
                <c:pt idx="120">
                  <c:v>9.6685404062362368E-2</c:v>
                </c:pt>
                <c:pt idx="121">
                  <c:v>9.6387385350813606E-2</c:v>
                </c:pt>
                <c:pt idx="122">
                  <c:v>9.7340508618981164E-2</c:v>
                </c:pt>
                <c:pt idx="123">
                  <c:v>9.71288291715873E-2</c:v>
                </c:pt>
                <c:pt idx="124">
                  <c:v>9.4404293310815401E-2</c:v>
                </c:pt>
                <c:pt idx="125">
                  <c:v>8.0884551870601409E-2</c:v>
                </c:pt>
                <c:pt idx="126">
                  <c:v>8.074993482913545E-2</c:v>
                </c:pt>
                <c:pt idx="127">
                  <c:v>6.6500828173389995E-2</c:v>
                </c:pt>
                <c:pt idx="128">
                  <c:v>6.2898644719459079E-2</c:v>
                </c:pt>
                <c:pt idx="129">
                  <c:v>4.8047158683549057E-2</c:v>
                </c:pt>
                <c:pt idx="130">
                  <c:v>4.7312262351422225E-2</c:v>
                </c:pt>
                <c:pt idx="131">
                  <c:v>4.7843698122427322E-2</c:v>
                </c:pt>
                <c:pt idx="132">
                  <c:v>4.0752111066811363E-2</c:v>
                </c:pt>
                <c:pt idx="133">
                  <c:v>4.4227409100210432E-2</c:v>
                </c:pt>
                <c:pt idx="134">
                  <c:v>5.6898108198216744E-2</c:v>
                </c:pt>
                <c:pt idx="135">
                  <c:v>5.8411028755673854E-2</c:v>
                </c:pt>
                <c:pt idx="136">
                  <c:v>5.67757401305551E-2</c:v>
                </c:pt>
                <c:pt idx="137">
                  <c:v>7.8239776802588742E-2</c:v>
                </c:pt>
                <c:pt idx="138">
                  <c:v>7.8233865510452874E-2</c:v>
                </c:pt>
                <c:pt idx="139">
                  <c:v>7.9480962188936494E-2</c:v>
                </c:pt>
                <c:pt idx="140">
                  <c:v>8.0190852849398947E-2</c:v>
                </c:pt>
                <c:pt idx="141">
                  <c:v>8.755091999874258E-2</c:v>
                </c:pt>
                <c:pt idx="142">
                  <c:v>8.8470118297864497E-2</c:v>
                </c:pt>
                <c:pt idx="143">
                  <c:v>8.6012197068602345E-2</c:v>
                </c:pt>
                <c:pt idx="144">
                  <c:v>7.5277059998252058E-2</c:v>
                </c:pt>
                <c:pt idx="145">
                  <c:v>7.6674772791372553E-2</c:v>
                </c:pt>
                <c:pt idx="146">
                  <c:v>7.6359533174145025E-2</c:v>
                </c:pt>
                <c:pt idx="147">
                  <c:v>7.7089640518469768E-2</c:v>
                </c:pt>
                <c:pt idx="148">
                  <c:v>9.3145560353329049E-2</c:v>
                </c:pt>
                <c:pt idx="149">
                  <c:v>0.1024061719821151</c:v>
                </c:pt>
                <c:pt idx="150">
                  <c:v>0.10247553274078441</c:v>
                </c:pt>
                <c:pt idx="151">
                  <c:v>9.4127909582719341E-2</c:v>
                </c:pt>
                <c:pt idx="152">
                  <c:v>9.5528222736682822E-2</c:v>
                </c:pt>
                <c:pt idx="153">
                  <c:v>0.12804503506932727</c:v>
                </c:pt>
                <c:pt idx="154">
                  <c:v>0.12497035339295674</c:v>
                </c:pt>
                <c:pt idx="155">
                  <c:v>0.13054085105145305</c:v>
                </c:pt>
                <c:pt idx="156">
                  <c:v>0.13100260370698641</c:v>
                </c:pt>
                <c:pt idx="157">
                  <c:v>0.12017681405569233</c:v>
                </c:pt>
                <c:pt idx="158">
                  <c:v>0.10758105699736338</c:v>
                </c:pt>
                <c:pt idx="159">
                  <c:v>9.5158858356890808E-2</c:v>
                </c:pt>
                <c:pt idx="160">
                  <c:v>0.10238943713999019</c:v>
                </c:pt>
                <c:pt idx="161">
                  <c:v>0.10108396210085786</c:v>
                </c:pt>
                <c:pt idx="162">
                  <c:v>0.11372846285616571</c:v>
                </c:pt>
                <c:pt idx="163">
                  <c:v>9.4315903562595615E-2</c:v>
                </c:pt>
                <c:pt idx="164">
                  <c:v>9.6849660628443704E-2</c:v>
                </c:pt>
                <c:pt idx="165">
                  <c:v>0.10127343937474494</c:v>
                </c:pt>
                <c:pt idx="166">
                  <c:v>9.5473471448907832E-2</c:v>
                </c:pt>
                <c:pt idx="167">
                  <c:v>9.221469184397256E-2</c:v>
                </c:pt>
                <c:pt idx="168">
                  <c:v>0.10282005848455407</c:v>
                </c:pt>
                <c:pt idx="169">
                  <c:v>0.10343471696519654</c:v>
                </c:pt>
                <c:pt idx="170">
                  <c:v>0.10462020962305034</c:v>
                </c:pt>
                <c:pt idx="171">
                  <c:v>0.10465664462641525</c:v>
                </c:pt>
                <c:pt idx="172">
                  <c:v>0.10050247318232898</c:v>
                </c:pt>
                <c:pt idx="173">
                  <c:v>9.9961364108333367E-2</c:v>
                </c:pt>
                <c:pt idx="174">
                  <c:v>0.13507226967900532</c:v>
                </c:pt>
                <c:pt idx="175">
                  <c:v>0.13856949180962339</c:v>
                </c:pt>
                <c:pt idx="176">
                  <c:v>0.13845608203334217</c:v>
                </c:pt>
                <c:pt idx="177">
                  <c:v>0.13836606827405806</c:v>
                </c:pt>
                <c:pt idx="178">
                  <c:v>0.13839045955017931</c:v>
                </c:pt>
                <c:pt idx="179">
                  <c:v>0.14102189120958833</c:v>
                </c:pt>
                <c:pt idx="180">
                  <c:v>0.1378313149150068</c:v>
                </c:pt>
                <c:pt idx="181">
                  <c:v>0.1374241645573509</c:v>
                </c:pt>
                <c:pt idx="182">
                  <c:v>0.13824743749995774</c:v>
                </c:pt>
                <c:pt idx="183">
                  <c:v>0.13795062264624769</c:v>
                </c:pt>
                <c:pt idx="184">
                  <c:v>8.6825894475372145E-2</c:v>
                </c:pt>
                <c:pt idx="185">
                  <c:v>8.0108154911299773E-2</c:v>
                </c:pt>
                <c:pt idx="186">
                  <c:v>8.2973843699586408E-2</c:v>
                </c:pt>
                <c:pt idx="187">
                  <c:v>8.2096925942998847E-2</c:v>
                </c:pt>
                <c:pt idx="188">
                  <c:v>9.0119385207096586E-2</c:v>
                </c:pt>
                <c:pt idx="189">
                  <c:v>8.6024614445267669E-2</c:v>
                </c:pt>
                <c:pt idx="190">
                  <c:v>8.4561287287882286E-2</c:v>
                </c:pt>
                <c:pt idx="191">
                  <c:v>9.2192220539880576E-2</c:v>
                </c:pt>
                <c:pt idx="192">
                  <c:v>7.650577407706774E-2</c:v>
                </c:pt>
                <c:pt idx="193">
                  <c:v>7.200167955865952E-2</c:v>
                </c:pt>
                <c:pt idx="194">
                  <c:v>7.0474412262480107E-2</c:v>
                </c:pt>
                <c:pt idx="195">
                  <c:v>7.5860504974888998E-2</c:v>
                </c:pt>
                <c:pt idx="196">
                  <c:v>7.369075677310892E-2</c:v>
                </c:pt>
                <c:pt idx="197">
                  <c:v>8.7248797996182625E-2</c:v>
                </c:pt>
                <c:pt idx="198">
                  <c:v>7.5067984560991369E-2</c:v>
                </c:pt>
                <c:pt idx="199">
                  <c:v>7.6768920942040075E-2</c:v>
                </c:pt>
                <c:pt idx="200">
                  <c:v>7.8646185198798277E-2</c:v>
                </c:pt>
                <c:pt idx="201">
                  <c:v>9.5199378089896133E-2</c:v>
                </c:pt>
                <c:pt idx="202">
                  <c:v>9.3592365148185239E-2</c:v>
                </c:pt>
                <c:pt idx="203">
                  <c:v>9.3748516101135479E-2</c:v>
                </c:pt>
                <c:pt idx="204">
                  <c:v>9.9001020797404235E-2</c:v>
                </c:pt>
                <c:pt idx="205">
                  <c:v>9.3272302150436345E-2</c:v>
                </c:pt>
                <c:pt idx="206">
                  <c:v>9.446965521558727E-2</c:v>
                </c:pt>
                <c:pt idx="207">
                  <c:v>0.12731174675713688</c:v>
                </c:pt>
                <c:pt idx="208">
                  <c:v>0.12735218978980004</c:v>
                </c:pt>
                <c:pt idx="209">
                  <c:v>0.13369341328082288</c:v>
                </c:pt>
                <c:pt idx="210">
                  <c:v>0.15070371751958822</c:v>
                </c:pt>
                <c:pt idx="211">
                  <c:v>0.14308440682384554</c:v>
                </c:pt>
                <c:pt idx="212">
                  <c:v>0.1455529704873002</c:v>
                </c:pt>
                <c:pt idx="213">
                  <c:v>0.14548680467027189</c:v>
                </c:pt>
                <c:pt idx="214">
                  <c:v>0.15096810663873017</c:v>
                </c:pt>
                <c:pt idx="215">
                  <c:v>0.18180111299971821</c:v>
                </c:pt>
                <c:pt idx="216">
                  <c:v>0.18215666215915671</c:v>
                </c:pt>
                <c:pt idx="217">
                  <c:v>0.15069497435661935</c:v>
                </c:pt>
                <c:pt idx="218">
                  <c:v>0.15781666111276615</c:v>
                </c:pt>
                <c:pt idx="219">
                  <c:v>0.17061327421856831</c:v>
                </c:pt>
                <c:pt idx="220">
                  <c:v>0.18685724510128901</c:v>
                </c:pt>
                <c:pt idx="221">
                  <c:v>0.18872041382784674</c:v>
                </c:pt>
                <c:pt idx="222">
                  <c:v>0.18647436235504256</c:v>
                </c:pt>
                <c:pt idx="223">
                  <c:v>0.21311923550570702</c:v>
                </c:pt>
                <c:pt idx="224">
                  <c:v>0.21837004809586161</c:v>
                </c:pt>
                <c:pt idx="225">
                  <c:v>0.1797548948880747</c:v>
                </c:pt>
                <c:pt idx="226">
                  <c:v>0.18065264098956085</c:v>
                </c:pt>
                <c:pt idx="227">
                  <c:v>0.17846234712140374</c:v>
                </c:pt>
                <c:pt idx="228">
                  <c:v>0.19558891559817715</c:v>
                </c:pt>
                <c:pt idx="229">
                  <c:v>0.22830025047597161</c:v>
                </c:pt>
                <c:pt idx="230">
                  <c:v>0.20997027713602653</c:v>
                </c:pt>
                <c:pt idx="231">
                  <c:v>0.20778818448429737</c:v>
                </c:pt>
                <c:pt idx="232">
                  <c:v>0.20889664822557943</c:v>
                </c:pt>
                <c:pt idx="233">
                  <c:v>0.18005712444406272</c:v>
                </c:pt>
                <c:pt idx="234">
                  <c:v>0.16070420685440479</c:v>
                </c:pt>
                <c:pt idx="235">
                  <c:v>0.16094096830693877</c:v>
                </c:pt>
                <c:pt idx="236">
                  <c:v>0.16353174959420375</c:v>
                </c:pt>
                <c:pt idx="237">
                  <c:v>0.16255984638504212</c:v>
                </c:pt>
                <c:pt idx="238">
                  <c:v>0.1236800443681096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2F-490D-AAEC-7264B6258DE8}"/>
            </c:ext>
          </c:extLst>
        </c:ser>
        <c:ser>
          <c:idx val="2"/>
          <c:order val="2"/>
          <c:tx>
            <c:strRef>
              <c:f>走势图!$E$6</c:f>
              <c:strCache>
                <c:ptCount val="1"/>
                <c:pt idx="0">
                  <c:v>HV20</c:v>
                </c:pt>
              </c:strCache>
            </c:strRef>
          </c:tx>
          <c:spPr>
            <a:ln w="28575" cap="rnd">
              <a:solidFill>
                <a:srgbClr val="5FBEBF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作图数据!$D$3:$D$246</c:f>
              <c:numCache>
                <c:formatCode>General</c:formatCode>
                <c:ptCount val="244"/>
                <c:pt idx="0">
                  <c:v>0.13527844753488541</c:v>
                </c:pt>
                <c:pt idx="1">
                  <c:v>0.15752557048912874</c:v>
                </c:pt>
                <c:pt idx="2">
                  <c:v>0.16304249291574149</c:v>
                </c:pt>
                <c:pt idx="3">
                  <c:v>0.16357723233567889</c:v>
                </c:pt>
                <c:pt idx="4">
                  <c:v>0.16747267657516651</c:v>
                </c:pt>
                <c:pt idx="5">
                  <c:v>0.16573810803938474</c:v>
                </c:pt>
                <c:pt idx="6">
                  <c:v>0.17089678591955038</c:v>
                </c:pt>
                <c:pt idx="7">
                  <c:v>0.16829949687083051</c:v>
                </c:pt>
                <c:pt idx="8">
                  <c:v>0.13934928968569146</c:v>
                </c:pt>
                <c:pt idx="9">
                  <c:v>0.13104882053305936</c:v>
                </c:pt>
                <c:pt idx="10">
                  <c:v>0.12995199473692914</c:v>
                </c:pt>
                <c:pt idx="11">
                  <c:v>0.1305038909505376</c:v>
                </c:pt>
                <c:pt idx="12">
                  <c:v>0.13168567027058126</c:v>
                </c:pt>
                <c:pt idx="13">
                  <c:v>0.13622673371839067</c:v>
                </c:pt>
                <c:pt idx="14">
                  <c:v>0.13274636337292714</c:v>
                </c:pt>
                <c:pt idx="15">
                  <c:v>0.13487246266874764</c:v>
                </c:pt>
                <c:pt idx="16">
                  <c:v>0.17143809766718673</c:v>
                </c:pt>
                <c:pt idx="17">
                  <c:v>0.17131341982020609</c:v>
                </c:pt>
                <c:pt idx="18">
                  <c:v>0.16952419851314984</c:v>
                </c:pt>
                <c:pt idx="19">
                  <c:v>0.16873469579333425</c:v>
                </c:pt>
                <c:pt idx="20">
                  <c:v>0.16968416266710679</c:v>
                </c:pt>
                <c:pt idx="21">
                  <c:v>0.15236933223744475</c:v>
                </c:pt>
                <c:pt idx="22">
                  <c:v>0.14913630437839584</c:v>
                </c:pt>
                <c:pt idx="23">
                  <c:v>0.14937586924038077</c:v>
                </c:pt>
                <c:pt idx="24">
                  <c:v>0.15310422375159985</c:v>
                </c:pt>
                <c:pt idx="25">
                  <c:v>0.1536095486783253</c:v>
                </c:pt>
                <c:pt idx="26">
                  <c:v>0.15242469154671079</c:v>
                </c:pt>
                <c:pt idx="27">
                  <c:v>0.20793122568287589</c:v>
                </c:pt>
                <c:pt idx="28">
                  <c:v>0.20936416644219666</c:v>
                </c:pt>
                <c:pt idx="29">
                  <c:v>0.22140992107349472</c:v>
                </c:pt>
                <c:pt idx="30">
                  <c:v>0.22307542251212806</c:v>
                </c:pt>
                <c:pt idx="31">
                  <c:v>0.22381168132081167</c:v>
                </c:pt>
                <c:pt idx="32">
                  <c:v>0.22325268945505974</c:v>
                </c:pt>
                <c:pt idx="33">
                  <c:v>0.22288686428219784</c:v>
                </c:pt>
                <c:pt idx="34">
                  <c:v>0.22249219283082156</c:v>
                </c:pt>
                <c:pt idx="35">
                  <c:v>0.22133021451825727</c:v>
                </c:pt>
                <c:pt idx="36">
                  <c:v>0.19599832984279317</c:v>
                </c:pt>
                <c:pt idx="37">
                  <c:v>0.19882547709907469</c:v>
                </c:pt>
                <c:pt idx="38">
                  <c:v>0.1998389430994103</c:v>
                </c:pt>
                <c:pt idx="39">
                  <c:v>0.19984873528533256</c:v>
                </c:pt>
                <c:pt idx="40">
                  <c:v>0.19929196213091549</c:v>
                </c:pt>
                <c:pt idx="41">
                  <c:v>0.22009764500175613</c:v>
                </c:pt>
                <c:pt idx="42">
                  <c:v>0.22551103179050766</c:v>
                </c:pt>
                <c:pt idx="43">
                  <c:v>0.22519532487085278</c:v>
                </c:pt>
                <c:pt idx="44">
                  <c:v>0.23664827425793955</c:v>
                </c:pt>
                <c:pt idx="45">
                  <c:v>0.23824998974667749</c:v>
                </c:pt>
                <c:pt idx="46">
                  <c:v>0.24410332040783111</c:v>
                </c:pt>
                <c:pt idx="47">
                  <c:v>0.23409348160571455</c:v>
                </c:pt>
                <c:pt idx="48">
                  <c:v>0.35380104909225107</c:v>
                </c:pt>
                <c:pt idx="49">
                  <c:v>0.3568717432755763</c:v>
                </c:pt>
                <c:pt idx="50">
                  <c:v>0.42806999200048618</c:v>
                </c:pt>
                <c:pt idx="51">
                  <c:v>0.44896685381599011</c:v>
                </c:pt>
                <c:pt idx="52">
                  <c:v>0.48392819655665531</c:v>
                </c:pt>
                <c:pt idx="53">
                  <c:v>0.47981034982668036</c:v>
                </c:pt>
                <c:pt idx="54">
                  <c:v>0.5012009455109292</c:v>
                </c:pt>
                <c:pt idx="55">
                  <c:v>0.50077050989026106</c:v>
                </c:pt>
                <c:pt idx="56">
                  <c:v>0.50071339913650059</c:v>
                </c:pt>
                <c:pt idx="57">
                  <c:v>0.49589904714364441</c:v>
                </c:pt>
                <c:pt idx="58">
                  <c:v>0.49590358737774459</c:v>
                </c:pt>
                <c:pt idx="59">
                  <c:v>0.49733184915132261</c:v>
                </c:pt>
                <c:pt idx="60">
                  <c:v>0.4981736537032409</c:v>
                </c:pt>
                <c:pt idx="61">
                  <c:v>0.49501710560147599</c:v>
                </c:pt>
                <c:pt idx="62">
                  <c:v>0.48853477845810606</c:v>
                </c:pt>
                <c:pt idx="63">
                  <c:v>0.49339140383776109</c:v>
                </c:pt>
                <c:pt idx="64">
                  <c:v>0.48109994202564205</c:v>
                </c:pt>
                <c:pt idx="65">
                  <c:v>0.48172179964958195</c:v>
                </c:pt>
                <c:pt idx="66">
                  <c:v>0.47412619715533311</c:v>
                </c:pt>
                <c:pt idx="67">
                  <c:v>0.46877621695488664</c:v>
                </c:pt>
                <c:pt idx="68">
                  <c:v>0.37082478078909903</c:v>
                </c:pt>
                <c:pt idx="69">
                  <c:v>0.36759829540523753</c:v>
                </c:pt>
                <c:pt idx="70">
                  <c:v>0.30802627131038307</c:v>
                </c:pt>
                <c:pt idx="71">
                  <c:v>0.28414421009905888</c:v>
                </c:pt>
                <c:pt idx="72">
                  <c:v>0.21407765351734992</c:v>
                </c:pt>
                <c:pt idx="73">
                  <c:v>0.20997552079162782</c:v>
                </c:pt>
                <c:pt idx="74">
                  <c:v>0.10450520418740175</c:v>
                </c:pt>
                <c:pt idx="75">
                  <c:v>0.10375276136845428</c:v>
                </c:pt>
                <c:pt idx="76">
                  <c:v>0.1031467639771867</c:v>
                </c:pt>
                <c:pt idx="77">
                  <c:v>9.8210779686180846E-2</c:v>
                </c:pt>
                <c:pt idx="78">
                  <c:v>9.6989732705234477E-2</c:v>
                </c:pt>
                <c:pt idx="79">
                  <c:v>0.10089625427042589</c:v>
                </c:pt>
                <c:pt idx="80">
                  <c:v>0.11498983285660291</c:v>
                </c:pt>
                <c:pt idx="81">
                  <c:v>0.11470989737721057</c:v>
                </c:pt>
                <c:pt idx="82">
                  <c:v>0.11454176077147749</c:v>
                </c:pt>
                <c:pt idx="83">
                  <c:v>0.1065699875999981</c:v>
                </c:pt>
                <c:pt idx="84">
                  <c:v>0.10576013479174017</c:v>
                </c:pt>
                <c:pt idx="85">
                  <c:v>0.10635413120793948</c:v>
                </c:pt>
                <c:pt idx="86">
                  <c:v>0.10260962538396097</c:v>
                </c:pt>
                <c:pt idx="87">
                  <c:v>0.10390581664386941</c:v>
                </c:pt>
                <c:pt idx="88">
                  <c:v>8.9772033730997861E-2</c:v>
                </c:pt>
                <c:pt idx="89">
                  <c:v>8.541954829822837E-2</c:v>
                </c:pt>
                <c:pt idx="90">
                  <c:v>8.3300148474024296E-2</c:v>
                </c:pt>
                <c:pt idx="91">
                  <c:v>0.10015624403886463</c:v>
                </c:pt>
                <c:pt idx="92">
                  <c:v>0.10217408650865886</c:v>
                </c:pt>
                <c:pt idx="93">
                  <c:v>0.10296028311972064</c:v>
                </c:pt>
                <c:pt idx="94">
                  <c:v>0.10073138243427462</c:v>
                </c:pt>
                <c:pt idx="95">
                  <c:v>0.10551306123086436</c:v>
                </c:pt>
                <c:pt idx="96">
                  <c:v>0.10498055082534206</c:v>
                </c:pt>
                <c:pt idx="97">
                  <c:v>0.11283297931165977</c:v>
                </c:pt>
                <c:pt idx="98">
                  <c:v>0.11399967756513761</c:v>
                </c:pt>
                <c:pt idx="99">
                  <c:v>0.1155750495657312</c:v>
                </c:pt>
                <c:pt idx="100">
                  <c:v>0.10429717704159421</c:v>
                </c:pt>
                <c:pt idx="101">
                  <c:v>0.10602657032847174</c:v>
                </c:pt>
                <c:pt idx="102">
                  <c:v>0.10771235572244731</c:v>
                </c:pt>
                <c:pt idx="103">
                  <c:v>0.10938603538107725</c:v>
                </c:pt>
                <c:pt idx="104">
                  <c:v>0.11263285030952014</c:v>
                </c:pt>
                <c:pt idx="105">
                  <c:v>0.1192954356433861</c:v>
                </c:pt>
                <c:pt idx="106">
                  <c:v>0.11932746056473596</c:v>
                </c:pt>
                <c:pt idx="107">
                  <c:v>0.12216769717763468</c:v>
                </c:pt>
                <c:pt idx="108">
                  <c:v>0.1211660853917971</c:v>
                </c:pt>
                <c:pt idx="109">
                  <c:v>0.12269419633394202</c:v>
                </c:pt>
                <c:pt idx="110">
                  <c:v>0.12129725926803012</c:v>
                </c:pt>
                <c:pt idx="111">
                  <c:v>0.10443459697319397</c:v>
                </c:pt>
                <c:pt idx="112">
                  <c:v>0.10485032131559403</c:v>
                </c:pt>
                <c:pt idx="113">
                  <c:v>0.10495748393865789</c:v>
                </c:pt>
                <c:pt idx="114">
                  <c:v>0.10496755588667611</c:v>
                </c:pt>
                <c:pt idx="115">
                  <c:v>9.9048392487832079E-2</c:v>
                </c:pt>
                <c:pt idx="116">
                  <c:v>9.7806177931206106E-2</c:v>
                </c:pt>
                <c:pt idx="117">
                  <c:v>8.5751656288819145E-2</c:v>
                </c:pt>
                <c:pt idx="118">
                  <c:v>7.6100999543686959E-2</c:v>
                </c:pt>
                <c:pt idx="119">
                  <c:v>7.5068030908437375E-2</c:v>
                </c:pt>
                <c:pt idx="120">
                  <c:v>7.5431727781267666E-2</c:v>
                </c:pt>
                <c:pt idx="121">
                  <c:v>7.4691720573453704E-2</c:v>
                </c:pt>
                <c:pt idx="122">
                  <c:v>7.408855264438402E-2</c:v>
                </c:pt>
                <c:pt idx="123">
                  <c:v>7.6736864859104498E-2</c:v>
                </c:pt>
                <c:pt idx="124">
                  <c:v>7.761537062135912E-2</c:v>
                </c:pt>
                <c:pt idx="125">
                  <c:v>6.8978410804914569E-2</c:v>
                </c:pt>
                <c:pt idx="126">
                  <c:v>6.8900628346006049E-2</c:v>
                </c:pt>
                <c:pt idx="127">
                  <c:v>7.1123730934936513E-2</c:v>
                </c:pt>
                <c:pt idx="128">
                  <c:v>7.0807916764364334E-2</c:v>
                </c:pt>
                <c:pt idx="129">
                  <c:v>6.6538857693584433E-2</c:v>
                </c:pt>
                <c:pt idx="130">
                  <c:v>6.7139231226523335E-2</c:v>
                </c:pt>
                <c:pt idx="131">
                  <c:v>7.1029542314103952E-2</c:v>
                </c:pt>
                <c:pt idx="132">
                  <c:v>6.8341446560098065E-2</c:v>
                </c:pt>
                <c:pt idx="133">
                  <c:v>6.6653264005297821E-2</c:v>
                </c:pt>
                <c:pt idx="134">
                  <c:v>6.7296902431199179E-2</c:v>
                </c:pt>
                <c:pt idx="135">
                  <c:v>6.761905427437287E-2</c:v>
                </c:pt>
                <c:pt idx="136">
                  <c:v>6.6587543261833179E-2</c:v>
                </c:pt>
                <c:pt idx="137">
                  <c:v>7.6503603672834028E-2</c:v>
                </c:pt>
                <c:pt idx="138">
                  <c:v>8.4266471224268974E-2</c:v>
                </c:pt>
                <c:pt idx="139">
                  <c:v>8.9222657814373135E-2</c:v>
                </c:pt>
                <c:pt idx="140">
                  <c:v>8.9653742710670115E-2</c:v>
                </c:pt>
                <c:pt idx="141">
                  <c:v>8.8617930038605158E-2</c:v>
                </c:pt>
                <c:pt idx="142">
                  <c:v>8.9755568716935699E-2</c:v>
                </c:pt>
                <c:pt idx="143">
                  <c:v>0.10644926905002945</c:v>
                </c:pt>
                <c:pt idx="144">
                  <c:v>0.10407566998080545</c:v>
                </c:pt>
                <c:pt idx="145">
                  <c:v>0.10569648227095789</c:v>
                </c:pt>
                <c:pt idx="146">
                  <c:v>0.10596450976053966</c:v>
                </c:pt>
                <c:pt idx="147">
                  <c:v>9.8511721971684271E-2</c:v>
                </c:pt>
                <c:pt idx="148">
                  <c:v>9.8467277846306017E-2</c:v>
                </c:pt>
                <c:pt idx="149">
                  <c:v>0.10138348528092836</c:v>
                </c:pt>
                <c:pt idx="150">
                  <c:v>0.10233135809286133</c:v>
                </c:pt>
                <c:pt idx="151">
                  <c:v>0.10038488614087146</c:v>
                </c:pt>
                <c:pt idx="152">
                  <c:v>0.10942173324254935</c:v>
                </c:pt>
                <c:pt idx="153">
                  <c:v>0.10979160435717993</c:v>
                </c:pt>
                <c:pt idx="154">
                  <c:v>0.10882801428421608</c:v>
                </c:pt>
                <c:pt idx="155">
                  <c:v>0.11603679241142449</c:v>
                </c:pt>
                <c:pt idx="156">
                  <c:v>0.11540695203092873</c:v>
                </c:pt>
                <c:pt idx="157">
                  <c:v>0.11240749312642694</c:v>
                </c:pt>
                <c:pt idx="158">
                  <c:v>0.10522149381659061</c:v>
                </c:pt>
                <c:pt idx="159">
                  <c:v>9.6834998515566623E-2</c:v>
                </c:pt>
                <c:pt idx="160">
                  <c:v>0.1011607121085952</c:v>
                </c:pt>
                <c:pt idx="161">
                  <c:v>0.10036155130364394</c:v>
                </c:pt>
                <c:pt idx="162">
                  <c:v>0.10448645950981446</c:v>
                </c:pt>
                <c:pt idx="163">
                  <c:v>9.5518380965497501E-2</c:v>
                </c:pt>
                <c:pt idx="164">
                  <c:v>0.11675355122853505</c:v>
                </c:pt>
                <c:pt idx="165">
                  <c:v>0.11844953705017143</c:v>
                </c:pt>
                <c:pt idx="166">
                  <c:v>0.11716289012352928</c:v>
                </c:pt>
                <c:pt idx="167">
                  <c:v>0.11772479292089347</c:v>
                </c:pt>
                <c:pt idx="168">
                  <c:v>0.12053009543140955</c:v>
                </c:pt>
                <c:pt idx="169">
                  <c:v>0.12166354815493678</c:v>
                </c:pt>
                <c:pt idx="170">
                  <c:v>0.11999734422055852</c:v>
                </c:pt>
                <c:pt idx="171">
                  <c:v>0.12038666102871073</c:v>
                </c:pt>
                <c:pt idx="172">
                  <c:v>0.11888572456751141</c:v>
                </c:pt>
                <c:pt idx="173">
                  <c:v>0.11772545158816297</c:v>
                </c:pt>
                <c:pt idx="174">
                  <c:v>0.11657851915581537</c:v>
                </c:pt>
                <c:pt idx="175">
                  <c:v>0.11157913250894326</c:v>
                </c:pt>
                <c:pt idx="176">
                  <c:v>0.11159042763820359</c:v>
                </c:pt>
                <c:pt idx="177">
                  <c:v>0.11079005995983585</c:v>
                </c:pt>
                <c:pt idx="178">
                  <c:v>0.11384981172522123</c:v>
                </c:pt>
                <c:pt idx="179">
                  <c:v>0.11369274534872599</c:v>
                </c:pt>
                <c:pt idx="180">
                  <c:v>0.11132304054209712</c:v>
                </c:pt>
                <c:pt idx="181">
                  <c:v>0.1139102482639851</c:v>
                </c:pt>
                <c:pt idx="182">
                  <c:v>0.10880576689871647</c:v>
                </c:pt>
                <c:pt idx="183">
                  <c:v>0.10793933161510619</c:v>
                </c:pt>
                <c:pt idx="184">
                  <c:v>7.6996328147144313E-2</c:v>
                </c:pt>
                <c:pt idx="185">
                  <c:v>7.6263875468984402E-2</c:v>
                </c:pt>
                <c:pt idx="186">
                  <c:v>7.7273984746400251E-2</c:v>
                </c:pt>
                <c:pt idx="187">
                  <c:v>8.2739497715118251E-2</c:v>
                </c:pt>
                <c:pt idx="188">
                  <c:v>8.0790047855335223E-2</c:v>
                </c:pt>
                <c:pt idx="189">
                  <c:v>7.9434709979263385E-2</c:v>
                </c:pt>
                <c:pt idx="190">
                  <c:v>8.0760807879554378E-2</c:v>
                </c:pt>
                <c:pt idx="191">
                  <c:v>9.1358172266903168E-2</c:v>
                </c:pt>
                <c:pt idx="192">
                  <c:v>8.3598216148482465E-2</c:v>
                </c:pt>
                <c:pt idx="193">
                  <c:v>8.2207279969933059E-2</c:v>
                </c:pt>
                <c:pt idx="194">
                  <c:v>8.7002099111079395E-2</c:v>
                </c:pt>
                <c:pt idx="195">
                  <c:v>8.7365777292291127E-2</c:v>
                </c:pt>
                <c:pt idx="196">
                  <c:v>8.812051255248822E-2</c:v>
                </c:pt>
                <c:pt idx="197">
                  <c:v>0.10633804046482036</c:v>
                </c:pt>
                <c:pt idx="198">
                  <c:v>0.10176255616287469</c:v>
                </c:pt>
                <c:pt idx="199">
                  <c:v>0.1066185558477122</c:v>
                </c:pt>
                <c:pt idx="200">
                  <c:v>0.12205291791973512</c:v>
                </c:pt>
                <c:pt idx="201">
                  <c:v>0.11865199013849217</c:v>
                </c:pt>
                <c:pt idx="202">
                  <c:v>0.12026162581225751</c:v>
                </c:pt>
                <c:pt idx="203">
                  <c:v>0.12024167054941474</c:v>
                </c:pt>
                <c:pt idx="204">
                  <c:v>0.12474561738274548</c:v>
                </c:pt>
                <c:pt idx="205">
                  <c:v>0.14499441176044386</c:v>
                </c:pt>
                <c:pt idx="206">
                  <c:v>0.14592214085856683</c:v>
                </c:pt>
                <c:pt idx="207">
                  <c:v>0.1503243155528961</c:v>
                </c:pt>
                <c:pt idx="208">
                  <c:v>0.1522033458318276</c:v>
                </c:pt>
                <c:pt idx="209">
                  <c:v>0.15414995023958797</c:v>
                </c:pt>
                <c:pt idx="210">
                  <c:v>0.16531570407150201</c:v>
                </c:pt>
                <c:pt idx="211">
                  <c:v>0.16301032384715308</c:v>
                </c:pt>
                <c:pt idx="212">
                  <c:v>0.16300676444424983</c:v>
                </c:pt>
                <c:pt idx="213">
                  <c:v>0.17777279666328771</c:v>
                </c:pt>
                <c:pt idx="214">
                  <c:v>0.18288104232984723</c:v>
                </c:pt>
                <c:pt idx="215">
                  <c:v>0.18061710550447077</c:v>
                </c:pt>
                <c:pt idx="216">
                  <c:v>0.1861697189434777</c:v>
                </c:pt>
                <c:pt idx="217">
                  <c:v>0.17126621551407328</c:v>
                </c:pt>
                <c:pt idx="218">
                  <c:v>0.17713175144651785</c:v>
                </c:pt>
                <c:pt idx="219">
                  <c:v>0.19999030128882331</c:v>
                </c:pt>
                <c:pt idx="220">
                  <c:v>0.1934915368741271</c:v>
                </c:pt>
                <c:pt idx="221">
                  <c:v>0.19340828648414587</c:v>
                </c:pt>
                <c:pt idx="222">
                  <c:v>0.19310296721431019</c:v>
                </c:pt>
                <c:pt idx="223">
                  <c:v>0.19310151511590826</c:v>
                </c:pt>
                <c:pt idx="224">
                  <c:v>0.19088396717412334</c:v>
                </c:pt>
                <c:pt idx="225">
                  <c:v>0.16681633919591363</c:v>
                </c:pt>
                <c:pt idx="226">
                  <c:v>0.16772672274705119</c:v>
                </c:pt>
                <c:pt idx="227">
                  <c:v>0.16702882211185016</c:v>
                </c:pt>
                <c:pt idx="228">
                  <c:v>0.16851564900228294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2F-490D-AAEC-7264B6258DE8}"/>
            </c:ext>
          </c:extLst>
        </c:ser>
        <c:ser>
          <c:idx val="3"/>
          <c:order val="3"/>
          <c:tx>
            <c:strRef>
              <c:f>走势图!$F$6</c:f>
              <c:strCache>
                <c:ptCount val="1"/>
                <c:pt idx="0">
                  <c:v>HV60</c:v>
                </c:pt>
              </c:strCache>
            </c:strRef>
          </c:tx>
          <c:spPr>
            <a:ln w="28575" cap="rnd">
              <a:solidFill>
                <a:srgbClr val="E05D5D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作图数据!$E$3:$E$246</c:f>
              <c:numCache>
                <c:formatCode>General</c:formatCode>
                <c:ptCount val="244"/>
                <c:pt idx="0">
                  <c:v>0.16741718024583493</c:v>
                </c:pt>
                <c:pt idx="1">
                  <c:v>0.178643456523324</c:v>
                </c:pt>
                <c:pt idx="2">
                  <c:v>0.18043846066600538</c:v>
                </c:pt>
                <c:pt idx="3">
                  <c:v>0.18021234418703644</c:v>
                </c:pt>
                <c:pt idx="4">
                  <c:v>0.18673117766623729</c:v>
                </c:pt>
                <c:pt idx="5">
                  <c:v>0.18799713063740678</c:v>
                </c:pt>
                <c:pt idx="6">
                  <c:v>0.19213021864771873</c:v>
                </c:pt>
                <c:pt idx="7">
                  <c:v>0.20222450846975973</c:v>
                </c:pt>
                <c:pt idx="8">
                  <c:v>0.24714508489112336</c:v>
                </c:pt>
                <c:pt idx="9">
                  <c:v>0.25084052767371495</c:v>
                </c:pt>
                <c:pt idx="10">
                  <c:v>0.28396863110213444</c:v>
                </c:pt>
                <c:pt idx="11">
                  <c:v>0.29475967889744897</c:v>
                </c:pt>
                <c:pt idx="12">
                  <c:v>0.31344183355262484</c:v>
                </c:pt>
                <c:pt idx="13">
                  <c:v>0.31407699902039649</c:v>
                </c:pt>
                <c:pt idx="14">
                  <c:v>0.32831631871746575</c:v>
                </c:pt>
                <c:pt idx="15">
                  <c:v>0.32811928647843502</c:v>
                </c:pt>
                <c:pt idx="16">
                  <c:v>0.32791142559626169</c:v>
                </c:pt>
                <c:pt idx="17">
                  <c:v>0.32768619004036381</c:v>
                </c:pt>
                <c:pt idx="18">
                  <c:v>0.32763025829579856</c:v>
                </c:pt>
                <c:pt idx="19">
                  <c:v>0.32777031995415568</c:v>
                </c:pt>
                <c:pt idx="20">
                  <c:v>0.32798151037930534</c:v>
                </c:pt>
                <c:pt idx="21">
                  <c:v>0.32363570085013216</c:v>
                </c:pt>
                <c:pt idx="22">
                  <c:v>0.32325140756772786</c:v>
                </c:pt>
                <c:pt idx="23">
                  <c:v>0.32435838374718778</c:v>
                </c:pt>
                <c:pt idx="24">
                  <c:v>0.32445705456561008</c:v>
                </c:pt>
                <c:pt idx="25">
                  <c:v>0.32445385177154329</c:v>
                </c:pt>
                <c:pt idx="26">
                  <c:v>0.32479278423987729</c:v>
                </c:pt>
                <c:pt idx="27">
                  <c:v>0.32480664825945144</c:v>
                </c:pt>
                <c:pt idx="28">
                  <c:v>0.32689847064697558</c:v>
                </c:pt>
                <c:pt idx="29">
                  <c:v>0.32714631351732637</c:v>
                </c:pt>
                <c:pt idx="30">
                  <c:v>0.32779962052346262</c:v>
                </c:pt>
                <c:pt idx="31">
                  <c:v>0.32819328080037946</c:v>
                </c:pt>
                <c:pt idx="32">
                  <c:v>0.32792538972656393</c:v>
                </c:pt>
                <c:pt idx="33">
                  <c:v>0.32734103897313355</c:v>
                </c:pt>
                <c:pt idx="34">
                  <c:v>0.32744248448868329</c:v>
                </c:pt>
                <c:pt idx="35">
                  <c:v>0.32677131086414746</c:v>
                </c:pt>
                <c:pt idx="36">
                  <c:v>0.32072023127076033</c:v>
                </c:pt>
                <c:pt idx="37">
                  <c:v>0.32088639649256284</c:v>
                </c:pt>
                <c:pt idx="38">
                  <c:v>0.32092138102211759</c:v>
                </c:pt>
                <c:pt idx="39">
                  <c:v>0.32068611214611203</c:v>
                </c:pt>
                <c:pt idx="40">
                  <c:v>0.32142712889361769</c:v>
                </c:pt>
                <c:pt idx="41">
                  <c:v>0.32029699955257279</c:v>
                </c:pt>
                <c:pt idx="42">
                  <c:v>0.3195471186138088</c:v>
                </c:pt>
                <c:pt idx="43">
                  <c:v>0.31952585153210411</c:v>
                </c:pt>
                <c:pt idx="44">
                  <c:v>0.31762139551301621</c:v>
                </c:pt>
                <c:pt idx="45">
                  <c:v>0.31706210349654323</c:v>
                </c:pt>
                <c:pt idx="46">
                  <c:v>0.31504296319418384</c:v>
                </c:pt>
                <c:pt idx="47">
                  <c:v>0.3077895918335638</c:v>
                </c:pt>
                <c:pt idx="48">
                  <c:v>0.30758435971756082</c:v>
                </c:pt>
                <c:pt idx="49">
                  <c:v>0.30599236147744702</c:v>
                </c:pt>
                <c:pt idx="50">
                  <c:v>0.30617554402411928</c:v>
                </c:pt>
                <c:pt idx="51">
                  <c:v>0.3074422253399714</c:v>
                </c:pt>
                <c:pt idx="52">
                  <c:v>0.30775837103176429</c:v>
                </c:pt>
                <c:pt idx="53">
                  <c:v>0.30644012921749775</c:v>
                </c:pt>
                <c:pt idx="54">
                  <c:v>0.30616078889900983</c:v>
                </c:pt>
                <c:pt idx="55">
                  <c:v>0.307099580497189</c:v>
                </c:pt>
                <c:pt idx="56">
                  <c:v>0.30731030042613094</c:v>
                </c:pt>
                <c:pt idx="57">
                  <c:v>0.30781636212508134</c:v>
                </c:pt>
                <c:pt idx="58">
                  <c:v>0.30856646817575772</c:v>
                </c:pt>
                <c:pt idx="59">
                  <c:v>0.30870376537903538</c:v>
                </c:pt>
                <c:pt idx="60">
                  <c:v>0.30868185093853401</c:v>
                </c:pt>
                <c:pt idx="61">
                  <c:v>0.30318142811077986</c:v>
                </c:pt>
                <c:pt idx="62">
                  <c:v>0.30125331688610174</c:v>
                </c:pt>
                <c:pt idx="63">
                  <c:v>0.3012206530846756</c:v>
                </c:pt>
                <c:pt idx="64">
                  <c:v>0.29636909452591637</c:v>
                </c:pt>
                <c:pt idx="65">
                  <c:v>0.29622654470831988</c:v>
                </c:pt>
                <c:pt idx="66">
                  <c:v>0.29262433562958917</c:v>
                </c:pt>
                <c:pt idx="67">
                  <c:v>0.28678126348029248</c:v>
                </c:pt>
                <c:pt idx="68">
                  <c:v>0.23960842202168128</c:v>
                </c:pt>
                <c:pt idx="69">
                  <c:v>0.23711188278358644</c:v>
                </c:pt>
                <c:pt idx="70">
                  <c:v>0.19907722546351236</c:v>
                </c:pt>
                <c:pt idx="71">
                  <c:v>0.18312994446229747</c:v>
                </c:pt>
                <c:pt idx="72">
                  <c:v>0.14734164327255095</c:v>
                </c:pt>
                <c:pt idx="73">
                  <c:v>0.14546488833636287</c:v>
                </c:pt>
                <c:pt idx="74">
                  <c:v>0.10290983372243995</c:v>
                </c:pt>
                <c:pt idx="75">
                  <c:v>0.1027090543995739</c:v>
                </c:pt>
                <c:pt idx="76">
                  <c:v>0.10270059884905373</c:v>
                </c:pt>
                <c:pt idx="77">
                  <c:v>0.10187288007915196</c:v>
                </c:pt>
                <c:pt idx="78">
                  <c:v>0.10097797944498051</c:v>
                </c:pt>
                <c:pt idx="79">
                  <c:v>0.10097218567584972</c:v>
                </c:pt>
                <c:pt idx="80">
                  <c:v>0.10081688022677214</c:v>
                </c:pt>
                <c:pt idx="81">
                  <c:v>0.10043088904814548</c:v>
                </c:pt>
                <c:pt idx="82">
                  <c:v>0.10041043608027708</c:v>
                </c:pt>
                <c:pt idx="83">
                  <c:v>9.776026491859667E-2</c:v>
                </c:pt>
                <c:pt idx="84">
                  <c:v>9.8661125894220825E-2</c:v>
                </c:pt>
                <c:pt idx="85">
                  <c:v>9.8825489486143531E-2</c:v>
                </c:pt>
                <c:pt idx="86">
                  <c:v>9.7548907507115534E-2</c:v>
                </c:pt>
                <c:pt idx="87">
                  <c:v>9.9972101852079789E-2</c:v>
                </c:pt>
                <c:pt idx="88">
                  <c:v>9.5117650711730534E-2</c:v>
                </c:pt>
                <c:pt idx="89">
                  <c:v>9.3066932476506839E-2</c:v>
                </c:pt>
                <c:pt idx="90">
                  <c:v>9.2072259221761432E-2</c:v>
                </c:pt>
                <c:pt idx="91">
                  <c:v>9.1956331554146134E-2</c:v>
                </c:pt>
                <c:pt idx="92">
                  <c:v>9.1980368939000745E-2</c:v>
                </c:pt>
                <c:pt idx="93">
                  <c:v>9.2194616993009862E-2</c:v>
                </c:pt>
                <c:pt idx="94">
                  <c:v>9.2060321591420469E-2</c:v>
                </c:pt>
                <c:pt idx="95">
                  <c:v>9.1965935229097351E-2</c:v>
                </c:pt>
                <c:pt idx="96">
                  <c:v>9.1651656082259267E-2</c:v>
                </c:pt>
                <c:pt idx="97">
                  <c:v>9.3617039150237363E-2</c:v>
                </c:pt>
                <c:pt idx="98">
                  <c:v>9.5679049950978604E-2</c:v>
                </c:pt>
                <c:pt idx="99">
                  <c:v>9.6860950376347663E-2</c:v>
                </c:pt>
                <c:pt idx="100">
                  <c:v>9.2387504562837605E-2</c:v>
                </c:pt>
                <c:pt idx="101">
                  <c:v>9.198713585804473E-2</c:v>
                </c:pt>
                <c:pt idx="102">
                  <c:v>9.2240526952210328E-2</c:v>
                </c:pt>
                <c:pt idx="103">
                  <c:v>9.7715090217926195E-2</c:v>
                </c:pt>
                <c:pt idx="104">
                  <c:v>9.8186494431419732E-2</c:v>
                </c:pt>
                <c:pt idx="105">
                  <c:v>9.8738747339747274E-2</c:v>
                </c:pt>
                <c:pt idx="106">
                  <c:v>9.8884417608734246E-2</c:v>
                </c:pt>
                <c:pt idx="107">
                  <c:v>9.8189671182792301E-2</c:v>
                </c:pt>
                <c:pt idx="108">
                  <c:v>9.7732966630129148E-2</c:v>
                </c:pt>
                <c:pt idx="109">
                  <c:v>9.8091958552730119E-2</c:v>
                </c:pt>
                <c:pt idx="110">
                  <c:v>9.8051137627065202E-2</c:v>
                </c:pt>
                <c:pt idx="111">
                  <c:v>9.1574151511443422E-2</c:v>
                </c:pt>
                <c:pt idx="112">
                  <c:v>9.4558904743327968E-2</c:v>
                </c:pt>
                <c:pt idx="113">
                  <c:v>9.4669516901373055E-2</c:v>
                </c:pt>
                <c:pt idx="114">
                  <c:v>9.546256211524666E-2</c:v>
                </c:pt>
                <c:pt idx="115">
                  <c:v>9.6689644294447069E-2</c:v>
                </c:pt>
                <c:pt idx="116">
                  <c:v>9.6657661507902684E-2</c:v>
                </c:pt>
                <c:pt idx="117">
                  <c:v>9.3201538153253174E-2</c:v>
                </c:pt>
                <c:pt idx="118">
                  <c:v>9.1713617700797445E-2</c:v>
                </c:pt>
                <c:pt idx="119">
                  <c:v>9.0920950696753405E-2</c:v>
                </c:pt>
                <c:pt idx="120">
                  <c:v>9.1507263273093803E-2</c:v>
                </c:pt>
                <c:pt idx="121">
                  <c:v>9.1336881063729836E-2</c:v>
                </c:pt>
                <c:pt idx="122">
                  <c:v>9.3296793568745942E-2</c:v>
                </c:pt>
                <c:pt idx="123">
                  <c:v>9.3386791913840611E-2</c:v>
                </c:pt>
                <c:pt idx="124">
                  <c:v>0.10143500499380995</c:v>
                </c:pt>
                <c:pt idx="125">
                  <c:v>0.10086335700171258</c:v>
                </c:pt>
                <c:pt idx="126">
                  <c:v>0.10081930663509928</c:v>
                </c:pt>
                <c:pt idx="127">
                  <c:v>9.9244969882812298E-2</c:v>
                </c:pt>
                <c:pt idx="128">
                  <c:v>9.932439663234939E-2</c:v>
                </c:pt>
                <c:pt idx="129">
                  <c:v>9.8516964213823707E-2</c:v>
                </c:pt>
                <c:pt idx="130">
                  <c:v>9.8515368759274136E-2</c:v>
                </c:pt>
                <c:pt idx="131">
                  <c:v>9.8565428939632466E-2</c:v>
                </c:pt>
                <c:pt idx="132">
                  <c:v>0.10040436809234728</c:v>
                </c:pt>
                <c:pt idx="133">
                  <c:v>0.10054280565213389</c:v>
                </c:pt>
                <c:pt idx="134">
                  <c:v>0.10045995940267236</c:v>
                </c:pt>
                <c:pt idx="135">
                  <c:v>0.10087418970916708</c:v>
                </c:pt>
                <c:pt idx="136">
                  <c:v>0.10109970319063251</c:v>
                </c:pt>
                <c:pt idx="137">
                  <c:v>0.10082003362024233</c:v>
                </c:pt>
                <c:pt idx="138">
                  <c:v>0.1024611039158622</c:v>
                </c:pt>
                <c:pt idx="139">
                  <c:v>0.10238303654422219</c:v>
                </c:pt>
                <c:pt idx="140">
                  <c:v>0.10234266644284465</c:v>
                </c:pt>
                <c:pt idx="141">
                  <c:v>0.10323661878336869</c:v>
                </c:pt>
                <c:pt idx="142">
                  <c:v>0.10358002698339955</c:v>
                </c:pt>
                <c:pt idx="143">
                  <c:v>0.10284348753695043</c:v>
                </c:pt>
                <c:pt idx="144">
                  <c:v>0.10199225850080025</c:v>
                </c:pt>
                <c:pt idx="145">
                  <c:v>0.10295992786366211</c:v>
                </c:pt>
                <c:pt idx="146">
                  <c:v>0.10306609386568842</c:v>
                </c:pt>
                <c:pt idx="147">
                  <c:v>0.10123821756485495</c:v>
                </c:pt>
                <c:pt idx="148">
                  <c:v>0.10079123762617899</c:v>
                </c:pt>
                <c:pt idx="149">
                  <c:v>0.10104659989321171</c:v>
                </c:pt>
                <c:pt idx="150">
                  <c:v>0.10122770283709112</c:v>
                </c:pt>
                <c:pt idx="151">
                  <c:v>0.10352085897619391</c:v>
                </c:pt>
                <c:pt idx="152">
                  <c:v>0.10352172952513165</c:v>
                </c:pt>
                <c:pt idx="153">
                  <c:v>0.1032345188951075</c:v>
                </c:pt>
                <c:pt idx="154">
                  <c:v>0.10333996224412828</c:v>
                </c:pt>
                <c:pt idx="155">
                  <c:v>0.10415553424865842</c:v>
                </c:pt>
                <c:pt idx="156">
                  <c:v>0.10429069867550374</c:v>
                </c:pt>
                <c:pt idx="157">
                  <c:v>0.10863813034651648</c:v>
                </c:pt>
                <c:pt idx="158">
                  <c:v>0.10591087022249557</c:v>
                </c:pt>
                <c:pt idx="159">
                  <c:v>0.10496766532849296</c:v>
                </c:pt>
                <c:pt idx="160">
                  <c:v>0.11015422816375839</c:v>
                </c:pt>
                <c:pt idx="161">
                  <c:v>0.11002289602139693</c:v>
                </c:pt>
                <c:pt idx="162">
                  <c:v>0.11076042563487752</c:v>
                </c:pt>
                <c:pt idx="163">
                  <c:v>0.10711386235073667</c:v>
                </c:pt>
                <c:pt idx="164">
                  <c:v>0.10936325122510859</c:v>
                </c:pt>
                <c:pt idx="165">
                  <c:v>0.11967915772549903</c:v>
                </c:pt>
                <c:pt idx="166">
                  <c:v>0.12014430903536202</c:v>
                </c:pt>
                <c:pt idx="167">
                  <c:v>0.1212110990100547</c:v>
                </c:pt>
                <c:pt idx="168">
                  <c:v>0.12174419621195948</c:v>
                </c:pt>
                <c:pt idx="169">
                  <c:v>0.12236225585464386</c:v>
                </c:pt>
                <c:pt idx="170">
                  <c:v>0.12622915717956826</c:v>
                </c:pt>
                <c:pt idx="171">
                  <c:v>0.12658164926263998</c:v>
                </c:pt>
                <c:pt idx="172">
                  <c:v>0.1246586537979658</c:v>
                </c:pt>
                <c:pt idx="173">
                  <c:v>0.13137860927514405</c:v>
                </c:pt>
                <c:pt idx="174">
                  <c:v>0.13443660001448662</c:v>
                </c:pt>
                <c:pt idx="175">
                  <c:v>0.13284210635125915</c:v>
                </c:pt>
                <c:pt idx="176">
                  <c:v>0.13449870928931174</c:v>
                </c:pt>
                <c:pt idx="177">
                  <c:v>0.13445378493160956</c:v>
                </c:pt>
                <c:pt idx="178">
                  <c:v>0.13783474231643231</c:v>
                </c:pt>
                <c:pt idx="179">
                  <c:v>0.14583010985256678</c:v>
                </c:pt>
                <c:pt idx="180">
                  <c:v>0.14517187917884505</c:v>
                </c:pt>
                <c:pt idx="181">
                  <c:v>0.14517374904035679</c:v>
                </c:pt>
                <c:pt idx="182">
                  <c:v>0.1441510752678257</c:v>
                </c:pt>
                <c:pt idx="183">
                  <c:v>0.14375054415029243</c:v>
                </c:pt>
                <c:pt idx="184">
                  <c:v>0.13864435091064017</c:v>
                </c:pt>
                <c:pt idx="185">
                  <c:v>0.13723613277548738</c:v>
                </c:pt>
                <c:pt idx="186">
                  <c:v>0.13931349160955717</c:v>
                </c:pt>
                <c:pt idx="187">
                  <c:v>0.13962146624372154</c:v>
                </c:pt>
                <c:pt idx="188">
                  <c:v>0.14015327558594715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2F-490D-AAEC-7264B6258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548175"/>
        <c:axId val="1200533199"/>
      </c:lineChart>
      <c:dateAx>
        <c:axId val="120054817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533199"/>
        <c:crosses val="autoZero"/>
        <c:auto val="1"/>
        <c:lblOffset val="100"/>
        <c:baseTimeUnit val="days"/>
      </c:dateAx>
      <c:valAx>
        <c:axId val="12005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54817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走势图!$C$6</c:f>
              <c:strCache>
                <c:ptCount val="1"/>
                <c:pt idx="0">
                  <c:v>HV5</c:v>
                </c:pt>
              </c:strCache>
            </c:strRef>
          </c:tx>
          <c:spPr>
            <a:ln w="28575" cap="rnd">
              <a:solidFill>
                <a:srgbClr val="2277A2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作图数据!$G$3:$G$246</c:f>
              <c:numCache>
                <c:formatCode>General</c:formatCode>
                <c:ptCount val="244"/>
                <c:pt idx="0">
                  <c:v>9.5119078935293255E-2</c:v>
                </c:pt>
                <c:pt idx="1">
                  <c:v>9.7671069973813057E-2</c:v>
                </c:pt>
                <c:pt idx="2">
                  <c:v>0.10354278485131101</c:v>
                </c:pt>
                <c:pt idx="3">
                  <c:v>0.22698363975927927</c:v>
                </c:pt>
                <c:pt idx="4">
                  <c:v>0.24716248368799387</c:v>
                </c:pt>
                <c:pt idx="5">
                  <c:v>0.24900506649918719</c:v>
                </c:pt>
                <c:pt idx="6">
                  <c:v>0.24700024181965385</c:v>
                </c:pt>
                <c:pt idx="7">
                  <c:v>0.23563654814079055</c:v>
                </c:pt>
                <c:pt idx="8">
                  <c:v>0.11923898297445581</c:v>
                </c:pt>
                <c:pt idx="9">
                  <c:v>0.10585182918309029</c:v>
                </c:pt>
                <c:pt idx="10">
                  <c:v>0.11275229733500396</c:v>
                </c:pt>
                <c:pt idx="11">
                  <c:v>0.11478770107079438</c:v>
                </c:pt>
                <c:pt idx="12">
                  <c:v>0.11667869476177632</c:v>
                </c:pt>
                <c:pt idx="13">
                  <c:v>0.12510728010269603</c:v>
                </c:pt>
                <c:pt idx="14">
                  <c:v>0.10216812984416719</c:v>
                </c:pt>
                <c:pt idx="15">
                  <c:v>7.8550376306634861E-2</c:v>
                </c:pt>
                <c:pt idx="16">
                  <c:v>0.20665506444148535</c:v>
                </c:pt>
                <c:pt idx="17">
                  <c:v>0.22294972348582345</c:v>
                </c:pt>
                <c:pt idx="18">
                  <c:v>0.2221434386220103</c:v>
                </c:pt>
                <c:pt idx="19">
                  <c:v>0.22983299711886615</c:v>
                </c:pt>
                <c:pt idx="20">
                  <c:v>0.22970028157873193</c:v>
                </c:pt>
                <c:pt idx="21">
                  <c:v>0.15082650209858067</c:v>
                </c:pt>
                <c:pt idx="22">
                  <c:v>0.12701574921842157</c:v>
                </c:pt>
                <c:pt idx="23">
                  <c:v>0.11642841420597912</c:v>
                </c:pt>
                <c:pt idx="24">
                  <c:v>0.10038735161433399</c:v>
                </c:pt>
                <c:pt idx="25">
                  <c:v>0.10503821845694011</c:v>
                </c:pt>
                <c:pt idx="26">
                  <c:v>7.8024937364184171E-2</c:v>
                </c:pt>
                <c:pt idx="27">
                  <c:v>7.9172402920736365E-2</c:v>
                </c:pt>
                <c:pt idx="28">
                  <c:v>0.12130205926291006</c:v>
                </c:pt>
                <c:pt idx="29">
                  <c:v>0.11792575929385277</c:v>
                </c:pt>
                <c:pt idx="30">
                  <c:v>0.13162842997021021</c:v>
                </c:pt>
                <c:pt idx="31">
                  <c:v>0.26141903733490446</c:v>
                </c:pt>
                <c:pt idx="32">
                  <c:v>0.25947949815793547</c:v>
                </c:pt>
                <c:pt idx="33">
                  <c:v>0.24309094359410519</c:v>
                </c:pt>
                <c:pt idx="34">
                  <c:v>0.24369239515022628</c:v>
                </c:pt>
                <c:pt idx="35">
                  <c:v>0.23680021706756485</c:v>
                </c:pt>
                <c:pt idx="36">
                  <c:v>0.11446211148724911</c:v>
                </c:pt>
                <c:pt idx="37">
                  <c:v>0.13089290479112253</c:v>
                </c:pt>
                <c:pt idx="38">
                  <c:v>0.13713379775501683</c:v>
                </c:pt>
                <c:pt idx="39">
                  <c:v>0.17616956737242806</c:v>
                </c:pt>
                <c:pt idx="40">
                  <c:v>0.17972760426575879</c:v>
                </c:pt>
                <c:pt idx="41">
                  <c:v>0.18863203855458044</c:v>
                </c:pt>
                <c:pt idx="42">
                  <c:v>0.34092596744418802</c:v>
                </c:pt>
                <c:pt idx="43">
                  <c:v>0.34397647142057725</c:v>
                </c:pt>
                <c:pt idx="44">
                  <c:v>0.35948224057290307</c:v>
                </c:pt>
                <c:pt idx="45">
                  <c:v>0.36198816011471346</c:v>
                </c:pt>
                <c:pt idx="46">
                  <c:v>0.34809337757191833</c:v>
                </c:pt>
                <c:pt idx="47">
                  <c:v>0.19009335799851582</c:v>
                </c:pt>
                <c:pt idx="48">
                  <c:v>0.20615942303128418</c:v>
                </c:pt>
                <c:pt idx="49">
                  <c:v>0.14228401972795887</c:v>
                </c:pt>
                <c:pt idx="50">
                  <c:v>0.12674349243137295</c:v>
                </c:pt>
                <c:pt idx="51">
                  <c:v>0.1123469779595917</c:v>
                </c:pt>
                <c:pt idx="52">
                  <c:v>0.13675253254178335</c:v>
                </c:pt>
                <c:pt idx="53">
                  <c:v>0.1013662545850226</c:v>
                </c:pt>
                <c:pt idx="54">
                  <c:v>9.5941470186247602E-2</c:v>
                </c:pt>
                <c:pt idx="55">
                  <c:v>9.6797440459089376E-2</c:v>
                </c:pt>
                <c:pt idx="56">
                  <c:v>0.25476620579411358</c:v>
                </c:pt>
                <c:pt idx="57">
                  <c:v>0.2706651501937416</c:v>
                </c:pt>
                <c:pt idx="58">
                  <c:v>0.2672104627429796</c:v>
                </c:pt>
                <c:pt idx="59">
                  <c:v>0.32840866741466052</c:v>
                </c:pt>
                <c:pt idx="60">
                  <c:v>0.34073515341674765</c:v>
                </c:pt>
                <c:pt idx="61">
                  <c:v>0.29376032767594734</c:v>
                </c:pt>
                <c:pt idx="62">
                  <c:v>0.36522905772213976</c:v>
                </c:pt>
                <c:pt idx="63">
                  <c:v>0.69079413541442358</c:v>
                </c:pt>
                <c:pt idx="64">
                  <c:v>0.68808248008655837</c:v>
                </c:pt>
                <c:pt idx="65">
                  <c:v>0.85408563745958455</c:v>
                </c:pt>
                <c:pt idx="66">
                  <c:v>0.89448091026799692</c:v>
                </c:pt>
                <c:pt idx="67">
                  <c:v>0.95819923277894403</c:v>
                </c:pt>
                <c:pt idx="68">
                  <c:v>0.76373093576245321</c:v>
                </c:pt>
                <c:pt idx="69">
                  <c:v>0.83910593347085838</c:v>
                </c:pt>
                <c:pt idx="70">
                  <c:v>0.66347865799678829</c:v>
                </c:pt>
                <c:pt idx="71">
                  <c:v>0.58642600305246895</c:v>
                </c:pt>
                <c:pt idx="72">
                  <c:v>0.40807933490945569</c:v>
                </c:pt>
                <c:pt idx="73">
                  <c:v>0.39926882947917386</c:v>
                </c:pt>
                <c:pt idx="74">
                  <c:v>7.2335880323845386E-2</c:v>
                </c:pt>
                <c:pt idx="75">
                  <c:v>7.6379469508243689E-2</c:v>
                </c:pt>
                <c:pt idx="76">
                  <c:v>8.8847724273925233E-2</c:v>
                </c:pt>
                <c:pt idx="77">
                  <c:v>7.5228979679007199E-2</c:v>
                </c:pt>
                <c:pt idx="78">
                  <c:v>0.12038103209539576</c:v>
                </c:pt>
                <c:pt idx="79">
                  <c:v>0.12464093893374016</c:v>
                </c:pt>
                <c:pt idx="80">
                  <c:v>0.12032646818428688</c:v>
                </c:pt>
                <c:pt idx="81">
                  <c:v>0.12884881731244546</c:v>
                </c:pt>
                <c:pt idx="82">
                  <c:v>0.13376884865531502</c:v>
                </c:pt>
                <c:pt idx="83">
                  <c:v>0.15215068309538227</c:v>
                </c:pt>
                <c:pt idx="84">
                  <c:v>0.16396841001573112</c:v>
                </c:pt>
                <c:pt idx="85">
                  <c:v>0.1760130773314269</c:v>
                </c:pt>
                <c:pt idx="86">
                  <c:v>0.17204433785106962</c:v>
                </c:pt>
                <c:pt idx="87">
                  <c:v>0.16833550674383832</c:v>
                </c:pt>
                <c:pt idx="88">
                  <c:v>0.11127410551823352</c:v>
                </c:pt>
                <c:pt idx="89">
                  <c:v>9.8137847440705028E-2</c:v>
                </c:pt>
                <c:pt idx="90">
                  <c:v>7.4855712964301407E-2</c:v>
                </c:pt>
                <c:pt idx="91">
                  <c:v>6.4112248501117616E-2</c:v>
                </c:pt>
                <c:pt idx="92">
                  <c:v>6.7622614956891008E-2</c:v>
                </c:pt>
                <c:pt idx="93">
                  <c:v>7.5669291431124677E-2</c:v>
                </c:pt>
                <c:pt idx="94">
                  <c:v>7.0017447801900765E-2</c:v>
                </c:pt>
                <c:pt idx="95">
                  <c:v>0.12478450586016784</c:v>
                </c:pt>
                <c:pt idx="96">
                  <c:v>0.12602500410063514</c:v>
                </c:pt>
                <c:pt idx="97">
                  <c:v>0.12405408568776252</c:v>
                </c:pt>
                <c:pt idx="98">
                  <c:v>0.11897339743171773</c:v>
                </c:pt>
                <c:pt idx="99">
                  <c:v>0.11293304196724781</c:v>
                </c:pt>
                <c:pt idx="100">
                  <c:v>4.9384935477605481E-2</c:v>
                </c:pt>
                <c:pt idx="101">
                  <c:v>2.6058640016125085E-2</c:v>
                </c:pt>
                <c:pt idx="102">
                  <c:v>5.8055057305160966E-2</c:v>
                </c:pt>
                <c:pt idx="103">
                  <c:v>7.7628535611093993E-2</c:v>
                </c:pt>
                <c:pt idx="104">
                  <c:v>9.0800255430623478E-2</c:v>
                </c:pt>
                <c:pt idx="105">
                  <c:v>0.10005187712782196</c:v>
                </c:pt>
                <c:pt idx="106">
                  <c:v>0.16500672138713088</c:v>
                </c:pt>
                <c:pt idx="107">
                  <c:v>0.16211244944223521</c:v>
                </c:pt>
                <c:pt idx="108">
                  <c:v>0.15635762381390286</c:v>
                </c:pt>
                <c:pt idx="109">
                  <c:v>0.15000704316038582</c:v>
                </c:pt>
                <c:pt idx="110">
                  <c:v>0.16135966493582929</c:v>
                </c:pt>
                <c:pt idx="111">
                  <c:v>9.7904034951066948E-2</c:v>
                </c:pt>
                <c:pt idx="112">
                  <c:v>0.13369195809927045</c:v>
                </c:pt>
                <c:pt idx="113">
                  <c:v>0.15021577595874522</c:v>
                </c:pt>
                <c:pt idx="114">
                  <c:v>0.1579901586941321</c:v>
                </c:pt>
                <c:pt idx="115">
                  <c:v>0.14329590591081687</c:v>
                </c:pt>
                <c:pt idx="116">
                  <c:v>0.14388251341732702</c:v>
                </c:pt>
                <c:pt idx="117">
                  <c:v>0.10702960970572042</c:v>
                </c:pt>
                <c:pt idx="118">
                  <c:v>8.3195591079119294E-2</c:v>
                </c:pt>
                <c:pt idx="119">
                  <c:v>8.006035600137891E-2</c:v>
                </c:pt>
                <c:pt idx="120">
                  <c:v>0.10907599545720903</c:v>
                </c:pt>
                <c:pt idx="121">
                  <c:v>0.10528919845304592</c:v>
                </c:pt>
                <c:pt idx="122">
                  <c:v>0.12368205225200295</c:v>
                </c:pt>
                <c:pt idx="123">
                  <c:v>0.12570728333406303</c:v>
                </c:pt>
                <c:pt idx="124">
                  <c:v>0.13285914026650913</c:v>
                </c:pt>
                <c:pt idx="125">
                  <c:v>0.10686039203893073</c:v>
                </c:pt>
                <c:pt idx="126">
                  <c:v>0.10608867300307444</c:v>
                </c:pt>
                <c:pt idx="127">
                  <c:v>8.7800498765908064E-2</c:v>
                </c:pt>
                <c:pt idx="128">
                  <c:v>8.3918782704859265E-2</c:v>
                </c:pt>
                <c:pt idx="129">
                  <c:v>5.8700599288847612E-2</c:v>
                </c:pt>
                <c:pt idx="130">
                  <c:v>5.7463763595472797E-2</c:v>
                </c:pt>
                <c:pt idx="131">
                  <c:v>5.8879754544455744E-2</c:v>
                </c:pt>
                <c:pt idx="132">
                  <c:v>5.3262558741996591E-2</c:v>
                </c:pt>
                <c:pt idx="133">
                  <c:v>4.4803159021244425E-2</c:v>
                </c:pt>
                <c:pt idx="134">
                  <c:v>4.1923691212216369E-2</c:v>
                </c:pt>
                <c:pt idx="135">
                  <c:v>4.1840444844448509E-2</c:v>
                </c:pt>
                <c:pt idx="136">
                  <c:v>4.1813276542913093E-2</c:v>
                </c:pt>
                <c:pt idx="137">
                  <c:v>3.026635926313016E-2</c:v>
                </c:pt>
                <c:pt idx="138">
                  <c:v>5.6485239121557181E-2</c:v>
                </c:pt>
                <c:pt idx="139">
                  <c:v>7.6544463034199595E-2</c:v>
                </c:pt>
                <c:pt idx="140">
                  <c:v>7.9846670487321275E-2</c:v>
                </c:pt>
                <c:pt idx="141">
                  <c:v>7.9396820665076417E-2</c:v>
                </c:pt>
                <c:pt idx="142">
                  <c:v>0.12355931941796644</c:v>
                </c:pt>
                <c:pt idx="143">
                  <c:v>0.1190701697523376</c:v>
                </c:pt>
                <c:pt idx="144">
                  <c:v>0.10612999052639699</c:v>
                </c:pt>
                <c:pt idx="145">
                  <c:v>0.10688720867964936</c:v>
                </c:pt>
                <c:pt idx="146">
                  <c:v>0.11506996504905879</c:v>
                </c:pt>
                <c:pt idx="147">
                  <c:v>6.6077313238471561E-2</c:v>
                </c:pt>
                <c:pt idx="148">
                  <c:v>6.3027497200121921E-2</c:v>
                </c:pt>
                <c:pt idx="149">
                  <c:v>8.2206517277559871E-2</c:v>
                </c:pt>
                <c:pt idx="150">
                  <c:v>7.4777113776495555E-2</c:v>
                </c:pt>
                <c:pt idx="151">
                  <c:v>6.4454404628713463E-2</c:v>
                </c:pt>
                <c:pt idx="152">
                  <c:v>9.5762933193753785E-2</c:v>
                </c:pt>
                <c:pt idx="153">
                  <c:v>0.12835326476314549</c:v>
                </c:pt>
                <c:pt idx="154">
                  <c:v>0.14158749502063311</c:v>
                </c:pt>
                <c:pt idx="155">
                  <c:v>0.14158649589617625</c:v>
                </c:pt>
                <c:pt idx="156">
                  <c:v>0.14074714532869345</c:v>
                </c:pt>
                <c:pt idx="157">
                  <c:v>0.12264107267462313</c:v>
                </c:pt>
                <c:pt idx="158">
                  <c:v>0.14364253025514814</c:v>
                </c:pt>
                <c:pt idx="159">
                  <c:v>0.12341619312085471</c:v>
                </c:pt>
                <c:pt idx="160">
                  <c:v>0.13543375138331445</c:v>
                </c:pt>
                <c:pt idx="161">
                  <c:v>0.13740887481407169</c:v>
                </c:pt>
                <c:pt idx="162">
                  <c:v>0.13649591331434505</c:v>
                </c:pt>
                <c:pt idx="163">
                  <c:v>7.3542940559516129E-2</c:v>
                </c:pt>
                <c:pt idx="164">
                  <c:v>8.3042591936017957E-2</c:v>
                </c:pt>
                <c:pt idx="165">
                  <c:v>7.7027861864008881E-2</c:v>
                </c:pt>
                <c:pt idx="166">
                  <c:v>7.348683420587987E-2</c:v>
                </c:pt>
                <c:pt idx="167">
                  <c:v>0.11844949711361538</c:v>
                </c:pt>
                <c:pt idx="168">
                  <c:v>0.1214310847160119</c:v>
                </c:pt>
                <c:pt idx="169">
                  <c:v>0.12037778434811519</c:v>
                </c:pt>
                <c:pt idx="170">
                  <c:v>0.14590868951687505</c:v>
                </c:pt>
                <c:pt idx="171">
                  <c:v>0.14788313252832519</c:v>
                </c:pt>
                <c:pt idx="172">
                  <c:v>0.11904980580443526</c:v>
                </c:pt>
                <c:pt idx="173">
                  <c:v>0.12129234966919424</c:v>
                </c:pt>
                <c:pt idx="174">
                  <c:v>0.11258179119355721</c:v>
                </c:pt>
                <c:pt idx="175">
                  <c:v>7.9276774306319908E-2</c:v>
                </c:pt>
                <c:pt idx="176">
                  <c:v>7.7170828688303036E-2</c:v>
                </c:pt>
                <c:pt idx="177">
                  <c:v>0.10611283741476651</c:v>
                </c:pt>
                <c:pt idx="178">
                  <c:v>0.10275344083900474</c:v>
                </c:pt>
                <c:pt idx="179">
                  <c:v>0.19043727358088977</c:v>
                </c:pt>
                <c:pt idx="180">
                  <c:v>0.19575092477927658</c:v>
                </c:pt>
                <c:pt idx="181">
                  <c:v>0.19460359247551348</c:v>
                </c:pt>
                <c:pt idx="182">
                  <c:v>0.17866003027549757</c:v>
                </c:pt>
                <c:pt idx="183">
                  <c:v>0.18065208187047763</c:v>
                </c:pt>
                <c:pt idx="184">
                  <c:v>9.2091232682388502E-2</c:v>
                </c:pt>
                <c:pt idx="185">
                  <c:v>6.7133041292088552E-2</c:v>
                </c:pt>
                <c:pt idx="186">
                  <c:v>6.8011740762423348E-2</c:v>
                </c:pt>
                <c:pt idx="187">
                  <c:v>0.10528253266906813</c:v>
                </c:pt>
                <c:pt idx="188">
                  <c:v>0.1029174547115051</c:v>
                </c:pt>
                <c:pt idx="189">
                  <c:v>9.557597797614846E-2</c:v>
                </c:pt>
                <c:pt idx="190">
                  <c:v>0.1011437075581995</c:v>
                </c:pt>
                <c:pt idx="191">
                  <c:v>0.10441314358165346</c:v>
                </c:pt>
                <c:pt idx="192">
                  <c:v>6.3885882841530489E-2</c:v>
                </c:pt>
                <c:pt idx="193">
                  <c:v>8.8221349282286657E-2</c:v>
                </c:pt>
                <c:pt idx="194">
                  <c:v>8.6745937382195965E-2</c:v>
                </c:pt>
                <c:pt idx="195">
                  <c:v>7.8426652692786189E-2</c:v>
                </c:pt>
                <c:pt idx="196">
                  <c:v>9.0761126851675644E-2</c:v>
                </c:pt>
                <c:pt idx="197">
                  <c:v>9.6096231527244252E-2</c:v>
                </c:pt>
                <c:pt idx="198">
                  <c:v>6.5818650584946473E-2</c:v>
                </c:pt>
                <c:pt idx="199">
                  <c:v>6.8526417018695815E-2</c:v>
                </c:pt>
                <c:pt idx="200">
                  <c:v>9.1270192825122484E-2</c:v>
                </c:pt>
                <c:pt idx="201">
                  <c:v>7.5954224891844807E-2</c:v>
                </c:pt>
                <c:pt idx="202">
                  <c:v>9.1583817288845626E-2</c:v>
                </c:pt>
                <c:pt idx="203">
                  <c:v>9.1362521986794509E-2</c:v>
                </c:pt>
                <c:pt idx="204">
                  <c:v>9.2892398238932791E-2</c:v>
                </c:pt>
                <c:pt idx="205">
                  <c:v>7.9497676404686343E-2</c:v>
                </c:pt>
                <c:pt idx="206">
                  <c:v>0.12258489470934229</c:v>
                </c:pt>
                <c:pt idx="207">
                  <c:v>0.10720618816222065</c:v>
                </c:pt>
                <c:pt idx="208">
                  <c:v>0.1079674329556544</c:v>
                </c:pt>
                <c:pt idx="209">
                  <c:v>0.12307242345125372</c:v>
                </c:pt>
                <c:pt idx="210">
                  <c:v>0.12444958560722479</c:v>
                </c:pt>
                <c:pt idx="211">
                  <c:v>8.8959611830600166E-2</c:v>
                </c:pt>
                <c:pt idx="212">
                  <c:v>0.1581926633168636</c:v>
                </c:pt>
                <c:pt idx="213">
                  <c:v>0.15770601429174175</c:v>
                </c:pt>
                <c:pt idx="214">
                  <c:v>0.16016995484475885</c:v>
                </c:pt>
                <c:pt idx="215">
                  <c:v>0.20500568406258493</c:v>
                </c:pt>
                <c:pt idx="216">
                  <c:v>0.20136215373280164</c:v>
                </c:pt>
                <c:pt idx="217">
                  <c:v>0.16372651897435769</c:v>
                </c:pt>
                <c:pt idx="218">
                  <c:v>0.16451767957892724</c:v>
                </c:pt>
                <c:pt idx="219">
                  <c:v>0.17706845977729468</c:v>
                </c:pt>
                <c:pt idx="220">
                  <c:v>0.23811264551316966</c:v>
                </c:pt>
                <c:pt idx="221">
                  <c:v>0.24877702402933888</c:v>
                </c:pt>
                <c:pt idx="222">
                  <c:v>0.24716177356052754</c:v>
                </c:pt>
                <c:pt idx="223">
                  <c:v>0.24853031019256022</c:v>
                </c:pt>
                <c:pt idx="224">
                  <c:v>0.23416396561153294</c:v>
                </c:pt>
                <c:pt idx="225">
                  <c:v>0.16056770962449149</c:v>
                </c:pt>
                <c:pt idx="226">
                  <c:v>0.14591521344364097</c:v>
                </c:pt>
                <c:pt idx="227">
                  <c:v>0.1368562197585606</c:v>
                </c:pt>
                <c:pt idx="228">
                  <c:v>0.22029120065121002</c:v>
                </c:pt>
                <c:pt idx="229">
                  <c:v>0.24987477050201959</c:v>
                </c:pt>
                <c:pt idx="230">
                  <c:v>0.21874058775872013</c:v>
                </c:pt>
                <c:pt idx="231">
                  <c:v>0.22884558588612183</c:v>
                </c:pt>
                <c:pt idx="232">
                  <c:v>0.23027322922312143</c:v>
                </c:pt>
                <c:pt idx="233">
                  <c:v>0.20388582349522255</c:v>
                </c:pt>
                <c:pt idx="234">
                  <c:v>0.23536717903254489</c:v>
                </c:pt>
                <c:pt idx="235">
                  <c:v>0.23872452338844583</c:v>
                </c:pt>
                <c:pt idx="236">
                  <c:v>0.22749569927081875</c:v>
                </c:pt>
                <c:pt idx="237">
                  <c:v>0.22606534070071096</c:v>
                </c:pt>
                <c:pt idx="238">
                  <c:v>0.17919725447774895</c:v>
                </c:pt>
                <c:pt idx="239">
                  <c:v>5.7325902569193884E-2</c:v>
                </c:pt>
                <c:pt idx="240">
                  <c:v>4.0419872094015132E-2</c:v>
                </c:pt>
                <c:pt idx="241">
                  <c:v>9.4501823243571093E-2</c:v>
                </c:pt>
                <c:pt idx="242">
                  <c:v>0.10106752574978227</c:v>
                </c:pt>
                <c:pt idx="243">
                  <c:v>0.11660048045566143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B-43DB-8866-0CD0844326A6}"/>
            </c:ext>
          </c:extLst>
        </c:ser>
        <c:ser>
          <c:idx val="1"/>
          <c:order val="1"/>
          <c:tx>
            <c:strRef>
              <c:f>走势图!$D$6</c:f>
              <c:strCache>
                <c:ptCount val="1"/>
                <c:pt idx="0">
                  <c:v>HV10</c:v>
                </c:pt>
              </c:strCache>
            </c:strRef>
          </c:tx>
          <c:spPr>
            <a:ln w="28575" cap="rnd">
              <a:solidFill>
                <a:srgbClr val="F68717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作图数据!$H$3:$H$246</c:f>
              <c:numCache>
                <c:formatCode>General</c:formatCode>
                <c:ptCount val="244"/>
                <c:pt idx="0">
                  <c:v>0.17770282598861278</c:v>
                </c:pt>
                <c:pt idx="1">
                  <c:v>0.17707344034332442</c:v>
                </c:pt>
                <c:pt idx="2">
                  <c:v>0.17158825537958525</c:v>
                </c:pt>
                <c:pt idx="3">
                  <c:v>0.17093144536028709</c:v>
                </c:pt>
                <c:pt idx="4">
                  <c:v>0.17925017041271796</c:v>
                </c:pt>
                <c:pt idx="5">
                  <c:v>0.18222892037408547</c:v>
                </c:pt>
                <c:pt idx="6">
                  <c:v>0.18157990071846303</c:v>
                </c:pt>
                <c:pt idx="7">
                  <c:v>0.17529467334370161</c:v>
                </c:pt>
                <c:pt idx="8">
                  <c:v>0.11521914693405781</c:v>
                </c:pt>
                <c:pt idx="9">
                  <c:v>9.8076923318747289E-2</c:v>
                </c:pt>
                <c:pt idx="10">
                  <c:v>9.161087313495557E-2</c:v>
                </c:pt>
                <c:pt idx="11">
                  <c:v>0.15759657635372173</c:v>
                </c:pt>
                <c:pt idx="12">
                  <c:v>0.16775709557931526</c:v>
                </c:pt>
                <c:pt idx="13">
                  <c:v>0.16996671420213141</c:v>
                </c:pt>
                <c:pt idx="14">
                  <c:v>0.16767897015228614</c:v>
                </c:pt>
                <c:pt idx="15">
                  <c:v>0.16183994971062915</c:v>
                </c:pt>
                <c:pt idx="16">
                  <c:v>0.17056109937446348</c:v>
                </c:pt>
                <c:pt idx="17">
                  <c:v>0.1710614960921911</c:v>
                </c:pt>
                <c:pt idx="18">
                  <c:v>0.16720351266556027</c:v>
                </c:pt>
                <c:pt idx="19">
                  <c:v>0.16720024844317091</c:v>
                </c:pt>
                <c:pt idx="20">
                  <c:v>0.16838480624774857</c:v>
                </c:pt>
                <c:pt idx="21">
                  <c:v>0.11320880332078227</c:v>
                </c:pt>
                <c:pt idx="22">
                  <c:v>9.9780358641168299E-2</c:v>
                </c:pt>
                <c:pt idx="23">
                  <c:v>0.11209076722002592</c:v>
                </c:pt>
                <c:pt idx="24">
                  <c:v>0.10324534978857484</c:v>
                </c:pt>
                <c:pt idx="25">
                  <c:v>0.11226767797056464</c:v>
                </c:pt>
                <c:pt idx="26">
                  <c:v>0.18187639750579457</c:v>
                </c:pt>
                <c:pt idx="27">
                  <c:v>0.18085952725623824</c:v>
                </c:pt>
                <c:pt idx="28">
                  <c:v>0.18111677809130644</c:v>
                </c:pt>
                <c:pt idx="29">
                  <c:v>0.18048387820779724</c:v>
                </c:pt>
                <c:pt idx="30">
                  <c:v>0.18061670450575515</c:v>
                </c:pt>
                <c:pt idx="31">
                  <c:v>0.19025303390453185</c:v>
                </c:pt>
                <c:pt idx="32">
                  <c:v>0.19374962364287682</c:v>
                </c:pt>
                <c:pt idx="33">
                  <c:v>0.18606914526497498</c:v>
                </c:pt>
                <c:pt idx="34">
                  <c:v>0.20046800789069394</c:v>
                </c:pt>
                <c:pt idx="35">
                  <c:v>0.19818773876005663</c:v>
                </c:pt>
                <c:pt idx="36">
                  <c:v>0.14709576764872329</c:v>
                </c:pt>
                <c:pt idx="37">
                  <c:v>0.24345975510672843</c:v>
                </c:pt>
                <c:pt idx="38">
                  <c:v>0.24686972846932406</c:v>
                </c:pt>
                <c:pt idx="39">
                  <c:v>0.26688590800440304</c:v>
                </c:pt>
                <c:pt idx="40">
                  <c:v>0.26943351255579395</c:v>
                </c:pt>
                <c:pt idx="41">
                  <c:v>0.26394531881406619</c:v>
                </c:pt>
                <c:pt idx="42">
                  <c:v>0.26022725114185824</c:v>
                </c:pt>
                <c:pt idx="43">
                  <c:v>0.26735039064081612</c:v>
                </c:pt>
                <c:pt idx="44">
                  <c:v>0.25774425184430894</c:v>
                </c:pt>
                <c:pt idx="45">
                  <c:v>0.25569021268101144</c:v>
                </c:pt>
                <c:pt idx="46">
                  <c:v>0.24384953736641152</c:v>
                </c:pt>
                <c:pt idx="47">
                  <c:v>0.15611497175229316</c:v>
                </c:pt>
                <c:pt idx="48">
                  <c:v>0.15315471520029469</c:v>
                </c:pt>
                <c:pt idx="49">
                  <c:v>0.11440572629694298</c:v>
                </c:pt>
                <c:pt idx="50">
                  <c:v>0.10631955470421847</c:v>
                </c:pt>
                <c:pt idx="51">
                  <c:v>0.18562526536771945</c:v>
                </c:pt>
                <c:pt idx="52">
                  <c:v>0.2021670142189837</c:v>
                </c:pt>
                <c:pt idx="53">
                  <c:v>0.19052739548470063</c:v>
                </c:pt>
                <c:pt idx="54">
                  <c:v>0.22809064332173026</c:v>
                </c:pt>
                <c:pt idx="55">
                  <c:v>0.23614514298848352</c:v>
                </c:pt>
                <c:pt idx="56">
                  <c:v>0.25923044208323692</c:v>
                </c:pt>
                <c:pt idx="57">
                  <c:v>0.30305986803783896</c:v>
                </c:pt>
                <c:pt idx="58">
                  <c:v>0.49378266425727479</c:v>
                </c:pt>
                <c:pt idx="59">
                  <c:v>0.50829114676756415</c:v>
                </c:pt>
                <c:pt idx="60">
                  <c:v>0.61302989627611315</c:v>
                </c:pt>
                <c:pt idx="61">
                  <c:v>0.62765568372410618</c:v>
                </c:pt>
                <c:pt idx="62">
                  <c:v>0.68363019057666896</c:v>
                </c:pt>
                <c:pt idx="63">
                  <c:v>0.68653120986385963</c:v>
                </c:pt>
                <c:pt idx="64">
                  <c:v>0.72343509790691418</c:v>
                </c:pt>
                <c:pt idx="65">
                  <c:v>0.72100738345178128</c:v>
                </c:pt>
                <c:pt idx="66">
                  <c:v>0.71305027277650501</c:v>
                </c:pt>
                <c:pt idx="67">
                  <c:v>0.69431805496978283</c:v>
                </c:pt>
                <c:pt idx="68">
                  <c:v>0.57453383632462784</c:v>
                </c:pt>
                <c:pt idx="69">
                  <c:v>0.56147870135452793</c:v>
                </c:pt>
                <c:pt idx="70">
                  <c:v>0.44524038599868465</c:v>
                </c:pt>
                <c:pt idx="71">
                  <c:v>0.39541223224194194</c:v>
                </c:pt>
                <c:pt idx="72">
                  <c:v>0.27663706103741231</c:v>
                </c:pt>
                <c:pt idx="73">
                  <c:v>0.2780145408523505</c:v>
                </c:pt>
                <c:pt idx="74">
                  <c:v>9.6073682927937096E-2</c:v>
                </c:pt>
                <c:pt idx="75">
                  <c:v>9.5014109614344311E-2</c:v>
                </c:pt>
                <c:pt idx="76">
                  <c:v>0.10434118358426391</c:v>
                </c:pt>
                <c:pt idx="77">
                  <c:v>0.10231433972293001</c:v>
                </c:pt>
                <c:pt idx="78">
                  <c:v>0.12934265130479181</c:v>
                </c:pt>
                <c:pt idx="79">
                  <c:v>0.13730906442745425</c:v>
                </c:pt>
                <c:pt idx="80">
                  <c:v>0.14214087274779055</c:v>
                </c:pt>
                <c:pt idx="81">
                  <c:v>0.14329654087385663</c:v>
                </c:pt>
                <c:pt idx="82">
                  <c:v>0.1433425542790159</c:v>
                </c:pt>
                <c:pt idx="83">
                  <c:v>0.12566579473662923</c:v>
                </c:pt>
                <c:pt idx="84">
                  <c:v>0.12739558091652423</c:v>
                </c:pt>
                <c:pt idx="85">
                  <c:v>0.12751292946220133</c:v>
                </c:pt>
                <c:pt idx="86">
                  <c:v>0.1224012247478341</c:v>
                </c:pt>
                <c:pt idx="87">
                  <c:v>0.12094013373807493</c:v>
                </c:pt>
                <c:pt idx="88">
                  <c:v>8.9710071835320815E-2</c:v>
                </c:pt>
                <c:pt idx="89">
                  <c:v>8.0369922779294584E-2</c:v>
                </c:pt>
                <c:pt idx="90">
                  <c:v>9.7009852114011016E-2</c:v>
                </c:pt>
                <c:pt idx="91">
                  <c:v>9.4263654045293285E-2</c:v>
                </c:pt>
                <c:pt idx="92">
                  <c:v>9.4191847322212363E-2</c:v>
                </c:pt>
                <c:pt idx="93">
                  <c:v>9.3998843875003624E-2</c:v>
                </c:pt>
                <c:pt idx="94">
                  <c:v>8.8584711408956018E-2</c:v>
                </c:pt>
                <c:pt idx="95">
                  <c:v>8.9467672013460994E-2</c:v>
                </c:pt>
                <c:pt idx="96">
                  <c:v>8.5793950519848824E-2</c:v>
                </c:pt>
                <c:pt idx="97">
                  <c:v>9.1310960409488745E-2</c:v>
                </c:pt>
                <c:pt idx="98">
                  <c:v>9.4706233134228407E-2</c:v>
                </c:pt>
                <c:pt idx="99">
                  <c:v>9.6605862150728763E-2</c:v>
                </c:pt>
                <c:pt idx="100">
                  <c:v>7.4384138001258301E-2</c:v>
                </c:pt>
                <c:pt idx="101">
                  <c:v>0.1113678006974492</c:v>
                </c:pt>
                <c:pt idx="102">
                  <c:v>0.11479612061363745</c:v>
                </c:pt>
                <c:pt idx="103">
                  <c:v>0.11637849374796751</c:v>
                </c:pt>
                <c:pt idx="104">
                  <c:v>0.11689843527892697</c:v>
                </c:pt>
                <c:pt idx="105">
                  <c:v>0.12657421114377285</c:v>
                </c:pt>
                <c:pt idx="106">
                  <c:v>0.12791041685080481</c:v>
                </c:pt>
                <c:pt idx="107">
                  <c:v>0.14008566573442496</c:v>
                </c:pt>
                <c:pt idx="108">
                  <c:v>0.14454908566007435</c:v>
                </c:pt>
                <c:pt idx="109">
                  <c:v>0.14524003617294892</c:v>
                </c:pt>
                <c:pt idx="110">
                  <c:v>0.14386823928551162</c:v>
                </c:pt>
                <c:pt idx="111">
                  <c:v>0.11602179436446325</c:v>
                </c:pt>
                <c:pt idx="112">
                  <c:v>0.11417117171486355</c:v>
                </c:pt>
                <c:pt idx="113">
                  <c:v>0.11447714128329914</c:v>
                </c:pt>
                <c:pt idx="114">
                  <c:v>0.11807822425506194</c:v>
                </c:pt>
                <c:pt idx="115">
                  <c:v>0.12005792941702539</c:v>
                </c:pt>
                <c:pt idx="116">
                  <c:v>0.11886125053686603</c:v>
                </c:pt>
                <c:pt idx="117">
                  <c:v>0.10904145471236774</c:v>
                </c:pt>
                <c:pt idx="118">
                  <c:v>0.10049616346073323</c:v>
                </c:pt>
                <c:pt idx="119">
                  <c:v>0.10341117875403666</c:v>
                </c:pt>
                <c:pt idx="120">
                  <c:v>0.10179874736556341</c:v>
                </c:pt>
                <c:pt idx="121">
                  <c:v>9.9645196908137001E-2</c:v>
                </c:pt>
                <c:pt idx="122">
                  <c:v>0.10111858304389051</c:v>
                </c:pt>
                <c:pt idx="123">
                  <c:v>0.10076305137167821</c:v>
                </c:pt>
                <c:pt idx="124">
                  <c:v>9.6832757334433306E-2</c:v>
                </c:pt>
                <c:pt idx="125">
                  <c:v>8.0887377159082827E-2</c:v>
                </c:pt>
                <c:pt idx="126">
                  <c:v>8.0888488495015606E-2</c:v>
                </c:pt>
                <c:pt idx="127">
                  <c:v>6.8461920469336204E-2</c:v>
                </c:pt>
                <c:pt idx="128">
                  <c:v>6.3419888744947098E-2</c:v>
                </c:pt>
                <c:pt idx="129">
                  <c:v>4.8089528736523751E-2</c:v>
                </c:pt>
                <c:pt idx="130">
                  <c:v>4.7388263672853391E-2</c:v>
                </c:pt>
                <c:pt idx="131">
                  <c:v>4.8144115091944904E-2</c:v>
                </c:pt>
                <c:pt idx="132">
                  <c:v>4.0840898166146604E-2</c:v>
                </c:pt>
                <c:pt idx="133">
                  <c:v>4.8064333262374782E-2</c:v>
                </c:pt>
                <c:pt idx="134">
                  <c:v>5.8182283313551034E-2</c:v>
                </c:pt>
                <c:pt idx="135">
                  <c:v>6.0096639257827246E-2</c:v>
                </c:pt>
                <c:pt idx="136">
                  <c:v>5.9822720421727663E-2</c:v>
                </c:pt>
                <c:pt idx="137">
                  <c:v>8.4808170251262222E-2</c:v>
                </c:pt>
                <c:pt idx="138">
                  <c:v>8.7859199387985393E-2</c:v>
                </c:pt>
                <c:pt idx="139">
                  <c:v>8.7235644372207446E-2</c:v>
                </c:pt>
                <c:pt idx="140">
                  <c:v>8.8945341935964678E-2</c:v>
                </c:pt>
                <c:pt idx="141">
                  <c:v>9.320217448134259E-2</c:v>
                </c:pt>
                <c:pt idx="142">
                  <c:v>9.3412149435466066E-2</c:v>
                </c:pt>
                <c:pt idx="143">
                  <c:v>8.981504632214872E-2</c:v>
                </c:pt>
                <c:pt idx="144">
                  <c:v>8.9496086499265104E-2</c:v>
                </c:pt>
                <c:pt idx="145">
                  <c:v>8.696485145434045E-2</c:v>
                </c:pt>
                <c:pt idx="146">
                  <c:v>8.7927917782272172E-2</c:v>
                </c:pt>
                <c:pt idx="147">
                  <c:v>7.7565028484882545E-2</c:v>
                </c:pt>
                <c:pt idx="148">
                  <c:v>9.5328731773956232E-2</c:v>
                </c:pt>
                <c:pt idx="149">
                  <c:v>0.10914807521919438</c:v>
                </c:pt>
                <c:pt idx="150">
                  <c:v>0.10674653794001086</c:v>
                </c:pt>
                <c:pt idx="151">
                  <c:v>0.10320234535280307</c:v>
                </c:pt>
                <c:pt idx="152">
                  <c:v>0.10373335921305063</c:v>
                </c:pt>
                <c:pt idx="153">
                  <c:v>0.12842245749168688</c:v>
                </c:pt>
                <c:pt idx="154">
                  <c:v>0.1252172786633288</c:v>
                </c:pt>
                <c:pt idx="155">
                  <c:v>0.13062080289298036</c:v>
                </c:pt>
                <c:pt idx="156">
                  <c:v>0.13113344822202319</c:v>
                </c:pt>
                <c:pt idx="157">
                  <c:v>0.12233281936004543</c:v>
                </c:pt>
                <c:pt idx="158">
                  <c:v>0.10758302345267362</c:v>
                </c:pt>
                <c:pt idx="159">
                  <c:v>9.9169056105433973E-2</c:v>
                </c:pt>
                <c:pt idx="160">
                  <c:v>0.10387084398338858</c:v>
                </c:pt>
                <c:pt idx="161">
                  <c:v>0.1038835109988784</c:v>
                </c:pt>
                <c:pt idx="162">
                  <c:v>0.12048313430699766</c:v>
                </c:pt>
                <c:pt idx="163">
                  <c:v>9.464335966951061E-2</c:v>
                </c:pt>
                <c:pt idx="164">
                  <c:v>9.7495032443284169E-2</c:v>
                </c:pt>
                <c:pt idx="165">
                  <c:v>0.10999522652243228</c:v>
                </c:pt>
                <c:pt idx="166">
                  <c:v>0.11009033803198509</c:v>
                </c:pt>
                <c:pt idx="167">
                  <c:v>0.11195860272349108</c:v>
                </c:pt>
                <c:pt idx="168">
                  <c:v>0.11442094296176017</c:v>
                </c:pt>
                <c:pt idx="169">
                  <c:v>0.10987967292130879</c:v>
                </c:pt>
                <c:pt idx="170">
                  <c:v>0.11070311171165483</c:v>
                </c:pt>
                <c:pt idx="171">
                  <c:v>0.11120503123476146</c:v>
                </c:pt>
                <c:pt idx="172">
                  <c:v>0.1063177429036532</c:v>
                </c:pt>
                <c:pt idx="173">
                  <c:v>0.10597715412615837</c:v>
                </c:pt>
                <c:pt idx="174">
                  <c:v>0.1474841081868708</c:v>
                </c:pt>
                <c:pt idx="175">
                  <c:v>0.14079651431347801</c:v>
                </c:pt>
                <c:pt idx="176">
                  <c:v>0.13956423452194197</c:v>
                </c:pt>
                <c:pt idx="177">
                  <c:v>0.13853092824709559</c:v>
                </c:pt>
                <c:pt idx="178">
                  <c:v>0.13855355047921619</c:v>
                </c:pt>
                <c:pt idx="179">
                  <c:v>0.1410234815843478</c:v>
                </c:pt>
                <c:pt idx="180">
                  <c:v>0.13796178180136581</c:v>
                </c:pt>
                <c:pt idx="181">
                  <c:v>0.13743063718902923</c:v>
                </c:pt>
                <c:pt idx="182">
                  <c:v>0.13824907972891232</c:v>
                </c:pt>
                <c:pt idx="183">
                  <c:v>0.13860764315695415</c:v>
                </c:pt>
                <c:pt idx="184">
                  <c:v>8.8482421865234612E-2</c:v>
                </c:pt>
                <c:pt idx="185">
                  <c:v>8.0930408546118868E-2</c:v>
                </c:pt>
                <c:pt idx="186">
                  <c:v>8.3073465302674676E-2</c:v>
                </c:pt>
                <c:pt idx="187">
                  <c:v>8.2099716366150086E-2</c:v>
                </c:pt>
                <c:pt idx="188">
                  <c:v>9.0369633428447435E-2</c:v>
                </c:pt>
                <c:pt idx="189">
                  <c:v>8.6048113720466043E-2</c:v>
                </c:pt>
                <c:pt idx="190">
                  <c:v>8.5324972067485058E-2</c:v>
                </c:pt>
                <c:pt idx="191">
                  <c:v>9.2230837696603965E-2</c:v>
                </c:pt>
                <c:pt idx="192">
                  <c:v>7.6929669872854906E-2</c:v>
                </c:pt>
                <c:pt idx="193">
                  <c:v>7.3379080379478712E-2</c:v>
                </c:pt>
                <c:pt idx="194">
                  <c:v>7.3698266169070367E-2</c:v>
                </c:pt>
                <c:pt idx="195">
                  <c:v>8.0224651104618419E-2</c:v>
                </c:pt>
                <c:pt idx="196">
                  <c:v>7.8899729407526126E-2</c:v>
                </c:pt>
                <c:pt idx="197">
                  <c:v>8.8498791712867508E-2</c:v>
                </c:pt>
                <c:pt idx="198">
                  <c:v>7.5067984560991355E-2</c:v>
                </c:pt>
                <c:pt idx="199">
                  <c:v>7.6955593197926497E-2</c:v>
                </c:pt>
                <c:pt idx="200">
                  <c:v>8.0691810549850765E-2</c:v>
                </c:pt>
                <c:pt idx="201">
                  <c:v>9.6139021306119163E-2</c:v>
                </c:pt>
                <c:pt idx="202">
                  <c:v>9.3999438224019002E-2</c:v>
                </c:pt>
                <c:pt idx="203">
                  <c:v>9.4290513256333336E-2</c:v>
                </c:pt>
                <c:pt idx="204">
                  <c:v>0.10279606361842028</c:v>
                </c:pt>
                <c:pt idx="205">
                  <c:v>9.8449264793946167E-2</c:v>
                </c:pt>
                <c:pt idx="206">
                  <c:v>0.10097495607647053</c:v>
                </c:pt>
                <c:pt idx="207">
                  <c:v>0.12739803854683343</c:v>
                </c:pt>
                <c:pt idx="208">
                  <c:v>0.12741559911969749</c:v>
                </c:pt>
                <c:pt idx="209">
                  <c:v>0.13466210528436109</c:v>
                </c:pt>
                <c:pt idx="210">
                  <c:v>0.15988194235578027</c:v>
                </c:pt>
                <c:pt idx="211">
                  <c:v>0.14675834936378843</c:v>
                </c:pt>
                <c:pt idx="212">
                  <c:v>0.15177657811217596</c:v>
                </c:pt>
                <c:pt idx="213">
                  <c:v>0.15193164228665706</c:v>
                </c:pt>
                <c:pt idx="214">
                  <c:v>0.15917517098798978</c:v>
                </c:pt>
                <c:pt idx="215">
                  <c:v>0.20947019141024315</c:v>
                </c:pt>
                <c:pt idx="216">
                  <c:v>0.21337158473820236</c:v>
                </c:pt>
                <c:pt idx="217">
                  <c:v>0.19764762732931915</c:v>
                </c:pt>
                <c:pt idx="218">
                  <c:v>0.19869952969630053</c:v>
                </c:pt>
                <c:pt idx="219">
                  <c:v>0.19571635057889561</c:v>
                </c:pt>
                <c:pt idx="220">
                  <c:v>0.19146177028016781</c:v>
                </c:pt>
                <c:pt idx="221">
                  <c:v>0.19227440714792962</c:v>
                </c:pt>
                <c:pt idx="222">
                  <c:v>0.18834786633742828</c:v>
                </c:pt>
                <c:pt idx="223">
                  <c:v>0.22140513711671631</c:v>
                </c:pt>
                <c:pt idx="224">
                  <c:v>0.22829821016902543</c:v>
                </c:pt>
                <c:pt idx="225">
                  <c:v>0.18089829445432143</c:v>
                </c:pt>
                <c:pt idx="226">
                  <c:v>0.18093774459602355</c:v>
                </c:pt>
                <c:pt idx="227">
                  <c:v>0.17858130421425875</c:v>
                </c:pt>
                <c:pt idx="228">
                  <c:v>0.20010846181972497</c:v>
                </c:pt>
                <c:pt idx="229">
                  <c:v>0.22884746001472003</c:v>
                </c:pt>
                <c:pt idx="230">
                  <c:v>0.21585678667947203</c:v>
                </c:pt>
                <c:pt idx="231">
                  <c:v>0.21512228601558095</c:v>
                </c:pt>
                <c:pt idx="232">
                  <c:v>0.21512921012779762</c:v>
                </c:pt>
                <c:pt idx="233">
                  <c:v>0.18096173325956472</c:v>
                </c:pt>
                <c:pt idx="234">
                  <c:v>0.16149849407087466</c:v>
                </c:pt>
                <c:pt idx="235">
                  <c:v>0.16141480604969596</c:v>
                </c:pt>
                <c:pt idx="236">
                  <c:v>0.16422868579186628</c:v>
                </c:pt>
                <c:pt idx="237">
                  <c:v>0.16508608263207739</c:v>
                </c:pt>
                <c:pt idx="238">
                  <c:v>0.14252848144977776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CB-43DB-8866-0CD0844326A6}"/>
            </c:ext>
          </c:extLst>
        </c:ser>
        <c:ser>
          <c:idx val="2"/>
          <c:order val="2"/>
          <c:tx>
            <c:strRef>
              <c:f>走势图!$E$6</c:f>
              <c:strCache>
                <c:ptCount val="1"/>
                <c:pt idx="0">
                  <c:v>HV20</c:v>
                </c:pt>
              </c:strCache>
            </c:strRef>
          </c:tx>
          <c:spPr>
            <a:ln w="28575" cap="rnd">
              <a:solidFill>
                <a:srgbClr val="5FBEBF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作图数据!$I$3:$I$246</c:f>
              <c:numCache>
                <c:formatCode>General</c:formatCode>
                <c:ptCount val="244"/>
                <c:pt idx="0">
                  <c:v>0.13759926904028483</c:v>
                </c:pt>
                <c:pt idx="1">
                  <c:v>0.16314752080973863</c:v>
                </c:pt>
                <c:pt idx="2">
                  <c:v>0.16515777982739249</c:v>
                </c:pt>
                <c:pt idx="3">
                  <c:v>0.16590361604933093</c:v>
                </c:pt>
                <c:pt idx="4">
                  <c:v>0.16893189933082459</c:v>
                </c:pt>
                <c:pt idx="5">
                  <c:v>0.16773976377701291</c:v>
                </c:pt>
                <c:pt idx="6">
                  <c:v>0.17145831788740232</c:v>
                </c:pt>
                <c:pt idx="7">
                  <c:v>0.16857175912754779</c:v>
                </c:pt>
                <c:pt idx="8">
                  <c:v>0.13975395639088975</c:v>
                </c:pt>
                <c:pt idx="9">
                  <c:v>0.13341172001387788</c:v>
                </c:pt>
                <c:pt idx="10">
                  <c:v>0.13193179168055119</c:v>
                </c:pt>
                <c:pt idx="11">
                  <c:v>0.13354995640300418</c:v>
                </c:pt>
                <c:pt idx="12">
                  <c:v>0.13433796104756196</c:v>
                </c:pt>
                <c:pt idx="13">
                  <c:v>0.14012723847571865</c:v>
                </c:pt>
                <c:pt idx="14">
                  <c:v>0.13552676052675816</c:v>
                </c:pt>
                <c:pt idx="15">
                  <c:v>0.13556233903985443</c:v>
                </c:pt>
                <c:pt idx="16">
                  <c:v>0.17160711145023935</c:v>
                </c:pt>
                <c:pt idx="17">
                  <c:v>0.17133375192140388</c:v>
                </c:pt>
                <c:pt idx="18">
                  <c:v>0.16965021562722263</c:v>
                </c:pt>
                <c:pt idx="19">
                  <c:v>0.16932888900030357</c:v>
                </c:pt>
                <c:pt idx="20">
                  <c:v>0.16995084928706514</c:v>
                </c:pt>
                <c:pt idx="21">
                  <c:v>0.15236936605582443</c:v>
                </c:pt>
                <c:pt idx="22">
                  <c:v>0.14999216289892389</c:v>
                </c:pt>
                <c:pt idx="23">
                  <c:v>0.14950349445669744</c:v>
                </c:pt>
                <c:pt idx="24">
                  <c:v>0.15519482153013803</c:v>
                </c:pt>
                <c:pt idx="25">
                  <c:v>0.1567669577506591</c:v>
                </c:pt>
                <c:pt idx="26">
                  <c:v>0.16099128768004103</c:v>
                </c:pt>
                <c:pt idx="27">
                  <c:v>0.20873622092611518</c:v>
                </c:pt>
                <c:pt idx="28">
                  <c:v>0.21072950375031671</c:v>
                </c:pt>
                <c:pt idx="29">
                  <c:v>0.22174222393751605</c:v>
                </c:pt>
                <c:pt idx="30">
                  <c:v>0.22324771522518633</c:v>
                </c:pt>
                <c:pt idx="31">
                  <c:v>0.22393257139543282</c:v>
                </c:pt>
                <c:pt idx="32">
                  <c:v>0.22329049406869983</c:v>
                </c:pt>
                <c:pt idx="33">
                  <c:v>0.22418056910949893</c:v>
                </c:pt>
                <c:pt idx="34">
                  <c:v>0.22473091440747917</c:v>
                </c:pt>
                <c:pt idx="35">
                  <c:v>0.2226518147834804</c:v>
                </c:pt>
                <c:pt idx="36">
                  <c:v>0.1959991750258982</c:v>
                </c:pt>
                <c:pt idx="37">
                  <c:v>0.1990504869646772</c:v>
                </c:pt>
                <c:pt idx="38">
                  <c:v>0.19994858110121722</c:v>
                </c:pt>
                <c:pt idx="39">
                  <c:v>0.19984873528533253</c:v>
                </c:pt>
                <c:pt idx="40">
                  <c:v>0.19935215978473189</c:v>
                </c:pt>
                <c:pt idx="41">
                  <c:v>0.22208519396610152</c:v>
                </c:pt>
                <c:pt idx="42">
                  <c:v>0.2267977901678751</c:v>
                </c:pt>
                <c:pt idx="43">
                  <c:v>0.22594739469897393</c:v>
                </c:pt>
                <c:pt idx="44">
                  <c:v>0.23687849076637202</c:v>
                </c:pt>
                <c:pt idx="45">
                  <c:v>0.23954761319502246</c:v>
                </c:pt>
                <c:pt idx="46">
                  <c:v>0.24494544728725884</c:v>
                </c:pt>
                <c:pt idx="47">
                  <c:v>0.23462787021859741</c:v>
                </c:pt>
                <c:pt idx="48">
                  <c:v>0.3558162725770484</c:v>
                </c:pt>
                <c:pt idx="49">
                  <c:v>0.35858178549055897</c:v>
                </c:pt>
                <c:pt idx="50">
                  <c:v>0.42821450066202049</c:v>
                </c:pt>
                <c:pt idx="51">
                  <c:v>0.45047784968537946</c:v>
                </c:pt>
                <c:pt idx="52">
                  <c:v>0.49064917533894792</c:v>
                </c:pt>
                <c:pt idx="53">
                  <c:v>0.49036141960619556</c:v>
                </c:pt>
                <c:pt idx="54">
                  <c:v>0.52206337294737282</c:v>
                </c:pt>
                <c:pt idx="55">
                  <c:v>0.52216883637490463</c:v>
                </c:pt>
                <c:pt idx="56">
                  <c:v>0.52218014750325326</c:v>
                </c:pt>
                <c:pt idx="57">
                  <c:v>0.52140022034039368</c:v>
                </c:pt>
                <c:pt idx="58">
                  <c:v>0.5213945893076295</c:v>
                </c:pt>
                <c:pt idx="59">
                  <c:v>0.52126182922906927</c:v>
                </c:pt>
                <c:pt idx="60">
                  <c:v>0.52145554866682831</c:v>
                </c:pt>
                <c:pt idx="61">
                  <c:v>0.51055812682425639</c:v>
                </c:pt>
                <c:pt idx="62">
                  <c:v>0.50756926978988925</c:v>
                </c:pt>
                <c:pt idx="63">
                  <c:v>0.50977573414726629</c:v>
                </c:pt>
                <c:pt idx="64">
                  <c:v>0.50227359083284684</c:v>
                </c:pt>
                <c:pt idx="65">
                  <c:v>0.5005215149779233</c:v>
                </c:pt>
                <c:pt idx="66">
                  <c:v>0.49598121605378948</c:v>
                </c:pt>
                <c:pt idx="67">
                  <c:v>0.48302294105536159</c:v>
                </c:pt>
                <c:pt idx="68">
                  <c:v>0.40531779959849995</c:v>
                </c:pt>
                <c:pt idx="69">
                  <c:v>0.39782361876103561</c:v>
                </c:pt>
                <c:pt idx="70">
                  <c:v>0.321672214763631</c:v>
                </c:pt>
                <c:pt idx="71">
                  <c:v>0.28946071347800462</c:v>
                </c:pt>
                <c:pt idx="72">
                  <c:v>0.21443639256381222</c:v>
                </c:pt>
                <c:pt idx="73">
                  <c:v>0.20998192804810445</c:v>
                </c:pt>
                <c:pt idx="74">
                  <c:v>0.10981757104531616</c:v>
                </c:pt>
                <c:pt idx="75">
                  <c:v>0.10944478392815994</c:v>
                </c:pt>
                <c:pt idx="76">
                  <c:v>0.11069690284827631</c:v>
                </c:pt>
                <c:pt idx="77">
                  <c:v>0.10902743753021729</c:v>
                </c:pt>
                <c:pt idx="78">
                  <c:v>0.1083359215144369</c:v>
                </c:pt>
                <c:pt idx="79">
                  <c:v>0.10950076494648289</c:v>
                </c:pt>
                <c:pt idx="80">
                  <c:v>0.11844040296021252</c:v>
                </c:pt>
                <c:pt idx="81">
                  <c:v>0.11804901210123039</c:v>
                </c:pt>
                <c:pt idx="82">
                  <c:v>0.11804832367405449</c:v>
                </c:pt>
                <c:pt idx="83">
                  <c:v>0.10800805806918037</c:v>
                </c:pt>
                <c:pt idx="84">
                  <c:v>0.10679344701762031</c:v>
                </c:pt>
                <c:pt idx="85">
                  <c:v>0.10720764496499428</c:v>
                </c:pt>
                <c:pt idx="86">
                  <c:v>0.10287548833167938</c:v>
                </c:pt>
                <c:pt idx="87">
                  <c:v>0.10429660814875905</c:v>
                </c:pt>
                <c:pt idx="88">
                  <c:v>8.9781755340544708E-2</c:v>
                </c:pt>
                <c:pt idx="89">
                  <c:v>8.6489474201357525E-2</c:v>
                </c:pt>
                <c:pt idx="90">
                  <c:v>8.4134980065041221E-2</c:v>
                </c:pt>
                <c:pt idx="91">
                  <c:v>0.10041907230135161</c:v>
                </c:pt>
                <c:pt idx="92">
                  <c:v>0.10220008257520762</c:v>
                </c:pt>
                <c:pt idx="93">
                  <c:v>0.10296080708388819</c:v>
                </c:pt>
                <c:pt idx="94">
                  <c:v>0.10094617048981719</c:v>
                </c:pt>
                <c:pt idx="95">
                  <c:v>0.10667941580158694</c:v>
                </c:pt>
                <c:pt idx="96">
                  <c:v>0.10600275323205433</c:v>
                </c:pt>
                <c:pt idx="97">
                  <c:v>0.11508696188362187</c:v>
                </c:pt>
                <c:pt idx="98">
                  <c:v>0.11893682065364411</c:v>
                </c:pt>
                <c:pt idx="99">
                  <c:v>0.12005398925497646</c:v>
                </c:pt>
                <c:pt idx="100">
                  <c:v>0.11146857767095557</c:v>
                </c:pt>
                <c:pt idx="101">
                  <c:v>0.11068556559666738</c:v>
                </c:pt>
                <c:pt idx="102">
                  <c:v>0.1114306137251648</c:v>
                </c:pt>
                <c:pt idx="103">
                  <c:v>0.11235299802782751</c:v>
                </c:pt>
                <c:pt idx="104">
                  <c:v>0.11435618431370506</c:v>
                </c:pt>
                <c:pt idx="105">
                  <c:v>0.12006893548097289</c:v>
                </c:pt>
                <c:pt idx="106">
                  <c:v>0.12017567066222781</c:v>
                </c:pt>
                <c:pt idx="107">
                  <c:v>0.12217896565250792</c:v>
                </c:pt>
                <c:pt idx="108">
                  <c:v>0.12116653466231579</c:v>
                </c:pt>
                <c:pt idx="109">
                  <c:v>0.12270994040062408</c:v>
                </c:pt>
                <c:pt idx="110">
                  <c:v>0.121297697544599</c:v>
                </c:pt>
                <c:pt idx="111">
                  <c:v>0.10525957846393505</c:v>
                </c:pt>
                <c:pt idx="112">
                  <c:v>0.10496621476203948</c:v>
                </c:pt>
                <c:pt idx="113">
                  <c:v>0.1049621173725251</c:v>
                </c:pt>
                <c:pt idx="114">
                  <c:v>0.10509931379062913</c:v>
                </c:pt>
                <c:pt idx="115">
                  <c:v>9.9633556964934589E-2</c:v>
                </c:pt>
                <c:pt idx="116">
                  <c:v>9.8952008583577389E-2</c:v>
                </c:pt>
                <c:pt idx="117">
                  <c:v>8.8613192733258739E-2</c:v>
                </c:pt>
                <c:pt idx="118">
                  <c:v>8.1787288430908239E-2</c:v>
                </c:pt>
                <c:pt idx="119">
                  <c:v>7.8491793734190157E-2</c:v>
                </c:pt>
                <c:pt idx="120">
                  <c:v>7.7282016867863873E-2</c:v>
                </c:pt>
                <c:pt idx="121">
                  <c:v>7.6165743703290184E-2</c:v>
                </c:pt>
                <c:pt idx="122">
                  <c:v>7.5056652707838192E-2</c:v>
                </c:pt>
                <c:pt idx="123">
                  <c:v>7.6835557107094082E-2</c:v>
                </c:pt>
                <c:pt idx="124">
                  <c:v>7.7749885381911826E-2</c:v>
                </c:pt>
                <c:pt idx="125">
                  <c:v>6.9353922404102153E-2</c:v>
                </c:pt>
                <c:pt idx="126">
                  <c:v>6.9242270724639149E-2</c:v>
                </c:pt>
                <c:pt idx="127">
                  <c:v>7.501408382200854E-2</c:v>
                </c:pt>
                <c:pt idx="128">
                  <c:v>7.4576661669534861E-2</c:v>
                </c:pt>
                <c:pt idx="129">
                  <c:v>6.8558059838749172E-2</c:v>
                </c:pt>
                <c:pt idx="130">
                  <c:v>6.9362621692963394E-2</c:v>
                </c:pt>
                <c:pt idx="131">
                  <c:v>7.2198742631686491E-2</c:v>
                </c:pt>
                <c:pt idx="132">
                  <c:v>7.0166822879306187E-2</c:v>
                </c:pt>
                <c:pt idx="133">
                  <c:v>7.0109802640781427E-2</c:v>
                </c:pt>
                <c:pt idx="134">
                  <c:v>7.3467697274079632E-2</c:v>
                </c:pt>
                <c:pt idx="135">
                  <c:v>7.2754244928442527E-2</c:v>
                </c:pt>
                <c:pt idx="136">
                  <c:v>7.3194294226013298E-2</c:v>
                </c:pt>
                <c:pt idx="137">
                  <c:v>7.9099815179453206E-2</c:v>
                </c:pt>
                <c:pt idx="138">
                  <c:v>8.9225100955114753E-2</c:v>
                </c:pt>
                <c:pt idx="139">
                  <c:v>9.6166040553169366E-2</c:v>
                </c:pt>
                <c:pt idx="140">
                  <c:v>9.562945894070693E-2</c:v>
                </c:pt>
                <c:pt idx="141">
                  <c:v>9.5706878356268177E-2</c:v>
                </c:pt>
                <c:pt idx="142">
                  <c:v>9.6075068040842759E-2</c:v>
                </c:pt>
                <c:pt idx="143">
                  <c:v>0.10785751595373276</c:v>
                </c:pt>
                <c:pt idx="144">
                  <c:v>0.10592953153438799</c:v>
                </c:pt>
                <c:pt idx="145">
                  <c:v>0.10800149020218022</c:v>
                </c:pt>
                <c:pt idx="146">
                  <c:v>0.10866309587874577</c:v>
                </c:pt>
                <c:pt idx="147">
                  <c:v>9.9692915608499147E-2</c:v>
                </c:pt>
                <c:pt idx="148">
                  <c:v>9.8929817316606272E-2</c:v>
                </c:pt>
                <c:pt idx="149">
                  <c:v>0.10149675548770243</c:v>
                </c:pt>
                <c:pt idx="150">
                  <c:v>0.10250950670367799</c:v>
                </c:pt>
                <c:pt idx="151">
                  <c:v>0.10078183093718093</c:v>
                </c:pt>
                <c:pt idx="152">
                  <c:v>0.10942220480769274</c:v>
                </c:pt>
                <c:pt idx="153">
                  <c:v>0.10979580043249383</c:v>
                </c:pt>
                <c:pt idx="154">
                  <c:v>0.10922257190147892</c:v>
                </c:pt>
                <c:pt idx="155">
                  <c:v>0.11752865183819114</c:v>
                </c:pt>
                <c:pt idx="156">
                  <c:v>0.1178408324226845</c:v>
                </c:pt>
                <c:pt idx="157">
                  <c:v>0.11413298493363509</c:v>
                </c:pt>
                <c:pt idx="158">
                  <c:v>0.10809263378945712</c:v>
                </c:pt>
                <c:pt idx="159">
                  <c:v>0.10186998883799947</c:v>
                </c:pt>
                <c:pt idx="160">
                  <c:v>0.10447839881303624</c:v>
                </c:pt>
                <c:pt idx="161">
                  <c:v>0.10473653297790535</c:v>
                </c:pt>
                <c:pt idx="162">
                  <c:v>0.11059095636792844</c:v>
                </c:pt>
                <c:pt idx="163">
                  <c:v>9.7790513084134362E-2</c:v>
                </c:pt>
                <c:pt idx="164">
                  <c:v>0.12167938710292865</c:v>
                </c:pt>
                <c:pt idx="165">
                  <c:v>0.1229684329849951</c:v>
                </c:pt>
                <c:pt idx="166">
                  <c:v>0.1223417393961924</c:v>
                </c:pt>
                <c:pt idx="167">
                  <c:v>0.1225882971239369</c:v>
                </c:pt>
                <c:pt idx="168">
                  <c:v>0.12367256149073134</c:v>
                </c:pt>
                <c:pt idx="169">
                  <c:v>0.12304267208343062</c:v>
                </c:pt>
                <c:pt idx="170">
                  <c:v>0.12174124622676211</c:v>
                </c:pt>
                <c:pt idx="171">
                  <c:v>0.12167334420076562</c:v>
                </c:pt>
                <c:pt idx="172">
                  <c:v>0.12003210853727214</c:v>
                </c:pt>
                <c:pt idx="173">
                  <c:v>0.12008530376884188</c:v>
                </c:pt>
                <c:pt idx="174">
                  <c:v>0.11837191841625046</c:v>
                </c:pt>
                <c:pt idx="175">
                  <c:v>0.11177056039103739</c:v>
                </c:pt>
                <c:pt idx="176">
                  <c:v>0.1117832455565146</c:v>
                </c:pt>
                <c:pt idx="177">
                  <c:v>0.11082955941815821</c:v>
                </c:pt>
                <c:pt idx="178">
                  <c:v>0.11384981172522121</c:v>
                </c:pt>
                <c:pt idx="179">
                  <c:v>0.1137002296200038</c:v>
                </c:pt>
                <c:pt idx="180">
                  <c:v>0.1116442274334728</c:v>
                </c:pt>
                <c:pt idx="181">
                  <c:v>0.11391210072581565</c:v>
                </c:pt>
                <c:pt idx="182">
                  <c:v>0.10888884708578028</c:v>
                </c:pt>
                <c:pt idx="183">
                  <c:v>0.10793982573388597</c:v>
                </c:pt>
                <c:pt idx="184">
                  <c:v>7.9254805844381118E-2</c:v>
                </c:pt>
                <c:pt idx="185">
                  <c:v>7.8429160477430107E-2</c:v>
                </c:pt>
                <c:pt idx="186">
                  <c:v>7.8852731301952278E-2</c:v>
                </c:pt>
                <c:pt idx="187">
                  <c:v>8.3082582904113259E-2</c:v>
                </c:pt>
                <c:pt idx="188">
                  <c:v>8.0856226062512637E-2</c:v>
                </c:pt>
                <c:pt idx="189">
                  <c:v>7.9451398846171514E-2</c:v>
                </c:pt>
                <c:pt idx="190">
                  <c:v>8.082589226009558E-2</c:v>
                </c:pt>
                <c:pt idx="191">
                  <c:v>9.1692607048379338E-2</c:v>
                </c:pt>
                <c:pt idx="192">
                  <c:v>8.3598859359694744E-2</c:v>
                </c:pt>
                <c:pt idx="193">
                  <c:v>8.223096898605553E-2</c:v>
                </c:pt>
                <c:pt idx="194">
                  <c:v>8.7052974248873316E-2</c:v>
                </c:pt>
                <c:pt idx="195">
                  <c:v>8.7405368813163187E-2</c:v>
                </c:pt>
                <c:pt idx="196">
                  <c:v>8.8195351798103616E-2</c:v>
                </c:pt>
                <c:pt idx="197">
                  <c:v>0.10676108773724668</c:v>
                </c:pt>
                <c:pt idx="198">
                  <c:v>0.10178135359312504</c:v>
                </c:pt>
                <c:pt idx="199">
                  <c:v>0.1067472206754053</c:v>
                </c:pt>
                <c:pt idx="200">
                  <c:v>0.12325852890985944</c:v>
                </c:pt>
                <c:pt idx="201">
                  <c:v>0.1207490919070441</c:v>
                </c:pt>
                <c:pt idx="202">
                  <c:v>0.12287096707497529</c:v>
                </c:pt>
                <c:pt idx="203">
                  <c:v>0.12306723095475976</c:v>
                </c:pt>
                <c:pt idx="204">
                  <c:v>0.13041106907138367</c:v>
                </c:pt>
                <c:pt idx="205">
                  <c:v>0.15929617721834874</c:v>
                </c:pt>
                <c:pt idx="206">
                  <c:v>0.16246625145177448</c:v>
                </c:pt>
                <c:pt idx="207">
                  <c:v>0.16184033771630232</c:v>
                </c:pt>
                <c:pt idx="208">
                  <c:v>0.16245584695785115</c:v>
                </c:pt>
                <c:pt idx="209">
                  <c:v>0.16350582676754619</c:v>
                </c:pt>
                <c:pt idx="210">
                  <c:v>0.1716757354544125</c:v>
                </c:pt>
                <c:pt idx="211">
                  <c:v>0.16647540465859945</c:v>
                </c:pt>
                <c:pt idx="212">
                  <c:v>0.16648050869881828</c:v>
                </c:pt>
                <c:pt idx="213">
                  <c:v>0.18480873868982181</c:v>
                </c:pt>
                <c:pt idx="214">
                  <c:v>0.19154651358007108</c:v>
                </c:pt>
                <c:pt idx="215">
                  <c:v>0.19048657726344931</c:v>
                </c:pt>
                <c:pt idx="216">
                  <c:v>0.19254433602060395</c:v>
                </c:pt>
                <c:pt idx="217">
                  <c:v>0.18333214052412256</c:v>
                </c:pt>
                <c:pt idx="218">
                  <c:v>0.19408680862201383</c:v>
                </c:pt>
                <c:pt idx="219">
                  <c:v>0.20724819198652544</c:v>
                </c:pt>
                <c:pt idx="220">
                  <c:v>0.1985825900713705</c:v>
                </c:pt>
                <c:pt idx="221">
                  <c:v>0.19857696509519068</c:v>
                </c:pt>
                <c:pt idx="222">
                  <c:v>0.19678995778783862</c:v>
                </c:pt>
                <c:pt idx="223">
                  <c:v>0.19680426461118003</c:v>
                </c:pt>
                <c:pt idx="224">
                  <c:v>0.19246551669022463</c:v>
                </c:pt>
                <c:pt idx="225">
                  <c:v>0.16686117661048755</c:v>
                </c:pt>
                <c:pt idx="226">
                  <c:v>0.16817687398246658</c:v>
                </c:pt>
                <c:pt idx="227">
                  <c:v>0.16737953595017716</c:v>
                </c:pt>
                <c:pt idx="228">
                  <c:v>0.16908731482286454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CB-43DB-8866-0CD0844326A6}"/>
            </c:ext>
          </c:extLst>
        </c:ser>
        <c:ser>
          <c:idx val="3"/>
          <c:order val="3"/>
          <c:tx>
            <c:strRef>
              <c:f>走势图!$F$6</c:f>
              <c:strCache>
                <c:ptCount val="1"/>
                <c:pt idx="0">
                  <c:v>HV60</c:v>
                </c:pt>
              </c:strCache>
            </c:strRef>
          </c:tx>
          <c:spPr>
            <a:ln w="28575" cap="rnd">
              <a:solidFill>
                <a:srgbClr val="E05D5D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作图数据!$J$3:$J$246</c:f>
              <c:numCache>
                <c:formatCode>General</c:formatCode>
                <c:ptCount val="244"/>
                <c:pt idx="0">
                  <c:v>0.16791869192994693</c:v>
                </c:pt>
                <c:pt idx="1">
                  <c:v>0.17869356604059655</c:v>
                </c:pt>
                <c:pt idx="2">
                  <c:v>0.18053722077756759</c:v>
                </c:pt>
                <c:pt idx="3">
                  <c:v>0.18028334887629058</c:v>
                </c:pt>
                <c:pt idx="4">
                  <c:v>0.18712643844546881</c:v>
                </c:pt>
                <c:pt idx="5">
                  <c:v>0.18829366539540396</c:v>
                </c:pt>
                <c:pt idx="6">
                  <c:v>0.19270483317185697</c:v>
                </c:pt>
                <c:pt idx="7">
                  <c:v>0.20226313714927638</c:v>
                </c:pt>
                <c:pt idx="8">
                  <c:v>0.24771234432264205</c:v>
                </c:pt>
                <c:pt idx="9">
                  <c:v>0.25094515432216941</c:v>
                </c:pt>
                <c:pt idx="10">
                  <c:v>0.28408791827095808</c:v>
                </c:pt>
                <c:pt idx="11">
                  <c:v>0.29536882799276593</c:v>
                </c:pt>
                <c:pt idx="12">
                  <c:v>0.31526682188300331</c:v>
                </c:pt>
                <c:pt idx="13">
                  <c:v>0.31613639394398735</c:v>
                </c:pt>
                <c:pt idx="14">
                  <c:v>0.33158610583962278</c:v>
                </c:pt>
                <c:pt idx="15">
                  <c:v>0.33119235461053259</c:v>
                </c:pt>
                <c:pt idx="16">
                  <c:v>0.33115613838452501</c:v>
                </c:pt>
                <c:pt idx="17">
                  <c:v>0.33130088410988967</c:v>
                </c:pt>
                <c:pt idx="18">
                  <c:v>0.3311931696466342</c:v>
                </c:pt>
                <c:pt idx="19">
                  <c:v>0.33105348026331494</c:v>
                </c:pt>
                <c:pt idx="20">
                  <c:v>0.33115792782126163</c:v>
                </c:pt>
                <c:pt idx="21">
                  <c:v>0.32757323676384692</c:v>
                </c:pt>
                <c:pt idx="22">
                  <c:v>0.32676295128540772</c:v>
                </c:pt>
                <c:pt idx="23">
                  <c:v>0.32760614954278267</c:v>
                </c:pt>
                <c:pt idx="24">
                  <c:v>0.32721310707988083</c:v>
                </c:pt>
                <c:pt idx="25">
                  <c:v>0.32721562306592494</c:v>
                </c:pt>
                <c:pt idx="26">
                  <c:v>0.32693654692353352</c:v>
                </c:pt>
                <c:pt idx="27">
                  <c:v>0.32694559675253604</c:v>
                </c:pt>
                <c:pt idx="28">
                  <c:v>0.32859739373003499</c:v>
                </c:pt>
                <c:pt idx="29">
                  <c:v>0.3289497593323305</c:v>
                </c:pt>
                <c:pt idx="30">
                  <c:v>0.32927563228403861</c:v>
                </c:pt>
                <c:pt idx="31">
                  <c:v>0.32936529332782322</c:v>
                </c:pt>
                <c:pt idx="32">
                  <c:v>0.32922575492633993</c:v>
                </c:pt>
                <c:pt idx="33">
                  <c:v>0.32835670792481131</c:v>
                </c:pt>
                <c:pt idx="34">
                  <c:v>0.3285088785866217</c:v>
                </c:pt>
                <c:pt idx="35">
                  <c:v>0.32806658624703045</c:v>
                </c:pt>
                <c:pt idx="36">
                  <c:v>0.32268708040593574</c:v>
                </c:pt>
                <c:pt idx="37">
                  <c:v>0.32269939564579564</c:v>
                </c:pt>
                <c:pt idx="38">
                  <c:v>0.32280024966771564</c:v>
                </c:pt>
                <c:pt idx="39">
                  <c:v>0.32283786016698579</c:v>
                </c:pt>
                <c:pt idx="40">
                  <c:v>0.32385445402434843</c:v>
                </c:pt>
                <c:pt idx="41">
                  <c:v>0.32297906387947578</c:v>
                </c:pt>
                <c:pt idx="42">
                  <c:v>0.32251619199042353</c:v>
                </c:pt>
                <c:pt idx="43">
                  <c:v>0.32231146198758154</c:v>
                </c:pt>
                <c:pt idx="44">
                  <c:v>0.32091250656906173</c:v>
                </c:pt>
                <c:pt idx="45">
                  <c:v>0.32071340436334317</c:v>
                </c:pt>
                <c:pt idx="46">
                  <c:v>0.31929480277223377</c:v>
                </c:pt>
                <c:pt idx="47">
                  <c:v>0.31042738306580669</c:v>
                </c:pt>
                <c:pt idx="48">
                  <c:v>0.31027657262804131</c:v>
                </c:pt>
                <c:pt idx="49">
                  <c:v>0.30786785069135786</c:v>
                </c:pt>
                <c:pt idx="50">
                  <c:v>0.30765565102296366</c:v>
                </c:pt>
                <c:pt idx="51">
                  <c:v>0.30916053555509937</c:v>
                </c:pt>
                <c:pt idx="52">
                  <c:v>0.30934935260043139</c:v>
                </c:pt>
                <c:pt idx="53">
                  <c:v>0.30829782912277137</c:v>
                </c:pt>
                <c:pt idx="54">
                  <c:v>0.30811630202336787</c:v>
                </c:pt>
                <c:pt idx="55">
                  <c:v>0.30875255001083668</c:v>
                </c:pt>
                <c:pt idx="56">
                  <c:v>0.30882739939342957</c:v>
                </c:pt>
                <c:pt idx="57">
                  <c:v>0.309258638762898</c:v>
                </c:pt>
                <c:pt idx="58">
                  <c:v>0.30964616718201327</c:v>
                </c:pt>
                <c:pt idx="59">
                  <c:v>0.30984490863326847</c:v>
                </c:pt>
                <c:pt idx="60">
                  <c:v>0.30997583229574471</c:v>
                </c:pt>
                <c:pt idx="61">
                  <c:v>0.30393668014066083</c:v>
                </c:pt>
                <c:pt idx="62">
                  <c:v>0.30240830767825633</c:v>
                </c:pt>
                <c:pt idx="63">
                  <c:v>0.30250492311676497</c:v>
                </c:pt>
                <c:pt idx="64">
                  <c:v>0.298540455425991</c:v>
                </c:pt>
                <c:pt idx="65">
                  <c:v>0.2983628916548825</c:v>
                </c:pt>
                <c:pt idx="66">
                  <c:v>0.29542946525008373</c:v>
                </c:pt>
                <c:pt idx="67">
                  <c:v>0.28886734479352022</c:v>
                </c:pt>
                <c:pt idx="68">
                  <c:v>0.24541447529324251</c:v>
                </c:pt>
                <c:pt idx="69">
                  <c:v>0.2412971308149704</c:v>
                </c:pt>
                <c:pt idx="70">
                  <c:v>0.20084701830552629</c:v>
                </c:pt>
                <c:pt idx="71">
                  <c:v>0.18384178893460301</c:v>
                </c:pt>
                <c:pt idx="72">
                  <c:v>0.14737642694566547</c:v>
                </c:pt>
                <c:pt idx="73">
                  <c:v>0.14546811029903062</c:v>
                </c:pt>
                <c:pt idx="74">
                  <c:v>0.10354905380708032</c:v>
                </c:pt>
                <c:pt idx="75">
                  <c:v>0.10353289651680052</c:v>
                </c:pt>
                <c:pt idx="76">
                  <c:v>0.1035272724175073</c:v>
                </c:pt>
                <c:pt idx="77">
                  <c:v>0.10306337430554087</c:v>
                </c:pt>
                <c:pt idx="78">
                  <c:v>0.10241691094328639</c:v>
                </c:pt>
                <c:pt idx="79">
                  <c:v>0.10240518155311677</c:v>
                </c:pt>
                <c:pt idx="80">
                  <c:v>0.10218724727708636</c:v>
                </c:pt>
                <c:pt idx="81">
                  <c:v>0.101495061236171</c:v>
                </c:pt>
                <c:pt idx="82">
                  <c:v>0.10149126210609521</c:v>
                </c:pt>
                <c:pt idx="83">
                  <c:v>9.8605544639354947E-2</c:v>
                </c:pt>
                <c:pt idx="84">
                  <c:v>9.9150392186914627E-2</c:v>
                </c:pt>
                <c:pt idx="85">
                  <c:v>9.9462956585146187E-2</c:v>
                </c:pt>
                <c:pt idx="86">
                  <c:v>9.7995239377653878E-2</c:v>
                </c:pt>
                <c:pt idx="87">
                  <c:v>0.10060994516728224</c:v>
                </c:pt>
                <c:pt idx="88">
                  <c:v>9.5471324332443083E-2</c:v>
                </c:pt>
                <c:pt idx="89">
                  <c:v>9.3657232755938721E-2</c:v>
                </c:pt>
                <c:pt idx="90">
                  <c:v>9.2558455389146616E-2</c:v>
                </c:pt>
                <c:pt idx="91">
                  <c:v>9.2163112605181993E-2</c:v>
                </c:pt>
                <c:pt idx="92">
                  <c:v>9.2180439936258712E-2</c:v>
                </c:pt>
                <c:pt idx="93">
                  <c:v>9.2437226321924928E-2</c:v>
                </c:pt>
                <c:pt idx="94">
                  <c:v>9.2611495345070183E-2</c:v>
                </c:pt>
                <c:pt idx="95">
                  <c:v>9.2554147972027559E-2</c:v>
                </c:pt>
                <c:pt idx="96">
                  <c:v>9.2179290998680274E-2</c:v>
                </c:pt>
                <c:pt idx="97">
                  <c:v>9.3855971716561862E-2</c:v>
                </c:pt>
                <c:pt idx="98">
                  <c:v>9.6298325612811583E-2</c:v>
                </c:pt>
                <c:pt idx="99">
                  <c:v>9.7998163086472675E-2</c:v>
                </c:pt>
                <c:pt idx="100">
                  <c:v>9.417907570807546E-2</c:v>
                </c:pt>
                <c:pt idx="101">
                  <c:v>9.3612445635217659E-2</c:v>
                </c:pt>
                <c:pt idx="102">
                  <c:v>9.3729987993692393E-2</c:v>
                </c:pt>
                <c:pt idx="103">
                  <c:v>9.8552464926362826E-2</c:v>
                </c:pt>
                <c:pt idx="104">
                  <c:v>9.8851497691638687E-2</c:v>
                </c:pt>
                <c:pt idx="105">
                  <c:v>9.9739144213576311E-2</c:v>
                </c:pt>
                <c:pt idx="106">
                  <c:v>9.9986668036997642E-2</c:v>
                </c:pt>
                <c:pt idx="107">
                  <c:v>9.9095597312779102E-2</c:v>
                </c:pt>
                <c:pt idx="108">
                  <c:v>9.8339795770663041E-2</c:v>
                </c:pt>
                <c:pt idx="109">
                  <c:v>9.8387941929795233E-2</c:v>
                </c:pt>
                <c:pt idx="110">
                  <c:v>9.8343704611411578E-2</c:v>
                </c:pt>
                <c:pt idx="111">
                  <c:v>9.2290539768783778E-2</c:v>
                </c:pt>
                <c:pt idx="112">
                  <c:v>9.4812540775410195E-2</c:v>
                </c:pt>
                <c:pt idx="113">
                  <c:v>9.4936501324729042E-2</c:v>
                </c:pt>
                <c:pt idx="114">
                  <c:v>9.5587907165543287E-2</c:v>
                </c:pt>
                <c:pt idx="115">
                  <c:v>9.6693398614209045E-2</c:v>
                </c:pt>
                <c:pt idx="116">
                  <c:v>9.6697322927972215E-2</c:v>
                </c:pt>
                <c:pt idx="117">
                  <c:v>9.348007327003241E-2</c:v>
                </c:pt>
                <c:pt idx="118">
                  <c:v>9.208982688331907E-2</c:v>
                </c:pt>
                <c:pt idx="119">
                  <c:v>9.1126742585243212E-2</c:v>
                </c:pt>
                <c:pt idx="120">
                  <c:v>9.15619219919621E-2</c:v>
                </c:pt>
                <c:pt idx="121">
                  <c:v>9.1381543212813651E-2</c:v>
                </c:pt>
                <c:pt idx="122">
                  <c:v>9.3409188153429273E-2</c:v>
                </c:pt>
                <c:pt idx="123">
                  <c:v>9.3418929743023363E-2</c:v>
                </c:pt>
                <c:pt idx="124">
                  <c:v>0.10162807632061147</c:v>
                </c:pt>
                <c:pt idx="125">
                  <c:v>0.10087036109012756</c:v>
                </c:pt>
                <c:pt idx="126">
                  <c:v>0.10082906928260017</c:v>
                </c:pt>
                <c:pt idx="127">
                  <c:v>9.9258260547890345E-2</c:v>
                </c:pt>
                <c:pt idx="128">
                  <c:v>9.9339351960604061E-2</c:v>
                </c:pt>
                <c:pt idx="129">
                  <c:v>9.8521671352514301E-2</c:v>
                </c:pt>
                <c:pt idx="130">
                  <c:v>9.8520045489020006E-2</c:v>
                </c:pt>
                <c:pt idx="131">
                  <c:v>9.8575165581798033E-2</c:v>
                </c:pt>
                <c:pt idx="132">
                  <c:v>0.10040442553377418</c:v>
                </c:pt>
                <c:pt idx="133">
                  <c:v>0.1005433261532636</c:v>
                </c:pt>
                <c:pt idx="134">
                  <c:v>0.10046001756971899</c:v>
                </c:pt>
                <c:pt idx="135">
                  <c:v>0.10087562607577578</c:v>
                </c:pt>
                <c:pt idx="136">
                  <c:v>0.10109970319063251</c:v>
                </c:pt>
                <c:pt idx="137">
                  <c:v>0.1008237171780238</c:v>
                </c:pt>
                <c:pt idx="138">
                  <c:v>0.10247210445107985</c:v>
                </c:pt>
                <c:pt idx="139">
                  <c:v>0.10238757701939261</c:v>
                </c:pt>
                <c:pt idx="140">
                  <c:v>0.10234356332967187</c:v>
                </c:pt>
                <c:pt idx="141">
                  <c:v>0.10325259280508041</c:v>
                </c:pt>
                <c:pt idx="142">
                  <c:v>0.10358273755409453</c:v>
                </c:pt>
                <c:pt idx="143">
                  <c:v>0.10284902950624107</c:v>
                </c:pt>
                <c:pt idx="144">
                  <c:v>0.10200174473242977</c:v>
                </c:pt>
                <c:pt idx="145">
                  <c:v>0.10298898423795308</c:v>
                </c:pt>
                <c:pt idx="146">
                  <c:v>0.10307686237982779</c:v>
                </c:pt>
                <c:pt idx="147">
                  <c:v>0.10130641456839334</c:v>
                </c:pt>
                <c:pt idx="148">
                  <c:v>0.10090901000808628</c:v>
                </c:pt>
                <c:pt idx="149">
                  <c:v>0.10112240366237443</c:v>
                </c:pt>
                <c:pt idx="150">
                  <c:v>0.10129476556198767</c:v>
                </c:pt>
                <c:pt idx="151">
                  <c:v>0.10366253692518566</c:v>
                </c:pt>
                <c:pt idx="152">
                  <c:v>0.10366374994863065</c:v>
                </c:pt>
                <c:pt idx="153">
                  <c:v>0.10345825936758023</c:v>
                </c:pt>
                <c:pt idx="154">
                  <c:v>0.10389648780787895</c:v>
                </c:pt>
                <c:pt idx="155">
                  <c:v>0.10455405484906473</c:v>
                </c:pt>
                <c:pt idx="156">
                  <c:v>0.10488469384609857</c:v>
                </c:pt>
                <c:pt idx="157">
                  <c:v>0.10872463488057652</c:v>
                </c:pt>
                <c:pt idx="158">
                  <c:v>0.10617379260443112</c:v>
                </c:pt>
                <c:pt idx="159">
                  <c:v>0.10571018209420179</c:v>
                </c:pt>
                <c:pt idx="160">
                  <c:v>0.11145295058474831</c:v>
                </c:pt>
                <c:pt idx="161">
                  <c:v>0.1113853422285685</c:v>
                </c:pt>
                <c:pt idx="162">
                  <c:v>0.11233303156087078</c:v>
                </c:pt>
                <c:pt idx="163">
                  <c:v>0.1082081438637819</c:v>
                </c:pt>
                <c:pt idx="164">
                  <c:v>0.11075936997504048</c:v>
                </c:pt>
                <c:pt idx="165">
                  <c:v>0.12256476497621584</c:v>
                </c:pt>
                <c:pt idx="166">
                  <c:v>0.12378427165004831</c:v>
                </c:pt>
                <c:pt idx="167">
                  <c:v>0.12448777222860036</c:v>
                </c:pt>
                <c:pt idx="168">
                  <c:v>0.12461915851167554</c:v>
                </c:pt>
                <c:pt idx="169">
                  <c:v>0.12456959167678086</c:v>
                </c:pt>
                <c:pt idx="170">
                  <c:v>0.12793668764505298</c:v>
                </c:pt>
                <c:pt idx="171">
                  <c:v>0.12806208421651888</c:v>
                </c:pt>
                <c:pt idx="172">
                  <c:v>0.12576090354133826</c:v>
                </c:pt>
                <c:pt idx="173">
                  <c:v>0.13349264973211114</c:v>
                </c:pt>
                <c:pt idx="174">
                  <c:v>0.13699707821554527</c:v>
                </c:pt>
                <c:pt idx="175">
                  <c:v>0.13479000383620449</c:v>
                </c:pt>
                <c:pt idx="176">
                  <c:v>0.13589611389858766</c:v>
                </c:pt>
                <c:pt idx="177">
                  <c:v>0.13583040909447511</c:v>
                </c:pt>
                <c:pt idx="178">
                  <c:v>0.14014685664093246</c:v>
                </c:pt>
                <c:pt idx="179">
                  <c:v>0.14718925692913654</c:v>
                </c:pt>
                <c:pt idx="180">
                  <c:v>0.14698960688534451</c:v>
                </c:pt>
                <c:pt idx="181">
                  <c:v>0.14687670940291397</c:v>
                </c:pt>
                <c:pt idx="182">
                  <c:v>0.145434854544082</c:v>
                </c:pt>
                <c:pt idx="183">
                  <c:v>0.14526660993661625</c:v>
                </c:pt>
                <c:pt idx="184">
                  <c:v>0.13938701029571762</c:v>
                </c:pt>
                <c:pt idx="185">
                  <c:v>0.13827092623301382</c:v>
                </c:pt>
                <c:pt idx="186">
                  <c:v>0.14003833880040159</c:v>
                </c:pt>
                <c:pt idx="187">
                  <c:v>0.14028466648706303</c:v>
                </c:pt>
                <c:pt idx="188">
                  <c:v>0.14075359400050957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CB-43DB-8866-0CD084432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548175"/>
        <c:axId val="1200533199"/>
      </c:lineChart>
      <c:dateAx>
        <c:axId val="120054817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533199"/>
        <c:crosses val="autoZero"/>
        <c:auto val="1"/>
        <c:lblOffset val="100"/>
        <c:baseTimeUnit val="days"/>
      </c:dateAx>
      <c:valAx>
        <c:axId val="12005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54817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走势图!$C$6</c:f>
              <c:strCache>
                <c:ptCount val="1"/>
                <c:pt idx="0">
                  <c:v>HV5</c:v>
                </c:pt>
              </c:strCache>
            </c:strRef>
          </c:tx>
          <c:spPr>
            <a:ln w="28575" cap="rnd">
              <a:solidFill>
                <a:srgbClr val="2277A2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作图数据!$L$3:$L$246</c:f>
              <c:numCache>
                <c:formatCode>General</c:formatCode>
                <c:ptCount val="244"/>
                <c:pt idx="0">
                  <c:v>0.12378763737235841</c:v>
                </c:pt>
                <c:pt idx="1">
                  <c:v>0.12988054470381802</c:v>
                </c:pt>
                <c:pt idx="2">
                  <c:v>0.13355386647918452</c:v>
                </c:pt>
                <c:pt idx="3">
                  <c:v>0.19359593355510077</c:v>
                </c:pt>
                <c:pt idx="4">
                  <c:v>0.18959873918460904</c:v>
                </c:pt>
                <c:pt idx="5">
                  <c:v>0.18783270468429222</c:v>
                </c:pt>
                <c:pt idx="6">
                  <c:v>0.18260165603177247</c:v>
                </c:pt>
                <c:pt idx="7">
                  <c:v>0.1713588850282467</c:v>
                </c:pt>
                <c:pt idx="8">
                  <c:v>9.8507274251330712E-2</c:v>
                </c:pt>
                <c:pt idx="9">
                  <c:v>9.7799385051706378E-2</c:v>
                </c:pt>
                <c:pt idx="10">
                  <c:v>0.10978846912671479</c:v>
                </c:pt>
                <c:pt idx="11">
                  <c:v>0.10886132205113898</c:v>
                </c:pt>
                <c:pt idx="12">
                  <c:v>0.11685720996140353</c:v>
                </c:pt>
                <c:pt idx="13">
                  <c:v>0.11434437721248945</c:v>
                </c:pt>
                <c:pt idx="14">
                  <c:v>0.11308922145650956</c:v>
                </c:pt>
                <c:pt idx="15">
                  <c:v>9.720902643566931E-2</c:v>
                </c:pt>
                <c:pt idx="16">
                  <c:v>0.12784520615684256</c:v>
                </c:pt>
                <c:pt idx="17">
                  <c:v>0.13141222624825696</c:v>
                </c:pt>
                <c:pt idx="18">
                  <c:v>0.1337276207821142</c:v>
                </c:pt>
                <c:pt idx="19">
                  <c:v>0.16414666271755893</c:v>
                </c:pt>
                <c:pt idx="20">
                  <c:v>0.17046729824118087</c:v>
                </c:pt>
                <c:pt idx="21">
                  <c:v>0.16642127057051931</c:v>
                </c:pt>
                <c:pt idx="22">
                  <c:v>0.1592850623381494</c:v>
                </c:pt>
                <c:pt idx="23">
                  <c:v>0.15940603803341591</c:v>
                </c:pt>
                <c:pt idx="24">
                  <c:v>0.12434781562743258</c:v>
                </c:pt>
                <c:pt idx="25">
                  <c:v>0.12534817960120712</c:v>
                </c:pt>
                <c:pt idx="26">
                  <c:v>0.12058449611998277</c:v>
                </c:pt>
                <c:pt idx="27">
                  <c:v>0.12803390777666077</c:v>
                </c:pt>
                <c:pt idx="28">
                  <c:v>0.13978341578023024</c:v>
                </c:pt>
                <c:pt idx="29">
                  <c:v>0.14165728821767712</c:v>
                </c:pt>
                <c:pt idx="30">
                  <c:v>0.15671290349548539</c:v>
                </c:pt>
                <c:pt idx="31">
                  <c:v>0.19123048762512712</c:v>
                </c:pt>
                <c:pt idx="32">
                  <c:v>0.18667143879587711</c:v>
                </c:pt>
                <c:pt idx="33">
                  <c:v>0.1795643414637807</c:v>
                </c:pt>
                <c:pt idx="34">
                  <c:v>0.18573224649373246</c:v>
                </c:pt>
                <c:pt idx="35">
                  <c:v>0.187020155786809</c:v>
                </c:pt>
                <c:pt idx="36">
                  <c:v>0.14566184568519511</c:v>
                </c:pt>
                <c:pt idx="37">
                  <c:v>0.15839172668983689</c:v>
                </c:pt>
                <c:pt idx="38">
                  <c:v>0.16409311893333103</c:v>
                </c:pt>
                <c:pt idx="39">
                  <c:v>0.19200435591074522</c:v>
                </c:pt>
                <c:pt idx="40">
                  <c:v>0.18404921201968449</c:v>
                </c:pt>
                <c:pt idx="41">
                  <c:v>0.20868931431847659</c:v>
                </c:pt>
                <c:pt idx="42">
                  <c:v>0.27582854680117169</c:v>
                </c:pt>
                <c:pt idx="43">
                  <c:v>0.28171037599887355</c:v>
                </c:pt>
                <c:pt idx="44">
                  <c:v>0.27560159234359699</c:v>
                </c:pt>
                <c:pt idx="45">
                  <c:v>0.27572857633219444</c:v>
                </c:pt>
                <c:pt idx="46">
                  <c:v>0.25948248411796998</c:v>
                </c:pt>
                <c:pt idx="47">
                  <c:v>0.18403901091879082</c:v>
                </c:pt>
                <c:pt idx="48">
                  <c:v>0.18226892218404139</c:v>
                </c:pt>
                <c:pt idx="49">
                  <c:v>0.16439250802841948</c:v>
                </c:pt>
                <c:pt idx="50">
                  <c:v>0.15643335665194186</c:v>
                </c:pt>
                <c:pt idx="51">
                  <c:v>0.14961310768226044</c:v>
                </c:pt>
                <c:pt idx="52">
                  <c:v>0.14337865232507688</c:v>
                </c:pt>
                <c:pt idx="53">
                  <c:v>0.13921734382188258</c:v>
                </c:pt>
                <c:pt idx="54">
                  <c:v>0.12664707164277511</c:v>
                </c:pt>
                <c:pt idx="55">
                  <c:v>0.1345236494163346</c:v>
                </c:pt>
                <c:pt idx="56">
                  <c:v>0.28761878742233504</c:v>
                </c:pt>
                <c:pt idx="57">
                  <c:v>0.30476588960834461</c:v>
                </c:pt>
                <c:pt idx="58">
                  <c:v>0.3055124192080933</c:v>
                </c:pt>
                <c:pt idx="59">
                  <c:v>0.32248247679278969</c:v>
                </c:pt>
                <c:pt idx="60">
                  <c:v>0.33110966597679864</c:v>
                </c:pt>
                <c:pt idx="61">
                  <c:v>0.2474325465813578</c:v>
                </c:pt>
                <c:pt idx="62">
                  <c:v>0.30337329866186846</c:v>
                </c:pt>
                <c:pt idx="63">
                  <c:v>0.39799218745488052</c:v>
                </c:pt>
                <c:pt idx="64">
                  <c:v>0.55283424107449208</c:v>
                </c:pt>
                <c:pt idx="65">
                  <c:v>0.6357851948695824</c:v>
                </c:pt>
                <c:pt idx="66">
                  <c:v>0.70052694598564313</c:v>
                </c:pt>
                <c:pt idx="67">
                  <c:v>0.70930985266897584</c:v>
                </c:pt>
                <c:pt idx="68">
                  <c:v>0.66183425995960476</c:v>
                </c:pt>
                <c:pt idx="69">
                  <c:v>0.55792989902046297</c:v>
                </c:pt>
                <c:pt idx="70">
                  <c:v>0.45224404510477417</c:v>
                </c:pt>
                <c:pt idx="71">
                  <c:v>0.31890538973025534</c:v>
                </c:pt>
                <c:pt idx="72">
                  <c:v>0.2296731826452113</c:v>
                </c:pt>
                <c:pt idx="73">
                  <c:v>0.21816380876746563</c:v>
                </c:pt>
                <c:pt idx="74">
                  <c:v>0.12311855332698181</c:v>
                </c:pt>
                <c:pt idx="75">
                  <c:v>0.12145358959237477</c:v>
                </c:pt>
                <c:pt idx="76">
                  <c:v>0.11249203688267245</c:v>
                </c:pt>
                <c:pt idx="77">
                  <c:v>8.5137682862211017E-2</c:v>
                </c:pt>
                <c:pt idx="78">
                  <c:v>9.5362319939839943E-2</c:v>
                </c:pt>
                <c:pt idx="79">
                  <c:v>0.10231711757797241</c:v>
                </c:pt>
                <c:pt idx="80">
                  <c:v>9.9059321624955246E-2</c:v>
                </c:pt>
                <c:pt idx="81">
                  <c:v>0.10274085909215511</c:v>
                </c:pt>
                <c:pt idx="82">
                  <c:v>0.10069286665376466</c:v>
                </c:pt>
                <c:pt idx="83">
                  <c:v>9.7501872159534181E-2</c:v>
                </c:pt>
                <c:pt idx="84">
                  <c:v>0.11412808893406104</c:v>
                </c:pt>
                <c:pt idx="85">
                  <c:v>0.11587521224129725</c:v>
                </c:pt>
                <c:pt idx="86">
                  <c:v>0.11676205182028461</c:v>
                </c:pt>
                <c:pt idx="87">
                  <c:v>0.11576449287041239</c:v>
                </c:pt>
                <c:pt idx="88">
                  <c:v>0.10817438159734673</c:v>
                </c:pt>
                <c:pt idx="89">
                  <c:v>8.1532690123884408E-2</c:v>
                </c:pt>
                <c:pt idx="90">
                  <c:v>7.817180789148262E-2</c:v>
                </c:pt>
                <c:pt idx="91">
                  <c:v>7.6289396971385801E-2</c:v>
                </c:pt>
                <c:pt idx="92">
                  <c:v>8.2015522067043073E-2</c:v>
                </c:pt>
                <c:pt idx="93">
                  <c:v>8.3627903536978201E-2</c:v>
                </c:pt>
                <c:pt idx="94">
                  <c:v>8.3699056808535108E-2</c:v>
                </c:pt>
                <c:pt idx="95">
                  <c:v>0.11813868834538284</c:v>
                </c:pt>
                <c:pt idx="96">
                  <c:v>0.11365129718924681</c:v>
                </c:pt>
                <c:pt idx="97">
                  <c:v>0.11059336547292513</c:v>
                </c:pt>
                <c:pt idx="98">
                  <c:v>0.10509998019924667</c:v>
                </c:pt>
                <c:pt idx="99">
                  <c:v>0.10643493088640774</c:v>
                </c:pt>
                <c:pt idx="100">
                  <c:v>8.0309035603483889E-2</c:v>
                </c:pt>
                <c:pt idx="101">
                  <c:v>8.5072167366069679E-2</c:v>
                </c:pt>
                <c:pt idx="102">
                  <c:v>0.1247954445706522</c:v>
                </c:pt>
                <c:pt idx="103">
                  <c:v>0.13918399576392429</c:v>
                </c:pt>
                <c:pt idx="104">
                  <c:v>0.13859526845361564</c:v>
                </c:pt>
                <c:pt idx="105">
                  <c:v>0.13279252654518259</c:v>
                </c:pt>
                <c:pt idx="106">
                  <c:v>0.15064097849824123</c:v>
                </c:pt>
                <c:pt idx="107">
                  <c:v>0.12331455021773535</c:v>
                </c:pt>
                <c:pt idx="108">
                  <c:v>0.10751898109833406</c:v>
                </c:pt>
                <c:pt idx="109">
                  <c:v>0.11010125234616211</c:v>
                </c:pt>
                <c:pt idx="110">
                  <c:v>0.11892863950837911</c:v>
                </c:pt>
                <c:pt idx="111">
                  <c:v>9.7743799749531499E-2</c:v>
                </c:pt>
                <c:pt idx="112">
                  <c:v>0.10814159289186727</c:v>
                </c:pt>
                <c:pt idx="113">
                  <c:v>0.12354754218351495</c:v>
                </c:pt>
                <c:pt idx="114">
                  <c:v>0.13923583255817745</c:v>
                </c:pt>
                <c:pt idx="115">
                  <c:v>0.13502929339552186</c:v>
                </c:pt>
                <c:pt idx="116">
                  <c:v>0.1323808437918518</c:v>
                </c:pt>
                <c:pt idx="117">
                  <c:v>0.12308767583181081</c:v>
                </c:pt>
                <c:pt idx="118">
                  <c:v>0.10929792069733356</c:v>
                </c:pt>
                <c:pt idx="119">
                  <c:v>8.1568657153165608E-2</c:v>
                </c:pt>
                <c:pt idx="120">
                  <c:v>7.9364768311974573E-2</c:v>
                </c:pt>
                <c:pt idx="121">
                  <c:v>7.4552195207013158E-2</c:v>
                </c:pt>
                <c:pt idx="122">
                  <c:v>0.10466619319632188</c:v>
                </c:pt>
                <c:pt idx="123">
                  <c:v>0.1060431314840935</c:v>
                </c:pt>
                <c:pt idx="124">
                  <c:v>0.12928248526428451</c:v>
                </c:pt>
                <c:pt idx="125">
                  <c:v>0.12820523207661891</c:v>
                </c:pt>
                <c:pt idx="126">
                  <c:v>0.12818152522968757</c:v>
                </c:pt>
                <c:pt idx="127">
                  <c:v>0.10462112782716931</c:v>
                </c:pt>
                <c:pt idx="128">
                  <c:v>0.10577196725087443</c:v>
                </c:pt>
                <c:pt idx="129">
                  <c:v>8.3966475145273167E-2</c:v>
                </c:pt>
                <c:pt idx="130">
                  <c:v>8.1309224182320491E-2</c:v>
                </c:pt>
                <c:pt idx="131">
                  <c:v>8.6935231471684096E-2</c:v>
                </c:pt>
                <c:pt idx="132">
                  <c:v>9.2043125645491219E-2</c:v>
                </c:pt>
                <c:pt idx="133">
                  <c:v>0.10261191091702498</c:v>
                </c:pt>
                <c:pt idx="134">
                  <c:v>0.102594633119915</c:v>
                </c:pt>
                <c:pt idx="135">
                  <c:v>0.10249128302013899</c:v>
                </c:pt>
                <c:pt idx="136">
                  <c:v>9.8177915356515169E-2</c:v>
                </c:pt>
                <c:pt idx="137">
                  <c:v>9.0300419957213565E-2</c:v>
                </c:pt>
                <c:pt idx="138">
                  <c:v>6.9897930034703987E-2</c:v>
                </c:pt>
                <c:pt idx="139">
                  <c:v>7.6884326952690221E-2</c:v>
                </c:pt>
                <c:pt idx="140">
                  <c:v>7.9090486135046753E-2</c:v>
                </c:pt>
                <c:pt idx="141">
                  <c:v>7.9075729817508378E-2</c:v>
                </c:pt>
                <c:pt idx="142">
                  <c:v>9.352667141148896E-2</c:v>
                </c:pt>
                <c:pt idx="143">
                  <c:v>0.10711321811439574</c:v>
                </c:pt>
                <c:pt idx="144">
                  <c:v>0.10394749695685115</c:v>
                </c:pt>
                <c:pt idx="145">
                  <c:v>0.10071181670180269</c:v>
                </c:pt>
                <c:pt idx="146">
                  <c:v>0.10708322635597282</c:v>
                </c:pt>
                <c:pt idx="147">
                  <c:v>9.6822854431851221E-2</c:v>
                </c:pt>
                <c:pt idx="148">
                  <c:v>8.9710493534653199E-2</c:v>
                </c:pt>
                <c:pt idx="149">
                  <c:v>9.2539830869917697E-2</c:v>
                </c:pt>
                <c:pt idx="150">
                  <c:v>9.7569501889692212E-2</c:v>
                </c:pt>
                <c:pt idx="151">
                  <c:v>9.2847149427703224E-2</c:v>
                </c:pt>
                <c:pt idx="152">
                  <c:v>9.2719728931810103E-2</c:v>
                </c:pt>
                <c:pt idx="153">
                  <c:v>9.9336380390065204E-2</c:v>
                </c:pt>
                <c:pt idx="154">
                  <c:v>9.3940771630223727E-2</c:v>
                </c:pt>
                <c:pt idx="155">
                  <c:v>8.8568108890560465E-2</c:v>
                </c:pt>
                <c:pt idx="156">
                  <c:v>8.6340304022637912E-2</c:v>
                </c:pt>
                <c:pt idx="157">
                  <c:v>8.7446632039605163E-2</c:v>
                </c:pt>
                <c:pt idx="158">
                  <c:v>9.7195442337674437E-2</c:v>
                </c:pt>
                <c:pt idx="159">
                  <c:v>9.448319136828412E-2</c:v>
                </c:pt>
                <c:pt idx="160">
                  <c:v>0.10172237298676505</c:v>
                </c:pt>
                <c:pt idx="161">
                  <c:v>0.10360102600400685</c:v>
                </c:pt>
                <c:pt idx="162">
                  <c:v>0.10641097786095903</c:v>
                </c:pt>
                <c:pt idx="163">
                  <c:v>9.0631075475454168E-2</c:v>
                </c:pt>
                <c:pt idx="164">
                  <c:v>8.9881652624184183E-2</c:v>
                </c:pt>
                <c:pt idx="165">
                  <c:v>8.1213324018538743E-2</c:v>
                </c:pt>
                <c:pt idx="166">
                  <c:v>7.8378171795063081E-2</c:v>
                </c:pt>
                <c:pt idx="167">
                  <c:v>7.3164310112768818E-2</c:v>
                </c:pt>
                <c:pt idx="168">
                  <c:v>6.982923728799427E-2</c:v>
                </c:pt>
                <c:pt idx="169">
                  <c:v>9.0870210124435247E-2</c:v>
                </c:pt>
                <c:pt idx="170">
                  <c:v>0.10686573127717833</c:v>
                </c:pt>
                <c:pt idx="171">
                  <c:v>0.11406644126218882</c:v>
                </c:pt>
                <c:pt idx="172">
                  <c:v>0.11496910974478808</c:v>
                </c:pt>
                <c:pt idx="173">
                  <c:v>0.11325982054670566</c:v>
                </c:pt>
                <c:pt idx="174">
                  <c:v>0.10351438127317858</c:v>
                </c:pt>
                <c:pt idx="175">
                  <c:v>9.2430057970421212E-2</c:v>
                </c:pt>
                <c:pt idx="176">
                  <c:v>0.10485548776764897</c:v>
                </c:pt>
                <c:pt idx="177">
                  <c:v>0.12352034648471998</c:v>
                </c:pt>
                <c:pt idx="178">
                  <c:v>0.13349472837599297</c:v>
                </c:pt>
                <c:pt idx="179">
                  <c:v>0.15572923191811708</c:v>
                </c:pt>
                <c:pt idx="180">
                  <c:v>0.16127775630192914</c:v>
                </c:pt>
                <c:pt idx="181">
                  <c:v>0.15266522498113888</c:v>
                </c:pt>
                <c:pt idx="182">
                  <c:v>0.13906795158697866</c:v>
                </c:pt>
                <c:pt idx="183">
                  <c:v>0.13081412132688308</c:v>
                </c:pt>
                <c:pt idx="184">
                  <c:v>9.9563919149869659E-2</c:v>
                </c:pt>
                <c:pt idx="185">
                  <c:v>8.6371315752183056E-2</c:v>
                </c:pt>
                <c:pt idx="186">
                  <c:v>8.0733735748797997E-2</c:v>
                </c:pt>
                <c:pt idx="187">
                  <c:v>8.6054613993207449E-2</c:v>
                </c:pt>
                <c:pt idx="188">
                  <c:v>8.5378398714218984E-2</c:v>
                </c:pt>
                <c:pt idx="189">
                  <c:v>9.9850314674126903E-2</c:v>
                </c:pt>
                <c:pt idx="190">
                  <c:v>0.1040870566563014</c:v>
                </c:pt>
                <c:pt idx="191">
                  <c:v>0.10370102919119965</c:v>
                </c:pt>
                <c:pt idx="192">
                  <c:v>0.10000644450342451</c:v>
                </c:pt>
                <c:pt idx="193">
                  <c:v>0.11402503776956241</c:v>
                </c:pt>
                <c:pt idx="194">
                  <c:v>9.7081048480180912E-2</c:v>
                </c:pt>
                <c:pt idx="195">
                  <c:v>9.7744183839821905E-2</c:v>
                </c:pt>
                <c:pt idx="196">
                  <c:v>0.10402774638959358</c:v>
                </c:pt>
                <c:pt idx="197">
                  <c:v>0.10124436032681544</c:v>
                </c:pt>
                <c:pt idx="198">
                  <c:v>8.8723442283833859E-2</c:v>
                </c:pt>
                <c:pt idx="199">
                  <c:v>9.9549989007711129E-2</c:v>
                </c:pt>
                <c:pt idx="200">
                  <c:v>0.102556967733598</c:v>
                </c:pt>
                <c:pt idx="201">
                  <c:v>9.8897261712525233E-2</c:v>
                </c:pt>
                <c:pt idx="202">
                  <c:v>0.10460696606271565</c:v>
                </c:pt>
                <c:pt idx="203">
                  <c:v>0.10598521691174279</c:v>
                </c:pt>
                <c:pt idx="204">
                  <c:v>0.1042595993668755</c:v>
                </c:pt>
                <c:pt idx="205">
                  <c:v>9.6762050140988251E-2</c:v>
                </c:pt>
                <c:pt idx="206">
                  <c:v>0.12119442616958766</c:v>
                </c:pt>
                <c:pt idx="207">
                  <c:v>0.11585586369210837</c:v>
                </c:pt>
                <c:pt idx="208">
                  <c:v>0.11529065189239979</c:v>
                </c:pt>
                <c:pt idx="209">
                  <c:v>0.11639020788541897</c:v>
                </c:pt>
                <c:pt idx="210">
                  <c:v>0.1251296699775859</c:v>
                </c:pt>
                <c:pt idx="211">
                  <c:v>0.10262246759884887</c:v>
                </c:pt>
                <c:pt idx="212">
                  <c:v>0.1228204465163077</c:v>
                </c:pt>
                <c:pt idx="213">
                  <c:v>0.12207407704700235</c:v>
                </c:pt>
                <c:pt idx="214">
                  <c:v>0.1218735117772957</c:v>
                </c:pt>
                <c:pt idx="215">
                  <c:v>0.18132485099097928</c:v>
                </c:pt>
                <c:pt idx="216">
                  <c:v>0.18000841781684634</c:v>
                </c:pt>
                <c:pt idx="217">
                  <c:v>0.16782025084121621</c:v>
                </c:pt>
                <c:pt idx="218">
                  <c:v>0.1706437992684289</c:v>
                </c:pt>
                <c:pt idx="219">
                  <c:v>0.17935373290516934</c:v>
                </c:pt>
                <c:pt idx="220">
                  <c:v>0.17925964548403187</c:v>
                </c:pt>
                <c:pt idx="221">
                  <c:v>0.21766067364816591</c:v>
                </c:pt>
                <c:pt idx="222">
                  <c:v>0.26752695990568903</c:v>
                </c:pt>
                <c:pt idx="223">
                  <c:v>0.26907594602910029</c:v>
                </c:pt>
                <c:pt idx="224">
                  <c:v>0.26494167533014051</c:v>
                </c:pt>
                <c:pt idx="225">
                  <c:v>0.23010883606115537</c:v>
                </c:pt>
                <c:pt idx="226">
                  <c:v>0.19605819838125391</c:v>
                </c:pt>
                <c:pt idx="227">
                  <c:v>0.12285158470448505</c:v>
                </c:pt>
                <c:pt idx="228">
                  <c:v>0.1544081720256803</c:v>
                </c:pt>
                <c:pt idx="229">
                  <c:v>0.17583376338011886</c:v>
                </c:pt>
                <c:pt idx="230">
                  <c:v>0.17928693130452963</c:v>
                </c:pt>
                <c:pt idx="231">
                  <c:v>0.20086875872443144</c:v>
                </c:pt>
                <c:pt idx="232">
                  <c:v>0.20665919155742543</c:v>
                </c:pt>
                <c:pt idx="233">
                  <c:v>0.2329307892153874</c:v>
                </c:pt>
                <c:pt idx="234">
                  <c:v>0.2248565451886432</c:v>
                </c:pt>
                <c:pt idx="235">
                  <c:v>0.21960921233422195</c:v>
                </c:pt>
                <c:pt idx="236">
                  <c:v>0.2046845884665621</c:v>
                </c:pt>
                <c:pt idx="237">
                  <c:v>0.19748332888539086</c:v>
                </c:pt>
                <c:pt idx="238">
                  <c:v>0.13250611076547217</c:v>
                </c:pt>
                <c:pt idx="239">
                  <c:v>0.11399963561710307</c:v>
                </c:pt>
                <c:pt idx="240">
                  <c:v>0.10627321275622961</c:v>
                </c:pt>
                <c:pt idx="241">
                  <c:v>0.10818177639983005</c:v>
                </c:pt>
                <c:pt idx="242">
                  <c:v>0.12544037716562154</c:v>
                </c:pt>
                <c:pt idx="243">
                  <c:v>0.13396070017574033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F1-4CDC-8879-AA45C2596E2C}"/>
            </c:ext>
          </c:extLst>
        </c:ser>
        <c:ser>
          <c:idx val="1"/>
          <c:order val="1"/>
          <c:tx>
            <c:strRef>
              <c:f>走势图!$D$6</c:f>
              <c:strCache>
                <c:ptCount val="1"/>
                <c:pt idx="0">
                  <c:v>HV10</c:v>
                </c:pt>
              </c:strCache>
            </c:strRef>
          </c:tx>
          <c:spPr>
            <a:ln w="28575" cap="rnd">
              <a:solidFill>
                <a:srgbClr val="F68717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作图数据!$M$3:$M$246</c:f>
              <c:numCache>
                <c:formatCode>General</c:formatCode>
                <c:ptCount val="244"/>
                <c:pt idx="0">
                  <c:v>0.15906681633082217</c:v>
                </c:pt>
                <c:pt idx="1">
                  <c:v>0.15844923584243978</c:v>
                </c:pt>
                <c:pt idx="2">
                  <c:v>0.15362373307803667</c:v>
                </c:pt>
                <c:pt idx="3">
                  <c:v>0.15359535892971812</c:v>
                </c:pt>
                <c:pt idx="4">
                  <c:v>0.15085158536933799</c:v>
                </c:pt>
                <c:pt idx="5">
                  <c:v>0.15384185532910757</c:v>
                </c:pt>
                <c:pt idx="6">
                  <c:v>0.15032323876278667</c:v>
                </c:pt>
                <c:pt idx="7">
                  <c:v>0.14666198382349704</c:v>
                </c:pt>
                <c:pt idx="8">
                  <c:v>0.10672000674788902</c:v>
                </c:pt>
                <c:pt idx="9">
                  <c:v>0.10572107577520054</c:v>
                </c:pt>
                <c:pt idx="10">
                  <c:v>0.10368968794860525</c:v>
                </c:pt>
                <c:pt idx="11">
                  <c:v>0.11873328129889987</c:v>
                </c:pt>
                <c:pt idx="12">
                  <c:v>0.12434786031027359</c:v>
                </c:pt>
                <c:pt idx="13">
                  <c:v>0.12441405298469506</c:v>
                </c:pt>
                <c:pt idx="14">
                  <c:v>0.14094910232234809</c:v>
                </c:pt>
                <c:pt idx="15">
                  <c:v>0.13876003493480818</c:v>
                </c:pt>
                <c:pt idx="16">
                  <c:v>0.14839210901458266</c:v>
                </c:pt>
                <c:pt idx="17">
                  <c:v>0.14601524627858423</c:v>
                </c:pt>
                <c:pt idx="18">
                  <c:v>0.14712811002924589</c:v>
                </c:pt>
                <c:pt idx="19">
                  <c:v>0.14561336843268546</c:v>
                </c:pt>
                <c:pt idx="20">
                  <c:v>0.14961829082532688</c:v>
                </c:pt>
                <c:pt idx="21">
                  <c:v>0.14532147123329045</c:v>
                </c:pt>
                <c:pt idx="22">
                  <c:v>0.14450676908821714</c:v>
                </c:pt>
                <c:pt idx="23">
                  <c:v>0.14991612369705196</c:v>
                </c:pt>
                <c:pt idx="24">
                  <c:v>0.13328384477591423</c:v>
                </c:pt>
                <c:pt idx="25">
                  <c:v>0.14189978902613246</c:v>
                </c:pt>
                <c:pt idx="26">
                  <c:v>0.15985887542118835</c:v>
                </c:pt>
                <c:pt idx="27">
                  <c:v>0.16006078158419282</c:v>
                </c:pt>
                <c:pt idx="28">
                  <c:v>0.16090797999557069</c:v>
                </c:pt>
                <c:pt idx="29">
                  <c:v>0.16517150888212323</c:v>
                </c:pt>
                <c:pt idx="30">
                  <c:v>0.17253329068980805</c:v>
                </c:pt>
                <c:pt idx="31">
                  <c:v>0.1699801057267607</c:v>
                </c:pt>
                <c:pt idx="32">
                  <c:v>0.17311003024942098</c:v>
                </c:pt>
                <c:pt idx="33">
                  <c:v>0.17200276801056075</c:v>
                </c:pt>
                <c:pt idx="34">
                  <c:v>0.18889433564338123</c:v>
                </c:pt>
                <c:pt idx="35">
                  <c:v>0.18554063047697814</c:v>
                </c:pt>
                <c:pt idx="36">
                  <c:v>0.17995638804879019</c:v>
                </c:pt>
                <c:pt idx="37">
                  <c:v>0.22491034470899082</c:v>
                </c:pt>
                <c:pt idx="38">
                  <c:v>0.2305290519942064</c:v>
                </c:pt>
                <c:pt idx="39">
                  <c:v>0.23750990546819975</c:v>
                </c:pt>
                <c:pt idx="40">
                  <c:v>0.2344145475981019</c:v>
                </c:pt>
                <c:pt idx="41">
                  <c:v>0.23545953949112836</c:v>
                </c:pt>
                <c:pt idx="42">
                  <c:v>0.23446934210085224</c:v>
                </c:pt>
                <c:pt idx="43">
                  <c:v>0.2372579776736273</c:v>
                </c:pt>
                <c:pt idx="44">
                  <c:v>0.22691533046292864</c:v>
                </c:pt>
                <c:pt idx="45">
                  <c:v>0.22416248892217944</c:v>
                </c:pt>
                <c:pt idx="46">
                  <c:v>0.21179617743762069</c:v>
                </c:pt>
                <c:pt idx="47">
                  <c:v>0.16496635336110521</c:v>
                </c:pt>
                <c:pt idx="48">
                  <c:v>0.16217803306081929</c:v>
                </c:pt>
                <c:pt idx="49">
                  <c:v>0.14673850457798079</c:v>
                </c:pt>
                <c:pt idx="50">
                  <c:v>0.14589038235209775</c:v>
                </c:pt>
                <c:pt idx="51">
                  <c:v>0.22924729973179403</c:v>
                </c:pt>
                <c:pt idx="52">
                  <c:v>0.238159280116607</c:v>
                </c:pt>
                <c:pt idx="53">
                  <c:v>0.23740188195463197</c:v>
                </c:pt>
                <c:pt idx="54">
                  <c:v>0.24498411029503764</c:v>
                </c:pt>
                <c:pt idx="55">
                  <c:v>0.25271547554073143</c:v>
                </c:pt>
                <c:pt idx="56">
                  <c:v>0.26827917547401081</c:v>
                </c:pt>
                <c:pt idx="57">
                  <c:v>0.30407039136501679</c:v>
                </c:pt>
                <c:pt idx="58">
                  <c:v>0.35477853624867339</c:v>
                </c:pt>
                <c:pt idx="59">
                  <c:v>0.45255974519549447</c:v>
                </c:pt>
                <c:pt idx="60">
                  <c:v>0.5068808661404669</c:v>
                </c:pt>
                <c:pt idx="61">
                  <c:v>0.52533839911037727</c:v>
                </c:pt>
                <c:pt idx="62">
                  <c:v>0.54550702352685965</c:v>
                </c:pt>
                <c:pt idx="63">
                  <c:v>0.54608715830506327</c:v>
                </c:pt>
                <c:pt idx="64">
                  <c:v>0.55538791413092248</c:v>
                </c:pt>
                <c:pt idx="65">
                  <c:v>0.55170077503483794</c:v>
                </c:pt>
                <c:pt idx="66">
                  <c:v>0.54426034654886357</c:v>
                </c:pt>
                <c:pt idx="67">
                  <c:v>0.52719552251497026</c:v>
                </c:pt>
                <c:pt idx="68">
                  <c:v>0.49275756468683718</c:v>
                </c:pt>
                <c:pt idx="69">
                  <c:v>0.4040073949783054</c:v>
                </c:pt>
                <c:pt idx="70">
                  <c:v>0.33111603008432106</c:v>
                </c:pt>
                <c:pt idx="71">
                  <c:v>0.23911828240540142</c:v>
                </c:pt>
                <c:pt idx="72">
                  <c:v>0.17320247669927677</c:v>
                </c:pt>
                <c:pt idx="73">
                  <c:v>0.16835887193764948</c:v>
                </c:pt>
                <c:pt idx="74">
                  <c:v>0.11319666674154655</c:v>
                </c:pt>
                <c:pt idx="75">
                  <c:v>0.11082356163214872</c:v>
                </c:pt>
                <c:pt idx="76">
                  <c:v>0.10772683623175473</c:v>
                </c:pt>
                <c:pt idx="77">
                  <c:v>9.3240223182109699E-2</c:v>
                </c:pt>
                <c:pt idx="78">
                  <c:v>9.6438029684669885E-2</c:v>
                </c:pt>
                <c:pt idx="79">
                  <c:v>0.10838360861589169</c:v>
                </c:pt>
                <c:pt idx="80">
                  <c:v>0.10779567248447873</c:v>
                </c:pt>
                <c:pt idx="81">
                  <c:v>0.10997513553589489</c:v>
                </c:pt>
                <c:pt idx="82">
                  <c:v>0.10849071666390768</c:v>
                </c:pt>
                <c:pt idx="83">
                  <c:v>0.10297648253019359</c:v>
                </c:pt>
                <c:pt idx="84">
                  <c:v>9.9178627341222819E-2</c:v>
                </c:pt>
                <c:pt idx="85">
                  <c:v>9.8837989561171638E-2</c:v>
                </c:pt>
                <c:pt idx="86">
                  <c:v>9.8624157374196414E-2</c:v>
                </c:pt>
                <c:pt idx="87">
                  <c:v>0.10031939909477476</c:v>
                </c:pt>
                <c:pt idx="88">
                  <c:v>9.6683305394360902E-2</c:v>
                </c:pt>
                <c:pt idx="89">
                  <c:v>8.2622974012909231E-2</c:v>
                </c:pt>
                <c:pt idx="90">
                  <c:v>0.10016881059738696</c:v>
                </c:pt>
                <c:pt idx="91">
                  <c:v>9.6790209843393218E-2</c:v>
                </c:pt>
                <c:pt idx="92">
                  <c:v>9.7358713905221703E-2</c:v>
                </c:pt>
                <c:pt idx="93">
                  <c:v>9.4972712101614148E-2</c:v>
                </c:pt>
                <c:pt idx="94">
                  <c:v>9.5744259941347859E-2</c:v>
                </c:pt>
                <c:pt idx="95">
                  <c:v>0.10101062044044957</c:v>
                </c:pt>
                <c:pt idx="96">
                  <c:v>0.10038399029018291</c:v>
                </c:pt>
                <c:pt idx="97">
                  <c:v>0.11790842945314535</c:v>
                </c:pt>
                <c:pt idx="98">
                  <c:v>0.12332516068242955</c:v>
                </c:pt>
                <c:pt idx="99">
                  <c:v>0.12356585885778519</c:v>
                </c:pt>
                <c:pt idx="100">
                  <c:v>0.10973467160796233</c:v>
                </c:pt>
                <c:pt idx="101">
                  <c:v>0.12233147195891203</c:v>
                </c:pt>
                <c:pt idx="102">
                  <c:v>0.12405720712838311</c:v>
                </c:pt>
                <c:pt idx="103">
                  <c:v>0.12436341096406936</c:v>
                </c:pt>
                <c:pt idx="104">
                  <c:v>0.12516176374181345</c:v>
                </c:pt>
                <c:pt idx="105">
                  <c:v>0.12605133161051296</c:v>
                </c:pt>
                <c:pt idx="106">
                  <c:v>0.12697746806497617</c:v>
                </c:pt>
                <c:pt idx="107">
                  <c:v>0.11597646832136409</c:v>
                </c:pt>
                <c:pt idx="108">
                  <c:v>0.11581089429758179</c:v>
                </c:pt>
                <c:pt idx="109">
                  <c:v>0.12551673760172802</c:v>
                </c:pt>
                <c:pt idx="110">
                  <c:v>0.12723390147717689</c:v>
                </c:pt>
                <c:pt idx="111">
                  <c:v>0.11635836496040838</c:v>
                </c:pt>
                <c:pt idx="112">
                  <c:v>0.11585590199654765</c:v>
                </c:pt>
                <c:pt idx="113">
                  <c:v>0.11664053893983006</c:v>
                </c:pt>
                <c:pt idx="114">
                  <c:v>0.11410535241157511</c:v>
                </c:pt>
                <c:pt idx="115">
                  <c:v>0.11075124496841407</c:v>
                </c:pt>
                <c:pt idx="116">
                  <c:v>0.10743071630876168</c:v>
                </c:pt>
                <c:pt idx="117">
                  <c:v>0.1142488248077124</c:v>
                </c:pt>
                <c:pt idx="118">
                  <c:v>0.1076828240800578</c:v>
                </c:pt>
                <c:pt idx="119">
                  <c:v>0.10809118101371781</c:v>
                </c:pt>
                <c:pt idx="120">
                  <c:v>0.10661929464462125</c:v>
                </c:pt>
                <c:pt idx="121">
                  <c:v>0.10485354839106217</c:v>
                </c:pt>
                <c:pt idx="122">
                  <c:v>0.10464366293770179</c:v>
                </c:pt>
                <c:pt idx="123">
                  <c:v>0.10590763615309522</c:v>
                </c:pt>
                <c:pt idx="124">
                  <c:v>0.10900534377825641</c:v>
                </c:pt>
                <c:pt idx="125">
                  <c:v>0.10734936299054264</c:v>
                </c:pt>
                <c:pt idx="126">
                  <c:v>0.10951766497064373</c:v>
                </c:pt>
                <c:pt idx="127">
                  <c:v>9.8533033461932415E-2</c:v>
                </c:pt>
                <c:pt idx="128">
                  <c:v>0.10420391863592157</c:v>
                </c:pt>
                <c:pt idx="129">
                  <c:v>9.3744407015383405E-2</c:v>
                </c:pt>
                <c:pt idx="130">
                  <c:v>9.2508521316268702E-2</c:v>
                </c:pt>
                <c:pt idx="131">
                  <c:v>9.2727119913179543E-2</c:v>
                </c:pt>
                <c:pt idx="132">
                  <c:v>9.1175936581536735E-2</c:v>
                </c:pt>
                <c:pt idx="133">
                  <c:v>8.779215478953642E-2</c:v>
                </c:pt>
                <c:pt idx="134">
                  <c:v>9.0655552714596938E-2</c:v>
                </c:pt>
                <c:pt idx="135">
                  <c:v>9.1541706593749522E-2</c:v>
                </c:pt>
                <c:pt idx="136">
                  <c:v>8.9139985724484616E-2</c:v>
                </c:pt>
                <c:pt idx="137">
                  <c:v>9.1927700150068362E-2</c:v>
                </c:pt>
                <c:pt idx="138">
                  <c:v>9.0440483518053144E-2</c:v>
                </c:pt>
                <c:pt idx="139">
                  <c:v>9.142286873250792E-2</c:v>
                </c:pt>
                <c:pt idx="140">
                  <c:v>9.0548812859295752E-2</c:v>
                </c:pt>
                <c:pt idx="141">
                  <c:v>9.4127011035557942E-2</c:v>
                </c:pt>
                <c:pt idx="142">
                  <c:v>9.5189031420757908E-2</c:v>
                </c:pt>
                <c:pt idx="143">
                  <c:v>9.8795784690069541E-2</c:v>
                </c:pt>
                <c:pt idx="144">
                  <c:v>9.8409101258540993E-2</c:v>
                </c:pt>
                <c:pt idx="145">
                  <c:v>9.9153108177152352E-2</c:v>
                </c:pt>
                <c:pt idx="146">
                  <c:v>0.10021828806074956</c:v>
                </c:pt>
                <c:pt idx="147">
                  <c:v>9.4793494696418373E-2</c:v>
                </c:pt>
                <c:pt idx="148">
                  <c:v>9.4645890347206274E-2</c:v>
                </c:pt>
                <c:pt idx="149">
                  <c:v>9.3242932364643108E-2</c:v>
                </c:pt>
                <c:pt idx="150">
                  <c:v>9.3177566000225684E-2</c:v>
                </c:pt>
                <c:pt idx="151">
                  <c:v>8.9652778137578645E-2</c:v>
                </c:pt>
                <c:pt idx="152">
                  <c:v>9.0121755387526828E-2</c:v>
                </c:pt>
                <c:pt idx="153">
                  <c:v>9.8271741818836023E-2</c:v>
                </c:pt>
                <c:pt idx="154">
                  <c:v>9.4212371867015546E-2</c:v>
                </c:pt>
                <c:pt idx="155">
                  <c:v>9.5372299643315533E-2</c:v>
                </c:pt>
                <c:pt idx="156">
                  <c:v>9.5361996329262233E-2</c:v>
                </c:pt>
                <c:pt idx="157">
                  <c:v>9.7391502874726241E-2</c:v>
                </c:pt>
                <c:pt idx="158">
                  <c:v>9.3970596074127541E-2</c:v>
                </c:pt>
                <c:pt idx="159">
                  <c:v>9.2211129831464261E-2</c:v>
                </c:pt>
                <c:pt idx="160">
                  <c:v>9.2040874518332094E-2</c:v>
                </c:pt>
                <c:pt idx="161">
                  <c:v>9.1859431750417789E-2</c:v>
                </c:pt>
                <c:pt idx="162">
                  <c:v>9.1313505254159752E-2</c:v>
                </c:pt>
                <c:pt idx="163">
                  <c:v>8.0901527247822957E-2</c:v>
                </c:pt>
                <c:pt idx="164">
                  <c:v>9.0377283004396444E-2</c:v>
                </c:pt>
                <c:pt idx="165">
                  <c:v>9.4910190494873231E-2</c:v>
                </c:pt>
                <c:pt idx="166">
                  <c:v>9.7862890914168249E-2</c:v>
                </c:pt>
                <c:pt idx="167">
                  <c:v>9.6361072196677361E-2</c:v>
                </c:pt>
                <c:pt idx="168">
                  <c:v>9.4084826966134613E-2</c:v>
                </c:pt>
                <c:pt idx="169">
                  <c:v>9.7397695605255463E-2</c:v>
                </c:pt>
                <c:pt idx="170">
                  <c:v>9.9908958902146294E-2</c:v>
                </c:pt>
                <c:pt idx="171">
                  <c:v>0.10955780742879977</c:v>
                </c:pt>
                <c:pt idx="172">
                  <c:v>0.119321356410356</c:v>
                </c:pt>
                <c:pt idx="173">
                  <c:v>0.12379141620979239</c:v>
                </c:pt>
                <c:pt idx="174">
                  <c:v>0.13222484789965858</c:v>
                </c:pt>
                <c:pt idx="175">
                  <c:v>0.13144167964196113</c:v>
                </c:pt>
                <c:pt idx="176">
                  <c:v>0.13096057466568581</c:v>
                </c:pt>
                <c:pt idx="177">
                  <c:v>0.13152408744086291</c:v>
                </c:pt>
                <c:pt idx="178">
                  <c:v>0.13216122132211214</c:v>
                </c:pt>
                <c:pt idx="179">
                  <c:v>0.1306992113026863</c:v>
                </c:pt>
                <c:pt idx="180">
                  <c:v>0.12936483073569061</c:v>
                </c:pt>
                <c:pt idx="181">
                  <c:v>0.12211594287090138</c:v>
                </c:pt>
                <c:pt idx="182">
                  <c:v>0.11564015684034282</c:v>
                </c:pt>
                <c:pt idx="183">
                  <c:v>0.1104576962133663</c:v>
                </c:pt>
                <c:pt idx="184">
                  <c:v>9.9707219741109895E-2</c:v>
                </c:pt>
                <c:pt idx="185">
                  <c:v>9.5640262306560517E-2</c:v>
                </c:pt>
                <c:pt idx="186">
                  <c:v>9.2929649583087276E-2</c:v>
                </c:pt>
                <c:pt idx="187">
                  <c:v>9.3291707915914096E-2</c:v>
                </c:pt>
                <c:pt idx="188">
                  <c:v>0.10072532006738495</c:v>
                </c:pt>
                <c:pt idx="189">
                  <c:v>9.8475416512278341E-2</c:v>
                </c:pt>
                <c:pt idx="190">
                  <c:v>0.10096544170627146</c:v>
                </c:pt>
                <c:pt idx="191">
                  <c:v>0.10386451625606226</c:v>
                </c:pt>
                <c:pt idx="192">
                  <c:v>0.1006273060361912</c:v>
                </c:pt>
                <c:pt idx="193">
                  <c:v>0.10216055610910439</c:v>
                </c:pt>
                <c:pt idx="194">
                  <c:v>9.832326857221195E-2</c:v>
                </c:pt>
                <c:pt idx="195">
                  <c:v>0.1001794816946643</c:v>
                </c:pt>
                <c:pt idx="196">
                  <c:v>0.1014949269499055</c:v>
                </c:pt>
                <c:pt idx="197">
                  <c:v>0.10293939441931885</c:v>
                </c:pt>
                <c:pt idx="198">
                  <c:v>9.7736163763782871E-2</c:v>
                </c:pt>
                <c:pt idx="199">
                  <c:v>0.10193199785047086</c:v>
                </c:pt>
                <c:pt idx="200">
                  <c:v>9.9701619791750073E-2</c:v>
                </c:pt>
                <c:pt idx="201">
                  <c:v>0.1106091255476042</c:v>
                </c:pt>
                <c:pt idx="202">
                  <c:v>0.11037481257218636</c:v>
                </c:pt>
                <c:pt idx="203">
                  <c:v>0.11073572282150794</c:v>
                </c:pt>
                <c:pt idx="204">
                  <c:v>0.11049150318407389</c:v>
                </c:pt>
                <c:pt idx="205">
                  <c:v>0.11184884589522301</c:v>
                </c:pt>
                <c:pt idx="206">
                  <c:v>0.11229305363790856</c:v>
                </c:pt>
                <c:pt idx="207">
                  <c:v>0.1193889509843972</c:v>
                </c:pt>
                <c:pt idx="208">
                  <c:v>0.11873081887330679</c:v>
                </c:pt>
                <c:pt idx="209">
                  <c:v>0.11916340328419139</c:v>
                </c:pt>
                <c:pt idx="210">
                  <c:v>0.15578211690627458</c:v>
                </c:pt>
                <c:pt idx="211">
                  <c:v>0.14651689551208952</c:v>
                </c:pt>
                <c:pt idx="212">
                  <c:v>0.14705185934709214</c:v>
                </c:pt>
                <c:pt idx="213">
                  <c:v>0.14836001232751589</c:v>
                </c:pt>
                <c:pt idx="214">
                  <c:v>0.15333120096697453</c:v>
                </c:pt>
                <c:pt idx="215">
                  <c:v>0.18029520526897216</c:v>
                </c:pt>
                <c:pt idx="216">
                  <c:v>0.19972380846796622</c:v>
                </c:pt>
                <c:pt idx="217">
                  <c:v>0.22330955070125066</c:v>
                </c:pt>
                <c:pt idx="218">
                  <c:v>0.22530109959809247</c:v>
                </c:pt>
                <c:pt idx="219">
                  <c:v>0.22623201899130063</c:v>
                </c:pt>
                <c:pt idx="220">
                  <c:v>0.20625723857901385</c:v>
                </c:pt>
                <c:pt idx="221">
                  <c:v>0.20714123926137515</c:v>
                </c:pt>
                <c:pt idx="222">
                  <c:v>0.2081624199282659</c:v>
                </c:pt>
                <c:pt idx="223">
                  <c:v>0.21936698511828004</c:v>
                </c:pt>
                <c:pt idx="224">
                  <c:v>0.22484617371789675</c:v>
                </c:pt>
                <c:pt idx="225">
                  <c:v>0.20626909629173104</c:v>
                </c:pt>
                <c:pt idx="226">
                  <c:v>0.19847805342656524</c:v>
                </c:pt>
                <c:pt idx="227">
                  <c:v>0.17000078429167897</c:v>
                </c:pt>
                <c:pt idx="228">
                  <c:v>0.19760900302467915</c:v>
                </c:pt>
                <c:pt idx="229">
                  <c:v>0.20183901785654326</c:v>
                </c:pt>
                <c:pt idx="230">
                  <c:v>0.20046447301037223</c:v>
                </c:pt>
                <c:pt idx="231">
                  <c:v>0.20278564913131761</c:v>
                </c:pt>
                <c:pt idx="232">
                  <c:v>0.20212333690450504</c:v>
                </c:pt>
                <c:pt idx="233">
                  <c:v>0.18949224516414231</c:v>
                </c:pt>
                <c:pt idx="234">
                  <c:v>0.17826438628481661</c:v>
                </c:pt>
                <c:pt idx="235">
                  <c:v>0.1725140601394394</c:v>
                </c:pt>
                <c:pt idx="236">
                  <c:v>0.16370564666612561</c:v>
                </c:pt>
                <c:pt idx="237">
                  <c:v>0.16543118419921443</c:v>
                </c:pt>
                <c:pt idx="238">
                  <c:v>0.13323539053450881</c:v>
                </c:pt>
                <c:pt idx="239">
                  <c:v>0.12103030268701273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F1-4CDC-8879-AA45C2596E2C}"/>
            </c:ext>
          </c:extLst>
        </c:ser>
        <c:ser>
          <c:idx val="2"/>
          <c:order val="2"/>
          <c:tx>
            <c:strRef>
              <c:f>走势图!$E$6</c:f>
              <c:strCache>
                <c:ptCount val="1"/>
                <c:pt idx="0">
                  <c:v>HV20</c:v>
                </c:pt>
              </c:strCache>
            </c:strRef>
          </c:tx>
          <c:spPr>
            <a:ln w="28575" cap="rnd">
              <a:solidFill>
                <a:srgbClr val="5FBEBF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作图数据!$N$3:$N$246</c:f>
              <c:numCache>
                <c:formatCode>General</c:formatCode>
                <c:ptCount val="244"/>
                <c:pt idx="0">
                  <c:v>0.13426429801794415</c:v>
                </c:pt>
                <c:pt idx="1">
                  <c:v>0.14000670060225115</c:v>
                </c:pt>
                <c:pt idx="2">
                  <c:v>0.13975450212528964</c:v>
                </c:pt>
                <c:pt idx="3">
                  <c:v>0.13976836348907332</c:v>
                </c:pt>
                <c:pt idx="4">
                  <c:v>0.14598433178584341</c:v>
                </c:pt>
                <c:pt idx="5">
                  <c:v>0.14649515989651543</c:v>
                </c:pt>
                <c:pt idx="6">
                  <c:v>0.14936079493951812</c:v>
                </c:pt>
                <c:pt idx="7">
                  <c:v>0.14633897232938212</c:v>
                </c:pt>
                <c:pt idx="8">
                  <c:v>0.12852206153234427</c:v>
                </c:pt>
                <c:pt idx="9">
                  <c:v>0.12724032169359425</c:v>
                </c:pt>
                <c:pt idx="10">
                  <c:v>0.12871904353352542</c:v>
                </c:pt>
                <c:pt idx="11">
                  <c:v>0.13269499253817332</c:v>
                </c:pt>
                <c:pt idx="12">
                  <c:v>0.13480466734512314</c:v>
                </c:pt>
                <c:pt idx="13">
                  <c:v>0.13775648936516255</c:v>
                </c:pt>
                <c:pt idx="14">
                  <c:v>0.1371700271993225</c:v>
                </c:pt>
                <c:pt idx="15">
                  <c:v>0.1403386928483554</c:v>
                </c:pt>
                <c:pt idx="16">
                  <c:v>0.15423209469614746</c:v>
                </c:pt>
                <c:pt idx="17">
                  <c:v>0.15319906322680027</c:v>
                </c:pt>
                <c:pt idx="18">
                  <c:v>0.15417207721736267</c:v>
                </c:pt>
                <c:pt idx="19">
                  <c:v>0.15569984009739754</c:v>
                </c:pt>
                <c:pt idx="20">
                  <c:v>0.16148276896583408</c:v>
                </c:pt>
                <c:pt idx="21">
                  <c:v>0.15813216994699217</c:v>
                </c:pt>
                <c:pt idx="22">
                  <c:v>0.15945107225301239</c:v>
                </c:pt>
                <c:pt idx="23">
                  <c:v>0.16133783863006931</c:v>
                </c:pt>
                <c:pt idx="24">
                  <c:v>0.16347117990092988</c:v>
                </c:pt>
                <c:pt idx="25">
                  <c:v>0.16516790802612871</c:v>
                </c:pt>
                <c:pt idx="26">
                  <c:v>0.17020452645346093</c:v>
                </c:pt>
                <c:pt idx="27">
                  <c:v>0.19519748584249202</c:v>
                </c:pt>
                <c:pt idx="28">
                  <c:v>0.19879011776192809</c:v>
                </c:pt>
                <c:pt idx="29">
                  <c:v>0.20456366068037413</c:v>
                </c:pt>
                <c:pt idx="30">
                  <c:v>0.20581292053935363</c:v>
                </c:pt>
                <c:pt idx="31">
                  <c:v>0.20534657421083868</c:v>
                </c:pt>
                <c:pt idx="32">
                  <c:v>0.20608609239606868</c:v>
                </c:pt>
                <c:pt idx="33">
                  <c:v>0.20721522648332844</c:v>
                </c:pt>
                <c:pt idx="34">
                  <c:v>0.20877216916683897</c:v>
                </c:pt>
                <c:pt idx="35">
                  <c:v>0.20575974703228611</c:v>
                </c:pt>
                <c:pt idx="36">
                  <c:v>0.19652216462368163</c:v>
                </c:pt>
                <c:pt idx="37">
                  <c:v>0.19722900509100849</c:v>
                </c:pt>
                <c:pt idx="38">
                  <c:v>0.19930549192235486</c:v>
                </c:pt>
                <c:pt idx="39">
                  <c:v>0.19741218797391316</c:v>
                </c:pt>
                <c:pt idx="40">
                  <c:v>0.1952359902636602</c:v>
                </c:pt>
                <c:pt idx="41">
                  <c:v>0.23237418011871847</c:v>
                </c:pt>
                <c:pt idx="42">
                  <c:v>0.23632151308214303</c:v>
                </c:pt>
                <c:pt idx="43">
                  <c:v>0.23732994072111976</c:v>
                </c:pt>
                <c:pt idx="44">
                  <c:v>0.23612261803579013</c:v>
                </c:pt>
                <c:pt idx="45">
                  <c:v>0.23886600115709672</c:v>
                </c:pt>
                <c:pt idx="46">
                  <c:v>0.2416933354172216</c:v>
                </c:pt>
                <c:pt idx="47">
                  <c:v>0.24461469768406757</c:v>
                </c:pt>
                <c:pt idx="48">
                  <c:v>0.27583466441894816</c:v>
                </c:pt>
                <c:pt idx="49">
                  <c:v>0.33640935755207002</c:v>
                </c:pt>
                <c:pt idx="50">
                  <c:v>0.37296931249242959</c:v>
                </c:pt>
                <c:pt idx="51">
                  <c:v>0.40529912287973996</c:v>
                </c:pt>
                <c:pt idx="52">
                  <c:v>0.4208905768859611</c:v>
                </c:pt>
                <c:pt idx="53">
                  <c:v>0.42105275086460381</c:v>
                </c:pt>
                <c:pt idx="54">
                  <c:v>0.42922776556261361</c:v>
                </c:pt>
                <c:pt idx="55">
                  <c:v>0.42909139862727319</c:v>
                </c:pt>
                <c:pt idx="56">
                  <c:v>0.42906470422216286</c:v>
                </c:pt>
                <c:pt idx="57">
                  <c:v>0.43034516487623448</c:v>
                </c:pt>
                <c:pt idx="58">
                  <c:v>0.42934707832874192</c:v>
                </c:pt>
                <c:pt idx="59">
                  <c:v>0.42897103525096381</c:v>
                </c:pt>
                <c:pt idx="60">
                  <c:v>0.42811566067951251</c:v>
                </c:pt>
                <c:pt idx="61">
                  <c:v>0.40814089880846494</c:v>
                </c:pt>
                <c:pt idx="62">
                  <c:v>0.40470792594900906</c:v>
                </c:pt>
                <c:pt idx="63">
                  <c:v>0.4040766599457441</c:v>
                </c:pt>
                <c:pt idx="64">
                  <c:v>0.40079247780122668</c:v>
                </c:pt>
                <c:pt idx="65">
                  <c:v>0.39790426423128183</c:v>
                </c:pt>
                <c:pt idx="66">
                  <c:v>0.39231645139478438</c:v>
                </c:pt>
                <c:pt idx="67">
                  <c:v>0.37856892250875673</c:v>
                </c:pt>
                <c:pt idx="68">
                  <c:v>0.35504247008320272</c:v>
                </c:pt>
                <c:pt idx="69">
                  <c:v>0.29577777284116469</c:v>
                </c:pt>
                <c:pt idx="70">
                  <c:v>0.24622929596737875</c:v>
                </c:pt>
                <c:pt idx="71">
                  <c:v>0.18610760787330505</c:v>
                </c:pt>
                <c:pt idx="72">
                  <c:v>0.14451528212789783</c:v>
                </c:pt>
                <c:pt idx="73">
                  <c:v>0.13955082535479524</c:v>
                </c:pt>
                <c:pt idx="74">
                  <c:v>0.10641871424398505</c:v>
                </c:pt>
                <c:pt idx="75">
                  <c:v>0.10500192853783431</c:v>
                </c:pt>
                <c:pt idx="76">
                  <c:v>0.10327583372278716</c:v>
                </c:pt>
                <c:pt idx="77">
                  <c:v>9.6844517278435335E-2</c:v>
                </c:pt>
                <c:pt idx="78">
                  <c:v>9.6560745418209498E-2</c:v>
                </c:pt>
                <c:pt idx="79">
                  <c:v>9.6367947086520064E-2</c:v>
                </c:pt>
                <c:pt idx="80">
                  <c:v>0.10405214467486046</c:v>
                </c:pt>
                <c:pt idx="81">
                  <c:v>0.10359265214692243</c:v>
                </c:pt>
                <c:pt idx="82">
                  <c:v>0.10307510556755958</c:v>
                </c:pt>
                <c:pt idx="83">
                  <c:v>9.9055469304393656E-2</c:v>
                </c:pt>
                <c:pt idx="84">
                  <c:v>9.74765700899594E-2</c:v>
                </c:pt>
                <c:pt idx="85">
                  <c:v>9.9930209702218775E-2</c:v>
                </c:pt>
                <c:pt idx="86">
                  <c:v>9.9507964315299402E-2</c:v>
                </c:pt>
                <c:pt idx="87">
                  <c:v>0.1094677568301371</c:v>
                </c:pt>
                <c:pt idx="88">
                  <c:v>0.11080784448613358</c:v>
                </c:pt>
                <c:pt idx="89">
                  <c:v>0.10510727213185576</c:v>
                </c:pt>
                <c:pt idx="90">
                  <c:v>0.10506067001833397</c:v>
                </c:pt>
                <c:pt idx="91">
                  <c:v>0.11030261500336738</c:v>
                </c:pt>
                <c:pt idx="92">
                  <c:v>0.1115098870364717</c:v>
                </c:pt>
                <c:pt idx="93">
                  <c:v>0.11064825807610823</c:v>
                </c:pt>
                <c:pt idx="94">
                  <c:v>0.11142807189994341</c:v>
                </c:pt>
                <c:pt idx="95">
                  <c:v>0.11421927079645552</c:v>
                </c:pt>
                <c:pt idx="96">
                  <c:v>0.11445571829919986</c:v>
                </c:pt>
                <c:pt idx="97">
                  <c:v>0.11694643846736788</c:v>
                </c:pt>
                <c:pt idx="98">
                  <c:v>0.11962704229260357</c:v>
                </c:pt>
                <c:pt idx="99">
                  <c:v>0.12454511811677553</c:v>
                </c:pt>
                <c:pt idx="100">
                  <c:v>0.11880691023255191</c:v>
                </c:pt>
                <c:pt idx="101">
                  <c:v>0.11938228119761674</c:v>
                </c:pt>
                <c:pt idx="102">
                  <c:v>0.12002662343815268</c:v>
                </c:pt>
                <c:pt idx="103">
                  <c:v>0.12056382813844296</c:v>
                </c:pt>
                <c:pt idx="104">
                  <c:v>0.11976121774583641</c:v>
                </c:pt>
                <c:pt idx="105">
                  <c:v>0.11864816994550985</c:v>
                </c:pt>
                <c:pt idx="106">
                  <c:v>0.11761087577857263</c:v>
                </c:pt>
                <c:pt idx="107">
                  <c:v>0.11511588763989038</c:v>
                </c:pt>
                <c:pt idx="108">
                  <c:v>0.11182073564384726</c:v>
                </c:pt>
                <c:pt idx="109">
                  <c:v>0.117128465436719</c:v>
                </c:pt>
                <c:pt idx="110">
                  <c:v>0.11738002316327195</c:v>
                </c:pt>
                <c:pt idx="111">
                  <c:v>0.11075544164161058</c:v>
                </c:pt>
                <c:pt idx="112">
                  <c:v>0.11039222395724482</c:v>
                </c:pt>
                <c:pt idx="113">
                  <c:v>0.11140341718212779</c:v>
                </c:pt>
                <c:pt idx="114">
                  <c:v>0.11158448911292647</c:v>
                </c:pt>
                <c:pt idx="115">
                  <c:v>0.10906356861145004</c:v>
                </c:pt>
                <c:pt idx="116">
                  <c:v>0.1084792094072311</c:v>
                </c:pt>
                <c:pt idx="117">
                  <c:v>0.10668072143820938</c:v>
                </c:pt>
                <c:pt idx="118">
                  <c:v>0.10595765017434665</c:v>
                </c:pt>
                <c:pt idx="119">
                  <c:v>0.10117242030219051</c:v>
                </c:pt>
                <c:pt idx="120">
                  <c:v>9.9813577499854964E-2</c:v>
                </c:pt>
                <c:pt idx="121">
                  <c:v>9.8976222845666317E-2</c:v>
                </c:pt>
                <c:pt idx="122">
                  <c:v>9.8141091303642403E-2</c:v>
                </c:pt>
                <c:pt idx="123">
                  <c:v>9.7272529107981773E-2</c:v>
                </c:pt>
                <c:pt idx="124">
                  <c:v>0.10025117009343314</c:v>
                </c:pt>
                <c:pt idx="125">
                  <c:v>9.9759134370170352E-2</c:v>
                </c:pt>
                <c:pt idx="126">
                  <c:v>9.9850027530250296E-2</c:v>
                </c:pt>
                <c:pt idx="127">
                  <c:v>9.5287619180277477E-2</c:v>
                </c:pt>
                <c:pt idx="128">
                  <c:v>9.7565203115816346E-2</c:v>
                </c:pt>
                <c:pt idx="129">
                  <c:v>9.2590914170741501E-2</c:v>
                </c:pt>
                <c:pt idx="130">
                  <c:v>9.1533911820566E-2</c:v>
                </c:pt>
                <c:pt idx="131">
                  <c:v>9.3429687396140909E-2</c:v>
                </c:pt>
                <c:pt idx="132">
                  <c:v>9.320408551759532E-2</c:v>
                </c:pt>
                <c:pt idx="133">
                  <c:v>9.3456057896522962E-2</c:v>
                </c:pt>
                <c:pt idx="134">
                  <c:v>9.4611786920295607E-2</c:v>
                </c:pt>
                <c:pt idx="135">
                  <c:v>9.5423327617742942E-2</c:v>
                </c:pt>
                <c:pt idx="136">
                  <c:v>9.4841030985509375E-2</c:v>
                </c:pt>
                <c:pt idx="137">
                  <c:v>9.3371592820409716E-2</c:v>
                </c:pt>
                <c:pt idx="138">
                  <c:v>9.2567071949464369E-2</c:v>
                </c:pt>
                <c:pt idx="139">
                  <c:v>9.2337385070292044E-2</c:v>
                </c:pt>
                <c:pt idx="140">
                  <c:v>9.1872591984645161E-2</c:v>
                </c:pt>
                <c:pt idx="141">
                  <c:v>9.1917122546003219E-2</c:v>
                </c:pt>
                <c:pt idx="142">
                  <c:v>9.2690027772547506E-2</c:v>
                </c:pt>
                <c:pt idx="143">
                  <c:v>9.8534111638139174E-2</c:v>
                </c:pt>
                <c:pt idx="144">
                  <c:v>9.6333592851410341E-2</c:v>
                </c:pt>
                <c:pt idx="145">
                  <c:v>9.7281073186011965E-2</c:v>
                </c:pt>
                <c:pt idx="146">
                  <c:v>9.7820283187408527E-2</c:v>
                </c:pt>
                <c:pt idx="147">
                  <c:v>9.6101278526764949E-2</c:v>
                </c:pt>
                <c:pt idx="148">
                  <c:v>9.4308847639397619E-2</c:v>
                </c:pt>
                <c:pt idx="149">
                  <c:v>9.2728466235435403E-2</c:v>
                </c:pt>
                <c:pt idx="150">
                  <c:v>9.2610964220835548E-2</c:v>
                </c:pt>
                <c:pt idx="151">
                  <c:v>9.0762811297622217E-2</c:v>
                </c:pt>
                <c:pt idx="152">
                  <c:v>9.0719587289434592E-2</c:v>
                </c:pt>
                <c:pt idx="153">
                  <c:v>9.0006645174504213E-2</c:v>
                </c:pt>
                <c:pt idx="154">
                  <c:v>9.231474501959476E-2</c:v>
                </c:pt>
                <c:pt idx="155">
                  <c:v>9.5141525631628088E-2</c:v>
                </c:pt>
                <c:pt idx="156">
                  <c:v>9.6620535503537289E-2</c:v>
                </c:pt>
                <c:pt idx="157">
                  <c:v>9.6877657556040941E-2</c:v>
                </c:pt>
                <c:pt idx="158">
                  <c:v>9.4027728867005819E-2</c:v>
                </c:pt>
                <c:pt idx="159">
                  <c:v>9.4839874456921228E-2</c:v>
                </c:pt>
                <c:pt idx="160">
                  <c:v>9.6055511687279341E-2</c:v>
                </c:pt>
                <c:pt idx="161">
                  <c:v>0.10109665763544223</c:v>
                </c:pt>
                <c:pt idx="162">
                  <c:v>0.10624439358716455</c:v>
                </c:pt>
                <c:pt idx="163">
                  <c:v>0.10456904857140159</c:v>
                </c:pt>
                <c:pt idx="164">
                  <c:v>0.11325074764729945</c:v>
                </c:pt>
                <c:pt idx="165">
                  <c:v>0.11464043659824631</c:v>
                </c:pt>
                <c:pt idx="166">
                  <c:v>0.11560237353714903</c:v>
                </c:pt>
                <c:pt idx="167">
                  <c:v>0.11529102699699796</c:v>
                </c:pt>
                <c:pt idx="168">
                  <c:v>0.11471386813851193</c:v>
                </c:pt>
                <c:pt idx="169">
                  <c:v>0.115257526748491</c:v>
                </c:pt>
                <c:pt idx="170">
                  <c:v>0.11557910602739718</c:v>
                </c:pt>
                <c:pt idx="171">
                  <c:v>0.11600693227530677</c:v>
                </c:pt>
                <c:pt idx="172">
                  <c:v>0.11749517430445024</c:v>
                </c:pt>
                <c:pt idx="173">
                  <c:v>0.11731414531076458</c:v>
                </c:pt>
                <c:pt idx="174">
                  <c:v>0.11710025634171305</c:v>
                </c:pt>
                <c:pt idx="175">
                  <c:v>0.11494340981797878</c:v>
                </c:pt>
                <c:pt idx="176">
                  <c:v>0.11354865012055858</c:v>
                </c:pt>
                <c:pt idx="177">
                  <c:v>0.11402177060329306</c:v>
                </c:pt>
                <c:pt idx="178">
                  <c:v>0.11749931600658246</c:v>
                </c:pt>
                <c:pt idx="179">
                  <c:v>0.11571450101955878</c:v>
                </c:pt>
                <c:pt idx="180">
                  <c:v>0.11603723508041801</c:v>
                </c:pt>
                <c:pt idx="181">
                  <c:v>0.11335815197936819</c:v>
                </c:pt>
                <c:pt idx="182">
                  <c:v>0.10839395876652991</c:v>
                </c:pt>
                <c:pt idx="183">
                  <c:v>0.10639004153887192</c:v>
                </c:pt>
                <c:pt idx="184">
                  <c:v>9.9017662089208355E-2</c:v>
                </c:pt>
                <c:pt idx="185">
                  <c:v>9.7936173926387607E-2</c:v>
                </c:pt>
                <c:pt idx="186">
                  <c:v>9.7306577291059959E-2</c:v>
                </c:pt>
                <c:pt idx="187">
                  <c:v>9.8234061529808292E-2</c:v>
                </c:pt>
                <c:pt idx="188">
                  <c:v>9.9241996679677202E-2</c:v>
                </c:pt>
                <c:pt idx="189">
                  <c:v>0.10021861065454635</c:v>
                </c:pt>
                <c:pt idx="190">
                  <c:v>0.10033552064957155</c:v>
                </c:pt>
                <c:pt idx="191">
                  <c:v>0.10728983267652041</c:v>
                </c:pt>
                <c:pt idx="192">
                  <c:v>0.10561357386824516</c:v>
                </c:pt>
                <c:pt idx="193">
                  <c:v>0.1065344534254607</c:v>
                </c:pt>
                <c:pt idx="194">
                  <c:v>0.10458450511093775</c:v>
                </c:pt>
                <c:pt idx="195">
                  <c:v>0.10617460355637058</c:v>
                </c:pt>
                <c:pt idx="196">
                  <c:v>0.1070302529472225</c:v>
                </c:pt>
                <c:pt idx="197">
                  <c:v>0.11146802353269498</c:v>
                </c:pt>
                <c:pt idx="198">
                  <c:v>0.1087413561106973</c:v>
                </c:pt>
                <c:pt idx="199">
                  <c:v>0.11088293121138897</c:v>
                </c:pt>
                <c:pt idx="200">
                  <c:v>0.13078318113752033</c:v>
                </c:pt>
                <c:pt idx="201">
                  <c:v>0.12981059148795646</c:v>
                </c:pt>
                <c:pt idx="202">
                  <c:v>0.13001316969403953</c:v>
                </c:pt>
                <c:pt idx="203">
                  <c:v>0.13090663383996723</c:v>
                </c:pt>
                <c:pt idx="204">
                  <c:v>0.13363912126666155</c:v>
                </c:pt>
                <c:pt idx="205">
                  <c:v>0.1500275397569962</c:v>
                </c:pt>
                <c:pt idx="206">
                  <c:v>0.16201748295211085</c:v>
                </c:pt>
                <c:pt idx="207">
                  <c:v>0.17905428932526196</c:v>
                </c:pt>
                <c:pt idx="208">
                  <c:v>0.18007997227681311</c:v>
                </c:pt>
                <c:pt idx="209">
                  <c:v>0.18080492678457499</c:v>
                </c:pt>
                <c:pt idx="210">
                  <c:v>0.18277050693976918</c:v>
                </c:pt>
                <c:pt idx="211">
                  <c:v>0.17940832432364839</c:v>
                </c:pt>
                <c:pt idx="212">
                  <c:v>0.18021631780700198</c:v>
                </c:pt>
                <c:pt idx="213">
                  <c:v>0.18725993620860867</c:v>
                </c:pt>
                <c:pt idx="214">
                  <c:v>0.19243993741626678</c:v>
                </c:pt>
                <c:pt idx="215">
                  <c:v>0.19371796654929585</c:v>
                </c:pt>
                <c:pt idx="216">
                  <c:v>0.19910190526580518</c:v>
                </c:pt>
                <c:pt idx="217">
                  <c:v>0.1984532968914606</c:v>
                </c:pt>
                <c:pt idx="218">
                  <c:v>0.21190788512525582</c:v>
                </c:pt>
                <c:pt idx="219">
                  <c:v>0.21438273664893612</c:v>
                </c:pt>
                <c:pt idx="220">
                  <c:v>0.20338148072718726</c:v>
                </c:pt>
                <c:pt idx="221">
                  <c:v>0.20497501371673102</c:v>
                </c:pt>
                <c:pt idx="222">
                  <c:v>0.20516509984863868</c:v>
                </c:pt>
                <c:pt idx="223">
                  <c:v>0.20497461444924236</c:v>
                </c:pt>
                <c:pt idx="224">
                  <c:v>0.20289651703895872</c:v>
                </c:pt>
                <c:pt idx="225">
                  <c:v>0.19014210610856491</c:v>
                </c:pt>
                <c:pt idx="226">
                  <c:v>0.18192453990923385</c:v>
                </c:pt>
                <c:pt idx="227">
                  <c:v>0.16773154647432958</c:v>
                </c:pt>
                <c:pt idx="228">
                  <c:v>0.16852446019389997</c:v>
                </c:pt>
                <c:pt idx="229">
                  <c:v>0.1664141269511154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F1-4CDC-8879-AA45C2596E2C}"/>
            </c:ext>
          </c:extLst>
        </c:ser>
        <c:ser>
          <c:idx val="3"/>
          <c:order val="3"/>
          <c:tx>
            <c:strRef>
              <c:f>走势图!$F$6</c:f>
              <c:strCache>
                <c:ptCount val="1"/>
                <c:pt idx="0">
                  <c:v>HV60</c:v>
                </c:pt>
              </c:strCache>
            </c:strRef>
          </c:tx>
          <c:spPr>
            <a:ln w="28575" cap="rnd">
              <a:solidFill>
                <a:srgbClr val="E05D5D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作图数据!$O$3:$O$246</c:f>
              <c:numCache>
                <c:formatCode>General</c:formatCode>
                <c:ptCount val="244"/>
                <c:pt idx="0">
                  <c:v>0.16555027261565824</c:v>
                </c:pt>
                <c:pt idx="1">
                  <c:v>0.18129664362725104</c:v>
                </c:pt>
                <c:pt idx="2">
                  <c:v>0.18330650366017792</c:v>
                </c:pt>
                <c:pt idx="3">
                  <c:v>0.18429197339089062</c:v>
                </c:pt>
                <c:pt idx="4">
                  <c:v>0.18600012771791047</c:v>
                </c:pt>
                <c:pt idx="5">
                  <c:v>0.18779264826186662</c:v>
                </c:pt>
                <c:pt idx="6">
                  <c:v>0.19121880684642681</c:v>
                </c:pt>
                <c:pt idx="7">
                  <c:v>0.19946052543859175</c:v>
                </c:pt>
                <c:pt idx="8">
                  <c:v>0.20985724776256728</c:v>
                </c:pt>
                <c:pt idx="9">
                  <c:v>0.2388916397199374</c:v>
                </c:pt>
                <c:pt idx="10">
                  <c:v>0.25692648656129863</c:v>
                </c:pt>
                <c:pt idx="11">
                  <c:v>0.27327797544619892</c:v>
                </c:pt>
                <c:pt idx="12">
                  <c:v>0.28153901655514074</c:v>
                </c:pt>
                <c:pt idx="13">
                  <c:v>0.28237116204232643</c:v>
                </c:pt>
                <c:pt idx="14">
                  <c:v>0.28672746043956332</c:v>
                </c:pt>
                <c:pt idx="15">
                  <c:v>0.28644455576666428</c:v>
                </c:pt>
                <c:pt idx="16">
                  <c:v>0.28665020532116081</c:v>
                </c:pt>
                <c:pt idx="17">
                  <c:v>0.28726653961963128</c:v>
                </c:pt>
                <c:pt idx="18">
                  <c:v>0.28741991474342621</c:v>
                </c:pt>
                <c:pt idx="19">
                  <c:v>0.28707151330361713</c:v>
                </c:pt>
                <c:pt idx="20">
                  <c:v>0.28721466738670132</c:v>
                </c:pt>
                <c:pt idx="21">
                  <c:v>0.28611334353024775</c:v>
                </c:pt>
                <c:pt idx="22">
                  <c:v>0.2858093812981054</c:v>
                </c:pt>
                <c:pt idx="23">
                  <c:v>0.28614293983335265</c:v>
                </c:pt>
                <c:pt idx="24">
                  <c:v>0.28467017620884499</c:v>
                </c:pt>
                <c:pt idx="25">
                  <c:v>0.28440886521810321</c:v>
                </c:pt>
                <c:pt idx="26">
                  <c:v>0.28360621011380355</c:v>
                </c:pt>
                <c:pt idx="27">
                  <c:v>0.28357999335386752</c:v>
                </c:pt>
                <c:pt idx="28">
                  <c:v>0.28381768125429679</c:v>
                </c:pt>
                <c:pt idx="29">
                  <c:v>0.28431322986360857</c:v>
                </c:pt>
                <c:pt idx="30">
                  <c:v>0.28407389444450593</c:v>
                </c:pt>
                <c:pt idx="31">
                  <c:v>0.28347288891858063</c:v>
                </c:pt>
                <c:pt idx="32">
                  <c:v>0.28314014313232705</c:v>
                </c:pt>
                <c:pt idx="33">
                  <c:v>0.28266470240339042</c:v>
                </c:pt>
                <c:pt idx="34">
                  <c:v>0.28233976936181238</c:v>
                </c:pt>
                <c:pt idx="35">
                  <c:v>0.28135499928700053</c:v>
                </c:pt>
                <c:pt idx="36">
                  <c:v>0.27891658217034848</c:v>
                </c:pt>
                <c:pt idx="37">
                  <c:v>0.27897138557471901</c:v>
                </c:pt>
                <c:pt idx="38">
                  <c:v>0.27891789134412476</c:v>
                </c:pt>
                <c:pt idx="39">
                  <c:v>0.27825318343228445</c:v>
                </c:pt>
                <c:pt idx="40">
                  <c:v>0.27822470512442854</c:v>
                </c:pt>
                <c:pt idx="41">
                  <c:v>0.27767378368921902</c:v>
                </c:pt>
                <c:pt idx="42">
                  <c:v>0.27704442499302384</c:v>
                </c:pt>
                <c:pt idx="43">
                  <c:v>0.27653537077844276</c:v>
                </c:pt>
                <c:pt idx="44">
                  <c:v>0.27440249192662541</c:v>
                </c:pt>
                <c:pt idx="45">
                  <c:v>0.2740868577740454</c:v>
                </c:pt>
                <c:pt idx="46">
                  <c:v>0.27217010696882976</c:v>
                </c:pt>
                <c:pt idx="47">
                  <c:v>0.26778969932761965</c:v>
                </c:pt>
                <c:pt idx="48">
                  <c:v>0.26734390838865135</c:v>
                </c:pt>
                <c:pt idx="49">
                  <c:v>0.26564593315820217</c:v>
                </c:pt>
                <c:pt idx="50">
                  <c:v>0.26506145113813878</c:v>
                </c:pt>
                <c:pt idx="51">
                  <c:v>0.26524836637385185</c:v>
                </c:pt>
                <c:pt idx="52">
                  <c:v>0.26486977893975855</c:v>
                </c:pt>
                <c:pt idx="53">
                  <c:v>0.26394626276518973</c:v>
                </c:pt>
                <c:pt idx="54">
                  <c:v>0.26329807739426936</c:v>
                </c:pt>
                <c:pt idx="55">
                  <c:v>0.26343302450138878</c:v>
                </c:pt>
                <c:pt idx="56">
                  <c:v>0.26322520756427986</c:v>
                </c:pt>
                <c:pt idx="57">
                  <c:v>0.26347187764506508</c:v>
                </c:pt>
                <c:pt idx="58">
                  <c:v>0.26329547437104667</c:v>
                </c:pt>
                <c:pt idx="59">
                  <c:v>0.26382722677077614</c:v>
                </c:pt>
                <c:pt idx="60">
                  <c:v>0.26345458156925849</c:v>
                </c:pt>
                <c:pt idx="61">
                  <c:v>0.2526938595237076</c:v>
                </c:pt>
                <c:pt idx="62">
                  <c:v>0.25087804012286946</c:v>
                </c:pt>
                <c:pt idx="63">
                  <c:v>0.2500836991671776</c:v>
                </c:pt>
                <c:pt idx="64">
                  <c:v>0.2479778493162344</c:v>
                </c:pt>
                <c:pt idx="65">
                  <c:v>0.24657063797621009</c:v>
                </c:pt>
                <c:pt idx="66">
                  <c:v>0.24334224944754521</c:v>
                </c:pt>
                <c:pt idx="67">
                  <c:v>0.23702973544964279</c:v>
                </c:pt>
                <c:pt idx="68">
                  <c:v>0.22423009824908002</c:v>
                </c:pt>
                <c:pt idx="69">
                  <c:v>0.19343483569188558</c:v>
                </c:pt>
                <c:pt idx="70">
                  <c:v>0.168764807167749</c:v>
                </c:pt>
                <c:pt idx="71">
                  <c:v>0.14032043856608245</c:v>
                </c:pt>
                <c:pt idx="72">
                  <c:v>0.12316055210661553</c:v>
                </c:pt>
                <c:pt idx="73">
                  <c:v>0.12128230323277014</c:v>
                </c:pt>
                <c:pt idx="74">
                  <c:v>0.10983663044005358</c:v>
                </c:pt>
                <c:pt idx="75">
                  <c:v>0.10949323999864556</c:v>
                </c:pt>
                <c:pt idx="76">
                  <c:v>0.1088328200439256</c:v>
                </c:pt>
                <c:pt idx="77">
                  <c:v>0.10713870499446321</c:v>
                </c:pt>
                <c:pt idx="78">
                  <c:v>0.10779862465706734</c:v>
                </c:pt>
                <c:pt idx="79">
                  <c:v>0.10806499017133933</c:v>
                </c:pt>
                <c:pt idx="80">
                  <c:v>0.10786516426193599</c:v>
                </c:pt>
                <c:pt idx="81">
                  <c:v>0.10767212472993355</c:v>
                </c:pt>
                <c:pt idx="82">
                  <c:v>0.10749037402483619</c:v>
                </c:pt>
                <c:pt idx="83">
                  <c:v>0.10615957732516466</c:v>
                </c:pt>
                <c:pt idx="84">
                  <c:v>0.10629319215824827</c:v>
                </c:pt>
                <c:pt idx="85">
                  <c:v>0.10648211106853224</c:v>
                </c:pt>
                <c:pt idx="86">
                  <c:v>0.10599399520942918</c:v>
                </c:pt>
                <c:pt idx="87">
                  <c:v>0.10694950169992609</c:v>
                </c:pt>
                <c:pt idx="88">
                  <c:v>0.10692867432487391</c:v>
                </c:pt>
                <c:pt idx="89">
                  <c:v>0.10541931109863803</c:v>
                </c:pt>
                <c:pt idx="90">
                  <c:v>0.10518914905332311</c:v>
                </c:pt>
                <c:pt idx="91">
                  <c:v>0.1051388624894872</c:v>
                </c:pt>
                <c:pt idx="92">
                  <c:v>0.10536903336098387</c:v>
                </c:pt>
                <c:pt idx="93">
                  <c:v>0.10549532870020122</c:v>
                </c:pt>
                <c:pt idx="94">
                  <c:v>0.10617391965101909</c:v>
                </c:pt>
                <c:pt idx="95">
                  <c:v>0.10653092707938794</c:v>
                </c:pt>
                <c:pt idx="96">
                  <c:v>0.10624291581622128</c:v>
                </c:pt>
                <c:pt idx="97">
                  <c:v>0.10610607922043405</c:v>
                </c:pt>
                <c:pt idx="98">
                  <c:v>0.10662444323800384</c:v>
                </c:pt>
                <c:pt idx="99">
                  <c:v>0.1068855115815423</c:v>
                </c:pt>
                <c:pt idx="100">
                  <c:v>0.10411276791745618</c:v>
                </c:pt>
                <c:pt idx="101">
                  <c:v>0.10407878293209558</c:v>
                </c:pt>
                <c:pt idx="102">
                  <c:v>0.10429046837992052</c:v>
                </c:pt>
                <c:pt idx="103">
                  <c:v>0.10599772439503352</c:v>
                </c:pt>
                <c:pt idx="104">
                  <c:v>0.10594528067628341</c:v>
                </c:pt>
                <c:pt idx="105">
                  <c:v>0.10566122013606587</c:v>
                </c:pt>
                <c:pt idx="106">
                  <c:v>0.10546903795594767</c:v>
                </c:pt>
                <c:pt idx="107">
                  <c:v>0.10257818756221082</c:v>
                </c:pt>
                <c:pt idx="108">
                  <c:v>0.10151683689916136</c:v>
                </c:pt>
                <c:pt idx="109">
                  <c:v>0.10147368008981537</c:v>
                </c:pt>
                <c:pt idx="110">
                  <c:v>0.101214817006369</c:v>
                </c:pt>
                <c:pt idx="111">
                  <c:v>9.8714676812884303E-2</c:v>
                </c:pt>
                <c:pt idx="112">
                  <c:v>9.8494480700465403E-2</c:v>
                </c:pt>
                <c:pt idx="113">
                  <c:v>9.8735255933873584E-2</c:v>
                </c:pt>
                <c:pt idx="114">
                  <c:v>9.9874088369434802E-2</c:v>
                </c:pt>
                <c:pt idx="115">
                  <c:v>0.10008726750761276</c:v>
                </c:pt>
                <c:pt idx="116">
                  <c:v>0.10016334644469928</c:v>
                </c:pt>
                <c:pt idx="117">
                  <c:v>9.9136793045338359E-2</c:v>
                </c:pt>
                <c:pt idx="118">
                  <c:v>9.7701757465690292E-2</c:v>
                </c:pt>
                <c:pt idx="119">
                  <c:v>9.6188448887980754E-2</c:v>
                </c:pt>
                <c:pt idx="120">
                  <c:v>9.5968718404838727E-2</c:v>
                </c:pt>
                <c:pt idx="121">
                  <c:v>9.7409076050420457E-2</c:v>
                </c:pt>
                <c:pt idx="122">
                  <c:v>9.9181628371807246E-2</c:v>
                </c:pt>
                <c:pt idx="123">
                  <c:v>0.10017584871033633</c:v>
                </c:pt>
                <c:pt idx="124">
                  <c:v>0.10353129971082185</c:v>
                </c:pt>
                <c:pt idx="125">
                  <c:v>0.10417600778481333</c:v>
                </c:pt>
                <c:pt idx="126">
                  <c:v>0.10472622175316471</c:v>
                </c:pt>
                <c:pt idx="127">
                  <c:v>0.10264373176112111</c:v>
                </c:pt>
                <c:pt idx="128">
                  <c:v>0.10258719729316701</c:v>
                </c:pt>
                <c:pt idx="129">
                  <c:v>0.10075703996831359</c:v>
                </c:pt>
                <c:pt idx="130">
                  <c:v>0.10052160208495875</c:v>
                </c:pt>
                <c:pt idx="131">
                  <c:v>0.1007051848011743</c:v>
                </c:pt>
                <c:pt idx="132">
                  <c:v>0.10119644437095227</c:v>
                </c:pt>
                <c:pt idx="133">
                  <c:v>0.10099148416759791</c:v>
                </c:pt>
                <c:pt idx="134">
                  <c:v>0.10195729891737214</c:v>
                </c:pt>
                <c:pt idx="135">
                  <c:v>0.10225704346358522</c:v>
                </c:pt>
                <c:pt idx="136">
                  <c:v>0.1020190259765071</c:v>
                </c:pt>
                <c:pt idx="137">
                  <c:v>0.10182419334466625</c:v>
                </c:pt>
                <c:pt idx="138">
                  <c:v>0.10200647996932875</c:v>
                </c:pt>
                <c:pt idx="139">
                  <c:v>0.10150638767228631</c:v>
                </c:pt>
                <c:pt idx="140">
                  <c:v>0.10186899169781799</c:v>
                </c:pt>
                <c:pt idx="141">
                  <c:v>0.1025009954786982</c:v>
                </c:pt>
                <c:pt idx="142">
                  <c:v>0.10267840200395952</c:v>
                </c:pt>
                <c:pt idx="143">
                  <c:v>0.10321901958794273</c:v>
                </c:pt>
                <c:pt idx="144">
                  <c:v>0.10313484758629719</c:v>
                </c:pt>
                <c:pt idx="145">
                  <c:v>0.10359782987913468</c:v>
                </c:pt>
                <c:pt idx="146">
                  <c:v>0.10392511174621265</c:v>
                </c:pt>
                <c:pt idx="147">
                  <c:v>0.10356545029616704</c:v>
                </c:pt>
                <c:pt idx="148">
                  <c:v>0.10312194107194983</c:v>
                </c:pt>
                <c:pt idx="149">
                  <c:v>0.1031610970668093</c:v>
                </c:pt>
                <c:pt idx="150">
                  <c:v>0.10328365012273369</c:v>
                </c:pt>
                <c:pt idx="151">
                  <c:v>0.10520868856124502</c:v>
                </c:pt>
                <c:pt idx="152">
                  <c:v>0.10518140914315888</c:v>
                </c:pt>
                <c:pt idx="153">
                  <c:v>0.1052194447052222</c:v>
                </c:pt>
                <c:pt idx="154">
                  <c:v>0.10515449093695027</c:v>
                </c:pt>
                <c:pt idx="155">
                  <c:v>0.10573070162831927</c:v>
                </c:pt>
                <c:pt idx="156">
                  <c:v>0.10596272752110805</c:v>
                </c:pt>
                <c:pt idx="157">
                  <c:v>0.10772088156487421</c:v>
                </c:pt>
                <c:pt idx="158">
                  <c:v>0.10719450481359476</c:v>
                </c:pt>
                <c:pt idx="159">
                  <c:v>0.10751662191996122</c:v>
                </c:pt>
                <c:pt idx="160">
                  <c:v>0.11517456565154</c:v>
                </c:pt>
                <c:pt idx="161">
                  <c:v>0.11535654073016184</c:v>
                </c:pt>
                <c:pt idx="162">
                  <c:v>0.11538420712222801</c:v>
                </c:pt>
                <c:pt idx="163">
                  <c:v>0.11458631919661015</c:v>
                </c:pt>
                <c:pt idx="164">
                  <c:v>0.11617464436673265</c:v>
                </c:pt>
                <c:pt idx="165">
                  <c:v>0.12280361904590224</c:v>
                </c:pt>
                <c:pt idx="166">
                  <c:v>0.12790900871799596</c:v>
                </c:pt>
                <c:pt idx="167">
                  <c:v>0.13540358227220736</c:v>
                </c:pt>
                <c:pt idx="168">
                  <c:v>0.13593753695905919</c:v>
                </c:pt>
                <c:pt idx="169">
                  <c:v>0.1366485625528521</c:v>
                </c:pt>
                <c:pt idx="170">
                  <c:v>0.1376357568138129</c:v>
                </c:pt>
                <c:pt idx="171">
                  <c:v>0.13802905897950471</c:v>
                </c:pt>
                <c:pt idx="172">
                  <c:v>0.13836818537748088</c:v>
                </c:pt>
                <c:pt idx="173">
                  <c:v>0.14163154329163286</c:v>
                </c:pt>
                <c:pt idx="174">
                  <c:v>0.14339167602220537</c:v>
                </c:pt>
                <c:pt idx="175">
                  <c:v>0.14377260339963982</c:v>
                </c:pt>
                <c:pt idx="176">
                  <c:v>0.14604832495972137</c:v>
                </c:pt>
                <c:pt idx="177">
                  <c:v>0.14698049245720288</c:v>
                </c:pt>
                <c:pt idx="178">
                  <c:v>0.15333593139364174</c:v>
                </c:pt>
                <c:pt idx="179">
                  <c:v>0.15453675717373538</c:v>
                </c:pt>
                <c:pt idx="180">
                  <c:v>0.15484713655337731</c:v>
                </c:pt>
                <c:pt idx="181">
                  <c:v>0.1546130832441687</c:v>
                </c:pt>
                <c:pt idx="182">
                  <c:v>0.15356365974938338</c:v>
                </c:pt>
                <c:pt idx="183">
                  <c:v>0.15326445586041756</c:v>
                </c:pt>
                <c:pt idx="184">
                  <c:v>0.1514715691310623</c:v>
                </c:pt>
                <c:pt idx="185">
                  <c:v>0.15083520517911533</c:v>
                </c:pt>
                <c:pt idx="186">
                  <c:v>0.15145381362803309</c:v>
                </c:pt>
                <c:pt idx="187">
                  <c:v>0.1525824815775465</c:v>
                </c:pt>
                <c:pt idx="188">
                  <c:v>0.1534907858296736</c:v>
                </c:pt>
                <c:pt idx="189">
                  <c:v>0.15321863803076202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F1-4CDC-8879-AA45C259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548175"/>
        <c:axId val="1200533199"/>
      </c:lineChart>
      <c:dateAx>
        <c:axId val="120054817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533199"/>
        <c:crosses val="autoZero"/>
        <c:auto val="1"/>
        <c:lblOffset val="100"/>
        <c:baseTimeUnit val="days"/>
      </c:dateAx>
      <c:valAx>
        <c:axId val="12005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54817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走势图!$C$6</c:f>
              <c:strCache>
                <c:ptCount val="1"/>
                <c:pt idx="0">
                  <c:v>HV5</c:v>
                </c:pt>
              </c:strCache>
            </c:strRef>
          </c:tx>
          <c:spPr>
            <a:ln w="28575" cap="rnd">
              <a:solidFill>
                <a:srgbClr val="2277A2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作图数据!$Q$3:$Q$246</c:f>
              <c:numCache>
                <c:formatCode>General</c:formatCode>
                <c:ptCount val="244"/>
                <c:pt idx="0">
                  <c:v>0.13709220951430623</c:v>
                </c:pt>
                <c:pt idx="1">
                  <c:v>0.1437750132915393</c:v>
                </c:pt>
                <c:pt idx="2">
                  <c:v>0.14803065674332436</c:v>
                </c:pt>
                <c:pt idx="3">
                  <c:v>0.19513892597841953</c:v>
                </c:pt>
                <c:pt idx="4">
                  <c:v>0.18232007728515243</c:v>
                </c:pt>
                <c:pt idx="5">
                  <c:v>0.17919754270656305</c:v>
                </c:pt>
                <c:pt idx="6">
                  <c:v>0.17242497969862591</c:v>
                </c:pt>
                <c:pt idx="7">
                  <c:v>0.15947442836898396</c:v>
                </c:pt>
                <c:pt idx="8">
                  <c:v>9.7631382737410136E-2</c:v>
                </c:pt>
                <c:pt idx="9">
                  <c:v>0.10328381683494743</c:v>
                </c:pt>
                <c:pt idx="10">
                  <c:v>0.11692278516897435</c:v>
                </c:pt>
                <c:pt idx="11">
                  <c:v>0.11556165560817422</c:v>
                </c:pt>
                <c:pt idx="12">
                  <c:v>0.12545720338906349</c:v>
                </c:pt>
                <c:pt idx="13">
                  <c:v>0.12129745358062519</c:v>
                </c:pt>
                <c:pt idx="14">
                  <c:v>0.12282181850515822</c:v>
                </c:pt>
                <c:pt idx="15">
                  <c:v>0.10846253467227608</c:v>
                </c:pt>
                <c:pt idx="16">
                  <c:v>0.12084893083750911</c:v>
                </c:pt>
                <c:pt idx="17">
                  <c:v>0.11813233834872254</c:v>
                </c:pt>
                <c:pt idx="18">
                  <c:v>0.12147091046329088</c:v>
                </c:pt>
                <c:pt idx="19">
                  <c:v>0.14356040787129459</c:v>
                </c:pt>
                <c:pt idx="20">
                  <c:v>0.15333886193853732</c:v>
                </c:pt>
                <c:pt idx="21">
                  <c:v>0.16230739763710991</c:v>
                </c:pt>
                <c:pt idx="22">
                  <c:v>0.15885716810599559</c:v>
                </c:pt>
                <c:pt idx="23">
                  <c:v>0.15999674330255811</c:v>
                </c:pt>
                <c:pt idx="24">
                  <c:v>0.13720032461205445</c:v>
                </c:pt>
                <c:pt idx="25">
                  <c:v>0.13779100483171505</c:v>
                </c:pt>
                <c:pt idx="26">
                  <c:v>0.13747894482837633</c:v>
                </c:pt>
                <c:pt idx="27">
                  <c:v>0.1446456671414818</c:v>
                </c:pt>
                <c:pt idx="28">
                  <c:v>0.15041963815020604</c:v>
                </c:pt>
                <c:pt idx="29">
                  <c:v>0.15108754669100177</c:v>
                </c:pt>
                <c:pt idx="30">
                  <c:v>0.1663995962701639</c:v>
                </c:pt>
                <c:pt idx="31">
                  <c:v>0.17263720054740728</c:v>
                </c:pt>
                <c:pt idx="32">
                  <c:v>0.1663913297501691</c:v>
                </c:pt>
                <c:pt idx="33">
                  <c:v>0.16241881663604421</c:v>
                </c:pt>
                <c:pt idx="34">
                  <c:v>0.17450242162864191</c:v>
                </c:pt>
                <c:pt idx="35">
                  <c:v>0.18117777431395587</c:v>
                </c:pt>
                <c:pt idx="36">
                  <c:v>0.1630338952846879</c:v>
                </c:pt>
                <c:pt idx="37">
                  <c:v>0.17816427840447513</c:v>
                </c:pt>
                <c:pt idx="38">
                  <c:v>0.18064711645730189</c:v>
                </c:pt>
                <c:pt idx="39">
                  <c:v>0.2085732632361007</c:v>
                </c:pt>
                <c:pt idx="40">
                  <c:v>0.19796740863759096</c:v>
                </c:pt>
                <c:pt idx="41">
                  <c:v>0.21961216788726043</c:v>
                </c:pt>
                <c:pt idx="42">
                  <c:v>0.23552170002202782</c:v>
                </c:pt>
                <c:pt idx="43">
                  <c:v>0.24676205756889191</c:v>
                </c:pt>
                <c:pt idx="44">
                  <c:v>0.22260384338095987</c:v>
                </c:pt>
                <c:pt idx="45">
                  <c:v>0.22085155799776818</c:v>
                </c:pt>
                <c:pt idx="46">
                  <c:v>0.20367538533948235</c:v>
                </c:pt>
                <c:pt idx="47">
                  <c:v>0.18291194043798406</c:v>
                </c:pt>
                <c:pt idx="48">
                  <c:v>0.178905001761229</c:v>
                </c:pt>
                <c:pt idx="49">
                  <c:v>0.17940188291249032</c:v>
                </c:pt>
                <c:pt idx="50">
                  <c:v>0.17212074455587678</c:v>
                </c:pt>
                <c:pt idx="51">
                  <c:v>0.16888291195302887</c:v>
                </c:pt>
                <c:pt idx="52">
                  <c:v>0.15950375338635378</c:v>
                </c:pt>
                <c:pt idx="53">
                  <c:v>0.15780753613400758</c:v>
                </c:pt>
                <c:pt idx="54">
                  <c:v>0.14414706887334428</c:v>
                </c:pt>
                <c:pt idx="55">
                  <c:v>0.15330091284135738</c:v>
                </c:pt>
                <c:pt idx="56">
                  <c:v>0.3118847498981755</c:v>
                </c:pt>
                <c:pt idx="57">
                  <c:v>0.32147217279910206</c:v>
                </c:pt>
                <c:pt idx="58">
                  <c:v>0.32256847998263555</c:v>
                </c:pt>
                <c:pt idx="59">
                  <c:v>0.3338625196995732</c:v>
                </c:pt>
                <c:pt idx="60">
                  <c:v>0.34387715260877394</c:v>
                </c:pt>
                <c:pt idx="61">
                  <c:v>0.24853860293501515</c:v>
                </c:pt>
                <c:pt idx="62">
                  <c:v>0.32074856456313888</c:v>
                </c:pt>
                <c:pt idx="63">
                  <c:v>0.37863070400561077</c:v>
                </c:pt>
                <c:pt idx="64">
                  <c:v>0.50661958301385013</c:v>
                </c:pt>
                <c:pt idx="65">
                  <c:v>0.60624075315002512</c:v>
                </c:pt>
                <c:pt idx="66">
                  <c:v>0.69474529097461857</c:v>
                </c:pt>
                <c:pt idx="67">
                  <c:v>0.67177210526536157</c:v>
                </c:pt>
                <c:pt idx="68">
                  <c:v>0.64272970847866395</c:v>
                </c:pt>
                <c:pt idx="69">
                  <c:v>0.55372899185038704</c:v>
                </c:pt>
                <c:pt idx="70">
                  <c:v>0.43045402203753907</c:v>
                </c:pt>
                <c:pt idx="71">
                  <c:v>0.22921302329195337</c:v>
                </c:pt>
                <c:pt idx="72">
                  <c:v>0.20736538658188652</c:v>
                </c:pt>
                <c:pt idx="73">
                  <c:v>0.18767021657318375</c:v>
                </c:pt>
                <c:pt idx="74">
                  <c:v>0.13953610633805277</c:v>
                </c:pt>
                <c:pt idx="75">
                  <c:v>0.1369162606870617</c:v>
                </c:pt>
                <c:pt idx="76">
                  <c:v>0.12555198437197262</c:v>
                </c:pt>
                <c:pt idx="77">
                  <c:v>9.3034335205117752E-2</c:v>
                </c:pt>
                <c:pt idx="78">
                  <c:v>9.9815047491549444E-2</c:v>
                </c:pt>
                <c:pt idx="79">
                  <c:v>0.10666751384050915</c:v>
                </c:pt>
                <c:pt idx="80">
                  <c:v>0.1043509242188792</c:v>
                </c:pt>
                <c:pt idx="81">
                  <c:v>0.10925490035907735</c:v>
                </c:pt>
                <c:pt idx="82">
                  <c:v>0.10503283118332594</c:v>
                </c:pt>
                <c:pt idx="83">
                  <c:v>9.8845445400596602E-2</c:v>
                </c:pt>
                <c:pt idx="84">
                  <c:v>0.11337247002254258</c:v>
                </c:pt>
                <c:pt idx="85">
                  <c:v>0.11303974792228795</c:v>
                </c:pt>
                <c:pt idx="86">
                  <c:v>0.1131139492837126</c:v>
                </c:pt>
                <c:pt idx="87">
                  <c:v>0.11305685645454576</c:v>
                </c:pt>
                <c:pt idx="88">
                  <c:v>0.11221208813602586</c:v>
                </c:pt>
                <c:pt idx="89">
                  <c:v>8.4949637239846928E-2</c:v>
                </c:pt>
                <c:pt idx="90">
                  <c:v>8.4294915688316721E-2</c:v>
                </c:pt>
                <c:pt idx="91">
                  <c:v>8.4480381972541999E-2</c:v>
                </c:pt>
                <c:pt idx="92">
                  <c:v>8.9708483454250559E-2</c:v>
                </c:pt>
                <c:pt idx="93">
                  <c:v>9.0108278097908001E-2</c:v>
                </c:pt>
                <c:pt idx="94">
                  <c:v>9.1172962563485491E-2</c:v>
                </c:pt>
                <c:pt idx="95">
                  <c:v>0.11695550525193898</c:v>
                </c:pt>
                <c:pt idx="96">
                  <c:v>0.10810036958693162</c:v>
                </c:pt>
                <c:pt idx="97">
                  <c:v>0.10543829809547108</c:v>
                </c:pt>
                <c:pt idx="98">
                  <c:v>9.922017021476609E-2</c:v>
                </c:pt>
                <c:pt idx="99">
                  <c:v>0.10071607191712277</c:v>
                </c:pt>
                <c:pt idx="100">
                  <c:v>8.6382421278570917E-2</c:v>
                </c:pt>
                <c:pt idx="101">
                  <c:v>9.5899223039709353E-2</c:v>
                </c:pt>
                <c:pt idx="102">
                  <c:v>0.13625246077786046</c:v>
                </c:pt>
                <c:pt idx="103">
                  <c:v>0.15387283689419762</c:v>
                </c:pt>
                <c:pt idx="104">
                  <c:v>0.1550580557912235</c:v>
                </c:pt>
                <c:pt idx="105">
                  <c:v>0.14697630374636692</c:v>
                </c:pt>
                <c:pt idx="106">
                  <c:v>0.15153878296842779</c:v>
                </c:pt>
                <c:pt idx="107">
                  <c:v>0.12072352876498932</c:v>
                </c:pt>
                <c:pt idx="108">
                  <c:v>9.7776236036797998E-2</c:v>
                </c:pt>
                <c:pt idx="109">
                  <c:v>0.10121944971503387</c:v>
                </c:pt>
                <c:pt idx="110">
                  <c:v>0.11314779073660274</c:v>
                </c:pt>
                <c:pt idx="111">
                  <c:v>0.10998373248748386</c:v>
                </c:pt>
                <c:pt idx="112">
                  <c:v>0.11482335766943773</c:v>
                </c:pt>
                <c:pt idx="113">
                  <c:v>0.12969847792915609</c:v>
                </c:pt>
                <c:pt idx="114">
                  <c:v>0.14480649040585333</c:v>
                </c:pt>
                <c:pt idx="115">
                  <c:v>0.13856020550461284</c:v>
                </c:pt>
                <c:pt idx="116">
                  <c:v>0.13336635313340917</c:v>
                </c:pt>
                <c:pt idx="117">
                  <c:v>0.12727523401290888</c:v>
                </c:pt>
                <c:pt idx="118">
                  <c:v>0.11251156826409808</c:v>
                </c:pt>
                <c:pt idx="119">
                  <c:v>8.0635644845843735E-2</c:v>
                </c:pt>
                <c:pt idx="120">
                  <c:v>7.9706116348761499E-2</c:v>
                </c:pt>
                <c:pt idx="121">
                  <c:v>7.5955738657287969E-2</c:v>
                </c:pt>
                <c:pt idx="122">
                  <c:v>0.1092286302549606</c:v>
                </c:pt>
                <c:pt idx="123">
                  <c:v>0.1131832248031589</c:v>
                </c:pt>
                <c:pt idx="124">
                  <c:v>0.14027690417873218</c:v>
                </c:pt>
                <c:pt idx="125">
                  <c:v>0.13970268914947115</c:v>
                </c:pt>
                <c:pt idx="126">
                  <c:v>0.13964850075134153</c:v>
                </c:pt>
                <c:pt idx="127">
                  <c:v>0.11346452268287663</c:v>
                </c:pt>
                <c:pt idx="128">
                  <c:v>0.11375541516088498</c:v>
                </c:pt>
                <c:pt idx="129">
                  <c:v>8.8962590385055634E-2</c:v>
                </c:pt>
                <c:pt idx="130">
                  <c:v>8.7230004399813474E-2</c:v>
                </c:pt>
                <c:pt idx="131">
                  <c:v>9.3076556638420432E-2</c:v>
                </c:pt>
                <c:pt idx="132">
                  <c:v>0.10194774930955652</c:v>
                </c:pt>
                <c:pt idx="133">
                  <c:v>0.11295809615277147</c:v>
                </c:pt>
                <c:pt idx="134">
                  <c:v>0.11522900222047773</c:v>
                </c:pt>
                <c:pt idx="135">
                  <c:v>0.11492202364697782</c:v>
                </c:pt>
                <c:pt idx="136">
                  <c:v>0.11062510149427393</c:v>
                </c:pt>
                <c:pt idx="137">
                  <c:v>0.10212954456955184</c:v>
                </c:pt>
                <c:pt idx="138">
                  <c:v>8.1848655483655122E-2</c:v>
                </c:pt>
                <c:pt idx="139">
                  <c:v>8.20956041676697E-2</c:v>
                </c:pt>
                <c:pt idx="140">
                  <c:v>8.1515495056937365E-2</c:v>
                </c:pt>
                <c:pt idx="141">
                  <c:v>8.1651933914704794E-2</c:v>
                </c:pt>
                <c:pt idx="142">
                  <c:v>9.2089799398978503E-2</c:v>
                </c:pt>
                <c:pt idx="143">
                  <c:v>0.10672816661698732</c:v>
                </c:pt>
                <c:pt idx="144">
                  <c:v>0.10873420208824273</c:v>
                </c:pt>
                <c:pt idx="145">
                  <c:v>0.10591197867034297</c:v>
                </c:pt>
                <c:pt idx="146">
                  <c:v>0.1108111677988272</c:v>
                </c:pt>
                <c:pt idx="147">
                  <c:v>0.10447199841677811</c:v>
                </c:pt>
                <c:pt idx="148">
                  <c:v>9.7152388944446472E-2</c:v>
                </c:pt>
                <c:pt idx="149">
                  <c:v>9.8004004395605346E-2</c:v>
                </c:pt>
                <c:pt idx="150">
                  <c:v>0.10600890295466674</c:v>
                </c:pt>
                <c:pt idx="151">
                  <c:v>0.10306692712134348</c:v>
                </c:pt>
                <c:pt idx="152">
                  <c:v>9.8025382422662122E-2</c:v>
                </c:pt>
                <c:pt idx="153">
                  <c:v>0.10274444437220827</c:v>
                </c:pt>
                <c:pt idx="154">
                  <c:v>9.3484475297471628E-2</c:v>
                </c:pt>
                <c:pt idx="155">
                  <c:v>8.5462932665856806E-2</c:v>
                </c:pt>
                <c:pt idx="156">
                  <c:v>8.3138322285194202E-2</c:v>
                </c:pt>
                <c:pt idx="157">
                  <c:v>9.0567108511993025E-2</c:v>
                </c:pt>
                <c:pt idx="158">
                  <c:v>8.7976360486604857E-2</c:v>
                </c:pt>
                <c:pt idx="159">
                  <c:v>8.8698940410835272E-2</c:v>
                </c:pt>
                <c:pt idx="160">
                  <c:v>9.560796904320322E-2</c:v>
                </c:pt>
                <c:pt idx="161">
                  <c:v>9.7376896017022721E-2</c:v>
                </c:pt>
                <c:pt idx="162">
                  <c:v>0.10149621920959982</c:v>
                </c:pt>
                <c:pt idx="163">
                  <c:v>0.10139272734135327</c:v>
                </c:pt>
                <c:pt idx="164">
                  <c:v>9.6607872347212978E-2</c:v>
                </c:pt>
                <c:pt idx="165">
                  <c:v>8.7639800270932239E-2</c:v>
                </c:pt>
                <c:pt idx="166">
                  <c:v>8.4471080760530476E-2</c:v>
                </c:pt>
                <c:pt idx="167">
                  <c:v>7.807241648080028E-2</c:v>
                </c:pt>
                <c:pt idx="168">
                  <c:v>7.2370676714288706E-2</c:v>
                </c:pt>
                <c:pt idx="169">
                  <c:v>9.9669363991159443E-2</c:v>
                </c:pt>
                <c:pt idx="170">
                  <c:v>0.1106963864590281</c:v>
                </c:pt>
                <c:pt idx="171">
                  <c:v>0.11847543378941928</c:v>
                </c:pt>
                <c:pt idx="172">
                  <c:v>0.11963658433853321</c:v>
                </c:pt>
                <c:pt idx="173">
                  <c:v>0.11679744905193273</c:v>
                </c:pt>
                <c:pt idx="174">
                  <c:v>0.10733180464653456</c:v>
                </c:pt>
                <c:pt idx="175">
                  <c:v>0.10406731708130471</c:v>
                </c:pt>
                <c:pt idx="176">
                  <c:v>0.11914415045320093</c:v>
                </c:pt>
                <c:pt idx="177">
                  <c:v>0.13220472889167678</c:v>
                </c:pt>
                <c:pt idx="178">
                  <c:v>0.14589609310817039</c:v>
                </c:pt>
                <c:pt idx="179">
                  <c:v>0.1466000842403396</c:v>
                </c:pt>
                <c:pt idx="180">
                  <c:v>0.15078022583358122</c:v>
                </c:pt>
                <c:pt idx="181">
                  <c:v>0.13942157922290555</c:v>
                </c:pt>
                <c:pt idx="182">
                  <c:v>0.12799616475206488</c:v>
                </c:pt>
                <c:pt idx="183">
                  <c:v>0.11356848339028447</c:v>
                </c:pt>
                <c:pt idx="184">
                  <c:v>0.10754349662581443</c:v>
                </c:pt>
                <c:pt idx="185">
                  <c:v>9.5999694263063817E-2</c:v>
                </c:pt>
                <c:pt idx="186">
                  <c:v>8.9135013263106147E-2</c:v>
                </c:pt>
                <c:pt idx="187">
                  <c:v>9.0148770522791813E-2</c:v>
                </c:pt>
                <c:pt idx="188">
                  <c:v>8.830752210551604E-2</c:v>
                </c:pt>
                <c:pt idx="189">
                  <c:v>0.10718704879007826</c:v>
                </c:pt>
                <c:pt idx="190">
                  <c:v>0.11292932183497847</c:v>
                </c:pt>
                <c:pt idx="191">
                  <c:v>0.11207918237636166</c:v>
                </c:pt>
                <c:pt idx="192">
                  <c:v>0.1128329185598297</c:v>
                </c:pt>
                <c:pt idx="193">
                  <c:v>0.12894284566195205</c:v>
                </c:pt>
                <c:pt idx="194">
                  <c:v>0.10832341973316351</c:v>
                </c:pt>
                <c:pt idx="195">
                  <c:v>0.10754534309148114</c:v>
                </c:pt>
                <c:pt idx="196">
                  <c:v>0.1141523445516492</c:v>
                </c:pt>
                <c:pt idx="197">
                  <c:v>0.10873425337224588</c:v>
                </c:pt>
                <c:pt idx="198">
                  <c:v>9.5428774496331359E-2</c:v>
                </c:pt>
                <c:pt idx="199">
                  <c:v>0.1092485820830351</c:v>
                </c:pt>
                <c:pt idx="200">
                  <c:v>0.11191154773547934</c:v>
                </c:pt>
                <c:pt idx="201">
                  <c:v>0.10882431471196706</c:v>
                </c:pt>
                <c:pt idx="202">
                  <c:v>0.11305105230121203</c:v>
                </c:pt>
                <c:pt idx="203">
                  <c:v>0.11621838784453849</c:v>
                </c:pt>
                <c:pt idx="204">
                  <c:v>0.11387056199691228</c:v>
                </c:pt>
                <c:pt idx="205">
                  <c:v>0.10655903973119378</c:v>
                </c:pt>
                <c:pt idx="206">
                  <c:v>0.11850671445991473</c:v>
                </c:pt>
                <c:pt idx="207">
                  <c:v>0.11515424398573081</c:v>
                </c:pt>
                <c:pt idx="208">
                  <c:v>0.11343651498054062</c:v>
                </c:pt>
                <c:pt idx="209">
                  <c:v>0.10469622278725724</c:v>
                </c:pt>
                <c:pt idx="210">
                  <c:v>0.11655605635407851</c:v>
                </c:pt>
                <c:pt idx="211">
                  <c:v>9.9901904236813485E-2</c:v>
                </c:pt>
                <c:pt idx="212">
                  <c:v>0.10874056894458013</c:v>
                </c:pt>
                <c:pt idx="213">
                  <c:v>0.10853243704604508</c:v>
                </c:pt>
                <c:pt idx="214">
                  <c:v>0.10919174143799697</c:v>
                </c:pt>
                <c:pt idx="215">
                  <c:v>0.17255750406548731</c:v>
                </c:pt>
                <c:pt idx="216">
                  <c:v>0.17434098506370896</c:v>
                </c:pt>
                <c:pt idx="217">
                  <c:v>0.17052728529242725</c:v>
                </c:pt>
                <c:pt idx="218">
                  <c:v>0.17425684051944543</c:v>
                </c:pt>
                <c:pt idx="219">
                  <c:v>0.18612336514169667</c:v>
                </c:pt>
                <c:pt idx="220">
                  <c:v>0.15766749369761876</c:v>
                </c:pt>
                <c:pt idx="221">
                  <c:v>0.20309326731796093</c:v>
                </c:pt>
                <c:pt idx="222">
                  <c:v>0.27231178818641916</c:v>
                </c:pt>
                <c:pt idx="223">
                  <c:v>0.27450288869032902</c:v>
                </c:pt>
                <c:pt idx="224">
                  <c:v>0.27253586385585321</c:v>
                </c:pt>
                <c:pt idx="225">
                  <c:v>0.25653287563142618</c:v>
                </c:pt>
                <c:pt idx="226">
                  <c:v>0.22415856287962035</c:v>
                </c:pt>
                <c:pt idx="227">
                  <c:v>0.13503713452777893</c:v>
                </c:pt>
                <c:pt idx="228">
                  <c:v>0.14531179548909892</c:v>
                </c:pt>
                <c:pt idx="229">
                  <c:v>0.16918397674394517</c:v>
                </c:pt>
                <c:pt idx="230">
                  <c:v>0.17987204263291087</c:v>
                </c:pt>
                <c:pt idx="231">
                  <c:v>0.2082007299608703</c:v>
                </c:pt>
                <c:pt idx="232">
                  <c:v>0.21214684650682103</c:v>
                </c:pt>
                <c:pt idx="233">
                  <c:v>0.24754964540446198</c:v>
                </c:pt>
                <c:pt idx="234">
                  <c:v>0.22856084760530621</c:v>
                </c:pt>
                <c:pt idx="235">
                  <c:v>0.21929180007724774</c:v>
                </c:pt>
                <c:pt idx="236">
                  <c:v>0.19909655653788233</c:v>
                </c:pt>
                <c:pt idx="237">
                  <c:v>0.19374124985455402</c:v>
                </c:pt>
                <c:pt idx="238">
                  <c:v>0.12905515351182534</c:v>
                </c:pt>
                <c:pt idx="239">
                  <c:v>0.12883085307552433</c:v>
                </c:pt>
                <c:pt idx="240">
                  <c:v>0.12317410508546324</c:v>
                </c:pt>
                <c:pt idx="241">
                  <c:v>0.11933408427071915</c:v>
                </c:pt>
                <c:pt idx="242">
                  <c:v>0.14076789338271137</c:v>
                </c:pt>
                <c:pt idx="243">
                  <c:v>0.14838961945249579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B-442E-969C-354317736039}"/>
            </c:ext>
          </c:extLst>
        </c:ser>
        <c:ser>
          <c:idx val="1"/>
          <c:order val="1"/>
          <c:tx>
            <c:strRef>
              <c:f>走势图!$D$6</c:f>
              <c:strCache>
                <c:ptCount val="1"/>
                <c:pt idx="0">
                  <c:v>HV10</c:v>
                </c:pt>
              </c:strCache>
            </c:strRef>
          </c:tx>
          <c:spPr>
            <a:ln w="28575" cap="rnd">
              <a:solidFill>
                <a:srgbClr val="F68717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作图数据!$R$3:$R$246</c:f>
              <c:numCache>
                <c:formatCode>General</c:formatCode>
                <c:ptCount val="244"/>
                <c:pt idx="0">
                  <c:v>0.1595400157038743</c:v>
                </c:pt>
                <c:pt idx="1">
                  <c:v>0.1587476426140777</c:v>
                </c:pt>
                <c:pt idx="2">
                  <c:v>0.15385897542794524</c:v>
                </c:pt>
                <c:pt idx="3">
                  <c:v>0.15429045227626653</c:v>
                </c:pt>
                <c:pt idx="4">
                  <c:v>0.14816908820880778</c:v>
                </c:pt>
                <c:pt idx="5">
                  <c:v>0.15129887144942722</c:v>
                </c:pt>
                <c:pt idx="6">
                  <c:v>0.14677341358531834</c:v>
                </c:pt>
                <c:pt idx="7">
                  <c:v>0.14347752992336299</c:v>
                </c:pt>
                <c:pt idx="8">
                  <c:v>0.11010213245065373</c:v>
                </c:pt>
                <c:pt idx="9">
                  <c:v>0.11347410700443734</c:v>
                </c:pt>
                <c:pt idx="10">
                  <c:v>0.1127720247206833</c:v>
                </c:pt>
                <c:pt idx="11">
                  <c:v>0.11823485173896765</c:v>
                </c:pt>
                <c:pt idx="12">
                  <c:v>0.12184982405802215</c:v>
                </c:pt>
                <c:pt idx="13">
                  <c:v>0.12138421300549086</c:v>
                </c:pt>
                <c:pt idx="14">
                  <c:v>0.13359414247841575</c:v>
                </c:pt>
                <c:pt idx="15">
                  <c:v>0.13280987916593498</c:v>
                </c:pt>
                <c:pt idx="16">
                  <c:v>0.1430876574207223</c:v>
                </c:pt>
                <c:pt idx="17">
                  <c:v>0.13998365837195711</c:v>
                </c:pt>
                <c:pt idx="18">
                  <c:v>0.14204601359454883</c:v>
                </c:pt>
                <c:pt idx="19">
                  <c:v>0.14041638042234528</c:v>
                </c:pt>
                <c:pt idx="20">
                  <c:v>0.145772369798154</c:v>
                </c:pt>
                <c:pt idx="21">
                  <c:v>0.15040636887920447</c:v>
                </c:pt>
                <c:pt idx="22">
                  <c:v>0.15191768968994507</c:v>
                </c:pt>
                <c:pt idx="23">
                  <c:v>0.15528204243998014</c:v>
                </c:pt>
                <c:pt idx="24">
                  <c:v>0.14431108037631546</c:v>
                </c:pt>
                <c:pt idx="25">
                  <c:v>0.15276646662701746</c:v>
                </c:pt>
                <c:pt idx="26">
                  <c:v>0.15605137500831173</c:v>
                </c:pt>
                <c:pt idx="27">
                  <c:v>0.15589811358517755</c:v>
                </c:pt>
                <c:pt idx="28">
                  <c:v>0.15653424471771643</c:v>
                </c:pt>
                <c:pt idx="29">
                  <c:v>0.16321541275162396</c:v>
                </c:pt>
                <c:pt idx="30">
                  <c:v>0.1739456977683442</c:v>
                </c:pt>
                <c:pt idx="31">
                  <c:v>0.16790421975719416</c:v>
                </c:pt>
                <c:pt idx="32">
                  <c:v>0.17237834074415617</c:v>
                </c:pt>
                <c:pt idx="33">
                  <c:v>0.17177492931419147</c:v>
                </c:pt>
                <c:pt idx="34">
                  <c:v>0.19229391733907769</c:v>
                </c:pt>
                <c:pt idx="35">
                  <c:v>0.18975837371252111</c:v>
                </c:pt>
                <c:pt idx="36">
                  <c:v>0.19340314797831087</c:v>
                </c:pt>
                <c:pt idx="37">
                  <c:v>0.20882167186460004</c:v>
                </c:pt>
                <c:pt idx="38">
                  <c:v>0.21624626440700787</c:v>
                </c:pt>
                <c:pt idx="39">
                  <c:v>0.21570266250666756</c:v>
                </c:pt>
                <c:pt idx="40">
                  <c:v>0.20972184620673701</c:v>
                </c:pt>
                <c:pt idx="41">
                  <c:v>0.21179372851589454</c:v>
                </c:pt>
                <c:pt idx="42">
                  <c:v>0.21086399542839773</c:v>
                </c:pt>
                <c:pt idx="43">
                  <c:v>0.21552089540322819</c:v>
                </c:pt>
                <c:pt idx="44">
                  <c:v>0.20216021700686043</c:v>
                </c:pt>
                <c:pt idx="45">
                  <c:v>0.19799111264967292</c:v>
                </c:pt>
                <c:pt idx="46">
                  <c:v>0.1870896851017195</c:v>
                </c:pt>
                <c:pt idx="47">
                  <c:v>0.17160743762891426</c:v>
                </c:pt>
                <c:pt idx="48">
                  <c:v>0.1686864222690603</c:v>
                </c:pt>
                <c:pt idx="49">
                  <c:v>0.16273200831017165</c:v>
                </c:pt>
                <c:pt idx="50">
                  <c:v>0.16298269936478355</c:v>
                </c:pt>
                <c:pt idx="51">
                  <c:v>0.25079227975436363</c:v>
                </c:pt>
                <c:pt idx="52">
                  <c:v>0.25375756661478149</c:v>
                </c:pt>
                <c:pt idx="53">
                  <c:v>0.25392286499938721</c:v>
                </c:pt>
                <c:pt idx="54">
                  <c:v>0.25714058365505488</c:v>
                </c:pt>
                <c:pt idx="55">
                  <c:v>0.26622609372891259</c:v>
                </c:pt>
                <c:pt idx="56">
                  <c:v>0.28199604107853765</c:v>
                </c:pt>
                <c:pt idx="57">
                  <c:v>0.32111057250851288</c:v>
                </c:pt>
                <c:pt idx="58">
                  <c:v>0.35171837760777608</c:v>
                </c:pt>
                <c:pt idx="59">
                  <c:v>0.42902656325295013</c:v>
                </c:pt>
                <c:pt idx="60">
                  <c:v>0.49283838469940006</c:v>
                </c:pt>
                <c:pt idx="61">
                  <c:v>0.52174824220130189</c:v>
                </c:pt>
                <c:pt idx="62">
                  <c:v>0.52638265695308117</c:v>
                </c:pt>
                <c:pt idx="63">
                  <c:v>0.52747639197259477</c:v>
                </c:pt>
                <c:pt idx="64">
                  <c:v>0.53069727637739639</c:v>
                </c:pt>
                <c:pt idx="65">
                  <c:v>0.52574638176035215</c:v>
                </c:pt>
                <c:pt idx="66">
                  <c:v>0.51730533989996907</c:v>
                </c:pt>
                <c:pt idx="67">
                  <c:v>0.49713085046339223</c:v>
                </c:pt>
                <c:pt idx="68">
                  <c:v>0.47345622202569804</c:v>
                </c:pt>
                <c:pt idx="69">
                  <c:v>0.40378590947903964</c:v>
                </c:pt>
                <c:pt idx="70">
                  <c:v>0.31940313674792048</c:v>
                </c:pt>
                <c:pt idx="71">
                  <c:v>0.18479977113943841</c:v>
                </c:pt>
                <c:pt idx="72">
                  <c:v>0.16071059560482231</c:v>
                </c:pt>
                <c:pt idx="73">
                  <c:v>0.15030494651601783</c:v>
                </c:pt>
                <c:pt idx="74">
                  <c:v>0.12419396821283145</c:v>
                </c:pt>
                <c:pt idx="75">
                  <c:v>0.12172751912747935</c:v>
                </c:pt>
                <c:pt idx="76">
                  <c:v>0.11768588282417729</c:v>
                </c:pt>
                <c:pt idx="77">
                  <c:v>9.9215127761453956E-2</c:v>
                </c:pt>
                <c:pt idx="78">
                  <c:v>9.9331429523043191E-2</c:v>
                </c:pt>
                <c:pt idx="79">
                  <c:v>0.11007105765805908</c:v>
                </c:pt>
                <c:pt idx="80">
                  <c:v>0.10878212168290492</c:v>
                </c:pt>
                <c:pt idx="81">
                  <c:v>0.11120116630465308</c:v>
                </c:pt>
                <c:pt idx="82">
                  <c:v>0.10911862448218639</c:v>
                </c:pt>
                <c:pt idx="83">
                  <c:v>0.10574018819798259</c:v>
                </c:pt>
                <c:pt idx="84">
                  <c:v>0.10017424276278285</c:v>
                </c:pt>
                <c:pt idx="85">
                  <c:v>9.9708619038764212E-2</c:v>
                </c:pt>
                <c:pt idx="86">
                  <c:v>9.9829105126673617E-2</c:v>
                </c:pt>
                <c:pt idx="87">
                  <c:v>0.10205259623117217</c:v>
                </c:pt>
                <c:pt idx="88">
                  <c:v>0.1017621110866347</c:v>
                </c:pt>
                <c:pt idx="89">
                  <c:v>8.8116258345961082E-2</c:v>
                </c:pt>
                <c:pt idx="90">
                  <c:v>0.10194170642979436</c:v>
                </c:pt>
                <c:pt idx="91">
                  <c:v>9.7011918966325494E-2</c:v>
                </c:pt>
                <c:pt idx="92">
                  <c:v>9.7889853174195143E-2</c:v>
                </c:pt>
                <c:pt idx="93">
                  <c:v>9.4773793738609724E-2</c:v>
                </c:pt>
                <c:pt idx="94">
                  <c:v>9.6063094487471551E-2</c:v>
                </c:pt>
                <c:pt idx="95">
                  <c:v>0.10281175252539182</c:v>
                </c:pt>
                <c:pt idx="96">
                  <c:v>0.10218207006234296</c:v>
                </c:pt>
                <c:pt idx="97">
                  <c:v>0.12182357689152749</c:v>
                </c:pt>
                <c:pt idx="98">
                  <c:v>0.12946330003386192</c:v>
                </c:pt>
                <c:pt idx="99">
                  <c:v>0.13074159209710051</c:v>
                </c:pt>
                <c:pt idx="100">
                  <c:v>0.12054865525772739</c:v>
                </c:pt>
                <c:pt idx="101">
                  <c:v>0.12680824839727931</c:v>
                </c:pt>
                <c:pt idx="102">
                  <c:v>0.12872238240782682</c:v>
                </c:pt>
                <c:pt idx="103">
                  <c:v>0.12891284316814983</c:v>
                </c:pt>
                <c:pt idx="104">
                  <c:v>0.13093581951927527</c:v>
                </c:pt>
                <c:pt idx="105">
                  <c:v>0.13115726516575121</c:v>
                </c:pt>
                <c:pt idx="106">
                  <c:v>0.13240170723112046</c:v>
                </c:pt>
                <c:pt idx="107">
                  <c:v>0.11781038550135305</c:v>
                </c:pt>
                <c:pt idx="108">
                  <c:v>0.11485183392237022</c:v>
                </c:pt>
                <c:pt idx="109">
                  <c:v>0.12492857292123918</c:v>
                </c:pt>
                <c:pt idx="110">
                  <c:v>0.12649378067330935</c:v>
                </c:pt>
                <c:pt idx="111">
                  <c:v>0.12223543995090705</c:v>
                </c:pt>
                <c:pt idx="112">
                  <c:v>0.12120929968349034</c:v>
                </c:pt>
                <c:pt idx="113">
                  <c:v>0.12140953045454585</c:v>
                </c:pt>
                <c:pt idx="114">
                  <c:v>0.11719860682483715</c:v>
                </c:pt>
                <c:pt idx="115">
                  <c:v>0.11303095932726318</c:v>
                </c:pt>
                <c:pt idx="116">
                  <c:v>0.10852616823393202</c:v>
                </c:pt>
                <c:pt idx="117">
                  <c:v>0.11859569735115946</c:v>
                </c:pt>
                <c:pt idx="118">
                  <c:v>0.11284789623668048</c:v>
                </c:pt>
                <c:pt idx="119">
                  <c:v>0.11441091963985399</c:v>
                </c:pt>
                <c:pt idx="120">
                  <c:v>0.11373193557439369</c:v>
                </c:pt>
                <c:pt idx="121">
                  <c:v>0.11240769101149543</c:v>
                </c:pt>
                <c:pt idx="122">
                  <c:v>0.11136671759333647</c:v>
                </c:pt>
                <c:pt idx="123">
                  <c:v>0.11346968065361714</c:v>
                </c:pt>
                <c:pt idx="124">
                  <c:v>0.11745627342545056</c:v>
                </c:pt>
                <c:pt idx="125">
                  <c:v>0.1164601112466952</c:v>
                </c:pt>
                <c:pt idx="126">
                  <c:v>0.11866960259005363</c:v>
                </c:pt>
                <c:pt idx="127">
                  <c:v>0.10785995896748989</c:v>
                </c:pt>
                <c:pt idx="128">
                  <c:v>0.11335745666890215</c:v>
                </c:pt>
                <c:pt idx="129">
                  <c:v>0.10293703279370854</c:v>
                </c:pt>
                <c:pt idx="130">
                  <c:v>0.10201996173962234</c:v>
                </c:pt>
                <c:pt idx="131">
                  <c:v>0.10222807460840563</c:v>
                </c:pt>
                <c:pt idx="132">
                  <c:v>0.10203868742606466</c:v>
                </c:pt>
                <c:pt idx="133">
                  <c:v>9.863755342398968E-2</c:v>
                </c:pt>
                <c:pt idx="134">
                  <c:v>0.10004351847166705</c:v>
                </c:pt>
                <c:pt idx="135">
                  <c:v>9.9628930169640265E-2</c:v>
                </c:pt>
                <c:pt idx="136">
                  <c:v>9.7223843250073508E-2</c:v>
                </c:pt>
                <c:pt idx="137">
                  <c:v>9.7239331104569449E-2</c:v>
                </c:pt>
                <c:pt idx="138">
                  <c:v>9.5105478164786802E-2</c:v>
                </c:pt>
                <c:pt idx="139">
                  <c:v>9.6340061572072699E-2</c:v>
                </c:pt>
                <c:pt idx="140">
                  <c:v>9.4504293977164755E-2</c:v>
                </c:pt>
                <c:pt idx="141">
                  <c:v>9.7329731379859355E-2</c:v>
                </c:pt>
                <c:pt idx="142">
                  <c:v>9.847570666550047E-2</c:v>
                </c:pt>
                <c:pt idx="143">
                  <c:v>0.10205265363290759</c:v>
                </c:pt>
                <c:pt idx="144">
                  <c:v>0.10350824020661506</c:v>
                </c:pt>
                <c:pt idx="145">
                  <c:v>0.1059604518948441</c:v>
                </c:pt>
                <c:pt idx="146">
                  <c:v>0.10700912665557122</c:v>
                </c:pt>
                <c:pt idx="147">
                  <c:v>0.10129998532157951</c:v>
                </c:pt>
                <c:pt idx="148">
                  <c:v>9.9987518038420195E-2</c:v>
                </c:pt>
                <c:pt idx="149">
                  <c:v>9.577090372137409E-2</c:v>
                </c:pt>
                <c:pt idx="150">
                  <c:v>9.6285513877999121E-2</c:v>
                </c:pt>
                <c:pt idx="151">
                  <c:v>9.3634320894192297E-2</c:v>
                </c:pt>
                <c:pt idx="152">
                  <c:v>9.4369954814369494E-2</c:v>
                </c:pt>
                <c:pt idx="153">
                  <c:v>9.5645859434224462E-2</c:v>
                </c:pt>
                <c:pt idx="154">
                  <c:v>9.1123128654717764E-2</c:v>
                </c:pt>
                <c:pt idx="155">
                  <c:v>9.0677440977386656E-2</c:v>
                </c:pt>
                <c:pt idx="156">
                  <c:v>9.0537949254185318E-2</c:v>
                </c:pt>
                <c:pt idx="157">
                  <c:v>9.6187014867044979E-2</c:v>
                </c:pt>
                <c:pt idx="158">
                  <c:v>9.4921876198764243E-2</c:v>
                </c:pt>
                <c:pt idx="159">
                  <c:v>9.273775668372701E-2</c:v>
                </c:pt>
                <c:pt idx="160">
                  <c:v>9.1710463787113727E-2</c:v>
                </c:pt>
                <c:pt idx="161">
                  <c:v>9.1152683347124008E-2</c:v>
                </c:pt>
                <c:pt idx="162">
                  <c:v>9.0544974264159667E-2</c:v>
                </c:pt>
                <c:pt idx="163">
                  <c:v>8.8085186058162179E-2</c:v>
                </c:pt>
                <c:pt idx="164">
                  <c:v>9.8150555571167364E-2</c:v>
                </c:pt>
                <c:pt idx="165">
                  <c:v>9.9835926816490755E-2</c:v>
                </c:pt>
                <c:pt idx="166">
                  <c:v>0.1028877832797537</c:v>
                </c:pt>
                <c:pt idx="167">
                  <c:v>0.1010153813222088</c:v>
                </c:pt>
                <c:pt idx="168">
                  <c:v>9.7157498303329412E-2</c:v>
                </c:pt>
                <c:pt idx="169">
                  <c:v>0.10357146906142659</c:v>
                </c:pt>
                <c:pt idx="170">
                  <c:v>0.10743299413957362</c:v>
                </c:pt>
                <c:pt idx="171">
                  <c:v>0.11881026260135538</c:v>
                </c:pt>
                <c:pt idx="172">
                  <c:v>0.12607736246748011</c:v>
                </c:pt>
                <c:pt idx="173">
                  <c:v>0.13215013070229395</c:v>
                </c:pt>
                <c:pt idx="174">
                  <c:v>0.12847509678524574</c:v>
                </c:pt>
                <c:pt idx="175">
                  <c:v>0.12954667689085383</c:v>
                </c:pt>
                <c:pt idx="176">
                  <c:v>0.12967980825908076</c:v>
                </c:pt>
                <c:pt idx="177">
                  <c:v>0.13011746334093569</c:v>
                </c:pt>
                <c:pt idx="178">
                  <c:v>0.13073536324154464</c:v>
                </c:pt>
                <c:pt idx="179">
                  <c:v>0.12856358031297438</c:v>
                </c:pt>
                <c:pt idx="180">
                  <c:v>0.12639346858328457</c:v>
                </c:pt>
                <c:pt idx="181">
                  <c:v>0.11701159631084229</c:v>
                </c:pt>
                <c:pt idx="182">
                  <c:v>0.11070189478506841</c:v>
                </c:pt>
                <c:pt idx="183">
                  <c:v>0.10172516620774213</c:v>
                </c:pt>
                <c:pt idx="184">
                  <c:v>0.1073654206316754</c:v>
                </c:pt>
                <c:pt idx="185">
                  <c:v>0.10480690108172713</c:v>
                </c:pt>
                <c:pt idx="186">
                  <c:v>0.10125905814189624</c:v>
                </c:pt>
                <c:pt idx="187">
                  <c:v>0.10212264278185357</c:v>
                </c:pt>
                <c:pt idx="188">
                  <c:v>0.11050899490045636</c:v>
                </c:pt>
                <c:pt idx="189">
                  <c:v>0.10775673225143229</c:v>
                </c:pt>
                <c:pt idx="190">
                  <c:v>0.11027019667791596</c:v>
                </c:pt>
                <c:pt idx="191">
                  <c:v>0.113120512924916</c:v>
                </c:pt>
                <c:pt idx="192">
                  <c:v>0.11080253915671094</c:v>
                </c:pt>
                <c:pt idx="193">
                  <c:v>0.11343039374275672</c:v>
                </c:pt>
                <c:pt idx="194">
                  <c:v>0.10878698440034262</c:v>
                </c:pt>
                <c:pt idx="195">
                  <c:v>0.10975016022132919</c:v>
                </c:pt>
                <c:pt idx="196">
                  <c:v>0.11152015342342318</c:v>
                </c:pt>
                <c:pt idx="197">
                  <c:v>0.1109136562440152</c:v>
                </c:pt>
                <c:pt idx="198">
                  <c:v>0.10633288455378052</c:v>
                </c:pt>
                <c:pt idx="199">
                  <c:v>0.11158350589725684</c:v>
                </c:pt>
                <c:pt idx="200">
                  <c:v>0.10926807279572703</c:v>
                </c:pt>
                <c:pt idx="201">
                  <c:v>0.11376856517644278</c:v>
                </c:pt>
                <c:pt idx="202">
                  <c:v>0.1141074939132759</c:v>
                </c:pt>
                <c:pt idx="203">
                  <c:v>0.11483587550089473</c:v>
                </c:pt>
                <c:pt idx="204">
                  <c:v>0.10937962322894436</c:v>
                </c:pt>
                <c:pt idx="205">
                  <c:v>0.11166947483813394</c:v>
                </c:pt>
                <c:pt idx="206">
                  <c:v>0.10959979891000077</c:v>
                </c:pt>
                <c:pt idx="207">
                  <c:v>0.11199332846718192</c:v>
                </c:pt>
                <c:pt idx="208">
                  <c:v>0.11101155980816628</c:v>
                </c:pt>
                <c:pt idx="209">
                  <c:v>0.1069676013197019</c:v>
                </c:pt>
                <c:pt idx="210">
                  <c:v>0.14724368659152384</c:v>
                </c:pt>
                <c:pt idx="211">
                  <c:v>0.14208302070114825</c:v>
                </c:pt>
                <c:pt idx="212">
                  <c:v>0.14301060513751393</c:v>
                </c:pt>
                <c:pt idx="213">
                  <c:v>0.14516324665522809</c:v>
                </c:pt>
                <c:pt idx="214">
                  <c:v>0.15258562096398814</c:v>
                </c:pt>
                <c:pt idx="215">
                  <c:v>0.16528026315655375</c:v>
                </c:pt>
                <c:pt idx="216">
                  <c:v>0.18926390873971344</c:v>
                </c:pt>
                <c:pt idx="217">
                  <c:v>0.227192941147486</c:v>
                </c:pt>
                <c:pt idx="218">
                  <c:v>0.2299100719489629</c:v>
                </c:pt>
                <c:pt idx="219">
                  <c:v>0.2333642047737029</c:v>
                </c:pt>
                <c:pt idx="220">
                  <c:v>0.21291800634119395</c:v>
                </c:pt>
                <c:pt idx="221">
                  <c:v>0.21388540920565557</c:v>
                </c:pt>
                <c:pt idx="222">
                  <c:v>0.21492875294706229</c:v>
                </c:pt>
                <c:pt idx="223">
                  <c:v>0.21962166765553992</c:v>
                </c:pt>
                <c:pt idx="224">
                  <c:v>0.22682483888956245</c:v>
                </c:pt>
                <c:pt idx="225">
                  <c:v>0.22154352619819934</c:v>
                </c:pt>
                <c:pt idx="226">
                  <c:v>0.21632684214920711</c:v>
                </c:pt>
                <c:pt idx="227">
                  <c:v>0.17782197865317739</c:v>
                </c:pt>
                <c:pt idx="228">
                  <c:v>0.20297332934173962</c:v>
                </c:pt>
                <c:pt idx="229">
                  <c:v>0.20107620327248046</c:v>
                </c:pt>
                <c:pt idx="230">
                  <c:v>0.20055279267820642</c:v>
                </c:pt>
                <c:pt idx="231">
                  <c:v>0.20369951249509829</c:v>
                </c:pt>
                <c:pt idx="232">
                  <c:v>0.20315259828266213</c:v>
                </c:pt>
                <c:pt idx="233">
                  <c:v>0.19740321627044943</c:v>
                </c:pt>
                <c:pt idx="234">
                  <c:v>0.18552284193896898</c:v>
                </c:pt>
                <c:pt idx="235">
                  <c:v>0.17784930945146274</c:v>
                </c:pt>
                <c:pt idx="236">
                  <c:v>0.16413418671010205</c:v>
                </c:pt>
                <c:pt idx="237">
                  <c:v>0.16933881968203734</c:v>
                </c:pt>
                <c:pt idx="238">
                  <c:v>0.13905882174320572</c:v>
                </c:pt>
                <c:pt idx="239">
                  <c:v>0.13449634135709837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9B-442E-969C-354317736039}"/>
            </c:ext>
          </c:extLst>
        </c:ser>
        <c:ser>
          <c:idx val="2"/>
          <c:order val="2"/>
          <c:tx>
            <c:strRef>
              <c:f>走势图!$E$6</c:f>
              <c:strCache>
                <c:ptCount val="1"/>
                <c:pt idx="0">
                  <c:v>HV20</c:v>
                </c:pt>
              </c:strCache>
            </c:strRef>
          </c:tx>
          <c:spPr>
            <a:ln w="28575" cap="rnd">
              <a:solidFill>
                <a:srgbClr val="5FBEBF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作图数据!$S$3:$S$246</c:f>
              <c:numCache>
                <c:formatCode>General</c:formatCode>
                <c:ptCount val="244"/>
                <c:pt idx="0">
                  <c:v>0.13814945922875496</c:v>
                </c:pt>
                <c:pt idx="1">
                  <c:v>0.13996480665021224</c:v>
                </c:pt>
                <c:pt idx="2">
                  <c:v>0.13878033712076795</c:v>
                </c:pt>
                <c:pt idx="3">
                  <c:v>0.1388158327255527</c:v>
                </c:pt>
                <c:pt idx="4">
                  <c:v>0.1410699713000125</c:v>
                </c:pt>
                <c:pt idx="5">
                  <c:v>0.14235486030680608</c:v>
                </c:pt>
                <c:pt idx="6">
                  <c:v>0.14494225167568789</c:v>
                </c:pt>
                <c:pt idx="7">
                  <c:v>0.14174135988501438</c:v>
                </c:pt>
                <c:pt idx="8">
                  <c:v>0.12708176412901273</c:v>
                </c:pt>
                <c:pt idx="9">
                  <c:v>0.12765800572499808</c:v>
                </c:pt>
                <c:pt idx="10">
                  <c:v>0.13032097558753189</c:v>
                </c:pt>
                <c:pt idx="11">
                  <c:v>0.13528036806048943</c:v>
                </c:pt>
                <c:pt idx="12">
                  <c:v>0.13770686995154124</c:v>
                </c:pt>
                <c:pt idx="13">
                  <c:v>0.13936757132004232</c:v>
                </c:pt>
                <c:pt idx="14">
                  <c:v>0.13905589312201519</c:v>
                </c:pt>
                <c:pt idx="15">
                  <c:v>0.14313639881206644</c:v>
                </c:pt>
                <c:pt idx="16">
                  <c:v>0.14970990172352447</c:v>
                </c:pt>
                <c:pt idx="17">
                  <c:v>0.14815472727964796</c:v>
                </c:pt>
                <c:pt idx="18">
                  <c:v>0.1494657816148042</c:v>
                </c:pt>
                <c:pt idx="19">
                  <c:v>0.15224327711034691</c:v>
                </c:pt>
                <c:pt idx="20">
                  <c:v>0.16047848698296899</c:v>
                </c:pt>
                <c:pt idx="21">
                  <c:v>0.15939558151294453</c:v>
                </c:pt>
                <c:pt idx="22">
                  <c:v>0.16247042315209076</c:v>
                </c:pt>
                <c:pt idx="23">
                  <c:v>0.16373628041034044</c:v>
                </c:pt>
                <c:pt idx="24">
                  <c:v>0.17000388019834636</c:v>
                </c:pt>
                <c:pt idx="25">
                  <c:v>0.17225828531557555</c:v>
                </c:pt>
                <c:pt idx="26">
                  <c:v>0.17572252173512815</c:v>
                </c:pt>
                <c:pt idx="27">
                  <c:v>0.18426979196241527</c:v>
                </c:pt>
                <c:pt idx="28">
                  <c:v>0.18876627961494008</c:v>
                </c:pt>
                <c:pt idx="29">
                  <c:v>0.19126801819978725</c:v>
                </c:pt>
                <c:pt idx="30">
                  <c:v>0.19266597850746559</c:v>
                </c:pt>
                <c:pt idx="31">
                  <c:v>0.1911130692168076</c:v>
                </c:pt>
                <c:pt idx="32">
                  <c:v>0.19258493830740731</c:v>
                </c:pt>
                <c:pt idx="33">
                  <c:v>0.19487929943468177</c:v>
                </c:pt>
                <c:pt idx="34">
                  <c:v>0.1972887528292844</c:v>
                </c:pt>
                <c:pt idx="35">
                  <c:v>0.19391843785761617</c:v>
                </c:pt>
                <c:pt idx="36">
                  <c:v>0.19027260433307389</c:v>
                </c:pt>
                <c:pt idx="37">
                  <c:v>0.19112247812579292</c:v>
                </c:pt>
                <c:pt idx="38">
                  <c:v>0.1939298274220875</c:v>
                </c:pt>
                <c:pt idx="39">
                  <c:v>0.19106196003015238</c:v>
                </c:pt>
                <c:pt idx="40">
                  <c:v>0.18781189135487888</c:v>
                </c:pt>
                <c:pt idx="41">
                  <c:v>0.23211349704730164</c:v>
                </c:pt>
                <c:pt idx="42">
                  <c:v>0.23329865749965492</c:v>
                </c:pt>
                <c:pt idx="43">
                  <c:v>0.23550592107726956</c:v>
                </c:pt>
                <c:pt idx="44">
                  <c:v>0.23128989720989024</c:v>
                </c:pt>
                <c:pt idx="45">
                  <c:v>0.23460265734898572</c:v>
                </c:pt>
                <c:pt idx="46">
                  <c:v>0.23929512892600727</c:v>
                </c:pt>
                <c:pt idx="47">
                  <c:v>0.25745010431761978</c:v>
                </c:pt>
                <c:pt idx="48">
                  <c:v>0.27582687161060099</c:v>
                </c:pt>
                <c:pt idx="49">
                  <c:v>0.32445762320008709</c:v>
                </c:pt>
                <c:pt idx="50">
                  <c:v>0.36705110933311808</c:v>
                </c:pt>
                <c:pt idx="51">
                  <c:v>0.40933970966944999</c:v>
                </c:pt>
                <c:pt idx="52">
                  <c:v>0.41320189021544923</c:v>
                </c:pt>
                <c:pt idx="53">
                  <c:v>0.41394937218090055</c:v>
                </c:pt>
                <c:pt idx="54">
                  <c:v>0.41698973543532758</c:v>
                </c:pt>
                <c:pt idx="55">
                  <c:v>0.41670468614851075</c:v>
                </c:pt>
                <c:pt idx="56">
                  <c:v>0.41660927850504648</c:v>
                </c:pt>
                <c:pt idx="57">
                  <c:v>0.41848003671573186</c:v>
                </c:pt>
                <c:pt idx="58">
                  <c:v>0.41705312091021046</c:v>
                </c:pt>
                <c:pt idx="59">
                  <c:v>0.4165974391846719</c:v>
                </c:pt>
                <c:pt idx="60">
                  <c:v>0.41527583435442317</c:v>
                </c:pt>
                <c:pt idx="61">
                  <c:v>0.39138994855089032</c:v>
                </c:pt>
                <c:pt idx="62">
                  <c:v>0.38917001238574506</c:v>
                </c:pt>
                <c:pt idx="63">
                  <c:v>0.38782916408878376</c:v>
                </c:pt>
                <c:pt idx="64">
                  <c:v>0.38539832699094362</c:v>
                </c:pt>
                <c:pt idx="65">
                  <c:v>0.38159326962554835</c:v>
                </c:pt>
                <c:pt idx="66">
                  <c:v>0.37513649629510093</c:v>
                </c:pt>
                <c:pt idx="67">
                  <c:v>0.35845691795470858</c:v>
                </c:pt>
                <c:pt idx="68">
                  <c:v>0.34207274596636489</c:v>
                </c:pt>
                <c:pt idx="69">
                  <c:v>0.29593808341254335</c:v>
                </c:pt>
                <c:pt idx="70">
                  <c:v>0.23859161108706767</c:v>
                </c:pt>
                <c:pt idx="71">
                  <c:v>0.15250681099659766</c:v>
                </c:pt>
                <c:pt idx="72">
                  <c:v>0.13735859956431767</c:v>
                </c:pt>
                <c:pt idx="73">
                  <c:v>0.12994722841855411</c:v>
                </c:pt>
                <c:pt idx="74">
                  <c:v>0.1128251316275473</c:v>
                </c:pt>
                <c:pt idx="75">
                  <c:v>0.11126409489037392</c:v>
                </c:pt>
                <c:pt idx="76">
                  <c:v>0.10912336424088666</c:v>
                </c:pt>
                <c:pt idx="77">
                  <c:v>0.10064386214331275</c:v>
                </c:pt>
                <c:pt idx="78">
                  <c:v>0.10055411514179784</c:v>
                </c:pt>
                <c:pt idx="79">
                  <c:v>9.9699831290870095E-2</c:v>
                </c:pt>
                <c:pt idx="80">
                  <c:v>0.10541741200497361</c:v>
                </c:pt>
                <c:pt idx="81">
                  <c:v>0.10434800383582815</c:v>
                </c:pt>
                <c:pt idx="82">
                  <c:v>0.10365639768810676</c:v>
                </c:pt>
                <c:pt idx="83">
                  <c:v>0.10040682093302555</c:v>
                </c:pt>
                <c:pt idx="84">
                  <c:v>9.8140198276765858E-2</c:v>
                </c:pt>
                <c:pt idx="85">
                  <c:v>0.1012720720829781</c:v>
                </c:pt>
                <c:pt idx="86">
                  <c:v>0.10101243901772201</c:v>
                </c:pt>
                <c:pt idx="87">
                  <c:v>0.11237374311681658</c:v>
                </c:pt>
                <c:pt idx="88">
                  <c:v>0.11643941194558295</c:v>
                </c:pt>
                <c:pt idx="89">
                  <c:v>0.111485063773083</c:v>
                </c:pt>
                <c:pt idx="90">
                  <c:v>0.11163352944851467</c:v>
                </c:pt>
                <c:pt idx="91">
                  <c:v>0.11289739652249514</c:v>
                </c:pt>
                <c:pt idx="92">
                  <c:v>0.11435006577875739</c:v>
                </c:pt>
                <c:pt idx="93">
                  <c:v>0.11313839558988038</c:v>
                </c:pt>
                <c:pt idx="94">
                  <c:v>0.11483097786680455</c:v>
                </c:pt>
                <c:pt idx="95">
                  <c:v>0.11783990127096508</c:v>
                </c:pt>
                <c:pt idx="96">
                  <c:v>0.118261125311619</c:v>
                </c:pt>
                <c:pt idx="97">
                  <c:v>0.11983378242095032</c:v>
                </c:pt>
                <c:pt idx="98">
                  <c:v>0.12237583464677465</c:v>
                </c:pt>
                <c:pt idx="99">
                  <c:v>0.1278681200225881</c:v>
                </c:pt>
                <c:pt idx="100">
                  <c:v>0.1235569804452053</c:v>
                </c:pt>
                <c:pt idx="101">
                  <c:v>0.12454283327750716</c:v>
                </c:pt>
                <c:pt idx="102">
                  <c:v>0.12502229013761701</c:v>
                </c:pt>
                <c:pt idx="103">
                  <c:v>0.12521740138433093</c:v>
                </c:pt>
                <c:pt idx="104">
                  <c:v>0.12425719752768247</c:v>
                </c:pt>
                <c:pt idx="105">
                  <c:v>0.12243003302335705</c:v>
                </c:pt>
                <c:pt idx="106">
                  <c:v>0.12105399883782246</c:v>
                </c:pt>
                <c:pt idx="107">
                  <c:v>0.11820369360173399</c:v>
                </c:pt>
                <c:pt idx="108">
                  <c:v>0.11385427405323069</c:v>
                </c:pt>
                <c:pt idx="109">
                  <c:v>0.11978523879212853</c:v>
                </c:pt>
                <c:pt idx="110">
                  <c:v>0.12028223002282035</c:v>
                </c:pt>
                <c:pt idx="111">
                  <c:v>0.11742442628884255</c:v>
                </c:pt>
                <c:pt idx="112">
                  <c:v>0.11639209620347107</c:v>
                </c:pt>
                <c:pt idx="113">
                  <c:v>0.11750668600728034</c:v>
                </c:pt>
                <c:pt idx="114">
                  <c:v>0.11732751085887096</c:v>
                </c:pt>
                <c:pt idx="115">
                  <c:v>0.11475834452891442</c:v>
                </c:pt>
                <c:pt idx="116">
                  <c:v>0.11371104557258493</c:v>
                </c:pt>
                <c:pt idx="117">
                  <c:v>0.11335499587286926</c:v>
                </c:pt>
                <c:pt idx="118">
                  <c:v>0.11310296341715949</c:v>
                </c:pt>
                <c:pt idx="119">
                  <c:v>0.1088252986515777</c:v>
                </c:pt>
                <c:pt idx="120">
                  <c:v>0.10803477625943426</c:v>
                </c:pt>
                <c:pt idx="121">
                  <c:v>0.10743851319866071</c:v>
                </c:pt>
                <c:pt idx="122">
                  <c:v>0.10680458679089604</c:v>
                </c:pt>
                <c:pt idx="123">
                  <c:v>0.106312594204789</c:v>
                </c:pt>
                <c:pt idx="124">
                  <c:v>0.10909785001361159</c:v>
                </c:pt>
                <c:pt idx="125">
                  <c:v>0.10837177039787547</c:v>
                </c:pt>
                <c:pt idx="126">
                  <c:v>0.10847799379412426</c:v>
                </c:pt>
                <c:pt idx="127">
                  <c:v>0.10268704461160787</c:v>
                </c:pt>
                <c:pt idx="128">
                  <c:v>0.10463021781348533</c:v>
                </c:pt>
                <c:pt idx="129">
                  <c:v>9.9693129613037487E-2</c:v>
                </c:pt>
                <c:pt idx="130">
                  <c:v>9.8333956936239447E-2</c:v>
                </c:pt>
                <c:pt idx="131">
                  <c:v>9.9808957134661327E-2</c:v>
                </c:pt>
                <c:pt idx="132">
                  <c:v>0.10027302362775299</c:v>
                </c:pt>
                <c:pt idx="133">
                  <c:v>0.10035963097527965</c:v>
                </c:pt>
                <c:pt idx="134">
                  <c:v>0.10179062181473572</c:v>
                </c:pt>
                <c:pt idx="135">
                  <c:v>0.10284342733618572</c:v>
                </c:pt>
                <c:pt idx="136">
                  <c:v>0.1022336267670842</c:v>
                </c:pt>
                <c:pt idx="137">
                  <c:v>9.9290418822302065E-2</c:v>
                </c:pt>
                <c:pt idx="138">
                  <c:v>9.7577035567894099E-2</c:v>
                </c:pt>
                <c:pt idx="139">
                  <c:v>9.6055904199896708E-2</c:v>
                </c:pt>
                <c:pt idx="140">
                  <c:v>9.5399061218842035E-2</c:v>
                </c:pt>
                <c:pt idx="141">
                  <c:v>9.5499902250714766E-2</c:v>
                </c:pt>
                <c:pt idx="142">
                  <c:v>9.6444681488757678E-2</c:v>
                </c:pt>
                <c:pt idx="143">
                  <c:v>9.8901148983289458E-2</c:v>
                </c:pt>
                <c:pt idx="144">
                  <c:v>9.7512512957298375E-2</c:v>
                </c:pt>
                <c:pt idx="145">
                  <c:v>9.8615454336445169E-2</c:v>
                </c:pt>
                <c:pt idx="146">
                  <c:v>9.9116278790977425E-2</c:v>
                </c:pt>
                <c:pt idx="147">
                  <c:v>9.8776588458969763E-2</c:v>
                </c:pt>
                <c:pt idx="148">
                  <c:v>9.748760522388715E-2</c:v>
                </c:pt>
                <c:pt idx="149">
                  <c:v>9.4266530418645564E-2</c:v>
                </c:pt>
                <c:pt idx="150">
                  <c:v>9.4025819195574845E-2</c:v>
                </c:pt>
                <c:pt idx="151">
                  <c:v>9.2401833668757982E-2</c:v>
                </c:pt>
                <c:pt idx="152">
                  <c:v>9.2477242433377835E-2</c:v>
                </c:pt>
                <c:pt idx="153">
                  <c:v>9.1943271721786332E-2</c:v>
                </c:pt>
                <c:pt idx="154">
                  <c:v>9.470204890801745E-2</c:v>
                </c:pt>
                <c:pt idx="155">
                  <c:v>9.5366688590710583E-2</c:v>
                </c:pt>
                <c:pt idx="156">
                  <c:v>9.6909793631435939E-2</c:v>
                </c:pt>
                <c:pt idx="157">
                  <c:v>9.8630748483179376E-2</c:v>
                </c:pt>
                <c:pt idx="158">
                  <c:v>9.6046192162039884E-2</c:v>
                </c:pt>
                <c:pt idx="159">
                  <c:v>9.8303969193192287E-2</c:v>
                </c:pt>
                <c:pt idx="160">
                  <c:v>9.9881573370269747E-2</c:v>
                </c:pt>
                <c:pt idx="161">
                  <c:v>0.10588836144917931</c:v>
                </c:pt>
                <c:pt idx="162">
                  <c:v>0.10975858438239286</c:v>
                </c:pt>
                <c:pt idx="163">
                  <c:v>0.11230017152153958</c:v>
                </c:pt>
                <c:pt idx="164">
                  <c:v>0.11432274938284828</c:v>
                </c:pt>
                <c:pt idx="165">
                  <c:v>0.11564937046255587</c:v>
                </c:pt>
                <c:pt idx="166">
                  <c:v>0.11705286971777651</c:v>
                </c:pt>
                <c:pt idx="167">
                  <c:v>0.11647888548992688</c:v>
                </c:pt>
                <c:pt idx="168">
                  <c:v>0.11517663538769501</c:v>
                </c:pt>
                <c:pt idx="169">
                  <c:v>0.11673826147932961</c:v>
                </c:pt>
                <c:pt idx="170">
                  <c:v>0.11729696741669711</c:v>
                </c:pt>
                <c:pt idx="171">
                  <c:v>0.11791435911417776</c:v>
                </c:pt>
                <c:pt idx="172">
                  <c:v>0.11863897090703526</c:v>
                </c:pt>
                <c:pt idx="173">
                  <c:v>0.11792299708840964</c:v>
                </c:pt>
                <c:pt idx="174">
                  <c:v>0.11839168898490056</c:v>
                </c:pt>
                <c:pt idx="175">
                  <c:v>0.11782789993846579</c:v>
                </c:pt>
                <c:pt idx="176">
                  <c:v>0.11634055510847427</c:v>
                </c:pt>
                <c:pt idx="177">
                  <c:v>0.11696065243283703</c:v>
                </c:pt>
                <c:pt idx="178">
                  <c:v>0.12104539056859562</c:v>
                </c:pt>
                <c:pt idx="179">
                  <c:v>0.11861725744679287</c:v>
                </c:pt>
                <c:pt idx="180">
                  <c:v>0.11860612373714101</c:v>
                </c:pt>
                <c:pt idx="181">
                  <c:v>0.11508250109292811</c:v>
                </c:pt>
                <c:pt idx="182">
                  <c:v>0.11075222840326694</c:v>
                </c:pt>
                <c:pt idx="183">
                  <c:v>0.10773686385037756</c:v>
                </c:pt>
                <c:pt idx="184">
                  <c:v>0.10807853978088568</c:v>
                </c:pt>
                <c:pt idx="185">
                  <c:v>0.10730699926603662</c:v>
                </c:pt>
                <c:pt idx="186">
                  <c:v>0.10651324207667272</c:v>
                </c:pt>
                <c:pt idx="187">
                  <c:v>0.10660880195876332</c:v>
                </c:pt>
                <c:pt idx="188">
                  <c:v>0.10844104456209537</c:v>
                </c:pt>
                <c:pt idx="189">
                  <c:v>0.10968680899230777</c:v>
                </c:pt>
                <c:pt idx="190">
                  <c:v>0.10977027832678245</c:v>
                </c:pt>
                <c:pt idx="191">
                  <c:v>0.11344500179977651</c:v>
                </c:pt>
                <c:pt idx="192">
                  <c:v>0.11246715709651144</c:v>
                </c:pt>
                <c:pt idx="193">
                  <c:v>0.11413529806044627</c:v>
                </c:pt>
                <c:pt idx="194">
                  <c:v>0.10908370628243755</c:v>
                </c:pt>
                <c:pt idx="195">
                  <c:v>0.1107139767130421</c:v>
                </c:pt>
                <c:pt idx="196">
                  <c:v>0.11056414550091827</c:v>
                </c:pt>
                <c:pt idx="197">
                  <c:v>0.11145479972296768</c:v>
                </c:pt>
                <c:pt idx="198">
                  <c:v>0.10869739819464332</c:v>
                </c:pt>
                <c:pt idx="199">
                  <c:v>0.10929992342269468</c:v>
                </c:pt>
                <c:pt idx="200">
                  <c:v>0.12965379858213796</c:v>
                </c:pt>
                <c:pt idx="201">
                  <c:v>0.12870678147220804</c:v>
                </c:pt>
                <c:pt idx="202">
                  <c:v>0.12936876235970998</c:v>
                </c:pt>
                <c:pt idx="203">
                  <c:v>0.13088095064130528</c:v>
                </c:pt>
                <c:pt idx="204">
                  <c:v>0.13275216326424155</c:v>
                </c:pt>
                <c:pt idx="205">
                  <c:v>0.14104544834861615</c:v>
                </c:pt>
                <c:pt idx="206">
                  <c:v>0.1546495119173468</c:v>
                </c:pt>
                <c:pt idx="207">
                  <c:v>0.17910770241450133</c:v>
                </c:pt>
                <c:pt idx="208">
                  <c:v>0.18053006341689931</c:v>
                </c:pt>
                <c:pt idx="209">
                  <c:v>0.18152261539785261</c:v>
                </c:pt>
                <c:pt idx="210">
                  <c:v>0.18305023991430822</c:v>
                </c:pt>
                <c:pt idx="211">
                  <c:v>0.18156893049560222</c:v>
                </c:pt>
                <c:pt idx="212">
                  <c:v>0.18254643522290057</c:v>
                </c:pt>
                <c:pt idx="213">
                  <c:v>0.18615322329103923</c:v>
                </c:pt>
                <c:pt idx="214">
                  <c:v>0.19330271501228563</c:v>
                </c:pt>
                <c:pt idx="215">
                  <c:v>0.19544705087239342</c:v>
                </c:pt>
                <c:pt idx="216">
                  <c:v>0.20324631581615757</c:v>
                </c:pt>
                <c:pt idx="217">
                  <c:v>0.20400648102373622</c:v>
                </c:pt>
                <c:pt idx="218">
                  <c:v>0.21686033939801855</c:v>
                </c:pt>
                <c:pt idx="219">
                  <c:v>0.21781929619771828</c:v>
                </c:pt>
                <c:pt idx="220">
                  <c:v>0.20682782703898472</c:v>
                </c:pt>
                <c:pt idx="221">
                  <c:v>0.2088545662199075</c:v>
                </c:pt>
                <c:pt idx="222">
                  <c:v>0.20912358431364941</c:v>
                </c:pt>
                <c:pt idx="223">
                  <c:v>0.208808173568132</c:v>
                </c:pt>
                <c:pt idx="224">
                  <c:v>0.20720549270999991</c:v>
                </c:pt>
                <c:pt idx="225">
                  <c:v>0.20088791759672159</c:v>
                </c:pt>
                <c:pt idx="226">
                  <c:v>0.19201215310656072</c:v>
                </c:pt>
                <c:pt idx="227">
                  <c:v>0.17363221467146678</c:v>
                </c:pt>
                <c:pt idx="228">
                  <c:v>0.1739763321959038</c:v>
                </c:pt>
                <c:pt idx="229">
                  <c:v>0.17105686972600812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B-442E-969C-354317736039}"/>
            </c:ext>
          </c:extLst>
        </c:ser>
        <c:ser>
          <c:idx val="3"/>
          <c:order val="3"/>
          <c:tx>
            <c:strRef>
              <c:f>走势图!$F$6</c:f>
              <c:strCache>
                <c:ptCount val="1"/>
                <c:pt idx="0">
                  <c:v>HV60</c:v>
                </c:pt>
              </c:strCache>
            </c:strRef>
          </c:tx>
          <c:spPr>
            <a:ln w="28575" cap="rnd">
              <a:solidFill>
                <a:srgbClr val="E05D5D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作图数据!$T$3:$T$246</c:f>
              <c:numCache>
                <c:formatCode>General</c:formatCode>
                <c:ptCount val="244"/>
                <c:pt idx="0">
                  <c:v>0.1634135086254471</c:v>
                </c:pt>
                <c:pt idx="1">
                  <c:v>0.181543175781051</c:v>
                </c:pt>
                <c:pt idx="2">
                  <c:v>0.18265165749929085</c:v>
                </c:pt>
                <c:pt idx="3">
                  <c:v>0.18397684981210308</c:v>
                </c:pt>
                <c:pt idx="4">
                  <c:v>0.18465921101355118</c:v>
                </c:pt>
                <c:pt idx="5">
                  <c:v>0.18706169209473658</c:v>
                </c:pt>
                <c:pt idx="6">
                  <c:v>0.19074312542744098</c:v>
                </c:pt>
                <c:pt idx="7">
                  <c:v>0.20027191976999528</c:v>
                </c:pt>
                <c:pt idx="8">
                  <c:v>0.20644849736782517</c:v>
                </c:pt>
                <c:pt idx="9">
                  <c:v>0.22960311442748879</c:v>
                </c:pt>
                <c:pt idx="10">
                  <c:v>0.25088526781180137</c:v>
                </c:pt>
                <c:pt idx="11">
                  <c:v>0.27226456564667595</c:v>
                </c:pt>
                <c:pt idx="12">
                  <c:v>0.27494723286013673</c:v>
                </c:pt>
                <c:pt idx="13">
                  <c:v>0.27613725090539132</c:v>
                </c:pt>
                <c:pt idx="14">
                  <c:v>0.27817250814516775</c:v>
                </c:pt>
                <c:pt idx="15">
                  <c:v>0.27792995800150433</c:v>
                </c:pt>
                <c:pt idx="16">
                  <c:v>0.27819657892112498</c:v>
                </c:pt>
                <c:pt idx="17">
                  <c:v>0.27904788477359416</c:v>
                </c:pt>
                <c:pt idx="18">
                  <c:v>0.27921443581271105</c:v>
                </c:pt>
                <c:pt idx="19">
                  <c:v>0.27882856999184269</c:v>
                </c:pt>
                <c:pt idx="20">
                  <c:v>0.27897471206628632</c:v>
                </c:pt>
                <c:pt idx="21">
                  <c:v>0.27837008863743845</c:v>
                </c:pt>
                <c:pt idx="22">
                  <c:v>0.27825539858834819</c:v>
                </c:pt>
                <c:pt idx="23">
                  <c:v>0.27849839550876615</c:v>
                </c:pt>
                <c:pt idx="24">
                  <c:v>0.27744561405872775</c:v>
                </c:pt>
                <c:pt idx="25">
                  <c:v>0.27708286794061215</c:v>
                </c:pt>
                <c:pt idx="26">
                  <c:v>0.27620521007952958</c:v>
                </c:pt>
                <c:pt idx="27">
                  <c:v>0.2761203086051523</c:v>
                </c:pt>
                <c:pt idx="28">
                  <c:v>0.27612010367176926</c:v>
                </c:pt>
                <c:pt idx="29">
                  <c:v>0.27654749637425952</c:v>
                </c:pt>
                <c:pt idx="30">
                  <c:v>0.27614769781044968</c:v>
                </c:pt>
                <c:pt idx="31">
                  <c:v>0.27528260057505138</c:v>
                </c:pt>
                <c:pt idx="32">
                  <c:v>0.2748891567006348</c:v>
                </c:pt>
                <c:pt idx="33">
                  <c:v>0.27460171536899147</c:v>
                </c:pt>
                <c:pt idx="34">
                  <c:v>0.27418533985738686</c:v>
                </c:pt>
                <c:pt idx="35">
                  <c:v>0.27302433030228951</c:v>
                </c:pt>
                <c:pt idx="36">
                  <c:v>0.27183013293809982</c:v>
                </c:pt>
                <c:pt idx="37">
                  <c:v>0.27189613811261737</c:v>
                </c:pt>
                <c:pt idx="38">
                  <c:v>0.27181685850148996</c:v>
                </c:pt>
                <c:pt idx="39">
                  <c:v>0.27080014479637793</c:v>
                </c:pt>
                <c:pt idx="40">
                  <c:v>0.27008650212286028</c:v>
                </c:pt>
                <c:pt idx="41">
                  <c:v>0.26953742674114739</c:v>
                </c:pt>
                <c:pt idx="42">
                  <c:v>0.26871683417874231</c:v>
                </c:pt>
                <c:pt idx="43">
                  <c:v>0.26830084424648787</c:v>
                </c:pt>
                <c:pt idx="44">
                  <c:v>0.26561776140197069</c:v>
                </c:pt>
                <c:pt idx="45">
                  <c:v>0.2651464141706753</c:v>
                </c:pt>
                <c:pt idx="46">
                  <c:v>0.26343440829207537</c:v>
                </c:pt>
                <c:pt idx="47">
                  <c:v>0.26293204216097754</c:v>
                </c:pt>
                <c:pt idx="48">
                  <c:v>0.26245784632310842</c:v>
                </c:pt>
                <c:pt idx="49">
                  <c:v>0.26158556147146678</c:v>
                </c:pt>
                <c:pt idx="50">
                  <c:v>0.26084127909575433</c:v>
                </c:pt>
                <c:pt idx="51">
                  <c:v>0.2604887377310704</c:v>
                </c:pt>
                <c:pt idx="52">
                  <c:v>0.25992250415299872</c:v>
                </c:pt>
                <c:pt idx="53">
                  <c:v>0.25886976227392672</c:v>
                </c:pt>
                <c:pt idx="54">
                  <c:v>0.25806724140750892</c:v>
                </c:pt>
                <c:pt idx="55">
                  <c:v>0.2581399727547401</c:v>
                </c:pt>
                <c:pt idx="56">
                  <c:v>0.25784807757005229</c:v>
                </c:pt>
                <c:pt idx="57">
                  <c:v>0.25795016542350074</c:v>
                </c:pt>
                <c:pt idx="58">
                  <c:v>0.25756570724017291</c:v>
                </c:pt>
                <c:pt idx="59">
                  <c:v>0.25809800387499154</c:v>
                </c:pt>
                <c:pt idx="60">
                  <c:v>0.25744460683761705</c:v>
                </c:pt>
                <c:pt idx="61">
                  <c:v>0.24466679045317913</c:v>
                </c:pt>
                <c:pt idx="62">
                  <c:v>0.2434669863679334</c:v>
                </c:pt>
                <c:pt idx="63">
                  <c:v>0.24233061975816297</c:v>
                </c:pt>
                <c:pt idx="64">
                  <c:v>0.24055714504919251</c:v>
                </c:pt>
                <c:pt idx="65">
                  <c:v>0.23864797575340732</c:v>
                </c:pt>
                <c:pt idx="66">
                  <c:v>0.23493614332657919</c:v>
                </c:pt>
                <c:pt idx="67">
                  <c:v>0.22736998728413679</c:v>
                </c:pt>
                <c:pt idx="68">
                  <c:v>0.21873476778006018</c:v>
                </c:pt>
                <c:pt idx="69">
                  <c:v>0.19524068231362124</c:v>
                </c:pt>
                <c:pt idx="70">
                  <c:v>0.16718833356180252</c:v>
                </c:pt>
                <c:pt idx="71">
                  <c:v>0.12883147316187052</c:v>
                </c:pt>
                <c:pt idx="72">
                  <c:v>0.12314008618441405</c:v>
                </c:pt>
                <c:pt idx="73">
                  <c:v>0.12040819460863075</c:v>
                </c:pt>
                <c:pt idx="74">
                  <c:v>0.11500928746403975</c:v>
                </c:pt>
                <c:pt idx="75">
                  <c:v>0.114652255076444</c:v>
                </c:pt>
                <c:pt idx="76">
                  <c:v>0.11375969448568644</c:v>
                </c:pt>
                <c:pt idx="77">
                  <c:v>0.11156265427368904</c:v>
                </c:pt>
                <c:pt idx="78">
                  <c:v>0.11236733705602647</c:v>
                </c:pt>
                <c:pt idx="79">
                  <c:v>0.11274345229198314</c:v>
                </c:pt>
                <c:pt idx="80">
                  <c:v>0.1126212991282277</c:v>
                </c:pt>
                <c:pt idx="81">
                  <c:v>0.11246104117078315</c:v>
                </c:pt>
                <c:pt idx="82">
                  <c:v>0.11222364809091928</c:v>
                </c:pt>
                <c:pt idx="83">
                  <c:v>0.1111504910558555</c:v>
                </c:pt>
                <c:pt idx="84">
                  <c:v>0.11101605069062298</c:v>
                </c:pt>
                <c:pt idx="85">
                  <c:v>0.11103991202753788</c:v>
                </c:pt>
                <c:pt idx="86">
                  <c:v>0.11049141536568138</c:v>
                </c:pt>
                <c:pt idx="87">
                  <c:v>0.11127233926159612</c:v>
                </c:pt>
                <c:pt idx="88">
                  <c:v>0.11175630460085716</c:v>
                </c:pt>
                <c:pt idx="89">
                  <c:v>0.1106287228661971</c:v>
                </c:pt>
                <c:pt idx="90">
                  <c:v>0.11045274531541116</c:v>
                </c:pt>
                <c:pt idx="91">
                  <c:v>0.11029679045667341</c:v>
                </c:pt>
                <c:pt idx="92">
                  <c:v>0.11057084737804403</c:v>
                </c:pt>
                <c:pt idx="93">
                  <c:v>0.11057451988374196</c:v>
                </c:pt>
                <c:pt idx="94">
                  <c:v>0.11152462952432762</c:v>
                </c:pt>
                <c:pt idx="95">
                  <c:v>0.11200072993336714</c:v>
                </c:pt>
                <c:pt idx="96">
                  <c:v>0.11160586915142115</c:v>
                </c:pt>
                <c:pt idx="97">
                  <c:v>0.11115766245676757</c:v>
                </c:pt>
                <c:pt idx="98">
                  <c:v>0.11148901755996136</c:v>
                </c:pt>
                <c:pt idx="99">
                  <c:v>0.11168398643251684</c:v>
                </c:pt>
                <c:pt idx="100">
                  <c:v>0.1096035601301333</c:v>
                </c:pt>
                <c:pt idx="101">
                  <c:v>0.10980920236031194</c:v>
                </c:pt>
                <c:pt idx="102">
                  <c:v>0.11005963440834618</c:v>
                </c:pt>
                <c:pt idx="103">
                  <c:v>0.11069959735881547</c:v>
                </c:pt>
                <c:pt idx="104">
                  <c:v>0.11083152710047997</c:v>
                </c:pt>
                <c:pt idx="105">
                  <c:v>0.11023998282422103</c:v>
                </c:pt>
                <c:pt idx="106">
                  <c:v>0.10991751830895191</c:v>
                </c:pt>
                <c:pt idx="107">
                  <c:v>0.10688554117957462</c:v>
                </c:pt>
                <c:pt idx="108">
                  <c:v>0.10553689934832272</c:v>
                </c:pt>
                <c:pt idx="109">
                  <c:v>0.10515607809616233</c:v>
                </c:pt>
                <c:pt idx="110">
                  <c:v>0.10484629483423148</c:v>
                </c:pt>
                <c:pt idx="111">
                  <c:v>0.10374395191836695</c:v>
                </c:pt>
                <c:pt idx="112">
                  <c:v>0.10352751597871893</c:v>
                </c:pt>
                <c:pt idx="113">
                  <c:v>0.10381625113762957</c:v>
                </c:pt>
                <c:pt idx="114">
                  <c:v>0.10503261963337161</c:v>
                </c:pt>
                <c:pt idx="115">
                  <c:v>0.1046279973334542</c:v>
                </c:pt>
                <c:pt idx="116">
                  <c:v>0.10452021244532796</c:v>
                </c:pt>
                <c:pt idx="117">
                  <c:v>0.10398071440672473</c:v>
                </c:pt>
                <c:pt idx="118">
                  <c:v>0.10253199375932841</c:v>
                </c:pt>
                <c:pt idx="119">
                  <c:v>0.10121487492360152</c:v>
                </c:pt>
                <c:pt idx="120">
                  <c:v>0.10124034515577764</c:v>
                </c:pt>
                <c:pt idx="121">
                  <c:v>0.10307862781816429</c:v>
                </c:pt>
                <c:pt idx="122">
                  <c:v>0.10449201435623172</c:v>
                </c:pt>
                <c:pt idx="123">
                  <c:v>0.10597976769260278</c:v>
                </c:pt>
                <c:pt idx="124">
                  <c:v>0.10720808751721005</c:v>
                </c:pt>
                <c:pt idx="125">
                  <c:v>0.10777171141126479</c:v>
                </c:pt>
                <c:pt idx="126">
                  <c:v>0.10846333661370798</c:v>
                </c:pt>
                <c:pt idx="127">
                  <c:v>0.10625248910595697</c:v>
                </c:pt>
                <c:pt idx="128">
                  <c:v>0.10601410753796854</c:v>
                </c:pt>
                <c:pt idx="129">
                  <c:v>0.10400756469672073</c:v>
                </c:pt>
                <c:pt idx="130">
                  <c:v>0.10371274484088383</c:v>
                </c:pt>
                <c:pt idx="131">
                  <c:v>0.10392901884614124</c:v>
                </c:pt>
                <c:pt idx="132">
                  <c:v>0.10437420666910321</c:v>
                </c:pt>
                <c:pt idx="133">
                  <c:v>0.10397348057191254</c:v>
                </c:pt>
                <c:pt idx="134">
                  <c:v>0.10542991475778986</c:v>
                </c:pt>
                <c:pt idx="135">
                  <c:v>0.10575914435313225</c:v>
                </c:pt>
                <c:pt idx="136">
                  <c:v>0.10548040466770264</c:v>
                </c:pt>
                <c:pt idx="137">
                  <c:v>0.10530338081589984</c:v>
                </c:pt>
                <c:pt idx="138">
                  <c:v>0.10551166677505294</c:v>
                </c:pt>
                <c:pt idx="139">
                  <c:v>0.10481803415919511</c:v>
                </c:pt>
                <c:pt idx="140">
                  <c:v>0.10511061184661133</c:v>
                </c:pt>
                <c:pt idx="141">
                  <c:v>0.10579312907445347</c:v>
                </c:pt>
                <c:pt idx="142">
                  <c:v>0.10585301055297418</c:v>
                </c:pt>
                <c:pt idx="143">
                  <c:v>0.10645812576829888</c:v>
                </c:pt>
                <c:pt idx="144">
                  <c:v>0.10686338938237815</c:v>
                </c:pt>
                <c:pt idx="145">
                  <c:v>0.1074159777280987</c:v>
                </c:pt>
                <c:pt idx="146">
                  <c:v>0.10781230877196014</c:v>
                </c:pt>
                <c:pt idx="147">
                  <c:v>0.1075322925879338</c:v>
                </c:pt>
                <c:pt idx="148">
                  <c:v>0.1072830378908006</c:v>
                </c:pt>
                <c:pt idx="149">
                  <c:v>0.10730827324007654</c:v>
                </c:pt>
                <c:pt idx="150">
                  <c:v>0.10746929366799293</c:v>
                </c:pt>
                <c:pt idx="151">
                  <c:v>0.10849218617640534</c:v>
                </c:pt>
                <c:pt idx="152">
                  <c:v>0.10843755070905017</c:v>
                </c:pt>
                <c:pt idx="153">
                  <c:v>0.10860672895139634</c:v>
                </c:pt>
                <c:pt idx="154">
                  <c:v>0.10783370695100714</c:v>
                </c:pt>
                <c:pt idx="155">
                  <c:v>0.10837558755901121</c:v>
                </c:pt>
                <c:pt idx="156">
                  <c:v>0.10824518947738304</c:v>
                </c:pt>
                <c:pt idx="157">
                  <c:v>0.10928554516365821</c:v>
                </c:pt>
                <c:pt idx="158">
                  <c:v>0.10907487028186372</c:v>
                </c:pt>
                <c:pt idx="159">
                  <c:v>0.10905686190170361</c:v>
                </c:pt>
                <c:pt idx="160">
                  <c:v>0.11669597075827451</c:v>
                </c:pt>
                <c:pt idx="161">
                  <c:v>0.11693554171013841</c:v>
                </c:pt>
                <c:pt idx="162">
                  <c:v>0.11697475456467714</c:v>
                </c:pt>
                <c:pt idx="163">
                  <c:v>0.11740014707096665</c:v>
                </c:pt>
                <c:pt idx="164">
                  <c:v>0.11884695850680946</c:v>
                </c:pt>
                <c:pt idx="165">
                  <c:v>0.12217935924932768</c:v>
                </c:pt>
                <c:pt idx="166">
                  <c:v>0.12775356039803645</c:v>
                </c:pt>
                <c:pt idx="167">
                  <c:v>0.13785540309113736</c:v>
                </c:pt>
                <c:pt idx="168">
                  <c:v>0.1385835744021853</c:v>
                </c:pt>
                <c:pt idx="169">
                  <c:v>0.13977300366547665</c:v>
                </c:pt>
                <c:pt idx="170">
                  <c:v>0.14061233101661555</c:v>
                </c:pt>
                <c:pt idx="171">
                  <c:v>0.14111560395644343</c:v>
                </c:pt>
                <c:pt idx="172">
                  <c:v>0.14147705097275243</c:v>
                </c:pt>
                <c:pt idx="173">
                  <c:v>0.14327796067702747</c:v>
                </c:pt>
                <c:pt idx="174">
                  <c:v>0.14523749128941812</c:v>
                </c:pt>
                <c:pt idx="175">
                  <c:v>0.14644742895005139</c:v>
                </c:pt>
                <c:pt idx="176">
                  <c:v>0.14951992055256655</c:v>
                </c:pt>
                <c:pt idx="177">
                  <c:v>0.15024492326252911</c:v>
                </c:pt>
                <c:pt idx="178">
                  <c:v>0.15651998568448322</c:v>
                </c:pt>
                <c:pt idx="179">
                  <c:v>0.15648404904917623</c:v>
                </c:pt>
                <c:pt idx="180">
                  <c:v>0.15669000192779348</c:v>
                </c:pt>
                <c:pt idx="181">
                  <c:v>0.15644982953612127</c:v>
                </c:pt>
                <c:pt idx="182">
                  <c:v>0.15570806689331645</c:v>
                </c:pt>
                <c:pt idx="183">
                  <c:v>0.15528243989791174</c:v>
                </c:pt>
                <c:pt idx="184">
                  <c:v>0.15517541023166667</c:v>
                </c:pt>
                <c:pt idx="185">
                  <c:v>0.15466583982647936</c:v>
                </c:pt>
                <c:pt idx="186">
                  <c:v>0.155059353382906</c:v>
                </c:pt>
                <c:pt idx="187">
                  <c:v>0.15662391440539203</c:v>
                </c:pt>
                <c:pt idx="188">
                  <c:v>0.15771105235775065</c:v>
                </c:pt>
                <c:pt idx="189">
                  <c:v>0.15731296688263624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9B-442E-969C-354317736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548175"/>
        <c:axId val="1200533199"/>
      </c:lineChart>
      <c:dateAx>
        <c:axId val="120054817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533199"/>
        <c:crosses val="autoZero"/>
        <c:auto val="1"/>
        <c:lblOffset val="100"/>
        <c:baseTimeUnit val="days"/>
      </c:dateAx>
      <c:valAx>
        <c:axId val="12005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54817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走势图!$C$6</c:f>
              <c:strCache>
                <c:ptCount val="1"/>
                <c:pt idx="0">
                  <c:v>HV5</c:v>
                </c:pt>
              </c:strCache>
            </c:strRef>
          </c:tx>
          <c:spPr>
            <a:ln w="28575" cap="rnd">
              <a:solidFill>
                <a:srgbClr val="2277A2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作图数据!$V$3:$V$246</c:f>
              <c:numCache>
                <c:formatCode>General</c:formatCode>
                <c:ptCount val="244"/>
                <c:pt idx="0">
                  <c:v>0.13940318269666332</c:v>
                </c:pt>
                <c:pt idx="1">
                  <c:v>0.1487760287330675</c:v>
                </c:pt>
                <c:pt idx="2">
                  <c:v>0.15099945277836105</c:v>
                </c:pt>
                <c:pt idx="3">
                  <c:v>0.19117656705600081</c:v>
                </c:pt>
                <c:pt idx="4">
                  <c:v>0.17570819684592082</c:v>
                </c:pt>
                <c:pt idx="5">
                  <c:v>0.17217302953589775</c:v>
                </c:pt>
                <c:pt idx="6">
                  <c:v>0.16193507304941779</c:v>
                </c:pt>
                <c:pt idx="7">
                  <c:v>0.14967025607824608</c:v>
                </c:pt>
                <c:pt idx="8">
                  <c:v>9.4179155044554499E-2</c:v>
                </c:pt>
                <c:pt idx="9">
                  <c:v>0.10186364939925795</c:v>
                </c:pt>
                <c:pt idx="10">
                  <c:v>0.11870888276216569</c:v>
                </c:pt>
                <c:pt idx="11">
                  <c:v>0.118972523189704</c:v>
                </c:pt>
                <c:pt idx="12">
                  <c:v>0.1279611285361722</c:v>
                </c:pt>
                <c:pt idx="13">
                  <c:v>0.12409777383990428</c:v>
                </c:pt>
                <c:pt idx="14">
                  <c:v>0.13219531754731195</c:v>
                </c:pt>
                <c:pt idx="15">
                  <c:v>0.11669929854159684</c:v>
                </c:pt>
                <c:pt idx="16">
                  <c:v>0.11981446477095328</c:v>
                </c:pt>
                <c:pt idx="17">
                  <c:v>0.115324362059188</c:v>
                </c:pt>
                <c:pt idx="18">
                  <c:v>0.11804568225974041</c:v>
                </c:pt>
                <c:pt idx="19">
                  <c:v>0.1278263215788786</c:v>
                </c:pt>
                <c:pt idx="20">
                  <c:v>0.14116694584401171</c:v>
                </c:pt>
                <c:pt idx="21">
                  <c:v>0.15630248649798686</c:v>
                </c:pt>
                <c:pt idx="22">
                  <c:v>0.15416868890562729</c:v>
                </c:pt>
                <c:pt idx="23">
                  <c:v>0.15525935249067047</c:v>
                </c:pt>
                <c:pt idx="24">
                  <c:v>0.13921380734790198</c:v>
                </c:pt>
                <c:pt idx="25">
                  <c:v>0.13746647925354993</c:v>
                </c:pt>
                <c:pt idx="26">
                  <c:v>0.14952313862495736</c:v>
                </c:pt>
                <c:pt idx="27">
                  <c:v>0.15663975632543306</c:v>
                </c:pt>
                <c:pt idx="28">
                  <c:v>0.1603264982035795</c:v>
                </c:pt>
                <c:pt idx="29">
                  <c:v>0.16281134903615513</c:v>
                </c:pt>
                <c:pt idx="30">
                  <c:v>0.17563448993643258</c:v>
                </c:pt>
                <c:pt idx="31">
                  <c:v>0.15896165338917279</c:v>
                </c:pt>
                <c:pt idx="32">
                  <c:v>0.15151225402985591</c:v>
                </c:pt>
                <c:pt idx="33">
                  <c:v>0.14863723776600116</c:v>
                </c:pt>
                <c:pt idx="34">
                  <c:v>0.16747949725174083</c:v>
                </c:pt>
                <c:pt idx="35">
                  <c:v>0.18427413383021457</c:v>
                </c:pt>
                <c:pt idx="36">
                  <c:v>0.17812215925957847</c:v>
                </c:pt>
                <c:pt idx="37">
                  <c:v>0.1950899182868516</c:v>
                </c:pt>
                <c:pt idx="38">
                  <c:v>0.19675798395114977</c:v>
                </c:pt>
                <c:pt idx="39">
                  <c:v>0.21852538567612437</c:v>
                </c:pt>
                <c:pt idx="40">
                  <c:v>0.20785347742321003</c:v>
                </c:pt>
                <c:pt idx="41">
                  <c:v>0.22485129134819326</c:v>
                </c:pt>
                <c:pt idx="42">
                  <c:v>0.21441268437128247</c:v>
                </c:pt>
                <c:pt idx="43">
                  <c:v>0.22667721606427535</c:v>
                </c:pt>
                <c:pt idx="44">
                  <c:v>0.19237892832028261</c:v>
                </c:pt>
                <c:pt idx="45">
                  <c:v>0.1861832701635662</c:v>
                </c:pt>
                <c:pt idx="46">
                  <c:v>0.17347655429738357</c:v>
                </c:pt>
                <c:pt idx="47">
                  <c:v>0.18094218750558971</c:v>
                </c:pt>
                <c:pt idx="48">
                  <c:v>0.17653045400831643</c:v>
                </c:pt>
                <c:pt idx="49">
                  <c:v>0.1860224615161099</c:v>
                </c:pt>
                <c:pt idx="50">
                  <c:v>0.18181396318373538</c:v>
                </c:pt>
                <c:pt idx="51">
                  <c:v>0.17752033504817757</c:v>
                </c:pt>
                <c:pt idx="52">
                  <c:v>0.16865979338241216</c:v>
                </c:pt>
                <c:pt idx="53">
                  <c:v>0.16936486971047882</c:v>
                </c:pt>
                <c:pt idx="54">
                  <c:v>0.15452097825948546</c:v>
                </c:pt>
                <c:pt idx="55">
                  <c:v>0.15669034218748917</c:v>
                </c:pt>
                <c:pt idx="56">
                  <c:v>0.31336657849621402</c:v>
                </c:pt>
                <c:pt idx="57">
                  <c:v>0.31998803332623915</c:v>
                </c:pt>
                <c:pt idx="58">
                  <c:v>0.3228935171122555</c:v>
                </c:pt>
                <c:pt idx="59">
                  <c:v>0.3319958293748777</c:v>
                </c:pt>
                <c:pt idx="60">
                  <c:v>0.34161830221385581</c:v>
                </c:pt>
                <c:pt idx="61">
                  <c:v>0.24823886038768478</c:v>
                </c:pt>
                <c:pt idx="62">
                  <c:v>0.33495674399131203</c:v>
                </c:pt>
                <c:pt idx="63">
                  <c:v>0.37167965989613472</c:v>
                </c:pt>
                <c:pt idx="64">
                  <c:v>0.48793017234490765</c:v>
                </c:pt>
                <c:pt idx="65">
                  <c:v>0.58966871559717071</c:v>
                </c:pt>
                <c:pt idx="66">
                  <c:v>0.68001816540397209</c:v>
                </c:pt>
                <c:pt idx="67">
                  <c:v>0.63803570608828108</c:v>
                </c:pt>
                <c:pt idx="68">
                  <c:v>0.62135584397166421</c:v>
                </c:pt>
                <c:pt idx="69">
                  <c:v>0.53535999276921109</c:v>
                </c:pt>
                <c:pt idx="70">
                  <c:v>0.40872781840406508</c:v>
                </c:pt>
                <c:pt idx="71">
                  <c:v>0.18260282732653657</c:v>
                </c:pt>
                <c:pt idx="72">
                  <c:v>0.20172216697745854</c:v>
                </c:pt>
                <c:pt idx="73">
                  <c:v>0.16985145801551782</c:v>
                </c:pt>
                <c:pt idx="74">
                  <c:v>0.147078008399672</c:v>
                </c:pt>
                <c:pt idx="75">
                  <c:v>0.14317062331679842</c:v>
                </c:pt>
                <c:pt idx="76">
                  <c:v>0.13133854094804584</c:v>
                </c:pt>
                <c:pt idx="77">
                  <c:v>9.8395938818718331E-2</c:v>
                </c:pt>
                <c:pt idx="78">
                  <c:v>0.10262310760558299</c:v>
                </c:pt>
                <c:pt idx="79">
                  <c:v>0.10788617277014823</c:v>
                </c:pt>
                <c:pt idx="80">
                  <c:v>0.10571968105330015</c:v>
                </c:pt>
                <c:pt idx="81">
                  <c:v>0.11098724711193536</c:v>
                </c:pt>
                <c:pt idx="82">
                  <c:v>0.1061025570416195</c:v>
                </c:pt>
                <c:pt idx="83">
                  <c:v>9.8899978264803914E-2</c:v>
                </c:pt>
                <c:pt idx="84">
                  <c:v>0.11312738356780501</c:v>
                </c:pt>
                <c:pt idx="85">
                  <c:v>0.11178346913991374</c:v>
                </c:pt>
                <c:pt idx="86">
                  <c:v>0.11150013024732953</c:v>
                </c:pt>
                <c:pt idx="87">
                  <c:v>0.11188005598183152</c:v>
                </c:pt>
                <c:pt idx="88">
                  <c:v>0.11415384252662895</c:v>
                </c:pt>
                <c:pt idx="89">
                  <c:v>8.3576174836793665E-2</c:v>
                </c:pt>
                <c:pt idx="90">
                  <c:v>8.447917568690369E-2</c:v>
                </c:pt>
                <c:pt idx="91">
                  <c:v>8.6591303213547216E-2</c:v>
                </c:pt>
                <c:pt idx="92">
                  <c:v>9.4206339686347035E-2</c:v>
                </c:pt>
                <c:pt idx="93">
                  <c:v>9.7128050403557514E-2</c:v>
                </c:pt>
                <c:pt idx="94">
                  <c:v>9.828230944259439E-2</c:v>
                </c:pt>
                <c:pt idx="95">
                  <c:v>0.11772582215710786</c:v>
                </c:pt>
                <c:pt idx="96">
                  <c:v>0.10637051333596959</c:v>
                </c:pt>
                <c:pt idx="97">
                  <c:v>0.10300833428578611</c:v>
                </c:pt>
                <c:pt idx="98">
                  <c:v>9.3753513028021637E-2</c:v>
                </c:pt>
                <c:pt idx="99">
                  <c:v>9.6236305877026015E-2</c:v>
                </c:pt>
                <c:pt idx="100">
                  <c:v>8.8542709781866319E-2</c:v>
                </c:pt>
                <c:pt idx="101">
                  <c:v>0.10216608693420677</c:v>
                </c:pt>
                <c:pt idx="102">
                  <c:v>0.13980581367066877</c:v>
                </c:pt>
                <c:pt idx="103">
                  <c:v>0.16284780192998005</c:v>
                </c:pt>
                <c:pt idx="104">
                  <c:v>0.16390464480903202</c:v>
                </c:pt>
                <c:pt idx="105">
                  <c:v>0.1552994349632201</c:v>
                </c:pt>
                <c:pt idx="106">
                  <c:v>0.15246186079966362</c:v>
                </c:pt>
                <c:pt idx="107">
                  <c:v>0.12372943279305175</c:v>
                </c:pt>
                <c:pt idx="108">
                  <c:v>9.1593053952234826E-2</c:v>
                </c:pt>
                <c:pt idx="109">
                  <c:v>9.7571020382456269E-2</c:v>
                </c:pt>
                <c:pt idx="110">
                  <c:v>0.11013897464977193</c:v>
                </c:pt>
                <c:pt idx="111">
                  <c:v>0.11392083309241377</c:v>
                </c:pt>
                <c:pt idx="112">
                  <c:v>0.11393477265028491</c:v>
                </c:pt>
                <c:pt idx="113">
                  <c:v>0.13074338188803172</c:v>
                </c:pt>
                <c:pt idx="114">
                  <c:v>0.14282843828784414</c:v>
                </c:pt>
                <c:pt idx="115">
                  <c:v>0.13586120516002023</c:v>
                </c:pt>
                <c:pt idx="116">
                  <c:v>0.130427350498798</c:v>
                </c:pt>
                <c:pt idx="117">
                  <c:v>0.12622486506274222</c:v>
                </c:pt>
                <c:pt idx="118">
                  <c:v>0.10862531961271674</c:v>
                </c:pt>
                <c:pt idx="119">
                  <c:v>7.6873928327146651E-2</c:v>
                </c:pt>
                <c:pt idx="120">
                  <c:v>7.7078024208993914E-2</c:v>
                </c:pt>
                <c:pt idx="121">
                  <c:v>7.5576603625037139E-2</c:v>
                </c:pt>
                <c:pt idx="122">
                  <c:v>0.10783898035977457</c:v>
                </c:pt>
                <c:pt idx="123">
                  <c:v>0.11286201517948949</c:v>
                </c:pt>
                <c:pt idx="124">
                  <c:v>0.14288387891777651</c:v>
                </c:pt>
                <c:pt idx="125">
                  <c:v>0.14355746890518653</c:v>
                </c:pt>
                <c:pt idx="126">
                  <c:v>0.1428681238967757</c:v>
                </c:pt>
                <c:pt idx="127">
                  <c:v>0.11819274917120323</c:v>
                </c:pt>
                <c:pt idx="128">
                  <c:v>0.11788869190444801</c:v>
                </c:pt>
                <c:pt idx="129">
                  <c:v>9.1843355938592067E-2</c:v>
                </c:pt>
                <c:pt idx="130">
                  <c:v>9.0722628584254658E-2</c:v>
                </c:pt>
                <c:pt idx="131">
                  <c:v>9.5235872475702102E-2</c:v>
                </c:pt>
                <c:pt idx="132">
                  <c:v>0.10499847929712337</c:v>
                </c:pt>
                <c:pt idx="133">
                  <c:v>0.11780283481858146</c:v>
                </c:pt>
                <c:pt idx="134">
                  <c:v>0.12134358099067596</c:v>
                </c:pt>
                <c:pt idx="135">
                  <c:v>0.12036445088179894</c:v>
                </c:pt>
                <c:pt idx="136">
                  <c:v>0.11669902706119925</c:v>
                </c:pt>
                <c:pt idx="137">
                  <c:v>0.10875789938671197</c:v>
                </c:pt>
                <c:pt idx="138">
                  <c:v>8.7913842563928674E-2</c:v>
                </c:pt>
                <c:pt idx="139">
                  <c:v>8.2578998718075655E-2</c:v>
                </c:pt>
                <c:pt idx="140">
                  <c:v>8.0681012940061608E-2</c:v>
                </c:pt>
                <c:pt idx="141">
                  <c:v>8.0861337210371656E-2</c:v>
                </c:pt>
                <c:pt idx="142">
                  <c:v>8.9117021539290409E-2</c:v>
                </c:pt>
                <c:pt idx="143">
                  <c:v>0.10385658375662679</c:v>
                </c:pt>
                <c:pt idx="144">
                  <c:v>0.10931523426701144</c:v>
                </c:pt>
                <c:pt idx="145">
                  <c:v>0.10616740892987039</c:v>
                </c:pt>
                <c:pt idx="146">
                  <c:v>0.11017208251044561</c:v>
                </c:pt>
                <c:pt idx="147">
                  <c:v>0.10494865254819194</c:v>
                </c:pt>
                <c:pt idx="148">
                  <c:v>9.8163714930121534E-2</c:v>
                </c:pt>
                <c:pt idx="149">
                  <c:v>9.7246739960940895E-2</c:v>
                </c:pt>
                <c:pt idx="150">
                  <c:v>0.11170320942068956</c:v>
                </c:pt>
                <c:pt idx="151">
                  <c:v>0.10972528755963139</c:v>
                </c:pt>
                <c:pt idx="152">
                  <c:v>0.10376910459817562</c:v>
                </c:pt>
                <c:pt idx="153">
                  <c:v>0.1071547722248804</c:v>
                </c:pt>
                <c:pt idx="154">
                  <c:v>9.7377399422875197E-2</c:v>
                </c:pt>
                <c:pt idx="155">
                  <c:v>8.187378180290357E-2</c:v>
                </c:pt>
                <c:pt idx="156">
                  <c:v>8.0467257255098096E-2</c:v>
                </c:pt>
                <c:pt idx="157">
                  <c:v>9.0880914109015942E-2</c:v>
                </c:pt>
                <c:pt idx="158">
                  <c:v>8.2098151058442065E-2</c:v>
                </c:pt>
                <c:pt idx="159">
                  <c:v>8.3740734914570236E-2</c:v>
                </c:pt>
                <c:pt idx="160">
                  <c:v>8.9871875590816899E-2</c:v>
                </c:pt>
                <c:pt idx="161">
                  <c:v>9.0484427628560349E-2</c:v>
                </c:pt>
                <c:pt idx="162">
                  <c:v>9.4955498810599087E-2</c:v>
                </c:pt>
                <c:pt idx="163">
                  <c:v>0.10277139998749008</c:v>
                </c:pt>
                <c:pt idx="164">
                  <c:v>9.7449995780358983E-2</c:v>
                </c:pt>
                <c:pt idx="165">
                  <c:v>8.9235432068318285E-2</c:v>
                </c:pt>
                <c:pt idx="166">
                  <c:v>8.6334413052464684E-2</c:v>
                </c:pt>
                <c:pt idx="167">
                  <c:v>7.8888534145993339E-2</c:v>
                </c:pt>
                <c:pt idx="168">
                  <c:v>7.2421452201803876E-2</c:v>
                </c:pt>
                <c:pt idx="169">
                  <c:v>0.10278429403152541</c:v>
                </c:pt>
                <c:pt idx="170">
                  <c:v>0.11199551527692252</c:v>
                </c:pt>
                <c:pt idx="171">
                  <c:v>0.11917680697080305</c:v>
                </c:pt>
                <c:pt idx="172">
                  <c:v>0.1215248938112815</c:v>
                </c:pt>
                <c:pt idx="173">
                  <c:v>0.11744338201690163</c:v>
                </c:pt>
                <c:pt idx="174">
                  <c:v>0.11088683488103303</c:v>
                </c:pt>
                <c:pt idx="175">
                  <c:v>0.10973731178301072</c:v>
                </c:pt>
                <c:pt idx="176">
                  <c:v>0.13125714285537174</c:v>
                </c:pt>
                <c:pt idx="177">
                  <c:v>0.14118615982694244</c:v>
                </c:pt>
                <c:pt idx="178">
                  <c:v>0.1548017415213728</c:v>
                </c:pt>
                <c:pt idx="179">
                  <c:v>0.14363232444196128</c:v>
                </c:pt>
                <c:pt idx="180">
                  <c:v>0.14665324028636337</c:v>
                </c:pt>
                <c:pt idx="181">
                  <c:v>0.12855929124709156</c:v>
                </c:pt>
                <c:pt idx="182">
                  <c:v>0.11721449480659595</c:v>
                </c:pt>
                <c:pt idx="183">
                  <c:v>9.9775650803494903E-2</c:v>
                </c:pt>
                <c:pt idx="184">
                  <c:v>0.10502588402582708</c:v>
                </c:pt>
                <c:pt idx="185">
                  <c:v>9.5081211349166209E-2</c:v>
                </c:pt>
                <c:pt idx="186">
                  <c:v>8.8215492593842953E-2</c:v>
                </c:pt>
                <c:pt idx="187">
                  <c:v>8.9410710775292293E-2</c:v>
                </c:pt>
                <c:pt idx="188">
                  <c:v>8.7498459193737929E-2</c:v>
                </c:pt>
                <c:pt idx="189">
                  <c:v>0.10822079628695525</c:v>
                </c:pt>
                <c:pt idx="190">
                  <c:v>0.11707509329438494</c:v>
                </c:pt>
                <c:pt idx="191">
                  <c:v>0.11607888818766006</c:v>
                </c:pt>
                <c:pt idx="192">
                  <c:v>0.11862790785262034</c:v>
                </c:pt>
                <c:pt idx="193">
                  <c:v>0.13741819737920014</c:v>
                </c:pt>
                <c:pt idx="194">
                  <c:v>0.11879174633473723</c:v>
                </c:pt>
                <c:pt idx="195">
                  <c:v>0.11437684262388999</c:v>
                </c:pt>
                <c:pt idx="196">
                  <c:v>0.12058108060619363</c:v>
                </c:pt>
                <c:pt idx="197">
                  <c:v>0.11289058363948952</c:v>
                </c:pt>
                <c:pt idx="198">
                  <c:v>9.6043429326117591E-2</c:v>
                </c:pt>
                <c:pt idx="199">
                  <c:v>0.10843005674990133</c:v>
                </c:pt>
                <c:pt idx="200">
                  <c:v>0.11286008035620018</c:v>
                </c:pt>
                <c:pt idx="201">
                  <c:v>0.10987090667021905</c:v>
                </c:pt>
                <c:pt idx="202">
                  <c:v>0.11432036600851714</c:v>
                </c:pt>
                <c:pt idx="203">
                  <c:v>0.11863842258274554</c:v>
                </c:pt>
                <c:pt idx="204">
                  <c:v>0.11608901280722057</c:v>
                </c:pt>
                <c:pt idx="205">
                  <c:v>0.10800051767670936</c:v>
                </c:pt>
                <c:pt idx="206">
                  <c:v>0.11427294695148521</c:v>
                </c:pt>
                <c:pt idx="207">
                  <c:v>0.11089162259858837</c:v>
                </c:pt>
                <c:pt idx="208">
                  <c:v>0.10767497660740682</c:v>
                </c:pt>
                <c:pt idx="209">
                  <c:v>9.4833788345707312E-2</c:v>
                </c:pt>
                <c:pt idx="210">
                  <c:v>0.11029556157199918</c:v>
                </c:pt>
                <c:pt idx="211">
                  <c:v>9.7554229585186225E-2</c:v>
                </c:pt>
                <c:pt idx="212">
                  <c:v>0.10087104097675614</c:v>
                </c:pt>
                <c:pt idx="213">
                  <c:v>0.10245433090488701</c:v>
                </c:pt>
                <c:pt idx="214">
                  <c:v>0.10314261508644464</c:v>
                </c:pt>
                <c:pt idx="215">
                  <c:v>0.1688736230205562</c:v>
                </c:pt>
                <c:pt idx="216">
                  <c:v>0.17249293550994058</c:v>
                </c:pt>
                <c:pt idx="217">
                  <c:v>0.17489198768288156</c:v>
                </c:pt>
                <c:pt idx="218">
                  <c:v>0.17962262945232099</c:v>
                </c:pt>
                <c:pt idx="219">
                  <c:v>0.19403141982889643</c:v>
                </c:pt>
                <c:pt idx="220">
                  <c:v>0.14997736573072801</c:v>
                </c:pt>
                <c:pt idx="221">
                  <c:v>0.19330670376254439</c:v>
                </c:pt>
                <c:pt idx="222">
                  <c:v>0.27709003453042524</c:v>
                </c:pt>
                <c:pt idx="223">
                  <c:v>0.27954868448263276</c:v>
                </c:pt>
                <c:pt idx="224">
                  <c:v>0.2768248913173203</c:v>
                </c:pt>
                <c:pt idx="225">
                  <c:v>0.26923961621211012</c:v>
                </c:pt>
                <c:pt idx="226">
                  <c:v>0.24196406908651416</c:v>
                </c:pt>
                <c:pt idx="227">
                  <c:v>0.13787642297354133</c:v>
                </c:pt>
                <c:pt idx="228">
                  <c:v>0.13575037267683374</c:v>
                </c:pt>
                <c:pt idx="229">
                  <c:v>0.16445107559620517</c:v>
                </c:pt>
                <c:pt idx="230">
                  <c:v>0.17667712032751098</c:v>
                </c:pt>
                <c:pt idx="231">
                  <c:v>0.20435990216647729</c:v>
                </c:pt>
                <c:pt idx="232">
                  <c:v>0.20746447687849764</c:v>
                </c:pt>
                <c:pt idx="233">
                  <c:v>0.24982695393808321</c:v>
                </c:pt>
                <c:pt idx="234">
                  <c:v>0.22455444721334503</c:v>
                </c:pt>
                <c:pt idx="235">
                  <c:v>0.21553541536633322</c:v>
                </c:pt>
                <c:pt idx="236">
                  <c:v>0.19869837963985382</c:v>
                </c:pt>
                <c:pt idx="237">
                  <c:v>0.19594031300800857</c:v>
                </c:pt>
                <c:pt idx="238">
                  <c:v>0.13051162376201483</c:v>
                </c:pt>
                <c:pt idx="239">
                  <c:v>0.14003747807217465</c:v>
                </c:pt>
                <c:pt idx="240">
                  <c:v>0.13471922672634887</c:v>
                </c:pt>
                <c:pt idx="241">
                  <c:v>0.12423161067564931</c:v>
                </c:pt>
                <c:pt idx="242">
                  <c:v>0.14475274171402894</c:v>
                </c:pt>
                <c:pt idx="243">
                  <c:v>0.15588115874894037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2-45EB-8551-5C5D973536C3}"/>
            </c:ext>
          </c:extLst>
        </c:ser>
        <c:ser>
          <c:idx val="1"/>
          <c:order val="1"/>
          <c:tx>
            <c:strRef>
              <c:f>走势图!$D$6</c:f>
              <c:strCache>
                <c:ptCount val="1"/>
                <c:pt idx="0">
                  <c:v>HV10</c:v>
                </c:pt>
              </c:strCache>
            </c:strRef>
          </c:tx>
          <c:spPr>
            <a:ln w="28575" cap="rnd">
              <a:solidFill>
                <a:srgbClr val="F68717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作图数据!$W$3:$W$246</c:f>
              <c:numCache>
                <c:formatCode>General</c:formatCode>
                <c:ptCount val="244"/>
                <c:pt idx="0">
                  <c:v>0.15664737381381216</c:v>
                </c:pt>
                <c:pt idx="1">
                  <c:v>0.15549481439762355</c:v>
                </c:pt>
                <c:pt idx="2">
                  <c:v>0.15033632344495498</c:v>
                </c:pt>
                <c:pt idx="3">
                  <c:v>0.1506953765651485</c:v>
                </c:pt>
                <c:pt idx="4">
                  <c:v>0.14361332373387192</c:v>
                </c:pt>
                <c:pt idx="5">
                  <c:v>0.14787723108411707</c:v>
                </c:pt>
                <c:pt idx="6">
                  <c:v>0.14208699651559414</c:v>
                </c:pt>
                <c:pt idx="7">
                  <c:v>0.13923942683517937</c:v>
                </c:pt>
                <c:pt idx="8">
                  <c:v>0.11015890957368421</c:v>
                </c:pt>
                <c:pt idx="9">
                  <c:v>0.11800806127203682</c:v>
                </c:pt>
                <c:pt idx="10">
                  <c:v>0.11770837932522549</c:v>
                </c:pt>
                <c:pt idx="11">
                  <c:v>0.11939423613071667</c:v>
                </c:pt>
                <c:pt idx="12">
                  <c:v>0.12180672990563672</c:v>
                </c:pt>
                <c:pt idx="13">
                  <c:v>0.12110953837784127</c:v>
                </c:pt>
                <c:pt idx="14">
                  <c:v>0.13002917070761763</c:v>
                </c:pt>
                <c:pt idx="15">
                  <c:v>0.1295122250581521</c:v>
                </c:pt>
                <c:pt idx="16">
                  <c:v>0.13925870395383436</c:v>
                </c:pt>
                <c:pt idx="17">
                  <c:v>0.13613907066532879</c:v>
                </c:pt>
                <c:pt idx="18">
                  <c:v>0.13791346858807851</c:v>
                </c:pt>
                <c:pt idx="19">
                  <c:v>0.13364140945957889</c:v>
                </c:pt>
                <c:pt idx="20">
                  <c:v>0.13932899826901218</c:v>
                </c:pt>
                <c:pt idx="21">
                  <c:v>0.15295037801475284</c:v>
                </c:pt>
                <c:pt idx="22">
                  <c:v>0.15540913406323825</c:v>
                </c:pt>
                <c:pt idx="23">
                  <c:v>0.15781326395782555</c:v>
                </c:pt>
                <c:pt idx="24">
                  <c:v>0.15147280206570335</c:v>
                </c:pt>
                <c:pt idx="25">
                  <c:v>0.1577093956833224</c:v>
                </c:pt>
                <c:pt idx="26">
                  <c:v>0.15431457519054659</c:v>
                </c:pt>
                <c:pt idx="27">
                  <c:v>0.15409733349882895</c:v>
                </c:pt>
                <c:pt idx="28">
                  <c:v>0.15459239062277474</c:v>
                </c:pt>
                <c:pt idx="29">
                  <c:v>0.16516191657683771</c:v>
                </c:pt>
                <c:pt idx="30">
                  <c:v>0.18000615330330608</c:v>
                </c:pt>
                <c:pt idx="31">
                  <c:v>0.16881396693922299</c:v>
                </c:pt>
                <c:pt idx="32">
                  <c:v>0.17466545070273345</c:v>
                </c:pt>
                <c:pt idx="33">
                  <c:v>0.17436561114398055</c:v>
                </c:pt>
                <c:pt idx="34">
                  <c:v>0.19468272417525234</c:v>
                </c:pt>
                <c:pt idx="35">
                  <c:v>0.19641795294193032</c:v>
                </c:pt>
                <c:pt idx="36">
                  <c:v>0.20283688870647359</c:v>
                </c:pt>
                <c:pt idx="37">
                  <c:v>0.20497911532210986</c:v>
                </c:pt>
                <c:pt idx="38">
                  <c:v>0.2122454528737554</c:v>
                </c:pt>
                <c:pt idx="39">
                  <c:v>0.20586767138936524</c:v>
                </c:pt>
                <c:pt idx="40">
                  <c:v>0.19731608926506772</c:v>
                </c:pt>
                <c:pt idx="41">
                  <c:v>0.20081361770537764</c:v>
                </c:pt>
                <c:pt idx="42">
                  <c:v>0.19838456900501003</c:v>
                </c:pt>
                <c:pt idx="43">
                  <c:v>0.20315703467395915</c:v>
                </c:pt>
                <c:pt idx="44">
                  <c:v>0.18922738735470218</c:v>
                </c:pt>
                <c:pt idx="45">
                  <c:v>0.18401158563712253</c:v>
                </c:pt>
                <c:pt idx="46">
                  <c:v>0.17551009122912317</c:v>
                </c:pt>
                <c:pt idx="47">
                  <c:v>0.17490883500141716</c:v>
                </c:pt>
                <c:pt idx="48">
                  <c:v>0.17298476852663905</c:v>
                </c:pt>
                <c:pt idx="49">
                  <c:v>0.17099866799302993</c:v>
                </c:pt>
                <c:pt idx="50">
                  <c:v>0.16971767813549821</c:v>
                </c:pt>
                <c:pt idx="51">
                  <c:v>0.2546684922345529</c:v>
                </c:pt>
                <c:pt idx="52">
                  <c:v>0.25577183912208973</c:v>
                </c:pt>
                <c:pt idx="53">
                  <c:v>0.25782230555672436</c:v>
                </c:pt>
                <c:pt idx="54">
                  <c:v>0.25893818127555202</c:v>
                </c:pt>
                <c:pt idx="55">
                  <c:v>0.26575828090796133</c:v>
                </c:pt>
                <c:pt idx="56">
                  <c:v>0.28268458069463243</c:v>
                </c:pt>
                <c:pt idx="57">
                  <c:v>0.32755790466515666</c:v>
                </c:pt>
                <c:pt idx="58">
                  <c:v>0.34814220727572581</c:v>
                </c:pt>
                <c:pt idx="59">
                  <c:v>0.41731108528700994</c:v>
                </c:pt>
                <c:pt idx="60">
                  <c:v>0.48187771195682744</c:v>
                </c:pt>
                <c:pt idx="61">
                  <c:v>0.51188242648383653</c:v>
                </c:pt>
                <c:pt idx="62">
                  <c:v>0.50955155901480309</c:v>
                </c:pt>
                <c:pt idx="63">
                  <c:v>0.51197111950687491</c:v>
                </c:pt>
                <c:pt idx="64">
                  <c:v>0.51219438445886001</c:v>
                </c:pt>
                <c:pt idx="65">
                  <c:v>0.50733008174726024</c:v>
                </c:pt>
                <c:pt idx="66">
                  <c:v>0.49787975346815866</c:v>
                </c:pt>
                <c:pt idx="67">
                  <c:v>0.47317089666084339</c:v>
                </c:pt>
                <c:pt idx="68">
                  <c:v>0.45548468834184552</c:v>
                </c:pt>
                <c:pt idx="69">
                  <c:v>0.3925826425178931</c:v>
                </c:pt>
                <c:pt idx="70">
                  <c:v>0.30623214798439025</c:v>
                </c:pt>
                <c:pt idx="71">
                  <c:v>0.15904968545395878</c:v>
                </c:pt>
                <c:pt idx="72">
                  <c:v>0.15870348677029536</c:v>
                </c:pt>
                <c:pt idx="73">
                  <c:v>0.14032287768682675</c:v>
                </c:pt>
                <c:pt idx="74">
                  <c:v>0.12897939143484177</c:v>
                </c:pt>
                <c:pt idx="75">
                  <c:v>0.12584609319111201</c:v>
                </c:pt>
                <c:pt idx="76">
                  <c:v>0.12158943490255911</c:v>
                </c:pt>
                <c:pt idx="77">
                  <c:v>0.10232182901704573</c:v>
                </c:pt>
                <c:pt idx="78">
                  <c:v>0.10077873762705541</c:v>
                </c:pt>
                <c:pt idx="79">
                  <c:v>0.11053784688487368</c:v>
                </c:pt>
                <c:pt idx="80">
                  <c:v>0.10879383009841498</c:v>
                </c:pt>
                <c:pt idx="81">
                  <c:v>0.11124398425680657</c:v>
                </c:pt>
                <c:pt idx="82">
                  <c:v>0.10902958208043327</c:v>
                </c:pt>
                <c:pt idx="83">
                  <c:v>0.10679959144203945</c:v>
                </c:pt>
                <c:pt idx="84">
                  <c:v>9.9455472230661049E-2</c:v>
                </c:pt>
                <c:pt idx="85">
                  <c:v>9.907642276973061E-2</c:v>
                </c:pt>
                <c:pt idx="86">
                  <c:v>9.9825680156440513E-2</c:v>
                </c:pt>
                <c:pt idx="87">
                  <c:v>0.10342142274112545</c:v>
                </c:pt>
                <c:pt idx="88">
                  <c:v>0.10598339006370389</c:v>
                </c:pt>
                <c:pt idx="89">
                  <c:v>9.122606357209595E-2</c:v>
                </c:pt>
                <c:pt idx="90">
                  <c:v>0.10245999299069303</c:v>
                </c:pt>
                <c:pt idx="91">
                  <c:v>9.6986442092640346E-2</c:v>
                </c:pt>
                <c:pt idx="92">
                  <c:v>9.8705499769343299E-2</c:v>
                </c:pt>
                <c:pt idx="93">
                  <c:v>9.5455694906829522E-2</c:v>
                </c:pt>
                <c:pt idx="94">
                  <c:v>9.7264687626667456E-2</c:v>
                </c:pt>
                <c:pt idx="95">
                  <c:v>0.1041613667779057</c:v>
                </c:pt>
                <c:pt idx="96">
                  <c:v>0.1042894899469874</c:v>
                </c:pt>
                <c:pt idx="97">
                  <c:v>0.12279328660079511</c:v>
                </c:pt>
                <c:pt idx="98">
                  <c:v>0.13287047790709838</c:v>
                </c:pt>
                <c:pt idx="99">
                  <c:v>0.13439895676461083</c:v>
                </c:pt>
                <c:pt idx="100">
                  <c:v>0.12640752737754829</c:v>
                </c:pt>
                <c:pt idx="101">
                  <c:v>0.12977389629263641</c:v>
                </c:pt>
                <c:pt idx="102">
                  <c:v>0.13201257151386772</c:v>
                </c:pt>
                <c:pt idx="103">
                  <c:v>0.13211490098721457</c:v>
                </c:pt>
                <c:pt idx="104">
                  <c:v>0.13487927307123332</c:v>
                </c:pt>
                <c:pt idx="105">
                  <c:v>0.13462635001514106</c:v>
                </c:pt>
                <c:pt idx="106">
                  <c:v>0.13457818398790644</c:v>
                </c:pt>
                <c:pt idx="107">
                  <c:v>0.11893297473401231</c:v>
                </c:pt>
                <c:pt idx="108">
                  <c:v>0.11287851753061054</c:v>
                </c:pt>
                <c:pt idx="109">
                  <c:v>0.12231121535292297</c:v>
                </c:pt>
                <c:pt idx="110">
                  <c:v>0.12367065295460401</c:v>
                </c:pt>
                <c:pt idx="111">
                  <c:v>0.12245254176742493</c:v>
                </c:pt>
                <c:pt idx="112">
                  <c:v>0.12023695143128753</c:v>
                </c:pt>
                <c:pt idx="113">
                  <c:v>0.12019420112568777</c:v>
                </c:pt>
                <c:pt idx="114">
                  <c:v>0.11469429724313189</c:v>
                </c:pt>
                <c:pt idx="115">
                  <c:v>0.11045200062356353</c:v>
                </c:pt>
                <c:pt idx="116">
                  <c:v>0.10659061115696888</c:v>
                </c:pt>
                <c:pt idx="117">
                  <c:v>0.11739242361656763</c:v>
                </c:pt>
                <c:pt idx="118">
                  <c:v>0.11076392583178918</c:v>
                </c:pt>
                <c:pt idx="119">
                  <c:v>0.11472881876633502</c:v>
                </c:pt>
                <c:pt idx="120">
                  <c:v>0.11521668432658927</c:v>
                </c:pt>
                <c:pt idx="121">
                  <c:v>0.11428719053612359</c:v>
                </c:pt>
                <c:pt idx="122">
                  <c:v>0.11313437064323734</c:v>
                </c:pt>
                <c:pt idx="123">
                  <c:v>0.11540272559458287</c:v>
                </c:pt>
                <c:pt idx="124">
                  <c:v>0.12010621317120262</c:v>
                </c:pt>
                <c:pt idx="125">
                  <c:v>0.12008193497712345</c:v>
                </c:pt>
                <c:pt idx="126">
                  <c:v>0.12141081548196736</c:v>
                </c:pt>
                <c:pt idx="127">
                  <c:v>0.11179044371357377</c:v>
                </c:pt>
                <c:pt idx="128">
                  <c:v>0.11784577118046251</c:v>
                </c:pt>
                <c:pt idx="129">
                  <c:v>0.10760916939950715</c:v>
                </c:pt>
                <c:pt idx="130">
                  <c:v>0.10657907011536931</c:v>
                </c:pt>
                <c:pt idx="131">
                  <c:v>0.10650946982132319</c:v>
                </c:pt>
                <c:pt idx="132">
                  <c:v>0.1068947176751934</c:v>
                </c:pt>
                <c:pt idx="133">
                  <c:v>0.10393832691949881</c:v>
                </c:pt>
                <c:pt idx="134">
                  <c:v>0.10378717569362959</c:v>
                </c:pt>
                <c:pt idx="135">
                  <c:v>0.10246225374524849</c:v>
                </c:pt>
                <c:pt idx="136">
                  <c:v>0.10039227752292493</c:v>
                </c:pt>
                <c:pt idx="137">
                  <c:v>9.9423649618801749E-2</c:v>
                </c:pt>
                <c:pt idx="138">
                  <c:v>9.6215990625135875E-2</c:v>
                </c:pt>
                <c:pt idx="139">
                  <c:v>9.6873916696217907E-2</c:v>
                </c:pt>
                <c:pt idx="140">
                  <c:v>9.4289301004718218E-2</c:v>
                </c:pt>
                <c:pt idx="141">
                  <c:v>9.6634475266692124E-2</c:v>
                </c:pt>
                <c:pt idx="142">
                  <c:v>9.7355182706714352E-2</c:v>
                </c:pt>
                <c:pt idx="143">
                  <c:v>0.10105024720028992</c:v>
                </c:pt>
                <c:pt idx="144">
                  <c:v>0.1034571140035388</c:v>
                </c:pt>
                <c:pt idx="145">
                  <c:v>0.10897046781987485</c:v>
                </c:pt>
                <c:pt idx="146">
                  <c:v>0.10994891198809616</c:v>
                </c:pt>
                <c:pt idx="147">
                  <c:v>0.10436054508478822</c:v>
                </c:pt>
                <c:pt idx="148">
                  <c:v>0.10275762779338614</c:v>
                </c:pt>
                <c:pt idx="149">
                  <c:v>9.7312091621218968E-2</c:v>
                </c:pt>
                <c:pt idx="150">
                  <c:v>9.7930902021761995E-2</c:v>
                </c:pt>
                <c:pt idx="151">
                  <c:v>9.6214911059050348E-2</c:v>
                </c:pt>
                <c:pt idx="152">
                  <c:v>9.7538114648575827E-2</c:v>
                </c:pt>
                <c:pt idx="153">
                  <c:v>9.5452217412118748E-2</c:v>
                </c:pt>
                <c:pt idx="154">
                  <c:v>9.0815385817587357E-2</c:v>
                </c:pt>
                <c:pt idx="155">
                  <c:v>8.5965894891290279E-2</c:v>
                </c:pt>
                <c:pt idx="156">
                  <c:v>8.5622459475964335E-2</c:v>
                </c:pt>
                <c:pt idx="157">
                  <c:v>9.2940538258770633E-2</c:v>
                </c:pt>
                <c:pt idx="158">
                  <c:v>9.3010932321430484E-2</c:v>
                </c:pt>
                <c:pt idx="159">
                  <c:v>9.0854312945573223E-2</c:v>
                </c:pt>
                <c:pt idx="160">
                  <c:v>8.9554219215597863E-2</c:v>
                </c:pt>
                <c:pt idx="161">
                  <c:v>8.8433767646702008E-2</c:v>
                </c:pt>
                <c:pt idx="162">
                  <c:v>8.7292461226824269E-2</c:v>
                </c:pt>
                <c:pt idx="163">
                  <c:v>8.890114564618061E-2</c:v>
                </c:pt>
                <c:pt idx="164">
                  <c:v>0.10015266540924173</c:v>
                </c:pt>
                <c:pt idx="165">
                  <c:v>0.10125699427339038</c:v>
                </c:pt>
                <c:pt idx="166">
                  <c:v>0.10405945943754859</c:v>
                </c:pt>
                <c:pt idx="167">
                  <c:v>0.1024492572826831</c:v>
                </c:pt>
                <c:pt idx="168">
                  <c:v>9.7564887942809778E-2</c:v>
                </c:pt>
                <c:pt idx="169">
                  <c:v>0.10691235019746913</c:v>
                </c:pt>
                <c:pt idx="170">
                  <c:v>0.11087216296145999</c:v>
                </c:pt>
                <c:pt idx="171">
                  <c:v>0.12536257190707184</c:v>
                </c:pt>
                <c:pt idx="172">
                  <c:v>0.13172287489749487</c:v>
                </c:pt>
                <c:pt idx="173">
                  <c:v>0.13739819350635185</c:v>
                </c:pt>
                <c:pt idx="174">
                  <c:v>0.1283084852504586</c:v>
                </c:pt>
                <c:pt idx="175">
                  <c:v>0.12951727777376176</c:v>
                </c:pt>
                <c:pt idx="176">
                  <c:v>0.12991522027174102</c:v>
                </c:pt>
                <c:pt idx="177">
                  <c:v>0.12975509531314067</c:v>
                </c:pt>
                <c:pt idx="178">
                  <c:v>0.1302281837224778</c:v>
                </c:pt>
                <c:pt idx="179">
                  <c:v>0.12581868092617904</c:v>
                </c:pt>
                <c:pt idx="180">
                  <c:v>0.12358723566395245</c:v>
                </c:pt>
                <c:pt idx="181">
                  <c:v>0.110248502256332</c:v>
                </c:pt>
                <c:pt idx="182">
                  <c:v>0.10424373600871295</c:v>
                </c:pt>
                <c:pt idx="183">
                  <c:v>9.3838054259823556E-2</c:v>
                </c:pt>
                <c:pt idx="184">
                  <c:v>0.10663530621794347</c:v>
                </c:pt>
                <c:pt idx="185">
                  <c:v>0.10664664603613597</c:v>
                </c:pt>
                <c:pt idx="186">
                  <c:v>0.10309287418744724</c:v>
                </c:pt>
                <c:pt idx="187">
                  <c:v>0.10504012500666769</c:v>
                </c:pt>
                <c:pt idx="188">
                  <c:v>0.11519492465431587</c:v>
                </c:pt>
                <c:pt idx="189">
                  <c:v>0.11362926503819168</c:v>
                </c:pt>
                <c:pt idx="190">
                  <c:v>0.11573383169691358</c:v>
                </c:pt>
                <c:pt idx="191">
                  <c:v>0.11835139475950558</c:v>
                </c:pt>
                <c:pt idx="192">
                  <c:v>0.11579478484792473</c:v>
                </c:pt>
                <c:pt idx="193">
                  <c:v>0.1185497812896965</c:v>
                </c:pt>
                <c:pt idx="194">
                  <c:v>0.11372896773479345</c:v>
                </c:pt>
                <c:pt idx="195">
                  <c:v>0.11362099248514347</c:v>
                </c:pt>
                <c:pt idx="196">
                  <c:v>0.11535036439624573</c:v>
                </c:pt>
                <c:pt idx="197">
                  <c:v>0.11360772411853408</c:v>
                </c:pt>
                <c:pt idx="198">
                  <c:v>0.10793381219442555</c:v>
                </c:pt>
                <c:pt idx="199">
                  <c:v>0.11232483274267949</c:v>
                </c:pt>
                <c:pt idx="200">
                  <c:v>0.11045702683950254</c:v>
                </c:pt>
                <c:pt idx="201">
                  <c:v>0.11209353803300379</c:v>
                </c:pt>
                <c:pt idx="202">
                  <c:v>0.11261904378671725</c:v>
                </c:pt>
                <c:pt idx="203">
                  <c:v>0.11328939910761227</c:v>
                </c:pt>
                <c:pt idx="204">
                  <c:v>0.10599553364777554</c:v>
                </c:pt>
                <c:pt idx="205">
                  <c:v>0.10915407166230646</c:v>
                </c:pt>
                <c:pt idx="206">
                  <c:v>0.10624296239030652</c:v>
                </c:pt>
                <c:pt idx="207">
                  <c:v>0.10599980865615317</c:v>
                </c:pt>
                <c:pt idx="208">
                  <c:v>0.10509707538407929</c:v>
                </c:pt>
                <c:pt idx="209">
                  <c:v>9.9075341177481929E-2</c:v>
                </c:pt>
                <c:pt idx="210">
                  <c:v>0.14262435180320995</c:v>
                </c:pt>
                <c:pt idx="211">
                  <c:v>0.14012608699095921</c:v>
                </c:pt>
                <c:pt idx="212">
                  <c:v>0.14276234493626744</c:v>
                </c:pt>
                <c:pt idx="213">
                  <c:v>0.14622102949393753</c:v>
                </c:pt>
                <c:pt idx="214">
                  <c:v>0.15538112969033263</c:v>
                </c:pt>
                <c:pt idx="215">
                  <c:v>0.15970521404077181</c:v>
                </c:pt>
                <c:pt idx="216">
                  <c:v>0.18319565295112303</c:v>
                </c:pt>
                <c:pt idx="217">
                  <c:v>0.23169602347876136</c:v>
                </c:pt>
                <c:pt idx="218">
                  <c:v>0.23495931137894535</c:v>
                </c:pt>
                <c:pt idx="219">
                  <c:v>0.23903996771843791</c:v>
                </c:pt>
                <c:pt idx="220">
                  <c:v>0.21792565380144313</c:v>
                </c:pt>
                <c:pt idx="221">
                  <c:v>0.2189909729286158</c:v>
                </c:pt>
                <c:pt idx="222">
                  <c:v>0.21884788695353119</c:v>
                </c:pt>
                <c:pt idx="223">
                  <c:v>0.21974488694605593</c:v>
                </c:pt>
                <c:pt idx="224">
                  <c:v>0.22767979347934567</c:v>
                </c:pt>
                <c:pt idx="225">
                  <c:v>0.22771119404331683</c:v>
                </c:pt>
                <c:pt idx="226">
                  <c:v>0.22395265162796754</c:v>
                </c:pt>
                <c:pt idx="227">
                  <c:v>0.17614116097387281</c:v>
                </c:pt>
                <c:pt idx="228">
                  <c:v>0.20104933548246359</c:v>
                </c:pt>
                <c:pt idx="229">
                  <c:v>0.19681063999189644</c:v>
                </c:pt>
                <c:pt idx="230">
                  <c:v>0.19706638491173423</c:v>
                </c:pt>
                <c:pt idx="231">
                  <c:v>0.20154902094155114</c:v>
                </c:pt>
                <c:pt idx="232">
                  <c:v>0.20178468156446494</c:v>
                </c:pt>
                <c:pt idx="233">
                  <c:v>0.19930728894219957</c:v>
                </c:pt>
                <c:pt idx="234">
                  <c:v>0.18712989476311068</c:v>
                </c:pt>
                <c:pt idx="235">
                  <c:v>0.17972866400060283</c:v>
                </c:pt>
                <c:pt idx="236">
                  <c:v>0.16570235237100525</c:v>
                </c:pt>
                <c:pt idx="237">
                  <c:v>0.1722584722087781</c:v>
                </c:pt>
                <c:pt idx="238">
                  <c:v>0.1437571208495601</c:v>
                </c:pt>
                <c:pt idx="239">
                  <c:v>0.14237597045491776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2-45EB-8551-5C5D973536C3}"/>
            </c:ext>
          </c:extLst>
        </c:ser>
        <c:ser>
          <c:idx val="2"/>
          <c:order val="2"/>
          <c:tx>
            <c:strRef>
              <c:f>走势图!$E$6</c:f>
              <c:strCache>
                <c:ptCount val="1"/>
                <c:pt idx="0">
                  <c:v>HV20</c:v>
                </c:pt>
              </c:strCache>
            </c:strRef>
          </c:tx>
          <c:spPr>
            <a:ln w="28575" cap="rnd">
              <a:solidFill>
                <a:srgbClr val="5FBEBF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作图数据!$X$3:$X$246</c:f>
              <c:numCache>
                <c:formatCode>General</c:formatCode>
                <c:ptCount val="244"/>
                <c:pt idx="0">
                  <c:v>0.13855262950614719</c:v>
                </c:pt>
                <c:pt idx="1">
                  <c:v>0.13862471086676562</c:v>
                </c:pt>
                <c:pt idx="2">
                  <c:v>0.13681719482077326</c:v>
                </c:pt>
                <c:pt idx="3">
                  <c:v>0.13670518791217418</c:v>
                </c:pt>
                <c:pt idx="4">
                  <c:v>0.1369897295215971</c:v>
                </c:pt>
                <c:pt idx="5">
                  <c:v>0.13899836673971894</c:v>
                </c:pt>
                <c:pt idx="6">
                  <c:v>0.14067995807101336</c:v>
                </c:pt>
                <c:pt idx="7">
                  <c:v>0.13769797483443366</c:v>
                </c:pt>
                <c:pt idx="8">
                  <c:v>0.12481007606851711</c:v>
                </c:pt>
                <c:pt idx="9">
                  <c:v>0.12606730116792306</c:v>
                </c:pt>
                <c:pt idx="10">
                  <c:v>0.12897254033711514</c:v>
                </c:pt>
                <c:pt idx="11">
                  <c:v>0.13720204400097893</c:v>
                </c:pt>
                <c:pt idx="12">
                  <c:v>0.13962248816109513</c:v>
                </c:pt>
                <c:pt idx="13">
                  <c:v>0.14066368857511902</c:v>
                </c:pt>
                <c:pt idx="14">
                  <c:v>0.14115876699756646</c:v>
                </c:pt>
                <c:pt idx="15">
                  <c:v>0.14430119529358063</c:v>
                </c:pt>
                <c:pt idx="16">
                  <c:v>0.14697954746008124</c:v>
                </c:pt>
                <c:pt idx="17">
                  <c:v>0.14539572681662399</c:v>
                </c:pt>
                <c:pt idx="18">
                  <c:v>0.14649049808171774</c:v>
                </c:pt>
                <c:pt idx="19">
                  <c:v>0.15023063104719542</c:v>
                </c:pt>
                <c:pt idx="20">
                  <c:v>0.16095773511344483</c:v>
                </c:pt>
                <c:pt idx="21">
                  <c:v>0.16107758001753822</c:v>
                </c:pt>
                <c:pt idx="22">
                  <c:v>0.1653179037785602</c:v>
                </c:pt>
                <c:pt idx="23">
                  <c:v>0.16629550900525872</c:v>
                </c:pt>
                <c:pt idx="24">
                  <c:v>0.17442100340545735</c:v>
                </c:pt>
                <c:pt idx="25">
                  <c:v>0.17811831141785661</c:v>
                </c:pt>
                <c:pt idx="26">
                  <c:v>0.18021624723698088</c:v>
                </c:pt>
                <c:pt idx="27">
                  <c:v>0.18133177591046218</c:v>
                </c:pt>
                <c:pt idx="28">
                  <c:v>0.18567032544815842</c:v>
                </c:pt>
                <c:pt idx="29">
                  <c:v>0.18662791432501996</c:v>
                </c:pt>
                <c:pt idx="30">
                  <c:v>0.18885954345745085</c:v>
                </c:pt>
                <c:pt idx="31">
                  <c:v>0.1855050733668471</c:v>
                </c:pt>
                <c:pt idx="32">
                  <c:v>0.18690165447166676</c:v>
                </c:pt>
                <c:pt idx="33">
                  <c:v>0.18930946501314996</c:v>
                </c:pt>
                <c:pt idx="34">
                  <c:v>0.191974434778936</c:v>
                </c:pt>
                <c:pt idx="35">
                  <c:v>0.19031588988650744</c:v>
                </c:pt>
                <c:pt idx="36">
                  <c:v>0.1896662800069869</c:v>
                </c:pt>
                <c:pt idx="37">
                  <c:v>0.19053810416789052</c:v>
                </c:pt>
                <c:pt idx="38">
                  <c:v>0.19361283842736313</c:v>
                </c:pt>
                <c:pt idx="39">
                  <c:v>0.1892380017050885</c:v>
                </c:pt>
                <c:pt idx="40">
                  <c:v>0.18403495504192233</c:v>
                </c:pt>
                <c:pt idx="41">
                  <c:v>0.22932744056582297</c:v>
                </c:pt>
                <c:pt idx="42">
                  <c:v>0.22888389076909688</c:v>
                </c:pt>
                <c:pt idx="43">
                  <c:v>0.23210463371085596</c:v>
                </c:pt>
                <c:pt idx="44">
                  <c:v>0.22677740831857254</c:v>
                </c:pt>
                <c:pt idx="45">
                  <c:v>0.2285691662493467</c:v>
                </c:pt>
                <c:pt idx="46">
                  <c:v>0.23528107051541064</c:v>
                </c:pt>
                <c:pt idx="47">
                  <c:v>0.26257121078878853</c:v>
                </c:pt>
                <c:pt idx="48">
                  <c:v>0.27488791045536115</c:v>
                </c:pt>
                <c:pt idx="49">
                  <c:v>0.31889581869225925</c:v>
                </c:pt>
                <c:pt idx="50">
                  <c:v>0.36125490969151669</c:v>
                </c:pt>
                <c:pt idx="51">
                  <c:v>0.40427692209672372</c:v>
                </c:pt>
                <c:pt idx="52">
                  <c:v>0.40315135184091377</c:v>
                </c:pt>
                <c:pt idx="53">
                  <c:v>0.40533120312388221</c:v>
                </c:pt>
                <c:pt idx="54">
                  <c:v>0.40582759220725806</c:v>
                </c:pt>
                <c:pt idx="55">
                  <c:v>0.40497609541603602</c:v>
                </c:pt>
                <c:pt idx="56">
                  <c:v>0.4048424515018248</c:v>
                </c:pt>
                <c:pt idx="57">
                  <c:v>0.40693050902792627</c:v>
                </c:pt>
                <c:pt idx="58">
                  <c:v>0.40538210234338329</c:v>
                </c:pt>
                <c:pt idx="59">
                  <c:v>0.40513557799195687</c:v>
                </c:pt>
                <c:pt idx="60">
                  <c:v>0.40372283669609316</c:v>
                </c:pt>
                <c:pt idx="61">
                  <c:v>0.37902534281099431</c:v>
                </c:pt>
                <c:pt idx="62">
                  <c:v>0.37737884678891698</c:v>
                </c:pt>
                <c:pt idx="63">
                  <c:v>0.37536977582873859</c:v>
                </c:pt>
                <c:pt idx="64">
                  <c:v>0.37348277797382612</c:v>
                </c:pt>
                <c:pt idx="65">
                  <c:v>0.36960861124786298</c:v>
                </c:pt>
                <c:pt idx="66">
                  <c:v>0.36240049640793692</c:v>
                </c:pt>
                <c:pt idx="67">
                  <c:v>0.34231597548187848</c:v>
                </c:pt>
                <c:pt idx="68">
                  <c:v>0.32986562057265917</c:v>
                </c:pt>
                <c:pt idx="69">
                  <c:v>0.28839187471240901</c:v>
                </c:pt>
                <c:pt idx="70">
                  <c:v>0.22979798294003395</c:v>
                </c:pt>
                <c:pt idx="71">
                  <c:v>0.13724435594284351</c:v>
                </c:pt>
                <c:pt idx="72">
                  <c:v>0.13615110444223957</c:v>
                </c:pt>
                <c:pt idx="73">
                  <c:v>0.12469294834612478</c:v>
                </c:pt>
                <c:pt idx="74">
                  <c:v>0.11516743109821874</c:v>
                </c:pt>
                <c:pt idx="75">
                  <c:v>0.11325497057593639</c:v>
                </c:pt>
                <c:pt idx="76">
                  <c:v>0.11124108301032407</c:v>
                </c:pt>
                <c:pt idx="77">
                  <c:v>0.10287309506180935</c:v>
                </c:pt>
                <c:pt idx="78">
                  <c:v>0.1034138117639469</c:v>
                </c:pt>
                <c:pt idx="79">
                  <c:v>0.10134300732858649</c:v>
                </c:pt>
                <c:pt idx="80">
                  <c:v>0.10567437634340607</c:v>
                </c:pt>
                <c:pt idx="81">
                  <c:v>0.10435898136508832</c:v>
                </c:pt>
                <c:pt idx="82">
                  <c:v>0.10399573417537319</c:v>
                </c:pt>
                <c:pt idx="83">
                  <c:v>0.10128657962023466</c:v>
                </c:pt>
                <c:pt idx="84">
                  <c:v>9.836617918709914E-2</c:v>
                </c:pt>
                <c:pt idx="85">
                  <c:v>0.10165069571303434</c:v>
                </c:pt>
                <c:pt idx="86">
                  <c:v>0.10208198698129546</c:v>
                </c:pt>
                <c:pt idx="87">
                  <c:v>0.11352132380311548</c:v>
                </c:pt>
                <c:pt idx="88">
                  <c:v>0.12018120249992494</c:v>
                </c:pt>
                <c:pt idx="89">
                  <c:v>0.11485920566997627</c:v>
                </c:pt>
                <c:pt idx="90">
                  <c:v>0.11505849195378515</c:v>
                </c:pt>
                <c:pt idx="91">
                  <c:v>0.11455922945961411</c:v>
                </c:pt>
                <c:pt idx="92">
                  <c:v>0.1165549113560211</c:v>
                </c:pt>
                <c:pt idx="93">
                  <c:v>0.11525219467109342</c:v>
                </c:pt>
                <c:pt idx="94">
                  <c:v>0.11758579370684522</c:v>
                </c:pt>
                <c:pt idx="95">
                  <c:v>0.12036163102799965</c:v>
                </c:pt>
                <c:pt idx="96">
                  <c:v>0.12039016845009726</c:v>
                </c:pt>
                <c:pt idx="97">
                  <c:v>0.12087854175432922</c:v>
                </c:pt>
                <c:pt idx="98">
                  <c:v>0.12328041940869823</c:v>
                </c:pt>
                <c:pt idx="99">
                  <c:v>0.12849730149019634</c:v>
                </c:pt>
                <c:pt idx="100">
                  <c:v>0.12504657808177663</c:v>
                </c:pt>
                <c:pt idx="101">
                  <c:v>0.12616633692129392</c:v>
                </c:pt>
                <c:pt idx="102">
                  <c:v>0.1262621153141231</c:v>
                </c:pt>
                <c:pt idx="103">
                  <c:v>0.12629527514341896</c:v>
                </c:pt>
                <c:pt idx="104">
                  <c:v>0.12519424931745113</c:v>
                </c:pt>
                <c:pt idx="105">
                  <c:v>0.1231338673155094</c:v>
                </c:pt>
                <c:pt idx="106">
                  <c:v>0.12139366950607214</c:v>
                </c:pt>
                <c:pt idx="107">
                  <c:v>0.1181652097735473</c:v>
                </c:pt>
                <c:pt idx="108">
                  <c:v>0.11182622005947095</c:v>
                </c:pt>
                <c:pt idx="109">
                  <c:v>0.11858063766194642</c:v>
                </c:pt>
                <c:pt idx="110">
                  <c:v>0.11951843947573744</c:v>
                </c:pt>
                <c:pt idx="111">
                  <c:v>0.11844025267184963</c:v>
                </c:pt>
                <c:pt idx="112">
                  <c:v>0.11673968971676087</c:v>
                </c:pt>
                <c:pt idx="113">
                  <c:v>0.11782282261705684</c:v>
                </c:pt>
                <c:pt idx="114">
                  <c:v>0.11743143587307077</c:v>
                </c:pt>
                <c:pt idx="115">
                  <c:v>0.11536749011224477</c:v>
                </c:pt>
                <c:pt idx="116">
                  <c:v>0.11424128960846963</c:v>
                </c:pt>
                <c:pt idx="117">
                  <c:v>0.11462566123745889</c:v>
                </c:pt>
                <c:pt idx="118">
                  <c:v>0.11435968050582343</c:v>
                </c:pt>
                <c:pt idx="119">
                  <c:v>0.1112259753707972</c:v>
                </c:pt>
                <c:pt idx="120">
                  <c:v>0.11098194117483648</c:v>
                </c:pt>
                <c:pt idx="121">
                  <c:v>0.11046680289177281</c:v>
                </c:pt>
                <c:pt idx="122">
                  <c:v>0.11005877177149651</c:v>
                </c:pt>
                <c:pt idx="123">
                  <c:v>0.10982022782138817</c:v>
                </c:pt>
                <c:pt idx="124">
                  <c:v>0.11224366414365379</c:v>
                </c:pt>
                <c:pt idx="125">
                  <c:v>0.11162030404546879</c:v>
                </c:pt>
                <c:pt idx="126">
                  <c:v>0.11139837409548736</c:v>
                </c:pt>
                <c:pt idx="127">
                  <c:v>0.10578791379264448</c:v>
                </c:pt>
                <c:pt idx="128">
                  <c:v>0.1075758863247107</c:v>
                </c:pt>
                <c:pt idx="129">
                  <c:v>0.10238234485231716</c:v>
                </c:pt>
                <c:pt idx="130">
                  <c:v>0.10062199180749495</c:v>
                </c:pt>
                <c:pt idx="131">
                  <c:v>0.10169190963810319</c:v>
                </c:pt>
                <c:pt idx="132">
                  <c:v>0.10223627601472247</c:v>
                </c:pt>
                <c:pt idx="133">
                  <c:v>0.10250445907877449</c:v>
                </c:pt>
                <c:pt idx="134">
                  <c:v>0.10362227626432834</c:v>
                </c:pt>
                <c:pt idx="135">
                  <c:v>0.10576643205535032</c:v>
                </c:pt>
                <c:pt idx="136">
                  <c:v>0.10527908774682199</c:v>
                </c:pt>
                <c:pt idx="137">
                  <c:v>0.1019219933918003</c:v>
                </c:pt>
                <c:pt idx="138">
                  <c:v>9.9540561887354037E-2</c:v>
                </c:pt>
                <c:pt idx="139">
                  <c:v>9.7093251340559919E-2</c:v>
                </c:pt>
                <c:pt idx="140">
                  <c:v>9.6127347447940922E-2</c:v>
                </c:pt>
                <c:pt idx="141">
                  <c:v>9.6424921364162655E-2</c:v>
                </c:pt>
                <c:pt idx="142">
                  <c:v>9.7446691603810892E-2</c:v>
                </c:pt>
                <c:pt idx="143">
                  <c:v>9.8291093869511112E-2</c:v>
                </c:pt>
                <c:pt idx="144">
                  <c:v>9.734168875445523E-2</c:v>
                </c:pt>
                <c:pt idx="145">
                  <c:v>9.814453102782332E-2</c:v>
                </c:pt>
                <c:pt idx="146">
                  <c:v>9.8539253128079041E-2</c:v>
                </c:pt>
                <c:pt idx="147">
                  <c:v>9.8815654180458998E-2</c:v>
                </c:pt>
                <c:pt idx="148">
                  <c:v>9.8005519234953806E-2</c:v>
                </c:pt>
                <c:pt idx="149">
                  <c:v>9.4138592926888032E-2</c:v>
                </c:pt>
                <c:pt idx="150">
                  <c:v>9.3836079815045839E-2</c:v>
                </c:pt>
                <c:pt idx="151">
                  <c:v>9.240627784488413E-2</c:v>
                </c:pt>
                <c:pt idx="152">
                  <c:v>9.2557165028525332E-2</c:v>
                </c:pt>
                <c:pt idx="153">
                  <c:v>9.2234861918077934E-2</c:v>
                </c:pt>
                <c:pt idx="154">
                  <c:v>9.5598092788958866E-2</c:v>
                </c:pt>
                <c:pt idx="155">
                  <c:v>9.3923144042727252E-2</c:v>
                </c:pt>
                <c:pt idx="156">
                  <c:v>9.5287923330157578E-2</c:v>
                </c:pt>
                <c:pt idx="157">
                  <c:v>9.7810515716878349E-2</c:v>
                </c:pt>
                <c:pt idx="158">
                  <c:v>9.5315111316608012E-2</c:v>
                </c:pt>
                <c:pt idx="159">
                  <c:v>9.9208761723847835E-2</c:v>
                </c:pt>
                <c:pt idx="160">
                  <c:v>0.10077845677293312</c:v>
                </c:pt>
                <c:pt idx="161">
                  <c:v>0.10848111747061476</c:v>
                </c:pt>
                <c:pt idx="162">
                  <c:v>0.11173828698860948</c:v>
                </c:pt>
                <c:pt idx="163">
                  <c:v>0.11571879120525828</c:v>
                </c:pt>
                <c:pt idx="164">
                  <c:v>0.11509479522515927</c:v>
                </c:pt>
                <c:pt idx="165">
                  <c:v>0.11624909490229844</c:v>
                </c:pt>
                <c:pt idx="166">
                  <c:v>0.11769948079046441</c:v>
                </c:pt>
                <c:pt idx="167">
                  <c:v>0.11690217080425755</c:v>
                </c:pt>
                <c:pt idx="168">
                  <c:v>0.11506147746954333</c:v>
                </c:pt>
                <c:pt idx="169">
                  <c:v>0.11674885672834216</c:v>
                </c:pt>
                <c:pt idx="170">
                  <c:v>0.11740196194870396</c:v>
                </c:pt>
                <c:pt idx="171">
                  <c:v>0.11804767402393027</c:v>
                </c:pt>
                <c:pt idx="172">
                  <c:v>0.11878062187982376</c:v>
                </c:pt>
                <c:pt idx="173">
                  <c:v>0.11765169783321977</c:v>
                </c:pt>
                <c:pt idx="174">
                  <c:v>0.11797066567469587</c:v>
                </c:pt>
                <c:pt idx="175">
                  <c:v>0.11863438024595283</c:v>
                </c:pt>
                <c:pt idx="176">
                  <c:v>0.11727340953192206</c:v>
                </c:pt>
                <c:pt idx="177">
                  <c:v>0.11804620413452226</c:v>
                </c:pt>
                <c:pt idx="178">
                  <c:v>0.12294155217372389</c:v>
                </c:pt>
                <c:pt idx="179">
                  <c:v>0.11987900221290479</c:v>
                </c:pt>
                <c:pt idx="180">
                  <c:v>0.11972494438985309</c:v>
                </c:pt>
                <c:pt idx="181">
                  <c:v>0.11437172922380069</c:v>
                </c:pt>
                <c:pt idx="182">
                  <c:v>0.11017075087116231</c:v>
                </c:pt>
                <c:pt idx="183">
                  <c:v>0.1069103153842146</c:v>
                </c:pt>
                <c:pt idx="184">
                  <c:v>0.11023920952686542</c:v>
                </c:pt>
                <c:pt idx="185">
                  <c:v>0.11018901271012892</c:v>
                </c:pt>
                <c:pt idx="186">
                  <c:v>0.10939343507399221</c:v>
                </c:pt>
                <c:pt idx="187">
                  <c:v>0.10940782156868246</c:v>
                </c:pt>
                <c:pt idx="188">
                  <c:v>0.11162342603802984</c:v>
                </c:pt>
                <c:pt idx="189">
                  <c:v>0.11297893149563447</c:v>
                </c:pt>
                <c:pt idx="190">
                  <c:v>0.113126200717323</c:v>
                </c:pt>
                <c:pt idx="191">
                  <c:v>0.11526494243757898</c:v>
                </c:pt>
                <c:pt idx="192">
                  <c:v>0.11421795222602207</c:v>
                </c:pt>
                <c:pt idx="193">
                  <c:v>0.11594942560012692</c:v>
                </c:pt>
                <c:pt idx="194">
                  <c:v>0.10993027621019244</c:v>
                </c:pt>
                <c:pt idx="195">
                  <c:v>0.1114099216716558</c:v>
                </c:pt>
                <c:pt idx="196">
                  <c:v>0.11089020160459345</c:v>
                </c:pt>
                <c:pt idx="197">
                  <c:v>0.10986963733109807</c:v>
                </c:pt>
                <c:pt idx="198">
                  <c:v>0.10652488692579865</c:v>
                </c:pt>
                <c:pt idx="199">
                  <c:v>0.10590748623233717</c:v>
                </c:pt>
                <c:pt idx="200">
                  <c:v>0.12755873256172701</c:v>
                </c:pt>
                <c:pt idx="201">
                  <c:v>0.12688633008357192</c:v>
                </c:pt>
                <c:pt idx="202">
                  <c:v>0.12857709001827725</c:v>
                </c:pt>
                <c:pt idx="203">
                  <c:v>0.13079579010126971</c:v>
                </c:pt>
                <c:pt idx="204">
                  <c:v>0.13300065529372532</c:v>
                </c:pt>
                <c:pt idx="205">
                  <c:v>0.13678517235480731</c:v>
                </c:pt>
                <c:pt idx="206">
                  <c:v>0.14974681017914271</c:v>
                </c:pt>
                <c:pt idx="207">
                  <c:v>0.18016521130758267</c:v>
                </c:pt>
                <c:pt idx="208">
                  <c:v>0.18200449617791731</c:v>
                </c:pt>
                <c:pt idx="209">
                  <c:v>0.18296998305222947</c:v>
                </c:pt>
                <c:pt idx="210">
                  <c:v>0.18416473103185671</c:v>
                </c:pt>
                <c:pt idx="211">
                  <c:v>0.18383738259616786</c:v>
                </c:pt>
                <c:pt idx="212">
                  <c:v>0.18476401808215712</c:v>
                </c:pt>
                <c:pt idx="213">
                  <c:v>0.18663923060975399</c:v>
                </c:pt>
                <c:pt idx="214">
                  <c:v>0.19491201069026179</c:v>
                </c:pt>
                <c:pt idx="215">
                  <c:v>0.19666995612502919</c:v>
                </c:pt>
                <c:pt idx="216">
                  <c:v>0.20459159004146052</c:v>
                </c:pt>
                <c:pt idx="217">
                  <c:v>0.20580179285552219</c:v>
                </c:pt>
                <c:pt idx="218">
                  <c:v>0.21866265490660311</c:v>
                </c:pt>
                <c:pt idx="219">
                  <c:v>0.21894580857012508</c:v>
                </c:pt>
                <c:pt idx="220">
                  <c:v>0.20775797294805107</c:v>
                </c:pt>
                <c:pt idx="221">
                  <c:v>0.21045077104482127</c:v>
                </c:pt>
                <c:pt idx="222">
                  <c:v>0.21048925784716199</c:v>
                </c:pt>
                <c:pt idx="223">
                  <c:v>0.20977513051411067</c:v>
                </c:pt>
                <c:pt idx="224">
                  <c:v>0.20839348103149768</c:v>
                </c:pt>
                <c:pt idx="225">
                  <c:v>0.20512774136629433</c:v>
                </c:pt>
                <c:pt idx="226">
                  <c:v>0.19699246147058852</c:v>
                </c:pt>
                <c:pt idx="227">
                  <c:v>0.1742106337697647</c:v>
                </c:pt>
                <c:pt idx="228">
                  <c:v>0.17476690918605733</c:v>
                </c:pt>
                <c:pt idx="229">
                  <c:v>0.17176342011179138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12-45EB-8551-5C5D973536C3}"/>
            </c:ext>
          </c:extLst>
        </c:ser>
        <c:ser>
          <c:idx val="3"/>
          <c:order val="3"/>
          <c:tx>
            <c:strRef>
              <c:f>走势图!$F$6</c:f>
              <c:strCache>
                <c:ptCount val="1"/>
                <c:pt idx="0">
                  <c:v>HV60</c:v>
                </c:pt>
              </c:strCache>
            </c:strRef>
          </c:tx>
          <c:spPr>
            <a:ln w="28575" cap="rnd">
              <a:solidFill>
                <a:srgbClr val="E05D5D"/>
              </a:solidFill>
              <a:round/>
            </a:ln>
            <a:effectLst/>
          </c:spPr>
          <c:marker>
            <c:symbol val="none"/>
          </c:marker>
          <c:cat>
            <c:numRef>
              <c:f>作图数据!$A$3:$A$240</c:f>
              <c:numCache>
                <c:formatCode>m/d/yyyy</c:formatCode>
                <c:ptCount val="238"/>
                <c:pt idx="0">
                  <c:v>45670</c:v>
                </c:pt>
                <c:pt idx="1">
                  <c:v>45667</c:v>
                </c:pt>
                <c:pt idx="2">
                  <c:v>45666</c:v>
                </c:pt>
                <c:pt idx="3">
                  <c:v>45665</c:v>
                </c:pt>
                <c:pt idx="4">
                  <c:v>45664</c:v>
                </c:pt>
                <c:pt idx="5">
                  <c:v>45663</c:v>
                </c:pt>
                <c:pt idx="6">
                  <c:v>45660</c:v>
                </c:pt>
                <c:pt idx="7">
                  <c:v>45659</c:v>
                </c:pt>
                <c:pt idx="8">
                  <c:v>45657</c:v>
                </c:pt>
                <c:pt idx="9">
                  <c:v>45656</c:v>
                </c:pt>
                <c:pt idx="10">
                  <c:v>45653</c:v>
                </c:pt>
                <c:pt idx="11">
                  <c:v>45652</c:v>
                </c:pt>
                <c:pt idx="12">
                  <c:v>45651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45624</c:v>
                </c:pt>
                <c:pt idx="32">
                  <c:v>45623</c:v>
                </c:pt>
                <c:pt idx="33">
                  <c:v>45622</c:v>
                </c:pt>
                <c:pt idx="34">
                  <c:v>45621</c:v>
                </c:pt>
                <c:pt idx="35">
                  <c:v>45618</c:v>
                </c:pt>
                <c:pt idx="36">
                  <c:v>45617</c:v>
                </c:pt>
                <c:pt idx="37">
                  <c:v>45616</c:v>
                </c:pt>
                <c:pt idx="38">
                  <c:v>45615</c:v>
                </c:pt>
                <c:pt idx="39">
                  <c:v>45614</c:v>
                </c:pt>
                <c:pt idx="40">
                  <c:v>45611</c:v>
                </c:pt>
                <c:pt idx="41">
                  <c:v>45610</c:v>
                </c:pt>
                <c:pt idx="42">
                  <c:v>45609</c:v>
                </c:pt>
                <c:pt idx="43">
                  <c:v>45608</c:v>
                </c:pt>
                <c:pt idx="44">
                  <c:v>45607</c:v>
                </c:pt>
                <c:pt idx="45">
                  <c:v>45604</c:v>
                </c:pt>
                <c:pt idx="46">
                  <c:v>45603</c:v>
                </c:pt>
                <c:pt idx="47">
                  <c:v>45602</c:v>
                </c:pt>
                <c:pt idx="48">
                  <c:v>45601</c:v>
                </c:pt>
                <c:pt idx="49">
                  <c:v>45600</c:v>
                </c:pt>
                <c:pt idx="50">
                  <c:v>45597</c:v>
                </c:pt>
                <c:pt idx="51">
                  <c:v>45596</c:v>
                </c:pt>
                <c:pt idx="52">
                  <c:v>45595</c:v>
                </c:pt>
                <c:pt idx="53">
                  <c:v>45594</c:v>
                </c:pt>
                <c:pt idx="54">
                  <c:v>45593</c:v>
                </c:pt>
                <c:pt idx="55">
                  <c:v>45590</c:v>
                </c:pt>
                <c:pt idx="56">
                  <c:v>45589</c:v>
                </c:pt>
                <c:pt idx="57">
                  <c:v>45588</c:v>
                </c:pt>
                <c:pt idx="58">
                  <c:v>45587</c:v>
                </c:pt>
                <c:pt idx="59">
                  <c:v>45586</c:v>
                </c:pt>
                <c:pt idx="60">
                  <c:v>45583</c:v>
                </c:pt>
                <c:pt idx="61">
                  <c:v>45582</c:v>
                </c:pt>
                <c:pt idx="62">
                  <c:v>45581</c:v>
                </c:pt>
                <c:pt idx="63">
                  <c:v>45580</c:v>
                </c:pt>
                <c:pt idx="64">
                  <c:v>45579</c:v>
                </c:pt>
                <c:pt idx="65">
                  <c:v>45576</c:v>
                </c:pt>
                <c:pt idx="66">
                  <c:v>45575</c:v>
                </c:pt>
                <c:pt idx="67">
                  <c:v>45574</c:v>
                </c:pt>
                <c:pt idx="68">
                  <c:v>45573</c:v>
                </c:pt>
                <c:pt idx="69">
                  <c:v>45565</c:v>
                </c:pt>
                <c:pt idx="70">
                  <c:v>45562</c:v>
                </c:pt>
                <c:pt idx="71">
                  <c:v>45561</c:v>
                </c:pt>
                <c:pt idx="72">
                  <c:v>45560</c:v>
                </c:pt>
                <c:pt idx="73">
                  <c:v>45559</c:v>
                </c:pt>
                <c:pt idx="74">
                  <c:v>45558</c:v>
                </c:pt>
                <c:pt idx="75">
                  <c:v>45555</c:v>
                </c:pt>
                <c:pt idx="76">
                  <c:v>45554</c:v>
                </c:pt>
                <c:pt idx="77">
                  <c:v>45553</c:v>
                </c:pt>
                <c:pt idx="78">
                  <c:v>45548</c:v>
                </c:pt>
                <c:pt idx="79">
                  <c:v>45547</c:v>
                </c:pt>
                <c:pt idx="80">
                  <c:v>45546</c:v>
                </c:pt>
                <c:pt idx="81">
                  <c:v>45545</c:v>
                </c:pt>
                <c:pt idx="82">
                  <c:v>45544</c:v>
                </c:pt>
                <c:pt idx="83">
                  <c:v>45541</c:v>
                </c:pt>
                <c:pt idx="84">
                  <c:v>45540</c:v>
                </c:pt>
                <c:pt idx="85">
                  <c:v>45539</c:v>
                </c:pt>
                <c:pt idx="86">
                  <c:v>45538</c:v>
                </c:pt>
                <c:pt idx="87">
                  <c:v>45537</c:v>
                </c:pt>
                <c:pt idx="88">
                  <c:v>45534</c:v>
                </c:pt>
                <c:pt idx="89">
                  <c:v>45533</c:v>
                </c:pt>
                <c:pt idx="90">
                  <c:v>45532</c:v>
                </c:pt>
                <c:pt idx="91">
                  <c:v>45531</c:v>
                </c:pt>
                <c:pt idx="92">
                  <c:v>45530</c:v>
                </c:pt>
                <c:pt idx="93">
                  <c:v>45527</c:v>
                </c:pt>
                <c:pt idx="94">
                  <c:v>45526</c:v>
                </c:pt>
                <c:pt idx="95">
                  <c:v>45525</c:v>
                </c:pt>
                <c:pt idx="96">
                  <c:v>45524</c:v>
                </c:pt>
                <c:pt idx="97">
                  <c:v>45523</c:v>
                </c:pt>
                <c:pt idx="98">
                  <c:v>45520</c:v>
                </c:pt>
                <c:pt idx="99">
                  <c:v>45519</c:v>
                </c:pt>
                <c:pt idx="100">
                  <c:v>45518</c:v>
                </c:pt>
                <c:pt idx="101">
                  <c:v>45517</c:v>
                </c:pt>
                <c:pt idx="102">
                  <c:v>45516</c:v>
                </c:pt>
                <c:pt idx="103">
                  <c:v>45513</c:v>
                </c:pt>
                <c:pt idx="104">
                  <c:v>45512</c:v>
                </c:pt>
                <c:pt idx="105">
                  <c:v>45511</c:v>
                </c:pt>
                <c:pt idx="106">
                  <c:v>45510</c:v>
                </c:pt>
                <c:pt idx="107">
                  <c:v>45509</c:v>
                </c:pt>
                <c:pt idx="108">
                  <c:v>45506</c:v>
                </c:pt>
                <c:pt idx="109">
                  <c:v>45505</c:v>
                </c:pt>
                <c:pt idx="110">
                  <c:v>45504</c:v>
                </c:pt>
                <c:pt idx="111">
                  <c:v>45503</c:v>
                </c:pt>
                <c:pt idx="112">
                  <c:v>45502</c:v>
                </c:pt>
                <c:pt idx="113">
                  <c:v>45499</c:v>
                </c:pt>
                <c:pt idx="114">
                  <c:v>45498</c:v>
                </c:pt>
                <c:pt idx="115">
                  <c:v>45497</c:v>
                </c:pt>
                <c:pt idx="116">
                  <c:v>45496</c:v>
                </c:pt>
                <c:pt idx="117">
                  <c:v>45495</c:v>
                </c:pt>
                <c:pt idx="118">
                  <c:v>45492</c:v>
                </c:pt>
                <c:pt idx="119">
                  <c:v>45491</c:v>
                </c:pt>
                <c:pt idx="120">
                  <c:v>45490</c:v>
                </c:pt>
                <c:pt idx="121">
                  <c:v>45489</c:v>
                </c:pt>
                <c:pt idx="122">
                  <c:v>45488</c:v>
                </c:pt>
                <c:pt idx="123">
                  <c:v>45485</c:v>
                </c:pt>
                <c:pt idx="124">
                  <c:v>45484</c:v>
                </c:pt>
                <c:pt idx="125">
                  <c:v>45483</c:v>
                </c:pt>
                <c:pt idx="126">
                  <c:v>45482</c:v>
                </c:pt>
                <c:pt idx="127">
                  <c:v>45481</c:v>
                </c:pt>
                <c:pt idx="128">
                  <c:v>45478</c:v>
                </c:pt>
                <c:pt idx="129">
                  <c:v>45477</c:v>
                </c:pt>
                <c:pt idx="130">
                  <c:v>45476</c:v>
                </c:pt>
                <c:pt idx="131">
                  <c:v>45475</c:v>
                </c:pt>
                <c:pt idx="132">
                  <c:v>45474</c:v>
                </c:pt>
                <c:pt idx="133">
                  <c:v>45471</c:v>
                </c:pt>
                <c:pt idx="134">
                  <c:v>45470</c:v>
                </c:pt>
                <c:pt idx="135">
                  <c:v>45469</c:v>
                </c:pt>
                <c:pt idx="136">
                  <c:v>45468</c:v>
                </c:pt>
                <c:pt idx="137">
                  <c:v>45467</c:v>
                </c:pt>
                <c:pt idx="138">
                  <c:v>45464</c:v>
                </c:pt>
                <c:pt idx="139">
                  <c:v>45463</c:v>
                </c:pt>
                <c:pt idx="140">
                  <c:v>45462</c:v>
                </c:pt>
                <c:pt idx="141">
                  <c:v>45461</c:v>
                </c:pt>
                <c:pt idx="142">
                  <c:v>45460</c:v>
                </c:pt>
                <c:pt idx="143">
                  <c:v>45457</c:v>
                </c:pt>
                <c:pt idx="144">
                  <c:v>45456</c:v>
                </c:pt>
                <c:pt idx="145">
                  <c:v>45455</c:v>
                </c:pt>
                <c:pt idx="146">
                  <c:v>45454</c:v>
                </c:pt>
                <c:pt idx="147">
                  <c:v>45450</c:v>
                </c:pt>
                <c:pt idx="148">
                  <c:v>45449</c:v>
                </c:pt>
                <c:pt idx="149">
                  <c:v>45448</c:v>
                </c:pt>
                <c:pt idx="150">
                  <c:v>45447</c:v>
                </c:pt>
                <c:pt idx="151">
                  <c:v>45446</c:v>
                </c:pt>
                <c:pt idx="152">
                  <c:v>45443</c:v>
                </c:pt>
                <c:pt idx="153">
                  <c:v>45442</c:v>
                </c:pt>
                <c:pt idx="154">
                  <c:v>45441</c:v>
                </c:pt>
                <c:pt idx="155">
                  <c:v>45440</c:v>
                </c:pt>
                <c:pt idx="156">
                  <c:v>45439</c:v>
                </c:pt>
                <c:pt idx="157">
                  <c:v>45436</c:v>
                </c:pt>
                <c:pt idx="158">
                  <c:v>45435</c:v>
                </c:pt>
                <c:pt idx="159">
                  <c:v>45434</c:v>
                </c:pt>
                <c:pt idx="160">
                  <c:v>45433</c:v>
                </c:pt>
                <c:pt idx="161">
                  <c:v>45432</c:v>
                </c:pt>
                <c:pt idx="162">
                  <c:v>45429</c:v>
                </c:pt>
                <c:pt idx="163">
                  <c:v>45428</c:v>
                </c:pt>
                <c:pt idx="164">
                  <c:v>45427</c:v>
                </c:pt>
                <c:pt idx="165">
                  <c:v>45426</c:v>
                </c:pt>
                <c:pt idx="166">
                  <c:v>45425</c:v>
                </c:pt>
                <c:pt idx="167">
                  <c:v>45422</c:v>
                </c:pt>
                <c:pt idx="168">
                  <c:v>45421</c:v>
                </c:pt>
                <c:pt idx="169">
                  <c:v>45420</c:v>
                </c:pt>
                <c:pt idx="170">
                  <c:v>45419</c:v>
                </c:pt>
                <c:pt idx="171">
                  <c:v>45418</c:v>
                </c:pt>
                <c:pt idx="172">
                  <c:v>45412</c:v>
                </c:pt>
                <c:pt idx="173">
                  <c:v>45411</c:v>
                </c:pt>
                <c:pt idx="174">
                  <c:v>45408</c:v>
                </c:pt>
                <c:pt idx="175">
                  <c:v>45407</c:v>
                </c:pt>
                <c:pt idx="176">
                  <c:v>45406</c:v>
                </c:pt>
                <c:pt idx="177">
                  <c:v>45405</c:v>
                </c:pt>
                <c:pt idx="178">
                  <c:v>45404</c:v>
                </c:pt>
                <c:pt idx="179">
                  <c:v>45401</c:v>
                </c:pt>
                <c:pt idx="180">
                  <c:v>45400</c:v>
                </c:pt>
                <c:pt idx="181">
                  <c:v>45399</c:v>
                </c:pt>
                <c:pt idx="182">
                  <c:v>45398</c:v>
                </c:pt>
                <c:pt idx="183">
                  <c:v>45397</c:v>
                </c:pt>
                <c:pt idx="184">
                  <c:v>45394</c:v>
                </c:pt>
                <c:pt idx="185">
                  <c:v>45393</c:v>
                </c:pt>
                <c:pt idx="186">
                  <c:v>45392</c:v>
                </c:pt>
                <c:pt idx="187">
                  <c:v>45391</c:v>
                </c:pt>
                <c:pt idx="188">
                  <c:v>45390</c:v>
                </c:pt>
                <c:pt idx="189">
                  <c:v>45385</c:v>
                </c:pt>
                <c:pt idx="190">
                  <c:v>45384</c:v>
                </c:pt>
                <c:pt idx="191">
                  <c:v>45383</c:v>
                </c:pt>
                <c:pt idx="192">
                  <c:v>45380</c:v>
                </c:pt>
                <c:pt idx="193">
                  <c:v>45379</c:v>
                </c:pt>
                <c:pt idx="194">
                  <c:v>45378</c:v>
                </c:pt>
                <c:pt idx="195">
                  <c:v>45377</c:v>
                </c:pt>
                <c:pt idx="196">
                  <c:v>45376</c:v>
                </c:pt>
                <c:pt idx="197">
                  <c:v>45373</c:v>
                </c:pt>
                <c:pt idx="198">
                  <c:v>45372</c:v>
                </c:pt>
                <c:pt idx="199">
                  <c:v>45371</c:v>
                </c:pt>
                <c:pt idx="200">
                  <c:v>45370</c:v>
                </c:pt>
                <c:pt idx="201">
                  <c:v>45369</c:v>
                </c:pt>
                <c:pt idx="202">
                  <c:v>45366</c:v>
                </c:pt>
                <c:pt idx="203">
                  <c:v>45365</c:v>
                </c:pt>
                <c:pt idx="204">
                  <c:v>45364</c:v>
                </c:pt>
                <c:pt idx="205">
                  <c:v>45363</c:v>
                </c:pt>
                <c:pt idx="206">
                  <c:v>45362</c:v>
                </c:pt>
                <c:pt idx="207">
                  <c:v>45359</c:v>
                </c:pt>
                <c:pt idx="208">
                  <c:v>45358</c:v>
                </c:pt>
                <c:pt idx="209">
                  <c:v>45357</c:v>
                </c:pt>
                <c:pt idx="210">
                  <c:v>45356</c:v>
                </c:pt>
                <c:pt idx="211">
                  <c:v>45355</c:v>
                </c:pt>
                <c:pt idx="212">
                  <c:v>45352</c:v>
                </c:pt>
                <c:pt idx="213">
                  <c:v>45351</c:v>
                </c:pt>
                <c:pt idx="214">
                  <c:v>45350</c:v>
                </c:pt>
                <c:pt idx="215">
                  <c:v>45349</c:v>
                </c:pt>
                <c:pt idx="216">
                  <c:v>45348</c:v>
                </c:pt>
                <c:pt idx="217">
                  <c:v>45345</c:v>
                </c:pt>
                <c:pt idx="218">
                  <c:v>45344</c:v>
                </c:pt>
                <c:pt idx="219">
                  <c:v>45343</c:v>
                </c:pt>
                <c:pt idx="220">
                  <c:v>45342</c:v>
                </c:pt>
                <c:pt idx="221">
                  <c:v>45341</c:v>
                </c:pt>
                <c:pt idx="222">
                  <c:v>45330</c:v>
                </c:pt>
                <c:pt idx="223">
                  <c:v>45329</c:v>
                </c:pt>
                <c:pt idx="224">
                  <c:v>45328</c:v>
                </c:pt>
                <c:pt idx="225">
                  <c:v>45327</c:v>
                </c:pt>
                <c:pt idx="226">
                  <c:v>45324</c:v>
                </c:pt>
                <c:pt idx="227">
                  <c:v>45323</c:v>
                </c:pt>
                <c:pt idx="228">
                  <c:v>45322</c:v>
                </c:pt>
                <c:pt idx="229">
                  <c:v>45321</c:v>
                </c:pt>
                <c:pt idx="230">
                  <c:v>45320</c:v>
                </c:pt>
                <c:pt idx="231">
                  <c:v>45317</c:v>
                </c:pt>
                <c:pt idx="232">
                  <c:v>45316</c:v>
                </c:pt>
                <c:pt idx="233">
                  <c:v>45315</c:v>
                </c:pt>
                <c:pt idx="234">
                  <c:v>45314</c:v>
                </c:pt>
                <c:pt idx="235">
                  <c:v>45313</c:v>
                </c:pt>
                <c:pt idx="236">
                  <c:v>45310</c:v>
                </c:pt>
                <c:pt idx="237">
                  <c:v>45309</c:v>
                </c:pt>
              </c:numCache>
            </c:numRef>
          </c:cat>
          <c:val>
            <c:numRef>
              <c:f>作图数据!$Y$3:$Y$246</c:f>
              <c:numCache>
                <c:formatCode>General</c:formatCode>
                <c:ptCount val="244"/>
                <c:pt idx="0">
                  <c:v>0.16224784365613812</c:v>
                </c:pt>
                <c:pt idx="1">
                  <c:v>0.18051211616183535</c:v>
                </c:pt>
                <c:pt idx="2">
                  <c:v>0.18114155566109302</c:v>
                </c:pt>
                <c:pt idx="3">
                  <c:v>0.18277040762248822</c:v>
                </c:pt>
                <c:pt idx="4">
                  <c:v>0.18313643852517486</c:v>
                </c:pt>
                <c:pt idx="5">
                  <c:v>0.18555371421646746</c:v>
                </c:pt>
                <c:pt idx="6">
                  <c:v>0.18940778628303565</c:v>
                </c:pt>
                <c:pt idx="7">
                  <c:v>0.20065358702951777</c:v>
                </c:pt>
                <c:pt idx="8">
                  <c:v>0.20462517615937742</c:v>
                </c:pt>
                <c:pt idx="9">
                  <c:v>0.22540148329035536</c:v>
                </c:pt>
                <c:pt idx="10">
                  <c:v>0.24685147565029961</c:v>
                </c:pt>
                <c:pt idx="11">
                  <c:v>0.26874793820163301</c:v>
                </c:pt>
                <c:pt idx="12">
                  <c:v>0.26892234327385151</c:v>
                </c:pt>
                <c:pt idx="13">
                  <c:v>0.27075064238334196</c:v>
                </c:pt>
                <c:pt idx="14">
                  <c:v>0.27170818642169869</c:v>
                </c:pt>
                <c:pt idx="15">
                  <c:v>0.27144588826312299</c:v>
                </c:pt>
                <c:pt idx="16">
                  <c:v>0.27170676330759375</c:v>
                </c:pt>
                <c:pt idx="17">
                  <c:v>0.27266409474794889</c:v>
                </c:pt>
                <c:pt idx="18">
                  <c:v>0.27281254011529066</c:v>
                </c:pt>
                <c:pt idx="19">
                  <c:v>0.27234481841289032</c:v>
                </c:pt>
                <c:pt idx="20">
                  <c:v>0.27249977739444886</c:v>
                </c:pt>
                <c:pt idx="21">
                  <c:v>0.27215024788632797</c:v>
                </c:pt>
                <c:pt idx="22">
                  <c:v>0.2721106630074549</c:v>
                </c:pt>
                <c:pt idx="23">
                  <c:v>0.27229226082225577</c:v>
                </c:pt>
                <c:pt idx="24">
                  <c:v>0.2716247808992529</c:v>
                </c:pt>
                <c:pt idx="25">
                  <c:v>0.27115833144176354</c:v>
                </c:pt>
                <c:pt idx="26">
                  <c:v>0.27028947303941708</c:v>
                </c:pt>
                <c:pt idx="27">
                  <c:v>0.27018825582671213</c:v>
                </c:pt>
                <c:pt idx="28">
                  <c:v>0.2700914417392285</c:v>
                </c:pt>
                <c:pt idx="29">
                  <c:v>0.27061312790578057</c:v>
                </c:pt>
                <c:pt idx="30">
                  <c:v>0.27017287668854473</c:v>
                </c:pt>
                <c:pt idx="31">
                  <c:v>0.26875513962403624</c:v>
                </c:pt>
                <c:pt idx="32">
                  <c:v>0.26832838350066768</c:v>
                </c:pt>
                <c:pt idx="33">
                  <c:v>0.26812919096129029</c:v>
                </c:pt>
                <c:pt idx="34">
                  <c:v>0.26759033078644395</c:v>
                </c:pt>
                <c:pt idx="35">
                  <c:v>0.26649106561750979</c:v>
                </c:pt>
                <c:pt idx="36">
                  <c:v>0.26598576832793513</c:v>
                </c:pt>
                <c:pt idx="37">
                  <c:v>0.26613285028673</c:v>
                </c:pt>
                <c:pt idx="38">
                  <c:v>0.26615471476053831</c:v>
                </c:pt>
                <c:pt idx="39">
                  <c:v>0.264711328921786</c:v>
                </c:pt>
                <c:pt idx="40">
                  <c:v>0.263330000419493</c:v>
                </c:pt>
                <c:pt idx="41">
                  <c:v>0.26276864506064501</c:v>
                </c:pt>
                <c:pt idx="42">
                  <c:v>0.26180001412274451</c:v>
                </c:pt>
                <c:pt idx="43">
                  <c:v>0.26142812957989958</c:v>
                </c:pt>
                <c:pt idx="44">
                  <c:v>0.25858156906129476</c:v>
                </c:pt>
                <c:pt idx="45">
                  <c:v>0.25767372987781745</c:v>
                </c:pt>
                <c:pt idx="46">
                  <c:v>0.25632793709468227</c:v>
                </c:pt>
                <c:pt idx="47">
                  <c:v>0.25755967513258765</c:v>
                </c:pt>
                <c:pt idx="48">
                  <c:v>0.25743491888541992</c:v>
                </c:pt>
                <c:pt idx="49">
                  <c:v>0.2569416624493337</c:v>
                </c:pt>
                <c:pt idx="50">
                  <c:v>0.25596267912218063</c:v>
                </c:pt>
                <c:pt idx="51">
                  <c:v>0.25521210788449855</c:v>
                </c:pt>
                <c:pt idx="52">
                  <c:v>0.25472415347666305</c:v>
                </c:pt>
                <c:pt idx="53">
                  <c:v>0.25372214721988484</c:v>
                </c:pt>
                <c:pt idx="54">
                  <c:v>0.25284118247374987</c:v>
                </c:pt>
                <c:pt idx="55">
                  <c:v>0.25253333010535117</c:v>
                </c:pt>
                <c:pt idx="56">
                  <c:v>0.25216778921104621</c:v>
                </c:pt>
                <c:pt idx="57">
                  <c:v>0.2521817695776708</c:v>
                </c:pt>
                <c:pt idx="58">
                  <c:v>0.25181152156158043</c:v>
                </c:pt>
                <c:pt idx="59">
                  <c:v>0.25226758160039858</c:v>
                </c:pt>
                <c:pt idx="60">
                  <c:v>0.25152590945100795</c:v>
                </c:pt>
                <c:pt idx="61">
                  <c:v>0.23837572027976342</c:v>
                </c:pt>
                <c:pt idx="62">
                  <c:v>0.23746721071480209</c:v>
                </c:pt>
                <c:pt idx="63">
                  <c:v>0.23601690358985977</c:v>
                </c:pt>
                <c:pt idx="64">
                  <c:v>0.23440626464401138</c:v>
                </c:pt>
                <c:pt idx="65">
                  <c:v>0.23245453944631209</c:v>
                </c:pt>
                <c:pt idx="66">
                  <c:v>0.22839386656892949</c:v>
                </c:pt>
                <c:pt idx="67">
                  <c:v>0.21911209827312003</c:v>
                </c:pt>
                <c:pt idx="68">
                  <c:v>0.21272827156014679</c:v>
                </c:pt>
                <c:pt idx="69">
                  <c:v>0.1918540053926332</c:v>
                </c:pt>
                <c:pt idx="70">
                  <c:v>0.1636360055210985</c:v>
                </c:pt>
                <c:pt idx="71">
                  <c:v>0.12381158231430801</c:v>
                </c:pt>
                <c:pt idx="72">
                  <c:v>0.12349133000230846</c:v>
                </c:pt>
                <c:pt idx="73">
                  <c:v>0.1193225562263947</c:v>
                </c:pt>
                <c:pt idx="74">
                  <c:v>0.11673345450018865</c:v>
                </c:pt>
                <c:pt idx="75">
                  <c:v>0.11636618689676057</c:v>
                </c:pt>
                <c:pt idx="76">
                  <c:v>0.11535372188787962</c:v>
                </c:pt>
                <c:pt idx="77">
                  <c:v>0.11303913445996459</c:v>
                </c:pt>
                <c:pt idx="78">
                  <c:v>0.11397458020472166</c:v>
                </c:pt>
                <c:pt idx="79">
                  <c:v>0.11424123485246696</c:v>
                </c:pt>
                <c:pt idx="80">
                  <c:v>0.11419385823015257</c:v>
                </c:pt>
                <c:pt idx="81">
                  <c:v>0.11403457970403258</c:v>
                </c:pt>
                <c:pt idx="82">
                  <c:v>0.11382760024721912</c:v>
                </c:pt>
                <c:pt idx="83">
                  <c:v>0.11294534101865325</c:v>
                </c:pt>
                <c:pt idx="84">
                  <c:v>0.11246947053967127</c:v>
                </c:pt>
                <c:pt idx="85">
                  <c:v>0.11247800598964561</c:v>
                </c:pt>
                <c:pt idx="86">
                  <c:v>0.11190286384973501</c:v>
                </c:pt>
                <c:pt idx="87">
                  <c:v>0.11260726806536989</c:v>
                </c:pt>
                <c:pt idx="88">
                  <c:v>0.11331548326929888</c:v>
                </c:pt>
                <c:pt idx="89">
                  <c:v>0.11215487698254666</c:v>
                </c:pt>
                <c:pt idx="90">
                  <c:v>0.11202365699663967</c:v>
                </c:pt>
                <c:pt idx="91">
                  <c:v>0.11179319447562724</c:v>
                </c:pt>
                <c:pt idx="92">
                  <c:v>0.11204977859525062</c:v>
                </c:pt>
                <c:pt idx="93">
                  <c:v>0.11206017734084696</c:v>
                </c:pt>
                <c:pt idx="94">
                  <c:v>0.11306950244736004</c:v>
                </c:pt>
                <c:pt idx="95">
                  <c:v>0.11399286256638798</c:v>
                </c:pt>
                <c:pt idx="96">
                  <c:v>0.11347327325212177</c:v>
                </c:pt>
                <c:pt idx="97">
                  <c:v>0.11275158063598041</c:v>
                </c:pt>
                <c:pt idx="98">
                  <c:v>0.11281920905565197</c:v>
                </c:pt>
                <c:pt idx="99">
                  <c:v>0.11300423818501787</c:v>
                </c:pt>
                <c:pt idx="100">
                  <c:v>0.11134646362334381</c:v>
                </c:pt>
                <c:pt idx="101">
                  <c:v>0.11168202567013219</c:v>
                </c:pt>
                <c:pt idx="102">
                  <c:v>0.11187926932185352</c:v>
                </c:pt>
                <c:pt idx="103">
                  <c:v>0.11205968364575274</c:v>
                </c:pt>
                <c:pt idx="104">
                  <c:v>0.11217195812995139</c:v>
                </c:pt>
                <c:pt idx="105">
                  <c:v>0.11143516878428723</c:v>
                </c:pt>
                <c:pt idx="106">
                  <c:v>0.11083923065158723</c:v>
                </c:pt>
                <c:pt idx="107">
                  <c:v>0.10788671993737767</c:v>
                </c:pt>
                <c:pt idx="108">
                  <c:v>0.10596030170437923</c:v>
                </c:pt>
                <c:pt idx="109">
                  <c:v>0.10552343632897696</c:v>
                </c:pt>
                <c:pt idx="110">
                  <c:v>0.10522143711411465</c:v>
                </c:pt>
                <c:pt idx="111">
                  <c:v>0.10473499594048727</c:v>
                </c:pt>
                <c:pt idx="112">
                  <c:v>0.10431880636881315</c:v>
                </c:pt>
                <c:pt idx="113">
                  <c:v>0.10471652434633465</c:v>
                </c:pt>
                <c:pt idx="114">
                  <c:v>0.10593506440944267</c:v>
                </c:pt>
                <c:pt idx="115">
                  <c:v>0.10538461764949192</c:v>
                </c:pt>
                <c:pt idx="116">
                  <c:v>0.10522126987256152</c:v>
                </c:pt>
                <c:pt idx="117">
                  <c:v>0.10503020507753086</c:v>
                </c:pt>
                <c:pt idx="118">
                  <c:v>0.10339476200714351</c:v>
                </c:pt>
                <c:pt idx="119">
                  <c:v>0.10269809387365399</c:v>
                </c:pt>
                <c:pt idx="120">
                  <c:v>0.10281659325200701</c:v>
                </c:pt>
                <c:pt idx="121">
                  <c:v>0.10530722173540308</c:v>
                </c:pt>
                <c:pt idx="122">
                  <c:v>0.10660555915386938</c:v>
                </c:pt>
                <c:pt idx="123">
                  <c:v>0.10818573567529255</c:v>
                </c:pt>
                <c:pt idx="124">
                  <c:v>0.10850630764750333</c:v>
                </c:pt>
                <c:pt idx="125">
                  <c:v>0.10894232925647382</c:v>
                </c:pt>
                <c:pt idx="126">
                  <c:v>0.10950304400107283</c:v>
                </c:pt>
                <c:pt idx="127">
                  <c:v>0.10742708186557652</c:v>
                </c:pt>
                <c:pt idx="128">
                  <c:v>0.10710866245163399</c:v>
                </c:pt>
                <c:pt idx="129">
                  <c:v>0.10484037829495545</c:v>
                </c:pt>
                <c:pt idx="130">
                  <c:v>0.10442416032663476</c:v>
                </c:pt>
                <c:pt idx="131">
                  <c:v>0.10458715347092133</c:v>
                </c:pt>
                <c:pt idx="132">
                  <c:v>0.10508396811698387</c:v>
                </c:pt>
                <c:pt idx="133">
                  <c:v>0.10465237039379199</c:v>
                </c:pt>
                <c:pt idx="134">
                  <c:v>0.10613458349789985</c:v>
                </c:pt>
                <c:pt idx="135">
                  <c:v>0.1065867585786828</c:v>
                </c:pt>
                <c:pt idx="136">
                  <c:v>0.10632736749087528</c:v>
                </c:pt>
                <c:pt idx="137">
                  <c:v>0.10628561525802253</c:v>
                </c:pt>
                <c:pt idx="138">
                  <c:v>0.10662694962192874</c:v>
                </c:pt>
                <c:pt idx="139">
                  <c:v>0.10589374081317235</c:v>
                </c:pt>
                <c:pt idx="140">
                  <c:v>0.10603588478445164</c:v>
                </c:pt>
                <c:pt idx="141">
                  <c:v>0.10668772305721752</c:v>
                </c:pt>
                <c:pt idx="142">
                  <c:v>0.10664410724647468</c:v>
                </c:pt>
                <c:pt idx="143">
                  <c:v>0.10720975283313147</c:v>
                </c:pt>
                <c:pt idx="144">
                  <c:v>0.1078191380269117</c:v>
                </c:pt>
                <c:pt idx="145">
                  <c:v>0.10845555089268584</c:v>
                </c:pt>
                <c:pt idx="146">
                  <c:v>0.1088271960842391</c:v>
                </c:pt>
                <c:pt idx="147">
                  <c:v>0.10862891338599273</c:v>
                </c:pt>
                <c:pt idx="148">
                  <c:v>0.10848043546872811</c:v>
                </c:pt>
                <c:pt idx="149">
                  <c:v>0.10840757843669507</c:v>
                </c:pt>
                <c:pt idx="150">
                  <c:v>0.10860627335041724</c:v>
                </c:pt>
                <c:pt idx="151">
                  <c:v>0.10917902802697416</c:v>
                </c:pt>
                <c:pt idx="152">
                  <c:v>0.10911982029399488</c:v>
                </c:pt>
                <c:pt idx="153">
                  <c:v>0.1092298204903855</c:v>
                </c:pt>
                <c:pt idx="154">
                  <c:v>0.1082292919873766</c:v>
                </c:pt>
                <c:pt idx="155">
                  <c:v>0.10848631835412351</c:v>
                </c:pt>
                <c:pt idx="156">
                  <c:v>0.10821194901322634</c:v>
                </c:pt>
                <c:pt idx="157">
                  <c:v>0.10889312880471085</c:v>
                </c:pt>
                <c:pt idx="158">
                  <c:v>0.10885333746335947</c:v>
                </c:pt>
                <c:pt idx="159">
                  <c:v>0.10867343927932827</c:v>
                </c:pt>
                <c:pt idx="160">
                  <c:v>0.11656413100584241</c:v>
                </c:pt>
                <c:pt idx="161">
                  <c:v>0.11683205332925961</c:v>
                </c:pt>
                <c:pt idx="162">
                  <c:v>0.11712544159181464</c:v>
                </c:pt>
                <c:pt idx="163">
                  <c:v>0.11822040557333832</c:v>
                </c:pt>
                <c:pt idx="164">
                  <c:v>0.11984527457460839</c:v>
                </c:pt>
                <c:pt idx="165">
                  <c:v>0.12160818772293649</c:v>
                </c:pt>
                <c:pt idx="166">
                  <c:v>0.12681245808208388</c:v>
                </c:pt>
                <c:pt idx="167">
                  <c:v>0.1391590125535753</c:v>
                </c:pt>
                <c:pt idx="168">
                  <c:v>0.14002924631057051</c:v>
                </c:pt>
                <c:pt idx="169">
                  <c:v>0.14127107418883667</c:v>
                </c:pt>
                <c:pt idx="170">
                  <c:v>0.14200634506267332</c:v>
                </c:pt>
                <c:pt idx="171">
                  <c:v>0.14261538432372142</c:v>
                </c:pt>
                <c:pt idx="172">
                  <c:v>0.1429362551661022</c:v>
                </c:pt>
                <c:pt idx="173">
                  <c:v>0.14389856809878215</c:v>
                </c:pt>
                <c:pt idx="174">
                  <c:v>0.14605071664630842</c:v>
                </c:pt>
                <c:pt idx="175">
                  <c:v>0.14738312710466184</c:v>
                </c:pt>
                <c:pt idx="176">
                  <c:v>0.15045199468140699</c:v>
                </c:pt>
                <c:pt idx="177">
                  <c:v>0.15095321732287742</c:v>
                </c:pt>
                <c:pt idx="178">
                  <c:v>0.15734837509619948</c:v>
                </c:pt>
                <c:pt idx="179">
                  <c:v>0.15655099052389734</c:v>
                </c:pt>
                <c:pt idx="180">
                  <c:v>0.15681057350126909</c:v>
                </c:pt>
                <c:pt idx="181">
                  <c:v>0.15649340799863248</c:v>
                </c:pt>
                <c:pt idx="182">
                  <c:v>0.15596515646572359</c:v>
                </c:pt>
                <c:pt idx="183">
                  <c:v>0.15550236828419453</c:v>
                </c:pt>
                <c:pt idx="184">
                  <c:v>0.15627934451071226</c:v>
                </c:pt>
                <c:pt idx="185">
                  <c:v>0.15591578087352653</c:v>
                </c:pt>
                <c:pt idx="186">
                  <c:v>0.15620185730047859</c:v>
                </c:pt>
                <c:pt idx="187">
                  <c:v>0.15788067192701125</c:v>
                </c:pt>
                <c:pt idx="188">
                  <c:v>0.1592994019824438</c:v>
                </c:pt>
                <c:pt idx="189">
                  <c:v>0.15889716396517609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12-45EB-8551-5C5D97353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548175"/>
        <c:axId val="1200533199"/>
      </c:lineChart>
      <c:dateAx>
        <c:axId val="120054817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533199"/>
        <c:crosses val="autoZero"/>
        <c:auto val="1"/>
        <c:lblOffset val="100"/>
        <c:baseTimeUnit val="days"/>
      </c:dateAx>
      <c:valAx>
        <c:axId val="12005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54817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38100</xdr:rowOff>
    </xdr:from>
    <xdr:to>
      <xdr:col>1</xdr:col>
      <xdr:colOff>66675</xdr:colOff>
      <xdr:row>0</xdr:row>
      <xdr:rowOff>276225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8100"/>
          <a:ext cx="542925" cy="238125"/>
        </a:xfrm>
        <a:prstGeom prst="rect">
          <a:avLst/>
        </a:prstGeom>
      </xdr:spPr>
    </xdr:pic>
    <xdr:clientData/>
  </xdr:twoCellAnchor>
  <xdr:twoCellAnchor>
    <xdr:from>
      <xdr:col>1</xdr:col>
      <xdr:colOff>485775</xdr:colOff>
      <xdr:row>8</xdr:row>
      <xdr:rowOff>114300</xdr:rowOff>
    </xdr:from>
    <xdr:to>
      <xdr:col>12</xdr:col>
      <xdr:colOff>142874</xdr:colOff>
      <xdr:row>24</xdr:row>
      <xdr:rowOff>67236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333375</xdr:colOff>
      <xdr:row>8</xdr:row>
      <xdr:rowOff>133350</xdr:rowOff>
    </xdr:from>
    <xdr:to>
      <xdr:col>25</xdr:col>
      <xdr:colOff>247649</xdr:colOff>
      <xdr:row>24</xdr:row>
      <xdr:rowOff>78442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476250</xdr:colOff>
      <xdr:row>28</xdr:row>
      <xdr:rowOff>161925</xdr:rowOff>
    </xdr:from>
    <xdr:to>
      <xdr:col>12</xdr:col>
      <xdr:colOff>133349</xdr:colOff>
      <xdr:row>44</xdr:row>
      <xdr:rowOff>7844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514350</xdr:colOff>
      <xdr:row>28</xdr:row>
      <xdr:rowOff>152400</xdr:rowOff>
    </xdr:from>
    <xdr:to>
      <xdr:col>25</xdr:col>
      <xdr:colOff>428624</xdr:colOff>
      <xdr:row>43</xdr:row>
      <xdr:rowOff>179294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470648</xdr:colOff>
      <xdr:row>48</xdr:row>
      <xdr:rowOff>142875</xdr:rowOff>
    </xdr:from>
    <xdr:to>
      <xdr:col>18</xdr:col>
      <xdr:colOff>291354</xdr:colOff>
      <xdr:row>64</xdr:row>
      <xdr:rowOff>78442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66"/>
  <sheetViews>
    <sheetView tabSelected="1" zoomScale="85" zoomScaleNormal="85" workbookViewId="0">
      <selection activeCell="T60" sqref="T60"/>
    </sheetView>
  </sheetViews>
  <sheetFormatPr defaultRowHeight="14.25" x14ac:dyDescent="0.2"/>
  <cols>
    <col min="1" max="1" width="7.5" customWidth="1"/>
    <col min="2" max="2" width="8.75" customWidth="1"/>
    <col min="3" max="3" width="9.5" customWidth="1"/>
    <col min="4" max="4" width="7.125" customWidth="1"/>
    <col min="5" max="5" width="10.25" customWidth="1"/>
    <col min="6" max="6" width="9.5" bestFit="1" customWidth="1"/>
    <col min="7" max="7" width="10.5" customWidth="1"/>
    <col min="8" max="8" width="10.75" customWidth="1"/>
    <col min="9" max="9" width="5.625" customWidth="1"/>
    <col min="11" max="11" width="9.5" bestFit="1" customWidth="1"/>
    <col min="12" max="12" width="10.125" customWidth="1"/>
    <col min="13" max="13" width="6.5" customWidth="1"/>
    <col min="14" max="14" width="3.125" customWidth="1"/>
    <col min="25" max="25" width="13.875" customWidth="1"/>
    <col min="26" max="26" width="5.25" customWidth="1"/>
    <col min="27" max="27" width="7.125" customWidth="1"/>
  </cols>
  <sheetData>
    <row r="1" spans="1:27" ht="24.75" customHeight="1" x14ac:dyDescent="0.2">
      <c r="A1" s="7"/>
      <c r="B1" s="7"/>
      <c r="C1" s="8" t="s">
        <v>19</v>
      </c>
      <c r="D1" s="8"/>
      <c r="E1" s="9"/>
      <c r="F1" s="9"/>
      <c r="G1" s="9"/>
      <c r="H1" s="9"/>
      <c r="I1" s="9"/>
      <c r="J1" s="9"/>
      <c r="K1" s="10"/>
      <c r="L1" s="11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0" t="s">
        <v>12</v>
      </c>
      <c r="Y1" s="11">
        <f ca="1">TODAY()</f>
        <v>45671</v>
      </c>
      <c r="Z1" s="7"/>
      <c r="AA1" s="7"/>
    </row>
    <row r="2" spans="1:27" x14ac:dyDescent="0.2">
      <c r="A2" s="12"/>
      <c r="B2" s="12"/>
      <c r="C2" s="12"/>
      <c r="D2" s="12"/>
      <c r="E2" s="13"/>
      <c r="F2" s="13"/>
      <c r="G2" s="13"/>
      <c r="H2" s="13"/>
      <c r="I2" s="13"/>
      <c r="J2" s="13"/>
      <c r="K2" s="13"/>
      <c r="L2" s="14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6.5" x14ac:dyDescent="0.35">
      <c r="A3" s="12"/>
      <c r="B3" s="15" t="s">
        <v>13</v>
      </c>
      <c r="C3" s="16" t="s">
        <v>41</v>
      </c>
      <c r="D3" s="17"/>
      <c r="E3" s="15" t="s">
        <v>14</v>
      </c>
      <c r="F3" s="16">
        <v>45294</v>
      </c>
      <c r="G3" s="15" t="s">
        <v>15</v>
      </c>
      <c r="H3" s="16">
        <f ca="1">TODAY()-1</f>
        <v>45670</v>
      </c>
      <c r="I3" s="13"/>
      <c r="J3" s="15" t="s">
        <v>17</v>
      </c>
      <c r="K3" s="27">
        <v>245</v>
      </c>
      <c r="L3" s="13"/>
      <c r="M3" s="13"/>
      <c r="N3" s="12"/>
      <c r="O3" s="12"/>
      <c r="P3" s="13"/>
      <c r="Q3" s="12"/>
      <c r="R3" s="13"/>
      <c r="S3" s="12"/>
      <c r="T3" s="13"/>
      <c r="U3" s="12"/>
      <c r="V3" s="13"/>
      <c r="W3" s="12"/>
      <c r="X3" s="13"/>
      <c r="Y3" s="12"/>
      <c r="Z3" s="13"/>
      <c r="AA3" s="12"/>
    </row>
    <row r="4" spans="1:27" ht="12.75" customHeight="1" x14ac:dyDescent="0.2">
      <c r="A4" s="12"/>
      <c r="B4" s="12"/>
      <c r="C4" s="12"/>
      <c r="D4" s="12"/>
      <c r="E4" s="13"/>
      <c r="F4" s="13"/>
      <c r="G4" s="13"/>
      <c r="H4" s="13"/>
      <c r="I4" s="13"/>
      <c r="J4" s="13"/>
      <c r="K4" s="13"/>
      <c r="L4" s="1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.75" customHeight="1" x14ac:dyDescent="0.35">
      <c r="A5" s="12"/>
      <c r="B5" s="15" t="s">
        <v>16</v>
      </c>
      <c r="C5" s="27">
        <v>5</v>
      </c>
      <c r="D5" s="27">
        <v>10</v>
      </c>
      <c r="E5" s="27">
        <v>20</v>
      </c>
      <c r="F5" s="27">
        <v>60</v>
      </c>
      <c r="G5" s="13"/>
      <c r="H5" s="13"/>
      <c r="I5" s="13"/>
      <c r="J5" s="13"/>
      <c r="K5" s="13"/>
      <c r="L5" s="1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2.75" customHeight="1" x14ac:dyDescent="0.2">
      <c r="A6" s="12"/>
      <c r="B6" s="35" t="s">
        <v>45</v>
      </c>
      <c r="C6" s="36" t="str">
        <f>B6&amp;C5</f>
        <v>HV5</v>
      </c>
      <c r="D6" s="36" t="str">
        <f>B6&amp;D5</f>
        <v>HV10</v>
      </c>
      <c r="E6" s="36" t="str">
        <f>B6&amp;E5</f>
        <v>HV20</v>
      </c>
      <c r="F6" s="36" t="str">
        <f>B6&amp;F5</f>
        <v>HV60</v>
      </c>
      <c r="G6" s="13"/>
      <c r="H6" s="13"/>
      <c r="I6" s="13"/>
      <c r="J6" s="13"/>
      <c r="K6" s="13"/>
      <c r="L6" s="13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">
      <c r="A7" s="12"/>
      <c r="B7" s="2"/>
      <c r="C7" s="2"/>
      <c r="D7" s="2"/>
      <c r="E7" s="18"/>
      <c r="F7" s="18"/>
      <c r="G7" s="18"/>
      <c r="H7" s="18"/>
      <c r="I7" s="18"/>
      <c r="J7" s="18"/>
      <c r="K7" s="18"/>
      <c r="L7" s="18"/>
      <c r="M7" s="2"/>
      <c r="N7" s="12"/>
      <c r="O7" s="2"/>
      <c r="P7" s="2"/>
      <c r="Q7" s="2"/>
      <c r="R7" s="18"/>
      <c r="S7" s="18"/>
      <c r="T7" s="18"/>
      <c r="U7" s="18"/>
      <c r="V7" s="18"/>
      <c r="W7" s="18"/>
      <c r="X7" s="18"/>
      <c r="Y7" s="18"/>
      <c r="Z7" s="2"/>
      <c r="AA7" s="12"/>
    </row>
    <row r="8" spans="1:27" ht="18" x14ac:dyDescent="0.2">
      <c r="A8" s="12"/>
      <c r="B8" s="2"/>
      <c r="C8" s="19" t="s">
        <v>47</v>
      </c>
      <c r="D8" s="20"/>
      <c r="E8" s="21"/>
      <c r="F8" s="20"/>
      <c r="G8" s="21"/>
      <c r="H8" s="20"/>
      <c r="I8" s="21"/>
      <c r="J8" s="20"/>
      <c r="K8" s="21"/>
      <c r="L8" s="21"/>
      <c r="M8" s="2"/>
      <c r="N8" s="12"/>
      <c r="O8" s="2"/>
      <c r="P8" s="19" t="s">
        <v>40</v>
      </c>
      <c r="Q8" s="20"/>
      <c r="R8" s="21"/>
      <c r="S8" s="20"/>
      <c r="T8" s="21"/>
      <c r="U8" s="20"/>
      <c r="V8" s="21"/>
      <c r="W8" s="20"/>
      <c r="X8" s="21"/>
      <c r="Y8" s="21"/>
      <c r="Z8" s="2"/>
      <c r="AA8" s="12"/>
    </row>
    <row r="9" spans="1:27" ht="18" x14ac:dyDescent="0.2">
      <c r="A9" s="12"/>
      <c r="B9" s="2"/>
      <c r="C9" s="22"/>
      <c r="D9" s="23"/>
      <c r="E9" s="24"/>
      <c r="F9" s="23"/>
      <c r="G9" s="24"/>
      <c r="H9" s="23"/>
      <c r="I9" s="24"/>
      <c r="J9" s="23"/>
      <c r="K9" s="24"/>
      <c r="L9" s="24"/>
      <c r="M9" s="2"/>
      <c r="N9" s="12"/>
      <c r="O9" s="2"/>
      <c r="P9" s="22"/>
      <c r="Q9" s="23"/>
      <c r="R9" s="24"/>
      <c r="S9" s="23"/>
      <c r="T9" s="24"/>
      <c r="U9" s="23"/>
      <c r="V9" s="24"/>
      <c r="W9" s="23"/>
      <c r="X9" s="24"/>
      <c r="Y9" s="24"/>
      <c r="Z9" s="2"/>
      <c r="AA9" s="12"/>
    </row>
    <row r="10" spans="1:27" x14ac:dyDescent="0.2">
      <c r="A10" s="12"/>
      <c r="B10" s="2"/>
      <c r="C10" s="2"/>
      <c r="D10" s="2"/>
      <c r="E10" s="18"/>
      <c r="F10" s="18"/>
      <c r="G10" s="18"/>
      <c r="H10" s="18"/>
      <c r="I10" s="18"/>
      <c r="J10" s="18"/>
      <c r="K10" s="18"/>
      <c r="L10" s="18"/>
      <c r="M10" s="2"/>
      <c r="N10" s="12"/>
      <c r="O10" s="2"/>
      <c r="P10" s="2"/>
      <c r="Q10" s="2"/>
      <c r="R10" s="18"/>
      <c r="S10" s="18"/>
      <c r="T10" s="18"/>
      <c r="U10" s="18"/>
      <c r="V10" s="18"/>
      <c r="W10" s="18"/>
      <c r="X10" s="18"/>
      <c r="Y10" s="18"/>
      <c r="Z10" s="2"/>
      <c r="AA10" s="12"/>
    </row>
    <row r="11" spans="1:27" x14ac:dyDescent="0.2">
      <c r="A11" s="12"/>
      <c r="B11" s="2"/>
      <c r="C11" s="2"/>
      <c r="D11" s="2"/>
      <c r="E11" s="18"/>
      <c r="F11" s="18"/>
      <c r="G11" s="18"/>
      <c r="H11" s="18"/>
      <c r="I11" s="18"/>
      <c r="J11" s="18"/>
      <c r="K11" s="18"/>
      <c r="L11" s="18"/>
      <c r="M11" s="2"/>
      <c r="N11" s="12"/>
      <c r="O11" s="2"/>
      <c r="P11" s="2"/>
      <c r="Q11" s="2"/>
      <c r="R11" s="18"/>
      <c r="S11" s="18"/>
      <c r="T11" s="18"/>
      <c r="U11" s="18"/>
      <c r="V11" s="18"/>
      <c r="W11" s="18"/>
      <c r="X11" s="18"/>
      <c r="Y11" s="18"/>
      <c r="Z11" s="2"/>
      <c r="AA11" s="12"/>
    </row>
    <row r="12" spans="1:27" x14ac:dyDescent="0.2">
      <c r="A12" s="12"/>
      <c r="B12" s="2"/>
      <c r="C12" s="2"/>
      <c r="D12" s="2"/>
      <c r="E12" s="18"/>
      <c r="F12" s="18"/>
      <c r="G12" s="18"/>
      <c r="H12" s="18"/>
      <c r="I12" s="18"/>
      <c r="J12" s="18"/>
      <c r="K12" s="18"/>
      <c r="L12" s="18"/>
      <c r="M12" s="2"/>
      <c r="N12" s="12"/>
      <c r="O12" s="2"/>
      <c r="P12" s="2"/>
      <c r="Q12" s="2"/>
      <c r="R12" s="18"/>
      <c r="S12" s="18"/>
      <c r="T12" s="18"/>
      <c r="U12" s="18"/>
      <c r="V12" s="18"/>
      <c r="W12" s="18"/>
      <c r="X12" s="18"/>
      <c r="Y12" s="18"/>
      <c r="Z12" s="2"/>
      <c r="AA12" s="12"/>
    </row>
    <row r="13" spans="1:27" x14ac:dyDescent="0.2">
      <c r="A13" s="12"/>
      <c r="B13" s="2"/>
      <c r="C13" s="2"/>
      <c r="D13" s="2"/>
      <c r="E13" s="18"/>
      <c r="F13" s="18"/>
      <c r="G13" s="18"/>
      <c r="H13" s="18"/>
      <c r="I13" s="18"/>
      <c r="J13" s="18"/>
      <c r="K13" s="18"/>
      <c r="L13" s="18"/>
      <c r="M13" s="2"/>
      <c r="N13" s="12"/>
      <c r="O13" s="2"/>
      <c r="P13" s="2"/>
      <c r="Q13" s="2"/>
      <c r="R13" s="18"/>
      <c r="S13" s="18"/>
      <c r="T13" s="18"/>
      <c r="U13" s="18"/>
      <c r="V13" s="18"/>
      <c r="W13" s="18"/>
      <c r="X13" s="18"/>
      <c r="Y13" s="18"/>
      <c r="Z13" s="2"/>
      <c r="AA13" s="12"/>
    </row>
    <row r="14" spans="1:27" x14ac:dyDescent="0.2">
      <c r="A14" s="12"/>
      <c r="B14" s="2"/>
      <c r="C14" s="2"/>
      <c r="D14" s="2"/>
      <c r="E14" s="18"/>
      <c r="F14" s="18"/>
      <c r="G14" s="18"/>
      <c r="H14" s="18"/>
      <c r="I14" s="18"/>
      <c r="J14" s="18"/>
      <c r="K14" s="18"/>
      <c r="L14" s="18"/>
      <c r="M14" s="2"/>
      <c r="N14" s="12"/>
      <c r="O14" s="2"/>
      <c r="P14" s="2"/>
      <c r="Q14" s="2"/>
      <c r="R14" s="18"/>
      <c r="S14" s="18"/>
      <c r="T14" s="18"/>
      <c r="U14" s="18"/>
      <c r="V14" s="18"/>
      <c r="W14" s="18"/>
      <c r="X14" s="18"/>
      <c r="Y14" s="18"/>
      <c r="Z14" s="2"/>
      <c r="AA14" s="12"/>
    </row>
    <row r="15" spans="1:27" x14ac:dyDescent="0.2">
      <c r="A15" s="12"/>
      <c r="B15" s="2"/>
      <c r="C15" s="2"/>
      <c r="D15" s="2"/>
      <c r="E15" s="18"/>
      <c r="F15" s="18"/>
      <c r="G15" s="18"/>
      <c r="H15" s="18"/>
      <c r="I15" s="18"/>
      <c r="J15" s="18"/>
      <c r="K15" s="18"/>
      <c r="L15" s="18"/>
      <c r="M15" s="2"/>
      <c r="N15" s="12"/>
      <c r="O15" s="2"/>
      <c r="P15" s="2"/>
      <c r="Q15" s="2"/>
      <c r="R15" s="18"/>
      <c r="S15" s="18"/>
      <c r="T15" s="18"/>
      <c r="U15" s="18"/>
      <c r="V15" s="18"/>
      <c r="W15" s="18"/>
      <c r="X15" s="18"/>
      <c r="Y15" s="18"/>
      <c r="Z15" s="2"/>
      <c r="AA15" s="12"/>
    </row>
    <row r="16" spans="1:27" x14ac:dyDescent="0.2">
      <c r="A16" s="12"/>
      <c r="B16" s="2"/>
      <c r="C16" s="2"/>
      <c r="D16" s="2"/>
      <c r="E16" s="18"/>
      <c r="F16" s="18"/>
      <c r="G16" s="18"/>
      <c r="H16" s="18"/>
      <c r="I16" s="18"/>
      <c r="J16" s="18"/>
      <c r="K16" s="18"/>
      <c r="L16" s="18"/>
      <c r="M16" s="2"/>
      <c r="N16" s="12"/>
      <c r="O16" s="2"/>
      <c r="P16" s="2"/>
      <c r="Q16" s="2"/>
      <c r="R16" s="18"/>
      <c r="S16" s="18"/>
      <c r="T16" s="18"/>
      <c r="U16" s="18"/>
      <c r="V16" s="18"/>
      <c r="W16" s="18"/>
      <c r="X16" s="18"/>
      <c r="Y16" s="18"/>
      <c r="Z16" s="2"/>
      <c r="AA16" s="12"/>
    </row>
    <row r="17" spans="1:27" x14ac:dyDescent="0.2">
      <c r="A17" s="12"/>
      <c r="B17" s="2"/>
      <c r="C17" s="2"/>
      <c r="D17" s="2"/>
      <c r="E17" s="18"/>
      <c r="F17" s="18"/>
      <c r="G17" s="18"/>
      <c r="H17" s="18"/>
      <c r="I17" s="18"/>
      <c r="J17" s="18"/>
      <c r="K17" s="18"/>
      <c r="L17" s="18"/>
      <c r="M17" s="2"/>
      <c r="N17" s="12"/>
      <c r="O17" s="2"/>
      <c r="P17" s="2"/>
      <c r="Q17" s="2"/>
      <c r="R17" s="18"/>
      <c r="S17" s="18"/>
      <c r="T17" s="18"/>
      <c r="U17" s="18"/>
      <c r="V17" s="18"/>
      <c r="W17" s="18"/>
      <c r="X17" s="18"/>
      <c r="Y17" s="18"/>
      <c r="Z17" s="2"/>
      <c r="AA17" s="12"/>
    </row>
    <row r="18" spans="1:27" x14ac:dyDescent="0.2">
      <c r="A18" s="12"/>
      <c r="B18" s="2"/>
      <c r="C18" s="2"/>
      <c r="D18" s="2"/>
      <c r="E18" s="18"/>
      <c r="F18" s="18"/>
      <c r="G18" s="18"/>
      <c r="H18" s="18"/>
      <c r="I18" s="18"/>
      <c r="J18" s="18"/>
      <c r="K18" s="18"/>
      <c r="L18" s="18"/>
      <c r="M18" s="2"/>
      <c r="N18" s="12"/>
      <c r="O18" s="2"/>
      <c r="P18" s="2"/>
      <c r="Q18" s="2"/>
      <c r="R18" s="18"/>
      <c r="S18" s="18"/>
      <c r="T18" s="18"/>
      <c r="U18" s="18"/>
      <c r="V18" s="18"/>
      <c r="W18" s="18"/>
      <c r="X18" s="18"/>
      <c r="Y18" s="18"/>
      <c r="Z18" s="2"/>
      <c r="AA18" s="12"/>
    </row>
    <row r="19" spans="1:27" x14ac:dyDescent="0.2">
      <c r="A19" s="12"/>
      <c r="B19" s="2"/>
      <c r="C19" s="2"/>
      <c r="D19" s="2"/>
      <c r="E19" s="18"/>
      <c r="F19" s="18"/>
      <c r="G19" s="18"/>
      <c r="H19" s="18"/>
      <c r="I19" s="18"/>
      <c r="J19" s="18"/>
      <c r="K19" s="18"/>
      <c r="L19" s="18"/>
      <c r="M19" s="2"/>
      <c r="N19" s="12"/>
      <c r="O19" s="2"/>
      <c r="P19" s="2"/>
      <c r="Q19" s="2"/>
      <c r="R19" s="18"/>
      <c r="S19" s="18"/>
      <c r="T19" s="18"/>
      <c r="U19" s="18"/>
      <c r="V19" s="18"/>
      <c r="W19" s="18"/>
      <c r="X19" s="18"/>
      <c r="Y19" s="18"/>
      <c r="Z19" s="2"/>
      <c r="AA19" s="12"/>
    </row>
    <row r="20" spans="1:27" x14ac:dyDescent="0.2">
      <c r="A20" s="12"/>
      <c r="B20" s="2"/>
      <c r="C20" s="2"/>
      <c r="D20" s="2"/>
      <c r="E20" s="18"/>
      <c r="F20" s="18"/>
      <c r="G20" s="18"/>
      <c r="H20" s="18"/>
      <c r="I20" s="18"/>
      <c r="J20" s="18"/>
      <c r="K20" s="18"/>
      <c r="L20" s="18"/>
      <c r="M20" s="2"/>
      <c r="N20" s="12"/>
      <c r="O20" s="2"/>
      <c r="P20" s="2"/>
      <c r="Q20" s="2"/>
      <c r="R20" s="18"/>
      <c r="S20" s="18"/>
      <c r="T20" s="18"/>
      <c r="U20" s="18"/>
      <c r="V20" s="18"/>
      <c r="W20" s="18"/>
      <c r="X20" s="18"/>
      <c r="Y20" s="18"/>
      <c r="Z20" s="2"/>
      <c r="AA20" s="12"/>
    </row>
    <row r="21" spans="1:27" x14ac:dyDescent="0.2">
      <c r="A21" s="12"/>
      <c r="B21" s="2"/>
      <c r="C21" s="2"/>
      <c r="D21" s="2"/>
      <c r="E21" s="18"/>
      <c r="F21" s="18"/>
      <c r="G21" s="18"/>
      <c r="H21" s="18"/>
      <c r="I21" s="18"/>
      <c r="J21" s="18"/>
      <c r="K21" s="18"/>
      <c r="L21" s="18"/>
      <c r="M21" s="2"/>
      <c r="N21" s="12"/>
      <c r="O21" s="2"/>
      <c r="P21" s="2"/>
      <c r="Q21" s="2"/>
      <c r="R21" s="18"/>
      <c r="S21" s="18"/>
      <c r="T21" s="18"/>
      <c r="U21" s="18"/>
      <c r="V21" s="18"/>
      <c r="W21" s="18"/>
      <c r="X21" s="18"/>
      <c r="Y21" s="18"/>
      <c r="Z21" s="2"/>
      <c r="AA21" s="12"/>
    </row>
    <row r="22" spans="1:27" x14ac:dyDescent="0.2">
      <c r="A22" s="12"/>
      <c r="B22" s="2"/>
      <c r="C22" s="2"/>
      <c r="D22" s="2"/>
      <c r="E22" s="18"/>
      <c r="F22" s="18"/>
      <c r="G22" s="18"/>
      <c r="H22" s="18"/>
      <c r="I22" s="18"/>
      <c r="J22" s="18"/>
      <c r="K22" s="18"/>
      <c r="L22" s="18"/>
      <c r="M22" s="2"/>
      <c r="N22" s="12"/>
      <c r="O22" s="2"/>
      <c r="P22" s="2"/>
      <c r="Q22" s="2"/>
      <c r="R22" s="18"/>
      <c r="S22" s="18"/>
      <c r="T22" s="18"/>
      <c r="U22" s="18"/>
      <c r="V22" s="18"/>
      <c r="W22" s="18"/>
      <c r="X22" s="18"/>
      <c r="Y22" s="18"/>
      <c r="Z22" s="2"/>
      <c r="AA22" s="12"/>
    </row>
    <row r="23" spans="1:27" x14ac:dyDescent="0.2">
      <c r="A23" s="12"/>
      <c r="B23" s="2"/>
      <c r="C23" s="2"/>
      <c r="D23" s="2"/>
      <c r="E23" s="18"/>
      <c r="F23" s="18"/>
      <c r="G23" s="18"/>
      <c r="H23" s="18"/>
      <c r="I23" s="18"/>
      <c r="J23" s="18"/>
      <c r="K23" s="18"/>
      <c r="L23" s="18"/>
      <c r="M23" s="2"/>
      <c r="N23" s="12"/>
      <c r="O23" s="2"/>
      <c r="P23" s="2"/>
      <c r="Q23" s="2"/>
      <c r="R23" s="18"/>
      <c r="S23" s="18"/>
      <c r="T23" s="18"/>
      <c r="U23" s="18"/>
      <c r="V23" s="18"/>
      <c r="W23" s="18"/>
      <c r="X23" s="18"/>
      <c r="Y23" s="18"/>
      <c r="Z23" s="2"/>
      <c r="AA23" s="12"/>
    </row>
    <row r="24" spans="1:27" x14ac:dyDescent="0.2">
      <c r="A24" s="12"/>
      <c r="B24" s="2"/>
      <c r="C24" s="2"/>
      <c r="D24" s="2"/>
      <c r="E24" s="18"/>
      <c r="F24" s="18"/>
      <c r="G24" s="18"/>
      <c r="H24" s="18"/>
      <c r="I24" s="18"/>
      <c r="J24" s="18"/>
      <c r="K24" s="18"/>
      <c r="L24" s="18"/>
      <c r="M24" s="2"/>
      <c r="N24" s="12"/>
      <c r="O24" s="2"/>
      <c r="P24" s="2"/>
      <c r="Q24" s="2"/>
      <c r="R24" s="18"/>
      <c r="S24" s="18"/>
      <c r="T24" s="18"/>
      <c r="U24" s="18"/>
      <c r="V24" s="18"/>
      <c r="W24" s="18"/>
      <c r="X24" s="18"/>
      <c r="Y24" s="18"/>
      <c r="Z24" s="2"/>
      <c r="AA24" s="12"/>
    </row>
    <row r="25" spans="1:27" ht="16.5" x14ac:dyDescent="0.35">
      <c r="A25" s="12"/>
      <c r="B25" s="2"/>
      <c r="C25" s="25"/>
      <c r="D25" s="25"/>
      <c r="E25" s="26"/>
      <c r="F25" s="26"/>
      <c r="G25" s="26"/>
      <c r="H25" s="26"/>
      <c r="I25" s="26"/>
      <c r="J25" s="26"/>
      <c r="K25" s="18"/>
      <c r="L25" s="18"/>
      <c r="M25" s="2"/>
      <c r="N25" s="12"/>
      <c r="O25" s="2"/>
      <c r="P25" s="25"/>
      <c r="Q25" s="25"/>
      <c r="R25" s="26"/>
      <c r="S25" s="26"/>
      <c r="T25" s="26"/>
      <c r="U25" s="26"/>
      <c r="V25" s="26"/>
      <c r="W25" s="26"/>
      <c r="X25" s="18"/>
      <c r="Y25" s="18"/>
      <c r="Z25" s="2"/>
      <c r="AA25" s="12"/>
    </row>
    <row r="26" spans="1:27" x14ac:dyDescent="0.2">
      <c r="A26" s="12"/>
      <c r="B26" s="12"/>
      <c r="C26" s="12"/>
      <c r="D26" s="12"/>
      <c r="E26" s="13"/>
      <c r="F26" s="13"/>
      <c r="G26" s="13"/>
      <c r="H26" s="13"/>
      <c r="I26" s="13"/>
      <c r="J26" s="13"/>
      <c r="K26" s="13"/>
      <c r="L26" s="13"/>
      <c r="M26" s="12"/>
      <c r="N26" s="12"/>
      <c r="O26" s="12"/>
      <c r="P26" s="12"/>
      <c r="Q26" s="12"/>
      <c r="R26" s="13"/>
      <c r="S26" s="13"/>
      <c r="T26" s="13"/>
      <c r="U26" s="13"/>
      <c r="V26" s="13"/>
      <c r="W26" s="13"/>
      <c r="X26" s="13"/>
      <c r="Y26" s="13"/>
      <c r="Z26" s="12"/>
      <c r="AA26" s="12"/>
    </row>
    <row r="27" spans="1:27" x14ac:dyDescent="0.2">
      <c r="A27" s="12"/>
      <c r="B27" s="2"/>
      <c r="C27" s="2"/>
      <c r="D27" s="2"/>
      <c r="E27" s="18"/>
      <c r="F27" s="18"/>
      <c r="G27" s="18"/>
      <c r="H27" s="18"/>
      <c r="I27" s="18"/>
      <c r="J27" s="18"/>
      <c r="K27" s="18"/>
      <c r="L27" s="18"/>
      <c r="M27" s="2"/>
      <c r="N27" s="12"/>
      <c r="O27" s="2"/>
      <c r="P27" s="2"/>
      <c r="Q27" s="2"/>
      <c r="R27" s="18"/>
      <c r="S27" s="18"/>
      <c r="T27" s="18"/>
      <c r="U27" s="18"/>
      <c r="V27" s="18"/>
      <c r="W27" s="18"/>
      <c r="X27" s="18"/>
      <c r="Y27" s="18"/>
      <c r="Z27" s="2"/>
      <c r="AA27" s="12"/>
    </row>
    <row r="28" spans="1:27" ht="18" x14ac:dyDescent="0.2">
      <c r="A28" s="12"/>
      <c r="B28" s="2"/>
      <c r="C28" s="19" t="s">
        <v>42</v>
      </c>
      <c r="D28" s="20"/>
      <c r="E28" s="21"/>
      <c r="F28" s="20"/>
      <c r="G28" s="21"/>
      <c r="H28" s="20"/>
      <c r="I28" s="21"/>
      <c r="J28" s="20"/>
      <c r="K28" s="21"/>
      <c r="L28" s="21"/>
      <c r="M28" s="2"/>
      <c r="N28" s="12"/>
      <c r="O28" s="2"/>
      <c r="P28" s="19" t="s">
        <v>43</v>
      </c>
      <c r="Q28" s="20"/>
      <c r="R28" s="21"/>
      <c r="S28" s="20"/>
      <c r="T28" s="21"/>
      <c r="U28" s="20"/>
      <c r="V28" s="21"/>
      <c r="W28" s="20"/>
      <c r="X28" s="21"/>
      <c r="Y28" s="21"/>
      <c r="Z28" s="2"/>
      <c r="AA28" s="12"/>
    </row>
    <row r="29" spans="1:27" ht="18" x14ac:dyDescent="0.2">
      <c r="A29" s="12"/>
      <c r="B29" s="2"/>
      <c r="C29" s="22"/>
      <c r="D29" s="23"/>
      <c r="E29" s="24"/>
      <c r="F29" s="23"/>
      <c r="G29" s="24"/>
      <c r="H29" s="23"/>
      <c r="I29" s="24"/>
      <c r="J29" s="23"/>
      <c r="K29" s="24"/>
      <c r="L29" s="24"/>
      <c r="M29" s="2"/>
      <c r="N29" s="12"/>
      <c r="O29" s="2"/>
      <c r="P29" s="22"/>
      <c r="Q29" s="23"/>
      <c r="R29" s="24"/>
      <c r="S29" s="23"/>
      <c r="T29" s="24"/>
      <c r="U29" s="23"/>
      <c r="V29" s="24"/>
      <c r="W29" s="23"/>
      <c r="X29" s="24"/>
      <c r="Y29" s="24"/>
      <c r="Z29" s="2"/>
      <c r="AA29" s="12"/>
    </row>
    <row r="30" spans="1:27" x14ac:dyDescent="0.2">
      <c r="A30" s="12"/>
      <c r="B30" s="2"/>
      <c r="C30" s="2"/>
      <c r="D30" s="2"/>
      <c r="E30" s="18"/>
      <c r="F30" s="18"/>
      <c r="G30" s="18"/>
      <c r="H30" s="18"/>
      <c r="I30" s="18"/>
      <c r="J30" s="18"/>
      <c r="K30" s="18"/>
      <c r="L30" s="18"/>
      <c r="M30" s="2"/>
      <c r="N30" s="12"/>
      <c r="O30" s="2"/>
      <c r="P30" s="2"/>
      <c r="Q30" s="2"/>
      <c r="R30" s="18"/>
      <c r="S30" s="18"/>
      <c r="T30" s="18"/>
      <c r="U30" s="18"/>
      <c r="V30" s="18"/>
      <c r="W30" s="18"/>
      <c r="X30" s="18"/>
      <c r="Y30" s="18"/>
      <c r="Z30" s="2"/>
      <c r="AA30" s="12"/>
    </row>
    <row r="31" spans="1:27" x14ac:dyDescent="0.2">
      <c r="A31" s="12"/>
      <c r="B31" s="2"/>
      <c r="C31" s="2"/>
      <c r="D31" s="2"/>
      <c r="E31" s="18"/>
      <c r="F31" s="18"/>
      <c r="G31" s="18"/>
      <c r="H31" s="18"/>
      <c r="I31" s="18"/>
      <c r="J31" s="18"/>
      <c r="K31" s="18"/>
      <c r="L31" s="18"/>
      <c r="M31" s="2"/>
      <c r="N31" s="12"/>
      <c r="O31" s="2"/>
      <c r="P31" s="2"/>
      <c r="Q31" s="2"/>
      <c r="R31" s="18"/>
      <c r="S31" s="18"/>
      <c r="T31" s="18"/>
      <c r="U31" s="18"/>
      <c r="V31" s="18"/>
      <c r="W31" s="18"/>
      <c r="X31" s="18"/>
      <c r="Y31" s="18"/>
      <c r="Z31" s="2"/>
      <c r="AA31" s="12"/>
    </row>
    <row r="32" spans="1:27" x14ac:dyDescent="0.2">
      <c r="A32" s="12"/>
      <c r="B32" s="2"/>
      <c r="C32" s="2"/>
      <c r="D32" s="2"/>
      <c r="E32" s="18"/>
      <c r="F32" s="18"/>
      <c r="G32" s="18"/>
      <c r="H32" s="18"/>
      <c r="I32" s="18"/>
      <c r="J32" s="18"/>
      <c r="K32" s="18"/>
      <c r="L32" s="18"/>
      <c r="M32" s="2"/>
      <c r="N32" s="12"/>
      <c r="O32" s="2"/>
      <c r="P32" s="2"/>
      <c r="Q32" s="2"/>
      <c r="R32" s="18"/>
      <c r="S32" s="18"/>
      <c r="T32" s="18"/>
      <c r="U32" s="18"/>
      <c r="V32" s="18"/>
      <c r="W32" s="18"/>
      <c r="X32" s="18"/>
      <c r="Y32" s="18"/>
      <c r="Z32" s="2"/>
      <c r="AA32" s="12"/>
    </row>
    <row r="33" spans="1:27" x14ac:dyDescent="0.2">
      <c r="A33" s="12"/>
      <c r="B33" s="2"/>
      <c r="C33" s="2"/>
      <c r="D33" s="2"/>
      <c r="E33" s="18"/>
      <c r="F33" s="18"/>
      <c r="G33" s="18"/>
      <c r="H33" s="18"/>
      <c r="I33" s="18"/>
      <c r="J33" s="18"/>
      <c r="K33" s="18"/>
      <c r="L33" s="18"/>
      <c r="M33" s="2"/>
      <c r="N33" s="12"/>
      <c r="O33" s="2"/>
      <c r="P33" s="2"/>
      <c r="Q33" s="2"/>
      <c r="R33" s="18"/>
      <c r="S33" s="18"/>
      <c r="T33" s="18"/>
      <c r="U33" s="18"/>
      <c r="V33" s="18"/>
      <c r="W33" s="18"/>
      <c r="X33" s="18"/>
      <c r="Y33" s="18"/>
      <c r="Z33" s="2"/>
      <c r="AA33" s="12"/>
    </row>
    <row r="34" spans="1:27" x14ac:dyDescent="0.2">
      <c r="A34" s="12"/>
      <c r="B34" s="2"/>
      <c r="C34" s="2"/>
      <c r="D34" s="2"/>
      <c r="E34" s="18"/>
      <c r="F34" s="18"/>
      <c r="G34" s="18"/>
      <c r="H34" s="18"/>
      <c r="I34" s="18"/>
      <c r="J34" s="18"/>
      <c r="K34" s="18"/>
      <c r="L34" s="18"/>
      <c r="M34" s="2"/>
      <c r="N34" s="12"/>
      <c r="O34" s="2"/>
      <c r="P34" s="2"/>
      <c r="Q34" s="2"/>
      <c r="R34" s="18"/>
      <c r="S34" s="18"/>
      <c r="T34" s="18"/>
      <c r="U34" s="18"/>
      <c r="V34" s="18"/>
      <c r="W34" s="18"/>
      <c r="X34" s="18"/>
      <c r="Y34" s="18"/>
      <c r="Z34" s="2"/>
      <c r="AA34" s="12"/>
    </row>
    <row r="35" spans="1:27" x14ac:dyDescent="0.2">
      <c r="A35" s="12"/>
      <c r="B35" s="2"/>
      <c r="C35" s="2"/>
      <c r="D35" s="2"/>
      <c r="E35" s="18"/>
      <c r="F35" s="18"/>
      <c r="G35" s="18"/>
      <c r="H35" s="18"/>
      <c r="I35" s="18"/>
      <c r="J35" s="18"/>
      <c r="K35" s="18"/>
      <c r="L35" s="18"/>
      <c r="M35" s="2"/>
      <c r="N35" s="12"/>
      <c r="O35" s="2"/>
      <c r="P35" s="2"/>
      <c r="Q35" s="2"/>
      <c r="R35" s="18"/>
      <c r="S35" s="18"/>
      <c r="T35" s="18"/>
      <c r="U35" s="18"/>
      <c r="V35" s="18"/>
      <c r="W35" s="18"/>
      <c r="X35" s="18"/>
      <c r="Y35" s="18"/>
      <c r="Z35" s="2"/>
      <c r="AA35" s="12"/>
    </row>
    <row r="36" spans="1:27" x14ac:dyDescent="0.2">
      <c r="A36" s="12"/>
      <c r="B36" s="2"/>
      <c r="C36" s="2"/>
      <c r="D36" s="2"/>
      <c r="E36" s="18"/>
      <c r="F36" s="18"/>
      <c r="G36" s="18"/>
      <c r="H36" s="18"/>
      <c r="I36" s="18"/>
      <c r="J36" s="18"/>
      <c r="K36" s="18"/>
      <c r="L36" s="18"/>
      <c r="M36" s="2"/>
      <c r="N36" s="12"/>
      <c r="O36" s="2"/>
      <c r="P36" s="2"/>
      <c r="Q36" s="2"/>
      <c r="R36" s="18"/>
      <c r="S36" s="18"/>
      <c r="T36" s="18"/>
      <c r="U36" s="18"/>
      <c r="V36" s="18"/>
      <c r="W36" s="18"/>
      <c r="X36" s="18"/>
      <c r="Y36" s="18"/>
      <c r="Z36" s="2"/>
      <c r="AA36" s="12"/>
    </row>
    <row r="37" spans="1:27" x14ac:dyDescent="0.2">
      <c r="A37" s="12"/>
      <c r="B37" s="2"/>
      <c r="C37" s="2"/>
      <c r="D37" s="2"/>
      <c r="E37" s="18"/>
      <c r="F37" s="18"/>
      <c r="G37" s="18"/>
      <c r="H37" s="18"/>
      <c r="I37" s="18"/>
      <c r="J37" s="18"/>
      <c r="K37" s="18"/>
      <c r="L37" s="18"/>
      <c r="M37" s="2"/>
      <c r="N37" s="12"/>
      <c r="O37" s="2"/>
      <c r="P37" s="2"/>
      <c r="Q37" s="2"/>
      <c r="R37" s="18"/>
      <c r="S37" s="18"/>
      <c r="T37" s="18"/>
      <c r="U37" s="18"/>
      <c r="V37" s="18"/>
      <c r="W37" s="18"/>
      <c r="X37" s="18"/>
      <c r="Y37" s="18"/>
      <c r="Z37" s="2"/>
      <c r="AA37" s="12"/>
    </row>
    <row r="38" spans="1:27" x14ac:dyDescent="0.2">
      <c r="A38" s="12"/>
      <c r="B38" s="2"/>
      <c r="C38" s="2"/>
      <c r="D38" s="2"/>
      <c r="E38" s="18"/>
      <c r="F38" s="18"/>
      <c r="G38" s="18"/>
      <c r="H38" s="18"/>
      <c r="I38" s="18"/>
      <c r="J38" s="18"/>
      <c r="K38" s="18"/>
      <c r="L38" s="18"/>
      <c r="M38" s="2"/>
      <c r="N38" s="12"/>
      <c r="O38" s="2"/>
      <c r="P38" s="2"/>
      <c r="Q38" s="2"/>
      <c r="R38" s="18"/>
      <c r="S38" s="18"/>
      <c r="T38" s="18"/>
      <c r="U38" s="18"/>
      <c r="V38" s="18"/>
      <c r="W38" s="18"/>
      <c r="X38" s="18"/>
      <c r="Y38" s="18"/>
      <c r="Z38" s="2"/>
      <c r="AA38" s="12"/>
    </row>
    <row r="39" spans="1:27" x14ac:dyDescent="0.2">
      <c r="A39" s="12"/>
      <c r="B39" s="2"/>
      <c r="C39" s="2"/>
      <c r="D39" s="2"/>
      <c r="E39" s="18"/>
      <c r="F39" s="18"/>
      <c r="G39" s="18"/>
      <c r="H39" s="18"/>
      <c r="I39" s="18"/>
      <c r="J39" s="18"/>
      <c r="K39" s="18"/>
      <c r="L39" s="18"/>
      <c r="M39" s="2"/>
      <c r="N39" s="12"/>
      <c r="O39" s="2"/>
      <c r="P39" s="2"/>
      <c r="Q39" s="2"/>
      <c r="R39" s="18"/>
      <c r="S39" s="18"/>
      <c r="T39" s="18"/>
      <c r="U39" s="18"/>
      <c r="V39" s="18"/>
      <c r="W39" s="18"/>
      <c r="X39" s="18"/>
      <c r="Y39" s="18"/>
      <c r="Z39" s="2"/>
      <c r="AA39" s="12"/>
    </row>
    <row r="40" spans="1:27" x14ac:dyDescent="0.2">
      <c r="A40" s="12"/>
      <c r="B40" s="2"/>
      <c r="C40" s="2"/>
      <c r="D40" s="2"/>
      <c r="E40" s="18"/>
      <c r="F40" s="18"/>
      <c r="G40" s="18"/>
      <c r="H40" s="18"/>
      <c r="I40" s="18"/>
      <c r="J40" s="18"/>
      <c r="K40" s="18"/>
      <c r="L40" s="18"/>
      <c r="M40" s="2"/>
      <c r="N40" s="12"/>
      <c r="O40" s="2"/>
      <c r="P40" s="2"/>
      <c r="Q40" s="2"/>
      <c r="R40" s="18"/>
      <c r="S40" s="18"/>
      <c r="T40" s="18"/>
      <c r="U40" s="18"/>
      <c r="V40" s="18"/>
      <c r="W40" s="18"/>
      <c r="X40" s="18"/>
      <c r="Y40" s="18"/>
      <c r="Z40" s="2"/>
      <c r="AA40" s="12"/>
    </row>
    <row r="41" spans="1:27" x14ac:dyDescent="0.2">
      <c r="A41" s="12"/>
      <c r="B41" s="2"/>
      <c r="C41" s="2"/>
      <c r="D41" s="2"/>
      <c r="E41" s="18"/>
      <c r="F41" s="18"/>
      <c r="G41" s="18"/>
      <c r="H41" s="18"/>
      <c r="I41" s="18"/>
      <c r="J41" s="18"/>
      <c r="K41" s="18"/>
      <c r="L41" s="18"/>
      <c r="M41" s="2"/>
      <c r="N41" s="12"/>
      <c r="O41" s="2"/>
      <c r="P41" s="2"/>
      <c r="Q41" s="2"/>
      <c r="R41" s="18"/>
      <c r="S41" s="18"/>
      <c r="T41" s="18"/>
      <c r="U41" s="18"/>
      <c r="V41" s="18"/>
      <c r="W41" s="18"/>
      <c r="X41" s="18"/>
      <c r="Y41" s="18"/>
      <c r="Z41" s="2"/>
      <c r="AA41" s="12"/>
    </row>
    <row r="42" spans="1:27" x14ac:dyDescent="0.2">
      <c r="A42" s="12"/>
      <c r="B42" s="2"/>
      <c r="C42" s="2"/>
      <c r="D42" s="2"/>
      <c r="E42" s="18"/>
      <c r="F42" s="18"/>
      <c r="G42" s="18"/>
      <c r="H42" s="18"/>
      <c r="I42" s="18"/>
      <c r="J42" s="18"/>
      <c r="K42" s="18"/>
      <c r="L42" s="18"/>
      <c r="M42" s="2"/>
      <c r="N42" s="12"/>
      <c r="O42" s="2"/>
      <c r="P42" s="2"/>
      <c r="Q42" s="2"/>
      <c r="R42" s="18"/>
      <c r="S42" s="18"/>
      <c r="T42" s="18"/>
      <c r="U42" s="18"/>
      <c r="V42" s="18"/>
      <c r="W42" s="18"/>
      <c r="X42" s="18"/>
      <c r="Y42" s="18"/>
      <c r="Z42" s="2"/>
      <c r="AA42" s="12"/>
    </row>
    <row r="43" spans="1:27" x14ac:dyDescent="0.2">
      <c r="A43" s="12"/>
      <c r="B43" s="2"/>
      <c r="C43" s="2"/>
      <c r="D43" s="2"/>
      <c r="E43" s="18"/>
      <c r="F43" s="18"/>
      <c r="G43" s="18"/>
      <c r="H43" s="18"/>
      <c r="I43" s="18"/>
      <c r="J43" s="18"/>
      <c r="K43" s="18"/>
      <c r="L43" s="18"/>
      <c r="M43" s="2"/>
      <c r="N43" s="12"/>
      <c r="O43" s="2"/>
      <c r="P43" s="2"/>
      <c r="Q43" s="2"/>
      <c r="R43" s="18"/>
      <c r="S43" s="18"/>
      <c r="T43" s="18"/>
      <c r="U43" s="18"/>
      <c r="V43" s="18"/>
      <c r="W43" s="18"/>
      <c r="X43" s="18"/>
      <c r="Y43" s="18"/>
      <c r="Z43" s="2"/>
      <c r="AA43" s="12"/>
    </row>
    <row r="44" spans="1:27" x14ac:dyDescent="0.2">
      <c r="A44" s="12"/>
      <c r="B44" s="2"/>
      <c r="C44" s="2"/>
      <c r="D44" s="2"/>
      <c r="E44" s="18"/>
      <c r="F44" s="18"/>
      <c r="G44" s="18"/>
      <c r="H44" s="18"/>
      <c r="I44" s="18"/>
      <c r="J44" s="18"/>
      <c r="K44" s="18"/>
      <c r="L44" s="18"/>
      <c r="M44" s="2"/>
      <c r="N44" s="12"/>
      <c r="O44" s="2"/>
      <c r="P44" s="2"/>
      <c r="Q44" s="2"/>
      <c r="R44" s="18"/>
      <c r="S44" s="18"/>
      <c r="T44" s="18"/>
      <c r="U44" s="18"/>
      <c r="V44" s="18"/>
      <c r="W44" s="18"/>
      <c r="X44" s="18"/>
      <c r="Y44" s="18"/>
      <c r="Z44" s="2"/>
      <c r="AA44" s="12"/>
    </row>
    <row r="45" spans="1:27" ht="16.5" x14ac:dyDescent="0.35">
      <c r="A45" s="12"/>
      <c r="B45" s="2"/>
      <c r="C45" s="25"/>
      <c r="D45" s="25"/>
      <c r="E45" s="26"/>
      <c r="F45" s="26"/>
      <c r="G45" s="26"/>
      <c r="H45" s="26"/>
      <c r="I45" s="26"/>
      <c r="J45" s="26"/>
      <c r="K45" s="18"/>
      <c r="L45" s="18"/>
      <c r="M45" s="2"/>
      <c r="N45" s="12"/>
      <c r="O45" s="2"/>
      <c r="P45" s="25"/>
      <c r="Q45" s="25"/>
      <c r="R45" s="26"/>
      <c r="S45" s="26"/>
      <c r="T45" s="26"/>
      <c r="U45" s="26"/>
      <c r="V45" s="26"/>
      <c r="W45" s="26"/>
      <c r="X45" s="18"/>
      <c r="Y45" s="18"/>
      <c r="Z45" s="2"/>
      <c r="AA45" s="12"/>
    </row>
    <row r="46" spans="1:27" x14ac:dyDescent="0.2">
      <c r="A46" s="12"/>
      <c r="B46" s="12"/>
      <c r="C46" s="12"/>
      <c r="D46" s="12"/>
      <c r="E46" s="13"/>
      <c r="F46" s="13"/>
      <c r="G46" s="13"/>
      <c r="H46" s="13"/>
      <c r="I46" s="13"/>
      <c r="J46" s="13"/>
      <c r="K46" s="13"/>
      <c r="L46" s="13"/>
      <c r="M46" s="12"/>
      <c r="N46" s="12"/>
      <c r="O46" s="12"/>
      <c r="P46" s="12"/>
      <c r="Q46" s="12"/>
      <c r="R46" s="13"/>
      <c r="S46" s="13"/>
      <c r="T46" s="13"/>
      <c r="U46" s="13"/>
      <c r="V46" s="13"/>
      <c r="W46" s="13"/>
      <c r="X46" s="13"/>
      <c r="Y46" s="13"/>
      <c r="Z46" s="12"/>
      <c r="AA46" s="12"/>
    </row>
    <row r="47" spans="1:27" x14ac:dyDescent="0.2">
      <c r="A47" s="12"/>
      <c r="B47" s="12"/>
      <c r="C47" s="12"/>
      <c r="D47" s="12"/>
      <c r="E47" s="12"/>
      <c r="F47" s="12"/>
      <c r="G47" s="12"/>
      <c r="H47" s="2"/>
      <c r="I47" s="2"/>
      <c r="J47" s="2"/>
      <c r="K47" s="18"/>
      <c r="L47" s="18"/>
      <c r="M47" s="18"/>
      <c r="N47" s="18"/>
      <c r="O47" s="18"/>
      <c r="P47" s="18"/>
      <c r="Q47" s="18"/>
      <c r="R47" s="18"/>
      <c r="S47" s="2"/>
      <c r="T47" s="12"/>
      <c r="U47" s="12"/>
      <c r="V47" s="12"/>
      <c r="W47" s="12"/>
      <c r="X47" s="12"/>
      <c r="Y47" s="12"/>
      <c r="Z47" s="12"/>
      <c r="AA47" s="12"/>
    </row>
    <row r="48" spans="1:27" ht="18" x14ac:dyDescent="0.2">
      <c r="A48" s="12"/>
      <c r="B48" s="12"/>
      <c r="C48" s="12"/>
      <c r="D48" s="12"/>
      <c r="E48" s="12"/>
      <c r="F48" s="12"/>
      <c r="G48" s="12"/>
      <c r="H48" s="2"/>
      <c r="I48" s="19" t="s">
        <v>44</v>
      </c>
      <c r="J48" s="20"/>
      <c r="K48" s="21"/>
      <c r="L48" s="20"/>
      <c r="M48" s="21"/>
      <c r="N48" s="20"/>
      <c r="O48" s="21"/>
      <c r="P48" s="20"/>
      <c r="Q48" s="21"/>
      <c r="R48" s="21"/>
      <c r="S48" s="2"/>
      <c r="T48" s="12"/>
      <c r="U48" s="12"/>
      <c r="V48" s="12"/>
      <c r="W48" s="12"/>
      <c r="X48" s="12"/>
      <c r="Y48" s="12"/>
      <c r="Z48" s="12"/>
      <c r="AA48" s="12"/>
    </row>
    <row r="49" spans="1:27" ht="18" x14ac:dyDescent="0.2">
      <c r="A49" s="12"/>
      <c r="B49" s="12"/>
      <c r="C49" s="12"/>
      <c r="D49" s="12"/>
      <c r="E49" s="12"/>
      <c r="F49" s="12"/>
      <c r="G49" s="12"/>
      <c r="H49" s="2"/>
      <c r="I49" s="22"/>
      <c r="J49" s="23"/>
      <c r="K49" s="24"/>
      <c r="L49" s="23"/>
      <c r="M49" s="24"/>
      <c r="N49" s="23"/>
      <c r="O49" s="24"/>
      <c r="P49" s="23"/>
      <c r="Q49" s="24"/>
      <c r="R49" s="24"/>
      <c r="S49" s="2"/>
      <c r="T49" s="12"/>
      <c r="U49" s="12"/>
      <c r="V49" s="12"/>
      <c r="W49" s="12"/>
      <c r="X49" s="12"/>
      <c r="Y49" s="12"/>
      <c r="Z49" s="12"/>
      <c r="AA49" s="12"/>
    </row>
    <row r="50" spans="1:27" x14ac:dyDescent="0.2">
      <c r="A50" s="12"/>
      <c r="B50" s="12"/>
      <c r="C50" s="12"/>
      <c r="D50" s="12"/>
      <c r="E50" s="12"/>
      <c r="F50" s="12"/>
      <c r="G50" s="12"/>
      <c r="H50" s="2"/>
      <c r="I50" s="2"/>
      <c r="J50" s="2"/>
      <c r="K50" s="18"/>
      <c r="L50" s="18"/>
      <c r="M50" s="18"/>
      <c r="N50" s="18"/>
      <c r="O50" s="18"/>
      <c r="P50" s="18"/>
      <c r="Q50" s="18"/>
      <c r="R50" s="18"/>
      <c r="S50" s="2"/>
      <c r="T50" s="12"/>
      <c r="U50" s="12"/>
      <c r="V50" s="12"/>
      <c r="W50" s="12"/>
      <c r="X50" s="12"/>
      <c r="Y50" s="12"/>
      <c r="Z50" s="12"/>
      <c r="AA50" s="12"/>
    </row>
    <row r="51" spans="1:27" x14ac:dyDescent="0.2">
      <c r="A51" s="12"/>
      <c r="B51" s="12"/>
      <c r="C51" s="12"/>
      <c r="D51" s="12"/>
      <c r="E51" s="12"/>
      <c r="F51" s="12"/>
      <c r="G51" s="12"/>
      <c r="H51" s="2"/>
      <c r="I51" s="2"/>
      <c r="J51" s="2"/>
      <c r="K51" s="18"/>
      <c r="L51" s="18"/>
      <c r="M51" s="18"/>
      <c r="N51" s="18"/>
      <c r="O51" s="18"/>
      <c r="P51" s="18"/>
      <c r="Q51" s="18"/>
      <c r="R51" s="18"/>
      <c r="S51" s="2"/>
      <c r="T51" s="12"/>
      <c r="U51" s="12"/>
      <c r="V51" s="12"/>
      <c r="W51" s="12"/>
      <c r="X51" s="12"/>
      <c r="Y51" s="12"/>
      <c r="Z51" s="12"/>
      <c r="AA51" s="12"/>
    </row>
    <row r="52" spans="1:27" x14ac:dyDescent="0.2">
      <c r="A52" s="12"/>
      <c r="B52" s="12"/>
      <c r="C52" s="12"/>
      <c r="D52" s="12"/>
      <c r="E52" s="12"/>
      <c r="F52" s="12"/>
      <c r="G52" s="12"/>
      <c r="H52" s="2"/>
      <c r="I52" s="2"/>
      <c r="J52" s="2"/>
      <c r="K52" s="18"/>
      <c r="L52" s="18"/>
      <c r="M52" s="18"/>
      <c r="N52" s="18"/>
      <c r="O52" s="18"/>
      <c r="P52" s="18"/>
      <c r="Q52" s="18"/>
      <c r="R52" s="18"/>
      <c r="S52" s="2"/>
      <c r="T52" s="12"/>
      <c r="U52" s="12"/>
      <c r="V52" s="12"/>
      <c r="W52" s="12"/>
      <c r="X52" s="12"/>
      <c r="Y52" s="12"/>
      <c r="Z52" s="12"/>
      <c r="AA52" s="12"/>
    </row>
    <row r="53" spans="1:27" x14ac:dyDescent="0.2">
      <c r="A53" s="12"/>
      <c r="B53" s="12"/>
      <c r="C53" s="12"/>
      <c r="D53" s="12"/>
      <c r="E53" s="12"/>
      <c r="F53" s="12"/>
      <c r="G53" s="12"/>
      <c r="H53" s="2"/>
      <c r="I53" s="2"/>
      <c r="J53" s="2"/>
      <c r="K53" s="18"/>
      <c r="L53" s="18"/>
      <c r="M53" s="18"/>
      <c r="N53" s="18"/>
      <c r="O53" s="18"/>
      <c r="P53" s="18"/>
      <c r="Q53" s="18"/>
      <c r="R53" s="18"/>
      <c r="S53" s="2"/>
      <c r="T53" s="12"/>
      <c r="U53" s="12"/>
      <c r="V53" s="12"/>
      <c r="W53" s="12"/>
      <c r="X53" s="12"/>
      <c r="Y53" s="12"/>
      <c r="Z53" s="12"/>
      <c r="AA53" s="12"/>
    </row>
    <row r="54" spans="1:27" x14ac:dyDescent="0.2">
      <c r="A54" s="12"/>
      <c r="B54" s="12"/>
      <c r="C54" s="12"/>
      <c r="D54" s="12"/>
      <c r="E54" s="12"/>
      <c r="F54" s="12"/>
      <c r="G54" s="12"/>
      <c r="H54" s="2"/>
      <c r="I54" s="2"/>
      <c r="J54" s="2"/>
      <c r="K54" s="18"/>
      <c r="L54" s="18"/>
      <c r="M54" s="18"/>
      <c r="N54" s="18"/>
      <c r="O54" s="18"/>
      <c r="P54" s="18"/>
      <c r="Q54" s="18"/>
      <c r="R54" s="18"/>
      <c r="S54" s="2"/>
      <c r="T54" s="12"/>
      <c r="U54" s="12"/>
      <c r="V54" s="12"/>
      <c r="W54" s="12"/>
      <c r="X54" s="12"/>
      <c r="Y54" s="12"/>
      <c r="Z54" s="12"/>
      <c r="AA54" s="12"/>
    </row>
    <row r="55" spans="1:27" x14ac:dyDescent="0.2">
      <c r="A55" s="12"/>
      <c r="B55" s="12"/>
      <c r="C55" s="12"/>
      <c r="D55" s="12"/>
      <c r="E55" s="12"/>
      <c r="F55" s="12"/>
      <c r="G55" s="12"/>
      <c r="H55" s="2"/>
      <c r="I55" s="2"/>
      <c r="J55" s="2"/>
      <c r="K55" s="18"/>
      <c r="L55" s="18"/>
      <c r="M55" s="18"/>
      <c r="N55" s="18"/>
      <c r="O55" s="18"/>
      <c r="P55" s="18"/>
      <c r="Q55" s="18"/>
      <c r="R55" s="18"/>
      <c r="S55" s="2"/>
      <c r="T55" s="12"/>
      <c r="U55" s="12"/>
      <c r="V55" s="12"/>
      <c r="W55" s="12"/>
      <c r="X55" s="12"/>
      <c r="Y55" s="12"/>
      <c r="Z55" s="12"/>
      <c r="AA55" s="12"/>
    </row>
    <row r="56" spans="1:27" x14ac:dyDescent="0.2">
      <c r="A56" s="12"/>
      <c r="B56" s="12"/>
      <c r="C56" s="12"/>
      <c r="D56" s="12"/>
      <c r="E56" s="12"/>
      <c r="F56" s="12"/>
      <c r="G56" s="12"/>
      <c r="H56" s="2"/>
      <c r="I56" s="2"/>
      <c r="J56" s="2"/>
      <c r="K56" s="18"/>
      <c r="L56" s="18"/>
      <c r="M56" s="18"/>
      <c r="N56" s="18"/>
      <c r="O56" s="18"/>
      <c r="P56" s="18"/>
      <c r="Q56" s="18"/>
      <c r="R56" s="18"/>
      <c r="S56" s="2"/>
      <c r="T56" s="12"/>
      <c r="U56" s="12"/>
      <c r="V56" s="12"/>
      <c r="W56" s="12"/>
      <c r="X56" s="12"/>
      <c r="Y56" s="12"/>
      <c r="Z56" s="12"/>
      <c r="AA56" s="12"/>
    </row>
    <row r="57" spans="1:27" x14ac:dyDescent="0.2">
      <c r="A57" s="12"/>
      <c r="B57" s="12"/>
      <c r="C57" s="12"/>
      <c r="D57" s="12"/>
      <c r="E57" s="12"/>
      <c r="F57" s="12"/>
      <c r="G57" s="12"/>
      <c r="H57" s="2"/>
      <c r="I57" s="2"/>
      <c r="J57" s="2"/>
      <c r="K57" s="18"/>
      <c r="L57" s="18"/>
      <c r="M57" s="18"/>
      <c r="N57" s="18"/>
      <c r="O57" s="18"/>
      <c r="P57" s="18"/>
      <c r="Q57" s="18"/>
      <c r="R57" s="18"/>
      <c r="S57" s="2"/>
      <c r="T57" s="12"/>
      <c r="U57" s="12"/>
      <c r="V57" s="12"/>
      <c r="W57" s="12"/>
      <c r="X57" s="12"/>
      <c r="Y57" s="12"/>
      <c r="Z57" s="12"/>
      <c r="AA57" s="12"/>
    </row>
    <row r="58" spans="1:27" x14ac:dyDescent="0.2">
      <c r="A58" s="12"/>
      <c r="B58" s="12"/>
      <c r="C58" s="12"/>
      <c r="D58" s="12"/>
      <c r="E58" s="12"/>
      <c r="F58" s="12"/>
      <c r="G58" s="12"/>
      <c r="H58" s="2"/>
      <c r="I58" s="2"/>
      <c r="J58" s="2"/>
      <c r="K58" s="18"/>
      <c r="L58" s="18"/>
      <c r="M58" s="18"/>
      <c r="N58" s="18"/>
      <c r="O58" s="18"/>
      <c r="P58" s="18"/>
      <c r="Q58" s="18"/>
      <c r="R58" s="18"/>
      <c r="S58" s="2"/>
      <c r="T58" s="12"/>
      <c r="U58" s="12"/>
      <c r="V58" s="12"/>
      <c r="W58" s="12"/>
      <c r="X58" s="12"/>
      <c r="Y58" s="12"/>
      <c r="Z58" s="12"/>
      <c r="AA58" s="12"/>
    </row>
    <row r="59" spans="1:27" x14ac:dyDescent="0.2">
      <c r="A59" s="12"/>
      <c r="B59" s="12"/>
      <c r="C59" s="12"/>
      <c r="D59" s="12"/>
      <c r="E59" s="12"/>
      <c r="F59" s="12"/>
      <c r="G59" s="12"/>
      <c r="H59" s="2"/>
      <c r="I59" s="2"/>
      <c r="J59" s="2"/>
      <c r="K59" s="18"/>
      <c r="L59" s="18"/>
      <c r="M59" s="18"/>
      <c r="N59" s="18"/>
      <c r="O59" s="18"/>
      <c r="P59" s="18"/>
      <c r="Q59" s="18"/>
      <c r="R59" s="18"/>
      <c r="S59" s="2"/>
      <c r="T59" s="12"/>
      <c r="U59" s="12"/>
      <c r="V59" s="12"/>
      <c r="W59" s="12"/>
      <c r="X59" s="12"/>
      <c r="Y59" s="12"/>
      <c r="Z59" s="12"/>
      <c r="AA59" s="12"/>
    </row>
    <row r="60" spans="1:27" x14ac:dyDescent="0.2">
      <c r="A60" s="12"/>
      <c r="B60" s="12"/>
      <c r="C60" s="12"/>
      <c r="D60" s="12"/>
      <c r="E60" s="12"/>
      <c r="F60" s="12"/>
      <c r="G60" s="12"/>
      <c r="H60" s="2"/>
      <c r="I60" s="2"/>
      <c r="J60" s="2"/>
      <c r="K60" s="18"/>
      <c r="L60" s="18"/>
      <c r="M60" s="18"/>
      <c r="N60" s="18"/>
      <c r="O60" s="18"/>
      <c r="P60" s="18"/>
      <c r="Q60" s="18"/>
      <c r="R60" s="18"/>
      <c r="S60" s="2"/>
      <c r="T60" s="12"/>
      <c r="U60" s="12"/>
      <c r="V60" s="12"/>
      <c r="W60" s="12"/>
      <c r="X60" s="12"/>
      <c r="Y60" s="12"/>
      <c r="Z60" s="12"/>
      <c r="AA60" s="12"/>
    </row>
    <row r="61" spans="1:27" x14ac:dyDescent="0.2">
      <c r="A61" s="12"/>
      <c r="B61" s="12"/>
      <c r="C61" s="12"/>
      <c r="D61" s="12"/>
      <c r="E61" s="12"/>
      <c r="F61" s="12"/>
      <c r="G61" s="12"/>
      <c r="H61" s="2"/>
      <c r="I61" s="2"/>
      <c r="J61" s="2"/>
      <c r="K61" s="18"/>
      <c r="L61" s="18"/>
      <c r="M61" s="18"/>
      <c r="N61" s="18"/>
      <c r="O61" s="18"/>
      <c r="P61" s="18"/>
      <c r="Q61" s="18"/>
      <c r="R61" s="18"/>
      <c r="S61" s="2"/>
      <c r="T61" s="12"/>
      <c r="U61" s="12"/>
      <c r="V61" s="12"/>
      <c r="W61" s="12"/>
      <c r="X61" s="12"/>
      <c r="Y61" s="12"/>
      <c r="Z61" s="12"/>
      <c r="AA61" s="12"/>
    </row>
    <row r="62" spans="1:27" x14ac:dyDescent="0.2">
      <c r="A62" s="12"/>
      <c r="B62" s="12"/>
      <c r="C62" s="12"/>
      <c r="D62" s="12"/>
      <c r="E62" s="12"/>
      <c r="F62" s="12"/>
      <c r="G62" s="12"/>
      <c r="H62" s="2"/>
      <c r="I62" s="2"/>
      <c r="J62" s="2"/>
      <c r="K62" s="18"/>
      <c r="L62" s="18"/>
      <c r="M62" s="18"/>
      <c r="N62" s="18"/>
      <c r="O62" s="18"/>
      <c r="P62" s="18"/>
      <c r="Q62" s="18"/>
      <c r="R62" s="18"/>
      <c r="S62" s="2"/>
      <c r="T62" s="12"/>
      <c r="U62" s="12"/>
      <c r="V62" s="12"/>
      <c r="W62" s="12"/>
      <c r="X62" s="12"/>
      <c r="Y62" s="12"/>
      <c r="Z62" s="12"/>
      <c r="AA62" s="12"/>
    </row>
    <row r="63" spans="1:27" x14ac:dyDescent="0.2">
      <c r="A63" s="12"/>
      <c r="B63" s="12"/>
      <c r="C63" s="12"/>
      <c r="D63" s="12"/>
      <c r="E63" s="12"/>
      <c r="F63" s="12"/>
      <c r="G63" s="12"/>
      <c r="H63" s="2"/>
      <c r="I63" s="2"/>
      <c r="J63" s="2"/>
      <c r="K63" s="18"/>
      <c r="L63" s="18"/>
      <c r="M63" s="18"/>
      <c r="N63" s="18"/>
      <c r="O63" s="18"/>
      <c r="P63" s="18"/>
      <c r="Q63" s="18"/>
      <c r="R63" s="18"/>
      <c r="S63" s="2"/>
      <c r="T63" s="12"/>
      <c r="U63" s="12"/>
      <c r="V63" s="12"/>
      <c r="W63" s="12"/>
      <c r="X63" s="12"/>
      <c r="Y63" s="12"/>
      <c r="Z63" s="12"/>
      <c r="AA63" s="12"/>
    </row>
    <row r="64" spans="1:27" x14ac:dyDescent="0.2">
      <c r="A64" s="12"/>
      <c r="B64" s="12"/>
      <c r="C64" s="12"/>
      <c r="D64" s="12"/>
      <c r="E64" s="12"/>
      <c r="F64" s="12"/>
      <c r="G64" s="12"/>
      <c r="H64" s="2"/>
      <c r="I64" s="2"/>
      <c r="J64" s="2"/>
      <c r="K64" s="18"/>
      <c r="L64" s="18"/>
      <c r="M64" s="18"/>
      <c r="N64" s="18"/>
      <c r="O64" s="18"/>
      <c r="P64" s="18"/>
      <c r="Q64" s="18"/>
      <c r="R64" s="18"/>
      <c r="S64" s="2"/>
      <c r="T64" s="12"/>
      <c r="U64" s="12"/>
      <c r="V64" s="12"/>
      <c r="W64" s="12"/>
      <c r="X64" s="12"/>
      <c r="Y64" s="12"/>
      <c r="Z64" s="12"/>
      <c r="AA64" s="12"/>
    </row>
    <row r="65" spans="1:27" ht="16.5" x14ac:dyDescent="0.35">
      <c r="A65" s="12"/>
      <c r="B65" s="12"/>
      <c r="C65" s="12"/>
      <c r="D65" s="12"/>
      <c r="E65" s="12"/>
      <c r="F65" s="12"/>
      <c r="G65" s="12"/>
      <c r="H65" s="2"/>
      <c r="I65" s="25"/>
      <c r="J65" s="25"/>
      <c r="K65" s="26"/>
      <c r="L65" s="26"/>
      <c r="M65" s="26"/>
      <c r="N65" s="26"/>
      <c r="O65" s="26"/>
      <c r="P65" s="26"/>
      <c r="Q65" s="18"/>
      <c r="R65" s="18"/>
      <c r="S65" s="2"/>
      <c r="T65" s="12"/>
      <c r="U65" s="12"/>
      <c r="V65" s="12"/>
      <c r="W65" s="12"/>
      <c r="X65" s="12"/>
      <c r="Y65" s="12"/>
      <c r="Z65" s="12"/>
      <c r="AA65" s="12"/>
    </row>
    <row r="66" spans="1:27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</sheetData>
  <phoneticPr fontId="1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1819"/>
  <sheetViews>
    <sheetView workbookViewId="0">
      <selection activeCell="X5" sqref="X5"/>
    </sheetView>
  </sheetViews>
  <sheetFormatPr defaultRowHeight="14.25" x14ac:dyDescent="0.2"/>
  <cols>
    <col min="1" max="1" width="12.625" customWidth="1"/>
    <col min="2" max="2" width="16.75" customWidth="1"/>
    <col min="5" max="5" width="12.5" style="41" customWidth="1"/>
    <col min="6" max="6" width="9.875" style="41" bestFit="1" customWidth="1"/>
    <col min="7" max="9" width="9" style="41"/>
    <col min="11" max="11" width="9.25" customWidth="1"/>
  </cols>
  <sheetData>
    <row r="1" spans="1:39" x14ac:dyDescent="0.2">
      <c r="A1" s="37" t="s">
        <v>18</v>
      </c>
      <c r="B1" s="37"/>
      <c r="E1" s="39" t="s">
        <v>34</v>
      </c>
      <c r="F1" s="40" t="str">
        <f>[1]!s_info_name(F2)</f>
        <v>上证50ETF</v>
      </c>
      <c r="K1" s="33" t="s">
        <v>35</v>
      </c>
    </row>
    <row r="2" spans="1:39" x14ac:dyDescent="0.2">
      <c r="A2" s="37" t="s">
        <v>20</v>
      </c>
      <c r="B2" s="37" t="str">
        <f>走势图!C3</f>
        <v>510050.SH</v>
      </c>
      <c r="F2" s="40" t="str">
        <f>B2</f>
        <v>510050.SH</v>
      </c>
    </row>
    <row r="3" spans="1:39" x14ac:dyDescent="0.2">
      <c r="A3" s="37" t="s">
        <v>21</v>
      </c>
      <c r="B3" s="38">
        <f>走势图!F3</f>
        <v>45294</v>
      </c>
      <c r="E3" s="40" t="s">
        <v>0</v>
      </c>
      <c r="F3" s="40" t="s">
        <v>2</v>
      </c>
      <c r="G3" s="40" t="s">
        <v>3</v>
      </c>
      <c r="H3" s="40" t="s">
        <v>4</v>
      </c>
      <c r="I3" s="40" t="s">
        <v>5</v>
      </c>
      <c r="K3" s="44" t="s">
        <v>11</v>
      </c>
      <c r="L3" s="44"/>
      <c r="M3" s="44"/>
      <c r="N3" s="44"/>
      <c r="O3" s="44"/>
      <c r="P3" s="29"/>
      <c r="Q3" s="45" t="s">
        <v>32</v>
      </c>
      <c r="R3" s="45"/>
      <c r="S3" s="45"/>
      <c r="T3" s="45"/>
      <c r="U3" s="45"/>
      <c r="V3" s="29"/>
      <c r="W3" s="46" t="s">
        <v>10</v>
      </c>
      <c r="X3" s="46"/>
      <c r="Y3" s="46"/>
      <c r="Z3" s="46"/>
      <c r="AA3" s="46"/>
      <c r="AB3" s="29"/>
      <c r="AC3" s="47" t="s">
        <v>38</v>
      </c>
      <c r="AD3" s="47"/>
      <c r="AE3" s="47"/>
      <c r="AF3" s="47"/>
      <c r="AG3" s="47"/>
      <c r="AH3" s="29"/>
      <c r="AI3" s="48" t="s">
        <v>37</v>
      </c>
      <c r="AJ3" s="48"/>
      <c r="AK3" s="48"/>
      <c r="AL3" s="48"/>
      <c r="AM3" s="48"/>
    </row>
    <row r="4" spans="1:39" x14ac:dyDescent="0.2">
      <c r="A4" s="37" t="s">
        <v>22</v>
      </c>
      <c r="B4" s="38">
        <f ca="1">走势图!H3</f>
        <v>45670</v>
      </c>
      <c r="E4" s="40" t="s">
        <v>1</v>
      </c>
      <c r="F4" s="40" t="s">
        <v>6</v>
      </c>
      <c r="G4" s="40" t="s">
        <v>7</v>
      </c>
      <c r="H4" s="40" t="s">
        <v>8</v>
      </c>
      <c r="I4" s="40" t="s">
        <v>9</v>
      </c>
      <c r="K4" s="30" t="s">
        <v>36</v>
      </c>
      <c r="L4" s="31" t="s">
        <v>28</v>
      </c>
      <c r="M4" s="31" t="s">
        <v>29</v>
      </c>
      <c r="N4" s="31" t="s">
        <v>30</v>
      </c>
      <c r="O4" s="31" t="s">
        <v>31</v>
      </c>
      <c r="P4" s="32"/>
      <c r="Q4" s="30" t="s">
        <v>33</v>
      </c>
      <c r="R4" s="31" t="s">
        <v>28</v>
      </c>
      <c r="S4" s="31" t="s">
        <v>29</v>
      </c>
      <c r="T4" s="31" t="s">
        <v>30</v>
      </c>
      <c r="U4" s="31" t="s">
        <v>31</v>
      </c>
      <c r="V4" s="32"/>
      <c r="W4" s="30" t="s">
        <v>33</v>
      </c>
      <c r="X4" s="31" t="s">
        <v>28</v>
      </c>
      <c r="Y4" s="31" t="s">
        <v>29</v>
      </c>
      <c r="Z4" s="31" t="s">
        <v>30</v>
      </c>
      <c r="AA4" s="31" t="s">
        <v>31</v>
      </c>
      <c r="AB4" s="31"/>
      <c r="AC4" s="30" t="s">
        <v>33</v>
      </c>
      <c r="AD4" s="31" t="s">
        <v>28</v>
      </c>
      <c r="AE4" s="31" t="s">
        <v>29</v>
      </c>
      <c r="AF4" s="31" t="s">
        <v>30</v>
      </c>
      <c r="AG4" s="31" t="s">
        <v>31</v>
      </c>
      <c r="AH4" s="29"/>
      <c r="AI4" s="30" t="s">
        <v>33</v>
      </c>
      <c r="AJ4" s="31" t="s">
        <v>28</v>
      </c>
      <c r="AK4" s="31" t="s">
        <v>29</v>
      </c>
      <c r="AL4" s="31" t="s">
        <v>30</v>
      </c>
      <c r="AM4" s="31" t="s">
        <v>31</v>
      </c>
    </row>
    <row r="5" spans="1:39" x14ac:dyDescent="0.2">
      <c r="A5" s="37" t="s">
        <v>23</v>
      </c>
      <c r="B5" s="37">
        <f>走势图!C5</f>
        <v>5</v>
      </c>
      <c r="E5" s="42">
        <v>45670</v>
      </c>
      <c r="F5" s="43">
        <f ca="1">[1]!WSD(F2,F4:I4,B3,B4,"TradingCalendar=SSE","PriceAdj=F","Sort=D","rptType=1","ShowParams=Y","cols=4;rows=249")</f>
        <v>2.6030000000000002</v>
      </c>
      <c r="G5" s="43">
        <v>2.6160000000000001</v>
      </c>
      <c r="H5" s="43">
        <v>2.5859999999999999</v>
      </c>
      <c r="I5" s="43">
        <v>2.6070000000000002</v>
      </c>
      <c r="K5" s="3">
        <f>(LN(G5/H5))^2</f>
        <v>1.3303669108575414E-4</v>
      </c>
      <c r="L5" s="3">
        <f ca="1">SQRT(AVERAGE(K5:OFFSET(K5,$B$5-1,0))*$B$9/(4*LN(2)))</f>
        <v>0.12378763737235841</v>
      </c>
      <c r="M5" s="3">
        <f ca="1">SQRT(AVERAGE(K5:OFFSET(K5,$B$6-1,0))*$B$9/(4*LN(2)))</f>
        <v>0.15906681633082217</v>
      </c>
      <c r="N5" s="3">
        <f ca="1">SQRT(AVERAGE(K5:OFFSET(K5,$B$7-1,0))*$B$9/(4*LN(2)))</f>
        <v>0.13426429801794415</v>
      </c>
      <c r="O5" s="3">
        <f ca="1">SQRT(AVERAGE(K5:OFFSET(K5,$B$8-1,0))*$B$9/(4*LN(2)))</f>
        <v>0.16555027261565824</v>
      </c>
      <c r="P5" s="1"/>
      <c r="Q5" s="5">
        <f t="shared" ref="Q5:Q36" ca="1" si="0">0.511*(LN(G5/H5))^2-0.019*(LN(I5/F5)*LN(G5*H5/F5^2)-2*LN(G5/F5)*LN(H5/F5))-0.383*(LN(I5/F5))^2</f>
        <v>6.5884120423456683E-5</v>
      </c>
      <c r="R5" s="5">
        <f ca="1">SQRT($B$9*AVERAGE((Q5:OFFSET(Q5,$B$5-1,0))))</f>
        <v>0.13709220951430623</v>
      </c>
      <c r="S5" s="5">
        <f ca="1">SQRT($B$9*AVERAGE((Q5:OFFSET(Q5,$B$6-1,0))))</f>
        <v>0.1595400157038743</v>
      </c>
      <c r="T5" s="5">
        <f ca="1">SQRT($B$9*AVERAGE((Q5:OFFSET(Q5,$B$7-1,0))))</f>
        <v>0.13814945922875496</v>
      </c>
      <c r="U5" s="5">
        <f ca="1">SQRT($B$9*AVERAGE((Q5:OFFSET(Q5,$B$8-1,0))))</f>
        <v>0.1634135086254471</v>
      </c>
      <c r="V5" s="1"/>
      <c r="W5" s="6">
        <f t="shared" ref="W5:W36" ca="1" si="1">LN(G5/I5)*LN(G5/F5)+LN(H5/I5)*LN(H5/F5)</f>
        <v>7.0163215734765595E-5</v>
      </c>
      <c r="X5" s="6">
        <f ca="1">SQRT($B$9*AVERAGE(W5:OFFSET(W5,$B$5-1,0)))</f>
        <v>0.13940318269666332</v>
      </c>
      <c r="Y5" s="6">
        <f ca="1">SQRT($B$9*AVERAGE(W5:OFFSET(W5,$B$6-1,0)))</f>
        <v>0.15664737381381216</v>
      </c>
      <c r="Z5" s="6">
        <f ca="1">SQRT($B$9*AVERAGE(W5:OFFSET(W5,$B$7-1,0)))</f>
        <v>0.13855262950614719</v>
      </c>
      <c r="AA5" s="6">
        <f ca="1">SQRT($B$9*AVERAGE(W5:OFFSET(W5,$B$8-1,0)))</f>
        <v>0.16224784365613812</v>
      </c>
      <c r="AB5" s="1"/>
      <c r="AC5" s="34">
        <f t="shared" ref="AC5:AC16" si="2">(LN(I5/I6))^2</f>
        <v>9.3878666029176138E-6</v>
      </c>
      <c r="AD5" s="34">
        <f ca="1">SQRT($B$9*SUM(AC5:OFFSET(AC5,$B$5-1,0))/($B$5-1))</f>
        <v>9.5119078935293255E-2</v>
      </c>
      <c r="AE5" s="34">
        <f ca="1">SQRT($B$9*SUM(AC5:OFFSET(AC5,$B$6-1,0))/($B$6-1))</f>
        <v>0.17770282598861278</v>
      </c>
      <c r="AF5" s="34">
        <f ca="1">SQRT($B$9*SUM(AC5:OFFSET(AC5,$B$7-1,0))/($B$7-1))</f>
        <v>0.13759926904028483</v>
      </c>
      <c r="AG5" s="34">
        <f ca="1">SQRT($B$9*SUM(AC5:OFFSET(AC5,$B$8-1,0))/($B$8-1))</f>
        <v>0.16791869192994693</v>
      </c>
      <c r="AH5" s="1"/>
      <c r="AI5" s="1">
        <f t="shared" ref="AI5:AI36" si="3">LN(I5/I6)</f>
        <v>-3.0639625655215852E-3</v>
      </c>
      <c r="AJ5" s="4">
        <f ca="1">SQRT($B$9)*_xlfn.STDEV.S(AI5:OFFSET(AI5,$B$5-1,0))</f>
        <v>9.0013931056827187E-2</v>
      </c>
      <c r="AK5" s="4">
        <f ca="1">SQRT($B$9)*_xlfn.STDEV.S(AI5:OFFSET(AI5,$B$6-1,0))</f>
        <v>0.1529285903804227</v>
      </c>
      <c r="AL5" s="4">
        <f ca="1">SQRT($B$9)*_xlfn.STDEV.S(AI5:OFFSET(AI5,$B$7-1,0))</f>
        <v>0.13527844753488541</v>
      </c>
      <c r="AM5" s="4">
        <f ca="1">SQRT($B$9)*_xlfn.STDEV.S(AI5:OFFSET(AI5,$B$8-1,0))</f>
        <v>0.16741718024583493</v>
      </c>
    </row>
    <row r="6" spans="1:39" x14ac:dyDescent="0.2">
      <c r="A6" s="37" t="s">
        <v>24</v>
      </c>
      <c r="B6" s="37">
        <f>走势图!D5</f>
        <v>10</v>
      </c>
      <c r="E6" s="42">
        <v>45667</v>
      </c>
      <c r="F6" s="43">
        <v>2.6360000000000001</v>
      </c>
      <c r="G6" s="43">
        <v>2.6509999999999998</v>
      </c>
      <c r="H6" s="43">
        <v>2.613</v>
      </c>
      <c r="I6" s="43">
        <v>2.6150000000000002</v>
      </c>
      <c r="K6" s="3">
        <f t="shared" ref="K6:K69" si="4">(LN(G6/H6))^2</f>
        <v>2.0845413363219985E-4</v>
      </c>
      <c r="L6" s="3">
        <f ca="1">SQRT(AVERAGE(K6:OFFSET(K6,$B$5-1,0))*$B$9/(4*LN(2)))</f>
        <v>0.12988054470381802</v>
      </c>
      <c r="M6" s="3">
        <f ca="1">SQRT(AVERAGE(K6:OFFSET(K6,$B$6-1,0))*$B$9/(4*LN(2)))</f>
        <v>0.15844923584243978</v>
      </c>
      <c r="N6" s="3">
        <f ca="1">SQRT(AVERAGE(K6:OFFSET(K6,$B$7-1,0))*$B$9/(4*LN(2)))</f>
        <v>0.14000670060225115</v>
      </c>
      <c r="O6" s="3">
        <f ca="1">SQRT(AVERAGE(K6:OFFSET(K6,$B$8-1,0))*$B$9/(4*LN(2)))</f>
        <v>0.18129664362725104</v>
      </c>
      <c r="P6" s="1"/>
      <c r="Q6" s="5">
        <f t="shared" si="0"/>
        <v>7.9657999356004105E-5</v>
      </c>
      <c r="R6" s="5">
        <f ca="1">SQRT($B$9*AVERAGE((Q6:OFFSET(Q6,$B$5-1,0))))</f>
        <v>0.1437750132915393</v>
      </c>
      <c r="S6" s="5">
        <f ca="1">SQRT($B$9*AVERAGE((Q6:OFFSET(Q6,$B$6-1,0))))</f>
        <v>0.1587476426140777</v>
      </c>
      <c r="T6" s="5">
        <f ca="1">SQRT($B$9*AVERAGE((Q6:OFFSET(Q6,$B$7-1,0))))</f>
        <v>0.13996480665021224</v>
      </c>
      <c r="U6" s="5">
        <f ca="1">SQRT($B$9*AVERAGE((Q6:OFFSET(Q6,$B$8-1,0))))</f>
        <v>0.181543175781051</v>
      </c>
      <c r="V6" s="1"/>
      <c r="W6" s="6">
        <f t="shared" si="1"/>
        <v>8.4289033521998903E-5</v>
      </c>
      <c r="X6" s="6">
        <f ca="1">SQRT($B$9*AVERAGE(W6:OFFSET(W6,$B$5-1,0)))</f>
        <v>0.1487760287330675</v>
      </c>
      <c r="Y6" s="6">
        <f ca="1">SQRT($B$9*AVERAGE(W6:OFFSET(W6,$B$6-1,0)))</f>
        <v>0.15549481439762355</v>
      </c>
      <c r="Z6" s="6">
        <f ca="1">SQRT($B$9*AVERAGE(W6:OFFSET(W6,$B$7-1,0)))</f>
        <v>0.13862471086676562</v>
      </c>
      <c r="AA6" s="6">
        <f ca="1">SQRT($B$9*AVERAGE(W6:OFFSET(W6,$B$8-1,0)))</f>
        <v>0.18051211616183535</v>
      </c>
      <c r="AB6" s="1"/>
      <c r="AC6" s="34">
        <f t="shared" si="2"/>
        <v>7.6684292015901721E-5</v>
      </c>
      <c r="AD6" s="34">
        <f ca="1">SQRT($B$9*SUM(AC6:OFFSET(AC6,$B$5-1,0))/($B$5-1))</f>
        <v>9.7671069973813057E-2</v>
      </c>
      <c r="AE6" s="34">
        <f ca="1">SQRT($B$9*SUM(AC6:OFFSET(AC6,$B$6-1,0))/($B$6-1))</f>
        <v>0.17707344034332442</v>
      </c>
      <c r="AF6" s="34">
        <f ca="1">SQRT($B$9*SUM(AC6:OFFSET(AC6,$B$7-1,0))/($B$7-1))</f>
        <v>0.16314752080973863</v>
      </c>
      <c r="AG6" s="34">
        <f ca="1">SQRT($B$9*SUM(AC6:OFFSET(AC6,$B$8-1,0))/($B$8-1))</f>
        <v>0.17869356604059655</v>
      </c>
      <c r="AH6" s="1"/>
      <c r="AI6" s="1">
        <f t="shared" si="3"/>
        <v>-8.7569567782364733E-3</v>
      </c>
      <c r="AJ6" s="4">
        <f ca="1">SQRT($B$9)*_xlfn.STDEV.S(AI6:OFFSET(AI6,$B$5-1,0))</f>
        <v>9.1326791195797716E-2</v>
      </c>
      <c r="AK6" s="4">
        <f ca="1">SQRT($B$9)*_xlfn.STDEV.S(AI6:OFFSET(AI6,$B$6-1,0))</f>
        <v>0.15408811271279516</v>
      </c>
      <c r="AL6" s="4">
        <f ca="1">SQRT($B$9)*_xlfn.STDEV.S(AI6:OFFSET(AI6,$B$7-1,0))</f>
        <v>0.15752557048912874</v>
      </c>
      <c r="AM6" s="4">
        <f ca="1">SQRT($B$9)*_xlfn.STDEV.S(AI6:OFFSET(AI6,$B$8-1,0))</f>
        <v>0.178643456523324</v>
      </c>
    </row>
    <row r="7" spans="1:39" x14ac:dyDescent="0.2">
      <c r="A7" s="37" t="s">
        <v>25</v>
      </c>
      <c r="B7" s="37">
        <f>走势图!E5</f>
        <v>20</v>
      </c>
      <c r="E7" s="42">
        <v>45666</v>
      </c>
      <c r="F7" s="43">
        <v>2.649</v>
      </c>
      <c r="G7" s="43">
        <v>2.6509999999999998</v>
      </c>
      <c r="H7" s="43">
        <v>2.6269999999999998</v>
      </c>
      <c r="I7" s="43">
        <v>2.6379999999999999</v>
      </c>
      <c r="K7" s="3">
        <f t="shared" si="4"/>
        <v>8.2708413357754257E-5</v>
      </c>
      <c r="L7" s="3">
        <f ca="1">SQRT(AVERAGE(K7:OFFSET(K7,$B$5-1,0))*$B$9/(4*LN(2)))</f>
        <v>0.13355386647918452</v>
      </c>
      <c r="M7" s="3">
        <f ca="1">SQRT(AVERAGE(K7:OFFSET(K7,$B$6-1,0))*$B$9/(4*LN(2)))</f>
        <v>0.15362373307803667</v>
      </c>
      <c r="N7" s="3">
        <f ca="1">SQRT(AVERAGE(K7:OFFSET(K7,$B$7-1,0))*$B$9/(4*LN(2)))</f>
        <v>0.13975450212528964</v>
      </c>
      <c r="O7" s="3">
        <f ca="1">SQRT(AVERAGE(K7:OFFSET(K7,$B$8-1,0))*$B$9/(4*LN(2)))</f>
        <v>0.18330650366017792</v>
      </c>
      <c r="P7" s="1"/>
      <c r="Q7" s="5">
        <f t="shared" si="0"/>
        <v>3.4793410347689283E-5</v>
      </c>
      <c r="R7" s="5">
        <f ca="1">SQRT($B$9*AVERAGE((Q7:OFFSET(Q7,$B$5-1,0))))</f>
        <v>0.14803065674332436</v>
      </c>
      <c r="S7" s="5">
        <f ca="1">SQRT($B$9*AVERAGE((Q7:OFFSET(Q7,$B$6-1,0))))</f>
        <v>0.15385897542794524</v>
      </c>
      <c r="T7" s="5">
        <f ca="1">SQRT($B$9*AVERAGE((Q7:OFFSET(Q7,$B$7-1,0))))</f>
        <v>0.13878033712076795</v>
      </c>
      <c r="U7" s="5">
        <f ca="1">SQRT($B$9*AVERAGE((Q7:OFFSET(Q7,$B$8-1,0))))</f>
        <v>0.18265165749929085</v>
      </c>
      <c r="V7" s="1"/>
      <c r="W7" s="6">
        <f t="shared" si="1"/>
        <v>3.8557891279338179E-5</v>
      </c>
      <c r="X7" s="6">
        <f ca="1">SQRT($B$9*AVERAGE(W7:OFFSET(W7,$B$5-1,0)))</f>
        <v>0.15099945277836105</v>
      </c>
      <c r="Y7" s="6">
        <f ca="1">SQRT($B$9*AVERAGE(W7:OFFSET(W7,$B$6-1,0)))</f>
        <v>0.15033632344495498</v>
      </c>
      <c r="Z7" s="6">
        <f ca="1">SQRT($B$9*AVERAGE(W7:OFFSET(W7,$B$7-1,0)))</f>
        <v>0.13681719482077326</v>
      </c>
      <c r="AA7" s="6">
        <f ca="1">SQRT($B$9*AVERAGE(W7:OFFSET(W7,$B$8-1,0)))</f>
        <v>0.18114155566109302</v>
      </c>
      <c r="AB7" s="1"/>
      <c r="AC7" s="34">
        <f t="shared" si="2"/>
        <v>2.4165807467805127E-5</v>
      </c>
      <c r="AD7" s="34">
        <f ca="1">SQRT($B$9*SUM(AC7:OFFSET(AC7,$B$5-1,0))/($B$5-1))</f>
        <v>0.10354278485131101</v>
      </c>
      <c r="AE7" s="34">
        <f ca="1">SQRT($B$9*SUM(AC7:OFFSET(AC7,$B$6-1,0))/($B$6-1))</f>
        <v>0.17158825537958525</v>
      </c>
      <c r="AF7" s="34">
        <f ca="1">SQRT($B$9*SUM(AC7:OFFSET(AC7,$B$7-1,0))/($B$7-1))</f>
        <v>0.16515777982739249</v>
      </c>
      <c r="AG7" s="34">
        <f ca="1">SQRT($B$9*SUM(AC7:OFFSET(AC7,$B$8-1,0))/($B$8-1))</f>
        <v>0.18053722077756759</v>
      </c>
      <c r="AH7" s="1"/>
      <c r="AI7" s="1">
        <f t="shared" si="3"/>
        <v>-4.9158730117655732E-3</v>
      </c>
      <c r="AJ7" s="4">
        <f ca="1">SQRT($B$9)*_xlfn.STDEV.S(AI7:OFFSET(AI7,$B$5-1,0))</f>
        <v>9.6212310379739333E-2</v>
      </c>
      <c r="AK7" s="4">
        <f ca="1">SQRT($B$9)*_xlfn.STDEV.S(AI7:OFFSET(AI7,$B$6-1,0))</f>
        <v>0.1533504932767894</v>
      </c>
      <c r="AL7" s="4">
        <f ca="1">SQRT($B$9)*_xlfn.STDEV.S(AI7:OFFSET(AI7,$B$7-1,0))</f>
        <v>0.16304249291574149</v>
      </c>
      <c r="AM7" s="4">
        <f ca="1">SQRT($B$9)*_xlfn.STDEV.S(AI7:OFFSET(AI7,$B$8-1,0))</f>
        <v>0.18043846066600538</v>
      </c>
    </row>
    <row r="8" spans="1:39" x14ac:dyDescent="0.2">
      <c r="A8" s="37" t="s">
        <v>26</v>
      </c>
      <c r="B8" s="37">
        <f>走势图!F5</f>
        <v>60</v>
      </c>
      <c r="E8" s="42">
        <v>45665</v>
      </c>
      <c r="F8" s="43">
        <v>2.6419999999999999</v>
      </c>
      <c r="G8" s="43">
        <v>2.6669999999999998</v>
      </c>
      <c r="H8" s="43">
        <v>2.6190000000000002</v>
      </c>
      <c r="I8" s="43">
        <v>2.6509999999999998</v>
      </c>
      <c r="K8" s="3">
        <f t="shared" si="4"/>
        <v>3.2984660859196563E-4</v>
      </c>
      <c r="L8" s="3">
        <f ca="1">SQRT(AVERAGE(K8:OFFSET(K8,$B$5-1,0))*$B$9/(4*LN(2)))</f>
        <v>0.19359593355510077</v>
      </c>
      <c r="M8" s="3">
        <f ca="1">SQRT(AVERAGE(K8:OFFSET(K8,$B$6-1,0))*$B$9/(4*LN(2)))</f>
        <v>0.15359535892971812</v>
      </c>
      <c r="N8" s="3">
        <f ca="1">SQRT(AVERAGE(K8:OFFSET(K8,$B$7-1,0))*$B$9/(4*LN(2)))</f>
        <v>0.13976836348907332</v>
      </c>
      <c r="O8" s="3">
        <f ca="1">SQRT(AVERAGE(K8:OFFSET(K8,$B$8-1,0))*$B$9/(4*LN(2)))</f>
        <v>0.18429197339089062</v>
      </c>
      <c r="P8" s="1"/>
      <c r="Q8" s="5">
        <f t="shared" si="0"/>
        <v>1.6094946103984575E-4</v>
      </c>
      <c r="R8" s="5">
        <f ca="1">SQRT($B$9*AVERAGE((Q8:OFFSET(Q8,$B$5-1,0))))</f>
        <v>0.19513892597841953</v>
      </c>
      <c r="S8" s="5">
        <f ca="1">SQRT($B$9*AVERAGE((Q8:OFFSET(Q8,$B$6-1,0))))</f>
        <v>0.15429045227626653</v>
      </c>
      <c r="T8" s="5">
        <f ca="1">SQRT($B$9*AVERAGE((Q8:OFFSET(Q8,$B$7-1,0))))</f>
        <v>0.1388158327255527</v>
      </c>
      <c r="U8" s="5">
        <f ca="1">SQRT($B$9*AVERAGE((Q8:OFFSET(Q8,$B$8-1,0))))</f>
        <v>0.18397684981210308</v>
      </c>
      <c r="V8" s="1"/>
      <c r="W8" s="6">
        <f t="shared" si="1"/>
        <v>1.6285726961496756E-4</v>
      </c>
      <c r="X8" s="6">
        <f ca="1">SQRT($B$9*AVERAGE(W8:OFFSET(W8,$B$5-1,0)))</f>
        <v>0.19117656705600081</v>
      </c>
      <c r="Y8" s="6">
        <f ca="1">SQRT($B$9*AVERAGE(W8:OFFSET(W8,$B$6-1,0)))</f>
        <v>0.1506953765651485</v>
      </c>
      <c r="Z8" s="6">
        <f ca="1">SQRT($B$9*AVERAGE(W8:OFFSET(W8,$B$7-1,0)))</f>
        <v>0.13670518791217418</v>
      </c>
      <c r="AA8" s="6">
        <f ca="1">SQRT($B$9*AVERAGE(W8:OFFSET(W8,$B$8-1,0)))</f>
        <v>0.18277040762248822</v>
      </c>
      <c r="AB8" s="1"/>
      <c r="AC8" s="34">
        <f t="shared" si="2"/>
        <v>5.1341305877528791E-6</v>
      </c>
      <c r="AD8" s="34">
        <f ca="1">SQRT($B$9*SUM(AC8:OFFSET(AC8,$B$5-1,0))/($B$5-1))</f>
        <v>0.22698363975927927</v>
      </c>
      <c r="AE8" s="34">
        <f ca="1">SQRT($B$9*SUM(AC8:OFFSET(AC8,$B$6-1,0))/($B$6-1))</f>
        <v>0.17093144536028709</v>
      </c>
      <c r="AF8" s="34">
        <f ca="1">SQRT($B$9*SUM(AC8:OFFSET(AC8,$B$7-1,0))/($B$7-1))</f>
        <v>0.16590361604933093</v>
      </c>
      <c r="AG8" s="34">
        <f ca="1">SQRT($B$9*SUM(AC8:OFFSET(AC8,$B$8-1,0))/($B$8-1))</f>
        <v>0.18028334887629058</v>
      </c>
      <c r="AH8" s="1"/>
      <c r="AI8" s="1">
        <f t="shared" si="3"/>
        <v>2.2658619966257607E-3</v>
      </c>
      <c r="AJ8" s="4">
        <f ca="1">SQRT($B$9)*_xlfn.STDEV.S(AI8:OFFSET(AI8,$B$5-1,0))</f>
        <v>0.19684651368547137</v>
      </c>
      <c r="AK8" s="4">
        <f ca="1">SQRT($B$9)*_xlfn.STDEV.S(AI8:OFFSET(AI8,$B$6-1,0))</f>
        <v>0.15917706688863983</v>
      </c>
      <c r="AL8" s="4">
        <f ca="1">SQRT($B$9)*_xlfn.STDEV.S(AI8:OFFSET(AI8,$B$7-1,0))</f>
        <v>0.16357723233567889</v>
      </c>
      <c r="AM8" s="4">
        <f ca="1">SQRT($B$9)*_xlfn.STDEV.S(AI8:OFFSET(AI8,$B$8-1,0))</f>
        <v>0.18021234418703644</v>
      </c>
    </row>
    <row r="9" spans="1:39" x14ac:dyDescent="0.2">
      <c r="A9" s="37" t="s">
        <v>27</v>
      </c>
      <c r="B9" s="37">
        <f>走势图!K3</f>
        <v>245</v>
      </c>
      <c r="E9" s="42">
        <v>45664</v>
      </c>
      <c r="F9" s="43">
        <v>2.629</v>
      </c>
      <c r="G9" s="43">
        <v>2.6480000000000001</v>
      </c>
      <c r="H9" s="43">
        <v>2.62</v>
      </c>
      <c r="I9" s="43">
        <v>2.645</v>
      </c>
      <c r="K9" s="3">
        <f t="shared" si="4"/>
        <v>1.1300370971793279E-4</v>
      </c>
      <c r="L9" s="3">
        <f ca="1">SQRT(AVERAGE(K9:OFFSET(K9,$B$5-1,0))*$B$9/(4*LN(2)))</f>
        <v>0.18959873918460904</v>
      </c>
      <c r="M9" s="3">
        <f ca="1">SQRT(AVERAGE(K9:OFFSET(K9,$B$6-1,0))*$B$9/(4*LN(2)))</f>
        <v>0.15085158536933799</v>
      </c>
      <c r="N9" s="3">
        <f ca="1">SQRT(AVERAGE(K9:OFFSET(K9,$B$7-1,0))*$B$9/(4*LN(2)))</f>
        <v>0.14598433178584341</v>
      </c>
      <c r="O9" s="3">
        <f ca="1">SQRT(AVERAGE(K9:OFFSET(K9,$B$8-1,0))*$B$9/(4*LN(2)))</f>
        <v>0.18600012771791047</v>
      </c>
      <c r="P9" s="1"/>
      <c r="Q9" s="5">
        <f t="shared" si="0"/>
        <v>4.227161923125794E-5</v>
      </c>
      <c r="R9" s="5">
        <f ca="1">SQRT($B$9*AVERAGE((Q9:OFFSET(Q9,$B$5-1,0))))</f>
        <v>0.18232007728515243</v>
      </c>
      <c r="S9" s="5">
        <f ca="1">SQRT($B$9*AVERAGE((Q9:OFFSET(Q9,$B$6-1,0))))</f>
        <v>0.14816908820880778</v>
      </c>
      <c r="T9" s="5">
        <f ca="1">SQRT($B$9*AVERAGE((Q9:OFFSET(Q9,$B$7-1,0))))</f>
        <v>0.1410699713000125</v>
      </c>
      <c r="U9" s="5">
        <f ca="1">SQRT($B$9*AVERAGE((Q9:OFFSET(Q9,$B$8-1,0))))</f>
        <v>0.18465921101355118</v>
      </c>
      <c r="V9" s="1"/>
      <c r="W9" s="6">
        <f t="shared" si="1"/>
        <v>4.0729474460343934E-5</v>
      </c>
      <c r="X9" s="6">
        <f ca="1">SQRT($B$9*AVERAGE(W9:OFFSET(W9,$B$5-1,0)))</f>
        <v>0.17570819684592082</v>
      </c>
      <c r="Y9" s="6">
        <f ca="1">SQRT($B$9*AVERAGE(W9:OFFSET(W9,$B$6-1,0)))</f>
        <v>0.14361332373387192</v>
      </c>
      <c r="Z9" s="6">
        <f ca="1">SQRT($B$9*AVERAGE(W9:OFFSET(W9,$B$7-1,0)))</f>
        <v>0.1369897295215971</v>
      </c>
      <c r="AA9" s="6">
        <f ca="1">SQRT($B$9*AVERAGE(W9:OFFSET(W9,$B$8-1,0)))</f>
        <v>0.18313643852517486</v>
      </c>
      <c r="AB9" s="1"/>
      <c r="AC9" s="34">
        <f t="shared" si="2"/>
        <v>3.2344461325598972E-5</v>
      </c>
      <c r="AD9" s="34">
        <f ca="1">SQRT($B$9*SUM(AC9:OFFSET(AC9,$B$5-1,0))/($B$5-1))</f>
        <v>0.24716248368799387</v>
      </c>
      <c r="AE9" s="34">
        <f ca="1">SQRT($B$9*SUM(AC9:OFFSET(AC9,$B$6-1,0))/($B$6-1))</f>
        <v>0.17925017041271796</v>
      </c>
      <c r="AF9" s="34">
        <f ca="1">SQRT($B$9*SUM(AC9:OFFSET(AC9,$B$7-1,0))/($B$7-1))</f>
        <v>0.16893189933082459</v>
      </c>
      <c r="AG9" s="34">
        <f ca="1">SQRT($B$9*SUM(AC9:OFFSET(AC9,$B$8-1,0))/($B$8-1))</f>
        <v>0.18712643844546881</v>
      </c>
      <c r="AH9" s="1"/>
      <c r="AI9" s="1">
        <f t="shared" si="3"/>
        <v>5.6872191205895144E-3</v>
      </c>
      <c r="AJ9" s="4">
        <f ca="1">SQRT($B$9)*_xlfn.STDEV.S(AI9:OFFSET(AI9,$B$5-1,0))</f>
        <v>0.18365818500915565</v>
      </c>
      <c r="AK9" s="4">
        <f ca="1">SQRT($B$9)*_xlfn.STDEV.S(AI9:OFFSET(AI9,$B$6-1,0))</f>
        <v>0.17254792781166398</v>
      </c>
      <c r="AL9" s="4">
        <f ca="1">SQRT($B$9)*_xlfn.STDEV.S(AI9:OFFSET(AI9,$B$7-1,0))</f>
        <v>0.16747267657516651</v>
      </c>
      <c r="AM9" s="4">
        <f ca="1">SQRT($B$9)*_xlfn.STDEV.S(AI9:OFFSET(AI9,$B$8-1,0))</f>
        <v>0.18673117766623729</v>
      </c>
    </row>
    <row r="10" spans="1:39" x14ac:dyDescent="0.2">
      <c r="E10" s="42">
        <v>45663</v>
      </c>
      <c r="F10" s="43">
        <v>2.641</v>
      </c>
      <c r="G10" s="43">
        <v>2.6459999999999999</v>
      </c>
      <c r="H10" s="43">
        <v>2.6070000000000002</v>
      </c>
      <c r="I10" s="43">
        <v>2.63</v>
      </c>
      <c r="K10" s="3">
        <f t="shared" si="4"/>
        <v>2.2049074416287089E-4</v>
      </c>
      <c r="L10" s="3">
        <f ca="1">SQRT(AVERAGE(K10:OFFSET(K10,$B$5-1,0))*$B$9/(4*LN(2)))</f>
        <v>0.18783270468429222</v>
      </c>
      <c r="M10" s="3">
        <f ca="1">SQRT(AVERAGE(K10:OFFSET(K10,$B$6-1,0))*$B$9/(4*LN(2)))</f>
        <v>0.15384185532910757</v>
      </c>
      <c r="N10" s="3">
        <f ca="1">SQRT(AVERAGE(K10:OFFSET(K10,$B$7-1,0))*$B$9/(4*LN(2)))</f>
        <v>0.14649515989651543</v>
      </c>
      <c r="O10" s="3">
        <f ca="1">SQRT(AVERAGE(K10:OFFSET(K10,$B$8-1,0))*$B$9/(4*LN(2)))</f>
        <v>0.18779264826186662</v>
      </c>
      <c r="P10" s="1"/>
      <c r="Q10" s="5">
        <f t="shared" si="0"/>
        <v>1.0418984567790302E-4</v>
      </c>
      <c r="R10" s="5">
        <f ca="1">SQRT($B$9*AVERAGE((Q10:OFFSET(Q10,$B$5-1,0))))</f>
        <v>0.17919754270656305</v>
      </c>
      <c r="S10" s="5">
        <f ca="1">SQRT($B$9*AVERAGE((Q10:OFFSET(Q10,$B$6-1,0))))</f>
        <v>0.15129887144942722</v>
      </c>
      <c r="T10" s="5">
        <f ca="1">SQRT($B$9*AVERAGE((Q10:OFFSET(Q10,$B$7-1,0))))</f>
        <v>0.14235486030680608</v>
      </c>
      <c r="U10" s="5">
        <f ca="1">SQRT($B$9*AVERAGE((Q10:OFFSET(Q10,$B$8-1,0))))</f>
        <v>0.18706169209473658</v>
      </c>
      <c r="V10" s="1"/>
      <c r="W10" s="6">
        <f t="shared" si="1"/>
        <v>1.2528687654340289E-4</v>
      </c>
      <c r="X10" s="6">
        <f ca="1">SQRT($B$9*AVERAGE(W10:OFFSET(W10,$B$5-1,0)))</f>
        <v>0.17217302953589775</v>
      </c>
      <c r="Y10" s="6">
        <f ca="1">SQRT($B$9*AVERAGE(W10:OFFSET(W10,$B$6-1,0)))</f>
        <v>0.14787723108411707</v>
      </c>
      <c r="Z10" s="6">
        <f ca="1">SQRT($B$9*AVERAGE(W10:OFFSET(W10,$B$7-1,0)))</f>
        <v>0.13899836673971894</v>
      </c>
      <c r="AA10" s="6">
        <f ca="1">SQRT($B$9*AVERAGE(W10:OFFSET(W10,$B$8-1,0)))</f>
        <v>0.18555371421646746</v>
      </c>
      <c r="AB10" s="1"/>
      <c r="AC10" s="34">
        <f t="shared" si="2"/>
        <v>1.7420498967504344E-5</v>
      </c>
      <c r="AD10" s="34">
        <f ca="1">SQRT($B$9*SUM(AC10:OFFSET(AC10,$B$5-1,0))/($B$5-1))</f>
        <v>0.24900506649918719</v>
      </c>
      <c r="AE10" s="34">
        <f ca="1">SQRT($B$9*SUM(AC10:OFFSET(AC10,$B$6-1,0))/($B$6-1))</f>
        <v>0.18222892037408547</v>
      </c>
      <c r="AF10" s="34">
        <f ca="1">SQRT($B$9*SUM(AC10:OFFSET(AC10,$B$7-1,0))/($B$7-1))</f>
        <v>0.16773976377701291</v>
      </c>
      <c r="AG10" s="34">
        <f ca="1">SQRT($B$9*SUM(AC10:OFFSET(AC10,$B$8-1,0))/($B$8-1))</f>
        <v>0.18829366539540396</v>
      </c>
      <c r="AH10" s="1"/>
      <c r="AI10" s="1">
        <f t="shared" si="3"/>
        <v>-4.1737871253220791E-3</v>
      </c>
      <c r="AJ10" s="4">
        <f ca="1">SQRT($B$9)*_xlfn.STDEV.S(AI10:OFFSET(AI10,$B$5-1,0))</f>
        <v>0.18974442725300458</v>
      </c>
      <c r="AK10" s="4">
        <f ca="1">SQRT($B$9)*_xlfn.STDEV.S(AI10:OFFSET(AI10,$B$6-1,0))</f>
        <v>0.17684938092343272</v>
      </c>
      <c r="AL10" s="4">
        <f ca="1">SQRT($B$9)*_xlfn.STDEV.S(AI10:OFFSET(AI10,$B$7-1,0))</f>
        <v>0.16573810803938474</v>
      </c>
      <c r="AM10" s="4">
        <f ca="1">SQRT($B$9)*_xlfn.STDEV.S(AI10:OFFSET(AI10,$B$8-1,0))</f>
        <v>0.18799713063740678</v>
      </c>
    </row>
    <row r="11" spans="1:39" x14ac:dyDescent="0.2">
      <c r="E11" s="42">
        <v>45660</v>
      </c>
      <c r="F11" s="43">
        <v>2.6629999999999998</v>
      </c>
      <c r="G11" s="43">
        <v>2.6720000000000002</v>
      </c>
      <c r="H11" s="43">
        <v>2.629</v>
      </c>
      <c r="I11" s="43">
        <v>2.641</v>
      </c>
      <c r="K11" s="3">
        <f t="shared" si="4"/>
        <v>2.6320876378424989E-4</v>
      </c>
      <c r="L11" s="3">
        <f ca="1">SQRT(AVERAGE(K11:OFFSET(K11,$B$5-1,0))*$B$9/(4*LN(2)))</f>
        <v>0.18260165603177247</v>
      </c>
      <c r="M11" s="3">
        <f ca="1">SQRT(AVERAGE(K11:OFFSET(K11,$B$6-1,0))*$B$9/(4*LN(2)))</f>
        <v>0.15032323876278667</v>
      </c>
      <c r="N11" s="3">
        <f ca="1">SQRT(AVERAGE(K11:OFFSET(K11,$B$7-1,0))*$B$9/(4*LN(2)))</f>
        <v>0.14936079493951812</v>
      </c>
      <c r="O11" s="3">
        <f ca="1">SQRT(AVERAGE(K11:OFFSET(K11,$B$8-1,0))*$B$9/(4*LN(2)))</f>
        <v>0.19121880684642681</v>
      </c>
      <c r="P11" s="1"/>
      <c r="Q11" s="5">
        <f t="shared" si="0"/>
        <v>1.0500128280248616E-4</v>
      </c>
      <c r="R11" s="5">
        <f ca="1">SQRT($B$9*AVERAGE((Q11:OFFSET(Q11,$B$5-1,0))))</f>
        <v>0.17242497969862591</v>
      </c>
      <c r="S11" s="5">
        <f ca="1">SQRT($B$9*AVERAGE((Q11:OFFSET(Q11,$B$6-1,0))))</f>
        <v>0.14677341358531834</v>
      </c>
      <c r="T11" s="5">
        <f ca="1">SQRT($B$9*AVERAGE((Q11:OFFSET(Q11,$B$7-1,0))))</f>
        <v>0.14494225167568789</v>
      </c>
      <c r="U11" s="5">
        <f ca="1">SQRT($B$9*AVERAGE((Q11:OFFSET(Q11,$B$8-1,0))))</f>
        <v>0.19074312542744098</v>
      </c>
      <c r="V11" s="1"/>
      <c r="W11" s="6">
        <f t="shared" si="1"/>
        <v>9.7891646048161408E-5</v>
      </c>
      <c r="X11" s="6">
        <f ca="1">SQRT($B$9*AVERAGE(W11:OFFSET(W11,$B$5-1,0)))</f>
        <v>0.16193507304941779</v>
      </c>
      <c r="Y11" s="6">
        <f ca="1">SQRT($B$9*AVERAGE(W11:OFFSET(W11,$B$6-1,0)))</f>
        <v>0.14208699651559414</v>
      </c>
      <c r="Z11" s="6">
        <f ca="1">SQRT($B$9*AVERAGE(W11:OFFSET(W11,$B$7-1,0)))</f>
        <v>0.14067995807101336</v>
      </c>
      <c r="AA11" s="6">
        <f ca="1">SQRT($B$9*AVERAGE(W11:OFFSET(W11,$B$8-1,0)))</f>
        <v>0.18940778628303565</v>
      </c>
      <c r="AB11" s="1"/>
      <c r="AC11" s="34">
        <f t="shared" si="2"/>
        <v>9.5973604423010161E-5</v>
      </c>
      <c r="AD11" s="34">
        <f ca="1">SQRT($B$9*SUM(AC11:OFFSET(AC11,$B$5-1,0))/($B$5-1))</f>
        <v>0.24700024181965385</v>
      </c>
      <c r="AE11" s="34">
        <f ca="1">SQRT($B$9*SUM(AC11:OFFSET(AC11,$B$6-1,0))/($B$6-1))</f>
        <v>0.18157990071846303</v>
      </c>
      <c r="AF11" s="34">
        <f ca="1">SQRT($B$9*SUM(AC11:OFFSET(AC11,$B$7-1,0))/($B$7-1))</f>
        <v>0.17145831788740232</v>
      </c>
      <c r="AG11" s="34">
        <f ca="1">SQRT($B$9*SUM(AC11:OFFSET(AC11,$B$8-1,0))/($B$8-1))</f>
        <v>0.19270483317185697</v>
      </c>
      <c r="AH11" s="1"/>
      <c r="AI11" s="1">
        <f t="shared" si="3"/>
        <v>-9.796611884881944E-3</v>
      </c>
      <c r="AJ11" s="4">
        <f ca="1">SQRT($B$9)*_xlfn.STDEV.S(AI11:OFFSET(AI11,$B$5-1,0))</f>
        <v>0.19589319532442034</v>
      </c>
      <c r="AK11" s="4">
        <f ca="1">SQRT($B$9)*_xlfn.STDEV.S(AI11:OFFSET(AI11,$B$6-1,0))</f>
        <v>0.17666906209313479</v>
      </c>
      <c r="AL11" s="4">
        <f ca="1">SQRT($B$9)*_xlfn.STDEV.S(AI11:OFFSET(AI11,$B$7-1,0))</f>
        <v>0.17089678591955038</v>
      </c>
      <c r="AM11" s="4">
        <f ca="1">SQRT($B$9)*_xlfn.STDEV.S(AI11:OFFSET(AI11,$B$8-1,0))</f>
        <v>0.19213021864771873</v>
      </c>
    </row>
    <row r="12" spans="1:39" x14ac:dyDescent="0.2">
      <c r="E12" s="42">
        <v>45659</v>
      </c>
      <c r="F12" s="43">
        <v>2.7330000000000001</v>
      </c>
      <c r="G12" s="43">
        <v>2.738</v>
      </c>
      <c r="H12" s="43">
        <v>2.645</v>
      </c>
      <c r="I12" s="43">
        <v>2.6669999999999998</v>
      </c>
      <c r="K12" s="3">
        <f t="shared" si="4"/>
        <v>1.1941628578955427E-3</v>
      </c>
      <c r="L12" s="3">
        <f ca="1">SQRT(AVERAGE(K12:OFFSET(K12,$B$5-1,0))*$B$9/(4*LN(2)))</f>
        <v>0.1713588850282467</v>
      </c>
      <c r="M12" s="3">
        <f ca="1">SQRT(AVERAGE(K12:OFFSET(K12,$B$6-1,0))*$B$9/(4*LN(2)))</f>
        <v>0.14666198382349704</v>
      </c>
      <c r="N12" s="3">
        <f ca="1">SQRT(AVERAGE(K12:OFFSET(K12,$B$7-1,0))*$B$9/(4*LN(2)))</f>
        <v>0.14633897232938212</v>
      </c>
      <c r="O12" s="3">
        <f ca="1">SQRT(AVERAGE(K12:OFFSET(K12,$B$8-1,0))*$B$9/(4*LN(2)))</f>
        <v>0.19946052543859175</v>
      </c>
      <c r="P12" s="1"/>
      <c r="Q12" s="5">
        <f t="shared" si="0"/>
        <v>3.6471433067730523E-4</v>
      </c>
      <c r="R12" s="5">
        <f ca="1">SQRT($B$9*AVERAGE((Q12:OFFSET(Q12,$B$5-1,0))))</f>
        <v>0.15947442836898396</v>
      </c>
      <c r="S12" s="5">
        <f ca="1">SQRT($B$9*AVERAGE((Q12:OFFSET(Q12,$B$6-1,0))))</f>
        <v>0.14347752992336299</v>
      </c>
      <c r="T12" s="5">
        <f ca="1">SQRT($B$9*AVERAGE((Q12:OFFSET(Q12,$B$7-1,0))))</f>
        <v>0.14174135988501438</v>
      </c>
      <c r="U12" s="5">
        <f ca="1">SQRT($B$9*AVERAGE((Q12:OFFSET(Q12,$B$8-1,0))))</f>
        <v>0.20027191976999528</v>
      </c>
      <c r="V12" s="1"/>
      <c r="W12" s="6">
        <f t="shared" si="1"/>
        <v>3.191220760130746E-4</v>
      </c>
      <c r="X12" s="6">
        <f ca="1">SQRT($B$9*AVERAGE(W12:OFFSET(W12,$B$5-1,0)))</f>
        <v>0.14967025607824608</v>
      </c>
      <c r="Y12" s="6">
        <f ca="1">SQRT($B$9*AVERAGE(W12:OFFSET(W12,$B$6-1,0)))</f>
        <v>0.13923942683517937</v>
      </c>
      <c r="Z12" s="6">
        <f ca="1">SQRT($B$9*AVERAGE(W12:OFFSET(W12,$B$7-1,0)))</f>
        <v>0.13769797483443366</v>
      </c>
      <c r="AA12" s="6">
        <f ca="1">SQRT($B$9*AVERAGE(W12:OFFSET(W12,$B$8-1,0)))</f>
        <v>0.20065358702951777</v>
      </c>
      <c r="AB12" s="1"/>
      <c r="AC12" s="34">
        <f t="shared" si="2"/>
        <v>6.9029583887360736E-4</v>
      </c>
      <c r="AD12" s="34">
        <f ca="1">SQRT($B$9*SUM(AC12:OFFSET(AC12,$B$5-1,0))/($B$5-1))</f>
        <v>0.23563654814079055</v>
      </c>
      <c r="AE12" s="34">
        <f ca="1">SQRT($B$9*SUM(AC12:OFFSET(AC12,$B$6-1,0))/($B$6-1))</f>
        <v>0.17529467334370161</v>
      </c>
      <c r="AF12" s="34">
        <f ca="1">SQRT($B$9*SUM(AC12:OFFSET(AC12,$B$7-1,0))/($B$7-1))</f>
        <v>0.16857175912754779</v>
      </c>
      <c r="AG12" s="34">
        <f ca="1">SQRT($B$9*SUM(AC12:OFFSET(AC12,$B$8-1,0))/($B$8-1))</f>
        <v>0.20226313714927638</v>
      </c>
      <c r="AH12" s="1"/>
      <c r="AI12" s="1">
        <f t="shared" si="3"/>
        <v>-2.6273481666380025E-2</v>
      </c>
      <c r="AJ12" s="4">
        <f ca="1">SQRT($B$9)*_xlfn.STDEV.S(AI12:OFFSET(AI12,$B$5-1,0))</f>
        <v>0.19972607086647129</v>
      </c>
      <c r="AK12" s="4">
        <f ca="1">SQRT($B$9)*_xlfn.STDEV.S(AI12:OFFSET(AI12,$B$6-1,0))</f>
        <v>0.17237511206761419</v>
      </c>
      <c r="AL12" s="4">
        <f ca="1">SQRT($B$9)*_xlfn.STDEV.S(AI12:OFFSET(AI12,$B$7-1,0))</f>
        <v>0.16829949687083051</v>
      </c>
      <c r="AM12" s="4">
        <f ca="1">SQRT($B$9)*_xlfn.STDEV.S(AI12:OFFSET(AI12,$B$8-1,0))</f>
        <v>0.20222450846975973</v>
      </c>
    </row>
    <row r="13" spans="1:39" x14ac:dyDescent="0.2">
      <c r="E13" s="42">
        <v>45657</v>
      </c>
      <c r="F13" s="43">
        <v>2.7719999999999998</v>
      </c>
      <c r="G13" s="43">
        <v>2.7789999999999999</v>
      </c>
      <c r="H13" s="43">
        <v>2.7360000000000002</v>
      </c>
      <c r="I13" s="43">
        <v>2.738</v>
      </c>
      <c r="K13" s="3">
        <f t="shared" si="4"/>
        <v>2.4317754541274781E-4</v>
      </c>
      <c r="L13" s="3">
        <f ca="1">SQRT(AVERAGE(K13:OFFSET(K13,$B$5-1,0))*$B$9/(4*LN(2)))</f>
        <v>9.8507274251330712E-2</v>
      </c>
      <c r="M13" s="3">
        <f ca="1">SQRT(AVERAGE(K13:OFFSET(K13,$B$6-1,0))*$B$9/(4*LN(2)))</f>
        <v>0.10672000674788902</v>
      </c>
      <c r="N13" s="3">
        <f ca="1">SQRT(AVERAGE(K13:OFFSET(K13,$B$7-1,0))*$B$9/(4*LN(2)))</f>
        <v>0.12852206153234427</v>
      </c>
      <c r="O13" s="3">
        <f ca="1">SQRT(AVERAGE(K13:OFFSET(K13,$B$8-1,0))*$B$9/(4*LN(2)))</f>
        <v>0.20985724776256728</v>
      </c>
      <c r="P13" s="1"/>
      <c r="Q13" s="5">
        <f t="shared" si="0"/>
        <v>6.220272939194479E-5</v>
      </c>
      <c r="R13" s="5">
        <f ca="1">SQRT($B$9*AVERAGE((Q13:OFFSET(Q13,$B$5-1,0))))</f>
        <v>9.7631382737410136E-2</v>
      </c>
      <c r="S13" s="5">
        <f ca="1">SQRT($B$9*AVERAGE((Q13:OFFSET(Q13,$B$6-1,0))))</f>
        <v>0.11010213245065373</v>
      </c>
      <c r="T13" s="5">
        <f ca="1">SQRT($B$9*AVERAGE((Q13:OFFSET(Q13,$B$7-1,0))))</f>
        <v>0.12708176412901273</v>
      </c>
      <c r="U13" s="5">
        <f ca="1">SQRT($B$9*AVERAGE((Q13:OFFSET(Q13,$B$8-1,0))))</f>
        <v>0.20644849736782517</v>
      </c>
      <c r="V13" s="1"/>
      <c r="W13" s="6">
        <f t="shared" si="1"/>
        <v>4.7038711401238603E-5</v>
      </c>
      <c r="X13" s="6">
        <f ca="1">SQRT($B$9*AVERAGE(W13:OFFSET(W13,$B$5-1,0)))</f>
        <v>9.4179155044554499E-2</v>
      </c>
      <c r="Y13" s="6">
        <f ca="1">SQRT($B$9*AVERAGE(W13:OFFSET(W13,$B$6-1,0)))</f>
        <v>0.11015890957368421</v>
      </c>
      <c r="Z13" s="6">
        <f ca="1">SQRT($B$9*AVERAGE(W13:OFFSET(W13,$B$7-1,0)))</f>
        <v>0.12481007606851711</v>
      </c>
      <c r="AA13" s="6">
        <f ca="1">SQRT($B$9*AVERAGE(W13:OFFSET(W13,$B$8-1,0)))</f>
        <v>0.20462517615937742</v>
      </c>
      <c r="AB13" s="1"/>
      <c r="AC13" s="34">
        <f t="shared" si="2"/>
        <v>1.6134181425220308E-4</v>
      </c>
      <c r="AD13" s="34">
        <f ca="1">SQRT($B$9*SUM(AC13:OFFSET(AC13,$B$5-1,0))/($B$5-1))</f>
        <v>0.11923898297445581</v>
      </c>
      <c r="AE13" s="34">
        <f ca="1">SQRT($B$9*SUM(AC13:OFFSET(AC13,$B$6-1,0))/($B$6-1))</f>
        <v>0.11521914693405781</v>
      </c>
      <c r="AF13" s="34">
        <f ca="1">SQRT($B$9*SUM(AC13:OFFSET(AC13,$B$7-1,0))/($B$7-1))</f>
        <v>0.13975395639088975</v>
      </c>
      <c r="AG13" s="34">
        <f ca="1">SQRT($B$9*SUM(AC13:OFFSET(AC13,$B$8-1,0))/($B$8-1))</f>
        <v>0.24771234432264205</v>
      </c>
      <c r="AH13" s="1"/>
      <c r="AI13" s="1">
        <f t="shared" si="3"/>
        <v>-1.2702039767383941E-2</v>
      </c>
      <c r="AJ13" s="4">
        <f ca="1">SQRT($B$9)*_xlfn.STDEV.S(AI13:OFFSET(AI13,$B$5-1,0))</f>
        <v>0.11769568688016432</v>
      </c>
      <c r="AK13" s="4">
        <f ca="1">SQRT($B$9)*_xlfn.STDEV.S(AI13:OFFSET(AI13,$B$6-1,0))</f>
        <v>0.11288811957489028</v>
      </c>
      <c r="AL13" s="4">
        <f ca="1">SQRT($B$9)*_xlfn.STDEV.S(AI13:OFFSET(AI13,$B$7-1,0))</f>
        <v>0.13934928968569146</v>
      </c>
      <c r="AM13" s="4">
        <f ca="1">SQRT($B$9)*_xlfn.STDEV.S(AI13:OFFSET(AI13,$B$8-1,0))</f>
        <v>0.24714508489112336</v>
      </c>
    </row>
    <row r="14" spans="1:39" x14ac:dyDescent="0.2">
      <c r="E14" s="42">
        <v>45656</v>
      </c>
      <c r="F14" s="43">
        <v>2.754</v>
      </c>
      <c r="G14" s="43">
        <v>2.778</v>
      </c>
      <c r="H14" s="43">
        <v>2.754</v>
      </c>
      <c r="I14" s="43">
        <v>2.7730000000000001</v>
      </c>
      <c r="K14" s="3">
        <f t="shared" si="4"/>
        <v>7.5287622246135503E-5</v>
      </c>
      <c r="L14" s="3">
        <f ca="1">SQRT(AVERAGE(K14:OFFSET(K14,$B$5-1,0))*$B$9/(4*LN(2)))</f>
        <v>9.7799385051706378E-2</v>
      </c>
      <c r="M14" s="3">
        <f ca="1">SQRT(AVERAGE(K14:OFFSET(K14,$B$6-1,0))*$B$9/(4*LN(2)))</f>
        <v>0.10572107577520054</v>
      </c>
      <c r="N14" s="3">
        <f ca="1">SQRT(AVERAGE(K14:OFFSET(K14,$B$7-1,0))*$B$9/(4*LN(2)))</f>
        <v>0.12724032169359425</v>
      </c>
      <c r="O14" s="3">
        <f ca="1">SQRT(AVERAGE(K14:OFFSET(K14,$B$8-1,0))*$B$9/(4*LN(2)))</f>
        <v>0.2388916397199374</v>
      </c>
      <c r="P14" s="1"/>
      <c r="Q14" s="5">
        <f t="shared" si="0"/>
        <v>1.9233838227309493E-5</v>
      </c>
      <c r="R14" s="5">
        <f ca="1">SQRT($B$9*AVERAGE((Q14:OFFSET(Q14,$B$5-1,0))))</f>
        <v>0.10328381683494743</v>
      </c>
      <c r="S14" s="5">
        <f ca="1">SQRT($B$9*AVERAGE((Q14:OFFSET(Q14,$B$6-1,0))))</f>
        <v>0.11347410700443734</v>
      </c>
      <c r="T14" s="5">
        <f ca="1">SQRT($B$9*AVERAGE((Q14:OFFSET(Q14,$B$7-1,0))))</f>
        <v>0.12765800572499808</v>
      </c>
      <c r="U14" s="5">
        <f ca="1">SQRT($B$9*AVERAGE((Q14:OFFSET(Q14,$B$8-1,0))))</f>
        <v>0.22960311442748879</v>
      </c>
      <c r="V14" s="1"/>
      <c r="W14" s="6">
        <f t="shared" si="1"/>
        <v>1.5631141005737241E-5</v>
      </c>
      <c r="X14" s="6">
        <f ca="1">SQRT($B$9*AVERAGE(W14:OFFSET(W14,$B$5-1,0)))</f>
        <v>0.10186364939925795</v>
      </c>
      <c r="Y14" s="6">
        <f ca="1">SQRT($B$9*AVERAGE(W14:OFFSET(W14,$B$6-1,0)))</f>
        <v>0.11800806127203682</v>
      </c>
      <c r="Z14" s="6">
        <f ca="1">SQRT($B$9*AVERAGE(W14:OFFSET(W14,$B$7-1,0)))</f>
        <v>0.12606730116792306</v>
      </c>
      <c r="AA14" s="6">
        <f ca="1">SQRT($B$9*AVERAGE(W14:OFFSET(W14,$B$8-1,0)))</f>
        <v>0.22540148329035536</v>
      </c>
      <c r="AB14" s="1"/>
      <c r="AC14" s="34">
        <f t="shared" si="2"/>
        <v>4.7270662132893504E-5</v>
      </c>
      <c r="AD14" s="34">
        <f ca="1">SQRT($B$9*SUM(AC14:OFFSET(AC14,$B$5-1,0))/($B$5-1))</f>
        <v>0.10585182918309029</v>
      </c>
      <c r="AE14" s="34">
        <f ca="1">SQRT($B$9*SUM(AC14:OFFSET(AC14,$B$6-1,0))/($B$6-1))</f>
        <v>9.8076923318747289E-2</v>
      </c>
      <c r="AF14" s="34">
        <f ca="1">SQRT($B$9*SUM(AC14:OFFSET(AC14,$B$7-1,0))/($B$7-1))</f>
        <v>0.13341172001387788</v>
      </c>
      <c r="AG14" s="34">
        <f ca="1">SQRT($B$9*SUM(AC14:OFFSET(AC14,$B$8-1,0))/($B$8-1))</f>
        <v>0.25094515432216941</v>
      </c>
      <c r="AH14" s="1"/>
      <c r="AI14" s="1">
        <f t="shared" si="3"/>
        <v>6.8753663271780294E-3</v>
      </c>
      <c r="AJ14" s="4">
        <f ca="1">SQRT($B$9)*_xlfn.STDEV.S(AI14:OFFSET(AI14,$B$5-1,0))</f>
        <v>8.5504000369882247E-2</v>
      </c>
      <c r="AK14" s="4">
        <f ca="1">SQRT($B$9)*_xlfn.STDEV.S(AI14:OFFSET(AI14,$B$6-1,0))</f>
        <v>8.2782685434004216E-2</v>
      </c>
      <c r="AL14" s="4">
        <f ca="1">SQRT($B$9)*_xlfn.STDEV.S(AI14:OFFSET(AI14,$B$7-1,0))</f>
        <v>0.13104882053305936</v>
      </c>
      <c r="AM14" s="4">
        <f ca="1">SQRT($B$9)*_xlfn.STDEV.S(AI14:OFFSET(AI14,$B$8-1,0))</f>
        <v>0.25084052767371495</v>
      </c>
    </row>
    <row r="15" spans="1:39" x14ac:dyDescent="0.2">
      <c r="E15" s="42">
        <v>45653</v>
      </c>
      <c r="F15" s="43">
        <v>2.754</v>
      </c>
      <c r="G15" s="43">
        <v>2.7690000000000001</v>
      </c>
      <c r="H15" s="43">
        <v>2.74</v>
      </c>
      <c r="I15" s="43">
        <v>2.754</v>
      </c>
      <c r="K15" s="3">
        <f t="shared" si="4"/>
        <v>1.1084560180277709E-4</v>
      </c>
      <c r="L15" s="3">
        <f ca="1">SQRT(AVERAGE(K15:OFFSET(K15,$B$5-1,0))*$B$9/(4*LN(2)))</f>
        <v>0.10978846912671479</v>
      </c>
      <c r="M15" s="3">
        <f ca="1">SQRT(AVERAGE(K15:OFFSET(K15,$B$6-1,0))*$B$9/(4*LN(2)))</f>
        <v>0.10368968794860525</v>
      </c>
      <c r="N15" s="3">
        <f ca="1">SQRT(AVERAGE(K15:OFFSET(K15,$B$7-1,0))*$B$9/(4*LN(2)))</f>
        <v>0.12871904353352542</v>
      </c>
      <c r="O15" s="3">
        <f ca="1">SQRT(AVERAGE(K15:OFFSET(K15,$B$8-1,0))*$B$9/(4*LN(2)))</f>
        <v>0.25692648656129863</v>
      </c>
      <c r="P15" s="1"/>
      <c r="Q15" s="5">
        <f t="shared" si="0"/>
        <v>5.5590137759557676E-5</v>
      </c>
      <c r="R15" s="5">
        <f ca="1">SQRT($B$9*AVERAGE((Q15:OFFSET(Q15,$B$5-1,0))))</f>
        <v>0.11692278516897435</v>
      </c>
      <c r="S15" s="5">
        <f ca="1">SQRT($B$9*AVERAGE((Q15:OFFSET(Q15,$B$6-1,0))))</f>
        <v>0.1127720247206833</v>
      </c>
      <c r="T15" s="5">
        <f ca="1">SQRT($B$9*AVERAGE((Q15:OFFSET(Q15,$B$7-1,0))))</f>
        <v>0.13032097558753189</v>
      </c>
      <c r="U15" s="5">
        <f ca="1">SQRT($B$9*AVERAGE((Q15:OFFSET(Q15,$B$8-1,0))))</f>
        <v>0.25088526781180137</v>
      </c>
      <c r="V15" s="1"/>
      <c r="W15" s="6">
        <f t="shared" si="1"/>
        <v>5.5479035399548786E-5</v>
      </c>
      <c r="X15" s="6">
        <f ca="1">SQRT($B$9*AVERAGE(W15:OFFSET(W15,$B$5-1,0)))</f>
        <v>0.11870888276216569</v>
      </c>
      <c r="Y15" s="6">
        <f ca="1">SQRT($B$9*AVERAGE(W15:OFFSET(W15,$B$6-1,0)))</f>
        <v>0.11770837932522549</v>
      </c>
      <c r="Z15" s="6">
        <f ca="1">SQRT($B$9*AVERAGE(W15:OFFSET(W15,$B$7-1,0)))</f>
        <v>0.12897254033711514</v>
      </c>
      <c r="AA15" s="6">
        <f ca="1">SQRT($B$9*AVERAGE(W15:OFFSET(W15,$B$8-1,0)))</f>
        <v>0.24685147565029961</v>
      </c>
      <c r="AB15" s="1"/>
      <c r="AC15" s="34">
        <f t="shared" si="2"/>
        <v>1.1853367912243556E-6</v>
      </c>
      <c r="AD15" s="34">
        <f ca="1">SQRT($B$9*SUM(AC15:OFFSET(AC15,$B$5-1,0))/($B$5-1))</f>
        <v>0.11275229733500396</v>
      </c>
      <c r="AE15" s="34">
        <f ca="1">SQRT($B$9*SUM(AC15:OFFSET(AC15,$B$6-1,0))/($B$6-1))</f>
        <v>9.161087313495557E-2</v>
      </c>
      <c r="AF15" s="34">
        <f ca="1">SQRT($B$9*SUM(AC15:OFFSET(AC15,$B$7-1,0))/($B$7-1))</f>
        <v>0.13193179168055119</v>
      </c>
      <c r="AG15" s="34">
        <f ca="1">SQRT($B$9*SUM(AC15:OFFSET(AC15,$B$8-1,0))/($B$8-1))</f>
        <v>0.28408791827095808</v>
      </c>
      <c r="AH15" s="1"/>
      <c r="AI15" s="1">
        <f t="shared" si="3"/>
        <v>-1.0887317351966717E-3</v>
      </c>
      <c r="AJ15" s="4">
        <f ca="1">SQRT($B$9)*_xlfn.STDEV.S(AI15:OFFSET(AI15,$B$5-1,0))</f>
        <v>8.9929380324747274E-2</v>
      </c>
      <c r="AK15" s="4">
        <f ca="1">SQRT($B$9)*_xlfn.STDEV.S(AI15:OFFSET(AI15,$B$6-1,0))</f>
        <v>8.2991051665605442E-2</v>
      </c>
      <c r="AL15" s="4">
        <f ca="1">SQRT($B$9)*_xlfn.STDEV.S(AI15:OFFSET(AI15,$B$7-1,0))</f>
        <v>0.12995199473692914</v>
      </c>
      <c r="AM15" s="4">
        <f ca="1">SQRT($B$9)*_xlfn.STDEV.S(AI15:OFFSET(AI15,$B$8-1,0))</f>
        <v>0.28396863110213444</v>
      </c>
    </row>
    <row r="16" spans="1:39" x14ac:dyDescent="0.2">
      <c r="E16" s="42">
        <v>45652</v>
      </c>
      <c r="F16" s="43">
        <v>2.7629999999999999</v>
      </c>
      <c r="G16" s="43">
        <v>2.7650000000000001</v>
      </c>
      <c r="H16" s="43">
        <v>2.7480000000000002</v>
      </c>
      <c r="I16" s="43">
        <v>2.7570000000000001</v>
      </c>
      <c r="K16" s="3">
        <f t="shared" si="4"/>
        <v>3.8035103483403613E-5</v>
      </c>
      <c r="L16" s="3">
        <f ca="1">SQRT(AVERAGE(K16:OFFSET(K16,$B$5-1,0))*$B$9/(4*LN(2)))</f>
        <v>0.10886132205113898</v>
      </c>
      <c r="M16" s="3">
        <f ca="1">SQRT(AVERAGE(K16:OFFSET(K16,$B$6-1,0))*$B$9/(4*LN(2)))</f>
        <v>0.11873328129889987</v>
      </c>
      <c r="N16" s="3">
        <f ca="1">SQRT(AVERAGE(K16:OFFSET(K16,$B$7-1,0))*$B$9/(4*LN(2)))</f>
        <v>0.13269499253817332</v>
      </c>
      <c r="O16" s="3">
        <f ca="1">SQRT(AVERAGE(K16:OFFSET(K16,$B$8-1,0))*$B$9/(4*LN(2)))</f>
        <v>0.27327797544619892</v>
      </c>
      <c r="P16" s="1"/>
      <c r="Q16" s="5">
        <f t="shared" si="0"/>
        <v>1.7281276262539849E-5</v>
      </c>
      <c r="R16" s="5">
        <f ca="1">SQRT($B$9*AVERAGE((Q16:OFFSET(Q16,$B$5-1,0))))</f>
        <v>0.11556165560817422</v>
      </c>
      <c r="S16" s="5">
        <f ca="1">SQRT($B$9*AVERAGE((Q16:OFFSET(Q16,$B$6-1,0))))</f>
        <v>0.11823485173896765</v>
      </c>
      <c r="T16" s="5">
        <f ca="1">SQRT($B$9*AVERAGE((Q16:OFFSET(Q16,$B$7-1,0))))</f>
        <v>0.13528036806048943</v>
      </c>
      <c r="U16" s="5">
        <f ca="1">SQRT($B$9*AVERAGE((Q16:OFFSET(Q16,$B$8-1,0))))</f>
        <v>0.27226456564667595</v>
      </c>
      <c r="V16" s="1"/>
      <c r="W16" s="6">
        <f t="shared" si="1"/>
        <v>1.9896088313620272E-5</v>
      </c>
      <c r="X16" s="6">
        <f ca="1">SQRT($B$9*AVERAGE(W16:OFFSET(W16,$B$5-1,0)))</f>
        <v>0.118972523189704</v>
      </c>
      <c r="Y16" s="6">
        <f ca="1">SQRT($B$9*AVERAGE(W16:OFFSET(W16,$B$6-1,0)))</f>
        <v>0.11939423613071667</v>
      </c>
      <c r="Z16" s="6">
        <f ca="1">SQRT($B$9*AVERAGE(W16:OFFSET(W16,$B$7-1,0)))</f>
        <v>0.13720204400097893</v>
      </c>
      <c r="AA16" s="6">
        <f ca="1">SQRT($B$9*AVERAGE(W16:OFFSET(W16,$B$8-1,0)))</f>
        <v>0.26874793820163301</v>
      </c>
      <c r="AB16" s="1"/>
      <c r="AC16" s="34">
        <f t="shared" si="2"/>
        <v>6.4301490881467263E-6</v>
      </c>
      <c r="AD16" s="34">
        <f ca="1">SQRT($B$9*SUM(AC16:OFFSET(AC16,$B$5-1,0))/($B$5-1))</f>
        <v>0.11478770107079438</v>
      </c>
      <c r="AE16" s="34">
        <f ca="1">SQRT($B$9*SUM(AC16:OFFSET(AC16,$B$6-1,0))/($B$6-1))</f>
        <v>0.15759657635372173</v>
      </c>
      <c r="AF16" s="34">
        <f ca="1">SQRT($B$9*SUM(AC16:OFFSET(AC16,$B$7-1,0))/($B$7-1))</f>
        <v>0.13354995640300418</v>
      </c>
      <c r="AG16" s="34">
        <f ca="1">SQRT($B$9*SUM(AC16:OFFSET(AC16,$B$8-1,0))/($B$8-1))</f>
        <v>0.29536882799276593</v>
      </c>
      <c r="AH16" s="1"/>
      <c r="AI16" s="1">
        <f t="shared" si="3"/>
        <v>-2.5357738637636295E-3</v>
      </c>
      <c r="AJ16" s="4">
        <f ca="1">SQRT($B$9)*_xlfn.STDEV.S(AI16:OFFSET(AI16,$B$5-1,0))</f>
        <v>9.6939925377924951E-2</v>
      </c>
      <c r="AK16" s="4">
        <f ca="1">SQRT($B$9)*_xlfn.STDEV.S(AI16:OFFSET(AI16,$B$6-1,0))</f>
        <v>0.15759657635372176</v>
      </c>
      <c r="AL16" s="4">
        <f ca="1">SQRT($B$9)*_xlfn.STDEV.S(AI16:OFFSET(AI16,$B$7-1,0))</f>
        <v>0.1305038909505376</v>
      </c>
      <c r="AM16" s="4">
        <f ca="1">SQRT($B$9)*_xlfn.STDEV.S(AI16:OFFSET(AI16,$B$8-1,0))</f>
        <v>0.29475967889744897</v>
      </c>
    </row>
    <row r="17" spans="1:39" x14ac:dyDescent="0.2">
      <c r="E17" s="42">
        <v>45651</v>
      </c>
      <c r="F17" s="43">
        <v>2.76</v>
      </c>
      <c r="G17" s="43">
        <v>2.778</v>
      </c>
      <c r="H17" s="43">
        <v>2.7530000000000001</v>
      </c>
      <c r="I17" s="43">
        <v>2.7639999999999998</v>
      </c>
      <c r="K17" s="3">
        <f t="shared" si="4"/>
        <v>8.1721928544334913E-5</v>
      </c>
      <c r="L17" s="3">
        <f ca="1">SQRT(AVERAGE(K17:OFFSET(K17,$B$5-1,0))*$B$9/(4*LN(2)))</f>
        <v>0.11685720996140353</v>
      </c>
      <c r="M17" s="3">
        <f ca="1">SQRT(AVERAGE(K17:OFFSET(K17,$B$6-1,0))*$B$9/(4*LN(2)))</f>
        <v>0.12434786031027359</v>
      </c>
      <c r="N17" s="3">
        <f ca="1">SQRT(AVERAGE(K17:OFFSET(K17,$B$7-1,0))*$B$9/(4*LN(2)))</f>
        <v>0.13480466734512314</v>
      </c>
      <c r="O17" s="3">
        <f ca="1">SQRT(AVERAGE(K17:OFFSET(K17,$B$8-1,0))*$B$9/(4*LN(2)))</f>
        <v>0.28153901655514074</v>
      </c>
      <c r="P17" s="1"/>
      <c r="Q17" s="5">
        <f t="shared" si="0"/>
        <v>4.0220322342702624E-5</v>
      </c>
      <c r="R17" s="5">
        <f ca="1">SQRT($B$9*AVERAGE((Q17:OFFSET(Q17,$B$5-1,0))))</f>
        <v>0.12545720338906349</v>
      </c>
      <c r="S17" s="5">
        <f ca="1">SQRT($B$9*AVERAGE((Q17:OFFSET(Q17,$B$6-1,0))))</f>
        <v>0.12184982405802215</v>
      </c>
      <c r="T17" s="5">
        <f ca="1">SQRT($B$9*AVERAGE((Q17:OFFSET(Q17,$B$7-1,0))))</f>
        <v>0.13770686995154124</v>
      </c>
      <c r="U17" s="5">
        <f ca="1">SQRT($B$9*AVERAGE((Q17:OFFSET(Q17,$B$8-1,0))))</f>
        <v>0.27494723286013673</v>
      </c>
      <c r="V17" s="1"/>
      <c r="W17" s="6">
        <f t="shared" si="1"/>
        <v>4.2969579898349732E-5</v>
      </c>
      <c r="X17" s="6">
        <f ca="1">SQRT($B$9*AVERAGE(W17:OFFSET(W17,$B$5-1,0)))</f>
        <v>0.1279611285361722</v>
      </c>
      <c r="Y17" s="6">
        <f ca="1">SQRT($B$9*AVERAGE(W17:OFFSET(W17,$B$6-1,0)))</f>
        <v>0.12180672990563672</v>
      </c>
      <c r="Z17" s="6">
        <f ca="1">SQRT($B$9*AVERAGE(W17:OFFSET(W17,$B$7-1,0)))</f>
        <v>0.13962248816109513</v>
      </c>
      <c r="AA17" s="6">
        <f ca="1">SQRT($B$9*AVERAGE(W17:OFFSET(W17,$B$8-1,0)))</f>
        <v>0.26892234327385151</v>
      </c>
      <c r="AB17" s="1"/>
      <c r="AC17" s="34">
        <f t="shared" ref="AC17:AC80" si="5">(LN(I17/I18))^2</f>
        <v>1.5901589748308889E-5</v>
      </c>
      <c r="AD17" s="34">
        <f ca="1">SQRT($B$9*SUM(AC17:OFFSET(AC17,$B$5-1,0))/($B$5-1))</f>
        <v>0.11667869476177632</v>
      </c>
      <c r="AE17" s="34">
        <f ca="1">SQRT($B$9*SUM(AC17:OFFSET(AC17,$B$6-1,0))/($B$6-1))</f>
        <v>0.16775709557931526</v>
      </c>
      <c r="AF17" s="34">
        <f ca="1">SQRT($B$9*SUM(AC17:OFFSET(AC17,$B$7-1,0))/($B$7-1))</f>
        <v>0.13433796104756196</v>
      </c>
      <c r="AG17" s="34">
        <f ca="1">SQRT($B$9*SUM(AC17:OFFSET(AC17,$B$8-1,0))/($B$8-1))</f>
        <v>0.31526682188300331</v>
      </c>
      <c r="AH17" s="1"/>
      <c r="AI17" s="1">
        <f t="shared" si="3"/>
        <v>3.9876797449530585E-3</v>
      </c>
      <c r="AJ17" s="4">
        <f ca="1">SQRT($B$9)*_xlfn.STDEV.S(AI17:OFFSET(AI17,$B$5-1,0))</f>
        <v>0.10155408664941315</v>
      </c>
      <c r="AK17" s="4">
        <f ca="1">SQRT($B$9)*_xlfn.STDEV.S(AI17:OFFSET(AI17,$B$6-1,0))</f>
        <v>0.16619489821246428</v>
      </c>
      <c r="AL17" s="4">
        <f ca="1">SQRT($B$9)*_xlfn.STDEV.S(AI17:OFFSET(AI17,$B$7-1,0))</f>
        <v>0.13168567027058126</v>
      </c>
      <c r="AM17" s="4">
        <f ca="1">SQRT($B$9)*_xlfn.STDEV.S(AI17:OFFSET(AI17,$B$8-1,0))</f>
        <v>0.31344183355262484</v>
      </c>
    </row>
    <row r="18" spans="1:39" x14ac:dyDescent="0.2">
      <c r="E18" s="42">
        <v>45650</v>
      </c>
      <c r="F18" s="43">
        <v>2.7280000000000002</v>
      </c>
      <c r="G18" s="43">
        <v>2.7589999999999999</v>
      </c>
      <c r="H18" s="43">
        <v>2.7170000000000001</v>
      </c>
      <c r="I18" s="43">
        <v>2.7530000000000001</v>
      </c>
      <c r="K18" s="3">
        <f t="shared" si="4"/>
        <v>2.3531451978722637E-4</v>
      </c>
      <c r="L18" s="3">
        <f ca="1">SQRT(AVERAGE(K18:OFFSET(K18,$B$5-1,0))*$B$9/(4*LN(2)))</f>
        <v>0.11434437721248945</v>
      </c>
      <c r="M18" s="3">
        <f ca="1">SQRT(AVERAGE(K18:OFFSET(K18,$B$6-1,0))*$B$9/(4*LN(2)))</f>
        <v>0.12441405298469506</v>
      </c>
      <c r="N18" s="3">
        <f ca="1">SQRT(AVERAGE(K18:OFFSET(K18,$B$7-1,0))*$B$9/(4*LN(2)))</f>
        <v>0.13775648936516255</v>
      </c>
      <c r="O18" s="3">
        <f ca="1">SQRT(AVERAGE(K18:OFFSET(K18,$B$8-1,0))*$B$9/(4*LN(2)))</f>
        <v>0.28237116204232643</v>
      </c>
      <c r="P18" s="1"/>
      <c r="Q18" s="5">
        <f t="shared" si="0"/>
        <v>8.5379462550644797E-5</v>
      </c>
      <c r="R18" s="5">
        <f ca="1">SQRT($B$9*AVERAGE((Q18:OFFSET(Q18,$B$5-1,0))))</f>
        <v>0.12129745358062519</v>
      </c>
      <c r="S18" s="5">
        <f ca="1">SQRT($B$9*AVERAGE((Q18:OFFSET(Q18,$B$6-1,0))))</f>
        <v>0.12138421300549086</v>
      </c>
      <c r="T18" s="5">
        <f ca="1">SQRT($B$9*AVERAGE((Q18:OFFSET(Q18,$B$7-1,0))))</f>
        <v>0.13936757132004232</v>
      </c>
      <c r="U18" s="5">
        <f ca="1">SQRT($B$9*AVERAGE((Q18:OFFSET(Q18,$B$8-1,0))))</f>
        <v>0.27613725090539132</v>
      </c>
      <c r="V18" s="1"/>
      <c r="W18" s="6">
        <f t="shared" si="1"/>
        <v>7.7783401687538738E-5</v>
      </c>
      <c r="X18" s="6">
        <f ca="1">SQRT($B$9*AVERAGE(W18:OFFSET(W18,$B$5-1,0)))</f>
        <v>0.12409777383990428</v>
      </c>
      <c r="Y18" s="6">
        <f ca="1">SQRT($B$9*AVERAGE(W18:OFFSET(W18,$B$6-1,0)))</f>
        <v>0.12110953837784127</v>
      </c>
      <c r="Z18" s="6">
        <f ca="1">SQRT($B$9*AVERAGE(W18:OFFSET(W18,$B$7-1,0)))</f>
        <v>0.14066368857511902</v>
      </c>
      <c r="AA18" s="6">
        <f ca="1">SQRT($B$9*AVERAGE(W18:OFFSET(W18,$B$8-1,0)))</f>
        <v>0.27075064238334196</v>
      </c>
      <c r="AB18" s="1"/>
      <c r="AC18" s="34">
        <f t="shared" si="5"/>
        <v>1.1214466618075103E-4</v>
      </c>
      <c r="AD18" s="34">
        <f ca="1">SQRT($B$9*SUM(AC18:OFFSET(AC18,$B$5-1,0))/($B$5-1))</f>
        <v>0.12510728010269603</v>
      </c>
      <c r="AE18" s="34">
        <f ca="1">SQRT($B$9*SUM(AC18:OFFSET(AC18,$B$6-1,0))/($B$6-1))</f>
        <v>0.16996671420213141</v>
      </c>
      <c r="AF18" s="34">
        <f ca="1">SQRT($B$9*SUM(AC18:OFFSET(AC18,$B$7-1,0))/($B$7-1))</f>
        <v>0.14012723847571865</v>
      </c>
      <c r="AG18" s="34">
        <f ca="1">SQRT($B$9*SUM(AC18:OFFSET(AC18,$B$8-1,0))/($B$8-1))</f>
        <v>0.31613639394398735</v>
      </c>
      <c r="AH18" s="1"/>
      <c r="AI18" s="1">
        <f t="shared" si="3"/>
        <v>1.0589837873204246E-2</v>
      </c>
      <c r="AJ18" s="4">
        <f ca="1">SQRT($B$9)*_xlfn.STDEV.S(AI18:OFFSET(AI18,$B$5-1,0))</f>
        <v>0.10498881075933839</v>
      </c>
      <c r="AK18" s="4">
        <f ca="1">SQRT($B$9)*_xlfn.STDEV.S(AI18:OFFSET(AI18,$B$6-1,0))</f>
        <v>0.1698808259516244</v>
      </c>
      <c r="AL18" s="4">
        <f ca="1">SQRT($B$9)*_xlfn.STDEV.S(AI18:OFFSET(AI18,$B$7-1,0))</f>
        <v>0.13622673371839067</v>
      </c>
      <c r="AM18" s="4">
        <f ca="1">SQRT($B$9)*_xlfn.STDEV.S(AI18:OFFSET(AI18,$B$8-1,0))</f>
        <v>0.31407699902039649</v>
      </c>
    </row>
    <row r="19" spans="1:39" x14ac:dyDescent="0.2">
      <c r="E19" s="42">
        <v>45649</v>
      </c>
      <c r="F19" s="43">
        <v>2.7010000000000001</v>
      </c>
      <c r="G19" s="43">
        <v>2.7410000000000001</v>
      </c>
      <c r="H19" s="43">
        <v>2.7010000000000001</v>
      </c>
      <c r="I19" s="43">
        <v>2.7240000000000002</v>
      </c>
      <c r="K19" s="3">
        <f t="shared" si="4"/>
        <v>2.1611183035032873E-4</v>
      </c>
      <c r="L19" s="3">
        <f ca="1">SQRT(AVERAGE(K19:OFFSET(K19,$B$5-1,0))*$B$9/(4*LN(2)))</f>
        <v>0.11308922145650956</v>
      </c>
      <c r="M19" s="3">
        <f ca="1">SQRT(AVERAGE(K19:OFFSET(K19,$B$6-1,0))*$B$9/(4*LN(2)))</f>
        <v>0.14094910232234809</v>
      </c>
      <c r="N19" s="3">
        <f ca="1">SQRT(AVERAGE(K19:OFFSET(K19,$B$7-1,0))*$B$9/(4*LN(2)))</f>
        <v>0.1371700271993225</v>
      </c>
      <c r="O19" s="3">
        <f ca="1">SQRT(AVERAGE(K19:OFFSET(K19,$B$8-1,0))*$B$9/(4*LN(2)))</f>
        <v>0.28672746043956332</v>
      </c>
      <c r="P19" s="1"/>
      <c r="Q19" s="5">
        <f t="shared" si="0"/>
        <v>8.0527529485986208E-5</v>
      </c>
      <c r="R19" s="5">
        <f ca="1">SQRT($B$9*AVERAGE((Q19:OFFSET(Q19,$B$5-1,0))))</f>
        <v>0.12282181850515822</v>
      </c>
      <c r="S19" s="5">
        <f ca="1">SQRT($B$9*AVERAGE((Q19:OFFSET(Q19,$B$6-1,0))))</f>
        <v>0.13359414247841575</v>
      </c>
      <c r="T19" s="5">
        <f ca="1">SQRT($B$9*AVERAGE((Q19:OFFSET(Q19,$B$7-1,0))))</f>
        <v>0.13905589312201519</v>
      </c>
      <c r="U19" s="5">
        <f ca="1">SQRT($B$9*AVERAGE((Q19:OFFSET(Q19,$B$8-1,0))))</f>
        <v>0.27817250814516775</v>
      </c>
      <c r="V19" s="1"/>
      <c r="W19" s="6">
        <f t="shared" si="1"/>
        <v>9.145962626505672E-5</v>
      </c>
      <c r="X19" s="6">
        <f ca="1">SQRT($B$9*AVERAGE(W19:OFFSET(W19,$B$5-1,0)))</f>
        <v>0.13219531754731195</v>
      </c>
      <c r="Y19" s="6">
        <f ca="1">SQRT($B$9*AVERAGE(W19:OFFSET(W19,$B$6-1,0)))</f>
        <v>0.13002917070761763</v>
      </c>
      <c r="Z19" s="6">
        <f ca="1">SQRT($B$9*AVERAGE(W19:OFFSET(W19,$B$7-1,0)))</f>
        <v>0.14115876699756646</v>
      </c>
      <c r="AA19" s="6">
        <f ca="1">SQRT($B$9*AVERAGE(W19:OFFSET(W19,$B$8-1,0)))</f>
        <v>0.27170818642169869</v>
      </c>
      <c r="AB19" s="1"/>
      <c r="AC19" s="34">
        <f t="shared" si="5"/>
        <v>7.1898757037628394E-5</v>
      </c>
      <c r="AD19" s="34">
        <f ca="1">SQRT($B$9*SUM(AC19:OFFSET(AC19,$B$5-1,0))/($B$5-1))</f>
        <v>0.10216812984416719</v>
      </c>
      <c r="AE19" s="34">
        <f ca="1">SQRT($B$9*SUM(AC19:OFFSET(AC19,$B$6-1,0))/($B$6-1))</f>
        <v>0.16767897015228614</v>
      </c>
      <c r="AF19" s="34">
        <f ca="1">SQRT($B$9*SUM(AC19:OFFSET(AC19,$B$7-1,0))/($B$7-1))</f>
        <v>0.13552676052675816</v>
      </c>
      <c r="AG19" s="34">
        <f ca="1">SQRT($B$9*SUM(AC19:OFFSET(AC19,$B$8-1,0))/($B$8-1))</f>
        <v>0.33158610583962278</v>
      </c>
      <c r="AH19" s="1"/>
      <c r="AI19" s="1">
        <f t="shared" si="3"/>
        <v>8.4793134767873982E-3</v>
      </c>
      <c r="AJ19" s="4">
        <f ca="1">SQRT($B$9)*_xlfn.STDEV.S(AI19:OFFSET(AI19,$B$5-1,0))</f>
        <v>8.9558554341227059E-2</v>
      </c>
      <c r="AK19" s="4">
        <f ca="1">SQRT($B$9)*_xlfn.STDEV.S(AI19:OFFSET(AI19,$B$6-1,0))</f>
        <v>0.16765156867080963</v>
      </c>
      <c r="AL19" s="4">
        <f ca="1">SQRT($B$9)*_xlfn.STDEV.S(AI19:OFFSET(AI19,$B$7-1,0))</f>
        <v>0.13274636337292714</v>
      </c>
      <c r="AM19" s="4">
        <f ca="1">SQRT($B$9)*_xlfn.STDEV.S(AI19:OFFSET(AI19,$B$8-1,0))</f>
        <v>0.32831631871746575</v>
      </c>
    </row>
    <row r="20" spans="1:39" x14ac:dyDescent="0.2">
      <c r="E20" s="42">
        <v>45646</v>
      </c>
      <c r="F20" s="43">
        <v>2.7050000000000001</v>
      </c>
      <c r="G20" s="43">
        <v>2.722</v>
      </c>
      <c r="H20" s="43">
        <v>2.6949999999999998</v>
      </c>
      <c r="I20" s="43">
        <v>2.7010000000000001</v>
      </c>
      <c r="K20" s="3">
        <f t="shared" si="4"/>
        <v>9.9374977064520993E-5</v>
      </c>
      <c r="L20" s="3">
        <f ca="1">SQRT(AVERAGE(K20:OFFSET(K20,$B$5-1,0))*$B$9/(4*LN(2)))</f>
        <v>9.720902643566931E-2</v>
      </c>
      <c r="M20" s="3">
        <f ca="1">SQRT(AVERAGE(K20:OFFSET(K20,$B$6-1,0))*$B$9/(4*LN(2)))</f>
        <v>0.13876003493480818</v>
      </c>
      <c r="N20" s="3">
        <f ca="1">SQRT(AVERAGE(K20:OFFSET(K20,$B$7-1,0))*$B$9/(4*LN(2)))</f>
        <v>0.1403386928483554</v>
      </c>
      <c r="O20" s="3">
        <f ca="1">SQRT(AVERAGE(K20:OFFSET(K20,$B$8-1,0))*$B$9/(4*LN(2)))</f>
        <v>0.28644455576666428</v>
      </c>
      <c r="P20" s="1"/>
      <c r="Q20" s="5">
        <f t="shared" si="0"/>
        <v>4.9132149090825761E-5</v>
      </c>
      <c r="R20" s="5">
        <f ca="1">SQRT($B$9*AVERAGE((Q20:OFFSET(Q20,$B$5-1,0))))</f>
        <v>0.10846253467227608</v>
      </c>
      <c r="S20" s="5">
        <f ca="1">SQRT($B$9*AVERAGE((Q20:OFFSET(Q20,$B$6-1,0))))</f>
        <v>0.13280987916593498</v>
      </c>
      <c r="T20" s="5">
        <f ca="1">SQRT($B$9*AVERAGE((Q20:OFFSET(Q20,$B$7-1,0))))</f>
        <v>0.14313639881206644</v>
      </c>
      <c r="U20" s="5">
        <f ca="1">SQRT($B$9*AVERAGE((Q20:OFFSET(Q20,$B$8-1,0))))</f>
        <v>0.27792995800150433</v>
      </c>
      <c r="V20" s="1"/>
      <c r="W20" s="6">
        <f t="shared" si="1"/>
        <v>5.6757860450223441E-5</v>
      </c>
      <c r="X20" s="6">
        <f ca="1">SQRT($B$9*AVERAGE(W20:OFFSET(W20,$B$5-1,0)))</f>
        <v>0.11669929854159684</v>
      </c>
      <c r="Y20" s="6">
        <f ca="1">SQRT($B$9*AVERAGE(W20:OFFSET(W20,$B$6-1,0)))</f>
        <v>0.1295122250581521</v>
      </c>
      <c r="Z20" s="6">
        <f ca="1">SQRT($B$9*AVERAGE(W20:OFFSET(W20,$B$7-1,0)))</f>
        <v>0.14430119529358063</v>
      </c>
      <c r="AA20" s="6">
        <f ca="1">SQRT($B$9*AVERAGE(W20:OFFSET(W20,$B$8-1,0)))</f>
        <v>0.27144588826312299</v>
      </c>
      <c r="AB20" s="1"/>
      <c r="AC20" s="34">
        <f t="shared" si="5"/>
        <v>8.746737000153501E-6</v>
      </c>
      <c r="AD20" s="34">
        <f ca="1">SQRT($B$9*SUM(AC20:OFFSET(AC20,$B$5-1,0))/($B$5-1))</f>
        <v>7.8550376306634861E-2</v>
      </c>
      <c r="AE20" s="34">
        <f ca="1">SQRT($B$9*SUM(AC20:OFFSET(AC20,$B$6-1,0))/($B$6-1))</f>
        <v>0.16183994971062915</v>
      </c>
      <c r="AF20" s="34">
        <f ca="1">SQRT($B$9*SUM(AC20:OFFSET(AC20,$B$7-1,0))/($B$7-1))</f>
        <v>0.13556233903985443</v>
      </c>
      <c r="AG20" s="34">
        <f ca="1">SQRT($B$9*SUM(AC20:OFFSET(AC20,$B$8-1,0))/($B$8-1))</f>
        <v>0.33119235461053259</v>
      </c>
      <c r="AH20" s="1"/>
      <c r="AI20" s="1">
        <f t="shared" si="3"/>
        <v>-2.9574882924795327E-3</v>
      </c>
      <c r="AJ20" s="4">
        <f ca="1">SQRT($B$9)*_xlfn.STDEV.S(AI20:OFFSET(AI20,$B$5-1,0))</f>
        <v>7.7240890232936232E-2</v>
      </c>
      <c r="AK20" s="4">
        <f ca="1">SQRT($B$9)*_xlfn.STDEV.S(AI20:OFFSET(AI20,$B$6-1,0))</f>
        <v>0.16158179418887994</v>
      </c>
      <c r="AL20" s="4">
        <f ca="1">SQRT($B$9)*_xlfn.STDEV.S(AI20:OFFSET(AI20,$B$7-1,0))</f>
        <v>0.13487246266874764</v>
      </c>
      <c r="AM20" s="4">
        <f ca="1">SQRT($B$9)*_xlfn.STDEV.S(AI20:OFFSET(AI20,$B$8-1,0))</f>
        <v>0.32811928647843502</v>
      </c>
    </row>
    <row r="21" spans="1:39" x14ac:dyDescent="0.2">
      <c r="A21" s="2"/>
      <c r="E21" s="42">
        <v>45645</v>
      </c>
      <c r="F21" s="43">
        <v>2.7</v>
      </c>
      <c r="G21" s="43">
        <v>2.7189999999999999</v>
      </c>
      <c r="H21" s="43">
        <v>2.6869999999999998</v>
      </c>
      <c r="I21" s="43">
        <v>2.7090000000000001</v>
      </c>
      <c r="K21" s="3">
        <f t="shared" si="4"/>
        <v>1.4015803823692958E-4</v>
      </c>
      <c r="L21" s="3">
        <f ca="1">SQRT(AVERAGE(K21:OFFSET(K21,$B$5-1,0))*$B$9/(4*LN(2)))</f>
        <v>0.12784520615684256</v>
      </c>
      <c r="M21" s="3">
        <f ca="1">SQRT(AVERAGE(K21:OFFSET(K21,$B$6-1,0))*$B$9/(4*LN(2)))</f>
        <v>0.14839210901458266</v>
      </c>
      <c r="N21" s="3">
        <f ca="1">SQRT(AVERAGE(K21:OFFSET(K21,$B$7-1,0))*$B$9/(4*LN(2)))</f>
        <v>0.15423209469614746</v>
      </c>
      <c r="O21" s="3">
        <f ca="1">SQRT(AVERAGE(K21:OFFSET(K21,$B$8-1,0))*$B$9/(4*LN(2)))</f>
        <v>0.28665020532116081</v>
      </c>
      <c r="P21" s="1"/>
      <c r="Q21" s="5">
        <f t="shared" si="0"/>
        <v>6.5955023921776196E-5</v>
      </c>
      <c r="R21" s="5">
        <f ca="1">SQRT($B$9*AVERAGE((Q21:OFFSET(Q21,$B$5-1,0))))</f>
        <v>0.12084893083750911</v>
      </c>
      <c r="S21" s="5">
        <f ca="1">SQRT($B$9*AVERAGE((Q21:OFFSET(Q21,$B$6-1,0))))</f>
        <v>0.1430876574207223</v>
      </c>
      <c r="T21" s="5">
        <f ca="1">SQRT($B$9*AVERAGE((Q21:OFFSET(Q21,$B$7-1,0))))</f>
        <v>0.14970990172352447</v>
      </c>
      <c r="U21" s="5">
        <f ca="1">SQRT($B$9*AVERAGE((Q21:OFFSET(Q21,$B$8-1,0))))</f>
        <v>0.27819657892112498</v>
      </c>
      <c r="V21" s="1"/>
      <c r="W21" s="6">
        <f t="shared" si="1"/>
        <v>6.5193825908031064E-5</v>
      </c>
      <c r="X21" s="6">
        <f ca="1">SQRT($B$9*AVERAGE(W21:OFFSET(W21,$B$5-1,0)))</f>
        <v>0.11981446477095328</v>
      </c>
      <c r="Y21" s="6">
        <f ca="1">SQRT($B$9*AVERAGE(W21:OFFSET(W21,$B$6-1,0)))</f>
        <v>0.13925870395383436</v>
      </c>
      <c r="Z21" s="6">
        <f ca="1">SQRT($B$9*AVERAGE(W21:OFFSET(W21,$B$7-1,0)))</f>
        <v>0.14697954746008124</v>
      </c>
      <c r="AA21" s="6">
        <f ca="1">SQRT($B$9*AVERAGE(W21:OFFSET(W21,$B$8-1,0)))</f>
        <v>0.27170676330759375</v>
      </c>
      <c r="AB21" s="1"/>
      <c r="AC21" s="34">
        <f t="shared" si="5"/>
        <v>1.3576295932125898E-5</v>
      </c>
      <c r="AD21" s="34">
        <f ca="1">SQRT($B$9*SUM(AC21:OFFSET(AC21,$B$5-1,0))/($B$5-1))</f>
        <v>0.20665506444148535</v>
      </c>
      <c r="AE21" s="34">
        <f ca="1">SQRT($B$9*SUM(AC21:OFFSET(AC21,$B$6-1,0))/($B$6-1))</f>
        <v>0.17056109937446348</v>
      </c>
      <c r="AF21" s="34">
        <f ca="1">SQRT($B$9*SUM(AC21:OFFSET(AC21,$B$7-1,0))/($B$7-1))</f>
        <v>0.17160711145023935</v>
      </c>
      <c r="AG21" s="34">
        <f ca="1">SQRT($B$9*SUM(AC21:OFFSET(AC21,$B$8-1,0))/($B$8-1))</f>
        <v>0.33115613838452501</v>
      </c>
      <c r="AH21" s="1"/>
      <c r="AI21" s="1">
        <f t="shared" si="3"/>
        <v>-3.684602547375483E-3</v>
      </c>
      <c r="AJ21" s="4">
        <f ca="1">SQRT($B$9)*_xlfn.STDEV.S(AI21:OFFSET(AI21,$B$5-1,0))</f>
        <v>0.19730040160748294</v>
      </c>
      <c r="AK21" s="4">
        <f ca="1">SQRT($B$9)*_xlfn.STDEV.S(AI21:OFFSET(AI21,$B$6-1,0))</f>
        <v>0.17002965599279332</v>
      </c>
      <c r="AL21" s="4">
        <f ca="1">SQRT($B$9)*_xlfn.STDEV.S(AI21:OFFSET(AI21,$B$7-1,0))</f>
        <v>0.17143809766718673</v>
      </c>
      <c r="AM21" s="4">
        <f ca="1">SQRT($B$9)*_xlfn.STDEV.S(AI21:OFFSET(AI21,$B$8-1,0))</f>
        <v>0.32791142559626169</v>
      </c>
    </row>
    <row r="22" spans="1:39" x14ac:dyDescent="0.2">
      <c r="E22" s="42">
        <v>45644</v>
      </c>
      <c r="F22" s="43">
        <v>2.7090000000000001</v>
      </c>
      <c r="G22" s="43">
        <v>2.7280000000000002</v>
      </c>
      <c r="H22" s="43">
        <v>2.7090000000000001</v>
      </c>
      <c r="I22" s="43">
        <v>2.7189999999999999</v>
      </c>
      <c r="K22" s="3">
        <f t="shared" si="4"/>
        <v>4.8848593435570192E-5</v>
      </c>
      <c r="L22" s="3">
        <f ca="1">SQRT(AVERAGE(K22:OFFSET(K22,$B$5-1,0))*$B$9/(4*LN(2)))</f>
        <v>0.13141222624825696</v>
      </c>
      <c r="M22" s="3">
        <f ca="1">SQRT(AVERAGE(K22:OFFSET(K22,$B$6-1,0))*$B$9/(4*LN(2)))</f>
        <v>0.14601524627858423</v>
      </c>
      <c r="N22" s="3">
        <f ca="1">SQRT(AVERAGE(K22:OFFSET(K22,$B$7-1,0))*$B$9/(4*LN(2)))</f>
        <v>0.15319906322680027</v>
      </c>
      <c r="O22" s="3">
        <f ca="1">SQRT(AVERAGE(K22:OFFSET(K22,$B$8-1,0))*$B$9/(4*LN(2)))</f>
        <v>0.28726653961963128</v>
      </c>
      <c r="P22" s="1"/>
      <c r="Q22" s="5">
        <f t="shared" si="0"/>
        <v>1.927261546390828E-5</v>
      </c>
      <c r="R22" s="5">
        <f ca="1">SQRT($B$9*AVERAGE((Q22:OFFSET(Q22,$B$5-1,0))))</f>
        <v>0.11813233834872254</v>
      </c>
      <c r="S22" s="5">
        <f ca="1">SQRT($B$9*AVERAGE((Q22:OFFSET(Q22,$B$6-1,0))))</f>
        <v>0.13998365837195711</v>
      </c>
      <c r="T22" s="5">
        <f ca="1">SQRT($B$9*AVERAGE((Q22:OFFSET(Q22,$B$7-1,0))))</f>
        <v>0.14815472727964796</v>
      </c>
      <c r="U22" s="5">
        <f ca="1">SQRT($B$9*AVERAGE((Q22:OFFSET(Q22,$B$8-1,0))))</f>
        <v>0.27904788477359416</v>
      </c>
      <c r="V22" s="1"/>
      <c r="W22" s="6">
        <f t="shared" si="1"/>
        <v>2.3096254505885327E-5</v>
      </c>
      <c r="X22" s="6">
        <f ca="1">SQRT($B$9*AVERAGE(W22:OFFSET(W22,$B$5-1,0)))</f>
        <v>0.115324362059188</v>
      </c>
      <c r="Y22" s="6">
        <f ca="1">SQRT($B$9*AVERAGE(W22:OFFSET(W22,$B$6-1,0)))</f>
        <v>0.13613907066532879</v>
      </c>
      <c r="Z22" s="6">
        <f ca="1">SQRT($B$9*AVERAGE(W22:OFFSET(W22,$B$7-1,0)))</f>
        <v>0.14539572681662399</v>
      </c>
      <c r="AA22" s="6">
        <f ca="1">SQRT($B$9*AVERAGE(W22:OFFSET(W22,$B$8-1,0)))</f>
        <v>0.27266409474794889</v>
      </c>
      <c r="AB22" s="1"/>
      <c r="AC22" s="34">
        <f t="shared" si="5"/>
        <v>4.917365053823004E-5</v>
      </c>
      <c r="AD22" s="34">
        <f ca="1">SQRT($B$9*SUM(AC22:OFFSET(AC22,$B$5-1,0))/($B$5-1))</f>
        <v>0.22294972348582345</v>
      </c>
      <c r="AE22" s="34">
        <f ca="1">SQRT($B$9*SUM(AC22:OFFSET(AC22,$B$6-1,0))/($B$6-1))</f>
        <v>0.1710614960921911</v>
      </c>
      <c r="AF22" s="34">
        <f ca="1">SQRT($B$9*SUM(AC22:OFFSET(AC22,$B$7-1,0))/($B$7-1))</f>
        <v>0.17133375192140388</v>
      </c>
      <c r="AG22" s="34">
        <f ca="1">SQRT($B$9*SUM(AC22:OFFSET(AC22,$B$8-1,0))/($B$8-1))</f>
        <v>0.33130088410988967</v>
      </c>
      <c r="AH22" s="1"/>
      <c r="AI22" s="1">
        <f t="shared" si="3"/>
        <v>7.0123926400501874E-3</v>
      </c>
      <c r="AJ22" s="4">
        <f ca="1">SQRT($B$9)*_xlfn.STDEV.S(AI22:OFFSET(AI22,$B$5-1,0))</f>
        <v>0.22276803101266246</v>
      </c>
      <c r="AK22" s="4">
        <f ca="1">SQRT($B$9)*_xlfn.STDEV.S(AI22:OFFSET(AI22,$B$6-1,0))</f>
        <v>0.17062724708909355</v>
      </c>
      <c r="AL22" s="4">
        <f ca="1">SQRT($B$9)*_xlfn.STDEV.S(AI22:OFFSET(AI22,$B$7-1,0))</f>
        <v>0.17131341982020609</v>
      </c>
      <c r="AM22" s="4">
        <f ca="1">SQRT($B$9)*_xlfn.STDEV.S(AI22:OFFSET(AI22,$B$8-1,0))</f>
        <v>0.32768619004036381</v>
      </c>
    </row>
    <row r="23" spans="1:39" x14ac:dyDescent="0.2">
      <c r="E23" s="42">
        <v>45643</v>
      </c>
      <c r="F23" s="43">
        <v>2.6819999999999999</v>
      </c>
      <c r="G23" s="43">
        <v>2.722</v>
      </c>
      <c r="H23" s="43">
        <v>2.6819999999999999</v>
      </c>
      <c r="I23" s="43">
        <v>2.7</v>
      </c>
      <c r="K23" s="3">
        <f t="shared" si="4"/>
        <v>2.1916195031491679E-4</v>
      </c>
      <c r="L23" s="3">
        <f ca="1">SQRT(AVERAGE(K23:OFFSET(K23,$B$5-1,0))*$B$9/(4*LN(2)))</f>
        <v>0.1337276207821142</v>
      </c>
      <c r="M23" s="3">
        <f ca="1">SQRT(AVERAGE(K23:OFFSET(K23,$B$6-1,0))*$B$9/(4*LN(2)))</f>
        <v>0.14712811002924589</v>
      </c>
      <c r="N23" s="3">
        <f ca="1">SQRT(AVERAGE(K23:OFFSET(K23,$B$7-1,0))*$B$9/(4*LN(2)))</f>
        <v>0.15417207721736267</v>
      </c>
      <c r="O23" s="3">
        <f ca="1">SQRT(AVERAGE(K23:OFFSET(K23,$B$8-1,0))*$B$9/(4*LN(2)))</f>
        <v>0.28741991474342621</v>
      </c>
      <c r="P23" s="1"/>
      <c r="Q23" s="5">
        <f t="shared" si="0"/>
        <v>9.2973888178606162E-5</v>
      </c>
      <c r="R23" s="5">
        <f ca="1">SQRT($B$9*AVERAGE((Q23:OFFSET(Q23,$B$5-1,0))))</f>
        <v>0.12147091046329088</v>
      </c>
      <c r="S23" s="5">
        <f ca="1">SQRT($B$9*AVERAGE((Q23:OFFSET(Q23,$B$6-1,0))))</f>
        <v>0.14204601359454883</v>
      </c>
      <c r="T23" s="5">
        <f ca="1">SQRT($B$9*AVERAGE((Q23:OFFSET(Q23,$B$7-1,0))))</f>
        <v>0.1494657816148042</v>
      </c>
      <c r="U23" s="5">
        <f ca="1">SQRT($B$9*AVERAGE((Q23:OFFSET(Q23,$B$8-1,0))))</f>
        <v>0.27921443581271105</v>
      </c>
      <c r="V23" s="1"/>
      <c r="W23" s="6">
        <f t="shared" si="1"/>
        <v>1.2013737126742887E-4</v>
      </c>
      <c r="X23" s="6">
        <f ca="1">SQRT($B$9*AVERAGE(W23:OFFSET(W23,$B$5-1,0)))</f>
        <v>0.11804568225974041</v>
      </c>
      <c r="Y23" s="6">
        <f ca="1">SQRT($B$9*AVERAGE(W23:OFFSET(W23,$B$6-1,0)))</f>
        <v>0.13791346858807851</v>
      </c>
      <c r="Z23" s="6">
        <f ca="1">SQRT($B$9*AVERAGE(W23:OFFSET(W23,$B$7-1,0)))</f>
        <v>0.14649049808171774</v>
      </c>
      <c r="AA23" s="6">
        <f ca="1">SQRT($B$9*AVERAGE(W23:OFFSET(W23,$B$8-1,0)))</f>
        <v>0.27281254011529066</v>
      </c>
      <c r="AB23" s="1"/>
      <c r="AC23" s="34">
        <f t="shared" si="5"/>
        <v>2.7026220811937367E-5</v>
      </c>
      <c r="AD23" s="34">
        <f ca="1">SQRT($B$9*SUM(AC23:OFFSET(AC23,$B$5-1,0))/($B$5-1))</f>
        <v>0.2221434386220103</v>
      </c>
      <c r="AE23" s="34">
        <f ca="1">SQRT($B$9*SUM(AC23:OFFSET(AC23,$B$6-1,0))/($B$6-1))</f>
        <v>0.16720351266556027</v>
      </c>
      <c r="AF23" s="34">
        <f ca="1">SQRT($B$9*SUM(AC23:OFFSET(AC23,$B$7-1,0))/($B$7-1))</f>
        <v>0.16965021562722263</v>
      </c>
      <c r="AG23" s="34">
        <f ca="1">SQRT($B$9*SUM(AC23:OFFSET(AC23,$B$8-1,0))/($B$8-1))</f>
        <v>0.3311931696466342</v>
      </c>
      <c r="AH23" s="1"/>
      <c r="AI23" s="1">
        <f t="shared" si="3"/>
        <v>5.1986749092376768E-3</v>
      </c>
      <c r="AJ23" s="4">
        <f ca="1">SQRT($B$9)*_xlfn.STDEV.S(AI23:OFFSET(AI23,$B$5-1,0))</f>
        <v>0.21481787361685475</v>
      </c>
      <c r="AK23" s="4">
        <f ca="1">SQRT($B$9)*_xlfn.STDEV.S(AI23:OFFSET(AI23,$B$6-1,0))</f>
        <v>0.16719904927550408</v>
      </c>
      <c r="AL23" s="4">
        <f ca="1">SQRT($B$9)*_xlfn.STDEV.S(AI23:OFFSET(AI23,$B$7-1,0))</f>
        <v>0.16952419851314984</v>
      </c>
      <c r="AM23" s="4">
        <f ca="1">SQRT($B$9)*_xlfn.STDEV.S(AI23:OFFSET(AI23,$B$8-1,0))</f>
        <v>0.32763025829579856</v>
      </c>
    </row>
    <row r="24" spans="1:39" x14ac:dyDescent="0.2">
      <c r="E24" s="42">
        <v>45642</v>
      </c>
      <c r="F24" s="43">
        <v>2.69</v>
      </c>
      <c r="G24" s="43">
        <v>2.694</v>
      </c>
      <c r="H24" s="43">
        <v>2.68</v>
      </c>
      <c r="I24" s="43">
        <v>2.6859999999999999</v>
      </c>
      <c r="K24" s="3">
        <f t="shared" si="4"/>
        <v>2.7147053789891984E-5</v>
      </c>
      <c r="L24" s="3">
        <f ca="1">SQRT(AVERAGE(K24:OFFSET(K24,$B$5-1,0))*$B$9/(4*LN(2)))</f>
        <v>0.16414666271755893</v>
      </c>
      <c r="M24" s="3">
        <f ca="1">SQRT(AVERAGE(K24:OFFSET(K24,$B$6-1,0))*$B$9/(4*LN(2)))</f>
        <v>0.14561336843268546</v>
      </c>
      <c r="N24" s="3">
        <f ca="1">SQRT(AVERAGE(K24:OFFSET(K24,$B$7-1,0))*$B$9/(4*LN(2)))</f>
        <v>0.15569984009739754</v>
      </c>
      <c r="O24" s="3">
        <f ca="1">SQRT(AVERAGE(K24:OFFSET(K24,$B$8-1,0))*$B$9/(4*LN(2)))</f>
        <v>0.28707151330361713</v>
      </c>
      <c r="P24" s="1"/>
      <c r="Q24" s="5">
        <f t="shared" si="0"/>
        <v>1.2750434110897672E-5</v>
      </c>
      <c r="R24" s="5">
        <f ca="1">SQRT($B$9*AVERAGE((Q24:OFFSET(Q24,$B$5-1,0))))</f>
        <v>0.14356040787129459</v>
      </c>
      <c r="S24" s="5">
        <f ca="1">SQRT($B$9*AVERAGE((Q24:OFFSET(Q24,$B$6-1,0))))</f>
        <v>0.14041638042234528</v>
      </c>
      <c r="T24" s="5">
        <f ca="1">SQRT($B$9*AVERAGE((Q24:OFFSET(Q24,$B$7-1,0))))</f>
        <v>0.15224327711034691</v>
      </c>
      <c r="U24" s="5">
        <f ca="1">SQRT($B$9*AVERAGE((Q24:OFFSET(Q24,$B$8-1,0))))</f>
        <v>0.27882856999184269</v>
      </c>
      <c r="V24" s="1"/>
      <c r="W24" s="6">
        <f t="shared" si="1"/>
        <v>1.2747877258242406E-5</v>
      </c>
      <c r="X24" s="6">
        <f ca="1">SQRT($B$9*AVERAGE(W24:OFFSET(W24,$B$5-1,0)))</f>
        <v>0.1278263215788786</v>
      </c>
      <c r="Y24" s="6">
        <f ca="1">SQRT($B$9*AVERAGE(W24:OFFSET(W24,$B$6-1,0)))</f>
        <v>0.13364140945957889</v>
      </c>
      <c r="Z24" s="6">
        <f ca="1">SQRT($B$9*AVERAGE(W24:OFFSET(W24,$B$7-1,0)))</f>
        <v>0.15023063104719542</v>
      </c>
      <c r="AA24" s="6">
        <f ca="1">SQRT($B$9*AVERAGE(W24:OFFSET(W24,$B$8-1,0)))</f>
        <v>0.27234481841289032</v>
      </c>
      <c r="AB24" s="1"/>
      <c r="AC24" s="34">
        <f t="shared" si="5"/>
        <v>2.2144282549236959E-6</v>
      </c>
      <c r="AD24" s="34">
        <f ca="1">SQRT($B$9*SUM(AC24:OFFSET(AC24,$B$5-1,0))/($B$5-1))</f>
        <v>0.22983299711886615</v>
      </c>
      <c r="AE24" s="34">
        <f ca="1">SQRT($B$9*SUM(AC24:OFFSET(AC24,$B$6-1,0))/($B$6-1))</f>
        <v>0.16720024844317091</v>
      </c>
      <c r="AF24" s="34">
        <f ca="1">SQRT($B$9*SUM(AC24:OFFSET(AC24,$B$7-1,0))/($B$7-1))</f>
        <v>0.16932888900030357</v>
      </c>
      <c r="AG24" s="34">
        <f ca="1">SQRT($B$9*SUM(AC24:OFFSET(AC24,$B$8-1,0))/($B$8-1))</f>
        <v>0.33105348026331494</v>
      </c>
      <c r="AH24" s="1"/>
      <c r="AI24" s="1">
        <f t="shared" si="3"/>
        <v>-1.4880955127019556E-3</v>
      </c>
      <c r="AJ24" s="4">
        <f ca="1">SQRT($B$9)*_xlfn.STDEV.S(AI24:OFFSET(AI24,$B$5-1,0))</f>
        <v>0.22582428340116162</v>
      </c>
      <c r="AK24" s="4">
        <f ca="1">SQRT($B$9)*_xlfn.STDEV.S(AI24:OFFSET(AI24,$B$6-1,0))</f>
        <v>0.16719573833231377</v>
      </c>
      <c r="AL24" s="4">
        <f ca="1">SQRT($B$9)*_xlfn.STDEV.S(AI24:OFFSET(AI24,$B$7-1,0))</f>
        <v>0.16873469579333425</v>
      </c>
      <c r="AM24" s="4">
        <f ca="1">SQRT($B$9)*_xlfn.STDEV.S(AI24:OFFSET(AI24,$B$8-1,0))</f>
        <v>0.32777031995415568</v>
      </c>
    </row>
    <row r="25" spans="1:39" x14ac:dyDescent="0.2">
      <c r="E25" s="42">
        <v>45639</v>
      </c>
      <c r="F25" s="43">
        <v>2.7410000000000001</v>
      </c>
      <c r="G25" s="43">
        <v>2.742</v>
      </c>
      <c r="H25" s="43">
        <v>2.6819999999999999</v>
      </c>
      <c r="I25" s="43">
        <v>2.69</v>
      </c>
      <c r="K25" s="3">
        <f t="shared" si="4"/>
        <v>4.8950661045964368E-4</v>
      </c>
      <c r="L25" s="3">
        <f ca="1">SQRT(AVERAGE(K25:OFFSET(K25,$B$5-1,0))*$B$9/(4*LN(2)))</f>
        <v>0.17046729824118087</v>
      </c>
      <c r="M25" s="3">
        <f ca="1">SQRT(AVERAGE(K25:OFFSET(K25,$B$6-1,0))*$B$9/(4*LN(2)))</f>
        <v>0.14961829082532688</v>
      </c>
      <c r="N25" s="3">
        <f ca="1">SQRT(AVERAGE(K25:OFFSET(K25,$B$7-1,0))*$B$9/(4*LN(2)))</f>
        <v>0.16148276896583408</v>
      </c>
      <c r="O25" s="3">
        <f ca="1">SQRT(AVERAGE(K25:OFFSET(K25,$B$8-1,0))*$B$9/(4*LN(2)))</f>
        <v>0.28721466738670132</v>
      </c>
      <c r="P25" s="1"/>
      <c r="Q25" s="5">
        <f t="shared" si="0"/>
        <v>1.0709832576499655E-4</v>
      </c>
      <c r="R25" s="5">
        <f ca="1">SQRT($B$9*AVERAGE((Q25:OFFSET(Q25,$B$5-1,0))))</f>
        <v>0.15333886193853732</v>
      </c>
      <c r="S25" s="5">
        <f ca="1">SQRT($B$9*AVERAGE((Q25:OFFSET(Q25,$B$6-1,0))))</f>
        <v>0.145772369798154</v>
      </c>
      <c r="T25" s="5">
        <f ca="1">SQRT($B$9*AVERAGE((Q25:OFFSET(Q25,$B$7-1,0))))</f>
        <v>0.16047848698296899</v>
      </c>
      <c r="U25" s="5">
        <f ca="1">SQRT($B$9*AVERAGE((Q25:OFFSET(Q25,$B$8-1,0))))</f>
        <v>0.27897471206628632</v>
      </c>
      <c r="V25" s="1"/>
      <c r="W25" s="6">
        <f t="shared" si="1"/>
        <v>7.1794180618575649E-5</v>
      </c>
      <c r="X25" s="6">
        <f ca="1">SQRT($B$9*AVERAGE(W25:OFFSET(W25,$B$5-1,0)))</f>
        <v>0.14116694584401171</v>
      </c>
      <c r="Y25" s="6">
        <f ca="1">SQRT($B$9*AVERAGE(W25:OFFSET(W25,$B$6-1,0)))</f>
        <v>0.13932899826901218</v>
      </c>
      <c r="Z25" s="6">
        <f ca="1">SQRT($B$9*AVERAGE(W25:OFFSET(W25,$B$7-1,0)))</f>
        <v>0.16095773511344483</v>
      </c>
      <c r="AA25" s="6">
        <f ca="1">SQRT($B$9*AVERAGE(W25:OFFSET(W25,$B$8-1,0)))</f>
        <v>0.27249977739444886</v>
      </c>
      <c r="AB25" s="1"/>
      <c r="AC25" s="34">
        <f t="shared" si="5"/>
        <v>6.0525537441077427E-4</v>
      </c>
      <c r="AD25" s="34">
        <f ca="1">SQRT($B$9*SUM(AC25:OFFSET(AC25,$B$5-1,0))/($B$5-1))</f>
        <v>0.22970028157873193</v>
      </c>
      <c r="AE25" s="34">
        <f ca="1">SQRT($B$9*SUM(AC25:OFFSET(AC25,$B$6-1,0))/($B$6-1))</f>
        <v>0.16838480624774857</v>
      </c>
      <c r="AF25" s="34">
        <f ca="1">SQRT($B$9*SUM(AC25:OFFSET(AC25,$B$7-1,0))/($B$7-1))</f>
        <v>0.16995084928706514</v>
      </c>
      <c r="AG25" s="34">
        <f ca="1">SQRT($B$9*SUM(AC25:OFFSET(AC25,$B$8-1,0))/($B$8-1))</f>
        <v>0.33115792782126163</v>
      </c>
      <c r="AH25" s="1"/>
      <c r="AI25" s="1">
        <f t="shared" si="3"/>
        <v>-2.4601938427912022E-2</v>
      </c>
      <c r="AJ25" s="4">
        <f ca="1">SQRT($B$9)*_xlfn.STDEV.S(AI25:OFFSET(AI25,$B$5-1,0))</f>
        <v>0.22721967860411543</v>
      </c>
      <c r="AK25" s="4">
        <f ca="1">SQRT($B$9)*_xlfn.STDEV.S(AI25:OFFSET(AI25,$B$6-1,0))</f>
        <v>0.16819497829515909</v>
      </c>
      <c r="AL25" s="4">
        <f ca="1">SQRT($B$9)*_xlfn.STDEV.S(AI25:OFFSET(AI25,$B$7-1,0))</f>
        <v>0.16968416266710679</v>
      </c>
      <c r="AM25" s="4">
        <f ca="1">SQRT($B$9)*_xlfn.STDEV.S(AI25:OFFSET(AI25,$B$8-1,0))</f>
        <v>0.32798151037930534</v>
      </c>
    </row>
    <row r="26" spans="1:39" x14ac:dyDescent="0.2">
      <c r="E26" s="42">
        <v>45638</v>
      </c>
      <c r="F26" s="43">
        <v>2.7280000000000002</v>
      </c>
      <c r="G26" s="43">
        <v>2.758</v>
      </c>
      <c r="H26" s="43">
        <v>2.72</v>
      </c>
      <c r="I26" s="43">
        <v>2.7570000000000001</v>
      </c>
      <c r="K26" s="3">
        <f t="shared" si="4"/>
        <v>1.924850752159748E-4</v>
      </c>
      <c r="L26" s="3">
        <f ca="1">SQRT(AVERAGE(K26:OFFSET(K26,$B$5-1,0))*$B$9/(4*LN(2)))</f>
        <v>0.16642127057051931</v>
      </c>
      <c r="M26" s="3">
        <f ca="1">SQRT(AVERAGE(K26:OFFSET(K26,$B$6-1,0))*$B$9/(4*LN(2)))</f>
        <v>0.14532147123329045</v>
      </c>
      <c r="N26" s="3">
        <f ca="1">SQRT(AVERAGE(K26:OFFSET(K26,$B$7-1,0))*$B$9/(4*LN(2)))</f>
        <v>0.15813216994699217</v>
      </c>
      <c r="O26" s="3">
        <f ca="1">SQRT(AVERAGE(K26:OFFSET(K26,$B$8-1,0))*$B$9/(4*LN(2)))</f>
        <v>0.28611334353024775</v>
      </c>
      <c r="P26" s="1"/>
      <c r="Q26" s="5">
        <f t="shared" si="0"/>
        <v>5.2705743904796722E-5</v>
      </c>
      <c r="R26" s="5">
        <f ca="1">SQRT($B$9*AVERAGE((Q26:OFFSET(Q26,$B$5-1,0))))</f>
        <v>0.16230739763710991</v>
      </c>
      <c r="S26" s="5">
        <f ca="1">SQRT($B$9*AVERAGE((Q26:OFFSET(Q26,$B$6-1,0))))</f>
        <v>0.15040636887920447</v>
      </c>
      <c r="T26" s="5">
        <f ca="1">SQRT($B$9*AVERAGE((Q26:OFFSET(Q26,$B$7-1,0))))</f>
        <v>0.15939558151294453</v>
      </c>
      <c r="U26" s="5">
        <f ca="1">SQRT($B$9*AVERAGE((Q26:OFFSET(Q26,$B$8-1,0))))</f>
        <v>0.27837008863743845</v>
      </c>
      <c r="V26" s="1"/>
      <c r="W26" s="6">
        <f t="shared" si="1"/>
        <v>4.3646938479636799E-5</v>
      </c>
      <c r="X26" s="6">
        <f ca="1">SQRT($B$9*AVERAGE(W26:OFFSET(W26,$B$5-1,0)))</f>
        <v>0.15630248649798686</v>
      </c>
      <c r="Y26" s="6">
        <f ca="1">SQRT($B$9*AVERAGE(W26:OFFSET(W26,$B$6-1,0)))</f>
        <v>0.15295037801475284</v>
      </c>
      <c r="Z26" s="6">
        <f ca="1">SQRT($B$9*AVERAGE(W26:OFFSET(W26,$B$7-1,0)))</f>
        <v>0.16107758001753822</v>
      </c>
      <c r="AA26" s="6">
        <f ca="1">SQRT($B$9*AVERAGE(W26:OFFSET(W26,$B$8-1,0)))</f>
        <v>0.27215024788632797</v>
      </c>
      <c r="AB26" s="1"/>
      <c r="AC26" s="34">
        <f t="shared" si="5"/>
        <v>1.2786631296217763E-4</v>
      </c>
      <c r="AD26" s="34">
        <f ca="1">SQRT($B$9*SUM(AC26:OFFSET(AC26,$B$5-1,0))/($B$5-1))</f>
        <v>0.15082650209858067</v>
      </c>
      <c r="AE26" s="34">
        <f ca="1">SQRT($B$9*SUM(AC26:OFFSET(AC26,$B$6-1,0))/($B$6-1))</f>
        <v>0.11320880332078227</v>
      </c>
      <c r="AF26" s="34">
        <f ca="1">SQRT($B$9*SUM(AC26:OFFSET(AC26,$B$7-1,0))/($B$7-1))</f>
        <v>0.15236936605582443</v>
      </c>
      <c r="AG26" s="34">
        <f ca="1">SQRT($B$9*SUM(AC26:OFFSET(AC26,$B$8-1,0))/($B$8-1))</f>
        <v>0.32757323676384692</v>
      </c>
      <c r="AH26" s="1"/>
      <c r="AI26" s="1">
        <f t="shared" si="3"/>
        <v>1.1307798767318846E-2</v>
      </c>
      <c r="AJ26" s="4">
        <f ca="1">SQRT($B$9)*_xlfn.STDEV.S(AI26:OFFSET(AI26,$B$5-1,0))</f>
        <v>0.12102238663389202</v>
      </c>
      <c r="AK26" s="4">
        <f ca="1">SQRT($B$9)*_xlfn.STDEV.S(AI26:OFFSET(AI26,$B$6-1,0))</f>
        <v>9.705767865172886E-2</v>
      </c>
      <c r="AL26" s="4">
        <f ca="1">SQRT($B$9)*_xlfn.STDEV.S(AI26:OFFSET(AI26,$B$7-1,0))</f>
        <v>0.15236933223744475</v>
      </c>
      <c r="AM26" s="4">
        <f ca="1">SQRT($B$9)*_xlfn.STDEV.S(AI26:OFFSET(AI26,$B$8-1,0))</f>
        <v>0.32363570085013216</v>
      </c>
    </row>
    <row r="27" spans="1:39" x14ac:dyDescent="0.2">
      <c r="E27" s="42">
        <v>45637</v>
      </c>
      <c r="F27" s="43">
        <v>2.7370000000000001</v>
      </c>
      <c r="G27" s="43">
        <v>2.7469999999999999</v>
      </c>
      <c r="H27" s="43">
        <v>2.722</v>
      </c>
      <c r="I27" s="43">
        <v>2.726</v>
      </c>
      <c r="K27" s="3">
        <f t="shared" si="4"/>
        <v>8.3585358981433575E-5</v>
      </c>
      <c r="L27" s="3">
        <f ca="1">SQRT(AVERAGE(K27:OFFSET(K27,$B$5-1,0))*$B$9/(4*LN(2)))</f>
        <v>0.1592850623381494</v>
      </c>
      <c r="M27" s="3">
        <f ca="1">SQRT(AVERAGE(K27:OFFSET(K27,$B$6-1,0))*$B$9/(4*LN(2)))</f>
        <v>0.14450676908821714</v>
      </c>
      <c r="N27" s="3">
        <f ca="1">SQRT(AVERAGE(K27:OFFSET(K27,$B$7-1,0))*$B$9/(4*LN(2)))</f>
        <v>0.15945107225301239</v>
      </c>
      <c r="O27" s="3">
        <f ca="1">SQRT(AVERAGE(K27:OFFSET(K27,$B$8-1,0))*$B$9/(4*LN(2)))</f>
        <v>0.2858093812981054</v>
      </c>
      <c r="P27" s="1"/>
      <c r="Q27" s="5">
        <f t="shared" si="0"/>
        <v>3.5597773117862662E-5</v>
      </c>
      <c r="R27" s="5">
        <f ca="1">SQRT($B$9*AVERAGE((Q27:OFFSET(Q27,$B$5-1,0))))</f>
        <v>0.15885716810599559</v>
      </c>
      <c r="S27" s="5">
        <f ca="1">SQRT($B$9*AVERAGE((Q27:OFFSET(Q27,$B$6-1,0))))</f>
        <v>0.15191768968994507</v>
      </c>
      <c r="T27" s="5">
        <f ca="1">SQRT($B$9*AVERAGE((Q27:OFFSET(Q27,$B$7-1,0))))</f>
        <v>0.16247042315209076</v>
      </c>
      <c r="U27" s="5">
        <f ca="1">SQRT($B$9*AVERAGE((Q27:OFFSET(Q27,$B$8-1,0))))</f>
        <v>0.27825539858834819</v>
      </c>
      <c r="V27" s="1"/>
      <c r="W27" s="6">
        <f t="shared" si="1"/>
        <v>3.6056960950965063E-5</v>
      </c>
      <c r="X27" s="6">
        <f ca="1">SQRT($B$9*AVERAGE(W27:OFFSET(W27,$B$5-1,0)))</f>
        <v>0.15416868890562729</v>
      </c>
      <c r="Y27" s="6">
        <f ca="1">SQRT($B$9*AVERAGE(W27:OFFSET(W27,$B$6-1,0)))</f>
        <v>0.15540913406323825</v>
      </c>
      <c r="Z27" s="6">
        <f ca="1">SQRT($B$9*AVERAGE(W27:OFFSET(W27,$B$7-1,0)))</f>
        <v>0.1653179037785602</v>
      </c>
      <c r="AA27" s="6">
        <f ca="1">SQRT($B$9*AVERAGE(W27:OFFSET(W27,$B$8-1,0)))</f>
        <v>0.2721106630074549</v>
      </c>
      <c r="AB27" s="1"/>
      <c r="AC27" s="34">
        <f t="shared" si="5"/>
        <v>4.3314517810160187E-5</v>
      </c>
      <c r="AD27" s="34">
        <f ca="1">SQRT($B$9*SUM(AC27:OFFSET(AC27,$B$5-1,0))/($B$5-1))</f>
        <v>0.12701574921842157</v>
      </c>
      <c r="AE27" s="34">
        <f ca="1">SQRT($B$9*SUM(AC27:OFFSET(AC27,$B$6-1,0))/($B$6-1))</f>
        <v>9.9780358641168299E-2</v>
      </c>
      <c r="AF27" s="34">
        <f ca="1">SQRT($B$9*SUM(AC27:OFFSET(AC27,$B$7-1,0))/($B$7-1))</f>
        <v>0.14999216289892389</v>
      </c>
      <c r="AG27" s="34">
        <f ca="1">SQRT($B$9*SUM(AC27:OFFSET(AC27,$B$8-1,0))/($B$8-1))</f>
        <v>0.32676295128540772</v>
      </c>
      <c r="AH27" s="1"/>
      <c r="AI27" s="1">
        <f t="shared" si="3"/>
        <v>-6.5813765892980313E-3</v>
      </c>
      <c r="AJ27" s="4">
        <f ca="1">SQRT($B$9)*_xlfn.STDEV.S(AI27:OFFSET(AI27,$B$5-1,0))</f>
        <v>0.12214436055026351</v>
      </c>
      <c r="AK27" s="4">
        <f ca="1">SQRT($B$9)*_xlfn.STDEV.S(AI27:OFFSET(AI27,$B$6-1,0))</f>
        <v>9.4597448921724586E-2</v>
      </c>
      <c r="AL27" s="4">
        <f ca="1">SQRT($B$9)*_xlfn.STDEV.S(AI27:OFFSET(AI27,$B$7-1,0))</f>
        <v>0.14913630437839584</v>
      </c>
      <c r="AM27" s="4">
        <f ca="1">SQRT($B$9)*_xlfn.STDEV.S(AI27:OFFSET(AI27,$B$8-1,0))</f>
        <v>0.32325140756772786</v>
      </c>
    </row>
    <row r="28" spans="1:39" x14ac:dyDescent="0.2">
      <c r="E28" s="42">
        <v>45636</v>
      </c>
      <c r="F28" s="43">
        <v>2.7989999999999999</v>
      </c>
      <c r="G28" s="43">
        <v>2.81</v>
      </c>
      <c r="H28" s="43">
        <v>2.7349999999999999</v>
      </c>
      <c r="I28" s="43">
        <v>2.7440000000000002</v>
      </c>
      <c r="K28" s="3">
        <f t="shared" si="4"/>
        <v>7.3186737750659692E-4</v>
      </c>
      <c r="L28" s="3">
        <f ca="1">SQRT(AVERAGE(K28:OFFSET(K28,$B$5-1,0))*$B$9/(4*LN(2)))</f>
        <v>0.15940603803341591</v>
      </c>
      <c r="M28" s="3">
        <f ca="1">SQRT(AVERAGE(K28:OFFSET(K28,$B$6-1,0))*$B$9/(4*LN(2)))</f>
        <v>0.14991612369705196</v>
      </c>
      <c r="N28" s="3">
        <f ca="1">SQRT(AVERAGE(K28:OFFSET(K28,$B$7-1,0))*$B$9/(4*LN(2)))</f>
        <v>0.16133783863006931</v>
      </c>
      <c r="O28" s="3">
        <f ca="1">SQRT(AVERAGE(K28:OFFSET(K28,$B$8-1,0))*$B$9/(4*LN(2)))</f>
        <v>0.28614293983335265</v>
      </c>
      <c r="P28" s="1"/>
      <c r="Q28" s="5">
        <f t="shared" si="0"/>
        <v>2.1245161510496607E-4</v>
      </c>
      <c r="R28" s="5">
        <f ca="1">SQRT($B$9*AVERAGE((Q28:OFFSET(Q28,$B$5-1,0))))</f>
        <v>0.15999674330255811</v>
      </c>
      <c r="S28" s="5">
        <f ca="1">SQRT($B$9*AVERAGE((Q28:OFFSET(Q28,$B$6-1,0))))</f>
        <v>0.15528204243998014</v>
      </c>
      <c r="T28" s="5">
        <f ca="1">SQRT($B$9*AVERAGE((Q28:OFFSET(Q28,$B$7-1,0))))</f>
        <v>0.16373628041034044</v>
      </c>
      <c r="U28" s="5">
        <f ca="1">SQRT($B$9*AVERAGE((Q28:OFFSET(Q28,$B$8-1,0))))</f>
        <v>0.27849839550876615</v>
      </c>
      <c r="V28" s="1"/>
      <c r="W28" s="6">
        <f t="shared" si="1"/>
        <v>1.6921462408823077E-4</v>
      </c>
      <c r="X28" s="6">
        <f ca="1">SQRT($B$9*AVERAGE(W28:OFFSET(W28,$B$5-1,0)))</f>
        <v>0.15525935249067047</v>
      </c>
      <c r="Y28" s="6">
        <f ca="1">SQRT($B$9*AVERAGE(W28:OFFSET(W28,$B$6-1,0)))</f>
        <v>0.15781326395782555</v>
      </c>
      <c r="Z28" s="6">
        <f ca="1">SQRT($B$9*AVERAGE(W28:OFFSET(W28,$B$7-1,0)))</f>
        <v>0.16629550900525872</v>
      </c>
      <c r="AA28" s="6">
        <f ca="1">SQRT($B$9*AVERAGE(W28:OFFSET(W28,$B$8-1,0)))</f>
        <v>0.27229226082225577</v>
      </c>
      <c r="AB28" s="1"/>
      <c r="AC28" s="34">
        <f t="shared" si="5"/>
        <v>8.3769065576506916E-5</v>
      </c>
      <c r="AD28" s="34">
        <f ca="1">SQRT($B$9*SUM(AC28:OFFSET(AC28,$B$5-1,0))/($B$5-1))</f>
        <v>0.11642841420597912</v>
      </c>
      <c r="AE28" s="34">
        <f ca="1">SQRT($B$9*SUM(AC28:OFFSET(AC28,$B$6-1,0))/($B$6-1))</f>
        <v>0.11209076722002592</v>
      </c>
      <c r="AF28" s="34">
        <f ca="1">SQRT($B$9*SUM(AC28:OFFSET(AC28,$B$7-1,0))/($B$7-1))</f>
        <v>0.14950349445669744</v>
      </c>
      <c r="AG28" s="34">
        <f ca="1">SQRT($B$9*SUM(AC28:OFFSET(AC28,$B$8-1,0))/($B$8-1))</f>
        <v>0.32760614954278267</v>
      </c>
      <c r="AH28" s="1"/>
      <c r="AI28" s="1">
        <f t="shared" si="3"/>
        <v>9.1525442133052227E-3</v>
      </c>
      <c r="AJ28" s="4">
        <f ca="1">SQRT($B$9)*_xlfn.STDEV.S(AI28:OFFSET(AI28,$B$5-1,0))</f>
        <v>0.10315583185354553</v>
      </c>
      <c r="AK28" s="4">
        <f ca="1">SQRT($B$9)*_xlfn.STDEV.S(AI28:OFFSET(AI28,$B$6-1,0))</f>
        <v>9.3342872667279433E-2</v>
      </c>
      <c r="AL28" s="4">
        <f ca="1">SQRT($B$9)*_xlfn.STDEV.S(AI28:OFFSET(AI28,$B$7-1,0))</f>
        <v>0.14937586924038077</v>
      </c>
      <c r="AM28" s="4">
        <f ca="1">SQRT($B$9)*_xlfn.STDEV.S(AI28:OFFSET(AI28,$B$8-1,0))</f>
        <v>0.32435838374718778</v>
      </c>
    </row>
    <row r="29" spans="1:39" x14ac:dyDescent="0.2">
      <c r="E29" s="42">
        <v>45635</v>
      </c>
      <c r="F29" s="43">
        <v>2.7130000000000001</v>
      </c>
      <c r="G29" s="43">
        <v>2.74</v>
      </c>
      <c r="H29" s="43">
        <v>2.7069999999999999</v>
      </c>
      <c r="I29" s="43">
        <v>2.7189999999999999</v>
      </c>
      <c r="K29" s="3">
        <f t="shared" si="4"/>
        <v>1.4681950232136887E-4</v>
      </c>
      <c r="L29" s="3">
        <f ca="1">SQRT(AVERAGE(K29:OFFSET(K29,$B$5-1,0))*$B$9/(4*LN(2)))</f>
        <v>0.12434781562743258</v>
      </c>
      <c r="M29" s="3">
        <f ca="1">SQRT(AVERAGE(K29:OFFSET(K29,$B$6-1,0))*$B$9/(4*LN(2)))</f>
        <v>0.13328384477591423</v>
      </c>
      <c r="N29" s="3">
        <f ca="1">SQRT(AVERAGE(K29:OFFSET(K29,$B$7-1,0))*$B$9/(4*LN(2)))</f>
        <v>0.16347117990092988</v>
      </c>
      <c r="O29" s="3">
        <f ca="1">SQRT(AVERAGE(K29:OFFSET(K29,$B$8-1,0))*$B$9/(4*LN(2)))</f>
        <v>0.28467017620884499</v>
      </c>
      <c r="P29" s="1"/>
      <c r="Q29" s="5">
        <f t="shared" si="0"/>
        <v>7.1999737629945554E-5</v>
      </c>
      <c r="R29" s="5">
        <f ca="1">SQRT($B$9*AVERAGE((Q29:OFFSET(Q29,$B$5-1,0))))</f>
        <v>0.13720032461205445</v>
      </c>
      <c r="S29" s="5">
        <f ca="1">SQRT($B$9*AVERAGE((Q29:OFFSET(Q29,$B$6-1,0))))</f>
        <v>0.14431108037631546</v>
      </c>
      <c r="T29" s="5">
        <f ca="1">SQRT($B$9*AVERAGE((Q29:OFFSET(Q29,$B$7-1,0))))</f>
        <v>0.17000388019834636</v>
      </c>
      <c r="U29" s="5">
        <f ca="1">SQRT($B$9*AVERAGE((Q29:OFFSET(Q29,$B$8-1,0))))</f>
        <v>0.27744561405872775</v>
      </c>
      <c r="V29" s="1"/>
      <c r="W29" s="6">
        <f t="shared" si="1"/>
        <v>8.5983348901900569E-5</v>
      </c>
      <c r="X29" s="6">
        <f ca="1">SQRT($B$9*AVERAGE(W29:OFFSET(W29,$B$5-1,0)))</f>
        <v>0.13921380734790198</v>
      </c>
      <c r="Y29" s="6">
        <f ca="1">SQRT($B$9*AVERAGE(W29:OFFSET(W29,$B$6-1,0)))</f>
        <v>0.15147280206570335</v>
      </c>
      <c r="Z29" s="6">
        <f ca="1">SQRT($B$9*AVERAGE(W29:OFFSET(W29,$B$7-1,0)))</f>
        <v>0.17442100340545735</v>
      </c>
      <c r="AA29" s="6">
        <f ca="1">SQRT($B$9*AVERAGE(W29:OFFSET(W29,$B$8-1,0)))</f>
        <v>0.2716247808992529</v>
      </c>
      <c r="AB29" s="1"/>
      <c r="AC29" s="34">
        <f t="shared" si="5"/>
        <v>1.2187187481153616E-6</v>
      </c>
      <c r="AD29" s="34">
        <f ca="1">SQRT($B$9*SUM(AC29:OFFSET(AC29,$B$5-1,0))/($B$5-1))</f>
        <v>0.10038735161433399</v>
      </c>
      <c r="AE29" s="34">
        <f ca="1">SQRT($B$9*SUM(AC29:OFFSET(AC29,$B$6-1,0))/($B$6-1))</f>
        <v>0.10324534978857484</v>
      </c>
      <c r="AF29" s="34">
        <f ca="1">SQRT($B$9*SUM(AC29:OFFSET(AC29,$B$7-1,0))/($B$7-1))</f>
        <v>0.15519482153013803</v>
      </c>
      <c r="AG29" s="34">
        <f ca="1">SQRT($B$9*SUM(AC29:OFFSET(AC29,$B$8-1,0))/($B$8-1))</f>
        <v>0.32721310707988083</v>
      </c>
      <c r="AH29" s="1"/>
      <c r="AI29" s="1">
        <f t="shared" si="3"/>
        <v>1.1039559538837415E-3</v>
      </c>
      <c r="AJ29" s="4">
        <f ca="1">SQRT($B$9)*_xlfn.STDEV.S(AI29:OFFSET(AI29,$B$5-1,0))</f>
        <v>9.2015838191127186E-2</v>
      </c>
      <c r="AK29" s="4">
        <f ca="1">SQRT($B$9)*_xlfn.STDEV.S(AI29:OFFSET(AI29,$B$6-1,0))</f>
        <v>8.8550880535549853E-2</v>
      </c>
      <c r="AL29" s="4">
        <f ca="1">SQRT($B$9)*_xlfn.STDEV.S(AI29:OFFSET(AI29,$B$7-1,0))</f>
        <v>0.15310422375159985</v>
      </c>
      <c r="AM29" s="4">
        <f ca="1">SQRT($B$9)*_xlfn.STDEV.S(AI29:OFFSET(AI29,$B$8-1,0))</f>
        <v>0.32445705456561008</v>
      </c>
    </row>
    <row r="30" spans="1:39" x14ac:dyDescent="0.2">
      <c r="E30" s="42">
        <v>45632</v>
      </c>
      <c r="F30" s="43">
        <v>2.6880000000000002</v>
      </c>
      <c r="G30" s="43">
        <v>2.7360000000000002</v>
      </c>
      <c r="H30" s="43">
        <v>2.681</v>
      </c>
      <c r="I30" s="43">
        <v>2.7160000000000002</v>
      </c>
      <c r="K30" s="3">
        <f t="shared" si="4"/>
        <v>4.1237995554999302E-4</v>
      </c>
      <c r="L30" s="3">
        <f ca="1">SQRT(AVERAGE(K30:OFFSET(K30,$B$5-1,0))*$B$9/(4*LN(2)))</f>
        <v>0.12534817960120712</v>
      </c>
      <c r="M30" s="3">
        <f ca="1">SQRT(AVERAGE(K30:OFFSET(K30,$B$6-1,0))*$B$9/(4*LN(2)))</f>
        <v>0.14189978902613246</v>
      </c>
      <c r="N30" s="3">
        <f ca="1">SQRT(AVERAGE(K30:OFFSET(K30,$B$7-1,0))*$B$9/(4*LN(2)))</f>
        <v>0.16516790802612871</v>
      </c>
      <c r="O30" s="3">
        <f ca="1">SQRT(AVERAGE(K30:OFFSET(K30,$B$8-1,0))*$B$9/(4*LN(2)))</f>
        <v>0.28440886521810321</v>
      </c>
      <c r="P30" s="1"/>
      <c r="Q30" s="5">
        <f t="shared" si="0"/>
        <v>1.6487148386959039E-4</v>
      </c>
      <c r="R30" s="5">
        <f ca="1">SQRT($B$9*AVERAGE((Q30:OFFSET(Q30,$B$5-1,0))))</f>
        <v>0.13779100483171505</v>
      </c>
      <c r="S30" s="5">
        <f ca="1">SQRT($B$9*AVERAGE((Q30:OFFSET(Q30,$B$6-1,0))))</f>
        <v>0.15276646662701746</v>
      </c>
      <c r="T30" s="5">
        <f ca="1">SQRT($B$9*AVERAGE((Q30:OFFSET(Q30,$B$7-1,0))))</f>
        <v>0.17225828531557555</v>
      </c>
      <c r="U30" s="5">
        <f ca="1">SQRT($B$9*AVERAGE((Q30:OFFSET(Q30,$B$8-1,0))))</f>
        <v>0.27708286794061215</v>
      </c>
      <c r="V30" s="1"/>
      <c r="W30" s="6">
        <f t="shared" si="1"/>
        <v>1.6367909258851906E-4</v>
      </c>
      <c r="X30" s="6">
        <f ca="1">SQRT($B$9*AVERAGE(W30:OFFSET(W30,$B$5-1,0)))</f>
        <v>0.13746647925354993</v>
      </c>
      <c r="Y30" s="6">
        <f ca="1">SQRT($B$9*AVERAGE(W30:OFFSET(W30,$B$6-1,0)))</f>
        <v>0.1577093956833224</v>
      </c>
      <c r="Z30" s="6">
        <f ca="1">SQRT($B$9*AVERAGE(W30:OFFSET(W30,$B$7-1,0)))</f>
        <v>0.17811831141785661</v>
      </c>
      <c r="AA30" s="6">
        <f ca="1">SQRT($B$9*AVERAGE(W30:OFFSET(W30,$B$8-1,0)))</f>
        <v>0.27115833144176354</v>
      </c>
      <c r="AB30" s="1"/>
      <c r="AC30" s="34">
        <f t="shared" si="5"/>
        <v>1.1523764996905064E-4</v>
      </c>
      <c r="AD30" s="34">
        <f ca="1">SQRT($B$9*SUM(AC30:OFFSET(AC30,$B$5-1,0))/($B$5-1))</f>
        <v>0.10503821845694011</v>
      </c>
      <c r="AE30" s="34">
        <f ca="1">SQRT($B$9*SUM(AC30:OFFSET(AC30,$B$6-1,0))/($B$6-1))</f>
        <v>0.11226767797056464</v>
      </c>
      <c r="AF30" s="34">
        <f ca="1">SQRT($B$9*SUM(AC30:OFFSET(AC30,$B$7-1,0))/($B$7-1))</f>
        <v>0.1567669577506591</v>
      </c>
      <c r="AG30" s="34">
        <f ca="1">SQRT($B$9*SUM(AC30:OFFSET(AC30,$B$8-1,0))/($B$8-1))</f>
        <v>0.32721562306592494</v>
      </c>
      <c r="AH30" s="1"/>
      <c r="AI30" s="1">
        <f t="shared" si="3"/>
        <v>1.0734880063095751E-2</v>
      </c>
      <c r="AJ30" s="4">
        <f ca="1">SQRT($B$9)*_xlfn.STDEV.S(AI30:OFFSET(AI30,$B$5-1,0))</f>
        <v>9.2034540683977373E-2</v>
      </c>
      <c r="AK30" s="4">
        <f ca="1">SQRT($B$9)*_xlfn.STDEV.S(AI30:OFFSET(AI30,$B$6-1,0))</f>
        <v>0.10592403383087935</v>
      </c>
      <c r="AL30" s="4">
        <f ca="1">SQRT($B$9)*_xlfn.STDEV.S(AI30:OFFSET(AI30,$B$7-1,0))</f>
        <v>0.1536095486783253</v>
      </c>
      <c r="AM30" s="4">
        <f ca="1">SQRT($B$9)*_xlfn.STDEV.S(AI30:OFFSET(AI30,$B$8-1,0))</f>
        <v>0.32445385177154329</v>
      </c>
    </row>
    <row r="31" spans="1:39" x14ac:dyDescent="0.2">
      <c r="E31" s="42">
        <v>45631</v>
      </c>
      <c r="F31" s="43">
        <v>2.69</v>
      </c>
      <c r="G31" s="43">
        <v>2.7</v>
      </c>
      <c r="H31" s="43">
        <v>2.6789999999999998</v>
      </c>
      <c r="I31" s="43">
        <v>2.6869999999999998</v>
      </c>
      <c r="K31" s="3">
        <f t="shared" si="4"/>
        <v>6.0967713138318289E-5</v>
      </c>
      <c r="L31" s="3">
        <f ca="1">SQRT(AVERAGE(K31:OFFSET(K31,$B$5-1,0))*$B$9/(4*LN(2)))</f>
        <v>0.12058449611998277</v>
      </c>
      <c r="M31" s="3">
        <f ca="1">SQRT(AVERAGE(K31:OFFSET(K31,$B$6-1,0))*$B$9/(4*LN(2)))</f>
        <v>0.15985887542118835</v>
      </c>
      <c r="N31" s="3">
        <f ca="1">SQRT(AVERAGE(K31:OFFSET(K31,$B$7-1,0))*$B$9/(4*LN(2)))</f>
        <v>0.17020452645346093</v>
      </c>
      <c r="O31" s="3">
        <f ca="1">SQRT(AVERAGE(K31:OFFSET(K31,$B$8-1,0))*$B$9/(4*LN(2)))</f>
        <v>0.28360621011380355</v>
      </c>
      <c r="P31" s="1"/>
      <c r="Q31" s="5">
        <f t="shared" si="0"/>
        <v>3.0091632291034079E-5</v>
      </c>
      <c r="R31" s="5">
        <f ca="1">SQRT($B$9*AVERAGE((Q31:OFFSET(Q31,$B$5-1,0))))</f>
        <v>0.13747894482837633</v>
      </c>
      <c r="S31" s="5">
        <f ca="1">SQRT($B$9*AVERAGE((Q31:OFFSET(Q31,$B$6-1,0))))</f>
        <v>0.15605137500831173</v>
      </c>
      <c r="T31" s="5">
        <f ca="1">SQRT($B$9*AVERAGE((Q31:OFFSET(Q31,$B$7-1,0))))</f>
        <v>0.17572252173512815</v>
      </c>
      <c r="U31" s="5">
        <f ca="1">SQRT($B$9*AVERAGE((Q31:OFFSET(Q31,$B$8-1,0))))</f>
        <v>0.27620521007952958</v>
      </c>
      <c r="V31" s="1"/>
      <c r="W31" s="6">
        <f t="shared" si="1"/>
        <v>3.0126884467937352E-5</v>
      </c>
      <c r="X31" s="6">
        <f ca="1">SQRT($B$9*AVERAGE(W31:OFFSET(W31,$B$5-1,0)))</f>
        <v>0.14952313862495736</v>
      </c>
      <c r="Y31" s="6">
        <f ca="1">SQRT($B$9*AVERAGE(W31:OFFSET(W31,$B$6-1,0)))</f>
        <v>0.15431457519054659</v>
      </c>
      <c r="Z31" s="6">
        <f ca="1">SQRT($B$9*AVERAGE(W31:OFFSET(W31,$B$7-1,0)))</f>
        <v>0.18021624723698088</v>
      </c>
      <c r="AA31" s="6">
        <f ca="1">SQRT($B$9*AVERAGE(W31:OFFSET(W31,$B$8-1,0)))</f>
        <v>0.27028947303941708</v>
      </c>
      <c r="AB31" s="1"/>
      <c r="AC31" s="34">
        <f t="shared" si="5"/>
        <v>1.9855975235219256E-5</v>
      </c>
      <c r="AD31" s="34">
        <f ca="1">SQRT($B$9*SUM(AC31:OFFSET(AC31,$B$5-1,0))/($B$5-1))</f>
        <v>7.8024937364184171E-2</v>
      </c>
      <c r="AE31" s="34">
        <f ca="1">SQRT($B$9*SUM(AC31:OFFSET(AC31,$B$6-1,0))/($B$6-1))</f>
        <v>0.18187639750579457</v>
      </c>
      <c r="AF31" s="34">
        <f ca="1">SQRT($B$9*SUM(AC31:OFFSET(AC31,$B$7-1,0))/($B$7-1))</f>
        <v>0.16099128768004103</v>
      </c>
      <c r="AG31" s="34">
        <f ca="1">SQRT($B$9*SUM(AC31:OFFSET(AC31,$B$8-1,0))/($B$8-1))</f>
        <v>0.32693654692353352</v>
      </c>
      <c r="AH31" s="1"/>
      <c r="AI31" s="1">
        <f t="shared" si="3"/>
        <v>-4.4560044025134509E-3</v>
      </c>
      <c r="AJ31" s="4">
        <f ca="1">SQRT($B$9)*_xlfn.STDEV.S(AI31:OFFSET(AI31,$B$5-1,0))</f>
        <v>7.0415472667047285E-2</v>
      </c>
      <c r="AK31" s="4">
        <f ca="1">SQRT($B$9)*_xlfn.STDEV.S(AI31:OFFSET(AI31,$B$6-1,0))</f>
        <v>0.17953333222184167</v>
      </c>
      <c r="AL31" s="4">
        <f ca="1">SQRT($B$9)*_xlfn.STDEV.S(AI31:OFFSET(AI31,$B$7-1,0))</f>
        <v>0.15242469154671079</v>
      </c>
      <c r="AM31" s="4">
        <f ca="1">SQRT($B$9)*_xlfn.STDEV.S(AI31:OFFSET(AI31,$B$8-1,0))</f>
        <v>0.32479278423987729</v>
      </c>
    </row>
    <row r="32" spans="1:39" x14ac:dyDescent="0.2">
      <c r="E32" s="42">
        <v>45630</v>
      </c>
      <c r="F32" s="43">
        <v>2.6989999999999998</v>
      </c>
      <c r="G32" s="43">
        <v>2.7120000000000002</v>
      </c>
      <c r="H32" s="43">
        <v>2.6869999999999998</v>
      </c>
      <c r="I32" s="43">
        <v>2.6989999999999998</v>
      </c>
      <c r="K32" s="3">
        <f t="shared" si="4"/>
        <v>8.5766870120132459E-5</v>
      </c>
      <c r="L32" s="3">
        <f ca="1">SQRT(AVERAGE(K32:OFFSET(K32,$B$5-1,0))*$B$9/(4*LN(2)))</f>
        <v>0.12803390777666077</v>
      </c>
      <c r="M32" s="3">
        <f ca="1">SQRT(AVERAGE(K32:OFFSET(K32,$B$6-1,0))*$B$9/(4*LN(2)))</f>
        <v>0.16006078158419282</v>
      </c>
      <c r="N32" s="3">
        <f ca="1">SQRT(AVERAGE(K32:OFFSET(K32,$B$7-1,0))*$B$9/(4*LN(2)))</f>
        <v>0.19519748584249202</v>
      </c>
      <c r="O32" s="3">
        <f ca="1">SQRT(AVERAGE(K32:OFFSET(K32,$B$8-1,0))*$B$9/(4*LN(2)))</f>
        <v>0.28357999335386752</v>
      </c>
      <c r="P32" s="1"/>
      <c r="Q32" s="5">
        <f t="shared" si="0"/>
        <v>4.3013242684559239E-5</v>
      </c>
      <c r="R32" s="5">
        <f ca="1">SQRT($B$9*AVERAGE((Q32:OFFSET(Q32,$B$5-1,0))))</f>
        <v>0.1446456671414818</v>
      </c>
      <c r="S32" s="5">
        <f ca="1">SQRT($B$9*AVERAGE((Q32:OFFSET(Q32,$B$6-1,0))))</f>
        <v>0.15589811358517755</v>
      </c>
      <c r="T32" s="5">
        <f ca="1">SQRT($B$9*AVERAGE((Q32:OFFSET(Q32,$B$7-1,0))))</f>
        <v>0.18426979196241527</v>
      </c>
      <c r="U32" s="5">
        <f ca="1">SQRT($B$9*AVERAGE((Q32:OFFSET(Q32,$B$8-1,0))))</f>
        <v>0.2761203086051523</v>
      </c>
      <c r="V32" s="1"/>
      <c r="W32" s="6">
        <f t="shared" si="1"/>
        <v>4.2944346602846021E-5</v>
      </c>
      <c r="X32" s="6">
        <f ca="1">SQRT($B$9*AVERAGE(W32:OFFSET(W32,$B$5-1,0)))</f>
        <v>0.15663975632543306</v>
      </c>
      <c r="Y32" s="6">
        <f ca="1">SQRT($B$9*AVERAGE(W32:OFFSET(W32,$B$6-1,0)))</f>
        <v>0.15409733349882895</v>
      </c>
      <c r="Z32" s="6">
        <f ca="1">SQRT($B$9*AVERAGE(W32:OFFSET(W32,$B$7-1,0)))</f>
        <v>0.18133177591046218</v>
      </c>
      <c r="AA32" s="6">
        <f ca="1">SQRT($B$9*AVERAGE(W32:OFFSET(W32,$B$8-1,0)))</f>
        <v>0.27018825582671213</v>
      </c>
      <c r="AB32" s="1"/>
      <c r="AC32" s="34">
        <f t="shared" si="5"/>
        <v>1.2341110346839916E-6</v>
      </c>
      <c r="AD32" s="34">
        <f ca="1">SQRT($B$9*SUM(AC32:OFFSET(AC32,$B$5-1,0))/($B$5-1))</f>
        <v>7.9172402920736365E-2</v>
      </c>
      <c r="AE32" s="34">
        <f ca="1">SQRT($B$9*SUM(AC32:OFFSET(AC32,$B$6-1,0))/($B$6-1))</f>
        <v>0.18085952725623824</v>
      </c>
      <c r="AF32" s="34">
        <f ca="1">SQRT($B$9*SUM(AC32:OFFSET(AC32,$B$7-1,0))/($B$7-1))</f>
        <v>0.20873622092611518</v>
      </c>
      <c r="AG32" s="34">
        <f ca="1">SQRT($B$9*SUM(AC32:OFFSET(AC32,$B$8-1,0))/($B$8-1))</f>
        <v>0.32694559675253604</v>
      </c>
      <c r="AH32" s="1"/>
      <c r="AI32" s="1">
        <f t="shared" si="3"/>
        <v>-1.1109055021395796E-3</v>
      </c>
      <c r="AJ32" s="4">
        <f ca="1">SQRT($B$9)*_xlfn.STDEV.S(AI32:OFFSET(AI32,$B$5-1,0))</f>
        <v>7.2197822037829387E-2</v>
      </c>
      <c r="AK32" s="4">
        <f ca="1">SQRT($B$9)*_xlfn.STDEV.S(AI32:OFFSET(AI32,$B$6-1,0))</f>
        <v>0.18000068313505768</v>
      </c>
      <c r="AL32" s="4">
        <f ca="1">SQRT($B$9)*_xlfn.STDEV.S(AI32:OFFSET(AI32,$B$7-1,0))</f>
        <v>0.20793122568287589</v>
      </c>
      <c r="AM32" s="4">
        <f ca="1">SQRT($B$9)*_xlfn.STDEV.S(AI32:OFFSET(AI32,$B$8-1,0))</f>
        <v>0.32480664825945144</v>
      </c>
    </row>
    <row r="33" spans="5:39" x14ac:dyDescent="0.2">
      <c r="E33" s="42">
        <v>45629</v>
      </c>
      <c r="F33" s="43">
        <v>2.6880000000000002</v>
      </c>
      <c r="G33" s="43">
        <v>2.71</v>
      </c>
      <c r="H33" s="43">
        <v>2.6749999999999998</v>
      </c>
      <c r="I33" s="43">
        <v>2.702</v>
      </c>
      <c r="K33" s="3">
        <f t="shared" si="4"/>
        <v>1.6898061869034044E-4</v>
      </c>
      <c r="L33" s="3">
        <f ca="1">SQRT(AVERAGE(K33:OFFSET(K33,$B$5-1,0))*$B$9/(4*LN(2)))</f>
        <v>0.13978341578023024</v>
      </c>
      <c r="M33" s="3">
        <f ca="1">SQRT(AVERAGE(K33:OFFSET(K33,$B$6-1,0))*$B$9/(4*LN(2)))</f>
        <v>0.16090797999557069</v>
      </c>
      <c r="N33" s="3">
        <f ca="1">SQRT(AVERAGE(K33:OFFSET(K33,$B$7-1,0))*$B$9/(4*LN(2)))</f>
        <v>0.19879011776192809</v>
      </c>
      <c r="O33" s="3">
        <f ca="1">SQRT(AVERAGE(K33:OFFSET(K33,$B$8-1,0))*$B$9/(4*LN(2)))</f>
        <v>0.28381768125429679</v>
      </c>
      <c r="P33" s="1"/>
      <c r="Q33" s="5">
        <f t="shared" si="0"/>
        <v>7.4185721354526156E-5</v>
      </c>
      <c r="R33" s="5">
        <f ca="1">SQRT($B$9*AVERAGE((Q33:OFFSET(Q33,$B$5-1,0))))</f>
        <v>0.15041963815020604</v>
      </c>
      <c r="S33" s="5">
        <f ca="1">SQRT($B$9*AVERAGE((Q33:OFFSET(Q33,$B$6-1,0))))</f>
        <v>0.15653424471771643</v>
      </c>
      <c r="T33" s="5">
        <f ca="1">SQRT($B$9*AVERAGE((Q33:OFFSET(Q33,$B$7-1,0))))</f>
        <v>0.18876627961494008</v>
      </c>
      <c r="U33" s="5">
        <f ca="1">SQRT($B$9*AVERAGE((Q33:OFFSET(Q33,$B$8-1,0))))</f>
        <v>0.27612010367176926</v>
      </c>
      <c r="V33" s="1"/>
      <c r="W33" s="6">
        <f t="shared" si="1"/>
        <v>7.2786412261220757E-5</v>
      </c>
      <c r="X33" s="6">
        <f ca="1">SQRT($B$9*AVERAGE(W33:OFFSET(W33,$B$5-1,0)))</f>
        <v>0.1603264982035795</v>
      </c>
      <c r="Y33" s="6">
        <f ca="1">SQRT($B$9*AVERAGE(W33:OFFSET(W33,$B$6-1,0)))</f>
        <v>0.15459239062277474</v>
      </c>
      <c r="Z33" s="6">
        <f ca="1">SQRT($B$9*AVERAGE(W33:OFFSET(W33,$B$7-1,0)))</f>
        <v>0.18567032544815842</v>
      </c>
      <c r="AA33" s="6">
        <f ca="1">SQRT($B$9*AVERAGE(W33:OFFSET(W33,$B$8-1,0)))</f>
        <v>0.2700914417392285</v>
      </c>
      <c r="AB33" s="1"/>
      <c r="AC33" s="34">
        <f t="shared" si="5"/>
        <v>2.6986122386643828E-5</v>
      </c>
      <c r="AD33" s="34">
        <f ca="1">SQRT($B$9*SUM(AC33:OFFSET(AC33,$B$5-1,0))/($B$5-1))</f>
        <v>0.12130205926291006</v>
      </c>
      <c r="AE33" s="34">
        <f ca="1">SQRT($B$9*SUM(AC33:OFFSET(AC33,$B$6-1,0))/($B$6-1))</f>
        <v>0.18111677809130644</v>
      </c>
      <c r="AF33" s="34">
        <f ca="1">SQRT($B$9*SUM(AC33:OFFSET(AC33,$B$7-1,0))/($B$7-1))</f>
        <v>0.21072950375031671</v>
      </c>
      <c r="AG33" s="34">
        <f ca="1">SQRT($B$9*SUM(AC33:OFFSET(AC33,$B$8-1,0))/($B$8-1))</f>
        <v>0.32859739373003499</v>
      </c>
      <c r="AH33" s="1"/>
      <c r="AI33" s="1">
        <f t="shared" si="3"/>
        <v>5.19481687710393E-3</v>
      </c>
      <c r="AJ33" s="4">
        <f ca="1">SQRT($B$9)*_xlfn.STDEV.S(AI33:OFFSET(AI33,$B$5-1,0))</f>
        <v>9.3180249849703564E-2</v>
      </c>
      <c r="AK33" s="4">
        <f ca="1">SQRT($B$9)*_xlfn.STDEV.S(AI33:OFFSET(AI33,$B$6-1,0))</f>
        <v>0.18070460324454901</v>
      </c>
      <c r="AL33" s="4">
        <f ca="1">SQRT($B$9)*_xlfn.STDEV.S(AI33:OFFSET(AI33,$B$7-1,0))</f>
        <v>0.20936416644219666</v>
      </c>
      <c r="AM33" s="4">
        <f ca="1">SQRT($B$9)*_xlfn.STDEV.S(AI33:OFFSET(AI33,$B$8-1,0))</f>
        <v>0.32689847064697558</v>
      </c>
    </row>
    <row r="34" spans="5:39" x14ac:dyDescent="0.2">
      <c r="E34" s="42">
        <v>45628</v>
      </c>
      <c r="F34" s="43">
        <v>2.6779999999999999</v>
      </c>
      <c r="G34" s="43">
        <v>2.6970000000000001</v>
      </c>
      <c r="H34" s="43">
        <v>2.6629999999999998</v>
      </c>
      <c r="I34" s="43">
        <v>2.6880000000000002</v>
      </c>
      <c r="K34" s="3">
        <f t="shared" si="4"/>
        <v>1.6095330397379126E-4</v>
      </c>
      <c r="L34" s="3">
        <f ca="1">SQRT(AVERAGE(K34:OFFSET(K34,$B$5-1,0))*$B$9/(4*LN(2)))</f>
        <v>0.14165728821767712</v>
      </c>
      <c r="M34" s="3">
        <f ca="1">SQRT(AVERAGE(K34:OFFSET(K34,$B$6-1,0))*$B$9/(4*LN(2)))</f>
        <v>0.16517150888212323</v>
      </c>
      <c r="N34" s="3">
        <f ca="1">SQRT(AVERAGE(K34:OFFSET(K34,$B$7-1,0))*$B$9/(4*LN(2)))</f>
        <v>0.20456366068037413</v>
      </c>
      <c r="O34" s="3">
        <f ca="1">SQRT(AVERAGE(K34:OFFSET(K34,$B$8-1,0))*$B$9/(4*LN(2)))</f>
        <v>0.28431322986360857</v>
      </c>
      <c r="P34" s="1"/>
      <c r="Q34" s="5">
        <f t="shared" si="0"/>
        <v>7.5314675158121052E-5</v>
      </c>
      <c r="R34" s="5">
        <f ca="1">SQRT($B$9*AVERAGE((Q34:OFFSET(Q34,$B$5-1,0))))</f>
        <v>0.15108754669100177</v>
      </c>
      <c r="S34" s="5">
        <f ca="1">SQRT($B$9*AVERAGE((Q34:OFFSET(Q34,$B$6-1,0))))</f>
        <v>0.16321541275162396</v>
      </c>
      <c r="T34" s="5">
        <f ca="1">SQRT($B$9*AVERAGE((Q34:OFFSET(Q34,$B$7-1,0))))</f>
        <v>0.19126801819978725</v>
      </c>
      <c r="U34" s="5">
        <f ca="1">SQRT($B$9*AVERAGE((Q34:OFFSET(Q34,$B$8-1,0))))</f>
        <v>0.27654749637425952</v>
      </c>
      <c r="V34" s="1"/>
      <c r="W34" s="6">
        <f t="shared" si="1"/>
        <v>7.6116997107368123E-5</v>
      </c>
      <c r="X34" s="6">
        <f ca="1">SQRT($B$9*AVERAGE(W34:OFFSET(W34,$B$5-1,0)))</f>
        <v>0.16281134903615513</v>
      </c>
      <c r="Y34" s="6">
        <f ca="1">SQRT($B$9*AVERAGE(W34:OFFSET(W34,$B$6-1,0)))</f>
        <v>0.16516191657683771</v>
      </c>
      <c r="Z34" s="6">
        <f ca="1">SQRT($B$9*AVERAGE(W34:OFFSET(W34,$B$7-1,0)))</f>
        <v>0.18662791432501996</v>
      </c>
      <c r="AA34" s="6">
        <f ca="1">SQRT($B$9*AVERAGE(W34:OFFSET(W34,$B$8-1,0)))</f>
        <v>0.27061312790578057</v>
      </c>
      <c r="AB34" s="1"/>
      <c r="AC34" s="34">
        <f t="shared" si="5"/>
        <v>1.6817199931265559E-5</v>
      </c>
      <c r="AD34" s="34">
        <f ca="1">SQRT($B$9*SUM(AC34:OFFSET(AC34,$B$5-1,0))/($B$5-1))</f>
        <v>0.11792575929385277</v>
      </c>
      <c r="AE34" s="34">
        <f ca="1">SQRT($B$9*SUM(AC34:OFFSET(AC34,$B$6-1,0))/($B$6-1))</f>
        <v>0.18048387820779724</v>
      </c>
      <c r="AF34" s="34">
        <f ca="1">SQRT($B$9*SUM(AC34:OFFSET(AC34,$B$7-1,0))/($B$7-1))</f>
        <v>0.22174222393751605</v>
      </c>
      <c r="AG34" s="34">
        <f ca="1">SQRT($B$9*SUM(AC34:OFFSET(AC34,$B$8-1,0))/($B$8-1))</f>
        <v>0.3289497593323305</v>
      </c>
      <c r="AH34" s="1"/>
      <c r="AI34" s="1">
        <f t="shared" si="3"/>
        <v>4.1008779463994728E-3</v>
      </c>
      <c r="AJ34" s="4">
        <f ca="1">SQRT($B$9)*_xlfn.STDEV.S(AI34:OFFSET(AI34,$B$5-1,0))</f>
        <v>9.3019719615475269E-2</v>
      </c>
      <c r="AK34" s="4">
        <f ca="1">SQRT($B$9)*_xlfn.STDEV.S(AI34:OFFSET(AI34,$B$6-1,0))</f>
        <v>0.17831520629308534</v>
      </c>
      <c r="AL34" s="4">
        <f ca="1">SQRT($B$9)*_xlfn.STDEV.S(AI34:OFFSET(AI34,$B$7-1,0))</f>
        <v>0.22140992107349472</v>
      </c>
      <c r="AM34" s="4">
        <f ca="1">SQRT($B$9)*_xlfn.STDEV.S(AI34:OFFSET(AI34,$B$8-1,0))</f>
        <v>0.32714631351732637</v>
      </c>
    </row>
    <row r="35" spans="5:39" x14ac:dyDescent="0.2">
      <c r="E35" s="42">
        <v>45625</v>
      </c>
      <c r="F35" s="43">
        <v>2.6623013913369005</v>
      </c>
      <c r="G35" s="43">
        <v>2.7112947919871928</v>
      </c>
      <c r="H35" s="43">
        <v>2.6613215233238945</v>
      </c>
      <c r="I35" s="43">
        <v>2.6769994115319884</v>
      </c>
      <c r="K35" s="3">
        <f t="shared" si="4"/>
        <v>3.4608988141805177E-4</v>
      </c>
      <c r="L35" s="3">
        <f ca="1">SQRT(AVERAGE(K35:OFFSET(K35,$B$5-1,0))*$B$9/(4*LN(2)))</f>
        <v>0.15671290349548539</v>
      </c>
      <c r="M35" s="3">
        <f ca="1">SQRT(AVERAGE(K35:OFFSET(K35,$B$6-1,0))*$B$9/(4*LN(2)))</f>
        <v>0.17253329068980805</v>
      </c>
      <c r="N35" s="3">
        <f ca="1">SQRT(AVERAGE(K35:OFFSET(K35,$B$7-1,0))*$B$9/(4*LN(2)))</f>
        <v>0.20581292053935363</v>
      </c>
      <c r="O35" s="3">
        <f ca="1">SQRT(AVERAGE(K35:OFFSET(K35,$B$8-1,0))*$B$9/(4*LN(2)))</f>
        <v>0.28407389444450593</v>
      </c>
      <c r="P35" s="1"/>
      <c r="Q35" s="5">
        <f t="shared" si="0"/>
        <v>1.631184075142849E-4</v>
      </c>
      <c r="R35" s="5">
        <f ca="1">SQRT($B$9*AVERAGE((Q35:OFFSET(Q35,$B$5-1,0))))</f>
        <v>0.1663995962701639</v>
      </c>
      <c r="S35" s="5">
        <f ca="1">SQRT($B$9*AVERAGE((Q35:OFFSET(Q35,$B$6-1,0))))</f>
        <v>0.1739456977683442</v>
      </c>
      <c r="T35" s="5">
        <f ca="1">SQRT($B$9*AVERAGE((Q35:OFFSET(Q35,$B$7-1,0))))</f>
        <v>0.19266597850746559</v>
      </c>
      <c r="U35" s="5">
        <f ca="1">SQRT($B$9*AVERAGE((Q35:OFFSET(Q35,$B$8-1,0))))</f>
        <v>0.27614769781044968</v>
      </c>
      <c r="V35" s="1"/>
      <c r="W35" s="6">
        <f t="shared" si="1"/>
        <v>2.342941143414077E-4</v>
      </c>
      <c r="X35" s="6">
        <f ca="1">SQRT($B$9*AVERAGE(W35:OFFSET(W35,$B$5-1,0)))</f>
        <v>0.17563448993643258</v>
      </c>
      <c r="Y35" s="6">
        <f ca="1">SQRT($B$9*AVERAGE(W35:OFFSET(W35,$B$6-1,0)))</f>
        <v>0.18000615330330608</v>
      </c>
      <c r="Z35" s="6">
        <f ca="1">SQRT($B$9*AVERAGE(W35:OFFSET(W35,$B$7-1,0)))</f>
        <v>0.18885954345745085</v>
      </c>
      <c r="AA35" s="6">
        <f ca="1">SQRT($B$9*AVERAGE(W35:OFFSET(W35,$B$8-1,0)))</f>
        <v>0.27017287668854473</v>
      </c>
      <c r="AB35" s="1"/>
      <c r="AC35" s="34">
        <f t="shared" si="5"/>
        <v>3.4500727749899431E-5</v>
      </c>
      <c r="AD35" s="34">
        <f ca="1">SQRT($B$9*SUM(AC35:OFFSET(AC35,$B$5-1,0))/($B$5-1))</f>
        <v>0.13162842997021021</v>
      </c>
      <c r="AE35" s="34">
        <f ca="1">SQRT($B$9*SUM(AC35:OFFSET(AC35,$B$6-1,0))/($B$6-1))</f>
        <v>0.18061670450575515</v>
      </c>
      <c r="AF35" s="34">
        <f ca="1">SQRT($B$9*SUM(AC35:OFFSET(AC35,$B$7-1,0))/($B$7-1))</f>
        <v>0.22324771522518633</v>
      </c>
      <c r="AG35" s="34">
        <f ca="1">SQRT($B$9*SUM(AC35:OFFSET(AC35,$B$8-1,0))/($B$8-1))</f>
        <v>0.32927563228403861</v>
      </c>
      <c r="AH35" s="1"/>
      <c r="AI35" s="1">
        <f t="shared" si="3"/>
        <v>5.873732012094136E-3</v>
      </c>
      <c r="AJ35" s="4">
        <f ca="1">SQRT($B$9)*_xlfn.STDEV.S(AI35:OFFSET(AI35,$B$5-1,0))</f>
        <v>0.12855051261645747</v>
      </c>
      <c r="AK35" s="4">
        <f ca="1">SQRT($B$9)*_xlfn.STDEV.S(AI35:OFFSET(AI35,$B$6-1,0))</f>
        <v>0.17850332944405536</v>
      </c>
      <c r="AL35" s="4">
        <f ca="1">SQRT($B$9)*_xlfn.STDEV.S(AI35:OFFSET(AI35,$B$7-1,0))</f>
        <v>0.22307542251212806</v>
      </c>
      <c r="AM35" s="4">
        <f ca="1">SQRT($B$9)*_xlfn.STDEV.S(AI35:OFFSET(AI35,$B$8-1,0))</f>
        <v>0.32779962052346262</v>
      </c>
    </row>
    <row r="36" spans="5:39" x14ac:dyDescent="0.2">
      <c r="E36" s="42">
        <v>45624</v>
      </c>
      <c r="F36" s="43">
        <v>2.676019543518982</v>
      </c>
      <c r="G36" s="43">
        <v>2.6809188835840114</v>
      </c>
      <c r="H36" s="43">
        <v>2.6466235031288066</v>
      </c>
      <c r="I36" s="43">
        <v>2.6613215233238945</v>
      </c>
      <c r="K36" s="3">
        <f t="shared" si="4"/>
        <v>1.6576369246363806E-4</v>
      </c>
      <c r="L36" s="3">
        <f ca="1">SQRT(AVERAGE(K36:OFFSET(K36,$B$5-1,0))*$B$9/(4*LN(2)))</f>
        <v>0.19123048762512712</v>
      </c>
      <c r="M36" s="3">
        <f ca="1">SQRT(AVERAGE(K36:OFFSET(K36,$B$6-1,0))*$B$9/(4*LN(2)))</f>
        <v>0.1699801057267607</v>
      </c>
      <c r="N36" s="3">
        <f ca="1">SQRT(AVERAGE(K36:OFFSET(K36,$B$7-1,0))*$B$9/(4*LN(2)))</f>
        <v>0.20534657421083868</v>
      </c>
      <c r="O36" s="3">
        <f ca="1">SQRT(AVERAGE(K36:OFFSET(K36,$B$8-1,0))*$B$9/(4*LN(2)))</f>
        <v>0.28347288891858063</v>
      </c>
      <c r="P36" s="1"/>
      <c r="Q36" s="5">
        <f t="shared" si="0"/>
        <v>7.1355076202883017E-5</v>
      </c>
      <c r="R36" s="5">
        <f ca="1">SQRT($B$9*AVERAGE((Q36:OFFSET(Q36,$B$5-1,0))))</f>
        <v>0.17263720054740728</v>
      </c>
      <c r="S36" s="5">
        <f ca="1">SQRT($B$9*AVERAGE((Q36:OFFSET(Q36,$B$6-1,0))))</f>
        <v>0.16790421975719416</v>
      </c>
      <c r="T36" s="5">
        <f ca="1">SQRT($B$9*AVERAGE((Q36:OFFSET(Q36,$B$7-1,0))))</f>
        <v>0.1911130692168076</v>
      </c>
      <c r="U36" s="5">
        <f ca="1">SQRT($B$9*AVERAGE((Q36:OFFSET(Q36,$B$8-1,0))))</f>
        <v>0.27528260057505138</v>
      </c>
      <c r="V36" s="1"/>
      <c r="W36" s="6">
        <f t="shared" si="1"/>
        <v>7.4593094211464377E-5</v>
      </c>
      <c r="X36" s="6">
        <f ca="1">SQRT($B$9*AVERAGE(W36:OFFSET(W36,$B$5-1,0)))</f>
        <v>0.15896165338917279</v>
      </c>
      <c r="Y36" s="6">
        <f ca="1">SQRT($B$9*AVERAGE(W36:OFFSET(W36,$B$6-1,0)))</f>
        <v>0.16881396693922299</v>
      </c>
      <c r="Z36" s="6">
        <f ca="1">SQRT($B$9*AVERAGE(W36:OFFSET(W36,$B$7-1,0)))</f>
        <v>0.1855050733668471</v>
      </c>
      <c r="AA36" s="6">
        <f ca="1">SQRT($B$9*AVERAGE(W36:OFFSET(W36,$B$8-1,0)))</f>
        <v>0.26875513962403624</v>
      </c>
      <c r="AB36" s="1"/>
      <c r="AC36" s="34">
        <f t="shared" si="5"/>
        <v>2.2800930885154925E-5</v>
      </c>
      <c r="AD36" s="34">
        <f ca="1">SQRT($B$9*SUM(AC36:OFFSET(AC36,$B$5-1,0))/($B$5-1))</f>
        <v>0.26141903733490446</v>
      </c>
      <c r="AE36" s="34">
        <f ca="1">SQRT($B$9*SUM(AC36:OFFSET(AC36,$B$6-1,0))/($B$6-1))</f>
        <v>0.19025303390453185</v>
      </c>
      <c r="AF36" s="34">
        <f ca="1">SQRT($B$9*SUM(AC36:OFFSET(AC36,$B$7-1,0))/($B$7-1))</f>
        <v>0.22393257139543282</v>
      </c>
      <c r="AG36" s="34">
        <f ca="1">SQRT($B$9*SUM(AC36:OFFSET(AC36,$B$8-1,0))/($B$8-1))</f>
        <v>0.32936529332782322</v>
      </c>
      <c r="AH36" s="1"/>
      <c r="AI36" s="1">
        <f t="shared" si="3"/>
        <v>-4.77503202975173E-3</v>
      </c>
      <c r="AJ36" s="4">
        <f ca="1">SQRT($B$9)*_xlfn.STDEV.S(AI36:OFFSET(AI36,$B$5-1,0))</f>
        <v>0.24341398430894468</v>
      </c>
      <c r="AK36" s="4">
        <f ca="1">SQRT($B$9)*_xlfn.STDEV.S(AI36:OFFSET(AI36,$B$6-1,0))</f>
        <v>0.18104093700256646</v>
      </c>
      <c r="AL36" s="4">
        <f ca="1">SQRT($B$9)*_xlfn.STDEV.S(AI36:OFFSET(AI36,$B$7-1,0))</f>
        <v>0.22381168132081167</v>
      </c>
      <c r="AM36" s="4">
        <f ca="1">SQRT($B$9)*_xlfn.STDEV.S(AI36:OFFSET(AI36,$B$8-1,0))</f>
        <v>0.32819328080037946</v>
      </c>
    </row>
    <row r="37" spans="5:39" x14ac:dyDescent="0.2">
      <c r="E37" s="42">
        <v>45623</v>
      </c>
      <c r="F37" s="43">
        <v>2.6427040310767831</v>
      </c>
      <c r="G37" s="43">
        <v>2.676019543518982</v>
      </c>
      <c r="H37" s="43">
        <v>2.6329053509467246</v>
      </c>
      <c r="I37" s="43">
        <v>2.6740598074929705</v>
      </c>
      <c r="K37" s="3">
        <f t="shared" si="4"/>
        <v>2.6381922394923789E-4</v>
      </c>
      <c r="L37" s="3">
        <f ca="1">SQRT(AVERAGE(K37:OFFSET(K37,$B$5-1,0))*$B$9/(4*LN(2)))</f>
        <v>0.18667143879587711</v>
      </c>
      <c r="M37" s="3">
        <f ca="1">SQRT(AVERAGE(K37:OFFSET(K37,$B$6-1,0))*$B$9/(4*LN(2)))</f>
        <v>0.17311003024942098</v>
      </c>
      <c r="N37" s="3">
        <f ca="1">SQRT(AVERAGE(K37:OFFSET(K37,$B$7-1,0))*$B$9/(4*LN(2)))</f>
        <v>0.20608609239606868</v>
      </c>
      <c r="O37" s="3">
        <f ca="1">SQRT(AVERAGE(K37:OFFSET(K37,$B$8-1,0))*$B$9/(4*LN(2)))</f>
        <v>0.28314014313232705</v>
      </c>
      <c r="P37" s="1"/>
      <c r="Q37" s="5">
        <f t="shared" ref="Q37:Q68" si="6">0.511*(LN(G37/H37))^2-0.019*(LN(I37/F37)*LN(G37*H37/F37^2)-2*LN(G37/F37)*LN(H37/F37))-0.383*(LN(I37/F37))^2</f>
        <v>7.7782600203632151E-5</v>
      </c>
      <c r="R37" s="5">
        <f ca="1">SQRT($B$9*AVERAGE((Q37:OFFSET(Q37,$B$5-1,0))))</f>
        <v>0.1663913297501691</v>
      </c>
      <c r="S37" s="5">
        <f ca="1">SQRT($B$9*AVERAGE((Q37:OFFSET(Q37,$B$6-1,0))))</f>
        <v>0.17237834074415617</v>
      </c>
      <c r="T37" s="5">
        <f ca="1">SQRT($B$9*AVERAGE((Q37:OFFSET(Q37,$B$7-1,0))))</f>
        <v>0.19258493830740731</v>
      </c>
      <c r="U37" s="5">
        <f ca="1">SQRT($B$9*AVERAGE((Q37:OFFSET(Q37,$B$8-1,0))))</f>
        <v>0.2748891567006348</v>
      </c>
      <c r="V37" s="1"/>
      <c r="W37" s="6">
        <f t="shared" ref="W37:W68" si="7">LN(G37/I37)*LN(G37/F37)+LN(H37/I37)*LN(H37/F37)</f>
        <v>6.6792770368791769E-5</v>
      </c>
      <c r="X37" s="6">
        <f ca="1">SQRT($B$9*AVERAGE(W37:OFFSET(W37,$B$5-1,0)))</f>
        <v>0.15151225402985591</v>
      </c>
      <c r="Y37" s="6">
        <f ca="1">SQRT($B$9*AVERAGE(W37:OFFSET(W37,$B$6-1,0)))</f>
        <v>0.17466545070273345</v>
      </c>
      <c r="Z37" s="6">
        <f ca="1">SQRT($B$9*AVERAGE(W37:OFFSET(W37,$B$7-1,0)))</f>
        <v>0.18690165447166676</v>
      </c>
      <c r="AA37" s="6">
        <f ca="1">SQRT($B$9*AVERAGE(W37:OFFSET(W37,$B$8-1,0)))</f>
        <v>0.26832838350066768</v>
      </c>
      <c r="AB37" s="1"/>
      <c r="AC37" s="34">
        <f t="shared" si="5"/>
        <v>1.3912668568250638E-4</v>
      </c>
      <c r="AD37" s="34">
        <f ca="1">SQRT($B$9*SUM(AC37:OFFSET(AC37,$B$5-1,0))/($B$5-1))</f>
        <v>0.25947949815793547</v>
      </c>
      <c r="AE37" s="34">
        <f ca="1">SQRT($B$9*SUM(AC37:OFFSET(AC37,$B$6-1,0))/($B$6-1))</f>
        <v>0.19374962364287682</v>
      </c>
      <c r="AF37" s="34">
        <f ca="1">SQRT($B$9*SUM(AC37:OFFSET(AC37,$B$7-1,0))/($B$7-1))</f>
        <v>0.22329049406869983</v>
      </c>
      <c r="AG37" s="34">
        <f ca="1">SQRT($B$9*SUM(AC37:OFFSET(AC37,$B$8-1,0))/($B$8-1))</f>
        <v>0.32922575492633993</v>
      </c>
      <c r="AH37" s="1"/>
      <c r="AI37" s="1">
        <f t="shared" ref="AI37:AI68" si="8">LN(I37/I38)</f>
        <v>1.1795197568608437E-2</v>
      </c>
      <c r="AJ37" s="4">
        <f ca="1">SQRT($B$9)*_xlfn.STDEV.S(AI37:OFFSET(AI37,$B$5-1,0))</f>
        <v>0.24990471806681666</v>
      </c>
      <c r="AK37" s="4">
        <f ca="1">SQRT($B$9)*_xlfn.STDEV.S(AI37:OFFSET(AI37,$B$6-1,0))</f>
        <v>0.18265664214085048</v>
      </c>
      <c r="AL37" s="4">
        <f ca="1">SQRT($B$9)*_xlfn.STDEV.S(AI37:OFFSET(AI37,$B$7-1,0))</f>
        <v>0.22325268945505974</v>
      </c>
      <c r="AM37" s="4">
        <f ca="1">SQRT($B$9)*_xlfn.STDEV.S(AI37:OFFSET(AI37,$B$8-1,0))</f>
        <v>0.32792538972656393</v>
      </c>
    </row>
    <row r="38" spans="5:39" x14ac:dyDescent="0.2">
      <c r="E38" s="42">
        <v>45622</v>
      </c>
      <c r="F38" s="43">
        <v>2.6231066708166662</v>
      </c>
      <c r="G38" s="43">
        <v>2.6593617872978825</v>
      </c>
      <c r="H38" s="43">
        <v>2.6221268028036606</v>
      </c>
      <c r="I38" s="43">
        <v>2.6427040310767831</v>
      </c>
      <c r="K38" s="3">
        <f t="shared" si="4"/>
        <v>1.9882182011248973E-4</v>
      </c>
      <c r="L38" s="3">
        <f ca="1">SQRT(AVERAGE(K38:OFFSET(K38,$B$5-1,0))*$B$9/(4*LN(2)))</f>
        <v>0.1795643414637807</v>
      </c>
      <c r="M38" s="3">
        <f ca="1">SQRT(AVERAGE(K38:OFFSET(K38,$B$6-1,0))*$B$9/(4*LN(2)))</f>
        <v>0.17200276801056075</v>
      </c>
      <c r="N38" s="3">
        <f ca="1">SQRT(AVERAGE(K38:OFFSET(K38,$B$7-1,0))*$B$9/(4*LN(2)))</f>
        <v>0.20721522648332844</v>
      </c>
      <c r="O38" s="3">
        <f ca="1">SQRT(AVERAGE(K38:OFFSET(K38,$B$8-1,0))*$B$9/(4*LN(2)))</f>
        <v>0.28266470240339042</v>
      </c>
      <c r="P38" s="1"/>
      <c r="Q38" s="5">
        <f t="shared" si="6"/>
        <v>7.8295501433438833E-5</v>
      </c>
      <c r="R38" s="5">
        <f ca="1">SQRT($B$9*AVERAGE((Q38:OFFSET(Q38,$B$5-1,0))))</f>
        <v>0.16241881663604421</v>
      </c>
      <c r="S38" s="5">
        <f ca="1">SQRT($B$9*AVERAGE((Q38:OFFSET(Q38,$B$6-1,0))))</f>
        <v>0.17177492931419147</v>
      </c>
      <c r="T38" s="5">
        <f ca="1">SQRT($B$9*AVERAGE((Q38:OFFSET(Q38,$B$7-1,0))))</f>
        <v>0.19487929943468177</v>
      </c>
      <c r="U38" s="5">
        <f ca="1">SQRT($B$9*AVERAGE((Q38:OFFSET(Q38,$B$8-1,0))))</f>
        <v>0.27460171536899147</v>
      </c>
      <c r="V38" s="1"/>
      <c r="W38" s="6">
        <f t="shared" si="7"/>
        <v>8.9173133664289091E-5</v>
      </c>
      <c r="X38" s="6">
        <f ca="1">SQRT($B$9*AVERAGE(W38:OFFSET(W38,$B$5-1,0)))</f>
        <v>0.14863723776600116</v>
      </c>
      <c r="Y38" s="6">
        <f ca="1">SQRT($B$9*AVERAGE(W38:OFFSET(W38,$B$6-1,0)))</f>
        <v>0.17436561114398055</v>
      </c>
      <c r="Z38" s="6">
        <f ca="1">SQRT($B$9*AVERAGE(W38:OFFSET(W38,$B$7-1,0)))</f>
        <v>0.18930946501314996</v>
      </c>
      <c r="AA38" s="6">
        <f ca="1">SQRT($B$9*AVERAGE(W38:OFFSET(W38,$B$8-1,0)))</f>
        <v>0.26812919096129029</v>
      </c>
      <c r="AB38" s="1"/>
      <c r="AC38" s="34">
        <f t="shared" si="5"/>
        <v>1.3799103996589306E-5</v>
      </c>
      <c r="AD38" s="34">
        <f ca="1">SQRT($B$9*SUM(AC38:OFFSET(AC38,$B$5-1,0))/($B$5-1))</f>
        <v>0.24309094359410519</v>
      </c>
      <c r="AE38" s="34">
        <f ca="1">SQRT($B$9*SUM(AC38:OFFSET(AC38,$B$6-1,0))/($B$6-1))</f>
        <v>0.18606914526497498</v>
      </c>
      <c r="AF38" s="34">
        <f ca="1">SQRT($B$9*SUM(AC38:OFFSET(AC38,$B$7-1,0))/($B$7-1))</f>
        <v>0.22418056910949893</v>
      </c>
      <c r="AG38" s="34">
        <f ca="1">SQRT($B$9*SUM(AC38:OFFSET(AC38,$B$8-1,0))/($B$8-1))</f>
        <v>0.32835670792481131</v>
      </c>
      <c r="AH38" s="1"/>
      <c r="AI38" s="1">
        <f t="shared" si="8"/>
        <v>3.7147145242386131E-3</v>
      </c>
      <c r="AJ38" s="4">
        <f ca="1">SQRT($B$9)*_xlfn.STDEV.S(AI38:OFFSET(AI38,$B$5-1,0))</f>
        <v>0.21992414042637443</v>
      </c>
      <c r="AK38" s="4">
        <f ca="1">SQRT($B$9)*_xlfn.STDEV.S(AI38:OFFSET(AI38,$B$6-1,0))</f>
        <v>0.17039380554291933</v>
      </c>
      <c r="AL38" s="4">
        <f ca="1">SQRT($B$9)*_xlfn.STDEV.S(AI38:OFFSET(AI38,$B$7-1,0))</f>
        <v>0.22288686428219784</v>
      </c>
      <c r="AM38" s="4">
        <f ca="1">SQRT($B$9)*_xlfn.STDEV.S(AI38:OFFSET(AI38,$B$8-1,0))</f>
        <v>0.32734103897313355</v>
      </c>
    </row>
    <row r="39" spans="5:39" x14ac:dyDescent="0.2">
      <c r="E39" s="42">
        <v>45621</v>
      </c>
      <c r="F39" s="43">
        <v>2.657402051271871</v>
      </c>
      <c r="G39" s="43">
        <v>2.6721000714669585</v>
      </c>
      <c r="H39" s="43">
        <v>2.6182073307516371</v>
      </c>
      <c r="I39" s="43">
        <v>2.6329053509467246</v>
      </c>
      <c r="K39" s="3">
        <f t="shared" si="4"/>
        <v>4.1513443872691417E-4</v>
      </c>
      <c r="L39" s="3">
        <f ca="1">SQRT(AVERAGE(K39:OFFSET(K39,$B$5-1,0))*$B$9/(4*LN(2)))</f>
        <v>0.18573224649373246</v>
      </c>
      <c r="M39" s="3">
        <f ca="1">SQRT(AVERAGE(K39:OFFSET(K39,$B$6-1,0))*$B$9/(4*LN(2)))</f>
        <v>0.18889433564338123</v>
      </c>
      <c r="N39" s="3">
        <f ca="1">SQRT(AVERAGE(K39:OFFSET(K39,$B$7-1,0))*$B$9/(4*LN(2)))</f>
        <v>0.20877216916683897</v>
      </c>
      <c r="O39" s="3">
        <f ca="1">SQRT(AVERAGE(K39:OFFSET(K39,$B$8-1,0))*$B$9/(4*LN(2)))</f>
        <v>0.28233976936181238</v>
      </c>
      <c r="P39" s="1"/>
      <c r="Q39" s="5">
        <f t="shared" si="6"/>
        <v>1.745264889084866E-4</v>
      </c>
      <c r="R39" s="5">
        <f ca="1">SQRT($B$9*AVERAGE((Q39:OFFSET(Q39,$B$5-1,0))))</f>
        <v>0.17450242162864191</v>
      </c>
      <c r="S39" s="5">
        <f ca="1">SQRT($B$9*AVERAGE((Q39:OFFSET(Q39,$B$6-1,0))))</f>
        <v>0.19229391733907769</v>
      </c>
      <c r="T39" s="5">
        <f ca="1">SQRT($B$9*AVERAGE((Q39:OFFSET(Q39,$B$7-1,0))))</f>
        <v>0.1972887528292844</v>
      </c>
      <c r="U39" s="5">
        <f ca="1">SQRT($B$9*AVERAGE((Q39:OFFSET(Q39,$B$8-1,0))))</f>
        <v>0.27418533985738686</v>
      </c>
      <c r="V39" s="1"/>
      <c r="W39" s="6">
        <f t="shared" si="7"/>
        <v>1.6468717425549266E-4</v>
      </c>
      <c r="X39" s="6">
        <f ca="1">SQRT($B$9*AVERAGE(W39:OFFSET(W39,$B$5-1,0)))</f>
        <v>0.16747949725174083</v>
      </c>
      <c r="Y39" s="6">
        <f ca="1">SQRT($B$9*AVERAGE(W39:OFFSET(W39,$B$6-1,0)))</f>
        <v>0.19468272417525234</v>
      </c>
      <c r="Z39" s="6">
        <f ca="1">SQRT($B$9*AVERAGE(W39:OFFSET(W39,$B$7-1,0)))</f>
        <v>0.191974434778936</v>
      </c>
      <c r="AA39" s="6">
        <f ca="1">SQRT($B$9*AVERAGE(W39:OFFSET(W39,$B$8-1,0)))</f>
        <v>0.26759033078644395</v>
      </c>
      <c r="AB39" s="1"/>
      <c r="AC39" s="34">
        <f t="shared" si="5"/>
        <v>7.2646732525401484E-5</v>
      </c>
      <c r="AD39" s="34">
        <f ca="1">SQRT($B$9*SUM(AC39:OFFSET(AC39,$B$5-1,0))/($B$5-1))</f>
        <v>0.24369239515022628</v>
      </c>
      <c r="AE39" s="34">
        <f ca="1">SQRT($B$9*SUM(AC39:OFFSET(AC39,$B$6-1,0))/($B$6-1))</f>
        <v>0.20046800789069394</v>
      </c>
      <c r="AF39" s="34">
        <f ca="1">SQRT($B$9*SUM(AC39:OFFSET(AC39,$B$7-1,0))/($B$7-1))</f>
        <v>0.22473091440747917</v>
      </c>
      <c r="AG39" s="34">
        <f ca="1">SQRT($B$9*SUM(AC39:OFFSET(AC39,$B$8-1,0))/($B$8-1))</f>
        <v>0.3285088785866217</v>
      </c>
      <c r="AH39" s="1"/>
      <c r="AI39" s="1">
        <f t="shared" si="8"/>
        <v>-8.5233052582552437E-3</v>
      </c>
      <c r="AJ39" s="4">
        <f ca="1">SQRT($B$9)*_xlfn.STDEV.S(AI39:OFFSET(AI39,$B$5-1,0))</f>
        <v>0.20506690564171745</v>
      </c>
      <c r="AK39" s="4">
        <f ca="1">SQRT($B$9)*_xlfn.STDEV.S(AI39:OFFSET(AI39,$B$6-1,0))</f>
        <v>0.17061328193429121</v>
      </c>
      <c r="AL39" s="4">
        <f ca="1">SQRT($B$9)*_xlfn.STDEV.S(AI39:OFFSET(AI39,$B$7-1,0))</f>
        <v>0.22249219283082156</v>
      </c>
      <c r="AM39" s="4">
        <f ca="1">SQRT($B$9)*_xlfn.STDEV.S(AI39:OFFSET(AI39,$B$8-1,0))</f>
        <v>0.32744248448868329</v>
      </c>
    </row>
    <row r="40" spans="5:39" x14ac:dyDescent="0.2">
      <c r="E40" s="42">
        <v>45618</v>
      </c>
      <c r="F40" s="43">
        <v>2.7308921522473097</v>
      </c>
      <c r="G40" s="43">
        <v>2.7357914923123388</v>
      </c>
      <c r="H40" s="43">
        <v>2.6495631071678245</v>
      </c>
      <c r="I40" s="43">
        <v>2.6554423152458591</v>
      </c>
      <c r="K40" s="3">
        <f t="shared" si="4"/>
        <v>1.0256663874322353E-3</v>
      </c>
      <c r="L40" s="3">
        <f ca="1">SQRT(AVERAGE(K40:OFFSET(K40,$B$5-1,0))*$B$9/(4*LN(2)))</f>
        <v>0.187020155786809</v>
      </c>
      <c r="M40" s="3">
        <f ca="1">SQRT(AVERAGE(K40:OFFSET(K40,$B$6-1,0))*$B$9/(4*LN(2)))</f>
        <v>0.18554063047697814</v>
      </c>
      <c r="N40" s="3">
        <f ca="1">SQRT(AVERAGE(K40:OFFSET(K40,$B$7-1,0))*$B$9/(4*LN(2)))</f>
        <v>0.20575974703228611</v>
      </c>
      <c r="O40" s="3">
        <f ca="1">SQRT(AVERAGE(K40:OFFSET(K40,$B$8-1,0))*$B$9/(4*LN(2)))</f>
        <v>0.28135499928700053</v>
      </c>
      <c r="P40" s="1"/>
      <c r="Q40" s="5">
        <f t="shared" si="6"/>
        <v>2.0627712943208429E-4</v>
      </c>
      <c r="R40" s="5">
        <f ca="1">SQRT($B$9*AVERAGE((Q40:OFFSET(Q40,$B$5-1,0))))</f>
        <v>0.18117777431395587</v>
      </c>
      <c r="S40" s="5">
        <f ca="1">SQRT($B$9*AVERAGE((Q40:OFFSET(Q40,$B$6-1,0))))</f>
        <v>0.18975837371252111</v>
      </c>
      <c r="T40" s="5">
        <f ca="1">SQRT($B$9*AVERAGE((Q40:OFFSET(Q40,$B$7-1,0))))</f>
        <v>0.19391843785761617</v>
      </c>
      <c r="U40" s="5">
        <f ca="1">SQRT($B$9*AVERAGE((Q40:OFFSET(Q40,$B$8-1,0))))</f>
        <v>0.27302433030228951</v>
      </c>
      <c r="V40" s="1"/>
      <c r="W40" s="6">
        <f t="shared" si="7"/>
        <v>1.2044377134117642E-4</v>
      </c>
      <c r="X40" s="6">
        <f ca="1">SQRT($B$9*AVERAGE(W40:OFFSET(W40,$B$5-1,0)))</f>
        <v>0.18427413383021457</v>
      </c>
      <c r="Y40" s="6">
        <f ca="1">SQRT($B$9*AVERAGE(W40:OFFSET(W40,$B$6-1,0)))</f>
        <v>0.19641795294193032</v>
      </c>
      <c r="Z40" s="6">
        <f ca="1">SQRT($B$9*AVERAGE(W40:OFFSET(W40,$B$7-1,0)))</f>
        <v>0.19031588988650744</v>
      </c>
      <c r="AA40" s="6">
        <f ca="1">SQRT($B$9*AVERAGE(W40:OFFSET(W40,$B$8-1,0)))</f>
        <v>0.26649106561750979</v>
      </c>
      <c r="AB40" s="1"/>
      <c r="AC40" s="34">
        <f t="shared" si="5"/>
        <v>8.6738022986721614E-4</v>
      </c>
      <c r="AD40" s="34">
        <f ca="1">SQRT($B$9*SUM(AC40:OFFSET(AC40,$B$5-1,0))/($B$5-1))</f>
        <v>0.23680021706756485</v>
      </c>
      <c r="AE40" s="34">
        <f ca="1">SQRT($B$9*SUM(AC40:OFFSET(AC40,$B$6-1,0))/($B$6-1))</f>
        <v>0.19818773876005663</v>
      </c>
      <c r="AF40" s="34">
        <f ca="1">SQRT($B$9*SUM(AC40:OFFSET(AC40,$B$7-1,0))/($B$7-1))</f>
        <v>0.2226518147834804</v>
      </c>
      <c r="AG40" s="34">
        <f ca="1">SQRT($B$9*SUM(AC40:OFFSET(AC40,$B$8-1,0))/($B$8-1))</f>
        <v>0.32806658624703045</v>
      </c>
      <c r="AH40" s="1"/>
      <c r="AI40" s="1">
        <f t="shared" si="8"/>
        <v>-2.9451319662575668E-2</v>
      </c>
      <c r="AJ40" s="4">
        <f ca="1">SQRT($B$9)*_xlfn.STDEV.S(AI40:OFFSET(AI40,$B$5-1,0))</f>
        <v>0.22034215575414859</v>
      </c>
      <c r="AK40" s="4">
        <f ca="1">SQRT($B$9)*_xlfn.STDEV.S(AI40:OFFSET(AI40,$B$6-1,0))</f>
        <v>0.17020647247118556</v>
      </c>
      <c r="AL40" s="4">
        <f ca="1">SQRT($B$9)*_xlfn.STDEV.S(AI40:OFFSET(AI40,$B$7-1,0))</f>
        <v>0.22133021451825727</v>
      </c>
      <c r="AM40" s="4">
        <f ca="1">SQRT($B$9)*_xlfn.STDEV.S(AI40:OFFSET(AI40,$B$8-1,0))</f>
        <v>0.32677131086414746</v>
      </c>
    </row>
    <row r="41" spans="5:39" x14ac:dyDescent="0.2">
      <c r="E41" s="42">
        <v>45617</v>
      </c>
      <c r="F41" s="43">
        <v>2.7240330761562688</v>
      </c>
      <c r="G41" s="43">
        <v>2.7387310963513567</v>
      </c>
      <c r="H41" s="43">
        <v>2.7161941320522218</v>
      </c>
      <c r="I41" s="43">
        <v>2.7348116242993332</v>
      </c>
      <c r="K41" s="3">
        <f t="shared" si="4"/>
        <v>6.8277586768100197E-5</v>
      </c>
      <c r="L41" s="3">
        <f ca="1">SQRT(AVERAGE(K41:OFFSET(K41,$B$5-1,0))*$B$9/(4*LN(2)))</f>
        <v>0.14566184568519511</v>
      </c>
      <c r="M41" s="3">
        <f ca="1">SQRT(AVERAGE(K41:OFFSET(K41,$B$6-1,0))*$B$9/(4*LN(2)))</f>
        <v>0.17995638804879019</v>
      </c>
      <c r="N41" s="3">
        <f ca="1">SQRT(AVERAGE(K41:OFFSET(K41,$B$7-1,0))*$B$9/(4*LN(2)))</f>
        <v>0.19652216462368163</v>
      </c>
      <c r="O41" s="3">
        <f ca="1">SQRT(AVERAGE(K41:OFFSET(K41,$B$8-1,0))*$B$9/(4*LN(2)))</f>
        <v>0.27891658217034848</v>
      </c>
      <c r="P41" s="1"/>
      <c r="Q41" s="5">
        <f t="shared" si="6"/>
        <v>2.814021096173578E-5</v>
      </c>
      <c r="R41" s="5">
        <f ca="1">SQRT($B$9*AVERAGE((Q41:OFFSET(Q41,$B$5-1,0))))</f>
        <v>0.1630338952846879</v>
      </c>
      <c r="S41" s="5">
        <f ca="1">SQRT($B$9*AVERAGE((Q41:OFFSET(Q41,$B$6-1,0))))</f>
        <v>0.19340314797831087</v>
      </c>
      <c r="T41" s="5">
        <f ca="1">SQRT($B$9*AVERAGE((Q41:OFFSET(Q41,$B$7-1,0))))</f>
        <v>0.19027260433307389</v>
      </c>
      <c r="U41" s="5">
        <f ca="1">SQRT($B$9*AVERAGE((Q41:OFFSET(Q41,$B$8-1,0))))</f>
        <v>0.27183013293809982</v>
      </c>
      <c r="V41" s="1"/>
      <c r="W41" s="6">
        <f t="shared" si="7"/>
        <v>2.739219366020087E-5</v>
      </c>
      <c r="X41" s="6">
        <f ca="1">SQRT($B$9*AVERAGE(W41:OFFSET(W41,$B$5-1,0)))</f>
        <v>0.17812215925957847</v>
      </c>
      <c r="Y41" s="6">
        <f ca="1">SQRT($B$9*AVERAGE(W41:OFFSET(W41,$B$6-1,0)))</f>
        <v>0.20283688870647359</v>
      </c>
      <c r="Z41" s="6">
        <f ca="1">SQRT($B$9*AVERAGE(W41:OFFSET(W41,$B$7-1,0)))</f>
        <v>0.1896662800069869</v>
      </c>
      <c r="AA41" s="6">
        <f ca="1">SQRT($B$9*AVERAGE(W41:OFFSET(W41,$B$8-1,0)))</f>
        <v>0.26598576832793513</v>
      </c>
      <c r="AB41" s="1"/>
      <c r="AC41" s="34">
        <f t="shared" si="5"/>
        <v>6.3061861208424627E-6</v>
      </c>
      <c r="AD41" s="34">
        <f ca="1">SQRT($B$9*SUM(AC41:OFFSET(AC41,$B$5-1,0))/($B$5-1))</f>
        <v>0.11446211148724911</v>
      </c>
      <c r="AE41" s="34">
        <f ca="1">SQRT($B$9*SUM(AC41:OFFSET(AC41,$B$6-1,0))/($B$6-1))</f>
        <v>0.14709576764872329</v>
      </c>
      <c r="AF41" s="34">
        <f ca="1">SQRT($B$9*SUM(AC41:OFFSET(AC41,$B$7-1,0))/($B$7-1))</f>
        <v>0.1959991750258982</v>
      </c>
      <c r="AG41" s="34">
        <f ca="1">SQRT($B$9*SUM(AC41:OFFSET(AC41,$B$8-1,0))/($B$8-1))</f>
        <v>0.32268708040593574</v>
      </c>
      <c r="AH41" s="1"/>
      <c r="AI41" s="1">
        <f t="shared" si="8"/>
        <v>2.5112120820118843E-3</v>
      </c>
      <c r="AJ41" s="4">
        <f ca="1">SQRT($B$9)*_xlfn.STDEV.S(AI41:OFFSET(AI41,$B$5-1,0))</f>
        <v>0.11079926549320107</v>
      </c>
      <c r="AK41" s="4">
        <f ca="1">SQRT($B$9)*_xlfn.STDEV.S(AI41:OFFSET(AI41,$B$6-1,0))</f>
        <v>0.12510289876244149</v>
      </c>
      <c r="AL41" s="4">
        <f ca="1">SQRT($B$9)*_xlfn.STDEV.S(AI41:OFFSET(AI41,$B$7-1,0))</f>
        <v>0.19599832984279317</v>
      </c>
      <c r="AM41" s="4">
        <f ca="1">SQRT($B$9)*_xlfn.STDEV.S(AI41:OFFSET(AI41,$B$8-1,0))</f>
        <v>0.32072023127076033</v>
      </c>
    </row>
    <row r="42" spans="5:39" x14ac:dyDescent="0.2">
      <c r="E42" s="42">
        <v>45616</v>
      </c>
      <c r="F42" s="43">
        <v>2.7161941320522218</v>
      </c>
      <c r="G42" s="43">
        <v>2.7377512283383507</v>
      </c>
      <c r="H42" s="43">
        <v>2.7083551879481753</v>
      </c>
      <c r="I42" s="43">
        <v>2.7279525482082922</v>
      </c>
      <c r="K42" s="3">
        <f t="shared" si="4"/>
        <v>1.165396880505658E-4</v>
      </c>
      <c r="L42" s="3">
        <f ca="1">SQRT(AVERAGE(K42:OFFSET(K42,$B$5-1,0))*$B$9/(4*LN(2)))</f>
        <v>0.15839172668983689</v>
      </c>
      <c r="M42" s="3">
        <f ca="1">SQRT(AVERAGE(K42:OFFSET(K42,$B$6-1,0))*$B$9/(4*LN(2)))</f>
        <v>0.22491034470899082</v>
      </c>
      <c r="N42" s="3">
        <f ca="1">SQRT(AVERAGE(K42:OFFSET(K42,$B$7-1,0))*$B$9/(4*LN(2)))</f>
        <v>0.19722900509100849</v>
      </c>
      <c r="O42" s="3">
        <f ca="1">SQRT(AVERAGE(K42:OFFSET(K42,$B$8-1,0))*$B$9/(4*LN(2)))</f>
        <v>0.27897138557471901</v>
      </c>
      <c r="P42" s="1"/>
      <c r="Q42" s="5">
        <f t="shared" si="6"/>
        <v>5.1125403906151522E-5</v>
      </c>
      <c r="R42" s="5">
        <f ca="1">SQRT($B$9*AVERAGE((Q42:OFFSET(Q42,$B$5-1,0))))</f>
        <v>0.17816427840447513</v>
      </c>
      <c r="S42" s="5">
        <f ca="1">SQRT($B$9*AVERAGE((Q42:OFFSET(Q42,$B$6-1,0))))</f>
        <v>0.20882167186460004</v>
      </c>
      <c r="T42" s="5">
        <f ca="1">SQRT($B$9*AVERAGE((Q42:OFFSET(Q42,$B$7-1,0))))</f>
        <v>0.19112247812579292</v>
      </c>
      <c r="U42" s="5">
        <f ca="1">SQRT($B$9*AVERAGE((Q42:OFFSET(Q42,$B$8-1,0))))</f>
        <v>0.27189613811261737</v>
      </c>
      <c r="V42" s="1"/>
      <c r="W42" s="6">
        <f t="shared" si="7"/>
        <v>4.918185872591785E-5</v>
      </c>
      <c r="X42" s="6">
        <f ca="1">SQRT($B$9*AVERAGE(W42:OFFSET(W42,$B$5-1,0)))</f>
        <v>0.1950899182868516</v>
      </c>
      <c r="Y42" s="6">
        <f ca="1">SQRT($B$9*AVERAGE(W42:OFFSET(W42,$B$6-1,0)))</f>
        <v>0.20497911532210986</v>
      </c>
      <c r="Z42" s="6">
        <f ca="1">SQRT($B$9*AVERAGE(W42:OFFSET(W42,$B$7-1,0)))</f>
        <v>0.19053810416789052</v>
      </c>
      <c r="AA42" s="6">
        <f ca="1">SQRT($B$9*AVERAGE(W42:OFFSET(W42,$B$8-1,0)))</f>
        <v>0.26613285028673</v>
      </c>
      <c r="AB42" s="1"/>
      <c r="AC42" s="34">
        <f t="shared" si="5"/>
        <v>4.6547982241944747E-6</v>
      </c>
      <c r="AD42" s="34">
        <f ca="1">SQRT($B$9*SUM(AC42:OFFSET(AC42,$B$5-1,0))/($B$5-1))</f>
        <v>0.13089290479112253</v>
      </c>
      <c r="AE42" s="34">
        <f ca="1">SQRT($B$9*SUM(AC42:OFFSET(AC42,$B$6-1,0))/($B$6-1))</f>
        <v>0.24345975510672843</v>
      </c>
      <c r="AF42" s="34">
        <f ca="1">SQRT($B$9*SUM(AC42:OFFSET(AC42,$B$7-1,0))/($B$7-1))</f>
        <v>0.1990504869646772</v>
      </c>
      <c r="AG42" s="34">
        <f ca="1">SQRT($B$9*SUM(AC42:OFFSET(AC42,$B$8-1,0))/($B$8-1))</f>
        <v>0.32269939564579564</v>
      </c>
      <c r="AH42" s="1"/>
      <c r="AI42" s="1">
        <f t="shared" si="8"/>
        <v>2.1574981400210927E-3</v>
      </c>
      <c r="AJ42" s="4">
        <f ca="1">SQRT($B$9)*_xlfn.STDEV.S(AI42:OFFSET(AI42,$B$5-1,0))</f>
        <v>0.11230322215693971</v>
      </c>
      <c r="AK42" s="4">
        <f ca="1">SQRT($B$9)*_xlfn.STDEV.S(AI42:OFFSET(AI42,$B$6-1,0))</f>
        <v>0.24263458156311105</v>
      </c>
      <c r="AL42" s="4">
        <f ca="1">SQRT($B$9)*_xlfn.STDEV.S(AI42:OFFSET(AI42,$B$7-1,0))</f>
        <v>0.19882547709907469</v>
      </c>
      <c r="AM42" s="4">
        <f ca="1">SQRT($B$9)*_xlfn.STDEV.S(AI42:OFFSET(AI42,$B$8-1,0))</f>
        <v>0.32088639649256284</v>
      </c>
    </row>
    <row r="43" spans="5:39" x14ac:dyDescent="0.2">
      <c r="E43" s="42">
        <v>45615</v>
      </c>
      <c r="F43" s="43">
        <v>2.7299122842343042</v>
      </c>
      <c r="G43" s="43">
        <v>2.7367713603253452</v>
      </c>
      <c r="H43" s="43">
        <v>2.6877779596750524</v>
      </c>
      <c r="I43" s="43">
        <v>2.7220733401302573</v>
      </c>
      <c r="K43" s="3">
        <f t="shared" si="4"/>
        <v>3.2631080587924567E-4</v>
      </c>
      <c r="L43" s="3">
        <f ca="1">SQRT(AVERAGE(K43:OFFSET(K43,$B$5-1,0))*$B$9/(4*LN(2)))</f>
        <v>0.16409311893333103</v>
      </c>
      <c r="M43" s="3">
        <f ca="1">SQRT(AVERAGE(K43:OFFSET(K43,$B$6-1,0))*$B$9/(4*LN(2)))</f>
        <v>0.2305290519942064</v>
      </c>
      <c r="N43" s="3">
        <f ca="1">SQRT(AVERAGE(K43:OFFSET(K43,$B$7-1,0))*$B$9/(4*LN(2)))</f>
        <v>0.19930549192235486</v>
      </c>
      <c r="O43" s="3">
        <f ca="1">SQRT(AVERAGE(K43:OFFSET(K43,$B$8-1,0))*$B$9/(4*LN(2)))</f>
        <v>0.27891789134412476</v>
      </c>
      <c r="P43" s="1"/>
      <c r="Q43" s="5">
        <f t="shared" si="6"/>
        <v>1.6138168830705829E-4</v>
      </c>
      <c r="R43" s="5">
        <f ca="1">SQRT($B$9*AVERAGE((Q43:OFFSET(Q43,$B$5-1,0))))</f>
        <v>0.18064711645730189</v>
      </c>
      <c r="S43" s="5">
        <f ca="1">SQRT($B$9*AVERAGE((Q43:OFFSET(Q43,$B$6-1,0))))</f>
        <v>0.21624626440700787</v>
      </c>
      <c r="T43" s="5">
        <f ca="1">SQRT($B$9*AVERAGE((Q43:OFFSET(Q43,$B$7-1,0))))</f>
        <v>0.1939298274220875</v>
      </c>
      <c r="U43" s="5">
        <f ca="1">SQRT($B$9*AVERAGE((Q43:OFFSET(Q43,$B$8-1,0))))</f>
        <v>0.27181685850148996</v>
      </c>
      <c r="V43" s="1"/>
      <c r="W43" s="6">
        <f t="shared" si="7"/>
        <v>2.1073136935794408E-4</v>
      </c>
      <c r="X43" s="6">
        <f ca="1">SQRT($B$9*AVERAGE(W43:OFFSET(W43,$B$5-1,0)))</f>
        <v>0.19675798395114977</v>
      </c>
      <c r="Y43" s="6">
        <f ca="1">SQRT($B$9*AVERAGE(W43:OFFSET(W43,$B$6-1,0)))</f>
        <v>0.2122454528737554</v>
      </c>
      <c r="Z43" s="6">
        <f ca="1">SQRT($B$9*AVERAGE(W43:OFFSET(W43,$B$7-1,0)))</f>
        <v>0.19361283842736313</v>
      </c>
      <c r="AA43" s="6">
        <f ca="1">SQRT($B$9*AVERAGE(W43:OFFSET(W43,$B$8-1,0)))</f>
        <v>0.26615471476053831</v>
      </c>
      <c r="AB43" s="1"/>
      <c r="AC43" s="34">
        <f t="shared" si="5"/>
        <v>1.8579130063227464E-5</v>
      </c>
      <c r="AD43" s="34">
        <f ca="1">SQRT($B$9*SUM(AC43:OFFSET(AC43,$B$5-1,0))/($B$5-1))</f>
        <v>0.13713379775501683</v>
      </c>
      <c r="AE43" s="34">
        <f ca="1">SQRT($B$9*SUM(AC43:OFFSET(AC43,$B$6-1,0))/($B$6-1))</f>
        <v>0.24686972846932406</v>
      </c>
      <c r="AF43" s="34">
        <f ca="1">SQRT($B$9*SUM(AC43:OFFSET(AC43,$B$7-1,0))/($B$7-1))</f>
        <v>0.19994858110121722</v>
      </c>
      <c r="AG43" s="34">
        <f ca="1">SQRT($B$9*SUM(AC43:OFFSET(AC43,$B$8-1,0))/($B$8-1))</f>
        <v>0.32280024966771564</v>
      </c>
      <c r="AH43" s="1"/>
      <c r="AI43" s="1">
        <f t="shared" si="8"/>
        <v>-4.3103515011223229E-3</v>
      </c>
      <c r="AJ43" s="4">
        <f ca="1">SQRT($B$9)*_xlfn.STDEV.S(AI43:OFFSET(AI43,$B$5-1,0))</f>
        <v>0.12562067498036186</v>
      </c>
      <c r="AK43" s="4">
        <f ca="1">SQRT($B$9)*_xlfn.STDEV.S(AI43:OFFSET(AI43,$B$6-1,0))</f>
        <v>0.24408139481136787</v>
      </c>
      <c r="AL43" s="4">
        <f ca="1">SQRT($B$9)*_xlfn.STDEV.S(AI43:OFFSET(AI43,$B$7-1,0))</f>
        <v>0.1998389430994103</v>
      </c>
      <c r="AM43" s="4">
        <f ca="1">SQRT($B$9)*_xlfn.STDEV.S(AI43:OFFSET(AI43,$B$8-1,0))</f>
        <v>0.32092138102211759</v>
      </c>
    </row>
    <row r="44" spans="5:39" x14ac:dyDescent="0.2">
      <c r="E44" s="42">
        <v>45614</v>
      </c>
      <c r="F44" s="43">
        <v>2.7328518882733217</v>
      </c>
      <c r="G44" s="43">
        <v>2.7779258168715906</v>
      </c>
      <c r="H44" s="43">
        <v>2.7201136041042453</v>
      </c>
      <c r="I44" s="43">
        <v>2.7338317562863277</v>
      </c>
      <c r="K44" s="3">
        <f t="shared" si="4"/>
        <v>4.4229852494890838E-4</v>
      </c>
      <c r="L44" s="3">
        <f ca="1">SQRT(AVERAGE(K44:OFFSET(K44,$B$5-1,0))*$B$9/(4*LN(2)))</f>
        <v>0.19200435591074522</v>
      </c>
      <c r="M44" s="3">
        <f ca="1">SQRT(AVERAGE(K44:OFFSET(K44,$B$6-1,0))*$B$9/(4*LN(2)))</f>
        <v>0.23750990546819975</v>
      </c>
      <c r="N44" s="3">
        <f ca="1">SQRT(AVERAGE(K44:OFFSET(K44,$B$7-1,0))*$B$9/(4*LN(2)))</f>
        <v>0.19741218797391316</v>
      </c>
      <c r="O44" s="3">
        <f ca="1">SQRT(AVERAGE(K44:OFFSET(K44,$B$8-1,0))*$B$9/(4*LN(2)))</f>
        <v>0.27825318343228445</v>
      </c>
      <c r="P44" s="1"/>
      <c r="Q44" s="5">
        <f t="shared" si="6"/>
        <v>2.229814021962096E-4</v>
      </c>
      <c r="R44" s="5">
        <f ca="1">SQRT($B$9*AVERAGE((Q44:OFFSET(Q44,$B$5-1,0))))</f>
        <v>0.2085732632361007</v>
      </c>
      <c r="S44" s="5">
        <f ca="1">SQRT($B$9*AVERAGE((Q44:OFFSET(Q44,$B$6-1,0))))</f>
        <v>0.21570266250666756</v>
      </c>
      <c r="T44" s="5">
        <f ca="1">SQRT($B$9*AVERAGE((Q44:OFFSET(Q44,$B$7-1,0))))</f>
        <v>0.19106196003015238</v>
      </c>
      <c r="U44" s="5">
        <f ca="1">SQRT($B$9*AVERAGE((Q44:OFFSET(Q44,$B$8-1,0))))</f>
        <v>0.27080014479637793</v>
      </c>
      <c r="V44" s="1"/>
      <c r="W44" s="6">
        <f t="shared" si="7"/>
        <v>2.8524991709590015E-4</v>
      </c>
      <c r="X44" s="6">
        <f ca="1">SQRT($B$9*AVERAGE(W44:OFFSET(W44,$B$5-1,0)))</f>
        <v>0.21852538567612437</v>
      </c>
      <c r="Y44" s="6">
        <f ca="1">SQRT($B$9*AVERAGE(W44:OFFSET(W44,$B$6-1,0)))</f>
        <v>0.20586767138936524</v>
      </c>
      <c r="Z44" s="6">
        <f ca="1">SQRT($B$9*AVERAGE(W44:OFFSET(W44,$B$7-1,0)))</f>
        <v>0.1892380017050885</v>
      </c>
      <c r="AA44" s="6">
        <f ca="1">SQRT($B$9*AVERAGE(W44:OFFSET(W44,$B$8-1,0)))</f>
        <v>0.264711328921786</v>
      </c>
      <c r="AB44" s="1"/>
      <c r="AC44" s="34">
        <f t="shared" si="5"/>
        <v>1.8579130063226946E-5</v>
      </c>
      <c r="AD44" s="34">
        <f ca="1">SQRT($B$9*SUM(AC44:OFFSET(AC44,$B$5-1,0))/($B$5-1))</f>
        <v>0.17616956737242806</v>
      </c>
      <c r="AE44" s="34">
        <f ca="1">SQRT($B$9*SUM(AC44:OFFSET(AC44,$B$6-1,0))/($B$6-1))</f>
        <v>0.26688590800440304</v>
      </c>
      <c r="AF44" s="34">
        <f ca="1">SQRT($B$9*SUM(AC44:OFFSET(AC44,$B$7-1,0))/($B$7-1))</f>
        <v>0.19984873528533253</v>
      </c>
      <c r="AG44" s="34">
        <f ca="1">SQRT($B$9*SUM(AC44:OFFSET(AC44,$B$8-1,0))/($B$8-1))</f>
        <v>0.32283786016698579</v>
      </c>
      <c r="AH44" s="1"/>
      <c r="AI44" s="1">
        <f t="shared" si="8"/>
        <v>4.3103515011222631E-3</v>
      </c>
      <c r="AJ44" s="4">
        <f ca="1">SQRT($B$9)*_xlfn.STDEV.S(AI44:OFFSET(AI44,$B$5-1,0))</f>
        <v>0.15046981331796058</v>
      </c>
      <c r="AK44" s="4">
        <f ca="1">SQRT($B$9)*_xlfn.STDEV.S(AI44:OFFSET(AI44,$B$6-1,0))</f>
        <v>0.26686949863933312</v>
      </c>
      <c r="AL44" s="4">
        <f ca="1">SQRT($B$9)*_xlfn.STDEV.S(AI44:OFFSET(AI44,$B$7-1,0))</f>
        <v>0.19984873528533256</v>
      </c>
      <c r="AM44" s="4">
        <f ca="1">SQRT($B$9)*_xlfn.STDEV.S(AI44:OFFSET(AI44,$B$8-1,0))</f>
        <v>0.32068611214611203</v>
      </c>
    </row>
    <row r="45" spans="5:39" x14ac:dyDescent="0.2">
      <c r="E45" s="42">
        <v>45611</v>
      </c>
      <c r="F45" s="43">
        <v>2.7514693805204327</v>
      </c>
      <c r="G45" s="43">
        <v>2.7642076646895091</v>
      </c>
      <c r="H45" s="43">
        <v>2.7210934721172517</v>
      </c>
      <c r="I45" s="43">
        <v>2.7220733401302573</v>
      </c>
      <c r="K45" s="3">
        <f t="shared" si="4"/>
        <v>2.4712543302702077E-4</v>
      </c>
      <c r="L45" s="3">
        <f ca="1">SQRT(AVERAGE(K45:OFFSET(K45,$B$5-1,0))*$B$9/(4*LN(2)))</f>
        <v>0.18404921201968449</v>
      </c>
      <c r="M45" s="3">
        <f ca="1">SQRT(AVERAGE(K45:OFFSET(K45,$B$6-1,0))*$B$9/(4*LN(2)))</f>
        <v>0.2344145475981019</v>
      </c>
      <c r="N45" s="3">
        <f ca="1">SQRT(AVERAGE(K45:OFFSET(K45,$B$7-1,0))*$B$9/(4*LN(2)))</f>
        <v>0.1952359902636602</v>
      </c>
      <c r="O45" s="3">
        <f ca="1">SQRT(AVERAGE(K45:OFFSET(K45,$B$8-1,0))*$B$9/(4*LN(2)))</f>
        <v>0.27822470512442854</v>
      </c>
      <c r="P45" s="1"/>
      <c r="Q45" s="5">
        <f t="shared" si="6"/>
        <v>7.8821315275754569E-5</v>
      </c>
      <c r="R45" s="5">
        <f ca="1">SQRT($B$9*AVERAGE((Q45:OFFSET(Q45,$B$5-1,0))))</f>
        <v>0.19796740863759096</v>
      </c>
      <c r="S45" s="5">
        <f ca="1">SQRT($B$9*AVERAGE((Q45:OFFSET(Q45,$B$6-1,0))))</f>
        <v>0.20972184620673701</v>
      </c>
      <c r="T45" s="5">
        <f ca="1">SQRT($B$9*AVERAGE((Q45:OFFSET(Q45,$B$7-1,0))))</f>
        <v>0.18781189135487888</v>
      </c>
      <c r="U45" s="5">
        <f ca="1">SQRT($B$9*AVERAGE((Q45:OFFSET(Q45,$B$8-1,0))))</f>
        <v>0.27008650212286028</v>
      </c>
      <c r="V45" s="1"/>
      <c r="W45" s="6">
        <f t="shared" si="7"/>
        <v>7.4944735023192924E-5</v>
      </c>
      <c r="X45" s="6">
        <f ca="1">SQRT($B$9*AVERAGE(W45:OFFSET(W45,$B$5-1,0)))</f>
        <v>0.20785347742321003</v>
      </c>
      <c r="Y45" s="6">
        <f ca="1">SQRT($B$9*AVERAGE(W45:OFFSET(W45,$B$6-1,0)))</f>
        <v>0.19731608926506772</v>
      </c>
      <c r="Z45" s="6">
        <f ca="1">SQRT($B$9*AVERAGE(W45:OFFSET(W45,$B$7-1,0)))</f>
        <v>0.18403495504192233</v>
      </c>
      <c r="AA45" s="6">
        <f ca="1">SQRT($B$9*AVERAGE(W45:OFFSET(W45,$B$8-1,0)))</f>
        <v>0.263330000419493</v>
      </c>
      <c r="AB45" s="1"/>
      <c r="AC45" s="34">
        <f t="shared" si="5"/>
        <v>1.6578402028147914E-4</v>
      </c>
      <c r="AD45" s="34">
        <f ca="1">SQRT($B$9*SUM(AC45:OFFSET(AC45,$B$5-1,0))/($B$5-1))</f>
        <v>0.17972760426575879</v>
      </c>
      <c r="AE45" s="34">
        <f ca="1">SQRT($B$9*SUM(AC45:OFFSET(AC45,$B$6-1,0))/($B$6-1))</f>
        <v>0.26943351255579395</v>
      </c>
      <c r="AF45" s="34">
        <f ca="1">SQRT($B$9*SUM(AC45:OFFSET(AC45,$B$7-1,0))/($B$7-1))</f>
        <v>0.19935215978473189</v>
      </c>
      <c r="AG45" s="34">
        <f ca="1">SQRT($B$9*SUM(AC45:OFFSET(AC45,$B$8-1,0))/($B$8-1))</f>
        <v>0.32385445402434843</v>
      </c>
      <c r="AH45" s="1"/>
      <c r="AI45" s="1">
        <f t="shared" si="8"/>
        <v>-1.2875714360045393E-2</v>
      </c>
      <c r="AJ45" s="4">
        <f ca="1">SQRT($B$9)*_xlfn.STDEV.S(AI45:OFFSET(AI45,$B$5-1,0))</f>
        <v>0.12551769532553</v>
      </c>
      <c r="AK45" s="4">
        <f ca="1">SQRT($B$9)*_xlfn.STDEV.S(AI45:OFFSET(AI45,$B$6-1,0))</f>
        <v>0.26926491133605174</v>
      </c>
      <c r="AL45" s="4">
        <f ca="1">SQRT($B$9)*_xlfn.STDEV.S(AI45:OFFSET(AI45,$B$7-1,0))</f>
        <v>0.19929196213091549</v>
      </c>
      <c r="AM45" s="4">
        <f ca="1">SQRT($B$9)*_xlfn.STDEV.S(AI45:OFFSET(AI45,$B$8-1,0))</f>
        <v>0.32142712889361769</v>
      </c>
    </row>
    <row r="46" spans="5:39" x14ac:dyDescent="0.2">
      <c r="E46" s="42">
        <v>45610</v>
      </c>
      <c r="F46" s="43">
        <v>2.772046608793556</v>
      </c>
      <c r="G46" s="43">
        <v>2.7985030451447135</v>
      </c>
      <c r="H46" s="43">
        <v>2.7514693805204327</v>
      </c>
      <c r="I46" s="43">
        <v>2.7573485885984681</v>
      </c>
      <c r="K46" s="3">
        <f t="shared" si="4"/>
        <v>2.8728752703199839E-4</v>
      </c>
      <c r="L46" s="3">
        <f ca="1">SQRT(AVERAGE(K46:OFFSET(K46,$B$5-1,0))*$B$9/(4*LN(2)))</f>
        <v>0.20868931431847659</v>
      </c>
      <c r="M46" s="3">
        <f ca="1">SQRT(AVERAGE(K46:OFFSET(K46,$B$6-1,0))*$B$9/(4*LN(2)))</f>
        <v>0.23545953949112836</v>
      </c>
      <c r="N46" s="3">
        <f ca="1">SQRT(AVERAGE(K46:OFFSET(K46,$B$7-1,0))*$B$9/(4*LN(2)))</f>
        <v>0.23237418011871847</v>
      </c>
      <c r="O46" s="3">
        <f ca="1">SQRT(AVERAGE(K46:OFFSET(K46,$B$8-1,0))*$B$9/(4*LN(2)))</f>
        <v>0.27767378368921902</v>
      </c>
      <c r="P46" s="1"/>
      <c r="Q46" s="5">
        <f t="shared" si="6"/>
        <v>1.3349651887375108E-4</v>
      </c>
      <c r="R46" s="5">
        <f ca="1">SQRT($B$9*AVERAGE((Q46:OFFSET(Q46,$B$5-1,0))))</f>
        <v>0.21961216788726043</v>
      </c>
      <c r="S46" s="5">
        <f ca="1">SQRT($B$9*AVERAGE((Q46:OFFSET(Q46,$B$6-1,0))))</f>
        <v>0.21179372851589454</v>
      </c>
      <c r="T46" s="5">
        <f ca="1">SQRT($B$9*AVERAGE((Q46:OFFSET(Q46,$B$7-1,0))))</f>
        <v>0.23211349704730164</v>
      </c>
      <c r="U46" s="5">
        <f ca="1">SQRT($B$9*AVERAGE((Q46:OFFSET(Q46,$B$8-1,0))))</f>
        <v>0.26953742674114739</v>
      </c>
      <c r="V46" s="1"/>
      <c r="W46" s="6">
        <f t="shared" si="7"/>
        <v>1.5662836912705376E-4</v>
      </c>
      <c r="X46" s="6">
        <f ca="1">SQRT($B$9*AVERAGE(W46:OFFSET(W46,$B$5-1,0)))</f>
        <v>0.22485129134819326</v>
      </c>
      <c r="Y46" s="6">
        <f ca="1">SQRT($B$9*AVERAGE(W46:OFFSET(W46,$B$6-1,0)))</f>
        <v>0.20081361770537764</v>
      </c>
      <c r="Z46" s="6">
        <f ca="1">SQRT($B$9*AVERAGE(W46:OFFSET(W46,$B$7-1,0)))</f>
        <v>0.22932744056582297</v>
      </c>
      <c r="AA46" s="6">
        <f ca="1">SQRT($B$9*AVERAGE(W46:OFFSET(W46,$B$8-1,0)))</f>
        <v>0.26276864506064501</v>
      </c>
      <c r="AB46" s="1"/>
      <c r="AC46" s="34">
        <f t="shared" si="5"/>
        <v>7.2124595239837145E-5</v>
      </c>
      <c r="AD46" s="34">
        <f ca="1">SQRT($B$9*SUM(AC46:OFFSET(AC46,$B$5-1,0))/($B$5-1))</f>
        <v>0.18863203855458044</v>
      </c>
      <c r="AE46" s="34">
        <f ca="1">SQRT($B$9*SUM(AC46:OFFSET(AC46,$B$6-1,0))/($B$6-1))</f>
        <v>0.26394531881406619</v>
      </c>
      <c r="AF46" s="34">
        <f ca="1">SQRT($B$9*SUM(AC46:OFFSET(AC46,$B$7-1,0))/($B$7-1))</f>
        <v>0.22208519396610152</v>
      </c>
      <c r="AG46" s="34">
        <f ca="1">SQRT($B$9*SUM(AC46:OFFSET(AC46,$B$8-1,0))/($B$8-1))</f>
        <v>0.32297906387947578</v>
      </c>
      <c r="AH46" s="1"/>
      <c r="AI46" s="1">
        <f t="shared" si="8"/>
        <v>-8.4926200456535879E-3</v>
      </c>
      <c r="AJ46" s="4">
        <f ca="1">SQRT($B$9)*_xlfn.STDEV.S(AI46:OFFSET(AI46,$B$5-1,0))</f>
        <v>0.13132849114174172</v>
      </c>
      <c r="AK46" s="4">
        <f ca="1">SQRT($B$9)*_xlfn.STDEV.S(AI46:OFFSET(AI46,$B$6-1,0))</f>
        <v>0.26035834445957196</v>
      </c>
      <c r="AL46" s="4">
        <f ca="1">SQRT($B$9)*_xlfn.STDEV.S(AI46:OFFSET(AI46,$B$7-1,0))</f>
        <v>0.22009764500175613</v>
      </c>
      <c r="AM46" s="4">
        <f ca="1">SQRT($B$9)*_xlfn.STDEV.S(AI46:OFFSET(AI46,$B$8-1,0))</f>
        <v>0.32029699955257279</v>
      </c>
    </row>
    <row r="47" spans="5:39" x14ac:dyDescent="0.2">
      <c r="E47" s="42">
        <v>45609</v>
      </c>
      <c r="F47" s="43">
        <v>2.7524492485334386</v>
      </c>
      <c r="G47" s="43">
        <v>2.791643969053673</v>
      </c>
      <c r="H47" s="43">
        <v>2.7504895125074267</v>
      </c>
      <c r="I47" s="43">
        <v>2.7808654209106085</v>
      </c>
      <c r="K47" s="3">
        <f t="shared" si="4"/>
        <v>2.2057471973101385E-4</v>
      </c>
      <c r="L47" s="3">
        <f ca="1">SQRT(AVERAGE(K47:OFFSET(K47,$B$5-1,0))*$B$9/(4*LN(2)))</f>
        <v>0.27582854680117169</v>
      </c>
      <c r="M47" s="3">
        <f ca="1">SQRT(AVERAGE(K47:OFFSET(K47,$B$6-1,0))*$B$9/(4*LN(2)))</f>
        <v>0.23446934210085224</v>
      </c>
      <c r="N47" s="3">
        <f ca="1">SQRT(AVERAGE(K47:OFFSET(K47,$B$7-1,0))*$B$9/(4*LN(2)))</f>
        <v>0.23632151308214303</v>
      </c>
      <c r="O47" s="3">
        <f ca="1">SQRT(AVERAGE(K47:OFFSET(K47,$B$8-1,0))*$B$9/(4*LN(2)))</f>
        <v>0.27704442499302384</v>
      </c>
      <c r="P47" s="1"/>
      <c r="Q47" s="5">
        <f t="shared" si="6"/>
        <v>6.9306436252083534E-5</v>
      </c>
      <c r="R47" s="5">
        <f ca="1">SQRT($B$9*AVERAGE((Q47:OFFSET(Q47,$B$5-1,0))))</f>
        <v>0.23552170002202782</v>
      </c>
      <c r="S47" s="5">
        <f ca="1">SQRT($B$9*AVERAGE((Q47:OFFSET(Q47,$B$6-1,0))))</f>
        <v>0.21086399542839773</v>
      </c>
      <c r="T47" s="5">
        <f ca="1">SQRT($B$9*AVERAGE((Q47:OFFSET(Q47,$B$7-1,0))))</f>
        <v>0.23329865749965492</v>
      </c>
      <c r="U47" s="5">
        <f ca="1">SQRT($B$9*AVERAGE((Q47:OFFSET(Q47,$B$8-1,0))))</f>
        <v>0.26871683417874231</v>
      </c>
      <c r="V47" s="1"/>
      <c r="W47" s="6">
        <f t="shared" si="7"/>
        <v>6.2521206304499126E-5</v>
      </c>
      <c r="X47" s="6">
        <f ca="1">SQRT($B$9*AVERAGE(W47:OFFSET(W47,$B$5-1,0)))</f>
        <v>0.21441268437128247</v>
      </c>
      <c r="Y47" s="6">
        <f ca="1">SQRT($B$9*AVERAGE(W47:OFFSET(W47,$B$6-1,0)))</f>
        <v>0.19838456900501003</v>
      </c>
      <c r="Z47" s="6">
        <f ca="1">SQRT($B$9*AVERAGE(W47:OFFSET(W47,$B$7-1,0)))</f>
        <v>0.22888389076909688</v>
      </c>
      <c r="AA47" s="6">
        <f ca="1">SQRT($B$9*AVERAGE(W47:OFFSET(W47,$B$8-1,0)))</f>
        <v>0.26180001412274451</v>
      </c>
      <c r="AB47" s="1"/>
      <c r="AC47" s="34">
        <f t="shared" si="5"/>
        <v>3.1964609849598393E-5</v>
      </c>
      <c r="AD47" s="34">
        <f ca="1">SQRT($B$9*SUM(AC47:OFFSET(AC47,$B$5-1,0))/($B$5-1))</f>
        <v>0.34092596744418802</v>
      </c>
      <c r="AE47" s="34">
        <f ca="1">SQRT($B$9*SUM(AC47:OFFSET(AC47,$B$6-1,0))/($B$6-1))</f>
        <v>0.26022725114185824</v>
      </c>
      <c r="AF47" s="34">
        <f ca="1">SQRT($B$9*SUM(AC47:OFFSET(AC47,$B$7-1,0))/($B$7-1))</f>
        <v>0.2267977901678751</v>
      </c>
      <c r="AG47" s="34">
        <f ca="1">SQRT($B$9*SUM(AC47:OFFSET(AC47,$B$8-1,0))/($B$8-1))</f>
        <v>0.32251619199042353</v>
      </c>
      <c r="AH47" s="1"/>
      <c r="AI47" s="1">
        <f t="shared" si="8"/>
        <v>5.6537253072287122E-3</v>
      </c>
      <c r="AJ47" s="4">
        <f ca="1">SQRT($B$9)*_xlfn.STDEV.S(AI47:OFFSET(AI47,$B$5-1,0))</f>
        <v>0.34002621243012465</v>
      </c>
      <c r="AK47" s="4">
        <f ca="1">SQRT($B$9)*_xlfn.STDEV.S(AI47:OFFSET(AI47,$B$6-1,0))</f>
        <v>0.25409163528662487</v>
      </c>
      <c r="AL47" s="4">
        <f ca="1">SQRT($B$9)*_xlfn.STDEV.S(AI47:OFFSET(AI47,$B$7-1,0))</f>
        <v>0.22551103179050766</v>
      </c>
      <c r="AM47" s="4">
        <f ca="1">SQRT($B$9)*_xlfn.STDEV.S(AI47:OFFSET(AI47,$B$8-1,0))</f>
        <v>0.3195471186138088</v>
      </c>
    </row>
    <row r="48" spans="5:39" x14ac:dyDescent="0.2">
      <c r="E48" s="42">
        <v>45608</v>
      </c>
      <c r="F48" s="43">
        <v>2.8004627811707254</v>
      </c>
      <c r="G48" s="43">
        <v>2.8357380296389363</v>
      </c>
      <c r="H48" s="43">
        <v>2.7524492485334386</v>
      </c>
      <c r="I48" s="43">
        <v>2.7651875327025146</v>
      </c>
      <c r="K48" s="3">
        <f t="shared" si="4"/>
        <v>8.8870049596459109E-4</v>
      </c>
      <c r="L48" s="3">
        <f ca="1">SQRT(AVERAGE(K48:OFFSET(K48,$B$5-1,0))*$B$9/(4*LN(2)))</f>
        <v>0.28171037599887355</v>
      </c>
      <c r="M48" s="3">
        <f ca="1">SQRT(AVERAGE(K48:OFFSET(K48,$B$6-1,0))*$B$9/(4*LN(2)))</f>
        <v>0.2372579776736273</v>
      </c>
      <c r="N48" s="3">
        <f ca="1">SQRT(AVERAGE(K48:OFFSET(K48,$B$7-1,0))*$B$9/(4*LN(2)))</f>
        <v>0.23732994072111976</v>
      </c>
      <c r="O48" s="3">
        <f ca="1">SQRT(AVERAGE(K48:OFFSET(K48,$B$8-1,0))*$B$9/(4*LN(2)))</f>
        <v>0.27653537077844276</v>
      </c>
      <c r="P48" s="1"/>
      <c r="Q48" s="5">
        <f t="shared" si="6"/>
        <v>3.8320669754415555E-4</v>
      </c>
      <c r="R48" s="5">
        <f ca="1">SQRT($B$9*AVERAGE((Q48:OFFSET(Q48,$B$5-1,0))))</f>
        <v>0.24676205756889191</v>
      </c>
      <c r="S48" s="5">
        <f ca="1">SQRT($B$9*AVERAGE((Q48:OFFSET(Q48,$B$6-1,0))))</f>
        <v>0.21552089540322819</v>
      </c>
      <c r="T48" s="5">
        <f ca="1">SQRT($B$9*AVERAGE((Q48:OFFSET(Q48,$B$7-1,0))))</f>
        <v>0.23550592107726956</v>
      </c>
      <c r="U48" s="5">
        <f ca="1">SQRT($B$9*AVERAGE((Q48:OFFSET(Q48,$B$8-1,0))))</f>
        <v>0.26830084424648787</v>
      </c>
      <c r="V48" s="1"/>
      <c r="W48" s="6">
        <f t="shared" si="7"/>
        <v>3.9521381703912754E-4</v>
      </c>
      <c r="X48" s="6">
        <f ca="1">SQRT($B$9*AVERAGE(W48:OFFSET(W48,$B$5-1,0)))</f>
        <v>0.22667721606427535</v>
      </c>
      <c r="Y48" s="6">
        <f ca="1">SQRT($B$9*AVERAGE(W48:OFFSET(W48,$B$6-1,0)))</f>
        <v>0.20315703467395915</v>
      </c>
      <c r="Z48" s="6">
        <f ca="1">SQRT($B$9*AVERAGE(W48:OFFSET(W48,$B$7-1,0)))</f>
        <v>0.23210463371085596</v>
      </c>
      <c r="AA48" s="6">
        <f ca="1">SQRT($B$9*AVERAGE(W48:OFFSET(W48,$B$8-1,0)))</f>
        <v>0.26142812957989958</v>
      </c>
      <c r="AB48" s="1"/>
      <c r="AC48" s="34">
        <f t="shared" si="5"/>
        <v>2.1825321955669044E-4</v>
      </c>
      <c r="AD48" s="34">
        <f ca="1">SQRT($B$9*SUM(AC48:OFFSET(AC48,$B$5-1,0))/($B$5-1))</f>
        <v>0.34397647142057725</v>
      </c>
      <c r="AE48" s="34">
        <f ca="1">SQRT($B$9*SUM(AC48:OFFSET(AC48,$B$6-1,0))/($B$6-1))</f>
        <v>0.26735039064081612</v>
      </c>
      <c r="AF48" s="34">
        <f ca="1">SQRT($B$9*SUM(AC48:OFFSET(AC48,$B$7-1,0))/($B$7-1))</f>
        <v>0.22594739469897393</v>
      </c>
      <c r="AG48" s="34">
        <f ca="1">SQRT($B$9*SUM(AC48:OFFSET(AC48,$B$8-1,0))/($B$8-1))</f>
        <v>0.32231146198758154</v>
      </c>
      <c r="AH48" s="1"/>
      <c r="AI48" s="1">
        <f t="shared" si="8"/>
        <v>-1.477339566777694E-2</v>
      </c>
      <c r="AJ48" s="4">
        <f ca="1">SQRT($B$9)*_xlfn.STDEV.S(AI48:OFFSET(AI48,$B$5-1,0))</f>
        <v>0.3431737557830804</v>
      </c>
      <c r="AK48" s="4">
        <f ca="1">SQRT($B$9)*_xlfn.STDEV.S(AI48:OFFSET(AI48,$B$6-1,0))</f>
        <v>0.26614736800771771</v>
      </c>
      <c r="AL48" s="4">
        <f ca="1">SQRT($B$9)*_xlfn.STDEV.S(AI48:OFFSET(AI48,$B$7-1,0))</f>
        <v>0.22519532487085278</v>
      </c>
      <c r="AM48" s="4">
        <f ca="1">SQRT($B$9)*_xlfn.STDEV.S(AI48:OFFSET(AI48,$B$8-1,0))</f>
        <v>0.31952585153210411</v>
      </c>
    </row>
    <row r="49" spans="5:39" x14ac:dyDescent="0.2">
      <c r="E49" s="42">
        <v>45607</v>
      </c>
      <c r="F49" s="43">
        <v>2.7985030451447135</v>
      </c>
      <c r="G49" s="43">
        <v>2.8102614613007839</v>
      </c>
      <c r="H49" s="43">
        <v>2.7642076646895091</v>
      </c>
      <c r="I49" s="43">
        <v>2.8063419892487604</v>
      </c>
      <c r="K49" s="3">
        <f t="shared" si="4"/>
        <v>2.7302574549179154E-4</v>
      </c>
      <c r="L49" s="3">
        <f ca="1">SQRT(AVERAGE(K49:OFFSET(K49,$B$5-1,0))*$B$9/(4*LN(2)))</f>
        <v>0.27560159234359699</v>
      </c>
      <c r="M49" s="3">
        <f ca="1">SQRT(AVERAGE(K49:OFFSET(K49,$B$6-1,0))*$B$9/(4*LN(2)))</f>
        <v>0.22691533046292864</v>
      </c>
      <c r="N49" s="3">
        <f ca="1">SQRT(AVERAGE(K49:OFFSET(K49,$B$7-1,0))*$B$9/(4*LN(2)))</f>
        <v>0.23612261803579013</v>
      </c>
      <c r="O49" s="3">
        <f ca="1">SQRT(AVERAGE(K49:OFFSET(K49,$B$8-1,0))*$B$9/(4*LN(2)))</f>
        <v>0.27440249192662541</v>
      </c>
      <c r="P49" s="1"/>
      <c r="Q49" s="5">
        <f t="shared" si="6"/>
        <v>1.3498729496615167E-4</v>
      </c>
      <c r="R49" s="5">
        <f ca="1">SQRT($B$9*AVERAGE((Q49:OFFSET(Q49,$B$5-1,0))))</f>
        <v>0.22260384338095987</v>
      </c>
      <c r="S49" s="5">
        <f ca="1">SQRT($B$9*AVERAGE((Q49:OFFSET(Q49,$B$6-1,0))))</f>
        <v>0.20216021700686043</v>
      </c>
      <c r="T49" s="5">
        <f ca="1">SQRT($B$9*AVERAGE((Q49:OFFSET(Q49,$B$7-1,0))))</f>
        <v>0.23128989720989024</v>
      </c>
      <c r="U49" s="5">
        <f ca="1">SQRT($B$9*AVERAGE((Q49:OFFSET(Q49,$B$8-1,0))))</f>
        <v>0.26561776140197069</v>
      </c>
      <c r="V49" s="1"/>
      <c r="W49" s="6">
        <f t="shared" si="7"/>
        <v>1.9238713938206302E-4</v>
      </c>
      <c r="X49" s="6">
        <f ca="1">SQRT($B$9*AVERAGE(W49:OFFSET(W49,$B$5-1,0)))</f>
        <v>0.19237892832028261</v>
      </c>
      <c r="Y49" s="6">
        <f ca="1">SQRT($B$9*AVERAGE(W49:OFFSET(W49,$B$6-1,0)))</f>
        <v>0.18922738735470218</v>
      </c>
      <c r="Z49" s="6">
        <f ca="1">SQRT($B$9*AVERAGE(W49:OFFSET(W49,$B$7-1,0)))</f>
        <v>0.22677740831857254</v>
      </c>
      <c r="AA49" s="6">
        <f ca="1">SQRT($B$9*AVERAGE(W49:OFFSET(W49,$B$8-1,0)))</f>
        <v>0.25858156906129476</v>
      </c>
      <c r="AB49" s="1"/>
      <c r="AC49" s="34">
        <f t="shared" si="5"/>
        <v>3.9253338502749131E-5</v>
      </c>
      <c r="AD49" s="34">
        <f ca="1">SQRT($B$9*SUM(AC49:OFFSET(AC49,$B$5-1,0))/($B$5-1))</f>
        <v>0.35948224057290307</v>
      </c>
      <c r="AE49" s="34">
        <f ca="1">SQRT($B$9*SUM(AC49:OFFSET(AC49,$B$6-1,0))/($B$6-1))</f>
        <v>0.25774425184430894</v>
      </c>
      <c r="AF49" s="34">
        <f ca="1">SQRT($B$9*SUM(AC49:OFFSET(AC49,$B$7-1,0))/($B$7-1))</f>
        <v>0.23687849076637202</v>
      </c>
      <c r="AG49" s="34">
        <f ca="1">SQRT($B$9*SUM(AC49:OFFSET(AC49,$B$8-1,0))/($B$8-1))</f>
        <v>0.32091250656906173</v>
      </c>
      <c r="AH49" s="1"/>
      <c r="AI49" s="1">
        <f t="shared" si="8"/>
        <v>-6.2652484789311536E-3</v>
      </c>
      <c r="AJ49" s="4">
        <f ca="1">SQRT($B$9)*_xlfn.STDEV.S(AI49:OFFSET(AI49,$B$5-1,0))</f>
        <v>0.34589464798829361</v>
      </c>
      <c r="AK49" s="4">
        <f ca="1">SQRT($B$9)*_xlfn.STDEV.S(AI49:OFFSET(AI49,$B$6-1,0))</f>
        <v>0.25458418005667593</v>
      </c>
      <c r="AL49" s="4">
        <f ca="1">SQRT($B$9)*_xlfn.STDEV.S(AI49:OFFSET(AI49,$B$7-1,0))</f>
        <v>0.23664827425793955</v>
      </c>
      <c r="AM49" s="4">
        <f ca="1">SQRT($B$9)*_xlfn.STDEV.S(AI49:OFFSET(AI49,$B$8-1,0))</f>
        <v>0.31762139551301621</v>
      </c>
    </row>
    <row r="50" spans="5:39" x14ac:dyDescent="0.2">
      <c r="E50" s="42">
        <v>45604</v>
      </c>
      <c r="F50" s="43">
        <v>2.8768924861851817</v>
      </c>
      <c r="G50" s="43">
        <v>2.8906106383672641</v>
      </c>
      <c r="H50" s="43">
        <v>2.8102614613007839</v>
      </c>
      <c r="I50" s="43">
        <v>2.8239796134828659</v>
      </c>
      <c r="K50" s="3">
        <f t="shared" si="4"/>
        <v>7.9469006055862097E-4</v>
      </c>
      <c r="L50" s="3">
        <f ca="1">SQRT(AVERAGE(K50:OFFSET(K50,$B$5-1,0))*$B$9/(4*LN(2)))</f>
        <v>0.27572857633219444</v>
      </c>
      <c r="M50" s="3">
        <f ca="1">SQRT(AVERAGE(K50:OFFSET(K50,$B$6-1,0))*$B$9/(4*LN(2)))</f>
        <v>0.22416248892217944</v>
      </c>
      <c r="N50" s="3">
        <f ca="1">SQRT(AVERAGE(K50:OFFSET(K50,$B$7-1,0))*$B$9/(4*LN(2)))</f>
        <v>0.23886600115709672</v>
      </c>
      <c r="O50" s="3">
        <f ca="1">SQRT(AVERAGE(K50:OFFSET(K50,$B$8-1,0))*$B$9/(4*LN(2)))</f>
        <v>0.2740868577740454</v>
      </c>
      <c r="P50" s="1"/>
      <c r="Q50" s="5">
        <f t="shared" si="6"/>
        <v>2.6327864999941457E-4</v>
      </c>
      <c r="R50" s="5">
        <f ca="1">SQRT($B$9*AVERAGE((Q50:OFFSET(Q50,$B$5-1,0))))</f>
        <v>0.22085155799776818</v>
      </c>
      <c r="S50" s="5">
        <f ca="1">SQRT($B$9*AVERAGE((Q50:OFFSET(Q50,$B$6-1,0))))</f>
        <v>0.19799111264967292</v>
      </c>
      <c r="T50" s="5">
        <f ca="1">SQRT($B$9*AVERAGE((Q50:OFFSET(Q50,$B$7-1,0))))</f>
        <v>0.23460265734898572</v>
      </c>
      <c r="U50" s="5">
        <f ca="1">SQRT($B$9*AVERAGE((Q50:OFFSET(Q50,$B$8-1,0))))</f>
        <v>0.2651464141706753</v>
      </c>
      <c r="V50" s="1"/>
      <c r="W50" s="6">
        <f t="shared" si="7"/>
        <v>2.2504749306460534E-4</v>
      </c>
      <c r="X50" s="6">
        <f ca="1">SQRT($B$9*AVERAGE(W50:OFFSET(W50,$B$5-1,0)))</f>
        <v>0.1861832701635662</v>
      </c>
      <c r="Y50" s="6">
        <f ca="1">SQRT($B$9*AVERAGE(W50:OFFSET(W50,$B$6-1,0)))</f>
        <v>0.18401158563712253</v>
      </c>
      <c r="Z50" s="6">
        <f ca="1">SQRT($B$9*AVERAGE(W50:OFFSET(W50,$B$7-1,0)))</f>
        <v>0.2285691662493467</v>
      </c>
      <c r="AA50" s="6">
        <f ca="1">SQRT($B$9*AVERAGE(W50:OFFSET(W50,$B$8-1,0)))</f>
        <v>0.25767372987781745</v>
      </c>
      <c r="AB50" s="1"/>
      <c r="AC50" s="34">
        <f t="shared" si="5"/>
        <v>2.1933559961449992E-4</v>
      </c>
      <c r="AD50" s="34">
        <f ca="1">SQRT($B$9*SUM(AC50:OFFSET(AC50,$B$5-1,0))/($B$5-1))</f>
        <v>0.36198816011471346</v>
      </c>
      <c r="AE50" s="34">
        <f ca="1">SQRT($B$9*SUM(AC50:OFFSET(AC50,$B$6-1,0))/($B$6-1))</f>
        <v>0.25569021268101144</v>
      </c>
      <c r="AF50" s="34">
        <f ca="1">SQRT($B$9*SUM(AC50:OFFSET(AC50,$B$7-1,0))/($B$7-1))</f>
        <v>0.23954761319502246</v>
      </c>
      <c r="AG50" s="34">
        <f ca="1">SQRT($B$9*SUM(AC50:OFFSET(AC50,$B$8-1,0))/($B$8-1))</f>
        <v>0.32071340436334317</v>
      </c>
      <c r="AH50" s="1"/>
      <c r="AI50" s="1">
        <f t="shared" si="8"/>
        <v>-1.4809983106489349E-2</v>
      </c>
      <c r="AJ50" s="4">
        <f ca="1">SQRT($B$9)*_xlfn.STDEV.S(AI50:OFFSET(AI50,$B$5-1,0))</f>
        <v>0.32996696478139825</v>
      </c>
      <c r="AK50" s="4">
        <f ca="1">SQRT($B$9)*_xlfn.STDEV.S(AI50:OFFSET(AI50,$B$6-1,0))</f>
        <v>0.25039751288651158</v>
      </c>
      <c r="AL50" s="4">
        <f ca="1">SQRT($B$9)*_xlfn.STDEV.S(AI50:OFFSET(AI50,$B$7-1,0))</f>
        <v>0.23824998974667749</v>
      </c>
      <c r="AM50" s="4">
        <f ca="1">SQRT($B$9)*_xlfn.STDEV.S(AI50:OFFSET(AI50,$B$8-1,0))</f>
        <v>0.31706210349654323</v>
      </c>
    </row>
    <row r="51" spans="5:39" x14ac:dyDescent="0.2">
      <c r="E51" s="42">
        <v>45603</v>
      </c>
      <c r="F51" s="43">
        <v>2.7406908323773687</v>
      </c>
      <c r="G51" s="43">
        <v>2.8690535420811352</v>
      </c>
      <c r="H51" s="43">
        <v>2.7397109643643622</v>
      </c>
      <c r="I51" s="43">
        <v>2.8661139380421172</v>
      </c>
      <c r="K51" s="3">
        <f t="shared" si="4"/>
        <v>2.1279558396313843E-3</v>
      </c>
      <c r="L51" s="3">
        <f ca="1">SQRT(AVERAGE(K51:OFFSET(K51,$B$5-1,0))*$B$9/(4*LN(2)))</f>
        <v>0.25948248411796998</v>
      </c>
      <c r="M51" s="3">
        <f ca="1">SQRT(AVERAGE(K51:OFFSET(K51,$B$6-1,0))*$B$9/(4*LN(2)))</f>
        <v>0.21179617743762069</v>
      </c>
      <c r="N51" s="3">
        <f ca="1">SQRT(AVERAGE(K51:OFFSET(K51,$B$7-1,0))*$B$9/(4*LN(2)))</f>
        <v>0.2416933354172216</v>
      </c>
      <c r="O51" s="3">
        <f ca="1">SQRT(AVERAGE(K51:OFFSET(K51,$B$8-1,0))*$B$9/(4*LN(2)))</f>
        <v>0.27217010696882976</v>
      </c>
      <c r="P51" s="1"/>
      <c r="Q51" s="5">
        <f t="shared" si="6"/>
        <v>2.8127135350893072E-4</v>
      </c>
      <c r="R51" s="5">
        <f ca="1">SQRT($B$9*AVERAGE((Q51:OFFSET(Q51,$B$5-1,0))))</f>
        <v>0.20367538533948235</v>
      </c>
      <c r="S51" s="5">
        <f ca="1">SQRT($B$9*AVERAGE((Q51:OFFSET(Q51,$B$6-1,0))))</f>
        <v>0.1870896851017195</v>
      </c>
      <c r="T51" s="5">
        <f ca="1">SQRT($B$9*AVERAGE((Q51:OFFSET(Q51,$B$7-1,0))))</f>
        <v>0.23929512892600727</v>
      </c>
      <c r="U51" s="5">
        <f ca="1">SQRT($B$9*AVERAGE((Q51:OFFSET(Q51,$B$8-1,0))))</f>
        <v>0.26343440829207537</v>
      </c>
      <c r="V51" s="1"/>
      <c r="W51" s="6">
        <f t="shared" si="7"/>
        <v>6.3050736440300819E-5</v>
      </c>
      <c r="X51" s="6">
        <f ca="1">SQRT($B$9*AVERAGE(W51:OFFSET(W51,$B$5-1,0)))</f>
        <v>0.17347655429738357</v>
      </c>
      <c r="Y51" s="6">
        <f ca="1">SQRT($B$9*AVERAGE(W51:OFFSET(W51,$B$6-1,0)))</f>
        <v>0.17551009122912317</v>
      </c>
      <c r="Z51" s="6">
        <f ca="1">SQRT($B$9*AVERAGE(W51:OFFSET(W51,$B$7-1,0)))</f>
        <v>0.23528107051541064</v>
      </c>
      <c r="AA51" s="6">
        <f ca="1">SQRT($B$9*AVERAGE(W51:OFFSET(W51,$B$8-1,0)))</f>
        <v>0.25632793709468227</v>
      </c>
      <c r="AB51" s="1"/>
      <c r="AC51" s="34">
        <f t="shared" si="5"/>
        <v>1.3888342982357361E-3</v>
      </c>
      <c r="AD51" s="34">
        <f ca="1">SQRT($B$9*SUM(AC51:OFFSET(AC51,$B$5-1,0))/($B$5-1))</f>
        <v>0.34809337757191833</v>
      </c>
      <c r="AE51" s="34">
        <f ca="1">SQRT($B$9*SUM(AC51:OFFSET(AC51,$B$6-1,0))/($B$6-1))</f>
        <v>0.24384953736641152</v>
      </c>
      <c r="AF51" s="34">
        <f ca="1">SQRT($B$9*SUM(AC51:OFFSET(AC51,$B$7-1,0))/($B$7-1))</f>
        <v>0.24494544728725884</v>
      </c>
      <c r="AG51" s="34">
        <f ca="1">SQRT($B$9*SUM(AC51:OFFSET(AC51,$B$8-1,0))/($B$8-1))</f>
        <v>0.31929480277223377</v>
      </c>
      <c r="AH51" s="1"/>
      <c r="AI51" s="1">
        <f t="shared" si="8"/>
        <v>3.7267067207331139E-2</v>
      </c>
      <c r="AJ51" s="4">
        <f ca="1">SQRT($B$9)*_xlfn.STDEV.S(AI51:OFFSET(AI51,$B$5-1,0))</f>
        <v>0.26354860228666566</v>
      </c>
      <c r="AK51" s="4">
        <f ca="1">SQRT($B$9)*_xlfn.STDEV.S(AI51:OFFSET(AI51,$B$6-1,0))</f>
        <v>0.23085005343858409</v>
      </c>
      <c r="AL51" s="4">
        <f ca="1">SQRT($B$9)*_xlfn.STDEV.S(AI51:OFFSET(AI51,$B$7-1,0))</f>
        <v>0.24410332040783111</v>
      </c>
      <c r="AM51" s="4">
        <f ca="1">SQRT($B$9)*_xlfn.STDEV.S(AI51:OFFSET(AI51,$B$8-1,0))</f>
        <v>0.31504296319418384</v>
      </c>
    </row>
    <row r="52" spans="5:39" x14ac:dyDescent="0.2">
      <c r="E52" s="42">
        <v>45602</v>
      </c>
      <c r="F52" s="43">
        <v>2.78282515693662</v>
      </c>
      <c r="G52" s="43">
        <v>2.7994829131577199</v>
      </c>
      <c r="H52" s="43">
        <v>2.7436304364163857</v>
      </c>
      <c r="I52" s="43">
        <v>2.7612680606504916</v>
      </c>
      <c r="K52" s="3">
        <f t="shared" si="4"/>
        <v>4.0613156184216871E-4</v>
      </c>
      <c r="L52" s="3">
        <f ca="1">SQRT(AVERAGE(K52:OFFSET(K52,$B$5-1,0))*$B$9/(4*LN(2)))</f>
        <v>0.18403901091879082</v>
      </c>
      <c r="M52" s="3">
        <f ca="1">SQRT(AVERAGE(K52:OFFSET(K52,$B$6-1,0))*$B$9/(4*LN(2)))</f>
        <v>0.16496635336110521</v>
      </c>
      <c r="N52" s="3">
        <f ca="1">SQRT(AVERAGE(K52:OFFSET(K52,$B$7-1,0))*$B$9/(4*LN(2)))</f>
        <v>0.24461469768406757</v>
      </c>
      <c r="O52" s="3">
        <f ca="1">SQRT(AVERAGE(K52:OFFSET(K52,$B$8-1,0))*$B$9/(4*LN(2)))</f>
        <v>0.26778969932761965</v>
      </c>
      <c r="P52" s="1"/>
      <c r="Q52" s="5">
        <f t="shared" si="6"/>
        <v>1.7993994389222756E-4</v>
      </c>
      <c r="R52" s="5">
        <f ca="1">SQRT($B$9*AVERAGE((Q52:OFFSET(Q52,$B$5-1,0))))</f>
        <v>0.18291194043798406</v>
      </c>
      <c r="S52" s="5">
        <f ca="1">SQRT($B$9*AVERAGE((Q52:OFFSET(Q52,$B$6-1,0))))</f>
        <v>0.17160743762891426</v>
      </c>
      <c r="T52" s="5">
        <f ca="1">SQRT($B$9*AVERAGE((Q52:OFFSET(Q52,$B$7-1,0))))</f>
        <v>0.25745010431761978</v>
      </c>
      <c r="U52" s="5">
        <f ca="1">SQRT($B$9*AVERAGE((Q52:OFFSET(Q52,$B$8-1,0))))</f>
        <v>0.26293204216097754</v>
      </c>
      <c r="V52" s="1"/>
      <c r="W52" s="6">
        <f t="shared" si="7"/>
        <v>1.7292449331166184E-4</v>
      </c>
      <c r="X52" s="6">
        <f ca="1">SQRT($B$9*AVERAGE(W52:OFFSET(W52,$B$5-1,0)))</f>
        <v>0.18094218750558971</v>
      </c>
      <c r="Y52" s="6">
        <f ca="1">SQRT($B$9*AVERAGE(W52:OFFSET(W52,$B$6-1,0)))</f>
        <v>0.17490883500141716</v>
      </c>
      <c r="Z52" s="6">
        <f ca="1">SQRT($B$9*AVERAGE(W52:OFFSET(W52,$B$7-1,0)))</f>
        <v>0.26257121078878853</v>
      </c>
      <c r="AA52" s="6">
        <f ca="1">SQRT($B$9*AVERAGE(W52:OFFSET(W52,$B$8-1,0)))</f>
        <v>0.25755967513258765</v>
      </c>
      <c r="AB52" s="1"/>
      <c r="AC52" s="34">
        <f t="shared" si="5"/>
        <v>6.6075591289527357E-5</v>
      </c>
      <c r="AD52" s="34">
        <f ca="1">SQRT($B$9*SUM(AC52:OFFSET(AC52,$B$5-1,0))/($B$5-1))</f>
        <v>0.19009335799851582</v>
      </c>
      <c r="AE52" s="34">
        <f ca="1">SQRT($B$9*SUM(AC52:OFFSET(AC52,$B$6-1,0))/($B$6-1))</f>
        <v>0.15611497175229316</v>
      </c>
      <c r="AF52" s="34">
        <f ca="1">SQRT($B$9*SUM(AC52:OFFSET(AC52,$B$7-1,0))/($B$7-1))</f>
        <v>0.23462787021859741</v>
      </c>
      <c r="AG52" s="34">
        <f ca="1">SQRT($B$9*SUM(AC52:OFFSET(AC52,$B$8-1,0))/($B$8-1))</f>
        <v>0.31042738306580669</v>
      </c>
      <c r="AH52" s="1"/>
      <c r="AI52" s="1">
        <f t="shared" si="8"/>
        <v>-8.1286893955623222E-3</v>
      </c>
      <c r="AJ52" s="4">
        <f ca="1">SQRT($B$9)*_xlfn.STDEV.S(AI52:OFFSET(AI52,$B$5-1,0))</f>
        <v>0.16498979185294949</v>
      </c>
      <c r="AK52" s="4">
        <f ca="1">SQRT($B$9)*_xlfn.STDEV.S(AI52:OFFSET(AI52,$B$6-1,0))</f>
        <v>0.15611387344792263</v>
      </c>
      <c r="AL52" s="4">
        <f ca="1">SQRT($B$9)*_xlfn.STDEV.S(AI52:OFFSET(AI52,$B$7-1,0))</f>
        <v>0.23409348160571455</v>
      </c>
      <c r="AM52" s="4">
        <f ca="1">SQRT($B$9)*_xlfn.STDEV.S(AI52:OFFSET(AI52,$B$8-1,0))</f>
        <v>0.3077895918335638</v>
      </c>
    </row>
    <row r="53" spans="5:39" x14ac:dyDescent="0.2">
      <c r="E53" s="42">
        <v>45601</v>
      </c>
      <c r="F53" s="43">
        <v>2.7220733401302573</v>
      </c>
      <c r="G53" s="43">
        <v>2.784784892962632</v>
      </c>
      <c r="H53" s="43">
        <v>2.7122746600001983</v>
      </c>
      <c r="I53" s="43">
        <v>2.783805024949626</v>
      </c>
      <c r="K53" s="3">
        <f t="shared" si="4"/>
        <v>6.9606226262366208E-4</v>
      </c>
      <c r="L53" s="3">
        <f ca="1">SQRT(AVERAGE(K53:OFFSET(K53,$B$5-1,0))*$B$9/(4*LN(2)))</f>
        <v>0.18226892218404139</v>
      </c>
      <c r="M53" s="3">
        <f ca="1">SQRT(AVERAGE(K53:OFFSET(K53,$B$6-1,0))*$B$9/(4*LN(2)))</f>
        <v>0.16217803306081929</v>
      </c>
      <c r="N53" s="3">
        <f ca="1">SQRT(AVERAGE(K53:OFFSET(K53,$B$7-1,0))*$B$9/(4*LN(2)))</f>
        <v>0.27583466441894816</v>
      </c>
      <c r="O53" s="3">
        <f ca="1">SQRT(AVERAGE(K53:OFFSET(K53,$B$8-1,0))*$B$9/(4*LN(2)))</f>
        <v>0.26734390838865135</v>
      </c>
      <c r="P53" s="1"/>
      <c r="Q53" s="5">
        <f t="shared" si="6"/>
        <v>1.517976777960286E-4</v>
      </c>
      <c r="R53" s="5">
        <f ca="1">SQRT($B$9*AVERAGE((Q53:OFFSET(Q53,$B$5-1,0))))</f>
        <v>0.178905001761229</v>
      </c>
      <c r="S53" s="5">
        <f ca="1">SQRT($B$9*AVERAGE((Q53:OFFSET(Q53,$B$6-1,0))))</f>
        <v>0.1686864222690603</v>
      </c>
      <c r="T53" s="5">
        <f ca="1">SQRT($B$9*AVERAGE((Q53:OFFSET(Q53,$B$7-1,0))))</f>
        <v>0.27582687161060099</v>
      </c>
      <c r="U53" s="5">
        <f ca="1">SQRT($B$9*AVERAGE((Q53:OFFSET(Q53,$B$8-1,0))))</f>
        <v>0.26245784632310842</v>
      </c>
      <c r="V53" s="1"/>
      <c r="W53" s="6">
        <f t="shared" si="7"/>
        <v>1.018891594679085E-4</v>
      </c>
      <c r="X53" s="6">
        <f ca="1">SQRT($B$9*AVERAGE(W53:OFFSET(W53,$B$5-1,0)))</f>
        <v>0.17653045400831643</v>
      </c>
      <c r="Y53" s="6">
        <f ca="1">SQRT($B$9*AVERAGE(W53:OFFSET(W53,$B$6-1,0)))</f>
        <v>0.17298476852663905</v>
      </c>
      <c r="Z53" s="6">
        <f ca="1">SQRT($B$9*AVERAGE(W53:OFFSET(W53,$B$7-1,0)))</f>
        <v>0.27488791045536115</v>
      </c>
      <c r="AA53" s="6">
        <f ca="1">SQRT($B$9*AVERAGE(W53:OFFSET(W53,$B$8-1,0)))</f>
        <v>0.25743491888541992</v>
      </c>
      <c r="AB53" s="1"/>
      <c r="AC53" s="34">
        <f t="shared" si="5"/>
        <v>3.9633760153813286E-4</v>
      </c>
      <c r="AD53" s="34">
        <f ca="1">SQRT($B$9*SUM(AC53:OFFSET(AC53,$B$5-1,0))/($B$5-1))</f>
        <v>0.20615942303128418</v>
      </c>
      <c r="AE53" s="34">
        <f ca="1">SQRT($B$9*SUM(AC53:OFFSET(AC53,$B$6-1,0))/($B$6-1))</f>
        <v>0.15315471520029469</v>
      </c>
      <c r="AF53" s="34">
        <f ca="1">SQRT($B$9*SUM(AC53:OFFSET(AC53,$B$7-1,0))/($B$7-1))</f>
        <v>0.3558162725770484</v>
      </c>
      <c r="AG53" s="34">
        <f ca="1">SQRT($B$9*SUM(AC53:OFFSET(AC53,$B$8-1,0))/($B$8-1))</f>
        <v>0.31027657262804131</v>
      </c>
      <c r="AH53" s="1"/>
      <c r="AI53" s="1">
        <f t="shared" si="8"/>
        <v>1.9908229492803544E-2</v>
      </c>
      <c r="AJ53" s="4">
        <f ca="1">SQRT($B$9)*_xlfn.STDEV.S(AI53:OFFSET(AI53,$B$5-1,0))</f>
        <v>0.19114823262687539</v>
      </c>
      <c r="AK53" s="4">
        <f ca="1">SQRT($B$9)*_xlfn.STDEV.S(AI53:OFFSET(AI53,$B$6-1,0))</f>
        <v>0.1513573037679973</v>
      </c>
      <c r="AL53" s="4">
        <f ca="1">SQRT($B$9)*_xlfn.STDEV.S(AI53:OFFSET(AI53,$B$7-1,0))</f>
        <v>0.35380104909225107</v>
      </c>
      <c r="AM53" s="4">
        <f ca="1">SQRT($B$9)*_xlfn.STDEV.S(AI53:OFFSET(AI53,$B$8-1,0))</f>
        <v>0.30758435971756082</v>
      </c>
    </row>
    <row r="54" spans="5:39" x14ac:dyDescent="0.2">
      <c r="E54" s="42">
        <v>45600</v>
      </c>
      <c r="F54" s="43">
        <v>2.7093350559611813</v>
      </c>
      <c r="G54" s="43">
        <v>2.7308921522473097</v>
      </c>
      <c r="H54" s="43">
        <v>2.6858182236490409</v>
      </c>
      <c r="I54" s="43">
        <v>2.7289324162212982</v>
      </c>
      <c r="K54" s="3">
        <f t="shared" si="4"/>
        <v>2.7698715823433131E-4</v>
      </c>
      <c r="L54" s="3">
        <f ca="1">SQRT(AVERAGE(K54:OFFSET(K54,$B$5-1,0))*$B$9/(4*LN(2)))</f>
        <v>0.16439250802841948</v>
      </c>
      <c r="M54" s="3">
        <f ca="1">SQRT(AVERAGE(K54:OFFSET(K54,$B$6-1,0))*$B$9/(4*LN(2)))</f>
        <v>0.14673850457798079</v>
      </c>
      <c r="N54" s="3">
        <f ca="1">SQRT(AVERAGE(K54:OFFSET(K54,$B$7-1,0))*$B$9/(4*LN(2)))</f>
        <v>0.33640935755207002</v>
      </c>
      <c r="O54" s="3">
        <f ca="1">SQRT(AVERAGE(K54:OFFSET(K54,$B$8-1,0))*$B$9/(4*LN(2)))</f>
        <v>0.26564593315820217</v>
      </c>
      <c r="P54" s="1"/>
      <c r="Q54" s="5">
        <f t="shared" si="6"/>
        <v>1.1912891908996115E-4</v>
      </c>
      <c r="R54" s="5">
        <f ca="1">SQRT($B$9*AVERAGE((Q54:OFFSET(Q54,$B$5-1,0))))</f>
        <v>0.17940188291249032</v>
      </c>
      <c r="S54" s="5">
        <f ca="1">SQRT($B$9*AVERAGE((Q54:OFFSET(Q54,$B$6-1,0))))</f>
        <v>0.16273200831017165</v>
      </c>
      <c r="T54" s="5">
        <f ca="1">SQRT($B$9*AVERAGE((Q54:OFFSET(Q54,$B$7-1,0))))</f>
        <v>0.32445762320008709</v>
      </c>
      <c r="U54" s="5">
        <f ca="1">SQRT($B$9*AVERAGE((Q54:OFFSET(Q54,$B$8-1,0))))</f>
        <v>0.26158556147146678</v>
      </c>
      <c r="V54" s="1"/>
      <c r="W54" s="6">
        <f t="shared" si="7"/>
        <v>1.4452097667061489E-4</v>
      </c>
      <c r="X54" s="6">
        <f ca="1">SQRT($B$9*AVERAGE(W54:OFFSET(W54,$B$5-1,0)))</f>
        <v>0.1860224615161099</v>
      </c>
      <c r="Y54" s="6">
        <f ca="1">SQRT($B$9*AVERAGE(W54:OFFSET(W54,$B$6-1,0)))</f>
        <v>0.17099866799302993</v>
      </c>
      <c r="Z54" s="6">
        <f ca="1">SQRT($B$9*AVERAGE(W54:OFFSET(W54,$B$7-1,0)))</f>
        <v>0.31889581869225925</v>
      </c>
      <c r="AA54" s="6">
        <f ca="1">SQRT($B$9*AVERAGE(W54:OFFSET(W54,$B$8-1,0)))</f>
        <v>0.2569416624493337</v>
      </c>
      <c r="AB54" s="1"/>
      <c r="AC54" s="34">
        <f t="shared" si="5"/>
        <v>6.8770836885130999E-5</v>
      </c>
      <c r="AD54" s="34">
        <f ca="1">SQRT($B$9*SUM(AC54:OFFSET(AC54,$B$5-1,0))/($B$5-1))</f>
        <v>0.14228401972795887</v>
      </c>
      <c r="AE54" s="34">
        <f ca="1">SQRT($B$9*SUM(AC54:OFFSET(AC54,$B$6-1,0))/($B$6-1))</f>
        <v>0.11440572629694298</v>
      </c>
      <c r="AF54" s="34">
        <f ca="1">SQRT($B$9*SUM(AC54:OFFSET(AC54,$B$7-1,0))/($B$7-1))</f>
        <v>0.35858178549055897</v>
      </c>
      <c r="AG54" s="34">
        <f ca="1">SQRT($B$9*SUM(AC54:OFFSET(AC54,$B$8-1,0))/($B$8-1))</f>
        <v>0.30786785069135786</v>
      </c>
      <c r="AH54" s="1"/>
      <c r="AI54" s="1">
        <f t="shared" si="8"/>
        <v>8.2928183921469664E-3</v>
      </c>
      <c r="AJ54" s="4">
        <f ca="1">SQRT($B$9)*_xlfn.STDEV.S(AI54:OFFSET(AI54,$B$5-1,0))</f>
        <v>0.14172991869754206</v>
      </c>
      <c r="AK54" s="4">
        <f ca="1">SQRT($B$9)*_xlfn.STDEV.S(AI54:OFFSET(AI54,$B$6-1,0))</f>
        <v>0.11436744126806969</v>
      </c>
      <c r="AL54" s="4">
        <f ca="1">SQRT($B$9)*_xlfn.STDEV.S(AI54:OFFSET(AI54,$B$7-1,0))</f>
        <v>0.3568717432755763</v>
      </c>
      <c r="AM54" s="4">
        <f ca="1">SQRT($B$9)*_xlfn.STDEV.S(AI54:OFFSET(AI54,$B$8-1,0))</f>
        <v>0.30599236147744702</v>
      </c>
    </row>
    <row r="55" spans="5:39" x14ac:dyDescent="0.2">
      <c r="E55" s="42">
        <v>45597</v>
      </c>
      <c r="F55" s="43">
        <v>2.6799390155710054</v>
      </c>
      <c r="G55" s="43">
        <v>2.7269726801952863</v>
      </c>
      <c r="H55" s="43">
        <v>2.6799390155710054</v>
      </c>
      <c r="I55" s="43">
        <v>2.7063954519221638</v>
      </c>
      <c r="K55" s="3">
        <f t="shared" si="4"/>
        <v>3.02692027924857E-4</v>
      </c>
      <c r="L55" s="3">
        <f ca="1">SQRT(AVERAGE(K55:OFFSET(K55,$B$5-1,0))*$B$9/(4*LN(2)))</f>
        <v>0.15643335665194186</v>
      </c>
      <c r="M55" s="3">
        <f ca="1">SQRT(AVERAGE(K55:OFFSET(K55,$B$6-1,0))*$B$9/(4*LN(2)))</f>
        <v>0.14589038235209775</v>
      </c>
      <c r="N55" s="3">
        <f ca="1">SQRT(AVERAGE(K55:OFFSET(K55,$B$7-1,0))*$B$9/(4*LN(2)))</f>
        <v>0.37296931249242959</v>
      </c>
      <c r="O55" s="3">
        <f ca="1">SQRT(AVERAGE(K55:OFFSET(K55,$B$8-1,0))*$B$9/(4*LN(2)))</f>
        <v>0.26506145113813878</v>
      </c>
      <c r="P55" s="1"/>
      <c r="Q55" s="5">
        <f t="shared" si="6"/>
        <v>1.1446746475747674E-4</v>
      </c>
      <c r="R55" s="5">
        <f ca="1">SQRT($B$9*AVERAGE((Q55:OFFSET(Q55,$B$5-1,0))))</f>
        <v>0.17212074455587678</v>
      </c>
      <c r="S55" s="5">
        <f ca="1">SQRT($B$9*AVERAGE((Q55:OFFSET(Q55,$B$6-1,0))))</f>
        <v>0.16298269936478355</v>
      </c>
      <c r="T55" s="5">
        <f ca="1">SQRT($B$9*AVERAGE((Q55:OFFSET(Q55,$B$7-1,0))))</f>
        <v>0.36705110933311808</v>
      </c>
      <c r="U55" s="5">
        <f ca="1">SQRT($B$9*AVERAGE((Q55:OFFSET(Q55,$B$8-1,0))))</f>
        <v>0.26084127909575433</v>
      </c>
      <c r="V55" s="1"/>
      <c r="W55" s="6">
        <f t="shared" si="7"/>
        <v>1.3178024412773974E-4</v>
      </c>
      <c r="X55" s="6">
        <f ca="1">SQRT($B$9*AVERAGE(W55:OFFSET(W55,$B$5-1,0)))</f>
        <v>0.18181396318373538</v>
      </c>
      <c r="Y55" s="6">
        <f ca="1">SQRT($B$9*AVERAGE(W55:OFFSET(W55,$B$6-1,0)))</f>
        <v>0.16971767813549821</v>
      </c>
      <c r="Z55" s="6">
        <f ca="1">SQRT($B$9*AVERAGE(W55:OFFSET(W55,$B$7-1,0)))</f>
        <v>0.36125490969151669</v>
      </c>
      <c r="AA55" s="6">
        <f ca="1">SQRT($B$9*AVERAGE(W55:OFFSET(W55,$B$8-1,0)))</f>
        <v>0.25596267912218063</v>
      </c>
      <c r="AB55" s="1"/>
      <c r="AC55" s="34">
        <f t="shared" si="5"/>
        <v>5.8251051797204812E-5</v>
      </c>
      <c r="AD55" s="34">
        <f ca="1">SQRT($B$9*SUM(AC55:OFFSET(AC55,$B$5-1,0))/($B$5-1))</f>
        <v>0.12674349243137295</v>
      </c>
      <c r="AE55" s="34">
        <f ca="1">SQRT($B$9*SUM(AC55:OFFSET(AC55,$B$6-1,0))/($B$6-1))</f>
        <v>0.10631955470421847</v>
      </c>
      <c r="AF55" s="34">
        <f ca="1">SQRT($B$9*SUM(AC55:OFFSET(AC55,$B$7-1,0))/($B$7-1))</f>
        <v>0.42821450066202049</v>
      </c>
      <c r="AG55" s="34">
        <f ca="1">SQRT($B$9*SUM(AC55:OFFSET(AC55,$B$8-1,0))/($B$8-1))</f>
        <v>0.30765565102296366</v>
      </c>
      <c r="AH55" s="1"/>
      <c r="AI55" s="1">
        <f t="shared" si="8"/>
        <v>7.6322376664517471E-3</v>
      </c>
      <c r="AJ55" s="4">
        <f ca="1">SQRT($B$9)*_xlfn.STDEV.S(AI55:OFFSET(AI55,$B$5-1,0))</f>
        <v>0.12057318279056735</v>
      </c>
      <c r="AK55" s="4">
        <f ca="1">SQRT($B$9)*_xlfn.STDEV.S(AI55:OFFSET(AI55,$B$6-1,0))</f>
        <v>0.10449803438371483</v>
      </c>
      <c r="AL55" s="4">
        <f ca="1">SQRT($B$9)*_xlfn.STDEV.S(AI55:OFFSET(AI55,$B$7-1,0))</f>
        <v>0.42806999200048618</v>
      </c>
      <c r="AM55" s="4">
        <f ca="1">SQRT($B$9)*_xlfn.STDEV.S(AI55:OFFSET(AI55,$B$8-1,0))</f>
        <v>0.30617554402411928</v>
      </c>
    </row>
    <row r="56" spans="5:39" x14ac:dyDescent="0.2">
      <c r="E56" s="42">
        <v>45596</v>
      </c>
      <c r="F56" s="43">
        <v>2.6877779596750524</v>
      </c>
      <c r="G56" s="43">
        <v>2.7073753199351693</v>
      </c>
      <c r="H56" s="43">
        <v>2.6662208633889239</v>
      </c>
      <c r="I56" s="43">
        <v>2.6858182236490409</v>
      </c>
      <c r="K56" s="3">
        <f>(LN(G56/H56))^2</f>
        <v>2.3462844516153393E-4</v>
      </c>
      <c r="L56" s="3">
        <f ca="1">SQRT(AVERAGE(K56:OFFSET(K56,$B$5-1,0))*$B$9/(4*LN(2)))</f>
        <v>0.14961310768226044</v>
      </c>
      <c r="M56" s="3">
        <f ca="1">SQRT(AVERAGE(K56:OFFSET(K56,$B$6-1,0))*$B$9/(4*LN(2)))</f>
        <v>0.22924729973179403</v>
      </c>
      <c r="N56" s="3">
        <f ca="1">SQRT(AVERAGE(K56:OFFSET(K56,$B$7-1,0))*$B$9/(4*LN(2)))</f>
        <v>0.40529912287973996</v>
      </c>
      <c r="O56" s="3">
        <f ca="1">SQRT(AVERAGE(K56:OFFSET(K56,$B$8-1,0))*$B$9/(4*LN(2)))</f>
        <v>0.26524836637385185</v>
      </c>
      <c r="P56" s="1"/>
      <c r="Q56" s="5">
        <f t="shared" si="6"/>
        <v>1.1745738129672692E-4</v>
      </c>
      <c r="R56" s="5">
        <f ca="1">SQRT($B$9*AVERAGE((Q56:OFFSET(Q56,$B$5-1,0))))</f>
        <v>0.16888291195302887</v>
      </c>
      <c r="S56" s="5">
        <f ca="1">SQRT($B$9*AVERAGE((Q56:OFFSET(Q56,$B$6-1,0))))</f>
        <v>0.25079227975436363</v>
      </c>
      <c r="T56" s="5">
        <f ca="1">SQRT($B$9*AVERAGE((Q56:OFFSET(Q56,$B$7-1,0))))</f>
        <v>0.40933970966944999</v>
      </c>
      <c r="U56" s="5">
        <f ca="1">SQRT($B$9*AVERAGE((Q56:OFFSET(Q56,$B$8-1,0))))</f>
        <v>0.2604887377310704</v>
      </c>
      <c r="V56" s="1"/>
      <c r="W56" s="6">
        <f t="shared" si="7"/>
        <v>1.1704992681611562E-4</v>
      </c>
      <c r="X56" s="6">
        <f ca="1">SQRT($B$9*AVERAGE(W56:OFFSET(W56,$B$5-1,0)))</f>
        <v>0.17752033504817757</v>
      </c>
      <c r="Y56" s="6">
        <f ca="1">SQRT($B$9*AVERAGE(W56:OFFSET(W56,$B$6-1,0)))</f>
        <v>0.2546684922345529</v>
      </c>
      <c r="Z56" s="6">
        <f ca="1">SQRT($B$9*AVERAGE(W56:OFFSET(W56,$B$7-1,0)))</f>
        <v>0.40427692209672372</v>
      </c>
      <c r="AA56" s="6">
        <f ca="1">SQRT($B$9*AVERAGE(W56:OFFSET(W56,$B$8-1,0)))</f>
        <v>0.25521210788449855</v>
      </c>
      <c r="AB56" s="1"/>
      <c r="AC56" s="34">
        <f t="shared" si="5"/>
        <v>5.3201653330030356E-7</v>
      </c>
      <c r="AD56" s="34">
        <f ca="1">SQRT($B$9*SUM(AC56:OFFSET(AC56,$B$5-1,0))/($B$5-1))</f>
        <v>0.1123469779595917</v>
      </c>
      <c r="AE56" s="34">
        <f ca="1">SQRT($B$9*SUM(AC56:OFFSET(AC56,$B$6-1,0))/($B$6-1))</f>
        <v>0.18562526536771945</v>
      </c>
      <c r="AF56" s="34">
        <f ca="1">SQRT($B$9*SUM(AC56:OFFSET(AC56,$B$7-1,0))/($B$7-1))</f>
        <v>0.45047784968537946</v>
      </c>
      <c r="AG56" s="34">
        <f ca="1">SQRT($B$9*SUM(AC56:OFFSET(AC56,$B$8-1,0))/($B$8-1))</f>
        <v>0.30916053555509937</v>
      </c>
      <c r="AH56" s="1"/>
      <c r="AI56" s="1">
        <f t="shared" si="8"/>
        <v>-7.2939463481732822E-4</v>
      </c>
      <c r="AJ56" s="4">
        <f ca="1">SQRT($B$9)*_xlfn.STDEV.S(AI56:OFFSET(AI56,$B$5-1,0))</f>
        <v>9.4498370088539368E-2</v>
      </c>
      <c r="AK56" s="4">
        <f ca="1">SQRT($B$9)*_xlfn.STDEV.S(AI56:OFFSET(AI56,$B$6-1,0))</f>
        <v>0.18479383979689837</v>
      </c>
      <c r="AL56" s="4">
        <f ca="1">SQRT($B$9)*_xlfn.STDEV.S(AI56:OFFSET(AI56,$B$7-1,0))</f>
        <v>0.44896685381599011</v>
      </c>
      <c r="AM56" s="4">
        <f ca="1">SQRT($B$9)*_xlfn.STDEV.S(AI56:OFFSET(AI56,$B$8-1,0))</f>
        <v>0.3074422253399714</v>
      </c>
    </row>
    <row r="57" spans="5:39" x14ac:dyDescent="0.2">
      <c r="E57" s="42">
        <v>45595</v>
      </c>
      <c r="F57" s="43">
        <v>2.7132545280132048</v>
      </c>
      <c r="G57" s="43">
        <v>2.7279525482082922</v>
      </c>
      <c r="H57" s="43">
        <v>2.676019543518982</v>
      </c>
      <c r="I57" s="43">
        <v>2.6877779596750524</v>
      </c>
      <c r="K57" s="3">
        <f t="shared" si="4"/>
        <v>3.6944299606443101E-4</v>
      </c>
      <c r="L57" s="3">
        <f ca="1">SQRT(AVERAGE(K57:OFFSET(K57,$B$5-1,0))*$B$9/(4*LN(2)))</f>
        <v>0.14337865232507688</v>
      </c>
      <c r="M57" s="3">
        <f ca="1">SQRT(AVERAGE(K57:OFFSET(K57,$B$6-1,0))*$B$9/(4*LN(2)))</f>
        <v>0.238159280116607</v>
      </c>
      <c r="N57" s="3">
        <f ca="1">SQRT(AVERAGE(K57:OFFSET(K57,$B$7-1,0))*$B$9/(4*LN(2)))</f>
        <v>0.4208905768859611</v>
      </c>
      <c r="O57" s="3">
        <f ca="1">SQRT(AVERAGE(K57:OFFSET(K57,$B$8-1,0))*$B$9/(4*LN(2)))</f>
        <v>0.26486977893975855</v>
      </c>
      <c r="P57" s="1"/>
      <c r="Q57" s="5">
        <f t="shared" si="6"/>
        <v>1.5035263165542599E-4</v>
      </c>
      <c r="R57" s="5">
        <f ca="1">SQRT($B$9*AVERAGE((Q57:OFFSET(Q57,$B$5-1,0))))</f>
        <v>0.15950375338635378</v>
      </c>
      <c r="S57" s="5">
        <f ca="1">SQRT($B$9*AVERAGE((Q57:OFFSET(Q57,$B$6-1,0))))</f>
        <v>0.25375756661478149</v>
      </c>
      <c r="T57" s="5">
        <f ca="1">SQRT($B$9*AVERAGE((Q57:OFFSET(Q57,$B$7-1,0))))</f>
        <v>0.41320189021544923</v>
      </c>
      <c r="U57" s="5">
        <f ca="1">SQRT($B$9*AVERAGE((Q57:OFFSET(Q57,$B$8-1,0))))</f>
        <v>0.25992250415299872</v>
      </c>
      <c r="V57" s="1"/>
      <c r="W57" s="6">
        <f t="shared" si="7"/>
        <v>1.4073930908868907E-4</v>
      </c>
      <c r="X57" s="6">
        <f ca="1">SQRT($B$9*AVERAGE(W57:OFFSET(W57,$B$5-1,0)))</f>
        <v>0.16865979338241216</v>
      </c>
      <c r="Y57" s="6">
        <f ca="1">SQRT($B$9*AVERAGE(W57:OFFSET(W57,$B$6-1,0)))</f>
        <v>0.25577183912208973</v>
      </c>
      <c r="Z57" s="6">
        <f ca="1">SQRT($B$9*AVERAGE(W57:OFFSET(W57,$B$7-1,0)))</f>
        <v>0.40315135184091377</v>
      </c>
      <c r="AA57" s="6">
        <f ca="1">SQRT($B$9*AVERAGE(W57:OFFSET(W57,$B$8-1,0)))</f>
        <v>0.25472415347666305</v>
      </c>
      <c r="AB57" s="1"/>
      <c r="AC57" s="34">
        <f t="shared" si="5"/>
        <v>1.7001392515793702E-4</v>
      </c>
      <c r="AD57" s="34">
        <f ca="1">SQRT($B$9*SUM(AC57:OFFSET(AC57,$B$5-1,0))/($B$5-1))</f>
        <v>0.13675253254178335</v>
      </c>
      <c r="AE57" s="34">
        <f ca="1">SQRT($B$9*SUM(AC57:OFFSET(AC57,$B$6-1,0))/($B$6-1))</f>
        <v>0.2021670142189837</v>
      </c>
      <c r="AF57" s="34">
        <f ca="1">SQRT($B$9*SUM(AC57:OFFSET(AC57,$B$7-1,0))/($B$7-1))</f>
        <v>0.49064917533894792</v>
      </c>
      <c r="AG57" s="34">
        <f ca="1">SQRT($B$9*SUM(AC57:OFFSET(AC57,$B$8-1,0))/($B$8-1))</f>
        <v>0.30934935260043139</v>
      </c>
      <c r="AH57" s="1"/>
      <c r="AI57" s="1">
        <f t="shared" si="8"/>
        <v>-1.3038938804900382E-2</v>
      </c>
      <c r="AJ57" s="4">
        <f ca="1">SQRT($B$9)*_xlfn.STDEV.S(AI57:OFFSET(AI57,$B$5-1,0))</f>
        <v>0.10010207609713148</v>
      </c>
      <c r="AK57" s="4">
        <f ca="1">SQRT($B$9)*_xlfn.STDEV.S(AI57:OFFSET(AI57,$B$6-1,0))</f>
        <v>0.20205914582667397</v>
      </c>
      <c r="AL57" s="4">
        <f ca="1">SQRT($B$9)*_xlfn.STDEV.S(AI57:OFFSET(AI57,$B$7-1,0))</f>
        <v>0.48392819655665531</v>
      </c>
      <c r="AM57" s="4">
        <f ca="1">SQRT($B$9)*_xlfn.STDEV.S(AI57:OFFSET(AI57,$B$8-1,0))</f>
        <v>0.30775837103176429</v>
      </c>
    </row>
    <row r="58" spans="5:39" x14ac:dyDescent="0.2">
      <c r="E58" s="42">
        <v>45594</v>
      </c>
      <c r="F58" s="43">
        <v>2.7416707003903742</v>
      </c>
      <c r="G58" s="43">
        <v>2.7671472687285261</v>
      </c>
      <c r="H58" s="43">
        <v>2.7161941320522218</v>
      </c>
      <c r="I58" s="43">
        <v>2.7230532081432628</v>
      </c>
      <c r="K58" s="3">
        <f t="shared" si="4"/>
        <v>3.4541108279189319E-4</v>
      </c>
      <c r="L58" s="3">
        <f ca="1">SQRT(AVERAGE(K58:OFFSET(K58,$B$5-1,0))*$B$9/(4*LN(2)))</f>
        <v>0.13921734382188258</v>
      </c>
      <c r="M58" s="3">
        <f ca="1">SQRT(AVERAGE(K58:OFFSET(K58,$B$6-1,0))*$B$9/(4*LN(2)))</f>
        <v>0.23740188195463197</v>
      </c>
      <c r="N58" s="3">
        <f ca="1">SQRT(AVERAGE(K58:OFFSET(K58,$B$7-1,0))*$B$9/(4*LN(2)))</f>
        <v>0.42105275086460381</v>
      </c>
      <c r="O58" s="3">
        <f ca="1">SQRT(AVERAGE(K58:OFFSET(K58,$B$8-1,0))*$B$9/(4*LN(2)))</f>
        <v>0.26394626276518973</v>
      </c>
      <c r="P58" s="1"/>
      <c r="Q58" s="5">
        <f t="shared" si="6"/>
        <v>1.5543106427279475E-4</v>
      </c>
      <c r="R58" s="5">
        <f ca="1">SQRT($B$9*AVERAGE((Q58:OFFSET(Q58,$B$5-1,0))))</f>
        <v>0.15780753613400758</v>
      </c>
      <c r="S58" s="5">
        <f ca="1">SQRT($B$9*AVERAGE((Q58:OFFSET(Q58,$B$6-1,0))))</f>
        <v>0.25392286499938721</v>
      </c>
      <c r="T58" s="5">
        <f ca="1">SQRT($B$9*AVERAGE((Q58:OFFSET(Q58,$B$7-1,0))))</f>
        <v>0.41394937218090055</v>
      </c>
      <c r="U58" s="5">
        <f ca="1">SQRT($B$9*AVERAGE((Q58:OFFSET(Q58,$B$8-1,0))))</f>
        <v>0.25886976227392672</v>
      </c>
      <c r="V58" s="1"/>
      <c r="W58" s="6">
        <f t="shared" si="7"/>
        <v>1.7212089408281188E-4</v>
      </c>
      <c r="X58" s="6">
        <f ca="1">SQRT($B$9*AVERAGE(W58:OFFSET(W58,$B$5-1,0)))</f>
        <v>0.16936486971047882</v>
      </c>
      <c r="Y58" s="6">
        <f ca="1">SQRT($B$9*AVERAGE(W58:OFFSET(W58,$B$6-1,0)))</f>
        <v>0.25782230555672436</v>
      </c>
      <c r="Z58" s="6">
        <f ca="1">SQRT($B$9*AVERAGE(W58:OFFSET(W58,$B$7-1,0)))</f>
        <v>0.40533120312388221</v>
      </c>
      <c r="AA58" s="6">
        <f ca="1">SQRT($B$9*AVERAGE(W58:OFFSET(W58,$B$8-1,0)))</f>
        <v>0.25372214721988484</v>
      </c>
      <c r="AB58" s="1"/>
      <c r="AC58" s="34">
        <f t="shared" si="5"/>
        <v>3.2958574033711561E-5</v>
      </c>
      <c r="AD58" s="34">
        <f ca="1">SQRT($B$9*SUM(AC58:OFFSET(AC58,$B$5-1,0))/($B$5-1))</f>
        <v>0.1013662545850226</v>
      </c>
      <c r="AE58" s="34">
        <f ca="1">SQRT($B$9*SUM(AC58:OFFSET(AC58,$B$6-1,0))/($B$6-1))</f>
        <v>0.19052739548470063</v>
      </c>
      <c r="AF58" s="34">
        <f ca="1">SQRT($B$9*SUM(AC58:OFFSET(AC58,$B$7-1,0))/($B$7-1))</f>
        <v>0.49036141960619556</v>
      </c>
      <c r="AG58" s="34">
        <f ca="1">SQRT($B$9*SUM(AC58:OFFSET(AC58,$B$8-1,0))/($B$8-1))</f>
        <v>0.30829782912277137</v>
      </c>
      <c r="AH58" s="1"/>
      <c r="AI58" s="1">
        <f t="shared" si="8"/>
        <v>-5.7409558466958756E-3</v>
      </c>
      <c r="AJ58" s="4">
        <f ca="1">SQRT($B$9)*_xlfn.STDEV.S(AI58:OFFSET(AI58,$B$5-1,0))</f>
        <v>9.753680747763091E-2</v>
      </c>
      <c r="AK58" s="4">
        <f ca="1">SQRT($B$9)*_xlfn.STDEV.S(AI58:OFFSET(AI58,$B$6-1,0))</f>
        <v>0.19011590567726616</v>
      </c>
      <c r="AL58" s="4">
        <f ca="1">SQRT($B$9)*_xlfn.STDEV.S(AI58:OFFSET(AI58,$B$7-1,0))</f>
        <v>0.47981034982668036</v>
      </c>
      <c r="AM58" s="4">
        <f ca="1">SQRT($B$9)*_xlfn.STDEV.S(AI58:OFFSET(AI58,$B$8-1,0))</f>
        <v>0.30644012921749775</v>
      </c>
    </row>
    <row r="59" spans="5:39" x14ac:dyDescent="0.2">
      <c r="E59" s="42">
        <v>45593</v>
      </c>
      <c r="F59" s="43">
        <v>2.7357914923123388</v>
      </c>
      <c r="G59" s="43">
        <v>2.7397109643643622</v>
      </c>
      <c r="H59" s="43">
        <v>2.7083551879481753</v>
      </c>
      <c r="I59" s="43">
        <v>2.7387310963513567</v>
      </c>
      <c r="K59" s="3">
        <f t="shared" si="4"/>
        <v>1.3250124393412912E-4</v>
      </c>
      <c r="L59" s="3">
        <f ca="1">SQRT(AVERAGE(K59:OFFSET(K59,$B$5-1,0))*$B$9/(4*LN(2)))</f>
        <v>0.12664707164277511</v>
      </c>
      <c r="M59" s="3">
        <f ca="1">SQRT(AVERAGE(K59:OFFSET(K59,$B$6-1,0))*$B$9/(4*LN(2)))</f>
        <v>0.24498411029503764</v>
      </c>
      <c r="N59" s="3">
        <f ca="1">SQRT(AVERAGE(K59:OFFSET(K59,$B$7-1,0))*$B$9/(4*LN(2)))</f>
        <v>0.42922776556261361</v>
      </c>
      <c r="O59" s="3">
        <f ca="1">SQRT(AVERAGE(K59:OFFSET(K59,$B$8-1,0))*$B$9/(4*LN(2)))</f>
        <v>0.26329807739426936</v>
      </c>
      <c r="P59" s="1"/>
      <c r="Q59" s="5">
        <f t="shared" si="6"/>
        <v>6.6894533659807819E-5</v>
      </c>
      <c r="R59" s="5">
        <f ca="1">SQRT($B$9*AVERAGE((Q59:OFFSET(Q59,$B$5-1,0))))</f>
        <v>0.14414706887334428</v>
      </c>
      <c r="S59" s="5">
        <f ca="1">SQRT($B$9*AVERAGE((Q59:OFFSET(Q59,$B$6-1,0))))</f>
        <v>0.25714058365505488</v>
      </c>
      <c r="T59" s="5">
        <f ca="1">SQRT($B$9*AVERAGE((Q59:OFFSET(Q59,$B$7-1,0))))</f>
        <v>0.41698973543532758</v>
      </c>
      <c r="U59" s="5">
        <f ca="1">SQRT($B$9*AVERAGE((Q59:OFFSET(Q59,$B$8-1,0))))</f>
        <v>0.25806724140750892</v>
      </c>
      <c r="V59" s="1"/>
      <c r="W59" s="6">
        <f t="shared" si="7"/>
        <v>1.1292834442702493E-4</v>
      </c>
      <c r="X59" s="6">
        <f ca="1">SQRT($B$9*AVERAGE(W59:OFFSET(W59,$B$5-1,0)))</f>
        <v>0.15452097825948546</v>
      </c>
      <c r="Y59" s="6">
        <f ca="1">SQRT($B$9*AVERAGE(W59:OFFSET(W59,$B$6-1,0)))</f>
        <v>0.25893818127555202</v>
      </c>
      <c r="Z59" s="6">
        <f ca="1">SQRT($B$9*AVERAGE(W59:OFFSET(W59,$B$7-1,0)))</f>
        <v>0.40582759220725806</v>
      </c>
      <c r="AA59" s="6">
        <f ca="1">SQRT($B$9*AVERAGE(W59:OFFSET(W59,$B$8-1,0)))</f>
        <v>0.25284118247374987</v>
      </c>
      <c r="AB59" s="1"/>
      <c r="AC59" s="34">
        <f t="shared" si="5"/>
        <v>5.1239776276863909E-7</v>
      </c>
      <c r="AD59" s="34">
        <f ca="1">SQRT($B$9*SUM(AC59:OFFSET(AC59,$B$5-1,0))/($B$5-1))</f>
        <v>9.5941470186247602E-2</v>
      </c>
      <c r="AE59" s="34">
        <f ca="1">SQRT($B$9*SUM(AC59:OFFSET(AC59,$B$6-1,0))/($B$6-1))</f>
        <v>0.22809064332173026</v>
      </c>
      <c r="AF59" s="34">
        <f ca="1">SQRT($B$9*SUM(AC59:OFFSET(AC59,$B$7-1,0))/($B$7-1))</f>
        <v>0.52206337294737282</v>
      </c>
      <c r="AG59" s="34">
        <f ca="1">SQRT($B$9*SUM(AC59:OFFSET(AC59,$B$8-1,0))/($B$8-1))</f>
        <v>0.30811630202336787</v>
      </c>
      <c r="AH59" s="1"/>
      <c r="AI59" s="1">
        <f t="shared" si="8"/>
        <v>7.1581964402259808E-4</v>
      </c>
      <c r="AJ59" s="4">
        <f ca="1">SQRT($B$9)*_xlfn.STDEV.S(AI59:OFFSET(AI59,$B$5-1,0))</f>
        <v>9.5736581688079178E-2</v>
      </c>
      <c r="AK59" s="4">
        <f ca="1">SQRT($B$9)*_xlfn.STDEV.S(AI59:OFFSET(AI59,$B$6-1,0))</f>
        <v>0.22731598199346631</v>
      </c>
      <c r="AL59" s="4">
        <f ca="1">SQRT($B$9)*_xlfn.STDEV.S(AI59:OFFSET(AI59,$B$7-1,0))</f>
        <v>0.5012009455109292</v>
      </c>
      <c r="AM59" s="4">
        <f ca="1">SQRT($B$9)*_xlfn.STDEV.S(AI59:OFFSET(AI59,$B$8-1,0))</f>
        <v>0.30616078889900983</v>
      </c>
    </row>
    <row r="60" spans="5:39" x14ac:dyDescent="0.2">
      <c r="E60" s="42">
        <v>45590</v>
      </c>
      <c r="F60" s="43">
        <v>2.7328518882733217</v>
      </c>
      <c r="G60" s="43">
        <v>2.7593083246244796</v>
      </c>
      <c r="H60" s="43">
        <v>2.7220733401302573</v>
      </c>
      <c r="I60" s="43">
        <v>2.7367713603253452</v>
      </c>
      <c r="K60" s="3">
        <f t="shared" si="4"/>
        <v>1.8458466641775633E-4</v>
      </c>
      <c r="L60" s="3">
        <f ca="1">SQRT(AVERAGE(K60:OFFSET(K60,$B$5-1,0))*$B$9/(4*LN(2)))</f>
        <v>0.1345236494163346</v>
      </c>
      <c r="M60" s="3">
        <f ca="1">SQRT(AVERAGE(K60:OFFSET(K60,$B$6-1,0))*$B$9/(4*LN(2)))</f>
        <v>0.25271547554073143</v>
      </c>
      <c r="N60" s="3">
        <f ca="1">SQRT(AVERAGE(K60:OFFSET(K60,$B$7-1,0))*$B$9/(4*LN(2)))</f>
        <v>0.42909139862727319</v>
      </c>
      <c r="O60" s="3">
        <f ca="1">SQRT(AVERAGE(K60:OFFSET(K60,$B$8-1,0))*$B$9/(4*LN(2)))</f>
        <v>0.26343302450138878</v>
      </c>
      <c r="P60" s="1"/>
      <c r="Q60" s="5">
        <f t="shared" si="6"/>
        <v>9.1934551354724291E-5</v>
      </c>
      <c r="R60" s="5">
        <f ca="1">SQRT($B$9*AVERAGE((Q60:OFFSET(Q60,$B$5-1,0))))</f>
        <v>0.15330091284135738</v>
      </c>
      <c r="S60" s="5">
        <f ca="1">SQRT($B$9*AVERAGE((Q60:OFFSET(Q60,$B$6-1,0))))</f>
        <v>0.26622609372891259</v>
      </c>
      <c r="T60" s="5">
        <f ca="1">SQRT($B$9*AVERAGE((Q60:OFFSET(Q60,$B$7-1,0))))</f>
        <v>0.41670468614851075</v>
      </c>
      <c r="U60" s="5">
        <f ca="1">SQRT($B$9*AVERAGE((Q60:OFFSET(Q60,$B$8-1,0))))</f>
        <v>0.2581399727547401</v>
      </c>
      <c r="V60" s="1"/>
      <c r="W60" s="6">
        <f t="shared" si="7"/>
        <v>1.0029355325101606E-4</v>
      </c>
      <c r="X60" s="6">
        <f ca="1">SQRT($B$9*AVERAGE(W60:OFFSET(W60,$B$5-1,0)))</f>
        <v>0.15669034218748917</v>
      </c>
      <c r="Y60" s="6">
        <f ca="1">SQRT($B$9*AVERAGE(W60:OFFSET(W60,$B$6-1,0)))</f>
        <v>0.26575828090796133</v>
      </c>
      <c r="Z60" s="6">
        <f ca="1">SQRT($B$9*AVERAGE(W60:OFFSET(W60,$B$7-1,0)))</f>
        <v>0.40497609541603602</v>
      </c>
      <c r="AA60" s="6">
        <f ca="1">SQRT($B$9*AVERAGE(W60:OFFSET(W60,$B$8-1,0)))</f>
        <v>0.25253333010535117</v>
      </c>
      <c r="AB60" s="1"/>
      <c r="AC60" s="34">
        <f t="shared" si="5"/>
        <v>2.0540000902903411E-6</v>
      </c>
      <c r="AD60" s="34">
        <f ca="1">SQRT($B$9*SUM(AC60:OFFSET(AC60,$B$5-1,0))/($B$5-1))</f>
        <v>9.6797440459089376E-2</v>
      </c>
      <c r="AE60" s="34">
        <f ca="1">SQRT($B$9*SUM(AC60:OFFSET(AC60,$B$6-1,0))/($B$6-1))</f>
        <v>0.23614514298848352</v>
      </c>
      <c r="AF60" s="34">
        <f ca="1">SQRT($B$9*SUM(AC60:OFFSET(AC60,$B$7-1,0))/($B$7-1))</f>
        <v>0.52216883637490463</v>
      </c>
      <c r="AG60" s="34">
        <f ca="1">SQRT($B$9*SUM(AC60:OFFSET(AC60,$B$8-1,0))/($B$8-1))</f>
        <v>0.30875255001083668</v>
      </c>
      <c r="AH60" s="1"/>
      <c r="AI60" s="1">
        <f t="shared" si="8"/>
        <v>1.433178317687768E-3</v>
      </c>
      <c r="AJ60" s="4">
        <f ca="1">SQRT($B$9)*_xlfn.STDEV.S(AI60:OFFSET(AI60,$B$5-1,0))</f>
        <v>9.676501230732644E-2</v>
      </c>
      <c r="AK60" s="4">
        <f ca="1">SQRT($B$9)*_xlfn.STDEV.S(AI60:OFFSET(AI60,$B$6-1,0))</f>
        <v>0.236144404373865</v>
      </c>
      <c r="AL60" s="4">
        <f ca="1">SQRT($B$9)*_xlfn.STDEV.S(AI60:OFFSET(AI60,$B$7-1,0))</f>
        <v>0.50077050989026106</v>
      </c>
      <c r="AM60" s="4">
        <f ca="1">SQRT($B$9)*_xlfn.STDEV.S(AI60:OFFSET(AI60,$B$8-1,0))</f>
        <v>0.307099580497189</v>
      </c>
    </row>
    <row r="61" spans="5:39" x14ac:dyDescent="0.2">
      <c r="E61" s="42">
        <v>45589</v>
      </c>
      <c r="F61" s="43">
        <v>2.7475499084684092</v>
      </c>
      <c r="G61" s="43">
        <v>2.7524492485334386</v>
      </c>
      <c r="H61" s="43">
        <v>2.7210934721172517</v>
      </c>
      <c r="I61" s="43">
        <v>2.7328518882733217</v>
      </c>
      <c r="K61" s="3">
        <f t="shared" si="4"/>
        <v>1.3127063523409461E-4</v>
      </c>
      <c r="L61" s="3">
        <f ca="1">SQRT(AVERAGE(K61:OFFSET(K61,$B$5-1,0))*$B$9/(4*LN(2)))</f>
        <v>0.28761878742233504</v>
      </c>
      <c r="M61" s="3">
        <f ca="1">SQRT(AVERAGE(K61:OFFSET(K61,$B$6-1,0))*$B$9/(4*LN(2)))</f>
        <v>0.26827917547401081</v>
      </c>
      <c r="N61" s="3">
        <f ca="1">SQRT(AVERAGE(K61:OFFSET(K61,$B$7-1,0))*$B$9/(4*LN(2)))</f>
        <v>0.42906470422216286</v>
      </c>
      <c r="O61" s="3">
        <f ca="1">SQRT(AVERAGE(K61:OFFSET(K61,$B$8-1,0))*$B$9/(4*LN(2)))</f>
        <v>0.26322520756427986</v>
      </c>
      <c r="P61" s="1"/>
      <c r="Q61" s="5">
        <f t="shared" si="6"/>
        <v>5.4600430166119921E-5</v>
      </c>
      <c r="R61" s="5">
        <f ca="1">SQRT($B$9*AVERAGE((Q61:OFFSET(Q61,$B$5-1,0))))</f>
        <v>0.3118847498981755</v>
      </c>
      <c r="S61" s="5">
        <f ca="1">SQRT($B$9*AVERAGE((Q61:OFFSET(Q61,$B$6-1,0))))</f>
        <v>0.28199604107853765</v>
      </c>
      <c r="T61" s="5">
        <f ca="1">SQRT($B$9*AVERAGE((Q61:OFFSET(Q61,$B$7-1,0))))</f>
        <v>0.41660927850504648</v>
      </c>
      <c r="U61" s="5">
        <f ca="1">SQRT($B$9*AVERAGE((Q61:OFFSET(Q61,$B$8-1,0))))</f>
        <v>0.25784807757005229</v>
      </c>
      <c r="V61" s="1"/>
      <c r="W61" s="6">
        <f t="shared" si="7"/>
        <v>5.4451080860620579E-5</v>
      </c>
      <c r="X61" s="6">
        <f ca="1">SQRT($B$9*AVERAGE(W61:OFFSET(W61,$B$5-1,0)))</f>
        <v>0.31336657849621402</v>
      </c>
      <c r="Y61" s="6">
        <f ca="1">SQRT($B$9*AVERAGE(W61:OFFSET(W61,$B$6-1,0)))</f>
        <v>0.28268458069463243</v>
      </c>
      <c r="Z61" s="6">
        <f ca="1">SQRT($B$9*AVERAGE(W61:OFFSET(W61,$B$7-1,0)))</f>
        <v>0.4048424515018248</v>
      </c>
      <c r="AA61" s="6">
        <f ca="1">SQRT($B$9*AVERAGE(W61:OFFSET(W61,$B$8-1,0)))</f>
        <v>0.25216778921104621</v>
      </c>
      <c r="AB61" s="1"/>
      <c r="AC61" s="34">
        <f t="shared" si="5"/>
        <v>9.9787717756786581E-5</v>
      </c>
      <c r="AD61" s="34">
        <f ca="1">SQRT($B$9*SUM(AC61:OFFSET(AC61,$B$5-1,0))/($B$5-1))</f>
        <v>0.25476620579411358</v>
      </c>
      <c r="AE61" s="34">
        <f ca="1">SQRT($B$9*SUM(AC61:OFFSET(AC61,$B$6-1,0))/($B$6-1))</f>
        <v>0.25923044208323692</v>
      </c>
      <c r="AF61" s="34">
        <f ca="1">SQRT($B$9*SUM(AC61:OFFSET(AC61,$B$7-1,0))/($B$7-1))</f>
        <v>0.52218014750325326</v>
      </c>
      <c r="AG61" s="34">
        <f ca="1">SQRT($B$9*SUM(AC61:OFFSET(AC61,$B$8-1,0))/($B$8-1))</f>
        <v>0.30882739939342957</v>
      </c>
      <c r="AH61" s="1"/>
      <c r="AI61" s="1">
        <f t="shared" si="8"/>
        <v>-9.9893802488836402E-3</v>
      </c>
      <c r="AJ61" s="4">
        <f ca="1">SQRT($B$9)*_xlfn.STDEV.S(AI61:OFFSET(AI61,$B$5-1,0))</f>
        <v>0.23516814586020116</v>
      </c>
      <c r="AK61" s="4">
        <f ca="1">SQRT($B$9)*_xlfn.STDEV.S(AI61:OFFSET(AI61,$B$6-1,0))</f>
        <v>0.25659724155088992</v>
      </c>
      <c r="AL61" s="4">
        <f ca="1">SQRT($B$9)*_xlfn.STDEV.S(AI61:OFFSET(AI61,$B$7-1,0))</f>
        <v>0.50071339913650059</v>
      </c>
      <c r="AM61" s="4">
        <f ca="1">SQRT($B$9)*_xlfn.STDEV.S(AI61:OFFSET(AI61,$B$8-1,0))</f>
        <v>0.30731030042613094</v>
      </c>
    </row>
    <row r="62" spans="5:39" x14ac:dyDescent="0.2">
      <c r="E62" s="42">
        <v>45588</v>
      </c>
      <c r="F62" s="43">
        <v>2.7446103044293921</v>
      </c>
      <c r="G62" s="43">
        <v>2.78282515693662</v>
      </c>
      <c r="H62" s="43">
        <v>2.7348116242993332</v>
      </c>
      <c r="I62" s="43">
        <v>2.7602881926374856</v>
      </c>
      <c r="K62" s="3">
        <f t="shared" si="4"/>
        <v>3.0290261392923337E-4</v>
      </c>
      <c r="L62" s="3">
        <f ca="1">SQRT(AVERAGE(K62:OFFSET(K62,$B$5-1,0))*$B$9/(4*LN(2)))</f>
        <v>0.30476588960834461</v>
      </c>
      <c r="M62" s="3">
        <f ca="1">SQRT(AVERAGE(K62:OFFSET(K62,$B$6-1,0))*$B$9/(4*LN(2)))</f>
        <v>0.30407039136501679</v>
      </c>
      <c r="N62" s="3">
        <f ca="1">SQRT(AVERAGE(K62:OFFSET(K62,$B$7-1,0))*$B$9/(4*LN(2)))</f>
        <v>0.43034516487623448</v>
      </c>
      <c r="O62" s="3">
        <f ca="1">SQRT(AVERAGE(K62:OFFSET(K62,$B$8-1,0))*$B$9/(4*LN(2)))</f>
        <v>0.26347187764506508</v>
      </c>
      <c r="P62" s="1"/>
      <c r="Q62" s="5">
        <f t="shared" si="6"/>
        <v>1.3936836872382064E-4</v>
      </c>
      <c r="R62" s="5">
        <f ca="1">SQRT($B$9*AVERAGE((Q62:OFFSET(Q62,$B$5-1,0))))</f>
        <v>0.32147217279910206</v>
      </c>
      <c r="S62" s="5">
        <f ca="1">SQRT($B$9*AVERAGE((Q62:OFFSET(Q62,$B$6-1,0))))</f>
        <v>0.32111057250851288</v>
      </c>
      <c r="T62" s="5">
        <f ca="1">SQRT($B$9*AVERAGE((Q62:OFFSET(Q62,$B$7-1,0))))</f>
        <v>0.41848003671573186</v>
      </c>
      <c r="U62" s="5">
        <f ca="1">SQRT($B$9*AVERAGE((Q62:OFFSET(Q62,$B$8-1,0))))</f>
        <v>0.25795016542350074</v>
      </c>
      <c r="V62" s="1"/>
      <c r="W62" s="6">
        <f t="shared" si="7"/>
        <v>1.4560325170602593E-4</v>
      </c>
      <c r="X62" s="6">
        <f ca="1">SQRT($B$9*AVERAGE(W62:OFFSET(W62,$B$5-1,0)))</f>
        <v>0.31998803332623915</v>
      </c>
      <c r="Y62" s="6">
        <f ca="1">SQRT($B$9*AVERAGE(W62:OFFSET(W62,$B$6-1,0)))</f>
        <v>0.32755790466515666</v>
      </c>
      <c r="Z62" s="6">
        <f ca="1">SQRT($B$9*AVERAGE(W62:OFFSET(W62,$B$7-1,0)))</f>
        <v>0.40693050902792627</v>
      </c>
      <c r="AA62" s="6">
        <f ca="1">SQRT($B$9*AVERAGE(W62:OFFSET(W62,$B$8-1,0)))</f>
        <v>0.2521817695776708</v>
      </c>
      <c r="AB62" s="1"/>
      <c r="AC62" s="34">
        <f t="shared" si="5"/>
        <v>3.2444331884534594E-5</v>
      </c>
      <c r="AD62" s="34">
        <f ca="1">SQRT($B$9*SUM(AC62:OFFSET(AC62,$B$5-1,0))/($B$5-1))</f>
        <v>0.2706651501937416</v>
      </c>
      <c r="AE62" s="34">
        <f ca="1">SQRT($B$9*SUM(AC62:OFFSET(AC62,$B$6-1,0))/($B$6-1))</f>
        <v>0.30305986803783896</v>
      </c>
      <c r="AF62" s="34">
        <f ca="1">SQRT($B$9*SUM(AC62:OFFSET(AC62,$B$7-1,0))/($B$7-1))</f>
        <v>0.52140022034039368</v>
      </c>
      <c r="AG62" s="34">
        <f ca="1">SQRT($B$9*SUM(AC62:OFFSET(AC62,$B$8-1,0))/($B$8-1))</f>
        <v>0.309258638762898</v>
      </c>
      <c r="AH62" s="1"/>
      <c r="AI62" s="1">
        <f t="shared" si="8"/>
        <v>5.6959926162640515E-3</v>
      </c>
      <c r="AJ62" s="4">
        <f ca="1">SQRT($B$9)*_xlfn.STDEV.S(AI62:OFFSET(AI62,$B$5-1,0))</f>
        <v>0.25882966188245821</v>
      </c>
      <c r="AK62" s="4">
        <f ca="1">SQRT($B$9)*_xlfn.STDEV.S(AI62:OFFSET(AI62,$B$6-1,0))</f>
        <v>0.30137260802762184</v>
      </c>
      <c r="AL62" s="4">
        <f ca="1">SQRT($B$9)*_xlfn.STDEV.S(AI62:OFFSET(AI62,$B$7-1,0))</f>
        <v>0.49589904714364441</v>
      </c>
      <c r="AM62" s="4">
        <f ca="1">SQRT($B$9)*_xlfn.STDEV.S(AI62:OFFSET(AI62,$B$8-1,0))</f>
        <v>0.30781636212508134</v>
      </c>
    </row>
    <row r="63" spans="5:39" x14ac:dyDescent="0.2">
      <c r="E63" s="42">
        <v>45587</v>
      </c>
      <c r="F63" s="43">
        <v>2.7328518882733217</v>
      </c>
      <c r="G63" s="43">
        <v>2.7602881926374856</v>
      </c>
      <c r="H63" s="43">
        <v>2.7259928121822807</v>
      </c>
      <c r="I63" s="43">
        <v>2.7446103044293921</v>
      </c>
      <c r="K63" s="3">
        <f t="shared" si="4"/>
        <v>1.5630989056251488E-4</v>
      </c>
      <c r="L63" s="3">
        <f ca="1">SQRT(AVERAGE(K63:OFFSET(K63,$B$5-1,0))*$B$9/(4*LN(2)))</f>
        <v>0.3055124192080933</v>
      </c>
      <c r="M63" s="3">
        <f ca="1">SQRT(AVERAGE(K63:OFFSET(K63,$B$6-1,0))*$B$9/(4*LN(2)))</f>
        <v>0.35477853624867339</v>
      </c>
      <c r="N63" s="3">
        <f ca="1">SQRT(AVERAGE(K63:OFFSET(K63,$B$7-1,0))*$B$9/(4*LN(2)))</f>
        <v>0.42934707832874192</v>
      </c>
      <c r="O63" s="3">
        <f ca="1">SQRT(AVERAGE(K63:OFFSET(K63,$B$8-1,0))*$B$9/(4*LN(2)))</f>
        <v>0.26329547437104667</v>
      </c>
      <c r="P63" s="1"/>
      <c r="Q63" s="5">
        <f t="shared" si="6"/>
        <v>7.1250635784846899E-5</v>
      </c>
      <c r="R63" s="5">
        <f ca="1">SQRT($B$9*AVERAGE((Q63:OFFSET(Q63,$B$5-1,0))))</f>
        <v>0.32256847998263555</v>
      </c>
      <c r="S63" s="5">
        <f ca="1">SQRT($B$9*AVERAGE((Q63:OFFSET(Q63,$B$6-1,0))))</f>
        <v>0.35171837760777608</v>
      </c>
      <c r="T63" s="5">
        <f ca="1">SQRT($B$9*AVERAGE((Q63:OFFSET(Q63,$B$7-1,0))))</f>
        <v>0.41705312091021046</v>
      </c>
      <c r="U63" s="5">
        <f ca="1">SQRT($B$9*AVERAGE((Q63:OFFSET(Q63,$B$8-1,0))))</f>
        <v>0.25756570724017291</v>
      </c>
      <c r="V63" s="1"/>
      <c r="W63" s="6">
        <f t="shared" si="7"/>
        <v>7.4004029393442654E-5</v>
      </c>
      <c r="X63" s="6">
        <f ca="1">SQRT($B$9*AVERAGE(W63:OFFSET(W63,$B$5-1,0)))</f>
        <v>0.3228935171122555</v>
      </c>
      <c r="Y63" s="6">
        <f ca="1">SQRT($B$9*AVERAGE(W63:OFFSET(W63,$B$6-1,0)))</f>
        <v>0.34814220727572581</v>
      </c>
      <c r="Z63" s="6">
        <f ca="1">SQRT($B$9*AVERAGE(W63:OFFSET(W63,$B$7-1,0)))</f>
        <v>0.40538210234338329</v>
      </c>
      <c r="AA63" s="6">
        <f ca="1">SQRT($B$9*AVERAGE(W63:OFFSET(W63,$B$8-1,0)))</f>
        <v>0.25181152156158043</v>
      </c>
      <c r="AB63" s="1"/>
      <c r="AC63" s="34">
        <f t="shared" si="5"/>
        <v>1.548344150967921E-5</v>
      </c>
      <c r="AD63" s="34">
        <f ca="1">SQRT($B$9*SUM(AC63:OFFSET(AC63,$B$5-1,0))/($B$5-1))</f>
        <v>0.2672104627429796</v>
      </c>
      <c r="AE63" s="34">
        <f ca="1">SQRT($B$9*SUM(AC63:OFFSET(AC63,$B$6-1,0))/($B$6-1))</f>
        <v>0.49378266425727479</v>
      </c>
      <c r="AF63" s="34">
        <f ca="1">SQRT($B$9*SUM(AC63:OFFSET(AC63,$B$7-1,0))/($B$7-1))</f>
        <v>0.5213945893076295</v>
      </c>
      <c r="AG63" s="34">
        <f ca="1">SQRT($B$9*SUM(AC63:OFFSET(AC63,$B$8-1,0))/($B$8-1))</f>
        <v>0.30964616718201327</v>
      </c>
      <c r="AH63" s="1"/>
      <c r="AI63" s="1">
        <f t="shared" si="8"/>
        <v>3.9349004446973257E-3</v>
      </c>
      <c r="AJ63" s="4">
        <f ca="1">SQRT($B$9)*_xlfn.STDEV.S(AI63:OFFSET(AI63,$B$5-1,0))</f>
        <v>0.26166673202676566</v>
      </c>
      <c r="AK63" s="4">
        <f ca="1">SQRT($B$9)*_xlfn.STDEV.S(AI63:OFFSET(AI63,$B$6-1,0))</f>
        <v>0.48332209559767658</v>
      </c>
      <c r="AL63" s="4">
        <f ca="1">SQRT($B$9)*_xlfn.STDEV.S(AI63:OFFSET(AI63,$B$7-1,0))</f>
        <v>0.49590358737774459</v>
      </c>
      <c r="AM63" s="4">
        <f ca="1">SQRT($B$9)*_xlfn.STDEV.S(AI63:OFFSET(AI63,$B$8-1,0))</f>
        <v>0.30856646817575772</v>
      </c>
    </row>
    <row r="64" spans="5:39" x14ac:dyDescent="0.2">
      <c r="E64" s="42">
        <v>45586</v>
      </c>
      <c r="F64" s="43">
        <v>2.7406908323773687</v>
      </c>
      <c r="G64" s="43">
        <v>2.7544089845594502</v>
      </c>
      <c r="H64" s="43">
        <v>2.7112947919871928</v>
      </c>
      <c r="I64" s="43">
        <v>2.7338317562863277</v>
      </c>
      <c r="K64" s="3">
        <f t="shared" si="4"/>
        <v>2.4890082735522635E-4</v>
      </c>
      <c r="L64" s="3">
        <f ca="1">SQRT(AVERAGE(K64:OFFSET(K64,$B$5-1,0))*$B$9/(4*LN(2)))</f>
        <v>0.32248247679278969</v>
      </c>
      <c r="M64" s="3">
        <f ca="1">SQRT(AVERAGE(K64:OFFSET(K64,$B$6-1,0))*$B$9/(4*LN(2)))</f>
        <v>0.45255974519549447</v>
      </c>
      <c r="N64" s="3">
        <f ca="1">SQRT(AVERAGE(K64:OFFSET(K64,$B$7-1,0))*$B$9/(4*LN(2)))</f>
        <v>0.42897103525096381</v>
      </c>
      <c r="O64" s="3">
        <f ca="1">SQRT(AVERAGE(K64:OFFSET(K64,$B$8-1,0))*$B$9/(4*LN(2)))</f>
        <v>0.26382722677077614</v>
      </c>
      <c r="P64" s="1"/>
      <c r="Q64" s="5">
        <f t="shared" si="6"/>
        <v>1.2246172576627301E-4</v>
      </c>
      <c r="R64" s="5">
        <f ca="1">SQRT($B$9*AVERAGE((Q64:OFFSET(Q64,$B$5-1,0))))</f>
        <v>0.3338625196995732</v>
      </c>
      <c r="S64" s="5">
        <f ca="1">SQRT($B$9*AVERAGE((Q64:OFFSET(Q64,$B$6-1,0))))</f>
        <v>0.42902656325295013</v>
      </c>
      <c r="T64" s="5">
        <f ca="1">SQRT($B$9*AVERAGE((Q64:OFFSET(Q64,$B$7-1,0))))</f>
        <v>0.4165974391846719</v>
      </c>
      <c r="U64" s="5">
        <f ca="1">SQRT($B$9*AVERAGE((Q64:OFFSET(Q64,$B$8-1,0))))</f>
        <v>0.25809800387499154</v>
      </c>
      <c r="V64" s="1"/>
      <c r="W64" s="6">
        <f t="shared" si="7"/>
        <v>1.2670652019363868E-4</v>
      </c>
      <c r="X64" s="6">
        <f ca="1">SQRT($B$9*AVERAGE(W64:OFFSET(W64,$B$5-1,0)))</f>
        <v>0.3319958293748777</v>
      </c>
      <c r="Y64" s="6">
        <f ca="1">SQRT($B$9*AVERAGE(W64:OFFSET(W64,$B$6-1,0)))</f>
        <v>0.41731108528700994</v>
      </c>
      <c r="Z64" s="6">
        <f ca="1">SQRT($B$9*AVERAGE(W64:OFFSET(W64,$B$7-1,0)))</f>
        <v>0.40513557799195687</v>
      </c>
      <c r="AA64" s="6">
        <f ca="1">SQRT($B$9*AVERAGE(W64:OFFSET(W64,$B$8-1,0)))</f>
        <v>0.25226758160039858</v>
      </c>
      <c r="AB64" s="1"/>
      <c r="AC64" s="34">
        <f t="shared" si="5"/>
        <v>3.2059288310513388E-6</v>
      </c>
      <c r="AD64" s="34">
        <f ca="1">SQRT($B$9*SUM(AC64:OFFSET(AC64,$B$5-1,0))/($B$5-1))</f>
        <v>0.32840866741466052</v>
      </c>
      <c r="AE64" s="34">
        <f ca="1">SQRT($B$9*SUM(AC64:OFFSET(AC64,$B$6-1,0))/($B$6-1))</f>
        <v>0.50829114676756415</v>
      </c>
      <c r="AF64" s="34">
        <f ca="1">SQRT($B$9*SUM(AC64:OFFSET(AC64,$B$7-1,0))/($B$7-1))</f>
        <v>0.52126182922906927</v>
      </c>
      <c r="AG64" s="34">
        <f ca="1">SQRT($B$9*SUM(AC64:OFFSET(AC64,$B$8-1,0))/($B$8-1))</f>
        <v>0.30984490863326847</v>
      </c>
      <c r="AH64" s="1"/>
      <c r="AI64" s="1">
        <f t="shared" si="8"/>
        <v>-1.7905107737881218E-3</v>
      </c>
      <c r="AJ64" s="4">
        <f ca="1">SQRT($B$9)*_xlfn.STDEV.S(AI64:OFFSET(AI64,$B$5-1,0))</f>
        <v>0.3251554352828922</v>
      </c>
      <c r="AK64" s="4">
        <f ca="1">SQRT($B$9)*_xlfn.STDEV.S(AI64:OFFSET(AI64,$B$6-1,0))</f>
        <v>0.50359789834740254</v>
      </c>
      <c r="AL64" s="4">
        <f ca="1">SQRT($B$9)*_xlfn.STDEV.S(AI64:OFFSET(AI64,$B$7-1,0))</f>
        <v>0.49733184915132261</v>
      </c>
      <c r="AM64" s="4">
        <f ca="1">SQRT($B$9)*_xlfn.STDEV.S(AI64:OFFSET(AI64,$B$8-1,0))</f>
        <v>0.30870376537903538</v>
      </c>
    </row>
    <row r="65" spans="5:39" x14ac:dyDescent="0.2">
      <c r="E65" s="42">
        <v>45583</v>
      </c>
      <c r="F65" s="43">
        <v>2.6603416553108885</v>
      </c>
      <c r="G65" s="43">
        <v>2.8043822532227489</v>
      </c>
      <c r="H65" s="43">
        <v>2.6358449549857421</v>
      </c>
      <c r="I65" s="43">
        <v>2.7387310963513567</v>
      </c>
      <c r="K65" s="3">
        <f t="shared" si="4"/>
        <v>3.8414568733052454E-3</v>
      </c>
      <c r="L65" s="3">
        <f ca="1">SQRT(AVERAGE(K65:OFFSET(K65,$B$5-1,0))*$B$9/(4*LN(2)))</f>
        <v>0.33110966597679864</v>
      </c>
      <c r="M65" s="3">
        <f ca="1">SQRT(AVERAGE(K65:OFFSET(K65,$B$6-1,0))*$B$9/(4*LN(2)))</f>
        <v>0.5068808661404669</v>
      </c>
      <c r="N65" s="3">
        <f ca="1">SQRT(AVERAGE(K65:OFFSET(K65,$B$7-1,0))*$B$9/(4*LN(2)))</f>
        <v>0.42811566067951251</v>
      </c>
      <c r="O65" s="3">
        <f ca="1">SQRT(AVERAGE(K65:OFFSET(K65,$B$8-1,0))*$B$9/(4*LN(2)))</f>
        <v>0.26345458156925849</v>
      </c>
      <c r="P65" s="1"/>
      <c r="Q65" s="5">
        <f t="shared" si="6"/>
        <v>1.5974636807639905E-3</v>
      </c>
      <c r="R65" s="5">
        <f ca="1">SQRT($B$9*AVERAGE((Q65:OFFSET(Q65,$B$5-1,0))))</f>
        <v>0.34387715260877394</v>
      </c>
      <c r="S65" s="5">
        <f ca="1">SQRT($B$9*AVERAGE((Q65:OFFSET(Q65,$B$6-1,0))))</f>
        <v>0.49283838469940006</v>
      </c>
      <c r="T65" s="5">
        <f ca="1">SQRT($B$9*AVERAGE((Q65:OFFSET(Q65,$B$7-1,0))))</f>
        <v>0.41527583435442317</v>
      </c>
      <c r="U65" s="5">
        <f ca="1">SQRT($B$9*AVERAGE((Q65:OFFSET(Q65,$B$8-1,0))))</f>
        <v>0.25744460683761705</v>
      </c>
      <c r="V65" s="1"/>
      <c r="W65" s="6">
        <f t="shared" si="7"/>
        <v>1.6032884345487997E-3</v>
      </c>
      <c r="X65" s="6">
        <f ca="1">SQRT($B$9*AVERAGE(W65:OFFSET(W65,$B$5-1,0)))</f>
        <v>0.34161830221385581</v>
      </c>
      <c r="Y65" s="6">
        <f ca="1">SQRT($B$9*AVERAGE(W65:OFFSET(W65,$B$6-1,0)))</f>
        <v>0.48187771195682744</v>
      </c>
      <c r="Z65" s="6">
        <f ca="1">SQRT($B$9*AVERAGE(W65:OFFSET(W65,$B$7-1,0)))</f>
        <v>0.40372283669609316</v>
      </c>
      <c r="AA65" s="6">
        <f ca="1">SQRT($B$9*AVERAGE(W65:OFFSET(W65,$B$8-1,0)))</f>
        <v>0.25152590945100795</v>
      </c>
      <c r="AB65" s="1"/>
      <c r="AC65" s="34">
        <f t="shared" si="5"/>
        <v>9.0876543087066051E-4</v>
      </c>
      <c r="AD65" s="34">
        <f ca="1">SQRT($B$9*SUM(AC65:OFFSET(AC65,$B$5-1,0))/($B$5-1))</f>
        <v>0.34073515341674765</v>
      </c>
      <c r="AE65" s="34">
        <f ca="1">SQRT($B$9*SUM(AC65:OFFSET(AC65,$B$6-1,0))/($B$6-1))</f>
        <v>0.61302989627611315</v>
      </c>
      <c r="AF65" s="34">
        <f ca="1">SQRT($B$9*SUM(AC65:OFFSET(AC65,$B$7-1,0))/($B$7-1))</f>
        <v>0.52145554866682831</v>
      </c>
      <c r="AG65" s="34">
        <f ca="1">SQRT($B$9*SUM(AC65:OFFSET(AC65,$B$8-1,0))/($B$8-1))</f>
        <v>0.30997583229574471</v>
      </c>
      <c r="AH65" s="1"/>
      <c r="AI65" s="1">
        <f t="shared" si="8"/>
        <v>3.0145736528913347E-2</v>
      </c>
      <c r="AJ65" s="4">
        <f ca="1">SQRT($B$9)*_xlfn.STDEV.S(AI65:OFFSET(AI65,$B$5-1,0))</f>
        <v>0.3407328515382313</v>
      </c>
      <c r="AK65" s="4">
        <f ca="1">SQRT($B$9)*_xlfn.STDEV.S(AI65:OFFSET(AI65,$B$6-1,0))</f>
        <v>0.61155813495402656</v>
      </c>
      <c r="AL65" s="4">
        <f ca="1">SQRT($B$9)*_xlfn.STDEV.S(AI65:OFFSET(AI65,$B$7-1,0))</f>
        <v>0.4981736537032409</v>
      </c>
      <c r="AM65" s="4">
        <f ca="1">SQRT($B$9)*_xlfn.STDEV.S(AI65:OFFSET(AI65,$B$8-1,0))</f>
        <v>0.30868185093853401</v>
      </c>
    </row>
    <row r="66" spans="5:39" x14ac:dyDescent="0.2">
      <c r="E66" s="42">
        <v>45582</v>
      </c>
      <c r="F66" s="43">
        <v>2.7142343960262103</v>
      </c>
      <c r="G66" s="43">
        <v>2.7279525482082922</v>
      </c>
      <c r="H66" s="43">
        <v>2.656422183258865</v>
      </c>
      <c r="I66" s="43">
        <v>2.657402051271871</v>
      </c>
      <c r="K66" s="3">
        <f t="shared" si="4"/>
        <v>7.0602717909643898E-4</v>
      </c>
      <c r="L66" s="3">
        <f ca="1">SQRT(AVERAGE(K66:OFFSET(K66,$B$5-1,0))*$B$9/(4*LN(2)))</f>
        <v>0.2474325465813578</v>
      </c>
      <c r="M66" s="3">
        <f ca="1">SQRT(AVERAGE(K66:OFFSET(K66,$B$6-1,0))*$B$9/(4*LN(2)))</f>
        <v>0.52533839911037727</v>
      </c>
      <c r="N66" s="3">
        <f ca="1">SQRT(AVERAGE(K66:OFFSET(K66,$B$7-1,0))*$B$9/(4*LN(2)))</f>
        <v>0.40814089880846494</v>
      </c>
      <c r="O66" s="3">
        <f ca="1">SQRT(AVERAGE(K66:OFFSET(K66,$B$8-1,0))*$B$9/(4*LN(2)))</f>
        <v>0.2526938595237076</v>
      </c>
      <c r="P66" s="1"/>
      <c r="Q66" s="5">
        <f t="shared" si="6"/>
        <v>1.785241172095537E-4</v>
      </c>
      <c r="R66" s="5">
        <f ca="1">SQRT($B$9*AVERAGE((Q66:OFFSET(Q66,$B$5-1,0))))</f>
        <v>0.24853860293501515</v>
      </c>
      <c r="S66" s="5">
        <f ca="1">SQRT($B$9*AVERAGE((Q66:OFFSET(Q66,$B$6-1,0))))</f>
        <v>0.52174824220130189</v>
      </c>
      <c r="T66" s="5">
        <f ca="1">SQRT($B$9*AVERAGE((Q66:OFFSET(Q66,$B$7-1,0))))</f>
        <v>0.39138994855089032</v>
      </c>
      <c r="U66" s="5">
        <f ca="1">SQRT($B$9*AVERAGE((Q66:OFFSET(Q66,$B$8-1,0))))</f>
        <v>0.24466679045317913</v>
      </c>
      <c r="V66" s="1"/>
      <c r="W66" s="6">
        <f t="shared" si="7"/>
        <v>1.4003738603552879E-4</v>
      </c>
      <c r="X66" s="6">
        <f ca="1">SQRT($B$9*AVERAGE(W66:OFFSET(W66,$B$5-1,0)))</f>
        <v>0.24823886038768478</v>
      </c>
      <c r="Y66" s="6">
        <f ca="1">SQRT($B$9*AVERAGE(W66:OFFSET(W66,$B$6-1,0)))</f>
        <v>0.51188242648383653</v>
      </c>
      <c r="Z66" s="6">
        <f ca="1">SQRT($B$9*AVERAGE(W66:OFFSET(W66,$B$7-1,0)))</f>
        <v>0.37902534281099431</v>
      </c>
      <c r="AA66" s="6">
        <f ca="1">SQRT($B$9*AVERAGE(W66:OFFSET(W66,$B$8-1,0)))</f>
        <v>0.23837572027976342</v>
      </c>
      <c r="AB66" s="1"/>
      <c r="AC66" s="34">
        <f t="shared" si="5"/>
        <v>2.3617635309837128E-4</v>
      </c>
      <c r="AD66" s="34">
        <f ca="1">SQRT($B$9*SUM(AC66:OFFSET(AC66,$B$5-1,0))/($B$5-1))</f>
        <v>0.29376032767594734</v>
      </c>
      <c r="AE66" s="34">
        <f ca="1">SQRT($B$9*SUM(AC66:OFFSET(AC66,$B$6-1,0))/($B$6-1))</f>
        <v>0.62765568372410618</v>
      </c>
      <c r="AF66" s="34">
        <f ca="1">SQRT($B$9*SUM(AC66:OFFSET(AC66,$B$7-1,0))/($B$7-1))</f>
        <v>0.51055812682425639</v>
      </c>
      <c r="AG66" s="34">
        <f ca="1">SQRT($B$9*SUM(AC66:OFFSET(AC66,$B$8-1,0))/($B$8-1))</f>
        <v>0.30393668014066083</v>
      </c>
      <c r="AH66" s="1"/>
      <c r="AI66" s="1">
        <f t="shared" si="8"/>
        <v>-1.5368030228313949E-2</v>
      </c>
      <c r="AJ66" s="4">
        <f ca="1">SQRT($B$9)*_xlfn.STDEV.S(AI66:OFFSET(AI66,$B$5-1,0))</f>
        <v>0.23507328685008677</v>
      </c>
      <c r="AK66" s="4">
        <f ca="1">SQRT($B$9)*_xlfn.STDEV.S(AI66:OFFSET(AI66,$B$6-1,0))</f>
        <v>0.62495135131250823</v>
      </c>
      <c r="AL66" s="4">
        <f ca="1">SQRT($B$9)*_xlfn.STDEV.S(AI66:OFFSET(AI66,$B$7-1,0))</f>
        <v>0.49501710560147599</v>
      </c>
      <c r="AM66" s="4">
        <f ca="1">SQRT($B$9)*_xlfn.STDEV.S(AI66:OFFSET(AI66,$B$8-1,0))</f>
        <v>0.30318142811077986</v>
      </c>
    </row>
    <row r="67" spans="5:39" x14ac:dyDescent="0.2">
      <c r="E67" s="42">
        <v>45581</v>
      </c>
      <c r="F67" s="43">
        <v>2.6838584876230289</v>
      </c>
      <c r="G67" s="43">
        <v>2.7269726801952863</v>
      </c>
      <c r="H67" s="43">
        <v>2.6779792795449939</v>
      </c>
      <c r="I67" s="43">
        <v>2.6985565078181168</v>
      </c>
      <c r="K67" s="3">
        <f t="shared" si="4"/>
        <v>3.2868151135716337E-4</v>
      </c>
      <c r="L67" s="3">
        <f ca="1">SQRT(AVERAGE(K67:OFFSET(K67,$B$5-1,0))*$B$9/(4*LN(2)))</f>
        <v>0.30337329866186846</v>
      </c>
      <c r="M67" s="3">
        <f ca="1">SQRT(AVERAGE(K67:OFFSET(K67,$B$6-1,0))*$B$9/(4*LN(2)))</f>
        <v>0.54550702352685965</v>
      </c>
      <c r="N67" s="3">
        <f ca="1">SQRT(AVERAGE(K67:OFFSET(K67,$B$7-1,0))*$B$9/(4*LN(2)))</f>
        <v>0.40470792594900906</v>
      </c>
      <c r="O67" s="3">
        <f ca="1">SQRT(AVERAGE(K67:OFFSET(K67,$B$8-1,0))*$B$9/(4*LN(2)))</f>
        <v>0.25087804012286946</v>
      </c>
      <c r="P67" s="1"/>
      <c r="Q67" s="5">
        <f t="shared" si="6"/>
        <v>1.5377788697141625E-4</v>
      </c>
      <c r="R67" s="5">
        <f ca="1">SQRT($B$9*AVERAGE((Q67:OFFSET(Q67,$B$5-1,0))))</f>
        <v>0.32074856456313888</v>
      </c>
      <c r="S67" s="5">
        <f ca="1">SQRT($B$9*AVERAGE((Q67:OFFSET(Q67,$B$6-1,0))))</f>
        <v>0.52638265695308117</v>
      </c>
      <c r="T67" s="5">
        <f ca="1">SQRT($B$9*AVERAGE((Q67:OFFSET(Q67,$B$7-1,0))))</f>
        <v>0.38917001238574506</v>
      </c>
      <c r="U67" s="5">
        <f ca="1">SQRT($B$9*AVERAGE((Q67:OFFSET(Q67,$B$8-1,0))))</f>
        <v>0.2434669863679334</v>
      </c>
      <c r="V67" s="1"/>
      <c r="W67" s="6">
        <f t="shared" si="7"/>
        <v>1.8372329091272187E-4</v>
      </c>
      <c r="X67" s="6">
        <f ca="1">SQRT($B$9*AVERAGE(W67:OFFSET(W67,$B$5-1,0)))</f>
        <v>0.33495674399131203</v>
      </c>
      <c r="Y67" s="6">
        <f ca="1">SQRT($B$9*AVERAGE(W67:OFFSET(W67,$B$6-1,0)))</f>
        <v>0.50955155901480309</v>
      </c>
      <c r="Z67" s="6">
        <f ca="1">SQRT($B$9*AVERAGE(W67:OFFSET(W67,$B$7-1,0)))</f>
        <v>0.37737884678891698</v>
      </c>
      <c r="AA67" s="6">
        <f ca="1">SQRT($B$9*AVERAGE(W67:OFFSET(W67,$B$8-1,0)))</f>
        <v>0.23746721071480209</v>
      </c>
      <c r="AB67" s="1"/>
      <c r="AC67" s="34">
        <f t="shared" si="5"/>
        <v>2.1065011892955612E-6</v>
      </c>
      <c r="AD67" s="34">
        <f ca="1">SQRT($B$9*SUM(AC67:OFFSET(AC67,$B$5-1,0))/($B$5-1))</f>
        <v>0.36522905772213976</v>
      </c>
      <c r="AE67" s="34">
        <f ca="1">SQRT($B$9*SUM(AC67:OFFSET(AC67,$B$6-1,0))/($B$6-1))</f>
        <v>0.68363019057666896</v>
      </c>
      <c r="AF67" s="34">
        <f ca="1">SQRT($B$9*SUM(AC67:OFFSET(AC67,$B$7-1,0))/($B$7-1))</f>
        <v>0.50756926978988925</v>
      </c>
      <c r="AG67" s="34">
        <f ca="1">SQRT($B$9*SUM(AC67:OFFSET(AC67,$B$8-1,0))/($B$8-1))</f>
        <v>0.30240830767825633</v>
      </c>
      <c r="AH67" s="1"/>
      <c r="AI67" s="1">
        <f t="shared" si="8"/>
        <v>-1.4513790646469864E-3</v>
      </c>
      <c r="AJ67" s="4">
        <f ca="1">SQRT($B$9)*_xlfn.STDEV.S(AI67:OFFSET(AI67,$B$5-1,0))</f>
        <v>0.36505049666040301</v>
      </c>
      <c r="AK67" s="4">
        <f ca="1">SQRT($B$9)*_xlfn.STDEV.S(AI67:OFFSET(AI67,$B$6-1,0))</f>
        <v>0.66140330766851707</v>
      </c>
      <c r="AL67" s="4">
        <f ca="1">SQRT($B$9)*_xlfn.STDEV.S(AI67:OFFSET(AI67,$B$7-1,0))</f>
        <v>0.48853477845810606</v>
      </c>
      <c r="AM67" s="4">
        <f ca="1">SQRT($B$9)*_xlfn.STDEV.S(AI67:OFFSET(AI67,$B$8-1,0))</f>
        <v>0.30125331688610174</v>
      </c>
    </row>
    <row r="68" spans="5:39" x14ac:dyDescent="0.2">
      <c r="E68" s="42">
        <v>45580</v>
      </c>
      <c r="F68" s="43">
        <v>2.7573485885984681</v>
      </c>
      <c r="G68" s="43">
        <v>2.7759660808455795</v>
      </c>
      <c r="H68" s="43">
        <v>2.7005162438441284</v>
      </c>
      <c r="I68" s="43">
        <v>2.7024759798701403</v>
      </c>
      <c r="K68" s="3">
        <f t="shared" si="4"/>
        <v>7.5932584453277838E-4</v>
      </c>
      <c r="L68" s="3">
        <f ca="1">SQRT(AVERAGE(K68:OFFSET(K68,$B$5-1,0))*$B$9/(4*LN(2)))</f>
        <v>0.39799218745488052</v>
      </c>
      <c r="M68" s="3">
        <f ca="1">SQRT(AVERAGE(K68:OFFSET(K68,$B$6-1,0))*$B$9/(4*LN(2)))</f>
        <v>0.54608715830506327</v>
      </c>
      <c r="N68" s="3">
        <f ca="1">SQRT(AVERAGE(K68:OFFSET(K68,$B$7-1,0))*$B$9/(4*LN(2)))</f>
        <v>0.4040766599457441</v>
      </c>
      <c r="O68" s="3">
        <f ca="1">SQRT(AVERAGE(K68:OFFSET(K68,$B$8-1,0))*$B$9/(4*LN(2)))</f>
        <v>0.2500836991671776</v>
      </c>
      <c r="P68" s="1"/>
      <c r="Q68" s="5">
        <f t="shared" si="6"/>
        <v>2.2255181500607064E-4</v>
      </c>
      <c r="R68" s="5">
        <f ca="1">SQRT($B$9*AVERAGE((Q68:OFFSET(Q68,$B$5-1,0))))</f>
        <v>0.37863070400561077</v>
      </c>
      <c r="S68" s="5">
        <f ca="1">SQRT($B$9*AVERAGE((Q68:OFFSET(Q68,$B$6-1,0))))</f>
        <v>0.52747639197259477</v>
      </c>
      <c r="T68" s="5">
        <f ca="1">SQRT($B$9*AVERAGE((Q68:OFFSET(Q68,$B$7-1,0))))</f>
        <v>0.38782916408878376</v>
      </c>
      <c r="U68" s="5">
        <f ca="1">SQRT($B$9*AVERAGE((Q68:OFFSET(Q68,$B$8-1,0))))</f>
        <v>0.24233061975816297</v>
      </c>
      <c r="V68" s="1"/>
      <c r="W68" s="6">
        <f t="shared" si="7"/>
        <v>1.9565724019324782E-4</v>
      </c>
      <c r="X68" s="6">
        <f ca="1">SQRT($B$9*AVERAGE(W68:OFFSET(W68,$B$5-1,0)))</f>
        <v>0.37167965989613472</v>
      </c>
      <c r="Y68" s="6">
        <f ca="1">SQRT($B$9*AVERAGE(W68:OFFSET(W68,$B$6-1,0)))</f>
        <v>0.51197111950687491</v>
      </c>
      <c r="Z68" s="6">
        <f ca="1">SQRT($B$9*AVERAGE(W68:OFFSET(W68,$B$7-1,0)))</f>
        <v>0.37536977582873859</v>
      </c>
      <c r="AA68" s="6">
        <f ca="1">SQRT($B$9*AVERAGE(W68:OFFSET(W68,$B$8-1,0)))</f>
        <v>0.23601690358985977</v>
      </c>
      <c r="AB68" s="1"/>
      <c r="AC68" s="34">
        <f t="shared" si="5"/>
        <v>6.1059889348936578E-4</v>
      </c>
      <c r="AD68" s="34">
        <f ca="1">SQRT($B$9*SUM(AC68:OFFSET(AC68,$B$5-1,0))/($B$5-1))</f>
        <v>0.69079413541442358</v>
      </c>
      <c r="AE68" s="34">
        <f ca="1">SQRT($B$9*SUM(AC68:OFFSET(AC68,$B$6-1,0))/($B$6-1))</f>
        <v>0.68653120986385963</v>
      </c>
      <c r="AF68" s="34">
        <f ca="1">SQRT($B$9*SUM(AC68:OFFSET(AC68,$B$7-1,0))/($B$7-1))</f>
        <v>0.50977573414726629</v>
      </c>
      <c r="AG68" s="34">
        <f ca="1">SQRT($B$9*SUM(AC68:OFFSET(AC68,$B$8-1,0))/($B$8-1))</f>
        <v>0.30250492311676497</v>
      </c>
      <c r="AH68" s="1"/>
      <c r="AI68" s="1">
        <f t="shared" si="8"/>
        <v>-2.4710299340343203E-2</v>
      </c>
      <c r="AJ68" s="4">
        <f ca="1">SQRT($B$9)*_xlfn.STDEV.S(AI68:OFFSET(AI68,$B$5-1,0))</f>
        <v>0.63643096794878928</v>
      </c>
      <c r="AK68" s="4">
        <f ca="1">SQRT($B$9)*_xlfn.STDEV.S(AI68:OFFSET(AI68,$B$6-1,0))</f>
        <v>0.65814285725477717</v>
      </c>
      <c r="AL68" s="4">
        <f ca="1">SQRT($B$9)*_xlfn.STDEV.S(AI68:OFFSET(AI68,$B$7-1,0))</f>
        <v>0.49339140383776109</v>
      </c>
      <c r="AM68" s="4">
        <f ca="1">SQRT($B$9)*_xlfn.STDEV.S(AI68:OFFSET(AI68,$B$8-1,0))</f>
        <v>0.3012206530846756</v>
      </c>
    </row>
    <row r="69" spans="5:39" x14ac:dyDescent="0.2">
      <c r="E69" s="42">
        <v>45579</v>
      </c>
      <c r="F69" s="43">
        <v>2.7485297764814156</v>
      </c>
      <c r="G69" s="43">
        <v>2.7877244970016495</v>
      </c>
      <c r="H69" s="43">
        <v>2.7220733401302573</v>
      </c>
      <c r="I69" s="43">
        <v>2.7700868727675441</v>
      </c>
      <c r="K69" s="3">
        <f t="shared" si="4"/>
        <v>5.6795579923537046E-4</v>
      </c>
      <c r="L69" s="3">
        <f ca="1">SQRT(AVERAGE(K69:OFFSET(K69,$B$5-1,0))*$B$9/(4*LN(2)))</f>
        <v>0.55283424107449208</v>
      </c>
      <c r="M69" s="3">
        <f ca="1">SQRT(AVERAGE(K69:OFFSET(K69,$B$6-1,0))*$B$9/(4*LN(2)))</f>
        <v>0.55538791413092248</v>
      </c>
      <c r="N69" s="3">
        <f ca="1">SQRT(AVERAGE(K69:OFFSET(K69,$B$7-1,0))*$B$9/(4*LN(2)))</f>
        <v>0.40079247780122668</v>
      </c>
      <c r="O69" s="3">
        <f ca="1">SQRT(AVERAGE(K69:OFFSET(K69,$B$8-1,0))*$B$9/(4*LN(2)))</f>
        <v>0.2479778493162344</v>
      </c>
      <c r="P69" s="1"/>
      <c r="Q69" s="5">
        <f t="shared" ref="Q69:Q100" si="9">0.511*(LN(G69/H69))^2-0.019*(LN(I69/F69)*LN(G69*H69/F69^2)-2*LN(G69/F69)*LN(H69/F69))-0.383*(LN(I69/F69))^2</f>
        <v>2.6097833854525491E-4</v>
      </c>
      <c r="R69" s="5">
        <f ca="1">SQRT($B$9*AVERAGE((Q69:OFFSET(Q69,$B$5-1,0))))</f>
        <v>0.50661958301385013</v>
      </c>
      <c r="S69" s="5">
        <f ca="1">SQRT($B$9*AVERAGE((Q69:OFFSET(Q69,$B$6-1,0))))</f>
        <v>0.53069727637739639</v>
      </c>
      <c r="T69" s="5">
        <f ca="1">SQRT($B$9*AVERAGE((Q69:OFFSET(Q69,$B$7-1,0))))</f>
        <v>0.38539832699094362</v>
      </c>
      <c r="U69" s="5">
        <f ca="1">SQRT($B$9*AVERAGE((Q69:OFFSET(Q69,$B$8-1,0))))</f>
        <v>0.24055714504919251</v>
      </c>
      <c r="V69" s="1"/>
      <c r="W69" s="6">
        <f t="shared" ref="W69:W100" si="10">LN(G69/I69)*LN(G69/F69)+LN(H69/I69)*LN(H69/F69)</f>
        <v>2.5898884029903471E-4</v>
      </c>
      <c r="X69" s="6">
        <f ca="1">SQRT($B$9*AVERAGE(W69:OFFSET(W69,$B$5-1,0)))</f>
        <v>0.48793017234490765</v>
      </c>
      <c r="Y69" s="6">
        <f ca="1">SQRT($B$9*AVERAGE(W69:OFFSET(W69,$B$6-1,0)))</f>
        <v>0.51219438445886001</v>
      </c>
      <c r="Z69" s="6">
        <f ca="1">SQRT($B$9*AVERAGE(W69:OFFSET(W69,$B$7-1,0)))</f>
        <v>0.37348277797382612</v>
      </c>
      <c r="AA69" s="6">
        <f ca="1">SQRT($B$9*AVERAGE(W69:OFFSET(W69,$B$8-1,0)))</f>
        <v>0.23440626464401138</v>
      </c>
      <c r="AB69" s="1"/>
      <c r="AC69" s="34">
        <f t="shared" si="5"/>
        <v>1.3787028704919705E-4</v>
      </c>
      <c r="AD69" s="34">
        <f ca="1">SQRT($B$9*SUM(AC69:OFFSET(AC69,$B$5-1,0))/($B$5-1))</f>
        <v>0.68808248008655837</v>
      </c>
      <c r="AE69" s="34">
        <f ca="1">SQRT($B$9*SUM(AC69:OFFSET(AC69,$B$6-1,0))/($B$6-1))</f>
        <v>0.72343509790691418</v>
      </c>
      <c r="AF69" s="34">
        <f ca="1">SQRT($B$9*SUM(AC69:OFFSET(AC69,$B$7-1,0))/($B$7-1))</f>
        <v>0.50227359083284684</v>
      </c>
      <c r="AG69" s="34">
        <f ca="1">SQRT($B$9*SUM(AC69:OFFSET(AC69,$B$8-1,0))/($B$8-1))</f>
        <v>0.298540455425991</v>
      </c>
      <c r="AH69" s="1"/>
      <c r="AI69" s="1">
        <f t="shared" ref="AI69:AI82" si="11">LN(I69/I70)</f>
        <v>1.1741817876683195E-2</v>
      </c>
      <c r="AJ69" s="4">
        <f ca="1">SQRT($B$9)*_xlfn.STDEV.S(AI69:OFFSET(AI69,$B$5-1,0))</f>
        <v>0.68076587971240832</v>
      </c>
      <c r="AK69" s="4">
        <f ca="1">SQRT($B$9)*_xlfn.STDEV.S(AI69:OFFSET(AI69,$B$6-1,0))</f>
        <v>0.64930153534660984</v>
      </c>
      <c r="AL69" s="4">
        <f ca="1">SQRT($B$9)*_xlfn.STDEV.S(AI69:OFFSET(AI69,$B$7-1,0))</f>
        <v>0.48109994202564205</v>
      </c>
      <c r="AM69" s="4">
        <f ca="1">SQRT($B$9)*_xlfn.STDEV.S(AI69:OFFSET(AI69,$B$8-1,0))</f>
        <v>0.29636909452591637</v>
      </c>
    </row>
    <row r="70" spans="5:39" x14ac:dyDescent="0.2">
      <c r="E70" s="42">
        <v>45576</v>
      </c>
      <c r="F70" s="43">
        <v>2.783805024949626</v>
      </c>
      <c r="G70" s="43">
        <v>2.7906641010406665</v>
      </c>
      <c r="H70" s="43">
        <v>2.6995363758311224</v>
      </c>
      <c r="I70" s="43">
        <v>2.7377512283383507</v>
      </c>
      <c r="K70" s="3">
        <f t="shared" ref="K70:K133" si="12">(LN(G70/H70))^2</f>
        <v>1.102210182939793E-3</v>
      </c>
      <c r="L70" s="3">
        <f ca="1">SQRT(AVERAGE(K70:OFFSET(K70,$B$5-1,0))*$B$9/(4*LN(2)))</f>
        <v>0.6357851948695824</v>
      </c>
      <c r="M70" s="3">
        <f ca="1">SQRT(AVERAGE(K70:OFFSET(K70,$B$6-1,0))*$B$9/(4*LN(2)))</f>
        <v>0.55170077503483794</v>
      </c>
      <c r="N70" s="3">
        <f ca="1">SQRT(AVERAGE(K70:OFFSET(K70,$B$7-1,0))*$B$9/(4*LN(2)))</f>
        <v>0.39790426423128183</v>
      </c>
      <c r="O70" s="3">
        <f ca="1">SQRT(AVERAGE(K70:OFFSET(K70,$B$8-1,0))*$B$9/(4*LN(2)))</f>
        <v>0.24657063797621009</v>
      </c>
      <c r="P70" s="1"/>
      <c r="Q70" s="5">
        <f t="shared" si="9"/>
        <v>4.4480941673482954E-4</v>
      </c>
      <c r="R70" s="5">
        <f ca="1">SQRT($B$9*AVERAGE((Q70:OFFSET(Q70,$B$5-1,0))))</f>
        <v>0.60624075315002512</v>
      </c>
      <c r="S70" s="5">
        <f ca="1">SQRT($B$9*AVERAGE((Q70:OFFSET(Q70,$B$6-1,0))))</f>
        <v>0.52574638176035215</v>
      </c>
      <c r="T70" s="5">
        <f ca="1">SQRT($B$9*AVERAGE((Q70:OFFSET(Q70,$B$7-1,0))))</f>
        <v>0.38159326962554835</v>
      </c>
      <c r="U70" s="5">
        <f ca="1">SQRT($B$9*AVERAGE((Q70:OFFSET(Q70,$B$8-1,0))))</f>
        <v>0.23864797575340732</v>
      </c>
      <c r="V70" s="1"/>
      <c r="W70" s="6">
        <f t="shared" si="10"/>
        <v>4.7919593248959847E-4</v>
      </c>
      <c r="X70" s="6">
        <f ca="1">SQRT($B$9*AVERAGE(W70:OFFSET(W70,$B$5-1,0)))</f>
        <v>0.58966871559717071</v>
      </c>
      <c r="Y70" s="6">
        <f ca="1">SQRT($B$9*AVERAGE(W70:OFFSET(W70,$B$6-1,0)))</f>
        <v>0.50733008174726024</v>
      </c>
      <c r="Z70" s="6">
        <f ca="1">SQRT($B$9*AVERAGE(W70:OFFSET(W70,$B$7-1,0)))</f>
        <v>0.36960861124786298</v>
      </c>
      <c r="AA70" s="6">
        <f ca="1">SQRT($B$9*AVERAGE(W70:OFFSET(W70,$B$8-1,0)))</f>
        <v>0.23245453944631209</v>
      </c>
      <c r="AB70" s="1"/>
      <c r="AC70" s="34">
        <f t="shared" si="5"/>
        <v>4.2214804870487174E-4</v>
      </c>
      <c r="AD70" s="34">
        <f ca="1">SQRT($B$9*SUM(AC70:OFFSET(AC70,$B$5-1,0))/($B$5-1))</f>
        <v>0.85408563745958455</v>
      </c>
      <c r="AE70" s="34">
        <f ca="1">SQRT($B$9*SUM(AC70:OFFSET(AC70,$B$6-1,0))/($B$6-1))</f>
        <v>0.72100738345178128</v>
      </c>
      <c r="AF70" s="34">
        <f ca="1">SQRT($B$9*SUM(AC70:OFFSET(AC70,$B$7-1,0))/($B$7-1))</f>
        <v>0.5005215149779233</v>
      </c>
      <c r="AG70" s="34">
        <f ca="1">SQRT($B$9*SUM(AC70:OFFSET(AC70,$B$8-1,0))/($B$8-1))</f>
        <v>0.2983628916548825</v>
      </c>
      <c r="AH70" s="1"/>
      <c r="AI70" s="1">
        <f t="shared" si="11"/>
        <v>-2.0546241717279385E-2</v>
      </c>
      <c r="AJ70" s="4">
        <f ca="1">SQRT($B$9)*_xlfn.STDEV.S(AI70:OFFSET(AI70,$B$5-1,0))</f>
        <v>0.84945626050649259</v>
      </c>
      <c r="AK70" s="4">
        <f ca="1">SQRT($B$9)*_xlfn.STDEV.S(AI70:OFFSET(AI70,$B$6-1,0))</f>
        <v>0.65350681896449769</v>
      </c>
      <c r="AL70" s="4">
        <f ca="1">SQRT($B$9)*_xlfn.STDEV.S(AI70:OFFSET(AI70,$B$7-1,0))</f>
        <v>0.48172179964958195</v>
      </c>
      <c r="AM70" s="4">
        <f ca="1">SQRT($B$9)*_xlfn.STDEV.S(AI70:OFFSET(AI70,$B$8-1,0))</f>
        <v>0.29622654470831988</v>
      </c>
    </row>
    <row r="71" spans="5:39" x14ac:dyDescent="0.2">
      <c r="E71" s="42">
        <v>45575</v>
      </c>
      <c r="F71" s="43">
        <v>2.7299122842343042</v>
      </c>
      <c r="G71" s="43">
        <v>2.8612145979770882</v>
      </c>
      <c r="H71" s="43">
        <v>2.7230532081432628</v>
      </c>
      <c r="I71" s="43">
        <v>2.79458357309269</v>
      </c>
      <c r="K71" s="3">
        <f t="shared" si="12"/>
        <v>2.4495041432309574E-3</v>
      </c>
      <c r="L71" s="3">
        <f ca="1">SQRT(AVERAGE(K71:OFFSET(K71,$B$5-1,0))*$B$9/(4*LN(2)))</f>
        <v>0.70052694598564313</v>
      </c>
      <c r="M71" s="3">
        <f ca="1">SQRT(AVERAGE(K71:OFFSET(K71,$B$6-1,0))*$B$9/(4*LN(2)))</f>
        <v>0.54426034654886357</v>
      </c>
      <c r="N71" s="3">
        <f ca="1">SQRT(AVERAGE(K71:OFFSET(K71,$B$7-1,0))*$B$9/(4*LN(2)))</f>
        <v>0.39231645139478438</v>
      </c>
      <c r="O71" s="3">
        <f ca="1">SQRT(AVERAGE(K71:OFFSET(K71,$B$8-1,0))*$B$9/(4*LN(2)))</f>
        <v>0.24334224944754521</v>
      </c>
      <c r="P71" s="1"/>
      <c r="Q71" s="5">
        <f t="shared" si="9"/>
        <v>1.0174670666059809E-3</v>
      </c>
      <c r="R71" s="5">
        <f ca="1">SQRT($B$9*AVERAGE((Q71:OFFSET(Q71,$B$5-1,0))))</f>
        <v>0.69474529097461857</v>
      </c>
      <c r="S71" s="5">
        <f ca="1">SQRT($B$9*AVERAGE((Q71:OFFSET(Q71,$B$6-1,0))))</f>
        <v>0.51730533989996907</v>
      </c>
      <c r="T71" s="5">
        <f ca="1">SQRT($B$9*AVERAGE((Q71:OFFSET(Q71,$B$7-1,0))))</f>
        <v>0.37513649629510093</v>
      </c>
      <c r="U71" s="5">
        <f ca="1">SQRT($B$9*AVERAGE((Q71:OFFSET(Q71,$B$8-1,0))))</f>
        <v>0.23493614332657919</v>
      </c>
      <c r="V71" s="1"/>
      <c r="W71" s="6">
        <f t="shared" si="10"/>
        <v>1.1721493970290983E-3</v>
      </c>
      <c r="X71" s="6">
        <f ca="1">SQRT($B$9*AVERAGE(W71:OFFSET(W71,$B$5-1,0)))</f>
        <v>0.68001816540397209</v>
      </c>
      <c r="Y71" s="6">
        <f ca="1">SQRT($B$9*AVERAGE(W71:OFFSET(W71,$B$6-1,0)))</f>
        <v>0.49787975346815866</v>
      </c>
      <c r="Z71" s="6">
        <f ca="1">SQRT($B$9*AVERAGE(W71:OFFSET(W71,$B$7-1,0)))</f>
        <v>0.36240049640793692</v>
      </c>
      <c r="AA71" s="6">
        <f ca="1">SQRT($B$9*AVERAGE(W71:OFFSET(W71,$B$8-1,0)))</f>
        <v>0.22839386656892949</v>
      </c>
      <c r="AB71" s="1"/>
      <c r="AC71" s="34">
        <f t="shared" si="5"/>
        <v>1.0051091610709779E-3</v>
      </c>
      <c r="AD71" s="34">
        <f ca="1">SQRT($B$9*SUM(AC71:OFFSET(AC71,$B$5-1,0))/($B$5-1))</f>
        <v>0.89448091026799692</v>
      </c>
      <c r="AE71" s="34">
        <f ca="1">SQRT($B$9*SUM(AC71:OFFSET(AC71,$B$6-1,0))/($B$6-1))</f>
        <v>0.71305027277650501</v>
      </c>
      <c r="AF71" s="34">
        <f ca="1">SQRT($B$9*SUM(AC71:OFFSET(AC71,$B$7-1,0))/($B$7-1))</f>
        <v>0.49598121605378948</v>
      </c>
      <c r="AG71" s="34">
        <f ca="1">SQRT($B$9*SUM(AC71:OFFSET(AC71,$B$8-1,0))/($B$8-1))</f>
        <v>0.29542946525008373</v>
      </c>
      <c r="AH71" s="1"/>
      <c r="AI71" s="1">
        <f t="shared" si="11"/>
        <v>3.170345661077003E-2</v>
      </c>
      <c r="AJ71" s="4">
        <f ca="1">SQRT($B$9)*_xlfn.STDEV.S(AI71:OFFSET(AI71,$B$5-1,0))</f>
        <v>0.84280205953236953</v>
      </c>
      <c r="AK71" s="4">
        <f ca="1">SQRT($B$9)*_xlfn.STDEV.S(AI71:OFFSET(AI71,$B$6-1,0))</f>
        <v>0.62604024347834952</v>
      </c>
      <c r="AL71" s="4">
        <f ca="1">SQRT($B$9)*_xlfn.STDEV.S(AI71:OFFSET(AI71,$B$7-1,0))</f>
        <v>0.47412619715533311</v>
      </c>
      <c r="AM71" s="4">
        <f ca="1">SQRT($B$9)*_xlfn.STDEV.S(AI71:OFFSET(AI71,$B$8-1,0))</f>
        <v>0.29262433562958917</v>
      </c>
    </row>
    <row r="72" spans="5:39" x14ac:dyDescent="0.2">
      <c r="E72" s="42">
        <v>45574</v>
      </c>
      <c r="F72" s="43">
        <v>2.8523957858600357</v>
      </c>
      <c r="G72" s="43">
        <v>2.8808119582372052</v>
      </c>
      <c r="H72" s="43">
        <v>2.7024759798701403</v>
      </c>
      <c r="I72" s="43">
        <v>2.7073753199351693</v>
      </c>
      <c r="K72" s="3">
        <f t="shared" si="12"/>
        <v>4.0836959074325978E-3</v>
      </c>
      <c r="L72" s="3">
        <f ca="1">SQRT(AVERAGE(K72:OFFSET(K72,$B$5-1,0))*$B$9/(4*LN(2)))</f>
        <v>0.70930985266897584</v>
      </c>
      <c r="M72" s="3">
        <f ca="1">SQRT(AVERAGE(K72:OFFSET(K72,$B$6-1,0))*$B$9/(4*LN(2)))</f>
        <v>0.52719552251497026</v>
      </c>
      <c r="N72" s="3">
        <f ca="1">SQRT(AVERAGE(K72:OFFSET(K72,$B$7-1,0))*$B$9/(4*LN(2)))</f>
        <v>0.37856892250875673</v>
      </c>
      <c r="O72" s="3">
        <f ca="1">SQRT(AVERAGE(K72:OFFSET(K72,$B$8-1,0))*$B$9/(4*LN(2)))</f>
        <v>0.23702973544964279</v>
      </c>
      <c r="P72" s="1"/>
      <c r="Q72" s="5">
        <f t="shared" si="9"/>
        <v>9.7993234302183206E-4</v>
      </c>
      <c r="R72" s="5">
        <f ca="1">SQRT($B$9*AVERAGE((Q72:OFFSET(Q72,$B$5-1,0))))</f>
        <v>0.67177210526536157</v>
      </c>
      <c r="S72" s="5">
        <f ca="1">SQRT($B$9*AVERAGE((Q72:OFFSET(Q72,$B$6-1,0))))</f>
        <v>0.49713085046339223</v>
      </c>
      <c r="T72" s="5">
        <f ca="1">SQRT($B$9*AVERAGE((Q72:OFFSET(Q72,$B$7-1,0))))</f>
        <v>0.35845691795470858</v>
      </c>
      <c r="U72" s="5">
        <f ca="1">SQRT($B$9*AVERAGE((Q72:OFFSET(Q72,$B$8-1,0))))</f>
        <v>0.22736998728413679</v>
      </c>
      <c r="V72" s="1"/>
      <c r="W72" s="6">
        <f t="shared" si="10"/>
        <v>7.1331000999935452E-4</v>
      </c>
      <c r="X72" s="6">
        <f ca="1">SQRT($B$9*AVERAGE(W72:OFFSET(W72,$B$5-1,0)))</f>
        <v>0.63803570608828108</v>
      </c>
      <c r="Y72" s="6">
        <f ca="1">SQRT($B$9*AVERAGE(W72:OFFSET(W72,$B$6-1,0)))</f>
        <v>0.47317089666084339</v>
      </c>
      <c r="Z72" s="6">
        <f ca="1">SQRT($B$9*AVERAGE(W72:OFFSET(W72,$B$7-1,0)))</f>
        <v>0.34231597548187848</v>
      </c>
      <c r="AA72" s="6">
        <f ca="1">SQRT($B$9*AVERAGE(W72:OFFSET(W72,$B$8-1,0)))</f>
        <v>0.21911209827312003</v>
      </c>
      <c r="AB72" s="1"/>
      <c r="AC72" s="34">
        <f t="shared" si="5"/>
        <v>5.6152374876114802E-3</v>
      </c>
      <c r="AD72" s="34">
        <f ca="1">SQRT($B$9*SUM(AC72:OFFSET(AC72,$B$5-1,0))/($B$5-1))</f>
        <v>0.95819923277894403</v>
      </c>
      <c r="AE72" s="34">
        <f ca="1">SQRT($B$9*SUM(AC72:OFFSET(AC72,$B$6-1,0))/($B$6-1))</f>
        <v>0.69431805496978283</v>
      </c>
      <c r="AF72" s="34">
        <f ca="1">SQRT($B$9*SUM(AC72:OFFSET(AC72,$B$7-1,0))/($B$7-1))</f>
        <v>0.48302294105536159</v>
      </c>
      <c r="AG72" s="34">
        <f ca="1">SQRT($B$9*SUM(AC72:OFFSET(AC72,$B$8-1,0))/($B$8-1))</f>
        <v>0.28886734479352022</v>
      </c>
      <c r="AH72" s="1"/>
      <c r="AI72" s="1">
        <f t="shared" si="11"/>
        <v>-7.4934888320537851E-2</v>
      </c>
      <c r="AJ72" s="4">
        <f ca="1">SQRT($B$9)*_xlfn.STDEV.S(AI72:OFFSET(AI72,$B$5-1,0))</f>
        <v>0.88040159839894794</v>
      </c>
      <c r="AK72" s="4">
        <f ca="1">SQRT($B$9)*_xlfn.STDEV.S(AI72:OFFSET(AI72,$B$6-1,0))</f>
        <v>0.62662728805837797</v>
      </c>
      <c r="AL72" s="4">
        <f ca="1">SQRT($B$9)*_xlfn.STDEV.S(AI72:OFFSET(AI72,$B$7-1,0))</f>
        <v>0.46877621695488664</v>
      </c>
      <c r="AM72" s="4">
        <f ca="1">SQRT($B$9)*_xlfn.STDEV.S(AI72:OFFSET(AI72,$B$8-1,0))</f>
        <v>0.28678126348029248</v>
      </c>
    </row>
    <row r="73" spans="5:39" x14ac:dyDescent="0.2">
      <c r="E73" s="42">
        <v>45573</v>
      </c>
      <c r="F73" s="43">
        <v>3.1355776416187271</v>
      </c>
      <c r="G73" s="43">
        <v>3.1355776416187271</v>
      </c>
      <c r="H73" s="43">
        <v>2.8504360498340238</v>
      </c>
      <c r="I73" s="43">
        <v>2.918046942731428</v>
      </c>
      <c r="K73" s="3">
        <f t="shared" si="12"/>
        <v>9.0899883302418185E-3</v>
      </c>
      <c r="L73" s="3">
        <f ca="1">SQRT(AVERAGE(K73:OFFSET(K73,$B$5-1,0))*$B$9/(4*LN(2)))</f>
        <v>0.66183425995960476</v>
      </c>
      <c r="M73" s="3">
        <f ca="1">SQRT(AVERAGE(K73:OFFSET(K73,$B$6-1,0))*$B$9/(4*LN(2)))</f>
        <v>0.49275756468683718</v>
      </c>
      <c r="N73" s="3">
        <f ca="1">SQRT(AVERAGE(K73:OFFSET(K73,$B$7-1,0))*$B$9/(4*LN(2)))</f>
        <v>0.35504247008320272</v>
      </c>
      <c r="O73" s="3">
        <f ca="1">SQRT(AVERAGE(K73:OFFSET(K73,$B$8-1,0))*$B$9/(4*LN(2)))</f>
        <v>0.22423009824908002</v>
      </c>
      <c r="P73" s="1"/>
      <c r="Q73" s="5">
        <f t="shared" si="9"/>
        <v>2.5348414451559264E-3</v>
      </c>
      <c r="R73" s="5">
        <f ca="1">SQRT($B$9*AVERAGE((Q73:OFFSET(Q73,$B$5-1,0))))</f>
        <v>0.64272970847866395</v>
      </c>
      <c r="S73" s="5">
        <f ca="1">SQRT($B$9*AVERAGE((Q73:OFFSET(Q73,$B$6-1,0))))</f>
        <v>0.47345622202569804</v>
      </c>
      <c r="T73" s="5">
        <f ca="1">SQRT($B$9*AVERAGE((Q73:OFFSET(Q73,$B$7-1,0))))</f>
        <v>0.34207274596636489</v>
      </c>
      <c r="U73" s="5">
        <f ca="1">SQRT($B$9*AVERAGE((Q73:OFFSET(Q73,$B$8-1,0))))</f>
        <v>0.21873476778006018</v>
      </c>
      <c r="V73" s="1"/>
      <c r="W73" s="6">
        <f t="shared" si="10"/>
        <v>2.2350466994590619E-3</v>
      </c>
      <c r="X73" s="6">
        <f ca="1">SQRT($B$9*AVERAGE(W73:OFFSET(W73,$B$5-1,0)))</f>
        <v>0.62135584397166421</v>
      </c>
      <c r="Y73" s="6">
        <f ca="1">SQRT($B$9*AVERAGE(W73:OFFSET(W73,$B$6-1,0)))</f>
        <v>0.45548468834184552</v>
      </c>
      <c r="Z73" s="6">
        <f ca="1">SQRT($B$9*AVERAGE(W73:OFFSET(W73,$B$7-1,0)))</f>
        <v>0.32986562057265917</v>
      </c>
      <c r="AA73" s="6">
        <f ca="1">SQRT($B$9*AVERAGE(W73:OFFSET(W73,$B$8-1,0)))</f>
        <v>0.21272827156014679</v>
      </c>
      <c r="AB73" s="1"/>
      <c r="AC73" s="34">
        <f t="shared" si="5"/>
        <v>5.4955337314827307E-4</v>
      </c>
      <c r="AD73" s="34">
        <f ca="1">SQRT($B$9*SUM(AC73:OFFSET(AC73,$B$5-1,0))/($B$5-1))</f>
        <v>0.76373093576245321</v>
      </c>
      <c r="AE73" s="34">
        <f ca="1">SQRT($B$9*SUM(AC73:OFFSET(AC73,$B$6-1,0))/($B$6-1))</f>
        <v>0.57453383632462784</v>
      </c>
      <c r="AF73" s="34">
        <f ca="1">SQRT($B$9*SUM(AC73:OFFSET(AC73,$B$7-1,0))/($B$7-1))</f>
        <v>0.40531779959849995</v>
      </c>
      <c r="AG73" s="34">
        <f ca="1">SQRT($B$9*SUM(AC73:OFFSET(AC73,$B$8-1,0))/($B$8-1))</f>
        <v>0.24541447529324251</v>
      </c>
      <c r="AH73" s="1"/>
      <c r="AI73" s="1">
        <f t="shared" si="11"/>
        <v>2.3442554748752814E-2</v>
      </c>
      <c r="AJ73" s="4">
        <f ca="1">SQRT($B$9)*_xlfn.STDEV.S(AI73:OFFSET(AI73,$B$5-1,0))</f>
        <v>0.34160691519755781</v>
      </c>
      <c r="AK73" s="4">
        <f ca="1">SQRT($B$9)*_xlfn.STDEV.S(AI73:OFFSET(AI73,$B$6-1,0))</f>
        <v>0.37877619678219498</v>
      </c>
      <c r="AL73" s="4">
        <f ca="1">SQRT($B$9)*_xlfn.STDEV.S(AI73:OFFSET(AI73,$B$7-1,0))</f>
        <v>0.37082478078909903</v>
      </c>
      <c r="AM73" s="4">
        <f ca="1">SQRT($B$9)*_xlfn.STDEV.S(AI73:OFFSET(AI73,$B$8-1,0))</f>
        <v>0.23960842202168128</v>
      </c>
    </row>
    <row r="74" spans="5:39" x14ac:dyDescent="0.2">
      <c r="E74" s="42">
        <v>45565</v>
      </c>
      <c r="F74" s="43">
        <v>2.7446103044293921</v>
      </c>
      <c r="G74" s="43">
        <v>2.8847314302892286</v>
      </c>
      <c r="H74" s="43">
        <v>2.6672007314019295</v>
      </c>
      <c r="I74" s="43">
        <v>2.8504360498340238</v>
      </c>
      <c r="K74" s="3">
        <f t="shared" si="12"/>
        <v>6.1469201180118851E-3</v>
      </c>
      <c r="L74" s="3">
        <f ca="1">SQRT(AVERAGE(K74:OFFSET(K74,$B$5-1,0))*$B$9/(4*LN(2)))</f>
        <v>0.55792989902046297</v>
      </c>
      <c r="M74" s="3">
        <f ca="1">SQRT(AVERAGE(K74:OFFSET(K74,$B$6-1,0))*$B$9/(4*LN(2)))</f>
        <v>0.4040073949783054</v>
      </c>
      <c r="N74" s="3">
        <f ca="1">SQRT(AVERAGE(K74:OFFSET(K74,$B$7-1,0))*$B$9/(4*LN(2)))</f>
        <v>0.29577777284116469</v>
      </c>
      <c r="O74" s="3">
        <f ca="1">SQRT(AVERAGE(K74:OFFSET(K74,$B$8-1,0))*$B$9/(4*LN(2)))</f>
        <v>0.19343483569188558</v>
      </c>
      <c r="P74" s="1"/>
      <c r="Q74" s="5">
        <f t="shared" si="9"/>
        <v>2.5235181117448944E-3</v>
      </c>
      <c r="R74" s="5">
        <f ca="1">SQRT($B$9*AVERAGE((Q74:OFFSET(Q74,$B$5-1,0))))</f>
        <v>0.55372899185038704</v>
      </c>
      <c r="S74" s="5">
        <f ca="1">SQRT($B$9*AVERAGE((Q74:OFFSET(Q74,$B$6-1,0))))</f>
        <v>0.40378590947903964</v>
      </c>
      <c r="T74" s="5">
        <f ca="1">SQRT($B$9*AVERAGE((Q74:OFFSET(Q74,$B$7-1,0))))</f>
        <v>0.29593808341254335</v>
      </c>
      <c r="U74" s="5">
        <f ca="1">SQRT($B$9*AVERAGE((Q74:OFFSET(Q74,$B$8-1,0))))</f>
        <v>0.19524068231362124</v>
      </c>
      <c r="V74" s="1"/>
      <c r="W74" s="6">
        <f t="shared" si="10"/>
        <v>2.4964039641660902E-3</v>
      </c>
      <c r="X74" s="6">
        <f ca="1">SQRT($B$9*AVERAGE(W74:OFFSET(W74,$B$5-1,0)))</f>
        <v>0.53535999276921109</v>
      </c>
      <c r="Y74" s="6">
        <f ca="1">SQRT($B$9*AVERAGE(W74:OFFSET(W74,$B$6-1,0)))</f>
        <v>0.3925826425178931</v>
      </c>
      <c r="Z74" s="6">
        <f ca="1">SQRT($B$9*AVERAGE(W74:OFFSET(W74,$B$7-1,0)))</f>
        <v>0.28839187471240901</v>
      </c>
      <c r="AA74" s="6">
        <f ca="1">SQRT($B$9*AVERAGE(W74:OFFSET(W74,$B$8-1,0)))</f>
        <v>0.1918540053926332</v>
      </c>
      <c r="AB74" s="1"/>
      <c r="AC74" s="34">
        <f t="shared" si="5"/>
        <v>4.3175401109296213E-3</v>
      </c>
      <c r="AD74" s="34">
        <f ca="1">SQRT($B$9*SUM(AC74:OFFSET(AC74,$B$5-1,0))/($B$5-1))</f>
        <v>0.83910593347085838</v>
      </c>
      <c r="AE74" s="34">
        <f ca="1">SQRT($B$9*SUM(AC74:OFFSET(AC74,$B$6-1,0))/($B$6-1))</f>
        <v>0.56147870135452793</v>
      </c>
      <c r="AF74" s="34">
        <f ca="1">SQRT($B$9*SUM(AC74:OFFSET(AC74,$B$7-1,0))/($B$7-1))</f>
        <v>0.39782361876103561</v>
      </c>
      <c r="AG74" s="34">
        <f ca="1">SQRT($B$9*SUM(AC74:OFFSET(AC74,$B$8-1,0))/($B$8-1))</f>
        <v>0.2412971308149704</v>
      </c>
      <c r="AH74" s="1"/>
      <c r="AI74" s="1">
        <f t="shared" si="11"/>
        <v>6.5707991225798568E-2</v>
      </c>
      <c r="AJ74" s="4">
        <f ca="1">SQRT($B$9)*_xlfn.STDEV.S(AI74:OFFSET(AI74,$B$5-1,0))</f>
        <v>0.31731690356559533</v>
      </c>
      <c r="AK74" s="4">
        <f ca="1">SQRT($B$9)*_xlfn.STDEV.S(AI74:OFFSET(AI74,$B$6-1,0))</f>
        <v>0.40419962938228177</v>
      </c>
      <c r="AL74" s="4">
        <f ca="1">SQRT($B$9)*_xlfn.STDEV.S(AI74:OFFSET(AI74,$B$7-1,0))</f>
        <v>0.36759829540523753</v>
      </c>
      <c r="AM74" s="4">
        <f ca="1">SQRT($B$9)*_xlfn.STDEV.S(AI74:OFFSET(AI74,$B$8-1,0))</f>
        <v>0.23711188278358644</v>
      </c>
    </row>
    <row r="75" spans="5:39" x14ac:dyDescent="0.2">
      <c r="E75" s="42">
        <v>45562</v>
      </c>
      <c r="F75" s="43">
        <v>2.6074287826085727</v>
      </c>
      <c r="G75" s="43">
        <v>2.7612680606504916</v>
      </c>
      <c r="H75" s="43">
        <v>2.5554957779192624</v>
      </c>
      <c r="I75" s="43">
        <v>2.6691604674279414</v>
      </c>
      <c r="K75" s="3">
        <f t="shared" si="12"/>
        <v>5.9975374207517406E-3</v>
      </c>
      <c r="L75" s="3">
        <f ca="1">SQRT(AVERAGE(K75:OFFSET(K75,$B$5-1,0))*$B$9/(4*LN(2)))</f>
        <v>0.45224404510477417</v>
      </c>
      <c r="M75" s="3">
        <f ca="1">SQRT(AVERAGE(K75:OFFSET(K75,$B$6-1,0))*$B$9/(4*LN(2)))</f>
        <v>0.33111603008432106</v>
      </c>
      <c r="N75" s="3">
        <f ca="1">SQRT(AVERAGE(K75:OFFSET(K75,$B$7-1,0))*$B$9/(4*LN(2)))</f>
        <v>0.24622929596737875</v>
      </c>
      <c r="O75" s="3">
        <f ca="1">SQRT(AVERAGE(K75:OFFSET(K75,$B$8-1,0))*$B$9/(4*LN(2)))</f>
        <v>0.168764807167749</v>
      </c>
      <c r="P75" s="1"/>
      <c r="Q75" s="5">
        <f t="shared" si="9"/>
        <v>2.7946699994184565E-3</v>
      </c>
      <c r="R75" s="5">
        <f ca="1">SQRT($B$9*AVERAGE((Q75:OFFSET(Q75,$B$5-1,0))))</f>
        <v>0.43045402203753907</v>
      </c>
      <c r="S75" s="5">
        <f ca="1">SQRT($B$9*AVERAGE((Q75:OFFSET(Q75,$B$6-1,0))))</f>
        <v>0.31940313674792048</v>
      </c>
      <c r="T75" s="5">
        <f ca="1">SQRT($B$9*AVERAGE((Q75:OFFSET(Q75,$B$7-1,0))))</f>
        <v>0.23859161108706767</v>
      </c>
      <c r="U75" s="5">
        <f ca="1">SQRT($B$9*AVERAGE((Q75:OFFSET(Q75,$B$8-1,0))))</f>
        <v>0.16718833356180252</v>
      </c>
      <c r="V75" s="1"/>
      <c r="W75" s="6">
        <f t="shared" si="10"/>
        <v>2.8203288125991316E-3</v>
      </c>
      <c r="X75" s="6">
        <f ca="1">SQRT($B$9*AVERAGE(W75:OFFSET(W75,$B$5-1,0)))</f>
        <v>0.40872781840406508</v>
      </c>
      <c r="Y75" s="6">
        <f ca="1">SQRT($B$9*AVERAGE(W75:OFFSET(W75,$B$6-1,0)))</f>
        <v>0.30623214798439025</v>
      </c>
      <c r="Z75" s="6">
        <f ca="1">SQRT($B$9*AVERAGE(W75:OFFSET(W75,$B$7-1,0)))</f>
        <v>0.22979798294003395</v>
      </c>
      <c r="AA75" s="6">
        <f ca="1">SQRT($B$9*AVERAGE(W75:OFFSET(W75,$B$8-1,0)))</f>
        <v>0.1636360055210985</v>
      </c>
      <c r="AB75" s="1"/>
      <c r="AC75" s="34">
        <f t="shared" si="5"/>
        <v>1.5753533175884536E-3</v>
      </c>
      <c r="AD75" s="34">
        <f ca="1">SQRT($B$9*SUM(AC75:OFFSET(AC75,$B$5-1,0))/($B$5-1))</f>
        <v>0.66347865799678829</v>
      </c>
      <c r="AE75" s="34">
        <f ca="1">SQRT($B$9*SUM(AC75:OFFSET(AC75,$B$6-1,0))/($B$6-1))</f>
        <v>0.44524038599868465</v>
      </c>
      <c r="AF75" s="34">
        <f ca="1">SQRT($B$9*SUM(AC75:OFFSET(AC75,$B$7-1,0))/($B$7-1))</f>
        <v>0.321672214763631</v>
      </c>
      <c r="AG75" s="34">
        <f ca="1">SQRT($B$9*SUM(AC75:OFFSET(AC75,$B$8-1,0))/($B$8-1))</f>
        <v>0.20084701830552629</v>
      </c>
      <c r="AH75" s="1"/>
      <c r="AI75" s="1">
        <f t="shared" si="11"/>
        <v>3.9690720799557842E-2</v>
      </c>
      <c r="AJ75" s="4">
        <f ca="1">SQRT($B$9)*_xlfn.STDEV.S(AI75:OFFSET(AI75,$B$5-1,0))</f>
        <v>0.35995625672530135</v>
      </c>
      <c r="AK75" s="4">
        <f ca="1">SQRT($B$9)*_xlfn.STDEV.S(AI75:OFFSET(AI75,$B$6-1,0))</f>
        <v>0.35083719012016512</v>
      </c>
      <c r="AL75" s="4">
        <f ca="1">SQRT($B$9)*_xlfn.STDEV.S(AI75:OFFSET(AI75,$B$7-1,0))</f>
        <v>0.30802627131038307</v>
      </c>
      <c r="AM75" s="4">
        <f ca="1">SQRT($B$9)*_xlfn.STDEV.S(AI75:OFFSET(AI75,$B$8-1,0))</f>
        <v>0.19907722546351236</v>
      </c>
    </row>
    <row r="76" spans="5:39" x14ac:dyDescent="0.2">
      <c r="E76" s="42">
        <v>45561</v>
      </c>
      <c r="F76" s="43">
        <v>2.4271330682154955</v>
      </c>
      <c r="G76" s="43">
        <v>2.5672541940753328</v>
      </c>
      <c r="H76" s="43">
        <v>2.4271330682154955</v>
      </c>
      <c r="I76" s="43">
        <v>2.5652944580493209</v>
      </c>
      <c r="K76" s="3">
        <f t="shared" si="12"/>
        <v>3.1501466519466698E-3</v>
      </c>
      <c r="L76" s="3">
        <f ca="1">SQRT(AVERAGE(K76:OFFSET(K76,$B$5-1,0))*$B$9/(4*LN(2)))</f>
        <v>0.31890538973025534</v>
      </c>
      <c r="M76" s="3">
        <f ca="1">SQRT(AVERAGE(K76:OFFSET(K76,$B$6-1,0))*$B$9/(4*LN(2)))</f>
        <v>0.23911828240540142</v>
      </c>
      <c r="N76" s="3">
        <f ca="1">SQRT(AVERAGE(K76:OFFSET(K76,$B$7-1,0))*$B$9/(4*LN(2)))</f>
        <v>0.18610760787330505</v>
      </c>
      <c r="O76" s="3">
        <f ca="1">SQRT(AVERAGE(K76:OFFSET(K76,$B$8-1,0))*$B$9/(4*LN(2)))</f>
        <v>0.14032043856608245</v>
      </c>
      <c r="P76" s="1"/>
      <c r="Q76" s="5">
        <f t="shared" si="9"/>
        <v>3.7678833357023813E-4</v>
      </c>
      <c r="R76" s="5">
        <f ca="1">SQRT($B$9*AVERAGE((Q76:OFFSET(Q76,$B$5-1,0))))</f>
        <v>0.22921302329195337</v>
      </c>
      <c r="S76" s="5">
        <f ca="1">SQRT($B$9*AVERAGE((Q76:OFFSET(Q76,$B$6-1,0))))</f>
        <v>0.18479977113943841</v>
      </c>
      <c r="T76" s="5">
        <f ca="1">SQRT($B$9*AVERAGE((Q76:OFFSET(Q76,$B$7-1,0))))</f>
        <v>0.15250681099659766</v>
      </c>
      <c r="U76" s="5">
        <f ca="1">SQRT($B$9*AVERAGE((Q76:OFFSET(Q76,$B$8-1,0))))</f>
        <v>0.12883147316187052</v>
      </c>
      <c r="V76" s="1"/>
      <c r="W76" s="6">
        <f t="shared" si="10"/>
        <v>4.2860763645164728E-5</v>
      </c>
      <c r="X76" s="6">
        <f ca="1">SQRT($B$9*AVERAGE(W76:OFFSET(W76,$B$5-1,0)))</f>
        <v>0.18260282732653657</v>
      </c>
      <c r="Y76" s="6">
        <f ca="1">SQRT($B$9*AVERAGE(W76:OFFSET(W76,$B$6-1,0)))</f>
        <v>0.15904968545395878</v>
      </c>
      <c r="Z76" s="6">
        <f ca="1">SQRT($B$9*AVERAGE(W76:OFFSET(W76,$B$7-1,0)))</f>
        <v>0.13724435594284351</v>
      </c>
      <c r="AA76" s="6">
        <f ca="1">SQRT($B$9*AVERAGE(W76:OFFSET(W76,$B$8-1,0)))</f>
        <v>0.12381158231430801</v>
      </c>
      <c r="AB76" s="1"/>
      <c r="AC76" s="34">
        <f t="shared" si="5"/>
        <v>2.9324507262022828E-3</v>
      </c>
      <c r="AD76" s="34">
        <f ca="1">SQRT($B$9*SUM(AC76:OFFSET(AC76,$B$5-1,0))/($B$5-1))</f>
        <v>0.58642600305246895</v>
      </c>
      <c r="AE76" s="34">
        <f ca="1">SQRT($B$9*SUM(AC76:OFFSET(AC76,$B$6-1,0))/($B$6-1))</f>
        <v>0.39541223224194194</v>
      </c>
      <c r="AF76" s="34">
        <f ca="1">SQRT($B$9*SUM(AC76:OFFSET(AC76,$B$7-1,0))/($B$7-1))</f>
        <v>0.28946071347800462</v>
      </c>
      <c r="AG76" s="34">
        <f ca="1">SQRT($B$9*SUM(AC76:OFFSET(AC76,$B$8-1,0))/($B$8-1))</f>
        <v>0.18384178893460301</v>
      </c>
      <c r="AH76" s="1"/>
      <c r="AI76" s="1">
        <f t="shared" si="11"/>
        <v>5.4152107310817398E-2</v>
      </c>
      <c r="AJ76" s="4">
        <f ca="1">SQRT($B$9)*_xlfn.STDEV.S(AI76:OFFSET(AI76,$B$5-1,0))</f>
        <v>0.40463341960972427</v>
      </c>
      <c r="AK76" s="4">
        <f ca="1">SQRT($B$9)*_xlfn.STDEV.S(AI76:OFFSET(AI76,$B$6-1,0))</f>
        <v>0.3418784050684599</v>
      </c>
      <c r="AL76" s="4">
        <f ca="1">SQRT($B$9)*_xlfn.STDEV.S(AI76:OFFSET(AI76,$B$7-1,0))</f>
        <v>0.28414421009905888</v>
      </c>
      <c r="AM76" s="4">
        <f ca="1">SQRT($B$9)*_xlfn.STDEV.S(AI76:OFFSET(AI76,$B$8-1,0))</f>
        <v>0.18312994446229747</v>
      </c>
    </row>
    <row r="77" spans="5:39" x14ac:dyDescent="0.2">
      <c r="E77" s="42">
        <v>45560</v>
      </c>
      <c r="F77" s="43">
        <v>2.4349720123195424</v>
      </c>
      <c r="G77" s="43">
        <v>2.4731868648267707</v>
      </c>
      <c r="H77" s="43">
        <v>2.4241934641764784</v>
      </c>
      <c r="I77" s="43">
        <v>2.4300726722545134</v>
      </c>
      <c r="K77" s="3">
        <f t="shared" si="12"/>
        <v>4.0034690352800761E-4</v>
      </c>
      <c r="L77" s="3">
        <f ca="1">SQRT(AVERAGE(K77:OFFSET(K77,$B$5-1,0))*$B$9/(4*LN(2)))</f>
        <v>0.2296731826452113</v>
      </c>
      <c r="M77" s="3">
        <f ca="1">SQRT(AVERAGE(K77:OFFSET(K77,$B$6-1,0))*$B$9/(4*LN(2)))</f>
        <v>0.17320247669927677</v>
      </c>
      <c r="N77" s="3">
        <f ca="1">SQRT(AVERAGE(K77:OFFSET(K77,$B$7-1,0))*$B$9/(4*LN(2)))</f>
        <v>0.14451528212789783</v>
      </c>
      <c r="O77" s="3">
        <f ca="1">SQRT(AVERAGE(K77:OFFSET(K77,$B$8-1,0))*$B$9/(4*LN(2)))</f>
        <v>0.12316055210661553</v>
      </c>
      <c r="P77" s="1"/>
      <c r="Q77" s="5">
        <f t="shared" si="9"/>
        <v>2.0082452156086072E-4</v>
      </c>
      <c r="R77" s="5">
        <f ca="1">SQRT($B$9*AVERAGE((Q77:OFFSET(Q77,$B$5-1,0))))</f>
        <v>0.20736538658188652</v>
      </c>
      <c r="S77" s="5">
        <f ca="1">SQRT($B$9*AVERAGE((Q77:OFFSET(Q77,$B$6-1,0))))</f>
        <v>0.16071059560482231</v>
      </c>
      <c r="T77" s="5">
        <f ca="1">SQRT($B$9*AVERAGE((Q77:OFFSET(Q77,$B$7-1,0))))</f>
        <v>0.13735859956431767</v>
      </c>
      <c r="U77" s="5">
        <f ca="1">SQRT($B$9*AVERAGE((Q77:OFFSET(Q77,$B$8-1,0))))</f>
        <v>0.12314008618441405</v>
      </c>
      <c r="V77" s="1"/>
      <c r="W77" s="6">
        <f t="shared" si="10"/>
        <v>2.8460638947216602E-4</v>
      </c>
      <c r="X77" s="6">
        <f ca="1">SQRT($B$9*AVERAGE(W77:OFFSET(W77,$B$5-1,0)))</f>
        <v>0.20172216697745854</v>
      </c>
      <c r="Y77" s="6">
        <f ca="1">SQRT($B$9*AVERAGE(W77:OFFSET(W77,$B$6-1,0)))</f>
        <v>0.15870348677029536</v>
      </c>
      <c r="Z77" s="6">
        <f ca="1">SQRT($B$9*AVERAGE(W77:OFFSET(W77,$B$7-1,0)))</f>
        <v>0.13615110444223957</v>
      </c>
      <c r="AA77" s="6">
        <f ca="1">SQRT($B$9*AVERAGE(W77:OFFSET(W77,$B$8-1,0)))</f>
        <v>0.12349133000230846</v>
      </c>
      <c r="AB77" s="1"/>
      <c r="AC77" s="34">
        <f t="shared" si="5"/>
        <v>1.4812193728389855E-4</v>
      </c>
      <c r="AD77" s="34">
        <f ca="1">SQRT($B$9*SUM(AC77:OFFSET(AC77,$B$5-1,0))/($B$5-1))</f>
        <v>0.40807933490945569</v>
      </c>
      <c r="AE77" s="34">
        <f ca="1">SQRT($B$9*SUM(AC77:OFFSET(AC77,$B$6-1,0))/($B$6-1))</f>
        <v>0.27663706103741231</v>
      </c>
      <c r="AF77" s="34">
        <f ca="1">SQRT($B$9*SUM(AC77:OFFSET(AC77,$B$7-1,0))/($B$7-1))</f>
        <v>0.21443639256381222</v>
      </c>
      <c r="AG77" s="34">
        <f ca="1">SQRT($B$9*SUM(AC77:OFFSET(AC77,$B$8-1,0))/($B$8-1))</f>
        <v>0.14737642694566547</v>
      </c>
      <c r="AH77" s="1"/>
      <c r="AI77" s="1">
        <f t="shared" si="11"/>
        <v>1.2170535620255114E-2</v>
      </c>
      <c r="AJ77" s="4">
        <f ca="1">SQRT($B$9)*_xlfn.STDEV.S(AI77:OFFSET(AI77,$B$5-1,0))</f>
        <v>0.31769476059578394</v>
      </c>
      <c r="AK77" s="4">
        <f ca="1">SQRT($B$9)*_xlfn.STDEV.S(AI77:OFFSET(AI77,$B$6-1,0))</f>
        <v>0.25381160024228816</v>
      </c>
      <c r="AL77" s="4">
        <f ca="1">SQRT($B$9)*_xlfn.STDEV.S(AI77:OFFSET(AI77,$B$7-1,0))</f>
        <v>0.21407765351734992</v>
      </c>
      <c r="AM77" s="4">
        <f ca="1">SQRT($B$9)*_xlfn.STDEV.S(AI77:OFFSET(AI77,$B$8-1,0))</f>
        <v>0.14734164327255095</v>
      </c>
    </row>
    <row r="78" spans="5:39" x14ac:dyDescent="0.2">
      <c r="E78" s="42">
        <v>45559</v>
      </c>
      <c r="F78" s="43">
        <v>2.3085690386417874</v>
      </c>
      <c r="G78" s="43">
        <v>2.400676631864338</v>
      </c>
      <c r="H78" s="43">
        <v>2.2977904904987234</v>
      </c>
      <c r="I78" s="43">
        <v>2.400676631864338</v>
      </c>
      <c r="K78" s="3">
        <f t="shared" si="12"/>
        <v>1.9186697517535687E-3</v>
      </c>
      <c r="L78" s="3">
        <f ca="1">SQRT(AVERAGE(K78:OFFSET(K78,$B$5-1,0))*$B$9/(4*LN(2)))</f>
        <v>0.21816380876746563</v>
      </c>
      <c r="M78" s="3">
        <f ca="1">SQRT(AVERAGE(K78:OFFSET(K78,$B$6-1,0))*$B$9/(4*LN(2)))</f>
        <v>0.16835887193764948</v>
      </c>
      <c r="N78" s="3">
        <f ca="1">SQRT(AVERAGE(K78:OFFSET(K78,$B$7-1,0))*$B$9/(4*LN(2)))</f>
        <v>0.13955082535479524</v>
      </c>
      <c r="O78" s="3">
        <f ca="1">SQRT(AVERAGE(K78:OFFSET(K78,$B$8-1,0))*$B$9/(4*LN(2)))</f>
        <v>0.12128230323277014</v>
      </c>
      <c r="P78" s="1"/>
      <c r="Q78" s="5">
        <f t="shared" si="9"/>
        <v>3.6166426667791677E-4</v>
      </c>
      <c r="R78" s="5">
        <f ca="1">SQRT($B$9*AVERAGE((Q78:OFFSET(Q78,$B$5-1,0))))</f>
        <v>0.18767021657318375</v>
      </c>
      <c r="S78" s="5">
        <f ca="1">SQRT($B$9*AVERAGE((Q78:OFFSET(Q78,$B$6-1,0))))</f>
        <v>0.15030494651601783</v>
      </c>
      <c r="T78" s="5">
        <f ca="1">SQRT($B$9*AVERAGE((Q78:OFFSET(Q78,$B$7-1,0))))</f>
        <v>0.12994722841855411</v>
      </c>
      <c r="U78" s="5">
        <f ca="1">SQRT($B$9*AVERAGE((Q78:OFFSET(Q78,$B$8-1,0))))</f>
        <v>0.12040819460863075</v>
      </c>
      <c r="V78" s="1"/>
      <c r="W78" s="6">
        <f t="shared" si="10"/>
        <v>2.0499031211437973E-4</v>
      </c>
      <c r="X78" s="6">
        <f ca="1">SQRT($B$9*AVERAGE(W78:OFFSET(W78,$B$5-1,0)))</f>
        <v>0.16985145801551782</v>
      </c>
      <c r="Y78" s="6">
        <f ca="1">SQRT($B$9*AVERAGE(W78:OFFSET(W78,$B$6-1,0)))</f>
        <v>0.14032287768682675</v>
      </c>
      <c r="Z78" s="6">
        <f ca="1">SQRT($B$9*AVERAGE(W78:OFFSET(W78,$B$7-1,0)))</f>
        <v>0.12469294834612478</v>
      </c>
      <c r="AA78" s="6">
        <f ca="1">SQRT($B$9*AVERAGE(W78:OFFSET(W78,$B$8-1,0)))</f>
        <v>0.1193225562263947</v>
      </c>
      <c r="AB78" s="1"/>
      <c r="AC78" s="34">
        <f t="shared" si="5"/>
        <v>2.5220239910324874E-3</v>
      </c>
      <c r="AD78" s="34">
        <f ca="1">SQRT($B$9*SUM(AC78:OFFSET(AC78,$B$5-1,0))/($B$5-1))</f>
        <v>0.39926882947917386</v>
      </c>
      <c r="AE78" s="34">
        <f ca="1">SQRT($B$9*SUM(AC78:OFFSET(AC78,$B$6-1,0))/($B$6-1))</f>
        <v>0.2780145408523505</v>
      </c>
      <c r="AF78" s="34">
        <f ca="1">SQRT($B$9*SUM(AC78:OFFSET(AC78,$B$7-1,0))/($B$7-1))</f>
        <v>0.20998192804810445</v>
      </c>
      <c r="AG78" s="34">
        <f ca="1">SQRT($B$9*SUM(AC78:OFFSET(AC78,$B$8-1,0))/($B$8-1))</f>
        <v>0.14546811029903062</v>
      </c>
      <c r="AH78" s="1"/>
      <c r="AI78" s="1">
        <f t="shared" si="11"/>
        <v>5.0219756979026565E-2</v>
      </c>
      <c r="AJ78" s="4">
        <f ca="1">SQRT($B$9)*_xlfn.STDEV.S(AI78:OFFSET(AI78,$B$5-1,0))</f>
        <v>0.32400119419991591</v>
      </c>
      <c r="AK78" s="4">
        <f ca="1">SQRT($B$9)*_xlfn.STDEV.S(AI78:OFFSET(AI78,$B$6-1,0))</f>
        <v>0.26955643219254199</v>
      </c>
      <c r="AL78" s="4">
        <f ca="1">SQRT($B$9)*_xlfn.STDEV.S(AI78:OFFSET(AI78,$B$7-1,0))</f>
        <v>0.20997552079162782</v>
      </c>
      <c r="AM78" s="4">
        <f ca="1">SQRT($B$9)*_xlfn.STDEV.S(AI78:OFFSET(AI78,$B$8-1,0))</f>
        <v>0.14546488833636287</v>
      </c>
    </row>
    <row r="79" spans="5:39" x14ac:dyDescent="0.2">
      <c r="E79" s="42">
        <v>45558</v>
      </c>
      <c r="F79" s="43">
        <v>2.274273658186583</v>
      </c>
      <c r="G79" s="43">
        <v>2.2958307544727115</v>
      </c>
      <c r="H79" s="43">
        <v>2.272313922160571</v>
      </c>
      <c r="I79" s="43">
        <v>2.2830924703036355</v>
      </c>
      <c r="K79" s="3">
        <f t="shared" si="12"/>
        <v>1.0600970099687067E-4</v>
      </c>
      <c r="L79" s="3">
        <f ca="1">SQRT(AVERAGE(K79:OFFSET(K79,$B$5-1,0))*$B$9/(4*LN(2)))</f>
        <v>0.12311855332698181</v>
      </c>
      <c r="M79" s="3">
        <f ca="1">SQRT(AVERAGE(K79:OFFSET(K79,$B$6-1,0))*$B$9/(4*LN(2)))</f>
        <v>0.11319666674154655</v>
      </c>
      <c r="N79" s="3">
        <f ca="1">SQRT(AVERAGE(K79:OFFSET(K79,$B$7-1,0))*$B$9/(4*LN(2)))</f>
        <v>0.10641871424398505</v>
      </c>
      <c r="O79" s="3">
        <f ca="1">SQRT(AVERAGE(K79:OFFSET(K79,$B$8-1,0))*$B$9/(4*LN(2)))</f>
        <v>0.10983663044005358</v>
      </c>
      <c r="P79" s="1"/>
      <c r="Q79" s="5">
        <f t="shared" si="9"/>
        <v>4.7495023431592995E-5</v>
      </c>
      <c r="R79" s="5">
        <f ca="1">SQRT($B$9*AVERAGE((Q79:OFFSET(Q79,$B$5-1,0))))</f>
        <v>0.13953610633805277</v>
      </c>
      <c r="S79" s="5">
        <f ca="1">SQRT($B$9*AVERAGE((Q79:OFFSET(Q79,$B$6-1,0))))</f>
        <v>0.12419396821283145</v>
      </c>
      <c r="T79" s="5">
        <f ca="1">SQRT($B$9*AVERAGE((Q79:OFFSET(Q79,$B$7-1,0))))</f>
        <v>0.1128251316275473</v>
      </c>
      <c r="U79" s="5">
        <f ca="1">SQRT($B$9*AVERAGE((Q79:OFFSET(Q79,$B$8-1,0))))</f>
        <v>0.11500928746403975</v>
      </c>
      <c r="V79" s="1"/>
      <c r="W79" s="6">
        <f t="shared" si="10"/>
        <v>5.6569427012961191E-5</v>
      </c>
      <c r="X79" s="6">
        <f ca="1">SQRT($B$9*AVERAGE(W79:OFFSET(W79,$B$5-1,0)))</f>
        <v>0.147078008399672</v>
      </c>
      <c r="Y79" s="6">
        <f ca="1">SQRT($B$9*AVERAGE(W79:OFFSET(W79,$B$6-1,0)))</f>
        <v>0.12897939143484177</v>
      </c>
      <c r="Z79" s="6">
        <f ca="1">SQRT($B$9*AVERAGE(W79:OFFSET(W79,$B$7-1,0)))</f>
        <v>0.11516743109821874</v>
      </c>
      <c r="AA79" s="6">
        <f ca="1">SQRT($B$9*AVERAGE(W79:OFFSET(W79,$B$8-1,0)))</f>
        <v>0.11673345450018865</v>
      </c>
      <c r="AB79" s="1"/>
      <c r="AC79" s="34">
        <f t="shared" si="5"/>
        <v>9.0529604189046758E-6</v>
      </c>
      <c r="AD79" s="34">
        <f ca="1">SQRT($B$9*SUM(AC79:OFFSET(AC79,$B$5-1,0))/($B$5-1))</f>
        <v>7.2335880323845386E-2</v>
      </c>
      <c r="AE79" s="34">
        <f ca="1">SQRT($B$9*SUM(AC79:OFFSET(AC79,$B$6-1,0))/($B$6-1))</f>
        <v>9.6073682927937096E-2</v>
      </c>
      <c r="AF79" s="34">
        <f ca="1">SQRT($B$9*SUM(AC79:OFFSET(AC79,$B$7-1,0))/($B$7-1))</f>
        <v>0.10981757104531616</v>
      </c>
      <c r="AG79" s="34">
        <f ca="1">SQRT($B$9*SUM(AC79:OFFSET(AC79,$B$8-1,0))/($B$8-1))</f>
        <v>0.10354905380708032</v>
      </c>
      <c r="AH79" s="1"/>
      <c r="AI79" s="1">
        <f t="shared" si="11"/>
        <v>3.0088137893370332E-3</v>
      </c>
      <c r="AJ79" s="4">
        <f ca="1">SQRT($B$9)*_xlfn.STDEV.S(AI79:OFFSET(AI79,$B$5-1,0))</f>
        <v>5.2344566413235587E-2</v>
      </c>
      <c r="AK79" s="4">
        <f ca="1">SQRT($B$9)*_xlfn.STDEV.S(AI79:OFFSET(AI79,$B$6-1,0))</f>
        <v>9.3400485879673797E-2</v>
      </c>
      <c r="AL79" s="4">
        <f ca="1">SQRT($B$9)*_xlfn.STDEV.S(AI79:OFFSET(AI79,$B$7-1,0))</f>
        <v>0.10450520418740175</v>
      </c>
      <c r="AM79" s="4">
        <f ca="1">SQRT($B$9)*_xlfn.STDEV.S(AI79:OFFSET(AI79,$B$8-1,0))</f>
        <v>0.10290983372243995</v>
      </c>
    </row>
    <row r="80" spans="5:39" x14ac:dyDescent="0.2">
      <c r="E80" s="42">
        <v>45555</v>
      </c>
      <c r="F80" s="43">
        <v>2.2683944501085476</v>
      </c>
      <c r="G80" s="43">
        <v>2.2830924703036355</v>
      </c>
      <c r="H80" s="43">
        <v>2.2527165619004541</v>
      </c>
      <c r="I80" s="43">
        <v>2.2762333942125945</v>
      </c>
      <c r="K80" s="3">
        <f t="shared" si="12"/>
        <v>1.7939981988685191E-4</v>
      </c>
      <c r="L80" s="3">
        <f ca="1">SQRT(AVERAGE(K80:OFFSET(K80,$B$5-1,0))*$B$9/(4*LN(2)))</f>
        <v>0.12145358959237477</v>
      </c>
      <c r="M80" s="3">
        <f ca="1">SQRT(AVERAGE(K80:OFFSET(K80,$B$6-1,0))*$B$9/(4*LN(2)))</f>
        <v>0.11082356163214872</v>
      </c>
      <c r="N80" s="3">
        <f ca="1">SQRT(AVERAGE(K80:OFFSET(K80,$B$7-1,0))*$B$9/(4*LN(2)))</f>
        <v>0.10500192853783431</v>
      </c>
      <c r="O80" s="3">
        <f ca="1">SQRT(AVERAGE(K80:OFFSET(K80,$B$8-1,0))*$B$9/(4*LN(2)))</f>
        <v>0.10949323999864556</v>
      </c>
      <c r="P80" s="1"/>
      <c r="Q80" s="5">
        <f t="shared" si="9"/>
        <v>8.5444386323423071E-5</v>
      </c>
      <c r="R80" s="5">
        <f ca="1">SQRT($B$9*AVERAGE((Q80:OFFSET(Q80,$B$5-1,0))))</f>
        <v>0.1369162606870617</v>
      </c>
      <c r="S80" s="5">
        <f ca="1">SQRT($B$9*AVERAGE((Q80:OFFSET(Q80,$B$6-1,0))))</f>
        <v>0.12172751912747935</v>
      </c>
      <c r="T80" s="5">
        <f ca="1">SQRT($B$9*AVERAGE((Q80:OFFSET(Q80,$B$7-1,0))))</f>
        <v>0.11126409489037392</v>
      </c>
      <c r="U80" s="5">
        <f ca="1">SQRT($B$9*AVERAGE((Q80:OFFSET(Q80,$B$8-1,0))))</f>
        <v>0.114652255076444</v>
      </c>
      <c r="V80" s="1"/>
      <c r="W80" s="6">
        <f t="shared" si="10"/>
        <v>9.1458669952163872E-5</v>
      </c>
      <c r="X80" s="6">
        <f ca="1">SQRT($B$9*AVERAGE(W80:OFFSET(W80,$B$5-1,0)))</f>
        <v>0.14317062331679842</v>
      </c>
      <c r="Y80" s="6">
        <f ca="1">SQRT($B$9*AVERAGE(W80:OFFSET(W80,$B$6-1,0)))</f>
        <v>0.12584609319111201</v>
      </c>
      <c r="Z80" s="6">
        <f ca="1">SQRT($B$9*AVERAGE(W80:OFFSET(W80,$B$7-1,0)))</f>
        <v>0.11325497057593639</v>
      </c>
      <c r="AA80" s="6">
        <f ca="1">SQRT($B$9*AVERAGE(W80:OFFSET(W80,$B$8-1,0)))</f>
        <v>0.11636618689676057</v>
      </c>
      <c r="AB80" s="1"/>
      <c r="AC80" s="34">
        <f t="shared" si="5"/>
        <v>2.9700921007001776E-6</v>
      </c>
      <c r="AD80" s="34">
        <f ca="1">SQRT($B$9*SUM(AC80:OFFSET(AC80,$B$5-1,0))/($B$5-1))</f>
        <v>7.6379469508243689E-2</v>
      </c>
      <c r="AE80" s="34">
        <f ca="1">SQRT($B$9*SUM(AC80:OFFSET(AC80,$B$6-1,0))/($B$6-1))</f>
        <v>9.5014109614344311E-2</v>
      </c>
      <c r="AF80" s="34">
        <f ca="1">SQRT($B$9*SUM(AC80:OFFSET(AC80,$B$7-1,0))/($B$7-1))</f>
        <v>0.10944478392815994</v>
      </c>
      <c r="AG80" s="34">
        <f ca="1">SQRT($B$9*SUM(AC80:OFFSET(AC80,$B$8-1,0))/($B$8-1))</f>
        <v>0.10353289651680052</v>
      </c>
      <c r="AH80" s="1"/>
      <c r="AI80" s="1">
        <f t="shared" si="11"/>
        <v>1.7233955148775854E-3</v>
      </c>
      <c r="AJ80" s="4">
        <f ca="1">SQRT($B$9)*_xlfn.STDEV.S(AI80:OFFSET(AI80,$B$5-1,0))</f>
        <v>7.2447632596815012E-2</v>
      </c>
      <c r="AK80" s="4">
        <f ca="1">SQRT($B$9)*_xlfn.STDEV.S(AI80:OFFSET(AI80,$B$6-1,0))</f>
        <v>9.1563601072642345E-2</v>
      </c>
      <c r="AL80" s="4">
        <f ca="1">SQRT($B$9)*_xlfn.STDEV.S(AI80:OFFSET(AI80,$B$7-1,0))</f>
        <v>0.10375276136845428</v>
      </c>
      <c r="AM80" s="4">
        <f ca="1">SQRT($B$9)*_xlfn.STDEV.S(AI80:OFFSET(AI80,$B$8-1,0))</f>
        <v>0.1027090543995739</v>
      </c>
    </row>
    <row r="81" spans="5:39" x14ac:dyDescent="0.2">
      <c r="E81" s="42">
        <v>45554</v>
      </c>
      <c r="F81" s="43">
        <v>2.2615353740175066</v>
      </c>
      <c r="G81" s="43">
        <v>2.2830924703036355</v>
      </c>
      <c r="H81" s="43">
        <v>2.2389984097183722</v>
      </c>
      <c r="I81" s="43">
        <v>2.272313922160571</v>
      </c>
      <c r="K81" s="3">
        <f t="shared" si="12"/>
        <v>3.8033749105829024E-4</v>
      </c>
      <c r="L81" s="3">
        <f ca="1">SQRT(AVERAGE(K81:OFFSET(K81,$B$5-1,0))*$B$9/(4*LN(2)))</f>
        <v>0.11249203688267245</v>
      </c>
      <c r="M81" s="3">
        <f ca="1">SQRT(AVERAGE(K81:OFFSET(K81,$B$6-1,0))*$B$9/(4*LN(2)))</f>
        <v>0.10772683623175473</v>
      </c>
      <c r="N81" s="3">
        <f ca="1">SQRT(AVERAGE(K81:OFFSET(K81,$B$7-1,0))*$B$9/(4*LN(2)))</f>
        <v>0.10327583372278716</v>
      </c>
      <c r="O81" s="3">
        <f ca="1">SQRT(AVERAGE(K81:OFFSET(K81,$B$8-1,0))*$B$9/(4*LN(2)))</f>
        <v>0.1088328200439256</v>
      </c>
      <c r="P81" s="1"/>
      <c r="Q81" s="5">
        <f t="shared" si="9"/>
        <v>1.8213105817468077E-4</v>
      </c>
      <c r="R81" s="5">
        <f ca="1">SQRT($B$9*AVERAGE((Q81:OFFSET(Q81,$B$5-1,0))))</f>
        <v>0.12555198437197262</v>
      </c>
      <c r="S81" s="5">
        <f ca="1">SQRT($B$9*AVERAGE((Q81:OFFSET(Q81,$B$6-1,0))))</f>
        <v>0.11768588282417729</v>
      </c>
      <c r="T81" s="5">
        <f ca="1">SQRT($B$9*AVERAGE((Q81:OFFSET(Q81,$B$7-1,0))))</f>
        <v>0.10912336424088666</v>
      </c>
      <c r="U81" s="5">
        <f ca="1">SQRT($B$9*AVERAGE((Q81:OFFSET(Q81,$B$8-1,0))))</f>
        <v>0.11375969448568644</v>
      </c>
      <c r="V81" s="1"/>
      <c r="W81" s="6">
        <f t="shared" si="10"/>
        <v>1.9282076573571015E-4</v>
      </c>
      <c r="X81" s="6">
        <f ca="1">SQRT($B$9*AVERAGE(W81:OFFSET(W81,$B$5-1,0)))</f>
        <v>0.13133854094804584</v>
      </c>
      <c r="Y81" s="6">
        <f ca="1">SQRT($B$9*AVERAGE(W81:OFFSET(W81,$B$6-1,0)))</f>
        <v>0.12158943490255911</v>
      </c>
      <c r="Z81" s="6">
        <f ca="1">SQRT($B$9*AVERAGE(W81:OFFSET(W81,$B$7-1,0)))</f>
        <v>0.11124108301032407</v>
      </c>
      <c r="AA81" s="6">
        <f ca="1">SQRT($B$9*AVERAGE(W81:OFFSET(W81,$B$8-1,0)))</f>
        <v>0.11535372188787962</v>
      </c>
      <c r="AB81" s="1"/>
      <c r="AC81" s="34">
        <f t="shared" ref="AC81:AC144" si="13">(LN(I81/I82))^2</f>
        <v>3.6667649043905948E-5</v>
      </c>
      <c r="AD81" s="34">
        <f ca="1">SQRT($B$9*SUM(AC81:OFFSET(AC81,$B$5-1,0))/($B$5-1))</f>
        <v>8.8847724273925233E-2</v>
      </c>
      <c r="AE81" s="34">
        <f ca="1">SQRT($B$9*SUM(AC81:OFFSET(AC81,$B$6-1,0))/($B$6-1))</f>
        <v>0.10434118358426391</v>
      </c>
      <c r="AF81" s="34">
        <f ca="1">SQRT($B$9*SUM(AC81:OFFSET(AC81,$B$7-1,0))/($B$7-1))</f>
        <v>0.11069690284827631</v>
      </c>
      <c r="AG81" s="34">
        <f ca="1">SQRT($B$9*SUM(AC81:OFFSET(AC81,$B$8-1,0))/($B$8-1))</f>
        <v>0.1035272724175073</v>
      </c>
      <c r="AH81" s="1"/>
      <c r="AI81" s="1">
        <f t="shared" si="11"/>
        <v>6.0553818247824761E-3</v>
      </c>
      <c r="AJ81" s="4">
        <f ca="1">SQRT($B$9)*_xlfn.STDEV.S(AI81:OFFSET(AI81,$B$5-1,0))</f>
        <v>8.8796477193562248E-2</v>
      </c>
      <c r="AK81" s="4">
        <f ca="1">SQRT($B$9)*_xlfn.STDEV.S(AI81:OFFSET(AI81,$B$6-1,0))</f>
        <v>9.5450613348417923E-2</v>
      </c>
      <c r="AL81" s="4">
        <f ca="1">SQRT($B$9)*_xlfn.STDEV.S(AI81:OFFSET(AI81,$B$7-1,0))</f>
        <v>0.1031467639771867</v>
      </c>
      <c r="AM81" s="4">
        <f ca="1">SQRT($B$9)*_xlfn.STDEV.S(AI81:OFFSET(AI81,$B$8-1,0))</f>
        <v>0.10270059884905373</v>
      </c>
    </row>
    <row r="82" spans="5:39" x14ac:dyDescent="0.2">
      <c r="E82" s="42">
        <v>45553</v>
      </c>
      <c r="F82" s="43">
        <v>2.2458574858094127</v>
      </c>
      <c r="G82" s="43">
        <v>2.267414582095542</v>
      </c>
      <c r="H82" s="43">
        <v>2.2438977497834016</v>
      </c>
      <c r="I82" s="43">
        <v>2.2585957699784895</v>
      </c>
      <c r="K82" s="3">
        <f t="shared" si="12"/>
        <v>1.0869753928931986E-4</v>
      </c>
      <c r="L82" s="3">
        <f ca="1">SQRT(AVERAGE(K82:OFFSET(K82,$B$5-1,0))*$B$9/(4*LN(2)))</f>
        <v>8.5137682862211017E-2</v>
      </c>
      <c r="M82" s="3">
        <f ca="1">SQRT(AVERAGE(K82:OFFSET(K82,$B$6-1,0))*$B$9/(4*LN(2)))</f>
        <v>9.3240223182109699E-2</v>
      </c>
      <c r="N82" s="3">
        <f ca="1">SQRT(AVERAGE(K82:OFFSET(K82,$B$7-1,0))*$B$9/(4*LN(2)))</f>
        <v>9.6844517278435335E-2</v>
      </c>
      <c r="O82" s="3">
        <f ca="1">SQRT(AVERAGE(K82:OFFSET(K82,$B$8-1,0))*$B$9/(4*LN(2)))</f>
        <v>0.10713870499446321</v>
      </c>
      <c r="P82" s="1"/>
      <c r="Q82" s="5">
        <f t="shared" si="9"/>
        <v>4.2043024343931212E-5</v>
      </c>
      <c r="R82" s="5">
        <f ca="1">SQRT($B$9*AVERAGE((Q82:OFFSET(Q82,$B$5-1,0))))</f>
        <v>9.3034335205117752E-2</v>
      </c>
      <c r="S82" s="5">
        <f ca="1">SQRT($B$9*AVERAGE((Q82:OFFSET(Q82,$B$6-1,0))))</f>
        <v>9.9215127761453956E-2</v>
      </c>
      <c r="T82" s="5">
        <f ca="1">SQRT($B$9*AVERAGE((Q82:OFFSET(Q82,$B$7-1,0))))</f>
        <v>0.10064386214331275</v>
      </c>
      <c r="U82" s="5">
        <f ca="1">SQRT($B$9*AVERAGE((Q82:OFFSET(Q82,$B$8-1,0))))</f>
        <v>0.11156265427368904</v>
      </c>
      <c r="V82" s="1"/>
      <c r="W82" s="6">
        <f t="shared" si="10"/>
        <v>4.2926494368401639E-5</v>
      </c>
      <c r="X82" s="6">
        <f ca="1">SQRT($B$9*AVERAGE(W82:OFFSET(W82,$B$5-1,0)))</f>
        <v>9.8395938818718331E-2</v>
      </c>
      <c r="Y82" s="6">
        <f ca="1">SQRT($B$9*AVERAGE(W82:OFFSET(W82,$B$6-1,0)))</f>
        <v>0.10232182901704573</v>
      </c>
      <c r="Z82" s="6">
        <f ca="1">SQRT($B$9*AVERAGE(W82:OFFSET(W82,$B$7-1,0)))</f>
        <v>0.10287309506180935</v>
      </c>
      <c r="AA82" s="6">
        <f ca="1">SQRT($B$9*AVERAGE(W82:OFFSET(W82,$B$8-1,0)))</f>
        <v>0.11303913445996459</v>
      </c>
      <c r="AB82" s="1"/>
      <c r="AC82" s="34">
        <f t="shared" si="13"/>
        <v>3.1988951382281318E-5</v>
      </c>
      <c r="AD82" s="34">
        <f ca="1">SQRT($B$9*SUM(AC82:OFFSET(AC82,$B$5-1,0))/($B$5-1))</f>
        <v>7.5228979679007199E-2</v>
      </c>
      <c r="AE82" s="34">
        <f ca="1">SQRT($B$9*SUM(AC82:OFFSET(AC82,$B$6-1,0))/($B$6-1))</f>
        <v>0.10231433972293001</v>
      </c>
      <c r="AF82" s="34">
        <f ca="1">SQRT($B$9*SUM(AC82:OFFSET(AC82,$B$7-1,0))/($B$7-1))</f>
        <v>0.10902743753021729</v>
      </c>
      <c r="AG82" s="34">
        <f ca="1">SQRT($B$9*SUM(AC82:OFFSET(AC82,$B$8-1,0))/($B$8-1))</f>
        <v>0.10306337430554087</v>
      </c>
      <c r="AH82" s="1"/>
      <c r="AI82" s="1">
        <f t="shared" si="11"/>
        <v>5.6558775961190423E-3</v>
      </c>
      <c r="AJ82" s="4">
        <f ca="1">SQRT($B$9)*_xlfn.STDEV.S(AI82:OFFSET(AI82,$B$5-1,0))</f>
        <v>7.1721566207235091E-2</v>
      </c>
      <c r="AK82" s="4">
        <f ca="1">SQRT($B$9)*_xlfn.STDEV.S(AI82:OFFSET(AI82,$B$6-1,0))</f>
        <v>8.3056690442594408E-2</v>
      </c>
      <c r="AL82" s="4">
        <f ca="1">SQRT($B$9)*_xlfn.STDEV.S(AI82:OFFSET(AI82,$B$7-1,0))</f>
        <v>9.8210779686180846E-2</v>
      </c>
      <c r="AM82" s="4">
        <f ca="1">SQRT($B$9)*_xlfn.STDEV.S(AI82:OFFSET(AI82,$B$8-1,0))</f>
        <v>0.10187288007915196</v>
      </c>
    </row>
    <row r="83" spans="5:39" x14ac:dyDescent="0.2">
      <c r="E83" s="42">
        <v>45548</v>
      </c>
      <c r="F83" s="43">
        <v>2.2507568258744426</v>
      </c>
      <c r="G83" s="43">
        <v>2.2654548460695301</v>
      </c>
      <c r="H83" s="43">
        <v>2.2448776177964072</v>
      </c>
      <c r="I83" s="43">
        <v>2.2458574858094127</v>
      </c>
      <c r="K83" s="3">
        <f t="shared" si="12"/>
        <v>8.3257364137500337E-5</v>
      </c>
      <c r="L83" s="3">
        <f ca="1">SQRT(AVERAGE(K83:OFFSET(K83,$B$5-1,0))*$B$9/(4*LN(2)))</f>
        <v>9.5362319939839943E-2</v>
      </c>
      <c r="M83" s="3">
        <f ca="1">SQRT(AVERAGE(K83:OFFSET(K83,$B$6-1,0))*$B$9/(4*LN(2)))</f>
        <v>9.6438029684669885E-2</v>
      </c>
      <c r="N83" s="3">
        <f ca="1">SQRT(AVERAGE(K83:OFFSET(K83,$B$7-1,0))*$B$9/(4*LN(2)))</f>
        <v>9.6560745418209498E-2</v>
      </c>
      <c r="O83" s="3">
        <f ca="1">SQRT(AVERAGE(K83:OFFSET(K83,$B$8-1,0))*$B$9/(4*LN(2)))</f>
        <v>0.10779862465706734</v>
      </c>
      <c r="P83" s="1"/>
      <c r="Q83" s="5">
        <f t="shared" si="9"/>
        <v>4.0240078583195805E-5</v>
      </c>
      <c r="R83" s="5">
        <f ca="1">SQRT($B$9*AVERAGE((Q83:OFFSET(Q83,$B$5-1,0))))</f>
        <v>9.9815047491549444E-2</v>
      </c>
      <c r="S83" s="5">
        <f ca="1">SQRT($B$9*AVERAGE((Q83:OFFSET(Q83,$B$6-1,0))))</f>
        <v>9.9331429523043191E-2</v>
      </c>
      <c r="T83" s="5">
        <f ca="1">SQRT($B$9*AVERAGE((Q83:OFFSET(Q83,$B$7-1,0))))</f>
        <v>0.10055411514179784</v>
      </c>
      <c r="U83" s="5">
        <f ca="1">SQRT($B$9*AVERAGE((Q83:OFFSET(Q83,$B$8-1,0))))</f>
        <v>0.11236733705602647</v>
      </c>
      <c r="V83" s="1"/>
      <c r="W83" s="6">
        <f t="shared" si="10"/>
        <v>5.7692817518803781E-5</v>
      </c>
      <c r="X83" s="6">
        <f ca="1">SQRT($B$9*AVERAGE(W83:OFFSET(W83,$B$5-1,0)))</f>
        <v>0.10262310760558299</v>
      </c>
      <c r="Y83" s="6">
        <f ca="1">SQRT($B$9*AVERAGE(W83:OFFSET(W83,$B$6-1,0)))</f>
        <v>0.10077873762705541</v>
      </c>
      <c r="Z83" s="6">
        <f ca="1">SQRT($B$9*AVERAGE(W83:OFFSET(W83,$B$7-1,0)))</f>
        <v>0.1034138117639469</v>
      </c>
      <c r="AA83" s="6">
        <f ca="1">SQRT($B$9*AVERAGE(W83:OFFSET(W83,$B$8-1,0)))</f>
        <v>0.11397458020472166</v>
      </c>
      <c r="AB83" s="1"/>
      <c r="AC83" s="34">
        <f t="shared" si="13"/>
        <v>4.7485851313618848E-6</v>
      </c>
      <c r="AD83" s="34">
        <f ca="1">SQRT($B$9*SUM(AC83:OFFSET(AC83,$B$5-1,0))/($B$5-1))</f>
        <v>0.12038103209539576</v>
      </c>
      <c r="AE83" s="34">
        <f ca="1">SQRT($B$9*SUM(AC83:OFFSET(AC83,$B$6-1,0))/($B$6-1))</f>
        <v>0.12934265130479181</v>
      </c>
      <c r="AF83" s="34">
        <f ca="1">SQRT($B$9*SUM(AC83:OFFSET(AC83,$B$7-1,0))/($B$7-1))</f>
        <v>0.1083359215144369</v>
      </c>
      <c r="AG83" s="34">
        <f ca="1">SQRT($B$9*SUM(AC83:OFFSET(AC83,$B$8-1,0))/($B$8-1))</f>
        <v>0.10241691094328639</v>
      </c>
      <c r="AH83" s="1"/>
      <c r="AI83" s="1">
        <f t="shared" ref="AI83:AI146" si="14">LN(I83/I84)</f>
        <v>-2.1791248544683907E-3</v>
      </c>
      <c r="AJ83" s="4">
        <f ca="1">SQRT($B$9)*_xlfn.STDEV.S(AI83:OFFSET(AI83,$B$5-1,0))</f>
        <v>8.1107590235628912E-2</v>
      </c>
      <c r="AK83" s="4">
        <f ca="1">SQRT($B$9)*_xlfn.STDEV.S(AI83:OFFSET(AI83,$B$6-1,0))</f>
        <v>8.6917414371269028E-2</v>
      </c>
      <c r="AL83" s="4">
        <f ca="1">SQRT($B$9)*_xlfn.STDEV.S(AI83:OFFSET(AI83,$B$7-1,0))</f>
        <v>9.6989732705234477E-2</v>
      </c>
      <c r="AM83" s="4">
        <f ca="1">SQRT($B$9)*_xlfn.STDEV.S(AI83:OFFSET(AI83,$B$8-1,0))</f>
        <v>0.10097797944498051</v>
      </c>
    </row>
    <row r="84" spans="5:39" x14ac:dyDescent="0.2">
      <c r="E84" s="42">
        <v>45547</v>
      </c>
      <c r="F84" s="43">
        <v>2.2615353740175066</v>
      </c>
      <c r="G84" s="43">
        <v>2.2693743181215535</v>
      </c>
      <c r="H84" s="43">
        <v>2.2487970898484306</v>
      </c>
      <c r="I84" s="43">
        <v>2.2507568258744426</v>
      </c>
      <c r="K84" s="3">
        <f t="shared" si="12"/>
        <v>8.296871078008523E-5</v>
      </c>
      <c r="L84" s="3">
        <f ca="1">SQRT(AVERAGE(K84:OFFSET(K84,$B$5-1,0))*$B$9/(4*LN(2)))</f>
        <v>0.10231711757797241</v>
      </c>
      <c r="M84" s="3">
        <f ca="1">SQRT(AVERAGE(K84:OFFSET(K84,$B$6-1,0))*$B$9/(4*LN(2)))</f>
        <v>0.10838360861589169</v>
      </c>
      <c r="N84" s="3">
        <f ca="1">SQRT(AVERAGE(K84:OFFSET(K84,$B$7-1,0))*$B$9/(4*LN(2)))</f>
        <v>9.6367947086520064E-2</v>
      </c>
      <c r="O84" s="3">
        <f ca="1">SQRT(AVERAGE(K84:OFFSET(K84,$B$8-1,0))*$B$9/(4*LN(2)))</f>
        <v>0.10806499017133933</v>
      </c>
      <c r="P84" s="1"/>
      <c r="Q84" s="5">
        <f t="shared" si="9"/>
        <v>3.2714155442675976E-5</v>
      </c>
      <c r="R84" s="5">
        <f ca="1">SQRT($B$9*AVERAGE((Q84:OFFSET(Q84,$B$5-1,0))))</f>
        <v>0.10666751384050915</v>
      </c>
      <c r="S84" s="5">
        <f ca="1">SQRT($B$9*AVERAGE((Q84:OFFSET(Q84,$B$6-1,0))))</f>
        <v>0.11007105765805908</v>
      </c>
      <c r="T84" s="5">
        <f ca="1">SQRT($B$9*AVERAGE((Q84:OFFSET(Q84,$B$7-1,0))))</f>
        <v>9.9699831290870095E-2</v>
      </c>
      <c r="U84" s="5">
        <f ca="1">SQRT($B$9*AVERAGE((Q84:OFFSET(Q84,$B$8-1,0))))</f>
        <v>0.11274345229198314</v>
      </c>
      <c r="V84" s="1"/>
      <c r="W84" s="6">
        <f t="shared" si="10"/>
        <v>3.3424260198810005E-5</v>
      </c>
      <c r="X84" s="6">
        <f ca="1">SQRT($B$9*AVERAGE(W84:OFFSET(W84,$B$5-1,0)))</f>
        <v>0.10788617277014823</v>
      </c>
      <c r="Y84" s="6">
        <f ca="1">SQRT($B$9*AVERAGE(W84:OFFSET(W84,$B$6-1,0)))</f>
        <v>0.11053784688487368</v>
      </c>
      <c r="Z84" s="6">
        <f ca="1">SQRT($B$9*AVERAGE(W84:OFFSET(W84,$B$7-1,0)))</f>
        <v>0.10134300732858649</v>
      </c>
      <c r="AA84" s="6">
        <f ca="1">SQRT($B$9*AVERAGE(W84:OFFSET(W84,$B$8-1,0)))</f>
        <v>0.11424123485246696</v>
      </c>
      <c r="AB84" s="1"/>
      <c r="AC84" s="34">
        <f t="shared" si="13"/>
        <v>1.8870818053762531E-5</v>
      </c>
      <c r="AD84" s="34">
        <f ca="1">SQRT($B$9*SUM(AC84:OFFSET(AC84,$B$5-1,0))/($B$5-1))</f>
        <v>0.12464093893374016</v>
      </c>
      <c r="AE84" s="34">
        <f ca="1">SQRT($B$9*SUM(AC84:OFFSET(AC84,$B$6-1,0))/($B$6-1))</f>
        <v>0.13730906442745425</v>
      </c>
      <c r="AF84" s="34">
        <f ca="1">SQRT($B$9*SUM(AC84:OFFSET(AC84,$B$7-1,0))/($B$7-1))</f>
        <v>0.10950076494648289</v>
      </c>
      <c r="AG84" s="34">
        <f ca="1">SQRT($B$9*SUM(AC84:OFFSET(AC84,$B$8-1,0))/($B$8-1))</f>
        <v>0.10240518155311677</v>
      </c>
      <c r="AH84" s="1"/>
      <c r="AI84" s="1">
        <f t="shared" si="14"/>
        <v>-4.3440554846551549E-3</v>
      </c>
      <c r="AJ84" s="4">
        <f ca="1">SQRT($B$9)*_xlfn.STDEV.S(AI84:OFFSET(AI84,$B$5-1,0))</f>
        <v>7.7437483762174589E-2</v>
      </c>
      <c r="AK84" s="4">
        <f ca="1">SQRT($B$9)*_xlfn.STDEV.S(AI84:OFFSET(AI84,$B$6-1,0))</f>
        <v>0.11356609644269423</v>
      </c>
      <c r="AL84" s="4">
        <f ca="1">SQRT($B$9)*_xlfn.STDEV.S(AI84:OFFSET(AI84,$B$7-1,0))</f>
        <v>0.10089625427042589</v>
      </c>
      <c r="AM84" s="4">
        <f ca="1">SQRT($B$9)*_xlfn.STDEV.S(AI84:OFFSET(AI84,$B$8-1,0))</f>
        <v>0.10097218567584972</v>
      </c>
    </row>
    <row r="85" spans="5:39" x14ac:dyDescent="0.2">
      <c r="E85" s="42">
        <v>45546</v>
      </c>
      <c r="F85" s="43">
        <v>2.2693743181215535</v>
      </c>
      <c r="G85" s="43">
        <v>2.2713340541475655</v>
      </c>
      <c r="H85" s="43">
        <v>2.2536964299134596</v>
      </c>
      <c r="I85" s="43">
        <v>2.2605555060045006</v>
      </c>
      <c r="K85" s="3">
        <f t="shared" si="12"/>
        <v>6.0771722093352626E-5</v>
      </c>
      <c r="L85" s="3">
        <f ca="1">SQRT(AVERAGE(K85:OFFSET(K85,$B$5-1,0))*$B$9/(4*LN(2)))</f>
        <v>9.9059321624955246E-2</v>
      </c>
      <c r="M85" s="3">
        <f ca="1">SQRT(AVERAGE(K85:OFFSET(K85,$B$6-1,0))*$B$9/(4*LN(2)))</f>
        <v>0.10779567248447873</v>
      </c>
      <c r="N85" s="3">
        <f ca="1">SQRT(AVERAGE(K85:OFFSET(K85,$B$7-1,0))*$B$9/(4*LN(2)))</f>
        <v>0.10405214467486046</v>
      </c>
      <c r="O85" s="3">
        <f ca="1">SQRT(AVERAGE(K85:OFFSET(K85,$B$8-1,0))*$B$9/(4*LN(2)))</f>
        <v>0.10786516426193599</v>
      </c>
      <c r="P85" s="1"/>
      <c r="Q85" s="5">
        <f t="shared" si="9"/>
        <v>2.4571699368578717E-5</v>
      </c>
      <c r="R85" s="5">
        <f ca="1">SQRT($B$9*AVERAGE((Q85:OFFSET(Q85,$B$5-1,0))))</f>
        <v>0.1043509242188792</v>
      </c>
      <c r="S85" s="5">
        <f ca="1">SQRT($B$9*AVERAGE((Q85:OFFSET(Q85,$B$6-1,0))))</f>
        <v>0.10878212168290492</v>
      </c>
      <c r="T85" s="5">
        <f ca="1">SQRT($B$9*AVERAGE((Q85:OFFSET(Q85,$B$7-1,0))))</f>
        <v>0.10541741200497361</v>
      </c>
      <c r="U85" s="5">
        <f ca="1">SQRT($B$9*AVERAGE((Q85:OFFSET(Q85,$B$8-1,0))))</f>
        <v>0.1126212991282277</v>
      </c>
      <c r="V85" s="1"/>
      <c r="W85" s="6">
        <f t="shared" si="10"/>
        <v>2.5172648675448126E-5</v>
      </c>
      <c r="X85" s="6">
        <f ca="1">SQRT($B$9*AVERAGE(W85:OFFSET(W85,$B$5-1,0)))</f>
        <v>0.10571968105330015</v>
      </c>
      <c r="Y85" s="6">
        <f ca="1">SQRT($B$9*AVERAGE(W85:OFFSET(W85,$B$6-1,0)))</f>
        <v>0.10879383009841498</v>
      </c>
      <c r="Z85" s="6">
        <f ca="1">SQRT($B$9*AVERAGE(W85:OFFSET(W85,$B$7-1,0)))</f>
        <v>0.10567437634340607</v>
      </c>
      <c r="AA85" s="6">
        <f ca="1">SQRT($B$9*AVERAGE(W85:OFFSET(W85,$B$8-1,0)))</f>
        <v>0.11419385823015257</v>
      </c>
      <c r="AB85" s="1"/>
      <c r="AC85" s="34">
        <f t="shared" si="13"/>
        <v>3.6604292040205736E-5</v>
      </c>
      <c r="AD85" s="34">
        <f ca="1">SQRT($B$9*SUM(AC85:OFFSET(AC85,$B$5-1,0))/($B$5-1))</f>
        <v>0.12032646818428688</v>
      </c>
      <c r="AE85" s="34">
        <f ca="1">SQRT($B$9*SUM(AC85:OFFSET(AC85,$B$6-1,0))/($B$6-1))</f>
        <v>0.14214087274779055</v>
      </c>
      <c r="AF85" s="34">
        <f ca="1">SQRT($B$9*SUM(AC85:OFFSET(AC85,$B$7-1,0))/($B$7-1))</f>
        <v>0.11844040296021252</v>
      </c>
      <c r="AG85" s="34">
        <f ca="1">SQRT($B$9*SUM(AC85:OFFSET(AC85,$B$8-1,0))/($B$8-1))</f>
        <v>0.10218724727708636</v>
      </c>
      <c r="AH85" s="1"/>
      <c r="AI85" s="1">
        <f t="shared" si="14"/>
        <v>-6.0501481006836298E-3</v>
      </c>
      <c r="AJ85" s="4">
        <f ca="1">SQRT($B$9)*_xlfn.STDEV.S(AI85:OFFSET(AI85,$B$5-1,0))</f>
        <v>9.1609040740322001E-2</v>
      </c>
      <c r="AK85" s="4">
        <f ca="1">SQRT($B$9)*_xlfn.STDEV.S(AI85:OFFSET(AI85,$B$6-1,0))</f>
        <v>0.11491035090040347</v>
      </c>
      <c r="AL85" s="4">
        <f ca="1">SQRT($B$9)*_xlfn.STDEV.S(AI85:OFFSET(AI85,$B$7-1,0))</f>
        <v>0.11498983285660291</v>
      </c>
      <c r="AM85" s="4">
        <f ca="1">SQRT($B$9)*_xlfn.STDEV.S(AI85:OFFSET(AI85,$B$8-1,0))</f>
        <v>0.10081688022677214</v>
      </c>
    </row>
    <row r="86" spans="5:39" x14ac:dyDescent="0.2">
      <c r="E86" s="42">
        <v>45545</v>
      </c>
      <c r="F86" s="43">
        <v>2.272313922160571</v>
      </c>
      <c r="G86" s="43">
        <v>2.2811327342776235</v>
      </c>
      <c r="H86" s="43">
        <v>2.2615353740175066</v>
      </c>
      <c r="I86" s="43">
        <v>2.274273658186583</v>
      </c>
      <c r="K86" s="3">
        <f t="shared" si="12"/>
        <v>7.4445511222765681E-5</v>
      </c>
      <c r="L86" s="3">
        <f ca="1">SQRT(AVERAGE(K86:OFFSET(K86,$B$5-1,0))*$B$9/(4*LN(2)))</f>
        <v>0.10274085909215511</v>
      </c>
      <c r="M86" s="3">
        <f ca="1">SQRT(AVERAGE(K86:OFFSET(K86,$B$6-1,0))*$B$9/(4*LN(2)))</f>
        <v>0.10997513553589489</v>
      </c>
      <c r="N86" s="3">
        <f ca="1">SQRT(AVERAGE(K86:OFFSET(K86,$B$7-1,0))*$B$9/(4*LN(2)))</f>
        <v>0.10359265214692243</v>
      </c>
      <c r="O86" s="3">
        <f ca="1">SQRT(AVERAGE(K86:OFFSET(K86,$B$8-1,0))*$B$9/(4*LN(2)))</f>
        <v>0.10767212472993355</v>
      </c>
      <c r="P86" s="1"/>
      <c r="Q86" s="5">
        <f t="shared" si="9"/>
        <v>3.7071604038316522E-5</v>
      </c>
      <c r="R86" s="5">
        <f ca="1">SQRT($B$9*AVERAGE((Q86:OFFSET(Q86,$B$5-1,0))))</f>
        <v>0.10925490035907735</v>
      </c>
      <c r="S86" s="5">
        <f ca="1">SQRT($B$9*AVERAGE((Q86:OFFSET(Q86,$B$6-1,0))))</f>
        <v>0.11120116630465308</v>
      </c>
      <c r="T86" s="5">
        <f ca="1">SQRT($B$9*AVERAGE((Q86:OFFSET(Q86,$B$7-1,0))))</f>
        <v>0.10434800383582815</v>
      </c>
      <c r="U86" s="5">
        <f ca="1">SQRT($B$9*AVERAGE((Q86:OFFSET(Q86,$B$8-1,0))))</f>
        <v>0.11246104117078315</v>
      </c>
      <c r="V86" s="1"/>
      <c r="W86" s="6">
        <f t="shared" si="10"/>
        <v>3.8370733851127476E-5</v>
      </c>
      <c r="X86" s="6">
        <f ca="1">SQRT($B$9*AVERAGE(W86:OFFSET(W86,$B$5-1,0)))</f>
        <v>0.11098724711193536</v>
      </c>
      <c r="Y86" s="6">
        <f ca="1">SQRT($B$9*AVERAGE(W86:OFFSET(W86,$B$6-1,0)))</f>
        <v>0.11124398425680657</v>
      </c>
      <c r="Z86" s="6">
        <f ca="1">SQRT($B$9*AVERAGE(W86:OFFSET(W86,$B$7-1,0)))</f>
        <v>0.10435898136508832</v>
      </c>
      <c r="AA86" s="6">
        <f ca="1">SQRT($B$9*AVERAGE(W86:OFFSET(W86,$B$8-1,0)))</f>
        <v>0.11403457970403258</v>
      </c>
      <c r="AB86" s="1"/>
      <c r="AC86" s="34">
        <f t="shared" si="13"/>
        <v>1.8571067474735832E-7</v>
      </c>
      <c r="AD86" s="34">
        <f ca="1">SQRT($B$9*SUM(AC86:OFFSET(AC86,$B$5-1,0))/($B$5-1))</f>
        <v>0.12884881731244546</v>
      </c>
      <c r="AE86" s="34">
        <f ca="1">SQRT($B$9*SUM(AC86:OFFSET(AC86,$B$6-1,0))/($B$6-1))</f>
        <v>0.14329654087385663</v>
      </c>
      <c r="AF86" s="34">
        <f ca="1">SQRT($B$9*SUM(AC86:OFFSET(AC86,$B$7-1,0))/($B$7-1))</f>
        <v>0.11804901210123039</v>
      </c>
      <c r="AG86" s="34">
        <f ca="1">SQRT($B$9*SUM(AC86:OFFSET(AC86,$B$8-1,0))/($B$8-1))</f>
        <v>0.101495061236171</v>
      </c>
      <c r="AH86" s="1"/>
      <c r="AI86" s="1">
        <f t="shared" si="14"/>
        <v>4.3094161408172027E-4</v>
      </c>
      <c r="AJ86" s="4">
        <f ca="1">SQRT($B$9)*_xlfn.STDEV.S(AI86:OFFSET(AI86,$B$5-1,0))</f>
        <v>9.5599377857289156E-2</v>
      </c>
      <c r="AK86" s="4">
        <f ca="1">SQRT($B$9)*_xlfn.STDEV.S(AI86:OFFSET(AI86,$B$6-1,0))</f>
        <v>0.11521789532057614</v>
      </c>
      <c r="AL86" s="4">
        <f ca="1">SQRT($B$9)*_xlfn.STDEV.S(AI86:OFFSET(AI86,$B$7-1,0))</f>
        <v>0.11470989737721057</v>
      </c>
      <c r="AM86" s="4">
        <f ca="1">SQRT($B$9)*_xlfn.STDEV.S(AI86:OFFSET(AI86,$B$8-1,0))</f>
        <v>0.10043088904814548</v>
      </c>
    </row>
    <row r="87" spans="5:39" x14ac:dyDescent="0.2">
      <c r="E87" s="42">
        <v>45544</v>
      </c>
      <c r="F87" s="43">
        <v>2.2958307544727115</v>
      </c>
      <c r="G87" s="43">
        <v>2.2987703585117294</v>
      </c>
      <c r="H87" s="43">
        <v>2.2654548460695301</v>
      </c>
      <c r="I87" s="43">
        <v>2.2732937901735766</v>
      </c>
      <c r="K87" s="3">
        <f t="shared" si="12"/>
        <v>2.1312494453905282E-4</v>
      </c>
      <c r="L87" s="3">
        <f ca="1">SQRT(AVERAGE(K87:OFFSET(K87,$B$5-1,0))*$B$9/(4*LN(2)))</f>
        <v>0.10069286665376466</v>
      </c>
      <c r="M87" s="3">
        <f ca="1">SQRT(AVERAGE(K87:OFFSET(K87,$B$6-1,0))*$B$9/(4*LN(2)))</f>
        <v>0.10849071666390768</v>
      </c>
      <c r="N87" s="3">
        <f ca="1">SQRT(AVERAGE(K87:OFFSET(K87,$B$7-1,0))*$B$9/(4*LN(2)))</f>
        <v>0.10307510556755958</v>
      </c>
      <c r="O87" s="3">
        <f ca="1">SQRT(AVERAGE(K87:OFFSET(K87,$B$8-1,0))*$B$9/(4*LN(2)))</f>
        <v>0.10749037402483619</v>
      </c>
      <c r="P87" s="1"/>
      <c r="Q87" s="5">
        <f t="shared" si="9"/>
        <v>6.8729885133360946E-5</v>
      </c>
      <c r="R87" s="5">
        <f ca="1">SQRT($B$9*AVERAGE((Q87:OFFSET(Q87,$B$5-1,0))))</f>
        <v>0.10503283118332594</v>
      </c>
      <c r="S87" s="5">
        <f ca="1">SQRT($B$9*AVERAGE((Q87:OFFSET(Q87,$B$6-1,0))))</f>
        <v>0.10911862448218639</v>
      </c>
      <c r="T87" s="5">
        <f ca="1">SQRT($B$9*AVERAGE((Q87:OFFSET(Q87,$B$7-1,0))))</f>
        <v>0.10365639768810676</v>
      </c>
      <c r="U87" s="5">
        <f ca="1">SQRT($B$9*AVERAGE((Q87:OFFSET(Q87,$B$8-1,0))))</f>
        <v>0.11222364809091928</v>
      </c>
      <c r="V87" s="1"/>
      <c r="W87" s="6">
        <f t="shared" si="10"/>
        <v>6.0268156380852752E-5</v>
      </c>
      <c r="X87" s="6">
        <f ca="1">SQRT($B$9*AVERAGE(W87:OFFSET(W87,$B$5-1,0)))</f>
        <v>0.1061025570416195</v>
      </c>
      <c r="Y87" s="6">
        <f ca="1">SQRT($B$9*AVERAGE(W87:OFFSET(W87,$B$6-1,0)))</f>
        <v>0.10902958208043327</v>
      </c>
      <c r="Z87" s="6">
        <f ca="1">SQRT($B$9*AVERAGE(W87:OFFSET(W87,$B$7-1,0)))</f>
        <v>0.10399573417537319</v>
      </c>
      <c r="AA87" s="6">
        <f ca="1">SQRT($B$9*AVERAGE(W87:OFFSET(W87,$B$8-1,0)))</f>
        <v>0.11382760024721912</v>
      </c>
      <c r="AB87" s="1"/>
      <c r="AC87" s="34">
        <f t="shared" si="13"/>
        <v>1.761880290118034E-4</v>
      </c>
      <c r="AD87" s="34">
        <f ca="1">SQRT($B$9*SUM(AC87:OFFSET(AC87,$B$5-1,0))/($B$5-1))</f>
        <v>0.13376884865531502</v>
      </c>
      <c r="AE87" s="34">
        <f ca="1">SQRT($B$9*SUM(AC87:OFFSET(AC87,$B$6-1,0))/($B$6-1))</f>
        <v>0.1433425542790159</v>
      </c>
      <c r="AF87" s="34">
        <f ca="1">SQRT($B$9*SUM(AC87:OFFSET(AC87,$B$7-1,0))/($B$7-1))</f>
        <v>0.11804832367405449</v>
      </c>
      <c r="AG87" s="34">
        <f ca="1">SQRT($B$9*SUM(AC87:OFFSET(AC87,$B$8-1,0))/($B$8-1))</f>
        <v>0.10149126210609521</v>
      </c>
      <c r="AH87" s="1"/>
      <c r="AI87" s="1">
        <f t="shared" si="14"/>
        <v>-1.3273583879714002E-2</v>
      </c>
      <c r="AJ87" s="4">
        <f ca="1">SQRT($B$9)*_xlfn.STDEV.S(AI87:OFFSET(AI87,$B$5-1,0))</f>
        <v>8.407998515918097E-2</v>
      </c>
      <c r="AK87" s="4">
        <f ca="1">SQRT($B$9)*_xlfn.STDEV.S(AI87:OFFSET(AI87,$B$6-1,0))</f>
        <v>0.11574518583262362</v>
      </c>
      <c r="AL87" s="4">
        <f ca="1">SQRT($B$9)*_xlfn.STDEV.S(AI87:OFFSET(AI87,$B$7-1,0))</f>
        <v>0.11454176077147749</v>
      </c>
      <c r="AM87" s="4">
        <f ca="1">SQRT($B$9)*_xlfn.STDEV.S(AI87:OFFSET(AI87,$B$8-1,0))</f>
        <v>0.10041043608027708</v>
      </c>
    </row>
    <row r="88" spans="5:39" x14ac:dyDescent="0.2">
      <c r="E88" s="42">
        <v>45541</v>
      </c>
      <c r="F88" s="43">
        <v>2.3164079827458344</v>
      </c>
      <c r="G88" s="43">
        <v>2.3311060029409223</v>
      </c>
      <c r="H88" s="43">
        <v>2.3017099625507469</v>
      </c>
      <c r="I88" s="43">
        <v>2.3036696985767584</v>
      </c>
      <c r="K88" s="3">
        <f t="shared" si="12"/>
        <v>1.6104944112216166E-4</v>
      </c>
      <c r="L88" s="3">
        <f ca="1">SQRT(AVERAGE(K88:OFFSET(K88,$B$5-1,0))*$B$9/(4*LN(2)))</f>
        <v>9.7501872159534181E-2</v>
      </c>
      <c r="M88" s="3">
        <f ca="1">SQRT(AVERAGE(K88:OFFSET(K88,$B$6-1,0))*$B$9/(4*LN(2)))</f>
        <v>0.10297648253019359</v>
      </c>
      <c r="N88" s="3">
        <f ca="1">SQRT(AVERAGE(K88:OFFSET(K88,$B$7-1,0))*$B$9/(4*LN(2)))</f>
        <v>9.9055469304393656E-2</v>
      </c>
      <c r="O88" s="3">
        <f ca="1">SQRT(AVERAGE(K88:OFFSET(K88,$B$8-1,0))*$B$9/(4*LN(2)))</f>
        <v>0.10615957732516466</v>
      </c>
      <c r="P88" s="1"/>
      <c r="Q88" s="5">
        <f t="shared" si="9"/>
        <v>6.9115890892888505E-5</v>
      </c>
      <c r="R88" s="5">
        <f ca="1">SQRT($B$9*AVERAGE((Q88:OFFSET(Q88,$B$5-1,0))))</f>
        <v>9.8845445400596602E-2</v>
      </c>
      <c r="S88" s="5">
        <f ca="1">SQRT($B$9*AVERAGE((Q88:OFFSET(Q88,$B$6-1,0))))</f>
        <v>0.10574018819798259</v>
      </c>
      <c r="T88" s="5">
        <f ca="1">SQRT($B$9*AVERAGE((Q88:OFFSET(Q88,$B$7-1,0))))</f>
        <v>0.10040682093302555</v>
      </c>
      <c r="U88" s="5">
        <f ca="1">SQRT($B$9*AVERAGE((Q88:OFFSET(Q88,$B$8-1,0))))</f>
        <v>0.1111504910558555</v>
      </c>
      <c r="V88" s="1"/>
      <c r="W88" s="6">
        <f t="shared" si="10"/>
        <v>8.0303512628257002E-5</v>
      </c>
      <c r="X88" s="6">
        <f ca="1">SQRT($B$9*AVERAGE(W88:OFFSET(W88,$B$5-1,0)))</f>
        <v>9.8899978264803914E-2</v>
      </c>
      <c r="Y88" s="6">
        <f ca="1">SQRT($B$9*AVERAGE(W88:OFFSET(W88,$B$6-1,0)))</f>
        <v>0.10679959144203945</v>
      </c>
      <c r="Z88" s="6">
        <f ca="1">SQRT($B$9*AVERAGE(W88:OFFSET(W88,$B$7-1,0)))</f>
        <v>0.10128657962023466</v>
      </c>
      <c r="AA88" s="6">
        <f ca="1">SQRT($B$9*AVERAGE(W88:OFFSET(W88,$B$8-1,0)))</f>
        <v>0.11294534101865325</v>
      </c>
      <c r="AB88" s="1"/>
      <c r="AC88" s="34">
        <f t="shared" si="13"/>
        <v>2.1789740558817195E-5</v>
      </c>
      <c r="AD88" s="34">
        <f ca="1">SQRT($B$9*SUM(AC88:OFFSET(AC88,$B$5-1,0))/($B$5-1))</f>
        <v>0.15215068309538227</v>
      </c>
      <c r="AE88" s="34">
        <f ca="1">SQRT($B$9*SUM(AC88:OFFSET(AC88,$B$6-1,0))/($B$6-1))</f>
        <v>0.12566579473662923</v>
      </c>
      <c r="AF88" s="34">
        <f ca="1">SQRT($B$9*SUM(AC88:OFFSET(AC88,$B$7-1,0))/($B$7-1))</f>
        <v>0.10800805806918037</v>
      </c>
      <c r="AG88" s="34">
        <f ca="1">SQRT($B$9*SUM(AC88:OFFSET(AC88,$B$8-1,0))/($B$8-1))</f>
        <v>9.8605544639354947E-2</v>
      </c>
      <c r="AH88" s="1"/>
      <c r="AI88" s="1">
        <f t="shared" si="14"/>
        <v>-4.66794821723819E-3</v>
      </c>
      <c r="AJ88" s="4">
        <f ca="1">SQRT($B$9)*_xlfn.STDEV.S(AI88:OFFSET(AI88,$B$5-1,0))</f>
        <v>0.10049849761614976</v>
      </c>
      <c r="AK88" s="4">
        <f ca="1">SQRT($B$9)*_xlfn.STDEV.S(AI88:OFFSET(AI88,$B$6-1,0))</f>
        <v>0.10773990557809419</v>
      </c>
      <c r="AL88" s="4">
        <f ca="1">SQRT($B$9)*_xlfn.STDEV.S(AI88:OFFSET(AI88,$B$7-1,0))</f>
        <v>0.1065699875999981</v>
      </c>
      <c r="AM88" s="4">
        <f ca="1">SQRT($B$9)*_xlfn.STDEV.S(AI88:OFFSET(AI88,$B$8-1,0))</f>
        <v>9.776026491859667E-2</v>
      </c>
    </row>
    <row r="89" spans="5:39" x14ac:dyDescent="0.2">
      <c r="E89" s="42">
        <v>45540</v>
      </c>
      <c r="F89" s="43">
        <v>2.3124885106938109</v>
      </c>
      <c r="G89" s="43">
        <v>2.3232670588368753</v>
      </c>
      <c r="H89" s="43">
        <v>2.3075891706287819</v>
      </c>
      <c r="I89" s="43">
        <v>2.3144482467198229</v>
      </c>
      <c r="K89" s="3">
        <f t="shared" si="12"/>
        <v>4.5847519151143099E-5</v>
      </c>
      <c r="L89" s="3">
        <f ca="1">SQRT(AVERAGE(K89:OFFSET(K89,$B$5-1,0))*$B$9/(4*LN(2)))</f>
        <v>0.11412808893406104</v>
      </c>
      <c r="M89" s="3">
        <f ca="1">SQRT(AVERAGE(K89:OFFSET(K89,$B$6-1,0))*$B$9/(4*LN(2)))</f>
        <v>9.9178627341222819E-2</v>
      </c>
      <c r="N89" s="3">
        <f ca="1">SQRT(AVERAGE(K89:OFFSET(K89,$B$7-1,0))*$B$9/(4*LN(2)))</f>
        <v>9.74765700899594E-2</v>
      </c>
      <c r="O89" s="3">
        <f ca="1">SQRT(AVERAGE(K89:OFFSET(K89,$B$8-1,0))*$B$9/(4*LN(2)))</f>
        <v>0.10629319215824827</v>
      </c>
      <c r="P89" s="1"/>
      <c r="Q89" s="5">
        <f t="shared" si="9"/>
        <v>2.2737765165513835E-5</v>
      </c>
      <c r="R89" s="5">
        <f ca="1">SQRT($B$9*AVERAGE((Q89:OFFSET(Q89,$B$5-1,0))))</f>
        <v>0.11337247002254258</v>
      </c>
      <c r="S89" s="5">
        <f ca="1">SQRT($B$9*AVERAGE((Q89:OFFSET(Q89,$B$6-1,0))))</f>
        <v>0.10017424276278285</v>
      </c>
      <c r="T89" s="5">
        <f ca="1">SQRT($B$9*AVERAGE((Q89:OFFSET(Q89,$B$7-1,0))))</f>
        <v>9.8140198276765858E-2</v>
      </c>
      <c r="U89" s="5">
        <f ca="1">SQRT($B$9*AVERAGE((Q89:OFFSET(Q89,$B$8-1,0))))</f>
        <v>0.11101605069062298</v>
      </c>
      <c r="V89" s="1"/>
      <c r="W89" s="6">
        <f t="shared" si="10"/>
        <v>2.3979866056386347E-5</v>
      </c>
      <c r="X89" s="6">
        <f ca="1">SQRT($B$9*AVERAGE(W89:OFFSET(W89,$B$5-1,0)))</f>
        <v>0.11312738356780501</v>
      </c>
      <c r="Y89" s="6">
        <f ca="1">SQRT($B$9*AVERAGE(W89:OFFSET(W89,$B$6-1,0)))</f>
        <v>9.9455472230661049E-2</v>
      </c>
      <c r="Z89" s="6">
        <f ca="1">SQRT($B$9*AVERAGE(W89:OFFSET(W89,$B$7-1,0)))</f>
        <v>9.836617918709914E-2</v>
      </c>
      <c r="AA89" s="6">
        <f ca="1">SQRT($B$9*AVERAGE(W89:OFFSET(W89,$B$8-1,0)))</f>
        <v>0.11246947053967127</v>
      </c>
      <c r="AB89" s="1"/>
      <c r="AC89" s="34">
        <f t="shared" si="13"/>
        <v>1.6152309095969437E-6</v>
      </c>
      <c r="AD89" s="34">
        <f ca="1">SQRT($B$9*SUM(AC89:OFFSET(AC89,$B$5-1,0))/($B$5-1))</f>
        <v>0.16396841001573112</v>
      </c>
      <c r="AE89" s="34">
        <f ca="1">SQRT($B$9*SUM(AC89:OFFSET(AC89,$B$6-1,0))/($B$6-1))</f>
        <v>0.12739558091652423</v>
      </c>
      <c r="AF89" s="34">
        <f ca="1">SQRT($B$9*SUM(AC89:OFFSET(AC89,$B$7-1,0))/($B$7-1))</f>
        <v>0.10679344701762031</v>
      </c>
      <c r="AG89" s="34">
        <f ca="1">SQRT($B$9*SUM(AC89:OFFSET(AC89,$B$8-1,0))/($B$8-1))</f>
        <v>9.9150392186914627E-2</v>
      </c>
      <c r="AH89" s="1"/>
      <c r="AI89" s="1">
        <f t="shared" si="14"/>
        <v>1.2709173496325179E-3</v>
      </c>
      <c r="AJ89" s="4">
        <f ca="1">SQRT($B$9)*_xlfn.STDEV.S(AI89:OFFSET(AI89,$B$5-1,0))</f>
        <v>0.15007521068540206</v>
      </c>
      <c r="AK89" s="4">
        <f ca="1">SQRT($B$9)*_xlfn.STDEV.S(AI89:OFFSET(AI89,$B$6-1,0))</f>
        <v>0.11847656907992409</v>
      </c>
      <c r="AL89" s="4">
        <f ca="1">SQRT($B$9)*_xlfn.STDEV.S(AI89:OFFSET(AI89,$B$7-1,0))</f>
        <v>0.10576013479174017</v>
      </c>
      <c r="AM89" s="4">
        <f ca="1">SQRT($B$9)*_xlfn.STDEV.S(AI89:OFFSET(AI89,$B$8-1,0))</f>
        <v>9.8661125894220825E-2</v>
      </c>
    </row>
    <row r="90" spans="5:39" x14ac:dyDescent="0.2">
      <c r="E90" s="42">
        <v>45539</v>
      </c>
      <c r="F90" s="43">
        <v>2.3203274547978578</v>
      </c>
      <c r="G90" s="43">
        <v>2.3311060029409223</v>
      </c>
      <c r="H90" s="43">
        <v>2.3075891706287819</v>
      </c>
      <c r="I90" s="43">
        <v>2.3115086426808054</v>
      </c>
      <c r="K90" s="3">
        <f t="shared" si="12"/>
        <v>1.0280953837363648E-4</v>
      </c>
      <c r="L90" s="3">
        <f ca="1">SQRT(AVERAGE(K90:OFFSET(K90,$B$5-1,0))*$B$9/(4*LN(2)))</f>
        <v>0.11587521224129725</v>
      </c>
      <c r="M90" s="3">
        <f ca="1">SQRT(AVERAGE(K90:OFFSET(K90,$B$6-1,0))*$B$9/(4*LN(2)))</f>
        <v>9.8837989561171638E-2</v>
      </c>
      <c r="N90" s="3">
        <f ca="1">SQRT(AVERAGE(K90:OFFSET(K90,$B$7-1,0))*$B$9/(4*LN(2)))</f>
        <v>9.9930209702218775E-2</v>
      </c>
      <c r="O90" s="3">
        <f ca="1">SQRT(AVERAGE(K90:OFFSET(K90,$B$8-1,0))*$B$9/(4*LN(2)))</f>
        <v>0.10648211106853224</v>
      </c>
      <c r="P90" s="1"/>
      <c r="Q90" s="5">
        <f t="shared" si="9"/>
        <v>4.5949615024449165E-5</v>
      </c>
      <c r="R90" s="5">
        <f ca="1">SQRT($B$9*AVERAGE((Q90:OFFSET(Q90,$B$5-1,0))))</f>
        <v>0.11303974792228795</v>
      </c>
      <c r="S90" s="5">
        <f ca="1">SQRT($B$9*AVERAGE((Q90:OFFSET(Q90,$B$6-1,0))))</f>
        <v>9.9708619038764212E-2</v>
      </c>
      <c r="T90" s="5">
        <f ca="1">SQRT($B$9*AVERAGE((Q90:OFFSET(Q90,$B$7-1,0))))</f>
        <v>0.1012720720829781</v>
      </c>
      <c r="U90" s="5">
        <f ca="1">SQRT($B$9*AVERAGE((Q90:OFFSET(Q90,$B$8-1,0))))</f>
        <v>0.11103991202753788</v>
      </c>
      <c r="V90" s="1"/>
      <c r="W90" s="6">
        <f t="shared" si="10"/>
        <v>4.8468935603494917E-5</v>
      </c>
      <c r="X90" s="6">
        <f ca="1">SQRT($B$9*AVERAGE(W90:OFFSET(W90,$B$5-1,0)))</f>
        <v>0.11178346913991374</v>
      </c>
      <c r="Y90" s="6">
        <f ca="1">SQRT($B$9*AVERAGE(W90:OFFSET(W90,$B$6-1,0)))</f>
        <v>9.907642276973061E-2</v>
      </c>
      <c r="Z90" s="6">
        <f ca="1">SQRT($B$9*AVERAGE(W90:OFFSET(W90,$B$7-1,0)))</f>
        <v>0.10165069571303434</v>
      </c>
      <c r="AA90" s="6">
        <f ca="1">SQRT($B$9*AVERAGE(W90:OFFSET(W90,$B$8-1,0)))</f>
        <v>0.11247800598964561</v>
      </c>
      <c r="AB90" s="1"/>
      <c r="AC90" s="34">
        <f t="shared" si="13"/>
        <v>7.1274639421621942E-5</v>
      </c>
      <c r="AD90" s="34">
        <f ca="1">SQRT($B$9*SUM(AC90:OFFSET(AC90,$B$5-1,0))/($B$5-1))</f>
        <v>0.1760130773314269</v>
      </c>
      <c r="AE90" s="34">
        <f ca="1">SQRT($B$9*SUM(AC90:OFFSET(AC90,$B$6-1,0))/($B$6-1))</f>
        <v>0.12751292946220133</v>
      </c>
      <c r="AF90" s="34">
        <f ca="1">SQRT($B$9*SUM(AC90:OFFSET(AC90,$B$7-1,0))/($B$7-1))</f>
        <v>0.10720764496499428</v>
      </c>
      <c r="AG90" s="34">
        <f ca="1">SQRT($B$9*SUM(AC90:OFFSET(AC90,$B$8-1,0))/($B$8-1))</f>
        <v>9.9462956585146187E-2</v>
      </c>
      <c r="AH90" s="1"/>
      <c r="AI90" s="1">
        <f t="shared" si="14"/>
        <v>-8.4424308952825867E-3</v>
      </c>
      <c r="AJ90" s="4">
        <f ca="1">SQRT($B$9)*_xlfn.STDEV.S(AI90:OFFSET(AI90,$B$5-1,0))</f>
        <v>0.14521579485051886</v>
      </c>
      <c r="AK90" s="4">
        <f ca="1">SQRT($B$9)*_xlfn.STDEV.S(AI90:OFFSET(AI90,$B$6-1,0))</f>
        <v>0.11884615540136503</v>
      </c>
      <c r="AL90" s="4">
        <f ca="1">SQRT($B$9)*_xlfn.STDEV.S(AI90:OFFSET(AI90,$B$7-1,0))</f>
        <v>0.10635413120793948</v>
      </c>
      <c r="AM90" s="4">
        <f ca="1">SQRT($B$9)*_xlfn.STDEV.S(AI90:OFFSET(AI90,$B$8-1,0))</f>
        <v>9.8825489486143531E-2</v>
      </c>
    </row>
    <row r="91" spans="5:39" x14ac:dyDescent="0.2">
      <c r="E91" s="42">
        <v>45538</v>
      </c>
      <c r="F91" s="43">
        <v>2.3409046830709808</v>
      </c>
      <c r="G91" s="43">
        <v>2.3438442871099983</v>
      </c>
      <c r="H91" s="43">
        <v>2.3271865308888988</v>
      </c>
      <c r="I91" s="43">
        <v>2.3311060029409223</v>
      </c>
      <c r="K91" s="3">
        <f t="shared" si="12"/>
        <v>5.0871109814683234E-5</v>
      </c>
      <c r="L91" s="3">
        <f ca="1">SQRT(AVERAGE(K91:OFFSET(K91,$B$5-1,0))*$B$9/(4*LN(2)))</f>
        <v>0.11676205182028461</v>
      </c>
      <c r="M91" s="3">
        <f ca="1">SQRT(AVERAGE(K91:OFFSET(K91,$B$6-1,0))*$B$9/(4*LN(2)))</f>
        <v>9.8624157374196414E-2</v>
      </c>
      <c r="N91" s="3">
        <f ca="1">SQRT(AVERAGE(K91:OFFSET(K91,$B$7-1,0))*$B$9/(4*LN(2)))</f>
        <v>9.9507964315299402E-2</v>
      </c>
      <c r="O91" s="3">
        <f ca="1">SQRT(AVERAGE(K91:OFFSET(K91,$B$8-1,0))*$B$9/(4*LN(2)))</f>
        <v>0.10599399520942918</v>
      </c>
      <c r="P91" s="1"/>
      <c r="Q91" s="5">
        <f t="shared" si="9"/>
        <v>1.8607570852870186E-5</v>
      </c>
      <c r="R91" s="5">
        <f ca="1">SQRT($B$9*AVERAGE((Q91:OFFSET(Q91,$B$5-1,0))))</f>
        <v>0.1131139492837126</v>
      </c>
      <c r="S91" s="5">
        <f ca="1">SQRT($B$9*AVERAGE((Q91:OFFSET(Q91,$B$6-1,0))))</f>
        <v>9.9829105126673617E-2</v>
      </c>
      <c r="T91" s="5">
        <f ca="1">SQRT($B$9*AVERAGE((Q91:OFFSET(Q91,$B$7-1,0))))</f>
        <v>0.10101243901772201</v>
      </c>
      <c r="U91" s="5">
        <f ca="1">SQRT($B$9*AVERAGE((Q91:OFFSET(Q91,$B$8-1,0))))</f>
        <v>0.11049141536568138</v>
      </c>
      <c r="V91" s="1"/>
      <c r="W91" s="6">
        <f t="shared" si="10"/>
        <v>1.6729582612031849E-5</v>
      </c>
      <c r="X91" s="6">
        <f ca="1">SQRT($B$9*AVERAGE(W91:OFFSET(W91,$B$5-1,0)))</f>
        <v>0.11150013024732953</v>
      </c>
      <c r="Y91" s="6">
        <f ca="1">SQRT($B$9*AVERAGE(W91:OFFSET(W91,$B$6-1,0)))</f>
        <v>9.9825680156440513E-2</v>
      </c>
      <c r="Z91" s="6">
        <f ca="1">SQRT($B$9*AVERAGE(W91:OFFSET(W91,$B$7-1,0)))</f>
        <v>0.10208198698129546</v>
      </c>
      <c r="AA91" s="6">
        <f ca="1">SQRT($B$9*AVERAGE(W91:OFFSET(W91,$B$8-1,0)))</f>
        <v>0.11190286384973501</v>
      </c>
      <c r="AB91" s="1"/>
      <c r="AC91" s="34">
        <f t="shared" si="13"/>
        <v>2.1281011046218782E-5</v>
      </c>
      <c r="AD91" s="34">
        <f ca="1">SQRT($B$9*SUM(AC91:OFFSET(AC91,$B$5-1,0))/($B$5-1))</f>
        <v>0.17204433785106962</v>
      </c>
      <c r="AE91" s="34">
        <f ca="1">SQRT($B$9*SUM(AC91:OFFSET(AC91,$B$6-1,0))/($B$6-1))</f>
        <v>0.1224012247478341</v>
      </c>
      <c r="AF91" s="34">
        <f ca="1">SQRT($B$9*SUM(AC91:OFFSET(AC91,$B$7-1,0))/($B$7-1))</f>
        <v>0.10287548833167938</v>
      </c>
      <c r="AG91" s="34">
        <f ca="1">SQRT($B$9*SUM(AC91:OFFSET(AC91,$B$8-1,0))/($B$8-1))</f>
        <v>9.7995239377653878E-2</v>
      </c>
      <c r="AH91" s="1"/>
      <c r="AI91" s="1">
        <f t="shared" si="14"/>
        <v>-4.6131346225986927E-3</v>
      </c>
      <c r="AJ91" s="4">
        <f ca="1">SQRT($B$9)*_xlfn.STDEV.S(AI91:OFFSET(AI91,$B$5-1,0))</f>
        <v>0.14386873168943634</v>
      </c>
      <c r="AK91" s="4">
        <f ca="1">SQRT($B$9)*_xlfn.STDEV.S(AI91:OFFSET(AI91,$B$6-1,0))</f>
        <v>0.11553501377578616</v>
      </c>
      <c r="AL91" s="4">
        <f ca="1">SQRT($B$9)*_xlfn.STDEV.S(AI91:OFFSET(AI91,$B$7-1,0))</f>
        <v>0.10260962538396097</v>
      </c>
      <c r="AM91" s="4">
        <f ca="1">SQRT($B$9)*_xlfn.STDEV.S(AI91:OFFSET(AI91,$B$8-1,0))</f>
        <v>9.7548907507115534E-2</v>
      </c>
    </row>
    <row r="92" spans="5:39" x14ac:dyDescent="0.2">
      <c r="E92" s="42">
        <v>45537</v>
      </c>
      <c r="F92" s="43">
        <v>2.3673611194221387</v>
      </c>
      <c r="G92" s="43">
        <v>2.3703007234611562</v>
      </c>
      <c r="H92" s="43">
        <v>2.3389449470449692</v>
      </c>
      <c r="I92" s="43">
        <v>2.3418845510839867</v>
      </c>
      <c r="K92" s="3">
        <f t="shared" si="12"/>
        <v>1.7733940669245466E-4</v>
      </c>
      <c r="L92" s="3">
        <f ca="1">SQRT(AVERAGE(K92:OFFSET(K92,$B$5-1,0))*$B$9/(4*LN(2)))</f>
        <v>0.11576449287041239</v>
      </c>
      <c r="M92" s="3">
        <f ca="1">SQRT(AVERAGE(K92:OFFSET(K92,$B$6-1,0))*$B$9/(4*LN(2)))</f>
        <v>0.10031939909477476</v>
      </c>
      <c r="N92" s="3">
        <f ca="1">SQRT(AVERAGE(K92:OFFSET(K92,$B$7-1,0))*$B$9/(4*LN(2)))</f>
        <v>0.1094677568301371</v>
      </c>
      <c r="O92" s="3">
        <f ca="1">SQRT(AVERAGE(K92:OFFSET(K92,$B$8-1,0))*$B$9/(4*LN(2)))</f>
        <v>0.10694950169992609</v>
      </c>
      <c r="P92" s="1"/>
      <c r="Q92" s="5">
        <f t="shared" si="9"/>
        <v>4.2985526971264486E-5</v>
      </c>
      <c r="R92" s="5">
        <f ca="1">SQRT($B$9*AVERAGE((Q92:OFFSET(Q92,$B$5-1,0))))</f>
        <v>0.11305685645454576</v>
      </c>
      <c r="S92" s="5">
        <f ca="1">SQRT($B$9*AVERAGE((Q92:OFFSET(Q92,$B$6-1,0))))</f>
        <v>0.10205259623117217</v>
      </c>
      <c r="T92" s="5">
        <f ca="1">SQRT($B$9*AVERAGE((Q92:OFFSET(Q92,$B$7-1,0))))</f>
        <v>0.11237374311681658</v>
      </c>
      <c r="U92" s="5">
        <f ca="1">SQRT($B$9*AVERAGE((Q92:OFFSET(Q92,$B$8-1,0))))</f>
        <v>0.11127233926159612</v>
      </c>
      <c r="V92" s="1"/>
      <c r="W92" s="6">
        <f t="shared" si="10"/>
        <v>3.0134545972864297E-5</v>
      </c>
      <c r="X92" s="6">
        <f ca="1">SQRT($B$9*AVERAGE(W92:OFFSET(W92,$B$5-1,0)))</f>
        <v>0.11188005598183152</v>
      </c>
      <c r="Y92" s="6">
        <f ca="1">SQRT($B$9*AVERAGE(W92:OFFSET(W92,$B$6-1,0)))</f>
        <v>0.10342142274112545</v>
      </c>
      <c r="Z92" s="6">
        <f ca="1">SQRT($B$9*AVERAGE(W92:OFFSET(W92,$B$7-1,0)))</f>
        <v>0.11352132380311548</v>
      </c>
      <c r="AA92" s="6">
        <f ca="1">SQRT($B$9*AVERAGE(W92:OFFSET(W92,$B$8-1,0)))</f>
        <v>0.11260726806536989</v>
      </c>
      <c r="AB92" s="1"/>
      <c r="AC92" s="34">
        <f t="shared" si="13"/>
        <v>2.6199579220891159E-4</v>
      </c>
      <c r="AD92" s="34">
        <f ca="1">SQRT($B$9*SUM(AC92:OFFSET(AC92,$B$5-1,0))/($B$5-1))</f>
        <v>0.16833550674383832</v>
      </c>
      <c r="AE92" s="34">
        <f ca="1">SQRT($B$9*SUM(AC92:OFFSET(AC92,$B$6-1,0))/($B$6-1))</f>
        <v>0.12094013373807493</v>
      </c>
      <c r="AF92" s="34">
        <f ca="1">SQRT($B$9*SUM(AC92:OFFSET(AC92,$B$7-1,0))/($B$7-1))</f>
        <v>0.10429660814875905</v>
      </c>
      <c r="AG92" s="34">
        <f ca="1">SQRT($B$9*SUM(AC92:OFFSET(AC92,$B$8-1,0))/($B$8-1))</f>
        <v>0.10060994516728224</v>
      </c>
      <c r="AH92" s="1"/>
      <c r="AI92" s="1">
        <f t="shared" si="14"/>
        <v>-1.6186284076615966E-2</v>
      </c>
      <c r="AJ92" s="4">
        <f ca="1">SQRT($B$9)*_xlfn.STDEV.S(AI92:OFFSET(AI92,$B$5-1,0))</f>
        <v>0.15053778972651874</v>
      </c>
      <c r="AK92" s="4">
        <f ca="1">SQRT($B$9)*_xlfn.STDEV.S(AI92:OFFSET(AI92,$B$6-1,0))</f>
        <v>0.11496685687350509</v>
      </c>
      <c r="AL92" s="4">
        <f ca="1">SQRT($B$9)*_xlfn.STDEV.S(AI92:OFFSET(AI92,$B$7-1,0))</f>
        <v>0.10390581664386941</v>
      </c>
      <c r="AM92" s="4">
        <f ca="1">SQRT($B$9)*_xlfn.STDEV.S(AI92:OFFSET(AI92,$B$8-1,0))</f>
        <v>9.9972101852079789E-2</v>
      </c>
    </row>
    <row r="93" spans="5:39" x14ac:dyDescent="0.2">
      <c r="E93" s="42">
        <v>45534</v>
      </c>
      <c r="F93" s="43">
        <v>2.3536429672400572</v>
      </c>
      <c r="G93" s="43">
        <v>2.3977370278253201</v>
      </c>
      <c r="H93" s="43">
        <v>2.3526630992270507</v>
      </c>
      <c r="I93" s="43">
        <v>2.3800994035912146</v>
      </c>
      <c r="K93" s="3">
        <f t="shared" si="12"/>
        <v>3.6014426214001067E-4</v>
      </c>
      <c r="L93" s="3">
        <f ca="1">SQRT(AVERAGE(K93:OFFSET(K93,$B$5-1,0))*$B$9/(4*LN(2)))</f>
        <v>0.10817438159734673</v>
      </c>
      <c r="M93" s="3">
        <f ca="1">SQRT(AVERAGE(K93:OFFSET(K93,$B$6-1,0))*$B$9/(4*LN(2)))</f>
        <v>9.6683305394360902E-2</v>
      </c>
      <c r="N93" s="3">
        <f ca="1">SQRT(AVERAGE(K93:OFFSET(K93,$B$7-1,0))*$B$9/(4*LN(2)))</f>
        <v>0.11080784448613358</v>
      </c>
      <c r="O93" s="3">
        <f ca="1">SQRT(AVERAGE(K93:OFFSET(K93,$B$8-1,0))*$B$9/(4*LN(2)))</f>
        <v>0.10692867432487391</v>
      </c>
      <c r="P93" s="1"/>
      <c r="Q93" s="5">
        <f t="shared" si="9"/>
        <v>1.3203211298615364E-4</v>
      </c>
      <c r="R93" s="5">
        <f ca="1">SQRT($B$9*AVERAGE((Q93:OFFSET(Q93,$B$5-1,0))))</f>
        <v>0.11221208813602586</v>
      </c>
      <c r="S93" s="5">
        <f ca="1">SQRT($B$9*AVERAGE((Q93:OFFSET(Q93,$B$6-1,0))))</f>
        <v>0.1017621110866347</v>
      </c>
      <c r="T93" s="5">
        <f ca="1">SQRT($B$9*AVERAGE((Q93:OFFSET(Q93,$B$7-1,0))))</f>
        <v>0.11643941194558295</v>
      </c>
      <c r="U93" s="5">
        <f ca="1">SQRT($B$9*AVERAGE((Q93:OFFSET(Q93,$B$8-1,0))))</f>
        <v>0.11175630460085716</v>
      </c>
      <c r="V93" s="1"/>
      <c r="W93" s="6">
        <f t="shared" si="10"/>
        <v>1.4186676185516707E-4</v>
      </c>
      <c r="X93" s="6">
        <f ca="1">SQRT($B$9*AVERAGE(W93:OFFSET(W93,$B$5-1,0)))</f>
        <v>0.11415384252662895</v>
      </c>
      <c r="Y93" s="6">
        <f ca="1">SQRT($B$9*AVERAGE(W93:OFFSET(W93,$B$6-1,0)))</f>
        <v>0.10598339006370389</v>
      </c>
      <c r="Z93" s="6">
        <f ca="1">SQRT($B$9*AVERAGE(W93:OFFSET(W93,$B$7-1,0)))</f>
        <v>0.12018120249992494</v>
      </c>
      <c r="AA93" s="6">
        <f ca="1">SQRT($B$9*AVERAGE(W93:OFFSET(W93,$B$8-1,0)))</f>
        <v>0.11331548326929888</v>
      </c>
      <c r="AB93" s="1"/>
      <c r="AC93" s="34">
        <f t="shared" si="13"/>
        <v>8.2782542464049437E-5</v>
      </c>
      <c r="AD93" s="34">
        <f ca="1">SQRT($B$9*SUM(AC93:OFFSET(AC93,$B$5-1,0))/($B$5-1))</f>
        <v>0.11127410551823352</v>
      </c>
      <c r="AE93" s="34">
        <f ca="1">SQRT($B$9*SUM(AC93:OFFSET(AC93,$B$6-1,0))/($B$6-1))</f>
        <v>8.9710071835320815E-2</v>
      </c>
      <c r="AF93" s="34">
        <f ca="1">SQRT($B$9*SUM(AC93:OFFSET(AC93,$B$7-1,0))/($B$7-1))</f>
        <v>8.9781755340544708E-2</v>
      </c>
      <c r="AG93" s="34">
        <f ca="1">SQRT($B$9*SUM(AC93:OFFSET(AC93,$B$8-1,0))/($B$8-1))</f>
        <v>9.5471324332443083E-2</v>
      </c>
      <c r="AH93" s="1"/>
      <c r="AI93" s="1">
        <f t="shared" si="14"/>
        <v>9.0984912191005296E-3</v>
      </c>
      <c r="AJ93" s="4">
        <f ca="1">SQRT($B$9)*_xlfn.STDEV.S(AI93:OFFSET(AI93,$B$5-1,0))</f>
        <v>0.10887554815651419</v>
      </c>
      <c r="AK93" s="4">
        <f ca="1">SQRT($B$9)*_xlfn.STDEV.S(AI93:OFFSET(AI93,$B$6-1,0))</f>
        <v>8.9645891863800356E-2</v>
      </c>
      <c r="AL93" s="4">
        <f ca="1">SQRT($B$9)*_xlfn.STDEV.S(AI93:OFFSET(AI93,$B$7-1,0))</f>
        <v>8.9772033730997861E-2</v>
      </c>
      <c r="AM93" s="4">
        <f ca="1">SQRT($B$9)*_xlfn.STDEV.S(AI93:OFFSET(AI93,$B$8-1,0))</f>
        <v>9.5117650711730534E-2</v>
      </c>
    </row>
    <row r="94" spans="5:39" x14ac:dyDescent="0.2">
      <c r="E94" s="42">
        <v>45533</v>
      </c>
      <c r="F94" s="43">
        <v>2.3722604594871677</v>
      </c>
      <c r="G94" s="43">
        <v>2.3761799315391912</v>
      </c>
      <c r="H94" s="43">
        <v>2.3565825712790742</v>
      </c>
      <c r="I94" s="43">
        <v>2.3585423073050862</v>
      </c>
      <c r="K94" s="3">
        <f t="shared" si="12"/>
        <v>6.8585243600412081E-5</v>
      </c>
      <c r="L94" s="3">
        <f ca="1">SQRT(AVERAGE(K94:OFFSET(K94,$B$5-1,0))*$B$9/(4*LN(2)))</f>
        <v>8.1532690123884408E-2</v>
      </c>
      <c r="M94" s="3">
        <f ca="1">SQRT(AVERAGE(K94:OFFSET(K94,$B$6-1,0))*$B$9/(4*LN(2)))</f>
        <v>8.2622974012909231E-2</v>
      </c>
      <c r="N94" s="3">
        <f ca="1">SQRT(AVERAGE(K94:OFFSET(K94,$B$7-1,0))*$B$9/(4*LN(2)))</f>
        <v>0.10510727213185576</v>
      </c>
      <c r="O94" s="3">
        <f ca="1">SQRT(AVERAGE(K94:OFFSET(K94,$B$8-1,0))*$B$9/(4*LN(2)))</f>
        <v>0.10541931109863803</v>
      </c>
      <c r="P94" s="1"/>
      <c r="Q94" s="5">
        <f t="shared" si="9"/>
        <v>2.1200370294536028E-5</v>
      </c>
      <c r="R94" s="5">
        <f ca="1">SQRT($B$9*AVERAGE((Q94:OFFSET(Q94,$B$5-1,0))))</f>
        <v>8.4949637239846928E-2</v>
      </c>
      <c r="S94" s="5">
        <f ca="1">SQRT($B$9*AVERAGE((Q94:OFFSET(Q94,$B$6-1,0))))</f>
        <v>8.8116258345961082E-2</v>
      </c>
      <c r="T94" s="5">
        <f ca="1">SQRT($B$9*AVERAGE((Q94:OFFSET(Q94,$B$7-1,0))))</f>
        <v>0.111485063773083</v>
      </c>
      <c r="U94" s="5">
        <f ca="1">SQRT($B$9*AVERAGE((Q94:OFFSET(Q94,$B$8-1,0))))</f>
        <v>0.1106287228661971</v>
      </c>
      <c r="V94" s="1"/>
      <c r="W94" s="6">
        <f t="shared" si="10"/>
        <v>1.7811275445300028E-5</v>
      </c>
      <c r="X94" s="6">
        <f ca="1">SQRT($B$9*AVERAGE(W94:OFFSET(W94,$B$5-1,0)))</f>
        <v>8.3576174836793665E-2</v>
      </c>
      <c r="Y94" s="6">
        <f ca="1">SQRT($B$9*AVERAGE(W94:OFFSET(W94,$B$6-1,0)))</f>
        <v>9.122606357209595E-2</v>
      </c>
      <c r="Z94" s="6">
        <f ca="1">SQRT($B$9*AVERAGE(W94:OFFSET(W94,$B$7-1,0)))</f>
        <v>0.11485920566997627</v>
      </c>
      <c r="AA94" s="6">
        <f ca="1">SQRT($B$9*AVERAGE(W94:OFFSET(W94,$B$8-1,0)))</f>
        <v>0.11215487698254666</v>
      </c>
      <c r="AB94" s="1"/>
      <c r="AC94" s="34">
        <f t="shared" si="13"/>
        <v>6.8471784519261446E-5</v>
      </c>
      <c r="AD94" s="34">
        <f ca="1">SQRT($B$9*SUM(AC94:OFFSET(AC94,$B$5-1,0))/($B$5-1))</f>
        <v>9.8137847440705028E-2</v>
      </c>
      <c r="AE94" s="34">
        <f ca="1">SQRT($B$9*SUM(AC94:OFFSET(AC94,$B$6-1,0))/($B$6-1))</f>
        <v>8.0369922779294584E-2</v>
      </c>
      <c r="AF94" s="34">
        <f ca="1">SQRT($B$9*SUM(AC94:OFFSET(AC94,$B$7-1,0))/($B$7-1))</f>
        <v>8.6489474201357525E-2</v>
      </c>
      <c r="AG94" s="34">
        <f ca="1">SQRT($B$9*SUM(AC94:OFFSET(AC94,$B$8-1,0))/($B$8-1))</f>
        <v>9.3657232755938721E-2</v>
      </c>
      <c r="AH94" s="1"/>
      <c r="AI94" s="1">
        <f t="shared" si="14"/>
        <v>-8.2747679435293802E-3</v>
      </c>
      <c r="AJ94" s="4">
        <f ca="1">SQRT($B$9)*_xlfn.STDEV.S(AI94:OFFSET(AI94,$B$5-1,0))</f>
        <v>9.2320761008367794E-2</v>
      </c>
      <c r="AK94" s="4">
        <f ca="1">SQRT($B$9)*_xlfn.STDEV.S(AI94:OFFSET(AI94,$B$6-1,0))</f>
        <v>7.9713614633293989E-2</v>
      </c>
      <c r="AL94" s="4">
        <f ca="1">SQRT($B$9)*_xlfn.STDEV.S(AI94:OFFSET(AI94,$B$7-1,0))</f>
        <v>8.541954829822837E-2</v>
      </c>
      <c r="AM94" s="4">
        <f ca="1">SQRT($B$9)*_xlfn.STDEV.S(AI94:OFFSET(AI94,$B$8-1,0))</f>
        <v>9.3066932476506839E-2</v>
      </c>
    </row>
    <row r="95" spans="5:39" x14ac:dyDescent="0.2">
      <c r="E95" s="42">
        <v>45532</v>
      </c>
      <c r="F95" s="43">
        <v>2.3908779517342791</v>
      </c>
      <c r="G95" s="43">
        <v>2.393817555773297</v>
      </c>
      <c r="H95" s="43">
        <v>2.3683409874351442</v>
      </c>
      <c r="I95" s="43">
        <v>2.3781396675652031</v>
      </c>
      <c r="K95" s="3">
        <f t="shared" si="12"/>
        <v>1.1448337795687334E-4</v>
      </c>
      <c r="L95" s="3">
        <f ca="1">SQRT(AVERAGE(K95:OFFSET(K95,$B$5-1,0))*$B$9/(4*LN(2)))</f>
        <v>7.817180789148262E-2</v>
      </c>
      <c r="M95" s="3">
        <f ca="1">SQRT(AVERAGE(K95:OFFSET(K95,$B$6-1,0))*$B$9/(4*LN(2)))</f>
        <v>0.10016881059738696</v>
      </c>
      <c r="N95" s="3">
        <f ca="1">SQRT(AVERAGE(K95:OFFSET(K95,$B$7-1,0))*$B$9/(4*LN(2)))</f>
        <v>0.10506067001833397</v>
      </c>
      <c r="O95" s="3">
        <f ca="1">SQRT(AVERAGE(K95:OFFSET(K95,$B$8-1,0))*$B$9/(4*LN(2)))</f>
        <v>0.10518914905332311</v>
      </c>
      <c r="P95" s="1"/>
      <c r="Q95" s="5">
        <f t="shared" si="9"/>
        <v>4.6292082620855412E-5</v>
      </c>
      <c r="R95" s="5">
        <f ca="1">SQRT($B$9*AVERAGE((Q95:OFFSET(Q95,$B$5-1,0))))</f>
        <v>8.4294915688316721E-2</v>
      </c>
      <c r="S95" s="5">
        <f ca="1">SQRT($B$9*AVERAGE((Q95:OFFSET(Q95,$B$6-1,0))))</f>
        <v>0.10194170642979436</v>
      </c>
      <c r="T95" s="5">
        <f ca="1">SQRT($B$9*AVERAGE((Q95:OFFSET(Q95,$B$7-1,0))))</f>
        <v>0.11163352944851467</v>
      </c>
      <c r="U95" s="5">
        <f ca="1">SQRT($B$9*AVERAGE((Q95:OFFSET(Q95,$B$8-1,0))))</f>
        <v>0.11045274531541116</v>
      </c>
      <c r="V95" s="1"/>
      <c r="W95" s="6">
        <f t="shared" si="10"/>
        <v>4.717781462833982E-5</v>
      </c>
      <c r="X95" s="6">
        <f ca="1">SQRT($B$9*AVERAGE(W95:OFFSET(W95,$B$5-1,0)))</f>
        <v>8.447917568690369E-2</v>
      </c>
      <c r="Y95" s="6">
        <f ca="1">SQRT($B$9*AVERAGE(W95:OFFSET(W95,$B$6-1,0)))</f>
        <v>0.10245999299069303</v>
      </c>
      <c r="Z95" s="6">
        <f ca="1">SQRT($B$9*AVERAGE(W95:OFFSET(W95,$B$7-1,0)))</f>
        <v>0.11505849195378515</v>
      </c>
      <c r="AA95" s="6">
        <f ca="1">SQRT($B$9*AVERAGE(W95:OFFSET(W95,$B$8-1,0)))</f>
        <v>0.11202365699663967</v>
      </c>
      <c r="AB95" s="1"/>
      <c r="AC95" s="34">
        <f t="shared" si="13"/>
        <v>4.8721999338913633E-5</v>
      </c>
      <c r="AD95" s="34">
        <f ca="1">SQRT($B$9*SUM(AC95:OFFSET(AC95,$B$5-1,0))/($B$5-1))</f>
        <v>7.4855712964301407E-2</v>
      </c>
      <c r="AE95" s="34">
        <f ca="1">SQRT($B$9*SUM(AC95:OFFSET(AC95,$B$6-1,0))/($B$6-1))</f>
        <v>9.7009852114011016E-2</v>
      </c>
      <c r="AF95" s="34">
        <f ca="1">SQRT($B$9*SUM(AC95:OFFSET(AC95,$B$7-1,0))/($B$7-1))</f>
        <v>8.4134980065041221E-2</v>
      </c>
      <c r="AG95" s="34">
        <f ca="1">SQRT($B$9*SUM(AC95:OFFSET(AC95,$B$8-1,0))/($B$8-1))</f>
        <v>9.2558455389146616E-2</v>
      </c>
      <c r="AH95" s="1"/>
      <c r="AI95" s="1">
        <f t="shared" si="14"/>
        <v>-6.9801145648845644E-3</v>
      </c>
      <c r="AJ95" s="4">
        <f ca="1">SQRT($B$9)*_xlfn.STDEV.S(AI95:OFFSET(AI95,$B$5-1,0))</f>
        <v>7.4841814689900671E-2</v>
      </c>
      <c r="AK95" s="4">
        <f ca="1">SQRT($B$9)*_xlfn.STDEV.S(AI95:OFFSET(AI95,$B$6-1,0))</f>
        <v>9.3639972437391222E-2</v>
      </c>
      <c r="AL95" s="4">
        <f ca="1">SQRT($B$9)*_xlfn.STDEV.S(AI95:OFFSET(AI95,$B$7-1,0))</f>
        <v>8.3300148474024296E-2</v>
      </c>
      <c r="AM95" s="4">
        <f ca="1">SQRT($B$9)*_xlfn.STDEV.S(AI95:OFFSET(AI95,$B$8-1,0))</f>
        <v>9.2072259221761432E-2</v>
      </c>
    </row>
    <row r="96" spans="5:39" x14ac:dyDescent="0.2">
      <c r="E96" s="42">
        <v>45531</v>
      </c>
      <c r="F96" s="43">
        <v>2.3918578197472851</v>
      </c>
      <c r="G96" s="43">
        <v>2.3996967638513316</v>
      </c>
      <c r="H96" s="43">
        <v>2.3849987436562441</v>
      </c>
      <c r="I96" s="43">
        <v>2.3947974237863026</v>
      </c>
      <c r="K96" s="3">
        <f t="shared" si="12"/>
        <v>3.7746074523807848E-5</v>
      </c>
      <c r="L96" s="3">
        <f ca="1">SQRT(AVERAGE(K96:OFFSET(K96,$B$5-1,0))*$B$9/(4*LN(2)))</f>
        <v>7.6289396971385801E-2</v>
      </c>
      <c r="M96" s="3">
        <f ca="1">SQRT(AVERAGE(K96:OFFSET(K96,$B$6-1,0))*$B$9/(4*LN(2)))</f>
        <v>9.6790209843393218E-2</v>
      </c>
      <c r="N96" s="3">
        <f ca="1">SQRT(AVERAGE(K96:OFFSET(K96,$B$7-1,0))*$B$9/(4*LN(2)))</f>
        <v>0.11030261500336738</v>
      </c>
      <c r="O96" s="3">
        <f ca="1">SQRT(AVERAGE(K96:OFFSET(K96,$B$8-1,0))*$B$9/(4*LN(2)))</f>
        <v>0.1051388624894872</v>
      </c>
      <c r="P96" s="1"/>
      <c r="Q96" s="5">
        <f t="shared" si="9"/>
        <v>1.8344045726859086E-5</v>
      </c>
      <c r="R96" s="5">
        <f ca="1">SQRT($B$9*AVERAGE((Q96:OFFSET(Q96,$B$5-1,0))))</f>
        <v>8.4480381972541999E-2</v>
      </c>
      <c r="S96" s="5">
        <f ca="1">SQRT($B$9*AVERAGE((Q96:OFFSET(Q96,$B$6-1,0))))</f>
        <v>9.7011918966325494E-2</v>
      </c>
      <c r="T96" s="5">
        <f ca="1">SQRT($B$9*AVERAGE((Q96:OFFSET(Q96,$B$7-1,0))))</f>
        <v>0.11289739652249514</v>
      </c>
      <c r="U96" s="5">
        <f ca="1">SQRT($B$9*AVERAGE((Q96:OFFSET(Q96,$B$8-1,0))))</f>
        <v>0.11029679045667341</v>
      </c>
      <c r="V96" s="1"/>
      <c r="W96" s="6">
        <f t="shared" si="10"/>
        <v>1.8461580190119721E-5</v>
      </c>
      <c r="X96" s="6">
        <f ca="1">SQRT($B$9*AVERAGE(W96:OFFSET(W96,$B$5-1,0)))</f>
        <v>8.6591303213547216E-2</v>
      </c>
      <c r="Y96" s="6">
        <f ca="1">SQRT($B$9*AVERAGE(W96:OFFSET(W96,$B$6-1,0)))</f>
        <v>9.6986442092640346E-2</v>
      </c>
      <c r="Z96" s="6">
        <f ca="1">SQRT($B$9*AVERAGE(W96:OFFSET(W96,$B$7-1,0)))</f>
        <v>0.11455922945961411</v>
      </c>
      <c r="AA96" s="6">
        <f ca="1">SQRT($B$9*AVERAGE(W96:OFFSET(W96,$B$8-1,0)))</f>
        <v>0.11179319447562724</v>
      </c>
      <c r="AB96" s="1"/>
      <c r="AC96" s="34">
        <f t="shared" si="13"/>
        <v>6.7021339873863566E-7</v>
      </c>
      <c r="AD96" s="34">
        <f ca="1">SQRT($B$9*SUM(AC96:OFFSET(AC96,$B$5-1,0))/($B$5-1))</f>
        <v>6.4112248501117616E-2</v>
      </c>
      <c r="AE96" s="34">
        <f ca="1">SQRT($B$9*SUM(AC96:OFFSET(AC96,$B$6-1,0))/($B$6-1))</f>
        <v>9.4263654045293285E-2</v>
      </c>
      <c r="AF96" s="34">
        <f ca="1">SQRT($B$9*SUM(AC96:OFFSET(AC96,$B$7-1,0))/($B$7-1))</f>
        <v>0.10041907230135161</v>
      </c>
      <c r="AG96" s="34">
        <f ca="1">SQRT($B$9*SUM(AC96:OFFSET(AC96,$B$8-1,0))/($B$8-1))</f>
        <v>9.2163112605181993E-2</v>
      </c>
      <c r="AH96" s="1"/>
      <c r="AI96" s="1">
        <f t="shared" si="14"/>
        <v>8.1866562083590373E-4</v>
      </c>
      <c r="AJ96" s="4">
        <f ca="1">SQRT($B$9)*_xlfn.STDEV.S(AI96:OFFSET(AI96,$B$5-1,0))</f>
        <v>6.3532418351470957E-2</v>
      </c>
      <c r="AK96" s="4">
        <f ca="1">SQRT($B$9)*_xlfn.STDEV.S(AI96:OFFSET(AI96,$B$6-1,0))</f>
        <v>9.0035980112258121E-2</v>
      </c>
      <c r="AL96" s="4">
        <f ca="1">SQRT($B$9)*_xlfn.STDEV.S(AI96:OFFSET(AI96,$B$7-1,0))</f>
        <v>0.10015624403886463</v>
      </c>
      <c r="AM96" s="4">
        <f ca="1">SQRT($B$9)*_xlfn.STDEV.S(AI96:OFFSET(AI96,$B$8-1,0))</f>
        <v>9.1956331554146134E-2</v>
      </c>
    </row>
    <row r="97" spans="5:39" x14ac:dyDescent="0.2">
      <c r="E97" s="42">
        <v>45530</v>
      </c>
      <c r="F97" s="43">
        <v>2.3977370278253201</v>
      </c>
      <c r="G97" s="43">
        <v>2.403616235903355</v>
      </c>
      <c r="H97" s="43">
        <v>2.3820591396172266</v>
      </c>
      <c r="I97" s="43">
        <v>2.392837687760291</v>
      </c>
      <c r="K97" s="3">
        <f t="shared" si="12"/>
        <v>8.1163341226440911E-5</v>
      </c>
      <c r="L97" s="3">
        <f ca="1">SQRT(AVERAGE(K97:OFFSET(K97,$B$5-1,0))*$B$9/(4*LN(2)))</f>
        <v>8.2015522067043073E-2</v>
      </c>
      <c r="M97" s="3">
        <f ca="1">SQRT(AVERAGE(K97:OFFSET(K97,$B$6-1,0))*$B$9/(4*LN(2)))</f>
        <v>9.7358713905221703E-2</v>
      </c>
      <c r="N97" s="3">
        <f ca="1">SQRT(AVERAGE(K97:OFFSET(K97,$B$7-1,0))*$B$9/(4*LN(2)))</f>
        <v>0.1115098870364717</v>
      </c>
      <c r="O97" s="3">
        <f ca="1">SQRT(AVERAGE(K97:OFFSET(K97,$B$8-1,0))*$B$9/(4*LN(2)))</f>
        <v>0.10536903336098387</v>
      </c>
      <c r="P97" s="1"/>
      <c r="Q97" s="5">
        <f t="shared" si="9"/>
        <v>3.9101852123580197E-5</v>
      </c>
      <c r="R97" s="5">
        <f ca="1">SQRT($B$9*AVERAGE((Q97:OFFSET(Q97,$B$5-1,0))))</f>
        <v>8.9708483454250559E-2</v>
      </c>
      <c r="S97" s="5">
        <f ca="1">SQRT($B$9*AVERAGE((Q97:OFFSET(Q97,$B$6-1,0))))</f>
        <v>9.7889853174195143E-2</v>
      </c>
      <c r="T97" s="5">
        <f ca="1">SQRT($B$9*AVERAGE((Q97:OFFSET(Q97,$B$7-1,0))))</f>
        <v>0.11435006577875739</v>
      </c>
      <c r="U97" s="5">
        <f ca="1">SQRT($B$9*AVERAGE((Q97:OFFSET(Q97,$B$8-1,0))))</f>
        <v>0.11057084737804403</v>
      </c>
      <c r="V97" s="1"/>
      <c r="W97" s="6">
        <f t="shared" si="10"/>
        <v>4.0623379382999944E-5</v>
      </c>
      <c r="X97" s="6">
        <f ca="1">SQRT($B$9*AVERAGE(W97:OFFSET(W97,$B$5-1,0)))</f>
        <v>9.4206339686347035E-2</v>
      </c>
      <c r="Y97" s="6">
        <f ca="1">SQRT($B$9*AVERAGE(W97:OFFSET(W97,$B$6-1,0)))</f>
        <v>9.8705499769343299E-2</v>
      </c>
      <c r="Z97" s="6">
        <f ca="1">SQRT($B$9*AVERAGE(W97:OFFSET(W97,$B$7-1,0)))</f>
        <v>0.1165549113560211</v>
      </c>
      <c r="AA97" s="6">
        <f ca="1">SQRT($B$9*AVERAGE(W97:OFFSET(W97,$B$8-1,0)))</f>
        <v>0.11204977859525062</v>
      </c>
      <c r="AB97" s="1"/>
      <c r="AC97" s="34">
        <f t="shared" si="13"/>
        <v>1.5073632812077434E-6</v>
      </c>
      <c r="AD97" s="34">
        <f ca="1">SQRT($B$9*SUM(AC97:OFFSET(AC97,$B$5-1,0))/($B$5-1))</f>
        <v>6.7622614956891008E-2</v>
      </c>
      <c r="AE97" s="34">
        <f ca="1">SQRT($B$9*SUM(AC97:OFFSET(AC97,$B$6-1,0))/($B$6-1))</f>
        <v>9.4191847322212363E-2</v>
      </c>
      <c r="AF97" s="34">
        <f ca="1">SQRT($B$9*SUM(AC97:OFFSET(AC97,$B$7-1,0))/($B$7-1))</f>
        <v>0.10220008257520762</v>
      </c>
      <c r="AG97" s="34">
        <f ca="1">SQRT($B$9*SUM(AC97:OFFSET(AC97,$B$8-1,0))/($B$8-1))</f>
        <v>9.2180439936258712E-2</v>
      </c>
      <c r="AH97" s="1"/>
      <c r="AI97" s="1">
        <f t="shared" si="14"/>
        <v>-1.2277472383221814E-3</v>
      </c>
      <c r="AJ97" s="4">
        <f ca="1">SQRT($B$9)*_xlfn.STDEV.S(AI97:OFFSET(AI97,$B$5-1,0))</f>
        <v>6.7485945599162656E-2</v>
      </c>
      <c r="AK97" s="4">
        <f ca="1">SQRT($B$9)*_xlfn.STDEV.S(AI97:OFFSET(AI97,$B$6-1,0))</f>
        <v>9.056779354131278E-2</v>
      </c>
      <c r="AL97" s="4">
        <f ca="1">SQRT($B$9)*_xlfn.STDEV.S(AI97:OFFSET(AI97,$B$7-1,0))</f>
        <v>0.10217408650865886</v>
      </c>
      <c r="AM97" s="4">
        <f ca="1">SQRT($B$9)*_xlfn.STDEV.S(AI97:OFFSET(AI97,$B$8-1,0))</f>
        <v>9.1980368939000745E-2</v>
      </c>
    </row>
    <row r="98" spans="5:39" x14ac:dyDescent="0.2">
      <c r="E98" s="42">
        <v>45527</v>
      </c>
      <c r="F98" s="43">
        <v>2.3810792716042211</v>
      </c>
      <c r="G98" s="43">
        <v>2.3996967638513316</v>
      </c>
      <c r="H98" s="43">
        <v>2.3791195355782091</v>
      </c>
      <c r="I98" s="43">
        <v>2.3957772917993081</v>
      </c>
      <c r="K98" s="3">
        <f t="shared" si="12"/>
        <v>7.4164903815407814E-5</v>
      </c>
      <c r="L98" s="3">
        <f ca="1">SQRT(AVERAGE(K98:OFFSET(K98,$B$5-1,0))*$B$9/(4*LN(2)))</f>
        <v>8.3627903536978201E-2</v>
      </c>
      <c r="M98" s="3">
        <f ca="1">SQRT(AVERAGE(K98:OFFSET(K98,$B$6-1,0))*$B$9/(4*LN(2)))</f>
        <v>9.4972712101614148E-2</v>
      </c>
      <c r="N98" s="3">
        <f ca="1">SQRT(AVERAGE(K98:OFFSET(K98,$B$7-1,0))*$B$9/(4*LN(2)))</f>
        <v>0.11064825807610823</v>
      </c>
      <c r="O98" s="3">
        <f ca="1">SQRT(AVERAGE(K98:OFFSET(K98,$B$8-1,0))*$B$9/(4*LN(2)))</f>
        <v>0.10549532870020122</v>
      </c>
      <c r="P98" s="1"/>
      <c r="Q98" s="5">
        <f t="shared" si="9"/>
        <v>2.2335952646038398E-5</v>
      </c>
      <c r="R98" s="5">
        <f ca="1">SQRT($B$9*AVERAGE((Q98:OFFSET(Q98,$B$5-1,0))))</f>
        <v>9.0108278097908001E-2</v>
      </c>
      <c r="S98" s="5">
        <f ca="1">SQRT($B$9*AVERAGE((Q98:OFFSET(Q98,$B$6-1,0))))</f>
        <v>9.4773793738609724E-2</v>
      </c>
      <c r="T98" s="5">
        <f ca="1">SQRT($B$9*AVERAGE((Q98:OFFSET(Q98,$B$7-1,0))))</f>
        <v>0.11313839558988038</v>
      </c>
      <c r="U98" s="5">
        <f ca="1">SQRT($B$9*AVERAGE((Q98:OFFSET(Q98,$B$8-1,0))))</f>
        <v>0.11057451988374196</v>
      </c>
      <c r="V98" s="1"/>
      <c r="W98" s="6">
        <f t="shared" si="10"/>
        <v>1.8476501380797713E-5</v>
      </c>
      <c r="X98" s="6">
        <f ca="1">SQRT($B$9*AVERAGE(W98:OFFSET(W98,$B$5-1,0)))</f>
        <v>9.7128050403557514E-2</v>
      </c>
      <c r="Y98" s="6">
        <f ca="1">SQRT($B$9*AVERAGE(W98:OFFSET(W98,$B$6-1,0)))</f>
        <v>9.5455694906829522E-2</v>
      </c>
      <c r="Z98" s="6">
        <f ca="1">SQRT($B$9*AVERAGE(W98:OFFSET(W98,$B$7-1,0)))</f>
        <v>0.11525219467109342</v>
      </c>
      <c r="AA98" s="6">
        <f ca="1">SQRT($B$9*AVERAGE(W98:OFFSET(W98,$B$8-1,0)))</f>
        <v>0.11206017734084696</v>
      </c>
      <c r="AB98" s="1"/>
      <c r="AC98" s="34">
        <f t="shared" si="13"/>
        <v>3.7870061507512769E-5</v>
      </c>
      <c r="AD98" s="34">
        <f ca="1">SQRT($B$9*SUM(AC98:OFFSET(AC98,$B$5-1,0))/($B$5-1))</f>
        <v>7.5669291431124677E-2</v>
      </c>
      <c r="AE98" s="34">
        <f ca="1">SQRT($B$9*SUM(AC98:OFFSET(AC98,$B$6-1,0))/($B$6-1))</f>
        <v>9.3998843875003624E-2</v>
      </c>
      <c r="AF98" s="34">
        <f ca="1">SQRT($B$9*SUM(AC98:OFFSET(AC98,$B$7-1,0))/($B$7-1))</f>
        <v>0.10296080708388819</v>
      </c>
      <c r="AG98" s="34">
        <f ca="1">SQRT($B$9*SUM(AC98:OFFSET(AC98,$B$8-1,0))/($B$8-1))</f>
        <v>9.2437226321924928E-2</v>
      </c>
      <c r="AH98" s="1"/>
      <c r="AI98" s="1">
        <f t="shared" si="14"/>
        <v>6.1538655743778453E-3</v>
      </c>
      <c r="AJ98" s="4">
        <f ca="1">SQRT($B$9)*_xlfn.STDEV.S(AI98:OFFSET(AI98,$B$5-1,0))</f>
        <v>7.4005214296545288E-2</v>
      </c>
      <c r="AK98" s="4">
        <f ca="1">SQRT($B$9)*_xlfn.STDEV.S(AI98:OFFSET(AI98,$B$6-1,0))</f>
        <v>8.954601052164439E-2</v>
      </c>
      <c r="AL98" s="4">
        <f ca="1">SQRT($B$9)*_xlfn.STDEV.S(AI98:OFFSET(AI98,$B$7-1,0))</f>
        <v>0.10296028311972064</v>
      </c>
      <c r="AM98" s="4">
        <f ca="1">SQRT($B$9)*_xlfn.STDEV.S(AI98:OFFSET(AI98,$B$8-1,0))</f>
        <v>9.2194616993009862E-2</v>
      </c>
    </row>
    <row r="99" spans="5:39" x14ac:dyDescent="0.2">
      <c r="E99" s="42">
        <v>45526</v>
      </c>
      <c r="F99" s="43">
        <v>2.3791195355782091</v>
      </c>
      <c r="G99" s="43">
        <v>2.3849987436562441</v>
      </c>
      <c r="H99" s="43">
        <v>2.3703007234611562</v>
      </c>
      <c r="I99" s="43">
        <v>2.3810792716042211</v>
      </c>
      <c r="K99" s="3">
        <f t="shared" si="12"/>
        <v>3.8214193014773046E-5</v>
      </c>
      <c r="L99" s="3">
        <f ca="1">SQRT(AVERAGE(K99:OFFSET(K99,$B$5-1,0))*$B$9/(4*LN(2)))</f>
        <v>8.3699056808535108E-2</v>
      </c>
      <c r="M99" s="3">
        <f ca="1">SQRT(AVERAGE(K99:OFFSET(K99,$B$6-1,0))*$B$9/(4*LN(2)))</f>
        <v>9.5744259941347859E-2</v>
      </c>
      <c r="N99" s="3">
        <f ca="1">SQRT(AVERAGE(K99:OFFSET(K99,$B$7-1,0))*$B$9/(4*LN(2)))</f>
        <v>0.11142807189994341</v>
      </c>
      <c r="O99" s="3">
        <f ca="1">SQRT(AVERAGE(K99:OFFSET(K99,$B$8-1,0))*$B$9/(4*LN(2)))</f>
        <v>0.10617391965101909</v>
      </c>
      <c r="P99" s="1"/>
      <c r="Q99" s="5">
        <f t="shared" si="9"/>
        <v>1.8938981390838862E-5</v>
      </c>
      <c r="R99" s="5">
        <f ca="1">SQRT($B$9*AVERAGE((Q99:OFFSET(Q99,$B$5-1,0))))</f>
        <v>9.1172962563485491E-2</v>
      </c>
      <c r="S99" s="5">
        <f ca="1">SQRT($B$9*AVERAGE((Q99:OFFSET(Q99,$B$6-1,0))))</f>
        <v>9.6063094487471551E-2</v>
      </c>
      <c r="T99" s="5">
        <f ca="1">SQRT($B$9*AVERAGE((Q99:OFFSET(Q99,$B$7-1,0))))</f>
        <v>0.11483097786680455</v>
      </c>
      <c r="U99" s="5">
        <f ca="1">SQRT($B$9*AVERAGE((Q99:OFFSET(Q99,$B$8-1,0))))</f>
        <v>0.11152462952432762</v>
      </c>
      <c r="V99" s="1"/>
      <c r="W99" s="6">
        <f t="shared" si="10"/>
        <v>2.0908298392002801E-5</v>
      </c>
      <c r="X99" s="6">
        <f ca="1">SQRT($B$9*AVERAGE(W99:OFFSET(W99,$B$5-1,0)))</f>
        <v>9.828230944259439E-2</v>
      </c>
      <c r="Y99" s="6">
        <f ca="1">SQRT($B$9*AVERAGE(W99:OFFSET(W99,$B$6-1,0)))</f>
        <v>9.7264687626667456E-2</v>
      </c>
      <c r="Z99" s="6">
        <f ca="1">SQRT($B$9*AVERAGE(W99:OFFSET(W99,$B$7-1,0)))</f>
        <v>0.11758579370684522</v>
      </c>
      <c r="AA99" s="6">
        <f ca="1">SQRT($B$9*AVERAGE(W99:OFFSET(W99,$B$8-1,0)))</f>
        <v>0.11306950244736004</v>
      </c>
      <c r="AB99" s="1"/>
      <c r="AC99" s="34">
        <f t="shared" si="13"/>
        <v>2.7140810596497967E-6</v>
      </c>
      <c r="AD99" s="34">
        <f ca="1">SQRT($B$9*SUM(AC99:OFFSET(AC99,$B$5-1,0))/($B$5-1))</f>
        <v>7.0017447801900765E-2</v>
      </c>
      <c r="AE99" s="34">
        <f ca="1">SQRT($B$9*SUM(AC99:OFFSET(AC99,$B$6-1,0))/($B$6-1))</f>
        <v>8.8584711408956018E-2</v>
      </c>
      <c r="AF99" s="34">
        <f ca="1">SQRT($B$9*SUM(AC99:OFFSET(AC99,$B$7-1,0))/($B$7-1))</f>
        <v>0.10094617048981719</v>
      </c>
      <c r="AG99" s="34">
        <f ca="1">SQRT($B$9*SUM(AC99:OFFSET(AC99,$B$8-1,0))/($B$8-1))</f>
        <v>9.2611495345070183E-2</v>
      </c>
      <c r="AH99" s="1"/>
      <c r="AI99" s="1">
        <f t="shared" si="14"/>
        <v>1.6474468305987288E-3</v>
      </c>
      <c r="AJ99" s="4">
        <f ca="1">SQRT($B$9)*_xlfn.STDEV.S(AI99:OFFSET(AI99,$B$5-1,0))</f>
        <v>6.9059637117029796E-2</v>
      </c>
      <c r="AK99" s="4">
        <f ca="1">SQRT($B$9)*_xlfn.STDEV.S(AI99:OFFSET(AI99,$B$6-1,0))</f>
        <v>8.7057810221728718E-2</v>
      </c>
      <c r="AL99" s="4">
        <f ca="1">SQRT($B$9)*_xlfn.STDEV.S(AI99:OFFSET(AI99,$B$7-1,0))</f>
        <v>0.10073138243427462</v>
      </c>
      <c r="AM99" s="4">
        <f ca="1">SQRT($B$9)*_xlfn.STDEV.S(AI99:OFFSET(AI99,$B$8-1,0))</f>
        <v>9.2060321591420469E-2</v>
      </c>
    </row>
    <row r="100" spans="5:39" x14ac:dyDescent="0.2">
      <c r="E100" s="42">
        <v>45525</v>
      </c>
      <c r="F100" s="43">
        <v>2.3830390076302321</v>
      </c>
      <c r="G100" s="43">
        <v>2.3869584796822556</v>
      </c>
      <c r="H100" s="43">
        <v>2.3634416473701152</v>
      </c>
      <c r="I100" s="43">
        <v>2.3771597995521976</v>
      </c>
      <c r="K100" s="3">
        <f t="shared" si="12"/>
        <v>9.8031206604692404E-5</v>
      </c>
      <c r="L100" s="3">
        <f ca="1">SQRT(AVERAGE(K100:OFFSET(K100,$B$5-1,0))*$B$9/(4*LN(2)))</f>
        <v>0.11813868834538284</v>
      </c>
      <c r="M100" s="3">
        <f ca="1">SQRT(AVERAGE(K100:OFFSET(K100,$B$6-1,0))*$B$9/(4*LN(2)))</f>
        <v>0.10101062044044957</v>
      </c>
      <c r="N100" s="3">
        <f ca="1">SQRT(AVERAGE(K100:OFFSET(K100,$B$7-1,0))*$B$9/(4*LN(2)))</f>
        <v>0.11421927079645552</v>
      </c>
      <c r="O100" s="3">
        <f ca="1">SQRT(AVERAGE(K100:OFFSET(K100,$B$8-1,0))*$B$9/(4*LN(2)))</f>
        <v>0.10653092707938794</v>
      </c>
      <c r="P100" s="1"/>
      <c r="Q100" s="5">
        <f t="shared" si="9"/>
        <v>4.6930901545879339E-5</v>
      </c>
      <c r="R100" s="5">
        <f ca="1">SQRT($B$9*AVERAGE((Q100:OFFSET(Q100,$B$5-1,0))))</f>
        <v>0.11695550525193898</v>
      </c>
      <c r="S100" s="5">
        <f ca="1">SQRT($B$9*AVERAGE((Q100:OFFSET(Q100,$B$6-1,0))))</f>
        <v>0.10281175252539182</v>
      </c>
      <c r="T100" s="5">
        <f ca="1">SQRT($B$9*AVERAGE((Q100:OFFSET(Q100,$B$7-1,0))))</f>
        <v>0.11783990127096508</v>
      </c>
      <c r="U100" s="5">
        <f ca="1">SQRT($B$9*AVERAGE((Q100:OFFSET(Q100,$B$8-1,0))))</f>
        <v>0.11200072993336714</v>
      </c>
      <c r="V100" s="1"/>
      <c r="W100" s="6">
        <f t="shared" si="10"/>
        <v>5.4551746617762935E-5</v>
      </c>
      <c r="X100" s="6">
        <f ca="1">SQRT($B$9*AVERAGE(W100:OFFSET(W100,$B$5-1,0)))</f>
        <v>0.11772582215710786</v>
      </c>
      <c r="Y100" s="6">
        <f ca="1">SQRT($B$9*AVERAGE(W100:OFFSET(W100,$B$6-1,0)))</f>
        <v>0.1041613667779057</v>
      </c>
      <c r="Z100" s="6">
        <f ca="1">SQRT($B$9*AVERAGE(W100:OFFSET(W100,$B$7-1,0)))</f>
        <v>0.12036163102799965</v>
      </c>
      <c r="AA100" s="6">
        <f ca="1">SQRT($B$9*AVERAGE(W100:OFFSET(W100,$B$8-1,0)))</f>
        <v>0.11399286256638798</v>
      </c>
      <c r="AB100" s="1"/>
      <c r="AC100" s="34">
        <f t="shared" si="13"/>
        <v>2.434653230993689E-5</v>
      </c>
      <c r="AD100" s="34">
        <f ca="1">SQRT($B$9*SUM(AC100:OFFSET(AC100,$B$5-1,0))/($B$5-1))</f>
        <v>0.12478450586016784</v>
      </c>
      <c r="AE100" s="34">
        <f ca="1">SQRT($B$9*SUM(AC100:OFFSET(AC100,$B$6-1,0))/($B$6-1))</f>
        <v>8.9467672013460994E-2</v>
      </c>
      <c r="AF100" s="34">
        <f ca="1">SQRT($B$9*SUM(AC100:OFFSET(AC100,$B$7-1,0))/($B$7-1))</f>
        <v>0.10667941580158694</v>
      </c>
      <c r="AG100" s="34">
        <f ca="1">SQRT($B$9*SUM(AC100:OFFSET(AC100,$B$8-1,0))/($B$8-1))</f>
        <v>9.2554147972027559E-2</v>
      </c>
      <c r="AH100" s="1"/>
      <c r="AI100" s="1">
        <f t="shared" si="14"/>
        <v>-4.9342205372213442E-3</v>
      </c>
      <c r="AJ100" s="4">
        <f ca="1">SQRT($B$9)*_xlfn.STDEV.S(AI100:OFFSET(AI100,$B$5-1,0))</f>
        <v>0.11328329284310754</v>
      </c>
      <c r="AK100" s="4">
        <f ca="1">SQRT($B$9)*_xlfn.STDEV.S(AI100:OFFSET(AI100,$B$6-1,0))</f>
        <v>8.7541344460471307E-2</v>
      </c>
      <c r="AL100" s="4">
        <f ca="1">SQRT($B$9)*_xlfn.STDEV.S(AI100:OFFSET(AI100,$B$7-1,0))</f>
        <v>0.10551306123086436</v>
      </c>
      <c r="AM100" s="4">
        <f ca="1">SQRT($B$9)*_xlfn.STDEV.S(AI100:OFFSET(AI100,$B$8-1,0))</f>
        <v>9.1965935229097351E-2</v>
      </c>
    </row>
    <row r="101" spans="5:39" x14ac:dyDescent="0.2">
      <c r="E101" s="42">
        <v>45524</v>
      </c>
      <c r="F101" s="43">
        <v>2.3996967638513316</v>
      </c>
      <c r="G101" s="43">
        <v>2.3996967638513316</v>
      </c>
      <c r="H101" s="43">
        <v>2.3771597995521976</v>
      </c>
      <c r="I101" s="43">
        <v>2.3889182157082676</v>
      </c>
      <c r="K101" s="3">
        <f t="shared" si="12"/>
        <v>8.9037481682963001E-5</v>
      </c>
      <c r="L101" s="3">
        <f ca="1">SQRT(AVERAGE(K101:OFFSET(K101,$B$5-1,0))*$B$9/(4*LN(2)))</f>
        <v>0.11365129718924681</v>
      </c>
      <c r="M101" s="3">
        <f ca="1">SQRT(AVERAGE(K101:OFFSET(K101,$B$6-1,0))*$B$9/(4*LN(2)))</f>
        <v>0.10038399029018291</v>
      </c>
      <c r="N101" s="3">
        <f ca="1">SQRT(AVERAGE(K101:OFFSET(K101,$B$7-1,0))*$B$9/(4*LN(2)))</f>
        <v>0.11445571829919986</v>
      </c>
      <c r="O101" s="3">
        <f ca="1">SQRT(AVERAGE(K101:OFFSET(K101,$B$8-1,0))*$B$9/(4*LN(2)))</f>
        <v>0.10624291581622128</v>
      </c>
      <c r="P101" s="1"/>
      <c r="Q101" s="5">
        <f t="shared" ref="Q101:Q132" si="15">0.511*(LN(G101/H101))^2-0.019*(LN(I101/F101)*LN(G101*H101/F101^2)-2*LN(G101/F101)*LN(H101/F101))-0.383*(LN(I101/F101))^2</f>
        <v>3.6929291960225403E-5</v>
      </c>
      <c r="R101" s="5">
        <f ca="1">SQRT($B$9*AVERAGE((Q101:OFFSET(Q101,$B$5-1,0))))</f>
        <v>0.10810036958693162</v>
      </c>
      <c r="S101" s="5">
        <f ca="1">SQRT($B$9*AVERAGE((Q101:OFFSET(Q101,$B$6-1,0))))</f>
        <v>0.10218207006234296</v>
      </c>
      <c r="T101" s="5">
        <f ca="1">SQRT($B$9*AVERAGE((Q101:OFFSET(Q101,$B$7-1,0))))</f>
        <v>0.118261125311619</v>
      </c>
      <c r="U101" s="5">
        <f ca="1">SQRT($B$9*AVERAGE((Q101:OFFSET(Q101,$B$8-1,0))))</f>
        <v>0.11160586915142115</v>
      </c>
      <c r="V101" s="1"/>
      <c r="W101" s="6">
        <f t="shared" ref="W101:W132" si="16">LN(G101/I101)*LN(G101/F101)+LN(H101/I101)*LN(H101/F101)</f>
        <v>4.6559144371322412E-5</v>
      </c>
      <c r="X101" s="6">
        <f ca="1">SQRT($B$9*AVERAGE(W101:OFFSET(W101,$B$5-1,0)))</f>
        <v>0.10637051333596959</v>
      </c>
      <c r="Y101" s="6">
        <f ca="1">SQRT($B$9*AVERAGE(W101:OFFSET(W101,$B$6-1,0)))</f>
        <v>0.1042894899469874</v>
      </c>
      <c r="Z101" s="6">
        <f ca="1">SQRT($B$9*AVERAGE(W101:OFFSET(W101,$B$7-1,0)))</f>
        <v>0.12039016845009726</v>
      </c>
      <c r="AA101" s="6">
        <f ca="1">SQRT($B$9*AVERAGE(W101:OFFSET(W101,$B$8-1,0)))</f>
        <v>0.11347327325212177</v>
      </c>
      <c r="AB101" s="1"/>
      <c r="AC101" s="34">
        <f t="shared" si="13"/>
        <v>8.2202157781489405E-6</v>
      </c>
      <c r="AD101" s="34">
        <f ca="1">SQRT($B$9*SUM(AC101:OFFSET(AC101,$B$5-1,0))/($B$5-1))</f>
        <v>0.12602500410063514</v>
      </c>
      <c r="AE101" s="34">
        <f ca="1">SQRT($B$9*SUM(AC101:OFFSET(AC101,$B$6-1,0))/($B$6-1))</f>
        <v>8.5793950519848824E-2</v>
      </c>
      <c r="AF101" s="34">
        <f ca="1">SQRT($B$9*SUM(AC101:OFFSET(AC101,$B$7-1,0))/($B$7-1))</f>
        <v>0.10600275323205433</v>
      </c>
      <c r="AG101" s="34">
        <f ca="1">SQRT($B$9*SUM(AC101:OFFSET(AC101,$B$8-1,0))/($B$8-1))</f>
        <v>9.2179290998680274E-2</v>
      </c>
      <c r="AH101" s="1"/>
      <c r="AI101" s="1">
        <f t="shared" si="14"/>
        <v>-2.8670918677553637E-3</v>
      </c>
      <c r="AJ101" s="4">
        <f ca="1">SQRT($B$9)*_xlfn.STDEV.S(AI101:OFFSET(AI101,$B$5-1,0))</f>
        <v>0.11541621738107</v>
      </c>
      <c r="AK101" s="4">
        <f ca="1">SQRT($B$9)*_xlfn.STDEV.S(AI101:OFFSET(AI101,$B$6-1,0))</f>
        <v>8.1999778902633699E-2</v>
      </c>
      <c r="AL101" s="4">
        <f ca="1">SQRT($B$9)*_xlfn.STDEV.S(AI101:OFFSET(AI101,$B$7-1,0))</f>
        <v>0.10498055082534206</v>
      </c>
      <c r="AM101" s="4">
        <f ca="1">SQRT($B$9)*_xlfn.STDEV.S(AI101:OFFSET(AI101,$B$8-1,0))</f>
        <v>9.1651656082259267E-2</v>
      </c>
    </row>
    <row r="102" spans="5:39" x14ac:dyDescent="0.2">
      <c r="E102" s="42">
        <v>45523</v>
      </c>
      <c r="F102" s="43">
        <v>2.3849987436562441</v>
      </c>
      <c r="G102" s="43">
        <v>2.4085155759683849</v>
      </c>
      <c r="H102" s="43">
        <v>2.3849987436562441</v>
      </c>
      <c r="I102" s="43">
        <v>2.3957772917993081</v>
      </c>
      <c r="K102" s="3">
        <f t="shared" si="12"/>
        <v>9.6275669336913283E-5</v>
      </c>
      <c r="L102" s="3">
        <f ca="1">SQRT(AVERAGE(K102:OFFSET(K102,$B$5-1,0))*$B$9/(4*LN(2)))</f>
        <v>0.11059336547292513</v>
      </c>
      <c r="M102" s="3">
        <f ca="1">SQRT(AVERAGE(K102:OFFSET(K102,$B$6-1,0))*$B$9/(4*LN(2)))</f>
        <v>0.11790842945314535</v>
      </c>
      <c r="N102" s="3">
        <f ca="1">SQRT(AVERAGE(K102:OFFSET(K102,$B$7-1,0))*$B$9/(4*LN(2)))</f>
        <v>0.11694643846736788</v>
      </c>
      <c r="O102" s="3">
        <f ca="1">SQRT(AVERAGE(K102:OFFSET(K102,$B$8-1,0))*$B$9/(4*LN(2)))</f>
        <v>0.10610607922043405</v>
      </c>
      <c r="P102" s="1"/>
      <c r="Q102" s="5">
        <f t="shared" si="15"/>
        <v>4.0568990452322665E-5</v>
      </c>
      <c r="R102" s="5">
        <f ca="1">SQRT($B$9*AVERAGE((Q102:OFFSET(Q102,$B$5-1,0))))</f>
        <v>0.10543829809547108</v>
      </c>
      <c r="S102" s="5">
        <f ca="1">SQRT($B$9*AVERAGE((Q102:OFFSET(Q102,$B$6-1,0))))</f>
        <v>0.12182357689152749</v>
      </c>
      <c r="T102" s="5">
        <f ca="1">SQRT($B$9*AVERAGE((Q102:OFFSET(Q102,$B$7-1,0))))</f>
        <v>0.11983378242095032</v>
      </c>
      <c r="U102" s="5">
        <f ca="1">SQRT($B$9*AVERAGE((Q102:OFFSET(Q102,$B$8-1,0))))</f>
        <v>0.11115766245676757</v>
      </c>
      <c r="V102" s="1"/>
      <c r="W102" s="6">
        <f t="shared" si="16"/>
        <v>5.2032027099257204E-5</v>
      </c>
      <c r="X102" s="6">
        <f ca="1">SQRT($B$9*AVERAGE(W102:OFFSET(W102,$B$5-1,0)))</f>
        <v>0.10300833428578611</v>
      </c>
      <c r="Y102" s="6">
        <f ca="1">SQRT($B$9*AVERAGE(W102:OFFSET(W102,$B$6-1,0)))</f>
        <v>0.12279328660079511</v>
      </c>
      <c r="Z102" s="6">
        <f ca="1">SQRT($B$9*AVERAGE(W102:OFFSET(W102,$B$7-1,0)))</f>
        <v>0.12087854175432922</v>
      </c>
      <c r="AA102" s="6">
        <f ca="1">SQRT($B$9*AVERAGE(W102:OFFSET(W102,$B$8-1,0)))</f>
        <v>0.11275158063598041</v>
      </c>
      <c r="AB102" s="1"/>
      <c r="AC102" s="34">
        <f t="shared" si="13"/>
        <v>2.0332238580481862E-5</v>
      </c>
      <c r="AD102" s="34">
        <f ca="1">SQRT($B$9*SUM(AC102:OFFSET(AC102,$B$5-1,0))/($B$5-1))</f>
        <v>0.12405408568776252</v>
      </c>
      <c r="AE102" s="34">
        <f ca="1">SQRT($B$9*SUM(AC102:OFFSET(AC102,$B$6-1,0))/($B$6-1))</f>
        <v>9.1310960409488745E-2</v>
      </c>
      <c r="AF102" s="34">
        <f ca="1">SQRT($B$9*SUM(AC102:OFFSET(AC102,$B$7-1,0))/($B$7-1))</f>
        <v>0.11508696188362187</v>
      </c>
      <c r="AG102" s="34">
        <f ca="1">SQRT($B$9*SUM(AC102:OFFSET(AC102,$B$8-1,0))/($B$8-1))</f>
        <v>9.3855971716561862E-2</v>
      </c>
      <c r="AH102" s="1"/>
      <c r="AI102" s="1">
        <f t="shared" si="14"/>
        <v>4.5091283614997991E-3</v>
      </c>
      <c r="AJ102" s="4">
        <f ca="1">SQRT($B$9)*_xlfn.STDEV.S(AI102:OFFSET(AI102,$B$5-1,0))</f>
        <v>0.10902336272738246</v>
      </c>
      <c r="AK102" s="4">
        <f ca="1">SQRT($B$9)*_xlfn.STDEV.S(AI102:OFFSET(AI102,$B$6-1,0))</f>
        <v>8.9311524397670664E-2</v>
      </c>
      <c r="AL102" s="4">
        <f ca="1">SQRT($B$9)*_xlfn.STDEV.S(AI102:OFFSET(AI102,$B$7-1,0))</f>
        <v>0.11283297931165977</v>
      </c>
      <c r="AM102" s="4">
        <f ca="1">SQRT($B$9)*_xlfn.STDEV.S(AI102:OFFSET(AI102,$B$8-1,0))</f>
        <v>9.3617039150237363E-2</v>
      </c>
    </row>
    <row r="103" spans="5:39" x14ac:dyDescent="0.2">
      <c r="E103" s="42">
        <v>45520</v>
      </c>
      <c r="F103" s="43">
        <v>2.3722604594871677</v>
      </c>
      <c r="G103" s="43">
        <v>2.3889182157082676</v>
      </c>
      <c r="H103" s="43">
        <v>2.3683409874351442</v>
      </c>
      <c r="I103" s="43">
        <v>2.3849987436562441</v>
      </c>
      <c r="K103" s="3">
        <f t="shared" si="12"/>
        <v>7.4838578406467366E-5</v>
      </c>
      <c r="L103" s="3">
        <f ca="1">SQRT(AVERAGE(K103:OFFSET(K103,$B$5-1,0))*$B$9/(4*LN(2)))</f>
        <v>0.10509998019924667</v>
      </c>
      <c r="M103" s="3">
        <f ca="1">SQRT(AVERAGE(K103:OFFSET(K103,$B$6-1,0))*$B$9/(4*LN(2)))</f>
        <v>0.12332516068242955</v>
      </c>
      <c r="N103" s="3">
        <f ca="1">SQRT(AVERAGE(K103:OFFSET(K103,$B$7-1,0))*$B$9/(4*LN(2)))</f>
        <v>0.11962704229260357</v>
      </c>
      <c r="O103" s="3">
        <f ca="1">SQRT(AVERAGE(K103:OFFSET(K103,$B$8-1,0))*$B$9/(4*LN(2)))</f>
        <v>0.10662444323800384</v>
      </c>
      <c r="P103" s="1"/>
      <c r="Q103" s="5">
        <f t="shared" si="15"/>
        <v>2.627487756099347E-5</v>
      </c>
      <c r="R103" s="5">
        <f ca="1">SQRT($B$9*AVERAGE((Q103:OFFSET(Q103,$B$5-1,0))))</f>
        <v>9.922017021476609E-2</v>
      </c>
      <c r="S103" s="5">
        <f ca="1">SQRT($B$9*AVERAGE((Q103:OFFSET(Q103,$B$6-1,0))))</f>
        <v>0.12946330003386192</v>
      </c>
      <c r="T103" s="5">
        <f ca="1">SQRT($B$9*AVERAGE((Q103:OFFSET(Q103,$B$7-1,0))))</f>
        <v>0.12237583464677465</v>
      </c>
      <c r="U103" s="5">
        <f ca="1">SQRT($B$9*AVERAGE((Q103:OFFSET(Q103,$B$8-1,0))))</f>
        <v>0.11148901755996136</v>
      </c>
      <c r="V103" s="1"/>
      <c r="W103" s="6">
        <f t="shared" si="16"/>
        <v>2.3079647792509315E-5</v>
      </c>
      <c r="X103" s="6">
        <f ca="1">SQRT($B$9*AVERAGE(W103:OFFSET(W103,$B$5-1,0)))</f>
        <v>9.3753513028021637E-2</v>
      </c>
      <c r="Y103" s="6">
        <f ca="1">SQRT($B$9*AVERAGE(W103:OFFSET(W103,$B$6-1,0)))</f>
        <v>0.13287047790709838</v>
      </c>
      <c r="Z103" s="6">
        <f ca="1">SQRT($B$9*AVERAGE(W103:OFFSET(W103,$B$7-1,0)))</f>
        <v>0.12328041940869823</v>
      </c>
      <c r="AA103" s="6">
        <f ca="1">SQRT($B$9*AVERAGE(W103:OFFSET(W103,$B$8-1,0)))</f>
        <v>0.11281920905565197</v>
      </c>
      <c r="AB103" s="1"/>
      <c r="AC103" s="34">
        <f t="shared" si="13"/>
        <v>2.4426817932058373E-5</v>
      </c>
      <c r="AD103" s="34">
        <f ca="1">SQRT($B$9*SUM(AC103:OFFSET(AC103,$B$5-1,0))/($B$5-1))</f>
        <v>0.11897339743171773</v>
      </c>
      <c r="AE103" s="34">
        <f ca="1">SQRT($B$9*SUM(AC103:OFFSET(AC103,$B$6-1,0))/($B$6-1))</f>
        <v>9.4706233134228407E-2</v>
      </c>
      <c r="AF103" s="34">
        <f ca="1">SQRT($B$9*SUM(AC103:OFFSET(AC103,$B$7-1,0))/($B$7-1))</f>
        <v>0.11893682065364411</v>
      </c>
      <c r="AG103" s="34">
        <f ca="1">SQRT($B$9*SUM(AC103:OFFSET(AC103,$B$8-1,0))/($B$8-1))</f>
        <v>9.6298325612811583E-2</v>
      </c>
      <c r="AH103" s="1"/>
      <c r="AI103" s="1">
        <f t="shared" si="14"/>
        <v>4.9423494344348392E-3</v>
      </c>
      <c r="AJ103" s="4">
        <f ca="1">SQRT($B$9)*_xlfn.STDEV.S(AI103:OFFSET(AI103,$B$5-1,0))</f>
        <v>0.11019060147409385</v>
      </c>
      <c r="AK103" s="4">
        <f ca="1">SQRT($B$9)*_xlfn.STDEV.S(AI103:OFFSET(AI103,$B$6-1,0))</f>
        <v>9.4703806200643142E-2</v>
      </c>
      <c r="AL103" s="4">
        <f ca="1">SQRT($B$9)*_xlfn.STDEV.S(AI103:OFFSET(AI103,$B$7-1,0))</f>
        <v>0.11399967756513761</v>
      </c>
      <c r="AM103" s="4">
        <f ca="1">SQRT($B$9)*_xlfn.STDEV.S(AI103:OFFSET(AI103,$B$8-1,0))</f>
        <v>9.5679049950978604E-2</v>
      </c>
    </row>
    <row r="104" spans="5:39" x14ac:dyDescent="0.2">
      <c r="E104" s="42">
        <v>45519</v>
      </c>
      <c r="F104" s="43">
        <v>2.3379650790319633</v>
      </c>
      <c r="G104" s="43">
        <v>2.3830390076302321</v>
      </c>
      <c r="H104" s="43">
        <v>2.3340456069799398</v>
      </c>
      <c r="I104" s="43">
        <v>2.3732403275001741</v>
      </c>
      <c r="K104" s="3">
        <f t="shared" si="12"/>
        <v>4.3153801851777832E-4</v>
      </c>
      <c r="L104" s="3">
        <f ca="1">SQRT(AVERAGE(K104:OFFSET(K104,$B$5-1,0))*$B$9/(4*LN(2)))</f>
        <v>0.10643493088640774</v>
      </c>
      <c r="M104" s="3">
        <f ca="1">SQRT(AVERAGE(K104:OFFSET(K104,$B$6-1,0))*$B$9/(4*LN(2)))</f>
        <v>0.12356585885778519</v>
      </c>
      <c r="N104" s="3">
        <f ca="1">SQRT(AVERAGE(K104:OFFSET(K104,$B$7-1,0))*$B$9/(4*LN(2)))</f>
        <v>0.12454511811677553</v>
      </c>
      <c r="O104" s="3">
        <f ca="1">SQRT(AVERAGE(K104:OFFSET(K104,$B$8-1,0))*$B$9/(4*LN(2)))</f>
        <v>0.1068855115815423</v>
      </c>
      <c r="P104" s="1"/>
      <c r="Q104" s="5">
        <f t="shared" si="15"/>
        <v>1.2845084069968782E-4</v>
      </c>
      <c r="R104" s="5">
        <f ca="1">SQRT($B$9*AVERAGE((Q104:OFFSET(Q104,$B$5-1,0))))</f>
        <v>0.10071607191712277</v>
      </c>
      <c r="S104" s="5">
        <f ca="1">SQRT($B$9*AVERAGE((Q104:OFFSET(Q104,$B$6-1,0))))</f>
        <v>0.13074159209710051</v>
      </c>
      <c r="T104" s="5">
        <f ca="1">SQRT($B$9*AVERAGE((Q104:OFFSET(Q104,$B$7-1,0))))</f>
        <v>0.1278681200225881</v>
      </c>
      <c r="U104" s="5">
        <f ca="1">SQRT($B$9*AVERAGE((Q104:OFFSET(Q104,$B$8-1,0))))</f>
        <v>0.11168398643251684</v>
      </c>
      <c r="V104" s="1"/>
      <c r="W104" s="6">
        <f t="shared" si="16"/>
        <v>1.0662170355929075E-4</v>
      </c>
      <c r="X104" s="6">
        <f ca="1">SQRT($B$9*AVERAGE(W104:OFFSET(W104,$B$5-1,0)))</f>
        <v>9.6236305877026015E-2</v>
      </c>
      <c r="Y104" s="6">
        <f ca="1">SQRT($B$9*AVERAGE(W104:OFFSET(W104,$B$6-1,0)))</f>
        <v>0.13439895676461083</v>
      </c>
      <c r="Z104" s="6">
        <f ca="1">SQRT($B$9*AVERAGE(W104:OFFSET(W104,$B$7-1,0)))</f>
        <v>0.12849730149019634</v>
      </c>
      <c r="AA104" s="6">
        <f ca="1">SQRT($B$9*AVERAGE(W104:OFFSET(W104,$B$8-1,0)))</f>
        <v>0.11300423818501787</v>
      </c>
      <c r="AB104" s="1"/>
      <c r="AC104" s="34">
        <f t="shared" si="13"/>
        <v>1.7689742646494558E-4</v>
      </c>
      <c r="AD104" s="34">
        <f ca="1">SQRT($B$9*SUM(AC104:OFFSET(AC104,$B$5-1,0))/($B$5-1))</f>
        <v>0.11293304196724781</v>
      </c>
      <c r="AE104" s="34">
        <f ca="1">SQRT($B$9*SUM(AC104:OFFSET(AC104,$B$6-1,0))/($B$6-1))</f>
        <v>9.6605862150728763E-2</v>
      </c>
      <c r="AF104" s="34">
        <f ca="1">SQRT($B$9*SUM(AC104:OFFSET(AC104,$B$7-1,0))/($B$7-1))</f>
        <v>0.12005398925497646</v>
      </c>
      <c r="AG104" s="34">
        <f ca="1">SQRT($B$9*SUM(AC104:OFFSET(AC104,$B$8-1,0))/($B$8-1))</f>
        <v>9.7998163086472675E-2</v>
      </c>
      <c r="AH104" s="1"/>
      <c r="AI104" s="1">
        <f t="shared" si="14"/>
        <v>1.3300279187481201E-2</v>
      </c>
      <c r="AJ104" s="4">
        <f ca="1">SQRT($B$9)*_xlfn.STDEV.S(AI104:OFFSET(AI104,$B$5-1,0))</f>
        <v>0.11052474965191546</v>
      </c>
      <c r="AK104" s="4">
        <f ca="1">SQRT($B$9)*_xlfn.STDEV.S(AI104:OFFSET(AI104,$B$6-1,0))</f>
        <v>9.4985904165231616E-2</v>
      </c>
      <c r="AL104" s="4">
        <f ca="1">SQRT($B$9)*_xlfn.STDEV.S(AI104:OFFSET(AI104,$B$7-1,0))</f>
        <v>0.1155750495657312</v>
      </c>
      <c r="AM104" s="4">
        <f ca="1">SQRT($B$9)*_xlfn.STDEV.S(AI104:OFFSET(AI104,$B$8-1,0))</f>
        <v>9.6860950376347663E-2</v>
      </c>
    </row>
    <row r="105" spans="5:39" x14ac:dyDescent="0.2">
      <c r="E105" s="42">
        <v>45518</v>
      </c>
      <c r="F105" s="43">
        <v>2.3556027032660682</v>
      </c>
      <c r="G105" s="43">
        <v>2.3556027032660682</v>
      </c>
      <c r="H105" s="43">
        <v>2.3409046830709808</v>
      </c>
      <c r="I105" s="43">
        <v>2.3418845510839867</v>
      </c>
      <c r="K105" s="3">
        <f t="shared" si="12"/>
        <v>3.9176937808036684E-5</v>
      </c>
      <c r="L105" s="3">
        <f ca="1">SQRT(AVERAGE(K105:OFFSET(K105,$B$5-1,0))*$B$9/(4*LN(2)))</f>
        <v>8.0309035603483889E-2</v>
      </c>
      <c r="M105" s="3">
        <f ca="1">SQRT(AVERAGE(K105:OFFSET(K105,$B$6-1,0))*$B$9/(4*LN(2)))</f>
        <v>0.10973467160796233</v>
      </c>
      <c r="N105" s="3">
        <f ca="1">SQRT(AVERAGE(K105:OFFSET(K105,$B$7-1,0))*$B$9/(4*LN(2)))</f>
        <v>0.11880691023255191</v>
      </c>
      <c r="O105" s="3">
        <f ca="1">SQRT(AVERAGE(K105:OFFSET(K105,$B$8-1,0))*$B$9/(4*LN(2)))</f>
        <v>0.10411276791745618</v>
      </c>
      <c r="P105" s="1"/>
      <c r="Q105" s="5">
        <f t="shared" si="15"/>
        <v>6.2594667723055613E-6</v>
      </c>
      <c r="R105" s="5">
        <f ca="1">SQRT($B$9*AVERAGE((Q105:OFFSET(Q105,$B$5-1,0))))</f>
        <v>8.6382421278570917E-2</v>
      </c>
      <c r="S105" s="5">
        <f ca="1">SQRT($B$9*AVERAGE((Q105:OFFSET(Q105,$B$6-1,0))))</f>
        <v>0.12054865525772739</v>
      </c>
      <c r="T105" s="5">
        <f ca="1">SQRT($B$9*AVERAGE((Q105:OFFSET(Q105,$B$7-1,0))))</f>
        <v>0.1235569804452053</v>
      </c>
      <c r="U105" s="5">
        <f ca="1">SQRT($B$9*AVERAGE((Q105:OFFSET(Q105,$B$8-1,0))))</f>
        <v>0.1096035601301333</v>
      </c>
      <c r="V105" s="1"/>
      <c r="W105" s="6">
        <f t="shared" si="16"/>
        <v>2.6194385522669479E-6</v>
      </c>
      <c r="X105" s="6">
        <f ca="1">SQRT($B$9*AVERAGE(W105:OFFSET(W105,$B$5-1,0)))</f>
        <v>8.8542709781866319E-2</v>
      </c>
      <c r="Y105" s="6">
        <f ca="1">SQRT($B$9*AVERAGE(W105:OFFSET(W105,$B$6-1,0)))</f>
        <v>0.12640752737754829</v>
      </c>
      <c r="Z105" s="6">
        <f ca="1">SQRT($B$9*AVERAGE(W105:OFFSET(W105,$B$7-1,0)))</f>
        <v>0.12504657808177663</v>
      </c>
      <c r="AA105" s="6">
        <f ca="1">SQRT($B$9*AVERAGE(W105:OFFSET(W105,$B$8-1,0)))</f>
        <v>0.11134646362334381</v>
      </c>
      <c r="AB105" s="1"/>
      <c r="AC105" s="34">
        <f t="shared" si="13"/>
        <v>2.9426185465836339E-5</v>
      </c>
      <c r="AD105" s="34">
        <f ca="1">SQRT($B$9*SUM(AC105:OFFSET(AC105,$B$5-1,0))/($B$5-1))</f>
        <v>4.9384935477605481E-2</v>
      </c>
      <c r="AE105" s="34">
        <f ca="1">SQRT($B$9*SUM(AC105:OFFSET(AC105,$B$6-1,0))/($B$6-1))</f>
        <v>7.4384138001258301E-2</v>
      </c>
      <c r="AF105" s="34">
        <f ca="1">SQRT($B$9*SUM(AC105:OFFSET(AC105,$B$7-1,0))/($B$7-1))</f>
        <v>0.11146857767095557</v>
      </c>
      <c r="AG105" s="34">
        <f ca="1">SQRT($B$9*SUM(AC105:OFFSET(AC105,$B$8-1,0))/($B$8-1))</f>
        <v>9.417907570807546E-2</v>
      </c>
      <c r="AH105" s="1"/>
      <c r="AI105" s="1">
        <f t="shared" si="14"/>
        <v>-5.4245908109125003E-3</v>
      </c>
      <c r="AJ105" s="4">
        <f ca="1">SQRT($B$9)*_xlfn.STDEV.S(AI105:OFFSET(AI105,$B$5-1,0))</f>
        <v>4.7600562459674499E-2</v>
      </c>
      <c r="AK105" s="4">
        <f ca="1">SQRT($B$9)*_xlfn.STDEV.S(AI105:OFFSET(AI105,$B$6-1,0))</f>
        <v>5.5396839349497705E-2</v>
      </c>
      <c r="AL105" s="4">
        <f ca="1">SQRT($B$9)*_xlfn.STDEV.S(AI105:OFFSET(AI105,$B$7-1,0))</f>
        <v>0.10429717704159421</v>
      </c>
      <c r="AM105" s="4">
        <f ca="1">SQRT($B$9)*_xlfn.STDEV.S(AI105:OFFSET(AI105,$B$8-1,0))</f>
        <v>9.2387504562837605E-2</v>
      </c>
    </row>
    <row r="106" spans="5:39" x14ac:dyDescent="0.2">
      <c r="E106" s="42">
        <v>45517</v>
      </c>
      <c r="F106" s="43">
        <v>2.3546228352530627</v>
      </c>
      <c r="G106" s="43">
        <v>2.3585423073050862</v>
      </c>
      <c r="H106" s="43">
        <v>2.3418845510839867</v>
      </c>
      <c r="I106" s="43">
        <v>2.3546228352530627</v>
      </c>
      <c r="K106" s="3">
        <f t="shared" si="12"/>
        <v>5.0236807591049954E-5</v>
      </c>
      <c r="L106" s="3">
        <f ca="1">SQRT(AVERAGE(K106:OFFSET(K106,$B$5-1,0))*$B$9/(4*LN(2)))</f>
        <v>8.5072167366069679E-2</v>
      </c>
      <c r="M106" s="3">
        <f ca="1">SQRT(AVERAGE(K106:OFFSET(K106,$B$6-1,0))*$B$9/(4*LN(2)))</f>
        <v>0.12233147195891203</v>
      </c>
      <c r="N106" s="3">
        <f ca="1">SQRT(AVERAGE(K106:OFFSET(K106,$B$7-1,0))*$B$9/(4*LN(2)))</f>
        <v>0.11938228119761674</v>
      </c>
      <c r="O106" s="3">
        <f ca="1">SQRT(AVERAGE(K106:OFFSET(K106,$B$8-1,0))*$B$9/(4*LN(2)))</f>
        <v>0.10407878293209558</v>
      </c>
      <c r="P106" s="1"/>
      <c r="Q106" s="5">
        <f t="shared" si="15"/>
        <v>2.5328165438556181E-5</v>
      </c>
      <c r="R106" s="5">
        <f ca="1">SQRT($B$9*AVERAGE((Q106:OFFSET(Q106,$B$5-1,0))))</f>
        <v>9.5899223039709353E-2</v>
      </c>
      <c r="S106" s="5">
        <f ca="1">SQRT($B$9*AVERAGE((Q106:OFFSET(Q106,$B$6-1,0))))</f>
        <v>0.12680824839727931</v>
      </c>
      <c r="T106" s="5">
        <f ca="1">SQRT($B$9*AVERAGE((Q106:OFFSET(Q106,$B$7-1,0))))</f>
        <v>0.12454283327750716</v>
      </c>
      <c r="U106" s="5">
        <f ca="1">SQRT($B$9*AVERAGE((Q106:OFFSET(Q106,$B$8-1,0))))</f>
        <v>0.10980920236031194</v>
      </c>
      <c r="V106" s="1"/>
      <c r="W106" s="6">
        <f t="shared" si="16"/>
        <v>3.2192426513660638E-5</v>
      </c>
      <c r="X106" s="6">
        <f ca="1">SQRT($B$9*AVERAGE(W106:OFFSET(W106,$B$5-1,0)))</f>
        <v>0.10216608693420677</v>
      </c>
      <c r="Y106" s="6">
        <f ca="1">SQRT($B$9*AVERAGE(W106:OFFSET(W106,$B$6-1,0)))</f>
        <v>0.12977389629263641</v>
      </c>
      <c r="Z106" s="6">
        <f ca="1">SQRT($B$9*AVERAGE(W106:OFFSET(W106,$B$7-1,0)))</f>
        <v>0.12616633692129392</v>
      </c>
      <c r="AA106" s="6">
        <f ca="1">SQRT($B$9*AVERAGE(W106:OFFSET(W106,$B$8-1,0)))</f>
        <v>0.11168202567013219</v>
      </c>
      <c r="AB106" s="1"/>
      <c r="AC106" s="34">
        <f t="shared" si="13"/>
        <v>1.7310585588971504E-7</v>
      </c>
      <c r="AD106" s="34">
        <f ca="1">SQRT($B$9*SUM(AC106:OFFSET(AC106,$B$5-1,0))/($B$5-1))</f>
        <v>2.6058640016125085E-2</v>
      </c>
      <c r="AE106" s="34">
        <f ca="1">SQRT($B$9*SUM(AC106:OFFSET(AC106,$B$6-1,0))/($B$6-1))</f>
        <v>0.1113678006974492</v>
      </c>
      <c r="AF106" s="34">
        <f ca="1">SQRT($B$9*SUM(AC106:OFFSET(AC106,$B$7-1,0))/($B$7-1))</f>
        <v>0.11068556559666738</v>
      </c>
      <c r="AG106" s="34">
        <f ca="1">SQRT($B$9*SUM(AC106:OFFSET(AC106,$B$8-1,0))/($B$8-1))</f>
        <v>9.3612445635217659E-2</v>
      </c>
      <c r="AH106" s="1"/>
      <c r="AI106" s="1">
        <f t="shared" si="14"/>
        <v>-4.1605991862917418E-4</v>
      </c>
      <c r="AJ106" s="4">
        <f ca="1">SQRT($B$9)*_xlfn.STDEV.S(AI106:OFFSET(AI106,$B$5-1,0))</f>
        <v>2.5895172032675044E-2</v>
      </c>
      <c r="AK106" s="4">
        <f ca="1">SQRT($B$9)*_xlfn.STDEV.S(AI106:OFFSET(AI106,$B$6-1,0))</f>
        <v>0.11060712998831233</v>
      </c>
      <c r="AL106" s="4">
        <f ca="1">SQRT($B$9)*_xlfn.STDEV.S(AI106:OFFSET(AI106,$B$7-1,0))</f>
        <v>0.10602657032847174</v>
      </c>
      <c r="AM106" s="4">
        <f ca="1">SQRT($B$9)*_xlfn.STDEV.S(AI106:OFFSET(AI106,$B$8-1,0))</f>
        <v>9.198713585804473E-2</v>
      </c>
    </row>
    <row r="107" spans="5:39" x14ac:dyDescent="0.2">
      <c r="E107" s="42">
        <v>45516</v>
      </c>
      <c r="F107" s="43">
        <v>2.3546228352530627</v>
      </c>
      <c r="G107" s="43">
        <v>2.3624617793571097</v>
      </c>
      <c r="H107" s="43">
        <v>2.3497234951880337</v>
      </c>
      <c r="I107" s="43">
        <v>2.3556027032660682</v>
      </c>
      <c r="K107" s="3">
        <f t="shared" si="12"/>
        <v>2.9230702817617258E-5</v>
      </c>
      <c r="L107" s="3">
        <f ca="1">SQRT(AVERAGE(K107:OFFSET(K107,$B$5-1,0))*$B$9/(4*LN(2)))</f>
        <v>0.1247954445706522</v>
      </c>
      <c r="M107" s="3">
        <f ca="1">SQRT(AVERAGE(K107:OFFSET(K107,$B$6-1,0))*$B$9/(4*LN(2)))</f>
        <v>0.12405720712838311</v>
      </c>
      <c r="N107" s="3">
        <f ca="1">SQRT(AVERAGE(K107:OFFSET(K107,$B$7-1,0))*$B$9/(4*LN(2)))</f>
        <v>0.12002662343815268</v>
      </c>
      <c r="O107" s="3">
        <f ca="1">SQRT(AVERAGE(K107:OFFSET(K107,$B$8-1,0))*$B$9/(4*LN(2)))</f>
        <v>0.10429046837992052</v>
      </c>
      <c r="P107" s="1"/>
      <c r="Q107" s="5">
        <f t="shared" si="15"/>
        <v>1.4597714374317216E-5</v>
      </c>
      <c r="R107" s="5">
        <f ca="1">SQRT($B$9*AVERAGE((Q107:OFFSET(Q107,$B$5-1,0))))</f>
        <v>0.13625246077786046</v>
      </c>
      <c r="S107" s="5">
        <f ca="1">SQRT($B$9*AVERAGE((Q107:OFFSET(Q107,$B$6-1,0))))</f>
        <v>0.12872238240782682</v>
      </c>
      <c r="T107" s="5">
        <f ca="1">SQRT($B$9*AVERAGE((Q107:OFFSET(Q107,$B$7-1,0))))</f>
        <v>0.12502229013761701</v>
      </c>
      <c r="U107" s="5">
        <f ca="1">SQRT($B$9*AVERAGE((Q107:OFFSET(Q107,$B$8-1,0))))</f>
        <v>0.11005963440834618</v>
      </c>
      <c r="V107" s="1"/>
      <c r="W107" s="6">
        <f t="shared" si="16"/>
        <v>1.4868848992383097E-5</v>
      </c>
      <c r="X107" s="6">
        <f ca="1">SQRT($B$9*AVERAGE(W107:OFFSET(W107,$B$5-1,0)))</f>
        <v>0.13980581367066877</v>
      </c>
      <c r="Y107" s="6">
        <f ca="1">SQRT($B$9*AVERAGE(W107:OFFSET(W107,$B$6-1,0)))</f>
        <v>0.13201257151386772</v>
      </c>
      <c r="Z107" s="6">
        <f ca="1">SQRT($B$9*AVERAGE(W107:OFFSET(W107,$B$7-1,0)))</f>
        <v>0.1262621153141231</v>
      </c>
      <c r="AA107" s="6">
        <f ca="1">SQRT($B$9*AVERAGE(W107:OFFSET(W107,$B$8-1,0)))</f>
        <v>0.11187926932185352</v>
      </c>
      <c r="AB107" s="1"/>
      <c r="AC107" s="34">
        <f t="shared" si="13"/>
        <v>1.7310585588974701E-7</v>
      </c>
      <c r="AD107" s="34">
        <f ca="1">SQRT($B$9*SUM(AC107:OFFSET(AC107,$B$5-1,0))/($B$5-1))</f>
        <v>5.8055057305160966E-2</v>
      </c>
      <c r="AE107" s="34">
        <f ca="1">SQRT($B$9*SUM(AC107:OFFSET(AC107,$B$6-1,0))/($B$6-1))</f>
        <v>0.11479612061363745</v>
      </c>
      <c r="AF107" s="34">
        <f ca="1">SQRT($B$9*SUM(AC107:OFFSET(AC107,$B$7-1,0))/($B$7-1))</f>
        <v>0.1114306137251648</v>
      </c>
      <c r="AG107" s="34">
        <f ca="1">SQRT($B$9*SUM(AC107:OFFSET(AC107,$B$8-1,0))/($B$8-1))</f>
        <v>9.3729987993692393E-2</v>
      </c>
      <c r="AH107" s="1"/>
      <c r="AI107" s="1">
        <f t="shared" si="14"/>
        <v>4.1605991862921261E-4</v>
      </c>
      <c r="AJ107" s="4">
        <f ca="1">SQRT($B$9)*_xlfn.STDEV.S(AI107:OFFSET(AI107,$B$5-1,0))</f>
        <v>5.49007644851272E-2</v>
      </c>
      <c r="AK107" s="4">
        <f ca="1">SQRT($B$9)*_xlfn.STDEV.S(AI107:OFFSET(AI107,$B$6-1,0))</f>
        <v>0.11283285049321937</v>
      </c>
      <c r="AL107" s="4">
        <f ca="1">SQRT($B$9)*_xlfn.STDEV.S(AI107:OFFSET(AI107,$B$7-1,0))</f>
        <v>0.10771235572244731</v>
      </c>
      <c r="AM107" s="4">
        <f ca="1">SQRT($B$9)*_xlfn.STDEV.S(AI107:OFFSET(AI107,$B$8-1,0))</f>
        <v>9.2240526952210328E-2</v>
      </c>
    </row>
    <row r="108" spans="5:39" x14ac:dyDescent="0.2">
      <c r="E108" s="42">
        <v>45513</v>
      </c>
      <c r="F108" s="43">
        <v>2.3683409874351442</v>
      </c>
      <c r="G108" s="43">
        <v>2.3761799315391912</v>
      </c>
      <c r="H108" s="43">
        <v>2.3536429672400572</v>
      </c>
      <c r="I108" s="43">
        <v>2.3546228352530627</v>
      </c>
      <c r="K108" s="3">
        <f t="shared" si="12"/>
        <v>9.0817101985043221E-5</v>
      </c>
      <c r="L108" s="3">
        <f ca="1">SQRT(AVERAGE(K108:OFFSET(K108,$B$5-1,0))*$B$9/(4*LN(2)))</f>
        <v>0.13918399576392429</v>
      </c>
      <c r="M108" s="3">
        <f ca="1">SQRT(AVERAGE(K108:OFFSET(K108,$B$6-1,0))*$B$9/(4*LN(2)))</f>
        <v>0.12436341096406936</v>
      </c>
      <c r="N108" s="3">
        <f ca="1">SQRT(AVERAGE(K108:OFFSET(K108,$B$7-1,0))*$B$9/(4*LN(2)))</f>
        <v>0.12056382813844296</v>
      </c>
      <c r="O108" s="3">
        <f ca="1">SQRT(AVERAGE(K108:OFFSET(K108,$B$8-1,0))*$B$9/(4*LN(2)))</f>
        <v>0.10599772439503352</v>
      </c>
      <c r="P108" s="1"/>
      <c r="Q108" s="5">
        <f t="shared" si="15"/>
        <v>3.2378652356256573E-5</v>
      </c>
      <c r="R108" s="5">
        <f ca="1">SQRT($B$9*AVERAGE((Q108:OFFSET(Q108,$B$5-1,0))))</f>
        <v>0.15387283689419762</v>
      </c>
      <c r="S108" s="5">
        <f ca="1">SQRT($B$9*AVERAGE((Q108:OFFSET(Q108,$B$6-1,0))))</f>
        <v>0.12891284316814983</v>
      </c>
      <c r="T108" s="5">
        <f ca="1">SQRT($B$9*AVERAGE((Q108:OFFSET(Q108,$B$7-1,0))))</f>
        <v>0.12521740138433093</v>
      </c>
      <c r="U108" s="5">
        <f ca="1">SQRT($B$9*AVERAGE((Q108:OFFSET(Q108,$B$8-1,0))))</f>
        <v>0.11069959735881547</v>
      </c>
      <c r="V108" s="1"/>
      <c r="W108" s="6">
        <f t="shared" si="16"/>
        <v>3.270628786926618E-5</v>
      </c>
      <c r="X108" s="6">
        <f ca="1">SQRT($B$9*AVERAGE(W108:OFFSET(W108,$B$5-1,0)))</f>
        <v>0.16284780192998005</v>
      </c>
      <c r="Y108" s="6">
        <f ca="1">SQRT($B$9*AVERAGE(W108:OFFSET(W108,$B$6-1,0)))</f>
        <v>0.13211490098721457</v>
      </c>
      <c r="Z108" s="6">
        <f ca="1">SQRT($B$9*AVERAGE(W108:OFFSET(W108,$B$7-1,0)))</f>
        <v>0.12629527514341896</v>
      </c>
      <c r="AA108" s="6">
        <f ca="1">SQRT($B$9*AVERAGE(W108:OFFSET(W108,$B$8-1,0)))</f>
        <v>0.11205968364575274</v>
      </c>
      <c r="AB108" s="1"/>
      <c r="AC108" s="34">
        <f t="shared" si="13"/>
        <v>1.5566574672534005E-6</v>
      </c>
      <c r="AD108" s="34">
        <f ca="1">SQRT($B$9*SUM(AC108:OFFSET(AC108,$B$5-1,0))/($B$5-1))</f>
        <v>7.7628535611093993E-2</v>
      </c>
      <c r="AE108" s="34">
        <f ca="1">SQRT($B$9*SUM(AC108:OFFSET(AC108,$B$6-1,0))/($B$6-1))</f>
        <v>0.11637849374796751</v>
      </c>
      <c r="AF108" s="34">
        <f ca="1">SQRT($B$9*SUM(AC108:OFFSET(AC108,$B$7-1,0))/($B$7-1))</f>
        <v>0.11235299802782751</v>
      </c>
      <c r="AG108" s="34">
        <f ca="1">SQRT($B$9*SUM(AC108:OFFSET(AC108,$B$8-1,0))/($B$8-1))</f>
        <v>9.8552464926362826E-2</v>
      </c>
      <c r="AH108" s="1"/>
      <c r="AI108" s="1">
        <f t="shared" si="14"/>
        <v>-1.247660798155252E-3</v>
      </c>
      <c r="AJ108" s="4">
        <f ca="1">SQRT($B$9)*_xlfn.STDEV.S(AI108:OFFSET(AI108,$B$5-1,0))</f>
        <v>6.4346482432833918E-2</v>
      </c>
      <c r="AK108" s="4">
        <f ca="1">SQRT($B$9)*_xlfn.STDEV.S(AI108:OFFSET(AI108,$B$6-1,0))</f>
        <v>0.11298139248500121</v>
      </c>
      <c r="AL108" s="4">
        <f ca="1">SQRT($B$9)*_xlfn.STDEV.S(AI108:OFFSET(AI108,$B$7-1,0))</f>
        <v>0.10938603538107725</v>
      </c>
      <c r="AM108" s="4">
        <f ca="1">SQRT($B$9)*_xlfn.STDEV.S(AI108:OFFSET(AI108,$B$8-1,0))</f>
        <v>9.7715090217926195E-2</v>
      </c>
    </row>
    <row r="109" spans="5:39" x14ac:dyDescent="0.2">
      <c r="E109" s="42">
        <v>45512</v>
      </c>
      <c r="F109" s="43">
        <v>2.3497234951880337</v>
      </c>
      <c r="G109" s="43">
        <v>2.3722604594871677</v>
      </c>
      <c r="H109" s="43">
        <v>2.3428644190969923</v>
      </c>
      <c r="I109" s="43">
        <v>2.3575624392920802</v>
      </c>
      <c r="K109" s="3">
        <f t="shared" si="12"/>
        <v>1.5547569864571092E-4</v>
      </c>
      <c r="L109" s="3">
        <f ca="1">SQRT(AVERAGE(K109:OFFSET(K109,$B$5-1,0))*$B$9/(4*LN(2)))</f>
        <v>0.13859526845361564</v>
      </c>
      <c r="M109" s="3">
        <f ca="1">SQRT(AVERAGE(K109:OFFSET(K109,$B$6-1,0))*$B$9/(4*LN(2)))</f>
        <v>0.12516176374181345</v>
      </c>
      <c r="N109" s="3">
        <f ca="1">SQRT(AVERAGE(K109:OFFSET(K109,$B$7-1,0))*$B$9/(4*LN(2)))</f>
        <v>0.11976121774583641</v>
      </c>
      <c r="O109" s="3">
        <f ca="1">SQRT(AVERAGE(K109:OFFSET(K109,$B$8-1,0))*$B$9/(4*LN(2)))</f>
        <v>0.10594528067628341</v>
      </c>
      <c r="P109" s="1"/>
      <c r="Q109" s="5">
        <f t="shared" si="15"/>
        <v>7.3720137914656318E-5</v>
      </c>
      <c r="R109" s="5">
        <f ca="1">SQRT($B$9*AVERAGE((Q109:OFFSET(Q109,$B$5-1,0))))</f>
        <v>0.1550580557912235</v>
      </c>
      <c r="S109" s="5">
        <f ca="1">SQRT($B$9*AVERAGE((Q109:OFFSET(Q109,$B$6-1,0))))</f>
        <v>0.13093581951927527</v>
      </c>
      <c r="T109" s="5">
        <f ca="1">SQRT($B$9*AVERAGE((Q109:OFFSET(Q109,$B$7-1,0))))</f>
        <v>0.12425719752768247</v>
      </c>
      <c r="U109" s="5">
        <f ca="1">SQRT($B$9*AVERAGE((Q109:OFFSET(Q109,$B$8-1,0))))</f>
        <v>0.11083152710047997</v>
      </c>
      <c r="V109" s="1"/>
      <c r="W109" s="6">
        <f t="shared" si="16"/>
        <v>7.7609150225806941E-5</v>
      </c>
      <c r="X109" s="6">
        <f ca="1">SQRT($B$9*AVERAGE(W109:OFFSET(W109,$B$5-1,0)))</f>
        <v>0.16390464480903202</v>
      </c>
      <c r="Y109" s="6">
        <f ca="1">SQRT($B$9*AVERAGE(W109:OFFSET(W109,$B$6-1,0)))</f>
        <v>0.13487927307123332</v>
      </c>
      <c r="Z109" s="6">
        <f ca="1">SQRT($B$9*AVERAGE(W109:OFFSET(W109,$B$7-1,0)))</f>
        <v>0.12519424931745113</v>
      </c>
      <c r="AA109" s="6">
        <f ca="1">SQRT($B$9*AVERAGE(W109:OFFSET(W109,$B$8-1,0)))</f>
        <v>0.11217195812995139</v>
      </c>
      <c r="AB109" s="1"/>
      <c r="AC109" s="34">
        <f t="shared" si="13"/>
        <v>8.4892613082288658E-6</v>
      </c>
      <c r="AD109" s="34">
        <f ca="1">SQRT($B$9*SUM(AC109:OFFSET(AC109,$B$5-1,0))/($B$5-1))</f>
        <v>9.0800255430623478E-2</v>
      </c>
      <c r="AE109" s="34">
        <f ca="1">SQRT($B$9*SUM(AC109:OFFSET(AC109,$B$6-1,0))/($B$6-1))</f>
        <v>0.11689843527892697</v>
      </c>
      <c r="AF109" s="34">
        <f ca="1">SQRT($B$9*SUM(AC109:OFFSET(AC109,$B$7-1,0))/($B$7-1))</f>
        <v>0.11435618431370506</v>
      </c>
      <c r="AG109" s="34">
        <f ca="1">SQRT($B$9*SUM(AC109:OFFSET(AC109,$B$8-1,0))/($B$8-1))</f>
        <v>9.8851497691638687E-2</v>
      </c>
      <c r="AH109" s="1"/>
      <c r="AI109" s="1">
        <f t="shared" si="14"/>
        <v>2.9136336949295576E-3</v>
      </c>
      <c r="AJ109" s="4">
        <f ca="1">SQRT($B$9)*_xlfn.STDEV.S(AI109:OFFSET(AI109,$B$5-1,0))</f>
        <v>6.7645750600794904E-2</v>
      </c>
      <c r="AK109" s="4">
        <f ca="1">SQRT($B$9)*_xlfn.STDEV.S(AI109:OFFSET(AI109,$B$6-1,0))</f>
        <v>0.1130097672588843</v>
      </c>
      <c r="AL109" s="4">
        <f ca="1">SQRT($B$9)*_xlfn.STDEV.S(AI109:OFFSET(AI109,$B$7-1,0))</f>
        <v>0.11263285030952014</v>
      </c>
      <c r="AM109" s="4">
        <f ca="1">SQRT($B$9)*_xlfn.STDEV.S(AI109:OFFSET(AI109,$B$8-1,0))</f>
        <v>9.8186494431419732E-2</v>
      </c>
    </row>
    <row r="110" spans="5:39" x14ac:dyDescent="0.2">
      <c r="E110" s="42">
        <v>45511</v>
      </c>
      <c r="F110" s="43">
        <v>2.3477637591620217</v>
      </c>
      <c r="G110" s="43">
        <v>2.3663812514091331</v>
      </c>
      <c r="H110" s="43">
        <v>2.3448241551230038</v>
      </c>
      <c r="I110" s="43">
        <v>2.3507033632010392</v>
      </c>
      <c r="K110" s="3">
        <f t="shared" si="12"/>
        <v>8.3749552847899934E-5</v>
      </c>
      <c r="L110" s="3">
        <f ca="1">SQRT(AVERAGE(K110:OFFSET(K110,$B$5-1,0))*$B$9/(4*LN(2)))</f>
        <v>0.13279252654518259</v>
      </c>
      <c r="M110" s="3">
        <f ca="1">SQRT(AVERAGE(K110:OFFSET(K110,$B$6-1,0))*$B$9/(4*LN(2)))</f>
        <v>0.12605133161051296</v>
      </c>
      <c r="N110" s="3">
        <f ca="1">SQRT(AVERAGE(K110:OFFSET(K110,$B$7-1,0))*$B$9/(4*LN(2)))</f>
        <v>0.11864816994550985</v>
      </c>
      <c r="O110" s="3">
        <f ca="1">SQRT(AVERAGE(K110:OFFSET(K110,$B$8-1,0))*$B$9/(4*LN(2)))</f>
        <v>0.10566122013606587</v>
      </c>
      <c r="P110" s="1"/>
      <c r="Q110" s="5">
        <f t="shared" si="15"/>
        <v>4.1662288683967216E-5</v>
      </c>
      <c r="R110" s="5">
        <f ca="1">SQRT($B$9*AVERAGE((Q110:OFFSET(Q110,$B$5-1,0))))</f>
        <v>0.14697630374636692</v>
      </c>
      <c r="S110" s="5">
        <f ca="1">SQRT($B$9*AVERAGE((Q110:OFFSET(Q110,$B$6-1,0))))</f>
        <v>0.13115726516575121</v>
      </c>
      <c r="T110" s="5">
        <f ca="1">SQRT($B$9*AVERAGE((Q110:OFFSET(Q110,$B$7-1,0))))</f>
        <v>0.12243003302335705</v>
      </c>
      <c r="U110" s="5">
        <f ca="1">SQRT($B$9*AVERAGE((Q110:OFFSET(Q110,$B$8-1,0))))</f>
        <v>0.11023998282422103</v>
      </c>
      <c r="V110" s="1"/>
      <c r="W110" s="6">
        <f t="shared" si="16"/>
        <v>5.5641843938636102E-5</v>
      </c>
      <c r="X110" s="6">
        <f ca="1">SQRT($B$9*AVERAGE(W110:OFFSET(W110,$B$5-1,0)))</f>
        <v>0.1552994349632201</v>
      </c>
      <c r="Y110" s="6">
        <f ca="1">SQRT($B$9*AVERAGE(W110:OFFSET(W110,$B$6-1,0)))</f>
        <v>0.13462635001514106</v>
      </c>
      <c r="Z110" s="6">
        <f ca="1">SQRT($B$9*AVERAGE(W110:OFFSET(W110,$B$7-1,0)))</f>
        <v>0.1231338673155094</v>
      </c>
      <c r="AA110" s="6">
        <f ca="1">SQRT($B$9*AVERAGE(W110:OFFSET(W110,$B$8-1,0)))</f>
        <v>0.11143516878428723</v>
      </c>
      <c r="AB110" s="1"/>
      <c r="AC110" s="34">
        <f t="shared" si="13"/>
        <v>6.9444452481983135E-7</v>
      </c>
      <c r="AD110" s="34">
        <f ca="1">SQRT($B$9*SUM(AC110:OFFSET(AC110,$B$5-1,0))/($B$5-1))</f>
        <v>0.10005187712782196</v>
      </c>
      <c r="AE110" s="34">
        <f ca="1">SQRT($B$9*SUM(AC110:OFFSET(AC110,$B$6-1,0))/($B$6-1))</f>
        <v>0.12657421114377285</v>
      </c>
      <c r="AF110" s="34">
        <f ca="1">SQRT($B$9*SUM(AC110:OFFSET(AC110,$B$7-1,0))/($B$7-1))</f>
        <v>0.12006893548097289</v>
      </c>
      <c r="AG110" s="34">
        <f ca="1">SQRT($B$9*SUM(AC110:OFFSET(AC110,$B$8-1,0))/($B$8-1))</f>
        <v>9.9739144213576311E-2</v>
      </c>
      <c r="AH110" s="1"/>
      <c r="AI110" s="1">
        <f t="shared" si="14"/>
        <v>-8.3333338155856405E-4</v>
      </c>
      <c r="AJ110" s="4">
        <f ca="1">SQRT($B$9)*_xlfn.STDEV.S(AI110:OFFSET(AI110,$B$5-1,0))</f>
        <v>3.8974824586679196E-2</v>
      </c>
      <c r="AK110" s="4">
        <f ca="1">SQRT($B$9)*_xlfn.STDEV.S(AI110:OFFSET(AI110,$B$6-1,0))</f>
        <v>0.11593642973402679</v>
      </c>
      <c r="AL110" s="4">
        <f ca="1">SQRT($B$9)*_xlfn.STDEV.S(AI110:OFFSET(AI110,$B$7-1,0))</f>
        <v>0.1192954356433861</v>
      </c>
      <c r="AM110" s="4">
        <f ca="1">SQRT($B$9)*_xlfn.STDEV.S(AI110:OFFSET(AI110,$B$8-1,0))</f>
        <v>9.8738747339747274E-2</v>
      </c>
    </row>
    <row r="111" spans="5:39" x14ac:dyDescent="0.2">
      <c r="E111" s="42">
        <v>45510</v>
      </c>
      <c r="F111" s="43">
        <v>2.3781396675652031</v>
      </c>
      <c r="G111" s="43">
        <v>2.3859786116692501</v>
      </c>
      <c r="H111" s="43">
        <v>2.3320858709539278</v>
      </c>
      <c r="I111" s="43">
        <v>2.3526630992270507</v>
      </c>
      <c r="K111" s="3">
        <f t="shared" si="12"/>
        <v>5.2195200041993699E-4</v>
      </c>
      <c r="L111" s="3">
        <f ca="1">SQRT(AVERAGE(K111:OFFSET(K111,$B$5-1,0))*$B$9/(4*LN(2)))</f>
        <v>0.15064097849824123</v>
      </c>
      <c r="M111" s="3">
        <f ca="1">SQRT(AVERAGE(K111:OFFSET(K111,$B$6-1,0))*$B$9/(4*LN(2)))</f>
        <v>0.12697746806497617</v>
      </c>
      <c r="N111" s="3">
        <f ca="1">SQRT(AVERAGE(K111:OFFSET(K111,$B$7-1,0))*$B$9/(4*LN(2)))</f>
        <v>0.11761087577857263</v>
      </c>
      <c r="O111" s="3">
        <f ca="1">SQRT(AVERAGE(K111:OFFSET(K111,$B$8-1,0))*$B$9/(4*LN(2)))</f>
        <v>0.10546903795594767</v>
      </c>
      <c r="P111" s="1"/>
      <c r="Q111" s="5">
        <f t="shared" si="15"/>
        <v>2.1651331009983133E-4</v>
      </c>
      <c r="R111" s="5">
        <f ca="1">SQRT($B$9*AVERAGE((Q111:OFFSET(Q111,$B$5-1,0))))</f>
        <v>0.15153878296842779</v>
      </c>
      <c r="S111" s="5">
        <f ca="1">SQRT($B$9*AVERAGE((Q111:OFFSET(Q111,$B$6-1,0))))</f>
        <v>0.13240170723112046</v>
      </c>
      <c r="T111" s="5">
        <f ca="1">SQRT($B$9*AVERAGE((Q111:OFFSET(Q111,$B$7-1,0))))</f>
        <v>0.12105399883782246</v>
      </c>
      <c r="U111" s="5">
        <f ca="1">SQRT($B$9*AVERAGE((Q111:OFFSET(Q111,$B$8-1,0))))</f>
        <v>0.10991751830895191</v>
      </c>
      <c r="V111" s="1"/>
      <c r="W111" s="6">
        <f t="shared" si="16"/>
        <v>2.1806500236406604E-4</v>
      </c>
      <c r="X111" s="6">
        <f ca="1">SQRT($B$9*AVERAGE(W111:OFFSET(W111,$B$5-1,0)))</f>
        <v>0.15246186079966362</v>
      </c>
      <c r="Y111" s="6">
        <f ca="1">SQRT($B$9*AVERAGE(W111:OFFSET(W111,$B$6-1,0)))</f>
        <v>0.13457818398790644</v>
      </c>
      <c r="Z111" s="6">
        <f ca="1">SQRT($B$9*AVERAGE(W111:OFFSET(W111,$B$7-1,0)))</f>
        <v>0.12139366950607214</v>
      </c>
      <c r="AA111" s="6">
        <f ca="1">SQRT($B$9*AVERAGE(W111:OFFSET(W111,$B$8-1,0)))</f>
        <v>0.11083923065158723</v>
      </c>
      <c r="AB111" s="1"/>
      <c r="AC111" s="34">
        <f t="shared" si="13"/>
        <v>4.4113301108388131E-5</v>
      </c>
      <c r="AD111" s="34">
        <f ca="1">SQRT($B$9*SUM(AC111:OFFSET(AC111,$B$5-1,0))/($B$5-1))</f>
        <v>0.16500672138713088</v>
      </c>
      <c r="AE111" s="34">
        <f ca="1">SQRT($B$9*SUM(AC111:OFFSET(AC111,$B$6-1,0))/($B$6-1))</f>
        <v>0.12791041685080481</v>
      </c>
      <c r="AF111" s="34">
        <f ca="1">SQRT($B$9*SUM(AC111:OFFSET(AC111,$B$7-1,0))/($B$7-1))</f>
        <v>0.12017567066222781</v>
      </c>
      <c r="AG111" s="34">
        <f ca="1">SQRT($B$9*SUM(AC111:OFFSET(AC111,$B$8-1,0))/($B$8-1))</f>
        <v>9.9986668036997642E-2</v>
      </c>
      <c r="AH111" s="1"/>
      <c r="AI111" s="1">
        <f t="shared" si="14"/>
        <v>-6.6417844822297669E-3</v>
      </c>
      <c r="AJ111" s="4">
        <f ca="1">SQRT($B$9)*_xlfn.STDEV.S(AI111:OFFSET(AI111,$B$5-1,0))</f>
        <v>0.16216731996062744</v>
      </c>
      <c r="AK111" s="4">
        <f ca="1">SQRT($B$9)*_xlfn.STDEV.S(AI111:OFFSET(AI111,$B$6-1,0))</f>
        <v>0.11528682512981775</v>
      </c>
      <c r="AL111" s="4">
        <f ca="1">SQRT($B$9)*_xlfn.STDEV.S(AI111:OFFSET(AI111,$B$7-1,0))</f>
        <v>0.11932746056473596</v>
      </c>
      <c r="AM111" s="4">
        <f ca="1">SQRT($B$9)*_xlfn.STDEV.S(AI111:OFFSET(AI111,$B$8-1,0))</f>
        <v>9.8884417608734246E-2</v>
      </c>
    </row>
    <row r="112" spans="5:39" x14ac:dyDescent="0.2">
      <c r="E112" s="42">
        <v>45509</v>
      </c>
      <c r="F112" s="43">
        <v>2.3761799315391912</v>
      </c>
      <c r="G112" s="43">
        <v>2.4016564998773435</v>
      </c>
      <c r="H112" s="43">
        <v>2.3644215153831212</v>
      </c>
      <c r="I112" s="43">
        <v>2.3683409874351442</v>
      </c>
      <c r="K112" s="3">
        <f t="shared" si="12"/>
        <v>2.4415055957233785E-4</v>
      </c>
      <c r="L112" s="3">
        <f ca="1">SQRT(AVERAGE(K112:OFFSET(K112,$B$5-1,0))*$B$9/(4*LN(2)))</f>
        <v>0.12331455021773535</v>
      </c>
      <c r="M112" s="3">
        <f ca="1">SQRT(AVERAGE(K112:OFFSET(K112,$B$6-1,0))*$B$9/(4*LN(2)))</f>
        <v>0.11597646832136409</v>
      </c>
      <c r="N112" s="3">
        <f ca="1">SQRT(AVERAGE(K112:OFFSET(K112,$B$7-1,0))*$B$9/(4*LN(2)))</f>
        <v>0.11511588763989038</v>
      </c>
      <c r="O112" s="3">
        <f ca="1">SQRT(AVERAGE(K112:OFFSET(K112,$B$8-1,0))*$B$9/(4*LN(2)))</f>
        <v>0.10257818756221082</v>
      </c>
      <c r="P112" s="1"/>
      <c r="Q112" s="5">
        <f t="shared" si="15"/>
        <v>1.1892663000382625E-4</v>
      </c>
      <c r="R112" s="5">
        <f ca="1">SQRT($B$9*AVERAGE((Q112:OFFSET(Q112,$B$5-1,0))))</f>
        <v>0.12072352876498932</v>
      </c>
      <c r="S112" s="5">
        <f ca="1">SQRT($B$9*AVERAGE((Q112:OFFSET(Q112,$B$6-1,0))))</f>
        <v>0.11781038550135305</v>
      </c>
      <c r="T112" s="5">
        <f ca="1">SQRT($B$9*AVERAGE((Q112:OFFSET(Q112,$B$7-1,0))))</f>
        <v>0.11820369360173399</v>
      </c>
      <c r="U112" s="5">
        <f ca="1">SQRT($B$9*AVERAGE((Q112:OFFSET(Q112,$B$8-1,0))))</f>
        <v>0.10688554117957462</v>
      </c>
      <c r="V112" s="1"/>
      <c r="W112" s="6">
        <f t="shared" si="16"/>
        <v>1.5719009505989862E-4</v>
      </c>
      <c r="X112" s="6">
        <f ca="1">SQRT($B$9*AVERAGE(W112:OFFSET(W112,$B$5-1,0)))</f>
        <v>0.12372943279305175</v>
      </c>
      <c r="Y112" s="6">
        <f ca="1">SQRT($B$9*AVERAGE(W112:OFFSET(W112,$B$6-1,0)))</f>
        <v>0.11893297473401231</v>
      </c>
      <c r="Z112" s="6">
        <f ca="1">SQRT($B$9*AVERAGE(W112:OFFSET(W112,$B$7-1,0)))</f>
        <v>0.1181652097735473</v>
      </c>
      <c r="AA112" s="6">
        <f ca="1">SQRT($B$9*AVERAGE(W112:OFFSET(W112,$B$8-1,0)))</f>
        <v>0.10788671993737767</v>
      </c>
      <c r="AB112" s="1"/>
      <c r="AC112" s="34">
        <f t="shared" si="13"/>
        <v>4.3533103609642646E-5</v>
      </c>
      <c r="AD112" s="34">
        <f ca="1">SQRT($B$9*SUM(AC112:OFFSET(AC112,$B$5-1,0))/($B$5-1))</f>
        <v>0.16211244944223521</v>
      </c>
      <c r="AE112" s="34">
        <f ca="1">SQRT($B$9*SUM(AC112:OFFSET(AC112,$B$6-1,0))/($B$6-1))</f>
        <v>0.14008566573442496</v>
      </c>
      <c r="AF112" s="34">
        <f ca="1">SQRT($B$9*SUM(AC112:OFFSET(AC112,$B$7-1,0))/($B$7-1))</f>
        <v>0.12217896565250792</v>
      </c>
      <c r="AG112" s="34">
        <f ca="1">SQRT($B$9*SUM(AC112:OFFSET(AC112,$B$8-1,0))/($B$8-1))</f>
        <v>9.9095597312779102E-2</v>
      </c>
      <c r="AH112" s="1"/>
      <c r="AI112" s="1">
        <f t="shared" si="14"/>
        <v>-6.5979620800397636E-3</v>
      </c>
      <c r="AJ112" s="4">
        <f ca="1">SQRT($B$9)*_xlfn.STDEV.S(AI112:OFFSET(AI112,$B$5-1,0))</f>
        <v>0.16001896173331662</v>
      </c>
      <c r="AK112" s="4">
        <f ca="1">SQRT($B$9)*_xlfn.STDEV.S(AI112:OFFSET(AI112,$B$6-1,0))</f>
        <v>0.12378870158262814</v>
      </c>
      <c r="AL112" s="4">
        <f ca="1">SQRT($B$9)*_xlfn.STDEV.S(AI112:OFFSET(AI112,$B$7-1,0))</f>
        <v>0.12216769717763468</v>
      </c>
      <c r="AM112" s="4">
        <f ca="1">SQRT($B$9)*_xlfn.STDEV.S(AI112:OFFSET(AI112,$B$8-1,0))</f>
        <v>9.8189671182792301E-2</v>
      </c>
    </row>
    <row r="113" spans="5:39" x14ac:dyDescent="0.2">
      <c r="E113" s="42">
        <v>45506</v>
      </c>
      <c r="F113" s="43">
        <v>2.3879383476952616</v>
      </c>
      <c r="G113" s="43">
        <v>2.3977370278253201</v>
      </c>
      <c r="H113" s="43">
        <v>2.3761799315391912</v>
      </c>
      <c r="I113" s="43">
        <v>2.3840188756432381</v>
      </c>
      <c r="K113" s="3">
        <f t="shared" si="12"/>
        <v>8.156365847163268E-5</v>
      </c>
      <c r="L113" s="3">
        <f ca="1">SQRT(AVERAGE(K113:OFFSET(K113,$B$5-1,0))*$B$9/(4*LN(2)))</f>
        <v>0.10751898109833406</v>
      </c>
      <c r="M113" s="3">
        <f ca="1">SQRT(AVERAGE(K113:OFFSET(K113,$B$6-1,0))*$B$9/(4*LN(2)))</f>
        <v>0.11581089429758179</v>
      </c>
      <c r="N113" s="3">
        <f ca="1">SQRT(AVERAGE(K113:OFFSET(K113,$B$7-1,0))*$B$9/(4*LN(2)))</f>
        <v>0.11182073564384726</v>
      </c>
      <c r="O113" s="3">
        <f ca="1">SQRT(AVERAGE(K113:OFFSET(K113,$B$8-1,0))*$B$9/(4*LN(2)))</f>
        <v>0.10151683689916136</v>
      </c>
      <c r="P113" s="1"/>
      <c r="Q113" s="5">
        <f t="shared" si="15"/>
        <v>3.9851116272294075E-5</v>
      </c>
      <c r="R113" s="5">
        <f ca="1">SQRT($B$9*AVERAGE((Q113:OFFSET(Q113,$B$5-1,0))))</f>
        <v>9.7776236036797998E-2</v>
      </c>
      <c r="S113" s="5">
        <f ca="1">SQRT($B$9*AVERAGE((Q113:OFFSET(Q113,$B$6-1,0))))</f>
        <v>0.11485183392237022</v>
      </c>
      <c r="T113" s="5">
        <f ca="1">SQRT($B$9*AVERAGE((Q113:OFFSET(Q113,$B$7-1,0))))</f>
        <v>0.11385427405323069</v>
      </c>
      <c r="U113" s="5">
        <f ca="1">SQRT($B$9*AVERAGE((Q113:OFFSET(Q113,$B$8-1,0))))</f>
        <v>0.10553689934832272</v>
      </c>
      <c r="V113" s="1"/>
      <c r="W113" s="6">
        <f t="shared" si="16"/>
        <v>3.975375718659129E-5</v>
      </c>
      <c r="X113" s="6">
        <f ca="1">SQRT($B$9*AVERAGE(W113:OFFSET(W113,$B$5-1,0)))</f>
        <v>9.1593053952234826E-2</v>
      </c>
      <c r="Y113" s="6">
        <f ca="1">SQRT($B$9*AVERAGE(W113:OFFSET(W113,$B$6-1,0)))</f>
        <v>0.11287851753061054</v>
      </c>
      <c r="Z113" s="6">
        <f ca="1">SQRT($B$9*AVERAGE(W113:OFFSET(W113,$B$7-1,0)))</f>
        <v>0.11182622005947095</v>
      </c>
      <c r="AA113" s="6">
        <f ca="1">SQRT($B$9*AVERAGE(W113:OFFSET(W113,$B$8-1,0)))</f>
        <v>0.10596030170437923</v>
      </c>
      <c r="AB113" s="1"/>
      <c r="AC113" s="34">
        <f t="shared" si="13"/>
        <v>3.7777014122658773E-5</v>
      </c>
      <c r="AD113" s="34">
        <f ca="1">SQRT($B$9*SUM(AC113:OFFSET(AC113,$B$5-1,0))/($B$5-1))</f>
        <v>0.15635762381390286</v>
      </c>
      <c r="AE113" s="34">
        <f ca="1">SQRT($B$9*SUM(AC113:OFFSET(AC113,$B$6-1,0))/($B$6-1))</f>
        <v>0.14454908566007435</v>
      </c>
      <c r="AF113" s="34">
        <f ca="1">SQRT($B$9*SUM(AC113:OFFSET(AC113,$B$7-1,0))/($B$7-1))</f>
        <v>0.12116653466231579</v>
      </c>
      <c r="AG113" s="34">
        <f ca="1">SQRT($B$9*SUM(AC113:OFFSET(AC113,$B$8-1,0))/($B$8-1))</f>
        <v>9.8339795770663041E-2</v>
      </c>
      <c r="AH113" s="1"/>
      <c r="AI113" s="1">
        <f t="shared" si="14"/>
        <v>-6.1463008486941778E-3</v>
      </c>
      <c r="AJ113" s="4">
        <f ca="1">SQRT($B$9)*_xlfn.STDEV.S(AI113:OFFSET(AI113,$B$5-1,0))</f>
        <v>0.15555845293098799</v>
      </c>
      <c r="AK113" s="4">
        <f ca="1">SQRT($B$9)*_xlfn.STDEV.S(AI113:OFFSET(AI113,$B$6-1,0))</f>
        <v>0.12626860330340384</v>
      </c>
      <c r="AL113" s="4">
        <f ca="1">SQRT($B$9)*_xlfn.STDEV.S(AI113:OFFSET(AI113,$B$7-1,0))</f>
        <v>0.1211660853917971</v>
      </c>
      <c r="AM113" s="4">
        <f ca="1">SQRT($B$9)*_xlfn.STDEV.S(AI113:OFFSET(AI113,$B$8-1,0))</f>
        <v>9.7732966630129148E-2</v>
      </c>
    </row>
    <row r="114" spans="5:39" x14ac:dyDescent="0.2">
      <c r="E114" s="42">
        <v>45505</v>
      </c>
      <c r="F114" s="43">
        <v>2.410475311994396</v>
      </c>
      <c r="G114" s="43">
        <v>2.4153746520594255</v>
      </c>
      <c r="H114" s="43">
        <v>2.3957772917993081</v>
      </c>
      <c r="I114" s="43">
        <v>2.398716895838326</v>
      </c>
      <c r="K114" s="3">
        <f t="shared" si="12"/>
        <v>6.6368469447529297E-5</v>
      </c>
      <c r="L114" s="3">
        <f ca="1">SQRT(AVERAGE(K114:OFFSET(K114,$B$5-1,0))*$B$9/(4*LN(2)))</f>
        <v>0.11010125234616211</v>
      </c>
      <c r="M114" s="3">
        <f ca="1">SQRT(AVERAGE(K114:OFFSET(K114,$B$6-1,0))*$B$9/(4*LN(2)))</f>
        <v>0.12551673760172802</v>
      </c>
      <c r="N114" s="3">
        <f ca="1">SQRT(AVERAGE(K114:OFFSET(K114,$B$7-1,0))*$B$9/(4*LN(2)))</f>
        <v>0.117128465436719</v>
      </c>
      <c r="O114" s="3">
        <f ca="1">SQRT(AVERAGE(K114:OFFSET(K114,$B$8-1,0))*$B$9/(4*LN(2)))</f>
        <v>0.10147368008981537</v>
      </c>
      <c r="P114" s="1"/>
      <c r="Q114" s="5">
        <f t="shared" si="15"/>
        <v>2.3904488877720051E-5</v>
      </c>
      <c r="R114" s="5">
        <f ca="1">SQRT($B$9*AVERAGE((Q114:OFFSET(Q114,$B$5-1,0))))</f>
        <v>0.10121944971503387</v>
      </c>
      <c r="S114" s="5">
        <f ca="1">SQRT($B$9*AVERAGE((Q114:OFFSET(Q114,$B$6-1,0))))</f>
        <v>0.12492857292123918</v>
      </c>
      <c r="T114" s="5">
        <f ca="1">SQRT($B$9*AVERAGE((Q114:OFFSET(Q114,$B$7-1,0))))</f>
        <v>0.11978523879212853</v>
      </c>
      <c r="U114" s="5">
        <f ca="1">SQRT($B$9*AVERAGE((Q114:OFFSET(Q114,$B$8-1,0))))</f>
        <v>0.10515607809616233</v>
      </c>
      <c r="V114" s="1"/>
      <c r="W114" s="6">
        <f t="shared" si="16"/>
        <v>2.1551638183367698E-5</v>
      </c>
      <c r="X114" s="6">
        <f ca="1">SQRT($B$9*AVERAGE(W114:OFFSET(W114,$B$5-1,0)))</f>
        <v>9.7571020382456269E-2</v>
      </c>
      <c r="Y114" s="6">
        <f ca="1">SQRT($B$9*AVERAGE(W114:OFFSET(W114,$B$6-1,0)))</f>
        <v>0.12231121535292297</v>
      </c>
      <c r="Z114" s="6">
        <f ca="1">SQRT($B$9*AVERAGE(W114:OFFSET(W114,$B$7-1,0)))</f>
        <v>0.11858063766194642</v>
      </c>
      <c r="AA114" s="6">
        <f ca="1">SQRT($B$9*AVERAGE(W114:OFFSET(W114,$B$8-1,0)))</f>
        <v>0.10552343632897696</v>
      </c>
      <c r="AB114" s="1"/>
      <c r="AC114" s="34">
        <f t="shared" si="13"/>
        <v>3.7316881398585058E-5</v>
      </c>
      <c r="AD114" s="34">
        <f ca="1">SQRT($B$9*SUM(AC114:OFFSET(AC114,$B$5-1,0))/($B$5-1))</f>
        <v>0.15000704316038582</v>
      </c>
      <c r="AE114" s="34">
        <f ca="1">SQRT($B$9*SUM(AC114:OFFSET(AC114,$B$6-1,0))/($B$6-1))</f>
        <v>0.14524003617294892</v>
      </c>
      <c r="AF114" s="34">
        <f ca="1">SQRT($B$9*SUM(AC114:OFFSET(AC114,$B$7-1,0))/($B$7-1))</f>
        <v>0.12270994040062408</v>
      </c>
      <c r="AG114" s="34">
        <f ca="1">SQRT($B$9*SUM(AC114:OFFSET(AC114,$B$8-1,0))/($B$8-1))</f>
        <v>9.8387941929795233E-2</v>
      </c>
      <c r="AH114" s="1"/>
      <c r="AI114" s="1">
        <f t="shared" si="14"/>
        <v>-6.1087544883212533E-3</v>
      </c>
      <c r="AJ114" s="4">
        <f ca="1">SQRT($B$9)*_xlfn.STDEV.S(AI114:OFFSET(AI114,$B$5-1,0))</f>
        <v>0.14997980885284323</v>
      </c>
      <c r="AK114" s="4">
        <f ca="1">SQRT($B$9)*_xlfn.STDEV.S(AI114:OFFSET(AI114,$B$6-1,0))</f>
        <v>0.13667599700126104</v>
      </c>
      <c r="AL114" s="4">
        <f ca="1">SQRT($B$9)*_xlfn.STDEV.S(AI114:OFFSET(AI114,$B$7-1,0))</f>
        <v>0.12269419633394202</v>
      </c>
      <c r="AM114" s="4">
        <f ca="1">SQRT($B$9)*_xlfn.STDEV.S(AI114:OFFSET(AI114,$B$8-1,0))</f>
        <v>9.8091958552730119E-2</v>
      </c>
    </row>
    <row r="115" spans="5:39" x14ac:dyDescent="0.2">
      <c r="E115" s="42">
        <v>45504</v>
      </c>
      <c r="F115" s="43">
        <v>2.3722604594871677</v>
      </c>
      <c r="G115" s="43">
        <v>2.4173343880854374</v>
      </c>
      <c r="H115" s="43">
        <v>2.3712805914741621</v>
      </c>
      <c r="I115" s="43">
        <v>2.413414916033414</v>
      </c>
      <c r="K115" s="3">
        <f t="shared" si="12"/>
        <v>3.699966652441261E-4</v>
      </c>
      <c r="L115" s="3">
        <f ca="1">SQRT(AVERAGE(K115:OFFSET(K115,$B$5-1,0))*$B$9/(4*LN(2)))</f>
        <v>0.11892863950837911</v>
      </c>
      <c r="M115" s="3">
        <f ca="1">SQRT(AVERAGE(K115:OFFSET(K115,$B$6-1,0))*$B$9/(4*LN(2)))</f>
        <v>0.12723390147717689</v>
      </c>
      <c r="N115" s="3">
        <f ca="1">SQRT(AVERAGE(K115:OFFSET(K115,$B$7-1,0))*$B$9/(4*LN(2)))</f>
        <v>0.11738002316327195</v>
      </c>
      <c r="O115" s="3">
        <f ca="1">SQRT(AVERAGE(K115:OFFSET(K115,$B$8-1,0))*$B$9/(4*LN(2)))</f>
        <v>0.101214817006369</v>
      </c>
      <c r="P115" s="1"/>
      <c r="Q115" s="5">
        <f t="shared" si="15"/>
        <v>6.9457571961680582E-5</v>
      </c>
      <c r="R115" s="5">
        <f ca="1">SQRT($B$9*AVERAGE((Q115:OFFSET(Q115,$B$5-1,0))))</f>
        <v>0.11314779073660274</v>
      </c>
      <c r="S115" s="5">
        <f ca="1">SQRT($B$9*AVERAGE((Q115:OFFSET(Q115,$B$6-1,0))))</f>
        <v>0.12649378067330935</v>
      </c>
      <c r="T115" s="5">
        <f ca="1">SQRT($B$9*AVERAGE((Q115:OFFSET(Q115,$B$7-1,0))))</f>
        <v>0.12028223002282035</v>
      </c>
      <c r="U115" s="5">
        <f ca="1">SQRT($B$9*AVERAGE((Q115:OFFSET(Q115,$B$8-1,0))))</f>
        <v>0.10484629483423148</v>
      </c>
      <c r="V115" s="1"/>
      <c r="W115" s="6">
        <f t="shared" si="16"/>
        <v>3.781948676721929E-5</v>
      </c>
      <c r="X115" s="6">
        <f ca="1">SQRT($B$9*AVERAGE(W115:OFFSET(W115,$B$5-1,0)))</f>
        <v>0.11013897464977193</v>
      </c>
      <c r="Y115" s="6">
        <f ca="1">SQRT($B$9*AVERAGE(W115:OFFSET(W115,$B$6-1,0)))</f>
        <v>0.12367065295460401</v>
      </c>
      <c r="Z115" s="6">
        <f ca="1">SQRT($B$9*AVERAGE(W115:OFFSET(W115,$B$7-1,0)))</f>
        <v>0.11951843947573744</v>
      </c>
      <c r="AA115" s="6">
        <f ca="1">SQRT($B$9*AVERAGE(W115:OFFSET(W115,$B$8-1,0)))</f>
        <v>0.10522143711411465</v>
      </c>
      <c r="AB115" s="1"/>
      <c r="AC115" s="34">
        <f t="shared" si="13"/>
        <v>2.8178570960448428E-4</v>
      </c>
      <c r="AD115" s="34">
        <f ca="1">SQRT($B$9*SUM(AC115:OFFSET(AC115,$B$5-1,0))/($B$5-1))</f>
        <v>0.16135966493582929</v>
      </c>
      <c r="AE115" s="34">
        <f ca="1">SQRT($B$9*SUM(AC115:OFFSET(AC115,$B$6-1,0))/($B$6-1))</f>
        <v>0.14386823928551162</v>
      </c>
      <c r="AF115" s="34">
        <f ca="1">SQRT($B$9*SUM(AC115:OFFSET(AC115,$B$7-1,0))/($B$7-1))</f>
        <v>0.121297697544599</v>
      </c>
      <c r="AG115" s="34">
        <f ca="1">SQRT($B$9*SUM(AC115:OFFSET(AC115,$B$8-1,0))/($B$8-1))</f>
        <v>9.8343704611411578E-2</v>
      </c>
      <c r="AH115" s="1"/>
      <c r="AI115" s="1">
        <f t="shared" si="14"/>
        <v>1.6786474007500333E-2</v>
      </c>
      <c r="AJ115" s="4">
        <f ca="1">SQRT($B$9)*_xlfn.STDEV.S(AI115:OFFSET(AI115,$B$5-1,0))</f>
        <v>0.16060413864095083</v>
      </c>
      <c r="AK115" s="4">
        <f ca="1">SQRT($B$9)*_xlfn.STDEV.S(AI115:OFFSET(AI115,$B$6-1,0))</f>
        <v>0.14044712249484506</v>
      </c>
      <c r="AL115" s="4">
        <f ca="1">SQRT($B$9)*_xlfn.STDEV.S(AI115:OFFSET(AI115,$B$7-1,0))</f>
        <v>0.12129725926803012</v>
      </c>
      <c r="AM115" s="4">
        <f ca="1">SQRT($B$9)*_xlfn.STDEV.S(AI115:OFFSET(AI115,$B$8-1,0))</f>
        <v>9.8051137627065202E-2</v>
      </c>
    </row>
    <row r="116" spans="5:39" x14ac:dyDescent="0.2">
      <c r="E116" s="42">
        <v>45503</v>
      </c>
      <c r="F116" s="43">
        <v>2.3810792716042211</v>
      </c>
      <c r="G116" s="43">
        <v>2.3830390076302321</v>
      </c>
      <c r="H116" s="43">
        <v>2.3595221753180917</v>
      </c>
      <c r="I116" s="43">
        <v>2.3732403275001741</v>
      </c>
      <c r="K116" s="3">
        <f t="shared" si="12"/>
        <v>9.8355549852468694E-5</v>
      </c>
      <c r="L116" s="3">
        <f ca="1">SQRT(AVERAGE(K116:OFFSET(K116,$B$5-1,0))*$B$9/(4*LN(2)))</f>
        <v>9.7743799749531499E-2</v>
      </c>
      <c r="M116" s="3">
        <f ca="1">SQRT(AVERAGE(K116:OFFSET(K116,$B$6-1,0))*$B$9/(4*LN(2)))</f>
        <v>0.11635836496040838</v>
      </c>
      <c r="N116" s="3">
        <f ca="1">SQRT(AVERAGE(K116:OFFSET(K116,$B$7-1,0))*$B$9/(4*LN(2)))</f>
        <v>0.11075544164161058</v>
      </c>
      <c r="O116" s="3">
        <f ca="1">SQRT(AVERAGE(K116:OFFSET(K116,$B$8-1,0))*$B$9/(4*LN(2)))</f>
        <v>9.8714676812884303E-2</v>
      </c>
      <c r="P116" s="1"/>
      <c r="Q116" s="5">
        <f t="shared" si="15"/>
        <v>4.5292241812462773E-5</v>
      </c>
      <c r="R116" s="5">
        <f ca="1">SQRT($B$9*AVERAGE((Q116:OFFSET(Q116,$B$5-1,0))))</f>
        <v>0.10998373248748386</v>
      </c>
      <c r="S116" s="5">
        <f ca="1">SQRT($B$9*AVERAGE((Q116:OFFSET(Q116,$B$6-1,0))))</f>
        <v>0.12223543995090705</v>
      </c>
      <c r="T116" s="5">
        <f ca="1">SQRT($B$9*AVERAGE((Q116:OFFSET(Q116,$B$7-1,0))))</f>
        <v>0.11742442628884255</v>
      </c>
      <c r="U116" s="5">
        <f ca="1">SQRT($B$9*AVERAGE((Q116:OFFSET(Q116,$B$8-1,0))))</f>
        <v>0.10374395191836695</v>
      </c>
      <c r="V116" s="1"/>
      <c r="W116" s="6">
        <f t="shared" si="16"/>
        <v>5.6113033808847835E-5</v>
      </c>
      <c r="X116" s="6">
        <f ca="1">SQRT($B$9*AVERAGE(W116:OFFSET(W116,$B$5-1,0)))</f>
        <v>0.11392083309241377</v>
      </c>
      <c r="Y116" s="6">
        <f ca="1">SQRT($B$9*AVERAGE(W116:OFFSET(W116,$B$6-1,0)))</f>
        <v>0.12245254176742493</v>
      </c>
      <c r="Z116" s="6">
        <f ca="1">SQRT($B$9*AVERAGE(W116:OFFSET(W116,$B$7-1,0)))</f>
        <v>0.11844025267184963</v>
      </c>
      <c r="AA116" s="6">
        <f ca="1">SQRT($B$9*AVERAGE(W116:OFFSET(W116,$B$8-1,0)))</f>
        <v>0.10473499594048727</v>
      </c>
      <c r="AB116" s="1"/>
      <c r="AC116" s="34">
        <f t="shared" si="13"/>
        <v>2.8655801699915332E-5</v>
      </c>
      <c r="AD116" s="34">
        <f ca="1">SQRT($B$9*SUM(AC116:OFFSET(AC116,$B$5-1,0))/($B$5-1))</f>
        <v>9.7904034951066948E-2</v>
      </c>
      <c r="AE116" s="34">
        <f ca="1">SQRT($B$9*SUM(AC116:OFFSET(AC116,$B$6-1,0))/($B$6-1))</f>
        <v>0.11602179436446325</v>
      </c>
      <c r="AF116" s="34">
        <f ca="1">SQRT($B$9*SUM(AC116:OFFSET(AC116,$B$7-1,0))/($B$7-1))</f>
        <v>0.10525957846393505</v>
      </c>
      <c r="AG116" s="34">
        <f ca="1">SQRT($B$9*SUM(AC116:OFFSET(AC116,$B$8-1,0))/($B$8-1))</f>
        <v>9.2290539768783778E-2</v>
      </c>
      <c r="AH116" s="1"/>
      <c r="AI116" s="1">
        <f t="shared" si="14"/>
        <v>-5.3531114036525834E-3</v>
      </c>
      <c r="AJ116" s="4">
        <f ca="1">SQRT($B$9)*_xlfn.STDEV.S(AI116:OFFSET(AI116,$B$5-1,0))</f>
        <v>4.4788559321267442E-2</v>
      </c>
      <c r="AK116" s="4">
        <f ca="1">SQRT($B$9)*_xlfn.STDEV.S(AI116:OFFSET(AI116,$B$6-1,0))</f>
        <v>0.10356652765880499</v>
      </c>
      <c r="AL116" s="4">
        <f ca="1">SQRT($B$9)*_xlfn.STDEV.S(AI116:OFFSET(AI116,$B$7-1,0))</f>
        <v>0.10443459697319397</v>
      </c>
      <c r="AM116" s="4">
        <f ca="1">SQRT($B$9)*_xlfn.STDEV.S(AI116:OFFSET(AI116,$B$8-1,0))</f>
        <v>9.1574151511443422E-2</v>
      </c>
    </row>
    <row r="117" spans="5:39" x14ac:dyDescent="0.2">
      <c r="E117" s="42">
        <v>45502</v>
      </c>
      <c r="F117" s="43">
        <v>2.3918578197472851</v>
      </c>
      <c r="G117" s="43">
        <v>2.3967571598123145</v>
      </c>
      <c r="H117" s="43">
        <v>2.3820591396172266</v>
      </c>
      <c r="I117" s="43">
        <v>2.3859786116692501</v>
      </c>
      <c r="K117" s="3">
        <f t="shared" si="12"/>
        <v>3.7839007552009455E-5</v>
      </c>
      <c r="L117" s="3">
        <f ca="1">SQRT(AVERAGE(K117:OFFSET(K117,$B$5-1,0))*$B$9/(4*LN(2)))</f>
        <v>0.10814159289186727</v>
      </c>
      <c r="M117" s="3">
        <f ca="1">SQRT(AVERAGE(K117:OFFSET(K117,$B$6-1,0))*$B$9/(4*LN(2)))</f>
        <v>0.11585590199654765</v>
      </c>
      <c r="N117" s="3">
        <f ca="1">SQRT(AVERAGE(K117:OFFSET(K117,$B$7-1,0))*$B$9/(4*LN(2)))</f>
        <v>0.11039222395724482</v>
      </c>
      <c r="O117" s="3">
        <f ca="1">SQRT(AVERAGE(K117:OFFSET(K117,$B$8-1,0))*$B$9/(4*LN(2)))</f>
        <v>9.8494480700465403E-2</v>
      </c>
      <c r="P117" s="1"/>
      <c r="Q117" s="5">
        <f t="shared" si="15"/>
        <v>1.6600547066120801E-5</v>
      </c>
      <c r="R117" s="5">
        <f ca="1">SQRT($B$9*AVERAGE((Q117:OFFSET(Q117,$B$5-1,0))))</f>
        <v>0.11482335766943773</v>
      </c>
      <c r="S117" s="5">
        <f ca="1">SQRT($B$9*AVERAGE((Q117:OFFSET(Q117,$B$6-1,0))))</f>
        <v>0.12120929968349034</v>
      </c>
      <c r="T117" s="5">
        <f ca="1">SQRT($B$9*AVERAGE((Q117:OFFSET(Q117,$B$7-1,0))))</f>
        <v>0.11639209620347107</v>
      </c>
      <c r="U117" s="5">
        <f ca="1">SQRT($B$9*AVERAGE((Q117:OFFSET(Q117,$B$8-1,0))))</f>
        <v>0.10352751597871893</v>
      </c>
      <c r="V117" s="1"/>
      <c r="W117" s="6">
        <f t="shared" si="16"/>
        <v>1.5972033692688185E-5</v>
      </c>
      <c r="X117" s="6">
        <f ca="1">SQRT($B$9*AVERAGE(W117:OFFSET(W117,$B$5-1,0)))</f>
        <v>0.11393477265028491</v>
      </c>
      <c r="Y117" s="6">
        <f ca="1">SQRT($B$9*AVERAGE(W117:OFFSET(W117,$B$6-1,0)))</f>
        <v>0.12023695143128753</v>
      </c>
      <c r="Z117" s="6">
        <f ca="1">SQRT($B$9*AVERAGE(W117:OFFSET(W117,$B$7-1,0)))</f>
        <v>0.11673968971676087</v>
      </c>
      <c r="AA117" s="6">
        <f ca="1">SQRT($B$9*AVERAGE(W117:OFFSET(W117,$B$8-1,0)))</f>
        <v>0.10431880636881315</v>
      </c>
      <c r="AB117" s="1"/>
      <c r="AC117" s="34">
        <f t="shared" si="13"/>
        <v>1.3610822149539598E-5</v>
      </c>
      <c r="AD117" s="34">
        <f ca="1">SQRT($B$9*SUM(AC117:OFFSET(AC117,$B$5-1,0))/($B$5-1))</f>
        <v>0.13369195809927045</v>
      </c>
      <c r="AE117" s="34">
        <f ca="1">SQRT($B$9*SUM(AC117:OFFSET(AC117,$B$6-1,0))/($B$6-1))</f>
        <v>0.11417117171486355</v>
      </c>
      <c r="AF117" s="34">
        <f ca="1">SQRT($B$9*SUM(AC117:OFFSET(AC117,$B$7-1,0))/($B$7-1))</f>
        <v>0.10496621476203948</v>
      </c>
      <c r="AG117" s="34">
        <f ca="1">SQRT($B$9*SUM(AC117:OFFSET(AC117,$B$8-1,0))/($B$8-1))</f>
        <v>9.4812540775410195E-2</v>
      </c>
      <c r="AH117" s="1"/>
      <c r="AI117" s="1">
        <f t="shared" si="14"/>
        <v>-3.6892847747957325E-3</v>
      </c>
      <c r="AJ117" s="4">
        <f ca="1">SQRT($B$9)*_xlfn.STDEV.S(AI117:OFFSET(AI117,$B$5-1,0))</f>
        <v>7.1222303686548749E-2</v>
      </c>
      <c r="AK117" s="4">
        <f ca="1">SQRT($B$9)*_xlfn.STDEV.S(AI117:OFFSET(AI117,$B$6-1,0))</f>
        <v>0.10783175162151538</v>
      </c>
      <c r="AL117" s="4">
        <f ca="1">SQRT($B$9)*_xlfn.STDEV.S(AI117:OFFSET(AI117,$B$7-1,0))</f>
        <v>0.10485032131559403</v>
      </c>
      <c r="AM117" s="4">
        <f ca="1">SQRT($B$9)*_xlfn.STDEV.S(AI117:OFFSET(AI117,$B$8-1,0))</f>
        <v>9.4558904743327968E-2</v>
      </c>
    </row>
    <row r="118" spans="5:39" x14ac:dyDescent="0.2">
      <c r="E118" s="42">
        <v>45499</v>
      </c>
      <c r="F118" s="43">
        <v>2.4016564998773435</v>
      </c>
      <c r="G118" s="43">
        <v>2.405575971929367</v>
      </c>
      <c r="H118" s="43">
        <v>2.3800994035912146</v>
      </c>
      <c r="I118" s="43">
        <v>2.3947974237863026</v>
      </c>
      <c r="K118" s="3">
        <f t="shared" si="12"/>
        <v>1.1336097746836533E-4</v>
      </c>
      <c r="L118" s="3">
        <f ca="1">SQRT(AVERAGE(K118:OFFSET(K118,$B$5-1,0))*$B$9/(4*LN(2)))</f>
        <v>0.12354754218351495</v>
      </c>
      <c r="M118" s="3">
        <f ca="1">SQRT(AVERAGE(K118:OFFSET(K118,$B$6-1,0))*$B$9/(4*LN(2)))</f>
        <v>0.11664053893983006</v>
      </c>
      <c r="N118" s="3">
        <f ca="1">SQRT(AVERAGE(K118:OFFSET(K118,$B$7-1,0))*$B$9/(4*LN(2)))</f>
        <v>0.11140341718212779</v>
      </c>
      <c r="O118" s="3">
        <f ca="1">SQRT(AVERAGE(K118:OFFSET(K118,$B$8-1,0))*$B$9/(4*LN(2)))</f>
        <v>9.8735255933873584E-2</v>
      </c>
      <c r="P118" s="1"/>
      <c r="Q118" s="5">
        <f t="shared" si="15"/>
        <v>5.3834476825164151E-5</v>
      </c>
      <c r="R118" s="5">
        <f ca="1">SQRT($B$9*AVERAGE((Q118:OFFSET(Q118,$B$5-1,0))))</f>
        <v>0.12969847792915609</v>
      </c>
      <c r="S118" s="5">
        <f ca="1">SQRT($B$9*AVERAGE((Q118:OFFSET(Q118,$B$6-1,0))))</f>
        <v>0.12140953045454585</v>
      </c>
      <c r="T118" s="5">
        <f ca="1">SQRT($B$9*AVERAGE((Q118:OFFSET(Q118,$B$7-1,0))))</f>
        <v>0.11750668600728034</v>
      </c>
      <c r="U118" s="5">
        <f ca="1">SQRT($B$9*AVERAGE((Q118:OFFSET(Q118,$B$8-1,0))))</f>
        <v>0.10381625113762957</v>
      </c>
      <c r="V118" s="1"/>
      <c r="W118" s="6">
        <f t="shared" si="16"/>
        <v>6.2831644659585068E-5</v>
      </c>
      <c r="X118" s="6">
        <f ca="1">SQRT($B$9*AVERAGE(W118:OFFSET(W118,$B$5-1,0)))</f>
        <v>0.13074338188803172</v>
      </c>
      <c r="Y118" s="6">
        <f ca="1">SQRT($B$9*AVERAGE(W118:OFFSET(W118,$B$6-1,0)))</f>
        <v>0.12019420112568777</v>
      </c>
      <c r="Z118" s="6">
        <f ca="1">SQRT($B$9*AVERAGE(W118:OFFSET(W118,$B$7-1,0)))</f>
        <v>0.11782282261705684</v>
      </c>
      <c r="AA118" s="6">
        <f ca="1">SQRT($B$9*AVERAGE(W118:OFFSET(W118,$B$8-1,0)))</f>
        <v>0.10471652434633465</v>
      </c>
      <c r="AB118" s="1"/>
      <c r="AC118" s="34">
        <f t="shared" si="13"/>
        <v>6.0122218449754523E-6</v>
      </c>
      <c r="AD118" s="34">
        <f ca="1">SQRT($B$9*SUM(AC118:OFFSET(AC118,$B$5-1,0))/($B$5-1))</f>
        <v>0.15021577595874522</v>
      </c>
      <c r="AE118" s="34">
        <f ca="1">SQRT($B$9*SUM(AC118:OFFSET(AC118,$B$6-1,0))/($B$6-1))</f>
        <v>0.11447714128329914</v>
      </c>
      <c r="AF118" s="34">
        <f ca="1">SQRT($B$9*SUM(AC118:OFFSET(AC118,$B$7-1,0))/($B$7-1))</f>
        <v>0.1049621173725251</v>
      </c>
      <c r="AG118" s="34">
        <f ca="1">SQRT($B$9*SUM(AC118:OFFSET(AC118,$B$8-1,0))/($B$8-1))</f>
        <v>9.4936501324729042E-2</v>
      </c>
      <c r="AH118" s="1"/>
      <c r="AI118" s="1">
        <f t="shared" si="14"/>
        <v>-2.4519832472868677E-3</v>
      </c>
      <c r="AJ118" s="4">
        <f ca="1">SQRT($B$9)*_xlfn.STDEV.S(AI118:OFFSET(AI118,$B$5-1,0))</f>
        <v>6.8924314658538155E-2</v>
      </c>
      <c r="AK118" s="4">
        <f ca="1">SQRT($B$9)*_xlfn.STDEV.S(AI118:OFFSET(AI118,$B$6-1,0))</f>
        <v>0.1117605397229017</v>
      </c>
      <c r="AL118" s="4">
        <f ca="1">SQRT($B$9)*_xlfn.STDEV.S(AI118:OFFSET(AI118,$B$7-1,0))</f>
        <v>0.10495748393865789</v>
      </c>
      <c r="AM118" s="4">
        <f ca="1">SQRT($B$9)*_xlfn.STDEV.S(AI118:OFFSET(AI118,$B$8-1,0))</f>
        <v>9.4669516901373055E-2</v>
      </c>
    </row>
    <row r="119" spans="5:39" x14ac:dyDescent="0.2">
      <c r="E119" s="42">
        <v>45498</v>
      </c>
      <c r="F119" s="43">
        <v>2.4153746520594255</v>
      </c>
      <c r="G119" s="43">
        <v>2.4212538601374609</v>
      </c>
      <c r="H119" s="43">
        <v>2.3889182157082676</v>
      </c>
      <c r="I119" s="43">
        <v>2.400676631864338</v>
      </c>
      <c r="K119" s="3">
        <f t="shared" si="12"/>
        <v>1.8076522703623193E-4</v>
      </c>
      <c r="L119" s="3">
        <f ca="1">SQRT(AVERAGE(K119:OFFSET(K119,$B$5-1,0))*$B$9/(4*LN(2)))</f>
        <v>0.13923583255817745</v>
      </c>
      <c r="M119" s="3">
        <f ca="1">SQRT(AVERAGE(K119:OFFSET(K119,$B$6-1,0))*$B$9/(4*LN(2)))</f>
        <v>0.11410535241157511</v>
      </c>
      <c r="N119" s="3">
        <f ca="1">SQRT(AVERAGE(K119:OFFSET(K119,$B$7-1,0))*$B$9/(4*LN(2)))</f>
        <v>0.11158448911292647</v>
      </c>
      <c r="O119" s="3">
        <f ca="1">SQRT(AVERAGE(K119:OFFSET(K119,$B$8-1,0))*$B$9/(4*LN(2)))</f>
        <v>9.9874088369434802E-2</v>
      </c>
      <c r="P119" s="1"/>
      <c r="Q119" s="5">
        <f t="shared" si="15"/>
        <v>7.6089091897307278E-5</v>
      </c>
      <c r="R119" s="5">
        <f ca="1">SQRT($B$9*AVERAGE((Q119:OFFSET(Q119,$B$5-1,0))))</f>
        <v>0.14480649040585333</v>
      </c>
      <c r="S119" s="5">
        <f ca="1">SQRT($B$9*AVERAGE((Q119:OFFSET(Q119,$B$6-1,0))))</f>
        <v>0.11719860682483715</v>
      </c>
      <c r="T119" s="5">
        <f ca="1">SQRT($B$9*AVERAGE((Q119:OFFSET(Q119,$B$7-1,0))))</f>
        <v>0.11732751085887096</v>
      </c>
      <c r="U119" s="5">
        <f ca="1">SQRT($B$9*AVERAGE((Q119:OFFSET(Q119,$B$8-1,0))))</f>
        <v>0.10503261963337161</v>
      </c>
      <c r="V119" s="1"/>
      <c r="W119" s="6">
        <f t="shared" si="16"/>
        <v>7.482693855947808E-5</v>
      </c>
      <c r="X119" s="6">
        <f ca="1">SQRT($B$9*AVERAGE(W119:OFFSET(W119,$B$5-1,0)))</f>
        <v>0.14282843828784414</v>
      </c>
      <c r="Y119" s="6">
        <f ca="1">SQRT($B$9*AVERAGE(W119:OFFSET(W119,$B$6-1,0)))</f>
        <v>0.11469429724313189</v>
      </c>
      <c r="Z119" s="6">
        <f ca="1">SQRT($B$9*AVERAGE(W119:OFFSET(W119,$B$7-1,0)))</f>
        <v>0.11743143587307077</v>
      </c>
      <c r="AA119" s="6">
        <f ca="1">SQRT($B$9*AVERAGE(W119:OFFSET(W119,$B$8-1,0)))</f>
        <v>0.10593506440944267</v>
      </c>
      <c r="AB119" s="1"/>
      <c r="AC119" s="34">
        <f t="shared" si="13"/>
        <v>9.5028366630931857E-5</v>
      </c>
      <c r="AD119" s="34">
        <f ca="1">SQRT($B$9*SUM(AC119:OFFSET(AC119,$B$5-1,0))/($B$5-1))</f>
        <v>0.1579901586941321</v>
      </c>
      <c r="AE119" s="34">
        <f ca="1">SQRT($B$9*SUM(AC119:OFFSET(AC119,$B$6-1,0))/($B$6-1))</f>
        <v>0.11807822425506194</v>
      </c>
      <c r="AF119" s="34">
        <f ca="1">SQRT($B$9*SUM(AC119:OFFSET(AC119,$B$7-1,0))/($B$7-1))</f>
        <v>0.10509931379062913</v>
      </c>
      <c r="AG119" s="34">
        <f ca="1">SQRT($B$9*SUM(AC119:OFFSET(AC119,$B$8-1,0))/($B$8-1))</f>
        <v>9.5587907165543287E-2</v>
      </c>
      <c r="AH119" s="1"/>
      <c r="AI119" s="1">
        <f t="shared" si="14"/>
        <v>-9.7482494136604779E-3</v>
      </c>
      <c r="AJ119" s="4">
        <f ca="1">SQRT($B$9)*_xlfn.STDEV.S(AI119:OFFSET(AI119,$B$5-1,0))</f>
        <v>0.12117776705681979</v>
      </c>
      <c r="AK119" s="4">
        <f ca="1">SQRT($B$9)*_xlfn.STDEV.S(AI119:OFFSET(AI119,$B$6-1,0))</f>
        <v>0.11758877905852341</v>
      </c>
      <c r="AL119" s="4">
        <f ca="1">SQRT($B$9)*_xlfn.STDEV.S(AI119:OFFSET(AI119,$B$7-1,0))</f>
        <v>0.10496755588667611</v>
      </c>
      <c r="AM119" s="4">
        <f ca="1">SQRT($B$9)*_xlfn.STDEV.S(AI119:OFFSET(AI119,$B$8-1,0))</f>
        <v>9.546256211524666E-2</v>
      </c>
    </row>
    <row r="120" spans="5:39" x14ac:dyDescent="0.2">
      <c r="E120" s="42">
        <v>45497</v>
      </c>
      <c r="F120" s="43">
        <v>2.4261532002024899</v>
      </c>
      <c r="G120" s="43">
        <v>2.4388914843715659</v>
      </c>
      <c r="H120" s="43">
        <v>2.413414916033414</v>
      </c>
      <c r="I120" s="43">
        <v>2.4241934641764784</v>
      </c>
      <c r="K120" s="3">
        <f t="shared" si="12"/>
        <v>1.1026899000579643E-4</v>
      </c>
      <c r="L120" s="3">
        <f ca="1">SQRT(AVERAGE(K120:OFFSET(K120,$B$5-1,0))*$B$9/(4*LN(2)))</f>
        <v>0.13502929339552186</v>
      </c>
      <c r="M120" s="3">
        <f ca="1">SQRT(AVERAGE(K120:OFFSET(K120,$B$6-1,0))*$B$9/(4*LN(2)))</f>
        <v>0.11075124496841407</v>
      </c>
      <c r="N120" s="3">
        <f ca="1">SQRT(AVERAGE(K120:OFFSET(K120,$B$7-1,0))*$B$9/(4*LN(2)))</f>
        <v>0.10906356861145004</v>
      </c>
      <c r="O120" s="3">
        <f ca="1">SQRT(AVERAGE(K120:OFFSET(K120,$B$8-1,0))*$B$9/(4*LN(2)))</f>
        <v>0.10008726750761276</v>
      </c>
      <c r="P120" s="1"/>
      <c r="Q120" s="5">
        <f t="shared" si="15"/>
        <v>5.5049385498504437E-5</v>
      </c>
      <c r="R120" s="5">
        <f ca="1">SQRT($B$9*AVERAGE((Q120:OFFSET(Q120,$B$5-1,0))))</f>
        <v>0.13856020550461284</v>
      </c>
      <c r="S120" s="5">
        <f ca="1">SQRT($B$9*AVERAGE((Q120:OFFSET(Q120,$B$6-1,0))))</f>
        <v>0.11303095932726318</v>
      </c>
      <c r="T120" s="5">
        <f ca="1">SQRT($B$9*AVERAGE((Q120:OFFSET(Q120,$B$7-1,0))))</f>
        <v>0.11475834452891442</v>
      </c>
      <c r="U120" s="5">
        <f ca="1">SQRT($B$9*AVERAGE((Q120:OFFSET(Q120,$B$8-1,0))))</f>
        <v>0.1046279973334542</v>
      </c>
      <c r="V120" s="1"/>
      <c r="W120" s="6">
        <f t="shared" si="16"/>
        <v>5.5112598513474198E-5</v>
      </c>
      <c r="X120" s="6">
        <f ca="1">SQRT($B$9*AVERAGE(W120:OFFSET(W120,$B$5-1,0)))</f>
        <v>0.13586120516002023</v>
      </c>
      <c r="Y120" s="6">
        <f ca="1">SQRT($B$9*AVERAGE(W120:OFFSET(W120,$B$6-1,0)))</f>
        <v>0.11045200062356353</v>
      </c>
      <c r="Z120" s="6">
        <f ca="1">SQRT($B$9*AVERAGE(W120:OFFSET(W120,$B$7-1,0)))</f>
        <v>0.11536749011224477</v>
      </c>
      <c r="AA120" s="6">
        <f ca="1">SQRT($B$9*AVERAGE(W120:OFFSET(W120,$B$8-1,0)))</f>
        <v>0.10538461764949192</v>
      </c>
      <c r="AB120" s="1"/>
      <c r="AC120" s="34">
        <f t="shared" si="13"/>
        <v>1.3185849873817182E-5</v>
      </c>
      <c r="AD120" s="34">
        <f ca="1">SQRT($B$9*SUM(AC120:OFFSET(AC120,$B$5-1,0))/($B$5-1))</f>
        <v>0.14329590591081687</v>
      </c>
      <c r="AE120" s="34">
        <f ca="1">SQRT($B$9*SUM(AC120:OFFSET(AC120,$B$6-1,0))/($B$6-1))</f>
        <v>0.12005792941702539</v>
      </c>
      <c r="AF120" s="34">
        <f ca="1">SQRT($B$9*SUM(AC120:OFFSET(AC120,$B$7-1,0))/($B$7-1))</f>
        <v>9.9633556964934589E-2</v>
      </c>
      <c r="AG120" s="34">
        <f ca="1">SQRT($B$9*SUM(AC120:OFFSET(AC120,$B$8-1,0))/($B$8-1))</f>
        <v>9.6693398614209045E-2</v>
      </c>
      <c r="AH120" s="1"/>
      <c r="AI120" s="1">
        <f t="shared" si="14"/>
        <v>-3.6312325557332709E-3</v>
      </c>
      <c r="AJ120" s="4">
        <f ca="1">SQRT($B$9)*_xlfn.STDEV.S(AI120:OFFSET(AI120,$B$5-1,0))</f>
        <v>0.13407882880822924</v>
      </c>
      <c r="AK120" s="4">
        <f ca="1">SQRT($B$9)*_xlfn.STDEV.S(AI120:OFFSET(AI120,$B$6-1,0))</f>
        <v>0.11786691536843895</v>
      </c>
      <c r="AL120" s="4">
        <f ca="1">SQRT($B$9)*_xlfn.STDEV.S(AI120:OFFSET(AI120,$B$7-1,0))</f>
        <v>9.9048392487832079E-2</v>
      </c>
      <c r="AM120" s="4">
        <f ca="1">SQRT($B$9)*_xlfn.STDEV.S(AI120:OFFSET(AI120,$B$8-1,0))</f>
        <v>9.6689644294447069E-2</v>
      </c>
    </row>
    <row r="121" spans="5:39" x14ac:dyDescent="0.2">
      <c r="E121" s="42">
        <v>45496</v>
      </c>
      <c r="F121" s="43">
        <v>2.4584888446316828</v>
      </c>
      <c r="G121" s="43">
        <v>2.4653479207227238</v>
      </c>
      <c r="H121" s="43">
        <v>2.4290928042415074</v>
      </c>
      <c r="I121" s="43">
        <v>2.4330122762935309</v>
      </c>
      <c r="K121" s="3">
        <f t="shared" si="12"/>
        <v>2.1948676682107749E-4</v>
      </c>
      <c r="L121" s="3">
        <f ca="1">SQRT(AVERAGE(K121:OFFSET(K121,$B$5-1,0))*$B$9/(4*LN(2)))</f>
        <v>0.1323808437918518</v>
      </c>
      <c r="M121" s="3">
        <f ca="1">SQRT(AVERAGE(K121:OFFSET(K121,$B$6-1,0))*$B$9/(4*LN(2)))</f>
        <v>0.10743071630876168</v>
      </c>
      <c r="N121" s="3">
        <f ca="1">SQRT(AVERAGE(K121:OFFSET(K121,$B$7-1,0))*$B$9/(4*LN(2)))</f>
        <v>0.1084792094072311</v>
      </c>
      <c r="O121" s="3">
        <f ca="1">SQRT(AVERAGE(K121:OFFSET(K121,$B$8-1,0))*$B$9/(4*LN(2)))</f>
        <v>0.10016334644469928</v>
      </c>
      <c r="P121" s="1"/>
      <c r="Q121" s="5">
        <f t="shared" si="15"/>
        <v>6.7495957212569099E-5</v>
      </c>
      <c r="R121" s="5">
        <f ca="1">SQRT($B$9*AVERAGE((Q121:OFFSET(Q121,$B$5-1,0))))</f>
        <v>0.13336635313340917</v>
      </c>
      <c r="S121" s="5">
        <f ca="1">SQRT($B$9*AVERAGE((Q121:OFFSET(Q121,$B$6-1,0))))</f>
        <v>0.10852616823393202</v>
      </c>
      <c r="T121" s="5">
        <f ca="1">SQRT($B$9*AVERAGE((Q121:OFFSET(Q121,$B$7-1,0))))</f>
        <v>0.11371104557258493</v>
      </c>
      <c r="U121" s="5">
        <f ca="1">SQRT($B$9*AVERAGE((Q121:OFFSET(Q121,$B$8-1,0))))</f>
        <v>0.10452021244532796</v>
      </c>
      <c r="V121" s="1"/>
      <c r="W121" s="6">
        <f t="shared" si="16"/>
        <v>5.6177854347674679E-5</v>
      </c>
      <c r="X121" s="6">
        <f ca="1">SQRT($B$9*AVERAGE(W121:OFFSET(W121,$B$5-1,0)))</f>
        <v>0.130427350498798</v>
      </c>
      <c r="Y121" s="6">
        <f ca="1">SQRT($B$9*AVERAGE(W121:OFFSET(W121,$B$6-1,0)))</f>
        <v>0.10659061115696888</v>
      </c>
      <c r="Z121" s="6">
        <f ca="1">SQRT($B$9*AVERAGE(W121:OFFSET(W121,$B$7-1,0)))</f>
        <v>0.11424128960846963</v>
      </c>
      <c r="AA121" s="6">
        <f ca="1">SQRT($B$9*AVERAGE(W121:OFFSET(W121,$B$8-1,0)))</f>
        <v>0.10522126987256152</v>
      </c>
      <c r="AB121" s="1"/>
      <c r="AC121" s="34">
        <f t="shared" si="13"/>
        <v>1.6397563191570869E-4</v>
      </c>
      <c r="AD121" s="34">
        <f ca="1">SQRT($B$9*SUM(AC121:OFFSET(AC121,$B$5-1,0))/($B$5-1))</f>
        <v>0.14388251341732702</v>
      </c>
      <c r="AE121" s="34">
        <f ca="1">SQRT($B$9*SUM(AC121:OFFSET(AC121,$B$6-1,0))/($B$6-1))</f>
        <v>0.11886125053686603</v>
      </c>
      <c r="AF121" s="34">
        <f ca="1">SQRT($B$9*SUM(AC121:OFFSET(AC121,$B$7-1,0))/($B$7-1))</f>
        <v>9.8952008583577389E-2</v>
      </c>
      <c r="AG121" s="34">
        <f ca="1">SQRT($B$9*SUM(AC121:OFFSET(AC121,$B$8-1,0))/($B$8-1))</f>
        <v>9.6697322927972215E-2</v>
      </c>
      <c r="AH121" s="1"/>
      <c r="AI121" s="1">
        <f t="shared" si="14"/>
        <v>-1.2805297025672957E-2</v>
      </c>
      <c r="AJ121" s="4">
        <f ca="1">SQRT($B$9)*_xlfn.STDEV.S(AI121:OFFSET(AI121,$B$5-1,0))</f>
        <v>0.14188679190267806</v>
      </c>
      <c r="AK121" s="4">
        <f ca="1">SQRT($B$9)*_xlfn.STDEV.S(AI121:OFFSET(AI121,$B$6-1,0))</f>
        <v>0.11595564635069547</v>
      </c>
      <c r="AL121" s="4">
        <f ca="1">SQRT($B$9)*_xlfn.STDEV.S(AI121:OFFSET(AI121,$B$7-1,0))</f>
        <v>9.7806177931206106E-2</v>
      </c>
      <c r="AM121" s="4">
        <f ca="1">SQRT($B$9)*_xlfn.STDEV.S(AI121:OFFSET(AI121,$B$8-1,0))</f>
        <v>9.6657661507902684E-2</v>
      </c>
    </row>
    <row r="122" spans="5:39" x14ac:dyDescent="0.2">
      <c r="E122" s="42">
        <v>45495</v>
      </c>
      <c r="F122" s="43">
        <v>2.4859251489958467</v>
      </c>
      <c r="G122" s="43">
        <v>2.4869050170088527</v>
      </c>
      <c r="H122" s="43">
        <v>2.4486901645016248</v>
      </c>
      <c r="I122" s="43">
        <v>2.4643680527097183</v>
      </c>
      <c r="K122" s="3">
        <f t="shared" si="12"/>
        <v>2.3980744461233342E-4</v>
      </c>
      <c r="L122" s="3">
        <f ca="1">SQRT(AVERAGE(K122:OFFSET(K122,$B$5-1,0))*$B$9/(4*LN(2)))</f>
        <v>0.12308767583181081</v>
      </c>
      <c r="M122" s="3">
        <f ca="1">SQRT(AVERAGE(K122:OFFSET(K122,$B$6-1,0))*$B$9/(4*LN(2)))</f>
        <v>0.1142488248077124</v>
      </c>
      <c r="N122" s="3">
        <f ca="1">SQRT(AVERAGE(K122:OFFSET(K122,$B$7-1,0))*$B$9/(4*LN(2)))</f>
        <v>0.10668072143820938</v>
      </c>
      <c r="O122" s="3">
        <f ca="1">SQRT(AVERAGE(K122:OFFSET(K122,$B$8-1,0))*$B$9/(4*LN(2)))</f>
        <v>9.9136793045338359E-2</v>
      </c>
      <c r="P122" s="1"/>
      <c r="Q122" s="5">
        <f t="shared" si="15"/>
        <v>9.0830990140736406E-5</v>
      </c>
      <c r="R122" s="5">
        <f ca="1">SQRT($B$9*AVERAGE((Q122:OFFSET(Q122,$B$5-1,0))))</f>
        <v>0.12727523401290888</v>
      </c>
      <c r="S122" s="5">
        <f ca="1">SQRT($B$9*AVERAGE((Q122:OFFSET(Q122,$B$6-1,0))))</f>
        <v>0.11859569735115946</v>
      </c>
      <c r="T122" s="5">
        <f ca="1">SQRT($B$9*AVERAGE((Q122:OFFSET(Q122,$B$7-1,0))))</f>
        <v>0.11335499587286926</v>
      </c>
      <c r="U122" s="5">
        <f ca="1">SQRT($B$9*AVERAGE((Q122:OFFSET(Q122,$B$8-1,0))))</f>
        <v>0.10398071440672473</v>
      </c>
      <c r="V122" s="1"/>
      <c r="W122" s="6">
        <f t="shared" si="16"/>
        <v>9.9904676318149187E-5</v>
      </c>
      <c r="X122" s="6">
        <f ca="1">SQRT($B$9*AVERAGE(W122:OFFSET(W122,$B$5-1,0)))</f>
        <v>0.12622486506274222</v>
      </c>
      <c r="Y122" s="6">
        <f ca="1">SQRT($B$9*AVERAGE(W122:OFFSET(W122,$B$6-1,0)))</f>
        <v>0.11739242361656763</v>
      </c>
      <c r="Z122" s="6">
        <f ca="1">SQRT($B$9*AVERAGE(W122:OFFSET(W122,$B$7-1,0)))</f>
        <v>0.11462566123745889</v>
      </c>
      <c r="AA122" s="6">
        <f ca="1">SQRT($B$9*AVERAGE(W122:OFFSET(W122,$B$8-1,0)))</f>
        <v>0.10503020507753086</v>
      </c>
      <c r="AB122" s="1"/>
      <c r="AC122" s="34">
        <f t="shared" si="13"/>
        <v>9.0202490500084208E-5</v>
      </c>
      <c r="AD122" s="34">
        <f ca="1">SQRT($B$9*SUM(AC122:OFFSET(AC122,$B$5-1,0))/($B$5-1))</f>
        <v>0.10702960970572042</v>
      </c>
      <c r="AE122" s="34">
        <f ca="1">SQRT($B$9*SUM(AC122:OFFSET(AC122,$B$6-1,0))/($B$6-1))</f>
        <v>0.10904145471236774</v>
      </c>
      <c r="AF122" s="34">
        <f ca="1">SQRT($B$9*SUM(AC122:OFFSET(AC122,$B$7-1,0))/($B$7-1))</f>
        <v>8.8613192733258739E-2</v>
      </c>
      <c r="AG122" s="34">
        <f ca="1">SQRT($B$9*SUM(AC122:OFFSET(AC122,$B$8-1,0))/($B$8-1))</f>
        <v>9.348007327003241E-2</v>
      </c>
      <c r="AH122" s="1"/>
      <c r="AI122" s="1">
        <f t="shared" si="14"/>
        <v>-9.497499170838827E-3</v>
      </c>
      <c r="AJ122" s="4">
        <f ca="1">SQRT($B$9)*_xlfn.STDEV.S(AI122:OFFSET(AI122,$B$5-1,0))</f>
        <v>0.10163200642661965</v>
      </c>
      <c r="AK122" s="4">
        <f ca="1">SQRT($B$9)*_xlfn.STDEV.S(AI122:OFFSET(AI122,$B$6-1,0))</f>
        <v>8.9583750150507513E-2</v>
      </c>
      <c r="AL122" s="4">
        <f ca="1">SQRT($B$9)*_xlfn.STDEV.S(AI122:OFFSET(AI122,$B$7-1,0))</f>
        <v>8.5751656288819145E-2</v>
      </c>
      <c r="AM122" s="4">
        <f ca="1">SQRT($B$9)*_xlfn.STDEV.S(AI122:OFFSET(AI122,$B$8-1,0))</f>
        <v>9.3201538153253174E-2</v>
      </c>
    </row>
    <row r="123" spans="5:39" x14ac:dyDescent="0.2">
      <c r="E123" s="42">
        <v>45492</v>
      </c>
      <c r="F123" s="43">
        <v>2.4643680527097183</v>
      </c>
      <c r="G123" s="43">
        <v>2.4967036971389112</v>
      </c>
      <c r="H123" s="43">
        <v>2.4506499005276359</v>
      </c>
      <c r="I123" s="43">
        <v>2.4878848850218587</v>
      </c>
      <c r="K123" s="3">
        <f t="shared" si="12"/>
        <v>3.4663311939366569E-4</v>
      </c>
      <c r="L123" s="3">
        <f ca="1">SQRT(AVERAGE(K123:OFFSET(K123,$B$5-1,0))*$B$9/(4*LN(2)))</f>
        <v>0.10929792069733356</v>
      </c>
      <c r="M123" s="3">
        <f ca="1">SQRT(AVERAGE(K123:OFFSET(K123,$B$6-1,0))*$B$9/(4*LN(2)))</f>
        <v>0.1076828240800578</v>
      </c>
      <c r="N123" s="3">
        <f ca="1">SQRT(AVERAGE(K123:OFFSET(K123,$B$7-1,0))*$B$9/(4*LN(2)))</f>
        <v>0.10595765017434665</v>
      </c>
      <c r="O123" s="3">
        <f ca="1">SQRT(AVERAGE(K123:OFFSET(K123,$B$8-1,0))*$B$9/(4*LN(2)))</f>
        <v>9.7701757465690292E-2</v>
      </c>
      <c r="P123" s="1"/>
      <c r="Q123" s="5">
        <f t="shared" si="15"/>
        <v>1.3847171124395401E-4</v>
      </c>
      <c r="R123" s="5">
        <f ca="1">SQRT($B$9*AVERAGE((Q123:OFFSET(Q123,$B$5-1,0))))</f>
        <v>0.11251156826409808</v>
      </c>
      <c r="S123" s="5">
        <f ca="1">SQRT($B$9*AVERAGE((Q123:OFFSET(Q123,$B$6-1,0))))</f>
        <v>0.11284789623668048</v>
      </c>
      <c r="T123" s="5">
        <f ca="1">SQRT($B$9*AVERAGE((Q123:OFFSET(Q123,$B$7-1,0))))</f>
        <v>0.11310296341715949</v>
      </c>
      <c r="U123" s="5">
        <f ca="1">SQRT($B$9*AVERAGE((Q123:OFFSET(Q123,$B$8-1,0))))</f>
        <v>0.10253199375932841</v>
      </c>
      <c r="V123" s="1"/>
      <c r="W123" s="6">
        <f t="shared" si="16"/>
        <v>1.3030370335805042E-4</v>
      </c>
      <c r="X123" s="6">
        <f ca="1">SQRT($B$9*AVERAGE(W123:OFFSET(W123,$B$5-1,0)))</f>
        <v>0.10862531961271674</v>
      </c>
      <c r="Y123" s="6">
        <f ca="1">SQRT($B$9*AVERAGE(W123:OFFSET(W123,$B$6-1,0)))</f>
        <v>0.11076392583178918</v>
      </c>
      <c r="Z123" s="6">
        <f ca="1">SQRT($B$9*AVERAGE(W123:OFFSET(W123,$B$7-1,0)))</f>
        <v>0.11435968050582343</v>
      </c>
      <c r="AA123" s="6">
        <f ca="1">SQRT($B$9*AVERAGE(W123:OFFSET(W123,$B$8-1,0)))</f>
        <v>0.10339476200714351</v>
      </c>
      <c r="AB123" s="1"/>
      <c r="AC123" s="34">
        <f t="shared" si="13"/>
        <v>4.5132399760226143E-5</v>
      </c>
      <c r="AD123" s="34">
        <f ca="1">SQRT($B$9*SUM(AC123:OFFSET(AC123,$B$5-1,0))/($B$5-1))</f>
        <v>8.3195591079119294E-2</v>
      </c>
      <c r="AE123" s="34">
        <f ca="1">SQRT($B$9*SUM(AC123:OFFSET(AC123,$B$6-1,0))/($B$6-1))</f>
        <v>0.10049616346073323</v>
      </c>
      <c r="AF123" s="34">
        <f ca="1">SQRT($B$9*SUM(AC123:OFFSET(AC123,$B$7-1,0))/($B$7-1))</f>
        <v>8.1787288430908239E-2</v>
      </c>
      <c r="AG123" s="34">
        <f ca="1">SQRT($B$9*SUM(AC123:OFFSET(AC123,$B$8-1,0))/($B$8-1))</f>
        <v>9.208982688331907E-2</v>
      </c>
      <c r="AH123" s="1"/>
      <c r="AI123" s="1">
        <f t="shared" si="14"/>
        <v>6.7180651798137642E-3</v>
      </c>
      <c r="AJ123" s="4">
        <f ca="1">SQRT($B$9)*_xlfn.STDEV.S(AI123:OFFSET(AI123,$B$5-1,0))</f>
        <v>1.9491457719336032E-2</v>
      </c>
      <c r="AK123" s="4">
        <f ca="1">SQRT($B$9)*_xlfn.STDEV.S(AI123:OFFSET(AI123,$B$6-1,0))</f>
        <v>7.2413748378291773E-2</v>
      </c>
      <c r="AL123" s="4">
        <f ca="1">SQRT($B$9)*_xlfn.STDEV.S(AI123:OFFSET(AI123,$B$7-1,0))</f>
        <v>7.6100999543686959E-2</v>
      </c>
      <c r="AM123" s="4">
        <f ca="1">SQRT($B$9)*_xlfn.STDEV.S(AI123:OFFSET(AI123,$B$8-1,0))</f>
        <v>9.1713617700797445E-2</v>
      </c>
    </row>
    <row r="124" spans="5:39" x14ac:dyDescent="0.2">
      <c r="E124" s="42">
        <v>45491</v>
      </c>
      <c r="F124" s="43">
        <v>2.4545693725796593</v>
      </c>
      <c r="G124" s="43">
        <v>2.4751466008527823</v>
      </c>
      <c r="H124" s="43">
        <v>2.4486901645016248</v>
      </c>
      <c r="I124" s="43">
        <v>2.4712271288007588</v>
      </c>
      <c r="K124" s="3">
        <f t="shared" si="12"/>
        <v>1.154845127847389E-4</v>
      </c>
      <c r="L124" s="3">
        <f ca="1">SQRT(AVERAGE(K124:OFFSET(K124,$B$5-1,0))*$B$9/(4*LN(2)))</f>
        <v>8.1568657153165608E-2</v>
      </c>
      <c r="M124" s="3">
        <f ca="1">SQRT(AVERAGE(K124:OFFSET(K124,$B$6-1,0))*$B$9/(4*LN(2)))</f>
        <v>0.10809118101371781</v>
      </c>
      <c r="N124" s="3">
        <f ca="1">SQRT(AVERAGE(K124:OFFSET(K124,$B$7-1,0))*$B$9/(4*LN(2)))</f>
        <v>0.10117242030219051</v>
      </c>
      <c r="O124" s="3">
        <f ca="1">SQRT(AVERAGE(K124:OFFSET(K124,$B$8-1,0))*$B$9/(4*LN(2)))</f>
        <v>9.6188448887980754E-2</v>
      </c>
      <c r="P124" s="1"/>
      <c r="Q124" s="5">
        <f t="shared" si="15"/>
        <v>3.9966865077308266E-5</v>
      </c>
      <c r="R124" s="5">
        <f ca="1">SQRT($B$9*AVERAGE((Q124:OFFSET(Q124,$B$5-1,0))))</f>
        <v>8.0635644845843735E-2</v>
      </c>
      <c r="S124" s="5">
        <f ca="1">SQRT($B$9*AVERAGE((Q124:OFFSET(Q124,$B$6-1,0))))</f>
        <v>0.11441091963985399</v>
      </c>
      <c r="T124" s="5">
        <f ca="1">SQRT($B$9*AVERAGE((Q124:OFFSET(Q124,$B$7-1,0))))</f>
        <v>0.1088252986515777</v>
      </c>
      <c r="U124" s="5">
        <f ca="1">SQRT($B$9*AVERAGE((Q124:OFFSET(Q124,$B$8-1,0))))</f>
        <v>0.10121487492360152</v>
      </c>
      <c r="V124" s="1"/>
      <c r="W124" s="6">
        <f t="shared" si="16"/>
        <v>3.5200495371490412E-5</v>
      </c>
      <c r="X124" s="6">
        <f ca="1">SQRT($B$9*AVERAGE(W124:OFFSET(W124,$B$5-1,0)))</f>
        <v>7.6873928327146651E-2</v>
      </c>
      <c r="Y124" s="6">
        <f ca="1">SQRT($B$9*AVERAGE(W124:OFFSET(W124,$B$6-1,0)))</f>
        <v>0.11472881876633502</v>
      </c>
      <c r="Z124" s="6">
        <f ca="1">SQRT($B$9*AVERAGE(W124:OFFSET(W124,$B$7-1,0)))</f>
        <v>0.1112259753707972</v>
      </c>
      <c r="AA124" s="6">
        <f ca="1">SQRT($B$9*AVERAGE(W124:OFFSET(W124,$B$8-1,0)))</f>
        <v>0.10269809387365399</v>
      </c>
      <c r="AB124" s="1"/>
      <c r="AC124" s="34">
        <f t="shared" si="13"/>
        <v>2.2747981432640212E-5</v>
      </c>
      <c r="AD124" s="34">
        <f ca="1">SQRT($B$9*SUM(AC124:OFFSET(AC124,$B$5-1,0))/($B$5-1))</f>
        <v>8.006035600137891E-2</v>
      </c>
      <c r="AE124" s="34">
        <f ca="1">SQRT($B$9*SUM(AC124:OFFSET(AC124,$B$6-1,0))/($B$6-1))</f>
        <v>0.10341117875403666</v>
      </c>
      <c r="AF124" s="34">
        <f ca="1">SQRT($B$9*SUM(AC124:OFFSET(AC124,$B$7-1,0))/($B$7-1))</f>
        <v>7.8491793734190157E-2</v>
      </c>
      <c r="AG124" s="34">
        <f ca="1">SQRT($B$9*SUM(AC124:OFFSET(AC124,$B$8-1,0))/($B$8-1))</f>
        <v>9.1126742585243212E-2</v>
      </c>
      <c r="AH124" s="1"/>
      <c r="AI124" s="1">
        <f t="shared" si="14"/>
        <v>4.7694843990352051E-3</v>
      </c>
      <c r="AJ124" s="4">
        <f ca="1">SQRT($B$9)*_xlfn.STDEV.S(AI124:OFFSET(AI124,$B$5-1,0))</f>
        <v>1.5263404955014784E-2</v>
      </c>
      <c r="AK124" s="4">
        <f ca="1">SQRT($B$9)*_xlfn.STDEV.S(AI124:OFFSET(AI124,$B$6-1,0))</f>
        <v>9.3059847461644182E-2</v>
      </c>
      <c r="AL124" s="4">
        <f ca="1">SQRT($B$9)*_xlfn.STDEV.S(AI124:OFFSET(AI124,$B$7-1,0))</f>
        <v>7.5068030908437375E-2</v>
      </c>
      <c r="AM124" s="4">
        <f ca="1">SQRT($B$9)*_xlfn.STDEV.S(AI124:OFFSET(AI124,$B$8-1,0))</f>
        <v>9.0920950696753405E-2</v>
      </c>
    </row>
    <row r="125" spans="5:39" x14ac:dyDescent="0.2">
      <c r="E125" s="42">
        <v>45490</v>
      </c>
      <c r="F125" s="43">
        <v>2.4477102964886188</v>
      </c>
      <c r="G125" s="43">
        <v>2.4663277887357298</v>
      </c>
      <c r="H125" s="43">
        <v>2.4457505604626069</v>
      </c>
      <c r="I125" s="43">
        <v>2.4594687126446888</v>
      </c>
      <c r="K125" s="3">
        <f t="shared" si="12"/>
        <v>7.0195335234901905E-5</v>
      </c>
      <c r="L125" s="3">
        <f ca="1">SQRT(AVERAGE(K125:OFFSET(K125,$B$5-1,0))*$B$9/(4*LN(2)))</f>
        <v>7.9364768311974573E-2</v>
      </c>
      <c r="M125" s="3">
        <f ca="1">SQRT(AVERAGE(K125:OFFSET(K125,$B$6-1,0))*$B$9/(4*LN(2)))</f>
        <v>0.10661929464462125</v>
      </c>
      <c r="N125" s="3">
        <f ca="1">SQRT(AVERAGE(K125:OFFSET(K125,$B$7-1,0))*$B$9/(4*LN(2)))</f>
        <v>9.9813577499854964E-2</v>
      </c>
      <c r="O125" s="3">
        <f ca="1">SQRT(AVERAGE(K125:OFFSET(K125,$B$8-1,0))*$B$9/(4*LN(2)))</f>
        <v>9.5968718404838727E-2</v>
      </c>
      <c r="P125" s="1"/>
      <c r="Q125" s="5">
        <f t="shared" si="15"/>
        <v>2.6225989552068844E-5</v>
      </c>
      <c r="R125" s="5">
        <f ca="1">SQRT($B$9*AVERAGE((Q125:OFFSET(Q125,$B$5-1,0))))</f>
        <v>7.9706116348761499E-2</v>
      </c>
      <c r="S125" s="5">
        <f ca="1">SQRT($B$9*AVERAGE((Q125:OFFSET(Q125,$B$6-1,0))))</f>
        <v>0.11373193557439369</v>
      </c>
      <c r="T125" s="5">
        <f ca="1">SQRT($B$9*AVERAGE((Q125:OFFSET(Q125,$B$7-1,0))))</f>
        <v>0.10803477625943426</v>
      </c>
      <c r="U125" s="5">
        <f ca="1">SQRT($B$9*AVERAGE((Q125:OFFSET(Q125,$B$8-1,0))))</f>
        <v>0.10124034515577764</v>
      </c>
      <c r="V125" s="1"/>
      <c r="W125" s="6">
        <f t="shared" si="16"/>
        <v>2.5582530974763842E-5</v>
      </c>
      <c r="X125" s="6">
        <f ca="1">SQRT($B$9*AVERAGE(W125:OFFSET(W125,$B$5-1,0)))</f>
        <v>7.7078024208993914E-2</v>
      </c>
      <c r="Y125" s="6">
        <f ca="1">SQRT($B$9*AVERAGE(W125:OFFSET(W125,$B$6-1,0)))</f>
        <v>0.11521668432658927</v>
      </c>
      <c r="Z125" s="6">
        <f ca="1">SQRT($B$9*AVERAGE(W125:OFFSET(W125,$B$7-1,0)))</f>
        <v>0.11098194117483648</v>
      </c>
      <c r="AA125" s="6">
        <f ca="1">SQRT($B$9*AVERAGE(W125:OFFSET(W125,$B$8-1,0)))</f>
        <v>0.10281659325200701</v>
      </c>
      <c r="AB125" s="1"/>
      <c r="AC125" s="34">
        <f t="shared" si="13"/>
        <v>1.5936233816439447E-5</v>
      </c>
      <c r="AD125" s="34">
        <f ca="1">SQRT($B$9*SUM(AC125:OFFSET(AC125,$B$5-1,0))/($B$5-1))</f>
        <v>0.10907599545720903</v>
      </c>
      <c r="AE125" s="34">
        <f ca="1">SQRT($B$9*SUM(AC125:OFFSET(AC125,$B$6-1,0))/($B$6-1))</f>
        <v>0.10179874736556341</v>
      </c>
      <c r="AF125" s="34">
        <f ca="1">SQRT($B$9*SUM(AC125:OFFSET(AC125,$B$7-1,0))/($B$7-1))</f>
        <v>7.7282016867863873E-2</v>
      </c>
      <c r="AG125" s="34">
        <f ca="1">SQRT($B$9*SUM(AC125:OFFSET(AC125,$B$8-1,0))/($B$8-1))</f>
        <v>9.15619219919621E-2</v>
      </c>
      <c r="AH125" s="1"/>
      <c r="AI125" s="1">
        <f t="shared" si="14"/>
        <v>3.9920212695374567E-3</v>
      </c>
      <c r="AJ125" s="4">
        <f ca="1">SQRT($B$9)*_xlfn.STDEV.S(AI125:OFFSET(AI125,$B$5-1,0))</f>
        <v>4.579591775019784E-2</v>
      </c>
      <c r="AK125" s="4">
        <f ca="1">SQRT($B$9)*_xlfn.STDEV.S(AI125:OFFSET(AI125,$B$6-1,0))</f>
        <v>9.6685404062362368E-2</v>
      </c>
      <c r="AL125" s="4">
        <f ca="1">SQRT($B$9)*_xlfn.STDEV.S(AI125:OFFSET(AI125,$B$7-1,0))</f>
        <v>7.5431727781267666E-2</v>
      </c>
      <c r="AM125" s="4">
        <f ca="1">SQRT($B$9)*_xlfn.STDEV.S(AI125:OFFSET(AI125,$B$8-1,0))</f>
        <v>9.1507263273093803E-2</v>
      </c>
    </row>
    <row r="126" spans="5:39" x14ac:dyDescent="0.2">
      <c r="E126" s="42">
        <v>45489</v>
      </c>
      <c r="F126" s="43">
        <v>2.4388914843715659</v>
      </c>
      <c r="G126" s="43">
        <v>2.4535895045666538</v>
      </c>
      <c r="H126" s="43">
        <v>2.4310525402675189</v>
      </c>
      <c r="I126" s="43">
        <v>2.4496700325146303</v>
      </c>
      <c r="K126" s="3">
        <f t="shared" si="12"/>
        <v>8.5151342899479344E-5</v>
      </c>
      <c r="L126" s="3">
        <f ca="1">SQRT(AVERAGE(K126:OFFSET(K126,$B$5-1,0))*$B$9/(4*LN(2)))</f>
        <v>7.4552195207013158E-2</v>
      </c>
      <c r="M126" s="3">
        <f ca="1">SQRT(AVERAGE(K126:OFFSET(K126,$B$6-1,0))*$B$9/(4*LN(2)))</f>
        <v>0.10485354839106217</v>
      </c>
      <c r="N126" s="3">
        <f ca="1">SQRT(AVERAGE(K126:OFFSET(K126,$B$7-1,0))*$B$9/(4*LN(2)))</f>
        <v>9.8976222845666317E-2</v>
      </c>
      <c r="O126" s="3">
        <f ca="1">SQRT(AVERAGE(K126:OFFSET(K126,$B$8-1,0))*$B$9/(4*LN(2)))</f>
        <v>9.7409076050420457E-2</v>
      </c>
      <c r="P126" s="1"/>
      <c r="Q126" s="5">
        <f t="shared" si="15"/>
        <v>3.5095978537783953E-5</v>
      </c>
      <c r="R126" s="5">
        <f ca="1">SQRT($B$9*AVERAGE((Q126:OFFSET(Q126,$B$5-1,0))))</f>
        <v>7.5955738657287969E-2</v>
      </c>
      <c r="S126" s="5">
        <f ca="1">SQRT($B$9*AVERAGE((Q126:OFFSET(Q126,$B$6-1,0))))</f>
        <v>0.11240769101149543</v>
      </c>
      <c r="T126" s="5">
        <f ca="1">SQRT($B$9*AVERAGE((Q126:OFFSET(Q126,$B$7-1,0))))</f>
        <v>0.10743851319866071</v>
      </c>
      <c r="U126" s="5">
        <f ca="1">SQRT($B$9*AVERAGE((Q126:OFFSET(Q126,$B$8-1,0))))</f>
        <v>0.10307862781816429</v>
      </c>
      <c r="V126" s="1"/>
      <c r="W126" s="6">
        <f t="shared" si="16"/>
        <v>3.4166074796066155E-5</v>
      </c>
      <c r="X126" s="6">
        <f ca="1">SQRT($B$9*AVERAGE(W126:OFFSET(W126,$B$5-1,0)))</f>
        <v>7.5576603625037139E-2</v>
      </c>
      <c r="Y126" s="6">
        <f ca="1">SQRT($B$9*AVERAGE(W126:OFFSET(W126,$B$6-1,0)))</f>
        <v>0.11428719053612359</v>
      </c>
      <c r="Z126" s="6">
        <f ca="1">SQRT($B$9*AVERAGE(W126:OFFSET(W126,$B$7-1,0)))</f>
        <v>0.11046680289177281</v>
      </c>
      <c r="AA126" s="6">
        <f ca="1">SQRT($B$9*AVERAGE(W126:OFFSET(W126,$B$8-1,0)))</f>
        <v>0.10530722173540308</v>
      </c>
      <c r="AB126" s="1"/>
      <c r="AC126" s="34">
        <f t="shared" si="13"/>
        <v>1.3006810470346255E-5</v>
      </c>
      <c r="AD126" s="34">
        <f ca="1">SQRT($B$9*SUM(AC126:OFFSET(AC126,$B$5-1,0))/($B$5-1))</f>
        <v>0.10528919845304592</v>
      </c>
      <c r="AE126" s="34">
        <f ca="1">SQRT($B$9*SUM(AC126:OFFSET(AC126,$B$6-1,0))/($B$6-1))</f>
        <v>9.9645196908137001E-2</v>
      </c>
      <c r="AF126" s="34">
        <f ca="1">SQRT($B$9*SUM(AC126:OFFSET(AC126,$B$7-1,0))/($B$7-1))</f>
        <v>7.6165743703290184E-2</v>
      </c>
      <c r="AG126" s="34">
        <f ca="1">SQRT($B$9*SUM(AC126:OFFSET(AC126,$B$8-1,0))/($B$8-1))</f>
        <v>9.1381543212813651E-2</v>
      </c>
      <c r="AH126" s="1"/>
      <c r="AI126" s="1">
        <f t="shared" si="14"/>
        <v>3.6064955941115823E-3</v>
      </c>
      <c r="AJ126" s="4">
        <f ca="1">SQRT($B$9)*_xlfn.STDEV.S(AI126:OFFSET(AI126,$B$5-1,0))</f>
        <v>6.92725523183087E-2</v>
      </c>
      <c r="AK126" s="4">
        <f ca="1">SQRT($B$9)*_xlfn.STDEV.S(AI126:OFFSET(AI126,$B$6-1,0))</f>
        <v>9.6387385350813606E-2</v>
      </c>
      <c r="AL126" s="4">
        <f ca="1">SQRT($B$9)*_xlfn.STDEV.S(AI126:OFFSET(AI126,$B$7-1,0))</f>
        <v>7.4691720573453704E-2</v>
      </c>
      <c r="AM126" s="4">
        <f ca="1">SQRT($B$9)*_xlfn.STDEV.S(AI126:OFFSET(AI126,$B$8-1,0))</f>
        <v>9.1336881063729836E-2</v>
      </c>
    </row>
    <row r="127" spans="5:39" x14ac:dyDescent="0.2">
      <c r="E127" s="42">
        <v>45488</v>
      </c>
      <c r="F127" s="43">
        <v>2.4281129362285019</v>
      </c>
      <c r="G127" s="43">
        <v>2.4437908244365953</v>
      </c>
      <c r="H127" s="43">
        <v>2.4251733321894839</v>
      </c>
      <c r="I127" s="43">
        <v>2.4408512203975778</v>
      </c>
      <c r="K127" s="3">
        <f t="shared" si="12"/>
        <v>5.8483510425216195E-5</v>
      </c>
      <c r="L127" s="3">
        <f ca="1">SQRT(AVERAGE(K127:OFFSET(K127,$B$5-1,0))*$B$9/(4*LN(2)))</f>
        <v>0.10466619319632188</v>
      </c>
      <c r="M127" s="3">
        <f ca="1">SQRT(AVERAGE(K127:OFFSET(K127,$B$6-1,0))*$B$9/(4*LN(2)))</f>
        <v>0.10464366293770179</v>
      </c>
      <c r="N127" s="3">
        <f ca="1">SQRT(AVERAGE(K127:OFFSET(K127,$B$7-1,0))*$B$9/(4*LN(2)))</f>
        <v>9.8141091303642403E-2</v>
      </c>
      <c r="O127" s="3">
        <f ca="1">SQRT(AVERAGE(K127:OFFSET(K127,$B$8-1,0))*$B$9/(4*LN(2)))</f>
        <v>9.9181628371807246E-2</v>
      </c>
      <c r="P127" s="1"/>
      <c r="Q127" s="5">
        <f t="shared" si="15"/>
        <v>1.858339422657478E-5</v>
      </c>
      <c r="R127" s="5">
        <f ca="1">SQRT($B$9*AVERAGE((Q127:OFFSET(Q127,$B$5-1,0))))</f>
        <v>0.1092286302549606</v>
      </c>
      <c r="S127" s="5">
        <f ca="1">SQRT($B$9*AVERAGE((Q127:OFFSET(Q127,$B$6-1,0))))</f>
        <v>0.11136671759333647</v>
      </c>
      <c r="T127" s="5">
        <f ca="1">SQRT($B$9*AVERAGE((Q127:OFFSET(Q127,$B$7-1,0))))</f>
        <v>0.10680458679089604</v>
      </c>
      <c r="U127" s="5">
        <f ca="1">SQRT($B$9*AVERAGE((Q127:OFFSET(Q127,$B$8-1,0))))</f>
        <v>0.10449201435623172</v>
      </c>
      <c r="V127" s="1"/>
      <c r="W127" s="6">
        <f t="shared" si="16"/>
        <v>1.5552502866259053E-5</v>
      </c>
      <c r="X127" s="6">
        <f ca="1">SQRT($B$9*AVERAGE(W127:OFFSET(W127,$B$5-1,0)))</f>
        <v>0.10783898035977457</v>
      </c>
      <c r="Y127" s="6">
        <f ca="1">SQRT($B$9*AVERAGE(W127:OFFSET(W127,$B$6-1,0)))</f>
        <v>0.11313437064323734</v>
      </c>
      <c r="Z127" s="6">
        <f ca="1">SQRT($B$9*AVERAGE(W127:OFFSET(W127,$B$7-1,0)))</f>
        <v>0.11005877177149651</v>
      </c>
      <c r="AA127" s="6">
        <f ca="1">SQRT($B$9*AVERAGE(W127:OFFSET(W127,$B$8-1,0)))</f>
        <v>0.10660555915386938</v>
      </c>
      <c r="AB127" s="1"/>
      <c r="AC127" s="34">
        <f t="shared" si="13"/>
        <v>1.6180760234699501E-5</v>
      </c>
      <c r="AD127" s="34">
        <f ca="1">SQRT($B$9*SUM(AC127:OFFSET(AC127,$B$5-1,0))/($B$5-1))</f>
        <v>0.12368205225200295</v>
      </c>
      <c r="AE127" s="34">
        <f ca="1">SQRT($B$9*SUM(AC127:OFFSET(AC127,$B$6-1,0))/($B$6-1))</f>
        <v>0.10111858304389051</v>
      </c>
      <c r="AF127" s="34">
        <f ca="1">SQRT($B$9*SUM(AC127:OFFSET(AC127,$B$7-1,0))/($B$7-1))</f>
        <v>7.5056652707838192E-2</v>
      </c>
      <c r="AG127" s="34">
        <f ca="1">SQRT($B$9*SUM(AC127:OFFSET(AC127,$B$8-1,0))/($B$8-1))</f>
        <v>9.3409188153429273E-2</v>
      </c>
      <c r="AH127" s="1"/>
      <c r="AI127" s="1">
        <f t="shared" si="14"/>
        <v>4.0225315703794669E-3</v>
      </c>
      <c r="AJ127" s="4">
        <f ca="1">SQRT($B$9)*_xlfn.STDEV.S(AI127:OFFSET(AI127,$B$5-1,0))</f>
        <v>7.5040015912782185E-2</v>
      </c>
      <c r="AK127" s="4">
        <f ca="1">SQRT($B$9)*_xlfn.STDEV.S(AI127:OFFSET(AI127,$B$6-1,0))</f>
        <v>9.7340508618981164E-2</v>
      </c>
      <c r="AL127" s="4">
        <f ca="1">SQRT($B$9)*_xlfn.STDEV.S(AI127:OFFSET(AI127,$B$7-1,0))</f>
        <v>7.408855264438402E-2</v>
      </c>
      <c r="AM127" s="4">
        <f ca="1">SQRT($B$9)*_xlfn.STDEV.S(AI127:OFFSET(AI127,$B$8-1,0))</f>
        <v>9.3296793568745942E-2</v>
      </c>
    </row>
    <row r="128" spans="5:39" x14ac:dyDescent="0.2">
      <c r="E128" s="42">
        <v>45485</v>
      </c>
      <c r="F128" s="43">
        <v>2.418314256098443</v>
      </c>
      <c r="G128" s="43">
        <v>2.4339921443065369</v>
      </c>
      <c r="H128" s="43">
        <v>2.4173343880854374</v>
      </c>
      <c r="I128" s="43">
        <v>2.4310525402675189</v>
      </c>
      <c r="K128" s="3">
        <f t="shared" si="12"/>
        <v>4.7160173587408E-5</v>
      </c>
      <c r="L128" s="3">
        <f ca="1">SQRT(AVERAGE(K128:OFFSET(K128,$B$5-1,0))*$B$9/(4*LN(2)))</f>
        <v>0.1060431314840935</v>
      </c>
      <c r="M128" s="3">
        <f ca="1">SQRT(AVERAGE(K128:OFFSET(K128,$B$6-1,0))*$B$9/(4*LN(2)))</f>
        <v>0.10590763615309522</v>
      </c>
      <c r="N128" s="3">
        <f ca="1">SQRT(AVERAGE(K128:OFFSET(K128,$B$7-1,0))*$B$9/(4*LN(2)))</f>
        <v>9.7272529107981773E-2</v>
      </c>
      <c r="O128" s="3">
        <f ca="1">SQRT(AVERAGE(K128:OFFSET(K128,$B$8-1,0))*$B$9/(4*LN(2)))</f>
        <v>0.10017584871033633</v>
      </c>
      <c r="P128" s="1"/>
      <c r="Q128" s="5">
        <f t="shared" si="15"/>
        <v>1.2823838314530384E-5</v>
      </c>
      <c r="R128" s="5">
        <f ca="1">SQRT($B$9*AVERAGE((Q128:OFFSET(Q128,$B$5-1,0))))</f>
        <v>0.1131832248031589</v>
      </c>
      <c r="S128" s="5">
        <f ca="1">SQRT($B$9*AVERAGE((Q128:OFFSET(Q128,$B$6-1,0))))</f>
        <v>0.11346968065361714</v>
      </c>
      <c r="T128" s="5">
        <f ca="1">SQRT($B$9*AVERAGE((Q128:OFFSET(Q128,$B$7-1,0))))</f>
        <v>0.106312594204789</v>
      </c>
      <c r="U128" s="5">
        <f ca="1">SQRT($B$9*AVERAGE((Q128:OFFSET(Q128,$B$8-1,0))))</f>
        <v>0.10597976769260278</v>
      </c>
      <c r="V128" s="1"/>
      <c r="W128" s="6">
        <f t="shared" si="16"/>
        <v>1.0102495102589522E-5</v>
      </c>
      <c r="X128" s="6">
        <f ca="1">SQRT($B$9*AVERAGE(W128:OFFSET(W128,$B$5-1,0)))</f>
        <v>0.11286201517948949</v>
      </c>
      <c r="Y128" s="6">
        <f ca="1">SQRT($B$9*AVERAGE(W128:OFFSET(W128,$B$6-1,0)))</f>
        <v>0.11540272559458287</v>
      </c>
      <c r="Z128" s="6">
        <f ca="1">SQRT($B$9*AVERAGE(W128:OFFSET(W128,$B$7-1,0)))</f>
        <v>0.10982022782138817</v>
      </c>
      <c r="AA128" s="6">
        <f ca="1">SQRT($B$9*AVERAGE(W128:OFFSET(W128,$B$8-1,0)))</f>
        <v>0.10818573567529255</v>
      </c>
      <c r="AB128" s="1"/>
      <c r="AC128" s="34">
        <f t="shared" si="13"/>
        <v>3.677573409595665E-5</v>
      </c>
      <c r="AD128" s="34">
        <f ca="1">SQRT($B$9*SUM(AC128:OFFSET(AC128,$B$5-1,0))/($B$5-1))</f>
        <v>0.12570728333406303</v>
      </c>
      <c r="AE128" s="34">
        <f ca="1">SQRT($B$9*SUM(AC128:OFFSET(AC128,$B$6-1,0))/($B$6-1))</f>
        <v>0.10076305137167821</v>
      </c>
      <c r="AF128" s="34">
        <f ca="1">SQRT($B$9*SUM(AC128:OFFSET(AC128,$B$7-1,0))/($B$7-1))</f>
        <v>7.6835557107094082E-2</v>
      </c>
      <c r="AG128" s="34">
        <f ca="1">SQRT($B$9*SUM(AC128:OFFSET(AC128,$B$8-1,0))/($B$8-1))</f>
        <v>9.3418929743023363E-2</v>
      </c>
      <c r="AH128" s="1"/>
      <c r="AI128" s="1">
        <f t="shared" si="14"/>
        <v>6.0642999675112252E-3</v>
      </c>
      <c r="AJ128" s="4">
        <f ca="1">SQRT($B$9)*_xlfn.STDEV.S(AI128:OFFSET(AI128,$B$5-1,0))</f>
        <v>0.10640187697498947</v>
      </c>
      <c r="AK128" s="4">
        <f ca="1">SQRT($B$9)*_xlfn.STDEV.S(AI128:OFFSET(AI128,$B$6-1,0))</f>
        <v>9.71288291715873E-2</v>
      </c>
      <c r="AL128" s="4">
        <f ca="1">SQRT($B$9)*_xlfn.STDEV.S(AI128:OFFSET(AI128,$B$7-1,0))</f>
        <v>7.6736864859104498E-2</v>
      </c>
      <c r="AM128" s="4">
        <f ca="1">SQRT($B$9)*_xlfn.STDEV.S(AI128:OFFSET(AI128,$B$8-1,0))</f>
        <v>9.3386791913840611E-2</v>
      </c>
    </row>
    <row r="129" spans="5:39" x14ac:dyDescent="0.2">
      <c r="E129" s="42">
        <v>45484</v>
      </c>
      <c r="F129" s="43">
        <v>2.403616235903355</v>
      </c>
      <c r="G129" s="43">
        <v>2.419294124111449</v>
      </c>
      <c r="H129" s="43">
        <v>2.3957772917993081</v>
      </c>
      <c r="I129" s="43">
        <v>2.4163545200724315</v>
      </c>
      <c r="K129" s="3">
        <f t="shared" si="12"/>
        <v>9.5415532161390252E-5</v>
      </c>
      <c r="L129" s="3">
        <f ca="1">SQRT(AVERAGE(K129:OFFSET(K129,$B$5-1,0))*$B$9/(4*LN(2)))</f>
        <v>0.12928248526428451</v>
      </c>
      <c r="M129" s="3">
        <f ca="1">SQRT(AVERAGE(K129:OFFSET(K129,$B$6-1,0))*$B$9/(4*LN(2)))</f>
        <v>0.10900534377825641</v>
      </c>
      <c r="N129" s="3">
        <f ca="1">SQRT(AVERAGE(K129:OFFSET(K129,$B$7-1,0))*$B$9/(4*LN(2)))</f>
        <v>0.10025117009343314</v>
      </c>
      <c r="O129" s="3">
        <f ca="1">SQRT(AVERAGE(K129:OFFSET(K129,$B$8-1,0))*$B$9/(4*LN(2)))</f>
        <v>0.10353129971082185</v>
      </c>
      <c r="P129" s="1"/>
      <c r="Q129" s="5">
        <f t="shared" si="15"/>
        <v>3.6925186785415609E-5</v>
      </c>
      <c r="R129" s="5">
        <f ca="1">SQRT($B$9*AVERAGE((Q129:OFFSET(Q129,$B$5-1,0))))</f>
        <v>0.14027690417873218</v>
      </c>
      <c r="S129" s="5">
        <f ca="1">SQRT($B$9*AVERAGE((Q129:OFFSET(Q129,$B$6-1,0))))</f>
        <v>0.11745627342545056</v>
      </c>
      <c r="T129" s="5">
        <f ca="1">SQRT($B$9*AVERAGE((Q129:OFFSET(Q129,$B$7-1,0))))</f>
        <v>0.10909785001361159</v>
      </c>
      <c r="U129" s="5">
        <f ca="1">SQRT($B$9*AVERAGE((Q129:OFFSET(Q129,$B$8-1,0))))</f>
        <v>0.10720808751721005</v>
      </c>
      <c r="V129" s="1"/>
      <c r="W129" s="6">
        <f t="shared" si="16"/>
        <v>3.5841739443224504E-5</v>
      </c>
      <c r="X129" s="6">
        <f ca="1">SQRT($B$9*AVERAGE(W129:OFFSET(W129,$B$5-1,0)))</f>
        <v>0.14288387891777651</v>
      </c>
      <c r="Y129" s="6">
        <f ca="1">SQRT($B$9*AVERAGE(W129:OFFSET(W129,$B$6-1,0)))</f>
        <v>0.12010621317120262</v>
      </c>
      <c r="Z129" s="6">
        <f ca="1">SQRT($B$9*AVERAGE(W129:OFFSET(W129,$B$7-1,0)))</f>
        <v>0.11224366414365379</v>
      </c>
      <c r="AA129" s="6">
        <f ca="1">SQRT($B$9*AVERAGE(W129:OFFSET(W129,$B$8-1,0)))</f>
        <v>0.10850630764750333</v>
      </c>
      <c r="AB129" s="1"/>
      <c r="AC129" s="34">
        <f t="shared" si="13"/>
        <v>1.1234654766796362E-4</v>
      </c>
      <c r="AD129" s="34">
        <f ca="1">SQRT($B$9*SUM(AC129:OFFSET(AC129,$B$5-1,0))/($B$5-1))</f>
        <v>0.13285914026650913</v>
      </c>
      <c r="AE129" s="34">
        <f ca="1">SQRT($B$9*SUM(AC129:OFFSET(AC129,$B$6-1,0))/($B$6-1))</f>
        <v>9.6832757334433306E-2</v>
      </c>
      <c r="AF129" s="34">
        <f ca="1">SQRT($B$9*SUM(AC129:OFFSET(AC129,$B$7-1,0))/($B$7-1))</f>
        <v>7.7749885381911826E-2</v>
      </c>
      <c r="AG129" s="34">
        <f ca="1">SQRT($B$9*SUM(AC129:OFFSET(AC129,$B$8-1,0))/($B$8-1))</f>
        <v>0.10162807632061147</v>
      </c>
      <c r="AH129" s="1"/>
      <c r="AI129" s="1">
        <f t="shared" si="14"/>
        <v>1.0599365437042145E-2</v>
      </c>
      <c r="AJ129" s="4">
        <f ca="1">SQRT($B$9)*_xlfn.STDEV.S(AI129:OFFSET(AI129,$B$5-1,0))</f>
        <v>0.13175756842582476</v>
      </c>
      <c r="AK129" s="4">
        <f ca="1">SQRT($B$9)*_xlfn.STDEV.S(AI129:OFFSET(AI129,$B$6-1,0))</f>
        <v>9.4404293310815401E-2</v>
      </c>
      <c r="AL129" s="4">
        <f ca="1">SQRT($B$9)*_xlfn.STDEV.S(AI129:OFFSET(AI129,$B$7-1,0))</f>
        <v>7.761537062135912E-2</v>
      </c>
      <c r="AM129" s="4">
        <f ca="1">SQRT($B$9)*_xlfn.STDEV.S(AI129:OFFSET(AI129,$B$8-1,0))</f>
        <v>0.10143500499380995</v>
      </c>
    </row>
    <row r="130" spans="5:39" x14ac:dyDescent="0.2">
      <c r="E130" s="42">
        <v>45483</v>
      </c>
      <c r="F130" s="43">
        <v>2.3908779517342791</v>
      </c>
      <c r="G130" s="43">
        <v>2.4016564998773435</v>
      </c>
      <c r="H130" s="43">
        <v>2.3889182157082676</v>
      </c>
      <c r="I130" s="43">
        <v>2.3908779517342791</v>
      </c>
      <c r="K130" s="3">
        <f t="shared" si="12"/>
        <v>2.8281905612023048E-5</v>
      </c>
      <c r="L130" s="3">
        <f ca="1">SQRT(AVERAGE(K130:OFFSET(K130,$B$5-1,0))*$B$9/(4*LN(2)))</f>
        <v>0.12820523207661891</v>
      </c>
      <c r="M130" s="3">
        <f ca="1">SQRT(AVERAGE(K130:OFFSET(K130,$B$6-1,0))*$B$9/(4*LN(2)))</f>
        <v>0.10734936299054264</v>
      </c>
      <c r="N130" s="3">
        <f ca="1">SQRT(AVERAGE(K130:OFFSET(K130,$B$7-1,0))*$B$9/(4*LN(2)))</f>
        <v>9.9759134370170352E-2</v>
      </c>
      <c r="O130" s="3">
        <f ca="1">SQRT(AVERAGE(K130:OFFSET(K130,$B$8-1,0))*$B$9/(4*LN(2)))</f>
        <v>0.10417600778481333</v>
      </c>
      <c r="P130" s="1"/>
      <c r="Q130" s="5">
        <f t="shared" si="15"/>
        <v>1.4311892645373448E-5</v>
      </c>
      <c r="R130" s="5">
        <f ca="1">SQRT($B$9*AVERAGE((Q130:OFFSET(Q130,$B$5-1,0))))</f>
        <v>0.13970268914947115</v>
      </c>
      <c r="S130" s="5">
        <f ca="1">SQRT($B$9*AVERAGE((Q130:OFFSET(Q130,$B$6-1,0))))</f>
        <v>0.1164601112466952</v>
      </c>
      <c r="T130" s="5">
        <f ca="1">SQRT($B$9*AVERAGE((Q130:OFFSET(Q130,$B$7-1,0))))</f>
        <v>0.10837177039787547</v>
      </c>
      <c r="U130" s="5">
        <f ca="1">SQRT($B$9*AVERAGE((Q130:OFFSET(Q130,$B$8-1,0))))</f>
        <v>0.10777171141126479</v>
      </c>
      <c r="V130" s="1"/>
      <c r="W130" s="6">
        <f t="shared" si="16"/>
        <v>2.0905004434635795E-5</v>
      </c>
      <c r="X130" s="6">
        <f ca="1">SQRT($B$9*AVERAGE(W130:OFFSET(W130,$B$5-1,0)))</f>
        <v>0.14355746890518653</v>
      </c>
      <c r="Y130" s="6">
        <f ca="1">SQRT($B$9*AVERAGE(W130:OFFSET(W130,$B$6-1,0)))</f>
        <v>0.12008193497712345</v>
      </c>
      <c r="Z130" s="6">
        <f ca="1">SQRT($B$9*AVERAGE(W130:OFFSET(W130,$B$7-1,0)))</f>
        <v>0.11162030404546879</v>
      </c>
      <c r="AA130" s="6">
        <f ca="1">SQRT($B$9*AVERAGE(W130:OFFSET(W130,$B$8-1,0)))</f>
        <v>0.10894232925647382</v>
      </c>
      <c r="AB130" s="1"/>
      <c r="AC130" s="34">
        <f t="shared" si="13"/>
        <v>2.6830505658892431E-6</v>
      </c>
      <c r="AD130" s="34">
        <f ca="1">SQRT($B$9*SUM(AC130:OFFSET(AC130,$B$5-1,0))/($B$5-1))</f>
        <v>0.10686039203893073</v>
      </c>
      <c r="AE130" s="34">
        <f ca="1">SQRT($B$9*SUM(AC130:OFFSET(AC130,$B$6-1,0))/($B$6-1))</f>
        <v>8.0887377159082827E-2</v>
      </c>
      <c r="AF130" s="34">
        <f ca="1">SQRT($B$9*SUM(AC130:OFFSET(AC130,$B$7-1,0))/($B$7-1))</f>
        <v>6.9353922404102153E-2</v>
      </c>
      <c r="AG130" s="34">
        <f ca="1">SQRT($B$9*SUM(AC130:OFFSET(AC130,$B$8-1,0))/($B$8-1))</f>
        <v>0.10087036109012756</v>
      </c>
      <c r="AH130" s="1"/>
      <c r="AI130" s="1">
        <f t="shared" si="14"/>
        <v>-1.6380020042384695E-3</v>
      </c>
      <c r="AJ130" s="4">
        <f ca="1">SQRT($B$9)*_xlfn.STDEV.S(AI130:OFFSET(AI130,$B$5-1,0))</f>
        <v>0.10213804809728488</v>
      </c>
      <c r="AK130" s="4">
        <f ca="1">SQRT($B$9)*_xlfn.STDEV.S(AI130:OFFSET(AI130,$B$6-1,0))</f>
        <v>8.0884551870601409E-2</v>
      </c>
      <c r="AL130" s="4">
        <f ca="1">SQRT($B$9)*_xlfn.STDEV.S(AI130:OFFSET(AI130,$B$7-1,0))</f>
        <v>6.8978410804914569E-2</v>
      </c>
      <c r="AM130" s="4">
        <f ca="1">SQRT($B$9)*_xlfn.STDEV.S(AI130:OFFSET(AI130,$B$8-1,0))</f>
        <v>0.10086335700171258</v>
      </c>
    </row>
    <row r="131" spans="5:39" x14ac:dyDescent="0.2">
      <c r="E131" s="42">
        <v>45482</v>
      </c>
      <c r="F131" s="43">
        <v>2.3722604594871677</v>
      </c>
      <c r="G131" s="43">
        <v>2.403616235903355</v>
      </c>
      <c r="H131" s="43">
        <v>2.3565825712790742</v>
      </c>
      <c r="I131" s="43">
        <v>2.3947974237863026</v>
      </c>
      <c r="K131" s="3">
        <f t="shared" si="12"/>
        <v>3.905311785861649E-4</v>
      </c>
      <c r="L131" s="3">
        <f ca="1">SQRT(AVERAGE(K131:OFFSET(K131,$B$5-1,0))*$B$9/(4*LN(2)))</f>
        <v>0.12818152522968757</v>
      </c>
      <c r="M131" s="3">
        <f ca="1">SQRT(AVERAGE(K131:OFFSET(K131,$B$6-1,0))*$B$9/(4*LN(2)))</f>
        <v>0.10951766497064373</v>
      </c>
      <c r="N131" s="3">
        <f ca="1">SQRT(AVERAGE(K131:OFFSET(K131,$B$7-1,0))*$B$9/(4*LN(2)))</f>
        <v>9.9850027530250296E-2</v>
      </c>
      <c r="O131" s="3">
        <f ca="1">SQRT(AVERAGE(K131:OFFSET(K131,$B$8-1,0))*$B$9/(4*LN(2)))</f>
        <v>0.10472622175316471</v>
      </c>
      <c r="P131" s="1"/>
      <c r="Q131" s="5">
        <f t="shared" si="15"/>
        <v>1.6084331389289955E-4</v>
      </c>
      <c r="R131" s="5">
        <f ca="1">SQRT($B$9*AVERAGE((Q131:OFFSET(Q131,$B$5-1,0))))</f>
        <v>0.13964850075134153</v>
      </c>
      <c r="S131" s="5">
        <f ca="1">SQRT($B$9*AVERAGE((Q131:OFFSET(Q131,$B$6-1,0))))</f>
        <v>0.11866960259005363</v>
      </c>
      <c r="T131" s="5">
        <f ca="1">SQRT($B$9*AVERAGE((Q131:OFFSET(Q131,$B$7-1,0))))</f>
        <v>0.10847799379412426</v>
      </c>
      <c r="U131" s="5">
        <f ca="1">SQRT($B$9*AVERAGE((Q131:OFFSET(Q131,$B$8-1,0))))</f>
        <v>0.10846333661370798</v>
      </c>
      <c r="V131" s="1"/>
      <c r="W131" s="6">
        <f t="shared" si="16"/>
        <v>1.5492980274585947E-4</v>
      </c>
      <c r="X131" s="6">
        <f ca="1">SQRT($B$9*AVERAGE(W131:OFFSET(W131,$B$5-1,0)))</f>
        <v>0.1428681238967757</v>
      </c>
      <c r="Y131" s="6">
        <f ca="1">SQRT($B$9*AVERAGE(W131:OFFSET(W131,$B$6-1,0)))</f>
        <v>0.12141081548196736</v>
      </c>
      <c r="Z131" s="6">
        <f ca="1">SQRT($B$9*AVERAGE(W131:OFFSET(W131,$B$7-1,0)))</f>
        <v>0.11139837409548736</v>
      </c>
      <c r="AA131" s="6">
        <f ca="1">SQRT($B$9*AVERAGE(W131:OFFSET(W131,$B$8-1,0)))</f>
        <v>0.10950304400107283</v>
      </c>
      <c r="AB131" s="1"/>
      <c r="AC131" s="34">
        <f t="shared" si="13"/>
        <v>8.1764928648016502E-5</v>
      </c>
      <c r="AD131" s="34">
        <f ca="1">SQRT($B$9*SUM(AC131:OFFSET(AC131,$B$5-1,0))/($B$5-1))</f>
        <v>0.10608867300307444</v>
      </c>
      <c r="AE131" s="34">
        <f ca="1">SQRT($B$9*SUM(AC131:OFFSET(AC131,$B$6-1,0))/($B$6-1))</f>
        <v>8.0888488495015606E-2</v>
      </c>
      <c r="AF131" s="34">
        <f ca="1">SQRT($B$9*SUM(AC131:OFFSET(AC131,$B$7-1,0))/($B$7-1))</f>
        <v>6.9242270724639149E-2</v>
      </c>
      <c r="AG131" s="34">
        <f ca="1">SQRT($B$9*SUM(AC131:OFFSET(AC131,$B$8-1,0))/($B$8-1))</f>
        <v>0.10082906928260017</v>
      </c>
      <c r="AH131" s="1"/>
      <c r="AI131" s="1">
        <f t="shared" si="14"/>
        <v>9.0423961784483042E-3</v>
      </c>
      <c r="AJ131" s="4">
        <f ca="1">SQRT($B$9)*_xlfn.STDEV.S(AI131:OFFSET(AI131,$B$5-1,0))</f>
        <v>0.10293295141041998</v>
      </c>
      <c r="AK131" s="4">
        <f ca="1">SQRT($B$9)*_xlfn.STDEV.S(AI131:OFFSET(AI131,$B$6-1,0))</f>
        <v>8.074993482913545E-2</v>
      </c>
      <c r="AL131" s="4">
        <f ca="1">SQRT($B$9)*_xlfn.STDEV.S(AI131:OFFSET(AI131,$B$7-1,0))</f>
        <v>6.8900628346006049E-2</v>
      </c>
      <c r="AM131" s="4">
        <f ca="1">SQRT($B$9)*_xlfn.STDEV.S(AI131:OFFSET(AI131,$B$8-1,0))</f>
        <v>0.10081930663509928</v>
      </c>
    </row>
    <row r="132" spans="5:39" x14ac:dyDescent="0.2">
      <c r="E132" s="42">
        <v>45481</v>
      </c>
      <c r="F132" s="43">
        <v>2.3771597995521976</v>
      </c>
      <c r="G132" s="43">
        <v>2.3879383476952616</v>
      </c>
      <c r="H132" s="43">
        <v>2.3673611194221387</v>
      </c>
      <c r="I132" s="43">
        <v>2.3732403275001741</v>
      </c>
      <c r="K132" s="3">
        <f t="shared" si="12"/>
        <v>7.4900276270824947E-5</v>
      </c>
      <c r="L132" s="3">
        <f ca="1">SQRT(AVERAGE(K132:OFFSET(K132,$B$5-1,0))*$B$9/(4*LN(2)))</f>
        <v>0.10462112782716931</v>
      </c>
      <c r="M132" s="3">
        <f ca="1">SQRT(AVERAGE(K132:OFFSET(K132,$B$6-1,0))*$B$9/(4*LN(2)))</f>
        <v>9.8533033461932415E-2</v>
      </c>
      <c r="N132" s="3">
        <f ca="1">SQRT(AVERAGE(K132:OFFSET(K132,$B$7-1,0))*$B$9/(4*LN(2)))</f>
        <v>9.5287619180277477E-2</v>
      </c>
      <c r="O132" s="3">
        <f ca="1">SQRT(AVERAGE(K132:OFFSET(K132,$B$8-1,0))*$B$9/(4*LN(2)))</f>
        <v>0.10264373176112111</v>
      </c>
      <c r="P132" s="1"/>
      <c r="Q132" s="5">
        <f t="shared" si="15"/>
        <v>3.6533367889177025E-5</v>
      </c>
      <c r="R132" s="5">
        <f ca="1">SQRT($B$9*AVERAGE((Q132:OFFSET(Q132,$B$5-1,0))))</f>
        <v>0.11346452268287663</v>
      </c>
      <c r="S132" s="5">
        <f ca="1">SQRT($B$9*AVERAGE((Q132:OFFSET(Q132,$B$6-1,0))))</f>
        <v>0.10785995896748989</v>
      </c>
      <c r="T132" s="5">
        <f ca="1">SQRT($B$9*AVERAGE((Q132:OFFSET(Q132,$B$7-1,0))))</f>
        <v>0.10268704461160787</v>
      </c>
      <c r="U132" s="5">
        <f ca="1">SQRT($B$9*AVERAGE((Q132:OFFSET(Q132,$B$8-1,0))))</f>
        <v>0.10625248910595697</v>
      </c>
      <c r="V132" s="1"/>
      <c r="W132" s="6">
        <f t="shared" si="16"/>
        <v>3.8176763791554331E-5</v>
      </c>
      <c r="X132" s="6">
        <f ca="1">SQRT($B$9*AVERAGE(W132:OFFSET(W132,$B$5-1,0)))</f>
        <v>0.11819274917120323</v>
      </c>
      <c r="Y132" s="6">
        <f ca="1">SQRT($B$9*AVERAGE(W132:OFFSET(W132,$B$6-1,0)))</f>
        <v>0.11179044371357377</v>
      </c>
      <c r="Z132" s="6">
        <f ca="1">SQRT($B$9*AVERAGE(W132:OFFSET(W132,$B$7-1,0)))</f>
        <v>0.10578791379264448</v>
      </c>
      <c r="AA132" s="6">
        <f ca="1">SQRT($B$9*AVERAGE(W132:OFFSET(W132,$B$8-1,0)))</f>
        <v>0.10742708186557652</v>
      </c>
      <c r="AB132" s="1"/>
      <c r="AC132" s="34">
        <f t="shared" si="13"/>
        <v>2.4426817932058082E-5</v>
      </c>
      <c r="AD132" s="34">
        <f ca="1">SQRT($B$9*SUM(AC132:OFFSET(AC132,$B$5-1,0))/($B$5-1))</f>
        <v>8.7800498765908064E-2</v>
      </c>
      <c r="AE132" s="34">
        <f ca="1">SQRT($B$9*SUM(AC132:OFFSET(AC132,$B$6-1,0))/($B$6-1))</f>
        <v>6.8461920469336204E-2</v>
      </c>
      <c r="AF132" s="34">
        <f ca="1">SQRT($B$9*SUM(AC132:OFFSET(AC132,$B$7-1,0))/($B$7-1))</f>
        <v>7.501408382200854E-2</v>
      </c>
      <c r="AG132" s="34">
        <f ca="1">SQRT($B$9*SUM(AC132:OFFSET(AC132,$B$8-1,0))/($B$8-1))</f>
        <v>9.9258260547890345E-2</v>
      </c>
      <c r="AH132" s="1"/>
      <c r="AI132" s="1">
        <f t="shared" si="14"/>
        <v>-4.9423494344348097E-3</v>
      </c>
      <c r="AJ132" s="4">
        <f ca="1">SQRT($B$9)*_xlfn.STDEV.S(AI132:OFFSET(AI132,$B$5-1,0))</f>
        <v>7.804132426704051E-2</v>
      </c>
      <c r="AK132" s="4">
        <f ca="1">SQRT($B$9)*_xlfn.STDEV.S(AI132:OFFSET(AI132,$B$6-1,0))</f>
        <v>6.6500828173389995E-2</v>
      </c>
      <c r="AL132" s="4">
        <f ca="1">SQRT($B$9)*_xlfn.STDEV.S(AI132:OFFSET(AI132,$B$7-1,0))</f>
        <v>7.1123730934936513E-2</v>
      </c>
      <c r="AM132" s="4">
        <f ca="1">SQRT($B$9)*_xlfn.STDEV.S(AI132:OFFSET(AI132,$B$8-1,0))</f>
        <v>9.9244969882812298E-2</v>
      </c>
    </row>
    <row r="133" spans="5:39" x14ac:dyDescent="0.2">
      <c r="E133" s="42">
        <v>45478</v>
      </c>
      <c r="F133" s="43">
        <v>2.4045961039163615</v>
      </c>
      <c r="G133" s="43">
        <v>2.4094954439813905</v>
      </c>
      <c r="H133" s="43">
        <v>2.3644215153831212</v>
      </c>
      <c r="I133" s="43">
        <v>2.3849987436562441</v>
      </c>
      <c r="K133" s="3">
        <f t="shared" si="12"/>
        <v>3.5660457189551554E-4</v>
      </c>
      <c r="L133" s="3">
        <f ca="1">SQRT(AVERAGE(K133:OFFSET(K133,$B$5-1,0))*$B$9/(4*LN(2)))</f>
        <v>0.10577196725087443</v>
      </c>
      <c r="M133" s="3">
        <f ca="1">SQRT(AVERAGE(K133:OFFSET(K133,$B$6-1,0))*$B$9/(4*LN(2)))</f>
        <v>0.10420391863592157</v>
      </c>
      <c r="N133" s="3">
        <f ca="1">SQRT(AVERAGE(K133:OFFSET(K133,$B$7-1,0))*$B$9/(4*LN(2)))</f>
        <v>9.7565203115816346E-2</v>
      </c>
      <c r="O133" s="3">
        <f ca="1">SQRT(AVERAGE(K133:OFFSET(K133,$B$8-1,0))*$B$9/(4*LN(2)))</f>
        <v>0.10258719729316701</v>
      </c>
      <c r="P133" s="1"/>
      <c r="Q133" s="5">
        <f t="shared" ref="Q133:Q196" si="17">0.511*(LN(G133/H133))^2-0.019*(LN(I133/F133)*LN(G133*H133/F133^2)-2*LN(G133/F133)*LN(H133/F133))-0.383*(LN(I133/F133))^2</f>
        <v>1.5297011319466924E-4</v>
      </c>
      <c r="R133" s="5">
        <f ca="1">SQRT($B$9*AVERAGE((Q133:OFFSET(Q133,$B$5-1,0))))</f>
        <v>0.11375541516088498</v>
      </c>
      <c r="S133" s="5">
        <f ca="1">SQRT($B$9*AVERAGE((Q133:OFFSET(Q133,$B$6-1,0))))</f>
        <v>0.11335745666890215</v>
      </c>
      <c r="T133" s="5">
        <f ca="1">SQRT($B$9*AVERAGE((Q133:OFFSET(Q133,$B$7-1,0))))</f>
        <v>0.10463021781348533</v>
      </c>
      <c r="U133" s="5">
        <f ca="1">SQRT($B$9*AVERAGE((Q133:OFFSET(Q133,$B$8-1,0))))</f>
        <v>0.10601410753796854</v>
      </c>
      <c r="V133" s="1"/>
      <c r="W133" s="6">
        <f t="shared" ref="W133:W196" si="18">LN(G133/I133)*LN(G133/F133)+LN(H133/I133)*LN(H133/F133)</f>
        <v>1.6679572743349768E-4</v>
      </c>
      <c r="X133" s="6">
        <f ca="1">SQRT($B$9*AVERAGE(W133:OFFSET(W133,$B$5-1,0)))</f>
        <v>0.11788869190444801</v>
      </c>
      <c r="Y133" s="6">
        <f ca="1">SQRT($B$9*AVERAGE(W133:OFFSET(W133,$B$6-1,0)))</f>
        <v>0.11784577118046251</v>
      </c>
      <c r="Z133" s="6">
        <f ca="1">SQRT($B$9*AVERAGE(W133:OFFSET(W133,$B$7-1,0)))</f>
        <v>0.1075758863247107</v>
      </c>
      <c r="AA133" s="6">
        <f ca="1">SQRT($B$9*AVERAGE(W133:OFFSET(W133,$B$8-1,0)))</f>
        <v>0.10710866245163399</v>
      </c>
      <c r="AB133" s="1"/>
      <c r="AC133" s="34">
        <f t="shared" si="13"/>
        <v>6.6967245428618642E-5</v>
      </c>
      <c r="AD133" s="34">
        <f ca="1">SQRT($B$9*SUM(AC133:OFFSET(AC133,$B$5-1,0))/($B$5-1))</f>
        <v>8.3918782704859265E-2</v>
      </c>
      <c r="AE133" s="34">
        <f ca="1">SQRT($B$9*SUM(AC133:OFFSET(AC133,$B$6-1,0))/($B$6-1))</f>
        <v>6.3419888744947098E-2</v>
      </c>
      <c r="AF133" s="34">
        <f ca="1">SQRT($B$9*SUM(AC133:OFFSET(AC133,$B$7-1,0))/($B$7-1))</f>
        <v>7.4576661669534861E-2</v>
      </c>
      <c r="AG133" s="34">
        <f ca="1">SQRT($B$9*SUM(AC133:OFFSET(AC133,$B$8-1,0))/($B$8-1))</f>
        <v>9.9339351960604061E-2</v>
      </c>
      <c r="AH133" s="1"/>
      <c r="AI133" s="1">
        <f t="shared" si="14"/>
        <v>-8.1833517233844133E-3</v>
      </c>
      <c r="AJ133" s="4">
        <f ca="1">SQRT($B$9)*_xlfn.STDEV.S(AI133:OFFSET(AI133,$B$5-1,0))</f>
        <v>8.331466666154233E-2</v>
      </c>
      <c r="AK133" s="4">
        <f ca="1">SQRT($B$9)*_xlfn.STDEV.S(AI133:OFFSET(AI133,$B$6-1,0))</f>
        <v>6.2898644719459079E-2</v>
      </c>
      <c r="AL133" s="4">
        <f ca="1">SQRT($B$9)*_xlfn.STDEV.S(AI133:OFFSET(AI133,$B$7-1,0))</f>
        <v>7.0807916764364334E-2</v>
      </c>
      <c r="AM133" s="4">
        <f ca="1">SQRT($B$9)*_xlfn.STDEV.S(AI133:OFFSET(AI133,$B$8-1,0))</f>
        <v>9.932439663234939E-2</v>
      </c>
    </row>
    <row r="134" spans="5:39" x14ac:dyDescent="0.2">
      <c r="E134" s="42">
        <v>45477</v>
      </c>
      <c r="F134" s="43">
        <v>2.4143947840464195</v>
      </c>
      <c r="G134" s="43">
        <v>2.4251733321894839</v>
      </c>
      <c r="H134" s="43">
        <v>2.403616235903355</v>
      </c>
      <c r="I134" s="43">
        <v>2.4045961039163615</v>
      </c>
      <c r="K134" s="3">
        <f t="shared" ref="K134:K197" si="19">(LN(G134/H134))^2</f>
        <v>7.9720446968084143E-5</v>
      </c>
      <c r="L134" s="3">
        <f ca="1">SQRT(AVERAGE(K134:OFFSET(K134,$B$5-1,0))*$B$9/(4*LN(2)))</f>
        <v>8.3966475145273167E-2</v>
      </c>
      <c r="M134" s="3">
        <f ca="1">SQRT(AVERAGE(K134:OFFSET(K134,$B$6-1,0))*$B$9/(4*LN(2)))</f>
        <v>9.3744407015383405E-2</v>
      </c>
      <c r="N134" s="3">
        <f ca="1">SQRT(AVERAGE(K134:OFFSET(K134,$B$7-1,0))*$B$9/(4*LN(2)))</f>
        <v>9.2590914170741501E-2</v>
      </c>
      <c r="O134" s="3">
        <f ca="1">SQRT(AVERAGE(K134:OFFSET(K134,$B$8-1,0))*$B$9/(4*LN(2)))</f>
        <v>0.10075703996831359</v>
      </c>
      <c r="P134" s="1"/>
      <c r="Q134" s="5">
        <f t="shared" si="17"/>
        <v>3.3644197185916736E-5</v>
      </c>
      <c r="R134" s="5">
        <f ca="1">SQRT($B$9*AVERAGE((Q134:OFFSET(Q134,$B$5-1,0))))</f>
        <v>8.8962590385055634E-2</v>
      </c>
      <c r="S134" s="5">
        <f ca="1">SQRT($B$9*AVERAGE((Q134:OFFSET(Q134,$B$6-1,0))))</f>
        <v>0.10293703279370854</v>
      </c>
      <c r="T134" s="5">
        <f ca="1">SQRT($B$9*AVERAGE((Q134:OFFSET(Q134,$B$7-1,0))))</f>
        <v>9.9693129613037487E-2</v>
      </c>
      <c r="U134" s="5">
        <f ca="1">SQRT($B$9*AVERAGE((Q134:OFFSET(Q134,$B$8-1,0))))</f>
        <v>0.10400756469672073</v>
      </c>
      <c r="V134" s="1"/>
      <c r="W134" s="6">
        <f t="shared" si="18"/>
        <v>3.9779372583505626E-5</v>
      </c>
      <c r="X134" s="6">
        <f ca="1">SQRT($B$9*AVERAGE(W134:OFFSET(W134,$B$5-1,0)))</f>
        <v>9.1843355938592067E-2</v>
      </c>
      <c r="Y134" s="6">
        <f ca="1">SQRT($B$9*AVERAGE(W134:OFFSET(W134,$B$6-1,0)))</f>
        <v>0.10760916939950715</v>
      </c>
      <c r="Z134" s="6">
        <f ca="1">SQRT($B$9*AVERAGE(W134:OFFSET(W134,$B$7-1,0)))</f>
        <v>0.10238234485231716</v>
      </c>
      <c r="AA134" s="6">
        <f ca="1">SQRT($B$9*AVERAGE(W134:OFFSET(W134,$B$8-1,0)))</f>
        <v>0.10484037829495545</v>
      </c>
      <c r="AB134" s="1"/>
      <c r="AC134" s="34">
        <f t="shared" si="13"/>
        <v>1.0592951494217043E-5</v>
      </c>
      <c r="AD134" s="34">
        <f ca="1">SQRT($B$9*SUM(AC134:OFFSET(AC134,$B$5-1,0))/($B$5-1))</f>
        <v>5.8700599288847612E-2</v>
      </c>
      <c r="AE134" s="34">
        <f ca="1">SQRT($B$9*SUM(AC134:OFFSET(AC134,$B$6-1,0))/($B$6-1))</f>
        <v>4.8089528736523751E-2</v>
      </c>
      <c r="AF134" s="34">
        <f ca="1">SQRT($B$9*SUM(AC134:OFFSET(AC134,$B$7-1,0))/($B$7-1))</f>
        <v>6.8558059838749172E-2</v>
      </c>
      <c r="AG134" s="34">
        <f ca="1">SQRT($B$9*SUM(AC134:OFFSET(AC134,$B$8-1,0))/($B$8-1))</f>
        <v>9.8521671352514301E-2</v>
      </c>
      <c r="AH134" s="1"/>
      <c r="AI134" s="1">
        <f t="shared" si="14"/>
        <v>-3.2546814735419259E-3</v>
      </c>
      <c r="AJ134" s="4">
        <f ca="1">SQRT($B$9)*_xlfn.STDEV.S(AI134:OFFSET(AI134,$B$5-1,0))</f>
        <v>5.1238770480655386E-2</v>
      </c>
      <c r="AK134" s="4">
        <f ca="1">SQRT($B$9)*_xlfn.STDEV.S(AI134:OFFSET(AI134,$B$6-1,0))</f>
        <v>4.8047158683549057E-2</v>
      </c>
      <c r="AL134" s="4">
        <f ca="1">SQRT($B$9)*_xlfn.STDEV.S(AI134:OFFSET(AI134,$B$7-1,0))</f>
        <v>6.6538857693584433E-2</v>
      </c>
      <c r="AM134" s="4">
        <f ca="1">SQRT($B$9)*_xlfn.STDEV.S(AI134:OFFSET(AI134,$B$8-1,0))</f>
        <v>9.8516964213823707E-2</v>
      </c>
    </row>
    <row r="135" spans="5:39" x14ac:dyDescent="0.2">
      <c r="E135" s="42">
        <v>45476</v>
      </c>
      <c r="F135" s="43">
        <v>2.413414916033414</v>
      </c>
      <c r="G135" s="43">
        <v>2.4163545200724315</v>
      </c>
      <c r="H135" s="43">
        <v>2.403616235903355</v>
      </c>
      <c r="I135" s="43">
        <v>2.412435048020408</v>
      </c>
      <c r="K135" s="3">
        <f t="shared" si="19"/>
        <v>2.7937984562427379E-5</v>
      </c>
      <c r="L135" s="3">
        <f ca="1">SQRT(AVERAGE(K135:OFFSET(K135,$B$5-1,0))*$B$9/(4*LN(2)))</f>
        <v>8.1309224182320491E-2</v>
      </c>
      <c r="M135" s="3">
        <f ca="1">SQRT(AVERAGE(K135:OFFSET(K135,$B$6-1,0))*$B$9/(4*LN(2)))</f>
        <v>9.2508521316268702E-2</v>
      </c>
      <c r="N135" s="3">
        <f ca="1">SQRT(AVERAGE(K135:OFFSET(K135,$B$7-1,0))*$B$9/(4*LN(2)))</f>
        <v>9.1533911820566E-2</v>
      </c>
      <c r="O135" s="3">
        <f ca="1">SQRT(AVERAGE(K135:OFFSET(K135,$B$8-1,0))*$B$9/(4*LN(2)))</f>
        <v>0.10052160208495875</v>
      </c>
      <c r="P135" s="1"/>
      <c r="Q135" s="5">
        <f t="shared" si="17"/>
        <v>1.4002962165856526E-5</v>
      </c>
      <c r="R135" s="5">
        <f ca="1">SQRT($B$9*AVERAGE((Q135:OFFSET(Q135,$B$5-1,0))))</f>
        <v>8.7230004399813474E-2</v>
      </c>
      <c r="S135" s="5">
        <f ca="1">SQRT($B$9*AVERAGE((Q135:OFFSET(Q135,$B$6-1,0))))</f>
        <v>0.10201996173962234</v>
      </c>
      <c r="T135" s="5">
        <f ca="1">SQRT($B$9*AVERAGE((Q135:OFFSET(Q135,$B$7-1,0))))</f>
        <v>9.8333956936239447E-2</v>
      </c>
      <c r="U135" s="5">
        <f ca="1">SQRT($B$9*AVERAGE((Q135:OFFSET(Q135,$B$8-1,0))))</f>
        <v>0.10371274484088383</v>
      </c>
      <c r="V135" s="1"/>
      <c r="W135" s="6">
        <f t="shared" si="18"/>
        <v>1.6875493155469739E-5</v>
      </c>
      <c r="X135" s="6">
        <f ca="1">SQRT($B$9*AVERAGE(W135:OFFSET(W135,$B$5-1,0)))</f>
        <v>9.0722628584254658E-2</v>
      </c>
      <c r="Y135" s="6">
        <f ca="1">SQRT($B$9*AVERAGE(W135:OFFSET(W135,$B$6-1,0)))</f>
        <v>0.10657907011536931</v>
      </c>
      <c r="Z135" s="6">
        <f ca="1">SQRT($B$9*AVERAGE(W135:OFFSET(W135,$B$7-1,0)))</f>
        <v>0.10062199180749495</v>
      </c>
      <c r="AA135" s="6">
        <f ca="1">SQRT($B$9*AVERAGE(W135:OFFSET(W135,$B$8-1,0)))</f>
        <v>0.10442416032663476</v>
      </c>
      <c r="AB135" s="1"/>
      <c r="AC135" s="34">
        <f t="shared" si="13"/>
        <v>0</v>
      </c>
      <c r="AD135" s="34">
        <f ca="1">SQRT($B$9*SUM(AC135:OFFSET(AC135,$B$5-1,0))/($B$5-1))</f>
        <v>5.7463763595472797E-2</v>
      </c>
      <c r="AE135" s="34">
        <f ca="1">SQRT($B$9*SUM(AC135:OFFSET(AC135,$B$6-1,0))/($B$6-1))</f>
        <v>4.7388263672853391E-2</v>
      </c>
      <c r="AF135" s="34">
        <f ca="1">SQRT($B$9*SUM(AC135:OFFSET(AC135,$B$7-1,0))/($B$7-1))</f>
        <v>6.9362621692963394E-2</v>
      </c>
      <c r="AG135" s="34">
        <f ca="1">SQRT($B$9*SUM(AC135:OFFSET(AC135,$B$8-1,0))/($B$8-1))</f>
        <v>9.8520045489020006E-2</v>
      </c>
      <c r="AH135" s="1"/>
      <c r="AI135" s="1">
        <f t="shared" si="14"/>
        <v>0</v>
      </c>
      <c r="AJ135" s="4">
        <f ca="1">SQRT($B$9)*_xlfn.STDEV.S(AI135:OFFSET(AI135,$B$5-1,0))</f>
        <v>4.9022180311616828E-2</v>
      </c>
      <c r="AK135" s="4">
        <f ca="1">SQRT($B$9)*_xlfn.STDEV.S(AI135:OFFSET(AI135,$B$6-1,0))</f>
        <v>4.7312262351422225E-2</v>
      </c>
      <c r="AL135" s="4">
        <f ca="1">SQRT($B$9)*_xlfn.STDEV.S(AI135:OFFSET(AI135,$B$7-1,0))</f>
        <v>6.7139231226523335E-2</v>
      </c>
      <c r="AM135" s="4">
        <f ca="1">SQRT($B$9)*_xlfn.STDEV.S(AI135:OFFSET(AI135,$B$8-1,0))</f>
        <v>9.8515368759274136E-2</v>
      </c>
    </row>
    <row r="136" spans="5:39" x14ac:dyDescent="0.2">
      <c r="E136" s="42">
        <v>45475</v>
      </c>
      <c r="F136" s="43">
        <v>2.3977370278253201</v>
      </c>
      <c r="G136" s="43">
        <v>2.418314256098443</v>
      </c>
      <c r="H136" s="43">
        <v>2.3967571598123145</v>
      </c>
      <c r="I136" s="43">
        <v>2.412435048020408</v>
      </c>
      <c r="K136" s="3">
        <f t="shared" si="19"/>
        <v>8.017534768403259E-5</v>
      </c>
      <c r="L136" s="3">
        <f ca="1">SQRT(AVERAGE(K136:OFFSET(K136,$B$5-1,0))*$B$9/(4*LN(2)))</f>
        <v>8.6935231471684096E-2</v>
      </c>
      <c r="M136" s="3">
        <f ca="1">SQRT(AVERAGE(K136:OFFSET(K136,$B$6-1,0))*$B$9/(4*LN(2)))</f>
        <v>9.2727119913179543E-2</v>
      </c>
      <c r="N136" s="3">
        <f ca="1">SQRT(AVERAGE(K136:OFFSET(K136,$B$7-1,0))*$B$9/(4*LN(2)))</f>
        <v>9.3429687396140909E-2</v>
      </c>
      <c r="O136" s="3">
        <f ca="1">SQRT(AVERAGE(K136:OFFSET(K136,$B$8-1,0))*$B$9/(4*LN(2)))</f>
        <v>0.1007051848011743</v>
      </c>
      <c r="P136" s="1"/>
      <c r="Q136" s="5">
        <f t="shared" si="17"/>
        <v>2.5588092373625892E-5</v>
      </c>
      <c r="R136" s="5">
        <f ca="1">SQRT($B$9*AVERAGE((Q136:OFFSET(Q136,$B$5-1,0))))</f>
        <v>9.3076556638420432E-2</v>
      </c>
      <c r="S136" s="5">
        <f ca="1">SQRT($B$9*AVERAGE((Q136:OFFSET(Q136,$B$6-1,0))))</f>
        <v>0.10222807460840563</v>
      </c>
      <c r="T136" s="5">
        <f ca="1">SQRT($B$9*AVERAGE((Q136:OFFSET(Q136,$B$7-1,0))))</f>
        <v>9.9808957134661327E-2</v>
      </c>
      <c r="U136" s="5">
        <f ca="1">SQRT($B$9*AVERAGE((Q136:OFFSET(Q136,$B$8-1,0))))</f>
        <v>0.10392901884614124</v>
      </c>
      <c r="V136" s="1"/>
      <c r="W136" s="6">
        <f t="shared" si="18"/>
        <v>2.346500949815549E-5</v>
      </c>
      <c r="X136" s="6">
        <f ca="1">SQRT($B$9*AVERAGE(W136:OFFSET(W136,$B$5-1,0)))</f>
        <v>9.5235872475702102E-2</v>
      </c>
      <c r="Y136" s="6">
        <f ca="1">SQRT($B$9*AVERAGE(W136:OFFSET(W136,$B$6-1,0)))</f>
        <v>0.10650946982132319</v>
      </c>
      <c r="Z136" s="6">
        <f ca="1">SQRT($B$9*AVERAGE(W136:OFFSET(W136,$B$7-1,0)))</f>
        <v>0.10169190963810319</v>
      </c>
      <c r="AA136" s="6">
        <f ca="1">SQRT($B$9*AVERAGE(W136:OFFSET(W136,$B$8-1,0)))</f>
        <v>0.10458715347092133</v>
      </c>
      <c r="AB136" s="1"/>
      <c r="AC136" s="34">
        <f t="shared" si="13"/>
        <v>2.3873027325387433E-5</v>
      </c>
      <c r="AD136" s="34">
        <f ca="1">SQRT($B$9*SUM(AC136:OFFSET(AC136,$B$5-1,0))/($B$5-1))</f>
        <v>5.8879754544455744E-2</v>
      </c>
      <c r="AE136" s="34">
        <f ca="1">SQRT($B$9*SUM(AC136:OFFSET(AC136,$B$6-1,0))/($B$6-1))</f>
        <v>4.8144115091944904E-2</v>
      </c>
      <c r="AF136" s="34">
        <f ca="1">SQRT($B$9*SUM(AC136:OFFSET(AC136,$B$7-1,0))/($B$7-1))</f>
        <v>7.2198742631686491E-2</v>
      </c>
      <c r="AG136" s="34">
        <f ca="1">SQRT($B$9*SUM(AC136:OFFSET(AC136,$B$8-1,0))/($B$8-1))</f>
        <v>9.8575165581798033E-2</v>
      </c>
      <c r="AH136" s="1"/>
      <c r="AI136" s="1">
        <f t="shared" si="14"/>
        <v>4.8860032056259883E-3</v>
      </c>
      <c r="AJ136" s="4">
        <f ca="1">SQRT($B$9)*_xlfn.STDEV.S(AI136:OFFSET(AI136,$B$5-1,0))</f>
        <v>4.6805687279814025E-2</v>
      </c>
      <c r="AK136" s="4">
        <f ca="1">SQRT($B$9)*_xlfn.STDEV.S(AI136:OFFSET(AI136,$B$6-1,0))</f>
        <v>4.7843698122427322E-2</v>
      </c>
      <c r="AL136" s="4">
        <f ca="1">SQRT($B$9)*_xlfn.STDEV.S(AI136:OFFSET(AI136,$B$7-1,0))</f>
        <v>7.1029542314103952E-2</v>
      </c>
      <c r="AM136" s="4">
        <f ca="1">SQRT($B$9)*_xlfn.STDEV.S(AI136:OFFSET(AI136,$B$8-1,0))</f>
        <v>9.8565428939632466E-2</v>
      </c>
    </row>
    <row r="137" spans="5:39" x14ac:dyDescent="0.2">
      <c r="E137" s="42">
        <v>45474</v>
      </c>
      <c r="F137" s="43">
        <v>2.3908779517342791</v>
      </c>
      <c r="G137" s="43">
        <v>2.405575971929367</v>
      </c>
      <c r="H137" s="43">
        <v>2.3830390076302321</v>
      </c>
      <c r="I137" s="43">
        <v>2.400676631864338</v>
      </c>
      <c r="K137" s="3">
        <f t="shared" si="19"/>
        <v>8.8600750047049208E-5</v>
      </c>
      <c r="L137" s="3">
        <f ca="1">SQRT(AVERAGE(K137:OFFSET(K137,$B$5-1,0))*$B$9/(4*LN(2)))</f>
        <v>9.2043125645491219E-2</v>
      </c>
      <c r="M137" s="3">
        <f ca="1">SQRT(AVERAGE(K137:OFFSET(K137,$B$6-1,0))*$B$9/(4*LN(2)))</f>
        <v>9.1175936581536735E-2</v>
      </c>
      <c r="N137" s="3">
        <f ca="1">SQRT(AVERAGE(K137:OFFSET(K137,$B$7-1,0))*$B$9/(4*LN(2)))</f>
        <v>9.320408551759532E-2</v>
      </c>
      <c r="O137" s="3">
        <f ca="1">SQRT(AVERAGE(K137:OFFSET(K137,$B$8-1,0))*$B$9/(4*LN(2)))</f>
        <v>0.10119644437095227</v>
      </c>
      <c r="P137" s="1"/>
      <c r="Q137" s="5">
        <f t="shared" si="17"/>
        <v>3.7882277496774502E-5</v>
      </c>
      <c r="R137" s="5">
        <f ca="1">SQRT($B$9*AVERAGE((Q137:OFFSET(Q137,$B$5-1,0))))</f>
        <v>0.10194774930955652</v>
      </c>
      <c r="S137" s="5">
        <f ca="1">SQRT($B$9*AVERAGE((Q137:OFFSET(Q137,$B$6-1,0))))</f>
        <v>0.10203868742606466</v>
      </c>
      <c r="T137" s="5">
        <f ca="1">SQRT($B$9*AVERAGE((Q137:OFFSET(Q137,$B$7-1,0))))</f>
        <v>0.10027302362775299</v>
      </c>
      <c r="U137" s="5">
        <f ca="1">SQRT($B$9*AVERAGE((Q137:OFFSET(Q137,$B$8-1,0))))</f>
        <v>0.10437420666910321</v>
      </c>
      <c r="V137" s="1"/>
      <c r="W137" s="6">
        <f t="shared" si="18"/>
        <v>3.6711819348593253E-5</v>
      </c>
      <c r="X137" s="6">
        <f ca="1">SQRT($B$9*AVERAGE(W137:OFFSET(W137,$B$5-1,0)))</f>
        <v>0.10499847929712337</v>
      </c>
      <c r="Y137" s="6">
        <f ca="1">SQRT($B$9*AVERAGE(W137:OFFSET(W137,$B$6-1,0)))</f>
        <v>0.1068947176751934</v>
      </c>
      <c r="Z137" s="6">
        <f ca="1">SQRT($B$9*AVERAGE(W137:OFFSET(W137,$B$7-1,0)))</f>
        <v>0.10223627601472247</v>
      </c>
      <c r="AA137" s="6">
        <f ca="1">SQRT($B$9*AVERAGE(W137:OFFSET(W137,$B$8-1,0)))</f>
        <v>0.10508396811698387</v>
      </c>
      <c r="AB137" s="1"/>
      <c r="AC137" s="34">
        <f t="shared" si="13"/>
        <v>1.3544116007538315E-5</v>
      </c>
      <c r="AD137" s="34">
        <f ca="1">SQRT($B$9*SUM(AC137:OFFSET(AC137,$B$5-1,0))/($B$5-1))</f>
        <v>5.3262558741996591E-2</v>
      </c>
      <c r="AE137" s="34">
        <f ca="1">SQRT($B$9*SUM(AC137:OFFSET(AC137,$B$6-1,0))/($B$6-1))</f>
        <v>4.0840898166146604E-2</v>
      </c>
      <c r="AF137" s="34">
        <f ca="1">SQRT($B$9*SUM(AC137:OFFSET(AC137,$B$7-1,0))/($B$7-1))</f>
        <v>7.0166822879306187E-2</v>
      </c>
      <c r="AG137" s="34">
        <f ca="1">SQRT($B$9*SUM(AC137:OFFSET(AC137,$B$8-1,0))/($B$8-1))</f>
        <v>0.10040442553377418</v>
      </c>
      <c r="AH137" s="1"/>
      <c r="AI137" s="1">
        <f t="shared" si="14"/>
        <v>3.6802331458126829E-3</v>
      </c>
      <c r="AJ137" s="4">
        <f ca="1">SQRT($B$9)*_xlfn.STDEV.S(AI137:OFFSET(AI137,$B$5-1,0))</f>
        <v>5.2954638243461083E-2</v>
      </c>
      <c r="AK137" s="4">
        <f ca="1">SQRT($B$9)*_xlfn.STDEV.S(AI137:OFFSET(AI137,$B$6-1,0))</f>
        <v>4.0752111066811363E-2</v>
      </c>
      <c r="AL137" s="4">
        <f ca="1">SQRT($B$9)*_xlfn.STDEV.S(AI137:OFFSET(AI137,$B$7-1,0))</f>
        <v>6.8341446560098065E-2</v>
      </c>
      <c r="AM137" s="4">
        <f ca="1">SQRT($B$9)*_xlfn.STDEV.S(AI137:OFFSET(AI137,$B$8-1,0))</f>
        <v>0.10040436809234728</v>
      </c>
    </row>
    <row r="138" spans="5:39" x14ac:dyDescent="0.2">
      <c r="E138" s="42">
        <v>45471</v>
      </c>
      <c r="F138" s="43">
        <v>2.3791195355782091</v>
      </c>
      <c r="G138" s="43">
        <v>2.403616235903355</v>
      </c>
      <c r="H138" s="43">
        <v>2.3771597995521976</v>
      </c>
      <c r="I138" s="43">
        <v>2.3918578197472851</v>
      </c>
      <c r="K138" s="3">
        <f t="shared" si="19"/>
        <v>1.2249962244751894E-4</v>
      </c>
      <c r="L138" s="3">
        <f ca="1">SQRT(AVERAGE(K138:OFFSET(K138,$B$5-1,0))*$B$9/(4*LN(2)))</f>
        <v>0.10261191091702498</v>
      </c>
      <c r="M138" s="3">
        <f ca="1">SQRT(AVERAGE(K138:OFFSET(K138,$B$6-1,0))*$B$9/(4*LN(2)))</f>
        <v>8.779215478953642E-2</v>
      </c>
      <c r="N138" s="3">
        <f ca="1">SQRT(AVERAGE(K138:OFFSET(K138,$B$7-1,0))*$B$9/(4*LN(2)))</f>
        <v>9.3456057896522962E-2</v>
      </c>
      <c r="O138" s="3">
        <f ca="1">SQRT(AVERAGE(K138:OFFSET(K138,$B$8-1,0))*$B$9/(4*LN(2)))</f>
        <v>0.10099148416759791</v>
      </c>
      <c r="P138" s="1"/>
      <c r="Q138" s="5">
        <f t="shared" si="17"/>
        <v>5.0399664410871139E-5</v>
      </c>
      <c r="R138" s="5">
        <f ca="1">SQRT($B$9*AVERAGE((Q138:OFFSET(Q138,$B$5-1,0))))</f>
        <v>0.11295809615277147</v>
      </c>
      <c r="S138" s="5">
        <f ca="1">SQRT($B$9*AVERAGE((Q138:OFFSET(Q138,$B$6-1,0))))</f>
        <v>9.863755342398968E-2</v>
      </c>
      <c r="T138" s="5">
        <f ca="1">SQRT($B$9*AVERAGE((Q138:OFFSET(Q138,$B$7-1,0))))</f>
        <v>0.10035963097527965</v>
      </c>
      <c r="U138" s="5">
        <f ca="1">SQRT($B$9*AVERAGE((Q138:OFFSET(Q138,$B$8-1,0))))</f>
        <v>0.10397348057191254</v>
      </c>
      <c r="V138" s="1"/>
      <c r="W138" s="6">
        <f t="shared" si="18"/>
        <v>5.5315285619641526E-5</v>
      </c>
      <c r="X138" s="6">
        <f ca="1">SQRT($B$9*AVERAGE(W138:OFFSET(W138,$B$5-1,0)))</f>
        <v>0.11780283481858146</v>
      </c>
      <c r="Y138" s="6">
        <f ca="1">SQRT($B$9*AVERAGE(W138:OFFSET(W138,$B$6-1,0)))</f>
        <v>0.10393832691949881</v>
      </c>
      <c r="Z138" s="6">
        <f ca="1">SQRT($B$9*AVERAGE(W138:OFFSET(W138,$B$7-1,0)))</f>
        <v>0.10250445907877449</v>
      </c>
      <c r="AA138" s="6">
        <f ca="1">SQRT($B$9*AVERAGE(W138:OFFSET(W138,$B$8-1,0)))</f>
        <v>0.10465237039379199</v>
      </c>
      <c r="AB138" s="1"/>
      <c r="AC138" s="34">
        <f t="shared" si="13"/>
        <v>8.2472171217528286E-6</v>
      </c>
      <c r="AD138" s="34">
        <f ca="1">SQRT($B$9*SUM(AC138:OFFSET(AC138,$B$5-1,0))/($B$5-1))</f>
        <v>4.4803159021244425E-2</v>
      </c>
      <c r="AE138" s="34">
        <f ca="1">SQRT($B$9*SUM(AC138:OFFSET(AC138,$B$6-1,0))/($B$6-1))</f>
        <v>4.8064333262374782E-2</v>
      </c>
      <c r="AF138" s="34">
        <f ca="1">SQRT($B$9*SUM(AC138:OFFSET(AC138,$B$7-1,0))/($B$7-1))</f>
        <v>7.0109802640781427E-2</v>
      </c>
      <c r="AG138" s="34">
        <f ca="1">SQRT($B$9*SUM(AC138:OFFSET(AC138,$B$8-1,0))/($B$8-1))</f>
        <v>0.1005433261532636</v>
      </c>
      <c r="AH138" s="1"/>
      <c r="AI138" s="1">
        <f t="shared" si="14"/>
        <v>2.8717968454876519E-3</v>
      </c>
      <c r="AJ138" s="4">
        <f ca="1">SQRT($B$9)*_xlfn.STDEV.S(AI138:OFFSET(AI138,$B$5-1,0))</f>
        <v>4.4227037122230077E-2</v>
      </c>
      <c r="AK138" s="4">
        <f ca="1">SQRT($B$9)*_xlfn.STDEV.S(AI138:OFFSET(AI138,$B$6-1,0))</f>
        <v>4.4227409100210432E-2</v>
      </c>
      <c r="AL138" s="4">
        <f ca="1">SQRT($B$9)*_xlfn.STDEV.S(AI138:OFFSET(AI138,$B$7-1,0))</f>
        <v>6.6653264005297821E-2</v>
      </c>
      <c r="AM138" s="4">
        <f ca="1">SQRT($B$9)*_xlfn.STDEV.S(AI138:OFFSET(AI138,$B$8-1,0))</f>
        <v>0.10054280565213389</v>
      </c>
    </row>
    <row r="139" spans="5:39" x14ac:dyDescent="0.2">
      <c r="E139" s="42">
        <v>45470</v>
      </c>
      <c r="F139" s="43">
        <v>2.3869584796822556</v>
      </c>
      <c r="G139" s="43">
        <v>2.3898980837212735</v>
      </c>
      <c r="H139" s="43">
        <v>2.3722604594871677</v>
      </c>
      <c r="I139" s="43">
        <v>2.3849987436562441</v>
      </c>
      <c r="K139" s="3">
        <f t="shared" si="19"/>
        <v>5.4870186284974379E-5</v>
      </c>
      <c r="L139" s="3">
        <f ca="1">SQRT(AVERAGE(K139:OFFSET(K139,$B$5-1,0))*$B$9/(4*LN(2)))</f>
        <v>0.102594633119915</v>
      </c>
      <c r="M139" s="3">
        <f ca="1">SQRT(AVERAGE(K139:OFFSET(K139,$B$6-1,0))*$B$9/(4*LN(2)))</f>
        <v>9.0655552714596938E-2</v>
      </c>
      <c r="N139" s="3">
        <f ca="1">SQRT(AVERAGE(K139:OFFSET(K139,$B$7-1,0))*$B$9/(4*LN(2)))</f>
        <v>9.4611786920295607E-2</v>
      </c>
      <c r="O139" s="3">
        <f ca="1">SQRT(AVERAGE(K139:OFFSET(K139,$B$8-1,0))*$B$9/(4*LN(2)))</f>
        <v>0.10195729891737214</v>
      </c>
      <c r="P139" s="1"/>
      <c r="Q139" s="5">
        <f t="shared" si="17"/>
        <v>2.7414221258820509E-5</v>
      </c>
      <c r="R139" s="5">
        <f ca="1">SQRT($B$9*AVERAGE((Q139:OFFSET(Q139,$B$5-1,0))))</f>
        <v>0.11522900222047773</v>
      </c>
      <c r="S139" s="5">
        <f ca="1">SQRT($B$9*AVERAGE((Q139:OFFSET(Q139,$B$6-1,0))))</f>
        <v>0.10004351847166705</v>
      </c>
      <c r="T139" s="5">
        <f ca="1">SQRT($B$9*AVERAGE((Q139:OFFSET(Q139,$B$7-1,0))))</f>
        <v>0.10179062181473572</v>
      </c>
      <c r="U139" s="5">
        <f ca="1">SQRT($B$9*AVERAGE((Q139:OFFSET(Q139,$B$8-1,0))))</f>
        <v>0.10542991475778986</v>
      </c>
      <c r="V139" s="1"/>
      <c r="W139" s="6">
        <f t="shared" si="18"/>
        <v>3.5603725791132257E-5</v>
      </c>
      <c r="X139" s="6">
        <f ca="1">SQRT($B$9*AVERAGE(W139:OFFSET(W139,$B$5-1,0)))</f>
        <v>0.12134358099067596</v>
      </c>
      <c r="Y139" s="6">
        <f ca="1">SQRT($B$9*AVERAGE(W139:OFFSET(W139,$B$6-1,0)))</f>
        <v>0.10378717569362959</v>
      </c>
      <c r="Z139" s="6">
        <f ca="1">SQRT($B$9*AVERAGE(W139:OFFSET(W139,$B$7-1,0)))</f>
        <v>0.10362227626432834</v>
      </c>
      <c r="AA139" s="6">
        <f ca="1">SQRT($B$9*AVERAGE(W139:OFFSET(W139,$B$8-1,0)))</f>
        <v>0.10613458349789985</v>
      </c>
      <c r="AB139" s="1"/>
      <c r="AC139" s="34">
        <f t="shared" si="13"/>
        <v>8.2472171217521917E-6</v>
      </c>
      <c r="AD139" s="34">
        <f ca="1">SQRT($B$9*SUM(AC139:OFFSET(AC139,$B$5-1,0))/($B$5-1))</f>
        <v>4.1923691212216369E-2</v>
      </c>
      <c r="AE139" s="34">
        <f ca="1">SQRT($B$9*SUM(AC139:OFFSET(AC139,$B$6-1,0))/($B$6-1))</f>
        <v>5.8182283313551034E-2</v>
      </c>
      <c r="AF139" s="34">
        <f ca="1">SQRT($B$9*SUM(AC139:OFFSET(AC139,$B$7-1,0))/($B$7-1))</f>
        <v>7.3467697274079632E-2</v>
      </c>
      <c r="AG139" s="34">
        <f ca="1">SQRT($B$9*SUM(AC139:OFFSET(AC139,$B$8-1,0))/($B$8-1))</f>
        <v>0.10046001756971899</v>
      </c>
      <c r="AH139" s="1"/>
      <c r="AI139" s="1">
        <f t="shared" si="14"/>
        <v>-2.8717968454875409E-3</v>
      </c>
      <c r="AJ139" s="4">
        <f ca="1">SQRT($B$9)*_xlfn.STDEV.S(AI139:OFFSET(AI139,$B$5-1,0))</f>
        <v>3.4119899337635123E-2</v>
      </c>
      <c r="AK139" s="4">
        <f ca="1">SQRT($B$9)*_xlfn.STDEV.S(AI139:OFFSET(AI139,$B$6-1,0))</f>
        <v>5.6898108198216744E-2</v>
      </c>
      <c r="AL139" s="4">
        <f ca="1">SQRT($B$9)*_xlfn.STDEV.S(AI139:OFFSET(AI139,$B$7-1,0))</f>
        <v>6.7296902431199179E-2</v>
      </c>
      <c r="AM139" s="4">
        <f ca="1">SQRT($B$9)*_xlfn.STDEV.S(AI139:OFFSET(AI139,$B$8-1,0))</f>
        <v>0.10045995940267236</v>
      </c>
    </row>
    <row r="140" spans="5:39" x14ac:dyDescent="0.2">
      <c r="E140" s="42">
        <v>45469</v>
      </c>
      <c r="F140" s="43">
        <v>2.3830390076302321</v>
      </c>
      <c r="G140" s="43">
        <v>2.398716895838326</v>
      </c>
      <c r="H140" s="43">
        <v>2.3771597995521976</v>
      </c>
      <c r="I140" s="43">
        <v>2.3918578197472851</v>
      </c>
      <c r="K140" s="3">
        <f t="shared" si="19"/>
        <v>8.1496733537961527E-5</v>
      </c>
      <c r="L140" s="3">
        <f ca="1">SQRT(AVERAGE(K140:OFFSET(K140,$B$5-1,0))*$B$9/(4*LN(2)))</f>
        <v>0.10249128302013899</v>
      </c>
      <c r="M140" s="3">
        <f ca="1">SQRT(AVERAGE(K140:OFFSET(K140,$B$6-1,0))*$B$9/(4*LN(2)))</f>
        <v>9.1541706593749522E-2</v>
      </c>
      <c r="N140" s="3">
        <f ca="1">SQRT(AVERAGE(K140:OFFSET(K140,$B$7-1,0))*$B$9/(4*LN(2)))</f>
        <v>9.5423327617742942E-2</v>
      </c>
      <c r="O140" s="3">
        <f ca="1">SQRT(AVERAGE(K140:OFFSET(K140,$B$8-1,0))*$B$9/(4*LN(2)))</f>
        <v>0.10225704346358522</v>
      </c>
      <c r="P140" s="1"/>
      <c r="Q140" s="5">
        <f t="shared" si="17"/>
        <v>3.5516670902052605E-5</v>
      </c>
      <c r="R140" s="5">
        <f ca="1">SQRT($B$9*AVERAGE((Q140:OFFSET(Q140,$B$5-1,0))))</f>
        <v>0.11492202364697782</v>
      </c>
      <c r="S140" s="5">
        <f ca="1">SQRT($B$9*AVERAGE((Q140:OFFSET(Q140,$B$6-1,0))))</f>
        <v>9.9628930169640265E-2</v>
      </c>
      <c r="T140" s="5">
        <f ca="1">SQRT($B$9*AVERAGE((Q140:OFFSET(Q140,$B$7-1,0))))</f>
        <v>0.10284342733618572</v>
      </c>
      <c r="U140" s="5">
        <f ca="1">SQRT($B$9*AVERAGE((Q140:OFFSET(Q140,$B$8-1,0))))</f>
        <v>0.10575914435313225</v>
      </c>
      <c r="V140" s="1"/>
      <c r="W140" s="6">
        <f t="shared" si="18"/>
        <v>3.4003576195705907E-5</v>
      </c>
      <c r="X140" s="6">
        <f ca="1">SQRT($B$9*AVERAGE(W140:OFFSET(W140,$B$5-1,0)))</f>
        <v>0.12036445088179894</v>
      </c>
      <c r="Y140" s="6">
        <f ca="1">SQRT($B$9*AVERAGE(W140:OFFSET(W140,$B$6-1,0)))</f>
        <v>0.10246225374524849</v>
      </c>
      <c r="Z140" s="6">
        <f ca="1">SQRT($B$9*AVERAGE(W140:OFFSET(W140,$B$7-1,0)))</f>
        <v>0.10576643205535032</v>
      </c>
      <c r="AA140" s="6">
        <f ca="1">SQRT($B$9*AVERAGE(W140:OFFSET(W140,$B$8-1,0)))</f>
        <v>0.1065867585786828</v>
      </c>
      <c r="AB140" s="1"/>
      <c r="AC140" s="34">
        <f t="shared" si="13"/>
        <v>2.6896549985138342E-6</v>
      </c>
      <c r="AD140" s="34">
        <f ca="1">SQRT($B$9*SUM(AC140:OFFSET(AC140,$B$5-1,0))/($B$5-1))</f>
        <v>4.1840444844448509E-2</v>
      </c>
      <c r="AE140" s="34">
        <f ca="1">SQRT($B$9*SUM(AC140:OFFSET(AC140,$B$6-1,0))/($B$6-1))</f>
        <v>6.0096639257827246E-2</v>
      </c>
      <c r="AF140" s="34">
        <f ca="1">SQRT($B$9*SUM(AC140:OFFSET(AC140,$B$7-1,0))/($B$7-1))</f>
        <v>7.2754244928442527E-2</v>
      </c>
      <c r="AG140" s="34">
        <f ca="1">SQRT($B$9*SUM(AC140:OFFSET(AC140,$B$8-1,0))/($B$8-1))</f>
        <v>0.10087562607577578</v>
      </c>
      <c r="AH140" s="1"/>
      <c r="AI140" s="1">
        <f t="shared" si="14"/>
        <v>1.6400167677538648E-3</v>
      </c>
      <c r="AJ140" s="4">
        <f ca="1">SQRT($B$9)*_xlfn.STDEV.S(AI140:OFFSET(AI140,$B$5-1,0))</f>
        <v>3.4067306365259412E-2</v>
      </c>
      <c r="AK140" s="4">
        <f ca="1">SQRT($B$9)*_xlfn.STDEV.S(AI140:OFFSET(AI140,$B$6-1,0))</f>
        <v>5.8411028755673854E-2</v>
      </c>
      <c r="AL140" s="4">
        <f ca="1">SQRT($B$9)*_xlfn.STDEV.S(AI140:OFFSET(AI140,$B$7-1,0))</f>
        <v>6.761905427437287E-2</v>
      </c>
      <c r="AM140" s="4">
        <f ca="1">SQRT($B$9)*_xlfn.STDEV.S(AI140:OFFSET(AI140,$B$8-1,0))</f>
        <v>0.10087418970916708</v>
      </c>
    </row>
    <row r="141" spans="5:39" x14ac:dyDescent="0.2">
      <c r="E141" s="42">
        <v>45468</v>
      </c>
      <c r="F141" s="43">
        <v>2.3967571598123145</v>
      </c>
      <c r="G141" s="43">
        <v>2.4026363678903495</v>
      </c>
      <c r="H141" s="43">
        <v>2.3752000635261856</v>
      </c>
      <c r="I141" s="43">
        <v>2.3879383476952616</v>
      </c>
      <c r="K141" s="3">
        <f t="shared" si="19"/>
        <v>1.3190407344513814E-4</v>
      </c>
      <c r="L141" s="3">
        <f ca="1">SQRT(AVERAGE(K141:OFFSET(K141,$B$5-1,0))*$B$9/(4*LN(2)))</f>
        <v>9.8177915356515169E-2</v>
      </c>
      <c r="M141" s="3">
        <f ca="1">SQRT(AVERAGE(K141:OFFSET(K141,$B$6-1,0))*$B$9/(4*LN(2)))</f>
        <v>8.9139985724484616E-2</v>
      </c>
      <c r="N141" s="3">
        <f ca="1">SQRT(AVERAGE(K141:OFFSET(K141,$B$7-1,0))*$B$9/(4*LN(2)))</f>
        <v>9.4841030985509375E-2</v>
      </c>
      <c r="O141" s="3">
        <f ca="1">SQRT(AVERAGE(K141:OFFSET(K141,$B$8-1,0))*$B$9/(4*LN(2)))</f>
        <v>0.1020190259765071</v>
      </c>
      <c r="P141" s="1"/>
      <c r="Q141" s="5">
        <f t="shared" si="17"/>
        <v>6.089621877401556E-5</v>
      </c>
      <c r="R141" s="5">
        <f ca="1">SQRT($B$9*AVERAGE((Q141:OFFSET(Q141,$B$5-1,0))))</f>
        <v>0.11062510149427393</v>
      </c>
      <c r="S141" s="5">
        <f ca="1">SQRT($B$9*AVERAGE((Q141:OFFSET(Q141,$B$6-1,0))))</f>
        <v>9.7223843250073508E-2</v>
      </c>
      <c r="T141" s="5">
        <f ca="1">SQRT($B$9*AVERAGE((Q141:OFFSET(Q141,$B$7-1,0))))</f>
        <v>0.1022336267670842</v>
      </c>
      <c r="U141" s="5">
        <f ca="1">SQRT($B$9*AVERAGE((Q141:OFFSET(Q141,$B$8-1,0))))</f>
        <v>0.10548040466770264</v>
      </c>
      <c r="V141" s="1"/>
      <c r="W141" s="6">
        <f t="shared" si="18"/>
        <v>6.3359075794079049E-5</v>
      </c>
      <c r="X141" s="6">
        <f ca="1">SQRT($B$9*AVERAGE(W141:OFFSET(W141,$B$5-1,0)))</f>
        <v>0.11669902706119925</v>
      </c>
      <c r="Y141" s="6">
        <f ca="1">SQRT($B$9*AVERAGE(W141:OFFSET(W141,$B$6-1,0)))</f>
        <v>0.10039227752292493</v>
      </c>
      <c r="Z141" s="6">
        <f ca="1">SQRT($B$9*AVERAGE(W141:OFFSET(W141,$B$7-1,0)))</f>
        <v>0.10527908774682199</v>
      </c>
      <c r="AA141" s="6">
        <f ca="1">SQRT($B$9*AVERAGE(W141:OFFSET(W141,$B$8-1,0)))</f>
        <v>0.10632736749087528</v>
      </c>
      <c r="AB141" s="1"/>
      <c r="AC141" s="34">
        <f t="shared" si="13"/>
        <v>1.3588532117702222E-5</v>
      </c>
      <c r="AD141" s="34">
        <f ca="1">SQRT($B$9*SUM(AC141:OFFSET(AC141,$B$5-1,0))/($B$5-1))</f>
        <v>4.1813276542913093E-2</v>
      </c>
      <c r="AE141" s="34">
        <f ca="1">SQRT($B$9*SUM(AC141:OFFSET(AC141,$B$6-1,0))/($B$6-1))</f>
        <v>5.9822720421727663E-2</v>
      </c>
      <c r="AF141" s="34">
        <f ca="1">SQRT($B$9*SUM(AC141:OFFSET(AC141,$B$7-1,0))/($B$7-1))</f>
        <v>7.3194294226013298E-2</v>
      </c>
      <c r="AG141" s="34">
        <f ca="1">SQRT($B$9*SUM(AC141:OFFSET(AC141,$B$8-1,0))/($B$8-1))</f>
        <v>0.10109970319063251</v>
      </c>
      <c r="AH141" s="1"/>
      <c r="AI141" s="1">
        <f t="shared" si="14"/>
        <v>-3.6862626219115509E-3</v>
      </c>
      <c r="AJ141" s="4">
        <f ca="1">SQRT($B$9)*_xlfn.STDEV.S(AI141:OFFSET(AI141,$B$5-1,0))</f>
        <v>3.4005541137182502E-2</v>
      </c>
      <c r="AK141" s="4">
        <f ca="1">SQRT($B$9)*_xlfn.STDEV.S(AI141:OFFSET(AI141,$B$6-1,0))</f>
        <v>5.67757401305551E-2</v>
      </c>
      <c r="AL141" s="4">
        <f ca="1">SQRT($B$9)*_xlfn.STDEV.S(AI141:OFFSET(AI141,$B$7-1,0))</f>
        <v>6.6587543261833179E-2</v>
      </c>
      <c r="AM141" s="4">
        <f ca="1">SQRT($B$9)*_xlfn.STDEV.S(AI141:OFFSET(AI141,$B$8-1,0))</f>
        <v>0.10109970319063251</v>
      </c>
    </row>
    <row r="142" spans="5:39" x14ac:dyDescent="0.2">
      <c r="E142" s="42">
        <v>45467</v>
      </c>
      <c r="F142" s="43">
        <v>2.3810792716042211</v>
      </c>
      <c r="G142" s="43">
        <v>2.412435048020408</v>
      </c>
      <c r="H142" s="43">
        <v>2.3781396675652031</v>
      </c>
      <c r="I142" s="43">
        <v>2.3967571598123145</v>
      </c>
      <c r="K142" s="3">
        <f t="shared" si="19"/>
        <v>2.0500801675585114E-4</v>
      </c>
      <c r="L142" s="3">
        <f ca="1">SQRT(AVERAGE(K142:OFFSET(K142,$B$5-1,0))*$B$9/(4*LN(2)))</f>
        <v>9.0300419957213565E-2</v>
      </c>
      <c r="M142" s="3">
        <f ca="1">SQRT(AVERAGE(K142:OFFSET(K142,$B$6-1,0))*$B$9/(4*LN(2)))</f>
        <v>9.1927700150068362E-2</v>
      </c>
      <c r="N142" s="3">
        <f ca="1">SQRT(AVERAGE(K142:OFFSET(K142,$B$7-1,0))*$B$9/(4*LN(2)))</f>
        <v>9.3371592820409716E-2</v>
      </c>
      <c r="O142" s="3">
        <f ca="1">SQRT(AVERAGE(K142:OFFSET(K142,$B$8-1,0))*$B$9/(4*LN(2)))</f>
        <v>0.10182419334466625</v>
      </c>
      <c r="P142" s="1"/>
      <c r="Q142" s="5">
        <f t="shared" si="17"/>
        <v>8.6171826418704695E-5</v>
      </c>
      <c r="R142" s="5">
        <f ca="1">SQRT($B$9*AVERAGE((Q142:OFFSET(Q142,$B$5-1,0))))</f>
        <v>0.10212954456955184</v>
      </c>
      <c r="S142" s="5">
        <f ca="1">SQRT($B$9*AVERAGE((Q142:OFFSET(Q142,$B$6-1,0))))</f>
        <v>9.7239331104569449E-2</v>
      </c>
      <c r="T142" s="5">
        <f ca="1">SQRT($B$9*AVERAGE((Q142:OFFSET(Q142,$B$7-1,0))))</f>
        <v>9.9290418822302065E-2</v>
      </c>
      <c r="U142" s="5">
        <f ca="1">SQRT($B$9*AVERAGE((Q142:OFFSET(Q142,$B$8-1,0))))</f>
        <v>0.10530338081589984</v>
      </c>
      <c r="V142" s="1"/>
      <c r="W142" s="6">
        <f t="shared" si="18"/>
        <v>9.4932783360543091E-5</v>
      </c>
      <c r="X142" s="6">
        <f ca="1">SQRT($B$9*AVERAGE(W142:OFFSET(W142,$B$5-1,0)))</f>
        <v>0.10875789938671197</v>
      </c>
      <c r="Y142" s="6">
        <f ca="1">SQRT($B$9*AVERAGE(W142:OFFSET(W142,$B$6-1,0)))</f>
        <v>9.9423649618801749E-2</v>
      </c>
      <c r="Z142" s="6">
        <f ca="1">SQRT($B$9*AVERAGE(W142:OFFSET(W142,$B$7-1,0)))</f>
        <v>0.1019219933918003</v>
      </c>
      <c r="AA142" s="6">
        <f ca="1">SQRT($B$9*AVERAGE(W142:OFFSET(W142,$B$8-1,0)))</f>
        <v>0.10628561525802253</v>
      </c>
      <c r="AB142" s="1"/>
      <c r="AC142" s="34">
        <f t="shared" si="13"/>
        <v>0</v>
      </c>
      <c r="AD142" s="34">
        <f ca="1">SQRT($B$9*SUM(AC142:OFFSET(AC142,$B$5-1,0))/($B$5-1))</f>
        <v>3.026635926313016E-2</v>
      </c>
      <c r="AE142" s="34">
        <f ca="1">SQRT($B$9*SUM(AC142:OFFSET(AC142,$B$6-1,0))/($B$6-1))</f>
        <v>8.4808170251262222E-2</v>
      </c>
      <c r="AF142" s="34">
        <f ca="1">SQRT($B$9*SUM(AC142:OFFSET(AC142,$B$7-1,0))/($B$7-1))</f>
        <v>7.9099815179453206E-2</v>
      </c>
      <c r="AG142" s="34">
        <f ca="1">SQRT($B$9*SUM(AC142:OFFSET(AC142,$B$8-1,0))/($B$8-1))</f>
        <v>0.1008237171780238</v>
      </c>
      <c r="AH142" s="1"/>
      <c r="AI142" s="1">
        <f t="shared" si="14"/>
        <v>0</v>
      </c>
      <c r="AJ142" s="4">
        <f ca="1">SQRT($B$9)*_xlfn.STDEV.S(AI142:OFFSET(AI142,$B$5-1,0))</f>
        <v>2.8025702953603088E-2</v>
      </c>
      <c r="AK142" s="4">
        <f ca="1">SQRT($B$9)*_xlfn.STDEV.S(AI142:OFFSET(AI142,$B$6-1,0))</f>
        <v>7.8239776802588742E-2</v>
      </c>
      <c r="AL142" s="4">
        <f ca="1">SQRT($B$9)*_xlfn.STDEV.S(AI142:OFFSET(AI142,$B$7-1,0))</f>
        <v>7.6503603672834028E-2</v>
      </c>
      <c r="AM142" s="4">
        <f ca="1">SQRT($B$9)*_xlfn.STDEV.S(AI142:OFFSET(AI142,$B$8-1,0))</f>
        <v>0.10082003362024233</v>
      </c>
    </row>
    <row r="143" spans="5:39" x14ac:dyDescent="0.2">
      <c r="E143" s="42">
        <v>45464</v>
      </c>
      <c r="F143" s="43">
        <v>2.3996967638513316</v>
      </c>
      <c r="G143" s="43">
        <v>2.405575971929367</v>
      </c>
      <c r="H143" s="43">
        <v>2.3791195355782091</v>
      </c>
      <c r="I143" s="43">
        <v>2.3967571598123145</v>
      </c>
      <c r="K143" s="3">
        <f t="shared" si="19"/>
        <v>1.22299004885445E-4</v>
      </c>
      <c r="L143" s="3">
        <f ca="1">SQRT(AVERAGE(K143:OFFSET(K143,$B$5-1,0))*$B$9/(4*LN(2)))</f>
        <v>6.9897930034703987E-2</v>
      </c>
      <c r="M143" s="3">
        <f ca="1">SQRT(AVERAGE(K143:OFFSET(K143,$B$6-1,0))*$B$9/(4*LN(2)))</f>
        <v>9.0440483518053144E-2</v>
      </c>
      <c r="N143" s="3">
        <f ca="1">SQRT(AVERAGE(K143:OFFSET(K143,$B$7-1,0))*$B$9/(4*LN(2)))</f>
        <v>9.2567071949464369E-2</v>
      </c>
      <c r="O143" s="3">
        <f ca="1">SQRT(AVERAGE(K143:OFFSET(K143,$B$8-1,0))*$B$9/(4*LN(2)))</f>
        <v>0.10200647996932875</v>
      </c>
      <c r="P143" s="1"/>
      <c r="Q143" s="5">
        <f t="shared" si="17"/>
        <v>6.0975000457158879E-5</v>
      </c>
      <c r="R143" s="5">
        <f ca="1">SQRT($B$9*AVERAGE((Q143:OFFSET(Q143,$B$5-1,0))))</f>
        <v>8.1848655483655122E-2</v>
      </c>
      <c r="S143" s="5">
        <f ca="1">SQRT($B$9*AVERAGE((Q143:OFFSET(Q143,$B$6-1,0))))</f>
        <v>9.5105478164786802E-2</v>
      </c>
      <c r="T143" s="5">
        <f ca="1">SQRT($B$9*AVERAGE((Q143:OFFSET(Q143,$B$7-1,0))))</f>
        <v>9.7577035567894099E-2</v>
      </c>
      <c r="U143" s="5">
        <f ca="1">SQRT($B$9*AVERAGE((Q143:OFFSET(Q143,$B$8-1,0))))</f>
        <v>0.10551166677505294</v>
      </c>
      <c r="V143" s="1"/>
      <c r="W143" s="6">
        <f t="shared" si="18"/>
        <v>7.2596035749166967E-5</v>
      </c>
      <c r="X143" s="6">
        <f ca="1">SQRT($B$9*AVERAGE(W143:OFFSET(W143,$B$5-1,0)))</f>
        <v>8.7913842563928674E-2</v>
      </c>
      <c r="Y143" s="6">
        <f ca="1">SQRT($B$9*AVERAGE(W143:OFFSET(W143,$B$6-1,0)))</f>
        <v>9.6215990625135875E-2</v>
      </c>
      <c r="Z143" s="6">
        <f ca="1">SQRT($B$9*AVERAGE(W143:OFFSET(W143,$B$7-1,0)))</f>
        <v>9.9540561887354037E-2</v>
      </c>
      <c r="AA143" s="6">
        <f ca="1">SQRT($B$9*AVERAGE(W143:OFFSET(W143,$B$8-1,0)))</f>
        <v>0.10662694962192874</v>
      </c>
      <c r="AB143" s="1"/>
      <c r="AC143" s="34">
        <f t="shared" si="13"/>
        <v>4.1700387801096022E-6</v>
      </c>
      <c r="AD143" s="34">
        <f ca="1">SQRT($B$9*SUM(AC143:OFFSET(AC143,$B$5-1,0))/($B$5-1))</f>
        <v>5.6485239121557181E-2</v>
      </c>
      <c r="AE143" s="34">
        <f ca="1">SQRT($B$9*SUM(AC143:OFFSET(AC143,$B$6-1,0))/($B$6-1))</f>
        <v>8.7859199387985393E-2</v>
      </c>
      <c r="AF143" s="34">
        <f ca="1">SQRT($B$9*SUM(AC143:OFFSET(AC143,$B$7-1,0))/($B$7-1))</f>
        <v>8.9225100955114753E-2</v>
      </c>
      <c r="AG143" s="34">
        <f ca="1">SQRT($B$9*SUM(AC143:OFFSET(AC143,$B$8-1,0))/($B$8-1))</f>
        <v>0.10247210445107985</v>
      </c>
      <c r="AH143" s="1"/>
      <c r="AI143" s="1">
        <f t="shared" si="14"/>
        <v>-2.0420672809948262E-3</v>
      </c>
      <c r="AJ143" s="4">
        <f ca="1">SQRT($B$9)*_xlfn.STDEV.S(AI143:OFFSET(AI143,$B$5-1,0))</f>
        <v>4.6016890979246265E-2</v>
      </c>
      <c r="AK143" s="4">
        <f ca="1">SQRT($B$9)*_xlfn.STDEV.S(AI143:OFFSET(AI143,$B$6-1,0))</f>
        <v>7.8233865510452874E-2</v>
      </c>
      <c r="AL143" s="4">
        <f ca="1">SQRT($B$9)*_xlfn.STDEV.S(AI143:OFFSET(AI143,$B$7-1,0))</f>
        <v>8.4266471224268974E-2</v>
      </c>
      <c r="AM143" s="4">
        <f ca="1">SQRT($B$9)*_xlfn.STDEV.S(AI143:OFFSET(AI143,$B$8-1,0))</f>
        <v>0.1024611039158622</v>
      </c>
    </row>
    <row r="144" spans="5:39" x14ac:dyDescent="0.2">
      <c r="E144" s="42">
        <v>45463</v>
      </c>
      <c r="F144" s="43">
        <v>2.405575971929367</v>
      </c>
      <c r="G144" s="43">
        <v>2.4163545200724315</v>
      </c>
      <c r="H144" s="43">
        <v>2.398716895838326</v>
      </c>
      <c r="I144" s="43">
        <v>2.4016564998773435</v>
      </c>
      <c r="K144" s="3">
        <f t="shared" si="19"/>
        <v>5.3670863430659232E-5</v>
      </c>
      <c r="L144" s="3">
        <f ca="1">SQRT(AVERAGE(K144:OFFSET(K144,$B$5-1,0))*$B$9/(4*LN(2)))</f>
        <v>7.6884326952690221E-2</v>
      </c>
      <c r="M144" s="3">
        <f ca="1">SQRT(AVERAGE(K144:OFFSET(K144,$B$6-1,0))*$B$9/(4*LN(2)))</f>
        <v>9.142286873250792E-2</v>
      </c>
      <c r="N144" s="3">
        <f ca="1">SQRT(AVERAGE(K144:OFFSET(K144,$B$7-1,0))*$B$9/(4*LN(2)))</f>
        <v>9.2337385070292044E-2</v>
      </c>
      <c r="O144" s="3">
        <f ca="1">SQRT(AVERAGE(K144:OFFSET(K144,$B$8-1,0))*$B$9/(4*LN(2)))</f>
        <v>0.10150638767228631</v>
      </c>
      <c r="P144" s="1"/>
      <c r="Q144" s="5">
        <f t="shared" si="17"/>
        <v>2.5972355266772938E-5</v>
      </c>
      <c r="R144" s="5">
        <f ca="1">SQRT($B$9*AVERAGE((Q144:OFFSET(Q144,$B$5-1,0))))</f>
        <v>8.20956041676697E-2</v>
      </c>
      <c r="S144" s="5">
        <f ca="1">SQRT($B$9*AVERAGE((Q144:OFFSET(Q144,$B$6-1,0))))</f>
        <v>9.6340061572072699E-2</v>
      </c>
      <c r="T144" s="5">
        <f ca="1">SQRT($B$9*AVERAGE((Q144:OFFSET(Q144,$B$7-1,0))))</f>
        <v>9.6055904199896708E-2</v>
      </c>
      <c r="U144" s="5">
        <f ca="1">SQRT($B$9*AVERAGE((Q144:OFFSET(Q144,$B$8-1,0))))</f>
        <v>0.10481803415919511</v>
      </c>
      <c r="V144" s="1"/>
      <c r="W144" s="6">
        <f t="shared" si="18"/>
        <v>3.0773856167382343E-5</v>
      </c>
      <c r="X144" s="6">
        <f ca="1">SQRT($B$9*AVERAGE(W144:OFFSET(W144,$B$5-1,0)))</f>
        <v>8.2578998718075655E-2</v>
      </c>
      <c r="Y144" s="6">
        <f ca="1">SQRT($B$9*AVERAGE(W144:OFFSET(W144,$B$6-1,0)))</f>
        <v>9.6873916696217907E-2</v>
      </c>
      <c r="Z144" s="6">
        <f ca="1">SQRT($B$9*AVERAGE(W144:OFFSET(W144,$B$7-1,0)))</f>
        <v>9.7093251340559919E-2</v>
      </c>
      <c r="AA144" s="6">
        <f ca="1">SQRT($B$9*AVERAGE(W144:OFFSET(W144,$B$8-1,0)))</f>
        <v>0.10589374081317235</v>
      </c>
      <c r="AB144" s="1"/>
      <c r="AC144" s="34">
        <f t="shared" si="13"/>
        <v>8.1333712429614887E-6</v>
      </c>
      <c r="AD144" s="34">
        <f ca="1">SQRT($B$9*SUM(AC144:OFFSET(AC144,$B$5-1,0))/($B$5-1))</f>
        <v>7.6544463034199595E-2</v>
      </c>
      <c r="AE144" s="34">
        <f ca="1">SQRT($B$9*SUM(AC144:OFFSET(AC144,$B$6-1,0))/($B$6-1))</f>
        <v>8.7235644372207446E-2</v>
      </c>
      <c r="AF144" s="34">
        <f ca="1">SQRT($B$9*SUM(AC144:OFFSET(AC144,$B$7-1,0))/($B$7-1))</f>
        <v>9.6166040553169366E-2</v>
      </c>
      <c r="AG144" s="34">
        <f ca="1">SQRT($B$9*SUM(AC144:OFFSET(AC144,$B$8-1,0))/($B$8-1))</f>
        <v>0.10238757701939261</v>
      </c>
      <c r="AH144" s="1"/>
      <c r="AI144" s="1">
        <f t="shared" si="14"/>
        <v>-2.8519065978677297E-3</v>
      </c>
      <c r="AJ144" s="4">
        <f ca="1">SQRT($B$9)*_xlfn.STDEV.S(AI144:OFFSET(AI144,$B$5-1,0))</f>
        <v>7.6531147263559099E-2</v>
      </c>
      <c r="AK144" s="4">
        <f ca="1">SQRT($B$9)*_xlfn.STDEV.S(AI144:OFFSET(AI144,$B$6-1,0))</f>
        <v>7.9480962188936494E-2</v>
      </c>
      <c r="AL144" s="4">
        <f ca="1">SQRT($B$9)*_xlfn.STDEV.S(AI144:OFFSET(AI144,$B$7-1,0))</f>
        <v>8.9222657814373135E-2</v>
      </c>
      <c r="AM144" s="4">
        <f ca="1">SQRT($B$9)*_xlfn.STDEV.S(AI144:OFFSET(AI144,$B$8-1,0))</f>
        <v>0.10238303654422219</v>
      </c>
    </row>
    <row r="145" spans="5:39" x14ac:dyDescent="0.2">
      <c r="E145" s="42">
        <v>45462</v>
      </c>
      <c r="F145" s="43">
        <v>2.405575971929367</v>
      </c>
      <c r="G145" s="43">
        <v>2.412435048020408</v>
      </c>
      <c r="H145" s="43">
        <v>2.398716895838326</v>
      </c>
      <c r="I145" s="43">
        <v>2.4085155759683849</v>
      </c>
      <c r="K145" s="3">
        <f t="shared" si="19"/>
        <v>3.2520366571042421E-5</v>
      </c>
      <c r="L145" s="3">
        <f ca="1">SQRT(AVERAGE(K145:OFFSET(K145,$B$5-1,0))*$B$9/(4*LN(2)))</f>
        <v>7.9090486135046753E-2</v>
      </c>
      <c r="M145" s="3">
        <f ca="1">SQRT(AVERAGE(K145:OFFSET(K145,$B$6-1,0))*$B$9/(4*LN(2)))</f>
        <v>9.0548812859295752E-2</v>
      </c>
      <c r="N145" s="3">
        <f ca="1">SQRT(AVERAGE(K145:OFFSET(K145,$B$7-1,0))*$B$9/(4*LN(2)))</f>
        <v>9.1872591984645161E-2</v>
      </c>
      <c r="O145" s="3">
        <f ca="1">SQRT(AVERAGE(K145:OFFSET(K145,$B$8-1,0))*$B$9/(4*LN(2)))</f>
        <v>0.10186899169781799</v>
      </c>
      <c r="P145" s="1"/>
      <c r="Q145" s="5">
        <f t="shared" si="17"/>
        <v>1.5737927259233811E-5</v>
      </c>
      <c r="R145" s="5">
        <f ca="1">SQRT($B$9*AVERAGE((Q145:OFFSET(Q145,$B$5-1,0))))</f>
        <v>8.1515495056937365E-2</v>
      </c>
      <c r="S145" s="5">
        <f ca="1">SQRT($B$9*AVERAGE((Q145:OFFSET(Q145,$B$6-1,0))))</f>
        <v>9.4504293977164755E-2</v>
      </c>
      <c r="T145" s="5">
        <f ca="1">SQRT($B$9*AVERAGE((Q145:OFFSET(Q145,$B$7-1,0))))</f>
        <v>9.5399061218842035E-2</v>
      </c>
      <c r="U145" s="5">
        <f ca="1">SQRT($B$9*AVERAGE((Q145:OFFSET(Q145,$B$8-1,0))))</f>
        <v>0.10511061184661133</v>
      </c>
      <c r="V145" s="1"/>
      <c r="W145" s="6">
        <f t="shared" si="18"/>
        <v>1.627014519475744E-5</v>
      </c>
      <c r="X145" s="6">
        <f ca="1">SQRT($B$9*AVERAGE(W145:OFFSET(W145,$B$5-1,0)))</f>
        <v>8.0681012940061608E-2</v>
      </c>
      <c r="Y145" s="6">
        <f ca="1">SQRT($B$9*AVERAGE(W145:OFFSET(W145,$B$6-1,0)))</f>
        <v>9.4289301004718218E-2</v>
      </c>
      <c r="Z145" s="6">
        <f ca="1">SQRT($B$9*AVERAGE(W145:OFFSET(W145,$B$7-1,0)))</f>
        <v>9.6127347447940922E-2</v>
      </c>
      <c r="AA145" s="6">
        <f ca="1">SQRT($B$9*AVERAGE(W145:OFFSET(W145,$B$8-1,0)))</f>
        <v>0.10603588478445164</v>
      </c>
      <c r="AB145" s="1"/>
      <c r="AC145" s="34">
        <f t="shared" ref="AC145:AC208" si="20">(LN(I145/I146))^2</f>
        <v>2.6525492103144589E-6</v>
      </c>
      <c r="AD145" s="34">
        <f ca="1">SQRT($B$9*SUM(AC145:OFFSET(AC145,$B$5-1,0))/($B$5-1))</f>
        <v>7.9846670487321275E-2</v>
      </c>
      <c r="AE145" s="34">
        <f ca="1">SQRT($B$9*SUM(AC145:OFFSET(AC145,$B$6-1,0))/($B$6-1))</f>
        <v>8.8945341935964678E-2</v>
      </c>
      <c r="AF145" s="34">
        <f ca="1">SQRT($B$9*SUM(AC145:OFFSET(AC145,$B$7-1,0))/($B$7-1))</f>
        <v>9.562945894070693E-2</v>
      </c>
      <c r="AG145" s="34">
        <f ca="1">SQRT($B$9*SUM(AC145:OFFSET(AC145,$B$8-1,0))/($B$8-1))</f>
        <v>0.10234356332967187</v>
      </c>
      <c r="AH145" s="1"/>
      <c r="AI145" s="1">
        <f t="shared" si="14"/>
        <v>1.6286648551235023E-3</v>
      </c>
      <c r="AJ145" s="4">
        <f ca="1">SQRT($B$9)*_xlfn.STDEV.S(AI145:OFFSET(AI145,$B$5-1,0))</f>
        <v>7.9643597638978769E-2</v>
      </c>
      <c r="AK145" s="4">
        <f ca="1">SQRT($B$9)*_xlfn.STDEV.S(AI145:OFFSET(AI145,$B$6-1,0))</f>
        <v>8.0190852849398947E-2</v>
      </c>
      <c r="AL145" s="4">
        <f ca="1">SQRT($B$9)*_xlfn.STDEV.S(AI145:OFFSET(AI145,$B$7-1,0))</f>
        <v>8.9653742710670115E-2</v>
      </c>
      <c r="AM145" s="4">
        <f ca="1">SQRT($B$9)*_xlfn.STDEV.S(AI145:OFFSET(AI145,$B$8-1,0))</f>
        <v>0.10234266644284465</v>
      </c>
    </row>
    <row r="146" spans="5:39" x14ac:dyDescent="0.2">
      <c r="E146" s="42">
        <v>45461</v>
      </c>
      <c r="F146" s="43">
        <v>2.403616235903355</v>
      </c>
      <c r="G146" s="43">
        <v>2.4153746520594255</v>
      </c>
      <c r="H146" s="43">
        <v>2.398716895838326</v>
      </c>
      <c r="I146" s="43">
        <v>2.4045961039163615</v>
      </c>
      <c r="K146" s="3">
        <f t="shared" si="19"/>
        <v>4.7892529165012117E-5</v>
      </c>
      <c r="L146" s="3">
        <f ca="1">SQRT(AVERAGE(K146:OFFSET(K146,$B$5-1,0))*$B$9/(4*LN(2)))</f>
        <v>7.9075729817508378E-2</v>
      </c>
      <c r="M146" s="3">
        <f ca="1">SQRT(AVERAGE(K146:OFFSET(K146,$B$6-1,0))*$B$9/(4*LN(2)))</f>
        <v>9.4127011035557942E-2</v>
      </c>
      <c r="N146" s="3">
        <f ca="1">SQRT(AVERAGE(K146:OFFSET(K146,$B$7-1,0))*$B$9/(4*LN(2)))</f>
        <v>9.1917122546003219E-2</v>
      </c>
      <c r="O146" s="3">
        <f ca="1">SQRT(AVERAGE(K146:OFFSET(K146,$B$8-1,0))*$B$9/(4*LN(2)))</f>
        <v>0.1025009954786982</v>
      </c>
      <c r="P146" s="1"/>
      <c r="Q146" s="5">
        <f t="shared" si="17"/>
        <v>2.40090921080087E-5</v>
      </c>
      <c r="R146" s="5">
        <f ca="1">SQRT($B$9*AVERAGE((Q146:OFFSET(Q146,$B$5-1,0))))</f>
        <v>8.1651933914704794E-2</v>
      </c>
      <c r="S146" s="5">
        <f ca="1">SQRT($B$9*AVERAGE((Q146:OFFSET(Q146,$B$6-1,0))))</f>
        <v>9.7329731379859355E-2</v>
      </c>
      <c r="T146" s="5">
        <f ca="1">SQRT($B$9*AVERAGE((Q146:OFFSET(Q146,$B$7-1,0))))</f>
        <v>9.5499902250714766E-2</v>
      </c>
      <c r="U146" s="5">
        <f ca="1">SQRT($B$9*AVERAGE((Q146:OFFSET(Q146,$B$8-1,0))))</f>
        <v>0.10579312907445347</v>
      </c>
      <c r="V146" s="1"/>
      <c r="W146" s="6">
        <f t="shared" si="18"/>
        <v>2.6820662773255552E-5</v>
      </c>
      <c r="X146" s="6">
        <f ca="1">SQRT($B$9*AVERAGE(W146:OFFSET(W146,$B$5-1,0)))</f>
        <v>8.0861337210371656E-2</v>
      </c>
      <c r="Y146" s="6">
        <f ca="1">SQRT($B$9*AVERAGE(W146:OFFSET(W146,$B$6-1,0)))</f>
        <v>9.6634475266692124E-2</v>
      </c>
      <c r="Z146" s="6">
        <f ca="1">SQRT($B$9*AVERAGE(W146:OFFSET(W146,$B$7-1,0)))</f>
        <v>9.6424921364162655E-2</v>
      </c>
      <c r="AA146" s="6">
        <f ca="1">SQRT($B$9*AVERAGE(W146:OFFSET(W146,$B$8-1,0)))</f>
        <v>0.10668772305721752</v>
      </c>
      <c r="AB146" s="1"/>
      <c r="AC146" s="34">
        <f t="shared" si="20"/>
        <v>0</v>
      </c>
      <c r="AD146" s="34">
        <f ca="1">SQRT($B$9*SUM(AC146:OFFSET(AC146,$B$5-1,0))/($B$5-1))</f>
        <v>7.9396820665076417E-2</v>
      </c>
      <c r="AE146" s="34">
        <f ca="1">SQRT($B$9*SUM(AC146:OFFSET(AC146,$B$6-1,0))/($B$6-1))</f>
        <v>9.320217448134259E-2</v>
      </c>
      <c r="AF146" s="34">
        <f ca="1">SQRT($B$9*SUM(AC146:OFFSET(AC146,$B$7-1,0))/($B$7-1))</f>
        <v>9.5706878356268177E-2</v>
      </c>
      <c r="AG146" s="34">
        <f ca="1">SQRT($B$9*SUM(AC146:OFFSET(AC146,$B$8-1,0))/($B$8-1))</f>
        <v>0.10325259280508041</v>
      </c>
      <c r="AH146" s="1"/>
      <c r="AI146" s="1">
        <f t="shared" si="14"/>
        <v>0</v>
      </c>
      <c r="AJ146" s="4">
        <f ca="1">SQRT($B$9)*_xlfn.STDEV.S(AI146:OFFSET(AI146,$B$5-1,0))</f>
        <v>7.7838419135730752E-2</v>
      </c>
      <c r="AK146" s="4">
        <f ca="1">SQRT($B$9)*_xlfn.STDEV.S(AI146:OFFSET(AI146,$B$6-1,0))</f>
        <v>8.755091999874258E-2</v>
      </c>
      <c r="AL146" s="4">
        <f ca="1">SQRT($B$9)*_xlfn.STDEV.S(AI146:OFFSET(AI146,$B$7-1,0))</f>
        <v>8.8617930038605158E-2</v>
      </c>
      <c r="AM146" s="4">
        <f ca="1">SQRT($B$9)*_xlfn.STDEV.S(AI146:OFFSET(AI146,$B$8-1,0))</f>
        <v>0.10323661878336869</v>
      </c>
    </row>
    <row r="147" spans="5:39" x14ac:dyDescent="0.2">
      <c r="E147" s="42">
        <v>45460</v>
      </c>
      <c r="F147" s="43">
        <v>2.403616235903355</v>
      </c>
      <c r="G147" s="43">
        <v>2.411455180007402</v>
      </c>
      <c r="H147" s="43">
        <v>2.400676631864338</v>
      </c>
      <c r="I147" s="43">
        <v>2.4045961039163615</v>
      </c>
      <c r="K147" s="3">
        <f t="shared" si="19"/>
        <v>2.0068131860539694E-5</v>
      </c>
      <c r="L147" s="3">
        <f ca="1">SQRT(AVERAGE(K147:OFFSET(K147,$B$5-1,0))*$B$9/(4*LN(2)))</f>
        <v>9.352667141148896E-2</v>
      </c>
      <c r="M147" s="3">
        <f ca="1">SQRT(AVERAGE(K147:OFFSET(K147,$B$6-1,0))*$B$9/(4*LN(2)))</f>
        <v>9.5189031420757908E-2</v>
      </c>
      <c r="N147" s="3">
        <f ca="1">SQRT(AVERAGE(K147:OFFSET(K147,$B$7-1,0))*$B$9/(4*LN(2)))</f>
        <v>9.2690027772547506E-2</v>
      </c>
      <c r="O147" s="3">
        <f ca="1">SQRT(AVERAGE(K147:OFFSET(K147,$B$8-1,0))*$B$9/(4*LN(2)))</f>
        <v>0.10267840200395952</v>
      </c>
      <c r="P147" s="1"/>
      <c r="Q147" s="5">
        <f t="shared" si="17"/>
        <v>1.0024041326827056E-5</v>
      </c>
      <c r="R147" s="5">
        <f ca="1">SQRT($B$9*AVERAGE((Q147:OFFSET(Q147,$B$5-1,0))))</f>
        <v>9.2089799398978503E-2</v>
      </c>
      <c r="S147" s="5">
        <f ca="1">SQRT($B$9*AVERAGE((Q147:OFFSET(Q147,$B$6-1,0))))</f>
        <v>9.847570666550047E-2</v>
      </c>
      <c r="T147" s="5">
        <f ca="1">SQRT($B$9*AVERAGE((Q147:OFFSET(Q147,$B$7-1,0))))</f>
        <v>9.6444681488757678E-2</v>
      </c>
      <c r="U147" s="5">
        <f ca="1">SQRT($B$9*AVERAGE((Q147:OFFSET(Q147,$B$8-1,0))))</f>
        <v>0.10585301055297418</v>
      </c>
      <c r="V147" s="1"/>
      <c r="W147" s="6">
        <f t="shared" si="18"/>
        <v>1.1270804490034345E-5</v>
      </c>
      <c r="X147" s="6">
        <f ca="1">SQRT($B$9*AVERAGE(W147:OFFSET(W147,$B$5-1,0)))</f>
        <v>8.9117021539290409E-2</v>
      </c>
      <c r="Y147" s="6">
        <f ca="1">SQRT($B$9*AVERAGE(W147:OFFSET(W147,$B$6-1,0)))</f>
        <v>9.7355182706714352E-2</v>
      </c>
      <c r="Z147" s="6">
        <f ca="1">SQRT($B$9*AVERAGE(W147:OFFSET(W147,$B$7-1,0)))</f>
        <v>9.7446691603810892E-2</v>
      </c>
      <c r="AA147" s="6">
        <f ca="1">SQRT($B$9*AVERAGE(W147:OFFSET(W147,$B$8-1,0)))</f>
        <v>0.10664410724647468</v>
      </c>
      <c r="AB147" s="1"/>
      <c r="AC147" s="34">
        <f t="shared" si="20"/>
        <v>3.7135179356320468E-5</v>
      </c>
      <c r="AD147" s="34">
        <f ca="1">SQRT($B$9*SUM(AC147:OFFSET(AC147,$B$5-1,0))/($B$5-1))</f>
        <v>0.12355931941796644</v>
      </c>
      <c r="AE147" s="34">
        <f ca="1">SQRT($B$9*SUM(AC147:OFFSET(AC147,$B$6-1,0))/($B$6-1))</f>
        <v>9.3412149435466066E-2</v>
      </c>
      <c r="AF147" s="34">
        <f ca="1">SQRT($B$9*SUM(AC147:OFFSET(AC147,$B$7-1,0))/($B$7-1))</f>
        <v>9.6075068040842759E-2</v>
      </c>
      <c r="AG147" s="34">
        <f ca="1">SQRT($B$9*SUM(AC147:OFFSET(AC147,$B$8-1,0))/($B$8-1))</f>
        <v>0.10358273755409453</v>
      </c>
      <c r="AH147" s="1"/>
      <c r="AI147" s="1">
        <f t="shared" ref="AI147:AI210" si="21">LN(I147/I148)</f>
        <v>-6.0938640743226679E-3</v>
      </c>
      <c r="AJ147" s="4">
        <f ca="1">SQRT($B$9)*_xlfn.STDEV.S(AI147:OFFSET(AI147,$B$5-1,0))</f>
        <v>0.10910424327392075</v>
      </c>
      <c r="AK147" s="4">
        <f ca="1">SQRT($B$9)*_xlfn.STDEV.S(AI147:OFFSET(AI147,$B$6-1,0))</f>
        <v>8.8470118297864497E-2</v>
      </c>
      <c r="AL147" s="4">
        <f ca="1">SQRT($B$9)*_xlfn.STDEV.S(AI147:OFFSET(AI147,$B$7-1,0))</f>
        <v>8.9755568716935699E-2</v>
      </c>
      <c r="AM147" s="4">
        <f ca="1">SQRT($B$9)*_xlfn.STDEV.S(AI147:OFFSET(AI147,$B$8-1,0))</f>
        <v>0.10358002698339955</v>
      </c>
    </row>
    <row r="148" spans="5:39" x14ac:dyDescent="0.2">
      <c r="E148" s="42">
        <v>45457</v>
      </c>
      <c r="F148" s="43">
        <v>2.398716895838326</v>
      </c>
      <c r="G148" s="43">
        <v>2.4241934641764784</v>
      </c>
      <c r="H148" s="43">
        <v>2.3918578197472851</v>
      </c>
      <c r="I148" s="43">
        <v>2.419294124111449</v>
      </c>
      <c r="K148" s="3">
        <f t="shared" si="19"/>
        <v>1.8032414385007653E-4</v>
      </c>
      <c r="L148" s="3">
        <f ca="1">SQRT(AVERAGE(K148:OFFSET(K148,$B$5-1,0))*$B$9/(4*LN(2)))</f>
        <v>0.10711321811439574</v>
      </c>
      <c r="M148" s="3">
        <f ca="1">SQRT(AVERAGE(K148:OFFSET(K148,$B$6-1,0))*$B$9/(4*LN(2)))</f>
        <v>9.8795784690069541E-2</v>
      </c>
      <c r="N148" s="3">
        <f ca="1">SQRT(AVERAGE(K148:OFFSET(K148,$B$7-1,0))*$B$9/(4*LN(2)))</f>
        <v>9.8534111638139174E-2</v>
      </c>
      <c r="O148" s="3">
        <f ca="1">SQRT(AVERAGE(K148:OFFSET(K148,$B$8-1,0))*$B$9/(4*LN(2)))</f>
        <v>0.10321901958794273</v>
      </c>
      <c r="P148" s="1"/>
      <c r="Q148" s="5">
        <f t="shared" si="17"/>
        <v>6.1801241664763789E-5</v>
      </c>
      <c r="R148" s="5">
        <f ca="1">SQRT($B$9*AVERAGE((Q148:OFFSET(Q148,$B$5-1,0))))</f>
        <v>0.10672816661698732</v>
      </c>
      <c r="S148" s="5">
        <f ca="1">SQRT($B$9*AVERAGE((Q148:OFFSET(Q148,$B$6-1,0))))</f>
        <v>0.10205265363290759</v>
      </c>
      <c r="T148" s="5">
        <f ca="1">SQRT($B$9*AVERAGE((Q148:OFFSET(Q148,$B$7-1,0))))</f>
        <v>9.8901148983289458E-2</v>
      </c>
      <c r="U148" s="5">
        <f ca="1">SQRT($B$9*AVERAGE((Q148:OFFSET(Q148,$B$8-1,0))))</f>
        <v>0.10645812576829888</v>
      </c>
      <c r="V148" s="1"/>
      <c r="W148" s="6">
        <f t="shared" si="18"/>
        <v>5.4033736053752761E-5</v>
      </c>
      <c r="X148" s="6">
        <f ca="1">SQRT($B$9*AVERAGE(W148:OFFSET(W148,$B$5-1,0)))</f>
        <v>0.10385658375662679</v>
      </c>
      <c r="Y148" s="6">
        <f ca="1">SQRT($B$9*AVERAGE(W148:OFFSET(W148,$B$6-1,0)))</f>
        <v>0.10105024720028992</v>
      </c>
      <c r="Z148" s="6">
        <f ca="1">SQRT($B$9*AVERAGE(W148:OFFSET(W148,$B$7-1,0)))</f>
        <v>9.8291093869511112E-2</v>
      </c>
      <c r="AA148" s="6">
        <f ca="1">SQRT($B$9*AVERAGE(W148:OFFSET(W148,$B$8-1,0)))</f>
        <v>0.10720975283313147</v>
      </c>
      <c r="AB148" s="1"/>
      <c r="AC148" s="34">
        <f t="shared" si="20"/>
        <v>4.7736938087447645E-5</v>
      </c>
      <c r="AD148" s="34">
        <f ca="1">SQRT($B$9*SUM(AC148:OFFSET(AC148,$B$5-1,0))/($B$5-1))</f>
        <v>0.1190701697523376</v>
      </c>
      <c r="AE148" s="34">
        <f ca="1">SQRT($B$9*SUM(AC148:OFFSET(AC148,$B$6-1,0))/($B$6-1))</f>
        <v>8.981504632214872E-2</v>
      </c>
      <c r="AF148" s="34">
        <f ca="1">SQRT($B$9*SUM(AC148:OFFSET(AC148,$B$7-1,0))/($B$7-1))</f>
        <v>0.10785751595373276</v>
      </c>
      <c r="AG148" s="34">
        <f ca="1">SQRT($B$9*SUM(AC148:OFFSET(AC148,$B$8-1,0))/($B$8-1))</f>
        <v>0.10284902950624107</v>
      </c>
      <c r="AH148" s="1"/>
      <c r="AI148" s="1">
        <f t="shared" si="21"/>
        <v>6.9091922890774753E-3</v>
      </c>
      <c r="AJ148" s="4">
        <f ca="1">SQRT($B$9)*_xlfn.STDEV.S(AI148:OFFSET(AI148,$B$5-1,0))</f>
        <v>0.10708562175917591</v>
      </c>
      <c r="AK148" s="4">
        <f ca="1">SQRT($B$9)*_xlfn.STDEV.S(AI148:OFFSET(AI148,$B$6-1,0))</f>
        <v>8.6012197068602345E-2</v>
      </c>
      <c r="AL148" s="4">
        <f ca="1">SQRT($B$9)*_xlfn.STDEV.S(AI148:OFFSET(AI148,$B$7-1,0))</f>
        <v>0.10644926905002945</v>
      </c>
      <c r="AM148" s="4">
        <f ca="1">SQRT($B$9)*_xlfn.STDEV.S(AI148:OFFSET(AI148,$B$8-1,0))</f>
        <v>0.10284348753695043</v>
      </c>
    </row>
    <row r="149" spans="5:39" x14ac:dyDescent="0.2">
      <c r="E149" s="42">
        <v>45456</v>
      </c>
      <c r="F149" s="43">
        <v>2.4163545200724315</v>
      </c>
      <c r="G149" s="43">
        <v>2.4163545200724315</v>
      </c>
      <c r="H149" s="43">
        <v>2.3957772917993081</v>
      </c>
      <c r="I149" s="43">
        <v>2.4026363678903495</v>
      </c>
      <c r="K149" s="3">
        <f t="shared" si="19"/>
        <v>7.3141524248608307E-5</v>
      </c>
      <c r="L149" s="3">
        <f ca="1">SQRT(AVERAGE(K149:OFFSET(K149,$B$5-1,0))*$B$9/(4*LN(2)))</f>
        <v>0.10394749695685115</v>
      </c>
      <c r="M149" s="3">
        <f ca="1">SQRT(AVERAGE(K149:OFFSET(K149,$B$6-1,0))*$B$9/(4*LN(2)))</f>
        <v>9.8409101258540993E-2</v>
      </c>
      <c r="N149" s="3">
        <f ca="1">SQRT(AVERAGE(K149:OFFSET(K149,$B$7-1,0))*$B$9/(4*LN(2)))</f>
        <v>9.6333592851410341E-2</v>
      </c>
      <c r="O149" s="3">
        <f ca="1">SQRT(AVERAGE(K149:OFFSET(K149,$B$8-1,0))*$B$9/(4*LN(2)))</f>
        <v>0.10313484758629719</v>
      </c>
      <c r="P149" s="1"/>
      <c r="Q149" s="5">
        <f t="shared" si="17"/>
        <v>2.403536977132136E-5</v>
      </c>
      <c r="R149" s="5">
        <f ca="1">SQRT($B$9*AVERAGE((Q149:OFFSET(Q149,$B$5-1,0))))</f>
        <v>0.10873420208824273</v>
      </c>
      <c r="S149" s="5">
        <f ca="1">SQRT($B$9*AVERAGE((Q149:OFFSET(Q149,$B$6-1,0))))</f>
        <v>0.10350824020661506</v>
      </c>
      <c r="T149" s="5">
        <f ca="1">SQRT($B$9*AVERAGE((Q149:OFFSET(Q149,$B$7-1,0))))</f>
        <v>9.7512512957298375E-2</v>
      </c>
      <c r="U149" s="5">
        <f ca="1">SQRT($B$9*AVERAGE((Q149:OFFSET(Q149,$B$8-1,0))))</f>
        <v>0.10686338938237815</v>
      </c>
      <c r="V149" s="1"/>
      <c r="W149" s="6">
        <f t="shared" si="18"/>
        <v>2.4450076978697618E-5</v>
      </c>
      <c r="X149" s="6">
        <f ca="1">SQRT($B$9*AVERAGE(W149:OFFSET(W149,$B$5-1,0)))</f>
        <v>0.10931523426701144</v>
      </c>
      <c r="Y149" s="6">
        <f ca="1">SQRT($B$9*AVERAGE(W149:OFFSET(W149,$B$6-1,0)))</f>
        <v>0.1034571140035388</v>
      </c>
      <c r="Z149" s="6">
        <f ca="1">SQRT($B$9*AVERAGE(W149:OFFSET(W149,$B$7-1,0)))</f>
        <v>9.734168875445523E-2</v>
      </c>
      <c r="AA149" s="6">
        <f ca="1">SQRT($B$9*AVERAGE(W149:OFFSET(W149,$B$8-1,0)))</f>
        <v>0.1078191380269117</v>
      </c>
      <c r="AB149" s="1"/>
      <c r="AC149" s="34">
        <f t="shared" si="20"/>
        <v>1.6564978862829463E-5</v>
      </c>
      <c r="AD149" s="34">
        <f ca="1">SQRT($B$9*SUM(AC149:OFFSET(AC149,$B$5-1,0))/($B$5-1))</f>
        <v>0.10612999052639699</v>
      </c>
      <c r="AE149" s="34">
        <f ca="1">SQRT($B$9*SUM(AC149:OFFSET(AC149,$B$6-1,0))/($B$6-1))</f>
        <v>8.9496086499265104E-2</v>
      </c>
      <c r="AF149" s="34">
        <f ca="1">SQRT($B$9*SUM(AC149:OFFSET(AC149,$B$7-1,0))/($B$7-1))</f>
        <v>0.10592953153438799</v>
      </c>
      <c r="AG149" s="34">
        <f ca="1">SQRT($B$9*SUM(AC149:OFFSET(AC149,$B$8-1,0))/($B$8-1))</f>
        <v>0.10200174473242977</v>
      </c>
      <c r="AH149" s="1"/>
      <c r="AI149" s="1">
        <f t="shared" si="21"/>
        <v>-4.0700096882967567E-3</v>
      </c>
      <c r="AJ149" s="4">
        <f ca="1">SQRT($B$9)*_xlfn.STDEV.S(AI149:OFFSET(AI149,$B$5-1,0))</f>
        <v>7.5243439489561775E-2</v>
      </c>
      <c r="AK149" s="4">
        <f ca="1">SQRT($B$9)*_xlfn.STDEV.S(AI149:OFFSET(AI149,$B$6-1,0))</f>
        <v>7.5277059998252058E-2</v>
      </c>
      <c r="AL149" s="4">
        <f ca="1">SQRT($B$9)*_xlfn.STDEV.S(AI149:OFFSET(AI149,$B$7-1,0))</f>
        <v>0.10407566998080545</v>
      </c>
      <c r="AM149" s="4">
        <f ca="1">SQRT($B$9)*_xlfn.STDEV.S(AI149:OFFSET(AI149,$B$8-1,0))</f>
        <v>0.10199225850080025</v>
      </c>
    </row>
    <row r="150" spans="5:39" x14ac:dyDescent="0.2">
      <c r="E150" s="42">
        <v>45455</v>
      </c>
      <c r="F150" s="43">
        <v>2.411455180007402</v>
      </c>
      <c r="G150" s="43">
        <v>2.4173343880854374</v>
      </c>
      <c r="H150" s="43">
        <v>2.403616235903355</v>
      </c>
      <c r="I150" s="43">
        <v>2.412435048020408</v>
      </c>
      <c r="K150" s="3">
        <f t="shared" si="19"/>
        <v>3.2388303592237106E-5</v>
      </c>
      <c r="L150" s="3">
        <f ca="1">SQRT(AVERAGE(K150:OFFSET(K150,$B$5-1,0))*$B$9/(4*LN(2)))</f>
        <v>0.10071181670180269</v>
      </c>
      <c r="M150" s="3">
        <f ca="1">SQRT(AVERAGE(K150:OFFSET(K150,$B$6-1,0))*$B$9/(4*LN(2)))</f>
        <v>9.9153108177152352E-2</v>
      </c>
      <c r="N150" s="3">
        <f ca="1">SQRT(AVERAGE(K150:OFFSET(K150,$B$7-1,0))*$B$9/(4*LN(2)))</f>
        <v>9.7281073186011965E-2</v>
      </c>
      <c r="O150" s="3">
        <f ca="1">SQRT(AVERAGE(K150:OFFSET(K150,$B$8-1,0))*$B$9/(4*LN(2)))</f>
        <v>0.10359782987913468</v>
      </c>
      <c r="P150" s="1"/>
      <c r="Q150" s="5">
        <f t="shared" si="17"/>
        <v>1.6192261496657048E-5</v>
      </c>
      <c r="R150" s="5">
        <f ca="1">SQRT($B$9*AVERAGE((Q150:OFFSET(Q150,$B$5-1,0))))</f>
        <v>0.10591197867034297</v>
      </c>
      <c r="S150" s="5">
        <f ca="1">SQRT($B$9*AVERAGE((Q150:OFFSET(Q150,$B$6-1,0))))</f>
        <v>0.1059604518948441</v>
      </c>
      <c r="T150" s="5">
        <f ca="1">SQRT($B$9*AVERAGE((Q150:OFFSET(Q150,$B$7-1,0))))</f>
        <v>9.8615454336445169E-2</v>
      </c>
      <c r="U150" s="5">
        <f ca="1">SQRT($B$9*AVERAGE((Q150:OFFSET(Q150,$B$8-1,0))))</f>
        <v>0.1074159777280987</v>
      </c>
      <c r="V150" s="1"/>
      <c r="W150" s="6">
        <f t="shared" si="18"/>
        <v>1.6864635121595127E-5</v>
      </c>
      <c r="X150" s="6">
        <f ca="1">SQRT($B$9*AVERAGE(W150:OFFSET(W150,$B$5-1,0)))</f>
        <v>0.10616740892987039</v>
      </c>
      <c r="Y150" s="6">
        <f ca="1">SQRT($B$9*AVERAGE(W150:OFFSET(W150,$B$6-1,0)))</f>
        <v>0.10897046781987485</v>
      </c>
      <c r="Z150" s="6">
        <f ca="1">SQRT($B$9*AVERAGE(W150:OFFSET(W150,$B$7-1,0)))</f>
        <v>9.814453102782332E-2</v>
      </c>
      <c r="AA150" s="6">
        <f ca="1">SQRT($B$9*AVERAGE(W150:OFFSET(W150,$B$8-1,0)))</f>
        <v>0.10845555089268584</v>
      </c>
      <c r="AB150" s="1"/>
      <c r="AC150" s="34">
        <f t="shared" si="20"/>
        <v>1.4829874766237391E-6</v>
      </c>
      <c r="AD150" s="34">
        <f ca="1">SQRT($B$9*SUM(AC150:OFFSET(AC150,$B$5-1,0))/($B$5-1))</f>
        <v>0.10688720867964936</v>
      </c>
      <c r="AE150" s="34">
        <f ca="1">SQRT($B$9*SUM(AC150:OFFSET(AC150,$B$6-1,0))/($B$6-1))</f>
        <v>8.696485145434045E-2</v>
      </c>
      <c r="AF150" s="34">
        <f ca="1">SQRT($B$9*SUM(AC150:OFFSET(AC150,$B$7-1,0))/($B$7-1))</f>
        <v>0.10800149020218022</v>
      </c>
      <c r="AG150" s="34">
        <f ca="1">SQRT($B$9*SUM(AC150:OFFSET(AC150,$B$8-1,0))/($B$8-1))</f>
        <v>0.10298898423795308</v>
      </c>
      <c r="AH150" s="1"/>
      <c r="AI150" s="1">
        <f t="shared" si="21"/>
        <v>-1.2177797323915927E-3</v>
      </c>
      <c r="AJ150" s="4">
        <f ca="1">SQRT($B$9)*_xlfn.STDEV.S(AI150:OFFSET(AI150,$B$5-1,0))</f>
        <v>7.5222562633212697E-2</v>
      </c>
      <c r="AK150" s="4">
        <f ca="1">SQRT($B$9)*_xlfn.STDEV.S(AI150:OFFSET(AI150,$B$6-1,0))</f>
        <v>7.6674772791372553E-2</v>
      </c>
      <c r="AL150" s="4">
        <f ca="1">SQRT($B$9)*_xlfn.STDEV.S(AI150:OFFSET(AI150,$B$7-1,0))</f>
        <v>0.10569648227095789</v>
      </c>
      <c r="AM150" s="4">
        <f ca="1">SQRT($B$9)*_xlfn.STDEV.S(AI150:OFFSET(AI150,$B$8-1,0))</f>
        <v>0.10295992786366211</v>
      </c>
    </row>
    <row r="151" spans="5:39" x14ac:dyDescent="0.2">
      <c r="E151" s="42">
        <v>45454</v>
      </c>
      <c r="F151" s="43">
        <v>2.4379116163585599</v>
      </c>
      <c r="G151" s="43">
        <v>2.4398713523845719</v>
      </c>
      <c r="H151" s="43">
        <v>2.406555839942373</v>
      </c>
      <c r="I151" s="43">
        <v>2.4153746520594255</v>
      </c>
      <c r="K151" s="3">
        <f t="shared" si="19"/>
        <v>1.8902675696180467E-4</v>
      </c>
      <c r="L151" s="3">
        <f ca="1">SQRT(AVERAGE(K151:OFFSET(K151,$B$5-1,0))*$B$9/(4*LN(2)))</f>
        <v>0.10708322635597282</v>
      </c>
      <c r="M151" s="3">
        <f ca="1">SQRT(AVERAGE(K151:OFFSET(K151,$B$6-1,0))*$B$9/(4*LN(2)))</f>
        <v>0.10021828806074956</v>
      </c>
      <c r="N151" s="3">
        <f ca="1">SQRT(AVERAGE(K151:OFFSET(K151,$B$7-1,0))*$B$9/(4*LN(2)))</f>
        <v>9.7820283187408527E-2</v>
      </c>
      <c r="O151" s="3">
        <f ca="1">SQRT(AVERAGE(K151:OFFSET(K151,$B$8-1,0))*$B$9/(4*LN(2)))</f>
        <v>0.10392511174621265</v>
      </c>
      <c r="P151" s="1"/>
      <c r="Q151" s="5">
        <f t="shared" si="17"/>
        <v>6.101915009439198E-5</v>
      </c>
      <c r="R151" s="5">
        <f ca="1">SQRT($B$9*AVERAGE((Q151:OFFSET(Q151,$B$5-1,0))))</f>
        <v>0.1108111677988272</v>
      </c>
      <c r="S151" s="5">
        <f ca="1">SQRT($B$9*AVERAGE((Q151:OFFSET(Q151,$B$6-1,0))))</f>
        <v>0.10700912665557122</v>
      </c>
      <c r="T151" s="5">
        <f ca="1">SQRT($B$9*AVERAGE((Q151:OFFSET(Q151,$B$7-1,0))))</f>
        <v>9.9116278790977425E-2</v>
      </c>
      <c r="U151" s="5">
        <f ca="1">SQRT($B$9*AVERAGE((Q151:OFFSET(Q151,$B$8-1,0))))</f>
        <v>0.10781230877196014</v>
      </c>
      <c r="V151" s="1"/>
      <c r="W151" s="6">
        <f t="shared" si="18"/>
        <v>5.5459186703559973E-5</v>
      </c>
      <c r="X151" s="6">
        <f ca="1">SQRT($B$9*AVERAGE(W151:OFFSET(W151,$B$5-1,0)))</f>
        <v>0.11017208251044561</v>
      </c>
      <c r="Y151" s="6">
        <f ca="1">SQRT($B$9*AVERAGE(W151:OFFSET(W151,$B$6-1,0)))</f>
        <v>0.10994891198809616</v>
      </c>
      <c r="Z151" s="6">
        <f ca="1">SQRT($B$9*AVERAGE(W151:OFFSET(W151,$B$7-1,0)))</f>
        <v>9.8539253128079041E-2</v>
      </c>
      <c r="AA151" s="6">
        <f ca="1">SQRT($B$9*AVERAGE(W151:OFFSET(W151,$B$8-1,0)))</f>
        <v>0.1088271960842391</v>
      </c>
      <c r="AB151" s="1"/>
      <c r="AC151" s="34">
        <f t="shared" si="20"/>
        <v>1.4633551482953064E-4</v>
      </c>
      <c r="AD151" s="34">
        <f ca="1">SQRT($B$9*SUM(AC151:OFFSET(AC151,$B$5-1,0))/($B$5-1))</f>
        <v>0.11506996504905879</v>
      </c>
      <c r="AE151" s="34">
        <f ca="1">SQRT($B$9*SUM(AC151:OFFSET(AC151,$B$6-1,0))/($B$6-1))</f>
        <v>8.7927917782272172E-2</v>
      </c>
      <c r="AF151" s="34">
        <f ca="1">SQRT($B$9*SUM(AC151:OFFSET(AC151,$B$7-1,0))/($B$7-1))</f>
        <v>0.10866309587874577</v>
      </c>
      <c r="AG151" s="34">
        <f ca="1">SQRT($B$9*SUM(AC151:OFFSET(AC151,$B$8-1,0))/($B$8-1))</f>
        <v>0.10307686237982779</v>
      </c>
      <c r="AH151" s="1"/>
      <c r="AI151" s="1">
        <f t="shared" si="21"/>
        <v>-1.2096921708828682E-2</v>
      </c>
      <c r="AJ151" s="4">
        <f ca="1">SQRT($B$9)*_xlfn.STDEV.S(AI151:OFFSET(AI151,$B$5-1,0))</f>
        <v>0.102576721245787</v>
      </c>
      <c r="AK151" s="4">
        <f ca="1">SQRT($B$9)*_xlfn.STDEV.S(AI151:OFFSET(AI151,$B$6-1,0))</f>
        <v>7.6359533174145025E-2</v>
      </c>
      <c r="AL151" s="4">
        <f ca="1">SQRT($B$9)*_xlfn.STDEV.S(AI151:OFFSET(AI151,$B$7-1,0))</f>
        <v>0.10596450976053966</v>
      </c>
      <c r="AM151" s="4">
        <f ca="1">SQRT($B$9)*_xlfn.STDEV.S(AI151:OFFSET(AI151,$B$8-1,0))</f>
        <v>0.10306609386568842</v>
      </c>
    </row>
    <row r="152" spans="5:39" x14ac:dyDescent="0.2">
      <c r="E152" s="42">
        <v>45450</v>
      </c>
      <c r="F152" s="43">
        <v>2.4614284486707008</v>
      </c>
      <c r="G152" s="43">
        <v>2.4653479207227238</v>
      </c>
      <c r="H152" s="43">
        <v>2.4330122762935309</v>
      </c>
      <c r="I152" s="43">
        <v>2.4447706924496013</v>
      </c>
      <c r="K152" s="3">
        <f t="shared" si="19"/>
        <v>1.7431478106313614E-4</v>
      </c>
      <c r="L152" s="3">
        <f ca="1">SQRT(AVERAGE(K152:OFFSET(K152,$B$5-1,0))*$B$9/(4*LN(2)))</f>
        <v>9.6822854431851221E-2</v>
      </c>
      <c r="M152" s="3">
        <f ca="1">SQRT(AVERAGE(K152:OFFSET(K152,$B$6-1,0))*$B$9/(4*LN(2)))</f>
        <v>9.4793494696418373E-2</v>
      </c>
      <c r="N152" s="3">
        <f ca="1">SQRT(AVERAGE(K152:OFFSET(K152,$B$7-1,0))*$B$9/(4*LN(2)))</f>
        <v>9.6101278526764949E-2</v>
      </c>
      <c r="O152" s="3">
        <f ca="1">SQRT(AVERAGE(K152:OFFSET(K152,$B$8-1,0))*$B$9/(4*LN(2)))</f>
        <v>0.10356545029616704</v>
      </c>
      <c r="P152" s="1"/>
      <c r="Q152" s="5">
        <f t="shared" si="17"/>
        <v>6.9419355532527227E-5</v>
      </c>
      <c r="R152" s="5">
        <f ca="1">SQRT($B$9*AVERAGE((Q152:OFFSET(Q152,$B$5-1,0))))</f>
        <v>0.10447199841677811</v>
      </c>
      <c r="S152" s="5">
        <f ca="1">SQRT($B$9*AVERAGE((Q152:OFFSET(Q152,$B$6-1,0))))</f>
        <v>0.10129998532157951</v>
      </c>
      <c r="T152" s="5">
        <f ca="1">SQRT($B$9*AVERAGE((Q152:OFFSET(Q152,$B$7-1,0))))</f>
        <v>9.8776588458969763E-2</v>
      </c>
      <c r="U152" s="5">
        <f ca="1">SQRT($B$9*AVERAGE((Q152:OFFSET(Q152,$B$8-1,0))))</f>
        <v>0.1075322925879338</v>
      </c>
      <c r="V152" s="1"/>
      <c r="W152" s="6">
        <f t="shared" si="18"/>
        <v>6.9318691460705441E-5</v>
      </c>
      <c r="X152" s="6">
        <f ca="1">SQRT($B$9*AVERAGE(W152:OFFSET(W152,$B$5-1,0)))</f>
        <v>0.10494865254819194</v>
      </c>
      <c r="Y152" s="6">
        <f ca="1">SQRT($B$9*AVERAGE(W152:OFFSET(W152,$B$6-1,0)))</f>
        <v>0.10436054508478822</v>
      </c>
      <c r="Z152" s="6">
        <f ca="1">SQRT($B$9*AVERAGE(W152:OFFSET(W152,$B$7-1,0)))</f>
        <v>9.8815654180458998E-2</v>
      </c>
      <c r="AA152" s="6">
        <f ca="1">SQRT($B$9*AVERAGE(W152:OFFSET(W152,$B$8-1,0)))</f>
        <v>0.10862891338599273</v>
      </c>
      <c r="AB152" s="1"/>
      <c r="AC152" s="34">
        <f t="shared" si="20"/>
        <v>1.9352320741127566E-5</v>
      </c>
      <c r="AD152" s="34">
        <f ca="1">SQRT($B$9*SUM(AC152:OFFSET(AC152,$B$5-1,0))/($B$5-1))</f>
        <v>6.6077313238471561E-2</v>
      </c>
      <c r="AE152" s="34">
        <f ca="1">SQRT($B$9*SUM(AC152:OFFSET(AC152,$B$6-1,0))/($B$6-1))</f>
        <v>7.7565028484882545E-2</v>
      </c>
      <c r="AF152" s="34">
        <f ca="1">SQRT($B$9*SUM(AC152:OFFSET(AC152,$B$7-1,0))/($B$7-1))</f>
        <v>9.9692915608499147E-2</v>
      </c>
      <c r="AG152" s="34">
        <f ca="1">SQRT($B$9*SUM(AC152:OFFSET(AC152,$B$8-1,0))/($B$8-1))</f>
        <v>0.10130641456839334</v>
      </c>
      <c r="AH152" s="1"/>
      <c r="AI152" s="1">
        <f t="shared" si="21"/>
        <v>-4.3991272703943866E-3</v>
      </c>
      <c r="AJ152" s="4">
        <f ca="1">SQRT($B$9)*_xlfn.STDEV.S(AI152:OFFSET(AI152,$B$5-1,0))</f>
        <v>6.5839015117771293E-2</v>
      </c>
      <c r="AK152" s="4">
        <f ca="1">SQRT($B$9)*_xlfn.STDEV.S(AI152:OFFSET(AI152,$B$6-1,0))</f>
        <v>7.7089640518469768E-2</v>
      </c>
      <c r="AL152" s="4">
        <f ca="1">SQRT($B$9)*_xlfn.STDEV.S(AI152:OFFSET(AI152,$B$7-1,0))</f>
        <v>9.8511721971684271E-2</v>
      </c>
      <c r="AM152" s="4">
        <f ca="1">SQRT($B$9)*_xlfn.STDEV.S(AI152:OFFSET(AI152,$B$8-1,0))</f>
        <v>0.10123821756485495</v>
      </c>
    </row>
    <row r="153" spans="5:39" x14ac:dyDescent="0.2">
      <c r="E153" s="42">
        <v>45449</v>
      </c>
      <c r="F153" s="43">
        <v>2.4594687126446888</v>
      </c>
      <c r="G153" s="43">
        <v>2.4771063368787942</v>
      </c>
      <c r="H153" s="43">
        <v>2.4477102964886188</v>
      </c>
      <c r="I153" s="43">
        <v>2.4555492405926653</v>
      </c>
      <c r="K153" s="3">
        <f t="shared" si="19"/>
        <v>1.4251738594549954E-4</v>
      </c>
      <c r="L153" s="3">
        <f ca="1">SQRT(AVERAGE(K153:OFFSET(K153,$B$5-1,0))*$B$9/(4*LN(2)))</f>
        <v>8.9710493534653199E-2</v>
      </c>
      <c r="M153" s="3">
        <f ca="1">SQRT(AVERAGE(K153:OFFSET(K153,$B$6-1,0))*$B$9/(4*LN(2)))</f>
        <v>9.4645890347206274E-2</v>
      </c>
      <c r="N153" s="3">
        <f ca="1">SQRT(AVERAGE(K153:OFFSET(K153,$B$7-1,0))*$B$9/(4*LN(2)))</f>
        <v>9.4308847639397619E-2</v>
      </c>
      <c r="O153" s="3">
        <f ca="1">SQRT(AVERAGE(K153:OFFSET(K153,$B$8-1,0))*$B$9/(4*LN(2)))</f>
        <v>0.10312194107194983</v>
      </c>
      <c r="P153" s="1"/>
      <c r="Q153" s="5">
        <f t="shared" si="17"/>
        <v>7.0622163181976086E-5</v>
      </c>
      <c r="R153" s="5">
        <f ca="1">SQRT($B$9*AVERAGE((Q153:OFFSET(Q153,$B$5-1,0))))</f>
        <v>9.7152388944446472E-2</v>
      </c>
      <c r="S153" s="5">
        <f ca="1">SQRT($B$9*AVERAGE((Q153:OFFSET(Q153,$B$6-1,0))))</f>
        <v>9.9987518038420195E-2</v>
      </c>
      <c r="T153" s="5">
        <f ca="1">SQRT($B$9*AVERAGE((Q153:OFFSET(Q153,$B$7-1,0))))</f>
        <v>9.748760522388715E-2</v>
      </c>
      <c r="U153" s="5">
        <f ca="1">SQRT($B$9*AVERAGE((Q153:OFFSET(Q153,$B$8-1,0))))</f>
        <v>0.1072830378908006</v>
      </c>
      <c r="V153" s="1"/>
      <c r="W153" s="6">
        <f t="shared" si="18"/>
        <v>7.7781296324249812E-5</v>
      </c>
      <c r="X153" s="6">
        <f ca="1">SQRT($B$9*AVERAGE(W153:OFFSET(W153,$B$5-1,0)))</f>
        <v>9.8163714930121534E-2</v>
      </c>
      <c r="Y153" s="6">
        <f ca="1">SQRT($B$9*AVERAGE(W153:OFFSET(W153,$B$6-1,0)))</f>
        <v>0.10275762779338614</v>
      </c>
      <c r="Z153" s="6">
        <f ca="1">SQRT($B$9*AVERAGE(W153:OFFSET(W153,$B$7-1,0)))</f>
        <v>9.8005519234953806E-2</v>
      </c>
      <c r="AA153" s="6">
        <f ca="1">SQRT($B$9*AVERAGE(W153:OFFSET(W153,$B$8-1,0)))</f>
        <v>0.10848043546872811</v>
      </c>
      <c r="AB153" s="1"/>
      <c r="AC153" s="34">
        <f t="shared" si="20"/>
        <v>1.592983206333053E-7</v>
      </c>
      <c r="AD153" s="34">
        <f ca="1">SQRT($B$9*SUM(AC153:OFFSET(AC153,$B$5-1,0))/($B$5-1))</f>
        <v>6.3027497200121921E-2</v>
      </c>
      <c r="AE153" s="34">
        <f ca="1">SQRT($B$9*SUM(AC153:OFFSET(AC153,$B$6-1,0))/($B$6-1))</f>
        <v>9.5328731773956232E-2</v>
      </c>
      <c r="AF153" s="34">
        <f ca="1">SQRT($B$9*SUM(AC153:OFFSET(AC153,$B$7-1,0))/($B$7-1))</f>
        <v>9.8929817316606272E-2</v>
      </c>
      <c r="AG153" s="34">
        <f ca="1">SQRT($B$9*SUM(AC153:OFFSET(AC153,$B$8-1,0))/($B$8-1))</f>
        <v>0.10090901000808628</v>
      </c>
      <c r="AH153" s="1"/>
      <c r="AI153" s="1">
        <f t="shared" si="21"/>
        <v>3.9912193704844801E-4</v>
      </c>
      <c r="AJ153" s="4">
        <f ca="1">SQRT($B$9)*_xlfn.STDEV.S(AI153:OFFSET(AI153,$B$5-1,0))</f>
        <v>6.2965618576915655E-2</v>
      </c>
      <c r="AK153" s="4">
        <f ca="1">SQRT($B$9)*_xlfn.STDEV.S(AI153:OFFSET(AI153,$B$6-1,0))</f>
        <v>9.3145560353329049E-2</v>
      </c>
      <c r="AL153" s="4">
        <f ca="1">SQRT($B$9)*_xlfn.STDEV.S(AI153:OFFSET(AI153,$B$7-1,0))</f>
        <v>9.8467277846306017E-2</v>
      </c>
      <c r="AM153" s="4">
        <f ca="1">SQRT($B$9)*_xlfn.STDEV.S(AI153:OFFSET(AI153,$B$8-1,0))</f>
        <v>0.10079123762617899</v>
      </c>
    </row>
    <row r="154" spans="5:39" x14ac:dyDescent="0.2">
      <c r="E154" s="42">
        <v>45448</v>
      </c>
      <c r="F154" s="43">
        <v>2.4643680527097183</v>
      </c>
      <c r="G154" s="43">
        <v>2.4682875247617417</v>
      </c>
      <c r="H154" s="43">
        <v>2.4535895045666538</v>
      </c>
      <c r="I154" s="43">
        <v>2.4545693725796593</v>
      </c>
      <c r="K154" s="3">
        <f t="shared" si="19"/>
        <v>3.5671283416106526E-5</v>
      </c>
      <c r="L154" s="3">
        <f ca="1">SQRT(AVERAGE(K154:OFFSET(K154,$B$5-1,0))*$B$9/(4*LN(2)))</f>
        <v>9.2539830869917697E-2</v>
      </c>
      <c r="M154" s="3">
        <f ca="1">SQRT(AVERAGE(K154:OFFSET(K154,$B$6-1,0))*$B$9/(4*LN(2)))</f>
        <v>9.3242932364643108E-2</v>
      </c>
      <c r="N154" s="3">
        <f ca="1">SQRT(AVERAGE(K154:OFFSET(K154,$B$7-1,0))*$B$9/(4*LN(2)))</f>
        <v>9.2728466235435403E-2</v>
      </c>
      <c r="O154" s="3">
        <f ca="1">SQRT(AVERAGE(K154:OFFSET(K154,$B$8-1,0))*$B$9/(4*LN(2)))</f>
        <v>0.1031610970668093</v>
      </c>
      <c r="P154" s="1"/>
      <c r="Q154" s="5">
        <f t="shared" si="17"/>
        <v>1.1672523283573836E-5</v>
      </c>
      <c r="R154" s="5">
        <f ca="1">SQRT($B$9*AVERAGE((Q154:OFFSET(Q154,$B$5-1,0))))</f>
        <v>9.8004004395605346E-2</v>
      </c>
      <c r="S154" s="5">
        <f ca="1">SQRT($B$9*AVERAGE((Q154:OFFSET(Q154,$B$6-1,0))))</f>
        <v>9.577090372137409E-2</v>
      </c>
      <c r="T154" s="5">
        <f ca="1">SQRT($B$9*AVERAGE((Q154:OFFSET(Q154,$B$7-1,0))))</f>
        <v>9.4266530418645564E-2</v>
      </c>
      <c r="U154" s="5">
        <f ca="1">SQRT($B$9*AVERAGE((Q154:OFFSET(Q154,$B$8-1,0))))</f>
        <v>0.10730827324007654</v>
      </c>
      <c r="V154" s="1"/>
      <c r="W154" s="6">
        <f t="shared" si="18"/>
        <v>1.0607184652794262E-5</v>
      </c>
      <c r="X154" s="6">
        <f ca="1">SQRT($B$9*AVERAGE(W154:OFFSET(W154,$B$5-1,0)))</f>
        <v>9.7246739960940895E-2</v>
      </c>
      <c r="Y154" s="6">
        <f ca="1">SQRT($B$9*AVERAGE(W154:OFFSET(W154,$B$6-1,0)))</f>
        <v>9.7312091621218968E-2</v>
      </c>
      <c r="Z154" s="6">
        <f ca="1">SQRT($B$9*AVERAGE(W154:OFFSET(W154,$B$7-1,0)))</f>
        <v>9.4138592926888032E-2</v>
      </c>
      <c r="AA154" s="6">
        <f ca="1">SQRT($B$9*AVERAGE(W154:OFFSET(W154,$B$8-1,0)))</f>
        <v>0.10840757843669507</v>
      </c>
      <c r="AB154" s="1"/>
      <c r="AC154" s="34">
        <f t="shared" si="20"/>
        <v>1.9198456253748607E-5</v>
      </c>
      <c r="AD154" s="34">
        <f ca="1">SQRT($B$9*SUM(AC154:OFFSET(AC154,$B$5-1,0))/($B$5-1))</f>
        <v>8.2206517277559871E-2</v>
      </c>
      <c r="AE154" s="34">
        <f ca="1">SQRT($B$9*SUM(AC154:OFFSET(AC154,$B$6-1,0))/($B$6-1))</f>
        <v>0.10914807521919438</v>
      </c>
      <c r="AF154" s="34">
        <f ca="1">SQRT($B$9*SUM(AC154:OFFSET(AC154,$B$7-1,0))/($B$7-1))</f>
        <v>0.10149675548770243</v>
      </c>
      <c r="AG154" s="34">
        <f ca="1">SQRT($B$9*SUM(AC154:OFFSET(AC154,$B$8-1,0))/($B$8-1))</f>
        <v>0.10112240366237443</v>
      </c>
      <c r="AH154" s="1"/>
      <c r="AI154" s="1">
        <f t="shared" si="21"/>
        <v>-4.3816043013659512E-3</v>
      </c>
      <c r="AJ154" s="4">
        <f ca="1">SQRT($B$9)*_xlfn.STDEV.S(AI154:OFFSET(AI154,$B$5-1,0))</f>
        <v>7.735132395894273E-2</v>
      </c>
      <c r="AK154" s="4">
        <f ca="1">SQRT($B$9)*_xlfn.STDEV.S(AI154:OFFSET(AI154,$B$6-1,0))</f>
        <v>0.1024061719821151</v>
      </c>
      <c r="AL154" s="4">
        <f ca="1">SQRT($B$9)*_xlfn.STDEV.S(AI154:OFFSET(AI154,$B$7-1,0))</f>
        <v>0.10138348528092836</v>
      </c>
      <c r="AM154" s="4">
        <f ca="1">SQRT($B$9)*_xlfn.STDEV.S(AI154:OFFSET(AI154,$B$8-1,0))</f>
        <v>0.10104659989321171</v>
      </c>
    </row>
    <row r="155" spans="5:39" x14ac:dyDescent="0.2">
      <c r="E155" s="42">
        <v>45447</v>
      </c>
      <c r="F155" s="43">
        <v>2.4496700325146303</v>
      </c>
      <c r="G155" s="43">
        <v>2.4722069968137652</v>
      </c>
      <c r="H155" s="43">
        <v>2.4467304284756128</v>
      </c>
      <c r="I155" s="43">
        <v>2.4653479207227238</v>
      </c>
      <c r="K155" s="3">
        <f t="shared" si="19"/>
        <v>1.0730180304580944E-4</v>
      </c>
      <c r="L155" s="3">
        <f ca="1">SQRT(AVERAGE(K155:OFFSET(K155,$B$5-1,0))*$B$9/(4*LN(2)))</f>
        <v>9.7569501889692212E-2</v>
      </c>
      <c r="M155" s="3">
        <f ca="1">SQRT(AVERAGE(K155:OFFSET(K155,$B$6-1,0))*$B$9/(4*LN(2)))</f>
        <v>9.3177566000225684E-2</v>
      </c>
      <c r="N155" s="3">
        <f ca="1">SQRT(AVERAGE(K155:OFFSET(K155,$B$7-1,0))*$B$9/(4*LN(2)))</f>
        <v>9.2610964220835548E-2</v>
      </c>
      <c r="O155" s="3">
        <f ca="1">SQRT(AVERAGE(K155:OFFSET(K155,$B$8-1,0))*$B$9/(4*LN(2)))</f>
        <v>0.10328365012273369</v>
      </c>
      <c r="P155" s="1"/>
      <c r="Q155" s="5">
        <f t="shared" si="17"/>
        <v>3.7860989722629617E-5</v>
      </c>
      <c r="R155" s="5">
        <f ca="1">SQRT($B$9*AVERAGE((Q155:OFFSET(Q155,$B$5-1,0))))</f>
        <v>0.10600890295466674</v>
      </c>
      <c r="S155" s="5">
        <f ca="1">SQRT($B$9*AVERAGE((Q155:OFFSET(Q155,$B$6-1,0))))</f>
        <v>9.6285513877999121E-2</v>
      </c>
      <c r="T155" s="5">
        <f ca="1">SQRT($B$9*AVERAGE((Q155:OFFSET(Q155,$B$7-1,0))))</f>
        <v>9.4025819195574845E-2</v>
      </c>
      <c r="U155" s="5">
        <f ca="1">SQRT($B$9*AVERAGE((Q155:OFFSET(Q155,$B$8-1,0))))</f>
        <v>0.10746929366799293</v>
      </c>
      <c r="V155" s="1"/>
      <c r="W155" s="6">
        <f t="shared" si="18"/>
        <v>3.4545636056413629E-5</v>
      </c>
      <c r="X155" s="6">
        <f ca="1">SQRT($B$9*AVERAGE(W155:OFFSET(W155,$B$5-1,0)))</f>
        <v>0.11170320942068956</v>
      </c>
      <c r="Y155" s="6">
        <f ca="1">SQRT($B$9*AVERAGE(W155:OFFSET(W155,$B$6-1,0)))</f>
        <v>9.7930902021761995E-2</v>
      </c>
      <c r="Z155" s="6">
        <f ca="1">SQRT($B$9*AVERAGE(W155:OFFSET(W155,$B$7-1,0)))</f>
        <v>9.3836079815045839E-2</v>
      </c>
      <c r="AA155" s="6">
        <f ca="1">SQRT($B$9*AVERAGE(W155:OFFSET(W155,$B$8-1,0)))</f>
        <v>0.10860627335041724</v>
      </c>
      <c r="AB155" s="1"/>
      <c r="AC155" s="34">
        <f t="shared" si="20"/>
        <v>3.1135583020537216E-5</v>
      </c>
      <c r="AD155" s="34">
        <f ca="1">SQRT($B$9*SUM(AC155:OFFSET(AC155,$B$5-1,0))/($B$5-1))</f>
        <v>7.4777113776495555E-2</v>
      </c>
      <c r="AE155" s="34">
        <f ca="1">SQRT($B$9*SUM(AC155:OFFSET(AC155,$B$6-1,0))/($B$6-1))</f>
        <v>0.10674653794001086</v>
      </c>
      <c r="AF155" s="34">
        <f ca="1">SQRT($B$9*SUM(AC155:OFFSET(AC155,$B$7-1,0))/($B$7-1))</f>
        <v>0.10250950670367799</v>
      </c>
      <c r="AG155" s="34">
        <f ca="1">SQRT($B$9*SUM(AC155:OFFSET(AC155,$B$8-1,0))/($B$8-1))</f>
        <v>0.10129476556198767</v>
      </c>
      <c r="AH155" s="1"/>
      <c r="AI155" s="1">
        <f t="shared" si="21"/>
        <v>5.5799267934747328E-3</v>
      </c>
      <c r="AJ155" s="4">
        <f ca="1">SQRT($B$9)*_xlfn.STDEV.S(AI155:OFFSET(AI155,$B$5-1,0))</f>
        <v>7.3947006344075056E-2</v>
      </c>
      <c r="AK155" s="4">
        <f ca="1">SQRT($B$9)*_xlfn.STDEV.S(AI155:OFFSET(AI155,$B$6-1,0))</f>
        <v>0.10247553274078441</v>
      </c>
      <c r="AL155" s="4">
        <f ca="1">SQRT($B$9)*_xlfn.STDEV.S(AI155:OFFSET(AI155,$B$7-1,0))</f>
        <v>0.10233135809286133</v>
      </c>
      <c r="AM155" s="4">
        <f ca="1">SQRT($B$9)*_xlfn.STDEV.S(AI155:OFFSET(AI155,$B$8-1,0))</f>
        <v>0.10122770283709112</v>
      </c>
    </row>
    <row r="156" spans="5:39" x14ac:dyDescent="0.2">
      <c r="E156" s="42">
        <v>45446</v>
      </c>
      <c r="F156" s="43">
        <v>2.4457505604626069</v>
      </c>
      <c r="G156" s="43">
        <v>2.4584888446316828</v>
      </c>
      <c r="H156" s="43">
        <v>2.4379116163585599</v>
      </c>
      <c r="I156" s="43">
        <v>2.4516297685406419</v>
      </c>
      <c r="K156" s="3">
        <f t="shared" si="19"/>
        <v>7.0645580057150355E-5</v>
      </c>
      <c r="L156" s="3">
        <f ca="1">SQRT(AVERAGE(K156:OFFSET(K156,$B$5-1,0))*$B$9/(4*LN(2)))</f>
        <v>9.2847149427703224E-2</v>
      </c>
      <c r="M156" s="3">
        <f ca="1">SQRT(AVERAGE(K156:OFFSET(K156,$B$6-1,0))*$B$9/(4*LN(2)))</f>
        <v>8.9652778137578645E-2</v>
      </c>
      <c r="N156" s="3">
        <f ca="1">SQRT(AVERAGE(K156:OFFSET(K156,$B$7-1,0))*$B$9/(4*LN(2)))</f>
        <v>9.0762811297622217E-2</v>
      </c>
      <c r="O156" s="3">
        <f ca="1">SQRT(AVERAGE(K156:OFFSET(K156,$B$8-1,0))*$B$9/(4*LN(2)))</f>
        <v>0.10520868856124502</v>
      </c>
      <c r="P156" s="1"/>
      <c r="Q156" s="5">
        <f t="shared" si="17"/>
        <v>3.3167793854707302E-5</v>
      </c>
      <c r="R156" s="5">
        <f ca="1">SQRT($B$9*AVERAGE((Q156:OFFSET(Q156,$B$5-1,0))))</f>
        <v>0.10306692712134348</v>
      </c>
      <c r="S156" s="5">
        <f ca="1">SQRT($B$9*AVERAGE((Q156:OFFSET(Q156,$B$6-1,0))))</f>
        <v>9.3634320894192297E-2</v>
      </c>
      <c r="T156" s="5">
        <f ca="1">SQRT($B$9*AVERAGE((Q156:OFFSET(Q156,$B$7-1,0))))</f>
        <v>9.2401833668757982E-2</v>
      </c>
      <c r="U156" s="5">
        <f ca="1">SQRT($B$9*AVERAGE((Q156:OFFSET(Q156,$B$8-1,0))))</f>
        <v>0.10849218617640534</v>
      </c>
      <c r="V156" s="1"/>
      <c r="W156" s="6">
        <f t="shared" si="18"/>
        <v>3.2527184805451448E-5</v>
      </c>
      <c r="X156" s="6">
        <f ca="1">SQRT($B$9*AVERAGE(W156:OFFSET(W156,$B$5-1,0)))</f>
        <v>0.10972528755963139</v>
      </c>
      <c r="Y156" s="6">
        <f ca="1">SQRT($B$9*AVERAGE(W156:OFFSET(W156,$B$6-1,0)))</f>
        <v>9.6214911059050348E-2</v>
      </c>
      <c r="Z156" s="6">
        <f ca="1">SQRT($B$9*AVERAGE(W156:OFFSET(W156,$B$7-1,0)))</f>
        <v>9.240627784488413E-2</v>
      </c>
      <c r="AA156" s="6">
        <f ca="1">SQRT($B$9*AVERAGE(W156:OFFSET(W156,$B$8-1,0)))</f>
        <v>0.10917902802697416</v>
      </c>
      <c r="AB156" s="1"/>
      <c r="AC156" s="34">
        <f t="shared" si="20"/>
        <v>1.4394245180772186E-6</v>
      </c>
      <c r="AD156" s="34">
        <f ca="1">SQRT($B$9*SUM(AC156:OFFSET(AC156,$B$5-1,0))/($B$5-1))</f>
        <v>6.4454404628713463E-2</v>
      </c>
      <c r="AE156" s="34">
        <f ca="1">SQRT($B$9*SUM(AC156:OFFSET(AC156,$B$6-1,0))/($B$6-1))</f>
        <v>0.10320234535280307</v>
      </c>
      <c r="AF156" s="34">
        <f ca="1">SQRT($B$9*SUM(AC156:OFFSET(AC156,$B$7-1,0))/($B$7-1))</f>
        <v>0.10078183093718093</v>
      </c>
      <c r="AG156" s="34">
        <f ca="1">SQRT($B$9*SUM(AC156:OFFSET(AC156,$B$8-1,0))/($B$8-1))</f>
        <v>0.10366253692518566</v>
      </c>
      <c r="AH156" s="1"/>
      <c r="AI156" s="1">
        <f t="shared" si="21"/>
        <v>1.1997601919038732E-3</v>
      </c>
      <c r="AJ156" s="4">
        <f ca="1">SQRT($B$9)*_xlfn.STDEV.S(AI156:OFFSET(AI156,$B$5-1,0))</f>
        <v>5.0274437762485739E-2</v>
      </c>
      <c r="AK156" s="4">
        <f ca="1">SQRT($B$9)*_xlfn.STDEV.S(AI156:OFFSET(AI156,$B$6-1,0))</f>
        <v>9.4127909582719341E-2</v>
      </c>
      <c r="AL156" s="4">
        <f ca="1">SQRT($B$9)*_xlfn.STDEV.S(AI156:OFFSET(AI156,$B$7-1,0))</f>
        <v>0.10038488614087146</v>
      </c>
      <c r="AM156" s="4">
        <f ca="1">SQRT($B$9)*_xlfn.STDEV.S(AI156:OFFSET(AI156,$B$8-1,0))</f>
        <v>0.10352085897619391</v>
      </c>
    </row>
    <row r="157" spans="5:39" x14ac:dyDescent="0.2">
      <c r="E157" s="42">
        <v>45443</v>
      </c>
      <c r="F157" s="43">
        <v>2.4614284486707008</v>
      </c>
      <c r="G157" s="43">
        <v>2.4712271288007588</v>
      </c>
      <c r="H157" s="43">
        <v>2.4467304284756128</v>
      </c>
      <c r="I157" s="43">
        <v>2.4486901645016248</v>
      </c>
      <c r="K157" s="3">
        <f t="shared" si="19"/>
        <v>9.9245951758389619E-5</v>
      </c>
      <c r="L157" s="3">
        <f ca="1">SQRT(AVERAGE(K157:OFFSET(K157,$B$5-1,0))*$B$9/(4*LN(2)))</f>
        <v>9.2719728931810103E-2</v>
      </c>
      <c r="M157" s="3">
        <f ca="1">SQRT(AVERAGE(K157:OFFSET(K157,$B$6-1,0))*$B$9/(4*LN(2)))</f>
        <v>9.0121755387526828E-2</v>
      </c>
      <c r="N157" s="3">
        <f ca="1">SQRT(AVERAGE(K157:OFFSET(K157,$B$7-1,0))*$B$9/(4*LN(2)))</f>
        <v>9.0719587289434592E-2</v>
      </c>
      <c r="O157" s="3">
        <f ca="1">SQRT(AVERAGE(K157:OFFSET(K157,$B$8-1,0))*$B$9/(4*LN(2)))</f>
        <v>0.10518140914315888</v>
      </c>
      <c r="P157" s="1"/>
      <c r="Q157" s="5">
        <f t="shared" si="17"/>
        <v>3.9300747867582654E-5</v>
      </c>
      <c r="R157" s="5">
        <f ca="1">SQRT($B$9*AVERAGE((Q157:OFFSET(Q157,$B$5-1,0))))</f>
        <v>9.8025382422662122E-2</v>
      </c>
      <c r="S157" s="5">
        <f ca="1">SQRT($B$9*AVERAGE((Q157:OFFSET(Q157,$B$6-1,0))))</f>
        <v>9.4369954814369494E-2</v>
      </c>
      <c r="T157" s="5">
        <f ca="1">SQRT($B$9*AVERAGE((Q157:OFFSET(Q157,$B$7-1,0))))</f>
        <v>9.2477242433377835E-2</v>
      </c>
      <c r="U157" s="5">
        <f ca="1">SQRT($B$9*AVERAGE((Q157:OFFSET(Q157,$B$8-1,0))))</f>
        <v>0.10843755070905017</v>
      </c>
      <c r="V157" s="1"/>
      <c r="W157" s="6">
        <f t="shared" si="18"/>
        <v>4.1194104872971817E-5</v>
      </c>
      <c r="X157" s="6">
        <f ca="1">SQRT($B$9*AVERAGE(W157:OFFSET(W157,$B$5-1,0)))</f>
        <v>0.10376910459817562</v>
      </c>
      <c r="Y157" s="6">
        <f ca="1">SQRT($B$9*AVERAGE(W157:OFFSET(W157,$B$6-1,0)))</f>
        <v>9.7538114648575827E-2</v>
      </c>
      <c r="Z157" s="6">
        <f ca="1">SQRT($B$9*AVERAGE(W157:OFFSET(W157,$B$7-1,0)))</f>
        <v>9.2557165028525332E-2</v>
      </c>
      <c r="AA157" s="6">
        <f ca="1">SQRT($B$9*AVERAGE(W157:OFFSET(W157,$B$8-1,0)))</f>
        <v>0.10911982029399488</v>
      </c>
      <c r="AB157" s="1"/>
      <c r="AC157" s="34">
        <f t="shared" si="20"/>
        <v>1.2923815900250627E-5</v>
      </c>
      <c r="AD157" s="34">
        <f ca="1">SQRT($B$9*SUM(AC157:OFFSET(AC157,$B$5-1,0))/($B$5-1))</f>
        <v>9.5762933193753785E-2</v>
      </c>
      <c r="AE157" s="34">
        <f ca="1">SQRT($B$9*SUM(AC157:OFFSET(AC157,$B$6-1,0))/($B$6-1))</f>
        <v>0.10373335921305063</v>
      </c>
      <c r="AF157" s="34">
        <f ca="1">SQRT($B$9*SUM(AC157:OFFSET(AC157,$B$7-1,0))/($B$7-1))</f>
        <v>0.10942220480769274</v>
      </c>
      <c r="AG157" s="34">
        <f ca="1">SQRT($B$9*SUM(AC157:OFFSET(AC157,$B$8-1,0))/($B$8-1))</f>
        <v>0.10366374994863065</v>
      </c>
      <c r="AH157" s="1"/>
      <c r="AI157" s="1">
        <f t="shared" si="21"/>
        <v>-3.5949709178588118E-3</v>
      </c>
      <c r="AJ157" s="4">
        <f ca="1">SQRT($B$9)*_xlfn.STDEV.S(AI157:OFFSET(AI157,$B$5-1,0))</f>
        <v>9.4932726860094366E-2</v>
      </c>
      <c r="AK157" s="4">
        <f ca="1">SQRT($B$9)*_xlfn.STDEV.S(AI157:OFFSET(AI157,$B$6-1,0))</f>
        <v>9.5528222736682822E-2</v>
      </c>
      <c r="AL157" s="4">
        <f ca="1">SQRT($B$9)*_xlfn.STDEV.S(AI157:OFFSET(AI157,$B$7-1,0))</f>
        <v>0.10942173324254935</v>
      </c>
      <c r="AM157" s="4">
        <f ca="1">SQRT($B$9)*_xlfn.STDEV.S(AI157:OFFSET(AI157,$B$8-1,0))</f>
        <v>0.10352172952513165</v>
      </c>
    </row>
    <row r="158" spans="5:39" x14ac:dyDescent="0.2">
      <c r="E158" s="42">
        <v>45442</v>
      </c>
      <c r="F158" s="43">
        <v>2.4712271288007588</v>
      </c>
      <c r="G158" s="43">
        <v>2.4839654129698352</v>
      </c>
      <c r="H158" s="43">
        <v>2.4516297685406419</v>
      </c>
      <c r="I158" s="43">
        <v>2.4575089766186773</v>
      </c>
      <c r="K158" s="3">
        <f t="shared" si="19"/>
        <v>1.716945053594082E-4</v>
      </c>
      <c r="L158" s="3">
        <f ca="1">SQRT(AVERAGE(K158:OFFSET(K158,$B$5-1,0))*$B$9/(4*LN(2)))</f>
        <v>9.9336380390065204E-2</v>
      </c>
      <c r="M158" s="3">
        <f ca="1">SQRT(AVERAGE(K158:OFFSET(K158,$B$6-1,0))*$B$9/(4*LN(2)))</f>
        <v>9.8271741818836023E-2</v>
      </c>
      <c r="N158" s="3">
        <f ca="1">SQRT(AVERAGE(K158:OFFSET(K158,$B$7-1,0))*$B$9/(4*LN(2)))</f>
        <v>9.0006645174504213E-2</v>
      </c>
      <c r="O158" s="3">
        <f ca="1">SQRT(AVERAGE(K158:OFFSET(K158,$B$8-1,0))*$B$9/(4*LN(2)))</f>
        <v>0.1052194447052222</v>
      </c>
      <c r="P158" s="1"/>
      <c r="Q158" s="5">
        <f t="shared" si="17"/>
        <v>7.4013963181176606E-5</v>
      </c>
      <c r="R158" s="5">
        <f ca="1">SQRT($B$9*AVERAGE((Q158:OFFSET(Q158,$B$5-1,0))))</f>
        <v>0.10274444437220827</v>
      </c>
      <c r="S158" s="5">
        <f ca="1">SQRT($B$9*AVERAGE((Q158:OFFSET(Q158,$B$6-1,0))))</f>
        <v>9.5645859434224462E-2</v>
      </c>
      <c r="T158" s="5">
        <f ca="1">SQRT($B$9*AVERAGE((Q158:OFFSET(Q158,$B$7-1,0))))</f>
        <v>9.1943271721786332E-2</v>
      </c>
      <c r="U158" s="5">
        <f ca="1">SQRT($B$9*AVERAGE((Q158:OFFSET(Q158,$B$8-1,0))))</f>
        <v>0.10860672895139634</v>
      </c>
      <c r="V158" s="1"/>
      <c r="W158" s="6">
        <f t="shared" si="18"/>
        <v>7.4124429061978204E-5</v>
      </c>
      <c r="X158" s="6">
        <f ca="1">SQRT($B$9*AVERAGE(W158:OFFSET(W158,$B$5-1,0)))</f>
        <v>0.1071547722248804</v>
      </c>
      <c r="Y158" s="6">
        <f ca="1">SQRT($B$9*AVERAGE(W158:OFFSET(W158,$B$6-1,0)))</f>
        <v>9.5452217412118748E-2</v>
      </c>
      <c r="Z158" s="6">
        <f ca="1">SQRT($B$9*AVERAGE(W158:OFFSET(W158,$B$7-1,0)))</f>
        <v>9.2234861918077934E-2</v>
      </c>
      <c r="AA158" s="6">
        <f ca="1">SQRT($B$9*AVERAGE(W158:OFFSET(W158,$B$8-1,0)))</f>
        <v>0.1092298204903855</v>
      </c>
      <c r="AB158" s="1"/>
      <c r="AC158" s="34">
        <f t="shared" si="20"/>
        <v>4.5635969007888374E-5</v>
      </c>
      <c r="AD158" s="34">
        <f ca="1">SQRT($B$9*SUM(AC158:OFFSET(AC158,$B$5-1,0))/($B$5-1))</f>
        <v>0.12835326476314549</v>
      </c>
      <c r="AE158" s="34">
        <f ca="1">SQRT($B$9*SUM(AC158:OFFSET(AC158,$B$6-1,0))/($B$6-1))</f>
        <v>0.12842245749168688</v>
      </c>
      <c r="AF158" s="34">
        <f ca="1">SQRT($B$9*SUM(AC158:OFFSET(AC158,$B$7-1,0))/($B$7-1))</f>
        <v>0.10979580043249383</v>
      </c>
      <c r="AG158" s="34">
        <f ca="1">SQRT($B$9*SUM(AC158:OFFSET(AC158,$B$8-1,0))/($B$8-1))</f>
        <v>0.10345825936758023</v>
      </c>
      <c r="AH158" s="1"/>
      <c r="AI158" s="1">
        <f t="shared" si="21"/>
        <v>-6.7554399566488914E-3</v>
      </c>
      <c r="AJ158" s="4">
        <f ca="1">SQRT($B$9)*_xlfn.STDEV.S(AI158:OFFSET(AI158,$B$5-1,0))</f>
        <v>0.12188289293532011</v>
      </c>
      <c r="AK158" s="4">
        <f ca="1">SQRT($B$9)*_xlfn.STDEV.S(AI158:OFFSET(AI158,$B$6-1,0))</f>
        <v>0.12804503506932727</v>
      </c>
      <c r="AL158" s="4">
        <f ca="1">SQRT($B$9)*_xlfn.STDEV.S(AI158:OFFSET(AI158,$B$7-1,0))</f>
        <v>0.10979160435717993</v>
      </c>
      <c r="AM158" s="4">
        <f ca="1">SQRT($B$9)*_xlfn.STDEV.S(AI158:OFFSET(AI158,$B$8-1,0))</f>
        <v>0.1032345188951075</v>
      </c>
    </row>
    <row r="159" spans="5:39" x14ac:dyDescent="0.2">
      <c r="E159" s="42">
        <v>45441</v>
      </c>
      <c r="F159" s="43">
        <v>2.4712271288007588</v>
      </c>
      <c r="G159" s="43">
        <v>2.4937640930998937</v>
      </c>
      <c r="H159" s="43">
        <v>2.4702472607877533</v>
      </c>
      <c r="I159" s="43">
        <v>2.4741667328397767</v>
      </c>
      <c r="K159" s="3">
        <f t="shared" si="19"/>
        <v>8.9775659047531961E-5</v>
      </c>
      <c r="L159" s="3">
        <f ca="1">SQRT(AVERAGE(K159:OFFSET(K159,$B$5-1,0))*$B$9/(4*LN(2)))</f>
        <v>9.3940771630223727E-2</v>
      </c>
      <c r="M159" s="3">
        <f ca="1">SQRT(AVERAGE(K159:OFFSET(K159,$B$6-1,0))*$B$9/(4*LN(2)))</f>
        <v>9.4212371867015546E-2</v>
      </c>
      <c r="N159" s="3">
        <f ca="1">SQRT(AVERAGE(K159:OFFSET(K159,$B$7-1,0))*$B$9/(4*LN(2)))</f>
        <v>9.231474501959476E-2</v>
      </c>
      <c r="O159" s="3">
        <f ca="1">SQRT(AVERAGE(K159:OFFSET(K159,$B$8-1,0))*$B$9/(4*LN(2)))</f>
        <v>0.10515449093695027</v>
      </c>
      <c r="P159" s="1"/>
      <c r="Q159" s="5">
        <f t="shared" si="17"/>
        <v>4.5001148346392602E-5</v>
      </c>
      <c r="R159" s="5">
        <f ca="1">SQRT($B$9*AVERAGE((Q159:OFFSET(Q159,$B$5-1,0))))</f>
        <v>9.3484475297471628E-2</v>
      </c>
      <c r="S159" s="5">
        <f ca="1">SQRT($B$9*AVERAGE((Q159:OFFSET(Q159,$B$6-1,0))))</f>
        <v>9.1123128654717764E-2</v>
      </c>
      <c r="T159" s="5">
        <f ca="1">SQRT($B$9*AVERAGE((Q159:OFFSET(Q159,$B$7-1,0))))</f>
        <v>9.470204890801745E-2</v>
      </c>
      <c r="U159" s="5">
        <f ca="1">SQRT($B$9*AVERAGE((Q159:OFFSET(Q159,$B$8-1,0))))</f>
        <v>0.10783370695100714</v>
      </c>
      <c r="V159" s="1"/>
      <c r="W159" s="6">
        <f t="shared" si="18"/>
        <v>7.2253685915071256E-5</v>
      </c>
      <c r="X159" s="6">
        <f ca="1">SQRT($B$9*AVERAGE(W159:OFFSET(W159,$B$5-1,0)))</f>
        <v>9.7377399422875197E-2</v>
      </c>
      <c r="Y159" s="6">
        <f ca="1">SQRT($B$9*AVERAGE(W159:OFFSET(W159,$B$6-1,0)))</f>
        <v>9.0815385817587357E-2</v>
      </c>
      <c r="Z159" s="6">
        <f ca="1">SQRT($B$9*AVERAGE(W159:OFFSET(W159,$B$7-1,0)))</f>
        <v>9.5598092788958866E-2</v>
      </c>
      <c r="AA159" s="6">
        <f ca="1">SQRT($B$9*AVERAGE(W159:OFFSET(W159,$B$8-1,0)))</f>
        <v>0.1082292919873766</v>
      </c>
      <c r="AB159" s="1"/>
      <c r="AC159" s="34">
        <f t="shared" si="20"/>
        <v>1.5690950823369333E-7</v>
      </c>
      <c r="AD159" s="34">
        <f ca="1">SQRT($B$9*SUM(AC159:OFFSET(AC159,$B$5-1,0))/($B$5-1))</f>
        <v>0.14158749502063311</v>
      </c>
      <c r="AE159" s="34">
        <f ca="1">SQRT($B$9*SUM(AC159:OFFSET(AC159,$B$6-1,0))/($B$6-1))</f>
        <v>0.1252172786633288</v>
      </c>
      <c r="AF159" s="34">
        <f ca="1">SQRT($B$9*SUM(AC159:OFFSET(AC159,$B$7-1,0))/($B$7-1))</f>
        <v>0.10922257190147892</v>
      </c>
      <c r="AG159" s="34">
        <f ca="1">SQRT($B$9*SUM(AC159:OFFSET(AC159,$B$8-1,0))/($B$8-1))</f>
        <v>0.10389648780787895</v>
      </c>
      <c r="AH159" s="1"/>
      <c r="AI159" s="1">
        <f t="shared" si="21"/>
        <v>3.9611804835641272E-4</v>
      </c>
      <c r="AJ159" s="4">
        <f ca="1">SQRT($B$9)*_xlfn.STDEV.S(AI159:OFFSET(AI159,$B$5-1,0))</f>
        <v>0.13158165471409844</v>
      </c>
      <c r="AK159" s="4">
        <f ca="1">SQRT($B$9)*_xlfn.STDEV.S(AI159:OFFSET(AI159,$B$6-1,0))</f>
        <v>0.12497035339295674</v>
      </c>
      <c r="AL159" s="4">
        <f ca="1">SQRT($B$9)*_xlfn.STDEV.S(AI159:OFFSET(AI159,$B$7-1,0))</f>
        <v>0.10882801428421608</v>
      </c>
      <c r="AM159" s="4">
        <f ca="1">SQRT($B$9)*_xlfn.STDEV.S(AI159:OFFSET(AI159,$B$8-1,0))</f>
        <v>0.10333996224412828</v>
      </c>
    </row>
    <row r="160" spans="5:39" x14ac:dyDescent="0.2">
      <c r="E160" s="42">
        <v>45440</v>
      </c>
      <c r="F160" s="43">
        <v>2.4800459409178117</v>
      </c>
      <c r="G160" s="43">
        <v>2.4878848850218587</v>
      </c>
      <c r="H160" s="43">
        <v>2.4692673927747473</v>
      </c>
      <c r="I160" s="43">
        <v>2.4731868648267707</v>
      </c>
      <c r="K160" s="3">
        <f t="shared" si="19"/>
        <v>5.642114797548799E-5</v>
      </c>
      <c r="L160" s="3">
        <f ca="1">SQRT(AVERAGE(K160:OFFSET(K160,$B$5-1,0))*$B$9/(4*LN(2)))</f>
        <v>8.8568108890560465E-2</v>
      </c>
      <c r="M160" s="3">
        <f ca="1">SQRT(AVERAGE(K160:OFFSET(K160,$B$6-1,0))*$B$9/(4*LN(2)))</f>
        <v>9.5372299643315533E-2</v>
      </c>
      <c r="N160" s="3">
        <f ca="1">SQRT(AVERAGE(K160:OFFSET(K160,$B$7-1,0))*$B$9/(4*LN(2)))</f>
        <v>9.5141525631628088E-2</v>
      </c>
      <c r="O160" s="3">
        <f ca="1">SQRT(AVERAGE(K160:OFFSET(K160,$B$8-1,0))*$B$9/(4*LN(2)))</f>
        <v>0.10573070162831927</v>
      </c>
      <c r="P160" s="1"/>
      <c r="Q160" s="5">
        <f t="shared" si="17"/>
        <v>2.5308009326392447E-5</v>
      </c>
      <c r="R160" s="5">
        <f ca="1">SQRT($B$9*AVERAGE((Q160:OFFSET(Q160,$B$5-1,0))))</f>
        <v>8.5462932665856806E-2</v>
      </c>
      <c r="S160" s="5">
        <f ca="1">SQRT($B$9*AVERAGE((Q160:OFFSET(Q160,$B$6-1,0))))</f>
        <v>9.0677440977386656E-2</v>
      </c>
      <c r="T160" s="5">
        <f ca="1">SQRT($B$9*AVERAGE((Q160:OFFSET(Q160,$B$7-1,0))))</f>
        <v>9.5366688590710583E-2</v>
      </c>
      <c r="U160" s="5">
        <f ca="1">SQRT($B$9*AVERAGE((Q160:OFFSET(Q160,$B$8-1,0))))</f>
        <v>0.10837558755901121</v>
      </c>
      <c r="V160" s="1"/>
      <c r="W160" s="6">
        <f t="shared" si="18"/>
        <v>2.5607508202563996E-5</v>
      </c>
      <c r="X160" s="6">
        <f ca="1">SQRT($B$9*AVERAGE(W160:OFFSET(W160,$B$5-1,0)))</f>
        <v>8.187378180290357E-2</v>
      </c>
      <c r="Y160" s="6">
        <f ca="1">SQRT($B$9*AVERAGE(W160:OFFSET(W160,$B$6-1,0)))</f>
        <v>8.5965894891290279E-2</v>
      </c>
      <c r="Z160" s="6">
        <f ca="1">SQRT($B$9*AVERAGE(W160:OFFSET(W160,$B$7-1,0)))</f>
        <v>9.3923144042727252E-2</v>
      </c>
      <c r="AA160" s="6">
        <f ca="1">SQRT($B$9*AVERAGE(W160:OFFSET(W160,$B$8-1,0)))</f>
        <v>0.10848631835412351</v>
      </c>
      <c r="AB160" s="1"/>
      <c r="AC160" s="34">
        <f t="shared" si="20"/>
        <v>7.670334551948774E-6</v>
      </c>
      <c r="AD160" s="34">
        <f ca="1">SQRT($B$9*SUM(AC160:OFFSET(AC160,$B$5-1,0))/($B$5-1))</f>
        <v>0.14158649589617625</v>
      </c>
      <c r="AE160" s="34">
        <f ca="1">SQRT($B$9*SUM(AC160:OFFSET(AC160,$B$6-1,0))/($B$6-1))</f>
        <v>0.13062080289298036</v>
      </c>
      <c r="AF160" s="34">
        <f ca="1">SQRT($B$9*SUM(AC160:OFFSET(AC160,$B$7-1,0))/($B$7-1))</f>
        <v>0.11752865183819114</v>
      </c>
      <c r="AG160" s="34">
        <f ca="1">SQRT($B$9*SUM(AC160:OFFSET(AC160,$B$8-1,0))/($B$8-1))</f>
        <v>0.10455405484906473</v>
      </c>
      <c r="AH160" s="1"/>
      <c r="AI160" s="1">
        <f t="shared" si="21"/>
        <v>-2.7695368840202823E-3</v>
      </c>
      <c r="AJ160" s="4">
        <f ca="1">SQRT($B$9)*_xlfn.STDEV.S(AI160:OFFSET(AI160,$B$5-1,0))</f>
        <v>0.13157240885961427</v>
      </c>
      <c r="AK160" s="4">
        <f ca="1">SQRT($B$9)*_xlfn.STDEV.S(AI160:OFFSET(AI160,$B$6-1,0))</f>
        <v>0.13054085105145305</v>
      </c>
      <c r="AL160" s="4">
        <f ca="1">SQRT($B$9)*_xlfn.STDEV.S(AI160:OFFSET(AI160,$B$7-1,0))</f>
        <v>0.11603679241142449</v>
      </c>
      <c r="AM160" s="4">
        <f ca="1">SQRT($B$9)*_xlfn.STDEV.S(AI160:OFFSET(AI160,$B$8-1,0))</f>
        <v>0.10415553424865842</v>
      </c>
    </row>
    <row r="161" spans="5:39" x14ac:dyDescent="0.2">
      <c r="E161" s="42">
        <v>45439</v>
      </c>
      <c r="F161" s="43">
        <v>2.4614284486707008</v>
      </c>
      <c r="G161" s="43">
        <v>2.4820056769438232</v>
      </c>
      <c r="H161" s="43">
        <v>2.4614284486707008</v>
      </c>
      <c r="I161" s="43">
        <v>2.4800459409178117</v>
      </c>
      <c r="K161" s="3">
        <f t="shared" si="19"/>
        <v>6.9307663201189122E-5</v>
      </c>
      <c r="L161" s="3">
        <f ca="1">SQRT(AVERAGE(K161:OFFSET(K161,$B$5-1,0))*$B$9/(4*LN(2)))</f>
        <v>8.6340304022637912E-2</v>
      </c>
      <c r="M161" s="3">
        <f ca="1">SQRT(AVERAGE(K161:OFFSET(K161,$B$6-1,0))*$B$9/(4*LN(2)))</f>
        <v>9.5361996329262233E-2</v>
      </c>
      <c r="N161" s="3">
        <f ca="1">SQRT(AVERAGE(K161:OFFSET(K161,$B$7-1,0))*$B$9/(4*LN(2)))</f>
        <v>9.6620535503537289E-2</v>
      </c>
      <c r="O161" s="3">
        <f ca="1">SQRT(AVERAGE(K161:OFFSET(K161,$B$8-1,0))*$B$9/(4*LN(2)))</f>
        <v>0.10596272752110805</v>
      </c>
      <c r="P161" s="1"/>
      <c r="Q161" s="5">
        <f t="shared" si="17"/>
        <v>1.2477674117418116E-5</v>
      </c>
      <c r="R161" s="5">
        <f ca="1">SQRT($B$9*AVERAGE((Q161:OFFSET(Q161,$B$5-1,0))))</f>
        <v>8.3138322285194202E-2</v>
      </c>
      <c r="S161" s="5">
        <f ca="1">SQRT($B$9*AVERAGE((Q161:OFFSET(Q161,$B$6-1,0))))</f>
        <v>9.0537949254185318E-2</v>
      </c>
      <c r="T161" s="5">
        <f ca="1">SQRT($B$9*AVERAGE((Q161:OFFSET(Q161,$B$7-1,0))))</f>
        <v>9.6909793631435939E-2</v>
      </c>
      <c r="U161" s="5">
        <f ca="1">SQRT($B$9*AVERAGE((Q161:OFFSET(Q161,$B$8-1,0))))</f>
        <v>0.10824518947738304</v>
      </c>
      <c r="V161" s="1"/>
      <c r="W161" s="6">
        <f t="shared" si="18"/>
        <v>6.5759264189884806E-6</v>
      </c>
      <c r="X161" s="6">
        <f ca="1">SQRT($B$9*AVERAGE(W161:OFFSET(W161,$B$5-1,0)))</f>
        <v>8.0467257255098096E-2</v>
      </c>
      <c r="Y161" s="6">
        <f ca="1">SQRT($B$9*AVERAGE(W161:OFFSET(W161,$B$6-1,0)))</f>
        <v>8.5622459475964335E-2</v>
      </c>
      <c r="Z161" s="6">
        <f ca="1">SQRT($B$9*AVERAGE(W161:OFFSET(W161,$B$7-1,0)))</f>
        <v>9.5287923330157578E-2</v>
      </c>
      <c r="AA161" s="6">
        <f ca="1">SQRT($B$9*AVERAGE(W161:OFFSET(W161,$B$8-1,0)))</f>
        <v>0.10821194901322634</v>
      </c>
      <c r="AB161" s="1"/>
      <c r="AC161" s="34">
        <f t="shared" si="20"/>
        <v>8.3336062849986286E-5</v>
      </c>
      <c r="AD161" s="34">
        <f ca="1">SQRT($B$9*SUM(AC161:OFFSET(AC161,$B$5-1,0))/($B$5-1))</f>
        <v>0.14074714532869345</v>
      </c>
      <c r="AE161" s="34">
        <f ca="1">SQRT($B$9*SUM(AC161:OFFSET(AC161,$B$6-1,0))/($B$6-1))</f>
        <v>0.13113344822202319</v>
      </c>
      <c r="AF161" s="34">
        <f ca="1">SQRT($B$9*SUM(AC161:OFFSET(AC161,$B$7-1,0))/($B$7-1))</f>
        <v>0.1178408324226845</v>
      </c>
      <c r="AG161" s="34">
        <f ca="1">SQRT($B$9*SUM(AC161:OFFSET(AC161,$B$8-1,0))/($B$8-1))</f>
        <v>0.10488469384609857</v>
      </c>
      <c r="AH161" s="1"/>
      <c r="AI161" s="1">
        <f t="shared" si="21"/>
        <v>9.1288587923127763E-3</v>
      </c>
      <c r="AJ161" s="4">
        <f ca="1">SQRT($B$9)*_xlfn.STDEV.S(AI161:OFFSET(AI161,$B$5-1,0))</f>
        <v>0.13178102726601465</v>
      </c>
      <c r="AK161" s="4">
        <f ca="1">SQRT($B$9)*_xlfn.STDEV.S(AI161:OFFSET(AI161,$B$6-1,0))</f>
        <v>0.13100260370698641</v>
      </c>
      <c r="AL161" s="4">
        <f ca="1">SQRT($B$9)*_xlfn.STDEV.S(AI161:OFFSET(AI161,$B$7-1,0))</f>
        <v>0.11540695203092873</v>
      </c>
      <c r="AM161" s="4">
        <f ca="1">SQRT($B$9)*_xlfn.STDEV.S(AI161:OFFSET(AI161,$B$8-1,0))</f>
        <v>0.10429069867550374</v>
      </c>
    </row>
    <row r="162" spans="5:39" x14ac:dyDescent="0.2">
      <c r="E162" s="42">
        <v>45436</v>
      </c>
      <c r="F162" s="43">
        <v>2.4780862048917998</v>
      </c>
      <c r="G162" s="43">
        <v>2.4878848850218587</v>
      </c>
      <c r="H162" s="43">
        <v>2.4555492405926653</v>
      </c>
      <c r="I162" s="43">
        <v>2.4575089766186773</v>
      </c>
      <c r="K162" s="3">
        <f t="shared" si="19"/>
        <v>1.7115039984920736E-4</v>
      </c>
      <c r="L162" s="3">
        <f ca="1">SQRT(AVERAGE(K162:OFFSET(K162,$B$5-1,0))*$B$9/(4*LN(2)))</f>
        <v>8.7446632039605163E-2</v>
      </c>
      <c r="M162" s="3">
        <f ca="1">SQRT(AVERAGE(K162:OFFSET(K162,$B$6-1,0))*$B$9/(4*LN(2)))</f>
        <v>9.7391502874726241E-2</v>
      </c>
      <c r="N162" s="3">
        <f ca="1">SQRT(AVERAGE(K162:OFFSET(K162,$B$7-1,0))*$B$9/(4*LN(2)))</f>
        <v>9.6877657556040941E-2</v>
      </c>
      <c r="O162" s="3">
        <f ca="1">SQRT(AVERAGE(K162:OFFSET(K162,$B$8-1,0))*$B$9/(4*LN(2)))</f>
        <v>0.10772088156487421</v>
      </c>
      <c r="P162" s="1"/>
      <c r="Q162" s="5">
        <f t="shared" si="17"/>
        <v>5.8636365219514135E-5</v>
      </c>
      <c r="R162" s="5">
        <f ca="1">SQRT($B$9*AVERAGE((Q162:OFFSET(Q162,$B$5-1,0))))</f>
        <v>9.0567108511993025E-2</v>
      </c>
      <c r="S162" s="5">
        <f ca="1">SQRT($B$9*AVERAGE((Q162:OFFSET(Q162,$B$6-1,0))))</f>
        <v>9.6187014867044979E-2</v>
      </c>
      <c r="T162" s="5">
        <f ca="1">SQRT($B$9*AVERAGE((Q162:OFFSET(Q162,$B$7-1,0))))</f>
        <v>9.8630748483179376E-2</v>
      </c>
      <c r="U162" s="5">
        <f ca="1">SQRT($B$9*AVERAGE((Q162:OFFSET(Q162,$B$8-1,0))))</f>
        <v>0.10928554516365821</v>
      </c>
      <c r="V162" s="1"/>
      <c r="W162" s="6">
        <f t="shared" si="18"/>
        <v>5.576794449458171E-5</v>
      </c>
      <c r="X162" s="6">
        <f ca="1">SQRT($B$9*AVERAGE(W162:OFFSET(W162,$B$5-1,0)))</f>
        <v>9.0880914109015942E-2</v>
      </c>
      <c r="Y162" s="6">
        <f ca="1">SQRT($B$9*AVERAGE(W162:OFFSET(W162,$B$6-1,0)))</f>
        <v>9.2940538258770633E-2</v>
      </c>
      <c r="Z162" s="6">
        <f ca="1">SQRT($B$9*AVERAGE(W162:OFFSET(W162,$B$7-1,0)))</f>
        <v>9.7810515716878349E-2</v>
      </c>
      <c r="AA162" s="6">
        <f ca="1">SQRT($B$9*AVERAGE(W162:OFFSET(W162,$B$8-1,0)))</f>
        <v>0.10889312880471085</v>
      </c>
      <c r="AB162" s="1"/>
      <c r="AC162" s="34">
        <f t="shared" si="20"/>
        <v>1.3217314163881027E-4</v>
      </c>
      <c r="AD162" s="34">
        <f ca="1">SQRT($B$9*SUM(AC162:OFFSET(AC162,$B$5-1,0))/($B$5-1))</f>
        <v>0.12264107267462313</v>
      </c>
      <c r="AE162" s="34">
        <f ca="1">SQRT($B$9*SUM(AC162:OFFSET(AC162,$B$6-1,0))/($B$6-1))</f>
        <v>0.12233281936004543</v>
      </c>
      <c r="AF162" s="34">
        <f ca="1">SQRT($B$9*SUM(AC162:OFFSET(AC162,$B$7-1,0))/($B$7-1))</f>
        <v>0.11413298493363509</v>
      </c>
      <c r="AG162" s="34">
        <f ca="1">SQRT($B$9*SUM(AC162:OFFSET(AC162,$B$8-1,0))/($B$8-1))</f>
        <v>0.10872463488057652</v>
      </c>
      <c r="AH162" s="1"/>
      <c r="AI162" s="1">
        <f t="shared" si="21"/>
        <v>-1.1496657846470438E-2</v>
      </c>
      <c r="AJ162" s="4">
        <f ca="1">SQRT($B$9)*_xlfn.STDEV.S(AI162:OFFSET(AI162,$B$5-1,0))</f>
        <v>9.8405636739967245E-2</v>
      </c>
      <c r="AK162" s="4">
        <f ca="1">SQRT($B$9)*_xlfn.STDEV.S(AI162:OFFSET(AI162,$B$6-1,0))</f>
        <v>0.12017681405569233</v>
      </c>
      <c r="AL162" s="4">
        <f ca="1">SQRT($B$9)*_xlfn.STDEV.S(AI162:OFFSET(AI162,$B$7-1,0))</f>
        <v>0.11240749312642694</v>
      </c>
      <c r="AM162" s="4">
        <f ca="1">SQRT($B$9)*_xlfn.STDEV.S(AI162:OFFSET(AI162,$B$8-1,0))</f>
        <v>0.10863813034651648</v>
      </c>
    </row>
    <row r="163" spans="5:39" x14ac:dyDescent="0.2">
      <c r="E163" s="42">
        <v>45435</v>
      </c>
      <c r="F163" s="43">
        <v>2.5035627732299526</v>
      </c>
      <c r="G163" s="43">
        <v>2.5055225092559636</v>
      </c>
      <c r="H163" s="43">
        <v>2.4790660729048057</v>
      </c>
      <c r="I163" s="43">
        <v>2.4859251489958467</v>
      </c>
      <c r="K163" s="3">
        <f t="shared" si="19"/>
        <v>1.1268658063794323E-4</v>
      </c>
      <c r="L163" s="3">
        <f ca="1">SQRT(AVERAGE(K163:OFFSET(K163,$B$5-1,0))*$B$9/(4*LN(2)))</f>
        <v>9.7195442337674437E-2</v>
      </c>
      <c r="M163" s="3">
        <f ca="1">SQRT(AVERAGE(K163:OFFSET(K163,$B$6-1,0))*$B$9/(4*LN(2)))</f>
        <v>9.3970596074127541E-2</v>
      </c>
      <c r="N163" s="3">
        <f ca="1">SQRT(AVERAGE(K163:OFFSET(K163,$B$7-1,0))*$B$9/(4*LN(2)))</f>
        <v>9.4027728867005819E-2</v>
      </c>
      <c r="O163" s="3">
        <f ca="1">SQRT(AVERAGE(K163:OFFSET(K163,$B$8-1,0))*$B$9/(4*LN(2)))</f>
        <v>0.10719450481359476</v>
      </c>
      <c r="P163" s="1"/>
      <c r="Q163" s="5">
        <f t="shared" si="17"/>
        <v>3.6930825880968052E-5</v>
      </c>
      <c r="R163" s="5">
        <f ca="1">SQRT($B$9*AVERAGE((Q163:OFFSET(Q163,$B$5-1,0))))</f>
        <v>8.7976360486604857E-2</v>
      </c>
      <c r="S163" s="5">
        <f ca="1">SQRT($B$9*AVERAGE((Q163:OFFSET(Q163,$B$6-1,0))))</f>
        <v>9.4921876198764243E-2</v>
      </c>
      <c r="T163" s="5">
        <f ca="1">SQRT($B$9*AVERAGE((Q163:OFFSET(Q163,$B$7-1,0))))</f>
        <v>9.6046192162039884E-2</v>
      </c>
      <c r="U163" s="5">
        <f ca="1">SQRT($B$9*AVERAGE((Q163:OFFSET(Q163,$B$8-1,0))))</f>
        <v>0.10907487028186372</v>
      </c>
      <c r="V163" s="1"/>
      <c r="W163" s="6">
        <f t="shared" si="18"/>
        <v>3.3312443506798163E-5</v>
      </c>
      <c r="X163" s="6">
        <f ca="1">SQRT($B$9*AVERAGE(W163:OFFSET(W163,$B$5-1,0)))</f>
        <v>8.2098151058442065E-2</v>
      </c>
      <c r="Y163" s="6">
        <f ca="1">SQRT($B$9*AVERAGE(W163:OFFSET(W163,$B$6-1,0)))</f>
        <v>9.3010932321430484E-2</v>
      </c>
      <c r="Z163" s="6">
        <f ca="1">SQRT($B$9*AVERAGE(W163:OFFSET(W163,$B$7-1,0)))</f>
        <v>9.5315111316608012E-2</v>
      </c>
      <c r="AA163" s="6">
        <f ca="1">SQRT($B$9*AVERAGE(W163:OFFSET(W163,$B$8-1,0)))</f>
        <v>0.10885333746335947</v>
      </c>
      <c r="AB163" s="1"/>
      <c r="AC163" s="34">
        <f t="shared" si="20"/>
        <v>1.0396181669539328E-4</v>
      </c>
      <c r="AD163" s="34">
        <f ca="1">SQRT($B$9*SUM(AC163:OFFSET(AC163,$B$5-1,0))/($B$5-1))</f>
        <v>0.14364253025514814</v>
      </c>
      <c r="AE163" s="34">
        <f ca="1">SQRT($B$9*SUM(AC163:OFFSET(AC163,$B$6-1,0))/($B$6-1))</f>
        <v>0.10758302345267362</v>
      </c>
      <c r="AF163" s="34">
        <f ca="1">SQRT($B$9*SUM(AC163:OFFSET(AC163,$B$7-1,0))/($B$7-1))</f>
        <v>0.10809263378945712</v>
      </c>
      <c r="AG163" s="34">
        <f ca="1">SQRT($B$9*SUM(AC163:OFFSET(AC163,$B$8-1,0))/($B$8-1))</f>
        <v>0.10617379260443112</v>
      </c>
      <c r="AH163" s="1"/>
      <c r="AI163" s="1">
        <f t="shared" si="21"/>
        <v>-1.019616676478927E-2</v>
      </c>
      <c r="AJ163" s="4">
        <f ca="1">SQRT($B$9)*_xlfn.STDEV.S(AI163:OFFSET(AI163,$B$5-1,0))</f>
        <v>0.14233085077627469</v>
      </c>
      <c r="AK163" s="4">
        <f ca="1">SQRT($B$9)*_xlfn.STDEV.S(AI163:OFFSET(AI163,$B$6-1,0))</f>
        <v>0.10758105699736338</v>
      </c>
      <c r="AL163" s="4">
        <f ca="1">SQRT($B$9)*_xlfn.STDEV.S(AI163:OFFSET(AI163,$B$7-1,0))</f>
        <v>0.10522149381659061</v>
      </c>
      <c r="AM163" s="4">
        <f ca="1">SQRT($B$9)*_xlfn.STDEV.S(AI163:OFFSET(AI163,$B$8-1,0))</f>
        <v>0.10591087022249557</v>
      </c>
    </row>
    <row r="164" spans="5:39" x14ac:dyDescent="0.2">
      <c r="E164" s="42">
        <v>45434</v>
      </c>
      <c r="F164" s="43">
        <v>2.5065023772689696</v>
      </c>
      <c r="G164" s="43">
        <v>2.5172809254120341</v>
      </c>
      <c r="H164" s="43">
        <v>2.5025829052169462</v>
      </c>
      <c r="I164" s="43">
        <v>2.5114017173339991</v>
      </c>
      <c r="K164" s="3">
        <f t="shared" si="19"/>
        <v>3.4292273581337241E-5</v>
      </c>
      <c r="L164" s="3">
        <f ca="1">SQRT(AVERAGE(K164:OFFSET(K164,$B$5-1,0))*$B$9/(4*LN(2)))</f>
        <v>9.448319136828412E-2</v>
      </c>
      <c r="M164" s="3">
        <f ca="1">SQRT(AVERAGE(K164:OFFSET(K164,$B$6-1,0))*$B$9/(4*LN(2)))</f>
        <v>9.2211129831464261E-2</v>
      </c>
      <c r="N164" s="3">
        <f ca="1">SQRT(AVERAGE(K164:OFFSET(K164,$B$7-1,0))*$B$9/(4*LN(2)))</f>
        <v>9.4839874456921228E-2</v>
      </c>
      <c r="O164" s="3">
        <f ca="1">SQRT(AVERAGE(K164:OFFSET(K164,$B$8-1,0))*$B$9/(4*LN(2)))</f>
        <v>0.10751662191996122</v>
      </c>
      <c r="P164" s="1"/>
      <c r="Q164" s="5">
        <f t="shared" si="17"/>
        <v>1.5706571575069964E-5</v>
      </c>
      <c r="R164" s="5">
        <f ca="1">SQRT($B$9*AVERAGE((Q164:OFFSET(Q164,$B$5-1,0))))</f>
        <v>8.8698940410835272E-2</v>
      </c>
      <c r="S164" s="5">
        <f ca="1">SQRT($B$9*AVERAGE((Q164:OFFSET(Q164,$B$6-1,0))))</f>
        <v>9.273775668372701E-2</v>
      </c>
      <c r="T164" s="5">
        <f ca="1">SQRT($B$9*AVERAGE((Q164:OFFSET(Q164,$B$7-1,0))))</f>
        <v>9.8303969193192287E-2</v>
      </c>
      <c r="U164" s="5">
        <f ca="1">SQRT($B$9*AVERAGE((Q164:OFFSET(Q164,$B$8-1,0))))</f>
        <v>0.10905686190170361</v>
      </c>
      <c r="V164" s="1"/>
      <c r="W164" s="6">
        <f t="shared" si="18"/>
        <v>1.5538547718077086E-5</v>
      </c>
      <c r="X164" s="6">
        <f ca="1">SQRT($B$9*AVERAGE(W164:OFFSET(W164,$B$5-1,0)))</f>
        <v>8.3740734914570236E-2</v>
      </c>
      <c r="Y164" s="6">
        <f ca="1">SQRT($B$9*AVERAGE(W164:OFFSET(W164,$B$6-1,0)))</f>
        <v>9.0854312945573223E-2</v>
      </c>
      <c r="Z164" s="6">
        <f ca="1">SQRT($B$9*AVERAGE(W164:OFFSET(W164,$B$7-1,0)))</f>
        <v>9.9208761723847835E-2</v>
      </c>
      <c r="AA164" s="6">
        <f ca="1">SQRT($B$9*AVERAGE(W164:OFFSET(W164,$B$8-1,0)))</f>
        <v>0.10867343927932827</v>
      </c>
      <c r="AB164" s="1"/>
      <c r="AC164" s="34">
        <f t="shared" si="20"/>
        <v>1.5229030725631529E-7</v>
      </c>
      <c r="AD164" s="34">
        <f ca="1">SQRT($B$9*SUM(AC164:OFFSET(AC164,$B$5-1,0))/($B$5-1))</f>
        <v>0.12341619312085471</v>
      </c>
      <c r="AE164" s="34">
        <f ca="1">SQRT($B$9*SUM(AC164:OFFSET(AC164,$B$6-1,0))/($B$6-1))</f>
        <v>9.9169056105433973E-2</v>
      </c>
      <c r="AF164" s="34">
        <f ca="1">SQRT($B$9*SUM(AC164:OFFSET(AC164,$B$7-1,0))/($B$7-1))</f>
        <v>0.10186998883799947</v>
      </c>
      <c r="AG164" s="34">
        <f ca="1">SQRT($B$9*SUM(AC164:OFFSET(AC164,$B$8-1,0))/($B$8-1))</f>
        <v>0.10571018209420179</v>
      </c>
      <c r="AH164" s="1"/>
      <c r="AI164" s="1">
        <f t="shared" si="21"/>
        <v>3.9024390739166612E-4</v>
      </c>
      <c r="AJ164" s="4">
        <f ca="1">SQRT($B$9)*_xlfn.STDEV.S(AI164:OFFSET(AI164,$B$5-1,0))</f>
        <v>0.1023566335071988</v>
      </c>
      <c r="AK164" s="4">
        <f ca="1">SQRT($B$9)*_xlfn.STDEV.S(AI164:OFFSET(AI164,$B$6-1,0))</f>
        <v>9.5158858356890808E-2</v>
      </c>
      <c r="AL164" s="4">
        <f ca="1">SQRT($B$9)*_xlfn.STDEV.S(AI164:OFFSET(AI164,$B$7-1,0))</f>
        <v>9.6834998515566623E-2</v>
      </c>
      <c r="AM164" s="4">
        <f ca="1">SQRT($B$9)*_xlfn.STDEV.S(AI164:OFFSET(AI164,$B$8-1,0))</f>
        <v>0.10496766532849296</v>
      </c>
    </row>
    <row r="165" spans="5:39" x14ac:dyDescent="0.2">
      <c r="E165" s="42">
        <v>45433</v>
      </c>
      <c r="F165" s="43">
        <v>2.5104218493209931</v>
      </c>
      <c r="G165" s="43">
        <v>2.5143413213730166</v>
      </c>
      <c r="H165" s="43">
        <v>2.4996433011779291</v>
      </c>
      <c r="I165" s="43">
        <v>2.5104218493209931</v>
      </c>
      <c r="K165" s="3">
        <f t="shared" si="19"/>
        <v>3.4372740827906286E-5</v>
      </c>
      <c r="L165" s="3">
        <f ca="1">SQRT(AVERAGE(K165:OFFSET(K165,$B$5-1,0))*$B$9/(4*LN(2)))</f>
        <v>0.10172237298676505</v>
      </c>
      <c r="M165" s="3">
        <f ca="1">SQRT(AVERAGE(K165:OFFSET(K165,$B$6-1,0))*$B$9/(4*LN(2)))</f>
        <v>9.2040874518332094E-2</v>
      </c>
      <c r="N165" s="3">
        <f ca="1">SQRT(AVERAGE(K165:OFFSET(K165,$B$7-1,0))*$B$9/(4*LN(2)))</f>
        <v>9.6055511687279341E-2</v>
      </c>
      <c r="O165" s="3">
        <f ca="1">SQRT(AVERAGE(K165:OFFSET(K165,$B$8-1,0))*$B$9/(4*LN(2)))</f>
        <v>0.11517456565154</v>
      </c>
      <c r="P165" s="1"/>
      <c r="Q165" s="5">
        <f t="shared" si="17"/>
        <v>1.7309392439617874E-5</v>
      </c>
      <c r="R165" s="5">
        <f ca="1">SQRT($B$9*AVERAGE((Q165:OFFSET(Q165,$B$5-1,0))))</f>
        <v>9.560796904320322E-2</v>
      </c>
      <c r="S165" s="5">
        <f ca="1">SQRT($B$9*AVERAGE((Q165:OFFSET(Q165,$B$6-1,0))))</f>
        <v>9.1710463787113727E-2</v>
      </c>
      <c r="T165" s="5">
        <f ca="1">SQRT($B$9*AVERAGE((Q165:OFFSET(Q165,$B$7-1,0))))</f>
        <v>9.9881573370269747E-2</v>
      </c>
      <c r="U165" s="5">
        <f ca="1">SQRT($B$9*AVERAGE((Q165:OFFSET(Q165,$B$8-1,0))))</f>
        <v>0.11669597075827451</v>
      </c>
      <c r="V165" s="1"/>
      <c r="W165" s="6">
        <f t="shared" si="18"/>
        <v>2.0947576436210425E-5</v>
      </c>
      <c r="X165" s="6">
        <f ca="1">SQRT($B$9*AVERAGE(W165:OFFSET(W165,$B$5-1,0)))</f>
        <v>8.9871875590816899E-2</v>
      </c>
      <c r="Y165" s="6">
        <f ca="1">SQRT($B$9*AVERAGE(W165:OFFSET(W165,$B$6-1,0)))</f>
        <v>8.9554219215597863E-2</v>
      </c>
      <c r="Z165" s="6">
        <f ca="1">SQRT($B$9*AVERAGE(W165:OFFSET(W165,$B$7-1,0)))</f>
        <v>0.10077845677293312</v>
      </c>
      <c r="AA165" s="6">
        <f ca="1">SQRT($B$9*AVERAGE(W165:OFFSET(W165,$B$8-1,0)))</f>
        <v>0.11656413100584241</v>
      </c>
      <c r="AB165" s="1"/>
      <c r="AC165" s="34">
        <f t="shared" si="20"/>
        <v>3.8013239073514123E-6</v>
      </c>
      <c r="AD165" s="34">
        <f ca="1">SQRT($B$9*SUM(AC165:OFFSET(AC165,$B$5-1,0))/($B$5-1))</f>
        <v>0.13543375138331445</v>
      </c>
      <c r="AE165" s="34">
        <f ca="1">SQRT($B$9*SUM(AC165:OFFSET(AC165,$B$6-1,0))/($B$6-1))</f>
        <v>0.10387084398338858</v>
      </c>
      <c r="AF165" s="34">
        <f ca="1">SQRT($B$9*SUM(AC165:OFFSET(AC165,$B$7-1,0))/($B$7-1))</f>
        <v>0.10447839881303624</v>
      </c>
      <c r="AG165" s="34">
        <f ca="1">SQRT($B$9*SUM(AC165:OFFSET(AC165,$B$8-1,0))/($B$8-1))</f>
        <v>0.11145295058474831</v>
      </c>
      <c r="AH165" s="1"/>
      <c r="AI165" s="1">
        <f t="shared" si="21"/>
        <v>-1.9496984144609167E-3</v>
      </c>
      <c r="AJ165" s="4">
        <f ca="1">SQRT($B$9)*_xlfn.STDEV.S(AI165:OFFSET(AI165,$B$5-1,0))</f>
        <v>0.12855682430467788</v>
      </c>
      <c r="AK165" s="4">
        <f ca="1">SQRT($B$9)*_xlfn.STDEV.S(AI165:OFFSET(AI165,$B$6-1,0))</f>
        <v>0.10238943713999019</v>
      </c>
      <c r="AL165" s="4">
        <f ca="1">SQRT($B$9)*_xlfn.STDEV.S(AI165:OFFSET(AI165,$B$7-1,0))</f>
        <v>0.1011607121085952</v>
      </c>
      <c r="AM165" s="4">
        <f ca="1">SQRT($B$9)*_xlfn.STDEV.S(AI165:OFFSET(AI165,$B$8-1,0))</f>
        <v>0.11015422816375839</v>
      </c>
    </row>
    <row r="166" spans="5:39" x14ac:dyDescent="0.2">
      <c r="E166" s="42">
        <v>45432</v>
      </c>
      <c r="F166" s="43">
        <v>2.5104218493209931</v>
      </c>
      <c r="G166" s="43">
        <v>2.5280594735550985</v>
      </c>
      <c r="H166" s="43">
        <v>2.5055225092559636</v>
      </c>
      <c r="I166" s="43">
        <v>2.5153211893860226</v>
      </c>
      <c r="K166" s="3">
        <f t="shared" si="19"/>
        <v>8.0186699092810044E-5</v>
      </c>
      <c r="L166" s="3">
        <f ca="1">SQRT(AVERAGE(K166:OFFSET(K166,$B$5-1,0))*$B$9/(4*LN(2)))</f>
        <v>0.10360102600400685</v>
      </c>
      <c r="M166" s="3">
        <f ca="1">SQRT(AVERAGE(K166:OFFSET(K166,$B$6-1,0))*$B$9/(4*LN(2)))</f>
        <v>9.1859431750417789E-2</v>
      </c>
      <c r="N166" s="3">
        <f ca="1">SQRT(AVERAGE(K166:OFFSET(K166,$B$7-1,0))*$B$9/(4*LN(2)))</f>
        <v>0.10109665763544223</v>
      </c>
      <c r="O166" s="3">
        <f ca="1">SQRT(AVERAGE(K166:OFFSET(K166,$B$8-1,0))*$B$9/(4*LN(2)))</f>
        <v>0.11535654073016184</v>
      </c>
      <c r="P166" s="1"/>
      <c r="Q166" s="5">
        <f t="shared" si="17"/>
        <v>3.8812786603669157E-5</v>
      </c>
      <c r="R166" s="5">
        <f ca="1">SQRT($B$9*AVERAGE((Q166:OFFSET(Q166,$B$5-1,0))))</f>
        <v>9.7376896017022721E-2</v>
      </c>
      <c r="S166" s="5">
        <f ca="1">SQRT($B$9*AVERAGE((Q166:OFFSET(Q166,$B$6-1,0))))</f>
        <v>9.1152683347124008E-2</v>
      </c>
      <c r="T166" s="5">
        <f ca="1">SQRT($B$9*AVERAGE((Q166:OFFSET(Q166,$B$7-1,0))))</f>
        <v>0.10588836144917931</v>
      </c>
      <c r="U166" s="5">
        <f ca="1">SQRT($B$9*AVERAGE((Q166:OFFSET(Q166,$B$8-1,0))))</f>
        <v>0.11693554171013841</v>
      </c>
      <c r="V166" s="1"/>
      <c r="W166" s="6">
        <f t="shared" si="18"/>
        <v>4.2991458238012899E-5</v>
      </c>
      <c r="X166" s="6">
        <f ca="1">SQRT($B$9*AVERAGE(W166:OFFSET(W166,$B$5-1,0)))</f>
        <v>9.0484427628560349E-2</v>
      </c>
      <c r="Y166" s="6">
        <f ca="1">SQRT($B$9*AVERAGE(W166:OFFSET(W166,$B$6-1,0)))</f>
        <v>8.8433767646702008E-2</v>
      </c>
      <c r="Z166" s="6">
        <f ca="1">SQRT($B$9*AVERAGE(W166:OFFSET(W166,$B$7-1,0)))</f>
        <v>0.10848111747061476</v>
      </c>
      <c r="AA166" s="6">
        <f ca="1">SQRT($B$9*AVERAGE(W166:OFFSET(W166,$B$8-1,0)))</f>
        <v>0.11683205332925961</v>
      </c>
      <c r="AB166" s="1"/>
      <c r="AC166" s="34">
        <f t="shared" si="20"/>
        <v>5.4760430721224438E-6</v>
      </c>
      <c r="AD166" s="34">
        <f ca="1">SQRT($B$9*SUM(AC166:OFFSET(AC166,$B$5-1,0))/($B$5-1))</f>
        <v>0.13740887481407169</v>
      </c>
      <c r="AE166" s="34">
        <f ca="1">SQRT($B$9*SUM(AC166:OFFSET(AC166,$B$6-1,0))/($B$6-1))</f>
        <v>0.1038835109988784</v>
      </c>
      <c r="AF166" s="34">
        <f ca="1">SQRT($B$9*SUM(AC166:OFFSET(AC166,$B$7-1,0))/($B$7-1))</f>
        <v>0.10473653297790535</v>
      </c>
      <c r="AG166" s="34">
        <f ca="1">SQRT($B$9*SUM(AC166:OFFSET(AC166,$B$8-1,0))/($B$8-1))</f>
        <v>0.1113853422285685</v>
      </c>
      <c r="AH166" s="1"/>
      <c r="AI166" s="1">
        <f t="shared" si="21"/>
        <v>2.3400946716153267E-3</v>
      </c>
      <c r="AJ166" s="4">
        <f ca="1">SQRT($B$9)*_xlfn.STDEV.S(AI166:OFFSET(AI166,$B$5-1,0))</f>
        <v>0.13233132359798822</v>
      </c>
      <c r="AK166" s="4">
        <f ca="1">SQRT($B$9)*_xlfn.STDEV.S(AI166:OFFSET(AI166,$B$6-1,0))</f>
        <v>0.10108396210085786</v>
      </c>
      <c r="AL166" s="4">
        <f ca="1">SQRT($B$9)*_xlfn.STDEV.S(AI166:OFFSET(AI166,$B$7-1,0))</f>
        <v>0.10036155130364394</v>
      </c>
      <c r="AM166" s="4">
        <f ca="1">SQRT($B$9)*_xlfn.STDEV.S(AI166:OFFSET(AI166,$B$8-1,0))</f>
        <v>0.11002289602139693</v>
      </c>
    </row>
    <row r="167" spans="5:39" x14ac:dyDescent="0.2">
      <c r="E167" s="42">
        <v>45429</v>
      </c>
      <c r="F167" s="43">
        <v>2.4722069968137652</v>
      </c>
      <c r="G167" s="43">
        <v>2.5114017173339991</v>
      </c>
      <c r="H167" s="43">
        <v>2.4702472607877533</v>
      </c>
      <c r="I167" s="43">
        <v>2.5094419813079871</v>
      </c>
      <c r="K167" s="3">
        <f t="shared" si="19"/>
        <v>2.730028926154296E-4</v>
      </c>
      <c r="L167" s="3">
        <f ca="1">SQRT(AVERAGE(K167:OFFSET(K167,$B$5-1,0))*$B$9/(4*LN(2)))</f>
        <v>0.10641097786095903</v>
      </c>
      <c r="M167" s="3">
        <f ca="1">SQRT(AVERAGE(K167:OFFSET(K167,$B$6-1,0))*$B$9/(4*LN(2)))</f>
        <v>9.1313505254159752E-2</v>
      </c>
      <c r="N167" s="3">
        <f ca="1">SQRT(AVERAGE(K167:OFFSET(K167,$B$7-1,0))*$B$9/(4*LN(2)))</f>
        <v>0.10624439358716455</v>
      </c>
      <c r="O167" s="3">
        <f ca="1">SQRT(AVERAGE(K167:OFFSET(K167,$B$8-1,0))*$B$9/(4*LN(2)))</f>
        <v>0.11538420712222801</v>
      </c>
      <c r="P167" s="1"/>
      <c r="Q167" s="5">
        <f t="shared" si="17"/>
        <v>4.9196341959226921E-5</v>
      </c>
      <c r="R167" s="5">
        <f ca="1">SQRT($B$9*AVERAGE((Q167:OFFSET(Q167,$B$5-1,0))))</f>
        <v>0.10149621920959982</v>
      </c>
      <c r="S167" s="5">
        <f ca="1">SQRT($B$9*AVERAGE((Q167:OFFSET(Q167,$B$6-1,0))))</f>
        <v>9.0544974264159667E-2</v>
      </c>
      <c r="T167" s="5">
        <f ca="1">SQRT($B$9*AVERAGE((Q167:OFFSET(Q167,$B$7-1,0))))</f>
        <v>0.10975858438239286</v>
      </c>
      <c r="U167" s="5">
        <f ca="1">SQRT($B$9*AVERAGE((Q167:OFFSET(Q167,$B$8-1,0))))</f>
        <v>0.11697475456467714</v>
      </c>
      <c r="V167" s="1"/>
      <c r="W167" s="6">
        <f t="shared" si="18"/>
        <v>2.4763166084876382E-5</v>
      </c>
      <c r="X167" s="6">
        <f ca="1">SQRT($B$9*AVERAGE(W167:OFFSET(W167,$B$5-1,0)))</f>
        <v>9.4955498810599087E-2</v>
      </c>
      <c r="Y167" s="6">
        <f ca="1">SQRT($B$9*AVERAGE(W167:OFFSET(W167,$B$6-1,0)))</f>
        <v>8.7292461226824269E-2</v>
      </c>
      <c r="Z167" s="6">
        <f ca="1">SQRT($B$9*AVERAGE(W167:OFFSET(W167,$B$7-1,0)))</f>
        <v>0.11173828698860948</v>
      </c>
      <c r="AA167" s="6">
        <f ca="1">SQRT($B$9*AVERAGE(W167:OFFSET(W167,$B$8-1,0)))</f>
        <v>0.11712544159181464</v>
      </c>
      <c r="AB167" s="1"/>
      <c r="AC167" s="34">
        <f t="shared" si="20"/>
        <v>2.2347671374197694E-4</v>
      </c>
      <c r="AD167" s="34">
        <f ca="1">SQRT($B$9*SUM(AC167:OFFSET(AC167,$B$5-1,0))/($B$5-1))</f>
        <v>0.13649591331434505</v>
      </c>
      <c r="AE167" s="34">
        <f ca="1">SQRT($B$9*SUM(AC167:OFFSET(AC167,$B$6-1,0))/($B$6-1))</f>
        <v>0.12048313430699766</v>
      </c>
      <c r="AF167" s="34">
        <f ca="1">SQRT($B$9*SUM(AC167:OFFSET(AC167,$B$7-1,0))/($B$7-1))</f>
        <v>0.11059095636792844</v>
      </c>
      <c r="AG167" s="34">
        <f ca="1">SQRT($B$9*SUM(AC167:OFFSET(AC167,$B$8-1,0))/($B$8-1))</f>
        <v>0.11233303156087078</v>
      </c>
      <c r="AH167" s="1"/>
      <c r="AI167" s="1">
        <f t="shared" si="21"/>
        <v>1.4949137558467275E-2</v>
      </c>
      <c r="AJ167" s="4">
        <f ca="1">SQRT($B$9)*_xlfn.STDEV.S(AI167:OFFSET(AI167,$B$5-1,0))</f>
        <v>0.13424494407668469</v>
      </c>
      <c r="AK167" s="4">
        <f ca="1">SQRT($B$9)*_xlfn.STDEV.S(AI167:OFFSET(AI167,$B$6-1,0))</f>
        <v>0.11372846285616571</v>
      </c>
      <c r="AL167" s="4">
        <f ca="1">SQRT($B$9)*_xlfn.STDEV.S(AI167:OFFSET(AI167,$B$7-1,0))</f>
        <v>0.10448645950981446</v>
      </c>
      <c r="AM167" s="4">
        <f ca="1">SQRT($B$9)*_xlfn.STDEV.S(AI167:OFFSET(AI167,$B$8-1,0))</f>
        <v>0.11076042563487752</v>
      </c>
    </row>
    <row r="168" spans="5:39" x14ac:dyDescent="0.2">
      <c r="E168" s="42">
        <v>45428</v>
      </c>
      <c r="F168" s="43">
        <v>2.4663277887357298</v>
      </c>
      <c r="G168" s="43">
        <v>2.4810258089308177</v>
      </c>
      <c r="H168" s="43">
        <v>2.4584888446316828</v>
      </c>
      <c r="I168" s="43">
        <v>2.4722069968137652</v>
      </c>
      <c r="K168" s="3">
        <f t="shared" si="19"/>
        <v>8.3269948438134783E-5</v>
      </c>
      <c r="L168" s="3">
        <f ca="1">SQRT(AVERAGE(K168:OFFSET(K168,$B$5-1,0))*$B$9/(4*LN(2)))</f>
        <v>9.0631075475454168E-2</v>
      </c>
      <c r="M168" s="3">
        <f ca="1">SQRT(AVERAGE(K168:OFFSET(K168,$B$6-1,0))*$B$9/(4*LN(2)))</f>
        <v>8.0901527247822957E-2</v>
      </c>
      <c r="N168" s="3">
        <f ca="1">SQRT(AVERAGE(K168:OFFSET(K168,$B$7-1,0))*$B$9/(4*LN(2)))</f>
        <v>0.10456904857140159</v>
      </c>
      <c r="O168" s="3">
        <f ca="1">SQRT(AVERAGE(K168:OFFSET(K168,$B$8-1,0))*$B$9/(4*LN(2)))</f>
        <v>0.11458631919661015</v>
      </c>
      <c r="P168" s="1"/>
      <c r="Q168" s="5">
        <f t="shared" si="17"/>
        <v>3.9536173340883567E-5</v>
      </c>
      <c r="R168" s="5">
        <f ca="1">SQRT($B$9*AVERAGE((Q168:OFFSET(Q168,$B$5-1,0))))</f>
        <v>0.10139272734135327</v>
      </c>
      <c r="S168" s="5">
        <f ca="1">SQRT($B$9*AVERAGE((Q168:OFFSET(Q168,$B$6-1,0))))</f>
        <v>8.8085186058162179E-2</v>
      </c>
      <c r="T168" s="5">
        <f ca="1">SQRT($B$9*AVERAGE((Q168:OFFSET(Q168,$B$7-1,0))))</f>
        <v>0.11230017152153958</v>
      </c>
      <c r="U168" s="5">
        <f ca="1">SQRT($B$9*AVERAGE((Q168:OFFSET(Q168,$B$8-1,0))))</f>
        <v>0.11740014707096665</v>
      </c>
      <c r="V168" s="1"/>
      <c r="W168" s="6">
        <f t="shared" si="18"/>
        <v>3.8871714462258345E-5</v>
      </c>
      <c r="X168" s="6">
        <f ca="1">SQRT($B$9*AVERAGE(W168:OFFSET(W168,$B$5-1,0)))</f>
        <v>0.10277139998749008</v>
      </c>
      <c r="Y168" s="6">
        <f ca="1">SQRT($B$9*AVERAGE(W168:OFFSET(W168,$B$6-1,0)))</f>
        <v>8.890114564618061E-2</v>
      </c>
      <c r="Z168" s="6">
        <f ca="1">SQRT($B$9*AVERAGE(W168:OFFSET(W168,$B$7-1,0)))</f>
        <v>0.11571879120525828</v>
      </c>
      <c r="AA168" s="6">
        <f ca="1">SQRT($B$9*AVERAGE(W168:OFFSET(W168,$B$8-1,0)))</f>
        <v>0.11822040557333832</v>
      </c>
      <c r="AB168" s="1"/>
      <c r="AC168" s="34">
        <f t="shared" si="20"/>
        <v>1.5772106105074197E-5</v>
      </c>
      <c r="AD168" s="34">
        <f ca="1">SQRT($B$9*SUM(AC168:OFFSET(AC168,$B$5-1,0))/($B$5-1))</f>
        <v>7.3542940559516129E-2</v>
      </c>
      <c r="AE168" s="34">
        <f ca="1">SQRT($B$9*SUM(AC168:OFFSET(AC168,$B$6-1,0))/($B$6-1))</f>
        <v>9.464335966951061E-2</v>
      </c>
      <c r="AF168" s="34">
        <f ca="1">SQRT($B$9*SUM(AC168:OFFSET(AC168,$B$7-1,0))/($B$7-1))</f>
        <v>9.7790513084134362E-2</v>
      </c>
      <c r="AG168" s="34">
        <f ca="1">SQRT($B$9*SUM(AC168:OFFSET(AC168,$B$8-1,0))/($B$8-1))</f>
        <v>0.1082081438637819</v>
      </c>
      <c r="AH168" s="1"/>
      <c r="AI168" s="1">
        <f t="shared" si="21"/>
        <v>3.9714110974657605E-3</v>
      </c>
      <c r="AJ168" s="4">
        <f ca="1">SQRT($B$9)*_xlfn.STDEV.S(AI168:OFFSET(AI168,$B$5-1,0))</f>
        <v>7.1309212066124519E-2</v>
      </c>
      <c r="AK168" s="4">
        <f ca="1">SQRT($B$9)*_xlfn.STDEV.S(AI168:OFFSET(AI168,$B$6-1,0))</f>
        <v>9.4315903562595615E-2</v>
      </c>
      <c r="AL168" s="4">
        <f ca="1">SQRT($B$9)*_xlfn.STDEV.S(AI168:OFFSET(AI168,$B$7-1,0))</f>
        <v>9.5518380965497501E-2</v>
      </c>
      <c r="AM168" s="4">
        <f ca="1">SQRT($B$9)*_xlfn.STDEV.S(AI168:OFFSET(AI168,$B$8-1,0))</f>
        <v>0.10711386235073667</v>
      </c>
    </row>
    <row r="169" spans="5:39" x14ac:dyDescent="0.2">
      <c r="E169" s="42">
        <v>45427</v>
      </c>
      <c r="F169" s="43">
        <v>2.4780862048917998</v>
      </c>
      <c r="G169" s="43">
        <v>2.4839654129698352</v>
      </c>
      <c r="H169" s="43">
        <v>2.4575089766186773</v>
      </c>
      <c r="I169" s="43">
        <v>2.4624083166837063</v>
      </c>
      <c r="K169" s="3">
        <f t="shared" si="19"/>
        <v>1.1466156965946591E-4</v>
      </c>
      <c r="L169" s="3">
        <f ca="1">SQRT(AVERAGE(K169:OFFSET(K169,$B$5-1,0))*$B$9/(4*LN(2)))</f>
        <v>8.9881652624184183E-2</v>
      </c>
      <c r="M169" s="3">
        <f ca="1">SQRT(AVERAGE(K169:OFFSET(K169,$B$6-1,0))*$B$9/(4*LN(2)))</f>
        <v>9.0377283004396444E-2</v>
      </c>
      <c r="N169" s="3">
        <f ca="1">SQRT(AVERAGE(K169:OFFSET(K169,$B$7-1,0))*$B$9/(4*LN(2)))</f>
        <v>0.11325074764729945</v>
      </c>
      <c r="O169" s="3">
        <f ca="1">SQRT(AVERAGE(K169:OFFSET(K169,$B$8-1,0))*$B$9/(4*LN(2)))</f>
        <v>0.11617464436673265</v>
      </c>
      <c r="P169" s="1"/>
      <c r="Q169" s="5">
        <f t="shared" si="17"/>
        <v>4.1693953504890308E-5</v>
      </c>
      <c r="R169" s="5">
        <f ca="1">SQRT($B$9*AVERAGE((Q169:OFFSET(Q169,$B$5-1,0))))</f>
        <v>9.6607872347212978E-2</v>
      </c>
      <c r="S169" s="5">
        <f ca="1">SQRT($B$9*AVERAGE((Q169:OFFSET(Q169,$B$6-1,0))))</f>
        <v>9.8150555571167364E-2</v>
      </c>
      <c r="T169" s="5">
        <f ca="1">SQRT($B$9*AVERAGE((Q169:OFFSET(Q169,$B$7-1,0))))</f>
        <v>0.11432274938284828</v>
      </c>
      <c r="U169" s="5">
        <f ca="1">SQRT($B$9*AVERAGE((Q169:OFFSET(Q169,$B$8-1,0))))</f>
        <v>0.11884695850680946</v>
      </c>
      <c r="V169" s="1"/>
      <c r="W169" s="6">
        <f t="shared" si="18"/>
        <v>3.7261881150300533E-5</v>
      </c>
      <c r="X169" s="6">
        <f ca="1">SQRT($B$9*AVERAGE(W169:OFFSET(W169,$B$5-1,0)))</f>
        <v>9.7449995780358983E-2</v>
      </c>
      <c r="Y169" s="6">
        <f ca="1">SQRT($B$9*AVERAGE(W169:OFFSET(W169,$B$6-1,0)))</f>
        <v>0.10015266540924173</v>
      </c>
      <c r="Z169" s="6">
        <f ca="1">SQRT($B$9*AVERAGE(W169:OFFSET(W169,$B$7-1,0)))</f>
        <v>0.11509479522515927</v>
      </c>
      <c r="AA169" s="6">
        <f ca="1">SQRT($B$9*AVERAGE(W169:OFFSET(W169,$B$8-1,0)))</f>
        <v>0.11984527457460839</v>
      </c>
      <c r="AB169" s="1"/>
      <c r="AC169" s="34">
        <f t="shared" si="20"/>
        <v>5.0939952173596325E-5</v>
      </c>
      <c r="AD169" s="34">
        <f ca="1">SQRT($B$9*SUM(AC169:OFFSET(AC169,$B$5-1,0))/($B$5-1))</f>
        <v>8.3042591936017957E-2</v>
      </c>
      <c r="AE169" s="34">
        <f ca="1">SQRT($B$9*SUM(AC169:OFFSET(AC169,$B$6-1,0))/($B$6-1))</f>
        <v>9.7495032443284169E-2</v>
      </c>
      <c r="AF169" s="34">
        <f ca="1">SQRT($B$9*SUM(AC169:OFFSET(AC169,$B$7-1,0))/($B$7-1))</f>
        <v>0.12167938710292865</v>
      </c>
      <c r="AG169" s="34">
        <f ca="1">SQRT($B$9*SUM(AC169:OFFSET(AC169,$B$8-1,0))/($B$8-1))</f>
        <v>0.11075936997504048</v>
      </c>
      <c r="AH169" s="1"/>
      <c r="AI169" s="1">
        <f t="shared" si="21"/>
        <v>-7.1372230015319211E-3</v>
      </c>
      <c r="AJ169" s="4">
        <f ca="1">SQRT($B$9)*_xlfn.STDEV.S(AI169:OFFSET(AI169,$B$5-1,0))</f>
        <v>8.2469917183490976E-2</v>
      </c>
      <c r="AK169" s="4">
        <f ca="1">SQRT($B$9)*_xlfn.STDEV.S(AI169:OFFSET(AI169,$B$6-1,0))</f>
        <v>9.6849660628443704E-2</v>
      </c>
      <c r="AL169" s="4">
        <f ca="1">SQRT($B$9)*_xlfn.STDEV.S(AI169:OFFSET(AI169,$B$7-1,0))</f>
        <v>0.11675355122853505</v>
      </c>
      <c r="AM169" s="4">
        <f ca="1">SQRT($B$9)*_xlfn.STDEV.S(AI169:OFFSET(AI169,$B$8-1,0))</f>
        <v>0.10936325122510859</v>
      </c>
    </row>
    <row r="170" spans="5:39" x14ac:dyDescent="0.2">
      <c r="E170" s="42">
        <v>45426</v>
      </c>
      <c r="F170" s="43">
        <v>2.4878848850218587</v>
      </c>
      <c r="G170" s="43">
        <v>2.4927842250868877</v>
      </c>
      <c r="H170" s="43">
        <v>2.4741667328397767</v>
      </c>
      <c r="I170" s="43">
        <v>2.4800459409178117</v>
      </c>
      <c r="K170" s="3">
        <f t="shared" si="19"/>
        <v>5.6198752935882329E-5</v>
      </c>
      <c r="L170" s="3">
        <f ca="1">SQRT(AVERAGE(K170:OFFSET(K170,$B$5-1,0))*$B$9/(4*LN(2)))</f>
        <v>8.1213324018538743E-2</v>
      </c>
      <c r="M170" s="3">
        <f ca="1">SQRT(AVERAGE(K170:OFFSET(K170,$B$6-1,0))*$B$9/(4*LN(2)))</f>
        <v>9.4910190494873231E-2</v>
      </c>
      <c r="N170" s="3">
        <f ca="1">SQRT(AVERAGE(K170:OFFSET(K170,$B$7-1,0))*$B$9/(4*LN(2)))</f>
        <v>0.11464043659824631</v>
      </c>
      <c r="O170" s="3">
        <f ca="1">SQRT(AVERAGE(K170:OFFSET(K170,$B$8-1,0))*$B$9/(4*LN(2)))</f>
        <v>0.12280361904590224</v>
      </c>
      <c r="P170" s="1"/>
      <c r="Q170" s="5">
        <f t="shared" si="17"/>
        <v>2.4276252303780115E-5</v>
      </c>
      <c r="R170" s="5">
        <f ca="1">SQRT($B$9*AVERAGE((Q170:OFFSET(Q170,$B$5-1,0))))</f>
        <v>8.7639800270932239E-2</v>
      </c>
      <c r="S170" s="5">
        <f ca="1">SQRT($B$9*AVERAGE((Q170:OFFSET(Q170,$B$6-1,0))))</f>
        <v>9.9835926816490755E-2</v>
      </c>
      <c r="T170" s="5">
        <f ca="1">SQRT($B$9*AVERAGE((Q170:OFFSET(Q170,$B$7-1,0))))</f>
        <v>0.11564937046255587</v>
      </c>
      <c r="U170" s="5">
        <f ca="1">SQRT($B$9*AVERAGE((Q170:OFFSET(Q170,$B$8-1,0))))</f>
        <v>0.12217935924932768</v>
      </c>
      <c r="V170" s="1"/>
      <c r="W170" s="6">
        <f t="shared" si="18"/>
        <v>2.3202221763902359E-5</v>
      </c>
      <c r="X170" s="6">
        <f ca="1">SQRT($B$9*AVERAGE(W170:OFFSET(W170,$B$5-1,0)))</f>
        <v>8.9235432068318285E-2</v>
      </c>
      <c r="Y170" s="6">
        <f ca="1">SQRT($B$9*AVERAGE(W170:OFFSET(W170,$B$6-1,0)))</f>
        <v>0.10125699427339038</v>
      </c>
      <c r="Z170" s="6">
        <f ca="1">SQRT($B$9*AVERAGE(W170:OFFSET(W170,$B$7-1,0)))</f>
        <v>0.11624909490229844</v>
      </c>
      <c r="AA170" s="6">
        <f ca="1">SQRT($B$9*AVERAGE(W170:OFFSET(W170,$B$8-1,0)))</f>
        <v>0.12160818772293649</v>
      </c>
      <c r="AB170" s="1"/>
      <c r="AC170" s="34">
        <f t="shared" si="20"/>
        <v>1.2599656379380694E-5</v>
      </c>
      <c r="AD170" s="34">
        <f ca="1">SQRT($B$9*SUM(AC170:OFFSET(AC170,$B$5-1,0))/($B$5-1))</f>
        <v>7.7027861864008881E-2</v>
      </c>
      <c r="AE170" s="34">
        <f ca="1">SQRT($B$9*SUM(AC170:OFFSET(AC170,$B$6-1,0))/($B$6-1))</f>
        <v>0.10999522652243228</v>
      </c>
      <c r="AF170" s="34">
        <f ca="1">SQRT($B$9*SUM(AC170:OFFSET(AC170,$B$7-1,0))/($B$7-1))</f>
        <v>0.1229684329849951</v>
      </c>
      <c r="AG170" s="34">
        <f ca="1">SQRT($B$9*SUM(AC170:OFFSET(AC170,$B$8-1,0))/($B$8-1))</f>
        <v>0.12256476497621584</v>
      </c>
      <c r="AH170" s="1"/>
      <c r="AI170" s="1">
        <f t="shared" si="21"/>
        <v>-3.5495994674583629E-3</v>
      </c>
      <c r="AJ170" s="4">
        <f ca="1">SQRT($B$9)*_xlfn.STDEV.S(AI170:OFFSET(AI170,$B$5-1,0))</f>
        <v>7.6829312674050382E-2</v>
      </c>
      <c r="AK170" s="4">
        <f ca="1">SQRT($B$9)*_xlfn.STDEV.S(AI170:OFFSET(AI170,$B$6-1,0))</f>
        <v>0.10127343937474494</v>
      </c>
      <c r="AL170" s="4">
        <f ca="1">SQRT($B$9)*_xlfn.STDEV.S(AI170:OFFSET(AI170,$B$7-1,0))</f>
        <v>0.11844953705017143</v>
      </c>
      <c r="AM170" s="4">
        <f ca="1">SQRT($B$9)*_xlfn.STDEV.S(AI170:OFFSET(AI170,$B$8-1,0))</f>
        <v>0.11967915772549903</v>
      </c>
    </row>
    <row r="171" spans="5:39" x14ac:dyDescent="0.2">
      <c r="E171" s="42">
        <v>45425</v>
      </c>
      <c r="F171" s="43">
        <v>2.4839654129698352</v>
      </c>
      <c r="G171" s="43">
        <v>2.4957238291259056</v>
      </c>
      <c r="H171" s="43">
        <v>2.4692673927747473</v>
      </c>
      <c r="I171" s="43">
        <v>2.4888647530348647</v>
      </c>
      <c r="K171" s="3">
        <f t="shared" si="19"/>
        <v>1.1357792550529941E-4</v>
      </c>
      <c r="L171" s="3">
        <f ca="1">SQRT(AVERAGE(K171:OFFSET(K171,$B$5-1,0))*$B$9/(4*LN(2)))</f>
        <v>7.8378171795063081E-2</v>
      </c>
      <c r="M171" s="3">
        <f ca="1">SQRT(AVERAGE(K171:OFFSET(K171,$B$6-1,0))*$B$9/(4*LN(2)))</f>
        <v>9.7862890914168249E-2</v>
      </c>
      <c r="N171" s="3">
        <f ca="1">SQRT(AVERAGE(K171:OFFSET(K171,$B$7-1,0))*$B$9/(4*LN(2)))</f>
        <v>0.11560237353714903</v>
      </c>
      <c r="O171" s="3">
        <f ca="1">SQRT(AVERAGE(K171:OFFSET(K171,$B$8-1,0))*$B$9/(4*LN(2)))</f>
        <v>0.12790900871799596</v>
      </c>
      <c r="P171" s="1"/>
      <c r="Q171" s="5">
        <f t="shared" si="17"/>
        <v>5.5531615908426041E-5</v>
      </c>
      <c r="R171" s="5">
        <f ca="1">SQRT($B$9*AVERAGE((Q171:OFFSET(Q171,$B$5-1,0))))</f>
        <v>8.4471080760530476E-2</v>
      </c>
      <c r="S171" s="5">
        <f ca="1">SQRT($B$9*AVERAGE((Q171:OFFSET(Q171,$B$6-1,0))))</f>
        <v>0.1028877832797537</v>
      </c>
      <c r="T171" s="5">
        <f ca="1">SQRT($B$9*AVERAGE((Q171:OFFSET(Q171,$B$7-1,0))))</f>
        <v>0.11705286971777651</v>
      </c>
      <c r="U171" s="5">
        <f ca="1">SQRT($B$9*AVERAGE((Q171:OFFSET(Q171,$B$8-1,0))))</f>
        <v>0.12775356039803645</v>
      </c>
      <c r="V171" s="1"/>
      <c r="W171" s="6">
        <f t="shared" si="18"/>
        <v>5.9912174791104914E-5</v>
      </c>
      <c r="X171" s="6">
        <f ca="1">SQRT($B$9*AVERAGE(W171:OFFSET(W171,$B$5-1,0)))</f>
        <v>8.6334413052464684E-2</v>
      </c>
      <c r="Y171" s="6">
        <f ca="1">SQRT($B$9*AVERAGE(W171:OFFSET(W171,$B$6-1,0)))</f>
        <v>0.10405945943754859</v>
      </c>
      <c r="Z171" s="6">
        <f ca="1">SQRT($B$9*AVERAGE(W171:OFFSET(W171,$B$7-1,0)))</f>
        <v>0.11769948079046441</v>
      </c>
      <c r="AA171" s="6">
        <f ca="1">SQRT($B$9*AVERAGE(W171:OFFSET(W171,$B$8-1,0)))</f>
        <v>0.12681245808208388</v>
      </c>
      <c r="AB171" s="1"/>
      <c r="AC171" s="34">
        <f t="shared" si="20"/>
        <v>1.3933569308649023E-6</v>
      </c>
      <c r="AD171" s="34">
        <f ca="1">SQRT($B$9*SUM(AC171:OFFSET(AC171,$B$5-1,0))/($B$5-1))</f>
        <v>7.348683420587987E-2</v>
      </c>
      <c r="AE171" s="34">
        <f ca="1">SQRT($B$9*SUM(AC171:OFFSET(AC171,$B$6-1,0))/($B$6-1))</f>
        <v>0.11009033803198509</v>
      </c>
      <c r="AF171" s="34">
        <f ca="1">SQRT($B$9*SUM(AC171:OFFSET(AC171,$B$7-1,0))/($B$7-1))</f>
        <v>0.1223417393961924</v>
      </c>
      <c r="AG171" s="34">
        <f ca="1">SQRT($B$9*SUM(AC171:OFFSET(AC171,$B$8-1,0))/($B$8-1))</f>
        <v>0.12378427165004831</v>
      </c>
      <c r="AH171" s="1"/>
      <c r="AI171" s="1">
        <f t="shared" si="21"/>
        <v>-1.1804054095372921E-3</v>
      </c>
      <c r="AJ171" s="4">
        <f ca="1">SQRT($B$9)*_xlfn.STDEV.S(AI171:OFFSET(AI171,$B$5-1,0))</f>
        <v>7.2178176573517286E-2</v>
      </c>
      <c r="AK171" s="4">
        <f ca="1">SQRT($B$9)*_xlfn.STDEV.S(AI171:OFFSET(AI171,$B$6-1,0))</f>
        <v>9.5473471448907832E-2</v>
      </c>
      <c r="AL171" s="4">
        <f ca="1">SQRT($B$9)*_xlfn.STDEV.S(AI171:OFFSET(AI171,$B$7-1,0))</f>
        <v>0.11716289012352928</v>
      </c>
      <c r="AM171" s="4">
        <f ca="1">SQRT($B$9)*_xlfn.STDEV.S(AI171:OFFSET(AI171,$B$8-1,0))</f>
        <v>0.12014430903536202</v>
      </c>
    </row>
    <row r="172" spans="5:39" x14ac:dyDescent="0.2">
      <c r="E172" s="42">
        <v>45422</v>
      </c>
      <c r="F172" s="43">
        <v>2.4908244890608757</v>
      </c>
      <c r="G172" s="43">
        <v>2.4986634331649227</v>
      </c>
      <c r="H172" s="43">
        <v>2.4741667328397767</v>
      </c>
      <c r="I172" s="43">
        <v>2.4918043570738821</v>
      </c>
      <c r="K172" s="3">
        <f t="shared" si="19"/>
        <v>9.7067745200975469E-5</v>
      </c>
      <c r="L172" s="3">
        <f ca="1">SQRT(AVERAGE(K172:OFFSET(K172,$B$5-1,0))*$B$9/(4*LN(2)))</f>
        <v>7.3164310112768818E-2</v>
      </c>
      <c r="M172" s="3">
        <f ca="1">SQRT(AVERAGE(K172:OFFSET(K172,$B$6-1,0))*$B$9/(4*LN(2)))</f>
        <v>9.6361072196677361E-2</v>
      </c>
      <c r="N172" s="3">
        <f ca="1">SQRT(AVERAGE(K172:OFFSET(K172,$B$7-1,0))*$B$9/(4*LN(2)))</f>
        <v>0.11529102699699796</v>
      </c>
      <c r="O172" s="3">
        <f ca="1">SQRT(AVERAGE(K172:OFFSET(K172,$B$8-1,0))*$B$9/(4*LN(2)))</f>
        <v>0.13540358227220736</v>
      </c>
      <c r="P172" s="1"/>
      <c r="Q172" s="5">
        <f t="shared" si="17"/>
        <v>4.8767824487285434E-5</v>
      </c>
      <c r="R172" s="5">
        <f ca="1">SQRT($B$9*AVERAGE((Q172:OFFSET(Q172,$B$5-1,0))))</f>
        <v>7.807241648080028E-2</v>
      </c>
      <c r="S172" s="5">
        <f ca="1">SQRT($B$9*AVERAGE((Q172:OFFSET(Q172,$B$6-1,0))))</f>
        <v>0.1010153813222088</v>
      </c>
      <c r="T172" s="5">
        <f ca="1">SQRT($B$9*AVERAGE((Q172:OFFSET(Q172,$B$7-1,0))))</f>
        <v>0.11647888548992688</v>
      </c>
      <c r="U172" s="5">
        <f ca="1">SQRT($B$9*AVERAGE((Q172:OFFSET(Q172,$B$8-1,0))))</f>
        <v>0.13785540309113736</v>
      </c>
      <c r="V172" s="1"/>
      <c r="W172" s="6">
        <f t="shared" si="18"/>
        <v>5.6302225289345533E-5</v>
      </c>
      <c r="X172" s="6">
        <f ca="1">SQRT($B$9*AVERAGE(W172:OFFSET(W172,$B$5-1,0)))</f>
        <v>7.8888534145993339E-2</v>
      </c>
      <c r="Y172" s="6">
        <f ca="1">SQRT($B$9*AVERAGE(W172:OFFSET(W172,$B$6-1,0)))</f>
        <v>0.1024492572826831</v>
      </c>
      <c r="Z172" s="6">
        <f ca="1">SQRT($B$9*AVERAGE(W172:OFFSET(W172,$B$7-1,0)))</f>
        <v>0.11690217080425755</v>
      </c>
      <c r="AA172" s="6">
        <f ca="1">SQRT($B$9*AVERAGE(W172:OFFSET(W172,$B$8-1,0)))</f>
        <v>0.1391590125535753</v>
      </c>
      <c r="AB172" s="1"/>
      <c r="AC172" s="34">
        <f t="shared" si="20"/>
        <v>7.59801585827609E-6</v>
      </c>
      <c r="AD172" s="34">
        <f ca="1">SQRT($B$9*SUM(AC172:OFFSET(AC172,$B$5-1,0))/($B$5-1))</f>
        <v>0.11844949711361538</v>
      </c>
      <c r="AE172" s="34">
        <f ca="1">SQRT($B$9*SUM(AC172:OFFSET(AC172,$B$6-1,0))/($B$6-1))</f>
        <v>0.11195860272349108</v>
      </c>
      <c r="AF172" s="34">
        <f ca="1">SQRT($B$9*SUM(AC172:OFFSET(AC172,$B$7-1,0))/($B$7-1))</f>
        <v>0.1225882971239369</v>
      </c>
      <c r="AG172" s="34">
        <f ca="1">SQRT($B$9*SUM(AC172:OFFSET(AC172,$B$8-1,0))/($B$8-1))</f>
        <v>0.12448777222860036</v>
      </c>
      <c r="AH172" s="1"/>
      <c r="AI172" s="1">
        <f t="shared" si="21"/>
        <v>2.7564498650031874E-3</v>
      </c>
      <c r="AJ172" s="4">
        <f ca="1">SQRT($B$9)*_xlfn.STDEV.S(AI172:OFFSET(AI172,$B$5-1,0))</f>
        <v>0.1023113346251167</v>
      </c>
      <c r="AK172" s="4">
        <f ca="1">SQRT($B$9)*_xlfn.STDEV.S(AI172:OFFSET(AI172,$B$6-1,0))</f>
        <v>9.221469184397256E-2</v>
      </c>
      <c r="AL172" s="4">
        <f ca="1">SQRT($B$9)*_xlfn.STDEV.S(AI172:OFFSET(AI172,$B$7-1,0))</f>
        <v>0.11772479292089347</v>
      </c>
      <c r="AM172" s="4">
        <f ca="1">SQRT($B$9)*_xlfn.STDEV.S(AI172:OFFSET(AI172,$B$8-1,0))</f>
        <v>0.1212110990100547</v>
      </c>
    </row>
    <row r="173" spans="5:39" x14ac:dyDescent="0.2">
      <c r="E173" s="42">
        <v>45421</v>
      </c>
      <c r="F173" s="43">
        <v>2.4682875247617417</v>
      </c>
      <c r="G173" s="43">
        <v>2.4898446210478702</v>
      </c>
      <c r="H173" s="43">
        <v>2.4682875247617417</v>
      </c>
      <c r="I173" s="43">
        <v>2.4849452809828412</v>
      </c>
      <c r="K173" s="3">
        <f t="shared" si="19"/>
        <v>7.5615319665561843E-5</v>
      </c>
      <c r="L173" s="3">
        <f ca="1">SQRT(AVERAGE(K173:OFFSET(K173,$B$5-1,0))*$B$9/(4*LN(2)))</f>
        <v>6.982923728799427E-2</v>
      </c>
      <c r="M173" s="3">
        <f ca="1">SQRT(AVERAGE(K173:OFFSET(K173,$B$6-1,0))*$B$9/(4*LN(2)))</f>
        <v>9.4084826966134613E-2</v>
      </c>
      <c r="N173" s="3">
        <f ca="1">SQRT(AVERAGE(K173:OFFSET(K173,$B$7-1,0))*$B$9/(4*LN(2)))</f>
        <v>0.11471386813851193</v>
      </c>
      <c r="O173" s="3">
        <f ca="1">SQRT(AVERAGE(K173:OFFSET(K173,$B$8-1,0))*$B$9/(4*LN(2)))</f>
        <v>0.13593753695905919</v>
      </c>
      <c r="P173" s="1"/>
      <c r="Q173" s="5">
        <f t="shared" si="17"/>
        <v>2.0201394600830325E-5</v>
      </c>
      <c r="R173" s="5">
        <f ca="1">SQRT($B$9*AVERAGE((Q173:OFFSET(Q173,$B$5-1,0))))</f>
        <v>7.2370676714288706E-2</v>
      </c>
      <c r="S173" s="5">
        <f ca="1">SQRT($B$9*AVERAGE((Q173:OFFSET(Q173,$B$6-1,0))))</f>
        <v>9.7157498303329412E-2</v>
      </c>
      <c r="T173" s="5">
        <f ca="1">SQRT($B$9*AVERAGE((Q173:OFFSET(Q173,$B$7-1,0))))</f>
        <v>0.11517663538769501</v>
      </c>
      <c r="U173" s="5">
        <f ca="1">SQRT($B$9*AVERAGE((Q173:OFFSET(Q173,$B$8-1,0))))</f>
        <v>0.1385835744021853</v>
      </c>
      <c r="V173" s="1"/>
      <c r="W173" s="6">
        <f t="shared" si="18"/>
        <v>1.7127653690897338E-5</v>
      </c>
      <c r="X173" s="6">
        <f ca="1">SQRT($B$9*AVERAGE(W173:OFFSET(W173,$B$5-1,0)))</f>
        <v>7.2421452201803876E-2</v>
      </c>
      <c r="Y173" s="6">
        <f ca="1">SQRT($B$9*AVERAGE(W173:OFFSET(W173,$B$6-1,0)))</f>
        <v>9.7564887942809778E-2</v>
      </c>
      <c r="Z173" s="6">
        <f ca="1">SQRT($B$9*AVERAGE(W173:OFFSET(W173,$B$7-1,0)))</f>
        <v>0.11506147746954333</v>
      </c>
      <c r="AA173" s="6">
        <f ca="1">SQRT($B$9*AVERAGE(W173:OFFSET(W173,$B$8-1,0)))</f>
        <v>0.14002924631057051</v>
      </c>
      <c r="AB173" s="1"/>
      <c r="AC173" s="34">
        <f t="shared" si="20"/>
        <v>4.0057950501996168E-5</v>
      </c>
      <c r="AD173" s="34">
        <f ca="1">SQRT($B$9*SUM(AC173:OFFSET(AC173,$B$5-1,0))/($B$5-1))</f>
        <v>0.1214310847160119</v>
      </c>
      <c r="AE173" s="34">
        <f ca="1">SQRT($B$9*SUM(AC173:OFFSET(AC173,$B$6-1,0))/($B$6-1))</f>
        <v>0.11442094296176017</v>
      </c>
      <c r="AF173" s="34">
        <f ca="1">SQRT($B$9*SUM(AC173:OFFSET(AC173,$B$7-1,0))/($B$7-1))</f>
        <v>0.12367256149073134</v>
      </c>
      <c r="AG173" s="34">
        <f ca="1">SQRT($B$9*SUM(AC173:OFFSET(AC173,$B$8-1,0))/($B$8-1))</f>
        <v>0.12461915851167554</v>
      </c>
      <c r="AH173" s="1"/>
      <c r="AI173" s="1">
        <f t="shared" si="21"/>
        <v>6.3291350516477499E-3</v>
      </c>
      <c r="AJ173" s="4">
        <f ca="1">SQRT($B$9)*_xlfn.STDEV.S(AI173:OFFSET(AI173,$B$5-1,0))</f>
        <v>0.11637524637054504</v>
      </c>
      <c r="AK173" s="4">
        <f ca="1">SQRT($B$9)*_xlfn.STDEV.S(AI173:OFFSET(AI173,$B$6-1,0))</f>
        <v>0.10282005848455407</v>
      </c>
      <c r="AL173" s="4">
        <f ca="1">SQRT($B$9)*_xlfn.STDEV.S(AI173:OFFSET(AI173,$B$7-1,0))</f>
        <v>0.12053009543140955</v>
      </c>
      <c r="AM173" s="4">
        <f ca="1">SQRT($B$9)*_xlfn.STDEV.S(AI173:OFFSET(AI173,$B$8-1,0))</f>
        <v>0.12174419621195948</v>
      </c>
    </row>
    <row r="174" spans="5:39" x14ac:dyDescent="0.2">
      <c r="E174" s="42">
        <v>45420</v>
      </c>
      <c r="F174" s="43">
        <v>2.4800459409178117</v>
      </c>
      <c r="G174" s="43">
        <v>2.4810258089308177</v>
      </c>
      <c r="H174" s="43">
        <v>2.4673076567487353</v>
      </c>
      <c r="I174" s="43">
        <v>2.4692673927747473</v>
      </c>
      <c r="K174" s="3">
        <f t="shared" si="19"/>
        <v>3.0742241622954871E-5</v>
      </c>
      <c r="L174" s="3">
        <f ca="1">SQRT(AVERAGE(K174:OFFSET(K174,$B$5-1,0))*$B$9/(4*LN(2)))</f>
        <v>9.0870210124435247E-2</v>
      </c>
      <c r="M174" s="3">
        <f ca="1">SQRT(AVERAGE(K174:OFFSET(K174,$B$6-1,0))*$B$9/(4*LN(2)))</f>
        <v>9.7397695605255463E-2</v>
      </c>
      <c r="N174" s="3">
        <f ca="1">SQRT(AVERAGE(K174:OFFSET(K174,$B$7-1,0))*$B$9/(4*LN(2)))</f>
        <v>0.115257526748491</v>
      </c>
      <c r="O174" s="3">
        <f ca="1">SQRT(AVERAGE(K174:OFFSET(K174,$B$8-1,0))*$B$9/(4*LN(2)))</f>
        <v>0.1366485625528521</v>
      </c>
      <c r="P174" s="1"/>
      <c r="Q174" s="5">
        <f t="shared" si="17"/>
        <v>7.9725982410840879E-6</v>
      </c>
      <c r="R174" s="5">
        <f ca="1">SQRT($B$9*AVERAGE((Q174:OFFSET(Q174,$B$5-1,0))))</f>
        <v>9.9669363991159443E-2</v>
      </c>
      <c r="S174" s="5">
        <f ca="1">SQRT($B$9*AVERAGE((Q174:OFFSET(Q174,$B$6-1,0))))</f>
        <v>0.10357146906142659</v>
      </c>
      <c r="T174" s="5">
        <f ca="1">SQRT($B$9*AVERAGE((Q174:OFFSET(Q174,$B$7-1,0))))</f>
        <v>0.11673826147932961</v>
      </c>
      <c r="U174" s="5">
        <f ca="1">SQRT($B$9*AVERAGE((Q174:OFFSET(Q174,$B$8-1,0))))</f>
        <v>0.13977300366547665</v>
      </c>
      <c r="V174" s="1"/>
      <c r="W174" s="6">
        <f t="shared" si="18"/>
        <v>5.9651599018814489E-6</v>
      </c>
      <c r="X174" s="6">
        <f ca="1">SQRT($B$9*AVERAGE(W174:OFFSET(W174,$B$5-1,0)))</f>
        <v>0.10278429403152541</v>
      </c>
      <c r="Y174" s="6">
        <f ca="1">SQRT($B$9*AVERAGE(W174:OFFSET(W174,$B$6-1,0)))</f>
        <v>0.10691235019746913</v>
      </c>
      <c r="Z174" s="6">
        <f ca="1">SQRT($B$9*AVERAGE(W174:OFFSET(W174,$B$7-1,0)))</f>
        <v>0.11674885672834216</v>
      </c>
      <c r="AA174" s="6">
        <f ca="1">SQRT($B$9*AVERAGE(W174:OFFSET(W174,$B$8-1,0)))</f>
        <v>0.14127107418883667</v>
      </c>
      <c r="AB174" s="1"/>
      <c r="AC174" s="34">
        <f t="shared" si="20"/>
        <v>3.5221085690148804E-5</v>
      </c>
      <c r="AD174" s="34">
        <f ca="1">SQRT($B$9*SUM(AC174:OFFSET(AC174,$B$5-1,0))/($B$5-1))</f>
        <v>0.12037778434811519</v>
      </c>
      <c r="AE174" s="34">
        <f ca="1">SQRT($B$9*SUM(AC174:OFFSET(AC174,$B$6-1,0))/($B$6-1))</f>
        <v>0.10987967292130879</v>
      </c>
      <c r="AF174" s="34">
        <f ca="1">SQRT($B$9*SUM(AC174:OFFSET(AC174,$B$7-1,0))/($B$7-1))</f>
        <v>0.12304267208343062</v>
      </c>
      <c r="AG174" s="34">
        <f ca="1">SQRT($B$9*SUM(AC174:OFFSET(AC174,$B$8-1,0))/($B$8-1))</f>
        <v>0.12456959167678086</v>
      </c>
      <c r="AH174" s="1"/>
      <c r="AI174" s="1">
        <f t="shared" si="21"/>
        <v>-5.9347355198145777E-3</v>
      </c>
      <c r="AJ174" s="4">
        <f ca="1">SQRT($B$9)*_xlfn.STDEV.S(AI174:OFFSET(AI174,$B$5-1,0))</f>
        <v>0.11562449849996161</v>
      </c>
      <c r="AK174" s="4">
        <f ca="1">SQRT($B$9)*_xlfn.STDEV.S(AI174:OFFSET(AI174,$B$6-1,0))</f>
        <v>0.10343471696519654</v>
      </c>
      <c r="AL174" s="4">
        <f ca="1">SQRT($B$9)*_xlfn.STDEV.S(AI174:OFFSET(AI174,$B$7-1,0))</f>
        <v>0.12166354815493678</v>
      </c>
      <c r="AM174" s="4">
        <f ca="1">SQRT($B$9)*_xlfn.STDEV.S(AI174:OFFSET(AI174,$B$8-1,0))</f>
        <v>0.12236225585464386</v>
      </c>
    </row>
    <row r="175" spans="5:39" x14ac:dyDescent="0.2">
      <c r="E175" s="42">
        <v>45419</v>
      </c>
      <c r="F175" s="43">
        <v>2.4780862048917998</v>
      </c>
      <c r="G175" s="43">
        <v>2.4869050170088527</v>
      </c>
      <c r="H175" s="43">
        <v>2.4731868648267707</v>
      </c>
      <c r="I175" s="43">
        <v>2.4839654129698352</v>
      </c>
      <c r="K175" s="3">
        <f t="shared" si="19"/>
        <v>3.059665825183845E-5</v>
      </c>
      <c r="L175" s="3">
        <f ca="1">SQRT(AVERAGE(K175:OFFSET(K175,$B$5-1,0))*$B$9/(4*LN(2)))</f>
        <v>0.10686573127717833</v>
      </c>
      <c r="M175" s="3">
        <f ca="1">SQRT(AVERAGE(K175:OFFSET(K175,$B$6-1,0))*$B$9/(4*LN(2)))</f>
        <v>9.9908958902146294E-2</v>
      </c>
      <c r="N175" s="3">
        <f ca="1">SQRT(AVERAGE(K175:OFFSET(K175,$B$7-1,0))*$B$9/(4*LN(2)))</f>
        <v>0.11557910602739718</v>
      </c>
      <c r="O175" s="3">
        <f ca="1">SQRT(AVERAGE(K175:OFFSET(K175,$B$8-1,0))*$B$9/(4*LN(2)))</f>
        <v>0.1376357568138129</v>
      </c>
      <c r="P175" s="1"/>
      <c r="Q175" s="5">
        <f t="shared" si="17"/>
        <v>1.3146229718538624E-5</v>
      </c>
      <c r="R175" s="5">
        <f ca="1">SQRT($B$9*AVERAGE((Q175:OFFSET(Q175,$B$5-1,0))))</f>
        <v>0.1106963864590281</v>
      </c>
      <c r="S175" s="5">
        <f ca="1">SQRT($B$9*AVERAGE((Q175:OFFSET(Q175,$B$6-1,0))))</f>
        <v>0.10743299413957362</v>
      </c>
      <c r="T175" s="5">
        <f ca="1">SQRT($B$9*AVERAGE((Q175:OFFSET(Q175,$B$7-1,0))))</f>
        <v>0.11729696741669711</v>
      </c>
      <c r="U175" s="5">
        <f ca="1">SQRT($B$9*AVERAGE((Q175:OFFSET(Q175,$B$8-1,0))))</f>
        <v>0.14061233101661555</v>
      </c>
      <c r="V175" s="1"/>
      <c r="W175" s="6">
        <f t="shared" si="18"/>
        <v>1.2807702186231669E-5</v>
      </c>
      <c r="X175" s="6">
        <f ca="1">SQRT($B$9*AVERAGE(W175:OFFSET(W175,$B$5-1,0)))</f>
        <v>0.11199551527692252</v>
      </c>
      <c r="Y175" s="6">
        <f ca="1">SQRT($B$9*AVERAGE(W175:OFFSET(W175,$B$6-1,0)))</f>
        <v>0.11087216296145999</v>
      </c>
      <c r="Z175" s="6">
        <f ca="1">SQRT($B$9*AVERAGE(W175:OFFSET(W175,$B$7-1,0)))</f>
        <v>0.11740196194870396</v>
      </c>
      <c r="AA175" s="6">
        <f ca="1">SQRT($B$9*AVERAGE(W175:OFFSET(W175,$B$8-1,0)))</f>
        <v>0.14200634506267332</v>
      </c>
      <c r="AB175" s="1"/>
      <c r="AC175" s="34">
        <f t="shared" si="20"/>
        <v>3.8979959428360915E-6</v>
      </c>
      <c r="AD175" s="34">
        <f ca="1">SQRT($B$9*SUM(AC175:OFFSET(AC175,$B$5-1,0))/($B$5-1))</f>
        <v>0.14590868951687505</v>
      </c>
      <c r="AE175" s="34">
        <f ca="1">SQRT($B$9*SUM(AC175:OFFSET(AC175,$B$6-1,0))/($B$6-1))</f>
        <v>0.11070311171165483</v>
      </c>
      <c r="AF175" s="34">
        <f ca="1">SQRT($B$9*SUM(AC175:OFFSET(AC175,$B$7-1,0))/($B$7-1))</f>
        <v>0.12174124622676211</v>
      </c>
      <c r="AG175" s="34">
        <f ca="1">SQRT($B$9*SUM(AC175:OFFSET(AC175,$B$8-1,0))/($B$8-1))</f>
        <v>0.12793668764505298</v>
      </c>
      <c r="AH175" s="1"/>
      <c r="AI175" s="1">
        <f t="shared" si="21"/>
        <v>1.9743343037176078E-3</v>
      </c>
      <c r="AJ175" s="4">
        <f ca="1">SQRT($B$9)*_xlfn.STDEV.S(AI175:OFFSET(AI175,$B$5-1,0))</f>
        <v>0.10936330838404761</v>
      </c>
      <c r="AK175" s="4">
        <f ca="1">SQRT($B$9)*_xlfn.STDEV.S(AI175:OFFSET(AI175,$B$6-1,0))</f>
        <v>0.10462020962305034</v>
      </c>
      <c r="AL175" s="4">
        <f ca="1">SQRT($B$9)*_xlfn.STDEV.S(AI175:OFFSET(AI175,$B$7-1,0))</f>
        <v>0.11999734422055852</v>
      </c>
      <c r="AM175" s="4">
        <f ca="1">SQRT($B$9)*_xlfn.STDEV.S(AI175:OFFSET(AI175,$B$8-1,0))</f>
        <v>0.12622915717956826</v>
      </c>
    </row>
    <row r="176" spans="5:39" x14ac:dyDescent="0.2">
      <c r="E176" s="42">
        <v>45418</v>
      </c>
      <c r="F176" s="43">
        <v>2.4771063368787942</v>
      </c>
      <c r="G176" s="43">
        <v>2.4898446210478702</v>
      </c>
      <c r="H176" s="43">
        <v>2.4692673927747473</v>
      </c>
      <c r="I176" s="43">
        <v>2.4790660729048057</v>
      </c>
      <c r="K176" s="3">
        <f t="shared" si="19"/>
        <v>6.8870128157190721E-5</v>
      </c>
      <c r="L176" s="3">
        <f ca="1">SQRT(AVERAGE(K176:OFFSET(K176,$B$5-1,0))*$B$9/(4*LN(2)))</f>
        <v>0.11406644126218882</v>
      </c>
      <c r="M176" s="3">
        <f ca="1">SQRT(AVERAGE(K176:OFFSET(K176,$B$6-1,0))*$B$9/(4*LN(2)))</f>
        <v>0.10955780742879977</v>
      </c>
      <c r="N176" s="3">
        <f ca="1">SQRT(AVERAGE(K176:OFFSET(K176,$B$7-1,0))*$B$9/(4*LN(2)))</f>
        <v>0.11600693227530677</v>
      </c>
      <c r="O176" s="3">
        <f ca="1">SQRT(AVERAGE(K176:OFFSET(K176,$B$8-1,0))*$B$9/(4*LN(2)))</f>
        <v>0.13802905897950471</v>
      </c>
      <c r="P176" s="1"/>
      <c r="Q176" s="5">
        <f t="shared" si="17"/>
        <v>3.430587571045614E-5</v>
      </c>
      <c r="R176" s="5">
        <f ca="1">SQRT($B$9*AVERAGE((Q176:OFFSET(Q176,$B$5-1,0))))</f>
        <v>0.11847543378941928</v>
      </c>
      <c r="S176" s="5">
        <f ca="1">SQRT($B$9*AVERAGE((Q176:OFFSET(Q176,$B$6-1,0))))</f>
        <v>0.11881026260135538</v>
      </c>
      <c r="T176" s="5">
        <f ca="1">SQRT($B$9*AVERAGE((Q176:OFFSET(Q176,$B$7-1,0))))</f>
        <v>0.11791435911417776</v>
      </c>
      <c r="U176" s="5">
        <f ca="1">SQRT($B$9*AVERAGE((Q176:OFFSET(Q176,$B$8-1,0))))</f>
        <v>0.14111560395644343</v>
      </c>
      <c r="V176" s="1"/>
      <c r="W176" s="6">
        <f t="shared" si="18"/>
        <v>3.4805438925594143E-5</v>
      </c>
      <c r="X176" s="6">
        <f ca="1">SQRT($B$9*AVERAGE(W176:OFFSET(W176,$B$5-1,0)))</f>
        <v>0.11917680697080305</v>
      </c>
      <c r="Y176" s="6">
        <f ca="1">SQRT($B$9*AVERAGE(W176:OFFSET(W176,$B$6-1,0)))</f>
        <v>0.12536257190707184</v>
      </c>
      <c r="Z176" s="6">
        <f ca="1">SQRT($B$9*AVERAGE(W176:OFFSET(W176,$B$7-1,0)))</f>
        <v>0.11804767402393027</v>
      </c>
      <c r="AA176" s="6">
        <f ca="1">SQRT($B$9*AVERAGE(W176:OFFSET(W176,$B$8-1,0)))</f>
        <v>0.14261538432372142</v>
      </c>
      <c r="AB176" s="1"/>
      <c r="AC176" s="34">
        <f t="shared" si="20"/>
        <v>1.4229080288785922E-4</v>
      </c>
      <c r="AD176" s="34">
        <f ca="1">SQRT($B$9*SUM(AC176:OFFSET(AC176,$B$5-1,0))/($B$5-1))</f>
        <v>0.14788313252832519</v>
      </c>
      <c r="AE176" s="34">
        <f ca="1">SQRT($B$9*SUM(AC176:OFFSET(AC176,$B$6-1,0))/($B$6-1))</f>
        <v>0.11120503123476146</v>
      </c>
      <c r="AF176" s="34">
        <f ca="1">SQRT($B$9*SUM(AC176:OFFSET(AC176,$B$7-1,0))/($B$7-1))</f>
        <v>0.12167334420076562</v>
      </c>
      <c r="AG176" s="34">
        <f ca="1">SQRT($B$9*SUM(AC176:OFFSET(AC176,$B$8-1,0))/($B$8-1))</f>
        <v>0.12806208421651888</v>
      </c>
      <c r="AH176" s="1"/>
      <c r="AI176" s="1">
        <f t="shared" si="21"/>
        <v>1.1928570865273812E-2</v>
      </c>
      <c r="AJ176" s="4">
        <f ca="1">SQRT($B$9)*_xlfn.STDEV.S(AI176:OFFSET(AI176,$B$5-1,0))</f>
        <v>0.10662342657744299</v>
      </c>
      <c r="AK176" s="4">
        <f ca="1">SQRT($B$9)*_xlfn.STDEV.S(AI176:OFFSET(AI176,$B$6-1,0))</f>
        <v>0.10465664462641525</v>
      </c>
      <c r="AL176" s="4">
        <f ca="1">SQRT($B$9)*_xlfn.STDEV.S(AI176:OFFSET(AI176,$B$7-1,0))</f>
        <v>0.12038666102871073</v>
      </c>
      <c r="AM176" s="4">
        <f ca="1">SQRT($B$9)*_xlfn.STDEV.S(AI176:OFFSET(AI176,$B$8-1,0))</f>
        <v>0.12658164926263998</v>
      </c>
    </row>
    <row r="177" spans="5:39" x14ac:dyDescent="0.2">
      <c r="E177" s="42">
        <v>45412</v>
      </c>
      <c r="F177" s="43">
        <v>2.4575089766186773</v>
      </c>
      <c r="G177" s="43">
        <v>2.4682875247617417</v>
      </c>
      <c r="H177" s="43">
        <v>2.4477102964886188</v>
      </c>
      <c r="I177" s="43">
        <v>2.4496700325146303</v>
      </c>
      <c r="K177" s="3">
        <f t="shared" si="19"/>
        <v>7.0083446581378919E-5</v>
      </c>
      <c r="L177" s="3">
        <f ca="1">SQRT(AVERAGE(K177:OFFSET(K177,$B$5-1,0))*$B$9/(4*LN(2)))</f>
        <v>0.11496910974478808</v>
      </c>
      <c r="M177" s="3">
        <f ca="1">SQRT(AVERAGE(K177:OFFSET(K177,$B$6-1,0))*$B$9/(4*LN(2)))</f>
        <v>0.119321356410356</v>
      </c>
      <c r="N177" s="3">
        <f ca="1">SQRT(AVERAGE(K177:OFFSET(K177,$B$7-1,0))*$B$9/(4*LN(2)))</f>
        <v>0.11749517430445024</v>
      </c>
      <c r="O177" s="3">
        <f ca="1">SQRT(AVERAGE(K177:OFFSET(K177,$B$8-1,0))*$B$9/(4*LN(2)))</f>
        <v>0.13836818537748088</v>
      </c>
      <c r="P177" s="1"/>
      <c r="Q177" s="5">
        <f t="shared" si="17"/>
        <v>3.1261959853255883E-5</v>
      </c>
      <c r="R177" s="5">
        <f ca="1">SQRT($B$9*AVERAGE((Q177:OFFSET(Q177,$B$5-1,0))))</f>
        <v>0.11963658433853321</v>
      </c>
      <c r="S177" s="5">
        <f ca="1">SQRT($B$9*AVERAGE((Q177:OFFSET(Q177,$B$6-1,0))))</f>
        <v>0.12607736246748011</v>
      </c>
      <c r="T177" s="5">
        <f ca="1">SQRT($B$9*AVERAGE((Q177:OFFSET(Q177,$B$7-1,0))))</f>
        <v>0.11863897090703526</v>
      </c>
      <c r="U177" s="5">
        <f ca="1">SQRT($B$9*AVERAGE((Q177:OFFSET(Q177,$B$8-1,0))))</f>
        <v>0.14147705097275243</v>
      </c>
      <c r="V177" s="1"/>
      <c r="W177" s="6">
        <f t="shared" si="18"/>
        <v>3.6332142010051813E-5</v>
      </c>
      <c r="X177" s="6">
        <f ca="1">SQRT($B$9*AVERAGE(W177:OFFSET(W177,$B$5-1,0)))</f>
        <v>0.1215248938112815</v>
      </c>
      <c r="Y177" s="6">
        <f ca="1">SQRT($B$9*AVERAGE(W177:OFFSET(W177,$B$6-1,0)))</f>
        <v>0.13172287489749487</v>
      </c>
      <c r="Z177" s="6">
        <f ca="1">SQRT($B$9*AVERAGE(W177:OFFSET(W177,$B$7-1,0)))</f>
        <v>0.11878062187982376</v>
      </c>
      <c r="AA177" s="6">
        <f ca="1">SQRT($B$9*AVERAGE(W177:OFFSET(W177,$B$8-1,0)))</f>
        <v>0.1429362551661022</v>
      </c>
      <c r="AB177" s="1"/>
      <c r="AC177" s="34">
        <f t="shared" si="20"/>
        <v>1.9275158206665986E-5</v>
      </c>
      <c r="AD177" s="34">
        <f ca="1">SQRT($B$9*SUM(AC177:OFFSET(AC177,$B$5-1,0))/($B$5-1))</f>
        <v>0.11904980580443526</v>
      </c>
      <c r="AE177" s="34">
        <f ca="1">SQRT($B$9*SUM(AC177:OFFSET(AC177,$B$6-1,0))/($B$6-1))</f>
        <v>0.1063177429036532</v>
      </c>
      <c r="AF177" s="34">
        <f ca="1">SQRT($B$9*SUM(AC177:OFFSET(AC177,$B$7-1,0))/($B$7-1))</f>
        <v>0.12003210853727214</v>
      </c>
      <c r="AG177" s="34">
        <f ca="1">SQRT($B$9*SUM(AC177:OFFSET(AC177,$B$8-1,0))/($B$8-1))</f>
        <v>0.12576090354133826</v>
      </c>
      <c r="AH177" s="1"/>
      <c r="AI177" s="1">
        <f t="shared" si="21"/>
        <v>-4.3903483012929607E-3</v>
      </c>
      <c r="AJ177" s="4">
        <f ca="1">SQRT($B$9)*_xlfn.STDEV.S(AI177:OFFSET(AI177,$B$5-1,0))</f>
        <v>9.2456388990447502E-2</v>
      </c>
      <c r="AK177" s="4">
        <f ca="1">SQRT($B$9)*_xlfn.STDEV.S(AI177:OFFSET(AI177,$B$6-1,0))</f>
        <v>0.10050247318232898</v>
      </c>
      <c r="AL177" s="4">
        <f ca="1">SQRT($B$9)*_xlfn.STDEV.S(AI177:OFFSET(AI177,$B$7-1,0))</f>
        <v>0.11888572456751141</v>
      </c>
      <c r="AM177" s="4">
        <f ca="1">SQRT($B$9)*_xlfn.STDEV.S(AI177:OFFSET(AI177,$B$8-1,0))</f>
        <v>0.1246586537979658</v>
      </c>
    </row>
    <row r="178" spans="5:39" x14ac:dyDescent="0.2">
      <c r="E178" s="42">
        <v>45411</v>
      </c>
      <c r="F178" s="43">
        <v>2.4437908244365953</v>
      </c>
      <c r="G178" s="43">
        <v>2.4790660729048057</v>
      </c>
      <c r="H178" s="43">
        <v>2.4388914843715659</v>
      </c>
      <c r="I178" s="43">
        <v>2.4604485806576948</v>
      </c>
      <c r="K178" s="3">
        <f t="shared" si="19"/>
        <v>2.6693937224848573E-4</v>
      </c>
      <c r="L178" s="3">
        <f ca="1">SQRT(AVERAGE(K178:OFFSET(K178,$B$5-1,0))*$B$9/(4*LN(2)))</f>
        <v>0.11325982054670566</v>
      </c>
      <c r="M178" s="3">
        <f ca="1">SQRT(AVERAGE(K178:OFFSET(K178,$B$6-1,0))*$B$9/(4*LN(2)))</f>
        <v>0.12379141620979239</v>
      </c>
      <c r="N178" s="3">
        <f ca="1">SQRT(AVERAGE(K178:OFFSET(K178,$B$7-1,0))*$B$9/(4*LN(2)))</f>
        <v>0.11731414531076458</v>
      </c>
      <c r="O178" s="3">
        <f ca="1">SQRT(AVERAGE(K178:OFFSET(K178,$B$8-1,0))*$B$9/(4*LN(2)))</f>
        <v>0.14163154329163286</v>
      </c>
      <c r="P178" s="1"/>
      <c r="Q178" s="5">
        <f t="shared" si="17"/>
        <v>1.1604766542364957E-4</v>
      </c>
      <c r="R178" s="5">
        <f ca="1">SQRT($B$9*AVERAGE((Q178:OFFSET(Q178,$B$5-1,0))))</f>
        <v>0.11679744905193273</v>
      </c>
      <c r="S178" s="5">
        <f ca="1">SQRT($B$9*AVERAGE((Q178:OFFSET(Q178,$B$6-1,0))))</f>
        <v>0.13215013070229395</v>
      </c>
      <c r="T178" s="5">
        <f ca="1">SQRT($B$9*AVERAGE((Q178:OFFSET(Q178,$B$7-1,0))))</f>
        <v>0.11792299708840964</v>
      </c>
      <c r="U178" s="5">
        <f ca="1">SQRT($B$9*AVERAGE((Q178:OFFSET(Q178,$B$8-1,0))))</f>
        <v>0.14327796067702747</v>
      </c>
      <c r="V178" s="1"/>
      <c r="W178" s="6">
        <f t="shared" si="18"/>
        <v>1.2569386513050764E-4</v>
      </c>
      <c r="X178" s="6">
        <f ca="1">SQRT($B$9*AVERAGE(W178:OFFSET(W178,$B$5-1,0)))</f>
        <v>0.11744338201690163</v>
      </c>
      <c r="Y178" s="6">
        <f ca="1">SQRT($B$9*AVERAGE(W178:OFFSET(W178,$B$6-1,0)))</f>
        <v>0.13739819350635185</v>
      </c>
      <c r="Z178" s="6">
        <f ca="1">SQRT($B$9*AVERAGE(W178:OFFSET(W178,$B$7-1,0)))</f>
        <v>0.11765169783321977</v>
      </c>
      <c r="AA178" s="6">
        <f ca="1">SQRT($B$9*AVERAGE(W178:OFFSET(W178,$B$8-1,0)))</f>
        <v>0.14389856809878215</v>
      </c>
      <c r="AB178" s="1"/>
      <c r="AC178" s="34">
        <f t="shared" si="20"/>
        <v>3.5899626081654459E-5</v>
      </c>
      <c r="AD178" s="34">
        <f ca="1">SQRT($B$9*SUM(AC178:OFFSET(AC178,$B$5-1,0))/($B$5-1))</f>
        <v>0.12129234966919424</v>
      </c>
      <c r="AE178" s="34">
        <f ca="1">SQRT($B$9*SUM(AC178:OFFSET(AC178,$B$6-1,0))/($B$6-1))</f>
        <v>0.10597715412615837</v>
      </c>
      <c r="AF178" s="34">
        <f ca="1">SQRT($B$9*SUM(AC178:OFFSET(AC178,$B$7-1,0))/($B$7-1))</f>
        <v>0.12008530376884188</v>
      </c>
      <c r="AG178" s="34">
        <f ca="1">SQRT($B$9*SUM(AC178:OFFSET(AC178,$B$8-1,0))/($B$8-1))</f>
        <v>0.13349264973211114</v>
      </c>
      <c r="AH178" s="1"/>
      <c r="AI178" s="1">
        <f t="shared" si="21"/>
        <v>5.9916296682667614E-3</v>
      </c>
      <c r="AJ178" s="4">
        <f ca="1">SQRT($B$9)*_xlfn.STDEV.S(AI178:OFFSET(AI178,$B$5-1,0))</f>
        <v>9.7743835155782915E-2</v>
      </c>
      <c r="AK178" s="4">
        <f ca="1">SQRT($B$9)*_xlfn.STDEV.S(AI178:OFFSET(AI178,$B$6-1,0))</f>
        <v>9.9961364108333367E-2</v>
      </c>
      <c r="AL178" s="4">
        <f ca="1">SQRT($B$9)*_xlfn.STDEV.S(AI178:OFFSET(AI178,$B$7-1,0))</f>
        <v>0.11772545158816297</v>
      </c>
      <c r="AM178" s="4">
        <f ca="1">SQRT($B$9)*_xlfn.STDEV.S(AI178:OFFSET(AI178,$B$8-1,0))</f>
        <v>0.13137860927514405</v>
      </c>
    </row>
    <row r="179" spans="5:39" x14ac:dyDescent="0.2">
      <c r="E179" s="42">
        <v>45408</v>
      </c>
      <c r="F179" s="43">
        <v>2.418314256098443</v>
      </c>
      <c r="G179" s="43">
        <v>2.4535895045666538</v>
      </c>
      <c r="H179" s="43">
        <v>2.418314256098443</v>
      </c>
      <c r="I179" s="43">
        <v>2.4457505604626069</v>
      </c>
      <c r="K179" s="3">
        <f t="shared" si="19"/>
        <v>2.0970941657376052E-4</v>
      </c>
      <c r="L179" s="3">
        <f ca="1">SQRT(AVERAGE(K179:OFFSET(K179,$B$5-1,0))*$B$9/(4*LN(2)))</f>
        <v>0.10351438127317858</v>
      </c>
      <c r="M179" s="3">
        <f ca="1">SQRT(AVERAGE(K179:OFFSET(K179,$B$6-1,0))*$B$9/(4*LN(2)))</f>
        <v>0.13222484789965858</v>
      </c>
      <c r="N179" s="3">
        <f ca="1">SQRT(AVERAGE(K179:OFFSET(K179,$B$7-1,0))*$B$9/(4*LN(2)))</f>
        <v>0.11710025634171305</v>
      </c>
      <c r="O179" s="3">
        <f ca="1">SQRT(AVERAGE(K179:OFFSET(K179,$B$8-1,0))*$B$9/(4*LN(2)))</f>
        <v>0.14339167602220537</v>
      </c>
      <c r="P179" s="1"/>
      <c r="Q179" s="5">
        <f t="shared" si="17"/>
        <v>5.531357490810998E-5</v>
      </c>
      <c r="R179" s="5">
        <f ca="1">SQRT($B$9*AVERAGE((Q179:OFFSET(Q179,$B$5-1,0))))</f>
        <v>0.10733180464653456</v>
      </c>
      <c r="S179" s="5">
        <f ca="1">SQRT($B$9*AVERAGE((Q179:OFFSET(Q179,$B$6-1,0))))</f>
        <v>0.12847509678524574</v>
      </c>
      <c r="T179" s="5">
        <f ca="1">SQRT($B$9*AVERAGE((Q179:OFFSET(Q179,$B$7-1,0))))</f>
        <v>0.11839168898490056</v>
      </c>
      <c r="U179" s="5">
        <f ca="1">SQRT($B$9*AVERAGE((Q179:OFFSET(Q179,$B$8-1,0))))</f>
        <v>0.14523749128941812</v>
      </c>
      <c r="V179" s="1"/>
      <c r="W179" s="6">
        <f t="shared" si="18"/>
        <v>4.6340350566867446E-5</v>
      </c>
      <c r="X179" s="6">
        <f ca="1">SQRT($B$9*AVERAGE(W179:OFFSET(W179,$B$5-1,0)))</f>
        <v>0.11088683488103303</v>
      </c>
      <c r="Y179" s="6">
        <f ca="1">SQRT($B$9*AVERAGE(W179:OFFSET(W179,$B$6-1,0)))</f>
        <v>0.1283084852504586</v>
      </c>
      <c r="Z179" s="6">
        <f ca="1">SQRT($B$9*AVERAGE(W179:OFFSET(W179,$B$7-1,0)))</f>
        <v>0.11797066567469587</v>
      </c>
      <c r="AA179" s="6">
        <f ca="1">SQRT($B$9*AVERAGE(W179:OFFSET(W179,$B$8-1,0)))</f>
        <v>0.14605071664630842</v>
      </c>
      <c r="AB179" s="1"/>
      <c r="AC179" s="34">
        <f t="shared" si="20"/>
        <v>1.4621757078354494E-4</v>
      </c>
      <c r="AD179" s="34">
        <f ca="1">SQRT($B$9*SUM(AC179:OFFSET(AC179,$B$5-1,0))/($B$5-1))</f>
        <v>0.11258179119355721</v>
      </c>
      <c r="AE179" s="34">
        <f ca="1">SQRT($B$9*SUM(AC179:OFFSET(AC179,$B$6-1,0))/($B$6-1))</f>
        <v>0.1474841081868708</v>
      </c>
      <c r="AF179" s="34">
        <f ca="1">SQRT($B$9*SUM(AC179:OFFSET(AC179,$B$7-1,0))/($B$7-1))</f>
        <v>0.11837191841625046</v>
      </c>
      <c r="AG179" s="34">
        <f ca="1">SQRT($B$9*SUM(AC179:OFFSET(AC179,$B$8-1,0))/($B$8-1))</f>
        <v>0.13699707821554527</v>
      </c>
      <c r="AH179" s="1"/>
      <c r="AI179" s="1">
        <f t="shared" si="21"/>
        <v>1.2092045765028552E-2</v>
      </c>
      <c r="AJ179" s="4">
        <f ca="1">SQRT($B$9)*_xlfn.STDEV.S(AI179:OFFSET(AI179,$B$5-1,0))</f>
        <v>0.10312643195586621</v>
      </c>
      <c r="AK179" s="4">
        <f ca="1">SQRT($B$9)*_xlfn.STDEV.S(AI179:OFFSET(AI179,$B$6-1,0))</f>
        <v>0.13507226967900532</v>
      </c>
      <c r="AL179" s="4">
        <f ca="1">SQRT($B$9)*_xlfn.STDEV.S(AI179:OFFSET(AI179,$B$7-1,0))</f>
        <v>0.11657851915581537</v>
      </c>
      <c r="AM179" s="4">
        <f ca="1">SQRT($B$9)*_xlfn.STDEV.S(AI179:OFFSET(AI179,$B$8-1,0))</f>
        <v>0.13443660001448662</v>
      </c>
    </row>
    <row r="180" spans="5:39" x14ac:dyDescent="0.2">
      <c r="E180" s="42">
        <v>45407</v>
      </c>
      <c r="F180" s="43">
        <v>2.403616235903355</v>
      </c>
      <c r="G180" s="43">
        <v>2.4222337281504664</v>
      </c>
      <c r="H180" s="43">
        <v>2.3957772917993081</v>
      </c>
      <c r="I180" s="43">
        <v>2.4163545200724315</v>
      </c>
      <c r="K180" s="3">
        <f t="shared" si="19"/>
        <v>1.2061347588294405E-4</v>
      </c>
      <c r="L180" s="3">
        <f ca="1">SQRT(AVERAGE(K180:OFFSET(K180,$B$5-1,0))*$B$9/(4*LN(2)))</f>
        <v>9.2430057970421212E-2</v>
      </c>
      <c r="M180" s="3">
        <f ca="1">SQRT(AVERAGE(K180:OFFSET(K180,$B$6-1,0))*$B$9/(4*LN(2)))</f>
        <v>0.13144167964196113</v>
      </c>
      <c r="N180" s="3">
        <f ca="1">SQRT(AVERAGE(K180:OFFSET(K180,$B$7-1,0))*$B$9/(4*LN(2)))</f>
        <v>0.11494340981797878</v>
      </c>
      <c r="O180" s="3">
        <f ca="1">SQRT(AVERAGE(K180:OFFSET(K180,$B$8-1,0))*$B$9/(4*LN(2)))</f>
        <v>0.14377260339963982</v>
      </c>
      <c r="P180" s="1"/>
      <c r="Q180" s="5">
        <f t="shared" si="17"/>
        <v>4.9528646790060499E-5</v>
      </c>
      <c r="R180" s="5">
        <f ca="1">SQRT($B$9*AVERAGE((Q180:OFFSET(Q180,$B$5-1,0))))</f>
        <v>0.10406731708130471</v>
      </c>
      <c r="S180" s="5">
        <f ca="1">SQRT($B$9*AVERAGE((Q180:OFFSET(Q180,$B$6-1,0))))</f>
        <v>0.12954667689085383</v>
      </c>
      <c r="T180" s="5">
        <f ca="1">SQRT($B$9*AVERAGE((Q180:OFFSET(Q180,$B$7-1,0))))</f>
        <v>0.11782789993846579</v>
      </c>
      <c r="U180" s="5">
        <f ca="1">SQRT($B$9*AVERAGE((Q180:OFFSET(Q180,$B$8-1,0))))</f>
        <v>0.14644742895005139</v>
      </c>
      <c r="V180" s="1"/>
      <c r="W180" s="6">
        <f t="shared" si="18"/>
        <v>4.6687618055877984E-5</v>
      </c>
      <c r="X180" s="6">
        <f ca="1">SQRT($B$9*AVERAGE(W180:OFFSET(W180,$B$5-1,0)))</f>
        <v>0.10973731178301072</v>
      </c>
      <c r="Y180" s="6">
        <f ca="1">SQRT($B$9*AVERAGE(W180:OFFSET(W180,$B$6-1,0)))</f>
        <v>0.12951727777376176</v>
      </c>
      <c r="Z180" s="6">
        <f ca="1">SQRT($B$9*AVERAGE(W180:OFFSET(W180,$B$7-1,0)))</f>
        <v>0.11863438024595283</v>
      </c>
      <c r="AA180" s="6">
        <f ca="1">SQRT($B$9*AVERAGE(W180:OFFSET(W180,$B$8-1,0)))</f>
        <v>0.14738312710466184</v>
      </c>
      <c r="AB180" s="1"/>
      <c r="AC180" s="34">
        <f t="shared" si="20"/>
        <v>1.3368611613992817E-5</v>
      </c>
      <c r="AD180" s="34">
        <f ca="1">SQRT($B$9*SUM(AC180:OFFSET(AC180,$B$5-1,0))/($B$5-1))</f>
        <v>7.9276774306319908E-2</v>
      </c>
      <c r="AE180" s="34">
        <f ca="1">SQRT($B$9*SUM(AC180:OFFSET(AC180,$B$6-1,0))/($B$6-1))</f>
        <v>0.14079651431347801</v>
      </c>
      <c r="AF180" s="34">
        <f ca="1">SQRT($B$9*SUM(AC180:OFFSET(AC180,$B$7-1,0))/($B$7-1))</f>
        <v>0.11177056039103739</v>
      </c>
      <c r="AG180" s="34">
        <f ca="1">SQRT($B$9*SUM(AC180:OFFSET(AC180,$B$8-1,0))/($B$8-1))</f>
        <v>0.13479000383620449</v>
      </c>
      <c r="AH180" s="1"/>
      <c r="AI180" s="1">
        <f t="shared" si="21"/>
        <v>3.6563112031107003E-3</v>
      </c>
      <c r="AJ180" s="4">
        <f ca="1">SQRT($B$9)*_xlfn.STDEV.S(AI180:OFFSET(AI180,$B$5-1,0))</f>
        <v>7.6760736082491565E-2</v>
      </c>
      <c r="AK180" s="4">
        <f ca="1">SQRT($B$9)*_xlfn.STDEV.S(AI180:OFFSET(AI180,$B$6-1,0))</f>
        <v>0.13856949180962339</v>
      </c>
      <c r="AL180" s="4">
        <f ca="1">SQRT($B$9)*_xlfn.STDEV.S(AI180:OFFSET(AI180,$B$7-1,0))</f>
        <v>0.11157913250894326</v>
      </c>
      <c r="AM180" s="4">
        <f ca="1">SQRT($B$9)*_xlfn.STDEV.S(AI180:OFFSET(AI180,$B$8-1,0))</f>
        <v>0.13284210635125915</v>
      </c>
    </row>
    <row r="181" spans="5:39" x14ac:dyDescent="0.2">
      <c r="E181" s="42">
        <v>45406</v>
      </c>
      <c r="F181" s="43">
        <v>2.4045961039163615</v>
      </c>
      <c r="G181" s="43">
        <v>2.412435048020408</v>
      </c>
      <c r="H181" s="43">
        <v>2.3908779517342791</v>
      </c>
      <c r="I181" s="43">
        <v>2.4075357079553785</v>
      </c>
      <c r="K181" s="3">
        <f t="shared" si="19"/>
        <v>8.0568368782914747E-5</v>
      </c>
      <c r="L181" s="3">
        <f ca="1">SQRT(AVERAGE(K181:OFFSET(K181,$B$5-1,0))*$B$9/(4*LN(2)))</f>
        <v>0.10485548776764897</v>
      </c>
      <c r="M181" s="3">
        <f ca="1">SQRT(AVERAGE(K181:OFFSET(K181,$B$6-1,0))*$B$9/(4*LN(2)))</f>
        <v>0.13096057466568581</v>
      </c>
      <c r="N181" s="3">
        <f ca="1">SQRT(AVERAGE(K181:OFFSET(K181,$B$7-1,0))*$B$9/(4*LN(2)))</f>
        <v>0.11354865012055858</v>
      </c>
      <c r="O181" s="3">
        <f ca="1">SQRT(AVERAGE(K181:OFFSET(K181,$B$8-1,0))*$B$9/(4*LN(2)))</f>
        <v>0.14604832495972137</v>
      </c>
      <c r="P181" s="1"/>
      <c r="Q181" s="5">
        <f t="shared" si="17"/>
        <v>3.9948404294127525E-5</v>
      </c>
      <c r="R181" s="5">
        <f ca="1">SQRT($B$9*AVERAGE((Q181:OFFSET(Q181,$B$5-1,0))))</f>
        <v>0.11914415045320093</v>
      </c>
      <c r="S181" s="5">
        <f ca="1">SQRT($B$9*AVERAGE((Q181:OFFSET(Q181,$B$6-1,0))))</f>
        <v>0.12967980825908076</v>
      </c>
      <c r="T181" s="5">
        <f ca="1">SQRT($B$9*AVERAGE((Q181:OFFSET(Q181,$B$7-1,0))))</f>
        <v>0.11634055510847427</v>
      </c>
      <c r="U181" s="5">
        <f ca="1">SQRT($B$9*AVERAGE((Q181:OFFSET(Q181,$B$8-1,0))))</f>
        <v>0.14951992055256655</v>
      </c>
      <c r="V181" s="1"/>
      <c r="W181" s="6">
        <f t="shared" si="18"/>
        <v>4.6339898029414318E-5</v>
      </c>
      <c r="X181" s="6">
        <f ca="1">SQRT($B$9*AVERAGE(W181:OFFSET(W181,$B$5-1,0)))</f>
        <v>0.13125714285537174</v>
      </c>
      <c r="Y181" s="6">
        <f ca="1">SQRT($B$9*AVERAGE(W181:OFFSET(W181,$B$6-1,0)))</f>
        <v>0.12991522027174102</v>
      </c>
      <c r="Z181" s="6">
        <f ca="1">SQRT($B$9*AVERAGE(W181:OFFSET(W181,$B$7-1,0)))</f>
        <v>0.11727340953192206</v>
      </c>
      <c r="AA181" s="6">
        <f ca="1">SQRT($B$9*AVERAGE(W181:OFFSET(W181,$B$8-1,0)))</f>
        <v>0.15045199468140699</v>
      </c>
      <c r="AB181" s="1"/>
      <c r="AC181" s="34">
        <f t="shared" si="20"/>
        <v>1.6632604939835671E-5</v>
      </c>
      <c r="AD181" s="34">
        <f ca="1">SQRT($B$9*SUM(AC181:OFFSET(AC181,$B$5-1,0))/($B$5-1))</f>
        <v>7.7170828688303036E-2</v>
      </c>
      <c r="AE181" s="34">
        <f ca="1">SQRT($B$9*SUM(AC181:OFFSET(AC181,$B$6-1,0))/($B$6-1))</f>
        <v>0.13956423452194197</v>
      </c>
      <c r="AF181" s="34">
        <f ca="1">SQRT($B$9*SUM(AC181:OFFSET(AC181,$B$7-1,0))/($B$7-1))</f>
        <v>0.1117832455565146</v>
      </c>
      <c r="AG181" s="34">
        <f ca="1">SQRT($B$9*SUM(AC181:OFFSET(AC181,$B$8-1,0))/($B$8-1))</f>
        <v>0.13589611389858766</v>
      </c>
      <c r="AH181" s="1"/>
      <c r="AI181" s="1">
        <f t="shared" si="21"/>
        <v>4.0783090785073747E-3</v>
      </c>
      <c r="AJ181" s="4">
        <f ca="1">SQRT($B$9)*_xlfn.STDEV.S(AI181:OFFSET(AI181,$B$5-1,0))</f>
        <v>7.3751089863907479E-2</v>
      </c>
      <c r="AK181" s="4">
        <f ca="1">SQRT($B$9)*_xlfn.STDEV.S(AI181:OFFSET(AI181,$B$6-1,0))</f>
        <v>0.13845608203334217</v>
      </c>
      <c r="AL181" s="4">
        <f ca="1">SQRT($B$9)*_xlfn.STDEV.S(AI181:OFFSET(AI181,$B$7-1,0))</f>
        <v>0.11159042763820359</v>
      </c>
      <c r="AM181" s="4">
        <f ca="1">SQRT($B$9)*_xlfn.STDEV.S(AI181:OFFSET(AI181,$B$8-1,0))</f>
        <v>0.13449870928931174</v>
      </c>
    </row>
    <row r="182" spans="5:39" x14ac:dyDescent="0.2">
      <c r="E182" s="42">
        <v>45405</v>
      </c>
      <c r="F182" s="43">
        <v>2.4075357079553785</v>
      </c>
      <c r="G182" s="43">
        <v>2.412435048020408</v>
      </c>
      <c r="H182" s="43">
        <v>2.3957772917993081</v>
      </c>
      <c r="I182" s="43">
        <v>2.3977370278253201</v>
      </c>
      <c r="K182" s="3">
        <f t="shared" si="19"/>
        <v>4.800972221839914E-5</v>
      </c>
      <c r="L182" s="3">
        <f ca="1">SQRT(AVERAGE(K182:OFFSET(K182,$B$5-1,0))*$B$9/(4*LN(2)))</f>
        <v>0.12352034648471998</v>
      </c>
      <c r="M182" s="3">
        <f ca="1">SQRT(AVERAGE(K182:OFFSET(K182,$B$6-1,0))*$B$9/(4*LN(2)))</f>
        <v>0.13152408744086291</v>
      </c>
      <c r="N182" s="3">
        <f ca="1">SQRT(AVERAGE(K182:OFFSET(K182,$B$7-1,0))*$B$9/(4*LN(2)))</f>
        <v>0.11402177060329306</v>
      </c>
      <c r="O182" s="3">
        <f ca="1">SQRT(AVERAGE(K182:OFFSET(K182,$B$8-1,0))*$B$9/(4*LN(2)))</f>
        <v>0.14698049245720288</v>
      </c>
      <c r="P182" s="1"/>
      <c r="Q182" s="5">
        <f t="shared" si="17"/>
        <v>1.7562608686885575E-5</v>
      </c>
      <c r="R182" s="5">
        <f ca="1">SQRT($B$9*AVERAGE((Q182:OFFSET(Q182,$B$5-1,0))))</f>
        <v>0.13220472889167678</v>
      </c>
      <c r="S182" s="5">
        <f ca="1">SQRT($B$9*AVERAGE((Q182:OFFSET(Q182,$B$6-1,0))))</f>
        <v>0.13011746334093569</v>
      </c>
      <c r="T182" s="5">
        <f ca="1">SQRT($B$9*AVERAGE((Q182:OFFSET(Q182,$B$7-1,0))))</f>
        <v>0.11696065243283703</v>
      </c>
      <c r="U182" s="5">
        <f ca="1">SQRT($B$9*AVERAGE((Q182:OFFSET(Q182,$B$8-1,0))))</f>
        <v>0.15024492326252911</v>
      </c>
      <c r="V182" s="1"/>
      <c r="W182" s="6">
        <f t="shared" si="18"/>
        <v>1.6427002494228396E-5</v>
      </c>
      <c r="X182" s="6">
        <f ca="1">SQRT($B$9*AVERAGE(W182:OFFSET(W182,$B$5-1,0)))</f>
        <v>0.14118615982694244</v>
      </c>
      <c r="Y182" s="6">
        <f ca="1">SQRT($B$9*AVERAGE(W182:OFFSET(W182,$B$6-1,0)))</f>
        <v>0.12975509531314067</v>
      </c>
      <c r="Z182" s="6">
        <f ca="1">SQRT($B$9*AVERAGE(W182:OFFSET(W182,$B$7-1,0)))</f>
        <v>0.11804620413452226</v>
      </c>
      <c r="AA182" s="6">
        <f ca="1">SQRT($B$9*AVERAGE(W182:OFFSET(W182,$B$8-1,0)))</f>
        <v>0.15095321732287742</v>
      </c>
      <c r="AB182" s="1"/>
      <c r="AC182" s="34">
        <f t="shared" si="20"/>
        <v>2.807479618544692E-5</v>
      </c>
      <c r="AD182" s="34">
        <f ca="1">SQRT($B$9*SUM(AC182:OFFSET(AC182,$B$5-1,0))/($B$5-1))</f>
        <v>0.10611283741476651</v>
      </c>
      <c r="AE182" s="34">
        <f ca="1">SQRT($B$9*SUM(AC182:OFFSET(AC182,$B$6-1,0))/($B$6-1))</f>
        <v>0.13853092824709559</v>
      </c>
      <c r="AF182" s="34">
        <f ca="1">SQRT($B$9*SUM(AC182:OFFSET(AC182,$B$7-1,0))/($B$7-1))</f>
        <v>0.11082955941815821</v>
      </c>
      <c r="AG182" s="34">
        <f ca="1">SQRT($B$9*SUM(AC182:OFFSET(AC182,$B$8-1,0))/($B$8-1))</f>
        <v>0.13583040909447511</v>
      </c>
      <c r="AH182" s="1"/>
      <c r="AI182" s="1">
        <f t="shared" si="21"/>
        <v>-5.2985654837367935E-3</v>
      </c>
      <c r="AJ182" s="4">
        <f ca="1">SQRT($B$9)*_xlfn.STDEV.S(AI182:OFFSET(AI182,$B$5-1,0))</f>
        <v>0.10610320106629388</v>
      </c>
      <c r="AK182" s="4">
        <f ca="1">SQRT($B$9)*_xlfn.STDEV.S(AI182:OFFSET(AI182,$B$6-1,0))</f>
        <v>0.13836606827405806</v>
      </c>
      <c r="AL182" s="4">
        <f ca="1">SQRT($B$9)*_xlfn.STDEV.S(AI182:OFFSET(AI182,$B$7-1,0))</f>
        <v>0.11079005995983585</v>
      </c>
      <c r="AM182" s="4">
        <f ca="1">SQRT($B$9)*_xlfn.STDEV.S(AI182:OFFSET(AI182,$B$8-1,0))</f>
        <v>0.13445378493160956</v>
      </c>
    </row>
    <row r="183" spans="5:39" x14ac:dyDescent="0.2">
      <c r="E183" s="42">
        <v>45404</v>
      </c>
      <c r="F183" s="43">
        <v>2.4153746520594255</v>
      </c>
      <c r="G183" s="43">
        <v>2.4359518803325484</v>
      </c>
      <c r="H183" s="43">
        <v>2.406555839942373</v>
      </c>
      <c r="I183" s="43">
        <v>2.410475311994396</v>
      </c>
      <c r="K183" s="3">
        <f t="shared" si="19"/>
        <v>1.4740346343787512E-4</v>
      </c>
      <c r="L183" s="3">
        <f ca="1">SQRT(AVERAGE(K183:OFFSET(K183,$B$5-1,0))*$B$9/(4*LN(2)))</f>
        <v>0.13349472837599297</v>
      </c>
      <c r="M183" s="3">
        <f ca="1">SQRT(AVERAGE(K183:OFFSET(K183,$B$6-1,0))*$B$9/(4*LN(2)))</f>
        <v>0.13216122132211214</v>
      </c>
      <c r="N183" s="3">
        <f ca="1">SQRT(AVERAGE(K183:OFFSET(K183,$B$7-1,0))*$B$9/(4*LN(2)))</f>
        <v>0.11749931600658246</v>
      </c>
      <c r="O183" s="3">
        <f ca="1">SQRT(AVERAGE(K183:OFFSET(K183,$B$8-1,0))*$B$9/(4*LN(2)))</f>
        <v>0.15333593139364174</v>
      </c>
      <c r="P183" s="1"/>
      <c r="Q183" s="5">
        <f t="shared" si="17"/>
        <v>7.2751179375548224E-5</v>
      </c>
      <c r="R183" s="5">
        <f ca="1">SQRT($B$9*AVERAGE((Q183:OFFSET(Q183,$B$5-1,0))))</f>
        <v>0.14589609310817039</v>
      </c>
      <c r="S183" s="5">
        <f ca="1">SQRT($B$9*AVERAGE((Q183:OFFSET(Q183,$B$6-1,0))))</f>
        <v>0.13073536324154464</v>
      </c>
      <c r="T183" s="5">
        <f ca="1">SQRT($B$9*AVERAGE((Q183:OFFSET(Q183,$B$7-1,0))))</f>
        <v>0.12104539056859562</v>
      </c>
      <c r="U183" s="5">
        <f ca="1">SQRT($B$9*AVERAGE((Q183:OFFSET(Q183,$B$8-1,0))))</f>
        <v>0.15651998568448322</v>
      </c>
      <c r="V183" s="1"/>
      <c r="W183" s="6">
        <f t="shared" si="18"/>
        <v>9.5141664525723757E-5</v>
      </c>
      <c r="X183" s="6">
        <f ca="1">SQRT($B$9*AVERAGE(W183:OFFSET(W183,$B$5-1,0)))</f>
        <v>0.1548017415213728</v>
      </c>
      <c r="Y183" s="6">
        <f ca="1">SQRT($B$9*AVERAGE(W183:OFFSET(W183,$B$6-1,0)))</f>
        <v>0.1302281837224778</v>
      </c>
      <c r="Z183" s="6">
        <f ca="1">SQRT($B$9*AVERAGE(W183:OFFSET(W183,$B$7-1,0)))</f>
        <v>0.12294155217372389</v>
      </c>
      <c r="AA183" s="6">
        <f ca="1">SQRT($B$9*AVERAGE(W183:OFFSET(W183,$B$8-1,0)))</f>
        <v>0.15734837509619948</v>
      </c>
      <c r="AB183" s="1"/>
      <c r="AC183" s="34">
        <f t="shared" si="20"/>
        <v>2.6396362053383037E-6</v>
      </c>
      <c r="AD183" s="34">
        <f ca="1">SQRT($B$9*SUM(AC183:OFFSET(AC183,$B$5-1,0))/($B$5-1))</f>
        <v>0.10275344083900474</v>
      </c>
      <c r="AE183" s="34">
        <f ca="1">SQRT($B$9*SUM(AC183:OFFSET(AC183,$B$6-1,0))/($B$6-1))</f>
        <v>0.13855355047921619</v>
      </c>
      <c r="AF183" s="34">
        <f ca="1">SQRT($B$9*SUM(AC183:OFFSET(AC183,$B$7-1,0))/($B$7-1))</f>
        <v>0.11384981172522121</v>
      </c>
      <c r="AG183" s="34">
        <f ca="1">SQRT($B$9*SUM(AC183:OFFSET(AC183,$B$8-1,0))/($B$8-1))</f>
        <v>0.14014685664093246</v>
      </c>
      <c r="AH183" s="1"/>
      <c r="AI183" s="1">
        <f t="shared" si="21"/>
        <v>-1.624695727001922E-3</v>
      </c>
      <c r="AJ183" s="4">
        <f ca="1">SQRT($B$9)*_xlfn.STDEV.S(AI183:OFFSET(AI183,$B$5-1,0))</f>
        <v>0.10271400091614774</v>
      </c>
      <c r="AK183" s="4">
        <f ca="1">SQRT($B$9)*_xlfn.STDEV.S(AI183:OFFSET(AI183,$B$6-1,0))</f>
        <v>0.13839045955017931</v>
      </c>
      <c r="AL183" s="4">
        <f ca="1">SQRT($B$9)*_xlfn.STDEV.S(AI183:OFFSET(AI183,$B$7-1,0))</f>
        <v>0.11384981172522123</v>
      </c>
      <c r="AM183" s="4">
        <f ca="1">SQRT($B$9)*_xlfn.STDEV.S(AI183:OFFSET(AI183,$B$8-1,0))</f>
        <v>0.13783474231643231</v>
      </c>
    </row>
    <row r="184" spans="5:39" x14ac:dyDescent="0.2">
      <c r="E184" s="42">
        <v>45401</v>
      </c>
      <c r="F184" s="43">
        <v>2.4202739921244549</v>
      </c>
      <c r="G184" s="43">
        <v>2.4300726722545134</v>
      </c>
      <c r="H184" s="43">
        <v>2.4075357079553785</v>
      </c>
      <c r="I184" s="43">
        <v>2.4143947840464195</v>
      </c>
      <c r="K184" s="3">
        <f t="shared" si="19"/>
        <v>8.6815184547426482E-5</v>
      </c>
      <c r="L184" s="3">
        <f ca="1">SQRT(AVERAGE(K184:OFFSET(K184,$B$5-1,0))*$B$9/(4*LN(2)))</f>
        <v>0.15572923191811708</v>
      </c>
      <c r="M184" s="3">
        <f ca="1">SQRT(AVERAGE(K184:OFFSET(K184,$B$6-1,0))*$B$9/(4*LN(2)))</f>
        <v>0.1306992113026863</v>
      </c>
      <c r="N184" s="3">
        <f ca="1">SQRT(AVERAGE(K184:OFFSET(K184,$B$7-1,0))*$B$9/(4*LN(2)))</f>
        <v>0.11571450101955878</v>
      </c>
      <c r="O184" s="3">
        <f ca="1">SQRT(AVERAGE(K184:OFFSET(K184,$B$8-1,0))*$B$9/(4*LN(2)))</f>
        <v>0.15453675717373538</v>
      </c>
      <c r="P184" s="1"/>
      <c r="Q184" s="5">
        <f t="shared" si="17"/>
        <v>4.1229701353394829E-5</v>
      </c>
      <c r="R184" s="5">
        <f ca="1">SQRT($B$9*AVERAGE((Q184:OFFSET(Q184,$B$5-1,0))))</f>
        <v>0.1466000842403396</v>
      </c>
      <c r="S184" s="5">
        <f ca="1">SQRT($B$9*AVERAGE((Q184:OFFSET(Q184,$B$6-1,0))))</f>
        <v>0.12856358031297438</v>
      </c>
      <c r="T184" s="5">
        <f ca="1">SQRT($B$9*AVERAGE((Q184:OFFSET(Q184,$B$7-1,0))))</f>
        <v>0.11861725744679287</v>
      </c>
      <c r="U184" s="5">
        <f ca="1">SQRT($B$9*AVERAGE((Q184:OFFSET(Q184,$B$8-1,0))))</f>
        <v>0.15648404904917623</v>
      </c>
      <c r="V184" s="1"/>
      <c r="W184" s="6">
        <f t="shared" si="18"/>
        <v>4.1164584187851516E-5</v>
      </c>
      <c r="X184" s="6">
        <f ca="1">SQRT($B$9*AVERAGE(W184:OFFSET(W184,$B$5-1,0)))</f>
        <v>0.14363232444196128</v>
      </c>
      <c r="Y184" s="6">
        <f ca="1">SQRT($B$9*AVERAGE(W184:OFFSET(W184,$B$6-1,0)))</f>
        <v>0.12581868092617904</v>
      </c>
      <c r="Z184" s="6">
        <f ca="1">SQRT($B$9*AVERAGE(W184:OFFSET(W184,$B$7-1,0)))</f>
        <v>0.11987900221290479</v>
      </c>
      <c r="AA184" s="6">
        <f ca="1">SQRT($B$9*AVERAGE(W184:OFFSET(W184,$B$8-1,0)))</f>
        <v>0.15655099052389734</v>
      </c>
      <c r="AB184" s="1"/>
      <c r="AC184" s="34">
        <f t="shared" si="20"/>
        <v>4.1893444025430113E-5</v>
      </c>
      <c r="AD184" s="34">
        <f ca="1">SQRT($B$9*SUM(AC184:OFFSET(AC184,$B$5-1,0))/($B$5-1))</f>
        <v>0.19043727358088977</v>
      </c>
      <c r="AE184" s="34">
        <f ca="1">SQRT($B$9*SUM(AC184:OFFSET(AC184,$B$6-1,0))/($B$6-1))</f>
        <v>0.1410234815843478</v>
      </c>
      <c r="AF184" s="34">
        <f ca="1">SQRT($B$9*SUM(AC184:OFFSET(AC184,$B$7-1,0))/($B$7-1))</f>
        <v>0.1137002296200038</v>
      </c>
      <c r="AG184" s="34">
        <f ca="1">SQRT($B$9*SUM(AC184:OFFSET(AC184,$B$8-1,0))/($B$8-1))</f>
        <v>0.14718925692913654</v>
      </c>
      <c r="AH184" s="1"/>
      <c r="AI184" s="1">
        <f t="shared" si="21"/>
        <v>-6.4725145056175899E-3</v>
      </c>
      <c r="AJ184" s="4">
        <f ca="1">SQRT($B$9)*_xlfn.STDEV.S(AI184:OFFSET(AI184,$B$5-1,0))</f>
        <v>0.1726036219302097</v>
      </c>
      <c r="AK184" s="4">
        <f ca="1">SQRT($B$9)*_xlfn.STDEV.S(AI184:OFFSET(AI184,$B$6-1,0))</f>
        <v>0.14102189120958833</v>
      </c>
      <c r="AL184" s="4">
        <f ca="1">SQRT($B$9)*_xlfn.STDEV.S(AI184:OFFSET(AI184,$B$7-1,0))</f>
        <v>0.11369274534872599</v>
      </c>
      <c r="AM184" s="4">
        <f ca="1">SQRT($B$9)*_xlfn.STDEV.S(AI184:OFFSET(AI184,$B$8-1,0))</f>
        <v>0.14583010985256678</v>
      </c>
    </row>
    <row r="185" spans="5:39" x14ac:dyDescent="0.2">
      <c r="E185" s="42">
        <v>45400</v>
      </c>
      <c r="F185" s="43">
        <v>2.4163545200724315</v>
      </c>
      <c r="G185" s="43">
        <v>2.4535895045666538</v>
      </c>
      <c r="H185" s="43">
        <v>2.4143947840464195</v>
      </c>
      <c r="I185" s="43">
        <v>2.4300726722545134</v>
      </c>
      <c r="K185" s="3">
        <f t="shared" si="19"/>
        <v>2.593197352553503E-4</v>
      </c>
      <c r="L185" s="3">
        <f ca="1">SQRT(AVERAGE(K185:OFFSET(K185,$B$5-1,0))*$B$9/(4*LN(2)))</f>
        <v>0.16127775630192914</v>
      </c>
      <c r="M185" s="3">
        <f ca="1">SQRT(AVERAGE(K185:OFFSET(K185,$B$6-1,0))*$B$9/(4*LN(2)))</f>
        <v>0.12936483073569061</v>
      </c>
      <c r="N185" s="3">
        <f ca="1">SQRT(AVERAGE(K185:OFFSET(K185,$B$7-1,0))*$B$9/(4*LN(2)))</f>
        <v>0.11603723508041801</v>
      </c>
      <c r="O185" s="3">
        <f ca="1">SQRT(AVERAGE(K185:OFFSET(K185,$B$8-1,0))*$B$9/(4*LN(2)))</f>
        <v>0.15484713655337731</v>
      </c>
      <c r="P185" s="1"/>
      <c r="Q185" s="5">
        <f t="shared" si="17"/>
        <v>1.1820868970259444E-4</v>
      </c>
      <c r="R185" s="5">
        <f ca="1">SQRT($B$9*AVERAGE((Q185:OFFSET(Q185,$B$5-1,0))))</f>
        <v>0.15078022583358122</v>
      </c>
      <c r="S185" s="5">
        <f ca="1">SQRT($B$9*AVERAGE((Q185:OFFSET(Q185,$B$6-1,0))))</f>
        <v>0.12639346858328457</v>
      </c>
      <c r="T185" s="5">
        <f ca="1">SQRT($B$9*AVERAGE((Q185:OFFSET(Q185,$B$7-1,0))))</f>
        <v>0.11860612373714101</v>
      </c>
      <c r="U185" s="5">
        <f ca="1">SQRT($B$9*AVERAGE((Q185:OFFSET(Q185,$B$8-1,0))))</f>
        <v>0.15669000192779348</v>
      </c>
      <c r="V185" s="1"/>
      <c r="W185" s="6">
        <f t="shared" si="18"/>
        <v>1.5252761710064859E-4</v>
      </c>
      <c r="X185" s="6">
        <f ca="1">SQRT($B$9*AVERAGE(W185:OFFSET(W185,$B$5-1,0)))</f>
        <v>0.14665324028636337</v>
      </c>
      <c r="Y185" s="6">
        <f ca="1">SQRT($B$9*AVERAGE(W185:OFFSET(W185,$B$6-1,0)))</f>
        <v>0.12358723566395245</v>
      </c>
      <c r="Z185" s="6">
        <f ca="1">SQRT($B$9*AVERAGE(W185:OFFSET(W185,$B$7-1,0)))</f>
        <v>0.11972494438985309</v>
      </c>
      <c r="AA185" s="6">
        <f ca="1">SQRT($B$9*AVERAGE(W185:OFFSET(W185,$B$8-1,0)))</f>
        <v>0.15681057350126909</v>
      </c>
      <c r="AB185" s="1"/>
      <c r="AC185" s="34">
        <f t="shared" si="20"/>
        <v>7.9895072225516841E-6</v>
      </c>
      <c r="AD185" s="34">
        <f ca="1">SQRT($B$9*SUM(AC185:OFFSET(AC185,$B$5-1,0))/($B$5-1))</f>
        <v>0.19575092477927658</v>
      </c>
      <c r="AE185" s="34">
        <f ca="1">SQRT($B$9*SUM(AC185:OFFSET(AC185,$B$6-1,0))/($B$6-1))</f>
        <v>0.13796178180136581</v>
      </c>
      <c r="AF185" s="34">
        <f ca="1">SQRT($B$9*SUM(AC185:OFFSET(AC185,$B$7-1,0))/($B$7-1))</f>
        <v>0.1116442274334728</v>
      </c>
      <c r="AG185" s="34">
        <f ca="1">SQRT($B$9*SUM(AC185:OFFSET(AC185,$B$8-1,0))/($B$8-1))</f>
        <v>0.14698960688534451</v>
      </c>
      <c r="AH185" s="1"/>
      <c r="AI185" s="1">
        <f t="shared" si="21"/>
        <v>2.8265716376118409E-3</v>
      </c>
      <c r="AJ185" s="4">
        <f ca="1">SQRT($B$9)*_xlfn.STDEV.S(AI185:OFFSET(AI185,$B$5-1,0))</f>
        <v>0.1817397218206174</v>
      </c>
      <c r="AK185" s="4">
        <f ca="1">SQRT($B$9)*_xlfn.STDEV.S(AI185:OFFSET(AI185,$B$6-1,0))</f>
        <v>0.1378313149150068</v>
      </c>
      <c r="AL185" s="4">
        <f ca="1">SQRT($B$9)*_xlfn.STDEV.S(AI185:OFFSET(AI185,$B$7-1,0))</f>
        <v>0.11132304054209712</v>
      </c>
      <c r="AM185" s="4">
        <f ca="1">SQRT($B$9)*_xlfn.STDEV.S(AI185:OFFSET(AI185,$B$8-1,0))</f>
        <v>0.14517187917884505</v>
      </c>
    </row>
    <row r="186" spans="5:39" x14ac:dyDescent="0.2">
      <c r="E186" s="42">
        <v>45399</v>
      </c>
      <c r="F186" s="43">
        <v>2.3947974237863026</v>
      </c>
      <c r="G186" s="43">
        <v>2.4251733321894839</v>
      </c>
      <c r="H186" s="43">
        <v>2.3820591396172266</v>
      </c>
      <c r="I186" s="43">
        <v>2.423213596163472</v>
      </c>
      <c r="K186" s="3">
        <f t="shared" si="19"/>
        <v>3.2176110592446278E-4</v>
      </c>
      <c r="L186" s="3">
        <f ca="1">SQRT(AVERAGE(K186:OFFSET(K186,$B$5-1,0))*$B$9/(4*LN(2)))</f>
        <v>0.15266522498113888</v>
      </c>
      <c r="M186" s="3">
        <f ca="1">SQRT(AVERAGE(K186:OFFSET(K186,$B$6-1,0))*$B$9/(4*LN(2)))</f>
        <v>0.12211594287090138</v>
      </c>
      <c r="N186" s="3">
        <f ca="1">SQRT(AVERAGE(K186:OFFSET(K186,$B$7-1,0))*$B$9/(4*LN(2)))</f>
        <v>0.11335815197936819</v>
      </c>
      <c r="O186" s="3">
        <f ca="1">SQRT(AVERAGE(K186:OFFSET(K186,$B$8-1,0))*$B$9/(4*LN(2)))</f>
        <v>0.1546130832441687</v>
      </c>
      <c r="P186" s="1"/>
      <c r="Q186" s="5">
        <f t="shared" si="17"/>
        <v>1.0694354213304146E-4</v>
      </c>
      <c r="R186" s="5">
        <f ca="1">SQRT($B$9*AVERAGE((Q186:OFFSET(Q186,$B$5-1,0))))</f>
        <v>0.13942157922290555</v>
      </c>
      <c r="S186" s="5">
        <f ca="1">SQRT($B$9*AVERAGE((Q186:OFFSET(Q186,$B$6-1,0))))</f>
        <v>0.11701159631084229</v>
      </c>
      <c r="T186" s="5">
        <f ca="1">SQRT($B$9*AVERAGE((Q186:OFFSET(Q186,$B$7-1,0))))</f>
        <v>0.11508250109292811</v>
      </c>
      <c r="U186" s="5">
        <f ca="1">SQRT($B$9*AVERAGE((Q186:OFFSET(Q186,$B$8-1,0))))</f>
        <v>0.15644982953612127</v>
      </c>
      <c r="V186" s="1"/>
      <c r="W186" s="6">
        <f t="shared" si="18"/>
        <v>1.0154590162377082E-4</v>
      </c>
      <c r="X186" s="6">
        <f ca="1">SQRT($B$9*AVERAGE(W186:OFFSET(W186,$B$5-1,0)))</f>
        <v>0.12855929124709156</v>
      </c>
      <c r="Y186" s="6">
        <f ca="1">SQRT($B$9*AVERAGE(W186:OFFSET(W186,$B$6-1,0)))</f>
        <v>0.110248502256332</v>
      </c>
      <c r="Z186" s="6">
        <f ca="1">SQRT($B$9*AVERAGE(W186:OFFSET(W186,$B$7-1,0)))</f>
        <v>0.11437172922380069</v>
      </c>
      <c r="AA186" s="6">
        <f ca="1">SQRT($B$9*AVERAGE(W186:OFFSET(W186,$B$8-1,0)))</f>
        <v>0.15649340799863248</v>
      </c>
      <c r="AB186" s="1"/>
      <c r="AC186" s="34">
        <f t="shared" si="20"/>
        <v>1.0323827781776645E-4</v>
      </c>
      <c r="AD186" s="34">
        <f ca="1">SQRT($B$9*SUM(AC186:OFFSET(AC186,$B$5-1,0))/($B$5-1))</f>
        <v>0.19460359247551348</v>
      </c>
      <c r="AE186" s="34">
        <f ca="1">SQRT($B$9*SUM(AC186:OFFSET(AC186,$B$6-1,0))/($B$6-1))</f>
        <v>0.13743063718902923</v>
      </c>
      <c r="AF186" s="34">
        <f ca="1">SQRT($B$9*SUM(AC186:OFFSET(AC186,$B$7-1,0))/($B$7-1))</f>
        <v>0.11391210072581565</v>
      </c>
      <c r="AG186" s="34">
        <f ca="1">SQRT($B$9*SUM(AC186:OFFSET(AC186,$B$8-1,0))/($B$8-1))</f>
        <v>0.14687670940291397</v>
      </c>
      <c r="AH186" s="1"/>
      <c r="AI186" s="1">
        <f t="shared" si="21"/>
        <v>1.0160623889199248E-2</v>
      </c>
      <c r="AJ186" s="4">
        <f ca="1">SQRT($B$9)*_xlfn.STDEV.S(AI186:OFFSET(AI186,$B$5-1,0))</f>
        <v>0.18513846927203706</v>
      </c>
      <c r="AK186" s="4">
        <f ca="1">SQRT($B$9)*_xlfn.STDEV.S(AI186:OFFSET(AI186,$B$6-1,0))</f>
        <v>0.1374241645573509</v>
      </c>
      <c r="AL186" s="4">
        <f ca="1">SQRT($B$9)*_xlfn.STDEV.S(AI186:OFFSET(AI186,$B$7-1,0))</f>
        <v>0.1139102482639851</v>
      </c>
      <c r="AM186" s="4">
        <f ca="1">SQRT($B$9)*_xlfn.STDEV.S(AI186:OFFSET(AI186,$B$8-1,0))</f>
        <v>0.14517374904035679</v>
      </c>
    </row>
    <row r="187" spans="5:39" x14ac:dyDescent="0.2">
      <c r="E187" s="42">
        <v>45398</v>
      </c>
      <c r="F187" s="43">
        <v>2.403616235903355</v>
      </c>
      <c r="G187" s="43">
        <v>2.4143947840464195</v>
      </c>
      <c r="H187" s="43">
        <v>2.3810792716042211</v>
      </c>
      <c r="I187" s="43">
        <v>2.398716895838326</v>
      </c>
      <c r="K187" s="3">
        <f t="shared" si="19"/>
        <v>1.9306514242470546E-4</v>
      </c>
      <c r="L187" s="3">
        <f ca="1">SQRT(AVERAGE(K187:OFFSET(K187,$B$5-1,0))*$B$9/(4*LN(2)))</f>
        <v>0.13906795158697866</v>
      </c>
      <c r="M187" s="3">
        <f ca="1">SQRT(AVERAGE(K187:OFFSET(K187,$B$6-1,0))*$B$9/(4*LN(2)))</f>
        <v>0.11564015684034282</v>
      </c>
      <c r="N187" s="3">
        <f ca="1">SQRT(AVERAGE(K187:OFFSET(K187,$B$7-1,0))*$B$9/(4*LN(2)))</f>
        <v>0.10839395876652991</v>
      </c>
      <c r="O187" s="3">
        <f ca="1">SQRT(AVERAGE(K187:OFFSET(K187,$B$8-1,0))*$B$9/(4*LN(2)))</f>
        <v>0.15356365974938338</v>
      </c>
      <c r="P187" s="1"/>
      <c r="Q187" s="5">
        <f t="shared" si="17"/>
        <v>9.5268315684970552E-5</v>
      </c>
      <c r="R187" s="5">
        <f ca="1">SQRT($B$9*AVERAGE((Q187:OFFSET(Q187,$B$5-1,0))))</f>
        <v>0.12799616475206488</v>
      </c>
      <c r="S187" s="5">
        <f ca="1">SQRT($B$9*AVERAGE((Q187:OFFSET(Q187,$B$6-1,0))))</f>
        <v>0.11070189478506841</v>
      </c>
      <c r="T187" s="5">
        <f ca="1">SQRT($B$9*AVERAGE((Q187:OFFSET(Q187,$B$7-1,0))))</f>
        <v>0.11075222840326694</v>
      </c>
      <c r="U187" s="5">
        <f ca="1">SQRT($B$9*AVERAGE((Q187:OFFSET(Q187,$B$8-1,0))))</f>
        <v>0.15570806689331645</v>
      </c>
      <c r="V187" s="1"/>
      <c r="W187" s="6">
        <f t="shared" si="18"/>
        <v>9.8672868848738242E-5</v>
      </c>
      <c r="X187" s="6">
        <f ca="1">SQRT($B$9*AVERAGE(W187:OFFSET(W187,$B$5-1,0)))</f>
        <v>0.11721449480659595</v>
      </c>
      <c r="Y187" s="6">
        <f ca="1">SQRT($B$9*AVERAGE(W187:OFFSET(W187,$B$6-1,0)))</f>
        <v>0.10424373600871295</v>
      </c>
      <c r="Z187" s="6">
        <f ca="1">SQRT($B$9*AVERAGE(W187:OFFSET(W187,$B$7-1,0)))</f>
        <v>0.11017075087116231</v>
      </c>
      <c r="AA187" s="6">
        <f ca="1">SQRT($B$9*AVERAGE(W187:OFFSET(W187,$B$8-1,0)))</f>
        <v>0.15596515646572359</v>
      </c>
      <c r="AB187" s="1"/>
      <c r="AC187" s="34">
        <f t="shared" si="20"/>
        <v>1.6619046635115049E-5</v>
      </c>
      <c r="AD187" s="34">
        <f ca="1">SQRT($B$9*SUM(AC187:OFFSET(AC187,$B$5-1,0))/($B$5-1))</f>
        <v>0.17866003027549757</v>
      </c>
      <c r="AE187" s="34">
        <f ca="1">SQRT($B$9*SUM(AC187:OFFSET(AC187,$B$6-1,0))/($B$6-1))</f>
        <v>0.13824907972891232</v>
      </c>
      <c r="AF187" s="34">
        <f ca="1">SQRT($B$9*SUM(AC187:OFFSET(AC187,$B$7-1,0))/($B$7-1))</f>
        <v>0.10888884708578028</v>
      </c>
      <c r="AG187" s="34">
        <f ca="1">SQRT($B$9*SUM(AC187:OFFSET(AC187,$B$8-1,0))/($B$8-1))</f>
        <v>0.145434854544082</v>
      </c>
      <c r="AH187" s="1"/>
      <c r="AI187" s="1">
        <f t="shared" si="21"/>
        <v>-4.0766464937635992E-3</v>
      </c>
      <c r="AJ187" s="4">
        <f ca="1">SQRT($B$9)*_xlfn.STDEV.S(AI187:OFFSET(AI187,$B$5-1,0))</f>
        <v>0.1779633331950404</v>
      </c>
      <c r="AK187" s="4">
        <f ca="1">SQRT($B$9)*_xlfn.STDEV.S(AI187:OFFSET(AI187,$B$6-1,0))</f>
        <v>0.13824743749995774</v>
      </c>
      <c r="AL187" s="4">
        <f ca="1">SQRT($B$9)*_xlfn.STDEV.S(AI187:OFFSET(AI187,$B$7-1,0))</f>
        <v>0.10880576689871647</v>
      </c>
      <c r="AM187" s="4">
        <f ca="1">SQRT($B$9)*_xlfn.STDEV.S(AI187:OFFSET(AI187,$B$8-1,0))</f>
        <v>0.1441510752678257</v>
      </c>
    </row>
    <row r="188" spans="5:39" x14ac:dyDescent="0.2">
      <c r="E188" s="42">
        <v>45397</v>
      </c>
      <c r="F188" s="43">
        <v>2.3575624392920802</v>
      </c>
      <c r="G188" s="43">
        <v>2.410475311994396</v>
      </c>
      <c r="H188" s="43">
        <v>2.3565825712790742</v>
      </c>
      <c r="I188" s="43">
        <v>2.4085155759683849</v>
      </c>
      <c r="K188" s="3">
        <f t="shared" si="19"/>
        <v>5.112775076916889E-4</v>
      </c>
      <c r="L188" s="3">
        <f ca="1">SQRT(AVERAGE(K188:OFFSET(K188,$B$5-1,0))*$B$9/(4*LN(2)))</f>
        <v>0.13081412132688308</v>
      </c>
      <c r="M188" s="3">
        <f ca="1">SQRT(AVERAGE(K188:OFFSET(K188,$B$6-1,0))*$B$9/(4*LN(2)))</f>
        <v>0.1104576962133663</v>
      </c>
      <c r="N188" s="3">
        <f ca="1">SQRT(AVERAGE(K188:OFFSET(K188,$B$7-1,0))*$B$9/(4*LN(2)))</f>
        <v>0.10639004153887192</v>
      </c>
      <c r="O188" s="3">
        <f ca="1">SQRT(AVERAGE(K188:OFFSET(K188,$B$8-1,0))*$B$9/(4*LN(2)))</f>
        <v>0.15326445586041756</v>
      </c>
      <c r="P188" s="1"/>
      <c r="Q188" s="5">
        <f t="shared" si="17"/>
        <v>7.6953520498951089E-5</v>
      </c>
      <c r="R188" s="5">
        <f ca="1">SQRT($B$9*AVERAGE((Q188:OFFSET(Q188,$B$5-1,0))))</f>
        <v>0.11356848339028447</v>
      </c>
      <c r="S188" s="5">
        <f ca="1">SQRT($B$9*AVERAGE((Q188:OFFSET(Q188,$B$6-1,0))))</f>
        <v>0.10172516620774213</v>
      </c>
      <c r="T188" s="5">
        <f ca="1">SQRT($B$9*AVERAGE((Q188:OFFSET(Q188,$B$7-1,0))))</f>
        <v>0.10773686385037756</v>
      </c>
      <c r="U188" s="5">
        <f ca="1">SQRT($B$9*AVERAGE((Q188:OFFSET(Q188,$B$8-1,0))))</f>
        <v>0.15528243989791174</v>
      </c>
      <c r="V188" s="1"/>
      <c r="W188" s="6">
        <f t="shared" si="18"/>
        <v>2.7114428741048467E-5</v>
      </c>
      <c r="X188" s="6">
        <f ca="1">SQRT($B$9*AVERAGE(W188:OFFSET(W188,$B$5-1,0)))</f>
        <v>9.9775650803494903E-2</v>
      </c>
      <c r="Y188" s="6">
        <f ca="1">SQRT($B$9*AVERAGE(W188:OFFSET(W188,$B$6-1,0)))</f>
        <v>9.3838054259823556E-2</v>
      </c>
      <c r="Z188" s="6">
        <f ca="1">SQRT($B$9*AVERAGE(W188:OFFSET(W188,$B$7-1,0)))</f>
        <v>0.1069103153842146</v>
      </c>
      <c r="AA188" s="6">
        <f ca="1">SQRT($B$9*AVERAGE(W188:OFFSET(W188,$B$8-1,0)))</f>
        <v>0.15550236828419453</v>
      </c>
      <c r="AB188" s="1"/>
      <c r="AC188" s="34">
        <f t="shared" si="20"/>
        <v>4.2236348215909844E-4</v>
      </c>
      <c r="AD188" s="34">
        <f ca="1">SQRT($B$9*SUM(AC188:OFFSET(AC188,$B$5-1,0))/($B$5-1))</f>
        <v>0.18065208187047763</v>
      </c>
      <c r="AE188" s="34">
        <f ca="1">SQRT($B$9*SUM(AC188:OFFSET(AC188,$B$6-1,0))/($B$6-1))</f>
        <v>0.13860764315695415</v>
      </c>
      <c r="AF188" s="34">
        <f ca="1">SQRT($B$9*SUM(AC188:OFFSET(AC188,$B$7-1,0))/($B$7-1))</f>
        <v>0.10793982573388597</v>
      </c>
      <c r="AG188" s="34">
        <f ca="1">SQRT($B$9*SUM(AC188:OFFSET(AC188,$B$8-1,0))/($B$8-1))</f>
        <v>0.14526660993661625</v>
      </c>
      <c r="AH188" s="1"/>
      <c r="AI188" s="1">
        <f t="shared" si="21"/>
        <v>2.0551483697268634E-2</v>
      </c>
      <c r="AJ188" s="4">
        <f ca="1">SQRT($B$9)*_xlfn.STDEV.S(AI188:OFFSET(AI188,$B$5-1,0))</f>
        <v>0.18029139650969289</v>
      </c>
      <c r="AK188" s="4">
        <f ca="1">SQRT($B$9)*_xlfn.STDEV.S(AI188:OFFSET(AI188,$B$6-1,0))</f>
        <v>0.13795062264624769</v>
      </c>
      <c r="AL188" s="4">
        <f ca="1">SQRT($B$9)*_xlfn.STDEV.S(AI188:OFFSET(AI188,$B$7-1,0))</f>
        <v>0.10793933161510619</v>
      </c>
      <c r="AM188" s="4">
        <f ca="1">SQRT($B$9)*_xlfn.STDEV.S(AI188:OFFSET(AI188,$B$8-1,0))</f>
        <v>0.14375054415029243</v>
      </c>
    </row>
    <row r="189" spans="5:39" x14ac:dyDescent="0.2">
      <c r="E189" s="42">
        <v>45394</v>
      </c>
      <c r="F189" s="43">
        <v>2.3791195355782091</v>
      </c>
      <c r="G189" s="43">
        <v>2.3849987436562441</v>
      </c>
      <c r="H189" s="43">
        <v>2.3526630992270507</v>
      </c>
      <c r="I189" s="43">
        <v>2.3595221753180917</v>
      </c>
      <c r="K189" s="3">
        <f t="shared" si="19"/>
        <v>1.8634099146455716E-4</v>
      </c>
      <c r="L189" s="3">
        <f ca="1">SQRT(AVERAGE(K189:OFFSET(K189,$B$5-1,0))*$B$9/(4*LN(2)))</f>
        <v>9.9563919149869659E-2</v>
      </c>
      <c r="M189" s="3">
        <f ca="1">SQRT(AVERAGE(K189:OFFSET(K189,$B$6-1,0))*$B$9/(4*LN(2)))</f>
        <v>9.9707219741109895E-2</v>
      </c>
      <c r="N189" s="3">
        <f ca="1">SQRT(AVERAGE(K189:OFFSET(K189,$B$7-1,0))*$B$9/(4*LN(2)))</f>
        <v>9.9017662089208355E-2</v>
      </c>
      <c r="O189" s="3">
        <f ca="1">SQRT(AVERAGE(K189:OFFSET(K189,$B$8-1,0))*$B$9/(4*LN(2)))</f>
        <v>0.1514715691310623</v>
      </c>
      <c r="P189" s="1"/>
      <c r="Q189" s="5">
        <f t="shared" si="17"/>
        <v>6.6598921825866049E-5</v>
      </c>
      <c r="R189" s="5">
        <f ca="1">SQRT($B$9*AVERAGE((Q189:OFFSET(Q189,$B$5-1,0))))</f>
        <v>0.10754349662581443</v>
      </c>
      <c r="S189" s="5">
        <f ca="1">SQRT($B$9*AVERAGE((Q189:OFFSET(Q189,$B$6-1,0))))</f>
        <v>0.1073654206316754</v>
      </c>
      <c r="T189" s="5">
        <f ca="1">SQRT($B$9*AVERAGE((Q189:OFFSET(Q189,$B$7-1,0))))</f>
        <v>0.10807853978088568</v>
      </c>
      <c r="U189" s="5">
        <f ca="1">SQRT($B$9*AVERAGE((Q189:OFFSET(Q189,$B$8-1,0))))</f>
        <v>0.15517541023166667</v>
      </c>
      <c r="V189" s="1"/>
      <c r="W189" s="6">
        <f t="shared" si="18"/>
        <v>5.9061079328443482E-5</v>
      </c>
      <c r="X189" s="6">
        <f ca="1">SQRT($B$9*AVERAGE(W189:OFFSET(W189,$B$5-1,0)))</f>
        <v>0.10502588402582708</v>
      </c>
      <c r="Y189" s="6">
        <f ca="1">SQRT($B$9*AVERAGE(W189:OFFSET(W189,$B$6-1,0)))</f>
        <v>0.10663530621794347</v>
      </c>
      <c r="Z189" s="6">
        <f ca="1">SQRT($B$9*AVERAGE(W189:OFFSET(W189,$B$7-1,0)))</f>
        <v>0.11023920952686542</v>
      </c>
      <c r="AA189" s="6">
        <f ca="1">SQRT($B$9*AVERAGE(W189:OFFSET(W189,$B$8-1,0)))</f>
        <v>0.15627934451071226</v>
      </c>
      <c r="AB189" s="1"/>
      <c r="AC189" s="34">
        <f t="shared" si="20"/>
        <v>7.5396617625745911E-5</v>
      </c>
      <c r="AD189" s="34">
        <f ca="1">SQRT($B$9*SUM(AC189:OFFSET(AC189,$B$5-1,0))/($B$5-1))</f>
        <v>9.2091232682388502E-2</v>
      </c>
      <c r="AE189" s="34">
        <f ca="1">SQRT($B$9*SUM(AC189:OFFSET(AC189,$B$6-1,0))/($B$6-1))</f>
        <v>8.8482421865234612E-2</v>
      </c>
      <c r="AF189" s="34">
        <f ca="1">SQRT($B$9*SUM(AC189:OFFSET(AC189,$B$7-1,0))/($B$7-1))</f>
        <v>7.9254805844381118E-2</v>
      </c>
      <c r="AG189" s="34">
        <f ca="1">SQRT($B$9*SUM(AC189:OFFSET(AC189,$B$8-1,0))/($B$8-1))</f>
        <v>0.13938701029571762</v>
      </c>
      <c r="AH189" s="1"/>
      <c r="AI189" s="1">
        <f t="shared" si="21"/>
        <v>-8.6831225734608809E-3</v>
      </c>
      <c r="AJ189" s="4">
        <f ca="1">SQRT($B$9)*_xlfn.STDEV.S(AI189:OFFSET(AI189,$B$5-1,0))</f>
        <v>4.7255339582934174E-2</v>
      </c>
      <c r="AK189" s="4">
        <f ca="1">SQRT($B$9)*_xlfn.STDEV.S(AI189:OFFSET(AI189,$B$6-1,0))</f>
        <v>8.6825894475372145E-2</v>
      </c>
      <c r="AL189" s="4">
        <f ca="1">SQRT($B$9)*_xlfn.STDEV.S(AI189:OFFSET(AI189,$B$7-1,0))</f>
        <v>7.6996328147144313E-2</v>
      </c>
      <c r="AM189" s="4">
        <f ca="1">SQRT($B$9)*_xlfn.STDEV.S(AI189:OFFSET(AI189,$B$8-1,0))</f>
        <v>0.13864435091064017</v>
      </c>
    </row>
    <row r="190" spans="5:39" x14ac:dyDescent="0.2">
      <c r="E190" s="42">
        <v>45393</v>
      </c>
      <c r="F190" s="43">
        <v>2.3742201955131796</v>
      </c>
      <c r="G190" s="43">
        <v>2.3879383476952616</v>
      </c>
      <c r="H190" s="43">
        <v>2.3634416473701152</v>
      </c>
      <c r="I190" s="43">
        <v>2.3800994035912146</v>
      </c>
      <c r="K190" s="3">
        <f t="shared" si="19"/>
        <v>1.0632694518239693E-4</v>
      </c>
      <c r="L190" s="3">
        <f ca="1">SQRT(AVERAGE(K190:OFFSET(K190,$B$5-1,0))*$B$9/(4*LN(2)))</f>
        <v>8.6371315752183056E-2</v>
      </c>
      <c r="M190" s="3">
        <f ca="1">SQRT(AVERAGE(K190:OFFSET(K190,$B$6-1,0))*$B$9/(4*LN(2)))</f>
        <v>9.5640262306560517E-2</v>
      </c>
      <c r="N190" s="3">
        <f ca="1">SQRT(AVERAGE(K190:OFFSET(K190,$B$7-1,0))*$B$9/(4*LN(2)))</f>
        <v>9.7936173926387607E-2</v>
      </c>
      <c r="O190" s="3">
        <f ca="1">SQRT(AVERAGE(K190:OFFSET(K190,$B$8-1,0))*$B$9/(4*LN(2)))</f>
        <v>0.15083520517911533</v>
      </c>
      <c r="P190" s="1"/>
      <c r="Q190" s="5">
        <f t="shared" si="17"/>
        <v>5.0937266245108165E-5</v>
      </c>
      <c r="R190" s="5">
        <f ca="1">SQRT($B$9*AVERAGE((Q190:OFFSET(Q190,$B$5-1,0))))</f>
        <v>9.5999694263063817E-2</v>
      </c>
      <c r="S190" s="5">
        <f ca="1">SQRT($B$9*AVERAGE((Q190:OFFSET(Q190,$B$6-1,0))))</f>
        <v>0.10480690108172713</v>
      </c>
      <c r="T190" s="5">
        <f ca="1">SQRT($B$9*AVERAGE((Q190:OFFSET(Q190,$B$7-1,0))))</f>
        <v>0.10730699926603662</v>
      </c>
      <c r="U190" s="5">
        <f ca="1">SQRT($B$9*AVERAGE((Q190:OFFSET(Q190,$B$8-1,0))))</f>
        <v>0.15466583982647936</v>
      </c>
      <c r="V190" s="1"/>
      <c r="W190" s="6">
        <f t="shared" si="18"/>
        <v>5.0901463620336057E-5</v>
      </c>
      <c r="X190" s="6">
        <f ca="1">SQRT($B$9*AVERAGE(W190:OFFSET(W190,$B$5-1,0)))</f>
        <v>9.5081211349166209E-2</v>
      </c>
      <c r="Y190" s="6">
        <f ca="1">SQRT($B$9*AVERAGE(W190:OFFSET(W190,$B$6-1,0)))</f>
        <v>0.10664664603613597</v>
      </c>
      <c r="Z190" s="6">
        <f ca="1">SQRT($B$9*AVERAGE(W190:OFFSET(W190,$B$7-1,0)))</f>
        <v>0.11018901271012892</v>
      </c>
      <c r="AA190" s="6">
        <f ca="1">SQRT($B$9*AVERAGE(W190:OFFSET(W190,$B$8-1,0)))</f>
        <v>0.15591578087352653</v>
      </c>
      <c r="AB190" s="1"/>
      <c r="AC190" s="34">
        <f t="shared" si="20"/>
        <v>6.7740358881671897E-7</v>
      </c>
      <c r="AD190" s="34">
        <f ca="1">SQRT($B$9*SUM(AC190:OFFSET(AC190,$B$5-1,0))/($B$5-1))</f>
        <v>6.7133041292088552E-2</v>
      </c>
      <c r="AE190" s="34">
        <f ca="1">SQRT($B$9*SUM(AC190:OFFSET(AC190,$B$6-1,0))/($B$6-1))</f>
        <v>8.0930408546118868E-2</v>
      </c>
      <c r="AF190" s="34">
        <f ca="1">SQRT($B$9*SUM(AC190:OFFSET(AC190,$B$7-1,0))/($B$7-1))</f>
        <v>7.8429160477430107E-2</v>
      </c>
      <c r="AG190" s="34">
        <f ca="1">SQRT($B$9*SUM(AC190:OFFSET(AC190,$B$8-1,0))/($B$8-1))</f>
        <v>0.13827092623301382</v>
      </c>
      <c r="AH190" s="1"/>
      <c r="AI190" s="1">
        <f t="shared" si="21"/>
        <v>-8.2304531395101146E-4</v>
      </c>
      <c r="AJ190" s="4">
        <f ca="1">SQRT($B$9)*_xlfn.STDEV.S(AI190:OFFSET(AI190,$B$5-1,0))</f>
        <v>3.0110943138037218E-2</v>
      </c>
      <c r="AK190" s="4">
        <f ca="1">SQRT($B$9)*_xlfn.STDEV.S(AI190:OFFSET(AI190,$B$6-1,0))</f>
        <v>8.0108154911299773E-2</v>
      </c>
      <c r="AL190" s="4">
        <f ca="1">SQRT($B$9)*_xlfn.STDEV.S(AI190:OFFSET(AI190,$B$7-1,0))</f>
        <v>7.6263875468984402E-2</v>
      </c>
      <c r="AM190" s="4">
        <f ca="1">SQRT($B$9)*_xlfn.STDEV.S(AI190:OFFSET(AI190,$B$8-1,0))</f>
        <v>0.13723613277548738</v>
      </c>
    </row>
    <row r="191" spans="5:39" x14ac:dyDescent="0.2">
      <c r="E191" s="42">
        <v>45392</v>
      </c>
      <c r="F191" s="43">
        <v>2.3898980837212735</v>
      </c>
      <c r="G191" s="43">
        <v>2.3957772917993081</v>
      </c>
      <c r="H191" s="43">
        <v>2.3722604594871677</v>
      </c>
      <c r="I191" s="43">
        <v>2.3820591396172266</v>
      </c>
      <c r="K191" s="3">
        <f t="shared" si="19"/>
        <v>9.7307274584186479E-5</v>
      </c>
      <c r="L191" s="3">
        <f ca="1">SQRT(AVERAGE(K191:OFFSET(K191,$B$5-1,0))*$B$9/(4*LN(2)))</f>
        <v>8.0733735748797997E-2</v>
      </c>
      <c r="M191" s="3">
        <f ca="1">SQRT(AVERAGE(K191:OFFSET(K191,$B$6-1,0))*$B$9/(4*LN(2)))</f>
        <v>9.2929649583087276E-2</v>
      </c>
      <c r="N191" s="3">
        <f ca="1">SQRT(AVERAGE(K191:OFFSET(K191,$B$7-1,0))*$B$9/(4*LN(2)))</f>
        <v>9.7306577291059959E-2</v>
      </c>
      <c r="O191" s="3">
        <f ca="1">SQRT(AVERAGE(K191:OFFSET(K191,$B$8-1,0))*$B$9/(4*LN(2)))</f>
        <v>0.15145381362803309</v>
      </c>
      <c r="P191" s="1"/>
      <c r="Q191" s="5">
        <f t="shared" si="17"/>
        <v>4.4589285770363939E-5</v>
      </c>
      <c r="R191" s="5">
        <f ca="1">SQRT($B$9*AVERAGE((Q191:OFFSET(Q191,$B$5-1,0))))</f>
        <v>8.9135013263106147E-2</v>
      </c>
      <c r="S191" s="5">
        <f ca="1">SQRT($B$9*AVERAGE((Q191:OFFSET(Q191,$B$6-1,0))))</f>
        <v>0.10125905814189624</v>
      </c>
      <c r="T191" s="5">
        <f ca="1">SQRT($B$9*AVERAGE((Q191:OFFSET(Q191,$B$7-1,0))))</f>
        <v>0.10651324207667272</v>
      </c>
      <c r="U191" s="5">
        <f ca="1">SQRT($B$9*AVERAGE((Q191:OFFSET(Q191,$B$8-1,0))))</f>
        <v>0.155059353382906</v>
      </c>
      <c r="V191" s="1"/>
      <c r="W191" s="6">
        <f t="shared" si="18"/>
        <v>4.4642767477056297E-5</v>
      </c>
      <c r="X191" s="6">
        <f ca="1">SQRT($B$9*AVERAGE(W191:OFFSET(W191,$B$5-1,0)))</f>
        <v>8.8215492593842953E-2</v>
      </c>
      <c r="Y191" s="6">
        <f ca="1">SQRT($B$9*AVERAGE(W191:OFFSET(W191,$B$6-1,0)))</f>
        <v>0.10309287418744724</v>
      </c>
      <c r="Z191" s="6">
        <f ca="1">SQRT($B$9*AVERAGE(W191:OFFSET(W191,$B$7-1,0)))</f>
        <v>0.10939343507399221</v>
      </c>
      <c r="AA191" s="6">
        <f ca="1">SQRT($B$9*AVERAGE(W191:OFFSET(W191,$B$8-1,0)))</f>
        <v>0.15620185730047859</v>
      </c>
      <c r="AB191" s="1"/>
      <c r="AC191" s="34">
        <f t="shared" si="20"/>
        <v>6.0766160000680574E-6</v>
      </c>
      <c r="AD191" s="34">
        <f ca="1">SQRT($B$9*SUM(AC191:OFFSET(AC191,$B$5-1,0))/($B$5-1))</f>
        <v>6.8011740762423348E-2</v>
      </c>
      <c r="AE191" s="34">
        <f ca="1">SQRT($B$9*SUM(AC191:OFFSET(AC191,$B$6-1,0))/($B$6-1))</f>
        <v>8.3073465302674676E-2</v>
      </c>
      <c r="AF191" s="34">
        <f ca="1">SQRT($B$9*SUM(AC191:OFFSET(AC191,$B$7-1,0))/($B$7-1))</f>
        <v>7.8852731301952278E-2</v>
      </c>
      <c r="AG191" s="34">
        <f ca="1">SQRT($B$9*SUM(AC191:OFFSET(AC191,$B$8-1,0))/($B$8-1))</f>
        <v>0.14003833880040159</v>
      </c>
      <c r="AH191" s="1"/>
      <c r="AI191" s="1">
        <f t="shared" si="21"/>
        <v>-2.4650793090827843E-3</v>
      </c>
      <c r="AJ191" s="4">
        <f ca="1">SQRT($B$9)*_xlfn.STDEV.S(AI191:OFFSET(AI191,$B$5-1,0))</f>
        <v>2.615383975557704E-2</v>
      </c>
      <c r="AK191" s="4">
        <f ca="1">SQRT($B$9)*_xlfn.STDEV.S(AI191:OFFSET(AI191,$B$6-1,0))</f>
        <v>8.2973843699586408E-2</v>
      </c>
      <c r="AL191" s="4">
        <f ca="1">SQRT($B$9)*_xlfn.STDEV.S(AI191:OFFSET(AI191,$B$7-1,0))</f>
        <v>7.7273984746400251E-2</v>
      </c>
      <c r="AM191" s="4">
        <f ca="1">SQRT($B$9)*_xlfn.STDEV.S(AI191:OFFSET(AI191,$B$8-1,0))</f>
        <v>0.13931349160955717</v>
      </c>
    </row>
    <row r="192" spans="5:39" x14ac:dyDescent="0.2">
      <c r="E192" s="42">
        <v>45391</v>
      </c>
      <c r="F192" s="43">
        <v>2.3996967638513316</v>
      </c>
      <c r="G192" s="43">
        <v>2.403616235903355</v>
      </c>
      <c r="H192" s="43">
        <v>2.3840188756432381</v>
      </c>
      <c r="I192" s="43">
        <v>2.3879383476952616</v>
      </c>
      <c r="K192" s="3">
        <f t="shared" si="19"/>
        <v>6.7022081040222354E-5</v>
      </c>
      <c r="L192" s="3">
        <f ca="1">SQRT(AVERAGE(K192:OFFSET(K192,$B$5-1,0))*$B$9/(4*LN(2)))</f>
        <v>8.6054613993207449E-2</v>
      </c>
      <c r="M192" s="3">
        <f ca="1">SQRT(AVERAGE(K192:OFFSET(K192,$B$6-1,0))*$B$9/(4*LN(2)))</f>
        <v>9.3291707915914096E-2</v>
      </c>
      <c r="N192" s="3">
        <f ca="1">SQRT(AVERAGE(K192:OFFSET(K192,$B$7-1,0))*$B$9/(4*LN(2)))</f>
        <v>9.8234061529808292E-2</v>
      </c>
      <c r="O192" s="3">
        <f ca="1">SQRT(AVERAGE(K192:OFFSET(K192,$B$8-1,0))*$B$9/(4*LN(2)))</f>
        <v>0.1525824815775465</v>
      </c>
      <c r="P192" s="1"/>
      <c r="Q192" s="5">
        <f t="shared" si="17"/>
        <v>2.4141422385615248E-5</v>
      </c>
      <c r="R192" s="5">
        <f ca="1">SQRT($B$9*AVERAGE((Q192:OFFSET(Q192,$B$5-1,0))))</f>
        <v>9.0148770522791813E-2</v>
      </c>
      <c r="S192" s="5">
        <f ca="1">SQRT($B$9*AVERAGE((Q192:OFFSET(Q192,$B$6-1,0))))</f>
        <v>0.10212264278185357</v>
      </c>
      <c r="T192" s="5">
        <f ca="1">SQRT($B$9*AVERAGE((Q192:OFFSET(Q192,$B$7-1,0))))</f>
        <v>0.10660880195876332</v>
      </c>
      <c r="U192" s="5">
        <f ca="1">SQRT($B$9*AVERAGE((Q192:OFFSET(Q192,$B$8-1,0))))</f>
        <v>0.15662391440539203</v>
      </c>
      <c r="V192" s="1"/>
      <c r="W192" s="6">
        <f t="shared" si="18"/>
        <v>2.1447209675175951E-5</v>
      </c>
      <c r="X192" s="6">
        <f ca="1">SQRT($B$9*AVERAGE(W192:OFFSET(W192,$B$5-1,0)))</f>
        <v>8.9410710775292293E-2</v>
      </c>
      <c r="Y192" s="6">
        <f ca="1">SQRT($B$9*AVERAGE(W192:OFFSET(W192,$B$6-1,0)))</f>
        <v>0.10504012500666769</v>
      </c>
      <c r="Z192" s="6">
        <f ca="1">SQRT($B$9*AVERAGE(W192:OFFSET(W192,$B$7-1,0)))</f>
        <v>0.10940782156868246</v>
      </c>
      <c r="AA192" s="6">
        <f ca="1">SQRT($B$9*AVERAGE(W192:OFFSET(W192,$B$8-1,0)))</f>
        <v>0.15788067192701125</v>
      </c>
      <c r="AB192" s="1"/>
      <c r="AC192" s="34">
        <f t="shared" si="20"/>
        <v>2.8305059142805627E-5</v>
      </c>
      <c r="AD192" s="34">
        <f ca="1">SQRT($B$9*SUM(AC192:OFFSET(AC192,$B$5-1,0))/($B$5-1))</f>
        <v>0.10528253266906813</v>
      </c>
      <c r="AE192" s="34">
        <f ca="1">SQRT($B$9*SUM(AC192:OFFSET(AC192,$B$6-1,0))/($B$6-1))</f>
        <v>8.2099716366150086E-2</v>
      </c>
      <c r="AF192" s="34">
        <f ca="1">SQRT($B$9*SUM(AC192:OFFSET(AC192,$B$7-1,0))/($B$7-1))</f>
        <v>8.3082582904113259E-2</v>
      </c>
      <c r="AG192" s="34">
        <f ca="1">SQRT($B$9*SUM(AC192:OFFSET(AC192,$B$8-1,0))/($B$8-1))</f>
        <v>0.14028466648706303</v>
      </c>
      <c r="AH192" s="1"/>
      <c r="AI192" s="1">
        <f t="shared" si="21"/>
        <v>-5.3202499135666199E-3</v>
      </c>
      <c r="AJ192" s="4">
        <f ca="1">SQRT($B$9)*_xlfn.STDEV.S(AI192:OFFSET(AI192,$B$5-1,0))</f>
        <v>0.10386937190930444</v>
      </c>
      <c r="AK192" s="4">
        <f ca="1">SQRT($B$9)*_xlfn.STDEV.S(AI192:OFFSET(AI192,$B$6-1,0))</f>
        <v>8.2096925942998847E-2</v>
      </c>
      <c r="AL192" s="4">
        <f ca="1">SQRT($B$9)*_xlfn.STDEV.S(AI192:OFFSET(AI192,$B$7-1,0))</f>
        <v>8.2739497715118251E-2</v>
      </c>
      <c r="AM192" s="4">
        <f ca="1">SQRT($B$9)*_xlfn.STDEV.S(AI192:OFFSET(AI192,$B$8-1,0))</f>
        <v>0.13962146624372154</v>
      </c>
    </row>
    <row r="193" spans="5:39" x14ac:dyDescent="0.2">
      <c r="E193" s="42">
        <v>45390</v>
      </c>
      <c r="F193" s="43">
        <v>2.406555839942373</v>
      </c>
      <c r="G193" s="43">
        <v>2.4153746520594255</v>
      </c>
      <c r="H193" s="43">
        <v>2.3908779517342791</v>
      </c>
      <c r="I193" s="43">
        <v>2.400676631864338</v>
      </c>
      <c r="K193" s="3">
        <f t="shared" si="19"/>
        <v>1.0391290990213926E-4</v>
      </c>
      <c r="L193" s="3">
        <f ca="1">SQRT(AVERAGE(K193:OFFSET(K193,$B$5-1,0))*$B$9/(4*LN(2)))</f>
        <v>8.5378398714218984E-2</v>
      </c>
      <c r="M193" s="3">
        <f ca="1">SQRT(AVERAGE(K193:OFFSET(K193,$B$6-1,0))*$B$9/(4*LN(2)))</f>
        <v>0.10072532006738495</v>
      </c>
      <c r="N193" s="3">
        <f ca="1">SQRT(AVERAGE(K193:OFFSET(K193,$B$7-1,0))*$B$9/(4*LN(2)))</f>
        <v>9.9241996679677202E-2</v>
      </c>
      <c r="O193" s="3">
        <f ca="1">SQRT(AVERAGE(K193:OFFSET(K193,$B$8-1,0))*$B$9/(4*LN(2)))</f>
        <v>0.1534907858296736</v>
      </c>
      <c r="P193" s="1"/>
      <c r="Q193" s="5">
        <f t="shared" si="17"/>
        <v>4.9765831660935569E-5</v>
      </c>
      <c r="R193" s="5">
        <f ca="1">SQRT($B$9*AVERAGE((Q193:OFFSET(Q193,$B$5-1,0))))</f>
        <v>8.830752210551604E-2</v>
      </c>
      <c r="S193" s="5">
        <f ca="1">SQRT($B$9*AVERAGE((Q193:OFFSET(Q193,$B$6-1,0))))</f>
        <v>0.11050899490045636</v>
      </c>
      <c r="T193" s="5">
        <f ca="1">SQRT($B$9*AVERAGE((Q193:OFFSET(Q193,$B$7-1,0))))</f>
        <v>0.10844104456209537</v>
      </c>
      <c r="U193" s="5">
        <f ca="1">SQRT($B$9*AVERAGE((Q193:OFFSET(Q193,$B$8-1,0))))</f>
        <v>0.15771105235775065</v>
      </c>
      <c r="V193" s="1"/>
      <c r="W193" s="6">
        <f t="shared" si="18"/>
        <v>4.905842511136535E-5</v>
      </c>
      <c r="X193" s="6">
        <f ca="1">SQRT($B$9*AVERAGE(W193:OFFSET(W193,$B$5-1,0)))</f>
        <v>8.7498459193737929E-2</v>
      </c>
      <c r="Y193" s="6">
        <f ca="1">SQRT($B$9*AVERAGE(W193:OFFSET(W193,$B$6-1,0)))</f>
        <v>0.11519492465431587</v>
      </c>
      <c r="Z193" s="6">
        <f ca="1">SQRT($B$9*AVERAGE(W193:OFFSET(W193,$B$7-1,0)))</f>
        <v>0.11162342603802984</v>
      </c>
      <c r="AA193" s="6">
        <f ca="1">SQRT($B$9*AVERAGE(W193:OFFSET(W193,$B$8-1,0)))</f>
        <v>0.1592994019824438</v>
      </c>
      <c r="AB193" s="1"/>
      <c r="AC193" s="34">
        <f t="shared" si="20"/>
        <v>2.8006265062348487E-5</v>
      </c>
      <c r="AD193" s="34">
        <f ca="1">SQRT($B$9*SUM(AC193:OFFSET(AC193,$B$5-1,0))/($B$5-1))</f>
        <v>0.1029174547115051</v>
      </c>
      <c r="AE193" s="34">
        <f ca="1">SQRT($B$9*SUM(AC193:OFFSET(AC193,$B$6-1,0))/($B$6-1))</f>
        <v>9.0369633428447435E-2</v>
      </c>
      <c r="AF193" s="34">
        <f ca="1">SQRT($B$9*SUM(AC193:OFFSET(AC193,$B$7-1,0))/($B$7-1))</f>
        <v>8.0856226062512637E-2</v>
      </c>
      <c r="AG193" s="34">
        <f ca="1">SQRT($B$9*SUM(AC193:OFFSET(AC193,$B$8-1,0))/($B$8-1))</f>
        <v>0.14075359400050957</v>
      </c>
      <c r="AH193" s="1"/>
      <c r="AI193" s="1">
        <f t="shared" si="21"/>
        <v>-5.2920945817651905E-3</v>
      </c>
      <c r="AJ193" s="4">
        <f ca="1">SQRT($B$9)*_xlfn.STDEV.S(AI193:OFFSET(AI193,$B$5-1,0))</f>
        <v>0.10147255314372303</v>
      </c>
      <c r="AK193" s="4">
        <f ca="1">SQRT($B$9)*_xlfn.STDEV.S(AI193:OFFSET(AI193,$B$6-1,0))</f>
        <v>9.0119385207096586E-2</v>
      </c>
      <c r="AL193" s="4">
        <f ca="1">SQRT($B$9)*_xlfn.STDEV.S(AI193:OFFSET(AI193,$B$7-1,0))</f>
        <v>8.0790047855335223E-2</v>
      </c>
      <c r="AM193" s="4">
        <f ca="1">SQRT($B$9)*_xlfn.STDEV.S(AI193:OFFSET(AI193,$B$8-1,0))</f>
        <v>0.14015327558594715</v>
      </c>
    </row>
    <row r="194" spans="5:39" x14ac:dyDescent="0.2">
      <c r="E194" s="42">
        <v>45385</v>
      </c>
      <c r="F194" s="43">
        <v>2.4222337281504664</v>
      </c>
      <c r="G194" s="43">
        <v>2.4241934641764784</v>
      </c>
      <c r="H194" s="43">
        <v>2.4075357079553785</v>
      </c>
      <c r="I194" s="43">
        <v>2.413414916033414</v>
      </c>
      <c r="K194" s="3">
        <f t="shared" si="19"/>
        <v>4.7543513179551082E-5</v>
      </c>
      <c r="L194" s="3">
        <f ca="1">SQRT(AVERAGE(K194:OFFSET(K194,$B$5-1,0))*$B$9/(4*LN(2)))</f>
        <v>9.9850314674126903E-2</v>
      </c>
      <c r="M194" s="3">
        <f ca="1">SQRT(AVERAGE(K194:OFFSET(K194,$B$6-1,0))*$B$9/(4*LN(2)))</f>
        <v>9.8475416512278341E-2</v>
      </c>
      <c r="N194" s="3">
        <f ca="1">SQRT(AVERAGE(K194:OFFSET(K194,$B$7-1,0))*$B$9/(4*LN(2)))</f>
        <v>0.10021861065454635</v>
      </c>
      <c r="O194" s="3">
        <f ca="1">SQRT(AVERAGE(K194:OFFSET(K194,$B$8-1,0))*$B$9/(4*LN(2)))</f>
        <v>0.15321863803076202</v>
      </c>
      <c r="P194" s="1"/>
      <c r="Q194" s="5">
        <f t="shared" si="17"/>
        <v>1.8646628603318456E-5</v>
      </c>
      <c r="R194" s="5">
        <f ca="1">SQRT($B$9*AVERAGE((Q194:OFFSET(Q194,$B$5-1,0))))</f>
        <v>0.10718704879007826</v>
      </c>
      <c r="S194" s="5">
        <f ca="1">SQRT($B$9*AVERAGE((Q194:OFFSET(Q194,$B$6-1,0))))</f>
        <v>0.10775673225143229</v>
      </c>
      <c r="T194" s="5">
        <f ca="1">SQRT($B$9*AVERAGE((Q194:OFFSET(Q194,$B$7-1,0))))</f>
        <v>0.10968680899230777</v>
      </c>
      <c r="U194" s="5">
        <f ca="1">SQRT($B$9*AVERAGE((Q194:OFFSET(Q194,$B$8-1,0))))</f>
        <v>0.15731296688263624</v>
      </c>
      <c r="V194" s="1"/>
      <c r="W194" s="6">
        <f t="shared" si="18"/>
        <v>1.8448843332899269E-5</v>
      </c>
      <c r="X194" s="6">
        <f ca="1">SQRT($B$9*AVERAGE(W194:OFFSET(W194,$B$5-1,0)))</f>
        <v>0.10822079628695525</v>
      </c>
      <c r="Y194" s="6">
        <f ca="1">SQRT($B$9*AVERAGE(W194:OFFSET(W194,$B$6-1,0)))</f>
        <v>0.11362926503819168</v>
      </c>
      <c r="Z194" s="6">
        <f ca="1">SQRT($B$9*AVERAGE(W194:OFFSET(W194,$B$7-1,0)))</f>
        <v>0.11297893149563447</v>
      </c>
      <c r="AA194" s="6">
        <f ca="1">SQRT($B$9*AVERAGE(W194:OFFSET(W194,$B$8-1,0)))</f>
        <v>0.15889716396517609</v>
      </c>
      <c r="AB194" s="1"/>
      <c r="AC194" s="34">
        <f t="shared" si="20"/>
        <v>1.0515802869230768E-5</v>
      </c>
      <c r="AD194" s="34">
        <f ca="1">SQRT($B$9*SUM(AC194:OFFSET(AC194,$B$5-1,0))/($B$5-1))</f>
        <v>9.557597797614846E-2</v>
      </c>
      <c r="AE194" s="34">
        <f ca="1">SQRT($B$9*SUM(AC194:OFFSET(AC194,$B$6-1,0))/($B$6-1))</f>
        <v>8.6048113720466043E-2</v>
      </c>
      <c r="AF194" s="34">
        <f ca="1">SQRT($B$9*SUM(AC194:OFFSET(AC194,$B$7-1,0))/($B$7-1))</f>
        <v>7.9451398846171514E-2</v>
      </c>
      <c r="AG194" s="34" t="e">
        <f ca="1">SQRT($B$9*SUM(AC194:OFFSET(AC194,$B$8-1,0))/($B$8-1))</f>
        <v>#DIV/0!</v>
      </c>
      <c r="AH194" s="1"/>
      <c r="AI194" s="1">
        <f t="shared" si="21"/>
        <v>-3.2428078680721692E-3</v>
      </c>
      <c r="AJ194" s="4">
        <f ca="1">SQRT($B$9)*_xlfn.STDEV.S(AI194:OFFSET(AI194,$B$5-1,0))</f>
        <v>8.5410680801695768E-2</v>
      </c>
      <c r="AK194" s="4">
        <f ca="1">SQRT($B$9)*_xlfn.STDEV.S(AI194:OFFSET(AI194,$B$6-1,0))</f>
        <v>8.6024614445267669E-2</v>
      </c>
      <c r="AL194" s="4">
        <f ca="1">SQRT($B$9)*_xlfn.STDEV.S(AI194:OFFSET(AI194,$B$7-1,0))</f>
        <v>7.9434709979263385E-2</v>
      </c>
      <c r="AM194" s="4" t="e">
        <f ca="1">SQRT($B$9)*_xlfn.STDEV.S(AI194:OFFSET(AI194,$B$8-1,0))</f>
        <v>#DIV/0!</v>
      </c>
    </row>
    <row r="195" spans="5:39" x14ac:dyDescent="0.2">
      <c r="E195" s="42">
        <v>45384</v>
      </c>
      <c r="F195" s="43">
        <v>2.4261532002024899</v>
      </c>
      <c r="G195" s="43">
        <v>2.4310525402675189</v>
      </c>
      <c r="H195" s="43">
        <v>2.413414916033414</v>
      </c>
      <c r="I195" s="43">
        <v>2.4212538601374609</v>
      </c>
      <c r="K195" s="3">
        <f t="shared" si="19"/>
        <v>5.302148843162628E-5</v>
      </c>
      <c r="L195" s="3">
        <f ca="1">SQRT(AVERAGE(K195:OFFSET(K195,$B$5-1,0))*$B$9/(4*LN(2)))</f>
        <v>0.1040870566563014</v>
      </c>
      <c r="M195" s="3">
        <f ca="1">SQRT(AVERAGE(K195:OFFSET(K195,$B$6-1,0))*$B$9/(4*LN(2)))</f>
        <v>0.10096544170627146</v>
      </c>
      <c r="N195" s="3">
        <f ca="1">SQRT(AVERAGE(K195:OFFSET(K195,$B$7-1,0))*$B$9/(4*LN(2)))</f>
        <v>0.10033552064957155</v>
      </c>
      <c r="O195" s="3" t="e">
        <f ca="1">SQRT(AVERAGE(K195:OFFSET(K195,$B$8-1,0))*$B$9/(4*LN(2)))</f>
        <v>#DIV/0!</v>
      </c>
      <c r="P195" s="1"/>
      <c r="Q195" s="5">
        <f t="shared" si="17"/>
        <v>2.5000721159646605E-5</v>
      </c>
      <c r="R195" s="5">
        <f ca="1">SQRT($B$9*AVERAGE((Q195:OFFSET(Q195,$B$5-1,0))))</f>
        <v>0.11292932183497847</v>
      </c>
      <c r="S195" s="5">
        <f ca="1">SQRT($B$9*AVERAGE((Q195:OFFSET(Q195,$B$6-1,0))))</f>
        <v>0.11027019667791596</v>
      </c>
      <c r="T195" s="5">
        <f ca="1">SQRT($B$9*AVERAGE((Q195:OFFSET(Q195,$B$7-1,0))))</f>
        <v>0.10977027832678245</v>
      </c>
      <c r="U195" s="5" t="e">
        <f ca="1">SQRT($B$9*AVERAGE((Q195:OFFSET(Q195,$B$8-1,0))))</f>
        <v>#DIV/0!</v>
      </c>
      <c r="V195" s="1"/>
      <c r="W195" s="6">
        <f t="shared" si="18"/>
        <v>2.521853263971461E-5</v>
      </c>
      <c r="X195" s="6">
        <f ca="1">SQRT($B$9*AVERAGE(W195:OFFSET(W195,$B$5-1,0)))</f>
        <v>0.11707509329438494</v>
      </c>
      <c r="Y195" s="6">
        <f ca="1">SQRT($B$9*AVERAGE(W195:OFFSET(W195,$B$6-1,0)))</f>
        <v>0.11573383169691358</v>
      </c>
      <c r="Z195" s="6">
        <f ca="1">SQRT($B$9*AVERAGE(W195:OFFSET(W195,$B$7-1,0)))</f>
        <v>0.113126200717323</v>
      </c>
      <c r="AA195" s="6" t="e">
        <f ca="1">SQRT($B$9*AVERAGE(W195:OFFSET(W195,$B$8-1,0)))</f>
        <v>#DIV/0!</v>
      </c>
      <c r="AB195" s="1"/>
      <c r="AC195" s="34">
        <f t="shared" si="20"/>
        <v>2.6162060118340474E-6</v>
      </c>
      <c r="AD195" s="34">
        <f ca="1">SQRT($B$9*SUM(AC195:OFFSET(AC195,$B$5-1,0))/($B$5-1))</f>
        <v>0.1011437075581995</v>
      </c>
      <c r="AE195" s="34">
        <f ca="1">SQRT($B$9*SUM(AC195:OFFSET(AC195,$B$6-1,0))/($B$6-1))</f>
        <v>8.5324972067485058E-2</v>
      </c>
      <c r="AF195" s="34">
        <f ca="1">SQRT($B$9*SUM(AC195:OFFSET(AC195,$B$7-1,0))/($B$7-1))</f>
        <v>8.082589226009558E-2</v>
      </c>
      <c r="AG195" s="34" t="e">
        <f ca="1">SQRT($B$9*SUM(AC195:OFFSET(AC195,$B$8-1,0))/($B$8-1))</f>
        <v>#DIV/0!</v>
      </c>
      <c r="AH195" s="1"/>
      <c r="AI195" s="1">
        <f t="shared" si="21"/>
        <v>-1.6174690141805028E-3</v>
      </c>
      <c r="AJ195" s="4">
        <f ca="1">SQRT($B$9)*_xlfn.STDEV.S(AI195:OFFSET(AI195,$B$5-1,0))</f>
        <v>9.4674823348551221E-2</v>
      </c>
      <c r="AK195" s="4">
        <f ca="1">SQRT($B$9)*_xlfn.STDEV.S(AI195:OFFSET(AI195,$B$6-1,0))</f>
        <v>8.4561287287882286E-2</v>
      </c>
      <c r="AL195" s="4">
        <f ca="1">SQRT($B$9)*_xlfn.STDEV.S(AI195:OFFSET(AI195,$B$7-1,0))</f>
        <v>8.0760807879554378E-2</v>
      </c>
      <c r="AM195" s="4" t="e">
        <f ca="1">SQRT($B$9)*_xlfn.STDEV.S(AI195:OFFSET(AI195,$B$8-1,0))</f>
        <v>#DIV/0!</v>
      </c>
    </row>
    <row r="196" spans="5:39" x14ac:dyDescent="0.2">
      <c r="E196" s="42">
        <v>45383</v>
      </c>
      <c r="F196" s="43">
        <v>2.405575971929367</v>
      </c>
      <c r="G196" s="43">
        <v>2.4349720123195424</v>
      </c>
      <c r="H196" s="43">
        <v>2.405575971929367</v>
      </c>
      <c r="I196" s="43">
        <v>2.4251733321894839</v>
      </c>
      <c r="K196" s="3">
        <f t="shared" si="19"/>
        <v>1.4752284556515292E-4</v>
      </c>
      <c r="L196" s="3">
        <f ca="1">SQRT(AVERAGE(K196:OFFSET(K196,$B$5-1,0))*$B$9/(4*LN(2)))</f>
        <v>0.10370102919119965</v>
      </c>
      <c r="M196" s="3">
        <f ca="1">SQRT(AVERAGE(K196:OFFSET(K196,$B$6-1,0))*$B$9/(4*LN(2)))</f>
        <v>0.10386451625606226</v>
      </c>
      <c r="N196" s="3">
        <f ca="1">SQRT(AVERAGE(K196:OFFSET(K196,$B$7-1,0))*$B$9/(4*LN(2)))</f>
        <v>0.10728983267652041</v>
      </c>
      <c r="O196" s="3" t="e">
        <f ca="1">SQRT(AVERAGE(K196:OFFSET(K196,$B$8-1,0))*$B$9/(4*LN(2)))</f>
        <v>#DIV/0!</v>
      </c>
      <c r="P196" s="1"/>
      <c r="Q196" s="5">
        <f t="shared" si="17"/>
        <v>4.8298474287851022E-5</v>
      </c>
      <c r="R196" s="5">
        <f ca="1">SQRT($B$9*AVERAGE((Q196:OFFSET(Q196,$B$5-1,0))))</f>
        <v>0.11207918237636166</v>
      </c>
      <c r="S196" s="5">
        <f ca="1">SQRT($B$9*AVERAGE((Q196:OFFSET(Q196,$B$6-1,0))))</f>
        <v>0.113120512924916</v>
      </c>
      <c r="T196" s="5">
        <f ca="1">SQRT($B$9*AVERAGE((Q196:OFFSET(Q196,$B$7-1,0))))</f>
        <v>0.11344500179977651</v>
      </c>
      <c r="U196" s="5" t="e">
        <f ca="1">SQRT($B$9*AVERAGE((Q196:OFFSET(Q196,$B$8-1,0))))</f>
        <v>#DIV/0!</v>
      </c>
      <c r="V196" s="1"/>
      <c r="W196" s="6">
        <f t="shared" si="18"/>
        <v>4.8975462737640135E-5</v>
      </c>
      <c r="X196" s="6">
        <f ca="1">SQRT($B$9*AVERAGE(W196:OFFSET(W196,$B$5-1,0)))</f>
        <v>0.11607888818766006</v>
      </c>
      <c r="Y196" s="6">
        <f ca="1">SQRT($B$9*AVERAGE(W196:OFFSET(W196,$B$6-1,0)))</f>
        <v>0.11835139475950558</v>
      </c>
      <c r="Z196" s="6">
        <f ca="1">SQRT($B$9*AVERAGE(W196:OFFSET(W196,$B$7-1,0)))</f>
        <v>0.11526494243757898</v>
      </c>
      <c r="AA196" s="6" t="e">
        <f ca="1">SQRT($B$9*AVERAGE(W196:OFFSET(W196,$B$8-1,0)))</f>
        <v>#DIV/0!</v>
      </c>
      <c r="AB196" s="1"/>
      <c r="AC196" s="34">
        <f t="shared" si="20"/>
        <v>1.1152665361114267E-4</v>
      </c>
      <c r="AD196" s="34">
        <f ca="1">SQRT($B$9*SUM(AC196:OFFSET(AC196,$B$5-1,0))/($B$5-1))</f>
        <v>0.10441314358165346</v>
      </c>
      <c r="AE196" s="34">
        <f ca="1">SQRT($B$9*SUM(AC196:OFFSET(AC196,$B$6-1,0))/($B$6-1))</f>
        <v>9.2230837696603965E-2</v>
      </c>
      <c r="AF196" s="34">
        <f ca="1">SQRT($B$9*SUM(AC196:OFFSET(AC196,$B$7-1,0))/($B$7-1))</f>
        <v>9.1692607048379338E-2</v>
      </c>
      <c r="AG196" s="34" t="e">
        <f ca="1">SQRT($B$9*SUM(AC196:OFFSET(AC196,$B$8-1,0))/($B$8-1))</f>
        <v>#DIV/0!</v>
      </c>
      <c r="AH196" s="1"/>
      <c r="AI196" s="1">
        <f t="shared" si="21"/>
        <v>1.0560618050622922E-2</v>
      </c>
      <c r="AJ196" s="4">
        <f ca="1">SQRT($B$9)*_xlfn.STDEV.S(AI196:OFFSET(AI196,$B$5-1,0))</f>
        <v>8.9271663488480438E-2</v>
      </c>
      <c r="AK196" s="4">
        <f ca="1">SQRT($B$9)*_xlfn.STDEV.S(AI196:OFFSET(AI196,$B$6-1,0))</f>
        <v>9.2192220539880576E-2</v>
      </c>
      <c r="AL196" s="4">
        <f ca="1">SQRT($B$9)*_xlfn.STDEV.S(AI196:OFFSET(AI196,$B$7-1,0))</f>
        <v>9.1358172266903168E-2</v>
      </c>
      <c r="AM196" s="4" t="e">
        <f ca="1">SQRT($B$9)*_xlfn.STDEV.S(AI196:OFFSET(AI196,$B$8-1,0))</f>
        <v>#DIV/0!</v>
      </c>
    </row>
    <row r="197" spans="5:39" x14ac:dyDescent="0.2">
      <c r="E197" s="42">
        <v>45380</v>
      </c>
      <c r="F197" s="43">
        <v>2.3859786116692501</v>
      </c>
      <c r="G197" s="43">
        <v>2.403616235903355</v>
      </c>
      <c r="H197" s="43">
        <v>2.3849987436562441</v>
      </c>
      <c r="I197" s="43">
        <v>2.3996967638513316</v>
      </c>
      <c r="K197" s="3">
        <f t="shared" si="19"/>
        <v>6.0462610150306329E-5</v>
      </c>
      <c r="L197" s="3">
        <f ca="1">SQRT(AVERAGE(K197:OFFSET(K197,$B$5-1,0))*$B$9/(4*LN(2)))</f>
        <v>0.10000644450342451</v>
      </c>
      <c r="M197" s="3">
        <f ca="1">SQRT(AVERAGE(K197:OFFSET(K197,$B$6-1,0))*$B$9/(4*LN(2)))</f>
        <v>0.1006273060361912</v>
      </c>
      <c r="N197" s="3">
        <f ca="1">SQRT(AVERAGE(K197:OFFSET(K197,$B$7-1,0))*$B$9/(4*LN(2)))</f>
        <v>0.10561357386824516</v>
      </c>
      <c r="O197" s="3" t="e">
        <f ca="1">SQRT(AVERAGE(K197:OFFSET(K197,$B$8-1,0))*$B$9/(4*LN(2)))</f>
        <v>#DIV/0!</v>
      </c>
      <c r="P197" s="1"/>
      <c r="Q197" s="5">
        <f t="shared" ref="Q197:Q260" si="22">0.511*(LN(G197/H197))^2-0.019*(LN(I197/F197)*LN(G197*H197/F197^2)-2*LN(G197/F197)*LN(H197/F197))-0.383*(LN(I197/F197))^2</f>
        <v>1.7435659806946396E-5</v>
      </c>
      <c r="R197" s="5">
        <f ca="1">SQRT($B$9*AVERAGE((Q197:OFFSET(Q197,$B$5-1,0))))</f>
        <v>0.1128329185598297</v>
      </c>
      <c r="S197" s="5">
        <f ca="1">SQRT($B$9*AVERAGE((Q197:OFFSET(Q197,$B$6-1,0))))</f>
        <v>0.11080253915671094</v>
      </c>
      <c r="T197" s="5">
        <f ca="1">SQRT($B$9*AVERAGE((Q197:OFFSET(Q197,$B$7-1,0))))</f>
        <v>0.11246715709651144</v>
      </c>
      <c r="U197" s="5" t="e">
        <f ca="1">SQRT($B$9*AVERAGE((Q197:OFFSET(Q197,$B$8-1,0))))</f>
        <v>#DIV/0!</v>
      </c>
      <c r="V197" s="1"/>
      <c r="W197" s="6">
        <f t="shared" ref="W197:W230" si="23">LN(G197/I197)*LN(G197/F197)+LN(H197/I197)*LN(H197/F197)</f>
        <v>1.4543233347323971E-5</v>
      </c>
      <c r="X197" s="6">
        <f ca="1">SQRT($B$9*AVERAGE(W197:OFFSET(W197,$B$5-1,0)))</f>
        <v>0.11862790785262034</v>
      </c>
      <c r="Y197" s="6">
        <f ca="1">SQRT($B$9*AVERAGE(W197:OFFSET(W197,$B$6-1,0)))</f>
        <v>0.11579478484792473</v>
      </c>
      <c r="Z197" s="6">
        <f ca="1">SQRT($B$9*AVERAGE(W197:OFFSET(W197,$B$7-1,0)))</f>
        <v>0.11421795222602207</v>
      </c>
      <c r="AA197" s="6" t="e">
        <f ca="1">SQRT($B$9*AVERAGE(W197:OFFSET(W197,$B$8-1,0)))</f>
        <v>#DIV/0!</v>
      </c>
      <c r="AB197" s="1"/>
      <c r="AC197" s="34">
        <f t="shared" si="20"/>
        <v>2.0265725250255454E-5</v>
      </c>
      <c r="AD197" s="34">
        <f ca="1">SQRT($B$9*SUM(AC197:OFFSET(AC197,$B$5-1,0))/($B$5-1))</f>
        <v>6.3885882841530489E-2</v>
      </c>
      <c r="AE197" s="34">
        <f ca="1">SQRT($B$9*SUM(AC197:OFFSET(AC197,$B$6-1,0))/($B$6-1))</f>
        <v>7.6929669872854906E-2</v>
      </c>
      <c r="AF197" s="34">
        <f ca="1">SQRT($B$9*SUM(AC197:OFFSET(AC197,$B$7-1,0))/($B$7-1))</f>
        <v>8.3598859359694744E-2</v>
      </c>
      <c r="AG197" s="34" t="e">
        <f ca="1">SQRT($B$9*SUM(AC197:OFFSET(AC197,$B$8-1,0))/($B$8-1))</f>
        <v>#DIV/0!</v>
      </c>
      <c r="AH197" s="1"/>
      <c r="AI197" s="1">
        <f t="shared" si="21"/>
        <v>4.5017469109508426E-3</v>
      </c>
      <c r="AJ197" s="4">
        <f ca="1">SQRT($B$9)*_xlfn.STDEV.S(AI197:OFFSET(AI197,$B$5-1,0))</f>
        <v>6.1912445373496057E-2</v>
      </c>
      <c r="AK197" s="4">
        <f ca="1">SQRT($B$9)*_xlfn.STDEV.S(AI197:OFFSET(AI197,$B$6-1,0))</f>
        <v>7.650577407706774E-2</v>
      </c>
      <c r="AL197" s="4">
        <f ca="1">SQRT($B$9)*_xlfn.STDEV.S(AI197:OFFSET(AI197,$B$7-1,0))</f>
        <v>8.3598216148482465E-2</v>
      </c>
      <c r="AM197" s="4" t="e">
        <f ca="1">SQRT($B$9)*_xlfn.STDEV.S(AI197:OFFSET(AI197,$B$8-1,0))</f>
        <v>#DIV/0!</v>
      </c>
    </row>
    <row r="198" spans="5:39" x14ac:dyDescent="0.2">
      <c r="E198" s="42">
        <v>45379</v>
      </c>
      <c r="F198" s="43">
        <v>2.3820591396172266</v>
      </c>
      <c r="G198" s="43">
        <v>2.4094954439813905</v>
      </c>
      <c r="H198" s="43">
        <v>2.3712805914741621</v>
      </c>
      <c r="I198" s="43">
        <v>2.3889182157082676</v>
      </c>
      <c r="K198" s="3">
        <f t="shared" ref="K198:K261" si="24">(LN(G198/H198))^2</f>
        <v>2.5559130134479032E-4</v>
      </c>
      <c r="L198" s="3">
        <f ca="1">SQRT(AVERAGE(K198:OFFSET(K198,$B$5-1,0))*$B$9/(4*LN(2)))</f>
        <v>0.11402503776956241</v>
      </c>
      <c r="M198" s="3">
        <f ca="1">SQRT(AVERAGE(K198:OFFSET(K198,$B$6-1,0))*$B$9/(4*LN(2)))</f>
        <v>0.10216055610910439</v>
      </c>
      <c r="N198" s="3">
        <f ca="1">SQRT(AVERAGE(K198:OFFSET(K198,$B$7-1,0))*$B$9/(4*LN(2)))</f>
        <v>0.1065344534254607</v>
      </c>
      <c r="O198" s="3" t="e">
        <f ca="1">SQRT(AVERAGE(K198:OFFSET(K198,$B$8-1,0))*$B$9/(4*LN(2)))</f>
        <v>#DIV/0!</v>
      </c>
      <c r="P198" s="1"/>
      <c r="Q198" s="5">
        <f t="shared" si="22"/>
        <v>1.2508919835298483E-4</v>
      </c>
      <c r="R198" s="5">
        <f ca="1">SQRT($B$9*AVERAGE((Q198:OFFSET(Q198,$B$5-1,0))))</f>
        <v>0.12894284566195205</v>
      </c>
      <c r="S198" s="5">
        <f ca="1">SQRT($B$9*AVERAGE((Q198:OFFSET(Q198,$B$6-1,0))))</f>
        <v>0.11343039374275672</v>
      </c>
      <c r="T198" s="5">
        <f ca="1">SQRT($B$9*AVERAGE((Q198:OFFSET(Q198,$B$7-1,0))))</f>
        <v>0.11413529806044627</v>
      </c>
      <c r="U198" s="5" t="e">
        <f ca="1">SQRT($B$9*AVERAGE((Q198:OFFSET(Q198,$B$8-1,0))))</f>
        <v>#DIV/0!</v>
      </c>
      <c r="V198" s="1"/>
      <c r="W198" s="6">
        <f t="shared" si="23"/>
        <v>1.3182904526859887E-4</v>
      </c>
      <c r="X198" s="6">
        <f ca="1">SQRT($B$9*AVERAGE(W198:OFFSET(W198,$B$5-1,0)))</f>
        <v>0.13741819737920014</v>
      </c>
      <c r="Y198" s="6">
        <f ca="1">SQRT($B$9*AVERAGE(W198:OFFSET(W198,$B$6-1,0)))</f>
        <v>0.1185497812896965</v>
      </c>
      <c r="Z198" s="6">
        <f ca="1">SQRT($B$9*AVERAGE(W198:OFFSET(W198,$B$7-1,0)))</f>
        <v>0.11594942560012692</v>
      </c>
      <c r="AA198" s="6" t="e">
        <f ca="1">SQRT($B$9*AVERAGE(W198:OFFSET(W198,$B$8-1,0)))</f>
        <v>#DIV/0!</v>
      </c>
      <c r="AB198" s="1"/>
      <c r="AC198" s="34">
        <f t="shared" si="20"/>
        <v>4.2146745611650257E-6</v>
      </c>
      <c r="AD198" s="34">
        <f ca="1">SQRT($B$9*SUM(AC198:OFFSET(AC198,$B$5-1,0))/($B$5-1))</f>
        <v>8.8221349282286657E-2</v>
      </c>
      <c r="AE198" s="34">
        <f ca="1">SQRT($B$9*SUM(AC198:OFFSET(AC198,$B$6-1,0))/($B$6-1))</f>
        <v>7.3379080379478712E-2</v>
      </c>
      <c r="AF198" s="34">
        <f ca="1">SQRT($B$9*SUM(AC198:OFFSET(AC198,$B$7-1,0))/($B$7-1))</f>
        <v>8.223096898605553E-2</v>
      </c>
      <c r="AG198" s="34" t="e">
        <f ca="1">SQRT($B$9*SUM(AC198:OFFSET(AC198,$B$8-1,0))/($B$8-1))</f>
        <v>#DIV/0!</v>
      </c>
      <c r="AH198" s="1"/>
      <c r="AI198" s="1">
        <f t="shared" si="21"/>
        <v>2.0529672576943417E-3</v>
      </c>
      <c r="AJ198" s="4">
        <f ca="1">SQRT($B$9)*_xlfn.STDEV.S(AI198:OFFSET(AI198,$B$5-1,0))</f>
        <v>8.2428340067736985E-2</v>
      </c>
      <c r="AK198" s="4">
        <f ca="1">SQRT($B$9)*_xlfn.STDEV.S(AI198:OFFSET(AI198,$B$6-1,0))</f>
        <v>7.200167955865952E-2</v>
      </c>
      <c r="AL198" s="4">
        <f ca="1">SQRT($B$9)*_xlfn.STDEV.S(AI198:OFFSET(AI198,$B$7-1,0))</f>
        <v>8.2207279969933059E-2</v>
      </c>
      <c r="AM198" s="4" t="e">
        <f ca="1">SQRT($B$9)*_xlfn.STDEV.S(AI198:OFFSET(AI198,$B$8-1,0))</f>
        <v>#DIV/0!</v>
      </c>
    </row>
    <row r="199" spans="5:39" x14ac:dyDescent="0.2">
      <c r="E199" s="42">
        <v>45378</v>
      </c>
      <c r="F199" s="43">
        <v>2.3918578197472851</v>
      </c>
      <c r="G199" s="43">
        <v>2.406555839942373</v>
      </c>
      <c r="H199" s="43">
        <v>2.3830390076302321</v>
      </c>
      <c r="I199" s="43">
        <v>2.3840188756432381</v>
      </c>
      <c r="K199" s="3">
        <f t="shared" si="24"/>
        <v>9.6433306996496085E-5</v>
      </c>
      <c r="L199" s="3">
        <f ca="1">SQRT(AVERAGE(K199:OFFSET(K199,$B$5-1,0))*$B$9/(4*LN(2)))</f>
        <v>9.7081048480180912E-2</v>
      </c>
      <c r="M199" s="3">
        <f ca="1">SQRT(AVERAGE(K199:OFFSET(K199,$B$6-1,0))*$B$9/(4*LN(2)))</f>
        <v>9.832326857221195E-2</v>
      </c>
      <c r="N199" s="3">
        <f ca="1">SQRT(AVERAGE(K199:OFFSET(K199,$B$7-1,0))*$B$9/(4*LN(2)))</f>
        <v>0.10458450511093775</v>
      </c>
      <c r="O199" s="3" t="e">
        <f ca="1">SQRT(AVERAGE(K199:OFFSET(K199,$B$8-1,0))*$B$9/(4*LN(2)))</f>
        <v>#DIV/0!</v>
      </c>
      <c r="P199" s="1"/>
      <c r="Q199" s="5">
        <f t="shared" si="22"/>
        <v>4.4441900068247571E-5</v>
      </c>
      <c r="R199" s="5">
        <f ca="1">SQRT($B$9*AVERAGE((Q199:OFFSET(Q199,$B$5-1,0))))</f>
        <v>0.10832341973316351</v>
      </c>
      <c r="S199" s="5">
        <f ca="1">SQRT($B$9*AVERAGE((Q199:OFFSET(Q199,$B$6-1,0))))</f>
        <v>0.10878698440034262</v>
      </c>
      <c r="T199" s="5">
        <f ca="1">SQRT($B$9*AVERAGE((Q199:OFFSET(Q199,$B$7-1,0))))</f>
        <v>0.10908370628243755</v>
      </c>
      <c r="U199" s="5" t="e">
        <f ca="1">SQRT($B$9*AVERAGE((Q199:OFFSET(Q199,$B$8-1,0))))</f>
        <v>#DIV/0!</v>
      </c>
      <c r="V199" s="1"/>
      <c r="W199" s="6">
        <f t="shared" si="23"/>
        <v>5.9159796820782317E-5</v>
      </c>
      <c r="X199" s="6">
        <f ca="1">SQRT($B$9*AVERAGE(W199:OFFSET(W199,$B$5-1,0)))</f>
        <v>0.11879174633473723</v>
      </c>
      <c r="Y199" s="6">
        <f ca="1">SQRT($B$9*AVERAGE(W199:OFFSET(W199,$B$6-1,0)))</f>
        <v>0.11372896773479345</v>
      </c>
      <c r="Z199" s="6">
        <f ca="1">SQRT($B$9*AVERAGE(W199:OFFSET(W199,$B$7-1,0)))</f>
        <v>0.10993027621019244</v>
      </c>
      <c r="AA199" s="6" t="e">
        <f ca="1">SQRT($B$9*AVERAGE(W199:OFFSET(W199,$B$8-1,0)))</f>
        <v>#DIV/0!</v>
      </c>
      <c r="AB199" s="1"/>
      <c r="AC199" s="34">
        <f t="shared" si="20"/>
        <v>2.8397958175702094E-5</v>
      </c>
      <c r="AD199" s="34">
        <f ca="1">SQRT($B$9*SUM(AC199:OFFSET(AC199,$B$5-1,0))/($B$5-1))</f>
        <v>8.6745937382195965E-2</v>
      </c>
      <c r="AE199" s="34">
        <f ca="1">SQRT($B$9*SUM(AC199:OFFSET(AC199,$B$6-1,0))/($B$6-1))</f>
        <v>7.3698266169070367E-2</v>
      </c>
      <c r="AF199" s="34">
        <f ca="1">SQRT($B$9*SUM(AC199:OFFSET(AC199,$B$7-1,0))/($B$7-1))</f>
        <v>8.7052974248873316E-2</v>
      </c>
      <c r="AG199" s="34" t="e">
        <f ca="1">SQRT($B$9*SUM(AC199:OFFSET(AC199,$B$8-1,0))/($B$8-1))</f>
        <v>#DIV/0!</v>
      </c>
      <c r="AH199" s="1"/>
      <c r="AI199" s="1">
        <f t="shared" si="21"/>
        <v>-5.3289734635952254E-3</v>
      </c>
      <c r="AJ199" s="4">
        <f ca="1">SQRT($B$9)*_xlfn.STDEV.S(AI199:OFFSET(AI199,$B$5-1,0))</f>
        <v>7.7671181318601623E-2</v>
      </c>
      <c r="AK199" s="4">
        <f ca="1">SQRT($B$9)*_xlfn.STDEV.S(AI199:OFFSET(AI199,$B$6-1,0))</f>
        <v>7.0474412262480107E-2</v>
      </c>
      <c r="AL199" s="4">
        <f ca="1">SQRT($B$9)*_xlfn.STDEV.S(AI199:OFFSET(AI199,$B$7-1,0))</f>
        <v>8.7002099111079395E-2</v>
      </c>
      <c r="AM199" s="4" t="e">
        <f ca="1">SQRT($B$9)*_xlfn.STDEV.S(AI199:OFFSET(AI199,$B$8-1,0))</f>
        <v>#DIV/0!</v>
      </c>
    </row>
    <row r="200" spans="5:39" x14ac:dyDescent="0.2">
      <c r="E200" s="42">
        <v>45377</v>
      </c>
      <c r="F200" s="43">
        <v>2.3898980837212735</v>
      </c>
      <c r="G200" s="43">
        <v>2.400676631864338</v>
      </c>
      <c r="H200" s="43">
        <v>2.3840188756432381</v>
      </c>
      <c r="I200" s="43">
        <v>2.3967571598123145</v>
      </c>
      <c r="K200" s="3">
        <f t="shared" si="24"/>
        <v>4.8482822479155001E-5</v>
      </c>
      <c r="L200" s="3">
        <f ca="1">SQRT(AVERAGE(K200:OFFSET(K200,$B$5-1,0))*$B$9/(4*LN(2)))</f>
        <v>9.7744183839821905E-2</v>
      </c>
      <c r="M200" s="3">
        <f ca="1">SQRT(AVERAGE(K200:OFFSET(K200,$B$6-1,0))*$B$9/(4*LN(2)))</f>
        <v>0.1001794816946643</v>
      </c>
      <c r="N200" s="3">
        <f ca="1">SQRT(AVERAGE(K200:OFFSET(K200,$B$7-1,0))*$B$9/(4*LN(2)))</f>
        <v>0.10617460355637058</v>
      </c>
      <c r="O200" s="3" t="e">
        <f ca="1">SQRT(AVERAGE(K200:OFFSET(K200,$B$8-1,0))*$B$9/(4*LN(2)))</f>
        <v>#DIV/0!</v>
      </c>
      <c r="P200" s="1"/>
      <c r="Q200" s="5">
        <f t="shared" si="22"/>
        <v>2.1096872017719931E-5</v>
      </c>
      <c r="R200" s="5">
        <f ca="1">SQRT($B$9*AVERAGE((Q200:OFFSET(Q200,$B$5-1,0))))</f>
        <v>0.10754534309148114</v>
      </c>
      <c r="S200" s="5">
        <f ca="1">SQRT($B$9*AVERAGE((Q200:OFFSET(Q200,$B$6-1,0))))</f>
        <v>0.10975016022132919</v>
      </c>
      <c r="T200" s="5">
        <f ca="1">SQRT($B$9*AVERAGE((Q200:OFFSET(Q200,$B$7-1,0))))</f>
        <v>0.1107139767130421</v>
      </c>
      <c r="U200" s="5" t="e">
        <f ca="1">SQRT($B$9*AVERAGE((Q200:OFFSET(Q200,$B$8-1,0))))</f>
        <v>#DIV/0!</v>
      </c>
      <c r="V200" s="1"/>
      <c r="W200" s="6">
        <f t="shared" si="23"/>
        <v>2.0478345149803442E-5</v>
      </c>
      <c r="X200" s="6">
        <f ca="1">SQRT($B$9*AVERAGE(W200:OFFSET(W200,$B$5-1,0)))</f>
        <v>0.11437684262388999</v>
      </c>
      <c r="Y200" s="6">
        <f ca="1">SQRT($B$9*AVERAGE(W200:OFFSET(W200,$B$6-1,0)))</f>
        <v>0.11362099248514347</v>
      </c>
      <c r="Z200" s="6">
        <f ca="1">SQRT($B$9*AVERAGE(W200:OFFSET(W200,$B$7-1,0)))</f>
        <v>0.1114099216716558</v>
      </c>
      <c r="AA200" s="6" t="e">
        <f ca="1">SQRT($B$9*AVERAGE(W200:OFFSET(W200,$B$8-1,0)))</f>
        <v>#DIV/0!</v>
      </c>
      <c r="AB200" s="1"/>
      <c r="AC200" s="34">
        <f t="shared" si="20"/>
        <v>1.3588532117701746E-5</v>
      </c>
      <c r="AD200" s="34">
        <f ca="1">SQRT($B$9*SUM(AC200:OFFSET(AC200,$B$5-1,0))/($B$5-1))</f>
        <v>7.8426652692786189E-2</v>
      </c>
      <c r="AE200" s="34">
        <f ca="1">SQRT($B$9*SUM(AC200:OFFSET(AC200,$B$6-1,0))/($B$6-1))</f>
        <v>8.0224651104618419E-2</v>
      </c>
      <c r="AF200" s="34">
        <f ca="1">SQRT($B$9*SUM(AC200:OFFSET(AC200,$B$7-1,0))/($B$7-1))</f>
        <v>8.7405368813163187E-2</v>
      </c>
      <c r="AG200" s="34" t="e">
        <f ca="1">SQRT($B$9*SUM(AC200:OFFSET(AC200,$B$8-1,0))/($B$8-1))</f>
        <v>#DIV/0!</v>
      </c>
      <c r="AH200" s="1"/>
      <c r="AI200" s="1">
        <f t="shared" si="21"/>
        <v>3.6862626219114863E-3</v>
      </c>
      <c r="AJ200" s="4">
        <f ca="1">SQRT($B$9)*_xlfn.STDEV.S(AI200:OFFSET(AI200,$B$5-1,0))</f>
        <v>7.7589479799735989E-2</v>
      </c>
      <c r="AK200" s="4">
        <f ca="1">SQRT($B$9)*_xlfn.STDEV.S(AI200:OFFSET(AI200,$B$6-1,0))</f>
        <v>7.5860504974888998E-2</v>
      </c>
      <c r="AL200" s="4">
        <f ca="1">SQRT($B$9)*_xlfn.STDEV.S(AI200:OFFSET(AI200,$B$7-1,0))</f>
        <v>8.7365777292291127E-2</v>
      </c>
      <c r="AM200" s="4" t="e">
        <f ca="1">SQRT($B$9)*_xlfn.STDEV.S(AI200:OFFSET(AI200,$B$8-1,0))</f>
        <v>#DIV/0!</v>
      </c>
    </row>
    <row r="201" spans="5:39" x14ac:dyDescent="0.2">
      <c r="E201" s="42">
        <v>45376</v>
      </c>
      <c r="F201" s="43">
        <v>2.3840188756432381</v>
      </c>
      <c r="G201" s="43">
        <v>2.403616235903355</v>
      </c>
      <c r="H201" s="43">
        <v>2.3791195355782091</v>
      </c>
      <c r="I201" s="43">
        <v>2.3879383476952616</v>
      </c>
      <c r="K201" s="3">
        <f t="shared" si="24"/>
        <v>1.0493732492825166E-4</v>
      </c>
      <c r="L201" s="3">
        <f ca="1">SQRT(AVERAGE(K201:OFFSET(K201,$B$5-1,0))*$B$9/(4*LN(2)))</f>
        <v>0.10402774638959358</v>
      </c>
      <c r="M201" s="3">
        <f ca="1">SQRT(AVERAGE(K201:OFFSET(K201,$B$6-1,0))*$B$9/(4*LN(2)))</f>
        <v>0.1014949269499055</v>
      </c>
      <c r="N201" s="3">
        <f ca="1">SQRT(AVERAGE(K201:OFFSET(K201,$B$7-1,0))*$B$9/(4*LN(2)))</f>
        <v>0.1070302529472225</v>
      </c>
      <c r="O201" s="3" t="e">
        <f ca="1">SQRT(AVERAGE(K201:OFFSET(K201,$B$8-1,0))*$B$9/(4*LN(2)))</f>
        <v>#DIV/0!</v>
      </c>
      <c r="P201" s="1"/>
      <c r="Q201" s="5">
        <f t="shared" si="22"/>
        <v>5.1758155687349455E-5</v>
      </c>
      <c r="R201" s="5">
        <f ca="1">SQRT($B$9*AVERAGE((Q201:OFFSET(Q201,$B$5-1,0))))</f>
        <v>0.1141523445516492</v>
      </c>
      <c r="S201" s="5">
        <f ca="1">SQRT($B$9*AVERAGE((Q201:OFFSET(Q201,$B$6-1,0))))</f>
        <v>0.11152015342342318</v>
      </c>
      <c r="T201" s="5">
        <f ca="1">SQRT($B$9*AVERAGE((Q201:OFFSET(Q201,$B$7-1,0))))</f>
        <v>0.11056414550091827</v>
      </c>
      <c r="U201" s="5" t="e">
        <f ca="1">SQRT($B$9*AVERAGE((Q201:OFFSET(Q201,$B$8-1,0))))</f>
        <v>#DIV/0!</v>
      </c>
      <c r="V201" s="1"/>
      <c r="W201" s="6">
        <f t="shared" si="23"/>
        <v>6.1185100260221611E-5</v>
      </c>
      <c r="X201" s="6">
        <f ca="1">SQRT($B$9*AVERAGE(W201:OFFSET(W201,$B$5-1,0)))</f>
        <v>0.12058108060619363</v>
      </c>
      <c r="Y201" s="6">
        <f ca="1">SQRT($B$9*AVERAGE(W201:OFFSET(W201,$B$6-1,0)))</f>
        <v>0.11535036439624573</v>
      </c>
      <c r="Z201" s="6">
        <f ca="1">SQRT($B$9*AVERAGE(W201:OFFSET(W201,$B$7-1,0)))</f>
        <v>0.11089020160459345</v>
      </c>
      <c r="AA201" s="6" t="e">
        <f ca="1">SQRT($B$9*AVERAGE(W201:OFFSET(W201,$B$8-1,0)))</f>
        <v>#DIV/0!</v>
      </c>
      <c r="AB201" s="1"/>
      <c r="AC201" s="34">
        <f t="shared" si="20"/>
        <v>1.6831032687788207E-7</v>
      </c>
      <c r="AD201" s="34">
        <f ca="1">SQRT($B$9*SUM(AC201:OFFSET(AC201,$B$5-1,0))/($B$5-1))</f>
        <v>9.0761126851675644E-2</v>
      </c>
      <c r="AE201" s="34">
        <f ca="1">SQRT($B$9*SUM(AC201:OFFSET(AC201,$B$6-1,0))/($B$6-1))</f>
        <v>7.8899729407526126E-2</v>
      </c>
      <c r="AF201" s="34">
        <f ca="1">SQRT($B$9*SUM(AC201:OFFSET(AC201,$B$7-1,0))/($B$7-1))</f>
        <v>8.8195351798103616E-2</v>
      </c>
      <c r="AG201" s="34" t="e">
        <f ca="1">SQRT($B$9*SUM(AC201:OFFSET(AC201,$B$8-1,0))/($B$8-1))</f>
        <v>#DIV/0!</v>
      </c>
      <c r="AH201" s="1"/>
      <c r="AI201" s="1">
        <f t="shared" si="21"/>
        <v>-4.1025641601062385E-4</v>
      </c>
      <c r="AJ201" s="4">
        <f ca="1">SQRT($B$9)*_xlfn.STDEV.S(AI201:OFFSET(AI201,$B$5-1,0))</f>
        <v>7.6720322415087971E-2</v>
      </c>
      <c r="AK201" s="4">
        <f ca="1">SQRT($B$9)*_xlfn.STDEV.S(AI201:OFFSET(AI201,$B$6-1,0))</f>
        <v>7.369075677310892E-2</v>
      </c>
      <c r="AL201" s="4">
        <f ca="1">SQRT($B$9)*_xlfn.STDEV.S(AI201:OFFSET(AI201,$B$7-1,0))</f>
        <v>8.812051255248822E-2</v>
      </c>
      <c r="AM201" s="4" t="e">
        <f ca="1">SQRT($B$9)*_xlfn.STDEV.S(AI201:OFFSET(AI201,$B$8-1,0))</f>
        <v>#DIV/0!</v>
      </c>
    </row>
    <row r="202" spans="5:39" x14ac:dyDescent="0.2">
      <c r="E202" s="42">
        <v>45373</v>
      </c>
      <c r="F202" s="43">
        <v>2.405575971929367</v>
      </c>
      <c r="G202" s="43">
        <v>2.4075357079553785</v>
      </c>
      <c r="H202" s="43">
        <v>2.3712805914741621</v>
      </c>
      <c r="I202" s="43">
        <v>2.3889182157082676</v>
      </c>
      <c r="K202" s="3">
        <f t="shared" si="24"/>
        <v>2.3023672188580399E-4</v>
      </c>
      <c r="L202" s="3">
        <f ca="1">SQRT(AVERAGE(K202:OFFSET(K202,$B$5-1,0))*$B$9/(4*LN(2)))</f>
        <v>0.10124436032681544</v>
      </c>
      <c r="M202" s="3">
        <f ca="1">SQRT(AVERAGE(K202:OFFSET(K202,$B$6-1,0))*$B$9/(4*LN(2)))</f>
        <v>0.10293939441931885</v>
      </c>
      <c r="N202" s="3">
        <f ca="1">SQRT(AVERAGE(K202:OFFSET(K202,$B$7-1,0))*$B$9/(4*LN(2)))</f>
        <v>0.11146802353269498</v>
      </c>
      <c r="O202" s="3" t="e">
        <f ca="1">SQRT(AVERAGE(K202:OFFSET(K202,$B$8-1,0))*$B$9/(4*LN(2)))</f>
        <v>#DIV/0!</v>
      </c>
      <c r="P202" s="1"/>
      <c r="Q202" s="5">
        <f t="shared" si="22"/>
        <v>9.6925250351289746E-5</v>
      </c>
      <c r="R202" s="5">
        <f ca="1">SQRT($B$9*AVERAGE((Q202:OFFSET(Q202,$B$5-1,0))))</f>
        <v>0.10873425337224588</v>
      </c>
      <c r="S202" s="5">
        <f ca="1">SQRT($B$9*AVERAGE((Q202:OFFSET(Q202,$B$6-1,0))))</f>
        <v>0.1109136562440152</v>
      </c>
      <c r="T202" s="5">
        <f ca="1">SQRT($B$9*AVERAGE((Q202:OFFSET(Q202,$B$7-1,0))))</f>
        <v>0.11145479972296768</v>
      </c>
      <c r="U202" s="5" t="e">
        <f ca="1">SQRT($B$9*AVERAGE((Q202:OFFSET(Q202,$B$8-1,0))))</f>
        <v>#DIV/0!</v>
      </c>
      <c r="V202" s="1"/>
      <c r="W202" s="6">
        <f t="shared" si="23"/>
        <v>1.127305894587326E-4</v>
      </c>
      <c r="X202" s="6">
        <f ca="1">SQRT($B$9*AVERAGE(W202:OFFSET(W202,$B$5-1,0)))</f>
        <v>0.11289058363948952</v>
      </c>
      <c r="Y202" s="6">
        <f ca="1">SQRT($B$9*AVERAGE(W202:OFFSET(W202,$B$6-1,0)))</f>
        <v>0.11360772411853408</v>
      </c>
      <c r="Z202" s="6">
        <f ca="1">SQRT($B$9*AVERAGE(W202:OFFSET(W202,$B$7-1,0)))</f>
        <v>0.10986963733109807</v>
      </c>
      <c r="AA202" s="6" t="e">
        <f ca="1">SQRT($B$9*AVERAGE(W202:OFFSET(W202,$B$8-1,0)))</f>
        <v>#DIV/0!</v>
      </c>
      <c r="AB202" s="1"/>
      <c r="AC202" s="34">
        <f t="shared" si="20"/>
        <v>8.0700018193038476E-5</v>
      </c>
      <c r="AD202" s="34">
        <f ca="1">SQRT($B$9*SUM(AC202:OFFSET(AC202,$B$5-1,0))/($B$5-1))</f>
        <v>9.6096231527244252E-2</v>
      </c>
      <c r="AE202" s="34">
        <f ca="1">SQRT($B$9*SUM(AC202:OFFSET(AC202,$B$6-1,0))/($B$6-1))</f>
        <v>8.8498791712867508E-2</v>
      </c>
      <c r="AF202" s="34">
        <f ca="1">SQRT($B$9*SUM(AC202:OFFSET(AC202,$B$7-1,0))/($B$7-1))</f>
        <v>0.10676108773724668</v>
      </c>
      <c r="AG202" s="34" t="e">
        <f ca="1">SQRT($B$9*SUM(AC202:OFFSET(AC202,$B$8-1,0))/($B$8-1))</f>
        <v>#DIV/0!</v>
      </c>
      <c r="AH202" s="1"/>
      <c r="AI202" s="1">
        <f t="shared" si="21"/>
        <v>-8.9833188851915127E-3</v>
      </c>
      <c r="AJ202" s="4">
        <f ca="1">SQRT($B$9)*_xlfn.STDEV.S(AI202:OFFSET(AI202,$B$5-1,0))</f>
        <v>9.0301922580472635E-2</v>
      </c>
      <c r="AK202" s="4">
        <f ca="1">SQRT($B$9)*_xlfn.STDEV.S(AI202:OFFSET(AI202,$B$6-1,0))</f>
        <v>8.7248797996182625E-2</v>
      </c>
      <c r="AL202" s="4">
        <f ca="1">SQRT($B$9)*_xlfn.STDEV.S(AI202:OFFSET(AI202,$B$7-1,0))</f>
        <v>0.10633804046482036</v>
      </c>
      <c r="AM202" s="4" t="e">
        <f ca="1">SQRT($B$9)*_xlfn.STDEV.S(AI202:OFFSET(AI202,$B$8-1,0))</f>
        <v>#DIV/0!</v>
      </c>
    </row>
    <row r="203" spans="5:39" x14ac:dyDescent="0.2">
      <c r="E203" s="42">
        <v>45372</v>
      </c>
      <c r="F203" s="43">
        <v>2.4153746520594255</v>
      </c>
      <c r="G203" s="43">
        <v>2.4271330682154955</v>
      </c>
      <c r="H203" s="43">
        <v>2.4094954439813905</v>
      </c>
      <c r="I203" s="43">
        <v>2.410475311994396</v>
      </c>
      <c r="K203" s="3">
        <f t="shared" si="24"/>
        <v>5.3193497916390942E-5</v>
      </c>
      <c r="L203" s="3">
        <f ca="1">SQRT(AVERAGE(K203:OFFSET(K203,$B$5-1,0))*$B$9/(4*LN(2)))</f>
        <v>8.8723442283833859E-2</v>
      </c>
      <c r="M203" s="3">
        <f ca="1">SQRT(AVERAGE(K203:OFFSET(K203,$B$6-1,0))*$B$9/(4*LN(2)))</f>
        <v>9.7736163763782871E-2</v>
      </c>
      <c r="N203" s="3">
        <f ca="1">SQRT(AVERAGE(K203:OFFSET(K203,$B$7-1,0))*$B$9/(4*LN(2)))</f>
        <v>0.1087413561106973</v>
      </c>
      <c r="O203" s="3" t="e">
        <f ca="1">SQRT(AVERAGE(K203:OFFSET(K203,$B$8-1,0))*$B$9/(4*LN(2)))</f>
        <v>#DIV/0!</v>
      </c>
      <c r="P203" s="1"/>
      <c r="Q203" s="5">
        <f t="shared" si="22"/>
        <v>2.5246459889416051E-5</v>
      </c>
      <c r="R203" s="5">
        <f ca="1">SQRT($B$9*AVERAGE((Q203:OFFSET(Q203,$B$5-1,0))))</f>
        <v>9.5428774496331359E-2</v>
      </c>
      <c r="S203" s="5">
        <f ca="1">SQRT($B$9*AVERAGE((Q203:OFFSET(Q203,$B$6-1,0))))</f>
        <v>0.10633288455378052</v>
      </c>
      <c r="T203" s="5">
        <f ca="1">SQRT($B$9*AVERAGE((Q203:OFFSET(Q203,$B$7-1,0))))</f>
        <v>0.10869739819464332</v>
      </c>
      <c r="U203" s="5" t="e">
        <f ca="1">SQRT($B$9*AVERAGE((Q203:OFFSET(Q203,$B$8-1,0))))</f>
        <v>#DIV/0!</v>
      </c>
      <c r="V203" s="1"/>
      <c r="W203" s="6">
        <f t="shared" si="23"/>
        <v>3.4435535601410226E-5</v>
      </c>
      <c r="X203" s="6">
        <f ca="1">SQRT($B$9*AVERAGE(W203:OFFSET(W203,$B$5-1,0)))</f>
        <v>9.6043429326117591E-2</v>
      </c>
      <c r="Y203" s="6">
        <f ca="1">SQRT($B$9*AVERAGE(W203:OFFSET(W203,$B$6-1,0)))</f>
        <v>0.10793381219442555</v>
      </c>
      <c r="Z203" s="6">
        <f ca="1">SQRT($B$9*AVERAGE(W203:OFFSET(W203,$B$7-1,0)))</f>
        <v>0.10652488692579865</v>
      </c>
      <c r="AA203" s="6" t="e">
        <f ca="1">SQRT($B$9*AVERAGE(W203:OFFSET(W203,$B$8-1,0)))</f>
        <v>#DIV/0!</v>
      </c>
      <c r="AB203" s="1"/>
      <c r="AC203" s="34">
        <f t="shared" si="20"/>
        <v>0</v>
      </c>
      <c r="AD203" s="34">
        <f ca="1">SQRT($B$9*SUM(AC203:OFFSET(AC203,$B$5-1,0))/($B$5-1))</f>
        <v>6.5818650584946473E-2</v>
      </c>
      <c r="AE203" s="34">
        <f ca="1">SQRT($B$9*SUM(AC203:OFFSET(AC203,$B$6-1,0))/($B$6-1))</f>
        <v>7.5067984560991355E-2</v>
      </c>
      <c r="AF203" s="34">
        <f ca="1">SQRT($B$9*SUM(AC203:OFFSET(AC203,$B$7-1,0))/($B$7-1))</f>
        <v>0.10178135359312504</v>
      </c>
      <c r="AG203" s="34" t="e">
        <f ca="1">SQRT($B$9*SUM(AC203:OFFSET(AC203,$B$8-1,0))/($B$8-1))</f>
        <v>#DIV/0!</v>
      </c>
      <c r="AH203" s="1"/>
      <c r="AI203" s="1">
        <f t="shared" si="21"/>
        <v>0</v>
      </c>
      <c r="AJ203" s="4">
        <f ca="1">SQRT($B$9)*_xlfn.STDEV.S(AI203:OFFSET(AI203,$B$5-1,0))</f>
        <v>6.5803264991943652E-2</v>
      </c>
      <c r="AK203" s="4">
        <f ca="1">SQRT($B$9)*_xlfn.STDEV.S(AI203:OFFSET(AI203,$B$6-1,0))</f>
        <v>7.5067984560991369E-2</v>
      </c>
      <c r="AL203" s="4">
        <f ca="1">SQRT($B$9)*_xlfn.STDEV.S(AI203:OFFSET(AI203,$B$7-1,0))</f>
        <v>0.10176255616287469</v>
      </c>
      <c r="AM203" s="4" t="e">
        <f ca="1">SQRT($B$9)*_xlfn.STDEV.S(AI203:OFFSET(AI203,$B$8-1,0))</f>
        <v>#DIV/0!</v>
      </c>
    </row>
    <row r="204" spans="5:39" x14ac:dyDescent="0.2">
      <c r="E204" s="42">
        <v>45371</v>
      </c>
      <c r="F204" s="43">
        <v>2.3977370278253201</v>
      </c>
      <c r="G204" s="43">
        <v>2.4173343880854374</v>
      </c>
      <c r="H204" s="43">
        <v>2.392837687760291</v>
      </c>
      <c r="I204" s="43">
        <v>2.410475311994396</v>
      </c>
      <c r="K204" s="3">
        <f t="shared" si="24"/>
        <v>1.0374363327517027E-4</v>
      </c>
      <c r="L204" s="3">
        <f ca="1">SQRT(AVERAGE(K204:OFFSET(K204,$B$5-1,0))*$B$9/(4*LN(2)))</f>
        <v>9.9549989007711129E-2</v>
      </c>
      <c r="M204" s="3">
        <f ca="1">SQRT(AVERAGE(K204:OFFSET(K204,$B$6-1,0))*$B$9/(4*LN(2)))</f>
        <v>0.10193199785047086</v>
      </c>
      <c r="N204" s="3">
        <f ca="1">SQRT(AVERAGE(K204:OFFSET(K204,$B$7-1,0))*$B$9/(4*LN(2)))</f>
        <v>0.11088293121138897</v>
      </c>
      <c r="O204" s="3" t="e">
        <f ca="1">SQRT(AVERAGE(K204:OFFSET(K204,$B$8-1,0))*$B$9/(4*LN(2)))</f>
        <v>#DIV/0!</v>
      </c>
      <c r="P204" s="1"/>
      <c r="Q204" s="5">
        <f t="shared" si="22"/>
        <v>4.1014095129008265E-5</v>
      </c>
      <c r="R204" s="5">
        <f ca="1">SQRT($B$9*AVERAGE((Q204:OFFSET(Q204,$B$5-1,0))))</f>
        <v>0.1092485820830351</v>
      </c>
      <c r="S204" s="5">
        <f ca="1">SQRT($B$9*AVERAGE((Q204:OFFSET(Q204,$B$6-1,0))))</f>
        <v>0.11158350589725684</v>
      </c>
      <c r="T204" s="5">
        <f ca="1">SQRT($B$9*AVERAGE((Q204:OFFSET(Q204,$B$7-1,0))))</f>
        <v>0.10929992342269468</v>
      </c>
      <c r="U204" s="5" t="e">
        <f ca="1">SQRT($B$9*AVERAGE((Q204:OFFSET(Q204,$B$8-1,0))))</f>
        <v>#DIV/0!</v>
      </c>
      <c r="V204" s="1"/>
      <c r="W204" s="6">
        <f t="shared" si="23"/>
        <v>3.8151289297385101E-5</v>
      </c>
      <c r="X204" s="6">
        <f ca="1">SQRT($B$9*AVERAGE(W204:OFFSET(W204,$B$5-1,0)))</f>
        <v>0.10843005674990133</v>
      </c>
      <c r="Y204" s="6">
        <f ca="1">SQRT($B$9*AVERAGE(W204:OFFSET(W204,$B$6-1,0)))</f>
        <v>0.11232483274267949</v>
      </c>
      <c r="Z204" s="6">
        <f ca="1">SQRT($B$9*AVERAGE(W204:OFFSET(W204,$B$7-1,0)))</f>
        <v>0.10590748623233717</v>
      </c>
      <c r="AA204" s="6" t="e">
        <f ca="1">SQRT($B$9*AVERAGE(W204:OFFSET(W204,$B$8-1,0)))</f>
        <v>#DIV/0!</v>
      </c>
      <c r="AB204" s="1"/>
      <c r="AC204" s="34">
        <f t="shared" si="20"/>
        <v>5.9633818537273155E-6</v>
      </c>
      <c r="AD204" s="34">
        <f ca="1">SQRT($B$9*SUM(AC204:OFFSET(AC204,$B$5-1,0))/($B$5-1))</f>
        <v>6.8526417018695815E-2</v>
      </c>
      <c r="AE204" s="34">
        <f ca="1">SQRT($B$9*SUM(AC204:OFFSET(AC204,$B$6-1,0))/($B$6-1))</f>
        <v>7.6955593197926497E-2</v>
      </c>
      <c r="AF204" s="34">
        <f ca="1">SQRT($B$9*SUM(AC204:OFFSET(AC204,$B$7-1,0))/($B$7-1))</f>
        <v>0.1067472206754053</v>
      </c>
      <c r="AG204" s="34" t="e">
        <f ca="1">SQRT($B$9*SUM(AC204:OFFSET(AC204,$B$8-1,0))/($B$8-1))</f>
        <v>#DIV/0!</v>
      </c>
      <c r="AH204" s="1"/>
      <c r="AI204" s="1">
        <f t="shared" si="21"/>
        <v>2.4420036555515873E-3</v>
      </c>
      <c r="AJ204" s="4">
        <f ca="1">SQRT($B$9)*_xlfn.STDEV.S(AI204:OFFSET(AI204,$B$5-1,0))</f>
        <v>6.8156922213282053E-2</v>
      </c>
      <c r="AK204" s="4">
        <f ca="1">SQRT($B$9)*_xlfn.STDEV.S(AI204:OFFSET(AI204,$B$6-1,0))</f>
        <v>7.6768920942040075E-2</v>
      </c>
      <c r="AL204" s="4">
        <f ca="1">SQRT($B$9)*_xlfn.STDEV.S(AI204:OFFSET(AI204,$B$7-1,0))</f>
        <v>0.1066185558477122</v>
      </c>
      <c r="AM204" s="4" t="e">
        <f ca="1">SQRT($B$9)*_xlfn.STDEV.S(AI204:OFFSET(AI204,$B$8-1,0))</f>
        <v>#DIV/0!</v>
      </c>
    </row>
    <row r="205" spans="5:39" x14ac:dyDescent="0.2">
      <c r="E205" s="42">
        <v>45370</v>
      </c>
      <c r="F205" s="43">
        <v>2.4163545200724315</v>
      </c>
      <c r="G205" s="43">
        <v>2.4261532002024899</v>
      </c>
      <c r="H205" s="43">
        <v>2.3996967638513316</v>
      </c>
      <c r="I205" s="43">
        <v>2.4045961039163615</v>
      </c>
      <c r="K205" s="3">
        <f t="shared" si="24"/>
        <v>1.2022194555041405E-4</v>
      </c>
      <c r="L205" s="3">
        <f ca="1">SQRT(AVERAGE(K205:OFFSET(K205,$B$5-1,0))*$B$9/(4*LN(2)))</f>
        <v>0.102556967733598</v>
      </c>
      <c r="M205" s="3">
        <f ca="1">SQRT(AVERAGE(K205:OFFSET(K205,$B$6-1,0))*$B$9/(4*LN(2)))</f>
        <v>9.9701619791750073E-2</v>
      </c>
      <c r="N205" s="3">
        <f ca="1">SQRT(AVERAGE(K205:OFFSET(K205,$B$7-1,0))*$B$9/(4*LN(2)))</f>
        <v>0.13078318113752033</v>
      </c>
      <c r="O205" s="3" t="e">
        <f ca="1">SQRT(AVERAGE(K205:OFFSET(K205,$B$8-1,0))*$B$9/(4*LN(2)))</f>
        <v>#DIV/0!</v>
      </c>
      <c r="P205" s="1"/>
      <c r="Q205" s="5">
        <f t="shared" si="22"/>
        <v>5.0989870915149435E-5</v>
      </c>
      <c r="R205" s="5">
        <f ca="1">SQRT($B$9*AVERAGE((Q205:OFFSET(Q205,$B$5-1,0))))</f>
        <v>0.11191154773547934</v>
      </c>
      <c r="S205" s="5">
        <f ca="1">SQRT($B$9*AVERAGE((Q205:OFFSET(Q205,$B$6-1,0))))</f>
        <v>0.10926807279572703</v>
      </c>
      <c r="T205" s="5">
        <f ca="1">SQRT($B$9*AVERAGE((Q205:OFFSET(Q205,$B$7-1,0))))</f>
        <v>0.12965379858213796</v>
      </c>
      <c r="U205" s="5" t="e">
        <f ca="1">SQRT($B$9*AVERAGE((Q205:OFFSET(Q205,$B$8-1,0))))</f>
        <v>#DIV/0!</v>
      </c>
      <c r="V205" s="1"/>
      <c r="W205" s="6">
        <f t="shared" si="23"/>
        <v>5.0228036405870114E-5</v>
      </c>
      <c r="X205" s="6">
        <f ca="1">SQRT($B$9*AVERAGE(W205:OFFSET(W205,$B$5-1,0)))</f>
        <v>0.11286008035620018</v>
      </c>
      <c r="Y205" s="6">
        <f ca="1">SQRT($B$9*AVERAGE(W205:OFFSET(W205,$B$6-1,0)))</f>
        <v>0.11045702683950254</v>
      </c>
      <c r="Z205" s="6">
        <f ca="1">SQRT($B$9*AVERAGE(W205:OFFSET(W205,$B$7-1,0)))</f>
        <v>0.12755873256172701</v>
      </c>
      <c r="AA205" s="6" t="e">
        <f ca="1">SQRT($B$9*AVERAGE(W205:OFFSET(W205,$B$8-1,0)))</f>
        <v>#DIV/0!</v>
      </c>
      <c r="AB205" s="1"/>
      <c r="AC205" s="34">
        <f t="shared" si="20"/>
        <v>4.7659426726535224E-5</v>
      </c>
      <c r="AD205" s="34">
        <f ca="1">SQRT($B$9*SUM(AC205:OFFSET(AC205,$B$5-1,0))/($B$5-1))</f>
        <v>9.1270192825122484E-2</v>
      </c>
      <c r="AE205" s="34">
        <f ca="1">SQRT($B$9*SUM(AC205:OFFSET(AC205,$B$6-1,0))/($B$6-1))</f>
        <v>8.0691810549850765E-2</v>
      </c>
      <c r="AF205" s="34">
        <f ca="1">SQRT($B$9*SUM(AC205:OFFSET(AC205,$B$7-1,0))/($B$7-1))</f>
        <v>0.12325852890985944</v>
      </c>
      <c r="AG205" s="34" t="e">
        <f ca="1">SQRT($B$9*SUM(AC205:OFFSET(AC205,$B$8-1,0))/($B$8-1))</f>
        <v>#DIV/0!</v>
      </c>
      <c r="AH205" s="1"/>
      <c r="AI205" s="1">
        <f t="shared" si="21"/>
        <v>-6.9035807177533041E-3</v>
      </c>
      <c r="AJ205" s="4">
        <f ca="1">SQRT($B$9)*_xlfn.STDEV.S(AI205:OFFSET(AI205,$B$5-1,0))</f>
        <v>7.9998897456646817E-2</v>
      </c>
      <c r="AK205" s="4">
        <f ca="1">SQRT($B$9)*_xlfn.STDEV.S(AI205:OFFSET(AI205,$B$6-1,0))</f>
        <v>7.8646185198798277E-2</v>
      </c>
      <c r="AL205" s="4">
        <f ca="1">SQRT($B$9)*_xlfn.STDEV.S(AI205:OFFSET(AI205,$B$7-1,0))</f>
        <v>0.12205291791973512</v>
      </c>
      <c r="AM205" s="4" t="e">
        <f ca="1">SQRT($B$9)*_xlfn.STDEV.S(AI205:OFFSET(AI205,$B$8-1,0))</f>
        <v>#DIV/0!</v>
      </c>
    </row>
    <row r="206" spans="5:39" x14ac:dyDescent="0.2">
      <c r="E206" s="42">
        <v>45369</v>
      </c>
      <c r="F206" s="43">
        <v>2.4094954439813905</v>
      </c>
      <c r="G206" s="43">
        <v>2.4251733321894839</v>
      </c>
      <c r="H206" s="43">
        <v>2.4045961039163615</v>
      </c>
      <c r="I206" s="43">
        <v>2.4212538601374609</v>
      </c>
      <c r="K206" s="3">
        <f t="shared" si="24"/>
        <v>7.2608288534089599E-5</v>
      </c>
      <c r="L206" s="3">
        <f ca="1">SQRT(AVERAGE(K206:OFFSET(K206,$B$5-1,0))*$B$9/(4*LN(2)))</f>
        <v>9.8897261712525233E-2</v>
      </c>
      <c r="M206" s="3">
        <f ca="1">SQRT(AVERAGE(K206:OFFSET(K206,$B$6-1,0))*$B$9/(4*LN(2)))</f>
        <v>0.1106091255476042</v>
      </c>
      <c r="N206" s="3">
        <f ca="1">SQRT(AVERAGE(K206:OFFSET(K206,$B$7-1,0))*$B$9/(4*LN(2)))</f>
        <v>0.12981059148795646</v>
      </c>
      <c r="O206" s="3" t="e">
        <f ca="1">SQRT(AVERAGE(K206:OFFSET(K206,$B$8-1,0))*$B$9/(4*LN(2)))</f>
        <v>#DIV/0!</v>
      </c>
      <c r="P206" s="1"/>
      <c r="Q206" s="5">
        <f t="shared" si="22"/>
        <v>2.7112851397172463E-5</v>
      </c>
      <c r="R206" s="5">
        <f ca="1">SQRT($B$9*AVERAGE((Q206:OFFSET(Q206,$B$5-1,0))))</f>
        <v>0.10882431471196706</v>
      </c>
      <c r="S206" s="5">
        <f ca="1">SQRT($B$9*AVERAGE((Q206:OFFSET(Q206,$B$6-1,0))))</f>
        <v>0.11376856517644278</v>
      </c>
      <c r="T206" s="5">
        <f ca="1">SQRT($B$9*AVERAGE((Q206:OFFSET(Q206,$B$7-1,0))))</f>
        <v>0.12870678147220804</v>
      </c>
      <c r="U206" s="5" t="e">
        <f ca="1">SQRT($B$9*AVERAGE((Q206:OFFSET(Q206,$B$8-1,0))))</f>
        <v>#DIV/0!</v>
      </c>
      <c r="V206" s="1"/>
      <c r="W206" s="6">
        <f t="shared" si="23"/>
        <v>2.4541975246083107E-5</v>
      </c>
      <c r="X206" s="6">
        <f ca="1">SQRT($B$9*AVERAGE(W206:OFFSET(W206,$B$5-1,0)))</f>
        <v>0.10987090667021905</v>
      </c>
      <c r="Y206" s="6">
        <f ca="1">SQRT($B$9*AVERAGE(W206:OFFSET(W206,$B$6-1,0)))</f>
        <v>0.11209353803300379</v>
      </c>
      <c r="Z206" s="6">
        <f ca="1">SQRT($B$9*AVERAGE(W206:OFFSET(W206,$B$7-1,0)))</f>
        <v>0.12688633008357192</v>
      </c>
      <c r="AA206" s="6" t="e">
        <f ca="1">SQRT($B$9*AVERAGE(W206:OFFSET(W206,$B$8-1,0)))</f>
        <v>#DIV/0!</v>
      </c>
      <c r="AB206" s="1"/>
      <c r="AC206" s="34">
        <f t="shared" si="20"/>
        <v>1.6444286920376246E-5</v>
      </c>
      <c r="AD206" s="34">
        <f ca="1">SQRT($B$9*SUM(AC206:OFFSET(AC206,$B$5-1,0))/($B$5-1))</f>
        <v>7.5954224891844807E-2</v>
      </c>
      <c r="AE206" s="34">
        <f ca="1">SQRT($B$9*SUM(AC206:OFFSET(AC206,$B$6-1,0))/($B$6-1))</f>
        <v>9.6139021306119163E-2</v>
      </c>
      <c r="AF206" s="34">
        <f ca="1">SQRT($B$9*SUM(AC206:OFFSET(AC206,$B$7-1,0))/($B$7-1))</f>
        <v>0.1207490919070441</v>
      </c>
      <c r="AG206" s="34" t="e">
        <f ca="1">SQRT($B$9*SUM(AC206:OFFSET(AC206,$B$8-1,0))/($B$8-1))</f>
        <v>#DIV/0!</v>
      </c>
      <c r="AH206" s="1"/>
      <c r="AI206" s="1">
        <f t="shared" si="21"/>
        <v>4.0551555975543337E-3</v>
      </c>
      <c r="AJ206" s="4">
        <f ca="1">SQRT($B$9)*_xlfn.STDEV.S(AI206:OFFSET(AI206,$B$5-1,0))</f>
        <v>7.5106971154123001E-2</v>
      </c>
      <c r="AK206" s="4">
        <f ca="1">SQRT($B$9)*_xlfn.STDEV.S(AI206:OFFSET(AI206,$B$6-1,0))</f>
        <v>9.5199378089896133E-2</v>
      </c>
      <c r="AL206" s="4">
        <f ca="1">SQRT($B$9)*_xlfn.STDEV.S(AI206:OFFSET(AI206,$B$7-1,0))</f>
        <v>0.11865199013849217</v>
      </c>
      <c r="AM206" s="4" t="e">
        <f ca="1">SQRT($B$9)*_xlfn.STDEV.S(AI206:OFFSET(AI206,$B$8-1,0))</f>
        <v>#DIV/0!</v>
      </c>
    </row>
    <row r="207" spans="5:39" x14ac:dyDescent="0.2">
      <c r="E207" s="42">
        <v>45366</v>
      </c>
      <c r="F207" s="43">
        <v>2.4016564998773435</v>
      </c>
      <c r="G207" s="43">
        <v>2.4163545200724315</v>
      </c>
      <c r="H207" s="43">
        <v>2.392837687760291</v>
      </c>
      <c r="I207" s="43">
        <v>2.411455180007402</v>
      </c>
      <c r="K207" s="3">
        <f t="shared" si="24"/>
        <v>9.5648968290036628E-5</v>
      </c>
      <c r="L207" s="3">
        <f ca="1">SQRT(AVERAGE(K207:OFFSET(K207,$B$5-1,0))*$B$9/(4*LN(2)))</f>
        <v>0.10460696606271565</v>
      </c>
      <c r="M207" s="3">
        <f ca="1">SQRT(AVERAGE(K207:OFFSET(K207,$B$6-1,0))*$B$9/(4*LN(2)))</f>
        <v>0.11037481257218636</v>
      </c>
      <c r="N207" s="3">
        <f ca="1">SQRT(AVERAGE(K207:OFFSET(K207,$B$7-1,0))*$B$9/(4*LN(2)))</f>
        <v>0.13001316969403953</v>
      </c>
      <c r="O207" s="3" t="e">
        <f ca="1">SQRT(AVERAGE(K207:OFFSET(K207,$B$8-1,0))*$B$9/(4*LN(2)))</f>
        <v>#DIV/0!</v>
      </c>
      <c r="P207" s="1"/>
      <c r="Q207" s="5">
        <f t="shared" si="22"/>
        <v>4.1486743115614252E-5</v>
      </c>
      <c r="R207" s="5">
        <f ca="1">SQRT($B$9*AVERAGE((Q207:OFFSET(Q207,$B$5-1,0))))</f>
        <v>0.11305105230121203</v>
      </c>
      <c r="S207" s="5">
        <f ca="1">SQRT($B$9*AVERAGE((Q207:OFFSET(Q207,$B$6-1,0))))</f>
        <v>0.1141074939132759</v>
      </c>
      <c r="T207" s="5">
        <f ca="1">SQRT($B$9*AVERAGE((Q207:OFFSET(Q207,$B$7-1,0))))</f>
        <v>0.12936876235970998</v>
      </c>
      <c r="U207" s="5" t="e">
        <f ca="1">SQRT($B$9*AVERAGE((Q207:OFFSET(Q207,$B$8-1,0))))</f>
        <v>#DIV/0!</v>
      </c>
      <c r="V207" s="1"/>
      <c r="W207" s="6">
        <f t="shared" si="23"/>
        <v>4.0895006647638068E-5</v>
      </c>
      <c r="X207" s="6">
        <f ca="1">SQRT($B$9*AVERAGE(W207:OFFSET(W207,$B$5-1,0)))</f>
        <v>0.11432036600851714</v>
      </c>
      <c r="Y207" s="6">
        <f ca="1">SQRT($B$9*AVERAGE(W207:OFFSET(W207,$B$6-1,0)))</f>
        <v>0.11261904378671725</v>
      </c>
      <c r="Z207" s="6">
        <f ca="1">SQRT($B$9*AVERAGE(W207:OFFSET(W207,$B$7-1,0)))</f>
        <v>0.12857709001827725</v>
      </c>
      <c r="AA207" s="6" t="e">
        <f ca="1">SQRT($B$9*AVERAGE(W207:OFFSET(W207,$B$8-1,0)))</f>
        <v>#DIV/0!</v>
      </c>
      <c r="AB207" s="1"/>
      <c r="AC207" s="34">
        <f t="shared" si="20"/>
        <v>6.6098229239426994E-7</v>
      </c>
      <c r="AD207" s="34">
        <f ca="1">SQRT($B$9*SUM(AC207:OFFSET(AC207,$B$5-1,0))/($B$5-1))</f>
        <v>9.1583817288845626E-2</v>
      </c>
      <c r="AE207" s="34">
        <f ca="1">SQRT($B$9*SUM(AC207:OFFSET(AC207,$B$6-1,0))/($B$6-1))</f>
        <v>9.3999438224019002E-2</v>
      </c>
      <c r="AF207" s="34">
        <f ca="1">SQRT($B$9*SUM(AC207:OFFSET(AC207,$B$7-1,0))/($B$7-1))</f>
        <v>0.12287096707497529</v>
      </c>
      <c r="AG207" s="34" t="e">
        <f ca="1">SQRT($B$9*SUM(AC207:OFFSET(AC207,$B$8-1,0))/($B$8-1))</f>
        <v>#DIV/0!</v>
      </c>
      <c r="AH207" s="1"/>
      <c r="AI207" s="1">
        <f t="shared" si="21"/>
        <v>8.1300817486312522E-4</v>
      </c>
      <c r="AJ207" s="4">
        <f ca="1">SQRT($B$9)*_xlfn.STDEV.S(AI207:OFFSET(AI207,$B$5-1,0))</f>
        <v>9.1572769717377323E-2</v>
      </c>
      <c r="AK207" s="4">
        <f ca="1">SQRT($B$9)*_xlfn.STDEV.S(AI207:OFFSET(AI207,$B$6-1,0))</f>
        <v>9.3592365148185239E-2</v>
      </c>
      <c r="AL207" s="4">
        <f ca="1">SQRT($B$9)*_xlfn.STDEV.S(AI207:OFFSET(AI207,$B$7-1,0))</f>
        <v>0.12026162581225751</v>
      </c>
      <c r="AM207" s="4" t="e">
        <f ca="1">SQRT($B$9)*_xlfn.STDEV.S(AI207:OFFSET(AI207,$B$8-1,0))</f>
        <v>#DIV/0!</v>
      </c>
    </row>
    <row r="208" spans="5:39" x14ac:dyDescent="0.2">
      <c r="E208" s="42">
        <v>45365</v>
      </c>
      <c r="F208" s="43">
        <v>2.4143947840464195</v>
      </c>
      <c r="G208" s="43">
        <v>2.4310525402675189</v>
      </c>
      <c r="H208" s="43">
        <v>2.3996967638513316</v>
      </c>
      <c r="I208" s="43">
        <v>2.4094954439813905</v>
      </c>
      <c r="K208" s="3">
        <f t="shared" si="24"/>
        <v>1.6853042187320736E-4</v>
      </c>
      <c r="L208" s="3">
        <f ca="1">SQRT(AVERAGE(K208:OFFSET(K208,$B$5-1,0))*$B$9/(4*LN(2)))</f>
        <v>0.10598521691174279</v>
      </c>
      <c r="M208" s="3">
        <f ca="1">SQRT(AVERAGE(K208:OFFSET(K208,$B$6-1,0))*$B$9/(4*LN(2)))</f>
        <v>0.11073572282150794</v>
      </c>
      <c r="N208" s="3">
        <f ca="1">SQRT(AVERAGE(K208:OFFSET(K208,$B$7-1,0))*$B$9/(4*LN(2)))</f>
        <v>0.13090663383996723</v>
      </c>
      <c r="O208" s="3" t="e">
        <f ca="1">SQRT(AVERAGE(K208:OFFSET(K208,$B$8-1,0))*$B$9/(4*LN(2)))</f>
        <v>#DIV/0!</v>
      </c>
      <c r="P208" s="1"/>
      <c r="Q208" s="5">
        <f t="shared" si="22"/>
        <v>8.2973024895170987E-5</v>
      </c>
      <c r="R208" s="5">
        <f ca="1">SQRT($B$9*AVERAGE((Q208:OFFSET(Q208,$B$5-1,0))))</f>
        <v>0.11621838784453849</v>
      </c>
      <c r="S208" s="5">
        <f ca="1">SQRT($B$9*AVERAGE((Q208:OFFSET(Q208,$B$6-1,0))))</f>
        <v>0.11483587550089473</v>
      </c>
      <c r="T208" s="5">
        <f ca="1">SQRT($B$9*AVERAGE((Q208:OFFSET(Q208,$B$7-1,0))))</f>
        <v>0.13088095064130528</v>
      </c>
      <c r="U208" s="5" t="e">
        <f ca="1">SQRT($B$9*AVERAGE((Q208:OFFSET(Q208,$B$8-1,0))))</f>
        <v>#DIV/0!</v>
      </c>
      <c r="V208" s="1"/>
      <c r="W208" s="6">
        <f t="shared" si="23"/>
        <v>8.6124043561938349E-5</v>
      </c>
      <c r="X208" s="6">
        <f ca="1">SQRT($B$9*AVERAGE(W208:OFFSET(W208,$B$5-1,0)))</f>
        <v>0.11863842258274554</v>
      </c>
      <c r="Y208" s="6">
        <f ca="1">SQRT($B$9*AVERAGE(W208:OFFSET(W208,$B$6-1,0)))</f>
        <v>0.11328939910761227</v>
      </c>
      <c r="Z208" s="6">
        <f ca="1">SQRT($B$9*AVERAGE(W208:OFFSET(W208,$B$7-1,0)))</f>
        <v>0.13079579010126971</v>
      </c>
      <c r="AA208" s="6" t="e">
        <f ca="1">SQRT($B$9*AVERAGE(W208:OFFSET(W208,$B$8-1,0)))</f>
        <v>#DIV/0!</v>
      </c>
      <c r="AB208" s="1"/>
      <c r="AC208" s="34">
        <f t="shared" si="20"/>
        <v>5.9391847281131089E-6</v>
      </c>
      <c r="AD208" s="34">
        <f ca="1">SQRT($B$9*SUM(AC208:OFFSET(AC208,$B$5-1,0))/($B$5-1))</f>
        <v>9.1362521986794509E-2</v>
      </c>
      <c r="AE208" s="34">
        <f ca="1">SQRT($B$9*SUM(AC208:OFFSET(AC208,$B$6-1,0))/($B$6-1))</f>
        <v>9.4290513256333336E-2</v>
      </c>
      <c r="AF208" s="34">
        <f ca="1">SQRT($B$9*SUM(AC208:OFFSET(AC208,$B$7-1,0))/($B$7-1))</f>
        <v>0.12306723095475976</v>
      </c>
      <c r="AG208" s="34" t="e">
        <f ca="1">SQRT($B$9*SUM(AC208:OFFSET(AC208,$B$8-1,0))/($B$8-1))</f>
        <v>#DIV/0!</v>
      </c>
      <c r="AH208" s="1"/>
      <c r="AI208" s="1">
        <f t="shared" si="21"/>
        <v>-2.4370442605978885E-3</v>
      </c>
      <c r="AJ208" s="4">
        <f ca="1">SQRT($B$9)*_xlfn.STDEV.S(AI208:OFFSET(AI208,$B$5-1,0))</f>
        <v>9.1351438645290051E-2</v>
      </c>
      <c r="AK208" s="4">
        <f ca="1">SQRT($B$9)*_xlfn.STDEV.S(AI208:OFFSET(AI208,$B$6-1,0))</f>
        <v>9.3748516101135479E-2</v>
      </c>
      <c r="AL208" s="4">
        <f ca="1">SQRT($B$9)*_xlfn.STDEV.S(AI208:OFFSET(AI208,$B$7-1,0))</f>
        <v>0.12024167054941474</v>
      </c>
      <c r="AM208" s="4" t="e">
        <f ca="1">SQRT($B$9)*_xlfn.STDEV.S(AI208:OFFSET(AI208,$B$8-1,0))</f>
        <v>#DIV/0!</v>
      </c>
    </row>
    <row r="209" spans="5:39" x14ac:dyDescent="0.2">
      <c r="E209" s="42">
        <v>45364</v>
      </c>
      <c r="F209" s="43">
        <v>2.4310525402675189</v>
      </c>
      <c r="G209" s="43">
        <v>2.4320324082805254</v>
      </c>
      <c r="H209" s="43">
        <v>2.403616235903355</v>
      </c>
      <c r="I209" s="43">
        <v>2.4153746520594255</v>
      </c>
      <c r="K209" s="3">
        <f t="shared" si="24"/>
        <v>1.381311639276878E-4</v>
      </c>
      <c r="L209" s="3">
        <f ca="1">SQRT(AVERAGE(K209:OFFSET(K209,$B$5-1,0))*$B$9/(4*LN(2)))</f>
        <v>0.1042595993668755</v>
      </c>
      <c r="M209" s="3">
        <f ca="1">SQRT(AVERAGE(K209:OFFSET(K209,$B$6-1,0))*$B$9/(4*LN(2)))</f>
        <v>0.11049150318407389</v>
      </c>
      <c r="N209" s="3">
        <f ca="1">SQRT(AVERAGE(K209:OFFSET(K209,$B$7-1,0))*$B$9/(4*LN(2)))</f>
        <v>0.13363912126666155</v>
      </c>
      <c r="O209" s="3" t="e">
        <f ca="1">SQRT(AVERAGE(K209:OFFSET(K209,$B$8-1,0))*$B$9/(4*LN(2)))</f>
        <v>#DIV/0!</v>
      </c>
      <c r="P209" s="1"/>
      <c r="Q209" s="5">
        <f t="shared" si="22"/>
        <v>5.3033316137106584E-5</v>
      </c>
      <c r="R209" s="5">
        <f ca="1">SQRT($B$9*AVERAGE((Q209:OFFSET(Q209,$B$5-1,0))))</f>
        <v>0.11387056199691228</v>
      </c>
      <c r="S209" s="5">
        <f ca="1">SQRT($B$9*AVERAGE((Q209:OFFSET(Q209,$B$6-1,0))))</f>
        <v>0.10937962322894436</v>
      </c>
      <c r="T209" s="5">
        <f ca="1">SQRT($B$9*AVERAGE((Q209:OFFSET(Q209,$B$7-1,0))))</f>
        <v>0.13275216326424155</v>
      </c>
      <c r="U209" s="5" t="e">
        <f ca="1">SQRT($B$9*AVERAGE((Q209:OFFSET(Q209,$B$8-1,0))))</f>
        <v>#DIV/0!</v>
      </c>
      <c r="V209" s="1"/>
      <c r="W209" s="6">
        <f t="shared" si="23"/>
        <v>5.8157830750877743E-5</v>
      </c>
      <c r="X209" s="6">
        <f ca="1">SQRT($B$9*AVERAGE(W209:OFFSET(W209,$B$5-1,0)))</f>
        <v>0.11608901280722057</v>
      </c>
      <c r="Y209" s="6">
        <f ca="1">SQRT($B$9*AVERAGE(W209:OFFSET(W209,$B$6-1,0)))</f>
        <v>0.10599553364777554</v>
      </c>
      <c r="Z209" s="6">
        <f ca="1">SQRT($B$9*AVERAGE(W209:OFFSET(W209,$B$7-1,0)))</f>
        <v>0.13300065529372532</v>
      </c>
      <c r="AA209" s="6" t="e">
        <f ca="1">SQRT($B$9*AVERAGE(W209:OFFSET(W209,$B$8-1,0)))</f>
        <v>#DIV/0!</v>
      </c>
      <c r="AB209" s="1"/>
      <c r="AC209" s="34">
        <f t="shared" ref="AC209:AC272" si="25">(LN(I209/I210))^2</f>
        <v>6.5300169917643041E-5</v>
      </c>
      <c r="AD209" s="34">
        <f ca="1">SQRT($B$9*SUM(AC209:OFFSET(AC209,$B$5-1,0))/($B$5-1))</f>
        <v>9.2892398238932791E-2</v>
      </c>
      <c r="AE209" s="34">
        <f ca="1">SQRT($B$9*SUM(AC209:OFFSET(AC209,$B$6-1,0))/($B$6-1))</f>
        <v>0.10279606361842028</v>
      </c>
      <c r="AF209" s="34">
        <f ca="1">SQRT($B$9*SUM(AC209:OFFSET(AC209,$B$7-1,0))/($B$7-1))</f>
        <v>0.13041106907138367</v>
      </c>
      <c r="AG209" s="34" t="e">
        <f ca="1">SQRT($B$9*SUM(AC209:OFFSET(AC209,$B$8-1,0))/($B$8-1))</f>
        <v>#DIV/0!</v>
      </c>
      <c r="AH209" s="1"/>
      <c r="AI209" s="1">
        <f t="shared" si="21"/>
        <v>-8.0808520539385597E-3</v>
      </c>
      <c r="AJ209" s="4">
        <f ca="1">SQRT($B$9)*_xlfn.STDEV.S(AI209:OFFSET(AI209,$B$5-1,0))</f>
        <v>9.2794801681624808E-2</v>
      </c>
      <c r="AK209" s="4">
        <f ca="1">SQRT($B$9)*_xlfn.STDEV.S(AI209:OFFSET(AI209,$B$6-1,0))</f>
        <v>9.9001020797404235E-2</v>
      </c>
      <c r="AL209" s="4">
        <f ca="1">SQRT($B$9)*_xlfn.STDEV.S(AI209:OFFSET(AI209,$B$7-1,0))</f>
        <v>0.12474561738274548</v>
      </c>
      <c r="AM209" s="4" t="e">
        <f ca="1">SQRT($B$9)*_xlfn.STDEV.S(AI209:OFFSET(AI209,$B$8-1,0))</f>
        <v>#DIV/0!</v>
      </c>
    </row>
    <row r="210" spans="5:39" x14ac:dyDescent="0.2">
      <c r="E210" s="42">
        <v>45363</v>
      </c>
      <c r="F210" s="43">
        <v>2.4290928042415074</v>
      </c>
      <c r="G210" s="43">
        <v>2.4437908244365953</v>
      </c>
      <c r="H210" s="43">
        <v>2.4222337281504664</v>
      </c>
      <c r="I210" s="43">
        <v>2.4349720123195424</v>
      </c>
      <c r="K210" s="3">
        <f t="shared" si="24"/>
        <v>7.8505051872391292E-5</v>
      </c>
      <c r="L210" s="3">
        <f ca="1">SQRT(AVERAGE(K210:OFFSET(K210,$B$5-1,0))*$B$9/(4*LN(2)))</f>
        <v>9.6762050140988251E-2</v>
      </c>
      <c r="M210" s="3">
        <f ca="1">SQRT(AVERAGE(K210:OFFSET(K210,$B$6-1,0))*$B$9/(4*LN(2)))</f>
        <v>0.11184884589522301</v>
      </c>
      <c r="N210" s="3">
        <f ca="1">SQRT(AVERAGE(K210:OFFSET(K210,$B$7-1,0))*$B$9/(4*LN(2)))</f>
        <v>0.1500275397569962</v>
      </c>
      <c r="O210" s="3" t="e">
        <f ca="1">SQRT(AVERAGE(K210:OFFSET(K210,$B$8-1,0))*$B$9/(4*LN(2)))</f>
        <v>#DIV/0!</v>
      </c>
      <c r="P210" s="1"/>
      <c r="Q210" s="5">
        <f t="shared" si="22"/>
        <v>3.7082461853491861E-5</v>
      </c>
      <c r="R210" s="5">
        <f ca="1">SQRT($B$9*AVERAGE((Q210:OFFSET(Q210,$B$5-1,0))))</f>
        <v>0.10655903973119378</v>
      </c>
      <c r="S210" s="5">
        <f ca="1">SQRT($B$9*AVERAGE((Q210:OFFSET(Q210,$B$6-1,0))))</f>
        <v>0.11166947483813394</v>
      </c>
      <c r="T210" s="5">
        <f ca="1">SQRT($B$9*AVERAGE((Q210:OFFSET(Q210,$B$7-1,0))))</f>
        <v>0.14104544834861615</v>
      </c>
      <c r="U210" s="5" t="e">
        <f ca="1">SQRT($B$9*AVERAGE((Q210:OFFSET(Q210,$B$8-1,0))))</f>
        <v>#DIV/0!</v>
      </c>
      <c r="V210" s="1"/>
      <c r="W210" s="6">
        <f t="shared" si="23"/>
        <v>3.66406567023604E-5</v>
      </c>
      <c r="X210" s="6">
        <f ca="1">SQRT($B$9*AVERAGE(W210:OFFSET(W210,$B$5-1,0)))</f>
        <v>0.10800051767670936</v>
      </c>
      <c r="Y210" s="6">
        <f ca="1">SQRT($B$9*AVERAGE(W210:OFFSET(W210,$B$6-1,0)))</f>
        <v>0.10915407166230646</v>
      </c>
      <c r="Z210" s="6">
        <f ca="1">SQRT($B$9*AVERAGE(W210:OFFSET(W210,$B$7-1,0)))</f>
        <v>0.13678517235480731</v>
      </c>
      <c r="AA210" s="6" t="e">
        <f ca="1">SQRT($B$9*AVERAGE(W210:OFFSET(W210,$B$8-1,0)))</f>
        <v>#DIV/0!</v>
      </c>
      <c r="AB210" s="1"/>
      <c r="AC210" s="34">
        <f t="shared" si="25"/>
        <v>5.8438541646723208E-6</v>
      </c>
      <c r="AD210" s="34">
        <f ca="1">SQRT($B$9*SUM(AC210:OFFSET(AC210,$B$5-1,0))/($B$5-1))</f>
        <v>7.9497676404686343E-2</v>
      </c>
      <c r="AE210" s="34">
        <f ca="1">SQRT($B$9*SUM(AC210:OFFSET(AC210,$B$6-1,0))/($B$6-1))</f>
        <v>9.8449264793946167E-2</v>
      </c>
      <c r="AF210" s="34">
        <f ca="1">SQRT($B$9*SUM(AC210:OFFSET(AC210,$B$7-1,0))/($B$7-1))</f>
        <v>0.15929617721834874</v>
      </c>
      <c r="AG210" s="34" t="e">
        <f ca="1">SQRT($B$9*SUM(AC210:OFFSET(AC210,$B$8-1,0))/($B$8-1))</f>
        <v>#DIV/0!</v>
      </c>
      <c r="AH210" s="1"/>
      <c r="AI210" s="1">
        <f t="shared" si="21"/>
        <v>2.4174064955386218E-3</v>
      </c>
      <c r="AJ210" s="4">
        <f ca="1">SQRT($B$9)*_xlfn.STDEV.S(AI210:OFFSET(AI210,$B$5-1,0))</f>
        <v>7.9297475709849463E-2</v>
      </c>
      <c r="AK210" s="4">
        <f ca="1">SQRT($B$9)*_xlfn.STDEV.S(AI210:OFFSET(AI210,$B$6-1,0))</f>
        <v>9.3272302150436345E-2</v>
      </c>
      <c r="AL210" s="4">
        <f ca="1">SQRT($B$9)*_xlfn.STDEV.S(AI210:OFFSET(AI210,$B$7-1,0))</f>
        <v>0.14499441176044386</v>
      </c>
      <c r="AM210" s="4" t="e">
        <f ca="1">SQRT($B$9)*_xlfn.STDEV.S(AI210:OFFSET(AI210,$B$8-1,0))</f>
        <v>#DIV/0!</v>
      </c>
    </row>
    <row r="211" spans="5:39" x14ac:dyDescent="0.2">
      <c r="E211" s="42">
        <v>45362</v>
      </c>
      <c r="F211" s="43">
        <v>2.410475311994396</v>
      </c>
      <c r="G211" s="43">
        <v>2.4300726722545134</v>
      </c>
      <c r="H211" s="43">
        <v>2.4016564998773435</v>
      </c>
      <c r="I211" s="43">
        <v>2.4290928042415074</v>
      </c>
      <c r="K211" s="3">
        <f t="shared" si="24"/>
        <v>1.3835536246925226E-4</v>
      </c>
      <c r="L211" s="3">
        <f ca="1">SQRT(AVERAGE(K211:OFFSET(K211,$B$5-1,0))*$B$9/(4*LN(2)))</f>
        <v>0.12119442616958766</v>
      </c>
      <c r="M211" s="3">
        <f ca="1">SQRT(AVERAGE(K211:OFFSET(K211,$B$6-1,0))*$B$9/(4*LN(2)))</f>
        <v>0.11229305363790856</v>
      </c>
      <c r="N211" s="3">
        <f ca="1">SQRT(AVERAGE(K211:OFFSET(K211,$B$7-1,0))*$B$9/(4*LN(2)))</f>
        <v>0.16201748295211085</v>
      </c>
      <c r="O211" s="3" t="e">
        <f ca="1">SQRT(AVERAGE(K211:OFFSET(K211,$B$8-1,0))*$B$9/(4*LN(2)))</f>
        <v>#DIV/0!</v>
      </c>
      <c r="P211" s="1"/>
      <c r="Q211" s="5">
        <f t="shared" si="22"/>
        <v>4.6251809639664816E-5</v>
      </c>
      <c r="R211" s="5">
        <f ca="1">SQRT($B$9*AVERAGE((Q211:OFFSET(Q211,$B$5-1,0))))</f>
        <v>0.11850671445991473</v>
      </c>
      <c r="S211" s="5">
        <f ca="1">SQRT($B$9*AVERAGE((Q211:OFFSET(Q211,$B$6-1,0))))</f>
        <v>0.10959979891000077</v>
      </c>
      <c r="T211" s="5">
        <f ca="1">SQRT($B$9*AVERAGE((Q211:OFFSET(Q211,$B$7-1,0))))</f>
        <v>0.1546495119173468</v>
      </c>
      <c r="U211" s="5" t="e">
        <f ca="1">SQRT($B$9*AVERAGE((Q211:OFFSET(Q211,$B$8-1,0))))</f>
        <v>#DIV/0!</v>
      </c>
      <c r="V211" s="1"/>
      <c r="W211" s="6">
        <f t="shared" si="23"/>
        <v>4.4899729364151179E-5</v>
      </c>
      <c r="X211" s="6">
        <f ca="1">SQRT($B$9*AVERAGE(W211:OFFSET(W211,$B$5-1,0)))</f>
        <v>0.11427294695148521</v>
      </c>
      <c r="Y211" s="6">
        <f ca="1">SQRT($B$9*AVERAGE(W211:OFFSET(W211,$B$6-1,0)))</f>
        <v>0.10624296239030652</v>
      </c>
      <c r="Z211" s="6">
        <f ca="1">SQRT($B$9*AVERAGE(W211:OFFSET(W211,$B$7-1,0)))</f>
        <v>0.14974681017914271</v>
      </c>
      <c r="AA211" s="6" t="e">
        <f ca="1">SQRT($B$9*AVERAGE(W211:OFFSET(W211,$B$8-1,0)))</f>
        <v>#DIV/0!</v>
      </c>
      <c r="AB211" s="1"/>
      <c r="AC211" s="34">
        <f t="shared" si="25"/>
        <v>5.9196145047326791E-5</v>
      </c>
      <c r="AD211" s="34">
        <f ca="1">SQRT($B$9*SUM(AC211:OFFSET(AC211,$B$5-1,0))/($B$5-1))</f>
        <v>0.12258489470934229</v>
      </c>
      <c r="AE211" s="34">
        <f ca="1">SQRT($B$9*SUM(AC211:OFFSET(AC211,$B$6-1,0))/($B$6-1))</f>
        <v>0.10097495607647053</v>
      </c>
      <c r="AF211" s="34">
        <f ca="1">SQRT($B$9*SUM(AC211:OFFSET(AC211,$B$7-1,0))/($B$7-1))</f>
        <v>0.16246625145177448</v>
      </c>
      <c r="AG211" s="34" t="e">
        <f ca="1">SQRT($B$9*SUM(AC211:OFFSET(AC211,$B$8-1,0))/($B$8-1))</f>
        <v>#DIV/0!</v>
      </c>
      <c r="AH211" s="1"/>
      <c r="AI211" s="1">
        <f t="shared" ref="AI211:AI274" si="26">LN(I211/I212)</f>
        <v>7.6939031087820955E-3</v>
      </c>
      <c r="AJ211" s="4">
        <f ca="1">SQRT($B$9)*_xlfn.STDEV.S(AI211:OFFSET(AI211,$B$5-1,0))</f>
        <v>0.11595876762681151</v>
      </c>
      <c r="AK211" s="4">
        <f ca="1">SQRT($B$9)*_xlfn.STDEV.S(AI211:OFFSET(AI211,$B$6-1,0))</f>
        <v>9.446965521558727E-2</v>
      </c>
      <c r="AL211" s="4">
        <f ca="1">SQRT($B$9)*_xlfn.STDEV.S(AI211:OFFSET(AI211,$B$7-1,0))</f>
        <v>0.14592214085856683</v>
      </c>
      <c r="AM211" s="4" t="e">
        <f ca="1">SQRT($B$9)*_xlfn.STDEV.S(AI211:OFFSET(AI211,$B$8-1,0))</f>
        <v>#DIV/0!</v>
      </c>
    </row>
    <row r="212" spans="5:39" x14ac:dyDescent="0.2">
      <c r="E212" s="42">
        <v>45359</v>
      </c>
      <c r="F212" s="43">
        <v>2.410475311994396</v>
      </c>
      <c r="G212" s="43">
        <v>2.419294124111449</v>
      </c>
      <c r="H212" s="43">
        <v>2.393817555773297</v>
      </c>
      <c r="I212" s="43">
        <v>2.410475311994396</v>
      </c>
      <c r="K212" s="3">
        <f t="shared" si="24"/>
        <v>1.1207224792205593E-4</v>
      </c>
      <c r="L212" s="3">
        <f ca="1">SQRT(AVERAGE(K212:OFFSET(K212,$B$5-1,0))*$B$9/(4*LN(2)))</f>
        <v>0.11585586369210837</v>
      </c>
      <c r="M212" s="3">
        <f ca="1">SQRT(AVERAGE(K212:OFFSET(K212,$B$6-1,0))*$B$9/(4*LN(2)))</f>
        <v>0.1193889509843972</v>
      </c>
      <c r="N212" s="3">
        <f ca="1">SQRT(AVERAGE(K212:OFFSET(K212,$B$7-1,0))*$B$9/(4*LN(2)))</f>
        <v>0.17905428932526196</v>
      </c>
      <c r="O212" s="3" t="e">
        <f ca="1">SQRT(AVERAGE(K212:OFFSET(K212,$B$8-1,0))*$B$9/(4*LN(2)))</f>
        <v>#DIV/0!</v>
      </c>
      <c r="P212" s="1"/>
      <c r="Q212" s="5">
        <f t="shared" si="22"/>
        <v>5.6306605294638643E-5</v>
      </c>
      <c r="R212" s="5">
        <f ca="1">SQRT($B$9*AVERAGE((Q212:OFFSET(Q212,$B$5-1,0))))</f>
        <v>0.11515424398573081</v>
      </c>
      <c r="S212" s="5">
        <f ca="1">SQRT($B$9*AVERAGE((Q212:OFFSET(Q212,$B$6-1,0))))</f>
        <v>0.11199332846718192</v>
      </c>
      <c r="T212" s="5">
        <f ca="1">SQRT($B$9*AVERAGE((Q212:OFFSET(Q212,$B$7-1,0))))</f>
        <v>0.17910770241450133</v>
      </c>
      <c r="U212" s="5" t="e">
        <f ca="1">SQRT($B$9*AVERAGE((Q212:OFFSET(Q212,$B$8-1,0))))</f>
        <v>#DIV/0!</v>
      </c>
      <c r="V212" s="1"/>
      <c r="W212" s="6">
        <f t="shared" si="23"/>
        <v>6.142417457826638E-5</v>
      </c>
      <c r="X212" s="6">
        <f ca="1">SQRT($B$9*AVERAGE(W212:OFFSET(W212,$B$5-1,0)))</f>
        <v>0.11089162259858837</v>
      </c>
      <c r="Y212" s="6">
        <f ca="1">SQRT($B$9*AVERAGE(W212:OFFSET(W212,$B$6-1,0)))</f>
        <v>0.10599980865615317</v>
      </c>
      <c r="Z212" s="6">
        <f ca="1">SQRT($B$9*AVERAGE(W212:OFFSET(W212,$B$7-1,0)))</f>
        <v>0.18016521130758267</v>
      </c>
      <c r="AA212" s="6" t="e">
        <f ca="1">SQRT($B$9*AVERAGE(W212:OFFSET(W212,$B$8-1,0)))</f>
        <v>#DIV/0!</v>
      </c>
      <c r="AB212" s="1"/>
      <c r="AC212" s="34">
        <f t="shared" si="25"/>
        <v>0</v>
      </c>
      <c r="AD212" s="34">
        <f ca="1">SQRT($B$9*SUM(AC212:OFFSET(AC212,$B$5-1,0))/($B$5-1))</f>
        <v>0.10720618816222065</v>
      </c>
      <c r="AE212" s="34">
        <f ca="1">SQRT($B$9*SUM(AC212:OFFSET(AC212,$B$6-1,0))/($B$6-1))</f>
        <v>0.12739803854683343</v>
      </c>
      <c r="AF212" s="34">
        <f ca="1">SQRT($B$9*SUM(AC212:OFFSET(AC212,$B$7-1,0))/($B$7-1))</f>
        <v>0.16184033771630232</v>
      </c>
      <c r="AG212" s="34" t="e">
        <f ca="1">SQRT($B$9*SUM(AC212:OFFSET(AC212,$B$8-1,0))/($B$8-1))</f>
        <v>#DIV/0!</v>
      </c>
      <c r="AH212" s="1"/>
      <c r="AI212" s="1">
        <f t="shared" si="26"/>
        <v>0</v>
      </c>
      <c r="AJ212" s="4">
        <f ca="1">SQRT($B$9)*_xlfn.STDEV.S(AI212:OFFSET(AI212,$B$5-1,0))</f>
        <v>0.10583121145059324</v>
      </c>
      <c r="AK212" s="4">
        <f ca="1">SQRT($B$9)*_xlfn.STDEV.S(AI212:OFFSET(AI212,$B$6-1,0))</f>
        <v>0.12731174675713688</v>
      </c>
      <c r="AL212" s="4">
        <f ca="1">SQRT($B$9)*_xlfn.STDEV.S(AI212:OFFSET(AI212,$B$7-1,0))</f>
        <v>0.1503243155528961</v>
      </c>
      <c r="AM212" s="4" t="e">
        <f ca="1">SQRT($B$9)*_xlfn.STDEV.S(AI212:OFFSET(AI212,$B$8-1,0))</f>
        <v>#DIV/0!</v>
      </c>
    </row>
    <row r="213" spans="5:39" x14ac:dyDescent="0.2">
      <c r="E213" s="42">
        <v>45358</v>
      </c>
      <c r="F213" s="43">
        <v>2.4163545200724315</v>
      </c>
      <c r="G213" s="43">
        <v>2.4310525402675189</v>
      </c>
      <c r="H213" s="43">
        <v>2.4016564998773435</v>
      </c>
      <c r="I213" s="43">
        <v>2.410475311994396</v>
      </c>
      <c r="K213" s="3">
        <f t="shared" si="24"/>
        <v>1.4800182734273456E-4</v>
      </c>
      <c r="L213" s="3">
        <f ca="1">SQRT(AVERAGE(K213:OFFSET(K213,$B$5-1,0))*$B$9/(4*LN(2)))</f>
        <v>0.11529065189239979</v>
      </c>
      <c r="M213" s="3">
        <f ca="1">SQRT(AVERAGE(K213:OFFSET(K213,$B$6-1,0))*$B$9/(4*LN(2)))</f>
        <v>0.11873081887330679</v>
      </c>
      <c r="N213" s="3">
        <f ca="1">SQRT(AVERAGE(K213:OFFSET(K213,$B$7-1,0))*$B$9/(4*LN(2)))</f>
        <v>0.18007997227681311</v>
      </c>
      <c r="O213" s="3" t="e">
        <f ca="1">SQRT(AVERAGE(K213:OFFSET(K213,$B$8-1,0))*$B$9/(4*LN(2)))</f>
        <v>#DIV/0!</v>
      </c>
      <c r="P213" s="1"/>
      <c r="Q213" s="5">
        <f t="shared" si="22"/>
        <v>7.1948355840254123E-5</v>
      </c>
      <c r="R213" s="5">
        <f ca="1">SQRT($B$9*AVERAGE((Q213:OFFSET(Q213,$B$5-1,0))))</f>
        <v>0.11343651498054062</v>
      </c>
      <c r="S213" s="5">
        <f ca="1">SQRT($B$9*AVERAGE((Q213:OFFSET(Q213,$B$6-1,0))))</f>
        <v>0.11101155980816628</v>
      </c>
      <c r="T213" s="5">
        <f ca="1">SQRT($B$9*AVERAGE((Q213:OFFSET(Q213,$B$7-1,0))))</f>
        <v>0.18053006341689931</v>
      </c>
      <c r="U213" s="5" t="e">
        <f ca="1">SQRT($B$9*AVERAGE((Q213:OFFSET(Q213,$B$8-1,0))))</f>
        <v>#DIV/0!</v>
      </c>
      <c r="V213" s="1"/>
      <c r="W213" s="6">
        <f t="shared" si="23"/>
        <v>7.3911463595263121E-5</v>
      </c>
      <c r="X213" s="6">
        <f ca="1">SQRT($B$9*AVERAGE(W213:OFFSET(W213,$B$5-1,0)))</f>
        <v>0.10767497660740682</v>
      </c>
      <c r="Y213" s="6">
        <f ca="1">SQRT($B$9*AVERAGE(W213:OFFSET(W213,$B$6-1,0)))</f>
        <v>0.10509707538407929</v>
      </c>
      <c r="Z213" s="6">
        <f ca="1">SQRT($B$9*AVERAGE(W213:OFFSET(W213,$B$7-1,0)))</f>
        <v>0.18200449617791731</v>
      </c>
      <c r="AA213" s="6" t="e">
        <f ca="1">SQRT($B$9*AVERAGE(W213:OFFSET(W213,$B$8-1,0)))</f>
        <v>#DIV/0!</v>
      </c>
      <c r="AB213" s="1"/>
      <c r="AC213" s="34">
        <f t="shared" si="25"/>
        <v>1.0541425165549419E-5</v>
      </c>
      <c r="AD213" s="34">
        <f ca="1">SQRT($B$9*SUM(AC213:OFFSET(AC213,$B$5-1,0))/($B$5-1))</f>
        <v>0.1079674329556544</v>
      </c>
      <c r="AE213" s="34">
        <f ca="1">SQRT($B$9*SUM(AC213:OFFSET(AC213,$B$6-1,0))/($B$6-1))</f>
        <v>0.12741559911969749</v>
      </c>
      <c r="AF213" s="34">
        <f ca="1">SQRT($B$9*SUM(AC213:OFFSET(AC213,$B$7-1,0))/($B$7-1))</f>
        <v>0.16245584695785115</v>
      </c>
      <c r="AG213" s="34" t="e">
        <f ca="1">SQRT($B$9*SUM(AC213:OFFSET(AC213,$B$8-1,0))/($B$8-1))</f>
        <v>#DIV/0!</v>
      </c>
      <c r="AH213" s="1"/>
      <c r="AI213" s="1">
        <f t="shared" si="26"/>
        <v>-3.2467560988699812E-3</v>
      </c>
      <c r="AJ213" s="4">
        <f ca="1">SQRT($B$9)*_xlfn.STDEV.S(AI213:OFFSET(AI213,$B$5-1,0))</f>
        <v>0.1055242428661137</v>
      </c>
      <c r="AK213" s="4">
        <f ca="1">SQRT($B$9)*_xlfn.STDEV.S(AI213:OFFSET(AI213,$B$6-1,0))</f>
        <v>0.12735218978980004</v>
      </c>
      <c r="AL213" s="4">
        <f ca="1">SQRT($B$9)*_xlfn.STDEV.S(AI213:OFFSET(AI213,$B$7-1,0))</f>
        <v>0.1522033458318276</v>
      </c>
      <c r="AM213" s="4" t="e">
        <f ca="1">SQRT($B$9)*_xlfn.STDEV.S(AI213:OFFSET(AI213,$B$8-1,0))</f>
        <v>#DIV/0!</v>
      </c>
    </row>
    <row r="214" spans="5:39" x14ac:dyDescent="0.2">
      <c r="E214" s="42">
        <v>45357</v>
      </c>
      <c r="F214" s="43">
        <v>2.4281129362285019</v>
      </c>
      <c r="G214" s="43">
        <v>2.4349720123195424</v>
      </c>
      <c r="H214" s="43">
        <v>2.4173343880854374</v>
      </c>
      <c r="I214" s="43">
        <v>2.418314256098443</v>
      </c>
      <c r="K214" s="3">
        <f t="shared" si="24"/>
        <v>5.2850311931635243E-5</v>
      </c>
      <c r="L214" s="3">
        <f ca="1">SQRT(AVERAGE(K214:OFFSET(K214,$B$5-1,0))*$B$9/(4*LN(2)))</f>
        <v>0.11639020788541897</v>
      </c>
      <c r="M214" s="3">
        <f ca="1">SQRT(AVERAGE(K214:OFFSET(K214,$B$6-1,0))*$B$9/(4*LN(2)))</f>
        <v>0.11916340328419139</v>
      </c>
      <c r="N214" s="3">
        <f ca="1">SQRT(AVERAGE(K214:OFFSET(K214,$B$7-1,0))*$B$9/(4*LN(2)))</f>
        <v>0.18080492678457499</v>
      </c>
      <c r="O214" s="3" t="e">
        <f ca="1">SQRT(AVERAGE(K214:OFFSET(K214,$B$8-1,0))*$B$9/(4*LN(2)))</f>
        <v>#DIV/0!</v>
      </c>
      <c r="P214" s="1"/>
      <c r="Q214" s="5">
        <f t="shared" si="22"/>
        <v>2.0141970401218564E-5</v>
      </c>
      <c r="R214" s="5">
        <f ca="1">SQRT($B$9*AVERAGE((Q214:OFFSET(Q214,$B$5-1,0))))</f>
        <v>0.10469622278725724</v>
      </c>
      <c r="S214" s="5">
        <f ca="1">SQRT($B$9*AVERAGE((Q214:OFFSET(Q214,$B$6-1,0))))</f>
        <v>0.1069676013197019</v>
      </c>
      <c r="T214" s="5">
        <f ca="1">SQRT($B$9*AVERAGE((Q214:OFFSET(Q214,$B$7-1,0))))</f>
        <v>0.18152261539785261</v>
      </c>
      <c r="U214" s="5" t="e">
        <f ca="1">SQRT($B$9*AVERAGE((Q214:OFFSET(Q214,$B$8-1,0))))</f>
        <v>#DIV/0!</v>
      </c>
      <c r="V214" s="1"/>
      <c r="W214" s="6">
        <f t="shared" si="23"/>
        <v>2.1167074095412175E-5</v>
      </c>
      <c r="X214" s="6">
        <f ca="1">SQRT($B$9*AVERAGE(W214:OFFSET(W214,$B$5-1,0)))</f>
        <v>9.4833788345707312E-2</v>
      </c>
      <c r="Y214" s="6">
        <f ca="1">SQRT($B$9*AVERAGE(W214:OFFSET(W214,$B$6-1,0)))</f>
        <v>9.9075341177481929E-2</v>
      </c>
      <c r="Z214" s="6">
        <f ca="1">SQRT($B$9*AVERAGE(W214:OFFSET(W214,$B$7-1,0)))</f>
        <v>0.18296998305222947</v>
      </c>
      <c r="AA214" s="6" t="e">
        <f ca="1">SQRT($B$9*AVERAGE(W214:OFFSET(W214,$B$8-1,0)))</f>
        <v>#DIV/0!</v>
      </c>
      <c r="AB214" s="1"/>
      <c r="AC214" s="34">
        <f t="shared" si="25"/>
        <v>2.760029894888777E-5</v>
      </c>
      <c r="AD214" s="34">
        <f ca="1">SQRT($B$9*SUM(AC214:OFFSET(AC214,$B$5-1,0))/($B$5-1))</f>
        <v>0.12307242345125372</v>
      </c>
      <c r="AE214" s="34">
        <f ca="1">SQRT($B$9*SUM(AC214:OFFSET(AC214,$B$6-1,0))/($B$6-1))</f>
        <v>0.13466210528436109</v>
      </c>
      <c r="AF214" s="34">
        <f ca="1">SQRT($B$9*SUM(AC214:OFFSET(AC214,$B$7-1,0))/($B$7-1))</f>
        <v>0.16350582676754619</v>
      </c>
      <c r="AG214" s="34" t="e">
        <f ca="1">SQRT($B$9*SUM(AC214:OFFSET(AC214,$B$8-1,0))/($B$8-1))</f>
        <v>#DIV/0!</v>
      </c>
      <c r="AH214" s="1"/>
      <c r="AI214" s="1">
        <f t="shared" si="26"/>
        <v>-5.2535986665225741E-3</v>
      </c>
      <c r="AJ214" s="4">
        <f ca="1">SQRT($B$9)*_xlfn.STDEV.S(AI214:OFFSET(AI214,$B$5-1,0))</f>
        <v>0.10574806975252864</v>
      </c>
      <c r="AK214" s="4">
        <f ca="1">SQRT($B$9)*_xlfn.STDEV.S(AI214:OFFSET(AI214,$B$6-1,0))</f>
        <v>0.13369341328082288</v>
      </c>
      <c r="AL214" s="4">
        <f ca="1">SQRT($B$9)*_xlfn.STDEV.S(AI214:OFFSET(AI214,$B$7-1,0))</f>
        <v>0.15414995023958797</v>
      </c>
      <c r="AM214" s="4" t="e">
        <f ca="1">SQRT($B$9)*_xlfn.STDEV.S(AI214:OFFSET(AI214,$B$8-1,0))</f>
        <v>#DIV/0!</v>
      </c>
    </row>
    <row r="215" spans="5:39" x14ac:dyDescent="0.2">
      <c r="E215" s="42">
        <v>45356</v>
      </c>
      <c r="F215" s="43">
        <v>2.392837687760291</v>
      </c>
      <c r="G215" s="43">
        <v>2.4369317483455544</v>
      </c>
      <c r="H215" s="43">
        <v>2.3898980837212735</v>
      </c>
      <c r="I215" s="43">
        <v>2.4310525402675189</v>
      </c>
      <c r="K215" s="3">
        <f t="shared" si="24"/>
        <v>3.7982289791104276E-4</v>
      </c>
      <c r="L215" s="3">
        <f ca="1">SQRT(AVERAGE(K215:OFFSET(K215,$B$5-1,0))*$B$9/(4*LN(2)))</f>
        <v>0.1251296699775859</v>
      </c>
      <c r="M215" s="3">
        <f ca="1">SQRT(AVERAGE(K215:OFFSET(K215,$B$6-1,0))*$B$9/(4*LN(2)))</f>
        <v>0.15578211690627458</v>
      </c>
      <c r="N215" s="3">
        <f ca="1">SQRT(AVERAGE(K215:OFFSET(K215,$B$7-1,0))*$B$9/(4*LN(2)))</f>
        <v>0.18277050693976918</v>
      </c>
      <c r="O215" s="3" t="e">
        <f ca="1">SQRT(AVERAGE(K215:OFFSET(K215,$B$8-1,0))*$B$9/(4*LN(2)))</f>
        <v>#DIV/0!</v>
      </c>
      <c r="P215" s="1"/>
      <c r="Q215" s="5">
        <f t="shared" si="22"/>
        <v>9.1960266417770068E-5</v>
      </c>
      <c r="R215" s="5">
        <f ca="1">SQRT($B$9*AVERAGE((Q215:OFFSET(Q215,$B$5-1,0))))</f>
        <v>0.11655605635407851</v>
      </c>
      <c r="S215" s="5">
        <f ca="1">SQRT($B$9*AVERAGE((Q215:OFFSET(Q215,$B$6-1,0))))</f>
        <v>0.14724368659152384</v>
      </c>
      <c r="T215" s="5">
        <f ca="1">SQRT($B$9*AVERAGE((Q215:OFFSET(Q215,$B$7-1,0))))</f>
        <v>0.18305023991430822</v>
      </c>
      <c r="U215" s="5" t="e">
        <f ca="1">SQRT($B$9*AVERAGE((Q215:OFFSET(Q215,$B$8-1,0))))</f>
        <v>#DIV/0!</v>
      </c>
      <c r="V215" s="1"/>
      <c r="W215" s="6">
        <f t="shared" si="23"/>
        <v>6.5093607448069433E-5</v>
      </c>
      <c r="X215" s="6">
        <f ca="1">SQRT($B$9*AVERAGE(W215:OFFSET(W215,$B$5-1,0)))</f>
        <v>0.11029556157199918</v>
      </c>
      <c r="Y215" s="6">
        <f ca="1">SQRT($B$9*AVERAGE(W215:OFFSET(W215,$B$6-1,0)))</f>
        <v>0.14262435180320995</v>
      </c>
      <c r="Z215" s="6">
        <f ca="1">SQRT($B$9*AVERAGE(W215:OFFSET(W215,$B$7-1,0)))</f>
        <v>0.18416473103185671</v>
      </c>
      <c r="AA215" s="6" t="e">
        <f ca="1">SQRT($B$9*AVERAGE(W215:OFFSET(W215,$B$8-1,0)))</f>
        <v>#DIV/0!</v>
      </c>
      <c r="AB215" s="1"/>
      <c r="AC215" s="34">
        <f t="shared" si="25"/>
        <v>1.4800182734273456E-4</v>
      </c>
      <c r="AD215" s="34">
        <f ca="1">SQRT($B$9*SUM(AC215:OFFSET(AC215,$B$5-1,0))/($B$5-1))</f>
        <v>0.12444958560722479</v>
      </c>
      <c r="AE215" s="34">
        <f ca="1">SQRT($B$9*SUM(AC215:OFFSET(AC215,$B$6-1,0))/($B$6-1))</f>
        <v>0.15988194235578027</v>
      </c>
      <c r="AF215" s="34">
        <f ca="1">SQRT($B$9*SUM(AC215:OFFSET(AC215,$B$7-1,0))/($B$7-1))</f>
        <v>0.1716757354544125</v>
      </c>
      <c r="AG215" s="34" t="e">
        <f ca="1">SQRT($B$9*SUM(AC215:OFFSET(AC215,$B$8-1,0))/($B$8-1))</f>
        <v>#DIV/0!</v>
      </c>
      <c r="AH215" s="1"/>
      <c r="AI215" s="1">
        <f t="shared" si="26"/>
        <v>1.2165600163688372E-2</v>
      </c>
      <c r="AJ215" s="4">
        <f ca="1">SQRT($B$9)*_xlfn.STDEV.S(AI215:OFFSET(AI215,$B$5-1,0))</f>
        <v>0.10836573958077514</v>
      </c>
      <c r="AK215" s="4">
        <f ca="1">SQRT($B$9)*_xlfn.STDEV.S(AI215:OFFSET(AI215,$B$6-1,0))</f>
        <v>0.15070371751958822</v>
      </c>
      <c r="AL215" s="4">
        <f ca="1">SQRT($B$9)*_xlfn.STDEV.S(AI215:OFFSET(AI215,$B$7-1,0))</f>
        <v>0.16531570407150201</v>
      </c>
      <c r="AM215" s="4" t="e">
        <f ca="1">SQRT($B$9)*_xlfn.STDEV.S(AI215:OFFSET(AI215,$B$8-1,0))</f>
        <v>#DIV/0!</v>
      </c>
    </row>
    <row r="216" spans="5:39" x14ac:dyDescent="0.2">
      <c r="E216" s="42">
        <v>45355</v>
      </c>
      <c r="F216" s="43">
        <v>2.3947974237863026</v>
      </c>
      <c r="G216" s="43">
        <v>2.4085155759683849</v>
      </c>
      <c r="H216" s="43">
        <v>2.3889182157082676</v>
      </c>
      <c r="I216" s="43">
        <v>2.4016564998773435</v>
      </c>
      <c r="K216" s="3">
        <f t="shared" si="24"/>
        <v>6.6748574585429941E-5</v>
      </c>
      <c r="L216" s="3">
        <f ca="1">SQRT(AVERAGE(K216:OFFSET(K216,$B$5-1,0))*$B$9/(4*LN(2)))</f>
        <v>0.10262246759884887</v>
      </c>
      <c r="M216" s="3">
        <f ca="1">SQRT(AVERAGE(K216:OFFSET(K216,$B$6-1,0))*$B$9/(4*LN(2)))</f>
        <v>0.14651689551208952</v>
      </c>
      <c r="N216" s="3">
        <f ca="1">SQRT(AVERAGE(K216:OFFSET(K216,$B$7-1,0))*$B$9/(4*LN(2)))</f>
        <v>0.17940832432364839</v>
      </c>
      <c r="O216" s="3" t="e">
        <f ca="1">SQRT(AVERAGE(K216:OFFSET(K216,$B$8-1,0))*$B$9/(4*LN(2)))</f>
        <v>#DIV/0!</v>
      </c>
      <c r="P216" s="1"/>
      <c r="Q216" s="5">
        <f t="shared" si="22"/>
        <v>3.0265249146633221E-5</v>
      </c>
      <c r="R216" s="5">
        <f ca="1">SQRT($B$9*AVERAGE((Q216:OFFSET(Q216,$B$5-1,0))))</f>
        <v>9.9901904236813485E-2</v>
      </c>
      <c r="S216" s="5">
        <f ca="1">SQRT($B$9*AVERAGE((Q216:OFFSET(Q216,$B$6-1,0))))</f>
        <v>0.14208302070114825</v>
      </c>
      <c r="T216" s="5">
        <f ca="1">SQRT($B$9*AVERAGE((Q216:OFFSET(Q216,$B$7-1,0))))</f>
        <v>0.18156893049560222</v>
      </c>
      <c r="U216" s="5" t="e">
        <f ca="1">SQRT($B$9*AVERAGE((Q216:OFFSET(Q216,$B$8-1,0))))</f>
        <v>#DIV/0!</v>
      </c>
      <c r="V216" s="1"/>
      <c r="W216" s="6">
        <f t="shared" si="23"/>
        <v>2.9361883600290001E-5</v>
      </c>
      <c r="X216" s="6">
        <f ca="1">SQRT($B$9*AVERAGE(W216:OFFSET(W216,$B$5-1,0)))</f>
        <v>9.7554229585186225E-2</v>
      </c>
      <c r="Y216" s="6">
        <f ca="1">SQRT($B$9*AVERAGE(W216:OFFSET(W216,$B$6-1,0)))</f>
        <v>0.14012608699095921</v>
      </c>
      <c r="Z216" s="6">
        <f ca="1">SQRT($B$9*AVERAGE(W216:OFFSET(W216,$B$7-1,0)))</f>
        <v>0.18383738259616786</v>
      </c>
      <c r="AA216" s="6" t="e">
        <f ca="1">SQRT($B$9*AVERAGE(W216:OFFSET(W216,$B$8-1,0)))</f>
        <v>#DIV/0!</v>
      </c>
      <c r="AB216" s="1"/>
      <c r="AC216" s="34">
        <f t="shared" si="25"/>
        <v>1.4999878125990258E-6</v>
      </c>
      <c r="AD216" s="34">
        <f ca="1">SQRT($B$9*SUM(AC216:OFFSET(AC216,$B$5-1,0))/($B$5-1))</f>
        <v>8.8959611830600166E-2</v>
      </c>
      <c r="AE216" s="34">
        <f ca="1">SQRT($B$9*SUM(AC216:OFFSET(AC216,$B$6-1,0))/($B$6-1))</f>
        <v>0.14675834936378843</v>
      </c>
      <c r="AF216" s="34">
        <f ca="1">SQRT($B$9*SUM(AC216:OFFSET(AC216,$B$7-1,0))/($B$7-1))</f>
        <v>0.16647540465859945</v>
      </c>
      <c r="AG216" s="34" t="e">
        <f ca="1">SQRT($B$9*SUM(AC216:OFFSET(AC216,$B$8-1,0))/($B$8-1))</f>
        <v>#DIV/0!</v>
      </c>
      <c r="AH216" s="1"/>
      <c r="AI216" s="1">
        <f t="shared" si="26"/>
        <v>1.2247398958958697E-3</v>
      </c>
      <c r="AJ216" s="4">
        <f ca="1">SQRT($B$9)*_xlfn.STDEV.S(AI216:OFFSET(AI216,$B$5-1,0))</f>
        <v>8.1401601708925075E-2</v>
      </c>
      <c r="AK216" s="4">
        <f ca="1">SQRT($B$9)*_xlfn.STDEV.S(AI216:OFFSET(AI216,$B$6-1,0))</f>
        <v>0.14308440682384554</v>
      </c>
      <c r="AL216" s="4">
        <f ca="1">SQRT($B$9)*_xlfn.STDEV.S(AI216:OFFSET(AI216,$B$7-1,0))</f>
        <v>0.16301032384715308</v>
      </c>
      <c r="AM216" s="4" t="e">
        <f ca="1">SQRT($B$9)*_xlfn.STDEV.S(AI216:OFFSET(AI216,$B$8-1,0))</f>
        <v>#DIV/0!</v>
      </c>
    </row>
    <row r="217" spans="5:39" x14ac:dyDescent="0.2">
      <c r="E217" s="42">
        <v>45352</v>
      </c>
      <c r="F217" s="43">
        <v>2.3908779517342791</v>
      </c>
      <c r="G217" s="43">
        <v>2.406555839942373</v>
      </c>
      <c r="H217" s="43">
        <v>2.3820591396172266</v>
      </c>
      <c r="I217" s="43">
        <v>2.398716895838326</v>
      </c>
      <c r="K217" s="3">
        <f t="shared" si="24"/>
        <v>1.0467980562470928E-4</v>
      </c>
      <c r="L217" s="3">
        <f ca="1">SQRT(AVERAGE(K217:OFFSET(K217,$B$5-1,0))*$B$9/(4*LN(2)))</f>
        <v>0.1228204465163077</v>
      </c>
      <c r="M217" s="3">
        <f ca="1">SQRT(AVERAGE(K217:OFFSET(K217,$B$6-1,0))*$B$9/(4*LN(2)))</f>
        <v>0.14705185934709214</v>
      </c>
      <c r="N217" s="3">
        <f ca="1">SQRT(AVERAGE(K217:OFFSET(K217,$B$7-1,0))*$B$9/(4*LN(2)))</f>
        <v>0.18021631780700198</v>
      </c>
      <c r="O217" s="3" t="e">
        <f ca="1">SQRT(AVERAGE(K217:OFFSET(K217,$B$8-1,0))*$B$9/(4*LN(2)))</f>
        <v>#DIV/0!</v>
      </c>
      <c r="P217" s="1"/>
      <c r="Q217" s="5">
        <f t="shared" si="22"/>
        <v>4.8293197600867269E-5</v>
      </c>
      <c r="R217" s="5">
        <f ca="1">SQRT($B$9*AVERAGE((Q217:OFFSET(Q217,$B$5-1,0))))</f>
        <v>0.10874056894458013</v>
      </c>
      <c r="S217" s="5">
        <f ca="1">SQRT($B$9*AVERAGE((Q217:OFFSET(Q217,$B$6-1,0))))</f>
        <v>0.14301060513751393</v>
      </c>
      <c r="T217" s="5">
        <f ca="1">SQRT($B$9*AVERAGE((Q217:OFFSET(Q217,$B$7-1,0))))</f>
        <v>0.18254643522290057</v>
      </c>
      <c r="U217" s="5" t="e">
        <f ca="1">SQRT($B$9*AVERAGE((Q217:OFFSET(Q217,$B$8-1,0))))</f>
        <v>#DIV/0!</v>
      </c>
      <c r="V217" s="1"/>
      <c r="W217" s="6">
        <f t="shared" si="23"/>
        <v>4.7076187330467444E-5</v>
      </c>
      <c r="X217" s="6">
        <f ca="1">SQRT($B$9*AVERAGE(W217:OFFSET(W217,$B$5-1,0)))</f>
        <v>0.10087104097675614</v>
      </c>
      <c r="Y217" s="6">
        <f ca="1">SQRT($B$9*AVERAGE(W217:OFFSET(W217,$B$6-1,0)))</f>
        <v>0.14276234493626744</v>
      </c>
      <c r="Z217" s="6">
        <f ca="1">SQRT($B$9*AVERAGE(W217:OFFSET(W217,$B$7-1,0)))</f>
        <v>0.18476401808215712</v>
      </c>
      <c r="AA217" s="6" t="e">
        <f ca="1">SQRT($B$9*AVERAGE(W217:OFFSET(W217,$B$8-1,0)))</f>
        <v>#DIV/0!</v>
      </c>
      <c r="AB217" s="1"/>
      <c r="AC217" s="34">
        <f t="shared" si="25"/>
        <v>2.6742824287390686E-6</v>
      </c>
      <c r="AD217" s="34">
        <f ca="1">SQRT($B$9*SUM(AC217:OFFSET(AC217,$B$5-1,0))/($B$5-1))</f>
        <v>0.1581926633168636</v>
      </c>
      <c r="AE217" s="34">
        <f ca="1">SQRT($B$9*SUM(AC217:OFFSET(AC217,$B$6-1,0))/($B$6-1))</f>
        <v>0.15177657811217596</v>
      </c>
      <c r="AF217" s="34">
        <f ca="1">SQRT($B$9*SUM(AC217:OFFSET(AC217,$B$7-1,0))/($B$7-1))</f>
        <v>0.16648050869881828</v>
      </c>
      <c r="AG217" s="34" t="e">
        <f ca="1">SQRT($B$9*SUM(AC217:OFFSET(AC217,$B$8-1,0))/($B$8-1))</f>
        <v>#DIV/0!</v>
      </c>
      <c r="AH217" s="1"/>
      <c r="AI217" s="1">
        <f t="shared" si="26"/>
        <v>1.635323340730838E-3</v>
      </c>
      <c r="AJ217" s="4">
        <f ca="1">SQRT($B$9)*_xlfn.STDEV.S(AI217:OFFSET(AI217,$B$5-1,0))</f>
        <v>0.15586104943532952</v>
      </c>
      <c r="AK217" s="4">
        <f ca="1">SQRT($B$9)*_xlfn.STDEV.S(AI217:OFFSET(AI217,$B$6-1,0))</f>
        <v>0.1455529704873002</v>
      </c>
      <c r="AL217" s="4">
        <f ca="1">SQRT($B$9)*_xlfn.STDEV.S(AI217:OFFSET(AI217,$B$7-1,0))</f>
        <v>0.16300676444424983</v>
      </c>
      <c r="AM217" s="4" t="e">
        <f ca="1">SQRT($B$9)*_xlfn.STDEV.S(AI217:OFFSET(AI217,$B$8-1,0))</f>
        <v>#DIV/0!</v>
      </c>
    </row>
    <row r="218" spans="5:39" x14ac:dyDescent="0.2">
      <c r="E218" s="42">
        <v>45351</v>
      </c>
      <c r="F218" s="43">
        <v>2.3683409874351442</v>
      </c>
      <c r="G218" s="43">
        <v>2.398716895838326</v>
      </c>
      <c r="H218" s="43">
        <v>2.3683409874351442</v>
      </c>
      <c r="I218" s="43">
        <v>2.3947974237863026</v>
      </c>
      <c r="K218" s="3">
        <f t="shared" si="24"/>
        <v>1.6241623759670178E-4</v>
      </c>
      <c r="L218" s="3">
        <f ca="1">SQRT(AVERAGE(K218:OFFSET(K218,$B$5-1,0))*$B$9/(4*LN(2)))</f>
        <v>0.12207407704700235</v>
      </c>
      <c r="M218" s="3">
        <f ca="1">SQRT(AVERAGE(K218:OFFSET(K218,$B$6-1,0))*$B$9/(4*LN(2)))</f>
        <v>0.14836001232751589</v>
      </c>
      <c r="N218" s="3">
        <f ca="1">SQRT(AVERAGE(K218:OFFSET(K218,$B$7-1,0))*$B$9/(4*LN(2)))</f>
        <v>0.18725993620860867</v>
      </c>
      <c r="O218" s="3" t="e">
        <f ca="1">SQRT(AVERAGE(K218:OFFSET(K218,$B$8-1,0))*$B$9/(4*LN(2)))</f>
        <v>#DIV/0!</v>
      </c>
      <c r="P218" s="1"/>
      <c r="Q218" s="5">
        <f t="shared" si="22"/>
        <v>3.3039297370633326E-5</v>
      </c>
      <c r="R218" s="5">
        <f ca="1">SQRT($B$9*AVERAGE((Q218:OFFSET(Q218,$B$5-1,0))))</f>
        <v>0.10853243704604508</v>
      </c>
      <c r="S218" s="5">
        <f ca="1">SQRT($B$9*AVERAGE((Q218:OFFSET(Q218,$B$6-1,0))))</f>
        <v>0.14516324665522809</v>
      </c>
      <c r="T218" s="5">
        <f ca="1">SQRT($B$9*AVERAGE((Q218:OFFSET(Q218,$B$7-1,0))))</f>
        <v>0.18615322329103923</v>
      </c>
      <c r="U218" s="5" t="e">
        <f ca="1">SQRT($B$9*AVERAGE((Q218:OFFSET(Q218,$B$8-1,0))))</f>
        <v>#DIV/0!</v>
      </c>
      <c r="V218" s="1"/>
      <c r="W218" s="6">
        <f t="shared" si="23"/>
        <v>2.0840990627769333E-5</v>
      </c>
      <c r="X218" s="6">
        <f ca="1">SQRT($B$9*AVERAGE(W218:OFFSET(W218,$B$5-1,0)))</f>
        <v>0.10245433090488701</v>
      </c>
      <c r="Y218" s="6">
        <f ca="1">SQRT($B$9*AVERAGE(W218:OFFSET(W218,$B$6-1,0)))</f>
        <v>0.14622102949393753</v>
      </c>
      <c r="Z218" s="6">
        <f ca="1">SQRT($B$9*AVERAGE(W218:OFFSET(W218,$B$7-1,0)))</f>
        <v>0.18663923060975399</v>
      </c>
      <c r="AA218" s="6" t="e">
        <f ca="1">SQRT($B$9*AVERAGE(W218:OFFSET(W218,$B$8-1,0)))</f>
        <v>#DIV/0!</v>
      </c>
      <c r="AB218" s="1"/>
      <c r="AC218" s="34">
        <f t="shared" si="25"/>
        <v>6.7518646963606223E-5</v>
      </c>
      <c r="AD218" s="34">
        <f ca="1">SQRT($B$9*SUM(AC218:OFFSET(AC218,$B$5-1,0))/($B$5-1))</f>
        <v>0.15770601429174175</v>
      </c>
      <c r="AE218" s="34">
        <f ca="1">SQRT($B$9*SUM(AC218:OFFSET(AC218,$B$6-1,0))/($B$6-1))</f>
        <v>0.15193164228665706</v>
      </c>
      <c r="AF218" s="34">
        <f ca="1">SQRT($B$9*SUM(AC218:OFFSET(AC218,$B$7-1,0))/($B$7-1))</f>
        <v>0.18480873868982181</v>
      </c>
      <c r="AG218" s="34" t="e">
        <f ca="1">SQRT($B$9*SUM(AC218:OFFSET(AC218,$B$8-1,0))/($B$8-1))</f>
        <v>#DIV/0!</v>
      </c>
      <c r="AH218" s="1"/>
      <c r="AI218" s="1">
        <f t="shared" si="26"/>
        <v>8.2169731022808043E-3</v>
      </c>
      <c r="AJ218" s="4">
        <f ca="1">SQRT($B$9)*_xlfn.STDEV.S(AI218:OFFSET(AI218,$B$5-1,0))</f>
        <v>0.15455561465131523</v>
      </c>
      <c r="AK218" s="4">
        <f ca="1">SQRT($B$9)*_xlfn.STDEV.S(AI218:OFFSET(AI218,$B$6-1,0))</f>
        <v>0.14548680467027189</v>
      </c>
      <c r="AL218" s="4">
        <f ca="1">SQRT($B$9)*_xlfn.STDEV.S(AI218:OFFSET(AI218,$B$7-1,0))</f>
        <v>0.17777279666328771</v>
      </c>
      <c r="AM218" s="4" t="e">
        <f ca="1">SQRT($B$9)*_xlfn.STDEV.S(AI218:OFFSET(AI218,$B$8-1,0))</f>
        <v>#DIV/0!</v>
      </c>
    </row>
    <row r="219" spans="5:39" x14ac:dyDescent="0.2">
      <c r="E219" s="42">
        <v>45350</v>
      </c>
      <c r="F219" s="43">
        <v>2.3889182157082676</v>
      </c>
      <c r="G219" s="43">
        <v>2.4045961039163615</v>
      </c>
      <c r="H219" s="43">
        <v>2.3732403275001741</v>
      </c>
      <c r="I219" s="43">
        <v>2.3752000635261856</v>
      </c>
      <c r="K219" s="3">
        <f t="shared" si="24"/>
        <v>1.7228403088437406E-4</v>
      </c>
      <c r="L219" s="3">
        <f ca="1">SQRT(AVERAGE(K219:OFFSET(K219,$B$5-1,0))*$B$9/(4*LN(2)))</f>
        <v>0.1218735117772957</v>
      </c>
      <c r="M219" s="3">
        <f ca="1">SQRT(AVERAGE(K219:OFFSET(K219,$B$6-1,0))*$B$9/(4*LN(2)))</f>
        <v>0.15333120096697453</v>
      </c>
      <c r="N219" s="3">
        <f ca="1">SQRT(AVERAGE(K219:OFFSET(K219,$B$7-1,0))*$B$9/(4*LN(2)))</f>
        <v>0.19243993741626678</v>
      </c>
      <c r="O219" s="3" t="e">
        <f ca="1">SQRT(AVERAGE(K219:OFFSET(K219,$B$8-1,0))*$B$9/(4*LN(2)))</f>
        <v>#DIV/0!</v>
      </c>
      <c r="P219" s="1"/>
      <c r="Q219" s="5">
        <f t="shared" si="22"/>
        <v>7.3693301154200699E-5</v>
      </c>
      <c r="R219" s="5">
        <f ca="1">SQRT($B$9*AVERAGE((Q219:OFFSET(Q219,$B$5-1,0))))</f>
        <v>0.10919174143799697</v>
      </c>
      <c r="S219" s="5">
        <f ca="1">SQRT($B$9*AVERAGE((Q219:OFFSET(Q219,$B$6-1,0))))</f>
        <v>0.15258562096398814</v>
      </c>
      <c r="T219" s="5">
        <f ca="1">SQRT($B$9*AVERAGE((Q219:OFFSET(Q219,$B$7-1,0))))</f>
        <v>0.19330271501228563</v>
      </c>
      <c r="U219" s="5" t="e">
        <f ca="1">SQRT($B$9*AVERAGE((Q219:OFFSET(Q219,$B$8-1,0))))</f>
        <v>#DIV/0!</v>
      </c>
      <c r="V219" s="1"/>
      <c r="W219" s="6">
        <f t="shared" si="23"/>
        <v>8.5894900431825511E-5</v>
      </c>
      <c r="X219" s="6">
        <f ca="1">SQRT($B$9*AVERAGE(W219:OFFSET(W219,$B$5-1,0)))</f>
        <v>0.10314261508644464</v>
      </c>
      <c r="Y219" s="6">
        <f ca="1">SQRT($B$9*AVERAGE(W219:OFFSET(W219,$B$6-1,0)))</f>
        <v>0.15538112969033263</v>
      </c>
      <c r="Z219" s="6">
        <f ca="1">SQRT($B$9*AVERAGE(W219:OFFSET(W219,$B$7-1,0)))</f>
        <v>0.19491201069026179</v>
      </c>
      <c r="AA219" s="6" t="e">
        <f ca="1">SQRT($B$9*AVERAGE(W219:OFFSET(W219,$B$8-1,0)))</f>
        <v>#DIV/0!</v>
      </c>
      <c r="AB219" s="1"/>
      <c r="AC219" s="34">
        <f t="shared" si="25"/>
        <v>3.3165653130851233E-5</v>
      </c>
      <c r="AD219" s="34">
        <f ca="1">SQRT($B$9*SUM(AC219:OFFSET(AC219,$B$5-1,0))/($B$5-1))</f>
        <v>0.16016995484475885</v>
      </c>
      <c r="AE219" s="34">
        <f ca="1">SQRT($B$9*SUM(AC219:OFFSET(AC219,$B$6-1,0))/($B$6-1))</f>
        <v>0.15917517098798978</v>
      </c>
      <c r="AF219" s="34">
        <f ca="1">SQRT($B$9*SUM(AC219:OFFSET(AC219,$B$7-1,0))/($B$7-1))</f>
        <v>0.19154651358007108</v>
      </c>
      <c r="AG219" s="34" t="e">
        <f ca="1">SQRT($B$9*SUM(AC219:OFFSET(AC219,$B$8-1,0))/($B$8-1))</f>
        <v>#DIV/0!</v>
      </c>
      <c r="AH219" s="1"/>
      <c r="AI219" s="1">
        <f t="shared" si="26"/>
        <v>-5.7589628520117436E-3</v>
      </c>
      <c r="AJ219" s="4">
        <f ca="1">SQRT($B$9)*_xlfn.STDEV.S(AI219:OFFSET(AI219,$B$5-1,0))</f>
        <v>0.15756684616272515</v>
      </c>
      <c r="AK219" s="4">
        <f ca="1">SQRT($B$9)*_xlfn.STDEV.S(AI219:OFFSET(AI219,$B$6-1,0))</f>
        <v>0.15096810663873017</v>
      </c>
      <c r="AL219" s="4">
        <f ca="1">SQRT($B$9)*_xlfn.STDEV.S(AI219:OFFSET(AI219,$B$7-1,0))</f>
        <v>0.18288104232984723</v>
      </c>
      <c r="AM219" s="4" t="e">
        <f ca="1">SQRT($B$9)*_xlfn.STDEV.S(AI219:OFFSET(AI219,$B$8-1,0))</f>
        <v>#DIV/0!</v>
      </c>
    </row>
    <row r="220" spans="5:39" x14ac:dyDescent="0.2">
      <c r="E220" s="42">
        <v>45349</v>
      </c>
      <c r="F220" s="43">
        <v>2.3693208554481506</v>
      </c>
      <c r="G220" s="43">
        <v>2.3898980837212735</v>
      </c>
      <c r="H220" s="43">
        <v>2.3673611194221387</v>
      </c>
      <c r="I220" s="43">
        <v>2.3889182157082676</v>
      </c>
      <c r="K220" s="3">
        <f t="shared" si="24"/>
        <v>8.9772577130891234E-5</v>
      </c>
      <c r="L220" s="3">
        <f ca="1">SQRT(AVERAGE(K220:OFFSET(K220,$B$5-1,0))*$B$9/(4*LN(2)))</f>
        <v>0.18132485099097928</v>
      </c>
      <c r="M220" s="3">
        <f ca="1">SQRT(AVERAGE(K220:OFFSET(K220,$B$6-1,0))*$B$9/(4*LN(2)))</f>
        <v>0.18029520526897216</v>
      </c>
      <c r="N220" s="3">
        <f ca="1">SQRT(AVERAGE(K220:OFFSET(K220,$B$7-1,0))*$B$9/(4*LN(2)))</f>
        <v>0.19371796654929585</v>
      </c>
      <c r="O220" s="3" t="e">
        <f ca="1">SQRT(AVERAGE(K220:OFFSET(K220,$B$8-1,0))*$B$9/(4*LN(2)))</f>
        <v>#DIV/0!</v>
      </c>
      <c r="P220" s="1"/>
      <c r="Q220" s="5">
        <f t="shared" si="22"/>
        <v>1.8390392893817559E-5</v>
      </c>
      <c r="R220" s="5">
        <f ca="1">SQRT($B$9*AVERAGE((Q220:OFFSET(Q220,$B$5-1,0))))</f>
        <v>0.17255750406548731</v>
      </c>
      <c r="S220" s="5">
        <f ca="1">SQRT($B$9*AVERAGE((Q220:OFFSET(Q220,$B$6-1,0))))</f>
        <v>0.16528026315655375</v>
      </c>
      <c r="T220" s="5">
        <f ca="1">SQRT($B$9*AVERAGE((Q220:OFFSET(Q220,$B$7-1,0))))</f>
        <v>0.19544705087239342</v>
      </c>
      <c r="U220" s="5" t="e">
        <f ca="1">SQRT($B$9*AVERAGE((Q220:OFFSET(Q220,$B$8-1,0))))</f>
        <v>#DIV/0!</v>
      </c>
      <c r="V220" s="1"/>
      <c r="W220" s="6">
        <f t="shared" si="23"/>
        <v>1.1047011682284918E-5</v>
      </c>
      <c r="X220" s="6">
        <f ca="1">SQRT($B$9*AVERAGE(W220:OFFSET(W220,$B$5-1,0)))</f>
        <v>0.1688736230205562</v>
      </c>
      <c r="Y220" s="6">
        <f ca="1">SQRT($B$9*AVERAGE(W220:OFFSET(W220,$B$6-1,0)))</f>
        <v>0.15970521404077181</v>
      </c>
      <c r="Z220" s="6">
        <f ca="1">SQRT($B$9*AVERAGE(W220:OFFSET(W220,$B$7-1,0)))</f>
        <v>0.19666995612502919</v>
      </c>
      <c r="AA220" s="6" t="e">
        <f ca="1">SQRT($B$9*AVERAGE(W220:OFFSET(W220,$B$8-1,0)))</f>
        <v>#DIV/0!</v>
      </c>
      <c r="AB220" s="1"/>
      <c r="AC220" s="34">
        <f t="shared" si="25"/>
        <v>2.4346532309936026E-5</v>
      </c>
      <c r="AD220" s="34">
        <f ca="1">SQRT($B$9*SUM(AC220:OFFSET(AC220,$B$5-1,0))/($B$5-1))</f>
        <v>0.20500568406258493</v>
      </c>
      <c r="AE220" s="34">
        <f ca="1">SQRT($B$9*SUM(AC220:OFFSET(AC220,$B$6-1,0))/($B$6-1))</f>
        <v>0.20947019141024315</v>
      </c>
      <c r="AF220" s="34">
        <f ca="1">SQRT($B$9*SUM(AC220:OFFSET(AC220,$B$7-1,0))/($B$7-1))</f>
        <v>0.19048657726344931</v>
      </c>
      <c r="AG220" s="34" t="e">
        <f ca="1">SQRT($B$9*SUM(AC220:OFFSET(AC220,$B$8-1,0))/($B$8-1))</f>
        <v>#DIV/0!</v>
      </c>
      <c r="AH220" s="1"/>
      <c r="AI220" s="1">
        <f t="shared" si="26"/>
        <v>4.9342205372212566E-3</v>
      </c>
      <c r="AJ220" s="4">
        <f ca="1">SQRT($B$9)*_xlfn.STDEV.S(AI220:OFFSET(AI220,$B$5-1,0))</f>
        <v>0.19828350941195966</v>
      </c>
      <c r="AK220" s="4">
        <f ca="1">SQRT($B$9)*_xlfn.STDEV.S(AI220:OFFSET(AI220,$B$6-1,0))</f>
        <v>0.18180111299971821</v>
      </c>
      <c r="AL220" s="4">
        <f ca="1">SQRT($B$9)*_xlfn.STDEV.S(AI220:OFFSET(AI220,$B$7-1,0))</f>
        <v>0.18061710550447077</v>
      </c>
      <c r="AM220" s="4" t="e">
        <f ca="1">SQRT($B$9)*_xlfn.STDEV.S(AI220:OFFSET(AI220,$B$8-1,0))</f>
        <v>#DIV/0!</v>
      </c>
    </row>
    <row r="221" spans="5:39" x14ac:dyDescent="0.2">
      <c r="E221" s="42">
        <v>45348</v>
      </c>
      <c r="F221" s="43">
        <v>2.4143947840464195</v>
      </c>
      <c r="G221" s="43">
        <v>2.4153746520594255</v>
      </c>
      <c r="H221" s="43">
        <v>2.3722604594871677</v>
      </c>
      <c r="I221" s="43">
        <v>2.3771597995521976</v>
      </c>
      <c r="K221" s="3">
        <f t="shared" si="24"/>
        <v>3.2440078726098706E-4</v>
      </c>
      <c r="L221" s="3">
        <f ca="1">SQRT(AVERAGE(K221:OFFSET(K221,$B$5-1,0))*$B$9/(4*LN(2)))</f>
        <v>0.18000841781684634</v>
      </c>
      <c r="M221" s="3">
        <f ca="1">SQRT(AVERAGE(K221:OFFSET(K221,$B$6-1,0))*$B$9/(4*LN(2)))</f>
        <v>0.19972380846796622</v>
      </c>
      <c r="N221" s="3">
        <f ca="1">SQRT(AVERAGE(K221:OFFSET(K221,$B$7-1,0))*$B$9/(4*LN(2)))</f>
        <v>0.19910190526580518</v>
      </c>
      <c r="O221" s="3" t="e">
        <f ca="1">SQRT(AVERAGE(K221:OFFSET(K221,$B$8-1,0))*$B$9/(4*LN(2)))</f>
        <v>#DIV/0!</v>
      </c>
      <c r="P221" s="1"/>
      <c r="Q221" s="5">
        <f t="shared" si="22"/>
        <v>6.79003688251951E-5</v>
      </c>
      <c r="R221" s="5">
        <f ca="1">SQRT($B$9*AVERAGE((Q221:OFFSET(Q221,$B$5-1,0))))</f>
        <v>0.17434098506370896</v>
      </c>
      <c r="S221" s="5">
        <f ca="1">SQRT($B$9*AVERAGE((Q221:OFFSET(Q221,$B$6-1,0))))</f>
        <v>0.18926390873971344</v>
      </c>
      <c r="T221" s="5">
        <f ca="1">SQRT($B$9*AVERAGE((Q221:OFFSET(Q221,$B$7-1,0))))</f>
        <v>0.20324631581615757</v>
      </c>
      <c r="U221" s="5" t="e">
        <f ca="1">SQRT($B$9*AVERAGE((Q221:OFFSET(Q221,$B$8-1,0))))</f>
        <v>#DIV/0!</v>
      </c>
      <c r="V221" s="1"/>
      <c r="W221" s="6">
        <f t="shared" si="23"/>
        <v>4.2793295799783791E-5</v>
      </c>
      <c r="X221" s="6">
        <f ca="1">SQRT($B$9*AVERAGE(W221:OFFSET(W221,$B$5-1,0)))</f>
        <v>0.17249293550994058</v>
      </c>
      <c r="Y221" s="6">
        <f ca="1">SQRT($B$9*AVERAGE(W221:OFFSET(W221,$B$6-1,0)))</f>
        <v>0.18319565295112303</v>
      </c>
      <c r="Z221" s="6">
        <f ca="1">SQRT($B$9*AVERAGE(W221:OFFSET(W221,$B$7-1,0)))</f>
        <v>0.20459159004146052</v>
      </c>
      <c r="AA221" s="6" t="e">
        <f ca="1">SQRT($B$9*AVERAGE(W221:OFFSET(W221,$B$8-1,0)))</f>
        <v>#DIV/0!</v>
      </c>
      <c r="AB221" s="1"/>
      <c r="AC221" s="34">
        <f t="shared" si="25"/>
        <v>2.8086498683678679E-4</v>
      </c>
      <c r="AD221" s="34">
        <f ca="1">SQRT($B$9*SUM(AC221:OFFSET(AC221,$B$5-1,0))/($B$5-1))</f>
        <v>0.20136215373280164</v>
      </c>
      <c r="AE221" s="34">
        <f ca="1">SQRT($B$9*SUM(AC221:OFFSET(AC221,$B$6-1,0))/($B$6-1))</f>
        <v>0.21337158473820236</v>
      </c>
      <c r="AF221" s="34">
        <f ca="1">SQRT($B$9*SUM(AC221:OFFSET(AC221,$B$7-1,0))/($B$7-1))</f>
        <v>0.19254433602060395</v>
      </c>
      <c r="AG221" s="34" t="e">
        <f ca="1">SQRT($B$9*SUM(AC221:OFFSET(AC221,$B$8-1,0))/($B$8-1))</f>
        <v>#DIV/0!</v>
      </c>
      <c r="AH221" s="1"/>
      <c r="AI221" s="1">
        <f t="shared" si="26"/>
        <v>-1.6759027025361192E-2</v>
      </c>
      <c r="AJ221" s="4">
        <f ca="1">SQRT($B$9)*_xlfn.STDEV.S(AI221:OFFSET(AI221,$B$5-1,0))</f>
        <v>0.19858280087512303</v>
      </c>
      <c r="AK221" s="4">
        <f ca="1">SQRT($B$9)*_xlfn.STDEV.S(AI221:OFFSET(AI221,$B$6-1,0))</f>
        <v>0.18215666215915671</v>
      </c>
      <c r="AL221" s="4">
        <f ca="1">SQRT($B$9)*_xlfn.STDEV.S(AI221:OFFSET(AI221,$B$7-1,0))</f>
        <v>0.1861697189434777</v>
      </c>
      <c r="AM221" s="4" t="e">
        <f ca="1">SQRT($B$9)*_xlfn.STDEV.S(AI221:OFFSET(AI221,$B$8-1,0))</f>
        <v>#DIV/0!</v>
      </c>
    </row>
    <row r="222" spans="5:39" x14ac:dyDescent="0.2">
      <c r="E222" s="42">
        <v>45345</v>
      </c>
      <c r="F222" s="43">
        <v>2.4163545200724315</v>
      </c>
      <c r="G222" s="43">
        <v>2.4330122762935309</v>
      </c>
      <c r="H222" s="43">
        <v>2.4094954439813905</v>
      </c>
      <c r="I222" s="43">
        <v>2.4173343880854374</v>
      </c>
      <c r="K222" s="3">
        <f t="shared" si="24"/>
        <v>9.4337382255785186E-5</v>
      </c>
      <c r="L222" s="3">
        <f ca="1">SQRT(AVERAGE(K222:OFFSET(K222,$B$5-1,0))*$B$9/(4*LN(2)))</f>
        <v>0.16782025084121621</v>
      </c>
      <c r="M222" s="3">
        <f ca="1">SQRT(AVERAGE(K222:OFFSET(K222,$B$6-1,0))*$B$9/(4*LN(2)))</f>
        <v>0.22330955070125066</v>
      </c>
      <c r="N222" s="3">
        <f ca="1">SQRT(AVERAGE(K222:OFFSET(K222,$B$7-1,0))*$B$9/(4*LN(2)))</f>
        <v>0.1984532968914606</v>
      </c>
      <c r="O222" s="3" t="e">
        <f ca="1">SQRT(AVERAGE(K222:OFFSET(K222,$B$8-1,0))*$B$9/(4*LN(2)))</f>
        <v>#DIV/0!</v>
      </c>
      <c r="P222" s="1"/>
      <c r="Q222" s="5">
        <f t="shared" si="22"/>
        <v>4.7370311004188781E-5</v>
      </c>
      <c r="R222" s="5">
        <f ca="1">SQRT($B$9*AVERAGE((Q222:OFFSET(Q222,$B$5-1,0))))</f>
        <v>0.17052728529242725</v>
      </c>
      <c r="S222" s="5">
        <f ca="1">SQRT($B$9*AVERAGE((Q222:OFFSET(Q222,$B$6-1,0))))</f>
        <v>0.227192941147486</v>
      </c>
      <c r="T222" s="5">
        <f ca="1">SQRT($B$9*AVERAGE((Q222:OFFSET(Q222,$B$7-1,0))))</f>
        <v>0.20400648102373622</v>
      </c>
      <c r="U222" s="5" t="e">
        <f ca="1">SQRT($B$9*AVERAGE((Q222:OFFSET(Q222,$B$8-1,0))))</f>
        <v>#DIV/0!</v>
      </c>
      <c r="V222" s="1"/>
      <c r="W222" s="6">
        <f t="shared" si="23"/>
        <v>5.3646044747481038E-5</v>
      </c>
      <c r="X222" s="6">
        <f ca="1">SQRT($B$9*AVERAGE(W222:OFFSET(W222,$B$5-1,0)))</f>
        <v>0.17489198768288156</v>
      </c>
      <c r="Y222" s="6">
        <f ca="1">SQRT($B$9*AVERAGE(W222:OFFSET(W222,$B$6-1,0)))</f>
        <v>0.23169602347876136</v>
      </c>
      <c r="Z222" s="6">
        <f ca="1">SQRT($B$9*AVERAGE(W222:OFFSET(W222,$B$7-1,0)))</f>
        <v>0.20580179285552219</v>
      </c>
      <c r="AA222" s="6" t="e">
        <f ca="1">SQRT($B$9*AVERAGE(W222:OFFSET(W222,$B$8-1,0)))</f>
        <v>#DIV/0!</v>
      </c>
      <c r="AB222" s="1"/>
      <c r="AC222" s="34">
        <f t="shared" si="25"/>
        <v>1.6437575942458441E-7</v>
      </c>
      <c r="AD222" s="34">
        <f ca="1">SQRT($B$9*SUM(AC222:OFFSET(AC222,$B$5-1,0))/($B$5-1))</f>
        <v>0.16372651897435769</v>
      </c>
      <c r="AE222" s="34">
        <f ca="1">SQRT($B$9*SUM(AC222:OFFSET(AC222,$B$6-1,0))/($B$6-1))</f>
        <v>0.19764762732931915</v>
      </c>
      <c r="AF222" s="34">
        <f ca="1">SQRT($B$9*SUM(AC222:OFFSET(AC222,$B$7-1,0))/($B$7-1))</f>
        <v>0.18333214052412256</v>
      </c>
      <c r="AG222" s="34" t="e">
        <f ca="1">SQRT($B$9*SUM(AC222:OFFSET(AC222,$B$8-1,0))/($B$8-1))</f>
        <v>#DIV/0!</v>
      </c>
      <c r="AH222" s="1"/>
      <c r="AI222" s="1">
        <f t="shared" si="26"/>
        <v>4.0543280506710901E-4</v>
      </c>
      <c r="AJ222" s="4">
        <f ca="1">SQRT($B$9)*_xlfn.STDEV.S(AI222:OFFSET(AI222,$B$5-1,0))</f>
        <v>0.11317423708562156</v>
      </c>
      <c r="AK222" s="4">
        <f ca="1">SQRT($B$9)*_xlfn.STDEV.S(AI222:OFFSET(AI222,$B$6-1,0))</f>
        <v>0.15069497435661935</v>
      </c>
      <c r="AL222" s="4">
        <f ca="1">SQRT($B$9)*_xlfn.STDEV.S(AI222:OFFSET(AI222,$B$7-1,0))</f>
        <v>0.17126621551407328</v>
      </c>
      <c r="AM222" s="4" t="e">
        <f ca="1">SQRT($B$9)*_xlfn.STDEV.S(AI222:OFFSET(AI222,$B$8-1,0))</f>
        <v>#DIV/0!</v>
      </c>
    </row>
    <row r="223" spans="5:39" x14ac:dyDescent="0.2">
      <c r="E223" s="42">
        <v>45344</v>
      </c>
      <c r="F223" s="43">
        <v>2.3908779517342791</v>
      </c>
      <c r="G223" s="43">
        <v>2.419294124111449</v>
      </c>
      <c r="H223" s="43">
        <v>2.3889182157082676</v>
      </c>
      <c r="I223" s="43">
        <v>2.4163545200724315</v>
      </c>
      <c r="K223" s="3">
        <f t="shared" si="24"/>
        <v>1.5964775604328661E-4</v>
      </c>
      <c r="L223" s="3">
        <f ca="1">SQRT(AVERAGE(K223:OFFSET(K223,$B$5-1,0))*$B$9/(4*LN(2)))</f>
        <v>0.1706437992684289</v>
      </c>
      <c r="M223" s="3">
        <f ca="1">SQRT(AVERAGE(K223:OFFSET(K223,$B$6-1,0))*$B$9/(4*LN(2)))</f>
        <v>0.22530109959809247</v>
      </c>
      <c r="N223" s="3">
        <f ca="1">SQRT(AVERAGE(K223:OFFSET(K223,$B$7-1,0))*$B$9/(4*LN(2)))</f>
        <v>0.21190788512525582</v>
      </c>
      <c r="O223" s="3" t="e">
        <f ca="1">SQRT(AVERAGE(K223:OFFSET(K223,$B$8-1,0))*$B$9/(4*LN(2)))</f>
        <v>#DIV/0!</v>
      </c>
      <c r="P223" s="1"/>
      <c r="Q223" s="5">
        <f t="shared" si="22"/>
        <v>3.5968817923870999E-5</v>
      </c>
      <c r="R223" s="5">
        <f ca="1">SQRT($B$9*AVERAGE((Q223:OFFSET(Q223,$B$5-1,0))))</f>
        <v>0.17425684051944543</v>
      </c>
      <c r="S223" s="5">
        <f ca="1">SQRT($B$9*AVERAGE((Q223:OFFSET(Q223,$B$6-1,0))))</f>
        <v>0.2299100719489629</v>
      </c>
      <c r="T223" s="5">
        <f ca="1">SQRT($B$9*AVERAGE((Q223:OFFSET(Q223,$B$7-1,0))))</f>
        <v>0.21686033939801855</v>
      </c>
      <c r="U223" s="5" t="e">
        <f ca="1">SQRT($B$9*AVERAGE((Q223:OFFSET(Q223,$B$8-1,0))))</f>
        <v>#DIV/0!</v>
      </c>
      <c r="V223" s="1"/>
      <c r="W223" s="6">
        <f t="shared" si="23"/>
        <v>2.3728931968634512E-5</v>
      </c>
      <c r="X223" s="6">
        <f ca="1">SQRT($B$9*AVERAGE(W223:OFFSET(W223,$B$5-1,0)))</f>
        <v>0.17962262945232099</v>
      </c>
      <c r="Y223" s="6">
        <f ca="1">SQRT($B$9*AVERAGE(W223:OFFSET(W223,$B$6-1,0)))</f>
        <v>0.23495931137894535</v>
      </c>
      <c r="Z223" s="6">
        <f ca="1">SQRT($B$9*AVERAGE(W223:OFFSET(W223,$B$7-1,0)))</f>
        <v>0.21866265490660311</v>
      </c>
      <c r="AA223" s="6" t="e">
        <f ca="1">SQRT($B$9*AVERAGE(W223:OFFSET(W223,$B$8-1,0)))</f>
        <v>#DIV/0!</v>
      </c>
      <c r="AB223" s="1"/>
      <c r="AC223" s="34">
        <f t="shared" si="25"/>
        <v>8.0306034574790554E-5</v>
      </c>
      <c r="AD223" s="34">
        <f ca="1">SQRT($B$9*SUM(AC223:OFFSET(AC223,$B$5-1,0))/($B$5-1))</f>
        <v>0.16451767957892724</v>
      </c>
      <c r="AE223" s="34">
        <f ca="1">SQRT($B$9*SUM(AC223:OFFSET(AC223,$B$6-1,0))/($B$6-1))</f>
        <v>0.19869952969630053</v>
      </c>
      <c r="AF223" s="34">
        <f ca="1">SQRT($B$9*SUM(AC223:OFFSET(AC223,$B$7-1,0))/($B$7-1))</f>
        <v>0.19408680862201383</v>
      </c>
      <c r="AG223" s="34" t="e">
        <f ca="1">SQRT($B$9*SUM(AC223:OFFSET(AC223,$B$8-1,0))/($B$8-1))</f>
        <v>#DIV/0!</v>
      </c>
      <c r="AH223" s="1"/>
      <c r="AI223" s="1">
        <f t="shared" si="26"/>
        <v>8.9613634328036575E-3</v>
      </c>
      <c r="AJ223" s="4">
        <f ca="1">SQRT($B$9)*_xlfn.STDEV.S(AI223:OFFSET(AI223,$B$5-1,0))</f>
        <v>0.10784565668463252</v>
      </c>
      <c r="AK223" s="4">
        <f ca="1">SQRT($B$9)*_xlfn.STDEV.S(AI223:OFFSET(AI223,$B$6-1,0))</f>
        <v>0.15781666111276615</v>
      </c>
      <c r="AL223" s="4">
        <f ca="1">SQRT($B$9)*_xlfn.STDEV.S(AI223:OFFSET(AI223,$B$7-1,0))</f>
        <v>0.17713175144651785</v>
      </c>
      <c r="AM223" s="4" t="e">
        <f ca="1">SQRT($B$9)*_xlfn.STDEV.S(AI223:OFFSET(AI223,$B$8-1,0))</f>
        <v>#DIV/0!</v>
      </c>
    </row>
    <row r="224" spans="5:39" x14ac:dyDescent="0.2">
      <c r="E224" s="42">
        <v>45343</v>
      </c>
      <c r="F224" s="43">
        <v>2.3467838911490158</v>
      </c>
      <c r="G224" s="43">
        <v>2.4251733321894839</v>
      </c>
      <c r="H224" s="43">
        <v>2.3428644190969923</v>
      </c>
      <c r="I224" s="43">
        <v>2.3947974237863026</v>
      </c>
      <c r="K224" s="3">
        <f t="shared" si="24"/>
        <v>1.1922316446912637E-3</v>
      </c>
      <c r="L224" s="3">
        <f ca="1">SQRT(AVERAGE(K224:OFFSET(K224,$B$5-1,0))*$B$9/(4*LN(2)))</f>
        <v>0.17935373290516934</v>
      </c>
      <c r="M224" s="3">
        <f ca="1">SQRT(AVERAGE(K224:OFFSET(K224,$B$6-1,0))*$B$9/(4*LN(2)))</f>
        <v>0.22623201899130063</v>
      </c>
      <c r="N224" s="3">
        <f ca="1">SQRT(AVERAGE(K224:OFFSET(K224,$B$7-1,0))*$B$9/(4*LN(2)))</f>
        <v>0.21438273664893612</v>
      </c>
      <c r="O224" s="3" t="e">
        <f ca="1">SQRT(AVERAGE(K224:OFFSET(K224,$B$8-1,0))*$B$9/(4*LN(2)))</f>
        <v>#DIV/0!</v>
      </c>
      <c r="P224" s="1"/>
      <c r="Q224" s="5">
        <f t="shared" si="22"/>
        <v>4.3804546056334936E-4</v>
      </c>
      <c r="R224" s="5">
        <f ca="1">SQRT($B$9*AVERAGE((Q224:OFFSET(Q224,$B$5-1,0))))</f>
        <v>0.18612336514169667</v>
      </c>
      <c r="S224" s="5">
        <f ca="1">SQRT($B$9*AVERAGE((Q224:OFFSET(Q224,$B$6-1,0))))</f>
        <v>0.2333642047737029</v>
      </c>
      <c r="T224" s="5">
        <f ca="1">SQRT($B$9*AVERAGE((Q224:OFFSET(Q224,$B$7-1,0))))</f>
        <v>0.21781929619771828</v>
      </c>
      <c r="U224" s="5" t="e">
        <f ca="1">SQRT($B$9*AVERAGE((Q224:OFFSET(Q224,$B$8-1,0))))</f>
        <v>#DIV/0!</v>
      </c>
      <c r="V224" s="1"/>
      <c r="W224" s="6">
        <f t="shared" si="23"/>
        <v>4.5079084951791631E-4</v>
      </c>
      <c r="X224" s="6">
        <f ca="1">SQRT($B$9*AVERAGE(W224:OFFSET(W224,$B$5-1,0)))</f>
        <v>0.19403141982889643</v>
      </c>
      <c r="Y224" s="6">
        <f ca="1">SQRT($B$9*AVERAGE(W224:OFFSET(W224,$B$6-1,0)))</f>
        <v>0.23903996771843791</v>
      </c>
      <c r="Z224" s="6">
        <f ca="1">SQRT($B$9*AVERAGE(W224:OFFSET(W224,$B$7-1,0)))</f>
        <v>0.21894580857012508</v>
      </c>
      <c r="AA224" s="6" t="e">
        <f ca="1">SQRT($B$9*AVERAGE(W224:OFFSET(W224,$B$8-1,0)))</f>
        <v>#DIV/0!</v>
      </c>
      <c r="AB224" s="1"/>
      <c r="AC224" s="34">
        <f t="shared" si="25"/>
        <v>3.0047856844507667E-4</v>
      </c>
      <c r="AD224" s="34">
        <f ca="1">SQRT($B$9*SUM(AC224:OFFSET(AC224,$B$5-1,0))/($B$5-1))</f>
        <v>0.17706845977729468</v>
      </c>
      <c r="AE224" s="34">
        <f ca="1">SQRT($B$9*SUM(AC224:OFFSET(AC224,$B$6-1,0))/($B$6-1))</f>
        <v>0.19571635057889561</v>
      </c>
      <c r="AF224" s="34">
        <f ca="1">SQRT($B$9*SUM(AC224:OFFSET(AC224,$B$7-1,0))/($B$7-1))</f>
        <v>0.20724819198652544</v>
      </c>
      <c r="AG224" s="34" t="e">
        <f ca="1">SQRT($B$9*SUM(AC224:OFFSET(AC224,$B$8-1,0))/($B$8-1))</f>
        <v>#DIV/0!</v>
      </c>
      <c r="AH224" s="1"/>
      <c r="AI224" s="1">
        <f t="shared" si="26"/>
        <v>1.7334317651556887E-2</v>
      </c>
      <c r="AJ224" s="4">
        <f ca="1">SQRT($B$9)*_xlfn.STDEV.S(AI224:OFFSET(AI224,$B$5-1,0))</f>
        <v>0.11364899404368692</v>
      </c>
      <c r="AK224" s="4">
        <f ca="1">SQRT($B$9)*_xlfn.STDEV.S(AI224:OFFSET(AI224,$B$6-1,0))</f>
        <v>0.17061327421856831</v>
      </c>
      <c r="AL224" s="4">
        <f ca="1">SQRT($B$9)*_xlfn.STDEV.S(AI224:OFFSET(AI224,$B$7-1,0))</f>
        <v>0.19999030128882331</v>
      </c>
      <c r="AM224" s="4" t="e">
        <f ca="1">SQRT($B$9)*_xlfn.STDEV.S(AI224:OFFSET(AI224,$B$8-1,0))</f>
        <v>#DIV/0!</v>
      </c>
    </row>
    <row r="225" spans="5:39" x14ac:dyDescent="0.2">
      <c r="E225" s="42">
        <v>45342</v>
      </c>
      <c r="F225" s="43">
        <v>2.3507033632010392</v>
      </c>
      <c r="G225" s="43">
        <v>2.3575624392920802</v>
      </c>
      <c r="H225" s="43">
        <v>2.3389449470449692</v>
      </c>
      <c r="I225" s="43">
        <v>2.3536429672400572</v>
      </c>
      <c r="K225" s="3">
        <f t="shared" si="24"/>
        <v>6.2857468297514277E-5</v>
      </c>
      <c r="L225" s="3">
        <f ca="1">SQRT(AVERAGE(K225:OFFSET(K225,$B$5-1,0))*$B$9/(4*LN(2)))</f>
        <v>0.17925964548403187</v>
      </c>
      <c r="M225" s="3">
        <f ca="1">SQRT(AVERAGE(K225:OFFSET(K225,$B$6-1,0))*$B$9/(4*LN(2)))</f>
        <v>0.20625723857901385</v>
      </c>
      <c r="N225" s="3">
        <f ca="1">SQRT(AVERAGE(K225:OFFSET(K225,$B$7-1,0))*$B$9/(4*LN(2)))</f>
        <v>0.20338148072718726</v>
      </c>
      <c r="O225" s="3" t="e">
        <f ca="1">SQRT(AVERAGE(K225:OFFSET(K225,$B$8-1,0))*$B$9/(4*LN(2)))</f>
        <v>#DIV/0!</v>
      </c>
      <c r="P225" s="1"/>
      <c r="Q225" s="5">
        <f t="shared" si="22"/>
        <v>3.1016655417771125E-5</v>
      </c>
      <c r="R225" s="5">
        <f ca="1">SQRT($B$9*AVERAGE((Q225:OFFSET(Q225,$B$5-1,0))))</f>
        <v>0.15766749369761876</v>
      </c>
      <c r="S225" s="5">
        <f ca="1">SQRT($B$9*AVERAGE((Q225:OFFSET(Q225,$B$6-1,0))))</f>
        <v>0.21291800634119395</v>
      </c>
      <c r="T225" s="5">
        <f ca="1">SQRT($B$9*AVERAGE((Q225:OFFSET(Q225,$B$7-1,0))))</f>
        <v>0.20682782703898472</v>
      </c>
      <c r="U225" s="5" t="e">
        <f ca="1">SQRT($B$9*AVERAGE((Q225:OFFSET(Q225,$B$8-1,0))))</f>
        <v>#DIV/0!</v>
      </c>
      <c r="V225" s="1"/>
      <c r="W225" s="6">
        <f t="shared" si="23"/>
        <v>3.626154737101128E-5</v>
      </c>
      <c r="X225" s="6">
        <f ca="1">SQRT($B$9*AVERAGE(W225:OFFSET(W225,$B$5-1,0)))</f>
        <v>0.14997736573072801</v>
      </c>
      <c r="Y225" s="6">
        <f ca="1">SQRT($B$9*AVERAGE(W225:OFFSET(W225,$B$6-1,0)))</f>
        <v>0.21792565380144313</v>
      </c>
      <c r="Z225" s="6">
        <f ca="1">SQRT($B$9*AVERAGE(W225:OFFSET(W225,$B$7-1,0)))</f>
        <v>0.20775797294805107</v>
      </c>
      <c r="AA225" s="6" t="e">
        <f ca="1">SQRT($B$9*AVERAGE(W225:OFFSET(W225,$B$8-1,0)))</f>
        <v>#DIV/0!</v>
      </c>
      <c r="AB225" s="1"/>
      <c r="AC225" s="34">
        <f t="shared" si="25"/>
        <v>1.7324999065517539E-7</v>
      </c>
      <c r="AD225" s="34">
        <f ca="1">SQRT($B$9*SUM(AC225:OFFSET(AC225,$B$5-1,0))/($B$5-1))</f>
        <v>0.23811264551316966</v>
      </c>
      <c r="AE225" s="34">
        <f ca="1">SQRT($B$9*SUM(AC225:OFFSET(AC225,$B$6-1,0))/($B$6-1))</f>
        <v>0.19146177028016781</v>
      </c>
      <c r="AF225" s="34">
        <f ca="1">SQRT($B$9*SUM(AC225:OFFSET(AC225,$B$7-1,0))/($B$7-1))</f>
        <v>0.1985825900713705</v>
      </c>
      <c r="AG225" s="34" t="e">
        <f ca="1">SQRT($B$9*SUM(AC225:OFFSET(AC225,$B$8-1,0))/($B$8-1))</f>
        <v>#DIV/0!</v>
      </c>
      <c r="AH225" s="1"/>
      <c r="AI225" s="1">
        <f t="shared" si="26"/>
        <v>-4.1623309653987799E-4</v>
      </c>
      <c r="AJ225" s="4">
        <f ca="1">SQRT($B$9)*_xlfn.STDEV.S(AI225:OFFSET(AI225,$B$5-1,0))</f>
        <v>0.16808826905892885</v>
      </c>
      <c r="AK225" s="4">
        <f ca="1">SQRT($B$9)*_xlfn.STDEV.S(AI225:OFFSET(AI225,$B$6-1,0))</f>
        <v>0.18685724510128901</v>
      </c>
      <c r="AL225" s="4">
        <f ca="1">SQRT($B$9)*_xlfn.STDEV.S(AI225:OFFSET(AI225,$B$7-1,0))</f>
        <v>0.1934915368741271</v>
      </c>
      <c r="AM225" s="4" t="e">
        <f ca="1">SQRT($B$9)*_xlfn.STDEV.S(AI225:OFFSET(AI225,$B$8-1,0))</f>
        <v>#DIV/0!</v>
      </c>
    </row>
    <row r="226" spans="5:39" x14ac:dyDescent="0.2">
      <c r="E226" s="42">
        <v>45341</v>
      </c>
      <c r="F226" s="43">
        <v>2.3497234951880337</v>
      </c>
      <c r="G226" s="43">
        <v>2.3556027032660682</v>
      </c>
      <c r="H226" s="43">
        <v>2.3340456069799398</v>
      </c>
      <c r="I226" s="43">
        <v>2.3546228352530627</v>
      </c>
      <c r="K226" s="3">
        <f t="shared" si="24"/>
        <v>8.4521283270763806E-5</v>
      </c>
      <c r="L226" s="3">
        <f ca="1">SQRT(AVERAGE(K226:OFFSET(K226,$B$5-1,0))*$B$9/(4*LN(2)))</f>
        <v>0.21766067364816591</v>
      </c>
      <c r="M226" s="3">
        <f ca="1">SQRT(AVERAGE(K226:OFFSET(K226,$B$6-1,0))*$B$9/(4*LN(2)))</f>
        <v>0.20714123926137515</v>
      </c>
      <c r="N226" s="3">
        <f ca="1">SQRT(AVERAGE(K226:OFFSET(K226,$B$7-1,0))*$B$9/(4*LN(2)))</f>
        <v>0.20497501371673102</v>
      </c>
      <c r="O226" s="3" t="e">
        <f ca="1">SQRT(AVERAGE(K226:OFFSET(K226,$B$8-1,0))*$B$9/(4*LN(2)))</f>
        <v>#DIV/0!</v>
      </c>
      <c r="P226" s="1"/>
      <c r="Q226" s="5">
        <f t="shared" si="22"/>
        <v>4.1059061809286572E-5</v>
      </c>
      <c r="R226" s="5">
        <f ca="1">SQRT($B$9*AVERAGE((Q226:OFFSET(Q226,$B$5-1,0))))</f>
        <v>0.20309326731796093</v>
      </c>
      <c r="S226" s="5">
        <f ca="1">SQRT($B$9*AVERAGE((Q226:OFFSET(Q226,$B$6-1,0))))</f>
        <v>0.21388540920565557</v>
      </c>
      <c r="T226" s="5">
        <f ca="1">SQRT($B$9*AVERAGE((Q226:OFFSET(Q226,$B$7-1,0))))</f>
        <v>0.2088545662199075</v>
      </c>
      <c r="U226" s="5" t="e">
        <f ca="1">SQRT($B$9*AVERAGE((Q226:OFFSET(Q226,$B$8-1,0))))</f>
        <v>#DIV/0!</v>
      </c>
      <c r="V226" s="1"/>
      <c r="W226" s="6">
        <f t="shared" si="23"/>
        <v>5.9801347939226163E-5</v>
      </c>
      <c r="X226" s="6">
        <f ca="1">SQRT($B$9*AVERAGE(W226:OFFSET(W226,$B$5-1,0)))</f>
        <v>0.19330670376254439</v>
      </c>
      <c r="Y226" s="6">
        <f ca="1">SQRT($B$9*AVERAGE(W226:OFFSET(W226,$B$6-1,0)))</f>
        <v>0.2189909729286158</v>
      </c>
      <c r="Z226" s="6">
        <f ca="1">SQRT($B$9*AVERAGE(W226:OFFSET(W226,$B$7-1,0)))</f>
        <v>0.21045077104482127</v>
      </c>
      <c r="AA226" s="6" t="e">
        <f ca="1">SQRT($B$9*AVERAGE(W226:OFFSET(W226,$B$8-1,0)))</f>
        <v>#DIV/0!</v>
      </c>
      <c r="AB226" s="1"/>
      <c r="AC226" s="34">
        <f t="shared" si="25"/>
        <v>5.6532840870227879E-5</v>
      </c>
      <c r="AD226" s="34">
        <f ca="1">SQRT($B$9*SUM(AC226:OFFSET(AC226,$B$5-1,0))/($B$5-1))</f>
        <v>0.24877702402933888</v>
      </c>
      <c r="AE226" s="34">
        <f ca="1">SQRT($B$9*SUM(AC226:OFFSET(AC226,$B$6-1,0))/($B$6-1))</f>
        <v>0.19227440714792962</v>
      </c>
      <c r="AF226" s="34">
        <f ca="1">SQRT($B$9*SUM(AC226:OFFSET(AC226,$B$7-1,0))/($B$7-1))</f>
        <v>0.19857696509519068</v>
      </c>
      <c r="AG226" s="34" t="e">
        <f ca="1">SQRT($B$9*SUM(AC226:OFFSET(AC226,$B$8-1,0))/($B$8-1))</f>
        <v>#DIV/0!</v>
      </c>
      <c r="AH226" s="1"/>
      <c r="AI226" s="1">
        <f t="shared" si="26"/>
        <v>7.518832414027319E-3</v>
      </c>
      <c r="AJ226" s="4">
        <f ca="1">SQRT($B$9)*_xlfn.STDEV.S(AI226:OFFSET(AI226,$B$5-1,0))</f>
        <v>0.14469622889777073</v>
      </c>
      <c r="AK226" s="4">
        <f ca="1">SQRT($B$9)*_xlfn.STDEV.S(AI226:OFFSET(AI226,$B$6-1,0))</f>
        <v>0.18872041382784674</v>
      </c>
      <c r="AL226" s="4">
        <f ca="1">SQRT($B$9)*_xlfn.STDEV.S(AI226:OFFSET(AI226,$B$7-1,0))</f>
        <v>0.19340828648414587</v>
      </c>
      <c r="AM226" s="4" t="e">
        <f ca="1">SQRT($B$9)*_xlfn.STDEV.S(AI226:OFFSET(AI226,$B$8-1,0))</f>
        <v>#DIV/0!</v>
      </c>
    </row>
    <row r="227" spans="5:39" x14ac:dyDescent="0.2">
      <c r="E227" s="42">
        <v>45330</v>
      </c>
      <c r="F227" s="43">
        <v>2.3409046830709808</v>
      </c>
      <c r="G227" s="43">
        <v>2.3467838911490158</v>
      </c>
      <c r="H227" s="43">
        <v>2.3183677187718463</v>
      </c>
      <c r="I227" s="43">
        <v>2.3369852110189573</v>
      </c>
      <c r="K227" s="3">
        <f t="shared" si="24"/>
        <v>1.4841246094854499E-4</v>
      </c>
      <c r="L227" s="3">
        <f ca="1">SQRT(AVERAGE(K227:OFFSET(K227,$B$5-1,0))*$B$9/(4*LN(2)))</f>
        <v>0.26752695990568903</v>
      </c>
      <c r="M227" s="3">
        <f ca="1">SQRT(AVERAGE(K227:OFFSET(K227,$B$6-1,0))*$B$9/(4*LN(2)))</f>
        <v>0.2081624199282659</v>
      </c>
      <c r="N227" s="3">
        <f ca="1">SQRT(AVERAGE(K227:OFFSET(K227,$B$7-1,0))*$B$9/(4*LN(2)))</f>
        <v>0.20516509984863868</v>
      </c>
      <c r="O227" s="3" t="e">
        <f ca="1">SQRT(AVERAGE(K227:OFFSET(K227,$B$8-1,0))*$B$9/(4*LN(2)))</f>
        <v>#DIV/0!</v>
      </c>
      <c r="P227" s="1"/>
      <c r="Q227" s="5">
        <f t="shared" si="22"/>
        <v>7.3612993424894145E-5</v>
      </c>
      <c r="R227" s="5">
        <f ca="1">SQRT($B$9*AVERAGE((Q227:OFFSET(Q227,$B$5-1,0))))</f>
        <v>0.27231178818641916</v>
      </c>
      <c r="S227" s="5">
        <f ca="1">SQRT($B$9*AVERAGE((Q227:OFFSET(Q227,$B$6-1,0))))</f>
        <v>0.21492875294706229</v>
      </c>
      <c r="T227" s="5">
        <f ca="1">SQRT($B$9*AVERAGE((Q227:OFFSET(Q227,$B$7-1,0))))</f>
        <v>0.20912358431364941</v>
      </c>
      <c r="U227" s="5" t="e">
        <f ca="1">SQRT($B$9*AVERAGE((Q227:OFFSET(Q227,$B$8-1,0))))</f>
        <v>#DIV/0!</v>
      </c>
      <c r="V227" s="1"/>
      <c r="W227" s="6">
        <f t="shared" si="23"/>
        <v>8.7872200986187479E-5</v>
      </c>
      <c r="X227" s="6">
        <f ca="1">SQRT($B$9*AVERAGE(W227:OFFSET(W227,$B$5-1,0)))</f>
        <v>0.27709003453042524</v>
      </c>
      <c r="Y227" s="6">
        <f ca="1">SQRT($B$9*AVERAGE(W227:OFFSET(W227,$B$6-1,0)))</f>
        <v>0.21884788695353119</v>
      </c>
      <c r="Z227" s="6">
        <f ca="1">SQRT($B$9*AVERAGE(W227:OFFSET(W227,$B$7-1,0)))</f>
        <v>0.21048925784716199</v>
      </c>
      <c r="AA227" s="6" t="e">
        <f ca="1">SQRT($B$9*AVERAGE(W227:OFFSET(W227,$B$8-1,0)))</f>
        <v>#DIV/0!</v>
      </c>
      <c r="AB227" s="1"/>
      <c r="AC227" s="34">
        <f t="shared" si="25"/>
        <v>4.4042758177734133E-6</v>
      </c>
      <c r="AD227" s="34">
        <f ca="1">SQRT($B$9*SUM(AC227:OFFSET(AC227,$B$5-1,0))/($B$5-1))</f>
        <v>0.24716177356052754</v>
      </c>
      <c r="AE227" s="34">
        <f ca="1">SQRT($B$9*SUM(AC227:OFFSET(AC227,$B$6-1,0))/($B$6-1))</f>
        <v>0.18834786633742828</v>
      </c>
      <c r="AF227" s="34">
        <f ca="1">SQRT($B$9*SUM(AC227:OFFSET(AC227,$B$7-1,0))/($B$7-1))</f>
        <v>0.19678995778783862</v>
      </c>
      <c r="AG227" s="34" t="e">
        <f ca="1">SQRT($B$9*SUM(AC227:OFFSET(AC227,$B$8-1,0))/($B$8-1))</f>
        <v>#DIV/0!</v>
      </c>
      <c r="AH227" s="1"/>
      <c r="AI227" s="1">
        <f t="shared" si="26"/>
        <v>2.0986366569212054E-3</v>
      </c>
      <c r="AJ227" s="4">
        <f ca="1">SQRT($B$9)*_xlfn.STDEV.S(AI227:OFFSET(AI227,$B$5-1,0))</f>
        <v>0.19412847140538556</v>
      </c>
      <c r="AK227" s="4">
        <f ca="1">SQRT($B$9)*_xlfn.STDEV.S(AI227:OFFSET(AI227,$B$6-1,0))</f>
        <v>0.18647436235504256</v>
      </c>
      <c r="AL227" s="4">
        <f ca="1">SQRT($B$9)*_xlfn.STDEV.S(AI227:OFFSET(AI227,$B$7-1,0))</f>
        <v>0.19310296721431019</v>
      </c>
      <c r="AM227" s="4" t="e">
        <f ca="1">SQRT($B$9)*_xlfn.STDEV.S(AI227:OFFSET(AI227,$B$8-1,0))</f>
        <v>#DIV/0!</v>
      </c>
    </row>
    <row r="228" spans="5:39" x14ac:dyDescent="0.2">
      <c r="E228" s="42">
        <v>45329</v>
      </c>
      <c r="F228" s="43">
        <v>2.3075891706287819</v>
      </c>
      <c r="G228" s="43">
        <v>2.3330657389669338</v>
      </c>
      <c r="H228" s="43">
        <v>2.2909314144076824</v>
      </c>
      <c r="I228" s="43">
        <v>2.3320858709539278</v>
      </c>
      <c r="K228" s="3">
        <f t="shared" si="24"/>
        <v>3.3213985246659375E-4</v>
      </c>
      <c r="L228" s="3">
        <f ca="1">SQRT(AVERAGE(K228:OFFSET(K228,$B$5-1,0))*$B$9/(4*LN(2)))</f>
        <v>0.26907594602910029</v>
      </c>
      <c r="M228" s="3">
        <f ca="1">SQRT(AVERAGE(K228:OFFSET(K228,$B$6-1,0))*$B$9/(4*LN(2)))</f>
        <v>0.21936698511828004</v>
      </c>
      <c r="N228" s="3">
        <f ca="1">SQRT(AVERAGE(K228:OFFSET(K228,$B$7-1,0))*$B$9/(4*LN(2)))</f>
        <v>0.20497461444924236</v>
      </c>
      <c r="O228" s="3" t="e">
        <f ca="1">SQRT(AVERAGE(K228:OFFSET(K228,$B$8-1,0))*$B$9/(4*LN(2)))</f>
        <v>#DIV/0!</v>
      </c>
      <c r="P228" s="1"/>
      <c r="Q228" s="5">
        <f t="shared" si="22"/>
        <v>1.2324352371672614E-4</v>
      </c>
      <c r="R228" s="5">
        <f ca="1">SQRT($B$9*AVERAGE((Q228:OFFSET(Q228,$B$5-1,0))))</f>
        <v>0.27450288869032902</v>
      </c>
      <c r="S228" s="5">
        <f ca="1">SQRT($B$9*AVERAGE((Q228:OFFSET(Q228,$B$6-1,0))))</f>
        <v>0.21962166765553992</v>
      </c>
      <c r="T228" s="5">
        <f ca="1">SQRT($B$9*AVERAGE((Q228:OFFSET(Q228,$B$7-1,0))))</f>
        <v>0.208808173568132</v>
      </c>
      <c r="U228" s="5" t="e">
        <f ca="1">SQRT($B$9*AVERAGE((Q228:OFFSET(Q228,$B$8-1,0))))</f>
        <v>#DIV/0!</v>
      </c>
      <c r="V228" s="1"/>
      <c r="W228" s="6">
        <f t="shared" si="23"/>
        <v>1.3360450073295386E-4</v>
      </c>
      <c r="X228" s="6">
        <f ca="1">SQRT($B$9*AVERAGE(W228:OFFSET(W228,$B$5-1,0)))</f>
        <v>0.27954868448263276</v>
      </c>
      <c r="Y228" s="6">
        <f ca="1">SQRT($B$9*AVERAGE(W228:OFFSET(W228,$B$6-1,0)))</f>
        <v>0.21974488694605593</v>
      </c>
      <c r="Z228" s="6">
        <f ca="1">SQRT($B$9*AVERAGE(W228:OFFSET(W228,$B$7-1,0)))</f>
        <v>0.20977513051411067</v>
      </c>
      <c r="AA228" s="6" t="e">
        <f ca="1">SQRT($B$9*AVERAGE(W228:OFFSET(W228,$B$8-1,0)))</f>
        <v>#DIV/0!</v>
      </c>
      <c r="AB228" s="1"/>
      <c r="AC228" s="34">
        <f t="shared" si="25"/>
        <v>1.503006885155064E-4</v>
      </c>
      <c r="AD228" s="34">
        <f ca="1">SQRT($B$9*SUM(AC228:OFFSET(AC228,$B$5-1,0))/($B$5-1))</f>
        <v>0.24853031019256022</v>
      </c>
      <c r="AE228" s="34">
        <f ca="1">SQRT($B$9*SUM(AC228:OFFSET(AC228,$B$6-1,0))/($B$6-1))</f>
        <v>0.22140513711671631</v>
      </c>
      <c r="AF228" s="34">
        <f ca="1">SQRT($B$9*SUM(AC228:OFFSET(AC228,$B$7-1,0))/($B$7-1))</f>
        <v>0.19680426461118003</v>
      </c>
      <c r="AG228" s="34" t="e">
        <f ca="1">SQRT($B$9*SUM(AC228:OFFSET(AC228,$B$8-1,0))/($B$8-1))</f>
        <v>#DIV/0!</v>
      </c>
      <c r="AH228" s="1"/>
      <c r="AI228" s="1">
        <f t="shared" si="26"/>
        <v>1.2259718125450781E-2</v>
      </c>
      <c r="AJ228" s="4">
        <f ca="1">SQRT($B$9)*_xlfn.STDEV.S(AI228:OFFSET(AI228,$B$5-1,0))</f>
        <v>0.21066314427446672</v>
      </c>
      <c r="AK228" s="4">
        <f ca="1">SQRT($B$9)*_xlfn.STDEV.S(AI228:OFFSET(AI228,$B$6-1,0))</f>
        <v>0.21311923550570702</v>
      </c>
      <c r="AL228" s="4">
        <f ca="1">SQRT($B$9)*_xlfn.STDEV.S(AI228:OFFSET(AI228,$B$7-1,0))</f>
        <v>0.19310151511590826</v>
      </c>
      <c r="AM228" s="4" t="e">
        <f ca="1">SQRT($B$9)*_xlfn.STDEV.S(AI228:OFFSET(AI228,$B$8-1,0))</f>
        <v>#DIV/0!</v>
      </c>
    </row>
    <row r="229" spans="5:39" x14ac:dyDescent="0.2">
      <c r="E229" s="42">
        <v>45328</v>
      </c>
      <c r="F229" s="43">
        <v>2.2350789376663487</v>
      </c>
      <c r="G229" s="43">
        <v>2.3115086426808054</v>
      </c>
      <c r="H229" s="43">
        <v>2.2331192016403367</v>
      </c>
      <c r="I229" s="43">
        <v>2.3036696985767584</v>
      </c>
      <c r="K229" s="3">
        <f t="shared" si="24"/>
        <v>1.1903224622802132E-3</v>
      </c>
      <c r="L229" s="3">
        <f ca="1">SQRT(AVERAGE(K229:OFFSET(K229,$B$5-1,0))*$B$9/(4*LN(2)))</f>
        <v>0.26494167533014051</v>
      </c>
      <c r="M229" s="3">
        <f ca="1">SQRT(AVERAGE(K229:OFFSET(K229,$B$6-1,0))*$B$9/(4*LN(2)))</f>
        <v>0.22484617371789675</v>
      </c>
      <c r="N229" s="3">
        <f ca="1">SQRT(AVERAGE(K229:OFFSET(K229,$B$7-1,0))*$B$9/(4*LN(2)))</f>
        <v>0.20289651703895872</v>
      </c>
      <c r="O229" s="3" t="e">
        <f ca="1">SQRT(AVERAGE(K229:OFFSET(K229,$B$8-1,0))*$B$9/(4*LN(2)))</f>
        <v>#DIV/0!</v>
      </c>
      <c r="P229" s="1"/>
      <c r="Q229" s="5">
        <f t="shared" si="22"/>
        <v>2.3839508336374356E-4</v>
      </c>
      <c r="R229" s="5">
        <f ca="1">SQRT($B$9*AVERAGE((Q229:OFFSET(Q229,$B$5-1,0))))</f>
        <v>0.27253586385585321</v>
      </c>
      <c r="S229" s="5">
        <f ca="1">SQRT($B$9*AVERAGE((Q229:OFFSET(Q229,$B$6-1,0))))</f>
        <v>0.22682483888956245</v>
      </c>
      <c r="T229" s="5">
        <f ca="1">SQRT($B$9*AVERAGE((Q229:OFFSET(Q229,$B$7-1,0))))</f>
        <v>0.20720549270999991</v>
      </c>
      <c r="U229" s="5" t="e">
        <f ca="1">SQRT($B$9*AVERAGE((Q229:OFFSET(Q229,$B$8-1,0))))</f>
        <v>#DIV/0!</v>
      </c>
      <c r="V229" s="1"/>
      <c r="W229" s="6">
        <f t="shared" si="23"/>
        <v>1.4150550973650989E-4</v>
      </c>
      <c r="X229" s="6">
        <f ca="1">SQRT($B$9*AVERAGE(W229:OFFSET(W229,$B$5-1,0)))</f>
        <v>0.2768248913173203</v>
      </c>
      <c r="Y229" s="6">
        <f ca="1">SQRT($B$9*AVERAGE(W229:OFFSET(W229,$B$6-1,0)))</f>
        <v>0.22767979347934567</v>
      </c>
      <c r="Z229" s="6">
        <f ca="1">SQRT($B$9*AVERAGE(W229:OFFSET(W229,$B$7-1,0)))</f>
        <v>0.20839348103149768</v>
      </c>
      <c r="AA229" s="6" t="e">
        <f ca="1">SQRT($B$9*AVERAGE(W229:OFFSET(W229,$B$8-1,0)))</f>
        <v>#DIV/0!</v>
      </c>
      <c r="AB229" s="1"/>
      <c r="AC229" s="34">
        <f t="shared" si="25"/>
        <v>7.1426456853286384E-4</v>
      </c>
      <c r="AD229" s="34">
        <f ca="1">SQRT($B$9*SUM(AC229:OFFSET(AC229,$B$5-1,0))/($B$5-1))</f>
        <v>0.23416396561153294</v>
      </c>
      <c r="AE229" s="34">
        <f ca="1">SQRT($B$9*SUM(AC229:OFFSET(AC229,$B$6-1,0))/($B$6-1))</f>
        <v>0.22829821016902543</v>
      </c>
      <c r="AF229" s="34">
        <f ca="1">SQRT($B$9*SUM(AC229:OFFSET(AC229,$B$7-1,0))/($B$7-1))</f>
        <v>0.19246551669022463</v>
      </c>
      <c r="AG229" s="34" t="e">
        <f ca="1">SQRT($B$9*SUM(AC229:OFFSET(AC229,$B$8-1,0))/($B$8-1))</f>
        <v>#DIV/0!</v>
      </c>
      <c r="AH229" s="1"/>
      <c r="AI229" s="1">
        <f t="shared" si="26"/>
        <v>2.672572858750279E-2</v>
      </c>
      <c r="AJ229" s="4">
        <f ca="1">SQRT($B$9)*_xlfn.STDEV.S(AI229:OFFSET(AI229,$B$5-1,0))</f>
        <v>0.22418138475745258</v>
      </c>
      <c r="AK229" s="4">
        <f ca="1">SQRT($B$9)*_xlfn.STDEV.S(AI229:OFFSET(AI229,$B$6-1,0))</f>
        <v>0.21837004809586161</v>
      </c>
      <c r="AL229" s="4">
        <f ca="1">SQRT($B$9)*_xlfn.STDEV.S(AI229:OFFSET(AI229,$B$7-1,0))</f>
        <v>0.19088396717412334</v>
      </c>
      <c r="AM229" s="4" t="e">
        <f ca="1">SQRT($B$9)*_xlfn.STDEV.S(AI229:OFFSET(AI229,$B$8-1,0))</f>
        <v>#DIV/0!</v>
      </c>
    </row>
    <row r="230" spans="5:39" x14ac:dyDescent="0.2">
      <c r="E230" s="42">
        <v>45327</v>
      </c>
      <c r="F230" s="43">
        <v>2.2076426333021848</v>
      </c>
      <c r="G230" s="43">
        <v>2.2566360339524776</v>
      </c>
      <c r="H230" s="43">
        <v>2.1890251410550738</v>
      </c>
      <c r="I230" s="43">
        <v>2.2429178817703956</v>
      </c>
      <c r="K230" s="3">
        <f t="shared" si="24"/>
        <v>9.2531070561922303E-4</v>
      </c>
      <c r="L230" s="3">
        <f ca="1">SQRT(AVERAGE(K230:OFFSET(K230,$B$5-1,0))*$B$9/(4*LN(2)))</f>
        <v>0.23010883606115537</v>
      </c>
      <c r="M230" s="3">
        <f ca="1">SQRT(AVERAGE(K230:OFFSET(K230,$B$6-1,0))*$B$9/(4*LN(2)))</f>
        <v>0.20626909629173104</v>
      </c>
      <c r="N230" s="3">
        <f ca="1">SQRT(AVERAGE(K230:OFFSET(K230,$B$7-1,0))*$B$9/(4*LN(2)))</f>
        <v>0.19014210610856491</v>
      </c>
      <c r="O230" s="3" t="e">
        <f ca="1">SQRT(AVERAGE(K230:OFFSET(K230,$B$8-1,0))*$B$9/(4*LN(2)))</f>
        <v>#DIV/0!</v>
      </c>
      <c r="P230" s="1"/>
      <c r="Q230" s="5">
        <f t="shared" si="22"/>
        <v>3.6546230156054833E-4</v>
      </c>
      <c r="R230" s="5">
        <f ca="1">SQRT($B$9*AVERAGE((Q230:OFFSET(Q230,$B$5-1,0))))</f>
        <v>0.25653287563142618</v>
      </c>
      <c r="S230" s="5">
        <f ca="1">SQRT($B$9*AVERAGE((Q230:OFFSET(Q230,$B$6-1,0))))</f>
        <v>0.22154352619819934</v>
      </c>
      <c r="T230" s="5">
        <f ca="1">SQRT($B$9*AVERAGE((Q230:OFFSET(Q230,$B$7-1,0))))</f>
        <v>0.20088791759672159</v>
      </c>
      <c r="U230" s="5" t="e">
        <f ca="1">SQRT($B$9*AVERAGE((Q230:OFFSET(Q230,$B$8-1,0))))</f>
        <v>#DIV/0!</v>
      </c>
      <c r="V230" s="1"/>
      <c r="W230" s="6">
        <f t="shared" si="23"/>
        <v>3.398181083508387E-4</v>
      </c>
      <c r="X230" s="6">
        <f ca="1">SQRT($B$9*AVERAGE(W230:OFFSET(W230,$B$5-1,0)))</f>
        <v>0.26923961621211012</v>
      </c>
      <c r="Y230" s="6">
        <f ca="1">SQRT($B$9*AVERAGE(W230:OFFSET(W230,$B$6-1,0)))</f>
        <v>0.22771119404331683</v>
      </c>
      <c r="Z230" s="6">
        <f ca="1">SQRT($B$9*AVERAGE(W230:OFFSET(W230,$B$7-1,0)))</f>
        <v>0.20512774136629433</v>
      </c>
      <c r="AA230" s="6" t="e">
        <f ca="1">SQRT($B$9*AVERAGE(W230:OFFSET(W230,$B$8-1,0)))</f>
        <v>#DIV/0!</v>
      </c>
      <c r="AB230" s="1"/>
      <c r="AC230" s="34">
        <f t="shared" si="25"/>
        <v>8.4946731323126565E-5</v>
      </c>
      <c r="AD230" s="34">
        <f ca="1">SQRT($B$9*SUM(AC230:OFFSET(AC230,$B$5-1,0))/($B$5-1))</f>
        <v>0.16056770962449149</v>
      </c>
      <c r="AE230" s="34">
        <f ca="1">SQRT($B$9*SUM(AC230:OFFSET(AC230,$B$6-1,0))/($B$6-1))</f>
        <v>0.18089829445432143</v>
      </c>
      <c r="AF230" s="34">
        <f ca="1">SQRT($B$9*SUM(AC230:OFFSET(AC230,$B$7-1,0))/($B$7-1))</f>
        <v>0.16686117661048755</v>
      </c>
      <c r="AG230" s="34" t="e">
        <f ca="1">SQRT($B$9*SUM(AC230:OFFSET(AC230,$B$8-1,0))/($B$8-1))</f>
        <v>#DIV/0!</v>
      </c>
      <c r="AH230" s="1"/>
      <c r="AI230" s="1">
        <f t="shared" si="26"/>
        <v>9.2166551049242679E-3</v>
      </c>
      <c r="AJ230" s="4">
        <f ca="1">SQRT($B$9)*_xlfn.STDEV.S(AI230:OFFSET(AI230,$B$5-1,0))</f>
        <v>0.13915261554530836</v>
      </c>
      <c r="AK230" s="4">
        <f ca="1">SQRT($B$9)*_xlfn.STDEV.S(AI230:OFFSET(AI230,$B$6-1,0))</f>
        <v>0.1797548948880747</v>
      </c>
      <c r="AL230" s="4">
        <f ca="1">SQRT($B$9)*_xlfn.STDEV.S(AI230:OFFSET(AI230,$B$7-1,0))</f>
        <v>0.16681633919591363</v>
      </c>
      <c r="AM230" s="4" t="e">
        <f ca="1">SQRT($B$9)*_xlfn.STDEV.S(AI230:OFFSET(AI230,$B$8-1,0))</f>
        <v>#DIV/0!</v>
      </c>
    </row>
    <row r="231" spans="5:39" x14ac:dyDescent="0.2">
      <c r="E231" s="42">
        <v>45324</v>
      </c>
      <c r="F231" s="43">
        <v>2.2380185417053662</v>
      </c>
      <c r="G231" s="43">
        <v>2.2527165619004541</v>
      </c>
      <c r="H231" s="43">
        <v>2.1684479127819509</v>
      </c>
      <c r="I231" s="43">
        <v>2.2223406534972723</v>
      </c>
      <c r="K231" s="3">
        <f t="shared" si="24"/>
        <v>1.4535297093341681E-3</v>
      </c>
      <c r="L231" s="3">
        <f ca="1">SQRT(AVERAGE(K231:OFFSET(K231,$B$5-1,0))*$B$9/(4*LN(2)))</f>
        <v>0.19605819838125391</v>
      </c>
      <c r="M231" s="3">
        <f ca="1">SQRT(AVERAGE(K231:OFFSET(K231,$B$6-1,0))*$B$9/(4*LN(2)))</f>
        <v>0.19847805342656524</v>
      </c>
      <c r="N231" s="3">
        <f ca="1">SQRT(AVERAGE(K231:OFFSET(K231,$B$7-1,0))*$B$9/(4*LN(2)))</f>
        <v>0.18192453990923385</v>
      </c>
      <c r="O231" s="3" t="e">
        <f ca="1">SQRT(AVERAGE(K231:OFFSET(K231,$B$8-1,0))*$B$9/(4*LN(2)))</f>
        <v>#DIV/0!</v>
      </c>
      <c r="Q231" s="5">
        <f t="shared" si="22"/>
        <v>7.1262711804194912E-4</v>
      </c>
      <c r="R231" s="5">
        <f ca="1">SQRT($B$9*AVERAGE((Q231:OFFSET(Q231,$B$5-1,0))))</f>
        <v>0.22415856287962035</v>
      </c>
      <c r="S231" s="5">
        <f ca="1">SQRT($B$9*AVERAGE((Q231:OFFSET(Q231,$B$6-1,0))))</f>
        <v>0.21632684214920711</v>
      </c>
      <c r="T231" s="5">
        <f ca="1">SQRT($B$9*AVERAGE((Q231:OFFSET(Q231,$B$7-1,0))))</f>
        <v>0.19201215310656072</v>
      </c>
      <c r="U231" s="5" t="e">
        <f ca="1">SQRT($B$9*AVERAGE((Q231:OFFSET(Q231,$B$8-1,0))))</f>
        <v>#DIV/0!</v>
      </c>
      <c r="W231" s="6">
        <f t="shared" ref="W231:W294" si="27">LN(G231/I231)*LN(G231/F231)+LN(H231/I231)*LN(H231/F231)</f>
        <v>8.6411574623580139E-4</v>
      </c>
      <c r="X231" s="6">
        <f ca="1">SQRT($B$9*AVERAGE(W231:OFFSET(W231,$B$5-1,0)))</f>
        <v>0.24196406908651416</v>
      </c>
      <c r="Y231" s="6">
        <f ca="1">SQRT($B$9*AVERAGE(W231:OFFSET(W231,$B$6-1,0)))</f>
        <v>0.22395265162796754</v>
      </c>
      <c r="Z231" s="6">
        <f ca="1">SQRT($B$9*AVERAGE(W231:OFFSET(W231,$B$7-1,0)))</f>
        <v>0.19699246147058852</v>
      </c>
      <c r="AA231" s="6" t="e">
        <f ca="1">SQRT($B$9*AVERAGE(W231:OFFSET(W231,$B$8-1,0)))</f>
        <v>#DIV/0!</v>
      </c>
      <c r="AC231" s="34">
        <f t="shared" si="25"/>
        <v>4.3454222497840025E-5</v>
      </c>
      <c r="AD231" s="34">
        <f ca="1">SQRT($B$9*SUM(AC231:OFFSET(AC231,$B$5-1,0))/($B$5-1))</f>
        <v>0.14591521344364097</v>
      </c>
      <c r="AE231" s="34">
        <f ca="1">SQRT($B$9*SUM(AC231:OFFSET(AC231,$B$6-1,0))/($B$6-1))</f>
        <v>0.18093774459602355</v>
      </c>
      <c r="AF231" s="34">
        <f ca="1">SQRT($B$9*SUM(AC231:OFFSET(AC231,$B$7-1,0))/($B$7-1))</f>
        <v>0.16817687398246658</v>
      </c>
      <c r="AG231" s="34" t="e">
        <f ca="1">SQRT($B$9*SUM(AC231:OFFSET(AC231,$B$8-1,0))/($B$8-1))</f>
        <v>#DIV/0!</v>
      </c>
      <c r="AI231" s="1">
        <f t="shared" si="26"/>
        <v>-6.5919816821529489E-3</v>
      </c>
      <c r="AJ231" s="4">
        <f ca="1">SQRT($B$9)*_xlfn.STDEV.S(AI231:OFFSET(AI231,$B$5-1,0))</f>
        <v>7.6409737212165041E-2</v>
      </c>
      <c r="AK231" s="4">
        <f ca="1">SQRT($B$9)*_xlfn.STDEV.S(AI231:OFFSET(AI231,$B$6-1,0))</f>
        <v>0.18065264098956085</v>
      </c>
      <c r="AL231" s="4">
        <f ca="1">SQRT($B$9)*_xlfn.STDEV.S(AI231:OFFSET(AI231,$B$7-1,0))</f>
        <v>0.16772672274705119</v>
      </c>
      <c r="AM231" s="4" t="e">
        <f ca="1">SQRT($B$9)*_xlfn.STDEV.S(AI231:OFFSET(AI231,$B$8-1,0))</f>
        <v>#DIV/0!</v>
      </c>
    </row>
    <row r="232" spans="5:39" x14ac:dyDescent="0.2">
      <c r="E232" s="42">
        <v>45323</v>
      </c>
      <c r="F232" s="43">
        <v>2.2350789376663487</v>
      </c>
      <c r="G232" s="43">
        <v>2.2585957699784895</v>
      </c>
      <c r="H232" s="43">
        <v>2.2272399935623022</v>
      </c>
      <c r="I232" s="43">
        <v>2.2370386736923602</v>
      </c>
      <c r="K232" s="3">
        <f t="shared" si="24"/>
        <v>1.9544407894394721E-4</v>
      </c>
      <c r="L232" s="3">
        <f ca="1">SQRT(AVERAGE(K232:OFFSET(K232,$B$5-1,0))*$B$9/(4*LN(2)))</f>
        <v>0.12285158470448505</v>
      </c>
      <c r="M232" s="3">
        <f ca="1">SQRT(AVERAGE(K232:OFFSET(K232,$B$6-1,0))*$B$9/(4*LN(2)))</f>
        <v>0.17000078429167897</v>
      </c>
      <c r="N232" s="3">
        <f ca="1">SQRT(AVERAGE(K232:OFFSET(K232,$B$7-1,0))*$B$9/(4*LN(2)))</f>
        <v>0.16773154647432958</v>
      </c>
      <c r="O232" s="3" t="e">
        <f ca="1">SQRT(AVERAGE(K232:OFFSET(K232,$B$8-1,0))*$B$9/(4*LN(2)))</f>
        <v>#DIV/0!</v>
      </c>
      <c r="Q232" s="5">
        <f t="shared" si="22"/>
        <v>9.8064542691219804E-5</v>
      </c>
      <c r="R232" s="5">
        <f ca="1">SQRT($B$9*AVERAGE((Q232:OFFSET(Q232,$B$5-1,0))))</f>
        <v>0.13503713452777893</v>
      </c>
      <c r="S232" s="5">
        <f ca="1">SQRT($B$9*AVERAGE((Q232:OFFSET(Q232,$B$6-1,0))))</f>
        <v>0.17782197865317739</v>
      </c>
      <c r="T232" s="5">
        <f ca="1">SQRT($B$9*AVERAGE((Q232:OFFSET(Q232,$B$7-1,0))))</f>
        <v>0.17363221467146678</v>
      </c>
      <c r="U232" s="5" t="e">
        <f ca="1">SQRT($B$9*AVERAGE((Q232:OFFSET(Q232,$B$8-1,0))))</f>
        <v>#DIV/0!</v>
      </c>
      <c r="W232" s="6">
        <f t="shared" si="27"/>
        <v>1.1580240016778536E-4</v>
      </c>
      <c r="X232" s="6">
        <f ca="1">SQRT($B$9*AVERAGE(W232:OFFSET(W232,$B$5-1,0)))</f>
        <v>0.13787642297354133</v>
      </c>
      <c r="Y232" s="6">
        <f ca="1">SQRT($B$9*AVERAGE(W232:OFFSET(W232,$B$6-1,0)))</f>
        <v>0.17614116097387281</v>
      </c>
      <c r="Z232" s="6">
        <f ca="1">SQRT($B$9*AVERAGE(W232:OFFSET(W232,$B$7-1,0)))</f>
        <v>0.1742106337697647</v>
      </c>
      <c r="AA232" s="6" t="e">
        <f ca="1">SQRT($B$9*AVERAGE(W232:OFFSET(W232,$B$8-1,0)))</f>
        <v>#DIV/0!</v>
      </c>
      <c r="AC232" s="34">
        <f t="shared" si="25"/>
        <v>1.5479749692462192E-5</v>
      </c>
      <c r="AD232" s="34">
        <f ca="1">SQRT($B$9*SUM(AC232:OFFSET(AC232,$B$5-1,0))/($B$5-1))</f>
        <v>0.1368562197585606</v>
      </c>
      <c r="AE232" s="34">
        <f ca="1">SQRT($B$9*SUM(AC232:OFFSET(AC232,$B$6-1,0))/($B$6-1))</f>
        <v>0.17858130421425875</v>
      </c>
      <c r="AF232" s="34">
        <f ca="1">SQRT($B$9*SUM(AC232:OFFSET(AC232,$B$7-1,0))/($B$7-1))</f>
        <v>0.16737953595017716</v>
      </c>
      <c r="AG232" s="34" t="e">
        <f ca="1">SQRT($B$9*SUM(AC232:OFFSET(AC232,$B$8-1,0))/($B$8-1))</f>
        <v>#DIV/0!</v>
      </c>
      <c r="AI232" s="1">
        <f t="shared" si="26"/>
        <v>-3.9344313048345616E-3</v>
      </c>
      <c r="AJ232" s="4">
        <f ca="1">SQRT($B$9)*_xlfn.STDEV.S(AI232:OFFSET(AI232,$B$5-1,0))</f>
        <v>9.677749913641695E-2</v>
      </c>
      <c r="AK232" s="4">
        <f ca="1">SQRT($B$9)*_xlfn.STDEV.S(AI232:OFFSET(AI232,$B$6-1,0))</f>
        <v>0.17846234712140374</v>
      </c>
      <c r="AL232" s="4">
        <f ca="1">SQRT($B$9)*_xlfn.STDEV.S(AI232:OFFSET(AI232,$B$7-1,0))</f>
        <v>0.16702882211185016</v>
      </c>
      <c r="AM232" s="4" t="e">
        <f ca="1">SQRT($B$9)*_xlfn.STDEV.S(AI232:OFFSET(AI232,$B$8-1,0))</f>
        <v>#DIV/0!</v>
      </c>
    </row>
    <row r="233" spans="5:39" x14ac:dyDescent="0.2">
      <c r="E233" s="42">
        <v>45322</v>
      </c>
      <c r="F233" s="43">
        <v>2.2517366938874481</v>
      </c>
      <c r="G233" s="43">
        <v>2.2625152420305126</v>
      </c>
      <c r="H233" s="43">
        <v>2.2301795976013192</v>
      </c>
      <c r="I233" s="43">
        <v>2.2458574858094127</v>
      </c>
      <c r="K233" s="3">
        <f t="shared" si="24"/>
        <v>2.0721643117740636E-4</v>
      </c>
      <c r="L233" s="3">
        <f ca="1">SQRT(AVERAGE(K233:OFFSET(K233,$B$5-1,0))*$B$9/(4*LN(2)))</f>
        <v>0.1544081720256803</v>
      </c>
      <c r="M233" s="3">
        <f ca="1">SQRT(AVERAGE(K233:OFFSET(K233,$B$6-1,0))*$B$9/(4*LN(2)))</f>
        <v>0.19760900302467915</v>
      </c>
      <c r="N233" s="3">
        <f ca="1">SQRT(AVERAGE(K233:OFFSET(K233,$B$7-1,0))*$B$9/(4*LN(2)))</f>
        <v>0.16852446019389997</v>
      </c>
      <c r="O233" s="3" t="e">
        <f ca="1">SQRT(AVERAGE(K233:OFFSET(K233,$B$8-1,0))*$B$9/(4*LN(2)))</f>
        <v>#DIV/0!</v>
      </c>
      <c r="Q233" s="5">
        <f t="shared" si="22"/>
        <v>1.0128354796817511E-4</v>
      </c>
      <c r="R233" s="5">
        <f ca="1">SQRT($B$9*AVERAGE((Q233:OFFSET(Q233,$B$5-1,0))))</f>
        <v>0.14531179548909892</v>
      </c>
      <c r="S233" s="5">
        <f ca="1">SQRT($B$9*AVERAGE((Q233:OFFSET(Q233,$B$6-1,0))))</f>
        <v>0.20297332934173962</v>
      </c>
      <c r="T233" s="5">
        <f ca="1">SQRT($B$9*AVERAGE((Q233:OFFSET(Q233,$B$7-1,0))))</f>
        <v>0.1739763321959038</v>
      </c>
      <c r="U233" s="5" t="e">
        <f ca="1">SQRT($B$9*AVERAGE((Q233:OFFSET(Q233,$B$8-1,0))))</f>
        <v>#DIV/0!</v>
      </c>
      <c r="W233" s="6">
        <f t="shared" si="27"/>
        <v>1.0267702026102783E-4</v>
      </c>
      <c r="X233" s="6">
        <f ca="1">SQRT($B$9*AVERAGE(W233:OFFSET(W233,$B$5-1,0)))</f>
        <v>0.13575037267683374</v>
      </c>
      <c r="Y233" s="6">
        <f ca="1">SQRT($B$9*AVERAGE(W233:OFFSET(W233,$B$6-1,0)))</f>
        <v>0.20104933548246359</v>
      </c>
      <c r="Z233" s="6">
        <f ca="1">SQRT($B$9*AVERAGE(W233:OFFSET(W233,$B$7-1,0)))</f>
        <v>0.17476690918605733</v>
      </c>
      <c r="AA233" s="6" t="e">
        <f ca="1">SQRT($B$9*AVERAGE(W233:OFFSET(W233,$B$8-1,0)))</f>
        <v>#DIV/0!</v>
      </c>
      <c r="AC233" s="34">
        <f t="shared" si="25"/>
        <v>3.7083508213612494E-5</v>
      </c>
      <c r="AD233" s="34">
        <f ca="1">SQRT($B$9*SUM(AC233:OFFSET(AC233,$B$5-1,0))/($B$5-1))</f>
        <v>0.22029120065121002</v>
      </c>
      <c r="AE233" s="34">
        <f ca="1">SQRT($B$9*SUM(AC233:OFFSET(AC233,$B$6-1,0))/($B$6-1))</f>
        <v>0.20010846181972497</v>
      </c>
      <c r="AF233" s="34">
        <f ca="1">SQRT($B$9*SUM(AC233:OFFSET(AC233,$B$7-1,0))/($B$7-1))</f>
        <v>0.16908731482286454</v>
      </c>
      <c r="AG233" s="34" t="e">
        <f ca="1">SQRT($B$9*SUM(AC233:OFFSET(AC233,$B$8-1,0))/($B$8-1))</f>
        <v>#DIV/0!</v>
      </c>
      <c r="AI233" s="1">
        <f t="shared" si="26"/>
        <v>-6.0896229943743227E-3</v>
      </c>
      <c r="AJ233" s="4">
        <f ca="1">SQRT($B$9)*_xlfn.STDEV.S(AI233:OFFSET(AI233,$B$5-1,0))</f>
        <v>0.22024362322017951</v>
      </c>
      <c r="AK233" s="4">
        <f ca="1">SQRT($B$9)*_xlfn.STDEV.S(AI233:OFFSET(AI233,$B$6-1,0))</f>
        <v>0.19558891559817715</v>
      </c>
      <c r="AL233" s="4">
        <f ca="1">SQRT($B$9)*_xlfn.STDEV.S(AI233:OFFSET(AI233,$B$7-1,0))</f>
        <v>0.16851564900228294</v>
      </c>
      <c r="AM233" s="4" t="e">
        <f ca="1">SQRT($B$9)*_xlfn.STDEV.S(AI233:OFFSET(AI233,$B$8-1,0))</f>
        <v>#DIV/0!</v>
      </c>
    </row>
    <row r="234" spans="5:39" x14ac:dyDescent="0.2">
      <c r="E234" s="42">
        <v>45321</v>
      </c>
      <c r="F234" s="43">
        <v>2.2830924703036355</v>
      </c>
      <c r="G234" s="43">
        <v>2.2909314144076824</v>
      </c>
      <c r="H234" s="43">
        <v>2.2576159019654831</v>
      </c>
      <c r="I234" s="43">
        <v>2.2595756379914951</v>
      </c>
      <c r="K234" s="3">
        <f t="shared" si="24"/>
        <v>2.1459672310961879E-4</v>
      </c>
      <c r="L234" s="3">
        <f ca="1">SQRT(AVERAGE(K234:OFFSET(K234,$B$5-1,0))*$B$9/(4*LN(2)))</f>
        <v>0.17583376338011886</v>
      </c>
      <c r="M234" s="3">
        <f ca="1">SQRT(AVERAGE(K234:OFFSET(K234,$B$6-1,0))*$B$9/(4*LN(2)))</f>
        <v>0.20183901785654326</v>
      </c>
      <c r="N234" s="3">
        <f ca="1">SQRT(AVERAGE(K234:OFFSET(K234,$B$7-1,0))*$B$9/(4*LN(2)))</f>
        <v>0.1664141269511154</v>
      </c>
      <c r="O234" s="3" t="e">
        <f ca="1">SQRT(AVERAGE(K234:OFFSET(K234,$B$8-1,0))*$B$9/(4*LN(2)))</f>
        <v>#DIV/0!</v>
      </c>
      <c r="Q234" s="5">
        <f t="shared" si="22"/>
        <v>6.5605679120327376E-5</v>
      </c>
      <c r="R234" s="5">
        <f ca="1">SQRT($B$9*AVERAGE((Q234:OFFSET(Q234,$B$5-1,0))))</f>
        <v>0.16918397674394517</v>
      </c>
      <c r="S234" s="5">
        <f ca="1">SQRT($B$9*AVERAGE((Q234:OFFSET(Q234,$B$6-1,0))))</f>
        <v>0.20107620327248046</v>
      </c>
      <c r="T234" s="5">
        <f ca="1">SQRT($B$9*AVERAGE((Q234:OFFSET(Q234,$B$7-1,0))))</f>
        <v>0.17105686972600812</v>
      </c>
      <c r="U234" s="5" t="e">
        <f ca="1">SQRT($B$9*AVERAGE((Q234:OFFSET(Q234,$B$8-1,0))))</f>
        <v>#DIV/0!</v>
      </c>
      <c r="W234" s="6">
        <f t="shared" si="27"/>
        <v>5.697388698545197E-5</v>
      </c>
      <c r="X234" s="6">
        <f ca="1">SQRT($B$9*AVERAGE(W234:OFFSET(W234,$B$5-1,0)))</f>
        <v>0.16445107559620517</v>
      </c>
      <c r="Y234" s="6">
        <f ca="1">SQRT($B$9*AVERAGE(W234:OFFSET(W234,$B$6-1,0)))</f>
        <v>0.19681063999189644</v>
      </c>
      <c r="Z234" s="6">
        <f ca="1">SQRT($B$9*AVERAGE(W234:OFFSET(W234,$B$7-1,0)))</f>
        <v>0.17176342011179138</v>
      </c>
      <c r="AA234" s="6" t="e">
        <f ca="1">SQRT($B$9*AVERAGE(W234:OFFSET(W234,$B$8-1,0)))</f>
        <v>#DIV/0!</v>
      </c>
      <c r="AC234" s="34">
        <f t="shared" si="25"/>
        <v>2.399662270330406E-4</v>
      </c>
      <c r="AD234" s="34">
        <f ca="1">SQRT($B$9*SUM(AC234:OFFSET(AC234,$B$5-1,0))/($B$5-1))</f>
        <v>0.24987477050201959</v>
      </c>
      <c r="AE234" s="34">
        <f ca="1">SQRT($B$9*SUM(AC234:OFFSET(AC234,$B$6-1,0))/($B$6-1))</f>
        <v>0.22884746001472003</v>
      </c>
      <c r="AF234" s="34" t="e">
        <f ca="1">SQRT($B$9*SUM(AC234:OFFSET(AC234,$B$7-1,0))/($B$7-1))</f>
        <v>#DIV/0!</v>
      </c>
      <c r="AG234" s="34" t="e">
        <f ca="1">SQRT($B$9*SUM(AC234:OFFSET(AC234,$B$8-1,0))/($B$8-1))</f>
        <v>#DIV/0!</v>
      </c>
      <c r="AI234" s="1">
        <f t="shared" si="26"/>
        <v>-1.5490843328658405E-2</v>
      </c>
      <c r="AJ234" s="4">
        <f ca="1">SQRT($B$9)*_xlfn.STDEV.S(AI234:OFFSET(AI234,$B$5-1,0))</f>
        <v>0.23878264392824136</v>
      </c>
      <c r="AK234" s="4">
        <f ca="1">SQRT($B$9)*_xlfn.STDEV.S(AI234:OFFSET(AI234,$B$6-1,0))</f>
        <v>0.22830025047597161</v>
      </c>
      <c r="AL234" s="4" t="e">
        <f ca="1">SQRT($B$9)*_xlfn.STDEV.S(AI234:OFFSET(AI234,$B$7-1,0))</f>
        <v>#DIV/0!</v>
      </c>
      <c r="AM234" s="4" t="e">
        <f ca="1">SQRT($B$9)*_xlfn.STDEV.S(AI234:OFFSET(AI234,$B$8-1,0))</f>
        <v>#DIV/0!</v>
      </c>
    </row>
    <row r="235" spans="5:39" x14ac:dyDescent="0.2">
      <c r="E235" s="42">
        <v>45320</v>
      </c>
      <c r="F235" s="43">
        <v>2.3026898305637524</v>
      </c>
      <c r="G235" s="43">
        <v>2.3154281147328284</v>
      </c>
      <c r="H235" s="43">
        <v>2.291911282420688</v>
      </c>
      <c r="I235" s="43">
        <v>2.2948508864597059</v>
      </c>
      <c r="K235" s="3">
        <f t="shared" si="24"/>
        <v>1.0421368872602707E-4</v>
      </c>
      <c r="L235" s="3">
        <f ca="1">SQRT(AVERAGE(K235:OFFSET(K235,$B$5-1,0))*$B$9/(4*LN(2)))</f>
        <v>0.17928693130452963</v>
      </c>
      <c r="M235" s="3">
        <f ca="1">SQRT(AVERAGE(K235:OFFSET(K235,$B$6-1,0))*$B$9/(4*LN(2)))</f>
        <v>0.20046447301037223</v>
      </c>
      <c r="N235" s="3" t="e">
        <f ca="1">SQRT(AVERAGE(K235:OFFSET(K235,$B$7-1,0))*$B$9/(4*LN(2)))</f>
        <v>#DIV/0!</v>
      </c>
      <c r="O235" s="3" t="e">
        <f ca="1">SQRT(AVERAGE(K235:OFFSET(K235,$B$8-1,0))*$B$9/(4*LN(2)))</f>
        <v>#DIV/0!</v>
      </c>
      <c r="Q235" s="5">
        <f t="shared" si="22"/>
        <v>4.7869343040710609E-5</v>
      </c>
      <c r="R235" s="5">
        <f ca="1">SQRT($B$9*AVERAGE((Q235:OFFSET(Q235,$B$5-1,0))))</f>
        <v>0.17987204263291087</v>
      </c>
      <c r="S235" s="5">
        <f ca="1">SQRT($B$9*AVERAGE((Q235:OFFSET(Q235,$B$6-1,0))))</f>
        <v>0.20055279267820642</v>
      </c>
      <c r="T235" s="5" t="e">
        <f ca="1">SQRT($B$9*AVERAGE((Q235:OFFSET(Q235,$B$7-1,0))))</f>
        <v>#DIV/0!</v>
      </c>
      <c r="U235" s="5" t="e">
        <f ca="1">SQRT($B$9*AVERAGE((Q235:OFFSET(Q235,$B$8-1,0))))</f>
        <v>#DIV/0!</v>
      </c>
      <c r="W235" s="6">
        <f t="shared" si="27"/>
        <v>5.5259736735717132E-5</v>
      </c>
      <c r="X235" s="6">
        <f ca="1">SQRT($B$9*AVERAGE(W235:OFFSET(W235,$B$5-1,0)))</f>
        <v>0.17667712032751098</v>
      </c>
      <c r="Y235" s="6">
        <f ca="1">SQRT($B$9*AVERAGE(W235:OFFSET(W235,$B$6-1,0)))</f>
        <v>0.19706638491173423</v>
      </c>
      <c r="Z235" s="6" t="e">
        <f ca="1">SQRT($B$9*AVERAGE(W235:OFFSET(W235,$B$7-1,0)))</f>
        <v>#DIV/0!</v>
      </c>
      <c r="AA235" s="6" t="e">
        <f ca="1">SQRT($B$9*AVERAGE(W235:OFFSET(W235,$B$8-1,0)))</f>
        <v>#DIV/0!</v>
      </c>
      <c r="AC235" s="34">
        <f t="shared" si="25"/>
        <v>1.1628529531261919E-5</v>
      </c>
      <c r="AD235" s="34">
        <f ca="1">SQRT($B$9*SUM(AC235:OFFSET(AC235,$B$5-1,0))/($B$5-1))</f>
        <v>0.21874058775872013</v>
      </c>
      <c r="AE235" s="34">
        <f ca="1">SQRT($B$9*SUM(AC235:OFFSET(AC235,$B$6-1,0))/($B$6-1))</f>
        <v>0.21585678667947203</v>
      </c>
      <c r="AF235" s="34" t="e">
        <f ca="1">SQRT($B$9*SUM(AC235:OFFSET(AC235,$B$7-1,0))/($B$7-1))</f>
        <v>#DIV/0!</v>
      </c>
      <c r="AG235" s="34" t="e">
        <f ca="1">SQRT($B$9*SUM(AC235:OFFSET(AC235,$B$8-1,0))/($B$8-1))</f>
        <v>#DIV/0!</v>
      </c>
      <c r="AI235" s="1">
        <f t="shared" si="26"/>
        <v>-3.4100629805418432E-3</v>
      </c>
      <c r="AJ235" s="4">
        <f ca="1">SQRT($B$9)*_xlfn.STDEV.S(AI235:OFFSET(AI235,$B$5-1,0))</f>
        <v>0.18075084370049865</v>
      </c>
      <c r="AK235" s="4">
        <f ca="1">SQRT($B$9)*_xlfn.STDEV.S(AI235:OFFSET(AI235,$B$6-1,0))</f>
        <v>0.20997027713602653</v>
      </c>
      <c r="AL235" s="4" t="e">
        <f ca="1">SQRT($B$9)*_xlfn.STDEV.S(AI235:OFFSET(AI235,$B$7-1,0))</f>
        <v>#DIV/0!</v>
      </c>
      <c r="AM235" s="4" t="e">
        <f ca="1">SQRT($B$9)*_xlfn.STDEV.S(AI235:OFFSET(AI235,$B$8-1,0))</f>
        <v>#DIV/0!</v>
      </c>
    </row>
    <row r="236" spans="5:39" x14ac:dyDescent="0.2">
      <c r="E236" s="42">
        <v>45317</v>
      </c>
      <c r="F236" s="43">
        <v>2.292891150433694</v>
      </c>
      <c r="G236" s="43">
        <v>2.3115086426808054</v>
      </c>
      <c r="H236" s="43">
        <v>2.285052206329647</v>
      </c>
      <c r="I236" s="43">
        <v>2.3026898305637524</v>
      </c>
      <c r="K236" s="3">
        <f t="shared" si="24"/>
        <v>1.3251536754329841E-4</v>
      </c>
      <c r="L236" s="3">
        <f ca="1">SQRT(AVERAGE(K236:OFFSET(K236,$B$5-1,0))*$B$9/(4*LN(2)))</f>
        <v>0.20086875872443144</v>
      </c>
      <c r="M236" s="3">
        <f ca="1">SQRT(AVERAGE(K236:OFFSET(K236,$B$6-1,0))*$B$9/(4*LN(2)))</f>
        <v>0.20278564913131761</v>
      </c>
      <c r="N236" s="3" t="e">
        <f ca="1">SQRT(AVERAGE(K236:OFFSET(K236,$B$7-1,0))*$B$9/(4*LN(2)))</f>
        <v>#DIV/0!</v>
      </c>
      <c r="O236" s="3" t="e">
        <f ca="1">SQRT(AVERAGE(K236:OFFSET(K236,$B$8-1,0))*$B$9/(4*LN(2)))</f>
        <v>#DIV/0!</v>
      </c>
      <c r="Q236" s="5">
        <f t="shared" si="22"/>
        <v>5.9320309658617373E-5</v>
      </c>
      <c r="R236" s="5">
        <f ca="1">SQRT($B$9*AVERAGE((Q236:OFFSET(Q236,$B$5-1,0))))</f>
        <v>0.2082007299608703</v>
      </c>
      <c r="S236" s="5">
        <f ca="1">SQRT($B$9*AVERAGE((Q236:OFFSET(Q236,$B$6-1,0))))</f>
        <v>0.20369951249509829</v>
      </c>
      <c r="T236" s="5" t="e">
        <f ca="1">SQRT($B$9*AVERAGE((Q236:OFFSET(Q236,$B$7-1,0))))</f>
        <v>#DIV/0!</v>
      </c>
      <c r="U236" s="5" t="e">
        <f ca="1">SQRT($B$9*AVERAGE((Q236:OFFSET(Q236,$B$8-1,0))))</f>
        <v>#DIV/0!</v>
      </c>
      <c r="W236" s="6">
        <f t="shared" si="27"/>
        <v>5.7244262216933472E-5</v>
      </c>
      <c r="X236" s="6">
        <f ca="1">SQRT($B$9*AVERAGE(W236:OFFSET(W236,$B$5-1,0)))</f>
        <v>0.20435990216647729</v>
      </c>
      <c r="Y236" s="6">
        <f ca="1">SQRT($B$9*AVERAGE(W236:OFFSET(W236,$B$6-1,0)))</f>
        <v>0.20154902094155114</v>
      </c>
      <c r="Z236" s="6" t="e">
        <f ca="1">SQRT($B$9*AVERAGE(W236:OFFSET(W236,$B$7-1,0)))</f>
        <v>#DIV/0!</v>
      </c>
      <c r="AA236" s="6" t="e">
        <f ca="1">SQRT($B$9*AVERAGE(W236:OFFSET(W236,$B$8-1,0)))</f>
        <v>#DIV/0!</v>
      </c>
      <c r="AC236" s="34">
        <f t="shared" si="25"/>
        <v>1.631779596617737E-6</v>
      </c>
      <c r="AD236" s="34">
        <f ca="1">SQRT($B$9*SUM(AC236:OFFSET(AC236,$B$5-1,0))/($B$5-1))</f>
        <v>0.22884558588612183</v>
      </c>
      <c r="AE236" s="34">
        <f ca="1">SQRT($B$9*SUM(AC236:OFFSET(AC236,$B$6-1,0))/($B$6-1))</f>
        <v>0.21512228601558095</v>
      </c>
      <c r="AF236" s="34" t="e">
        <f ca="1">SQRT($B$9*SUM(AC236:OFFSET(AC236,$B$7-1,0))/($B$7-1))</f>
        <v>#DIV/0!</v>
      </c>
      <c r="AG236" s="34" t="e">
        <f ca="1">SQRT($B$9*SUM(AC236:OFFSET(AC236,$B$8-1,0))/($B$8-1))</f>
        <v>#DIV/0!</v>
      </c>
      <c r="AI236" s="1">
        <f t="shared" si="26"/>
        <v>1.2774112871811244E-3</v>
      </c>
      <c r="AJ236" s="4">
        <f ca="1">SQRT($B$9)*_xlfn.STDEV.S(AI236:OFFSET(AI236,$B$5-1,0))</f>
        <v>0.20447119924360138</v>
      </c>
      <c r="AK236" s="4">
        <f ca="1">SQRT($B$9)*_xlfn.STDEV.S(AI236:OFFSET(AI236,$B$6-1,0))</f>
        <v>0.20778818448429737</v>
      </c>
      <c r="AL236" s="4" t="e">
        <f ca="1">SQRT($B$9)*_xlfn.STDEV.S(AI236:OFFSET(AI236,$B$7-1,0))</f>
        <v>#DIV/0!</v>
      </c>
      <c r="AM236" s="4" t="e">
        <f ca="1">SQRT($B$9)*_xlfn.STDEV.S(AI236:OFFSET(AI236,$B$8-1,0))</f>
        <v>#DIV/0!</v>
      </c>
    </row>
    <row r="237" spans="5:39" x14ac:dyDescent="0.2">
      <c r="E237" s="42">
        <v>45316</v>
      </c>
      <c r="F237" s="43">
        <v>2.2497769578614362</v>
      </c>
      <c r="G237" s="43">
        <v>2.3046495665897639</v>
      </c>
      <c r="H237" s="43">
        <v>2.2448776177964072</v>
      </c>
      <c r="I237" s="43">
        <v>2.2997502265247349</v>
      </c>
      <c r="K237" s="3">
        <f t="shared" si="24"/>
        <v>6.9051365789074754E-4</v>
      </c>
      <c r="L237" s="3">
        <f ca="1">SQRT(AVERAGE(K237:OFFSET(K237,$B$5-1,0))*$B$9/(4*LN(2)))</f>
        <v>0.20665919155742543</v>
      </c>
      <c r="M237" s="3">
        <f ca="1">SQRT(AVERAGE(K237:OFFSET(K237,$B$6-1,0))*$B$9/(4*LN(2)))</f>
        <v>0.20212333690450504</v>
      </c>
      <c r="N237" s="3" t="e">
        <f ca="1">SQRT(AVERAGE(K237:OFFSET(K237,$B$7-1,0))*$B$9/(4*LN(2)))</f>
        <v>#DIV/0!</v>
      </c>
      <c r="O237" s="3" t="e">
        <f ca="1">SQRT(AVERAGE(K237:OFFSET(K237,$B$8-1,0))*$B$9/(4*LN(2)))</f>
        <v>#DIV/0!</v>
      </c>
      <c r="Q237" s="5">
        <f t="shared" si="22"/>
        <v>1.5685005711555132E-4</v>
      </c>
      <c r="R237" s="5">
        <f ca="1">SQRT($B$9*AVERAGE((Q237:OFFSET(Q237,$B$5-1,0))))</f>
        <v>0.21214684650682103</v>
      </c>
      <c r="S237" s="5">
        <f ca="1">SQRT($B$9*AVERAGE((Q237:OFFSET(Q237,$B$6-1,0))))</f>
        <v>0.20315259828266213</v>
      </c>
      <c r="T237" s="5" t="e">
        <f ca="1">SQRT($B$9*AVERAGE((Q237:OFFSET(Q237,$B$7-1,0))))</f>
        <v>#DIV/0!</v>
      </c>
      <c r="U237" s="5" t="e">
        <f ca="1">SQRT($B$9*AVERAGE((Q237:OFFSET(Q237,$B$8-1,0))))</f>
        <v>#DIV/0!</v>
      </c>
      <c r="W237" s="6">
        <f t="shared" si="27"/>
        <v>1.0393006690085428E-4</v>
      </c>
      <c r="X237" s="6">
        <f ca="1">SQRT($B$9*AVERAGE(W237:OFFSET(W237,$B$5-1,0)))</f>
        <v>0.20746447687849764</v>
      </c>
      <c r="Y237" s="6">
        <f ca="1">SQRT($B$9*AVERAGE(W237:OFFSET(W237,$B$6-1,0)))</f>
        <v>0.20178468156446494</v>
      </c>
      <c r="Z237" s="6" t="e">
        <f ca="1">SQRT($B$9*AVERAGE(W237:OFFSET(W237,$B$7-1,0)))</f>
        <v>#DIV/0!</v>
      </c>
      <c r="AA237" s="6" t="e">
        <f ca="1">SQRT($B$9*AVERAGE(W237:OFFSET(W237,$B$8-1,0)))</f>
        <v>#DIV/0!</v>
      </c>
      <c r="AC237" s="34">
        <f t="shared" si="25"/>
        <v>5.0198731210467833E-4</v>
      </c>
      <c r="AD237" s="34">
        <f ca="1">SQRT($B$9*SUM(AC237:OFFSET(AC237,$B$5-1,0))/($B$5-1))</f>
        <v>0.23027322922312143</v>
      </c>
      <c r="AE237" s="34">
        <f ca="1">SQRT($B$9*SUM(AC237:OFFSET(AC237,$B$6-1,0))/($B$6-1))</f>
        <v>0.21512921012779762</v>
      </c>
      <c r="AF237" s="34" t="e">
        <f ca="1">SQRT($B$9*SUM(AC237:OFFSET(AC237,$B$7-1,0))/($B$7-1))</f>
        <v>#DIV/0!</v>
      </c>
      <c r="AG237" s="34" t="e">
        <f ca="1">SQRT($B$9*SUM(AC237:OFFSET(AC237,$B$8-1,0))/($B$8-1))</f>
        <v>#DIV/0!</v>
      </c>
      <c r="AI237" s="1">
        <f t="shared" si="26"/>
        <v>2.2405073356377977E-2</v>
      </c>
      <c r="AJ237" s="4">
        <f ca="1">SQRT($B$9)*_xlfn.STDEV.S(AI237:OFFSET(AI237,$B$5-1,0))</f>
        <v>0.20197851084931734</v>
      </c>
      <c r="AK237" s="4">
        <f ca="1">SQRT($B$9)*_xlfn.STDEV.S(AI237:OFFSET(AI237,$B$6-1,0))</f>
        <v>0.20889664822557943</v>
      </c>
      <c r="AL237" s="4" t="e">
        <f ca="1">SQRT($B$9)*_xlfn.STDEV.S(AI237:OFFSET(AI237,$B$7-1,0))</f>
        <v>#DIV/0!</v>
      </c>
      <c r="AM237" s="4" t="e">
        <f ca="1">SQRT($B$9)*_xlfn.STDEV.S(AI237:OFFSET(AI237,$B$8-1,0))</f>
        <v>#DIV/0!</v>
      </c>
    </row>
    <row r="238" spans="5:39" x14ac:dyDescent="0.2">
      <c r="E238" s="42">
        <v>45315</v>
      </c>
      <c r="F238" s="43">
        <v>2.2233205215102787</v>
      </c>
      <c r="G238" s="43">
        <v>2.2536964299134596</v>
      </c>
      <c r="H238" s="43">
        <v>2.1988238211851323</v>
      </c>
      <c r="I238" s="43">
        <v>2.2487970898484306</v>
      </c>
      <c r="K238" s="3">
        <f t="shared" si="24"/>
        <v>6.0757986978818529E-4</v>
      </c>
      <c r="L238" s="3">
        <f ca="1">SQRT(AVERAGE(K238:OFFSET(K238,$B$5-1,0))*$B$9/(4*LN(2)))</f>
        <v>0.2329307892153874</v>
      </c>
      <c r="M238" s="3">
        <f ca="1">SQRT(AVERAGE(K238:OFFSET(K238,$B$6-1,0))*$B$9/(4*LN(2)))</f>
        <v>0.18949224516414231</v>
      </c>
      <c r="N238" s="3" t="e">
        <f ca="1">SQRT(AVERAGE(K238:OFFSET(K238,$B$7-1,0))*$B$9/(4*LN(2)))</f>
        <v>#DIV/0!</v>
      </c>
      <c r="O238" s="3" t="e">
        <f ca="1">SQRT(AVERAGE(K238:OFFSET(K238,$B$8-1,0))*$B$9/(4*LN(2)))</f>
        <v>#DIV/0!</v>
      </c>
      <c r="Q238" s="5">
        <f t="shared" si="22"/>
        <v>2.5450191691980925E-4</v>
      </c>
      <c r="R238" s="5">
        <f ca="1">SQRT($B$9*AVERAGE((Q238:OFFSET(Q238,$B$5-1,0))))</f>
        <v>0.24754964540446198</v>
      </c>
      <c r="S238" s="5">
        <f ca="1">SQRT($B$9*AVERAGE((Q238:OFFSET(Q238,$B$6-1,0))))</f>
        <v>0.19740321627044943</v>
      </c>
      <c r="T238" s="5" t="e">
        <f ca="1">SQRT($B$9*AVERAGE((Q238:OFFSET(Q238,$B$7-1,0))))</f>
        <v>#DIV/0!</v>
      </c>
      <c r="U238" s="5" t="e">
        <f ca="1">SQRT($B$9*AVERAGE((Q238:OFFSET(Q238,$B$8-1,0))))</f>
        <v>#DIV/0!</v>
      </c>
      <c r="W238" s="6">
        <f t="shared" si="27"/>
        <v>2.7851360358448782E-4</v>
      </c>
      <c r="X238" s="6">
        <f ca="1">SQRT($B$9*AVERAGE(W238:OFFSET(W238,$B$5-1,0)))</f>
        <v>0.24982695393808321</v>
      </c>
      <c r="Y238" s="6">
        <f ca="1">SQRT($B$9*AVERAGE(W238:OFFSET(W238,$B$6-1,0)))</f>
        <v>0.19930728894219957</v>
      </c>
      <c r="Z238" s="6" t="e">
        <f ca="1">SQRT($B$9*AVERAGE(W238:OFFSET(W238,$B$7-1,0)))</f>
        <v>#DIV/0!</v>
      </c>
      <c r="AA238" s="6" t="e">
        <f ca="1">SQRT($B$9*AVERAGE(W238:OFFSET(W238,$B$8-1,0)))</f>
        <v>#DIV/0!</v>
      </c>
      <c r="AC238" s="34">
        <f t="shared" si="25"/>
        <v>2.6417228942316807E-4</v>
      </c>
      <c r="AD238" s="34">
        <f ca="1">SQRT($B$9*SUM(AC238:OFFSET(AC238,$B$5-1,0))/($B$5-1))</f>
        <v>0.20388582349522255</v>
      </c>
      <c r="AE238" s="34">
        <f ca="1">SQRT($B$9*SUM(AC238:OFFSET(AC238,$B$6-1,0))/($B$6-1))</f>
        <v>0.18096173325956472</v>
      </c>
      <c r="AF238" s="34" t="e">
        <f ca="1">SQRT($B$9*SUM(AC238:OFFSET(AC238,$B$7-1,0))/($B$7-1))</f>
        <v>#DIV/0!</v>
      </c>
      <c r="AG238" s="34" t="e">
        <f ca="1">SQRT($B$9*SUM(AC238:OFFSET(AC238,$B$8-1,0))/($B$8-1))</f>
        <v>#DIV/0!</v>
      </c>
      <c r="AI238" s="1">
        <f t="shared" si="26"/>
        <v>1.6253377785038041E-2</v>
      </c>
      <c r="AJ238" s="4">
        <f ca="1">SQRT($B$9)*_xlfn.STDEV.S(AI238:OFFSET(AI238,$B$5-1,0))</f>
        <v>0.18077441922962945</v>
      </c>
      <c r="AK238" s="4">
        <f ca="1">SQRT($B$9)*_xlfn.STDEV.S(AI238:OFFSET(AI238,$B$6-1,0))</f>
        <v>0.18005712444406272</v>
      </c>
      <c r="AL238" s="4" t="e">
        <f ca="1">SQRT($B$9)*_xlfn.STDEV.S(AI238:OFFSET(AI238,$B$7-1,0))</f>
        <v>#DIV/0!</v>
      </c>
      <c r="AM238" s="4" t="e">
        <f ca="1">SQRT($B$9)*_xlfn.STDEV.S(AI238:OFFSET(AI238,$B$8-1,0))</f>
        <v>#DIV/0!</v>
      </c>
    </row>
    <row r="239" spans="5:39" x14ac:dyDescent="0.2">
      <c r="E239" s="42">
        <v>45314</v>
      </c>
      <c r="F239" s="43">
        <v>2.2096023693281963</v>
      </c>
      <c r="G239" s="43">
        <v>2.2282198615753077</v>
      </c>
      <c r="H239" s="43">
        <v>2.1909848770810854</v>
      </c>
      <c r="I239" s="43">
        <v>2.2125419733672143</v>
      </c>
      <c r="K239" s="3">
        <f t="shared" si="24"/>
        <v>2.839845125817947E-4</v>
      </c>
      <c r="L239" s="3">
        <f ca="1">SQRT(AVERAGE(K239:OFFSET(K239,$B$5-1,0))*$B$9/(4*LN(2)))</f>
        <v>0.2248565451886432</v>
      </c>
      <c r="M239" s="3">
        <f ca="1">SQRT(AVERAGE(K239:OFFSET(K239,$B$6-1,0))*$B$9/(4*LN(2)))</f>
        <v>0.17826438628481661</v>
      </c>
      <c r="N239" s="3" t="e">
        <f ca="1">SQRT(AVERAGE(K239:OFFSET(K239,$B$7-1,0))*$B$9/(4*LN(2)))</f>
        <v>#DIV/0!</v>
      </c>
      <c r="O239" s="3" t="e">
        <f ca="1">SQRT(AVERAGE(K239:OFFSET(K239,$B$8-1,0))*$B$9/(4*LN(2)))</f>
        <v>#DIV/0!</v>
      </c>
      <c r="Q239" s="5">
        <f t="shared" si="22"/>
        <v>1.417431022639993E-4</v>
      </c>
      <c r="R239" s="5">
        <f ca="1">SQRT($B$9*AVERAGE((Q239:OFFSET(Q239,$B$5-1,0))))</f>
        <v>0.22856084760530621</v>
      </c>
      <c r="S239" s="5">
        <f ca="1">SQRT($B$9*AVERAGE((Q239:OFFSET(Q239,$B$6-1,0))))</f>
        <v>0.18552284193896898</v>
      </c>
      <c r="T239" s="5" t="e">
        <f ca="1">SQRT($B$9*AVERAGE((Q239:OFFSET(Q239,$B$7-1,0))))</f>
        <v>#DIV/0!</v>
      </c>
      <c r="U239" s="5" t="e">
        <f ca="1">SQRT($B$9*AVERAGE((Q239:OFFSET(Q239,$B$8-1,0))))</f>
        <v>#DIV/0!</v>
      </c>
      <c r="W239" s="6">
        <f t="shared" si="27"/>
        <v>1.4208916417877875E-4</v>
      </c>
      <c r="X239" s="6">
        <f ca="1">SQRT($B$9*AVERAGE(W239:OFFSET(W239,$B$5-1,0)))</f>
        <v>0.22455444721334503</v>
      </c>
      <c r="Y239" s="6">
        <f ca="1">SQRT($B$9*AVERAGE(W239:OFFSET(W239,$B$6-1,0)))</f>
        <v>0.18712989476311068</v>
      </c>
      <c r="Z239" s="6" t="e">
        <f ca="1">SQRT($B$9*AVERAGE(W239:OFFSET(W239,$B$7-1,0)))</f>
        <v>#DIV/0!</v>
      </c>
      <c r="AA239" s="6" t="e">
        <f ca="1">SQRT($B$9*AVERAGE(W239:OFFSET(W239,$B$8-1,0)))</f>
        <v>#DIV/0!</v>
      </c>
      <c r="AC239" s="34">
        <f t="shared" si="25"/>
        <v>1.7628604957898034E-6</v>
      </c>
      <c r="AD239" s="34">
        <f ca="1">SQRT($B$9*SUM(AC239:OFFSET(AC239,$B$5-1,0))/($B$5-1))</f>
        <v>0.23536717903254489</v>
      </c>
      <c r="AE239" s="34">
        <f ca="1">SQRT($B$9*SUM(AC239:OFFSET(AC239,$B$6-1,0))/($B$6-1))</f>
        <v>0.16149849407087466</v>
      </c>
      <c r="AF239" s="34" t="e">
        <f ca="1">SQRT($B$9*SUM(AC239:OFFSET(AC239,$B$7-1,0))/($B$7-1))</f>
        <v>#DIV/0!</v>
      </c>
      <c r="AG239" s="34" t="e">
        <f ca="1">SQRT($B$9*SUM(AC239:OFFSET(AC239,$B$8-1,0))/($B$8-1))</f>
        <v>#DIV/0!</v>
      </c>
      <c r="AI239" s="1">
        <f t="shared" si="26"/>
        <v>-1.3277275683625024E-3</v>
      </c>
      <c r="AJ239" s="4">
        <f ca="1">SQRT($B$9)*_xlfn.STDEV.S(AI239:OFFSET(AI239,$B$5-1,0))</f>
        <v>0.2319310945983937</v>
      </c>
      <c r="AK239" s="4">
        <f ca="1">SQRT($B$9)*_xlfn.STDEV.S(AI239:OFFSET(AI239,$B$6-1,0))</f>
        <v>0.16070420685440479</v>
      </c>
      <c r="AL239" s="4" t="e">
        <f ca="1">SQRT($B$9)*_xlfn.STDEV.S(AI239:OFFSET(AI239,$B$7-1,0))</f>
        <v>#DIV/0!</v>
      </c>
      <c r="AM239" s="4" t="e">
        <f ca="1">SQRT($B$9)*_xlfn.STDEV.S(AI239:OFFSET(AI239,$B$8-1,0))</f>
        <v>#DIV/0!</v>
      </c>
    </row>
    <row r="240" spans="5:39" x14ac:dyDescent="0.2">
      <c r="E240" s="42">
        <v>45313</v>
      </c>
      <c r="F240" s="43">
        <v>2.2282198615753077</v>
      </c>
      <c r="G240" s="43">
        <v>2.2458574858094127</v>
      </c>
      <c r="H240" s="43">
        <v>2.1929446131070969</v>
      </c>
      <c r="I240" s="43">
        <v>2.2154815774062318</v>
      </c>
      <c r="K240" s="3">
        <f t="shared" si="24"/>
        <v>5.6844997453593844E-4</v>
      </c>
      <c r="L240" s="3">
        <f ca="1">SQRT(AVERAGE(K240:OFFSET(K240,$B$5-1,0))*$B$9/(4*LN(2)))</f>
        <v>0.21960921233422195</v>
      </c>
      <c r="M240" s="3">
        <f ca="1">SQRT(AVERAGE(K240:OFFSET(K240,$B$6-1,0))*$B$9/(4*LN(2)))</f>
        <v>0.1725140601394394</v>
      </c>
      <c r="N240" s="3" t="e">
        <f ca="1">SQRT(AVERAGE(K240:OFFSET(K240,$B$7-1,0))*$B$9/(4*LN(2)))</f>
        <v>#DIV/0!</v>
      </c>
      <c r="O240" s="3" t="e">
        <f ca="1">SQRT(AVERAGE(K240:OFFSET(K240,$B$8-1,0))*$B$9/(4*LN(2)))</f>
        <v>#DIV/0!</v>
      </c>
      <c r="Q240" s="5">
        <f t="shared" si="22"/>
        <v>2.7222836825098684E-4</v>
      </c>
      <c r="R240" s="5">
        <f ca="1">SQRT($B$9*AVERAGE((Q240:OFFSET(Q240,$B$5-1,0))))</f>
        <v>0.21929180007724774</v>
      </c>
      <c r="S240" s="5">
        <f ca="1">SQRT($B$9*AVERAGE((Q240:OFFSET(Q240,$B$6-1,0))))</f>
        <v>0.17784930945146274</v>
      </c>
      <c r="T240" s="5" t="e">
        <f ca="1">SQRT($B$9*AVERAGE((Q240:OFFSET(Q240,$B$7-1,0))))</f>
        <v>#DIV/0!</v>
      </c>
      <c r="U240" s="5" t="e">
        <f ca="1">SQRT($B$9*AVERAGE((Q240:OFFSET(Q240,$B$8-1,0))))</f>
        <v>#DIV/0!</v>
      </c>
      <c r="W240" s="6">
        <f t="shared" si="27"/>
        <v>2.7052840543511248E-4</v>
      </c>
      <c r="X240" s="6">
        <f ca="1">SQRT($B$9*AVERAGE(W240:OFFSET(W240,$B$5-1,0)))</f>
        <v>0.21553541536633322</v>
      </c>
      <c r="Y240" s="6">
        <f ca="1">SQRT($B$9*AVERAGE(W240:OFFSET(W240,$B$6-1,0)))</f>
        <v>0.17972866400060283</v>
      </c>
      <c r="Z240" s="6" t="e">
        <f ca="1">SQRT($B$9*AVERAGE(W240:OFFSET(W240,$B$7-1,0)))</f>
        <v>#DIV/0!</v>
      </c>
      <c r="AA240" s="6" t="e">
        <f ca="1">SQRT($B$9*AVERAGE(W240:OFFSET(W240,$B$8-1,0)))</f>
        <v>#DIV/0!</v>
      </c>
      <c r="AC240" s="34">
        <f t="shared" si="25"/>
        <v>8.5471100086886718E-5</v>
      </c>
      <c r="AD240" s="34">
        <f ca="1">SQRT($B$9*SUM(AC240:OFFSET(AC240,$B$5-1,0))/($B$5-1))</f>
        <v>0.23872452338844583</v>
      </c>
      <c r="AE240" s="34">
        <f ca="1">SQRT($B$9*SUM(AC240:OFFSET(AC240,$B$6-1,0))/($B$6-1))</f>
        <v>0.16141480604969596</v>
      </c>
      <c r="AF240" s="34" t="e">
        <f ca="1">SQRT($B$9*SUM(AC240:OFFSET(AC240,$B$7-1,0))/($B$7-1))</f>
        <v>#DIV/0!</v>
      </c>
      <c r="AG240" s="34" t="e">
        <f ca="1">SQRT($B$9*SUM(AC240:OFFSET(AC240,$B$8-1,0))/($B$8-1))</f>
        <v>#DIV/0!</v>
      </c>
      <c r="AI240" s="1">
        <f t="shared" si="26"/>
        <v>-9.2450581440511621E-3</v>
      </c>
      <c r="AJ240" s="4">
        <f ca="1">SQRT($B$9)*_xlfn.STDEV.S(AI240:OFFSET(AI240,$B$5-1,0))</f>
        <v>0.23811941182281612</v>
      </c>
      <c r="AK240" s="4">
        <f ca="1">SQRT($B$9)*_xlfn.STDEV.S(AI240:OFFSET(AI240,$B$6-1,0))</f>
        <v>0.16094096830693877</v>
      </c>
      <c r="AL240" s="4" t="e">
        <f ca="1">SQRT($B$9)*_xlfn.STDEV.S(AI240:OFFSET(AI240,$B$7-1,0))</f>
        <v>#DIV/0!</v>
      </c>
      <c r="AM240" s="4" t="e">
        <f ca="1">SQRT($B$9)*_xlfn.STDEV.S(AI240:OFFSET(AI240,$B$8-1,0))</f>
        <v>#DIV/0!</v>
      </c>
    </row>
    <row r="241" spans="5:39" x14ac:dyDescent="0.2">
      <c r="E241" s="42">
        <v>45310</v>
      </c>
      <c r="F241" s="43">
        <v>2.2135218413802198</v>
      </c>
      <c r="G241" s="43">
        <v>2.2409581457443837</v>
      </c>
      <c r="H241" s="43">
        <v>2.2047030292631673</v>
      </c>
      <c r="I241" s="43">
        <v>2.2360588056793547</v>
      </c>
      <c r="K241" s="3">
        <f t="shared" si="24"/>
        <v>2.6603889613752249E-4</v>
      </c>
      <c r="L241" s="3">
        <f ca="1">SQRT(AVERAGE(K241:OFFSET(K241,$B$5-1,0))*$B$9/(4*LN(2)))</f>
        <v>0.2046845884665621</v>
      </c>
      <c r="M241" s="3">
        <f ca="1">SQRT(AVERAGE(K241:OFFSET(K241,$B$6-1,0))*$B$9/(4*LN(2)))</f>
        <v>0.16370564666612561</v>
      </c>
      <c r="N241" s="3" t="e">
        <f ca="1">SQRT(AVERAGE(K241:OFFSET(K241,$B$7-1,0))*$B$9/(4*LN(2)))</f>
        <v>#DIV/0!</v>
      </c>
      <c r="O241" s="3" t="e">
        <f ca="1">SQRT(AVERAGE(K241:OFFSET(K241,$B$8-1,0))*$B$9/(4*LN(2)))</f>
        <v>#DIV/0!</v>
      </c>
      <c r="Q241" s="5">
        <f t="shared" si="22"/>
        <v>9.3172157139218394E-5</v>
      </c>
      <c r="R241" s="5">
        <f ca="1">SQRT($B$9*AVERAGE((Q241:OFFSET(Q241,$B$5-1,0))))</f>
        <v>0.19909655653788233</v>
      </c>
      <c r="S241" s="5">
        <f ca="1">SQRT($B$9*AVERAGE((Q241:OFFSET(Q241,$B$6-1,0))))</f>
        <v>0.16413418671010205</v>
      </c>
      <c r="T241" s="5" t="e">
        <f ca="1">SQRT($B$9*AVERAGE((Q241:OFFSET(Q241,$B$7-1,0))))</f>
        <v>#DIV/0!</v>
      </c>
      <c r="U241" s="5" t="e">
        <f ca="1">SQRT($B$9*AVERAGE((Q241:OFFSET(Q241,$B$8-1,0))))</f>
        <v>#DIV/0!</v>
      </c>
      <c r="W241" s="6">
        <f t="shared" si="27"/>
        <v>8.3336906155229536E-5</v>
      </c>
      <c r="X241" s="6">
        <f ca="1">SQRT($B$9*AVERAGE(W241:OFFSET(W241,$B$5-1,0)))</f>
        <v>0.19869837963985382</v>
      </c>
      <c r="Y241" s="6">
        <f ca="1">SQRT($B$9*AVERAGE(W241:OFFSET(W241,$B$6-1,0)))</f>
        <v>0.16570235237100525</v>
      </c>
      <c r="Z241" s="6" t="e">
        <f ca="1">SQRT($B$9*AVERAGE(W241:OFFSET(W241,$B$7-1,0)))</f>
        <v>#DIV/0!</v>
      </c>
      <c r="AA241" s="6" t="e">
        <f ca="1">SQRT($B$9*AVERAGE(W241:OFFSET(W241,$B$8-1,0)))</f>
        <v>#DIV/0!</v>
      </c>
      <c r="AC241" s="34">
        <f t="shared" si="25"/>
        <v>1.2333133348158386E-5</v>
      </c>
      <c r="AD241" s="34">
        <f ca="1">SQRT($B$9*SUM(AC241:OFFSET(AC241,$B$5-1,0))/($B$5-1))</f>
        <v>0.22749569927081875</v>
      </c>
      <c r="AE241" s="34">
        <f ca="1">SQRT($B$9*SUM(AC241:OFFSET(AC241,$B$6-1,0))/($B$6-1))</f>
        <v>0.16422868579186628</v>
      </c>
      <c r="AF241" s="34" t="e">
        <f ca="1">SQRT($B$9*SUM(AC241:OFFSET(AC241,$B$7-1,0))/($B$7-1))</f>
        <v>#DIV/0!</v>
      </c>
      <c r="AG241" s="34" t="e">
        <f ca="1">SQRT($B$9*SUM(AC241:OFFSET(AC241,$B$8-1,0))/($B$8-1))</f>
        <v>#DIV/0!</v>
      </c>
      <c r="AI241" s="1">
        <f t="shared" si="26"/>
        <v>3.5118561115396493E-3</v>
      </c>
      <c r="AJ241" s="4">
        <f ca="1">SQRT($B$9)*_xlfn.STDEV.S(AI241:OFFSET(AI241,$B$5-1,0))</f>
        <v>0.22697581730316793</v>
      </c>
      <c r="AK241" s="4">
        <f ca="1">SQRT($B$9)*_xlfn.STDEV.S(AI241:OFFSET(AI241,$B$6-1,0))</f>
        <v>0.16353174959420375</v>
      </c>
      <c r="AL241" s="4" t="e">
        <f ca="1">SQRT($B$9)*_xlfn.STDEV.S(AI241:OFFSET(AI241,$B$7-1,0))</f>
        <v>#DIV/0!</v>
      </c>
      <c r="AM241" s="4" t="e">
        <f ca="1">SQRT($B$9)*_xlfn.STDEV.S(AI241:OFFSET(AI241,$B$8-1,0))</f>
        <v>#DIV/0!</v>
      </c>
    </row>
    <row r="242" spans="5:39" x14ac:dyDescent="0.2">
      <c r="E242" s="42">
        <v>45309</v>
      </c>
      <c r="F242" s="43">
        <v>2.1802063289380209</v>
      </c>
      <c r="G242" s="43">
        <v>2.2321393336273312</v>
      </c>
      <c r="H242" s="43">
        <v>2.1517901565608515</v>
      </c>
      <c r="I242" s="43">
        <v>2.2282198615753077</v>
      </c>
      <c r="K242" s="3">
        <f t="shared" si="24"/>
        <v>1.343980629929947E-3</v>
      </c>
      <c r="L242" s="3">
        <f ca="1">SQRT(AVERAGE(K242:OFFSET(K242,$B$5-1,0))*$B$9/(4*LN(2)))</f>
        <v>0.19748332888539086</v>
      </c>
      <c r="M242" s="3">
        <f ca="1">SQRT(AVERAGE(K242:OFFSET(K242,$B$6-1,0))*$B$9/(4*LN(2)))</f>
        <v>0.16543118419921443</v>
      </c>
      <c r="N242" s="3" t="e">
        <f ca="1">SQRT(AVERAGE(K242:OFFSET(K242,$B$7-1,0))*$B$9/(4*LN(2)))</f>
        <v>#DIV/0!</v>
      </c>
      <c r="O242" s="3" t="e">
        <f ca="1">SQRT(AVERAGE(K242:OFFSET(K242,$B$8-1,0))*$B$9/(4*LN(2)))</f>
        <v>#DIV/0!</v>
      </c>
      <c r="Q242" s="5">
        <f t="shared" si="22"/>
        <v>4.8898357664792236E-4</v>
      </c>
      <c r="R242" s="5">
        <f ca="1">SQRT($B$9*AVERAGE((Q242:OFFSET(Q242,$B$5-1,0))))</f>
        <v>0.19374124985455402</v>
      </c>
      <c r="S242" s="5">
        <f ca="1">SQRT($B$9*AVERAGE((Q242:OFFSET(Q242,$B$6-1,0))))</f>
        <v>0.16933881968203734</v>
      </c>
      <c r="T242" s="5" t="e">
        <f ca="1">SQRT($B$9*AVERAGE((Q242:OFFSET(Q242,$B$7-1,0))))</f>
        <v>#DIV/0!</v>
      </c>
      <c r="U242" s="5" t="e">
        <f ca="1">SQRT($B$9*AVERAGE((Q242:OFFSET(Q242,$B$8-1,0))))</f>
        <v>#DIV/0!</v>
      </c>
      <c r="W242" s="6">
        <f t="shared" si="27"/>
        <v>4.9927695970723111E-4</v>
      </c>
      <c r="X242" s="6">
        <f ca="1">SQRT($B$9*AVERAGE(W242:OFFSET(W242,$B$5-1,0)))</f>
        <v>0.19594031300800857</v>
      </c>
      <c r="Y242" s="6">
        <f ca="1">SQRT($B$9*AVERAGE(W242:OFFSET(W242,$B$6-1,0)))</f>
        <v>0.1722584722087781</v>
      </c>
      <c r="Z242" s="6" t="e">
        <f ca="1">SQRT($B$9*AVERAGE(W242:OFFSET(W242,$B$7-1,0)))</f>
        <v>#DIV/0!</v>
      </c>
      <c r="AA242" s="6" t="e">
        <f ca="1">SQRT($B$9*AVERAGE(W242:OFFSET(W242,$B$8-1,0)))</f>
        <v>#DIV/0!</v>
      </c>
      <c r="AC242" s="34">
        <f t="shared" si="25"/>
        <v>3.149451721125284E-4</v>
      </c>
      <c r="AD242" s="34">
        <f ca="1">SQRT($B$9*SUM(AC242:OFFSET(AC242,$B$5-1,0))/($B$5-1))</f>
        <v>0.22606534070071096</v>
      </c>
      <c r="AE242" s="34">
        <f ca="1">SQRT($B$9*SUM(AC242:OFFSET(AC242,$B$6-1,0))/($B$6-1))</f>
        <v>0.16508608263207739</v>
      </c>
      <c r="AF242" s="34" t="e">
        <f ca="1">SQRT($B$9*SUM(AC242:OFFSET(AC242,$B$7-1,0))/($B$7-1))</f>
        <v>#DIV/0!</v>
      </c>
      <c r="AG242" s="34" t="e">
        <f ca="1">SQRT($B$9*SUM(AC242:OFFSET(AC242,$B$8-1,0))/($B$8-1))</f>
        <v>#DIV/0!</v>
      </c>
      <c r="AI242" s="1">
        <f t="shared" si="26"/>
        <v>1.7746694681335124E-2</v>
      </c>
      <c r="AJ242" s="4">
        <f ca="1">SQRT($B$9)*_xlfn.STDEV.S(AI242:OFFSET(AI242,$B$5-1,0))</f>
        <v>0.22606010342699592</v>
      </c>
      <c r="AK242" s="4">
        <f ca="1">SQRT($B$9)*_xlfn.STDEV.S(AI242:OFFSET(AI242,$B$6-1,0))</f>
        <v>0.16255984638504212</v>
      </c>
      <c r="AL242" s="4" t="e">
        <f ca="1">SQRT($B$9)*_xlfn.STDEV.S(AI242:OFFSET(AI242,$B$7-1,0))</f>
        <v>#DIV/0!</v>
      </c>
      <c r="AM242" s="4" t="e">
        <f ca="1">SQRT($B$9)*_xlfn.STDEV.S(AI242:OFFSET(AI242,$B$8-1,0))</f>
        <v>#DIV/0!</v>
      </c>
    </row>
    <row r="243" spans="5:39" x14ac:dyDescent="0.2">
      <c r="E243" s="42">
        <v>45308</v>
      </c>
      <c r="F243" s="43">
        <v>2.2291997295883137</v>
      </c>
      <c r="G243" s="43">
        <v>2.2311594656143257</v>
      </c>
      <c r="H243" s="43">
        <v>2.1870654050290623</v>
      </c>
      <c r="I243" s="43">
        <v>2.1890251410550738</v>
      </c>
      <c r="K243" s="3">
        <f t="shared" si="24"/>
        <v>3.9843124364792213E-4</v>
      </c>
      <c r="L243" s="3">
        <f ca="1">SQRT(AVERAGE(K243:OFFSET(K243,$B$5-1,0))*$B$9/(4*LN(2)))</f>
        <v>0.13250611076547217</v>
      </c>
      <c r="M243" s="3">
        <f ca="1">SQRT(AVERAGE(K243:OFFSET(K243,$B$6-1,0))*$B$9/(4*LN(2)))</f>
        <v>0.13323539053450881</v>
      </c>
      <c r="N243" s="3" t="e">
        <f ca="1">SQRT(AVERAGE(K243:OFFSET(K243,$B$7-1,0))*$B$9/(4*LN(2)))</f>
        <v>#DIV/0!</v>
      </c>
      <c r="O243" s="3" t="e">
        <f ca="1">SQRT(AVERAGE(K243:OFFSET(K243,$B$8-1,0))*$B$9/(4*LN(2)))</f>
        <v>#DIV/0!</v>
      </c>
      <c r="Q243" s="5">
        <f t="shared" si="22"/>
        <v>6.9996490760240672E-5</v>
      </c>
      <c r="R243" s="5">
        <f ca="1">SQRT($B$9*AVERAGE((Q243:OFFSET(Q243,$B$5-1,0))))</f>
        <v>0.12905515351182534</v>
      </c>
      <c r="S243" s="5">
        <f ca="1">SQRT($B$9*AVERAGE((Q243:OFFSET(Q243,$B$6-1,0))))</f>
        <v>0.13905882174320572</v>
      </c>
      <c r="T243" s="5" t="e">
        <f ca="1">SQRT($B$9*AVERAGE((Q243:OFFSET(Q243,$B$7-1,0))))</f>
        <v>#DIV/0!</v>
      </c>
      <c r="U243" s="5" t="e">
        <f ca="1">SQRT($B$9*AVERAGE((Q243:OFFSET(Q243,$B$8-1,0))))</f>
        <v>#DIV/0!</v>
      </c>
      <c r="W243" s="6">
        <f t="shared" si="27"/>
        <v>3.384406989693289E-5</v>
      </c>
      <c r="X243" s="6">
        <f ca="1">SQRT($B$9*AVERAGE(W243:OFFSET(W243,$B$5-1,0)))</f>
        <v>0.13051162376201483</v>
      </c>
      <c r="Y243" s="6">
        <f ca="1">SQRT($B$9*AVERAGE(W243:OFFSET(W243,$B$6-1,0)))</f>
        <v>0.1437571208495601</v>
      </c>
      <c r="Z243" s="6" t="e">
        <f ca="1">SQRT($B$9*AVERAGE(W243:OFFSET(W243,$B$7-1,0)))</f>
        <v>#DIV/0!</v>
      </c>
      <c r="AA243" s="6" t="e">
        <f ca="1">SQRT($B$9*AVERAGE(W243:OFFSET(W243,$B$8-1,0)))</f>
        <v>#DIV/0!</v>
      </c>
      <c r="AC243" s="34">
        <f t="shared" si="25"/>
        <v>4.8994012523399246E-4</v>
      </c>
      <c r="AD243" s="34">
        <f ca="1">SQRT($B$9*SUM(AC243:OFFSET(AC243,$B$5-1,0))/($B$5-1))</f>
        <v>0.17919725447774895</v>
      </c>
      <c r="AE243" s="34">
        <f ca="1">SQRT($B$9*SUM(AC243:OFFSET(AC243,$B$6-1,0))/($B$6-1))</f>
        <v>0.14252848144977776</v>
      </c>
      <c r="AF243" s="34" t="e">
        <f ca="1">SQRT($B$9*SUM(AC243:OFFSET(AC243,$B$7-1,0))/($B$7-1))</f>
        <v>#DIV/0!</v>
      </c>
      <c r="AG243" s="34" t="e">
        <f ca="1">SQRT($B$9*SUM(AC243:OFFSET(AC243,$B$8-1,0))/($B$8-1))</f>
        <v>#DIV/0!</v>
      </c>
      <c r="AI243" s="1">
        <f t="shared" si="26"/>
        <v>-2.2134591146754722E-2</v>
      </c>
      <c r="AJ243" s="4">
        <f ca="1">SQRT($B$9)*_xlfn.STDEV.S(AI243:OFFSET(AI243,$B$5-1,0))</f>
        <v>0.17023833400348826</v>
      </c>
      <c r="AK243" s="4">
        <f ca="1">SQRT($B$9)*_xlfn.STDEV.S(AI243:OFFSET(AI243,$B$6-1,0))</f>
        <v>0.1236800443681096</v>
      </c>
      <c r="AL243" s="4" t="e">
        <f ca="1">SQRT($B$9)*_xlfn.STDEV.S(AI243:OFFSET(AI243,$B$7-1,0))</f>
        <v>#DIV/0!</v>
      </c>
      <c r="AM243" s="4" t="e">
        <f ca="1">SQRT($B$9)*_xlfn.STDEV.S(AI243:OFFSET(AI243,$B$8-1,0))</f>
        <v>#DIV/0!</v>
      </c>
    </row>
    <row r="244" spans="5:39" x14ac:dyDescent="0.2">
      <c r="E244" s="42">
        <v>45307</v>
      </c>
      <c r="F244" s="43">
        <v>2.2223406534972723</v>
      </c>
      <c r="G244" s="43">
        <v>2.2389984097183722</v>
      </c>
      <c r="H244" s="43">
        <v>2.2115621053542083</v>
      </c>
      <c r="I244" s="43">
        <v>2.2380185417053662</v>
      </c>
      <c r="K244" s="3">
        <f t="shared" si="24"/>
        <v>1.5201722397976473E-4</v>
      </c>
      <c r="L244" s="3">
        <f ca="1">SQRT(AVERAGE(K244:OFFSET(K244,$B$5-1,0))*$B$9/(4*LN(2)))</f>
        <v>0.11399963561710307</v>
      </c>
      <c r="M244" s="3">
        <f ca="1">SQRT(AVERAGE(K244:OFFSET(K244,$B$6-1,0))*$B$9/(4*LN(2)))</f>
        <v>0.12103030268701273</v>
      </c>
      <c r="N244" s="3" t="e">
        <f ca="1">SQRT(AVERAGE(K244:OFFSET(K244,$B$7-1,0))*$B$9/(4*LN(2)))</f>
        <v>#DIV/0!</v>
      </c>
      <c r="O244" s="3" t="e">
        <f ca="1">SQRT(AVERAGE(K244:OFFSET(K244,$B$8-1,0))*$B$9/(4*LN(2)))</f>
        <v>#DIV/0!</v>
      </c>
      <c r="Q244" s="5">
        <f t="shared" si="22"/>
        <v>5.7025398653051803E-5</v>
      </c>
      <c r="R244" s="5">
        <f ca="1">SQRT($B$9*AVERAGE((Q244:OFFSET(Q244,$B$5-1,0))))</f>
        <v>0.12883085307552433</v>
      </c>
      <c r="S244" s="5">
        <f ca="1">SQRT($B$9*AVERAGE((Q244:OFFSET(Q244,$B$6-1,0))))</f>
        <v>0.13449634135709837</v>
      </c>
      <c r="T244" s="5" t="e">
        <f ca="1">SQRT($B$9*AVERAGE((Q244:OFFSET(Q244,$B$7-1,0))))</f>
        <v>#DIV/0!</v>
      </c>
      <c r="U244" s="5" t="e">
        <f ca="1">SQRT($B$9*AVERAGE((Q244:OFFSET(Q244,$B$8-1,0))))</f>
        <v>#DIV/0!</v>
      </c>
      <c r="W244" s="6">
        <f t="shared" si="27"/>
        <v>6.1085399155244734E-5</v>
      </c>
      <c r="X244" s="6">
        <f ca="1">SQRT($B$9*AVERAGE(W244:OFFSET(W244,$B$5-1,0)))</f>
        <v>0.14003747807217465</v>
      </c>
      <c r="Y244" s="6">
        <f ca="1">SQRT($B$9*AVERAGE(W244:OFFSET(W244,$B$6-1,0)))</f>
        <v>0.14237597045491776</v>
      </c>
      <c r="Z244" s="6" t="e">
        <f ca="1">SQRT($B$9*AVERAGE(W244:OFFSET(W244,$B$7-1,0)))</f>
        <v>#DIV/0!</v>
      </c>
      <c r="AA244" s="6" t="e">
        <f ca="1">SQRT($B$9*AVERAGE(W244:OFFSET(W244,$B$8-1,0)))</f>
        <v>#DIV/0!</v>
      </c>
      <c r="AC244" s="34">
        <f t="shared" si="25"/>
        <v>2.7749621333382929E-5</v>
      </c>
      <c r="AD244" s="34">
        <f ca="1">SQRT($B$9*SUM(AC244:OFFSET(AC244,$B$5-1,0))/($B$5-1))</f>
        <v>5.7325902569193884E-2</v>
      </c>
      <c r="AE244" s="34" t="e">
        <f ca="1">SQRT($B$9*SUM(AC244:OFFSET(AC244,$B$6-1,0))/($B$6-1))</f>
        <v>#DIV/0!</v>
      </c>
      <c r="AF244" s="34" t="e">
        <f ca="1">SQRT($B$9*SUM(AC244:OFFSET(AC244,$B$7-1,0))/($B$7-1))</f>
        <v>#DIV/0!</v>
      </c>
      <c r="AG244" s="34" t="e">
        <f ca="1">SQRT($B$9*SUM(AC244:OFFSET(AC244,$B$8-1,0))/($B$8-1))</f>
        <v>#DIV/0!</v>
      </c>
      <c r="AI244" s="1">
        <f t="shared" si="26"/>
        <v>5.2677909348590258E-3</v>
      </c>
      <c r="AJ244" s="4">
        <f ca="1">SQRT($B$9)*_xlfn.STDEV.S(AI244:OFFSET(AI244,$B$5-1,0))</f>
        <v>5.6996677424903899E-2</v>
      </c>
      <c r="AK244" s="4" t="e">
        <f ca="1">SQRT($B$9)*_xlfn.STDEV.S(AI244:OFFSET(AI244,$B$6-1,0))</f>
        <v>#DIV/0!</v>
      </c>
      <c r="AL244" s="4" t="e">
        <f ca="1">SQRT($B$9)*_xlfn.STDEV.S(AI244:OFFSET(AI244,$B$7-1,0))</f>
        <v>#DIV/0!</v>
      </c>
      <c r="AM244" s="4" t="e">
        <f ca="1">SQRT($B$9)*_xlfn.STDEV.S(AI244:OFFSET(AI244,$B$8-1,0))</f>
        <v>#DIV/0!</v>
      </c>
    </row>
    <row r="245" spans="5:39" x14ac:dyDescent="0.2">
      <c r="E245" s="42">
        <v>45306</v>
      </c>
      <c r="F245" s="43">
        <v>2.2174413134322433</v>
      </c>
      <c r="G245" s="43">
        <v>2.2468373538224191</v>
      </c>
      <c r="H245" s="43">
        <v>2.2145017093932258</v>
      </c>
      <c r="I245" s="43">
        <v>2.2262601255492958</v>
      </c>
      <c r="K245" s="3">
        <f t="shared" si="24"/>
        <v>2.1013954166721206E-4</v>
      </c>
      <c r="L245" s="3">
        <f ca="1">SQRT(AVERAGE(K245:OFFSET(K245,$B$5-1,0))*$B$9/(4*LN(2)))</f>
        <v>0.10627321275622961</v>
      </c>
      <c r="M245" s="3" t="e">
        <f ca="1">SQRT(AVERAGE(K245:OFFSET(K245,$B$6-1,0))*$B$9/(4*LN(2)))</f>
        <v>#DIV/0!</v>
      </c>
      <c r="N245" s="3" t="e">
        <f ca="1">SQRT(AVERAGE(K245:OFFSET(K245,$B$7-1,0))*$B$9/(4*LN(2)))</f>
        <v>#DIV/0!</v>
      </c>
      <c r="O245" s="3" t="e">
        <f ca="1">SQRT(AVERAGE(K245:OFFSET(K245,$B$8-1,0))*$B$9/(4*LN(2)))</f>
        <v>#DIV/0!</v>
      </c>
      <c r="Q245" s="5">
        <f t="shared" si="22"/>
        <v>9.979051609022354E-5</v>
      </c>
      <c r="R245" s="5">
        <f ca="1">SQRT($B$9*AVERAGE((Q245:OFFSET(Q245,$B$5-1,0))))</f>
        <v>0.12317410508546324</v>
      </c>
      <c r="S245" s="5" t="e">
        <f ca="1">SQRT($B$9*AVERAGE((Q245:OFFSET(Q245,$B$6-1,0))))</f>
        <v>#DIV/0!</v>
      </c>
      <c r="T245" s="5" t="e">
        <f ca="1">SQRT($B$9*AVERAGE((Q245:OFFSET(Q245,$B$7-1,0))))</f>
        <v>#DIV/0!</v>
      </c>
      <c r="U245" s="5" t="e">
        <f ca="1">SQRT($B$9*AVERAGE((Q245:OFFSET(Q245,$B$8-1,0))))</f>
        <v>#DIV/0!</v>
      </c>
      <c r="W245" s="6">
        <f t="shared" si="27"/>
        <v>1.2819229919767738E-4</v>
      </c>
      <c r="X245" s="6">
        <f ca="1">SQRT($B$9*AVERAGE(W245:OFFSET(W245,$B$5-1,0)))</f>
        <v>0.13471922672634887</v>
      </c>
      <c r="Y245" s="6" t="e">
        <f ca="1">SQRT($B$9*AVERAGE(W245:OFFSET(W245,$B$6-1,0)))</f>
        <v>#DIV/0!</v>
      </c>
      <c r="Z245" s="6" t="e">
        <f ca="1">SQRT($B$9*AVERAGE(W245:OFFSET(W245,$B$7-1,0)))</f>
        <v>#DIV/0!</v>
      </c>
      <c r="AA245" s="6" t="e">
        <f ca="1">SQRT($B$9*AVERAGE(W245:OFFSET(W245,$B$8-1,0)))</f>
        <v>#DIV/0!</v>
      </c>
      <c r="AC245" s="34">
        <f t="shared" si="25"/>
        <v>0</v>
      </c>
      <c r="AD245" s="34">
        <f ca="1">SQRT($B$9*SUM(AC245:OFFSET(AC245,$B$5-1,0))/($B$5-1))</f>
        <v>4.0419872094015132E-2</v>
      </c>
      <c r="AE245" s="34" t="e">
        <f ca="1">SQRT($B$9*SUM(AC245:OFFSET(AC245,$B$6-1,0))/($B$6-1))</f>
        <v>#DIV/0!</v>
      </c>
      <c r="AF245" s="34" t="e">
        <f ca="1">SQRT($B$9*SUM(AC245:OFFSET(AC245,$B$7-1,0))/($B$7-1))</f>
        <v>#DIV/0!</v>
      </c>
      <c r="AG245" s="34" t="e">
        <f ca="1">SQRT($B$9*SUM(AC245:OFFSET(AC245,$B$8-1,0))/($B$8-1))</f>
        <v>#DIV/0!</v>
      </c>
      <c r="AI245" s="1">
        <f t="shared" si="26"/>
        <v>0</v>
      </c>
      <c r="AJ245" s="4">
        <f ca="1">SQRT($B$9)*_xlfn.STDEV.S(AI245:OFFSET(AI245,$B$5-1,0))</f>
        <v>3.9351732626731632E-2</v>
      </c>
      <c r="AK245" s="4" t="e">
        <f ca="1">SQRT($B$9)*_xlfn.STDEV.S(AI245:OFFSET(AI245,$B$6-1,0))</f>
        <v>#DIV/0!</v>
      </c>
      <c r="AL245" s="4" t="e">
        <f ca="1">SQRT($B$9)*_xlfn.STDEV.S(AI245:OFFSET(AI245,$B$7-1,0))</f>
        <v>#DIV/0!</v>
      </c>
      <c r="AM245" s="4" t="e">
        <f ca="1">SQRT($B$9)*_xlfn.STDEV.S(AI245:OFFSET(AI245,$B$8-1,0))</f>
        <v>#DIV/0!</v>
      </c>
    </row>
    <row r="246" spans="5:39" x14ac:dyDescent="0.2">
      <c r="E246" s="42">
        <v>45303</v>
      </c>
      <c r="F246" s="43">
        <v>2.2223406534972723</v>
      </c>
      <c r="G246" s="43">
        <v>2.2409581457443837</v>
      </c>
      <c r="H246" s="43">
        <v>2.2184211814452492</v>
      </c>
      <c r="I246" s="43">
        <v>2.2262601255492958</v>
      </c>
      <c r="K246" s="3">
        <f t="shared" si="24"/>
        <v>1.021667050694578E-4</v>
      </c>
      <c r="L246" s="3">
        <f ca="1">SQRT(AVERAGE(K246:OFFSET(K246,$B$5-1,0))*$B$9/(4*LN(2)))</f>
        <v>0.10818177639983005</v>
      </c>
      <c r="M246" s="3" t="e">
        <f ca="1">SQRT(AVERAGE(K246:OFFSET(K246,$B$6-1,0))*$B$9/(4*LN(2)))</f>
        <v>#DIV/0!</v>
      </c>
      <c r="N246" s="3" t="e">
        <f ca="1">SQRT(AVERAGE(K246:OFFSET(K246,$B$7-1,0))*$B$9/(4*LN(2)))</f>
        <v>#DIV/0!</v>
      </c>
      <c r="O246" s="3" t="e">
        <f ca="1">SQRT(AVERAGE(K246:OFFSET(K246,$B$8-1,0))*$B$9/(4*LN(2)))</f>
        <v>#DIV/0!</v>
      </c>
      <c r="Q246" s="5">
        <f t="shared" si="22"/>
        <v>5.0238138158862195E-5</v>
      </c>
      <c r="R246" s="5">
        <f ca="1">SQRT($B$9*AVERAGE((Q246:OFFSET(Q246,$B$5-1,0))))</f>
        <v>0.11933408427071915</v>
      </c>
      <c r="S246" s="5" t="e">
        <f ca="1">SQRT($B$9*AVERAGE((Q246:OFFSET(Q246,$B$6-1,0))))</f>
        <v>#DIV/0!</v>
      </c>
      <c r="T246" s="5" t="e">
        <f ca="1">SQRT($B$9*AVERAGE((Q246:OFFSET(Q246,$B$7-1,0))))</f>
        <v>#DIV/0!</v>
      </c>
      <c r="U246" s="5" t="e">
        <f ca="1">SQRT($B$9*AVERAGE((Q246:OFFSET(Q246,$B$8-1,0))))</f>
        <v>#DIV/0!</v>
      </c>
      <c r="W246" s="6">
        <f t="shared" si="27"/>
        <v>6.112384881181946E-5</v>
      </c>
      <c r="X246" s="6">
        <f ca="1">SQRT($B$9*AVERAGE(W246:OFFSET(W246,$B$5-1,0)))</f>
        <v>0.12423161067564931</v>
      </c>
      <c r="Y246" s="6" t="e">
        <f ca="1">SQRT($B$9*AVERAGE(W246:OFFSET(W246,$B$6-1,0)))</f>
        <v>#DIV/0!</v>
      </c>
      <c r="Z246" s="6" t="e">
        <f ca="1">SQRT($B$9*AVERAGE(W246:OFFSET(W246,$B$7-1,0)))</f>
        <v>#DIV/0!</v>
      </c>
      <c r="AA246" s="6" t="e">
        <f ca="1">SQRT($B$9*AVERAGE(W246:OFFSET(W246,$B$8-1,0)))</f>
        <v>#DIV/0!</v>
      </c>
      <c r="AC246" s="34">
        <f t="shared" si="25"/>
        <v>1.7412162772965814E-6</v>
      </c>
      <c r="AD246" s="34">
        <f ca="1">SQRT($B$9*SUM(AC246:OFFSET(AC246,$B$5-1,0))/($B$5-1))</f>
        <v>9.4501823243571093E-2</v>
      </c>
      <c r="AE246" s="34" t="e">
        <f ca="1">SQRT($B$9*SUM(AC246:OFFSET(AC246,$B$6-1,0))/($B$6-1))</f>
        <v>#DIV/0!</v>
      </c>
      <c r="AF246" s="34" t="e">
        <f ca="1">SQRT($B$9*SUM(AC246:OFFSET(AC246,$B$7-1,0))/($B$7-1))</f>
        <v>#DIV/0!</v>
      </c>
      <c r="AG246" s="34" t="e">
        <f ca="1">SQRT($B$9*SUM(AC246:OFFSET(AC246,$B$8-1,0))/($B$8-1))</f>
        <v>#DIV/0!</v>
      </c>
      <c r="AI246" s="1">
        <f t="shared" si="26"/>
        <v>-1.3195515440090173E-3</v>
      </c>
      <c r="AJ246" s="4">
        <f ca="1">SQRT($B$9)*_xlfn.STDEV.S(AI246:OFFSET(AI246,$B$5-1,0))</f>
        <v>8.1735917050349952E-2</v>
      </c>
      <c r="AK246" s="4" t="e">
        <f ca="1">SQRT($B$9)*_xlfn.STDEV.S(AI246:OFFSET(AI246,$B$6-1,0))</f>
        <v>#DIV/0!</v>
      </c>
      <c r="AL246" s="4" t="e">
        <f ca="1">SQRT($B$9)*_xlfn.STDEV.S(AI246:OFFSET(AI246,$B$7-1,0))</f>
        <v>#DIV/0!</v>
      </c>
      <c r="AM246" s="4" t="e">
        <f ca="1">SQRT($B$9)*_xlfn.STDEV.S(AI246:OFFSET(AI246,$B$8-1,0))</f>
        <v>#DIV/0!</v>
      </c>
    </row>
    <row r="247" spans="5:39" x14ac:dyDescent="0.2">
      <c r="E247" s="42">
        <v>45302</v>
      </c>
      <c r="F247" s="43">
        <v>2.2233205215102787</v>
      </c>
      <c r="G247" s="43">
        <v>2.2409581457443837</v>
      </c>
      <c r="H247" s="43">
        <v>2.2154815774062318</v>
      </c>
      <c r="I247" s="43">
        <v>2.2291997295883137</v>
      </c>
      <c r="K247" s="3">
        <f t="shared" si="24"/>
        <v>1.3072999293777077E-4</v>
      </c>
      <c r="L247" s="3">
        <f ca="1">SQRT(AVERAGE(K247:OFFSET(K247,$B$5-1,0))*$B$9/(4*LN(2)))</f>
        <v>0.12544037716562154</v>
      </c>
      <c r="M247" s="3" t="e">
        <f ca="1">SQRT(AVERAGE(K247:OFFSET(K247,$B$6-1,0))*$B$9/(4*LN(2)))</f>
        <v>#DIV/0!</v>
      </c>
      <c r="N247" s="3" t="e">
        <f ca="1">SQRT(AVERAGE(K247:OFFSET(K247,$B$7-1,0))*$B$9/(4*LN(2)))</f>
        <v>#DIV/0!</v>
      </c>
      <c r="O247" s="3" t="e">
        <f ca="1">SQRT(AVERAGE(K247:OFFSET(K247,$B$8-1,0))*$B$9/(4*LN(2)))</f>
        <v>#DIV/0!</v>
      </c>
      <c r="Q247" s="5">
        <f t="shared" si="22"/>
        <v>6.2852163438862718E-5</v>
      </c>
      <c r="R247" s="5">
        <f ca="1">SQRT($B$9*AVERAGE((Q247:OFFSET(Q247,$B$5-1,0))))</f>
        <v>0.14076789338271137</v>
      </c>
      <c r="S247" s="5" t="e">
        <f ca="1">SQRT($B$9*AVERAGE((Q247:OFFSET(Q247,$B$6-1,0))))</f>
        <v>#DIV/0!</v>
      </c>
      <c r="T247" s="5" t="e">
        <f ca="1">SQRT($B$9*AVERAGE((Q247:OFFSET(Q247,$B$7-1,0))))</f>
        <v>#DIV/0!</v>
      </c>
      <c r="U247" s="5" t="e">
        <f ca="1">SQRT($B$9*AVERAGE((Q247:OFFSET(Q247,$B$8-1,0))))</f>
        <v>#DIV/0!</v>
      </c>
      <c r="W247" s="6">
        <f t="shared" si="27"/>
        <v>6.3372422468891158E-5</v>
      </c>
      <c r="X247" s="6">
        <f ca="1">SQRT($B$9*AVERAGE(W247:OFFSET(W247,$B$5-1,0)))</f>
        <v>0.14475274171402894</v>
      </c>
      <c r="Y247" s="6" t="e">
        <f ca="1">SQRT($B$9*AVERAGE(W247:OFFSET(W247,$B$6-1,0)))</f>
        <v>#DIV/0!</v>
      </c>
      <c r="Z247" s="6" t="e">
        <f ca="1">SQRT($B$9*AVERAGE(W247:OFFSET(W247,$B$7-1,0)))</f>
        <v>#DIV/0!</v>
      </c>
      <c r="AA247" s="6" t="e">
        <f ca="1">SQRT($B$9*AVERAGE(W247:OFFSET(W247,$B$8-1,0)))</f>
        <v>#DIV/0!</v>
      </c>
      <c r="AC247" s="34">
        <f t="shared" si="25"/>
        <v>4.840972051052313E-6</v>
      </c>
      <c r="AD247" s="34">
        <f ca="1">SQRT($B$9*SUM(AC247:OFFSET(AC247,$B$5-1,0))/($B$5-1))</f>
        <v>0.10106752574978227</v>
      </c>
      <c r="AE247" s="34" t="e">
        <f ca="1">SQRT($B$9*SUM(AC247:OFFSET(AC247,$B$6-1,0))/($B$6-1))</f>
        <v>#DIV/0!</v>
      </c>
      <c r="AF247" s="34" t="e">
        <f ca="1">SQRT($B$9*SUM(AC247:OFFSET(AC247,$B$7-1,0))/($B$7-1))</f>
        <v>#DIV/0!</v>
      </c>
      <c r="AG247" s="34" t="e">
        <f ca="1">SQRT($B$9*SUM(AC247:OFFSET(AC247,$B$8-1,0))/($B$8-1))</f>
        <v>#DIV/0!</v>
      </c>
      <c r="AI247" s="1">
        <f t="shared" si="26"/>
        <v>2.2002209096025592E-3</v>
      </c>
      <c r="AJ247" s="4">
        <f ca="1">SQRT($B$9)*_xlfn.STDEV.S(AI247:OFFSET(AI247,$B$5-1,0))</f>
        <v>8.1703146400347842E-2</v>
      </c>
      <c r="AK247" s="4" t="e">
        <f ca="1">SQRT($B$9)*_xlfn.STDEV.S(AI247:OFFSET(AI247,$B$6-1,0))</f>
        <v>#DIV/0!</v>
      </c>
      <c r="AL247" s="4" t="e">
        <f ca="1">SQRT($B$9)*_xlfn.STDEV.S(AI247:OFFSET(AI247,$B$7-1,0))</f>
        <v>#DIV/0!</v>
      </c>
      <c r="AM247" s="4" t="e">
        <f ca="1">SQRT($B$9)*_xlfn.STDEV.S(AI247:OFFSET(AI247,$B$8-1,0))</f>
        <v>#DIV/0!</v>
      </c>
    </row>
    <row r="248" spans="5:39" x14ac:dyDescent="0.2">
      <c r="E248" s="42">
        <v>45301</v>
      </c>
      <c r="F248" s="43">
        <v>2.2291997295883137</v>
      </c>
      <c r="G248" s="43">
        <v>2.2468373538224191</v>
      </c>
      <c r="H248" s="43">
        <v>2.2203809174712608</v>
      </c>
      <c r="I248" s="43">
        <v>2.2243003895232842</v>
      </c>
      <c r="K248" s="3">
        <f t="shared" si="24"/>
        <v>1.4030026471038062E-4</v>
      </c>
      <c r="L248" s="3">
        <f ca="1">SQRT(AVERAGE(K248:OFFSET(K248,$B$5-1,0))*$B$9/(4*LN(2)))</f>
        <v>0.13396070017574033</v>
      </c>
      <c r="M248" s="3" t="e">
        <f ca="1">SQRT(AVERAGE(K248:OFFSET(K248,$B$6-1,0))*$B$9/(4*LN(2)))</f>
        <v>#DIV/0!</v>
      </c>
      <c r="N248" s="3" t="e">
        <f ca="1">SQRT(AVERAGE(K248:OFFSET(K248,$B$7-1,0))*$B$9/(4*LN(2)))</f>
        <v>#DIV/0!</v>
      </c>
      <c r="O248" s="3" t="e">
        <f ca="1">SQRT(AVERAGE(K248:OFFSET(K248,$B$8-1,0))*$B$9/(4*LN(2)))</f>
        <v>#DIV/0!</v>
      </c>
      <c r="Q248" s="5">
        <f t="shared" si="22"/>
        <v>6.8816002111394433E-5</v>
      </c>
      <c r="R248" s="5">
        <f ca="1">SQRT($B$9*AVERAGE((Q248:OFFSET(Q248,$B$5-1,0))))</f>
        <v>0.14838961945249579</v>
      </c>
      <c r="S248" s="5" t="e">
        <f ca="1">SQRT($B$9*AVERAGE((Q248:OFFSET(Q248,$B$6-1,0))))</f>
        <v>#DIV/0!</v>
      </c>
      <c r="T248" s="5" t="e">
        <f ca="1">SQRT($B$9*AVERAGE((Q248:OFFSET(Q248,$B$7-1,0))))</f>
        <v>#DIV/0!</v>
      </c>
      <c r="U248" s="5" t="e">
        <f ca="1">SQRT($B$9*AVERAGE((Q248:OFFSET(Q248,$B$8-1,0))))</f>
        <v>#DIV/0!</v>
      </c>
      <c r="W248" s="6">
        <f t="shared" si="27"/>
        <v>8.6440219444220302E-5</v>
      </c>
      <c r="X248" s="6">
        <f ca="1">SQRT($B$9*AVERAGE(W248:OFFSET(W248,$B$5-1,0)))</f>
        <v>0.15588115874894037</v>
      </c>
      <c r="Y248" s="6" t="e">
        <f ca="1">SQRT($B$9*AVERAGE(W248:OFFSET(W248,$B$6-1,0)))</f>
        <v>#DIV/0!</v>
      </c>
      <c r="Z248" s="6" t="e">
        <f ca="1">SQRT($B$9*AVERAGE(W248:OFFSET(W248,$B$7-1,0)))</f>
        <v>#DIV/0!</v>
      </c>
      <c r="AA248" s="6" t="e">
        <f ca="1">SQRT($B$9*AVERAGE(W248:OFFSET(W248,$B$8-1,0)))</f>
        <v>#DIV/0!</v>
      </c>
      <c r="AC248" s="34">
        <f t="shared" si="25"/>
        <v>1.9321400221904256E-5</v>
      </c>
      <c r="AD248" s="34">
        <f ca="1">SQRT($B$9*SUM(AC248:OFFSET(AC248,$B$5-1,0))/($B$5-1))</f>
        <v>0.11660048045566143</v>
      </c>
      <c r="AE248" s="34" t="e">
        <f ca="1">SQRT($B$9*SUM(AC248:OFFSET(AC248,$B$6-1,0))/($B$6-1))</f>
        <v>#DIV/0!</v>
      </c>
      <c r="AF248" s="34" t="e">
        <f ca="1">SQRT($B$9*SUM(AC248:OFFSET(AC248,$B$7-1,0))/($B$7-1))</f>
        <v>#DIV/0!</v>
      </c>
      <c r="AG248" s="34" t="e">
        <f ca="1">SQRT($B$9*SUM(AC248:OFFSET(AC248,$B$8-1,0))/($B$8-1))</f>
        <v>#DIV/0!</v>
      </c>
      <c r="AI248" s="1">
        <f t="shared" si="26"/>
        <v>-4.3956114730381093E-3</v>
      </c>
      <c r="AJ248" s="4">
        <f ca="1">SQRT($B$9)*_xlfn.STDEV.S(AI248:OFFSET(AI248,$B$5-1,0))</f>
        <v>6.8562517640083892E-2</v>
      </c>
      <c r="AK248" s="4" t="e">
        <f ca="1">SQRT($B$9)*_xlfn.STDEV.S(AI248:OFFSET(AI248,$B$6-1,0))</f>
        <v>#DIV/0!</v>
      </c>
      <c r="AL248" s="4" t="e">
        <f ca="1">SQRT($B$9)*_xlfn.STDEV.S(AI248:OFFSET(AI248,$B$7-1,0))</f>
        <v>#DIV/0!</v>
      </c>
      <c r="AM248" s="4" t="e">
        <f ca="1">SQRT($B$9)*_xlfn.STDEV.S(AI248:OFFSET(AI248,$B$8-1,0))</f>
        <v>#DIV/0!</v>
      </c>
    </row>
    <row r="249" spans="5:39" x14ac:dyDescent="0.2">
      <c r="E249" s="42">
        <v>45300</v>
      </c>
      <c r="F249" s="43">
        <v>2.2350789376663487</v>
      </c>
      <c r="G249" s="43">
        <v>2.2399782777313781</v>
      </c>
      <c r="H249" s="43">
        <v>2.2233205215102787</v>
      </c>
      <c r="I249" s="43">
        <v>2.2340990696533427</v>
      </c>
      <c r="K249" s="3">
        <f t="shared" si="24"/>
        <v>5.571666386361231E-5</v>
      </c>
      <c r="L249" s="3">
        <f ca="1">SQRT(AVERAGE(K249:OFFSET(K249,$B$5-1,0))*$B$9/(4*LN(2)))</f>
        <v>0.12767439608702902</v>
      </c>
      <c r="M249" s="3" t="e">
        <f ca="1">SQRT(AVERAGE(K249:OFFSET(K249,$B$6-1,0))*$B$9/(4*LN(2)))</f>
        <v>#DIV/0!</v>
      </c>
      <c r="N249" s="3" t="e">
        <f ca="1">SQRT(AVERAGE(K249:OFFSET(K249,$B$7-1,0))*$B$9/(4*LN(2)))</f>
        <v>#DIV/0!</v>
      </c>
      <c r="O249" s="3" t="e">
        <f ca="1">SQRT(AVERAGE(K249:OFFSET(K249,$B$8-1,0))*$B$9/(4*LN(2)))</f>
        <v>#DIV/0!</v>
      </c>
      <c r="Q249" s="5">
        <f t="shared" si="22"/>
        <v>2.7932979457896661E-5</v>
      </c>
      <c r="R249" s="5">
        <f ca="1">SQRT($B$9*AVERAGE((Q249:OFFSET(Q249,$B$5-1,0))))</f>
        <v>0.13993263726780436</v>
      </c>
      <c r="S249" s="5" t="e">
        <f ca="1">SQRT($B$9*AVERAGE((Q249:OFFSET(Q249,$B$6-1,0))))</f>
        <v>#DIV/0!</v>
      </c>
      <c r="T249" s="5" t="e">
        <f ca="1">SQRT($B$9*AVERAGE((Q249:OFFSET(Q249,$B$7-1,0))))</f>
        <v>#DIV/0!</v>
      </c>
      <c r="U249" s="5" t="e">
        <f ca="1">SQRT($B$9*AVERAGE((Q249:OFFSET(Q249,$B$8-1,0))))</f>
        <v>#DIV/0!</v>
      </c>
      <c r="W249" s="6">
        <f t="shared" si="27"/>
        <v>3.126447639872634E-5</v>
      </c>
      <c r="X249" s="6">
        <f ca="1">SQRT($B$9*AVERAGE(W249:OFFSET(W249,$B$5-1,0)))</f>
        <v>0.14467666937396792</v>
      </c>
      <c r="Y249" s="6" t="e">
        <f ca="1">SQRT($B$9*AVERAGE(W249:OFFSET(W249,$B$6-1,0)))</f>
        <v>#DIV/0!</v>
      </c>
      <c r="Z249" s="6" t="e">
        <f ca="1">SQRT($B$9*AVERAGE(W249:OFFSET(W249,$B$7-1,0)))</f>
        <v>#DIV/0!</v>
      </c>
      <c r="AA249" s="6" t="e">
        <f ca="1">SQRT($B$9*AVERAGE(W249:OFFSET(W249,$B$8-1,0)))</f>
        <v>#DIV/0!</v>
      </c>
      <c r="AC249" s="34">
        <f t="shared" si="25"/>
        <v>7.7014304315979903E-7</v>
      </c>
      <c r="AD249" s="34" t="e">
        <f ca="1">SQRT($B$9*SUM(AC249:OFFSET(AC249,$B$5-1,0))/($B$5-1))</f>
        <v>#DIV/0!</v>
      </c>
      <c r="AE249" s="34" t="e">
        <f ca="1">SQRT($B$9*SUM(AC249:OFFSET(AC249,$B$6-1,0))/($B$6-1))</f>
        <v>#DIV/0!</v>
      </c>
      <c r="AF249" s="34" t="e">
        <f ca="1">SQRT($B$9*SUM(AC249:OFFSET(AC249,$B$7-1,0))/($B$7-1))</f>
        <v>#DIV/0!</v>
      </c>
      <c r="AG249" s="34" t="e">
        <f ca="1">SQRT($B$9*SUM(AC249:OFFSET(AC249,$B$8-1,0))/($B$8-1))</f>
        <v>#DIV/0!</v>
      </c>
      <c r="AI249" s="1">
        <f t="shared" si="26"/>
        <v>8.7757794135894223E-4</v>
      </c>
      <c r="AJ249" s="4" t="e">
        <f ca="1">SQRT($B$9)*_xlfn.STDEV.S(AI249:OFFSET(AI249,$B$5-1,0))</f>
        <v>#DIV/0!</v>
      </c>
      <c r="AK249" s="4" t="e">
        <f ca="1">SQRT($B$9)*_xlfn.STDEV.S(AI249:OFFSET(AI249,$B$6-1,0))</f>
        <v>#DIV/0!</v>
      </c>
      <c r="AL249" s="4" t="e">
        <f ca="1">SQRT($B$9)*_xlfn.STDEV.S(AI249:OFFSET(AI249,$B$7-1,0))</f>
        <v>#DIV/0!</v>
      </c>
      <c r="AM249" s="4" t="e">
        <f ca="1">SQRT($B$9)*_xlfn.STDEV.S(AI249:OFFSET(AI249,$B$8-1,0))</f>
        <v>#DIV/0!</v>
      </c>
    </row>
    <row r="250" spans="5:39" x14ac:dyDescent="0.2">
      <c r="E250" s="42">
        <v>45299</v>
      </c>
      <c r="F250" s="43">
        <v>2.2536964299134596</v>
      </c>
      <c r="G250" s="43">
        <v>2.2625152420305126</v>
      </c>
      <c r="H250" s="43">
        <v>2.2282198615753077</v>
      </c>
      <c r="I250" s="43">
        <v>2.2321393336273312</v>
      </c>
      <c r="K250" s="3">
        <f t="shared" si="24"/>
        <v>2.3329920134277496E-4</v>
      </c>
      <c r="L250" s="3" t="e">
        <f ca="1">SQRT(AVERAGE(K250:OFFSET(K250,$B$5-1,0))*$B$9/(4*LN(2)))</f>
        <v>#DIV/0!</v>
      </c>
      <c r="M250" s="3" t="e">
        <f ca="1">SQRT(AVERAGE(K250:OFFSET(K250,$B$6-1,0))*$B$9/(4*LN(2)))</f>
        <v>#DIV/0!</v>
      </c>
      <c r="N250" s="3" t="e">
        <f ca="1">SQRT(AVERAGE(K250:OFFSET(K250,$B$7-1,0))*$B$9/(4*LN(2)))</f>
        <v>#DIV/0!</v>
      </c>
      <c r="O250" s="3" t="e">
        <f ca="1">SQRT(AVERAGE(K250:OFFSET(K250,$B$8-1,0))*$B$9/(4*LN(2)))</f>
        <v>#DIV/0!</v>
      </c>
      <c r="Q250" s="5">
        <f t="shared" si="22"/>
        <v>8.0785689664230909E-5</v>
      </c>
      <c r="R250" s="5" t="e">
        <f ca="1">SQRT($B$9*AVERAGE((Q250:OFFSET(Q250,$B$5-1,0))))</f>
        <v>#DIV/0!</v>
      </c>
      <c r="S250" s="5" t="e">
        <f ca="1">SQRT($B$9*AVERAGE((Q250:OFFSET(Q250,$B$6-1,0))))</f>
        <v>#DIV/0!</v>
      </c>
      <c r="T250" s="5" t="e">
        <f ca="1">SQRT($B$9*AVERAGE((Q250:OFFSET(Q250,$B$7-1,0))))</f>
        <v>#DIV/0!</v>
      </c>
      <c r="U250" s="5" t="e">
        <f ca="1">SQRT($B$9*AVERAGE((Q250:OFFSET(Q250,$B$8-1,0))))</f>
        <v>#DIV/0!</v>
      </c>
      <c r="W250" s="6">
        <f t="shared" si="27"/>
        <v>7.2768279632793841E-5</v>
      </c>
      <c r="X250" s="6" t="e">
        <f ca="1">SQRT($B$9*AVERAGE(W250:OFFSET(W250,$B$5-1,0)))</f>
        <v>#DIV/0!</v>
      </c>
      <c r="Y250" s="6" t="e">
        <f ca="1">SQRT($B$9*AVERAGE(W250:OFFSET(W250,$B$6-1,0)))</f>
        <v>#DIV/0!</v>
      </c>
      <c r="Z250" s="6" t="e">
        <f ca="1">SQRT($B$9*AVERAGE(W250:OFFSET(W250,$B$7-1,0)))</f>
        <v>#DIV/0!</v>
      </c>
      <c r="AA250" s="6" t="e">
        <f ca="1">SQRT($B$9*AVERAGE(W250:OFFSET(W250,$B$8-1,0)))</f>
        <v>#DIV/0!</v>
      </c>
      <c r="AC250" s="34">
        <f t="shared" si="25"/>
        <v>1.1913189446959366E-4</v>
      </c>
      <c r="AD250" s="34" t="e">
        <f ca="1">SQRT($B$9*SUM(AC250:OFFSET(AC250,$B$5-1,0))/($B$5-1))</f>
        <v>#DIV/0!</v>
      </c>
      <c r="AE250" s="34" t="e">
        <f ca="1">SQRT($B$9*SUM(AC250:OFFSET(AC250,$B$6-1,0))/($B$6-1))</f>
        <v>#DIV/0!</v>
      </c>
      <c r="AF250" s="34" t="e">
        <f ca="1">SQRT($B$9*SUM(AC250:OFFSET(AC250,$B$7-1,0))/($B$7-1))</f>
        <v>#DIV/0!</v>
      </c>
      <c r="AG250" s="34" t="e">
        <f ca="1">SQRT($B$9*SUM(AC250:OFFSET(AC250,$B$8-1,0))/($B$8-1))</f>
        <v>#DIV/0!</v>
      </c>
      <c r="AI250" s="1">
        <f t="shared" si="26"/>
        <v>-1.0914755813557794E-2</v>
      </c>
      <c r="AJ250" s="4" t="e">
        <f ca="1">SQRT($B$9)*_xlfn.STDEV.S(AI250:OFFSET(AI250,$B$5-1,0))</f>
        <v>#DIV/0!</v>
      </c>
      <c r="AK250" s="4" t="e">
        <f ca="1">SQRT($B$9)*_xlfn.STDEV.S(AI250:OFFSET(AI250,$B$6-1,0))</f>
        <v>#DIV/0!</v>
      </c>
      <c r="AL250" s="4" t="e">
        <f ca="1">SQRT($B$9)*_xlfn.STDEV.S(AI250:OFFSET(AI250,$B$7-1,0))</f>
        <v>#DIV/0!</v>
      </c>
      <c r="AM250" s="4" t="e">
        <f ca="1">SQRT($B$9)*_xlfn.STDEV.S(AI250:OFFSET(AI250,$B$8-1,0))</f>
        <v>#DIV/0!</v>
      </c>
    </row>
    <row r="251" spans="5:39" x14ac:dyDescent="0.2">
      <c r="E251" s="42">
        <v>45296</v>
      </c>
      <c r="F251" s="43">
        <v>2.2615353740175066</v>
      </c>
      <c r="G251" s="43">
        <v>2.285052206329647</v>
      </c>
      <c r="H251" s="43">
        <v>2.2438977497834016</v>
      </c>
      <c r="I251" s="43">
        <v>2.2566360339524776</v>
      </c>
      <c r="K251" s="3">
        <f t="shared" si="24"/>
        <v>3.3031066631973257E-4</v>
      </c>
      <c r="L251" s="3" t="e">
        <f ca="1">SQRT(AVERAGE(K251:OFFSET(K251,$B$5-1,0))*$B$9/(4*LN(2)))</f>
        <v>#DIV/0!</v>
      </c>
      <c r="M251" s="3" t="e">
        <f ca="1">SQRT(AVERAGE(K251:OFFSET(K251,$B$6-1,0))*$B$9/(4*LN(2)))</f>
        <v>#DIV/0!</v>
      </c>
      <c r="N251" s="3" t="e">
        <f ca="1">SQRT(AVERAGE(K251:OFFSET(K251,$B$7-1,0))*$B$9/(4*LN(2)))</f>
        <v>#DIV/0!</v>
      </c>
      <c r="O251" s="3" t="e">
        <f ca="1">SQRT(AVERAGE(K251:OFFSET(K251,$B$8-1,0))*$B$9/(4*LN(2)))</f>
        <v>#DIV/0!</v>
      </c>
      <c r="Q251" s="5">
        <f t="shared" si="22"/>
        <v>1.6401316139713355E-4</v>
      </c>
      <c r="R251" s="5" t="e">
        <f ca="1">SQRT($B$9*AVERAGE((Q251:OFFSET(Q251,$B$5-1,0))))</f>
        <v>#DIV/0!</v>
      </c>
      <c r="S251" s="5" t="e">
        <f ca="1">SQRT($B$9*AVERAGE((Q251:OFFSET(Q251,$B$6-1,0))))</f>
        <v>#DIV/0!</v>
      </c>
      <c r="T251" s="5" t="e">
        <f ca="1">SQRT($B$9*AVERAGE((Q251:OFFSET(Q251,$B$7-1,0))))</f>
        <v>#DIV/0!</v>
      </c>
      <c r="U251" s="5" t="e">
        <f ca="1">SQRT($B$9*AVERAGE((Q251:OFFSET(Q251,$B$8-1,0))))</f>
        <v>#DIV/0!</v>
      </c>
      <c r="W251" s="6">
        <f t="shared" si="27"/>
        <v>1.7377411702941686E-4</v>
      </c>
      <c r="X251" s="6" t="e">
        <f ca="1">SQRT($B$9*AVERAGE(W251:OFFSET(W251,$B$5-1,0)))</f>
        <v>#DIV/0!</v>
      </c>
      <c r="Y251" s="6" t="e">
        <f ca="1">SQRT($B$9*AVERAGE(W251:OFFSET(W251,$B$6-1,0)))</f>
        <v>#DIV/0!</v>
      </c>
      <c r="Z251" s="6" t="e">
        <f ca="1">SQRT($B$9*AVERAGE(W251:OFFSET(W251,$B$7-1,0)))</f>
        <v>#DIV/0!</v>
      </c>
      <c r="AA251" s="6" t="e">
        <f ca="1">SQRT($B$9*AVERAGE(W251:OFFSET(W251,$B$8-1,0)))</f>
        <v>#DIV/0!</v>
      </c>
      <c r="AC251" s="34">
        <f t="shared" si="25"/>
        <v>2.2705300600949582E-5</v>
      </c>
      <c r="AD251" s="34" t="e">
        <f ca="1">SQRT($B$9*SUM(AC251:OFFSET(AC251,$B$5-1,0))/($B$5-1))</f>
        <v>#DIV/0!</v>
      </c>
      <c r="AE251" s="34" t="e">
        <f ca="1">SQRT($B$9*SUM(AC251:OFFSET(AC251,$B$6-1,0))/($B$6-1))</f>
        <v>#DIV/0!</v>
      </c>
      <c r="AF251" s="34" t="e">
        <f ca="1">SQRT($B$9*SUM(AC251:OFFSET(AC251,$B$7-1,0))/($B$7-1))</f>
        <v>#DIV/0!</v>
      </c>
      <c r="AG251" s="34" t="e">
        <f ca="1">SQRT($B$9*SUM(AC251:OFFSET(AC251,$B$8-1,0))/($B$8-1))</f>
        <v>#DIV/0!</v>
      </c>
      <c r="AI251" s="1">
        <f t="shared" si="26"/>
        <v>-4.7650079329366896E-3</v>
      </c>
      <c r="AJ251" s="4" t="e">
        <f ca="1">SQRT($B$9)*_xlfn.STDEV.S(AI251:OFFSET(AI251,$B$5-1,0))</f>
        <v>#DIV/0!</v>
      </c>
      <c r="AK251" s="4" t="e">
        <f ca="1">SQRT($B$9)*_xlfn.STDEV.S(AI251:OFFSET(AI251,$B$6-1,0))</f>
        <v>#DIV/0!</v>
      </c>
      <c r="AL251" s="4" t="e">
        <f ca="1">SQRT($B$9)*_xlfn.STDEV.S(AI251:OFFSET(AI251,$B$7-1,0))</f>
        <v>#DIV/0!</v>
      </c>
      <c r="AM251" s="4" t="e">
        <f ca="1">SQRT($B$9)*_xlfn.STDEV.S(AI251:OFFSET(AI251,$B$8-1,0))</f>
        <v>#DIV/0!</v>
      </c>
    </row>
    <row r="252" spans="5:39" x14ac:dyDescent="0.2">
      <c r="E252" s="42">
        <v>45295</v>
      </c>
      <c r="F252" s="43">
        <v>2.2840723383166415</v>
      </c>
      <c r="G252" s="43">
        <v>2.285052206329647</v>
      </c>
      <c r="H252" s="43">
        <v>2.2487970898484306</v>
      </c>
      <c r="I252" s="43">
        <v>2.267414582095542</v>
      </c>
      <c r="K252" s="3">
        <f t="shared" si="24"/>
        <v>2.5578964245454353E-4</v>
      </c>
      <c r="L252" s="3" t="e">
        <f ca="1">SQRT(AVERAGE(K252:OFFSET(K252,$B$5-1,0))*$B$9/(4*LN(2)))</f>
        <v>#DIV/0!</v>
      </c>
      <c r="M252" s="3" t="e">
        <f ca="1">SQRT(AVERAGE(K252:OFFSET(K252,$B$6-1,0))*$B$9/(4*LN(2)))</f>
        <v>#DIV/0!</v>
      </c>
      <c r="N252" s="3" t="e">
        <f ca="1">SQRT(AVERAGE(K252:OFFSET(K252,$B$7-1,0))*$B$9/(4*LN(2)))</f>
        <v>#DIV/0!</v>
      </c>
      <c r="O252" s="3" t="e">
        <f ca="1">SQRT(AVERAGE(K252:OFFSET(K252,$B$8-1,0))*$B$9/(4*LN(2)))</f>
        <v>#DIV/0!</v>
      </c>
      <c r="Q252" s="5">
        <f t="shared" si="22"/>
        <v>1.078292931092734E-4</v>
      </c>
      <c r="R252" s="5" t="e">
        <f ca="1">SQRT($B$9*AVERAGE((Q252:OFFSET(Q252,$B$5-1,0))))</f>
        <v>#DIV/0!</v>
      </c>
      <c r="S252" s="5" t="e">
        <f ca="1">SQRT($B$9*AVERAGE((Q252:OFFSET(Q252,$B$6-1,0))))</f>
        <v>#DIV/0!</v>
      </c>
      <c r="T252" s="5" t="e">
        <f ca="1">SQRT($B$9*AVERAGE((Q252:OFFSET(Q252,$B$7-1,0))))</f>
        <v>#DIV/0!</v>
      </c>
      <c r="U252" s="5" t="e">
        <f ca="1">SQRT($B$9*AVERAGE((Q252:OFFSET(Q252,$B$8-1,0))))</f>
        <v>#DIV/0!</v>
      </c>
      <c r="W252" s="6">
        <f t="shared" si="27"/>
        <v>1.3164955347264577E-4</v>
      </c>
      <c r="X252" s="6" t="e">
        <f ca="1">SQRT($B$9*AVERAGE(W252:OFFSET(W252,$B$5-1,0)))</f>
        <v>#DIV/0!</v>
      </c>
      <c r="Y252" s="6" t="e">
        <f ca="1">SQRT($B$9*AVERAGE(W252:OFFSET(W252,$B$6-1,0)))</f>
        <v>#DIV/0!</v>
      </c>
      <c r="Z252" s="6" t="e">
        <f ca="1">SQRT($B$9*AVERAGE(W252:OFFSET(W252,$B$7-1,0)))</f>
        <v>#DIV/0!</v>
      </c>
      <c r="AA252" s="6" t="e">
        <f ca="1">SQRT($B$9*AVERAGE(W252:OFFSET(W252,$B$8-1,0)))</f>
        <v>#DIV/0!</v>
      </c>
      <c r="AC252" s="34">
        <f t="shared" si="25"/>
        <v>6.0041417460165513E-5</v>
      </c>
      <c r="AD252" s="34" t="e">
        <f ca="1">SQRT($B$9*SUM(AC252:OFFSET(AC252,$B$5-1,0))/($B$5-1))</f>
        <v>#DIV/0!</v>
      </c>
      <c r="AE252" s="34" t="e">
        <f ca="1">SQRT($B$9*SUM(AC252:OFFSET(AC252,$B$6-1,0))/($B$6-1))</f>
        <v>#DIV/0!</v>
      </c>
      <c r="AF252" s="34" t="e">
        <f ca="1">SQRT($B$9*SUM(AC252:OFFSET(AC252,$B$7-1,0))/($B$7-1))</f>
        <v>#DIV/0!</v>
      </c>
      <c r="AG252" s="34" t="e">
        <f ca="1">SQRT($B$9*SUM(AC252:OFFSET(AC252,$B$8-1,0))/($B$8-1))</f>
        <v>#DIV/0!</v>
      </c>
      <c r="AI252" s="1">
        <f t="shared" si="26"/>
        <v>-7.748639716760969E-3</v>
      </c>
      <c r="AJ252" s="4" t="e">
        <f ca="1">SQRT($B$9)*_xlfn.STDEV.S(AI252:OFFSET(AI252,$B$5-1,0))</f>
        <v>#DIV/0!</v>
      </c>
      <c r="AK252" s="4" t="e">
        <f ca="1">SQRT($B$9)*_xlfn.STDEV.S(AI252:OFFSET(AI252,$B$6-1,0))</f>
        <v>#DIV/0!</v>
      </c>
      <c r="AL252" s="4" t="e">
        <f ca="1">SQRT($B$9)*_xlfn.STDEV.S(AI252:OFFSET(AI252,$B$7-1,0))</f>
        <v>#DIV/0!</v>
      </c>
      <c r="AM252" s="4" t="e">
        <f ca="1">SQRT($B$9)*_xlfn.STDEV.S(AI252:OFFSET(AI252,$B$8-1,0))</f>
        <v>#DIV/0!</v>
      </c>
    </row>
    <row r="253" spans="5:39" x14ac:dyDescent="0.2">
      <c r="E253" s="42">
        <v>45294</v>
      </c>
      <c r="F253" s="43">
        <v>2.2772132622256001</v>
      </c>
      <c r="G253" s="43">
        <v>2.2889716783816705</v>
      </c>
      <c r="H253" s="43">
        <v>2.2732937901735766</v>
      </c>
      <c r="I253" s="43">
        <v>2.285052206329647</v>
      </c>
      <c r="K253" s="3">
        <f t="shared" si="24"/>
        <v>4.7236469704148588E-5</v>
      </c>
      <c r="L253" s="3" t="e">
        <f ca="1">SQRT(AVERAGE(K253:OFFSET(K253,$B$5-1,0))*$B$9/(4*LN(2)))</f>
        <v>#DIV/0!</v>
      </c>
      <c r="M253" s="3" t="e">
        <f ca="1">SQRT(AVERAGE(K253:OFFSET(K253,$B$6-1,0))*$B$9/(4*LN(2)))</f>
        <v>#DIV/0!</v>
      </c>
      <c r="N253" s="3" t="e">
        <f ca="1">SQRT(AVERAGE(K253:OFFSET(K253,$B$7-1,0))*$B$9/(4*LN(2)))</f>
        <v>#DIV/0!</v>
      </c>
      <c r="O253" s="3" t="e">
        <f ca="1">SQRT(AVERAGE(K253:OFFSET(K253,$B$8-1,0))*$B$9/(4*LN(2)))</f>
        <v>#DIV/0!</v>
      </c>
      <c r="Q253" s="5">
        <f t="shared" si="22"/>
        <v>1.9054039080096236E-5</v>
      </c>
      <c r="R253" s="5" t="e">
        <f ca="1">SQRT($B$9*AVERAGE((Q253:OFFSET(Q253,$B$5-1,0))))</f>
        <v>#DIV/0!</v>
      </c>
      <c r="S253" s="5" t="e">
        <f ca="1">SQRT($B$9*AVERAGE((Q253:OFFSET(Q253,$B$6-1,0))))</f>
        <v>#DIV/0!</v>
      </c>
      <c r="T253" s="5" t="e">
        <f ca="1">SQRT($B$9*AVERAGE((Q253:OFFSET(Q253,$B$7-1,0))))</f>
        <v>#DIV/0!</v>
      </c>
      <c r="U253" s="5" t="e">
        <f ca="1">SQRT($B$9*AVERAGE((Q253:OFFSET(Q253,$B$8-1,0))))</f>
        <v>#DIV/0!</v>
      </c>
      <c r="W253" s="6">
        <f t="shared" si="27"/>
        <v>1.7713750224466783E-5</v>
      </c>
      <c r="X253" s="6" t="e">
        <f ca="1">SQRT($B$9*AVERAGE(W253:OFFSET(W253,$B$5-1,0)))</f>
        <v>#DIV/0!</v>
      </c>
      <c r="Y253" s="6" t="e">
        <f ca="1">SQRT($B$9*AVERAGE(W253:OFFSET(W253,$B$6-1,0)))</f>
        <v>#DIV/0!</v>
      </c>
      <c r="Z253" s="6" t="e">
        <f ca="1">SQRT($B$9*AVERAGE(W253:OFFSET(W253,$B$7-1,0)))</f>
        <v>#DIV/0!</v>
      </c>
      <c r="AA253" s="6" t="e">
        <f ca="1">SQRT($B$9*AVERAGE(W253:OFFSET(W253,$B$8-1,0)))</f>
        <v>#DIV/0!</v>
      </c>
      <c r="AC253" s="34" t="e">
        <f t="shared" si="25"/>
        <v>#DIV/0!</v>
      </c>
      <c r="AD253" s="34" t="e">
        <f ca="1">SQRT($B$9*SUM(AC253:OFFSET(AC253,$B$5-1,0))/($B$5-1))</f>
        <v>#DIV/0!</v>
      </c>
      <c r="AE253" s="34" t="e">
        <f ca="1">SQRT($B$9*SUM(AC253:OFFSET(AC253,$B$6-1,0))/($B$6-1))</f>
        <v>#DIV/0!</v>
      </c>
      <c r="AF253" s="34" t="e">
        <f ca="1">SQRT($B$9*SUM(AC253:OFFSET(AC253,$B$7-1,0))/($B$7-1))</f>
        <v>#DIV/0!</v>
      </c>
      <c r="AG253" s="34" t="e">
        <f ca="1">SQRT($B$9*SUM(AC253:OFFSET(AC253,$B$8-1,0))/($B$8-1))</f>
        <v>#DIV/0!</v>
      </c>
      <c r="AI253" s="1" t="e">
        <f t="shared" si="26"/>
        <v>#DIV/0!</v>
      </c>
      <c r="AJ253" s="4" t="e">
        <f ca="1">SQRT($B$9)*_xlfn.STDEV.S(AI253:OFFSET(AI253,$B$5-1,0))</f>
        <v>#DIV/0!</v>
      </c>
      <c r="AK253" s="4" t="e">
        <f ca="1">SQRT($B$9)*_xlfn.STDEV.S(AI253:OFFSET(AI253,$B$6-1,0))</f>
        <v>#DIV/0!</v>
      </c>
      <c r="AL253" s="4" t="e">
        <f ca="1">SQRT($B$9)*_xlfn.STDEV.S(AI253:OFFSET(AI253,$B$7-1,0))</f>
        <v>#DIV/0!</v>
      </c>
      <c r="AM253" s="4" t="e">
        <f ca="1">SQRT($B$9)*_xlfn.STDEV.S(AI253:OFFSET(AI253,$B$8-1,0))</f>
        <v>#DIV/0!</v>
      </c>
    </row>
    <row r="254" spans="5:39" x14ac:dyDescent="0.2">
      <c r="E254" s="42">
        <v>45282</v>
      </c>
      <c r="F254" s="43"/>
      <c r="G254" s="43"/>
      <c r="H254" s="43"/>
      <c r="I254" s="43"/>
      <c r="K254" s="3" t="e">
        <f t="shared" si="24"/>
        <v>#DIV/0!</v>
      </c>
      <c r="L254" s="3" t="e">
        <f ca="1">SQRT(AVERAGE(K254:OFFSET(K254,$B$5-1,0))*$B$9/(4*LN(2)))</f>
        <v>#DIV/0!</v>
      </c>
      <c r="M254" s="3" t="e">
        <f ca="1">SQRT(AVERAGE(K254:OFFSET(K254,$B$6-1,0))*$B$9/(4*LN(2)))</f>
        <v>#DIV/0!</v>
      </c>
      <c r="N254" s="3" t="e">
        <f ca="1">SQRT(AVERAGE(K254:OFFSET(K254,$B$7-1,0))*$B$9/(4*LN(2)))</f>
        <v>#DIV/0!</v>
      </c>
      <c r="O254" s="3" t="e">
        <f ca="1">SQRT(AVERAGE(K254:OFFSET(K254,$B$8-1,0))*$B$9/(4*LN(2)))</f>
        <v>#DIV/0!</v>
      </c>
      <c r="Q254" s="5" t="e">
        <f t="shared" si="22"/>
        <v>#DIV/0!</v>
      </c>
      <c r="R254" s="5" t="e">
        <f ca="1">SQRT($B$9*AVERAGE((Q254:OFFSET(Q254,$B$5-1,0))))</f>
        <v>#DIV/0!</v>
      </c>
      <c r="S254" s="5" t="e">
        <f ca="1">SQRT($B$9*AVERAGE((Q254:OFFSET(Q254,$B$6-1,0))))</f>
        <v>#DIV/0!</v>
      </c>
      <c r="T254" s="5" t="e">
        <f ca="1">SQRT($B$9*AVERAGE((Q254:OFFSET(Q254,$B$7-1,0))))</f>
        <v>#DIV/0!</v>
      </c>
      <c r="U254" s="5" t="e">
        <f ca="1">SQRT($B$9*AVERAGE((Q254:OFFSET(Q254,$B$8-1,0))))</f>
        <v>#DIV/0!</v>
      </c>
      <c r="W254" s="6" t="e">
        <f t="shared" si="27"/>
        <v>#DIV/0!</v>
      </c>
      <c r="X254" s="6" t="e">
        <f ca="1">SQRT($B$9*AVERAGE(W254:OFFSET(W254,$B$5-1,0)))</f>
        <v>#DIV/0!</v>
      </c>
      <c r="Y254" s="6" t="e">
        <f ca="1">SQRT($B$9*AVERAGE(W254:OFFSET(W254,$B$6-1,0)))</f>
        <v>#DIV/0!</v>
      </c>
      <c r="Z254" s="6" t="e">
        <f ca="1">SQRT($B$9*AVERAGE(W254:OFFSET(W254,$B$7-1,0)))</f>
        <v>#DIV/0!</v>
      </c>
      <c r="AA254" s="6" t="e">
        <f ca="1">SQRT($B$9*AVERAGE(W254:OFFSET(W254,$B$8-1,0)))</f>
        <v>#DIV/0!</v>
      </c>
      <c r="AC254" s="34" t="e">
        <f t="shared" si="25"/>
        <v>#DIV/0!</v>
      </c>
      <c r="AD254" s="34" t="e">
        <f ca="1">SQRT($B$9*SUM(AC254:OFFSET(AC254,$B$5-1,0))/($B$5-1))</f>
        <v>#DIV/0!</v>
      </c>
      <c r="AE254" s="34" t="e">
        <f ca="1">SQRT($B$9*SUM(AC254:OFFSET(AC254,$B$6-1,0))/($B$6-1))</f>
        <v>#DIV/0!</v>
      </c>
      <c r="AF254" s="34" t="e">
        <f ca="1">SQRT($B$9*SUM(AC254:OFFSET(AC254,$B$7-1,0))/($B$7-1))</f>
        <v>#DIV/0!</v>
      </c>
      <c r="AG254" s="34" t="e">
        <f ca="1">SQRT($B$9*SUM(AC254:OFFSET(AC254,$B$8-1,0))/($B$8-1))</f>
        <v>#DIV/0!</v>
      </c>
      <c r="AI254" s="1" t="e">
        <f t="shared" si="26"/>
        <v>#DIV/0!</v>
      </c>
      <c r="AJ254" s="4" t="e">
        <f ca="1">SQRT($B$9)*_xlfn.STDEV.S(AI254:OFFSET(AI254,$B$5-1,0))</f>
        <v>#DIV/0!</v>
      </c>
      <c r="AK254" s="4" t="e">
        <f ca="1">SQRT($B$9)*_xlfn.STDEV.S(AI254:OFFSET(AI254,$B$6-1,0))</f>
        <v>#DIV/0!</v>
      </c>
      <c r="AL254" s="4" t="e">
        <f ca="1">SQRT($B$9)*_xlfn.STDEV.S(AI254:OFFSET(AI254,$B$7-1,0))</f>
        <v>#DIV/0!</v>
      </c>
      <c r="AM254" s="4" t="e">
        <f ca="1">SQRT($B$9)*_xlfn.STDEV.S(AI254:OFFSET(AI254,$B$8-1,0))</f>
        <v>#DIV/0!</v>
      </c>
    </row>
    <row r="255" spans="5:39" x14ac:dyDescent="0.2">
      <c r="E255" s="42">
        <v>45281</v>
      </c>
      <c r="F255" s="43"/>
      <c r="G255" s="43"/>
      <c r="H255" s="43"/>
      <c r="I255" s="43"/>
      <c r="K255" s="3" t="e">
        <f t="shared" si="24"/>
        <v>#DIV/0!</v>
      </c>
      <c r="L255" s="3" t="e">
        <f ca="1">SQRT(AVERAGE(K255:OFFSET(K255,$B$5-1,0))*$B$9/(4*LN(2)))</f>
        <v>#DIV/0!</v>
      </c>
      <c r="M255" s="3" t="e">
        <f ca="1">SQRT(AVERAGE(K255:OFFSET(K255,$B$6-1,0))*$B$9/(4*LN(2)))</f>
        <v>#DIV/0!</v>
      </c>
      <c r="N255" s="3" t="e">
        <f ca="1">SQRT(AVERAGE(K255:OFFSET(K255,$B$7-1,0))*$B$9/(4*LN(2)))</f>
        <v>#DIV/0!</v>
      </c>
      <c r="O255" s="3" t="e">
        <f ca="1">SQRT(AVERAGE(K255:OFFSET(K255,$B$8-1,0))*$B$9/(4*LN(2)))</f>
        <v>#DIV/0!</v>
      </c>
      <c r="Q255" s="5" t="e">
        <f t="shared" si="22"/>
        <v>#DIV/0!</v>
      </c>
      <c r="R255" s="5" t="e">
        <f ca="1">SQRT($B$9*AVERAGE((Q255:OFFSET(Q255,$B$5-1,0))))</f>
        <v>#DIV/0!</v>
      </c>
      <c r="S255" s="5" t="e">
        <f ca="1">SQRT($B$9*AVERAGE((Q255:OFFSET(Q255,$B$6-1,0))))</f>
        <v>#DIV/0!</v>
      </c>
      <c r="T255" s="5" t="e">
        <f ca="1">SQRT($B$9*AVERAGE((Q255:OFFSET(Q255,$B$7-1,0))))</f>
        <v>#DIV/0!</v>
      </c>
      <c r="U255" s="5" t="e">
        <f ca="1">SQRT($B$9*AVERAGE((Q255:OFFSET(Q255,$B$8-1,0))))</f>
        <v>#DIV/0!</v>
      </c>
      <c r="W255" s="6" t="e">
        <f t="shared" si="27"/>
        <v>#DIV/0!</v>
      </c>
      <c r="X255" s="6" t="e">
        <f ca="1">SQRT($B$9*AVERAGE(W255:OFFSET(W255,$B$5-1,0)))</f>
        <v>#DIV/0!</v>
      </c>
      <c r="Y255" s="6" t="e">
        <f ca="1">SQRT($B$9*AVERAGE(W255:OFFSET(W255,$B$6-1,0)))</f>
        <v>#DIV/0!</v>
      </c>
      <c r="Z255" s="6" t="e">
        <f ca="1">SQRT($B$9*AVERAGE(W255:OFFSET(W255,$B$7-1,0)))</f>
        <v>#DIV/0!</v>
      </c>
      <c r="AA255" s="6" t="e">
        <f ca="1">SQRT($B$9*AVERAGE(W255:OFFSET(W255,$B$8-1,0)))</f>
        <v>#DIV/0!</v>
      </c>
      <c r="AC255" s="34" t="e">
        <f t="shared" si="25"/>
        <v>#DIV/0!</v>
      </c>
      <c r="AD255" s="34" t="e">
        <f ca="1">SQRT($B$9*SUM(AC255:OFFSET(AC255,$B$5-1,0))/($B$5-1))</f>
        <v>#DIV/0!</v>
      </c>
      <c r="AE255" s="34" t="e">
        <f ca="1">SQRT($B$9*SUM(AC255:OFFSET(AC255,$B$6-1,0))/($B$6-1))</f>
        <v>#DIV/0!</v>
      </c>
      <c r="AF255" s="34" t="e">
        <f ca="1">SQRT($B$9*SUM(AC255:OFFSET(AC255,$B$7-1,0))/($B$7-1))</f>
        <v>#DIV/0!</v>
      </c>
      <c r="AG255" s="34" t="e">
        <f ca="1">SQRT($B$9*SUM(AC255:OFFSET(AC255,$B$8-1,0))/($B$8-1))</f>
        <v>#DIV/0!</v>
      </c>
      <c r="AI255" s="1" t="e">
        <f t="shared" si="26"/>
        <v>#DIV/0!</v>
      </c>
      <c r="AJ255" s="4" t="e">
        <f ca="1">SQRT($B$9)*_xlfn.STDEV.S(AI255:OFFSET(AI255,$B$5-1,0))</f>
        <v>#DIV/0!</v>
      </c>
      <c r="AK255" s="4" t="e">
        <f ca="1">SQRT($B$9)*_xlfn.STDEV.S(AI255:OFFSET(AI255,$B$6-1,0))</f>
        <v>#DIV/0!</v>
      </c>
      <c r="AL255" s="4" t="e">
        <f ca="1">SQRT($B$9)*_xlfn.STDEV.S(AI255:OFFSET(AI255,$B$7-1,0))</f>
        <v>#DIV/0!</v>
      </c>
      <c r="AM255" s="4" t="e">
        <f ca="1">SQRT($B$9)*_xlfn.STDEV.S(AI255:OFFSET(AI255,$B$8-1,0))</f>
        <v>#DIV/0!</v>
      </c>
    </row>
    <row r="256" spans="5:39" x14ac:dyDescent="0.2">
      <c r="E256" s="42">
        <v>45280</v>
      </c>
      <c r="F256" s="43"/>
      <c r="G256" s="43"/>
      <c r="H256" s="43"/>
      <c r="I256" s="43"/>
      <c r="K256" s="3" t="e">
        <f t="shared" si="24"/>
        <v>#DIV/0!</v>
      </c>
      <c r="L256" s="3" t="e">
        <f ca="1">SQRT(AVERAGE(K256:OFFSET(K256,$B$5-1,0))*$B$9/(4*LN(2)))</f>
        <v>#DIV/0!</v>
      </c>
      <c r="M256" s="3" t="e">
        <f ca="1">SQRT(AVERAGE(K256:OFFSET(K256,$B$6-1,0))*$B$9/(4*LN(2)))</f>
        <v>#DIV/0!</v>
      </c>
      <c r="N256" s="3" t="e">
        <f ca="1">SQRT(AVERAGE(K256:OFFSET(K256,$B$7-1,0))*$B$9/(4*LN(2)))</f>
        <v>#DIV/0!</v>
      </c>
      <c r="O256" s="3" t="e">
        <f ca="1">SQRT(AVERAGE(K256:OFFSET(K256,$B$8-1,0))*$B$9/(4*LN(2)))</f>
        <v>#DIV/0!</v>
      </c>
      <c r="Q256" s="5" t="e">
        <f t="shared" si="22"/>
        <v>#DIV/0!</v>
      </c>
      <c r="R256" s="5" t="e">
        <f ca="1">SQRT($B$9*AVERAGE((Q256:OFFSET(Q256,$B$5-1,0))))</f>
        <v>#DIV/0!</v>
      </c>
      <c r="S256" s="5" t="e">
        <f ca="1">SQRT($B$9*AVERAGE((Q256:OFFSET(Q256,$B$6-1,0))))</f>
        <v>#DIV/0!</v>
      </c>
      <c r="T256" s="5" t="e">
        <f ca="1">SQRT($B$9*AVERAGE((Q256:OFFSET(Q256,$B$7-1,0))))</f>
        <v>#DIV/0!</v>
      </c>
      <c r="U256" s="5" t="e">
        <f ca="1">SQRT($B$9*AVERAGE((Q256:OFFSET(Q256,$B$8-1,0))))</f>
        <v>#DIV/0!</v>
      </c>
      <c r="W256" s="6" t="e">
        <f t="shared" si="27"/>
        <v>#DIV/0!</v>
      </c>
      <c r="X256" s="6" t="e">
        <f ca="1">SQRT($B$9*AVERAGE(W256:OFFSET(W256,$B$5-1,0)))</f>
        <v>#DIV/0!</v>
      </c>
      <c r="Y256" s="6" t="e">
        <f ca="1">SQRT($B$9*AVERAGE(W256:OFFSET(W256,$B$6-1,0)))</f>
        <v>#DIV/0!</v>
      </c>
      <c r="Z256" s="6" t="e">
        <f ca="1">SQRT($B$9*AVERAGE(W256:OFFSET(W256,$B$7-1,0)))</f>
        <v>#DIV/0!</v>
      </c>
      <c r="AA256" s="6" t="e">
        <f ca="1">SQRT($B$9*AVERAGE(W256:OFFSET(W256,$B$8-1,0)))</f>
        <v>#DIV/0!</v>
      </c>
      <c r="AC256" s="34" t="e">
        <f t="shared" si="25"/>
        <v>#DIV/0!</v>
      </c>
      <c r="AD256" s="34" t="e">
        <f ca="1">SQRT($B$9*SUM(AC256:OFFSET(AC256,$B$5-1,0))/($B$5-1))</f>
        <v>#DIV/0!</v>
      </c>
      <c r="AE256" s="34" t="e">
        <f ca="1">SQRT($B$9*SUM(AC256:OFFSET(AC256,$B$6-1,0))/($B$6-1))</f>
        <v>#DIV/0!</v>
      </c>
      <c r="AF256" s="34" t="e">
        <f ca="1">SQRT($B$9*SUM(AC256:OFFSET(AC256,$B$7-1,0))/($B$7-1))</f>
        <v>#DIV/0!</v>
      </c>
      <c r="AG256" s="34" t="e">
        <f ca="1">SQRT($B$9*SUM(AC256:OFFSET(AC256,$B$8-1,0))/($B$8-1))</f>
        <v>#DIV/0!</v>
      </c>
      <c r="AI256" s="1" t="e">
        <f t="shared" si="26"/>
        <v>#DIV/0!</v>
      </c>
      <c r="AJ256" s="4" t="e">
        <f ca="1">SQRT($B$9)*_xlfn.STDEV.S(AI256:OFFSET(AI256,$B$5-1,0))</f>
        <v>#DIV/0!</v>
      </c>
      <c r="AK256" s="4" t="e">
        <f ca="1">SQRT($B$9)*_xlfn.STDEV.S(AI256:OFFSET(AI256,$B$6-1,0))</f>
        <v>#DIV/0!</v>
      </c>
      <c r="AL256" s="4" t="e">
        <f ca="1">SQRT($B$9)*_xlfn.STDEV.S(AI256:OFFSET(AI256,$B$7-1,0))</f>
        <v>#DIV/0!</v>
      </c>
      <c r="AM256" s="4" t="e">
        <f ca="1">SQRT($B$9)*_xlfn.STDEV.S(AI256:OFFSET(AI256,$B$8-1,0))</f>
        <v>#DIV/0!</v>
      </c>
    </row>
    <row r="257" spans="5:39" x14ac:dyDescent="0.2">
      <c r="E257" s="42">
        <v>45279</v>
      </c>
      <c r="F257" s="43"/>
      <c r="G257" s="43"/>
      <c r="H257" s="43"/>
      <c r="I257" s="43"/>
      <c r="K257" s="3" t="e">
        <f t="shared" si="24"/>
        <v>#DIV/0!</v>
      </c>
      <c r="L257" s="3" t="e">
        <f ca="1">SQRT(AVERAGE(K257:OFFSET(K257,$B$5-1,0))*$B$9/(4*LN(2)))</f>
        <v>#DIV/0!</v>
      </c>
      <c r="M257" s="3" t="e">
        <f ca="1">SQRT(AVERAGE(K257:OFFSET(K257,$B$6-1,0))*$B$9/(4*LN(2)))</f>
        <v>#DIV/0!</v>
      </c>
      <c r="N257" s="3" t="e">
        <f ca="1">SQRT(AVERAGE(K257:OFFSET(K257,$B$7-1,0))*$B$9/(4*LN(2)))</f>
        <v>#DIV/0!</v>
      </c>
      <c r="O257" s="3" t="e">
        <f ca="1">SQRT(AVERAGE(K257:OFFSET(K257,$B$8-1,0))*$B$9/(4*LN(2)))</f>
        <v>#DIV/0!</v>
      </c>
      <c r="Q257" s="5" t="e">
        <f t="shared" si="22"/>
        <v>#DIV/0!</v>
      </c>
      <c r="R257" s="5" t="e">
        <f ca="1">SQRT($B$9*AVERAGE((Q257:OFFSET(Q257,$B$5-1,0))))</f>
        <v>#DIV/0!</v>
      </c>
      <c r="S257" s="5" t="e">
        <f ca="1">SQRT($B$9*AVERAGE((Q257:OFFSET(Q257,$B$6-1,0))))</f>
        <v>#DIV/0!</v>
      </c>
      <c r="T257" s="5" t="e">
        <f ca="1">SQRT($B$9*AVERAGE((Q257:OFFSET(Q257,$B$7-1,0))))</f>
        <v>#DIV/0!</v>
      </c>
      <c r="U257" s="5" t="e">
        <f ca="1">SQRT($B$9*AVERAGE((Q257:OFFSET(Q257,$B$8-1,0))))</f>
        <v>#DIV/0!</v>
      </c>
      <c r="W257" s="6" t="e">
        <f t="shared" si="27"/>
        <v>#DIV/0!</v>
      </c>
      <c r="X257" s="6" t="e">
        <f ca="1">SQRT($B$9*AVERAGE(W257:OFFSET(W257,$B$5-1,0)))</f>
        <v>#DIV/0!</v>
      </c>
      <c r="Y257" s="6" t="e">
        <f ca="1">SQRT($B$9*AVERAGE(W257:OFFSET(W257,$B$6-1,0)))</f>
        <v>#DIV/0!</v>
      </c>
      <c r="Z257" s="6" t="e">
        <f ca="1">SQRT($B$9*AVERAGE(W257:OFFSET(W257,$B$7-1,0)))</f>
        <v>#DIV/0!</v>
      </c>
      <c r="AA257" s="6" t="e">
        <f ca="1">SQRT($B$9*AVERAGE(W257:OFFSET(W257,$B$8-1,0)))</f>
        <v>#DIV/0!</v>
      </c>
      <c r="AC257" s="34" t="e">
        <f t="shared" si="25"/>
        <v>#DIV/0!</v>
      </c>
      <c r="AD257" s="34" t="e">
        <f ca="1">SQRT($B$9*SUM(AC257:OFFSET(AC257,$B$5-1,0))/($B$5-1))</f>
        <v>#DIV/0!</v>
      </c>
      <c r="AE257" s="34" t="e">
        <f ca="1">SQRT($B$9*SUM(AC257:OFFSET(AC257,$B$6-1,0))/($B$6-1))</f>
        <v>#DIV/0!</v>
      </c>
      <c r="AF257" s="34" t="e">
        <f ca="1">SQRT($B$9*SUM(AC257:OFFSET(AC257,$B$7-1,0))/($B$7-1))</f>
        <v>#DIV/0!</v>
      </c>
      <c r="AG257" s="34" t="e">
        <f ca="1">SQRT($B$9*SUM(AC257:OFFSET(AC257,$B$8-1,0))/($B$8-1))</f>
        <v>#DIV/0!</v>
      </c>
      <c r="AI257" s="1" t="e">
        <f t="shared" si="26"/>
        <v>#DIV/0!</v>
      </c>
      <c r="AJ257" s="4" t="e">
        <f ca="1">SQRT($B$9)*_xlfn.STDEV.S(AI257:OFFSET(AI257,$B$5-1,0))</f>
        <v>#DIV/0!</v>
      </c>
      <c r="AK257" s="4" t="e">
        <f ca="1">SQRT($B$9)*_xlfn.STDEV.S(AI257:OFFSET(AI257,$B$6-1,0))</f>
        <v>#DIV/0!</v>
      </c>
      <c r="AL257" s="4" t="e">
        <f ca="1">SQRT($B$9)*_xlfn.STDEV.S(AI257:OFFSET(AI257,$B$7-1,0))</f>
        <v>#DIV/0!</v>
      </c>
      <c r="AM257" s="4" t="e">
        <f ca="1">SQRT($B$9)*_xlfn.STDEV.S(AI257:OFFSET(AI257,$B$8-1,0))</f>
        <v>#DIV/0!</v>
      </c>
    </row>
    <row r="258" spans="5:39" x14ac:dyDescent="0.2">
      <c r="E258" s="42">
        <v>45278</v>
      </c>
      <c r="F258" s="43"/>
      <c r="G258" s="43"/>
      <c r="H258" s="43"/>
      <c r="I258" s="43"/>
      <c r="K258" s="3" t="e">
        <f t="shared" si="24"/>
        <v>#DIV/0!</v>
      </c>
      <c r="L258" s="3" t="e">
        <f ca="1">SQRT(AVERAGE(K258:OFFSET(K258,$B$5-1,0))*$B$9/(4*LN(2)))</f>
        <v>#DIV/0!</v>
      </c>
      <c r="M258" s="3" t="e">
        <f ca="1">SQRT(AVERAGE(K258:OFFSET(K258,$B$6-1,0))*$B$9/(4*LN(2)))</f>
        <v>#DIV/0!</v>
      </c>
      <c r="N258" s="3" t="e">
        <f ca="1">SQRT(AVERAGE(K258:OFFSET(K258,$B$7-1,0))*$B$9/(4*LN(2)))</f>
        <v>#DIV/0!</v>
      </c>
      <c r="O258" s="3" t="e">
        <f ca="1">SQRT(AVERAGE(K258:OFFSET(K258,$B$8-1,0))*$B$9/(4*LN(2)))</f>
        <v>#DIV/0!</v>
      </c>
      <c r="Q258" s="5" t="e">
        <f t="shared" si="22"/>
        <v>#DIV/0!</v>
      </c>
      <c r="R258" s="5" t="e">
        <f ca="1">SQRT($B$9*AVERAGE((Q258:OFFSET(Q258,$B$5-1,0))))</f>
        <v>#DIV/0!</v>
      </c>
      <c r="S258" s="5" t="e">
        <f ca="1">SQRT($B$9*AVERAGE((Q258:OFFSET(Q258,$B$6-1,0))))</f>
        <v>#DIV/0!</v>
      </c>
      <c r="T258" s="5" t="e">
        <f ca="1">SQRT($B$9*AVERAGE((Q258:OFFSET(Q258,$B$7-1,0))))</f>
        <v>#DIV/0!</v>
      </c>
      <c r="U258" s="5" t="e">
        <f ca="1">SQRT($B$9*AVERAGE((Q258:OFFSET(Q258,$B$8-1,0))))</f>
        <v>#DIV/0!</v>
      </c>
      <c r="W258" s="6" t="e">
        <f t="shared" si="27"/>
        <v>#DIV/0!</v>
      </c>
      <c r="X258" s="6" t="e">
        <f ca="1">SQRT($B$9*AVERAGE(W258:OFFSET(W258,$B$5-1,0)))</f>
        <v>#DIV/0!</v>
      </c>
      <c r="Y258" s="6" t="e">
        <f ca="1">SQRT($B$9*AVERAGE(W258:OFFSET(W258,$B$6-1,0)))</f>
        <v>#DIV/0!</v>
      </c>
      <c r="Z258" s="6" t="e">
        <f ca="1">SQRT($B$9*AVERAGE(W258:OFFSET(W258,$B$7-1,0)))</f>
        <v>#DIV/0!</v>
      </c>
      <c r="AA258" s="6" t="e">
        <f ca="1">SQRT($B$9*AVERAGE(W258:OFFSET(W258,$B$8-1,0)))</f>
        <v>#DIV/0!</v>
      </c>
      <c r="AC258" s="34" t="e">
        <f t="shared" si="25"/>
        <v>#DIV/0!</v>
      </c>
      <c r="AD258" s="34" t="e">
        <f ca="1">SQRT($B$9*SUM(AC258:OFFSET(AC258,$B$5-1,0))/($B$5-1))</f>
        <v>#DIV/0!</v>
      </c>
      <c r="AE258" s="34" t="e">
        <f ca="1">SQRT($B$9*SUM(AC258:OFFSET(AC258,$B$6-1,0))/($B$6-1))</f>
        <v>#DIV/0!</v>
      </c>
      <c r="AF258" s="34" t="e">
        <f ca="1">SQRT($B$9*SUM(AC258:OFFSET(AC258,$B$7-1,0))/($B$7-1))</f>
        <v>#DIV/0!</v>
      </c>
      <c r="AG258" s="34" t="e">
        <f ca="1">SQRT($B$9*SUM(AC258:OFFSET(AC258,$B$8-1,0))/($B$8-1))</f>
        <v>#DIV/0!</v>
      </c>
      <c r="AI258" s="1" t="e">
        <f t="shared" si="26"/>
        <v>#DIV/0!</v>
      </c>
      <c r="AJ258" s="4" t="e">
        <f ca="1">SQRT($B$9)*_xlfn.STDEV.S(AI258:OFFSET(AI258,$B$5-1,0))</f>
        <v>#DIV/0!</v>
      </c>
      <c r="AK258" s="4" t="e">
        <f ca="1">SQRT($B$9)*_xlfn.STDEV.S(AI258:OFFSET(AI258,$B$6-1,0))</f>
        <v>#DIV/0!</v>
      </c>
      <c r="AL258" s="4" t="e">
        <f ca="1">SQRT($B$9)*_xlfn.STDEV.S(AI258:OFFSET(AI258,$B$7-1,0))</f>
        <v>#DIV/0!</v>
      </c>
      <c r="AM258" s="4" t="e">
        <f ca="1">SQRT($B$9)*_xlfn.STDEV.S(AI258:OFFSET(AI258,$B$8-1,0))</f>
        <v>#DIV/0!</v>
      </c>
    </row>
    <row r="259" spans="5:39" x14ac:dyDescent="0.2">
      <c r="E259" s="42">
        <v>45275</v>
      </c>
      <c r="F259" s="43"/>
      <c r="G259" s="43"/>
      <c r="H259" s="43"/>
      <c r="I259" s="43"/>
      <c r="K259" s="3" t="e">
        <f t="shared" si="24"/>
        <v>#DIV/0!</v>
      </c>
      <c r="L259" s="3" t="e">
        <f ca="1">SQRT(AVERAGE(K259:OFFSET(K259,$B$5-1,0))*$B$9/(4*LN(2)))</f>
        <v>#DIV/0!</v>
      </c>
      <c r="M259" s="3" t="e">
        <f ca="1">SQRT(AVERAGE(K259:OFFSET(K259,$B$6-1,0))*$B$9/(4*LN(2)))</f>
        <v>#DIV/0!</v>
      </c>
      <c r="N259" s="3" t="e">
        <f ca="1">SQRT(AVERAGE(K259:OFFSET(K259,$B$7-1,0))*$B$9/(4*LN(2)))</f>
        <v>#DIV/0!</v>
      </c>
      <c r="O259" s="3" t="e">
        <f ca="1">SQRT(AVERAGE(K259:OFFSET(K259,$B$8-1,0))*$B$9/(4*LN(2)))</f>
        <v>#DIV/0!</v>
      </c>
      <c r="Q259" s="5" t="e">
        <f t="shared" si="22"/>
        <v>#DIV/0!</v>
      </c>
      <c r="R259" s="5" t="e">
        <f ca="1">SQRT($B$9*AVERAGE((Q259:OFFSET(Q259,$B$5-1,0))))</f>
        <v>#DIV/0!</v>
      </c>
      <c r="S259" s="5" t="e">
        <f ca="1">SQRT($B$9*AVERAGE((Q259:OFFSET(Q259,$B$6-1,0))))</f>
        <v>#DIV/0!</v>
      </c>
      <c r="T259" s="5" t="e">
        <f ca="1">SQRT($B$9*AVERAGE((Q259:OFFSET(Q259,$B$7-1,0))))</f>
        <v>#DIV/0!</v>
      </c>
      <c r="U259" s="5" t="e">
        <f ca="1">SQRT($B$9*AVERAGE((Q259:OFFSET(Q259,$B$8-1,0))))</f>
        <v>#DIV/0!</v>
      </c>
      <c r="W259" s="6" t="e">
        <f t="shared" si="27"/>
        <v>#DIV/0!</v>
      </c>
      <c r="X259" s="6" t="e">
        <f ca="1">SQRT($B$9*AVERAGE(W259:OFFSET(W259,$B$5-1,0)))</f>
        <v>#DIV/0!</v>
      </c>
      <c r="Y259" s="6" t="e">
        <f ca="1">SQRT($B$9*AVERAGE(W259:OFFSET(W259,$B$6-1,0)))</f>
        <v>#DIV/0!</v>
      </c>
      <c r="Z259" s="6" t="e">
        <f ca="1">SQRT($B$9*AVERAGE(W259:OFFSET(W259,$B$7-1,0)))</f>
        <v>#DIV/0!</v>
      </c>
      <c r="AA259" s="6" t="e">
        <f ca="1">SQRT($B$9*AVERAGE(W259:OFFSET(W259,$B$8-1,0)))</f>
        <v>#DIV/0!</v>
      </c>
      <c r="AC259" s="34" t="e">
        <f t="shared" si="25"/>
        <v>#DIV/0!</v>
      </c>
      <c r="AD259" s="34" t="e">
        <f ca="1">SQRT($B$9*SUM(AC259:OFFSET(AC259,$B$5-1,0))/($B$5-1))</f>
        <v>#DIV/0!</v>
      </c>
      <c r="AE259" s="34" t="e">
        <f ca="1">SQRT($B$9*SUM(AC259:OFFSET(AC259,$B$6-1,0))/($B$6-1))</f>
        <v>#DIV/0!</v>
      </c>
      <c r="AF259" s="34" t="e">
        <f ca="1">SQRT($B$9*SUM(AC259:OFFSET(AC259,$B$7-1,0))/($B$7-1))</f>
        <v>#DIV/0!</v>
      </c>
      <c r="AG259" s="34" t="e">
        <f ca="1">SQRT($B$9*SUM(AC259:OFFSET(AC259,$B$8-1,0))/($B$8-1))</f>
        <v>#DIV/0!</v>
      </c>
      <c r="AI259" s="1" t="e">
        <f t="shared" si="26"/>
        <v>#DIV/0!</v>
      </c>
      <c r="AJ259" s="4" t="e">
        <f ca="1">SQRT($B$9)*_xlfn.STDEV.S(AI259:OFFSET(AI259,$B$5-1,0))</f>
        <v>#DIV/0!</v>
      </c>
      <c r="AK259" s="4" t="e">
        <f ca="1">SQRT($B$9)*_xlfn.STDEV.S(AI259:OFFSET(AI259,$B$6-1,0))</f>
        <v>#DIV/0!</v>
      </c>
      <c r="AL259" s="4" t="e">
        <f ca="1">SQRT($B$9)*_xlfn.STDEV.S(AI259:OFFSET(AI259,$B$7-1,0))</f>
        <v>#DIV/0!</v>
      </c>
      <c r="AM259" s="4" t="e">
        <f ca="1">SQRT($B$9)*_xlfn.STDEV.S(AI259:OFFSET(AI259,$B$8-1,0))</f>
        <v>#DIV/0!</v>
      </c>
    </row>
    <row r="260" spans="5:39" x14ac:dyDescent="0.2">
      <c r="E260" s="42">
        <v>45274</v>
      </c>
      <c r="F260" s="43"/>
      <c r="G260" s="43"/>
      <c r="H260" s="43"/>
      <c r="I260" s="43"/>
      <c r="K260" s="3" t="e">
        <f t="shared" si="24"/>
        <v>#DIV/0!</v>
      </c>
      <c r="L260" s="3" t="e">
        <f ca="1">SQRT(AVERAGE(K260:OFFSET(K260,$B$5-1,0))*$B$9/(4*LN(2)))</f>
        <v>#DIV/0!</v>
      </c>
      <c r="M260" s="3" t="e">
        <f ca="1">SQRT(AVERAGE(K260:OFFSET(K260,$B$6-1,0))*$B$9/(4*LN(2)))</f>
        <v>#DIV/0!</v>
      </c>
      <c r="N260" s="3" t="e">
        <f ca="1">SQRT(AVERAGE(K260:OFFSET(K260,$B$7-1,0))*$B$9/(4*LN(2)))</f>
        <v>#DIV/0!</v>
      </c>
      <c r="O260" s="3" t="e">
        <f ca="1">SQRT(AVERAGE(K260:OFFSET(K260,$B$8-1,0))*$B$9/(4*LN(2)))</f>
        <v>#DIV/0!</v>
      </c>
      <c r="Q260" s="5" t="e">
        <f t="shared" si="22"/>
        <v>#DIV/0!</v>
      </c>
      <c r="R260" s="5" t="e">
        <f ca="1">SQRT($B$9*AVERAGE((Q260:OFFSET(Q260,$B$5-1,0))))</f>
        <v>#DIV/0!</v>
      </c>
      <c r="S260" s="5" t="e">
        <f ca="1">SQRT($B$9*AVERAGE((Q260:OFFSET(Q260,$B$6-1,0))))</f>
        <v>#DIV/0!</v>
      </c>
      <c r="T260" s="5" t="e">
        <f ca="1">SQRT($B$9*AVERAGE((Q260:OFFSET(Q260,$B$7-1,0))))</f>
        <v>#DIV/0!</v>
      </c>
      <c r="U260" s="5" t="e">
        <f ca="1">SQRT($B$9*AVERAGE((Q260:OFFSET(Q260,$B$8-1,0))))</f>
        <v>#DIV/0!</v>
      </c>
      <c r="W260" s="6" t="e">
        <f t="shared" si="27"/>
        <v>#DIV/0!</v>
      </c>
      <c r="X260" s="6" t="e">
        <f ca="1">SQRT($B$9*AVERAGE(W260:OFFSET(W260,$B$5-1,0)))</f>
        <v>#DIV/0!</v>
      </c>
      <c r="Y260" s="6" t="e">
        <f ca="1">SQRT($B$9*AVERAGE(W260:OFFSET(W260,$B$6-1,0)))</f>
        <v>#DIV/0!</v>
      </c>
      <c r="Z260" s="6" t="e">
        <f ca="1">SQRT($B$9*AVERAGE(W260:OFFSET(W260,$B$7-1,0)))</f>
        <v>#DIV/0!</v>
      </c>
      <c r="AA260" s="6" t="e">
        <f ca="1">SQRT($B$9*AVERAGE(W260:OFFSET(W260,$B$8-1,0)))</f>
        <v>#DIV/0!</v>
      </c>
      <c r="AC260" s="34" t="e">
        <f t="shared" si="25"/>
        <v>#DIV/0!</v>
      </c>
      <c r="AD260" s="34" t="e">
        <f ca="1">SQRT($B$9*SUM(AC260:OFFSET(AC260,$B$5-1,0))/($B$5-1))</f>
        <v>#DIV/0!</v>
      </c>
      <c r="AE260" s="34" t="e">
        <f ca="1">SQRT($B$9*SUM(AC260:OFFSET(AC260,$B$6-1,0))/($B$6-1))</f>
        <v>#DIV/0!</v>
      </c>
      <c r="AF260" s="34" t="e">
        <f ca="1">SQRT($B$9*SUM(AC260:OFFSET(AC260,$B$7-1,0))/($B$7-1))</f>
        <v>#DIV/0!</v>
      </c>
      <c r="AG260" s="34" t="e">
        <f ca="1">SQRT($B$9*SUM(AC260:OFFSET(AC260,$B$8-1,0))/($B$8-1))</f>
        <v>#DIV/0!</v>
      </c>
      <c r="AI260" s="1" t="e">
        <f t="shared" si="26"/>
        <v>#DIV/0!</v>
      </c>
      <c r="AJ260" s="4" t="e">
        <f ca="1">SQRT($B$9)*_xlfn.STDEV.S(AI260:OFFSET(AI260,$B$5-1,0))</f>
        <v>#DIV/0!</v>
      </c>
      <c r="AK260" s="4" t="e">
        <f ca="1">SQRT($B$9)*_xlfn.STDEV.S(AI260:OFFSET(AI260,$B$6-1,0))</f>
        <v>#DIV/0!</v>
      </c>
      <c r="AL260" s="4" t="e">
        <f ca="1">SQRT($B$9)*_xlfn.STDEV.S(AI260:OFFSET(AI260,$B$7-1,0))</f>
        <v>#DIV/0!</v>
      </c>
      <c r="AM260" s="4" t="e">
        <f ca="1">SQRT($B$9)*_xlfn.STDEV.S(AI260:OFFSET(AI260,$B$8-1,0))</f>
        <v>#DIV/0!</v>
      </c>
    </row>
    <row r="261" spans="5:39" x14ac:dyDescent="0.2">
      <c r="E261" s="42">
        <v>45273</v>
      </c>
      <c r="F261" s="43"/>
      <c r="G261" s="43"/>
      <c r="H261" s="43"/>
      <c r="I261" s="43"/>
      <c r="K261" s="3" t="e">
        <f t="shared" si="24"/>
        <v>#DIV/0!</v>
      </c>
      <c r="L261" s="3" t="e">
        <f ca="1">SQRT(AVERAGE(K261:OFFSET(K261,$B$5-1,0))*$B$9/(4*LN(2)))</f>
        <v>#DIV/0!</v>
      </c>
      <c r="M261" s="3" t="e">
        <f ca="1">SQRT(AVERAGE(K261:OFFSET(K261,$B$6-1,0))*$B$9/(4*LN(2)))</f>
        <v>#DIV/0!</v>
      </c>
      <c r="N261" s="3" t="e">
        <f ca="1">SQRT(AVERAGE(K261:OFFSET(K261,$B$7-1,0))*$B$9/(4*LN(2)))</f>
        <v>#DIV/0!</v>
      </c>
      <c r="O261" s="3" t="e">
        <f ca="1">SQRT(AVERAGE(K261:OFFSET(K261,$B$8-1,0))*$B$9/(4*LN(2)))</f>
        <v>#DIV/0!</v>
      </c>
      <c r="Q261" s="5" t="e">
        <f t="shared" ref="Q261:Q324" si="28">0.511*(LN(G261/H261))^2-0.019*(LN(I261/F261)*LN(G261*H261/F261^2)-2*LN(G261/F261)*LN(H261/F261))-0.383*(LN(I261/F261))^2</f>
        <v>#DIV/0!</v>
      </c>
      <c r="R261" s="5" t="e">
        <f ca="1">SQRT($B$9*AVERAGE((Q261:OFFSET(Q261,$B$5-1,0))))</f>
        <v>#DIV/0!</v>
      </c>
      <c r="S261" s="5" t="e">
        <f ca="1">SQRT($B$9*AVERAGE((Q261:OFFSET(Q261,$B$6-1,0))))</f>
        <v>#DIV/0!</v>
      </c>
      <c r="T261" s="5" t="e">
        <f ca="1">SQRT($B$9*AVERAGE((Q261:OFFSET(Q261,$B$7-1,0))))</f>
        <v>#DIV/0!</v>
      </c>
      <c r="U261" s="5" t="e">
        <f ca="1">SQRT($B$9*AVERAGE((Q261:OFFSET(Q261,$B$8-1,0))))</f>
        <v>#DIV/0!</v>
      </c>
      <c r="W261" s="6" t="e">
        <f t="shared" si="27"/>
        <v>#DIV/0!</v>
      </c>
      <c r="X261" s="6" t="e">
        <f ca="1">SQRT($B$9*AVERAGE(W261:OFFSET(W261,$B$5-1,0)))</f>
        <v>#DIV/0!</v>
      </c>
      <c r="Y261" s="6" t="e">
        <f ca="1">SQRT($B$9*AVERAGE(W261:OFFSET(W261,$B$6-1,0)))</f>
        <v>#DIV/0!</v>
      </c>
      <c r="Z261" s="6" t="e">
        <f ca="1">SQRT($B$9*AVERAGE(W261:OFFSET(W261,$B$7-1,0)))</f>
        <v>#DIV/0!</v>
      </c>
      <c r="AA261" s="6" t="e">
        <f ca="1">SQRT($B$9*AVERAGE(W261:OFFSET(W261,$B$8-1,0)))</f>
        <v>#DIV/0!</v>
      </c>
      <c r="AC261" s="34" t="e">
        <f t="shared" si="25"/>
        <v>#DIV/0!</v>
      </c>
      <c r="AD261" s="34" t="e">
        <f ca="1">SQRT($B$9*SUM(AC261:OFFSET(AC261,$B$5-1,0))/($B$5-1))</f>
        <v>#DIV/0!</v>
      </c>
      <c r="AE261" s="34" t="e">
        <f ca="1">SQRT($B$9*SUM(AC261:OFFSET(AC261,$B$6-1,0))/($B$6-1))</f>
        <v>#DIV/0!</v>
      </c>
      <c r="AF261" s="34" t="e">
        <f ca="1">SQRT($B$9*SUM(AC261:OFFSET(AC261,$B$7-1,0))/($B$7-1))</f>
        <v>#DIV/0!</v>
      </c>
      <c r="AG261" s="34" t="e">
        <f ca="1">SQRT($B$9*SUM(AC261:OFFSET(AC261,$B$8-1,0))/($B$8-1))</f>
        <v>#DIV/0!</v>
      </c>
      <c r="AI261" s="1" t="e">
        <f t="shared" si="26"/>
        <v>#DIV/0!</v>
      </c>
      <c r="AJ261" s="4" t="e">
        <f ca="1">SQRT($B$9)*_xlfn.STDEV.S(AI261:OFFSET(AI261,$B$5-1,0))</f>
        <v>#DIV/0!</v>
      </c>
      <c r="AK261" s="4" t="e">
        <f ca="1">SQRT($B$9)*_xlfn.STDEV.S(AI261:OFFSET(AI261,$B$6-1,0))</f>
        <v>#DIV/0!</v>
      </c>
      <c r="AL261" s="4" t="e">
        <f ca="1">SQRT($B$9)*_xlfn.STDEV.S(AI261:OFFSET(AI261,$B$7-1,0))</f>
        <v>#DIV/0!</v>
      </c>
      <c r="AM261" s="4" t="e">
        <f ca="1">SQRT($B$9)*_xlfn.STDEV.S(AI261:OFFSET(AI261,$B$8-1,0))</f>
        <v>#DIV/0!</v>
      </c>
    </row>
    <row r="262" spans="5:39" x14ac:dyDescent="0.2">
      <c r="E262" s="42">
        <v>45272</v>
      </c>
      <c r="F262" s="43"/>
      <c r="G262" s="43"/>
      <c r="H262" s="43"/>
      <c r="I262" s="43"/>
      <c r="K262" s="3" t="e">
        <f t="shared" ref="K262:K325" si="29">(LN(G262/H262))^2</f>
        <v>#DIV/0!</v>
      </c>
      <c r="L262" s="3" t="e">
        <f ca="1">SQRT(AVERAGE(K262:OFFSET(K262,$B$5-1,0))*$B$9/(4*LN(2)))</f>
        <v>#DIV/0!</v>
      </c>
      <c r="M262" s="3" t="e">
        <f ca="1">SQRT(AVERAGE(K262:OFFSET(K262,$B$6-1,0))*$B$9/(4*LN(2)))</f>
        <v>#DIV/0!</v>
      </c>
      <c r="N262" s="3" t="e">
        <f ca="1">SQRT(AVERAGE(K262:OFFSET(K262,$B$7-1,0))*$B$9/(4*LN(2)))</f>
        <v>#DIV/0!</v>
      </c>
      <c r="O262" s="3" t="e">
        <f ca="1">SQRT(AVERAGE(K262:OFFSET(K262,$B$8-1,0))*$B$9/(4*LN(2)))</f>
        <v>#DIV/0!</v>
      </c>
      <c r="Q262" s="5" t="e">
        <f t="shared" si="28"/>
        <v>#DIV/0!</v>
      </c>
      <c r="R262" s="5" t="e">
        <f ca="1">SQRT($B$9*AVERAGE((Q262:OFFSET(Q262,$B$5-1,0))))</f>
        <v>#DIV/0!</v>
      </c>
      <c r="S262" s="5" t="e">
        <f ca="1">SQRT($B$9*AVERAGE((Q262:OFFSET(Q262,$B$6-1,0))))</f>
        <v>#DIV/0!</v>
      </c>
      <c r="T262" s="5" t="e">
        <f ca="1">SQRT($B$9*AVERAGE((Q262:OFFSET(Q262,$B$7-1,0))))</f>
        <v>#DIV/0!</v>
      </c>
      <c r="U262" s="5" t="e">
        <f ca="1">SQRT($B$9*AVERAGE((Q262:OFFSET(Q262,$B$8-1,0))))</f>
        <v>#DIV/0!</v>
      </c>
      <c r="W262" s="6" t="e">
        <f t="shared" si="27"/>
        <v>#DIV/0!</v>
      </c>
      <c r="X262" s="6" t="e">
        <f ca="1">SQRT($B$9*AVERAGE(W262:OFFSET(W262,$B$5-1,0)))</f>
        <v>#DIV/0!</v>
      </c>
      <c r="Y262" s="6" t="e">
        <f ca="1">SQRT($B$9*AVERAGE(W262:OFFSET(W262,$B$6-1,0)))</f>
        <v>#DIV/0!</v>
      </c>
      <c r="Z262" s="6" t="e">
        <f ca="1">SQRT($B$9*AVERAGE(W262:OFFSET(W262,$B$7-1,0)))</f>
        <v>#DIV/0!</v>
      </c>
      <c r="AA262" s="6" t="e">
        <f ca="1">SQRT($B$9*AVERAGE(W262:OFFSET(W262,$B$8-1,0)))</f>
        <v>#DIV/0!</v>
      </c>
      <c r="AC262" s="34" t="e">
        <f t="shared" si="25"/>
        <v>#DIV/0!</v>
      </c>
      <c r="AD262" s="34" t="e">
        <f ca="1">SQRT($B$9*SUM(AC262:OFFSET(AC262,$B$5-1,0))/($B$5-1))</f>
        <v>#DIV/0!</v>
      </c>
      <c r="AE262" s="34" t="e">
        <f ca="1">SQRT($B$9*SUM(AC262:OFFSET(AC262,$B$6-1,0))/($B$6-1))</f>
        <v>#DIV/0!</v>
      </c>
      <c r="AF262" s="34" t="e">
        <f ca="1">SQRT($B$9*SUM(AC262:OFFSET(AC262,$B$7-1,0))/($B$7-1))</f>
        <v>#DIV/0!</v>
      </c>
      <c r="AG262" s="34" t="e">
        <f ca="1">SQRT($B$9*SUM(AC262:OFFSET(AC262,$B$8-1,0))/($B$8-1))</f>
        <v>#DIV/0!</v>
      </c>
      <c r="AI262" s="1" t="e">
        <f t="shared" si="26"/>
        <v>#DIV/0!</v>
      </c>
      <c r="AJ262" s="4" t="e">
        <f ca="1">SQRT($B$9)*_xlfn.STDEV.S(AI262:OFFSET(AI262,$B$5-1,0))</f>
        <v>#DIV/0!</v>
      </c>
      <c r="AK262" s="4" t="e">
        <f ca="1">SQRT($B$9)*_xlfn.STDEV.S(AI262:OFFSET(AI262,$B$6-1,0))</f>
        <v>#DIV/0!</v>
      </c>
      <c r="AL262" s="4" t="e">
        <f ca="1">SQRT($B$9)*_xlfn.STDEV.S(AI262:OFFSET(AI262,$B$7-1,0))</f>
        <v>#DIV/0!</v>
      </c>
      <c r="AM262" s="4" t="e">
        <f ca="1">SQRT($B$9)*_xlfn.STDEV.S(AI262:OFFSET(AI262,$B$8-1,0))</f>
        <v>#DIV/0!</v>
      </c>
    </row>
    <row r="263" spans="5:39" x14ac:dyDescent="0.2">
      <c r="E263" s="42">
        <v>45271</v>
      </c>
      <c r="F263" s="43"/>
      <c r="G263" s="43"/>
      <c r="H263" s="43"/>
      <c r="I263" s="43"/>
      <c r="K263" s="3" t="e">
        <f t="shared" si="29"/>
        <v>#DIV/0!</v>
      </c>
      <c r="L263" s="3" t="e">
        <f ca="1">SQRT(AVERAGE(K263:OFFSET(K263,$B$5-1,0))*$B$9/(4*LN(2)))</f>
        <v>#DIV/0!</v>
      </c>
      <c r="M263" s="3" t="e">
        <f ca="1">SQRT(AVERAGE(K263:OFFSET(K263,$B$6-1,0))*$B$9/(4*LN(2)))</f>
        <v>#DIV/0!</v>
      </c>
      <c r="N263" s="3" t="e">
        <f ca="1">SQRT(AVERAGE(K263:OFFSET(K263,$B$7-1,0))*$B$9/(4*LN(2)))</f>
        <v>#DIV/0!</v>
      </c>
      <c r="O263" s="3" t="e">
        <f ca="1">SQRT(AVERAGE(K263:OFFSET(K263,$B$8-1,0))*$B$9/(4*LN(2)))</f>
        <v>#DIV/0!</v>
      </c>
      <c r="Q263" s="5" t="e">
        <f t="shared" si="28"/>
        <v>#DIV/0!</v>
      </c>
      <c r="R263" s="5" t="e">
        <f ca="1">SQRT($B$9*AVERAGE((Q263:OFFSET(Q263,$B$5-1,0))))</f>
        <v>#DIV/0!</v>
      </c>
      <c r="S263" s="5" t="e">
        <f ca="1">SQRT($B$9*AVERAGE((Q263:OFFSET(Q263,$B$6-1,0))))</f>
        <v>#DIV/0!</v>
      </c>
      <c r="T263" s="5" t="e">
        <f ca="1">SQRT($B$9*AVERAGE((Q263:OFFSET(Q263,$B$7-1,0))))</f>
        <v>#DIV/0!</v>
      </c>
      <c r="U263" s="5" t="e">
        <f ca="1">SQRT($B$9*AVERAGE((Q263:OFFSET(Q263,$B$8-1,0))))</f>
        <v>#DIV/0!</v>
      </c>
      <c r="W263" s="6" t="e">
        <f t="shared" si="27"/>
        <v>#DIV/0!</v>
      </c>
      <c r="X263" s="6" t="e">
        <f ca="1">SQRT($B$9*AVERAGE(W263:OFFSET(W263,$B$5-1,0)))</f>
        <v>#DIV/0!</v>
      </c>
      <c r="Y263" s="6" t="e">
        <f ca="1">SQRT($B$9*AVERAGE(W263:OFFSET(W263,$B$6-1,0)))</f>
        <v>#DIV/0!</v>
      </c>
      <c r="Z263" s="6" t="e">
        <f ca="1">SQRT($B$9*AVERAGE(W263:OFFSET(W263,$B$7-1,0)))</f>
        <v>#DIV/0!</v>
      </c>
      <c r="AA263" s="6" t="e">
        <f ca="1">SQRT($B$9*AVERAGE(W263:OFFSET(W263,$B$8-1,0)))</f>
        <v>#DIV/0!</v>
      </c>
      <c r="AC263" s="34" t="e">
        <f t="shared" si="25"/>
        <v>#DIV/0!</v>
      </c>
      <c r="AD263" s="34" t="e">
        <f ca="1">SQRT($B$9*SUM(AC263:OFFSET(AC263,$B$5-1,0))/($B$5-1))</f>
        <v>#DIV/0!</v>
      </c>
      <c r="AE263" s="34" t="e">
        <f ca="1">SQRT($B$9*SUM(AC263:OFFSET(AC263,$B$6-1,0))/($B$6-1))</f>
        <v>#DIV/0!</v>
      </c>
      <c r="AF263" s="34" t="e">
        <f ca="1">SQRT($B$9*SUM(AC263:OFFSET(AC263,$B$7-1,0))/($B$7-1))</f>
        <v>#DIV/0!</v>
      </c>
      <c r="AG263" s="34" t="e">
        <f ca="1">SQRT($B$9*SUM(AC263:OFFSET(AC263,$B$8-1,0))/($B$8-1))</f>
        <v>#DIV/0!</v>
      </c>
      <c r="AI263" s="1" t="e">
        <f t="shared" si="26"/>
        <v>#DIV/0!</v>
      </c>
      <c r="AJ263" s="4" t="e">
        <f ca="1">SQRT($B$9)*_xlfn.STDEV.S(AI263:OFFSET(AI263,$B$5-1,0))</f>
        <v>#DIV/0!</v>
      </c>
      <c r="AK263" s="4" t="e">
        <f ca="1">SQRT($B$9)*_xlfn.STDEV.S(AI263:OFFSET(AI263,$B$6-1,0))</f>
        <v>#DIV/0!</v>
      </c>
      <c r="AL263" s="4" t="e">
        <f ca="1">SQRT($B$9)*_xlfn.STDEV.S(AI263:OFFSET(AI263,$B$7-1,0))</f>
        <v>#DIV/0!</v>
      </c>
      <c r="AM263" s="4" t="e">
        <f ca="1">SQRT($B$9)*_xlfn.STDEV.S(AI263:OFFSET(AI263,$B$8-1,0))</f>
        <v>#DIV/0!</v>
      </c>
    </row>
    <row r="264" spans="5:39" x14ac:dyDescent="0.2">
      <c r="E264" s="42">
        <v>45268</v>
      </c>
      <c r="F264" s="43"/>
      <c r="G264" s="43"/>
      <c r="H264" s="43"/>
      <c r="I264" s="43"/>
      <c r="K264" s="3" t="e">
        <f t="shared" si="29"/>
        <v>#DIV/0!</v>
      </c>
      <c r="L264" s="3" t="e">
        <f ca="1">SQRT(AVERAGE(K264:OFFSET(K264,$B$5-1,0))*$B$9/(4*LN(2)))</f>
        <v>#DIV/0!</v>
      </c>
      <c r="M264" s="3" t="e">
        <f ca="1">SQRT(AVERAGE(K264:OFFSET(K264,$B$6-1,0))*$B$9/(4*LN(2)))</f>
        <v>#DIV/0!</v>
      </c>
      <c r="N264" s="3" t="e">
        <f ca="1">SQRT(AVERAGE(K264:OFFSET(K264,$B$7-1,0))*$B$9/(4*LN(2)))</f>
        <v>#DIV/0!</v>
      </c>
      <c r="O264" s="3" t="e">
        <f ca="1">SQRT(AVERAGE(K264:OFFSET(K264,$B$8-1,0))*$B$9/(4*LN(2)))</f>
        <v>#DIV/0!</v>
      </c>
      <c r="Q264" s="5" t="e">
        <f t="shared" si="28"/>
        <v>#DIV/0!</v>
      </c>
      <c r="R264" s="5" t="e">
        <f ca="1">SQRT($B$9*AVERAGE((Q264:OFFSET(Q264,$B$5-1,0))))</f>
        <v>#DIV/0!</v>
      </c>
      <c r="S264" s="5" t="e">
        <f ca="1">SQRT($B$9*AVERAGE((Q264:OFFSET(Q264,$B$6-1,0))))</f>
        <v>#DIV/0!</v>
      </c>
      <c r="T264" s="5" t="e">
        <f ca="1">SQRT($B$9*AVERAGE((Q264:OFFSET(Q264,$B$7-1,0))))</f>
        <v>#DIV/0!</v>
      </c>
      <c r="U264" s="5" t="e">
        <f ca="1">SQRT($B$9*AVERAGE((Q264:OFFSET(Q264,$B$8-1,0))))</f>
        <v>#DIV/0!</v>
      </c>
      <c r="W264" s="6" t="e">
        <f t="shared" si="27"/>
        <v>#DIV/0!</v>
      </c>
      <c r="X264" s="6" t="e">
        <f ca="1">SQRT($B$9*AVERAGE(W264:OFFSET(W264,$B$5-1,0)))</f>
        <v>#DIV/0!</v>
      </c>
      <c r="Y264" s="6" t="e">
        <f ca="1">SQRT($B$9*AVERAGE(W264:OFFSET(W264,$B$6-1,0)))</f>
        <v>#DIV/0!</v>
      </c>
      <c r="Z264" s="6" t="e">
        <f ca="1">SQRT($B$9*AVERAGE(W264:OFFSET(W264,$B$7-1,0)))</f>
        <v>#DIV/0!</v>
      </c>
      <c r="AA264" s="6" t="e">
        <f ca="1">SQRT($B$9*AVERAGE(W264:OFFSET(W264,$B$8-1,0)))</f>
        <v>#DIV/0!</v>
      </c>
      <c r="AC264" s="34" t="e">
        <f t="shared" si="25"/>
        <v>#DIV/0!</v>
      </c>
      <c r="AD264" s="34" t="e">
        <f ca="1">SQRT($B$9*SUM(AC264:OFFSET(AC264,$B$5-1,0))/($B$5-1))</f>
        <v>#DIV/0!</v>
      </c>
      <c r="AE264" s="34" t="e">
        <f ca="1">SQRT($B$9*SUM(AC264:OFFSET(AC264,$B$6-1,0))/($B$6-1))</f>
        <v>#DIV/0!</v>
      </c>
      <c r="AF264" s="34" t="e">
        <f ca="1">SQRT($B$9*SUM(AC264:OFFSET(AC264,$B$7-1,0))/($B$7-1))</f>
        <v>#DIV/0!</v>
      </c>
      <c r="AG264" s="34" t="e">
        <f ca="1">SQRT($B$9*SUM(AC264:OFFSET(AC264,$B$8-1,0))/($B$8-1))</f>
        <v>#DIV/0!</v>
      </c>
      <c r="AI264" s="1" t="e">
        <f t="shared" si="26"/>
        <v>#DIV/0!</v>
      </c>
      <c r="AJ264" s="4" t="e">
        <f ca="1">SQRT($B$9)*_xlfn.STDEV.S(AI264:OFFSET(AI264,$B$5-1,0))</f>
        <v>#DIV/0!</v>
      </c>
      <c r="AK264" s="4" t="e">
        <f ca="1">SQRT($B$9)*_xlfn.STDEV.S(AI264:OFFSET(AI264,$B$6-1,0))</f>
        <v>#DIV/0!</v>
      </c>
      <c r="AL264" s="4" t="e">
        <f ca="1">SQRT($B$9)*_xlfn.STDEV.S(AI264:OFFSET(AI264,$B$7-1,0))</f>
        <v>#DIV/0!</v>
      </c>
      <c r="AM264" s="4" t="e">
        <f ca="1">SQRT($B$9)*_xlfn.STDEV.S(AI264:OFFSET(AI264,$B$8-1,0))</f>
        <v>#DIV/0!</v>
      </c>
    </row>
    <row r="265" spans="5:39" x14ac:dyDescent="0.2">
      <c r="E265" s="42">
        <v>45267</v>
      </c>
      <c r="F265" s="43"/>
      <c r="G265" s="43"/>
      <c r="H265" s="43"/>
      <c r="I265" s="43"/>
      <c r="K265" s="3" t="e">
        <f t="shared" si="29"/>
        <v>#DIV/0!</v>
      </c>
      <c r="L265" s="3" t="e">
        <f ca="1">SQRT(AVERAGE(K265:OFFSET(K265,$B$5-1,0))*$B$9/(4*LN(2)))</f>
        <v>#DIV/0!</v>
      </c>
      <c r="M265" s="3" t="e">
        <f ca="1">SQRT(AVERAGE(K265:OFFSET(K265,$B$6-1,0))*$B$9/(4*LN(2)))</f>
        <v>#DIV/0!</v>
      </c>
      <c r="N265" s="3" t="e">
        <f ca="1">SQRT(AVERAGE(K265:OFFSET(K265,$B$7-1,0))*$B$9/(4*LN(2)))</f>
        <v>#DIV/0!</v>
      </c>
      <c r="O265" s="3" t="e">
        <f ca="1">SQRT(AVERAGE(K265:OFFSET(K265,$B$8-1,0))*$B$9/(4*LN(2)))</f>
        <v>#DIV/0!</v>
      </c>
      <c r="Q265" s="5" t="e">
        <f t="shared" si="28"/>
        <v>#DIV/0!</v>
      </c>
      <c r="R265" s="5" t="e">
        <f ca="1">SQRT($B$9*AVERAGE((Q265:OFFSET(Q265,$B$5-1,0))))</f>
        <v>#DIV/0!</v>
      </c>
      <c r="S265" s="5" t="e">
        <f ca="1">SQRT($B$9*AVERAGE((Q265:OFFSET(Q265,$B$6-1,0))))</f>
        <v>#DIV/0!</v>
      </c>
      <c r="T265" s="5" t="e">
        <f ca="1">SQRT($B$9*AVERAGE((Q265:OFFSET(Q265,$B$7-1,0))))</f>
        <v>#DIV/0!</v>
      </c>
      <c r="U265" s="5" t="e">
        <f ca="1">SQRT($B$9*AVERAGE((Q265:OFFSET(Q265,$B$8-1,0))))</f>
        <v>#DIV/0!</v>
      </c>
      <c r="W265" s="6" t="e">
        <f t="shared" si="27"/>
        <v>#DIV/0!</v>
      </c>
      <c r="X265" s="6" t="e">
        <f ca="1">SQRT($B$9*AVERAGE(W265:OFFSET(W265,$B$5-1,0)))</f>
        <v>#DIV/0!</v>
      </c>
      <c r="Y265" s="6" t="e">
        <f ca="1">SQRT($B$9*AVERAGE(W265:OFFSET(W265,$B$6-1,0)))</f>
        <v>#DIV/0!</v>
      </c>
      <c r="Z265" s="6" t="e">
        <f ca="1">SQRT($B$9*AVERAGE(W265:OFFSET(W265,$B$7-1,0)))</f>
        <v>#DIV/0!</v>
      </c>
      <c r="AA265" s="6" t="e">
        <f ca="1">SQRT($B$9*AVERAGE(W265:OFFSET(W265,$B$8-1,0)))</f>
        <v>#DIV/0!</v>
      </c>
      <c r="AC265" s="34" t="e">
        <f t="shared" si="25"/>
        <v>#DIV/0!</v>
      </c>
      <c r="AD265" s="34" t="e">
        <f ca="1">SQRT($B$9*SUM(AC265:OFFSET(AC265,$B$5-1,0))/($B$5-1))</f>
        <v>#DIV/0!</v>
      </c>
      <c r="AE265" s="34" t="e">
        <f ca="1">SQRT($B$9*SUM(AC265:OFFSET(AC265,$B$6-1,0))/($B$6-1))</f>
        <v>#DIV/0!</v>
      </c>
      <c r="AF265" s="34" t="e">
        <f ca="1">SQRT($B$9*SUM(AC265:OFFSET(AC265,$B$7-1,0))/($B$7-1))</f>
        <v>#DIV/0!</v>
      </c>
      <c r="AG265" s="34" t="e">
        <f ca="1">SQRT($B$9*SUM(AC265:OFFSET(AC265,$B$8-1,0))/($B$8-1))</f>
        <v>#DIV/0!</v>
      </c>
      <c r="AI265" s="1" t="e">
        <f t="shared" si="26"/>
        <v>#DIV/0!</v>
      </c>
      <c r="AJ265" s="4" t="e">
        <f ca="1">SQRT($B$9)*_xlfn.STDEV.S(AI265:OFFSET(AI265,$B$5-1,0))</f>
        <v>#DIV/0!</v>
      </c>
      <c r="AK265" s="4" t="e">
        <f ca="1">SQRT($B$9)*_xlfn.STDEV.S(AI265:OFFSET(AI265,$B$6-1,0))</f>
        <v>#DIV/0!</v>
      </c>
      <c r="AL265" s="4" t="e">
        <f ca="1">SQRT($B$9)*_xlfn.STDEV.S(AI265:OFFSET(AI265,$B$7-1,0))</f>
        <v>#DIV/0!</v>
      </c>
      <c r="AM265" s="4" t="e">
        <f ca="1">SQRT($B$9)*_xlfn.STDEV.S(AI265:OFFSET(AI265,$B$8-1,0))</f>
        <v>#DIV/0!</v>
      </c>
    </row>
    <row r="266" spans="5:39" x14ac:dyDescent="0.2">
      <c r="E266" s="42">
        <v>45266</v>
      </c>
      <c r="F266" s="43"/>
      <c r="G266" s="43"/>
      <c r="H266" s="43"/>
      <c r="I266" s="43"/>
      <c r="K266" s="3" t="e">
        <f t="shared" si="29"/>
        <v>#DIV/0!</v>
      </c>
      <c r="L266" s="3" t="e">
        <f ca="1">SQRT(AVERAGE(K266:OFFSET(K266,$B$5-1,0))*$B$9/(4*LN(2)))</f>
        <v>#DIV/0!</v>
      </c>
      <c r="M266" s="3" t="e">
        <f ca="1">SQRT(AVERAGE(K266:OFFSET(K266,$B$6-1,0))*$B$9/(4*LN(2)))</f>
        <v>#DIV/0!</v>
      </c>
      <c r="N266" s="3" t="e">
        <f ca="1">SQRT(AVERAGE(K266:OFFSET(K266,$B$7-1,0))*$B$9/(4*LN(2)))</f>
        <v>#DIV/0!</v>
      </c>
      <c r="O266" s="3" t="e">
        <f ca="1">SQRT(AVERAGE(K266:OFFSET(K266,$B$8-1,0))*$B$9/(4*LN(2)))</f>
        <v>#DIV/0!</v>
      </c>
      <c r="Q266" s="5" t="e">
        <f t="shared" si="28"/>
        <v>#DIV/0!</v>
      </c>
      <c r="R266" s="5" t="e">
        <f ca="1">SQRT($B$9*AVERAGE((Q266:OFFSET(Q266,$B$5-1,0))))</f>
        <v>#DIV/0!</v>
      </c>
      <c r="S266" s="5" t="e">
        <f ca="1">SQRT($B$9*AVERAGE((Q266:OFFSET(Q266,$B$6-1,0))))</f>
        <v>#DIV/0!</v>
      </c>
      <c r="T266" s="5" t="e">
        <f ca="1">SQRT($B$9*AVERAGE((Q266:OFFSET(Q266,$B$7-1,0))))</f>
        <v>#DIV/0!</v>
      </c>
      <c r="U266" s="5" t="e">
        <f ca="1">SQRT($B$9*AVERAGE((Q266:OFFSET(Q266,$B$8-1,0))))</f>
        <v>#DIV/0!</v>
      </c>
      <c r="W266" s="6" t="e">
        <f t="shared" si="27"/>
        <v>#DIV/0!</v>
      </c>
      <c r="X266" s="6" t="e">
        <f ca="1">SQRT($B$9*AVERAGE(W266:OFFSET(W266,$B$5-1,0)))</f>
        <v>#DIV/0!</v>
      </c>
      <c r="Y266" s="6" t="e">
        <f ca="1">SQRT($B$9*AVERAGE(W266:OFFSET(W266,$B$6-1,0)))</f>
        <v>#DIV/0!</v>
      </c>
      <c r="Z266" s="6" t="e">
        <f ca="1">SQRT($B$9*AVERAGE(W266:OFFSET(W266,$B$7-1,0)))</f>
        <v>#DIV/0!</v>
      </c>
      <c r="AA266" s="6" t="e">
        <f ca="1">SQRT($B$9*AVERAGE(W266:OFFSET(W266,$B$8-1,0)))</f>
        <v>#DIV/0!</v>
      </c>
      <c r="AC266" s="34" t="e">
        <f t="shared" si="25"/>
        <v>#DIV/0!</v>
      </c>
      <c r="AD266" s="34" t="e">
        <f ca="1">SQRT($B$9*SUM(AC266:OFFSET(AC266,$B$5-1,0))/($B$5-1))</f>
        <v>#DIV/0!</v>
      </c>
      <c r="AE266" s="34" t="e">
        <f ca="1">SQRT($B$9*SUM(AC266:OFFSET(AC266,$B$6-1,0))/($B$6-1))</f>
        <v>#DIV/0!</v>
      </c>
      <c r="AF266" s="34" t="e">
        <f ca="1">SQRT($B$9*SUM(AC266:OFFSET(AC266,$B$7-1,0))/($B$7-1))</f>
        <v>#DIV/0!</v>
      </c>
      <c r="AG266" s="34" t="e">
        <f ca="1">SQRT($B$9*SUM(AC266:OFFSET(AC266,$B$8-1,0))/($B$8-1))</f>
        <v>#DIV/0!</v>
      </c>
      <c r="AI266" s="1" t="e">
        <f t="shared" si="26"/>
        <v>#DIV/0!</v>
      </c>
      <c r="AJ266" s="4" t="e">
        <f ca="1">SQRT($B$9)*_xlfn.STDEV.S(AI266:OFFSET(AI266,$B$5-1,0))</f>
        <v>#DIV/0!</v>
      </c>
      <c r="AK266" s="4" t="e">
        <f ca="1">SQRT($B$9)*_xlfn.STDEV.S(AI266:OFFSET(AI266,$B$6-1,0))</f>
        <v>#DIV/0!</v>
      </c>
      <c r="AL266" s="4" t="e">
        <f ca="1">SQRT($B$9)*_xlfn.STDEV.S(AI266:OFFSET(AI266,$B$7-1,0))</f>
        <v>#DIV/0!</v>
      </c>
      <c r="AM266" s="4" t="e">
        <f ca="1">SQRT($B$9)*_xlfn.STDEV.S(AI266:OFFSET(AI266,$B$8-1,0))</f>
        <v>#DIV/0!</v>
      </c>
    </row>
    <row r="267" spans="5:39" x14ac:dyDescent="0.2">
      <c r="E267" s="42">
        <v>45265</v>
      </c>
      <c r="F267" s="43"/>
      <c r="G267" s="43"/>
      <c r="H267" s="43"/>
      <c r="I267" s="43"/>
      <c r="K267" s="3" t="e">
        <f t="shared" si="29"/>
        <v>#DIV/0!</v>
      </c>
      <c r="L267" s="3" t="e">
        <f ca="1">SQRT(AVERAGE(K267:OFFSET(K267,$B$5-1,0))*$B$9/(4*LN(2)))</f>
        <v>#DIV/0!</v>
      </c>
      <c r="M267" s="3" t="e">
        <f ca="1">SQRT(AVERAGE(K267:OFFSET(K267,$B$6-1,0))*$B$9/(4*LN(2)))</f>
        <v>#DIV/0!</v>
      </c>
      <c r="N267" s="3" t="e">
        <f ca="1">SQRT(AVERAGE(K267:OFFSET(K267,$B$7-1,0))*$B$9/(4*LN(2)))</f>
        <v>#DIV/0!</v>
      </c>
      <c r="O267" s="3" t="e">
        <f ca="1">SQRT(AVERAGE(K267:OFFSET(K267,$B$8-1,0))*$B$9/(4*LN(2)))</f>
        <v>#DIV/0!</v>
      </c>
      <c r="Q267" s="5" t="e">
        <f t="shared" si="28"/>
        <v>#DIV/0!</v>
      </c>
      <c r="R267" s="5" t="e">
        <f ca="1">SQRT($B$9*AVERAGE((Q267:OFFSET(Q267,$B$5-1,0))))</f>
        <v>#DIV/0!</v>
      </c>
      <c r="S267" s="5" t="e">
        <f ca="1">SQRT($B$9*AVERAGE((Q267:OFFSET(Q267,$B$6-1,0))))</f>
        <v>#DIV/0!</v>
      </c>
      <c r="T267" s="5" t="e">
        <f ca="1">SQRT($B$9*AVERAGE((Q267:OFFSET(Q267,$B$7-1,0))))</f>
        <v>#DIV/0!</v>
      </c>
      <c r="U267" s="5" t="e">
        <f ca="1">SQRT($B$9*AVERAGE((Q267:OFFSET(Q267,$B$8-1,0))))</f>
        <v>#DIV/0!</v>
      </c>
      <c r="W267" s="6" t="e">
        <f t="shared" si="27"/>
        <v>#DIV/0!</v>
      </c>
      <c r="X267" s="6" t="e">
        <f ca="1">SQRT($B$9*AVERAGE(W267:OFFSET(W267,$B$5-1,0)))</f>
        <v>#DIV/0!</v>
      </c>
      <c r="Y267" s="6" t="e">
        <f ca="1">SQRT($B$9*AVERAGE(W267:OFFSET(W267,$B$6-1,0)))</f>
        <v>#DIV/0!</v>
      </c>
      <c r="Z267" s="6" t="e">
        <f ca="1">SQRT($B$9*AVERAGE(W267:OFFSET(W267,$B$7-1,0)))</f>
        <v>#DIV/0!</v>
      </c>
      <c r="AA267" s="6" t="e">
        <f ca="1">SQRT($B$9*AVERAGE(W267:OFFSET(W267,$B$8-1,0)))</f>
        <v>#DIV/0!</v>
      </c>
      <c r="AC267" s="34" t="e">
        <f t="shared" si="25"/>
        <v>#DIV/0!</v>
      </c>
      <c r="AD267" s="34" t="e">
        <f ca="1">SQRT($B$9*SUM(AC267:OFFSET(AC267,$B$5-1,0))/($B$5-1))</f>
        <v>#DIV/0!</v>
      </c>
      <c r="AE267" s="34" t="e">
        <f ca="1">SQRT($B$9*SUM(AC267:OFFSET(AC267,$B$6-1,0))/($B$6-1))</f>
        <v>#DIV/0!</v>
      </c>
      <c r="AF267" s="34" t="e">
        <f ca="1">SQRT($B$9*SUM(AC267:OFFSET(AC267,$B$7-1,0))/($B$7-1))</f>
        <v>#DIV/0!</v>
      </c>
      <c r="AG267" s="34" t="e">
        <f ca="1">SQRT($B$9*SUM(AC267:OFFSET(AC267,$B$8-1,0))/($B$8-1))</f>
        <v>#DIV/0!</v>
      </c>
      <c r="AI267" s="1" t="e">
        <f t="shared" si="26"/>
        <v>#DIV/0!</v>
      </c>
      <c r="AJ267" s="4" t="e">
        <f ca="1">SQRT($B$9)*_xlfn.STDEV.S(AI267:OFFSET(AI267,$B$5-1,0))</f>
        <v>#DIV/0!</v>
      </c>
      <c r="AK267" s="4" t="e">
        <f ca="1">SQRT($B$9)*_xlfn.STDEV.S(AI267:OFFSET(AI267,$B$6-1,0))</f>
        <v>#DIV/0!</v>
      </c>
      <c r="AL267" s="4" t="e">
        <f ca="1">SQRT($B$9)*_xlfn.STDEV.S(AI267:OFFSET(AI267,$B$7-1,0))</f>
        <v>#DIV/0!</v>
      </c>
      <c r="AM267" s="4" t="e">
        <f ca="1">SQRT($B$9)*_xlfn.STDEV.S(AI267:OFFSET(AI267,$B$8-1,0))</f>
        <v>#DIV/0!</v>
      </c>
    </row>
    <row r="268" spans="5:39" x14ac:dyDescent="0.2">
      <c r="E268" s="42">
        <v>45264</v>
      </c>
      <c r="F268" s="43"/>
      <c r="G268" s="43"/>
      <c r="H268" s="43"/>
      <c r="I268" s="43"/>
      <c r="K268" s="3" t="e">
        <f t="shared" si="29"/>
        <v>#DIV/0!</v>
      </c>
      <c r="L268" s="3" t="e">
        <f ca="1">SQRT(AVERAGE(K268:OFFSET(K268,$B$5-1,0))*$B$9/(4*LN(2)))</f>
        <v>#DIV/0!</v>
      </c>
      <c r="M268" s="3" t="e">
        <f ca="1">SQRT(AVERAGE(K268:OFFSET(K268,$B$6-1,0))*$B$9/(4*LN(2)))</f>
        <v>#DIV/0!</v>
      </c>
      <c r="N268" s="3" t="e">
        <f ca="1">SQRT(AVERAGE(K268:OFFSET(K268,$B$7-1,0))*$B$9/(4*LN(2)))</f>
        <v>#DIV/0!</v>
      </c>
      <c r="O268" s="3" t="e">
        <f ca="1">SQRT(AVERAGE(K268:OFFSET(K268,$B$8-1,0))*$B$9/(4*LN(2)))</f>
        <v>#DIV/0!</v>
      </c>
      <c r="Q268" s="5" t="e">
        <f t="shared" si="28"/>
        <v>#DIV/0!</v>
      </c>
      <c r="R268" s="5" t="e">
        <f ca="1">SQRT($B$9*AVERAGE((Q268:OFFSET(Q268,$B$5-1,0))))</f>
        <v>#DIV/0!</v>
      </c>
      <c r="S268" s="5" t="e">
        <f ca="1">SQRT($B$9*AVERAGE((Q268:OFFSET(Q268,$B$6-1,0))))</f>
        <v>#DIV/0!</v>
      </c>
      <c r="T268" s="5" t="e">
        <f ca="1">SQRT($B$9*AVERAGE((Q268:OFFSET(Q268,$B$7-1,0))))</f>
        <v>#DIV/0!</v>
      </c>
      <c r="U268" s="5" t="e">
        <f ca="1">SQRT($B$9*AVERAGE((Q268:OFFSET(Q268,$B$8-1,0))))</f>
        <v>#DIV/0!</v>
      </c>
      <c r="W268" s="6" t="e">
        <f t="shared" si="27"/>
        <v>#DIV/0!</v>
      </c>
      <c r="X268" s="6" t="e">
        <f ca="1">SQRT($B$9*AVERAGE(W268:OFFSET(W268,$B$5-1,0)))</f>
        <v>#DIV/0!</v>
      </c>
      <c r="Y268" s="6" t="e">
        <f ca="1">SQRT($B$9*AVERAGE(W268:OFFSET(W268,$B$6-1,0)))</f>
        <v>#DIV/0!</v>
      </c>
      <c r="Z268" s="6" t="e">
        <f ca="1">SQRT($B$9*AVERAGE(W268:OFFSET(W268,$B$7-1,0)))</f>
        <v>#DIV/0!</v>
      </c>
      <c r="AA268" s="6" t="e">
        <f ca="1">SQRT($B$9*AVERAGE(W268:OFFSET(W268,$B$8-1,0)))</f>
        <v>#DIV/0!</v>
      </c>
      <c r="AC268" s="34" t="e">
        <f t="shared" si="25"/>
        <v>#DIV/0!</v>
      </c>
      <c r="AD268" s="34" t="e">
        <f ca="1">SQRT($B$9*SUM(AC268:OFFSET(AC268,$B$5-1,0))/($B$5-1))</f>
        <v>#DIV/0!</v>
      </c>
      <c r="AE268" s="34" t="e">
        <f ca="1">SQRT($B$9*SUM(AC268:OFFSET(AC268,$B$6-1,0))/($B$6-1))</f>
        <v>#DIV/0!</v>
      </c>
      <c r="AF268" s="34" t="e">
        <f ca="1">SQRT($B$9*SUM(AC268:OFFSET(AC268,$B$7-1,0))/($B$7-1))</f>
        <v>#DIV/0!</v>
      </c>
      <c r="AG268" s="34" t="e">
        <f ca="1">SQRT($B$9*SUM(AC268:OFFSET(AC268,$B$8-1,0))/($B$8-1))</f>
        <v>#DIV/0!</v>
      </c>
      <c r="AI268" s="1" t="e">
        <f t="shared" si="26"/>
        <v>#DIV/0!</v>
      </c>
      <c r="AJ268" s="4" t="e">
        <f ca="1">SQRT($B$9)*_xlfn.STDEV.S(AI268:OFFSET(AI268,$B$5-1,0))</f>
        <v>#DIV/0!</v>
      </c>
      <c r="AK268" s="4" t="e">
        <f ca="1">SQRT($B$9)*_xlfn.STDEV.S(AI268:OFFSET(AI268,$B$6-1,0))</f>
        <v>#DIV/0!</v>
      </c>
      <c r="AL268" s="4" t="e">
        <f ca="1">SQRT($B$9)*_xlfn.STDEV.S(AI268:OFFSET(AI268,$B$7-1,0))</f>
        <v>#DIV/0!</v>
      </c>
      <c r="AM268" s="4" t="e">
        <f ca="1">SQRT($B$9)*_xlfn.STDEV.S(AI268:OFFSET(AI268,$B$8-1,0))</f>
        <v>#DIV/0!</v>
      </c>
    </row>
    <row r="269" spans="5:39" x14ac:dyDescent="0.2">
      <c r="E269" s="42">
        <v>45261</v>
      </c>
      <c r="F269" s="43"/>
      <c r="G269" s="43"/>
      <c r="H269" s="43"/>
      <c r="I269" s="43"/>
      <c r="K269" s="3" t="e">
        <f t="shared" si="29"/>
        <v>#DIV/0!</v>
      </c>
      <c r="L269" s="3" t="e">
        <f ca="1">SQRT(AVERAGE(K269:OFFSET(K269,$B$5-1,0))*$B$9/(4*LN(2)))</f>
        <v>#DIV/0!</v>
      </c>
      <c r="M269" s="3" t="e">
        <f ca="1">SQRT(AVERAGE(K269:OFFSET(K269,$B$6-1,0))*$B$9/(4*LN(2)))</f>
        <v>#DIV/0!</v>
      </c>
      <c r="N269" s="3" t="e">
        <f ca="1">SQRT(AVERAGE(K269:OFFSET(K269,$B$7-1,0))*$B$9/(4*LN(2)))</f>
        <v>#DIV/0!</v>
      </c>
      <c r="O269" s="3" t="e">
        <f ca="1">SQRT(AVERAGE(K269:OFFSET(K269,$B$8-1,0))*$B$9/(4*LN(2)))</f>
        <v>#DIV/0!</v>
      </c>
      <c r="Q269" s="5" t="e">
        <f t="shared" si="28"/>
        <v>#DIV/0!</v>
      </c>
      <c r="R269" s="5" t="e">
        <f ca="1">SQRT($B$9*AVERAGE((Q269:OFFSET(Q269,$B$5-1,0))))</f>
        <v>#DIV/0!</v>
      </c>
      <c r="S269" s="5" t="e">
        <f ca="1">SQRT($B$9*AVERAGE((Q269:OFFSET(Q269,$B$6-1,0))))</f>
        <v>#DIV/0!</v>
      </c>
      <c r="T269" s="5" t="e">
        <f ca="1">SQRT($B$9*AVERAGE((Q269:OFFSET(Q269,$B$7-1,0))))</f>
        <v>#DIV/0!</v>
      </c>
      <c r="U269" s="5" t="e">
        <f ca="1">SQRT($B$9*AVERAGE((Q269:OFFSET(Q269,$B$8-1,0))))</f>
        <v>#DIV/0!</v>
      </c>
      <c r="W269" s="6" t="e">
        <f t="shared" si="27"/>
        <v>#DIV/0!</v>
      </c>
      <c r="X269" s="6" t="e">
        <f ca="1">SQRT($B$9*AVERAGE(W269:OFFSET(W269,$B$5-1,0)))</f>
        <v>#DIV/0!</v>
      </c>
      <c r="Y269" s="6" t="e">
        <f ca="1">SQRT($B$9*AVERAGE(W269:OFFSET(W269,$B$6-1,0)))</f>
        <v>#DIV/0!</v>
      </c>
      <c r="Z269" s="6" t="e">
        <f ca="1">SQRT($B$9*AVERAGE(W269:OFFSET(W269,$B$7-1,0)))</f>
        <v>#DIV/0!</v>
      </c>
      <c r="AA269" s="6" t="e">
        <f ca="1">SQRT($B$9*AVERAGE(W269:OFFSET(W269,$B$8-1,0)))</f>
        <v>#DIV/0!</v>
      </c>
      <c r="AC269" s="34" t="e">
        <f t="shared" si="25"/>
        <v>#DIV/0!</v>
      </c>
      <c r="AD269" s="34" t="e">
        <f ca="1">SQRT($B$9*SUM(AC269:OFFSET(AC269,$B$5-1,0))/($B$5-1))</f>
        <v>#DIV/0!</v>
      </c>
      <c r="AE269" s="34" t="e">
        <f ca="1">SQRT($B$9*SUM(AC269:OFFSET(AC269,$B$6-1,0))/($B$6-1))</f>
        <v>#DIV/0!</v>
      </c>
      <c r="AF269" s="34" t="e">
        <f ca="1">SQRT($B$9*SUM(AC269:OFFSET(AC269,$B$7-1,0))/($B$7-1))</f>
        <v>#DIV/0!</v>
      </c>
      <c r="AG269" s="34" t="e">
        <f ca="1">SQRT($B$9*SUM(AC269:OFFSET(AC269,$B$8-1,0))/($B$8-1))</f>
        <v>#DIV/0!</v>
      </c>
      <c r="AI269" s="1" t="e">
        <f t="shared" si="26"/>
        <v>#DIV/0!</v>
      </c>
      <c r="AJ269" s="4" t="e">
        <f ca="1">SQRT($B$9)*_xlfn.STDEV.S(AI269:OFFSET(AI269,$B$5-1,0))</f>
        <v>#DIV/0!</v>
      </c>
      <c r="AK269" s="4" t="e">
        <f ca="1">SQRT($B$9)*_xlfn.STDEV.S(AI269:OFFSET(AI269,$B$6-1,0))</f>
        <v>#DIV/0!</v>
      </c>
      <c r="AL269" s="4" t="e">
        <f ca="1">SQRT($B$9)*_xlfn.STDEV.S(AI269:OFFSET(AI269,$B$7-1,0))</f>
        <v>#DIV/0!</v>
      </c>
      <c r="AM269" s="4" t="e">
        <f ca="1">SQRT($B$9)*_xlfn.STDEV.S(AI269:OFFSET(AI269,$B$8-1,0))</f>
        <v>#DIV/0!</v>
      </c>
    </row>
    <row r="270" spans="5:39" x14ac:dyDescent="0.2">
      <c r="E270" s="42">
        <v>45260</v>
      </c>
      <c r="F270" s="43"/>
      <c r="G270" s="43"/>
      <c r="H270" s="43"/>
      <c r="I270" s="43"/>
      <c r="K270" s="3" t="e">
        <f t="shared" si="29"/>
        <v>#DIV/0!</v>
      </c>
      <c r="L270" s="3" t="e">
        <f ca="1">SQRT(AVERAGE(K270:OFFSET(K270,$B$5-1,0))*$B$9/(4*LN(2)))</f>
        <v>#DIV/0!</v>
      </c>
      <c r="M270" s="3" t="e">
        <f ca="1">SQRT(AVERAGE(K270:OFFSET(K270,$B$6-1,0))*$B$9/(4*LN(2)))</f>
        <v>#DIV/0!</v>
      </c>
      <c r="N270" s="3" t="e">
        <f ca="1">SQRT(AVERAGE(K270:OFFSET(K270,$B$7-1,0))*$B$9/(4*LN(2)))</f>
        <v>#DIV/0!</v>
      </c>
      <c r="O270" s="3" t="e">
        <f ca="1">SQRT(AVERAGE(K270:OFFSET(K270,$B$8-1,0))*$B$9/(4*LN(2)))</f>
        <v>#DIV/0!</v>
      </c>
      <c r="Q270" s="5" t="e">
        <f t="shared" si="28"/>
        <v>#DIV/0!</v>
      </c>
      <c r="R270" s="5" t="e">
        <f ca="1">SQRT($B$9*AVERAGE((Q270:OFFSET(Q270,$B$5-1,0))))</f>
        <v>#DIV/0!</v>
      </c>
      <c r="S270" s="5" t="e">
        <f ca="1">SQRT($B$9*AVERAGE((Q270:OFFSET(Q270,$B$6-1,0))))</f>
        <v>#DIV/0!</v>
      </c>
      <c r="T270" s="5" t="e">
        <f ca="1">SQRT($B$9*AVERAGE((Q270:OFFSET(Q270,$B$7-1,0))))</f>
        <v>#DIV/0!</v>
      </c>
      <c r="U270" s="5" t="e">
        <f ca="1">SQRT($B$9*AVERAGE((Q270:OFFSET(Q270,$B$8-1,0))))</f>
        <v>#DIV/0!</v>
      </c>
      <c r="W270" s="6" t="e">
        <f t="shared" si="27"/>
        <v>#DIV/0!</v>
      </c>
      <c r="X270" s="6" t="e">
        <f ca="1">SQRT($B$9*AVERAGE(W270:OFFSET(W270,$B$5-1,0)))</f>
        <v>#DIV/0!</v>
      </c>
      <c r="Y270" s="6" t="e">
        <f ca="1">SQRT($B$9*AVERAGE(W270:OFFSET(W270,$B$6-1,0)))</f>
        <v>#DIV/0!</v>
      </c>
      <c r="Z270" s="6" t="e">
        <f ca="1">SQRT($B$9*AVERAGE(W270:OFFSET(W270,$B$7-1,0)))</f>
        <v>#DIV/0!</v>
      </c>
      <c r="AA270" s="6" t="e">
        <f ca="1">SQRT($B$9*AVERAGE(W270:OFFSET(W270,$B$8-1,0)))</f>
        <v>#DIV/0!</v>
      </c>
      <c r="AC270" s="34" t="e">
        <f t="shared" si="25"/>
        <v>#DIV/0!</v>
      </c>
      <c r="AD270" s="34" t="e">
        <f ca="1">SQRT($B$9*SUM(AC270:OFFSET(AC270,$B$5-1,0))/($B$5-1))</f>
        <v>#DIV/0!</v>
      </c>
      <c r="AE270" s="34" t="e">
        <f ca="1">SQRT($B$9*SUM(AC270:OFFSET(AC270,$B$6-1,0))/($B$6-1))</f>
        <v>#DIV/0!</v>
      </c>
      <c r="AF270" s="34" t="e">
        <f ca="1">SQRT($B$9*SUM(AC270:OFFSET(AC270,$B$7-1,0))/($B$7-1))</f>
        <v>#DIV/0!</v>
      </c>
      <c r="AG270" s="34" t="e">
        <f ca="1">SQRT($B$9*SUM(AC270:OFFSET(AC270,$B$8-1,0))/($B$8-1))</f>
        <v>#DIV/0!</v>
      </c>
      <c r="AI270" s="1" t="e">
        <f t="shared" si="26"/>
        <v>#DIV/0!</v>
      </c>
      <c r="AJ270" s="4" t="e">
        <f ca="1">SQRT($B$9)*_xlfn.STDEV.S(AI270:OFFSET(AI270,$B$5-1,0))</f>
        <v>#DIV/0!</v>
      </c>
      <c r="AK270" s="4" t="e">
        <f ca="1">SQRT($B$9)*_xlfn.STDEV.S(AI270:OFFSET(AI270,$B$6-1,0))</f>
        <v>#DIV/0!</v>
      </c>
      <c r="AL270" s="4" t="e">
        <f ca="1">SQRT($B$9)*_xlfn.STDEV.S(AI270:OFFSET(AI270,$B$7-1,0))</f>
        <v>#DIV/0!</v>
      </c>
      <c r="AM270" s="4" t="e">
        <f ca="1">SQRT($B$9)*_xlfn.STDEV.S(AI270:OFFSET(AI270,$B$8-1,0))</f>
        <v>#DIV/0!</v>
      </c>
    </row>
    <row r="271" spans="5:39" x14ac:dyDescent="0.2">
      <c r="E271" s="42">
        <v>45259</v>
      </c>
      <c r="F271" s="43"/>
      <c r="G271" s="43"/>
      <c r="H271" s="43"/>
      <c r="I271" s="43"/>
      <c r="K271" s="3" t="e">
        <f t="shared" si="29"/>
        <v>#DIV/0!</v>
      </c>
      <c r="L271" s="3" t="e">
        <f ca="1">SQRT(AVERAGE(K271:OFFSET(K271,$B$5-1,0))*$B$9/(4*LN(2)))</f>
        <v>#DIV/0!</v>
      </c>
      <c r="M271" s="3" t="e">
        <f ca="1">SQRT(AVERAGE(K271:OFFSET(K271,$B$6-1,0))*$B$9/(4*LN(2)))</f>
        <v>#DIV/0!</v>
      </c>
      <c r="N271" s="3" t="e">
        <f ca="1">SQRT(AVERAGE(K271:OFFSET(K271,$B$7-1,0))*$B$9/(4*LN(2)))</f>
        <v>#DIV/0!</v>
      </c>
      <c r="O271" s="3" t="e">
        <f ca="1">SQRT(AVERAGE(K271:OFFSET(K271,$B$8-1,0))*$B$9/(4*LN(2)))</f>
        <v>#DIV/0!</v>
      </c>
      <c r="Q271" s="5" t="e">
        <f t="shared" si="28"/>
        <v>#DIV/0!</v>
      </c>
      <c r="R271" s="5" t="e">
        <f ca="1">SQRT($B$9*AVERAGE((Q271:OFFSET(Q271,$B$5-1,0))))</f>
        <v>#DIV/0!</v>
      </c>
      <c r="S271" s="5" t="e">
        <f ca="1">SQRT($B$9*AVERAGE((Q271:OFFSET(Q271,$B$6-1,0))))</f>
        <v>#DIV/0!</v>
      </c>
      <c r="T271" s="5" t="e">
        <f ca="1">SQRT($B$9*AVERAGE((Q271:OFFSET(Q271,$B$7-1,0))))</f>
        <v>#DIV/0!</v>
      </c>
      <c r="U271" s="5" t="e">
        <f ca="1">SQRT($B$9*AVERAGE((Q271:OFFSET(Q271,$B$8-1,0))))</f>
        <v>#DIV/0!</v>
      </c>
      <c r="W271" s="6" t="e">
        <f t="shared" si="27"/>
        <v>#DIV/0!</v>
      </c>
      <c r="X271" s="6" t="e">
        <f ca="1">SQRT($B$9*AVERAGE(W271:OFFSET(W271,$B$5-1,0)))</f>
        <v>#DIV/0!</v>
      </c>
      <c r="Y271" s="6" t="e">
        <f ca="1">SQRT($B$9*AVERAGE(W271:OFFSET(W271,$B$6-1,0)))</f>
        <v>#DIV/0!</v>
      </c>
      <c r="Z271" s="6" t="e">
        <f ca="1">SQRT($B$9*AVERAGE(W271:OFFSET(W271,$B$7-1,0)))</f>
        <v>#DIV/0!</v>
      </c>
      <c r="AA271" s="6" t="e">
        <f ca="1">SQRT($B$9*AVERAGE(W271:OFFSET(W271,$B$8-1,0)))</f>
        <v>#DIV/0!</v>
      </c>
      <c r="AC271" s="34" t="e">
        <f t="shared" si="25"/>
        <v>#DIV/0!</v>
      </c>
      <c r="AD271" s="34" t="e">
        <f ca="1">SQRT($B$9*SUM(AC271:OFFSET(AC271,$B$5-1,0))/($B$5-1))</f>
        <v>#DIV/0!</v>
      </c>
      <c r="AE271" s="34" t="e">
        <f ca="1">SQRT($B$9*SUM(AC271:OFFSET(AC271,$B$6-1,0))/($B$6-1))</f>
        <v>#DIV/0!</v>
      </c>
      <c r="AF271" s="34" t="e">
        <f ca="1">SQRT($B$9*SUM(AC271:OFFSET(AC271,$B$7-1,0))/($B$7-1))</f>
        <v>#DIV/0!</v>
      </c>
      <c r="AG271" s="34" t="e">
        <f ca="1">SQRT($B$9*SUM(AC271:OFFSET(AC271,$B$8-1,0))/($B$8-1))</f>
        <v>#DIV/0!</v>
      </c>
      <c r="AI271" s="1" t="e">
        <f t="shared" si="26"/>
        <v>#DIV/0!</v>
      </c>
      <c r="AJ271" s="4" t="e">
        <f ca="1">SQRT($B$9)*_xlfn.STDEV.S(AI271:OFFSET(AI271,$B$5-1,0))</f>
        <v>#DIV/0!</v>
      </c>
      <c r="AK271" s="4" t="e">
        <f ca="1">SQRT($B$9)*_xlfn.STDEV.S(AI271:OFFSET(AI271,$B$6-1,0))</f>
        <v>#DIV/0!</v>
      </c>
      <c r="AL271" s="4" t="e">
        <f ca="1">SQRT($B$9)*_xlfn.STDEV.S(AI271:OFFSET(AI271,$B$7-1,0))</f>
        <v>#DIV/0!</v>
      </c>
      <c r="AM271" s="4" t="e">
        <f ca="1">SQRT($B$9)*_xlfn.STDEV.S(AI271:OFFSET(AI271,$B$8-1,0))</f>
        <v>#DIV/0!</v>
      </c>
    </row>
    <row r="272" spans="5:39" x14ac:dyDescent="0.2">
      <c r="E272" s="42">
        <v>45258</v>
      </c>
      <c r="F272" s="43"/>
      <c r="G272" s="43"/>
      <c r="H272" s="43"/>
      <c r="I272" s="43"/>
      <c r="K272" s="3" t="e">
        <f t="shared" si="29"/>
        <v>#DIV/0!</v>
      </c>
      <c r="L272" s="3" t="e">
        <f ca="1">SQRT(AVERAGE(K272:OFFSET(K272,$B$5-1,0))*$B$9/(4*LN(2)))</f>
        <v>#DIV/0!</v>
      </c>
      <c r="M272" s="3" t="e">
        <f ca="1">SQRT(AVERAGE(K272:OFFSET(K272,$B$6-1,0))*$B$9/(4*LN(2)))</f>
        <v>#DIV/0!</v>
      </c>
      <c r="N272" s="3" t="e">
        <f ca="1">SQRT(AVERAGE(K272:OFFSET(K272,$B$7-1,0))*$B$9/(4*LN(2)))</f>
        <v>#DIV/0!</v>
      </c>
      <c r="O272" s="3" t="e">
        <f ca="1">SQRT(AVERAGE(K272:OFFSET(K272,$B$8-1,0))*$B$9/(4*LN(2)))</f>
        <v>#DIV/0!</v>
      </c>
      <c r="Q272" s="5" t="e">
        <f t="shared" si="28"/>
        <v>#DIV/0!</v>
      </c>
      <c r="R272" s="5" t="e">
        <f ca="1">SQRT($B$9*AVERAGE((Q272:OFFSET(Q272,$B$5-1,0))))</f>
        <v>#DIV/0!</v>
      </c>
      <c r="S272" s="5" t="e">
        <f ca="1">SQRT($B$9*AVERAGE((Q272:OFFSET(Q272,$B$6-1,0))))</f>
        <v>#DIV/0!</v>
      </c>
      <c r="T272" s="5" t="e">
        <f ca="1">SQRT($B$9*AVERAGE((Q272:OFFSET(Q272,$B$7-1,0))))</f>
        <v>#DIV/0!</v>
      </c>
      <c r="U272" s="5" t="e">
        <f ca="1">SQRT($B$9*AVERAGE((Q272:OFFSET(Q272,$B$8-1,0))))</f>
        <v>#DIV/0!</v>
      </c>
      <c r="W272" s="6" t="e">
        <f t="shared" si="27"/>
        <v>#DIV/0!</v>
      </c>
      <c r="X272" s="6" t="e">
        <f ca="1">SQRT($B$9*AVERAGE(W272:OFFSET(W272,$B$5-1,0)))</f>
        <v>#DIV/0!</v>
      </c>
      <c r="Y272" s="6" t="e">
        <f ca="1">SQRT($B$9*AVERAGE(W272:OFFSET(W272,$B$6-1,0)))</f>
        <v>#DIV/0!</v>
      </c>
      <c r="Z272" s="6" t="e">
        <f ca="1">SQRT($B$9*AVERAGE(W272:OFFSET(W272,$B$7-1,0)))</f>
        <v>#DIV/0!</v>
      </c>
      <c r="AA272" s="6" t="e">
        <f ca="1">SQRT($B$9*AVERAGE(W272:OFFSET(W272,$B$8-1,0)))</f>
        <v>#DIV/0!</v>
      </c>
      <c r="AC272" s="34" t="e">
        <f t="shared" si="25"/>
        <v>#DIV/0!</v>
      </c>
      <c r="AD272" s="34" t="e">
        <f ca="1">SQRT($B$9*SUM(AC272:OFFSET(AC272,$B$5-1,0))/($B$5-1))</f>
        <v>#DIV/0!</v>
      </c>
      <c r="AE272" s="34" t="e">
        <f ca="1">SQRT($B$9*SUM(AC272:OFFSET(AC272,$B$6-1,0))/($B$6-1))</f>
        <v>#DIV/0!</v>
      </c>
      <c r="AF272" s="34" t="e">
        <f ca="1">SQRT($B$9*SUM(AC272:OFFSET(AC272,$B$7-1,0))/($B$7-1))</f>
        <v>#DIV/0!</v>
      </c>
      <c r="AG272" s="34" t="e">
        <f ca="1">SQRT($B$9*SUM(AC272:OFFSET(AC272,$B$8-1,0))/($B$8-1))</f>
        <v>#DIV/0!</v>
      </c>
      <c r="AI272" s="1" t="e">
        <f t="shared" si="26"/>
        <v>#DIV/0!</v>
      </c>
      <c r="AJ272" s="4" t="e">
        <f ca="1">SQRT($B$9)*_xlfn.STDEV.S(AI272:OFFSET(AI272,$B$5-1,0))</f>
        <v>#DIV/0!</v>
      </c>
      <c r="AK272" s="4" t="e">
        <f ca="1">SQRT($B$9)*_xlfn.STDEV.S(AI272:OFFSET(AI272,$B$6-1,0))</f>
        <v>#DIV/0!</v>
      </c>
      <c r="AL272" s="4" t="e">
        <f ca="1">SQRT($B$9)*_xlfn.STDEV.S(AI272:OFFSET(AI272,$B$7-1,0))</f>
        <v>#DIV/0!</v>
      </c>
      <c r="AM272" s="4" t="e">
        <f ca="1">SQRT($B$9)*_xlfn.STDEV.S(AI272:OFFSET(AI272,$B$8-1,0))</f>
        <v>#DIV/0!</v>
      </c>
    </row>
    <row r="273" spans="5:39" x14ac:dyDescent="0.2">
      <c r="E273" s="42">
        <v>45257</v>
      </c>
      <c r="F273" s="43"/>
      <c r="G273" s="43"/>
      <c r="H273" s="43"/>
      <c r="I273" s="43"/>
      <c r="K273" s="3" t="e">
        <f t="shared" si="29"/>
        <v>#DIV/0!</v>
      </c>
      <c r="L273" s="3" t="e">
        <f ca="1">SQRT(AVERAGE(K273:OFFSET(K273,$B$5-1,0))*$B$9/(4*LN(2)))</f>
        <v>#DIV/0!</v>
      </c>
      <c r="M273" s="3" t="e">
        <f ca="1">SQRT(AVERAGE(K273:OFFSET(K273,$B$6-1,0))*$B$9/(4*LN(2)))</f>
        <v>#DIV/0!</v>
      </c>
      <c r="N273" s="3" t="e">
        <f ca="1">SQRT(AVERAGE(K273:OFFSET(K273,$B$7-1,0))*$B$9/(4*LN(2)))</f>
        <v>#DIV/0!</v>
      </c>
      <c r="O273" s="3" t="e">
        <f ca="1">SQRT(AVERAGE(K273:OFFSET(K273,$B$8-1,0))*$B$9/(4*LN(2)))</f>
        <v>#DIV/0!</v>
      </c>
      <c r="Q273" s="5" t="e">
        <f t="shared" si="28"/>
        <v>#DIV/0!</v>
      </c>
      <c r="R273" s="5" t="e">
        <f ca="1">SQRT($B$9*AVERAGE((Q273:OFFSET(Q273,$B$5-1,0))))</f>
        <v>#DIV/0!</v>
      </c>
      <c r="S273" s="5" t="e">
        <f ca="1">SQRT($B$9*AVERAGE((Q273:OFFSET(Q273,$B$6-1,0))))</f>
        <v>#DIV/0!</v>
      </c>
      <c r="T273" s="5" t="e">
        <f ca="1">SQRT($B$9*AVERAGE((Q273:OFFSET(Q273,$B$7-1,0))))</f>
        <v>#DIV/0!</v>
      </c>
      <c r="U273" s="5" t="e">
        <f ca="1">SQRT($B$9*AVERAGE((Q273:OFFSET(Q273,$B$8-1,0))))</f>
        <v>#DIV/0!</v>
      </c>
      <c r="W273" s="6" t="e">
        <f t="shared" si="27"/>
        <v>#DIV/0!</v>
      </c>
      <c r="X273" s="6" t="e">
        <f ca="1">SQRT($B$9*AVERAGE(W273:OFFSET(W273,$B$5-1,0)))</f>
        <v>#DIV/0!</v>
      </c>
      <c r="Y273" s="6" t="e">
        <f ca="1">SQRT($B$9*AVERAGE(W273:OFFSET(W273,$B$6-1,0)))</f>
        <v>#DIV/0!</v>
      </c>
      <c r="Z273" s="6" t="e">
        <f ca="1">SQRT($B$9*AVERAGE(W273:OFFSET(W273,$B$7-1,0)))</f>
        <v>#DIV/0!</v>
      </c>
      <c r="AA273" s="6" t="e">
        <f ca="1">SQRT($B$9*AVERAGE(W273:OFFSET(W273,$B$8-1,0)))</f>
        <v>#DIV/0!</v>
      </c>
      <c r="AC273" s="34" t="e">
        <f t="shared" ref="AC273:AC336" si="30">(LN(I273/I274))^2</f>
        <v>#DIV/0!</v>
      </c>
      <c r="AD273" s="34" t="e">
        <f ca="1">SQRT($B$9*SUM(AC273:OFFSET(AC273,$B$5-1,0))/($B$5-1))</f>
        <v>#DIV/0!</v>
      </c>
      <c r="AE273" s="34" t="e">
        <f ca="1">SQRT($B$9*SUM(AC273:OFFSET(AC273,$B$6-1,0))/($B$6-1))</f>
        <v>#DIV/0!</v>
      </c>
      <c r="AF273" s="34" t="e">
        <f ca="1">SQRT($B$9*SUM(AC273:OFFSET(AC273,$B$7-1,0))/($B$7-1))</f>
        <v>#DIV/0!</v>
      </c>
      <c r="AG273" s="34" t="e">
        <f ca="1">SQRT($B$9*SUM(AC273:OFFSET(AC273,$B$8-1,0))/($B$8-1))</f>
        <v>#DIV/0!</v>
      </c>
      <c r="AI273" s="1" t="e">
        <f t="shared" si="26"/>
        <v>#DIV/0!</v>
      </c>
      <c r="AJ273" s="4" t="e">
        <f ca="1">SQRT($B$9)*_xlfn.STDEV.S(AI273:OFFSET(AI273,$B$5-1,0))</f>
        <v>#DIV/0!</v>
      </c>
      <c r="AK273" s="4" t="e">
        <f ca="1">SQRT($B$9)*_xlfn.STDEV.S(AI273:OFFSET(AI273,$B$6-1,0))</f>
        <v>#DIV/0!</v>
      </c>
      <c r="AL273" s="4" t="e">
        <f ca="1">SQRT($B$9)*_xlfn.STDEV.S(AI273:OFFSET(AI273,$B$7-1,0))</f>
        <v>#DIV/0!</v>
      </c>
      <c r="AM273" s="4" t="e">
        <f ca="1">SQRT($B$9)*_xlfn.STDEV.S(AI273:OFFSET(AI273,$B$8-1,0))</f>
        <v>#DIV/0!</v>
      </c>
    </row>
    <row r="274" spans="5:39" x14ac:dyDescent="0.2">
      <c r="E274" s="42">
        <v>45254</v>
      </c>
      <c r="F274" s="43"/>
      <c r="G274" s="43"/>
      <c r="H274" s="43"/>
      <c r="I274" s="43"/>
      <c r="K274" s="3" t="e">
        <f t="shared" si="29"/>
        <v>#DIV/0!</v>
      </c>
      <c r="L274" s="3" t="e">
        <f ca="1">SQRT(AVERAGE(K274:OFFSET(K274,$B$5-1,0))*$B$9/(4*LN(2)))</f>
        <v>#DIV/0!</v>
      </c>
      <c r="M274" s="3" t="e">
        <f ca="1">SQRT(AVERAGE(K274:OFFSET(K274,$B$6-1,0))*$B$9/(4*LN(2)))</f>
        <v>#DIV/0!</v>
      </c>
      <c r="N274" s="3" t="e">
        <f ca="1">SQRT(AVERAGE(K274:OFFSET(K274,$B$7-1,0))*$B$9/(4*LN(2)))</f>
        <v>#DIV/0!</v>
      </c>
      <c r="O274" s="3" t="e">
        <f ca="1">SQRT(AVERAGE(K274:OFFSET(K274,$B$8-1,0))*$B$9/(4*LN(2)))</f>
        <v>#DIV/0!</v>
      </c>
      <c r="Q274" s="5" t="e">
        <f t="shared" si="28"/>
        <v>#DIV/0!</v>
      </c>
      <c r="R274" s="5" t="e">
        <f ca="1">SQRT($B$9*AVERAGE((Q274:OFFSET(Q274,$B$5-1,0))))</f>
        <v>#DIV/0!</v>
      </c>
      <c r="S274" s="5" t="e">
        <f ca="1">SQRT($B$9*AVERAGE((Q274:OFFSET(Q274,$B$6-1,0))))</f>
        <v>#DIV/0!</v>
      </c>
      <c r="T274" s="5" t="e">
        <f ca="1">SQRT($B$9*AVERAGE((Q274:OFFSET(Q274,$B$7-1,0))))</f>
        <v>#DIV/0!</v>
      </c>
      <c r="U274" s="5" t="e">
        <f ca="1">SQRT($B$9*AVERAGE((Q274:OFFSET(Q274,$B$8-1,0))))</f>
        <v>#DIV/0!</v>
      </c>
      <c r="W274" s="6" t="e">
        <f t="shared" si="27"/>
        <v>#DIV/0!</v>
      </c>
      <c r="X274" s="6" t="e">
        <f ca="1">SQRT($B$9*AVERAGE(W274:OFFSET(W274,$B$5-1,0)))</f>
        <v>#DIV/0!</v>
      </c>
      <c r="Y274" s="6" t="e">
        <f ca="1">SQRT($B$9*AVERAGE(W274:OFFSET(W274,$B$6-1,0)))</f>
        <v>#DIV/0!</v>
      </c>
      <c r="Z274" s="6" t="e">
        <f ca="1">SQRT($B$9*AVERAGE(W274:OFFSET(W274,$B$7-1,0)))</f>
        <v>#DIV/0!</v>
      </c>
      <c r="AA274" s="6" t="e">
        <f ca="1">SQRT($B$9*AVERAGE(W274:OFFSET(W274,$B$8-1,0)))</f>
        <v>#DIV/0!</v>
      </c>
      <c r="AC274" s="34" t="e">
        <f t="shared" si="30"/>
        <v>#DIV/0!</v>
      </c>
      <c r="AD274" s="34" t="e">
        <f ca="1">SQRT($B$9*SUM(AC274:OFFSET(AC274,$B$5-1,0))/($B$5-1))</f>
        <v>#DIV/0!</v>
      </c>
      <c r="AE274" s="34" t="e">
        <f ca="1">SQRT($B$9*SUM(AC274:OFFSET(AC274,$B$6-1,0))/($B$6-1))</f>
        <v>#DIV/0!</v>
      </c>
      <c r="AF274" s="34" t="e">
        <f ca="1">SQRT($B$9*SUM(AC274:OFFSET(AC274,$B$7-1,0))/($B$7-1))</f>
        <v>#DIV/0!</v>
      </c>
      <c r="AG274" s="34" t="e">
        <f ca="1">SQRT($B$9*SUM(AC274:OFFSET(AC274,$B$8-1,0))/($B$8-1))</f>
        <v>#DIV/0!</v>
      </c>
      <c r="AI274" s="1" t="e">
        <f t="shared" si="26"/>
        <v>#DIV/0!</v>
      </c>
      <c r="AJ274" s="4" t="e">
        <f ca="1">SQRT($B$9)*_xlfn.STDEV.S(AI274:OFFSET(AI274,$B$5-1,0))</f>
        <v>#DIV/0!</v>
      </c>
      <c r="AK274" s="4" t="e">
        <f ca="1">SQRT($B$9)*_xlfn.STDEV.S(AI274:OFFSET(AI274,$B$6-1,0))</f>
        <v>#DIV/0!</v>
      </c>
      <c r="AL274" s="4" t="e">
        <f ca="1">SQRT($B$9)*_xlfn.STDEV.S(AI274:OFFSET(AI274,$B$7-1,0))</f>
        <v>#DIV/0!</v>
      </c>
      <c r="AM274" s="4" t="e">
        <f ca="1">SQRT($B$9)*_xlfn.STDEV.S(AI274:OFFSET(AI274,$B$8-1,0))</f>
        <v>#DIV/0!</v>
      </c>
    </row>
    <row r="275" spans="5:39" x14ac:dyDescent="0.2">
      <c r="E275" s="42">
        <v>45253</v>
      </c>
      <c r="F275" s="43"/>
      <c r="G275" s="43"/>
      <c r="H275" s="43"/>
      <c r="I275" s="43"/>
      <c r="K275" s="3" t="e">
        <f t="shared" si="29"/>
        <v>#DIV/0!</v>
      </c>
      <c r="L275" s="3" t="e">
        <f ca="1">SQRT(AVERAGE(K275:OFFSET(K275,$B$5-1,0))*$B$9/(4*LN(2)))</f>
        <v>#DIV/0!</v>
      </c>
      <c r="M275" s="3" t="e">
        <f ca="1">SQRT(AVERAGE(K275:OFFSET(K275,$B$6-1,0))*$B$9/(4*LN(2)))</f>
        <v>#DIV/0!</v>
      </c>
      <c r="N275" s="3" t="e">
        <f ca="1">SQRT(AVERAGE(K275:OFFSET(K275,$B$7-1,0))*$B$9/(4*LN(2)))</f>
        <v>#DIV/0!</v>
      </c>
      <c r="O275" s="3" t="e">
        <f ca="1">SQRT(AVERAGE(K275:OFFSET(K275,$B$8-1,0))*$B$9/(4*LN(2)))</f>
        <v>#DIV/0!</v>
      </c>
      <c r="Q275" s="5" t="e">
        <f t="shared" si="28"/>
        <v>#DIV/0!</v>
      </c>
      <c r="R275" s="5" t="e">
        <f ca="1">SQRT($B$9*AVERAGE((Q275:OFFSET(Q275,$B$5-1,0))))</f>
        <v>#DIV/0!</v>
      </c>
      <c r="S275" s="5" t="e">
        <f ca="1">SQRT($B$9*AVERAGE((Q275:OFFSET(Q275,$B$6-1,0))))</f>
        <v>#DIV/0!</v>
      </c>
      <c r="T275" s="5" t="e">
        <f ca="1">SQRT($B$9*AVERAGE((Q275:OFFSET(Q275,$B$7-1,0))))</f>
        <v>#DIV/0!</v>
      </c>
      <c r="U275" s="5" t="e">
        <f ca="1">SQRT($B$9*AVERAGE((Q275:OFFSET(Q275,$B$8-1,0))))</f>
        <v>#DIV/0!</v>
      </c>
      <c r="W275" s="6" t="e">
        <f t="shared" si="27"/>
        <v>#DIV/0!</v>
      </c>
      <c r="X275" s="6" t="e">
        <f ca="1">SQRT($B$9*AVERAGE(W275:OFFSET(W275,$B$5-1,0)))</f>
        <v>#DIV/0!</v>
      </c>
      <c r="Y275" s="6" t="e">
        <f ca="1">SQRT($B$9*AVERAGE(W275:OFFSET(W275,$B$6-1,0)))</f>
        <v>#DIV/0!</v>
      </c>
      <c r="Z275" s="6" t="e">
        <f ca="1">SQRT($B$9*AVERAGE(W275:OFFSET(W275,$B$7-1,0)))</f>
        <v>#DIV/0!</v>
      </c>
      <c r="AA275" s="6" t="e">
        <f ca="1">SQRT($B$9*AVERAGE(W275:OFFSET(W275,$B$8-1,0)))</f>
        <v>#DIV/0!</v>
      </c>
      <c r="AC275" s="34" t="e">
        <f t="shared" si="30"/>
        <v>#DIV/0!</v>
      </c>
      <c r="AD275" s="34" t="e">
        <f ca="1">SQRT($B$9*SUM(AC275:OFFSET(AC275,$B$5-1,0))/($B$5-1))</f>
        <v>#DIV/0!</v>
      </c>
      <c r="AE275" s="34" t="e">
        <f ca="1">SQRT($B$9*SUM(AC275:OFFSET(AC275,$B$6-1,0))/($B$6-1))</f>
        <v>#DIV/0!</v>
      </c>
      <c r="AF275" s="34" t="e">
        <f ca="1">SQRT($B$9*SUM(AC275:OFFSET(AC275,$B$7-1,0))/($B$7-1))</f>
        <v>#DIV/0!</v>
      </c>
      <c r="AG275" s="34" t="e">
        <f ca="1">SQRT($B$9*SUM(AC275:OFFSET(AC275,$B$8-1,0))/($B$8-1))</f>
        <v>#DIV/0!</v>
      </c>
      <c r="AI275" s="1" t="e">
        <f t="shared" ref="AI275:AI338" si="31">LN(I275/I276)</f>
        <v>#DIV/0!</v>
      </c>
      <c r="AJ275" s="4" t="e">
        <f ca="1">SQRT($B$9)*_xlfn.STDEV.S(AI275:OFFSET(AI275,$B$5-1,0))</f>
        <v>#DIV/0!</v>
      </c>
      <c r="AK275" s="4" t="e">
        <f ca="1">SQRT($B$9)*_xlfn.STDEV.S(AI275:OFFSET(AI275,$B$6-1,0))</f>
        <v>#DIV/0!</v>
      </c>
      <c r="AL275" s="4" t="e">
        <f ca="1">SQRT($B$9)*_xlfn.STDEV.S(AI275:OFFSET(AI275,$B$7-1,0))</f>
        <v>#DIV/0!</v>
      </c>
      <c r="AM275" s="4" t="e">
        <f ca="1">SQRT($B$9)*_xlfn.STDEV.S(AI275:OFFSET(AI275,$B$8-1,0))</f>
        <v>#DIV/0!</v>
      </c>
    </row>
    <row r="276" spans="5:39" x14ac:dyDescent="0.2">
      <c r="E276" s="42">
        <v>45252</v>
      </c>
      <c r="F276" s="43"/>
      <c r="G276" s="43"/>
      <c r="H276" s="43"/>
      <c r="I276" s="43"/>
      <c r="K276" s="3" t="e">
        <f t="shared" si="29"/>
        <v>#DIV/0!</v>
      </c>
      <c r="L276" s="3" t="e">
        <f ca="1">SQRT(AVERAGE(K276:OFFSET(K276,$B$5-1,0))*$B$9/(4*LN(2)))</f>
        <v>#DIV/0!</v>
      </c>
      <c r="M276" s="3" t="e">
        <f ca="1">SQRT(AVERAGE(K276:OFFSET(K276,$B$6-1,0))*$B$9/(4*LN(2)))</f>
        <v>#DIV/0!</v>
      </c>
      <c r="N276" s="3" t="e">
        <f ca="1">SQRT(AVERAGE(K276:OFFSET(K276,$B$7-1,0))*$B$9/(4*LN(2)))</f>
        <v>#DIV/0!</v>
      </c>
      <c r="O276" s="3" t="e">
        <f ca="1">SQRT(AVERAGE(K276:OFFSET(K276,$B$8-1,0))*$B$9/(4*LN(2)))</f>
        <v>#DIV/0!</v>
      </c>
      <c r="Q276" s="5" t="e">
        <f t="shared" si="28"/>
        <v>#DIV/0!</v>
      </c>
      <c r="R276" s="5" t="e">
        <f ca="1">SQRT($B$9*AVERAGE((Q276:OFFSET(Q276,$B$5-1,0))))</f>
        <v>#DIV/0!</v>
      </c>
      <c r="S276" s="5" t="e">
        <f ca="1">SQRT($B$9*AVERAGE((Q276:OFFSET(Q276,$B$6-1,0))))</f>
        <v>#DIV/0!</v>
      </c>
      <c r="T276" s="5" t="e">
        <f ca="1">SQRT($B$9*AVERAGE((Q276:OFFSET(Q276,$B$7-1,0))))</f>
        <v>#DIV/0!</v>
      </c>
      <c r="U276" s="5" t="e">
        <f ca="1">SQRT($B$9*AVERAGE((Q276:OFFSET(Q276,$B$8-1,0))))</f>
        <v>#DIV/0!</v>
      </c>
      <c r="W276" s="6" t="e">
        <f t="shared" si="27"/>
        <v>#DIV/0!</v>
      </c>
      <c r="X276" s="6" t="e">
        <f ca="1">SQRT($B$9*AVERAGE(W276:OFFSET(W276,$B$5-1,0)))</f>
        <v>#DIV/0!</v>
      </c>
      <c r="Y276" s="6" t="e">
        <f ca="1">SQRT($B$9*AVERAGE(W276:OFFSET(W276,$B$6-1,0)))</f>
        <v>#DIV/0!</v>
      </c>
      <c r="Z276" s="6" t="e">
        <f ca="1">SQRT($B$9*AVERAGE(W276:OFFSET(W276,$B$7-1,0)))</f>
        <v>#DIV/0!</v>
      </c>
      <c r="AA276" s="6" t="e">
        <f ca="1">SQRT($B$9*AVERAGE(W276:OFFSET(W276,$B$8-1,0)))</f>
        <v>#DIV/0!</v>
      </c>
      <c r="AC276" s="34" t="e">
        <f t="shared" si="30"/>
        <v>#DIV/0!</v>
      </c>
      <c r="AD276" s="34" t="e">
        <f ca="1">SQRT($B$9*SUM(AC276:OFFSET(AC276,$B$5-1,0))/($B$5-1))</f>
        <v>#DIV/0!</v>
      </c>
      <c r="AE276" s="34" t="e">
        <f ca="1">SQRT($B$9*SUM(AC276:OFFSET(AC276,$B$6-1,0))/($B$6-1))</f>
        <v>#DIV/0!</v>
      </c>
      <c r="AF276" s="34" t="e">
        <f ca="1">SQRT($B$9*SUM(AC276:OFFSET(AC276,$B$7-1,0))/($B$7-1))</f>
        <v>#DIV/0!</v>
      </c>
      <c r="AG276" s="34" t="e">
        <f ca="1">SQRT($B$9*SUM(AC276:OFFSET(AC276,$B$8-1,0))/($B$8-1))</f>
        <v>#DIV/0!</v>
      </c>
      <c r="AI276" s="1" t="e">
        <f t="shared" si="31"/>
        <v>#DIV/0!</v>
      </c>
      <c r="AJ276" s="4" t="e">
        <f ca="1">SQRT($B$9)*_xlfn.STDEV.S(AI276:OFFSET(AI276,$B$5-1,0))</f>
        <v>#DIV/0!</v>
      </c>
      <c r="AK276" s="4" t="e">
        <f ca="1">SQRT($B$9)*_xlfn.STDEV.S(AI276:OFFSET(AI276,$B$6-1,0))</f>
        <v>#DIV/0!</v>
      </c>
      <c r="AL276" s="4" t="e">
        <f ca="1">SQRT($B$9)*_xlfn.STDEV.S(AI276:OFFSET(AI276,$B$7-1,0))</f>
        <v>#DIV/0!</v>
      </c>
      <c r="AM276" s="4" t="e">
        <f ca="1">SQRT($B$9)*_xlfn.STDEV.S(AI276:OFFSET(AI276,$B$8-1,0))</f>
        <v>#DIV/0!</v>
      </c>
    </row>
    <row r="277" spans="5:39" x14ac:dyDescent="0.2">
      <c r="E277" s="42">
        <v>45251</v>
      </c>
      <c r="F277" s="43"/>
      <c r="G277" s="43"/>
      <c r="H277" s="43"/>
      <c r="I277" s="43"/>
      <c r="K277" s="3" t="e">
        <f t="shared" si="29"/>
        <v>#DIV/0!</v>
      </c>
      <c r="L277" s="3" t="e">
        <f ca="1">SQRT(AVERAGE(K277:OFFSET(K277,$B$5-1,0))*$B$9/(4*LN(2)))</f>
        <v>#DIV/0!</v>
      </c>
      <c r="M277" s="3" t="e">
        <f ca="1">SQRT(AVERAGE(K277:OFFSET(K277,$B$6-1,0))*$B$9/(4*LN(2)))</f>
        <v>#DIV/0!</v>
      </c>
      <c r="N277" s="3" t="e">
        <f ca="1">SQRT(AVERAGE(K277:OFFSET(K277,$B$7-1,0))*$B$9/(4*LN(2)))</f>
        <v>#DIV/0!</v>
      </c>
      <c r="O277" s="3" t="e">
        <f ca="1">SQRT(AVERAGE(K277:OFFSET(K277,$B$8-1,0))*$B$9/(4*LN(2)))</f>
        <v>#DIV/0!</v>
      </c>
      <c r="Q277" s="5" t="e">
        <f t="shared" si="28"/>
        <v>#DIV/0!</v>
      </c>
      <c r="R277" s="5" t="e">
        <f ca="1">SQRT($B$9*AVERAGE((Q277:OFFSET(Q277,$B$5-1,0))))</f>
        <v>#DIV/0!</v>
      </c>
      <c r="S277" s="5" t="e">
        <f ca="1">SQRT($B$9*AVERAGE((Q277:OFFSET(Q277,$B$6-1,0))))</f>
        <v>#DIV/0!</v>
      </c>
      <c r="T277" s="5" t="e">
        <f ca="1">SQRT($B$9*AVERAGE((Q277:OFFSET(Q277,$B$7-1,0))))</f>
        <v>#DIV/0!</v>
      </c>
      <c r="U277" s="5" t="e">
        <f ca="1">SQRT($B$9*AVERAGE((Q277:OFFSET(Q277,$B$8-1,0))))</f>
        <v>#DIV/0!</v>
      </c>
      <c r="W277" s="6" t="e">
        <f t="shared" si="27"/>
        <v>#DIV/0!</v>
      </c>
      <c r="X277" s="6" t="e">
        <f ca="1">SQRT($B$9*AVERAGE(W277:OFFSET(W277,$B$5-1,0)))</f>
        <v>#DIV/0!</v>
      </c>
      <c r="Y277" s="6" t="e">
        <f ca="1">SQRT($B$9*AVERAGE(W277:OFFSET(W277,$B$6-1,0)))</f>
        <v>#DIV/0!</v>
      </c>
      <c r="Z277" s="6" t="e">
        <f ca="1">SQRT($B$9*AVERAGE(W277:OFFSET(W277,$B$7-1,0)))</f>
        <v>#DIV/0!</v>
      </c>
      <c r="AA277" s="6" t="e">
        <f ca="1">SQRT($B$9*AVERAGE(W277:OFFSET(W277,$B$8-1,0)))</f>
        <v>#DIV/0!</v>
      </c>
      <c r="AC277" s="34" t="e">
        <f t="shared" si="30"/>
        <v>#DIV/0!</v>
      </c>
      <c r="AD277" s="34" t="e">
        <f ca="1">SQRT($B$9*SUM(AC277:OFFSET(AC277,$B$5-1,0))/($B$5-1))</f>
        <v>#DIV/0!</v>
      </c>
      <c r="AE277" s="34" t="e">
        <f ca="1">SQRT($B$9*SUM(AC277:OFFSET(AC277,$B$6-1,0))/($B$6-1))</f>
        <v>#DIV/0!</v>
      </c>
      <c r="AF277" s="34" t="e">
        <f ca="1">SQRT($B$9*SUM(AC277:OFFSET(AC277,$B$7-1,0))/($B$7-1))</f>
        <v>#DIV/0!</v>
      </c>
      <c r="AG277" s="34" t="e">
        <f ca="1">SQRT($B$9*SUM(AC277:OFFSET(AC277,$B$8-1,0))/($B$8-1))</f>
        <v>#DIV/0!</v>
      </c>
      <c r="AI277" s="1" t="e">
        <f t="shared" si="31"/>
        <v>#DIV/0!</v>
      </c>
      <c r="AJ277" s="4" t="e">
        <f ca="1">SQRT($B$9)*_xlfn.STDEV.S(AI277:OFFSET(AI277,$B$5-1,0))</f>
        <v>#DIV/0!</v>
      </c>
      <c r="AK277" s="4" t="e">
        <f ca="1">SQRT($B$9)*_xlfn.STDEV.S(AI277:OFFSET(AI277,$B$6-1,0))</f>
        <v>#DIV/0!</v>
      </c>
      <c r="AL277" s="4" t="e">
        <f ca="1">SQRT($B$9)*_xlfn.STDEV.S(AI277:OFFSET(AI277,$B$7-1,0))</f>
        <v>#DIV/0!</v>
      </c>
      <c r="AM277" s="4" t="e">
        <f ca="1">SQRT($B$9)*_xlfn.STDEV.S(AI277:OFFSET(AI277,$B$8-1,0))</f>
        <v>#DIV/0!</v>
      </c>
    </row>
    <row r="278" spans="5:39" x14ac:dyDescent="0.2">
      <c r="E278" s="42">
        <v>45250</v>
      </c>
      <c r="F278" s="43"/>
      <c r="G278" s="43"/>
      <c r="H278" s="43"/>
      <c r="I278" s="43"/>
      <c r="K278" s="3" t="e">
        <f t="shared" si="29"/>
        <v>#DIV/0!</v>
      </c>
      <c r="L278" s="3" t="e">
        <f ca="1">SQRT(AVERAGE(K278:OFFSET(K278,$B$5-1,0))*$B$9/(4*LN(2)))</f>
        <v>#DIV/0!</v>
      </c>
      <c r="M278" s="3" t="e">
        <f ca="1">SQRT(AVERAGE(K278:OFFSET(K278,$B$6-1,0))*$B$9/(4*LN(2)))</f>
        <v>#DIV/0!</v>
      </c>
      <c r="N278" s="3" t="e">
        <f ca="1">SQRT(AVERAGE(K278:OFFSET(K278,$B$7-1,0))*$B$9/(4*LN(2)))</f>
        <v>#DIV/0!</v>
      </c>
      <c r="O278" s="3" t="e">
        <f ca="1">SQRT(AVERAGE(K278:OFFSET(K278,$B$8-1,0))*$B$9/(4*LN(2)))</f>
        <v>#DIV/0!</v>
      </c>
      <c r="Q278" s="5" t="e">
        <f t="shared" si="28"/>
        <v>#DIV/0!</v>
      </c>
      <c r="R278" s="5" t="e">
        <f ca="1">SQRT($B$9*AVERAGE((Q278:OFFSET(Q278,$B$5-1,0))))</f>
        <v>#DIV/0!</v>
      </c>
      <c r="S278" s="5" t="e">
        <f ca="1">SQRT($B$9*AVERAGE((Q278:OFFSET(Q278,$B$6-1,0))))</f>
        <v>#DIV/0!</v>
      </c>
      <c r="T278" s="5" t="e">
        <f ca="1">SQRT($B$9*AVERAGE((Q278:OFFSET(Q278,$B$7-1,0))))</f>
        <v>#DIV/0!</v>
      </c>
      <c r="U278" s="5" t="e">
        <f ca="1">SQRT($B$9*AVERAGE((Q278:OFFSET(Q278,$B$8-1,0))))</f>
        <v>#DIV/0!</v>
      </c>
      <c r="W278" s="6" t="e">
        <f t="shared" si="27"/>
        <v>#DIV/0!</v>
      </c>
      <c r="X278" s="6" t="e">
        <f ca="1">SQRT($B$9*AVERAGE(W278:OFFSET(W278,$B$5-1,0)))</f>
        <v>#DIV/0!</v>
      </c>
      <c r="Y278" s="6" t="e">
        <f ca="1">SQRT($B$9*AVERAGE(W278:OFFSET(W278,$B$6-1,0)))</f>
        <v>#DIV/0!</v>
      </c>
      <c r="Z278" s="6" t="e">
        <f ca="1">SQRT($B$9*AVERAGE(W278:OFFSET(W278,$B$7-1,0)))</f>
        <v>#DIV/0!</v>
      </c>
      <c r="AA278" s="6" t="e">
        <f ca="1">SQRT($B$9*AVERAGE(W278:OFFSET(W278,$B$8-1,0)))</f>
        <v>#DIV/0!</v>
      </c>
      <c r="AC278" s="34" t="e">
        <f t="shared" si="30"/>
        <v>#DIV/0!</v>
      </c>
      <c r="AD278" s="34" t="e">
        <f ca="1">SQRT($B$9*SUM(AC278:OFFSET(AC278,$B$5-1,0))/($B$5-1))</f>
        <v>#DIV/0!</v>
      </c>
      <c r="AE278" s="34" t="e">
        <f ca="1">SQRT($B$9*SUM(AC278:OFFSET(AC278,$B$6-1,0))/($B$6-1))</f>
        <v>#DIV/0!</v>
      </c>
      <c r="AF278" s="34" t="e">
        <f ca="1">SQRT($B$9*SUM(AC278:OFFSET(AC278,$B$7-1,0))/($B$7-1))</f>
        <v>#DIV/0!</v>
      </c>
      <c r="AG278" s="34" t="e">
        <f ca="1">SQRT($B$9*SUM(AC278:OFFSET(AC278,$B$8-1,0))/($B$8-1))</f>
        <v>#DIV/0!</v>
      </c>
      <c r="AI278" s="1" t="e">
        <f t="shared" si="31"/>
        <v>#DIV/0!</v>
      </c>
      <c r="AJ278" s="4" t="e">
        <f ca="1">SQRT($B$9)*_xlfn.STDEV.S(AI278:OFFSET(AI278,$B$5-1,0))</f>
        <v>#DIV/0!</v>
      </c>
      <c r="AK278" s="4" t="e">
        <f ca="1">SQRT($B$9)*_xlfn.STDEV.S(AI278:OFFSET(AI278,$B$6-1,0))</f>
        <v>#DIV/0!</v>
      </c>
      <c r="AL278" s="4" t="e">
        <f ca="1">SQRT($B$9)*_xlfn.STDEV.S(AI278:OFFSET(AI278,$B$7-1,0))</f>
        <v>#DIV/0!</v>
      </c>
      <c r="AM278" s="4" t="e">
        <f ca="1">SQRT($B$9)*_xlfn.STDEV.S(AI278:OFFSET(AI278,$B$8-1,0))</f>
        <v>#DIV/0!</v>
      </c>
    </row>
    <row r="279" spans="5:39" x14ac:dyDescent="0.2">
      <c r="E279" s="42">
        <v>45247</v>
      </c>
      <c r="F279" s="43"/>
      <c r="G279" s="43"/>
      <c r="H279" s="43"/>
      <c r="I279" s="43"/>
      <c r="K279" s="3" t="e">
        <f t="shared" si="29"/>
        <v>#DIV/0!</v>
      </c>
      <c r="L279" s="3" t="e">
        <f ca="1">SQRT(AVERAGE(K279:OFFSET(K279,$B$5-1,0))*$B$9/(4*LN(2)))</f>
        <v>#DIV/0!</v>
      </c>
      <c r="M279" s="3" t="e">
        <f ca="1">SQRT(AVERAGE(K279:OFFSET(K279,$B$6-1,0))*$B$9/(4*LN(2)))</f>
        <v>#DIV/0!</v>
      </c>
      <c r="N279" s="3" t="e">
        <f ca="1">SQRT(AVERAGE(K279:OFFSET(K279,$B$7-1,0))*$B$9/(4*LN(2)))</f>
        <v>#DIV/0!</v>
      </c>
      <c r="O279" s="3" t="e">
        <f ca="1">SQRT(AVERAGE(K279:OFFSET(K279,$B$8-1,0))*$B$9/(4*LN(2)))</f>
        <v>#DIV/0!</v>
      </c>
      <c r="Q279" s="5" t="e">
        <f t="shared" si="28"/>
        <v>#DIV/0!</v>
      </c>
      <c r="R279" s="5" t="e">
        <f ca="1">SQRT($B$9*AVERAGE((Q279:OFFSET(Q279,$B$5-1,0))))</f>
        <v>#DIV/0!</v>
      </c>
      <c r="S279" s="5" t="e">
        <f ca="1">SQRT($B$9*AVERAGE((Q279:OFFSET(Q279,$B$6-1,0))))</f>
        <v>#DIV/0!</v>
      </c>
      <c r="T279" s="5" t="e">
        <f ca="1">SQRT($B$9*AVERAGE((Q279:OFFSET(Q279,$B$7-1,0))))</f>
        <v>#DIV/0!</v>
      </c>
      <c r="U279" s="5" t="e">
        <f ca="1">SQRT($B$9*AVERAGE((Q279:OFFSET(Q279,$B$8-1,0))))</f>
        <v>#DIV/0!</v>
      </c>
      <c r="W279" s="6" t="e">
        <f t="shared" si="27"/>
        <v>#DIV/0!</v>
      </c>
      <c r="X279" s="6" t="e">
        <f ca="1">SQRT($B$9*AVERAGE(W279:OFFSET(W279,$B$5-1,0)))</f>
        <v>#DIV/0!</v>
      </c>
      <c r="Y279" s="6" t="e">
        <f ca="1">SQRT($B$9*AVERAGE(W279:OFFSET(W279,$B$6-1,0)))</f>
        <v>#DIV/0!</v>
      </c>
      <c r="Z279" s="6" t="e">
        <f ca="1">SQRT($B$9*AVERAGE(W279:OFFSET(W279,$B$7-1,0)))</f>
        <v>#DIV/0!</v>
      </c>
      <c r="AA279" s="6" t="e">
        <f ca="1">SQRT($B$9*AVERAGE(W279:OFFSET(W279,$B$8-1,0)))</f>
        <v>#DIV/0!</v>
      </c>
      <c r="AC279" s="34" t="e">
        <f t="shared" si="30"/>
        <v>#DIV/0!</v>
      </c>
      <c r="AD279" s="34" t="e">
        <f ca="1">SQRT($B$9*SUM(AC279:OFFSET(AC279,$B$5-1,0))/($B$5-1))</f>
        <v>#DIV/0!</v>
      </c>
      <c r="AE279" s="34" t="e">
        <f ca="1">SQRT($B$9*SUM(AC279:OFFSET(AC279,$B$6-1,0))/($B$6-1))</f>
        <v>#DIV/0!</v>
      </c>
      <c r="AF279" s="34" t="e">
        <f ca="1">SQRT($B$9*SUM(AC279:OFFSET(AC279,$B$7-1,0))/($B$7-1))</f>
        <v>#DIV/0!</v>
      </c>
      <c r="AG279" s="34" t="e">
        <f ca="1">SQRT($B$9*SUM(AC279:OFFSET(AC279,$B$8-1,0))/($B$8-1))</f>
        <v>#DIV/0!</v>
      </c>
      <c r="AI279" s="1" t="e">
        <f t="shared" si="31"/>
        <v>#DIV/0!</v>
      </c>
      <c r="AJ279" s="4" t="e">
        <f ca="1">SQRT($B$9)*_xlfn.STDEV.S(AI279:OFFSET(AI279,$B$5-1,0))</f>
        <v>#DIV/0!</v>
      </c>
      <c r="AK279" s="4" t="e">
        <f ca="1">SQRT($B$9)*_xlfn.STDEV.S(AI279:OFFSET(AI279,$B$6-1,0))</f>
        <v>#DIV/0!</v>
      </c>
      <c r="AL279" s="4" t="e">
        <f ca="1">SQRT($B$9)*_xlfn.STDEV.S(AI279:OFFSET(AI279,$B$7-1,0))</f>
        <v>#DIV/0!</v>
      </c>
      <c r="AM279" s="4" t="e">
        <f ca="1">SQRT($B$9)*_xlfn.STDEV.S(AI279:OFFSET(AI279,$B$8-1,0))</f>
        <v>#DIV/0!</v>
      </c>
    </row>
    <row r="280" spans="5:39" x14ac:dyDescent="0.2">
      <c r="E280" s="42">
        <v>45246</v>
      </c>
      <c r="F280" s="43"/>
      <c r="G280" s="43"/>
      <c r="H280" s="43"/>
      <c r="I280" s="43"/>
      <c r="K280" s="3" t="e">
        <f t="shared" si="29"/>
        <v>#DIV/0!</v>
      </c>
      <c r="L280" s="3" t="e">
        <f ca="1">SQRT(AVERAGE(K280:OFFSET(K280,$B$5-1,0))*$B$9/(4*LN(2)))</f>
        <v>#DIV/0!</v>
      </c>
      <c r="M280" s="3" t="e">
        <f ca="1">SQRT(AVERAGE(K280:OFFSET(K280,$B$6-1,0))*$B$9/(4*LN(2)))</f>
        <v>#DIV/0!</v>
      </c>
      <c r="N280" s="3" t="e">
        <f ca="1">SQRT(AVERAGE(K280:OFFSET(K280,$B$7-1,0))*$B$9/(4*LN(2)))</f>
        <v>#DIV/0!</v>
      </c>
      <c r="O280" s="3" t="e">
        <f ca="1">SQRT(AVERAGE(K280:OFFSET(K280,$B$8-1,0))*$B$9/(4*LN(2)))</f>
        <v>#DIV/0!</v>
      </c>
      <c r="Q280" s="5" t="e">
        <f t="shared" si="28"/>
        <v>#DIV/0!</v>
      </c>
      <c r="R280" s="5" t="e">
        <f ca="1">SQRT($B$9*AVERAGE((Q280:OFFSET(Q280,$B$5-1,0))))</f>
        <v>#DIV/0!</v>
      </c>
      <c r="S280" s="5" t="e">
        <f ca="1">SQRT($B$9*AVERAGE((Q280:OFFSET(Q280,$B$6-1,0))))</f>
        <v>#DIV/0!</v>
      </c>
      <c r="T280" s="5" t="e">
        <f ca="1">SQRT($B$9*AVERAGE((Q280:OFFSET(Q280,$B$7-1,0))))</f>
        <v>#DIV/0!</v>
      </c>
      <c r="U280" s="5" t="e">
        <f ca="1">SQRT($B$9*AVERAGE((Q280:OFFSET(Q280,$B$8-1,0))))</f>
        <v>#DIV/0!</v>
      </c>
      <c r="W280" s="6" t="e">
        <f t="shared" si="27"/>
        <v>#DIV/0!</v>
      </c>
      <c r="X280" s="6" t="e">
        <f ca="1">SQRT($B$9*AVERAGE(W280:OFFSET(W280,$B$5-1,0)))</f>
        <v>#DIV/0!</v>
      </c>
      <c r="Y280" s="6" t="e">
        <f ca="1">SQRT($B$9*AVERAGE(W280:OFFSET(W280,$B$6-1,0)))</f>
        <v>#DIV/0!</v>
      </c>
      <c r="Z280" s="6" t="e">
        <f ca="1">SQRT($B$9*AVERAGE(W280:OFFSET(W280,$B$7-1,0)))</f>
        <v>#DIV/0!</v>
      </c>
      <c r="AA280" s="6" t="e">
        <f ca="1">SQRT($B$9*AVERAGE(W280:OFFSET(W280,$B$8-1,0)))</f>
        <v>#DIV/0!</v>
      </c>
      <c r="AC280" s="34" t="e">
        <f t="shared" si="30"/>
        <v>#DIV/0!</v>
      </c>
      <c r="AD280" s="34" t="e">
        <f ca="1">SQRT($B$9*SUM(AC280:OFFSET(AC280,$B$5-1,0))/($B$5-1))</f>
        <v>#DIV/0!</v>
      </c>
      <c r="AE280" s="34" t="e">
        <f ca="1">SQRT($B$9*SUM(AC280:OFFSET(AC280,$B$6-1,0))/($B$6-1))</f>
        <v>#DIV/0!</v>
      </c>
      <c r="AF280" s="34" t="e">
        <f ca="1">SQRT($B$9*SUM(AC280:OFFSET(AC280,$B$7-1,0))/($B$7-1))</f>
        <v>#DIV/0!</v>
      </c>
      <c r="AG280" s="34" t="e">
        <f ca="1">SQRT($B$9*SUM(AC280:OFFSET(AC280,$B$8-1,0))/($B$8-1))</f>
        <v>#DIV/0!</v>
      </c>
      <c r="AI280" s="1" t="e">
        <f t="shared" si="31"/>
        <v>#DIV/0!</v>
      </c>
      <c r="AJ280" s="4" t="e">
        <f ca="1">SQRT($B$9)*_xlfn.STDEV.S(AI280:OFFSET(AI280,$B$5-1,0))</f>
        <v>#DIV/0!</v>
      </c>
      <c r="AK280" s="4" t="e">
        <f ca="1">SQRT($B$9)*_xlfn.STDEV.S(AI280:OFFSET(AI280,$B$6-1,0))</f>
        <v>#DIV/0!</v>
      </c>
      <c r="AL280" s="4" t="e">
        <f ca="1">SQRT($B$9)*_xlfn.STDEV.S(AI280:OFFSET(AI280,$B$7-1,0))</f>
        <v>#DIV/0!</v>
      </c>
      <c r="AM280" s="4" t="e">
        <f ca="1">SQRT($B$9)*_xlfn.STDEV.S(AI280:OFFSET(AI280,$B$8-1,0))</f>
        <v>#DIV/0!</v>
      </c>
    </row>
    <row r="281" spans="5:39" x14ac:dyDescent="0.2">
      <c r="E281" s="42">
        <v>45245</v>
      </c>
      <c r="F281" s="43"/>
      <c r="G281" s="43"/>
      <c r="H281" s="43"/>
      <c r="I281" s="43"/>
      <c r="K281" s="3" t="e">
        <f t="shared" si="29"/>
        <v>#DIV/0!</v>
      </c>
      <c r="L281" s="3" t="e">
        <f ca="1">SQRT(AVERAGE(K281:OFFSET(K281,$B$5-1,0))*$B$9/(4*LN(2)))</f>
        <v>#DIV/0!</v>
      </c>
      <c r="M281" s="3" t="e">
        <f ca="1">SQRT(AVERAGE(K281:OFFSET(K281,$B$6-1,0))*$B$9/(4*LN(2)))</f>
        <v>#DIV/0!</v>
      </c>
      <c r="N281" s="3" t="e">
        <f ca="1">SQRT(AVERAGE(K281:OFFSET(K281,$B$7-1,0))*$B$9/(4*LN(2)))</f>
        <v>#DIV/0!</v>
      </c>
      <c r="O281" s="3" t="e">
        <f ca="1">SQRT(AVERAGE(K281:OFFSET(K281,$B$8-1,0))*$B$9/(4*LN(2)))</f>
        <v>#DIV/0!</v>
      </c>
      <c r="Q281" s="5" t="e">
        <f t="shared" si="28"/>
        <v>#DIV/0!</v>
      </c>
      <c r="R281" s="5" t="e">
        <f ca="1">SQRT($B$9*AVERAGE((Q281:OFFSET(Q281,$B$5-1,0))))</f>
        <v>#DIV/0!</v>
      </c>
      <c r="S281" s="5" t="e">
        <f ca="1">SQRT($B$9*AVERAGE((Q281:OFFSET(Q281,$B$6-1,0))))</f>
        <v>#DIV/0!</v>
      </c>
      <c r="T281" s="5" t="e">
        <f ca="1">SQRT($B$9*AVERAGE((Q281:OFFSET(Q281,$B$7-1,0))))</f>
        <v>#DIV/0!</v>
      </c>
      <c r="U281" s="5" t="e">
        <f ca="1">SQRT($B$9*AVERAGE((Q281:OFFSET(Q281,$B$8-1,0))))</f>
        <v>#DIV/0!</v>
      </c>
      <c r="W281" s="6" t="e">
        <f t="shared" si="27"/>
        <v>#DIV/0!</v>
      </c>
      <c r="X281" s="6" t="e">
        <f ca="1">SQRT($B$9*AVERAGE(W281:OFFSET(W281,$B$5-1,0)))</f>
        <v>#DIV/0!</v>
      </c>
      <c r="Y281" s="6" t="e">
        <f ca="1">SQRT($B$9*AVERAGE(W281:OFFSET(W281,$B$6-1,0)))</f>
        <v>#DIV/0!</v>
      </c>
      <c r="Z281" s="6" t="e">
        <f ca="1">SQRT($B$9*AVERAGE(W281:OFFSET(W281,$B$7-1,0)))</f>
        <v>#DIV/0!</v>
      </c>
      <c r="AA281" s="6" t="e">
        <f ca="1">SQRT($B$9*AVERAGE(W281:OFFSET(W281,$B$8-1,0)))</f>
        <v>#DIV/0!</v>
      </c>
      <c r="AC281" s="34" t="e">
        <f t="shared" si="30"/>
        <v>#DIV/0!</v>
      </c>
      <c r="AD281" s="34" t="e">
        <f ca="1">SQRT($B$9*SUM(AC281:OFFSET(AC281,$B$5-1,0))/($B$5-1))</f>
        <v>#DIV/0!</v>
      </c>
      <c r="AE281" s="34" t="e">
        <f ca="1">SQRT($B$9*SUM(AC281:OFFSET(AC281,$B$6-1,0))/($B$6-1))</f>
        <v>#DIV/0!</v>
      </c>
      <c r="AF281" s="34" t="e">
        <f ca="1">SQRT($B$9*SUM(AC281:OFFSET(AC281,$B$7-1,0))/($B$7-1))</f>
        <v>#DIV/0!</v>
      </c>
      <c r="AG281" s="34" t="e">
        <f ca="1">SQRT($B$9*SUM(AC281:OFFSET(AC281,$B$8-1,0))/($B$8-1))</f>
        <v>#DIV/0!</v>
      </c>
      <c r="AI281" s="1" t="e">
        <f t="shared" si="31"/>
        <v>#DIV/0!</v>
      </c>
      <c r="AJ281" s="4" t="e">
        <f ca="1">SQRT($B$9)*_xlfn.STDEV.S(AI281:OFFSET(AI281,$B$5-1,0))</f>
        <v>#DIV/0!</v>
      </c>
      <c r="AK281" s="4" t="e">
        <f ca="1">SQRT($B$9)*_xlfn.STDEV.S(AI281:OFFSET(AI281,$B$6-1,0))</f>
        <v>#DIV/0!</v>
      </c>
      <c r="AL281" s="4" t="e">
        <f ca="1">SQRT($B$9)*_xlfn.STDEV.S(AI281:OFFSET(AI281,$B$7-1,0))</f>
        <v>#DIV/0!</v>
      </c>
      <c r="AM281" s="4" t="e">
        <f ca="1">SQRT($B$9)*_xlfn.STDEV.S(AI281:OFFSET(AI281,$B$8-1,0))</f>
        <v>#DIV/0!</v>
      </c>
    </row>
    <row r="282" spans="5:39" x14ac:dyDescent="0.2">
      <c r="E282" s="42">
        <v>45244</v>
      </c>
      <c r="F282" s="43"/>
      <c r="G282" s="43"/>
      <c r="H282" s="43"/>
      <c r="I282" s="43"/>
      <c r="K282" s="3" t="e">
        <f t="shared" si="29"/>
        <v>#DIV/0!</v>
      </c>
      <c r="L282" s="3" t="e">
        <f ca="1">SQRT(AVERAGE(K282:OFFSET(K282,$B$5-1,0))*$B$9/(4*LN(2)))</f>
        <v>#DIV/0!</v>
      </c>
      <c r="M282" s="3" t="e">
        <f ca="1">SQRT(AVERAGE(K282:OFFSET(K282,$B$6-1,0))*$B$9/(4*LN(2)))</f>
        <v>#DIV/0!</v>
      </c>
      <c r="N282" s="3" t="e">
        <f ca="1">SQRT(AVERAGE(K282:OFFSET(K282,$B$7-1,0))*$B$9/(4*LN(2)))</f>
        <v>#DIV/0!</v>
      </c>
      <c r="O282" s="3" t="e">
        <f ca="1">SQRT(AVERAGE(K282:OFFSET(K282,$B$8-1,0))*$B$9/(4*LN(2)))</f>
        <v>#DIV/0!</v>
      </c>
      <c r="Q282" s="5" t="e">
        <f t="shared" si="28"/>
        <v>#DIV/0!</v>
      </c>
      <c r="R282" s="5" t="e">
        <f ca="1">SQRT($B$9*AVERAGE((Q282:OFFSET(Q282,$B$5-1,0))))</f>
        <v>#DIV/0!</v>
      </c>
      <c r="S282" s="5" t="e">
        <f ca="1">SQRT($B$9*AVERAGE((Q282:OFFSET(Q282,$B$6-1,0))))</f>
        <v>#DIV/0!</v>
      </c>
      <c r="T282" s="5" t="e">
        <f ca="1">SQRT($B$9*AVERAGE((Q282:OFFSET(Q282,$B$7-1,0))))</f>
        <v>#DIV/0!</v>
      </c>
      <c r="U282" s="5" t="e">
        <f ca="1">SQRT($B$9*AVERAGE((Q282:OFFSET(Q282,$B$8-1,0))))</f>
        <v>#DIV/0!</v>
      </c>
      <c r="W282" s="6" t="e">
        <f t="shared" si="27"/>
        <v>#DIV/0!</v>
      </c>
      <c r="X282" s="6" t="e">
        <f ca="1">SQRT($B$9*AVERAGE(W282:OFFSET(W282,$B$5-1,0)))</f>
        <v>#DIV/0!</v>
      </c>
      <c r="Y282" s="6" t="e">
        <f ca="1">SQRT($B$9*AVERAGE(W282:OFFSET(W282,$B$6-1,0)))</f>
        <v>#DIV/0!</v>
      </c>
      <c r="Z282" s="6" t="e">
        <f ca="1">SQRT($B$9*AVERAGE(W282:OFFSET(W282,$B$7-1,0)))</f>
        <v>#DIV/0!</v>
      </c>
      <c r="AA282" s="6" t="e">
        <f ca="1">SQRT($B$9*AVERAGE(W282:OFFSET(W282,$B$8-1,0)))</f>
        <v>#DIV/0!</v>
      </c>
      <c r="AC282" s="34" t="e">
        <f t="shared" si="30"/>
        <v>#DIV/0!</v>
      </c>
      <c r="AD282" s="34" t="e">
        <f ca="1">SQRT($B$9*SUM(AC282:OFFSET(AC282,$B$5-1,0))/($B$5-1))</f>
        <v>#DIV/0!</v>
      </c>
      <c r="AE282" s="34" t="e">
        <f ca="1">SQRT($B$9*SUM(AC282:OFFSET(AC282,$B$6-1,0))/($B$6-1))</f>
        <v>#DIV/0!</v>
      </c>
      <c r="AF282" s="34" t="e">
        <f ca="1">SQRT($B$9*SUM(AC282:OFFSET(AC282,$B$7-1,0))/($B$7-1))</f>
        <v>#DIV/0!</v>
      </c>
      <c r="AG282" s="34" t="e">
        <f ca="1">SQRT($B$9*SUM(AC282:OFFSET(AC282,$B$8-1,0))/($B$8-1))</f>
        <v>#DIV/0!</v>
      </c>
      <c r="AI282" s="1" t="e">
        <f t="shared" si="31"/>
        <v>#DIV/0!</v>
      </c>
      <c r="AJ282" s="4" t="e">
        <f ca="1">SQRT($B$9)*_xlfn.STDEV.S(AI282:OFFSET(AI282,$B$5-1,0))</f>
        <v>#DIV/0!</v>
      </c>
      <c r="AK282" s="4" t="e">
        <f ca="1">SQRT($B$9)*_xlfn.STDEV.S(AI282:OFFSET(AI282,$B$6-1,0))</f>
        <v>#DIV/0!</v>
      </c>
      <c r="AL282" s="4" t="e">
        <f ca="1">SQRT($B$9)*_xlfn.STDEV.S(AI282:OFFSET(AI282,$B$7-1,0))</f>
        <v>#DIV/0!</v>
      </c>
      <c r="AM282" s="4" t="e">
        <f ca="1">SQRT($B$9)*_xlfn.STDEV.S(AI282:OFFSET(AI282,$B$8-1,0))</f>
        <v>#DIV/0!</v>
      </c>
    </row>
    <row r="283" spans="5:39" x14ac:dyDescent="0.2">
      <c r="E283" s="42">
        <v>45243</v>
      </c>
      <c r="F283" s="43"/>
      <c r="G283" s="43"/>
      <c r="H283" s="43"/>
      <c r="I283" s="43"/>
      <c r="K283" s="3" t="e">
        <f t="shared" si="29"/>
        <v>#DIV/0!</v>
      </c>
      <c r="L283" s="3" t="e">
        <f ca="1">SQRT(AVERAGE(K283:OFFSET(K283,$B$5-1,0))*$B$9/(4*LN(2)))</f>
        <v>#DIV/0!</v>
      </c>
      <c r="M283" s="3" t="e">
        <f ca="1">SQRT(AVERAGE(K283:OFFSET(K283,$B$6-1,0))*$B$9/(4*LN(2)))</f>
        <v>#DIV/0!</v>
      </c>
      <c r="N283" s="3" t="e">
        <f ca="1">SQRT(AVERAGE(K283:OFFSET(K283,$B$7-1,0))*$B$9/(4*LN(2)))</f>
        <v>#DIV/0!</v>
      </c>
      <c r="O283" s="3" t="e">
        <f ca="1">SQRT(AVERAGE(K283:OFFSET(K283,$B$8-1,0))*$B$9/(4*LN(2)))</f>
        <v>#DIV/0!</v>
      </c>
      <c r="Q283" s="5" t="e">
        <f t="shared" si="28"/>
        <v>#DIV/0!</v>
      </c>
      <c r="R283" s="5" t="e">
        <f ca="1">SQRT($B$9*AVERAGE((Q283:OFFSET(Q283,$B$5-1,0))))</f>
        <v>#DIV/0!</v>
      </c>
      <c r="S283" s="5" t="e">
        <f ca="1">SQRT($B$9*AVERAGE((Q283:OFFSET(Q283,$B$6-1,0))))</f>
        <v>#DIV/0!</v>
      </c>
      <c r="T283" s="5" t="e">
        <f ca="1">SQRT($B$9*AVERAGE((Q283:OFFSET(Q283,$B$7-1,0))))</f>
        <v>#DIV/0!</v>
      </c>
      <c r="U283" s="5" t="e">
        <f ca="1">SQRT($B$9*AVERAGE((Q283:OFFSET(Q283,$B$8-1,0))))</f>
        <v>#DIV/0!</v>
      </c>
      <c r="W283" s="6" t="e">
        <f t="shared" si="27"/>
        <v>#DIV/0!</v>
      </c>
      <c r="X283" s="6" t="e">
        <f ca="1">SQRT($B$9*AVERAGE(W283:OFFSET(W283,$B$5-1,0)))</f>
        <v>#DIV/0!</v>
      </c>
      <c r="Y283" s="6" t="e">
        <f ca="1">SQRT($B$9*AVERAGE(W283:OFFSET(W283,$B$6-1,0)))</f>
        <v>#DIV/0!</v>
      </c>
      <c r="Z283" s="6" t="e">
        <f ca="1">SQRT($B$9*AVERAGE(W283:OFFSET(W283,$B$7-1,0)))</f>
        <v>#DIV/0!</v>
      </c>
      <c r="AA283" s="6" t="e">
        <f ca="1">SQRT($B$9*AVERAGE(W283:OFFSET(W283,$B$8-1,0)))</f>
        <v>#DIV/0!</v>
      </c>
      <c r="AC283" s="34" t="e">
        <f t="shared" si="30"/>
        <v>#DIV/0!</v>
      </c>
      <c r="AD283" s="34" t="e">
        <f ca="1">SQRT($B$9*SUM(AC283:OFFSET(AC283,$B$5-1,0))/($B$5-1))</f>
        <v>#DIV/0!</v>
      </c>
      <c r="AE283" s="34" t="e">
        <f ca="1">SQRT($B$9*SUM(AC283:OFFSET(AC283,$B$6-1,0))/($B$6-1))</f>
        <v>#DIV/0!</v>
      </c>
      <c r="AF283" s="34" t="e">
        <f ca="1">SQRT($B$9*SUM(AC283:OFFSET(AC283,$B$7-1,0))/($B$7-1))</f>
        <v>#DIV/0!</v>
      </c>
      <c r="AG283" s="34" t="e">
        <f ca="1">SQRT($B$9*SUM(AC283:OFFSET(AC283,$B$8-1,0))/($B$8-1))</f>
        <v>#DIV/0!</v>
      </c>
      <c r="AI283" s="1" t="e">
        <f t="shared" si="31"/>
        <v>#DIV/0!</v>
      </c>
      <c r="AJ283" s="4" t="e">
        <f ca="1">SQRT($B$9)*_xlfn.STDEV.S(AI283:OFFSET(AI283,$B$5-1,0))</f>
        <v>#DIV/0!</v>
      </c>
      <c r="AK283" s="4" t="e">
        <f ca="1">SQRT($B$9)*_xlfn.STDEV.S(AI283:OFFSET(AI283,$B$6-1,0))</f>
        <v>#DIV/0!</v>
      </c>
      <c r="AL283" s="4" t="e">
        <f ca="1">SQRT($B$9)*_xlfn.STDEV.S(AI283:OFFSET(AI283,$B$7-1,0))</f>
        <v>#DIV/0!</v>
      </c>
      <c r="AM283" s="4" t="e">
        <f ca="1">SQRT($B$9)*_xlfn.STDEV.S(AI283:OFFSET(AI283,$B$8-1,0))</f>
        <v>#DIV/0!</v>
      </c>
    </row>
    <row r="284" spans="5:39" x14ac:dyDescent="0.2">
      <c r="E284" s="42">
        <v>45240</v>
      </c>
      <c r="F284" s="43"/>
      <c r="G284" s="43"/>
      <c r="H284" s="43"/>
      <c r="I284" s="43"/>
      <c r="K284" s="3" t="e">
        <f t="shared" si="29"/>
        <v>#DIV/0!</v>
      </c>
      <c r="L284" s="3" t="e">
        <f ca="1">SQRT(AVERAGE(K284:OFFSET(K284,$B$5-1,0))*$B$9/(4*LN(2)))</f>
        <v>#DIV/0!</v>
      </c>
      <c r="M284" s="3" t="e">
        <f ca="1">SQRT(AVERAGE(K284:OFFSET(K284,$B$6-1,0))*$B$9/(4*LN(2)))</f>
        <v>#DIV/0!</v>
      </c>
      <c r="N284" s="3" t="e">
        <f ca="1">SQRT(AVERAGE(K284:OFFSET(K284,$B$7-1,0))*$B$9/(4*LN(2)))</f>
        <v>#DIV/0!</v>
      </c>
      <c r="O284" s="3" t="e">
        <f ca="1">SQRT(AVERAGE(K284:OFFSET(K284,$B$8-1,0))*$B$9/(4*LN(2)))</f>
        <v>#DIV/0!</v>
      </c>
      <c r="Q284" s="5" t="e">
        <f t="shared" si="28"/>
        <v>#DIV/0!</v>
      </c>
      <c r="R284" s="5" t="e">
        <f ca="1">SQRT($B$9*AVERAGE((Q284:OFFSET(Q284,$B$5-1,0))))</f>
        <v>#DIV/0!</v>
      </c>
      <c r="S284" s="5" t="e">
        <f ca="1">SQRT($B$9*AVERAGE((Q284:OFFSET(Q284,$B$6-1,0))))</f>
        <v>#DIV/0!</v>
      </c>
      <c r="T284" s="5" t="e">
        <f ca="1">SQRT($B$9*AVERAGE((Q284:OFFSET(Q284,$B$7-1,0))))</f>
        <v>#DIV/0!</v>
      </c>
      <c r="U284" s="5" t="e">
        <f ca="1">SQRT($B$9*AVERAGE((Q284:OFFSET(Q284,$B$8-1,0))))</f>
        <v>#DIV/0!</v>
      </c>
      <c r="W284" s="6" t="e">
        <f t="shared" si="27"/>
        <v>#DIV/0!</v>
      </c>
      <c r="X284" s="6" t="e">
        <f ca="1">SQRT($B$9*AVERAGE(W284:OFFSET(W284,$B$5-1,0)))</f>
        <v>#DIV/0!</v>
      </c>
      <c r="Y284" s="6" t="e">
        <f ca="1">SQRT($B$9*AVERAGE(W284:OFFSET(W284,$B$6-1,0)))</f>
        <v>#DIV/0!</v>
      </c>
      <c r="Z284" s="6" t="e">
        <f ca="1">SQRT($B$9*AVERAGE(W284:OFFSET(W284,$B$7-1,0)))</f>
        <v>#DIV/0!</v>
      </c>
      <c r="AA284" s="6" t="e">
        <f ca="1">SQRT($B$9*AVERAGE(W284:OFFSET(W284,$B$8-1,0)))</f>
        <v>#DIV/0!</v>
      </c>
      <c r="AC284" s="34" t="e">
        <f t="shared" si="30"/>
        <v>#DIV/0!</v>
      </c>
      <c r="AD284" s="34" t="e">
        <f ca="1">SQRT($B$9*SUM(AC284:OFFSET(AC284,$B$5-1,0))/($B$5-1))</f>
        <v>#DIV/0!</v>
      </c>
      <c r="AE284" s="34" t="e">
        <f ca="1">SQRT($B$9*SUM(AC284:OFFSET(AC284,$B$6-1,0))/($B$6-1))</f>
        <v>#DIV/0!</v>
      </c>
      <c r="AF284" s="34" t="e">
        <f ca="1">SQRT($B$9*SUM(AC284:OFFSET(AC284,$B$7-1,0))/($B$7-1))</f>
        <v>#DIV/0!</v>
      </c>
      <c r="AG284" s="34" t="e">
        <f ca="1">SQRT($B$9*SUM(AC284:OFFSET(AC284,$B$8-1,0))/($B$8-1))</f>
        <v>#DIV/0!</v>
      </c>
      <c r="AI284" s="1" t="e">
        <f t="shared" si="31"/>
        <v>#DIV/0!</v>
      </c>
      <c r="AJ284" s="4" t="e">
        <f ca="1">SQRT($B$9)*_xlfn.STDEV.S(AI284:OFFSET(AI284,$B$5-1,0))</f>
        <v>#DIV/0!</v>
      </c>
      <c r="AK284" s="4" t="e">
        <f ca="1">SQRT($B$9)*_xlfn.STDEV.S(AI284:OFFSET(AI284,$B$6-1,0))</f>
        <v>#DIV/0!</v>
      </c>
      <c r="AL284" s="4" t="e">
        <f ca="1">SQRT($B$9)*_xlfn.STDEV.S(AI284:OFFSET(AI284,$B$7-1,0))</f>
        <v>#DIV/0!</v>
      </c>
      <c r="AM284" s="4" t="e">
        <f ca="1">SQRT($B$9)*_xlfn.STDEV.S(AI284:OFFSET(AI284,$B$8-1,0))</f>
        <v>#DIV/0!</v>
      </c>
    </row>
    <row r="285" spans="5:39" x14ac:dyDescent="0.2">
      <c r="E285" s="42">
        <v>45239</v>
      </c>
      <c r="F285" s="43"/>
      <c r="G285" s="43"/>
      <c r="H285" s="43"/>
      <c r="I285" s="43"/>
      <c r="K285" s="3" t="e">
        <f t="shared" si="29"/>
        <v>#DIV/0!</v>
      </c>
      <c r="L285" s="3" t="e">
        <f ca="1">SQRT(AVERAGE(K285:OFFSET(K285,$B$5-1,0))*$B$9/(4*LN(2)))</f>
        <v>#DIV/0!</v>
      </c>
      <c r="M285" s="3" t="e">
        <f ca="1">SQRT(AVERAGE(K285:OFFSET(K285,$B$6-1,0))*$B$9/(4*LN(2)))</f>
        <v>#DIV/0!</v>
      </c>
      <c r="N285" s="3" t="e">
        <f ca="1">SQRT(AVERAGE(K285:OFFSET(K285,$B$7-1,0))*$B$9/(4*LN(2)))</f>
        <v>#DIV/0!</v>
      </c>
      <c r="O285" s="3" t="e">
        <f ca="1">SQRT(AVERAGE(K285:OFFSET(K285,$B$8-1,0))*$B$9/(4*LN(2)))</f>
        <v>#DIV/0!</v>
      </c>
      <c r="Q285" s="5" t="e">
        <f t="shared" si="28"/>
        <v>#DIV/0!</v>
      </c>
      <c r="R285" s="5" t="e">
        <f ca="1">SQRT($B$9*AVERAGE((Q285:OFFSET(Q285,$B$5-1,0))))</f>
        <v>#DIV/0!</v>
      </c>
      <c r="S285" s="5" t="e">
        <f ca="1">SQRT($B$9*AVERAGE((Q285:OFFSET(Q285,$B$6-1,0))))</f>
        <v>#DIV/0!</v>
      </c>
      <c r="T285" s="5" t="e">
        <f ca="1">SQRT($B$9*AVERAGE((Q285:OFFSET(Q285,$B$7-1,0))))</f>
        <v>#DIV/0!</v>
      </c>
      <c r="U285" s="5" t="e">
        <f ca="1">SQRT($B$9*AVERAGE((Q285:OFFSET(Q285,$B$8-1,0))))</f>
        <v>#DIV/0!</v>
      </c>
      <c r="W285" s="6" t="e">
        <f t="shared" si="27"/>
        <v>#DIV/0!</v>
      </c>
      <c r="X285" s="6" t="e">
        <f ca="1">SQRT($B$9*AVERAGE(W285:OFFSET(W285,$B$5-1,0)))</f>
        <v>#DIV/0!</v>
      </c>
      <c r="Y285" s="6" t="e">
        <f ca="1">SQRT($B$9*AVERAGE(W285:OFFSET(W285,$B$6-1,0)))</f>
        <v>#DIV/0!</v>
      </c>
      <c r="Z285" s="6" t="e">
        <f ca="1">SQRT($B$9*AVERAGE(W285:OFFSET(W285,$B$7-1,0)))</f>
        <v>#DIV/0!</v>
      </c>
      <c r="AA285" s="6" t="e">
        <f ca="1">SQRT($B$9*AVERAGE(W285:OFFSET(W285,$B$8-1,0)))</f>
        <v>#DIV/0!</v>
      </c>
      <c r="AC285" s="34" t="e">
        <f t="shared" si="30"/>
        <v>#DIV/0!</v>
      </c>
      <c r="AD285" s="34" t="e">
        <f ca="1">SQRT($B$9*SUM(AC285:OFFSET(AC285,$B$5-1,0))/($B$5-1))</f>
        <v>#DIV/0!</v>
      </c>
      <c r="AE285" s="34" t="e">
        <f ca="1">SQRT($B$9*SUM(AC285:OFFSET(AC285,$B$6-1,0))/($B$6-1))</f>
        <v>#DIV/0!</v>
      </c>
      <c r="AF285" s="34" t="e">
        <f ca="1">SQRT($B$9*SUM(AC285:OFFSET(AC285,$B$7-1,0))/($B$7-1))</f>
        <v>#DIV/0!</v>
      </c>
      <c r="AG285" s="34" t="e">
        <f ca="1">SQRT($B$9*SUM(AC285:OFFSET(AC285,$B$8-1,0))/($B$8-1))</f>
        <v>#DIV/0!</v>
      </c>
      <c r="AI285" s="1" t="e">
        <f t="shared" si="31"/>
        <v>#DIV/0!</v>
      </c>
      <c r="AJ285" s="4" t="e">
        <f ca="1">SQRT($B$9)*_xlfn.STDEV.S(AI285:OFFSET(AI285,$B$5-1,0))</f>
        <v>#DIV/0!</v>
      </c>
      <c r="AK285" s="4" t="e">
        <f ca="1">SQRT($B$9)*_xlfn.STDEV.S(AI285:OFFSET(AI285,$B$6-1,0))</f>
        <v>#DIV/0!</v>
      </c>
      <c r="AL285" s="4" t="e">
        <f ca="1">SQRT($B$9)*_xlfn.STDEV.S(AI285:OFFSET(AI285,$B$7-1,0))</f>
        <v>#DIV/0!</v>
      </c>
      <c r="AM285" s="4" t="e">
        <f ca="1">SQRT($B$9)*_xlfn.STDEV.S(AI285:OFFSET(AI285,$B$8-1,0))</f>
        <v>#DIV/0!</v>
      </c>
    </row>
    <row r="286" spans="5:39" x14ac:dyDescent="0.2">
      <c r="E286" s="42">
        <v>45238</v>
      </c>
      <c r="F286" s="43"/>
      <c r="G286" s="43"/>
      <c r="H286" s="43"/>
      <c r="I286" s="43"/>
      <c r="K286" s="3" t="e">
        <f t="shared" si="29"/>
        <v>#DIV/0!</v>
      </c>
      <c r="L286" s="3" t="e">
        <f ca="1">SQRT(AVERAGE(K286:OFFSET(K286,$B$5-1,0))*$B$9/(4*LN(2)))</f>
        <v>#DIV/0!</v>
      </c>
      <c r="M286" s="3" t="e">
        <f ca="1">SQRT(AVERAGE(K286:OFFSET(K286,$B$6-1,0))*$B$9/(4*LN(2)))</f>
        <v>#DIV/0!</v>
      </c>
      <c r="N286" s="3" t="e">
        <f ca="1">SQRT(AVERAGE(K286:OFFSET(K286,$B$7-1,0))*$B$9/(4*LN(2)))</f>
        <v>#DIV/0!</v>
      </c>
      <c r="O286" s="3" t="e">
        <f ca="1">SQRT(AVERAGE(K286:OFFSET(K286,$B$8-1,0))*$B$9/(4*LN(2)))</f>
        <v>#DIV/0!</v>
      </c>
      <c r="Q286" s="5" t="e">
        <f t="shared" si="28"/>
        <v>#DIV/0!</v>
      </c>
      <c r="R286" s="5" t="e">
        <f ca="1">SQRT($B$9*AVERAGE((Q286:OFFSET(Q286,$B$5-1,0))))</f>
        <v>#DIV/0!</v>
      </c>
      <c r="S286" s="5" t="e">
        <f ca="1">SQRT($B$9*AVERAGE((Q286:OFFSET(Q286,$B$6-1,0))))</f>
        <v>#DIV/0!</v>
      </c>
      <c r="T286" s="5" t="e">
        <f ca="1">SQRT($B$9*AVERAGE((Q286:OFFSET(Q286,$B$7-1,0))))</f>
        <v>#DIV/0!</v>
      </c>
      <c r="U286" s="5" t="e">
        <f ca="1">SQRT($B$9*AVERAGE((Q286:OFFSET(Q286,$B$8-1,0))))</f>
        <v>#DIV/0!</v>
      </c>
      <c r="W286" s="6" t="e">
        <f t="shared" si="27"/>
        <v>#DIV/0!</v>
      </c>
      <c r="X286" s="6" t="e">
        <f ca="1">SQRT($B$9*AVERAGE(W286:OFFSET(W286,$B$5-1,0)))</f>
        <v>#DIV/0!</v>
      </c>
      <c r="Y286" s="6" t="e">
        <f ca="1">SQRT($B$9*AVERAGE(W286:OFFSET(W286,$B$6-1,0)))</f>
        <v>#DIV/0!</v>
      </c>
      <c r="Z286" s="6" t="e">
        <f ca="1">SQRT($B$9*AVERAGE(W286:OFFSET(W286,$B$7-1,0)))</f>
        <v>#DIV/0!</v>
      </c>
      <c r="AA286" s="6" t="e">
        <f ca="1">SQRT($B$9*AVERAGE(W286:OFFSET(W286,$B$8-1,0)))</f>
        <v>#DIV/0!</v>
      </c>
      <c r="AC286" s="34" t="e">
        <f t="shared" si="30"/>
        <v>#DIV/0!</v>
      </c>
      <c r="AD286" s="34" t="e">
        <f ca="1">SQRT($B$9*SUM(AC286:OFFSET(AC286,$B$5-1,0))/($B$5-1))</f>
        <v>#DIV/0!</v>
      </c>
      <c r="AE286" s="34" t="e">
        <f ca="1">SQRT($B$9*SUM(AC286:OFFSET(AC286,$B$6-1,0))/($B$6-1))</f>
        <v>#DIV/0!</v>
      </c>
      <c r="AF286" s="34" t="e">
        <f ca="1">SQRT($B$9*SUM(AC286:OFFSET(AC286,$B$7-1,0))/($B$7-1))</f>
        <v>#DIV/0!</v>
      </c>
      <c r="AG286" s="34" t="e">
        <f ca="1">SQRT($B$9*SUM(AC286:OFFSET(AC286,$B$8-1,0))/($B$8-1))</f>
        <v>#DIV/0!</v>
      </c>
      <c r="AI286" s="1" t="e">
        <f t="shared" si="31"/>
        <v>#DIV/0!</v>
      </c>
      <c r="AJ286" s="4" t="e">
        <f ca="1">SQRT($B$9)*_xlfn.STDEV.S(AI286:OFFSET(AI286,$B$5-1,0))</f>
        <v>#DIV/0!</v>
      </c>
      <c r="AK286" s="4" t="e">
        <f ca="1">SQRT($B$9)*_xlfn.STDEV.S(AI286:OFFSET(AI286,$B$6-1,0))</f>
        <v>#DIV/0!</v>
      </c>
      <c r="AL286" s="4" t="e">
        <f ca="1">SQRT($B$9)*_xlfn.STDEV.S(AI286:OFFSET(AI286,$B$7-1,0))</f>
        <v>#DIV/0!</v>
      </c>
      <c r="AM286" s="4" t="e">
        <f ca="1">SQRT($B$9)*_xlfn.STDEV.S(AI286:OFFSET(AI286,$B$8-1,0))</f>
        <v>#DIV/0!</v>
      </c>
    </row>
    <row r="287" spans="5:39" x14ac:dyDescent="0.2">
      <c r="E287" s="42">
        <v>45237</v>
      </c>
      <c r="F287" s="43"/>
      <c r="G287" s="43"/>
      <c r="H287" s="43"/>
      <c r="I287" s="43"/>
      <c r="K287" s="3" t="e">
        <f t="shared" si="29"/>
        <v>#DIV/0!</v>
      </c>
      <c r="L287" s="3" t="e">
        <f ca="1">SQRT(AVERAGE(K287:OFFSET(K287,$B$5-1,0))*$B$9/(4*LN(2)))</f>
        <v>#DIV/0!</v>
      </c>
      <c r="M287" s="3" t="e">
        <f ca="1">SQRT(AVERAGE(K287:OFFSET(K287,$B$6-1,0))*$B$9/(4*LN(2)))</f>
        <v>#DIV/0!</v>
      </c>
      <c r="N287" s="3" t="e">
        <f ca="1">SQRT(AVERAGE(K287:OFFSET(K287,$B$7-1,0))*$B$9/(4*LN(2)))</f>
        <v>#DIV/0!</v>
      </c>
      <c r="O287" s="3" t="e">
        <f ca="1">SQRT(AVERAGE(K287:OFFSET(K287,$B$8-1,0))*$B$9/(4*LN(2)))</f>
        <v>#DIV/0!</v>
      </c>
      <c r="Q287" s="5" t="e">
        <f t="shared" si="28"/>
        <v>#DIV/0!</v>
      </c>
      <c r="R287" s="5" t="e">
        <f ca="1">SQRT($B$9*AVERAGE((Q287:OFFSET(Q287,$B$5-1,0))))</f>
        <v>#DIV/0!</v>
      </c>
      <c r="S287" s="5" t="e">
        <f ca="1">SQRT($B$9*AVERAGE((Q287:OFFSET(Q287,$B$6-1,0))))</f>
        <v>#DIV/0!</v>
      </c>
      <c r="T287" s="5" t="e">
        <f ca="1">SQRT($B$9*AVERAGE((Q287:OFFSET(Q287,$B$7-1,0))))</f>
        <v>#DIV/0!</v>
      </c>
      <c r="U287" s="5" t="e">
        <f ca="1">SQRT($B$9*AVERAGE((Q287:OFFSET(Q287,$B$8-1,0))))</f>
        <v>#DIV/0!</v>
      </c>
      <c r="W287" s="6" t="e">
        <f t="shared" si="27"/>
        <v>#DIV/0!</v>
      </c>
      <c r="X287" s="6" t="e">
        <f ca="1">SQRT($B$9*AVERAGE(W287:OFFSET(W287,$B$5-1,0)))</f>
        <v>#DIV/0!</v>
      </c>
      <c r="Y287" s="6" t="e">
        <f ca="1">SQRT($B$9*AVERAGE(W287:OFFSET(W287,$B$6-1,0)))</f>
        <v>#DIV/0!</v>
      </c>
      <c r="Z287" s="6" t="e">
        <f ca="1">SQRT($B$9*AVERAGE(W287:OFFSET(W287,$B$7-1,0)))</f>
        <v>#DIV/0!</v>
      </c>
      <c r="AA287" s="6" t="e">
        <f ca="1">SQRT($B$9*AVERAGE(W287:OFFSET(W287,$B$8-1,0)))</f>
        <v>#DIV/0!</v>
      </c>
      <c r="AC287" s="34" t="e">
        <f t="shared" si="30"/>
        <v>#DIV/0!</v>
      </c>
      <c r="AD287" s="34" t="e">
        <f ca="1">SQRT($B$9*SUM(AC287:OFFSET(AC287,$B$5-1,0))/($B$5-1))</f>
        <v>#DIV/0!</v>
      </c>
      <c r="AE287" s="34" t="e">
        <f ca="1">SQRT($B$9*SUM(AC287:OFFSET(AC287,$B$6-1,0))/($B$6-1))</f>
        <v>#DIV/0!</v>
      </c>
      <c r="AF287" s="34" t="e">
        <f ca="1">SQRT($B$9*SUM(AC287:OFFSET(AC287,$B$7-1,0))/($B$7-1))</f>
        <v>#DIV/0!</v>
      </c>
      <c r="AG287" s="34" t="e">
        <f ca="1">SQRT($B$9*SUM(AC287:OFFSET(AC287,$B$8-1,0))/($B$8-1))</f>
        <v>#DIV/0!</v>
      </c>
      <c r="AI287" s="1" t="e">
        <f t="shared" si="31"/>
        <v>#DIV/0!</v>
      </c>
      <c r="AJ287" s="4" t="e">
        <f ca="1">SQRT($B$9)*_xlfn.STDEV.S(AI287:OFFSET(AI287,$B$5-1,0))</f>
        <v>#DIV/0!</v>
      </c>
      <c r="AK287" s="4" t="e">
        <f ca="1">SQRT($B$9)*_xlfn.STDEV.S(AI287:OFFSET(AI287,$B$6-1,0))</f>
        <v>#DIV/0!</v>
      </c>
      <c r="AL287" s="4" t="e">
        <f ca="1">SQRT($B$9)*_xlfn.STDEV.S(AI287:OFFSET(AI287,$B$7-1,0))</f>
        <v>#DIV/0!</v>
      </c>
      <c r="AM287" s="4" t="e">
        <f ca="1">SQRT($B$9)*_xlfn.STDEV.S(AI287:OFFSET(AI287,$B$8-1,0))</f>
        <v>#DIV/0!</v>
      </c>
    </row>
    <row r="288" spans="5:39" x14ac:dyDescent="0.2">
      <c r="E288" s="42">
        <v>45236</v>
      </c>
      <c r="F288" s="43"/>
      <c r="G288" s="43"/>
      <c r="H288" s="43"/>
      <c r="I288" s="43"/>
      <c r="K288" s="3" t="e">
        <f t="shared" si="29"/>
        <v>#DIV/0!</v>
      </c>
      <c r="L288" s="3" t="e">
        <f ca="1">SQRT(AVERAGE(K288:OFFSET(K288,$B$5-1,0))*$B$9/(4*LN(2)))</f>
        <v>#DIV/0!</v>
      </c>
      <c r="M288" s="3" t="e">
        <f ca="1">SQRT(AVERAGE(K288:OFFSET(K288,$B$6-1,0))*$B$9/(4*LN(2)))</f>
        <v>#DIV/0!</v>
      </c>
      <c r="N288" s="3" t="e">
        <f ca="1">SQRT(AVERAGE(K288:OFFSET(K288,$B$7-1,0))*$B$9/(4*LN(2)))</f>
        <v>#DIV/0!</v>
      </c>
      <c r="O288" s="3" t="e">
        <f ca="1">SQRT(AVERAGE(K288:OFFSET(K288,$B$8-1,0))*$B$9/(4*LN(2)))</f>
        <v>#DIV/0!</v>
      </c>
      <c r="Q288" s="5" t="e">
        <f t="shared" si="28"/>
        <v>#DIV/0!</v>
      </c>
      <c r="R288" s="5" t="e">
        <f ca="1">SQRT($B$9*AVERAGE((Q288:OFFSET(Q288,$B$5-1,0))))</f>
        <v>#DIV/0!</v>
      </c>
      <c r="S288" s="5" t="e">
        <f ca="1">SQRT($B$9*AVERAGE((Q288:OFFSET(Q288,$B$6-1,0))))</f>
        <v>#DIV/0!</v>
      </c>
      <c r="T288" s="5" t="e">
        <f ca="1">SQRT($B$9*AVERAGE((Q288:OFFSET(Q288,$B$7-1,0))))</f>
        <v>#DIV/0!</v>
      </c>
      <c r="U288" s="5" t="e">
        <f ca="1">SQRT($B$9*AVERAGE((Q288:OFFSET(Q288,$B$8-1,0))))</f>
        <v>#DIV/0!</v>
      </c>
      <c r="W288" s="6" t="e">
        <f t="shared" si="27"/>
        <v>#DIV/0!</v>
      </c>
      <c r="X288" s="6" t="e">
        <f ca="1">SQRT($B$9*AVERAGE(W288:OFFSET(W288,$B$5-1,0)))</f>
        <v>#DIV/0!</v>
      </c>
      <c r="Y288" s="6" t="e">
        <f ca="1">SQRT($B$9*AVERAGE(W288:OFFSET(W288,$B$6-1,0)))</f>
        <v>#DIV/0!</v>
      </c>
      <c r="Z288" s="6" t="e">
        <f ca="1">SQRT($B$9*AVERAGE(W288:OFFSET(W288,$B$7-1,0)))</f>
        <v>#DIV/0!</v>
      </c>
      <c r="AA288" s="6" t="e">
        <f ca="1">SQRT($B$9*AVERAGE(W288:OFFSET(W288,$B$8-1,0)))</f>
        <v>#DIV/0!</v>
      </c>
      <c r="AC288" s="34" t="e">
        <f t="shared" si="30"/>
        <v>#DIV/0!</v>
      </c>
      <c r="AD288" s="34" t="e">
        <f ca="1">SQRT($B$9*SUM(AC288:OFFSET(AC288,$B$5-1,0))/($B$5-1))</f>
        <v>#DIV/0!</v>
      </c>
      <c r="AE288" s="34" t="e">
        <f ca="1">SQRT($B$9*SUM(AC288:OFFSET(AC288,$B$6-1,0))/($B$6-1))</f>
        <v>#DIV/0!</v>
      </c>
      <c r="AF288" s="34" t="e">
        <f ca="1">SQRT($B$9*SUM(AC288:OFFSET(AC288,$B$7-1,0))/($B$7-1))</f>
        <v>#DIV/0!</v>
      </c>
      <c r="AG288" s="34" t="e">
        <f ca="1">SQRT($B$9*SUM(AC288:OFFSET(AC288,$B$8-1,0))/($B$8-1))</f>
        <v>#DIV/0!</v>
      </c>
      <c r="AI288" s="1" t="e">
        <f t="shared" si="31"/>
        <v>#DIV/0!</v>
      </c>
      <c r="AJ288" s="4" t="e">
        <f ca="1">SQRT($B$9)*_xlfn.STDEV.S(AI288:OFFSET(AI288,$B$5-1,0))</f>
        <v>#DIV/0!</v>
      </c>
      <c r="AK288" s="4" t="e">
        <f ca="1">SQRT($B$9)*_xlfn.STDEV.S(AI288:OFFSET(AI288,$B$6-1,0))</f>
        <v>#DIV/0!</v>
      </c>
      <c r="AL288" s="4" t="e">
        <f ca="1">SQRT($B$9)*_xlfn.STDEV.S(AI288:OFFSET(AI288,$B$7-1,0))</f>
        <v>#DIV/0!</v>
      </c>
      <c r="AM288" s="4" t="e">
        <f ca="1">SQRT($B$9)*_xlfn.STDEV.S(AI288:OFFSET(AI288,$B$8-1,0))</f>
        <v>#DIV/0!</v>
      </c>
    </row>
    <row r="289" spans="5:39" x14ac:dyDescent="0.2">
      <c r="E289" s="42">
        <v>45233</v>
      </c>
      <c r="F289" s="43"/>
      <c r="G289" s="43"/>
      <c r="H289" s="43"/>
      <c r="I289" s="43"/>
      <c r="K289" s="3" t="e">
        <f t="shared" si="29"/>
        <v>#DIV/0!</v>
      </c>
      <c r="L289" s="3" t="e">
        <f ca="1">SQRT(AVERAGE(K289:OFFSET(K289,$B$5-1,0))*$B$9/(4*LN(2)))</f>
        <v>#DIV/0!</v>
      </c>
      <c r="M289" s="3" t="e">
        <f ca="1">SQRT(AVERAGE(K289:OFFSET(K289,$B$6-1,0))*$B$9/(4*LN(2)))</f>
        <v>#DIV/0!</v>
      </c>
      <c r="N289" s="3" t="e">
        <f ca="1">SQRT(AVERAGE(K289:OFFSET(K289,$B$7-1,0))*$B$9/(4*LN(2)))</f>
        <v>#DIV/0!</v>
      </c>
      <c r="O289" s="3" t="e">
        <f ca="1">SQRT(AVERAGE(K289:OFFSET(K289,$B$8-1,0))*$B$9/(4*LN(2)))</f>
        <v>#DIV/0!</v>
      </c>
      <c r="Q289" s="5" t="e">
        <f t="shared" si="28"/>
        <v>#DIV/0!</v>
      </c>
      <c r="R289" s="5" t="e">
        <f ca="1">SQRT($B$9*AVERAGE((Q289:OFFSET(Q289,$B$5-1,0))))</f>
        <v>#DIV/0!</v>
      </c>
      <c r="S289" s="5" t="e">
        <f ca="1">SQRT($B$9*AVERAGE((Q289:OFFSET(Q289,$B$6-1,0))))</f>
        <v>#DIV/0!</v>
      </c>
      <c r="T289" s="5" t="e">
        <f ca="1">SQRT($B$9*AVERAGE((Q289:OFFSET(Q289,$B$7-1,0))))</f>
        <v>#DIV/0!</v>
      </c>
      <c r="U289" s="5" t="e">
        <f ca="1">SQRT($B$9*AVERAGE((Q289:OFFSET(Q289,$B$8-1,0))))</f>
        <v>#DIV/0!</v>
      </c>
      <c r="W289" s="6" t="e">
        <f t="shared" si="27"/>
        <v>#DIV/0!</v>
      </c>
      <c r="X289" s="6" t="e">
        <f ca="1">SQRT($B$9*AVERAGE(W289:OFFSET(W289,$B$5-1,0)))</f>
        <v>#DIV/0!</v>
      </c>
      <c r="Y289" s="6" t="e">
        <f ca="1">SQRT($B$9*AVERAGE(W289:OFFSET(W289,$B$6-1,0)))</f>
        <v>#DIV/0!</v>
      </c>
      <c r="Z289" s="6" t="e">
        <f ca="1">SQRT($B$9*AVERAGE(W289:OFFSET(W289,$B$7-1,0)))</f>
        <v>#DIV/0!</v>
      </c>
      <c r="AA289" s="6" t="e">
        <f ca="1">SQRT($B$9*AVERAGE(W289:OFFSET(W289,$B$8-1,0)))</f>
        <v>#DIV/0!</v>
      </c>
      <c r="AC289" s="34" t="e">
        <f t="shared" si="30"/>
        <v>#DIV/0!</v>
      </c>
      <c r="AD289" s="34" t="e">
        <f ca="1">SQRT($B$9*SUM(AC289:OFFSET(AC289,$B$5-1,0))/($B$5-1))</f>
        <v>#DIV/0!</v>
      </c>
      <c r="AE289" s="34" t="e">
        <f ca="1">SQRT($B$9*SUM(AC289:OFFSET(AC289,$B$6-1,0))/($B$6-1))</f>
        <v>#DIV/0!</v>
      </c>
      <c r="AF289" s="34" t="e">
        <f ca="1">SQRT($B$9*SUM(AC289:OFFSET(AC289,$B$7-1,0))/($B$7-1))</f>
        <v>#DIV/0!</v>
      </c>
      <c r="AG289" s="34" t="e">
        <f ca="1">SQRT($B$9*SUM(AC289:OFFSET(AC289,$B$8-1,0))/($B$8-1))</f>
        <v>#DIV/0!</v>
      </c>
      <c r="AI289" s="1" t="e">
        <f t="shared" si="31"/>
        <v>#DIV/0!</v>
      </c>
      <c r="AJ289" s="4" t="e">
        <f ca="1">SQRT($B$9)*_xlfn.STDEV.S(AI289:OFFSET(AI289,$B$5-1,0))</f>
        <v>#DIV/0!</v>
      </c>
      <c r="AK289" s="4" t="e">
        <f ca="1">SQRT($B$9)*_xlfn.STDEV.S(AI289:OFFSET(AI289,$B$6-1,0))</f>
        <v>#DIV/0!</v>
      </c>
      <c r="AL289" s="4" t="e">
        <f ca="1">SQRT($B$9)*_xlfn.STDEV.S(AI289:OFFSET(AI289,$B$7-1,0))</f>
        <v>#DIV/0!</v>
      </c>
      <c r="AM289" s="4" t="e">
        <f ca="1">SQRT($B$9)*_xlfn.STDEV.S(AI289:OFFSET(AI289,$B$8-1,0))</f>
        <v>#DIV/0!</v>
      </c>
    </row>
    <row r="290" spans="5:39" x14ac:dyDescent="0.2">
      <c r="E290" s="42">
        <v>45232</v>
      </c>
      <c r="F290" s="43"/>
      <c r="G290" s="43"/>
      <c r="H290" s="43"/>
      <c r="I290" s="43"/>
      <c r="K290" s="3" t="e">
        <f t="shared" si="29"/>
        <v>#DIV/0!</v>
      </c>
      <c r="L290" s="3" t="e">
        <f ca="1">SQRT(AVERAGE(K290:OFFSET(K290,$B$5-1,0))*$B$9/(4*LN(2)))</f>
        <v>#DIV/0!</v>
      </c>
      <c r="M290" s="3" t="e">
        <f ca="1">SQRT(AVERAGE(K290:OFFSET(K290,$B$6-1,0))*$B$9/(4*LN(2)))</f>
        <v>#DIV/0!</v>
      </c>
      <c r="N290" s="3" t="e">
        <f ca="1">SQRT(AVERAGE(K290:OFFSET(K290,$B$7-1,0))*$B$9/(4*LN(2)))</f>
        <v>#DIV/0!</v>
      </c>
      <c r="O290" s="3" t="e">
        <f ca="1">SQRT(AVERAGE(K290:OFFSET(K290,$B$8-1,0))*$B$9/(4*LN(2)))</f>
        <v>#DIV/0!</v>
      </c>
      <c r="Q290" s="5" t="e">
        <f t="shared" si="28"/>
        <v>#DIV/0!</v>
      </c>
      <c r="R290" s="5" t="e">
        <f ca="1">SQRT($B$9*AVERAGE((Q290:OFFSET(Q290,$B$5-1,0))))</f>
        <v>#DIV/0!</v>
      </c>
      <c r="S290" s="5" t="e">
        <f ca="1">SQRT($B$9*AVERAGE((Q290:OFFSET(Q290,$B$6-1,0))))</f>
        <v>#DIV/0!</v>
      </c>
      <c r="T290" s="5" t="e">
        <f ca="1">SQRT($B$9*AVERAGE((Q290:OFFSET(Q290,$B$7-1,0))))</f>
        <v>#DIV/0!</v>
      </c>
      <c r="U290" s="5" t="e">
        <f ca="1">SQRT($B$9*AVERAGE((Q290:OFFSET(Q290,$B$8-1,0))))</f>
        <v>#DIV/0!</v>
      </c>
      <c r="W290" s="6" t="e">
        <f t="shared" si="27"/>
        <v>#DIV/0!</v>
      </c>
      <c r="X290" s="6" t="e">
        <f ca="1">SQRT($B$9*AVERAGE(W290:OFFSET(W290,$B$5-1,0)))</f>
        <v>#DIV/0!</v>
      </c>
      <c r="Y290" s="6" t="e">
        <f ca="1">SQRT($B$9*AVERAGE(W290:OFFSET(W290,$B$6-1,0)))</f>
        <v>#DIV/0!</v>
      </c>
      <c r="Z290" s="6" t="e">
        <f ca="1">SQRT($B$9*AVERAGE(W290:OFFSET(W290,$B$7-1,0)))</f>
        <v>#DIV/0!</v>
      </c>
      <c r="AA290" s="6" t="e">
        <f ca="1">SQRT($B$9*AVERAGE(W290:OFFSET(W290,$B$8-1,0)))</f>
        <v>#DIV/0!</v>
      </c>
      <c r="AC290" s="34" t="e">
        <f t="shared" si="30"/>
        <v>#DIV/0!</v>
      </c>
      <c r="AD290" s="34" t="e">
        <f ca="1">SQRT($B$9*SUM(AC290:OFFSET(AC290,$B$5-1,0))/($B$5-1))</f>
        <v>#DIV/0!</v>
      </c>
      <c r="AE290" s="34" t="e">
        <f ca="1">SQRT($B$9*SUM(AC290:OFFSET(AC290,$B$6-1,0))/($B$6-1))</f>
        <v>#DIV/0!</v>
      </c>
      <c r="AF290" s="34" t="e">
        <f ca="1">SQRT($B$9*SUM(AC290:OFFSET(AC290,$B$7-1,0))/($B$7-1))</f>
        <v>#DIV/0!</v>
      </c>
      <c r="AG290" s="34" t="e">
        <f ca="1">SQRT($B$9*SUM(AC290:OFFSET(AC290,$B$8-1,0))/($B$8-1))</f>
        <v>#DIV/0!</v>
      </c>
      <c r="AI290" s="1" t="e">
        <f t="shared" si="31"/>
        <v>#DIV/0!</v>
      </c>
      <c r="AJ290" s="4" t="e">
        <f ca="1">SQRT($B$9)*_xlfn.STDEV.S(AI290:OFFSET(AI290,$B$5-1,0))</f>
        <v>#DIV/0!</v>
      </c>
      <c r="AK290" s="4" t="e">
        <f ca="1">SQRT($B$9)*_xlfn.STDEV.S(AI290:OFFSET(AI290,$B$6-1,0))</f>
        <v>#DIV/0!</v>
      </c>
      <c r="AL290" s="4" t="e">
        <f ca="1">SQRT($B$9)*_xlfn.STDEV.S(AI290:OFFSET(AI290,$B$7-1,0))</f>
        <v>#DIV/0!</v>
      </c>
      <c r="AM290" s="4" t="e">
        <f ca="1">SQRT($B$9)*_xlfn.STDEV.S(AI290:OFFSET(AI290,$B$8-1,0))</f>
        <v>#DIV/0!</v>
      </c>
    </row>
    <row r="291" spans="5:39" x14ac:dyDescent="0.2">
      <c r="E291" s="42">
        <v>45231</v>
      </c>
      <c r="F291" s="43"/>
      <c r="G291" s="43"/>
      <c r="H291" s="43"/>
      <c r="I291" s="43"/>
      <c r="K291" s="3" t="e">
        <f t="shared" si="29"/>
        <v>#DIV/0!</v>
      </c>
      <c r="L291" s="3" t="e">
        <f ca="1">SQRT(AVERAGE(K291:OFFSET(K291,$B$5-1,0))*$B$9/(4*LN(2)))</f>
        <v>#DIV/0!</v>
      </c>
      <c r="M291" s="3" t="e">
        <f ca="1">SQRT(AVERAGE(K291:OFFSET(K291,$B$6-1,0))*$B$9/(4*LN(2)))</f>
        <v>#DIV/0!</v>
      </c>
      <c r="N291" s="3" t="e">
        <f ca="1">SQRT(AVERAGE(K291:OFFSET(K291,$B$7-1,0))*$B$9/(4*LN(2)))</f>
        <v>#DIV/0!</v>
      </c>
      <c r="O291" s="3" t="e">
        <f ca="1">SQRT(AVERAGE(K291:OFFSET(K291,$B$8-1,0))*$B$9/(4*LN(2)))</f>
        <v>#DIV/0!</v>
      </c>
      <c r="Q291" s="5" t="e">
        <f t="shared" si="28"/>
        <v>#DIV/0!</v>
      </c>
      <c r="R291" s="5" t="e">
        <f ca="1">SQRT($B$9*AVERAGE((Q291:OFFSET(Q291,$B$5-1,0))))</f>
        <v>#DIV/0!</v>
      </c>
      <c r="S291" s="5" t="e">
        <f ca="1">SQRT($B$9*AVERAGE((Q291:OFFSET(Q291,$B$6-1,0))))</f>
        <v>#DIV/0!</v>
      </c>
      <c r="T291" s="5" t="e">
        <f ca="1">SQRT($B$9*AVERAGE((Q291:OFFSET(Q291,$B$7-1,0))))</f>
        <v>#DIV/0!</v>
      </c>
      <c r="U291" s="5" t="e">
        <f ca="1">SQRT($B$9*AVERAGE((Q291:OFFSET(Q291,$B$8-1,0))))</f>
        <v>#DIV/0!</v>
      </c>
      <c r="W291" s="6" t="e">
        <f t="shared" si="27"/>
        <v>#DIV/0!</v>
      </c>
      <c r="X291" s="6" t="e">
        <f ca="1">SQRT($B$9*AVERAGE(W291:OFFSET(W291,$B$5-1,0)))</f>
        <v>#DIV/0!</v>
      </c>
      <c r="Y291" s="6" t="e">
        <f ca="1">SQRT($B$9*AVERAGE(W291:OFFSET(W291,$B$6-1,0)))</f>
        <v>#DIV/0!</v>
      </c>
      <c r="Z291" s="6" t="e">
        <f ca="1">SQRT($B$9*AVERAGE(W291:OFFSET(W291,$B$7-1,0)))</f>
        <v>#DIV/0!</v>
      </c>
      <c r="AA291" s="6" t="e">
        <f ca="1">SQRT($B$9*AVERAGE(W291:OFFSET(W291,$B$8-1,0)))</f>
        <v>#DIV/0!</v>
      </c>
      <c r="AC291" s="34" t="e">
        <f t="shared" si="30"/>
        <v>#DIV/0!</v>
      </c>
      <c r="AD291" s="34" t="e">
        <f ca="1">SQRT($B$9*SUM(AC291:OFFSET(AC291,$B$5-1,0))/($B$5-1))</f>
        <v>#DIV/0!</v>
      </c>
      <c r="AE291" s="34" t="e">
        <f ca="1">SQRT($B$9*SUM(AC291:OFFSET(AC291,$B$6-1,0))/($B$6-1))</f>
        <v>#DIV/0!</v>
      </c>
      <c r="AF291" s="34" t="e">
        <f ca="1">SQRT($B$9*SUM(AC291:OFFSET(AC291,$B$7-1,0))/($B$7-1))</f>
        <v>#DIV/0!</v>
      </c>
      <c r="AG291" s="34" t="e">
        <f ca="1">SQRT($B$9*SUM(AC291:OFFSET(AC291,$B$8-1,0))/($B$8-1))</f>
        <v>#DIV/0!</v>
      </c>
      <c r="AI291" s="1" t="e">
        <f t="shared" si="31"/>
        <v>#DIV/0!</v>
      </c>
      <c r="AJ291" s="4" t="e">
        <f ca="1">SQRT($B$9)*_xlfn.STDEV.S(AI291:OFFSET(AI291,$B$5-1,0))</f>
        <v>#DIV/0!</v>
      </c>
      <c r="AK291" s="4" t="e">
        <f ca="1">SQRT($B$9)*_xlfn.STDEV.S(AI291:OFFSET(AI291,$B$6-1,0))</f>
        <v>#DIV/0!</v>
      </c>
      <c r="AL291" s="4" t="e">
        <f ca="1">SQRT($B$9)*_xlfn.STDEV.S(AI291:OFFSET(AI291,$B$7-1,0))</f>
        <v>#DIV/0!</v>
      </c>
      <c r="AM291" s="4" t="e">
        <f ca="1">SQRT($B$9)*_xlfn.STDEV.S(AI291:OFFSET(AI291,$B$8-1,0))</f>
        <v>#DIV/0!</v>
      </c>
    </row>
    <row r="292" spans="5:39" x14ac:dyDescent="0.2">
      <c r="E292" s="42">
        <v>45230</v>
      </c>
      <c r="F292" s="43"/>
      <c r="G292" s="43"/>
      <c r="H292" s="43"/>
      <c r="I292" s="43"/>
      <c r="K292" s="3" t="e">
        <f t="shared" si="29"/>
        <v>#DIV/0!</v>
      </c>
      <c r="L292" s="3" t="e">
        <f ca="1">SQRT(AVERAGE(K292:OFFSET(K292,$B$5-1,0))*$B$9/(4*LN(2)))</f>
        <v>#DIV/0!</v>
      </c>
      <c r="M292" s="3" t="e">
        <f ca="1">SQRT(AVERAGE(K292:OFFSET(K292,$B$6-1,0))*$B$9/(4*LN(2)))</f>
        <v>#DIV/0!</v>
      </c>
      <c r="N292" s="3" t="e">
        <f ca="1">SQRT(AVERAGE(K292:OFFSET(K292,$B$7-1,0))*$B$9/(4*LN(2)))</f>
        <v>#DIV/0!</v>
      </c>
      <c r="O292" s="3" t="e">
        <f ca="1">SQRT(AVERAGE(K292:OFFSET(K292,$B$8-1,0))*$B$9/(4*LN(2)))</f>
        <v>#DIV/0!</v>
      </c>
      <c r="Q292" s="5" t="e">
        <f t="shared" si="28"/>
        <v>#DIV/0!</v>
      </c>
      <c r="R292" s="5" t="e">
        <f ca="1">SQRT($B$9*AVERAGE((Q292:OFFSET(Q292,$B$5-1,0))))</f>
        <v>#DIV/0!</v>
      </c>
      <c r="S292" s="5" t="e">
        <f ca="1">SQRT($B$9*AVERAGE((Q292:OFFSET(Q292,$B$6-1,0))))</f>
        <v>#DIV/0!</v>
      </c>
      <c r="T292" s="5" t="e">
        <f ca="1">SQRT($B$9*AVERAGE((Q292:OFFSET(Q292,$B$7-1,0))))</f>
        <v>#DIV/0!</v>
      </c>
      <c r="U292" s="5" t="e">
        <f ca="1">SQRT($B$9*AVERAGE((Q292:OFFSET(Q292,$B$8-1,0))))</f>
        <v>#DIV/0!</v>
      </c>
      <c r="W292" s="6" t="e">
        <f t="shared" si="27"/>
        <v>#DIV/0!</v>
      </c>
      <c r="X292" s="6" t="e">
        <f ca="1">SQRT($B$9*AVERAGE(W292:OFFSET(W292,$B$5-1,0)))</f>
        <v>#DIV/0!</v>
      </c>
      <c r="Y292" s="6" t="e">
        <f ca="1">SQRT($B$9*AVERAGE(W292:OFFSET(W292,$B$6-1,0)))</f>
        <v>#DIV/0!</v>
      </c>
      <c r="Z292" s="6" t="e">
        <f ca="1">SQRT($B$9*AVERAGE(W292:OFFSET(W292,$B$7-1,0)))</f>
        <v>#DIV/0!</v>
      </c>
      <c r="AA292" s="6" t="e">
        <f ca="1">SQRT($B$9*AVERAGE(W292:OFFSET(W292,$B$8-1,0)))</f>
        <v>#DIV/0!</v>
      </c>
      <c r="AC292" s="34" t="e">
        <f t="shared" si="30"/>
        <v>#DIV/0!</v>
      </c>
      <c r="AD292" s="34" t="e">
        <f ca="1">SQRT($B$9*SUM(AC292:OFFSET(AC292,$B$5-1,0))/($B$5-1))</f>
        <v>#DIV/0!</v>
      </c>
      <c r="AE292" s="34" t="e">
        <f ca="1">SQRT($B$9*SUM(AC292:OFFSET(AC292,$B$6-1,0))/($B$6-1))</f>
        <v>#DIV/0!</v>
      </c>
      <c r="AF292" s="34" t="e">
        <f ca="1">SQRT($B$9*SUM(AC292:OFFSET(AC292,$B$7-1,0))/($B$7-1))</f>
        <v>#DIV/0!</v>
      </c>
      <c r="AG292" s="34" t="e">
        <f ca="1">SQRT($B$9*SUM(AC292:OFFSET(AC292,$B$8-1,0))/($B$8-1))</f>
        <v>#DIV/0!</v>
      </c>
      <c r="AI292" s="1" t="e">
        <f t="shared" si="31"/>
        <v>#DIV/0!</v>
      </c>
      <c r="AJ292" s="4" t="e">
        <f ca="1">SQRT($B$9)*_xlfn.STDEV.S(AI292:OFFSET(AI292,$B$5-1,0))</f>
        <v>#DIV/0!</v>
      </c>
      <c r="AK292" s="4" t="e">
        <f ca="1">SQRT($B$9)*_xlfn.STDEV.S(AI292:OFFSET(AI292,$B$6-1,0))</f>
        <v>#DIV/0!</v>
      </c>
      <c r="AL292" s="4" t="e">
        <f ca="1">SQRT($B$9)*_xlfn.STDEV.S(AI292:OFFSET(AI292,$B$7-1,0))</f>
        <v>#DIV/0!</v>
      </c>
      <c r="AM292" s="4" t="e">
        <f ca="1">SQRT($B$9)*_xlfn.STDEV.S(AI292:OFFSET(AI292,$B$8-1,0))</f>
        <v>#DIV/0!</v>
      </c>
    </row>
    <row r="293" spans="5:39" x14ac:dyDescent="0.2">
      <c r="E293" s="42">
        <v>45229</v>
      </c>
      <c r="F293" s="43"/>
      <c r="G293" s="43"/>
      <c r="H293" s="43"/>
      <c r="I293" s="43"/>
      <c r="K293" s="3" t="e">
        <f t="shared" si="29"/>
        <v>#DIV/0!</v>
      </c>
      <c r="L293" s="3" t="e">
        <f ca="1">SQRT(AVERAGE(K293:OFFSET(K293,$B$5-1,0))*$B$9/(4*LN(2)))</f>
        <v>#DIV/0!</v>
      </c>
      <c r="M293" s="3" t="e">
        <f ca="1">SQRT(AVERAGE(K293:OFFSET(K293,$B$6-1,0))*$B$9/(4*LN(2)))</f>
        <v>#DIV/0!</v>
      </c>
      <c r="N293" s="3" t="e">
        <f ca="1">SQRT(AVERAGE(K293:OFFSET(K293,$B$7-1,0))*$B$9/(4*LN(2)))</f>
        <v>#DIV/0!</v>
      </c>
      <c r="O293" s="3" t="e">
        <f ca="1">SQRT(AVERAGE(K293:OFFSET(K293,$B$8-1,0))*$B$9/(4*LN(2)))</f>
        <v>#DIV/0!</v>
      </c>
      <c r="Q293" s="5" t="e">
        <f t="shared" si="28"/>
        <v>#DIV/0!</v>
      </c>
      <c r="R293" s="5" t="e">
        <f ca="1">SQRT($B$9*AVERAGE((Q293:OFFSET(Q293,$B$5-1,0))))</f>
        <v>#DIV/0!</v>
      </c>
      <c r="S293" s="5" t="e">
        <f ca="1">SQRT($B$9*AVERAGE((Q293:OFFSET(Q293,$B$6-1,0))))</f>
        <v>#DIV/0!</v>
      </c>
      <c r="T293" s="5" t="e">
        <f ca="1">SQRT($B$9*AVERAGE((Q293:OFFSET(Q293,$B$7-1,0))))</f>
        <v>#DIV/0!</v>
      </c>
      <c r="U293" s="5" t="e">
        <f ca="1">SQRT($B$9*AVERAGE((Q293:OFFSET(Q293,$B$8-1,0))))</f>
        <v>#DIV/0!</v>
      </c>
      <c r="W293" s="6" t="e">
        <f t="shared" si="27"/>
        <v>#DIV/0!</v>
      </c>
      <c r="X293" s="6" t="e">
        <f ca="1">SQRT($B$9*AVERAGE(W293:OFFSET(W293,$B$5-1,0)))</f>
        <v>#DIV/0!</v>
      </c>
      <c r="Y293" s="6" t="e">
        <f ca="1">SQRT($B$9*AVERAGE(W293:OFFSET(W293,$B$6-1,0)))</f>
        <v>#DIV/0!</v>
      </c>
      <c r="Z293" s="6" t="e">
        <f ca="1">SQRT($B$9*AVERAGE(W293:OFFSET(W293,$B$7-1,0)))</f>
        <v>#DIV/0!</v>
      </c>
      <c r="AA293" s="6" t="e">
        <f ca="1">SQRT($B$9*AVERAGE(W293:OFFSET(W293,$B$8-1,0)))</f>
        <v>#DIV/0!</v>
      </c>
      <c r="AC293" s="34" t="e">
        <f t="shared" si="30"/>
        <v>#DIV/0!</v>
      </c>
      <c r="AD293" s="34" t="e">
        <f ca="1">SQRT($B$9*SUM(AC293:OFFSET(AC293,$B$5-1,0))/($B$5-1))</f>
        <v>#DIV/0!</v>
      </c>
      <c r="AE293" s="34" t="e">
        <f ca="1">SQRT($B$9*SUM(AC293:OFFSET(AC293,$B$6-1,0))/($B$6-1))</f>
        <v>#DIV/0!</v>
      </c>
      <c r="AF293" s="34" t="e">
        <f ca="1">SQRT($B$9*SUM(AC293:OFFSET(AC293,$B$7-1,0))/($B$7-1))</f>
        <v>#DIV/0!</v>
      </c>
      <c r="AG293" s="34" t="e">
        <f ca="1">SQRT($B$9*SUM(AC293:OFFSET(AC293,$B$8-1,0))/($B$8-1))</f>
        <v>#DIV/0!</v>
      </c>
      <c r="AI293" s="1" t="e">
        <f t="shared" si="31"/>
        <v>#DIV/0!</v>
      </c>
      <c r="AJ293" s="4" t="e">
        <f ca="1">SQRT($B$9)*_xlfn.STDEV.S(AI293:OFFSET(AI293,$B$5-1,0))</f>
        <v>#DIV/0!</v>
      </c>
      <c r="AK293" s="4" t="e">
        <f ca="1">SQRT($B$9)*_xlfn.STDEV.S(AI293:OFFSET(AI293,$B$6-1,0))</f>
        <v>#DIV/0!</v>
      </c>
      <c r="AL293" s="4" t="e">
        <f ca="1">SQRT($B$9)*_xlfn.STDEV.S(AI293:OFFSET(AI293,$B$7-1,0))</f>
        <v>#DIV/0!</v>
      </c>
      <c r="AM293" s="4" t="e">
        <f ca="1">SQRT($B$9)*_xlfn.STDEV.S(AI293:OFFSET(AI293,$B$8-1,0))</f>
        <v>#DIV/0!</v>
      </c>
    </row>
    <row r="294" spans="5:39" x14ac:dyDescent="0.2">
      <c r="E294" s="42">
        <v>45226</v>
      </c>
      <c r="F294" s="43"/>
      <c r="G294" s="43"/>
      <c r="H294" s="43"/>
      <c r="I294" s="43"/>
      <c r="K294" s="3" t="e">
        <f t="shared" si="29"/>
        <v>#DIV/0!</v>
      </c>
      <c r="L294" s="3" t="e">
        <f ca="1">SQRT(AVERAGE(K294:OFFSET(K294,$B$5-1,0))*$B$9/(4*LN(2)))</f>
        <v>#DIV/0!</v>
      </c>
      <c r="M294" s="3" t="e">
        <f ca="1">SQRT(AVERAGE(K294:OFFSET(K294,$B$6-1,0))*$B$9/(4*LN(2)))</f>
        <v>#DIV/0!</v>
      </c>
      <c r="N294" s="3" t="e">
        <f ca="1">SQRT(AVERAGE(K294:OFFSET(K294,$B$7-1,0))*$B$9/(4*LN(2)))</f>
        <v>#DIV/0!</v>
      </c>
      <c r="O294" s="3" t="e">
        <f ca="1">SQRT(AVERAGE(K294:OFFSET(K294,$B$8-1,0))*$B$9/(4*LN(2)))</f>
        <v>#DIV/0!</v>
      </c>
      <c r="Q294" s="5" t="e">
        <f t="shared" si="28"/>
        <v>#DIV/0!</v>
      </c>
      <c r="R294" s="5" t="e">
        <f ca="1">SQRT($B$9*AVERAGE((Q294:OFFSET(Q294,$B$5-1,0))))</f>
        <v>#DIV/0!</v>
      </c>
      <c r="S294" s="5" t="e">
        <f ca="1">SQRT($B$9*AVERAGE((Q294:OFFSET(Q294,$B$6-1,0))))</f>
        <v>#DIV/0!</v>
      </c>
      <c r="T294" s="5" t="e">
        <f ca="1">SQRT($B$9*AVERAGE((Q294:OFFSET(Q294,$B$7-1,0))))</f>
        <v>#DIV/0!</v>
      </c>
      <c r="U294" s="5" t="e">
        <f ca="1">SQRT($B$9*AVERAGE((Q294:OFFSET(Q294,$B$8-1,0))))</f>
        <v>#DIV/0!</v>
      </c>
      <c r="W294" s="6" t="e">
        <f t="shared" si="27"/>
        <v>#DIV/0!</v>
      </c>
      <c r="X294" s="6" t="e">
        <f ca="1">SQRT($B$9*AVERAGE(W294:OFFSET(W294,$B$5-1,0)))</f>
        <v>#DIV/0!</v>
      </c>
      <c r="Y294" s="6" t="e">
        <f ca="1">SQRT($B$9*AVERAGE(W294:OFFSET(W294,$B$6-1,0)))</f>
        <v>#DIV/0!</v>
      </c>
      <c r="Z294" s="6" t="e">
        <f ca="1">SQRT($B$9*AVERAGE(W294:OFFSET(W294,$B$7-1,0)))</f>
        <v>#DIV/0!</v>
      </c>
      <c r="AA294" s="6" t="e">
        <f ca="1">SQRT($B$9*AVERAGE(W294:OFFSET(W294,$B$8-1,0)))</f>
        <v>#DIV/0!</v>
      </c>
      <c r="AC294" s="34" t="e">
        <f t="shared" si="30"/>
        <v>#DIV/0!</v>
      </c>
      <c r="AD294" s="34" t="e">
        <f ca="1">SQRT($B$9*SUM(AC294:OFFSET(AC294,$B$5-1,0))/($B$5-1))</f>
        <v>#DIV/0!</v>
      </c>
      <c r="AE294" s="34" t="e">
        <f ca="1">SQRT($B$9*SUM(AC294:OFFSET(AC294,$B$6-1,0))/($B$6-1))</f>
        <v>#DIV/0!</v>
      </c>
      <c r="AF294" s="34" t="e">
        <f ca="1">SQRT($B$9*SUM(AC294:OFFSET(AC294,$B$7-1,0))/($B$7-1))</f>
        <v>#DIV/0!</v>
      </c>
      <c r="AG294" s="34" t="e">
        <f ca="1">SQRT($B$9*SUM(AC294:OFFSET(AC294,$B$8-1,0))/($B$8-1))</f>
        <v>#DIV/0!</v>
      </c>
      <c r="AI294" s="1" t="e">
        <f t="shared" si="31"/>
        <v>#DIV/0!</v>
      </c>
      <c r="AJ294" s="4" t="e">
        <f ca="1">SQRT($B$9)*_xlfn.STDEV.S(AI294:OFFSET(AI294,$B$5-1,0))</f>
        <v>#DIV/0!</v>
      </c>
      <c r="AK294" s="4" t="e">
        <f ca="1">SQRT($B$9)*_xlfn.STDEV.S(AI294:OFFSET(AI294,$B$6-1,0))</f>
        <v>#DIV/0!</v>
      </c>
      <c r="AL294" s="4" t="e">
        <f ca="1">SQRT($B$9)*_xlfn.STDEV.S(AI294:OFFSET(AI294,$B$7-1,0))</f>
        <v>#DIV/0!</v>
      </c>
      <c r="AM294" s="4" t="e">
        <f ca="1">SQRT($B$9)*_xlfn.STDEV.S(AI294:OFFSET(AI294,$B$8-1,0))</f>
        <v>#DIV/0!</v>
      </c>
    </row>
    <row r="295" spans="5:39" x14ac:dyDescent="0.2">
      <c r="E295" s="42">
        <v>45225</v>
      </c>
      <c r="F295" s="43"/>
      <c r="G295" s="43"/>
      <c r="H295" s="43"/>
      <c r="I295" s="43"/>
      <c r="K295" s="3" t="e">
        <f t="shared" si="29"/>
        <v>#DIV/0!</v>
      </c>
      <c r="L295" s="3" t="e">
        <f ca="1">SQRT(AVERAGE(K295:OFFSET(K295,$B$5-1,0))*$B$9/(4*LN(2)))</f>
        <v>#DIV/0!</v>
      </c>
      <c r="M295" s="3" t="e">
        <f ca="1">SQRT(AVERAGE(K295:OFFSET(K295,$B$6-1,0))*$B$9/(4*LN(2)))</f>
        <v>#DIV/0!</v>
      </c>
      <c r="N295" s="3" t="e">
        <f ca="1">SQRT(AVERAGE(K295:OFFSET(K295,$B$7-1,0))*$B$9/(4*LN(2)))</f>
        <v>#DIV/0!</v>
      </c>
      <c r="O295" s="3" t="e">
        <f ca="1">SQRT(AVERAGE(K295:OFFSET(K295,$B$8-1,0))*$B$9/(4*LN(2)))</f>
        <v>#DIV/0!</v>
      </c>
      <c r="Q295" s="5" t="e">
        <f t="shared" si="28"/>
        <v>#DIV/0!</v>
      </c>
      <c r="R295" s="5" t="e">
        <f ca="1">SQRT($B$9*AVERAGE((Q295:OFFSET(Q295,$B$5-1,0))))</f>
        <v>#DIV/0!</v>
      </c>
      <c r="S295" s="5" t="e">
        <f ca="1">SQRT($B$9*AVERAGE((Q295:OFFSET(Q295,$B$6-1,0))))</f>
        <v>#DIV/0!</v>
      </c>
      <c r="T295" s="5" t="e">
        <f ca="1">SQRT($B$9*AVERAGE((Q295:OFFSET(Q295,$B$7-1,0))))</f>
        <v>#DIV/0!</v>
      </c>
      <c r="U295" s="5" t="e">
        <f ca="1">SQRT($B$9*AVERAGE((Q295:OFFSET(Q295,$B$8-1,0))))</f>
        <v>#DIV/0!</v>
      </c>
      <c r="W295" s="6" t="e">
        <f t="shared" ref="W295:W358" si="32">LN(G295/I295)*LN(G295/F295)+LN(H295/I295)*LN(H295/F295)</f>
        <v>#DIV/0!</v>
      </c>
      <c r="X295" s="6" t="e">
        <f ca="1">SQRT($B$9*AVERAGE(W295:OFFSET(W295,$B$5-1,0)))</f>
        <v>#DIV/0!</v>
      </c>
      <c r="Y295" s="6" t="e">
        <f ca="1">SQRT($B$9*AVERAGE(W295:OFFSET(W295,$B$6-1,0)))</f>
        <v>#DIV/0!</v>
      </c>
      <c r="Z295" s="6" t="e">
        <f ca="1">SQRT($B$9*AVERAGE(W295:OFFSET(W295,$B$7-1,0)))</f>
        <v>#DIV/0!</v>
      </c>
      <c r="AA295" s="6" t="e">
        <f ca="1">SQRT($B$9*AVERAGE(W295:OFFSET(W295,$B$8-1,0)))</f>
        <v>#DIV/0!</v>
      </c>
      <c r="AC295" s="34" t="e">
        <f t="shared" si="30"/>
        <v>#DIV/0!</v>
      </c>
      <c r="AD295" s="34" t="e">
        <f ca="1">SQRT($B$9*SUM(AC295:OFFSET(AC295,$B$5-1,0))/($B$5-1))</f>
        <v>#DIV/0!</v>
      </c>
      <c r="AE295" s="34" t="e">
        <f ca="1">SQRT($B$9*SUM(AC295:OFFSET(AC295,$B$6-1,0))/($B$6-1))</f>
        <v>#DIV/0!</v>
      </c>
      <c r="AF295" s="34" t="e">
        <f ca="1">SQRT($B$9*SUM(AC295:OFFSET(AC295,$B$7-1,0))/($B$7-1))</f>
        <v>#DIV/0!</v>
      </c>
      <c r="AG295" s="34" t="e">
        <f ca="1">SQRT($B$9*SUM(AC295:OFFSET(AC295,$B$8-1,0))/($B$8-1))</f>
        <v>#DIV/0!</v>
      </c>
      <c r="AI295" s="1" t="e">
        <f t="shared" si="31"/>
        <v>#DIV/0!</v>
      </c>
      <c r="AJ295" s="4" t="e">
        <f ca="1">SQRT($B$9)*_xlfn.STDEV.S(AI295:OFFSET(AI295,$B$5-1,0))</f>
        <v>#DIV/0!</v>
      </c>
      <c r="AK295" s="4" t="e">
        <f ca="1">SQRT($B$9)*_xlfn.STDEV.S(AI295:OFFSET(AI295,$B$6-1,0))</f>
        <v>#DIV/0!</v>
      </c>
      <c r="AL295" s="4" t="e">
        <f ca="1">SQRT($B$9)*_xlfn.STDEV.S(AI295:OFFSET(AI295,$B$7-1,0))</f>
        <v>#DIV/0!</v>
      </c>
      <c r="AM295" s="4" t="e">
        <f ca="1">SQRT($B$9)*_xlfn.STDEV.S(AI295:OFFSET(AI295,$B$8-1,0))</f>
        <v>#DIV/0!</v>
      </c>
    </row>
    <row r="296" spans="5:39" x14ac:dyDescent="0.2">
      <c r="E296" s="42">
        <v>45224</v>
      </c>
      <c r="F296" s="43"/>
      <c r="G296" s="43"/>
      <c r="H296" s="43"/>
      <c r="I296" s="43"/>
      <c r="K296" s="3" t="e">
        <f t="shared" si="29"/>
        <v>#DIV/0!</v>
      </c>
      <c r="L296" s="3" t="e">
        <f ca="1">SQRT(AVERAGE(K296:OFFSET(K296,$B$5-1,0))*$B$9/(4*LN(2)))</f>
        <v>#DIV/0!</v>
      </c>
      <c r="M296" s="3" t="e">
        <f ca="1">SQRT(AVERAGE(K296:OFFSET(K296,$B$6-1,0))*$B$9/(4*LN(2)))</f>
        <v>#DIV/0!</v>
      </c>
      <c r="N296" s="3" t="e">
        <f ca="1">SQRT(AVERAGE(K296:OFFSET(K296,$B$7-1,0))*$B$9/(4*LN(2)))</f>
        <v>#DIV/0!</v>
      </c>
      <c r="O296" s="3" t="e">
        <f ca="1">SQRT(AVERAGE(K296:OFFSET(K296,$B$8-1,0))*$B$9/(4*LN(2)))</f>
        <v>#DIV/0!</v>
      </c>
      <c r="Q296" s="5" t="e">
        <f t="shared" si="28"/>
        <v>#DIV/0!</v>
      </c>
      <c r="R296" s="5" t="e">
        <f ca="1">SQRT($B$9*AVERAGE((Q296:OFFSET(Q296,$B$5-1,0))))</f>
        <v>#DIV/0!</v>
      </c>
      <c r="S296" s="5" t="e">
        <f ca="1">SQRT($B$9*AVERAGE((Q296:OFFSET(Q296,$B$6-1,0))))</f>
        <v>#DIV/0!</v>
      </c>
      <c r="T296" s="5" t="e">
        <f ca="1">SQRT($B$9*AVERAGE((Q296:OFFSET(Q296,$B$7-1,0))))</f>
        <v>#DIV/0!</v>
      </c>
      <c r="U296" s="5" t="e">
        <f ca="1">SQRT($B$9*AVERAGE((Q296:OFFSET(Q296,$B$8-1,0))))</f>
        <v>#DIV/0!</v>
      </c>
      <c r="W296" s="6" t="e">
        <f t="shared" si="32"/>
        <v>#DIV/0!</v>
      </c>
      <c r="X296" s="6" t="e">
        <f ca="1">SQRT($B$9*AVERAGE(W296:OFFSET(W296,$B$5-1,0)))</f>
        <v>#DIV/0!</v>
      </c>
      <c r="Y296" s="6" t="e">
        <f ca="1">SQRT($B$9*AVERAGE(W296:OFFSET(W296,$B$6-1,0)))</f>
        <v>#DIV/0!</v>
      </c>
      <c r="Z296" s="6" t="e">
        <f ca="1">SQRT($B$9*AVERAGE(W296:OFFSET(W296,$B$7-1,0)))</f>
        <v>#DIV/0!</v>
      </c>
      <c r="AA296" s="6" t="e">
        <f ca="1">SQRT($B$9*AVERAGE(W296:OFFSET(W296,$B$8-1,0)))</f>
        <v>#DIV/0!</v>
      </c>
      <c r="AC296" s="34" t="e">
        <f t="shared" si="30"/>
        <v>#DIV/0!</v>
      </c>
      <c r="AD296" s="34" t="e">
        <f ca="1">SQRT($B$9*SUM(AC296:OFFSET(AC296,$B$5-1,0))/($B$5-1))</f>
        <v>#DIV/0!</v>
      </c>
      <c r="AE296" s="34" t="e">
        <f ca="1">SQRT($B$9*SUM(AC296:OFFSET(AC296,$B$6-1,0))/($B$6-1))</f>
        <v>#DIV/0!</v>
      </c>
      <c r="AF296" s="34" t="e">
        <f ca="1">SQRT($B$9*SUM(AC296:OFFSET(AC296,$B$7-1,0))/($B$7-1))</f>
        <v>#DIV/0!</v>
      </c>
      <c r="AG296" s="34" t="e">
        <f ca="1">SQRT($B$9*SUM(AC296:OFFSET(AC296,$B$8-1,0))/($B$8-1))</f>
        <v>#DIV/0!</v>
      </c>
      <c r="AI296" s="1" t="e">
        <f t="shared" si="31"/>
        <v>#DIV/0!</v>
      </c>
      <c r="AJ296" s="4" t="e">
        <f ca="1">SQRT($B$9)*_xlfn.STDEV.S(AI296:OFFSET(AI296,$B$5-1,0))</f>
        <v>#DIV/0!</v>
      </c>
      <c r="AK296" s="4" t="e">
        <f ca="1">SQRT($B$9)*_xlfn.STDEV.S(AI296:OFFSET(AI296,$B$6-1,0))</f>
        <v>#DIV/0!</v>
      </c>
      <c r="AL296" s="4" t="e">
        <f ca="1">SQRT($B$9)*_xlfn.STDEV.S(AI296:OFFSET(AI296,$B$7-1,0))</f>
        <v>#DIV/0!</v>
      </c>
      <c r="AM296" s="4" t="e">
        <f ca="1">SQRT($B$9)*_xlfn.STDEV.S(AI296:OFFSET(AI296,$B$8-1,0))</f>
        <v>#DIV/0!</v>
      </c>
    </row>
    <row r="297" spans="5:39" x14ac:dyDescent="0.2">
      <c r="E297" s="42">
        <v>45223</v>
      </c>
      <c r="F297" s="43"/>
      <c r="G297" s="43"/>
      <c r="H297" s="43"/>
      <c r="I297" s="43"/>
      <c r="K297" s="3" t="e">
        <f t="shared" si="29"/>
        <v>#DIV/0!</v>
      </c>
      <c r="L297" s="3" t="e">
        <f ca="1">SQRT(AVERAGE(K297:OFFSET(K297,$B$5-1,0))*$B$9/(4*LN(2)))</f>
        <v>#DIV/0!</v>
      </c>
      <c r="M297" s="3" t="e">
        <f ca="1">SQRT(AVERAGE(K297:OFFSET(K297,$B$6-1,0))*$B$9/(4*LN(2)))</f>
        <v>#DIV/0!</v>
      </c>
      <c r="N297" s="3" t="e">
        <f ca="1">SQRT(AVERAGE(K297:OFFSET(K297,$B$7-1,0))*$B$9/(4*LN(2)))</f>
        <v>#DIV/0!</v>
      </c>
      <c r="O297" s="3" t="e">
        <f ca="1">SQRT(AVERAGE(K297:OFFSET(K297,$B$8-1,0))*$B$9/(4*LN(2)))</f>
        <v>#DIV/0!</v>
      </c>
      <c r="Q297" s="5" t="e">
        <f t="shared" si="28"/>
        <v>#DIV/0!</v>
      </c>
      <c r="R297" s="5" t="e">
        <f ca="1">SQRT($B$9*AVERAGE((Q297:OFFSET(Q297,$B$5-1,0))))</f>
        <v>#DIV/0!</v>
      </c>
      <c r="S297" s="5" t="e">
        <f ca="1">SQRT($B$9*AVERAGE((Q297:OFFSET(Q297,$B$6-1,0))))</f>
        <v>#DIV/0!</v>
      </c>
      <c r="T297" s="5" t="e">
        <f ca="1">SQRT($B$9*AVERAGE((Q297:OFFSET(Q297,$B$7-1,0))))</f>
        <v>#DIV/0!</v>
      </c>
      <c r="U297" s="5" t="e">
        <f ca="1">SQRT($B$9*AVERAGE((Q297:OFFSET(Q297,$B$8-1,0))))</f>
        <v>#DIV/0!</v>
      </c>
      <c r="W297" s="6" t="e">
        <f t="shared" si="32"/>
        <v>#DIV/0!</v>
      </c>
      <c r="X297" s="6" t="e">
        <f ca="1">SQRT($B$9*AVERAGE(W297:OFFSET(W297,$B$5-1,0)))</f>
        <v>#DIV/0!</v>
      </c>
      <c r="Y297" s="6" t="e">
        <f ca="1">SQRT($B$9*AVERAGE(W297:OFFSET(W297,$B$6-1,0)))</f>
        <v>#DIV/0!</v>
      </c>
      <c r="Z297" s="6" t="e">
        <f ca="1">SQRT($B$9*AVERAGE(W297:OFFSET(W297,$B$7-1,0)))</f>
        <v>#DIV/0!</v>
      </c>
      <c r="AA297" s="6" t="e">
        <f ca="1">SQRT($B$9*AVERAGE(W297:OFFSET(W297,$B$8-1,0)))</f>
        <v>#DIV/0!</v>
      </c>
      <c r="AC297" s="34" t="e">
        <f t="shared" si="30"/>
        <v>#DIV/0!</v>
      </c>
      <c r="AD297" s="34" t="e">
        <f ca="1">SQRT($B$9*SUM(AC297:OFFSET(AC297,$B$5-1,0))/($B$5-1))</f>
        <v>#DIV/0!</v>
      </c>
      <c r="AE297" s="34" t="e">
        <f ca="1">SQRT($B$9*SUM(AC297:OFFSET(AC297,$B$6-1,0))/($B$6-1))</f>
        <v>#DIV/0!</v>
      </c>
      <c r="AF297" s="34" t="e">
        <f ca="1">SQRT($B$9*SUM(AC297:OFFSET(AC297,$B$7-1,0))/($B$7-1))</f>
        <v>#DIV/0!</v>
      </c>
      <c r="AG297" s="34" t="e">
        <f ca="1">SQRT($B$9*SUM(AC297:OFFSET(AC297,$B$8-1,0))/($B$8-1))</f>
        <v>#DIV/0!</v>
      </c>
      <c r="AI297" s="1" t="e">
        <f t="shared" si="31"/>
        <v>#DIV/0!</v>
      </c>
      <c r="AJ297" s="4" t="e">
        <f ca="1">SQRT($B$9)*_xlfn.STDEV.S(AI297:OFFSET(AI297,$B$5-1,0))</f>
        <v>#DIV/0!</v>
      </c>
      <c r="AK297" s="4" t="e">
        <f ca="1">SQRT($B$9)*_xlfn.STDEV.S(AI297:OFFSET(AI297,$B$6-1,0))</f>
        <v>#DIV/0!</v>
      </c>
      <c r="AL297" s="4" t="e">
        <f ca="1">SQRT($B$9)*_xlfn.STDEV.S(AI297:OFFSET(AI297,$B$7-1,0))</f>
        <v>#DIV/0!</v>
      </c>
      <c r="AM297" s="4" t="e">
        <f ca="1">SQRT($B$9)*_xlfn.STDEV.S(AI297:OFFSET(AI297,$B$8-1,0))</f>
        <v>#DIV/0!</v>
      </c>
    </row>
    <row r="298" spans="5:39" x14ac:dyDescent="0.2">
      <c r="E298" s="42">
        <v>45222</v>
      </c>
      <c r="F298" s="43"/>
      <c r="G298" s="43"/>
      <c r="H298" s="43"/>
      <c r="I298" s="43"/>
      <c r="K298" s="3" t="e">
        <f t="shared" si="29"/>
        <v>#DIV/0!</v>
      </c>
      <c r="L298" s="3" t="e">
        <f ca="1">SQRT(AVERAGE(K298:OFFSET(K298,$B$5-1,0))*$B$9/(4*LN(2)))</f>
        <v>#DIV/0!</v>
      </c>
      <c r="M298" s="3" t="e">
        <f ca="1">SQRT(AVERAGE(K298:OFFSET(K298,$B$6-1,0))*$B$9/(4*LN(2)))</f>
        <v>#DIV/0!</v>
      </c>
      <c r="N298" s="3" t="e">
        <f ca="1">SQRT(AVERAGE(K298:OFFSET(K298,$B$7-1,0))*$B$9/(4*LN(2)))</f>
        <v>#DIV/0!</v>
      </c>
      <c r="O298" s="3" t="e">
        <f ca="1">SQRT(AVERAGE(K298:OFFSET(K298,$B$8-1,0))*$B$9/(4*LN(2)))</f>
        <v>#DIV/0!</v>
      </c>
      <c r="Q298" s="5" t="e">
        <f t="shared" si="28"/>
        <v>#DIV/0!</v>
      </c>
      <c r="R298" s="5" t="e">
        <f ca="1">SQRT($B$9*AVERAGE((Q298:OFFSET(Q298,$B$5-1,0))))</f>
        <v>#DIV/0!</v>
      </c>
      <c r="S298" s="5" t="e">
        <f ca="1">SQRT($B$9*AVERAGE((Q298:OFFSET(Q298,$B$6-1,0))))</f>
        <v>#DIV/0!</v>
      </c>
      <c r="T298" s="5" t="e">
        <f ca="1">SQRT($B$9*AVERAGE((Q298:OFFSET(Q298,$B$7-1,0))))</f>
        <v>#DIV/0!</v>
      </c>
      <c r="U298" s="5" t="e">
        <f ca="1">SQRT($B$9*AVERAGE((Q298:OFFSET(Q298,$B$8-1,0))))</f>
        <v>#DIV/0!</v>
      </c>
      <c r="W298" s="6" t="e">
        <f t="shared" si="32"/>
        <v>#DIV/0!</v>
      </c>
      <c r="X298" s="6" t="e">
        <f ca="1">SQRT($B$9*AVERAGE(W298:OFFSET(W298,$B$5-1,0)))</f>
        <v>#DIV/0!</v>
      </c>
      <c r="Y298" s="6" t="e">
        <f ca="1">SQRT($B$9*AVERAGE(W298:OFFSET(W298,$B$6-1,0)))</f>
        <v>#DIV/0!</v>
      </c>
      <c r="Z298" s="6" t="e">
        <f ca="1">SQRT($B$9*AVERAGE(W298:OFFSET(W298,$B$7-1,0)))</f>
        <v>#DIV/0!</v>
      </c>
      <c r="AA298" s="6" t="e">
        <f ca="1">SQRT($B$9*AVERAGE(W298:OFFSET(W298,$B$8-1,0)))</f>
        <v>#DIV/0!</v>
      </c>
      <c r="AC298" s="34" t="e">
        <f t="shared" si="30"/>
        <v>#DIV/0!</v>
      </c>
      <c r="AD298" s="34" t="e">
        <f ca="1">SQRT($B$9*SUM(AC298:OFFSET(AC298,$B$5-1,0))/($B$5-1))</f>
        <v>#DIV/0!</v>
      </c>
      <c r="AE298" s="34" t="e">
        <f ca="1">SQRT($B$9*SUM(AC298:OFFSET(AC298,$B$6-1,0))/($B$6-1))</f>
        <v>#DIV/0!</v>
      </c>
      <c r="AF298" s="34" t="e">
        <f ca="1">SQRT($B$9*SUM(AC298:OFFSET(AC298,$B$7-1,0))/($B$7-1))</f>
        <v>#DIV/0!</v>
      </c>
      <c r="AG298" s="34" t="e">
        <f ca="1">SQRT($B$9*SUM(AC298:OFFSET(AC298,$B$8-1,0))/($B$8-1))</f>
        <v>#DIV/0!</v>
      </c>
      <c r="AI298" s="1" t="e">
        <f t="shared" si="31"/>
        <v>#DIV/0!</v>
      </c>
      <c r="AJ298" s="4" t="e">
        <f ca="1">SQRT($B$9)*_xlfn.STDEV.S(AI298:OFFSET(AI298,$B$5-1,0))</f>
        <v>#DIV/0!</v>
      </c>
      <c r="AK298" s="4" t="e">
        <f ca="1">SQRT($B$9)*_xlfn.STDEV.S(AI298:OFFSET(AI298,$B$6-1,0))</f>
        <v>#DIV/0!</v>
      </c>
      <c r="AL298" s="4" t="e">
        <f ca="1">SQRT($B$9)*_xlfn.STDEV.S(AI298:OFFSET(AI298,$B$7-1,0))</f>
        <v>#DIV/0!</v>
      </c>
      <c r="AM298" s="4" t="e">
        <f ca="1">SQRT($B$9)*_xlfn.STDEV.S(AI298:OFFSET(AI298,$B$8-1,0))</f>
        <v>#DIV/0!</v>
      </c>
    </row>
    <row r="299" spans="5:39" x14ac:dyDescent="0.2">
      <c r="E299" s="42">
        <v>45219</v>
      </c>
      <c r="F299" s="43"/>
      <c r="G299" s="43"/>
      <c r="H299" s="43"/>
      <c r="I299" s="43"/>
      <c r="K299" s="3" t="e">
        <f t="shared" si="29"/>
        <v>#DIV/0!</v>
      </c>
      <c r="L299" s="3" t="e">
        <f ca="1">SQRT(AVERAGE(K299:OFFSET(K299,$B$5-1,0))*$B$9/(4*LN(2)))</f>
        <v>#DIV/0!</v>
      </c>
      <c r="M299" s="3" t="e">
        <f ca="1">SQRT(AVERAGE(K299:OFFSET(K299,$B$6-1,0))*$B$9/(4*LN(2)))</f>
        <v>#DIV/0!</v>
      </c>
      <c r="N299" s="3" t="e">
        <f ca="1">SQRT(AVERAGE(K299:OFFSET(K299,$B$7-1,0))*$B$9/(4*LN(2)))</f>
        <v>#DIV/0!</v>
      </c>
      <c r="O299" s="3" t="e">
        <f ca="1">SQRT(AVERAGE(K299:OFFSET(K299,$B$8-1,0))*$B$9/(4*LN(2)))</f>
        <v>#DIV/0!</v>
      </c>
      <c r="Q299" s="5" t="e">
        <f t="shared" si="28"/>
        <v>#DIV/0!</v>
      </c>
      <c r="R299" s="5" t="e">
        <f ca="1">SQRT($B$9*AVERAGE((Q299:OFFSET(Q299,$B$5-1,0))))</f>
        <v>#DIV/0!</v>
      </c>
      <c r="S299" s="5" t="e">
        <f ca="1">SQRT($B$9*AVERAGE((Q299:OFFSET(Q299,$B$6-1,0))))</f>
        <v>#DIV/0!</v>
      </c>
      <c r="T299" s="5" t="e">
        <f ca="1">SQRT($B$9*AVERAGE((Q299:OFFSET(Q299,$B$7-1,0))))</f>
        <v>#DIV/0!</v>
      </c>
      <c r="U299" s="5" t="e">
        <f ca="1">SQRT($B$9*AVERAGE((Q299:OFFSET(Q299,$B$8-1,0))))</f>
        <v>#DIV/0!</v>
      </c>
      <c r="W299" s="6" t="e">
        <f t="shared" si="32"/>
        <v>#DIV/0!</v>
      </c>
      <c r="X299" s="6" t="e">
        <f ca="1">SQRT($B$9*AVERAGE(W299:OFFSET(W299,$B$5-1,0)))</f>
        <v>#DIV/0!</v>
      </c>
      <c r="Y299" s="6" t="e">
        <f ca="1">SQRT($B$9*AVERAGE(W299:OFFSET(W299,$B$6-1,0)))</f>
        <v>#DIV/0!</v>
      </c>
      <c r="Z299" s="6" t="e">
        <f ca="1">SQRT($B$9*AVERAGE(W299:OFFSET(W299,$B$7-1,0)))</f>
        <v>#DIV/0!</v>
      </c>
      <c r="AA299" s="6" t="e">
        <f ca="1">SQRT($B$9*AVERAGE(W299:OFFSET(W299,$B$8-1,0)))</f>
        <v>#DIV/0!</v>
      </c>
      <c r="AC299" s="34" t="e">
        <f t="shared" si="30"/>
        <v>#DIV/0!</v>
      </c>
      <c r="AD299" s="34" t="e">
        <f ca="1">SQRT($B$9*SUM(AC299:OFFSET(AC299,$B$5-1,0))/($B$5-1))</f>
        <v>#DIV/0!</v>
      </c>
      <c r="AE299" s="34" t="e">
        <f ca="1">SQRT($B$9*SUM(AC299:OFFSET(AC299,$B$6-1,0))/($B$6-1))</f>
        <v>#DIV/0!</v>
      </c>
      <c r="AF299" s="34" t="e">
        <f ca="1">SQRT($B$9*SUM(AC299:OFFSET(AC299,$B$7-1,0))/($B$7-1))</f>
        <v>#DIV/0!</v>
      </c>
      <c r="AG299" s="34" t="e">
        <f ca="1">SQRT($B$9*SUM(AC299:OFFSET(AC299,$B$8-1,0))/($B$8-1))</f>
        <v>#DIV/0!</v>
      </c>
      <c r="AI299" s="1" t="e">
        <f t="shared" si="31"/>
        <v>#DIV/0!</v>
      </c>
      <c r="AJ299" s="4" t="e">
        <f ca="1">SQRT($B$9)*_xlfn.STDEV.S(AI299:OFFSET(AI299,$B$5-1,0))</f>
        <v>#DIV/0!</v>
      </c>
      <c r="AK299" s="4" t="e">
        <f ca="1">SQRT($B$9)*_xlfn.STDEV.S(AI299:OFFSET(AI299,$B$6-1,0))</f>
        <v>#DIV/0!</v>
      </c>
      <c r="AL299" s="4" t="e">
        <f ca="1">SQRT($B$9)*_xlfn.STDEV.S(AI299:OFFSET(AI299,$B$7-1,0))</f>
        <v>#DIV/0!</v>
      </c>
      <c r="AM299" s="4" t="e">
        <f ca="1">SQRT($B$9)*_xlfn.STDEV.S(AI299:OFFSET(AI299,$B$8-1,0))</f>
        <v>#DIV/0!</v>
      </c>
    </row>
    <row r="300" spans="5:39" x14ac:dyDescent="0.2">
      <c r="E300" s="42">
        <v>45218</v>
      </c>
      <c r="F300" s="43"/>
      <c r="G300" s="43"/>
      <c r="H300" s="43"/>
      <c r="I300" s="43"/>
      <c r="K300" s="3" t="e">
        <f t="shared" si="29"/>
        <v>#DIV/0!</v>
      </c>
      <c r="L300" s="3" t="e">
        <f ca="1">SQRT(AVERAGE(K300:OFFSET(K300,$B$5-1,0))*$B$9/(4*LN(2)))</f>
        <v>#DIV/0!</v>
      </c>
      <c r="M300" s="3" t="e">
        <f ca="1">SQRT(AVERAGE(K300:OFFSET(K300,$B$6-1,0))*$B$9/(4*LN(2)))</f>
        <v>#DIV/0!</v>
      </c>
      <c r="N300" s="3" t="e">
        <f ca="1">SQRT(AVERAGE(K300:OFFSET(K300,$B$7-1,0))*$B$9/(4*LN(2)))</f>
        <v>#DIV/0!</v>
      </c>
      <c r="O300" s="3" t="e">
        <f ca="1">SQRT(AVERAGE(K300:OFFSET(K300,$B$8-1,0))*$B$9/(4*LN(2)))</f>
        <v>#DIV/0!</v>
      </c>
      <c r="Q300" s="5" t="e">
        <f t="shared" si="28"/>
        <v>#DIV/0!</v>
      </c>
      <c r="R300" s="5" t="e">
        <f ca="1">SQRT($B$9*AVERAGE((Q300:OFFSET(Q300,$B$5-1,0))))</f>
        <v>#DIV/0!</v>
      </c>
      <c r="S300" s="5" t="e">
        <f ca="1">SQRT($B$9*AVERAGE((Q300:OFFSET(Q300,$B$6-1,0))))</f>
        <v>#DIV/0!</v>
      </c>
      <c r="T300" s="5" t="e">
        <f ca="1">SQRT($B$9*AVERAGE((Q300:OFFSET(Q300,$B$7-1,0))))</f>
        <v>#DIV/0!</v>
      </c>
      <c r="U300" s="5" t="e">
        <f ca="1">SQRT($B$9*AVERAGE((Q300:OFFSET(Q300,$B$8-1,0))))</f>
        <v>#DIV/0!</v>
      </c>
      <c r="W300" s="6" t="e">
        <f t="shared" si="32"/>
        <v>#DIV/0!</v>
      </c>
      <c r="X300" s="6" t="e">
        <f ca="1">SQRT($B$9*AVERAGE(W300:OFFSET(W300,$B$5-1,0)))</f>
        <v>#DIV/0!</v>
      </c>
      <c r="Y300" s="6" t="e">
        <f ca="1">SQRT($B$9*AVERAGE(W300:OFFSET(W300,$B$6-1,0)))</f>
        <v>#DIV/0!</v>
      </c>
      <c r="Z300" s="6" t="e">
        <f ca="1">SQRT($B$9*AVERAGE(W300:OFFSET(W300,$B$7-1,0)))</f>
        <v>#DIV/0!</v>
      </c>
      <c r="AA300" s="6" t="e">
        <f ca="1">SQRT($B$9*AVERAGE(W300:OFFSET(W300,$B$8-1,0)))</f>
        <v>#DIV/0!</v>
      </c>
      <c r="AC300" s="34" t="e">
        <f t="shared" si="30"/>
        <v>#DIV/0!</v>
      </c>
      <c r="AD300" s="34" t="e">
        <f ca="1">SQRT($B$9*SUM(AC300:OFFSET(AC300,$B$5-1,0))/($B$5-1))</f>
        <v>#DIV/0!</v>
      </c>
      <c r="AE300" s="34" t="e">
        <f ca="1">SQRT($B$9*SUM(AC300:OFFSET(AC300,$B$6-1,0))/($B$6-1))</f>
        <v>#DIV/0!</v>
      </c>
      <c r="AF300" s="34" t="e">
        <f ca="1">SQRT($B$9*SUM(AC300:OFFSET(AC300,$B$7-1,0))/($B$7-1))</f>
        <v>#DIV/0!</v>
      </c>
      <c r="AG300" s="34" t="e">
        <f ca="1">SQRT($B$9*SUM(AC300:OFFSET(AC300,$B$8-1,0))/($B$8-1))</f>
        <v>#DIV/0!</v>
      </c>
      <c r="AI300" s="1" t="e">
        <f t="shared" si="31"/>
        <v>#DIV/0!</v>
      </c>
      <c r="AJ300" s="4" t="e">
        <f ca="1">SQRT($B$9)*_xlfn.STDEV.S(AI300:OFFSET(AI300,$B$5-1,0))</f>
        <v>#DIV/0!</v>
      </c>
      <c r="AK300" s="4" t="e">
        <f ca="1">SQRT($B$9)*_xlfn.STDEV.S(AI300:OFFSET(AI300,$B$6-1,0))</f>
        <v>#DIV/0!</v>
      </c>
      <c r="AL300" s="4" t="e">
        <f ca="1">SQRT($B$9)*_xlfn.STDEV.S(AI300:OFFSET(AI300,$B$7-1,0))</f>
        <v>#DIV/0!</v>
      </c>
      <c r="AM300" s="4" t="e">
        <f ca="1">SQRT($B$9)*_xlfn.STDEV.S(AI300:OFFSET(AI300,$B$8-1,0))</f>
        <v>#DIV/0!</v>
      </c>
    </row>
    <row r="301" spans="5:39" x14ac:dyDescent="0.2">
      <c r="E301" s="42">
        <v>45217</v>
      </c>
      <c r="F301" s="43"/>
      <c r="G301" s="43"/>
      <c r="H301" s="43"/>
      <c r="I301" s="43"/>
      <c r="K301" s="3" t="e">
        <f t="shared" si="29"/>
        <v>#DIV/0!</v>
      </c>
      <c r="L301" s="3" t="e">
        <f ca="1">SQRT(AVERAGE(K301:OFFSET(K301,$B$5-1,0))*$B$9/(4*LN(2)))</f>
        <v>#DIV/0!</v>
      </c>
      <c r="M301" s="3" t="e">
        <f ca="1">SQRT(AVERAGE(K301:OFFSET(K301,$B$6-1,0))*$B$9/(4*LN(2)))</f>
        <v>#DIV/0!</v>
      </c>
      <c r="N301" s="3" t="e">
        <f ca="1">SQRT(AVERAGE(K301:OFFSET(K301,$B$7-1,0))*$B$9/(4*LN(2)))</f>
        <v>#DIV/0!</v>
      </c>
      <c r="O301" s="3" t="e">
        <f ca="1">SQRT(AVERAGE(K301:OFFSET(K301,$B$8-1,0))*$B$9/(4*LN(2)))</f>
        <v>#DIV/0!</v>
      </c>
      <c r="Q301" s="5" t="e">
        <f t="shared" si="28"/>
        <v>#DIV/0!</v>
      </c>
      <c r="R301" s="5" t="e">
        <f ca="1">SQRT($B$9*AVERAGE((Q301:OFFSET(Q301,$B$5-1,0))))</f>
        <v>#DIV/0!</v>
      </c>
      <c r="S301" s="5" t="e">
        <f ca="1">SQRT($B$9*AVERAGE((Q301:OFFSET(Q301,$B$6-1,0))))</f>
        <v>#DIV/0!</v>
      </c>
      <c r="T301" s="5" t="e">
        <f ca="1">SQRT($B$9*AVERAGE((Q301:OFFSET(Q301,$B$7-1,0))))</f>
        <v>#DIV/0!</v>
      </c>
      <c r="U301" s="5" t="e">
        <f ca="1">SQRT($B$9*AVERAGE((Q301:OFFSET(Q301,$B$8-1,0))))</f>
        <v>#DIV/0!</v>
      </c>
      <c r="W301" s="6" t="e">
        <f t="shared" si="32"/>
        <v>#DIV/0!</v>
      </c>
      <c r="X301" s="6" t="e">
        <f ca="1">SQRT($B$9*AVERAGE(W301:OFFSET(W301,$B$5-1,0)))</f>
        <v>#DIV/0!</v>
      </c>
      <c r="Y301" s="6" t="e">
        <f ca="1">SQRT($B$9*AVERAGE(W301:OFFSET(W301,$B$6-1,0)))</f>
        <v>#DIV/0!</v>
      </c>
      <c r="Z301" s="6" t="e">
        <f ca="1">SQRT($B$9*AVERAGE(W301:OFFSET(W301,$B$7-1,0)))</f>
        <v>#DIV/0!</v>
      </c>
      <c r="AA301" s="6" t="e">
        <f ca="1">SQRT($B$9*AVERAGE(W301:OFFSET(W301,$B$8-1,0)))</f>
        <v>#DIV/0!</v>
      </c>
      <c r="AC301" s="34" t="e">
        <f t="shared" si="30"/>
        <v>#DIV/0!</v>
      </c>
      <c r="AD301" s="34" t="e">
        <f ca="1">SQRT($B$9*SUM(AC301:OFFSET(AC301,$B$5-1,0))/($B$5-1))</f>
        <v>#DIV/0!</v>
      </c>
      <c r="AE301" s="34" t="e">
        <f ca="1">SQRT($B$9*SUM(AC301:OFFSET(AC301,$B$6-1,0))/($B$6-1))</f>
        <v>#DIV/0!</v>
      </c>
      <c r="AF301" s="34" t="e">
        <f ca="1">SQRT($B$9*SUM(AC301:OFFSET(AC301,$B$7-1,0))/($B$7-1))</f>
        <v>#DIV/0!</v>
      </c>
      <c r="AG301" s="34" t="e">
        <f ca="1">SQRT($B$9*SUM(AC301:OFFSET(AC301,$B$8-1,0))/($B$8-1))</f>
        <v>#DIV/0!</v>
      </c>
      <c r="AI301" s="1" t="e">
        <f t="shared" si="31"/>
        <v>#DIV/0!</v>
      </c>
      <c r="AJ301" s="4" t="e">
        <f ca="1">SQRT($B$9)*_xlfn.STDEV.S(AI301:OFFSET(AI301,$B$5-1,0))</f>
        <v>#DIV/0!</v>
      </c>
      <c r="AK301" s="4" t="e">
        <f ca="1">SQRT($B$9)*_xlfn.STDEV.S(AI301:OFFSET(AI301,$B$6-1,0))</f>
        <v>#DIV/0!</v>
      </c>
      <c r="AL301" s="4" t="e">
        <f ca="1">SQRT($B$9)*_xlfn.STDEV.S(AI301:OFFSET(AI301,$B$7-1,0))</f>
        <v>#DIV/0!</v>
      </c>
      <c r="AM301" s="4" t="e">
        <f ca="1">SQRT($B$9)*_xlfn.STDEV.S(AI301:OFFSET(AI301,$B$8-1,0))</f>
        <v>#DIV/0!</v>
      </c>
    </row>
    <row r="302" spans="5:39" x14ac:dyDescent="0.2">
      <c r="E302" s="42">
        <v>45216</v>
      </c>
      <c r="F302" s="43"/>
      <c r="G302" s="43"/>
      <c r="H302" s="43"/>
      <c r="I302" s="43"/>
      <c r="K302" s="3" t="e">
        <f t="shared" si="29"/>
        <v>#DIV/0!</v>
      </c>
      <c r="L302" s="3" t="e">
        <f ca="1">SQRT(AVERAGE(K302:OFFSET(K302,$B$5-1,0))*$B$9/(4*LN(2)))</f>
        <v>#DIV/0!</v>
      </c>
      <c r="M302" s="3" t="e">
        <f ca="1">SQRT(AVERAGE(K302:OFFSET(K302,$B$6-1,0))*$B$9/(4*LN(2)))</f>
        <v>#DIV/0!</v>
      </c>
      <c r="N302" s="3" t="e">
        <f ca="1">SQRT(AVERAGE(K302:OFFSET(K302,$B$7-1,0))*$B$9/(4*LN(2)))</f>
        <v>#DIV/0!</v>
      </c>
      <c r="O302" s="3" t="e">
        <f ca="1">SQRT(AVERAGE(K302:OFFSET(K302,$B$8-1,0))*$B$9/(4*LN(2)))</f>
        <v>#DIV/0!</v>
      </c>
      <c r="Q302" s="5" t="e">
        <f t="shared" si="28"/>
        <v>#DIV/0!</v>
      </c>
      <c r="R302" s="5" t="e">
        <f ca="1">SQRT($B$9*AVERAGE((Q302:OFFSET(Q302,$B$5-1,0))))</f>
        <v>#DIV/0!</v>
      </c>
      <c r="S302" s="5" t="e">
        <f ca="1">SQRT($B$9*AVERAGE((Q302:OFFSET(Q302,$B$6-1,0))))</f>
        <v>#DIV/0!</v>
      </c>
      <c r="T302" s="5" t="e">
        <f ca="1">SQRT($B$9*AVERAGE((Q302:OFFSET(Q302,$B$7-1,0))))</f>
        <v>#DIV/0!</v>
      </c>
      <c r="U302" s="5" t="e">
        <f ca="1">SQRT($B$9*AVERAGE((Q302:OFFSET(Q302,$B$8-1,0))))</f>
        <v>#DIV/0!</v>
      </c>
      <c r="W302" s="6" t="e">
        <f t="shared" si="32"/>
        <v>#DIV/0!</v>
      </c>
      <c r="X302" s="6" t="e">
        <f ca="1">SQRT($B$9*AVERAGE(W302:OFFSET(W302,$B$5-1,0)))</f>
        <v>#DIV/0!</v>
      </c>
      <c r="Y302" s="6" t="e">
        <f ca="1">SQRT($B$9*AVERAGE(W302:OFFSET(W302,$B$6-1,0)))</f>
        <v>#DIV/0!</v>
      </c>
      <c r="Z302" s="6" t="e">
        <f ca="1">SQRT($B$9*AVERAGE(W302:OFFSET(W302,$B$7-1,0)))</f>
        <v>#DIV/0!</v>
      </c>
      <c r="AA302" s="6" t="e">
        <f ca="1">SQRT($B$9*AVERAGE(W302:OFFSET(W302,$B$8-1,0)))</f>
        <v>#DIV/0!</v>
      </c>
      <c r="AC302" s="34" t="e">
        <f t="shared" si="30"/>
        <v>#DIV/0!</v>
      </c>
      <c r="AD302" s="34" t="e">
        <f ca="1">SQRT($B$9*SUM(AC302:OFFSET(AC302,$B$5-1,0))/($B$5-1))</f>
        <v>#DIV/0!</v>
      </c>
      <c r="AE302" s="34" t="e">
        <f ca="1">SQRT($B$9*SUM(AC302:OFFSET(AC302,$B$6-1,0))/($B$6-1))</f>
        <v>#DIV/0!</v>
      </c>
      <c r="AF302" s="34" t="e">
        <f ca="1">SQRT($B$9*SUM(AC302:OFFSET(AC302,$B$7-1,0))/($B$7-1))</f>
        <v>#DIV/0!</v>
      </c>
      <c r="AG302" s="34" t="e">
        <f ca="1">SQRT($B$9*SUM(AC302:OFFSET(AC302,$B$8-1,0))/($B$8-1))</f>
        <v>#DIV/0!</v>
      </c>
      <c r="AI302" s="1" t="e">
        <f t="shared" si="31"/>
        <v>#DIV/0!</v>
      </c>
      <c r="AJ302" s="4" t="e">
        <f ca="1">SQRT($B$9)*_xlfn.STDEV.S(AI302:OFFSET(AI302,$B$5-1,0))</f>
        <v>#DIV/0!</v>
      </c>
      <c r="AK302" s="4" t="e">
        <f ca="1">SQRT($B$9)*_xlfn.STDEV.S(AI302:OFFSET(AI302,$B$6-1,0))</f>
        <v>#DIV/0!</v>
      </c>
      <c r="AL302" s="4" t="e">
        <f ca="1">SQRT($B$9)*_xlfn.STDEV.S(AI302:OFFSET(AI302,$B$7-1,0))</f>
        <v>#DIV/0!</v>
      </c>
      <c r="AM302" s="4" t="e">
        <f ca="1">SQRT($B$9)*_xlfn.STDEV.S(AI302:OFFSET(AI302,$B$8-1,0))</f>
        <v>#DIV/0!</v>
      </c>
    </row>
    <row r="303" spans="5:39" x14ac:dyDescent="0.2">
      <c r="E303" s="42">
        <v>45215</v>
      </c>
      <c r="F303" s="43"/>
      <c r="G303" s="43"/>
      <c r="H303" s="43"/>
      <c r="I303" s="43"/>
      <c r="K303" s="3" t="e">
        <f t="shared" si="29"/>
        <v>#DIV/0!</v>
      </c>
      <c r="L303" s="3" t="e">
        <f ca="1">SQRT(AVERAGE(K303:OFFSET(K303,$B$5-1,0))*$B$9/(4*LN(2)))</f>
        <v>#DIV/0!</v>
      </c>
      <c r="M303" s="3" t="e">
        <f ca="1">SQRT(AVERAGE(K303:OFFSET(K303,$B$6-1,0))*$B$9/(4*LN(2)))</f>
        <v>#DIV/0!</v>
      </c>
      <c r="N303" s="3" t="e">
        <f ca="1">SQRT(AVERAGE(K303:OFFSET(K303,$B$7-1,0))*$B$9/(4*LN(2)))</f>
        <v>#DIV/0!</v>
      </c>
      <c r="O303" s="3" t="e">
        <f ca="1">SQRT(AVERAGE(K303:OFFSET(K303,$B$8-1,0))*$B$9/(4*LN(2)))</f>
        <v>#DIV/0!</v>
      </c>
      <c r="Q303" s="5" t="e">
        <f t="shared" si="28"/>
        <v>#DIV/0!</v>
      </c>
      <c r="R303" s="5" t="e">
        <f ca="1">SQRT($B$9*AVERAGE((Q303:OFFSET(Q303,$B$5-1,0))))</f>
        <v>#DIV/0!</v>
      </c>
      <c r="S303" s="5" t="e">
        <f ca="1">SQRT($B$9*AVERAGE((Q303:OFFSET(Q303,$B$6-1,0))))</f>
        <v>#DIV/0!</v>
      </c>
      <c r="T303" s="5" t="e">
        <f ca="1">SQRT($B$9*AVERAGE((Q303:OFFSET(Q303,$B$7-1,0))))</f>
        <v>#DIV/0!</v>
      </c>
      <c r="U303" s="5" t="e">
        <f ca="1">SQRT($B$9*AVERAGE((Q303:OFFSET(Q303,$B$8-1,0))))</f>
        <v>#DIV/0!</v>
      </c>
      <c r="W303" s="6" t="e">
        <f t="shared" si="32"/>
        <v>#DIV/0!</v>
      </c>
      <c r="X303" s="6" t="e">
        <f ca="1">SQRT($B$9*AVERAGE(W303:OFFSET(W303,$B$5-1,0)))</f>
        <v>#DIV/0!</v>
      </c>
      <c r="Y303" s="6" t="e">
        <f ca="1">SQRT($B$9*AVERAGE(W303:OFFSET(W303,$B$6-1,0)))</f>
        <v>#DIV/0!</v>
      </c>
      <c r="Z303" s="6" t="e">
        <f ca="1">SQRT($B$9*AVERAGE(W303:OFFSET(W303,$B$7-1,0)))</f>
        <v>#DIV/0!</v>
      </c>
      <c r="AA303" s="6" t="e">
        <f ca="1">SQRT($B$9*AVERAGE(W303:OFFSET(W303,$B$8-1,0)))</f>
        <v>#DIV/0!</v>
      </c>
      <c r="AC303" s="34" t="e">
        <f t="shared" si="30"/>
        <v>#DIV/0!</v>
      </c>
      <c r="AD303" s="34" t="e">
        <f ca="1">SQRT($B$9*SUM(AC303:OFFSET(AC303,$B$5-1,0))/($B$5-1))</f>
        <v>#DIV/0!</v>
      </c>
      <c r="AE303" s="34" t="e">
        <f ca="1">SQRT($B$9*SUM(AC303:OFFSET(AC303,$B$6-1,0))/($B$6-1))</f>
        <v>#DIV/0!</v>
      </c>
      <c r="AF303" s="34" t="e">
        <f ca="1">SQRT($B$9*SUM(AC303:OFFSET(AC303,$B$7-1,0))/($B$7-1))</f>
        <v>#DIV/0!</v>
      </c>
      <c r="AG303" s="34" t="e">
        <f ca="1">SQRT($B$9*SUM(AC303:OFFSET(AC303,$B$8-1,0))/($B$8-1))</f>
        <v>#DIV/0!</v>
      </c>
      <c r="AI303" s="1" t="e">
        <f t="shared" si="31"/>
        <v>#DIV/0!</v>
      </c>
      <c r="AJ303" s="4" t="e">
        <f ca="1">SQRT($B$9)*_xlfn.STDEV.S(AI303:OFFSET(AI303,$B$5-1,0))</f>
        <v>#DIV/0!</v>
      </c>
      <c r="AK303" s="4" t="e">
        <f ca="1">SQRT($B$9)*_xlfn.STDEV.S(AI303:OFFSET(AI303,$B$6-1,0))</f>
        <v>#DIV/0!</v>
      </c>
      <c r="AL303" s="4" t="e">
        <f ca="1">SQRT($B$9)*_xlfn.STDEV.S(AI303:OFFSET(AI303,$B$7-1,0))</f>
        <v>#DIV/0!</v>
      </c>
      <c r="AM303" s="4" t="e">
        <f ca="1">SQRT($B$9)*_xlfn.STDEV.S(AI303:OFFSET(AI303,$B$8-1,0))</f>
        <v>#DIV/0!</v>
      </c>
    </row>
    <row r="304" spans="5:39" x14ac:dyDescent="0.2">
      <c r="E304" s="42">
        <v>45212</v>
      </c>
      <c r="F304" s="43"/>
      <c r="G304" s="43"/>
      <c r="H304" s="43"/>
      <c r="I304" s="43"/>
      <c r="K304" s="3" t="e">
        <f t="shared" si="29"/>
        <v>#DIV/0!</v>
      </c>
      <c r="L304" s="3" t="e">
        <f ca="1">SQRT(AVERAGE(K304:OFFSET(K304,$B$5-1,0))*$B$9/(4*LN(2)))</f>
        <v>#DIV/0!</v>
      </c>
      <c r="M304" s="3" t="e">
        <f ca="1">SQRT(AVERAGE(K304:OFFSET(K304,$B$6-1,0))*$B$9/(4*LN(2)))</f>
        <v>#DIV/0!</v>
      </c>
      <c r="N304" s="3" t="e">
        <f ca="1">SQRT(AVERAGE(K304:OFFSET(K304,$B$7-1,0))*$B$9/(4*LN(2)))</f>
        <v>#DIV/0!</v>
      </c>
      <c r="O304" s="3" t="e">
        <f ca="1">SQRT(AVERAGE(K304:OFFSET(K304,$B$8-1,0))*$B$9/(4*LN(2)))</f>
        <v>#DIV/0!</v>
      </c>
      <c r="Q304" s="5" t="e">
        <f t="shared" si="28"/>
        <v>#DIV/0!</v>
      </c>
      <c r="R304" s="5" t="e">
        <f ca="1">SQRT($B$9*AVERAGE((Q304:OFFSET(Q304,$B$5-1,0))))</f>
        <v>#DIV/0!</v>
      </c>
      <c r="S304" s="5" t="e">
        <f ca="1">SQRT($B$9*AVERAGE((Q304:OFFSET(Q304,$B$6-1,0))))</f>
        <v>#DIV/0!</v>
      </c>
      <c r="T304" s="5" t="e">
        <f ca="1">SQRT($B$9*AVERAGE((Q304:OFFSET(Q304,$B$7-1,0))))</f>
        <v>#DIV/0!</v>
      </c>
      <c r="U304" s="5" t="e">
        <f ca="1">SQRT($B$9*AVERAGE((Q304:OFFSET(Q304,$B$8-1,0))))</f>
        <v>#DIV/0!</v>
      </c>
      <c r="W304" s="6" t="e">
        <f t="shared" si="32"/>
        <v>#DIV/0!</v>
      </c>
      <c r="X304" s="6" t="e">
        <f ca="1">SQRT($B$9*AVERAGE(W304:OFFSET(W304,$B$5-1,0)))</f>
        <v>#DIV/0!</v>
      </c>
      <c r="Y304" s="6" t="e">
        <f ca="1">SQRT($B$9*AVERAGE(W304:OFFSET(W304,$B$6-1,0)))</f>
        <v>#DIV/0!</v>
      </c>
      <c r="Z304" s="6" t="e">
        <f ca="1">SQRT($B$9*AVERAGE(W304:OFFSET(W304,$B$7-1,0)))</f>
        <v>#DIV/0!</v>
      </c>
      <c r="AA304" s="6" t="e">
        <f ca="1">SQRT($B$9*AVERAGE(W304:OFFSET(W304,$B$8-1,0)))</f>
        <v>#DIV/0!</v>
      </c>
      <c r="AC304" s="34" t="e">
        <f t="shared" si="30"/>
        <v>#DIV/0!</v>
      </c>
      <c r="AD304" s="34" t="e">
        <f ca="1">SQRT($B$9*SUM(AC304:OFFSET(AC304,$B$5-1,0))/($B$5-1))</f>
        <v>#DIV/0!</v>
      </c>
      <c r="AE304" s="34" t="e">
        <f ca="1">SQRT($B$9*SUM(AC304:OFFSET(AC304,$B$6-1,0))/($B$6-1))</f>
        <v>#DIV/0!</v>
      </c>
      <c r="AF304" s="34" t="e">
        <f ca="1">SQRT($B$9*SUM(AC304:OFFSET(AC304,$B$7-1,0))/($B$7-1))</f>
        <v>#DIV/0!</v>
      </c>
      <c r="AG304" s="34" t="e">
        <f ca="1">SQRT($B$9*SUM(AC304:OFFSET(AC304,$B$8-1,0))/($B$8-1))</f>
        <v>#DIV/0!</v>
      </c>
      <c r="AI304" s="1" t="e">
        <f t="shared" si="31"/>
        <v>#DIV/0!</v>
      </c>
      <c r="AJ304" s="4" t="e">
        <f ca="1">SQRT($B$9)*_xlfn.STDEV.S(AI304:OFFSET(AI304,$B$5-1,0))</f>
        <v>#DIV/0!</v>
      </c>
      <c r="AK304" s="4" t="e">
        <f ca="1">SQRT($B$9)*_xlfn.STDEV.S(AI304:OFFSET(AI304,$B$6-1,0))</f>
        <v>#DIV/0!</v>
      </c>
      <c r="AL304" s="4" t="e">
        <f ca="1">SQRT($B$9)*_xlfn.STDEV.S(AI304:OFFSET(AI304,$B$7-1,0))</f>
        <v>#DIV/0!</v>
      </c>
      <c r="AM304" s="4" t="e">
        <f ca="1">SQRT($B$9)*_xlfn.STDEV.S(AI304:OFFSET(AI304,$B$8-1,0))</f>
        <v>#DIV/0!</v>
      </c>
    </row>
    <row r="305" spans="5:39" x14ac:dyDescent="0.2">
      <c r="E305" s="42">
        <v>45211</v>
      </c>
      <c r="F305" s="43"/>
      <c r="G305" s="43"/>
      <c r="H305" s="43"/>
      <c r="I305" s="43"/>
      <c r="K305" s="3" t="e">
        <f t="shared" si="29"/>
        <v>#DIV/0!</v>
      </c>
      <c r="L305" s="3" t="e">
        <f ca="1">SQRT(AVERAGE(K305:OFFSET(K305,$B$5-1,0))*$B$9/(4*LN(2)))</f>
        <v>#DIV/0!</v>
      </c>
      <c r="M305" s="3" t="e">
        <f ca="1">SQRT(AVERAGE(K305:OFFSET(K305,$B$6-1,0))*$B$9/(4*LN(2)))</f>
        <v>#DIV/0!</v>
      </c>
      <c r="N305" s="3" t="e">
        <f ca="1">SQRT(AVERAGE(K305:OFFSET(K305,$B$7-1,0))*$B$9/(4*LN(2)))</f>
        <v>#DIV/0!</v>
      </c>
      <c r="O305" s="3" t="e">
        <f ca="1">SQRT(AVERAGE(K305:OFFSET(K305,$B$8-1,0))*$B$9/(4*LN(2)))</f>
        <v>#DIV/0!</v>
      </c>
      <c r="Q305" s="5" t="e">
        <f t="shared" si="28"/>
        <v>#DIV/0!</v>
      </c>
      <c r="R305" s="5" t="e">
        <f ca="1">SQRT($B$9*AVERAGE((Q305:OFFSET(Q305,$B$5-1,0))))</f>
        <v>#DIV/0!</v>
      </c>
      <c r="S305" s="5" t="e">
        <f ca="1">SQRT($B$9*AVERAGE((Q305:OFFSET(Q305,$B$6-1,0))))</f>
        <v>#DIV/0!</v>
      </c>
      <c r="T305" s="5" t="e">
        <f ca="1">SQRT($B$9*AVERAGE((Q305:OFFSET(Q305,$B$7-1,0))))</f>
        <v>#DIV/0!</v>
      </c>
      <c r="U305" s="5" t="e">
        <f ca="1">SQRT($B$9*AVERAGE((Q305:OFFSET(Q305,$B$8-1,0))))</f>
        <v>#DIV/0!</v>
      </c>
      <c r="W305" s="6" t="e">
        <f t="shared" si="32"/>
        <v>#DIV/0!</v>
      </c>
      <c r="X305" s="6" t="e">
        <f ca="1">SQRT($B$9*AVERAGE(W305:OFFSET(W305,$B$5-1,0)))</f>
        <v>#DIV/0!</v>
      </c>
      <c r="Y305" s="6" t="e">
        <f ca="1">SQRT($B$9*AVERAGE(W305:OFFSET(W305,$B$6-1,0)))</f>
        <v>#DIV/0!</v>
      </c>
      <c r="Z305" s="6" t="e">
        <f ca="1">SQRT($B$9*AVERAGE(W305:OFFSET(W305,$B$7-1,0)))</f>
        <v>#DIV/0!</v>
      </c>
      <c r="AA305" s="6" t="e">
        <f ca="1">SQRT($B$9*AVERAGE(W305:OFFSET(W305,$B$8-1,0)))</f>
        <v>#DIV/0!</v>
      </c>
      <c r="AC305" s="34" t="e">
        <f t="shared" si="30"/>
        <v>#DIV/0!</v>
      </c>
      <c r="AD305" s="34" t="e">
        <f ca="1">SQRT($B$9*SUM(AC305:OFFSET(AC305,$B$5-1,0))/($B$5-1))</f>
        <v>#DIV/0!</v>
      </c>
      <c r="AE305" s="34" t="e">
        <f ca="1">SQRT($B$9*SUM(AC305:OFFSET(AC305,$B$6-1,0))/($B$6-1))</f>
        <v>#DIV/0!</v>
      </c>
      <c r="AF305" s="34" t="e">
        <f ca="1">SQRT($B$9*SUM(AC305:OFFSET(AC305,$B$7-1,0))/($B$7-1))</f>
        <v>#DIV/0!</v>
      </c>
      <c r="AG305" s="34" t="e">
        <f ca="1">SQRT($B$9*SUM(AC305:OFFSET(AC305,$B$8-1,0))/($B$8-1))</f>
        <v>#DIV/0!</v>
      </c>
      <c r="AI305" s="1" t="e">
        <f t="shared" si="31"/>
        <v>#DIV/0!</v>
      </c>
      <c r="AJ305" s="4" t="e">
        <f ca="1">SQRT($B$9)*_xlfn.STDEV.S(AI305:OFFSET(AI305,$B$5-1,0))</f>
        <v>#DIV/0!</v>
      </c>
      <c r="AK305" s="4" t="e">
        <f ca="1">SQRT($B$9)*_xlfn.STDEV.S(AI305:OFFSET(AI305,$B$6-1,0))</f>
        <v>#DIV/0!</v>
      </c>
      <c r="AL305" s="4" t="e">
        <f ca="1">SQRT($B$9)*_xlfn.STDEV.S(AI305:OFFSET(AI305,$B$7-1,0))</f>
        <v>#DIV/0!</v>
      </c>
      <c r="AM305" s="4" t="e">
        <f ca="1">SQRT($B$9)*_xlfn.STDEV.S(AI305:OFFSET(AI305,$B$8-1,0))</f>
        <v>#DIV/0!</v>
      </c>
    </row>
    <row r="306" spans="5:39" x14ac:dyDescent="0.2">
      <c r="E306" s="42">
        <v>45210</v>
      </c>
      <c r="F306" s="43"/>
      <c r="G306" s="43"/>
      <c r="H306" s="43"/>
      <c r="I306" s="43"/>
      <c r="K306" s="3" t="e">
        <f t="shared" si="29"/>
        <v>#DIV/0!</v>
      </c>
      <c r="L306" s="3" t="e">
        <f ca="1">SQRT(AVERAGE(K306:OFFSET(K306,$B$5-1,0))*$B$9/(4*LN(2)))</f>
        <v>#DIV/0!</v>
      </c>
      <c r="M306" s="3" t="e">
        <f ca="1">SQRT(AVERAGE(K306:OFFSET(K306,$B$6-1,0))*$B$9/(4*LN(2)))</f>
        <v>#DIV/0!</v>
      </c>
      <c r="N306" s="3" t="e">
        <f ca="1">SQRT(AVERAGE(K306:OFFSET(K306,$B$7-1,0))*$B$9/(4*LN(2)))</f>
        <v>#DIV/0!</v>
      </c>
      <c r="O306" s="3" t="e">
        <f ca="1">SQRT(AVERAGE(K306:OFFSET(K306,$B$8-1,0))*$B$9/(4*LN(2)))</f>
        <v>#DIV/0!</v>
      </c>
      <c r="Q306" s="5" t="e">
        <f t="shared" si="28"/>
        <v>#DIV/0!</v>
      </c>
      <c r="R306" s="5" t="e">
        <f ca="1">SQRT($B$9*AVERAGE((Q306:OFFSET(Q306,$B$5-1,0))))</f>
        <v>#DIV/0!</v>
      </c>
      <c r="S306" s="5" t="e">
        <f ca="1">SQRT($B$9*AVERAGE((Q306:OFFSET(Q306,$B$6-1,0))))</f>
        <v>#DIV/0!</v>
      </c>
      <c r="T306" s="5" t="e">
        <f ca="1">SQRT($B$9*AVERAGE((Q306:OFFSET(Q306,$B$7-1,0))))</f>
        <v>#DIV/0!</v>
      </c>
      <c r="U306" s="5" t="e">
        <f ca="1">SQRT($B$9*AVERAGE((Q306:OFFSET(Q306,$B$8-1,0))))</f>
        <v>#DIV/0!</v>
      </c>
      <c r="W306" s="6" t="e">
        <f t="shared" si="32"/>
        <v>#DIV/0!</v>
      </c>
      <c r="X306" s="6" t="e">
        <f ca="1">SQRT($B$9*AVERAGE(W306:OFFSET(W306,$B$5-1,0)))</f>
        <v>#DIV/0!</v>
      </c>
      <c r="Y306" s="6" t="e">
        <f ca="1">SQRT($B$9*AVERAGE(W306:OFFSET(W306,$B$6-1,0)))</f>
        <v>#DIV/0!</v>
      </c>
      <c r="Z306" s="6" t="e">
        <f ca="1">SQRT($B$9*AVERAGE(W306:OFFSET(W306,$B$7-1,0)))</f>
        <v>#DIV/0!</v>
      </c>
      <c r="AA306" s="6" t="e">
        <f ca="1">SQRT($B$9*AVERAGE(W306:OFFSET(W306,$B$8-1,0)))</f>
        <v>#DIV/0!</v>
      </c>
      <c r="AC306" s="34" t="e">
        <f t="shared" si="30"/>
        <v>#DIV/0!</v>
      </c>
      <c r="AD306" s="34" t="e">
        <f ca="1">SQRT($B$9*SUM(AC306:OFFSET(AC306,$B$5-1,0))/($B$5-1))</f>
        <v>#DIV/0!</v>
      </c>
      <c r="AE306" s="34" t="e">
        <f ca="1">SQRT($B$9*SUM(AC306:OFFSET(AC306,$B$6-1,0))/($B$6-1))</f>
        <v>#DIV/0!</v>
      </c>
      <c r="AF306" s="34" t="e">
        <f ca="1">SQRT($B$9*SUM(AC306:OFFSET(AC306,$B$7-1,0))/($B$7-1))</f>
        <v>#DIV/0!</v>
      </c>
      <c r="AG306" s="34" t="e">
        <f ca="1">SQRT($B$9*SUM(AC306:OFFSET(AC306,$B$8-1,0))/($B$8-1))</f>
        <v>#DIV/0!</v>
      </c>
      <c r="AI306" s="1" t="e">
        <f t="shared" si="31"/>
        <v>#DIV/0!</v>
      </c>
      <c r="AJ306" s="4" t="e">
        <f ca="1">SQRT($B$9)*_xlfn.STDEV.S(AI306:OFFSET(AI306,$B$5-1,0))</f>
        <v>#DIV/0!</v>
      </c>
      <c r="AK306" s="4" t="e">
        <f ca="1">SQRT($B$9)*_xlfn.STDEV.S(AI306:OFFSET(AI306,$B$6-1,0))</f>
        <v>#DIV/0!</v>
      </c>
      <c r="AL306" s="4" t="e">
        <f ca="1">SQRT($B$9)*_xlfn.STDEV.S(AI306:OFFSET(AI306,$B$7-1,0))</f>
        <v>#DIV/0!</v>
      </c>
      <c r="AM306" s="4" t="e">
        <f ca="1">SQRT($B$9)*_xlfn.STDEV.S(AI306:OFFSET(AI306,$B$8-1,0))</f>
        <v>#DIV/0!</v>
      </c>
    </row>
    <row r="307" spans="5:39" x14ac:dyDescent="0.2">
      <c r="E307" s="42">
        <v>45209</v>
      </c>
      <c r="F307" s="43"/>
      <c r="G307" s="43"/>
      <c r="H307" s="43"/>
      <c r="I307" s="43"/>
      <c r="K307" s="3" t="e">
        <f t="shared" si="29"/>
        <v>#DIV/0!</v>
      </c>
      <c r="L307" s="3" t="e">
        <f ca="1">SQRT(AVERAGE(K307:OFFSET(K307,$B$5-1,0))*$B$9/(4*LN(2)))</f>
        <v>#DIV/0!</v>
      </c>
      <c r="M307" s="3" t="e">
        <f ca="1">SQRT(AVERAGE(K307:OFFSET(K307,$B$6-1,0))*$B$9/(4*LN(2)))</f>
        <v>#DIV/0!</v>
      </c>
      <c r="N307" s="3" t="e">
        <f ca="1">SQRT(AVERAGE(K307:OFFSET(K307,$B$7-1,0))*$B$9/(4*LN(2)))</f>
        <v>#DIV/0!</v>
      </c>
      <c r="O307" s="3" t="e">
        <f ca="1">SQRT(AVERAGE(K307:OFFSET(K307,$B$8-1,0))*$B$9/(4*LN(2)))</f>
        <v>#DIV/0!</v>
      </c>
      <c r="Q307" s="5" t="e">
        <f t="shared" si="28"/>
        <v>#DIV/0!</v>
      </c>
      <c r="R307" s="5" t="e">
        <f ca="1">SQRT($B$9*AVERAGE((Q307:OFFSET(Q307,$B$5-1,0))))</f>
        <v>#DIV/0!</v>
      </c>
      <c r="S307" s="5" t="e">
        <f ca="1">SQRT($B$9*AVERAGE((Q307:OFFSET(Q307,$B$6-1,0))))</f>
        <v>#DIV/0!</v>
      </c>
      <c r="T307" s="5" t="e">
        <f ca="1">SQRT($B$9*AVERAGE((Q307:OFFSET(Q307,$B$7-1,0))))</f>
        <v>#DIV/0!</v>
      </c>
      <c r="U307" s="5" t="e">
        <f ca="1">SQRT($B$9*AVERAGE((Q307:OFFSET(Q307,$B$8-1,0))))</f>
        <v>#DIV/0!</v>
      </c>
      <c r="W307" s="6" t="e">
        <f t="shared" si="32"/>
        <v>#DIV/0!</v>
      </c>
      <c r="X307" s="6" t="e">
        <f ca="1">SQRT($B$9*AVERAGE(W307:OFFSET(W307,$B$5-1,0)))</f>
        <v>#DIV/0!</v>
      </c>
      <c r="Y307" s="6" t="e">
        <f ca="1">SQRT($B$9*AVERAGE(W307:OFFSET(W307,$B$6-1,0)))</f>
        <v>#DIV/0!</v>
      </c>
      <c r="Z307" s="6" t="e">
        <f ca="1">SQRT($B$9*AVERAGE(W307:OFFSET(W307,$B$7-1,0)))</f>
        <v>#DIV/0!</v>
      </c>
      <c r="AA307" s="6" t="e">
        <f ca="1">SQRT($B$9*AVERAGE(W307:OFFSET(W307,$B$8-1,0)))</f>
        <v>#DIV/0!</v>
      </c>
      <c r="AC307" s="34" t="e">
        <f t="shared" si="30"/>
        <v>#DIV/0!</v>
      </c>
      <c r="AD307" s="34" t="e">
        <f ca="1">SQRT($B$9*SUM(AC307:OFFSET(AC307,$B$5-1,0))/($B$5-1))</f>
        <v>#DIV/0!</v>
      </c>
      <c r="AE307" s="34" t="e">
        <f ca="1">SQRT($B$9*SUM(AC307:OFFSET(AC307,$B$6-1,0))/($B$6-1))</f>
        <v>#DIV/0!</v>
      </c>
      <c r="AF307" s="34" t="e">
        <f ca="1">SQRT($B$9*SUM(AC307:OFFSET(AC307,$B$7-1,0))/($B$7-1))</f>
        <v>#DIV/0!</v>
      </c>
      <c r="AG307" s="34" t="e">
        <f ca="1">SQRT($B$9*SUM(AC307:OFFSET(AC307,$B$8-1,0))/($B$8-1))</f>
        <v>#DIV/0!</v>
      </c>
      <c r="AI307" s="1" t="e">
        <f t="shared" si="31"/>
        <v>#DIV/0!</v>
      </c>
      <c r="AJ307" s="4" t="e">
        <f ca="1">SQRT($B$9)*_xlfn.STDEV.S(AI307:OFFSET(AI307,$B$5-1,0))</f>
        <v>#DIV/0!</v>
      </c>
      <c r="AK307" s="4" t="e">
        <f ca="1">SQRT($B$9)*_xlfn.STDEV.S(AI307:OFFSET(AI307,$B$6-1,0))</f>
        <v>#DIV/0!</v>
      </c>
      <c r="AL307" s="4" t="e">
        <f ca="1">SQRT($B$9)*_xlfn.STDEV.S(AI307:OFFSET(AI307,$B$7-1,0))</f>
        <v>#DIV/0!</v>
      </c>
      <c r="AM307" s="4" t="e">
        <f ca="1">SQRT($B$9)*_xlfn.STDEV.S(AI307:OFFSET(AI307,$B$8-1,0))</f>
        <v>#DIV/0!</v>
      </c>
    </row>
    <row r="308" spans="5:39" x14ac:dyDescent="0.2">
      <c r="E308" s="42">
        <v>45208</v>
      </c>
      <c r="F308" s="43"/>
      <c r="G308" s="43"/>
      <c r="H308" s="43"/>
      <c r="I308" s="43"/>
      <c r="K308" s="3" t="e">
        <f t="shared" si="29"/>
        <v>#DIV/0!</v>
      </c>
      <c r="L308" s="3" t="e">
        <f ca="1">SQRT(AVERAGE(K308:OFFSET(K308,$B$5-1,0))*$B$9/(4*LN(2)))</f>
        <v>#DIV/0!</v>
      </c>
      <c r="M308" s="3" t="e">
        <f ca="1">SQRT(AVERAGE(K308:OFFSET(K308,$B$6-1,0))*$B$9/(4*LN(2)))</f>
        <v>#DIV/0!</v>
      </c>
      <c r="N308" s="3" t="e">
        <f ca="1">SQRT(AVERAGE(K308:OFFSET(K308,$B$7-1,0))*$B$9/(4*LN(2)))</f>
        <v>#DIV/0!</v>
      </c>
      <c r="O308" s="3" t="e">
        <f ca="1">SQRT(AVERAGE(K308:OFFSET(K308,$B$8-1,0))*$B$9/(4*LN(2)))</f>
        <v>#DIV/0!</v>
      </c>
      <c r="Q308" s="5" t="e">
        <f t="shared" si="28"/>
        <v>#DIV/0!</v>
      </c>
      <c r="R308" s="5" t="e">
        <f ca="1">SQRT($B$9*AVERAGE((Q308:OFFSET(Q308,$B$5-1,0))))</f>
        <v>#DIV/0!</v>
      </c>
      <c r="S308" s="5" t="e">
        <f ca="1">SQRT($B$9*AVERAGE((Q308:OFFSET(Q308,$B$6-1,0))))</f>
        <v>#DIV/0!</v>
      </c>
      <c r="T308" s="5" t="e">
        <f ca="1">SQRT($B$9*AVERAGE((Q308:OFFSET(Q308,$B$7-1,0))))</f>
        <v>#DIV/0!</v>
      </c>
      <c r="U308" s="5" t="e">
        <f ca="1">SQRT($B$9*AVERAGE((Q308:OFFSET(Q308,$B$8-1,0))))</f>
        <v>#DIV/0!</v>
      </c>
      <c r="W308" s="6" t="e">
        <f t="shared" si="32"/>
        <v>#DIV/0!</v>
      </c>
      <c r="X308" s="6" t="e">
        <f ca="1">SQRT($B$9*AVERAGE(W308:OFFSET(W308,$B$5-1,0)))</f>
        <v>#DIV/0!</v>
      </c>
      <c r="Y308" s="6" t="e">
        <f ca="1">SQRT($B$9*AVERAGE(W308:OFFSET(W308,$B$6-1,0)))</f>
        <v>#DIV/0!</v>
      </c>
      <c r="Z308" s="6" t="e">
        <f ca="1">SQRT($B$9*AVERAGE(W308:OFFSET(W308,$B$7-1,0)))</f>
        <v>#DIV/0!</v>
      </c>
      <c r="AA308" s="6" t="e">
        <f ca="1">SQRT($B$9*AVERAGE(W308:OFFSET(W308,$B$8-1,0)))</f>
        <v>#DIV/0!</v>
      </c>
      <c r="AC308" s="34" t="e">
        <f t="shared" si="30"/>
        <v>#DIV/0!</v>
      </c>
      <c r="AD308" s="34" t="e">
        <f ca="1">SQRT($B$9*SUM(AC308:OFFSET(AC308,$B$5-1,0))/($B$5-1))</f>
        <v>#DIV/0!</v>
      </c>
      <c r="AE308" s="34" t="e">
        <f ca="1">SQRT($B$9*SUM(AC308:OFFSET(AC308,$B$6-1,0))/($B$6-1))</f>
        <v>#DIV/0!</v>
      </c>
      <c r="AF308" s="34" t="e">
        <f ca="1">SQRT($B$9*SUM(AC308:OFFSET(AC308,$B$7-1,0))/($B$7-1))</f>
        <v>#DIV/0!</v>
      </c>
      <c r="AG308" s="34" t="e">
        <f ca="1">SQRT($B$9*SUM(AC308:OFFSET(AC308,$B$8-1,0))/($B$8-1))</f>
        <v>#DIV/0!</v>
      </c>
      <c r="AI308" s="1" t="e">
        <f t="shared" si="31"/>
        <v>#DIV/0!</v>
      </c>
      <c r="AJ308" s="4" t="e">
        <f ca="1">SQRT($B$9)*_xlfn.STDEV.S(AI308:OFFSET(AI308,$B$5-1,0))</f>
        <v>#DIV/0!</v>
      </c>
      <c r="AK308" s="4" t="e">
        <f ca="1">SQRT($B$9)*_xlfn.STDEV.S(AI308:OFFSET(AI308,$B$6-1,0))</f>
        <v>#DIV/0!</v>
      </c>
      <c r="AL308" s="4" t="e">
        <f ca="1">SQRT($B$9)*_xlfn.STDEV.S(AI308:OFFSET(AI308,$B$7-1,0))</f>
        <v>#DIV/0!</v>
      </c>
      <c r="AM308" s="4" t="e">
        <f ca="1">SQRT($B$9)*_xlfn.STDEV.S(AI308:OFFSET(AI308,$B$8-1,0))</f>
        <v>#DIV/0!</v>
      </c>
    </row>
    <row r="309" spans="5:39" x14ac:dyDescent="0.2">
      <c r="E309" s="42">
        <v>45197</v>
      </c>
      <c r="F309" s="43"/>
      <c r="G309" s="43"/>
      <c r="H309" s="43"/>
      <c r="I309" s="43"/>
      <c r="K309" s="3" t="e">
        <f t="shared" si="29"/>
        <v>#DIV/0!</v>
      </c>
      <c r="L309" s="3" t="e">
        <f ca="1">SQRT(AVERAGE(K309:OFFSET(K309,$B$5-1,0))*$B$9/(4*LN(2)))</f>
        <v>#DIV/0!</v>
      </c>
      <c r="M309" s="3" t="e">
        <f ca="1">SQRT(AVERAGE(K309:OFFSET(K309,$B$6-1,0))*$B$9/(4*LN(2)))</f>
        <v>#DIV/0!</v>
      </c>
      <c r="N309" s="3" t="e">
        <f ca="1">SQRT(AVERAGE(K309:OFFSET(K309,$B$7-1,0))*$B$9/(4*LN(2)))</f>
        <v>#DIV/0!</v>
      </c>
      <c r="O309" s="3" t="e">
        <f ca="1">SQRT(AVERAGE(K309:OFFSET(K309,$B$8-1,0))*$B$9/(4*LN(2)))</f>
        <v>#DIV/0!</v>
      </c>
      <c r="Q309" s="5" t="e">
        <f t="shared" si="28"/>
        <v>#DIV/0!</v>
      </c>
      <c r="R309" s="5" t="e">
        <f ca="1">SQRT($B$9*AVERAGE((Q309:OFFSET(Q309,$B$5-1,0))))</f>
        <v>#DIV/0!</v>
      </c>
      <c r="S309" s="5" t="e">
        <f ca="1">SQRT($B$9*AVERAGE((Q309:OFFSET(Q309,$B$6-1,0))))</f>
        <v>#DIV/0!</v>
      </c>
      <c r="T309" s="5" t="e">
        <f ca="1">SQRT($B$9*AVERAGE((Q309:OFFSET(Q309,$B$7-1,0))))</f>
        <v>#DIV/0!</v>
      </c>
      <c r="U309" s="5" t="e">
        <f ca="1">SQRT($B$9*AVERAGE((Q309:OFFSET(Q309,$B$8-1,0))))</f>
        <v>#DIV/0!</v>
      </c>
      <c r="W309" s="6" t="e">
        <f t="shared" si="32"/>
        <v>#DIV/0!</v>
      </c>
      <c r="X309" s="6" t="e">
        <f ca="1">SQRT($B$9*AVERAGE(W309:OFFSET(W309,$B$5-1,0)))</f>
        <v>#DIV/0!</v>
      </c>
      <c r="Y309" s="6" t="e">
        <f ca="1">SQRT($B$9*AVERAGE(W309:OFFSET(W309,$B$6-1,0)))</f>
        <v>#DIV/0!</v>
      </c>
      <c r="Z309" s="6" t="e">
        <f ca="1">SQRT($B$9*AVERAGE(W309:OFFSET(W309,$B$7-1,0)))</f>
        <v>#DIV/0!</v>
      </c>
      <c r="AA309" s="6" t="e">
        <f ca="1">SQRT($B$9*AVERAGE(W309:OFFSET(W309,$B$8-1,0)))</f>
        <v>#DIV/0!</v>
      </c>
      <c r="AC309" s="34" t="e">
        <f t="shared" si="30"/>
        <v>#DIV/0!</v>
      </c>
      <c r="AD309" s="34" t="e">
        <f ca="1">SQRT($B$9*SUM(AC309:OFFSET(AC309,$B$5-1,0))/($B$5-1))</f>
        <v>#DIV/0!</v>
      </c>
      <c r="AE309" s="34" t="e">
        <f ca="1">SQRT($B$9*SUM(AC309:OFFSET(AC309,$B$6-1,0))/($B$6-1))</f>
        <v>#DIV/0!</v>
      </c>
      <c r="AF309" s="34" t="e">
        <f ca="1">SQRT($B$9*SUM(AC309:OFFSET(AC309,$B$7-1,0))/($B$7-1))</f>
        <v>#DIV/0!</v>
      </c>
      <c r="AG309" s="34" t="e">
        <f ca="1">SQRT($B$9*SUM(AC309:OFFSET(AC309,$B$8-1,0))/($B$8-1))</f>
        <v>#DIV/0!</v>
      </c>
      <c r="AI309" s="1" t="e">
        <f t="shared" si="31"/>
        <v>#DIV/0!</v>
      </c>
      <c r="AJ309" s="4" t="e">
        <f ca="1">SQRT($B$9)*_xlfn.STDEV.S(AI309:OFFSET(AI309,$B$5-1,0))</f>
        <v>#DIV/0!</v>
      </c>
      <c r="AK309" s="4" t="e">
        <f ca="1">SQRT($B$9)*_xlfn.STDEV.S(AI309:OFFSET(AI309,$B$6-1,0))</f>
        <v>#DIV/0!</v>
      </c>
      <c r="AL309" s="4" t="e">
        <f ca="1">SQRT($B$9)*_xlfn.STDEV.S(AI309:OFFSET(AI309,$B$7-1,0))</f>
        <v>#DIV/0!</v>
      </c>
      <c r="AM309" s="4" t="e">
        <f ca="1">SQRT($B$9)*_xlfn.STDEV.S(AI309:OFFSET(AI309,$B$8-1,0))</f>
        <v>#DIV/0!</v>
      </c>
    </row>
    <row r="310" spans="5:39" x14ac:dyDescent="0.2">
      <c r="E310" s="42">
        <v>45196</v>
      </c>
      <c r="F310" s="43"/>
      <c r="G310" s="43"/>
      <c r="H310" s="43"/>
      <c r="I310" s="43"/>
      <c r="K310" s="3" t="e">
        <f t="shared" si="29"/>
        <v>#DIV/0!</v>
      </c>
      <c r="L310" s="3" t="e">
        <f ca="1">SQRT(AVERAGE(K310:OFFSET(K310,$B$5-1,0))*$B$9/(4*LN(2)))</f>
        <v>#DIV/0!</v>
      </c>
      <c r="M310" s="3" t="e">
        <f ca="1">SQRT(AVERAGE(K310:OFFSET(K310,$B$6-1,0))*$B$9/(4*LN(2)))</f>
        <v>#DIV/0!</v>
      </c>
      <c r="N310" s="3" t="e">
        <f ca="1">SQRT(AVERAGE(K310:OFFSET(K310,$B$7-1,0))*$B$9/(4*LN(2)))</f>
        <v>#DIV/0!</v>
      </c>
      <c r="O310" s="3" t="e">
        <f ca="1">SQRT(AVERAGE(K310:OFFSET(K310,$B$8-1,0))*$B$9/(4*LN(2)))</f>
        <v>#DIV/0!</v>
      </c>
      <c r="Q310" s="5" t="e">
        <f t="shared" si="28"/>
        <v>#DIV/0!</v>
      </c>
      <c r="R310" s="5" t="e">
        <f ca="1">SQRT($B$9*AVERAGE((Q310:OFFSET(Q310,$B$5-1,0))))</f>
        <v>#DIV/0!</v>
      </c>
      <c r="S310" s="5" t="e">
        <f ca="1">SQRT($B$9*AVERAGE((Q310:OFFSET(Q310,$B$6-1,0))))</f>
        <v>#DIV/0!</v>
      </c>
      <c r="T310" s="5" t="e">
        <f ca="1">SQRT($B$9*AVERAGE((Q310:OFFSET(Q310,$B$7-1,0))))</f>
        <v>#DIV/0!</v>
      </c>
      <c r="U310" s="5" t="e">
        <f ca="1">SQRT($B$9*AVERAGE((Q310:OFFSET(Q310,$B$8-1,0))))</f>
        <v>#DIV/0!</v>
      </c>
      <c r="W310" s="6" t="e">
        <f t="shared" si="32"/>
        <v>#DIV/0!</v>
      </c>
      <c r="X310" s="6" t="e">
        <f ca="1">SQRT($B$9*AVERAGE(W310:OFFSET(W310,$B$5-1,0)))</f>
        <v>#DIV/0!</v>
      </c>
      <c r="Y310" s="6" t="e">
        <f ca="1">SQRT($B$9*AVERAGE(W310:OFFSET(W310,$B$6-1,0)))</f>
        <v>#DIV/0!</v>
      </c>
      <c r="Z310" s="6" t="e">
        <f ca="1">SQRT($B$9*AVERAGE(W310:OFFSET(W310,$B$7-1,0)))</f>
        <v>#DIV/0!</v>
      </c>
      <c r="AA310" s="6" t="e">
        <f ca="1">SQRT($B$9*AVERAGE(W310:OFFSET(W310,$B$8-1,0)))</f>
        <v>#DIV/0!</v>
      </c>
      <c r="AC310" s="34" t="e">
        <f t="shared" si="30"/>
        <v>#DIV/0!</v>
      </c>
      <c r="AD310" s="34" t="e">
        <f ca="1">SQRT($B$9*SUM(AC310:OFFSET(AC310,$B$5-1,0))/($B$5-1))</f>
        <v>#DIV/0!</v>
      </c>
      <c r="AE310" s="34" t="e">
        <f ca="1">SQRT($B$9*SUM(AC310:OFFSET(AC310,$B$6-1,0))/($B$6-1))</f>
        <v>#DIV/0!</v>
      </c>
      <c r="AF310" s="34" t="e">
        <f ca="1">SQRT($B$9*SUM(AC310:OFFSET(AC310,$B$7-1,0))/($B$7-1))</f>
        <v>#DIV/0!</v>
      </c>
      <c r="AG310" s="34" t="e">
        <f ca="1">SQRT($B$9*SUM(AC310:OFFSET(AC310,$B$8-1,0))/($B$8-1))</f>
        <v>#DIV/0!</v>
      </c>
      <c r="AI310" s="1" t="e">
        <f t="shared" si="31"/>
        <v>#DIV/0!</v>
      </c>
      <c r="AJ310" s="4" t="e">
        <f ca="1">SQRT($B$9)*_xlfn.STDEV.S(AI310:OFFSET(AI310,$B$5-1,0))</f>
        <v>#DIV/0!</v>
      </c>
      <c r="AK310" s="4" t="e">
        <f ca="1">SQRT($B$9)*_xlfn.STDEV.S(AI310:OFFSET(AI310,$B$6-1,0))</f>
        <v>#DIV/0!</v>
      </c>
      <c r="AL310" s="4" t="e">
        <f ca="1">SQRT($B$9)*_xlfn.STDEV.S(AI310:OFFSET(AI310,$B$7-1,0))</f>
        <v>#DIV/0!</v>
      </c>
      <c r="AM310" s="4" t="e">
        <f ca="1">SQRT($B$9)*_xlfn.STDEV.S(AI310:OFFSET(AI310,$B$8-1,0))</f>
        <v>#DIV/0!</v>
      </c>
    </row>
    <row r="311" spans="5:39" x14ac:dyDescent="0.2">
      <c r="E311" s="42">
        <v>45195</v>
      </c>
      <c r="F311" s="43"/>
      <c r="G311" s="43"/>
      <c r="H311" s="43"/>
      <c r="I311" s="43"/>
      <c r="K311" s="3" t="e">
        <f t="shared" si="29"/>
        <v>#DIV/0!</v>
      </c>
      <c r="L311" s="3" t="e">
        <f ca="1">SQRT(AVERAGE(K311:OFFSET(K311,$B$5-1,0))*$B$9/(4*LN(2)))</f>
        <v>#DIV/0!</v>
      </c>
      <c r="M311" s="3" t="e">
        <f ca="1">SQRT(AVERAGE(K311:OFFSET(K311,$B$6-1,0))*$B$9/(4*LN(2)))</f>
        <v>#DIV/0!</v>
      </c>
      <c r="N311" s="3" t="e">
        <f ca="1">SQRT(AVERAGE(K311:OFFSET(K311,$B$7-1,0))*$B$9/(4*LN(2)))</f>
        <v>#DIV/0!</v>
      </c>
      <c r="O311" s="3" t="e">
        <f ca="1">SQRT(AVERAGE(K311:OFFSET(K311,$B$8-1,0))*$B$9/(4*LN(2)))</f>
        <v>#DIV/0!</v>
      </c>
      <c r="Q311" s="5" t="e">
        <f t="shared" si="28"/>
        <v>#DIV/0!</v>
      </c>
      <c r="R311" s="5" t="e">
        <f ca="1">SQRT($B$9*AVERAGE((Q311:OFFSET(Q311,$B$5-1,0))))</f>
        <v>#DIV/0!</v>
      </c>
      <c r="S311" s="5" t="e">
        <f ca="1">SQRT($B$9*AVERAGE((Q311:OFFSET(Q311,$B$6-1,0))))</f>
        <v>#DIV/0!</v>
      </c>
      <c r="T311" s="5" t="e">
        <f ca="1">SQRT($B$9*AVERAGE((Q311:OFFSET(Q311,$B$7-1,0))))</f>
        <v>#DIV/0!</v>
      </c>
      <c r="U311" s="5" t="e">
        <f ca="1">SQRT($B$9*AVERAGE((Q311:OFFSET(Q311,$B$8-1,0))))</f>
        <v>#DIV/0!</v>
      </c>
      <c r="W311" s="6" t="e">
        <f t="shared" si="32"/>
        <v>#DIV/0!</v>
      </c>
      <c r="X311" s="6" t="e">
        <f ca="1">SQRT($B$9*AVERAGE(W311:OFFSET(W311,$B$5-1,0)))</f>
        <v>#DIV/0!</v>
      </c>
      <c r="Y311" s="6" t="e">
        <f ca="1">SQRT($B$9*AVERAGE(W311:OFFSET(W311,$B$6-1,0)))</f>
        <v>#DIV/0!</v>
      </c>
      <c r="Z311" s="6" t="e">
        <f ca="1">SQRT($B$9*AVERAGE(W311:OFFSET(W311,$B$7-1,0)))</f>
        <v>#DIV/0!</v>
      </c>
      <c r="AA311" s="6" t="e">
        <f ca="1">SQRT($B$9*AVERAGE(W311:OFFSET(W311,$B$8-1,0)))</f>
        <v>#DIV/0!</v>
      </c>
      <c r="AC311" s="34" t="e">
        <f t="shared" si="30"/>
        <v>#DIV/0!</v>
      </c>
      <c r="AD311" s="34" t="e">
        <f ca="1">SQRT($B$9*SUM(AC311:OFFSET(AC311,$B$5-1,0))/($B$5-1))</f>
        <v>#DIV/0!</v>
      </c>
      <c r="AE311" s="34" t="e">
        <f ca="1">SQRT($B$9*SUM(AC311:OFFSET(AC311,$B$6-1,0))/($B$6-1))</f>
        <v>#DIV/0!</v>
      </c>
      <c r="AF311" s="34" t="e">
        <f ca="1">SQRT($B$9*SUM(AC311:OFFSET(AC311,$B$7-1,0))/($B$7-1))</f>
        <v>#DIV/0!</v>
      </c>
      <c r="AG311" s="34" t="e">
        <f ca="1">SQRT($B$9*SUM(AC311:OFFSET(AC311,$B$8-1,0))/($B$8-1))</f>
        <v>#DIV/0!</v>
      </c>
      <c r="AI311" s="1" t="e">
        <f t="shared" si="31"/>
        <v>#DIV/0!</v>
      </c>
      <c r="AJ311" s="4" t="e">
        <f ca="1">SQRT($B$9)*_xlfn.STDEV.S(AI311:OFFSET(AI311,$B$5-1,0))</f>
        <v>#DIV/0!</v>
      </c>
      <c r="AK311" s="4" t="e">
        <f ca="1">SQRT($B$9)*_xlfn.STDEV.S(AI311:OFFSET(AI311,$B$6-1,0))</f>
        <v>#DIV/0!</v>
      </c>
      <c r="AL311" s="4" t="e">
        <f ca="1">SQRT($B$9)*_xlfn.STDEV.S(AI311:OFFSET(AI311,$B$7-1,0))</f>
        <v>#DIV/0!</v>
      </c>
      <c r="AM311" s="4" t="e">
        <f ca="1">SQRT($B$9)*_xlfn.STDEV.S(AI311:OFFSET(AI311,$B$8-1,0))</f>
        <v>#DIV/0!</v>
      </c>
    </row>
    <row r="312" spans="5:39" x14ac:dyDescent="0.2">
      <c r="E312" s="42">
        <v>45194</v>
      </c>
      <c r="F312" s="43"/>
      <c r="G312" s="43"/>
      <c r="H312" s="43"/>
      <c r="I312" s="43"/>
      <c r="K312" s="3" t="e">
        <f t="shared" si="29"/>
        <v>#DIV/0!</v>
      </c>
      <c r="L312" s="3" t="e">
        <f ca="1">SQRT(AVERAGE(K312:OFFSET(K312,$B$5-1,0))*$B$9/(4*LN(2)))</f>
        <v>#DIV/0!</v>
      </c>
      <c r="M312" s="3" t="e">
        <f ca="1">SQRT(AVERAGE(K312:OFFSET(K312,$B$6-1,0))*$B$9/(4*LN(2)))</f>
        <v>#DIV/0!</v>
      </c>
      <c r="N312" s="3" t="e">
        <f ca="1">SQRT(AVERAGE(K312:OFFSET(K312,$B$7-1,0))*$B$9/(4*LN(2)))</f>
        <v>#DIV/0!</v>
      </c>
      <c r="O312" s="3" t="e">
        <f ca="1">SQRT(AVERAGE(K312:OFFSET(K312,$B$8-1,0))*$B$9/(4*LN(2)))</f>
        <v>#DIV/0!</v>
      </c>
      <c r="Q312" s="5" t="e">
        <f t="shared" si="28"/>
        <v>#DIV/0!</v>
      </c>
      <c r="R312" s="5" t="e">
        <f ca="1">SQRT($B$9*AVERAGE((Q312:OFFSET(Q312,$B$5-1,0))))</f>
        <v>#DIV/0!</v>
      </c>
      <c r="S312" s="5" t="e">
        <f ca="1">SQRT($B$9*AVERAGE((Q312:OFFSET(Q312,$B$6-1,0))))</f>
        <v>#DIV/0!</v>
      </c>
      <c r="T312" s="5" t="e">
        <f ca="1">SQRT($B$9*AVERAGE((Q312:OFFSET(Q312,$B$7-1,0))))</f>
        <v>#DIV/0!</v>
      </c>
      <c r="U312" s="5" t="e">
        <f ca="1">SQRT($B$9*AVERAGE((Q312:OFFSET(Q312,$B$8-1,0))))</f>
        <v>#DIV/0!</v>
      </c>
      <c r="W312" s="6" t="e">
        <f t="shared" si="32"/>
        <v>#DIV/0!</v>
      </c>
      <c r="X312" s="6" t="e">
        <f ca="1">SQRT($B$9*AVERAGE(W312:OFFSET(W312,$B$5-1,0)))</f>
        <v>#DIV/0!</v>
      </c>
      <c r="Y312" s="6" t="e">
        <f ca="1">SQRT($B$9*AVERAGE(W312:OFFSET(W312,$B$6-1,0)))</f>
        <v>#DIV/0!</v>
      </c>
      <c r="Z312" s="6" t="e">
        <f ca="1">SQRT($B$9*AVERAGE(W312:OFFSET(W312,$B$7-1,0)))</f>
        <v>#DIV/0!</v>
      </c>
      <c r="AA312" s="6" t="e">
        <f ca="1">SQRT($B$9*AVERAGE(W312:OFFSET(W312,$B$8-1,0)))</f>
        <v>#DIV/0!</v>
      </c>
      <c r="AC312" s="34" t="e">
        <f t="shared" si="30"/>
        <v>#DIV/0!</v>
      </c>
      <c r="AD312" s="34" t="e">
        <f ca="1">SQRT($B$9*SUM(AC312:OFFSET(AC312,$B$5-1,0))/($B$5-1))</f>
        <v>#DIV/0!</v>
      </c>
      <c r="AE312" s="34" t="e">
        <f ca="1">SQRT($B$9*SUM(AC312:OFFSET(AC312,$B$6-1,0))/($B$6-1))</f>
        <v>#DIV/0!</v>
      </c>
      <c r="AF312" s="34" t="e">
        <f ca="1">SQRT($B$9*SUM(AC312:OFFSET(AC312,$B$7-1,0))/($B$7-1))</f>
        <v>#DIV/0!</v>
      </c>
      <c r="AG312" s="34" t="e">
        <f ca="1">SQRT($B$9*SUM(AC312:OFFSET(AC312,$B$8-1,0))/($B$8-1))</f>
        <v>#DIV/0!</v>
      </c>
      <c r="AI312" s="1" t="e">
        <f t="shared" si="31"/>
        <v>#DIV/0!</v>
      </c>
      <c r="AJ312" s="4" t="e">
        <f ca="1">SQRT($B$9)*_xlfn.STDEV.S(AI312:OFFSET(AI312,$B$5-1,0))</f>
        <v>#DIV/0!</v>
      </c>
      <c r="AK312" s="4" t="e">
        <f ca="1">SQRT($B$9)*_xlfn.STDEV.S(AI312:OFFSET(AI312,$B$6-1,0))</f>
        <v>#DIV/0!</v>
      </c>
      <c r="AL312" s="4" t="e">
        <f ca="1">SQRT($B$9)*_xlfn.STDEV.S(AI312:OFFSET(AI312,$B$7-1,0))</f>
        <v>#DIV/0!</v>
      </c>
      <c r="AM312" s="4" t="e">
        <f ca="1">SQRT($B$9)*_xlfn.STDEV.S(AI312:OFFSET(AI312,$B$8-1,0))</f>
        <v>#DIV/0!</v>
      </c>
    </row>
    <row r="313" spans="5:39" x14ac:dyDescent="0.2">
      <c r="E313" s="42">
        <v>45191</v>
      </c>
      <c r="F313" s="43"/>
      <c r="G313" s="43"/>
      <c r="H313" s="43"/>
      <c r="I313" s="43"/>
      <c r="K313" s="3" t="e">
        <f t="shared" si="29"/>
        <v>#DIV/0!</v>
      </c>
      <c r="L313" s="3" t="e">
        <f ca="1">SQRT(AVERAGE(K313:OFFSET(K313,$B$5-1,0))*$B$9/(4*LN(2)))</f>
        <v>#DIV/0!</v>
      </c>
      <c r="M313" s="3" t="e">
        <f ca="1">SQRT(AVERAGE(K313:OFFSET(K313,$B$6-1,0))*$B$9/(4*LN(2)))</f>
        <v>#DIV/0!</v>
      </c>
      <c r="N313" s="3" t="e">
        <f ca="1">SQRT(AVERAGE(K313:OFFSET(K313,$B$7-1,0))*$B$9/(4*LN(2)))</f>
        <v>#DIV/0!</v>
      </c>
      <c r="O313" s="3" t="e">
        <f ca="1">SQRT(AVERAGE(K313:OFFSET(K313,$B$8-1,0))*$B$9/(4*LN(2)))</f>
        <v>#DIV/0!</v>
      </c>
      <c r="Q313" s="5" t="e">
        <f t="shared" si="28"/>
        <v>#DIV/0!</v>
      </c>
      <c r="R313" s="5" t="e">
        <f ca="1">SQRT($B$9*AVERAGE((Q313:OFFSET(Q313,$B$5-1,0))))</f>
        <v>#DIV/0!</v>
      </c>
      <c r="S313" s="5" t="e">
        <f ca="1">SQRT($B$9*AVERAGE((Q313:OFFSET(Q313,$B$6-1,0))))</f>
        <v>#DIV/0!</v>
      </c>
      <c r="T313" s="5" t="e">
        <f ca="1">SQRT($B$9*AVERAGE((Q313:OFFSET(Q313,$B$7-1,0))))</f>
        <v>#DIV/0!</v>
      </c>
      <c r="U313" s="5" t="e">
        <f ca="1">SQRT($B$9*AVERAGE((Q313:OFFSET(Q313,$B$8-1,0))))</f>
        <v>#DIV/0!</v>
      </c>
      <c r="W313" s="6" t="e">
        <f t="shared" si="32"/>
        <v>#DIV/0!</v>
      </c>
      <c r="X313" s="6" t="e">
        <f ca="1">SQRT($B$9*AVERAGE(W313:OFFSET(W313,$B$5-1,0)))</f>
        <v>#DIV/0!</v>
      </c>
      <c r="Y313" s="6" t="e">
        <f ca="1">SQRT($B$9*AVERAGE(W313:OFFSET(W313,$B$6-1,0)))</f>
        <v>#DIV/0!</v>
      </c>
      <c r="Z313" s="6" t="e">
        <f ca="1">SQRT($B$9*AVERAGE(W313:OFFSET(W313,$B$7-1,0)))</f>
        <v>#DIV/0!</v>
      </c>
      <c r="AA313" s="6" t="e">
        <f ca="1">SQRT($B$9*AVERAGE(W313:OFFSET(W313,$B$8-1,0)))</f>
        <v>#DIV/0!</v>
      </c>
      <c r="AC313" s="34" t="e">
        <f t="shared" si="30"/>
        <v>#DIV/0!</v>
      </c>
      <c r="AD313" s="34" t="e">
        <f ca="1">SQRT($B$9*SUM(AC313:OFFSET(AC313,$B$5-1,0))/($B$5-1))</f>
        <v>#DIV/0!</v>
      </c>
      <c r="AE313" s="34" t="e">
        <f ca="1">SQRT($B$9*SUM(AC313:OFFSET(AC313,$B$6-1,0))/($B$6-1))</f>
        <v>#DIV/0!</v>
      </c>
      <c r="AF313" s="34" t="e">
        <f ca="1">SQRT($B$9*SUM(AC313:OFFSET(AC313,$B$7-1,0))/($B$7-1))</f>
        <v>#DIV/0!</v>
      </c>
      <c r="AG313" s="34" t="e">
        <f ca="1">SQRT($B$9*SUM(AC313:OFFSET(AC313,$B$8-1,0))/($B$8-1))</f>
        <v>#DIV/0!</v>
      </c>
      <c r="AI313" s="1" t="e">
        <f t="shared" si="31"/>
        <v>#DIV/0!</v>
      </c>
      <c r="AJ313" s="4" t="e">
        <f ca="1">SQRT($B$9)*_xlfn.STDEV.S(AI313:OFFSET(AI313,$B$5-1,0))</f>
        <v>#DIV/0!</v>
      </c>
      <c r="AK313" s="4" t="e">
        <f ca="1">SQRT($B$9)*_xlfn.STDEV.S(AI313:OFFSET(AI313,$B$6-1,0))</f>
        <v>#DIV/0!</v>
      </c>
      <c r="AL313" s="4" t="e">
        <f ca="1">SQRT($B$9)*_xlfn.STDEV.S(AI313:OFFSET(AI313,$B$7-1,0))</f>
        <v>#DIV/0!</v>
      </c>
      <c r="AM313" s="4" t="e">
        <f ca="1">SQRT($B$9)*_xlfn.STDEV.S(AI313:OFFSET(AI313,$B$8-1,0))</f>
        <v>#DIV/0!</v>
      </c>
    </row>
    <row r="314" spans="5:39" x14ac:dyDescent="0.2">
      <c r="E314" s="42">
        <v>45190</v>
      </c>
      <c r="F314" s="43"/>
      <c r="G314" s="43"/>
      <c r="H314" s="43"/>
      <c r="I314" s="43"/>
      <c r="K314" s="3" t="e">
        <f t="shared" si="29"/>
        <v>#DIV/0!</v>
      </c>
      <c r="L314" s="3" t="e">
        <f ca="1">SQRT(AVERAGE(K314:OFFSET(K314,$B$5-1,0))*$B$9/(4*LN(2)))</f>
        <v>#DIV/0!</v>
      </c>
      <c r="M314" s="3" t="e">
        <f ca="1">SQRT(AVERAGE(K314:OFFSET(K314,$B$6-1,0))*$B$9/(4*LN(2)))</f>
        <v>#DIV/0!</v>
      </c>
      <c r="N314" s="3" t="e">
        <f ca="1">SQRT(AVERAGE(K314:OFFSET(K314,$B$7-1,0))*$B$9/(4*LN(2)))</f>
        <v>#DIV/0!</v>
      </c>
      <c r="O314" s="3" t="e">
        <f ca="1">SQRT(AVERAGE(K314:OFFSET(K314,$B$8-1,0))*$B$9/(4*LN(2)))</f>
        <v>#DIV/0!</v>
      </c>
      <c r="Q314" s="5" t="e">
        <f t="shared" si="28"/>
        <v>#DIV/0!</v>
      </c>
      <c r="R314" s="5" t="e">
        <f ca="1">SQRT($B$9*AVERAGE((Q314:OFFSET(Q314,$B$5-1,0))))</f>
        <v>#DIV/0!</v>
      </c>
      <c r="S314" s="5" t="e">
        <f ca="1">SQRT($B$9*AVERAGE((Q314:OFFSET(Q314,$B$6-1,0))))</f>
        <v>#DIV/0!</v>
      </c>
      <c r="T314" s="5" t="e">
        <f ca="1">SQRT($B$9*AVERAGE((Q314:OFFSET(Q314,$B$7-1,0))))</f>
        <v>#DIV/0!</v>
      </c>
      <c r="U314" s="5" t="e">
        <f ca="1">SQRT($B$9*AVERAGE((Q314:OFFSET(Q314,$B$8-1,0))))</f>
        <v>#DIV/0!</v>
      </c>
      <c r="W314" s="6" t="e">
        <f t="shared" si="32"/>
        <v>#DIV/0!</v>
      </c>
      <c r="X314" s="6" t="e">
        <f ca="1">SQRT($B$9*AVERAGE(W314:OFFSET(W314,$B$5-1,0)))</f>
        <v>#DIV/0!</v>
      </c>
      <c r="Y314" s="6" t="e">
        <f ca="1">SQRT($B$9*AVERAGE(W314:OFFSET(W314,$B$6-1,0)))</f>
        <v>#DIV/0!</v>
      </c>
      <c r="Z314" s="6" t="e">
        <f ca="1">SQRT($B$9*AVERAGE(W314:OFFSET(W314,$B$7-1,0)))</f>
        <v>#DIV/0!</v>
      </c>
      <c r="AA314" s="6" t="e">
        <f ca="1">SQRT($B$9*AVERAGE(W314:OFFSET(W314,$B$8-1,0)))</f>
        <v>#DIV/0!</v>
      </c>
      <c r="AC314" s="34" t="e">
        <f t="shared" si="30"/>
        <v>#DIV/0!</v>
      </c>
      <c r="AD314" s="34" t="e">
        <f ca="1">SQRT($B$9*SUM(AC314:OFFSET(AC314,$B$5-1,0))/($B$5-1))</f>
        <v>#DIV/0!</v>
      </c>
      <c r="AE314" s="34" t="e">
        <f ca="1">SQRT($B$9*SUM(AC314:OFFSET(AC314,$B$6-1,0))/($B$6-1))</f>
        <v>#DIV/0!</v>
      </c>
      <c r="AF314" s="34" t="e">
        <f ca="1">SQRT($B$9*SUM(AC314:OFFSET(AC314,$B$7-1,0))/($B$7-1))</f>
        <v>#DIV/0!</v>
      </c>
      <c r="AG314" s="34" t="e">
        <f ca="1">SQRT($B$9*SUM(AC314:OFFSET(AC314,$B$8-1,0))/($B$8-1))</f>
        <v>#DIV/0!</v>
      </c>
      <c r="AI314" s="1" t="e">
        <f t="shared" si="31"/>
        <v>#DIV/0!</v>
      </c>
      <c r="AJ314" s="4" t="e">
        <f ca="1">SQRT($B$9)*_xlfn.STDEV.S(AI314:OFFSET(AI314,$B$5-1,0))</f>
        <v>#DIV/0!</v>
      </c>
      <c r="AK314" s="4" t="e">
        <f ca="1">SQRT($B$9)*_xlfn.STDEV.S(AI314:OFFSET(AI314,$B$6-1,0))</f>
        <v>#DIV/0!</v>
      </c>
      <c r="AL314" s="4" t="e">
        <f ca="1">SQRT($B$9)*_xlfn.STDEV.S(AI314:OFFSET(AI314,$B$7-1,0))</f>
        <v>#DIV/0!</v>
      </c>
      <c r="AM314" s="4" t="e">
        <f ca="1">SQRT($B$9)*_xlfn.STDEV.S(AI314:OFFSET(AI314,$B$8-1,0))</f>
        <v>#DIV/0!</v>
      </c>
    </row>
    <row r="315" spans="5:39" x14ac:dyDescent="0.2">
      <c r="E315" s="42">
        <v>45189</v>
      </c>
      <c r="F315" s="43"/>
      <c r="G315" s="43"/>
      <c r="H315" s="43"/>
      <c r="I315" s="43"/>
      <c r="K315" s="3" t="e">
        <f t="shared" si="29"/>
        <v>#DIV/0!</v>
      </c>
      <c r="L315" s="3" t="e">
        <f ca="1">SQRT(AVERAGE(K315:OFFSET(K315,$B$5-1,0))*$B$9/(4*LN(2)))</f>
        <v>#DIV/0!</v>
      </c>
      <c r="M315" s="3" t="e">
        <f ca="1">SQRT(AVERAGE(K315:OFFSET(K315,$B$6-1,0))*$B$9/(4*LN(2)))</f>
        <v>#DIV/0!</v>
      </c>
      <c r="N315" s="3" t="e">
        <f ca="1">SQRT(AVERAGE(K315:OFFSET(K315,$B$7-1,0))*$B$9/(4*LN(2)))</f>
        <v>#DIV/0!</v>
      </c>
      <c r="O315" s="3" t="e">
        <f ca="1">SQRT(AVERAGE(K315:OFFSET(K315,$B$8-1,0))*$B$9/(4*LN(2)))</f>
        <v>#DIV/0!</v>
      </c>
      <c r="Q315" s="5" t="e">
        <f t="shared" si="28"/>
        <v>#DIV/0!</v>
      </c>
      <c r="R315" s="5" t="e">
        <f ca="1">SQRT($B$9*AVERAGE((Q315:OFFSET(Q315,$B$5-1,0))))</f>
        <v>#DIV/0!</v>
      </c>
      <c r="S315" s="5" t="e">
        <f ca="1">SQRT($B$9*AVERAGE((Q315:OFFSET(Q315,$B$6-1,0))))</f>
        <v>#DIV/0!</v>
      </c>
      <c r="T315" s="5" t="e">
        <f ca="1">SQRT($B$9*AVERAGE((Q315:OFFSET(Q315,$B$7-1,0))))</f>
        <v>#DIV/0!</v>
      </c>
      <c r="U315" s="5" t="e">
        <f ca="1">SQRT($B$9*AVERAGE((Q315:OFFSET(Q315,$B$8-1,0))))</f>
        <v>#DIV/0!</v>
      </c>
      <c r="W315" s="6" t="e">
        <f t="shared" si="32"/>
        <v>#DIV/0!</v>
      </c>
      <c r="X315" s="6" t="e">
        <f ca="1">SQRT($B$9*AVERAGE(W315:OFFSET(W315,$B$5-1,0)))</f>
        <v>#DIV/0!</v>
      </c>
      <c r="Y315" s="6" t="e">
        <f ca="1">SQRT($B$9*AVERAGE(W315:OFFSET(W315,$B$6-1,0)))</f>
        <v>#DIV/0!</v>
      </c>
      <c r="Z315" s="6" t="e">
        <f ca="1">SQRT($B$9*AVERAGE(W315:OFFSET(W315,$B$7-1,0)))</f>
        <v>#DIV/0!</v>
      </c>
      <c r="AA315" s="6" t="e">
        <f ca="1">SQRT($B$9*AVERAGE(W315:OFFSET(W315,$B$8-1,0)))</f>
        <v>#DIV/0!</v>
      </c>
      <c r="AC315" s="34" t="e">
        <f t="shared" si="30"/>
        <v>#DIV/0!</v>
      </c>
      <c r="AD315" s="34" t="e">
        <f ca="1">SQRT($B$9*SUM(AC315:OFFSET(AC315,$B$5-1,0))/($B$5-1))</f>
        <v>#DIV/0!</v>
      </c>
      <c r="AE315" s="34" t="e">
        <f ca="1">SQRT($B$9*SUM(AC315:OFFSET(AC315,$B$6-1,0))/($B$6-1))</f>
        <v>#DIV/0!</v>
      </c>
      <c r="AF315" s="34" t="e">
        <f ca="1">SQRT($B$9*SUM(AC315:OFFSET(AC315,$B$7-1,0))/($B$7-1))</f>
        <v>#DIV/0!</v>
      </c>
      <c r="AG315" s="34" t="e">
        <f ca="1">SQRT($B$9*SUM(AC315:OFFSET(AC315,$B$8-1,0))/($B$8-1))</f>
        <v>#DIV/0!</v>
      </c>
      <c r="AI315" s="1" t="e">
        <f t="shared" si="31"/>
        <v>#DIV/0!</v>
      </c>
      <c r="AJ315" s="4" t="e">
        <f ca="1">SQRT($B$9)*_xlfn.STDEV.S(AI315:OFFSET(AI315,$B$5-1,0))</f>
        <v>#DIV/0!</v>
      </c>
      <c r="AK315" s="4" t="e">
        <f ca="1">SQRT($B$9)*_xlfn.STDEV.S(AI315:OFFSET(AI315,$B$6-1,0))</f>
        <v>#DIV/0!</v>
      </c>
      <c r="AL315" s="4" t="e">
        <f ca="1">SQRT($B$9)*_xlfn.STDEV.S(AI315:OFFSET(AI315,$B$7-1,0))</f>
        <v>#DIV/0!</v>
      </c>
      <c r="AM315" s="4" t="e">
        <f ca="1">SQRT($B$9)*_xlfn.STDEV.S(AI315:OFFSET(AI315,$B$8-1,0))</f>
        <v>#DIV/0!</v>
      </c>
    </row>
    <row r="316" spans="5:39" x14ac:dyDescent="0.2">
      <c r="E316" s="42">
        <v>45188</v>
      </c>
      <c r="F316" s="43"/>
      <c r="G316" s="43"/>
      <c r="H316" s="43"/>
      <c r="I316" s="43"/>
      <c r="K316" s="3" t="e">
        <f t="shared" si="29"/>
        <v>#DIV/0!</v>
      </c>
      <c r="L316" s="3" t="e">
        <f ca="1">SQRT(AVERAGE(K316:OFFSET(K316,$B$5-1,0))*$B$9/(4*LN(2)))</f>
        <v>#DIV/0!</v>
      </c>
      <c r="M316" s="3" t="e">
        <f ca="1">SQRT(AVERAGE(K316:OFFSET(K316,$B$6-1,0))*$B$9/(4*LN(2)))</f>
        <v>#DIV/0!</v>
      </c>
      <c r="N316" s="3" t="e">
        <f ca="1">SQRT(AVERAGE(K316:OFFSET(K316,$B$7-1,0))*$B$9/(4*LN(2)))</f>
        <v>#DIV/0!</v>
      </c>
      <c r="O316" s="3" t="e">
        <f ca="1">SQRT(AVERAGE(K316:OFFSET(K316,$B$8-1,0))*$B$9/(4*LN(2)))</f>
        <v>#DIV/0!</v>
      </c>
      <c r="Q316" s="5" t="e">
        <f t="shared" si="28"/>
        <v>#DIV/0!</v>
      </c>
      <c r="R316" s="5" t="e">
        <f ca="1">SQRT($B$9*AVERAGE((Q316:OFFSET(Q316,$B$5-1,0))))</f>
        <v>#DIV/0!</v>
      </c>
      <c r="S316" s="5" t="e">
        <f ca="1">SQRT($B$9*AVERAGE((Q316:OFFSET(Q316,$B$6-1,0))))</f>
        <v>#DIV/0!</v>
      </c>
      <c r="T316" s="5" t="e">
        <f ca="1">SQRT($B$9*AVERAGE((Q316:OFFSET(Q316,$B$7-1,0))))</f>
        <v>#DIV/0!</v>
      </c>
      <c r="U316" s="5" t="e">
        <f ca="1">SQRT($B$9*AVERAGE((Q316:OFFSET(Q316,$B$8-1,0))))</f>
        <v>#DIV/0!</v>
      </c>
      <c r="W316" s="6" t="e">
        <f t="shared" si="32"/>
        <v>#DIV/0!</v>
      </c>
      <c r="X316" s="6" t="e">
        <f ca="1">SQRT($B$9*AVERAGE(W316:OFFSET(W316,$B$5-1,0)))</f>
        <v>#DIV/0!</v>
      </c>
      <c r="Y316" s="6" t="e">
        <f ca="1">SQRT($B$9*AVERAGE(W316:OFFSET(W316,$B$6-1,0)))</f>
        <v>#DIV/0!</v>
      </c>
      <c r="Z316" s="6" t="e">
        <f ca="1">SQRT($B$9*AVERAGE(W316:OFFSET(W316,$B$7-1,0)))</f>
        <v>#DIV/0!</v>
      </c>
      <c r="AA316" s="6" t="e">
        <f ca="1">SQRT($B$9*AVERAGE(W316:OFFSET(W316,$B$8-1,0)))</f>
        <v>#DIV/0!</v>
      </c>
      <c r="AC316" s="34" t="e">
        <f t="shared" si="30"/>
        <v>#DIV/0!</v>
      </c>
      <c r="AD316" s="34" t="e">
        <f ca="1">SQRT($B$9*SUM(AC316:OFFSET(AC316,$B$5-1,0))/($B$5-1))</f>
        <v>#DIV/0!</v>
      </c>
      <c r="AE316" s="34" t="e">
        <f ca="1">SQRT($B$9*SUM(AC316:OFFSET(AC316,$B$6-1,0))/($B$6-1))</f>
        <v>#DIV/0!</v>
      </c>
      <c r="AF316" s="34" t="e">
        <f ca="1">SQRT($B$9*SUM(AC316:OFFSET(AC316,$B$7-1,0))/($B$7-1))</f>
        <v>#DIV/0!</v>
      </c>
      <c r="AG316" s="34" t="e">
        <f ca="1">SQRT($B$9*SUM(AC316:OFFSET(AC316,$B$8-1,0))/($B$8-1))</f>
        <v>#DIV/0!</v>
      </c>
      <c r="AI316" s="1" t="e">
        <f t="shared" si="31"/>
        <v>#DIV/0!</v>
      </c>
      <c r="AJ316" s="4" t="e">
        <f ca="1">SQRT($B$9)*_xlfn.STDEV.S(AI316:OFFSET(AI316,$B$5-1,0))</f>
        <v>#DIV/0!</v>
      </c>
      <c r="AK316" s="4" t="e">
        <f ca="1">SQRT($B$9)*_xlfn.STDEV.S(AI316:OFFSET(AI316,$B$6-1,0))</f>
        <v>#DIV/0!</v>
      </c>
      <c r="AL316" s="4" t="e">
        <f ca="1">SQRT($B$9)*_xlfn.STDEV.S(AI316:OFFSET(AI316,$B$7-1,0))</f>
        <v>#DIV/0!</v>
      </c>
      <c r="AM316" s="4" t="e">
        <f ca="1">SQRT($B$9)*_xlfn.STDEV.S(AI316:OFFSET(AI316,$B$8-1,0))</f>
        <v>#DIV/0!</v>
      </c>
    </row>
    <row r="317" spans="5:39" x14ac:dyDescent="0.2">
      <c r="E317" s="42">
        <v>45187</v>
      </c>
      <c r="F317" s="43"/>
      <c r="G317" s="43"/>
      <c r="H317" s="43"/>
      <c r="I317" s="43"/>
      <c r="K317" s="3" t="e">
        <f t="shared" si="29"/>
        <v>#DIV/0!</v>
      </c>
      <c r="L317" s="3" t="e">
        <f ca="1">SQRT(AVERAGE(K317:OFFSET(K317,$B$5-1,0))*$B$9/(4*LN(2)))</f>
        <v>#DIV/0!</v>
      </c>
      <c r="M317" s="3" t="e">
        <f ca="1">SQRT(AVERAGE(K317:OFFSET(K317,$B$6-1,0))*$B$9/(4*LN(2)))</f>
        <v>#DIV/0!</v>
      </c>
      <c r="N317" s="3" t="e">
        <f ca="1">SQRT(AVERAGE(K317:OFFSET(K317,$B$7-1,0))*$B$9/(4*LN(2)))</f>
        <v>#DIV/0!</v>
      </c>
      <c r="O317" s="3" t="e">
        <f ca="1">SQRT(AVERAGE(K317:OFFSET(K317,$B$8-1,0))*$B$9/(4*LN(2)))</f>
        <v>#DIV/0!</v>
      </c>
      <c r="Q317" s="5" t="e">
        <f t="shared" si="28"/>
        <v>#DIV/0!</v>
      </c>
      <c r="R317" s="5" t="e">
        <f ca="1">SQRT($B$9*AVERAGE((Q317:OFFSET(Q317,$B$5-1,0))))</f>
        <v>#DIV/0!</v>
      </c>
      <c r="S317" s="5" t="e">
        <f ca="1">SQRT($B$9*AVERAGE((Q317:OFFSET(Q317,$B$6-1,0))))</f>
        <v>#DIV/0!</v>
      </c>
      <c r="T317" s="5" t="e">
        <f ca="1">SQRT($B$9*AVERAGE((Q317:OFFSET(Q317,$B$7-1,0))))</f>
        <v>#DIV/0!</v>
      </c>
      <c r="U317" s="5" t="e">
        <f ca="1">SQRT($B$9*AVERAGE((Q317:OFFSET(Q317,$B$8-1,0))))</f>
        <v>#DIV/0!</v>
      </c>
      <c r="W317" s="6" t="e">
        <f t="shared" si="32"/>
        <v>#DIV/0!</v>
      </c>
      <c r="X317" s="6" t="e">
        <f ca="1">SQRT($B$9*AVERAGE(W317:OFFSET(W317,$B$5-1,0)))</f>
        <v>#DIV/0!</v>
      </c>
      <c r="Y317" s="6" t="e">
        <f ca="1">SQRT($B$9*AVERAGE(W317:OFFSET(W317,$B$6-1,0)))</f>
        <v>#DIV/0!</v>
      </c>
      <c r="Z317" s="6" t="e">
        <f ca="1">SQRT($B$9*AVERAGE(W317:OFFSET(W317,$B$7-1,0)))</f>
        <v>#DIV/0!</v>
      </c>
      <c r="AA317" s="6" t="e">
        <f ca="1">SQRT($B$9*AVERAGE(W317:OFFSET(W317,$B$8-1,0)))</f>
        <v>#DIV/0!</v>
      </c>
      <c r="AC317" s="34" t="e">
        <f t="shared" si="30"/>
        <v>#DIV/0!</v>
      </c>
      <c r="AD317" s="34" t="e">
        <f ca="1">SQRT($B$9*SUM(AC317:OFFSET(AC317,$B$5-1,0))/($B$5-1))</f>
        <v>#DIV/0!</v>
      </c>
      <c r="AE317" s="34" t="e">
        <f ca="1">SQRT($B$9*SUM(AC317:OFFSET(AC317,$B$6-1,0))/($B$6-1))</f>
        <v>#DIV/0!</v>
      </c>
      <c r="AF317" s="34" t="e">
        <f ca="1">SQRT($B$9*SUM(AC317:OFFSET(AC317,$B$7-1,0))/($B$7-1))</f>
        <v>#DIV/0!</v>
      </c>
      <c r="AG317" s="34" t="e">
        <f ca="1">SQRT($B$9*SUM(AC317:OFFSET(AC317,$B$8-1,0))/($B$8-1))</f>
        <v>#DIV/0!</v>
      </c>
      <c r="AI317" s="1" t="e">
        <f t="shared" si="31"/>
        <v>#DIV/0!</v>
      </c>
      <c r="AJ317" s="4" t="e">
        <f ca="1">SQRT($B$9)*_xlfn.STDEV.S(AI317:OFFSET(AI317,$B$5-1,0))</f>
        <v>#DIV/0!</v>
      </c>
      <c r="AK317" s="4" t="e">
        <f ca="1">SQRT($B$9)*_xlfn.STDEV.S(AI317:OFFSET(AI317,$B$6-1,0))</f>
        <v>#DIV/0!</v>
      </c>
      <c r="AL317" s="4" t="e">
        <f ca="1">SQRT($B$9)*_xlfn.STDEV.S(AI317:OFFSET(AI317,$B$7-1,0))</f>
        <v>#DIV/0!</v>
      </c>
      <c r="AM317" s="4" t="e">
        <f ca="1">SQRT($B$9)*_xlfn.STDEV.S(AI317:OFFSET(AI317,$B$8-1,0))</f>
        <v>#DIV/0!</v>
      </c>
    </row>
    <row r="318" spans="5:39" x14ac:dyDescent="0.2">
      <c r="E318" s="42">
        <v>45184</v>
      </c>
      <c r="F318" s="43"/>
      <c r="G318" s="43"/>
      <c r="H318" s="43"/>
      <c r="I318" s="43"/>
      <c r="K318" s="3" t="e">
        <f t="shared" si="29"/>
        <v>#DIV/0!</v>
      </c>
      <c r="L318" s="3" t="e">
        <f ca="1">SQRT(AVERAGE(K318:OFFSET(K318,$B$5-1,0))*$B$9/(4*LN(2)))</f>
        <v>#DIV/0!</v>
      </c>
      <c r="M318" s="3" t="e">
        <f ca="1">SQRT(AVERAGE(K318:OFFSET(K318,$B$6-1,0))*$B$9/(4*LN(2)))</f>
        <v>#DIV/0!</v>
      </c>
      <c r="N318" s="3" t="e">
        <f ca="1">SQRT(AVERAGE(K318:OFFSET(K318,$B$7-1,0))*$B$9/(4*LN(2)))</f>
        <v>#DIV/0!</v>
      </c>
      <c r="O318" s="3" t="e">
        <f ca="1">SQRT(AVERAGE(K318:OFFSET(K318,$B$8-1,0))*$B$9/(4*LN(2)))</f>
        <v>#DIV/0!</v>
      </c>
      <c r="Q318" s="5" t="e">
        <f t="shared" si="28"/>
        <v>#DIV/0!</v>
      </c>
      <c r="R318" s="5" t="e">
        <f ca="1">SQRT($B$9*AVERAGE((Q318:OFFSET(Q318,$B$5-1,0))))</f>
        <v>#DIV/0!</v>
      </c>
      <c r="S318" s="5" t="e">
        <f ca="1">SQRT($B$9*AVERAGE((Q318:OFFSET(Q318,$B$6-1,0))))</f>
        <v>#DIV/0!</v>
      </c>
      <c r="T318" s="5" t="e">
        <f ca="1">SQRT($B$9*AVERAGE((Q318:OFFSET(Q318,$B$7-1,0))))</f>
        <v>#DIV/0!</v>
      </c>
      <c r="U318" s="5" t="e">
        <f ca="1">SQRT($B$9*AVERAGE((Q318:OFFSET(Q318,$B$8-1,0))))</f>
        <v>#DIV/0!</v>
      </c>
      <c r="W318" s="6" t="e">
        <f t="shared" si="32"/>
        <v>#DIV/0!</v>
      </c>
      <c r="X318" s="6" t="e">
        <f ca="1">SQRT($B$9*AVERAGE(W318:OFFSET(W318,$B$5-1,0)))</f>
        <v>#DIV/0!</v>
      </c>
      <c r="Y318" s="6" t="e">
        <f ca="1">SQRT($B$9*AVERAGE(W318:OFFSET(W318,$B$6-1,0)))</f>
        <v>#DIV/0!</v>
      </c>
      <c r="Z318" s="6" t="e">
        <f ca="1">SQRT($B$9*AVERAGE(W318:OFFSET(W318,$B$7-1,0)))</f>
        <v>#DIV/0!</v>
      </c>
      <c r="AA318" s="6" t="e">
        <f ca="1">SQRT($B$9*AVERAGE(W318:OFFSET(W318,$B$8-1,0)))</f>
        <v>#DIV/0!</v>
      </c>
      <c r="AC318" s="34" t="e">
        <f t="shared" si="30"/>
        <v>#DIV/0!</v>
      </c>
      <c r="AD318" s="34" t="e">
        <f ca="1">SQRT($B$9*SUM(AC318:OFFSET(AC318,$B$5-1,0))/($B$5-1))</f>
        <v>#DIV/0!</v>
      </c>
      <c r="AE318" s="34" t="e">
        <f ca="1">SQRT($B$9*SUM(AC318:OFFSET(AC318,$B$6-1,0))/($B$6-1))</f>
        <v>#DIV/0!</v>
      </c>
      <c r="AF318" s="34" t="e">
        <f ca="1">SQRT($B$9*SUM(AC318:OFFSET(AC318,$B$7-1,0))/($B$7-1))</f>
        <v>#DIV/0!</v>
      </c>
      <c r="AG318" s="34" t="e">
        <f ca="1">SQRT($B$9*SUM(AC318:OFFSET(AC318,$B$8-1,0))/($B$8-1))</f>
        <v>#DIV/0!</v>
      </c>
      <c r="AI318" s="1" t="e">
        <f t="shared" si="31"/>
        <v>#DIV/0!</v>
      </c>
      <c r="AJ318" s="4" t="e">
        <f ca="1">SQRT($B$9)*_xlfn.STDEV.S(AI318:OFFSET(AI318,$B$5-1,0))</f>
        <v>#DIV/0!</v>
      </c>
      <c r="AK318" s="4" t="e">
        <f ca="1">SQRT($B$9)*_xlfn.STDEV.S(AI318:OFFSET(AI318,$B$6-1,0))</f>
        <v>#DIV/0!</v>
      </c>
      <c r="AL318" s="4" t="e">
        <f ca="1">SQRT($B$9)*_xlfn.STDEV.S(AI318:OFFSET(AI318,$B$7-1,0))</f>
        <v>#DIV/0!</v>
      </c>
      <c r="AM318" s="4" t="e">
        <f ca="1">SQRT($B$9)*_xlfn.STDEV.S(AI318:OFFSET(AI318,$B$8-1,0))</f>
        <v>#DIV/0!</v>
      </c>
    </row>
    <row r="319" spans="5:39" x14ac:dyDescent="0.2">
      <c r="E319" s="42">
        <v>45183</v>
      </c>
      <c r="F319" s="43"/>
      <c r="G319" s="43"/>
      <c r="H319" s="43"/>
      <c r="I319" s="43"/>
      <c r="K319" s="3" t="e">
        <f t="shared" si="29"/>
        <v>#DIV/0!</v>
      </c>
      <c r="L319" s="3" t="e">
        <f ca="1">SQRT(AVERAGE(K319:OFFSET(K319,$B$5-1,0))*$B$9/(4*LN(2)))</f>
        <v>#DIV/0!</v>
      </c>
      <c r="M319" s="3" t="e">
        <f ca="1">SQRT(AVERAGE(K319:OFFSET(K319,$B$6-1,0))*$B$9/(4*LN(2)))</f>
        <v>#DIV/0!</v>
      </c>
      <c r="N319" s="3" t="e">
        <f ca="1">SQRT(AVERAGE(K319:OFFSET(K319,$B$7-1,0))*$B$9/(4*LN(2)))</f>
        <v>#DIV/0!</v>
      </c>
      <c r="O319" s="3" t="e">
        <f ca="1">SQRT(AVERAGE(K319:OFFSET(K319,$B$8-1,0))*$B$9/(4*LN(2)))</f>
        <v>#DIV/0!</v>
      </c>
      <c r="Q319" s="5" t="e">
        <f t="shared" si="28"/>
        <v>#DIV/0!</v>
      </c>
      <c r="R319" s="5" t="e">
        <f ca="1">SQRT($B$9*AVERAGE((Q319:OFFSET(Q319,$B$5-1,0))))</f>
        <v>#DIV/0!</v>
      </c>
      <c r="S319" s="5" t="e">
        <f ca="1">SQRT($B$9*AVERAGE((Q319:OFFSET(Q319,$B$6-1,0))))</f>
        <v>#DIV/0!</v>
      </c>
      <c r="T319" s="5" t="e">
        <f ca="1">SQRT($B$9*AVERAGE((Q319:OFFSET(Q319,$B$7-1,0))))</f>
        <v>#DIV/0!</v>
      </c>
      <c r="U319" s="5" t="e">
        <f ca="1">SQRT($B$9*AVERAGE((Q319:OFFSET(Q319,$B$8-1,0))))</f>
        <v>#DIV/0!</v>
      </c>
      <c r="W319" s="6" t="e">
        <f t="shared" si="32"/>
        <v>#DIV/0!</v>
      </c>
      <c r="X319" s="6" t="e">
        <f ca="1">SQRT($B$9*AVERAGE(W319:OFFSET(W319,$B$5-1,0)))</f>
        <v>#DIV/0!</v>
      </c>
      <c r="Y319" s="6" t="e">
        <f ca="1">SQRT($B$9*AVERAGE(W319:OFFSET(W319,$B$6-1,0)))</f>
        <v>#DIV/0!</v>
      </c>
      <c r="Z319" s="6" t="e">
        <f ca="1">SQRT($B$9*AVERAGE(W319:OFFSET(W319,$B$7-1,0)))</f>
        <v>#DIV/0!</v>
      </c>
      <c r="AA319" s="6" t="e">
        <f ca="1">SQRT($B$9*AVERAGE(W319:OFFSET(W319,$B$8-1,0)))</f>
        <v>#DIV/0!</v>
      </c>
      <c r="AC319" s="34" t="e">
        <f t="shared" si="30"/>
        <v>#DIV/0!</v>
      </c>
      <c r="AD319" s="34" t="e">
        <f ca="1">SQRT($B$9*SUM(AC319:OFFSET(AC319,$B$5-1,0))/($B$5-1))</f>
        <v>#DIV/0!</v>
      </c>
      <c r="AE319" s="34" t="e">
        <f ca="1">SQRT($B$9*SUM(AC319:OFFSET(AC319,$B$6-1,0))/($B$6-1))</f>
        <v>#DIV/0!</v>
      </c>
      <c r="AF319" s="34" t="e">
        <f ca="1">SQRT($B$9*SUM(AC319:OFFSET(AC319,$B$7-1,0))/($B$7-1))</f>
        <v>#DIV/0!</v>
      </c>
      <c r="AG319" s="34" t="e">
        <f ca="1">SQRT($B$9*SUM(AC319:OFFSET(AC319,$B$8-1,0))/($B$8-1))</f>
        <v>#DIV/0!</v>
      </c>
      <c r="AI319" s="1" t="e">
        <f t="shared" si="31"/>
        <v>#DIV/0!</v>
      </c>
      <c r="AJ319" s="4" t="e">
        <f ca="1">SQRT($B$9)*_xlfn.STDEV.S(AI319:OFFSET(AI319,$B$5-1,0))</f>
        <v>#DIV/0!</v>
      </c>
      <c r="AK319" s="4" t="e">
        <f ca="1">SQRT($B$9)*_xlfn.STDEV.S(AI319:OFFSET(AI319,$B$6-1,0))</f>
        <v>#DIV/0!</v>
      </c>
      <c r="AL319" s="4" t="e">
        <f ca="1">SQRT($B$9)*_xlfn.STDEV.S(AI319:OFFSET(AI319,$B$7-1,0))</f>
        <v>#DIV/0!</v>
      </c>
      <c r="AM319" s="4" t="e">
        <f ca="1">SQRT($B$9)*_xlfn.STDEV.S(AI319:OFFSET(AI319,$B$8-1,0))</f>
        <v>#DIV/0!</v>
      </c>
    </row>
    <row r="320" spans="5:39" x14ac:dyDescent="0.2">
      <c r="E320" s="42">
        <v>45182</v>
      </c>
      <c r="F320" s="43"/>
      <c r="G320" s="43"/>
      <c r="H320" s="43"/>
      <c r="I320" s="43"/>
      <c r="K320" s="3" t="e">
        <f t="shared" si="29"/>
        <v>#DIV/0!</v>
      </c>
      <c r="L320" s="3" t="e">
        <f ca="1">SQRT(AVERAGE(K320:OFFSET(K320,$B$5-1,0))*$B$9/(4*LN(2)))</f>
        <v>#DIV/0!</v>
      </c>
      <c r="M320" s="3" t="e">
        <f ca="1">SQRT(AVERAGE(K320:OFFSET(K320,$B$6-1,0))*$B$9/(4*LN(2)))</f>
        <v>#DIV/0!</v>
      </c>
      <c r="N320" s="3" t="e">
        <f ca="1">SQRT(AVERAGE(K320:OFFSET(K320,$B$7-1,0))*$B$9/(4*LN(2)))</f>
        <v>#DIV/0!</v>
      </c>
      <c r="O320" s="3" t="e">
        <f ca="1">SQRT(AVERAGE(K320:OFFSET(K320,$B$8-1,0))*$B$9/(4*LN(2)))</f>
        <v>#DIV/0!</v>
      </c>
      <c r="Q320" s="5" t="e">
        <f t="shared" si="28"/>
        <v>#DIV/0!</v>
      </c>
      <c r="R320" s="5" t="e">
        <f ca="1">SQRT($B$9*AVERAGE((Q320:OFFSET(Q320,$B$5-1,0))))</f>
        <v>#DIV/0!</v>
      </c>
      <c r="S320" s="5" t="e">
        <f ca="1">SQRT($B$9*AVERAGE((Q320:OFFSET(Q320,$B$6-1,0))))</f>
        <v>#DIV/0!</v>
      </c>
      <c r="T320" s="5" t="e">
        <f ca="1">SQRT($B$9*AVERAGE((Q320:OFFSET(Q320,$B$7-1,0))))</f>
        <v>#DIV/0!</v>
      </c>
      <c r="U320" s="5" t="e">
        <f ca="1">SQRT($B$9*AVERAGE((Q320:OFFSET(Q320,$B$8-1,0))))</f>
        <v>#DIV/0!</v>
      </c>
      <c r="W320" s="6" t="e">
        <f t="shared" si="32"/>
        <v>#DIV/0!</v>
      </c>
      <c r="X320" s="6" t="e">
        <f ca="1">SQRT($B$9*AVERAGE(W320:OFFSET(W320,$B$5-1,0)))</f>
        <v>#DIV/0!</v>
      </c>
      <c r="Y320" s="6" t="e">
        <f ca="1">SQRT($B$9*AVERAGE(W320:OFFSET(W320,$B$6-1,0)))</f>
        <v>#DIV/0!</v>
      </c>
      <c r="Z320" s="6" t="e">
        <f ca="1">SQRT($B$9*AVERAGE(W320:OFFSET(W320,$B$7-1,0)))</f>
        <v>#DIV/0!</v>
      </c>
      <c r="AA320" s="6" t="e">
        <f ca="1">SQRT($B$9*AVERAGE(W320:OFFSET(W320,$B$8-1,0)))</f>
        <v>#DIV/0!</v>
      </c>
      <c r="AC320" s="34" t="e">
        <f t="shared" si="30"/>
        <v>#DIV/0!</v>
      </c>
      <c r="AD320" s="34" t="e">
        <f ca="1">SQRT($B$9*SUM(AC320:OFFSET(AC320,$B$5-1,0))/($B$5-1))</f>
        <v>#DIV/0!</v>
      </c>
      <c r="AE320" s="34" t="e">
        <f ca="1">SQRT($B$9*SUM(AC320:OFFSET(AC320,$B$6-1,0))/($B$6-1))</f>
        <v>#DIV/0!</v>
      </c>
      <c r="AF320" s="34" t="e">
        <f ca="1">SQRT($B$9*SUM(AC320:OFFSET(AC320,$B$7-1,0))/($B$7-1))</f>
        <v>#DIV/0!</v>
      </c>
      <c r="AG320" s="34" t="e">
        <f ca="1">SQRT($B$9*SUM(AC320:OFFSET(AC320,$B$8-1,0))/($B$8-1))</f>
        <v>#DIV/0!</v>
      </c>
      <c r="AI320" s="1" t="e">
        <f t="shared" si="31"/>
        <v>#DIV/0!</v>
      </c>
      <c r="AJ320" s="4" t="e">
        <f ca="1">SQRT($B$9)*_xlfn.STDEV.S(AI320:OFFSET(AI320,$B$5-1,0))</f>
        <v>#DIV/0!</v>
      </c>
      <c r="AK320" s="4" t="e">
        <f ca="1">SQRT($B$9)*_xlfn.STDEV.S(AI320:OFFSET(AI320,$B$6-1,0))</f>
        <v>#DIV/0!</v>
      </c>
      <c r="AL320" s="4" t="e">
        <f ca="1">SQRT($B$9)*_xlfn.STDEV.S(AI320:OFFSET(AI320,$B$7-1,0))</f>
        <v>#DIV/0!</v>
      </c>
      <c r="AM320" s="4" t="e">
        <f ca="1">SQRT($B$9)*_xlfn.STDEV.S(AI320:OFFSET(AI320,$B$8-1,0))</f>
        <v>#DIV/0!</v>
      </c>
    </row>
    <row r="321" spans="5:39" x14ac:dyDescent="0.2">
      <c r="E321" s="42">
        <v>45181</v>
      </c>
      <c r="F321" s="43"/>
      <c r="G321" s="43"/>
      <c r="H321" s="43"/>
      <c r="I321" s="43"/>
      <c r="K321" s="3" t="e">
        <f t="shared" si="29"/>
        <v>#DIV/0!</v>
      </c>
      <c r="L321" s="3" t="e">
        <f ca="1">SQRT(AVERAGE(K321:OFFSET(K321,$B$5-1,0))*$B$9/(4*LN(2)))</f>
        <v>#DIV/0!</v>
      </c>
      <c r="M321" s="3" t="e">
        <f ca="1">SQRT(AVERAGE(K321:OFFSET(K321,$B$6-1,0))*$B$9/(4*LN(2)))</f>
        <v>#DIV/0!</v>
      </c>
      <c r="N321" s="3" t="e">
        <f ca="1">SQRT(AVERAGE(K321:OFFSET(K321,$B$7-1,0))*$B$9/(4*LN(2)))</f>
        <v>#DIV/0!</v>
      </c>
      <c r="O321" s="3" t="e">
        <f ca="1">SQRT(AVERAGE(K321:OFFSET(K321,$B$8-1,0))*$B$9/(4*LN(2)))</f>
        <v>#DIV/0!</v>
      </c>
      <c r="Q321" s="5" t="e">
        <f t="shared" si="28"/>
        <v>#DIV/0!</v>
      </c>
      <c r="R321" s="5" t="e">
        <f ca="1">SQRT($B$9*AVERAGE((Q321:OFFSET(Q321,$B$5-1,0))))</f>
        <v>#DIV/0!</v>
      </c>
      <c r="S321" s="5" t="e">
        <f ca="1">SQRT($B$9*AVERAGE((Q321:OFFSET(Q321,$B$6-1,0))))</f>
        <v>#DIV/0!</v>
      </c>
      <c r="T321" s="5" t="e">
        <f ca="1">SQRT($B$9*AVERAGE((Q321:OFFSET(Q321,$B$7-1,0))))</f>
        <v>#DIV/0!</v>
      </c>
      <c r="U321" s="5" t="e">
        <f ca="1">SQRT($B$9*AVERAGE((Q321:OFFSET(Q321,$B$8-1,0))))</f>
        <v>#DIV/0!</v>
      </c>
      <c r="W321" s="6" t="e">
        <f t="shared" si="32"/>
        <v>#DIV/0!</v>
      </c>
      <c r="X321" s="6" t="e">
        <f ca="1">SQRT($B$9*AVERAGE(W321:OFFSET(W321,$B$5-1,0)))</f>
        <v>#DIV/0!</v>
      </c>
      <c r="Y321" s="6" t="e">
        <f ca="1">SQRT($B$9*AVERAGE(W321:OFFSET(W321,$B$6-1,0)))</f>
        <v>#DIV/0!</v>
      </c>
      <c r="Z321" s="6" t="e">
        <f ca="1">SQRT($B$9*AVERAGE(W321:OFFSET(W321,$B$7-1,0)))</f>
        <v>#DIV/0!</v>
      </c>
      <c r="AA321" s="6" t="e">
        <f ca="1">SQRT($B$9*AVERAGE(W321:OFFSET(W321,$B$8-1,0)))</f>
        <v>#DIV/0!</v>
      </c>
      <c r="AC321" s="34" t="e">
        <f t="shared" si="30"/>
        <v>#DIV/0!</v>
      </c>
      <c r="AD321" s="34" t="e">
        <f ca="1">SQRT($B$9*SUM(AC321:OFFSET(AC321,$B$5-1,0))/($B$5-1))</f>
        <v>#DIV/0!</v>
      </c>
      <c r="AE321" s="34" t="e">
        <f ca="1">SQRT($B$9*SUM(AC321:OFFSET(AC321,$B$6-1,0))/($B$6-1))</f>
        <v>#DIV/0!</v>
      </c>
      <c r="AF321" s="34" t="e">
        <f ca="1">SQRT($B$9*SUM(AC321:OFFSET(AC321,$B$7-1,0))/($B$7-1))</f>
        <v>#DIV/0!</v>
      </c>
      <c r="AG321" s="34" t="e">
        <f ca="1">SQRT($B$9*SUM(AC321:OFFSET(AC321,$B$8-1,0))/($B$8-1))</f>
        <v>#DIV/0!</v>
      </c>
      <c r="AI321" s="1" t="e">
        <f t="shared" si="31"/>
        <v>#DIV/0!</v>
      </c>
      <c r="AJ321" s="4" t="e">
        <f ca="1">SQRT($B$9)*_xlfn.STDEV.S(AI321:OFFSET(AI321,$B$5-1,0))</f>
        <v>#DIV/0!</v>
      </c>
      <c r="AK321" s="4" t="e">
        <f ca="1">SQRT($B$9)*_xlfn.STDEV.S(AI321:OFFSET(AI321,$B$6-1,0))</f>
        <v>#DIV/0!</v>
      </c>
      <c r="AL321" s="4" t="e">
        <f ca="1">SQRT($B$9)*_xlfn.STDEV.S(AI321:OFFSET(AI321,$B$7-1,0))</f>
        <v>#DIV/0!</v>
      </c>
      <c r="AM321" s="4" t="e">
        <f ca="1">SQRT($B$9)*_xlfn.STDEV.S(AI321:OFFSET(AI321,$B$8-1,0))</f>
        <v>#DIV/0!</v>
      </c>
    </row>
    <row r="322" spans="5:39" x14ac:dyDescent="0.2">
      <c r="E322" s="42">
        <v>45180</v>
      </c>
      <c r="F322" s="43"/>
      <c r="G322" s="43"/>
      <c r="H322" s="43"/>
      <c r="I322" s="43"/>
      <c r="K322" s="3" t="e">
        <f t="shared" si="29"/>
        <v>#DIV/0!</v>
      </c>
      <c r="L322" s="3" t="e">
        <f ca="1">SQRT(AVERAGE(K322:OFFSET(K322,$B$5-1,0))*$B$9/(4*LN(2)))</f>
        <v>#DIV/0!</v>
      </c>
      <c r="M322" s="3" t="e">
        <f ca="1">SQRT(AVERAGE(K322:OFFSET(K322,$B$6-1,0))*$B$9/(4*LN(2)))</f>
        <v>#DIV/0!</v>
      </c>
      <c r="N322" s="3" t="e">
        <f ca="1">SQRT(AVERAGE(K322:OFFSET(K322,$B$7-1,0))*$B$9/(4*LN(2)))</f>
        <v>#DIV/0!</v>
      </c>
      <c r="O322" s="3" t="e">
        <f ca="1">SQRT(AVERAGE(K322:OFFSET(K322,$B$8-1,0))*$B$9/(4*LN(2)))</f>
        <v>#DIV/0!</v>
      </c>
      <c r="Q322" s="5" t="e">
        <f t="shared" si="28"/>
        <v>#DIV/0!</v>
      </c>
      <c r="R322" s="5" t="e">
        <f ca="1">SQRT($B$9*AVERAGE((Q322:OFFSET(Q322,$B$5-1,0))))</f>
        <v>#DIV/0!</v>
      </c>
      <c r="S322" s="5" t="e">
        <f ca="1">SQRT($B$9*AVERAGE((Q322:OFFSET(Q322,$B$6-1,0))))</f>
        <v>#DIV/0!</v>
      </c>
      <c r="T322" s="5" t="e">
        <f ca="1">SQRT($B$9*AVERAGE((Q322:OFFSET(Q322,$B$7-1,0))))</f>
        <v>#DIV/0!</v>
      </c>
      <c r="U322" s="5" t="e">
        <f ca="1">SQRT($B$9*AVERAGE((Q322:OFFSET(Q322,$B$8-1,0))))</f>
        <v>#DIV/0!</v>
      </c>
      <c r="W322" s="6" t="e">
        <f t="shared" si="32"/>
        <v>#DIV/0!</v>
      </c>
      <c r="X322" s="6" t="e">
        <f ca="1">SQRT($B$9*AVERAGE(W322:OFFSET(W322,$B$5-1,0)))</f>
        <v>#DIV/0!</v>
      </c>
      <c r="Y322" s="6" t="e">
        <f ca="1">SQRT($B$9*AVERAGE(W322:OFFSET(W322,$B$6-1,0)))</f>
        <v>#DIV/0!</v>
      </c>
      <c r="Z322" s="6" t="e">
        <f ca="1">SQRT($B$9*AVERAGE(W322:OFFSET(W322,$B$7-1,0)))</f>
        <v>#DIV/0!</v>
      </c>
      <c r="AA322" s="6" t="e">
        <f ca="1">SQRT($B$9*AVERAGE(W322:OFFSET(W322,$B$8-1,0)))</f>
        <v>#DIV/0!</v>
      </c>
      <c r="AC322" s="34" t="e">
        <f t="shared" si="30"/>
        <v>#DIV/0!</v>
      </c>
      <c r="AD322" s="34" t="e">
        <f ca="1">SQRT($B$9*SUM(AC322:OFFSET(AC322,$B$5-1,0))/($B$5-1))</f>
        <v>#DIV/0!</v>
      </c>
      <c r="AE322" s="34" t="e">
        <f ca="1">SQRT($B$9*SUM(AC322:OFFSET(AC322,$B$6-1,0))/($B$6-1))</f>
        <v>#DIV/0!</v>
      </c>
      <c r="AF322" s="34" t="e">
        <f ca="1">SQRT($B$9*SUM(AC322:OFFSET(AC322,$B$7-1,0))/($B$7-1))</f>
        <v>#DIV/0!</v>
      </c>
      <c r="AG322" s="34" t="e">
        <f ca="1">SQRT($B$9*SUM(AC322:OFFSET(AC322,$B$8-1,0))/($B$8-1))</f>
        <v>#DIV/0!</v>
      </c>
      <c r="AI322" s="1" t="e">
        <f t="shared" si="31"/>
        <v>#DIV/0!</v>
      </c>
      <c r="AJ322" s="4" t="e">
        <f ca="1">SQRT($B$9)*_xlfn.STDEV.S(AI322:OFFSET(AI322,$B$5-1,0))</f>
        <v>#DIV/0!</v>
      </c>
      <c r="AK322" s="4" t="e">
        <f ca="1">SQRT($B$9)*_xlfn.STDEV.S(AI322:OFFSET(AI322,$B$6-1,0))</f>
        <v>#DIV/0!</v>
      </c>
      <c r="AL322" s="4" t="e">
        <f ca="1">SQRT($B$9)*_xlfn.STDEV.S(AI322:OFFSET(AI322,$B$7-1,0))</f>
        <v>#DIV/0!</v>
      </c>
      <c r="AM322" s="4" t="e">
        <f ca="1">SQRT($B$9)*_xlfn.STDEV.S(AI322:OFFSET(AI322,$B$8-1,0))</f>
        <v>#DIV/0!</v>
      </c>
    </row>
    <row r="323" spans="5:39" x14ac:dyDescent="0.2">
      <c r="E323" s="42">
        <v>45177</v>
      </c>
      <c r="F323" s="43"/>
      <c r="G323" s="43"/>
      <c r="H323" s="43"/>
      <c r="I323" s="43"/>
      <c r="K323" s="3" t="e">
        <f t="shared" si="29"/>
        <v>#DIV/0!</v>
      </c>
      <c r="L323" s="3" t="e">
        <f ca="1">SQRT(AVERAGE(K323:OFFSET(K323,$B$5-1,0))*$B$9/(4*LN(2)))</f>
        <v>#DIV/0!</v>
      </c>
      <c r="M323" s="3" t="e">
        <f ca="1">SQRT(AVERAGE(K323:OFFSET(K323,$B$6-1,0))*$B$9/(4*LN(2)))</f>
        <v>#DIV/0!</v>
      </c>
      <c r="N323" s="3" t="e">
        <f ca="1">SQRT(AVERAGE(K323:OFFSET(K323,$B$7-1,0))*$B$9/(4*LN(2)))</f>
        <v>#DIV/0!</v>
      </c>
      <c r="O323" s="3" t="e">
        <f ca="1">SQRT(AVERAGE(K323:OFFSET(K323,$B$8-1,0))*$B$9/(4*LN(2)))</f>
        <v>#DIV/0!</v>
      </c>
      <c r="Q323" s="5" t="e">
        <f t="shared" si="28"/>
        <v>#DIV/0!</v>
      </c>
      <c r="R323" s="5" t="e">
        <f ca="1">SQRT($B$9*AVERAGE((Q323:OFFSET(Q323,$B$5-1,0))))</f>
        <v>#DIV/0!</v>
      </c>
      <c r="S323" s="5" t="e">
        <f ca="1">SQRT($B$9*AVERAGE((Q323:OFFSET(Q323,$B$6-1,0))))</f>
        <v>#DIV/0!</v>
      </c>
      <c r="T323" s="5" t="e">
        <f ca="1">SQRT($B$9*AVERAGE((Q323:OFFSET(Q323,$B$7-1,0))))</f>
        <v>#DIV/0!</v>
      </c>
      <c r="U323" s="5" t="e">
        <f ca="1">SQRT($B$9*AVERAGE((Q323:OFFSET(Q323,$B$8-1,0))))</f>
        <v>#DIV/0!</v>
      </c>
      <c r="W323" s="6" t="e">
        <f t="shared" si="32"/>
        <v>#DIV/0!</v>
      </c>
      <c r="X323" s="6" t="e">
        <f ca="1">SQRT($B$9*AVERAGE(W323:OFFSET(W323,$B$5-1,0)))</f>
        <v>#DIV/0!</v>
      </c>
      <c r="Y323" s="6" t="e">
        <f ca="1">SQRT($B$9*AVERAGE(W323:OFFSET(W323,$B$6-1,0)))</f>
        <v>#DIV/0!</v>
      </c>
      <c r="Z323" s="6" t="e">
        <f ca="1">SQRT($B$9*AVERAGE(W323:OFFSET(W323,$B$7-1,0)))</f>
        <v>#DIV/0!</v>
      </c>
      <c r="AA323" s="6" t="e">
        <f ca="1">SQRT($B$9*AVERAGE(W323:OFFSET(W323,$B$8-1,0)))</f>
        <v>#DIV/0!</v>
      </c>
      <c r="AC323" s="34" t="e">
        <f t="shared" si="30"/>
        <v>#DIV/0!</v>
      </c>
      <c r="AD323" s="34" t="e">
        <f ca="1">SQRT($B$9*SUM(AC323:OFFSET(AC323,$B$5-1,0))/($B$5-1))</f>
        <v>#DIV/0!</v>
      </c>
      <c r="AE323" s="34" t="e">
        <f ca="1">SQRT($B$9*SUM(AC323:OFFSET(AC323,$B$6-1,0))/($B$6-1))</f>
        <v>#DIV/0!</v>
      </c>
      <c r="AF323" s="34" t="e">
        <f ca="1">SQRT($B$9*SUM(AC323:OFFSET(AC323,$B$7-1,0))/($B$7-1))</f>
        <v>#DIV/0!</v>
      </c>
      <c r="AG323" s="34" t="e">
        <f ca="1">SQRT($B$9*SUM(AC323:OFFSET(AC323,$B$8-1,0))/($B$8-1))</f>
        <v>#DIV/0!</v>
      </c>
      <c r="AI323" s="1" t="e">
        <f t="shared" si="31"/>
        <v>#DIV/0!</v>
      </c>
      <c r="AJ323" s="4" t="e">
        <f ca="1">SQRT($B$9)*_xlfn.STDEV.S(AI323:OFFSET(AI323,$B$5-1,0))</f>
        <v>#DIV/0!</v>
      </c>
      <c r="AK323" s="4" t="e">
        <f ca="1">SQRT($B$9)*_xlfn.STDEV.S(AI323:OFFSET(AI323,$B$6-1,0))</f>
        <v>#DIV/0!</v>
      </c>
      <c r="AL323" s="4" t="e">
        <f ca="1">SQRT($B$9)*_xlfn.STDEV.S(AI323:OFFSET(AI323,$B$7-1,0))</f>
        <v>#DIV/0!</v>
      </c>
      <c r="AM323" s="4" t="e">
        <f ca="1">SQRT($B$9)*_xlfn.STDEV.S(AI323:OFFSET(AI323,$B$8-1,0))</f>
        <v>#DIV/0!</v>
      </c>
    </row>
    <row r="324" spans="5:39" x14ac:dyDescent="0.2">
      <c r="E324" s="42">
        <v>45176</v>
      </c>
      <c r="F324" s="43"/>
      <c r="G324" s="43"/>
      <c r="H324" s="43"/>
      <c r="I324" s="43"/>
      <c r="K324" s="3" t="e">
        <f t="shared" si="29"/>
        <v>#DIV/0!</v>
      </c>
      <c r="L324" s="3" t="e">
        <f ca="1">SQRT(AVERAGE(K324:OFFSET(K324,$B$5-1,0))*$B$9/(4*LN(2)))</f>
        <v>#DIV/0!</v>
      </c>
      <c r="M324" s="3" t="e">
        <f ca="1">SQRT(AVERAGE(K324:OFFSET(K324,$B$6-1,0))*$B$9/(4*LN(2)))</f>
        <v>#DIV/0!</v>
      </c>
      <c r="N324" s="3" t="e">
        <f ca="1">SQRT(AVERAGE(K324:OFFSET(K324,$B$7-1,0))*$B$9/(4*LN(2)))</f>
        <v>#DIV/0!</v>
      </c>
      <c r="O324" s="3" t="e">
        <f ca="1">SQRT(AVERAGE(K324:OFFSET(K324,$B$8-1,0))*$B$9/(4*LN(2)))</f>
        <v>#DIV/0!</v>
      </c>
      <c r="Q324" s="5" t="e">
        <f t="shared" si="28"/>
        <v>#DIV/0!</v>
      </c>
      <c r="R324" s="5" t="e">
        <f ca="1">SQRT($B$9*AVERAGE((Q324:OFFSET(Q324,$B$5-1,0))))</f>
        <v>#DIV/0!</v>
      </c>
      <c r="S324" s="5" t="e">
        <f ca="1">SQRT($B$9*AVERAGE((Q324:OFFSET(Q324,$B$6-1,0))))</f>
        <v>#DIV/0!</v>
      </c>
      <c r="T324" s="5" t="e">
        <f ca="1">SQRT($B$9*AVERAGE((Q324:OFFSET(Q324,$B$7-1,0))))</f>
        <v>#DIV/0!</v>
      </c>
      <c r="U324" s="5" t="e">
        <f ca="1">SQRT($B$9*AVERAGE((Q324:OFFSET(Q324,$B$8-1,0))))</f>
        <v>#DIV/0!</v>
      </c>
      <c r="W324" s="6" t="e">
        <f t="shared" si="32"/>
        <v>#DIV/0!</v>
      </c>
      <c r="X324" s="6" t="e">
        <f ca="1">SQRT($B$9*AVERAGE(W324:OFFSET(W324,$B$5-1,0)))</f>
        <v>#DIV/0!</v>
      </c>
      <c r="Y324" s="6" t="e">
        <f ca="1">SQRT($B$9*AVERAGE(W324:OFFSET(W324,$B$6-1,0)))</f>
        <v>#DIV/0!</v>
      </c>
      <c r="Z324" s="6" t="e">
        <f ca="1">SQRT($B$9*AVERAGE(W324:OFFSET(W324,$B$7-1,0)))</f>
        <v>#DIV/0!</v>
      </c>
      <c r="AA324" s="6" t="e">
        <f ca="1">SQRT($B$9*AVERAGE(W324:OFFSET(W324,$B$8-1,0)))</f>
        <v>#DIV/0!</v>
      </c>
      <c r="AC324" s="34" t="e">
        <f t="shared" si="30"/>
        <v>#DIV/0!</v>
      </c>
      <c r="AD324" s="34" t="e">
        <f ca="1">SQRT($B$9*SUM(AC324:OFFSET(AC324,$B$5-1,0))/($B$5-1))</f>
        <v>#DIV/0!</v>
      </c>
      <c r="AE324" s="34" t="e">
        <f ca="1">SQRT($B$9*SUM(AC324:OFFSET(AC324,$B$6-1,0))/($B$6-1))</f>
        <v>#DIV/0!</v>
      </c>
      <c r="AF324" s="34" t="e">
        <f ca="1">SQRT($B$9*SUM(AC324:OFFSET(AC324,$B$7-1,0))/($B$7-1))</f>
        <v>#DIV/0!</v>
      </c>
      <c r="AG324" s="34" t="e">
        <f ca="1">SQRT($B$9*SUM(AC324:OFFSET(AC324,$B$8-1,0))/($B$8-1))</f>
        <v>#DIV/0!</v>
      </c>
      <c r="AI324" s="1" t="e">
        <f t="shared" si="31"/>
        <v>#DIV/0!</v>
      </c>
      <c r="AJ324" s="4" t="e">
        <f ca="1">SQRT($B$9)*_xlfn.STDEV.S(AI324:OFFSET(AI324,$B$5-1,0))</f>
        <v>#DIV/0!</v>
      </c>
      <c r="AK324" s="4" t="e">
        <f ca="1">SQRT($B$9)*_xlfn.STDEV.S(AI324:OFFSET(AI324,$B$6-1,0))</f>
        <v>#DIV/0!</v>
      </c>
      <c r="AL324" s="4" t="e">
        <f ca="1">SQRT($B$9)*_xlfn.STDEV.S(AI324:OFFSET(AI324,$B$7-1,0))</f>
        <v>#DIV/0!</v>
      </c>
      <c r="AM324" s="4" t="e">
        <f ca="1">SQRT($B$9)*_xlfn.STDEV.S(AI324:OFFSET(AI324,$B$8-1,0))</f>
        <v>#DIV/0!</v>
      </c>
    </row>
    <row r="325" spans="5:39" x14ac:dyDescent="0.2">
      <c r="E325" s="42">
        <v>45175</v>
      </c>
      <c r="F325" s="43"/>
      <c r="G325" s="43"/>
      <c r="H325" s="43"/>
      <c r="I325" s="43"/>
      <c r="K325" s="3" t="e">
        <f t="shared" si="29"/>
        <v>#DIV/0!</v>
      </c>
      <c r="L325" s="3" t="e">
        <f ca="1">SQRT(AVERAGE(K325:OFFSET(K325,$B$5-1,0))*$B$9/(4*LN(2)))</f>
        <v>#DIV/0!</v>
      </c>
      <c r="M325" s="3" t="e">
        <f ca="1">SQRT(AVERAGE(K325:OFFSET(K325,$B$6-1,0))*$B$9/(4*LN(2)))</f>
        <v>#DIV/0!</v>
      </c>
      <c r="N325" s="3" t="e">
        <f ca="1">SQRT(AVERAGE(K325:OFFSET(K325,$B$7-1,0))*$B$9/(4*LN(2)))</f>
        <v>#DIV/0!</v>
      </c>
      <c r="O325" s="3" t="e">
        <f ca="1">SQRT(AVERAGE(K325:OFFSET(K325,$B$8-1,0))*$B$9/(4*LN(2)))</f>
        <v>#DIV/0!</v>
      </c>
      <c r="Q325" s="5" t="e">
        <f t="shared" ref="Q325:Q388" si="33">0.511*(LN(G325/H325))^2-0.019*(LN(I325/F325)*LN(G325*H325/F325^2)-2*LN(G325/F325)*LN(H325/F325))-0.383*(LN(I325/F325))^2</f>
        <v>#DIV/0!</v>
      </c>
      <c r="R325" s="5" t="e">
        <f ca="1">SQRT($B$9*AVERAGE((Q325:OFFSET(Q325,$B$5-1,0))))</f>
        <v>#DIV/0!</v>
      </c>
      <c r="S325" s="5" t="e">
        <f ca="1">SQRT($B$9*AVERAGE((Q325:OFFSET(Q325,$B$6-1,0))))</f>
        <v>#DIV/0!</v>
      </c>
      <c r="T325" s="5" t="e">
        <f ca="1">SQRT($B$9*AVERAGE((Q325:OFFSET(Q325,$B$7-1,0))))</f>
        <v>#DIV/0!</v>
      </c>
      <c r="U325" s="5" t="e">
        <f ca="1">SQRT($B$9*AVERAGE((Q325:OFFSET(Q325,$B$8-1,0))))</f>
        <v>#DIV/0!</v>
      </c>
      <c r="W325" s="6" t="e">
        <f t="shared" si="32"/>
        <v>#DIV/0!</v>
      </c>
      <c r="X325" s="6" t="e">
        <f ca="1">SQRT($B$9*AVERAGE(W325:OFFSET(W325,$B$5-1,0)))</f>
        <v>#DIV/0!</v>
      </c>
      <c r="Y325" s="6" t="e">
        <f ca="1">SQRT($B$9*AVERAGE(W325:OFFSET(W325,$B$6-1,0)))</f>
        <v>#DIV/0!</v>
      </c>
      <c r="Z325" s="6" t="e">
        <f ca="1">SQRT($B$9*AVERAGE(W325:OFFSET(W325,$B$7-1,0)))</f>
        <v>#DIV/0!</v>
      </c>
      <c r="AA325" s="6" t="e">
        <f ca="1">SQRT($B$9*AVERAGE(W325:OFFSET(W325,$B$8-1,0)))</f>
        <v>#DIV/0!</v>
      </c>
      <c r="AC325" s="34" t="e">
        <f t="shared" si="30"/>
        <v>#DIV/0!</v>
      </c>
      <c r="AD325" s="34" t="e">
        <f ca="1">SQRT($B$9*SUM(AC325:OFFSET(AC325,$B$5-1,0))/($B$5-1))</f>
        <v>#DIV/0!</v>
      </c>
      <c r="AE325" s="34" t="e">
        <f ca="1">SQRT($B$9*SUM(AC325:OFFSET(AC325,$B$6-1,0))/($B$6-1))</f>
        <v>#DIV/0!</v>
      </c>
      <c r="AF325" s="34" t="e">
        <f ca="1">SQRT($B$9*SUM(AC325:OFFSET(AC325,$B$7-1,0))/($B$7-1))</f>
        <v>#DIV/0!</v>
      </c>
      <c r="AG325" s="34" t="e">
        <f ca="1">SQRT($B$9*SUM(AC325:OFFSET(AC325,$B$8-1,0))/($B$8-1))</f>
        <v>#DIV/0!</v>
      </c>
      <c r="AI325" s="1" t="e">
        <f t="shared" si="31"/>
        <v>#DIV/0!</v>
      </c>
      <c r="AJ325" s="4" t="e">
        <f ca="1">SQRT($B$9)*_xlfn.STDEV.S(AI325:OFFSET(AI325,$B$5-1,0))</f>
        <v>#DIV/0!</v>
      </c>
      <c r="AK325" s="4" t="e">
        <f ca="1">SQRT($B$9)*_xlfn.STDEV.S(AI325:OFFSET(AI325,$B$6-1,0))</f>
        <v>#DIV/0!</v>
      </c>
      <c r="AL325" s="4" t="e">
        <f ca="1">SQRT($B$9)*_xlfn.STDEV.S(AI325:OFFSET(AI325,$B$7-1,0))</f>
        <v>#DIV/0!</v>
      </c>
      <c r="AM325" s="4" t="e">
        <f ca="1">SQRT($B$9)*_xlfn.STDEV.S(AI325:OFFSET(AI325,$B$8-1,0))</f>
        <v>#DIV/0!</v>
      </c>
    </row>
    <row r="326" spans="5:39" x14ac:dyDescent="0.2">
      <c r="E326" s="42">
        <v>45174</v>
      </c>
      <c r="F326" s="43"/>
      <c r="G326" s="43"/>
      <c r="H326" s="43"/>
      <c r="I326" s="43"/>
      <c r="K326" s="3" t="e">
        <f t="shared" ref="K326:K389" si="34">(LN(G326/H326))^2</f>
        <v>#DIV/0!</v>
      </c>
      <c r="L326" s="3" t="e">
        <f ca="1">SQRT(AVERAGE(K326:OFFSET(K326,$B$5-1,0))*$B$9/(4*LN(2)))</f>
        <v>#DIV/0!</v>
      </c>
      <c r="M326" s="3" t="e">
        <f ca="1">SQRT(AVERAGE(K326:OFFSET(K326,$B$6-1,0))*$B$9/(4*LN(2)))</f>
        <v>#DIV/0!</v>
      </c>
      <c r="N326" s="3" t="e">
        <f ca="1">SQRT(AVERAGE(K326:OFFSET(K326,$B$7-1,0))*$B$9/(4*LN(2)))</f>
        <v>#DIV/0!</v>
      </c>
      <c r="O326" s="3" t="e">
        <f ca="1">SQRT(AVERAGE(K326:OFFSET(K326,$B$8-1,0))*$B$9/(4*LN(2)))</f>
        <v>#DIV/0!</v>
      </c>
      <c r="Q326" s="5" t="e">
        <f t="shared" si="33"/>
        <v>#DIV/0!</v>
      </c>
      <c r="R326" s="5" t="e">
        <f ca="1">SQRT($B$9*AVERAGE((Q326:OFFSET(Q326,$B$5-1,0))))</f>
        <v>#DIV/0!</v>
      </c>
      <c r="S326" s="5" t="e">
        <f ca="1">SQRT($B$9*AVERAGE((Q326:OFFSET(Q326,$B$6-1,0))))</f>
        <v>#DIV/0!</v>
      </c>
      <c r="T326" s="5" t="e">
        <f ca="1">SQRT($B$9*AVERAGE((Q326:OFFSET(Q326,$B$7-1,0))))</f>
        <v>#DIV/0!</v>
      </c>
      <c r="U326" s="5" t="e">
        <f ca="1">SQRT($B$9*AVERAGE((Q326:OFFSET(Q326,$B$8-1,0))))</f>
        <v>#DIV/0!</v>
      </c>
      <c r="W326" s="6" t="e">
        <f t="shared" si="32"/>
        <v>#DIV/0!</v>
      </c>
      <c r="X326" s="6" t="e">
        <f ca="1">SQRT($B$9*AVERAGE(W326:OFFSET(W326,$B$5-1,0)))</f>
        <v>#DIV/0!</v>
      </c>
      <c r="Y326" s="6" t="e">
        <f ca="1">SQRT($B$9*AVERAGE(W326:OFFSET(W326,$B$6-1,0)))</f>
        <v>#DIV/0!</v>
      </c>
      <c r="Z326" s="6" t="e">
        <f ca="1">SQRT($B$9*AVERAGE(W326:OFFSET(W326,$B$7-1,0)))</f>
        <v>#DIV/0!</v>
      </c>
      <c r="AA326" s="6" t="e">
        <f ca="1">SQRT($B$9*AVERAGE(W326:OFFSET(W326,$B$8-1,0)))</f>
        <v>#DIV/0!</v>
      </c>
      <c r="AC326" s="34" t="e">
        <f t="shared" si="30"/>
        <v>#DIV/0!</v>
      </c>
      <c r="AD326" s="34" t="e">
        <f ca="1">SQRT($B$9*SUM(AC326:OFFSET(AC326,$B$5-1,0))/($B$5-1))</f>
        <v>#DIV/0!</v>
      </c>
      <c r="AE326" s="34" t="e">
        <f ca="1">SQRT($B$9*SUM(AC326:OFFSET(AC326,$B$6-1,0))/($B$6-1))</f>
        <v>#DIV/0!</v>
      </c>
      <c r="AF326" s="34" t="e">
        <f ca="1">SQRT($B$9*SUM(AC326:OFFSET(AC326,$B$7-1,0))/($B$7-1))</f>
        <v>#DIV/0!</v>
      </c>
      <c r="AG326" s="34" t="e">
        <f ca="1">SQRT($B$9*SUM(AC326:OFFSET(AC326,$B$8-1,0))/($B$8-1))</f>
        <v>#DIV/0!</v>
      </c>
      <c r="AI326" s="1" t="e">
        <f t="shared" si="31"/>
        <v>#DIV/0!</v>
      </c>
      <c r="AJ326" s="4" t="e">
        <f ca="1">SQRT($B$9)*_xlfn.STDEV.S(AI326:OFFSET(AI326,$B$5-1,0))</f>
        <v>#DIV/0!</v>
      </c>
      <c r="AK326" s="4" t="e">
        <f ca="1">SQRT($B$9)*_xlfn.STDEV.S(AI326:OFFSET(AI326,$B$6-1,0))</f>
        <v>#DIV/0!</v>
      </c>
      <c r="AL326" s="4" t="e">
        <f ca="1">SQRT($B$9)*_xlfn.STDEV.S(AI326:OFFSET(AI326,$B$7-1,0))</f>
        <v>#DIV/0!</v>
      </c>
      <c r="AM326" s="4" t="e">
        <f ca="1">SQRT($B$9)*_xlfn.STDEV.S(AI326:OFFSET(AI326,$B$8-1,0))</f>
        <v>#DIV/0!</v>
      </c>
    </row>
    <row r="327" spans="5:39" x14ac:dyDescent="0.2">
      <c r="E327" s="42">
        <v>45173</v>
      </c>
      <c r="F327" s="43"/>
      <c r="G327" s="43"/>
      <c r="H327" s="43"/>
      <c r="I327" s="43"/>
      <c r="K327" s="3" t="e">
        <f t="shared" si="34"/>
        <v>#DIV/0!</v>
      </c>
      <c r="L327" s="3" t="e">
        <f ca="1">SQRT(AVERAGE(K327:OFFSET(K327,$B$5-1,0))*$B$9/(4*LN(2)))</f>
        <v>#DIV/0!</v>
      </c>
      <c r="M327" s="3" t="e">
        <f ca="1">SQRT(AVERAGE(K327:OFFSET(K327,$B$6-1,0))*$B$9/(4*LN(2)))</f>
        <v>#DIV/0!</v>
      </c>
      <c r="N327" s="3" t="e">
        <f ca="1">SQRT(AVERAGE(K327:OFFSET(K327,$B$7-1,0))*$B$9/(4*LN(2)))</f>
        <v>#DIV/0!</v>
      </c>
      <c r="O327" s="3" t="e">
        <f ca="1">SQRT(AVERAGE(K327:OFFSET(K327,$B$8-1,0))*$B$9/(4*LN(2)))</f>
        <v>#DIV/0!</v>
      </c>
      <c r="Q327" s="5" t="e">
        <f t="shared" si="33"/>
        <v>#DIV/0!</v>
      </c>
      <c r="R327" s="5" t="e">
        <f ca="1">SQRT($B$9*AVERAGE((Q327:OFFSET(Q327,$B$5-1,0))))</f>
        <v>#DIV/0!</v>
      </c>
      <c r="S327" s="5" t="e">
        <f ca="1">SQRT($B$9*AVERAGE((Q327:OFFSET(Q327,$B$6-1,0))))</f>
        <v>#DIV/0!</v>
      </c>
      <c r="T327" s="5" t="e">
        <f ca="1">SQRT($B$9*AVERAGE((Q327:OFFSET(Q327,$B$7-1,0))))</f>
        <v>#DIV/0!</v>
      </c>
      <c r="U327" s="5" t="e">
        <f ca="1">SQRT($B$9*AVERAGE((Q327:OFFSET(Q327,$B$8-1,0))))</f>
        <v>#DIV/0!</v>
      </c>
      <c r="W327" s="6" t="e">
        <f t="shared" si="32"/>
        <v>#DIV/0!</v>
      </c>
      <c r="X327" s="6" t="e">
        <f ca="1">SQRT($B$9*AVERAGE(W327:OFFSET(W327,$B$5-1,0)))</f>
        <v>#DIV/0!</v>
      </c>
      <c r="Y327" s="6" t="e">
        <f ca="1">SQRT($B$9*AVERAGE(W327:OFFSET(W327,$B$6-1,0)))</f>
        <v>#DIV/0!</v>
      </c>
      <c r="Z327" s="6" t="e">
        <f ca="1">SQRT($B$9*AVERAGE(W327:OFFSET(W327,$B$7-1,0)))</f>
        <v>#DIV/0!</v>
      </c>
      <c r="AA327" s="6" t="e">
        <f ca="1">SQRT($B$9*AVERAGE(W327:OFFSET(W327,$B$8-1,0)))</f>
        <v>#DIV/0!</v>
      </c>
      <c r="AC327" s="34" t="e">
        <f t="shared" si="30"/>
        <v>#DIV/0!</v>
      </c>
      <c r="AD327" s="34" t="e">
        <f ca="1">SQRT($B$9*SUM(AC327:OFFSET(AC327,$B$5-1,0))/($B$5-1))</f>
        <v>#DIV/0!</v>
      </c>
      <c r="AE327" s="34" t="e">
        <f ca="1">SQRT($B$9*SUM(AC327:OFFSET(AC327,$B$6-1,0))/($B$6-1))</f>
        <v>#DIV/0!</v>
      </c>
      <c r="AF327" s="34" t="e">
        <f ca="1">SQRT($B$9*SUM(AC327:OFFSET(AC327,$B$7-1,0))/($B$7-1))</f>
        <v>#DIV/0!</v>
      </c>
      <c r="AG327" s="34" t="e">
        <f ca="1">SQRT($B$9*SUM(AC327:OFFSET(AC327,$B$8-1,0))/($B$8-1))</f>
        <v>#DIV/0!</v>
      </c>
      <c r="AI327" s="1" t="e">
        <f t="shared" si="31"/>
        <v>#DIV/0!</v>
      </c>
      <c r="AJ327" s="4" t="e">
        <f ca="1">SQRT($B$9)*_xlfn.STDEV.S(AI327:OFFSET(AI327,$B$5-1,0))</f>
        <v>#DIV/0!</v>
      </c>
      <c r="AK327" s="4" t="e">
        <f ca="1">SQRT($B$9)*_xlfn.STDEV.S(AI327:OFFSET(AI327,$B$6-1,0))</f>
        <v>#DIV/0!</v>
      </c>
      <c r="AL327" s="4" t="e">
        <f ca="1">SQRT($B$9)*_xlfn.STDEV.S(AI327:OFFSET(AI327,$B$7-1,0))</f>
        <v>#DIV/0!</v>
      </c>
      <c r="AM327" s="4" t="e">
        <f ca="1">SQRT($B$9)*_xlfn.STDEV.S(AI327:OFFSET(AI327,$B$8-1,0))</f>
        <v>#DIV/0!</v>
      </c>
    </row>
    <row r="328" spans="5:39" x14ac:dyDescent="0.2">
      <c r="E328" s="42">
        <v>45170</v>
      </c>
      <c r="F328" s="43"/>
      <c r="G328" s="43"/>
      <c r="H328" s="43"/>
      <c r="I328" s="43"/>
      <c r="K328" s="3" t="e">
        <f t="shared" si="34"/>
        <v>#DIV/0!</v>
      </c>
      <c r="L328" s="3" t="e">
        <f ca="1">SQRT(AVERAGE(K328:OFFSET(K328,$B$5-1,0))*$B$9/(4*LN(2)))</f>
        <v>#DIV/0!</v>
      </c>
      <c r="M328" s="3" t="e">
        <f ca="1">SQRT(AVERAGE(K328:OFFSET(K328,$B$6-1,0))*$B$9/(4*LN(2)))</f>
        <v>#DIV/0!</v>
      </c>
      <c r="N328" s="3" t="e">
        <f ca="1">SQRT(AVERAGE(K328:OFFSET(K328,$B$7-1,0))*$B$9/(4*LN(2)))</f>
        <v>#DIV/0!</v>
      </c>
      <c r="O328" s="3" t="e">
        <f ca="1">SQRT(AVERAGE(K328:OFFSET(K328,$B$8-1,0))*$B$9/(4*LN(2)))</f>
        <v>#DIV/0!</v>
      </c>
      <c r="Q328" s="5" t="e">
        <f t="shared" si="33"/>
        <v>#DIV/0!</v>
      </c>
      <c r="R328" s="5" t="e">
        <f ca="1">SQRT($B$9*AVERAGE((Q328:OFFSET(Q328,$B$5-1,0))))</f>
        <v>#DIV/0!</v>
      </c>
      <c r="S328" s="5" t="e">
        <f ca="1">SQRT($B$9*AVERAGE((Q328:OFFSET(Q328,$B$6-1,0))))</f>
        <v>#DIV/0!</v>
      </c>
      <c r="T328" s="5" t="e">
        <f ca="1">SQRT($B$9*AVERAGE((Q328:OFFSET(Q328,$B$7-1,0))))</f>
        <v>#DIV/0!</v>
      </c>
      <c r="U328" s="5" t="e">
        <f ca="1">SQRT($B$9*AVERAGE((Q328:OFFSET(Q328,$B$8-1,0))))</f>
        <v>#DIV/0!</v>
      </c>
      <c r="W328" s="6" t="e">
        <f t="shared" si="32"/>
        <v>#DIV/0!</v>
      </c>
      <c r="X328" s="6" t="e">
        <f ca="1">SQRT($B$9*AVERAGE(W328:OFFSET(W328,$B$5-1,0)))</f>
        <v>#DIV/0!</v>
      </c>
      <c r="Y328" s="6" t="e">
        <f ca="1">SQRT($B$9*AVERAGE(W328:OFFSET(W328,$B$6-1,0)))</f>
        <v>#DIV/0!</v>
      </c>
      <c r="Z328" s="6" t="e">
        <f ca="1">SQRT($B$9*AVERAGE(W328:OFFSET(W328,$B$7-1,0)))</f>
        <v>#DIV/0!</v>
      </c>
      <c r="AA328" s="6" t="e">
        <f ca="1">SQRT($B$9*AVERAGE(W328:OFFSET(W328,$B$8-1,0)))</f>
        <v>#DIV/0!</v>
      </c>
      <c r="AC328" s="34" t="e">
        <f t="shared" si="30"/>
        <v>#DIV/0!</v>
      </c>
      <c r="AD328" s="34" t="e">
        <f ca="1">SQRT($B$9*SUM(AC328:OFFSET(AC328,$B$5-1,0))/($B$5-1))</f>
        <v>#DIV/0!</v>
      </c>
      <c r="AE328" s="34" t="e">
        <f ca="1">SQRT($B$9*SUM(AC328:OFFSET(AC328,$B$6-1,0))/($B$6-1))</f>
        <v>#DIV/0!</v>
      </c>
      <c r="AF328" s="34" t="e">
        <f ca="1">SQRT($B$9*SUM(AC328:OFFSET(AC328,$B$7-1,0))/($B$7-1))</f>
        <v>#DIV/0!</v>
      </c>
      <c r="AG328" s="34" t="e">
        <f ca="1">SQRT($B$9*SUM(AC328:OFFSET(AC328,$B$8-1,0))/($B$8-1))</f>
        <v>#DIV/0!</v>
      </c>
      <c r="AI328" s="1" t="e">
        <f t="shared" si="31"/>
        <v>#DIV/0!</v>
      </c>
      <c r="AJ328" s="4" t="e">
        <f ca="1">SQRT($B$9)*_xlfn.STDEV.S(AI328:OFFSET(AI328,$B$5-1,0))</f>
        <v>#DIV/0!</v>
      </c>
      <c r="AK328" s="4" t="e">
        <f ca="1">SQRT($B$9)*_xlfn.STDEV.S(AI328:OFFSET(AI328,$B$6-1,0))</f>
        <v>#DIV/0!</v>
      </c>
      <c r="AL328" s="4" t="e">
        <f ca="1">SQRT($B$9)*_xlfn.STDEV.S(AI328:OFFSET(AI328,$B$7-1,0))</f>
        <v>#DIV/0!</v>
      </c>
      <c r="AM328" s="4" t="e">
        <f ca="1">SQRT($B$9)*_xlfn.STDEV.S(AI328:OFFSET(AI328,$B$8-1,0))</f>
        <v>#DIV/0!</v>
      </c>
    </row>
    <row r="329" spans="5:39" x14ac:dyDescent="0.2">
      <c r="E329" s="42">
        <v>45169</v>
      </c>
      <c r="F329" s="43"/>
      <c r="G329" s="43"/>
      <c r="H329" s="43"/>
      <c r="I329" s="43"/>
      <c r="K329" s="3" t="e">
        <f t="shared" si="34"/>
        <v>#DIV/0!</v>
      </c>
      <c r="L329" s="3" t="e">
        <f ca="1">SQRT(AVERAGE(K329:OFFSET(K329,$B$5-1,0))*$B$9/(4*LN(2)))</f>
        <v>#DIV/0!</v>
      </c>
      <c r="M329" s="3" t="e">
        <f ca="1">SQRT(AVERAGE(K329:OFFSET(K329,$B$6-1,0))*$B$9/(4*LN(2)))</f>
        <v>#DIV/0!</v>
      </c>
      <c r="N329" s="3" t="e">
        <f ca="1">SQRT(AVERAGE(K329:OFFSET(K329,$B$7-1,0))*$B$9/(4*LN(2)))</f>
        <v>#DIV/0!</v>
      </c>
      <c r="O329" s="3" t="e">
        <f ca="1">SQRT(AVERAGE(K329:OFFSET(K329,$B$8-1,0))*$B$9/(4*LN(2)))</f>
        <v>#DIV/0!</v>
      </c>
      <c r="Q329" s="5" t="e">
        <f t="shared" si="33"/>
        <v>#DIV/0!</v>
      </c>
      <c r="R329" s="5" t="e">
        <f ca="1">SQRT($B$9*AVERAGE((Q329:OFFSET(Q329,$B$5-1,0))))</f>
        <v>#DIV/0!</v>
      </c>
      <c r="S329" s="5" t="e">
        <f ca="1">SQRT($B$9*AVERAGE((Q329:OFFSET(Q329,$B$6-1,0))))</f>
        <v>#DIV/0!</v>
      </c>
      <c r="T329" s="5" t="e">
        <f ca="1">SQRT($B$9*AVERAGE((Q329:OFFSET(Q329,$B$7-1,0))))</f>
        <v>#DIV/0!</v>
      </c>
      <c r="U329" s="5" t="e">
        <f ca="1">SQRT($B$9*AVERAGE((Q329:OFFSET(Q329,$B$8-1,0))))</f>
        <v>#DIV/0!</v>
      </c>
      <c r="W329" s="6" t="e">
        <f t="shared" si="32"/>
        <v>#DIV/0!</v>
      </c>
      <c r="X329" s="6" t="e">
        <f ca="1">SQRT($B$9*AVERAGE(W329:OFFSET(W329,$B$5-1,0)))</f>
        <v>#DIV/0!</v>
      </c>
      <c r="Y329" s="6" t="e">
        <f ca="1">SQRT($B$9*AVERAGE(W329:OFFSET(W329,$B$6-1,0)))</f>
        <v>#DIV/0!</v>
      </c>
      <c r="Z329" s="6" t="e">
        <f ca="1">SQRT($B$9*AVERAGE(W329:OFFSET(W329,$B$7-1,0)))</f>
        <v>#DIV/0!</v>
      </c>
      <c r="AA329" s="6" t="e">
        <f ca="1">SQRT($B$9*AVERAGE(W329:OFFSET(W329,$B$8-1,0)))</f>
        <v>#DIV/0!</v>
      </c>
      <c r="AC329" s="34" t="e">
        <f t="shared" si="30"/>
        <v>#DIV/0!</v>
      </c>
      <c r="AD329" s="34" t="e">
        <f ca="1">SQRT($B$9*SUM(AC329:OFFSET(AC329,$B$5-1,0))/($B$5-1))</f>
        <v>#DIV/0!</v>
      </c>
      <c r="AE329" s="34" t="e">
        <f ca="1">SQRT($B$9*SUM(AC329:OFFSET(AC329,$B$6-1,0))/($B$6-1))</f>
        <v>#DIV/0!</v>
      </c>
      <c r="AF329" s="34" t="e">
        <f ca="1">SQRT($B$9*SUM(AC329:OFFSET(AC329,$B$7-1,0))/($B$7-1))</f>
        <v>#DIV/0!</v>
      </c>
      <c r="AG329" s="34" t="e">
        <f ca="1">SQRT($B$9*SUM(AC329:OFFSET(AC329,$B$8-1,0))/($B$8-1))</f>
        <v>#DIV/0!</v>
      </c>
      <c r="AI329" s="1" t="e">
        <f t="shared" si="31"/>
        <v>#DIV/0!</v>
      </c>
      <c r="AJ329" s="4" t="e">
        <f ca="1">SQRT($B$9)*_xlfn.STDEV.S(AI329:OFFSET(AI329,$B$5-1,0))</f>
        <v>#DIV/0!</v>
      </c>
      <c r="AK329" s="4" t="e">
        <f ca="1">SQRT($B$9)*_xlfn.STDEV.S(AI329:OFFSET(AI329,$B$6-1,0))</f>
        <v>#DIV/0!</v>
      </c>
      <c r="AL329" s="4" t="e">
        <f ca="1">SQRT($B$9)*_xlfn.STDEV.S(AI329:OFFSET(AI329,$B$7-1,0))</f>
        <v>#DIV/0!</v>
      </c>
      <c r="AM329" s="4" t="e">
        <f ca="1">SQRT($B$9)*_xlfn.STDEV.S(AI329:OFFSET(AI329,$B$8-1,0))</f>
        <v>#DIV/0!</v>
      </c>
    </row>
    <row r="330" spans="5:39" x14ac:dyDescent="0.2">
      <c r="E330" s="42">
        <v>45168</v>
      </c>
      <c r="F330" s="43"/>
      <c r="G330" s="43"/>
      <c r="H330" s="43"/>
      <c r="I330" s="43"/>
      <c r="K330" s="3" t="e">
        <f t="shared" si="34"/>
        <v>#DIV/0!</v>
      </c>
      <c r="L330" s="3" t="e">
        <f ca="1">SQRT(AVERAGE(K330:OFFSET(K330,$B$5-1,0))*$B$9/(4*LN(2)))</f>
        <v>#DIV/0!</v>
      </c>
      <c r="M330" s="3" t="e">
        <f ca="1">SQRT(AVERAGE(K330:OFFSET(K330,$B$6-1,0))*$B$9/(4*LN(2)))</f>
        <v>#DIV/0!</v>
      </c>
      <c r="N330" s="3" t="e">
        <f ca="1">SQRT(AVERAGE(K330:OFFSET(K330,$B$7-1,0))*$B$9/(4*LN(2)))</f>
        <v>#DIV/0!</v>
      </c>
      <c r="O330" s="3" t="e">
        <f ca="1">SQRT(AVERAGE(K330:OFFSET(K330,$B$8-1,0))*$B$9/(4*LN(2)))</f>
        <v>#DIV/0!</v>
      </c>
      <c r="Q330" s="5" t="e">
        <f t="shared" si="33"/>
        <v>#DIV/0!</v>
      </c>
      <c r="R330" s="5" t="e">
        <f ca="1">SQRT($B$9*AVERAGE((Q330:OFFSET(Q330,$B$5-1,0))))</f>
        <v>#DIV/0!</v>
      </c>
      <c r="S330" s="5" t="e">
        <f ca="1">SQRT($B$9*AVERAGE((Q330:OFFSET(Q330,$B$6-1,0))))</f>
        <v>#DIV/0!</v>
      </c>
      <c r="T330" s="5" t="e">
        <f ca="1">SQRT($B$9*AVERAGE((Q330:OFFSET(Q330,$B$7-1,0))))</f>
        <v>#DIV/0!</v>
      </c>
      <c r="U330" s="5" t="e">
        <f ca="1">SQRT($B$9*AVERAGE((Q330:OFFSET(Q330,$B$8-1,0))))</f>
        <v>#DIV/0!</v>
      </c>
      <c r="W330" s="6" t="e">
        <f t="shared" si="32"/>
        <v>#DIV/0!</v>
      </c>
      <c r="X330" s="6" t="e">
        <f ca="1">SQRT($B$9*AVERAGE(W330:OFFSET(W330,$B$5-1,0)))</f>
        <v>#DIV/0!</v>
      </c>
      <c r="Y330" s="6" t="e">
        <f ca="1">SQRT($B$9*AVERAGE(W330:OFFSET(W330,$B$6-1,0)))</f>
        <v>#DIV/0!</v>
      </c>
      <c r="Z330" s="6" t="e">
        <f ca="1">SQRT($B$9*AVERAGE(W330:OFFSET(W330,$B$7-1,0)))</f>
        <v>#DIV/0!</v>
      </c>
      <c r="AA330" s="6" t="e">
        <f ca="1">SQRT($B$9*AVERAGE(W330:OFFSET(W330,$B$8-1,0)))</f>
        <v>#DIV/0!</v>
      </c>
      <c r="AC330" s="34" t="e">
        <f t="shared" si="30"/>
        <v>#DIV/0!</v>
      </c>
      <c r="AD330" s="34" t="e">
        <f ca="1">SQRT($B$9*SUM(AC330:OFFSET(AC330,$B$5-1,0))/($B$5-1))</f>
        <v>#DIV/0!</v>
      </c>
      <c r="AE330" s="34" t="e">
        <f ca="1">SQRT($B$9*SUM(AC330:OFFSET(AC330,$B$6-1,0))/($B$6-1))</f>
        <v>#DIV/0!</v>
      </c>
      <c r="AF330" s="34" t="e">
        <f ca="1">SQRT($B$9*SUM(AC330:OFFSET(AC330,$B$7-1,0))/($B$7-1))</f>
        <v>#DIV/0!</v>
      </c>
      <c r="AG330" s="34" t="e">
        <f ca="1">SQRT($B$9*SUM(AC330:OFFSET(AC330,$B$8-1,0))/($B$8-1))</f>
        <v>#DIV/0!</v>
      </c>
      <c r="AI330" s="1" t="e">
        <f t="shared" si="31"/>
        <v>#DIV/0!</v>
      </c>
      <c r="AJ330" s="4" t="e">
        <f ca="1">SQRT($B$9)*_xlfn.STDEV.S(AI330:OFFSET(AI330,$B$5-1,0))</f>
        <v>#DIV/0!</v>
      </c>
      <c r="AK330" s="4" t="e">
        <f ca="1">SQRT($B$9)*_xlfn.STDEV.S(AI330:OFFSET(AI330,$B$6-1,0))</f>
        <v>#DIV/0!</v>
      </c>
      <c r="AL330" s="4" t="e">
        <f ca="1">SQRT($B$9)*_xlfn.STDEV.S(AI330:OFFSET(AI330,$B$7-1,0))</f>
        <v>#DIV/0!</v>
      </c>
      <c r="AM330" s="4" t="e">
        <f ca="1">SQRT($B$9)*_xlfn.STDEV.S(AI330:OFFSET(AI330,$B$8-1,0))</f>
        <v>#DIV/0!</v>
      </c>
    </row>
    <row r="331" spans="5:39" x14ac:dyDescent="0.2">
      <c r="E331" s="42">
        <v>45167</v>
      </c>
      <c r="F331" s="43"/>
      <c r="G331" s="43"/>
      <c r="H331" s="43"/>
      <c r="I331" s="43"/>
      <c r="K331" s="3" t="e">
        <f t="shared" si="34"/>
        <v>#DIV/0!</v>
      </c>
      <c r="L331" s="3" t="e">
        <f ca="1">SQRT(AVERAGE(K331:OFFSET(K331,$B$5-1,0))*$B$9/(4*LN(2)))</f>
        <v>#DIV/0!</v>
      </c>
      <c r="M331" s="3" t="e">
        <f ca="1">SQRT(AVERAGE(K331:OFFSET(K331,$B$6-1,0))*$B$9/(4*LN(2)))</f>
        <v>#DIV/0!</v>
      </c>
      <c r="N331" s="3" t="e">
        <f ca="1">SQRT(AVERAGE(K331:OFFSET(K331,$B$7-1,0))*$B$9/(4*LN(2)))</f>
        <v>#DIV/0!</v>
      </c>
      <c r="O331" s="3" t="e">
        <f ca="1">SQRT(AVERAGE(K331:OFFSET(K331,$B$8-1,0))*$B$9/(4*LN(2)))</f>
        <v>#DIV/0!</v>
      </c>
      <c r="Q331" s="5" t="e">
        <f t="shared" si="33"/>
        <v>#DIV/0!</v>
      </c>
      <c r="R331" s="5" t="e">
        <f ca="1">SQRT($B$9*AVERAGE((Q331:OFFSET(Q331,$B$5-1,0))))</f>
        <v>#DIV/0!</v>
      </c>
      <c r="S331" s="5" t="e">
        <f ca="1">SQRT($B$9*AVERAGE((Q331:OFFSET(Q331,$B$6-1,0))))</f>
        <v>#DIV/0!</v>
      </c>
      <c r="T331" s="5" t="e">
        <f ca="1">SQRT($B$9*AVERAGE((Q331:OFFSET(Q331,$B$7-1,0))))</f>
        <v>#DIV/0!</v>
      </c>
      <c r="U331" s="5" t="e">
        <f ca="1">SQRT($B$9*AVERAGE((Q331:OFFSET(Q331,$B$8-1,0))))</f>
        <v>#DIV/0!</v>
      </c>
      <c r="W331" s="6" t="e">
        <f t="shared" si="32"/>
        <v>#DIV/0!</v>
      </c>
      <c r="X331" s="6" t="e">
        <f ca="1">SQRT($B$9*AVERAGE(W331:OFFSET(W331,$B$5-1,0)))</f>
        <v>#DIV/0!</v>
      </c>
      <c r="Y331" s="6" t="e">
        <f ca="1">SQRT($B$9*AVERAGE(W331:OFFSET(W331,$B$6-1,0)))</f>
        <v>#DIV/0!</v>
      </c>
      <c r="Z331" s="6" t="e">
        <f ca="1">SQRT($B$9*AVERAGE(W331:OFFSET(W331,$B$7-1,0)))</f>
        <v>#DIV/0!</v>
      </c>
      <c r="AA331" s="6" t="e">
        <f ca="1">SQRT($B$9*AVERAGE(W331:OFFSET(W331,$B$8-1,0)))</f>
        <v>#DIV/0!</v>
      </c>
      <c r="AC331" s="34" t="e">
        <f t="shared" si="30"/>
        <v>#DIV/0!</v>
      </c>
      <c r="AD331" s="34" t="e">
        <f ca="1">SQRT($B$9*SUM(AC331:OFFSET(AC331,$B$5-1,0))/($B$5-1))</f>
        <v>#DIV/0!</v>
      </c>
      <c r="AE331" s="34" t="e">
        <f ca="1">SQRT($B$9*SUM(AC331:OFFSET(AC331,$B$6-1,0))/($B$6-1))</f>
        <v>#DIV/0!</v>
      </c>
      <c r="AF331" s="34" t="e">
        <f ca="1">SQRT($B$9*SUM(AC331:OFFSET(AC331,$B$7-1,0))/($B$7-1))</f>
        <v>#DIV/0!</v>
      </c>
      <c r="AG331" s="34" t="e">
        <f ca="1">SQRT($B$9*SUM(AC331:OFFSET(AC331,$B$8-1,0))/($B$8-1))</f>
        <v>#DIV/0!</v>
      </c>
      <c r="AI331" s="1" t="e">
        <f t="shared" si="31"/>
        <v>#DIV/0!</v>
      </c>
      <c r="AJ331" s="4" t="e">
        <f ca="1">SQRT($B$9)*_xlfn.STDEV.S(AI331:OFFSET(AI331,$B$5-1,0))</f>
        <v>#DIV/0!</v>
      </c>
      <c r="AK331" s="4" t="e">
        <f ca="1">SQRT($B$9)*_xlfn.STDEV.S(AI331:OFFSET(AI331,$B$6-1,0))</f>
        <v>#DIV/0!</v>
      </c>
      <c r="AL331" s="4" t="e">
        <f ca="1">SQRT($B$9)*_xlfn.STDEV.S(AI331:OFFSET(AI331,$B$7-1,0))</f>
        <v>#DIV/0!</v>
      </c>
      <c r="AM331" s="4" t="e">
        <f ca="1">SQRT($B$9)*_xlfn.STDEV.S(AI331:OFFSET(AI331,$B$8-1,0))</f>
        <v>#DIV/0!</v>
      </c>
    </row>
    <row r="332" spans="5:39" x14ac:dyDescent="0.2">
      <c r="E332" s="42">
        <v>45166</v>
      </c>
      <c r="F332" s="43"/>
      <c r="G332" s="43"/>
      <c r="H332" s="43"/>
      <c r="I332" s="43"/>
      <c r="K332" s="3" t="e">
        <f t="shared" si="34"/>
        <v>#DIV/0!</v>
      </c>
      <c r="L332" s="3" t="e">
        <f ca="1">SQRT(AVERAGE(K332:OFFSET(K332,$B$5-1,0))*$B$9/(4*LN(2)))</f>
        <v>#DIV/0!</v>
      </c>
      <c r="M332" s="3" t="e">
        <f ca="1">SQRT(AVERAGE(K332:OFFSET(K332,$B$6-1,0))*$B$9/(4*LN(2)))</f>
        <v>#DIV/0!</v>
      </c>
      <c r="N332" s="3" t="e">
        <f ca="1">SQRT(AVERAGE(K332:OFFSET(K332,$B$7-1,0))*$B$9/(4*LN(2)))</f>
        <v>#DIV/0!</v>
      </c>
      <c r="O332" s="3" t="e">
        <f ca="1">SQRT(AVERAGE(K332:OFFSET(K332,$B$8-1,0))*$B$9/(4*LN(2)))</f>
        <v>#DIV/0!</v>
      </c>
      <c r="Q332" s="5" t="e">
        <f t="shared" si="33"/>
        <v>#DIV/0!</v>
      </c>
      <c r="R332" s="5" t="e">
        <f ca="1">SQRT($B$9*AVERAGE((Q332:OFFSET(Q332,$B$5-1,0))))</f>
        <v>#DIV/0!</v>
      </c>
      <c r="S332" s="5" t="e">
        <f ca="1">SQRT($B$9*AVERAGE((Q332:OFFSET(Q332,$B$6-1,0))))</f>
        <v>#DIV/0!</v>
      </c>
      <c r="T332" s="5" t="e">
        <f ca="1">SQRT($B$9*AVERAGE((Q332:OFFSET(Q332,$B$7-1,0))))</f>
        <v>#DIV/0!</v>
      </c>
      <c r="U332" s="5" t="e">
        <f ca="1">SQRT($B$9*AVERAGE((Q332:OFFSET(Q332,$B$8-1,0))))</f>
        <v>#DIV/0!</v>
      </c>
      <c r="W332" s="6" t="e">
        <f t="shared" si="32"/>
        <v>#DIV/0!</v>
      </c>
      <c r="X332" s="6" t="e">
        <f ca="1">SQRT($B$9*AVERAGE(W332:OFFSET(W332,$B$5-1,0)))</f>
        <v>#DIV/0!</v>
      </c>
      <c r="Y332" s="6" t="e">
        <f ca="1">SQRT($B$9*AVERAGE(W332:OFFSET(W332,$B$6-1,0)))</f>
        <v>#DIV/0!</v>
      </c>
      <c r="Z332" s="6" t="e">
        <f ca="1">SQRT($B$9*AVERAGE(W332:OFFSET(W332,$B$7-1,0)))</f>
        <v>#DIV/0!</v>
      </c>
      <c r="AA332" s="6" t="e">
        <f ca="1">SQRT($B$9*AVERAGE(W332:OFFSET(W332,$B$8-1,0)))</f>
        <v>#DIV/0!</v>
      </c>
      <c r="AC332" s="34" t="e">
        <f t="shared" si="30"/>
        <v>#DIV/0!</v>
      </c>
      <c r="AD332" s="34" t="e">
        <f ca="1">SQRT($B$9*SUM(AC332:OFFSET(AC332,$B$5-1,0))/($B$5-1))</f>
        <v>#DIV/0!</v>
      </c>
      <c r="AE332" s="34" t="e">
        <f ca="1">SQRT($B$9*SUM(AC332:OFFSET(AC332,$B$6-1,0))/($B$6-1))</f>
        <v>#DIV/0!</v>
      </c>
      <c r="AF332" s="34" t="e">
        <f ca="1">SQRT($B$9*SUM(AC332:OFFSET(AC332,$B$7-1,0))/($B$7-1))</f>
        <v>#DIV/0!</v>
      </c>
      <c r="AG332" s="34" t="e">
        <f ca="1">SQRT($B$9*SUM(AC332:OFFSET(AC332,$B$8-1,0))/($B$8-1))</f>
        <v>#DIV/0!</v>
      </c>
      <c r="AI332" s="1" t="e">
        <f t="shared" si="31"/>
        <v>#DIV/0!</v>
      </c>
      <c r="AJ332" s="4" t="e">
        <f ca="1">SQRT($B$9)*_xlfn.STDEV.S(AI332:OFFSET(AI332,$B$5-1,0))</f>
        <v>#DIV/0!</v>
      </c>
      <c r="AK332" s="4" t="e">
        <f ca="1">SQRT($B$9)*_xlfn.STDEV.S(AI332:OFFSET(AI332,$B$6-1,0))</f>
        <v>#DIV/0!</v>
      </c>
      <c r="AL332" s="4" t="e">
        <f ca="1">SQRT($B$9)*_xlfn.STDEV.S(AI332:OFFSET(AI332,$B$7-1,0))</f>
        <v>#DIV/0!</v>
      </c>
      <c r="AM332" s="4" t="e">
        <f ca="1">SQRT($B$9)*_xlfn.STDEV.S(AI332:OFFSET(AI332,$B$8-1,0))</f>
        <v>#DIV/0!</v>
      </c>
    </row>
    <row r="333" spans="5:39" x14ac:dyDescent="0.2">
      <c r="E333" s="42">
        <v>45163</v>
      </c>
      <c r="F333" s="43"/>
      <c r="G333" s="43"/>
      <c r="H333" s="43"/>
      <c r="I333" s="43"/>
      <c r="K333" s="3" t="e">
        <f t="shared" si="34"/>
        <v>#DIV/0!</v>
      </c>
      <c r="L333" s="3" t="e">
        <f ca="1">SQRT(AVERAGE(K333:OFFSET(K333,$B$5-1,0))*$B$9/(4*LN(2)))</f>
        <v>#DIV/0!</v>
      </c>
      <c r="M333" s="3" t="e">
        <f ca="1">SQRT(AVERAGE(K333:OFFSET(K333,$B$6-1,0))*$B$9/(4*LN(2)))</f>
        <v>#DIV/0!</v>
      </c>
      <c r="N333" s="3" t="e">
        <f ca="1">SQRT(AVERAGE(K333:OFFSET(K333,$B$7-1,0))*$B$9/(4*LN(2)))</f>
        <v>#DIV/0!</v>
      </c>
      <c r="O333" s="3" t="e">
        <f ca="1">SQRT(AVERAGE(K333:OFFSET(K333,$B$8-1,0))*$B$9/(4*LN(2)))</f>
        <v>#DIV/0!</v>
      </c>
      <c r="Q333" s="5" t="e">
        <f t="shared" si="33"/>
        <v>#DIV/0!</v>
      </c>
      <c r="R333" s="5" t="e">
        <f ca="1">SQRT($B$9*AVERAGE((Q333:OFFSET(Q333,$B$5-1,0))))</f>
        <v>#DIV/0!</v>
      </c>
      <c r="S333" s="5" t="e">
        <f ca="1">SQRT($B$9*AVERAGE((Q333:OFFSET(Q333,$B$6-1,0))))</f>
        <v>#DIV/0!</v>
      </c>
      <c r="T333" s="5" t="e">
        <f ca="1">SQRT($B$9*AVERAGE((Q333:OFFSET(Q333,$B$7-1,0))))</f>
        <v>#DIV/0!</v>
      </c>
      <c r="U333" s="5" t="e">
        <f ca="1">SQRT($B$9*AVERAGE((Q333:OFFSET(Q333,$B$8-1,0))))</f>
        <v>#DIV/0!</v>
      </c>
      <c r="W333" s="6" t="e">
        <f t="shared" si="32"/>
        <v>#DIV/0!</v>
      </c>
      <c r="X333" s="6" t="e">
        <f ca="1">SQRT($B$9*AVERAGE(W333:OFFSET(W333,$B$5-1,0)))</f>
        <v>#DIV/0!</v>
      </c>
      <c r="Y333" s="6" t="e">
        <f ca="1">SQRT($B$9*AVERAGE(W333:OFFSET(W333,$B$6-1,0)))</f>
        <v>#DIV/0!</v>
      </c>
      <c r="Z333" s="6" t="e">
        <f ca="1">SQRT($B$9*AVERAGE(W333:OFFSET(W333,$B$7-1,0)))</f>
        <v>#DIV/0!</v>
      </c>
      <c r="AA333" s="6" t="e">
        <f ca="1">SQRT($B$9*AVERAGE(W333:OFFSET(W333,$B$8-1,0)))</f>
        <v>#DIV/0!</v>
      </c>
      <c r="AC333" s="34" t="e">
        <f t="shared" si="30"/>
        <v>#DIV/0!</v>
      </c>
      <c r="AD333" s="34" t="e">
        <f ca="1">SQRT($B$9*SUM(AC333:OFFSET(AC333,$B$5-1,0))/($B$5-1))</f>
        <v>#DIV/0!</v>
      </c>
      <c r="AE333" s="34" t="e">
        <f ca="1">SQRT($B$9*SUM(AC333:OFFSET(AC333,$B$6-1,0))/($B$6-1))</f>
        <v>#DIV/0!</v>
      </c>
      <c r="AF333" s="34" t="e">
        <f ca="1">SQRT($B$9*SUM(AC333:OFFSET(AC333,$B$7-1,0))/($B$7-1))</f>
        <v>#DIV/0!</v>
      </c>
      <c r="AG333" s="34" t="e">
        <f ca="1">SQRT($B$9*SUM(AC333:OFFSET(AC333,$B$8-1,0))/($B$8-1))</f>
        <v>#DIV/0!</v>
      </c>
      <c r="AI333" s="1" t="e">
        <f t="shared" si="31"/>
        <v>#DIV/0!</v>
      </c>
      <c r="AJ333" s="4" t="e">
        <f ca="1">SQRT($B$9)*_xlfn.STDEV.S(AI333:OFFSET(AI333,$B$5-1,0))</f>
        <v>#DIV/0!</v>
      </c>
      <c r="AK333" s="4" t="e">
        <f ca="1">SQRT($B$9)*_xlfn.STDEV.S(AI333:OFFSET(AI333,$B$6-1,0))</f>
        <v>#DIV/0!</v>
      </c>
      <c r="AL333" s="4" t="e">
        <f ca="1">SQRT($B$9)*_xlfn.STDEV.S(AI333:OFFSET(AI333,$B$7-1,0))</f>
        <v>#DIV/0!</v>
      </c>
      <c r="AM333" s="4" t="e">
        <f ca="1">SQRT($B$9)*_xlfn.STDEV.S(AI333:OFFSET(AI333,$B$8-1,0))</f>
        <v>#DIV/0!</v>
      </c>
    </row>
    <row r="334" spans="5:39" x14ac:dyDescent="0.2">
      <c r="E334" s="42">
        <v>45162</v>
      </c>
      <c r="F334" s="43"/>
      <c r="G334" s="43"/>
      <c r="H334" s="43"/>
      <c r="I334" s="43"/>
      <c r="K334" s="3" t="e">
        <f t="shared" si="34"/>
        <v>#DIV/0!</v>
      </c>
      <c r="L334" s="3" t="e">
        <f ca="1">SQRT(AVERAGE(K334:OFFSET(K334,$B$5-1,0))*$B$9/(4*LN(2)))</f>
        <v>#DIV/0!</v>
      </c>
      <c r="M334" s="3" t="e">
        <f ca="1">SQRT(AVERAGE(K334:OFFSET(K334,$B$6-1,0))*$B$9/(4*LN(2)))</f>
        <v>#DIV/0!</v>
      </c>
      <c r="N334" s="3" t="e">
        <f ca="1">SQRT(AVERAGE(K334:OFFSET(K334,$B$7-1,0))*$B$9/(4*LN(2)))</f>
        <v>#DIV/0!</v>
      </c>
      <c r="O334" s="3" t="e">
        <f ca="1">SQRT(AVERAGE(K334:OFFSET(K334,$B$8-1,0))*$B$9/(4*LN(2)))</f>
        <v>#DIV/0!</v>
      </c>
      <c r="Q334" s="5" t="e">
        <f t="shared" si="33"/>
        <v>#DIV/0!</v>
      </c>
      <c r="R334" s="5" t="e">
        <f ca="1">SQRT($B$9*AVERAGE((Q334:OFFSET(Q334,$B$5-1,0))))</f>
        <v>#DIV/0!</v>
      </c>
      <c r="S334" s="5" t="e">
        <f ca="1">SQRT($B$9*AVERAGE((Q334:OFFSET(Q334,$B$6-1,0))))</f>
        <v>#DIV/0!</v>
      </c>
      <c r="T334" s="5" t="e">
        <f ca="1">SQRT($B$9*AVERAGE((Q334:OFFSET(Q334,$B$7-1,0))))</f>
        <v>#DIV/0!</v>
      </c>
      <c r="U334" s="5" t="e">
        <f ca="1">SQRT($B$9*AVERAGE((Q334:OFFSET(Q334,$B$8-1,0))))</f>
        <v>#DIV/0!</v>
      </c>
      <c r="W334" s="6" t="e">
        <f t="shared" si="32"/>
        <v>#DIV/0!</v>
      </c>
      <c r="X334" s="6" t="e">
        <f ca="1">SQRT($B$9*AVERAGE(W334:OFFSET(W334,$B$5-1,0)))</f>
        <v>#DIV/0!</v>
      </c>
      <c r="Y334" s="6" t="e">
        <f ca="1">SQRT($B$9*AVERAGE(W334:OFFSET(W334,$B$6-1,0)))</f>
        <v>#DIV/0!</v>
      </c>
      <c r="Z334" s="6" t="e">
        <f ca="1">SQRT($B$9*AVERAGE(W334:OFFSET(W334,$B$7-1,0)))</f>
        <v>#DIV/0!</v>
      </c>
      <c r="AA334" s="6" t="e">
        <f ca="1">SQRT($B$9*AVERAGE(W334:OFFSET(W334,$B$8-1,0)))</f>
        <v>#DIV/0!</v>
      </c>
      <c r="AC334" s="34" t="e">
        <f t="shared" si="30"/>
        <v>#DIV/0!</v>
      </c>
      <c r="AD334" s="34" t="e">
        <f ca="1">SQRT($B$9*SUM(AC334:OFFSET(AC334,$B$5-1,0))/($B$5-1))</f>
        <v>#DIV/0!</v>
      </c>
      <c r="AE334" s="34" t="e">
        <f ca="1">SQRT($B$9*SUM(AC334:OFFSET(AC334,$B$6-1,0))/($B$6-1))</f>
        <v>#DIV/0!</v>
      </c>
      <c r="AF334" s="34" t="e">
        <f ca="1">SQRT($B$9*SUM(AC334:OFFSET(AC334,$B$7-1,0))/($B$7-1))</f>
        <v>#DIV/0!</v>
      </c>
      <c r="AG334" s="34" t="e">
        <f ca="1">SQRT($B$9*SUM(AC334:OFFSET(AC334,$B$8-1,0))/($B$8-1))</f>
        <v>#DIV/0!</v>
      </c>
      <c r="AI334" s="1" t="e">
        <f t="shared" si="31"/>
        <v>#DIV/0!</v>
      </c>
      <c r="AJ334" s="4" t="e">
        <f ca="1">SQRT($B$9)*_xlfn.STDEV.S(AI334:OFFSET(AI334,$B$5-1,0))</f>
        <v>#DIV/0!</v>
      </c>
      <c r="AK334" s="4" t="e">
        <f ca="1">SQRT($B$9)*_xlfn.STDEV.S(AI334:OFFSET(AI334,$B$6-1,0))</f>
        <v>#DIV/0!</v>
      </c>
      <c r="AL334" s="4" t="e">
        <f ca="1">SQRT($B$9)*_xlfn.STDEV.S(AI334:OFFSET(AI334,$B$7-1,0))</f>
        <v>#DIV/0!</v>
      </c>
      <c r="AM334" s="4" t="e">
        <f ca="1">SQRT($B$9)*_xlfn.STDEV.S(AI334:OFFSET(AI334,$B$8-1,0))</f>
        <v>#DIV/0!</v>
      </c>
    </row>
    <row r="335" spans="5:39" x14ac:dyDescent="0.2">
      <c r="E335" s="42">
        <v>45161</v>
      </c>
      <c r="F335" s="43"/>
      <c r="G335" s="43"/>
      <c r="H335" s="43"/>
      <c r="I335" s="43"/>
      <c r="K335" s="3" t="e">
        <f t="shared" si="34"/>
        <v>#DIV/0!</v>
      </c>
      <c r="L335" s="3" t="e">
        <f ca="1">SQRT(AVERAGE(K335:OFFSET(K335,$B$5-1,0))*$B$9/(4*LN(2)))</f>
        <v>#DIV/0!</v>
      </c>
      <c r="M335" s="3" t="e">
        <f ca="1">SQRT(AVERAGE(K335:OFFSET(K335,$B$6-1,0))*$B$9/(4*LN(2)))</f>
        <v>#DIV/0!</v>
      </c>
      <c r="N335" s="3" t="e">
        <f ca="1">SQRT(AVERAGE(K335:OFFSET(K335,$B$7-1,0))*$B$9/(4*LN(2)))</f>
        <v>#DIV/0!</v>
      </c>
      <c r="O335" s="3" t="e">
        <f ca="1">SQRT(AVERAGE(K335:OFFSET(K335,$B$8-1,0))*$B$9/(4*LN(2)))</f>
        <v>#DIV/0!</v>
      </c>
      <c r="Q335" s="5" t="e">
        <f t="shared" si="33"/>
        <v>#DIV/0!</v>
      </c>
      <c r="R335" s="5" t="e">
        <f ca="1">SQRT($B$9*AVERAGE((Q335:OFFSET(Q335,$B$5-1,0))))</f>
        <v>#DIV/0!</v>
      </c>
      <c r="S335" s="5" t="e">
        <f ca="1">SQRT($B$9*AVERAGE((Q335:OFFSET(Q335,$B$6-1,0))))</f>
        <v>#DIV/0!</v>
      </c>
      <c r="T335" s="5" t="e">
        <f ca="1">SQRT($B$9*AVERAGE((Q335:OFFSET(Q335,$B$7-1,0))))</f>
        <v>#DIV/0!</v>
      </c>
      <c r="U335" s="5" t="e">
        <f ca="1">SQRT($B$9*AVERAGE((Q335:OFFSET(Q335,$B$8-1,0))))</f>
        <v>#DIV/0!</v>
      </c>
      <c r="W335" s="6" t="e">
        <f t="shared" si="32"/>
        <v>#DIV/0!</v>
      </c>
      <c r="X335" s="6" t="e">
        <f ca="1">SQRT($B$9*AVERAGE(W335:OFFSET(W335,$B$5-1,0)))</f>
        <v>#DIV/0!</v>
      </c>
      <c r="Y335" s="6" t="e">
        <f ca="1">SQRT($B$9*AVERAGE(W335:OFFSET(W335,$B$6-1,0)))</f>
        <v>#DIV/0!</v>
      </c>
      <c r="Z335" s="6" t="e">
        <f ca="1">SQRT($B$9*AVERAGE(W335:OFFSET(W335,$B$7-1,0)))</f>
        <v>#DIV/0!</v>
      </c>
      <c r="AA335" s="6" t="e">
        <f ca="1">SQRT($B$9*AVERAGE(W335:OFFSET(W335,$B$8-1,0)))</f>
        <v>#DIV/0!</v>
      </c>
      <c r="AC335" s="34" t="e">
        <f t="shared" si="30"/>
        <v>#DIV/0!</v>
      </c>
      <c r="AD335" s="34" t="e">
        <f ca="1">SQRT($B$9*SUM(AC335:OFFSET(AC335,$B$5-1,0))/($B$5-1))</f>
        <v>#DIV/0!</v>
      </c>
      <c r="AE335" s="34" t="e">
        <f ca="1">SQRT($B$9*SUM(AC335:OFFSET(AC335,$B$6-1,0))/($B$6-1))</f>
        <v>#DIV/0!</v>
      </c>
      <c r="AF335" s="34" t="e">
        <f ca="1">SQRT($B$9*SUM(AC335:OFFSET(AC335,$B$7-1,0))/($B$7-1))</f>
        <v>#DIV/0!</v>
      </c>
      <c r="AG335" s="34" t="e">
        <f ca="1">SQRT($B$9*SUM(AC335:OFFSET(AC335,$B$8-1,0))/($B$8-1))</f>
        <v>#DIV/0!</v>
      </c>
      <c r="AI335" s="1" t="e">
        <f t="shared" si="31"/>
        <v>#DIV/0!</v>
      </c>
      <c r="AJ335" s="4" t="e">
        <f ca="1">SQRT($B$9)*_xlfn.STDEV.S(AI335:OFFSET(AI335,$B$5-1,0))</f>
        <v>#DIV/0!</v>
      </c>
      <c r="AK335" s="4" t="e">
        <f ca="1">SQRT($B$9)*_xlfn.STDEV.S(AI335:OFFSET(AI335,$B$6-1,0))</f>
        <v>#DIV/0!</v>
      </c>
      <c r="AL335" s="4" t="e">
        <f ca="1">SQRT($B$9)*_xlfn.STDEV.S(AI335:OFFSET(AI335,$B$7-1,0))</f>
        <v>#DIV/0!</v>
      </c>
      <c r="AM335" s="4" t="e">
        <f ca="1">SQRT($B$9)*_xlfn.STDEV.S(AI335:OFFSET(AI335,$B$8-1,0))</f>
        <v>#DIV/0!</v>
      </c>
    </row>
    <row r="336" spans="5:39" x14ac:dyDescent="0.2">
      <c r="E336" s="42">
        <v>45160</v>
      </c>
      <c r="F336" s="43"/>
      <c r="G336" s="43"/>
      <c r="H336" s="43"/>
      <c r="I336" s="43"/>
      <c r="K336" s="3" t="e">
        <f t="shared" si="34"/>
        <v>#DIV/0!</v>
      </c>
      <c r="L336" s="3" t="e">
        <f ca="1">SQRT(AVERAGE(K336:OFFSET(K336,$B$5-1,0))*$B$9/(4*LN(2)))</f>
        <v>#DIV/0!</v>
      </c>
      <c r="M336" s="3" t="e">
        <f ca="1">SQRT(AVERAGE(K336:OFFSET(K336,$B$6-1,0))*$B$9/(4*LN(2)))</f>
        <v>#DIV/0!</v>
      </c>
      <c r="N336" s="3" t="e">
        <f ca="1">SQRT(AVERAGE(K336:OFFSET(K336,$B$7-1,0))*$B$9/(4*LN(2)))</f>
        <v>#DIV/0!</v>
      </c>
      <c r="O336" s="3" t="e">
        <f ca="1">SQRT(AVERAGE(K336:OFFSET(K336,$B$8-1,0))*$B$9/(4*LN(2)))</f>
        <v>#DIV/0!</v>
      </c>
      <c r="Q336" s="5" t="e">
        <f t="shared" si="33"/>
        <v>#DIV/0!</v>
      </c>
      <c r="R336" s="5" t="e">
        <f ca="1">SQRT($B$9*AVERAGE((Q336:OFFSET(Q336,$B$5-1,0))))</f>
        <v>#DIV/0!</v>
      </c>
      <c r="S336" s="5" t="e">
        <f ca="1">SQRT($B$9*AVERAGE((Q336:OFFSET(Q336,$B$6-1,0))))</f>
        <v>#DIV/0!</v>
      </c>
      <c r="T336" s="5" t="e">
        <f ca="1">SQRT($B$9*AVERAGE((Q336:OFFSET(Q336,$B$7-1,0))))</f>
        <v>#DIV/0!</v>
      </c>
      <c r="U336" s="5" t="e">
        <f ca="1">SQRT($B$9*AVERAGE((Q336:OFFSET(Q336,$B$8-1,0))))</f>
        <v>#DIV/0!</v>
      </c>
      <c r="W336" s="6" t="e">
        <f t="shared" si="32"/>
        <v>#DIV/0!</v>
      </c>
      <c r="X336" s="6" t="e">
        <f ca="1">SQRT($B$9*AVERAGE(W336:OFFSET(W336,$B$5-1,0)))</f>
        <v>#DIV/0!</v>
      </c>
      <c r="Y336" s="6" t="e">
        <f ca="1">SQRT($B$9*AVERAGE(W336:OFFSET(W336,$B$6-1,0)))</f>
        <v>#DIV/0!</v>
      </c>
      <c r="Z336" s="6" t="e">
        <f ca="1">SQRT($B$9*AVERAGE(W336:OFFSET(W336,$B$7-1,0)))</f>
        <v>#DIV/0!</v>
      </c>
      <c r="AA336" s="6" t="e">
        <f ca="1">SQRT($B$9*AVERAGE(W336:OFFSET(W336,$B$8-1,0)))</f>
        <v>#DIV/0!</v>
      </c>
      <c r="AC336" s="34" t="e">
        <f t="shared" si="30"/>
        <v>#DIV/0!</v>
      </c>
      <c r="AD336" s="34" t="e">
        <f ca="1">SQRT($B$9*SUM(AC336:OFFSET(AC336,$B$5-1,0))/($B$5-1))</f>
        <v>#DIV/0!</v>
      </c>
      <c r="AE336" s="34" t="e">
        <f ca="1">SQRT($B$9*SUM(AC336:OFFSET(AC336,$B$6-1,0))/($B$6-1))</f>
        <v>#DIV/0!</v>
      </c>
      <c r="AF336" s="34" t="e">
        <f ca="1">SQRT($B$9*SUM(AC336:OFFSET(AC336,$B$7-1,0))/($B$7-1))</f>
        <v>#DIV/0!</v>
      </c>
      <c r="AG336" s="34" t="e">
        <f ca="1">SQRT($B$9*SUM(AC336:OFFSET(AC336,$B$8-1,0))/($B$8-1))</f>
        <v>#DIV/0!</v>
      </c>
      <c r="AI336" s="1" t="e">
        <f t="shared" si="31"/>
        <v>#DIV/0!</v>
      </c>
      <c r="AJ336" s="4" t="e">
        <f ca="1">SQRT($B$9)*_xlfn.STDEV.S(AI336:OFFSET(AI336,$B$5-1,0))</f>
        <v>#DIV/0!</v>
      </c>
      <c r="AK336" s="4" t="e">
        <f ca="1">SQRT($B$9)*_xlfn.STDEV.S(AI336:OFFSET(AI336,$B$6-1,0))</f>
        <v>#DIV/0!</v>
      </c>
      <c r="AL336" s="4" t="e">
        <f ca="1">SQRT($B$9)*_xlfn.STDEV.S(AI336:OFFSET(AI336,$B$7-1,0))</f>
        <v>#DIV/0!</v>
      </c>
      <c r="AM336" s="4" t="e">
        <f ca="1">SQRT($B$9)*_xlfn.STDEV.S(AI336:OFFSET(AI336,$B$8-1,0))</f>
        <v>#DIV/0!</v>
      </c>
    </row>
    <row r="337" spans="5:39" x14ac:dyDescent="0.2">
      <c r="E337" s="42">
        <v>45159</v>
      </c>
      <c r="F337" s="43"/>
      <c r="G337" s="43"/>
      <c r="H337" s="43"/>
      <c r="I337" s="43"/>
      <c r="K337" s="3" t="e">
        <f t="shared" si="34"/>
        <v>#DIV/0!</v>
      </c>
      <c r="L337" s="3" t="e">
        <f ca="1">SQRT(AVERAGE(K337:OFFSET(K337,$B$5-1,0))*$B$9/(4*LN(2)))</f>
        <v>#DIV/0!</v>
      </c>
      <c r="M337" s="3" t="e">
        <f ca="1">SQRT(AVERAGE(K337:OFFSET(K337,$B$6-1,0))*$B$9/(4*LN(2)))</f>
        <v>#DIV/0!</v>
      </c>
      <c r="N337" s="3" t="e">
        <f ca="1">SQRT(AVERAGE(K337:OFFSET(K337,$B$7-1,0))*$B$9/(4*LN(2)))</f>
        <v>#DIV/0!</v>
      </c>
      <c r="O337" s="3" t="e">
        <f ca="1">SQRT(AVERAGE(K337:OFFSET(K337,$B$8-1,0))*$B$9/(4*LN(2)))</f>
        <v>#DIV/0!</v>
      </c>
      <c r="Q337" s="5" t="e">
        <f t="shared" si="33"/>
        <v>#DIV/0!</v>
      </c>
      <c r="R337" s="5" t="e">
        <f ca="1">SQRT($B$9*AVERAGE((Q337:OFFSET(Q337,$B$5-1,0))))</f>
        <v>#DIV/0!</v>
      </c>
      <c r="S337" s="5" t="e">
        <f ca="1">SQRT($B$9*AVERAGE((Q337:OFFSET(Q337,$B$6-1,0))))</f>
        <v>#DIV/0!</v>
      </c>
      <c r="T337" s="5" t="e">
        <f ca="1">SQRT($B$9*AVERAGE((Q337:OFFSET(Q337,$B$7-1,0))))</f>
        <v>#DIV/0!</v>
      </c>
      <c r="U337" s="5" t="e">
        <f ca="1">SQRT($B$9*AVERAGE((Q337:OFFSET(Q337,$B$8-1,0))))</f>
        <v>#DIV/0!</v>
      </c>
      <c r="W337" s="6" t="e">
        <f t="shared" si="32"/>
        <v>#DIV/0!</v>
      </c>
      <c r="X337" s="6" t="e">
        <f ca="1">SQRT($B$9*AVERAGE(W337:OFFSET(W337,$B$5-1,0)))</f>
        <v>#DIV/0!</v>
      </c>
      <c r="Y337" s="6" t="e">
        <f ca="1">SQRT($B$9*AVERAGE(W337:OFFSET(W337,$B$6-1,0)))</f>
        <v>#DIV/0!</v>
      </c>
      <c r="Z337" s="6" t="e">
        <f ca="1">SQRT($B$9*AVERAGE(W337:OFFSET(W337,$B$7-1,0)))</f>
        <v>#DIV/0!</v>
      </c>
      <c r="AA337" s="6" t="e">
        <f ca="1">SQRT($B$9*AVERAGE(W337:OFFSET(W337,$B$8-1,0)))</f>
        <v>#DIV/0!</v>
      </c>
      <c r="AC337" s="34" t="e">
        <f t="shared" ref="AC337:AC400" si="35">(LN(I337/I338))^2</f>
        <v>#DIV/0!</v>
      </c>
      <c r="AD337" s="34" t="e">
        <f ca="1">SQRT($B$9*SUM(AC337:OFFSET(AC337,$B$5-1,0))/($B$5-1))</f>
        <v>#DIV/0!</v>
      </c>
      <c r="AE337" s="34" t="e">
        <f ca="1">SQRT($B$9*SUM(AC337:OFFSET(AC337,$B$6-1,0))/($B$6-1))</f>
        <v>#DIV/0!</v>
      </c>
      <c r="AF337" s="34" t="e">
        <f ca="1">SQRT($B$9*SUM(AC337:OFFSET(AC337,$B$7-1,0))/($B$7-1))</f>
        <v>#DIV/0!</v>
      </c>
      <c r="AG337" s="34" t="e">
        <f ca="1">SQRT($B$9*SUM(AC337:OFFSET(AC337,$B$8-1,0))/($B$8-1))</f>
        <v>#DIV/0!</v>
      </c>
      <c r="AI337" s="1" t="e">
        <f t="shared" si="31"/>
        <v>#DIV/0!</v>
      </c>
      <c r="AJ337" s="4" t="e">
        <f ca="1">SQRT($B$9)*_xlfn.STDEV.S(AI337:OFFSET(AI337,$B$5-1,0))</f>
        <v>#DIV/0!</v>
      </c>
      <c r="AK337" s="4" t="e">
        <f ca="1">SQRT($B$9)*_xlfn.STDEV.S(AI337:OFFSET(AI337,$B$6-1,0))</f>
        <v>#DIV/0!</v>
      </c>
      <c r="AL337" s="4" t="e">
        <f ca="1">SQRT($B$9)*_xlfn.STDEV.S(AI337:OFFSET(AI337,$B$7-1,0))</f>
        <v>#DIV/0!</v>
      </c>
      <c r="AM337" s="4" t="e">
        <f ca="1">SQRT($B$9)*_xlfn.STDEV.S(AI337:OFFSET(AI337,$B$8-1,0))</f>
        <v>#DIV/0!</v>
      </c>
    </row>
    <row r="338" spans="5:39" x14ac:dyDescent="0.2">
      <c r="E338" s="42">
        <v>45156</v>
      </c>
      <c r="F338" s="43"/>
      <c r="G338" s="43"/>
      <c r="H338" s="43"/>
      <c r="I338" s="43"/>
      <c r="K338" s="3" t="e">
        <f t="shared" si="34"/>
        <v>#DIV/0!</v>
      </c>
      <c r="L338" s="3" t="e">
        <f ca="1">SQRT(AVERAGE(K338:OFFSET(K338,$B$5-1,0))*$B$9/(4*LN(2)))</f>
        <v>#DIV/0!</v>
      </c>
      <c r="M338" s="3" t="e">
        <f ca="1">SQRT(AVERAGE(K338:OFFSET(K338,$B$6-1,0))*$B$9/(4*LN(2)))</f>
        <v>#DIV/0!</v>
      </c>
      <c r="N338" s="3" t="e">
        <f ca="1">SQRT(AVERAGE(K338:OFFSET(K338,$B$7-1,0))*$B$9/(4*LN(2)))</f>
        <v>#DIV/0!</v>
      </c>
      <c r="O338" s="3" t="e">
        <f ca="1">SQRT(AVERAGE(K338:OFFSET(K338,$B$8-1,0))*$B$9/(4*LN(2)))</f>
        <v>#DIV/0!</v>
      </c>
      <c r="Q338" s="5" t="e">
        <f t="shared" si="33"/>
        <v>#DIV/0!</v>
      </c>
      <c r="R338" s="5" t="e">
        <f ca="1">SQRT($B$9*AVERAGE((Q338:OFFSET(Q338,$B$5-1,0))))</f>
        <v>#DIV/0!</v>
      </c>
      <c r="S338" s="5" t="e">
        <f ca="1">SQRT($B$9*AVERAGE((Q338:OFFSET(Q338,$B$6-1,0))))</f>
        <v>#DIV/0!</v>
      </c>
      <c r="T338" s="5" t="e">
        <f ca="1">SQRT($B$9*AVERAGE((Q338:OFFSET(Q338,$B$7-1,0))))</f>
        <v>#DIV/0!</v>
      </c>
      <c r="U338" s="5" t="e">
        <f ca="1">SQRT($B$9*AVERAGE((Q338:OFFSET(Q338,$B$8-1,0))))</f>
        <v>#DIV/0!</v>
      </c>
      <c r="W338" s="6" t="e">
        <f t="shared" si="32"/>
        <v>#DIV/0!</v>
      </c>
      <c r="X338" s="6" t="e">
        <f ca="1">SQRT($B$9*AVERAGE(W338:OFFSET(W338,$B$5-1,0)))</f>
        <v>#DIV/0!</v>
      </c>
      <c r="Y338" s="6" t="e">
        <f ca="1">SQRT($B$9*AVERAGE(W338:OFFSET(W338,$B$6-1,0)))</f>
        <v>#DIV/0!</v>
      </c>
      <c r="Z338" s="6" t="e">
        <f ca="1">SQRT($B$9*AVERAGE(W338:OFFSET(W338,$B$7-1,0)))</f>
        <v>#DIV/0!</v>
      </c>
      <c r="AA338" s="6" t="e">
        <f ca="1">SQRT($B$9*AVERAGE(W338:OFFSET(W338,$B$8-1,0)))</f>
        <v>#DIV/0!</v>
      </c>
      <c r="AC338" s="34" t="e">
        <f t="shared" si="35"/>
        <v>#DIV/0!</v>
      </c>
      <c r="AD338" s="34" t="e">
        <f ca="1">SQRT($B$9*SUM(AC338:OFFSET(AC338,$B$5-1,0))/($B$5-1))</f>
        <v>#DIV/0!</v>
      </c>
      <c r="AE338" s="34" t="e">
        <f ca="1">SQRT($B$9*SUM(AC338:OFFSET(AC338,$B$6-1,0))/($B$6-1))</f>
        <v>#DIV/0!</v>
      </c>
      <c r="AF338" s="34" t="e">
        <f ca="1">SQRT($B$9*SUM(AC338:OFFSET(AC338,$B$7-1,0))/($B$7-1))</f>
        <v>#DIV/0!</v>
      </c>
      <c r="AG338" s="34" t="e">
        <f ca="1">SQRT($B$9*SUM(AC338:OFFSET(AC338,$B$8-1,0))/($B$8-1))</f>
        <v>#DIV/0!</v>
      </c>
      <c r="AI338" s="1" t="e">
        <f t="shared" si="31"/>
        <v>#DIV/0!</v>
      </c>
      <c r="AJ338" s="4" t="e">
        <f ca="1">SQRT($B$9)*_xlfn.STDEV.S(AI338:OFFSET(AI338,$B$5-1,0))</f>
        <v>#DIV/0!</v>
      </c>
      <c r="AK338" s="4" t="e">
        <f ca="1">SQRT($B$9)*_xlfn.STDEV.S(AI338:OFFSET(AI338,$B$6-1,0))</f>
        <v>#DIV/0!</v>
      </c>
      <c r="AL338" s="4" t="e">
        <f ca="1">SQRT($B$9)*_xlfn.STDEV.S(AI338:OFFSET(AI338,$B$7-1,0))</f>
        <v>#DIV/0!</v>
      </c>
      <c r="AM338" s="4" t="e">
        <f ca="1">SQRT($B$9)*_xlfn.STDEV.S(AI338:OFFSET(AI338,$B$8-1,0))</f>
        <v>#DIV/0!</v>
      </c>
    </row>
    <row r="339" spans="5:39" x14ac:dyDescent="0.2">
      <c r="E339" s="42">
        <v>45155</v>
      </c>
      <c r="F339" s="43"/>
      <c r="G339" s="43"/>
      <c r="H339" s="43"/>
      <c r="I339" s="43"/>
      <c r="K339" s="3" t="e">
        <f t="shared" si="34"/>
        <v>#DIV/0!</v>
      </c>
      <c r="L339" s="3" t="e">
        <f ca="1">SQRT(AVERAGE(K339:OFFSET(K339,$B$5-1,0))*$B$9/(4*LN(2)))</f>
        <v>#DIV/0!</v>
      </c>
      <c r="M339" s="3" t="e">
        <f ca="1">SQRT(AVERAGE(K339:OFFSET(K339,$B$6-1,0))*$B$9/(4*LN(2)))</f>
        <v>#DIV/0!</v>
      </c>
      <c r="N339" s="3" t="e">
        <f ca="1">SQRT(AVERAGE(K339:OFFSET(K339,$B$7-1,0))*$B$9/(4*LN(2)))</f>
        <v>#DIV/0!</v>
      </c>
      <c r="O339" s="3" t="e">
        <f ca="1">SQRT(AVERAGE(K339:OFFSET(K339,$B$8-1,0))*$B$9/(4*LN(2)))</f>
        <v>#DIV/0!</v>
      </c>
      <c r="Q339" s="5" t="e">
        <f t="shared" si="33"/>
        <v>#DIV/0!</v>
      </c>
      <c r="R339" s="5" t="e">
        <f ca="1">SQRT($B$9*AVERAGE((Q339:OFFSET(Q339,$B$5-1,0))))</f>
        <v>#DIV/0!</v>
      </c>
      <c r="S339" s="5" t="e">
        <f ca="1">SQRT($B$9*AVERAGE((Q339:OFFSET(Q339,$B$6-1,0))))</f>
        <v>#DIV/0!</v>
      </c>
      <c r="T339" s="5" t="e">
        <f ca="1">SQRT($B$9*AVERAGE((Q339:OFFSET(Q339,$B$7-1,0))))</f>
        <v>#DIV/0!</v>
      </c>
      <c r="U339" s="5" t="e">
        <f ca="1">SQRT($B$9*AVERAGE((Q339:OFFSET(Q339,$B$8-1,0))))</f>
        <v>#DIV/0!</v>
      </c>
      <c r="W339" s="6" t="e">
        <f t="shared" si="32"/>
        <v>#DIV/0!</v>
      </c>
      <c r="X339" s="6" t="e">
        <f ca="1">SQRT($B$9*AVERAGE(W339:OFFSET(W339,$B$5-1,0)))</f>
        <v>#DIV/0!</v>
      </c>
      <c r="Y339" s="6" t="e">
        <f ca="1">SQRT($B$9*AVERAGE(W339:OFFSET(W339,$B$6-1,0)))</f>
        <v>#DIV/0!</v>
      </c>
      <c r="Z339" s="6" t="e">
        <f ca="1">SQRT($B$9*AVERAGE(W339:OFFSET(W339,$B$7-1,0)))</f>
        <v>#DIV/0!</v>
      </c>
      <c r="AA339" s="6" t="e">
        <f ca="1">SQRT($B$9*AVERAGE(W339:OFFSET(W339,$B$8-1,0)))</f>
        <v>#DIV/0!</v>
      </c>
      <c r="AC339" s="34" t="e">
        <f t="shared" si="35"/>
        <v>#DIV/0!</v>
      </c>
      <c r="AD339" s="34" t="e">
        <f ca="1">SQRT($B$9*SUM(AC339:OFFSET(AC339,$B$5-1,0))/($B$5-1))</f>
        <v>#DIV/0!</v>
      </c>
      <c r="AE339" s="34" t="e">
        <f ca="1">SQRT($B$9*SUM(AC339:OFFSET(AC339,$B$6-1,0))/($B$6-1))</f>
        <v>#DIV/0!</v>
      </c>
      <c r="AF339" s="34" t="e">
        <f ca="1">SQRT($B$9*SUM(AC339:OFFSET(AC339,$B$7-1,0))/($B$7-1))</f>
        <v>#DIV/0!</v>
      </c>
      <c r="AG339" s="34" t="e">
        <f ca="1">SQRT($B$9*SUM(AC339:OFFSET(AC339,$B$8-1,0))/($B$8-1))</f>
        <v>#DIV/0!</v>
      </c>
      <c r="AI339" s="1" t="e">
        <f t="shared" ref="AI339:AI402" si="36">LN(I339/I340)</f>
        <v>#DIV/0!</v>
      </c>
      <c r="AJ339" s="4" t="e">
        <f ca="1">SQRT($B$9)*_xlfn.STDEV.S(AI339:OFFSET(AI339,$B$5-1,0))</f>
        <v>#DIV/0!</v>
      </c>
      <c r="AK339" s="4" t="e">
        <f ca="1">SQRT($B$9)*_xlfn.STDEV.S(AI339:OFFSET(AI339,$B$6-1,0))</f>
        <v>#DIV/0!</v>
      </c>
      <c r="AL339" s="4" t="e">
        <f ca="1">SQRT($B$9)*_xlfn.STDEV.S(AI339:OFFSET(AI339,$B$7-1,0))</f>
        <v>#DIV/0!</v>
      </c>
      <c r="AM339" s="4" t="e">
        <f ca="1">SQRT($B$9)*_xlfn.STDEV.S(AI339:OFFSET(AI339,$B$8-1,0))</f>
        <v>#DIV/0!</v>
      </c>
    </row>
    <row r="340" spans="5:39" x14ac:dyDescent="0.2">
      <c r="E340" s="42">
        <v>45154</v>
      </c>
      <c r="F340" s="43"/>
      <c r="G340" s="43"/>
      <c r="H340" s="43"/>
      <c r="I340" s="43"/>
      <c r="K340" s="3" t="e">
        <f t="shared" si="34"/>
        <v>#DIV/0!</v>
      </c>
      <c r="L340" s="3" t="e">
        <f ca="1">SQRT(AVERAGE(K340:OFFSET(K340,$B$5-1,0))*$B$9/(4*LN(2)))</f>
        <v>#DIV/0!</v>
      </c>
      <c r="M340" s="3" t="e">
        <f ca="1">SQRT(AVERAGE(K340:OFFSET(K340,$B$6-1,0))*$B$9/(4*LN(2)))</f>
        <v>#DIV/0!</v>
      </c>
      <c r="N340" s="3" t="e">
        <f ca="1">SQRT(AVERAGE(K340:OFFSET(K340,$B$7-1,0))*$B$9/(4*LN(2)))</f>
        <v>#DIV/0!</v>
      </c>
      <c r="O340" s="3" t="e">
        <f ca="1">SQRT(AVERAGE(K340:OFFSET(K340,$B$8-1,0))*$B$9/(4*LN(2)))</f>
        <v>#DIV/0!</v>
      </c>
      <c r="Q340" s="5" t="e">
        <f t="shared" si="33"/>
        <v>#DIV/0!</v>
      </c>
      <c r="R340" s="5" t="e">
        <f ca="1">SQRT($B$9*AVERAGE((Q340:OFFSET(Q340,$B$5-1,0))))</f>
        <v>#DIV/0!</v>
      </c>
      <c r="S340" s="5" t="e">
        <f ca="1">SQRT($B$9*AVERAGE((Q340:OFFSET(Q340,$B$6-1,0))))</f>
        <v>#DIV/0!</v>
      </c>
      <c r="T340" s="5" t="e">
        <f ca="1">SQRT($B$9*AVERAGE((Q340:OFFSET(Q340,$B$7-1,0))))</f>
        <v>#DIV/0!</v>
      </c>
      <c r="U340" s="5" t="e">
        <f ca="1">SQRT($B$9*AVERAGE((Q340:OFFSET(Q340,$B$8-1,0))))</f>
        <v>#DIV/0!</v>
      </c>
      <c r="W340" s="6" t="e">
        <f t="shared" si="32"/>
        <v>#DIV/0!</v>
      </c>
      <c r="X340" s="6" t="e">
        <f ca="1">SQRT($B$9*AVERAGE(W340:OFFSET(W340,$B$5-1,0)))</f>
        <v>#DIV/0!</v>
      </c>
      <c r="Y340" s="6" t="e">
        <f ca="1">SQRT($B$9*AVERAGE(W340:OFFSET(W340,$B$6-1,0)))</f>
        <v>#DIV/0!</v>
      </c>
      <c r="Z340" s="6" t="e">
        <f ca="1">SQRT($B$9*AVERAGE(W340:OFFSET(W340,$B$7-1,0)))</f>
        <v>#DIV/0!</v>
      </c>
      <c r="AA340" s="6" t="e">
        <f ca="1">SQRT($B$9*AVERAGE(W340:OFFSET(W340,$B$8-1,0)))</f>
        <v>#DIV/0!</v>
      </c>
      <c r="AC340" s="34" t="e">
        <f t="shared" si="35"/>
        <v>#DIV/0!</v>
      </c>
      <c r="AD340" s="34" t="e">
        <f ca="1">SQRT($B$9*SUM(AC340:OFFSET(AC340,$B$5-1,0))/($B$5-1))</f>
        <v>#DIV/0!</v>
      </c>
      <c r="AE340" s="34" t="e">
        <f ca="1">SQRT($B$9*SUM(AC340:OFFSET(AC340,$B$6-1,0))/($B$6-1))</f>
        <v>#DIV/0!</v>
      </c>
      <c r="AF340" s="34" t="e">
        <f ca="1">SQRT($B$9*SUM(AC340:OFFSET(AC340,$B$7-1,0))/($B$7-1))</f>
        <v>#DIV/0!</v>
      </c>
      <c r="AG340" s="34" t="e">
        <f ca="1">SQRT($B$9*SUM(AC340:OFFSET(AC340,$B$8-1,0))/($B$8-1))</f>
        <v>#DIV/0!</v>
      </c>
      <c r="AI340" s="1" t="e">
        <f t="shared" si="36"/>
        <v>#DIV/0!</v>
      </c>
      <c r="AJ340" s="4" t="e">
        <f ca="1">SQRT($B$9)*_xlfn.STDEV.S(AI340:OFFSET(AI340,$B$5-1,0))</f>
        <v>#DIV/0!</v>
      </c>
      <c r="AK340" s="4" t="e">
        <f ca="1">SQRT($B$9)*_xlfn.STDEV.S(AI340:OFFSET(AI340,$B$6-1,0))</f>
        <v>#DIV/0!</v>
      </c>
      <c r="AL340" s="4" t="e">
        <f ca="1">SQRT($B$9)*_xlfn.STDEV.S(AI340:OFFSET(AI340,$B$7-1,0))</f>
        <v>#DIV/0!</v>
      </c>
      <c r="AM340" s="4" t="e">
        <f ca="1">SQRT($B$9)*_xlfn.STDEV.S(AI340:OFFSET(AI340,$B$8-1,0))</f>
        <v>#DIV/0!</v>
      </c>
    </row>
    <row r="341" spans="5:39" x14ac:dyDescent="0.2">
      <c r="E341" s="42">
        <v>45153</v>
      </c>
      <c r="F341" s="43"/>
      <c r="G341" s="43"/>
      <c r="H341" s="43"/>
      <c r="I341" s="43"/>
      <c r="K341" s="3" t="e">
        <f t="shared" si="34"/>
        <v>#DIV/0!</v>
      </c>
      <c r="L341" s="3" t="e">
        <f ca="1">SQRT(AVERAGE(K341:OFFSET(K341,$B$5-1,0))*$B$9/(4*LN(2)))</f>
        <v>#DIV/0!</v>
      </c>
      <c r="M341" s="3" t="e">
        <f ca="1">SQRT(AVERAGE(K341:OFFSET(K341,$B$6-1,0))*$B$9/(4*LN(2)))</f>
        <v>#DIV/0!</v>
      </c>
      <c r="N341" s="3" t="e">
        <f ca="1">SQRT(AVERAGE(K341:OFFSET(K341,$B$7-1,0))*$B$9/(4*LN(2)))</f>
        <v>#DIV/0!</v>
      </c>
      <c r="O341" s="3" t="e">
        <f ca="1">SQRT(AVERAGE(K341:OFFSET(K341,$B$8-1,0))*$B$9/(4*LN(2)))</f>
        <v>#DIV/0!</v>
      </c>
      <c r="Q341" s="5" t="e">
        <f t="shared" si="33"/>
        <v>#DIV/0!</v>
      </c>
      <c r="R341" s="5" t="e">
        <f ca="1">SQRT($B$9*AVERAGE((Q341:OFFSET(Q341,$B$5-1,0))))</f>
        <v>#DIV/0!</v>
      </c>
      <c r="S341" s="5" t="e">
        <f ca="1">SQRT($B$9*AVERAGE((Q341:OFFSET(Q341,$B$6-1,0))))</f>
        <v>#DIV/0!</v>
      </c>
      <c r="T341" s="5" t="e">
        <f ca="1">SQRT($B$9*AVERAGE((Q341:OFFSET(Q341,$B$7-1,0))))</f>
        <v>#DIV/0!</v>
      </c>
      <c r="U341" s="5" t="e">
        <f ca="1">SQRT($B$9*AVERAGE((Q341:OFFSET(Q341,$B$8-1,0))))</f>
        <v>#DIV/0!</v>
      </c>
      <c r="W341" s="6" t="e">
        <f t="shared" si="32"/>
        <v>#DIV/0!</v>
      </c>
      <c r="X341" s="6" t="e">
        <f ca="1">SQRT($B$9*AVERAGE(W341:OFFSET(W341,$B$5-1,0)))</f>
        <v>#DIV/0!</v>
      </c>
      <c r="Y341" s="6" t="e">
        <f ca="1">SQRT($B$9*AVERAGE(W341:OFFSET(W341,$B$6-1,0)))</f>
        <v>#DIV/0!</v>
      </c>
      <c r="Z341" s="6" t="e">
        <f ca="1">SQRT($B$9*AVERAGE(W341:OFFSET(W341,$B$7-1,0)))</f>
        <v>#DIV/0!</v>
      </c>
      <c r="AA341" s="6" t="e">
        <f ca="1">SQRT($B$9*AVERAGE(W341:OFFSET(W341,$B$8-1,0)))</f>
        <v>#DIV/0!</v>
      </c>
      <c r="AC341" s="34" t="e">
        <f t="shared" si="35"/>
        <v>#DIV/0!</v>
      </c>
      <c r="AD341" s="34" t="e">
        <f ca="1">SQRT($B$9*SUM(AC341:OFFSET(AC341,$B$5-1,0))/($B$5-1))</f>
        <v>#DIV/0!</v>
      </c>
      <c r="AE341" s="34" t="e">
        <f ca="1">SQRT($B$9*SUM(AC341:OFFSET(AC341,$B$6-1,0))/($B$6-1))</f>
        <v>#DIV/0!</v>
      </c>
      <c r="AF341" s="34" t="e">
        <f ca="1">SQRT($B$9*SUM(AC341:OFFSET(AC341,$B$7-1,0))/($B$7-1))</f>
        <v>#DIV/0!</v>
      </c>
      <c r="AG341" s="34" t="e">
        <f ca="1">SQRT($B$9*SUM(AC341:OFFSET(AC341,$B$8-1,0))/($B$8-1))</f>
        <v>#DIV/0!</v>
      </c>
      <c r="AI341" s="1" t="e">
        <f t="shared" si="36"/>
        <v>#DIV/0!</v>
      </c>
      <c r="AJ341" s="4" t="e">
        <f ca="1">SQRT($B$9)*_xlfn.STDEV.S(AI341:OFFSET(AI341,$B$5-1,0))</f>
        <v>#DIV/0!</v>
      </c>
      <c r="AK341" s="4" t="e">
        <f ca="1">SQRT($B$9)*_xlfn.STDEV.S(AI341:OFFSET(AI341,$B$6-1,0))</f>
        <v>#DIV/0!</v>
      </c>
      <c r="AL341" s="4" t="e">
        <f ca="1">SQRT($B$9)*_xlfn.STDEV.S(AI341:OFFSET(AI341,$B$7-1,0))</f>
        <v>#DIV/0!</v>
      </c>
      <c r="AM341" s="4" t="e">
        <f ca="1">SQRT($B$9)*_xlfn.STDEV.S(AI341:OFFSET(AI341,$B$8-1,0))</f>
        <v>#DIV/0!</v>
      </c>
    </row>
    <row r="342" spans="5:39" x14ac:dyDescent="0.2">
      <c r="E342" s="42">
        <v>45152</v>
      </c>
      <c r="F342" s="43"/>
      <c r="G342" s="43"/>
      <c r="H342" s="43"/>
      <c r="I342" s="43"/>
      <c r="K342" s="3" t="e">
        <f t="shared" si="34"/>
        <v>#DIV/0!</v>
      </c>
      <c r="L342" s="3" t="e">
        <f ca="1">SQRT(AVERAGE(K342:OFFSET(K342,$B$5-1,0))*$B$9/(4*LN(2)))</f>
        <v>#DIV/0!</v>
      </c>
      <c r="M342" s="3" t="e">
        <f ca="1">SQRT(AVERAGE(K342:OFFSET(K342,$B$6-1,0))*$B$9/(4*LN(2)))</f>
        <v>#DIV/0!</v>
      </c>
      <c r="N342" s="3" t="e">
        <f ca="1">SQRT(AVERAGE(K342:OFFSET(K342,$B$7-1,0))*$B$9/(4*LN(2)))</f>
        <v>#DIV/0!</v>
      </c>
      <c r="O342" s="3" t="e">
        <f ca="1">SQRT(AVERAGE(K342:OFFSET(K342,$B$8-1,0))*$B$9/(4*LN(2)))</f>
        <v>#DIV/0!</v>
      </c>
      <c r="Q342" s="5" t="e">
        <f t="shared" si="33"/>
        <v>#DIV/0!</v>
      </c>
      <c r="R342" s="5" t="e">
        <f ca="1">SQRT($B$9*AVERAGE((Q342:OFFSET(Q342,$B$5-1,0))))</f>
        <v>#DIV/0!</v>
      </c>
      <c r="S342" s="5" t="e">
        <f ca="1">SQRT($B$9*AVERAGE((Q342:OFFSET(Q342,$B$6-1,0))))</f>
        <v>#DIV/0!</v>
      </c>
      <c r="T342" s="5" t="e">
        <f ca="1">SQRT($B$9*AVERAGE((Q342:OFFSET(Q342,$B$7-1,0))))</f>
        <v>#DIV/0!</v>
      </c>
      <c r="U342" s="5" t="e">
        <f ca="1">SQRT($B$9*AVERAGE((Q342:OFFSET(Q342,$B$8-1,0))))</f>
        <v>#DIV/0!</v>
      </c>
      <c r="W342" s="6" t="e">
        <f t="shared" si="32"/>
        <v>#DIV/0!</v>
      </c>
      <c r="X342" s="6" t="e">
        <f ca="1">SQRT($B$9*AVERAGE(W342:OFFSET(W342,$B$5-1,0)))</f>
        <v>#DIV/0!</v>
      </c>
      <c r="Y342" s="6" t="e">
        <f ca="1">SQRT($B$9*AVERAGE(W342:OFFSET(W342,$B$6-1,0)))</f>
        <v>#DIV/0!</v>
      </c>
      <c r="Z342" s="6" t="e">
        <f ca="1">SQRT($B$9*AVERAGE(W342:OFFSET(W342,$B$7-1,0)))</f>
        <v>#DIV/0!</v>
      </c>
      <c r="AA342" s="6" t="e">
        <f ca="1">SQRT($B$9*AVERAGE(W342:OFFSET(W342,$B$8-1,0)))</f>
        <v>#DIV/0!</v>
      </c>
      <c r="AC342" s="34" t="e">
        <f t="shared" si="35"/>
        <v>#DIV/0!</v>
      </c>
      <c r="AD342" s="34" t="e">
        <f ca="1">SQRT($B$9*SUM(AC342:OFFSET(AC342,$B$5-1,0))/($B$5-1))</f>
        <v>#DIV/0!</v>
      </c>
      <c r="AE342" s="34" t="e">
        <f ca="1">SQRT($B$9*SUM(AC342:OFFSET(AC342,$B$6-1,0))/($B$6-1))</f>
        <v>#DIV/0!</v>
      </c>
      <c r="AF342" s="34" t="e">
        <f ca="1">SQRT($B$9*SUM(AC342:OFFSET(AC342,$B$7-1,0))/($B$7-1))</f>
        <v>#DIV/0!</v>
      </c>
      <c r="AG342" s="34" t="e">
        <f ca="1">SQRT($B$9*SUM(AC342:OFFSET(AC342,$B$8-1,0))/($B$8-1))</f>
        <v>#DIV/0!</v>
      </c>
      <c r="AI342" s="1" t="e">
        <f t="shared" si="36"/>
        <v>#DIV/0!</v>
      </c>
      <c r="AJ342" s="4" t="e">
        <f ca="1">SQRT($B$9)*_xlfn.STDEV.S(AI342:OFFSET(AI342,$B$5-1,0))</f>
        <v>#DIV/0!</v>
      </c>
      <c r="AK342" s="4" t="e">
        <f ca="1">SQRT($B$9)*_xlfn.STDEV.S(AI342:OFFSET(AI342,$B$6-1,0))</f>
        <v>#DIV/0!</v>
      </c>
      <c r="AL342" s="4" t="e">
        <f ca="1">SQRT($B$9)*_xlfn.STDEV.S(AI342:OFFSET(AI342,$B$7-1,0))</f>
        <v>#DIV/0!</v>
      </c>
      <c r="AM342" s="4" t="e">
        <f ca="1">SQRT($B$9)*_xlfn.STDEV.S(AI342:OFFSET(AI342,$B$8-1,0))</f>
        <v>#DIV/0!</v>
      </c>
    </row>
    <row r="343" spans="5:39" x14ac:dyDescent="0.2">
      <c r="E343" s="42">
        <v>45149</v>
      </c>
      <c r="F343" s="43"/>
      <c r="G343" s="43"/>
      <c r="H343" s="43"/>
      <c r="I343" s="43"/>
      <c r="K343" s="3" t="e">
        <f t="shared" si="34"/>
        <v>#DIV/0!</v>
      </c>
      <c r="L343" s="3" t="e">
        <f ca="1">SQRT(AVERAGE(K343:OFFSET(K343,$B$5-1,0))*$B$9/(4*LN(2)))</f>
        <v>#DIV/0!</v>
      </c>
      <c r="M343" s="3" t="e">
        <f ca="1">SQRT(AVERAGE(K343:OFFSET(K343,$B$6-1,0))*$B$9/(4*LN(2)))</f>
        <v>#DIV/0!</v>
      </c>
      <c r="N343" s="3" t="e">
        <f ca="1">SQRT(AVERAGE(K343:OFFSET(K343,$B$7-1,0))*$B$9/(4*LN(2)))</f>
        <v>#DIV/0!</v>
      </c>
      <c r="O343" s="3" t="e">
        <f ca="1">SQRT(AVERAGE(K343:OFFSET(K343,$B$8-1,0))*$B$9/(4*LN(2)))</f>
        <v>#DIV/0!</v>
      </c>
      <c r="Q343" s="5" t="e">
        <f t="shared" si="33"/>
        <v>#DIV/0!</v>
      </c>
      <c r="R343" s="5" t="e">
        <f ca="1">SQRT($B$9*AVERAGE((Q343:OFFSET(Q343,$B$5-1,0))))</f>
        <v>#DIV/0!</v>
      </c>
      <c r="S343" s="5" t="e">
        <f ca="1">SQRT($B$9*AVERAGE((Q343:OFFSET(Q343,$B$6-1,0))))</f>
        <v>#DIV/0!</v>
      </c>
      <c r="T343" s="5" t="e">
        <f ca="1">SQRT($B$9*AVERAGE((Q343:OFFSET(Q343,$B$7-1,0))))</f>
        <v>#DIV/0!</v>
      </c>
      <c r="U343" s="5" t="e">
        <f ca="1">SQRT($B$9*AVERAGE((Q343:OFFSET(Q343,$B$8-1,0))))</f>
        <v>#DIV/0!</v>
      </c>
      <c r="W343" s="6" t="e">
        <f t="shared" si="32"/>
        <v>#DIV/0!</v>
      </c>
      <c r="X343" s="6" t="e">
        <f ca="1">SQRT($B$9*AVERAGE(W343:OFFSET(W343,$B$5-1,0)))</f>
        <v>#DIV/0!</v>
      </c>
      <c r="Y343" s="6" t="e">
        <f ca="1">SQRT($B$9*AVERAGE(W343:OFFSET(W343,$B$6-1,0)))</f>
        <v>#DIV/0!</v>
      </c>
      <c r="Z343" s="6" t="e">
        <f ca="1">SQRT($B$9*AVERAGE(W343:OFFSET(W343,$B$7-1,0)))</f>
        <v>#DIV/0!</v>
      </c>
      <c r="AA343" s="6" t="e">
        <f ca="1">SQRT($B$9*AVERAGE(W343:OFFSET(W343,$B$8-1,0)))</f>
        <v>#DIV/0!</v>
      </c>
      <c r="AC343" s="34" t="e">
        <f t="shared" si="35"/>
        <v>#DIV/0!</v>
      </c>
      <c r="AD343" s="34" t="e">
        <f ca="1">SQRT($B$9*SUM(AC343:OFFSET(AC343,$B$5-1,0))/($B$5-1))</f>
        <v>#DIV/0!</v>
      </c>
      <c r="AE343" s="34" t="e">
        <f ca="1">SQRT($B$9*SUM(AC343:OFFSET(AC343,$B$6-1,0))/($B$6-1))</f>
        <v>#DIV/0!</v>
      </c>
      <c r="AF343" s="34" t="e">
        <f ca="1">SQRT($B$9*SUM(AC343:OFFSET(AC343,$B$7-1,0))/($B$7-1))</f>
        <v>#DIV/0!</v>
      </c>
      <c r="AG343" s="34" t="e">
        <f ca="1">SQRT($B$9*SUM(AC343:OFFSET(AC343,$B$8-1,0))/($B$8-1))</f>
        <v>#DIV/0!</v>
      </c>
      <c r="AI343" s="1" t="e">
        <f t="shared" si="36"/>
        <v>#DIV/0!</v>
      </c>
      <c r="AJ343" s="4" t="e">
        <f ca="1">SQRT($B$9)*_xlfn.STDEV.S(AI343:OFFSET(AI343,$B$5-1,0))</f>
        <v>#DIV/0!</v>
      </c>
      <c r="AK343" s="4" t="e">
        <f ca="1">SQRT($B$9)*_xlfn.STDEV.S(AI343:OFFSET(AI343,$B$6-1,0))</f>
        <v>#DIV/0!</v>
      </c>
      <c r="AL343" s="4" t="e">
        <f ca="1">SQRT($B$9)*_xlfn.STDEV.S(AI343:OFFSET(AI343,$B$7-1,0))</f>
        <v>#DIV/0!</v>
      </c>
      <c r="AM343" s="4" t="e">
        <f ca="1">SQRT($B$9)*_xlfn.STDEV.S(AI343:OFFSET(AI343,$B$8-1,0))</f>
        <v>#DIV/0!</v>
      </c>
    </row>
    <row r="344" spans="5:39" x14ac:dyDescent="0.2">
      <c r="E344" s="42">
        <v>45148</v>
      </c>
      <c r="F344" s="43"/>
      <c r="G344" s="43"/>
      <c r="H344" s="43"/>
      <c r="I344" s="43"/>
      <c r="K344" s="3" t="e">
        <f t="shared" si="34"/>
        <v>#DIV/0!</v>
      </c>
      <c r="L344" s="3" t="e">
        <f ca="1">SQRT(AVERAGE(K344:OFFSET(K344,$B$5-1,0))*$B$9/(4*LN(2)))</f>
        <v>#DIV/0!</v>
      </c>
      <c r="M344" s="3" t="e">
        <f ca="1">SQRT(AVERAGE(K344:OFFSET(K344,$B$6-1,0))*$B$9/(4*LN(2)))</f>
        <v>#DIV/0!</v>
      </c>
      <c r="N344" s="3" t="e">
        <f ca="1">SQRT(AVERAGE(K344:OFFSET(K344,$B$7-1,0))*$B$9/(4*LN(2)))</f>
        <v>#DIV/0!</v>
      </c>
      <c r="O344" s="3" t="e">
        <f ca="1">SQRT(AVERAGE(K344:OFFSET(K344,$B$8-1,0))*$B$9/(4*LN(2)))</f>
        <v>#DIV/0!</v>
      </c>
      <c r="Q344" s="5" t="e">
        <f t="shared" si="33"/>
        <v>#DIV/0!</v>
      </c>
      <c r="R344" s="5" t="e">
        <f ca="1">SQRT($B$9*AVERAGE((Q344:OFFSET(Q344,$B$5-1,0))))</f>
        <v>#DIV/0!</v>
      </c>
      <c r="S344" s="5" t="e">
        <f ca="1">SQRT($B$9*AVERAGE((Q344:OFFSET(Q344,$B$6-1,0))))</f>
        <v>#DIV/0!</v>
      </c>
      <c r="T344" s="5" t="e">
        <f ca="1">SQRT($B$9*AVERAGE((Q344:OFFSET(Q344,$B$7-1,0))))</f>
        <v>#DIV/0!</v>
      </c>
      <c r="U344" s="5" t="e">
        <f ca="1">SQRT($B$9*AVERAGE((Q344:OFFSET(Q344,$B$8-1,0))))</f>
        <v>#DIV/0!</v>
      </c>
      <c r="W344" s="6" t="e">
        <f t="shared" si="32"/>
        <v>#DIV/0!</v>
      </c>
      <c r="X344" s="6" t="e">
        <f ca="1">SQRT($B$9*AVERAGE(W344:OFFSET(W344,$B$5-1,0)))</f>
        <v>#DIV/0!</v>
      </c>
      <c r="Y344" s="6" t="e">
        <f ca="1">SQRT($B$9*AVERAGE(W344:OFFSET(W344,$B$6-1,0)))</f>
        <v>#DIV/0!</v>
      </c>
      <c r="Z344" s="6" t="e">
        <f ca="1">SQRT($B$9*AVERAGE(W344:OFFSET(W344,$B$7-1,0)))</f>
        <v>#DIV/0!</v>
      </c>
      <c r="AA344" s="6" t="e">
        <f ca="1">SQRT($B$9*AVERAGE(W344:OFFSET(W344,$B$8-1,0)))</f>
        <v>#DIV/0!</v>
      </c>
      <c r="AC344" s="34" t="e">
        <f t="shared" si="35"/>
        <v>#DIV/0!</v>
      </c>
      <c r="AD344" s="34" t="e">
        <f ca="1">SQRT($B$9*SUM(AC344:OFFSET(AC344,$B$5-1,0))/($B$5-1))</f>
        <v>#DIV/0!</v>
      </c>
      <c r="AE344" s="34" t="e">
        <f ca="1">SQRT($B$9*SUM(AC344:OFFSET(AC344,$B$6-1,0))/($B$6-1))</f>
        <v>#DIV/0!</v>
      </c>
      <c r="AF344" s="34" t="e">
        <f ca="1">SQRT($B$9*SUM(AC344:OFFSET(AC344,$B$7-1,0))/($B$7-1))</f>
        <v>#DIV/0!</v>
      </c>
      <c r="AG344" s="34" t="e">
        <f ca="1">SQRT($B$9*SUM(AC344:OFFSET(AC344,$B$8-1,0))/($B$8-1))</f>
        <v>#DIV/0!</v>
      </c>
      <c r="AI344" s="1" t="e">
        <f t="shared" si="36"/>
        <v>#DIV/0!</v>
      </c>
      <c r="AJ344" s="4" t="e">
        <f ca="1">SQRT($B$9)*_xlfn.STDEV.S(AI344:OFFSET(AI344,$B$5-1,0))</f>
        <v>#DIV/0!</v>
      </c>
      <c r="AK344" s="4" t="e">
        <f ca="1">SQRT($B$9)*_xlfn.STDEV.S(AI344:OFFSET(AI344,$B$6-1,0))</f>
        <v>#DIV/0!</v>
      </c>
      <c r="AL344" s="4" t="e">
        <f ca="1">SQRT($B$9)*_xlfn.STDEV.S(AI344:OFFSET(AI344,$B$7-1,0))</f>
        <v>#DIV/0!</v>
      </c>
      <c r="AM344" s="4" t="e">
        <f ca="1">SQRT($B$9)*_xlfn.STDEV.S(AI344:OFFSET(AI344,$B$8-1,0))</f>
        <v>#DIV/0!</v>
      </c>
    </row>
    <row r="345" spans="5:39" x14ac:dyDescent="0.2">
      <c r="E345" s="42">
        <v>45147</v>
      </c>
      <c r="F345" s="43"/>
      <c r="G345" s="43"/>
      <c r="H345" s="43"/>
      <c r="I345" s="43"/>
      <c r="K345" s="3" t="e">
        <f t="shared" si="34"/>
        <v>#DIV/0!</v>
      </c>
      <c r="L345" s="3" t="e">
        <f ca="1">SQRT(AVERAGE(K345:OFFSET(K345,$B$5-1,0))*$B$9/(4*LN(2)))</f>
        <v>#DIV/0!</v>
      </c>
      <c r="M345" s="3" t="e">
        <f ca="1">SQRT(AVERAGE(K345:OFFSET(K345,$B$6-1,0))*$B$9/(4*LN(2)))</f>
        <v>#DIV/0!</v>
      </c>
      <c r="N345" s="3" t="e">
        <f ca="1">SQRT(AVERAGE(K345:OFFSET(K345,$B$7-1,0))*$B$9/(4*LN(2)))</f>
        <v>#DIV/0!</v>
      </c>
      <c r="O345" s="3" t="e">
        <f ca="1">SQRT(AVERAGE(K345:OFFSET(K345,$B$8-1,0))*$B$9/(4*LN(2)))</f>
        <v>#DIV/0!</v>
      </c>
      <c r="Q345" s="5" t="e">
        <f t="shared" si="33"/>
        <v>#DIV/0!</v>
      </c>
      <c r="R345" s="5" t="e">
        <f ca="1">SQRT($B$9*AVERAGE((Q345:OFFSET(Q345,$B$5-1,0))))</f>
        <v>#DIV/0!</v>
      </c>
      <c r="S345" s="5" t="e">
        <f ca="1">SQRT($B$9*AVERAGE((Q345:OFFSET(Q345,$B$6-1,0))))</f>
        <v>#DIV/0!</v>
      </c>
      <c r="T345" s="5" t="e">
        <f ca="1">SQRT($B$9*AVERAGE((Q345:OFFSET(Q345,$B$7-1,0))))</f>
        <v>#DIV/0!</v>
      </c>
      <c r="U345" s="5" t="e">
        <f ca="1">SQRT($B$9*AVERAGE((Q345:OFFSET(Q345,$B$8-1,0))))</f>
        <v>#DIV/0!</v>
      </c>
      <c r="W345" s="6" t="e">
        <f t="shared" si="32"/>
        <v>#DIV/0!</v>
      </c>
      <c r="X345" s="6" t="e">
        <f ca="1">SQRT($B$9*AVERAGE(W345:OFFSET(W345,$B$5-1,0)))</f>
        <v>#DIV/0!</v>
      </c>
      <c r="Y345" s="6" t="e">
        <f ca="1">SQRT($B$9*AVERAGE(W345:OFFSET(W345,$B$6-1,0)))</f>
        <v>#DIV/0!</v>
      </c>
      <c r="Z345" s="6" t="e">
        <f ca="1">SQRT($B$9*AVERAGE(W345:OFFSET(W345,$B$7-1,0)))</f>
        <v>#DIV/0!</v>
      </c>
      <c r="AA345" s="6" t="e">
        <f ca="1">SQRT($B$9*AVERAGE(W345:OFFSET(W345,$B$8-1,0)))</f>
        <v>#DIV/0!</v>
      </c>
      <c r="AC345" s="34" t="e">
        <f t="shared" si="35"/>
        <v>#DIV/0!</v>
      </c>
      <c r="AD345" s="34" t="e">
        <f ca="1">SQRT($B$9*SUM(AC345:OFFSET(AC345,$B$5-1,0))/($B$5-1))</f>
        <v>#DIV/0!</v>
      </c>
      <c r="AE345" s="34" t="e">
        <f ca="1">SQRT($B$9*SUM(AC345:OFFSET(AC345,$B$6-1,0))/($B$6-1))</f>
        <v>#DIV/0!</v>
      </c>
      <c r="AF345" s="34" t="e">
        <f ca="1">SQRT($B$9*SUM(AC345:OFFSET(AC345,$B$7-1,0))/($B$7-1))</f>
        <v>#DIV/0!</v>
      </c>
      <c r="AG345" s="34" t="e">
        <f ca="1">SQRT($B$9*SUM(AC345:OFFSET(AC345,$B$8-1,0))/($B$8-1))</f>
        <v>#DIV/0!</v>
      </c>
      <c r="AI345" s="1" t="e">
        <f t="shared" si="36"/>
        <v>#DIV/0!</v>
      </c>
      <c r="AJ345" s="4" t="e">
        <f ca="1">SQRT($B$9)*_xlfn.STDEV.S(AI345:OFFSET(AI345,$B$5-1,0))</f>
        <v>#DIV/0!</v>
      </c>
      <c r="AK345" s="4" t="e">
        <f ca="1">SQRT($B$9)*_xlfn.STDEV.S(AI345:OFFSET(AI345,$B$6-1,0))</f>
        <v>#DIV/0!</v>
      </c>
      <c r="AL345" s="4" t="e">
        <f ca="1">SQRT($B$9)*_xlfn.STDEV.S(AI345:OFFSET(AI345,$B$7-1,0))</f>
        <v>#DIV/0!</v>
      </c>
      <c r="AM345" s="4" t="e">
        <f ca="1">SQRT($B$9)*_xlfn.STDEV.S(AI345:OFFSET(AI345,$B$8-1,0))</f>
        <v>#DIV/0!</v>
      </c>
    </row>
    <row r="346" spans="5:39" x14ac:dyDescent="0.2">
      <c r="E346" s="42">
        <v>45146</v>
      </c>
      <c r="F346" s="43"/>
      <c r="G346" s="43"/>
      <c r="H346" s="43"/>
      <c r="I346" s="43"/>
      <c r="K346" s="3" t="e">
        <f t="shared" si="34"/>
        <v>#DIV/0!</v>
      </c>
      <c r="L346" s="3" t="e">
        <f ca="1">SQRT(AVERAGE(K346:OFFSET(K346,$B$5-1,0))*$B$9/(4*LN(2)))</f>
        <v>#DIV/0!</v>
      </c>
      <c r="M346" s="3" t="e">
        <f ca="1">SQRT(AVERAGE(K346:OFFSET(K346,$B$6-1,0))*$B$9/(4*LN(2)))</f>
        <v>#DIV/0!</v>
      </c>
      <c r="N346" s="3" t="e">
        <f ca="1">SQRT(AVERAGE(K346:OFFSET(K346,$B$7-1,0))*$B$9/(4*LN(2)))</f>
        <v>#DIV/0!</v>
      </c>
      <c r="O346" s="3" t="e">
        <f ca="1">SQRT(AVERAGE(K346:OFFSET(K346,$B$8-1,0))*$B$9/(4*LN(2)))</f>
        <v>#DIV/0!</v>
      </c>
      <c r="Q346" s="5" t="e">
        <f t="shared" si="33"/>
        <v>#DIV/0!</v>
      </c>
      <c r="R346" s="5" t="e">
        <f ca="1">SQRT($B$9*AVERAGE((Q346:OFFSET(Q346,$B$5-1,0))))</f>
        <v>#DIV/0!</v>
      </c>
      <c r="S346" s="5" t="e">
        <f ca="1">SQRT($B$9*AVERAGE((Q346:OFFSET(Q346,$B$6-1,0))))</f>
        <v>#DIV/0!</v>
      </c>
      <c r="T346" s="5" t="e">
        <f ca="1">SQRT($B$9*AVERAGE((Q346:OFFSET(Q346,$B$7-1,0))))</f>
        <v>#DIV/0!</v>
      </c>
      <c r="U346" s="5" t="e">
        <f ca="1">SQRT($B$9*AVERAGE((Q346:OFFSET(Q346,$B$8-1,0))))</f>
        <v>#DIV/0!</v>
      </c>
      <c r="W346" s="6" t="e">
        <f t="shared" si="32"/>
        <v>#DIV/0!</v>
      </c>
      <c r="X346" s="6" t="e">
        <f ca="1">SQRT($B$9*AVERAGE(W346:OFFSET(W346,$B$5-1,0)))</f>
        <v>#DIV/0!</v>
      </c>
      <c r="Y346" s="6" t="e">
        <f ca="1">SQRT($B$9*AVERAGE(W346:OFFSET(W346,$B$6-1,0)))</f>
        <v>#DIV/0!</v>
      </c>
      <c r="Z346" s="6" t="e">
        <f ca="1">SQRT($B$9*AVERAGE(W346:OFFSET(W346,$B$7-1,0)))</f>
        <v>#DIV/0!</v>
      </c>
      <c r="AA346" s="6" t="e">
        <f ca="1">SQRT($B$9*AVERAGE(W346:OFFSET(W346,$B$8-1,0)))</f>
        <v>#DIV/0!</v>
      </c>
      <c r="AC346" s="34" t="e">
        <f t="shared" si="35"/>
        <v>#DIV/0!</v>
      </c>
      <c r="AD346" s="34" t="e">
        <f ca="1">SQRT($B$9*SUM(AC346:OFFSET(AC346,$B$5-1,0))/($B$5-1))</f>
        <v>#DIV/0!</v>
      </c>
      <c r="AE346" s="34" t="e">
        <f ca="1">SQRT($B$9*SUM(AC346:OFFSET(AC346,$B$6-1,0))/($B$6-1))</f>
        <v>#DIV/0!</v>
      </c>
      <c r="AF346" s="34" t="e">
        <f ca="1">SQRT($B$9*SUM(AC346:OFFSET(AC346,$B$7-1,0))/($B$7-1))</f>
        <v>#DIV/0!</v>
      </c>
      <c r="AG346" s="34" t="e">
        <f ca="1">SQRT($B$9*SUM(AC346:OFFSET(AC346,$B$8-1,0))/($B$8-1))</f>
        <v>#DIV/0!</v>
      </c>
      <c r="AI346" s="1" t="e">
        <f t="shared" si="36"/>
        <v>#DIV/0!</v>
      </c>
      <c r="AJ346" s="4" t="e">
        <f ca="1">SQRT($B$9)*_xlfn.STDEV.S(AI346:OFFSET(AI346,$B$5-1,0))</f>
        <v>#DIV/0!</v>
      </c>
      <c r="AK346" s="4" t="e">
        <f ca="1">SQRT($B$9)*_xlfn.STDEV.S(AI346:OFFSET(AI346,$B$6-1,0))</f>
        <v>#DIV/0!</v>
      </c>
      <c r="AL346" s="4" t="e">
        <f ca="1">SQRT($B$9)*_xlfn.STDEV.S(AI346:OFFSET(AI346,$B$7-1,0))</f>
        <v>#DIV/0!</v>
      </c>
      <c r="AM346" s="4" t="e">
        <f ca="1">SQRT($B$9)*_xlfn.STDEV.S(AI346:OFFSET(AI346,$B$8-1,0))</f>
        <v>#DIV/0!</v>
      </c>
    </row>
    <row r="347" spans="5:39" x14ac:dyDescent="0.2">
      <c r="E347" s="42">
        <v>45145</v>
      </c>
      <c r="F347" s="43"/>
      <c r="G347" s="43"/>
      <c r="H347" s="43"/>
      <c r="I347" s="43"/>
      <c r="K347" s="3" t="e">
        <f t="shared" si="34"/>
        <v>#DIV/0!</v>
      </c>
      <c r="L347" s="3" t="e">
        <f ca="1">SQRT(AVERAGE(K347:OFFSET(K347,$B$5-1,0))*$B$9/(4*LN(2)))</f>
        <v>#DIV/0!</v>
      </c>
      <c r="M347" s="3" t="e">
        <f ca="1">SQRT(AVERAGE(K347:OFFSET(K347,$B$6-1,0))*$B$9/(4*LN(2)))</f>
        <v>#DIV/0!</v>
      </c>
      <c r="N347" s="3" t="e">
        <f ca="1">SQRT(AVERAGE(K347:OFFSET(K347,$B$7-1,0))*$B$9/(4*LN(2)))</f>
        <v>#DIV/0!</v>
      </c>
      <c r="O347" s="3" t="e">
        <f ca="1">SQRT(AVERAGE(K347:OFFSET(K347,$B$8-1,0))*$B$9/(4*LN(2)))</f>
        <v>#DIV/0!</v>
      </c>
      <c r="Q347" s="5" t="e">
        <f t="shared" si="33"/>
        <v>#DIV/0!</v>
      </c>
      <c r="R347" s="5" t="e">
        <f ca="1">SQRT($B$9*AVERAGE((Q347:OFFSET(Q347,$B$5-1,0))))</f>
        <v>#DIV/0!</v>
      </c>
      <c r="S347" s="5" t="e">
        <f ca="1">SQRT($B$9*AVERAGE((Q347:OFFSET(Q347,$B$6-1,0))))</f>
        <v>#DIV/0!</v>
      </c>
      <c r="T347" s="5" t="e">
        <f ca="1">SQRT($B$9*AVERAGE((Q347:OFFSET(Q347,$B$7-1,0))))</f>
        <v>#DIV/0!</v>
      </c>
      <c r="U347" s="5" t="e">
        <f ca="1">SQRT($B$9*AVERAGE((Q347:OFFSET(Q347,$B$8-1,0))))</f>
        <v>#DIV/0!</v>
      </c>
      <c r="W347" s="6" t="e">
        <f t="shared" si="32"/>
        <v>#DIV/0!</v>
      </c>
      <c r="X347" s="6" t="e">
        <f ca="1">SQRT($B$9*AVERAGE(W347:OFFSET(W347,$B$5-1,0)))</f>
        <v>#DIV/0!</v>
      </c>
      <c r="Y347" s="6" t="e">
        <f ca="1">SQRT($B$9*AVERAGE(W347:OFFSET(W347,$B$6-1,0)))</f>
        <v>#DIV/0!</v>
      </c>
      <c r="Z347" s="6" t="e">
        <f ca="1">SQRT($B$9*AVERAGE(W347:OFFSET(W347,$B$7-1,0)))</f>
        <v>#DIV/0!</v>
      </c>
      <c r="AA347" s="6" t="e">
        <f ca="1">SQRT($B$9*AVERAGE(W347:OFFSET(W347,$B$8-1,0)))</f>
        <v>#DIV/0!</v>
      </c>
      <c r="AC347" s="34" t="e">
        <f t="shared" si="35"/>
        <v>#DIV/0!</v>
      </c>
      <c r="AD347" s="34" t="e">
        <f ca="1">SQRT($B$9*SUM(AC347:OFFSET(AC347,$B$5-1,0))/($B$5-1))</f>
        <v>#DIV/0!</v>
      </c>
      <c r="AE347" s="34" t="e">
        <f ca="1">SQRT($B$9*SUM(AC347:OFFSET(AC347,$B$6-1,0))/($B$6-1))</f>
        <v>#DIV/0!</v>
      </c>
      <c r="AF347" s="34" t="e">
        <f ca="1">SQRT($B$9*SUM(AC347:OFFSET(AC347,$B$7-1,0))/($B$7-1))</f>
        <v>#DIV/0!</v>
      </c>
      <c r="AG347" s="34" t="e">
        <f ca="1">SQRT($B$9*SUM(AC347:OFFSET(AC347,$B$8-1,0))/($B$8-1))</f>
        <v>#DIV/0!</v>
      </c>
      <c r="AI347" s="1" t="e">
        <f t="shared" si="36"/>
        <v>#DIV/0!</v>
      </c>
      <c r="AJ347" s="4" t="e">
        <f ca="1">SQRT($B$9)*_xlfn.STDEV.S(AI347:OFFSET(AI347,$B$5-1,0))</f>
        <v>#DIV/0!</v>
      </c>
      <c r="AK347" s="4" t="e">
        <f ca="1">SQRT($B$9)*_xlfn.STDEV.S(AI347:OFFSET(AI347,$B$6-1,0))</f>
        <v>#DIV/0!</v>
      </c>
      <c r="AL347" s="4" t="e">
        <f ca="1">SQRT($B$9)*_xlfn.STDEV.S(AI347:OFFSET(AI347,$B$7-1,0))</f>
        <v>#DIV/0!</v>
      </c>
      <c r="AM347" s="4" t="e">
        <f ca="1">SQRT($B$9)*_xlfn.STDEV.S(AI347:OFFSET(AI347,$B$8-1,0))</f>
        <v>#DIV/0!</v>
      </c>
    </row>
    <row r="348" spans="5:39" x14ac:dyDescent="0.2">
      <c r="E348" s="42">
        <v>45142</v>
      </c>
      <c r="F348" s="43"/>
      <c r="G348" s="43"/>
      <c r="H348" s="43"/>
      <c r="I348" s="43"/>
      <c r="K348" s="3" t="e">
        <f t="shared" si="34"/>
        <v>#DIV/0!</v>
      </c>
      <c r="L348" s="3" t="e">
        <f ca="1">SQRT(AVERAGE(K348:OFFSET(K348,$B$5-1,0))*$B$9/(4*LN(2)))</f>
        <v>#DIV/0!</v>
      </c>
      <c r="M348" s="3" t="e">
        <f ca="1">SQRT(AVERAGE(K348:OFFSET(K348,$B$6-1,0))*$B$9/(4*LN(2)))</f>
        <v>#DIV/0!</v>
      </c>
      <c r="N348" s="3" t="e">
        <f ca="1">SQRT(AVERAGE(K348:OFFSET(K348,$B$7-1,0))*$B$9/(4*LN(2)))</f>
        <v>#DIV/0!</v>
      </c>
      <c r="O348" s="3" t="e">
        <f ca="1">SQRT(AVERAGE(K348:OFFSET(K348,$B$8-1,0))*$B$9/(4*LN(2)))</f>
        <v>#DIV/0!</v>
      </c>
      <c r="Q348" s="5" t="e">
        <f t="shared" si="33"/>
        <v>#DIV/0!</v>
      </c>
      <c r="R348" s="5" t="e">
        <f ca="1">SQRT($B$9*AVERAGE((Q348:OFFSET(Q348,$B$5-1,0))))</f>
        <v>#DIV/0!</v>
      </c>
      <c r="S348" s="5" t="e">
        <f ca="1">SQRT($B$9*AVERAGE((Q348:OFFSET(Q348,$B$6-1,0))))</f>
        <v>#DIV/0!</v>
      </c>
      <c r="T348" s="5" t="e">
        <f ca="1">SQRT($B$9*AVERAGE((Q348:OFFSET(Q348,$B$7-1,0))))</f>
        <v>#DIV/0!</v>
      </c>
      <c r="U348" s="5" t="e">
        <f ca="1">SQRT($B$9*AVERAGE((Q348:OFFSET(Q348,$B$8-1,0))))</f>
        <v>#DIV/0!</v>
      </c>
      <c r="W348" s="6" t="e">
        <f t="shared" si="32"/>
        <v>#DIV/0!</v>
      </c>
      <c r="X348" s="6" t="e">
        <f ca="1">SQRT($B$9*AVERAGE(W348:OFFSET(W348,$B$5-1,0)))</f>
        <v>#DIV/0!</v>
      </c>
      <c r="Y348" s="6" t="e">
        <f ca="1">SQRT($B$9*AVERAGE(W348:OFFSET(W348,$B$6-1,0)))</f>
        <v>#DIV/0!</v>
      </c>
      <c r="Z348" s="6" t="e">
        <f ca="1">SQRT($B$9*AVERAGE(W348:OFFSET(W348,$B$7-1,0)))</f>
        <v>#DIV/0!</v>
      </c>
      <c r="AA348" s="6" t="e">
        <f ca="1">SQRT($B$9*AVERAGE(W348:OFFSET(W348,$B$8-1,0)))</f>
        <v>#DIV/0!</v>
      </c>
      <c r="AC348" s="34" t="e">
        <f t="shared" si="35"/>
        <v>#DIV/0!</v>
      </c>
      <c r="AD348" s="34" t="e">
        <f ca="1">SQRT($B$9*SUM(AC348:OFFSET(AC348,$B$5-1,0))/($B$5-1))</f>
        <v>#DIV/0!</v>
      </c>
      <c r="AE348" s="34" t="e">
        <f ca="1">SQRT($B$9*SUM(AC348:OFFSET(AC348,$B$6-1,0))/($B$6-1))</f>
        <v>#DIV/0!</v>
      </c>
      <c r="AF348" s="34" t="e">
        <f ca="1">SQRT($B$9*SUM(AC348:OFFSET(AC348,$B$7-1,0))/($B$7-1))</f>
        <v>#DIV/0!</v>
      </c>
      <c r="AG348" s="34" t="e">
        <f ca="1">SQRT($B$9*SUM(AC348:OFFSET(AC348,$B$8-1,0))/($B$8-1))</f>
        <v>#DIV/0!</v>
      </c>
      <c r="AI348" s="1" t="e">
        <f t="shared" si="36"/>
        <v>#DIV/0!</v>
      </c>
      <c r="AJ348" s="4" t="e">
        <f ca="1">SQRT($B$9)*_xlfn.STDEV.S(AI348:OFFSET(AI348,$B$5-1,0))</f>
        <v>#DIV/0!</v>
      </c>
      <c r="AK348" s="4" t="e">
        <f ca="1">SQRT($B$9)*_xlfn.STDEV.S(AI348:OFFSET(AI348,$B$6-1,0))</f>
        <v>#DIV/0!</v>
      </c>
      <c r="AL348" s="4" t="e">
        <f ca="1">SQRT($B$9)*_xlfn.STDEV.S(AI348:OFFSET(AI348,$B$7-1,0))</f>
        <v>#DIV/0!</v>
      </c>
      <c r="AM348" s="4" t="e">
        <f ca="1">SQRT($B$9)*_xlfn.STDEV.S(AI348:OFFSET(AI348,$B$8-1,0))</f>
        <v>#DIV/0!</v>
      </c>
    </row>
    <row r="349" spans="5:39" x14ac:dyDescent="0.2">
      <c r="E349" s="42">
        <v>45141</v>
      </c>
      <c r="F349" s="43"/>
      <c r="G349" s="43"/>
      <c r="H349" s="43"/>
      <c r="I349" s="43"/>
      <c r="K349" s="3" t="e">
        <f t="shared" si="34"/>
        <v>#DIV/0!</v>
      </c>
      <c r="L349" s="3" t="e">
        <f ca="1">SQRT(AVERAGE(K349:OFFSET(K349,$B$5-1,0))*$B$9/(4*LN(2)))</f>
        <v>#DIV/0!</v>
      </c>
      <c r="M349" s="3" t="e">
        <f ca="1">SQRT(AVERAGE(K349:OFFSET(K349,$B$6-1,0))*$B$9/(4*LN(2)))</f>
        <v>#DIV/0!</v>
      </c>
      <c r="N349" s="3" t="e">
        <f ca="1">SQRT(AVERAGE(K349:OFFSET(K349,$B$7-1,0))*$B$9/(4*LN(2)))</f>
        <v>#DIV/0!</v>
      </c>
      <c r="O349" s="3" t="e">
        <f ca="1">SQRT(AVERAGE(K349:OFFSET(K349,$B$8-1,0))*$B$9/(4*LN(2)))</f>
        <v>#DIV/0!</v>
      </c>
      <c r="Q349" s="5" t="e">
        <f t="shared" si="33"/>
        <v>#DIV/0!</v>
      </c>
      <c r="R349" s="5" t="e">
        <f ca="1">SQRT($B$9*AVERAGE((Q349:OFFSET(Q349,$B$5-1,0))))</f>
        <v>#DIV/0!</v>
      </c>
      <c r="S349" s="5" t="e">
        <f ca="1">SQRT($B$9*AVERAGE((Q349:OFFSET(Q349,$B$6-1,0))))</f>
        <v>#DIV/0!</v>
      </c>
      <c r="T349" s="5" t="e">
        <f ca="1">SQRT($B$9*AVERAGE((Q349:OFFSET(Q349,$B$7-1,0))))</f>
        <v>#DIV/0!</v>
      </c>
      <c r="U349" s="5" t="e">
        <f ca="1">SQRT($B$9*AVERAGE((Q349:OFFSET(Q349,$B$8-1,0))))</f>
        <v>#DIV/0!</v>
      </c>
      <c r="W349" s="6" t="e">
        <f t="shared" si="32"/>
        <v>#DIV/0!</v>
      </c>
      <c r="X349" s="6" t="e">
        <f ca="1">SQRT($B$9*AVERAGE(W349:OFFSET(W349,$B$5-1,0)))</f>
        <v>#DIV/0!</v>
      </c>
      <c r="Y349" s="6" t="e">
        <f ca="1">SQRT($B$9*AVERAGE(W349:OFFSET(W349,$B$6-1,0)))</f>
        <v>#DIV/0!</v>
      </c>
      <c r="Z349" s="6" t="e">
        <f ca="1">SQRT($B$9*AVERAGE(W349:OFFSET(W349,$B$7-1,0)))</f>
        <v>#DIV/0!</v>
      </c>
      <c r="AA349" s="6" t="e">
        <f ca="1">SQRT($B$9*AVERAGE(W349:OFFSET(W349,$B$8-1,0)))</f>
        <v>#DIV/0!</v>
      </c>
      <c r="AC349" s="34" t="e">
        <f t="shared" si="35"/>
        <v>#DIV/0!</v>
      </c>
      <c r="AD349" s="34" t="e">
        <f ca="1">SQRT($B$9*SUM(AC349:OFFSET(AC349,$B$5-1,0))/($B$5-1))</f>
        <v>#DIV/0!</v>
      </c>
      <c r="AE349" s="34" t="e">
        <f ca="1">SQRT($B$9*SUM(AC349:OFFSET(AC349,$B$6-1,0))/($B$6-1))</f>
        <v>#DIV/0!</v>
      </c>
      <c r="AF349" s="34" t="e">
        <f ca="1">SQRT($B$9*SUM(AC349:OFFSET(AC349,$B$7-1,0))/($B$7-1))</f>
        <v>#DIV/0!</v>
      </c>
      <c r="AG349" s="34" t="e">
        <f ca="1">SQRT($B$9*SUM(AC349:OFFSET(AC349,$B$8-1,0))/($B$8-1))</f>
        <v>#DIV/0!</v>
      </c>
      <c r="AI349" s="1" t="e">
        <f t="shared" si="36"/>
        <v>#DIV/0!</v>
      </c>
      <c r="AJ349" s="4" t="e">
        <f ca="1">SQRT($B$9)*_xlfn.STDEV.S(AI349:OFFSET(AI349,$B$5-1,0))</f>
        <v>#DIV/0!</v>
      </c>
      <c r="AK349" s="4" t="e">
        <f ca="1">SQRT($B$9)*_xlfn.STDEV.S(AI349:OFFSET(AI349,$B$6-1,0))</f>
        <v>#DIV/0!</v>
      </c>
      <c r="AL349" s="4" t="e">
        <f ca="1">SQRT($B$9)*_xlfn.STDEV.S(AI349:OFFSET(AI349,$B$7-1,0))</f>
        <v>#DIV/0!</v>
      </c>
      <c r="AM349" s="4" t="e">
        <f ca="1">SQRT($B$9)*_xlfn.STDEV.S(AI349:OFFSET(AI349,$B$8-1,0))</f>
        <v>#DIV/0!</v>
      </c>
    </row>
    <row r="350" spans="5:39" x14ac:dyDescent="0.2">
      <c r="E350" s="42">
        <v>45140</v>
      </c>
      <c r="F350" s="43"/>
      <c r="G350" s="43"/>
      <c r="H350" s="43"/>
      <c r="I350" s="43"/>
      <c r="K350" s="3" t="e">
        <f t="shared" si="34"/>
        <v>#DIV/0!</v>
      </c>
      <c r="L350" s="3" t="e">
        <f ca="1">SQRT(AVERAGE(K350:OFFSET(K350,$B$5-1,0))*$B$9/(4*LN(2)))</f>
        <v>#DIV/0!</v>
      </c>
      <c r="M350" s="3" t="e">
        <f ca="1">SQRT(AVERAGE(K350:OFFSET(K350,$B$6-1,0))*$B$9/(4*LN(2)))</f>
        <v>#DIV/0!</v>
      </c>
      <c r="N350" s="3" t="e">
        <f ca="1">SQRT(AVERAGE(K350:OFFSET(K350,$B$7-1,0))*$B$9/(4*LN(2)))</f>
        <v>#DIV/0!</v>
      </c>
      <c r="O350" s="3" t="e">
        <f ca="1">SQRT(AVERAGE(K350:OFFSET(K350,$B$8-1,0))*$B$9/(4*LN(2)))</f>
        <v>#DIV/0!</v>
      </c>
      <c r="Q350" s="5" t="e">
        <f t="shared" si="33"/>
        <v>#DIV/0!</v>
      </c>
      <c r="R350" s="5" t="e">
        <f ca="1">SQRT($B$9*AVERAGE((Q350:OFFSET(Q350,$B$5-1,0))))</f>
        <v>#DIV/0!</v>
      </c>
      <c r="S350" s="5" t="e">
        <f ca="1">SQRT($B$9*AVERAGE((Q350:OFFSET(Q350,$B$6-1,0))))</f>
        <v>#DIV/0!</v>
      </c>
      <c r="T350" s="5" t="e">
        <f ca="1">SQRT($B$9*AVERAGE((Q350:OFFSET(Q350,$B$7-1,0))))</f>
        <v>#DIV/0!</v>
      </c>
      <c r="U350" s="5" t="e">
        <f ca="1">SQRT($B$9*AVERAGE((Q350:OFFSET(Q350,$B$8-1,0))))</f>
        <v>#DIV/0!</v>
      </c>
      <c r="W350" s="6" t="e">
        <f t="shared" si="32"/>
        <v>#DIV/0!</v>
      </c>
      <c r="X350" s="6" t="e">
        <f ca="1">SQRT($B$9*AVERAGE(W350:OFFSET(W350,$B$5-1,0)))</f>
        <v>#DIV/0!</v>
      </c>
      <c r="Y350" s="6" t="e">
        <f ca="1">SQRT($B$9*AVERAGE(W350:OFFSET(W350,$B$6-1,0)))</f>
        <v>#DIV/0!</v>
      </c>
      <c r="Z350" s="6" t="e">
        <f ca="1">SQRT($B$9*AVERAGE(W350:OFFSET(W350,$B$7-1,0)))</f>
        <v>#DIV/0!</v>
      </c>
      <c r="AA350" s="6" t="e">
        <f ca="1">SQRT($B$9*AVERAGE(W350:OFFSET(W350,$B$8-1,0)))</f>
        <v>#DIV/0!</v>
      </c>
      <c r="AC350" s="34" t="e">
        <f t="shared" si="35"/>
        <v>#DIV/0!</v>
      </c>
      <c r="AD350" s="34" t="e">
        <f ca="1">SQRT($B$9*SUM(AC350:OFFSET(AC350,$B$5-1,0))/($B$5-1))</f>
        <v>#DIV/0!</v>
      </c>
      <c r="AE350" s="34" t="e">
        <f ca="1">SQRT($B$9*SUM(AC350:OFFSET(AC350,$B$6-1,0))/($B$6-1))</f>
        <v>#DIV/0!</v>
      </c>
      <c r="AF350" s="34" t="e">
        <f ca="1">SQRT($B$9*SUM(AC350:OFFSET(AC350,$B$7-1,0))/($B$7-1))</f>
        <v>#DIV/0!</v>
      </c>
      <c r="AG350" s="34" t="e">
        <f ca="1">SQRT($B$9*SUM(AC350:OFFSET(AC350,$B$8-1,0))/($B$8-1))</f>
        <v>#DIV/0!</v>
      </c>
      <c r="AI350" s="1" t="e">
        <f t="shared" si="36"/>
        <v>#DIV/0!</v>
      </c>
      <c r="AJ350" s="4" t="e">
        <f ca="1">SQRT($B$9)*_xlfn.STDEV.S(AI350:OFFSET(AI350,$B$5-1,0))</f>
        <v>#DIV/0!</v>
      </c>
      <c r="AK350" s="4" t="e">
        <f ca="1">SQRT($B$9)*_xlfn.STDEV.S(AI350:OFFSET(AI350,$B$6-1,0))</f>
        <v>#DIV/0!</v>
      </c>
      <c r="AL350" s="4" t="e">
        <f ca="1">SQRT($B$9)*_xlfn.STDEV.S(AI350:OFFSET(AI350,$B$7-1,0))</f>
        <v>#DIV/0!</v>
      </c>
      <c r="AM350" s="4" t="e">
        <f ca="1">SQRT($B$9)*_xlfn.STDEV.S(AI350:OFFSET(AI350,$B$8-1,0))</f>
        <v>#DIV/0!</v>
      </c>
    </row>
    <row r="351" spans="5:39" x14ac:dyDescent="0.2">
      <c r="E351" s="42">
        <v>45139</v>
      </c>
      <c r="F351" s="43"/>
      <c r="G351" s="43"/>
      <c r="H351" s="43"/>
      <c r="I351" s="43"/>
      <c r="K351" s="3" t="e">
        <f t="shared" si="34"/>
        <v>#DIV/0!</v>
      </c>
      <c r="L351" s="3" t="e">
        <f ca="1">SQRT(AVERAGE(K351:OFFSET(K351,$B$5-1,0))*$B$9/(4*LN(2)))</f>
        <v>#DIV/0!</v>
      </c>
      <c r="M351" s="3" t="e">
        <f ca="1">SQRT(AVERAGE(K351:OFFSET(K351,$B$6-1,0))*$B$9/(4*LN(2)))</f>
        <v>#DIV/0!</v>
      </c>
      <c r="N351" s="3" t="e">
        <f ca="1">SQRT(AVERAGE(K351:OFFSET(K351,$B$7-1,0))*$B$9/(4*LN(2)))</f>
        <v>#DIV/0!</v>
      </c>
      <c r="O351" s="3" t="e">
        <f ca="1">SQRT(AVERAGE(K351:OFFSET(K351,$B$8-1,0))*$B$9/(4*LN(2)))</f>
        <v>#DIV/0!</v>
      </c>
      <c r="Q351" s="5" t="e">
        <f t="shared" si="33"/>
        <v>#DIV/0!</v>
      </c>
      <c r="R351" s="5" t="e">
        <f ca="1">SQRT($B$9*AVERAGE((Q351:OFFSET(Q351,$B$5-1,0))))</f>
        <v>#DIV/0!</v>
      </c>
      <c r="S351" s="5" t="e">
        <f ca="1">SQRT($B$9*AVERAGE((Q351:OFFSET(Q351,$B$6-1,0))))</f>
        <v>#DIV/0!</v>
      </c>
      <c r="T351" s="5" t="e">
        <f ca="1">SQRT($B$9*AVERAGE((Q351:OFFSET(Q351,$B$7-1,0))))</f>
        <v>#DIV/0!</v>
      </c>
      <c r="U351" s="5" t="e">
        <f ca="1">SQRT($B$9*AVERAGE((Q351:OFFSET(Q351,$B$8-1,0))))</f>
        <v>#DIV/0!</v>
      </c>
      <c r="W351" s="6" t="e">
        <f t="shared" si="32"/>
        <v>#DIV/0!</v>
      </c>
      <c r="X351" s="6" t="e">
        <f ca="1">SQRT($B$9*AVERAGE(W351:OFFSET(W351,$B$5-1,0)))</f>
        <v>#DIV/0!</v>
      </c>
      <c r="Y351" s="6" t="e">
        <f ca="1">SQRT($B$9*AVERAGE(W351:OFFSET(W351,$B$6-1,0)))</f>
        <v>#DIV/0!</v>
      </c>
      <c r="Z351" s="6" t="e">
        <f ca="1">SQRT($B$9*AVERAGE(W351:OFFSET(W351,$B$7-1,0)))</f>
        <v>#DIV/0!</v>
      </c>
      <c r="AA351" s="6" t="e">
        <f ca="1">SQRT($B$9*AVERAGE(W351:OFFSET(W351,$B$8-1,0)))</f>
        <v>#DIV/0!</v>
      </c>
      <c r="AC351" s="34" t="e">
        <f t="shared" si="35"/>
        <v>#DIV/0!</v>
      </c>
      <c r="AD351" s="34" t="e">
        <f ca="1">SQRT($B$9*SUM(AC351:OFFSET(AC351,$B$5-1,0))/($B$5-1))</f>
        <v>#DIV/0!</v>
      </c>
      <c r="AE351" s="34" t="e">
        <f ca="1">SQRT($B$9*SUM(AC351:OFFSET(AC351,$B$6-1,0))/($B$6-1))</f>
        <v>#DIV/0!</v>
      </c>
      <c r="AF351" s="34" t="e">
        <f ca="1">SQRT($B$9*SUM(AC351:OFFSET(AC351,$B$7-1,0))/($B$7-1))</f>
        <v>#DIV/0!</v>
      </c>
      <c r="AG351" s="34" t="e">
        <f ca="1">SQRT($B$9*SUM(AC351:OFFSET(AC351,$B$8-1,0))/($B$8-1))</f>
        <v>#DIV/0!</v>
      </c>
      <c r="AI351" s="1" t="e">
        <f t="shared" si="36"/>
        <v>#DIV/0!</v>
      </c>
      <c r="AJ351" s="4" t="e">
        <f ca="1">SQRT($B$9)*_xlfn.STDEV.S(AI351:OFFSET(AI351,$B$5-1,0))</f>
        <v>#DIV/0!</v>
      </c>
      <c r="AK351" s="4" t="e">
        <f ca="1">SQRT($B$9)*_xlfn.STDEV.S(AI351:OFFSET(AI351,$B$6-1,0))</f>
        <v>#DIV/0!</v>
      </c>
      <c r="AL351" s="4" t="e">
        <f ca="1">SQRT($B$9)*_xlfn.STDEV.S(AI351:OFFSET(AI351,$B$7-1,0))</f>
        <v>#DIV/0!</v>
      </c>
      <c r="AM351" s="4" t="e">
        <f ca="1">SQRT($B$9)*_xlfn.STDEV.S(AI351:OFFSET(AI351,$B$8-1,0))</f>
        <v>#DIV/0!</v>
      </c>
    </row>
    <row r="352" spans="5:39" x14ac:dyDescent="0.2">
      <c r="E352" s="42">
        <v>45138</v>
      </c>
      <c r="F352" s="43"/>
      <c r="G352" s="43"/>
      <c r="H352" s="43"/>
      <c r="I352" s="43"/>
      <c r="K352" s="3" t="e">
        <f t="shared" si="34"/>
        <v>#DIV/0!</v>
      </c>
      <c r="L352" s="3" t="e">
        <f ca="1">SQRT(AVERAGE(K352:OFFSET(K352,$B$5-1,0))*$B$9/(4*LN(2)))</f>
        <v>#DIV/0!</v>
      </c>
      <c r="M352" s="3" t="e">
        <f ca="1">SQRT(AVERAGE(K352:OFFSET(K352,$B$6-1,0))*$B$9/(4*LN(2)))</f>
        <v>#DIV/0!</v>
      </c>
      <c r="N352" s="3" t="e">
        <f ca="1">SQRT(AVERAGE(K352:OFFSET(K352,$B$7-1,0))*$B$9/(4*LN(2)))</f>
        <v>#DIV/0!</v>
      </c>
      <c r="O352" s="3" t="e">
        <f ca="1">SQRT(AVERAGE(K352:OFFSET(K352,$B$8-1,0))*$B$9/(4*LN(2)))</f>
        <v>#DIV/0!</v>
      </c>
      <c r="Q352" s="5" t="e">
        <f t="shared" si="33"/>
        <v>#DIV/0!</v>
      </c>
      <c r="R352" s="5" t="e">
        <f ca="1">SQRT($B$9*AVERAGE((Q352:OFFSET(Q352,$B$5-1,0))))</f>
        <v>#DIV/0!</v>
      </c>
      <c r="S352" s="5" t="e">
        <f ca="1">SQRT($B$9*AVERAGE((Q352:OFFSET(Q352,$B$6-1,0))))</f>
        <v>#DIV/0!</v>
      </c>
      <c r="T352" s="5" t="e">
        <f ca="1">SQRT($B$9*AVERAGE((Q352:OFFSET(Q352,$B$7-1,0))))</f>
        <v>#DIV/0!</v>
      </c>
      <c r="U352" s="5" t="e">
        <f ca="1">SQRT($B$9*AVERAGE((Q352:OFFSET(Q352,$B$8-1,0))))</f>
        <v>#DIV/0!</v>
      </c>
      <c r="W352" s="6" t="e">
        <f t="shared" si="32"/>
        <v>#DIV/0!</v>
      </c>
      <c r="X352" s="6" t="e">
        <f ca="1">SQRT($B$9*AVERAGE(W352:OFFSET(W352,$B$5-1,0)))</f>
        <v>#DIV/0!</v>
      </c>
      <c r="Y352" s="6" t="e">
        <f ca="1">SQRT($B$9*AVERAGE(W352:OFFSET(W352,$B$6-1,0)))</f>
        <v>#DIV/0!</v>
      </c>
      <c r="Z352" s="6" t="e">
        <f ca="1">SQRT($B$9*AVERAGE(W352:OFFSET(W352,$B$7-1,0)))</f>
        <v>#DIV/0!</v>
      </c>
      <c r="AA352" s="6" t="e">
        <f ca="1">SQRT($B$9*AVERAGE(W352:OFFSET(W352,$B$8-1,0)))</f>
        <v>#DIV/0!</v>
      </c>
      <c r="AC352" s="34" t="e">
        <f t="shared" si="35"/>
        <v>#DIV/0!</v>
      </c>
      <c r="AD352" s="34" t="e">
        <f ca="1">SQRT($B$9*SUM(AC352:OFFSET(AC352,$B$5-1,0))/($B$5-1))</f>
        <v>#DIV/0!</v>
      </c>
      <c r="AE352" s="34" t="e">
        <f ca="1">SQRT($B$9*SUM(AC352:OFFSET(AC352,$B$6-1,0))/($B$6-1))</f>
        <v>#DIV/0!</v>
      </c>
      <c r="AF352" s="34" t="e">
        <f ca="1">SQRT($B$9*SUM(AC352:OFFSET(AC352,$B$7-1,0))/($B$7-1))</f>
        <v>#DIV/0!</v>
      </c>
      <c r="AG352" s="34" t="e">
        <f ca="1">SQRT($B$9*SUM(AC352:OFFSET(AC352,$B$8-1,0))/($B$8-1))</f>
        <v>#DIV/0!</v>
      </c>
      <c r="AI352" s="1" t="e">
        <f t="shared" si="36"/>
        <v>#DIV/0!</v>
      </c>
      <c r="AJ352" s="4" t="e">
        <f ca="1">SQRT($B$9)*_xlfn.STDEV.S(AI352:OFFSET(AI352,$B$5-1,0))</f>
        <v>#DIV/0!</v>
      </c>
      <c r="AK352" s="4" t="e">
        <f ca="1">SQRT($B$9)*_xlfn.STDEV.S(AI352:OFFSET(AI352,$B$6-1,0))</f>
        <v>#DIV/0!</v>
      </c>
      <c r="AL352" s="4" t="e">
        <f ca="1">SQRT($B$9)*_xlfn.STDEV.S(AI352:OFFSET(AI352,$B$7-1,0))</f>
        <v>#DIV/0!</v>
      </c>
      <c r="AM352" s="4" t="e">
        <f ca="1">SQRT($B$9)*_xlfn.STDEV.S(AI352:OFFSET(AI352,$B$8-1,0))</f>
        <v>#DIV/0!</v>
      </c>
    </row>
    <row r="353" spans="5:39" x14ac:dyDescent="0.2">
      <c r="E353" s="42">
        <v>45135</v>
      </c>
      <c r="F353" s="43"/>
      <c r="G353" s="43"/>
      <c r="H353" s="43"/>
      <c r="I353" s="43"/>
      <c r="K353" s="3" t="e">
        <f t="shared" si="34"/>
        <v>#DIV/0!</v>
      </c>
      <c r="L353" s="3" t="e">
        <f ca="1">SQRT(AVERAGE(K353:OFFSET(K353,$B$5-1,0))*$B$9/(4*LN(2)))</f>
        <v>#DIV/0!</v>
      </c>
      <c r="M353" s="3" t="e">
        <f ca="1">SQRT(AVERAGE(K353:OFFSET(K353,$B$6-1,0))*$B$9/(4*LN(2)))</f>
        <v>#DIV/0!</v>
      </c>
      <c r="N353" s="3" t="e">
        <f ca="1">SQRT(AVERAGE(K353:OFFSET(K353,$B$7-1,0))*$B$9/(4*LN(2)))</f>
        <v>#DIV/0!</v>
      </c>
      <c r="O353" s="3" t="e">
        <f ca="1">SQRT(AVERAGE(K353:OFFSET(K353,$B$8-1,0))*$B$9/(4*LN(2)))</f>
        <v>#DIV/0!</v>
      </c>
      <c r="Q353" s="5" t="e">
        <f t="shared" si="33"/>
        <v>#DIV/0!</v>
      </c>
      <c r="R353" s="5" t="e">
        <f ca="1">SQRT($B$9*AVERAGE((Q353:OFFSET(Q353,$B$5-1,0))))</f>
        <v>#DIV/0!</v>
      </c>
      <c r="S353" s="5" t="e">
        <f ca="1">SQRT($B$9*AVERAGE((Q353:OFFSET(Q353,$B$6-1,0))))</f>
        <v>#DIV/0!</v>
      </c>
      <c r="T353" s="5" t="e">
        <f ca="1">SQRT($B$9*AVERAGE((Q353:OFFSET(Q353,$B$7-1,0))))</f>
        <v>#DIV/0!</v>
      </c>
      <c r="U353" s="5" t="e">
        <f ca="1">SQRT($B$9*AVERAGE((Q353:OFFSET(Q353,$B$8-1,0))))</f>
        <v>#DIV/0!</v>
      </c>
      <c r="W353" s="6" t="e">
        <f t="shared" si="32"/>
        <v>#DIV/0!</v>
      </c>
      <c r="X353" s="6" t="e">
        <f ca="1">SQRT($B$9*AVERAGE(W353:OFFSET(W353,$B$5-1,0)))</f>
        <v>#DIV/0!</v>
      </c>
      <c r="Y353" s="6" t="e">
        <f ca="1">SQRT($B$9*AVERAGE(W353:OFFSET(W353,$B$6-1,0)))</f>
        <v>#DIV/0!</v>
      </c>
      <c r="Z353" s="6" t="e">
        <f ca="1">SQRT($B$9*AVERAGE(W353:OFFSET(W353,$B$7-1,0)))</f>
        <v>#DIV/0!</v>
      </c>
      <c r="AA353" s="6" t="e">
        <f ca="1">SQRT($B$9*AVERAGE(W353:OFFSET(W353,$B$8-1,0)))</f>
        <v>#DIV/0!</v>
      </c>
      <c r="AC353" s="34" t="e">
        <f t="shared" si="35"/>
        <v>#DIV/0!</v>
      </c>
      <c r="AD353" s="34" t="e">
        <f ca="1">SQRT($B$9*SUM(AC353:OFFSET(AC353,$B$5-1,0))/($B$5-1))</f>
        <v>#DIV/0!</v>
      </c>
      <c r="AE353" s="34" t="e">
        <f ca="1">SQRT($B$9*SUM(AC353:OFFSET(AC353,$B$6-1,0))/($B$6-1))</f>
        <v>#DIV/0!</v>
      </c>
      <c r="AF353" s="34" t="e">
        <f ca="1">SQRT($B$9*SUM(AC353:OFFSET(AC353,$B$7-1,0))/($B$7-1))</f>
        <v>#DIV/0!</v>
      </c>
      <c r="AG353" s="34" t="e">
        <f ca="1">SQRT($B$9*SUM(AC353:OFFSET(AC353,$B$8-1,0))/($B$8-1))</f>
        <v>#DIV/0!</v>
      </c>
      <c r="AI353" s="1" t="e">
        <f t="shared" si="36"/>
        <v>#DIV/0!</v>
      </c>
      <c r="AJ353" s="4" t="e">
        <f ca="1">SQRT($B$9)*_xlfn.STDEV.S(AI353:OFFSET(AI353,$B$5-1,0))</f>
        <v>#DIV/0!</v>
      </c>
      <c r="AK353" s="4" t="e">
        <f ca="1">SQRT($B$9)*_xlfn.STDEV.S(AI353:OFFSET(AI353,$B$6-1,0))</f>
        <v>#DIV/0!</v>
      </c>
      <c r="AL353" s="4" t="e">
        <f ca="1">SQRT($B$9)*_xlfn.STDEV.S(AI353:OFFSET(AI353,$B$7-1,0))</f>
        <v>#DIV/0!</v>
      </c>
      <c r="AM353" s="4" t="e">
        <f ca="1">SQRT($B$9)*_xlfn.STDEV.S(AI353:OFFSET(AI353,$B$8-1,0))</f>
        <v>#DIV/0!</v>
      </c>
    </row>
    <row r="354" spans="5:39" x14ac:dyDescent="0.2">
      <c r="E354" s="42">
        <v>45134</v>
      </c>
      <c r="F354" s="43"/>
      <c r="G354" s="43"/>
      <c r="H354" s="43"/>
      <c r="I354" s="43"/>
      <c r="K354" s="3" t="e">
        <f t="shared" si="34"/>
        <v>#DIV/0!</v>
      </c>
      <c r="L354" s="3" t="e">
        <f ca="1">SQRT(AVERAGE(K354:OFFSET(K354,$B$5-1,0))*$B$9/(4*LN(2)))</f>
        <v>#DIV/0!</v>
      </c>
      <c r="M354" s="3" t="e">
        <f ca="1">SQRT(AVERAGE(K354:OFFSET(K354,$B$6-1,0))*$B$9/(4*LN(2)))</f>
        <v>#DIV/0!</v>
      </c>
      <c r="N354" s="3" t="e">
        <f ca="1">SQRT(AVERAGE(K354:OFFSET(K354,$B$7-1,0))*$B$9/(4*LN(2)))</f>
        <v>#DIV/0!</v>
      </c>
      <c r="O354" s="3" t="e">
        <f ca="1">SQRT(AVERAGE(K354:OFFSET(K354,$B$8-1,0))*$B$9/(4*LN(2)))</f>
        <v>#DIV/0!</v>
      </c>
      <c r="Q354" s="5" t="e">
        <f t="shared" si="33"/>
        <v>#DIV/0!</v>
      </c>
      <c r="R354" s="5" t="e">
        <f ca="1">SQRT($B$9*AVERAGE((Q354:OFFSET(Q354,$B$5-1,0))))</f>
        <v>#DIV/0!</v>
      </c>
      <c r="S354" s="5" t="e">
        <f ca="1">SQRT($B$9*AVERAGE((Q354:OFFSET(Q354,$B$6-1,0))))</f>
        <v>#DIV/0!</v>
      </c>
      <c r="T354" s="5" t="e">
        <f ca="1">SQRT($B$9*AVERAGE((Q354:OFFSET(Q354,$B$7-1,0))))</f>
        <v>#DIV/0!</v>
      </c>
      <c r="U354" s="5" t="e">
        <f ca="1">SQRT($B$9*AVERAGE((Q354:OFFSET(Q354,$B$8-1,0))))</f>
        <v>#DIV/0!</v>
      </c>
      <c r="W354" s="6" t="e">
        <f t="shared" si="32"/>
        <v>#DIV/0!</v>
      </c>
      <c r="X354" s="6" t="e">
        <f ca="1">SQRT($B$9*AVERAGE(W354:OFFSET(W354,$B$5-1,0)))</f>
        <v>#DIV/0!</v>
      </c>
      <c r="Y354" s="6" t="e">
        <f ca="1">SQRT($B$9*AVERAGE(W354:OFFSET(W354,$B$6-1,0)))</f>
        <v>#DIV/0!</v>
      </c>
      <c r="Z354" s="6" t="e">
        <f ca="1">SQRT($B$9*AVERAGE(W354:OFFSET(W354,$B$7-1,0)))</f>
        <v>#DIV/0!</v>
      </c>
      <c r="AA354" s="6" t="e">
        <f ca="1">SQRT($B$9*AVERAGE(W354:OFFSET(W354,$B$8-1,0)))</f>
        <v>#DIV/0!</v>
      </c>
      <c r="AC354" s="34" t="e">
        <f t="shared" si="35"/>
        <v>#DIV/0!</v>
      </c>
      <c r="AD354" s="34" t="e">
        <f ca="1">SQRT($B$9*SUM(AC354:OFFSET(AC354,$B$5-1,0))/($B$5-1))</f>
        <v>#DIV/0!</v>
      </c>
      <c r="AE354" s="34" t="e">
        <f ca="1">SQRT($B$9*SUM(AC354:OFFSET(AC354,$B$6-1,0))/($B$6-1))</f>
        <v>#DIV/0!</v>
      </c>
      <c r="AF354" s="34" t="e">
        <f ca="1">SQRT($B$9*SUM(AC354:OFFSET(AC354,$B$7-1,0))/($B$7-1))</f>
        <v>#DIV/0!</v>
      </c>
      <c r="AG354" s="34" t="e">
        <f ca="1">SQRT($B$9*SUM(AC354:OFFSET(AC354,$B$8-1,0))/($B$8-1))</f>
        <v>#DIV/0!</v>
      </c>
      <c r="AI354" s="1" t="e">
        <f t="shared" si="36"/>
        <v>#DIV/0!</v>
      </c>
      <c r="AJ354" s="4" t="e">
        <f ca="1">SQRT($B$9)*_xlfn.STDEV.S(AI354:OFFSET(AI354,$B$5-1,0))</f>
        <v>#DIV/0!</v>
      </c>
      <c r="AK354" s="4" t="e">
        <f ca="1">SQRT($B$9)*_xlfn.STDEV.S(AI354:OFFSET(AI354,$B$6-1,0))</f>
        <v>#DIV/0!</v>
      </c>
      <c r="AL354" s="4" t="e">
        <f ca="1">SQRT($B$9)*_xlfn.STDEV.S(AI354:OFFSET(AI354,$B$7-1,0))</f>
        <v>#DIV/0!</v>
      </c>
      <c r="AM354" s="4" t="e">
        <f ca="1">SQRT($B$9)*_xlfn.STDEV.S(AI354:OFFSET(AI354,$B$8-1,0))</f>
        <v>#DIV/0!</v>
      </c>
    </row>
    <row r="355" spans="5:39" x14ac:dyDescent="0.2">
      <c r="E355" s="42">
        <v>45133</v>
      </c>
      <c r="F355" s="43"/>
      <c r="G355" s="43"/>
      <c r="H355" s="43"/>
      <c r="I355" s="43"/>
      <c r="K355" s="3" t="e">
        <f t="shared" si="34"/>
        <v>#DIV/0!</v>
      </c>
      <c r="L355" s="3" t="e">
        <f ca="1">SQRT(AVERAGE(K355:OFFSET(K355,$B$5-1,0))*$B$9/(4*LN(2)))</f>
        <v>#DIV/0!</v>
      </c>
      <c r="M355" s="3" t="e">
        <f ca="1">SQRT(AVERAGE(K355:OFFSET(K355,$B$6-1,0))*$B$9/(4*LN(2)))</f>
        <v>#DIV/0!</v>
      </c>
      <c r="N355" s="3" t="e">
        <f ca="1">SQRT(AVERAGE(K355:OFFSET(K355,$B$7-1,0))*$B$9/(4*LN(2)))</f>
        <v>#DIV/0!</v>
      </c>
      <c r="O355" s="3" t="e">
        <f ca="1">SQRT(AVERAGE(K355:OFFSET(K355,$B$8-1,0))*$B$9/(4*LN(2)))</f>
        <v>#DIV/0!</v>
      </c>
      <c r="Q355" s="5" t="e">
        <f t="shared" si="33"/>
        <v>#DIV/0!</v>
      </c>
      <c r="R355" s="5" t="e">
        <f ca="1">SQRT($B$9*AVERAGE((Q355:OFFSET(Q355,$B$5-1,0))))</f>
        <v>#DIV/0!</v>
      </c>
      <c r="S355" s="5" t="e">
        <f ca="1">SQRT($B$9*AVERAGE((Q355:OFFSET(Q355,$B$6-1,0))))</f>
        <v>#DIV/0!</v>
      </c>
      <c r="T355" s="5" t="e">
        <f ca="1">SQRT($B$9*AVERAGE((Q355:OFFSET(Q355,$B$7-1,0))))</f>
        <v>#DIV/0!</v>
      </c>
      <c r="U355" s="5" t="e">
        <f ca="1">SQRT($B$9*AVERAGE((Q355:OFFSET(Q355,$B$8-1,0))))</f>
        <v>#DIV/0!</v>
      </c>
      <c r="W355" s="6" t="e">
        <f t="shared" si="32"/>
        <v>#DIV/0!</v>
      </c>
      <c r="X355" s="6" t="e">
        <f ca="1">SQRT($B$9*AVERAGE(W355:OFFSET(W355,$B$5-1,0)))</f>
        <v>#DIV/0!</v>
      </c>
      <c r="Y355" s="6" t="e">
        <f ca="1">SQRT($B$9*AVERAGE(W355:OFFSET(W355,$B$6-1,0)))</f>
        <v>#DIV/0!</v>
      </c>
      <c r="Z355" s="6" t="e">
        <f ca="1">SQRT($B$9*AVERAGE(W355:OFFSET(W355,$B$7-1,0)))</f>
        <v>#DIV/0!</v>
      </c>
      <c r="AA355" s="6" t="e">
        <f ca="1">SQRT($B$9*AVERAGE(W355:OFFSET(W355,$B$8-1,0)))</f>
        <v>#DIV/0!</v>
      </c>
      <c r="AC355" s="34" t="e">
        <f t="shared" si="35"/>
        <v>#DIV/0!</v>
      </c>
      <c r="AD355" s="34" t="e">
        <f ca="1">SQRT($B$9*SUM(AC355:OFFSET(AC355,$B$5-1,0))/($B$5-1))</f>
        <v>#DIV/0!</v>
      </c>
      <c r="AE355" s="34" t="e">
        <f ca="1">SQRT($B$9*SUM(AC355:OFFSET(AC355,$B$6-1,0))/($B$6-1))</f>
        <v>#DIV/0!</v>
      </c>
      <c r="AF355" s="34" t="e">
        <f ca="1">SQRT($B$9*SUM(AC355:OFFSET(AC355,$B$7-1,0))/($B$7-1))</f>
        <v>#DIV/0!</v>
      </c>
      <c r="AG355" s="34" t="e">
        <f ca="1">SQRT($B$9*SUM(AC355:OFFSET(AC355,$B$8-1,0))/($B$8-1))</f>
        <v>#DIV/0!</v>
      </c>
      <c r="AI355" s="1" t="e">
        <f t="shared" si="36"/>
        <v>#DIV/0!</v>
      </c>
      <c r="AJ355" s="4" t="e">
        <f ca="1">SQRT($B$9)*_xlfn.STDEV.S(AI355:OFFSET(AI355,$B$5-1,0))</f>
        <v>#DIV/0!</v>
      </c>
      <c r="AK355" s="4" t="e">
        <f ca="1">SQRT($B$9)*_xlfn.STDEV.S(AI355:OFFSET(AI355,$B$6-1,0))</f>
        <v>#DIV/0!</v>
      </c>
      <c r="AL355" s="4" t="e">
        <f ca="1">SQRT($B$9)*_xlfn.STDEV.S(AI355:OFFSET(AI355,$B$7-1,0))</f>
        <v>#DIV/0!</v>
      </c>
      <c r="AM355" s="4" t="e">
        <f ca="1">SQRT($B$9)*_xlfn.STDEV.S(AI355:OFFSET(AI355,$B$8-1,0))</f>
        <v>#DIV/0!</v>
      </c>
    </row>
    <row r="356" spans="5:39" x14ac:dyDescent="0.2">
      <c r="E356" s="42">
        <v>45132</v>
      </c>
      <c r="F356" s="43"/>
      <c r="G356" s="43"/>
      <c r="H356" s="43"/>
      <c r="I356" s="43"/>
      <c r="K356" s="3" t="e">
        <f t="shared" si="34"/>
        <v>#DIV/0!</v>
      </c>
      <c r="L356" s="3" t="e">
        <f ca="1">SQRT(AVERAGE(K356:OFFSET(K356,$B$5-1,0))*$B$9/(4*LN(2)))</f>
        <v>#DIV/0!</v>
      </c>
      <c r="M356" s="3" t="e">
        <f ca="1">SQRT(AVERAGE(K356:OFFSET(K356,$B$6-1,0))*$B$9/(4*LN(2)))</f>
        <v>#DIV/0!</v>
      </c>
      <c r="N356" s="3" t="e">
        <f ca="1">SQRT(AVERAGE(K356:OFFSET(K356,$B$7-1,0))*$B$9/(4*LN(2)))</f>
        <v>#DIV/0!</v>
      </c>
      <c r="O356" s="3" t="e">
        <f ca="1">SQRT(AVERAGE(K356:OFFSET(K356,$B$8-1,0))*$B$9/(4*LN(2)))</f>
        <v>#DIV/0!</v>
      </c>
      <c r="Q356" s="5" t="e">
        <f t="shared" si="33"/>
        <v>#DIV/0!</v>
      </c>
      <c r="R356" s="5" t="e">
        <f ca="1">SQRT($B$9*AVERAGE((Q356:OFFSET(Q356,$B$5-1,0))))</f>
        <v>#DIV/0!</v>
      </c>
      <c r="S356" s="5" t="e">
        <f ca="1">SQRT($B$9*AVERAGE((Q356:OFFSET(Q356,$B$6-1,0))))</f>
        <v>#DIV/0!</v>
      </c>
      <c r="T356" s="5" t="e">
        <f ca="1">SQRT($B$9*AVERAGE((Q356:OFFSET(Q356,$B$7-1,0))))</f>
        <v>#DIV/0!</v>
      </c>
      <c r="U356" s="5" t="e">
        <f ca="1">SQRT($B$9*AVERAGE((Q356:OFFSET(Q356,$B$8-1,0))))</f>
        <v>#DIV/0!</v>
      </c>
      <c r="W356" s="6" t="e">
        <f t="shared" si="32"/>
        <v>#DIV/0!</v>
      </c>
      <c r="X356" s="6" t="e">
        <f ca="1">SQRT($B$9*AVERAGE(W356:OFFSET(W356,$B$5-1,0)))</f>
        <v>#DIV/0!</v>
      </c>
      <c r="Y356" s="6" t="e">
        <f ca="1">SQRT($B$9*AVERAGE(W356:OFFSET(W356,$B$6-1,0)))</f>
        <v>#DIV/0!</v>
      </c>
      <c r="Z356" s="6" t="e">
        <f ca="1">SQRT($B$9*AVERAGE(W356:OFFSET(W356,$B$7-1,0)))</f>
        <v>#DIV/0!</v>
      </c>
      <c r="AA356" s="6" t="e">
        <f ca="1">SQRT($B$9*AVERAGE(W356:OFFSET(W356,$B$8-1,0)))</f>
        <v>#DIV/0!</v>
      </c>
      <c r="AC356" s="34" t="e">
        <f t="shared" si="35"/>
        <v>#DIV/0!</v>
      </c>
      <c r="AD356" s="34" t="e">
        <f ca="1">SQRT($B$9*SUM(AC356:OFFSET(AC356,$B$5-1,0))/($B$5-1))</f>
        <v>#DIV/0!</v>
      </c>
      <c r="AE356" s="34" t="e">
        <f ca="1">SQRT($B$9*SUM(AC356:OFFSET(AC356,$B$6-1,0))/($B$6-1))</f>
        <v>#DIV/0!</v>
      </c>
      <c r="AF356" s="34" t="e">
        <f ca="1">SQRT($B$9*SUM(AC356:OFFSET(AC356,$B$7-1,0))/($B$7-1))</f>
        <v>#DIV/0!</v>
      </c>
      <c r="AG356" s="34" t="e">
        <f ca="1">SQRT($B$9*SUM(AC356:OFFSET(AC356,$B$8-1,0))/($B$8-1))</f>
        <v>#DIV/0!</v>
      </c>
      <c r="AI356" s="1" t="e">
        <f t="shared" si="36"/>
        <v>#DIV/0!</v>
      </c>
      <c r="AJ356" s="4" t="e">
        <f ca="1">SQRT($B$9)*_xlfn.STDEV.S(AI356:OFFSET(AI356,$B$5-1,0))</f>
        <v>#DIV/0!</v>
      </c>
      <c r="AK356" s="4" t="e">
        <f ca="1">SQRT($B$9)*_xlfn.STDEV.S(AI356:OFFSET(AI356,$B$6-1,0))</f>
        <v>#DIV/0!</v>
      </c>
      <c r="AL356" s="4" t="e">
        <f ca="1">SQRT($B$9)*_xlfn.STDEV.S(AI356:OFFSET(AI356,$B$7-1,0))</f>
        <v>#DIV/0!</v>
      </c>
      <c r="AM356" s="4" t="e">
        <f ca="1">SQRT($B$9)*_xlfn.STDEV.S(AI356:OFFSET(AI356,$B$8-1,0))</f>
        <v>#DIV/0!</v>
      </c>
    </row>
    <row r="357" spans="5:39" x14ac:dyDescent="0.2">
      <c r="E357" s="42">
        <v>45131</v>
      </c>
      <c r="F357" s="43"/>
      <c r="G357" s="43"/>
      <c r="H357" s="43"/>
      <c r="I357" s="43"/>
      <c r="K357" s="3" t="e">
        <f t="shared" si="34"/>
        <v>#DIV/0!</v>
      </c>
      <c r="L357" s="3" t="e">
        <f ca="1">SQRT(AVERAGE(K357:OFFSET(K357,$B$5-1,0))*$B$9/(4*LN(2)))</f>
        <v>#DIV/0!</v>
      </c>
      <c r="M357" s="3" t="e">
        <f ca="1">SQRT(AVERAGE(K357:OFFSET(K357,$B$6-1,0))*$B$9/(4*LN(2)))</f>
        <v>#DIV/0!</v>
      </c>
      <c r="N357" s="3" t="e">
        <f ca="1">SQRT(AVERAGE(K357:OFFSET(K357,$B$7-1,0))*$B$9/(4*LN(2)))</f>
        <v>#DIV/0!</v>
      </c>
      <c r="O357" s="3" t="e">
        <f ca="1">SQRT(AVERAGE(K357:OFFSET(K357,$B$8-1,0))*$B$9/(4*LN(2)))</f>
        <v>#DIV/0!</v>
      </c>
      <c r="Q357" s="5" t="e">
        <f t="shared" si="33"/>
        <v>#DIV/0!</v>
      </c>
      <c r="R357" s="5" t="e">
        <f ca="1">SQRT($B$9*AVERAGE((Q357:OFFSET(Q357,$B$5-1,0))))</f>
        <v>#DIV/0!</v>
      </c>
      <c r="S357" s="5" t="e">
        <f ca="1">SQRT($B$9*AVERAGE((Q357:OFFSET(Q357,$B$6-1,0))))</f>
        <v>#DIV/0!</v>
      </c>
      <c r="T357" s="5" t="e">
        <f ca="1">SQRT($B$9*AVERAGE((Q357:OFFSET(Q357,$B$7-1,0))))</f>
        <v>#DIV/0!</v>
      </c>
      <c r="U357" s="5" t="e">
        <f ca="1">SQRT($B$9*AVERAGE((Q357:OFFSET(Q357,$B$8-1,0))))</f>
        <v>#DIV/0!</v>
      </c>
      <c r="W357" s="6" t="e">
        <f t="shared" si="32"/>
        <v>#DIV/0!</v>
      </c>
      <c r="X357" s="6" t="e">
        <f ca="1">SQRT($B$9*AVERAGE(W357:OFFSET(W357,$B$5-1,0)))</f>
        <v>#DIV/0!</v>
      </c>
      <c r="Y357" s="6" t="e">
        <f ca="1">SQRT($B$9*AVERAGE(W357:OFFSET(W357,$B$6-1,0)))</f>
        <v>#DIV/0!</v>
      </c>
      <c r="Z357" s="6" t="e">
        <f ca="1">SQRT($B$9*AVERAGE(W357:OFFSET(W357,$B$7-1,0)))</f>
        <v>#DIV/0!</v>
      </c>
      <c r="AA357" s="6" t="e">
        <f ca="1">SQRT($B$9*AVERAGE(W357:OFFSET(W357,$B$8-1,0)))</f>
        <v>#DIV/0!</v>
      </c>
      <c r="AC357" s="34" t="e">
        <f t="shared" si="35"/>
        <v>#DIV/0!</v>
      </c>
      <c r="AD357" s="34" t="e">
        <f ca="1">SQRT($B$9*SUM(AC357:OFFSET(AC357,$B$5-1,0))/($B$5-1))</f>
        <v>#DIV/0!</v>
      </c>
      <c r="AE357" s="34" t="e">
        <f ca="1">SQRT($B$9*SUM(AC357:OFFSET(AC357,$B$6-1,0))/($B$6-1))</f>
        <v>#DIV/0!</v>
      </c>
      <c r="AF357" s="34" t="e">
        <f ca="1">SQRT($B$9*SUM(AC357:OFFSET(AC357,$B$7-1,0))/($B$7-1))</f>
        <v>#DIV/0!</v>
      </c>
      <c r="AG357" s="34" t="e">
        <f ca="1">SQRT($B$9*SUM(AC357:OFFSET(AC357,$B$8-1,0))/($B$8-1))</f>
        <v>#DIV/0!</v>
      </c>
      <c r="AI357" s="1" t="e">
        <f t="shared" si="36"/>
        <v>#DIV/0!</v>
      </c>
      <c r="AJ357" s="4" t="e">
        <f ca="1">SQRT($B$9)*_xlfn.STDEV.S(AI357:OFFSET(AI357,$B$5-1,0))</f>
        <v>#DIV/0!</v>
      </c>
      <c r="AK357" s="4" t="e">
        <f ca="1">SQRT($B$9)*_xlfn.STDEV.S(AI357:OFFSET(AI357,$B$6-1,0))</f>
        <v>#DIV/0!</v>
      </c>
      <c r="AL357" s="4" t="e">
        <f ca="1">SQRT($B$9)*_xlfn.STDEV.S(AI357:OFFSET(AI357,$B$7-1,0))</f>
        <v>#DIV/0!</v>
      </c>
      <c r="AM357" s="4" t="e">
        <f ca="1">SQRT($B$9)*_xlfn.STDEV.S(AI357:OFFSET(AI357,$B$8-1,0))</f>
        <v>#DIV/0!</v>
      </c>
    </row>
    <row r="358" spans="5:39" x14ac:dyDescent="0.2">
      <c r="E358" s="42">
        <v>45128</v>
      </c>
      <c r="F358" s="43"/>
      <c r="G358" s="43"/>
      <c r="H358" s="43"/>
      <c r="I358" s="43"/>
      <c r="K358" s="3" t="e">
        <f t="shared" si="34"/>
        <v>#DIV/0!</v>
      </c>
      <c r="L358" s="3" t="e">
        <f ca="1">SQRT(AVERAGE(K358:OFFSET(K358,$B$5-1,0))*$B$9/(4*LN(2)))</f>
        <v>#DIV/0!</v>
      </c>
      <c r="M358" s="3" t="e">
        <f ca="1">SQRT(AVERAGE(K358:OFFSET(K358,$B$6-1,0))*$B$9/(4*LN(2)))</f>
        <v>#DIV/0!</v>
      </c>
      <c r="N358" s="3" t="e">
        <f ca="1">SQRT(AVERAGE(K358:OFFSET(K358,$B$7-1,0))*$B$9/(4*LN(2)))</f>
        <v>#DIV/0!</v>
      </c>
      <c r="O358" s="3" t="e">
        <f ca="1">SQRT(AVERAGE(K358:OFFSET(K358,$B$8-1,0))*$B$9/(4*LN(2)))</f>
        <v>#DIV/0!</v>
      </c>
      <c r="Q358" s="5" t="e">
        <f t="shared" si="33"/>
        <v>#DIV/0!</v>
      </c>
      <c r="R358" s="5" t="e">
        <f ca="1">SQRT($B$9*AVERAGE((Q358:OFFSET(Q358,$B$5-1,0))))</f>
        <v>#DIV/0!</v>
      </c>
      <c r="S358" s="5" t="e">
        <f ca="1">SQRT($B$9*AVERAGE((Q358:OFFSET(Q358,$B$6-1,0))))</f>
        <v>#DIV/0!</v>
      </c>
      <c r="T358" s="5" t="e">
        <f ca="1">SQRT($B$9*AVERAGE((Q358:OFFSET(Q358,$B$7-1,0))))</f>
        <v>#DIV/0!</v>
      </c>
      <c r="U358" s="5" t="e">
        <f ca="1">SQRT($B$9*AVERAGE((Q358:OFFSET(Q358,$B$8-1,0))))</f>
        <v>#DIV/0!</v>
      </c>
      <c r="W358" s="6" t="e">
        <f t="shared" si="32"/>
        <v>#DIV/0!</v>
      </c>
      <c r="X358" s="6" t="e">
        <f ca="1">SQRT($B$9*AVERAGE(W358:OFFSET(W358,$B$5-1,0)))</f>
        <v>#DIV/0!</v>
      </c>
      <c r="Y358" s="6" t="e">
        <f ca="1">SQRT($B$9*AVERAGE(W358:OFFSET(W358,$B$6-1,0)))</f>
        <v>#DIV/0!</v>
      </c>
      <c r="Z358" s="6" t="e">
        <f ca="1">SQRT($B$9*AVERAGE(W358:OFFSET(W358,$B$7-1,0)))</f>
        <v>#DIV/0!</v>
      </c>
      <c r="AA358" s="6" t="e">
        <f ca="1">SQRT($B$9*AVERAGE(W358:OFFSET(W358,$B$8-1,0)))</f>
        <v>#DIV/0!</v>
      </c>
      <c r="AC358" s="34" t="e">
        <f t="shared" si="35"/>
        <v>#DIV/0!</v>
      </c>
      <c r="AD358" s="34" t="e">
        <f ca="1">SQRT($B$9*SUM(AC358:OFFSET(AC358,$B$5-1,0))/($B$5-1))</f>
        <v>#DIV/0!</v>
      </c>
      <c r="AE358" s="34" t="e">
        <f ca="1">SQRT($B$9*SUM(AC358:OFFSET(AC358,$B$6-1,0))/($B$6-1))</f>
        <v>#DIV/0!</v>
      </c>
      <c r="AF358" s="34" t="e">
        <f ca="1">SQRT($B$9*SUM(AC358:OFFSET(AC358,$B$7-1,0))/($B$7-1))</f>
        <v>#DIV/0!</v>
      </c>
      <c r="AG358" s="34" t="e">
        <f ca="1">SQRT($B$9*SUM(AC358:OFFSET(AC358,$B$8-1,0))/($B$8-1))</f>
        <v>#DIV/0!</v>
      </c>
      <c r="AI358" s="1" t="e">
        <f t="shared" si="36"/>
        <v>#DIV/0!</v>
      </c>
      <c r="AJ358" s="4" t="e">
        <f ca="1">SQRT($B$9)*_xlfn.STDEV.S(AI358:OFFSET(AI358,$B$5-1,0))</f>
        <v>#DIV/0!</v>
      </c>
      <c r="AK358" s="4" t="e">
        <f ca="1">SQRT($B$9)*_xlfn.STDEV.S(AI358:OFFSET(AI358,$B$6-1,0))</f>
        <v>#DIV/0!</v>
      </c>
      <c r="AL358" s="4" t="e">
        <f ca="1">SQRT($B$9)*_xlfn.STDEV.S(AI358:OFFSET(AI358,$B$7-1,0))</f>
        <v>#DIV/0!</v>
      </c>
      <c r="AM358" s="4" t="e">
        <f ca="1">SQRT($B$9)*_xlfn.STDEV.S(AI358:OFFSET(AI358,$B$8-1,0))</f>
        <v>#DIV/0!</v>
      </c>
    </row>
    <row r="359" spans="5:39" x14ac:dyDescent="0.2">
      <c r="E359" s="42">
        <v>45127</v>
      </c>
      <c r="F359" s="43"/>
      <c r="G359" s="43"/>
      <c r="H359" s="43"/>
      <c r="I359" s="43"/>
      <c r="K359" s="3" t="e">
        <f t="shared" si="34"/>
        <v>#DIV/0!</v>
      </c>
      <c r="L359" s="3" t="e">
        <f ca="1">SQRT(AVERAGE(K359:OFFSET(K359,$B$5-1,0))*$B$9/(4*LN(2)))</f>
        <v>#DIV/0!</v>
      </c>
      <c r="M359" s="3" t="e">
        <f ca="1">SQRT(AVERAGE(K359:OFFSET(K359,$B$6-1,0))*$B$9/(4*LN(2)))</f>
        <v>#DIV/0!</v>
      </c>
      <c r="N359" s="3" t="e">
        <f ca="1">SQRT(AVERAGE(K359:OFFSET(K359,$B$7-1,0))*$B$9/(4*LN(2)))</f>
        <v>#DIV/0!</v>
      </c>
      <c r="O359" s="3" t="e">
        <f ca="1">SQRT(AVERAGE(K359:OFFSET(K359,$B$8-1,0))*$B$9/(4*LN(2)))</f>
        <v>#DIV/0!</v>
      </c>
      <c r="Q359" s="5" t="e">
        <f t="shared" si="33"/>
        <v>#DIV/0!</v>
      </c>
      <c r="R359" s="5" t="e">
        <f ca="1">SQRT($B$9*AVERAGE((Q359:OFFSET(Q359,$B$5-1,0))))</f>
        <v>#DIV/0!</v>
      </c>
      <c r="S359" s="5" t="e">
        <f ca="1">SQRT($B$9*AVERAGE((Q359:OFFSET(Q359,$B$6-1,0))))</f>
        <v>#DIV/0!</v>
      </c>
      <c r="T359" s="5" t="e">
        <f ca="1">SQRT($B$9*AVERAGE((Q359:OFFSET(Q359,$B$7-1,0))))</f>
        <v>#DIV/0!</v>
      </c>
      <c r="U359" s="5" t="e">
        <f ca="1">SQRT($B$9*AVERAGE((Q359:OFFSET(Q359,$B$8-1,0))))</f>
        <v>#DIV/0!</v>
      </c>
      <c r="W359" s="6" t="e">
        <f t="shared" ref="W359:W422" si="37">LN(G359/I359)*LN(G359/F359)+LN(H359/I359)*LN(H359/F359)</f>
        <v>#DIV/0!</v>
      </c>
      <c r="X359" s="6" t="e">
        <f ca="1">SQRT($B$9*AVERAGE(W359:OFFSET(W359,$B$5-1,0)))</f>
        <v>#DIV/0!</v>
      </c>
      <c r="Y359" s="6" t="e">
        <f ca="1">SQRT($B$9*AVERAGE(W359:OFFSET(W359,$B$6-1,0)))</f>
        <v>#DIV/0!</v>
      </c>
      <c r="Z359" s="6" t="e">
        <f ca="1">SQRT($B$9*AVERAGE(W359:OFFSET(W359,$B$7-1,0)))</f>
        <v>#DIV/0!</v>
      </c>
      <c r="AA359" s="6" t="e">
        <f ca="1">SQRT($B$9*AVERAGE(W359:OFFSET(W359,$B$8-1,0)))</f>
        <v>#DIV/0!</v>
      </c>
      <c r="AC359" s="34" t="e">
        <f t="shared" si="35"/>
        <v>#DIV/0!</v>
      </c>
      <c r="AD359" s="34" t="e">
        <f ca="1">SQRT($B$9*SUM(AC359:OFFSET(AC359,$B$5-1,0))/($B$5-1))</f>
        <v>#DIV/0!</v>
      </c>
      <c r="AE359" s="34" t="e">
        <f ca="1">SQRT($B$9*SUM(AC359:OFFSET(AC359,$B$6-1,0))/($B$6-1))</f>
        <v>#DIV/0!</v>
      </c>
      <c r="AF359" s="34" t="e">
        <f ca="1">SQRT($B$9*SUM(AC359:OFFSET(AC359,$B$7-1,0))/($B$7-1))</f>
        <v>#DIV/0!</v>
      </c>
      <c r="AG359" s="34" t="e">
        <f ca="1">SQRT($B$9*SUM(AC359:OFFSET(AC359,$B$8-1,0))/($B$8-1))</f>
        <v>#DIV/0!</v>
      </c>
      <c r="AI359" s="1" t="e">
        <f t="shared" si="36"/>
        <v>#DIV/0!</v>
      </c>
      <c r="AJ359" s="4" t="e">
        <f ca="1">SQRT($B$9)*_xlfn.STDEV.S(AI359:OFFSET(AI359,$B$5-1,0))</f>
        <v>#DIV/0!</v>
      </c>
      <c r="AK359" s="4" t="e">
        <f ca="1">SQRT($B$9)*_xlfn.STDEV.S(AI359:OFFSET(AI359,$B$6-1,0))</f>
        <v>#DIV/0!</v>
      </c>
      <c r="AL359" s="4" t="e">
        <f ca="1">SQRT($B$9)*_xlfn.STDEV.S(AI359:OFFSET(AI359,$B$7-1,0))</f>
        <v>#DIV/0!</v>
      </c>
      <c r="AM359" s="4" t="e">
        <f ca="1">SQRT($B$9)*_xlfn.STDEV.S(AI359:OFFSET(AI359,$B$8-1,0))</f>
        <v>#DIV/0!</v>
      </c>
    </row>
    <row r="360" spans="5:39" x14ac:dyDescent="0.2">
      <c r="E360" s="42">
        <v>45126</v>
      </c>
      <c r="F360" s="43"/>
      <c r="G360" s="43"/>
      <c r="H360" s="43"/>
      <c r="I360" s="43"/>
      <c r="K360" s="3" t="e">
        <f t="shared" si="34"/>
        <v>#DIV/0!</v>
      </c>
      <c r="L360" s="3" t="e">
        <f ca="1">SQRT(AVERAGE(K360:OFFSET(K360,$B$5-1,0))*$B$9/(4*LN(2)))</f>
        <v>#DIV/0!</v>
      </c>
      <c r="M360" s="3" t="e">
        <f ca="1">SQRT(AVERAGE(K360:OFFSET(K360,$B$6-1,0))*$B$9/(4*LN(2)))</f>
        <v>#DIV/0!</v>
      </c>
      <c r="N360" s="3" t="e">
        <f ca="1">SQRT(AVERAGE(K360:OFFSET(K360,$B$7-1,0))*$B$9/(4*LN(2)))</f>
        <v>#DIV/0!</v>
      </c>
      <c r="O360" s="3" t="e">
        <f ca="1">SQRT(AVERAGE(K360:OFFSET(K360,$B$8-1,0))*$B$9/(4*LN(2)))</f>
        <v>#DIV/0!</v>
      </c>
      <c r="Q360" s="5" t="e">
        <f t="shared" si="33"/>
        <v>#DIV/0!</v>
      </c>
      <c r="R360" s="5" t="e">
        <f ca="1">SQRT($B$9*AVERAGE((Q360:OFFSET(Q360,$B$5-1,0))))</f>
        <v>#DIV/0!</v>
      </c>
      <c r="S360" s="5" t="e">
        <f ca="1">SQRT($B$9*AVERAGE((Q360:OFFSET(Q360,$B$6-1,0))))</f>
        <v>#DIV/0!</v>
      </c>
      <c r="T360" s="5" t="e">
        <f ca="1">SQRT($B$9*AVERAGE((Q360:OFFSET(Q360,$B$7-1,0))))</f>
        <v>#DIV/0!</v>
      </c>
      <c r="U360" s="5" t="e">
        <f ca="1">SQRT($B$9*AVERAGE((Q360:OFFSET(Q360,$B$8-1,0))))</f>
        <v>#DIV/0!</v>
      </c>
      <c r="W360" s="6" t="e">
        <f t="shared" si="37"/>
        <v>#DIV/0!</v>
      </c>
      <c r="X360" s="6" t="e">
        <f ca="1">SQRT($B$9*AVERAGE(W360:OFFSET(W360,$B$5-1,0)))</f>
        <v>#DIV/0!</v>
      </c>
      <c r="Y360" s="6" t="e">
        <f ca="1">SQRT($B$9*AVERAGE(W360:OFFSET(W360,$B$6-1,0)))</f>
        <v>#DIV/0!</v>
      </c>
      <c r="Z360" s="6" t="e">
        <f ca="1">SQRT($B$9*AVERAGE(W360:OFFSET(W360,$B$7-1,0)))</f>
        <v>#DIV/0!</v>
      </c>
      <c r="AA360" s="6" t="e">
        <f ca="1">SQRT($B$9*AVERAGE(W360:OFFSET(W360,$B$8-1,0)))</f>
        <v>#DIV/0!</v>
      </c>
      <c r="AC360" s="34" t="e">
        <f t="shared" si="35"/>
        <v>#DIV/0!</v>
      </c>
      <c r="AD360" s="34" t="e">
        <f ca="1">SQRT($B$9*SUM(AC360:OFFSET(AC360,$B$5-1,0))/($B$5-1))</f>
        <v>#DIV/0!</v>
      </c>
      <c r="AE360" s="34" t="e">
        <f ca="1">SQRT($B$9*SUM(AC360:OFFSET(AC360,$B$6-1,0))/($B$6-1))</f>
        <v>#DIV/0!</v>
      </c>
      <c r="AF360" s="34" t="e">
        <f ca="1">SQRT($B$9*SUM(AC360:OFFSET(AC360,$B$7-1,0))/($B$7-1))</f>
        <v>#DIV/0!</v>
      </c>
      <c r="AG360" s="34" t="e">
        <f ca="1">SQRT($B$9*SUM(AC360:OFFSET(AC360,$B$8-1,0))/($B$8-1))</f>
        <v>#DIV/0!</v>
      </c>
      <c r="AI360" s="1" t="e">
        <f t="shared" si="36"/>
        <v>#DIV/0!</v>
      </c>
      <c r="AJ360" s="4" t="e">
        <f ca="1">SQRT($B$9)*_xlfn.STDEV.S(AI360:OFFSET(AI360,$B$5-1,0))</f>
        <v>#DIV/0!</v>
      </c>
      <c r="AK360" s="4" t="e">
        <f ca="1">SQRT($B$9)*_xlfn.STDEV.S(AI360:OFFSET(AI360,$B$6-1,0))</f>
        <v>#DIV/0!</v>
      </c>
      <c r="AL360" s="4" t="e">
        <f ca="1">SQRT($B$9)*_xlfn.STDEV.S(AI360:OFFSET(AI360,$B$7-1,0))</f>
        <v>#DIV/0!</v>
      </c>
      <c r="AM360" s="4" t="e">
        <f ca="1">SQRT($B$9)*_xlfn.STDEV.S(AI360:OFFSET(AI360,$B$8-1,0))</f>
        <v>#DIV/0!</v>
      </c>
    </row>
    <row r="361" spans="5:39" x14ac:dyDescent="0.2">
      <c r="E361" s="42">
        <v>45125</v>
      </c>
      <c r="F361" s="43"/>
      <c r="G361" s="43"/>
      <c r="H361" s="43"/>
      <c r="I361" s="43"/>
      <c r="K361" s="3" t="e">
        <f t="shared" si="34"/>
        <v>#DIV/0!</v>
      </c>
      <c r="L361" s="3" t="e">
        <f ca="1">SQRT(AVERAGE(K361:OFFSET(K361,$B$5-1,0))*$B$9/(4*LN(2)))</f>
        <v>#DIV/0!</v>
      </c>
      <c r="M361" s="3" t="e">
        <f ca="1">SQRT(AVERAGE(K361:OFFSET(K361,$B$6-1,0))*$B$9/(4*LN(2)))</f>
        <v>#DIV/0!</v>
      </c>
      <c r="N361" s="3" t="e">
        <f ca="1">SQRT(AVERAGE(K361:OFFSET(K361,$B$7-1,0))*$B$9/(4*LN(2)))</f>
        <v>#DIV/0!</v>
      </c>
      <c r="O361" s="3" t="e">
        <f ca="1">SQRT(AVERAGE(K361:OFFSET(K361,$B$8-1,0))*$B$9/(4*LN(2)))</f>
        <v>#DIV/0!</v>
      </c>
      <c r="Q361" s="5" t="e">
        <f t="shared" si="33"/>
        <v>#DIV/0!</v>
      </c>
      <c r="R361" s="5" t="e">
        <f ca="1">SQRT($B$9*AVERAGE((Q361:OFFSET(Q361,$B$5-1,0))))</f>
        <v>#DIV/0!</v>
      </c>
      <c r="S361" s="5" t="e">
        <f ca="1">SQRT($B$9*AVERAGE((Q361:OFFSET(Q361,$B$6-1,0))))</f>
        <v>#DIV/0!</v>
      </c>
      <c r="T361" s="5" t="e">
        <f ca="1">SQRT($B$9*AVERAGE((Q361:OFFSET(Q361,$B$7-1,0))))</f>
        <v>#DIV/0!</v>
      </c>
      <c r="U361" s="5" t="e">
        <f ca="1">SQRT($B$9*AVERAGE((Q361:OFFSET(Q361,$B$8-1,0))))</f>
        <v>#DIV/0!</v>
      </c>
      <c r="W361" s="6" t="e">
        <f t="shared" si="37"/>
        <v>#DIV/0!</v>
      </c>
      <c r="X361" s="6" t="e">
        <f ca="1">SQRT($B$9*AVERAGE(W361:OFFSET(W361,$B$5-1,0)))</f>
        <v>#DIV/0!</v>
      </c>
      <c r="Y361" s="6" t="e">
        <f ca="1">SQRT($B$9*AVERAGE(W361:OFFSET(W361,$B$6-1,0)))</f>
        <v>#DIV/0!</v>
      </c>
      <c r="Z361" s="6" t="e">
        <f ca="1">SQRT($B$9*AVERAGE(W361:OFFSET(W361,$B$7-1,0)))</f>
        <v>#DIV/0!</v>
      </c>
      <c r="AA361" s="6" t="e">
        <f ca="1">SQRT($B$9*AVERAGE(W361:OFFSET(W361,$B$8-1,0)))</f>
        <v>#DIV/0!</v>
      </c>
      <c r="AC361" s="34" t="e">
        <f t="shared" si="35"/>
        <v>#DIV/0!</v>
      </c>
      <c r="AD361" s="34" t="e">
        <f ca="1">SQRT($B$9*SUM(AC361:OFFSET(AC361,$B$5-1,0))/($B$5-1))</f>
        <v>#DIV/0!</v>
      </c>
      <c r="AE361" s="34" t="e">
        <f ca="1">SQRT($B$9*SUM(AC361:OFFSET(AC361,$B$6-1,0))/($B$6-1))</f>
        <v>#DIV/0!</v>
      </c>
      <c r="AF361" s="34" t="e">
        <f ca="1">SQRT($B$9*SUM(AC361:OFFSET(AC361,$B$7-1,0))/($B$7-1))</f>
        <v>#DIV/0!</v>
      </c>
      <c r="AG361" s="34" t="e">
        <f ca="1">SQRT($B$9*SUM(AC361:OFFSET(AC361,$B$8-1,0))/($B$8-1))</f>
        <v>#DIV/0!</v>
      </c>
      <c r="AI361" s="1" t="e">
        <f t="shared" si="36"/>
        <v>#DIV/0!</v>
      </c>
      <c r="AJ361" s="4" t="e">
        <f ca="1">SQRT($B$9)*_xlfn.STDEV.S(AI361:OFFSET(AI361,$B$5-1,0))</f>
        <v>#DIV/0!</v>
      </c>
      <c r="AK361" s="4" t="e">
        <f ca="1">SQRT($B$9)*_xlfn.STDEV.S(AI361:OFFSET(AI361,$B$6-1,0))</f>
        <v>#DIV/0!</v>
      </c>
      <c r="AL361" s="4" t="e">
        <f ca="1">SQRT($B$9)*_xlfn.STDEV.S(AI361:OFFSET(AI361,$B$7-1,0))</f>
        <v>#DIV/0!</v>
      </c>
      <c r="AM361" s="4" t="e">
        <f ca="1">SQRT($B$9)*_xlfn.STDEV.S(AI361:OFFSET(AI361,$B$8-1,0))</f>
        <v>#DIV/0!</v>
      </c>
    </row>
    <row r="362" spans="5:39" x14ac:dyDescent="0.2">
      <c r="E362" s="42">
        <v>45124</v>
      </c>
      <c r="F362" s="43"/>
      <c r="G362" s="43"/>
      <c r="H362" s="43"/>
      <c r="I362" s="43"/>
      <c r="K362" s="3" t="e">
        <f t="shared" si="34"/>
        <v>#DIV/0!</v>
      </c>
      <c r="L362" s="3" t="e">
        <f ca="1">SQRT(AVERAGE(K362:OFFSET(K362,$B$5-1,0))*$B$9/(4*LN(2)))</f>
        <v>#DIV/0!</v>
      </c>
      <c r="M362" s="3" t="e">
        <f ca="1">SQRT(AVERAGE(K362:OFFSET(K362,$B$6-1,0))*$B$9/(4*LN(2)))</f>
        <v>#DIV/0!</v>
      </c>
      <c r="N362" s="3" t="e">
        <f ca="1">SQRT(AVERAGE(K362:OFFSET(K362,$B$7-1,0))*$B$9/(4*LN(2)))</f>
        <v>#DIV/0!</v>
      </c>
      <c r="O362" s="3" t="e">
        <f ca="1">SQRT(AVERAGE(K362:OFFSET(K362,$B$8-1,0))*$B$9/(4*LN(2)))</f>
        <v>#DIV/0!</v>
      </c>
      <c r="Q362" s="5" t="e">
        <f t="shared" si="33"/>
        <v>#DIV/0!</v>
      </c>
      <c r="R362" s="5" t="e">
        <f ca="1">SQRT($B$9*AVERAGE((Q362:OFFSET(Q362,$B$5-1,0))))</f>
        <v>#DIV/0!</v>
      </c>
      <c r="S362" s="5" t="e">
        <f ca="1">SQRT($B$9*AVERAGE((Q362:OFFSET(Q362,$B$6-1,0))))</f>
        <v>#DIV/0!</v>
      </c>
      <c r="T362" s="5" t="e">
        <f ca="1">SQRT($B$9*AVERAGE((Q362:OFFSET(Q362,$B$7-1,0))))</f>
        <v>#DIV/0!</v>
      </c>
      <c r="U362" s="5" t="e">
        <f ca="1">SQRT($B$9*AVERAGE((Q362:OFFSET(Q362,$B$8-1,0))))</f>
        <v>#DIV/0!</v>
      </c>
      <c r="W362" s="6" t="e">
        <f t="shared" si="37"/>
        <v>#DIV/0!</v>
      </c>
      <c r="X362" s="6" t="e">
        <f ca="1">SQRT($B$9*AVERAGE(W362:OFFSET(W362,$B$5-1,0)))</f>
        <v>#DIV/0!</v>
      </c>
      <c r="Y362" s="6" t="e">
        <f ca="1">SQRT($B$9*AVERAGE(W362:OFFSET(W362,$B$6-1,0)))</f>
        <v>#DIV/0!</v>
      </c>
      <c r="Z362" s="6" t="e">
        <f ca="1">SQRT($B$9*AVERAGE(W362:OFFSET(W362,$B$7-1,0)))</f>
        <v>#DIV/0!</v>
      </c>
      <c r="AA362" s="6" t="e">
        <f ca="1">SQRT($B$9*AVERAGE(W362:OFFSET(W362,$B$8-1,0)))</f>
        <v>#DIV/0!</v>
      </c>
      <c r="AC362" s="34" t="e">
        <f t="shared" si="35"/>
        <v>#DIV/0!</v>
      </c>
      <c r="AD362" s="34" t="e">
        <f ca="1">SQRT($B$9*SUM(AC362:OFFSET(AC362,$B$5-1,0))/($B$5-1))</f>
        <v>#DIV/0!</v>
      </c>
      <c r="AE362" s="34" t="e">
        <f ca="1">SQRT($B$9*SUM(AC362:OFFSET(AC362,$B$6-1,0))/($B$6-1))</f>
        <v>#DIV/0!</v>
      </c>
      <c r="AF362" s="34" t="e">
        <f ca="1">SQRT($B$9*SUM(AC362:OFFSET(AC362,$B$7-1,0))/($B$7-1))</f>
        <v>#DIV/0!</v>
      </c>
      <c r="AG362" s="34" t="e">
        <f ca="1">SQRT($B$9*SUM(AC362:OFFSET(AC362,$B$8-1,0))/($B$8-1))</f>
        <v>#DIV/0!</v>
      </c>
      <c r="AI362" s="1" t="e">
        <f t="shared" si="36"/>
        <v>#DIV/0!</v>
      </c>
      <c r="AJ362" s="4" t="e">
        <f ca="1">SQRT($B$9)*_xlfn.STDEV.S(AI362:OFFSET(AI362,$B$5-1,0))</f>
        <v>#DIV/0!</v>
      </c>
      <c r="AK362" s="4" t="e">
        <f ca="1">SQRT($B$9)*_xlfn.STDEV.S(AI362:OFFSET(AI362,$B$6-1,0))</f>
        <v>#DIV/0!</v>
      </c>
      <c r="AL362" s="4" t="e">
        <f ca="1">SQRT($B$9)*_xlfn.STDEV.S(AI362:OFFSET(AI362,$B$7-1,0))</f>
        <v>#DIV/0!</v>
      </c>
      <c r="AM362" s="4" t="e">
        <f ca="1">SQRT($B$9)*_xlfn.STDEV.S(AI362:OFFSET(AI362,$B$8-1,0))</f>
        <v>#DIV/0!</v>
      </c>
    </row>
    <row r="363" spans="5:39" x14ac:dyDescent="0.2">
      <c r="E363" s="42">
        <v>45121</v>
      </c>
      <c r="F363" s="43"/>
      <c r="G363" s="43"/>
      <c r="H363" s="43"/>
      <c r="I363" s="43"/>
      <c r="K363" s="3" t="e">
        <f t="shared" si="34"/>
        <v>#DIV/0!</v>
      </c>
      <c r="L363" s="3" t="e">
        <f ca="1">SQRT(AVERAGE(K363:OFFSET(K363,$B$5-1,0))*$B$9/(4*LN(2)))</f>
        <v>#DIV/0!</v>
      </c>
      <c r="M363" s="3" t="e">
        <f ca="1">SQRT(AVERAGE(K363:OFFSET(K363,$B$6-1,0))*$B$9/(4*LN(2)))</f>
        <v>#DIV/0!</v>
      </c>
      <c r="N363" s="3" t="e">
        <f ca="1">SQRT(AVERAGE(K363:OFFSET(K363,$B$7-1,0))*$B$9/(4*LN(2)))</f>
        <v>#DIV/0!</v>
      </c>
      <c r="O363" s="3" t="e">
        <f ca="1">SQRT(AVERAGE(K363:OFFSET(K363,$B$8-1,0))*$B$9/(4*LN(2)))</f>
        <v>#DIV/0!</v>
      </c>
      <c r="Q363" s="5" t="e">
        <f t="shared" si="33"/>
        <v>#DIV/0!</v>
      </c>
      <c r="R363" s="5" t="e">
        <f ca="1">SQRT($B$9*AVERAGE((Q363:OFFSET(Q363,$B$5-1,0))))</f>
        <v>#DIV/0!</v>
      </c>
      <c r="S363" s="5" t="e">
        <f ca="1">SQRT($B$9*AVERAGE((Q363:OFFSET(Q363,$B$6-1,0))))</f>
        <v>#DIV/0!</v>
      </c>
      <c r="T363" s="5" t="e">
        <f ca="1">SQRT($B$9*AVERAGE((Q363:OFFSET(Q363,$B$7-1,0))))</f>
        <v>#DIV/0!</v>
      </c>
      <c r="U363" s="5" t="e">
        <f ca="1">SQRT($B$9*AVERAGE((Q363:OFFSET(Q363,$B$8-1,0))))</f>
        <v>#DIV/0!</v>
      </c>
      <c r="W363" s="6" t="e">
        <f t="shared" si="37"/>
        <v>#DIV/0!</v>
      </c>
      <c r="X363" s="6" t="e">
        <f ca="1">SQRT($B$9*AVERAGE(W363:OFFSET(W363,$B$5-1,0)))</f>
        <v>#DIV/0!</v>
      </c>
      <c r="Y363" s="6" t="e">
        <f ca="1">SQRT($B$9*AVERAGE(W363:OFFSET(W363,$B$6-1,0)))</f>
        <v>#DIV/0!</v>
      </c>
      <c r="Z363" s="6" t="e">
        <f ca="1">SQRT($B$9*AVERAGE(W363:OFFSET(W363,$B$7-1,0)))</f>
        <v>#DIV/0!</v>
      </c>
      <c r="AA363" s="6" t="e">
        <f ca="1">SQRT($B$9*AVERAGE(W363:OFFSET(W363,$B$8-1,0)))</f>
        <v>#DIV/0!</v>
      </c>
      <c r="AC363" s="34" t="e">
        <f t="shared" si="35"/>
        <v>#DIV/0!</v>
      </c>
      <c r="AD363" s="34" t="e">
        <f ca="1">SQRT($B$9*SUM(AC363:OFFSET(AC363,$B$5-1,0))/($B$5-1))</f>
        <v>#DIV/0!</v>
      </c>
      <c r="AE363" s="34" t="e">
        <f ca="1">SQRT($B$9*SUM(AC363:OFFSET(AC363,$B$6-1,0))/($B$6-1))</f>
        <v>#DIV/0!</v>
      </c>
      <c r="AF363" s="34" t="e">
        <f ca="1">SQRT($B$9*SUM(AC363:OFFSET(AC363,$B$7-1,0))/($B$7-1))</f>
        <v>#DIV/0!</v>
      </c>
      <c r="AG363" s="34" t="e">
        <f ca="1">SQRT($B$9*SUM(AC363:OFFSET(AC363,$B$8-1,0))/($B$8-1))</f>
        <v>#DIV/0!</v>
      </c>
      <c r="AI363" s="1" t="e">
        <f t="shared" si="36"/>
        <v>#DIV/0!</v>
      </c>
      <c r="AJ363" s="4" t="e">
        <f ca="1">SQRT($B$9)*_xlfn.STDEV.S(AI363:OFFSET(AI363,$B$5-1,0))</f>
        <v>#DIV/0!</v>
      </c>
      <c r="AK363" s="4" t="e">
        <f ca="1">SQRT($B$9)*_xlfn.STDEV.S(AI363:OFFSET(AI363,$B$6-1,0))</f>
        <v>#DIV/0!</v>
      </c>
      <c r="AL363" s="4" t="e">
        <f ca="1">SQRT($B$9)*_xlfn.STDEV.S(AI363:OFFSET(AI363,$B$7-1,0))</f>
        <v>#DIV/0!</v>
      </c>
      <c r="AM363" s="4" t="e">
        <f ca="1">SQRT($B$9)*_xlfn.STDEV.S(AI363:OFFSET(AI363,$B$8-1,0))</f>
        <v>#DIV/0!</v>
      </c>
    </row>
    <row r="364" spans="5:39" x14ac:dyDescent="0.2">
      <c r="E364" s="42">
        <v>45120</v>
      </c>
      <c r="F364" s="43"/>
      <c r="G364" s="43"/>
      <c r="H364" s="43"/>
      <c r="I364" s="43"/>
      <c r="K364" s="3" t="e">
        <f t="shared" si="34"/>
        <v>#DIV/0!</v>
      </c>
      <c r="L364" s="3" t="e">
        <f ca="1">SQRT(AVERAGE(K364:OFFSET(K364,$B$5-1,0))*$B$9/(4*LN(2)))</f>
        <v>#DIV/0!</v>
      </c>
      <c r="M364" s="3" t="e">
        <f ca="1">SQRT(AVERAGE(K364:OFFSET(K364,$B$6-1,0))*$B$9/(4*LN(2)))</f>
        <v>#DIV/0!</v>
      </c>
      <c r="N364" s="3" t="e">
        <f ca="1">SQRT(AVERAGE(K364:OFFSET(K364,$B$7-1,0))*$B$9/(4*LN(2)))</f>
        <v>#DIV/0!</v>
      </c>
      <c r="O364" s="3" t="e">
        <f ca="1">SQRT(AVERAGE(K364:OFFSET(K364,$B$8-1,0))*$B$9/(4*LN(2)))</f>
        <v>#DIV/0!</v>
      </c>
      <c r="Q364" s="5" t="e">
        <f t="shared" si="33"/>
        <v>#DIV/0!</v>
      </c>
      <c r="R364" s="5" t="e">
        <f ca="1">SQRT($B$9*AVERAGE((Q364:OFFSET(Q364,$B$5-1,0))))</f>
        <v>#DIV/0!</v>
      </c>
      <c r="S364" s="5" t="e">
        <f ca="1">SQRT($B$9*AVERAGE((Q364:OFFSET(Q364,$B$6-1,0))))</f>
        <v>#DIV/0!</v>
      </c>
      <c r="T364" s="5" t="e">
        <f ca="1">SQRT($B$9*AVERAGE((Q364:OFFSET(Q364,$B$7-1,0))))</f>
        <v>#DIV/0!</v>
      </c>
      <c r="U364" s="5" t="e">
        <f ca="1">SQRT($B$9*AVERAGE((Q364:OFFSET(Q364,$B$8-1,0))))</f>
        <v>#DIV/0!</v>
      </c>
      <c r="W364" s="6" t="e">
        <f t="shared" si="37"/>
        <v>#DIV/0!</v>
      </c>
      <c r="X364" s="6" t="e">
        <f ca="1">SQRT($B$9*AVERAGE(W364:OFFSET(W364,$B$5-1,0)))</f>
        <v>#DIV/0!</v>
      </c>
      <c r="Y364" s="6" t="e">
        <f ca="1">SQRT($B$9*AVERAGE(W364:OFFSET(W364,$B$6-1,0)))</f>
        <v>#DIV/0!</v>
      </c>
      <c r="Z364" s="6" t="e">
        <f ca="1">SQRT($B$9*AVERAGE(W364:OFFSET(W364,$B$7-1,0)))</f>
        <v>#DIV/0!</v>
      </c>
      <c r="AA364" s="6" t="e">
        <f ca="1">SQRT($B$9*AVERAGE(W364:OFFSET(W364,$B$8-1,0)))</f>
        <v>#DIV/0!</v>
      </c>
      <c r="AC364" s="34" t="e">
        <f t="shared" si="35"/>
        <v>#DIV/0!</v>
      </c>
      <c r="AD364" s="34" t="e">
        <f ca="1">SQRT($B$9*SUM(AC364:OFFSET(AC364,$B$5-1,0))/($B$5-1))</f>
        <v>#DIV/0!</v>
      </c>
      <c r="AE364" s="34" t="e">
        <f ca="1">SQRT($B$9*SUM(AC364:OFFSET(AC364,$B$6-1,0))/($B$6-1))</f>
        <v>#DIV/0!</v>
      </c>
      <c r="AF364" s="34" t="e">
        <f ca="1">SQRT($B$9*SUM(AC364:OFFSET(AC364,$B$7-1,0))/($B$7-1))</f>
        <v>#DIV/0!</v>
      </c>
      <c r="AG364" s="34" t="e">
        <f ca="1">SQRT($B$9*SUM(AC364:OFFSET(AC364,$B$8-1,0))/($B$8-1))</f>
        <v>#DIV/0!</v>
      </c>
      <c r="AI364" s="1" t="e">
        <f t="shared" si="36"/>
        <v>#DIV/0!</v>
      </c>
      <c r="AJ364" s="4" t="e">
        <f ca="1">SQRT($B$9)*_xlfn.STDEV.S(AI364:OFFSET(AI364,$B$5-1,0))</f>
        <v>#DIV/0!</v>
      </c>
      <c r="AK364" s="4" t="e">
        <f ca="1">SQRT($B$9)*_xlfn.STDEV.S(AI364:OFFSET(AI364,$B$6-1,0))</f>
        <v>#DIV/0!</v>
      </c>
      <c r="AL364" s="4" t="e">
        <f ca="1">SQRT($B$9)*_xlfn.STDEV.S(AI364:OFFSET(AI364,$B$7-1,0))</f>
        <v>#DIV/0!</v>
      </c>
      <c r="AM364" s="4" t="e">
        <f ca="1">SQRT($B$9)*_xlfn.STDEV.S(AI364:OFFSET(AI364,$B$8-1,0))</f>
        <v>#DIV/0!</v>
      </c>
    </row>
    <row r="365" spans="5:39" x14ac:dyDescent="0.2">
      <c r="E365" s="42">
        <v>45119</v>
      </c>
      <c r="F365" s="43"/>
      <c r="G365" s="43"/>
      <c r="H365" s="43"/>
      <c r="I365" s="43"/>
      <c r="K365" s="3" t="e">
        <f t="shared" si="34"/>
        <v>#DIV/0!</v>
      </c>
      <c r="L365" s="3" t="e">
        <f ca="1">SQRT(AVERAGE(K365:OFFSET(K365,$B$5-1,0))*$B$9/(4*LN(2)))</f>
        <v>#DIV/0!</v>
      </c>
      <c r="M365" s="3" t="e">
        <f ca="1">SQRT(AVERAGE(K365:OFFSET(K365,$B$6-1,0))*$B$9/(4*LN(2)))</f>
        <v>#DIV/0!</v>
      </c>
      <c r="N365" s="3" t="e">
        <f ca="1">SQRT(AVERAGE(K365:OFFSET(K365,$B$7-1,0))*$B$9/(4*LN(2)))</f>
        <v>#DIV/0!</v>
      </c>
      <c r="O365" s="3" t="e">
        <f ca="1">SQRT(AVERAGE(K365:OFFSET(K365,$B$8-1,0))*$B$9/(4*LN(2)))</f>
        <v>#DIV/0!</v>
      </c>
      <c r="Q365" s="5" t="e">
        <f t="shared" si="33"/>
        <v>#DIV/0!</v>
      </c>
      <c r="R365" s="5" t="e">
        <f ca="1">SQRT($B$9*AVERAGE((Q365:OFFSET(Q365,$B$5-1,0))))</f>
        <v>#DIV/0!</v>
      </c>
      <c r="S365" s="5" t="e">
        <f ca="1">SQRT($B$9*AVERAGE((Q365:OFFSET(Q365,$B$6-1,0))))</f>
        <v>#DIV/0!</v>
      </c>
      <c r="T365" s="5" t="e">
        <f ca="1">SQRT($B$9*AVERAGE((Q365:OFFSET(Q365,$B$7-1,0))))</f>
        <v>#DIV/0!</v>
      </c>
      <c r="U365" s="5" t="e">
        <f ca="1">SQRT($B$9*AVERAGE((Q365:OFFSET(Q365,$B$8-1,0))))</f>
        <v>#DIV/0!</v>
      </c>
      <c r="W365" s="6" t="e">
        <f t="shared" si="37"/>
        <v>#DIV/0!</v>
      </c>
      <c r="X365" s="6" t="e">
        <f ca="1">SQRT($B$9*AVERAGE(W365:OFFSET(W365,$B$5-1,0)))</f>
        <v>#DIV/0!</v>
      </c>
      <c r="Y365" s="6" t="e">
        <f ca="1">SQRT($B$9*AVERAGE(W365:OFFSET(W365,$B$6-1,0)))</f>
        <v>#DIV/0!</v>
      </c>
      <c r="Z365" s="6" t="e">
        <f ca="1">SQRT($B$9*AVERAGE(W365:OFFSET(W365,$B$7-1,0)))</f>
        <v>#DIV/0!</v>
      </c>
      <c r="AA365" s="6" t="e">
        <f ca="1">SQRT($B$9*AVERAGE(W365:OFFSET(W365,$B$8-1,0)))</f>
        <v>#DIV/0!</v>
      </c>
      <c r="AC365" s="34" t="e">
        <f t="shared" si="35"/>
        <v>#DIV/0!</v>
      </c>
      <c r="AD365" s="34" t="e">
        <f ca="1">SQRT($B$9*SUM(AC365:OFFSET(AC365,$B$5-1,0))/($B$5-1))</f>
        <v>#DIV/0!</v>
      </c>
      <c r="AE365" s="34" t="e">
        <f ca="1">SQRT($B$9*SUM(AC365:OFFSET(AC365,$B$6-1,0))/($B$6-1))</f>
        <v>#DIV/0!</v>
      </c>
      <c r="AF365" s="34" t="e">
        <f ca="1">SQRT($B$9*SUM(AC365:OFFSET(AC365,$B$7-1,0))/($B$7-1))</f>
        <v>#DIV/0!</v>
      </c>
      <c r="AG365" s="34" t="e">
        <f ca="1">SQRT($B$9*SUM(AC365:OFFSET(AC365,$B$8-1,0))/($B$8-1))</f>
        <v>#DIV/0!</v>
      </c>
      <c r="AI365" s="1" t="e">
        <f t="shared" si="36"/>
        <v>#DIV/0!</v>
      </c>
      <c r="AJ365" s="4" t="e">
        <f ca="1">SQRT($B$9)*_xlfn.STDEV.S(AI365:OFFSET(AI365,$B$5-1,0))</f>
        <v>#DIV/0!</v>
      </c>
      <c r="AK365" s="4" t="e">
        <f ca="1">SQRT($B$9)*_xlfn.STDEV.S(AI365:OFFSET(AI365,$B$6-1,0))</f>
        <v>#DIV/0!</v>
      </c>
      <c r="AL365" s="4" t="e">
        <f ca="1">SQRT($B$9)*_xlfn.STDEV.S(AI365:OFFSET(AI365,$B$7-1,0))</f>
        <v>#DIV/0!</v>
      </c>
      <c r="AM365" s="4" t="e">
        <f ca="1">SQRT($B$9)*_xlfn.STDEV.S(AI365:OFFSET(AI365,$B$8-1,0))</f>
        <v>#DIV/0!</v>
      </c>
    </row>
    <row r="366" spans="5:39" x14ac:dyDescent="0.2">
      <c r="E366" s="42">
        <v>45118</v>
      </c>
      <c r="F366" s="43"/>
      <c r="G366" s="43"/>
      <c r="H366" s="43"/>
      <c r="I366" s="43"/>
      <c r="K366" s="3" t="e">
        <f t="shared" si="34"/>
        <v>#DIV/0!</v>
      </c>
      <c r="L366" s="3" t="e">
        <f ca="1">SQRT(AVERAGE(K366:OFFSET(K366,$B$5-1,0))*$B$9/(4*LN(2)))</f>
        <v>#DIV/0!</v>
      </c>
      <c r="M366" s="3" t="e">
        <f ca="1">SQRT(AVERAGE(K366:OFFSET(K366,$B$6-1,0))*$B$9/(4*LN(2)))</f>
        <v>#DIV/0!</v>
      </c>
      <c r="N366" s="3" t="e">
        <f ca="1">SQRT(AVERAGE(K366:OFFSET(K366,$B$7-1,0))*$B$9/(4*LN(2)))</f>
        <v>#DIV/0!</v>
      </c>
      <c r="O366" s="3" t="e">
        <f ca="1">SQRT(AVERAGE(K366:OFFSET(K366,$B$8-1,0))*$B$9/(4*LN(2)))</f>
        <v>#DIV/0!</v>
      </c>
      <c r="Q366" s="5" t="e">
        <f t="shared" si="33"/>
        <v>#DIV/0!</v>
      </c>
      <c r="R366" s="5" t="e">
        <f ca="1">SQRT($B$9*AVERAGE((Q366:OFFSET(Q366,$B$5-1,0))))</f>
        <v>#DIV/0!</v>
      </c>
      <c r="S366" s="5" t="e">
        <f ca="1">SQRT($B$9*AVERAGE((Q366:OFFSET(Q366,$B$6-1,0))))</f>
        <v>#DIV/0!</v>
      </c>
      <c r="T366" s="5" t="e">
        <f ca="1">SQRT($B$9*AVERAGE((Q366:OFFSET(Q366,$B$7-1,0))))</f>
        <v>#DIV/0!</v>
      </c>
      <c r="U366" s="5" t="e">
        <f ca="1">SQRT($B$9*AVERAGE((Q366:OFFSET(Q366,$B$8-1,0))))</f>
        <v>#DIV/0!</v>
      </c>
      <c r="W366" s="6" t="e">
        <f t="shared" si="37"/>
        <v>#DIV/0!</v>
      </c>
      <c r="X366" s="6" t="e">
        <f ca="1">SQRT($B$9*AVERAGE(W366:OFFSET(W366,$B$5-1,0)))</f>
        <v>#DIV/0!</v>
      </c>
      <c r="Y366" s="6" t="e">
        <f ca="1">SQRT($B$9*AVERAGE(W366:OFFSET(W366,$B$6-1,0)))</f>
        <v>#DIV/0!</v>
      </c>
      <c r="Z366" s="6" t="e">
        <f ca="1">SQRT($B$9*AVERAGE(W366:OFFSET(W366,$B$7-1,0)))</f>
        <v>#DIV/0!</v>
      </c>
      <c r="AA366" s="6" t="e">
        <f ca="1">SQRT($B$9*AVERAGE(W366:OFFSET(W366,$B$8-1,0)))</f>
        <v>#DIV/0!</v>
      </c>
      <c r="AC366" s="34" t="e">
        <f t="shared" si="35"/>
        <v>#DIV/0!</v>
      </c>
      <c r="AD366" s="34" t="e">
        <f ca="1">SQRT($B$9*SUM(AC366:OFFSET(AC366,$B$5-1,0))/($B$5-1))</f>
        <v>#DIV/0!</v>
      </c>
      <c r="AE366" s="34" t="e">
        <f ca="1">SQRT($B$9*SUM(AC366:OFFSET(AC366,$B$6-1,0))/($B$6-1))</f>
        <v>#DIV/0!</v>
      </c>
      <c r="AF366" s="34" t="e">
        <f ca="1">SQRT($B$9*SUM(AC366:OFFSET(AC366,$B$7-1,0))/($B$7-1))</f>
        <v>#DIV/0!</v>
      </c>
      <c r="AG366" s="34" t="e">
        <f ca="1">SQRT($B$9*SUM(AC366:OFFSET(AC366,$B$8-1,0))/($B$8-1))</f>
        <v>#DIV/0!</v>
      </c>
      <c r="AI366" s="1" t="e">
        <f t="shared" si="36"/>
        <v>#DIV/0!</v>
      </c>
      <c r="AJ366" s="4" t="e">
        <f ca="1">SQRT($B$9)*_xlfn.STDEV.S(AI366:OFFSET(AI366,$B$5-1,0))</f>
        <v>#DIV/0!</v>
      </c>
      <c r="AK366" s="4" t="e">
        <f ca="1">SQRT($B$9)*_xlfn.STDEV.S(AI366:OFFSET(AI366,$B$6-1,0))</f>
        <v>#DIV/0!</v>
      </c>
      <c r="AL366" s="4" t="e">
        <f ca="1">SQRT($B$9)*_xlfn.STDEV.S(AI366:OFFSET(AI366,$B$7-1,0))</f>
        <v>#DIV/0!</v>
      </c>
      <c r="AM366" s="4" t="e">
        <f ca="1">SQRT($B$9)*_xlfn.STDEV.S(AI366:OFFSET(AI366,$B$8-1,0))</f>
        <v>#DIV/0!</v>
      </c>
    </row>
    <row r="367" spans="5:39" x14ac:dyDescent="0.2">
      <c r="E367" s="42">
        <v>45117</v>
      </c>
      <c r="F367" s="43"/>
      <c r="G367" s="43"/>
      <c r="H367" s="43"/>
      <c r="I367" s="43"/>
      <c r="K367" s="3" t="e">
        <f t="shared" si="34"/>
        <v>#DIV/0!</v>
      </c>
      <c r="L367" s="3" t="e">
        <f ca="1">SQRT(AVERAGE(K367:OFFSET(K367,$B$5-1,0))*$B$9/(4*LN(2)))</f>
        <v>#DIV/0!</v>
      </c>
      <c r="M367" s="3" t="e">
        <f ca="1">SQRT(AVERAGE(K367:OFFSET(K367,$B$6-1,0))*$B$9/(4*LN(2)))</f>
        <v>#DIV/0!</v>
      </c>
      <c r="N367" s="3" t="e">
        <f ca="1">SQRT(AVERAGE(K367:OFFSET(K367,$B$7-1,0))*$B$9/(4*LN(2)))</f>
        <v>#DIV/0!</v>
      </c>
      <c r="O367" s="3" t="e">
        <f ca="1">SQRT(AVERAGE(K367:OFFSET(K367,$B$8-1,0))*$B$9/(4*LN(2)))</f>
        <v>#DIV/0!</v>
      </c>
      <c r="Q367" s="5" t="e">
        <f t="shared" si="33"/>
        <v>#DIV/0!</v>
      </c>
      <c r="R367" s="5" t="e">
        <f ca="1">SQRT($B$9*AVERAGE((Q367:OFFSET(Q367,$B$5-1,0))))</f>
        <v>#DIV/0!</v>
      </c>
      <c r="S367" s="5" t="e">
        <f ca="1">SQRT($B$9*AVERAGE((Q367:OFFSET(Q367,$B$6-1,0))))</f>
        <v>#DIV/0!</v>
      </c>
      <c r="T367" s="5" t="e">
        <f ca="1">SQRT($B$9*AVERAGE((Q367:OFFSET(Q367,$B$7-1,0))))</f>
        <v>#DIV/0!</v>
      </c>
      <c r="U367" s="5" t="e">
        <f ca="1">SQRT($B$9*AVERAGE((Q367:OFFSET(Q367,$B$8-1,0))))</f>
        <v>#DIV/0!</v>
      </c>
      <c r="W367" s="6" t="e">
        <f t="shared" si="37"/>
        <v>#DIV/0!</v>
      </c>
      <c r="X367" s="6" t="e">
        <f ca="1">SQRT($B$9*AVERAGE(W367:OFFSET(W367,$B$5-1,0)))</f>
        <v>#DIV/0!</v>
      </c>
      <c r="Y367" s="6" t="e">
        <f ca="1">SQRT($B$9*AVERAGE(W367:OFFSET(W367,$B$6-1,0)))</f>
        <v>#DIV/0!</v>
      </c>
      <c r="Z367" s="6" t="e">
        <f ca="1">SQRT($B$9*AVERAGE(W367:OFFSET(W367,$B$7-1,0)))</f>
        <v>#DIV/0!</v>
      </c>
      <c r="AA367" s="6" t="e">
        <f ca="1">SQRT($B$9*AVERAGE(W367:OFFSET(W367,$B$8-1,0)))</f>
        <v>#DIV/0!</v>
      </c>
      <c r="AC367" s="34" t="e">
        <f t="shared" si="35"/>
        <v>#DIV/0!</v>
      </c>
      <c r="AD367" s="34" t="e">
        <f ca="1">SQRT($B$9*SUM(AC367:OFFSET(AC367,$B$5-1,0))/($B$5-1))</f>
        <v>#DIV/0!</v>
      </c>
      <c r="AE367" s="34" t="e">
        <f ca="1">SQRT($B$9*SUM(AC367:OFFSET(AC367,$B$6-1,0))/($B$6-1))</f>
        <v>#DIV/0!</v>
      </c>
      <c r="AF367" s="34" t="e">
        <f ca="1">SQRT($B$9*SUM(AC367:OFFSET(AC367,$B$7-1,0))/($B$7-1))</f>
        <v>#DIV/0!</v>
      </c>
      <c r="AG367" s="34" t="e">
        <f ca="1">SQRT($B$9*SUM(AC367:OFFSET(AC367,$B$8-1,0))/($B$8-1))</f>
        <v>#DIV/0!</v>
      </c>
      <c r="AI367" s="1" t="e">
        <f t="shared" si="36"/>
        <v>#DIV/0!</v>
      </c>
      <c r="AJ367" s="4" t="e">
        <f ca="1">SQRT($B$9)*_xlfn.STDEV.S(AI367:OFFSET(AI367,$B$5-1,0))</f>
        <v>#DIV/0!</v>
      </c>
      <c r="AK367" s="4" t="e">
        <f ca="1">SQRT($B$9)*_xlfn.STDEV.S(AI367:OFFSET(AI367,$B$6-1,0))</f>
        <v>#DIV/0!</v>
      </c>
      <c r="AL367" s="4" t="e">
        <f ca="1">SQRT($B$9)*_xlfn.STDEV.S(AI367:OFFSET(AI367,$B$7-1,0))</f>
        <v>#DIV/0!</v>
      </c>
      <c r="AM367" s="4" t="e">
        <f ca="1">SQRT($B$9)*_xlfn.STDEV.S(AI367:OFFSET(AI367,$B$8-1,0))</f>
        <v>#DIV/0!</v>
      </c>
    </row>
    <row r="368" spans="5:39" x14ac:dyDescent="0.2">
      <c r="E368" s="42">
        <v>45114</v>
      </c>
      <c r="F368" s="43"/>
      <c r="G368" s="43"/>
      <c r="H368" s="43"/>
      <c r="I368" s="43"/>
      <c r="K368" s="3" t="e">
        <f t="shared" si="34"/>
        <v>#DIV/0!</v>
      </c>
      <c r="L368" s="3" t="e">
        <f ca="1">SQRT(AVERAGE(K368:OFFSET(K368,$B$5-1,0))*$B$9/(4*LN(2)))</f>
        <v>#DIV/0!</v>
      </c>
      <c r="M368" s="3" t="e">
        <f ca="1">SQRT(AVERAGE(K368:OFFSET(K368,$B$6-1,0))*$B$9/(4*LN(2)))</f>
        <v>#DIV/0!</v>
      </c>
      <c r="N368" s="3" t="e">
        <f ca="1">SQRT(AVERAGE(K368:OFFSET(K368,$B$7-1,0))*$B$9/(4*LN(2)))</f>
        <v>#DIV/0!</v>
      </c>
      <c r="O368" s="3" t="e">
        <f ca="1">SQRT(AVERAGE(K368:OFFSET(K368,$B$8-1,0))*$B$9/(4*LN(2)))</f>
        <v>#DIV/0!</v>
      </c>
      <c r="Q368" s="5" t="e">
        <f t="shared" si="33"/>
        <v>#DIV/0!</v>
      </c>
      <c r="R368" s="5" t="e">
        <f ca="1">SQRT($B$9*AVERAGE((Q368:OFFSET(Q368,$B$5-1,0))))</f>
        <v>#DIV/0!</v>
      </c>
      <c r="S368" s="5" t="e">
        <f ca="1">SQRT($B$9*AVERAGE((Q368:OFFSET(Q368,$B$6-1,0))))</f>
        <v>#DIV/0!</v>
      </c>
      <c r="T368" s="5" t="e">
        <f ca="1">SQRT($B$9*AVERAGE((Q368:OFFSET(Q368,$B$7-1,0))))</f>
        <v>#DIV/0!</v>
      </c>
      <c r="U368" s="5" t="e">
        <f ca="1">SQRT($B$9*AVERAGE((Q368:OFFSET(Q368,$B$8-1,0))))</f>
        <v>#DIV/0!</v>
      </c>
      <c r="W368" s="6" t="e">
        <f t="shared" si="37"/>
        <v>#DIV/0!</v>
      </c>
      <c r="X368" s="6" t="e">
        <f ca="1">SQRT($B$9*AVERAGE(W368:OFFSET(W368,$B$5-1,0)))</f>
        <v>#DIV/0!</v>
      </c>
      <c r="Y368" s="6" t="e">
        <f ca="1">SQRT($B$9*AVERAGE(W368:OFFSET(W368,$B$6-1,0)))</f>
        <v>#DIV/0!</v>
      </c>
      <c r="Z368" s="6" t="e">
        <f ca="1">SQRT($B$9*AVERAGE(W368:OFFSET(W368,$B$7-1,0)))</f>
        <v>#DIV/0!</v>
      </c>
      <c r="AA368" s="6" t="e">
        <f ca="1">SQRT($B$9*AVERAGE(W368:OFFSET(W368,$B$8-1,0)))</f>
        <v>#DIV/0!</v>
      </c>
      <c r="AC368" s="34" t="e">
        <f t="shared" si="35"/>
        <v>#DIV/0!</v>
      </c>
      <c r="AD368" s="34" t="e">
        <f ca="1">SQRT($B$9*SUM(AC368:OFFSET(AC368,$B$5-1,0))/($B$5-1))</f>
        <v>#DIV/0!</v>
      </c>
      <c r="AE368" s="34" t="e">
        <f ca="1">SQRT($B$9*SUM(AC368:OFFSET(AC368,$B$6-1,0))/($B$6-1))</f>
        <v>#DIV/0!</v>
      </c>
      <c r="AF368" s="34" t="e">
        <f ca="1">SQRT($B$9*SUM(AC368:OFFSET(AC368,$B$7-1,0))/($B$7-1))</f>
        <v>#DIV/0!</v>
      </c>
      <c r="AG368" s="34" t="e">
        <f ca="1">SQRT($B$9*SUM(AC368:OFFSET(AC368,$B$8-1,0))/($B$8-1))</f>
        <v>#DIV/0!</v>
      </c>
      <c r="AI368" s="1" t="e">
        <f t="shared" si="36"/>
        <v>#DIV/0!</v>
      </c>
      <c r="AJ368" s="4" t="e">
        <f ca="1">SQRT($B$9)*_xlfn.STDEV.S(AI368:OFFSET(AI368,$B$5-1,0))</f>
        <v>#DIV/0!</v>
      </c>
      <c r="AK368" s="4" t="e">
        <f ca="1">SQRT($B$9)*_xlfn.STDEV.S(AI368:OFFSET(AI368,$B$6-1,0))</f>
        <v>#DIV/0!</v>
      </c>
      <c r="AL368" s="4" t="e">
        <f ca="1">SQRT($B$9)*_xlfn.STDEV.S(AI368:OFFSET(AI368,$B$7-1,0))</f>
        <v>#DIV/0!</v>
      </c>
      <c r="AM368" s="4" t="e">
        <f ca="1">SQRT($B$9)*_xlfn.STDEV.S(AI368:OFFSET(AI368,$B$8-1,0))</f>
        <v>#DIV/0!</v>
      </c>
    </row>
    <row r="369" spans="5:39" x14ac:dyDescent="0.2">
      <c r="E369" s="42">
        <v>45113</v>
      </c>
      <c r="F369" s="43"/>
      <c r="G369" s="43"/>
      <c r="H369" s="43"/>
      <c r="I369" s="43"/>
      <c r="K369" s="3" t="e">
        <f t="shared" si="34"/>
        <v>#DIV/0!</v>
      </c>
      <c r="L369" s="3" t="e">
        <f ca="1">SQRT(AVERAGE(K369:OFFSET(K369,$B$5-1,0))*$B$9/(4*LN(2)))</f>
        <v>#DIV/0!</v>
      </c>
      <c r="M369" s="3" t="e">
        <f ca="1">SQRT(AVERAGE(K369:OFFSET(K369,$B$6-1,0))*$B$9/(4*LN(2)))</f>
        <v>#DIV/0!</v>
      </c>
      <c r="N369" s="3" t="e">
        <f ca="1">SQRT(AVERAGE(K369:OFFSET(K369,$B$7-1,0))*$B$9/(4*LN(2)))</f>
        <v>#DIV/0!</v>
      </c>
      <c r="O369" s="3" t="e">
        <f ca="1">SQRT(AVERAGE(K369:OFFSET(K369,$B$8-1,0))*$B$9/(4*LN(2)))</f>
        <v>#DIV/0!</v>
      </c>
      <c r="Q369" s="5" t="e">
        <f t="shared" si="33"/>
        <v>#DIV/0!</v>
      </c>
      <c r="R369" s="5" t="e">
        <f ca="1">SQRT($B$9*AVERAGE((Q369:OFFSET(Q369,$B$5-1,0))))</f>
        <v>#DIV/0!</v>
      </c>
      <c r="S369" s="5" t="e">
        <f ca="1">SQRT($B$9*AVERAGE((Q369:OFFSET(Q369,$B$6-1,0))))</f>
        <v>#DIV/0!</v>
      </c>
      <c r="T369" s="5" t="e">
        <f ca="1">SQRT($B$9*AVERAGE((Q369:OFFSET(Q369,$B$7-1,0))))</f>
        <v>#DIV/0!</v>
      </c>
      <c r="U369" s="5" t="e">
        <f ca="1">SQRT($B$9*AVERAGE((Q369:OFFSET(Q369,$B$8-1,0))))</f>
        <v>#DIV/0!</v>
      </c>
      <c r="W369" s="6" t="e">
        <f t="shared" si="37"/>
        <v>#DIV/0!</v>
      </c>
      <c r="X369" s="6" t="e">
        <f ca="1">SQRT($B$9*AVERAGE(W369:OFFSET(W369,$B$5-1,0)))</f>
        <v>#DIV/0!</v>
      </c>
      <c r="Y369" s="6" t="e">
        <f ca="1">SQRT($B$9*AVERAGE(W369:OFFSET(W369,$B$6-1,0)))</f>
        <v>#DIV/0!</v>
      </c>
      <c r="Z369" s="6" t="e">
        <f ca="1">SQRT($B$9*AVERAGE(W369:OFFSET(W369,$B$7-1,0)))</f>
        <v>#DIV/0!</v>
      </c>
      <c r="AA369" s="6" t="e">
        <f ca="1">SQRT($B$9*AVERAGE(W369:OFFSET(W369,$B$8-1,0)))</f>
        <v>#DIV/0!</v>
      </c>
      <c r="AC369" s="34" t="e">
        <f t="shared" si="35"/>
        <v>#DIV/0!</v>
      </c>
      <c r="AD369" s="34" t="e">
        <f ca="1">SQRT($B$9*SUM(AC369:OFFSET(AC369,$B$5-1,0))/($B$5-1))</f>
        <v>#DIV/0!</v>
      </c>
      <c r="AE369" s="34" t="e">
        <f ca="1">SQRT($B$9*SUM(AC369:OFFSET(AC369,$B$6-1,0))/($B$6-1))</f>
        <v>#DIV/0!</v>
      </c>
      <c r="AF369" s="34" t="e">
        <f ca="1">SQRT($B$9*SUM(AC369:OFFSET(AC369,$B$7-1,0))/($B$7-1))</f>
        <v>#DIV/0!</v>
      </c>
      <c r="AG369" s="34" t="e">
        <f ca="1">SQRT($B$9*SUM(AC369:OFFSET(AC369,$B$8-1,0))/($B$8-1))</f>
        <v>#DIV/0!</v>
      </c>
      <c r="AI369" s="1" t="e">
        <f t="shared" si="36"/>
        <v>#DIV/0!</v>
      </c>
      <c r="AJ369" s="4" t="e">
        <f ca="1">SQRT($B$9)*_xlfn.STDEV.S(AI369:OFFSET(AI369,$B$5-1,0))</f>
        <v>#DIV/0!</v>
      </c>
      <c r="AK369" s="4" t="e">
        <f ca="1">SQRT($B$9)*_xlfn.STDEV.S(AI369:OFFSET(AI369,$B$6-1,0))</f>
        <v>#DIV/0!</v>
      </c>
      <c r="AL369" s="4" t="e">
        <f ca="1">SQRT($B$9)*_xlfn.STDEV.S(AI369:OFFSET(AI369,$B$7-1,0))</f>
        <v>#DIV/0!</v>
      </c>
      <c r="AM369" s="4" t="e">
        <f ca="1">SQRT($B$9)*_xlfn.STDEV.S(AI369:OFFSET(AI369,$B$8-1,0))</f>
        <v>#DIV/0!</v>
      </c>
    </row>
    <row r="370" spans="5:39" x14ac:dyDescent="0.2">
      <c r="E370" s="42">
        <v>45112</v>
      </c>
      <c r="F370" s="43"/>
      <c r="G370" s="43"/>
      <c r="H370" s="43"/>
      <c r="I370" s="43"/>
      <c r="K370" s="3" t="e">
        <f t="shared" si="34"/>
        <v>#DIV/0!</v>
      </c>
      <c r="L370" s="3" t="e">
        <f ca="1">SQRT(AVERAGE(K370:OFFSET(K370,$B$5-1,0))*$B$9/(4*LN(2)))</f>
        <v>#DIV/0!</v>
      </c>
      <c r="M370" s="3" t="e">
        <f ca="1">SQRT(AVERAGE(K370:OFFSET(K370,$B$6-1,0))*$B$9/(4*LN(2)))</f>
        <v>#DIV/0!</v>
      </c>
      <c r="N370" s="3" t="e">
        <f ca="1">SQRT(AVERAGE(K370:OFFSET(K370,$B$7-1,0))*$B$9/(4*LN(2)))</f>
        <v>#DIV/0!</v>
      </c>
      <c r="O370" s="3" t="e">
        <f ca="1">SQRT(AVERAGE(K370:OFFSET(K370,$B$8-1,0))*$B$9/(4*LN(2)))</f>
        <v>#DIV/0!</v>
      </c>
      <c r="Q370" s="5" t="e">
        <f t="shared" si="33"/>
        <v>#DIV/0!</v>
      </c>
      <c r="R370" s="5" t="e">
        <f ca="1">SQRT($B$9*AVERAGE((Q370:OFFSET(Q370,$B$5-1,0))))</f>
        <v>#DIV/0!</v>
      </c>
      <c r="S370" s="5" t="e">
        <f ca="1">SQRT($B$9*AVERAGE((Q370:OFFSET(Q370,$B$6-1,0))))</f>
        <v>#DIV/0!</v>
      </c>
      <c r="T370" s="5" t="e">
        <f ca="1">SQRT($B$9*AVERAGE((Q370:OFFSET(Q370,$B$7-1,0))))</f>
        <v>#DIV/0!</v>
      </c>
      <c r="U370" s="5" t="e">
        <f ca="1">SQRT($B$9*AVERAGE((Q370:OFFSET(Q370,$B$8-1,0))))</f>
        <v>#DIV/0!</v>
      </c>
      <c r="W370" s="6" t="e">
        <f t="shared" si="37"/>
        <v>#DIV/0!</v>
      </c>
      <c r="X370" s="6" t="e">
        <f ca="1">SQRT($B$9*AVERAGE(W370:OFFSET(W370,$B$5-1,0)))</f>
        <v>#DIV/0!</v>
      </c>
      <c r="Y370" s="6" t="e">
        <f ca="1">SQRT($B$9*AVERAGE(W370:OFFSET(W370,$B$6-1,0)))</f>
        <v>#DIV/0!</v>
      </c>
      <c r="Z370" s="6" t="e">
        <f ca="1">SQRT($B$9*AVERAGE(W370:OFFSET(W370,$B$7-1,0)))</f>
        <v>#DIV/0!</v>
      </c>
      <c r="AA370" s="6" t="e">
        <f ca="1">SQRT($B$9*AVERAGE(W370:OFFSET(W370,$B$8-1,0)))</f>
        <v>#DIV/0!</v>
      </c>
      <c r="AC370" s="34" t="e">
        <f t="shared" si="35"/>
        <v>#DIV/0!</v>
      </c>
      <c r="AD370" s="34" t="e">
        <f ca="1">SQRT($B$9*SUM(AC370:OFFSET(AC370,$B$5-1,0))/($B$5-1))</f>
        <v>#DIV/0!</v>
      </c>
      <c r="AE370" s="34" t="e">
        <f ca="1">SQRT($B$9*SUM(AC370:OFFSET(AC370,$B$6-1,0))/($B$6-1))</f>
        <v>#DIV/0!</v>
      </c>
      <c r="AF370" s="34" t="e">
        <f ca="1">SQRT($B$9*SUM(AC370:OFFSET(AC370,$B$7-1,0))/($B$7-1))</f>
        <v>#DIV/0!</v>
      </c>
      <c r="AG370" s="34" t="e">
        <f ca="1">SQRT($B$9*SUM(AC370:OFFSET(AC370,$B$8-1,0))/($B$8-1))</f>
        <v>#DIV/0!</v>
      </c>
      <c r="AI370" s="1" t="e">
        <f t="shared" si="36"/>
        <v>#DIV/0!</v>
      </c>
      <c r="AJ370" s="4" t="e">
        <f ca="1">SQRT($B$9)*_xlfn.STDEV.S(AI370:OFFSET(AI370,$B$5-1,0))</f>
        <v>#DIV/0!</v>
      </c>
      <c r="AK370" s="4" t="e">
        <f ca="1">SQRT($B$9)*_xlfn.STDEV.S(AI370:OFFSET(AI370,$B$6-1,0))</f>
        <v>#DIV/0!</v>
      </c>
      <c r="AL370" s="4" t="e">
        <f ca="1">SQRT($B$9)*_xlfn.STDEV.S(AI370:OFFSET(AI370,$B$7-1,0))</f>
        <v>#DIV/0!</v>
      </c>
      <c r="AM370" s="4" t="e">
        <f ca="1">SQRT($B$9)*_xlfn.STDEV.S(AI370:OFFSET(AI370,$B$8-1,0))</f>
        <v>#DIV/0!</v>
      </c>
    </row>
    <row r="371" spans="5:39" x14ac:dyDescent="0.2">
      <c r="E371" s="42">
        <v>45111</v>
      </c>
      <c r="F371" s="43"/>
      <c r="G371" s="43"/>
      <c r="H371" s="43"/>
      <c r="I371" s="43"/>
      <c r="K371" s="3" t="e">
        <f t="shared" si="34"/>
        <v>#DIV/0!</v>
      </c>
      <c r="L371" s="3" t="e">
        <f ca="1">SQRT(AVERAGE(K371:OFFSET(K371,$B$5-1,0))*$B$9/(4*LN(2)))</f>
        <v>#DIV/0!</v>
      </c>
      <c r="M371" s="3" t="e">
        <f ca="1">SQRT(AVERAGE(K371:OFFSET(K371,$B$6-1,0))*$B$9/(4*LN(2)))</f>
        <v>#DIV/0!</v>
      </c>
      <c r="N371" s="3" t="e">
        <f ca="1">SQRT(AVERAGE(K371:OFFSET(K371,$B$7-1,0))*$B$9/(4*LN(2)))</f>
        <v>#DIV/0!</v>
      </c>
      <c r="O371" s="3" t="e">
        <f ca="1">SQRT(AVERAGE(K371:OFFSET(K371,$B$8-1,0))*$B$9/(4*LN(2)))</f>
        <v>#DIV/0!</v>
      </c>
      <c r="Q371" s="5" t="e">
        <f t="shared" si="33"/>
        <v>#DIV/0!</v>
      </c>
      <c r="R371" s="5" t="e">
        <f ca="1">SQRT($B$9*AVERAGE((Q371:OFFSET(Q371,$B$5-1,0))))</f>
        <v>#DIV/0!</v>
      </c>
      <c r="S371" s="5" t="e">
        <f ca="1">SQRT($B$9*AVERAGE((Q371:OFFSET(Q371,$B$6-1,0))))</f>
        <v>#DIV/0!</v>
      </c>
      <c r="T371" s="5" t="e">
        <f ca="1">SQRT($B$9*AVERAGE((Q371:OFFSET(Q371,$B$7-1,0))))</f>
        <v>#DIV/0!</v>
      </c>
      <c r="U371" s="5" t="e">
        <f ca="1">SQRT($B$9*AVERAGE((Q371:OFFSET(Q371,$B$8-1,0))))</f>
        <v>#DIV/0!</v>
      </c>
      <c r="W371" s="6" t="e">
        <f t="shared" si="37"/>
        <v>#DIV/0!</v>
      </c>
      <c r="X371" s="6" t="e">
        <f ca="1">SQRT($B$9*AVERAGE(W371:OFFSET(W371,$B$5-1,0)))</f>
        <v>#DIV/0!</v>
      </c>
      <c r="Y371" s="6" t="e">
        <f ca="1">SQRT($B$9*AVERAGE(W371:OFFSET(W371,$B$6-1,0)))</f>
        <v>#DIV/0!</v>
      </c>
      <c r="Z371" s="6" t="e">
        <f ca="1">SQRT($B$9*AVERAGE(W371:OFFSET(W371,$B$7-1,0)))</f>
        <v>#DIV/0!</v>
      </c>
      <c r="AA371" s="6" t="e">
        <f ca="1">SQRT($B$9*AVERAGE(W371:OFFSET(W371,$B$8-1,0)))</f>
        <v>#DIV/0!</v>
      </c>
      <c r="AC371" s="34" t="e">
        <f t="shared" si="35"/>
        <v>#DIV/0!</v>
      </c>
      <c r="AD371" s="34" t="e">
        <f ca="1">SQRT($B$9*SUM(AC371:OFFSET(AC371,$B$5-1,0))/($B$5-1))</f>
        <v>#DIV/0!</v>
      </c>
      <c r="AE371" s="34" t="e">
        <f ca="1">SQRT($B$9*SUM(AC371:OFFSET(AC371,$B$6-1,0))/($B$6-1))</f>
        <v>#DIV/0!</v>
      </c>
      <c r="AF371" s="34" t="e">
        <f ca="1">SQRT($B$9*SUM(AC371:OFFSET(AC371,$B$7-1,0))/($B$7-1))</f>
        <v>#DIV/0!</v>
      </c>
      <c r="AG371" s="34" t="e">
        <f ca="1">SQRT($B$9*SUM(AC371:OFFSET(AC371,$B$8-1,0))/($B$8-1))</f>
        <v>#DIV/0!</v>
      </c>
      <c r="AI371" s="1" t="e">
        <f t="shared" si="36"/>
        <v>#DIV/0!</v>
      </c>
      <c r="AJ371" s="4" t="e">
        <f ca="1">SQRT($B$9)*_xlfn.STDEV.S(AI371:OFFSET(AI371,$B$5-1,0))</f>
        <v>#DIV/0!</v>
      </c>
      <c r="AK371" s="4" t="e">
        <f ca="1">SQRT($B$9)*_xlfn.STDEV.S(AI371:OFFSET(AI371,$B$6-1,0))</f>
        <v>#DIV/0!</v>
      </c>
      <c r="AL371" s="4" t="e">
        <f ca="1">SQRT($B$9)*_xlfn.STDEV.S(AI371:OFFSET(AI371,$B$7-1,0))</f>
        <v>#DIV/0!</v>
      </c>
      <c r="AM371" s="4" t="e">
        <f ca="1">SQRT($B$9)*_xlfn.STDEV.S(AI371:OFFSET(AI371,$B$8-1,0))</f>
        <v>#DIV/0!</v>
      </c>
    </row>
    <row r="372" spans="5:39" x14ac:dyDescent="0.2">
      <c r="E372" s="42">
        <v>45110</v>
      </c>
      <c r="F372" s="43"/>
      <c r="G372" s="43"/>
      <c r="H372" s="43"/>
      <c r="I372" s="43"/>
      <c r="K372" s="3" t="e">
        <f t="shared" si="34"/>
        <v>#DIV/0!</v>
      </c>
      <c r="L372" s="3" t="e">
        <f ca="1">SQRT(AVERAGE(K372:OFFSET(K372,$B$5-1,0))*$B$9/(4*LN(2)))</f>
        <v>#DIV/0!</v>
      </c>
      <c r="M372" s="3" t="e">
        <f ca="1">SQRT(AVERAGE(K372:OFFSET(K372,$B$6-1,0))*$B$9/(4*LN(2)))</f>
        <v>#DIV/0!</v>
      </c>
      <c r="N372" s="3" t="e">
        <f ca="1">SQRT(AVERAGE(K372:OFFSET(K372,$B$7-1,0))*$B$9/(4*LN(2)))</f>
        <v>#DIV/0!</v>
      </c>
      <c r="O372" s="3" t="e">
        <f ca="1">SQRT(AVERAGE(K372:OFFSET(K372,$B$8-1,0))*$B$9/(4*LN(2)))</f>
        <v>#DIV/0!</v>
      </c>
      <c r="Q372" s="5" t="e">
        <f t="shared" si="33"/>
        <v>#DIV/0!</v>
      </c>
      <c r="R372" s="5" t="e">
        <f ca="1">SQRT($B$9*AVERAGE((Q372:OFFSET(Q372,$B$5-1,0))))</f>
        <v>#DIV/0!</v>
      </c>
      <c r="S372" s="5" t="e">
        <f ca="1">SQRT($B$9*AVERAGE((Q372:OFFSET(Q372,$B$6-1,0))))</f>
        <v>#DIV/0!</v>
      </c>
      <c r="T372" s="5" t="e">
        <f ca="1">SQRT($B$9*AVERAGE((Q372:OFFSET(Q372,$B$7-1,0))))</f>
        <v>#DIV/0!</v>
      </c>
      <c r="U372" s="5" t="e">
        <f ca="1">SQRT($B$9*AVERAGE((Q372:OFFSET(Q372,$B$8-1,0))))</f>
        <v>#DIV/0!</v>
      </c>
      <c r="W372" s="6" t="e">
        <f t="shared" si="37"/>
        <v>#DIV/0!</v>
      </c>
      <c r="X372" s="6" t="e">
        <f ca="1">SQRT($B$9*AVERAGE(W372:OFFSET(W372,$B$5-1,0)))</f>
        <v>#DIV/0!</v>
      </c>
      <c r="Y372" s="6" t="e">
        <f ca="1">SQRT($B$9*AVERAGE(W372:OFFSET(W372,$B$6-1,0)))</f>
        <v>#DIV/0!</v>
      </c>
      <c r="Z372" s="6" t="e">
        <f ca="1">SQRT($B$9*AVERAGE(W372:OFFSET(W372,$B$7-1,0)))</f>
        <v>#DIV/0!</v>
      </c>
      <c r="AA372" s="6" t="e">
        <f ca="1">SQRT($B$9*AVERAGE(W372:OFFSET(W372,$B$8-1,0)))</f>
        <v>#DIV/0!</v>
      </c>
      <c r="AC372" s="34" t="e">
        <f t="shared" si="35"/>
        <v>#DIV/0!</v>
      </c>
      <c r="AD372" s="34" t="e">
        <f ca="1">SQRT($B$9*SUM(AC372:OFFSET(AC372,$B$5-1,0))/($B$5-1))</f>
        <v>#DIV/0!</v>
      </c>
      <c r="AE372" s="34" t="e">
        <f ca="1">SQRT($B$9*SUM(AC372:OFFSET(AC372,$B$6-1,0))/($B$6-1))</f>
        <v>#DIV/0!</v>
      </c>
      <c r="AF372" s="34" t="e">
        <f ca="1">SQRT($B$9*SUM(AC372:OFFSET(AC372,$B$7-1,0))/($B$7-1))</f>
        <v>#DIV/0!</v>
      </c>
      <c r="AG372" s="34" t="e">
        <f ca="1">SQRT($B$9*SUM(AC372:OFFSET(AC372,$B$8-1,0))/($B$8-1))</f>
        <v>#DIV/0!</v>
      </c>
      <c r="AI372" s="1" t="e">
        <f t="shared" si="36"/>
        <v>#DIV/0!</v>
      </c>
      <c r="AJ372" s="4" t="e">
        <f ca="1">SQRT($B$9)*_xlfn.STDEV.S(AI372:OFFSET(AI372,$B$5-1,0))</f>
        <v>#DIV/0!</v>
      </c>
      <c r="AK372" s="4" t="e">
        <f ca="1">SQRT($B$9)*_xlfn.STDEV.S(AI372:OFFSET(AI372,$B$6-1,0))</f>
        <v>#DIV/0!</v>
      </c>
      <c r="AL372" s="4" t="e">
        <f ca="1">SQRT($B$9)*_xlfn.STDEV.S(AI372:OFFSET(AI372,$B$7-1,0))</f>
        <v>#DIV/0!</v>
      </c>
      <c r="AM372" s="4" t="e">
        <f ca="1">SQRT($B$9)*_xlfn.STDEV.S(AI372:OFFSET(AI372,$B$8-1,0))</f>
        <v>#DIV/0!</v>
      </c>
    </row>
    <row r="373" spans="5:39" x14ac:dyDescent="0.2">
      <c r="E373" s="42">
        <v>45107</v>
      </c>
      <c r="F373" s="43"/>
      <c r="G373" s="43"/>
      <c r="H373" s="43"/>
      <c r="I373" s="43"/>
      <c r="K373" s="3" t="e">
        <f t="shared" si="34"/>
        <v>#DIV/0!</v>
      </c>
      <c r="L373" s="3" t="e">
        <f ca="1">SQRT(AVERAGE(K373:OFFSET(K373,$B$5-1,0))*$B$9/(4*LN(2)))</f>
        <v>#DIV/0!</v>
      </c>
      <c r="M373" s="3" t="e">
        <f ca="1">SQRT(AVERAGE(K373:OFFSET(K373,$B$6-1,0))*$B$9/(4*LN(2)))</f>
        <v>#DIV/0!</v>
      </c>
      <c r="N373" s="3" t="e">
        <f ca="1">SQRT(AVERAGE(K373:OFFSET(K373,$B$7-1,0))*$B$9/(4*LN(2)))</f>
        <v>#DIV/0!</v>
      </c>
      <c r="O373" s="3" t="e">
        <f ca="1">SQRT(AVERAGE(K373:OFFSET(K373,$B$8-1,0))*$B$9/(4*LN(2)))</f>
        <v>#DIV/0!</v>
      </c>
      <c r="Q373" s="5" t="e">
        <f t="shared" si="33"/>
        <v>#DIV/0!</v>
      </c>
      <c r="R373" s="5" t="e">
        <f ca="1">SQRT($B$9*AVERAGE((Q373:OFFSET(Q373,$B$5-1,0))))</f>
        <v>#DIV/0!</v>
      </c>
      <c r="S373" s="5" t="e">
        <f ca="1">SQRT($B$9*AVERAGE((Q373:OFFSET(Q373,$B$6-1,0))))</f>
        <v>#DIV/0!</v>
      </c>
      <c r="T373" s="5" t="e">
        <f ca="1">SQRT($B$9*AVERAGE((Q373:OFFSET(Q373,$B$7-1,0))))</f>
        <v>#DIV/0!</v>
      </c>
      <c r="U373" s="5" t="e">
        <f ca="1">SQRT($B$9*AVERAGE((Q373:OFFSET(Q373,$B$8-1,0))))</f>
        <v>#DIV/0!</v>
      </c>
      <c r="W373" s="6" t="e">
        <f t="shared" si="37"/>
        <v>#DIV/0!</v>
      </c>
      <c r="X373" s="6" t="e">
        <f ca="1">SQRT($B$9*AVERAGE(W373:OFFSET(W373,$B$5-1,0)))</f>
        <v>#DIV/0!</v>
      </c>
      <c r="Y373" s="6" t="e">
        <f ca="1">SQRT($B$9*AVERAGE(W373:OFFSET(W373,$B$6-1,0)))</f>
        <v>#DIV/0!</v>
      </c>
      <c r="Z373" s="6" t="e">
        <f ca="1">SQRT($B$9*AVERAGE(W373:OFFSET(W373,$B$7-1,0)))</f>
        <v>#DIV/0!</v>
      </c>
      <c r="AA373" s="6" t="e">
        <f ca="1">SQRT($B$9*AVERAGE(W373:OFFSET(W373,$B$8-1,0)))</f>
        <v>#DIV/0!</v>
      </c>
      <c r="AC373" s="34" t="e">
        <f t="shared" si="35"/>
        <v>#DIV/0!</v>
      </c>
      <c r="AD373" s="34" t="e">
        <f ca="1">SQRT($B$9*SUM(AC373:OFFSET(AC373,$B$5-1,0))/($B$5-1))</f>
        <v>#DIV/0!</v>
      </c>
      <c r="AE373" s="34" t="e">
        <f ca="1">SQRT($B$9*SUM(AC373:OFFSET(AC373,$B$6-1,0))/($B$6-1))</f>
        <v>#DIV/0!</v>
      </c>
      <c r="AF373" s="34" t="e">
        <f ca="1">SQRT($B$9*SUM(AC373:OFFSET(AC373,$B$7-1,0))/($B$7-1))</f>
        <v>#DIV/0!</v>
      </c>
      <c r="AG373" s="34" t="e">
        <f ca="1">SQRT($B$9*SUM(AC373:OFFSET(AC373,$B$8-1,0))/($B$8-1))</f>
        <v>#DIV/0!</v>
      </c>
      <c r="AI373" s="1" t="e">
        <f t="shared" si="36"/>
        <v>#DIV/0!</v>
      </c>
      <c r="AJ373" s="4" t="e">
        <f ca="1">SQRT($B$9)*_xlfn.STDEV.S(AI373:OFFSET(AI373,$B$5-1,0))</f>
        <v>#DIV/0!</v>
      </c>
      <c r="AK373" s="4" t="e">
        <f ca="1">SQRT($B$9)*_xlfn.STDEV.S(AI373:OFFSET(AI373,$B$6-1,0))</f>
        <v>#DIV/0!</v>
      </c>
      <c r="AL373" s="4" t="e">
        <f ca="1">SQRT($B$9)*_xlfn.STDEV.S(AI373:OFFSET(AI373,$B$7-1,0))</f>
        <v>#DIV/0!</v>
      </c>
      <c r="AM373" s="4" t="e">
        <f ca="1">SQRT($B$9)*_xlfn.STDEV.S(AI373:OFFSET(AI373,$B$8-1,0))</f>
        <v>#DIV/0!</v>
      </c>
    </row>
    <row r="374" spans="5:39" x14ac:dyDescent="0.2">
      <c r="E374" s="42">
        <v>45106</v>
      </c>
      <c r="F374" s="43"/>
      <c r="G374" s="43"/>
      <c r="H374" s="43"/>
      <c r="I374" s="43"/>
      <c r="K374" s="3" t="e">
        <f t="shared" si="34"/>
        <v>#DIV/0!</v>
      </c>
      <c r="L374" s="3" t="e">
        <f ca="1">SQRT(AVERAGE(K374:OFFSET(K374,$B$5-1,0))*$B$9/(4*LN(2)))</f>
        <v>#DIV/0!</v>
      </c>
      <c r="M374" s="3" t="e">
        <f ca="1">SQRT(AVERAGE(K374:OFFSET(K374,$B$6-1,0))*$B$9/(4*LN(2)))</f>
        <v>#DIV/0!</v>
      </c>
      <c r="N374" s="3" t="e">
        <f ca="1">SQRT(AVERAGE(K374:OFFSET(K374,$B$7-1,0))*$B$9/(4*LN(2)))</f>
        <v>#DIV/0!</v>
      </c>
      <c r="O374" s="3" t="e">
        <f ca="1">SQRT(AVERAGE(K374:OFFSET(K374,$B$8-1,0))*$B$9/(4*LN(2)))</f>
        <v>#DIV/0!</v>
      </c>
      <c r="Q374" s="5" t="e">
        <f t="shared" si="33"/>
        <v>#DIV/0!</v>
      </c>
      <c r="R374" s="5" t="e">
        <f ca="1">SQRT($B$9*AVERAGE((Q374:OFFSET(Q374,$B$5-1,0))))</f>
        <v>#DIV/0!</v>
      </c>
      <c r="S374" s="5" t="e">
        <f ca="1">SQRT($B$9*AVERAGE((Q374:OFFSET(Q374,$B$6-1,0))))</f>
        <v>#DIV/0!</v>
      </c>
      <c r="T374" s="5" t="e">
        <f ca="1">SQRT($B$9*AVERAGE((Q374:OFFSET(Q374,$B$7-1,0))))</f>
        <v>#DIV/0!</v>
      </c>
      <c r="U374" s="5" t="e">
        <f ca="1">SQRT($B$9*AVERAGE((Q374:OFFSET(Q374,$B$8-1,0))))</f>
        <v>#DIV/0!</v>
      </c>
      <c r="W374" s="6" t="e">
        <f t="shared" si="37"/>
        <v>#DIV/0!</v>
      </c>
      <c r="X374" s="6" t="e">
        <f ca="1">SQRT($B$9*AVERAGE(W374:OFFSET(W374,$B$5-1,0)))</f>
        <v>#DIV/0!</v>
      </c>
      <c r="Y374" s="6" t="e">
        <f ca="1">SQRT($B$9*AVERAGE(W374:OFFSET(W374,$B$6-1,0)))</f>
        <v>#DIV/0!</v>
      </c>
      <c r="Z374" s="6" t="e">
        <f ca="1">SQRT($B$9*AVERAGE(W374:OFFSET(W374,$B$7-1,0)))</f>
        <v>#DIV/0!</v>
      </c>
      <c r="AA374" s="6" t="e">
        <f ca="1">SQRT($B$9*AVERAGE(W374:OFFSET(W374,$B$8-1,0)))</f>
        <v>#DIV/0!</v>
      </c>
      <c r="AC374" s="34" t="e">
        <f t="shared" si="35"/>
        <v>#DIV/0!</v>
      </c>
      <c r="AD374" s="34" t="e">
        <f ca="1">SQRT($B$9*SUM(AC374:OFFSET(AC374,$B$5-1,0))/($B$5-1))</f>
        <v>#DIV/0!</v>
      </c>
      <c r="AE374" s="34" t="e">
        <f ca="1">SQRT($B$9*SUM(AC374:OFFSET(AC374,$B$6-1,0))/($B$6-1))</f>
        <v>#DIV/0!</v>
      </c>
      <c r="AF374" s="34" t="e">
        <f ca="1">SQRT($B$9*SUM(AC374:OFFSET(AC374,$B$7-1,0))/($B$7-1))</f>
        <v>#DIV/0!</v>
      </c>
      <c r="AG374" s="34" t="e">
        <f ca="1">SQRT($B$9*SUM(AC374:OFFSET(AC374,$B$8-1,0))/($B$8-1))</f>
        <v>#DIV/0!</v>
      </c>
      <c r="AI374" s="1" t="e">
        <f t="shared" si="36"/>
        <v>#DIV/0!</v>
      </c>
      <c r="AJ374" s="4" t="e">
        <f ca="1">SQRT($B$9)*_xlfn.STDEV.S(AI374:OFFSET(AI374,$B$5-1,0))</f>
        <v>#DIV/0!</v>
      </c>
      <c r="AK374" s="4" t="e">
        <f ca="1">SQRT($B$9)*_xlfn.STDEV.S(AI374:OFFSET(AI374,$B$6-1,0))</f>
        <v>#DIV/0!</v>
      </c>
      <c r="AL374" s="4" t="e">
        <f ca="1">SQRT($B$9)*_xlfn.STDEV.S(AI374:OFFSET(AI374,$B$7-1,0))</f>
        <v>#DIV/0!</v>
      </c>
      <c r="AM374" s="4" t="e">
        <f ca="1">SQRT($B$9)*_xlfn.STDEV.S(AI374:OFFSET(AI374,$B$8-1,0))</f>
        <v>#DIV/0!</v>
      </c>
    </row>
    <row r="375" spans="5:39" x14ac:dyDescent="0.2">
      <c r="E375" s="42">
        <v>45105</v>
      </c>
      <c r="F375" s="43"/>
      <c r="G375" s="43"/>
      <c r="H375" s="43"/>
      <c r="I375" s="43"/>
      <c r="K375" s="3" t="e">
        <f t="shared" si="34"/>
        <v>#DIV/0!</v>
      </c>
      <c r="L375" s="3" t="e">
        <f ca="1">SQRT(AVERAGE(K375:OFFSET(K375,$B$5-1,0))*$B$9/(4*LN(2)))</f>
        <v>#DIV/0!</v>
      </c>
      <c r="M375" s="3" t="e">
        <f ca="1">SQRT(AVERAGE(K375:OFFSET(K375,$B$6-1,0))*$B$9/(4*LN(2)))</f>
        <v>#DIV/0!</v>
      </c>
      <c r="N375" s="3" t="e">
        <f ca="1">SQRT(AVERAGE(K375:OFFSET(K375,$B$7-1,0))*$B$9/(4*LN(2)))</f>
        <v>#DIV/0!</v>
      </c>
      <c r="O375" s="3" t="e">
        <f ca="1">SQRT(AVERAGE(K375:OFFSET(K375,$B$8-1,0))*$B$9/(4*LN(2)))</f>
        <v>#DIV/0!</v>
      </c>
      <c r="Q375" s="5" t="e">
        <f t="shared" si="33"/>
        <v>#DIV/0!</v>
      </c>
      <c r="R375" s="5" t="e">
        <f ca="1">SQRT($B$9*AVERAGE((Q375:OFFSET(Q375,$B$5-1,0))))</f>
        <v>#DIV/0!</v>
      </c>
      <c r="S375" s="5" t="e">
        <f ca="1">SQRT($B$9*AVERAGE((Q375:OFFSET(Q375,$B$6-1,0))))</f>
        <v>#DIV/0!</v>
      </c>
      <c r="T375" s="5" t="e">
        <f ca="1">SQRT($B$9*AVERAGE((Q375:OFFSET(Q375,$B$7-1,0))))</f>
        <v>#DIV/0!</v>
      </c>
      <c r="U375" s="5" t="e">
        <f ca="1">SQRT($B$9*AVERAGE((Q375:OFFSET(Q375,$B$8-1,0))))</f>
        <v>#DIV/0!</v>
      </c>
      <c r="W375" s="6" t="e">
        <f t="shared" si="37"/>
        <v>#DIV/0!</v>
      </c>
      <c r="X375" s="6" t="e">
        <f ca="1">SQRT($B$9*AVERAGE(W375:OFFSET(W375,$B$5-1,0)))</f>
        <v>#DIV/0!</v>
      </c>
      <c r="Y375" s="6" t="e">
        <f ca="1">SQRT($B$9*AVERAGE(W375:OFFSET(W375,$B$6-1,0)))</f>
        <v>#DIV/0!</v>
      </c>
      <c r="Z375" s="6" t="e">
        <f ca="1">SQRT($B$9*AVERAGE(W375:OFFSET(W375,$B$7-1,0)))</f>
        <v>#DIV/0!</v>
      </c>
      <c r="AA375" s="6" t="e">
        <f ca="1">SQRT($B$9*AVERAGE(W375:OFFSET(W375,$B$8-1,0)))</f>
        <v>#DIV/0!</v>
      </c>
      <c r="AC375" s="34" t="e">
        <f t="shared" si="35"/>
        <v>#DIV/0!</v>
      </c>
      <c r="AD375" s="34" t="e">
        <f ca="1">SQRT($B$9*SUM(AC375:OFFSET(AC375,$B$5-1,0))/($B$5-1))</f>
        <v>#DIV/0!</v>
      </c>
      <c r="AE375" s="34" t="e">
        <f ca="1">SQRT($B$9*SUM(AC375:OFFSET(AC375,$B$6-1,0))/($B$6-1))</f>
        <v>#DIV/0!</v>
      </c>
      <c r="AF375" s="34" t="e">
        <f ca="1">SQRT($B$9*SUM(AC375:OFFSET(AC375,$B$7-1,0))/($B$7-1))</f>
        <v>#DIV/0!</v>
      </c>
      <c r="AG375" s="34" t="e">
        <f ca="1">SQRT($B$9*SUM(AC375:OFFSET(AC375,$B$8-1,0))/($B$8-1))</f>
        <v>#DIV/0!</v>
      </c>
      <c r="AI375" s="1" t="e">
        <f t="shared" si="36"/>
        <v>#DIV/0!</v>
      </c>
      <c r="AJ375" s="4" t="e">
        <f ca="1">SQRT($B$9)*_xlfn.STDEV.S(AI375:OFFSET(AI375,$B$5-1,0))</f>
        <v>#DIV/0!</v>
      </c>
      <c r="AK375" s="4" t="e">
        <f ca="1">SQRT($B$9)*_xlfn.STDEV.S(AI375:OFFSET(AI375,$B$6-1,0))</f>
        <v>#DIV/0!</v>
      </c>
      <c r="AL375" s="4" t="e">
        <f ca="1">SQRT($B$9)*_xlfn.STDEV.S(AI375:OFFSET(AI375,$B$7-1,0))</f>
        <v>#DIV/0!</v>
      </c>
      <c r="AM375" s="4" t="e">
        <f ca="1">SQRT($B$9)*_xlfn.STDEV.S(AI375:OFFSET(AI375,$B$8-1,0))</f>
        <v>#DIV/0!</v>
      </c>
    </row>
    <row r="376" spans="5:39" x14ac:dyDescent="0.2">
      <c r="E376" s="42">
        <v>45104</v>
      </c>
      <c r="F376" s="43"/>
      <c r="G376" s="43"/>
      <c r="H376" s="43"/>
      <c r="I376" s="43"/>
      <c r="K376" s="3" t="e">
        <f t="shared" si="34"/>
        <v>#DIV/0!</v>
      </c>
      <c r="L376" s="3" t="e">
        <f ca="1">SQRT(AVERAGE(K376:OFFSET(K376,$B$5-1,0))*$B$9/(4*LN(2)))</f>
        <v>#DIV/0!</v>
      </c>
      <c r="M376" s="3" t="e">
        <f ca="1">SQRT(AVERAGE(K376:OFFSET(K376,$B$6-1,0))*$B$9/(4*LN(2)))</f>
        <v>#DIV/0!</v>
      </c>
      <c r="N376" s="3" t="e">
        <f ca="1">SQRT(AVERAGE(K376:OFFSET(K376,$B$7-1,0))*$B$9/(4*LN(2)))</f>
        <v>#DIV/0!</v>
      </c>
      <c r="O376" s="3" t="e">
        <f ca="1">SQRT(AVERAGE(K376:OFFSET(K376,$B$8-1,0))*$B$9/(4*LN(2)))</f>
        <v>#DIV/0!</v>
      </c>
      <c r="Q376" s="5" t="e">
        <f t="shared" si="33"/>
        <v>#DIV/0!</v>
      </c>
      <c r="R376" s="5" t="e">
        <f ca="1">SQRT($B$9*AVERAGE((Q376:OFFSET(Q376,$B$5-1,0))))</f>
        <v>#DIV/0!</v>
      </c>
      <c r="S376" s="5" t="e">
        <f ca="1">SQRT($B$9*AVERAGE((Q376:OFFSET(Q376,$B$6-1,0))))</f>
        <v>#DIV/0!</v>
      </c>
      <c r="T376" s="5" t="e">
        <f ca="1">SQRT($B$9*AVERAGE((Q376:OFFSET(Q376,$B$7-1,0))))</f>
        <v>#DIV/0!</v>
      </c>
      <c r="U376" s="5" t="e">
        <f ca="1">SQRT($B$9*AVERAGE((Q376:OFFSET(Q376,$B$8-1,0))))</f>
        <v>#DIV/0!</v>
      </c>
      <c r="W376" s="6" t="e">
        <f t="shared" si="37"/>
        <v>#DIV/0!</v>
      </c>
      <c r="X376" s="6" t="e">
        <f ca="1">SQRT($B$9*AVERAGE(W376:OFFSET(W376,$B$5-1,0)))</f>
        <v>#DIV/0!</v>
      </c>
      <c r="Y376" s="6" t="e">
        <f ca="1">SQRT($B$9*AVERAGE(W376:OFFSET(W376,$B$6-1,0)))</f>
        <v>#DIV/0!</v>
      </c>
      <c r="Z376" s="6" t="e">
        <f ca="1">SQRT($B$9*AVERAGE(W376:OFFSET(W376,$B$7-1,0)))</f>
        <v>#DIV/0!</v>
      </c>
      <c r="AA376" s="6" t="e">
        <f ca="1">SQRT($B$9*AVERAGE(W376:OFFSET(W376,$B$8-1,0)))</f>
        <v>#DIV/0!</v>
      </c>
      <c r="AC376" s="34" t="e">
        <f t="shared" si="35"/>
        <v>#DIV/0!</v>
      </c>
      <c r="AD376" s="34" t="e">
        <f ca="1">SQRT($B$9*SUM(AC376:OFFSET(AC376,$B$5-1,0))/($B$5-1))</f>
        <v>#DIV/0!</v>
      </c>
      <c r="AE376" s="34" t="e">
        <f ca="1">SQRT($B$9*SUM(AC376:OFFSET(AC376,$B$6-1,0))/($B$6-1))</f>
        <v>#DIV/0!</v>
      </c>
      <c r="AF376" s="34" t="e">
        <f ca="1">SQRT($B$9*SUM(AC376:OFFSET(AC376,$B$7-1,0))/($B$7-1))</f>
        <v>#DIV/0!</v>
      </c>
      <c r="AG376" s="34" t="e">
        <f ca="1">SQRT($B$9*SUM(AC376:OFFSET(AC376,$B$8-1,0))/($B$8-1))</f>
        <v>#DIV/0!</v>
      </c>
      <c r="AI376" s="1" t="e">
        <f t="shared" si="36"/>
        <v>#DIV/0!</v>
      </c>
      <c r="AJ376" s="4" t="e">
        <f ca="1">SQRT($B$9)*_xlfn.STDEV.S(AI376:OFFSET(AI376,$B$5-1,0))</f>
        <v>#DIV/0!</v>
      </c>
      <c r="AK376" s="4" t="e">
        <f ca="1">SQRT($B$9)*_xlfn.STDEV.S(AI376:OFFSET(AI376,$B$6-1,0))</f>
        <v>#DIV/0!</v>
      </c>
      <c r="AL376" s="4" t="e">
        <f ca="1">SQRT($B$9)*_xlfn.STDEV.S(AI376:OFFSET(AI376,$B$7-1,0))</f>
        <v>#DIV/0!</v>
      </c>
      <c r="AM376" s="4" t="e">
        <f ca="1">SQRT($B$9)*_xlfn.STDEV.S(AI376:OFFSET(AI376,$B$8-1,0))</f>
        <v>#DIV/0!</v>
      </c>
    </row>
    <row r="377" spans="5:39" x14ac:dyDescent="0.2">
      <c r="E377" s="42">
        <v>45103</v>
      </c>
      <c r="F377" s="43"/>
      <c r="G377" s="43"/>
      <c r="H377" s="43"/>
      <c r="I377" s="43"/>
      <c r="K377" s="3" t="e">
        <f t="shared" si="34"/>
        <v>#DIV/0!</v>
      </c>
      <c r="L377" s="3" t="e">
        <f ca="1">SQRT(AVERAGE(K377:OFFSET(K377,$B$5-1,0))*$B$9/(4*LN(2)))</f>
        <v>#DIV/0!</v>
      </c>
      <c r="M377" s="3" t="e">
        <f ca="1">SQRT(AVERAGE(K377:OFFSET(K377,$B$6-1,0))*$B$9/(4*LN(2)))</f>
        <v>#DIV/0!</v>
      </c>
      <c r="N377" s="3" t="e">
        <f ca="1">SQRT(AVERAGE(K377:OFFSET(K377,$B$7-1,0))*$B$9/(4*LN(2)))</f>
        <v>#DIV/0!</v>
      </c>
      <c r="O377" s="3" t="e">
        <f ca="1">SQRT(AVERAGE(K377:OFFSET(K377,$B$8-1,0))*$B$9/(4*LN(2)))</f>
        <v>#DIV/0!</v>
      </c>
      <c r="Q377" s="5" t="e">
        <f t="shared" si="33"/>
        <v>#DIV/0!</v>
      </c>
      <c r="R377" s="5" t="e">
        <f ca="1">SQRT($B$9*AVERAGE((Q377:OFFSET(Q377,$B$5-1,0))))</f>
        <v>#DIV/0!</v>
      </c>
      <c r="S377" s="5" t="e">
        <f ca="1">SQRT($B$9*AVERAGE((Q377:OFFSET(Q377,$B$6-1,0))))</f>
        <v>#DIV/0!</v>
      </c>
      <c r="T377" s="5" t="e">
        <f ca="1">SQRT($B$9*AVERAGE((Q377:OFFSET(Q377,$B$7-1,0))))</f>
        <v>#DIV/0!</v>
      </c>
      <c r="U377" s="5" t="e">
        <f ca="1">SQRT($B$9*AVERAGE((Q377:OFFSET(Q377,$B$8-1,0))))</f>
        <v>#DIV/0!</v>
      </c>
      <c r="W377" s="6" t="e">
        <f t="shared" si="37"/>
        <v>#DIV/0!</v>
      </c>
      <c r="X377" s="6" t="e">
        <f ca="1">SQRT($B$9*AVERAGE(W377:OFFSET(W377,$B$5-1,0)))</f>
        <v>#DIV/0!</v>
      </c>
      <c r="Y377" s="6" t="e">
        <f ca="1">SQRT($B$9*AVERAGE(W377:OFFSET(W377,$B$6-1,0)))</f>
        <v>#DIV/0!</v>
      </c>
      <c r="Z377" s="6" t="e">
        <f ca="1">SQRT($B$9*AVERAGE(W377:OFFSET(W377,$B$7-1,0)))</f>
        <v>#DIV/0!</v>
      </c>
      <c r="AA377" s="6" t="e">
        <f ca="1">SQRT($B$9*AVERAGE(W377:OFFSET(W377,$B$8-1,0)))</f>
        <v>#DIV/0!</v>
      </c>
      <c r="AC377" s="34" t="e">
        <f t="shared" si="35"/>
        <v>#DIV/0!</v>
      </c>
      <c r="AD377" s="34" t="e">
        <f ca="1">SQRT($B$9*SUM(AC377:OFFSET(AC377,$B$5-1,0))/($B$5-1))</f>
        <v>#DIV/0!</v>
      </c>
      <c r="AE377" s="34" t="e">
        <f ca="1">SQRT($B$9*SUM(AC377:OFFSET(AC377,$B$6-1,0))/($B$6-1))</f>
        <v>#DIV/0!</v>
      </c>
      <c r="AF377" s="34" t="e">
        <f ca="1">SQRT($B$9*SUM(AC377:OFFSET(AC377,$B$7-1,0))/($B$7-1))</f>
        <v>#DIV/0!</v>
      </c>
      <c r="AG377" s="34" t="e">
        <f ca="1">SQRT($B$9*SUM(AC377:OFFSET(AC377,$B$8-1,0))/($B$8-1))</f>
        <v>#DIV/0!</v>
      </c>
      <c r="AI377" s="1" t="e">
        <f t="shared" si="36"/>
        <v>#DIV/0!</v>
      </c>
      <c r="AJ377" s="4" t="e">
        <f ca="1">SQRT($B$9)*_xlfn.STDEV.S(AI377:OFFSET(AI377,$B$5-1,0))</f>
        <v>#DIV/0!</v>
      </c>
      <c r="AK377" s="4" t="e">
        <f ca="1">SQRT($B$9)*_xlfn.STDEV.S(AI377:OFFSET(AI377,$B$6-1,0))</f>
        <v>#DIV/0!</v>
      </c>
      <c r="AL377" s="4" t="e">
        <f ca="1">SQRT($B$9)*_xlfn.STDEV.S(AI377:OFFSET(AI377,$B$7-1,0))</f>
        <v>#DIV/0!</v>
      </c>
      <c r="AM377" s="4" t="e">
        <f ca="1">SQRT($B$9)*_xlfn.STDEV.S(AI377:OFFSET(AI377,$B$8-1,0))</f>
        <v>#DIV/0!</v>
      </c>
    </row>
    <row r="378" spans="5:39" x14ac:dyDescent="0.2">
      <c r="E378" s="42">
        <v>45098</v>
      </c>
      <c r="F378" s="43"/>
      <c r="G378" s="43"/>
      <c r="H378" s="43"/>
      <c r="I378" s="43"/>
      <c r="K378" s="3" t="e">
        <f t="shared" si="34"/>
        <v>#DIV/0!</v>
      </c>
      <c r="L378" s="3" t="e">
        <f ca="1">SQRT(AVERAGE(K378:OFFSET(K378,$B$5-1,0))*$B$9/(4*LN(2)))</f>
        <v>#DIV/0!</v>
      </c>
      <c r="M378" s="3" t="e">
        <f ca="1">SQRT(AVERAGE(K378:OFFSET(K378,$B$6-1,0))*$B$9/(4*LN(2)))</f>
        <v>#DIV/0!</v>
      </c>
      <c r="N378" s="3" t="e">
        <f ca="1">SQRT(AVERAGE(K378:OFFSET(K378,$B$7-1,0))*$B$9/(4*LN(2)))</f>
        <v>#DIV/0!</v>
      </c>
      <c r="O378" s="3" t="e">
        <f ca="1">SQRT(AVERAGE(K378:OFFSET(K378,$B$8-1,0))*$B$9/(4*LN(2)))</f>
        <v>#DIV/0!</v>
      </c>
      <c r="Q378" s="5" t="e">
        <f t="shared" si="33"/>
        <v>#DIV/0!</v>
      </c>
      <c r="R378" s="5" t="e">
        <f ca="1">SQRT($B$9*AVERAGE((Q378:OFFSET(Q378,$B$5-1,0))))</f>
        <v>#DIV/0!</v>
      </c>
      <c r="S378" s="5" t="e">
        <f ca="1">SQRT($B$9*AVERAGE((Q378:OFFSET(Q378,$B$6-1,0))))</f>
        <v>#DIV/0!</v>
      </c>
      <c r="T378" s="5" t="e">
        <f ca="1">SQRT($B$9*AVERAGE((Q378:OFFSET(Q378,$B$7-1,0))))</f>
        <v>#DIV/0!</v>
      </c>
      <c r="U378" s="5" t="e">
        <f ca="1">SQRT($B$9*AVERAGE((Q378:OFFSET(Q378,$B$8-1,0))))</f>
        <v>#DIV/0!</v>
      </c>
      <c r="W378" s="6" t="e">
        <f t="shared" si="37"/>
        <v>#DIV/0!</v>
      </c>
      <c r="X378" s="6" t="e">
        <f ca="1">SQRT($B$9*AVERAGE(W378:OFFSET(W378,$B$5-1,0)))</f>
        <v>#DIV/0!</v>
      </c>
      <c r="Y378" s="6" t="e">
        <f ca="1">SQRT($B$9*AVERAGE(W378:OFFSET(W378,$B$6-1,0)))</f>
        <v>#DIV/0!</v>
      </c>
      <c r="Z378" s="6" t="e">
        <f ca="1">SQRT($B$9*AVERAGE(W378:OFFSET(W378,$B$7-1,0)))</f>
        <v>#DIV/0!</v>
      </c>
      <c r="AA378" s="6" t="e">
        <f ca="1">SQRT($B$9*AVERAGE(W378:OFFSET(W378,$B$8-1,0)))</f>
        <v>#DIV/0!</v>
      </c>
      <c r="AC378" s="34" t="e">
        <f t="shared" si="35"/>
        <v>#DIV/0!</v>
      </c>
      <c r="AD378" s="34" t="e">
        <f ca="1">SQRT($B$9*SUM(AC378:OFFSET(AC378,$B$5-1,0))/($B$5-1))</f>
        <v>#DIV/0!</v>
      </c>
      <c r="AE378" s="34" t="e">
        <f ca="1">SQRT($B$9*SUM(AC378:OFFSET(AC378,$B$6-1,0))/($B$6-1))</f>
        <v>#DIV/0!</v>
      </c>
      <c r="AF378" s="34" t="e">
        <f ca="1">SQRT($B$9*SUM(AC378:OFFSET(AC378,$B$7-1,0))/($B$7-1))</f>
        <v>#DIV/0!</v>
      </c>
      <c r="AG378" s="34" t="e">
        <f ca="1">SQRT($B$9*SUM(AC378:OFFSET(AC378,$B$8-1,0))/($B$8-1))</f>
        <v>#DIV/0!</v>
      </c>
      <c r="AI378" s="1" t="e">
        <f t="shared" si="36"/>
        <v>#DIV/0!</v>
      </c>
      <c r="AJ378" s="4" t="e">
        <f ca="1">SQRT($B$9)*_xlfn.STDEV.S(AI378:OFFSET(AI378,$B$5-1,0))</f>
        <v>#DIV/0!</v>
      </c>
      <c r="AK378" s="4" t="e">
        <f ca="1">SQRT($B$9)*_xlfn.STDEV.S(AI378:OFFSET(AI378,$B$6-1,0))</f>
        <v>#DIV/0!</v>
      </c>
      <c r="AL378" s="4" t="e">
        <f ca="1">SQRT($B$9)*_xlfn.STDEV.S(AI378:OFFSET(AI378,$B$7-1,0))</f>
        <v>#DIV/0!</v>
      </c>
      <c r="AM378" s="4" t="e">
        <f ca="1">SQRT($B$9)*_xlfn.STDEV.S(AI378:OFFSET(AI378,$B$8-1,0))</f>
        <v>#DIV/0!</v>
      </c>
    </row>
    <row r="379" spans="5:39" x14ac:dyDescent="0.2">
      <c r="E379" s="42">
        <v>45097</v>
      </c>
      <c r="F379" s="43"/>
      <c r="G379" s="43"/>
      <c r="H379" s="43"/>
      <c r="I379" s="43"/>
      <c r="K379" s="3" t="e">
        <f t="shared" si="34"/>
        <v>#DIV/0!</v>
      </c>
      <c r="L379" s="3" t="e">
        <f ca="1">SQRT(AVERAGE(K379:OFFSET(K379,$B$5-1,0))*$B$9/(4*LN(2)))</f>
        <v>#DIV/0!</v>
      </c>
      <c r="M379" s="3" t="e">
        <f ca="1">SQRT(AVERAGE(K379:OFFSET(K379,$B$6-1,0))*$B$9/(4*LN(2)))</f>
        <v>#DIV/0!</v>
      </c>
      <c r="N379" s="3" t="e">
        <f ca="1">SQRT(AVERAGE(K379:OFFSET(K379,$B$7-1,0))*$B$9/(4*LN(2)))</f>
        <v>#DIV/0!</v>
      </c>
      <c r="O379" s="3" t="e">
        <f ca="1">SQRT(AVERAGE(K379:OFFSET(K379,$B$8-1,0))*$B$9/(4*LN(2)))</f>
        <v>#DIV/0!</v>
      </c>
      <c r="Q379" s="5" t="e">
        <f t="shared" si="33"/>
        <v>#DIV/0!</v>
      </c>
      <c r="R379" s="5" t="e">
        <f ca="1">SQRT($B$9*AVERAGE((Q379:OFFSET(Q379,$B$5-1,0))))</f>
        <v>#DIV/0!</v>
      </c>
      <c r="S379" s="5" t="e">
        <f ca="1">SQRT($B$9*AVERAGE((Q379:OFFSET(Q379,$B$6-1,0))))</f>
        <v>#DIV/0!</v>
      </c>
      <c r="T379" s="5" t="e">
        <f ca="1">SQRT($B$9*AVERAGE((Q379:OFFSET(Q379,$B$7-1,0))))</f>
        <v>#DIV/0!</v>
      </c>
      <c r="U379" s="5" t="e">
        <f ca="1">SQRT($B$9*AVERAGE((Q379:OFFSET(Q379,$B$8-1,0))))</f>
        <v>#DIV/0!</v>
      </c>
      <c r="W379" s="6" t="e">
        <f t="shared" si="37"/>
        <v>#DIV/0!</v>
      </c>
      <c r="X379" s="6" t="e">
        <f ca="1">SQRT($B$9*AVERAGE(W379:OFFSET(W379,$B$5-1,0)))</f>
        <v>#DIV/0!</v>
      </c>
      <c r="Y379" s="6" t="e">
        <f ca="1">SQRT($B$9*AVERAGE(W379:OFFSET(W379,$B$6-1,0)))</f>
        <v>#DIV/0!</v>
      </c>
      <c r="Z379" s="6" t="e">
        <f ca="1">SQRT($B$9*AVERAGE(W379:OFFSET(W379,$B$7-1,0)))</f>
        <v>#DIV/0!</v>
      </c>
      <c r="AA379" s="6" t="e">
        <f ca="1">SQRT($B$9*AVERAGE(W379:OFFSET(W379,$B$8-1,0)))</f>
        <v>#DIV/0!</v>
      </c>
      <c r="AC379" s="34" t="e">
        <f t="shared" si="35"/>
        <v>#DIV/0!</v>
      </c>
      <c r="AD379" s="34" t="e">
        <f ca="1">SQRT($B$9*SUM(AC379:OFFSET(AC379,$B$5-1,0))/($B$5-1))</f>
        <v>#DIV/0!</v>
      </c>
      <c r="AE379" s="34" t="e">
        <f ca="1">SQRT($B$9*SUM(AC379:OFFSET(AC379,$B$6-1,0))/($B$6-1))</f>
        <v>#DIV/0!</v>
      </c>
      <c r="AF379" s="34" t="e">
        <f ca="1">SQRT($B$9*SUM(AC379:OFFSET(AC379,$B$7-1,0))/($B$7-1))</f>
        <v>#DIV/0!</v>
      </c>
      <c r="AG379" s="34" t="e">
        <f ca="1">SQRT($B$9*SUM(AC379:OFFSET(AC379,$B$8-1,0))/($B$8-1))</f>
        <v>#DIV/0!</v>
      </c>
      <c r="AI379" s="1" t="e">
        <f t="shared" si="36"/>
        <v>#DIV/0!</v>
      </c>
      <c r="AJ379" s="4" t="e">
        <f ca="1">SQRT($B$9)*_xlfn.STDEV.S(AI379:OFFSET(AI379,$B$5-1,0))</f>
        <v>#DIV/0!</v>
      </c>
      <c r="AK379" s="4" t="e">
        <f ca="1">SQRT($B$9)*_xlfn.STDEV.S(AI379:OFFSET(AI379,$B$6-1,0))</f>
        <v>#DIV/0!</v>
      </c>
      <c r="AL379" s="4" t="e">
        <f ca="1">SQRT($B$9)*_xlfn.STDEV.S(AI379:OFFSET(AI379,$B$7-1,0))</f>
        <v>#DIV/0!</v>
      </c>
      <c r="AM379" s="4" t="e">
        <f ca="1">SQRT($B$9)*_xlfn.STDEV.S(AI379:OFFSET(AI379,$B$8-1,0))</f>
        <v>#DIV/0!</v>
      </c>
    </row>
    <row r="380" spans="5:39" x14ac:dyDescent="0.2">
      <c r="E380" s="42">
        <v>45096</v>
      </c>
      <c r="F380" s="43"/>
      <c r="G380" s="43"/>
      <c r="H380" s="43"/>
      <c r="I380" s="43"/>
      <c r="K380" s="3" t="e">
        <f t="shared" si="34"/>
        <v>#DIV/0!</v>
      </c>
      <c r="L380" s="3" t="e">
        <f ca="1">SQRT(AVERAGE(K380:OFFSET(K380,$B$5-1,0))*$B$9/(4*LN(2)))</f>
        <v>#DIV/0!</v>
      </c>
      <c r="M380" s="3" t="e">
        <f ca="1">SQRT(AVERAGE(K380:OFFSET(K380,$B$6-1,0))*$B$9/(4*LN(2)))</f>
        <v>#DIV/0!</v>
      </c>
      <c r="N380" s="3" t="e">
        <f ca="1">SQRT(AVERAGE(K380:OFFSET(K380,$B$7-1,0))*$B$9/(4*LN(2)))</f>
        <v>#DIV/0!</v>
      </c>
      <c r="O380" s="3" t="e">
        <f ca="1">SQRT(AVERAGE(K380:OFFSET(K380,$B$8-1,0))*$B$9/(4*LN(2)))</f>
        <v>#DIV/0!</v>
      </c>
      <c r="Q380" s="5" t="e">
        <f t="shared" si="33"/>
        <v>#DIV/0!</v>
      </c>
      <c r="R380" s="5" t="e">
        <f ca="1">SQRT($B$9*AVERAGE((Q380:OFFSET(Q380,$B$5-1,0))))</f>
        <v>#DIV/0!</v>
      </c>
      <c r="S380" s="5" t="e">
        <f ca="1">SQRT($B$9*AVERAGE((Q380:OFFSET(Q380,$B$6-1,0))))</f>
        <v>#DIV/0!</v>
      </c>
      <c r="T380" s="5" t="e">
        <f ca="1">SQRT($B$9*AVERAGE((Q380:OFFSET(Q380,$B$7-1,0))))</f>
        <v>#DIV/0!</v>
      </c>
      <c r="U380" s="5" t="e">
        <f ca="1">SQRT($B$9*AVERAGE((Q380:OFFSET(Q380,$B$8-1,0))))</f>
        <v>#DIV/0!</v>
      </c>
      <c r="W380" s="6" t="e">
        <f t="shared" si="37"/>
        <v>#DIV/0!</v>
      </c>
      <c r="X380" s="6" t="e">
        <f ca="1">SQRT($B$9*AVERAGE(W380:OFFSET(W380,$B$5-1,0)))</f>
        <v>#DIV/0!</v>
      </c>
      <c r="Y380" s="6" t="e">
        <f ca="1">SQRT($B$9*AVERAGE(W380:OFFSET(W380,$B$6-1,0)))</f>
        <v>#DIV/0!</v>
      </c>
      <c r="Z380" s="6" t="e">
        <f ca="1">SQRT($B$9*AVERAGE(W380:OFFSET(W380,$B$7-1,0)))</f>
        <v>#DIV/0!</v>
      </c>
      <c r="AA380" s="6" t="e">
        <f ca="1">SQRT($B$9*AVERAGE(W380:OFFSET(W380,$B$8-1,0)))</f>
        <v>#DIV/0!</v>
      </c>
      <c r="AC380" s="34" t="e">
        <f t="shared" si="35"/>
        <v>#DIV/0!</v>
      </c>
      <c r="AD380" s="34" t="e">
        <f ca="1">SQRT($B$9*SUM(AC380:OFFSET(AC380,$B$5-1,0))/($B$5-1))</f>
        <v>#DIV/0!</v>
      </c>
      <c r="AE380" s="34" t="e">
        <f ca="1">SQRT($B$9*SUM(AC380:OFFSET(AC380,$B$6-1,0))/($B$6-1))</f>
        <v>#DIV/0!</v>
      </c>
      <c r="AF380" s="34" t="e">
        <f ca="1">SQRT($B$9*SUM(AC380:OFFSET(AC380,$B$7-1,0))/($B$7-1))</f>
        <v>#DIV/0!</v>
      </c>
      <c r="AG380" s="34" t="e">
        <f ca="1">SQRT($B$9*SUM(AC380:OFFSET(AC380,$B$8-1,0))/($B$8-1))</f>
        <v>#DIV/0!</v>
      </c>
      <c r="AI380" s="1" t="e">
        <f t="shared" si="36"/>
        <v>#DIV/0!</v>
      </c>
      <c r="AJ380" s="4" t="e">
        <f ca="1">SQRT($B$9)*_xlfn.STDEV.S(AI380:OFFSET(AI380,$B$5-1,0))</f>
        <v>#DIV/0!</v>
      </c>
      <c r="AK380" s="4" t="e">
        <f ca="1">SQRT($B$9)*_xlfn.STDEV.S(AI380:OFFSET(AI380,$B$6-1,0))</f>
        <v>#DIV/0!</v>
      </c>
      <c r="AL380" s="4" t="e">
        <f ca="1">SQRT($B$9)*_xlfn.STDEV.S(AI380:OFFSET(AI380,$B$7-1,0))</f>
        <v>#DIV/0!</v>
      </c>
      <c r="AM380" s="4" t="e">
        <f ca="1">SQRT($B$9)*_xlfn.STDEV.S(AI380:OFFSET(AI380,$B$8-1,0))</f>
        <v>#DIV/0!</v>
      </c>
    </row>
    <row r="381" spans="5:39" x14ac:dyDescent="0.2">
      <c r="E381" s="42">
        <v>45093</v>
      </c>
      <c r="F381" s="43"/>
      <c r="G381" s="43"/>
      <c r="H381" s="43"/>
      <c r="I381" s="43"/>
      <c r="K381" s="3" t="e">
        <f t="shared" si="34"/>
        <v>#DIV/0!</v>
      </c>
      <c r="L381" s="3" t="e">
        <f ca="1">SQRT(AVERAGE(K381:OFFSET(K381,$B$5-1,0))*$B$9/(4*LN(2)))</f>
        <v>#DIV/0!</v>
      </c>
      <c r="M381" s="3" t="e">
        <f ca="1">SQRT(AVERAGE(K381:OFFSET(K381,$B$6-1,0))*$B$9/(4*LN(2)))</f>
        <v>#DIV/0!</v>
      </c>
      <c r="N381" s="3" t="e">
        <f ca="1">SQRT(AVERAGE(K381:OFFSET(K381,$B$7-1,0))*$B$9/(4*LN(2)))</f>
        <v>#DIV/0!</v>
      </c>
      <c r="O381" s="3" t="e">
        <f ca="1">SQRT(AVERAGE(K381:OFFSET(K381,$B$8-1,0))*$B$9/(4*LN(2)))</f>
        <v>#DIV/0!</v>
      </c>
      <c r="Q381" s="5" t="e">
        <f t="shared" si="33"/>
        <v>#DIV/0!</v>
      </c>
      <c r="R381" s="5" t="e">
        <f ca="1">SQRT($B$9*AVERAGE((Q381:OFFSET(Q381,$B$5-1,0))))</f>
        <v>#DIV/0!</v>
      </c>
      <c r="S381" s="5" t="e">
        <f ca="1">SQRT($B$9*AVERAGE((Q381:OFFSET(Q381,$B$6-1,0))))</f>
        <v>#DIV/0!</v>
      </c>
      <c r="T381" s="5" t="e">
        <f ca="1">SQRT($B$9*AVERAGE((Q381:OFFSET(Q381,$B$7-1,0))))</f>
        <v>#DIV/0!</v>
      </c>
      <c r="U381" s="5" t="e">
        <f ca="1">SQRT($B$9*AVERAGE((Q381:OFFSET(Q381,$B$8-1,0))))</f>
        <v>#DIV/0!</v>
      </c>
      <c r="W381" s="6" t="e">
        <f t="shared" si="37"/>
        <v>#DIV/0!</v>
      </c>
      <c r="X381" s="6" t="e">
        <f ca="1">SQRT($B$9*AVERAGE(W381:OFFSET(W381,$B$5-1,0)))</f>
        <v>#DIV/0!</v>
      </c>
      <c r="Y381" s="6" t="e">
        <f ca="1">SQRT($B$9*AVERAGE(W381:OFFSET(W381,$B$6-1,0)))</f>
        <v>#DIV/0!</v>
      </c>
      <c r="Z381" s="6" t="e">
        <f ca="1">SQRT($B$9*AVERAGE(W381:OFFSET(W381,$B$7-1,0)))</f>
        <v>#DIV/0!</v>
      </c>
      <c r="AA381" s="6" t="e">
        <f ca="1">SQRT($B$9*AVERAGE(W381:OFFSET(W381,$B$8-1,0)))</f>
        <v>#DIV/0!</v>
      </c>
      <c r="AC381" s="34" t="e">
        <f t="shared" si="35"/>
        <v>#DIV/0!</v>
      </c>
      <c r="AD381" s="34" t="e">
        <f ca="1">SQRT($B$9*SUM(AC381:OFFSET(AC381,$B$5-1,0))/($B$5-1))</f>
        <v>#DIV/0!</v>
      </c>
      <c r="AE381" s="34" t="e">
        <f ca="1">SQRT($B$9*SUM(AC381:OFFSET(AC381,$B$6-1,0))/($B$6-1))</f>
        <v>#DIV/0!</v>
      </c>
      <c r="AF381" s="34" t="e">
        <f ca="1">SQRT($B$9*SUM(AC381:OFFSET(AC381,$B$7-1,0))/($B$7-1))</f>
        <v>#DIV/0!</v>
      </c>
      <c r="AG381" s="34" t="e">
        <f ca="1">SQRT($B$9*SUM(AC381:OFFSET(AC381,$B$8-1,0))/($B$8-1))</f>
        <v>#DIV/0!</v>
      </c>
      <c r="AI381" s="1" t="e">
        <f t="shared" si="36"/>
        <v>#DIV/0!</v>
      </c>
      <c r="AJ381" s="4" t="e">
        <f ca="1">SQRT($B$9)*_xlfn.STDEV.S(AI381:OFFSET(AI381,$B$5-1,0))</f>
        <v>#DIV/0!</v>
      </c>
      <c r="AK381" s="4" t="e">
        <f ca="1">SQRT($B$9)*_xlfn.STDEV.S(AI381:OFFSET(AI381,$B$6-1,0))</f>
        <v>#DIV/0!</v>
      </c>
      <c r="AL381" s="4" t="e">
        <f ca="1">SQRT($B$9)*_xlfn.STDEV.S(AI381:OFFSET(AI381,$B$7-1,0))</f>
        <v>#DIV/0!</v>
      </c>
      <c r="AM381" s="4" t="e">
        <f ca="1">SQRT($B$9)*_xlfn.STDEV.S(AI381:OFFSET(AI381,$B$8-1,0))</f>
        <v>#DIV/0!</v>
      </c>
    </row>
    <row r="382" spans="5:39" x14ac:dyDescent="0.2">
      <c r="E382" s="42">
        <v>45092</v>
      </c>
      <c r="F382" s="43"/>
      <c r="G382" s="43"/>
      <c r="H382" s="43"/>
      <c r="I382" s="43"/>
      <c r="K382" s="3" t="e">
        <f t="shared" si="34"/>
        <v>#DIV/0!</v>
      </c>
      <c r="L382" s="3" t="e">
        <f ca="1">SQRT(AVERAGE(K382:OFFSET(K382,$B$5-1,0))*$B$9/(4*LN(2)))</f>
        <v>#DIV/0!</v>
      </c>
      <c r="M382" s="3" t="e">
        <f ca="1">SQRT(AVERAGE(K382:OFFSET(K382,$B$6-1,0))*$B$9/(4*LN(2)))</f>
        <v>#DIV/0!</v>
      </c>
      <c r="N382" s="3" t="e">
        <f ca="1">SQRT(AVERAGE(K382:OFFSET(K382,$B$7-1,0))*$B$9/(4*LN(2)))</f>
        <v>#DIV/0!</v>
      </c>
      <c r="O382" s="3" t="e">
        <f ca="1">SQRT(AVERAGE(K382:OFFSET(K382,$B$8-1,0))*$B$9/(4*LN(2)))</f>
        <v>#DIV/0!</v>
      </c>
      <c r="Q382" s="5" t="e">
        <f t="shared" si="33"/>
        <v>#DIV/0!</v>
      </c>
      <c r="R382" s="5" t="e">
        <f ca="1">SQRT($B$9*AVERAGE((Q382:OFFSET(Q382,$B$5-1,0))))</f>
        <v>#DIV/0!</v>
      </c>
      <c r="S382" s="5" t="e">
        <f ca="1">SQRT($B$9*AVERAGE((Q382:OFFSET(Q382,$B$6-1,0))))</f>
        <v>#DIV/0!</v>
      </c>
      <c r="T382" s="5" t="e">
        <f ca="1">SQRT($B$9*AVERAGE((Q382:OFFSET(Q382,$B$7-1,0))))</f>
        <v>#DIV/0!</v>
      </c>
      <c r="U382" s="5" t="e">
        <f ca="1">SQRT($B$9*AVERAGE((Q382:OFFSET(Q382,$B$8-1,0))))</f>
        <v>#DIV/0!</v>
      </c>
      <c r="W382" s="6" t="e">
        <f t="shared" si="37"/>
        <v>#DIV/0!</v>
      </c>
      <c r="X382" s="6" t="e">
        <f ca="1">SQRT($B$9*AVERAGE(W382:OFFSET(W382,$B$5-1,0)))</f>
        <v>#DIV/0!</v>
      </c>
      <c r="Y382" s="6" t="e">
        <f ca="1">SQRT($B$9*AVERAGE(W382:OFFSET(W382,$B$6-1,0)))</f>
        <v>#DIV/0!</v>
      </c>
      <c r="Z382" s="6" t="e">
        <f ca="1">SQRT($B$9*AVERAGE(W382:OFFSET(W382,$B$7-1,0)))</f>
        <v>#DIV/0!</v>
      </c>
      <c r="AA382" s="6" t="e">
        <f ca="1">SQRT($B$9*AVERAGE(W382:OFFSET(W382,$B$8-1,0)))</f>
        <v>#DIV/0!</v>
      </c>
      <c r="AC382" s="34" t="e">
        <f t="shared" si="35"/>
        <v>#DIV/0!</v>
      </c>
      <c r="AD382" s="34" t="e">
        <f ca="1">SQRT($B$9*SUM(AC382:OFFSET(AC382,$B$5-1,0))/($B$5-1))</f>
        <v>#DIV/0!</v>
      </c>
      <c r="AE382" s="34" t="e">
        <f ca="1">SQRT($B$9*SUM(AC382:OFFSET(AC382,$B$6-1,0))/($B$6-1))</f>
        <v>#DIV/0!</v>
      </c>
      <c r="AF382" s="34" t="e">
        <f ca="1">SQRT($B$9*SUM(AC382:OFFSET(AC382,$B$7-1,0))/($B$7-1))</f>
        <v>#DIV/0!</v>
      </c>
      <c r="AG382" s="34" t="e">
        <f ca="1">SQRT($B$9*SUM(AC382:OFFSET(AC382,$B$8-1,0))/($B$8-1))</f>
        <v>#DIV/0!</v>
      </c>
      <c r="AI382" s="1" t="e">
        <f t="shared" si="36"/>
        <v>#DIV/0!</v>
      </c>
      <c r="AJ382" s="4" t="e">
        <f ca="1">SQRT($B$9)*_xlfn.STDEV.S(AI382:OFFSET(AI382,$B$5-1,0))</f>
        <v>#DIV/0!</v>
      </c>
      <c r="AK382" s="4" t="e">
        <f ca="1">SQRT($B$9)*_xlfn.STDEV.S(AI382:OFFSET(AI382,$B$6-1,0))</f>
        <v>#DIV/0!</v>
      </c>
      <c r="AL382" s="4" t="e">
        <f ca="1">SQRT($B$9)*_xlfn.STDEV.S(AI382:OFFSET(AI382,$B$7-1,0))</f>
        <v>#DIV/0!</v>
      </c>
      <c r="AM382" s="4" t="e">
        <f ca="1">SQRT($B$9)*_xlfn.STDEV.S(AI382:OFFSET(AI382,$B$8-1,0))</f>
        <v>#DIV/0!</v>
      </c>
    </row>
    <row r="383" spans="5:39" x14ac:dyDescent="0.2">
      <c r="E383" s="42">
        <v>45091</v>
      </c>
      <c r="F383" s="43"/>
      <c r="G383" s="43"/>
      <c r="H383" s="43"/>
      <c r="I383" s="43"/>
      <c r="K383" s="3" t="e">
        <f t="shared" si="34"/>
        <v>#DIV/0!</v>
      </c>
      <c r="L383" s="3" t="e">
        <f ca="1">SQRT(AVERAGE(K383:OFFSET(K383,$B$5-1,0))*$B$9/(4*LN(2)))</f>
        <v>#DIV/0!</v>
      </c>
      <c r="M383" s="3" t="e">
        <f ca="1">SQRT(AVERAGE(K383:OFFSET(K383,$B$6-1,0))*$B$9/(4*LN(2)))</f>
        <v>#DIV/0!</v>
      </c>
      <c r="N383" s="3" t="e">
        <f ca="1">SQRT(AVERAGE(K383:OFFSET(K383,$B$7-1,0))*$B$9/(4*LN(2)))</f>
        <v>#DIV/0!</v>
      </c>
      <c r="O383" s="3" t="e">
        <f ca="1">SQRT(AVERAGE(K383:OFFSET(K383,$B$8-1,0))*$B$9/(4*LN(2)))</f>
        <v>#DIV/0!</v>
      </c>
      <c r="Q383" s="5" t="e">
        <f t="shared" si="33"/>
        <v>#DIV/0!</v>
      </c>
      <c r="R383" s="5" t="e">
        <f ca="1">SQRT($B$9*AVERAGE((Q383:OFFSET(Q383,$B$5-1,0))))</f>
        <v>#DIV/0!</v>
      </c>
      <c r="S383" s="5" t="e">
        <f ca="1">SQRT($B$9*AVERAGE((Q383:OFFSET(Q383,$B$6-1,0))))</f>
        <v>#DIV/0!</v>
      </c>
      <c r="T383" s="5" t="e">
        <f ca="1">SQRT($B$9*AVERAGE((Q383:OFFSET(Q383,$B$7-1,0))))</f>
        <v>#DIV/0!</v>
      </c>
      <c r="U383" s="5" t="e">
        <f ca="1">SQRT($B$9*AVERAGE((Q383:OFFSET(Q383,$B$8-1,0))))</f>
        <v>#DIV/0!</v>
      </c>
      <c r="W383" s="6" t="e">
        <f t="shared" si="37"/>
        <v>#DIV/0!</v>
      </c>
      <c r="X383" s="6" t="e">
        <f ca="1">SQRT($B$9*AVERAGE(W383:OFFSET(W383,$B$5-1,0)))</f>
        <v>#DIV/0!</v>
      </c>
      <c r="Y383" s="6" t="e">
        <f ca="1">SQRT($B$9*AVERAGE(W383:OFFSET(W383,$B$6-1,0)))</f>
        <v>#DIV/0!</v>
      </c>
      <c r="Z383" s="6" t="e">
        <f ca="1">SQRT($B$9*AVERAGE(W383:OFFSET(W383,$B$7-1,0)))</f>
        <v>#DIV/0!</v>
      </c>
      <c r="AA383" s="6" t="e">
        <f ca="1">SQRT($B$9*AVERAGE(W383:OFFSET(W383,$B$8-1,0)))</f>
        <v>#DIV/0!</v>
      </c>
      <c r="AC383" s="34" t="e">
        <f t="shared" si="35"/>
        <v>#DIV/0!</v>
      </c>
      <c r="AD383" s="34" t="e">
        <f ca="1">SQRT($B$9*SUM(AC383:OFFSET(AC383,$B$5-1,0))/($B$5-1))</f>
        <v>#DIV/0!</v>
      </c>
      <c r="AE383" s="34" t="e">
        <f ca="1">SQRT($B$9*SUM(AC383:OFFSET(AC383,$B$6-1,0))/($B$6-1))</f>
        <v>#DIV/0!</v>
      </c>
      <c r="AF383" s="34" t="e">
        <f ca="1">SQRT($B$9*SUM(AC383:OFFSET(AC383,$B$7-1,0))/($B$7-1))</f>
        <v>#DIV/0!</v>
      </c>
      <c r="AG383" s="34" t="e">
        <f ca="1">SQRT($B$9*SUM(AC383:OFFSET(AC383,$B$8-1,0))/($B$8-1))</f>
        <v>#DIV/0!</v>
      </c>
      <c r="AI383" s="1" t="e">
        <f t="shared" si="36"/>
        <v>#DIV/0!</v>
      </c>
      <c r="AJ383" s="4" t="e">
        <f ca="1">SQRT($B$9)*_xlfn.STDEV.S(AI383:OFFSET(AI383,$B$5-1,0))</f>
        <v>#DIV/0!</v>
      </c>
      <c r="AK383" s="4" t="e">
        <f ca="1">SQRT($B$9)*_xlfn.STDEV.S(AI383:OFFSET(AI383,$B$6-1,0))</f>
        <v>#DIV/0!</v>
      </c>
      <c r="AL383" s="4" t="e">
        <f ca="1">SQRT($B$9)*_xlfn.STDEV.S(AI383:OFFSET(AI383,$B$7-1,0))</f>
        <v>#DIV/0!</v>
      </c>
      <c r="AM383" s="4" t="e">
        <f ca="1">SQRT($B$9)*_xlfn.STDEV.S(AI383:OFFSET(AI383,$B$8-1,0))</f>
        <v>#DIV/0!</v>
      </c>
    </row>
    <row r="384" spans="5:39" x14ac:dyDescent="0.2">
      <c r="E384" s="42">
        <v>45090</v>
      </c>
      <c r="F384" s="43"/>
      <c r="G384" s="43"/>
      <c r="H384" s="43"/>
      <c r="I384" s="43"/>
      <c r="K384" s="3" t="e">
        <f t="shared" si="34"/>
        <v>#DIV/0!</v>
      </c>
      <c r="L384" s="3" t="e">
        <f ca="1">SQRT(AVERAGE(K384:OFFSET(K384,$B$5-1,0))*$B$9/(4*LN(2)))</f>
        <v>#DIV/0!</v>
      </c>
      <c r="M384" s="3" t="e">
        <f ca="1">SQRT(AVERAGE(K384:OFFSET(K384,$B$6-1,0))*$B$9/(4*LN(2)))</f>
        <v>#DIV/0!</v>
      </c>
      <c r="N384" s="3" t="e">
        <f ca="1">SQRT(AVERAGE(K384:OFFSET(K384,$B$7-1,0))*$B$9/(4*LN(2)))</f>
        <v>#DIV/0!</v>
      </c>
      <c r="O384" s="3" t="e">
        <f ca="1">SQRT(AVERAGE(K384:OFFSET(K384,$B$8-1,0))*$B$9/(4*LN(2)))</f>
        <v>#DIV/0!</v>
      </c>
      <c r="Q384" s="5" t="e">
        <f t="shared" si="33"/>
        <v>#DIV/0!</v>
      </c>
      <c r="R384" s="5" t="e">
        <f ca="1">SQRT($B$9*AVERAGE((Q384:OFFSET(Q384,$B$5-1,0))))</f>
        <v>#DIV/0!</v>
      </c>
      <c r="S384" s="5" t="e">
        <f ca="1">SQRT($B$9*AVERAGE((Q384:OFFSET(Q384,$B$6-1,0))))</f>
        <v>#DIV/0!</v>
      </c>
      <c r="T384" s="5" t="e">
        <f ca="1">SQRT($B$9*AVERAGE((Q384:OFFSET(Q384,$B$7-1,0))))</f>
        <v>#DIV/0!</v>
      </c>
      <c r="U384" s="5" t="e">
        <f ca="1">SQRT($B$9*AVERAGE((Q384:OFFSET(Q384,$B$8-1,0))))</f>
        <v>#DIV/0!</v>
      </c>
      <c r="W384" s="6" t="e">
        <f t="shared" si="37"/>
        <v>#DIV/0!</v>
      </c>
      <c r="X384" s="6" t="e">
        <f ca="1">SQRT($B$9*AVERAGE(W384:OFFSET(W384,$B$5-1,0)))</f>
        <v>#DIV/0!</v>
      </c>
      <c r="Y384" s="6" t="e">
        <f ca="1">SQRT($B$9*AVERAGE(W384:OFFSET(W384,$B$6-1,0)))</f>
        <v>#DIV/0!</v>
      </c>
      <c r="Z384" s="6" t="e">
        <f ca="1">SQRT($B$9*AVERAGE(W384:OFFSET(W384,$B$7-1,0)))</f>
        <v>#DIV/0!</v>
      </c>
      <c r="AA384" s="6" t="e">
        <f ca="1">SQRT($B$9*AVERAGE(W384:OFFSET(W384,$B$8-1,0)))</f>
        <v>#DIV/0!</v>
      </c>
      <c r="AC384" s="34" t="e">
        <f t="shared" si="35"/>
        <v>#DIV/0!</v>
      </c>
      <c r="AD384" s="34" t="e">
        <f ca="1">SQRT($B$9*SUM(AC384:OFFSET(AC384,$B$5-1,0))/($B$5-1))</f>
        <v>#DIV/0!</v>
      </c>
      <c r="AE384" s="34" t="e">
        <f ca="1">SQRT($B$9*SUM(AC384:OFFSET(AC384,$B$6-1,0))/($B$6-1))</f>
        <v>#DIV/0!</v>
      </c>
      <c r="AF384" s="34" t="e">
        <f ca="1">SQRT($B$9*SUM(AC384:OFFSET(AC384,$B$7-1,0))/($B$7-1))</f>
        <v>#DIV/0!</v>
      </c>
      <c r="AG384" s="34" t="e">
        <f ca="1">SQRT($B$9*SUM(AC384:OFFSET(AC384,$B$8-1,0))/($B$8-1))</f>
        <v>#DIV/0!</v>
      </c>
      <c r="AI384" s="1" t="e">
        <f t="shared" si="36"/>
        <v>#DIV/0!</v>
      </c>
      <c r="AJ384" s="4" t="e">
        <f ca="1">SQRT($B$9)*_xlfn.STDEV.S(AI384:OFFSET(AI384,$B$5-1,0))</f>
        <v>#DIV/0!</v>
      </c>
      <c r="AK384" s="4" t="e">
        <f ca="1">SQRT($B$9)*_xlfn.STDEV.S(AI384:OFFSET(AI384,$B$6-1,0))</f>
        <v>#DIV/0!</v>
      </c>
      <c r="AL384" s="4" t="e">
        <f ca="1">SQRT($B$9)*_xlfn.STDEV.S(AI384:OFFSET(AI384,$B$7-1,0))</f>
        <v>#DIV/0!</v>
      </c>
      <c r="AM384" s="4" t="e">
        <f ca="1">SQRT($B$9)*_xlfn.STDEV.S(AI384:OFFSET(AI384,$B$8-1,0))</f>
        <v>#DIV/0!</v>
      </c>
    </row>
    <row r="385" spans="5:39" x14ac:dyDescent="0.2">
      <c r="E385" s="42">
        <v>45089</v>
      </c>
      <c r="F385" s="43"/>
      <c r="G385" s="43"/>
      <c r="H385" s="43"/>
      <c r="I385" s="43"/>
      <c r="K385" s="3" t="e">
        <f t="shared" si="34"/>
        <v>#DIV/0!</v>
      </c>
      <c r="L385" s="3" t="e">
        <f ca="1">SQRT(AVERAGE(K385:OFFSET(K385,$B$5-1,0))*$B$9/(4*LN(2)))</f>
        <v>#DIV/0!</v>
      </c>
      <c r="M385" s="3" t="e">
        <f ca="1">SQRT(AVERAGE(K385:OFFSET(K385,$B$6-1,0))*$B$9/(4*LN(2)))</f>
        <v>#DIV/0!</v>
      </c>
      <c r="N385" s="3" t="e">
        <f ca="1">SQRT(AVERAGE(K385:OFFSET(K385,$B$7-1,0))*$B$9/(4*LN(2)))</f>
        <v>#DIV/0!</v>
      </c>
      <c r="O385" s="3" t="e">
        <f ca="1">SQRT(AVERAGE(K385:OFFSET(K385,$B$8-1,0))*$B$9/(4*LN(2)))</f>
        <v>#DIV/0!</v>
      </c>
      <c r="Q385" s="5" t="e">
        <f t="shared" si="33"/>
        <v>#DIV/0!</v>
      </c>
      <c r="R385" s="5" t="e">
        <f ca="1">SQRT($B$9*AVERAGE((Q385:OFFSET(Q385,$B$5-1,0))))</f>
        <v>#DIV/0!</v>
      </c>
      <c r="S385" s="5" t="e">
        <f ca="1">SQRT($B$9*AVERAGE((Q385:OFFSET(Q385,$B$6-1,0))))</f>
        <v>#DIV/0!</v>
      </c>
      <c r="T385" s="5" t="e">
        <f ca="1">SQRT($B$9*AVERAGE((Q385:OFFSET(Q385,$B$7-1,0))))</f>
        <v>#DIV/0!</v>
      </c>
      <c r="U385" s="5" t="e">
        <f ca="1">SQRT($B$9*AVERAGE((Q385:OFFSET(Q385,$B$8-1,0))))</f>
        <v>#DIV/0!</v>
      </c>
      <c r="W385" s="6" t="e">
        <f t="shared" si="37"/>
        <v>#DIV/0!</v>
      </c>
      <c r="X385" s="6" t="e">
        <f ca="1">SQRT($B$9*AVERAGE(W385:OFFSET(W385,$B$5-1,0)))</f>
        <v>#DIV/0!</v>
      </c>
      <c r="Y385" s="6" t="e">
        <f ca="1">SQRT($B$9*AVERAGE(W385:OFFSET(W385,$B$6-1,0)))</f>
        <v>#DIV/0!</v>
      </c>
      <c r="Z385" s="6" t="e">
        <f ca="1">SQRT($B$9*AVERAGE(W385:OFFSET(W385,$B$7-1,0)))</f>
        <v>#DIV/0!</v>
      </c>
      <c r="AA385" s="6" t="e">
        <f ca="1">SQRT($B$9*AVERAGE(W385:OFFSET(W385,$B$8-1,0)))</f>
        <v>#DIV/0!</v>
      </c>
      <c r="AC385" s="34" t="e">
        <f t="shared" si="35"/>
        <v>#DIV/0!</v>
      </c>
      <c r="AD385" s="34" t="e">
        <f ca="1">SQRT($B$9*SUM(AC385:OFFSET(AC385,$B$5-1,0))/($B$5-1))</f>
        <v>#DIV/0!</v>
      </c>
      <c r="AE385" s="34" t="e">
        <f ca="1">SQRT($B$9*SUM(AC385:OFFSET(AC385,$B$6-1,0))/($B$6-1))</f>
        <v>#DIV/0!</v>
      </c>
      <c r="AF385" s="34" t="e">
        <f ca="1">SQRT($B$9*SUM(AC385:OFFSET(AC385,$B$7-1,0))/($B$7-1))</f>
        <v>#DIV/0!</v>
      </c>
      <c r="AG385" s="34" t="e">
        <f ca="1">SQRT($B$9*SUM(AC385:OFFSET(AC385,$B$8-1,0))/($B$8-1))</f>
        <v>#DIV/0!</v>
      </c>
      <c r="AI385" s="1" t="e">
        <f t="shared" si="36"/>
        <v>#DIV/0!</v>
      </c>
      <c r="AJ385" s="4" t="e">
        <f ca="1">SQRT($B$9)*_xlfn.STDEV.S(AI385:OFFSET(AI385,$B$5-1,0))</f>
        <v>#DIV/0!</v>
      </c>
      <c r="AK385" s="4" t="e">
        <f ca="1">SQRT($B$9)*_xlfn.STDEV.S(AI385:OFFSET(AI385,$B$6-1,0))</f>
        <v>#DIV/0!</v>
      </c>
      <c r="AL385" s="4" t="e">
        <f ca="1">SQRT($B$9)*_xlfn.STDEV.S(AI385:OFFSET(AI385,$B$7-1,0))</f>
        <v>#DIV/0!</v>
      </c>
      <c r="AM385" s="4" t="e">
        <f ca="1">SQRT($B$9)*_xlfn.STDEV.S(AI385:OFFSET(AI385,$B$8-1,0))</f>
        <v>#DIV/0!</v>
      </c>
    </row>
    <row r="386" spans="5:39" x14ac:dyDescent="0.2">
      <c r="E386" s="42">
        <v>45086</v>
      </c>
      <c r="F386" s="43"/>
      <c r="G386" s="43"/>
      <c r="H386" s="43"/>
      <c r="I386" s="43"/>
      <c r="K386" s="3" t="e">
        <f t="shared" si="34"/>
        <v>#DIV/0!</v>
      </c>
      <c r="L386" s="3" t="e">
        <f ca="1">SQRT(AVERAGE(K386:OFFSET(K386,$B$5-1,0))*$B$9/(4*LN(2)))</f>
        <v>#DIV/0!</v>
      </c>
      <c r="M386" s="3" t="e">
        <f ca="1">SQRT(AVERAGE(K386:OFFSET(K386,$B$6-1,0))*$B$9/(4*LN(2)))</f>
        <v>#DIV/0!</v>
      </c>
      <c r="N386" s="3" t="e">
        <f ca="1">SQRT(AVERAGE(K386:OFFSET(K386,$B$7-1,0))*$B$9/(4*LN(2)))</f>
        <v>#DIV/0!</v>
      </c>
      <c r="O386" s="3" t="e">
        <f ca="1">SQRT(AVERAGE(K386:OFFSET(K386,$B$8-1,0))*$B$9/(4*LN(2)))</f>
        <v>#DIV/0!</v>
      </c>
      <c r="Q386" s="5" t="e">
        <f t="shared" si="33"/>
        <v>#DIV/0!</v>
      </c>
      <c r="R386" s="5" t="e">
        <f ca="1">SQRT($B$9*AVERAGE((Q386:OFFSET(Q386,$B$5-1,0))))</f>
        <v>#DIV/0!</v>
      </c>
      <c r="S386" s="5" t="e">
        <f ca="1">SQRT($B$9*AVERAGE((Q386:OFFSET(Q386,$B$6-1,0))))</f>
        <v>#DIV/0!</v>
      </c>
      <c r="T386" s="5" t="e">
        <f ca="1">SQRT($B$9*AVERAGE((Q386:OFFSET(Q386,$B$7-1,0))))</f>
        <v>#DIV/0!</v>
      </c>
      <c r="U386" s="5" t="e">
        <f ca="1">SQRT($B$9*AVERAGE((Q386:OFFSET(Q386,$B$8-1,0))))</f>
        <v>#DIV/0!</v>
      </c>
      <c r="W386" s="6" t="e">
        <f t="shared" si="37"/>
        <v>#DIV/0!</v>
      </c>
      <c r="X386" s="6" t="e">
        <f ca="1">SQRT($B$9*AVERAGE(W386:OFFSET(W386,$B$5-1,0)))</f>
        <v>#DIV/0!</v>
      </c>
      <c r="Y386" s="6" t="e">
        <f ca="1">SQRT($B$9*AVERAGE(W386:OFFSET(W386,$B$6-1,0)))</f>
        <v>#DIV/0!</v>
      </c>
      <c r="Z386" s="6" t="e">
        <f ca="1">SQRT($B$9*AVERAGE(W386:OFFSET(W386,$B$7-1,0)))</f>
        <v>#DIV/0!</v>
      </c>
      <c r="AA386" s="6" t="e">
        <f ca="1">SQRT($B$9*AVERAGE(W386:OFFSET(W386,$B$8-1,0)))</f>
        <v>#DIV/0!</v>
      </c>
      <c r="AC386" s="34" t="e">
        <f t="shared" si="35"/>
        <v>#DIV/0!</v>
      </c>
      <c r="AD386" s="34" t="e">
        <f ca="1">SQRT($B$9*SUM(AC386:OFFSET(AC386,$B$5-1,0))/($B$5-1))</f>
        <v>#DIV/0!</v>
      </c>
      <c r="AE386" s="34" t="e">
        <f ca="1">SQRT($B$9*SUM(AC386:OFFSET(AC386,$B$6-1,0))/($B$6-1))</f>
        <v>#DIV/0!</v>
      </c>
      <c r="AF386" s="34" t="e">
        <f ca="1">SQRT($B$9*SUM(AC386:OFFSET(AC386,$B$7-1,0))/($B$7-1))</f>
        <v>#DIV/0!</v>
      </c>
      <c r="AG386" s="34" t="e">
        <f ca="1">SQRT($B$9*SUM(AC386:OFFSET(AC386,$B$8-1,0))/($B$8-1))</f>
        <v>#DIV/0!</v>
      </c>
      <c r="AI386" s="1" t="e">
        <f t="shared" si="36"/>
        <v>#DIV/0!</v>
      </c>
      <c r="AJ386" s="4" t="e">
        <f ca="1">SQRT($B$9)*_xlfn.STDEV.S(AI386:OFFSET(AI386,$B$5-1,0))</f>
        <v>#DIV/0!</v>
      </c>
      <c r="AK386" s="4" t="e">
        <f ca="1">SQRT($B$9)*_xlfn.STDEV.S(AI386:OFFSET(AI386,$B$6-1,0))</f>
        <v>#DIV/0!</v>
      </c>
      <c r="AL386" s="4" t="e">
        <f ca="1">SQRT($B$9)*_xlfn.STDEV.S(AI386:OFFSET(AI386,$B$7-1,0))</f>
        <v>#DIV/0!</v>
      </c>
      <c r="AM386" s="4" t="e">
        <f ca="1">SQRT($B$9)*_xlfn.STDEV.S(AI386:OFFSET(AI386,$B$8-1,0))</f>
        <v>#DIV/0!</v>
      </c>
    </row>
    <row r="387" spans="5:39" x14ac:dyDescent="0.2">
      <c r="E387" s="42">
        <v>45085</v>
      </c>
      <c r="F387" s="43"/>
      <c r="G387" s="43"/>
      <c r="H387" s="43"/>
      <c r="I387" s="43"/>
      <c r="K387" s="3" t="e">
        <f t="shared" si="34"/>
        <v>#DIV/0!</v>
      </c>
      <c r="L387" s="3" t="e">
        <f ca="1">SQRT(AVERAGE(K387:OFFSET(K387,$B$5-1,0))*$B$9/(4*LN(2)))</f>
        <v>#DIV/0!</v>
      </c>
      <c r="M387" s="3" t="e">
        <f ca="1">SQRT(AVERAGE(K387:OFFSET(K387,$B$6-1,0))*$B$9/(4*LN(2)))</f>
        <v>#DIV/0!</v>
      </c>
      <c r="N387" s="3" t="e">
        <f ca="1">SQRT(AVERAGE(K387:OFFSET(K387,$B$7-1,0))*$B$9/(4*LN(2)))</f>
        <v>#DIV/0!</v>
      </c>
      <c r="O387" s="3" t="e">
        <f ca="1">SQRT(AVERAGE(K387:OFFSET(K387,$B$8-1,0))*$B$9/(4*LN(2)))</f>
        <v>#DIV/0!</v>
      </c>
      <c r="Q387" s="5" t="e">
        <f t="shared" si="33"/>
        <v>#DIV/0!</v>
      </c>
      <c r="R387" s="5" t="e">
        <f ca="1">SQRT($B$9*AVERAGE((Q387:OFFSET(Q387,$B$5-1,0))))</f>
        <v>#DIV/0!</v>
      </c>
      <c r="S387" s="5" t="e">
        <f ca="1">SQRT($B$9*AVERAGE((Q387:OFFSET(Q387,$B$6-1,0))))</f>
        <v>#DIV/0!</v>
      </c>
      <c r="T387" s="5" t="e">
        <f ca="1">SQRT($B$9*AVERAGE((Q387:OFFSET(Q387,$B$7-1,0))))</f>
        <v>#DIV/0!</v>
      </c>
      <c r="U387" s="5" t="e">
        <f ca="1">SQRT($B$9*AVERAGE((Q387:OFFSET(Q387,$B$8-1,0))))</f>
        <v>#DIV/0!</v>
      </c>
      <c r="W387" s="6" t="e">
        <f t="shared" si="37"/>
        <v>#DIV/0!</v>
      </c>
      <c r="X387" s="6" t="e">
        <f ca="1">SQRT($B$9*AVERAGE(W387:OFFSET(W387,$B$5-1,0)))</f>
        <v>#DIV/0!</v>
      </c>
      <c r="Y387" s="6" t="e">
        <f ca="1">SQRT($B$9*AVERAGE(W387:OFFSET(W387,$B$6-1,0)))</f>
        <v>#DIV/0!</v>
      </c>
      <c r="Z387" s="6" t="e">
        <f ca="1">SQRT($B$9*AVERAGE(W387:OFFSET(W387,$B$7-1,0)))</f>
        <v>#DIV/0!</v>
      </c>
      <c r="AA387" s="6" t="e">
        <f ca="1">SQRT($B$9*AVERAGE(W387:OFFSET(W387,$B$8-1,0)))</f>
        <v>#DIV/0!</v>
      </c>
      <c r="AC387" s="34" t="e">
        <f t="shared" si="35"/>
        <v>#DIV/0!</v>
      </c>
      <c r="AD387" s="34" t="e">
        <f ca="1">SQRT($B$9*SUM(AC387:OFFSET(AC387,$B$5-1,0))/($B$5-1))</f>
        <v>#DIV/0!</v>
      </c>
      <c r="AE387" s="34" t="e">
        <f ca="1">SQRT($B$9*SUM(AC387:OFFSET(AC387,$B$6-1,0))/($B$6-1))</f>
        <v>#DIV/0!</v>
      </c>
      <c r="AF387" s="34" t="e">
        <f ca="1">SQRT($B$9*SUM(AC387:OFFSET(AC387,$B$7-1,0))/($B$7-1))</f>
        <v>#DIV/0!</v>
      </c>
      <c r="AG387" s="34" t="e">
        <f ca="1">SQRT($B$9*SUM(AC387:OFFSET(AC387,$B$8-1,0))/($B$8-1))</f>
        <v>#DIV/0!</v>
      </c>
      <c r="AI387" s="1" t="e">
        <f t="shared" si="36"/>
        <v>#DIV/0!</v>
      </c>
      <c r="AJ387" s="4" t="e">
        <f ca="1">SQRT($B$9)*_xlfn.STDEV.S(AI387:OFFSET(AI387,$B$5-1,0))</f>
        <v>#DIV/0!</v>
      </c>
      <c r="AK387" s="4" t="e">
        <f ca="1">SQRT($B$9)*_xlfn.STDEV.S(AI387:OFFSET(AI387,$B$6-1,0))</f>
        <v>#DIV/0!</v>
      </c>
      <c r="AL387" s="4" t="e">
        <f ca="1">SQRT($B$9)*_xlfn.STDEV.S(AI387:OFFSET(AI387,$B$7-1,0))</f>
        <v>#DIV/0!</v>
      </c>
      <c r="AM387" s="4" t="e">
        <f ca="1">SQRT($B$9)*_xlfn.STDEV.S(AI387:OFFSET(AI387,$B$8-1,0))</f>
        <v>#DIV/0!</v>
      </c>
    </row>
    <row r="388" spans="5:39" x14ac:dyDescent="0.2">
      <c r="E388" s="42">
        <v>45084</v>
      </c>
      <c r="F388" s="43"/>
      <c r="G388" s="43"/>
      <c r="H388" s="43"/>
      <c r="I388" s="43"/>
      <c r="K388" s="3" t="e">
        <f t="shared" si="34"/>
        <v>#DIV/0!</v>
      </c>
      <c r="L388" s="3" t="e">
        <f ca="1">SQRT(AVERAGE(K388:OFFSET(K388,$B$5-1,0))*$B$9/(4*LN(2)))</f>
        <v>#DIV/0!</v>
      </c>
      <c r="M388" s="3" t="e">
        <f ca="1">SQRT(AVERAGE(K388:OFFSET(K388,$B$6-1,0))*$B$9/(4*LN(2)))</f>
        <v>#DIV/0!</v>
      </c>
      <c r="N388" s="3" t="e">
        <f ca="1">SQRT(AVERAGE(K388:OFFSET(K388,$B$7-1,0))*$B$9/(4*LN(2)))</f>
        <v>#DIV/0!</v>
      </c>
      <c r="O388" s="3" t="e">
        <f ca="1">SQRT(AVERAGE(K388:OFFSET(K388,$B$8-1,0))*$B$9/(4*LN(2)))</f>
        <v>#DIV/0!</v>
      </c>
      <c r="Q388" s="5" t="e">
        <f t="shared" si="33"/>
        <v>#DIV/0!</v>
      </c>
      <c r="R388" s="5" t="e">
        <f ca="1">SQRT($B$9*AVERAGE((Q388:OFFSET(Q388,$B$5-1,0))))</f>
        <v>#DIV/0!</v>
      </c>
      <c r="S388" s="5" t="e">
        <f ca="1">SQRT($B$9*AVERAGE((Q388:OFFSET(Q388,$B$6-1,0))))</f>
        <v>#DIV/0!</v>
      </c>
      <c r="T388" s="5" t="e">
        <f ca="1">SQRT($B$9*AVERAGE((Q388:OFFSET(Q388,$B$7-1,0))))</f>
        <v>#DIV/0!</v>
      </c>
      <c r="U388" s="5" t="e">
        <f ca="1">SQRT($B$9*AVERAGE((Q388:OFFSET(Q388,$B$8-1,0))))</f>
        <v>#DIV/0!</v>
      </c>
      <c r="W388" s="6" t="e">
        <f t="shared" si="37"/>
        <v>#DIV/0!</v>
      </c>
      <c r="X388" s="6" t="e">
        <f ca="1">SQRT($B$9*AVERAGE(W388:OFFSET(W388,$B$5-1,0)))</f>
        <v>#DIV/0!</v>
      </c>
      <c r="Y388" s="6" t="e">
        <f ca="1">SQRT($B$9*AVERAGE(W388:OFFSET(W388,$B$6-1,0)))</f>
        <v>#DIV/0!</v>
      </c>
      <c r="Z388" s="6" t="e">
        <f ca="1">SQRT($B$9*AVERAGE(W388:OFFSET(W388,$B$7-1,0)))</f>
        <v>#DIV/0!</v>
      </c>
      <c r="AA388" s="6" t="e">
        <f ca="1">SQRT($B$9*AVERAGE(W388:OFFSET(W388,$B$8-1,0)))</f>
        <v>#DIV/0!</v>
      </c>
      <c r="AC388" s="34" t="e">
        <f t="shared" si="35"/>
        <v>#DIV/0!</v>
      </c>
      <c r="AD388" s="34" t="e">
        <f ca="1">SQRT($B$9*SUM(AC388:OFFSET(AC388,$B$5-1,0))/($B$5-1))</f>
        <v>#DIV/0!</v>
      </c>
      <c r="AE388" s="34" t="e">
        <f ca="1">SQRT($B$9*SUM(AC388:OFFSET(AC388,$B$6-1,0))/($B$6-1))</f>
        <v>#DIV/0!</v>
      </c>
      <c r="AF388" s="34" t="e">
        <f ca="1">SQRT($B$9*SUM(AC388:OFFSET(AC388,$B$7-1,0))/($B$7-1))</f>
        <v>#DIV/0!</v>
      </c>
      <c r="AG388" s="34" t="e">
        <f ca="1">SQRT($B$9*SUM(AC388:OFFSET(AC388,$B$8-1,0))/($B$8-1))</f>
        <v>#DIV/0!</v>
      </c>
      <c r="AI388" s="1" t="e">
        <f t="shared" si="36"/>
        <v>#DIV/0!</v>
      </c>
      <c r="AJ388" s="4" t="e">
        <f ca="1">SQRT($B$9)*_xlfn.STDEV.S(AI388:OFFSET(AI388,$B$5-1,0))</f>
        <v>#DIV/0!</v>
      </c>
      <c r="AK388" s="4" t="e">
        <f ca="1">SQRT($B$9)*_xlfn.STDEV.S(AI388:OFFSET(AI388,$B$6-1,0))</f>
        <v>#DIV/0!</v>
      </c>
      <c r="AL388" s="4" t="e">
        <f ca="1">SQRT($B$9)*_xlfn.STDEV.S(AI388:OFFSET(AI388,$B$7-1,0))</f>
        <v>#DIV/0!</v>
      </c>
      <c r="AM388" s="4" t="e">
        <f ca="1">SQRT($B$9)*_xlfn.STDEV.S(AI388:OFFSET(AI388,$B$8-1,0))</f>
        <v>#DIV/0!</v>
      </c>
    </row>
    <row r="389" spans="5:39" x14ac:dyDescent="0.2">
      <c r="E389" s="42">
        <v>45083</v>
      </c>
      <c r="F389" s="43"/>
      <c r="G389" s="43"/>
      <c r="H389" s="43"/>
      <c r="I389" s="43"/>
      <c r="K389" s="3" t="e">
        <f t="shared" si="34"/>
        <v>#DIV/0!</v>
      </c>
      <c r="L389" s="3" t="e">
        <f ca="1">SQRT(AVERAGE(K389:OFFSET(K389,$B$5-1,0))*$B$9/(4*LN(2)))</f>
        <v>#DIV/0!</v>
      </c>
      <c r="M389" s="3" t="e">
        <f ca="1">SQRT(AVERAGE(K389:OFFSET(K389,$B$6-1,0))*$B$9/(4*LN(2)))</f>
        <v>#DIV/0!</v>
      </c>
      <c r="N389" s="3" t="e">
        <f ca="1">SQRT(AVERAGE(K389:OFFSET(K389,$B$7-1,0))*$B$9/(4*LN(2)))</f>
        <v>#DIV/0!</v>
      </c>
      <c r="O389" s="3" t="e">
        <f ca="1">SQRT(AVERAGE(K389:OFFSET(K389,$B$8-1,0))*$B$9/(4*LN(2)))</f>
        <v>#DIV/0!</v>
      </c>
      <c r="Q389" s="5" t="e">
        <f t="shared" ref="Q389:Q452" si="38">0.511*(LN(G389/H389))^2-0.019*(LN(I389/F389)*LN(G389*H389/F389^2)-2*LN(G389/F389)*LN(H389/F389))-0.383*(LN(I389/F389))^2</f>
        <v>#DIV/0!</v>
      </c>
      <c r="R389" s="5" t="e">
        <f ca="1">SQRT($B$9*AVERAGE((Q389:OFFSET(Q389,$B$5-1,0))))</f>
        <v>#DIV/0!</v>
      </c>
      <c r="S389" s="5" t="e">
        <f ca="1">SQRT($B$9*AVERAGE((Q389:OFFSET(Q389,$B$6-1,0))))</f>
        <v>#DIV/0!</v>
      </c>
      <c r="T389" s="5" t="e">
        <f ca="1">SQRT($B$9*AVERAGE((Q389:OFFSET(Q389,$B$7-1,0))))</f>
        <v>#DIV/0!</v>
      </c>
      <c r="U389" s="5" t="e">
        <f ca="1">SQRT($B$9*AVERAGE((Q389:OFFSET(Q389,$B$8-1,0))))</f>
        <v>#DIV/0!</v>
      </c>
      <c r="W389" s="6" t="e">
        <f t="shared" si="37"/>
        <v>#DIV/0!</v>
      </c>
      <c r="X389" s="6" t="e">
        <f ca="1">SQRT($B$9*AVERAGE(W389:OFFSET(W389,$B$5-1,0)))</f>
        <v>#DIV/0!</v>
      </c>
      <c r="Y389" s="6" t="e">
        <f ca="1">SQRT($B$9*AVERAGE(W389:OFFSET(W389,$B$6-1,0)))</f>
        <v>#DIV/0!</v>
      </c>
      <c r="Z389" s="6" t="e">
        <f ca="1">SQRT($B$9*AVERAGE(W389:OFFSET(W389,$B$7-1,0)))</f>
        <v>#DIV/0!</v>
      </c>
      <c r="AA389" s="6" t="e">
        <f ca="1">SQRT($B$9*AVERAGE(W389:OFFSET(W389,$B$8-1,0)))</f>
        <v>#DIV/0!</v>
      </c>
      <c r="AC389" s="34" t="e">
        <f t="shared" si="35"/>
        <v>#DIV/0!</v>
      </c>
      <c r="AD389" s="34" t="e">
        <f ca="1">SQRT($B$9*SUM(AC389:OFFSET(AC389,$B$5-1,0))/($B$5-1))</f>
        <v>#DIV/0!</v>
      </c>
      <c r="AE389" s="34" t="e">
        <f ca="1">SQRT($B$9*SUM(AC389:OFFSET(AC389,$B$6-1,0))/($B$6-1))</f>
        <v>#DIV/0!</v>
      </c>
      <c r="AF389" s="34" t="e">
        <f ca="1">SQRT($B$9*SUM(AC389:OFFSET(AC389,$B$7-1,0))/($B$7-1))</f>
        <v>#DIV/0!</v>
      </c>
      <c r="AG389" s="34" t="e">
        <f ca="1">SQRT($B$9*SUM(AC389:OFFSET(AC389,$B$8-1,0))/($B$8-1))</f>
        <v>#DIV/0!</v>
      </c>
      <c r="AI389" s="1" t="e">
        <f t="shared" si="36"/>
        <v>#DIV/0!</v>
      </c>
      <c r="AJ389" s="4" t="e">
        <f ca="1">SQRT($B$9)*_xlfn.STDEV.S(AI389:OFFSET(AI389,$B$5-1,0))</f>
        <v>#DIV/0!</v>
      </c>
      <c r="AK389" s="4" t="e">
        <f ca="1">SQRT($B$9)*_xlfn.STDEV.S(AI389:OFFSET(AI389,$B$6-1,0))</f>
        <v>#DIV/0!</v>
      </c>
      <c r="AL389" s="4" t="e">
        <f ca="1">SQRT($B$9)*_xlfn.STDEV.S(AI389:OFFSET(AI389,$B$7-1,0))</f>
        <v>#DIV/0!</v>
      </c>
      <c r="AM389" s="4" t="e">
        <f ca="1">SQRT($B$9)*_xlfn.STDEV.S(AI389:OFFSET(AI389,$B$8-1,0))</f>
        <v>#DIV/0!</v>
      </c>
    </row>
    <row r="390" spans="5:39" x14ac:dyDescent="0.2">
      <c r="E390" s="42">
        <v>45082</v>
      </c>
      <c r="F390" s="43"/>
      <c r="G390" s="43"/>
      <c r="H390" s="43"/>
      <c r="I390" s="43"/>
      <c r="K390" s="3" t="e">
        <f t="shared" ref="K390:K453" si="39">(LN(G390/H390))^2</f>
        <v>#DIV/0!</v>
      </c>
      <c r="L390" s="3" t="e">
        <f ca="1">SQRT(AVERAGE(K390:OFFSET(K390,$B$5-1,0))*$B$9/(4*LN(2)))</f>
        <v>#DIV/0!</v>
      </c>
      <c r="M390" s="3" t="e">
        <f ca="1">SQRT(AVERAGE(K390:OFFSET(K390,$B$6-1,0))*$B$9/(4*LN(2)))</f>
        <v>#DIV/0!</v>
      </c>
      <c r="N390" s="3" t="e">
        <f ca="1">SQRT(AVERAGE(K390:OFFSET(K390,$B$7-1,0))*$B$9/(4*LN(2)))</f>
        <v>#DIV/0!</v>
      </c>
      <c r="O390" s="3" t="e">
        <f ca="1">SQRT(AVERAGE(K390:OFFSET(K390,$B$8-1,0))*$B$9/(4*LN(2)))</f>
        <v>#DIV/0!</v>
      </c>
      <c r="Q390" s="5" t="e">
        <f t="shared" si="38"/>
        <v>#DIV/0!</v>
      </c>
      <c r="R390" s="5" t="e">
        <f ca="1">SQRT($B$9*AVERAGE((Q390:OFFSET(Q390,$B$5-1,0))))</f>
        <v>#DIV/0!</v>
      </c>
      <c r="S390" s="5" t="e">
        <f ca="1">SQRT($B$9*AVERAGE((Q390:OFFSET(Q390,$B$6-1,0))))</f>
        <v>#DIV/0!</v>
      </c>
      <c r="T390" s="5" t="e">
        <f ca="1">SQRT($B$9*AVERAGE((Q390:OFFSET(Q390,$B$7-1,0))))</f>
        <v>#DIV/0!</v>
      </c>
      <c r="U390" s="5" t="e">
        <f ca="1">SQRT($B$9*AVERAGE((Q390:OFFSET(Q390,$B$8-1,0))))</f>
        <v>#DIV/0!</v>
      </c>
      <c r="W390" s="6" t="e">
        <f t="shared" si="37"/>
        <v>#DIV/0!</v>
      </c>
      <c r="X390" s="6" t="e">
        <f ca="1">SQRT($B$9*AVERAGE(W390:OFFSET(W390,$B$5-1,0)))</f>
        <v>#DIV/0!</v>
      </c>
      <c r="Y390" s="6" t="e">
        <f ca="1">SQRT($B$9*AVERAGE(W390:OFFSET(W390,$B$6-1,0)))</f>
        <v>#DIV/0!</v>
      </c>
      <c r="Z390" s="6" t="e">
        <f ca="1">SQRT($B$9*AVERAGE(W390:OFFSET(W390,$B$7-1,0)))</f>
        <v>#DIV/0!</v>
      </c>
      <c r="AA390" s="6" t="e">
        <f ca="1">SQRT($B$9*AVERAGE(W390:OFFSET(W390,$B$8-1,0)))</f>
        <v>#DIV/0!</v>
      </c>
      <c r="AC390" s="34" t="e">
        <f t="shared" si="35"/>
        <v>#DIV/0!</v>
      </c>
      <c r="AD390" s="34" t="e">
        <f ca="1">SQRT($B$9*SUM(AC390:OFFSET(AC390,$B$5-1,0))/($B$5-1))</f>
        <v>#DIV/0!</v>
      </c>
      <c r="AE390" s="34" t="e">
        <f ca="1">SQRT($B$9*SUM(AC390:OFFSET(AC390,$B$6-1,0))/($B$6-1))</f>
        <v>#DIV/0!</v>
      </c>
      <c r="AF390" s="34" t="e">
        <f ca="1">SQRT($B$9*SUM(AC390:OFFSET(AC390,$B$7-1,0))/($B$7-1))</f>
        <v>#DIV/0!</v>
      </c>
      <c r="AG390" s="34" t="e">
        <f ca="1">SQRT($B$9*SUM(AC390:OFFSET(AC390,$B$8-1,0))/($B$8-1))</f>
        <v>#DIV/0!</v>
      </c>
      <c r="AI390" s="1" t="e">
        <f t="shared" si="36"/>
        <v>#DIV/0!</v>
      </c>
      <c r="AJ390" s="4" t="e">
        <f ca="1">SQRT($B$9)*_xlfn.STDEV.S(AI390:OFFSET(AI390,$B$5-1,0))</f>
        <v>#DIV/0!</v>
      </c>
      <c r="AK390" s="4" t="e">
        <f ca="1">SQRT($B$9)*_xlfn.STDEV.S(AI390:OFFSET(AI390,$B$6-1,0))</f>
        <v>#DIV/0!</v>
      </c>
      <c r="AL390" s="4" t="e">
        <f ca="1">SQRT($B$9)*_xlfn.STDEV.S(AI390:OFFSET(AI390,$B$7-1,0))</f>
        <v>#DIV/0!</v>
      </c>
      <c r="AM390" s="4" t="e">
        <f ca="1">SQRT($B$9)*_xlfn.STDEV.S(AI390:OFFSET(AI390,$B$8-1,0))</f>
        <v>#DIV/0!</v>
      </c>
    </row>
    <row r="391" spans="5:39" x14ac:dyDescent="0.2">
      <c r="E391" s="42">
        <v>45079</v>
      </c>
      <c r="F391" s="43"/>
      <c r="G391" s="43"/>
      <c r="H391" s="43"/>
      <c r="I391" s="43"/>
      <c r="K391" s="3" t="e">
        <f t="shared" si="39"/>
        <v>#DIV/0!</v>
      </c>
      <c r="L391" s="3" t="e">
        <f ca="1">SQRT(AVERAGE(K391:OFFSET(K391,$B$5-1,0))*$B$9/(4*LN(2)))</f>
        <v>#DIV/0!</v>
      </c>
      <c r="M391" s="3" t="e">
        <f ca="1">SQRT(AVERAGE(K391:OFFSET(K391,$B$6-1,0))*$B$9/(4*LN(2)))</f>
        <v>#DIV/0!</v>
      </c>
      <c r="N391" s="3" t="e">
        <f ca="1">SQRT(AVERAGE(K391:OFFSET(K391,$B$7-1,0))*$B$9/(4*LN(2)))</f>
        <v>#DIV/0!</v>
      </c>
      <c r="O391" s="3" t="e">
        <f ca="1">SQRT(AVERAGE(K391:OFFSET(K391,$B$8-1,0))*$B$9/(4*LN(2)))</f>
        <v>#DIV/0!</v>
      </c>
      <c r="Q391" s="5" t="e">
        <f t="shared" si="38"/>
        <v>#DIV/0!</v>
      </c>
      <c r="R391" s="5" t="e">
        <f ca="1">SQRT($B$9*AVERAGE((Q391:OFFSET(Q391,$B$5-1,0))))</f>
        <v>#DIV/0!</v>
      </c>
      <c r="S391" s="5" t="e">
        <f ca="1">SQRT($B$9*AVERAGE((Q391:OFFSET(Q391,$B$6-1,0))))</f>
        <v>#DIV/0!</v>
      </c>
      <c r="T391" s="5" t="e">
        <f ca="1">SQRT($B$9*AVERAGE((Q391:OFFSET(Q391,$B$7-1,0))))</f>
        <v>#DIV/0!</v>
      </c>
      <c r="U391" s="5" t="e">
        <f ca="1">SQRT($B$9*AVERAGE((Q391:OFFSET(Q391,$B$8-1,0))))</f>
        <v>#DIV/0!</v>
      </c>
      <c r="W391" s="6" t="e">
        <f t="shared" si="37"/>
        <v>#DIV/0!</v>
      </c>
      <c r="X391" s="6" t="e">
        <f ca="1">SQRT($B$9*AVERAGE(W391:OFFSET(W391,$B$5-1,0)))</f>
        <v>#DIV/0!</v>
      </c>
      <c r="Y391" s="6" t="e">
        <f ca="1">SQRT($B$9*AVERAGE(W391:OFFSET(W391,$B$6-1,0)))</f>
        <v>#DIV/0!</v>
      </c>
      <c r="Z391" s="6" t="e">
        <f ca="1">SQRT($B$9*AVERAGE(W391:OFFSET(W391,$B$7-1,0)))</f>
        <v>#DIV/0!</v>
      </c>
      <c r="AA391" s="6" t="e">
        <f ca="1">SQRT($B$9*AVERAGE(W391:OFFSET(W391,$B$8-1,0)))</f>
        <v>#DIV/0!</v>
      </c>
      <c r="AC391" s="34" t="e">
        <f t="shared" si="35"/>
        <v>#DIV/0!</v>
      </c>
      <c r="AD391" s="34" t="e">
        <f ca="1">SQRT($B$9*SUM(AC391:OFFSET(AC391,$B$5-1,0))/($B$5-1))</f>
        <v>#DIV/0!</v>
      </c>
      <c r="AE391" s="34" t="e">
        <f ca="1">SQRT($B$9*SUM(AC391:OFFSET(AC391,$B$6-1,0))/($B$6-1))</f>
        <v>#DIV/0!</v>
      </c>
      <c r="AF391" s="34" t="e">
        <f ca="1">SQRT($B$9*SUM(AC391:OFFSET(AC391,$B$7-1,0))/($B$7-1))</f>
        <v>#DIV/0!</v>
      </c>
      <c r="AG391" s="34" t="e">
        <f ca="1">SQRT($B$9*SUM(AC391:OFFSET(AC391,$B$8-1,0))/($B$8-1))</f>
        <v>#DIV/0!</v>
      </c>
      <c r="AI391" s="1" t="e">
        <f t="shared" si="36"/>
        <v>#DIV/0!</v>
      </c>
      <c r="AJ391" s="4" t="e">
        <f ca="1">SQRT($B$9)*_xlfn.STDEV.S(AI391:OFFSET(AI391,$B$5-1,0))</f>
        <v>#DIV/0!</v>
      </c>
      <c r="AK391" s="4" t="e">
        <f ca="1">SQRT($B$9)*_xlfn.STDEV.S(AI391:OFFSET(AI391,$B$6-1,0))</f>
        <v>#DIV/0!</v>
      </c>
      <c r="AL391" s="4" t="e">
        <f ca="1">SQRT($B$9)*_xlfn.STDEV.S(AI391:OFFSET(AI391,$B$7-1,0))</f>
        <v>#DIV/0!</v>
      </c>
      <c r="AM391" s="4" t="e">
        <f ca="1">SQRT($B$9)*_xlfn.STDEV.S(AI391:OFFSET(AI391,$B$8-1,0))</f>
        <v>#DIV/0!</v>
      </c>
    </row>
    <row r="392" spans="5:39" x14ac:dyDescent="0.2">
      <c r="E392" s="42">
        <v>45078</v>
      </c>
      <c r="F392" s="43"/>
      <c r="G392" s="43"/>
      <c r="H392" s="43"/>
      <c r="I392" s="43"/>
      <c r="K392" s="3" t="e">
        <f t="shared" si="39"/>
        <v>#DIV/0!</v>
      </c>
      <c r="L392" s="3" t="e">
        <f ca="1">SQRT(AVERAGE(K392:OFFSET(K392,$B$5-1,0))*$B$9/(4*LN(2)))</f>
        <v>#DIV/0!</v>
      </c>
      <c r="M392" s="3" t="e">
        <f ca="1">SQRT(AVERAGE(K392:OFFSET(K392,$B$6-1,0))*$B$9/(4*LN(2)))</f>
        <v>#DIV/0!</v>
      </c>
      <c r="N392" s="3" t="e">
        <f ca="1">SQRT(AVERAGE(K392:OFFSET(K392,$B$7-1,0))*$B$9/(4*LN(2)))</f>
        <v>#DIV/0!</v>
      </c>
      <c r="O392" s="3" t="e">
        <f ca="1">SQRT(AVERAGE(K392:OFFSET(K392,$B$8-1,0))*$B$9/(4*LN(2)))</f>
        <v>#DIV/0!</v>
      </c>
      <c r="Q392" s="5" t="e">
        <f t="shared" si="38"/>
        <v>#DIV/0!</v>
      </c>
      <c r="R392" s="5" t="e">
        <f ca="1">SQRT($B$9*AVERAGE((Q392:OFFSET(Q392,$B$5-1,0))))</f>
        <v>#DIV/0!</v>
      </c>
      <c r="S392" s="5" t="e">
        <f ca="1">SQRT($B$9*AVERAGE((Q392:OFFSET(Q392,$B$6-1,0))))</f>
        <v>#DIV/0!</v>
      </c>
      <c r="T392" s="5" t="e">
        <f ca="1">SQRT($B$9*AVERAGE((Q392:OFFSET(Q392,$B$7-1,0))))</f>
        <v>#DIV/0!</v>
      </c>
      <c r="U392" s="5" t="e">
        <f ca="1">SQRT($B$9*AVERAGE((Q392:OFFSET(Q392,$B$8-1,0))))</f>
        <v>#DIV/0!</v>
      </c>
      <c r="W392" s="6" t="e">
        <f t="shared" si="37"/>
        <v>#DIV/0!</v>
      </c>
      <c r="X392" s="6" t="e">
        <f ca="1">SQRT($B$9*AVERAGE(W392:OFFSET(W392,$B$5-1,0)))</f>
        <v>#DIV/0!</v>
      </c>
      <c r="Y392" s="6" t="e">
        <f ca="1">SQRT($B$9*AVERAGE(W392:OFFSET(W392,$B$6-1,0)))</f>
        <v>#DIV/0!</v>
      </c>
      <c r="Z392" s="6" t="e">
        <f ca="1">SQRT($B$9*AVERAGE(W392:OFFSET(W392,$B$7-1,0)))</f>
        <v>#DIV/0!</v>
      </c>
      <c r="AA392" s="6" t="e">
        <f ca="1">SQRT($B$9*AVERAGE(W392:OFFSET(W392,$B$8-1,0)))</f>
        <v>#DIV/0!</v>
      </c>
      <c r="AC392" s="34" t="e">
        <f t="shared" si="35"/>
        <v>#DIV/0!</v>
      </c>
      <c r="AD392" s="34" t="e">
        <f ca="1">SQRT($B$9*SUM(AC392:OFFSET(AC392,$B$5-1,0))/($B$5-1))</f>
        <v>#DIV/0!</v>
      </c>
      <c r="AE392" s="34" t="e">
        <f ca="1">SQRT($B$9*SUM(AC392:OFFSET(AC392,$B$6-1,0))/($B$6-1))</f>
        <v>#DIV/0!</v>
      </c>
      <c r="AF392" s="34" t="e">
        <f ca="1">SQRT($B$9*SUM(AC392:OFFSET(AC392,$B$7-1,0))/($B$7-1))</f>
        <v>#DIV/0!</v>
      </c>
      <c r="AG392" s="34" t="e">
        <f ca="1">SQRT($B$9*SUM(AC392:OFFSET(AC392,$B$8-1,0))/($B$8-1))</f>
        <v>#DIV/0!</v>
      </c>
      <c r="AI392" s="1" t="e">
        <f t="shared" si="36"/>
        <v>#DIV/0!</v>
      </c>
      <c r="AJ392" s="4" t="e">
        <f ca="1">SQRT($B$9)*_xlfn.STDEV.S(AI392:OFFSET(AI392,$B$5-1,0))</f>
        <v>#DIV/0!</v>
      </c>
      <c r="AK392" s="4" t="e">
        <f ca="1">SQRT($B$9)*_xlfn.STDEV.S(AI392:OFFSET(AI392,$B$6-1,0))</f>
        <v>#DIV/0!</v>
      </c>
      <c r="AL392" s="4" t="e">
        <f ca="1">SQRT($B$9)*_xlfn.STDEV.S(AI392:OFFSET(AI392,$B$7-1,0))</f>
        <v>#DIV/0!</v>
      </c>
      <c r="AM392" s="4" t="e">
        <f ca="1">SQRT($B$9)*_xlfn.STDEV.S(AI392:OFFSET(AI392,$B$8-1,0))</f>
        <v>#DIV/0!</v>
      </c>
    </row>
    <row r="393" spans="5:39" x14ac:dyDescent="0.2">
      <c r="E393" s="42">
        <v>45077</v>
      </c>
      <c r="F393" s="43"/>
      <c r="G393" s="43"/>
      <c r="H393" s="43"/>
      <c r="I393" s="43"/>
      <c r="K393" s="3" t="e">
        <f t="shared" si="39"/>
        <v>#DIV/0!</v>
      </c>
      <c r="L393" s="3" t="e">
        <f ca="1">SQRT(AVERAGE(K393:OFFSET(K393,$B$5-1,0))*$B$9/(4*LN(2)))</f>
        <v>#DIV/0!</v>
      </c>
      <c r="M393" s="3" t="e">
        <f ca="1">SQRT(AVERAGE(K393:OFFSET(K393,$B$6-1,0))*$B$9/(4*LN(2)))</f>
        <v>#DIV/0!</v>
      </c>
      <c r="N393" s="3" t="e">
        <f ca="1">SQRT(AVERAGE(K393:OFFSET(K393,$B$7-1,0))*$B$9/(4*LN(2)))</f>
        <v>#DIV/0!</v>
      </c>
      <c r="O393" s="3" t="e">
        <f ca="1">SQRT(AVERAGE(K393:OFFSET(K393,$B$8-1,0))*$B$9/(4*LN(2)))</f>
        <v>#DIV/0!</v>
      </c>
      <c r="Q393" s="5" t="e">
        <f t="shared" si="38"/>
        <v>#DIV/0!</v>
      </c>
      <c r="R393" s="5" t="e">
        <f ca="1">SQRT($B$9*AVERAGE((Q393:OFFSET(Q393,$B$5-1,0))))</f>
        <v>#DIV/0!</v>
      </c>
      <c r="S393" s="5" t="e">
        <f ca="1">SQRT($B$9*AVERAGE((Q393:OFFSET(Q393,$B$6-1,0))))</f>
        <v>#DIV/0!</v>
      </c>
      <c r="T393" s="5" t="e">
        <f ca="1">SQRT($B$9*AVERAGE((Q393:OFFSET(Q393,$B$7-1,0))))</f>
        <v>#DIV/0!</v>
      </c>
      <c r="U393" s="5" t="e">
        <f ca="1">SQRT($B$9*AVERAGE((Q393:OFFSET(Q393,$B$8-1,0))))</f>
        <v>#DIV/0!</v>
      </c>
      <c r="W393" s="6" t="e">
        <f t="shared" si="37"/>
        <v>#DIV/0!</v>
      </c>
      <c r="X393" s="6" t="e">
        <f ca="1">SQRT($B$9*AVERAGE(W393:OFFSET(W393,$B$5-1,0)))</f>
        <v>#DIV/0!</v>
      </c>
      <c r="Y393" s="6" t="e">
        <f ca="1">SQRT($B$9*AVERAGE(W393:OFFSET(W393,$B$6-1,0)))</f>
        <v>#DIV/0!</v>
      </c>
      <c r="Z393" s="6" t="e">
        <f ca="1">SQRT($B$9*AVERAGE(W393:OFFSET(W393,$B$7-1,0)))</f>
        <v>#DIV/0!</v>
      </c>
      <c r="AA393" s="6" t="e">
        <f ca="1">SQRT($B$9*AVERAGE(W393:OFFSET(W393,$B$8-1,0)))</f>
        <v>#DIV/0!</v>
      </c>
      <c r="AC393" s="34" t="e">
        <f t="shared" si="35"/>
        <v>#DIV/0!</v>
      </c>
      <c r="AD393" s="34" t="e">
        <f ca="1">SQRT($B$9*SUM(AC393:OFFSET(AC393,$B$5-1,0))/($B$5-1))</f>
        <v>#DIV/0!</v>
      </c>
      <c r="AE393" s="34" t="e">
        <f ca="1">SQRT($B$9*SUM(AC393:OFFSET(AC393,$B$6-1,0))/($B$6-1))</f>
        <v>#DIV/0!</v>
      </c>
      <c r="AF393" s="34" t="e">
        <f ca="1">SQRT($B$9*SUM(AC393:OFFSET(AC393,$B$7-1,0))/($B$7-1))</f>
        <v>#DIV/0!</v>
      </c>
      <c r="AG393" s="34" t="e">
        <f ca="1">SQRT($B$9*SUM(AC393:OFFSET(AC393,$B$8-1,0))/($B$8-1))</f>
        <v>#DIV/0!</v>
      </c>
      <c r="AI393" s="1" t="e">
        <f t="shared" si="36"/>
        <v>#DIV/0!</v>
      </c>
      <c r="AJ393" s="4" t="e">
        <f ca="1">SQRT($B$9)*_xlfn.STDEV.S(AI393:OFFSET(AI393,$B$5-1,0))</f>
        <v>#DIV/0!</v>
      </c>
      <c r="AK393" s="4" t="e">
        <f ca="1">SQRT($B$9)*_xlfn.STDEV.S(AI393:OFFSET(AI393,$B$6-1,0))</f>
        <v>#DIV/0!</v>
      </c>
      <c r="AL393" s="4" t="e">
        <f ca="1">SQRT($B$9)*_xlfn.STDEV.S(AI393:OFFSET(AI393,$B$7-1,0))</f>
        <v>#DIV/0!</v>
      </c>
      <c r="AM393" s="4" t="e">
        <f ca="1">SQRT($B$9)*_xlfn.STDEV.S(AI393:OFFSET(AI393,$B$8-1,0))</f>
        <v>#DIV/0!</v>
      </c>
    </row>
    <row r="394" spans="5:39" x14ac:dyDescent="0.2">
      <c r="E394" s="42">
        <v>45076</v>
      </c>
      <c r="F394" s="43"/>
      <c r="G394" s="43"/>
      <c r="H394" s="43"/>
      <c r="I394" s="43"/>
      <c r="K394" s="3" t="e">
        <f t="shared" si="39"/>
        <v>#DIV/0!</v>
      </c>
      <c r="L394" s="3" t="e">
        <f ca="1">SQRT(AVERAGE(K394:OFFSET(K394,$B$5-1,0))*$B$9/(4*LN(2)))</f>
        <v>#DIV/0!</v>
      </c>
      <c r="M394" s="3" t="e">
        <f ca="1">SQRT(AVERAGE(K394:OFFSET(K394,$B$6-1,0))*$B$9/(4*LN(2)))</f>
        <v>#DIV/0!</v>
      </c>
      <c r="N394" s="3" t="e">
        <f ca="1">SQRT(AVERAGE(K394:OFFSET(K394,$B$7-1,0))*$B$9/(4*LN(2)))</f>
        <v>#DIV/0!</v>
      </c>
      <c r="O394" s="3" t="e">
        <f ca="1">SQRT(AVERAGE(K394:OFFSET(K394,$B$8-1,0))*$B$9/(4*LN(2)))</f>
        <v>#DIV/0!</v>
      </c>
      <c r="Q394" s="5" t="e">
        <f t="shared" si="38"/>
        <v>#DIV/0!</v>
      </c>
      <c r="R394" s="5" t="e">
        <f ca="1">SQRT($B$9*AVERAGE((Q394:OFFSET(Q394,$B$5-1,0))))</f>
        <v>#DIV/0!</v>
      </c>
      <c r="S394" s="5" t="e">
        <f ca="1">SQRT($B$9*AVERAGE((Q394:OFFSET(Q394,$B$6-1,0))))</f>
        <v>#DIV/0!</v>
      </c>
      <c r="T394" s="5" t="e">
        <f ca="1">SQRT($B$9*AVERAGE((Q394:OFFSET(Q394,$B$7-1,0))))</f>
        <v>#DIV/0!</v>
      </c>
      <c r="U394" s="5" t="e">
        <f ca="1">SQRT($B$9*AVERAGE((Q394:OFFSET(Q394,$B$8-1,0))))</f>
        <v>#DIV/0!</v>
      </c>
      <c r="W394" s="6" t="e">
        <f t="shared" si="37"/>
        <v>#DIV/0!</v>
      </c>
      <c r="X394" s="6" t="e">
        <f ca="1">SQRT($B$9*AVERAGE(W394:OFFSET(W394,$B$5-1,0)))</f>
        <v>#DIV/0!</v>
      </c>
      <c r="Y394" s="6" t="e">
        <f ca="1">SQRT($B$9*AVERAGE(W394:OFFSET(W394,$B$6-1,0)))</f>
        <v>#DIV/0!</v>
      </c>
      <c r="Z394" s="6" t="e">
        <f ca="1">SQRT($B$9*AVERAGE(W394:OFFSET(W394,$B$7-1,0)))</f>
        <v>#DIV/0!</v>
      </c>
      <c r="AA394" s="6" t="e">
        <f ca="1">SQRT($B$9*AVERAGE(W394:OFFSET(W394,$B$8-1,0)))</f>
        <v>#DIV/0!</v>
      </c>
      <c r="AC394" s="34" t="e">
        <f t="shared" si="35"/>
        <v>#DIV/0!</v>
      </c>
      <c r="AD394" s="34" t="e">
        <f ca="1">SQRT($B$9*SUM(AC394:OFFSET(AC394,$B$5-1,0))/($B$5-1))</f>
        <v>#DIV/0!</v>
      </c>
      <c r="AE394" s="34" t="e">
        <f ca="1">SQRT($B$9*SUM(AC394:OFFSET(AC394,$B$6-1,0))/($B$6-1))</f>
        <v>#DIV/0!</v>
      </c>
      <c r="AF394" s="34" t="e">
        <f ca="1">SQRT($B$9*SUM(AC394:OFFSET(AC394,$B$7-1,0))/($B$7-1))</f>
        <v>#DIV/0!</v>
      </c>
      <c r="AG394" s="34" t="e">
        <f ca="1">SQRT($B$9*SUM(AC394:OFFSET(AC394,$B$8-1,0))/($B$8-1))</f>
        <v>#DIV/0!</v>
      </c>
      <c r="AI394" s="1" t="e">
        <f t="shared" si="36"/>
        <v>#DIV/0!</v>
      </c>
      <c r="AJ394" s="4" t="e">
        <f ca="1">SQRT($B$9)*_xlfn.STDEV.S(AI394:OFFSET(AI394,$B$5-1,0))</f>
        <v>#DIV/0!</v>
      </c>
      <c r="AK394" s="4" t="e">
        <f ca="1">SQRT($B$9)*_xlfn.STDEV.S(AI394:OFFSET(AI394,$B$6-1,0))</f>
        <v>#DIV/0!</v>
      </c>
      <c r="AL394" s="4" t="e">
        <f ca="1">SQRT($B$9)*_xlfn.STDEV.S(AI394:OFFSET(AI394,$B$7-1,0))</f>
        <v>#DIV/0!</v>
      </c>
      <c r="AM394" s="4" t="e">
        <f ca="1">SQRT($B$9)*_xlfn.STDEV.S(AI394:OFFSET(AI394,$B$8-1,0))</f>
        <v>#DIV/0!</v>
      </c>
    </row>
    <row r="395" spans="5:39" x14ac:dyDescent="0.2">
      <c r="E395" s="42">
        <v>45075</v>
      </c>
      <c r="F395" s="43"/>
      <c r="G395" s="43"/>
      <c r="H395" s="43"/>
      <c r="I395" s="43"/>
      <c r="K395" s="3" t="e">
        <f t="shared" si="39"/>
        <v>#DIV/0!</v>
      </c>
      <c r="L395" s="3" t="e">
        <f ca="1">SQRT(AVERAGE(K395:OFFSET(K395,$B$5-1,0))*$B$9/(4*LN(2)))</f>
        <v>#DIV/0!</v>
      </c>
      <c r="M395" s="3" t="e">
        <f ca="1">SQRT(AVERAGE(K395:OFFSET(K395,$B$6-1,0))*$B$9/(4*LN(2)))</f>
        <v>#DIV/0!</v>
      </c>
      <c r="N395" s="3" t="e">
        <f ca="1">SQRT(AVERAGE(K395:OFFSET(K395,$B$7-1,0))*$B$9/(4*LN(2)))</f>
        <v>#DIV/0!</v>
      </c>
      <c r="O395" s="3" t="e">
        <f ca="1">SQRT(AVERAGE(K395:OFFSET(K395,$B$8-1,0))*$B$9/(4*LN(2)))</f>
        <v>#DIV/0!</v>
      </c>
      <c r="Q395" s="5" t="e">
        <f t="shared" si="38"/>
        <v>#DIV/0!</v>
      </c>
      <c r="R395" s="5" t="e">
        <f ca="1">SQRT($B$9*AVERAGE((Q395:OFFSET(Q395,$B$5-1,0))))</f>
        <v>#DIV/0!</v>
      </c>
      <c r="S395" s="5" t="e">
        <f ca="1">SQRT($B$9*AVERAGE((Q395:OFFSET(Q395,$B$6-1,0))))</f>
        <v>#DIV/0!</v>
      </c>
      <c r="T395" s="5" t="e">
        <f ca="1">SQRT($B$9*AVERAGE((Q395:OFFSET(Q395,$B$7-1,0))))</f>
        <v>#DIV/0!</v>
      </c>
      <c r="U395" s="5" t="e">
        <f ca="1">SQRT($B$9*AVERAGE((Q395:OFFSET(Q395,$B$8-1,0))))</f>
        <v>#DIV/0!</v>
      </c>
      <c r="W395" s="6" t="e">
        <f t="shared" si="37"/>
        <v>#DIV/0!</v>
      </c>
      <c r="X395" s="6" t="e">
        <f ca="1">SQRT($B$9*AVERAGE(W395:OFFSET(W395,$B$5-1,0)))</f>
        <v>#DIV/0!</v>
      </c>
      <c r="Y395" s="6" t="e">
        <f ca="1">SQRT($B$9*AVERAGE(W395:OFFSET(W395,$B$6-1,0)))</f>
        <v>#DIV/0!</v>
      </c>
      <c r="Z395" s="6" t="e">
        <f ca="1">SQRT($B$9*AVERAGE(W395:OFFSET(W395,$B$7-1,0)))</f>
        <v>#DIV/0!</v>
      </c>
      <c r="AA395" s="6" t="e">
        <f ca="1">SQRT($B$9*AVERAGE(W395:OFFSET(W395,$B$8-1,0)))</f>
        <v>#DIV/0!</v>
      </c>
      <c r="AC395" s="34" t="e">
        <f t="shared" si="35"/>
        <v>#DIV/0!</v>
      </c>
      <c r="AD395" s="34" t="e">
        <f ca="1">SQRT($B$9*SUM(AC395:OFFSET(AC395,$B$5-1,0))/($B$5-1))</f>
        <v>#DIV/0!</v>
      </c>
      <c r="AE395" s="34" t="e">
        <f ca="1">SQRT($B$9*SUM(AC395:OFFSET(AC395,$B$6-1,0))/($B$6-1))</f>
        <v>#DIV/0!</v>
      </c>
      <c r="AF395" s="34" t="e">
        <f ca="1">SQRT($B$9*SUM(AC395:OFFSET(AC395,$B$7-1,0))/($B$7-1))</f>
        <v>#DIV/0!</v>
      </c>
      <c r="AG395" s="34" t="e">
        <f ca="1">SQRT($B$9*SUM(AC395:OFFSET(AC395,$B$8-1,0))/($B$8-1))</f>
        <v>#DIV/0!</v>
      </c>
      <c r="AI395" s="1" t="e">
        <f t="shared" si="36"/>
        <v>#DIV/0!</v>
      </c>
      <c r="AJ395" s="4" t="e">
        <f ca="1">SQRT($B$9)*_xlfn.STDEV.S(AI395:OFFSET(AI395,$B$5-1,0))</f>
        <v>#DIV/0!</v>
      </c>
      <c r="AK395" s="4" t="e">
        <f ca="1">SQRT($B$9)*_xlfn.STDEV.S(AI395:OFFSET(AI395,$B$6-1,0))</f>
        <v>#DIV/0!</v>
      </c>
      <c r="AL395" s="4" t="e">
        <f ca="1">SQRT($B$9)*_xlfn.STDEV.S(AI395:OFFSET(AI395,$B$7-1,0))</f>
        <v>#DIV/0!</v>
      </c>
      <c r="AM395" s="4" t="e">
        <f ca="1">SQRT($B$9)*_xlfn.STDEV.S(AI395:OFFSET(AI395,$B$8-1,0))</f>
        <v>#DIV/0!</v>
      </c>
    </row>
    <row r="396" spans="5:39" x14ac:dyDescent="0.2">
      <c r="E396" s="42">
        <v>45072</v>
      </c>
      <c r="F396" s="43"/>
      <c r="G396" s="43"/>
      <c r="H396" s="43"/>
      <c r="I396" s="43"/>
      <c r="K396" s="3" t="e">
        <f t="shared" si="39"/>
        <v>#DIV/0!</v>
      </c>
      <c r="L396" s="3" t="e">
        <f ca="1">SQRT(AVERAGE(K396:OFFSET(K396,$B$5-1,0))*$B$9/(4*LN(2)))</f>
        <v>#DIV/0!</v>
      </c>
      <c r="M396" s="3" t="e">
        <f ca="1">SQRT(AVERAGE(K396:OFFSET(K396,$B$6-1,0))*$B$9/(4*LN(2)))</f>
        <v>#DIV/0!</v>
      </c>
      <c r="N396" s="3" t="e">
        <f ca="1">SQRT(AVERAGE(K396:OFFSET(K396,$B$7-1,0))*$B$9/(4*LN(2)))</f>
        <v>#DIV/0!</v>
      </c>
      <c r="O396" s="3" t="e">
        <f ca="1">SQRT(AVERAGE(K396:OFFSET(K396,$B$8-1,0))*$B$9/(4*LN(2)))</f>
        <v>#DIV/0!</v>
      </c>
      <c r="Q396" s="5" t="e">
        <f t="shared" si="38"/>
        <v>#DIV/0!</v>
      </c>
      <c r="R396" s="5" t="e">
        <f ca="1">SQRT($B$9*AVERAGE((Q396:OFFSET(Q396,$B$5-1,0))))</f>
        <v>#DIV/0!</v>
      </c>
      <c r="S396" s="5" t="e">
        <f ca="1">SQRT($B$9*AVERAGE((Q396:OFFSET(Q396,$B$6-1,0))))</f>
        <v>#DIV/0!</v>
      </c>
      <c r="T396" s="5" t="e">
        <f ca="1">SQRT($B$9*AVERAGE((Q396:OFFSET(Q396,$B$7-1,0))))</f>
        <v>#DIV/0!</v>
      </c>
      <c r="U396" s="5" t="e">
        <f ca="1">SQRT($B$9*AVERAGE((Q396:OFFSET(Q396,$B$8-1,0))))</f>
        <v>#DIV/0!</v>
      </c>
      <c r="W396" s="6" t="e">
        <f t="shared" si="37"/>
        <v>#DIV/0!</v>
      </c>
      <c r="X396" s="6" t="e">
        <f ca="1">SQRT($B$9*AVERAGE(W396:OFFSET(W396,$B$5-1,0)))</f>
        <v>#DIV/0!</v>
      </c>
      <c r="Y396" s="6" t="e">
        <f ca="1">SQRT($B$9*AVERAGE(W396:OFFSET(W396,$B$6-1,0)))</f>
        <v>#DIV/0!</v>
      </c>
      <c r="Z396" s="6" t="e">
        <f ca="1">SQRT($B$9*AVERAGE(W396:OFFSET(W396,$B$7-1,0)))</f>
        <v>#DIV/0!</v>
      </c>
      <c r="AA396" s="6" t="e">
        <f ca="1">SQRT($B$9*AVERAGE(W396:OFFSET(W396,$B$8-1,0)))</f>
        <v>#DIV/0!</v>
      </c>
      <c r="AC396" s="34" t="e">
        <f t="shared" si="35"/>
        <v>#DIV/0!</v>
      </c>
      <c r="AD396" s="34" t="e">
        <f ca="1">SQRT($B$9*SUM(AC396:OFFSET(AC396,$B$5-1,0))/($B$5-1))</f>
        <v>#DIV/0!</v>
      </c>
      <c r="AE396" s="34" t="e">
        <f ca="1">SQRT($B$9*SUM(AC396:OFFSET(AC396,$B$6-1,0))/($B$6-1))</f>
        <v>#DIV/0!</v>
      </c>
      <c r="AF396" s="34" t="e">
        <f ca="1">SQRT($B$9*SUM(AC396:OFFSET(AC396,$B$7-1,0))/($B$7-1))</f>
        <v>#DIV/0!</v>
      </c>
      <c r="AG396" s="34" t="e">
        <f ca="1">SQRT($B$9*SUM(AC396:OFFSET(AC396,$B$8-1,0))/($B$8-1))</f>
        <v>#DIV/0!</v>
      </c>
      <c r="AI396" s="1" t="e">
        <f t="shared" si="36"/>
        <v>#DIV/0!</v>
      </c>
      <c r="AJ396" s="4" t="e">
        <f ca="1">SQRT($B$9)*_xlfn.STDEV.S(AI396:OFFSET(AI396,$B$5-1,0))</f>
        <v>#DIV/0!</v>
      </c>
      <c r="AK396" s="4" t="e">
        <f ca="1">SQRT($B$9)*_xlfn.STDEV.S(AI396:OFFSET(AI396,$B$6-1,0))</f>
        <v>#DIV/0!</v>
      </c>
      <c r="AL396" s="4" t="e">
        <f ca="1">SQRT($B$9)*_xlfn.STDEV.S(AI396:OFFSET(AI396,$B$7-1,0))</f>
        <v>#DIV/0!</v>
      </c>
      <c r="AM396" s="4" t="e">
        <f ca="1">SQRT($B$9)*_xlfn.STDEV.S(AI396:OFFSET(AI396,$B$8-1,0))</f>
        <v>#DIV/0!</v>
      </c>
    </row>
    <row r="397" spans="5:39" x14ac:dyDescent="0.2">
      <c r="E397" s="42">
        <v>45071</v>
      </c>
      <c r="F397" s="43"/>
      <c r="G397" s="43"/>
      <c r="H397" s="43"/>
      <c r="I397" s="43"/>
      <c r="K397" s="3" t="e">
        <f t="shared" si="39"/>
        <v>#DIV/0!</v>
      </c>
      <c r="L397" s="3" t="e">
        <f ca="1">SQRT(AVERAGE(K397:OFFSET(K397,$B$5-1,0))*$B$9/(4*LN(2)))</f>
        <v>#DIV/0!</v>
      </c>
      <c r="M397" s="3" t="e">
        <f ca="1">SQRT(AVERAGE(K397:OFFSET(K397,$B$6-1,0))*$B$9/(4*LN(2)))</f>
        <v>#DIV/0!</v>
      </c>
      <c r="N397" s="3" t="e">
        <f ca="1">SQRT(AVERAGE(K397:OFFSET(K397,$B$7-1,0))*$B$9/(4*LN(2)))</f>
        <v>#DIV/0!</v>
      </c>
      <c r="O397" s="3" t="e">
        <f ca="1">SQRT(AVERAGE(K397:OFFSET(K397,$B$8-1,0))*$B$9/(4*LN(2)))</f>
        <v>#DIV/0!</v>
      </c>
      <c r="Q397" s="5" t="e">
        <f t="shared" si="38"/>
        <v>#DIV/0!</v>
      </c>
      <c r="R397" s="5" t="e">
        <f ca="1">SQRT($B$9*AVERAGE((Q397:OFFSET(Q397,$B$5-1,0))))</f>
        <v>#DIV/0!</v>
      </c>
      <c r="S397" s="5" t="e">
        <f ca="1">SQRT($B$9*AVERAGE((Q397:OFFSET(Q397,$B$6-1,0))))</f>
        <v>#DIV/0!</v>
      </c>
      <c r="T397" s="5" t="e">
        <f ca="1">SQRT($B$9*AVERAGE((Q397:OFFSET(Q397,$B$7-1,0))))</f>
        <v>#DIV/0!</v>
      </c>
      <c r="U397" s="5" t="e">
        <f ca="1">SQRT($B$9*AVERAGE((Q397:OFFSET(Q397,$B$8-1,0))))</f>
        <v>#DIV/0!</v>
      </c>
      <c r="W397" s="6" t="e">
        <f t="shared" si="37"/>
        <v>#DIV/0!</v>
      </c>
      <c r="X397" s="6" t="e">
        <f ca="1">SQRT($B$9*AVERAGE(W397:OFFSET(W397,$B$5-1,0)))</f>
        <v>#DIV/0!</v>
      </c>
      <c r="Y397" s="6" t="e">
        <f ca="1">SQRT($B$9*AVERAGE(W397:OFFSET(W397,$B$6-1,0)))</f>
        <v>#DIV/0!</v>
      </c>
      <c r="Z397" s="6" t="e">
        <f ca="1">SQRT($B$9*AVERAGE(W397:OFFSET(W397,$B$7-1,0)))</f>
        <v>#DIV/0!</v>
      </c>
      <c r="AA397" s="6" t="e">
        <f ca="1">SQRT($B$9*AVERAGE(W397:OFFSET(W397,$B$8-1,0)))</f>
        <v>#DIV/0!</v>
      </c>
      <c r="AC397" s="34" t="e">
        <f t="shared" si="35"/>
        <v>#DIV/0!</v>
      </c>
      <c r="AD397" s="34" t="e">
        <f ca="1">SQRT($B$9*SUM(AC397:OFFSET(AC397,$B$5-1,0))/($B$5-1))</f>
        <v>#DIV/0!</v>
      </c>
      <c r="AE397" s="34" t="e">
        <f ca="1">SQRT($B$9*SUM(AC397:OFFSET(AC397,$B$6-1,0))/($B$6-1))</f>
        <v>#DIV/0!</v>
      </c>
      <c r="AF397" s="34" t="e">
        <f ca="1">SQRT($B$9*SUM(AC397:OFFSET(AC397,$B$7-1,0))/($B$7-1))</f>
        <v>#DIV/0!</v>
      </c>
      <c r="AG397" s="34" t="e">
        <f ca="1">SQRT($B$9*SUM(AC397:OFFSET(AC397,$B$8-1,0))/($B$8-1))</f>
        <v>#DIV/0!</v>
      </c>
      <c r="AI397" s="1" t="e">
        <f t="shared" si="36"/>
        <v>#DIV/0!</v>
      </c>
      <c r="AJ397" s="4" t="e">
        <f ca="1">SQRT($B$9)*_xlfn.STDEV.S(AI397:OFFSET(AI397,$B$5-1,0))</f>
        <v>#DIV/0!</v>
      </c>
      <c r="AK397" s="4" t="e">
        <f ca="1">SQRT($B$9)*_xlfn.STDEV.S(AI397:OFFSET(AI397,$B$6-1,0))</f>
        <v>#DIV/0!</v>
      </c>
      <c r="AL397" s="4" t="e">
        <f ca="1">SQRT($B$9)*_xlfn.STDEV.S(AI397:OFFSET(AI397,$B$7-1,0))</f>
        <v>#DIV/0!</v>
      </c>
      <c r="AM397" s="4" t="e">
        <f ca="1">SQRT($B$9)*_xlfn.STDEV.S(AI397:OFFSET(AI397,$B$8-1,0))</f>
        <v>#DIV/0!</v>
      </c>
    </row>
    <row r="398" spans="5:39" x14ac:dyDescent="0.2">
      <c r="E398" s="42">
        <v>45070</v>
      </c>
      <c r="F398" s="43"/>
      <c r="G398" s="43"/>
      <c r="H398" s="43"/>
      <c r="I398" s="43"/>
      <c r="K398" s="3" t="e">
        <f t="shared" si="39"/>
        <v>#DIV/0!</v>
      </c>
      <c r="L398" s="3" t="e">
        <f ca="1">SQRT(AVERAGE(K398:OFFSET(K398,$B$5-1,0))*$B$9/(4*LN(2)))</f>
        <v>#DIV/0!</v>
      </c>
      <c r="M398" s="3" t="e">
        <f ca="1">SQRT(AVERAGE(K398:OFFSET(K398,$B$6-1,0))*$B$9/(4*LN(2)))</f>
        <v>#DIV/0!</v>
      </c>
      <c r="N398" s="3" t="e">
        <f ca="1">SQRT(AVERAGE(K398:OFFSET(K398,$B$7-1,0))*$B$9/(4*LN(2)))</f>
        <v>#DIV/0!</v>
      </c>
      <c r="O398" s="3" t="e">
        <f ca="1">SQRT(AVERAGE(K398:OFFSET(K398,$B$8-1,0))*$B$9/(4*LN(2)))</f>
        <v>#DIV/0!</v>
      </c>
      <c r="Q398" s="5" t="e">
        <f t="shared" si="38"/>
        <v>#DIV/0!</v>
      </c>
      <c r="R398" s="5" t="e">
        <f ca="1">SQRT($B$9*AVERAGE((Q398:OFFSET(Q398,$B$5-1,0))))</f>
        <v>#DIV/0!</v>
      </c>
      <c r="S398" s="5" t="e">
        <f ca="1">SQRT($B$9*AVERAGE((Q398:OFFSET(Q398,$B$6-1,0))))</f>
        <v>#DIV/0!</v>
      </c>
      <c r="T398" s="5" t="e">
        <f ca="1">SQRT($B$9*AVERAGE((Q398:OFFSET(Q398,$B$7-1,0))))</f>
        <v>#DIV/0!</v>
      </c>
      <c r="U398" s="5" t="e">
        <f ca="1">SQRT($B$9*AVERAGE((Q398:OFFSET(Q398,$B$8-1,0))))</f>
        <v>#DIV/0!</v>
      </c>
      <c r="W398" s="6" t="e">
        <f t="shared" si="37"/>
        <v>#DIV/0!</v>
      </c>
      <c r="X398" s="6" t="e">
        <f ca="1">SQRT($B$9*AVERAGE(W398:OFFSET(W398,$B$5-1,0)))</f>
        <v>#DIV/0!</v>
      </c>
      <c r="Y398" s="6" t="e">
        <f ca="1">SQRT($B$9*AVERAGE(W398:OFFSET(W398,$B$6-1,0)))</f>
        <v>#DIV/0!</v>
      </c>
      <c r="Z398" s="6" t="e">
        <f ca="1">SQRT($B$9*AVERAGE(W398:OFFSET(W398,$B$7-1,0)))</f>
        <v>#DIV/0!</v>
      </c>
      <c r="AA398" s="6" t="e">
        <f ca="1">SQRT($B$9*AVERAGE(W398:OFFSET(W398,$B$8-1,0)))</f>
        <v>#DIV/0!</v>
      </c>
      <c r="AC398" s="34" t="e">
        <f t="shared" si="35"/>
        <v>#DIV/0!</v>
      </c>
      <c r="AD398" s="34" t="e">
        <f ca="1">SQRT($B$9*SUM(AC398:OFFSET(AC398,$B$5-1,0))/($B$5-1))</f>
        <v>#DIV/0!</v>
      </c>
      <c r="AE398" s="34" t="e">
        <f ca="1">SQRT($B$9*SUM(AC398:OFFSET(AC398,$B$6-1,0))/($B$6-1))</f>
        <v>#DIV/0!</v>
      </c>
      <c r="AF398" s="34" t="e">
        <f ca="1">SQRT($B$9*SUM(AC398:OFFSET(AC398,$B$7-1,0))/($B$7-1))</f>
        <v>#DIV/0!</v>
      </c>
      <c r="AG398" s="34" t="e">
        <f ca="1">SQRT($B$9*SUM(AC398:OFFSET(AC398,$B$8-1,0))/($B$8-1))</f>
        <v>#DIV/0!</v>
      </c>
      <c r="AI398" s="1" t="e">
        <f t="shared" si="36"/>
        <v>#DIV/0!</v>
      </c>
      <c r="AJ398" s="4" t="e">
        <f ca="1">SQRT($B$9)*_xlfn.STDEV.S(AI398:OFFSET(AI398,$B$5-1,0))</f>
        <v>#DIV/0!</v>
      </c>
      <c r="AK398" s="4" t="e">
        <f ca="1">SQRT($B$9)*_xlfn.STDEV.S(AI398:OFFSET(AI398,$B$6-1,0))</f>
        <v>#DIV/0!</v>
      </c>
      <c r="AL398" s="4" t="e">
        <f ca="1">SQRT($B$9)*_xlfn.STDEV.S(AI398:OFFSET(AI398,$B$7-1,0))</f>
        <v>#DIV/0!</v>
      </c>
      <c r="AM398" s="4" t="e">
        <f ca="1">SQRT($B$9)*_xlfn.STDEV.S(AI398:OFFSET(AI398,$B$8-1,0))</f>
        <v>#DIV/0!</v>
      </c>
    </row>
    <row r="399" spans="5:39" x14ac:dyDescent="0.2">
      <c r="E399" s="42">
        <v>45069</v>
      </c>
      <c r="F399" s="43"/>
      <c r="G399" s="43"/>
      <c r="H399" s="43"/>
      <c r="I399" s="43"/>
      <c r="K399" s="3" t="e">
        <f t="shared" si="39"/>
        <v>#DIV/0!</v>
      </c>
      <c r="L399" s="3" t="e">
        <f ca="1">SQRT(AVERAGE(K399:OFFSET(K399,$B$5-1,0))*$B$9/(4*LN(2)))</f>
        <v>#DIV/0!</v>
      </c>
      <c r="M399" s="3" t="e">
        <f ca="1">SQRT(AVERAGE(K399:OFFSET(K399,$B$6-1,0))*$B$9/(4*LN(2)))</f>
        <v>#DIV/0!</v>
      </c>
      <c r="N399" s="3" t="e">
        <f ca="1">SQRT(AVERAGE(K399:OFFSET(K399,$B$7-1,0))*$B$9/(4*LN(2)))</f>
        <v>#DIV/0!</v>
      </c>
      <c r="O399" s="3" t="e">
        <f ca="1">SQRT(AVERAGE(K399:OFFSET(K399,$B$8-1,0))*$B$9/(4*LN(2)))</f>
        <v>#DIV/0!</v>
      </c>
      <c r="Q399" s="5" t="e">
        <f t="shared" si="38"/>
        <v>#DIV/0!</v>
      </c>
      <c r="R399" s="5" t="e">
        <f ca="1">SQRT($B$9*AVERAGE((Q399:OFFSET(Q399,$B$5-1,0))))</f>
        <v>#DIV/0!</v>
      </c>
      <c r="S399" s="5" t="e">
        <f ca="1">SQRT($B$9*AVERAGE((Q399:OFFSET(Q399,$B$6-1,0))))</f>
        <v>#DIV/0!</v>
      </c>
      <c r="T399" s="5" t="e">
        <f ca="1">SQRT($B$9*AVERAGE((Q399:OFFSET(Q399,$B$7-1,0))))</f>
        <v>#DIV/0!</v>
      </c>
      <c r="U399" s="5" t="e">
        <f ca="1">SQRT($B$9*AVERAGE((Q399:OFFSET(Q399,$B$8-1,0))))</f>
        <v>#DIV/0!</v>
      </c>
      <c r="W399" s="6" t="e">
        <f t="shared" si="37"/>
        <v>#DIV/0!</v>
      </c>
      <c r="X399" s="6" t="e">
        <f ca="1">SQRT($B$9*AVERAGE(W399:OFFSET(W399,$B$5-1,0)))</f>
        <v>#DIV/0!</v>
      </c>
      <c r="Y399" s="6" t="e">
        <f ca="1">SQRT($B$9*AVERAGE(W399:OFFSET(W399,$B$6-1,0)))</f>
        <v>#DIV/0!</v>
      </c>
      <c r="Z399" s="6" t="e">
        <f ca="1">SQRT($B$9*AVERAGE(W399:OFFSET(W399,$B$7-1,0)))</f>
        <v>#DIV/0!</v>
      </c>
      <c r="AA399" s="6" t="e">
        <f ca="1">SQRT($B$9*AVERAGE(W399:OFFSET(W399,$B$8-1,0)))</f>
        <v>#DIV/0!</v>
      </c>
      <c r="AC399" s="34" t="e">
        <f t="shared" si="35"/>
        <v>#DIV/0!</v>
      </c>
      <c r="AD399" s="34" t="e">
        <f ca="1">SQRT($B$9*SUM(AC399:OFFSET(AC399,$B$5-1,0))/($B$5-1))</f>
        <v>#DIV/0!</v>
      </c>
      <c r="AE399" s="34" t="e">
        <f ca="1">SQRT($B$9*SUM(AC399:OFFSET(AC399,$B$6-1,0))/($B$6-1))</f>
        <v>#DIV/0!</v>
      </c>
      <c r="AF399" s="34" t="e">
        <f ca="1">SQRT($B$9*SUM(AC399:OFFSET(AC399,$B$7-1,0))/($B$7-1))</f>
        <v>#DIV/0!</v>
      </c>
      <c r="AG399" s="34" t="e">
        <f ca="1">SQRT($B$9*SUM(AC399:OFFSET(AC399,$B$8-1,0))/($B$8-1))</f>
        <v>#DIV/0!</v>
      </c>
      <c r="AI399" s="1" t="e">
        <f t="shared" si="36"/>
        <v>#DIV/0!</v>
      </c>
      <c r="AJ399" s="4" t="e">
        <f ca="1">SQRT($B$9)*_xlfn.STDEV.S(AI399:OFFSET(AI399,$B$5-1,0))</f>
        <v>#DIV/0!</v>
      </c>
      <c r="AK399" s="4" t="e">
        <f ca="1">SQRT($B$9)*_xlfn.STDEV.S(AI399:OFFSET(AI399,$B$6-1,0))</f>
        <v>#DIV/0!</v>
      </c>
      <c r="AL399" s="4" t="e">
        <f ca="1">SQRT($B$9)*_xlfn.STDEV.S(AI399:OFFSET(AI399,$B$7-1,0))</f>
        <v>#DIV/0!</v>
      </c>
      <c r="AM399" s="4" t="e">
        <f ca="1">SQRT($B$9)*_xlfn.STDEV.S(AI399:OFFSET(AI399,$B$8-1,0))</f>
        <v>#DIV/0!</v>
      </c>
    </row>
    <row r="400" spans="5:39" x14ac:dyDescent="0.2">
      <c r="E400" s="42">
        <v>45068</v>
      </c>
      <c r="F400" s="43"/>
      <c r="G400" s="43"/>
      <c r="H400" s="43"/>
      <c r="I400" s="43"/>
      <c r="K400" s="3" t="e">
        <f t="shared" si="39"/>
        <v>#DIV/0!</v>
      </c>
      <c r="L400" s="3" t="e">
        <f ca="1">SQRT(AVERAGE(K400:OFFSET(K400,$B$5-1,0))*$B$9/(4*LN(2)))</f>
        <v>#DIV/0!</v>
      </c>
      <c r="M400" s="3" t="e">
        <f ca="1">SQRT(AVERAGE(K400:OFFSET(K400,$B$6-1,0))*$B$9/(4*LN(2)))</f>
        <v>#DIV/0!</v>
      </c>
      <c r="N400" s="3" t="e">
        <f ca="1">SQRT(AVERAGE(K400:OFFSET(K400,$B$7-1,0))*$B$9/(4*LN(2)))</f>
        <v>#DIV/0!</v>
      </c>
      <c r="O400" s="3" t="e">
        <f ca="1">SQRT(AVERAGE(K400:OFFSET(K400,$B$8-1,0))*$B$9/(4*LN(2)))</f>
        <v>#DIV/0!</v>
      </c>
      <c r="Q400" s="5" t="e">
        <f t="shared" si="38"/>
        <v>#DIV/0!</v>
      </c>
      <c r="R400" s="5" t="e">
        <f ca="1">SQRT($B$9*AVERAGE((Q400:OFFSET(Q400,$B$5-1,0))))</f>
        <v>#DIV/0!</v>
      </c>
      <c r="S400" s="5" t="e">
        <f ca="1">SQRT($B$9*AVERAGE((Q400:OFFSET(Q400,$B$6-1,0))))</f>
        <v>#DIV/0!</v>
      </c>
      <c r="T400" s="5" t="e">
        <f ca="1">SQRT($B$9*AVERAGE((Q400:OFFSET(Q400,$B$7-1,0))))</f>
        <v>#DIV/0!</v>
      </c>
      <c r="U400" s="5" t="e">
        <f ca="1">SQRT($B$9*AVERAGE((Q400:OFFSET(Q400,$B$8-1,0))))</f>
        <v>#DIV/0!</v>
      </c>
      <c r="W400" s="6" t="e">
        <f t="shared" si="37"/>
        <v>#DIV/0!</v>
      </c>
      <c r="X400" s="6" t="e">
        <f ca="1">SQRT($B$9*AVERAGE(W400:OFFSET(W400,$B$5-1,0)))</f>
        <v>#DIV/0!</v>
      </c>
      <c r="Y400" s="6" t="e">
        <f ca="1">SQRT($B$9*AVERAGE(W400:OFFSET(W400,$B$6-1,0)))</f>
        <v>#DIV/0!</v>
      </c>
      <c r="Z400" s="6" t="e">
        <f ca="1">SQRT($B$9*AVERAGE(W400:OFFSET(W400,$B$7-1,0)))</f>
        <v>#DIV/0!</v>
      </c>
      <c r="AA400" s="6" t="e">
        <f ca="1">SQRT($B$9*AVERAGE(W400:OFFSET(W400,$B$8-1,0)))</f>
        <v>#DIV/0!</v>
      </c>
      <c r="AC400" s="34" t="e">
        <f t="shared" si="35"/>
        <v>#DIV/0!</v>
      </c>
      <c r="AD400" s="34" t="e">
        <f ca="1">SQRT($B$9*SUM(AC400:OFFSET(AC400,$B$5-1,0))/($B$5-1))</f>
        <v>#DIV/0!</v>
      </c>
      <c r="AE400" s="34" t="e">
        <f ca="1">SQRT($B$9*SUM(AC400:OFFSET(AC400,$B$6-1,0))/($B$6-1))</f>
        <v>#DIV/0!</v>
      </c>
      <c r="AF400" s="34" t="e">
        <f ca="1">SQRT($B$9*SUM(AC400:OFFSET(AC400,$B$7-1,0))/($B$7-1))</f>
        <v>#DIV/0!</v>
      </c>
      <c r="AG400" s="34" t="e">
        <f ca="1">SQRT($B$9*SUM(AC400:OFFSET(AC400,$B$8-1,0))/($B$8-1))</f>
        <v>#DIV/0!</v>
      </c>
      <c r="AI400" s="1" t="e">
        <f t="shared" si="36"/>
        <v>#DIV/0!</v>
      </c>
      <c r="AJ400" s="4" t="e">
        <f ca="1">SQRT($B$9)*_xlfn.STDEV.S(AI400:OFFSET(AI400,$B$5-1,0))</f>
        <v>#DIV/0!</v>
      </c>
      <c r="AK400" s="4" t="e">
        <f ca="1">SQRT($B$9)*_xlfn.STDEV.S(AI400:OFFSET(AI400,$B$6-1,0))</f>
        <v>#DIV/0!</v>
      </c>
      <c r="AL400" s="4" t="e">
        <f ca="1">SQRT($B$9)*_xlfn.STDEV.S(AI400:OFFSET(AI400,$B$7-1,0))</f>
        <v>#DIV/0!</v>
      </c>
      <c r="AM400" s="4" t="e">
        <f ca="1">SQRT($B$9)*_xlfn.STDEV.S(AI400:OFFSET(AI400,$B$8-1,0))</f>
        <v>#DIV/0!</v>
      </c>
    </row>
    <row r="401" spans="5:39" x14ac:dyDescent="0.2">
      <c r="E401" s="42">
        <v>45065</v>
      </c>
      <c r="F401" s="43"/>
      <c r="G401" s="43"/>
      <c r="H401" s="43"/>
      <c r="I401" s="43"/>
      <c r="K401" s="3" t="e">
        <f t="shared" si="39"/>
        <v>#DIV/0!</v>
      </c>
      <c r="L401" s="3" t="e">
        <f ca="1">SQRT(AVERAGE(K401:OFFSET(K401,$B$5-1,0))*$B$9/(4*LN(2)))</f>
        <v>#DIV/0!</v>
      </c>
      <c r="M401" s="3" t="e">
        <f ca="1">SQRT(AVERAGE(K401:OFFSET(K401,$B$6-1,0))*$B$9/(4*LN(2)))</f>
        <v>#DIV/0!</v>
      </c>
      <c r="N401" s="3" t="e">
        <f ca="1">SQRT(AVERAGE(K401:OFFSET(K401,$B$7-1,0))*$B$9/(4*LN(2)))</f>
        <v>#DIV/0!</v>
      </c>
      <c r="O401" s="3" t="e">
        <f ca="1">SQRT(AVERAGE(K401:OFFSET(K401,$B$8-1,0))*$B$9/(4*LN(2)))</f>
        <v>#DIV/0!</v>
      </c>
      <c r="Q401" s="5" t="e">
        <f t="shared" si="38"/>
        <v>#DIV/0!</v>
      </c>
      <c r="R401" s="5" t="e">
        <f ca="1">SQRT($B$9*AVERAGE((Q401:OFFSET(Q401,$B$5-1,0))))</f>
        <v>#DIV/0!</v>
      </c>
      <c r="S401" s="5" t="e">
        <f ca="1">SQRT($B$9*AVERAGE((Q401:OFFSET(Q401,$B$6-1,0))))</f>
        <v>#DIV/0!</v>
      </c>
      <c r="T401" s="5" t="e">
        <f ca="1">SQRT($B$9*AVERAGE((Q401:OFFSET(Q401,$B$7-1,0))))</f>
        <v>#DIV/0!</v>
      </c>
      <c r="U401" s="5" t="e">
        <f ca="1">SQRT($B$9*AVERAGE((Q401:OFFSET(Q401,$B$8-1,0))))</f>
        <v>#DIV/0!</v>
      </c>
      <c r="W401" s="6" t="e">
        <f t="shared" si="37"/>
        <v>#DIV/0!</v>
      </c>
      <c r="X401" s="6" t="e">
        <f ca="1">SQRT($B$9*AVERAGE(W401:OFFSET(W401,$B$5-1,0)))</f>
        <v>#DIV/0!</v>
      </c>
      <c r="Y401" s="6" t="e">
        <f ca="1">SQRT($B$9*AVERAGE(W401:OFFSET(W401,$B$6-1,0)))</f>
        <v>#DIV/0!</v>
      </c>
      <c r="Z401" s="6" t="e">
        <f ca="1">SQRT($B$9*AVERAGE(W401:OFFSET(W401,$B$7-1,0)))</f>
        <v>#DIV/0!</v>
      </c>
      <c r="AA401" s="6" t="e">
        <f ca="1">SQRT($B$9*AVERAGE(W401:OFFSET(W401,$B$8-1,0)))</f>
        <v>#DIV/0!</v>
      </c>
      <c r="AC401" s="34" t="e">
        <f t="shared" ref="AC401:AC464" si="40">(LN(I401/I402))^2</f>
        <v>#DIV/0!</v>
      </c>
      <c r="AD401" s="34" t="e">
        <f ca="1">SQRT($B$9*SUM(AC401:OFFSET(AC401,$B$5-1,0))/($B$5-1))</f>
        <v>#DIV/0!</v>
      </c>
      <c r="AE401" s="34" t="e">
        <f ca="1">SQRT($B$9*SUM(AC401:OFFSET(AC401,$B$6-1,0))/($B$6-1))</f>
        <v>#DIV/0!</v>
      </c>
      <c r="AF401" s="34" t="e">
        <f ca="1">SQRT($B$9*SUM(AC401:OFFSET(AC401,$B$7-1,0))/($B$7-1))</f>
        <v>#DIV/0!</v>
      </c>
      <c r="AG401" s="34" t="e">
        <f ca="1">SQRT($B$9*SUM(AC401:OFFSET(AC401,$B$8-1,0))/($B$8-1))</f>
        <v>#DIV/0!</v>
      </c>
      <c r="AI401" s="1" t="e">
        <f t="shared" si="36"/>
        <v>#DIV/0!</v>
      </c>
      <c r="AJ401" s="4" t="e">
        <f ca="1">SQRT($B$9)*_xlfn.STDEV.S(AI401:OFFSET(AI401,$B$5-1,0))</f>
        <v>#DIV/0!</v>
      </c>
      <c r="AK401" s="4" t="e">
        <f ca="1">SQRT($B$9)*_xlfn.STDEV.S(AI401:OFFSET(AI401,$B$6-1,0))</f>
        <v>#DIV/0!</v>
      </c>
      <c r="AL401" s="4" t="e">
        <f ca="1">SQRT($B$9)*_xlfn.STDEV.S(AI401:OFFSET(AI401,$B$7-1,0))</f>
        <v>#DIV/0!</v>
      </c>
      <c r="AM401" s="4" t="e">
        <f ca="1">SQRT($B$9)*_xlfn.STDEV.S(AI401:OFFSET(AI401,$B$8-1,0))</f>
        <v>#DIV/0!</v>
      </c>
    </row>
    <row r="402" spans="5:39" x14ac:dyDescent="0.2">
      <c r="E402" s="42">
        <v>45064</v>
      </c>
      <c r="F402" s="43"/>
      <c r="G402" s="43"/>
      <c r="H402" s="43"/>
      <c r="I402" s="43"/>
      <c r="K402" s="3" t="e">
        <f t="shared" si="39"/>
        <v>#DIV/0!</v>
      </c>
      <c r="L402" s="3" t="e">
        <f ca="1">SQRT(AVERAGE(K402:OFFSET(K402,$B$5-1,0))*$B$9/(4*LN(2)))</f>
        <v>#DIV/0!</v>
      </c>
      <c r="M402" s="3" t="e">
        <f ca="1">SQRT(AVERAGE(K402:OFFSET(K402,$B$6-1,0))*$B$9/(4*LN(2)))</f>
        <v>#DIV/0!</v>
      </c>
      <c r="N402" s="3" t="e">
        <f ca="1">SQRT(AVERAGE(K402:OFFSET(K402,$B$7-1,0))*$B$9/(4*LN(2)))</f>
        <v>#DIV/0!</v>
      </c>
      <c r="O402" s="3" t="e">
        <f ca="1">SQRT(AVERAGE(K402:OFFSET(K402,$B$8-1,0))*$B$9/(4*LN(2)))</f>
        <v>#DIV/0!</v>
      </c>
      <c r="Q402" s="5" t="e">
        <f t="shared" si="38"/>
        <v>#DIV/0!</v>
      </c>
      <c r="R402" s="5" t="e">
        <f ca="1">SQRT($B$9*AVERAGE((Q402:OFFSET(Q402,$B$5-1,0))))</f>
        <v>#DIV/0!</v>
      </c>
      <c r="S402" s="5" t="e">
        <f ca="1">SQRT($B$9*AVERAGE((Q402:OFFSET(Q402,$B$6-1,0))))</f>
        <v>#DIV/0!</v>
      </c>
      <c r="T402" s="5" t="e">
        <f ca="1">SQRT($B$9*AVERAGE((Q402:OFFSET(Q402,$B$7-1,0))))</f>
        <v>#DIV/0!</v>
      </c>
      <c r="U402" s="5" t="e">
        <f ca="1">SQRT($B$9*AVERAGE((Q402:OFFSET(Q402,$B$8-1,0))))</f>
        <v>#DIV/0!</v>
      </c>
      <c r="W402" s="6" t="e">
        <f t="shared" si="37"/>
        <v>#DIV/0!</v>
      </c>
      <c r="X402" s="6" t="e">
        <f ca="1">SQRT($B$9*AVERAGE(W402:OFFSET(W402,$B$5-1,0)))</f>
        <v>#DIV/0!</v>
      </c>
      <c r="Y402" s="6" t="e">
        <f ca="1">SQRT($B$9*AVERAGE(W402:OFFSET(W402,$B$6-1,0)))</f>
        <v>#DIV/0!</v>
      </c>
      <c r="Z402" s="6" t="e">
        <f ca="1">SQRT($B$9*AVERAGE(W402:OFFSET(W402,$B$7-1,0)))</f>
        <v>#DIV/0!</v>
      </c>
      <c r="AA402" s="6" t="e">
        <f ca="1">SQRT($B$9*AVERAGE(W402:OFFSET(W402,$B$8-1,0)))</f>
        <v>#DIV/0!</v>
      </c>
      <c r="AC402" s="34" t="e">
        <f t="shared" si="40"/>
        <v>#DIV/0!</v>
      </c>
      <c r="AD402" s="34" t="e">
        <f ca="1">SQRT($B$9*SUM(AC402:OFFSET(AC402,$B$5-1,0))/($B$5-1))</f>
        <v>#DIV/0!</v>
      </c>
      <c r="AE402" s="34" t="e">
        <f ca="1">SQRT($B$9*SUM(AC402:OFFSET(AC402,$B$6-1,0))/($B$6-1))</f>
        <v>#DIV/0!</v>
      </c>
      <c r="AF402" s="34" t="e">
        <f ca="1">SQRT($B$9*SUM(AC402:OFFSET(AC402,$B$7-1,0))/($B$7-1))</f>
        <v>#DIV/0!</v>
      </c>
      <c r="AG402" s="34" t="e">
        <f ca="1">SQRT($B$9*SUM(AC402:OFFSET(AC402,$B$8-1,0))/($B$8-1))</f>
        <v>#DIV/0!</v>
      </c>
      <c r="AI402" s="1" t="e">
        <f t="shared" si="36"/>
        <v>#DIV/0!</v>
      </c>
      <c r="AJ402" s="4" t="e">
        <f ca="1">SQRT($B$9)*_xlfn.STDEV.S(AI402:OFFSET(AI402,$B$5-1,0))</f>
        <v>#DIV/0!</v>
      </c>
      <c r="AK402" s="4" t="e">
        <f ca="1">SQRT($B$9)*_xlfn.STDEV.S(AI402:OFFSET(AI402,$B$6-1,0))</f>
        <v>#DIV/0!</v>
      </c>
      <c r="AL402" s="4" t="e">
        <f ca="1">SQRT($B$9)*_xlfn.STDEV.S(AI402:OFFSET(AI402,$B$7-1,0))</f>
        <v>#DIV/0!</v>
      </c>
      <c r="AM402" s="4" t="e">
        <f ca="1">SQRT($B$9)*_xlfn.STDEV.S(AI402:OFFSET(AI402,$B$8-1,0))</f>
        <v>#DIV/0!</v>
      </c>
    </row>
    <row r="403" spans="5:39" x14ac:dyDescent="0.2">
      <c r="E403" s="42">
        <v>45063</v>
      </c>
      <c r="F403" s="43"/>
      <c r="G403" s="43"/>
      <c r="H403" s="43"/>
      <c r="I403" s="43"/>
      <c r="K403" s="3" t="e">
        <f t="shared" si="39"/>
        <v>#DIV/0!</v>
      </c>
      <c r="L403" s="3" t="e">
        <f ca="1">SQRT(AVERAGE(K403:OFFSET(K403,$B$5-1,0))*$B$9/(4*LN(2)))</f>
        <v>#DIV/0!</v>
      </c>
      <c r="M403" s="3" t="e">
        <f ca="1">SQRT(AVERAGE(K403:OFFSET(K403,$B$6-1,0))*$B$9/(4*LN(2)))</f>
        <v>#DIV/0!</v>
      </c>
      <c r="N403" s="3" t="e">
        <f ca="1">SQRT(AVERAGE(K403:OFFSET(K403,$B$7-1,0))*$B$9/(4*LN(2)))</f>
        <v>#DIV/0!</v>
      </c>
      <c r="O403" s="3" t="e">
        <f ca="1">SQRT(AVERAGE(K403:OFFSET(K403,$B$8-1,0))*$B$9/(4*LN(2)))</f>
        <v>#DIV/0!</v>
      </c>
      <c r="Q403" s="5" t="e">
        <f t="shared" si="38"/>
        <v>#DIV/0!</v>
      </c>
      <c r="R403" s="5" t="e">
        <f ca="1">SQRT($B$9*AVERAGE((Q403:OFFSET(Q403,$B$5-1,0))))</f>
        <v>#DIV/0!</v>
      </c>
      <c r="S403" s="5" t="e">
        <f ca="1">SQRT($B$9*AVERAGE((Q403:OFFSET(Q403,$B$6-1,0))))</f>
        <v>#DIV/0!</v>
      </c>
      <c r="T403" s="5" t="e">
        <f ca="1">SQRT($B$9*AVERAGE((Q403:OFFSET(Q403,$B$7-1,0))))</f>
        <v>#DIV/0!</v>
      </c>
      <c r="U403" s="5" t="e">
        <f ca="1">SQRT($B$9*AVERAGE((Q403:OFFSET(Q403,$B$8-1,0))))</f>
        <v>#DIV/0!</v>
      </c>
      <c r="W403" s="6" t="e">
        <f t="shared" si="37"/>
        <v>#DIV/0!</v>
      </c>
      <c r="X403" s="6" t="e">
        <f ca="1">SQRT($B$9*AVERAGE(W403:OFFSET(W403,$B$5-1,0)))</f>
        <v>#DIV/0!</v>
      </c>
      <c r="Y403" s="6" t="e">
        <f ca="1">SQRT($B$9*AVERAGE(W403:OFFSET(W403,$B$6-1,0)))</f>
        <v>#DIV/0!</v>
      </c>
      <c r="Z403" s="6" t="e">
        <f ca="1">SQRT($B$9*AVERAGE(W403:OFFSET(W403,$B$7-1,0)))</f>
        <v>#DIV/0!</v>
      </c>
      <c r="AA403" s="6" t="e">
        <f ca="1">SQRT($B$9*AVERAGE(W403:OFFSET(W403,$B$8-1,0)))</f>
        <v>#DIV/0!</v>
      </c>
      <c r="AC403" s="34" t="e">
        <f t="shared" si="40"/>
        <v>#DIV/0!</v>
      </c>
      <c r="AD403" s="34" t="e">
        <f ca="1">SQRT($B$9*SUM(AC403:OFFSET(AC403,$B$5-1,0))/($B$5-1))</f>
        <v>#DIV/0!</v>
      </c>
      <c r="AE403" s="34" t="e">
        <f ca="1">SQRT($B$9*SUM(AC403:OFFSET(AC403,$B$6-1,0))/($B$6-1))</f>
        <v>#DIV/0!</v>
      </c>
      <c r="AF403" s="34" t="e">
        <f ca="1">SQRT($B$9*SUM(AC403:OFFSET(AC403,$B$7-1,0))/($B$7-1))</f>
        <v>#DIV/0!</v>
      </c>
      <c r="AG403" s="34" t="e">
        <f ca="1">SQRT($B$9*SUM(AC403:OFFSET(AC403,$B$8-1,0))/($B$8-1))</f>
        <v>#DIV/0!</v>
      </c>
      <c r="AI403" s="1" t="e">
        <f t="shared" ref="AI403:AI466" si="41">LN(I403/I404)</f>
        <v>#DIV/0!</v>
      </c>
      <c r="AJ403" s="4" t="e">
        <f ca="1">SQRT($B$9)*_xlfn.STDEV.S(AI403:OFFSET(AI403,$B$5-1,0))</f>
        <v>#DIV/0!</v>
      </c>
      <c r="AK403" s="4" t="e">
        <f ca="1">SQRT($B$9)*_xlfn.STDEV.S(AI403:OFFSET(AI403,$B$6-1,0))</f>
        <v>#DIV/0!</v>
      </c>
      <c r="AL403" s="4" t="e">
        <f ca="1">SQRT($B$9)*_xlfn.STDEV.S(AI403:OFFSET(AI403,$B$7-1,0))</f>
        <v>#DIV/0!</v>
      </c>
      <c r="AM403" s="4" t="e">
        <f ca="1">SQRT($B$9)*_xlfn.STDEV.S(AI403:OFFSET(AI403,$B$8-1,0))</f>
        <v>#DIV/0!</v>
      </c>
    </row>
    <row r="404" spans="5:39" x14ac:dyDescent="0.2">
      <c r="E404" s="42">
        <v>45062</v>
      </c>
      <c r="F404" s="43"/>
      <c r="G404" s="43"/>
      <c r="H404" s="43"/>
      <c r="I404" s="43"/>
      <c r="K404" s="3" t="e">
        <f t="shared" si="39"/>
        <v>#DIV/0!</v>
      </c>
      <c r="L404" s="3" t="e">
        <f ca="1">SQRT(AVERAGE(K404:OFFSET(K404,$B$5-1,0))*$B$9/(4*LN(2)))</f>
        <v>#DIV/0!</v>
      </c>
      <c r="M404" s="3" t="e">
        <f ca="1">SQRT(AVERAGE(K404:OFFSET(K404,$B$6-1,0))*$B$9/(4*LN(2)))</f>
        <v>#DIV/0!</v>
      </c>
      <c r="N404" s="3" t="e">
        <f ca="1">SQRT(AVERAGE(K404:OFFSET(K404,$B$7-1,0))*$B$9/(4*LN(2)))</f>
        <v>#DIV/0!</v>
      </c>
      <c r="O404" s="3" t="e">
        <f ca="1">SQRT(AVERAGE(K404:OFFSET(K404,$B$8-1,0))*$B$9/(4*LN(2)))</f>
        <v>#DIV/0!</v>
      </c>
      <c r="Q404" s="5" t="e">
        <f t="shared" si="38"/>
        <v>#DIV/0!</v>
      </c>
      <c r="R404" s="5" t="e">
        <f ca="1">SQRT($B$9*AVERAGE((Q404:OFFSET(Q404,$B$5-1,0))))</f>
        <v>#DIV/0!</v>
      </c>
      <c r="S404" s="5" t="e">
        <f ca="1">SQRT($B$9*AVERAGE((Q404:OFFSET(Q404,$B$6-1,0))))</f>
        <v>#DIV/0!</v>
      </c>
      <c r="T404" s="5" t="e">
        <f ca="1">SQRT($B$9*AVERAGE((Q404:OFFSET(Q404,$B$7-1,0))))</f>
        <v>#DIV/0!</v>
      </c>
      <c r="U404" s="5" t="e">
        <f ca="1">SQRT($B$9*AVERAGE((Q404:OFFSET(Q404,$B$8-1,0))))</f>
        <v>#DIV/0!</v>
      </c>
      <c r="W404" s="6" t="e">
        <f t="shared" si="37"/>
        <v>#DIV/0!</v>
      </c>
      <c r="X404" s="6" t="e">
        <f ca="1">SQRT($B$9*AVERAGE(W404:OFFSET(W404,$B$5-1,0)))</f>
        <v>#DIV/0!</v>
      </c>
      <c r="Y404" s="6" t="e">
        <f ca="1">SQRT($B$9*AVERAGE(W404:OFFSET(W404,$B$6-1,0)))</f>
        <v>#DIV/0!</v>
      </c>
      <c r="Z404" s="6" t="e">
        <f ca="1">SQRT($B$9*AVERAGE(W404:OFFSET(W404,$B$7-1,0)))</f>
        <v>#DIV/0!</v>
      </c>
      <c r="AA404" s="6" t="e">
        <f ca="1">SQRT($B$9*AVERAGE(W404:OFFSET(W404,$B$8-1,0)))</f>
        <v>#DIV/0!</v>
      </c>
      <c r="AC404" s="34" t="e">
        <f t="shared" si="40"/>
        <v>#DIV/0!</v>
      </c>
      <c r="AD404" s="34" t="e">
        <f ca="1">SQRT($B$9*SUM(AC404:OFFSET(AC404,$B$5-1,0))/($B$5-1))</f>
        <v>#DIV/0!</v>
      </c>
      <c r="AE404" s="34" t="e">
        <f ca="1">SQRT($B$9*SUM(AC404:OFFSET(AC404,$B$6-1,0))/($B$6-1))</f>
        <v>#DIV/0!</v>
      </c>
      <c r="AF404" s="34" t="e">
        <f ca="1">SQRT($B$9*SUM(AC404:OFFSET(AC404,$B$7-1,0))/($B$7-1))</f>
        <v>#DIV/0!</v>
      </c>
      <c r="AG404" s="34" t="e">
        <f ca="1">SQRT($B$9*SUM(AC404:OFFSET(AC404,$B$8-1,0))/($B$8-1))</f>
        <v>#DIV/0!</v>
      </c>
      <c r="AI404" s="1" t="e">
        <f t="shared" si="41"/>
        <v>#DIV/0!</v>
      </c>
      <c r="AJ404" s="4" t="e">
        <f ca="1">SQRT($B$9)*_xlfn.STDEV.S(AI404:OFFSET(AI404,$B$5-1,0))</f>
        <v>#DIV/0!</v>
      </c>
      <c r="AK404" s="4" t="e">
        <f ca="1">SQRT($B$9)*_xlfn.STDEV.S(AI404:OFFSET(AI404,$B$6-1,0))</f>
        <v>#DIV/0!</v>
      </c>
      <c r="AL404" s="4" t="e">
        <f ca="1">SQRT($B$9)*_xlfn.STDEV.S(AI404:OFFSET(AI404,$B$7-1,0))</f>
        <v>#DIV/0!</v>
      </c>
      <c r="AM404" s="4" t="e">
        <f ca="1">SQRT($B$9)*_xlfn.STDEV.S(AI404:OFFSET(AI404,$B$8-1,0))</f>
        <v>#DIV/0!</v>
      </c>
    </row>
    <row r="405" spans="5:39" x14ac:dyDescent="0.2">
      <c r="E405" s="42">
        <v>45061</v>
      </c>
      <c r="F405" s="43"/>
      <c r="G405" s="43"/>
      <c r="H405" s="43"/>
      <c r="I405" s="43"/>
      <c r="K405" s="3" t="e">
        <f t="shared" si="39"/>
        <v>#DIV/0!</v>
      </c>
      <c r="L405" s="3" t="e">
        <f ca="1">SQRT(AVERAGE(K405:OFFSET(K405,$B$5-1,0))*$B$9/(4*LN(2)))</f>
        <v>#DIV/0!</v>
      </c>
      <c r="M405" s="3" t="e">
        <f ca="1">SQRT(AVERAGE(K405:OFFSET(K405,$B$6-1,0))*$B$9/(4*LN(2)))</f>
        <v>#DIV/0!</v>
      </c>
      <c r="N405" s="3" t="e">
        <f ca="1">SQRT(AVERAGE(K405:OFFSET(K405,$B$7-1,0))*$B$9/(4*LN(2)))</f>
        <v>#DIV/0!</v>
      </c>
      <c r="O405" s="3" t="e">
        <f ca="1">SQRT(AVERAGE(K405:OFFSET(K405,$B$8-1,0))*$B$9/(4*LN(2)))</f>
        <v>#DIV/0!</v>
      </c>
      <c r="Q405" s="5" t="e">
        <f t="shared" si="38"/>
        <v>#DIV/0!</v>
      </c>
      <c r="R405" s="5" t="e">
        <f ca="1">SQRT($B$9*AVERAGE((Q405:OFFSET(Q405,$B$5-1,0))))</f>
        <v>#DIV/0!</v>
      </c>
      <c r="S405" s="5" t="e">
        <f ca="1">SQRT($B$9*AVERAGE((Q405:OFFSET(Q405,$B$6-1,0))))</f>
        <v>#DIV/0!</v>
      </c>
      <c r="T405" s="5" t="e">
        <f ca="1">SQRT($B$9*AVERAGE((Q405:OFFSET(Q405,$B$7-1,0))))</f>
        <v>#DIV/0!</v>
      </c>
      <c r="U405" s="5" t="e">
        <f ca="1">SQRT($B$9*AVERAGE((Q405:OFFSET(Q405,$B$8-1,0))))</f>
        <v>#DIV/0!</v>
      </c>
      <c r="W405" s="6" t="e">
        <f t="shared" si="37"/>
        <v>#DIV/0!</v>
      </c>
      <c r="X405" s="6" t="e">
        <f ca="1">SQRT($B$9*AVERAGE(W405:OFFSET(W405,$B$5-1,0)))</f>
        <v>#DIV/0!</v>
      </c>
      <c r="Y405" s="6" t="e">
        <f ca="1">SQRT($B$9*AVERAGE(W405:OFFSET(W405,$B$6-1,0)))</f>
        <v>#DIV/0!</v>
      </c>
      <c r="Z405" s="6" t="e">
        <f ca="1">SQRT($B$9*AVERAGE(W405:OFFSET(W405,$B$7-1,0)))</f>
        <v>#DIV/0!</v>
      </c>
      <c r="AA405" s="6" t="e">
        <f ca="1">SQRT($B$9*AVERAGE(W405:OFFSET(W405,$B$8-1,0)))</f>
        <v>#DIV/0!</v>
      </c>
      <c r="AC405" s="34" t="e">
        <f t="shared" si="40"/>
        <v>#DIV/0!</v>
      </c>
      <c r="AD405" s="34" t="e">
        <f ca="1">SQRT($B$9*SUM(AC405:OFFSET(AC405,$B$5-1,0))/($B$5-1))</f>
        <v>#DIV/0!</v>
      </c>
      <c r="AE405" s="34" t="e">
        <f ca="1">SQRT($B$9*SUM(AC405:OFFSET(AC405,$B$6-1,0))/($B$6-1))</f>
        <v>#DIV/0!</v>
      </c>
      <c r="AF405" s="34" t="e">
        <f ca="1">SQRT($B$9*SUM(AC405:OFFSET(AC405,$B$7-1,0))/($B$7-1))</f>
        <v>#DIV/0!</v>
      </c>
      <c r="AG405" s="34" t="e">
        <f ca="1">SQRT($B$9*SUM(AC405:OFFSET(AC405,$B$8-1,0))/($B$8-1))</f>
        <v>#DIV/0!</v>
      </c>
      <c r="AI405" s="1" t="e">
        <f t="shared" si="41"/>
        <v>#DIV/0!</v>
      </c>
      <c r="AJ405" s="4" t="e">
        <f ca="1">SQRT($B$9)*_xlfn.STDEV.S(AI405:OFFSET(AI405,$B$5-1,0))</f>
        <v>#DIV/0!</v>
      </c>
      <c r="AK405" s="4" t="e">
        <f ca="1">SQRT($B$9)*_xlfn.STDEV.S(AI405:OFFSET(AI405,$B$6-1,0))</f>
        <v>#DIV/0!</v>
      </c>
      <c r="AL405" s="4" t="e">
        <f ca="1">SQRT($B$9)*_xlfn.STDEV.S(AI405:OFFSET(AI405,$B$7-1,0))</f>
        <v>#DIV/0!</v>
      </c>
      <c r="AM405" s="4" t="e">
        <f ca="1">SQRT($B$9)*_xlfn.STDEV.S(AI405:OFFSET(AI405,$B$8-1,0))</f>
        <v>#DIV/0!</v>
      </c>
    </row>
    <row r="406" spans="5:39" x14ac:dyDescent="0.2">
      <c r="E406" s="42">
        <v>45058</v>
      </c>
      <c r="F406" s="43"/>
      <c r="G406" s="43"/>
      <c r="H406" s="43"/>
      <c r="I406" s="43"/>
      <c r="K406" s="3" t="e">
        <f t="shared" si="39"/>
        <v>#DIV/0!</v>
      </c>
      <c r="L406" s="3" t="e">
        <f ca="1">SQRT(AVERAGE(K406:OFFSET(K406,$B$5-1,0))*$B$9/(4*LN(2)))</f>
        <v>#DIV/0!</v>
      </c>
      <c r="M406" s="3" t="e">
        <f ca="1">SQRT(AVERAGE(K406:OFFSET(K406,$B$6-1,0))*$B$9/(4*LN(2)))</f>
        <v>#DIV/0!</v>
      </c>
      <c r="N406" s="3" t="e">
        <f ca="1">SQRT(AVERAGE(K406:OFFSET(K406,$B$7-1,0))*$B$9/(4*LN(2)))</f>
        <v>#DIV/0!</v>
      </c>
      <c r="O406" s="3" t="e">
        <f ca="1">SQRT(AVERAGE(K406:OFFSET(K406,$B$8-1,0))*$B$9/(4*LN(2)))</f>
        <v>#DIV/0!</v>
      </c>
      <c r="Q406" s="5" t="e">
        <f t="shared" si="38"/>
        <v>#DIV/0!</v>
      </c>
      <c r="R406" s="5" t="e">
        <f ca="1">SQRT($B$9*AVERAGE((Q406:OFFSET(Q406,$B$5-1,0))))</f>
        <v>#DIV/0!</v>
      </c>
      <c r="S406" s="5" t="e">
        <f ca="1">SQRT($B$9*AVERAGE((Q406:OFFSET(Q406,$B$6-1,0))))</f>
        <v>#DIV/0!</v>
      </c>
      <c r="T406" s="5" t="e">
        <f ca="1">SQRT($B$9*AVERAGE((Q406:OFFSET(Q406,$B$7-1,0))))</f>
        <v>#DIV/0!</v>
      </c>
      <c r="U406" s="5" t="e">
        <f ca="1">SQRT($B$9*AVERAGE((Q406:OFFSET(Q406,$B$8-1,0))))</f>
        <v>#DIV/0!</v>
      </c>
      <c r="W406" s="6" t="e">
        <f t="shared" si="37"/>
        <v>#DIV/0!</v>
      </c>
      <c r="X406" s="6" t="e">
        <f ca="1">SQRT($B$9*AVERAGE(W406:OFFSET(W406,$B$5-1,0)))</f>
        <v>#DIV/0!</v>
      </c>
      <c r="Y406" s="6" t="e">
        <f ca="1">SQRT($B$9*AVERAGE(W406:OFFSET(W406,$B$6-1,0)))</f>
        <v>#DIV/0!</v>
      </c>
      <c r="Z406" s="6" t="e">
        <f ca="1">SQRT($B$9*AVERAGE(W406:OFFSET(W406,$B$7-1,0)))</f>
        <v>#DIV/0!</v>
      </c>
      <c r="AA406" s="6" t="e">
        <f ca="1">SQRT($B$9*AVERAGE(W406:OFFSET(W406,$B$8-1,0)))</f>
        <v>#DIV/0!</v>
      </c>
      <c r="AC406" s="34" t="e">
        <f t="shared" si="40"/>
        <v>#DIV/0!</v>
      </c>
      <c r="AD406" s="34" t="e">
        <f ca="1">SQRT($B$9*SUM(AC406:OFFSET(AC406,$B$5-1,0))/($B$5-1))</f>
        <v>#DIV/0!</v>
      </c>
      <c r="AE406" s="34" t="e">
        <f ca="1">SQRT($B$9*SUM(AC406:OFFSET(AC406,$B$6-1,0))/($B$6-1))</f>
        <v>#DIV/0!</v>
      </c>
      <c r="AF406" s="34" t="e">
        <f ca="1">SQRT($B$9*SUM(AC406:OFFSET(AC406,$B$7-1,0))/($B$7-1))</f>
        <v>#DIV/0!</v>
      </c>
      <c r="AG406" s="34" t="e">
        <f ca="1">SQRT($B$9*SUM(AC406:OFFSET(AC406,$B$8-1,0))/($B$8-1))</f>
        <v>#DIV/0!</v>
      </c>
      <c r="AI406" s="1" t="e">
        <f t="shared" si="41"/>
        <v>#DIV/0!</v>
      </c>
      <c r="AJ406" s="4" t="e">
        <f ca="1">SQRT($B$9)*_xlfn.STDEV.S(AI406:OFFSET(AI406,$B$5-1,0))</f>
        <v>#DIV/0!</v>
      </c>
      <c r="AK406" s="4" t="e">
        <f ca="1">SQRT($B$9)*_xlfn.STDEV.S(AI406:OFFSET(AI406,$B$6-1,0))</f>
        <v>#DIV/0!</v>
      </c>
      <c r="AL406" s="4" t="e">
        <f ca="1">SQRT($B$9)*_xlfn.STDEV.S(AI406:OFFSET(AI406,$B$7-1,0))</f>
        <v>#DIV/0!</v>
      </c>
      <c r="AM406" s="4" t="e">
        <f ca="1">SQRT($B$9)*_xlfn.STDEV.S(AI406:OFFSET(AI406,$B$8-1,0))</f>
        <v>#DIV/0!</v>
      </c>
    </row>
    <row r="407" spans="5:39" x14ac:dyDescent="0.2">
      <c r="E407" s="42">
        <v>45057</v>
      </c>
      <c r="F407" s="43"/>
      <c r="G407" s="43"/>
      <c r="H407" s="43"/>
      <c r="I407" s="43"/>
      <c r="K407" s="3" t="e">
        <f t="shared" si="39"/>
        <v>#DIV/0!</v>
      </c>
      <c r="L407" s="3" t="e">
        <f ca="1">SQRT(AVERAGE(K407:OFFSET(K407,$B$5-1,0))*$B$9/(4*LN(2)))</f>
        <v>#DIV/0!</v>
      </c>
      <c r="M407" s="3" t="e">
        <f ca="1">SQRT(AVERAGE(K407:OFFSET(K407,$B$6-1,0))*$B$9/(4*LN(2)))</f>
        <v>#DIV/0!</v>
      </c>
      <c r="N407" s="3" t="e">
        <f ca="1">SQRT(AVERAGE(K407:OFFSET(K407,$B$7-1,0))*$B$9/(4*LN(2)))</f>
        <v>#DIV/0!</v>
      </c>
      <c r="O407" s="3" t="e">
        <f ca="1">SQRT(AVERAGE(K407:OFFSET(K407,$B$8-1,0))*$B$9/(4*LN(2)))</f>
        <v>#DIV/0!</v>
      </c>
      <c r="Q407" s="5" t="e">
        <f t="shared" si="38"/>
        <v>#DIV/0!</v>
      </c>
      <c r="R407" s="5" t="e">
        <f ca="1">SQRT($B$9*AVERAGE((Q407:OFFSET(Q407,$B$5-1,0))))</f>
        <v>#DIV/0!</v>
      </c>
      <c r="S407" s="5" t="e">
        <f ca="1">SQRT($B$9*AVERAGE((Q407:OFFSET(Q407,$B$6-1,0))))</f>
        <v>#DIV/0!</v>
      </c>
      <c r="T407" s="5" t="e">
        <f ca="1">SQRT($B$9*AVERAGE((Q407:OFFSET(Q407,$B$7-1,0))))</f>
        <v>#DIV/0!</v>
      </c>
      <c r="U407" s="5" t="e">
        <f ca="1">SQRT($B$9*AVERAGE((Q407:OFFSET(Q407,$B$8-1,0))))</f>
        <v>#DIV/0!</v>
      </c>
      <c r="W407" s="6" t="e">
        <f t="shared" si="37"/>
        <v>#DIV/0!</v>
      </c>
      <c r="X407" s="6" t="e">
        <f ca="1">SQRT($B$9*AVERAGE(W407:OFFSET(W407,$B$5-1,0)))</f>
        <v>#DIV/0!</v>
      </c>
      <c r="Y407" s="6" t="e">
        <f ca="1">SQRT($B$9*AVERAGE(W407:OFFSET(W407,$B$6-1,0)))</f>
        <v>#DIV/0!</v>
      </c>
      <c r="Z407" s="6" t="e">
        <f ca="1">SQRT($B$9*AVERAGE(W407:OFFSET(W407,$B$7-1,0)))</f>
        <v>#DIV/0!</v>
      </c>
      <c r="AA407" s="6" t="e">
        <f ca="1">SQRT($B$9*AVERAGE(W407:OFFSET(W407,$B$8-1,0)))</f>
        <v>#DIV/0!</v>
      </c>
      <c r="AC407" s="34" t="e">
        <f t="shared" si="40"/>
        <v>#DIV/0!</v>
      </c>
      <c r="AD407" s="34" t="e">
        <f ca="1">SQRT($B$9*SUM(AC407:OFFSET(AC407,$B$5-1,0))/($B$5-1))</f>
        <v>#DIV/0!</v>
      </c>
      <c r="AE407" s="34" t="e">
        <f ca="1">SQRT($B$9*SUM(AC407:OFFSET(AC407,$B$6-1,0))/($B$6-1))</f>
        <v>#DIV/0!</v>
      </c>
      <c r="AF407" s="34" t="e">
        <f ca="1">SQRT($B$9*SUM(AC407:OFFSET(AC407,$B$7-1,0))/($B$7-1))</f>
        <v>#DIV/0!</v>
      </c>
      <c r="AG407" s="34" t="e">
        <f ca="1">SQRT($B$9*SUM(AC407:OFFSET(AC407,$B$8-1,0))/($B$8-1))</f>
        <v>#DIV/0!</v>
      </c>
      <c r="AI407" s="1" t="e">
        <f t="shared" si="41"/>
        <v>#DIV/0!</v>
      </c>
      <c r="AJ407" s="4" t="e">
        <f ca="1">SQRT($B$9)*_xlfn.STDEV.S(AI407:OFFSET(AI407,$B$5-1,0))</f>
        <v>#DIV/0!</v>
      </c>
      <c r="AK407" s="4" t="e">
        <f ca="1">SQRT($B$9)*_xlfn.STDEV.S(AI407:OFFSET(AI407,$B$6-1,0))</f>
        <v>#DIV/0!</v>
      </c>
      <c r="AL407" s="4" t="e">
        <f ca="1">SQRT($B$9)*_xlfn.STDEV.S(AI407:OFFSET(AI407,$B$7-1,0))</f>
        <v>#DIV/0!</v>
      </c>
      <c r="AM407" s="4" t="e">
        <f ca="1">SQRT($B$9)*_xlfn.STDEV.S(AI407:OFFSET(AI407,$B$8-1,0))</f>
        <v>#DIV/0!</v>
      </c>
    </row>
    <row r="408" spans="5:39" x14ac:dyDescent="0.2">
      <c r="E408" s="42">
        <v>45056</v>
      </c>
      <c r="F408" s="43"/>
      <c r="G408" s="43"/>
      <c r="H408" s="43"/>
      <c r="I408" s="43"/>
      <c r="K408" s="3" t="e">
        <f t="shared" si="39"/>
        <v>#DIV/0!</v>
      </c>
      <c r="L408" s="3" t="e">
        <f ca="1">SQRT(AVERAGE(K408:OFFSET(K408,$B$5-1,0))*$B$9/(4*LN(2)))</f>
        <v>#DIV/0!</v>
      </c>
      <c r="M408" s="3" t="e">
        <f ca="1">SQRT(AVERAGE(K408:OFFSET(K408,$B$6-1,0))*$B$9/(4*LN(2)))</f>
        <v>#DIV/0!</v>
      </c>
      <c r="N408" s="3" t="e">
        <f ca="1">SQRT(AVERAGE(K408:OFFSET(K408,$B$7-1,0))*$B$9/(4*LN(2)))</f>
        <v>#DIV/0!</v>
      </c>
      <c r="O408" s="3" t="e">
        <f ca="1">SQRT(AVERAGE(K408:OFFSET(K408,$B$8-1,0))*$B$9/(4*LN(2)))</f>
        <v>#DIV/0!</v>
      </c>
      <c r="Q408" s="5" t="e">
        <f t="shared" si="38"/>
        <v>#DIV/0!</v>
      </c>
      <c r="R408" s="5" t="e">
        <f ca="1">SQRT($B$9*AVERAGE((Q408:OFFSET(Q408,$B$5-1,0))))</f>
        <v>#DIV/0!</v>
      </c>
      <c r="S408" s="5" t="e">
        <f ca="1">SQRT($B$9*AVERAGE((Q408:OFFSET(Q408,$B$6-1,0))))</f>
        <v>#DIV/0!</v>
      </c>
      <c r="T408" s="5" t="e">
        <f ca="1">SQRT($B$9*AVERAGE((Q408:OFFSET(Q408,$B$7-1,0))))</f>
        <v>#DIV/0!</v>
      </c>
      <c r="U408" s="5" t="e">
        <f ca="1">SQRT($B$9*AVERAGE((Q408:OFFSET(Q408,$B$8-1,0))))</f>
        <v>#DIV/0!</v>
      </c>
      <c r="W408" s="6" t="e">
        <f t="shared" si="37"/>
        <v>#DIV/0!</v>
      </c>
      <c r="X408" s="6" t="e">
        <f ca="1">SQRT($B$9*AVERAGE(W408:OFFSET(W408,$B$5-1,0)))</f>
        <v>#DIV/0!</v>
      </c>
      <c r="Y408" s="6" t="e">
        <f ca="1">SQRT($B$9*AVERAGE(W408:OFFSET(W408,$B$6-1,0)))</f>
        <v>#DIV/0!</v>
      </c>
      <c r="Z408" s="6" t="e">
        <f ca="1">SQRT($B$9*AVERAGE(W408:OFFSET(W408,$B$7-1,0)))</f>
        <v>#DIV/0!</v>
      </c>
      <c r="AA408" s="6" t="e">
        <f ca="1">SQRT($B$9*AVERAGE(W408:OFFSET(W408,$B$8-1,0)))</f>
        <v>#DIV/0!</v>
      </c>
      <c r="AC408" s="34" t="e">
        <f t="shared" si="40"/>
        <v>#DIV/0!</v>
      </c>
      <c r="AD408" s="34" t="e">
        <f ca="1">SQRT($B$9*SUM(AC408:OFFSET(AC408,$B$5-1,0))/($B$5-1))</f>
        <v>#DIV/0!</v>
      </c>
      <c r="AE408" s="34" t="e">
        <f ca="1">SQRT($B$9*SUM(AC408:OFFSET(AC408,$B$6-1,0))/($B$6-1))</f>
        <v>#DIV/0!</v>
      </c>
      <c r="AF408" s="34" t="e">
        <f ca="1">SQRT($B$9*SUM(AC408:OFFSET(AC408,$B$7-1,0))/($B$7-1))</f>
        <v>#DIV/0!</v>
      </c>
      <c r="AG408" s="34" t="e">
        <f ca="1">SQRT($B$9*SUM(AC408:OFFSET(AC408,$B$8-1,0))/($B$8-1))</f>
        <v>#DIV/0!</v>
      </c>
      <c r="AI408" s="1" t="e">
        <f t="shared" si="41"/>
        <v>#DIV/0!</v>
      </c>
      <c r="AJ408" s="4" t="e">
        <f ca="1">SQRT($B$9)*_xlfn.STDEV.S(AI408:OFFSET(AI408,$B$5-1,0))</f>
        <v>#DIV/0!</v>
      </c>
      <c r="AK408" s="4" t="e">
        <f ca="1">SQRT($B$9)*_xlfn.STDEV.S(AI408:OFFSET(AI408,$B$6-1,0))</f>
        <v>#DIV/0!</v>
      </c>
      <c r="AL408" s="4" t="e">
        <f ca="1">SQRT($B$9)*_xlfn.STDEV.S(AI408:OFFSET(AI408,$B$7-1,0))</f>
        <v>#DIV/0!</v>
      </c>
      <c r="AM408" s="4" t="e">
        <f ca="1">SQRT($B$9)*_xlfn.STDEV.S(AI408:OFFSET(AI408,$B$8-1,0))</f>
        <v>#DIV/0!</v>
      </c>
    </row>
    <row r="409" spans="5:39" x14ac:dyDescent="0.2">
      <c r="E409" s="42">
        <v>45055</v>
      </c>
      <c r="F409" s="43"/>
      <c r="G409" s="43"/>
      <c r="H409" s="43"/>
      <c r="I409" s="43"/>
      <c r="K409" s="3" t="e">
        <f t="shared" si="39"/>
        <v>#DIV/0!</v>
      </c>
      <c r="L409" s="3" t="e">
        <f ca="1">SQRT(AVERAGE(K409:OFFSET(K409,$B$5-1,0))*$B$9/(4*LN(2)))</f>
        <v>#DIV/0!</v>
      </c>
      <c r="M409" s="3" t="e">
        <f ca="1">SQRT(AVERAGE(K409:OFFSET(K409,$B$6-1,0))*$B$9/(4*LN(2)))</f>
        <v>#DIV/0!</v>
      </c>
      <c r="N409" s="3" t="e">
        <f ca="1">SQRT(AVERAGE(K409:OFFSET(K409,$B$7-1,0))*$B$9/(4*LN(2)))</f>
        <v>#DIV/0!</v>
      </c>
      <c r="O409" s="3" t="e">
        <f ca="1">SQRT(AVERAGE(K409:OFFSET(K409,$B$8-1,0))*$B$9/(4*LN(2)))</f>
        <v>#DIV/0!</v>
      </c>
      <c r="Q409" s="5" t="e">
        <f t="shared" si="38"/>
        <v>#DIV/0!</v>
      </c>
      <c r="R409" s="5" t="e">
        <f ca="1">SQRT($B$9*AVERAGE((Q409:OFFSET(Q409,$B$5-1,0))))</f>
        <v>#DIV/0!</v>
      </c>
      <c r="S409" s="5" t="e">
        <f ca="1">SQRT($B$9*AVERAGE((Q409:OFFSET(Q409,$B$6-1,0))))</f>
        <v>#DIV/0!</v>
      </c>
      <c r="T409" s="5" t="e">
        <f ca="1">SQRT($B$9*AVERAGE((Q409:OFFSET(Q409,$B$7-1,0))))</f>
        <v>#DIV/0!</v>
      </c>
      <c r="U409" s="5" t="e">
        <f ca="1">SQRT($B$9*AVERAGE((Q409:OFFSET(Q409,$B$8-1,0))))</f>
        <v>#DIV/0!</v>
      </c>
      <c r="W409" s="6" t="e">
        <f t="shared" si="37"/>
        <v>#DIV/0!</v>
      </c>
      <c r="X409" s="6" t="e">
        <f ca="1">SQRT($B$9*AVERAGE(W409:OFFSET(W409,$B$5-1,0)))</f>
        <v>#DIV/0!</v>
      </c>
      <c r="Y409" s="6" t="e">
        <f ca="1">SQRT($B$9*AVERAGE(W409:OFFSET(W409,$B$6-1,0)))</f>
        <v>#DIV/0!</v>
      </c>
      <c r="Z409" s="6" t="e">
        <f ca="1">SQRT($B$9*AVERAGE(W409:OFFSET(W409,$B$7-1,0)))</f>
        <v>#DIV/0!</v>
      </c>
      <c r="AA409" s="6" t="e">
        <f ca="1">SQRT($B$9*AVERAGE(W409:OFFSET(W409,$B$8-1,0)))</f>
        <v>#DIV/0!</v>
      </c>
      <c r="AC409" s="34" t="e">
        <f t="shared" si="40"/>
        <v>#DIV/0!</v>
      </c>
      <c r="AD409" s="34" t="e">
        <f ca="1">SQRT($B$9*SUM(AC409:OFFSET(AC409,$B$5-1,0))/($B$5-1))</f>
        <v>#DIV/0!</v>
      </c>
      <c r="AE409" s="34" t="e">
        <f ca="1">SQRT($B$9*SUM(AC409:OFFSET(AC409,$B$6-1,0))/($B$6-1))</f>
        <v>#DIV/0!</v>
      </c>
      <c r="AF409" s="34" t="e">
        <f ca="1">SQRT($B$9*SUM(AC409:OFFSET(AC409,$B$7-1,0))/($B$7-1))</f>
        <v>#DIV/0!</v>
      </c>
      <c r="AG409" s="34" t="e">
        <f ca="1">SQRT($B$9*SUM(AC409:OFFSET(AC409,$B$8-1,0))/($B$8-1))</f>
        <v>#DIV/0!</v>
      </c>
      <c r="AI409" s="1" t="e">
        <f t="shared" si="41"/>
        <v>#DIV/0!</v>
      </c>
      <c r="AJ409" s="4" t="e">
        <f ca="1">SQRT($B$9)*_xlfn.STDEV.S(AI409:OFFSET(AI409,$B$5-1,0))</f>
        <v>#DIV/0!</v>
      </c>
      <c r="AK409" s="4" t="e">
        <f ca="1">SQRT($B$9)*_xlfn.STDEV.S(AI409:OFFSET(AI409,$B$6-1,0))</f>
        <v>#DIV/0!</v>
      </c>
      <c r="AL409" s="4" t="e">
        <f ca="1">SQRT($B$9)*_xlfn.STDEV.S(AI409:OFFSET(AI409,$B$7-1,0))</f>
        <v>#DIV/0!</v>
      </c>
      <c r="AM409" s="4" t="e">
        <f ca="1">SQRT($B$9)*_xlfn.STDEV.S(AI409:OFFSET(AI409,$B$8-1,0))</f>
        <v>#DIV/0!</v>
      </c>
    </row>
    <row r="410" spans="5:39" x14ac:dyDescent="0.2">
      <c r="E410" s="42">
        <v>45054</v>
      </c>
      <c r="F410" s="43"/>
      <c r="G410" s="43"/>
      <c r="H410" s="43"/>
      <c r="I410" s="43"/>
      <c r="K410" s="3" t="e">
        <f t="shared" si="39"/>
        <v>#DIV/0!</v>
      </c>
      <c r="L410" s="3" t="e">
        <f ca="1">SQRT(AVERAGE(K410:OFFSET(K410,$B$5-1,0))*$B$9/(4*LN(2)))</f>
        <v>#DIV/0!</v>
      </c>
      <c r="M410" s="3" t="e">
        <f ca="1">SQRT(AVERAGE(K410:OFFSET(K410,$B$6-1,0))*$B$9/(4*LN(2)))</f>
        <v>#DIV/0!</v>
      </c>
      <c r="N410" s="3" t="e">
        <f ca="1">SQRT(AVERAGE(K410:OFFSET(K410,$B$7-1,0))*$B$9/(4*LN(2)))</f>
        <v>#DIV/0!</v>
      </c>
      <c r="O410" s="3" t="e">
        <f ca="1">SQRT(AVERAGE(K410:OFFSET(K410,$B$8-1,0))*$B$9/(4*LN(2)))</f>
        <v>#DIV/0!</v>
      </c>
      <c r="Q410" s="5" t="e">
        <f t="shared" si="38"/>
        <v>#DIV/0!</v>
      </c>
      <c r="R410" s="5" t="e">
        <f ca="1">SQRT($B$9*AVERAGE((Q410:OFFSET(Q410,$B$5-1,0))))</f>
        <v>#DIV/0!</v>
      </c>
      <c r="S410" s="5" t="e">
        <f ca="1">SQRT($B$9*AVERAGE((Q410:OFFSET(Q410,$B$6-1,0))))</f>
        <v>#DIV/0!</v>
      </c>
      <c r="T410" s="5" t="e">
        <f ca="1">SQRT($B$9*AVERAGE((Q410:OFFSET(Q410,$B$7-1,0))))</f>
        <v>#DIV/0!</v>
      </c>
      <c r="U410" s="5" t="e">
        <f ca="1">SQRT($B$9*AVERAGE((Q410:OFFSET(Q410,$B$8-1,0))))</f>
        <v>#DIV/0!</v>
      </c>
      <c r="W410" s="6" t="e">
        <f t="shared" si="37"/>
        <v>#DIV/0!</v>
      </c>
      <c r="X410" s="6" t="e">
        <f ca="1">SQRT($B$9*AVERAGE(W410:OFFSET(W410,$B$5-1,0)))</f>
        <v>#DIV/0!</v>
      </c>
      <c r="Y410" s="6" t="e">
        <f ca="1">SQRT($B$9*AVERAGE(W410:OFFSET(W410,$B$6-1,0)))</f>
        <v>#DIV/0!</v>
      </c>
      <c r="Z410" s="6" t="e">
        <f ca="1">SQRT($B$9*AVERAGE(W410:OFFSET(W410,$B$7-1,0)))</f>
        <v>#DIV/0!</v>
      </c>
      <c r="AA410" s="6" t="e">
        <f ca="1">SQRT($B$9*AVERAGE(W410:OFFSET(W410,$B$8-1,0)))</f>
        <v>#DIV/0!</v>
      </c>
      <c r="AC410" s="34" t="e">
        <f t="shared" si="40"/>
        <v>#DIV/0!</v>
      </c>
      <c r="AD410" s="34" t="e">
        <f ca="1">SQRT($B$9*SUM(AC410:OFFSET(AC410,$B$5-1,0))/($B$5-1))</f>
        <v>#DIV/0!</v>
      </c>
      <c r="AE410" s="34" t="e">
        <f ca="1">SQRT($B$9*SUM(AC410:OFFSET(AC410,$B$6-1,0))/($B$6-1))</f>
        <v>#DIV/0!</v>
      </c>
      <c r="AF410" s="34" t="e">
        <f ca="1">SQRT($B$9*SUM(AC410:OFFSET(AC410,$B$7-1,0))/($B$7-1))</f>
        <v>#DIV/0!</v>
      </c>
      <c r="AG410" s="34" t="e">
        <f ca="1">SQRT($B$9*SUM(AC410:OFFSET(AC410,$B$8-1,0))/($B$8-1))</f>
        <v>#DIV/0!</v>
      </c>
      <c r="AI410" s="1" t="e">
        <f t="shared" si="41"/>
        <v>#DIV/0!</v>
      </c>
      <c r="AJ410" s="4" t="e">
        <f ca="1">SQRT($B$9)*_xlfn.STDEV.S(AI410:OFFSET(AI410,$B$5-1,0))</f>
        <v>#DIV/0!</v>
      </c>
      <c r="AK410" s="4" t="e">
        <f ca="1">SQRT($B$9)*_xlfn.STDEV.S(AI410:OFFSET(AI410,$B$6-1,0))</f>
        <v>#DIV/0!</v>
      </c>
      <c r="AL410" s="4" t="e">
        <f ca="1">SQRT($B$9)*_xlfn.STDEV.S(AI410:OFFSET(AI410,$B$7-1,0))</f>
        <v>#DIV/0!</v>
      </c>
      <c r="AM410" s="4" t="e">
        <f ca="1">SQRT($B$9)*_xlfn.STDEV.S(AI410:OFFSET(AI410,$B$8-1,0))</f>
        <v>#DIV/0!</v>
      </c>
    </row>
    <row r="411" spans="5:39" x14ac:dyDescent="0.2">
      <c r="E411" s="42">
        <v>45051</v>
      </c>
      <c r="F411" s="43"/>
      <c r="G411" s="43"/>
      <c r="H411" s="43"/>
      <c r="I411" s="43"/>
      <c r="K411" s="3" t="e">
        <f t="shared" si="39"/>
        <v>#DIV/0!</v>
      </c>
      <c r="L411" s="3" t="e">
        <f ca="1">SQRT(AVERAGE(K411:OFFSET(K411,$B$5-1,0))*$B$9/(4*LN(2)))</f>
        <v>#DIV/0!</v>
      </c>
      <c r="M411" s="3" t="e">
        <f ca="1">SQRT(AVERAGE(K411:OFFSET(K411,$B$6-1,0))*$B$9/(4*LN(2)))</f>
        <v>#DIV/0!</v>
      </c>
      <c r="N411" s="3" t="e">
        <f ca="1">SQRT(AVERAGE(K411:OFFSET(K411,$B$7-1,0))*$B$9/(4*LN(2)))</f>
        <v>#DIV/0!</v>
      </c>
      <c r="O411" s="3" t="e">
        <f ca="1">SQRT(AVERAGE(K411:OFFSET(K411,$B$8-1,0))*$B$9/(4*LN(2)))</f>
        <v>#DIV/0!</v>
      </c>
      <c r="Q411" s="5" t="e">
        <f t="shared" si="38"/>
        <v>#DIV/0!</v>
      </c>
      <c r="R411" s="5" t="e">
        <f ca="1">SQRT($B$9*AVERAGE((Q411:OFFSET(Q411,$B$5-1,0))))</f>
        <v>#DIV/0!</v>
      </c>
      <c r="S411" s="5" t="e">
        <f ca="1">SQRT($B$9*AVERAGE((Q411:OFFSET(Q411,$B$6-1,0))))</f>
        <v>#DIV/0!</v>
      </c>
      <c r="T411" s="5" t="e">
        <f ca="1">SQRT($B$9*AVERAGE((Q411:OFFSET(Q411,$B$7-1,0))))</f>
        <v>#DIV/0!</v>
      </c>
      <c r="U411" s="5" t="e">
        <f ca="1">SQRT($B$9*AVERAGE((Q411:OFFSET(Q411,$B$8-1,0))))</f>
        <v>#DIV/0!</v>
      </c>
      <c r="W411" s="6" t="e">
        <f t="shared" si="37"/>
        <v>#DIV/0!</v>
      </c>
      <c r="X411" s="6" t="e">
        <f ca="1">SQRT($B$9*AVERAGE(W411:OFFSET(W411,$B$5-1,0)))</f>
        <v>#DIV/0!</v>
      </c>
      <c r="Y411" s="6" t="e">
        <f ca="1">SQRT($B$9*AVERAGE(W411:OFFSET(W411,$B$6-1,0)))</f>
        <v>#DIV/0!</v>
      </c>
      <c r="Z411" s="6" t="e">
        <f ca="1">SQRT($B$9*AVERAGE(W411:OFFSET(W411,$B$7-1,0)))</f>
        <v>#DIV/0!</v>
      </c>
      <c r="AA411" s="6" t="e">
        <f ca="1">SQRT($B$9*AVERAGE(W411:OFFSET(W411,$B$8-1,0)))</f>
        <v>#DIV/0!</v>
      </c>
      <c r="AC411" s="34" t="e">
        <f t="shared" si="40"/>
        <v>#DIV/0!</v>
      </c>
      <c r="AD411" s="34" t="e">
        <f ca="1">SQRT($B$9*SUM(AC411:OFFSET(AC411,$B$5-1,0))/($B$5-1))</f>
        <v>#DIV/0!</v>
      </c>
      <c r="AE411" s="34" t="e">
        <f ca="1">SQRT($B$9*SUM(AC411:OFFSET(AC411,$B$6-1,0))/($B$6-1))</f>
        <v>#DIV/0!</v>
      </c>
      <c r="AF411" s="34" t="e">
        <f ca="1">SQRT($B$9*SUM(AC411:OFFSET(AC411,$B$7-1,0))/($B$7-1))</f>
        <v>#DIV/0!</v>
      </c>
      <c r="AG411" s="34" t="e">
        <f ca="1">SQRT($B$9*SUM(AC411:OFFSET(AC411,$B$8-1,0))/($B$8-1))</f>
        <v>#DIV/0!</v>
      </c>
      <c r="AI411" s="1" t="e">
        <f t="shared" si="41"/>
        <v>#DIV/0!</v>
      </c>
      <c r="AJ411" s="4" t="e">
        <f ca="1">SQRT($B$9)*_xlfn.STDEV.S(AI411:OFFSET(AI411,$B$5-1,0))</f>
        <v>#DIV/0!</v>
      </c>
      <c r="AK411" s="4" t="e">
        <f ca="1">SQRT($B$9)*_xlfn.STDEV.S(AI411:OFFSET(AI411,$B$6-1,0))</f>
        <v>#DIV/0!</v>
      </c>
      <c r="AL411" s="4" t="e">
        <f ca="1">SQRT($B$9)*_xlfn.STDEV.S(AI411:OFFSET(AI411,$B$7-1,0))</f>
        <v>#DIV/0!</v>
      </c>
      <c r="AM411" s="4" t="e">
        <f ca="1">SQRT($B$9)*_xlfn.STDEV.S(AI411:OFFSET(AI411,$B$8-1,0))</f>
        <v>#DIV/0!</v>
      </c>
    </row>
    <row r="412" spans="5:39" x14ac:dyDescent="0.2">
      <c r="E412" s="42">
        <v>45050</v>
      </c>
      <c r="F412" s="43"/>
      <c r="G412" s="43"/>
      <c r="H412" s="43"/>
      <c r="I412" s="43"/>
      <c r="K412" s="3" t="e">
        <f t="shared" si="39"/>
        <v>#DIV/0!</v>
      </c>
      <c r="L412" s="3" t="e">
        <f ca="1">SQRT(AVERAGE(K412:OFFSET(K412,$B$5-1,0))*$B$9/(4*LN(2)))</f>
        <v>#DIV/0!</v>
      </c>
      <c r="M412" s="3" t="e">
        <f ca="1">SQRT(AVERAGE(K412:OFFSET(K412,$B$6-1,0))*$B$9/(4*LN(2)))</f>
        <v>#DIV/0!</v>
      </c>
      <c r="N412" s="3" t="e">
        <f ca="1">SQRT(AVERAGE(K412:OFFSET(K412,$B$7-1,0))*$B$9/(4*LN(2)))</f>
        <v>#DIV/0!</v>
      </c>
      <c r="O412" s="3" t="e">
        <f ca="1">SQRT(AVERAGE(K412:OFFSET(K412,$B$8-1,0))*$B$9/(4*LN(2)))</f>
        <v>#DIV/0!</v>
      </c>
      <c r="Q412" s="5" t="e">
        <f t="shared" si="38"/>
        <v>#DIV/0!</v>
      </c>
      <c r="R412" s="5" t="e">
        <f ca="1">SQRT($B$9*AVERAGE((Q412:OFFSET(Q412,$B$5-1,0))))</f>
        <v>#DIV/0!</v>
      </c>
      <c r="S412" s="5" t="e">
        <f ca="1">SQRT($B$9*AVERAGE((Q412:OFFSET(Q412,$B$6-1,0))))</f>
        <v>#DIV/0!</v>
      </c>
      <c r="T412" s="5" t="e">
        <f ca="1">SQRT($B$9*AVERAGE((Q412:OFFSET(Q412,$B$7-1,0))))</f>
        <v>#DIV/0!</v>
      </c>
      <c r="U412" s="5" t="e">
        <f ca="1">SQRT($B$9*AVERAGE((Q412:OFFSET(Q412,$B$8-1,0))))</f>
        <v>#DIV/0!</v>
      </c>
      <c r="W412" s="6" t="e">
        <f t="shared" si="37"/>
        <v>#DIV/0!</v>
      </c>
      <c r="X412" s="6" t="e">
        <f ca="1">SQRT($B$9*AVERAGE(W412:OFFSET(W412,$B$5-1,0)))</f>
        <v>#DIV/0!</v>
      </c>
      <c r="Y412" s="6" t="e">
        <f ca="1">SQRT($B$9*AVERAGE(W412:OFFSET(W412,$B$6-1,0)))</f>
        <v>#DIV/0!</v>
      </c>
      <c r="Z412" s="6" t="e">
        <f ca="1">SQRT($B$9*AVERAGE(W412:OFFSET(W412,$B$7-1,0)))</f>
        <v>#DIV/0!</v>
      </c>
      <c r="AA412" s="6" t="e">
        <f ca="1">SQRT($B$9*AVERAGE(W412:OFFSET(W412,$B$8-1,0)))</f>
        <v>#DIV/0!</v>
      </c>
      <c r="AC412" s="34" t="e">
        <f t="shared" si="40"/>
        <v>#DIV/0!</v>
      </c>
      <c r="AD412" s="34" t="e">
        <f ca="1">SQRT($B$9*SUM(AC412:OFFSET(AC412,$B$5-1,0))/($B$5-1))</f>
        <v>#DIV/0!</v>
      </c>
      <c r="AE412" s="34" t="e">
        <f ca="1">SQRT($B$9*SUM(AC412:OFFSET(AC412,$B$6-1,0))/($B$6-1))</f>
        <v>#DIV/0!</v>
      </c>
      <c r="AF412" s="34" t="e">
        <f ca="1">SQRT($B$9*SUM(AC412:OFFSET(AC412,$B$7-1,0))/($B$7-1))</f>
        <v>#DIV/0!</v>
      </c>
      <c r="AG412" s="34" t="e">
        <f ca="1">SQRT($B$9*SUM(AC412:OFFSET(AC412,$B$8-1,0))/($B$8-1))</f>
        <v>#DIV/0!</v>
      </c>
      <c r="AI412" s="1" t="e">
        <f t="shared" si="41"/>
        <v>#DIV/0!</v>
      </c>
      <c r="AJ412" s="4" t="e">
        <f ca="1">SQRT($B$9)*_xlfn.STDEV.S(AI412:OFFSET(AI412,$B$5-1,0))</f>
        <v>#DIV/0!</v>
      </c>
      <c r="AK412" s="4" t="e">
        <f ca="1">SQRT($B$9)*_xlfn.STDEV.S(AI412:OFFSET(AI412,$B$6-1,0))</f>
        <v>#DIV/0!</v>
      </c>
      <c r="AL412" s="4" t="e">
        <f ca="1">SQRT($B$9)*_xlfn.STDEV.S(AI412:OFFSET(AI412,$B$7-1,0))</f>
        <v>#DIV/0!</v>
      </c>
      <c r="AM412" s="4" t="e">
        <f ca="1">SQRT($B$9)*_xlfn.STDEV.S(AI412:OFFSET(AI412,$B$8-1,0))</f>
        <v>#DIV/0!</v>
      </c>
    </row>
    <row r="413" spans="5:39" x14ac:dyDescent="0.2">
      <c r="E413" s="42">
        <v>45044</v>
      </c>
      <c r="F413" s="43"/>
      <c r="G413" s="43"/>
      <c r="H413" s="43"/>
      <c r="I413" s="43"/>
      <c r="K413" s="3" t="e">
        <f t="shared" si="39"/>
        <v>#DIV/0!</v>
      </c>
      <c r="L413" s="3" t="e">
        <f ca="1">SQRT(AVERAGE(K413:OFFSET(K413,$B$5-1,0))*$B$9/(4*LN(2)))</f>
        <v>#DIV/0!</v>
      </c>
      <c r="M413" s="3" t="e">
        <f ca="1">SQRT(AVERAGE(K413:OFFSET(K413,$B$6-1,0))*$B$9/(4*LN(2)))</f>
        <v>#DIV/0!</v>
      </c>
      <c r="N413" s="3" t="e">
        <f ca="1">SQRT(AVERAGE(K413:OFFSET(K413,$B$7-1,0))*$B$9/(4*LN(2)))</f>
        <v>#DIV/0!</v>
      </c>
      <c r="O413" s="3" t="e">
        <f ca="1">SQRT(AVERAGE(K413:OFFSET(K413,$B$8-1,0))*$B$9/(4*LN(2)))</f>
        <v>#DIV/0!</v>
      </c>
      <c r="Q413" s="5" t="e">
        <f t="shared" si="38"/>
        <v>#DIV/0!</v>
      </c>
      <c r="R413" s="5" t="e">
        <f ca="1">SQRT($B$9*AVERAGE((Q413:OFFSET(Q413,$B$5-1,0))))</f>
        <v>#DIV/0!</v>
      </c>
      <c r="S413" s="5" t="e">
        <f ca="1">SQRT($B$9*AVERAGE((Q413:OFFSET(Q413,$B$6-1,0))))</f>
        <v>#DIV/0!</v>
      </c>
      <c r="T413" s="5" t="e">
        <f ca="1">SQRT($B$9*AVERAGE((Q413:OFFSET(Q413,$B$7-1,0))))</f>
        <v>#DIV/0!</v>
      </c>
      <c r="U413" s="5" t="e">
        <f ca="1">SQRT($B$9*AVERAGE((Q413:OFFSET(Q413,$B$8-1,0))))</f>
        <v>#DIV/0!</v>
      </c>
      <c r="W413" s="6" t="e">
        <f t="shared" si="37"/>
        <v>#DIV/0!</v>
      </c>
      <c r="X413" s="6" t="e">
        <f ca="1">SQRT($B$9*AVERAGE(W413:OFFSET(W413,$B$5-1,0)))</f>
        <v>#DIV/0!</v>
      </c>
      <c r="Y413" s="6" t="e">
        <f ca="1">SQRT($B$9*AVERAGE(W413:OFFSET(W413,$B$6-1,0)))</f>
        <v>#DIV/0!</v>
      </c>
      <c r="Z413" s="6" t="e">
        <f ca="1">SQRT($B$9*AVERAGE(W413:OFFSET(W413,$B$7-1,0)))</f>
        <v>#DIV/0!</v>
      </c>
      <c r="AA413" s="6" t="e">
        <f ca="1">SQRT($B$9*AVERAGE(W413:OFFSET(W413,$B$8-1,0)))</f>
        <v>#DIV/0!</v>
      </c>
      <c r="AC413" s="34" t="e">
        <f t="shared" si="40"/>
        <v>#DIV/0!</v>
      </c>
      <c r="AD413" s="34" t="e">
        <f ca="1">SQRT($B$9*SUM(AC413:OFFSET(AC413,$B$5-1,0))/($B$5-1))</f>
        <v>#DIV/0!</v>
      </c>
      <c r="AE413" s="34" t="e">
        <f ca="1">SQRT($B$9*SUM(AC413:OFFSET(AC413,$B$6-1,0))/($B$6-1))</f>
        <v>#DIV/0!</v>
      </c>
      <c r="AF413" s="34" t="e">
        <f ca="1">SQRT($B$9*SUM(AC413:OFFSET(AC413,$B$7-1,0))/($B$7-1))</f>
        <v>#DIV/0!</v>
      </c>
      <c r="AG413" s="34" t="e">
        <f ca="1">SQRT($B$9*SUM(AC413:OFFSET(AC413,$B$8-1,0))/($B$8-1))</f>
        <v>#DIV/0!</v>
      </c>
      <c r="AI413" s="1" t="e">
        <f t="shared" si="41"/>
        <v>#DIV/0!</v>
      </c>
      <c r="AJ413" s="4" t="e">
        <f ca="1">SQRT($B$9)*_xlfn.STDEV.S(AI413:OFFSET(AI413,$B$5-1,0))</f>
        <v>#DIV/0!</v>
      </c>
      <c r="AK413" s="4" t="e">
        <f ca="1">SQRT($B$9)*_xlfn.STDEV.S(AI413:OFFSET(AI413,$B$6-1,0))</f>
        <v>#DIV/0!</v>
      </c>
      <c r="AL413" s="4" t="e">
        <f ca="1">SQRT($B$9)*_xlfn.STDEV.S(AI413:OFFSET(AI413,$B$7-1,0))</f>
        <v>#DIV/0!</v>
      </c>
      <c r="AM413" s="4" t="e">
        <f ca="1">SQRT($B$9)*_xlfn.STDEV.S(AI413:OFFSET(AI413,$B$8-1,0))</f>
        <v>#DIV/0!</v>
      </c>
    </row>
    <row r="414" spans="5:39" x14ac:dyDescent="0.2">
      <c r="E414" s="42">
        <v>45043</v>
      </c>
      <c r="F414" s="43"/>
      <c r="G414" s="43"/>
      <c r="H414" s="43"/>
      <c r="I414" s="43"/>
      <c r="K414" s="3" t="e">
        <f t="shared" si="39"/>
        <v>#DIV/0!</v>
      </c>
      <c r="L414" s="3" t="e">
        <f ca="1">SQRT(AVERAGE(K414:OFFSET(K414,$B$5-1,0))*$B$9/(4*LN(2)))</f>
        <v>#DIV/0!</v>
      </c>
      <c r="M414" s="3" t="e">
        <f ca="1">SQRT(AVERAGE(K414:OFFSET(K414,$B$6-1,0))*$B$9/(4*LN(2)))</f>
        <v>#DIV/0!</v>
      </c>
      <c r="N414" s="3" t="e">
        <f ca="1">SQRT(AVERAGE(K414:OFFSET(K414,$B$7-1,0))*$B$9/(4*LN(2)))</f>
        <v>#DIV/0!</v>
      </c>
      <c r="O414" s="3" t="e">
        <f ca="1">SQRT(AVERAGE(K414:OFFSET(K414,$B$8-1,0))*$B$9/(4*LN(2)))</f>
        <v>#DIV/0!</v>
      </c>
      <c r="Q414" s="5" t="e">
        <f t="shared" si="38"/>
        <v>#DIV/0!</v>
      </c>
      <c r="R414" s="5" t="e">
        <f ca="1">SQRT($B$9*AVERAGE((Q414:OFFSET(Q414,$B$5-1,0))))</f>
        <v>#DIV/0!</v>
      </c>
      <c r="S414" s="5" t="e">
        <f ca="1">SQRT($B$9*AVERAGE((Q414:OFFSET(Q414,$B$6-1,0))))</f>
        <v>#DIV/0!</v>
      </c>
      <c r="T414" s="5" t="e">
        <f ca="1">SQRT($B$9*AVERAGE((Q414:OFFSET(Q414,$B$7-1,0))))</f>
        <v>#DIV/0!</v>
      </c>
      <c r="U414" s="5" t="e">
        <f ca="1">SQRT($B$9*AVERAGE((Q414:OFFSET(Q414,$B$8-1,0))))</f>
        <v>#DIV/0!</v>
      </c>
      <c r="W414" s="6" t="e">
        <f t="shared" si="37"/>
        <v>#DIV/0!</v>
      </c>
      <c r="X414" s="6" t="e">
        <f ca="1">SQRT($B$9*AVERAGE(W414:OFFSET(W414,$B$5-1,0)))</f>
        <v>#DIV/0!</v>
      </c>
      <c r="Y414" s="6" t="e">
        <f ca="1">SQRT($B$9*AVERAGE(W414:OFFSET(W414,$B$6-1,0)))</f>
        <v>#DIV/0!</v>
      </c>
      <c r="Z414" s="6" t="e">
        <f ca="1">SQRT($B$9*AVERAGE(W414:OFFSET(W414,$B$7-1,0)))</f>
        <v>#DIV/0!</v>
      </c>
      <c r="AA414" s="6" t="e">
        <f ca="1">SQRT($B$9*AVERAGE(W414:OFFSET(W414,$B$8-1,0)))</f>
        <v>#DIV/0!</v>
      </c>
      <c r="AC414" s="34" t="e">
        <f t="shared" si="40"/>
        <v>#DIV/0!</v>
      </c>
      <c r="AD414" s="34" t="e">
        <f ca="1">SQRT($B$9*SUM(AC414:OFFSET(AC414,$B$5-1,0))/($B$5-1))</f>
        <v>#DIV/0!</v>
      </c>
      <c r="AE414" s="34" t="e">
        <f ca="1">SQRT($B$9*SUM(AC414:OFFSET(AC414,$B$6-1,0))/($B$6-1))</f>
        <v>#DIV/0!</v>
      </c>
      <c r="AF414" s="34" t="e">
        <f ca="1">SQRT($B$9*SUM(AC414:OFFSET(AC414,$B$7-1,0))/($B$7-1))</f>
        <v>#DIV/0!</v>
      </c>
      <c r="AG414" s="34" t="e">
        <f ca="1">SQRT($B$9*SUM(AC414:OFFSET(AC414,$B$8-1,0))/($B$8-1))</f>
        <v>#DIV/0!</v>
      </c>
      <c r="AI414" s="1" t="e">
        <f t="shared" si="41"/>
        <v>#DIV/0!</v>
      </c>
      <c r="AJ414" s="4" t="e">
        <f ca="1">SQRT($B$9)*_xlfn.STDEV.S(AI414:OFFSET(AI414,$B$5-1,0))</f>
        <v>#DIV/0!</v>
      </c>
      <c r="AK414" s="4" t="e">
        <f ca="1">SQRT($B$9)*_xlfn.STDEV.S(AI414:OFFSET(AI414,$B$6-1,0))</f>
        <v>#DIV/0!</v>
      </c>
      <c r="AL414" s="4" t="e">
        <f ca="1">SQRT($B$9)*_xlfn.STDEV.S(AI414:OFFSET(AI414,$B$7-1,0))</f>
        <v>#DIV/0!</v>
      </c>
      <c r="AM414" s="4" t="e">
        <f ca="1">SQRT($B$9)*_xlfn.STDEV.S(AI414:OFFSET(AI414,$B$8-1,0))</f>
        <v>#DIV/0!</v>
      </c>
    </row>
    <row r="415" spans="5:39" x14ac:dyDescent="0.2">
      <c r="E415" s="42">
        <v>45042</v>
      </c>
      <c r="F415" s="43"/>
      <c r="G415" s="43"/>
      <c r="H415" s="43"/>
      <c r="I415" s="43"/>
      <c r="K415" s="3" t="e">
        <f t="shared" si="39"/>
        <v>#DIV/0!</v>
      </c>
      <c r="L415" s="3" t="e">
        <f ca="1">SQRT(AVERAGE(K415:OFFSET(K415,$B$5-1,0))*$B$9/(4*LN(2)))</f>
        <v>#DIV/0!</v>
      </c>
      <c r="M415" s="3" t="e">
        <f ca="1">SQRT(AVERAGE(K415:OFFSET(K415,$B$6-1,0))*$B$9/(4*LN(2)))</f>
        <v>#DIV/0!</v>
      </c>
      <c r="N415" s="3" t="e">
        <f ca="1">SQRT(AVERAGE(K415:OFFSET(K415,$B$7-1,0))*$B$9/(4*LN(2)))</f>
        <v>#DIV/0!</v>
      </c>
      <c r="O415" s="3" t="e">
        <f ca="1">SQRT(AVERAGE(K415:OFFSET(K415,$B$8-1,0))*$B$9/(4*LN(2)))</f>
        <v>#DIV/0!</v>
      </c>
      <c r="Q415" s="5" t="e">
        <f t="shared" si="38"/>
        <v>#DIV/0!</v>
      </c>
      <c r="R415" s="5" t="e">
        <f ca="1">SQRT($B$9*AVERAGE((Q415:OFFSET(Q415,$B$5-1,0))))</f>
        <v>#DIV/0!</v>
      </c>
      <c r="S415" s="5" t="e">
        <f ca="1">SQRT($B$9*AVERAGE((Q415:OFFSET(Q415,$B$6-1,0))))</f>
        <v>#DIV/0!</v>
      </c>
      <c r="T415" s="5" t="e">
        <f ca="1">SQRT($B$9*AVERAGE((Q415:OFFSET(Q415,$B$7-1,0))))</f>
        <v>#DIV/0!</v>
      </c>
      <c r="U415" s="5" t="e">
        <f ca="1">SQRT($B$9*AVERAGE((Q415:OFFSET(Q415,$B$8-1,0))))</f>
        <v>#DIV/0!</v>
      </c>
      <c r="W415" s="6" t="e">
        <f t="shared" si="37"/>
        <v>#DIV/0!</v>
      </c>
      <c r="X415" s="6" t="e">
        <f ca="1">SQRT($B$9*AVERAGE(W415:OFFSET(W415,$B$5-1,0)))</f>
        <v>#DIV/0!</v>
      </c>
      <c r="Y415" s="6" t="e">
        <f ca="1">SQRT($B$9*AVERAGE(W415:OFFSET(W415,$B$6-1,0)))</f>
        <v>#DIV/0!</v>
      </c>
      <c r="Z415" s="6" t="e">
        <f ca="1">SQRT($B$9*AVERAGE(W415:OFFSET(W415,$B$7-1,0)))</f>
        <v>#DIV/0!</v>
      </c>
      <c r="AA415" s="6" t="e">
        <f ca="1">SQRT($B$9*AVERAGE(W415:OFFSET(W415,$B$8-1,0)))</f>
        <v>#DIV/0!</v>
      </c>
      <c r="AC415" s="34" t="e">
        <f t="shared" si="40"/>
        <v>#DIV/0!</v>
      </c>
      <c r="AD415" s="34" t="e">
        <f ca="1">SQRT($B$9*SUM(AC415:OFFSET(AC415,$B$5-1,0))/($B$5-1))</f>
        <v>#DIV/0!</v>
      </c>
      <c r="AE415" s="34" t="e">
        <f ca="1">SQRT($B$9*SUM(AC415:OFFSET(AC415,$B$6-1,0))/($B$6-1))</f>
        <v>#DIV/0!</v>
      </c>
      <c r="AF415" s="34" t="e">
        <f ca="1">SQRT($B$9*SUM(AC415:OFFSET(AC415,$B$7-1,0))/($B$7-1))</f>
        <v>#DIV/0!</v>
      </c>
      <c r="AG415" s="34" t="e">
        <f ca="1">SQRT($B$9*SUM(AC415:OFFSET(AC415,$B$8-1,0))/($B$8-1))</f>
        <v>#DIV/0!</v>
      </c>
      <c r="AI415" s="1" t="e">
        <f t="shared" si="41"/>
        <v>#DIV/0!</v>
      </c>
      <c r="AJ415" s="4" t="e">
        <f ca="1">SQRT($B$9)*_xlfn.STDEV.S(AI415:OFFSET(AI415,$B$5-1,0))</f>
        <v>#DIV/0!</v>
      </c>
      <c r="AK415" s="4" t="e">
        <f ca="1">SQRT($B$9)*_xlfn.STDEV.S(AI415:OFFSET(AI415,$B$6-1,0))</f>
        <v>#DIV/0!</v>
      </c>
      <c r="AL415" s="4" t="e">
        <f ca="1">SQRT($B$9)*_xlfn.STDEV.S(AI415:OFFSET(AI415,$B$7-1,0))</f>
        <v>#DIV/0!</v>
      </c>
      <c r="AM415" s="4" t="e">
        <f ca="1">SQRT($B$9)*_xlfn.STDEV.S(AI415:OFFSET(AI415,$B$8-1,0))</f>
        <v>#DIV/0!</v>
      </c>
    </row>
    <row r="416" spans="5:39" x14ac:dyDescent="0.2">
      <c r="E416" s="42">
        <v>45041</v>
      </c>
      <c r="F416" s="43"/>
      <c r="G416" s="43"/>
      <c r="H416" s="43"/>
      <c r="I416" s="43"/>
      <c r="K416" s="3" t="e">
        <f t="shared" si="39"/>
        <v>#DIV/0!</v>
      </c>
      <c r="L416" s="3" t="e">
        <f ca="1">SQRT(AVERAGE(K416:OFFSET(K416,$B$5-1,0))*$B$9/(4*LN(2)))</f>
        <v>#DIV/0!</v>
      </c>
      <c r="M416" s="3" t="e">
        <f ca="1">SQRT(AVERAGE(K416:OFFSET(K416,$B$6-1,0))*$B$9/(4*LN(2)))</f>
        <v>#DIV/0!</v>
      </c>
      <c r="N416" s="3" t="e">
        <f ca="1">SQRT(AVERAGE(K416:OFFSET(K416,$B$7-1,0))*$B$9/(4*LN(2)))</f>
        <v>#DIV/0!</v>
      </c>
      <c r="O416" s="3" t="e">
        <f ca="1">SQRT(AVERAGE(K416:OFFSET(K416,$B$8-1,0))*$B$9/(4*LN(2)))</f>
        <v>#DIV/0!</v>
      </c>
      <c r="Q416" s="5" t="e">
        <f t="shared" si="38"/>
        <v>#DIV/0!</v>
      </c>
      <c r="R416" s="5" t="e">
        <f ca="1">SQRT($B$9*AVERAGE((Q416:OFFSET(Q416,$B$5-1,0))))</f>
        <v>#DIV/0!</v>
      </c>
      <c r="S416" s="5" t="e">
        <f ca="1">SQRT($B$9*AVERAGE((Q416:OFFSET(Q416,$B$6-1,0))))</f>
        <v>#DIV/0!</v>
      </c>
      <c r="T416" s="5" t="e">
        <f ca="1">SQRT($B$9*AVERAGE((Q416:OFFSET(Q416,$B$7-1,0))))</f>
        <v>#DIV/0!</v>
      </c>
      <c r="U416" s="5" t="e">
        <f ca="1">SQRT($B$9*AVERAGE((Q416:OFFSET(Q416,$B$8-1,0))))</f>
        <v>#DIV/0!</v>
      </c>
      <c r="W416" s="6" t="e">
        <f t="shared" si="37"/>
        <v>#DIV/0!</v>
      </c>
      <c r="X416" s="6" t="e">
        <f ca="1">SQRT($B$9*AVERAGE(W416:OFFSET(W416,$B$5-1,0)))</f>
        <v>#DIV/0!</v>
      </c>
      <c r="Y416" s="6" t="e">
        <f ca="1">SQRT($B$9*AVERAGE(W416:OFFSET(W416,$B$6-1,0)))</f>
        <v>#DIV/0!</v>
      </c>
      <c r="Z416" s="6" t="e">
        <f ca="1">SQRT($B$9*AVERAGE(W416:OFFSET(W416,$B$7-1,0)))</f>
        <v>#DIV/0!</v>
      </c>
      <c r="AA416" s="6" t="e">
        <f ca="1">SQRT($B$9*AVERAGE(W416:OFFSET(W416,$B$8-1,0)))</f>
        <v>#DIV/0!</v>
      </c>
      <c r="AC416" s="34" t="e">
        <f t="shared" si="40"/>
        <v>#DIV/0!</v>
      </c>
      <c r="AD416" s="34" t="e">
        <f ca="1">SQRT($B$9*SUM(AC416:OFFSET(AC416,$B$5-1,0))/($B$5-1))</f>
        <v>#DIV/0!</v>
      </c>
      <c r="AE416" s="34" t="e">
        <f ca="1">SQRT($B$9*SUM(AC416:OFFSET(AC416,$B$6-1,0))/($B$6-1))</f>
        <v>#DIV/0!</v>
      </c>
      <c r="AF416" s="34" t="e">
        <f ca="1">SQRT($B$9*SUM(AC416:OFFSET(AC416,$B$7-1,0))/($B$7-1))</f>
        <v>#DIV/0!</v>
      </c>
      <c r="AG416" s="34" t="e">
        <f ca="1">SQRT($B$9*SUM(AC416:OFFSET(AC416,$B$8-1,0))/($B$8-1))</f>
        <v>#DIV/0!</v>
      </c>
      <c r="AI416" s="1" t="e">
        <f t="shared" si="41"/>
        <v>#DIV/0!</v>
      </c>
      <c r="AJ416" s="4" t="e">
        <f ca="1">SQRT($B$9)*_xlfn.STDEV.S(AI416:OFFSET(AI416,$B$5-1,0))</f>
        <v>#DIV/0!</v>
      </c>
      <c r="AK416" s="4" t="e">
        <f ca="1">SQRT($B$9)*_xlfn.STDEV.S(AI416:OFFSET(AI416,$B$6-1,0))</f>
        <v>#DIV/0!</v>
      </c>
      <c r="AL416" s="4" t="e">
        <f ca="1">SQRT($B$9)*_xlfn.STDEV.S(AI416:OFFSET(AI416,$B$7-1,0))</f>
        <v>#DIV/0!</v>
      </c>
      <c r="AM416" s="4" t="e">
        <f ca="1">SQRT($B$9)*_xlfn.STDEV.S(AI416:OFFSET(AI416,$B$8-1,0))</f>
        <v>#DIV/0!</v>
      </c>
    </row>
    <row r="417" spans="5:39" x14ac:dyDescent="0.2">
      <c r="E417" s="42">
        <v>45040</v>
      </c>
      <c r="F417" s="43"/>
      <c r="G417" s="43"/>
      <c r="H417" s="43"/>
      <c r="I417" s="43"/>
      <c r="K417" s="3" t="e">
        <f t="shared" si="39"/>
        <v>#DIV/0!</v>
      </c>
      <c r="L417" s="3" t="e">
        <f ca="1">SQRT(AVERAGE(K417:OFFSET(K417,$B$5-1,0))*$B$9/(4*LN(2)))</f>
        <v>#DIV/0!</v>
      </c>
      <c r="M417" s="3" t="e">
        <f ca="1">SQRT(AVERAGE(K417:OFFSET(K417,$B$6-1,0))*$B$9/(4*LN(2)))</f>
        <v>#DIV/0!</v>
      </c>
      <c r="N417" s="3" t="e">
        <f ca="1">SQRT(AVERAGE(K417:OFFSET(K417,$B$7-1,0))*$B$9/(4*LN(2)))</f>
        <v>#DIV/0!</v>
      </c>
      <c r="O417" s="3" t="e">
        <f ca="1">SQRT(AVERAGE(K417:OFFSET(K417,$B$8-1,0))*$B$9/(4*LN(2)))</f>
        <v>#DIV/0!</v>
      </c>
      <c r="Q417" s="5" t="e">
        <f t="shared" si="38"/>
        <v>#DIV/0!</v>
      </c>
      <c r="R417" s="5" t="e">
        <f ca="1">SQRT($B$9*AVERAGE((Q417:OFFSET(Q417,$B$5-1,0))))</f>
        <v>#DIV/0!</v>
      </c>
      <c r="S417" s="5" t="e">
        <f ca="1">SQRT($B$9*AVERAGE((Q417:OFFSET(Q417,$B$6-1,0))))</f>
        <v>#DIV/0!</v>
      </c>
      <c r="T417" s="5" t="e">
        <f ca="1">SQRT($B$9*AVERAGE((Q417:OFFSET(Q417,$B$7-1,0))))</f>
        <v>#DIV/0!</v>
      </c>
      <c r="U417" s="5" t="e">
        <f ca="1">SQRT($B$9*AVERAGE((Q417:OFFSET(Q417,$B$8-1,0))))</f>
        <v>#DIV/0!</v>
      </c>
      <c r="W417" s="6" t="e">
        <f t="shared" si="37"/>
        <v>#DIV/0!</v>
      </c>
      <c r="X417" s="6" t="e">
        <f ca="1">SQRT($B$9*AVERAGE(W417:OFFSET(W417,$B$5-1,0)))</f>
        <v>#DIV/0!</v>
      </c>
      <c r="Y417" s="6" t="e">
        <f ca="1">SQRT($B$9*AVERAGE(W417:OFFSET(W417,$B$6-1,0)))</f>
        <v>#DIV/0!</v>
      </c>
      <c r="Z417" s="6" t="e">
        <f ca="1">SQRT($B$9*AVERAGE(W417:OFFSET(W417,$B$7-1,0)))</f>
        <v>#DIV/0!</v>
      </c>
      <c r="AA417" s="6" t="e">
        <f ca="1">SQRT($B$9*AVERAGE(W417:OFFSET(W417,$B$8-1,0)))</f>
        <v>#DIV/0!</v>
      </c>
      <c r="AC417" s="34" t="e">
        <f t="shared" si="40"/>
        <v>#DIV/0!</v>
      </c>
      <c r="AD417" s="34" t="e">
        <f ca="1">SQRT($B$9*SUM(AC417:OFFSET(AC417,$B$5-1,0))/($B$5-1))</f>
        <v>#DIV/0!</v>
      </c>
      <c r="AE417" s="34" t="e">
        <f ca="1">SQRT($B$9*SUM(AC417:OFFSET(AC417,$B$6-1,0))/($B$6-1))</f>
        <v>#DIV/0!</v>
      </c>
      <c r="AF417" s="34" t="e">
        <f ca="1">SQRT($B$9*SUM(AC417:OFFSET(AC417,$B$7-1,0))/($B$7-1))</f>
        <v>#DIV/0!</v>
      </c>
      <c r="AG417" s="34" t="e">
        <f ca="1">SQRT($B$9*SUM(AC417:OFFSET(AC417,$B$8-1,0))/($B$8-1))</f>
        <v>#DIV/0!</v>
      </c>
      <c r="AI417" s="1" t="e">
        <f t="shared" si="41"/>
        <v>#DIV/0!</v>
      </c>
      <c r="AJ417" s="4" t="e">
        <f ca="1">SQRT($B$9)*_xlfn.STDEV.S(AI417:OFFSET(AI417,$B$5-1,0))</f>
        <v>#DIV/0!</v>
      </c>
      <c r="AK417" s="4" t="e">
        <f ca="1">SQRT($B$9)*_xlfn.STDEV.S(AI417:OFFSET(AI417,$B$6-1,0))</f>
        <v>#DIV/0!</v>
      </c>
      <c r="AL417" s="4" t="e">
        <f ca="1">SQRT($B$9)*_xlfn.STDEV.S(AI417:OFFSET(AI417,$B$7-1,0))</f>
        <v>#DIV/0!</v>
      </c>
      <c r="AM417" s="4" t="e">
        <f ca="1">SQRT($B$9)*_xlfn.STDEV.S(AI417:OFFSET(AI417,$B$8-1,0))</f>
        <v>#DIV/0!</v>
      </c>
    </row>
    <row r="418" spans="5:39" x14ac:dyDescent="0.2">
      <c r="E418" s="42">
        <v>45037</v>
      </c>
      <c r="F418" s="43"/>
      <c r="G418" s="43"/>
      <c r="H418" s="43"/>
      <c r="I418" s="43"/>
      <c r="K418" s="3" t="e">
        <f t="shared" si="39"/>
        <v>#DIV/0!</v>
      </c>
      <c r="L418" s="3" t="e">
        <f ca="1">SQRT(AVERAGE(K418:OFFSET(K418,$B$5-1,0))*$B$9/(4*LN(2)))</f>
        <v>#DIV/0!</v>
      </c>
      <c r="M418" s="3" t="e">
        <f ca="1">SQRT(AVERAGE(K418:OFFSET(K418,$B$6-1,0))*$B$9/(4*LN(2)))</f>
        <v>#DIV/0!</v>
      </c>
      <c r="N418" s="3" t="e">
        <f ca="1">SQRT(AVERAGE(K418:OFFSET(K418,$B$7-1,0))*$B$9/(4*LN(2)))</f>
        <v>#DIV/0!</v>
      </c>
      <c r="O418" s="3" t="e">
        <f ca="1">SQRT(AVERAGE(K418:OFFSET(K418,$B$8-1,0))*$B$9/(4*LN(2)))</f>
        <v>#DIV/0!</v>
      </c>
      <c r="Q418" s="5" t="e">
        <f t="shared" si="38"/>
        <v>#DIV/0!</v>
      </c>
      <c r="R418" s="5" t="e">
        <f ca="1">SQRT($B$9*AVERAGE((Q418:OFFSET(Q418,$B$5-1,0))))</f>
        <v>#DIV/0!</v>
      </c>
      <c r="S418" s="5" t="e">
        <f ca="1">SQRT($B$9*AVERAGE((Q418:OFFSET(Q418,$B$6-1,0))))</f>
        <v>#DIV/0!</v>
      </c>
      <c r="T418" s="5" t="e">
        <f ca="1">SQRT($B$9*AVERAGE((Q418:OFFSET(Q418,$B$7-1,0))))</f>
        <v>#DIV/0!</v>
      </c>
      <c r="U418" s="5" t="e">
        <f ca="1">SQRT($B$9*AVERAGE((Q418:OFFSET(Q418,$B$8-1,0))))</f>
        <v>#DIV/0!</v>
      </c>
      <c r="W418" s="6" t="e">
        <f t="shared" si="37"/>
        <v>#DIV/0!</v>
      </c>
      <c r="X418" s="6" t="e">
        <f ca="1">SQRT($B$9*AVERAGE(W418:OFFSET(W418,$B$5-1,0)))</f>
        <v>#DIV/0!</v>
      </c>
      <c r="Y418" s="6" t="e">
        <f ca="1">SQRT($B$9*AVERAGE(W418:OFFSET(W418,$B$6-1,0)))</f>
        <v>#DIV/0!</v>
      </c>
      <c r="Z418" s="6" t="e">
        <f ca="1">SQRT($B$9*AVERAGE(W418:OFFSET(W418,$B$7-1,0)))</f>
        <v>#DIV/0!</v>
      </c>
      <c r="AA418" s="6" t="e">
        <f ca="1">SQRT($B$9*AVERAGE(W418:OFFSET(W418,$B$8-1,0)))</f>
        <v>#DIV/0!</v>
      </c>
      <c r="AC418" s="34" t="e">
        <f t="shared" si="40"/>
        <v>#DIV/0!</v>
      </c>
      <c r="AD418" s="34" t="e">
        <f ca="1">SQRT($B$9*SUM(AC418:OFFSET(AC418,$B$5-1,0))/($B$5-1))</f>
        <v>#DIV/0!</v>
      </c>
      <c r="AE418" s="34" t="e">
        <f ca="1">SQRT($B$9*SUM(AC418:OFFSET(AC418,$B$6-1,0))/($B$6-1))</f>
        <v>#DIV/0!</v>
      </c>
      <c r="AF418" s="34" t="e">
        <f ca="1">SQRT($B$9*SUM(AC418:OFFSET(AC418,$B$7-1,0))/($B$7-1))</f>
        <v>#DIV/0!</v>
      </c>
      <c r="AG418" s="34" t="e">
        <f ca="1">SQRT($B$9*SUM(AC418:OFFSET(AC418,$B$8-1,0))/($B$8-1))</f>
        <v>#DIV/0!</v>
      </c>
      <c r="AI418" s="1" t="e">
        <f t="shared" si="41"/>
        <v>#DIV/0!</v>
      </c>
      <c r="AJ418" s="4" t="e">
        <f ca="1">SQRT($B$9)*_xlfn.STDEV.S(AI418:OFFSET(AI418,$B$5-1,0))</f>
        <v>#DIV/0!</v>
      </c>
      <c r="AK418" s="4" t="e">
        <f ca="1">SQRT($B$9)*_xlfn.STDEV.S(AI418:OFFSET(AI418,$B$6-1,0))</f>
        <v>#DIV/0!</v>
      </c>
      <c r="AL418" s="4" t="e">
        <f ca="1">SQRT($B$9)*_xlfn.STDEV.S(AI418:OFFSET(AI418,$B$7-1,0))</f>
        <v>#DIV/0!</v>
      </c>
      <c r="AM418" s="4" t="e">
        <f ca="1">SQRT($B$9)*_xlfn.STDEV.S(AI418:OFFSET(AI418,$B$8-1,0))</f>
        <v>#DIV/0!</v>
      </c>
    </row>
    <row r="419" spans="5:39" x14ac:dyDescent="0.2">
      <c r="E419" s="42">
        <v>45036</v>
      </c>
      <c r="F419" s="43"/>
      <c r="G419" s="43"/>
      <c r="H419" s="43"/>
      <c r="I419" s="43"/>
      <c r="K419" s="3" t="e">
        <f t="shared" si="39"/>
        <v>#DIV/0!</v>
      </c>
      <c r="L419" s="3" t="e">
        <f ca="1">SQRT(AVERAGE(K419:OFFSET(K419,$B$5-1,0))*$B$9/(4*LN(2)))</f>
        <v>#DIV/0!</v>
      </c>
      <c r="M419" s="3" t="e">
        <f ca="1">SQRT(AVERAGE(K419:OFFSET(K419,$B$6-1,0))*$B$9/(4*LN(2)))</f>
        <v>#DIV/0!</v>
      </c>
      <c r="N419" s="3" t="e">
        <f ca="1">SQRT(AVERAGE(K419:OFFSET(K419,$B$7-1,0))*$B$9/(4*LN(2)))</f>
        <v>#DIV/0!</v>
      </c>
      <c r="O419" s="3" t="e">
        <f ca="1">SQRT(AVERAGE(K419:OFFSET(K419,$B$8-1,0))*$B$9/(4*LN(2)))</f>
        <v>#DIV/0!</v>
      </c>
      <c r="Q419" s="5" t="e">
        <f t="shared" si="38"/>
        <v>#DIV/0!</v>
      </c>
      <c r="R419" s="5" t="e">
        <f ca="1">SQRT($B$9*AVERAGE((Q419:OFFSET(Q419,$B$5-1,0))))</f>
        <v>#DIV/0!</v>
      </c>
      <c r="S419" s="5" t="e">
        <f ca="1">SQRT($B$9*AVERAGE((Q419:OFFSET(Q419,$B$6-1,0))))</f>
        <v>#DIV/0!</v>
      </c>
      <c r="T419" s="5" t="e">
        <f ca="1">SQRT($B$9*AVERAGE((Q419:OFFSET(Q419,$B$7-1,0))))</f>
        <v>#DIV/0!</v>
      </c>
      <c r="U419" s="5" t="e">
        <f ca="1">SQRT($B$9*AVERAGE((Q419:OFFSET(Q419,$B$8-1,0))))</f>
        <v>#DIV/0!</v>
      </c>
      <c r="W419" s="6" t="e">
        <f t="shared" si="37"/>
        <v>#DIV/0!</v>
      </c>
      <c r="X419" s="6" t="e">
        <f ca="1">SQRT($B$9*AVERAGE(W419:OFFSET(W419,$B$5-1,0)))</f>
        <v>#DIV/0!</v>
      </c>
      <c r="Y419" s="6" t="e">
        <f ca="1">SQRT($B$9*AVERAGE(W419:OFFSET(W419,$B$6-1,0)))</f>
        <v>#DIV/0!</v>
      </c>
      <c r="Z419" s="6" t="e">
        <f ca="1">SQRT($B$9*AVERAGE(W419:OFFSET(W419,$B$7-1,0)))</f>
        <v>#DIV/0!</v>
      </c>
      <c r="AA419" s="6" t="e">
        <f ca="1">SQRT($B$9*AVERAGE(W419:OFFSET(W419,$B$8-1,0)))</f>
        <v>#DIV/0!</v>
      </c>
      <c r="AC419" s="34" t="e">
        <f t="shared" si="40"/>
        <v>#DIV/0!</v>
      </c>
      <c r="AD419" s="34" t="e">
        <f ca="1">SQRT($B$9*SUM(AC419:OFFSET(AC419,$B$5-1,0))/($B$5-1))</f>
        <v>#DIV/0!</v>
      </c>
      <c r="AE419" s="34" t="e">
        <f ca="1">SQRT($B$9*SUM(AC419:OFFSET(AC419,$B$6-1,0))/($B$6-1))</f>
        <v>#DIV/0!</v>
      </c>
      <c r="AF419" s="34" t="e">
        <f ca="1">SQRT($B$9*SUM(AC419:OFFSET(AC419,$B$7-1,0))/($B$7-1))</f>
        <v>#DIV/0!</v>
      </c>
      <c r="AG419" s="34" t="e">
        <f ca="1">SQRT($B$9*SUM(AC419:OFFSET(AC419,$B$8-1,0))/($B$8-1))</f>
        <v>#DIV/0!</v>
      </c>
      <c r="AI419" s="1" t="e">
        <f t="shared" si="41"/>
        <v>#DIV/0!</v>
      </c>
      <c r="AJ419" s="4" t="e">
        <f ca="1">SQRT($B$9)*_xlfn.STDEV.S(AI419:OFFSET(AI419,$B$5-1,0))</f>
        <v>#DIV/0!</v>
      </c>
      <c r="AK419" s="4" t="e">
        <f ca="1">SQRT($B$9)*_xlfn.STDEV.S(AI419:OFFSET(AI419,$B$6-1,0))</f>
        <v>#DIV/0!</v>
      </c>
      <c r="AL419" s="4" t="e">
        <f ca="1">SQRT($B$9)*_xlfn.STDEV.S(AI419:OFFSET(AI419,$B$7-1,0))</f>
        <v>#DIV/0!</v>
      </c>
      <c r="AM419" s="4" t="e">
        <f ca="1">SQRT($B$9)*_xlfn.STDEV.S(AI419:OFFSET(AI419,$B$8-1,0))</f>
        <v>#DIV/0!</v>
      </c>
    </row>
    <row r="420" spans="5:39" x14ac:dyDescent="0.2">
      <c r="E420" s="42">
        <v>45035</v>
      </c>
      <c r="F420" s="43"/>
      <c r="G420" s="43"/>
      <c r="H420" s="43"/>
      <c r="I420" s="43"/>
      <c r="K420" s="3" t="e">
        <f t="shared" si="39"/>
        <v>#DIV/0!</v>
      </c>
      <c r="L420" s="3" t="e">
        <f ca="1">SQRT(AVERAGE(K420:OFFSET(K420,$B$5-1,0))*$B$9/(4*LN(2)))</f>
        <v>#DIV/0!</v>
      </c>
      <c r="M420" s="3" t="e">
        <f ca="1">SQRT(AVERAGE(K420:OFFSET(K420,$B$6-1,0))*$B$9/(4*LN(2)))</f>
        <v>#DIV/0!</v>
      </c>
      <c r="N420" s="3" t="e">
        <f ca="1">SQRT(AVERAGE(K420:OFFSET(K420,$B$7-1,0))*$B$9/(4*LN(2)))</f>
        <v>#DIV/0!</v>
      </c>
      <c r="O420" s="3" t="e">
        <f ca="1">SQRT(AVERAGE(K420:OFFSET(K420,$B$8-1,0))*$B$9/(4*LN(2)))</f>
        <v>#DIV/0!</v>
      </c>
      <c r="Q420" s="5" t="e">
        <f t="shared" si="38"/>
        <v>#DIV/0!</v>
      </c>
      <c r="R420" s="5" t="e">
        <f ca="1">SQRT($B$9*AVERAGE((Q420:OFFSET(Q420,$B$5-1,0))))</f>
        <v>#DIV/0!</v>
      </c>
      <c r="S420" s="5" t="e">
        <f ca="1">SQRT($B$9*AVERAGE((Q420:OFFSET(Q420,$B$6-1,0))))</f>
        <v>#DIV/0!</v>
      </c>
      <c r="T420" s="5" t="e">
        <f ca="1">SQRT($B$9*AVERAGE((Q420:OFFSET(Q420,$B$7-1,0))))</f>
        <v>#DIV/0!</v>
      </c>
      <c r="U420" s="5" t="e">
        <f ca="1">SQRT($B$9*AVERAGE((Q420:OFFSET(Q420,$B$8-1,0))))</f>
        <v>#DIV/0!</v>
      </c>
      <c r="W420" s="6" t="e">
        <f t="shared" si="37"/>
        <v>#DIV/0!</v>
      </c>
      <c r="X420" s="6" t="e">
        <f ca="1">SQRT($B$9*AVERAGE(W420:OFFSET(W420,$B$5-1,0)))</f>
        <v>#DIV/0!</v>
      </c>
      <c r="Y420" s="6" t="e">
        <f ca="1">SQRT($B$9*AVERAGE(W420:OFFSET(W420,$B$6-1,0)))</f>
        <v>#DIV/0!</v>
      </c>
      <c r="Z420" s="6" t="e">
        <f ca="1">SQRT($B$9*AVERAGE(W420:OFFSET(W420,$B$7-1,0)))</f>
        <v>#DIV/0!</v>
      </c>
      <c r="AA420" s="6" t="e">
        <f ca="1">SQRT($B$9*AVERAGE(W420:OFFSET(W420,$B$8-1,0)))</f>
        <v>#DIV/0!</v>
      </c>
      <c r="AC420" s="34" t="e">
        <f t="shared" si="40"/>
        <v>#DIV/0!</v>
      </c>
      <c r="AD420" s="34" t="e">
        <f ca="1">SQRT($B$9*SUM(AC420:OFFSET(AC420,$B$5-1,0))/($B$5-1))</f>
        <v>#DIV/0!</v>
      </c>
      <c r="AE420" s="34" t="e">
        <f ca="1">SQRT($B$9*SUM(AC420:OFFSET(AC420,$B$6-1,0))/($B$6-1))</f>
        <v>#DIV/0!</v>
      </c>
      <c r="AF420" s="34" t="e">
        <f ca="1">SQRT($B$9*SUM(AC420:OFFSET(AC420,$B$7-1,0))/($B$7-1))</f>
        <v>#DIV/0!</v>
      </c>
      <c r="AG420" s="34" t="e">
        <f ca="1">SQRT($B$9*SUM(AC420:OFFSET(AC420,$B$8-1,0))/($B$8-1))</f>
        <v>#DIV/0!</v>
      </c>
      <c r="AI420" s="1" t="e">
        <f t="shared" si="41"/>
        <v>#DIV/0!</v>
      </c>
      <c r="AJ420" s="4" t="e">
        <f ca="1">SQRT($B$9)*_xlfn.STDEV.S(AI420:OFFSET(AI420,$B$5-1,0))</f>
        <v>#DIV/0!</v>
      </c>
      <c r="AK420" s="4" t="e">
        <f ca="1">SQRT($B$9)*_xlfn.STDEV.S(AI420:OFFSET(AI420,$B$6-1,0))</f>
        <v>#DIV/0!</v>
      </c>
      <c r="AL420" s="4" t="e">
        <f ca="1">SQRT($B$9)*_xlfn.STDEV.S(AI420:OFFSET(AI420,$B$7-1,0))</f>
        <v>#DIV/0!</v>
      </c>
      <c r="AM420" s="4" t="e">
        <f ca="1">SQRT($B$9)*_xlfn.STDEV.S(AI420:OFFSET(AI420,$B$8-1,0))</f>
        <v>#DIV/0!</v>
      </c>
    </row>
    <row r="421" spans="5:39" x14ac:dyDescent="0.2">
      <c r="E421" s="42">
        <v>45034</v>
      </c>
      <c r="F421" s="43"/>
      <c r="G421" s="43"/>
      <c r="H421" s="43"/>
      <c r="I421" s="43"/>
      <c r="K421" s="3" t="e">
        <f t="shared" si="39"/>
        <v>#DIV/0!</v>
      </c>
      <c r="L421" s="3" t="e">
        <f ca="1">SQRT(AVERAGE(K421:OFFSET(K421,$B$5-1,0))*$B$9/(4*LN(2)))</f>
        <v>#DIV/0!</v>
      </c>
      <c r="M421" s="3" t="e">
        <f ca="1">SQRT(AVERAGE(K421:OFFSET(K421,$B$6-1,0))*$B$9/(4*LN(2)))</f>
        <v>#DIV/0!</v>
      </c>
      <c r="N421" s="3" t="e">
        <f ca="1">SQRT(AVERAGE(K421:OFFSET(K421,$B$7-1,0))*$B$9/(4*LN(2)))</f>
        <v>#DIV/0!</v>
      </c>
      <c r="O421" s="3" t="e">
        <f ca="1">SQRT(AVERAGE(K421:OFFSET(K421,$B$8-1,0))*$B$9/(4*LN(2)))</f>
        <v>#DIV/0!</v>
      </c>
      <c r="Q421" s="5" t="e">
        <f t="shared" si="38"/>
        <v>#DIV/0!</v>
      </c>
      <c r="R421" s="5" t="e">
        <f ca="1">SQRT($B$9*AVERAGE((Q421:OFFSET(Q421,$B$5-1,0))))</f>
        <v>#DIV/0!</v>
      </c>
      <c r="S421" s="5" t="e">
        <f ca="1">SQRT($B$9*AVERAGE((Q421:OFFSET(Q421,$B$6-1,0))))</f>
        <v>#DIV/0!</v>
      </c>
      <c r="T421" s="5" t="e">
        <f ca="1">SQRT($B$9*AVERAGE((Q421:OFFSET(Q421,$B$7-1,0))))</f>
        <v>#DIV/0!</v>
      </c>
      <c r="U421" s="5" t="e">
        <f ca="1">SQRT($B$9*AVERAGE((Q421:OFFSET(Q421,$B$8-1,0))))</f>
        <v>#DIV/0!</v>
      </c>
      <c r="W421" s="6" t="e">
        <f t="shared" si="37"/>
        <v>#DIV/0!</v>
      </c>
      <c r="X421" s="6" t="e">
        <f ca="1">SQRT($B$9*AVERAGE(W421:OFFSET(W421,$B$5-1,0)))</f>
        <v>#DIV/0!</v>
      </c>
      <c r="Y421" s="6" t="e">
        <f ca="1">SQRT($B$9*AVERAGE(W421:OFFSET(W421,$B$6-1,0)))</f>
        <v>#DIV/0!</v>
      </c>
      <c r="Z421" s="6" t="e">
        <f ca="1">SQRT($B$9*AVERAGE(W421:OFFSET(W421,$B$7-1,0)))</f>
        <v>#DIV/0!</v>
      </c>
      <c r="AA421" s="6" t="e">
        <f ca="1">SQRT($B$9*AVERAGE(W421:OFFSET(W421,$B$8-1,0)))</f>
        <v>#DIV/0!</v>
      </c>
      <c r="AC421" s="34" t="e">
        <f t="shared" si="40"/>
        <v>#DIV/0!</v>
      </c>
      <c r="AD421" s="34" t="e">
        <f ca="1">SQRT($B$9*SUM(AC421:OFFSET(AC421,$B$5-1,0))/($B$5-1))</f>
        <v>#DIV/0!</v>
      </c>
      <c r="AE421" s="34" t="e">
        <f ca="1">SQRT($B$9*SUM(AC421:OFFSET(AC421,$B$6-1,0))/($B$6-1))</f>
        <v>#DIV/0!</v>
      </c>
      <c r="AF421" s="34" t="e">
        <f ca="1">SQRT($B$9*SUM(AC421:OFFSET(AC421,$B$7-1,0))/($B$7-1))</f>
        <v>#DIV/0!</v>
      </c>
      <c r="AG421" s="34" t="e">
        <f ca="1">SQRT($B$9*SUM(AC421:OFFSET(AC421,$B$8-1,0))/($B$8-1))</f>
        <v>#DIV/0!</v>
      </c>
      <c r="AI421" s="1" t="e">
        <f t="shared" si="41"/>
        <v>#DIV/0!</v>
      </c>
      <c r="AJ421" s="4" t="e">
        <f ca="1">SQRT($B$9)*_xlfn.STDEV.S(AI421:OFFSET(AI421,$B$5-1,0))</f>
        <v>#DIV/0!</v>
      </c>
      <c r="AK421" s="4" t="e">
        <f ca="1">SQRT($B$9)*_xlfn.STDEV.S(AI421:OFFSET(AI421,$B$6-1,0))</f>
        <v>#DIV/0!</v>
      </c>
      <c r="AL421" s="4" t="e">
        <f ca="1">SQRT($B$9)*_xlfn.STDEV.S(AI421:OFFSET(AI421,$B$7-1,0))</f>
        <v>#DIV/0!</v>
      </c>
      <c r="AM421" s="4" t="e">
        <f ca="1">SQRT($B$9)*_xlfn.STDEV.S(AI421:OFFSET(AI421,$B$8-1,0))</f>
        <v>#DIV/0!</v>
      </c>
    </row>
    <row r="422" spans="5:39" x14ac:dyDescent="0.2">
      <c r="E422" s="42">
        <v>45033</v>
      </c>
      <c r="F422" s="43"/>
      <c r="G422" s="43"/>
      <c r="H422" s="43"/>
      <c r="I422" s="43"/>
      <c r="K422" s="3" t="e">
        <f t="shared" si="39"/>
        <v>#DIV/0!</v>
      </c>
      <c r="L422" s="3" t="e">
        <f ca="1">SQRT(AVERAGE(K422:OFFSET(K422,$B$5-1,0))*$B$9/(4*LN(2)))</f>
        <v>#DIV/0!</v>
      </c>
      <c r="M422" s="3" t="e">
        <f ca="1">SQRT(AVERAGE(K422:OFFSET(K422,$B$6-1,0))*$B$9/(4*LN(2)))</f>
        <v>#DIV/0!</v>
      </c>
      <c r="N422" s="3" t="e">
        <f ca="1">SQRT(AVERAGE(K422:OFFSET(K422,$B$7-1,0))*$B$9/(4*LN(2)))</f>
        <v>#DIV/0!</v>
      </c>
      <c r="O422" s="3" t="e">
        <f ca="1">SQRT(AVERAGE(K422:OFFSET(K422,$B$8-1,0))*$B$9/(4*LN(2)))</f>
        <v>#DIV/0!</v>
      </c>
      <c r="Q422" s="5" t="e">
        <f t="shared" si="38"/>
        <v>#DIV/0!</v>
      </c>
      <c r="R422" s="5" t="e">
        <f ca="1">SQRT($B$9*AVERAGE((Q422:OFFSET(Q422,$B$5-1,0))))</f>
        <v>#DIV/0!</v>
      </c>
      <c r="S422" s="5" t="e">
        <f ca="1">SQRT($B$9*AVERAGE((Q422:OFFSET(Q422,$B$6-1,0))))</f>
        <v>#DIV/0!</v>
      </c>
      <c r="T422" s="5" t="e">
        <f ca="1">SQRT($B$9*AVERAGE((Q422:OFFSET(Q422,$B$7-1,0))))</f>
        <v>#DIV/0!</v>
      </c>
      <c r="U422" s="5" t="e">
        <f ca="1">SQRT($B$9*AVERAGE((Q422:OFFSET(Q422,$B$8-1,0))))</f>
        <v>#DIV/0!</v>
      </c>
      <c r="W422" s="6" t="e">
        <f t="shared" si="37"/>
        <v>#DIV/0!</v>
      </c>
      <c r="X422" s="6" t="e">
        <f ca="1">SQRT($B$9*AVERAGE(W422:OFFSET(W422,$B$5-1,0)))</f>
        <v>#DIV/0!</v>
      </c>
      <c r="Y422" s="6" t="e">
        <f ca="1">SQRT($B$9*AVERAGE(W422:OFFSET(W422,$B$6-1,0)))</f>
        <v>#DIV/0!</v>
      </c>
      <c r="Z422" s="6" t="e">
        <f ca="1">SQRT($B$9*AVERAGE(W422:OFFSET(W422,$B$7-1,0)))</f>
        <v>#DIV/0!</v>
      </c>
      <c r="AA422" s="6" t="e">
        <f ca="1">SQRT($B$9*AVERAGE(W422:OFFSET(W422,$B$8-1,0)))</f>
        <v>#DIV/0!</v>
      </c>
      <c r="AC422" s="34" t="e">
        <f t="shared" si="40"/>
        <v>#DIV/0!</v>
      </c>
      <c r="AD422" s="34" t="e">
        <f ca="1">SQRT($B$9*SUM(AC422:OFFSET(AC422,$B$5-1,0))/($B$5-1))</f>
        <v>#DIV/0!</v>
      </c>
      <c r="AE422" s="34" t="e">
        <f ca="1">SQRT($B$9*SUM(AC422:OFFSET(AC422,$B$6-1,0))/($B$6-1))</f>
        <v>#DIV/0!</v>
      </c>
      <c r="AF422" s="34" t="e">
        <f ca="1">SQRT($B$9*SUM(AC422:OFFSET(AC422,$B$7-1,0))/($B$7-1))</f>
        <v>#DIV/0!</v>
      </c>
      <c r="AG422" s="34" t="e">
        <f ca="1">SQRT($B$9*SUM(AC422:OFFSET(AC422,$B$8-1,0))/($B$8-1))</f>
        <v>#DIV/0!</v>
      </c>
      <c r="AI422" s="1" t="e">
        <f t="shared" si="41"/>
        <v>#DIV/0!</v>
      </c>
      <c r="AJ422" s="4" t="e">
        <f ca="1">SQRT($B$9)*_xlfn.STDEV.S(AI422:OFFSET(AI422,$B$5-1,0))</f>
        <v>#DIV/0!</v>
      </c>
      <c r="AK422" s="4" t="e">
        <f ca="1">SQRT($B$9)*_xlfn.STDEV.S(AI422:OFFSET(AI422,$B$6-1,0))</f>
        <v>#DIV/0!</v>
      </c>
      <c r="AL422" s="4" t="e">
        <f ca="1">SQRT($B$9)*_xlfn.STDEV.S(AI422:OFFSET(AI422,$B$7-1,0))</f>
        <v>#DIV/0!</v>
      </c>
      <c r="AM422" s="4" t="e">
        <f ca="1">SQRT($B$9)*_xlfn.STDEV.S(AI422:OFFSET(AI422,$B$8-1,0))</f>
        <v>#DIV/0!</v>
      </c>
    </row>
    <row r="423" spans="5:39" x14ac:dyDescent="0.2">
      <c r="E423" s="42">
        <v>45030</v>
      </c>
      <c r="F423" s="43"/>
      <c r="G423" s="43"/>
      <c r="H423" s="43"/>
      <c r="I423" s="43"/>
      <c r="K423" s="3" t="e">
        <f t="shared" si="39"/>
        <v>#DIV/0!</v>
      </c>
      <c r="L423" s="3" t="e">
        <f ca="1">SQRT(AVERAGE(K423:OFFSET(K423,$B$5-1,0))*$B$9/(4*LN(2)))</f>
        <v>#DIV/0!</v>
      </c>
      <c r="M423" s="3" t="e">
        <f ca="1">SQRT(AVERAGE(K423:OFFSET(K423,$B$6-1,0))*$B$9/(4*LN(2)))</f>
        <v>#DIV/0!</v>
      </c>
      <c r="N423" s="3" t="e">
        <f ca="1">SQRT(AVERAGE(K423:OFFSET(K423,$B$7-1,0))*$B$9/(4*LN(2)))</f>
        <v>#DIV/0!</v>
      </c>
      <c r="O423" s="3" t="e">
        <f ca="1">SQRT(AVERAGE(K423:OFFSET(K423,$B$8-1,0))*$B$9/(4*LN(2)))</f>
        <v>#DIV/0!</v>
      </c>
      <c r="Q423" s="5" t="e">
        <f t="shared" si="38"/>
        <v>#DIV/0!</v>
      </c>
      <c r="R423" s="5" t="e">
        <f ca="1">SQRT($B$9*AVERAGE((Q423:OFFSET(Q423,$B$5-1,0))))</f>
        <v>#DIV/0!</v>
      </c>
      <c r="S423" s="5" t="e">
        <f ca="1">SQRT($B$9*AVERAGE((Q423:OFFSET(Q423,$B$6-1,0))))</f>
        <v>#DIV/0!</v>
      </c>
      <c r="T423" s="5" t="e">
        <f ca="1">SQRT($B$9*AVERAGE((Q423:OFFSET(Q423,$B$7-1,0))))</f>
        <v>#DIV/0!</v>
      </c>
      <c r="U423" s="5" t="e">
        <f ca="1">SQRT($B$9*AVERAGE((Q423:OFFSET(Q423,$B$8-1,0))))</f>
        <v>#DIV/0!</v>
      </c>
      <c r="W423" s="6" t="e">
        <f t="shared" ref="W423:W486" si="42">LN(G423/I423)*LN(G423/F423)+LN(H423/I423)*LN(H423/F423)</f>
        <v>#DIV/0!</v>
      </c>
      <c r="X423" s="6" t="e">
        <f ca="1">SQRT($B$9*AVERAGE(W423:OFFSET(W423,$B$5-1,0)))</f>
        <v>#DIV/0!</v>
      </c>
      <c r="Y423" s="6" t="e">
        <f ca="1">SQRT($B$9*AVERAGE(W423:OFFSET(W423,$B$6-1,0)))</f>
        <v>#DIV/0!</v>
      </c>
      <c r="Z423" s="6" t="e">
        <f ca="1">SQRT($B$9*AVERAGE(W423:OFFSET(W423,$B$7-1,0)))</f>
        <v>#DIV/0!</v>
      </c>
      <c r="AA423" s="6" t="e">
        <f ca="1">SQRT($B$9*AVERAGE(W423:OFFSET(W423,$B$8-1,0)))</f>
        <v>#DIV/0!</v>
      </c>
      <c r="AC423" s="34" t="e">
        <f t="shared" si="40"/>
        <v>#DIV/0!</v>
      </c>
      <c r="AD423" s="34" t="e">
        <f ca="1">SQRT($B$9*SUM(AC423:OFFSET(AC423,$B$5-1,0))/($B$5-1))</f>
        <v>#DIV/0!</v>
      </c>
      <c r="AE423" s="34" t="e">
        <f ca="1">SQRT($B$9*SUM(AC423:OFFSET(AC423,$B$6-1,0))/($B$6-1))</f>
        <v>#DIV/0!</v>
      </c>
      <c r="AF423" s="34" t="e">
        <f ca="1">SQRT($B$9*SUM(AC423:OFFSET(AC423,$B$7-1,0))/($B$7-1))</f>
        <v>#DIV/0!</v>
      </c>
      <c r="AG423" s="34" t="e">
        <f ca="1">SQRT($B$9*SUM(AC423:OFFSET(AC423,$B$8-1,0))/($B$8-1))</f>
        <v>#DIV/0!</v>
      </c>
      <c r="AI423" s="1" t="e">
        <f t="shared" si="41"/>
        <v>#DIV/0!</v>
      </c>
      <c r="AJ423" s="4" t="e">
        <f ca="1">SQRT($B$9)*_xlfn.STDEV.S(AI423:OFFSET(AI423,$B$5-1,0))</f>
        <v>#DIV/0!</v>
      </c>
      <c r="AK423" s="4" t="e">
        <f ca="1">SQRT($B$9)*_xlfn.STDEV.S(AI423:OFFSET(AI423,$B$6-1,0))</f>
        <v>#DIV/0!</v>
      </c>
      <c r="AL423" s="4" t="e">
        <f ca="1">SQRT($B$9)*_xlfn.STDEV.S(AI423:OFFSET(AI423,$B$7-1,0))</f>
        <v>#DIV/0!</v>
      </c>
      <c r="AM423" s="4" t="e">
        <f ca="1">SQRT($B$9)*_xlfn.STDEV.S(AI423:OFFSET(AI423,$B$8-1,0))</f>
        <v>#DIV/0!</v>
      </c>
    </row>
    <row r="424" spans="5:39" x14ac:dyDescent="0.2">
      <c r="E424" s="42">
        <v>45029</v>
      </c>
      <c r="F424" s="43"/>
      <c r="G424" s="43"/>
      <c r="H424" s="43"/>
      <c r="I424" s="43"/>
      <c r="K424" s="3" t="e">
        <f t="shared" si="39"/>
        <v>#DIV/0!</v>
      </c>
      <c r="L424" s="3" t="e">
        <f ca="1">SQRT(AVERAGE(K424:OFFSET(K424,$B$5-1,0))*$B$9/(4*LN(2)))</f>
        <v>#DIV/0!</v>
      </c>
      <c r="M424" s="3" t="e">
        <f ca="1">SQRT(AVERAGE(K424:OFFSET(K424,$B$6-1,0))*$B$9/(4*LN(2)))</f>
        <v>#DIV/0!</v>
      </c>
      <c r="N424" s="3" t="e">
        <f ca="1">SQRT(AVERAGE(K424:OFFSET(K424,$B$7-1,0))*$B$9/(4*LN(2)))</f>
        <v>#DIV/0!</v>
      </c>
      <c r="O424" s="3" t="e">
        <f ca="1">SQRT(AVERAGE(K424:OFFSET(K424,$B$8-1,0))*$B$9/(4*LN(2)))</f>
        <v>#DIV/0!</v>
      </c>
      <c r="Q424" s="5" t="e">
        <f t="shared" si="38"/>
        <v>#DIV/0!</v>
      </c>
      <c r="R424" s="5" t="e">
        <f ca="1">SQRT($B$9*AVERAGE((Q424:OFFSET(Q424,$B$5-1,0))))</f>
        <v>#DIV/0!</v>
      </c>
      <c r="S424" s="5" t="e">
        <f ca="1">SQRT($B$9*AVERAGE((Q424:OFFSET(Q424,$B$6-1,0))))</f>
        <v>#DIV/0!</v>
      </c>
      <c r="T424" s="5" t="e">
        <f ca="1">SQRT($B$9*AVERAGE((Q424:OFFSET(Q424,$B$7-1,0))))</f>
        <v>#DIV/0!</v>
      </c>
      <c r="U424" s="5" t="e">
        <f ca="1">SQRT($B$9*AVERAGE((Q424:OFFSET(Q424,$B$8-1,0))))</f>
        <v>#DIV/0!</v>
      </c>
      <c r="W424" s="6" t="e">
        <f t="shared" si="42"/>
        <v>#DIV/0!</v>
      </c>
      <c r="X424" s="6" t="e">
        <f ca="1">SQRT($B$9*AVERAGE(W424:OFFSET(W424,$B$5-1,0)))</f>
        <v>#DIV/0!</v>
      </c>
      <c r="Y424" s="6" t="e">
        <f ca="1">SQRT($B$9*AVERAGE(W424:OFFSET(W424,$B$6-1,0)))</f>
        <v>#DIV/0!</v>
      </c>
      <c r="Z424" s="6" t="e">
        <f ca="1">SQRT($B$9*AVERAGE(W424:OFFSET(W424,$B$7-1,0)))</f>
        <v>#DIV/0!</v>
      </c>
      <c r="AA424" s="6" t="e">
        <f ca="1">SQRT($B$9*AVERAGE(W424:OFFSET(W424,$B$8-1,0)))</f>
        <v>#DIV/0!</v>
      </c>
      <c r="AC424" s="34" t="e">
        <f t="shared" si="40"/>
        <v>#DIV/0!</v>
      </c>
      <c r="AD424" s="34" t="e">
        <f ca="1">SQRT($B$9*SUM(AC424:OFFSET(AC424,$B$5-1,0))/($B$5-1))</f>
        <v>#DIV/0!</v>
      </c>
      <c r="AE424" s="34" t="e">
        <f ca="1">SQRT($B$9*SUM(AC424:OFFSET(AC424,$B$6-1,0))/($B$6-1))</f>
        <v>#DIV/0!</v>
      </c>
      <c r="AF424" s="34" t="e">
        <f ca="1">SQRT($B$9*SUM(AC424:OFFSET(AC424,$B$7-1,0))/($B$7-1))</f>
        <v>#DIV/0!</v>
      </c>
      <c r="AG424" s="34" t="e">
        <f ca="1">SQRT($B$9*SUM(AC424:OFFSET(AC424,$B$8-1,0))/($B$8-1))</f>
        <v>#DIV/0!</v>
      </c>
      <c r="AI424" s="1" t="e">
        <f t="shared" si="41"/>
        <v>#DIV/0!</v>
      </c>
      <c r="AJ424" s="4" t="e">
        <f ca="1">SQRT($B$9)*_xlfn.STDEV.S(AI424:OFFSET(AI424,$B$5-1,0))</f>
        <v>#DIV/0!</v>
      </c>
      <c r="AK424" s="4" t="e">
        <f ca="1">SQRT($B$9)*_xlfn.STDEV.S(AI424:OFFSET(AI424,$B$6-1,0))</f>
        <v>#DIV/0!</v>
      </c>
      <c r="AL424" s="4" t="e">
        <f ca="1">SQRT($B$9)*_xlfn.STDEV.S(AI424:OFFSET(AI424,$B$7-1,0))</f>
        <v>#DIV/0!</v>
      </c>
      <c r="AM424" s="4" t="e">
        <f ca="1">SQRT($B$9)*_xlfn.STDEV.S(AI424:OFFSET(AI424,$B$8-1,0))</f>
        <v>#DIV/0!</v>
      </c>
    </row>
    <row r="425" spans="5:39" x14ac:dyDescent="0.2">
      <c r="E425" s="42">
        <v>45028</v>
      </c>
      <c r="F425" s="43"/>
      <c r="G425" s="43"/>
      <c r="H425" s="43"/>
      <c r="I425" s="43"/>
      <c r="K425" s="3" t="e">
        <f t="shared" si="39"/>
        <v>#DIV/0!</v>
      </c>
      <c r="L425" s="3" t="e">
        <f ca="1">SQRT(AVERAGE(K425:OFFSET(K425,$B$5-1,0))*$B$9/(4*LN(2)))</f>
        <v>#DIV/0!</v>
      </c>
      <c r="M425" s="3" t="e">
        <f ca="1">SQRT(AVERAGE(K425:OFFSET(K425,$B$6-1,0))*$B$9/(4*LN(2)))</f>
        <v>#DIV/0!</v>
      </c>
      <c r="N425" s="3" t="e">
        <f ca="1">SQRT(AVERAGE(K425:OFFSET(K425,$B$7-1,0))*$B$9/(4*LN(2)))</f>
        <v>#DIV/0!</v>
      </c>
      <c r="O425" s="3" t="e">
        <f ca="1">SQRT(AVERAGE(K425:OFFSET(K425,$B$8-1,0))*$B$9/(4*LN(2)))</f>
        <v>#DIV/0!</v>
      </c>
      <c r="Q425" s="5" t="e">
        <f t="shared" si="38"/>
        <v>#DIV/0!</v>
      </c>
      <c r="R425" s="5" t="e">
        <f ca="1">SQRT($B$9*AVERAGE((Q425:OFFSET(Q425,$B$5-1,0))))</f>
        <v>#DIV/0!</v>
      </c>
      <c r="S425" s="5" t="e">
        <f ca="1">SQRT($B$9*AVERAGE((Q425:OFFSET(Q425,$B$6-1,0))))</f>
        <v>#DIV/0!</v>
      </c>
      <c r="T425" s="5" t="e">
        <f ca="1">SQRT($B$9*AVERAGE((Q425:OFFSET(Q425,$B$7-1,0))))</f>
        <v>#DIV/0!</v>
      </c>
      <c r="U425" s="5" t="e">
        <f ca="1">SQRT($B$9*AVERAGE((Q425:OFFSET(Q425,$B$8-1,0))))</f>
        <v>#DIV/0!</v>
      </c>
      <c r="W425" s="6" t="e">
        <f t="shared" si="42"/>
        <v>#DIV/0!</v>
      </c>
      <c r="X425" s="6" t="e">
        <f ca="1">SQRT($B$9*AVERAGE(W425:OFFSET(W425,$B$5-1,0)))</f>
        <v>#DIV/0!</v>
      </c>
      <c r="Y425" s="6" t="e">
        <f ca="1">SQRT($B$9*AVERAGE(W425:OFFSET(W425,$B$6-1,0)))</f>
        <v>#DIV/0!</v>
      </c>
      <c r="Z425" s="6" t="e">
        <f ca="1">SQRT($B$9*AVERAGE(W425:OFFSET(W425,$B$7-1,0)))</f>
        <v>#DIV/0!</v>
      </c>
      <c r="AA425" s="6" t="e">
        <f ca="1">SQRT($B$9*AVERAGE(W425:OFFSET(W425,$B$8-1,0)))</f>
        <v>#DIV/0!</v>
      </c>
      <c r="AC425" s="34" t="e">
        <f t="shared" si="40"/>
        <v>#DIV/0!</v>
      </c>
      <c r="AD425" s="34" t="e">
        <f ca="1">SQRT($B$9*SUM(AC425:OFFSET(AC425,$B$5-1,0))/($B$5-1))</f>
        <v>#DIV/0!</v>
      </c>
      <c r="AE425" s="34" t="e">
        <f ca="1">SQRT($B$9*SUM(AC425:OFFSET(AC425,$B$6-1,0))/($B$6-1))</f>
        <v>#DIV/0!</v>
      </c>
      <c r="AF425" s="34" t="e">
        <f ca="1">SQRT($B$9*SUM(AC425:OFFSET(AC425,$B$7-1,0))/($B$7-1))</f>
        <v>#DIV/0!</v>
      </c>
      <c r="AG425" s="34" t="e">
        <f ca="1">SQRT($B$9*SUM(AC425:OFFSET(AC425,$B$8-1,0))/($B$8-1))</f>
        <v>#DIV/0!</v>
      </c>
      <c r="AI425" s="1" t="e">
        <f t="shared" si="41"/>
        <v>#DIV/0!</v>
      </c>
      <c r="AJ425" s="4" t="e">
        <f ca="1">SQRT($B$9)*_xlfn.STDEV.S(AI425:OFFSET(AI425,$B$5-1,0))</f>
        <v>#DIV/0!</v>
      </c>
      <c r="AK425" s="4" t="e">
        <f ca="1">SQRT($B$9)*_xlfn.STDEV.S(AI425:OFFSET(AI425,$B$6-1,0))</f>
        <v>#DIV/0!</v>
      </c>
      <c r="AL425" s="4" t="e">
        <f ca="1">SQRT($B$9)*_xlfn.STDEV.S(AI425:OFFSET(AI425,$B$7-1,0))</f>
        <v>#DIV/0!</v>
      </c>
      <c r="AM425" s="4" t="e">
        <f ca="1">SQRT($B$9)*_xlfn.STDEV.S(AI425:OFFSET(AI425,$B$8-1,0))</f>
        <v>#DIV/0!</v>
      </c>
    </row>
    <row r="426" spans="5:39" x14ac:dyDescent="0.2">
      <c r="E426" s="42">
        <v>45027</v>
      </c>
      <c r="F426" s="43"/>
      <c r="G426" s="43"/>
      <c r="H426" s="43"/>
      <c r="I426" s="43"/>
      <c r="K426" s="3" t="e">
        <f t="shared" si="39"/>
        <v>#DIV/0!</v>
      </c>
      <c r="L426" s="3" t="e">
        <f ca="1">SQRT(AVERAGE(K426:OFFSET(K426,$B$5-1,0))*$B$9/(4*LN(2)))</f>
        <v>#DIV/0!</v>
      </c>
      <c r="M426" s="3" t="e">
        <f ca="1">SQRT(AVERAGE(K426:OFFSET(K426,$B$6-1,0))*$B$9/(4*LN(2)))</f>
        <v>#DIV/0!</v>
      </c>
      <c r="N426" s="3" t="e">
        <f ca="1">SQRT(AVERAGE(K426:OFFSET(K426,$B$7-1,0))*$B$9/(4*LN(2)))</f>
        <v>#DIV/0!</v>
      </c>
      <c r="O426" s="3" t="e">
        <f ca="1">SQRT(AVERAGE(K426:OFFSET(K426,$B$8-1,0))*$B$9/(4*LN(2)))</f>
        <v>#DIV/0!</v>
      </c>
      <c r="Q426" s="5" t="e">
        <f t="shared" si="38"/>
        <v>#DIV/0!</v>
      </c>
      <c r="R426" s="5" t="e">
        <f ca="1">SQRT($B$9*AVERAGE((Q426:OFFSET(Q426,$B$5-1,0))))</f>
        <v>#DIV/0!</v>
      </c>
      <c r="S426" s="5" t="e">
        <f ca="1">SQRT($B$9*AVERAGE((Q426:OFFSET(Q426,$B$6-1,0))))</f>
        <v>#DIV/0!</v>
      </c>
      <c r="T426" s="5" t="e">
        <f ca="1">SQRT($B$9*AVERAGE((Q426:OFFSET(Q426,$B$7-1,0))))</f>
        <v>#DIV/0!</v>
      </c>
      <c r="U426" s="5" t="e">
        <f ca="1">SQRT($B$9*AVERAGE((Q426:OFFSET(Q426,$B$8-1,0))))</f>
        <v>#DIV/0!</v>
      </c>
      <c r="W426" s="6" t="e">
        <f t="shared" si="42"/>
        <v>#DIV/0!</v>
      </c>
      <c r="X426" s="6" t="e">
        <f ca="1">SQRT($B$9*AVERAGE(W426:OFFSET(W426,$B$5-1,0)))</f>
        <v>#DIV/0!</v>
      </c>
      <c r="Y426" s="6" t="e">
        <f ca="1">SQRT($B$9*AVERAGE(W426:OFFSET(W426,$B$6-1,0)))</f>
        <v>#DIV/0!</v>
      </c>
      <c r="Z426" s="6" t="e">
        <f ca="1">SQRT($B$9*AVERAGE(W426:OFFSET(W426,$B$7-1,0)))</f>
        <v>#DIV/0!</v>
      </c>
      <c r="AA426" s="6" t="e">
        <f ca="1">SQRT($B$9*AVERAGE(W426:OFFSET(W426,$B$8-1,0)))</f>
        <v>#DIV/0!</v>
      </c>
      <c r="AC426" s="34" t="e">
        <f t="shared" si="40"/>
        <v>#DIV/0!</v>
      </c>
      <c r="AD426" s="34" t="e">
        <f ca="1">SQRT($B$9*SUM(AC426:OFFSET(AC426,$B$5-1,0))/($B$5-1))</f>
        <v>#DIV/0!</v>
      </c>
      <c r="AE426" s="34" t="e">
        <f ca="1">SQRT($B$9*SUM(AC426:OFFSET(AC426,$B$6-1,0))/($B$6-1))</f>
        <v>#DIV/0!</v>
      </c>
      <c r="AF426" s="34" t="e">
        <f ca="1">SQRT($B$9*SUM(AC426:OFFSET(AC426,$B$7-1,0))/($B$7-1))</f>
        <v>#DIV/0!</v>
      </c>
      <c r="AG426" s="34" t="e">
        <f ca="1">SQRT($B$9*SUM(AC426:OFFSET(AC426,$B$8-1,0))/($B$8-1))</f>
        <v>#DIV/0!</v>
      </c>
      <c r="AI426" s="1" t="e">
        <f t="shared" si="41"/>
        <v>#DIV/0!</v>
      </c>
      <c r="AJ426" s="4" t="e">
        <f ca="1">SQRT($B$9)*_xlfn.STDEV.S(AI426:OFFSET(AI426,$B$5-1,0))</f>
        <v>#DIV/0!</v>
      </c>
      <c r="AK426" s="4" t="e">
        <f ca="1">SQRT($B$9)*_xlfn.STDEV.S(AI426:OFFSET(AI426,$B$6-1,0))</f>
        <v>#DIV/0!</v>
      </c>
      <c r="AL426" s="4" t="e">
        <f ca="1">SQRT($B$9)*_xlfn.STDEV.S(AI426:OFFSET(AI426,$B$7-1,0))</f>
        <v>#DIV/0!</v>
      </c>
      <c r="AM426" s="4" t="e">
        <f ca="1">SQRT($B$9)*_xlfn.STDEV.S(AI426:OFFSET(AI426,$B$8-1,0))</f>
        <v>#DIV/0!</v>
      </c>
    </row>
    <row r="427" spans="5:39" x14ac:dyDescent="0.2">
      <c r="E427" s="42">
        <v>45026</v>
      </c>
      <c r="F427" s="43"/>
      <c r="G427" s="43"/>
      <c r="H427" s="43"/>
      <c r="I427" s="43"/>
      <c r="K427" s="3" t="e">
        <f t="shared" si="39"/>
        <v>#DIV/0!</v>
      </c>
      <c r="L427" s="3" t="e">
        <f ca="1">SQRT(AVERAGE(K427:OFFSET(K427,$B$5-1,0))*$B$9/(4*LN(2)))</f>
        <v>#DIV/0!</v>
      </c>
      <c r="M427" s="3" t="e">
        <f ca="1">SQRT(AVERAGE(K427:OFFSET(K427,$B$6-1,0))*$B$9/(4*LN(2)))</f>
        <v>#DIV/0!</v>
      </c>
      <c r="N427" s="3" t="e">
        <f ca="1">SQRT(AVERAGE(K427:OFFSET(K427,$B$7-1,0))*$B$9/(4*LN(2)))</f>
        <v>#DIV/0!</v>
      </c>
      <c r="O427" s="3" t="e">
        <f ca="1">SQRT(AVERAGE(K427:OFFSET(K427,$B$8-1,0))*$B$9/(4*LN(2)))</f>
        <v>#DIV/0!</v>
      </c>
      <c r="Q427" s="5" t="e">
        <f t="shared" si="38"/>
        <v>#DIV/0!</v>
      </c>
      <c r="R427" s="5" t="e">
        <f ca="1">SQRT($B$9*AVERAGE((Q427:OFFSET(Q427,$B$5-1,0))))</f>
        <v>#DIV/0!</v>
      </c>
      <c r="S427" s="5" t="e">
        <f ca="1">SQRT($B$9*AVERAGE((Q427:OFFSET(Q427,$B$6-1,0))))</f>
        <v>#DIV/0!</v>
      </c>
      <c r="T427" s="5" t="e">
        <f ca="1">SQRT($B$9*AVERAGE((Q427:OFFSET(Q427,$B$7-1,0))))</f>
        <v>#DIV/0!</v>
      </c>
      <c r="U427" s="5" t="e">
        <f ca="1">SQRT($B$9*AVERAGE((Q427:OFFSET(Q427,$B$8-1,0))))</f>
        <v>#DIV/0!</v>
      </c>
      <c r="W427" s="6" t="e">
        <f t="shared" si="42"/>
        <v>#DIV/0!</v>
      </c>
      <c r="X427" s="6" t="e">
        <f ca="1">SQRT($B$9*AVERAGE(W427:OFFSET(W427,$B$5-1,0)))</f>
        <v>#DIV/0!</v>
      </c>
      <c r="Y427" s="6" t="e">
        <f ca="1">SQRT($B$9*AVERAGE(W427:OFFSET(W427,$B$6-1,0)))</f>
        <v>#DIV/0!</v>
      </c>
      <c r="Z427" s="6" t="e">
        <f ca="1">SQRT($B$9*AVERAGE(W427:OFFSET(W427,$B$7-1,0)))</f>
        <v>#DIV/0!</v>
      </c>
      <c r="AA427" s="6" t="e">
        <f ca="1">SQRT($B$9*AVERAGE(W427:OFFSET(W427,$B$8-1,0)))</f>
        <v>#DIV/0!</v>
      </c>
      <c r="AC427" s="34" t="e">
        <f t="shared" si="40"/>
        <v>#DIV/0!</v>
      </c>
      <c r="AD427" s="34" t="e">
        <f ca="1">SQRT($B$9*SUM(AC427:OFFSET(AC427,$B$5-1,0))/($B$5-1))</f>
        <v>#DIV/0!</v>
      </c>
      <c r="AE427" s="34" t="e">
        <f ca="1">SQRT($B$9*SUM(AC427:OFFSET(AC427,$B$6-1,0))/($B$6-1))</f>
        <v>#DIV/0!</v>
      </c>
      <c r="AF427" s="34" t="e">
        <f ca="1">SQRT($B$9*SUM(AC427:OFFSET(AC427,$B$7-1,0))/($B$7-1))</f>
        <v>#DIV/0!</v>
      </c>
      <c r="AG427" s="34" t="e">
        <f ca="1">SQRT($B$9*SUM(AC427:OFFSET(AC427,$B$8-1,0))/($B$8-1))</f>
        <v>#DIV/0!</v>
      </c>
      <c r="AI427" s="1" t="e">
        <f t="shared" si="41"/>
        <v>#DIV/0!</v>
      </c>
      <c r="AJ427" s="4" t="e">
        <f ca="1">SQRT($B$9)*_xlfn.STDEV.S(AI427:OFFSET(AI427,$B$5-1,0))</f>
        <v>#DIV/0!</v>
      </c>
      <c r="AK427" s="4" t="e">
        <f ca="1">SQRT($B$9)*_xlfn.STDEV.S(AI427:OFFSET(AI427,$B$6-1,0))</f>
        <v>#DIV/0!</v>
      </c>
      <c r="AL427" s="4" t="e">
        <f ca="1">SQRT($B$9)*_xlfn.STDEV.S(AI427:OFFSET(AI427,$B$7-1,0))</f>
        <v>#DIV/0!</v>
      </c>
      <c r="AM427" s="4" t="e">
        <f ca="1">SQRT($B$9)*_xlfn.STDEV.S(AI427:OFFSET(AI427,$B$8-1,0))</f>
        <v>#DIV/0!</v>
      </c>
    </row>
    <row r="428" spans="5:39" x14ac:dyDescent="0.2">
      <c r="E428" s="42">
        <v>45023</v>
      </c>
      <c r="F428" s="43"/>
      <c r="G428" s="43"/>
      <c r="H428" s="43"/>
      <c r="I428" s="43"/>
      <c r="K428" s="3" t="e">
        <f t="shared" si="39"/>
        <v>#DIV/0!</v>
      </c>
      <c r="L428" s="3" t="e">
        <f ca="1">SQRT(AVERAGE(K428:OFFSET(K428,$B$5-1,0))*$B$9/(4*LN(2)))</f>
        <v>#DIV/0!</v>
      </c>
      <c r="M428" s="3" t="e">
        <f ca="1">SQRT(AVERAGE(K428:OFFSET(K428,$B$6-1,0))*$B$9/(4*LN(2)))</f>
        <v>#DIV/0!</v>
      </c>
      <c r="N428" s="3" t="e">
        <f ca="1">SQRT(AVERAGE(K428:OFFSET(K428,$B$7-1,0))*$B$9/(4*LN(2)))</f>
        <v>#DIV/0!</v>
      </c>
      <c r="O428" s="3" t="e">
        <f ca="1">SQRT(AVERAGE(K428:OFFSET(K428,$B$8-1,0))*$B$9/(4*LN(2)))</f>
        <v>#DIV/0!</v>
      </c>
      <c r="Q428" s="5" t="e">
        <f t="shared" si="38"/>
        <v>#DIV/0!</v>
      </c>
      <c r="R428" s="5" t="e">
        <f ca="1">SQRT($B$9*AVERAGE((Q428:OFFSET(Q428,$B$5-1,0))))</f>
        <v>#DIV/0!</v>
      </c>
      <c r="S428" s="5" t="e">
        <f ca="1">SQRT($B$9*AVERAGE((Q428:OFFSET(Q428,$B$6-1,0))))</f>
        <v>#DIV/0!</v>
      </c>
      <c r="T428" s="5" t="e">
        <f ca="1">SQRT($B$9*AVERAGE((Q428:OFFSET(Q428,$B$7-1,0))))</f>
        <v>#DIV/0!</v>
      </c>
      <c r="U428" s="5" t="e">
        <f ca="1">SQRT($B$9*AVERAGE((Q428:OFFSET(Q428,$B$8-1,0))))</f>
        <v>#DIV/0!</v>
      </c>
      <c r="W428" s="6" t="e">
        <f t="shared" si="42"/>
        <v>#DIV/0!</v>
      </c>
      <c r="X428" s="6" t="e">
        <f ca="1">SQRT($B$9*AVERAGE(W428:OFFSET(W428,$B$5-1,0)))</f>
        <v>#DIV/0!</v>
      </c>
      <c r="Y428" s="6" t="e">
        <f ca="1">SQRT($B$9*AVERAGE(W428:OFFSET(W428,$B$6-1,0)))</f>
        <v>#DIV/0!</v>
      </c>
      <c r="Z428" s="6" t="e">
        <f ca="1">SQRT($B$9*AVERAGE(W428:OFFSET(W428,$B$7-1,0)))</f>
        <v>#DIV/0!</v>
      </c>
      <c r="AA428" s="6" t="e">
        <f ca="1">SQRT($B$9*AVERAGE(W428:OFFSET(W428,$B$8-1,0)))</f>
        <v>#DIV/0!</v>
      </c>
      <c r="AC428" s="34" t="e">
        <f t="shared" si="40"/>
        <v>#DIV/0!</v>
      </c>
      <c r="AD428" s="34" t="e">
        <f ca="1">SQRT($B$9*SUM(AC428:OFFSET(AC428,$B$5-1,0))/($B$5-1))</f>
        <v>#DIV/0!</v>
      </c>
      <c r="AE428" s="34" t="e">
        <f ca="1">SQRT($B$9*SUM(AC428:OFFSET(AC428,$B$6-1,0))/($B$6-1))</f>
        <v>#DIV/0!</v>
      </c>
      <c r="AF428" s="34" t="e">
        <f ca="1">SQRT($B$9*SUM(AC428:OFFSET(AC428,$B$7-1,0))/($B$7-1))</f>
        <v>#DIV/0!</v>
      </c>
      <c r="AG428" s="34" t="e">
        <f ca="1">SQRT($B$9*SUM(AC428:OFFSET(AC428,$B$8-1,0))/($B$8-1))</f>
        <v>#DIV/0!</v>
      </c>
      <c r="AI428" s="1" t="e">
        <f t="shared" si="41"/>
        <v>#DIV/0!</v>
      </c>
      <c r="AJ428" s="4" t="e">
        <f ca="1">SQRT($B$9)*_xlfn.STDEV.S(AI428:OFFSET(AI428,$B$5-1,0))</f>
        <v>#DIV/0!</v>
      </c>
      <c r="AK428" s="4" t="e">
        <f ca="1">SQRT($B$9)*_xlfn.STDEV.S(AI428:OFFSET(AI428,$B$6-1,0))</f>
        <v>#DIV/0!</v>
      </c>
      <c r="AL428" s="4" t="e">
        <f ca="1">SQRT($B$9)*_xlfn.STDEV.S(AI428:OFFSET(AI428,$B$7-1,0))</f>
        <v>#DIV/0!</v>
      </c>
      <c r="AM428" s="4" t="e">
        <f ca="1">SQRT($B$9)*_xlfn.STDEV.S(AI428:OFFSET(AI428,$B$8-1,0))</f>
        <v>#DIV/0!</v>
      </c>
    </row>
    <row r="429" spans="5:39" x14ac:dyDescent="0.2">
      <c r="E429" s="42">
        <v>45022</v>
      </c>
      <c r="F429" s="43"/>
      <c r="G429" s="43"/>
      <c r="H429" s="43"/>
      <c r="I429" s="43"/>
      <c r="K429" s="3" t="e">
        <f t="shared" si="39"/>
        <v>#DIV/0!</v>
      </c>
      <c r="L429" s="3" t="e">
        <f ca="1">SQRT(AVERAGE(K429:OFFSET(K429,$B$5-1,0))*$B$9/(4*LN(2)))</f>
        <v>#DIV/0!</v>
      </c>
      <c r="M429" s="3" t="e">
        <f ca="1">SQRT(AVERAGE(K429:OFFSET(K429,$B$6-1,0))*$B$9/(4*LN(2)))</f>
        <v>#DIV/0!</v>
      </c>
      <c r="N429" s="3" t="e">
        <f ca="1">SQRT(AVERAGE(K429:OFFSET(K429,$B$7-1,0))*$B$9/(4*LN(2)))</f>
        <v>#DIV/0!</v>
      </c>
      <c r="O429" s="3" t="e">
        <f ca="1">SQRT(AVERAGE(K429:OFFSET(K429,$B$8-1,0))*$B$9/(4*LN(2)))</f>
        <v>#DIV/0!</v>
      </c>
      <c r="Q429" s="5" t="e">
        <f t="shared" si="38"/>
        <v>#DIV/0!</v>
      </c>
      <c r="R429" s="5" t="e">
        <f ca="1">SQRT($B$9*AVERAGE((Q429:OFFSET(Q429,$B$5-1,0))))</f>
        <v>#DIV/0!</v>
      </c>
      <c r="S429" s="5" t="e">
        <f ca="1">SQRT($B$9*AVERAGE((Q429:OFFSET(Q429,$B$6-1,0))))</f>
        <v>#DIV/0!</v>
      </c>
      <c r="T429" s="5" t="e">
        <f ca="1">SQRT($B$9*AVERAGE((Q429:OFFSET(Q429,$B$7-1,0))))</f>
        <v>#DIV/0!</v>
      </c>
      <c r="U429" s="5" t="e">
        <f ca="1">SQRT($B$9*AVERAGE((Q429:OFFSET(Q429,$B$8-1,0))))</f>
        <v>#DIV/0!</v>
      </c>
      <c r="W429" s="6" t="e">
        <f t="shared" si="42"/>
        <v>#DIV/0!</v>
      </c>
      <c r="X429" s="6" t="e">
        <f ca="1">SQRT($B$9*AVERAGE(W429:OFFSET(W429,$B$5-1,0)))</f>
        <v>#DIV/0!</v>
      </c>
      <c r="Y429" s="6" t="e">
        <f ca="1">SQRT($B$9*AVERAGE(W429:OFFSET(W429,$B$6-1,0)))</f>
        <v>#DIV/0!</v>
      </c>
      <c r="Z429" s="6" t="e">
        <f ca="1">SQRT($B$9*AVERAGE(W429:OFFSET(W429,$B$7-1,0)))</f>
        <v>#DIV/0!</v>
      </c>
      <c r="AA429" s="6" t="e">
        <f ca="1">SQRT($B$9*AVERAGE(W429:OFFSET(W429,$B$8-1,0)))</f>
        <v>#DIV/0!</v>
      </c>
      <c r="AC429" s="34" t="e">
        <f t="shared" si="40"/>
        <v>#DIV/0!</v>
      </c>
      <c r="AD429" s="34" t="e">
        <f ca="1">SQRT($B$9*SUM(AC429:OFFSET(AC429,$B$5-1,0))/($B$5-1))</f>
        <v>#DIV/0!</v>
      </c>
      <c r="AE429" s="34" t="e">
        <f ca="1">SQRT($B$9*SUM(AC429:OFFSET(AC429,$B$6-1,0))/($B$6-1))</f>
        <v>#DIV/0!</v>
      </c>
      <c r="AF429" s="34" t="e">
        <f ca="1">SQRT($B$9*SUM(AC429:OFFSET(AC429,$B$7-1,0))/($B$7-1))</f>
        <v>#DIV/0!</v>
      </c>
      <c r="AG429" s="34" t="e">
        <f ca="1">SQRT($B$9*SUM(AC429:OFFSET(AC429,$B$8-1,0))/($B$8-1))</f>
        <v>#DIV/0!</v>
      </c>
      <c r="AI429" s="1" t="e">
        <f t="shared" si="41"/>
        <v>#DIV/0!</v>
      </c>
      <c r="AJ429" s="4" t="e">
        <f ca="1">SQRT($B$9)*_xlfn.STDEV.S(AI429:OFFSET(AI429,$B$5-1,0))</f>
        <v>#DIV/0!</v>
      </c>
      <c r="AK429" s="4" t="e">
        <f ca="1">SQRT($B$9)*_xlfn.STDEV.S(AI429:OFFSET(AI429,$B$6-1,0))</f>
        <v>#DIV/0!</v>
      </c>
      <c r="AL429" s="4" t="e">
        <f ca="1">SQRT($B$9)*_xlfn.STDEV.S(AI429:OFFSET(AI429,$B$7-1,0))</f>
        <v>#DIV/0!</v>
      </c>
      <c r="AM429" s="4" t="e">
        <f ca="1">SQRT($B$9)*_xlfn.STDEV.S(AI429:OFFSET(AI429,$B$8-1,0))</f>
        <v>#DIV/0!</v>
      </c>
    </row>
    <row r="430" spans="5:39" x14ac:dyDescent="0.2">
      <c r="E430" s="42">
        <v>45020</v>
      </c>
      <c r="F430" s="43"/>
      <c r="G430" s="43"/>
      <c r="H430" s="43"/>
      <c r="I430" s="43"/>
      <c r="K430" s="3" t="e">
        <f t="shared" si="39"/>
        <v>#DIV/0!</v>
      </c>
      <c r="L430" s="3" t="e">
        <f ca="1">SQRT(AVERAGE(K430:OFFSET(K430,$B$5-1,0))*$B$9/(4*LN(2)))</f>
        <v>#DIV/0!</v>
      </c>
      <c r="M430" s="3" t="e">
        <f ca="1">SQRT(AVERAGE(K430:OFFSET(K430,$B$6-1,0))*$B$9/(4*LN(2)))</f>
        <v>#DIV/0!</v>
      </c>
      <c r="N430" s="3" t="e">
        <f ca="1">SQRT(AVERAGE(K430:OFFSET(K430,$B$7-1,0))*$B$9/(4*LN(2)))</f>
        <v>#DIV/0!</v>
      </c>
      <c r="O430" s="3" t="e">
        <f ca="1">SQRT(AVERAGE(K430:OFFSET(K430,$B$8-1,0))*$B$9/(4*LN(2)))</f>
        <v>#DIV/0!</v>
      </c>
      <c r="Q430" s="5" t="e">
        <f t="shared" si="38"/>
        <v>#DIV/0!</v>
      </c>
      <c r="R430" s="5" t="e">
        <f ca="1">SQRT($B$9*AVERAGE((Q430:OFFSET(Q430,$B$5-1,0))))</f>
        <v>#DIV/0!</v>
      </c>
      <c r="S430" s="5" t="e">
        <f ca="1">SQRT($B$9*AVERAGE((Q430:OFFSET(Q430,$B$6-1,0))))</f>
        <v>#DIV/0!</v>
      </c>
      <c r="T430" s="5" t="e">
        <f ca="1">SQRT($B$9*AVERAGE((Q430:OFFSET(Q430,$B$7-1,0))))</f>
        <v>#DIV/0!</v>
      </c>
      <c r="U430" s="5" t="e">
        <f ca="1">SQRT($B$9*AVERAGE((Q430:OFFSET(Q430,$B$8-1,0))))</f>
        <v>#DIV/0!</v>
      </c>
      <c r="W430" s="6" t="e">
        <f t="shared" si="42"/>
        <v>#DIV/0!</v>
      </c>
      <c r="X430" s="6" t="e">
        <f ca="1">SQRT($B$9*AVERAGE(W430:OFFSET(W430,$B$5-1,0)))</f>
        <v>#DIV/0!</v>
      </c>
      <c r="Y430" s="6" t="e">
        <f ca="1">SQRT($B$9*AVERAGE(W430:OFFSET(W430,$B$6-1,0)))</f>
        <v>#DIV/0!</v>
      </c>
      <c r="Z430" s="6" t="e">
        <f ca="1">SQRT($B$9*AVERAGE(W430:OFFSET(W430,$B$7-1,0)))</f>
        <v>#DIV/0!</v>
      </c>
      <c r="AA430" s="6" t="e">
        <f ca="1">SQRT($B$9*AVERAGE(W430:OFFSET(W430,$B$8-1,0)))</f>
        <v>#DIV/0!</v>
      </c>
      <c r="AC430" s="34" t="e">
        <f t="shared" si="40"/>
        <v>#DIV/0!</v>
      </c>
      <c r="AD430" s="34" t="e">
        <f ca="1">SQRT($B$9*SUM(AC430:OFFSET(AC430,$B$5-1,0))/($B$5-1))</f>
        <v>#DIV/0!</v>
      </c>
      <c r="AE430" s="34" t="e">
        <f ca="1">SQRT($B$9*SUM(AC430:OFFSET(AC430,$B$6-1,0))/($B$6-1))</f>
        <v>#DIV/0!</v>
      </c>
      <c r="AF430" s="34" t="e">
        <f ca="1">SQRT($B$9*SUM(AC430:OFFSET(AC430,$B$7-1,0))/($B$7-1))</f>
        <v>#DIV/0!</v>
      </c>
      <c r="AG430" s="34" t="e">
        <f ca="1">SQRT($B$9*SUM(AC430:OFFSET(AC430,$B$8-1,0))/($B$8-1))</f>
        <v>#DIV/0!</v>
      </c>
      <c r="AI430" s="1" t="e">
        <f t="shared" si="41"/>
        <v>#DIV/0!</v>
      </c>
      <c r="AJ430" s="4" t="e">
        <f ca="1">SQRT($B$9)*_xlfn.STDEV.S(AI430:OFFSET(AI430,$B$5-1,0))</f>
        <v>#DIV/0!</v>
      </c>
      <c r="AK430" s="4" t="e">
        <f ca="1">SQRT($B$9)*_xlfn.STDEV.S(AI430:OFFSET(AI430,$B$6-1,0))</f>
        <v>#DIV/0!</v>
      </c>
      <c r="AL430" s="4" t="e">
        <f ca="1">SQRT($B$9)*_xlfn.STDEV.S(AI430:OFFSET(AI430,$B$7-1,0))</f>
        <v>#DIV/0!</v>
      </c>
      <c r="AM430" s="4" t="e">
        <f ca="1">SQRT($B$9)*_xlfn.STDEV.S(AI430:OFFSET(AI430,$B$8-1,0))</f>
        <v>#DIV/0!</v>
      </c>
    </row>
    <row r="431" spans="5:39" x14ac:dyDescent="0.2">
      <c r="E431" s="42">
        <v>45019</v>
      </c>
      <c r="F431" s="43"/>
      <c r="G431" s="43"/>
      <c r="H431" s="43"/>
      <c r="I431" s="43"/>
      <c r="K431" s="3" t="e">
        <f t="shared" si="39"/>
        <v>#DIV/0!</v>
      </c>
      <c r="L431" s="3" t="e">
        <f ca="1">SQRT(AVERAGE(K431:OFFSET(K431,$B$5-1,0))*$B$9/(4*LN(2)))</f>
        <v>#DIV/0!</v>
      </c>
      <c r="M431" s="3" t="e">
        <f ca="1">SQRT(AVERAGE(K431:OFFSET(K431,$B$6-1,0))*$B$9/(4*LN(2)))</f>
        <v>#DIV/0!</v>
      </c>
      <c r="N431" s="3" t="e">
        <f ca="1">SQRT(AVERAGE(K431:OFFSET(K431,$B$7-1,0))*$B$9/(4*LN(2)))</f>
        <v>#DIV/0!</v>
      </c>
      <c r="O431" s="3" t="e">
        <f ca="1">SQRT(AVERAGE(K431:OFFSET(K431,$B$8-1,0))*$B$9/(4*LN(2)))</f>
        <v>#DIV/0!</v>
      </c>
      <c r="Q431" s="5" t="e">
        <f t="shared" si="38"/>
        <v>#DIV/0!</v>
      </c>
      <c r="R431" s="5" t="e">
        <f ca="1">SQRT($B$9*AVERAGE((Q431:OFFSET(Q431,$B$5-1,0))))</f>
        <v>#DIV/0!</v>
      </c>
      <c r="S431" s="5" t="e">
        <f ca="1">SQRT($B$9*AVERAGE((Q431:OFFSET(Q431,$B$6-1,0))))</f>
        <v>#DIV/0!</v>
      </c>
      <c r="T431" s="5" t="e">
        <f ca="1">SQRT($B$9*AVERAGE((Q431:OFFSET(Q431,$B$7-1,0))))</f>
        <v>#DIV/0!</v>
      </c>
      <c r="U431" s="5" t="e">
        <f ca="1">SQRT($B$9*AVERAGE((Q431:OFFSET(Q431,$B$8-1,0))))</f>
        <v>#DIV/0!</v>
      </c>
      <c r="W431" s="6" t="e">
        <f t="shared" si="42"/>
        <v>#DIV/0!</v>
      </c>
      <c r="X431" s="6" t="e">
        <f ca="1">SQRT($B$9*AVERAGE(W431:OFFSET(W431,$B$5-1,0)))</f>
        <v>#DIV/0!</v>
      </c>
      <c r="Y431" s="6" t="e">
        <f ca="1">SQRT($B$9*AVERAGE(W431:OFFSET(W431,$B$6-1,0)))</f>
        <v>#DIV/0!</v>
      </c>
      <c r="Z431" s="6" t="e">
        <f ca="1">SQRT($B$9*AVERAGE(W431:OFFSET(W431,$B$7-1,0)))</f>
        <v>#DIV/0!</v>
      </c>
      <c r="AA431" s="6" t="e">
        <f ca="1">SQRT($B$9*AVERAGE(W431:OFFSET(W431,$B$8-1,0)))</f>
        <v>#DIV/0!</v>
      </c>
      <c r="AC431" s="34" t="e">
        <f t="shared" si="40"/>
        <v>#DIV/0!</v>
      </c>
      <c r="AD431" s="34" t="e">
        <f ca="1">SQRT($B$9*SUM(AC431:OFFSET(AC431,$B$5-1,0))/($B$5-1))</f>
        <v>#DIV/0!</v>
      </c>
      <c r="AE431" s="34" t="e">
        <f ca="1">SQRT($B$9*SUM(AC431:OFFSET(AC431,$B$6-1,0))/($B$6-1))</f>
        <v>#DIV/0!</v>
      </c>
      <c r="AF431" s="34" t="e">
        <f ca="1">SQRT($B$9*SUM(AC431:OFFSET(AC431,$B$7-1,0))/($B$7-1))</f>
        <v>#DIV/0!</v>
      </c>
      <c r="AG431" s="34" t="e">
        <f ca="1">SQRT($B$9*SUM(AC431:OFFSET(AC431,$B$8-1,0))/($B$8-1))</f>
        <v>#DIV/0!</v>
      </c>
      <c r="AI431" s="1" t="e">
        <f t="shared" si="41"/>
        <v>#DIV/0!</v>
      </c>
      <c r="AJ431" s="4" t="e">
        <f ca="1">SQRT($B$9)*_xlfn.STDEV.S(AI431:OFFSET(AI431,$B$5-1,0))</f>
        <v>#DIV/0!</v>
      </c>
      <c r="AK431" s="4" t="e">
        <f ca="1">SQRT($B$9)*_xlfn.STDEV.S(AI431:OFFSET(AI431,$B$6-1,0))</f>
        <v>#DIV/0!</v>
      </c>
      <c r="AL431" s="4" t="e">
        <f ca="1">SQRT($B$9)*_xlfn.STDEV.S(AI431:OFFSET(AI431,$B$7-1,0))</f>
        <v>#DIV/0!</v>
      </c>
      <c r="AM431" s="4" t="e">
        <f ca="1">SQRT($B$9)*_xlfn.STDEV.S(AI431:OFFSET(AI431,$B$8-1,0))</f>
        <v>#DIV/0!</v>
      </c>
    </row>
    <row r="432" spans="5:39" x14ac:dyDescent="0.2">
      <c r="E432" s="42">
        <v>45016</v>
      </c>
      <c r="F432" s="43"/>
      <c r="G432" s="43"/>
      <c r="H432" s="43"/>
      <c r="I432" s="43"/>
      <c r="K432" s="3" t="e">
        <f t="shared" si="39"/>
        <v>#DIV/0!</v>
      </c>
      <c r="L432" s="3" t="e">
        <f ca="1">SQRT(AVERAGE(K432:OFFSET(K432,$B$5-1,0))*$B$9/(4*LN(2)))</f>
        <v>#DIV/0!</v>
      </c>
      <c r="M432" s="3" t="e">
        <f ca="1">SQRT(AVERAGE(K432:OFFSET(K432,$B$6-1,0))*$B$9/(4*LN(2)))</f>
        <v>#DIV/0!</v>
      </c>
      <c r="N432" s="3" t="e">
        <f ca="1">SQRT(AVERAGE(K432:OFFSET(K432,$B$7-1,0))*$B$9/(4*LN(2)))</f>
        <v>#DIV/0!</v>
      </c>
      <c r="O432" s="3" t="e">
        <f ca="1">SQRT(AVERAGE(K432:OFFSET(K432,$B$8-1,0))*$B$9/(4*LN(2)))</f>
        <v>#DIV/0!</v>
      </c>
      <c r="Q432" s="5" t="e">
        <f t="shared" si="38"/>
        <v>#DIV/0!</v>
      </c>
      <c r="R432" s="5" t="e">
        <f ca="1">SQRT($B$9*AVERAGE((Q432:OFFSET(Q432,$B$5-1,0))))</f>
        <v>#DIV/0!</v>
      </c>
      <c r="S432" s="5" t="e">
        <f ca="1">SQRT($B$9*AVERAGE((Q432:OFFSET(Q432,$B$6-1,0))))</f>
        <v>#DIV/0!</v>
      </c>
      <c r="T432" s="5" t="e">
        <f ca="1">SQRT($B$9*AVERAGE((Q432:OFFSET(Q432,$B$7-1,0))))</f>
        <v>#DIV/0!</v>
      </c>
      <c r="U432" s="5" t="e">
        <f ca="1">SQRT($B$9*AVERAGE((Q432:OFFSET(Q432,$B$8-1,0))))</f>
        <v>#DIV/0!</v>
      </c>
      <c r="W432" s="6" t="e">
        <f t="shared" si="42"/>
        <v>#DIV/0!</v>
      </c>
      <c r="X432" s="6" t="e">
        <f ca="1">SQRT($B$9*AVERAGE(W432:OFFSET(W432,$B$5-1,0)))</f>
        <v>#DIV/0!</v>
      </c>
      <c r="Y432" s="6" t="e">
        <f ca="1">SQRT($B$9*AVERAGE(W432:OFFSET(W432,$B$6-1,0)))</f>
        <v>#DIV/0!</v>
      </c>
      <c r="Z432" s="6" t="e">
        <f ca="1">SQRT($B$9*AVERAGE(W432:OFFSET(W432,$B$7-1,0)))</f>
        <v>#DIV/0!</v>
      </c>
      <c r="AA432" s="6" t="e">
        <f ca="1">SQRT($B$9*AVERAGE(W432:OFFSET(W432,$B$8-1,0)))</f>
        <v>#DIV/0!</v>
      </c>
      <c r="AC432" s="34" t="e">
        <f t="shared" si="40"/>
        <v>#DIV/0!</v>
      </c>
      <c r="AD432" s="34" t="e">
        <f ca="1">SQRT($B$9*SUM(AC432:OFFSET(AC432,$B$5-1,0))/($B$5-1))</f>
        <v>#DIV/0!</v>
      </c>
      <c r="AE432" s="34" t="e">
        <f ca="1">SQRT($B$9*SUM(AC432:OFFSET(AC432,$B$6-1,0))/($B$6-1))</f>
        <v>#DIV/0!</v>
      </c>
      <c r="AF432" s="34" t="e">
        <f ca="1">SQRT($B$9*SUM(AC432:OFFSET(AC432,$B$7-1,0))/($B$7-1))</f>
        <v>#DIV/0!</v>
      </c>
      <c r="AG432" s="34" t="e">
        <f ca="1">SQRT($B$9*SUM(AC432:OFFSET(AC432,$B$8-1,0))/($B$8-1))</f>
        <v>#DIV/0!</v>
      </c>
      <c r="AI432" s="1" t="e">
        <f t="shared" si="41"/>
        <v>#DIV/0!</v>
      </c>
      <c r="AJ432" s="4" t="e">
        <f ca="1">SQRT($B$9)*_xlfn.STDEV.S(AI432:OFFSET(AI432,$B$5-1,0))</f>
        <v>#DIV/0!</v>
      </c>
      <c r="AK432" s="4" t="e">
        <f ca="1">SQRT($B$9)*_xlfn.STDEV.S(AI432:OFFSET(AI432,$B$6-1,0))</f>
        <v>#DIV/0!</v>
      </c>
      <c r="AL432" s="4" t="e">
        <f ca="1">SQRT($B$9)*_xlfn.STDEV.S(AI432:OFFSET(AI432,$B$7-1,0))</f>
        <v>#DIV/0!</v>
      </c>
      <c r="AM432" s="4" t="e">
        <f ca="1">SQRT($B$9)*_xlfn.STDEV.S(AI432:OFFSET(AI432,$B$8-1,0))</f>
        <v>#DIV/0!</v>
      </c>
    </row>
    <row r="433" spans="5:39" x14ac:dyDescent="0.2">
      <c r="E433" s="42">
        <v>45015</v>
      </c>
      <c r="F433" s="43"/>
      <c r="G433" s="43"/>
      <c r="H433" s="43"/>
      <c r="I433" s="43"/>
      <c r="K433" s="3" t="e">
        <f t="shared" si="39"/>
        <v>#DIV/0!</v>
      </c>
      <c r="L433" s="3" t="e">
        <f ca="1">SQRT(AVERAGE(K433:OFFSET(K433,$B$5-1,0))*$B$9/(4*LN(2)))</f>
        <v>#DIV/0!</v>
      </c>
      <c r="M433" s="3" t="e">
        <f ca="1">SQRT(AVERAGE(K433:OFFSET(K433,$B$6-1,0))*$B$9/(4*LN(2)))</f>
        <v>#DIV/0!</v>
      </c>
      <c r="N433" s="3" t="e">
        <f ca="1">SQRT(AVERAGE(K433:OFFSET(K433,$B$7-1,0))*$B$9/(4*LN(2)))</f>
        <v>#DIV/0!</v>
      </c>
      <c r="O433" s="3" t="e">
        <f ca="1">SQRT(AVERAGE(K433:OFFSET(K433,$B$8-1,0))*$B$9/(4*LN(2)))</f>
        <v>#DIV/0!</v>
      </c>
      <c r="Q433" s="5" t="e">
        <f t="shared" si="38"/>
        <v>#DIV/0!</v>
      </c>
      <c r="R433" s="5" t="e">
        <f ca="1">SQRT($B$9*AVERAGE((Q433:OFFSET(Q433,$B$5-1,0))))</f>
        <v>#DIV/0!</v>
      </c>
      <c r="S433" s="5" t="e">
        <f ca="1">SQRT($B$9*AVERAGE((Q433:OFFSET(Q433,$B$6-1,0))))</f>
        <v>#DIV/0!</v>
      </c>
      <c r="T433" s="5" t="e">
        <f ca="1">SQRT($B$9*AVERAGE((Q433:OFFSET(Q433,$B$7-1,0))))</f>
        <v>#DIV/0!</v>
      </c>
      <c r="U433" s="5" t="e">
        <f ca="1">SQRT($B$9*AVERAGE((Q433:OFFSET(Q433,$B$8-1,0))))</f>
        <v>#DIV/0!</v>
      </c>
      <c r="W433" s="6" t="e">
        <f t="shared" si="42"/>
        <v>#DIV/0!</v>
      </c>
      <c r="X433" s="6" t="e">
        <f ca="1">SQRT($B$9*AVERAGE(W433:OFFSET(W433,$B$5-1,0)))</f>
        <v>#DIV/0!</v>
      </c>
      <c r="Y433" s="6" t="e">
        <f ca="1">SQRT($B$9*AVERAGE(W433:OFFSET(W433,$B$6-1,0)))</f>
        <v>#DIV/0!</v>
      </c>
      <c r="Z433" s="6" t="e">
        <f ca="1">SQRT($B$9*AVERAGE(W433:OFFSET(W433,$B$7-1,0)))</f>
        <v>#DIV/0!</v>
      </c>
      <c r="AA433" s="6" t="e">
        <f ca="1">SQRT($B$9*AVERAGE(W433:OFFSET(W433,$B$8-1,0)))</f>
        <v>#DIV/0!</v>
      </c>
      <c r="AC433" s="34" t="e">
        <f t="shared" si="40"/>
        <v>#DIV/0!</v>
      </c>
      <c r="AD433" s="34" t="e">
        <f ca="1">SQRT($B$9*SUM(AC433:OFFSET(AC433,$B$5-1,0))/($B$5-1))</f>
        <v>#DIV/0!</v>
      </c>
      <c r="AE433" s="34" t="e">
        <f ca="1">SQRT($B$9*SUM(AC433:OFFSET(AC433,$B$6-1,0))/($B$6-1))</f>
        <v>#DIV/0!</v>
      </c>
      <c r="AF433" s="34" t="e">
        <f ca="1">SQRT($B$9*SUM(AC433:OFFSET(AC433,$B$7-1,0))/($B$7-1))</f>
        <v>#DIV/0!</v>
      </c>
      <c r="AG433" s="34" t="e">
        <f ca="1">SQRT($B$9*SUM(AC433:OFFSET(AC433,$B$8-1,0))/($B$8-1))</f>
        <v>#DIV/0!</v>
      </c>
      <c r="AI433" s="1" t="e">
        <f t="shared" si="41"/>
        <v>#DIV/0!</v>
      </c>
      <c r="AJ433" s="4" t="e">
        <f ca="1">SQRT($B$9)*_xlfn.STDEV.S(AI433:OFFSET(AI433,$B$5-1,0))</f>
        <v>#DIV/0!</v>
      </c>
      <c r="AK433" s="4" t="e">
        <f ca="1">SQRT($B$9)*_xlfn.STDEV.S(AI433:OFFSET(AI433,$B$6-1,0))</f>
        <v>#DIV/0!</v>
      </c>
      <c r="AL433" s="4" t="e">
        <f ca="1">SQRT($B$9)*_xlfn.STDEV.S(AI433:OFFSET(AI433,$B$7-1,0))</f>
        <v>#DIV/0!</v>
      </c>
      <c r="AM433" s="4" t="e">
        <f ca="1">SQRT($B$9)*_xlfn.STDEV.S(AI433:OFFSET(AI433,$B$8-1,0))</f>
        <v>#DIV/0!</v>
      </c>
    </row>
    <row r="434" spans="5:39" x14ac:dyDescent="0.2">
      <c r="E434" s="42">
        <v>45014</v>
      </c>
      <c r="F434" s="43"/>
      <c r="G434" s="43"/>
      <c r="H434" s="43"/>
      <c r="I434" s="43"/>
      <c r="K434" s="3" t="e">
        <f t="shared" si="39"/>
        <v>#DIV/0!</v>
      </c>
      <c r="L434" s="3" t="e">
        <f ca="1">SQRT(AVERAGE(K434:OFFSET(K434,$B$5-1,0))*$B$9/(4*LN(2)))</f>
        <v>#DIV/0!</v>
      </c>
      <c r="M434" s="3" t="e">
        <f ca="1">SQRT(AVERAGE(K434:OFFSET(K434,$B$6-1,0))*$B$9/(4*LN(2)))</f>
        <v>#DIV/0!</v>
      </c>
      <c r="N434" s="3" t="e">
        <f ca="1">SQRT(AVERAGE(K434:OFFSET(K434,$B$7-1,0))*$B$9/(4*LN(2)))</f>
        <v>#DIV/0!</v>
      </c>
      <c r="O434" s="3" t="e">
        <f ca="1">SQRT(AVERAGE(K434:OFFSET(K434,$B$8-1,0))*$B$9/(4*LN(2)))</f>
        <v>#DIV/0!</v>
      </c>
      <c r="Q434" s="5" t="e">
        <f t="shared" si="38"/>
        <v>#DIV/0!</v>
      </c>
      <c r="R434" s="5" t="e">
        <f ca="1">SQRT($B$9*AVERAGE((Q434:OFFSET(Q434,$B$5-1,0))))</f>
        <v>#DIV/0!</v>
      </c>
      <c r="S434" s="5" t="e">
        <f ca="1">SQRT($B$9*AVERAGE((Q434:OFFSET(Q434,$B$6-1,0))))</f>
        <v>#DIV/0!</v>
      </c>
      <c r="T434" s="5" t="e">
        <f ca="1">SQRT($B$9*AVERAGE((Q434:OFFSET(Q434,$B$7-1,0))))</f>
        <v>#DIV/0!</v>
      </c>
      <c r="U434" s="5" t="e">
        <f ca="1">SQRT($B$9*AVERAGE((Q434:OFFSET(Q434,$B$8-1,0))))</f>
        <v>#DIV/0!</v>
      </c>
      <c r="W434" s="6" t="e">
        <f t="shared" si="42"/>
        <v>#DIV/0!</v>
      </c>
      <c r="X434" s="6" t="e">
        <f ca="1">SQRT($B$9*AVERAGE(W434:OFFSET(W434,$B$5-1,0)))</f>
        <v>#DIV/0!</v>
      </c>
      <c r="Y434" s="6" t="e">
        <f ca="1">SQRT($B$9*AVERAGE(W434:OFFSET(W434,$B$6-1,0)))</f>
        <v>#DIV/0!</v>
      </c>
      <c r="Z434" s="6" t="e">
        <f ca="1">SQRT($B$9*AVERAGE(W434:OFFSET(W434,$B$7-1,0)))</f>
        <v>#DIV/0!</v>
      </c>
      <c r="AA434" s="6" t="e">
        <f ca="1">SQRT($B$9*AVERAGE(W434:OFFSET(W434,$B$8-1,0)))</f>
        <v>#DIV/0!</v>
      </c>
      <c r="AC434" s="34" t="e">
        <f t="shared" si="40"/>
        <v>#DIV/0!</v>
      </c>
      <c r="AD434" s="34" t="e">
        <f ca="1">SQRT($B$9*SUM(AC434:OFFSET(AC434,$B$5-1,0))/($B$5-1))</f>
        <v>#DIV/0!</v>
      </c>
      <c r="AE434" s="34" t="e">
        <f ca="1">SQRT($B$9*SUM(AC434:OFFSET(AC434,$B$6-1,0))/($B$6-1))</f>
        <v>#DIV/0!</v>
      </c>
      <c r="AF434" s="34" t="e">
        <f ca="1">SQRT($B$9*SUM(AC434:OFFSET(AC434,$B$7-1,0))/($B$7-1))</f>
        <v>#DIV/0!</v>
      </c>
      <c r="AG434" s="34" t="e">
        <f ca="1">SQRT($B$9*SUM(AC434:OFFSET(AC434,$B$8-1,0))/($B$8-1))</f>
        <v>#DIV/0!</v>
      </c>
      <c r="AI434" s="1" t="e">
        <f t="shared" si="41"/>
        <v>#DIV/0!</v>
      </c>
      <c r="AJ434" s="4" t="e">
        <f ca="1">SQRT($B$9)*_xlfn.STDEV.S(AI434:OFFSET(AI434,$B$5-1,0))</f>
        <v>#DIV/0!</v>
      </c>
      <c r="AK434" s="4" t="e">
        <f ca="1">SQRT($B$9)*_xlfn.STDEV.S(AI434:OFFSET(AI434,$B$6-1,0))</f>
        <v>#DIV/0!</v>
      </c>
      <c r="AL434" s="4" t="e">
        <f ca="1">SQRT($B$9)*_xlfn.STDEV.S(AI434:OFFSET(AI434,$B$7-1,0))</f>
        <v>#DIV/0!</v>
      </c>
      <c r="AM434" s="4" t="e">
        <f ca="1">SQRT($B$9)*_xlfn.STDEV.S(AI434:OFFSET(AI434,$B$8-1,0))</f>
        <v>#DIV/0!</v>
      </c>
    </row>
    <row r="435" spans="5:39" x14ac:dyDescent="0.2">
      <c r="E435" s="42">
        <v>45013</v>
      </c>
      <c r="F435" s="43"/>
      <c r="G435" s="43"/>
      <c r="H435" s="43"/>
      <c r="I435" s="43"/>
      <c r="K435" s="3" t="e">
        <f t="shared" si="39"/>
        <v>#DIV/0!</v>
      </c>
      <c r="L435" s="3" t="e">
        <f ca="1">SQRT(AVERAGE(K435:OFFSET(K435,$B$5-1,0))*$B$9/(4*LN(2)))</f>
        <v>#DIV/0!</v>
      </c>
      <c r="M435" s="3" t="e">
        <f ca="1">SQRT(AVERAGE(K435:OFFSET(K435,$B$6-1,0))*$B$9/(4*LN(2)))</f>
        <v>#DIV/0!</v>
      </c>
      <c r="N435" s="3" t="e">
        <f ca="1">SQRT(AVERAGE(K435:OFFSET(K435,$B$7-1,0))*$B$9/(4*LN(2)))</f>
        <v>#DIV/0!</v>
      </c>
      <c r="O435" s="3" t="e">
        <f ca="1">SQRT(AVERAGE(K435:OFFSET(K435,$B$8-1,0))*$B$9/(4*LN(2)))</f>
        <v>#DIV/0!</v>
      </c>
      <c r="Q435" s="5" t="e">
        <f t="shared" si="38"/>
        <v>#DIV/0!</v>
      </c>
      <c r="R435" s="5" t="e">
        <f ca="1">SQRT($B$9*AVERAGE((Q435:OFFSET(Q435,$B$5-1,0))))</f>
        <v>#DIV/0!</v>
      </c>
      <c r="S435" s="5" t="e">
        <f ca="1">SQRT($B$9*AVERAGE((Q435:OFFSET(Q435,$B$6-1,0))))</f>
        <v>#DIV/0!</v>
      </c>
      <c r="T435" s="5" t="e">
        <f ca="1">SQRT($B$9*AVERAGE((Q435:OFFSET(Q435,$B$7-1,0))))</f>
        <v>#DIV/0!</v>
      </c>
      <c r="U435" s="5" t="e">
        <f ca="1">SQRT($B$9*AVERAGE((Q435:OFFSET(Q435,$B$8-1,0))))</f>
        <v>#DIV/0!</v>
      </c>
      <c r="W435" s="6" t="e">
        <f t="shared" si="42"/>
        <v>#DIV/0!</v>
      </c>
      <c r="X435" s="6" t="e">
        <f ca="1">SQRT($B$9*AVERAGE(W435:OFFSET(W435,$B$5-1,0)))</f>
        <v>#DIV/0!</v>
      </c>
      <c r="Y435" s="6" t="e">
        <f ca="1">SQRT($B$9*AVERAGE(W435:OFFSET(W435,$B$6-1,0)))</f>
        <v>#DIV/0!</v>
      </c>
      <c r="Z435" s="6" t="e">
        <f ca="1">SQRT($B$9*AVERAGE(W435:OFFSET(W435,$B$7-1,0)))</f>
        <v>#DIV/0!</v>
      </c>
      <c r="AA435" s="6" t="e">
        <f ca="1">SQRT($B$9*AVERAGE(W435:OFFSET(W435,$B$8-1,0)))</f>
        <v>#DIV/0!</v>
      </c>
      <c r="AC435" s="34" t="e">
        <f t="shared" si="40"/>
        <v>#DIV/0!</v>
      </c>
      <c r="AD435" s="34" t="e">
        <f ca="1">SQRT($B$9*SUM(AC435:OFFSET(AC435,$B$5-1,0))/($B$5-1))</f>
        <v>#DIV/0!</v>
      </c>
      <c r="AE435" s="34" t="e">
        <f ca="1">SQRT($B$9*SUM(AC435:OFFSET(AC435,$B$6-1,0))/($B$6-1))</f>
        <v>#DIV/0!</v>
      </c>
      <c r="AF435" s="34" t="e">
        <f ca="1">SQRT($B$9*SUM(AC435:OFFSET(AC435,$B$7-1,0))/($B$7-1))</f>
        <v>#DIV/0!</v>
      </c>
      <c r="AG435" s="34" t="e">
        <f ca="1">SQRT($B$9*SUM(AC435:OFFSET(AC435,$B$8-1,0))/($B$8-1))</f>
        <v>#DIV/0!</v>
      </c>
      <c r="AI435" s="1" t="e">
        <f t="shared" si="41"/>
        <v>#DIV/0!</v>
      </c>
      <c r="AJ435" s="4" t="e">
        <f ca="1">SQRT($B$9)*_xlfn.STDEV.S(AI435:OFFSET(AI435,$B$5-1,0))</f>
        <v>#DIV/0!</v>
      </c>
      <c r="AK435" s="4" t="e">
        <f ca="1">SQRT($B$9)*_xlfn.STDEV.S(AI435:OFFSET(AI435,$B$6-1,0))</f>
        <v>#DIV/0!</v>
      </c>
      <c r="AL435" s="4" t="e">
        <f ca="1">SQRT($B$9)*_xlfn.STDEV.S(AI435:OFFSET(AI435,$B$7-1,0))</f>
        <v>#DIV/0!</v>
      </c>
      <c r="AM435" s="4" t="e">
        <f ca="1">SQRT($B$9)*_xlfn.STDEV.S(AI435:OFFSET(AI435,$B$8-1,0))</f>
        <v>#DIV/0!</v>
      </c>
    </row>
    <row r="436" spans="5:39" x14ac:dyDescent="0.2">
      <c r="E436" s="42">
        <v>45012</v>
      </c>
      <c r="F436" s="43"/>
      <c r="G436" s="43"/>
      <c r="H436" s="43"/>
      <c r="I436" s="43"/>
      <c r="K436" s="3" t="e">
        <f t="shared" si="39"/>
        <v>#DIV/0!</v>
      </c>
      <c r="L436" s="3" t="e">
        <f ca="1">SQRT(AVERAGE(K436:OFFSET(K436,$B$5-1,0))*$B$9/(4*LN(2)))</f>
        <v>#DIV/0!</v>
      </c>
      <c r="M436" s="3" t="e">
        <f ca="1">SQRT(AVERAGE(K436:OFFSET(K436,$B$6-1,0))*$B$9/(4*LN(2)))</f>
        <v>#DIV/0!</v>
      </c>
      <c r="N436" s="3" t="e">
        <f ca="1">SQRT(AVERAGE(K436:OFFSET(K436,$B$7-1,0))*$B$9/(4*LN(2)))</f>
        <v>#DIV/0!</v>
      </c>
      <c r="O436" s="3" t="e">
        <f ca="1">SQRT(AVERAGE(K436:OFFSET(K436,$B$8-1,0))*$B$9/(4*LN(2)))</f>
        <v>#DIV/0!</v>
      </c>
      <c r="Q436" s="5" t="e">
        <f t="shared" si="38"/>
        <v>#DIV/0!</v>
      </c>
      <c r="R436" s="5" t="e">
        <f ca="1">SQRT($B$9*AVERAGE((Q436:OFFSET(Q436,$B$5-1,0))))</f>
        <v>#DIV/0!</v>
      </c>
      <c r="S436" s="5" t="e">
        <f ca="1">SQRT($B$9*AVERAGE((Q436:OFFSET(Q436,$B$6-1,0))))</f>
        <v>#DIV/0!</v>
      </c>
      <c r="T436" s="5" t="e">
        <f ca="1">SQRT($B$9*AVERAGE((Q436:OFFSET(Q436,$B$7-1,0))))</f>
        <v>#DIV/0!</v>
      </c>
      <c r="U436" s="5" t="e">
        <f ca="1">SQRT($B$9*AVERAGE((Q436:OFFSET(Q436,$B$8-1,0))))</f>
        <v>#DIV/0!</v>
      </c>
      <c r="W436" s="6" t="e">
        <f t="shared" si="42"/>
        <v>#DIV/0!</v>
      </c>
      <c r="X436" s="6" t="e">
        <f ca="1">SQRT($B$9*AVERAGE(W436:OFFSET(W436,$B$5-1,0)))</f>
        <v>#DIV/0!</v>
      </c>
      <c r="Y436" s="6" t="e">
        <f ca="1">SQRT($B$9*AVERAGE(W436:OFFSET(W436,$B$6-1,0)))</f>
        <v>#DIV/0!</v>
      </c>
      <c r="Z436" s="6" t="e">
        <f ca="1">SQRT($B$9*AVERAGE(W436:OFFSET(W436,$B$7-1,0)))</f>
        <v>#DIV/0!</v>
      </c>
      <c r="AA436" s="6" t="e">
        <f ca="1">SQRT($B$9*AVERAGE(W436:OFFSET(W436,$B$8-1,0)))</f>
        <v>#DIV/0!</v>
      </c>
      <c r="AC436" s="34" t="e">
        <f t="shared" si="40"/>
        <v>#DIV/0!</v>
      </c>
      <c r="AD436" s="34" t="e">
        <f ca="1">SQRT($B$9*SUM(AC436:OFFSET(AC436,$B$5-1,0))/($B$5-1))</f>
        <v>#DIV/0!</v>
      </c>
      <c r="AE436" s="34" t="e">
        <f ca="1">SQRT($B$9*SUM(AC436:OFFSET(AC436,$B$6-1,0))/($B$6-1))</f>
        <v>#DIV/0!</v>
      </c>
      <c r="AF436" s="34" t="e">
        <f ca="1">SQRT($B$9*SUM(AC436:OFFSET(AC436,$B$7-1,0))/($B$7-1))</f>
        <v>#DIV/0!</v>
      </c>
      <c r="AG436" s="34" t="e">
        <f ca="1">SQRT($B$9*SUM(AC436:OFFSET(AC436,$B$8-1,0))/($B$8-1))</f>
        <v>#DIV/0!</v>
      </c>
      <c r="AI436" s="1" t="e">
        <f t="shared" si="41"/>
        <v>#DIV/0!</v>
      </c>
      <c r="AJ436" s="4" t="e">
        <f ca="1">SQRT($B$9)*_xlfn.STDEV.S(AI436:OFFSET(AI436,$B$5-1,0))</f>
        <v>#DIV/0!</v>
      </c>
      <c r="AK436" s="4" t="e">
        <f ca="1">SQRT($B$9)*_xlfn.STDEV.S(AI436:OFFSET(AI436,$B$6-1,0))</f>
        <v>#DIV/0!</v>
      </c>
      <c r="AL436" s="4" t="e">
        <f ca="1">SQRT($B$9)*_xlfn.STDEV.S(AI436:OFFSET(AI436,$B$7-1,0))</f>
        <v>#DIV/0!</v>
      </c>
      <c r="AM436" s="4" t="e">
        <f ca="1">SQRT($B$9)*_xlfn.STDEV.S(AI436:OFFSET(AI436,$B$8-1,0))</f>
        <v>#DIV/0!</v>
      </c>
    </row>
    <row r="437" spans="5:39" x14ac:dyDescent="0.2">
      <c r="E437" s="42">
        <v>45009</v>
      </c>
      <c r="F437" s="43"/>
      <c r="G437" s="43"/>
      <c r="H437" s="43"/>
      <c r="I437" s="43"/>
      <c r="K437" s="3" t="e">
        <f t="shared" si="39"/>
        <v>#DIV/0!</v>
      </c>
      <c r="L437" s="3" t="e">
        <f ca="1">SQRT(AVERAGE(K437:OFFSET(K437,$B$5-1,0))*$B$9/(4*LN(2)))</f>
        <v>#DIV/0!</v>
      </c>
      <c r="M437" s="3" t="e">
        <f ca="1">SQRT(AVERAGE(K437:OFFSET(K437,$B$6-1,0))*$B$9/(4*LN(2)))</f>
        <v>#DIV/0!</v>
      </c>
      <c r="N437" s="3" t="e">
        <f ca="1">SQRT(AVERAGE(K437:OFFSET(K437,$B$7-1,0))*$B$9/(4*LN(2)))</f>
        <v>#DIV/0!</v>
      </c>
      <c r="O437" s="3" t="e">
        <f ca="1">SQRT(AVERAGE(K437:OFFSET(K437,$B$8-1,0))*$B$9/(4*LN(2)))</f>
        <v>#DIV/0!</v>
      </c>
      <c r="Q437" s="5" t="e">
        <f t="shared" si="38"/>
        <v>#DIV/0!</v>
      </c>
      <c r="R437" s="5" t="e">
        <f ca="1">SQRT($B$9*AVERAGE((Q437:OFFSET(Q437,$B$5-1,0))))</f>
        <v>#DIV/0!</v>
      </c>
      <c r="S437" s="5" t="e">
        <f ca="1">SQRT($B$9*AVERAGE((Q437:OFFSET(Q437,$B$6-1,0))))</f>
        <v>#DIV/0!</v>
      </c>
      <c r="T437" s="5" t="e">
        <f ca="1">SQRT($B$9*AVERAGE((Q437:OFFSET(Q437,$B$7-1,0))))</f>
        <v>#DIV/0!</v>
      </c>
      <c r="U437" s="5" t="e">
        <f ca="1">SQRT($B$9*AVERAGE((Q437:OFFSET(Q437,$B$8-1,0))))</f>
        <v>#DIV/0!</v>
      </c>
      <c r="W437" s="6" t="e">
        <f t="shared" si="42"/>
        <v>#DIV/0!</v>
      </c>
      <c r="X437" s="6" t="e">
        <f ca="1">SQRT($B$9*AVERAGE(W437:OFFSET(W437,$B$5-1,0)))</f>
        <v>#DIV/0!</v>
      </c>
      <c r="Y437" s="6" t="e">
        <f ca="1">SQRT($B$9*AVERAGE(W437:OFFSET(W437,$B$6-1,0)))</f>
        <v>#DIV/0!</v>
      </c>
      <c r="Z437" s="6" t="e">
        <f ca="1">SQRT($B$9*AVERAGE(W437:OFFSET(W437,$B$7-1,0)))</f>
        <v>#DIV/0!</v>
      </c>
      <c r="AA437" s="6" t="e">
        <f ca="1">SQRT($B$9*AVERAGE(W437:OFFSET(W437,$B$8-1,0)))</f>
        <v>#DIV/0!</v>
      </c>
      <c r="AC437" s="34" t="e">
        <f t="shared" si="40"/>
        <v>#DIV/0!</v>
      </c>
      <c r="AD437" s="34" t="e">
        <f ca="1">SQRT($B$9*SUM(AC437:OFFSET(AC437,$B$5-1,0))/($B$5-1))</f>
        <v>#DIV/0!</v>
      </c>
      <c r="AE437" s="34" t="e">
        <f ca="1">SQRT($B$9*SUM(AC437:OFFSET(AC437,$B$6-1,0))/($B$6-1))</f>
        <v>#DIV/0!</v>
      </c>
      <c r="AF437" s="34" t="e">
        <f ca="1">SQRT($B$9*SUM(AC437:OFFSET(AC437,$B$7-1,0))/($B$7-1))</f>
        <v>#DIV/0!</v>
      </c>
      <c r="AG437" s="34" t="e">
        <f ca="1">SQRT($B$9*SUM(AC437:OFFSET(AC437,$B$8-1,0))/($B$8-1))</f>
        <v>#DIV/0!</v>
      </c>
      <c r="AI437" s="1" t="e">
        <f t="shared" si="41"/>
        <v>#DIV/0!</v>
      </c>
      <c r="AJ437" s="4" t="e">
        <f ca="1">SQRT($B$9)*_xlfn.STDEV.S(AI437:OFFSET(AI437,$B$5-1,0))</f>
        <v>#DIV/0!</v>
      </c>
      <c r="AK437" s="4" t="e">
        <f ca="1">SQRT($B$9)*_xlfn.STDEV.S(AI437:OFFSET(AI437,$B$6-1,0))</f>
        <v>#DIV/0!</v>
      </c>
      <c r="AL437" s="4" t="e">
        <f ca="1">SQRT($B$9)*_xlfn.STDEV.S(AI437:OFFSET(AI437,$B$7-1,0))</f>
        <v>#DIV/0!</v>
      </c>
      <c r="AM437" s="4" t="e">
        <f ca="1">SQRT($B$9)*_xlfn.STDEV.S(AI437:OFFSET(AI437,$B$8-1,0))</f>
        <v>#DIV/0!</v>
      </c>
    </row>
    <row r="438" spans="5:39" x14ac:dyDescent="0.2">
      <c r="E438" s="42">
        <v>45008</v>
      </c>
      <c r="F438" s="43"/>
      <c r="G438" s="43"/>
      <c r="H438" s="43"/>
      <c r="I438" s="43"/>
      <c r="K438" s="3" t="e">
        <f t="shared" si="39"/>
        <v>#DIV/0!</v>
      </c>
      <c r="L438" s="3" t="e">
        <f ca="1">SQRT(AVERAGE(K438:OFFSET(K438,$B$5-1,0))*$B$9/(4*LN(2)))</f>
        <v>#DIV/0!</v>
      </c>
      <c r="M438" s="3" t="e">
        <f ca="1">SQRT(AVERAGE(K438:OFFSET(K438,$B$6-1,0))*$B$9/(4*LN(2)))</f>
        <v>#DIV/0!</v>
      </c>
      <c r="N438" s="3" t="e">
        <f ca="1">SQRT(AVERAGE(K438:OFFSET(K438,$B$7-1,0))*$B$9/(4*LN(2)))</f>
        <v>#DIV/0!</v>
      </c>
      <c r="O438" s="3" t="e">
        <f ca="1">SQRT(AVERAGE(K438:OFFSET(K438,$B$8-1,0))*$B$9/(4*LN(2)))</f>
        <v>#DIV/0!</v>
      </c>
      <c r="Q438" s="5" t="e">
        <f t="shared" si="38"/>
        <v>#DIV/0!</v>
      </c>
      <c r="R438" s="5" t="e">
        <f ca="1">SQRT($B$9*AVERAGE((Q438:OFFSET(Q438,$B$5-1,0))))</f>
        <v>#DIV/0!</v>
      </c>
      <c r="S438" s="5" t="e">
        <f ca="1">SQRT($B$9*AVERAGE((Q438:OFFSET(Q438,$B$6-1,0))))</f>
        <v>#DIV/0!</v>
      </c>
      <c r="T438" s="5" t="e">
        <f ca="1">SQRT($B$9*AVERAGE((Q438:OFFSET(Q438,$B$7-1,0))))</f>
        <v>#DIV/0!</v>
      </c>
      <c r="U438" s="5" t="e">
        <f ca="1">SQRT($B$9*AVERAGE((Q438:OFFSET(Q438,$B$8-1,0))))</f>
        <v>#DIV/0!</v>
      </c>
      <c r="W438" s="6" t="e">
        <f t="shared" si="42"/>
        <v>#DIV/0!</v>
      </c>
      <c r="X438" s="6" t="e">
        <f ca="1">SQRT($B$9*AVERAGE(W438:OFFSET(W438,$B$5-1,0)))</f>
        <v>#DIV/0!</v>
      </c>
      <c r="Y438" s="6" t="e">
        <f ca="1">SQRT($B$9*AVERAGE(W438:OFFSET(W438,$B$6-1,0)))</f>
        <v>#DIV/0!</v>
      </c>
      <c r="Z438" s="6" t="e">
        <f ca="1">SQRT($B$9*AVERAGE(W438:OFFSET(W438,$B$7-1,0)))</f>
        <v>#DIV/0!</v>
      </c>
      <c r="AA438" s="6" t="e">
        <f ca="1">SQRT($B$9*AVERAGE(W438:OFFSET(W438,$B$8-1,0)))</f>
        <v>#DIV/0!</v>
      </c>
      <c r="AC438" s="34" t="e">
        <f t="shared" si="40"/>
        <v>#DIV/0!</v>
      </c>
      <c r="AD438" s="34" t="e">
        <f ca="1">SQRT($B$9*SUM(AC438:OFFSET(AC438,$B$5-1,0))/($B$5-1))</f>
        <v>#DIV/0!</v>
      </c>
      <c r="AE438" s="34" t="e">
        <f ca="1">SQRT($B$9*SUM(AC438:OFFSET(AC438,$B$6-1,0))/($B$6-1))</f>
        <v>#DIV/0!</v>
      </c>
      <c r="AF438" s="34" t="e">
        <f ca="1">SQRT($B$9*SUM(AC438:OFFSET(AC438,$B$7-1,0))/($B$7-1))</f>
        <v>#DIV/0!</v>
      </c>
      <c r="AG438" s="34" t="e">
        <f ca="1">SQRT($B$9*SUM(AC438:OFFSET(AC438,$B$8-1,0))/($B$8-1))</f>
        <v>#DIV/0!</v>
      </c>
      <c r="AI438" s="1" t="e">
        <f t="shared" si="41"/>
        <v>#DIV/0!</v>
      </c>
      <c r="AJ438" s="4" t="e">
        <f ca="1">SQRT($B$9)*_xlfn.STDEV.S(AI438:OFFSET(AI438,$B$5-1,0))</f>
        <v>#DIV/0!</v>
      </c>
      <c r="AK438" s="4" t="e">
        <f ca="1">SQRT($B$9)*_xlfn.STDEV.S(AI438:OFFSET(AI438,$B$6-1,0))</f>
        <v>#DIV/0!</v>
      </c>
      <c r="AL438" s="4" t="e">
        <f ca="1">SQRT($B$9)*_xlfn.STDEV.S(AI438:OFFSET(AI438,$B$7-1,0))</f>
        <v>#DIV/0!</v>
      </c>
      <c r="AM438" s="4" t="e">
        <f ca="1">SQRT($B$9)*_xlfn.STDEV.S(AI438:OFFSET(AI438,$B$8-1,0))</f>
        <v>#DIV/0!</v>
      </c>
    </row>
    <row r="439" spans="5:39" x14ac:dyDescent="0.2">
      <c r="E439" s="42">
        <v>45007</v>
      </c>
      <c r="F439" s="43"/>
      <c r="G439" s="43"/>
      <c r="H439" s="43"/>
      <c r="I439" s="43"/>
      <c r="K439" s="3" t="e">
        <f t="shared" si="39"/>
        <v>#DIV/0!</v>
      </c>
      <c r="L439" s="3" t="e">
        <f ca="1">SQRT(AVERAGE(K439:OFFSET(K439,$B$5-1,0))*$B$9/(4*LN(2)))</f>
        <v>#DIV/0!</v>
      </c>
      <c r="M439" s="3" t="e">
        <f ca="1">SQRT(AVERAGE(K439:OFFSET(K439,$B$6-1,0))*$B$9/(4*LN(2)))</f>
        <v>#DIV/0!</v>
      </c>
      <c r="N439" s="3" t="e">
        <f ca="1">SQRT(AVERAGE(K439:OFFSET(K439,$B$7-1,0))*$B$9/(4*LN(2)))</f>
        <v>#DIV/0!</v>
      </c>
      <c r="O439" s="3" t="e">
        <f ca="1">SQRT(AVERAGE(K439:OFFSET(K439,$B$8-1,0))*$B$9/(4*LN(2)))</f>
        <v>#DIV/0!</v>
      </c>
      <c r="Q439" s="5" t="e">
        <f t="shared" si="38"/>
        <v>#DIV/0!</v>
      </c>
      <c r="R439" s="5" t="e">
        <f ca="1">SQRT($B$9*AVERAGE((Q439:OFFSET(Q439,$B$5-1,0))))</f>
        <v>#DIV/0!</v>
      </c>
      <c r="S439" s="5" t="e">
        <f ca="1">SQRT($B$9*AVERAGE((Q439:OFFSET(Q439,$B$6-1,0))))</f>
        <v>#DIV/0!</v>
      </c>
      <c r="T439" s="5" t="e">
        <f ca="1">SQRT($B$9*AVERAGE((Q439:OFFSET(Q439,$B$7-1,0))))</f>
        <v>#DIV/0!</v>
      </c>
      <c r="U439" s="5" t="e">
        <f ca="1">SQRT($B$9*AVERAGE((Q439:OFFSET(Q439,$B$8-1,0))))</f>
        <v>#DIV/0!</v>
      </c>
      <c r="W439" s="6" t="e">
        <f t="shared" si="42"/>
        <v>#DIV/0!</v>
      </c>
      <c r="X439" s="6" t="e">
        <f ca="1">SQRT($B$9*AVERAGE(W439:OFFSET(W439,$B$5-1,0)))</f>
        <v>#DIV/0!</v>
      </c>
      <c r="Y439" s="6" t="e">
        <f ca="1">SQRT($B$9*AVERAGE(W439:OFFSET(W439,$B$6-1,0)))</f>
        <v>#DIV/0!</v>
      </c>
      <c r="Z439" s="6" t="e">
        <f ca="1">SQRT($B$9*AVERAGE(W439:OFFSET(W439,$B$7-1,0)))</f>
        <v>#DIV/0!</v>
      </c>
      <c r="AA439" s="6" t="e">
        <f ca="1">SQRT($B$9*AVERAGE(W439:OFFSET(W439,$B$8-1,0)))</f>
        <v>#DIV/0!</v>
      </c>
      <c r="AC439" s="34" t="e">
        <f t="shared" si="40"/>
        <v>#DIV/0!</v>
      </c>
      <c r="AD439" s="34" t="e">
        <f ca="1">SQRT($B$9*SUM(AC439:OFFSET(AC439,$B$5-1,0))/($B$5-1))</f>
        <v>#DIV/0!</v>
      </c>
      <c r="AE439" s="34" t="e">
        <f ca="1">SQRT($B$9*SUM(AC439:OFFSET(AC439,$B$6-1,0))/($B$6-1))</f>
        <v>#DIV/0!</v>
      </c>
      <c r="AF439" s="34" t="e">
        <f ca="1">SQRT($B$9*SUM(AC439:OFFSET(AC439,$B$7-1,0))/($B$7-1))</f>
        <v>#DIV/0!</v>
      </c>
      <c r="AG439" s="34" t="e">
        <f ca="1">SQRT($B$9*SUM(AC439:OFFSET(AC439,$B$8-1,0))/($B$8-1))</f>
        <v>#DIV/0!</v>
      </c>
      <c r="AI439" s="1" t="e">
        <f t="shared" si="41"/>
        <v>#DIV/0!</v>
      </c>
      <c r="AJ439" s="4" t="e">
        <f ca="1">SQRT($B$9)*_xlfn.STDEV.S(AI439:OFFSET(AI439,$B$5-1,0))</f>
        <v>#DIV/0!</v>
      </c>
      <c r="AK439" s="4" t="e">
        <f ca="1">SQRT($B$9)*_xlfn.STDEV.S(AI439:OFFSET(AI439,$B$6-1,0))</f>
        <v>#DIV/0!</v>
      </c>
      <c r="AL439" s="4" t="e">
        <f ca="1">SQRT($B$9)*_xlfn.STDEV.S(AI439:OFFSET(AI439,$B$7-1,0))</f>
        <v>#DIV/0!</v>
      </c>
      <c r="AM439" s="4" t="e">
        <f ca="1">SQRT($B$9)*_xlfn.STDEV.S(AI439:OFFSET(AI439,$B$8-1,0))</f>
        <v>#DIV/0!</v>
      </c>
    </row>
    <row r="440" spans="5:39" x14ac:dyDescent="0.2">
      <c r="E440" s="42">
        <v>45006</v>
      </c>
      <c r="F440" s="43"/>
      <c r="G440" s="43"/>
      <c r="H440" s="43"/>
      <c r="I440" s="43"/>
      <c r="K440" s="3" t="e">
        <f t="shared" si="39"/>
        <v>#DIV/0!</v>
      </c>
      <c r="L440" s="3" t="e">
        <f ca="1">SQRT(AVERAGE(K440:OFFSET(K440,$B$5-1,0))*$B$9/(4*LN(2)))</f>
        <v>#DIV/0!</v>
      </c>
      <c r="M440" s="3" t="e">
        <f ca="1">SQRT(AVERAGE(K440:OFFSET(K440,$B$6-1,0))*$B$9/(4*LN(2)))</f>
        <v>#DIV/0!</v>
      </c>
      <c r="N440" s="3" t="e">
        <f ca="1">SQRT(AVERAGE(K440:OFFSET(K440,$B$7-1,0))*$B$9/(4*LN(2)))</f>
        <v>#DIV/0!</v>
      </c>
      <c r="O440" s="3" t="e">
        <f ca="1">SQRT(AVERAGE(K440:OFFSET(K440,$B$8-1,0))*$B$9/(4*LN(2)))</f>
        <v>#DIV/0!</v>
      </c>
      <c r="Q440" s="5" t="e">
        <f t="shared" si="38"/>
        <v>#DIV/0!</v>
      </c>
      <c r="R440" s="5" t="e">
        <f ca="1">SQRT($B$9*AVERAGE((Q440:OFFSET(Q440,$B$5-1,0))))</f>
        <v>#DIV/0!</v>
      </c>
      <c r="S440" s="5" t="e">
        <f ca="1">SQRT($B$9*AVERAGE((Q440:OFFSET(Q440,$B$6-1,0))))</f>
        <v>#DIV/0!</v>
      </c>
      <c r="T440" s="5" t="e">
        <f ca="1">SQRT($B$9*AVERAGE((Q440:OFFSET(Q440,$B$7-1,0))))</f>
        <v>#DIV/0!</v>
      </c>
      <c r="U440" s="5" t="e">
        <f ca="1">SQRT($B$9*AVERAGE((Q440:OFFSET(Q440,$B$8-1,0))))</f>
        <v>#DIV/0!</v>
      </c>
      <c r="W440" s="6" t="e">
        <f t="shared" si="42"/>
        <v>#DIV/0!</v>
      </c>
      <c r="X440" s="6" t="e">
        <f ca="1">SQRT($B$9*AVERAGE(W440:OFFSET(W440,$B$5-1,0)))</f>
        <v>#DIV/0!</v>
      </c>
      <c r="Y440" s="6" t="e">
        <f ca="1">SQRT($B$9*AVERAGE(W440:OFFSET(W440,$B$6-1,0)))</f>
        <v>#DIV/0!</v>
      </c>
      <c r="Z440" s="6" t="e">
        <f ca="1">SQRT($B$9*AVERAGE(W440:OFFSET(W440,$B$7-1,0)))</f>
        <v>#DIV/0!</v>
      </c>
      <c r="AA440" s="6" t="e">
        <f ca="1">SQRT($B$9*AVERAGE(W440:OFFSET(W440,$B$8-1,0)))</f>
        <v>#DIV/0!</v>
      </c>
      <c r="AC440" s="34" t="e">
        <f t="shared" si="40"/>
        <v>#DIV/0!</v>
      </c>
      <c r="AD440" s="34" t="e">
        <f ca="1">SQRT($B$9*SUM(AC440:OFFSET(AC440,$B$5-1,0))/($B$5-1))</f>
        <v>#DIV/0!</v>
      </c>
      <c r="AE440" s="34" t="e">
        <f ca="1">SQRT($B$9*SUM(AC440:OFFSET(AC440,$B$6-1,0))/($B$6-1))</f>
        <v>#DIV/0!</v>
      </c>
      <c r="AF440" s="34" t="e">
        <f ca="1">SQRT($B$9*SUM(AC440:OFFSET(AC440,$B$7-1,0))/($B$7-1))</f>
        <v>#DIV/0!</v>
      </c>
      <c r="AG440" s="34" t="e">
        <f ca="1">SQRT($B$9*SUM(AC440:OFFSET(AC440,$B$8-1,0))/($B$8-1))</f>
        <v>#DIV/0!</v>
      </c>
      <c r="AI440" s="1" t="e">
        <f t="shared" si="41"/>
        <v>#DIV/0!</v>
      </c>
      <c r="AJ440" s="4" t="e">
        <f ca="1">SQRT($B$9)*_xlfn.STDEV.S(AI440:OFFSET(AI440,$B$5-1,0))</f>
        <v>#DIV/0!</v>
      </c>
      <c r="AK440" s="4" t="e">
        <f ca="1">SQRT($B$9)*_xlfn.STDEV.S(AI440:OFFSET(AI440,$B$6-1,0))</f>
        <v>#DIV/0!</v>
      </c>
      <c r="AL440" s="4" t="e">
        <f ca="1">SQRT($B$9)*_xlfn.STDEV.S(AI440:OFFSET(AI440,$B$7-1,0))</f>
        <v>#DIV/0!</v>
      </c>
      <c r="AM440" s="4" t="e">
        <f ca="1">SQRT($B$9)*_xlfn.STDEV.S(AI440:OFFSET(AI440,$B$8-1,0))</f>
        <v>#DIV/0!</v>
      </c>
    </row>
    <row r="441" spans="5:39" x14ac:dyDescent="0.2">
      <c r="E441" s="42">
        <v>45005</v>
      </c>
      <c r="F441" s="43"/>
      <c r="G441" s="43"/>
      <c r="H441" s="43"/>
      <c r="I441" s="43"/>
      <c r="K441" s="3" t="e">
        <f t="shared" si="39"/>
        <v>#DIV/0!</v>
      </c>
      <c r="L441" s="3" t="e">
        <f ca="1">SQRT(AVERAGE(K441:OFFSET(K441,$B$5-1,0))*$B$9/(4*LN(2)))</f>
        <v>#DIV/0!</v>
      </c>
      <c r="M441" s="3" t="e">
        <f ca="1">SQRT(AVERAGE(K441:OFFSET(K441,$B$6-1,0))*$B$9/(4*LN(2)))</f>
        <v>#DIV/0!</v>
      </c>
      <c r="N441" s="3" t="e">
        <f ca="1">SQRT(AVERAGE(K441:OFFSET(K441,$B$7-1,0))*$B$9/(4*LN(2)))</f>
        <v>#DIV/0!</v>
      </c>
      <c r="O441" s="3" t="e">
        <f ca="1">SQRT(AVERAGE(K441:OFFSET(K441,$B$8-1,0))*$B$9/(4*LN(2)))</f>
        <v>#DIV/0!</v>
      </c>
      <c r="Q441" s="5" t="e">
        <f t="shared" si="38"/>
        <v>#DIV/0!</v>
      </c>
      <c r="R441" s="5" t="e">
        <f ca="1">SQRT($B$9*AVERAGE((Q441:OFFSET(Q441,$B$5-1,0))))</f>
        <v>#DIV/0!</v>
      </c>
      <c r="S441" s="5" t="e">
        <f ca="1">SQRT($B$9*AVERAGE((Q441:OFFSET(Q441,$B$6-1,0))))</f>
        <v>#DIV/0!</v>
      </c>
      <c r="T441" s="5" t="e">
        <f ca="1">SQRT($B$9*AVERAGE((Q441:OFFSET(Q441,$B$7-1,0))))</f>
        <v>#DIV/0!</v>
      </c>
      <c r="U441" s="5" t="e">
        <f ca="1">SQRT($B$9*AVERAGE((Q441:OFFSET(Q441,$B$8-1,0))))</f>
        <v>#DIV/0!</v>
      </c>
      <c r="W441" s="6" t="e">
        <f t="shared" si="42"/>
        <v>#DIV/0!</v>
      </c>
      <c r="X441" s="6" t="e">
        <f ca="1">SQRT($B$9*AVERAGE(W441:OFFSET(W441,$B$5-1,0)))</f>
        <v>#DIV/0!</v>
      </c>
      <c r="Y441" s="6" t="e">
        <f ca="1">SQRT($B$9*AVERAGE(W441:OFFSET(W441,$B$6-1,0)))</f>
        <v>#DIV/0!</v>
      </c>
      <c r="Z441" s="6" t="e">
        <f ca="1">SQRT($B$9*AVERAGE(W441:OFFSET(W441,$B$7-1,0)))</f>
        <v>#DIV/0!</v>
      </c>
      <c r="AA441" s="6" t="e">
        <f ca="1">SQRT($B$9*AVERAGE(W441:OFFSET(W441,$B$8-1,0)))</f>
        <v>#DIV/0!</v>
      </c>
      <c r="AC441" s="34" t="e">
        <f t="shared" si="40"/>
        <v>#DIV/0!</v>
      </c>
      <c r="AD441" s="34" t="e">
        <f ca="1">SQRT($B$9*SUM(AC441:OFFSET(AC441,$B$5-1,0))/($B$5-1))</f>
        <v>#DIV/0!</v>
      </c>
      <c r="AE441" s="34" t="e">
        <f ca="1">SQRT($B$9*SUM(AC441:OFFSET(AC441,$B$6-1,0))/($B$6-1))</f>
        <v>#DIV/0!</v>
      </c>
      <c r="AF441" s="34" t="e">
        <f ca="1">SQRT($B$9*SUM(AC441:OFFSET(AC441,$B$7-1,0))/($B$7-1))</f>
        <v>#DIV/0!</v>
      </c>
      <c r="AG441" s="34" t="e">
        <f ca="1">SQRT($B$9*SUM(AC441:OFFSET(AC441,$B$8-1,0))/($B$8-1))</f>
        <v>#DIV/0!</v>
      </c>
      <c r="AI441" s="1" t="e">
        <f t="shared" si="41"/>
        <v>#DIV/0!</v>
      </c>
      <c r="AJ441" s="4" t="e">
        <f ca="1">SQRT($B$9)*_xlfn.STDEV.S(AI441:OFFSET(AI441,$B$5-1,0))</f>
        <v>#DIV/0!</v>
      </c>
      <c r="AK441" s="4" t="e">
        <f ca="1">SQRT($B$9)*_xlfn.STDEV.S(AI441:OFFSET(AI441,$B$6-1,0))</f>
        <v>#DIV/0!</v>
      </c>
      <c r="AL441" s="4" t="e">
        <f ca="1">SQRT($B$9)*_xlfn.STDEV.S(AI441:OFFSET(AI441,$B$7-1,0))</f>
        <v>#DIV/0!</v>
      </c>
      <c r="AM441" s="4" t="e">
        <f ca="1">SQRT($B$9)*_xlfn.STDEV.S(AI441:OFFSET(AI441,$B$8-1,0))</f>
        <v>#DIV/0!</v>
      </c>
    </row>
    <row r="442" spans="5:39" x14ac:dyDescent="0.2">
      <c r="E442" s="42">
        <v>45002</v>
      </c>
      <c r="F442" s="43"/>
      <c r="G442" s="43"/>
      <c r="H442" s="43"/>
      <c r="I442" s="43"/>
      <c r="K442" s="3" t="e">
        <f t="shared" si="39"/>
        <v>#DIV/0!</v>
      </c>
      <c r="L442" s="3" t="e">
        <f ca="1">SQRT(AVERAGE(K442:OFFSET(K442,$B$5-1,0))*$B$9/(4*LN(2)))</f>
        <v>#DIV/0!</v>
      </c>
      <c r="M442" s="3" t="e">
        <f ca="1">SQRT(AVERAGE(K442:OFFSET(K442,$B$6-1,0))*$B$9/(4*LN(2)))</f>
        <v>#DIV/0!</v>
      </c>
      <c r="N442" s="3" t="e">
        <f ca="1">SQRT(AVERAGE(K442:OFFSET(K442,$B$7-1,0))*$B$9/(4*LN(2)))</f>
        <v>#DIV/0!</v>
      </c>
      <c r="O442" s="3" t="e">
        <f ca="1">SQRT(AVERAGE(K442:OFFSET(K442,$B$8-1,0))*$B$9/(4*LN(2)))</f>
        <v>#DIV/0!</v>
      </c>
      <c r="Q442" s="5" t="e">
        <f t="shared" si="38"/>
        <v>#DIV/0!</v>
      </c>
      <c r="R442" s="5" t="e">
        <f ca="1">SQRT($B$9*AVERAGE((Q442:OFFSET(Q442,$B$5-1,0))))</f>
        <v>#DIV/0!</v>
      </c>
      <c r="S442" s="5" t="e">
        <f ca="1">SQRT($B$9*AVERAGE((Q442:OFFSET(Q442,$B$6-1,0))))</f>
        <v>#DIV/0!</v>
      </c>
      <c r="T442" s="5" t="e">
        <f ca="1">SQRT($B$9*AVERAGE((Q442:OFFSET(Q442,$B$7-1,0))))</f>
        <v>#DIV/0!</v>
      </c>
      <c r="U442" s="5" t="e">
        <f ca="1">SQRT($B$9*AVERAGE((Q442:OFFSET(Q442,$B$8-1,0))))</f>
        <v>#DIV/0!</v>
      </c>
      <c r="W442" s="6" t="e">
        <f t="shared" si="42"/>
        <v>#DIV/0!</v>
      </c>
      <c r="X442" s="6" t="e">
        <f ca="1">SQRT($B$9*AVERAGE(W442:OFFSET(W442,$B$5-1,0)))</f>
        <v>#DIV/0!</v>
      </c>
      <c r="Y442" s="6" t="e">
        <f ca="1">SQRT($B$9*AVERAGE(W442:OFFSET(W442,$B$6-1,0)))</f>
        <v>#DIV/0!</v>
      </c>
      <c r="Z442" s="6" t="e">
        <f ca="1">SQRT($B$9*AVERAGE(W442:OFFSET(W442,$B$7-1,0)))</f>
        <v>#DIV/0!</v>
      </c>
      <c r="AA442" s="6" t="e">
        <f ca="1">SQRT($B$9*AVERAGE(W442:OFFSET(W442,$B$8-1,0)))</f>
        <v>#DIV/0!</v>
      </c>
      <c r="AC442" s="34" t="e">
        <f t="shared" si="40"/>
        <v>#DIV/0!</v>
      </c>
      <c r="AD442" s="34" t="e">
        <f ca="1">SQRT($B$9*SUM(AC442:OFFSET(AC442,$B$5-1,0))/($B$5-1))</f>
        <v>#DIV/0!</v>
      </c>
      <c r="AE442" s="34" t="e">
        <f ca="1">SQRT($B$9*SUM(AC442:OFFSET(AC442,$B$6-1,0))/($B$6-1))</f>
        <v>#DIV/0!</v>
      </c>
      <c r="AF442" s="34" t="e">
        <f ca="1">SQRT($B$9*SUM(AC442:OFFSET(AC442,$B$7-1,0))/($B$7-1))</f>
        <v>#DIV/0!</v>
      </c>
      <c r="AG442" s="34" t="e">
        <f ca="1">SQRT($B$9*SUM(AC442:OFFSET(AC442,$B$8-1,0))/($B$8-1))</f>
        <v>#DIV/0!</v>
      </c>
      <c r="AI442" s="1" t="e">
        <f t="shared" si="41"/>
        <v>#DIV/0!</v>
      </c>
      <c r="AJ442" s="4" t="e">
        <f ca="1">SQRT($B$9)*_xlfn.STDEV.S(AI442:OFFSET(AI442,$B$5-1,0))</f>
        <v>#DIV/0!</v>
      </c>
      <c r="AK442" s="4" t="e">
        <f ca="1">SQRT($B$9)*_xlfn.STDEV.S(AI442:OFFSET(AI442,$B$6-1,0))</f>
        <v>#DIV/0!</v>
      </c>
      <c r="AL442" s="4" t="e">
        <f ca="1">SQRT($B$9)*_xlfn.STDEV.S(AI442:OFFSET(AI442,$B$7-1,0))</f>
        <v>#DIV/0!</v>
      </c>
      <c r="AM442" s="4" t="e">
        <f ca="1">SQRT($B$9)*_xlfn.STDEV.S(AI442:OFFSET(AI442,$B$8-1,0))</f>
        <v>#DIV/0!</v>
      </c>
    </row>
    <row r="443" spans="5:39" x14ac:dyDescent="0.2">
      <c r="E443" s="42">
        <v>45001</v>
      </c>
      <c r="F443" s="43"/>
      <c r="G443" s="43"/>
      <c r="H443" s="43"/>
      <c r="I443" s="43"/>
      <c r="K443" s="3" t="e">
        <f t="shared" si="39"/>
        <v>#DIV/0!</v>
      </c>
      <c r="L443" s="3" t="e">
        <f ca="1">SQRT(AVERAGE(K443:OFFSET(K443,$B$5-1,0))*$B$9/(4*LN(2)))</f>
        <v>#DIV/0!</v>
      </c>
      <c r="M443" s="3" t="e">
        <f ca="1">SQRT(AVERAGE(K443:OFFSET(K443,$B$6-1,0))*$B$9/(4*LN(2)))</f>
        <v>#DIV/0!</v>
      </c>
      <c r="N443" s="3" t="e">
        <f ca="1">SQRT(AVERAGE(K443:OFFSET(K443,$B$7-1,0))*$B$9/(4*LN(2)))</f>
        <v>#DIV/0!</v>
      </c>
      <c r="O443" s="3" t="e">
        <f ca="1">SQRT(AVERAGE(K443:OFFSET(K443,$B$8-1,0))*$B$9/(4*LN(2)))</f>
        <v>#DIV/0!</v>
      </c>
      <c r="Q443" s="5" t="e">
        <f t="shared" si="38"/>
        <v>#DIV/0!</v>
      </c>
      <c r="R443" s="5" t="e">
        <f ca="1">SQRT($B$9*AVERAGE((Q443:OFFSET(Q443,$B$5-1,0))))</f>
        <v>#DIV/0!</v>
      </c>
      <c r="S443" s="5" t="e">
        <f ca="1">SQRT($B$9*AVERAGE((Q443:OFFSET(Q443,$B$6-1,0))))</f>
        <v>#DIV/0!</v>
      </c>
      <c r="T443" s="5" t="e">
        <f ca="1">SQRT($B$9*AVERAGE((Q443:OFFSET(Q443,$B$7-1,0))))</f>
        <v>#DIV/0!</v>
      </c>
      <c r="U443" s="5" t="e">
        <f ca="1">SQRT($B$9*AVERAGE((Q443:OFFSET(Q443,$B$8-1,0))))</f>
        <v>#DIV/0!</v>
      </c>
      <c r="W443" s="6" t="e">
        <f t="shared" si="42"/>
        <v>#DIV/0!</v>
      </c>
      <c r="X443" s="6" t="e">
        <f ca="1">SQRT($B$9*AVERAGE(W443:OFFSET(W443,$B$5-1,0)))</f>
        <v>#DIV/0!</v>
      </c>
      <c r="Y443" s="6" t="e">
        <f ca="1">SQRT($B$9*AVERAGE(W443:OFFSET(W443,$B$6-1,0)))</f>
        <v>#DIV/0!</v>
      </c>
      <c r="Z443" s="6" t="e">
        <f ca="1">SQRT($B$9*AVERAGE(W443:OFFSET(W443,$B$7-1,0)))</f>
        <v>#DIV/0!</v>
      </c>
      <c r="AA443" s="6" t="e">
        <f ca="1">SQRT($B$9*AVERAGE(W443:OFFSET(W443,$B$8-1,0)))</f>
        <v>#DIV/0!</v>
      </c>
      <c r="AC443" s="34" t="e">
        <f t="shared" si="40"/>
        <v>#DIV/0!</v>
      </c>
      <c r="AD443" s="34" t="e">
        <f ca="1">SQRT($B$9*SUM(AC443:OFFSET(AC443,$B$5-1,0))/($B$5-1))</f>
        <v>#DIV/0!</v>
      </c>
      <c r="AE443" s="34" t="e">
        <f ca="1">SQRT($B$9*SUM(AC443:OFFSET(AC443,$B$6-1,0))/($B$6-1))</f>
        <v>#DIV/0!</v>
      </c>
      <c r="AF443" s="34" t="e">
        <f ca="1">SQRT($B$9*SUM(AC443:OFFSET(AC443,$B$7-1,0))/($B$7-1))</f>
        <v>#DIV/0!</v>
      </c>
      <c r="AG443" s="34" t="e">
        <f ca="1">SQRT($B$9*SUM(AC443:OFFSET(AC443,$B$8-1,0))/($B$8-1))</f>
        <v>#DIV/0!</v>
      </c>
      <c r="AI443" s="1" t="e">
        <f t="shared" si="41"/>
        <v>#DIV/0!</v>
      </c>
      <c r="AJ443" s="4" t="e">
        <f ca="1">SQRT($B$9)*_xlfn.STDEV.S(AI443:OFFSET(AI443,$B$5-1,0))</f>
        <v>#DIV/0!</v>
      </c>
      <c r="AK443" s="4" t="e">
        <f ca="1">SQRT($B$9)*_xlfn.STDEV.S(AI443:OFFSET(AI443,$B$6-1,0))</f>
        <v>#DIV/0!</v>
      </c>
      <c r="AL443" s="4" t="e">
        <f ca="1">SQRT($B$9)*_xlfn.STDEV.S(AI443:OFFSET(AI443,$B$7-1,0))</f>
        <v>#DIV/0!</v>
      </c>
      <c r="AM443" s="4" t="e">
        <f ca="1">SQRT($B$9)*_xlfn.STDEV.S(AI443:OFFSET(AI443,$B$8-1,0))</f>
        <v>#DIV/0!</v>
      </c>
    </row>
    <row r="444" spans="5:39" x14ac:dyDescent="0.2">
      <c r="E444" s="42">
        <v>45000</v>
      </c>
      <c r="F444" s="43"/>
      <c r="G444" s="43"/>
      <c r="H444" s="43"/>
      <c r="I444" s="43"/>
      <c r="K444" s="3" t="e">
        <f t="shared" si="39"/>
        <v>#DIV/0!</v>
      </c>
      <c r="L444" s="3" t="e">
        <f ca="1">SQRT(AVERAGE(K444:OFFSET(K444,$B$5-1,0))*$B$9/(4*LN(2)))</f>
        <v>#DIV/0!</v>
      </c>
      <c r="M444" s="3" t="e">
        <f ca="1">SQRT(AVERAGE(K444:OFFSET(K444,$B$6-1,0))*$B$9/(4*LN(2)))</f>
        <v>#DIV/0!</v>
      </c>
      <c r="N444" s="3" t="e">
        <f ca="1">SQRT(AVERAGE(K444:OFFSET(K444,$B$7-1,0))*$B$9/(4*LN(2)))</f>
        <v>#DIV/0!</v>
      </c>
      <c r="O444" s="3" t="e">
        <f ca="1">SQRT(AVERAGE(K444:OFFSET(K444,$B$8-1,0))*$B$9/(4*LN(2)))</f>
        <v>#DIV/0!</v>
      </c>
      <c r="Q444" s="5" t="e">
        <f t="shared" si="38"/>
        <v>#DIV/0!</v>
      </c>
      <c r="R444" s="5" t="e">
        <f ca="1">SQRT($B$9*AVERAGE((Q444:OFFSET(Q444,$B$5-1,0))))</f>
        <v>#DIV/0!</v>
      </c>
      <c r="S444" s="5" t="e">
        <f ca="1">SQRT($B$9*AVERAGE((Q444:OFFSET(Q444,$B$6-1,0))))</f>
        <v>#DIV/0!</v>
      </c>
      <c r="T444" s="5" t="e">
        <f ca="1">SQRT($B$9*AVERAGE((Q444:OFFSET(Q444,$B$7-1,0))))</f>
        <v>#DIV/0!</v>
      </c>
      <c r="U444" s="5" t="e">
        <f ca="1">SQRT($B$9*AVERAGE((Q444:OFFSET(Q444,$B$8-1,0))))</f>
        <v>#DIV/0!</v>
      </c>
      <c r="W444" s="6" t="e">
        <f t="shared" si="42"/>
        <v>#DIV/0!</v>
      </c>
      <c r="X444" s="6" t="e">
        <f ca="1">SQRT($B$9*AVERAGE(W444:OFFSET(W444,$B$5-1,0)))</f>
        <v>#DIV/0!</v>
      </c>
      <c r="Y444" s="6" t="e">
        <f ca="1">SQRT($B$9*AVERAGE(W444:OFFSET(W444,$B$6-1,0)))</f>
        <v>#DIV/0!</v>
      </c>
      <c r="Z444" s="6" t="e">
        <f ca="1">SQRT($B$9*AVERAGE(W444:OFFSET(W444,$B$7-1,0)))</f>
        <v>#DIV/0!</v>
      </c>
      <c r="AA444" s="6" t="e">
        <f ca="1">SQRT($B$9*AVERAGE(W444:OFFSET(W444,$B$8-1,0)))</f>
        <v>#DIV/0!</v>
      </c>
      <c r="AC444" s="34" t="e">
        <f t="shared" si="40"/>
        <v>#DIV/0!</v>
      </c>
      <c r="AD444" s="34" t="e">
        <f ca="1">SQRT($B$9*SUM(AC444:OFFSET(AC444,$B$5-1,0))/($B$5-1))</f>
        <v>#DIV/0!</v>
      </c>
      <c r="AE444" s="34" t="e">
        <f ca="1">SQRT($B$9*SUM(AC444:OFFSET(AC444,$B$6-1,0))/($B$6-1))</f>
        <v>#DIV/0!</v>
      </c>
      <c r="AF444" s="34" t="e">
        <f ca="1">SQRT($B$9*SUM(AC444:OFFSET(AC444,$B$7-1,0))/($B$7-1))</f>
        <v>#DIV/0!</v>
      </c>
      <c r="AG444" s="34" t="e">
        <f ca="1">SQRT($B$9*SUM(AC444:OFFSET(AC444,$B$8-1,0))/($B$8-1))</f>
        <v>#DIV/0!</v>
      </c>
      <c r="AI444" s="1" t="e">
        <f t="shared" si="41"/>
        <v>#DIV/0!</v>
      </c>
      <c r="AJ444" s="4" t="e">
        <f ca="1">SQRT($B$9)*_xlfn.STDEV.S(AI444:OFFSET(AI444,$B$5-1,0))</f>
        <v>#DIV/0!</v>
      </c>
      <c r="AK444" s="4" t="e">
        <f ca="1">SQRT($B$9)*_xlfn.STDEV.S(AI444:OFFSET(AI444,$B$6-1,0))</f>
        <v>#DIV/0!</v>
      </c>
      <c r="AL444" s="4" t="e">
        <f ca="1">SQRT($B$9)*_xlfn.STDEV.S(AI444:OFFSET(AI444,$B$7-1,0))</f>
        <v>#DIV/0!</v>
      </c>
      <c r="AM444" s="4" t="e">
        <f ca="1">SQRT($B$9)*_xlfn.STDEV.S(AI444:OFFSET(AI444,$B$8-1,0))</f>
        <v>#DIV/0!</v>
      </c>
    </row>
    <row r="445" spans="5:39" x14ac:dyDescent="0.2">
      <c r="E445" s="42">
        <v>44999</v>
      </c>
      <c r="F445" s="43"/>
      <c r="G445" s="43"/>
      <c r="H445" s="43"/>
      <c r="I445" s="43"/>
      <c r="K445" s="3" t="e">
        <f t="shared" si="39"/>
        <v>#DIV/0!</v>
      </c>
      <c r="L445" s="3" t="e">
        <f ca="1">SQRT(AVERAGE(K445:OFFSET(K445,$B$5-1,0))*$B$9/(4*LN(2)))</f>
        <v>#DIV/0!</v>
      </c>
      <c r="M445" s="3" t="e">
        <f ca="1">SQRT(AVERAGE(K445:OFFSET(K445,$B$6-1,0))*$B$9/(4*LN(2)))</f>
        <v>#DIV/0!</v>
      </c>
      <c r="N445" s="3" t="e">
        <f ca="1">SQRT(AVERAGE(K445:OFFSET(K445,$B$7-1,0))*$B$9/(4*LN(2)))</f>
        <v>#DIV/0!</v>
      </c>
      <c r="O445" s="3" t="e">
        <f ca="1">SQRT(AVERAGE(K445:OFFSET(K445,$B$8-1,0))*$B$9/(4*LN(2)))</f>
        <v>#DIV/0!</v>
      </c>
      <c r="Q445" s="5" t="e">
        <f t="shared" si="38"/>
        <v>#DIV/0!</v>
      </c>
      <c r="R445" s="5" t="e">
        <f ca="1">SQRT($B$9*AVERAGE((Q445:OFFSET(Q445,$B$5-1,0))))</f>
        <v>#DIV/0!</v>
      </c>
      <c r="S445" s="5" t="e">
        <f ca="1">SQRT($B$9*AVERAGE((Q445:OFFSET(Q445,$B$6-1,0))))</f>
        <v>#DIV/0!</v>
      </c>
      <c r="T445" s="5" t="e">
        <f ca="1">SQRT($B$9*AVERAGE((Q445:OFFSET(Q445,$B$7-1,0))))</f>
        <v>#DIV/0!</v>
      </c>
      <c r="U445" s="5" t="e">
        <f ca="1">SQRT($B$9*AVERAGE((Q445:OFFSET(Q445,$B$8-1,0))))</f>
        <v>#DIV/0!</v>
      </c>
      <c r="W445" s="6" t="e">
        <f t="shared" si="42"/>
        <v>#DIV/0!</v>
      </c>
      <c r="X445" s="6" t="e">
        <f ca="1">SQRT($B$9*AVERAGE(W445:OFFSET(W445,$B$5-1,0)))</f>
        <v>#DIV/0!</v>
      </c>
      <c r="Y445" s="6" t="e">
        <f ca="1">SQRT($B$9*AVERAGE(W445:OFFSET(W445,$B$6-1,0)))</f>
        <v>#DIV/0!</v>
      </c>
      <c r="Z445" s="6" t="e">
        <f ca="1">SQRT($B$9*AVERAGE(W445:OFFSET(W445,$B$7-1,0)))</f>
        <v>#DIV/0!</v>
      </c>
      <c r="AA445" s="6" t="e">
        <f ca="1">SQRT($B$9*AVERAGE(W445:OFFSET(W445,$B$8-1,0)))</f>
        <v>#DIV/0!</v>
      </c>
      <c r="AC445" s="34" t="e">
        <f t="shared" si="40"/>
        <v>#DIV/0!</v>
      </c>
      <c r="AD445" s="34" t="e">
        <f ca="1">SQRT($B$9*SUM(AC445:OFFSET(AC445,$B$5-1,0))/($B$5-1))</f>
        <v>#DIV/0!</v>
      </c>
      <c r="AE445" s="34" t="e">
        <f ca="1">SQRT($B$9*SUM(AC445:OFFSET(AC445,$B$6-1,0))/($B$6-1))</f>
        <v>#DIV/0!</v>
      </c>
      <c r="AF445" s="34" t="e">
        <f ca="1">SQRT($B$9*SUM(AC445:OFFSET(AC445,$B$7-1,0))/($B$7-1))</f>
        <v>#DIV/0!</v>
      </c>
      <c r="AG445" s="34" t="e">
        <f ca="1">SQRT($B$9*SUM(AC445:OFFSET(AC445,$B$8-1,0))/($B$8-1))</f>
        <v>#DIV/0!</v>
      </c>
      <c r="AI445" s="1" t="e">
        <f t="shared" si="41"/>
        <v>#DIV/0!</v>
      </c>
      <c r="AJ445" s="4" t="e">
        <f ca="1">SQRT($B$9)*_xlfn.STDEV.S(AI445:OFFSET(AI445,$B$5-1,0))</f>
        <v>#DIV/0!</v>
      </c>
      <c r="AK445" s="4" t="e">
        <f ca="1">SQRT($B$9)*_xlfn.STDEV.S(AI445:OFFSET(AI445,$B$6-1,0))</f>
        <v>#DIV/0!</v>
      </c>
      <c r="AL445" s="4" t="e">
        <f ca="1">SQRT($B$9)*_xlfn.STDEV.S(AI445:OFFSET(AI445,$B$7-1,0))</f>
        <v>#DIV/0!</v>
      </c>
      <c r="AM445" s="4" t="e">
        <f ca="1">SQRT($B$9)*_xlfn.STDEV.S(AI445:OFFSET(AI445,$B$8-1,0))</f>
        <v>#DIV/0!</v>
      </c>
    </row>
    <row r="446" spans="5:39" x14ac:dyDescent="0.2">
      <c r="E446" s="42">
        <v>44998</v>
      </c>
      <c r="F446" s="43"/>
      <c r="G446" s="43"/>
      <c r="H446" s="43"/>
      <c r="I446" s="43"/>
      <c r="K446" s="3" t="e">
        <f t="shared" si="39"/>
        <v>#DIV/0!</v>
      </c>
      <c r="L446" s="3" t="e">
        <f ca="1">SQRT(AVERAGE(K446:OFFSET(K446,$B$5-1,0))*$B$9/(4*LN(2)))</f>
        <v>#DIV/0!</v>
      </c>
      <c r="M446" s="3" t="e">
        <f ca="1">SQRT(AVERAGE(K446:OFFSET(K446,$B$6-1,0))*$B$9/(4*LN(2)))</f>
        <v>#DIV/0!</v>
      </c>
      <c r="N446" s="3" t="e">
        <f ca="1">SQRT(AVERAGE(K446:OFFSET(K446,$B$7-1,0))*$B$9/(4*LN(2)))</f>
        <v>#DIV/0!</v>
      </c>
      <c r="O446" s="3" t="e">
        <f ca="1">SQRT(AVERAGE(K446:OFFSET(K446,$B$8-1,0))*$B$9/(4*LN(2)))</f>
        <v>#DIV/0!</v>
      </c>
      <c r="Q446" s="5" t="e">
        <f t="shared" si="38"/>
        <v>#DIV/0!</v>
      </c>
      <c r="R446" s="5" t="e">
        <f ca="1">SQRT($B$9*AVERAGE((Q446:OFFSET(Q446,$B$5-1,0))))</f>
        <v>#DIV/0!</v>
      </c>
      <c r="S446" s="5" t="e">
        <f ca="1">SQRT($B$9*AVERAGE((Q446:OFFSET(Q446,$B$6-1,0))))</f>
        <v>#DIV/0!</v>
      </c>
      <c r="T446" s="5" t="e">
        <f ca="1">SQRT($B$9*AVERAGE((Q446:OFFSET(Q446,$B$7-1,0))))</f>
        <v>#DIV/0!</v>
      </c>
      <c r="U446" s="5" t="e">
        <f ca="1">SQRT($B$9*AVERAGE((Q446:OFFSET(Q446,$B$8-1,0))))</f>
        <v>#DIV/0!</v>
      </c>
      <c r="W446" s="6" t="e">
        <f t="shared" si="42"/>
        <v>#DIV/0!</v>
      </c>
      <c r="X446" s="6" t="e">
        <f ca="1">SQRT($B$9*AVERAGE(W446:OFFSET(W446,$B$5-1,0)))</f>
        <v>#DIV/0!</v>
      </c>
      <c r="Y446" s="6" t="e">
        <f ca="1">SQRT($B$9*AVERAGE(W446:OFFSET(W446,$B$6-1,0)))</f>
        <v>#DIV/0!</v>
      </c>
      <c r="Z446" s="6" t="e">
        <f ca="1">SQRT($B$9*AVERAGE(W446:OFFSET(W446,$B$7-1,0)))</f>
        <v>#DIV/0!</v>
      </c>
      <c r="AA446" s="6" t="e">
        <f ca="1">SQRT($B$9*AVERAGE(W446:OFFSET(W446,$B$8-1,0)))</f>
        <v>#DIV/0!</v>
      </c>
      <c r="AC446" s="34" t="e">
        <f t="shared" si="40"/>
        <v>#DIV/0!</v>
      </c>
      <c r="AD446" s="34" t="e">
        <f ca="1">SQRT($B$9*SUM(AC446:OFFSET(AC446,$B$5-1,0))/($B$5-1))</f>
        <v>#DIV/0!</v>
      </c>
      <c r="AE446" s="34" t="e">
        <f ca="1">SQRT($B$9*SUM(AC446:OFFSET(AC446,$B$6-1,0))/($B$6-1))</f>
        <v>#DIV/0!</v>
      </c>
      <c r="AF446" s="34" t="e">
        <f ca="1">SQRT($B$9*SUM(AC446:OFFSET(AC446,$B$7-1,0))/($B$7-1))</f>
        <v>#DIV/0!</v>
      </c>
      <c r="AG446" s="34" t="e">
        <f ca="1">SQRT($B$9*SUM(AC446:OFFSET(AC446,$B$8-1,0))/($B$8-1))</f>
        <v>#DIV/0!</v>
      </c>
      <c r="AI446" s="1" t="e">
        <f t="shared" si="41"/>
        <v>#DIV/0!</v>
      </c>
      <c r="AJ446" s="4" t="e">
        <f ca="1">SQRT($B$9)*_xlfn.STDEV.S(AI446:OFFSET(AI446,$B$5-1,0))</f>
        <v>#DIV/0!</v>
      </c>
      <c r="AK446" s="4" t="e">
        <f ca="1">SQRT($B$9)*_xlfn.STDEV.S(AI446:OFFSET(AI446,$B$6-1,0))</f>
        <v>#DIV/0!</v>
      </c>
      <c r="AL446" s="4" t="e">
        <f ca="1">SQRT($B$9)*_xlfn.STDEV.S(AI446:OFFSET(AI446,$B$7-1,0))</f>
        <v>#DIV/0!</v>
      </c>
      <c r="AM446" s="4" t="e">
        <f ca="1">SQRT($B$9)*_xlfn.STDEV.S(AI446:OFFSET(AI446,$B$8-1,0))</f>
        <v>#DIV/0!</v>
      </c>
    </row>
    <row r="447" spans="5:39" x14ac:dyDescent="0.2">
      <c r="E447" s="42">
        <v>44995</v>
      </c>
      <c r="F447" s="43"/>
      <c r="G447" s="43"/>
      <c r="H447" s="43"/>
      <c r="I447" s="43"/>
      <c r="K447" s="3" t="e">
        <f t="shared" si="39"/>
        <v>#DIV/0!</v>
      </c>
      <c r="L447" s="3" t="e">
        <f ca="1">SQRT(AVERAGE(K447:OFFSET(K447,$B$5-1,0))*$B$9/(4*LN(2)))</f>
        <v>#DIV/0!</v>
      </c>
      <c r="M447" s="3" t="e">
        <f ca="1">SQRT(AVERAGE(K447:OFFSET(K447,$B$6-1,0))*$B$9/(4*LN(2)))</f>
        <v>#DIV/0!</v>
      </c>
      <c r="N447" s="3" t="e">
        <f ca="1">SQRT(AVERAGE(K447:OFFSET(K447,$B$7-1,0))*$B$9/(4*LN(2)))</f>
        <v>#DIV/0!</v>
      </c>
      <c r="O447" s="3" t="e">
        <f ca="1">SQRT(AVERAGE(K447:OFFSET(K447,$B$8-1,0))*$B$9/(4*LN(2)))</f>
        <v>#DIV/0!</v>
      </c>
      <c r="Q447" s="5" t="e">
        <f t="shared" si="38"/>
        <v>#DIV/0!</v>
      </c>
      <c r="R447" s="5" t="e">
        <f ca="1">SQRT($B$9*AVERAGE((Q447:OFFSET(Q447,$B$5-1,0))))</f>
        <v>#DIV/0!</v>
      </c>
      <c r="S447" s="5" t="e">
        <f ca="1">SQRT($B$9*AVERAGE((Q447:OFFSET(Q447,$B$6-1,0))))</f>
        <v>#DIV/0!</v>
      </c>
      <c r="T447" s="5" t="e">
        <f ca="1">SQRT($B$9*AVERAGE((Q447:OFFSET(Q447,$B$7-1,0))))</f>
        <v>#DIV/0!</v>
      </c>
      <c r="U447" s="5" t="e">
        <f ca="1">SQRT($B$9*AVERAGE((Q447:OFFSET(Q447,$B$8-1,0))))</f>
        <v>#DIV/0!</v>
      </c>
      <c r="W447" s="6" t="e">
        <f t="shared" si="42"/>
        <v>#DIV/0!</v>
      </c>
      <c r="X447" s="6" t="e">
        <f ca="1">SQRT($B$9*AVERAGE(W447:OFFSET(W447,$B$5-1,0)))</f>
        <v>#DIV/0!</v>
      </c>
      <c r="Y447" s="6" t="e">
        <f ca="1">SQRT($B$9*AVERAGE(W447:OFFSET(W447,$B$6-1,0)))</f>
        <v>#DIV/0!</v>
      </c>
      <c r="Z447" s="6" t="e">
        <f ca="1">SQRT($B$9*AVERAGE(W447:OFFSET(W447,$B$7-1,0)))</f>
        <v>#DIV/0!</v>
      </c>
      <c r="AA447" s="6" t="e">
        <f ca="1">SQRT($B$9*AVERAGE(W447:OFFSET(W447,$B$8-1,0)))</f>
        <v>#DIV/0!</v>
      </c>
      <c r="AC447" s="34" t="e">
        <f t="shared" si="40"/>
        <v>#DIV/0!</v>
      </c>
      <c r="AD447" s="34" t="e">
        <f ca="1">SQRT($B$9*SUM(AC447:OFFSET(AC447,$B$5-1,0))/($B$5-1))</f>
        <v>#DIV/0!</v>
      </c>
      <c r="AE447" s="34" t="e">
        <f ca="1">SQRT($B$9*SUM(AC447:OFFSET(AC447,$B$6-1,0))/($B$6-1))</f>
        <v>#DIV/0!</v>
      </c>
      <c r="AF447" s="34" t="e">
        <f ca="1">SQRT($B$9*SUM(AC447:OFFSET(AC447,$B$7-1,0))/($B$7-1))</f>
        <v>#DIV/0!</v>
      </c>
      <c r="AG447" s="34" t="e">
        <f ca="1">SQRT($B$9*SUM(AC447:OFFSET(AC447,$B$8-1,0))/($B$8-1))</f>
        <v>#DIV/0!</v>
      </c>
      <c r="AI447" s="1" t="e">
        <f t="shared" si="41"/>
        <v>#DIV/0!</v>
      </c>
      <c r="AJ447" s="4" t="e">
        <f ca="1">SQRT($B$9)*_xlfn.STDEV.S(AI447:OFFSET(AI447,$B$5-1,0))</f>
        <v>#DIV/0!</v>
      </c>
      <c r="AK447" s="4" t="e">
        <f ca="1">SQRT($B$9)*_xlfn.STDEV.S(AI447:OFFSET(AI447,$B$6-1,0))</f>
        <v>#DIV/0!</v>
      </c>
      <c r="AL447" s="4" t="e">
        <f ca="1">SQRT($B$9)*_xlfn.STDEV.S(AI447:OFFSET(AI447,$B$7-1,0))</f>
        <v>#DIV/0!</v>
      </c>
      <c r="AM447" s="4" t="e">
        <f ca="1">SQRT($B$9)*_xlfn.STDEV.S(AI447:OFFSET(AI447,$B$8-1,0))</f>
        <v>#DIV/0!</v>
      </c>
    </row>
    <row r="448" spans="5:39" x14ac:dyDescent="0.2">
      <c r="E448" s="42">
        <v>44994</v>
      </c>
      <c r="F448" s="43"/>
      <c r="G448" s="43"/>
      <c r="H448" s="43"/>
      <c r="I448" s="43"/>
      <c r="K448" s="3" t="e">
        <f t="shared" si="39"/>
        <v>#DIV/0!</v>
      </c>
      <c r="L448" s="3" t="e">
        <f ca="1">SQRT(AVERAGE(K448:OFFSET(K448,$B$5-1,0))*$B$9/(4*LN(2)))</f>
        <v>#DIV/0!</v>
      </c>
      <c r="M448" s="3" t="e">
        <f ca="1">SQRT(AVERAGE(K448:OFFSET(K448,$B$6-1,0))*$B$9/(4*LN(2)))</f>
        <v>#DIV/0!</v>
      </c>
      <c r="N448" s="3" t="e">
        <f ca="1">SQRT(AVERAGE(K448:OFFSET(K448,$B$7-1,0))*$B$9/(4*LN(2)))</f>
        <v>#DIV/0!</v>
      </c>
      <c r="O448" s="3" t="e">
        <f ca="1">SQRT(AVERAGE(K448:OFFSET(K448,$B$8-1,0))*$B$9/(4*LN(2)))</f>
        <v>#DIV/0!</v>
      </c>
      <c r="Q448" s="5" t="e">
        <f t="shared" si="38"/>
        <v>#DIV/0!</v>
      </c>
      <c r="R448" s="5" t="e">
        <f ca="1">SQRT($B$9*AVERAGE((Q448:OFFSET(Q448,$B$5-1,0))))</f>
        <v>#DIV/0!</v>
      </c>
      <c r="S448" s="5" t="e">
        <f ca="1">SQRT($B$9*AVERAGE((Q448:OFFSET(Q448,$B$6-1,0))))</f>
        <v>#DIV/0!</v>
      </c>
      <c r="T448" s="5" t="e">
        <f ca="1">SQRT($B$9*AVERAGE((Q448:OFFSET(Q448,$B$7-1,0))))</f>
        <v>#DIV/0!</v>
      </c>
      <c r="U448" s="5" t="e">
        <f ca="1">SQRT($B$9*AVERAGE((Q448:OFFSET(Q448,$B$8-1,0))))</f>
        <v>#DIV/0!</v>
      </c>
      <c r="W448" s="6" t="e">
        <f t="shared" si="42"/>
        <v>#DIV/0!</v>
      </c>
      <c r="X448" s="6" t="e">
        <f ca="1">SQRT($B$9*AVERAGE(W448:OFFSET(W448,$B$5-1,0)))</f>
        <v>#DIV/0!</v>
      </c>
      <c r="Y448" s="6" t="e">
        <f ca="1">SQRT($B$9*AVERAGE(W448:OFFSET(W448,$B$6-1,0)))</f>
        <v>#DIV/0!</v>
      </c>
      <c r="Z448" s="6" t="e">
        <f ca="1">SQRT($B$9*AVERAGE(W448:OFFSET(W448,$B$7-1,0)))</f>
        <v>#DIV/0!</v>
      </c>
      <c r="AA448" s="6" t="e">
        <f ca="1">SQRT($B$9*AVERAGE(W448:OFFSET(W448,$B$8-1,0)))</f>
        <v>#DIV/0!</v>
      </c>
      <c r="AC448" s="34" t="e">
        <f t="shared" si="40"/>
        <v>#DIV/0!</v>
      </c>
      <c r="AD448" s="34" t="e">
        <f ca="1">SQRT($B$9*SUM(AC448:OFFSET(AC448,$B$5-1,0))/($B$5-1))</f>
        <v>#DIV/0!</v>
      </c>
      <c r="AE448" s="34" t="e">
        <f ca="1">SQRT($B$9*SUM(AC448:OFFSET(AC448,$B$6-1,0))/($B$6-1))</f>
        <v>#DIV/0!</v>
      </c>
      <c r="AF448" s="34" t="e">
        <f ca="1">SQRT($B$9*SUM(AC448:OFFSET(AC448,$B$7-1,0))/($B$7-1))</f>
        <v>#DIV/0!</v>
      </c>
      <c r="AG448" s="34" t="e">
        <f ca="1">SQRT($B$9*SUM(AC448:OFFSET(AC448,$B$8-1,0))/($B$8-1))</f>
        <v>#DIV/0!</v>
      </c>
      <c r="AI448" s="1" t="e">
        <f t="shared" si="41"/>
        <v>#DIV/0!</v>
      </c>
      <c r="AJ448" s="4" t="e">
        <f ca="1">SQRT($B$9)*_xlfn.STDEV.S(AI448:OFFSET(AI448,$B$5-1,0))</f>
        <v>#DIV/0!</v>
      </c>
      <c r="AK448" s="4" t="e">
        <f ca="1">SQRT($B$9)*_xlfn.STDEV.S(AI448:OFFSET(AI448,$B$6-1,0))</f>
        <v>#DIV/0!</v>
      </c>
      <c r="AL448" s="4" t="e">
        <f ca="1">SQRT($B$9)*_xlfn.STDEV.S(AI448:OFFSET(AI448,$B$7-1,0))</f>
        <v>#DIV/0!</v>
      </c>
      <c r="AM448" s="4" t="e">
        <f ca="1">SQRT($B$9)*_xlfn.STDEV.S(AI448:OFFSET(AI448,$B$8-1,0))</f>
        <v>#DIV/0!</v>
      </c>
    </row>
    <row r="449" spans="5:39" x14ac:dyDescent="0.2">
      <c r="E449" s="42">
        <v>44993</v>
      </c>
      <c r="F449" s="43"/>
      <c r="G449" s="43"/>
      <c r="H449" s="43"/>
      <c r="I449" s="43"/>
      <c r="K449" s="3" t="e">
        <f t="shared" si="39"/>
        <v>#DIV/0!</v>
      </c>
      <c r="L449" s="3" t="e">
        <f ca="1">SQRT(AVERAGE(K449:OFFSET(K449,$B$5-1,0))*$B$9/(4*LN(2)))</f>
        <v>#DIV/0!</v>
      </c>
      <c r="M449" s="3" t="e">
        <f ca="1">SQRT(AVERAGE(K449:OFFSET(K449,$B$6-1,0))*$B$9/(4*LN(2)))</f>
        <v>#DIV/0!</v>
      </c>
      <c r="N449" s="3" t="e">
        <f ca="1">SQRT(AVERAGE(K449:OFFSET(K449,$B$7-1,0))*$B$9/(4*LN(2)))</f>
        <v>#DIV/0!</v>
      </c>
      <c r="O449" s="3" t="e">
        <f ca="1">SQRT(AVERAGE(K449:OFFSET(K449,$B$8-1,0))*$B$9/(4*LN(2)))</f>
        <v>#DIV/0!</v>
      </c>
      <c r="Q449" s="5" t="e">
        <f t="shared" si="38"/>
        <v>#DIV/0!</v>
      </c>
      <c r="R449" s="5" t="e">
        <f ca="1">SQRT($B$9*AVERAGE((Q449:OFFSET(Q449,$B$5-1,0))))</f>
        <v>#DIV/0!</v>
      </c>
      <c r="S449" s="5" t="e">
        <f ca="1">SQRT($B$9*AVERAGE((Q449:OFFSET(Q449,$B$6-1,0))))</f>
        <v>#DIV/0!</v>
      </c>
      <c r="T449" s="5" t="e">
        <f ca="1">SQRT($B$9*AVERAGE((Q449:OFFSET(Q449,$B$7-1,0))))</f>
        <v>#DIV/0!</v>
      </c>
      <c r="U449" s="5" t="e">
        <f ca="1">SQRT($B$9*AVERAGE((Q449:OFFSET(Q449,$B$8-1,0))))</f>
        <v>#DIV/0!</v>
      </c>
      <c r="W449" s="6" t="e">
        <f t="shared" si="42"/>
        <v>#DIV/0!</v>
      </c>
      <c r="X449" s="6" t="e">
        <f ca="1">SQRT($B$9*AVERAGE(W449:OFFSET(W449,$B$5-1,0)))</f>
        <v>#DIV/0!</v>
      </c>
      <c r="Y449" s="6" t="e">
        <f ca="1">SQRT($B$9*AVERAGE(W449:OFFSET(W449,$B$6-1,0)))</f>
        <v>#DIV/0!</v>
      </c>
      <c r="Z449" s="6" t="e">
        <f ca="1">SQRT($B$9*AVERAGE(W449:OFFSET(W449,$B$7-1,0)))</f>
        <v>#DIV/0!</v>
      </c>
      <c r="AA449" s="6" t="e">
        <f ca="1">SQRT($B$9*AVERAGE(W449:OFFSET(W449,$B$8-1,0)))</f>
        <v>#DIV/0!</v>
      </c>
      <c r="AC449" s="34" t="e">
        <f t="shared" si="40"/>
        <v>#DIV/0!</v>
      </c>
      <c r="AD449" s="34" t="e">
        <f ca="1">SQRT($B$9*SUM(AC449:OFFSET(AC449,$B$5-1,0))/($B$5-1))</f>
        <v>#DIV/0!</v>
      </c>
      <c r="AE449" s="34" t="e">
        <f ca="1">SQRT($B$9*SUM(AC449:OFFSET(AC449,$B$6-1,0))/($B$6-1))</f>
        <v>#DIV/0!</v>
      </c>
      <c r="AF449" s="34" t="e">
        <f ca="1">SQRT($B$9*SUM(AC449:OFFSET(AC449,$B$7-1,0))/($B$7-1))</f>
        <v>#DIV/0!</v>
      </c>
      <c r="AG449" s="34" t="e">
        <f ca="1">SQRT($B$9*SUM(AC449:OFFSET(AC449,$B$8-1,0))/($B$8-1))</f>
        <v>#DIV/0!</v>
      </c>
      <c r="AI449" s="1" t="e">
        <f t="shared" si="41"/>
        <v>#DIV/0!</v>
      </c>
      <c r="AJ449" s="4" t="e">
        <f ca="1">SQRT($B$9)*_xlfn.STDEV.S(AI449:OFFSET(AI449,$B$5-1,0))</f>
        <v>#DIV/0!</v>
      </c>
      <c r="AK449" s="4" t="e">
        <f ca="1">SQRT($B$9)*_xlfn.STDEV.S(AI449:OFFSET(AI449,$B$6-1,0))</f>
        <v>#DIV/0!</v>
      </c>
      <c r="AL449" s="4" t="e">
        <f ca="1">SQRT($B$9)*_xlfn.STDEV.S(AI449:OFFSET(AI449,$B$7-1,0))</f>
        <v>#DIV/0!</v>
      </c>
      <c r="AM449" s="4" t="e">
        <f ca="1">SQRT($B$9)*_xlfn.STDEV.S(AI449:OFFSET(AI449,$B$8-1,0))</f>
        <v>#DIV/0!</v>
      </c>
    </row>
    <row r="450" spans="5:39" x14ac:dyDescent="0.2">
      <c r="E450" s="42">
        <v>44992</v>
      </c>
      <c r="F450" s="43"/>
      <c r="G450" s="43"/>
      <c r="H450" s="43"/>
      <c r="I450" s="43"/>
      <c r="K450" s="3" t="e">
        <f t="shared" si="39"/>
        <v>#DIV/0!</v>
      </c>
      <c r="L450" s="3" t="e">
        <f ca="1">SQRT(AVERAGE(K450:OFFSET(K450,$B$5-1,0))*$B$9/(4*LN(2)))</f>
        <v>#DIV/0!</v>
      </c>
      <c r="M450" s="3" t="e">
        <f ca="1">SQRT(AVERAGE(K450:OFFSET(K450,$B$6-1,0))*$B$9/(4*LN(2)))</f>
        <v>#DIV/0!</v>
      </c>
      <c r="N450" s="3" t="e">
        <f ca="1">SQRT(AVERAGE(K450:OFFSET(K450,$B$7-1,0))*$B$9/(4*LN(2)))</f>
        <v>#DIV/0!</v>
      </c>
      <c r="O450" s="3" t="e">
        <f ca="1">SQRT(AVERAGE(K450:OFFSET(K450,$B$8-1,0))*$B$9/(4*LN(2)))</f>
        <v>#DIV/0!</v>
      </c>
      <c r="Q450" s="5" t="e">
        <f t="shared" si="38"/>
        <v>#DIV/0!</v>
      </c>
      <c r="R450" s="5" t="e">
        <f ca="1">SQRT($B$9*AVERAGE((Q450:OFFSET(Q450,$B$5-1,0))))</f>
        <v>#DIV/0!</v>
      </c>
      <c r="S450" s="5" t="e">
        <f ca="1">SQRT($B$9*AVERAGE((Q450:OFFSET(Q450,$B$6-1,0))))</f>
        <v>#DIV/0!</v>
      </c>
      <c r="T450" s="5" t="e">
        <f ca="1">SQRT($B$9*AVERAGE((Q450:OFFSET(Q450,$B$7-1,0))))</f>
        <v>#DIV/0!</v>
      </c>
      <c r="U450" s="5" t="e">
        <f ca="1">SQRT($B$9*AVERAGE((Q450:OFFSET(Q450,$B$8-1,0))))</f>
        <v>#DIV/0!</v>
      </c>
      <c r="W450" s="6" t="e">
        <f t="shared" si="42"/>
        <v>#DIV/0!</v>
      </c>
      <c r="X450" s="6" t="e">
        <f ca="1">SQRT($B$9*AVERAGE(W450:OFFSET(W450,$B$5-1,0)))</f>
        <v>#DIV/0!</v>
      </c>
      <c r="Y450" s="6" t="e">
        <f ca="1">SQRT($B$9*AVERAGE(W450:OFFSET(W450,$B$6-1,0)))</f>
        <v>#DIV/0!</v>
      </c>
      <c r="Z450" s="6" t="e">
        <f ca="1">SQRT($B$9*AVERAGE(W450:OFFSET(W450,$B$7-1,0)))</f>
        <v>#DIV/0!</v>
      </c>
      <c r="AA450" s="6" t="e">
        <f ca="1">SQRT($B$9*AVERAGE(W450:OFFSET(W450,$B$8-1,0)))</f>
        <v>#DIV/0!</v>
      </c>
      <c r="AC450" s="34" t="e">
        <f t="shared" si="40"/>
        <v>#DIV/0!</v>
      </c>
      <c r="AD450" s="34" t="e">
        <f ca="1">SQRT($B$9*SUM(AC450:OFFSET(AC450,$B$5-1,0))/($B$5-1))</f>
        <v>#DIV/0!</v>
      </c>
      <c r="AE450" s="34" t="e">
        <f ca="1">SQRT($B$9*SUM(AC450:OFFSET(AC450,$B$6-1,0))/($B$6-1))</f>
        <v>#DIV/0!</v>
      </c>
      <c r="AF450" s="34" t="e">
        <f ca="1">SQRT($B$9*SUM(AC450:OFFSET(AC450,$B$7-1,0))/($B$7-1))</f>
        <v>#DIV/0!</v>
      </c>
      <c r="AG450" s="34" t="e">
        <f ca="1">SQRT($B$9*SUM(AC450:OFFSET(AC450,$B$8-1,0))/($B$8-1))</f>
        <v>#DIV/0!</v>
      </c>
      <c r="AI450" s="1" t="e">
        <f t="shared" si="41"/>
        <v>#DIV/0!</v>
      </c>
      <c r="AJ450" s="4" t="e">
        <f ca="1">SQRT($B$9)*_xlfn.STDEV.S(AI450:OFFSET(AI450,$B$5-1,0))</f>
        <v>#DIV/0!</v>
      </c>
      <c r="AK450" s="4" t="e">
        <f ca="1">SQRT($B$9)*_xlfn.STDEV.S(AI450:OFFSET(AI450,$B$6-1,0))</f>
        <v>#DIV/0!</v>
      </c>
      <c r="AL450" s="4" t="e">
        <f ca="1">SQRT($B$9)*_xlfn.STDEV.S(AI450:OFFSET(AI450,$B$7-1,0))</f>
        <v>#DIV/0!</v>
      </c>
      <c r="AM450" s="4" t="e">
        <f ca="1">SQRT($B$9)*_xlfn.STDEV.S(AI450:OFFSET(AI450,$B$8-1,0))</f>
        <v>#DIV/0!</v>
      </c>
    </row>
    <row r="451" spans="5:39" x14ac:dyDescent="0.2">
      <c r="E451" s="42">
        <v>44991</v>
      </c>
      <c r="F451" s="43"/>
      <c r="G451" s="43"/>
      <c r="H451" s="43"/>
      <c r="I451" s="43"/>
      <c r="K451" s="3" t="e">
        <f t="shared" si="39"/>
        <v>#DIV/0!</v>
      </c>
      <c r="L451" s="3" t="e">
        <f ca="1">SQRT(AVERAGE(K451:OFFSET(K451,$B$5-1,0))*$B$9/(4*LN(2)))</f>
        <v>#DIV/0!</v>
      </c>
      <c r="M451" s="3" t="e">
        <f ca="1">SQRT(AVERAGE(K451:OFFSET(K451,$B$6-1,0))*$B$9/(4*LN(2)))</f>
        <v>#DIV/0!</v>
      </c>
      <c r="N451" s="3" t="e">
        <f ca="1">SQRT(AVERAGE(K451:OFFSET(K451,$B$7-1,0))*$B$9/(4*LN(2)))</f>
        <v>#DIV/0!</v>
      </c>
      <c r="O451" s="3" t="e">
        <f ca="1">SQRT(AVERAGE(K451:OFFSET(K451,$B$8-1,0))*$B$9/(4*LN(2)))</f>
        <v>#DIV/0!</v>
      </c>
      <c r="Q451" s="5" t="e">
        <f t="shared" si="38"/>
        <v>#DIV/0!</v>
      </c>
      <c r="R451" s="5" t="e">
        <f ca="1">SQRT($B$9*AVERAGE((Q451:OFFSET(Q451,$B$5-1,0))))</f>
        <v>#DIV/0!</v>
      </c>
      <c r="S451" s="5" t="e">
        <f ca="1">SQRT($B$9*AVERAGE((Q451:OFFSET(Q451,$B$6-1,0))))</f>
        <v>#DIV/0!</v>
      </c>
      <c r="T451" s="5" t="e">
        <f ca="1">SQRT($B$9*AVERAGE((Q451:OFFSET(Q451,$B$7-1,0))))</f>
        <v>#DIV/0!</v>
      </c>
      <c r="U451" s="5" t="e">
        <f ca="1">SQRT($B$9*AVERAGE((Q451:OFFSET(Q451,$B$8-1,0))))</f>
        <v>#DIV/0!</v>
      </c>
      <c r="W451" s="6" t="e">
        <f t="shared" si="42"/>
        <v>#DIV/0!</v>
      </c>
      <c r="X451" s="6" t="e">
        <f ca="1">SQRT($B$9*AVERAGE(W451:OFFSET(W451,$B$5-1,0)))</f>
        <v>#DIV/0!</v>
      </c>
      <c r="Y451" s="6" t="e">
        <f ca="1">SQRT($B$9*AVERAGE(W451:OFFSET(W451,$B$6-1,0)))</f>
        <v>#DIV/0!</v>
      </c>
      <c r="Z451" s="6" t="e">
        <f ca="1">SQRT($B$9*AVERAGE(W451:OFFSET(W451,$B$7-1,0)))</f>
        <v>#DIV/0!</v>
      </c>
      <c r="AA451" s="6" t="e">
        <f ca="1">SQRT($B$9*AVERAGE(W451:OFFSET(W451,$B$8-1,0)))</f>
        <v>#DIV/0!</v>
      </c>
      <c r="AC451" s="34" t="e">
        <f t="shared" si="40"/>
        <v>#DIV/0!</v>
      </c>
      <c r="AD451" s="34" t="e">
        <f ca="1">SQRT($B$9*SUM(AC451:OFFSET(AC451,$B$5-1,0))/($B$5-1))</f>
        <v>#DIV/0!</v>
      </c>
      <c r="AE451" s="34" t="e">
        <f ca="1">SQRT($B$9*SUM(AC451:OFFSET(AC451,$B$6-1,0))/($B$6-1))</f>
        <v>#DIV/0!</v>
      </c>
      <c r="AF451" s="34" t="e">
        <f ca="1">SQRT($B$9*SUM(AC451:OFFSET(AC451,$B$7-1,0))/($B$7-1))</f>
        <v>#DIV/0!</v>
      </c>
      <c r="AG451" s="34" t="e">
        <f ca="1">SQRT($B$9*SUM(AC451:OFFSET(AC451,$B$8-1,0))/($B$8-1))</f>
        <v>#DIV/0!</v>
      </c>
      <c r="AI451" s="1" t="e">
        <f t="shared" si="41"/>
        <v>#DIV/0!</v>
      </c>
      <c r="AJ451" s="4" t="e">
        <f ca="1">SQRT($B$9)*_xlfn.STDEV.S(AI451:OFFSET(AI451,$B$5-1,0))</f>
        <v>#DIV/0!</v>
      </c>
      <c r="AK451" s="4" t="e">
        <f ca="1">SQRT($B$9)*_xlfn.STDEV.S(AI451:OFFSET(AI451,$B$6-1,0))</f>
        <v>#DIV/0!</v>
      </c>
      <c r="AL451" s="4" t="e">
        <f ca="1">SQRT($B$9)*_xlfn.STDEV.S(AI451:OFFSET(AI451,$B$7-1,0))</f>
        <v>#DIV/0!</v>
      </c>
      <c r="AM451" s="4" t="e">
        <f ca="1">SQRT($B$9)*_xlfn.STDEV.S(AI451:OFFSET(AI451,$B$8-1,0))</f>
        <v>#DIV/0!</v>
      </c>
    </row>
    <row r="452" spans="5:39" x14ac:dyDescent="0.2">
      <c r="E452" s="42">
        <v>44988</v>
      </c>
      <c r="F452" s="43"/>
      <c r="G452" s="43"/>
      <c r="H452" s="43"/>
      <c r="I452" s="43"/>
      <c r="K452" s="3" t="e">
        <f t="shared" si="39"/>
        <v>#DIV/0!</v>
      </c>
      <c r="L452" s="3" t="e">
        <f ca="1">SQRT(AVERAGE(K452:OFFSET(K452,$B$5-1,0))*$B$9/(4*LN(2)))</f>
        <v>#DIV/0!</v>
      </c>
      <c r="M452" s="3" t="e">
        <f ca="1">SQRT(AVERAGE(K452:OFFSET(K452,$B$6-1,0))*$B$9/(4*LN(2)))</f>
        <v>#DIV/0!</v>
      </c>
      <c r="N452" s="3" t="e">
        <f ca="1">SQRT(AVERAGE(K452:OFFSET(K452,$B$7-1,0))*$B$9/(4*LN(2)))</f>
        <v>#DIV/0!</v>
      </c>
      <c r="O452" s="3" t="e">
        <f ca="1">SQRT(AVERAGE(K452:OFFSET(K452,$B$8-1,0))*$B$9/(4*LN(2)))</f>
        <v>#DIV/0!</v>
      </c>
      <c r="Q452" s="5" t="e">
        <f t="shared" si="38"/>
        <v>#DIV/0!</v>
      </c>
      <c r="R452" s="5" t="e">
        <f ca="1">SQRT($B$9*AVERAGE((Q452:OFFSET(Q452,$B$5-1,0))))</f>
        <v>#DIV/0!</v>
      </c>
      <c r="S452" s="5" t="e">
        <f ca="1">SQRT($B$9*AVERAGE((Q452:OFFSET(Q452,$B$6-1,0))))</f>
        <v>#DIV/0!</v>
      </c>
      <c r="T452" s="5" t="e">
        <f ca="1">SQRT($B$9*AVERAGE((Q452:OFFSET(Q452,$B$7-1,0))))</f>
        <v>#DIV/0!</v>
      </c>
      <c r="U452" s="5" t="e">
        <f ca="1">SQRT($B$9*AVERAGE((Q452:OFFSET(Q452,$B$8-1,0))))</f>
        <v>#DIV/0!</v>
      </c>
      <c r="W452" s="6" t="e">
        <f t="shared" si="42"/>
        <v>#DIV/0!</v>
      </c>
      <c r="X452" s="6" t="e">
        <f ca="1">SQRT($B$9*AVERAGE(W452:OFFSET(W452,$B$5-1,0)))</f>
        <v>#DIV/0!</v>
      </c>
      <c r="Y452" s="6" t="e">
        <f ca="1">SQRT($B$9*AVERAGE(W452:OFFSET(W452,$B$6-1,0)))</f>
        <v>#DIV/0!</v>
      </c>
      <c r="Z452" s="6" t="e">
        <f ca="1">SQRT($B$9*AVERAGE(W452:OFFSET(W452,$B$7-1,0)))</f>
        <v>#DIV/0!</v>
      </c>
      <c r="AA452" s="6" t="e">
        <f ca="1">SQRT($B$9*AVERAGE(W452:OFFSET(W452,$B$8-1,0)))</f>
        <v>#DIV/0!</v>
      </c>
      <c r="AC452" s="34" t="e">
        <f t="shared" si="40"/>
        <v>#DIV/0!</v>
      </c>
      <c r="AD452" s="34" t="e">
        <f ca="1">SQRT($B$9*SUM(AC452:OFFSET(AC452,$B$5-1,0))/($B$5-1))</f>
        <v>#DIV/0!</v>
      </c>
      <c r="AE452" s="34" t="e">
        <f ca="1">SQRT($B$9*SUM(AC452:OFFSET(AC452,$B$6-1,0))/($B$6-1))</f>
        <v>#DIV/0!</v>
      </c>
      <c r="AF452" s="34" t="e">
        <f ca="1">SQRT($B$9*SUM(AC452:OFFSET(AC452,$B$7-1,0))/($B$7-1))</f>
        <v>#DIV/0!</v>
      </c>
      <c r="AG452" s="34" t="e">
        <f ca="1">SQRT($B$9*SUM(AC452:OFFSET(AC452,$B$8-1,0))/($B$8-1))</f>
        <v>#DIV/0!</v>
      </c>
      <c r="AI452" s="1" t="e">
        <f t="shared" si="41"/>
        <v>#DIV/0!</v>
      </c>
      <c r="AJ452" s="4" t="e">
        <f ca="1">SQRT($B$9)*_xlfn.STDEV.S(AI452:OFFSET(AI452,$B$5-1,0))</f>
        <v>#DIV/0!</v>
      </c>
      <c r="AK452" s="4" t="e">
        <f ca="1">SQRT($B$9)*_xlfn.STDEV.S(AI452:OFFSET(AI452,$B$6-1,0))</f>
        <v>#DIV/0!</v>
      </c>
      <c r="AL452" s="4" t="e">
        <f ca="1">SQRT($B$9)*_xlfn.STDEV.S(AI452:OFFSET(AI452,$B$7-1,0))</f>
        <v>#DIV/0!</v>
      </c>
      <c r="AM452" s="4" t="e">
        <f ca="1">SQRT($B$9)*_xlfn.STDEV.S(AI452:OFFSET(AI452,$B$8-1,0))</f>
        <v>#DIV/0!</v>
      </c>
    </row>
    <row r="453" spans="5:39" x14ac:dyDescent="0.2">
      <c r="E453" s="42">
        <v>44987</v>
      </c>
      <c r="F453" s="43"/>
      <c r="G453" s="43"/>
      <c r="H453" s="43"/>
      <c r="I453" s="43"/>
      <c r="K453" s="3" t="e">
        <f t="shared" si="39"/>
        <v>#DIV/0!</v>
      </c>
      <c r="L453" s="3" t="e">
        <f ca="1">SQRT(AVERAGE(K453:OFFSET(K453,$B$5-1,0))*$B$9/(4*LN(2)))</f>
        <v>#DIV/0!</v>
      </c>
      <c r="M453" s="3" t="e">
        <f ca="1">SQRT(AVERAGE(K453:OFFSET(K453,$B$6-1,0))*$B$9/(4*LN(2)))</f>
        <v>#DIV/0!</v>
      </c>
      <c r="N453" s="3" t="e">
        <f ca="1">SQRT(AVERAGE(K453:OFFSET(K453,$B$7-1,0))*$B$9/(4*LN(2)))</f>
        <v>#DIV/0!</v>
      </c>
      <c r="O453" s="3" t="e">
        <f ca="1">SQRT(AVERAGE(K453:OFFSET(K453,$B$8-1,0))*$B$9/(4*LN(2)))</f>
        <v>#DIV/0!</v>
      </c>
      <c r="Q453" s="5" t="e">
        <f t="shared" ref="Q453:Q516" si="43">0.511*(LN(G453/H453))^2-0.019*(LN(I453/F453)*LN(G453*H453/F453^2)-2*LN(G453/F453)*LN(H453/F453))-0.383*(LN(I453/F453))^2</f>
        <v>#DIV/0!</v>
      </c>
      <c r="R453" s="5" t="e">
        <f ca="1">SQRT($B$9*AVERAGE((Q453:OFFSET(Q453,$B$5-1,0))))</f>
        <v>#DIV/0!</v>
      </c>
      <c r="S453" s="5" t="e">
        <f ca="1">SQRT($B$9*AVERAGE((Q453:OFFSET(Q453,$B$6-1,0))))</f>
        <v>#DIV/0!</v>
      </c>
      <c r="T453" s="5" t="e">
        <f ca="1">SQRT($B$9*AVERAGE((Q453:OFFSET(Q453,$B$7-1,0))))</f>
        <v>#DIV/0!</v>
      </c>
      <c r="U453" s="5" t="e">
        <f ca="1">SQRT($B$9*AVERAGE((Q453:OFFSET(Q453,$B$8-1,0))))</f>
        <v>#DIV/0!</v>
      </c>
      <c r="W453" s="6" t="e">
        <f t="shared" si="42"/>
        <v>#DIV/0!</v>
      </c>
      <c r="X453" s="6" t="e">
        <f ca="1">SQRT($B$9*AVERAGE(W453:OFFSET(W453,$B$5-1,0)))</f>
        <v>#DIV/0!</v>
      </c>
      <c r="Y453" s="6" t="e">
        <f ca="1">SQRT($B$9*AVERAGE(W453:OFFSET(W453,$B$6-1,0)))</f>
        <v>#DIV/0!</v>
      </c>
      <c r="Z453" s="6" t="e">
        <f ca="1">SQRT($B$9*AVERAGE(W453:OFFSET(W453,$B$7-1,0)))</f>
        <v>#DIV/0!</v>
      </c>
      <c r="AA453" s="6" t="e">
        <f ca="1">SQRT($B$9*AVERAGE(W453:OFFSET(W453,$B$8-1,0)))</f>
        <v>#DIV/0!</v>
      </c>
      <c r="AC453" s="34" t="e">
        <f t="shared" si="40"/>
        <v>#DIV/0!</v>
      </c>
      <c r="AD453" s="34" t="e">
        <f ca="1">SQRT($B$9*SUM(AC453:OFFSET(AC453,$B$5-1,0))/($B$5-1))</f>
        <v>#DIV/0!</v>
      </c>
      <c r="AE453" s="34" t="e">
        <f ca="1">SQRT($B$9*SUM(AC453:OFFSET(AC453,$B$6-1,0))/($B$6-1))</f>
        <v>#DIV/0!</v>
      </c>
      <c r="AF453" s="34" t="e">
        <f ca="1">SQRT($B$9*SUM(AC453:OFFSET(AC453,$B$7-1,0))/($B$7-1))</f>
        <v>#DIV/0!</v>
      </c>
      <c r="AG453" s="34" t="e">
        <f ca="1">SQRT($B$9*SUM(AC453:OFFSET(AC453,$B$8-1,0))/($B$8-1))</f>
        <v>#DIV/0!</v>
      </c>
      <c r="AI453" s="1" t="e">
        <f t="shared" si="41"/>
        <v>#DIV/0!</v>
      </c>
      <c r="AJ453" s="4" t="e">
        <f ca="1">SQRT($B$9)*_xlfn.STDEV.S(AI453:OFFSET(AI453,$B$5-1,0))</f>
        <v>#DIV/0!</v>
      </c>
      <c r="AK453" s="4" t="e">
        <f ca="1">SQRT($B$9)*_xlfn.STDEV.S(AI453:OFFSET(AI453,$B$6-1,0))</f>
        <v>#DIV/0!</v>
      </c>
      <c r="AL453" s="4" t="e">
        <f ca="1">SQRT($B$9)*_xlfn.STDEV.S(AI453:OFFSET(AI453,$B$7-1,0))</f>
        <v>#DIV/0!</v>
      </c>
      <c r="AM453" s="4" t="e">
        <f ca="1">SQRT($B$9)*_xlfn.STDEV.S(AI453:OFFSET(AI453,$B$8-1,0))</f>
        <v>#DIV/0!</v>
      </c>
    </row>
    <row r="454" spans="5:39" x14ac:dyDescent="0.2">
      <c r="E454" s="42">
        <v>44986</v>
      </c>
      <c r="F454" s="43"/>
      <c r="G454" s="43"/>
      <c r="H454" s="43"/>
      <c r="I454" s="43"/>
      <c r="K454" s="3" t="e">
        <f t="shared" ref="K454:K517" si="44">(LN(G454/H454))^2</f>
        <v>#DIV/0!</v>
      </c>
      <c r="L454" s="3" t="e">
        <f ca="1">SQRT(AVERAGE(K454:OFFSET(K454,$B$5-1,0))*$B$9/(4*LN(2)))</f>
        <v>#DIV/0!</v>
      </c>
      <c r="M454" s="3" t="e">
        <f ca="1">SQRT(AVERAGE(K454:OFFSET(K454,$B$6-1,0))*$B$9/(4*LN(2)))</f>
        <v>#DIV/0!</v>
      </c>
      <c r="N454" s="3" t="e">
        <f ca="1">SQRT(AVERAGE(K454:OFFSET(K454,$B$7-1,0))*$B$9/(4*LN(2)))</f>
        <v>#DIV/0!</v>
      </c>
      <c r="O454" s="3" t="e">
        <f ca="1">SQRT(AVERAGE(K454:OFFSET(K454,$B$8-1,0))*$B$9/(4*LN(2)))</f>
        <v>#DIV/0!</v>
      </c>
      <c r="Q454" s="5" t="e">
        <f t="shared" si="43"/>
        <v>#DIV/0!</v>
      </c>
      <c r="R454" s="5" t="e">
        <f ca="1">SQRT($B$9*AVERAGE((Q454:OFFSET(Q454,$B$5-1,0))))</f>
        <v>#DIV/0!</v>
      </c>
      <c r="S454" s="5" t="e">
        <f ca="1">SQRT($B$9*AVERAGE((Q454:OFFSET(Q454,$B$6-1,0))))</f>
        <v>#DIV/0!</v>
      </c>
      <c r="T454" s="5" t="e">
        <f ca="1">SQRT($B$9*AVERAGE((Q454:OFFSET(Q454,$B$7-1,0))))</f>
        <v>#DIV/0!</v>
      </c>
      <c r="U454" s="5" t="e">
        <f ca="1">SQRT($B$9*AVERAGE((Q454:OFFSET(Q454,$B$8-1,0))))</f>
        <v>#DIV/0!</v>
      </c>
      <c r="W454" s="6" t="e">
        <f t="shared" si="42"/>
        <v>#DIV/0!</v>
      </c>
      <c r="X454" s="6" t="e">
        <f ca="1">SQRT($B$9*AVERAGE(W454:OFFSET(W454,$B$5-1,0)))</f>
        <v>#DIV/0!</v>
      </c>
      <c r="Y454" s="6" t="e">
        <f ca="1">SQRT($B$9*AVERAGE(W454:OFFSET(W454,$B$6-1,0)))</f>
        <v>#DIV/0!</v>
      </c>
      <c r="Z454" s="6" t="e">
        <f ca="1">SQRT($B$9*AVERAGE(W454:OFFSET(W454,$B$7-1,0)))</f>
        <v>#DIV/0!</v>
      </c>
      <c r="AA454" s="6" t="e">
        <f ca="1">SQRT($B$9*AVERAGE(W454:OFFSET(W454,$B$8-1,0)))</f>
        <v>#DIV/0!</v>
      </c>
      <c r="AC454" s="34" t="e">
        <f t="shared" si="40"/>
        <v>#DIV/0!</v>
      </c>
      <c r="AD454" s="34" t="e">
        <f ca="1">SQRT($B$9*SUM(AC454:OFFSET(AC454,$B$5-1,0))/($B$5-1))</f>
        <v>#DIV/0!</v>
      </c>
      <c r="AE454" s="34" t="e">
        <f ca="1">SQRT($B$9*SUM(AC454:OFFSET(AC454,$B$6-1,0))/($B$6-1))</f>
        <v>#DIV/0!</v>
      </c>
      <c r="AF454" s="34" t="e">
        <f ca="1">SQRT($B$9*SUM(AC454:OFFSET(AC454,$B$7-1,0))/($B$7-1))</f>
        <v>#DIV/0!</v>
      </c>
      <c r="AG454" s="34" t="e">
        <f ca="1">SQRT($B$9*SUM(AC454:OFFSET(AC454,$B$8-1,0))/($B$8-1))</f>
        <v>#DIV/0!</v>
      </c>
      <c r="AI454" s="1" t="e">
        <f t="shared" si="41"/>
        <v>#DIV/0!</v>
      </c>
      <c r="AJ454" s="4" t="e">
        <f ca="1">SQRT($B$9)*_xlfn.STDEV.S(AI454:OFFSET(AI454,$B$5-1,0))</f>
        <v>#DIV/0!</v>
      </c>
      <c r="AK454" s="4" t="e">
        <f ca="1">SQRT($B$9)*_xlfn.STDEV.S(AI454:OFFSET(AI454,$B$6-1,0))</f>
        <v>#DIV/0!</v>
      </c>
      <c r="AL454" s="4" t="e">
        <f ca="1">SQRT($B$9)*_xlfn.STDEV.S(AI454:OFFSET(AI454,$B$7-1,0))</f>
        <v>#DIV/0!</v>
      </c>
      <c r="AM454" s="4" t="e">
        <f ca="1">SQRT($B$9)*_xlfn.STDEV.S(AI454:OFFSET(AI454,$B$8-1,0))</f>
        <v>#DIV/0!</v>
      </c>
    </row>
    <row r="455" spans="5:39" x14ac:dyDescent="0.2">
      <c r="E455" s="42">
        <v>44985</v>
      </c>
      <c r="F455" s="43"/>
      <c r="G455" s="43"/>
      <c r="H455" s="43"/>
      <c r="I455" s="43"/>
      <c r="K455" s="3" t="e">
        <f t="shared" si="44"/>
        <v>#DIV/0!</v>
      </c>
      <c r="L455" s="3" t="e">
        <f ca="1">SQRT(AVERAGE(K455:OFFSET(K455,$B$5-1,0))*$B$9/(4*LN(2)))</f>
        <v>#DIV/0!</v>
      </c>
      <c r="M455" s="3" t="e">
        <f ca="1">SQRT(AVERAGE(K455:OFFSET(K455,$B$6-1,0))*$B$9/(4*LN(2)))</f>
        <v>#DIV/0!</v>
      </c>
      <c r="N455" s="3" t="e">
        <f ca="1">SQRT(AVERAGE(K455:OFFSET(K455,$B$7-1,0))*$B$9/(4*LN(2)))</f>
        <v>#DIV/0!</v>
      </c>
      <c r="O455" s="3" t="e">
        <f ca="1">SQRT(AVERAGE(K455:OFFSET(K455,$B$8-1,0))*$B$9/(4*LN(2)))</f>
        <v>#DIV/0!</v>
      </c>
      <c r="Q455" s="5" t="e">
        <f t="shared" si="43"/>
        <v>#DIV/0!</v>
      </c>
      <c r="R455" s="5" t="e">
        <f ca="1">SQRT($B$9*AVERAGE((Q455:OFFSET(Q455,$B$5-1,0))))</f>
        <v>#DIV/0!</v>
      </c>
      <c r="S455" s="5" t="e">
        <f ca="1">SQRT($B$9*AVERAGE((Q455:OFFSET(Q455,$B$6-1,0))))</f>
        <v>#DIV/0!</v>
      </c>
      <c r="T455" s="5" t="e">
        <f ca="1">SQRT($B$9*AVERAGE((Q455:OFFSET(Q455,$B$7-1,0))))</f>
        <v>#DIV/0!</v>
      </c>
      <c r="U455" s="5" t="e">
        <f ca="1">SQRT($B$9*AVERAGE((Q455:OFFSET(Q455,$B$8-1,0))))</f>
        <v>#DIV/0!</v>
      </c>
      <c r="W455" s="6" t="e">
        <f t="shared" si="42"/>
        <v>#DIV/0!</v>
      </c>
      <c r="X455" s="6" t="e">
        <f ca="1">SQRT($B$9*AVERAGE(W455:OFFSET(W455,$B$5-1,0)))</f>
        <v>#DIV/0!</v>
      </c>
      <c r="Y455" s="6" t="e">
        <f ca="1">SQRT($B$9*AVERAGE(W455:OFFSET(W455,$B$6-1,0)))</f>
        <v>#DIV/0!</v>
      </c>
      <c r="Z455" s="6" t="e">
        <f ca="1">SQRT($B$9*AVERAGE(W455:OFFSET(W455,$B$7-1,0)))</f>
        <v>#DIV/0!</v>
      </c>
      <c r="AA455" s="6" t="e">
        <f ca="1">SQRT($B$9*AVERAGE(W455:OFFSET(W455,$B$8-1,0)))</f>
        <v>#DIV/0!</v>
      </c>
      <c r="AC455" s="34" t="e">
        <f t="shared" si="40"/>
        <v>#DIV/0!</v>
      </c>
      <c r="AD455" s="34" t="e">
        <f ca="1">SQRT($B$9*SUM(AC455:OFFSET(AC455,$B$5-1,0))/($B$5-1))</f>
        <v>#DIV/0!</v>
      </c>
      <c r="AE455" s="34" t="e">
        <f ca="1">SQRT($B$9*SUM(AC455:OFFSET(AC455,$B$6-1,0))/($B$6-1))</f>
        <v>#DIV/0!</v>
      </c>
      <c r="AF455" s="34" t="e">
        <f ca="1">SQRT($B$9*SUM(AC455:OFFSET(AC455,$B$7-1,0))/($B$7-1))</f>
        <v>#DIV/0!</v>
      </c>
      <c r="AG455" s="34" t="e">
        <f ca="1">SQRT($B$9*SUM(AC455:OFFSET(AC455,$B$8-1,0))/($B$8-1))</f>
        <v>#DIV/0!</v>
      </c>
      <c r="AI455" s="1" t="e">
        <f t="shared" si="41"/>
        <v>#DIV/0!</v>
      </c>
      <c r="AJ455" s="4" t="e">
        <f ca="1">SQRT($B$9)*_xlfn.STDEV.S(AI455:OFFSET(AI455,$B$5-1,0))</f>
        <v>#DIV/0!</v>
      </c>
      <c r="AK455" s="4" t="e">
        <f ca="1">SQRT($B$9)*_xlfn.STDEV.S(AI455:OFFSET(AI455,$B$6-1,0))</f>
        <v>#DIV/0!</v>
      </c>
      <c r="AL455" s="4" t="e">
        <f ca="1">SQRT($B$9)*_xlfn.STDEV.S(AI455:OFFSET(AI455,$B$7-1,0))</f>
        <v>#DIV/0!</v>
      </c>
      <c r="AM455" s="4" t="e">
        <f ca="1">SQRT($B$9)*_xlfn.STDEV.S(AI455:OFFSET(AI455,$B$8-1,0))</f>
        <v>#DIV/0!</v>
      </c>
    </row>
    <row r="456" spans="5:39" x14ac:dyDescent="0.2">
      <c r="E456" s="42">
        <v>44984</v>
      </c>
      <c r="F456" s="43"/>
      <c r="G456" s="43"/>
      <c r="H456" s="43"/>
      <c r="I456" s="43"/>
      <c r="K456" s="3" t="e">
        <f t="shared" si="44"/>
        <v>#DIV/0!</v>
      </c>
      <c r="L456" s="3" t="e">
        <f ca="1">SQRT(AVERAGE(K456:OFFSET(K456,$B$5-1,0))*$B$9/(4*LN(2)))</f>
        <v>#DIV/0!</v>
      </c>
      <c r="M456" s="3" t="e">
        <f ca="1">SQRT(AVERAGE(K456:OFFSET(K456,$B$6-1,0))*$B$9/(4*LN(2)))</f>
        <v>#DIV/0!</v>
      </c>
      <c r="N456" s="3" t="e">
        <f ca="1">SQRT(AVERAGE(K456:OFFSET(K456,$B$7-1,0))*$B$9/(4*LN(2)))</f>
        <v>#DIV/0!</v>
      </c>
      <c r="O456" s="3" t="e">
        <f ca="1">SQRT(AVERAGE(K456:OFFSET(K456,$B$8-1,0))*$B$9/(4*LN(2)))</f>
        <v>#DIV/0!</v>
      </c>
      <c r="Q456" s="5" t="e">
        <f t="shared" si="43"/>
        <v>#DIV/0!</v>
      </c>
      <c r="R456" s="5" t="e">
        <f ca="1">SQRT($B$9*AVERAGE((Q456:OFFSET(Q456,$B$5-1,0))))</f>
        <v>#DIV/0!</v>
      </c>
      <c r="S456" s="5" t="e">
        <f ca="1">SQRT($B$9*AVERAGE((Q456:OFFSET(Q456,$B$6-1,0))))</f>
        <v>#DIV/0!</v>
      </c>
      <c r="T456" s="5" t="e">
        <f ca="1">SQRT($B$9*AVERAGE((Q456:OFFSET(Q456,$B$7-1,0))))</f>
        <v>#DIV/0!</v>
      </c>
      <c r="U456" s="5" t="e">
        <f ca="1">SQRT($B$9*AVERAGE((Q456:OFFSET(Q456,$B$8-1,0))))</f>
        <v>#DIV/0!</v>
      </c>
      <c r="W456" s="6" t="e">
        <f t="shared" si="42"/>
        <v>#DIV/0!</v>
      </c>
      <c r="X456" s="6" t="e">
        <f ca="1">SQRT($B$9*AVERAGE(W456:OFFSET(W456,$B$5-1,0)))</f>
        <v>#DIV/0!</v>
      </c>
      <c r="Y456" s="6" t="e">
        <f ca="1">SQRT($B$9*AVERAGE(W456:OFFSET(W456,$B$6-1,0)))</f>
        <v>#DIV/0!</v>
      </c>
      <c r="Z456" s="6" t="e">
        <f ca="1">SQRT($B$9*AVERAGE(W456:OFFSET(W456,$B$7-1,0)))</f>
        <v>#DIV/0!</v>
      </c>
      <c r="AA456" s="6" t="e">
        <f ca="1">SQRT($B$9*AVERAGE(W456:OFFSET(W456,$B$8-1,0)))</f>
        <v>#DIV/0!</v>
      </c>
      <c r="AC456" s="34" t="e">
        <f t="shared" si="40"/>
        <v>#DIV/0!</v>
      </c>
      <c r="AD456" s="34" t="e">
        <f ca="1">SQRT($B$9*SUM(AC456:OFFSET(AC456,$B$5-1,0))/($B$5-1))</f>
        <v>#DIV/0!</v>
      </c>
      <c r="AE456" s="34" t="e">
        <f ca="1">SQRT($B$9*SUM(AC456:OFFSET(AC456,$B$6-1,0))/($B$6-1))</f>
        <v>#DIV/0!</v>
      </c>
      <c r="AF456" s="34" t="e">
        <f ca="1">SQRT($B$9*SUM(AC456:OFFSET(AC456,$B$7-1,0))/($B$7-1))</f>
        <v>#DIV/0!</v>
      </c>
      <c r="AG456" s="34" t="e">
        <f ca="1">SQRT($B$9*SUM(AC456:OFFSET(AC456,$B$8-1,0))/($B$8-1))</f>
        <v>#DIV/0!</v>
      </c>
      <c r="AI456" s="1" t="e">
        <f t="shared" si="41"/>
        <v>#DIV/0!</v>
      </c>
      <c r="AJ456" s="4" t="e">
        <f ca="1">SQRT($B$9)*_xlfn.STDEV.S(AI456:OFFSET(AI456,$B$5-1,0))</f>
        <v>#DIV/0!</v>
      </c>
      <c r="AK456" s="4" t="e">
        <f ca="1">SQRT($B$9)*_xlfn.STDEV.S(AI456:OFFSET(AI456,$B$6-1,0))</f>
        <v>#DIV/0!</v>
      </c>
      <c r="AL456" s="4" t="e">
        <f ca="1">SQRT($B$9)*_xlfn.STDEV.S(AI456:OFFSET(AI456,$B$7-1,0))</f>
        <v>#DIV/0!</v>
      </c>
      <c r="AM456" s="4" t="e">
        <f ca="1">SQRT($B$9)*_xlfn.STDEV.S(AI456:OFFSET(AI456,$B$8-1,0))</f>
        <v>#DIV/0!</v>
      </c>
    </row>
    <row r="457" spans="5:39" x14ac:dyDescent="0.2">
      <c r="E457" s="42">
        <v>44981</v>
      </c>
      <c r="F457" s="43"/>
      <c r="G457" s="43"/>
      <c r="H457" s="43"/>
      <c r="I457" s="43"/>
      <c r="K457" s="3" t="e">
        <f t="shared" si="44"/>
        <v>#DIV/0!</v>
      </c>
      <c r="L457" s="3" t="e">
        <f ca="1">SQRT(AVERAGE(K457:OFFSET(K457,$B$5-1,0))*$B$9/(4*LN(2)))</f>
        <v>#DIV/0!</v>
      </c>
      <c r="M457" s="3" t="e">
        <f ca="1">SQRT(AVERAGE(K457:OFFSET(K457,$B$6-1,0))*$B$9/(4*LN(2)))</f>
        <v>#DIV/0!</v>
      </c>
      <c r="N457" s="3" t="e">
        <f ca="1">SQRT(AVERAGE(K457:OFFSET(K457,$B$7-1,0))*$B$9/(4*LN(2)))</f>
        <v>#DIV/0!</v>
      </c>
      <c r="O457" s="3" t="e">
        <f ca="1">SQRT(AVERAGE(K457:OFFSET(K457,$B$8-1,0))*$B$9/(4*LN(2)))</f>
        <v>#DIV/0!</v>
      </c>
      <c r="Q457" s="5" t="e">
        <f t="shared" si="43"/>
        <v>#DIV/0!</v>
      </c>
      <c r="R457" s="5" t="e">
        <f ca="1">SQRT($B$9*AVERAGE((Q457:OFFSET(Q457,$B$5-1,0))))</f>
        <v>#DIV/0!</v>
      </c>
      <c r="S457" s="5" t="e">
        <f ca="1">SQRT($B$9*AVERAGE((Q457:OFFSET(Q457,$B$6-1,0))))</f>
        <v>#DIV/0!</v>
      </c>
      <c r="T457" s="5" t="e">
        <f ca="1">SQRT($B$9*AVERAGE((Q457:OFFSET(Q457,$B$7-1,0))))</f>
        <v>#DIV/0!</v>
      </c>
      <c r="U457" s="5" t="e">
        <f ca="1">SQRT($B$9*AVERAGE((Q457:OFFSET(Q457,$B$8-1,0))))</f>
        <v>#DIV/0!</v>
      </c>
      <c r="W457" s="6" t="e">
        <f t="shared" si="42"/>
        <v>#DIV/0!</v>
      </c>
      <c r="X457" s="6" t="e">
        <f ca="1">SQRT($B$9*AVERAGE(W457:OFFSET(W457,$B$5-1,0)))</f>
        <v>#DIV/0!</v>
      </c>
      <c r="Y457" s="6" t="e">
        <f ca="1">SQRT($B$9*AVERAGE(W457:OFFSET(W457,$B$6-1,0)))</f>
        <v>#DIV/0!</v>
      </c>
      <c r="Z457" s="6" t="e">
        <f ca="1">SQRT($B$9*AVERAGE(W457:OFFSET(W457,$B$7-1,0)))</f>
        <v>#DIV/0!</v>
      </c>
      <c r="AA457" s="6" t="e">
        <f ca="1">SQRT($B$9*AVERAGE(W457:OFFSET(W457,$B$8-1,0)))</f>
        <v>#DIV/0!</v>
      </c>
      <c r="AC457" s="34" t="e">
        <f t="shared" si="40"/>
        <v>#DIV/0!</v>
      </c>
      <c r="AD457" s="34" t="e">
        <f ca="1">SQRT($B$9*SUM(AC457:OFFSET(AC457,$B$5-1,0))/($B$5-1))</f>
        <v>#DIV/0!</v>
      </c>
      <c r="AE457" s="34" t="e">
        <f ca="1">SQRT($B$9*SUM(AC457:OFFSET(AC457,$B$6-1,0))/($B$6-1))</f>
        <v>#DIV/0!</v>
      </c>
      <c r="AF457" s="34" t="e">
        <f ca="1">SQRT($B$9*SUM(AC457:OFFSET(AC457,$B$7-1,0))/($B$7-1))</f>
        <v>#DIV/0!</v>
      </c>
      <c r="AG457" s="34" t="e">
        <f ca="1">SQRT($B$9*SUM(AC457:OFFSET(AC457,$B$8-1,0))/($B$8-1))</f>
        <v>#DIV/0!</v>
      </c>
      <c r="AI457" s="1" t="e">
        <f t="shared" si="41"/>
        <v>#DIV/0!</v>
      </c>
      <c r="AJ457" s="4" t="e">
        <f ca="1">SQRT($B$9)*_xlfn.STDEV.S(AI457:OFFSET(AI457,$B$5-1,0))</f>
        <v>#DIV/0!</v>
      </c>
      <c r="AK457" s="4" t="e">
        <f ca="1">SQRT($B$9)*_xlfn.STDEV.S(AI457:OFFSET(AI457,$B$6-1,0))</f>
        <v>#DIV/0!</v>
      </c>
      <c r="AL457" s="4" t="e">
        <f ca="1">SQRT($B$9)*_xlfn.STDEV.S(AI457:OFFSET(AI457,$B$7-1,0))</f>
        <v>#DIV/0!</v>
      </c>
      <c r="AM457" s="4" t="e">
        <f ca="1">SQRT($B$9)*_xlfn.STDEV.S(AI457:OFFSET(AI457,$B$8-1,0))</f>
        <v>#DIV/0!</v>
      </c>
    </row>
    <row r="458" spans="5:39" x14ac:dyDescent="0.2">
      <c r="E458" s="42">
        <v>44980</v>
      </c>
      <c r="F458" s="43"/>
      <c r="G458" s="43"/>
      <c r="H458" s="43"/>
      <c r="I458" s="43"/>
      <c r="K458" s="3" t="e">
        <f t="shared" si="44"/>
        <v>#DIV/0!</v>
      </c>
      <c r="L458" s="3" t="e">
        <f ca="1">SQRT(AVERAGE(K458:OFFSET(K458,$B$5-1,0))*$B$9/(4*LN(2)))</f>
        <v>#DIV/0!</v>
      </c>
      <c r="M458" s="3" t="e">
        <f ca="1">SQRT(AVERAGE(K458:OFFSET(K458,$B$6-1,0))*$B$9/(4*LN(2)))</f>
        <v>#DIV/0!</v>
      </c>
      <c r="N458" s="3" t="e">
        <f ca="1">SQRT(AVERAGE(K458:OFFSET(K458,$B$7-1,0))*$B$9/(4*LN(2)))</f>
        <v>#DIV/0!</v>
      </c>
      <c r="O458" s="3" t="e">
        <f ca="1">SQRT(AVERAGE(K458:OFFSET(K458,$B$8-1,0))*$B$9/(4*LN(2)))</f>
        <v>#DIV/0!</v>
      </c>
      <c r="Q458" s="5" t="e">
        <f t="shared" si="43"/>
        <v>#DIV/0!</v>
      </c>
      <c r="R458" s="5" t="e">
        <f ca="1">SQRT($B$9*AVERAGE((Q458:OFFSET(Q458,$B$5-1,0))))</f>
        <v>#DIV/0!</v>
      </c>
      <c r="S458" s="5" t="e">
        <f ca="1">SQRT($B$9*AVERAGE((Q458:OFFSET(Q458,$B$6-1,0))))</f>
        <v>#DIV/0!</v>
      </c>
      <c r="T458" s="5" t="e">
        <f ca="1">SQRT($B$9*AVERAGE((Q458:OFFSET(Q458,$B$7-1,0))))</f>
        <v>#DIV/0!</v>
      </c>
      <c r="U458" s="5" t="e">
        <f ca="1">SQRT($B$9*AVERAGE((Q458:OFFSET(Q458,$B$8-1,0))))</f>
        <v>#DIV/0!</v>
      </c>
      <c r="W458" s="6" t="e">
        <f t="shared" si="42"/>
        <v>#DIV/0!</v>
      </c>
      <c r="X458" s="6" t="e">
        <f ca="1">SQRT($B$9*AVERAGE(W458:OFFSET(W458,$B$5-1,0)))</f>
        <v>#DIV/0!</v>
      </c>
      <c r="Y458" s="6" t="e">
        <f ca="1">SQRT($B$9*AVERAGE(W458:OFFSET(W458,$B$6-1,0)))</f>
        <v>#DIV/0!</v>
      </c>
      <c r="Z458" s="6" t="e">
        <f ca="1">SQRT($B$9*AVERAGE(W458:OFFSET(W458,$B$7-1,0)))</f>
        <v>#DIV/0!</v>
      </c>
      <c r="AA458" s="6" t="e">
        <f ca="1">SQRT($B$9*AVERAGE(W458:OFFSET(W458,$B$8-1,0)))</f>
        <v>#DIV/0!</v>
      </c>
      <c r="AC458" s="34" t="e">
        <f t="shared" si="40"/>
        <v>#DIV/0!</v>
      </c>
      <c r="AD458" s="34" t="e">
        <f ca="1">SQRT($B$9*SUM(AC458:OFFSET(AC458,$B$5-1,0))/($B$5-1))</f>
        <v>#DIV/0!</v>
      </c>
      <c r="AE458" s="34" t="e">
        <f ca="1">SQRT($B$9*SUM(AC458:OFFSET(AC458,$B$6-1,0))/($B$6-1))</f>
        <v>#DIV/0!</v>
      </c>
      <c r="AF458" s="34" t="e">
        <f ca="1">SQRT($B$9*SUM(AC458:OFFSET(AC458,$B$7-1,0))/($B$7-1))</f>
        <v>#DIV/0!</v>
      </c>
      <c r="AG458" s="34" t="e">
        <f ca="1">SQRT($B$9*SUM(AC458:OFFSET(AC458,$B$8-1,0))/($B$8-1))</f>
        <v>#DIV/0!</v>
      </c>
      <c r="AI458" s="1" t="e">
        <f t="shared" si="41"/>
        <v>#DIV/0!</v>
      </c>
      <c r="AJ458" s="4" t="e">
        <f ca="1">SQRT($B$9)*_xlfn.STDEV.S(AI458:OFFSET(AI458,$B$5-1,0))</f>
        <v>#DIV/0!</v>
      </c>
      <c r="AK458" s="4" t="e">
        <f ca="1">SQRT($B$9)*_xlfn.STDEV.S(AI458:OFFSET(AI458,$B$6-1,0))</f>
        <v>#DIV/0!</v>
      </c>
      <c r="AL458" s="4" t="e">
        <f ca="1">SQRT($B$9)*_xlfn.STDEV.S(AI458:OFFSET(AI458,$B$7-1,0))</f>
        <v>#DIV/0!</v>
      </c>
      <c r="AM458" s="4" t="e">
        <f ca="1">SQRT($B$9)*_xlfn.STDEV.S(AI458:OFFSET(AI458,$B$8-1,0))</f>
        <v>#DIV/0!</v>
      </c>
    </row>
    <row r="459" spans="5:39" x14ac:dyDescent="0.2">
      <c r="E459" s="42">
        <v>44979</v>
      </c>
      <c r="F459" s="43"/>
      <c r="G459" s="43"/>
      <c r="H459" s="43"/>
      <c r="I459" s="43"/>
      <c r="K459" s="3" t="e">
        <f t="shared" si="44"/>
        <v>#DIV/0!</v>
      </c>
      <c r="L459" s="3" t="e">
        <f ca="1">SQRT(AVERAGE(K459:OFFSET(K459,$B$5-1,0))*$B$9/(4*LN(2)))</f>
        <v>#DIV/0!</v>
      </c>
      <c r="M459" s="3" t="e">
        <f ca="1">SQRT(AVERAGE(K459:OFFSET(K459,$B$6-1,0))*$B$9/(4*LN(2)))</f>
        <v>#DIV/0!</v>
      </c>
      <c r="N459" s="3" t="e">
        <f ca="1">SQRT(AVERAGE(K459:OFFSET(K459,$B$7-1,0))*$B$9/(4*LN(2)))</f>
        <v>#DIV/0!</v>
      </c>
      <c r="O459" s="3" t="e">
        <f ca="1">SQRT(AVERAGE(K459:OFFSET(K459,$B$8-1,0))*$B$9/(4*LN(2)))</f>
        <v>#DIV/0!</v>
      </c>
      <c r="Q459" s="5" t="e">
        <f t="shared" si="43"/>
        <v>#DIV/0!</v>
      </c>
      <c r="R459" s="5" t="e">
        <f ca="1">SQRT($B$9*AVERAGE((Q459:OFFSET(Q459,$B$5-1,0))))</f>
        <v>#DIV/0!</v>
      </c>
      <c r="S459" s="5" t="e">
        <f ca="1">SQRT($B$9*AVERAGE((Q459:OFFSET(Q459,$B$6-1,0))))</f>
        <v>#DIV/0!</v>
      </c>
      <c r="T459" s="5" t="e">
        <f ca="1">SQRT($B$9*AVERAGE((Q459:OFFSET(Q459,$B$7-1,0))))</f>
        <v>#DIV/0!</v>
      </c>
      <c r="U459" s="5" t="e">
        <f ca="1">SQRT($B$9*AVERAGE((Q459:OFFSET(Q459,$B$8-1,0))))</f>
        <v>#DIV/0!</v>
      </c>
      <c r="W459" s="6" t="e">
        <f t="shared" si="42"/>
        <v>#DIV/0!</v>
      </c>
      <c r="X459" s="6" t="e">
        <f ca="1">SQRT($B$9*AVERAGE(W459:OFFSET(W459,$B$5-1,0)))</f>
        <v>#DIV/0!</v>
      </c>
      <c r="Y459" s="6" t="e">
        <f ca="1">SQRT($B$9*AVERAGE(W459:OFFSET(W459,$B$6-1,0)))</f>
        <v>#DIV/0!</v>
      </c>
      <c r="Z459" s="6" t="e">
        <f ca="1">SQRT($B$9*AVERAGE(W459:OFFSET(W459,$B$7-1,0)))</f>
        <v>#DIV/0!</v>
      </c>
      <c r="AA459" s="6" t="e">
        <f ca="1">SQRT($B$9*AVERAGE(W459:OFFSET(W459,$B$8-1,0)))</f>
        <v>#DIV/0!</v>
      </c>
      <c r="AC459" s="34" t="e">
        <f t="shared" si="40"/>
        <v>#DIV/0!</v>
      </c>
      <c r="AD459" s="34" t="e">
        <f ca="1">SQRT($B$9*SUM(AC459:OFFSET(AC459,$B$5-1,0))/($B$5-1))</f>
        <v>#DIV/0!</v>
      </c>
      <c r="AE459" s="34" t="e">
        <f ca="1">SQRT($B$9*SUM(AC459:OFFSET(AC459,$B$6-1,0))/($B$6-1))</f>
        <v>#DIV/0!</v>
      </c>
      <c r="AF459" s="34" t="e">
        <f ca="1">SQRT($B$9*SUM(AC459:OFFSET(AC459,$B$7-1,0))/($B$7-1))</f>
        <v>#DIV/0!</v>
      </c>
      <c r="AG459" s="34" t="e">
        <f ca="1">SQRT($B$9*SUM(AC459:OFFSET(AC459,$B$8-1,0))/($B$8-1))</f>
        <v>#DIV/0!</v>
      </c>
      <c r="AI459" s="1" t="e">
        <f t="shared" si="41"/>
        <v>#DIV/0!</v>
      </c>
      <c r="AJ459" s="4" t="e">
        <f ca="1">SQRT($B$9)*_xlfn.STDEV.S(AI459:OFFSET(AI459,$B$5-1,0))</f>
        <v>#DIV/0!</v>
      </c>
      <c r="AK459" s="4" t="e">
        <f ca="1">SQRT($B$9)*_xlfn.STDEV.S(AI459:OFFSET(AI459,$B$6-1,0))</f>
        <v>#DIV/0!</v>
      </c>
      <c r="AL459" s="4" t="e">
        <f ca="1">SQRT($B$9)*_xlfn.STDEV.S(AI459:OFFSET(AI459,$B$7-1,0))</f>
        <v>#DIV/0!</v>
      </c>
      <c r="AM459" s="4" t="e">
        <f ca="1">SQRT($B$9)*_xlfn.STDEV.S(AI459:OFFSET(AI459,$B$8-1,0))</f>
        <v>#DIV/0!</v>
      </c>
    </row>
    <row r="460" spans="5:39" x14ac:dyDescent="0.2">
      <c r="E460" s="42">
        <v>44978</v>
      </c>
      <c r="F460" s="43"/>
      <c r="G460" s="43"/>
      <c r="H460" s="43"/>
      <c r="I460" s="43"/>
      <c r="K460" s="3" t="e">
        <f t="shared" si="44"/>
        <v>#DIV/0!</v>
      </c>
      <c r="L460" s="3" t="e">
        <f ca="1">SQRT(AVERAGE(K460:OFFSET(K460,$B$5-1,0))*$B$9/(4*LN(2)))</f>
        <v>#DIV/0!</v>
      </c>
      <c r="M460" s="3" t="e">
        <f ca="1">SQRT(AVERAGE(K460:OFFSET(K460,$B$6-1,0))*$B$9/(4*LN(2)))</f>
        <v>#DIV/0!</v>
      </c>
      <c r="N460" s="3" t="e">
        <f ca="1">SQRT(AVERAGE(K460:OFFSET(K460,$B$7-1,0))*$B$9/(4*LN(2)))</f>
        <v>#DIV/0!</v>
      </c>
      <c r="O460" s="3" t="e">
        <f ca="1">SQRT(AVERAGE(K460:OFFSET(K460,$B$8-1,0))*$B$9/(4*LN(2)))</f>
        <v>#DIV/0!</v>
      </c>
      <c r="Q460" s="5" t="e">
        <f t="shared" si="43"/>
        <v>#DIV/0!</v>
      </c>
      <c r="R460" s="5" t="e">
        <f ca="1">SQRT($B$9*AVERAGE((Q460:OFFSET(Q460,$B$5-1,0))))</f>
        <v>#DIV/0!</v>
      </c>
      <c r="S460" s="5" t="e">
        <f ca="1">SQRT($B$9*AVERAGE((Q460:OFFSET(Q460,$B$6-1,0))))</f>
        <v>#DIV/0!</v>
      </c>
      <c r="T460" s="5" t="e">
        <f ca="1">SQRT($B$9*AVERAGE((Q460:OFFSET(Q460,$B$7-1,0))))</f>
        <v>#DIV/0!</v>
      </c>
      <c r="U460" s="5" t="e">
        <f ca="1">SQRT($B$9*AVERAGE((Q460:OFFSET(Q460,$B$8-1,0))))</f>
        <v>#DIV/0!</v>
      </c>
      <c r="W460" s="6" t="e">
        <f t="shared" si="42"/>
        <v>#DIV/0!</v>
      </c>
      <c r="X460" s="6" t="e">
        <f ca="1">SQRT($B$9*AVERAGE(W460:OFFSET(W460,$B$5-1,0)))</f>
        <v>#DIV/0!</v>
      </c>
      <c r="Y460" s="6" t="e">
        <f ca="1">SQRT($B$9*AVERAGE(W460:OFFSET(W460,$B$6-1,0)))</f>
        <v>#DIV/0!</v>
      </c>
      <c r="Z460" s="6" t="e">
        <f ca="1">SQRT($B$9*AVERAGE(W460:OFFSET(W460,$B$7-1,0)))</f>
        <v>#DIV/0!</v>
      </c>
      <c r="AA460" s="6" t="e">
        <f ca="1">SQRT($B$9*AVERAGE(W460:OFFSET(W460,$B$8-1,0)))</f>
        <v>#DIV/0!</v>
      </c>
      <c r="AC460" s="34" t="e">
        <f t="shared" si="40"/>
        <v>#DIV/0!</v>
      </c>
      <c r="AD460" s="34" t="e">
        <f ca="1">SQRT($B$9*SUM(AC460:OFFSET(AC460,$B$5-1,0))/($B$5-1))</f>
        <v>#DIV/0!</v>
      </c>
      <c r="AE460" s="34" t="e">
        <f ca="1">SQRT($B$9*SUM(AC460:OFFSET(AC460,$B$6-1,0))/($B$6-1))</f>
        <v>#DIV/0!</v>
      </c>
      <c r="AF460" s="34" t="e">
        <f ca="1">SQRT($B$9*SUM(AC460:OFFSET(AC460,$B$7-1,0))/($B$7-1))</f>
        <v>#DIV/0!</v>
      </c>
      <c r="AG460" s="34" t="e">
        <f ca="1">SQRT($B$9*SUM(AC460:OFFSET(AC460,$B$8-1,0))/($B$8-1))</f>
        <v>#DIV/0!</v>
      </c>
      <c r="AI460" s="1" t="e">
        <f t="shared" si="41"/>
        <v>#DIV/0!</v>
      </c>
      <c r="AJ460" s="4" t="e">
        <f ca="1">SQRT($B$9)*_xlfn.STDEV.S(AI460:OFFSET(AI460,$B$5-1,0))</f>
        <v>#DIV/0!</v>
      </c>
      <c r="AK460" s="4" t="e">
        <f ca="1">SQRT($B$9)*_xlfn.STDEV.S(AI460:OFFSET(AI460,$B$6-1,0))</f>
        <v>#DIV/0!</v>
      </c>
      <c r="AL460" s="4" t="e">
        <f ca="1">SQRT($B$9)*_xlfn.STDEV.S(AI460:OFFSET(AI460,$B$7-1,0))</f>
        <v>#DIV/0!</v>
      </c>
      <c r="AM460" s="4" t="e">
        <f ca="1">SQRT($B$9)*_xlfn.STDEV.S(AI460:OFFSET(AI460,$B$8-1,0))</f>
        <v>#DIV/0!</v>
      </c>
    </row>
    <row r="461" spans="5:39" x14ac:dyDescent="0.2">
      <c r="E461" s="42">
        <v>44977</v>
      </c>
      <c r="F461" s="43"/>
      <c r="G461" s="43"/>
      <c r="H461" s="43"/>
      <c r="I461" s="43"/>
      <c r="K461" s="3" t="e">
        <f t="shared" si="44"/>
        <v>#DIV/0!</v>
      </c>
      <c r="L461" s="3" t="e">
        <f ca="1">SQRT(AVERAGE(K461:OFFSET(K461,$B$5-1,0))*$B$9/(4*LN(2)))</f>
        <v>#DIV/0!</v>
      </c>
      <c r="M461" s="3" t="e">
        <f ca="1">SQRT(AVERAGE(K461:OFFSET(K461,$B$6-1,0))*$B$9/(4*LN(2)))</f>
        <v>#DIV/0!</v>
      </c>
      <c r="N461" s="3" t="e">
        <f ca="1">SQRT(AVERAGE(K461:OFFSET(K461,$B$7-1,0))*$B$9/(4*LN(2)))</f>
        <v>#DIV/0!</v>
      </c>
      <c r="O461" s="3" t="e">
        <f ca="1">SQRT(AVERAGE(K461:OFFSET(K461,$B$8-1,0))*$B$9/(4*LN(2)))</f>
        <v>#DIV/0!</v>
      </c>
      <c r="Q461" s="5" t="e">
        <f t="shared" si="43"/>
        <v>#DIV/0!</v>
      </c>
      <c r="R461" s="5" t="e">
        <f ca="1">SQRT($B$9*AVERAGE((Q461:OFFSET(Q461,$B$5-1,0))))</f>
        <v>#DIV/0!</v>
      </c>
      <c r="S461" s="5" t="e">
        <f ca="1">SQRT($B$9*AVERAGE((Q461:OFFSET(Q461,$B$6-1,0))))</f>
        <v>#DIV/0!</v>
      </c>
      <c r="T461" s="5" t="e">
        <f ca="1">SQRT($B$9*AVERAGE((Q461:OFFSET(Q461,$B$7-1,0))))</f>
        <v>#DIV/0!</v>
      </c>
      <c r="U461" s="5" t="e">
        <f ca="1">SQRT($B$9*AVERAGE((Q461:OFFSET(Q461,$B$8-1,0))))</f>
        <v>#DIV/0!</v>
      </c>
      <c r="W461" s="6" t="e">
        <f t="shared" si="42"/>
        <v>#DIV/0!</v>
      </c>
      <c r="X461" s="6" t="e">
        <f ca="1">SQRT($B$9*AVERAGE(W461:OFFSET(W461,$B$5-1,0)))</f>
        <v>#DIV/0!</v>
      </c>
      <c r="Y461" s="6" t="e">
        <f ca="1">SQRT($B$9*AVERAGE(W461:OFFSET(W461,$B$6-1,0)))</f>
        <v>#DIV/0!</v>
      </c>
      <c r="Z461" s="6" t="e">
        <f ca="1">SQRT($B$9*AVERAGE(W461:OFFSET(W461,$B$7-1,0)))</f>
        <v>#DIV/0!</v>
      </c>
      <c r="AA461" s="6" t="e">
        <f ca="1">SQRT($B$9*AVERAGE(W461:OFFSET(W461,$B$8-1,0)))</f>
        <v>#DIV/0!</v>
      </c>
      <c r="AC461" s="34" t="e">
        <f t="shared" si="40"/>
        <v>#DIV/0!</v>
      </c>
      <c r="AD461" s="34" t="e">
        <f ca="1">SQRT($B$9*SUM(AC461:OFFSET(AC461,$B$5-1,0))/($B$5-1))</f>
        <v>#DIV/0!</v>
      </c>
      <c r="AE461" s="34" t="e">
        <f ca="1">SQRT($B$9*SUM(AC461:OFFSET(AC461,$B$6-1,0))/($B$6-1))</f>
        <v>#DIV/0!</v>
      </c>
      <c r="AF461" s="34" t="e">
        <f ca="1">SQRT($B$9*SUM(AC461:OFFSET(AC461,$B$7-1,0))/($B$7-1))</f>
        <v>#DIV/0!</v>
      </c>
      <c r="AG461" s="34" t="e">
        <f ca="1">SQRT($B$9*SUM(AC461:OFFSET(AC461,$B$8-1,0))/($B$8-1))</f>
        <v>#DIV/0!</v>
      </c>
      <c r="AI461" s="1" t="e">
        <f t="shared" si="41"/>
        <v>#DIV/0!</v>
      </c>
      <c r="AJ461" s="4" t="e">
        <f ca="1">SQRT($B$9)*_xlfn.STDEV.S(AI461:OFFSET(AI461,$B$5-1,0))</f>
        <v>#DIV/0!</v>
      </c>
      <c r="AK461" s="4" t="e">
        <f ca="1">SQRT($B$9)*_xlfn.STDEV.S(AI461:OFFSET(AI461,$B$6-1,0))</f>
        <v>#DIV/0!</v>
      </c>
      <c r="AL461" s="4" t="e">
        <f ca="1">SQRT($B$9)*_xlfn.STDEV.S(AI461:OFFSET(AI461,$B$7-1,0))</f>
        <v>#DIV/0!</v>
      </c>
      <c r="AM461" s="4" t="e">
        <f ca="1">SQRT($B$9)*_xlfn.STDEV.S(AI461:OFFSET(AI461,$B$8-1,0))</f>
        <v>#DIV/0!</v>
      </c>
    </row>
    <row r="462" spans="5:39" x14ac:dyDescent="0.2">
      <c r="E462" s="42">
        <v>44974</v>
      </c>
      <c r="F462" s="43"/>
      <c r="G462" s="43"/>
      <c r="H462" s="43"/>
      <c r="I462" s="43"/>
      <c r="K462" s="3" t="e">
        <f t="shared" si="44"/>
        <v>#DIV/0!</v>
      </c>
      <c r="L462" s="3" t="e">
        <f ca="1">SQRT(AVERAGE(K462:OFFSET(K462,$B$5-1,0))*$B$9/(4*LN(2)))</f>
        <v>#DIV/0!</v>
      </c>
      <c r="M462" s="3" t="e">
        <f ca="1">SQRT(AVERAGE(K462:OFFSET(K462,$B$6-1,0))*$B$9/(4*LN(2)))</f>
        <v>#DIV/0!</v>
      </c>
      <c r="N462" s="3" t="e">
        <f ca="1">SQRT(AVERAGE(K462:OFFSET(K462,$B$7-1,0))*$B$9/(4*LN(2)))</f>
        <v>#DIV/0!</v>
      </c>
      <c r="O462" s="3" t="e">
        <f ca="1">SQRT(AVERAGE(K462:OFFSET(K462,$B$8-1,0))*$B$9/(4*LN(2)))</f>
        <v>#DIV/0!</v>
      </c>
      <c r="Q462" s="5" t="e">
        <f t="shared" si="43"/>
        <v>#DIV/0!</v>
      </c>
      <c r="R462" s="5" t="e">
        <f ca="1">SQRT($B$9*AVERAGE((Q462:OFFSET(Q462,$B$5-1,0))))</f>
        <v>#DIV/0!</v>
      </c>
      <c r="S462" s="5" t="e">
        <f ca="1">SQRT($B$9*AVERAGE((Q462:OFFSET(Q462,$B$6-1,0))))</f>
        <v>#DIV/0!</v>
      </c>
      <c r="T462" s="5" t="e">
        <f ca="1">SQRT($B$9*AVERAGE((Q462:OFFSET(Q462,$B$7-1,0))))</f>
        <v>#DIV/0!</v>
      </c>
      <c r="U462" s="5" t="e">
        <f ca="1">SQRT($B$9*AVERAGE((Q462:OFFSET(Q462,$B$8-1,0))))</f>
        <v>#DIV/0!</v>
      </c>
      <c r="W462" s="6" t="e">
        <f t="shared" si="42"/>
        <v>#DIV/0!</v>
      </c>
      <c r="X462" s="6" t="e">
        <f ca="1">SQRT($B$9*AVERAGE(W462:OFFSET(W462,$B$5-1,0)))</f>
        <v>#DIV/0!</v>
      </c>
      <c r="Y462" s="6" t="e">
        <f ca="1">SQRT($B$9*AVERAGE(W462:OFFSET(W462,$B$6-1,0)))</f>
        <v>#DIV/0!</v>
      </c>
      <c r="Z462" s="6" t="e">
        <f ca="1">SQRT($B$9*AVERAGE(W462:OFFSET(W462,$B$7-1,0)))</f>
        <v>#DIV/0!</v>
      </c>
      <c r="AA462" s="6" t="e">
        <f ca="1">SQRT($B$9*AVERAGE(W462:OFFSET(W462,$B$8-1,0)))</f>
        <v>#DIV/0!</v>
      </c>
      <c r="AC462" s="34" t="e">
        <f t="shared" si="40"/>
        <v>#DIV/0!</v>
      </c>
      <c r="AD462" s="34" t="e">
        <f ca="1">SQRT($B$9*SUM(AC462:OFFSET(AC462,$B$5-1,0))/($B$5-1))</f>
        <v>#DIV/0!</v>
      </c>
      <c r="AE462" s="34" t="e">
        <f ca="1">SQRT($B$9*SUM(AC462:OFFSET(AC462,$B$6-1,0))/($B$6-1))</f>
        <v>#DIV/0!</v>
      </c>
      <c r="AF462" s="34" t="e">
        <f ca="1">SQRT($B$9*SUM(AC462:OFFSET(AC462,$B$7-1,0))/($B$7-1))</f>
        <v>#DIV/0!</v>
      </c>
      <c r="AG462" s="34" t="e">
        <f ca="1">SQRT($B$9*SUM(AC462:OFFSET(AC462,$B$8-1,0))/($B$8-1))</f>
        <v>#DIV/0!</v>
      </c>
      <c r="AI462" s="1" t="e">
        <f t="shared" si="41"/>
        <v>#DIV/0!</v>
      </c>
      <c r="AJ462" s="4" t="e">
        <f ca="1">SQRT($B$9)*_xlfn.STDEV.S(AI462:OFFSET(AI462,$B$5-1,0))</f>
        <v>#DIV/0!</v>
      </c>
      <c r="AK462" s="4" t="e">
        <f ca="1">SQRT($B$9)*_xlfn.STDEV.S(AI462:OFFSET(AI462,$B$6-1,0))</f>
        <v>#DIV/0!</v>
      </c>
      <c r="AL462" s="4" t="e">
        <f ca="1">SQRT($B$9)*_xlfn.STDEV.S(AI462:OFFSET(AI462,$B$7-1,0))</f>
        <v>#DIV/0!</v>
      </c>
      <c r="AM462" s="4" t="e">
        <f ca="1">SQRT($B$9)*_xlfn.STDEV.S(AI462:OFFSET(AI462,$B$8-1,0))</f>
        <v>#DIV/0!</v>
      </c>
    </row>
    <row r="463" spans="5:39" x14ac:dyDescent="0.2">
      <c r="E463" s="42">
        <v>44973</v>
      </c>
      <c r="F463" s="43"/>
      <c r="G463" s="43"/>
      <c r="H463" s="43"/>
      <c r="I463" s="43"/>
      <c r="K463" s="3" t="e">
        <f t="shared" si="44"/>
        <v>#DIV/0!</v>
      </c>
      <c r="L463" s="3" t="e">
        <f ca="1">SQRT(AVERAGE(K463:OFFSET(K463,$B$5-1,0))*$B$9/(4*LN(2)))</f>
        <v>#DIV/0!</v>
      </c>
      <c r="M463" s="3" t="e">
        <f ca="1">SQRT(AVERAGE(K463:OFFSET(K463,$B$6-1,0))*$B$9/(4*LN(2)))</f>
        <v>#DIV/0!</v>
      </c>
      <c r="N463" s="3" t="e">
        <f ca="1">SQRT(AVERAGE(K463:OFFSET(K463,$B$7-1,0))*$B$9/(4*LN(2)))</f>
        <v>#DIV/0!</v>
      </c>
      <c r="O463" s="3" t="e">
        <f ca="1">SQRT(AVERAGE(K463:OFFSET(K463,$B$8-1,0))*$B$9/(4*LN(2)))</f>
        <v>#DIV/0!</v>
      </c>
      <c r="Q463" s="5" t="e">
        <f t="shared" si="43"/>
        <v>#DIV/0!</v>
      </c>
      <c r="R463" s="5" t="e">
        <f ca="1">SQRT($B$9*AVERAGE((Q463:OFFSET(Q463,$B$5-1,0))))</f>
        <v>#DIV/0!</v>
      </c>
      <c r="S463" s="5" t="e">
        <f ca="1">SQRT($B$9*AVERAGE((Q463:OFFSET(Q463,$B$6-1,0))))</f>
        <v>#DIV/0!</v>
      </c>
      <c r="T463" s="5" t="e">
        <f ca="1">SQRT($B$9*AVERAGE((Q463:OFFSET(Q463,$B$7-1,0))))</f>
        <v>#DIV/0!</v>
      </c>
      <c r="U463" s="5" t="e">
        <f ca="1">SQRT($B$9*AVERAGE((Q463:OFFSET(Q463,$B$8-1,0))))</f>
        <v>#DIV/0!</v>
      </c>
      <c r="W463" s="6" t="e">
        <f t="shared" si="42"/>
        <v>#DIV/0!</v>
      </c>
      <c r="X463" s="6" t="e">
        <f ca="1">SQRT($B$9*AVERAGE(W463:OFFSET(W463,$B$5-1,0)))</f>
        <v>#DIV/0!</v>
      </c>
      <c r="Y463" s="6" t="e">
        <f ca="1">SQRT($B$9*AVERAGE(W463:OFFSET(W463,$B$6-1,0)))</f>
        <v>#DIV/0!</v>
      </c>
      <c r="Z463" s="6" t="e">
        <f ca="1">SQRT($B$9*AVERAGE(W463:OFFSET(W463,$B$7-1,0)))</f>
        <v>#DIV/0!</v>
      </c>
      <c r="AA463" s="6" t="e">
        <f ca="1">SQRT($B$9*AVERAGE(W463:OFFSET(W463,$B$8-1,0)))</f>
        <v>#DIV/0!</v>
      </c>
      <c r="AC463" s="34" t="e">
        <f t="shared" si="40"/>
        <v>#DIV/0!</v>
      </c>
      <c r="AD463" s="34" t="e">
        <f ca="1">SQRT($B$9*SUM(AC463:OFFSET(AC463,$B$5-1,0))/($B$5-1))</f>
        <v>#DIV/0!</v>
      </c>
      <c r="AE463" s="34" t="e">
        <f ca="1">SQRT($B$9*SUM(AC463:OFFSET(AC463,$B$6-1,0))/($B$6-1))</f>
        <v>#DIV/0!</v>
      </c>
      <c r="AF463" s="34" t="e">
        <f ca="1">SQRT($B$9*SUM(AC463:OFFSET(AC463,$B$7-1,0))/($B$7-1))</f>
        <v>#DIV/0!</v>
      </c>
      <c r="AG463" s="34" t="e">
        <f ca="1">SQRT($B$9*SUM(AC463:OFFSET(AC463,$B$8-1,0))/($B$8-1))</f>
        <v>#DIV/0!</v>
      </c>
      <c r="AI463" s="1" t="e">
        <f t="shared" si="41"/>
        <v>#DIV/0!</v>
      </c>
      <c r="AJ463" s="4" t="e">
        <f ca="1">SQRT($B$9)*_xlfn.STDEV.S(AI463:OFFSET(AI463,$B$5-1,0))</f>
        <v>#DIV/0!</v>
      </c>
      <c r="AK463" s="4" t="e">
        <f ca="1">SQRT($B$9)*_xlfn.STDEV.S(AI463:OFFSET(AI463,$B$6-1,0))</f>
        <v>#DIV/0!</v>
      </c>
      <c r="AL463" s="4" t="e">
        <f ca="1">SQRT($B$9)*_xlfn.STDEV.S(AI463:OFFSET(AI463,$B$7-1,0))</f>
        <v>#DIV/0!</v>
      </c>
      <c r="AM463" s="4" t="e">
        <f ca="1">SQRT($B$9)*_xlfn.STDEV.S(AI463:OFFSET(AI463,$B$8-1,0))</f>
        <v>#DIV/0!</v>
      </c>
    </row>
    <row r="464" spans="5:39" x14ac:dyDescent="0.2">
      <c r="E464" s="42">
        <v>44972</v>
      </c>
      <c r="F464" s="43"/>
      <c r="G464" s="43"/>
      <c r="H464" s="43"/>
      <c r="I464" s="43"/>
      <c r="K464" s="3" t="e">
        <f t="shared" si="44"/>
        <v>#DIV/0!</v>
      </c>
      <c r="L464" s="3" t="e">
        <f ca="1">SQRT(AVERAGE(K464:OFFSET(K464,$B$5-1,0))*$B$9/(4*LN(2)))</f>
        <v>#DIV/0!</v>
      </c>
      <c r="M464" s="3" t="e">
        <f ca="1">SQRT(AVERAGE(K464:OFFSET(K464,$B$6-1,0))*$B$9/(4*LN(2)))</f>
        <v>#DIV/0!</v>
      </c>
      <c r="N464" s="3" t="e">
        <f ca="1">SQRT(AVERAGE(K464:OFFSET(K464,$B$7-1,0))*$B$9/(4*LN(2)))</f>
        <v>#DIV/0!</v>
      </c>
      <c r="O464" s="3" t="e">
        <f ca="1">SQRT(AVERAGE(K464:OFFSET(K464,$B$8-1,0))*$B$9/(4*LN(2)))</f>
        <v>#DIV/0!</v>
      </c>
      <c r="Q464" s="5" t="e">
        <f t="shared" si="43"/>
        <v>#DIV/0!</v>
      </c>
      <c r="R464" s="5" t="e">
        <f ca="1">SQRT($B$9*AVERAGE((Q464:OFFSET(Q464,$B$5-1,0))))</f>
        <v>#DIV/0!</v>
      </c>
      <c r="S464" s="5" t="e">
        <f ca="1">SQRT($B$9*AVERAGE((Q464:OFFSET(Q464,$B$6-1,0))))</f>
        <v>#DIV/0!</v>
      </c>
      <c r="T464" s="5" t="e">
        <f ca="1">SQRT($B$9*AVERAGE((Q464:OFFSET(Q464,$B$7-1,0))))</f>
        <v>#DIV/0!</v>
      </c>
      <c r="U464" s="5" t="e">
        <f ca="1">SQRT($B$9*AVERAGE((Q464:OFFSET(Q464,$B$8-1,0))))</f>
        <v>#DIV/0!</v>
      </c>
      <c r="W464" s="6" t="e">
        <f t="shared" si="42"/>
        <v>#DIV/0!</v>
      </c>
      <c r="X464" s="6" t="e">
        <f ca="1">SQRT($B$9*AVERAGE(W464:OFFSET(W464,$B$5-1,0)))</f>
        <v>#DIV/0!</v>
      </c>
      <c r="Y464" s="6" t="e">
        <f ca="1">SQRT($B$9*AVERAGE(W464:OFFSET(W464,$B$6-1,0)))</f>
        <v>#DIV/0!</v>
      </c>
      <c r="Z464" s="6" t="e">
        <f ca="1">SQRT($B$9*AVERAGE(W464:OFFSET(W464,$B$7-1,0)))</f>
        <v>#DIV/0!</v>
      </c>
      <c r="AA464" s="6" t="e">
        <f ca="1">SQRT($B$9*AVERAGE(W464:OFFSET(W464,$B$8-1,0)))</f>
        <v>#DIV/0!</v>
      </c>
      <c r="AC464" s="34" t="e">
        <f t="shared" si="40"/>
        <v>#DIV/0!</v>
      </c>
      <c r="AD464" s="34" t="e">
        <f ca="1">SQRT($B$9*SUM(AC464:OFFSET(AC464,$B$5-1,0))/($B$5-1))</f>
        <v>#DIV/0!</v>
      </c>
      <c r="AE464" s="34" t="e">
        <f ca="1">SQRT($B$9*SUM(AC464:OFFSET(AC464,$B$6-1,0))/($B$6-1))</f>
        <v>#DIV/0!</v>
      </c>
      <c r="AF464" s="34" t="e">
        <f ca="1">SQRT($B$9*SUM(AC464:OFFSET(AC464,$B$7-1,0))/($B$7-1))</f>
        <v>#DIV/0!</v>
      </c>
      <c r="AG464" s="34" t="e">
        <f ca="1">SQRT($B$9*SUM(AC464:OFFSET(AC464,$B$8-1,0))/($B$8-1))</f>
        <v>#DIV/0!</v>
      </c>
      <c r="AI464" s="1" t="e">
        <f t="shared" si="41"/>
        <v>#DIV/0!</v>
      </c>
      <c r="AJ464" s="4" t="e">
        <f ca="1">SQRT($B$9)*_xlfn.STDEV.S(AI464:OFFSET(AI464,$B$5-1,0))</f>
        <v>#DIV/0!</v>
      </c>
      <c r="AK464" s="4" t="e">
        <f ca="1">SQRT($B$9)*_xlfn.STDEV.S(AI464:OFFSET(AI464,$B$6-1,0))</f>
        <v>#DIV/0!</v>
      </c>
      <c r="AL464" s="4" t="e">
        <f ca="1">SQRT($B$9)*_xlfn.STDEV.S(AI464:OFFSET(AI464,$B$7-1,0))</f>
        <v>#DIV/0!</v>
      </c>
      <c r="AM464" s="4" t="e">
        <f ca="1">SQRT($B$9)*_xlfn.STDEV.S(AI464:OFFSET(AI464,$B$8-1,0))</f>
        <v>#DIV/0!</v>
      </c>
    </row>
    <row r="465" spans="5:39" x14ac:dyDescent="0.2">
      <c r="E465" s="42">
        <v>44971</v>
      </c>
      <c r="F465" s="43"/>
      <c r="G465" s="43"/>
      <c r="H465" s="43"/>
      <c r="I465" s="43"/>
      <c r="K465" s="3" t="e">
        <f t="shared" si="44"/>
        <v>#DIV/0!</v>
      </c>
      <c r="L465" s="3" t="e">
        <f ca="1">SQRT(AVERAGE(K465:OFFSET(K465,$B$5-1,0))*$B$9/(4*LN(2)))</f>
        <v>#DIV/0!</v>
      </c>
      <c r="M465" s="3" t="e">
        <f ca="1">SQRT(AVERAGE(K465:OFFSET(K465,$B$6-1,0))*$B$9/(4*LN(2)))</f>
        <v>#DIV/0!</v>
      </c>
      <c r="N465" s="3" t="e">
        <f ca="1">SQRT(AVERAGE(K465:OFFSET(K465,$B$7-1,0))*$B$9/(4*LN(2)))</f>
        <v>#DIV/0!</v>
      </c>
      <c r="O465" s="3" t="e">
        <f ca="1">SQRT(AVERAGE(K465:OFFSET(K465,$B$8-1,0))*$B$9/(4*LN(2)))</f>
        <v>#DIV/0!</v>
      </c>
      <c r="Q465" s="5" t="e">
        <f t="shared" si="43"/>
        <v>#DIV/0!</v>
      </c>
      <c r="R465" s="5" t="e">
        <f ca="1">SQRT($B$9*AVERAGE((Q465:OFFSET(Q465,$B$5-1,0))))</f>
        <v>#DIV/0!</v>
      </c>
      <c r="S465" s="5" t="e">
        <f ca="1">SQRT($B$9*AVERAGE((Q465:OFFSET(Q465,$B$6-1,0))))</f>
        <v>#DIV/0!</v>
      </c>
      <c r="T465" s="5" t="e">
        <f ca="1">SQRT($B$9*AVERAGE((Q465:OFFSET(Q465,$B$7-1,0))))</f>
        <v>#DIV/0!</v>
      </c>
      <c r="U465" s="5" t="e">
        <f ca="1">SQRT($B$9*AVERAGE((Q465:OFFSET(Q465,$B$8-1,0))))</f>
        <v>#DIV/0!</v>
      </c>
      <c r="W465" s="6" t="e">
        <f t="shared" si="42"/>
        <v>#DIV/0!</v>
      </c>
      <c r="X465" s="6" t="e">
        <f ca="1">SQRT($B$9*AVERAGE(W465:OFFSET(W465,$B$5-1,0)))</f>
        <v>#DIV/0!</v>
      </c>
      <c r="Y465" s="6" t="e">
        <f ca="1">SQRT($B$9*AVERAGE(W465:OFFSET(W465,$B$6-1,0)))</f>
        <v>#DIV/0!</v>
      </c>
      <c r="Z465" s="6" t="e">
        <f ca="1">SQRT($B$9*AVERAGE(W465:OFFSET(W465,$B$7-1,0)))</f>
        <v>#DIV/0!</v>
      </c>
      <c r="AA465" s="6" t="e">
        <f ca="1">SQRT($B$9*AVERAGE(W465:OFFSET(W465,$B$8-1,0)))</f>
        <v>#DIV/0!</v>
      </c>
      <c r="AC465" s="34" t="e">
        <f t="shared" ref="AC465:AC528" si="45">(LN(I465/I466))^2</f>
        <v>#DIV/0!</v>
      </c>
      <c r="AD465" s="34" t="e">
        <f ca="1">SQRT($B$9*SUM(AC465:OFFSET(AC465,$B$5-1,0))/($B$5-1))</f>
        <v>#DIV/0!</v>
      </c>
      <c r="AE465" s="34" t="e">
        <f ca="1">SQRT($B$9*SUM(AC465:OFFSET(AC465,$B$6-1,0))/($B$6-1))</f>
        <v>#DIV/0!</v>
      </c>
      <c r="AF465" s="34" t="e">
        <f ca="1">SQRT($B$9*SUM(AC465:OFFSET(AC465,$B$7-1,0))/($B$7-1))</f>
        <v>#DIV/0!</v>
      </c>
      <c r="AG465" s="34" t="e">
        <f ca="1">SQRT($B$9*SUM(AC465:OFFSET(AC465,$B$8-1,0))/($B$8-1))</f>
        <v>#DIV/0!</v>
      </c>
      <c r="AI465" s="1" t="e">
        <f t="shared" si="41"/>
        <v>#DIV/0!</v>
      </c>
      <c r="AJ465" s="4" t="e">
        <f ca="1">SQRT($B$9)*_xlfn.STDEV.S(AI465:OFFSET(AI465,$B$5-1,0))</f>
        <v>#DIV/0!</v>
      </c>
      <c r="AK465" s="4" t="e">
        <f ca="1">SQRT($B$9)*_xlfn.STDEV.S(AI465:OFFSET(AI465,$B$6-1,0))</f>
        <v>#DIV/0!</v>
      </c>
      <c r="AL465" s="4" t="e">
        <f ca="1">SQRT($B$9)*_xlfn.STDEV.S(AI465:OFFSET(AI465,$B$7-1,0))</f>
        <v>#DIV/0!</v>
      </c>
      <c r="AM465" s="4" t="e">
        <f ca="1">SQRT($B$9)*_xlfn.STDEV.S(AI465:OFFSET(AI465,$B$8-1,0))</f>
        <v>#DIV/0!</v>
      </c>
    </row>
    <row r="466" spans="5:39" x14ac:dyDescent="0.2">
      <c r="E466" s="42">
        <v>44970</v>
      </c>
      <c r="F466" s="43"/>
      <c r="G466" s="43"/>
      <c r="H466" s="43"/>
      <c r="I466" s="43"/>
      <c r="K466" s="3" t="e">
        <f t="shared" si="44"/>
        <v>#DIV/0!</v>
      </c>
      <c r="L466" s="3" t="e">
        <f ca="1">SQRT(AVERAGE(K466:OFFSET(K466,$B$5-1,0))*$B$9/(4*LN(2)))</f>
        <v>#DIV/0!</v>
      </c>
      <c r="M466" s="3" t="e">
        <f ca="1">SQRT(AVERAGE(K466:OFFSET(K466,$B$6-1,0))*$B$9/(4*LN(2)))</f>
        <v>#DIV/0!</v>
      </c>
      <c r="N466" s="3" t="e">
        <f ca="1">SQRT(AVERAGE(K466:OFFSET(K466,$B$7-1,0))*$B$9/(4*LN(2)))</f>
        <v>#DIV/0!</v>
      </c>
      <c r="O466" s="3" t="e">
        <f ca="1">SQRT(AVERAGE(K466:OFFSET(K466,$B$8-1,0))*$B$9/(4*LN(2)))</f>
        <v>#DIV/0!</v>
      </c>
      <c r="Q466" s="5" t="e">
        <f t="shared" si="43"/>
        <v>#DIV/0!</v>
      </c>
      <c r="R466" s="5" t="e">
        <f ca="1">SQRT($B$9*AVERAGE((Q466:OFFSET(Q466,$B$5-1,0))))</f>
        <v>#DIV/0!</v>
      </c>
      <c r="S466" s="5" t="e">
        <f ca="1">SQRT($B$9*AVERAGE((Q466:OFFSET(Q466,$B$6-1,0))))</f>
        <v>#DIV/0!</v>
      </c>
      <c r="T466" s="5" t="e">
        <f ca="1">SQRT($B$9*AVERAGE((Q466:OFFSET(Q466,$B$7-1,0))))</f>
        <v>#DIV/0!</v>
      </c>
      <c r="U466" s="5" t="e">
        <f ca="1">SQRT($B$9*AVERAGE((Q466:OFFSET(Q466,$B$8-1,0))))</f>
        <v>#DIV/0!</v>
      </c>
      <c r="W466" s="6" t="e">
        <f t="shared" si="42"/>
        <v>#DIV/0!</v>
      </c>
      <c r="X466" s="6" t="e">
        <f ca="1">SQRT($B$9*AVERAGE(W466:OFFSET(W466,$B$5-1,0)))</f>
        <v>#DIV/0!</v>
      </c>
      <c r="Y466" s="6" t="e">
        <f ca="1">SQRT($B$9*AVERAGE(W466:OFFSET(W466,$B$6-1,0)))</f>
        <v>#DIV/0!</v>
      </c>
      <c r="Z466" s="6" t="e">
        <f ca="1">SQRT($B$9*AVERAGE(W466:OFFSET(W466,$B$7-1,0)))</f>
        <v>#DIV/0!</v>
      </c>
      <c r="AA466" s="6" t="e">
        <f ca="1">SQRT($B$9*AVERAGE(W466:OFFSET(W466,$B$8-1,0)))</f>
        <v>#DIV/0!</v>
      </c>
      <c r="AC466" s="34" t="e">
        <f t="shared" si="45"/>
        <v>#DIV/0!</v>
      </c>
      <c r="AD466" s="34" t="e">
        <f ca="1">SQRT($B$9*SUM(AC466:OFFSET(AC466,$B$5-1,0))/($B$5-1))</f>
        <v>#DIV/0!</v>
      </c>
      <c r="AE466" s="34" t="e">
        <f ca="1">SQRT($B$9*SUM(AC466:OFFSET(AC466,$B$6-1,0))/($B$6-1))</f>
        <v>#DIV/0!</v>
      </c>
      <c r="AF466" s="34" t="e">
        <f ca="1">SQRT($B$9*SUM(AC466:OFFSET(AC466,$B$7-1,0))/($B$7-1))</f>
        <v>#DIV/0!</v>
      </c>
      <c r="AG466" s="34" t="e">
        <f ca="1">SQRT($B$9*SUM(AC466:OFFSET(AC466,$B$8-1,0))/($B$8-1))</f>
        <v>#DIV/0!</v>
      </c>
      <c r="AI466" s="1" t="e">
        <f t="shared" si="41"/>
        <v>#DIV/0!</v>
      </c>
      <c r="AJ466" s="4" t="e">
        <f ca="1">SQRT($B$9)*_xlfn.STDEV.S(AI466:OFFSET(AI466,$B$5-1,0))</f>
        <v>#DIV/0!</v>
      </c>
      <c r="AK466" s="4" t="e">
        <f ca="1">SQRT($B$9)*_xlfn.STDEV.S(AI466:OFFSET(AI466,$B$6-1,0))</f>
        <v>#DIV/0!</v>
      </c>
      <c r="AL466" s="4" t="e">
        <f ca="1">SQRT($B$9)*_xlfn.STDEV.S(AI466:OFFSET(AI466,$B$7-1,0))</f>
        <v>#DIV/0!</v>
      </c>
      <c r="AM466" s="4" t="e">
        <f ca="1">SQRT($B$9)*_xlfn.STDEV.S(AI466:OFFSET(AI466,$B$8-1,0))</f>
        <v>#DIV/0!</v>
      </c>
    </row>
    <row r="467" spans="5:39" x14ac:dyDescent="0.2">
      <c r="E467" s="42">
        <v>44967</v>
      </c>
      <c r="F467" s="43"/>
      <c r="G467" s="43"/>
      <c r="H467" s="43"/>
      <c r="I467" s="43"/>
      <c r="K467" s="3" t="e">
        <f t="shared" si="44"/>
        <v>#DIV/0!</v>
      </c>
      <c r="L467" s="3" t="e">
        <f ca="1">SQRT(AVERAGE(K467:OFFSET(K467,$B$5-1,0))*$B$9/(4*LN(2)))</f>
        <v>#DIV/0!</v>
      </c>
      <c r="M467" s="3" t="e">
        <f ca="1">SQRT(AVERAGE(K467:OFFSET(K467,$B$6-1,0))*$B$9/(4*LN(2)))</f>
        <v>#DIV/0!</v>
      </c>
      <c r="N467" s="3" t="e">
        <f ca="1">SQRT(AVERAGE(K467:OFFSET(K467,$B$7-1,0))*$B$9/(4*LN(2)))</f>
        <v>#DIV/0!</v>
      </c>
      <c r="O467" s="3" t="e">
        <f ca="1">SQRT(AVERAGE(K467:OFFSET(K467,$B$8-1,0))*$B$9/(4*LN(2)))</f>
        <v>#DIV/0!</v>
      </c>
      <c r="Q467" s="5" t="e">
        <f t="shared" si="43"/>
        <v>#DIV/0!</v>
      </c>
      <c r="R467" s="5" t="e">
        <f ca="1">SQRT($B$9*AVERAGE((Q467:OFFSET(Q467,$B$5-1,0))))</f>
        <v>#DIV/0!</v>
      </c>
      <c r="S467" s="5" t="e">
        <f ca="1">SQRT($B$9*AVERAGE((Q467:OFFSET(Q467,$B$6-1,0))))</f>
        <v>#DIV/0!</v>
      </c>
      <c r="T467" s="5" t="e">
        <f ca="1">SQRT($B$9*AVERAGE((Q467:OFFSET(Q467,$B$7-1,0))))</f>
        <v>#DIV/0!</v>
      </c>
      <c r="U467" s="5" t="e">
        <f ca="1">SQRT($B$9*AVERAGE((Q467:OFFSET(Q467,$B$8-1,0))))</f>
        <v>#DIV/0!</v>
      </c>
      <c r="W467" s="6" t="e">
        <f t="shared" si="42"/>
        <v>#DIV/0!</v>
      </c>
      <c r="X467" s="6" t="e">
        <f ca="1">SQRT($B$9*AVERAGE(W467:OFFSET(W467,$B$5-1,0)))</f>
        <v>#DIV/0!</v>
      </c>
      <c r="Y467" s="6" t="e">
        <f ca="1">SQRT($B$9*AVERAGE(W467:OFFSET(W467,$B$6-1,0)))</f>
        <v>#DIV/0!</v>
      </c>
      <c r="Z467" s="6" t="e">
        <f ca="1">SQRT($B$9*AVERAGE(W467:OFFSET(W467,$B$7-1,0)))</f>
        <v>#DIV/0!</v>
      </c>
      <c r="AA467" s="6" t="e">
        <f ca="1">SQRT($B$9*AVERAGE(W467:OFFSET(W467,$B$8-1,0)))</f>
        <v>#DIV/0!</v>
      </c>
      <c r="AC467" s="34" t="e">
        <f t="shared" si="45"/>
        <v>#DIV/0!</v>
      </c>
      <c r="AD467" s="34" t="e">
        <f ca="1">SQRT($B$9*SUM(AC467:OFFSET(AC467,$B$5-1,0))/($B$5-1))</f>
        <v>#DIV/0!</v>
      </c>
      <c r="AE467" s="34" t="e">
        <f ca="1">SQRT($B$9*SUM(AC467:OFFSET(AC467,$B$6-1,0))/($B$6-1))</f>
        <v>#DIV/0!</v>
      </c>
      <c r="AF467" s="34" t="e">
        <f ca="1">SQRT($B$9*SUM(AC467:OFFSET(AC467,$B$7-1,0))/($B$7-1))</f>
        <v>#DIV/0!</v>
      </c>
      <c r="AG467" s="34" t="e">
        <f ca="1">SQRT($B$9*SUM(AC467:OFFSET(AC467,$B$8-1,0))/($B$8-1))</f>
        <v>#DIV/0!</v>
      </c>
      <c r="AI467" s="1" t="e">
        <f t="shared" ref="AI467:AI530" si="46">LN(I467/I468)</f>
        <v>#DIV/0!</v>
      </c>
      <c r="AJ467" s="4" t="e">
        <f ca="1">SQRT($B$9)*_xlfn.STDEV.S(AI467:OFFSET(AI467,$B$5-1,0))</f>
        <v>#DIV/0!</v>
      </c>
      <c r="AK467" s="4" t="e">
        <f ca="1">SQRT($B$9)*_xlfn.STDEV.S(AI467:OFFSET(AI467,$B$6-1,0))</f>
        <v>#DIV/0!</v>
      </c>
      <c r="AL467" s="4" t="e">
        <f ca="1">SQRT($B$9)*_xlfn.STDEV.S(AI467:OFFSET(AI467,$B$7-1,0))</f>
        <v>#DIV/0!</v>
      </c>
      <c r="AM467" s="4" t="e">
        <f ca="1">SQRT($B$9)*_xlfn.STDEV.S(AI467:OFFSET(AI467,$B$8-1,0))</f>
        <v>#DIV/0!</v>
      </c>
    </row>
    <row r="468" spans="5:39" x14ac:dyDescent="0.2">
      <c r="E468" s="42">
        <v>44966</v>
      </c>
      <c r="F468" s="43"/>
      <c r="G468" s="43"/>
      <c r="H468" s="43"/>
      <c r="I468" s="43"/>
      <c r="K468" s="3" t="e">
        <f t="shared" si="44"/>
        <v>#DIV/0!</v>
      </c>
      <c r="L468" s="3" t="e">
        <f ca="1">SQRT(AVERAGE(K468:OFFSET(K468,$B$5-1,0))*$B$9/(4*LN(2)))</f>
        <v>#DIV/0!</v>
      </c>
      <c r="M468" s="3" t="e">
        <f ca="1">SQRT(AVERAGE(K468:OFFSET(K468,$B$6-1,0))*$B$9/(4*LN(2)))</f>
        <v>#DIV/0!</v>
      </c>
      <c r="N468" s="3" t="e">
        <f ca="1">SQRT(AVERAGE(K468:OFFSET(K468,$B$7-1,0))*$B$9/(4*LN(2)))</f>
        <v>#DIV/0!</v>
      </c>
      <c r="O468" s="3" t="e">
        <f ca="1">SQRT(AVERAGE(K468:OFFSET(K468,$B$8-1,0))*$B$9/(4*LN(2)))</f>
        <v>#DIV/0!</v>
      </c>
      <c r="Q468" s="5" t="e">
        <f t="shared" si="43"/>
        <v>#DIV/0!</v>
      </c>
      <c r="R468" s="5" t="e">
        <f ca="1">SQRT($B$9*AVERAGE((Q468:OFFSET(Q468,$B$5-1,0))))</f>
        <v>#DIV/0!</v>
      </c>
      <c r="S468" s="5" t="e">
        <f ca="1">SQRT($B$9*AVERAGE((Q468:OFFSET(Q468,$B$6-1,0))))</f>
        <v>#DIV/0!</v>
      </c>
      <c r="T468" s="5" t="e">
        <f ca="1">SQRT($B$9*AVERAGE((Q468:OFFSET(Q468,$B$7-1,0))))</f>
        <v>#DIV/0!</v>
      </c>
      <c r="U468" s="5" t="e">
        <f ca="1">SQRT($B$9*AVERAGE((Q468:OFFSET(Q468,$B$8-1,0))))</f>
        <v>#DIV/0!</v>
      </c>
      <c r="W468" s="6" t="e">
        <f t="shared" si="42"/>
        <v>#DIV/0!</v>
      </c>
      <c r="X468" s="6" t="e">
        <f ca="1">SQRT($B$9*AVERAGE(W468:OFFSET(W468,$B$5-1,0)))</f>
        <v>#DIV/0!</v>
      </c>
      <c r="Y468" s="6" t="e">
        <f ca="1">SQRT($B$9*AVERAGE(W468:OFFSET(W468,$B$6-1,0)))</f>
        <v>#DIV/0!</v>
      </c>
      <c r="Z468" s="6" t="e">
        <f ca="1">SQRT($B$9*AVERAGE(W468:OFFSET(W468,$B$7-1,0)))</f>
        <v>#DIV/0!</v>
      </c>
      <c r="AA468" s="6" t="e">
        <f ca="1">SQRT($B$9*AVERAGE(W468:OFFSET(W468,$B$8-1,0)))</f>
        <v>#DIV/0!</v>
      </c>
      <c r="AC468" s="34" t="e">
        <f t="shared" si="45"/>
        <v>#DIV/0!</v>
      </c>
      <c r="AD468" s="34" t="e">
        <f ca="1">SQRT($B$9*SUM(AC468:OFFSET(AC468,$B$5-1,0))/($B$5-1))</f>
        <v>#DIV/0!</v>
      </c>
      <c r="AE468" s="34" t="e">
        <f ca="1">SQRT($B$9*SUM(AC468:OFFSET(AC468,$B$6-1,0))/($B$6-1))</f>
        <v>#DIV/0!</v>
      </c>
      <c r="AF468" s="34" t="e">
        <f ca="1">SQRT($B$9*SUM(AC468:OFFSET(AC468,$B$7-1,0))/($B$7-1))</f>
        <v>#DIV/0!</v>
      </c>
      <c r="AG468" s="34" t="e">
        <f ca="1">SQRT($B$9*SUM(AC468:OFFSET(AC468,$B$8-1,0))/($B$8-1))</f>
        <v>#DIV/0!</v>
      </c>
      <c r="AI468" s="1" t="e">
        <f t="shared" si="46"/>
        <v>#DIV/0!</v>
      </c>
      <c r="AJ468" s="4" t="e">
        <f ca="1">SQRT($B$9)*_xlfn.STDEV.S(AI468:OFFSET(AI468,$B$5-1,0))</f>
        <v>#DIV/0!</v>
      </c>
      <c r="AK468" s="4" t="e">
        <f ca="1">SQRT($B$9)*_xlfn.STDEV.S(AI468:OFFSET(AI468,$B$6-1,0))</f>
        <v>#DIV/0!</v>
      </c>
      <c r="AL468" s="4" t="e">
        <f ca="1">SQRT($B$9)*_xlfn.STDEV.S(AI468:OFFSET(AI468,$B$7-1,0))</f>
        <v>#DIV/0!</v>
      </c>
      <c r="AM468" s="4" t="e">
        <f ca="1">SQRT($B$9)*_xlfn.STDEV.S(AI468:OFFSET(AI468,$B$8-1,0))</f>
        <v>#DIV/0!</v>
      </c>
    </row>
    <row r="469" spans="5:39" x14ac:dyDescent="0.2">
      <c r="E469" s="42">
        <v>44965</v>
      </c>
      <c r="F469" s="43"/>
      <c r="G469" s="43"/>
      <c r="H469" s="43"/>
      <c r="I469" s="43"/>
      <c r="K469" s="3" t="e">
        <f t="shared" si="44"/>
        <v>#DIV/0!</v>
      </c>
      <c r="L469" s="3" t="e">
        <f ca="1">SQRT(AVERAGE(K469:OFFSET(K469,$B$5-1,0))*$B$9/(4*LN(2)))</f>
        <v>#DIV/0!</v>
      </c>
      <c r="M469" s="3" t="e">
        <f ca="1">SQRT(AVERAGE(K469:OFFSET(K469,$B$6-1,0))*$B$9/(4*LN(2)))</f>
        <v>#DIV/0!</v>
      </c>
      <c r="N469" s="3" t="e">
        <f ca="1">SQRT(AVERAGE(K469:OFFSET(K469,$B$7-1,0))*$B$9/(4*LN(2)))</f>
        <v>#DIV/0!</v>
      </c>
      <c r="O469" s="3" t="e">
        <f ca="1">SQRT(AVERAGE(K469:OFFSET(K469,$B$8-1,0))*$B$9/(4*LN(2)))</f>
        <v>#DIV/0!</v>
      </c>
      <c r="Q469" s="5" t="e">
        <f t="shared" si="43"/>
        <v>#DIV/0!</v>
      </c>
      <c r="R469" s="5" t="e">
        <f ca="1">SQRT($B$9*AVERAGE((Q469:OFFSET(Q469,$B$5-1,0))))</f>
        <v>#DIV/0!</v>
      </c>
      <c r="S469" s="5" t="e">
        <f ca="1">SQRT($B$9*AVERAGE((Q469:OFFSET(Q469,$B$6-1,0))))</f>
        <v>#DIV/0!</v>
      </c>
      <c r="T469" s="5" t="e">
        <f ca="1">SQRT($B$9*AVERAGE((Q469:OFFSET(Q469,$B$7-1,0))))</f>
        <v>#DIV/0!</v>
      </c>
      <c r="U469" s="5" t="e">
        <f ca="1">SQRT($B$9*AVERAGE((Q469:OFFSET(Q469,$B$8-1,0))))</f>
        <v>#DIV/0!</v>
      </c>
      <c r="W469" s="6" t="e">
        <f t="shared" si="42"/>
        <v>#DIV/0!</v>
      </c>
      <c r="X469" s="6" t="e">
        <f ca="1">SQRT($B$9*AVERAGE(W469:OFFSET(W469,$B$5-1,0)))</f>
        <v>#DIV/0!</v>
      </c>
      <c r="Y469" s="6" t="e">
        <f ca="1">SQRT($B$9*AVERAGE(W469:OFFSET(W469,$B$6-1,0)))</f>
        <v>#DIV/0!</v>
      </c>
      <c r="Z469" s="6" t="e">
        <f ca="1">SQRT($B$9*AVERAGE(W469:OFFSET(W469,$B$7-1,0)))</f>
        <v>#DIV/0!</v>
      </c>
      <c r="AA469" s="6" t="e">
        <f ca="1">SQRT($B$9*AVERAGE(W469:OFFSET(W469,$B$8-1,0)))</f>
        <v>#DIV/0!</v>
      </c>
      <c r="AC469" s="34" t="e">
        <f t="shared" si="45"/>
        <v>#DIV/0!</v>
      </c>
      <c r="AD469" s="34" t="e">
        <f ca="1">SQRT($B$9*SUM(AC469:OFFSET(AC469,$B$5-1,0))/($B$5-1))</f>
        <v>#DIV/0!</v>
      </c>
      <c r="AE469" s="34" t="e">
        <f ca="1">SQRT($B$9*SUM(AC469:OFFSET(AC469,$B$6-1,0))/($B$6-1))</f>
        <v>#DIV/0!</v>
      </c>
      <c r="AF469" s="34" t="e">
        <f ca="1">SQRT($B$9*SUM(AC469:OFFSET(AC469,$B$7-1,0))/($B$7-1))</f>
        <v>#DIV/0!</v>
      </c>
      <c r="AG469" s="34" t="e">
        <f ca="1">SQRT($B$9*SUM(AC469:OFFSET(AC469,$B$8-1,0))/($B$8-1))</f>
        <v>#DIV/0!</v>
      </c>
      <c r="AI469" s="1" t="e">
        <f t="shared" si="46"/>
        <v>#DIV/0!</v>
      </c>
      <c r="AJ469" s="4" t="e">
        <f ca="1">SQRT($B$9)*_xlfn.STDEV.S(AI469:OFFSET(AI469,$B$5-1,0))</f>
        <v>#DIV/0!</v>
      </c>
      <c r="AK469" s="4" t="e">
        <f ca="1">SQRT($B$9)*_xlfn.STDEV.S(AI469:OFFSET(AI469,$B$6-1,0))</f>
        <v>#DIV/0!</v>
      </c>
      <c r="AL469" s="4" t="e">
        <f ca="1">SQRT($B$9)*_xlfn.STDEV.S(AI469:OFFSET(AI469,$B$7-1,0))</f>
        <v>#DIV/0!</v>
      </c>
      <c r="AM469" s="4" t="e">
        <f ca="1">SQRT($B$9)*_xlfn.STDEV.S(AI469:OFFSET(AI469,$B$8-1,0))</f>
        <v>#DIV/0!</v>
      </c>
    </row>
    <row r="470" spans="5:39" x14ac:dyDescent="0.2">
      <c r="E470" s="42">
        <v>44964</v>
      </c>
      <c r="F470" s="43"/>
      <c r="G470" s="43"/>
      <c r="H470" s="43"/>
      <c r="I470" s="43"/>
      <c r="K470" s="3" t="e">
        <f t="shared" si="44"/>
        <v>#DIV/0!</v>
      </c>
      <c r="L470" s="3" t="e">
        <f ca="1">SQRT(AVERAGE(K470:OFFSET(K470,$B$5-1,0))*$B$9/(4*LN(2)))</f>
        <v>#DIV/0!</v>
      </c>
      <c r="M470" s="3" t="e">
        <f ca="1">SQRT(AVERAGE(K470:OFFSET(K470,$B$6-1,0))*$B$9/(4*LN(2)))</f>
        <v>#DIV/0!</v>
      </c>
      <c r="N470" s="3" t="e">
        <f ca="1">SQRT(AVERAGE(K470:OFFSET(K470,$B$7-1,0))*$B$9/(4*LN(2)))</f>
        <v>#DIV/0!</v>
      </c>
      <c r="O470" s="3" t="e">
        <f ca="1">SQRT(AVERAGE(K470:OFFSET(K470,$B$8-1,0))*$B$9/(4*LN(2)))</f>
        <v>#DIV/0!</v>
      </c>
      <c r="Q470" s="5" t="e">
        <f t="shared" si="43"/>
        <v>#DIV/0!</v>
      </c>
      <c r="R470" s="5" t="e">
        <f ca="1">SQRT($B$9*AVERAGE((Q470:OFFSET(Q470,$B$5-1,0))))</f>
        <v>#DIV/0!</v>
      </c>
      <c r="S470" s="5" t="e">
        <f ca="1">SQRT($B$9*AVERAGE((Q470:OFFSET(Q470,$B$6-1,0))))</f>
        <v>#DIV/0!</v>
      </c>
      <c r="T470" s="5" t="e">
        <f ca="1">SQRT($B$9*AVERAGE((Q470:OFFSET(Q470,$B$7-1,0))))</f>
        <v>#DIV/0!</v>
      </c>
      <c r="U470" s="5" t="e">
        <f ca="1">SQRT($B$9*AVERAGE((Q470:OFFSET(Q470,$B$8-1,0))))</f>
        <v>#DIV/0!</v>
      </c>
      <c r="W470" s="6" t="e">
        <f t="shared" si="42"/>
        <v>#DIV/0!</v>
      </c>
      <c r="X470" s="6" t="e">
        <f ca="1">SQRT($B$9*AVERAGE(W470:OFFSET(W470,$B$5-1,0)))</f>
        <v>#DIV/0!</v>
      </c>
      <c r="Y470" s="6" t="e">
        <f ca="1">SQRT($B$9*AVERAGE(W470:OFFSET(W470,$B$6-1,0)))</f>
        <v>#DIV/0!</v>
      </c>
      <c r="Z470" s="6" t="e">
        <f ca="1">SQRT($B$9*AVERAGE(W470:OFFSET(W470,$B$7-1,0)))</f>
        <v>#DIV/0!</v>
      </c>
      <c r="AA470" s="6" t="e">
        <f ca="1">SQRT($B$9*AVERAGE(W470:OFFSET(W470,$B$8-1,0)))</f>
        <v>#DIV/0!</v>
      </c>
      <c r="AC470" s="34" t="e">
        <f t="shared" si="45"/>
        <v>#DIV/0!</v>
      </c>
      <c r="AD470" s="34" t="e">
        <f ca="1">SQRT($B$9*SUM(AC470:OFFSET(AC470,$B$5-1,0))/($B$5-1))</f>
        <v>#DIV/0!</v>
      </c>
      <c r="AE470" s="34" t="e">
        <f ca="1">SQRT($B$9*SUM(AC470:OFFSET(AC470,$B$6-1,0))/($B$6-1))</f>
        <v>#DIV/0!</v>
      </c>
      <c r="AF470" s="34" t="e">
        <f ca="1">SQRT($B$9*SUM(AC470:OFFSET(AC470,$B$7-1,0))/($B$7-1))</f>
        <v>#DIV/0!</v>
      </c>
      <c r="AG470" s="34" t="e">
        <f ca="1">SQRT($B$9*SUM(AC470:OFFSET(AC470,$B$8-1,0))/($B$8-1))</f>
        <v>#DIV/0!</v>
      </c>
      <c r="AI470" s="1" t="e">
        <f t="shared" si="46"/>
        <v>#DIV/0!</v>
      </c>
      <c r="AJ470" s="4" t="e">
        <f ca="1">SQRT($B$9)*_xlfn.STDEV.S(AI470:OFFSET(AI470,$B$5-1,0))</f>
        <v>#DIV/0!</v>
      </c>
      <c r="AK470" s="4" t="e">
        <f ca="1">SQRT($B$9)*_xlfn.STDEV.S(AI470:OFFSET(AI470,$B$6-1,0))</f>
        <v>#DIV/0!</v>
      </c>
      <c r="AL470" s="4" t="e">
        <f ca="1">SQRT($B$9)*_xlfn.STDEV.S(AI470:OFFSET(AI470,$B$7-1,0))</f>
        <v>#DIV/0!</v>
      </c>
      <c r="AM470" s="4" t="e">
        <f ca="1">SQRT($B$9)*_xlfn.STDEV.S(AI470:OFFSET(AI470,$B$8-1,0))</f>
        <v>#DIV/0!</v>
      </c>
    </row>
    <row r="471" spans="5:39" x14ac:dyDescent="0.2">
      <c r="E471" s="42">
        <v>44963</v>
      </c>
      <c r="F471" s="43"/>
      <c r="G471" s="43"/>
      <c r="H471" s="43"/>
      <c r="I471" s="43"/>
      <c r="K471" s="3" t="e">
        <f t="shared" si="44"/>
        <v>#DIV/0!</v>
      </c>
      <c r="L471" s="3" t="e">
        <f ca="1">SQRT(AVERAGE(K471:OFFSET(K471,$B$5-1,0))*$B$9/(4*LN(2)))</f>
        <v>#DIV/0!</v>
      </c>
      <c r="M471" s="3" t="e">
        <f ca="1">SQRT(AVERAGE(K471:OFFSET(K471,$B$6-1,0))*$B$9/(4*LN(2)))</f>
        <v>#DIV/0!</v>
      </c>
      <c r="N471" s="3" t="e">
        <f ca="1">SQRT(AVERAGE(K471:OFFSET(K471,$B$7-1,0))*$B$9/(4*LN(2)))</f>
        <v>#DIV/0!</v>
      </c>
      <c r="O471" s="3" t="e">
        <f ca="1">SQRT(AVERAGE(K471:OFFSET(K471,$B$8-1,0))*$B$9/(4*LN(2)))</f>
        <v>#DIV/0!</v>
      </c>
      <c r="Q471" s="5" t="e">
        <f t="shared" si="43"/>
        <v>#DIV/0!</v>
      </c>
      <c r="R471" s="5" t="e">
        <f ca="1">SQRT($B$9*AVERAGE((Q471:OFFSET(Q471,$B$5-1,0))))</f>
        <v>#DIV/0!</v>
      </c>
      <c r="S471" s="5" t="e">
        <f ca="1">SQRT($B$9*AVERAGE((Q471:OFFSET(Q471,$B$6-1,0))))</f>
        <v>#DIV/0!</v>
      </c>
      <c r="T471" s="5" t="e">
        <f ca="1">SQRT($B$9*AVERAGE((Q471:OFFSET(Q471,$B$7-1,0))))</f>
        <v>#DIV/0!</v>
      </c>
      <c r="U471" s="5" t="e">
        <f ca="1">SQRT($B$9*AVERAGE((Q471:OFFSET(Q471,$B$8-1,0))))</f>
        <v>#DIV/0!</v>
      </c>
      <c r="W471" s="6" t="e">
        <f t="shared" si="42"/>
        <v>#DIV/0!</v>
      </c>
      <c r="X471" s="6" t="e">
        <f ca="1">SQRT($B$9*AVERAGE(W471:OFFSET(W471,$B$5-1,0)))</f>
        <v>#DIV/0!</v>
      </c>
      <c r="Y471" s="6" t="e">
        <f ca="1">SQRT($B$9*AVERAGE(W471:OFFSET(W471,$B$6-1,0)))</f>
        <v>#DIV/0!</v>
      </c>
      <c r="Z471" s="6" t="e">
        <f ca="1">SQRT($B$9*AVERAGE(W471:OFFSET(W471,$B$7-1,0)))</f>
        <v>#DIV/0!</v>
      </c>
      <c r="AA471" s="6" t="e">
        <f ca="1">SQRT($B$9*AVERAGE(W471:OFFSET(W471,$B$8-1,0)))</f>
        <v>#DIV/0!</v>
      </c>
      <c r="AC471" s="34" t="e">
        <f t="shared" si="45"/>
        <v>#DIV/0!</v>
      </c>
      <c r="AD471" s="34" t="e">
        <f ca="1">SQRT($B$9*SUM(AC471:OFFSET(AC471,$B$5-1,0))/($B$5-1))</f>
        <v>#DIV/0!</v>
      </c>
      <c r="AE471" s="34" t="e">
        <f ca="1">SQRT($B$9*SUM(AC471:OFFSET(AC471,$B$6-1,0))/($B$6-1))</f>
        <v>#DIV/0!</v>
      </c>
      <c r="AF471" s="34" t="e">
        <f ca="1">SQRT($B$9*SUM(AC471:OFFSET(AC471,$B$7-1,0))/($B$7-1))</f>
        <v>#DIV/0!</v>
      </c>
      <c r="AG471" s="34" t="e">
        <f ca="1">SQRT($B$9*SUM(AC471:OFFSET(AC471,$B$8-1,0))/($B$8-1))</f>
        <v>#DIV/0!</v>
      </c>
      <c r="AI471" s="1" t="e">
        <f t="shared" si="46"/>
        <v>#DIV/0!</v>
      </c>
      <c r="AJ471" s="4" t="e">
        <f ca="1">SQRT($B$9)*_xlfn.STDEV.S(AI471:OFFSET(AI471,$B$5-1,0))</f>
        <v>#DIV/0!</v>
      </c>
      <c r="AK471" s="4" t="e">
        <f ca="1">SQRT($B$9)*_xlfn.STDEV.S(AI471:OFFSET(AI471,$B$6-1,0))</f>
        <v>#DIV/0!</v>
      </c>
      <c r="AL471" s="4" t="e">
        <f ca="1">SQRT($B$9)*_xlfn.STDEV.S(AI471:OFFSET(AI471,$B$7-1,0))</f>
        <v>#DIV/0!</v>
      </c>
      <c r="AM471" s="4" t="e">
        <f ca="1">SQRT($B$9)*_xlfn.STDEV.S(AI471:OFFSET(AI471,$B$8-1,0))</f>
        <v>#DIV/0!</v>
      </c>
    </row>
    <row r="472" spans="5:39" x14ac:dyDescent="0.2">
      <c r="E472" s="42">
        <v>44960</v>
      </c>
      <c r="F472" s="43"/>
      <c r="G472" s="43"/>
      <c r="H472" s="43"/>
      <c r="I472" s="43"/>
      <c r="K472" s="3" t="e">
        <f t="shared" si="44"/>
        <v>#DIV/0!</v>
      </c>
      <c r="L472" s="3" t="e">
        <f ca="1">SQRT(AVERAGE(K472:OFFSET(K472,$B$5-1,0))*$B$9/(4*LN(2)))</f>
        <v>#DIV/0!</v>
      </c>
      <c r="M472" s="3" t="e">
        <f ca="1">SQRT(AVERAGE(K472:OFFSET(K472,$B$6-1,0))*$B$9/(4*LN(2)))</f>
        <v>#DIV/0!</v>
      </c>
      <c r="N472" s="3" t="e">
        <f ca="1">SQRT(AVERAGE(K472:OFFSET(K472,$B$7-1,0))*$B$9/(4*LN(2)))</f>
        <v>#DIV/0!</v>
      </c>
      <c r="O472" s="3" t="e">
        <f ca="1">SQRT(AVERAGE(K472:OFFSET(K472,$B$8-1,0))*$B$9/(4*LN(2)))</f>
        <v>#DIV/0!</v>
      </c>
      <c r="Q472" s="5" t="e">
        <f t="shared" si="43"/>
        <v>#DIV/0!</v>
      </c>
      <c r="R472" s="5" t="e">
        <f ca="1">SQRT($B$9*AVERAGE((Q472:OFFSET(Q472,$B$5-1,0))))</f>
        <v>#DIV/0!</v>
      </c>
      <c r="S472" s="5" t="e">
        <f ca="1">SQRT($B$9*AVERAGE((Q472:OFFSET(Q472,$B$6-1,0))))</f>
        <v>#DIV/0!</v>
      </c>
      <c r="T472" s="5" t="e">
        <f ca="1">SQRT($B$9*AVERAGE((Q472:OFFSET(Q472,$B$7-1,0))))</f>
        <v>#DIV/0!</v>
      </c>
      <c r="U472" s="5" t="e">
        <f ca="1">SQRT($B$9*AVERAGE((Q472:OFFSET(Q472,$B$8-1,0))))</f>
        <v>#DIV/0!</v>
      </c>
      <c r="W472" s="6" t="e">
        <f t="shared" si="42"/>
        <v>#DIV/0!</v>
      </c>
      <c r="X472" s="6" t="e">
        <f ca="1">SQRT($B$9*AVERAGE(W472:OFFSET(W472,$B$5-1,0)))</f>
        <v>#DIV/0!</v>
      </c>
      <c r="Y472" s="6" t="e">
        <f ca="1">SQRT($B$9*AVERAGE(W472:OFFSET(W472,$B$6-1,0)))</f>
        <v>#DIV/0!</v>
      </c>
      <c r="Z472" s="6" t="e">
        <f ca="1">SQRT($B$9*AVERAGE(W472:OFFSET(W472,$B$7-1,0)))</f>
        <v>#DIV/0!</v>
      </c>
      <c r="AA472" s="6" t="e">
        <f ca="1">SQRT($B$9*AVERAGE(W472:OFFSET(W472,$B$8-1,0)))</f>
        <v>#DIV/0!</v>
      </c>
      <c r="AC472" s="34" t="e">
        <f t="shared" si="45"/>
        <v>#DIV/0!</v>
      </c>
      <c r="AD472" s="34" t="e">
        <f ca="1">SQRT($B$9*SUM(AC472:OFFSET(AC472,$B$5-1,0))/($B$5-1))</f>
        <v>#DIV/0!</v>
      </c>
      <c r="AE472" s="34" t="e">
        <f ca="1">SQRT($B$9*SUM(AC472:OFFSET(AC472,$B$6-1,0))/($B$6-1))</f>
        <v>#DIV/0!</v>
      </c>
      <c r="AF472" s="34" t="e">
        <f ca="1">SQRT($B$9*SUM(AC472:OFFSET(AC472,$B$7-1,0))/($B$7-1))</f>
        <v>#DIV/0!</v>
      </c>
      <c r="AG472" s="34" t="e">
        <f ca="1">SQRT($B$9*SUM(AC472:OFFSET(AC472,$B$8-1,0))/($B$8-1))</f>
        <v>#DIV/0!</v>
      </c>
      <c r="AI472" s="1" t="e">
        <f t="shared" si="46"/>
        <v>#DIV/0!</v>
      </c>
      <c r="AJ472" s="4" t="e">
        <f ca="1">SQRT($B$9)*_xlfn.STDEV.S(AI472:OFFSET(AI472,$B$5-1,0))</f>
        <v>#DIV/0!</v>
      </c>
      <c r="AK472" s="4" t="e">
        <f ca="1">SQRT($B$9)*_xlfn.STDEV.S(AI472:OFFSET(AI472,$B$6-1,0))</f>
        <v>#DIV/0!</v>
      </c>
      <c r="AL472" s="4" t="e">
        <f ca="1">SQRT($B$9)*_xlfn.STDEV.S(AI472:OFFSET(AI472,$B$7-1,0))</f>
        <v>#DIV/0!</v>
      </c>
      <c r="AM472" s="4" t="e">
        <f ca="1">SQRT($B$9)*_xlfn.STDEV.S(AI472:OFFSET(AI472,$B$8-1,0))</f>
        <v>#DIV/0!</v>
      </c>
    </row>
    <row r="473" spans="5:39" x14ac:dyDescent="0.2">
      <c r="E473" s="42">
        <v>44959</v>
      </c>
      <c r="F473" s="43"/>
      <c r="G473" s="43"/>
      <c r="H473" s="43"/>
      <c r="I473" s="43"/>
      <c r="K473" s="3" t="e">
        <f t="shared" si="44"/>
        <v>#DIV/0!</v>
      </c>
      <c r="L473" s="3" t="e">
        <f ca="1">SQRT(AVERAGE(K473:OFFSET(K473,$B$5-1,0))*$B$9/(4*LN(2)))</f>
        <v>#DIV/0!</v>
      </c>
      <c r="M473" s="3" t="e">
        <f ca="1">SQRT(AVERAGE(K473:OFFSET(K473,$B$6-1,0))*$B$9/(4*LN(2)))</f>
        <v>#DIV/0!</v>
      </c>
      <c r="N473" s="3" t="e">
        <f ca="1">SQRT(AVERAGE(K473:OFFSET(K473,$B$7-1,0))*$B$9/(4*LN(2)))</f>
        <v>#DIV/0!</v>
      </c>
      <c r="O473" s="3" t="e">
        <f ca="1">SQRT(AVERAGE(K473:OFFSET(K473,$B$8-1,0))*$B$9/(4*LN(2)))</f>
        <v>#DIV/0!</v>
      </c>
      <c r="Q473" s="5" t="e">
        <f t="shared" si="43"/>
        <v>#DIV/0!</v>
      </c>
      <c r="R473" s="5" t="e">
        <f ca="1">SQRT($B$9*AVERAGE((Q473:OFFSET(Q473,$B$5-1,0))))</f>
        <v>#DIV/0!</v>
      </c>
      <c r="S473" s="5" t="e">
        <f ca="1">SQRT($B$9*AVERAGE((Q473:OFFSET(Q473,$B$6-1,0))))</f>
        <v>#DIV/0!</v>
      </c>
      <c r="T473" s="5" t="e">
        <f ca="1">SQRT($B$9*AVERAGE((Q473:OFFSET(Q473,$B$7-1,0))))</f>
        <v>#DIV/0!</v>
      </c>
      <c r="U473" s="5" t="e">
        <f ca="1">SQRT($B$9*AVERAGE((Q473:OFFSET(Q473,$B$8-1,0))))</f>
        <v>#DIV/0!</v>
      </c>
      <c r="W473" s="6" t="e">
        <f t="shared" si="42"/>
        <v>#DIV/0!</v>
      </c>
      <c r="X473" s="6" t="e">
        <f ca="1">SQRT($B$9*AVERAGE(W473:OFFSET(W473,$B$5-1,0)))</f>
        <v>#DIV/0!</v>
      </c>
      <c r="Y473" s="6" t="e">
        <f ca="1">SQRT($B$9*AVERAGE(W473:OFFSET(W473,$B$6-1,0)))</f>
        <v>#DIV/0!</v>
      </c>
      <c r="Z473" s="6" t="e">
        <f ca="1">SQRT($B$9*AVERAGE(W473:OFFSET(W473,$B$7-1,0)))</f>
        <v>#DIV/0!</v>
      </c>
      <c r="AA473" s="6" t="e">
        <f ca="1">SQRT($B$9*AVERAGE(W473:OFFSET(W473,$B$8-1,0)))</f>
        <v>#DIV/0!</v>
      </c>
      <c r="AC473" s="34" t="e">
        <f t="shared" si="45"/>
        <v>#DIV/0!</v>
      </c>
      <c r="AD473" s="34" t="e">
        <f ca="1">SQRT($B$9*SUM(AC473:OFFSET(AC473,$B$5-1,0))/($B$5-1))</f>
        <v>#DIV/0!</v>
      </c>
      <c r="AE473" s="34" t="e">
        <f ca="1">SQRT($B$9*SUM(AC473:OFFSET(AC473,$B$6-1,0))/($B$6-1))</f>
        <v>#DIV/0!</v>
      </c>
      <c r="AF473" s="34" t="e">
        <f ca="1">SQRT($B$9*SUM(AC473:OFFSET(AC473,$B$7-1,0))/($B$7-1))</f>
        <v>#DIV/0!</v>
      </c>
      <c r="AG473" s="34" t="e">
        <f ca="1">SQRT($B$9*SUM(AC473:OFFSET(AC473,$B$8-1,0))/($B$8-1))</f>
        <v>#DIV/0!</v>
      </c>
      <c r="AI473" s="1" t="e">
        <f t="shared" si="46"/>
        <v>#DIV/0!</v>
      </c>
      <c r="AJ473" s="4" t="e">
        <f ca="1">SQRT($B$9)*_xlfn.STDEV.S(AI473:OFFSET(AI473,$B$5-1,0))</f>
        <v>#DIV/0!</v>
      </c>
      <c r="AK473" s="4" t="e">
        <f ca="1">SQRT($B$9)*_xlfn.STDEV.S(AI473:OFFSET(AI473,$B$6-1,0))</f>
        <v>#DIV/0!</v>
      </c>
      <c r="AL473" s="4" t="e">
        <f ca="1">SQRT($B$9)*_xlfn.STDEV.S(AI473:OFFSET(AI473,$B$7-1,0))</f>
        <v>#DIV/0!</v>
      </c>
      <c r="AM473" s="4" t="e">
        <f ca="1">SQRT($B$9)*_xlfn.STDEV.S(AI473:OFFSET(AI473,$B$8-1,0))</f>
        <v>#DIV/0!</v>
      </c>
    </row>
    <row r="474" spans="5:39" x14ac:dyDescent="0.2">
      <c r="E474" s="42">
        <v>44958</v>
      </c>
      <c r="F474" s="43"/>
      <c r="G474" s="43"/>
      <c r="H474" s="43"/>
      <c r="I474" s="43"/>
      <c r="K474" s="3" t="e">
        <f t="shared" si="44"/>
        <v>#DIV/0!</v>
      </c>
      <c r="L474" s="3" t="e">
        <f ca="1">SQRT(AVERAGE(K474:OFFSET(K474,$B$5-1,0))*$B$9/(4*LN(2)))</f>
        <v>#DIV/0!</v>
      </c>
      <c r="M474" s="3" t="e">
        <f ca="1">SQRT(AVERAGE(K474:OFFSET(K474,$B$6-1,0))*$B$9/(4*LN(2)))</f>
        <v>#DIV/0!</v>
      </c>
      <c r="N474" s="3" t="e">
        <f ca="1">SQRT(AVERAGE(K474:OFFSET(K474,$B$7-1,0))*$B$9/(4*LN(2)))</f>
        <v>#DIV/0!</v>
      </c>
      <c r="O474" s="3" t="e">
        <f ca="1">SQRT(AVERAGE(K474:OFFSET(K474,$B$8-1,0))*$B$9/(4*LN(2)))</f>
        <v>#DIV/0!</v>
      </c>
      <c r="Q474" s="5" t="e">
        <f t="shared" si="43"/>
        <v>#DIV/0!</v>
      </c>
      <c r="R474" s="5" t="e">
        <f ca="1">SQRT($B$9*AVERAGE((Q474:OFFSET(Q474,$B$5-1,0))))</f>
        <v>#DIV/0!</v>
      </c>
      <c r="S474" s="5" t="e">
        <f ca="1">SQRT($B$9*AVERAGE((Q474:OFFSET(Q474,$B$6-1,0))))</f>
        <v>#DIV/0!</v>
      </c>
      <c r="T474" s="5" t="e">
        <f ca="1">SQRT($B$9*AVERAGE((Q474:OFFSET(Q474,$B$7-1,0))))</f>
        <v>#DIV/0!</v>
      </c>
      <c r="U474" s="5" t="e">
        <f ca="1">SQRT($B$9*AVERAGE((Q474:OFFSET(Q474,$B$8-1,0))))</f>
        <v>#DIV/0!</v>
      </c>
      <c r="W474" s="6" t="e">
        <f t="shared" si="42"/>
        <v>#DIV/0!</v>
      </c>
      <c r="X474" s="6" t="e">
        <f ca="1">SQRT($B$9*AVERAGE(W474:OFFSET(W474,$B$5-1,0)))</f>
        <v>#DIV/0!</v>
      </c>
      <c r="Y474" s="6" t="e">
        <f ca="1">SQRT($B$9*AVERAGE(W474:OFFSET(W474,$B$6-1,0)))</f>
        <v>#DIV/0!</v>
      </c>
      <c r="Z474" s="6" t="e">
        <f ca="1">SQRT($B$9*AVERAGE(W474:OFFSET(W474,$B$7-1,0)))</f>
        <v>#DIV/0!</v>
      </c>
      <c r="AA474" s="6" t="e">
        <f ca="1">SQRT($B$9*AVERAGE(W474:OFFSET(W474,$B$8-1,0)))</f>
        <v>#DIV/0!</v>
      </c>
      <c r="AC474" s="34" t="e">
        <f t="shared" si="45"/>
        <v>#DIV/0!</v>
      </c>
      <c r="AD474" s="34" t="e">
        <f ca="1">SQRT($B$9*SUM(AC474:OFFSET(AC474,$B$5-1,0))/($B$5-1))</f>
        <v>#DIV/0!</v>
      </c>
      <c r="AE474" s="34" t="e">
        <f ca="1">SQRT($B$9*SUM(AC474:OFFSET(AC474,$B$6-1,0))/($B$6-1))</f>
        <v>#DIV/0!</v>
      </c>
      <c r="AF474" s="34" t="e">
        <f ca="1">SQRT($B$9*SUM(AC474:OFFSET(AC474,$B$7-1,0))/($B$7-1))</f>
        <v>#DIV/0!</v>
      </c>
      <c r="AG474" s="34" t="e">
        <f ca="1">SQRT($B$9*SUM(AC474:OFFSET(AC474,$B$8-1,0))/($B$8-1))</f>
        <v>#DIV/0!</v>
      </c>
      <c r="AI474" s="1" t="e">
        <f t="shared" si="46"/>
        <v>#DIV/0!</v>
      </c>
      <c r="AJ474" s="4" t="e">
        <f ca="1">SQRT($B$9)*_xlfn.STDEV.S(AI474:OFFSET(AI474,$B$5-1,0))</f>
        <v>#DIV/0!</v>
      </c>
      <c r="AK474" s="4" t="e">
        <f ca="1">SQRT($B$9)*_xlfn.STDEV.S(AI474:OFFSET(AI474,$B$6-1,0))</f>
        <v>#DIV/0!</v>
      </c>
      <c r="AL474" s="4" t="e">
        <f ca="1">SQRT($B$9)*_xlfn.STDEV.S(AI474:OFFSET(AI474,$B$7-1,0))</f>
        <v>#DIV/0!</v>
      </c>
      <c r="AM474" s="4" t="e">
        <f ca="1">SQRT($B$9)*_xlfn.STDEV.S(AI474:OFFSET(AI474,$B$8-1,0))</f>
        <v>#DIV/0!</v>
      </c>
    </row>
    <row r="475" spans="5:39" x14ac:dyDescent="0.2">
      <c r="E475" s="42">
        <v>44957</v>
      </c>
      <c r="F475" s="43"/>
      <c r="G475" s="43"/>
      <c r="H475" s="43"/>
      <c r="I475" s="43"/>
      <c r="K475" s="3" t="e">
        <f t="shared" si="44"/>
        <v>#DIV/0!</v>
      </c>
      <c r="L475" s="3" t="e">
        <f ca="1">SQRT(AVERAGE(K475:OFFSET(K475,$B$5-1,0))*$B$9/(4*LN(2)))</f>
        <v>#DIV/0!</v>
      </c>
      <c r="M475" s="3" t="e">
        <f ca="1">SQRT(AVERAGE(K475:OFFSET(K475,$B$6-1,0))*$B$9/(4*LN(2)))</f>
        <v>#DIV/0!</v>
      </c>
      <c r="N475" s="3" t="e">
        <f ca="1">SQRT(AVERAGE(K475:OFFSET(K475,$B$7-1,0))*$B$9/(4*LN(2)))</f>
        <v>#DIV/0!</v>
      </c>
      <c r="O475" s="3" t="e">
        <f ca="1">SQRT(AVERAGE(K475:OFFSET(K475,$B$8-1,0))*$B$9/(4*LN(2)))</f>
        <v>#DIV/0!</v>
      </c>
      <c r="Q475" s="5" t="e">
        <f t="shared" si="43"/>
        <v>#DIV/0!</v>
      </c>
      <c r="R475" s="5" t="e">
        <f ca="1">SQRT($B$9*AVERAGE((Q475:OFFSET(Q475,$B$5-1,0))))</f>
        <v>#DIV/0!</v>
      </c>
      <c r="S475" s="5" t="e">
        <f ca="1">SQRT($B$9*AVERAGE((Q475:OFFSET(Q475,$B$6-1,0))))</f>
        <v>#DIV/0!</v>
      </c>
      <c r="T475" s="5" t="e">
        <f ca="1">SQRT($B$9*AVERAGE((Q475:OFFSET(Q475,$B$7-1,0))))</f>
        <v>#DIV/0!</v>
      </c>
      <c r="U475" s="5" t="e">
        <f ca="1">SQRT($B$9*AVERAGE((Q475:OFFSET(Q475,$B$8-1,0))))</f>
        <v>#DIV/0!</v>
      </c>
      <c r="W475" s="6" t="e">
        <f t="shared" si="42"/>
        <v>#DIV/0!</v>
      </c>
      <c r="X475" s="6" t="e">
        <f ca="1">SQRT($B$9*AVERAGE(W475:OFFSET(W475,$B$5-1,0)))</f>
        <v>#DIV/0!</v>
      </c>
      <c r="Y475" s="6" t="e">
        <f ca="1">SQRT($B$9*AVERAGE(W475:OFFSET(W475,$B$6-1,0)))</f>
        <v>#DIV/0!</v>
      </c>
      <c r="Z475" s="6" t="e">
        <f ca="1">SQRT($B$9*AVERAGE(W475:OFFSET(W475,$B$7-1,0)))</f>
        <v>#DIV/0!</v>
      </c>
      <c r="AA475" s="6" t="e">
        <f ca="1">SQRT($B$9*AVERAGE(W475:OFFSET(W475,$B$8-1,0)))</f>
        <v>#DIV/0!</v>
      </c>
      <c r="AC475" s="34" t="e">
        <f t="shared" si="45"/>
        <v>#DIV/0!</v>
      </c>
      <c r="AD475" s="34" t="e">
        <f ca="1">SQRT($B$9*SUM(AC475:OFFSET(AC475,$B$5-1,0))/($B$5-1))</f>
        <v>#DIV/0!</v>
      </c>
      <c r="AE475" s="34" t="e">
        <f ca="1">SQRT($B$9*SUM(AC475:OFFSET(AC475,$B$6-1,0))/($B$6-1))</f>
        <v>#DIV/0!</v>
      </c>
      <c r="AF475" s="34" t="e">
        <f ca="1">SQRT($B$9*SUM(AC475:OFFSET(AC475,$B$7-1,0))/($B$7-1))</f>
        <v>#DIV/0!</v>
      </c>
      <c r="AG475" s="34" t="e">
        <f ca="1">SQRT($B$9*SUM(AC475:OFFSET(AC475,$B$8-1,0))/($B$8-1))</f>
        <v>#DIV/0!</v>
      </c>
      <c r="AI475" s="1" t="e">
        <f t="shared" si="46"/>
        <v>#DIV/0!</v>
      </c>
      <c r="AJ475" s="4" t="e">
        <f ca="1">SQRT($B$9)*_xlfn.STDEV.S(AI475:OFFSET(AI475,$B$5-1,0))</f>
        <v>#DIV/0!</v>
      </c>
      <c r="AK475" s="4" t="e">
        <f ca="1">SQRT($B$9)*_xlfn.STDEV.S(AI475:OFFSET(AI475,$B$6-1,0))</f>
        <v>#DIV/0!</v>
      </c>
      <c r="AL475" s="4" t="e">
        <f ca="1">SQRT($B$9)*_xlfn.STDEV.S(AI475:OFFSET(AI475,$B$7-1,0))</f>
        <v>#DIV/0!</v>
      </c>
      <c r="AM475" s="4" t="e">
        <f ca="1">SQRT($B$9)*_xlfn.STDEV.S(AI475:OFFSET(AI475,$B$8-1,0))</f>
        <v>#DIV/0!</v>
      </c>
    </row>
    <row r="476" spans="5:39" x14ac:dyDescent="0.2">
      <c r="E476" s="42">
        <v>44956</v>
      </c>
      <c r="F476" s="43"/>
      <c r="G476" s="43"/>
      <c r="H476" s="43"/>
      <c r="I476" s="43"/>
      <c r="K476" s="3" t="e">
        <f t="shared" si="44"/>
        <v>#DIV/0!</v>
      </c>
      <c r="L476" s="3" t="e">
        <f ca="1">SQRT(AVERAGE(K476:OFFSET(K476,$B$5-1,0))*$B$9/(4*LN(2)))</f>
        <v>#DIV/0!</v>
      </c>
      <c r="M476" s="3" t="e">
        <f ca="1">SQRT(AVERAGE(K476:OFFSET(K476,$B$6-1,0))*$B$9/(4*LN(2)))</f>
        <v>#DIV/0!</v>
      </c>
      <c r="N476" s="3" t="e">
        <f ca="1">SQRT(AVERAGE(K476:OFFSET(K476,$B$7-1,0))*$B$9/(4*LN(2)))</f>
        <v>#DIV/0!</v>
      </c>
      <c r="O476" s="3" t="e">
        <f ca="1">SQRT(AVERAGE(K476:OFFSET(K476,$B$8-1,0))*$B$9/(4*LN(2)))</f>
        <v>#DIV/0!</v>
      </c>
      <c r="Q476" s="5" t="e">
        <f t="shared" si="43"/>
        <v>#DIV/0!</v>
      </c>
      <c r="R476" s="5" t="e">
        <f ca="1">SQRT($B$9*AVERAGE((Q476:OFFSET(Q476,$B$5-1,0))))</f>
        <v>#DIV/0!</v>
      </c>
      <c r="S476" s="5" t="e">
        <f ca="1">SQRT($B$9*AVERAGE((Q476:OFFSET(Q476,$B$6-1,0))))</f>
        <v>#DIV/0!</v>
      </c>
      <c r="T476" s="5" t="e">
        <f ca="1">SQRT($B$9*AVERAGE((Q476:OFFSET(Q476,$B$7-1,0))))</f>
        <v>#DIV/0!</v>
      </c>
      <c r="U476" s="5" t="e">
        <f ca="1">SQRT($B$9*AVERAGE((Q476:OFFSET(Q476,$B$8-1,0))))</f>
        <v>#DIV/0!</v>
      </c>
      <c r="W476" s="6" t="e">
        <f t="shared" si="42"/>
        <v>#DIV/0!</v>
      </c>
      <c r="X476" s="6" t="e">
        <f ca="1">SQRT($B$9*AVERAGE(W476:OFFSET(W476,$B$5-1,0)))</f>
        <v>#DIV/0!</v>
      </c>
      <c r="Y476" s="6" t="e">
        <f ca="1">SQRT($B$9*AVERAGE(W476:OFFSET(W476,$B$6-1,0)))</f>
        <v>#DIV/0!</v>
      </c>
      <c r="Z476" s="6" t="e">
        <f ca="1">SQRT($B$9*AVERAGE(W476:OFFSET(W476,$B$7-1,0)))</f>
        <v>#DIV/0!</v>
      </c>
      <c r="AA476" s="6" t="e">
        <f ca="1">SQRT($B$9*AVERAGE(W476:OFFSET(W476,$B$8-1,0)))</f>
        <v>#DIV/0!</v>
      </c>
      <c r="AC476" s="34" t="e">
        <f t="shared" si="45"/>
        <v>#DIV/0!</v>
      </c>
      <c r="AD476" s="34" t="e">
        <f ca="1">SQRT($B$9*SUM(AC476:OFFSET(AC476,$B$5-1,0))/($B$5-1))</f>
        <v>#DIV/0!</v>
      </c>
      <c r="AE476" s="34" t="e">
        <f ca="1">SQRT($B$9*SUM(AC476:OFFSET(AC476,$B$6-1,0))/($B$6-1))</f>
        <v>#DIV/0!</v>
      </c>
      <c r="AF476" s="34" t="e">
        <f ca="1">SQRT($B$9*SUM(AC476:OFFSET(AC476,$B$7-1,0))/($B$7-1))</f>
        <v>#DIV/0!</v>
      </c>
      <c r="AG476" s="34" t="e">
        <f ca="1">SQRT($B$9*SUM(AC476:OFFSET(AC476,$B$8-1,0))/($B$8-1))</f>
        <v>#DIV/0!</v>
      </c>
      <c r="AI476" s="1" t="e">
        <f t="shared" si="46"/>
        <v>#DIV/0!</v>
      </c>
      <c r="AJ476" s="4" t="e">
        <f ca="1">SQRT($B$9)*_xlfn.STDEV.S(AI476:OFFSET(AI476,$B$5-1,0))</f>
        <v>#DIV/0!</v>
      </c>
      <c r="AK476" s="4" t="e">
        <f ca="1">SQRT($B$9)*_xlfn.STDEV.S(AI476:OFFSET(AI476,$B$6-1,0))</f>
        <v>#DIV/0!</v>
      </c>
      <c r="AL476" s="4" t="e">
        <f ca="1">SQRT($B$9)*_xlfn.STDEV.S(AI476:OFFSET(AI476,$B$7-1,0))</f>
        <v>#DIV/0!</v>
      </c>
      <c r="AM476" s="4" t="e">
        <f ca="1">SQRT($B$9)*_xlfn.STDEV.S(AI476:OFFSET(AI476,$B$8-1,0))</f>
        <v>#DIV/0!</v>
      </c>
    </row>
    <row r="477" spans="5:39" x14ac:dyDescent="0.2">
      <c r="E477" s="42">
        <v>44946</v>
      </c>
      <c r="F477" s="43"/>
      <c r="G477" s="43"/>
      <c r="H477" s="43"/>
      <c r="I477" s="43"/>
      <c r="K477" s="3" t="e">
        <f t="shared" si="44"/>
        <v>#DIV/0!</v>
      </c>
      <c r="L477" s="3" t="e">
        <f ca="1">SQRT(AVERAGE(K477:OFFSET(K477,$B$5-1,0))*$B$9/(4*LN(2)))</f>
        <v>#DIV/0!</v>
      </c>
      <c r="M477" s="3" t="e">
        <f ca="1">SQRT(AVERAGE(K477:OFFSET(K477,$B$6-1,0))*$B$9/(4*LN(2)))</f>
        <v>#DIV/0!</v>
      </c>
      <c r="N477" s="3" t="e">
        <f ca="1">SQRT(AVERAGE(K477:OFFSET(K477,$B$7-1,0))*$B$9/(4*LN(2)))</f>
        <v>#DIV/0!</v>
      </c>
      <c r="O477" s="3" t="e">
        <f ca="1">SQRT(AVERAGE(K477:OFFSET(K477,$B$8-1,0))*$B$9/(4*LN(2)))</f>
        <v>#DIV/0!</v>
      </c>
      <c r="Q477" s="5" t="e">
        <f t="shared" si="43"/>
        <v>#DIV/0!</v>
      </c>
      <c r="R477" s="5" t="e">
        <f ca="1">SQRT($B$9*AVERAGE((Q477:OFFSET(Q477,$B$5-1,0))))</f>
        <v>#DIV/0!</v>
      </c>
      <c r="S477" s="5" t="e">
        <f ca="1">SQRT($B$9*AVERAGE((Q477:OFFSET(Q477,$B$6-1,0))))</f>
        <v>#DIV/0!</v>
      </c>
      <c r="T477" s="5" t="e">
        <f ca="1">SQRT($B$9*AVERAGE((Q477:OFFSET(Q477,$B$7-1,0))))</f>
        <v>#DIV/0!</v>
      </c>
      <c r="U477" s="5" t="e">
        <f ca="1">SQRT($B$9*AVERAGE((Q477:OFFSET(Q477,$B$8-1,0))))</f>
        <v>#DIV/0!</v>
      </c>
      <c r="W477" s="6" t="e">
        <f t="shared" si="42"/>
        <v>#DIV/0!</v>
      </c>
      <c r="X477" s="6" t="e">
        <f ca="1">SQRT($B$9*AVERAGE(W477:OFFSET(W477,$B$5-1,0)))</f>
        <v>#DIV/0!</v>
      </c>
      <c r="Y477" s="6" t="e">
        <f ca="1">SQRT($B$9*AVERAGE(W477:OFFSET(W477,$B$6-1,0)))</f>
        <v>#DIV/0!</v>
      </c>
      <c r="Z477" s="6" t="e">
        <f ca="1">SQRT($B$9*AVERAGE(W477:OFFSET(W477,$B$7-1,0)))</f>
        <v>#DIV/0!</v>
      </c>
      <c r="AA477" s="6" t="e">
        <f ca="1">SQRT($B$9*AVERAGE(W477:OFFSET(W477,$B$8-1,0)))</f>
        <v>#DIV/0!</v>
      </c>
      <c r="AC477" s="34" t="e">
        <f t="shared" si="45"/>
        <v>#DIV/0!</v>
      </c>
      <c r="AD477" s="34" t="e">
        <f ca="1">SQRT($B$9*SUM(AC477:OFFSET(AC477,$B$5-1,0))/($B$5-1))</f>
        <v>#DIV/0!</v>
      </c>
      <c r="AE477" s="34" t="e">
        <f ca="1">SQRT($B$9*SUM(AC477:OFFSET(AC477,$B$6-1,0))/($B$6-1))</f>
        <v>#DIV/0!</v>
      </c>
      <c r="AF477" s="34" t="e">
        <f ca="1">SQRT($B$9*SUM(AC477:OFFSET(AC477,$B$7-1,0))/($B$7-1))</f>
        <v>#DIV/0!</v>
      </c>
      <c r="AG477" s="34" t="e">
        <f ca="1">SQRT($B$9*SUM(AC477:OFFSET(AC477,$B$8-1,0))/($B$8-1))</f>
        <v>#DIV/0!</v>
      </c>
      <c r="AI477" s="1" t="e">
        <f t="shared" si="46"/>
        <v>#DIV/0!</v>
      </c>
      <c r="AJ477" s="4" t="e">
        <f ca="1">SQRT($B$9)*_xlfn.STDEV.S(AI477:OFFSET(AI477,$B$5-1,0))</f>
        <v>#DIV/0!</v>
      </c>
      <c r="AK477" s="4" t="e">
        <f ca="1">SQRT($B$9)*_xlfn.STDEV.S(AI477:OFFSET(AI477,$B$6-1,0))</f>
        <v>#DIV/0!</v>
      </c>
      <c r="AL477" s="4" t="e">
        <f ca="1">SQRT($B$9)*_xlfn.STDEV.S(AI477:OFFSET(AI477,$B$7-1,0))</f>
        <v>#DIV/0!</v>
      </c>
      <c r="AM477" s="4" t="e">
        <f ca="1">SQRT($B$9)*_xlfn.STDEV.S(AI477:OFFSET(AI477,$B$8-1,0))</f>
        <v>#DIV/0!</v>
      </c>
    </row>
    <row r="478" spans="5:39" x14ac:dyDescent="0.2">
      <c r="E478" s="42">
        <v>44945</v>
      </c>
      <c r="F478" s="43"/>
      <c r="G478" s="43"/>
      <c r="H478" s="43"/>
      <c r="I478" s="43"/>
      <c r="K478" s="3" t="e">
        <f t="shared" si="44"/>
        <v>#DIV/0!</v>
      </c>
      <c r="L478" s="3" t="e">
        <f ca="1">SQRT(AVERAGE(K478:OFFSET(K478,$B$5-1,0))*$B$9/(4*LN(2)))</f>
        <v>#DIV/0!</v>
      </c>
      <c r="M478" s="3" t="e">
        <f ca="1">SQRT(AVERAGE(K478:OFFSET(K478,$B$6-1,0))*$B$9/(4*LN(2)))</f>
        <v>#DIV/0!</v>
      </c>
      <c r="N478" s="3" t="e">
        <f ca="1">SQRT(AVERAGE(K478:OFFSET(K478,$B$7-1,0))*$B$9/(4*LN(2)))</f>
        <v>#DIV/0!</v>
      </c>
      <c r="O478" s="3" t="e">
        <f ca="1">SQRT(AVERAGE(K478:OFFSET(K478,$B$8-1,0))*$B$9/(4*LN(2)))</f>
        <v>#DIV/0!</v>
      </c>
      <c r="Q478" s="5" t="e">
        <f t="shared" si="43"/>
        <v>#DIV/0!</v>
      </c>
      <c r="R478" s="5" t="e">
        <f ca="1">SQRT($B$9*AVERAGE((Q478:OFFSET(Q478,$B$5-1,0))))</f>
        <v>#DIV/0!</v>
      </c>
      <c r="S478" s="5" t="e">
        <f ca="1">SQRT($B$9*AVERAGE((Q478:OFFSET(Q478,$B$6-1,0))))</f>
        <v>#DIV/0!</v>
      </c>
      <c r="T478" s="5" t="e">
        <f ca="1">SQRT($B$9*AVERAGE((Q478:OFFSET(Q478,$B$7-1,0))))</f>
        <v>#DIV/0!</v>
      </c>
      <c r="U478" s="5" t="e">
        <f ca="1">SQRT($B$9*AVERAGE((Q478:OFFSET(Q478,$B$8-1,0))))</f>
        <v>#DIV/0!</v>
      </c>
      <c r="W478" s="6" t="e">
        <f t="shared" si="42"/>
        <v>#DIV/0!</v>
      </c>
      <c r="X478" s="6" t="e">
        <f ca="1">SQRT($B$9*AVERAGE(W478:OFFSET(W478,$B$5-1,0)))</f>
        <v>#DIV/0!</v>
      </c>
      <c r="Y478" s="6" t="e">
        <f ca="1">SQRT($B$9*AVERAGE(W478:OFFSET(W478,$B$6-1,0)))</f>
        <v>#DIV/0!</v>
      </c>
      <c r="Z478" s="6" t="e">
        <f ca="1">SQRT($B$9*AVERAGE(W478:OFFSET(W478,$B$7-1,0)))</f>
        <v>#DIV/0!</v>
      </c>
      <c r="AA478" s="6" t="e">
        <f ca="1">SQRT($B$9*AVERAGE(W478:OFFSET(W478,$B$8-1,0)))</f>
        <v>#DIV/0!</v>
      </c>
      <c r="AC478" s="34" t="e">
        <f t="shared" si="45"/>
        <v>#DIV/0!</v>
      </c>
      <c r="AD478" s="34" t="e">
        <f ca="1">SQRT($B$9*SUM(AC478:OFFSET(AC478,$B$5-1,0))/($B$5-1))</f>
        <v>#DIV/0!</v>
      </c>
      <c r="AE478" s="34" t="e">
        <f ca="1">SQRT($B$9*SUM(AC478:OFFSET(AC478,$B$6-1,0))/($B$6-1))</f>
        <v>#DIV/0!</v>
      </c>
      <c r="AF478" s="34" t="e">
        <f ca="1">SQRT($B$9*SUM(AC478:OFFSET(AC478,$B$7-1,0))/($B$7-1))</f>
        <v>#DIV/0!</v>
      </c>
      <c r="AG478" s="34" t="e">
        <f ca="1">SQRT($B$9*SUM(AC478:OFFSET(AC478,$B$8-1,0))/($B$8-1))</f>
        <v>#DIV/0!</v>
      </c>
      <c r="AI478" s="1" t="e">
        <f t="shared" si="46"/>
        <v>#DIV/0!</v>
      </c>
      <c r="AJ478" s="4" t="e">
        <f ca="1">SQRT($B$9)*_xlfn.STDEV.S(AI478:OFFSET(AI478,$B$5-1,0))</f>
        <v>#DIV/0!</v>
      </c>
      <c r="AK478" s="4" t="e">
        <f ca="1">SQRT($B$9)*_xlfn.STDEV.S(AI478:OFFSET(AI478,$B$6-1,0))</f>
        <v>#DIV/0!</v>
      </c>
      <c r="AL478" s="4" t="e">
        <f ca="1">SQRT($B$9)*_xlfn.STDEV.S(AI478:OFFSET(AI478,$B$7-1,0))</f>
        <v>#DIV/0!</v>
      </c>
      <c r="AM478" s="4" t="e">
        <f ca="1">SQRT($B$9)*_xlfn.STDEV.S(AI478:OFFSET(AI478,$B$8-1,0))</f>
        <v>#DIV/0!</v>
      </c>
    </row>
    <row r="479" spans="5:39" x14ac:dyDescent="0.2">
      <c r="E479" s="42">
        <v>44944</v>
      </c>
      <c r="F479" s="43"/>
      <c r="G479" s="43"/>
      <c r="H479" s="43"/>
      <c r="I479" s="43"/>
      <c r="K479" s="3" t="e">
        <f t="shared" si="44"/>
        <v>#DIV/0!</v>
      </c>
      <c r="L479" s="3" t="e">
        <f ca="1">SQRT(AVERAGE(K479:OFFSET(K479,$B$5-1,0))*$B$9/(4*LN(2)))</f>
        <v>#DIV/0!</v>
      </c>
      <c r="M479" s="3" t="e">
        <f ca="1">SQRT(AVERAGE(K479:OFFSET(K479,$B$6-1,0))*$B$9/(4*LN(2)))</f>
        <v>#DIV/0!</v>
      </c>
      <c r="N479" s="3" t="e">
        <f ca="1">SQRT(AVERAGE(K479:OFFSET(K479,$B$7-1,0))*$B$9/(4*LN(2)))</f>
        <v>#DIV/0!</v>
      </c>
      <c r="O479" s="3" t="e">
        <f ca="1">SQRT(AVERAGE(K479:OFFSET(K479,$B$8-1,0))*$B$9/(4*LN(2)))</f>
        <v>#DIV/0!</v>
      </c>
      <c r="Q479" s="5" t="e">
        <f t="shared" si="43"/>
        <v>#DIV/0!</v>
      </c>
      <c r="R479" s="5" t="e">
        <f ca="1">SQRT($B$9*AVERAGE((Q479:OFFSET(Q479,$B$5-1,0))))</f>
        <v>#DIV/0!</v>
      </c>
      <c r="S479" s="5" t="e">
        <f ca="1">SQRT($B$9*AVERAGE((Q479:OFFSET(Q479,$B$6-1,0))))</f>
        <v>#DIV/0!</v>
      </c>
      <c r="T479" s="5" t="e">
        <f ca="1">SQRT($B$9*AVERAGE((Q479:OFFSET(Q479,$B$7-1,0))))</f>
        <v>#DIV/0!</v>
      </c>
      <c r="U479" s="5" t="e">
        <f ca="1">SQRT($B$9*AVERAGE((Q479:OFFSET(Q479,$B$8-1,0))))</f>
        <v>#DIV/0!</v>
      </c>
      <c r="W479" s="6" t="e">
        <f t="shared" si="42"/>
        <v>#DIV/0!</v>
      </c>
      <c r="X479" s="6" t="e">
        <f ca="1">SQRT($B$9*AVERAGE(W479:OFFSET(W479,$B$5-1,0)))</f>
        <v>#DIV/0!</v>
      </c>
      <c r="Y479" s="6" t="e">
        <f ca="1">SQRT($B$9*AVERAGE(W479:OFFSET(W479,$B$6-1,0)))</f>
        <v>#DIV/0!</v>
      </c>
      <c r="Z479" s="6" t="e">
        <f ca="1">SQRT($B$9*AVERAGE(W479:OFFSET(W479,$B$7-1,0)))</f>
        <v>#DIV/0!</v>
      </c>
      <c r="AA479" s="6" t="e">
        <f ca="1">SQRT($B$9*AVERAGE(W479:OFFSET(W479,$B$8-1,0)))</f>
        <v>#DIV/0!</v>
      </c>
      <c r="AC479" s="34" t="e">
        <f t="shared" si="45"/>
        <v>#DIV/0!</v>
      </c>
      <c r="AD479" s="34" t="e">
        <f ca="1">SQRT($B$9*SUM(AC479:OFFSET(AC479,$B$5-1,0))/($B$5-1))</f>
        <v>#DIV/0!</v>
      </c>
      <c r="AE479" s="34" t="e">
        <f ca="1">SQRT($B$9*SUM(AC479:OFFSET(AC479,$B$6-1,0))/($B$6-1))</f>
        <v>#DIV/0!</v>
      </c>
      <c r="AF479" s="34" t="e">
        <f ca="1">SQRT($B$9*SUM(AC479:OFFSET(AC479,$B$7-1,0))/($B$7-1))</f>
        <v>#DIV/0!</v>
      </c>
      <c r="AG479" s="34" t="e">
        <f ca="1">SQRT($B$9*SUM(AC479:OFFSET(AC479,$B$8-1,0))/($B$8-1))</f>
        <v>#DIV/0!</v>
      </c>
      <c r="AI479" s="1" t="e">
        <f t="shared" si="46"/>
        <v>#DIV/0!</v>
      </c>
      <c r="AJ479" s="4" t="e">
        <f ca="1">SQRT($B$9)*_xlfn.STDEV.S(AI479:OFFSET(AI479,$B$5-1,0))</f>
        <v>#DIV/0!</v>
      </c>
      <c r="AK479" s="4" t="e">
        <f ca="1">SQRT($B$9)*_xlfn.STDEV.S(AI479:OFFSET(AI479,$B$6-1,0))</f>
        <v>#DIV/0!</v>
      </c>
      <c r="AL479" s="4" t="e">
        <f ca="1">SQRT($B$9)*_xlfn.STDEV.S(AI479:OFFSET(AI479,$B$7-1,0))</f>
        <v>#DIV/0!</v>
      </c>
      <c r="AM479" s="4" t="e">
        <f ca="1">SQRT($B$9)*_xlfn.STDEV.S(AI479:OFFSET(AI479,$B$8-1,0))</f>
        <v>#DIV/0!</v>
      </c>
    </row>
    <row r="480" spans="5:39" x14ac:dyDescent="0.2">
      <c r="E480" s="42">
        <v>44943</v>
      </c>
      <c r="F480" s="43"/>
      <c r="G480" s="43"/>
      <c r="H480" s="43"/>
      <c r="I480" s="43"/>
      <c r="K480" s="3" t="e">
        <f t="shared" si="44"/>
        <v>#DIV/0!</v>
      </c>
      <c r="L480" s="3" t="e">
        <f ca="1">SQRT(AVERAGE(K480:OFFSET(K480,$B$5-1,0))*$B$9/(4*LN(2)))</f>
        <v>#DIV/0!</v>
      </c>
      <c r="M480" s="3" t="e">
        <f ca="1">SQRT(AVERAGE(K480:OFFSET(K480,$B$6-1,0))*$B$9/(4*LN(2)))</f>
        <v>#DIV/0!</v>
      </c>
      <c r="N480" s="3" t="e">
        <f ca="1">SQRT(AVERAGE(K480:OFFSET(K480,$B$7-1,0))*$B$9/(4*LN(2)))</f>
        <v>#DIV/0!</v>
      </c>
      <c r="O480" s="3" t="e">
        <f ca="1">SQRT(AVERAGE(K480:OFFSET(K480,$B$8-1,0))*$B$9/(4*LN(2)))</f>
        <v>#DIV/0!</v>
      </c>
      <c r="Q480" s="5" t="e">
        <f t="shared" si="43"/>
        <v>#DIV/0!</v>
      </c>
      <c r="R480" s="5" t="e">
        <f ca="1">SQRT($B$9*AVERAGE((Q480:OFFSET(Q480,$B$5-1,0))))</f>
        <v>#DIV/0!</v>
      </c>
      <c r="S480" s="5" t="e">
        <f ca="1">SQRT($B$9*AVERAGE((Q480:OFFSET(Q480,$B$6-1,0))))</f>
        <v>#DIV/0!</v>
      </c>
      <c r="T480" s="5" t="e">
        <f ca="1">SQRT($B$9*AVERAGE((Q480:OFFSET(Q480,$B$7-1,0))))</f>
        <v>#DIV/0!</v>
      </c>
      <c r="U480" s="5" t="e">
        <f ca="1">SQRT($B$9*AVERAGE((Q480:OFFSET(Q480,$B$8-1,0))))</f>
        <v>#DIV/0!</v>
      </c>
      <c r="W480" s="6" t="e">
        <f t="shared" si="42"/>
        <v>#DIV/0!</v>
      </c>
      <c r="X480" s="6" t="e">
        <f ca="1">SQRT($B$9*AVERAGE(W480:OFFSET(W480,$B$5-1,0)))</f>
        <v>#DIV/0!</v>
      </c>
      <c r="Y480" s="6" t="e">
        <f ca="1">SQRT($B$9*AVERAGE(W480:OFFSET(W480,$B$6-1,0)))</f>
        <v>#DIV/0!</v>
      </c>
      <c r="Z480" s="6" t="e">
        <f ca="1">SQRT($B$9*AVERAGE(W480:OFFSET(W480,$B$7-1,0)))</f>
        <v>#DIV/0!</v>
      </c>
      <c r="AA480" s="6" t="e">
        <f ca="1">SQRT($B$9*AVERAGE(W480:OFFSET(W480,$B$8-1,0)))</f>
        <v>#DIV/0!</v>
      </c>
      <c r="AC480" s="34" t="e">
        <f t="shared" si="45"/>
        <v>#DIV/0!</v>
      </c>
      <c r="AD480" s="34" t="e">
        <f ca="1">SQRT($B$9*SUM(AC480:OFFSET(AC480,$B$5-1,0))/($B$5-1))</f>
        <v>#DIV/0!</v>
      </c>
      <c r="AE480" s="34" t="e">
        <f ca="1">SQRT($B$9*SUM(AC480:OFFSET(AC480,$B$6-1,0))/($B$6-1))</f>
        <v>#DIV/0!</v>
      </c>
      <c r="AF480" s="34" t="e">
        <f ca="1">SQRT($B$9*SUM(AC480:OFFSET(AC480,$B$7-1,0))/($B$7-1))</f>
        <v>#DIV/0!</v>
      </c>
      <c r="AG480" s="34" t="e">
        <f ca="1">SQRT($B$9*SUM(AC480:OFFSET(AC480,$B$8-1,0))/($B$8-1))</f>
        <v>#DIV/0!</v>
      </c>
      <c r="AI480" s="1" t="e">
        <f t="shared" si="46"/>
        <v>#DIV/0!</v>
      </c>
      <c r="AJ480" s="4" t="e">
        <f ca="1">SQRT($B$9)*_xlfn.STDEV.S(AI480:OFFSET(AI480,$B$5-1,0))</f>
        <v>#DIV/0!</v>
      </c>
      <c r="AK480" s="4" t="e">
        <f ca="1">SQRT($B$9)*_xlfn.STDEV.S(AI480:OFFSET(AI480,$B$6-1,0))</f>
        <v>#DIV/0!</v>
      </c>
      <c r="AL480" s="4" t="e">
        <f ca="1">SQRT($B$9)*_xlfn.STDEV.S(AI480:OFFSET(AI480,$B$7-1,0))</f>
        <v>#DIV/0!</v>
      </c>
      <c r="AM480" s="4" t="e">
        <f ca="1">SQRT($B$9)*_xlfn.STDEV.S(AI480:OFFSET(AI480,$B$8-1,0))</f>
        <v>#DIV/0!</v>
      </c>
    </row>
    <row r="481" spans="5:39" x14ac:dyDescent="0.2">
      <c r="E481" s="42">
        <v>44942</v>
      </c>
      <c r="F481" s="43"/>
      <c r="G481" s="43"/>
      <c r="H481" s="43"/>
      <c r="I481" s="43"/>
      <c r="K481" s="3" t="e">
        <f t="shared" si="44"/>
        <v>#DIV/0!</v>
      </c>
      <c r="L481" s="3" t="e">
        <f ca="1">SQRT(AVERAGE(K481:OFFSET(K481,$B$5-1,0))*$B$9/(4*LN(2)))</f>
        <v>#DIV/0!</v>
      </c>
      <c r="M481" s="3" t="e">
        <f ca="1">SQRT(AVERAGE(K481:OFFSET(K481,$B$6-1,0))*$B$9/(4*LN(2)))</f>
        <v>#DIV/0!</v>
      </c>
      <c r="N481" s="3" t="e">
        <f ca="1">SQRT(AVERAGE(K481:OFFSET(K481,$B$7-1,0))*$B$9/(4*LN(2)))</f>
        <v>#DIV/0!</v>
      </c>
      <c r="O481" s="3" t="e">
        <f ca="1">SQRT(AVERAGE(K481:OFFSET(K481,$B$8-1,0))*$B$9/(4*LN(2)))</f>
        <v>#DIV/0!</v>
      </c>
      <c r="Q481" s="5" t="e">
        <f t="shared" si="43"/>
        <v>#DIV/0!</v>
      </c>
      <c r="R481" s="5" t="e">
        <f ca="1">SQRT($B$9*AVERAGE((Q481:OFFSET(Q481,$B$5-1,0))))</f>
        <v>#DIV/0!</v>
      </c>
      <c r="S481" s="5" t="e">
        <f ca="1">SQRT($B$9*AVERAGE((Q481:OFFSET(Q481,$B$6-1,0))))</f>
        <v>#DIV/0!</v>
      </c>
      <c r="T481" s="5" t="e">
        <f ca="1">SQRT($B$9*AVERAGE((Q481:OFFSET(Q481,$B$7-1,0))))</f>
        <v>#DIV/0!</v>
      </c>
      <c r="U481" s="5" t="e">
        <f ca="1">SQRT($B$9*AVERAGE((Q481:OFFSET(Q481,$B$8-1,0))))</f>
        <v>#DIV/0!</v>
      </c>
      <c r="W481" s="6" t="e">
        <f t="shared" si="42"/>
        <v>#DIV/0!</v>
      </c>
      <c r="X481" s="6" t="e">
        <f ca="1">SQRT($B$9*AVERAGE(W481:OFFSET(W481,$B$5-1,0)))</f>
        <v>#DIV/0!</v>
      </c>
      <c r="Y481" s="6" t="e">
        <f ca="1">SQRT($B$9*AVERAGE(W481:OFFSET(W481,$B$6-1,0)))</f>
        <v>#DIV/0!</v>
      </c>
      <c r="Z481" s="6" t="e">
        <f ca="1">SQRT($B$9*AVERAGE(W481:OFFSET(W481,$B$7-1,0)))</f>
        <v>#DIV/0!</v>
      </c>
      <c r="AA481" s="6" t="e">
        <f ca="1">SQRT($B$9*AVERAGE(W481:OFFSET(W481,$B$8-1,0)))</f>
        <v>#DIV/0!</v>
      </c>
      <c r="AC481" s="34" t="e">
        <f t="shared" si="45"/>
        <v>#DIV/0!</v>
      </c>
      <c r="AD481" s="34" t="e">
        <f ca="1">SQRT($B$9*SUM(AC481:OFFSET(AC481,$B$5-1,0))/($B$5-1))</f>
        <v>#DIV/0!</v>
      </c>
      <c r="AE481" s="34" t="e">
        <f ca="1">SQRT($B$9*SUM(AC481:OFFSET(AC481,$B$6-1,0))/($B$6-1))</f>
        <v>#DIV/0!</v>
      </c>
      <c r="AF481" s="34" t="e">
        <f ca="1">SQRT($B$9*SUM(AC481:OFFSET(AC481,$B$7-1,0))/($B$7-1))</f>
        <v>#DIV/0!</v>
      </c>
      <c r="AG481" s="34" t="e">
        <f ca="1">SQRT($B$9*SUM(AC481:OFFSET(AC481,$B$8-1,0))/($B$8-1))</f>
        <v>#DIV/0!</v>
      </c>
      <c r="AI481" s="1" t="e">
        <f t="shared" si="46"/>
        <v>#DIV/0!</v>
      </c>
      <c r="AJ481" s="4" t="e">
        <f ca="1">SQRT($B$9)*_xlfn.STDEV.S(AI481:OFFSET(AI481,$B$5-1,0))</f>
        <v>#DIV/0!</v>
      </c>
      <c r="AK481" s="4" t="e">
        <f ca="1">SQRT($B$9)*_xlfn.STDEV.S(AI481:OFFSET(AI481,$B$6-1,0))</f>
        <v>#DIV/0!</v>
      </c>
      <c r="AL481" s="4" t="e">
        <f ca="1">SQRT($B$9)*_xlfn.STDEV.S(AI481:OFFSET(AI481,$B$7-1,0))</f>
        <v>#DIV/0!</v>
      </c>
      <c r="AM481" s="4" t="e">
        <f ca="1">SQRT($B$9)*_xlfn.STDEV.S(AI481:OFFSET(AI481,$B$8-1,0))</f>
        <v>#DIV/0!</v>
      </c>
    </row>
    <row r="482" spans="5:39" x14ac:dyDescent="0.2">
      <c r="E482" s="42">
        <v>44939</v>
      </c>
      <c r="F482" s="43"/>
      <c r="G482" s="43"/>
      <c r="H482" s="43"/>
      <c r="I482" s="43"/>
      <c r="K482" s="3" t="e">
        <f t="shared" si="44"/>
        <v>#DIV/0!</v>
      </c>
      <c r="L482" s="3" t="e">
        <f ca="1">SQRT(AVERAGE(K482:OFFSET(K482,$B$5-1,0))*$B$9/(4*LN(2)))</f>
        <v>#DIV/0!</v>
      </c>
      <c r="M482" s="3" t="e">
        <f ca="1">SQRT(AVERAGE(K482:OFFSET(K482,$B$6-1,0))*$B$9/(4*LN(2)))</f>
        <v>#DIV/0!</v>
      </c>
      <c r="N482" s="3" t="e">
        <f ca="1">SQRT(AVERAGE(K482:OFFSET(K482,$B$7-1,0))*$B$9/(4*LN(2)))</f>
        <v>#DIV/0!</v>
      </c>
      <c r="O482" s="3" t="e">
        <f ca="1">SQRT(AVERAGE(K482:OFFSET(K482,$B$8-1,0))*$B$9/(4*LN(2)))</f>
        <v>#DIV/0!</v>
      </c>
      <c r="Q482" s="5" t="e">
        <f t="shared" si="43"/>
        <v>#DIV/0!</v>
      </c>
      <c r="R482" s="5" t="e">
        <f ca="1">SQRT($B$9*AVERAGE((Q482:OFFSET(Q482,$B$5-1,0))))</f>
        <v>#DIV/0!</v>
      </c>
      <c r="S482" s="5" t="e">
        <f ca="1">SQRT($B$9*AVERAGE((Q482:OFFSET(Q482,$B$6-1,0))))</f>
        <v>#DIV/0!</v>
      </c>
      <c r="T482" s="5" t="e">
        <f ca="1">SQRT($B$9*AVERAGE((Q482:OFFSET(Q482,$B$7-1,0))))</f>
        <v>#DIV/0!</v>
      </c>
      <c r="U482" s="5" t="e">
        <f ca="1">SQRT($B$9*AVERAGE((Q482:OFFSET(Q482,$B$8-1,0))))</f>
        <v>#DIV/0!</v>
      </c>
      <c r="W482" s="6" t="e">
        <f t="shared" si="42"/>
        <v>#DIV/0!</v>
      </c>
      <c r="X482" s="6" t="e">
        <f ca="1">SQRT($B$9*AVERAGE(W482:OFFSET(W482,$B$5-1,0)))</f>
        <v>#DIV/0!</v>
      </c>
      <c r="Y482" s="6" t="e">
        <f ca="1">SQRT($B$9*AVERAGE(W482:OFFSET(W482,$B$6-1,0)))</f>
        <v>#DIV/0!</v>
      </c>
      <c r="Z482" s="6" t="e">
        <f ca="1">SQRT($B$9*AVERAGE(W482:OFFSET(W482,$B$7-1,0)))</f>
        <v>#DIV/0!</v>
      </c>
      <c r="AA482" s="6" t="e">
        <f ca="1">SQRT($B$9*AVERAGE(W482:OFFSET(W482,$B$8-1,0)))</f>
        <v>#DIV/0!</v>
      </c>
      <c r="AC482" s="34" t="e">
        <f t="shared" si="45"/>
        <v>#DIV/0!</v>
      </c>
      <c r="AD482" s="34" t="e">
        <f ca="1">SQRT($B$9*SUM(AC482:OFFSET(AC482,$B$5-1,0))/($B$5-1))</f>
        <v>#DIV/0!</v>
      </c>
      <c r="AE482" s="34" t="e">
        <f ca="1">SQRT($B$9*SUM(AC482:OFFSET(AC482,$B$6-1,0))/($B$6-1))</f>
        <v>#DIV/0!</v>
      </c>
      <c r="AF482" s="34" t="e">
        <f ca="1">SQRT($B$9*SUM(AC482:OFFSET(AC482,$B$7-1,0))/($B$7-1))</f>
        <v>#DIV/0!</v>
      </c>
      <c r="AG482" s="34" t="e">
        <f ca="1">SQRT($B$9*SUM(AC482:OFFSET(AC482,$B$8-1,0))/($B$8-1))</f>
        <v>#DIV/0!</v>
      </c>
      <c r="AI482" s="1" t="e">
        <f t="shared" si="46"/>
        <v>#DIV/0!</v>
      </c>
      <c r="AJ482" s="4" t="e">
        <f ca="1">SQRT($B$9)*_xlfn.STDEV.S(AI482:OFFSET(AI482,$B$5-1,0))</f>
        <v>#DIV/0!</v>
      </c>
      <c r="AK482" s="4" t="e">
        <f ca="1">SQRT($B$9)*_xlfn.STDEV.S(AI482:OFFSET(AI482,$B$6-1,0))</f>
        <v>#DIV/0!</v>
      </c>
      <c r="AL482" s="4" t="e">
        <f ca="1">SQRT($B$9)*_xlfn.STDEV.S(AI482:OFFSET(AI482,$B$7-1,0))</f>
        <v>#DIV/0!</v>
      </c>
      <c r="AM482" s="4" t="e">
        <f ca="1">SQRT($B$9)*_xlfn.STDEV.S(AI482:OFFSET(AI482,$B$8-1,0))</f>
        <v>#DIV/0!</v>
      </c>
    </row>
    <row r="483" spans="5:39" x14ac:dyDescent="0.2">
      <c r="E483" s="42">
        <v>44938</v>
      </c>
      <c r="F483" s="43"/>
      <c r="G483" s="43"/>
      <c r="H483" s="43"/>
      <c r="I483" s="43"/>
      <c r="K483" s="3" t="e">
        <f t="shared" si="44"/>
        <v>#DIV/0!</v>
      </c>
      <c r="L483" s="3" t="e">
        <f ca="1">SQRT(AVERAGE(K483:OFFSET(K483,$B$5-1,0))*$B$9/(4*LN(2)))</f>
        <v>#DIV/0!</v>
      </c>
      <c r="M483" s="3" t="e">
        <f ca="1">SQRT(AVERAGE(K483:OFFSET(K483,$B$6-1,0))*$B$9/(4*LN(2)))</f>
        <v>#DIV/0!</v>
      </c>
      <c r="N483" s="3" t="e">
        <f ca="1">SQRT(AVERAGE(K483:OFFSET(K483,$B$7-1,0))*$B$9/(4*LN(2)))</f>
        <v>#DIV/0!</v>
      </c>
      <c r="O483" s="3" t="e">
        <f ca="1">SQRT(AVERAGE(K483:OFFSET(K483,$B$8-1,0))*$B$9/(4*LN(2)))</f>
        <v>#DIV/0!</v>
      </c>
      <c r="Q483" s="5" t="e">
        <f t="shared" si="43"/>
        <v>#DIV/0!</v>
      </c>
      <c r="R483" s="5" t="e">
        <f ca="1">SQRT($B$9*AVERAGE((Q483:OFFSET(Q483,$B$5-1,0))))</f>
        <v>#DIV/0!</v>
      </c>
      <c r="S483" s="5" t="e">
        <f ca="1">SQRT($B$9*AVERAGE((Q483:OFFSET(Q483,$B$6-1,0))))</f>
        <v>#DIV/0!</v>
      </c>
      <c r="T483" s="5" t="e">
        <f ca="1">SQRT($B$9*AVERAGE((Q483:OFFSET(Q483,$B$7-1,0))))</f>
        <v>#DIV/0!</v>
      </c>
      <c r="U483" s="5" t="e">
        <f ca="1">SQRT($B$9*AVERAGE((Q483:OFFSET(Q483,$B$8-1,0))))</f>
        <v>#DIV/0!</v>
      </c>
      <c r="W483" s="6" t="e">
        <f t="shared" si="42"/>
        <v>#DIV/0!</v>
      </c>
      <c r="X483" s="6" t="e">
        <f ca="1">SQRT($B$9*AVERAGE(W483:OFFSET(W483,$B$5-1,0)))</f>
        <v>#DIV/0!</v>
      </c>
      <c r="Y483" s="6" t="e">
        <f ca="1">SQRT($B$9*AVERAGE(W483:OFFSET(W483,$B$6-1,0)))</f>
        <v>#DIV/0!</v>
      </c>
      <c r="Z483" s="6" t="e">
        <f ca="1">SQRT($B$9*AVERAGE(W483:OFFSET(W483,$B$7-1,0)))</f>
        <v>#DIV/0!</v>
      </c>
      <c r="AA483" s="6" t="e">
        <f ca="1">SQRT($B$9*AVERAGE(W483:OFFSET(W483,$B$8-1,0)))</f>
        <v>#DIV/0!</v>
      </c>
      <c r="AC483" s="34" t="e">
        <f t="shared" si="45"/>
        <v>#DIV/0!</v>
      </c>
      <c r="AD483" s="34" t="e">
        <f ca="1">SQRT($B$9*SUM(AC483:OFFSET(AC483,$B$5-1,0))/($B$5-1))</f>
        <v>#DIV/0!</v>
      </c>
      <c r="AE483" s="34" t="e">
        <f ca="1">SQRT($B$9*SUM(AC483:OFFSET(AC483,$B$6-1,0))/($B$6-1))</f>
        <v>#DIV/0!</v>
      </c>
      <c r="AF483" s="34" t="e">
        <f ca="1">SQRT($B$9*SUM(AC483:OFFSET(AC483,$B$7-1,0))/($B$7-1))</f>
        <v>#DIV/0!</v>
      </c>
      <c r="AG483" s="34" t="e">
        <f ca="1">SQRT($B$9*SUM(AC483:OFFSET(AC483,$B$8-1,0))/($B$8-1))</f>
        <v>#DIV/0!</v>
      </c>
      <c r="AI483" s="1" t="e">
        <f t="shared" si="46"/>
        <v>#DIV/0!</v>
      </c>
      <c r="AJ483" s="4" t="e">
        <f ca="1">SQRT($B$9)*_xlfn.STDEV.S(AI483:OFFSET(AI483,$B$5-1,0))</f>
        <v>#DIV/0!</v>
      </c>
      <c r="AK483" s="4" t="e">
        <f ca="1">SQRT($B$9)*_xlfn.STDEV.S(AI483:OFFSET(AI483,$B$6-1,0))</f>
        <v>#DIV/0!</v>
      </c>
      <c r="AL483" s="4" t="e">
        <f ca="1">SQRT($B$9)*_xlfn.STDEV.S(AI483:OFFSET(AI483,$B$7-1,0))</f>
        <v>#DIV/0!</v>
      </c>
      <c r="AM483" s="4" t="e">
        <f ca="1">SQRT($B$9)*_xlfn.STDEV.S(AI483:OFFSET(AI483,$B$8-1,0))</f>
        <v>#DIV/0!</v>
      </c>
    </row>
    <row r="484" spans="5:39" x14ac:dyDescent="0.2">
      <c r="E484" s="42">
        <v>44937</v>
      </c>
      <c r="F484" s="43"/>
      <c r="G484" s="43"/>
      <c r="H484" s="43"/>
      <c r="I484" s="43"/>
      <c r="K484" s="3" t="e">
        <f t="shared" si="44"/>
        <v>#DIV/0!</v>
      </c>
      <c r="L484" s="3" t="e">
        <f ca="1">SQRT(AVERAGE(K484:OFFSET(K484,$B$5-1,0))*$B$9/(4*LN(2)))</f>
        <v>#DIV/0!</v>
      </c>
      <c r="M484" s="3" t="e">
        <f ca="1">SQRT(AVERAGE(K484:OFFSET(K484,$B$6-1,0))*$B$9/(4*LN(2)))</f>
        <v>#DIV/0!</v>
      </c>
      <c r="N484" s="3" t="e">
        <f ca="1">SQRT(AVERAGE(K484:OFFSET(K484,$B$7-1,0))*$B$9/(4*LN(2)))</f>
        <v>#DIV/0!</v>
      </c>
      <c r="O484" s="3" t="e">
        <f ca="1">SQRT(AVERAGE(K484:OFFSET(K484,$B$8-1,0))*$B$9/(4*LN(2)))</f>
        <v>#DIV/0!</v>
      </c>
      <c r="Q484" s="5" t="e">
        <f t="shared" si="43"/>
        <v>#DIV/0!</v>
      </c>
      <c r="R484" s="5" t="e">
        <f ca="1">SQRT($B$9*AVERAGE((Q484:OFFSET(Q484,$B$5-1,0))))</f>
        <v>#DIV/0!</v>
      </c>
      <c r="S484" s="5" t="e">
        <f ca="1">SQRT($B$9*AVERAGE((Q484:OFFSET(Q484,$B$6-1,0))))</f>
        <v>#DIV/0!</v>
      </c>
      <c r="T484" s="5" t="e">
        <f ca="1">SQRT($B$9*AVERAGE((Q484:OFFSET(Q484,$B$7-1,0))))</f>
        <v>#DIV/0!</v>
      </c>
      <c r="U484" s="5" t="e">
        <f ca="1">SQRT($B$9*AVERAGE((Q484:OFFSET(Q484,$B$8-1,0))))</f>
        <v>#DIV/0!</v>
      </c>
      <c r="W484" s="6" t="e">
        <f t="shared" si="42"/>
        <v>#DIV/0!</v>
      </c>
      <c r="X484" s="6" t="e">
        <f ca="1">SQRT($B$9*AVERAGE(W484:OFFSET(W484,$B$5-1,0)))</f>
        <v>#DIV/0!</v>
      </c>
      <c r="Y484" s="6" t="e">
        <f ca="1">SQRT($B$9*AVERAGE(W484:OFFSET(W484,$B$6-1,0)))</f>
        <v>#DIV/0!</v>
      </c>
      <c r="Z484" s="6" t="e">
        <f ca="1">SQRT($B$9*AVERAGE(W484:OFFSET(W484,$B$7-1,0)))</f>
        <v>#DIV/0!</v>
      </c>
      <c r="AA484" s="6" t="e">
        <f ca="1">SQRT($B$9*AVERAGE(W484:OFFSET(W484,$B$8-1,0)))</f>
        <v>#DIV/0!</v>
      </c>
      <c r="AC484" s="34" t="e">
        <f t="shared" si="45"/>
        <v>#DIV/0!</v>
      </c>
      <c r="AD484" s="34" t="e">
        <f ca="1">SQRT($B$9*SUM(AC484:OFFSET(AC484,$B$5-1,0))/($B$5-1))</f>
        <v>#DIV/0!</v>
      </c>
      <c r="AE484" s="34" t="e">
        <f ca="1">SQRT($B$9*SUM(AC484:OFFSET(AC484,$B$6-1,0))/($B$6-1))</f>
        <v>#DIV/0!</v>
      </c>
      <c r="AF484" s="34" t="e">
        <f ca="1">SQRT($B$9*SUM(AC484:OFFSET(AC484,$B$7-1,0))/($B$7-1))</f>
        <v>#DIV/0!</v>
      </c>
      <c r="AG484" s="34" t="e">
        <f ca="1">SQRT($B$9*SUM(AC484:OFFSET(AC484,$B$8-1,0))/($B$8-1))</f>
        <v>#DIV/0!</v>
      </c>
      <c r="AI484" s="1" t="e">
        <f t="shared" si="46"/>
        <v>#DIV/0!</v>
      </c>
      <c r="AJ484" s="4" t="e">
        <f ca="1">SQRT($B$9)*_xlfn.STDEV.S(AI484:OFFSET(AI484,$B$5-1,0))</f>
        <v>#DIV/0!</v>
      </c>
      <c r="AK484" s="4" t="e">
        <f ca="1">SQRT($B$9)*_xlfn.STDEV.S(AI484:OFFSET(AI484,$B$6-1,0))</f>
        <v>#DIV/0!</v>
      </c>
      <c r="AL484" s="4" t="e">
        <f ca="1">SQRT($B$9)*_xlfn.STDEV.S(AI484:OFFSET(AI484,$B$7-1,0))</f>
        <v>#DIV/0!</v>
      </c>
      <c r="AM484" s="4" t="e">
        <f ca="1">SQRT($B$9)*_xlfn.STDEV.S(AI484:OFFSET(AI484,$B$8-1,0))</f>
        <v>#DIV/0!</v>
      </c>
    </row>
    <row r="485" spans="5:39" x14ac:dyDescent="0.2">
      <c r="E485" s="42">
        <v>44936</v>
      </c>
      <c r="F485" s="43"/>
      <c r="G485" s="43"/>
      <c r="H485" s="43"/>
      <c r="I485" s="43"/>
      <c r="K485" s="3" t="e">
        <f t="shared" si="44"/>
        <v>#DIV/0!</v>
      </c>
      <c r="L485" s="3" t="e">
        <f ca="1">SQRT(AVERAGE(K485:OFFSET(K485,$B$5-1,0))*$B$9/(4*LN(2)))</f>
        <v>#DIV/0!</v>
      </c>
      <c r="M485" s="3" t="e">
        <f ca="1">SQRT(AVERAGE(K485:OFFSET(K485,$B$6-1,0))*$B$9/(4*LN(2)))</f>
        <v>#DIV/0!</v>
      </c>
      <c r="N485" s="3" t="e">
        <f ca="1">SQRT(AVERAGE(K485:OFFSET(K485,$B$7-1,0))*$B$9/(4*LN(2)))</f>
        <v>#DIV/0!</v>
      </c>
      <c r="O485" s="3" t="e">
        <f ca="1">SQRT(AVERAGE(K485:OFFSET(K485,$B$8-1,0))*$B$9/(4*LN(2)))</f>
        <v>#DIV/0!</v>
      </c>
      <c r="Q485" s="5" t="e">
        <f t="shared" si="43"/>
        <v>#DIV/0!</v>
      </c>
      <c r="R485" s="5" t="e">
        <f ca="1">SQRT($B$9*AVERAGE((Q485:OFFSET(Q485,$B$5-1,0))))</f>
        <v>#DIV/0!</v>
      </c>
      <c r="S485" s="5" t="e">
        <f ca="1">SQRT($B$9*AVERAGE((Q485:OFFSET(Q485,$B$6-1,0))))</f>
        <v>#DIV/0!</v>
      </c>
      <c r="T485" s="5" t="e">
        <f ca="1">SQRT($B$9*AVERAGE((Q485:OFFSET(Q485,$B$7-1,0))))</f>
        <v>#DIV/0!</v>
      </c>
      <c r="U485" s="5" t="e">
        <f ca="1">SQRT($B$9*AVERAGE((Q485:OFFSET(Q485,$B$8-1,0))))</f>
        <v>#DIV/0!</v>
      </c>
      <c r="W485" s="6" t="e">
        <f t="shared" si="42"/>
        <v>#DIV/0!</v>
      </c>
      <c r="X485" s="6" t="e">
        <f ca="1">SQRT($B$9*AVERAGE(W485:OFFSET(W485,$B$5-1,0)))</f>
        <v>#DIV/0!</v>
      </c>
      <c r="Y485" s="6" t="e">
        <f ca="1">SQRT($B$9*AVERAGE(W485:OFFSET(W485,$B$6-1,0)))</f>
        <v>#DIV/0!</v>
      </c>
      <c r="Z485" s="6" t="e">
        <f ca="1">SQRT($B$9*AVERAGE(W485:OFFSET(W485,$B$7-1,0)))</f>
        <v>#DIV/0!</v>
      </c>
      <c r="AA485" s="6" t="e">
        <f ca="1">SQRT($B$9*AVERAGE(W485:OFFSET(W485,$B$8-1,0)))</f>
        <v>#DIV/0!</v>
      </c>
      <c r="AC485" s="34" t="e">
        <f t="shared" si="45"/>
        <v>#DIV/0!</v>
      </c>
      <c r="AD485" s="34" t="e">
        <f ca="1">SQRT($B$9*SUM(AC485:OFFSET(AC485,$B$5-1,0))/($B$5-1))</f>
        <v>#DIV/0!</v>
      </c>
      <c r="AE485" s="34" t="e">
        <f ca="1">SQRT($B$9*SUM(AC485:OFFSET(AC485,$B$6-1,0))/($B$6-1))</f>
        <v>#DIV/0!</v>
      </c>
      <c r="AF485" s="34" t="e">
        <f ca="1">SQRT($B$9*SUM(AC485:OFFSET(AC485,$B$7-1,0))/($B$7-1))</f>
        <v>#DIV/0!</v>
      </c>
      <c r="AG485" s="34" t="e">
        <f ca="1">SQRT($B$9*SUM(AC485:OFFSET(AC485,$B$8-1,0))/($B$8-1))</f>
        <v>#DIV/0!</v>
      </c>
      <c r="AI485" s="1" t="e">
        <f t="shared" si="46"/>
        <v>#DIV/0!</v>
      </c>
      <c r="AJ485" s="4" t="e">
        <f ca="1">SQRT($B$9)*_xlfn.STDEV.S(AI485:OFFSET(AI485,$B$5-1,0))</f>
        <v>#DIV/0!</v>
      </c>
      <c r="AK485" s="4" t="e">
        <f ca="1">SQRT($B$9)*_xlfn.STDEV.S(AI485:OFFSET(AI485,$B$6-1,0))</f>
        <v>#DIV/0!</v>
      </c>
      <c r="AL485" s="4" t="e">
        <f ca="1">SQRT($B$9)*_xlfn.STDEV.S(AI485:OFFSET(AI485,$B$7-1,0))</f>
        <v>#DIV/0!</v>
      </c>
      <c r="AM485" s="4" t="e">
        <f ca="1">SQRT($B$9)*_xlfn.STDEV.S(AI485:OFFSET(AI485,$B$8-1,0))</f>
        <v>#DIV/0!</v>
      </c>
    </row>
    <row r="486" spans="5:39" x14ac:dyDescent="0.2">
      <c r="E486" s="42">
        <v>44935</v>
      </c>
      <c r="F486" s="43"/>
      <c r="G486" s="43"/>
      <c r="H486" s="43"/>
      <c r="I486" s="43"/>
      <c r="K486" s="3" t="e">
        <f t="shared" si="44"/>
        <v>#DIV/0!</v>
      </c>
      <c r="L486" s="3" t="e">
        <f ca="1">SQRT(AVERAGE(K486:OFFSET(K486,$B$5-1,0))*$B$9/(4*LN(2)))</f>
        <v>#DIV/0!</v>
      </c>
      <c r="M486" s="3" t="e">
        <f ca="1">SQRT(AVERAGE(K486:OFFSET(K486,$B$6-1,0))*$B$9/(4*LN(2)))</f>
        <v>#DIV/0!</v>
      </c>
      <c r="N486" s="3" t="e">
        <f ca="1">SQRT(AVERAGE(K486:OFFSET(K486,$B$7-1,0))*$B$9/(4*LN(2)))</f>
        <v>#DIV/0!</v>
      </c>
      <c r="O486" s="3" t="e">
        <f ca="1">SQRT(AVERAGE(K486:OFFSET(K486,$B$8-1,0))*$B$9/(4*LN(2)))</f>
        <v>#DIV/0!</v>
      </c>
      <c r="Q486" s="5" t="e">
        <f t="shared" si="43"/>
        <v>#DIV/0!</v>
      </c>
      <c r="R486" s="5" t="e">
        <f ca="1">SQRT($B$9*AVERAGE((Q486:OFFSET(Q486,$B$5-1,0))))</f>
        <v>#DIV/0!</v>
      </c>
      <c r="S486" s="5" t="e">
        <f ca="1">SQRT($B$9*AVERAGE((Q486:OFFSET(Q486,$B$6-1,0))))</f>
        <v>#DIV/0!</v>
      </c>
      <c r="T486" s="5" t="e">
        <f ca="1">SQRT($B$9*AVERAGE((Q486:OFFSET(Q486,$B$7-1,0))))</f>
        <v>#DIV/0!</v>
      </c>
      <c r="U486" s="5" t="e">
        <f ca="1">SQRT($B$9*AVERAGE((Q486:OFFSET(Q486,$B$8-1,0))))</f>
        <v>#DIV/0!</v>
      </c>
      <c r="W486" s="6" t="e">
        <f t="shared" si="42"/>
        <v>#DIV/0!</v>
      </c>
      <c r="X486" s="6" t="e">
        <f ca="1">SQRT($B$9*AVERAGE(W486:OFFSET(W486,$B$5-1,0)))</f>
        <v>#DIV/0!</v>
      </c>
      <c r="Y486" s="6" t="e">
        <f ca="1">SQRT($B$9*AVERAGE(W486:OFFSET(W486,$B$6-1,0)))</f>
        <v>#DIV/0!</v>
      </c>
      <c r="Z486" s="6" t="e">
        <f ca="1">SQRT($B$9*AVERAGE(W486:OFFSET(W486,$B$7-1,0)))</f>
        <v>#DIV/0!</v>
      </c>
      <c r="AA486" s="6" t="e">
        <f ca="1">SQRT($B$9*AVERAGE(W486:OFFSET(W486,$B$8-1,0)))</f>
        <v>#DIV/0!</v>
      </c>
      <c r="AC486" s="34" t="e">
        <f t="shared" si="45"/>
        <v>#DIV/0!</v>
      </c>
      <c r="AD486" s="34" t="e">
        <f ca="1">SQRT($B$9*SUM(AC486:OFFSET(AC486,$B$5-1,0))/($B$5-1))</f>
        <v>#DIV/0!</v>
      </c>
      <c r="AE486" s="34" t="e">
        <f ca="1">SQRT($B$9*SUM(AC486:OFFSET(AC486,$B$6-1,0))/($B$6-1))</f>
        <v>#DIV/0!</v>
      </c>
      <c r="AF486" s="34" t="e">
        <f ca="1">SQRT($B$9*SUM(AC486:OFFSET(AC486,$B$7-1,0))/($B$7-1))</f>
        <v>#DIV/0!</v>
      </c>
      <c r="AG486" s="34" t="e">
        <f ca="1">SQRT($B$9*SUM(AC486:OFFSET(AC486,$B$8-1,0))/($B$8-1))</f>
        <v>#DIV/0!</v>
      </c>
      <c r="AI486" s="1" t="e">
        <f t="shared" si="46"/>
        <v>#DIV/0!</v>
      </c>
      <c r="AJ486" s="4" t="e">
        <f ca="1">SQRT($B$9)*_xlfn.STDEV.S(AI486:OFFSET(AI486,$B$5-1,0))</f>
        <v>#DIV/0!</v>
      </c>
      <c r="AK486" s="4" t="e">
        <f ca="1">SQRT($B$9)*_xlfn.STDEV.S(AI486:OFFSET(AI486,$B$6-1,0))</f>
        <v>#DIV/0!</v>
      </c>
      <c r="AL486" s="4" t="e">
        <f ca="1">SQRT($B$9)*_xlfn.STDEV.S(AI486:OFFSET(AI486,$B$7-1,0))</f>
        <v>#DIV/0!</v>
      </c>
      <c r="AM486" s="4" t="e">
        <f ca="1">SQRT($B$9)*_xlfn.STDEV.S(AI486:OFFSET(AI486,$B$8-1,0))</f>
        <v>#DIV/0!</v>
      </c>
    </row>
    <row r="487" spans="5:39" x14ac:dyDescent="0.2">
      <c r="E487" s="42">
        <v>44932</v>
      </c>
      <c r="F487" s="43"/>
      <c r="G487" s="43"/>
      <c r="H487" s="43"/>
      <c r="I487" s="43"/>
      <c r="K487" s="3" t="e">
        <f t="shared" si="44"/>
        <v>#DIV/0!</v>
      </c>
      <c r="L487" s="3" t="e">
        <f ca="1">SQRT(AVERAGE(K487:OFFSET(K487,$B$5-1,0))*$B$9/(4*LN(2)))</f>
        <v>#DIV/0!</v>
      </c>
      <c r="M487" s="3" t="e">
        <f ca="1">SQRT(AVERAGE(K487:OFFSET(K487,$B$6-1,0))*$B$9/(4*LN(2)))</f>
        <v>#DIV/0!</v>
      </c>
      <c r="N487" s="3" t="e">
        <f ca="1">SQRT(AVERAGE(K487:OFFSET(K487,$B$7-1,0))*$B$9/(4*LN(2)))</f>
        <v>#DIV/0!</v>
      </c>
      <c r="O487" s="3" t="e">
        <f ca="1">SQRT(AVERAGE(K487:OFFSET(K487,$B$8-1,0))*$B$9/(4*LN(2)))</f>
        <v>#DIV/0!</v>
      </c>
      <c r="Q487" s="5" t="e">
        <f t="shared" si="43"/>
        <v>#DIV/0!</v>
      </c>
      <c r="R487" s="5" t="e">
        <f ca="1">SQRT($B$9*AVERAGE((Q487:OFFSET(Q487,$B$5-1,0))))</f>
        <v>#DIV/0!</v>
      </c>
      <c r="S487" s="5" t="e">
        <f ca="1">SQRT($B$9*AVERAGE((Q487:OFFSET(Q487,$B$6-1,0))))</f>
        <v>#DIV/0!</v>
      </c>
      <c r="T487" s="5" t="e">
        <f ca="1">SQRT($B$9*AVERAGE((Q487:OFFSET(Q487,$B$7-1,0))))</f>
        <v>#DIV/0!</v>
      </c>
      <c r="U487" s="5" t="e">
        <f ca="1">SQRT($B$9*AVERAGE((Q487:OFFSET(Q487,$B$8-1,0))))</f>
        <v>#DIV/0!</v>
      </c>
      <c r="W487" s="6" t="e">
        <f t="shared" ref="W487:W550" si="47">LN(G487/I487)*LN(G487/F487)+LN(H487/I487)*LN(H487/F487)</f>
        <v>#DIV/0!</v>
      </c>
      <c r="X487" s="6" t="e">
        <f ca="1">SQRT($B$9*AVERAGE(W487:OFFSET(W487,$B$5-1,0)))</f>
        <v>#DIV/0!</v>
      </c>
      <c r="Y487" s="6" t="e">
        <f ca="1">SQRT($B$9*AVERAGE(W487:OFFSET(W487,$B$6-1,0)))</f>
        <v>#DIV/0!</v>
      </c>
      <c r="Z487" s="6" t="e">
        <f ca="1">SQRT($B$9*AVERAGE(W487:OFFSET(W487,$B$7-1,0)))</f>
        <v>#DIV/0!</v>
      </c>
      <c r="AA487" s="6" t="e">
        <f ca="1">SQRT($B$9*AVERAGE(W487:OFFSET(W487,$B$8-1,0)))</f>
        <v>#DIV/0!</v>
      </c>
      <c r="AC487" s="34" t="e">
        <f t="shared" si="45"/>
        <v>#DIV/0!</v>
      </c>
      <c r="AD487" s="34" t="e">
        <f ca="1">SQRT($B$9*SUM(AC487:OFFSET(AC487,$B$5-1,0))/($B$5-1))</f>
        <v>#DIV/0!</v>
      </c>
      <c r="AE487" s="34" t="e">
        <f ca="1">SQRT($B$9*SUM(AC487:OFFSET(AC487,$B$6-1,0))/($B$6-1))</f>
        <v>#DIV/0!</v>
      </c>
      <c r="AF487" s="34" t="e">
        <f ca="1">SQRT($B$9*SUM(AC487:OFFSET(AC487,$B$7-1,0))/($B$7-1))</f>
        <v>#DIV/0!</v>
      </c>
      <c r="AG487" s="34" t="e">
        <f ca="1">SQRT($B$9*SUM(AC487:OFFSET(AC487,$B$8-1,0))/($B$8-1))</f>
        <v>#DIV/0!</v>
      </c>
      <c r="AI487" s="1" t="e">
        <f t="shared" si="46"/>
        <v>#DIV/0!</v>
      </c>
      <c r="AJ487" s="4" t="e">
        <f ca="1">SQRT($B$9)*_xlfn.STDEV.S(AI487:OFFSET(AI487,$B$5-1,0))</f>
        <v>#DIV/0!</v>
      </c>
      <c r="AK487" s="4" t="e">
        <f ca="1">SQRT($B$9)*_xlfn.STDEV.S(AI487:OFFSET(AI487,$B$6-1,0))</f>
        <v>#DIV/0!</v>
      </c>
      <c r="AL487" s="4" t="e">
        <f ca="1">SQRT($B$9)*_xlfn.STDEV.S(AI487:OFFSET(AI487,$B$7-1,0))</f>
        <v>#DIV/0!</v>
      </c>
      <c r="AM487" s="4" t="e">
        <f ca="1">SQRT($B$9)*_xlfn.STDEV.S(AI487:OFFSET(AI487,$B$8-1,0))</f>
        <v>#DIV/0!</v>
      </c>
    </row>
    <row r="488" spans="5:39" x14ac:dyDescent="0.2">
      <c r="E488" s="42">
        <v>44931</v>
      </c>
      <c r="F488" s="43"/>
      <c r="G488" s="43"/>
      <c r="H488" s="43"/>
      <c r="I488" s="43"/>
      <c r="K488" s="3" t="e">
        <f t="shared" si="44"/>
        <v>#DIV/0!</v>
      </c>
      <c r="L488" s="3" t="e">
        <f ca="1">SQRT(AVERAGE(K488:OFFSET(K488,$B$5-1,0))*$B$9/(4*LN(2)))</f>
        <v>#DIV/0!</v>
      </c>
      <c r="M488" s="3" t="e">
        <f ca="1">SQRT(AVERAGE(K488:OFFSET(K488,$B$6-1,0))*$B$9/(4*LN(2)))</f>
        <v>#DIV/0!</v>
      </c>
      <c r="N488" s="3" t="e">
        <f ca="1">SQRT(AVERAGE(K488:OFFSET(K488,$B$7-1,0))*$B$9/(4*LN(2)))</f>
        <v>#DIV/0!</v>
      </c>
      <c r="O488" s="3" t="e">
        <f ca="1">SQRT(AVERAGE(K488:OFFSET(K488,$B$8-1,0))*$B$9/(4*LN(2)))</f>
        <v>#DIV/0!</v>
      </c>
      <c r="Q488" s="5" t="e">
        <f t="shared" si="43"/>
        <v>#DIV/0!</v>
      </c>
      <c r="R488" s="5" t="e">
        <f ca="1">SQRT($B$9*AVERAGE((Q488:OFFSET(Q488,$B$5-1,0))))</f>
        <v>#DIV/0!</v>
      </c>
      <c r="S488" s="5" t="e">
        <f ca="1">SQRT($B$9*AVERAGE((Q488:OFFSET(Q488,$B$6-1,0))))</f>
        <v>#DIV/0!</v>
      </c>
      <c r="T488" s="5" t="e">
        <f ca="1">SQRT($B$9*AVERAGE((Q488:OFFSET(Q488,$B$7-1,0))))</f>
        <v>#DIV/0!</v>
      </c>
      <c r="U488" s="5" t="e">
        <f ca="1">SQRT($B$9*AVERAGE((Q488:OFFSET(Q488,$B$8-1,0))))</f>
        <v>#DIV/0!</v>
      </c>
      <c r="W488" s="6" t="e">
        <f t="shared" si="47"/>
        <v>#DIV/0!</v>
      </c>
      <c r="X488" s="6" t="e">
        <f ca="1">SQRT($B$9*AVERAGE(W488:OFFSET(W488,$B$5-1,0)))</f>
        <v>#DIV/0!</v>
      </c>
      <c r="Y488" s="6" t="e">
        <f ca="1">SQRT($B$9*AVERAGE(W488:OFFSET(W488,$B$6-1,0)))</f>
        <v>#DIV/0!</v>
      </c>
      <c r="Z488" s="6" t="e">
        <f ca="1">SQRT($B$9*AVERAGE(W488:OFFSET(W488,$B$7-1,0)))</f>
        <v>#DIV/0!</v>
      </c>
      <c r="AA488" s="6" t="e">
        <f ca="1">SQRT($B$9*AVERAGE(W488:OFFSET(W488,$B$8-1,0)))</f>
        <v>#DIV/0!</v>
      </c>
      <c r="AC488" s="34" t="e">
        <f t="shared" si="45"/>
        <v>#DIV/0!</v>
      </c>
      <c r="AD488" s="34" t="e">
        <f ca="1">SQRT($B$9*SUM(AC488:OFFSET(AC488,$B$5-1,0))/($B$5-1))</f>
        <v>#DIV/0!</v>
      </c>
      <c r="AE488" s="34" t="e">
        <f ca="1">SQRT($B$9*SUM(AC488:OFFSET(AC488,$B$6-1,0))/($B$6-1))</f>
        <v>#DIV/0!</v>
      </c>
      <c r="AF488" s="34" t="e">
        <f ca="1">SQRT($B$9*SUM(AC488:OFFSET(AC488,$B$7-1,0))/($B$7-1))</f>
        <v>#DIV/0!</v>
      </c>
      <c r="AG488" s="34" t="e">
        <f ca="1">SQRT($B$9*SUM(AC488:OFFSET(AC488,$B$8-1,0))/($B$8-1))</f>
        <v>#DIV/0!</v>
      </c>
      <c r="AI488" s="1" t="e">
        <f t="shared" si="46"/>
        <v>#DIV/0!</v>
      </c>
      <c r="AJ488" s="4" t="e">
        <f ca="1">SQRT($B$9)*_xlfn.STDEV.S(AI488:OFFSET(AI488,$B$5-1,0))</f>
        <v>#DIV/0!</v>
      </c>
      <c r="AK488" s="4" t="e">
        <f ca="1">SQRT($B$9)*_xlfn.STDEV.S(AI488:OFFSET(AI488,$B$6-1,0))</f>
        <v>#DIV/0!</v>
      </c>
      <c r="AL488" s="4" t="e">
        <f ca="1">SQRT($B$9)*_xlfn.STDEV.S(AI488:OFFSET(AI488,$B$7-1,0))</f>
        <v>#DIV/0!</v>
      </c>
      <c r="AM488" s="4" t="e">
        <f ca="1">SQRT($B$9)*_xlfn.STDEV.S(AI488:OFFSET(AI488,$B$8-1,0))</f>
        <v>#DIV/0!</v>
      </c>
    </row>
    <row r="489" spans="5:39" x14ac:dyDescent="0.2">
      <c r="E489" s="42">
        <v>44930</v>
      </c>
      <c r="F489" s="43"/>
      <c r="G489" s="43"/>
      <c r="H489" s="43"/>
      <c r="I489" s="43"/>
      <c r="K489" s="3" t="e">
        <f t="shared" si="44"/>
        <v>#DIV/0!</v>
      </c>
      <c r="L489" s="3" t="e">
        <f ca="1">SQRT(AVERAGE(K489:OFFSET(K489,$B$5-1,0))*$B$9/(4*LN(2)))</f>
        <v>#DIV/0!</v>
      </c>
      <c r="M489" s="3" t="e">
        <f ca="1">SQRT(AVERAGE(K489:OFFSET(K489,$B$6-1,0))*$B$9/(4*LN(2)))</f>
        <v>#DIV/0!</v>
      </c>
      <c r="N489" s="3" t="e">
        <f ca="1">SQRT(AVERAGE(K489:OFFSET(K489,$B$7-1,0))*$B$9/(4*LN(2)))</f>
        <v>#DIV/0!</v>
      </c>
      <c r="O489" s="3" t="e">
        <f ca="1">SQRT(AVERAGE(K489:OFFSET(K489,$B$8-1,0))*$B$9/(4*LN(2)))</f>
        <v>#DIV/0!</v>
      </c>
      <c r="Q489" s="5" t="e">
        <f t="shared" si="43"/>
        <v>#DIV/0!</v>
      </c>
      <c r="R489" s="5" t="e">
        <f ca="1">SQRT($B$9*AVERAGE((Q489:OFFSET(Q489,$B$5-1,0))))</f>
        <v>#DIV/0!</v>
      </c>
      <c r="S489" s="5" t="e">
        <f ca="1">SQRT($B$9*AVERAGE((Q489:OFFSET(Q489,$B$6-1,0))))</f>
        <v>#DIV/0!</v>
      </c>
      <c r="T489" s="5" t="e">
        <f ca="1">SQRT($B$9*AVERAGE((Q489:OFFSET(Q489,$B$7-1,0))))</f>
        <v>#DIV/0!</v>
      </c>
      <c r="U489" s="5" t="e">
        <f ca="1">SQRT($B$9*AVERAGE((Q489:OFFSET(Q489,$B$8-1,0))))</f>
        <v>#DIV/0!</v>
      </c>
      <c r="W489" s="6" t="e">
        <f t="shared" si="47"/>
        <v>#DIV/0!</v>
      </c>
      <c r="X489" s="6" t="e">
        <f ca="1">SQRT($B$9*AVERAGE(W489:OFFSET(W489,$B$5-1,0)))</f>
        <v>#DIV/0!</v>
      </c>
      <c r="Y489" s="6" t="e">
        <f ca="1">SQRT($B$9*AVERAGE(W489:OFFSET(W489,$B$6-1,0)))</f>
        <v>#DIV/0!</v>
      </c>
      <c r="Z489" s="6" t="e">
        <f ca="1">SQRT($B$9*AVERAGE(W489:OFFSET(W489,$B$7-1,0)))</f>
        <v>#DIV/0!</v>
      </c>
      <c r="AA489" s="6" t="e">
        <f ca="1">SQRT($B$9*AVERAGE(W489:OFFSET(W489,$B$8-1,0)))</f>
        <v>#DIV/0!</v>
      </c>
      <c r="AC489" s="34" t="e">
        <f t="shared" si="45"/>
        <v>#DIV/0!</v>
      </c>
      <c r="AD489" s="34" t="e">
        <f ca="1">SQRT($B$9*SUM(AC489:OFFSET(AC489,$B$5-1,0))/($B$5-1))</f>
        <v>#DIV/0!</v>
      </c>
      <c r="AE489" s="34" t="e">
        <f ca="1">SQRT($B$9*SUM(AC489:OFFSET(AC489,$B$6-1,0))/($B$6-1))</f>
        <v>#DIV/0!</v>
      </c>
      <c r="AF489" s="34" t="e">
        <f ca="1">SQRT($B$9*SUM(AC489:OFFSET(AC489,$B$7-1,0))/($B$7-1))</f>
        <v>#DIV/0!</v>
      </c>
      <c r="AG489" s="34" t="e">
        <f ca="1">SQRT($B$9*SUM(AC489:OFFSET(AC489,$B$8-1,0))/($B$8-1))</f>
        <v>#DIV/0!</v>
      </c>
      <c r="AI489" s="1" t="e">
        <f t="shared" si="46"/>
        <v>#DIV/0!</v>
      </c>
      <c r="AJ489" s="4" t="e">
        <f ca="1">SQRT($B$9)*_xlfn.STDEV.S(AI489:OFFSET(AI489,$B$5-1,0))</f>
        <v>#DIV/0!</v>
      </c>
      <c r="AK489" s="4" t="e">
        <f ca="1">SQRT($B$9)*_xlfn.STDEV.S(AI489:OFFSET(AI489,$B$6-1,0))</f>
        <v>#DIV/0!</v>
      </c>
      <c r="AL489" s="4" t="e">
        <f ca="1">SQRT($B$9)*_xlfn.STDEV.S(AI489:OFFSET(AI489,$B$7-1,0))</f>
        <v>#DIV/0!</v>
      </c>
      <c r="AM489" s="4" t="e">
        <f ca="1">SQRT($B$9)*_xlfn.STDEV.S(AI489:OFFSET(AI489,$B$8-1,0))</f>
        <v>#DIV/0!</v>
      </c>
    </row>
    <row r="490" spans="5:39" x14ac:dyDescent="0.2">
      <c r="E490" s="42">
        <v>44929</v>
      </c>
      <c r="F490" s="43"/>
      <c r="G490" s="43"/>
      <c r="H490" s="43"/>
      <c r="I490" s="43"/>
      <c r="K490" s="3" t="e">
        <f t="shared" si="44"/>
        <v>#DIV/0!</v>
      </c>
      <c r="L490" s="3" t="e">
        <f ca="1">SQRT(AVERAGE(K490:OFFSET(K490,$B$5-1,0))*$B$9/(4*LN(2)))</f>
        <v>#DIV/0!</v>
      </c>
      <c r="M490" s="3" t="e">
        <f ca="1">SQRT(AVERAGE(K490:OFFSET(K490,$B$6-1,0))*$B$9/(4*LN(2)))</f>
        <v>#DIV/0!</v>
      </c>
      <c r="N490" s="3" t="e">
        <f ca="1">SQRT(AVERAGE(K490:OFFSET(K490,$B$7-1,0))*$B$9/(4*LN(2)))</f>
        <v>#DIV/0!</v>
      </c>
      <c r="O490" s="3" t="e">
        <f ca="1">SQRT(AVERAGE(K490:OFFSET(K490,$B$8-1,0))*$B$9/(4*LN(2)))</f>
        <v>#DIV/0!</v>
      </c>
      <c r="Q490" s="5" t="e">
        <f t="shared" si="43"/>
        <v>#DIV/0!</v>
      </c>
      <c r="R490" s="5" t="e">
        <f ca="1">SQRT($B$9*AVERAGE((Q490:OFFSET(Q490,$B$5-1,0))))</f>
        <v>#DIV/0!</v>
      </c>
      <c r="S490" s="5" t="e">
        <f ca="1">SQRT($B$9*AVERAGE((Q490:OFFSET(Q490,$B$6-1,0))))</f>
        <v>#DIV/0!</v>
      </c>
      <c r="T490" s="5" t="e">
        <f ca="1">SQRT($B$9*AVERAGE((Q490:OFFSET(Q490,$B$7-1,0))))</f>
        <v>#DIV/0!</v>
      </c>
      <c r="U490" s="5" t="e">
        <f ca="1">SQRT($B$9*AVERAGE((Q490:OFFSET(Q490,$B$8-1,0))))</f>
        <v>#DIV/0!</v>
      </c>
      <c r="W490" s="6" t="e">
        <f t="shared" si="47"/>
        <v>#DIV/0!</v>
      </c>
      <c r="X490" s="6" t="e">
        <f ca="1">SQRT($B$9*AVERAGE(W490:OFFSET(W490,$B$5-1,0)))</f>
        <v>#DIV/0!</v>
      </c>
      <c r="Y490" s="6" t="e">
        <f ca="1">SQRT($B$9*AVERAGE(W490:OFFSET(W490,$B$6-1,0)))</f>
        <v>#DIV/0!</v>
      </c>
      <c r="Z490" s="6" t="e">
        <f ca="1">SQRT($B$9*AVERAGE(W490:OFFSET(W490,$B$7-1,0)))</f>
        <v>#DIV/0!</v>
      </c>
      <c r="AA490" s="6" t="e">
        <f ca="1">SQRT($B$9*AVERAGE(W490:OFFSET(W490,$B$8-1,0)))</f>
        <v>#DIV/0!</v>
      </c>
      <c r="AC490" s="34" t="e">
        <f t="shared" si="45"/>
        <v>#DIV/0!</v>
      </c>
      <c r="AD490" s="34" t="e">
        <f ca="1">SQRT($B$9*SUM(AC490:OFFSET(AC490,$B$5-1,0))/($B$5-1))</f>
        <v>#DIV/0!</v>
      </c>
      <c r="AE490" s="34" t="e">
        <f ca="1">SQRT($B$9*SUM(AC490:OFFSET(AC490,$B$6-1,0))/($B$6-1))</f>
        <v>#DIV/0!</v>
      </c>
      <c r="AF490" s="34" t="e">
        <f ca="1">SQRT($B$9*SUM(AC490:OFFSET(AC490,$B$7-1,0))/($B$7-1))</f>
        <v>#DIV/0!</v>
      </c>
      <c r="AG490" s="34" t="e">
        <f ca="1">SQRT($B$9*SUM(AC490:OFFSET(AC490,$B$8-1,0))/($B$8-1))</f>
        <v>#DIV/0!</v>
      </c>
      <c r="AI490" s="1" t="e">
        <f t="shared" si="46"/>
        <v>#DIV/0!</v>
      </c>
      <c r="AJ490" s="4" t="e">
        <f ca="1">SQRT($B$9)*_xlfn.STDEV.S(AI490:OFFSET(AI490,$B$5-1,0))</f>
        <v>#DIV/0!</v>
      </c>
      <c r="AK490" s="4" t="e">
        <f ca="1">SQRT($B$9)*_xlfn.STDEV.S(AI490:OFFSET(AI490,$B$6-1,0))</f>
        <v>#DIV/0!</v>
      </c>
      <c r="AL490" s="4" t="e">
        <f ca="1">SQRT($B$9)*_xlfn.STDEV.S(AI490:OFFSET(AI490,$B$7-1,0))</f>
        <v>#DIV/0!</v>
      </c>
      <c r="AM490" s="4" t="e">
        <f ca="1">SQRT($B$9)*_xlfn.STDEV.S(AI490:OFFSET(AI490,$B$8-1,0))</f>
        <v>#DIV/0!</v>
      </c>
    </row>
    <row r="491" spans="5:39" x14ac:dyDescent="0.2">
      <c r="E491" s="42">
        <v>44742</v>
      </c>
      <c r="F491" s="43"/>
      <c r="G491" s="43"/>
      <c r="H491" s="43"/>
      <c r="I491" s="43"/>
      <c r="K491" s="3" t="e">
        <f t="shared" si="44"/>
        <v>#DIV/0!</v>
      </c>
      <c r="L491" s="3" t="e">
        <f ca="1">SQRT(AVERAGE(K491:OFFSET(K491,$B$5-1,0))*$B$9/(4*LN(2)))</f>
        <v>#DIV/0!</v>
      </c>
      <c r="M491" s="3" t="e">
        <f ca="1">SQRT(AVERAGE(K491:OFFSET(K491,$B$6-1,0))*$B$9/(4*LN(2)))</f>
        <v>#DIV/0!</v>
      </c>
      <c r="N491" s="3" t="e">
        <f ca="1">SQRT(AVERAGE(K491:OFFSET(K491,$B$7-1,0))*$B$9/(4*LN(2)))</f>
        <v>#DIV/0!</v>
      </c>
      <c r="O491" s="3" t="e">
        <f ca="1">SQRT(AVERAGE(K491:OFFSET(K491,$B$8-1,0))*$B$9/(4*LN(2)))</f>
        <v>#DIV/0!</v>
      </c>
      <c r="Q491" s="5" t="e">
        <f t="shared" si="43"/>
        <v>#DIV/0!</v>
      </c>
      <c r="R491" s="5" t="e">
        <f ca="1">SQRT($B$9*AVERAGE((Q491:OFFSET(Q491,$B$5-1,0))))</f>
        <v>#DIV/0!</v>
      </c>
      <c r="S491" s="5" t="e">
        <f ca="1">SQRT($B$9*AVERAGE((Q491:OFFSET(Q491,$B$6-1,0))))</f>
        <v>#DIV/0!</v>
      </c>
      <c r="T491" s="5" t="e">
        <f ca="1">SQRT($B$9*AVERAGE((Q491:OFFSET(Q491,$B$7-1,0))))</f>
        <v>#DIV/0!</v>
      </c>
      <c r="U491" s="5" t="e">
        <f ca="1">SQRT($B$9*AVERAGE((Q491:OFFSET(Q491,$B$8-1,0))))</f>
        <v>#DIV/0!</v>
      </c>
      <c r="W491" s="6" t="e">
        <f t="shared" si="47"/>
        <v>#DIV/0!</v>
      </c>
      <c r="X491" s="6" t="e">
        <f ca="1">SQRT($B$9*AVERAGE(W491:OFFSET(W491,$B$5-1,0)))</f>
        <v>#DIV/0!</v>
      </c>
      <c r="Y491" s="6" t="e">
        <f ca="1">SQRT($B$9*AVERAGE(W491:OFFSET(W491,$B$6-1,0)))</f>
        <v>#DIV/0!</v>
      </c>
      <c r="Z491" s="6" t="e">
        <f ca="1">SQRT($B$9*AVERAGE(W491:OFFSET(W491,$B$7-1,0)))</f>
        <v>#DIV/0!</v>
      </c>
      <c r="AA491" s="6" t="e">
        <f ca="1">SQRT($B$9*AVERAGE(W491:OFFSET(W491,$B$8-1,0)))</f>
        <v>#DIV/0!</v>
      </c>
      <c r="AC491" s="34" t="e">
        <f t="shared" si="45"/>
        <v>#DIV/0!</v>
      </c>
      <c r="AD491" s="34" t="e">
        <f ca="1">SQRT($B$9*SUM(AC491:OFFSET(AC491,$B$5-1,0))/($B$5-1))</f>
        <v>#DIV/0!</v>
      </c>
      <c r="AE491" s="34" t="e">
        <f ca="1">SQRT($B$9*SUM(AC491:OFFSET(AC491,$B$6-1,0))/($B$6-1))</f>
        <v>#DIV/0!</v>
      </c>
      <c r="AF491" s="34" t="e">
        <f ca="1">SQRT($B$9*SUM(AC491:OFFSET(AC491,$B$7-1,0))/($B$7-1))</f>
        <v>#DIV/0!</v>
      </c>
      <c r="AG491" s="34" t="e">
        <f ca="1">SQRT($B$9*SUM(AC491:OFFSET(AC491,$B$8-1,0))/($B$8-1))</f>
        <v>#DIV/0!</v>
      </c>
      <c r="AI491" s="1" t="e">
        <f t="shared" si="46"/>
        <v>#DIV/0!</v>
      </c>
      <c r="AJ491" s="4" t="e">
        <f ca="1">SQRT($B$9)*_xlfn.STDEV.S(AI491:OFFSET(AI491,$B$5-1,0))</f>
        <v>#DIV/0!</v>
      </c>
      <c r="AK491" s="4" t="e">
        <f ca="1">SQRT($B$9)*_xlfn.STDEV.S(AI491:OFFSET(AI491,$B$6-1,0))</f>
        <v>#DIV/0!</v>
      </c>
      <c r="AL491" s="4" t="e">
        <f ca="1">SQRT($B$9)*_xlfn.STDEV.S(AI491:OFFSET(AI491,$B$7-1,0))</f>
        <v>#DIV/0!</v>
      </c>
      <c r="AM491" s="4" t="e">
        <f ca="1">SQRT($B$9)*_xlfn.STDEV.S(AI491:OFFSET(AI491,$B$8-1,0))</f>
        <v>#DIV/0!</v>
      </c>
    </row>
    <row r="492" spans="5:39" x14ac:dyDescent="0.2">
      <c r="E492" s="42">
        <v>44741</v>
      </c>
      <c r="F492" s="43"/>
      <c r="G492" s="43"/>
      <c r="H492" s="43"/>
      <c r="I492" s="43"/>
      <c r="K492" s="3" t="e">
        <f t="shared" si="44"/>
        <v>#DIV/0!</v>
      </c>
      <c r="L492" s="3" t="e">
        <f ca="1">SQRT(AVERAGE(K492:OFFSET(K492,$B$5-1,0))*$B$9/(4*LN(2)))</f>
        <v>#DIV/0!</v>
      </c>
      <c r="M492" s="3" t="e">
        <f ca="1">SQRT(AVERAGE(K492:OFFSET(K492,$B$6-1,0))*$B$9/(4*LN(2)))</f>
        <v>#DIV/0!</v>
      </c>
      <c r="N492" s="3" t="e">
        <f ca="1">SQRT(AVERAGE(K492:OFFSET(K492,$B$7-1,0))*$B$9/(4*LN(2)))</f>
        <v>#DIV/0!</v>
      </c>
      <c r="O492" s="3" t="e">
        <f ca="1">SQRT(AVERAGE(K492:OFFSET(K492,$B$8-1,0))*$B$9/(4*LN(2)))</f>
        <v>#DIV/0!</v>
      </c>
      <c r="Q492" s="5" t="e">
        <f t="shared" si="43"/>
        <v>#DIV/0!</v>
      </c>
      <c r="R492" s="5" t="e">
        <f ca="1">SQRT($B$9*AVERAGE((Q492:OFFSET(Q492,$B$5-1,0))))</f>
        <v>#DIV/0!</v>
      </c>
      <c r="S492" s="5" t="e">
        <f ca="1">SQRT($B$9*AVERAGE((Q492:OFFSET(Q492,$B$6-1,0))))</f>
        <v>#DIV/0!</v>
      </c>
      <c r="T492" s="5" t="e">
        <f ca="1">SQRT($B$9*AVERAGE((Q492:OFFSET(Q492,$B$7-1,0))))</f>
        <v>#DIV/0!</v>
      </c>
      <c r="U492" s="5" t="e">
        <f ca="1">SQRT($B$9*AVERAGE((Q492:OFFSET(Q492,$B$8-1,0))))</f>
        <v>#DIV/0!</v>
      </c>
      <c r="W492" s="6" t="e">
        <f t="shared" si="47"/>
        <v>#DIV/0!</v>
      </c>
      <c r="X492" s="6" t="e">
        <f ca="1">SQRT($B$9*AVERAGE(W492:OFFSET(W492,$B$5-1,0)))</f>
        <v>#DIV/0!</v>
      </c>
      <c r="Y492" s="6" t="e">
        <f ca="1">SQRT($B$9*AVERAGE(W492:OFFSET(W492,$B$6-1,0)))</f>
        <v>#DIV/0!</v>
      </c>
      <c r="Z492" s="6" t="e">
        <f ca="1">SQRT($B$9*AVERAGE(W492:OFFSET(W492,$B$7-1,0)))</f>
        <v>#DIV/0!</v>
      </c>
      <c r="AA492" s="6" t="e">
        <f ca="1">SQRT($B$9*AVERAGE(W492:OFFSET(W492,$B$8-1,0)))</f>
        <v>#DIV/0!</v>
      </c>
      <c r="AC492" s="34" t="e">
        <f t="shared" si="45"/>
        <v>#DIV/0!</v>
      </c>
      <c r="AD492" s="34" t="e">
        <f ca="1">SQRT($B$9*SUM(AC492:OFFSET(AC492,$B$5-1,0))/($B$5-1))</f>
        <v>#DIV/0!</v>
      </c>
      <c r="AE492" s="34" t="e">
        <f ca="1">SQRT($B$9*SUM(AC492:OFFSET(AC492,$B$6-1,0))/($B$6-1))</f>
        <v>#DIV/0!</v>
      </c>
      <c r="AF492" s="34" t="e">
        <f ca="1">SQRT($B$9*SUM(AC492:OFFSET(AC492,$B$7-1,0))/($B$7-1))</f>
        <v>#DIV/0!</v>
      </c>
      <c r="AG492" s="34" t="e">
        <f ca="1">SQRT($B$9*SUM(AC492:OFFSET(AC492,$B$8-1,0))/($B$8-1))</f>
        <v>#DIV/0!</v>
      </c>
      <c r="AI492" s="1" t="e">
        <f t="shared" si="46"/>
        <v>#DIV/0!</v>
      </c>
      <c r="AJ492" s="4" t="e">
        <f ca="1">SQRT($B$9)*_xlfn.STDEV.S(AI492:OFFSET(AI492,$B$5-1,0))</f>
        <v>#DIV/0!</v>
      </c>
      <c r="AK492" s="4" t="e">
        <f ca="1">SQRT($B$9)*_xlfn.STDEV.S(AI492:OFFSET(AI492,$B$6-1,0))</f>
        <v>#DIV/0!</v>
      </c>
      <c r="AL492" s="4" t="e">
        <f ca="1">SQRT($B$9)*_xlfn.STDEV.S(AI492:OFFSET(AI492,$B$7-1,0))</f>
        <v>#DIV/0!</v>
      </c>
      <c r="AM492" s="4" t="e">
        <f ca="1">SQRT($B$9)*_xlfn.STDEV.S(AI492:OFFSET(AI492,$B$8-1,0))</f>
        <v>#DIV/0!</v>
      </c>
    </row>
    <row r="493" spans="5:39" x14ac:dyDescent="0.2">
      <c r="E493" s="42">
        <v>44740</v>
      </c>
      <c r="F493" s="43"/>
      <c r="G493" s="43"/>
      <c r="H493" s="43"/>
      <c r="I493" s="43"/>
      <c r="K493" s="3" t="e">
        <f t="shared" si="44"/>
        <v>#DIV/0!</v>
      </c>
      <c r="L493" s="3" t="e">
        <f ca="1">SQRT(AVERAGE(K493:OFFSET(K493,$B$5-1,0))*$B$9/(4*LN(2)))</f>
        <v>#DIV/0!</v>
      </c>
      <c r="M493" s="3" t="e">
        <f ca="1">SQRT(AVERAGE(K493:OFFSET(K493,$B$6-1,0))*$B$9/(4*LN(2)))</f>
        <v>#DIV/0!</v>
      </c>
      <c r="N493" s="3" t="e">
        <f ca="1">SQRT(AVERAGE(K493:OFFSET(K493,$B$7-1,0))*$B$9/(4*LN(2)))</f>
        <v>#DIV/0!</v>
      </c>
      <c r="O493" s="3" t="e">
        <f ca="1">SQRT(AVERAGE(K493:OFFSET(K493,$B$8-1,0))*$B$9/(4*LN(2)))</f>
        <v>#DIV/0!</v>
      </c>
      <c r="Q493" s="5" t="e">
        <f t="shared" si="43"/>
        <v>#DIV/0!</v>
      </c>
      <c r="R493" s="5" t="e">
        <f ca="1">SQRT($B$9*AVERAGE((Q493:OFFSET(Q493,$B$5-1,0))))</f>
        <v>#DIV/0!</v>
      </c>
      <c r="S493" s="5" t="e">
        <f ca="1">SQRT($B$9*AVERAGE((Q493:OFFSET(Q493,$B$6-1,0))))</f>
        <v>#DIV/0!</v>
      </c>
      <c r="T493" s="5" t="e">
        <f ca="1">SQRT($B$9*AVERAGE((Q493:OFFSET(Q493,$B$7-1,0))))</f>
        <v>#DIV/0!</v>
      </c>
      <c r="U493" s="5" t="e">
        <f ca="1">SQRT($B$9*AVERAGE((Q493:OFFSET(Q493,$B$8-1,0))))</f>
        <v>#DIV/0!</v>
      </c>
      <c r="W493" s="6" t="e">
        <f t="shared" si="47"/>
        <v>#DIV/0!</v>
      </c>
      <c r="X493" s="6" t="e">
        <f ca="1">SQRT($B$9*AVERAGE(W493:OFFSET(W493,$B$5-1,0)))</f>
        <v>#DIV/0!</v>
      </c>
      <c r="Y493" s="6" t="e">
        <f ca="1">SQRT($B$9*AVERAGE(W493:OFFSET(W493,$B$6-1,0)))</f>
        <v>#DIV/0!</v>
      </c>
      <c r="Z493" s="6" t="e">
        <f ca="1">SQRT($B$9*AVERAGE(W493:OFFSET(W493,$B$7-1,0)))</f>
        <v>#DIV/0!</v>
      </c>
      <c r="AA493" s="6" t="e">
        <f ca="1">SQRT($B$9*AVERAGE(W493:OFFSET(W493,$B$8-1,0)))</f>
        <v>#DIV/0!</v>
      </c>
      <c r="AC493" s="34" t="e">
        <f t="shared" si="45"/>
        <v>#DIV/0!</v>
      </c>
      <c r="AD493" s="34" t="e">
        <f ca="1">SQRT($B$9*SUM(AC493:OFFSET(AC493,$B$5-1,0))/($B$5-1))</f>
        <v>#DIV/0!</v>
      </c>
      <c r="AE493" s="34" t="e">
        <f ca="1">SQRT($B$9*SUM(AC493:OFFSET(AC493,$B$6-1,0))/($B$6-1))</f>
        <v>#DIV/0!</v>
      </c>
      <c r="AF493" s="34" t="e">
        <f ca="1">SQRT($B$9*SUM(AC493:OFFSET(AC493,$B$7-1,0))/($B$7-1))</f>
        <v>#DIV/0!</v>
      </c>
      <c r="AG493" s="34" t="e">
        <f ca="1">SQRT($B$9*SUM(AC493:OFFSET(AC493,$B$8-1,0))/($B$8-1))</f>
        <v>#DIV/0!</v>
      </c>
      <c r="AI493" s="1" t="e">
        <f t="shared" si="46"/>
        <v>#DIV/0!</v>
      </c>
      <c r="AJ493" s="4" t="e">
        <f ca="1">SQRT($B$9)*_xlfn.STDEV.S(AI493:OFFSET(AI493,$B$5-1,0))</f>
        <v>#DIV/0!</v>
      </c>
      <c r="AK493" s="4" t="e">
        <f ca="1">SQRT($B$9)*_xlfn.STDEV.S(AI493:OFFSET(AI493,$B$6-1,0))</f>
        <v>#DIV/0!</v>
      </c>
      <c r="AL493" s="4" t="e">
        <f ca="1">SQRT($B$9)*_xlfn.STDEV.S(AI493:OFFSET(AI493,$B$7-1,0))</f>
        <v>#DIV/0!</v>
      </c>
      <c r="AM493" s="4" t="e">
        <f ca="1">SQRT($B$9)*_xlfn.STDEV.S(AI493:OFFSET(AI493,$B$8-1,0))</f>
        <v>#DIV/0!</v>
      </c>
    </row>
    <row r="494" spans="5:39" x14ac:dyDescent="0.2">
      <c r="E494" s="42">
        <v>44739</v>
      </c>
      <c r="F494" s="43"/>
      <c r="G494" s="43"/>
      <c r="H494" s="43"/>
      <c r="I494" s="43"/>
      <c r="K494" s="3" t="e">
        <f t="shared" si="44"/>
        <v>#DIV/0!</v>
      </c>
      <c r="L494" s="3" t="e">
        <f ca="1">SQRT(AVERAGE(K494:OFFSET(K494,$B$5-1,0))*$B$9/(4*LN(2)))</f>
        <v>#DIV/0!</v>
      </c>
      <c r="M494" s="3" t="e">
        <f ca="1">SQRT(AVERAGE(K494:OFFSET(K494,$B$6-1,0))*$B$9/(4*LN(2)))</f>
        <v>#DIV/0!</v>
      </c>
      <c r="N494" s="3" t="e">
        <f ca="1">SQRT(AVERAGE(K494:OFFSET(K494,$B$7-1,0))*$B$9/(4*LN(2)))</f>
        <v>#DIV/0!</v>
      </c>
      <c r="O494" s="3" t="e">
        <f ca="1">SQRT(AVERAGE(K494:OFFSET(K494,$B$8-1,0))*$B$9/(4*LN(2)))</f>
        <v>#DIV/0!</v>
      </c>
      <c r="Q494" s="5" t="e">
        <f t="shared" si="43"/>
        <v>#DIV/0!</v>
      </c>
      <c r="R494" s="5" t="e">
        <f ca="1">SQRT($B$9*AVERAGE((Q494:OFFSET(Q494,$B$5-1,0))))</f>
        <v>#DIV/0!</v>
      </c>
      <c r="S494" s="5" t="e">
        <f ca="1">SQRT($B$9*AVERAGE((Q494:OFFSET(Q494,$B$6-1,0))))</f>
        <v>#DIV/0!</v>
      </c>
      <c r="T494" s="5" t="e">
        <f ca="1">SQRT($B$9*AVERAGE((Q494:OFFSET(Q494,$B$7-1,0))))</f>
        <v>#DIV/0!</v>
      </c>
      <c r="U494" s="5" t="e">
        <f ca="1">SQRT($B$9*AVERAGE((Q494:OFFSET(Q494,$B$8-1,0))))</f>
        <v>#DIV/0!</v>
      </c>
      <c r="W494" s="6" t="e">
        <f t="shared" si="47"/>
        <v>#DIV/0!</v>
      </c>
      <c r="X494" s="6" t="e">
        <f ca="1">SQRT($B$9*AVERAGE(W494:OFFSET(W494,$B$5-1,0)))</f>
        <v>#DIV/0!</v>
      </c>
      <c r="Y494" s="6" t="e">
        <f ca="1">SQRT($B$9*AVERAGE(W494:OFFSET(W494,$B$6-1,0)))</f>
        <v>#DIV/0!</v>
      </c>
      <c r="Z494" s="6" t="e">
        <f ca="1">SQRT($B$9*AVERAGE(W494:OFFSET(W494,$B$7-1,0)))</f>
        <v>#DIV/0!</v>
      </c>
      <c r="AA494" s="6" t="e">
        <f ca="1">SQRT($B$9*AVERAGE(W494:OFFSET(W494,$B$8-1,0)))</f>
        <v>#DIV/0!</v>
      </c>
      <c r="AC494" s="34" t="e">
        <f t="shared" si="45"/>
        <v>#DIV/0!</v>
      </c>
      <c r="AD494" s="34" t="e">
        <f ca="1">SQRT($B$9*SUM(AC494:OFFSET(AC494,$B$5-1,0))/($B$5-1))</f>
        <v>#DIV/0!</v>
      </c>
      <c r="AE494" s="34" t="e">
        <f ca="1">SQRT($B$9*SUM(AC494:OFFSET(AC494,$B$6-1,0))/($B$6-1))</f>
        <v>#DIV/0!</v>
      </c>
      <c r="AF494" s="34" t="e">
        <f ca="1">SQRT($B$9*SUM(AC494:OFFSET(AC494,$B$7-1,0))/($B$7-1))</f>
        <v>#DIV/0!</v>
      </c>
      <c r="AG494" s="34" t="e">
        <f ca="1">SQRT($B$9*SUM(AC494:OFFSET(AC494,$B$8-1,0))/($B$8-1))</f>
        <v>#DIV/0!</v>
      </c>
      <c r="AI494" s="1" t="e">
        <f t="shared" si="46"/>
        <v>#DIV/0!</v>
      </c>
      <c r="AJ494" s="4" t="e">
        <f ca="1">SQRT($B$9)*_xlfn.STDEV.S(AI494:OFFSET(AI494,$B$5-1,0))</f>
        <v>#DIV/0!</v>
      </c>
      <c r="AK494" s="4" t="e">
        <f ca="1">SQRT($B$9)*_xlfn.STDEV.S(AI494:OFFSET(AI494,$B$6-1,0))</f>
        <v>#DIV/0!</v>
      </c>
      <c r="AL494" s="4" t="e">
        <f ca="1">SQRT($B$9)*_xlfn.STDEV.S(AI494:OFFSET(AI494,$B$7-1,0))</f>
        <v>#DIV/0!</v>
      </c>
      <c r="AM494" s="4" t="e">
        <f ca="1">SQRT($B$9)*_xlfn.STDEV.S(AI494:OFFSET(AI494,$B$8-1,0))</f>
        <v>#DIV/0!</v>
      </c>
    </row>
    <row r="495" spans="5:39" x14ac:dyDescent="0.2">
      <c r="E495" s="42">
        <v>44736</v>
      </c>
      <c r="F495" s="43"/>
      <c r="G495" s="43"/>
      <c r="H495" s="43"/>
      <c r="I495" s="43"/>
      <c r="K495" s="3" t="e">
        <f t="shared" si="44"/>
        <v>#DIV/0!</v>
      </c>
      <c r="L495" s="3" t="e">
        <f ca="1">SQRT(AVERAGE(K495:OFFSET(K495,$B$5-1,0))*$B$9/(4*LN(2)))</f>
        <v>#DIV/0!</v>
      </c>
      <c r="M495" s="3" t="e">
        <f ca="1">SQRT(AVERAGE(K495:OFFSET(K495,$B$6-1,0))*$B$9/(4*LN(2)))</f>
        <v>#DIV/0!</v>
      </c>
      <c r="N495" s="3" t="e">
        <f ca="1">SQRT(AVERAGE(K495:OFFSET(K495,$B$7-1,0))*$B$9/(4*LN(2)))</f>
        <v>#DIV/0!</v>
      </c>
      <c r="O495" s="3" t="e">
        <f ca="1">SQRT(AVERAGE(K495:OFFSET(K495,$B$8-1,0))*$B$9/(4*LN(2)))</f>
        <v>#DIV/0!</v>
      </c>
      <c r="Q495" s="5" t="e">
        <f t="shared" si="43"/>
        <v>#DIV/0!</v>
      </c>
      <c r="R495" s="5" t="e">
        <f ca="1">SQRT($B$9*AVERAGE((Q495:OFFSET(Q495,$B$5-1,0))))</f>
        <v>#DIV/0!</v>
      </c>
      <c r="S495" s="5" t="e">
        <f ca="1">SQRT($B$9*AVERAGE((Q495:OFFSET(Q495,$B$6-1,0))))</f>
        <v>#DIV/0!</v>
      </c>
      <c r="T495" s="5" t="e">
        <f ca="1">SQRT($B$9*AVERAGE((Q495:OFFSET(Q495,$B$7-1,0))))</f>
        <v>#DIV/0!</v>
      </c>
      <c r="U495" s="5" t="e">
        <f ca="1">SQRT($B$9*AVERAGE((Q495:OFFSET(Q495,$B$8-1,0))))</f>
        <v>#DIV/0!</v>
      </c>
      <c r="W495" s="6" t="e">
        <f t="shared" si="47"/>
        <v>#DIV/0!</v>
      </c>
      <c r="X495" s="6" t="e">
        <f ca="1">SQRT($B$9*AVERAGE(W495:OFFSET(W495,$B$5-1,0)))</f>
        <v>#DIV/0!</v>
      </c>
      <c r="Y495" s="6" t="e">
        <f ca="1">SQRT($B$9*AVERAGE(W495:OFFSET(W495,$B$6-1,0)))</f>
        <v>#DIV/0!</v>
      </c>
      <c r="Z495" s="6" t="e">
        <f ca="1">SQRT($B$9*AVERAGE(W495:OFFSET(W495,$B$7-1,0)))</f>
        <v>#DIV/0!</v>
      </c>
      <c r="AA495" s="6" t="e">
        <f ca="1">SQRT($B$9*AVERAGE(W495:OFFSET(W495,$B$8-1,0)))</f>
        <v>#DIV/0!</v>
      </c>
      <c r="AC495" s="34" t="e">
        <f t="shared" si="45"/>
        <v>#DIV/0!</v>
      </c>
      <c r="AD495" s="34" t="e">
        <f ca="1">SQRT($B$9*SUM(AC495:OFFSET(AC495,$B$5-1,0))/($B$5-1))</f>
        <v>#DIV/0!</v>
      </c>
      <c r="AE495" s="34" t="e">
        <f ca="1">SQRT($B$9*SUM(AC495:OFFSET(AC495,$B$6-1,0))/($B$6-1))</f>
        <v>#DIV/0!</v>
      </c>
      <c r="AF495" s="34" t="e">
        <f ca="1">SQRT($B$9*SUM(AC495:OFFSET(AC495,$B$7-1,0))/($B$7-1))</f>
        <v>#DIV/0!</v>
      </c>
      <c r="AG495" s="34" t="e">
        <f ca="1">SQRT($B$9*SUM(AC495:OFFSET(AC495,$B$8-1,0))/($B$8-1))</f>
        <v>#DIV/0!</v>
      </c>
      <c r="AI495" s="1" t="e">
        <f t="shared" si="46"/>
        <v>#DIV/0!</v>
      </c>
      <c r="AJ495" s="4" t="e">
        <f ca="1">SQRT($B$9)*_xlfn.STDEV.S(AI495:OFFSET(AI495,$B$5-1,0))</f>
        <v>#DIV/0!</v>
      </c>
      <c r="AK495" s="4" t="e">
        <f ca="1">SQRT($B$9)*_xlfn.STDEV.S(AI495:OFFSET(AI495,$B$6-1,0))</f>
        <v>#DIV/0!</v>
      </c>
      <c r="AL495" s="4" t="e">
        <f ca="1">SQRT($B$9)*_xlfn.STDEV.S(AI495:OFFSET(AI495,$B$7-1,0))</f>
        <v>#DIV/0!</v>
      </c>
      <c r="AM495" s="4" t="e">
        <f ca="1">SQRT($B$9)*_xlfn.STDEV.S(AI495:OFFSET(AI495,$B$8-1,0))</f>
        <v>#DIV/0!</v>
      </c>
    </row>
    <row r="496" spans="5:39" x14ac:dyDescent="0.2">
      <c r="E496" s="42">
        <v>44735</v>
      </c>
      <c r="F496" s="43"/>
      <c r="G496" s="43"/>
      <c r="H496" s="43"/>
      <c r="I496" s="43"/>
      <c r="K496" s="3" t="e">
        <f t="shared" si="44"/>
        <v>#DIV/0!</v>
      </c>
      <c r="L496" s="3" t="e">
        <f ca="1">SQRT(AVERAGE(K496:OFFSET(K496,$B$5-1,0))*$B$9/(4*LN(2)))</f>
        <v>#DIV/0!</v>
      </c>
      <c r="M496" s="3" t="e">
        <f ca="1">SQRT(AVERAGE(K496:OFFSET(K496,$B$6-1,0))*$B$9/(4*LN(2)))</f>
        <v>#DIV/0!</v>
      </c>
      <c r="N496" s="3" t="e">
        <f ca="1">SQRT(AVERAGE(K496:OFFSET(K496,$B$7-1,0))*$B$9/(4*LN(2)))</f>
        <v>#DIV/0!</v>
      </c>
      <c r="O496" s="3" t="e">
        <f ca="1">SQRT(AVERAGE(K496:OFFSET(K496,$B$8-1,0))*$B$9/(4*LN(2)))</f>
        <v>#DIV/0!</v>
      </c>
      <c r="Q496" s="5" t="e">
        <f t="shared" si="43"/>
        <v>#DIV/0!</v>
      </c>
      <c r="R496" s="5" t="e">
        <f ca="1">SQRT($B$9*AVERAGE((Q496:OFFSET(Q496,$B$5-1,0))))</f>
        <v>#DIV/0!</v>
      </c>
      <c r="S496" s="5" t="e">
        <f ca="1">SQRT($B$9*AVERAGE((Q496:OFFSET(Q496,$B$6-1,0))))</f>
        <v>#DIV/0!</v>
      </c>
      <c r="T496" s="5" t="e">
        <f ca="1">SQRT($B$9*AVERAGE((Q496:OFFSET(Q496,$B$7-1,0))))</f>
        <v>#DIV/0!</v>
      </c>
      <c r="U496" s="5" t="e">
        <f ca="1">SQRT($B$9*AVERAGE((Q496:OFFSET(Q496,$B$8-1,0))))</f>
        <v>#DIV/0!</v>
      </c>
      <c r="W496" s="6" t="e">
        <f t="shared" si="47"/>
        <v>#DIV/0!</v>
      </c>
      <c r="X496" s="6" t="e">
        <f ca="1">SQRT($B$9*AVERAGE(W496:OFFSET(W496,$B$5-1,0)))</f>
        <v>#DIV/0!</v>
      </c>
      <c r="Y496" s="6" t="e">
        <f ca="1">SQRT($B$9*AVERAGE(W496:OFFSET(W496,$B$6-1,0)))</f>
        <v>#DIV/0!</v>
      </c>
      <c r="Z496" s="6" t="e">
        <f ca="1">SQRT($B$9*AVERAGE(W496:OFFSET(W496,$B$7-1,0)))</f>
        <v>#DIV/0!</v>
      </c>
      <c r="AA496" s="6" t="e">
        <f ca="1">SQRT($B$9*AVERAGE(W496:OFFSET(W496,$B$8-1,0)))</f>
        <v>#DIV/0!</v>
      </c>
      <c r="AC496" s="34" t="e">
        <f t="shared" si="45"/>
        <v>#DIV/0!</v>
      </c>
      <c r="AD496" s="34" t="e">
        <f ca="1">SQRT($B$9*SUM(AC496:OFFSET(AC496,$B$5-1,0))/($B$5-1))</f>
        <v>#DIV/0!</v>
      </c>
      <c r="AE496" s="34" t="e">
        <f ca="1">SQRT($B$9*SUM(AC496:OFFSET(AC496,$B$6-1,0))/($B$6-1))</f>
        <v>#DIV/0!</v>
      </c>
      <c r="AF496" s="34" t="e">
        <f ca="1">SQRT($B$9*SUM(AC496:OFFSET(AC496,$B$7-1,0))/($B$7-1))</f>
        <v>#DIV/0!</v>
      </c>
      <c r="AG496" s="34" t="e">
        <f ca="1">SQRT($B$9*SUM(AC496:OFFSET(AC496,$B$8-1,0))/($B$8-1))</f>
        <v>#DIV/0!</v>
      </c>
      <c r="AI496" s="1" t="e">
        <f t="shared" si="46"/>
        <v>#DIV/0!</v>
      </c>
      <c r="AJ496" s="4" t="e">
        <f ca="1">SQRT($B$9)*_xlfn.STDEV.S(AI496:OFFSET(AI496,$B$5-1,0))</f>
        <v>#DIV/0!</v>
      </c>
      <c r="AK496" s="4" t="e">
        <f ca="1">SQRT($B$9)*_xlfn.STDEV.S(AI496:OFFSET(AI496,$B$6-1,0))</f>
        <v>#DIV/0!</v>
      </c>
      <c r="AL496" s="4" t="e">
        <f ca="1">SQRT($B$9)*_xlfn.STDEV.S(AI496:OFFSET(AI496,$B$7-1,0))</f>
        <v>#DIV/0!</v>
      </c>
      <c r="AM496" s="4" t="e">
        <f ca="1">SQRT($B$9)*_xlfn.STDEV.S(AI496:OFFSET(AI496,$B$8-1,0))</f>
        <v>#DIV/0!</v>
      </c>
    </row>
    <row r="497" spans="5:39" x14ac:dyDescent="0.2">
      <c r="E497" s="42">
        <v>44734</v>
      </c>
      <c r="F497" s="43"/>
      <c r="G497" s="43"/>
      <c r="H497" s="43"/>
      <c r="I497" s="43"/>
      <c r="K497" s="3" t="e">
        <f t="shared" si="44"/>
        <v>#DIV/0!</v>
      </c>
      <c r="L497" s="3" t="e">
        <f ca="1">SQRT(AVERAGE(K497:OFFSET(K497,$B$5-1,0))*$B$9/(4*LN(2)))</f>
        <v>#DIV/0!</v>
      </c>
      <c r="M497" s="3" t="e">
        <f ca="1">SQRT(AVERAGE(K497:OFFSET(K497,$B$6-1,0))*$B$9/(4*LN(2)))</f>
        <v>#DIV/0!</v>
      </c>
      <c r="N497" s="3" t="e">
        <f ca="1">SQRT(AVERAGE(K497:OFFSET(K497,$B$7-1,0))*$B$9/(4*LN(2)))</f>
        <v>#DIV/0!</v>
      </c>
      <c r="O497" s="3" t="e">
        <f ca="1">SQRT(AVERAGE(K497:OFFSET(K497,$B$8-1,0))*$B$9/(4*LN(2)))</f>
        <v>#DIV/0!</v>
      </c>
      <c r="Q497" s="5" t="e">
        <f t="shared" si="43"/>
        <v>#DIV/0!</v>
      </c>
      <c r="R497" s="5" t="e">
        <f ca="1">SQRT($B$9*AVERAGE((Q497:OFFSET(Q497,$B$5-1,0))))</f>
        <v>#DIV/0!</v>
      </c>
      <c r="S497" s="5" t="e">
        <f ca="1">SQRT($B$9*AVERAGE((Q497:OFFSET(Q497,$B$6-1,0))))</f>
        <v>#DIV/0!</v>
      </c>
      <c r="T497" s="5" t="e">
        <f ca="1">SQRT($B$9*AVERAGE((Q497:OFFSET(Q497,$B$7-1,0))))</f>
        <v>#DIV/0!</v>
      </c>
      <c r="U497" s="5" t="e">
        <f ca="1">SQRT($B$9*AVERAGE((Q497:OFFSET(Q497,$B$8-1,0))))</f>
        <v>#DIV/0!</v>
      </c>
      <c r="W497" s="6" t="e">
        <f t="shared" si="47"/>
        <v>#DIV/0!</v>
      </c>
      <c r="X497" s="6" t="e">
        <f ca="1">SQRT($B$9*AVERAGE(W497:OFFSET(W497,$B$5-1,0)))</f>
        <v>#DIV/0!</v>
      </c>
      <c r="Y497" s="6" t="e">
        <f ca="1">SQRT($B$9*AVERAGE(W497:OFFSET(W497,$B$6-1,0)))</f>
        <v>#DIV/0!</v>
      </c>
      <c r="Z497" s="6" t="e">
        <f ca="1">SQRT($B$9*AVERAGE(W497:OFFSET(W497,$B$7-1,0)))</f>
        <v>#DIV/0!</v>
      </c>
      <c r="AA497" s="6" t="e">
        <f ca="1">SQRT($B$9*AVERAGE(W497:OFFSET(W497,$B$8-1,0)))</f>
        <v>#DIV/0!</v>
      </c>
      <c r="AC497" s="34" t="e">
        <f t="shared" si="45"/>
        <v>#DIV/0!</v>
      </c>
      <c r="AD497" s="34" t="e">
        <f ca="1">SQRT($B$9*SUM(AC497:OFFSET(AC497,$B$5-1,0))/($B$5-1))</f>
        <v>#DIV/0!</v>
      </c>
      <c r="AE497" s="34" t="e">
        <f ca="1">SQRT($B$9*SUM(AC497:OFFSET(AC497,$B$6-1,0))/($B$6-1))</f>
        <v>#DIV/0!</v>
      </c>
      <c r="AF497" s="34" t="e">
        <f ca="1">SQRT($B$9*SUM(AC497:OFFSET(AC497,$B$7-1,0))/($B$7-1))</f>
        <v>#DIV/0!</v>
      </c>
      <c r="AG497" s="34" t="e">
        <f ca="1">SQRT($B$9*SUM(AC497:OFFSET(AC497,$B$8-1,0))/($B$8-1))</f>
        <v>#DIV/0!</v>
      </c>
      <c r="AI497" s="1" t="e">
        <f t="shared" si="46"/>
        <v>#DIV/0!</v>
      </c>
      <c r="AJ497" s="4" t="e">
        <f ca="1">SQRT($B$9)*_xlfn.STDEV.S(AI497:OFFSET(AI497,$B$5-1,0))</f>
        <v>#DIV/0!</v>
      </c>
      <c r="AK497" s="4" t="e">
        <f ca="1">SQRT($B$9)*_xlfn.STDEV.S(AI497:OFFSET(AI497,$B$6-1,0))</f>
        <v>#DIV/0!</v>
      </c>
      <c r="AL497" s="4" t="e">
        <f ca="1">SQRT($B$9)*_xlfn.STDEV.S(AI497:OFFSET(AI497,$B$7-1,0))</f>
        <v>#DIV/0!</v>
      </c>
      <c r="AM497" s="4" t="e">
        <f ca="1">SQRT($B$9)*_xlfn.STDEV.S(AI497:OFFSET(AI497,$B$8-1,0))</f>
        <v>#DIV/0!</v>
      </c>
    </row>
    <row r="498" spans="5:39" x14ac:dyDescent="0.2">
      <c r="E498" s="42">
        <v>44733</v>
      </c>
      <c r="F498" s="43"/>
      <c r="G498" s="43"/>
      <c r="H498" s="43"/>
      <c r="I498" s="43"/>
      <c r="K498" s="3" t="e">
        <f t="shared" si="44"/>
        <v>#DIV/0!</v>
      </c>
      <c r="L498" s="3" t="e">
        <f ca="1">SQRT(AVERAGE(K498:OFFSET(K498,$B$5-1,0))*$B$9/(4*LN(2)))</f>
        <v>#DIV/0!</v>
      </c>
      <c r="M498" s="3" t="e">
        <f ca="1">SQRT(AVERAGE(K498:OFFSET(K498,$B$6-1,0))*$B$9/(4*LN(2)))</f>
        <v>#DIV/0!</v>
      </c>
      <c r="N498" s="3" t="e">
        <f ca="1">SQRT(AVERAGE(K498:OFFSET(K498,$B$7-1,0))*$B$9/(4*LN(2)))</f>
        <v>#DIV/0!</v>
      </c>
      <c r="O498" s="3" t="e">
        <f ca="1">SQRT(AVERAGE(K498:OFFSET(K498,$B$8-1,0))*$B$9/(4*LN(2)))</f>
        <v>#DIV/0!</v>
      </c>
      <c r="Q498" s="5" t="e">
        <f t="shared" si="43"/>
        <v>#DIV/0!</v>
      </c>
      <c r="R498" s="5" t="e">
        <f ca="1">SQRT($B$9*AVERAGE((Q498:OFFSET(Q498,$B$5-1,0))))</f>
        <v>#DIV/0!</v>
      </c>
      <c r="S498" s="5" t="e">
        <f ca="1">SQRT($B$9*AVERAGE((Q498:OFFSET(Q498,$B$6-1,0))))</f>
        <v>#DIV/0!</v>
      </c>
      <c r="T498" s="5" t="e">
        <f ca="1">SQRT($B$9*AVERAGE((Q498:OFFSET(Q498,$B$7-1,0))))</f>
        <v>#DIV/0!</v>
      </c>
      <c r="U498" s="5" t="e">
        <f ca="1">SQRT($B$9*AVERAGE((Q498:OFFSET(Q498,$B$8-1,0))))</f>
        <v>#DIV/0!</v>
      </c>
      <c r="W498" s="6" t="e">
        <f t="shared" si="47"/>
        <v>#DIV/0!</v>
      </c>
      <c r="X498" s="6" t="e">
        <f ca="1">SQRT($B$9*AVERAGE(W498:OFFSET(W498,$B$5-1,0)))</f>
        <v>#DIV/0!</v>
      </c>
      <c r="Y498" s="6" t="e">
        <f ca="1">SQRT($B$9*AVERAGE(W498:OFFSET(W498,$B$6-1,0)))</f>
        <v>#DIV/0!</v>
      </c>
      <c r="Z498" s="6" t="e">
        <f ca="1">SQRT($B$9*AVERAGE(W498:OFFSET(W498,$B$7-1,0)))</f>
        <v>#DIV/0!</v>
      </c>
      <c r="AA498" s="6" t="e">
        <f ca="1">SQRT($B$9*AVERAGE(W498:OFFSET(W498,$B$8-1,0)))</f>
        <v>#DIV/0!</v>
      </c>
      <c r="AC498" s="34" t="e">
        <f t="shared" si="45"/>
        <v>#DIV/0!</v>
      </c>
      <c r="AD498" s="34" t="e">
        <f ca="1">SQRT($B$9*SUM(AC498:OFFSET(AC498,$B$5-1,0))/($B$5-1))</f>
        <v>#DIV/0!</v>
      </c>
      <c r="AE498" s="34" t="e">
        <f ca="1">SQRT($B$9*SUM(AC498:OFFSET(AC498,$B$6-1,0))/($B$6-1))</f>
        <v>#DIV/0!</v>
      </c>
      <c r="AF498" s="34" t="e">
        <f ca="1">SQRT($B$9*SUM(AC498:OFFSET(AC498,$B$7-1,0))/($B$7-1))</f>
        <v>#DIV/0!</v>
      </c>
      <c r="AG498" s="34" t="e">
        <f ca="1">SQRT($B$9*SUM(AC498:OFFSET(AC498,$B$8-1,0))/($B$8-1))</f>
        <v>#DIV/0!</v>
      </c>
      <c r="AI498" s="1" t="e">
        <f t="shared" si="46"/>
        <v>#DIV/0!</v>
      </c>
      <c r="AJ498" s="4" t="e">
        <f ca="1">SQRT($B$9)*_xlfn.STDEV.S(AI498:OFFSET(AI498,$B$5-1,0))</f>
        <v>#DIV/0!</v>
      </c>
      <c r="AK498" s="4" t="e">
        <f ca="1">SQRT($B$9)*_xlfn.STDEV.S(AI498:OFFSET(AI498,$B$6-1,0))</f>
        <v>#DIV/0!</v>
      </c>
      <c r="AL498" s="4" t="e">
        <f ca="1">SQRT($B$9)*_xlfn.STDEV.S(AI498:OFFSET(AI498,$B$7-1,0))</f>
        <v>#DIV/0!</v>
      </c>
      <c r="AM498" s="4" t="e">
        <f ca="1">SQRT($B$9)*_xlfn.STDEV.S(AI498:OFFSET(AI498,$B$8-1,0))</f>
        <v>#DIV/0!</v>
      </c>
    </row>
    <row r="499" spans="5:39" x14ac:dyDescent="0.2">
      <c r="E499" s="42">
        <v>44732</v>
      </c>
      <c r="F499" s="43"/>
      <c r="G499" s="43"/>
      <c r="H499" s="43"/>
      <c r="I499" s="43"/>
      <c r="K499" s="3" t="e">
        <f t="shared" si="44"/>
        <v>#DIV/0!</v>
      </c>
      <c r="L499" s="3" t="e">
        <f ca="1">SQRT(AVERAGE(K499:OFFSET(K499,$B$5-1,0))*$B$9/(4*LN(2)))</f>
        <v>#DIV/0!</v>
      </c>
      <c r="M499" s="3" t="e">
        <f ca="1">SQRT(AVERAGE(K499:OFFSET(K499,$B$6-1,0))*$B$9/(4*LN(2)))</f>
        <v>#DIV/0!</v>
      </c>
      <c r="N499" s="3" t="e">
        <f ca="1">SQRT(AVERAGE(K499:OFFSET(K499,$B$7-1,0))*$B$9/(4*LN(2)))</f>
        <v>#DIV/0!</v>
      </c>
      <c r="O499" s="3" t="e">
        <f ca="1">SQRT(AVERAGE(K499:OFFSET(K499,$B$8-1,0))*$B$9/(4*LN(2)))</f>
        <v>#DIV/0!</v>
      </c>
      <c r="Q499" s="5" t="e">
        <f t="shared" si="43"/>
        <v>#DIV/0!</v>
      </c>
      <c r="R499" s="5" t="e">
        <f ca="1">SQRT($B$9*AVERAGE((Q499:OFFSET(Q499,$B$5-1,0))))</f>
        <v>#DIV/0!</v>
      </c>
      <c r="S499" s="5" t="e">
        <f ca="1">SQRT($B$9*AVERAGE((Q499:OFFSET(Q499,$B$6-1,0))))</f>
        <v>#DIV/0!</v>
      </c>
      <c r="T499" s="5" t="e">
        <f ca="1">SQRT($B$9*AVERAGE((Q499:OFFSET(Q499,$B$7-1,0))))</f>
        <v>#DIV/0!</v>
      </c>
      <c r="U499" s="5" t="e">
        <f ca="1">SQRT($B$9*AVERAGE((Q499:OFFSET(Q499,$B$8-1,0))))</f>
        <v>#DIV/0!</v>
      </c>
      <c r="W499" s="6" t="e">
        <f t="shared" si="47"/>
        <v>#DIV/0!</v>
      </c>
      <c r="X499" s="6" t="e">
        <f ca="1">SQRT($B$9*AVERAGE(W499:OFFSET(W499,$B$5-1,0)))</f>
        <v>#DIV/0!</v>
      </c>
      <c r="Y499" s="6" t="e">
        <f ca="1">SQRT($B$9*AVERAGE(W499:OFFSET(W499,$B$6-1,0)))</f>
        <v>#DIV/0!</v>
      </c>
      <c r="Z499" s="6" t="e">
        <f ca="1">SQRT($B$9*AVERAGE(W499:OFFSET(W499,$B$7-1,0)))</f>
        <v>#DIV/0!</v>
      </c>
      <c r="AA499" s="6" t="e">
        <f ca="1">SQRT($B$9*AVERAGE(W499:OFFSET(W499,$B$8-1,0)))</f>
        <v>#DIV/0!</v>
      </c>
      <c r="AC499" s="34" t="e">
        <f t="shared" si="45"/>
        <v>#DIV/0!</v>
      </c>
      <c r="AD499" s="34" t="e">
        <f ca="1">SQRT($B$9*SUM(AC499:OFFSET(AC499,$B$5-1,0))/($B$5-1))</f>
        <v>#DIV/0!</v>
      </c>
      <c r="AE499" s="34" t="e">
        <f ca="1">SQRT($B$9*SUM(AC499:OFFSET(AC499,$B$6-1,0))/($B$6-1))</f>
        <v>#DIV/0!</v>
      </c>
      <c r="AF499" s="34" t="e">
        <f ca="1">SQRT($B$9*SUM(AC499:OFFSET(AC499,$B$7-1,0))/($B$7-1))</f>
        <v>#DIV/0!</v>
      </c>
      <c r="AG499" s="34" t="e">
        <f ca="1">SQRT($B$9*SUM(AC499:OFFSET(AC499,$B$8-1,0))/($B$8-1))</f>
        <v>#DIV/0!</v>
      </c>
      <c r="AI499" s="1" t="e">
        <f t="shared" si="46"/>
        <v>#DIV/0!</v>
      </c>
      <c r="AJ499" s="4" t="e">
        <f ca="1">SQRT($B$9)*_xlfn.STDEV.S(AI499:OFFSET(AI499,$B$5-1,0))</f>
        <v>#DIV/0!</v>
      </c>
      <c r="AK499" s="4" t="e">
        <f ca="1">SQRT($B$9)*_xlfn.STDEV.S(AI499:OFFSET(AI499,$B$6-1,0))</f>
        <v>#DIV/0!</v>
      </c>
      <c r="AL499" s="4" t="e">
        <f ca="1">SQRT($B$9)*_xlfn.STDEV.S(AI499:OFFSET(AI499,$B$7-1,0))</f>
        <v>#DIV/0!</v>
      </c>
      <c r="AM499" s="4" t="e">
        <f ca="1">SQRT($B$9)*_xlfn.STDEV.S(AI499:OFFSET(AI499,$B$8-1,0))</f>
        <v>#DIV/0!</v>
      </c>
    </row>
    <row r="500" spans="5:39" x14ac:dyDescent="0.2">
      <c r="E500" s="42">
        <v>44729</v>
      </c>
      <c r="F500" s="43"/>
      <c r="G500" s="43"/>
      <c r="H500" s="43"/>
      <c r="I500" s="43"/>
      <c r="K500" s="3" t="e">
        <f t="shared" si="44"/>
        <v>#DIV/0!</v>
      </c>
      <c r="L500" s="3" t="e">
        <f ca="1">SQRT(AVERAGE(K500:OFFSET(K500,$B$5-1,0))*$B$9/(4*LN(2)))</f>
        <v>#DIV/0!</v>
      </c>
      <c r="M500" s="3" t="e">
        <f ca="1">SQRT(AVERAGE(K500:OFFSET(K500,$B$6-1,0))*$B$9/(4*LN(2)))</f>
        <v>#DIV/0!</v>
      </c>
      <c r="N500" s="3" t="e">
        <f ca="1">SQRT(AVERAGE(K500:OFFSET(K500,$B$7-1,0))*$B$9/(4*LN(2)))</f>
        <v>#DIV/0!</v>
      </c>
      <c r="O500" s="3" t="e">
        <f ca="1">SQRT(AVERAGE(K500:OFFSET(K500,$B$8-1,0))*$B$9/(4*LN(2)))</f>
        <v>#DIV/0!</v>
      </c>
      <c r="Q500" s="5" t="e">
        <f t="shared" si="43"/>
        <v>#DIV/0!</v>
      </c>
      <c r="R500" s="5" t="e">
        <f ca="1">SQRT($B$9*AVERAGE((Q500:OFFSET(Q500,$B$5-1,0))))</f>
        <v>#DIV/0!</v>
      </c>
      <c r="S500" s="5" t="e">
        <f ca="1">SQRT($B$9*AVERAGE((Q500:OFFSET(Q500,$B$6-1,0))))</f>
        <v>#DIV/0!</v>
      </c>
      <c r="T500" s="5" t="e">
        <f ca="1">SQRT($B$9*AVERAGE((Q500:OFFSET(Q500,$B$7-1,0))))</f>
        <v>#DIV/0!</v>
      </c>
      <c r="U500" s="5" t="e">
        <f ca="1">SQRT($B$9*AVERAGE((Q500:OFFSET(Q500,$B$8-1,0))))</f>
        <v>#DIV/0!</v>
      </c>
      <c r="W500" s="6" t="e">
        <f t="shared" si="47"/>
        <v>#DIV/0!</v>
      </c>
      <c r="X500" s="6" t="e">
        <f ca="1">SQRT($B$9*AVERAGE(W500:OFFSET(W500,$B$5-1,0)))</f>
        <v>#DIV/0!</v>
      </c>
      <c r="Y500" s="6" t="e">
        <f ca="1">SQRT($B$9*AVERAGE(W500:OFFSET(W500,$B$6-1,0)))</f>
        <v>#DIV/0!</v>
      </c>
      <c r="Z500" s="6" t="e">
        <f ca="1">SQRT($B$9*AVERAGE(W500:OFFSET(W500,$B$7-1,0)))</f>
        <v>#DIV/0!</v>
      </c>
      <c r="AA500" s="6" t="e">
        <f ca="1">SQRT($B$9*AVERAGE(W500:OFFSET(W500,$B$8-1,0)))</f>
        <v>#DIV/0!</v>
      </c>
      <c r="AC500" s="34" t="e">
        <f t="shared" si="45"/>
        <v>#DIV/0!</v>
      </c>
      <c r="AD500" s="34" t="e">
        <f ca="1">SQRT($B$9*SUM(AC500:OFFSET(AC500,$B$5-1,0))/($B$5-1))</f>
        <v>#DIV/0!</v>
      </c>
      <c r="AE500" s="34" t="e">
        <f ca="1">SQRT($B$9*SUM(AC500:OFFSET(AC500,$B$6-1,0))/($B$6-1))</f>
        <v>#DIV/0!</v>
      </c>
      <c r="AF500" s="34" t="e">
        <f ca="1">SQRT($B$9*SUM(AC500:OFFSET(AC500,$B$7-1,0))/($B$7-1))</f>
        <v>#DIV/0!</v>
      </c>
      <c r="AG500" s="34" t="e">
        <f ca="1">SQRT($B$9*SUM(AC500:OFFSET(AC500,$B$8-1,0))/($B$8-1))</f>
        <v>#DIV/0!</v>
      </c>
      <c r="AI500" s="1" t="e">
        <f t="shared" si="46"/>
        <v>#DIV/0!</v>
      </c>
      <c r="AJ500" s="4" t="e">
        <f ca="1">SQRT($B$9)*_xlfn.STDEV.S(AI500:OFFSET(AI500,$B$5-1,0))</f>
        <v>#DIV/0!</v>
      </c>
      <c r="AK500" s="4" t="e">
        <f ca="1">SQRT($B$9)*_xlfn.STDEV.S(AI500:OFFSET(AI500,$B$6-1,0))</f>
        <v>#DIV/0!</v>
      </c>
      <c r="AL500" s="4" t="e">
        <f ca="1">SQRT($B$9)*_xlfn.STDEV.S(AI500:OFFSET(AI500,$B$7-1,0))</f>
        <v>#DIV/0!</v>
      </c>
      <c r="AM500" s="4" t="e">
        <f ca="1">SQRT($B$9)*_xlfn.STDEV.S(AI500:OFFSET(AI500,$B$8-1,0))</f>
        <v>#DIV/0!</v>
      </c>
    </row>
    <row r="501" spans="5:39" x14ac:dyDescent="0.2">
      <c r="E501" s="42">
        <v>44728</v>
      </c>
      <c r="F501" s="43"/>
      <c r="G501" s="43"/>
      <c r="H501" s="43"/>
      <c r="I501" s="43"/>
      <c r="K501" s="3" t="e">
        <f t="shared" si="44"/>
        <v>#DIV/0!</v>
      </c>
      <c r="L501" s="3" t="e">
        <f ca="1">SQRT(AVERAGE(K501:OFFSET(K501,$B$5-1,0))*$B$9/(4*LN(2)))</f>
        <v>#DIV/0!</v>
      </c>
      <c r="M501" s="3" t="e">
        <f ca="1">SQRT(AVERAGE(K501:OFFSET(K501,$B$6-1,0))*$B$9/(4*LN(2)))</f>
        <v>#DIV/0!</v>
      </c>
      <c r="N501" s="3" t="e">
        <f ca="1">SQRT(AVERAGE(K501:OFFSET(K501,$B$7-1,0))*$B$9/(4*LN(2)))</f>
        <v>#DIV/0!</v>
      </c>
      <c r="O501" s="3" t="e">
        <f ca="1">SQRT(AVERAGE(K501:OFFSET(K501,$B$8-1,0))*$B$9/(4*LN(2)))</f>
        <v>#DIV/0!</v>
      </c>
      <c r="Q501" s="5" t="e">
        <f t="shared" si="43"/>
        <v>#DIV/0!</v>
      </c>
      <c r="R501" s="5" t="e">
        <f ca="1">SQRT($B$9*AVERAGE((Q501:OFFSET(Q501,$B$5-1,0))))</f>
        <v>#DIV/0!</v>
      </c>
      <c r="S501" s="5" t="e">
        <f ca="1">SQRT($B$9*AVERAGE((Q501:OFFSET(Q501,$B$6-1,0))))</f>
        <v>#DIV/0!</v>
      </c>
      <c r="T501" s="5" t="e">
        <f ca="1">SQRT($B$9*AVERAGE((Q501:OFFSET(Q501,$B$7-1,0))))</f>
        <v>#DIV/0!</v>
      </c>
      <c r="U501" s="5" t="e">
        <f ca="1">SQRT($B$9*AVERAGE((Q501:OFFSET(Q501,$B$8-1,0))))</f>
        <v>#DIV/0!</v>
      </c>
      <c r="W501" s="6" t="e">
        <f t="shared" si="47"/>
        <v>#DIV/0!</v>
      </c>
      <c r="X501" s="6" t="e">
        <f ca="1">SQRT($B$9*AVERAGE(W501:OFFSET(W501,$B$5-1,0)))</f>
        <v>#DIV/0!</v>
      </c>
      <c r="Y501" s="6" t="e">
        <f ca="1">SQRT($B$9*AVERAGE(W501:OFFSET(W501,$B$6-1,0)))</f>
        <v>#DIV/0!</v>
      </c>
      <c r="Z501" s="6" t="e">
        <f ca="1">SQRT($B$9*AVERAGE(W501:OFFSET(W501,$B$7-1,0)))</f>
        <v>#DIV/0!</v>
      </c>
      <c r="AA501" s="6" t="e">
        <f ca="1">SQRT($B$9*AVERAGE(W501:OFFSET(W501,$B$8-1,0)))</f>
        <v>#DIV/0!</v>
      </c>
      <c r="AC501" s="34" t="e">
        <f t="shared" si="45"/>
        <v>#DIV/0!</v>
      </c>
      <c r="AD501" s="34" t="e">
        <f ca="1">SQRT($B$9*SUM(AC501:OFFSET(AC501,$B$5-1,0))/($B$5-1))</f>
        <v>#DIV/0!</v>
      </c>
      <c r="AE501" s="34" t="e">
        <f ca="1">SQRT($B$9*SUM(AC501:OFFSET(AC501,$B$6-1,0))/($B$6-1))</f>
        <v>#DIV/0!</v>
      </c>
      <c r="AF501" s="34" t="e">
        <f ca="1">SQRT($B$9*SUM(AC501:OFFSET(AC501,$B$7-1,0))/($B$7-1))</f>
        <v>#DIV/0!</v>
      </c>
      <c r="AG501" s="34" t="e">
        <f ca="1">SQRT($B$9*SUM(AC501:OFFSET(AC501,$B$8-1,0))/($B$8-1))</f>
        <v>#DIV/0!</v>
      </c>
      <c r="AI501" s="1" t="e">
        <f t="shared" si="46"/>
        <v>#DIV/0!</v>
      </c>
      <c r="AJ501" s="4" t="e">
        <f ca="1">SQRT($B$9)*_xlfn.STDEV.S(AI501:OFFSET(AI501,$B$5-1,0))</f>
        <v>#DIV/0!</v>
      </c>
      <c r="AK501" s="4" t="e">
        <f ca="1">SQRT($B$9)*_xlfn.STDEV.S(AI501:OFFSET(AI501,$B$6-1,0))</f>
        <v>#DIV/0!</v>
      </c>
      <c r="AL501" s="4" t="e">
        <f ca="1">SQRT($B$9)*_xlfn.STDEV.S(AI501:OFFSET(AI501,$B$7-1,0))</f>
        <v>#DIV/0!</v>
      </c>
      <c r="AM501" s="4" t="e">
        <f ca="1">SQRT($B$9)*_xlfn.STDEV.S(AI501:OFFSET(AI501,$B$8-1,0))</f>
        <v>#DIV/0!</v>
      </c>
    </row>
    <row r="502" spans="5:39" x14ac:dyDescent="0.2">
      <c r="E502" s="42">
        <v>44727</v>
      </c>
      <c r="F502" s="43"/>
      <c r="G502" s="43"/>
      <c r="H502" s="43"/>
      <c r="I502" s="43"/>
      <c r="K502" s="3" t="e">
        <f t="shared" si="44"/>
        <v>#DIV/0!</v>
      </c>
      <c r="L502" s="3" t="e">
        <f ca="1">SQRT(AVERAGE(K502:OFFSET(K502,$B$5-1,0))*$B$9/(4*LN(2)))</f>
        <v>#DIV/0!</v>
      </c>
      <c r="M502" s="3" t="e">
        <f ca="1">SQRT(AVERAGE(K502:OFFSET(K502,$B$6-1,0))*$B$9/(4*LN(2)))</f>
        <v>#DIV/0!</v>
      </c>
      <c r="N502" s="3" t="e">
        <f ca="1">SQRT(AVERAGE(K502:OFFSET(K502,$B$7-1,0))*$B$9/(4*LN(2)))</f>
        <v>#DIV/0!</v>
      </c>
      <c r="O502" s="3" t="e">
        <f ca="1">SQRT(AVERAGE(K502:OFFSET(K502,$B$8-1,0))*$B$9/(4*LN(2)))</f>
        <v>#DIV/0!</v>
      </c>
      <c r="Q502" s="5" t="e">
        <f t="shared" si="43"/>
        <v>#DIV/0!</v>
      </c>
      <c r="R502" s="5" t="e">
        <f ca="1">SQRT($B$9*AVERAGE((Q502:OFFSET(Q502,$B$5-1,0))))</f>
        <v>#DIV/0!</v>
      </c>
      <c r="S502" s="5" t="e">
        <f ca="1">SQRT($B$9*AVERAGE((Q502:OFFSET(Q502,$B$6-1,0))))</f>
        <v>#DIV/0!</v>
      </c>
      <c r="T502" s="5" t="e">
        <f ca="1">SQRT($B$9*AVERAGE((Q502:OFFSET(Q502,$B$7-1,0))))</f>
        <v>#DIV/0!</v>
      </c>
      <c r="U502" s="5" t="e">
        <f ca="1">SQRT($B$9*AVERAGE((Q502:OFFSET(Q502,$B$8-1,0))))</f>
        <v>#DIV/0!</v>
      </c>
      <c r="W502" s="6" t="e">
        <f t="shared" si="47"/>
        <v>#DIV/0!</v>
      </c>
      <c r="X502" s="6" t="e">
        <f ca="1">SQRT($B$9*AVERAGE(W502:OFFSET(W502,$B$5-1,0)))</f>
        <v>#DIV/0!</v>
      </c>
      <c r="Y502" s="6" t="e">
        <f ca="1">SQRT($B$9*AVERAGE(W502:OFFSET(W502,$B$6-1,0)))</f>
        <v>#DIV/0!</v>
      </c>
      <c r="Z502" s="6" t="e">
        <f ca="1">SQRT($B$9*AVERAGE(W502:OFFSET(W502,$B$7-1,0)))</f>
        <v>#DIV/0!</v>
      </c>
      <c r="AA502" s="6" t="e">
        <f ca="1">SQRT($B$9*AVERAGE(W502:OFFSET(W502,$B$8-1,0)))</f>
        <v>#DIV/0!</v>
      </c>
      <c r="AC502" s="34" t="e">
        <f t="shared" si="45"/>
        <v>#DIV/0!</v>
      </c>
      <c r="AD502" s="34" t="e">
        <f ca="1">SQRT($B$9*SUM(AC502:OFFSET(AC502,$B$5-1,0))/($B$5-1))</f>
        <v>#DIV/0!</v>
      </c>
      <c r="AE502" s="34" t="e">
        <f ca="1">SQRT($B$9*SUM(AC502:OFFSET(AC502,$B$6-1,0))/($B$6-1))</f>
        <v>#DIV/0!</v>
      </c>
      <c r="AF502" s="34" t="e">
        <f ca="1">SQRT($B$9*SUM(AC502:OFFSET(AC502,$B$7-1,0))/($B$7-1))</f>
        <v>#DIV/0!</v>
      </c>
      <c r="AG502" s="34" t="e">
        <f ca="1">SQRT($B$9*SUM(AC502:OFFSET(AC502,$B$8-1,0))/($B$8-1))</f>
        <v>#DIV/0!</v>
      </c>
      <c r="AI502" s="1" t="e">
        <f t="shared" si="46"/>
        <v>#DIV/0!</v>
      </c>
      <c r="AJ502" s="4" t="e">
        <f ca="1">SQRT($B$9)*_xlfn.STDEV.S(AI502:OFFSET(AI502,$B$5-1,0))</f>
        <v>#DIV/0!</v>
      </c>
      <c r="AK502" s="4" t="e">
        <f ca="1">SQRT($B$9)*_xlfn.STDEV.S(AI502:OFFSET(AI502,$B$6-1,0))</f>
        <v>#DIV/0!</v>
      </c>
      <c r="AL502" s="4" t="e">
        <f ca="1">SQRT($B$9)*_xlfn.STDEV.S(AI502:OFFSET(AI502,$B$7-1,0))</f>
        <v>#DIV/0!</v>
      </c>
      <c r="AM502" s="4" t="e">
        <f ca="1">SQRT($B$9)*_xlfn.STDEV.S(AI502:OFFSET(AI502,$B$8-1,0))</f>
        <v>#DIV/0!</v>
      </c>
    </row>
    <row r="503" spans="5:39" x14ac:dyDescent="0.2">
      <c r="E503" s="42">
        <v>44726</v>
      </c>
      <c r="F503" s="43"/>
      <c r="G503" s="43"/>
      <c r="H503" s="43"/>
      <c r="I503" s="43"/>
      <c r="K503" s="3" t="e">
        <f t="shared" si="44"/>
        <v>#DIV/0!</v>
      </c>
      <c r="L503" s="3" t="e">
        <f ca="1">SQRT(AVERAGE(K503:OFFSET(K503,$B$5-1,0))*$B$9/(4*LN(2)))</f>
        <v>#DIV/0!</v>
      </c>
      <c r="M503" s="3" t="e">
        <f ca="1">SQRT(AVERAGE(K503:OFFSET(K503,$B$6-1,0))*$B$9/(4*LN(2)))</f>
        <v>#DIV/0!</v>
      </c>
      <c r="N503" s="3" t="e">
        <f ca="1">SQRT(AVERAGE(K503:OFFSET(K503,$B$7-1,0))*$B$9/(4*LN(2)))</f>
        <v>#DIV/0!</v>
      </c>
      <c r="O503" s="3" t="e">
        <f ca="1">SQRT(AVERAGE(K503:OFFSET(K503,$B$8-1,0))*$B$9/(4*LN(2)))</f>
        <v>#DIV/0!</v>
      </c>
      <c r="Q503" s="5" t="e">
        <f t="shared" si="43"/>
        <v>#DIV/0!</v>
      </c>
      <c r="R503" s="5" t="e">
        <f ca="1">SQRT($B$9*AVERAGE((Q503:OFFSET(Q503,$B$5-1,0))))</f>
        <v>#DIV/0!</v>
      </c>
      <c r="S503" s="5" t="e">
        <f ca="1">SQRT($B$9*AVERAGE((Q503:OFFSET(Q503,$B$6-1,0))))</f>
        <v>#DIV/0!</v>
      </c>
      <c r="T503" s="5" t="e">
        <f ca="1">SQRT($B$9*AVERAGE((Q503:OFFSET(Q503,$B$7-1,0))))</f>
        <v>#DIV/0!</v>
      </c>
      <c r="U503" s="5" t="e">
        <f ca="1">SQRT($B$9*AVERAGE((Q503:OFFSET(Q503,$B$8-1,0))))</f>
        <v>#DIV/0!</v>
      </c>
      <c r="W503" s="6" t="e">
        <f t="shared" si="47"/>
        <v>#DIV/0!</v>
      </c>
      <c r="X503" s="6" t="e">
        <f ca="1">SQRT($B$9*AVERAGE(W503:OFFSET(W503,$B$5-1,0)))</f>
        <v>#DIV/0!</v>
      </c>
      <c r="Y503" s="6" t="e">
        <f ca="1">SQRT($B$9*AVERAGE(W503:OFFSET(W503,$B$6-1,0)))</f>
        <v>#DIV/0!</v>
      </c>
      <c r="Z503" s="6" t="e">
        <f ca="1">SQRT($B$9*AVERAGE(W503:OFFSET(W503,$B$7-1,0)))</f>
        <v>#DIV/0!</v>
      </c>
      <c r="AA503" s="6" t="e">
        <f ca="1">SQRT($B$9*AVERAGE(W503:OFFSET(W503,$B$8-1,0)))</f>
        <v>#DIV/0!</v>
      </c>
      <c r="AC503" s="34" t="e">
        <f t="shared" si="45"/>
        <v>#DIV/0!</v>
      </c>
      <c r="AD503" s="34" t="e">
        <f ca="1">SQRT($B$9*SUM(AC503:OFFSET(AC503,$B$5-1,0))/($B$5-1))</f>
        <v>#DIV/0!</v>
      </c>
      <c r="AE503" s="34" t="e">
        <f ca="1">SQRT($B$9*SUM(AC503:OFFSET(AC503,$B$6-1,0))/($B$6-1))</f>
        <v>#DIV/0!</v>
      </c>
      <c r="AF503" s="34" t="e">
        <f ca="1">SQRT($B$9*SUM(AC503:OFFSET(AC503,$B$7-1,0))/($B$7-1))</f>
        <v>#DIV/0!</v>
      </c>
      <c r="AG503" s="34" t="e">
        <f ca="1">SQRT($B$9*SUM(AC503:OFFSET(AC503,$B$8-1,0))/($B$8-1))</f>
        <v>#DIV/0!</v>
      </c>
      <c r="AI503" s="1" t="e">
        <f t="shared" si="46"/>
        <v>#DIV/0!</v>
      </c>
      <c r="AJ503" s="4" t="e">
        <f ca="1">SQRT($B$9)*_xlfn.STDEV.S(AI503:OFFSET(AI503,$B$5-1,0))</f>
        <v>#DIV/0!</v>
      </c>
      <c r="AK503" s="4" t="e">
        <f ca="1">SQRT($B$9)*_xlfn.STDEV.S(AI503:OFFSET(AI503,$B$6-1,0))</f>
        <v>#DIV/0!</v>
      </c>
      <c r="AL503" s="4" t="e">
        <f ca="1">SQRT($B$9)*_xlfn.STDEV.S(AI503:OFFSET(AI503,$B$7-1,0))</f>
        <v>#DIV/0!</v>
      </c>
      <c r="AM503" s="4" t="e">
        <f ca="1">SQRT($B$9)*_xlfn.STDEV.S(AI503:OFFSET(AI503,$B$8-1,0))</f>
        <v>#DIV/0!</v>
      </c>
    </row>
    <row r="504" spans="5:39" x14ac:dyDescent="0.2">
      <c r="E504" s="42">
        <v>44725</v>
      </c>
      <c r="F504" s="43"/>
      <c r="G504" s="43"/>
      <c r="H504" s="43"/>
      <c r="I504" s="43"/>
      <c r="K504" s="3" t="e">
        <f t="shared" si="44"/>
        <v>#DIV/0!</v>
      </c>
      <c r="L504" s="3" t="e">
        <f ca="1">SQRT(AVERAGE(K504:OFFSET(K504,$B$5-1,0))*$B$9/(4*LN(2)))</f>
        <v>#DIV/0!</v>
      </c>
      <c r="M504" s="3" t="e">
        <f ca="1">SQRT(AVERAGE(K504:OFFSET(K504,$B$6-1,0))*$B$9/(4*LN(2)))</f>
        <v>#DIV/0!</v>
      </c>
      <c r="N504" s="3" t="e">
        <f ca="1">SQRT(AVERAGE(K504:OFFSET(K504,$B$7-1,0))*$B$9/(4*LN(2)))</f>
        <v>#DIV/0!</v>
      </c>
      <c r="O504" s="3" t="e">
        <f ca="1">SQRT(AVERAGE(K504:OFFSET(K504,$B$8-1,0))*$B$9/(4*LN(2)))</f>
        <v>#DIV/0!</v>
      </c>
      <c r="Q504" s="5" t="e">
        <f t="shared" si="43"/>
        <v>#DIV/0!</v>
      </c>
      <c r="R504" s="5" t="e">
        <f ca="1">SQRT($B$9*AVERAGE((Q504:OFFSET(Q504,$B$5-1,0))))</f>
        <v>#DIV/0!</v>
      </c>
      <c r="S504" s="5" t="e">
        <f ca="1">SQRT($B$9*AVERAGE((Q504:OFFSET(Q504,$B$6-1,0))))</f>
        <v>#DIV/0!</v>
      </c>
      <c r="T504" s="5" t="e">
        <f ca="1">SQRT($B$9*AVERAGE((Q504:OFFSET(Q504,$B$7-1,0))))</f>
        <v>#DIV/0!</v>
      </c>
      <c r="U504" s="5" t="e">
        <f ca="1">SQRT($B$9*AVERAGE((Q504:OFFSET(Q504,$B$8-1,0))))</f>
        <v>#DIV/0!</v>
      </c>
      <c r="W504" s="6" t="e">
        <f t="shared" si="47"/>
        <v>#DIV/0!</v>
      </c>
      <c r="X504" s="6" t="e">
        <f ca="1">SQRT($B$9*AVERAGE(W504:OFFSET(W504,$B$5-1,0)))</f>
        <v>#DIV/0!</v>
      </c>
      <c r="Y504" s="6" t="e">
        <f ca="1">SQRT($B$9*AVERAGE(W504:OFFSET(W504,$B$6-1,0)))</f>
        <v>#DIV/0!</v>
      </c>
      <c r="Z504" s="6" t="e">
        <f ca="1">SQRT($B$9*AVERAGE(W504:OFFSET(W504,$B$7-1,0)))</f>
        <v>#DIV/0!</v>
      </c>
      <c r="AA504" s="6" t="e">
        <f ca="1">SQRT($B$9*AVERAGE(W504:OFFSET(W504,$B$8-1,0)))</f>
        <v>#DIV/0!</v>
      </c>
      <c r="AC504" s="34" t="e">
        <f t="shared" si="45"/>
        <v>#DIV/0!</v>
      </c>
      <c r="AD504" s="34" t="e">
        <f ca="1">SQRT($B$9*SUM(AC504:OFFSET(AC504,$B$5-1,0))/($B$5-1))</f>
        <v>#DIV/0!</v>
      </c>
      <c r="AE504" s="34" t="e">
        <f ca="1">SQRT($B$9*SUM(AC504:OFFSET(AC504,$B$6-1,0))/($B$6-1))</f>
        <v>#DIV/0!</v>
      </c>
      <c r="AF504" s="34" t="e">
        <f ca="1">SQRT($B$9*SUM(AC504:OFFSET(AC504,$B$7-1,0))/($B$7-1))</f>
        <v>#DIV/0!</v>
      </c>
      <c r="AG504" s="34" t="e">
        <f ca="1">SQRT($B$9*SUM(AC504:OFFSET(AC504,$B$8-1,0))/($B$8-1))</f>
        <v>#DIV/0!</v>
      </c>
      <c r="AI504" s="1" t="e">
        <f t="shared" si="46"/>
        <v>#DIV/0!</v>
      </c>
      <c r="AJ504" s="4" t="e">
        <f ca="1">SQRT($B$9)*_xlfn.STDEV.S(AI504:OFFSET(AI504,$B$5-1,0))</f>
        <v>#DIV/0!</v>
      </c>
      <c r="AK504" s="4" t="e">
        <f ca="1">SQRT($B$9)*_xlfn.STDEV.S(AI504:OFFSET(AI504,$B$6-1,0))</f>
        <v>#DIV/0!</v>
      </c>
      <c r="AL504" s="4" t="e">
        <f ca="1">SQRT($B$9)*_xlfn.STDEV.S(AI504:OFFSET(AI504,$B$7-1,0))</f>
        <v>#DIV/0!</v>
      </c>
      <c r="AM504" s="4" t="e">
        <f ca="1">SQRT($B$9)*_xlfn.STDEV.S(AI504:OFFSET(AI504,$B$8-1,0))</f>
        <v>#DIV/0!</v>
      </c>
    </row>
    <row r="505" spans="5:39" x14ac:dyDescent="0.2">
      <c r="E505" s="42">
        <v>44722</v>
      </c>
      <c r="F505" s="43"/>
      <c r="G505" s="43"/>
      <c r="H505" s="43"/>
      <c r="I505" s="43"/>
      <c r="K505" s="3" t="e">
        <f t="shared" si="44"/>
        <v>#DIV/0!</v>
      </c>
      <c r="L505" s="3" t="e">
        <f ca="1">SQRT(AVERAGE(K505:OFFSET(K505,$B$5-1,0))*$B$9/(4*LN(2)))</f>
        <v>#DIV/0!</v>
      </c>
      <c r="M505" s="3" t="e">
        <f ca="1">SQRT(AVERAGE(K505:OFFSET(K505,$B$6-1,0))*$B$9/(4*LN(2)))</f>
        <v>#DIV/0!</v>
      </c>
      <c r="N505" s="3" t="e">
        <f ca="1">SQRT(AVERAGE(K505:OFFSET(K505,$B$7-1,0))*$B$9/(4*LN(2)))</f>
        <v>#DIV/0!</v>
      </c>
      <c r="O505" s="3" t="e">
        <f ca="1">SQRT(AVERAGE(K505:OFFSET(K505,$B$8-1,0))*$B$9/(4*LN(2)))</f>
        <v>#DIV/0!</v>
      </c>
      <c r="Q505" s="5" t="e">
        <f t="shared" si="43"/>
        <v>#DIV/0!</v>
      </c>
      <c r="R505" s="5" t="e">
        <f ca="1">SQRT($B$9*AVERAGE((Q505:OFFSET(Q505,$B$5-1,0))))</f>
        <v>#DIV/0!</v>
      </c>
      <c r="S505" s="5" t="e">
        <f ca="1">SQRT($B$9*AVERAGE((Q505:OFFSET(Q505,$B$6-1,0))))</f>
        <v>#DIV/0!</v>
      </c>
      <c r="T505" s="5" t="e">
        <f ca="1">SQRT($B$9*AVERAGE((Q505:OFFSET(Q505,$B$7-1,0))))</f>
        <v>#DIV/0!</v>
      </c>
      <c r="U505" s="5" t="e">
        <f ca="1">SQRT($B$9*AVERAGE((Q505:OFFSET(Q505,$B$8-1,0))))</f>
        <v>#DIV/0!</v>
      </c>
      <c r="W505" s="6" t="e">
        <f t="shared" si="47"/>
        <v>#DIV/0!</v>
      </c>
      <c r="X505" s="6" t="e">
        <f ca="1">SQRT($B$9*AVERAGE(W505:OFFSET(W505,$B$5-1,0)))</f>
        <v>#DIV/0!</v>
      </c>
      <c r="Y505" s="6" t="e">
        <f ca="1">SQRT($B$9*AVERAGE(W505:OFFSET(W505,$B$6-1,0)))</f>
        <v>#DIV/0!</v>
      </c>
      <c r="Z505" s="6" t="e">
        <f ca="1">SQRT($B$9*AVERAGE(W505:OFFSET(W505,$B$7-1,0)))</f>
        <v>#DIV/0!</v>
      </c>
      <c r="AA505" s="6" t="e">
        <f ca="1">SQRT($B$9*AVERAGE(W505:OFFSET(W505,$B$8-1,0)))</f>
        <v>#DIV/0!</v>
      </c>
      <c r="AC505" s="34" t="e">
        <f t="shared" si="45"/>
        <v>#DIV/0!</v>
      </c>
      <c r="AD505" s="34" t="e">
        <f ca="1">SQRT($B$9*SUM(AC505:OFFSET(AC505,$B$5-1,0))/($B$5-1))</f>
        <v>#DIV/0!</v>
      </c>
      <c r="AE505" s="34" t="e">
        <f ca="1">SQRT($B$9*SUM(AC505:OFFSET(AC505,$B$6-1,0))/($B$6-1))</f>
        <v>#DIV/0!</v>
      </c>
      <c r="AF505" s="34" t="e">
        <f ca="1">SQRT($B$9*SUM(AC505:OFFSET(AC505,$B$7-1,0))/($B$7-1))</f>
        <v>#DIV/0!</v>
      </c>
      <c r="AG505" s="34" t="e">
        <f ca="1">SQRT($B$9*SUM(AC505:OFFSET(AC505,$B$8-1,0))/($B$8-1))</f>
        <v>#DIV/0!</v>
      </c>
      <c r="AI505" s="1" t="e">
        <f t="shared" si="46"/>
        <v>#DIV/0!</v>
      </c>
      <c r="AJ505" s="4" t="e">
        <f ca="1">SQRT($B$9)*_xlfn.STDEV.S(AI505:OFFSET(AI505,$B$5-1,0))</f>
        <v>#DIV/0!</v>
      </c>
      <c r="AK505" s="4" t="e">
        <f ca="1">SQRT($B$9)*_xlfn.STDEV.S(AI505:OFFSET(AI505,$B$6-1,0))</f>
        <v>#DIV/0!</v>
      </c>
      <c r="AL505" s="4" t="e">
        <f ca="1">SQRT($B$9)*_xlfn.STDEV.S(AI505:OFFSET(AI505,$B$7-1,0))</f>
        <v>#DIV/0!</v>
      </c>
      <c r="AM505" s="4" t="e">
        <f ca="1">SQRT($B$9)*_xlfn.STDEV.S(AI505:OFFSET(AI505,$B$8-1,0))</f>
        <v>#DIV/0!</v>
      </c>
    </row>
    <row r="506" spans="5:39" x14ac:dyDescent="0.2">
      <c r="E506" s="42">
        <v>44721</v>
      </c>
      <c r="F506" s="43"/>
      <c r="G506" s="43"/>
      <c r="H506" s="43"/>
      <c r="I506" s="43"/>
      <c r="K506" s="3" t="e">
        <f t="shared" si="44"/>
        <v>#DIV/0!</v>
      </c>
      <c r="L506" s="3" t="e">
        <f ca="1">SQRT(AVERAGE(K506:OFFSET(K506,$B$5-1,0))*$B$9/(4*LN(2)))</f>
        <v>#DIV/0!</v>
      </c>
      <c r="M506" s="3" t="e">
        <f ca="1">SQRT(AVERAGE(K506:OFFSET(K506,$B$6-1,0))*$B$9/(4*LN(2)))</f>
        <v>#DIV/0!</v>
      </c>
      <c r="N506" s="3" t="e">
        <f ca="1">SQRT(AVERAGE(K506:OFFSET(K506,$B$7-1,0))*$B$9/(4*LN(2)))</f>
        <v>#DIV/0!</v>
      </c>
      <c r="O506" s="3" t="e">
        <f ca="1">SQRT(AVERAGE(K506:OFFSET(K506,$B$8-1,0))*$B$9/(4*LN(2)))</f>
        <v>#DIV/0!</v>
      </c>
      <c r="Q506" s="5" t="e">
        <f t="shared" si="43"/>
        <v>#DIV/0!</v>
      </c>
      <c r="R506" s="5" t="e">
        <f ca="1">SQRT($B$9*AVERAGE((Q506:OFFSET(Q506,$B$5-1,0))))</f>
        <v>#DIV/0!</v>
      </c>
      <c r="S506" s="5" t="e">
        <f ca="1">SQRT($B$9*AVERAGE((Q506:OFFSET(Q506,$B$6-1,0))))</f>
        <v>#DIV/0!</v>
      </c>
      <c r="T506" s="5" t="e">
        <f ca="1">SQRT($B$9*AVERAGE((Q506:OFFSET(Q506,$B$7-1,0))))</f>
        <v>#DIV/0!</v>
      </c>
      <c r="U506" s="5" t="e">
        <f ca="1">SQRT($B$9*AVERAGE((Q506:OFFSET(Q506,$B$8-1,0))))</f>
        <v>#DIV/0!</v>
      </c>
      <c r="W506" s="6" t="e">
        <f t="shared" si="47"/>
        <v>#DIV/0!</v>
      </c>
      <c r="X506" s="6" t="e">
        <f ca="1">SQRT($B$9*AVERAGE(W506:OFFSET(W506,$B$5-1,0)))</f>
        <v>#DIV/0!</v>
      </c>
      <c r="Y506" s="6" t="e">
        <f ca="1">SQRT($B$9*AVERAGE(W506:OFFSET(W506,$B$6-1,0)))</f>
        <v>#DIV/0!</v>
      </c>
      <c r="Z506" s="6" t="e">
        <f ca="1">SQRT($B$9*AVERAGE(W506:OFFSET(W506,$B$7-1,0)))</f>
        <v>#DIV/0!</v>
      </c>
      <c r="AA506" s="6" t="e">
        <f ca="1">SQRT($B$9*AVERAGE(W506:OFFSET(W506,$B$8-1,0)))</f>
        <v>#DIV/0!</v>
      </c>
      <c r="AC506" s="34" t="e">
        <f t="shared" si="45"/>
        <v>#DIV/0!</v>
      </c>
      <c r="AD506" s="34" t="e">
        <f ca="1">SQRT($B$9*SUM(AC506:OFFSET(AC506,$B$5-1,0))/($B$5-1))</f>
        <v>#DIV/0!</v>
      </c>
      <c r="AE506" s="34" t="e">
        <f ca="1">SQRT($B$9*SUM(AC506:OFFSET(AC506,$B$6-1,0))/($B$6-1))</f>
        <v>#DIV/0!</v>
      </c>
      <c r="AF506" s="34" t="e">
        <f ca="1">SQRT($B$9*SUM(AC506:OFFSET(AC506,$B$7-1,0))/($B$7-1))</f>
        <v>#DIV/0!</v>
      </c>
      <c r="AG506" s="34" t="e">
        <f ca="1">SQRT($B$9*SUM(AC506:OFFSET(AC506,$B$8-1,0))/($B$8-1))</f>
        <v>#DIV/0!</v>
      </c>
      <c r="AI506" s="1" t="e">
        <f t="shared" si="46"/>
        <v>#DIV/0!</v>
      </c>
      <c r="AJ506" s="4" t="e">
        <f ca="1">SQRT($B$9)*_xlfn.STDEV.S(AI506:OFFSET(AI506,$B$5-1,0))</f>
        <v>#DIV/0!</v>
      </c>
      <c r="AK506" s="4" t="e">
        <f ca="1">SQRT($B$9)*_xlfn.STDEV.S(AI506:OFFSET(AI506,$B$6-1,0))</f>
        <v>#DIV/0!</v>
      </c>
      <c r="AL506" s="4" t="e">
        <f ca="1">SQRT($B$9)*_xlfn.STDEV.S(AI506:OFFSET(AI506,$B$7-1,0))</f>
        <v>#DIV/0!</v>
      </c>
      <c r="AM506" s="4" t="e">
        <f ca="1">SQRT($B$9)*_xlfn.STDEV.S(AI506:OFFSET(AI506,$B$8-1,0))</f>
        <v>#DIV/0!</v>
      </c>
    </row>
    <row r="507" spans="5:39" x14ac:dyDescent="0.2">
      <c r="E507" s="42">
        <v>44720</v>
      </c>
      <c r="F507" s="43"/>
      <c r="G507" s="43"/>
      <c r="H507" s="43"/>
      <c r="I507" s="43"/>
      <c r="K507" s="3" t="e">
        <f t="shared" si="44"/>
        <v>#DIV/0!</v>
      </c>
      <c r="L507" s="3" t="e">
        <f ca="1">SQRT(AVERAGE(K507:OFFSET(K507,$B$5-1,0))*$B$9/(4*LN(2)))</f>
        <v>#DIV/0!</v>
      </c>
      <c r="M507" s="3" t="e">
        <f ca="1">SQRT(AVERAGE(K507:OFFSET(K507,$B$6-1,0))*$B$9/(4*LN(2)))</f>
        <v>#DIV/0!</v>
      </c>
      <c r="N507" s="3" t="e">
        <f ca="1">SQRT(AVERAGE(K507:OFFSET(K507,$B$7-1,0))*$B$9/(4*LN(2)))</f>
        <v>#DIV/0!</v>
      </c>
      <c r="O507" s="3" t="e">
        <f ca="1">SQRT(AVERAGE(K507:OFFSET(K507,$B$8-1,0))*$B$9/(4*LN(2)))</f>
        <v>#DIV/0!</v>
      </c>
      <c r="Q507" s="5" t="e">
        <f t="shared" si="43"/>
        <v>#DIV/0!</v>
      </c>
      <c r="R507" s="5" t="e">
        <f ca="1">SQRT($B$9*AVERAGE((Q507:OFFSET(Q507,$B$5-1,0))))</f>
        <v>#DIV/0!</v>
      </c>
      <c r="S507" s="5" t="e">
        <f ca="1">SQRT($B$9*AVERAGE((Q507:OFFSET(Q507,$B$6-1,0))))</f>
        <v>#DIV/0!</v>
      </c>
      <c r="T507" s="5" t="e">
        <f ca="1">SQRT($B$9*AVERAGE((Q507:OFFSET(Q507,$B$7-1,0))))</f>
        <v>#DIV/0!</v>
      </c>
      <c r="U507" s="5" t="e">
        <f ca="1">SQRT($B$9*AVERAGE((Q507:OFFSET(Q507,$B$8-1,0))))</f>
        <v>#DIV/0!</v>
      </c>
      <c r="W507" s="6" t="e">
        <f t="shared" si="47"/>
        <v>#DIV/0!</v>
      </c>
      <c r="X507" s="6" t="e">
        <f ca="1">SQRT($B$9*AVERAGE(W507:OFFSET(W507,$B$5-1,0)))</f>
        <v>#DIV/0!</v>
      </c>
      <c r="Y507" s="6" t="e">
        <f ca="1">SQRT($B$9*AVERAGE(W507:OFFSET(W507,$B$6-1,0)))</f>
        <v>#DIV/0!</v>
      </c>
      <c r="Z507" s="6" t="e">
        <f ca="1">SQRT($B$9*AVERAGE(W507:OFFSET(W507,$B$7-1,0)))</f>
        <v>#DIV/0!</v>
      </c>
      <c r="AA507" s="6" t="e">
        <f ca="1">SQRT($B$9*AVERAGE(W507:OFFSET(W507,$B$8-1,0)))</f>
        <v>#DIV/0!</v>
      </c>
      <c r="AC507" s="34" t="e">
        <f t="shared" si="45"/>
        <v>#DIV/0!</v>
      </c>
      <c r="AD507" s="34" t="e">
        <f ca="1">SQRT($B$9*SUM(AC507:OFFSET(AC507,$B$5-1,0))/($B$5-1))</f>
        <v>#DIV/0!</v>
      </c>
      <c r="AE507" s="34" t="e">
        <f ca="1">SQRT($B$9*SUM(AC507:OFFSET(AC507,$B$6-1,0))/($B$6-1))</f>
        <v>#DIV/0!</v>
      </c>
      <c r="AF507" s="34" t="e">
        <f ca="1">SQRT($B$9*SUM(AC507:OFFSET(AC507,$B$7-1,0))/($B$7-1))</f>
        <v>#DIV/0!</v>
      </c>
      <c r="AG507" s="34" t="e">
        <f ca="1">SQRT($B$9*SUM(AC507:OFFSET(AC507,$B$8-1,0))/($B$8-1))</f>
        <v>#DIV/0!</v>
      </c>
      <c r="AI507" s="1" t="e">
        <f t="shared" si="46"/>
        <v>#DIV/0!</v>
      </c>
      <c r="AJ507" s="4" t="e">
        <f ca="1">SQRT($B$9)*_xlfn.STDEV.S(AI507:OFFSET(AI507,$B$5-1,0))</f>
        <v>#DIV/0!</v>
      </c>
      <c r="AK507" s="4" t="e">
        <f ca="1">SQRT($B$9)*_xlfn.STDEV.S(AI507:OFFSET(AI507,$B$6-1,0))</f>
        <v>#DIV/0!</v>
      </c>
      <c r="AL507" s="4" t="e">
        <f ca="1">SQRT($B$9)*_xlfn.STDEV.S(AI507:OFFSET(AI507,$B$7-1,0))</f>
        <v>#DIV/0!</v>
      </c>
      <c r="AM507" s="4" t="e">
        <f ca="1">SQRT($B$9)*_xlfn.STDEV.S(AI507:OFFSET(AI507,$B$8-1,0))</f>
        <v>#DIV/0!</v>
      </c>
    </row>
    <row r="508" spans="5:39" x14ac:dyDescent="0.2">
      <c r="E508" s="42">
        <v>44719</v>
      </c>
      <c r="F508" s="43"/>
      <c r="G508" s="43"/>
      <c r="H508" s="43"/>
      <c r="I508" s="43"/>
      <c r="K508" s="3" t="e">
        <f t="shared" si="44"/>
        <v>#DIV/0!</v>
      </c>
      <c r="L508" s="3" t="e">
        <f ca="1">SQRT(AVERAGE(K508:OFFSET(K508,$B$5-1,0))*$B$9/(4*LN(2)))</f>
        <v>#DIV/0!</v>
      </c>
      <c r="M508" s="3" t="e">
        <f ca="1">SQRT(AVERAGE(K508:OFFSET(K508,$B$6-1,0))*$B$9/(4*LN(2)))</f>
        <v>#DIV/0!</v>
      </c>
      <c r="N508" s="3" t="e">
        <f ca="1">SQRT(AVERAGE(K508:OFFSET(K508,$B$7-1,0))*$B$9/(4*LN(2)))</f>
        <v>#DIV/0!</v>
      </c>
      <c r="O508" s="3" t="e">
        <f ca="1">SQRT(AVERAGE(K508:OFFSET(K508,$B$8-1,0))*$B$9/(4*LN(2)))</f>
        <v>#DIV/0!</v>
      </c>
      <c r="Q508" s="5" t="e">
        <f t="shared" si="43"/>
        <v>#DIV/0!</v>
      </c>
      <c r="R508" s="5" t="e">
        <f ca="1">SQRT($B$9*AVERAGE((Q508:OFFSET(Q508,$B$5-1,0))))</f>
        <v>#DIV/0!</v>
      </c>
      <c r="S508" s="5" t="e">
        <f ca="1">SQRT($B$9*AVERAGE((Q508:OFFSET(Q508,$B$6-1,0))))</f>
        <v>#DIV/0!</v>
      </c>
      <c r="T508" s="5" t="e">
        <f ca="1">SQRT($B$9*AVERAGE((Q508:OFFSET(Q508,$B$7-1,0))))</f>
        <v>#DIV/0!</v>
      </c>
      <c r="U508" s="5" t="e">
        <f ca="1">SQRT($B$9*AVERAGE((Q508:OFFSET(Q508,$B$8-1,0))))</f>
        <v>#DIV/0!</v>
      </c>
      <c r="W508" s="6" t="e">
        <f t="shared" si="47"/>
        <v>#DIV/0!</v>
      </c>
      <c r="X508" s="6" t="e">
        <f ca="1">SQRT($B$9*AVERAGE(W508:OFFSET(W508,$B$5-1,0)))</f>
        <v>#DIV/0!</v>
      </c>
      <c r="Y508" s="6" t="e">
        <f ca="1">SQRT($B$9*AVERAGE(W508:OFFSET(W508,$B$6-1,0)))</f>
        <v>#DIV/0!</v>
      </c>
      <c r="Z508" s="6" t="e">
        <f ca="1">SQRT($B$9*AVERAGE(W508:OFFSET(W508,$B$7-1,0)))</f>
        <v>#DIV/0!</v>
      </c>
      <c r="AA508" s="6" t="e">
        <f ca="1">SQRT($B$9*AVERAGE(W508:OFFSET(W508,$B$8-1,0)))</f>
        <v>#DIV/0!</v>
      </c>
      <c r="AC508" s="34" t="e">
        <f t="shared" si="45"/>
        <v>#DIV/0!</v>
      </c>
      <c r="AD508" s="34" t="e">
        <f ca="1">SQRT($B$9*SUM(AC508:OFFSET(AC508,$B$5-1,0))/($B$5-1))</f>
        <v>#DIV/0!</v>
      </c>
      <c r="AE508" s="34" t="e">
        <f ca="1">SQRT($B$9*SUM(AC508:OFFSET(AC508,$B$6-1,0))/($B$6-1))</f>
        <v>#DIV/0!</v>
      </c>
      <c r="AF508" s="34" t="e">
        <f ca="1">SQRT($B$9*SUM(AC508:OFFSET(AC508,$B$7-1,0))/($B$7-1))</f>
        <v>#DIV/0!</v>
      </c>
      <c r="AG508" s="34" t="e">
        <f ca="1">SQRT($B$9*SUM(AC508:OFFSET(AC508,$B$8-1,0))/($B$8-1))</f>
        <v>#DIV/0!</v>
      </c>
      <c r="AI508" s="1" t="e">
        <f t="shared" si="46"/>
        <v>#DIV/0!</v>
      </c>
      <c r="AJ508" s="4" t="e">
        <f ca="1">SQRT($B$9)*_xlfn.STDEV.S(AI508:OFFSET(AI508,$B$5-1,0))</f>
        <v>#DIV/0!</v>
      </c>
      <c r="AK508" s="4" t="e">
        <f ca="1">SQRT($B$9)*_xlfn.STDEV.S(AI508:OFFSET(AI508,$B$6-1,0))</f>
        <v>#DIV/0!</v>
      </c>
      <c r="AL508" s="4" t="e">
        <f ca="1">SQRT($B$9)*_xlfn.STDEV.S(AI508:OFFSET(AI508,$B$7-1,0))</f>
        <v>#DIV/0!</v>
      </c>
      <c r="AM508" s="4" t="e">
        <f ca="1">SQRT($B$9)*_xlfn.STDEV.S(AI508:OFFSET(AI508,$B$8-1,0))</f>
        <v>#DIV/0!</v>
      </c>
    </row>
    <row r="509" spans="5:39" x14ac:dyDescent="0.2">
      <c r="E509" s="42">
        <v>44718</v>
      </c>
      <c r="F509" s="43"/>
      <c r="G509" s="43"/>
      <c r="H509" s="43"/>
      <c r="I509" s="43"/>
      <c r="K509" s="3" t="e">
        <f t="shared" si="44"/>
        <v>#DIV/0!</v>
      </c>
      <c r="L509" s="3" t="e">
        <f ca="1">SQRT(AVERAGE(K509:OFFSET(K509,$B$5-1,0))*$B$9/(4*LN(2)))</f>
        <v>#DIV/0!</v>
      </c>
      <c r="M509" s="3" t="e">
        <f ca="1">SQRT(AVERAGE(K509:OFFSET(K509,$B$6-1,0))*$B$9/(4*LN(2)))</f>
        <v>#DIV/0!</v>
      </c>
      <c r="N509" s="3" t="e">
        <f ca="1">SQRT(AVERAGE(K509:OFFSET(K509,$B$7-1,0))*$B$9/(4*LN(2)))</f>
        <v>#DIV/0!</v>
      </c>
      <c r="O509" s="3" t="e">
        <f ca="1">SQRT(AVERAGE(K509:OFFSET(K509,$B$8-1,0))*$B$9/(4*LN(2)))</f>
        <v>#DIV/0!</v>
      </c>
      <c r="Q509" s="5" t="e">
        <f t="shared" si="43"/>
        <v>#DIV/0!</v>
      </c>
      <c r="R509" s="5" t="e">
        <f ca="1">SQRT($B$9*AVERAGE((Q509:OFFSET(Q509,$B$5-1,0))))</f>
        <v>#DIV/0!</v>
      </c>
      <c r="S509" s="5" t="e">
        <f ca="1">SQRT($B$9*AVERAGE((Q509:OFFSET(Q509,$B$6-1,0))))</f>
        <v>#DIV/0!</v>
      </c>
      <c r="T509" s="5" t="e">
        <f ca="1">SQRT($B$9*AVERAGE((Q509:OFFSET(Q509,$B$7-1,0))))</f>
        <v>#DIV/0!</v>
      </c>
      <c r="U509" s="5" t="e">
        <f ca="1">SQRT($B$9*AVERAGE((Q509:OFFSET(Q509,$B$8-1,0))))</f>
        <v>#DIV/0!</v>
      </c>
      <c r="W509" s="6" t="e">
        <f t="shared" si="47"/>
        <v>#DIV/0!</v>
      </c>
      <c r="X509" s="6" t="e">
        <f ca="1">SQRT($B$9*AVERAGE(W509:OFFSET(W509,$B$5-1,0)))</f>
        <v>#DIV/0!</v>
      </c>
      <c r="Y509" s="6" t="e">
        <f ca="1">SQRT($B$9*AVERAGE(W509:OFFSET(W509,$B$6-1,0)))</f>
        <v>#DIV/0!</v>
      </c>
      <c r="Z509" s="6" t="e">
        <f ca="1">SQRT($B$9*AVERAGE(W509:OFFSET(W509,$B$7-1,0)))</f>
        <v>#DIV/0!</v>
      </c>
      <c r="AA509" s="6" t="e">
        <f ca="1">SQRT($B$9*AVERAGE(W509:OFFSET(W509,$B$8-1,0)))</f>
        <v>#DIV/0!</v>
      </c>
      <c r="AC509" s="34" t="e">
        <f t="shared" si="45"/>
        <v>#DIV/0!</v>
      </c>
      <c r="AD509" s="34" t="e">
        <f ca="1">SQRT($B$9*SUM(AC509:OFFSET(AC509,$B$5-1,0))/($B$5-1))</f>
        <v>#DIV/0!</v>
      </c>
      <c r="AE509" s="34" t="e">
        <f ca="1">SQRT($B$9*SUM(AC509:OFFSET(AC509,$B$6-1,0))/($B$6-1))</f>
        <v>#DIV/0!</v>
      </c>
      <c r="AF509" s="34" t="e">
        <f ca="1">SQRT($B$9*SUM(AC509:OFFSET(AC509,$B$7-1,0))/($B$7-1))</f>
        <v>#DIV/0!</v>
      </c>
      <c r="AG509" s="34" t="e">
        <f ca="1">SQRT($B$9*SUM(AC509:OFFSET(AC509,$B$8-1,0))/($B$8-1))</f>
        <v>#DIV/0!</v>
      </c>
      <c r="AI509" s="1" t="e">
        <f t="shared" si="46"/>
        <v>#DIV/0!</v>
      </c>
      <c r="AJ509" s="4" t="e">
        <f ca="1">SQRT($B$9)*_xlfn.STDEV.S(AI509:OFFSET(AI509,$B$5-1,0))</f>
        <v>#DIV/0!</v>
      </c>
      <c r="AK509" s="4" t="e">
        <f ca="1">SQRT($B$9)*_xlfn.STDEV.S(AI509:OFFSET(AI509,$B$6-1,0))</f>
        <v>#DIV/0!</v>
      </c>
      <c r="AL509" s="4" t="e">
        <f ca="1">SQRT($B$9)*_xlfn.STDEV.S(AI509:OFFSET(AI509,$B$7-1,0))</f>
        <v>#DIV/0!</v>
      </c>
      <c r="AM509" s="4" t="e">
        <f ca="1">SQRT($B$9)*_xlfn.STDEV.S(AI509:OFFSET(AI509,$B$8-1,0))</f>
        <v>#DIV/0!</v>
      </c>
    </row>
    <row r="510" spans="5:39" x14ac:dyDescent="0.2">
      <c r="E510" s="42">
        <v>44714</v>
      </c>
      <c r="F510" s="43"/>
      <c r="G510" s="43"/>
      <c r="H510" s="43"/>
      <c r="I510" s="43"/>
      <c r="K510" s="3" t="e">
        <f t="shared" si="44"/>
        <v>#DIV/0!</v>
      </c>
      <c r="L510" s="3" t="e">
        <f ca="1">SQRT(AVERAGE(K510:OFFSET(K510,$B$5-1,0))*$B$9/(4*LN(2)))</f>
        <v>#DIV/0!</v>
      </c>
      <c r="M510" s="3" t="e">
        <f ca="1">SQRT(AVERAGE(K510:OFFSET(K510,$B$6-1,0))*$B$9/(4*LN(2)))</f>
        <v>#DIV/0!</v>
      </c>
      <c r="N510" s="3" t="e">
        <f ca="1">SQRT(AVERAGE(K510:OFFSET(K510,$B$7-1,0))*$B$9/(4*LN(2)))</f>
        <v>#DIV/0!</v>
      </c>
      <c r="O510" s="3" t="e">
        <f ca="1">SQRT(AVERAGE(K510:OFFSET(K510,$B$8-1,0))*$B$9/(4*LN(2)))</f>
        <v>#DIV/0!</v>
      </c>
      <c r="Q510" s="5" t="e">
        <f t="shared" si="43"/>
        <v>#DIV/0!</v>
      </c>
      <c r="R510" s="5" t="e">
        <f ca="1">SQRT($B$9*AVERAGE((Q510:OFFSET(Q510,$B$5-1,0))))</f>
        <v>#DIV/0!</v>
      </c>
      <c r="S510" s="5" t="e">
        <f ca="1">SQRT($B$9*AVERAGE((Q510:OFFSET(Q510,$B$6-1,0))))</f>
        <v>#DIV/0!</v>
      </c>
      <c r="T510" s="5" t="e">
        <f ca="1">SQRT($B$9*AVERAGE((Q510:OFFSET(Q510,$B$7-1,0))))</f>
        <v>#DIV/0!</v>
      </c>
      <c r="U510" s="5" t="e">
        <f ca="1">SQRT($B$9*AVERAGE((Q510:OFFSET(Q510,$B$8-1,0))))</f>
        <v>#DIV/0!</v>
      </c>
      <c r="W510" s="6" t="e">
        <f t="shared" si="47"/>
        <v>#DIV/0!</v>
      </c>
      <c r="X510" s="6" t="e">
        <f ca="1">SQRT($B$9*AVERAGE(W510:OFFSET(W510,$B$5-1,0)))</f>
        <v>#DIV/0!</v>
      </c>
      <c r="Y510" s="6" t="e">
        <f ca="1">SQRT($B$9*AVERAGE(W510:OFFSET(W510,$B$6-1,0)))</f>
        <v>#DIV/0!</v>
      </c>
      <c r="Z510" s="6" t="e">
        <f ca="1">SQRT($B$9*AVERAGE(W510:OFFSET(W510,$B$7-1,0)))</f>
        <v>#DIV/0!</v>
      </c>
      <c r="AA510" s="6" t="e">
        <f ca="1">SQRT($B$9*AVERAGE(W510:OFFSET(W510,$B$8-1,0)))</f>
        <v>#DIV/0!</v>
      </c>
      <c r="AC510" s="34" t="e">
        <f t="shared" si="45"/>
        <v>#DIV/0!</v>
      </c>
      <c r="AD510" s="34" t="e">
        <f ca="1">SQRT($B$9*SUM(AC510:OFFSET(AC510,$B$5-1,0))/($B$5-1))</f>
        <v>#DIV/0!</v>
      </c>
      <c r="AE510" s="34" t="e">
        <f ca="1">SQRT($B$9*SUM(AC510:OFFSET(AC510,$B$6-1,0))/($B$6-1))</f>
        <v>#DIV/0!</v>
      </c>
      <c r="AF510" s="34" t="e">
        <f ca="1">SQRT($B$9*SUM(AC510:OFFSET(AC510,$B$7-1,0))/($B$7-1))</f>
        <v>#DIV/0!</v>
      </c>
      <c r="AG510" s="34" t="e">
        <f ca="1">SQRT($B$9*SUM(AC510:OFFSET(AC510,$B$8-1,0))/($B$8-1))</f>
        <v>#DIV/0!</v>
      </c>
      <c r="AI510" s="1" t="e">
        <f t="shared" si="46"/>
        <v>#DIV/0!</v>
      </c>
      <c r="AJ510" s="4" t="e">
        <f ca="1">SQRT($B$9)*_xlfn.STDEV.S(AI510:OFFSET(AI510,$B$5-1,0))</f>
        <v>#DIV/0!</v>
      </c>
      <c r="AK510" s="4" t="e">
        <f ca="1">SQRT($B$9)*_xlfn.STDEV.S(AI510:OFFSET(AI510,$B$6-1,0))</f>
        <v>#DIV/0!</v>
      </c>
      <c r="AL510" s="4" t="e">
        <f ca="1">SQRT($B$9)*_xlfn.STDEV.S(AI510:OFFSET(AI510,$B$7-1,0))</f>
        <v>#DIV/0!</v>
      </c>
      <c r="AM510" s="4" t="e">
        <f ca="1">SQRT($B$9)*_xlfn.STDEV.S(AI510:OFFSET(AI510,$B$8-1,0))</f>
        <v>#DIV/0!</v>
      </c>
    </row>
    <row r="511" spans="5:39" x14ac:dyDescent="0.2">
      <c r="E511" s="42">
        <v>44713</v>
      </c>
      <c r="F511" s="43"/>
      <c r="G511" s="43"/>
      <c r="H511" s="43"/>
      <c r="I511" s="43"/>
      <c r="K511" s="3" t="e">
        <f t="shared" si="44"/>
        <v>#DIV/0!</v>
      </c>
      <c r="L511" s="3" t="e">
        <f ca="1">SQRT(AVERAGE(K511:OFFSET(K511,$B$5-1,0))*$B$9/(4*LN(2)))</f>
        <v>#DIV/0!</v>
      </c>
      <c r="M511" s="3" t="e">
        <f ca="1">SQRT(AVERAGE(K511:OFFSET(K511,$B$6-1,0))*$B$9/(4*LN(2)))</f>
        <v>#DIV/0!</v>
      </c>
      <c r="N511" s="3" t="e">
        <f ca="1">SQRT(AVERAGE(K511:OFFSET(K511,$B$7-1,0))*$B$9/(4*LN(2)))</f>
        <v>#DIV/0!</v>
      </c>
      <c r="O511" s="3" t="e">
        <f ca="1">SQRT(AVERAGE(K511:OFFSET(K511,$B$8-1,0))*$B$9/(4*LN(2)))</f>
        <v>#DIV/0!</v>
      </c>
      <c r="Q511" s="5" t="e">
        <f t="shared" si="43"/>
        <v>#DIV/0!</v>
      </c>
      <c r="R511" s="5" t="e">
        <f ca="1">SQRT($B$9*AVERAGE((Q511:OFFSET(Q511,$B$5-1,0))))</f>
        <v>#DIV/0!</v>
      </c>
      <c r="S511" s="5" t="e">
        <f ca="1">SQRT($B$9*AVERAGE((Q511:OFFSET(Q511,$B$6-1,0))))</f>
        <v>#DIV/0!</v>
      </c>
      <c r="T511" s="5" t="e">
        <f ca="1">SQRT($B$9*AVERAGE((Q511:OFFSET(Q511,$B$7-1,0))))</f>
        <v>#DIV/0!</v>
      </c>
      <c r="U511" s="5" t="e">
        <f ca="1">SQRT($B$9*AVERAGE((Q511:OFFSET(Q511,$B$8-1,0))))</f>
        <v>#DIV/0!</v>
      </c>
      <c r="W511" s="6" t="e">
        <f t="shared" si="47"/>
        <v>#DIV/0!</v>
      </c>
      <c r="X511" s="6" t="e">
        <f ca="1">SQRT($B$9*AVERAGE(W511:OFFSET(W511,$B$5-1,0)))</f>
        <v>#DIV/0!</v>
      </c>
      <c r="Y511" s="6" t="e">
        <f ca="1">SQRT($B$9*AVERAGE(W511:OFFSET(W511,$B$6-1,0)))</f>
        <v>#DIV/0!</v>
      </c>
      <c r="Z511" s="6" t="e">
        <f ca="1">SQRT($B$9*AVERAGE(W511:OFFSET(W511,$B$7-1,0)))</f>
        <v>#DIV/0!</v>
      </c>
      <c r="AA511" s="6" t="e">
        <f ca="1">SQRT($B$9*AVERAGE(W511:OFFSET(W511,$B$8-1,0)))</f>
        <v>#DIV/0!</v>
      </c>
      <c r="AC511" s="34" t="e">
        <f t="shared" si="45"/>
        <v>#DIV/0!</v>
      </c>
      <c r="AD511" s="34" t="e">
        <f ca="1">SQRT($B$9*SUM(AC511:OFFSET(AC511,$B$5-1,0))/($B$5-1))</f>
        <v>#DIV/0!</v>
      </c>
      <c r="AE511" s="34" t="e">
        <f ca="1">SQRT($B$9*SUM(AC511:OFFSET(AC511,$B$6-1,0))/($B$6-1))</f>
        <v>#DIV/0!</v>
      </c>
      <c r="AF511" s="34" t="e">
        <f ca="1">SQRT($B$9*SUM(AC511:OFFSET(AC511,$B$7-1,0))/($B$7-1))</f>
        <v>#DIV/0!</v>
      </c>
      <c r="AG511" s="34" t="e">
        <f ca="1">SQRT($B$9*SUM(AC511:OFFSET(AC511,$B$8-1,0))/($B$8-1))</f>
        <v>#DIV/0!</v>
      </c>
      <c r="AI511" s="1" t="e">
        <f t="shared" si="46"/>
        <v>#DIV/0!</v>
      </c>
      <c r="AJ511" s="4" t="e">
        <f ca="1">SQRT($B$9)*_xlfn.STDEV.S(AI511:OFFSET(AI511,$B$5-1,0))</f>
        <v>#DIV/0!</v>
      </c>
      <c r="AK511" s="4" t="e">
        <f ca="1">SQRT($B$9)*_xlfn.STDEV.S(AI511:OFFSET(AI511,$B$6-1,0))</f>
        <v>#DIV/0!</v>
      </c>
      <c r="AL511" s="4" t="e">
        <f ca="1">SQRT($B$9)*_xlfn.STDEV.S(AI511:OFFSET(AI511,$B$7-1,0))</f>
        <v>#DIV/0!</v>
      </c>
      <c r="AM511" s="4" t="e">
        <f ca="1">SQRT($B$9)*_xlfn.STDEV.S(AI511:OFFSET(AI511,$B$8-1,0))</f>
        <v>#DIV/0!</v>
      </c>
    </row>
    <row r="512" spans="5:39" x14ac:dyDescent="0.2">
      <c r="E512" s="42">
        <v>44712</v>
      </c>
      <c r="F512" s="43"/>
      <c r="G512" s="43"/>
      <c r="H512" s="43"/>
      <c r="I512" s="43"/>
      <c r="K512" s="3" t="e">
        <f t="shared" si="44"/>
        <v>#DIV/0!</v>
      </c>
      <c r="L512" s="3" t="e">
        <f ca="1">SQRT(AVERAGE(K512:OFFSET(K512,$B$5-1,0))*$B$9/(4*LN(2)))</f>
        <v>#DIV/0!</v>
      </c>
      <c r="M512" s="3" t="e">
        <f ca="1">SQRT(AVERAGE(K512:OFFSET(K512,$B$6-1,0))*$B$9/(4*LN(2)))</f>
        <v>#DIV/0!</v>
      </c>
      <c r="N512" s="3" t="e">
        <f ca="1">SQRT(AVERAGE(K512:OFFSET(K512,$B$7-1,0))*$B$9/(4*LN(2)))</f>
        <v>#DIV/0!</v>
      </c>
      <c r="O512" s="3" t="e">
        <f ca="1">SQRT(AVERAGE(K512:OFFSET(K512,$B$8-1,0))*$B$9/(4*LN(2)))</f>
        <v>#DIV/0!</v>
      </c>
      <c r="Q512" s="5" t="e">
        <f t="shared" si="43"/>
        <v>#DIV/0!</v>
      </c>
      <c r="R512" s="5" t="e">
        <f ca="1">SQRT($B$9*AVERAGE((Q512:OFFSET(Q512,$B$5-1,0))))</f>
        <v>#DIV/0!</v>
      </c>
      <c r="S512" s="5" t="e">
        <f ca="1">SQRT($B$9*AVERAGE((Q512:OFFSET(Q512,$B$6-1,0))))</f>
        <v>#DIV/0!</v>
      </c>
      <c r="T512" s="5" t="e">
        <f ca="1">SQRT($B$9*AVERAGE((Q512:OFFSET(Q512,$B$7-1,0))))</f>
        <v>#DIV/0!</v>
      </c>
      <c r="U512" s="5" t="e">
        <f ca="1">SQRT($B$9*AVERAGE((Q512:OFFSET(Q512,$B$8-1,0))))</f>
        <v>#DIV/0!</v>
      </c>
      <c r="W512" s="6" t="e">
        <f t="shared" si="47"/>
        <v>#DIV/0!</v>
      </c>
      <c r="X512" s="6" t="e">
        <f ca="1">SQRT($B$9*AVERAGE(W512:OFFSET(W512,$B$5-1,0)))</f>
        <v>#DIV/0!</v>
      </c>
      <c r="Y512" s="6" t="e">
        <f ca="1">SQRT($B$9*AVERAGE(W512:OFFSET(W512,$B$6-1,0)))</f>
        <v>#DIV/0!</v>
      </c>
      <c r="Z512" s="6" t="e">
        <f ca="1">SQRT($B$9*AVERAGE(W512:OFFSET(W512,$B$7-1,0)))</f>
        <v>#DIV/0!</v>
      </c>
      <c r="AA512" s="6" t="e">
        <f ca="1">SQRT($B$9*AVERAGE(W512:OFFSET(W512,$B$8-1,0)))</f>
        <v>#DIV/0!</v>
      </c>
      <c r="AC512" s="34" t="e">
        <f t="shared" si="45"/>
        <v>#DIV/0!</v>
      </c>
      <c r="AD512" s="34" t="e">
        <f ca="1">SQRT($B$9*SUM(AC512:OFFSET(AC512,$B$5-1,0))/($B$5-1))</f>
        <v>#DIV/0!</v>
      </c>
      <c r="AE512" s="34" t="e">
        <f ca="1">SQRT($B$9*SUM(AC512:OFFSET(AC512,$B$6-1,0))/($B$6-1))</f>
        <v>#DIV/0!</v>
      </c>
      <c r="AF512" s="34" t="e">
        <f ca="1">SQRT($B$9*SUM(AC512:OFFSET(AC512,$B$7-1,0))/($B$7-1))</f>
        <v>#DIV/0!</v>
      </c>
      <c r="AG512" s="34" t="e">
        <f ca="1">SQRT($B$9*SUM(AC512:OFFSET(AC512,$B$8-1,0))/($B$8-1))</f>
        <v>#DIV/0!</v>
      </c>
      <c r="AI512" s="1" t="e">
        <f t="shared" si="46"/>
        <v>#DIV/0!</v>
      </c>
      <c r="AJ512" s="4" t="e">
        <f ca="1">SQRT($B$9)*_xlfn.STDEV.S(AI512:OFFSET(AI512,$B$5-1,0))</f>
        <v>#DIV/0!</v>
      </c>
      <c r="AK512" s="4" t="e">
        <f ca="1">SQRT($B$9)*_xlfn.STDEV.S(AI512:OFFSET(AI512,$B$6-1,0))</f>
        <v>#DIV/0!</v>
      </c>
      <c r="AL512" s="4" t="e">
        <f ca="1">SQRT($B$9)*_xlfn.STDEV.S(AI512:OFFSET(AI512,$B$7-1,0))</f>
        <v>#DIV/0!</v>
      </c>
      <c r="AM512" s="4" t="e">
        <f ca="1">SQRT($B$9)*_xlfn.STDEV.S(AI512:OFFSET(AI512,$B$8-1,0))</f>
        <v>#DIV/0!</v>
      </c>
    </row>
    <row r="513" spans="5:39" x14ac:dyDescent="0.2">
      <c r="E513" s="42">
        <v>44711</v>
      </c>
      <c r="F513" s="43"/>
      <c r="G513" s="43"/>
      <c r="H513" s="43"/>
      <c r="I513" s="43"/>
      <c r="K513" s="3" t="e">
        <f t="shared" si="44"/>
        <v>#DIV/0!</v>
      </c>
      <c r="L513" s="3" t="e">
        <f ca="1">SQRT(AVERAGE(K513:OFFSET(K513,$B$5-1,0))*$B$9/(4*LN(2)))</f>
        <v>#DIV/0!</v>
      </c>
      <c r="M513" s="3" t="e">
        <f ca="1">SQRT(AVERAGE(K513:OFFSET(K513,$B$6-1,0))*$B$9/(4*LN(2)))</f>
        <v>#DIV/0!</v>
      </c>
      <c r="N513" s="3" t="e">
        <f ca="1">SQRT(AVERAGE(K513:OFFSET(K513,$B$7-1,0))*$B$9/(4*LN(2)))</f>
        <v>#DIV/0!</v>
      </c>
      <c r="O513" s="3" t="e">
        <f ca="1">SQRT(AVERAGE(K513:OFFSET(K513,$B$8-1,0))*$B$9/(4*LN(2)))</f>
        <v>#DIV/0!</v>
      </c>
      <c r="Q513" s="5" t="e">
        <f t="shared" si="43"/>
        <v>#DIV/0!</v>
      </c>
      <c r="R513" s="5" t="e">
        <f ca="1">SQRT($B$9*AVERAGE((Q513:OFFSET(Q513,$B$5-1,0))))</f>
        <v>#DIV/0!</v>
      </c>
      <c r="S513" s="5" t="e">
        <f ca="1">SQRT($B$9*AVERAGE((Q513:OFFSET(Q513,$B$6-1,0))))</f>
        <v>#DIV/0!</v>
      </c>
      <c r="T513" s="5" t="e">
        <f ca="1">SQRT($B$9*AVERAGE((Q513:OFFSET(Q513,$B$7-1,0))))</f>
        <v>#DIV/0!</v>
      </c>
      <c r="U513" s="5" t="e">
        <f ca="1">SQRT($B$9*AVERAGE((Q513:OFFSET(Q513,$B$8-1,0))))</f>
        <v>#DIV/0!</v>
      </c>
      <c r="W513" s="6" t="e">
        <f t="shared" si="47"/>
        <v>#DIV/0!</v>
      </c>
      <c r="X513" s="6" t="e">
        <f ca="1">SQRT($B$9*AVERAGE(W513:OFFSET(W513,$B$5-1,0)))</f>
        <v>#DIV/0!</v>
      </c>
      <c r="Y513" s="6" t="e">
        <f ca="1">SQRT($B$9*AVERAGE(W513:OFFSET(W513,$B$6-1,0)))</f>
        <v>#DIV/0!</v>
      </c>
      <c r="Z513" s="6" t="e">
        <f ca="1">SQRT($B$9*AVERAGE(W513:OFFSET(W513,$B$7-1,0)))</f>
        <v>#DIV/0!</v>
      </c>
      <c r="AA513" s="6" t="e">
        <f ca="1">SQRT($B$9*AVERAGE(W513:OFFSET(W513,$B$8-1,0)))</f>
        <v>#DIV/0!</v>
      </c>
      <c r="AC513" s="34" t="e">
        <f t="shared" si="45"/>
        <v>#DIV/0!</v>
      </c>
      <c r="AD513" s="34" t="e">
        <f ca="1">SQRT($B$9*SUM(AC513:OFFSET(AC513,$B$5-1,0))/($B$5-1))</f>
        <v>#DIV/0!</v>
      </c>
      <c r="AE513" s="34" t="e">
        <f ca="1">SQRT($B$9*SUM(AC513:OFFSET(AC513,$B$6-1,0))/($B$6-1))</f>
        <v>#DIV/0!</v>
      </c>
      <c r="AF513" s="34" t="e">
        <f ca="1">SQRT($B$9*SUM(AC513:OFFSET(AC513,$B$7-1,0))/($B$7-1))</f>
        <v>#DIV/0!</v>
      </c>
      <c r="AG513" s="34" t="e">
        <f ca="1">SQRT($B$9*SUM(AC513:OFFSET(AC513,$B$8-1,0))/($B$8-1))</f>
        <v>#DIV/0!</v>
      </c>
      <c r="AI513" s="1" t="e">
        <f t="shared" si="46"/>
        <v>#DIV/0!</v>
      </c>
      <c r="AJ513" s="4" t="e">
        <f ca="1">SQRT($B$9)*_xlfn.STDEV.S(AI513:OFFSET(AI513,$B$5-1,0))</f>
        <v>#DIV/0!</v>
      </c>
      <c r="AK513" s="4" t="e">
        <f ca="1">SQRT($B$9)*_xlfn.STDEV.S(AI513:OFFSET(AI513,$B$6-1,0))</f>
        <v>#DIV/0!</v>
      </c>
      <c r="AL513" s="4" t="e">
        <f ca="1">SQRT($B$9)*_xlfn.STDEV.S(AI513:OFFSET(AI513,$B$7-1,0))</f>
        <v>#DIV/0!</v>
      </c>
      <c r="AM513" s="4" t="e">
        <f ca="1">SQRT($B$9)*_xlfn.STDEV.S(AI513:OFFSET(AI513,$B$8-1,0))</f>
        <v>#DIV/0!</v>
      </c>
    </row>
    <row r="514" spans="5:39" x14ac:dyDescent="0.2">
      <c r="E514" s="42">
        <v>44708</v>
      </c>
      <c r="F514" s="43"/>
      <c r="G514" s="43"/>
      <c r="H514" s="43"/>
      <c r="I514" s="43"/>
      <c r="K514" s="3" t="e">
        <f t="shared" si="44"/>
        <v>#DIV/0!</v>
      </c>
      <c r="L514" s="3" t="e">
        <f ca="1">SQRT(AVERAGE(K514:OFFSET(K514,$B$5-1,0))*$B$9/(4*LN(2)))</f>
        <v>#DIV/0!</v>
      </c>
      <c r="M514" s="3" t="e">
        <f ca="1">SQRT(AVERAGE(K514:OFFSET(K514,$B$6-1,0))*$B$9/(4*LN(2)))</f>
        <v>#DIV/0!</v>
      </c>
      <c r="N514" s="3" t="e">
        <f ca="1">SQRT(AVERAGE(K514:OFFSET(K514,$B$7-1,0))*$B$9/(4*LN(2)))</f>
        <v>#DIV/0!</v>
      </c>
      <c r="O514" s="3" t="e">
        <f ca="1">SQRT(AVERAGE(K514:OFFSET(K514,$B$8-1,0))*$B$9/(4*LN(2)))</f>
        <v>#DIV/0!</v>
      </c>
      <c r="Q514" s="5" t="e">
        <f t="shared" si="43"/>
        <v>#DIV/0!</v>
      </c>
      <c r="R514" s="5" t="e">
        <f ca="1">SQRT($B$9*AVERAGE((Q514:OFFSET(Q514,$B$5-1,0))))</f>
        <v>#DIV/0!</v>
      </c>
      <c r="S514" s="5" t="e">
        <f ca="1">SQRT($B$9*AVERAGE((Q514:OFFSET(Q514,$B$6-1,0))))</f>
        <v>#DIV/0!</v>
      </c>
      <c r="T514" s="5" t="e">
        <f ca="1">SQRT($B$9*AVERAGE((Q514:OFFSET(Q514,$B$7-1,0))))</f>
        <v>#DIV/0!</v>
      </c>
      <c r="U514" s="5" t="e">
        <f ca="1">SQRT($B$9*AVERAGE((Q514:OFFSET(Q514,$B$8-1,0))))</f>
        <v>#DIV/0!</v>
      </c>
      <c r="W514" s="6" t="e">
        <f t="shared" si="47"/>
        <v>#DIV/0!</v>
      </c>
      <c r="X514" s="6" t="e">
        <f ca="1">SQRT($B$9*AVERAGE(W514:OFFSET(W514,$B$5-1,0)))</f>
        <v>#DIV/0!</v>
      </c>
      <c r="Y514" s="6" t="e">
        <f ca="1">SQRT($B$9*AVERAGE(W514:OFFSET(W514,$B$6-1,0)))</f>
        <v>#DIV/0!</v>
      </c>
      <c r="Z514" s="6" t="e">
        <f ca="1">SQRT($B$9*AVERAGE(W514:OFFSET(W514,$B$7-1,0)))</f>
        <v>#DIV/0!</v>
      </c>
      <c r="AA514" s="6" t="e">
        <f ca="1">SQRT($B$9*AVERAGE(W514:OFFSET(W514,$B$8-1,0)))</f>
        <v>#DIV/0!</v>
      </c>
      <c r="AC514" s="34" t="e">
        <f t="shared" si="45"/>
        <v>#DIV/0!</v>
      </c>
      <c r="AD514" s="34" t="e">
        <f ca="1">SQRT($B$9*SUM(AC514:OFFSET(AC514,$B$5-1,0))/($B$5-1))</f>
        <v>#DIV/0!</v>
      </c>
      <c r="AE514" s="34" t="e">
        <f ca="1">SQRT($B$9*SUM(AC514:OFFSET(AC514,$B$6-1,0))/($B$6-1))</f>
        <v>#DIV/0!</v>
      </c>
      <c r="AF514" s="34" t="e">
        <f ca="1">SQRT($B$9*SUM(AC514:OFFSET(AC514,$B$7-1,0))/($B$7-1))</f>
        <v>#DIV/0!</v>
      </c>
      <c r="AG514" s="34" t="e">
        <f ca="1">SQRT($B$9*SUM(AC514:OFFSET(AC514,$B$8-1,0))/($B$8-1))</f>
        <v>#DIV/0!</v>
      </c>
      <c r="AI514" s="1" t="e">
        <f t="shared" si="46"/>
        <v>#DIV/0!</v>
      </c>
      <c r="AJ514" s="4" t="e">
        <f ca="1">SQRT($B$9)*_xlfn.STDEV.S(AI514:OFFSET(AI514,$B$5-1,0))</f>
        <v>#DIV/0!</v>
      </c>
      <c r="AK514" s="4" t="e">
        <f ca="1">SQRT($B$9)*_xlfn.STDEV.S(AI514:OFFSET(AI514,$B$6-1,0))</f>
        <v>#DIV/0!</v>
      </c>
      <c r="AL514" s="4" t="e">
        <f ca="1">SQRT($B$9)*_xlfn.STDEV.S(AI514:OFFSET(AI514,$B$7-1,0))</f>
        <v>#DIV/0!</v>
      </c>
      <c r="AM514" s="4" t="e">
        <f ca="1">SQRT($B$9)*_xlfn.STDEV.S(AI514:OFFSET(AI514,$B$8-1,0))</f>
        <v>#DIV/0!</v>
      </c>
    </row>
    <row r="515" spans="5:39" x14ac:dyDescent="0.2">
      <c r="E515" s="42">
        <v>44707</v>
      </c>
      <c r="F515" s="43"/>
      <c r="G515" s="43"/>
      <c r="H515" s="43"/>
      <c r="I515" s="43"/>
      <c r="K515" s="3" t="e">
        <f t="shared" si="44"/>
        <v>#DIV/0!</v>
      </c>
      <c r="L515" s="3" t="e">
        <f ca="1">SQRT(AVERAGE(K515:OFFSET(K515,$B$5-1,0))*$B$9/(4*LN(2)))</f>
        <v>#DIV/0!</v>
      </c>
      <c r="M515" s="3" t="e">
        <f ca="1">SQRT(AVERAGE(K515:OFFSET(K515,$B$6-1,0))*$B$9/(4*LN(2)))</f>
        <v>#DIV/0!</v>
      </c>
      <c r="N515" s="3" t="e">
        <f ca="1">SQRT(AVERAGE(K515:OFFSET(K515,$B$7-1,0))*$B$9/(4*LN(2)))</f>
        <v>#DIV/0!</v>
      </c>
      <c r="O515" s="3" t="e">
        <f ca="1">SQRT(AVERAGE(K515:OFFSET(K515,$B$8-1,0))*$B$9/(4*LN(2)))</f>
        <v>#DIV/0!</v>
      </c>
      <c r="Q515" s="5" t="e">
        <f t="shared" si="43"/>
        <v>#DIV/0!</v>
      </c>
      <c r="R515" s="5" t="e">
        <f ca="1">SQRT($B$9*AVERAGE((Q515:OFFSET(Q515,$B$5-1,0))))</f>
        <v>#DIV/0!</v>
      </c>
      <c r="S515" s="5" t="e">
        <f ca="1">SQRT($B$9*AVERAGE((Q515:OFFSET(Q515,$B$6-1,0))))</f>
        <v>#DIV/0!</v>
      </c>
      <c r="T515" s="5" t="e">
        <f ca="1">SQRT($B$9*AVERAGE((Q515:OFFSET(Q515,$B$7-1,0))))</f>
        <v>#DIV/0!</v>
      </c>
      <c r="U515" s="5" t="e">
        <f ca="1">SQRT($B$9*AVERAGE((Q515:OFFSET(Q515,$B$8-1,0))))</f>
        <v>#DIV/0!</v>
      </c>
      <c r="W515" s="6" t="e">
        <f t="shared" si="47"/>
        <v>#DIV/0!</v>
      </c>
      <c r="X515" s="6" t="e">
        <f ca="1">SQRT($B$9*AVERAGE(W515:OFFSET(W515,$B$5-1,0)))</f>
        <v>#DIV/0!</v>
      </c>
      <c r="Y515" s="6" t="e">
        <f ca="1">SQRT($B$9*AVERAGE(W515:OFFSET(W515,$B$6-1,0)))</f>
        <v>#DIV/0!</v>
      </c>
      <c r="Z515" s="6" t="e">
        <f ca="1">SQRT($B$9*AVERAGE(W515:OFFSET(W515,$B$7-1,0)))</f>
        <v>#DIV/0!</v>
      </c>
      <c r="AA515" s="6" t="e">
        <f ca="1">SQRT($B$9*AVERAGE(W515:OFFSET(W515,$B$8-1,0)))</f>
        <v>#DIV/0!</v>
      </c>
      <c r="AC515" s="34" t="e">
        <f t="shared" si="45"/>
        <v>#DIV/0!</v>
      </c>
      <c r="AD515" s="34" t="e">
        <f ca="1">SQRT($B$9*SUM(AC515:OFFSET(AC515,$B$5-1,0))/($B$5-1))</f>
        <v>#DIV/0!</v>
      </c>
      <c r="AE515" s="34" t="e">
        <f ca="1">SQRT($B$9*SUM(AC515:OFFSET(AC515,$B$6-1,0))/($B$6-1))</f>
        <v>#DIV/0!</v>
      </c>
      <c r="AF515" s="34" t="e">
        <f ca="1">SQRT($B$9*SUM(AC515:OFFSET(AC515,$B$7-1,0))/($B$7-1))</f>
        <v>#DIV/0!</v>
      </c>
      <c r="AG515" s="34" t="e">
        <f ca="1">SQRT($B$9*SUM(AC515:OFFSET(AC515,$B$8-1,0))/($B$8-1))</f>
        <v>#DIV/0!</v>
      </c>
      <c r="AI515" s="1" t="e">
        <f t="shared" si="46"/>
        <v>#DIV/0!</v>
      </c>
      <c r="AJ515" s="4" t="e">
        <f ca="1">SQRT($B$9)*_xlfn.STDEV.S(AI515:OFFSET(AI515,$B$5-1,0))</f>
        <v>#DIV/0!</v>
      </c>
      <c r="AK515" s="4" t="e">
        <f ca="1">SQRT($B$9)*_xlfn.STDEV.S(AI515:OFFSET(AI515,$B$6-1,0))</f>
        <v>#DIV/0!</v>
      </c>
      <c r="AL515" s="4" t="e">
        <f ca="1">SQRT($B$9)*_xlfn.STDEV.S(AI515:OFFSET(AI515,$B$7-1,0))</f>
        <v>#DIV/0!</v>
      </c>
      <c r="AM515" s="4" t="e">
        <f ca="1">SQRT($B$9)*_xlfn.STDEV.S(AI515:OFFSET(AI515,$B$8-1,0))</f>
        <v>#DIV/0!</v>
      </c>
    </row>
    <row r="516" spans="5:39" x14ac:dyDescent="0.2">
      <c r="E516" s="42">
        <v>44706</v>
      </c>
      <c r="F516" s="43"/>
      <c r="G516" s="43"/>
      <c r="H516" s="43"/>
      <c r="I516" s="43"/>
      <c r="K516" s="3" t="e">
        <f t="shared" si="44"/>
        <v>#DIV/0!</v>
      </c>
      <c r="L516" s="3" t="e">
        <f ca="1">SQRT(AVERAGE(K516:OFFSET(K516,$B$5-1,0))*$B$9/(4*LN(2)))</f>
        <v>#DIV/0!</v>
      </c>
      <c r="M516" s="3" t="e">
        <f ca="1">SQRT(AVERAGE(K516:OFFSET(K516,$B$6-1,0))*$B$9/(4*LN(2)))</f>
        <v>#DIV/0!</v>
      </c>
      <c r="N516" s="3" t="e">
        <f ca="1">SQRT(AVERAGE(K516:OFFSET(K516,$B$7-1,0))*$B$9/(4*LN(2)))</f>
        <v>#DIV/0!</v>
      </c>
      <c r="O516" s="3" t="e">
        <f ca="1">SQRT(AVERAGE(K516:OFFSET(K516,$B$8-1,0))*$B$9/(4*LN(2)))</f>
        <v>#DIV/0!</v>
      </c>
      <c r="Q516" s="5" t="e">
        <f t="shared" si="43"/>
        <v>#DIV/0!</v>
      </c>
      <c r="R516" s="5" t="e">
        <f ca="1">SQRT($B$9*AVERAGE((Q516:OFFSET(Q516,$B$5-1,0))))</f>
        <v>#DIV/0!</v>
      </c>
      <c r="S516" s="5" t="e">
        <f ca="1">SQRT($B$9*AVERAGE((Q516:OFFSET(Q516,$B$6-1,0))))</f>
        <v>#DIV/0!</v>
      </c>
      <c r="T516" s="5" t="e">
        <f ca="1">SQRT($B$9*AVERAGE((Q516:OFFSET(Q516,$B$7-1,0))))</f>
        <v>#DIV/0!</v>
      </c>
      <c r="U516" s="5" t="e">
        <f ca="1">SQRT($B$9*AVERAGE((Q516:OFFSET(Q516,$B$8-1,0))))</f>
        <v>#DIV/0!</v>
      </c>
      <c r="W516" s="6" t="e">
        <f t="shared" si="47"/>
        <v>#DIV/0!</v>
      </c>
      <c r="X516" s="6" t="e">
        <f ca="1">SQRT($B$9*AVERAGE(W516:OFFSET(W516,$B$5-1,0)))</f>
        <v>#DIV/0!</v>
      </c>
      <c r="Y516" s="6" t="e">
        <f ca="1">SQRT($B$9*AVERAGE(W516:OFFSET(W516,$B$6-1,0)))</f>
        <v>#DIV/0!</v>
      </c>
      <c r="Z516" s="6" t="e">
        <f ca="1">SQRT($B$9*AVERAGE(W516:OFFSET(W516,$B$7-1,0)))</f>
        <v>#DIV/0!</v>
      </c>
      <c r="AA516" s="6" t="e">
        <f ca="1">SQRT($B$9*AVERAGE(W516:OFFSET(W516,$B$8-1,0)))</f>
        <v>#DIV/0!</v>
      </c>
      <c r="AC516" s="34" t="e">
        <f t="shared" si="45"/>
        <v>#DIV/0!</v>
      </c>
      <c r="AD516" s="34" t="e">
        <f ca="1">SQRT($B$9*SUM(AC516:OFFSET(AC516,$B$5-1,0))/($B$5-1))</f>
        <v>#DIV/0!</v>
      </c>
      <c r="AE516" s="34" t="e">
        <f ca="1">SQRT($B$9*SUM(AC516:OFFSET(AC516,$B$6-1,0))/($B$6-1))</f>
        <v>#DIV/0!</v>
      </c>
      <c r="AF516" s="34" t="e">
        <f ca="1">SQRT($B$9*SUM(AC516:OFFSET(AC516,$B$7-1,0))/($B$7-1))</f>
        <v>#DIV/0!</v>
      </c>
      <c r="AG516" s="34" t="e">
        <f ca="1">SQRT($B$9*SUM(AC516:OFFSET(AC516,$B$8-1,0))/($B$8-1))</f>
        <v>#DIV/0!</v>
      </c>
      <c r="AI516" s="1" t="e">
        <f t="shared" si="46"/>
        <v>#DIV/0!</v>
      </c>
      <c r="AJ516" s="4" t="e">
        <f ca="1">SQRT($B$9)*_xlfn.STDEV.S(AI516:OFFSET(AI516,$B$5-1,0))</f>
        <v>#DIV/0!</v>
      </c>
      <c r="AK516" s="4" t="e">
        <f ca="1">SQRT($B$9)*_xlfn.STDEV.S(AI516:OFFSET(AI516,$B$6-1,0))</f>
        <v>#DIV/0!</v>
      </c>
      <c r="AL516" s="4" t="e">
        <f ca="1">SQRT($B$9)*_xlfn.STDEV.S(AI516:OFFSET(AI516,$B$7-1,0))</f>
        <v>#DIV/0!</v>
      </c>
      <c r="AM516" s="4" t="e">
        <f ca="1">SQRT($B$9)*_xlfn.STDEV.S(AI516:OFFSET(AI516,$B$8-1,0))</f>
        <v>#DIV/0!</v>
      </c>
    </row>
    <row r="517" spans="5:39" x14ac:dyDescent="0.2">
      <c r="E517" s="42">
        <v>44705</v>
      </c>
      <c r="F517" s="43"/>
      <c r="G517" s="43"/>
      <c r="H517" s="43"/>
      <c r="I517" s="43"/>
      <c r="K517" s="3" t="e">
        <f t="shared" si="44"/>
        <v>#DIV/0!</v>
      </c>
      <c r="L517" s="3" t="e">
        <f ca="1">SQRT(AVERAGE(K517:OFFSET(K517,$B$5-1,0))*$B$9/(4*LN(2)))</f>
        <v>#DIV/0!</v>
      </c>
      <c r="M517" s="3" t="e">
        <f ca="1">SQRT(AVERAGE(K517:OFFSET(K517,$B$6-1,0))*$B$9/(4*LN(2)))</f>
        <v>#DIV/0!</v>
      </c>
      <c r="N517" s="3" t="e">
        <f ca="1">SQRT(AVERAGE(K517:OFFSET(K517,$B$7-1,0))*$B$9/(4*LN(2)))</f>
        <v>#DIV/0!</v>
      </c>
      <c r="O517" s="3" t="e">
        <f ca="1">SQRT(AVERAGE(K517:OFFSET(K517,$B$8-1,0))*$B$9/(4*LN(2)))</f>
        <v>#DIV/0!</v>
      </c>
      <c r="Q517" s="5" t="e">
        <f t="shared" ref="Q517:Q580" si="48">0.511*(LN(G517/H517))^2-0.019*(LN(I517/F517)*LN(G517*H517/F517^2)-2*LN(G517/F517)*LN(H517/F517))-0.383*(LN(I517/F517))^2</f>
        <v>#DIV/0!</v>
      </c>
      <c r="R517" s="5" t="e">
        <f ca="1">SQRT($B$9*AVERAGE((Q517:OFFSET(Q517,$B$5-1,0))))</f>
        <v>#DIV/0!</v>
      </c>
      <c r="S517" s="5" t="e">
        <f ca="1">SQRT($B$9*AVERAGE((Q517:OFFSET(Q517,$B$6-1,0))))</f>
        <v>#DIV/0!</v>
      </c>
      <c r="T517" s="5" t="e">
        <f ca="1">SQRT($B$9*AVERAGE((Q517:OFFSET(Q517,$B$7-1,0))))</f>
        <v>#DIV/0!</v>
      </c>
      <c r="U517" s="5" t="e">
        <f ca="1">SQRT($B$9*AVERAGE((Q517:OFFSET(Q517,$B$8-1,0))))</f>
        <v>#DIV/0!</v>
      </c>
      <c r="W517" s="6" t="e">
        <f t="shared" si="47"/>
        <v>#DIV/0!</v>
      </c>
      <c r="X517" s="6" t="e">
        <f ca="1">SQRT($B$9*AVERAGE(W517:OFFSET(W517,$B$5-1,0)))</f>
        <v>#DIV/0!</v>
      </c>
      <c r="Y517" s="6" t="e">
        <f ca="1">SQRT($B$9*AVERAGE(W517:OFFSET(W517,$B$6-1,0)))</f>
        <v>#DIV/0!</v>
      </c>
      <c r="Z517" s="6" t="e">
        <f ca="1">SQRT($B$9*AVERAGE(W517:OFFSET(W517,$B$7-1,0)))</f>
        <v>#DIV/0!</v>
      </c>
      <c r="AA517" s="6" t="e">
        <f ca="1">SQRT($B$9*AVERAGE(W517:OFFSET(W517,$B$8-1,0)))</f>
        <v>#DIV/0!</v>
      </c>
      <c r="AC517" s="34" t="e">
        <f t="shared" si="45"/>
        <v>#DIV/0!</v>
      </c>
      <c r="AD517" s="34" t="e">
        <f ca="1">SQRT($B$9*SUM(AC517:OFFSET(AC517,$B$5-1,0))/($B$5-1))</f>
        <v>#DIV/0!</v>
      </c>
      <c r="AE517" s="34" t="e">
        <f ca="1">SQRT($B$9*SUM(AC517:OFFSET(AC517,$B$6-1,0))/($B$6-1))</f>
        <v>#DIV/0!</v>
      </c>
      <c r="AF517" s="34" t="e">
        <f ca="1">SQRT($B$9*SUM(AC517:OFFSET(AC517,$B$7-1,0))/($B$7-1))</f>
        <v>#DIV/0!</v>
      </c>
      <c r="AG517" s="34" t="e">
        <f ca="1">SQRT($B$9*SUM(AC517:OFFSET(AC517,$B$8-1,0))/($B$8-1))</f>
        <v>#DIV/0!</v>
      </c>
      <c r="AI517" s="1" t="e">
        <f t="shared" si="46"/>
        <v>#DIV/0!</v>
      </c>
      <c r="AJ517" s="4" t="e">
        <f ca="1">SQRT($B$9)*_xlfn.STDEV.S(AI517:OFFSET(AI517,$B$5-1,0))</f>
        <v>#DIV/0!</v>
      </c>
      <c r="AK517" s="4" t="e">
        <f ca="1">SQRT($B$9)*_xlfn.STDEV.S(AI517:OFFSET(AI517,$B$6-1,0))</f>
        <v>#DIV/0!</v>
      </c>
      <c r="AL517" s="4" t="e">
        <f ca="1">SQRT($B$9)*_xlfn.STDEV.S(AI517:OFFSET(AI517,$B$7-1,0))</f>
        <v>#DIV/0!</v>
      </c>
      <c r="AM517" s="4" t="e">
        <f ca="1">SQRT($B$9)*_xlfn.STDEV.S(AI517:OFFSET(AI517,$B$8-1,0))</f>
        <v>#DIV/0!</v>
      </c>
    </row>
    <row r="518" spans="5:39" x14ac:dyDescent="0.2">
      <c r="E518" s="42">
        <v>44704</v>
      </c>
      <c r="F518" s="43"/>
      <c r="G518" s="43"/>
      <c r="H518" s="43"/>
      <c r="I518" s="43"/>
      <c r="K518" s="3" t="e">
        <f t="shared" ref="K518:K581" si="49">(LN(G518/H518))^2</f>
        <v>#DIV/0!</v>
      </c>
      <c r="L518" s="3" t="e">
        <f ca="1">SQRT(AVERAGE(K518:OFFSET(K518,$B$5-1,0))*$B$9/(4*LN(2)))</f>
        <v>#DIV/0!</v>
      </c>
      <c r="M518" s="3" t="e">
        <f ca="1">SQRT(AVERAGE(K518:OFFSET(K518,$B$6-1,0))*$B$9/(4*LN(2)))</f>
        <v>#DIV/0!</v>
      </c>
      <c r="N518" s="3" t="e">
        <f ca="1">SQRT(AVERAGE(K518:OFFSET(K518,$B$7-1,0))*$B$9/(4*LN(2)))</f>
        <v>#DIV/0!</v>
      </c>
      <c r="O518" s="3" t="e">
        <f ca="1">SQRT(AVERAGE(K518:OFFSET(K518,$B$8-1,0))*$B$9/(4*LN(2)))</f>
        <v>#DIV/0!</v>
      </c>
      <c r="Q518" s="5" t="e">
        <f t="shared" si="48"/>
        <v>#DIV/0!</v>
      </c>
      <c r="R518" s="5" t="e">
        <f ca="1">SQRT($B$9*AVERAGE((Q518:OFFSET(Q518,$B$5-1,0))))</f>
        <v>#DIV/0!</v>
      </c>
      <c r="S518" s="5" t="e">
        <f ca="1">SQRT($B$9*AVERAGE((Q518:OFFSET(Q518,$B$6-1,0))))</f>
        <v>#DIV/0!</v>
      </c>
      <c r="T518" s="5" t="e">
        <f ca="1">SQRT($B$9*AVERAGE((Q518:OFFSET(Q518,$B$7-1,0))))</f>
        <v>#DIV/0!</v>
      </c>
      <c r="U518" s="5" t="e">
        <f ca="1">SQRT($B$9*AVERAGE((Q518:OFFSET(Q518,$B$8-1,0))))</f>
        <v>#DIV/0!</v>
      </c>
      <c r="W518" s="6" t="e">
        <f t="shared" si="47"/>
        <v>#DIV/0!</v>
      </c>
      <c r="X518" s="6" t="e">
        <f ca="1">SQRT($B$9*AVERAGE(W518:OFFSET(W518,$B$5-1,0)))</f>
        <v>#DIV/0!</v>
      </c>
      <c r="Y518" s="6" t="e">
        <f ca="1">SQRT($B$9*AVERAGE(W518:OFFSET(W518,$B$6-1,0)))</f>
        <v>#DIV/0!</v>
      </c>
      <c r="Z518" s="6" t="e">
        <f ca="1">SQRT($B$9*AVERAGE(W518:OFFSET(W518,$B$7-1,0)))</f>
        <v>#DIV/0!</v>
      </c>
      <c r="AA518" s="6" t="e">
        <f ca="1">SQRT($B$9*AVERAGE(W518:OFFSET(W518,$B$8-1,0)))</f>
        <v>#DIV/0!</v>
      </c>
      <c r="AC518" s="34" t="e">
        <f t="shared" si="45"/>
        <v>#DIV/0!</v>
      </c>
      <c r="AD518" s="34" t="e">
        <f ca="1">SQRT($B$9*SUM(AC518:OFFSET(AC518,$B$5-1,0))/($B$5-1))</f>
        <v>#DIV/0!</v>
      </c>
      <c r="AE518" s="34" t="e">
        <f ca="1">SQRT($B$9*SUM(AC518:OFFSET(AC518,$B$6-1,0))/($B$6-1))</f>
        <v>#DIV/0!</v>
      </c>
      <c r="AF518" s="34" t="e">
        <f ca="1">SQRT($B$9*SUM(AC518:OFFSET(AC518,$B$7-1,0))/($B$7-1))</f>
        <v>#DIV/0!</v>
      </c>
      <c r="AG518" s="34" t="e">
        <f ca="1">SQRT($B$9*SUM(AC518:OFFSET(AC518,$B$8-1,0))/($B$8-1))</f>
        <v>#DIV/0!</v>
      </c>
      <c r="AI518" s="1" t="e">
        <f t="shared" si="46"/>
        <v>#DIV/0!</v>
      </c>
      <c r="AJ518" s="4" t="e">
        <f ca="1">SQRT($B$9)*_xlfn.STDEV.S(AI518:OFFSET(AI518,$B$5-1,0))</f>
        <v>#DIV/0!</v>
      </c>
      <c r="AK518" s="4" t="e">
        <f ca="1">SQRT($B$9)*_xlfn.STDEV.S(AI518:OFFSET(AI518,$B$6-1,0))</f>
        <v>#DIV/0!</v>
      </c>
      <c r="AL518" s="4" t="e">
        <f ca="1">SQRT($B$9)*_xlfn.STDEV.S(AI518:OFFSET(AI518,$B$7-1,0))</f>
        <v>#DIV/0!</v>
      </c>
      <c r="AM518" s="4" t="e">
        <f ca="1">SQRT($B$9)*_xlfn.STDEV.S(AI518:OFFSET(AI518,$B$8-1,0))</f>
        <v>#DIV/0!</v>
      </c>
    </row>
    <row r="519" spans="5:39" x14ac:dyDescent="0.2">
      <c r="E519" s="42">
        <v>44701</v>
      </c>
      <c r="F519" s="43"/>
      <c r="G519" s="43"/>
      <c r="H519" s="43"/>
      <c r="I519" s="43"/>
      <c r="K519" s="3" t="e">
        <f t="shared" si="49"/>
        <v>#DIV/0!</v>
      </c>
      <c r="L519" s="3" t="e">
        <f ca="1">SQRT(AVERAGE(K519:OFFSET(K519,$B$5-1,0))*$B$9/(4*LN(2)))</f>
        <v>#DIV/0!</v>
      </c>
      <c r="M519" s="3" t="e">
        <f ca="1">SQRT(AVERAGE(K519:OFFSET(K519,$B$6-1,0))*$B$9/(4*LN(2)))</f>
        <v>#DIV/0!</v>
      </c>
      <c r="N519" s="3" t="e">
        <f ca="1">SQRT(AVERAGE(K519:OFFSET(K519,$B$7-1,0))*$B$9/(4*LN(2)))</f>
        <v>#DIV/0!</v>
      </c>
      <c r="O519" s="3" t="e">
        <f ca="1">SQRT(AVERAGE(K519:OFFSET(K519,$B$8-1,0))*$B$9/(4*LN(2)))</f>
        <v>#DIV/0!</v>
      </c>
      <c r="Q519" s="5" t="e">
        <f t="shared" si="48"/>
        <v>#DIV/0!</v>
      </c>
      <c r="R519" s="5" t="e">
        <f ca="1">SQRT($B$9*AVERAGE((Q519:OFFSET(Q519,$B$5-1,0))))</f>
        <v>#DIV/0!</v>
      </c>
      <c r="S519" s="5" t="e">
        <f ca="1">SQRT($B$9*AVERAGE((Q519:OFFSET(Q519,$B$6-1,0))))</f>
        <v>#DIV/0!</v>
      </c>
      <c r="T519" s="5" t="e">
        <f ca="1">SQRT($B$9*AVERAGE((Q519:OFFSET(Q519,$B$7-1,0))))</f>
        <v>#DIV/0!</v>
      </c>
      <c r="U519" s="5" t="e">
        <f ca="1">SQRT($B$9*AVERAGE((Q519:OFFSET(Q519,$B$8-1,0))))</f>
        <v>#DIV/0!</v>
      </c>
      <c r="W519" s="6" t="e">
        <f t="shared" si="47"/>
        <v>#DIV/0!</v>
      </c>
      <c r="X519" s="6" t="e">
        <f ca="1">SQRT($B$9*AVERAGE(W519:OFFSET(W519,$B$5-1,0)))</f>
        <v>#DIV/0!</v>
      </c>
      <c r="Y519" s="6" t="e">
        <f ca="1">SQRT($B$9*AVERAGE(W519:OFFSET(W519,$B$6-1,0)))</f>
        <v>#DIV/0!</v>
      </c>
      <c r="Z519" s="6" t="e">
        <f ca="1">SQRT($B$9*AVERAGE(W519:OFFSET(W519,$B$7-1,0)))</f>
        <v>#DIV/0!</v>
      </c>
      <c r="AA519" s="6" t="e">
        <f ca="1">SQRT($B$9*AVERAGE(W519:OFFSET(W519,$B$8-1,0)))</f>
        <v>#DIV/0!</v>
      </c>
      <c r="AC519" s="34" t="e">
        <f t="shared" si="45"/>
        <v>#DIV/0!</v>
      </c>
      <c r="AD519" s="34" t="e">
        <f ca="1">SQRT($B$9*SUM(AC519:OFFSET(AC519,$B$5-1,0))/($B$5-1))</f>
        <v>#DIV/0!</v>
      </c>
      <c r="AE519" s="34" t="e">
        <f ca="1">SQRT($B$9*SUM(AC519:OFFSET(AC519,$B$6-1,0))/($B$6-1))</f>
        <v>#DIV/0!</v>
      </c>
      <c r="AF519" s="34" t="e">
        <f ca="1">SQRT($B$9*SUM(AC519:OFFSET(AC519,$B$7-1,0))/($B$7-1))</f>
        <v>#DIV/0!</v>
      </c>
      <c r="AG519" s="34" t="e">
        <f ca="1">SQRT($B$9*SUM(AC519:OFFSET(AC519,$B$8-1,0))/($B$8-1))</f>
        <v>#DIV/0!</v>
      </c>
      <c r="AI519" s="1" t="e">
        <f t="shared" si="46"/>
        <v>#DIV/0!</v>
      </c>
      <c r="AJ519" s="4" t="e">
        <f ca="1">SQRT($B$9)*_xlfn.STDEV.S(AI519:OFFSET(AI519,$B$5-1,0))</f>
        <v>#DIV/0!</v>
      </c>
      <c r="AK519" s="4" t="e">
        <f ca="1">SQRT($B$9)*_xlfn.STDEV.S(AI519:OFFSET(AI519,$B$6-1,0))</f>
        <v>#DIV/0!</v>
      </c>
      <c r="AL519" s="4" t="e">
        <f ca="1">SQRT($B$9)*_xlfn.STDEV.S(AI519:OFFSET(AI519,$B$7-1,0))</f>
        <v>#DIV/0!</v>
      </c>
      <c r="AM519" s="4" t="e">
        <f ca="1">SQRT($B$9)*_xlfn.STDEV.S(AI519:OFFSET(AI519,$B$8-1,0))</f>
        <v>#DIV/0!</v>
      </c>
    </row>
    <row r="520" spans="5:39" x14ac:dyDescent="0.2">
      <c r="E520" s="42">
        <v>44700</v>
      </c>
      <c r="F520" s="43"/>
      <c r="G520" s="43"/>
      <c r="H520" s="43"/>
      <c r="I520" s="43"/>
      <c r="K520" s="3" t="e">
        <f t="shared" si="49"/>
        <v>#DIV/0!</v>
      </c>
      <c r="L520" s="3" t="e">
        <f ca="1">SQRT(AVERAGE(K520:OFFSET(K520,$B$5-1,0))*$B$9/(4*LN(2)))</f>
        <v>#DIV/0!</v>
      </c>
      <c r="M520" s="3" t="e">
        <f ca="1">SQRT(AVERAGE(K520:OFFSET(K520,$B$6-1,0))*$B$9/(4*LN(2)))</f>
        <v>#DIV/0!</v>
      </c>
      <c r="N520" s="3" t="e">
        <f ca="1">SQRT(AVERAGE(K520:OFFSET(K520,$B$7-1,0))*$B$9/(4*LN(2)))</f>
        <v>#DIV/0!</v>
      </c>
      <c r="O520" s="3" t="e">
        <f ca="1">SQRT(AVERAGE(K520:OFFSET(K520,$B$8-1,0))*$B$9/(4*LN(2)))</f>
        <v>#DIV/0!</v>
      </c>
      <c r="Q520" s="5" t="e">
        <f t="shared" si="48"/>
        <v>#DIV/0!</v>
      </c>
      <c r="R520" s="5" t="e">
        <f ca="1">SQRT($B$9*AVERAGE((Q520:OFFSET(Q520,$B$5-1,0))))</f>
        <v>#DIV/0!</v>
      </c>
      <c r="S520" s="5" t="e">
        <f ca="1">SQRT($B$9*AVERAGE((Q520:OFFSET(Q520,$B$6-1,0))))</f>
        <v>#DIV/0!</v>
      </c>
      <c r="T520" s="5" t="e">
        <f ca="1">SQRT($B$9*AVERAGE((Q520:OFFSET(Q520,$B$7-1,0))))</f>
        <v>#DIV/0!</v>
      </c>
      <c r="U520" s="5" t="e">
        <f ca="1">SQRT($B$9*AVERAGE((Q520:OFFSET(Q520,$B$8-1,0))))</f>
        <v>#DIV/0!</v>
      </c>
      <c r="W520" s="6" t="e">
        <f t="shared" si="47"/>
        <v>#DIV/0!</v>
      </c>
      <c r="X520" s="6" t="e">
        <f ca="1">SQRT($B$9*AVERAGE(W520:OFFSET(W520,$B$5-1,0)))</f>
        <v>#DIV/0!</v>
      </c>
      <c r="Y520" s="6" t="e">
        <f ca="1">SQRT($B$9*AVERAGE(W520:OFFSET(W520,$B$6-1,0)))</f>
        <v>#DIV/0!</v>
      </c>
      <c r="Z520" s="6" t="e">
        <f ca="1">SQRT($B$9*AVERAGE(W520:OFFSET(W520,$B$7-1,0)))</f>
        <v>#DIV/0!</v>
      </c>
      <c r="AA520" s="6" t="e">
        <f ca="1">SQRT($B$9*AVERAGE(W520:OFFSET(W520,$B$8-1,0)))</f>
        <v>#DIV/0!</v>
      </c>
      <c r="AC520" s="34" t="e">
        <f t="shared" si="45"/>
        <v>#DIV/0!</v>
      </c>
      <c r="AD520" s="34" t="e">
        <f ca="1">SQRT($B$9*SUM(AC520:OFFSET(AC520,$B$5-1,0))/($B$5-1))</f>
        <v>#DIV/0!</v>
      </c>
      <c r="AE520" s="34" t="e">
        <f ca="1">SQRT($B$9*SUM(AC520:OFFSET(AC520,$B$6-1,0))/($B$6-1))</f>
        <v>#DIV/0!</v>
      </c>
      <c r="AF520" s="34" t="e">
        <f ca="1">SQRT($B$9*SUM(AC520:OFFSET(AC520,$B$7-1,0))/($B$7-1))</f>
        <v>#DIV/0!</v>
      </c>
      <c r="AG520" s="34" t="e">
        <f ca="1">SQRT($B$9*SUM(AC520:OFFSET(AC520,$B$8-1,0))/($B$8-1))</f>
        <v>#DIV/0!</v>
      </c>
      <c r="AI520" s="1" t="e">
        <f t="shared" si="46"/>
        <v>#DIV/0!</v>
      </c>
      <c r="AJ520" s="4" t="e">
        <f ca="1">SQRT($B$9)*_xlfn.STDEV.S(AI520:OFFSET(AI520,$B$5-1,0))</f>
        <v>#DIV/0!</v>
      </c>
      <c r="AK520" s="4" t="e">
        <f ca="1">SQRT($B$9)*_xlfn.STDEV.S(AI520:OFFSET(AI520,$B$6-1,0))</f>
        <v>#DIV/0!</v>
      </c>
      <c r="AL520" s="4" t="e">
        <f ca="1">SQRT($B$9)*_xlfn.STDEV.S(AI520:OFFSET(AI520,$B$7-1,0))</f>
        <v>#DIV/0!</v>
      </c>
      <c r="AM520" s="4" t="e">
        <f ca="1">SQRT($B$9)*_xlfn.STDEV.S(AI520:OFFSET(AI520,$B$8-1,0))</f>
        <v>#DIV/0!</v>
      </c>
    </row>
    <row r="521" spans="5:39" x14ac:dyDescent="0.2">
      <c r="E521" s="42">
        <v>44699</v>
      </c>
      <c r="F521" s="43"/>
      <c r="G521" s="43"/>
      <c r="H521" s="43"/>
      <c r="I521" s="43"/>
      <c r="K521" s="3" t="e">
        <f t="shared" si="49"/>
        <v>#DIV/0!</v>
      </c>
      <c r="L521" s="3" t="e">
        <f ca="1">SQRT(AVERAGE(K521:OFFSET(K521,$B$5-1,0))*$B$9/(4*LN(2)))</f>
        <v>#DIV/0!</v>
      </c>
      <c r="M521" s="3" t="e">
        <f ca="1">SQRT(AVERAGE(K521:OFFSET(K521,$B$6-1,0))*$B$9/(4*LN(2)))</f>
        <v>#DIV/0!</v>
      </c>
      <c r="N521" s="3" t="e">
        <f ca="1">SQRT(AVERAGE(K521:OFFSET(K521,$B$7-1,0))*$B$9/(4*LN(2)))</f>
        <v>#DIV/0!</v>
      </c>
      <c r="O521" s="3" t="e">
        <f ca="1">SQRT(AVERAGE(K521:OFFSET(K521,$B$8-1,0))*$B$9/(4*LN(2)))</f>
        <v>#DIV/0!</v>
      </c>
      <c r="Q521" s="5" t="e">
        <f t="shared" si="48"/>
        <v>#DIV/0!</v>
      </c>
      <c r="R521" s="5" t="e">
        <f ca="1">SQRT($B$9*AVERAGE((Q521:OFFSET(Q521,$B$5-1,0))))</f>
        <v>#DIV/0!</v>
      </c>
      <c r="S521" s="5" t="e">
        <f ca="1">SQRT($B$9*AVERAGE((Q521:OFFSET(Q521,$B$6-1,0))))</f>
        <v>#DIV/0!</v>
      </c>
      <c r="T521" s="5" t="e">
        <f ca="1">SQRT($B$9*AVERAGE((Q521:OFFSET(Q521,$B$7-1,0))))</f>
        <v>#DIV/0!</v>
      </c>
      <c r="U521" s="5" t="e">
        <f ca="1">SQRT($B$9*AVERAGE((Q521:OFFSET(Q521,$B$8-1,0))))</f>
        <v>#DIV/0!</v>
      </c>
      <c r="W521" s="6" t="e">
        <f t="shared" si="47"/>
        <v>#DIV/0!</v>
      </c>
      <c r="X521" s="6" t="e">
        <f ca="1">SQRT($B$9*AVERAGE(W521:OFFSET(W521,$B$5-1,0)))</f>
        <v>#DIV/0!</v>
      </c>
      <c r="Y521" s="6" t="e">
        <f ca="1">SQRT($B$9*AVERAGE(W521:OFFSET(W521,$B$6-1,0)))</f>
        <v>#DIV/0!</v>
      </c>
      <c r="Z521" s="6" t="e">
        <f ca="1">SQRT($B$9*AVERAGE(W521:OFFSET(W521,$B$7-1,0)))</f>
        <v>#DIV/0!</v>
      </c>
      <c r="AA521" s="6" t="e">
        <f ca="1">SQRT($B$9*AVERAGE(W521:OFFSET(W521,$B$8-1,0)))</f>
        <v>#DIV/0!</v>
      </c>
      <c r="AC521" s="34" t="e">
        <f t="shared" si="45"/>
        <v>#DIV/0!</v>
      </c>
      <c r="AD521" s="34" t="e">
        <f ca="1">SQRT($B$9*SUM(AC521:OFFSET(AC521,$B$5-1,0))/($B$5-1))</f>
        <v>#DIV/0!</v>
      </c>
      <c r="AE521" s="34" t="e">
        <f ca="1">SQRT($B$9*SUM(AC521:OFFSET(AC521,$B$6-1,0))/($B$6-1))</f>
        <v>#DIV/0!</v>
      </c>
      <c r="AF521" s="34" t="e">
        <f ca="1">SQRT($B$9*SUM(AC521:OFFSET(AC521,$B$7-1,0))/($B$7-1))</f>
        <v>#DIV/0!</v>
      </c>
      <c r="AG521" s="34" t="e">
        <f ca="1">SQRT($B$9*SUM(AC521:OFFSET(AC521,$B$8-1,0))/($B$8-1))</f>
        <v>#DIV/0!</v>
      </c>
      <c r="AI521" s="1" t="e">
        <f t="shared" si="46"/>
        <v>#DIV/0!</v>
      </c>
      <c r="AJ521" s="4" t="e">
        <f ca="1">SQRT($B$9)*_xlfn.STDEV.S(AI521:OFFSET(AI521,$B$5-1,0))</f>
        <v>#DIV/0!</v>
      </c>
      <c r="AK521" s="4" t="e">
        <f ca="1">SQRT($B$9)*_xlfn.STDEV.S(AI521:OFFSET(AI521,$B$6-1,0))</f>
        <v>#DIV/0!</v>
      </c>
      <c r="AL521" s="4" t="e">
        <f ca="1">SQRT($B$9)*_xlfn.STDEV.S(AI521:OFFSET(AI521,$B$7-1,0))</f>
        <v>#DIV/0!</v>
      </c>
      <c r="AM521" s="4" t="e">
        <f ca="1">SQRT($B$9)*_xlfn.STDEV.S(AI521:OFFSET(AI521,$B$8-1,0))</f>
        <v>#DIV/0!</v>
      </c>
    </row>
    <row r="522" spans="5:39" x14ac:dyDescent="0.2">
      <c r="E522" s="42">
        <v>44698</v>
      </c>
      <c r="F522" s="43"/>
      <c r="G522" s="43"/>
      <c r="H522" s="43"/>
      <c r="I522" s="43"/>
      <c r="K522" s="3" t="e">
        <f t="shared" si="49"/>
        <v>#DIV/0!</v>
      </c>
      <c r="L522" s="3" t="e">
        <f ca="1">SQRT(AVERAGE(K522:OFFSET(K522,$B$5-1,0))*$B$9/(4*LN(2)))</f>
        <v>#DIV/0!</v>
      </c>
      <c r="M522" s="3" t="e">
        <f ca="1">SQRT(AVERAGE(K522:OFFSET(K522,$B$6-1,0))*$B$9/(4*LN(2)))</f>
        <v>#DIV/0!</v>
      </c>
      <c r="N522" s="3" t="e">
        <f ca="1">SQRT(AVERAGE(K522:OFFSET(K522,$B$7-1,0))*$B$9/(4*LN(2)))</f>
        <v>#DIV/0!</v>
      </c>
      <c r="O522" s="3" t="e">
        <f ca="1">SQRT(AVERAGE(K522:OFFSET(K522,$B$8-1,0))*$B$9/(4*LN(2)))</f>
        <v>#DIV/0!</v>
      </c>
      <c r="Q522" s="5" t="e">
        <f t="shared" si="48"/>
        <v>#DIV/0!</v>
      </c>
      <c r="R522" s="5" t="e">
        <f ca="1">SQRT($B$9*AVERAGE((Q522:OFFSET(Q522,$B$5-1,0))))</f>
        <v>#DIV/0!</v>
      </c>
      <c r="S522" s="5" t="e">
        <f ca="1">SQRT($B$9*AVERAGE((Q522:OFFSET(Q522,$B$6-1,0))))</f>
        <v>#DIV/0!</v>
      </c>
      <c r="T522" s="5" t="e">
        <f ca="1">SQRT($B$9*AVERAGE((Q522:OFFSET(Q522,$B$7-1,0))))</f>
        <v>#DIV/0!</v>
      </c>
      <c r="U522" s="5" t="e">
        <f ca="1">SQRT($B$9*AVERAGE((Q522:OFFSET(Q522,$B$8-1,0))))</f>
        <v>#DIV/0!</v>
      </c>
      <c r="W522" s="6" t="e">
        <f t="shared" si="47"/>
        <v>#DIV/0!</v>
      </c>
      <c r="X522" s="6" t="e">
        <f ca="1">SQRT($B$9*AVERAGE(W522:OFFSET(W522,$B$5-1,0)))</f>
        <v>#DIV/0!</v>
      </c>
      <c r="Y522" s="6" t="e">
        <f ca="1">SQRT($B$9*AVERAGE(W522:OFFSET(W522,$B$6-1,0)))</f>
        <v>#DIV/0!</v>
      </c>
      <c r="Z522" s="6" t="e">
        <f ca="1">SQRT($B$9*AVERAGE(W522:OFFSET(W522,$B$7-1,0)))</f>
        <v>#DIV/0!</v>
      </c>
      <c r="AA522" s="6" t="e">
        <f ca="1">SQRT($B$9*AVERAGE(W522:OFFSET(W522,$B$8-1,0)))</f>
        <v>#DIV/0!</v>
      </c>
      <c r="AC522" s="34" t="e">
        <f t="shared" si="45"/>
        <v>#DIV/0!</v>
      </c>
      <c r="AD522" s="34" t="e">
        <f ca="1">SQRT($B$9*SUM(AC522:OFFSET(AC522,$B$5-1,0))/($B$5-1))</f>
        <v>#DIV/0!</v>
      </c>
      <c r="AE522" s="34" t="e">
        <f ca="1">SQRT($B$9*SUM(AC522:OFFSET(AC522,$B$6-1,0))/($B$6-1))</f>
        <v>#DIV/0!</v>
      </c>
      <c r="AF522" s="34" t="e">
        <f ca="1">SQRT($B$9*SUM(AC522:OFFSET(AC522,$B$7-1,0))/($B$7-1))</f>
        <v>#DIV/0!</v>
      </c>
      <c r="AG522" s="34" t="e">
        <f ca="1">SQRT($B$9*SUM(AC522:OFFSET(AC522,$B$8-1,0))/($B$8-1))</f>
        <v>#DIV/0!</v>
      </c>
      <c r="AI522" s="1" t="e">
        <f t="shared" si="46"/>
        <v>#DIV/0!</v>
      </c>
      <c r="AJ522" s="4" t="e">
        <f ca="1">SQRT($B$9)*_xlfn.STDEV.S(AI522:OFFSET(AI522,$B$5-1,0))</f>
        <v>#DIV/0!</v>
      </c>
      <c r="AK522" s="4" t="e">
        <f ca="1">SQRT($B$9)*_xlfn.STDEV.S(AI522:OFFSET(AI522,$B$6-1,0))</f>
        <v>#DIV/0!</v>
      </c>
      <c r="AL522" s="4" t="e">
        <f ca="1">SQRT($B$9)*_xlfn.STDEV.S(AI522:OFFSET(AI522,$B$7-1,0))</f>
        <v>#DIV/0!</v>
      </c>
      <c r="AM522" s="4" t="e">
        <f ca="1">SQRT($B$9)*_xlfn.STDEV.S(AI522:OFFSET(AI522,$B$8-1,0))</f>
        <v>#DIV/0!</v>
      </c>
    </row>
    <row r="523" spans="5:39" x14ac:dyDescent="0.2">
      <c r="E523" s="42">
        <v>44697</v>
      </c>
      <c r="F523" s="43"/>
      <c r="G523" s="43"/>
      <c r="H523" s="43"/>
      <c r="I523" s="43"/>
      <c r="K523" s="3" t="e">
        <f t="shared" si="49"/>
        <v>#DIV/0!</v>
      </c>
      <c r="L523" s="3" t="e">
        <f ca="1">SQRT(AVERAGE(K523:OFFSET(K523,$B$5-1,0))*$B$9/(4*LN(2)))</f>
        <v>#DIV/0!</v>
      </c>
      <c r="M523" s="3" t="e">
        <f ca="1">SQRT(AVERAGE(K523:OFFSET(K523,$B$6-1,0))*$B$9/(4*LN(2)))</f>
        <v>#DIV/0!</v>
      </c>
      <c r="N523" s="3" t="e">
        <f ca="1">SQRT(AVERAGE(K523:OFFSET(K523,$B$7-1,0))*$B$9/(4*LN(2)))</f>
        <v>#DIV/0!</v>
      </c>
      <c r="O523" s="3" t="e">
        <f ca="1">SQRT(AVERAGE(K523:OFFSET(K523,$B$8-1,0))*$B$9/(4*LN(2)))</f>
        <v>#DIV/0!</v>
      </c>
      <c r="Q523" s="5" t="e">
        <f t="shared" si="48"/>
        <v>#DIV/0!</v>
      </c>
      <c r="R523" s="5" t="e">
        <f ca="1">SQRT($B$9*AVERAGE((Q523:OFFSET(Q523,$B$5-1,0))))</f>
        <v>#DIV/0!</v>
      </c>
      <c r="S523" s="5" t="e">
        <f ca="1">SQRT($B$9*AVERAGE((Q523:OFFSET(Q523,$B$6-1,0))))</f>
        <v>#DIV/0!</v>
      </c>
      <c r="T523" s="5" t="e">
        <f ca="1">SQRT($B$9*AVERAGE((Q523:OFFSET(Q523,$B$7-1,0))))</f>
        <v>#DIV/0!</v>
      </c>
      <c r="U523" s="5" t="e">
        <f ca="1">SQRT($B$9*AVERAGE((Q523:OFFSET(Q523,$B$8-1,0))))</f>
        <v>#DIV/0!</v>
      </c>
      <c r="W523" s="6" t="e">
        <f t="shared" si="47"/>
        <v>#DIV/0!</v>
      </c>
      <c r="X523" s="6" t="e">
        <f ca="1">SQRT($B$9*AVERAGE(W523:OFFSET(W523,$B$5-1,0)))</f>
        <v>#DIV/0!</v>
      </c>
      <c r="Y523" s="6" t="e">
        <f ca="1">SQRT($B$9*AVERAGE(W523:OFFSET(W523,$B$6-1,0)))</f>
        <v>#DIV/0!</v>
      </c>
      <c r="Z523" s="6" t="e">
        <f ca="1">SQRT($B$9*AVERAGE(W523:OFFSET(W523,$B$7-1,0)))</f>
        <v>#DIV/0!</v>
      </c>
      <c r="AA523" s="6" t="e">
        <f ca="1">SQRT($B$9*AVERAGE(W523:OFFSET(W523,$B$8-1,0)))</f>
        <v>#DIV/0!</v>
      </c>
      <c r="AC523" s="34" t="e">
        <f t="shared" si="45"/>
        <v>#DIV/0!</v>
      </c>
      <c r="AD523" s="34" t="e">
        <f ca="1">SQRT($B$9*SUM(AC523:OFFSET(AC523,$B$5-1,0))/($B$5-1))</f>
        <v>#DIV/0!</v>
      </c>
      <c r="AE523" s="34" t="e">
        <f ca="1">SQRT($B$9*SUM(AC523:OFFSET(AC523,$B$6-1,0))/($B$6-1))</f>
        <v>#DIV/0!</v>
      </c>
      <c r="AF523" s="34" t="e">
        <f ca="1">SQRT($B$9*SUM(AC523:OFFSET(AC523,$B$7-1,0))/($B$7-1))</f>
        <v>#DIV/0!</v>
      </c>
      <c r="AG523" s="34" t="e">
        <f ca="1">SQRT($B$9*SUM(AC523:OFFSET(AC523,$B$8-1,0))/($B$8-1))</f>
        <v>#DIV/0!</v>
      </c>
      <c r="AI523" s="1" t="e">
        <f t="shared" si="46"/>
        <v>#DIV/0!</v>
      </c>
      <c r="AJ523" s="4" t="e">
        <f ca="1">SQRT($B$9)*_xlfn.STDEV.S(AI523:OFFSET(AI523,$B$5-1,0))</f>
        <v>#DIV/0!</v>
      </c>
      <c r="AK523" s="4" t="e">
        <f ca="1">SQRT($B$9)*_xlfn.STDEV.S(AI523:OFFSET(AI523,$B$6-1,0))</f>
        <v>#DIV/0!</v>
      </c>
      <c r="AL523" s="4" t="e">
        <f ca="1">SQRT($B$9)*_xlfn.STDEV.S(AI523:OFFSET(AI523,$B$7-1,0))</f>
        <v>#DIV/0!</v>
      </c>
      <c r="AM523" s="4" t="e">
        <f ca="1">SQRT($B$9)*_xlfn.STDEV.S(AI523:OFFSET(AI523,$B$8-1,0))</f>
        <v>#DIV/0!</v>
      </c>
    </row>
    <row r="524" spans="5:39" x14ac:dyDescent="0.2">
      <c r="E524" s="42">
        <v>44694</v>
      </c>
      <c r="F524" s="43"/>
      <c r="G524" s="43"/>
      <c r="H524" s="43"/>
      <c r="I524" s="43"/>
      <c r="K524" s="3" t="e">
        <f t="shared" si="49"/>
        <v>#DIV/0!</v>
      </c>
      <c r="L524" s="3" t="e">
        <f ca="1">SQRT(AVERAGE(K524:OFFSET(K524,$B$5-1,0))*$B$9/(4*LN(2)))</f>
        <v>#DIV/0!</v>
      </c>
      <c r="M524" s="3" t="e">
        <f ca="1">SQRT(AVERAGE(K524:OFFSET(K524,$B$6-1,0))*$B$9/(4*LN(2)))</f>
        <v>#DIV/0!</v>
      </c>
      <c r="N524" s="3" t="e">
        <f ca="1">SQRT(AVERAGE(K524:OFFSET(K524,$B$7-1,0))*$B$9/(4*LN(2)))</f>
        <v>#DIV/0!</v>
      </c>
      <c r="O524" s="3" t="e">
        <f ca="1">SQRT(AVERAGE(K524:OFFSET(K524,$B$8-1,0))*$B$9/(4*LN(2)))</f>
        <v>#DIV/0!</v>
      </c>
      <c r="Q524" s="5" t="e">
        <f t="shared" si="48"/>
        <v>#DIV/0!</v>
      </c>
      <c r="R524" s="5" t="e">
        <f ca="1">SQRT($B$9*AVERAGE((Q524:OFFSET(Q524,$B$5-1,0))))</f>
        <v>#DIV/0!</v>
      </c>
      <c r="S524" s="5" t="e">
        <f ca="1">SQRT($B$9*AVERAGE((Q524:OFFSET(Q524,$B$6-1,0))))</f>
        <v>#DIV/0!</v>
      </c>
      <c r="T524" s="5" t="e">
        <f ca="1">SQRT($B$9*AVERAGE((Q524:OFFSET(Q524,$B$7-1,0))))</f>
        <v>#DIV/0!</v>
      </c>
      <c r="U524" s="5" t="e">
        <f ca="1">SQRT($B$9*AVERAGE((Q524:OFFSET(Q524,$B$8-1,0))))</f>
        <v>#DIV/0!</v>
      </c>
      <c r="W524" s="6" t="e">
        <f t="shared" si="47"/>
        <v>#DIV/0!</v>
      </c>
      <c r="X524" s="6" t="e">
        <f ca="1">SQRT($B$9*AVERAGE(W524:OFFSET(W524,$B$5-1,0)))</f>
        <v>#DIV/0!</v>
      </c>
      <c r="Y524" s="6" t="e">
        <f ca="1">SQRT($B$9*AVERAGE(W524:OFFSET(W524,$B$6-1,0)))</f>
        <v>#DIV/0!</v>
      </c>
      <c r="Z524" s="6" t="e">
        <f ca="1">SQRT($B$9*AVERAGE(W524:OFFSET(W524,$B$7-1,0)))</f>
        <v>#DIV/0!</v>
      </c>
      <c r="AA524" s="6" t="e">
        <f ca="1">SQRT($B$9*AVERAGE(W524:OFFSET(W524,$B$8-1,0)))</f>
        <v>#DIV/0!</v>
      </c>
      <c r="AC524" s="34" t="e">
        <f t="shared" si="45"/>
        <v>#DIV/0!</v>
      </c>
      <c r="AD524" s="34" t="e">
        <f ca="1">SQRT($B$9*SUM(AC524:OFFSET(AC524,$B$5-1,0))/($B$5-1))</f>
        <v>#DIV/0!</v>
      </c>
      <c r="AE524" s="34" t="e">
        <f ca="1">SQRT($B$9*SUM(AC524:OFFSET(AC524,$B$6-1,0))/($B$6-1))</f>
        <v>#DIV/0!</v>
      </c>
      <c r="AF524" s="34" t="e">
        <f ca="1">SQRT($B$9*SUM(AC524:OFFSET(AC524,$B$7-1,0))/($B$7-1))</f>
        <v>#DIV/0!</v>
      </c>
      <c r="AG524" s="34" t="e">
        <f ca="1">SQRT($B$9*SUM(AC524:OFFSET(AC524,$B$8-1,0))/($B$8-1))</f>
        <v>#DIV/0!</v>
      </c>
      <c r="AI524" s="1" t="e">
        <f t="shared" si="46"/>
        <v>#DIV/0!</v>
      </c>
      <c r="AJ524" s="4" t="e">
        <f ca="1">SQRT($B$9)*_xlfn.STDEV.S(AI524:OFFSET(AI524,$B$5-1,0))</f>
        <v>#DIV/0!</v>
      </c>
      <c r="AK524" s="4" t="e">
        <f ca="1">SQRT($B$9)*_xlfn.STDEV.S(AI524:OFFSET(AI524,$B$6-1,0))</f>
        <v>#DIV/0!</v>
      </c>
      <c r="AL524" s="4" t="e">
        <f ca="1">SQRT($B$9)*_xlfn.STDEV.S(AI524:OFFSET(AI524,$B$7-1,0))</f>
        <v>#DIV/0!</v>
      </c>
      <c r="AM524" s="4" t="e">
        <f ca="1">SQRT($B$9)*_xlfn.STDEV.S(AI524:OFFSET(AI524,$B$8-1,0))</f>
        <v>#DIV/0!</v>
      </c>
    </row>
    <row r="525" spans="5:39" x14ac:dyDescent="0.2">
      <c r="E525" s="42">
        <v>44693</v>
      </c>
      <c r="F525" s="43"/>
      <c r="G525" s="43"/>
      <c r="H525" s="43"/>
      <c r="I525" s="43"/>
      <c r="K525" s="3" t="e">
        <f t="shared" si="49"/>
        <v>#DIV/0!</v>
      </c>
      <c r="L525" s="3" t="e">
        <f ca="1">SQRT(AVERAGE(K525:OFFSET(K525,$B$5-1,0))*$B$9/(4*LN(2)))</f>
        <v>#DIV/0!</v>
      </c>
      <c r="M525" s="3" t="e">
        <f ca="1">SQRT(AVERAGE(K525:OFFSET(K525,$B$6-1,0))*$B$9/(4*LN(2)))</f>
        <v>#DIV/0!</v>
      </c>
      <c r="N525" s="3" t="e">
        <f ca="1">SQRT(AVERAGE(K525:OFFSET(K525,$B$7-1,0))*$B$9/(4*LN(2)))</f>
        <v>#DIV/0!</v>
      </c>
      <c r="O525" s="3" t="e">
        <f ca="1">SQRT(AVERAGE(K525:OFFSET(K525,$B$8-1,0))*$B$9/(4*LN(2)))</f>
        <v>#DIV/0!</v>
      </c>
      <c r="Q525" s="5" t="e">
        <f t="shared" si="48"/>
        <v>#DIV/0!</v>
      </c>
      <c r="R525" s="5" t="e">
        <f ca="1">SQRT($B$9*AVERAGE((Q525:OFFSET(Q525,$B$5-1,0))))</f>
        <v>#DIV/0!</v>
      </c>
      <c r="S525" s="5" t="e">
        <f ca="1">SQRT($B$9*AVERAGE((Q525:OFFSET(Q525,$B$6-1,0))))</f>
        <v>#DIV/0!</v>
      </c>
      <c r="T525" s="5" t="e">
        <f ca="1">SQRT($B$9*AVERAGE((Q525:OFFSET(Q525,$B$7-1,0))))</f>
        <v>#DIV/0!</v>
      </c>
      <c r="U525" s="5" t="e">
        <f ca="1">SQRT($B$9*AVERAGE((Q525:OFFSET(Q525,$B$8-1,0))))</f>
        <v>#DIV/0!</v>
      </c>
      <c r="W525" s="6" t="e">
        <f t="shared" si="47"/>
        <v>#DIV/0!</v>
      </c>
      <c r="X525" s="6" t="e">
        <f ca="1">SQRT($B$9*AVERAGE(W525:OFFSET(W525,$B$5-1,0)))</f>
        <v>#DIV/0!</v>
      </c>
      <c r="Y525" s="6" t="e">
        <f ca="1">SQRT($B$9*AVERAGE(W525:OFFSET(W525,$B$6-1,0)))</f>
        <v>#DIV/0!</v>
      </c>
      <c r="Z525" s="6" t="e">
        <f ca="1">SQRT($B$9*AVERAGE(W525:OFFSET(W525,$B$7-1,0)))</f>
        <v>#DIV/0!</v>
      </c>
      <c r="AA525" s="6" t="e">
        <f ca="1">SQRT($B$9*AVERAGE(W525:OFFSET(W525,$B$8-1,0)))</f>
        <v>#DIV/0!</v>
      </c>
      <c r="AC525" s="34" t="e">
        <f t="shared" si="45"/>
        <v>#DIV/0!</v>
      </c>
      <c r="AD525" s="34" t="e">
        <f ca="1">SQRT($B$9*SUM(AC525:OFFSET(AC525,$B$5-1,0))/($B$5-1))</f>
        <v>#DIV/0!</v>
      </c>
      <c r="AE525" s="34" t="e">
        <f ca="1">SQRT($B$9*SUM(AC525:OFFSET(AC525,$B$6-1,0))/($B$6-1))</f>
        <v>#DIV/0!</v>
      </c>
      <c r="AF525" s="34" t="e">
        <f ca="1">SQRT($B$9*SUM(AC525:OFFSET(AC525,$B$7-1,0))/($B$7-1))</f>
        <v>#DIV/0!</v>
      </c>
      <c r="AG525" s="34" t="e">
        <f ca="1">SQRT($B$9*SUM(AC525:OFFSET(AC525,$B$8-1,0))/($B$8-1))</f>
        <v>#DIV/0!</v>
      </c>
      <c r="AI525" s="1" t="e">
        <f t="shared" si="46"/>
        <v>#DIV/0!</v>
      </c>
      <c r="AJ525" s="4" t="e">
        <f ca="1">SQRT($B$9)*_xlfn.STDEV.S(AI525:OFFSET(AI525,$B$5-1,0))</f>
        <v>#DIV/0!</v>
      </c>
      <c r="AK525" s="4" t="e">
        <f ca="1">SQRT($B$9)*_xlfn.STDEV.S(AI525:OFFSET(AI525,$B$6-1,0))</f>
        <v>#DIV/0!</v>
      </c>
      <c r="AL525" s="4" t="e">
        <f ca="1">SQRT($B$9)*_xlfn.STDEV.S(AI525:OFFSET(AI525,$B$7-1,0))</f>
        <v>#DIV/0!</v>
      </c>
      <c r="AM525" s="4" t="e">
        <f ca="1">SQRT($B$9)*_xlfn.STDEV.S(AI525:OFFSET(AI525,$B$8-1,0))</f>
        <v>#DIV/0!</v>
      </c>
    </row>
    <row r="526" spans="5:39" x14ac:dyDescent="0.2">
      <c r="E526" s="42">
        <v>44692</v>
      </c>
      <c r="F526" s="43"/>
      <c r="G526" s="43"/>
      <c r="H526" s="43"/>
      <c r="I526" s="43"/>
      <c r="K526" s="3" t="e">
        <f t="shared" si="49"/>
        <v>#DIV/0!</v>
      </c>
      <c r="L526" s="3" t="e">
        <f ca="1">SQRT(AVERAGE(K526:OFFSET(K526,$B$5-1,0))*$B$9/(4*LN(2)))</f>
        <v>#DIV/0!</v>
      </c>
      <c r="M526" s="3" t="e">
        <f ca="1">SQRT(AVERAGE(K526:OFFSET(K526,$B$6-1,0))*$B$9/(4*LN(2)))</f>
        <v>#DIV/0!</v>
      </c>
      <c r="N526" s="3" t="e">
        <f ca="1">SQRT(AVERAGE(K526:OFFSET(K526,$B$7-1,0))*$B$9/(4*LN(2)))</f>
        <v>#DIV/0!</v>
      </c>
      <c r="O526" s="3" t="e">
        <f ca="1">SQRT(AVERAGE(K526:OFFSET(K526,$B$8-1,0))*$B$9/(4*LN(2)))</f>
        <v>#DIV/0!</v>
      </c>
      <c r="Q526" s="5" t="e">
        <f t="shared" si="48"/>
        <v>#DIV/0!</v>
      </c>
      <c r="R526" s="5" t="e">
        <f ca="1">SQRT($B$9*AVERAGE((Q526:OFFSET(Q526,$B$5-1,0))))</f>
        <v>#DIV/0!</v>
      </c>
      <c r="S526" s="5" t="e">
        <f ca="1">SQRT($B$9*AVERAGE((Q526:OFFSET(Q526,$B$6-1,0))))</f>
        <v>#DIV/0!</v>
      </c>
      <c r="T526" s="5" t="e">
        <f ca="1">SQRT($B$9*AVERAGE((Q526:OFFSET(Q526,$B$7-1,0))))</f>
        <v>#DIV/0!</v>
      </c>
      <c r="U526" s="5" t="e">
        <f ca="1">SQRT($B$9*AVERAGE((Q526:OFFSET(Q526,$B$8-1,0))))</f>
        <v>#DIV/0!</v>
      </c>
      <c r="W526" s="6" t="e">
        <f t="shared" si="47"/>
        <v>#DIV/0!</v>
      </c>
      <c r="X526" s="6" t="e">
        <f ca="1">SQRT($B$9*AVERAGE(W526:OFFSET(W526,$B$5-1,0)))</f>
        <v>#DIV/0!</v>
      </c>
      <c r="Y526" s="6" t="e">
        <f ca="1">SQRT($B$9*AVERAGE(W526:OFFSET(W526,$B$6-1,0)))</f>
        <v>#DIV/0!</v>
      </c>
      <c r="Z526" s="6" t="e">
        <f ca="1">SQRT($B$9*AVERAGE(W526:OFFSET(W526,$B$7-1,0)))</f>
        <v>#DIV/0!</v>
      </c>
      <c r="AA526" s="6" t="e">
        <f ca="1">SQRT($B$9*AVERAGE(W526:OFFSET(W526,$B$8-1,0)))</f>
        <v>#DIV/0!</v>
      </c>
      <c r="AC526" s="34" t="e">
        <f t="shared" si="45"/>
        <v>#DIV/0!</v>
      </c>
      <c r="AD526" s="34" t="e">
        <f ca="1">SQRT($B$9*SUM(AC526:OFFSET(AC526,$B$5-1,0))/($B$5-1))</f>
        <v>#DIV/0!</v>
      </c>
      <c r="AE526" s="34" t="e">
        <f ca="1">SQRT($B$9*SUM(AC526:OFFSET(AC526,$B$6-1,0))/($B$6-1))</f>
        <v>#DIV/0!</v>
      </c>
      <c r="AF526" s="34" t="e">
        <f ca="1">SQRT($B$9*SUM(AC526:OFFSET(AC526,$B$7-1,0))/($B$7-1))</f>
        <v>#DIV/0!</v>
      </c>
      <c r="AG526" s="34" t="e">
        <f ca="1">SQRT($B$9*SUM(AC526:OFFSET(AC526,$B$8-1,0))/($B$8-1))</f>
        <v>#DIV/0!</v>
      </c>
      <c r="AI526" s="1" t="e">
        <f t="shared" si="46"/>
        <v>#DIV/0!</v>
      </c>
      <c r="AJ526" s="4" t="e">
        <f ca="1">SQRT($B$9)*_xlfn.STDEV.S(AI526:OFFSET(AI526,$B$5-1,0))</f>
        <v>#DIV/0!</v>
      </c>
      <c r="AK526" s="4" t="e">
        <f ca="1">SQRT($B$9)*_xlfn.STDEV.S(AI526:OFFSET(AI526,$B$6-1,0))</f>
        <v>#DIV/0!</v>
      </c>
      <c r="AL526" s="4" t="e">
        <f ca="1">SQRT($B$9)*_xlfn.STDEV.S(AI526:OFFSET(AI526,$B$7-1,0))</f>
        <v>#DIV/0!</v>
      </c>
      <c r="AM526" s="4" t="e">
        <f ca="1">SQRT($B$9)*_xlfn.STDEV.S(AI526:OFFSET(AI526,$B$8-1,0))</f>
        <v>#DIV/0!</v>
      </c>
    </row>
    <row r="527" spans="5:39" x14ac:dyDescent="0.2">
      <c r="E527" s="42">
        <v>44691</v>
      </c>
      <c r="F527" s="43"/>
      <c r="G527" s="43"/>
      <c r="H527" s="43"/>
      <c r="I527" s="43"/>
      <c r="K527" s="3" t="e">
        <f t="shared" si="49"/>
        <v>#DIV/0!</v>
      </c>
      <c r="L527" s="3" t="e">
        <f ca="1">SQRT(AVERAGE(K527:OFFSET(K527,$B$5-1,0))*$B$9/(4*LN(2)))</f>
        <v>#DIV/0!</v>
      </c>
      <c r="M527" s="3" t="e">
        <f ca="1">SQRT(AVERAGE(K527:OFFSET(K527,$B$6-1,0))*$B$9/(4*LN(2)))</f>
        <v>#DIV/0!</v>
      </c>
      <c r="N527" s="3" t="e">
        <f ca="1">SQRT(AVERAGE(K527:OFFSET(K527,$B$7-1,0))*$B$9/(4*LN(2)))</f>
        <v>#DIV/0!</v>
      </c>
      <c r="O527" s="3" t="e">
        <f ca="1">SQRT(AVERAGE(K527:OFFSET(K527,$B$8-1,0))*$B$9/(4*LN(2)))</f>
        <v>#DIV/0!</v>
      </c>
      <c r="Q527" s="5" t="e">
        <f t="shared" si="48"/>
        <v>#DIV/0!</v>
      </c>
      <c r="R527" s="5" t="e">
        <f ca="1">SQRT($B$9*AVERAGE((Q527:OFFSET(Q527,$B$5-1,0))))</f>
        <v>#DIV/0!</v>
      </c>
      <c r="S527" s="5" t="e">
        <f ca="1">SQRT($B$9*AVERAGE((Q527:OFFSET(Q527,$B$6-1,0))))</f>
        <v>#DIV/0!</v>
      </c>
      <c r="T527" s="5" t="e">
        <f ca="1">SQRT($B$9*AVERAGE((Q527:OFFSET(Q527,$B$7-1,0))))</f>
        <v>#DIV/0!</v>
      </c>
      <c r="U527" s="5" t="e">
        <f ca="1">SQRT($B$9*AVERAGE((Q527:OFFSET(Q527,$B$8-1,0))))</f>
        <v>#DIV/0!</v>
      </c>
      <c r="W527" s="6" t="e">
        <f t="shared" si="47"/>
        <v>#DIV/0!</v>
      </c>
      <c r="X527" s="6" t="e">
        <f ca="1">SQRT($B$9*AVERAGE(W527:OFFSET(W527,$B$5-1,0)))</f>
        <v>#DIV/0!</v>
      </c>
      <c r="Y527" s="6" t="e">
        <f ca="1">SQRT($B$9*AVERAGE(W527:OFFSET(W527,$B$6-1,0)))</f>
        <v>#DIV/0!</v>
      </c>
      <c r="Z527" s="6" t="e">
        <f ca="1">SQRT($B$9*AVERAGE(W527:OFFSET(W527,$B$7-1,0)))</f>
        <v>#DIV/0!</v>
      </c>
      <c r="AA527" s="6" t="e">
        <f ca="1">SQRT($B$9*AVERAGE(W527:OFFSET(W527,$B$8-1,0)))</f>
        <v>#DIV/0!</v>
      </c>
      <c r="AC527" s="34" t="e">
        <f t="shared" si="45"/>
        <v>#DIV/0!</v>
      </c>
      <c r="AD527" s="34" t="e">
        <f ca="1">SQRT($B$9*SUM(AC527:OFFSET(AC527,$B$5-1,0))/($B$5-1))</f>
        <v>#DIV/0!</v>
      </c>
      <c r="AE527" s="34" t="e">
        <f ca="1">SQRT($B$9*SUM(AC527:OFFSET(AC527,$B$6-1,0))/($B$6-1))</f>
        <v>#DIV/0!</v>
      </c>
      <c r="AF527" s="34" t="e">
        <f ca="1">SQRT($B$9*SUM(AC527:OFFSET(AC527,$B$7-1,0))/($B$7-1))</f>
        <v>#DIV/0!</v>
      </c>
      <c r="AG527" s="34" t="e">
        <f ca="1">SQRT($B$9*SUM(AC527:OFFSET(AC527,$B$8-1,0))/($B$8-1))</f>
        <v>#DIV/0!</v>
      </c>
      <c r="AI527" s="1" t="e">
        <f t="shared" si="46"/>
        <v>#DIV/0!</v>
      </c>
      <c r="AJ527" s="4" t="e">
        <f ca="1">SQRT($B$9)*_xlfn.STDEV.S(AI527:OFFSET(AI527,$B$5-1,0))</f>
        <v>#DIV/0!</v>
      </c>
      <c r="AK527" s="4" t="e">
        <f ca="1">SQRT($B$9)*_xlfn.STDEV.S(AI527:OFFSET(AI527,$B$6-1,0))</f>
        <v>#DIV/0!</v>
      </c>
      <c r="AL527" s="4" t="e">
        <f ca="1">SQRT($B$9)*_xlfn.STDEV.S(AI527:OFFSET(AI527,$B$7-1,0))</f>
        <v>#DIV/0!</v>
      </c>
      <c r="AM527" s="4" t="e">
        <f ca="1">SQRT($B$9)*_xlfn.STDEV.S(AI527:OFFSET(AI527,$B$8-1,0))</f>
        <v>#DIV/0!</v>
      </c>
    </row>
    <row r="528" spans="5:39" x14ac:dyDescent="0.2">
      <c r="E528" s="42">
        <v>44690</v>
      </c>
      <c r="F528" s="43"/>
      <c r="G528" s="43"/>
      <c r="H528" s="43"/>
      <c r="I528" s="43"/>
      <c r="K528" s="3" t="e">
        <f t="shared" si="49"/>
        <v>#DIV/0!</v>
      </c>
      <c r="L528" s="3" t="e">
        <f ca="1">SQRT(AVERAGE(K528:OFFSET(K528,$B$5-1,0))*$B$9/(4*LN(2)))</f>
        <v>#DIV/0!</v>
      </c>
      <c r="M528" s="3" t="e">
        <f ca="1">SQRT(AVERAGE(K528:OFFSET(K528,$B$6-1,0))*$B$9/(4*LN(2)))</f>
        <v>#DIV/0!</v>
      </c>
      <c r="N528" s="3" t="e">
        <f ca="1">SQRT(AVERAGE(K528:OFFSET(K528,$B$7-1,0))*$B$9/(4*LN(2)))</f>
        <v>#DIV/0!</v>
      </c>
      <c r="O528" s="3" t="e">
        <f ca="1">SQRT(AVERAGE(K528:OFFSET(K528,$B$8-1,0))*$B$9/(4*LN(2)))</f>
        <v>#DIV/0!</v>
      </c>
      <c r="Q528" s="5" t="e">
        <f t="shared" si="48"/>
        <v>#DIV/0!</v>
      </c>
      <c r="R528" s="5" t="e">
        <f ca="1">SQRT($B$9*AVERAGE((Q528:OFFSET(Q528,$B$5-1,0))))</f>
        <v>#DIV/0!</v>
      </c>
      <c r="S528" s="5" t="e">
        <f ca="1">SQRT($B$9*AVERAGE((Q528:OFFSET(Q528,$B$6-1,0))))</f>
        <v>#DIV/0!</v>
      </c>
      <c r="T528" s="5" t="e">
        <f ca="1">SQRT($B$9*AVERAGE((Q528:OFFSET(Q528,$B$7-1,0))))</f>
        <v>#DIV/0!</v>
      </c>
      <c r="U528" s="5" t="e">
        <f ca="1">SQRT($B$9*AVERAGE((Q528:OFFSET(Q528,$B$8-1,0))))</f>
        <v>#DIV/0!</v>
      </c>
      <c r="W528" s="6" t="e">
        <f t="shared" si="47"/>
        <v>#DIV/0!</v>
      </c>
      <c r="X528" s="6" t="e">
        <f ca="1">SQRT($B$9*AVERAGE(W528:OFFSET(W528,$B$5-1,0)))</f>
        <v>#DIV/0!</v>
      </c>
      <c r="Y528" s="6" t="e">
        <f ca="1">SQRT($B$9*AVERAGE(W528:OFFSET(W528,$B$6-1,0)))</f>
        <v>#DIV/0!</v>
      </c>
      <c r="Z528" s="6" t="e">
        <f ca="1">SQRT($B$9*AVERAGE(W528:OFFSET(W528,$B$7-1,0)))</f>
        <v>#DIV/0!</v>
      </c>
      <c r="AA528" s="6" t="e">
        <f ca="1">SQRT($B$9*AVERAGE(W528:OFFSET(W528,$B$8-1,0)))</f>
        <v>#DIV/0!</v>
      </c>
      <c r="AC528" s="34" t="e">
        <f t="shared" si="45"/>
        <v>#DIV/0!</v>
      </c>
      <c r="AD528" s="34" t="e">
        <f ca="1">SQRT($B$9*SUM(AC528:OFFSET(AC528,$B$5-1,0))/($B$5-1))</f>
        <v>#DIV/0!</v>
      </c>
      <c r="AE528" s="34" t="e">
        <f ca="1">SQRT($B$9*SUM(AC528:OFFSET(AC528,$B$6-1,0))/($B$6-1))</f>
        <v>#DIV/0!</v>
      </c>
      <c r="AF528" s="34" t="e">
        <f ca="1">SQRT($B$9*SUM(AC528:OFFSET(AC528,$B$7-1,0))/($B$7-1))</f>
        <v>#DIV/0!</v>
      </c>
      <c r="AG528" s="34" t="e">
        <f ca="1">SQRT($B$9*SUM(AC528:OFFSET(AC528,$B$8-1,0))/($B$8-1))</f>
        <v>#DIV/0!</v>
      </c>
      <c r="AI528" s="1" t="e">
        <f t="shared" si="46"/>
        <v>#DIV/0!</v>
      </c>
      <c r="AJ528" s="4" t="e">
        <f ca="1">SQRT($B$9)*_xlfn.STDEV.S(AI528:OFFSET(AI528,$B$5-1,0))</f>
        <v>#DIV/0!</v>
      </c>
      <c r="AK528" s="4" t="e">
        <f ca="1">SQRT($B$9)*_xlfn.STDEV.S(AI528:OFFSET(AI528,$B$6-1,0))</f>
        <v>#DIV/0!</v>
      </c>
      <c r="AL528" s="4" t="e">
        <f ca="1">SQRT($B$9)*_xlfn.STDEV.S(AI528:OFFSET(AI528,$B$7-1,0))</f>
        <v>#DIV/0!</v>
      </c>
      <c r="AM528" s="4" t="e">
        <f ca="1">SQRT($B$9)*_xlfn.STDEV.S(AI528:OFFSET(AI528,$B$8-1,0))</f>
        <v>#DIV/0!</v>
      </c>
    </row>
    <row r="529" spans="5:39" x14ac:dyDescent="0.2">
      <c r="E529" s="42">
        <v>44687</v>
      </c>
      <c r="F529" s="43"/>
      <c r="G529" s="43"/>
      <c r="H529" s="43"/>
      <c r="I529" s="43"/>
      <c r="K529" s="3" t="e">
        <f t="shared" si="49"/>
        <v>#DIV/0!</v>
      </c>
      <c r="L529" s="3" t="e">
        <f ca="1">SQRT(AVERAGE(K529:OFFSET(K529,$B$5-1,0))*$B$9/(4*LN(2)))</f>
        <v>#DIV/0!</v>
      </c>
      <c r="M529" s="3" t="e">
        <f ca="1">SQRT(AVERAGE(K529:OFFSET(K529,$B$6-1,0))*$B$9/(4*LN(2)))</f>
        <v>#DIV/0!</v>
      </c>
      <c r="N529" s="3" t="e">
        <f ca="1">SQRT(AVERAGE(K529:OFFSET(K529,$B$7-1,0))*$B$9/(4*LN(2)))</f>
        <v>#DIV/0!</v>
      </c>
      <c r="O529" s="3" t="e">
        <f ca="1">SQRT(AVERAGE(K529:OFFSET(K529,$B$8-1,0))*$B$9/(4*LN(2)))</f>
        <v>#DIV/0!</v>
      </c>
      <c r="Q529" s="5" t="e">
        <f t="shared" si="48"/>
        <v>#DIV/0!</v>
      </c>
      <c r="R529" s="5" t="e">
        <f ca="1">SQRT($B$9*AVERAGE((Q529:OFFSET(Q529,$B$5-1,0))))</f>
        <v>#DIV/0!</v>
      </c>
      <c r="S529" s="5" t="e">
        <f ca="1">SQRT($B$9*AVERAGE((Q529:OFFSET(Q529,$B$6-1,0))))</f>
        <v>#DIV/0!</v>
      </c>
      <c r="T529" s="5" t="e">
        <f ca="1">SQRT($B$9*AVERAGE((Q529:OFFSET(Q529,$B$7-1,0))))</f>
        <v>#DIV/0!</v>
      </c>
      <c r="U529" s="5" t="e">
        <f ca="1">SQRT($B$9*AVERAGE((Q529:OFFSET(Q529,$B$8-1,0))))</f>
        <v>#DIV/0!</v>
      </c>
      <c r="W529" s="6" t="e">
        <f t="shared" si="47"/>
        <v>#DIV/0!</v>
      </c>
      <c r="X529" s="6" t="e">
        <f ca="1">SQRT($B$9*AVERAGE(W529:OFFSET(W529,$B$5-1,0)))</f>
        <v>#DIV/0!</v>
      </c>
      <c r="Y529" s="6" t="e">
        <f ca="1">SQRT($B$9*AVERAGE(W529:OFFSET(W529,$B$6-1,0)))</f>
        <v>#DIV/0!</v>
      </c>
      <c r="Z529" s="6" t="e">
        <f ca="1">SQRT($B$9*AVERAGE(W529:OFFSET(W529,$B$7-1,0)))</f>
        <v>#DIV/0!</v>
      </c>
      <c r="AA529" s="6" t="e">
        <f ca="1">SQRT($B$9*AVERAGE(W529:OFFSET(W529,$B$8-1,0)))</f>
        <v>#DIV/0!</v>
      </c>
      <c r="AC529" s="34" t="e">
        <f t="shared" ref="AC529:AC592" si="50">(LN(I529/I530))^2</f>
        <v>#DIV/0!</v>
      </c>
      <c r="AD529" s="34" t="e">
        <f ca="1">SQRT($B$9*SUM(AC529:OFFSET(AC529,$B$5-1,0))/($B$5-1))</f>
        <v>#DIV/0!</v>
      </c>
      <c r="AE529" s="34" t="e">
        <f ca="1">SQRT($B$9*SUM(AC529:OFFSET(AC529,$B$6-1,0))/($B$6-1))</f>
        <v>#DIV/0!</v>
      </c>
      <c r="AF529" s="34" t="e">
        <f ca="1">SQRT($B$9*SUM(AC529:OFFSET(AC529,$B$7-1,0))/($B$7-1))</f>
        <v>#DIV/0!</v>
      </c>
      <c r="AG529" s="34" t="e">
        <f ca="1">SQRT($B$9*SUM(AC529:OFFSET(AC529,$B$8-1,0))/($B$8-1))</f>
        <v>#DIV/0!</v>
      </c>
      <c r="AI529" s="1" t="e">
        <f t="shared" si="46"/>
        <v>#DIV/0!</v>
      </c>
      <c r="AJ529" s="4" t="e">
        <f ca="1">SQRT($B$9)*_xlfn.STDEV.S(AI529:OFFSET(AI529,$B$5-1,0))</f>
        <v>#DIV/0!</v>
      </c>
      <c r="AK529" s="4" t="e">
        <f ca="1">SQRT($B$9)*_xlfn.STDEV.S(AI529:OFFSET(AI529,$B$6-1,0))</f>
        <v>#DIV/0!</v>
      </c>
      <c r="AL529" s="4" t="e">
        <f ca="1">SQRT($B$9)*_xlfn.STDEV.S(AI529:OFFSET(AI529,$B$7-1,0))</f>
        <v>#DIV/0!</v>
      </c>
      <c r="AM529" s="4" t="e">
        <f ca="1">SQRT($B$9)*_xlfn.STDEV.S(AI529:OFFSET(AI529,$B$8-1,0))</f>
        <v>#DIV/0!</v>
      </c>
    </row>
    <row r="530" spans="5:39" x14ac:dyDescent="0.2">
      <c r="E530" s="42">
        <v>44686</v>
      </c>
      <c r="F530" s="43"/>
      <c r="G530" s="43"/>
      <c r="H530" s="43"/>
      <c r="I530" s="43"/>
      <c r="K530" s="3" t="e">
        <f t="shared" si="49"/>
        <v>#DIV/0!</v>
      </c>
      <c r="L530" s="3" t="e">
        <f ca="1">SQRT(AVERAGE(K530:OFFSET(K530,$B$5-1,0))*$B$9/(4*LN(2)))</f>
        <v>#DIV/0!</v>
      </c>
      <c r="M530" s="3" t="e">
        <f ca="1">SQRT(AVERAGE(K530:OFFSET(K530,$B$6-1,0))*$B$9/(4*LN(2)))</f>
        <v>#DIV/0!</v>
      </c>
      <c r="N530" s="3" t="e">
        <f ca="1">SQRT(AVERAGE(K530:OFFSET(K530,$B$7-1,0))*$B$9/(4*LN(2)))</f>
        <v>#DIV/0!</v>
      </c>
      <c r="O530" s="3" t="e">
        <f ca="1">SQRT(AVERAGE(K530:OFFSET(K530,$B$8-1,0))*$B$9/(4*LN(2)))</f>
        <v>#DIV/0!</v>
      </c>
      <c r="Q530" s="5" t="e">
        <f t="shared" si="48"/>
        <v>#DIV/0!</v>
      </c>
      <c r="R530" s="5" t="e">
        <f ca="1">SQRT($B$9*AVERAGE((Q530:OFFSET(Q530,$B$5-1,0))))</f>
        <v>#DIV/0!</v>
      </c>
      <c r="S530" s="5" t="e">
        <f ca="1">SQRT($B$9*AVERAGE((Q530:OFFSET(Q530,$B$6-1,0))))</f>
        <v>#DIV/0!</v>
      </c>
      <c r="T530" s="5" t="e">
        <f ca="1">SQRT($B$9*AVERAGE((Q530:OFFSET(Q530,$B$7-1,0))))</f>
        <v>#DIV/0!</v>
      </c>
      <c r="U530" s="5" t="e">
        <f ca="1">SQRT($B$9*AVERAGE((Q530:OFFSET(Q530,$B$8-1,0))))</f>
        <v>#DIV/0!</v>
      </c>
      <c r="W530" s="6" t="e">
        <f t="shared" si="47"/>
        <v>#DIV/0!</v>
      </c>
      <c r="X530" s="6" t="e">
        <f ca="1">SQRT($B$9*AVERAGE(W530:OFFSET(W530,$B$5-1,0)))</f>
        <v>#DIV/0!</v>
      </c>
      <c r="Y530" s="6" t="e">
        <f ca="1">SQRT($B$9*AVERAGE(W530:OFFSET(W530,$B$6-1,0)))</f>
        <v>#DIV/0!</v>
      </c>
      <c r="Z530" s="6" t="e">
        <f ca="1">SQRT($B$9*AVERAGE(W530:OFFSET(W530,$B$7-1,0)))</f>
        <v>#DIV/0!</v>
      </c>
      <c r="AA530" s="6" t="e">
        <f ca="1">SQRT($B$9*AVERAGE(W530:OFFSET(W530,$B$8-1,0)))</f>
        <v>#DIV/0!</v>
      </c>
      <c r="AC530" s="34" t="e">
        <f t="shared" si="50"/>
        <v>#DIV/0!</v>
      </c>
      <c r="AD530" s="34" t="e">
        <f ca="1">SQRT($B$9*SUM(AC530:OFFSET(AC530,$B$5-1,0))/($B$5-1))</f>
        <v>#DIV/0!</v>
      </c>
      <c r="AE530" s="34" t="e">
        <f ca="1">SQRT($B$9*SUM(AC530:OFFSET(AC530,$B$6-1,0))/($B$6-1))</f>
        <v>#DIV/0!</v>
      </c>
      <c r="AF530" s="34" t="e">
        <f ca="1">SQRT($B$9*SUM(AC530:OFFSET(AC530,$B$7-1,0))/($B$7-1))</f>
        <v>#DIV/0!</v>
      </c>
      <c r="AG530" s="34" t="e">
        <f ca="1">SQRT($B$9*SUM(AC530:OFFSET(AC530,$B$8-1,0))/($B$8-1))</f>
        <v>#DIV/0!</v>
      </c>
      <c r="AI530" s="1" t="e">
        <f t="shared" si="46"/>
        <v>#DIV/0!</v>
      </c>
      <c r="AJ530" s="4" t="e">
        <f ca="1">SQRT($B$9)*_xlfn.STDEV.S(AI530:OFFSET(AI530,$B$5-1,0))</f>
        <v>#DIV/0!</v>
      </c>
      <c r="AK530" s="4" t="e">
        <f ca="1">SQRT($B$9)*_xlfn.STDEV.S(AI530:OFFSET(AI530,$B$6-1,0))</f>
        <v>#DIV/0!</v>
      </c>
      <c r="AL530" s="4" t="e">
        <f ca="1">SQRT($B$9)*_xlfn.STDEV.S(AI530:OFFSET(AI530,$B$7-1,0))</f>
        <v>#DIV/0!</v>
      </c>
      <c r="AM530" s="4" t="e">
        <f ca="1">SQRT($B$9)*_xlfn.STDEV.S(AI530:OFFSET(AI530,$B$8-1,0))</f>
        <v>#DIV/0!</v>
      </c>
    </row>
    <row r="531" spans="5:39" x14ac:dyDescent="0.2">
      <c r="E531" s="42">
        <v>44680</v>
      </c>
      <c r="F531" s="43"/>
      <c r="G531" s="43"/>
      <c r="H531" s="43"/>
      <c r="I531" s="43"/>
      <c r="K531" s="3" t="e">
        <f t="shared" si="49"/>
        <v>#DIV/0!</v>
      </c>
      <c r="L531" s="3" t="e">
        <f ca="1">SQRT(AVERAGE(K531:OFFSET(K531,$B$5-1,0))*$B$9/(4*LN(2)))</f>
        <v>#DIV/0!</v>
      </c>
      <c r="M531" s="3" t="e">
        <f ca="1">SQRT(AVERAGE(K531:OFFSET(K531,$B$6-1,0))*$B$9/(4*LN(2)))</f>
        <v>#DIV/0!</v>
      </c>
      <c r="N531" s="3" t="e">
        <f ca="1">SQRT(AVERAGE(K531:OFFSET(K531,$B$7-1,0))*$B$9/(4*LN(2)))</f>
        <v>#DIV/0!</v>
      </c>
      <c r="O531" s="3" t="e">
        <f ca="1">SQRT(AVERAGE(K531:OFFSET(K531,$B$8-1,0))*$B$9/(4*LN(2)))</f>
        <v>#DIV/0!</v>
      </c>
      <c r="Q531" s="5" t="e">
        <f t="shared" si="48"/>
        <v>#DIV/0!</v>
      </c>
      <c r="R531" s="5" t="e">
        <f ca="1">SQRT($B$9*AVERAGE((Q531:OFFSET(Q531,$B$5-1,0))))</f>
        <v>#DIV/0!</v>
      </c>
      <c r="S531" s="5" t="e">
        <f ca="1">SQRT($B$9*AVERAGE((Q531:OFFSET(Q531,$B$6-1,0))))</f>
        <v>#DIV/0!</v>
      </c>
      <c r="T531" s="5" t="e">
        <f ca="1">SQRT($B$9*AVERAGE((Q531:OFFSET(Q531,$B$7-1,0))))</f>
        <v>#DIV/0!</v>
      </c>
      <c r="U531" s="5" t="e">
        <f ca="1">SQRT($B$9*AVERAGE((Q531:OFFSET(Q531,$B$8-1,0))))</f>
        <v>#DIV/0!</v>
      </c>
      <c r="W531" s="6" t="e">
        <f t="shared" si="47"/>
        <v>#DIV/0!</v>
      </c>
      <c r="X531" s="6" t="e">
        <f ca="1">SQRT($B$9*AVERAGE(W531:OFFSET(W531,$B$5-1,0)))</f>
        <v>#DIV/0!</v>
      </c>
      <c r="Y531" s="6" t="e">
        <f ca="1">SQRT($B$9*AVERAGE(W531:OFFSET(W531,$B$6-1,0)))</f>
        <v>#DIV/0!</v>
      </c>
      <c r="Z531" s="6" t="e">
        <f ca="1">SQRT($B$9*AVERAGE(W531:OFFSET(W531,$B$7-1,0)))</f>
        <v>#DIV/0!</v>
      </c>
      <c r="AA531" s="6" t="e">
        <f ca="1">SQRT($B$9*AVERAGE(W531:OFFSET(W531,$B$8-1,0)))</f>
        <v>#DIV/0!</v>
      </c>
      <c r="AC531" s="34" t="e">
        <f t="shared" si="50"/>
        <v>#DIV/0!</v>
      </c>
      <c r="AD531" s="34" t="e">
        <f ca="1">SQRT($B$9*SUM(AC531:OFFSET(AC531,$B$5-1,0))/($B$5-1))</f>
        <v>#DIV/0!</v>
      </c>
      <c r="AE531" s="34" t="e">
        <f ca="1">SQRT($B$9*SUM(AC531:OFFSET(AC531,$B$6-1,0))/($B$6-1))</f>
        <v>#DIV/0!</v>
      </c>
      <c r="AF531" s="34" t="e">
        <f ca="1">SQRT($B$9*SUM(AC531:OFFSET(AC531,$B$7-1,0))/($B$7-1))</f>
        <v>#DIV/0!</v>
      </c>
      <c r="AG531" s="34" t="e">
        <f ca="1">SQRT($B$9*SUM(AC531:OFFSET(AC531,$B$8-1,0))/($B$8-1))</f>
        <v>#DIV/0!</v>
      </c>
      <c r="AI531" s="1" t="e">
        <f t="shared" ref="AI531:AI594" si="51">LN(I531/I532)</f>
        <v>#DIV/0!</v>
      </c>
      <c r="AJ531" s="4" t="e">
        <f ca="1">SQRT($B$9)*_xlfn.STDEV.S(AI531:OFFSET(AI531,$B$5-1,0))</f>
        <v>#DIV/0!</v>
      </c>
      <c r="AK531" s="4" t="e">
        <f ca="1">SQRT($B$9)*_xlfn.STDEV.S(AI531:OFFSET(AI531,$B$6-1,0))</f>
        <v>#DIV/0!</v>
      </c>
      <c r="AL531" s="4" t="e">
        <f ca="1">SQRT($B$9)*_xlfn.STDEV.S(AI531:OFFSET(AI531,$B$7-1,0))</f>
        <v>#DIV/0!</v>
      </c>
      <c r="AM531" s="4" t="e">
        <f ca="1">SQRT($B$9)*_xlfn.STDEV.S(AI531:OFFSET(AI531,$B$8-1,0))</f>
        <v>#DIV/0!</v>
      </c>
    </row>
    <row r="532" spans="5:39" x14ac:dyDescent="0.2">
      <c r="E532" s="42">
        <v>44679</v>
      </c>
      <c r="F532" s="43"/>
      <c r="G532" s="43"/>
      <c r="H532" s="43"/>
      <c r="I532" s="43"/>
      <c r="K532" s="3" t="e">
        <f t="shared" si="49"/>
        <v>#DIV/0!</v>
      </c>
      <c r="L532" s="3" t="e">
        <f ca="1">SQRT(AVERAGE(K532:OFFSET(K532,$B$5-1,0))*$B$9/(4*LN(2)))</f>
        <v>#DIV/0!</v>
      </c>
      <c r="M532" s="3" t="e">
        <f ca="1">SQRT(AVERAGE(K532:OFFSET(K532,$B$6-1,0))*$B$9/(4*LN(2)))</f>
        <v>#DIV/0!</v>
      </c>
      <c r="N532" s="3" t="e">
        <f ca="1">SQRT(AVERAGE(K532:OFFSET(K532,$B$7-1,0))*$B$9/(4*LN(2)))</f>
        <v>#DIV/0!</v>
      </c>
      <c r="O532" s="3" t="e">
        <f ca="1">SQRT(AVERAGE(K532:OFFSET(K532,$B$8-1,0))*$B$9/(4*LN(2)))</f>
        <v>#DIV/0!</v>
      </c>
      <c r="Q532" s="5" t="e">
        <f t="shared" si="48"/>
        <v>#DIV/0!</v>
      </c>
      <c r="R532" s="5" t="e">
        <f ca="1">SQRT($B$9*AVERAGE((Q532:OFFSET(Q532,$B$5-1,0))))</f>
        <v>#DIV/0!</v>
      </c>
      <c r="S532" s="5" t="e">
        <f ca="1">SQRT($B$9*AVERAGE((Q532:OFFSET(Q532,$B$6-1,0))))</f>
        <v>#DIV/0!</v>
      </c>
      <c r="T532" s="5" t="e">
        <f ca="1">SQRT($B$9*AVERAGE((Q532:OFFSET(Q532,$B$7-1,0))))</f>
        <v>#DIV/0!</v>
      </c>
      <c r="U532" s="5" t="e">
        <f ca="1">SQRT($B$9*AVERAGE((Q532:OFFSET(Q532,$B$8-1,0))))</f>
        <v>#DIV/0!</v>
      </c>
      <c r="W532" s="6" t="e">
        <f t="shared" si="47"/>
        <v>#DIV/0!</v>
      </c>
      <c r="X532" s="6" t="e">
        <f ca="1">SQRT($B$9*AVERAGE(W532:OFFSET(W532,$B$5-1,0)))</f>
        <v>#DIV/0!</v>
      </c>
      <c r="Y532" s="6" t="e">
        <f ca="1">SQRT($B$9*AVERAGE(W532:OFFSET(W532,$B$6-1,0)))</f>
        <v>#DIV/0!</v>
      </c>
      <c r="Z532" s="6" t="e">
        <f ca="1">SQRT($B$9*AVERAGE(W532:OFFSET(W532,$B$7-1,0)))</f>
        <v>#DIV/0!</v>
      </c>
      <c r="AA532" s="6" t="e">
        <f ca="1">SQRT($B$9*AVERAGE(W532:OFFSET(W532,$B$8-1,0)))</f>
        <v>#DIV/0!</v>
      </c>
      <c r="AC532" s="34" t="e">
        <f t="shared" si="50"/>
        <v>#DIV/0!</v>
      </c>
      <c r="AD532" s="34" t="e">
        <f ca="1">SQRT($B$9*SUM(AC532:OFFSET(AC532,$B$5-1,0))/($B$5-1))</f>
        <v>#DIV/0!</v>
      </c>
      <c r="AE532" s="34" t="e">
        <f ca="1">SQRT($B$9*SUM(AC532:OFFSET(AC532,$B$6-1,0))/($B$6-1))</f>
        <v>#DIV/0!</v>
      </c>
      <c r="AF532" s="34" t="e">
        <f ca="1">SQRT($B$9*SUM(AC532:OFFSET(AC532,$B$7-1,0))/($B$7-1))</f>
        <v>#DIV/0!</v>
      </c>
      <c r="AG532" s="34" t="e">
        <f ca="1">SQRT($B$9*SUM(AC532:OFFSET(AC532,$B$8-1,0))/($B$8-1))</f>
        <v>#DIV/0!</v>
      </c>
      <c r="AI532" s="1" t="e">
        <f t="shared" si="51"/>
        <v>#DIV/0!</v>
      </c>
      <c r="AJ532" s="4" t="e">
        <f ca="1">SQRT($B$9)*_xlfn.STDEV.S(AI532:OFFSET(AI532,$B$5-1,0))</f>
        <v>#DIV/0!</v>
      </c>
      <c r="AK532" s="4" t="e">
        <f ca="1">SQRT($B$9)*_xlfn.STDEV.S(AI532:OFFSET(AI532,$B$6-1,0))</f>
        <v>#DIV/0!</v>
      </c>
      <c r="AL532" s="4" t="e">
        <f ca="1">SQRT($B$9)*_xlfn.STDEV.S(AI532:OFFSET(AI532,$B$7-1,0))</f>
        <v>#DIV/0!</v>
      </c>
      <c r="AM532" s="4" t="e">
        <f ca="1">SQRT($B$9)*_xlfn.STDEV.S(AI532:OFFSET(AI532,$B$8-1,0))</f>
        <v>#DIV/0!</v>
      </c>
    </row>
    <row r="533" spans="5:39" x14ac:dyDescent="0.2">
      <c r="E533" s="42">
        <v>44678</v>
      </c>
      <c r="F533" s="43"/>
      <c r="G533" s="43"/>
      <c r="H533" s="43"/>
      <c r="I533" s="43"/>
      <c r="K533" s="3" t="e">
        <f t="shared" si="49"/>
        <v>#DIV/0!</v>
      </c>
      <c r="L533" s="3" t="e">
        <f ca="1">SQRT(AVERAGE(K533:OFFSET(K533,$B$5-1,0))*$B$9/(4*LN(2)))</f>
        <v>#DIV/0!</v>
      </c>
      <c r="M533" s="3" t="e">
        <f ca="1">SQRT(AVERAGE(K533:OFFSET(K533,$B$6-1,0))*$B$9/(4*LN(2)))</f>
        <v>#DIV/0!</v>
      </c>
      <c r="N533" s="3" t="e">
        <f ca="1">SQRT(AVERAGE(K533:OFFSET(K533,$B$7-1,0))*$B$9/(4*LN(2)))</f>
        <v>#DIV/0!</v>
      </c>
      <c r="O533" s="3" t="e">
        <f ca="1">SQRT(AVERAGE(K533:OFFSET(K533,$B$8-1,0))*$B$9/(4*LN(2)))</f>
        <v>#DIV/0!</v>
      </c>
      <c r="Q533" s="5" t="e">
        <f t="shared" si="48"/>
        <v>#DIV/0!</v>
      </c>
      <c r="R533" s="5" t="e">
        <f ca="1">SQRT($B$9*AVERAGE((Q533:OFFSET(Q533,$B$5-1,0))))</f>
        <v>#DIV/0!</v>
      </c>
      <c r="S533" s="5" t="e">
        <f ca="1">SQRT($B$9*AVERAGE((Q533:OFFSET(Q533,$B$6-1,0))))</f>
        <v>#DIV/0!</v>
      </c>
      <c r="T533" s="5" t="e">
        <f ca="1">SQRT($B$9*AVERAGE((Q533:OFFSET(Q533,$B$7-1,0))))</f>
        <v>#DIV/0!</v>
      </c>
      <c r="U533" s="5" t="e">
        <f ca="1">SQRT($B$9*AVERAGE((Q533:OFFSET(Q533,$B$8-1,0))))</f>
        <v>#DIV/0!</v>
      </c>
      <c r="W533" s="6" t="e">
        <f t="shared" si="47"/>
        <v>#DIV/0!</v>
      </c>
      <c r="X533" s="6" t="e">
        <f ca="1">SQRT($B$9*AVERAGE(W533:OFFSET(W533,$B$5-1,0)))</f>
        <v>#DIV/0!</v>
      </c>
      <c r="Y533" s="6" t="e">
        <f ca="1">SQRT($B$9*AVERAGE(W533:OFFSET(W533,$B$6-1,0)))</f>
        <v>#DIV/0!</v>
      </c>
      <c r="Z533" s="6" t="e">
        <f ca="1">SQRT($B$9*AVERAGE(W533:OFFSET(W533,$B$7-1,0)))</f>
        <v>#DIV/0!</v>
      </c>
      <c r="AA533" s="6" t="e">
        <f ca="1">SQRT($B$9*AVERAGE(W533:OFFSET(W533,$B$8-1,0)))</f>
        <v>#DIV/0!</v>
      </c>
      <c r="AC533" s="34" t="e">
        <f t="shared" si="50"/>
        <v>#DIV/0!</v>
      </c>
      <c r="AD533" s="34" t="e">
        <f ca="1">SQRT($B$9*SUM(AC533:OFFSET(AC533,$B$5-1,0))/($B$5-1))</f>
        <v>#DIV/0!</v>
      </c>
      <c r="AE533" s="34" t="e">
        <f ca="1">SQRT($B$9*SUM(AC533:OFFSET(AC533,$B$6-1,0))/($B$6-1))</f>
        <v>#DIV/0!</v>
      </c>
      <c r="AF533" s="34" t="e">
        <f ca="1">SQRT($B$9*SUM(AC533:OFFSET(AC533,$B$7-1,0))/($B$7-1))</f>
        <v>#DIV/0!</v>
      </c>
      <c r="AG533" s="34" t="e">
        <f ca="1">SQRT($B$9*SUM(AC533:OFFSET(AC533,$B$8-1,0))/($B$8-1))</f>
        <v>#DIV/0!</v>
      </c>
      <c r="AI533" s="1" t="e">
        <f t="shared" si="51"/>
        <v>#DIV/0!</v>
      </c>
      <c r="AJ533" s="4" t="e">
        <f ca="1">SQRT($B$9)*_xlfn.STDEV.S(AI533:OFFSET(AI533,$B$5-1,0))</f>
        <v>#DIV/0!</v>
      </c>
      <c r="AK533" s="4" t="e">
        <f ca="1">SQRT($B$9)*_xlfn.STDEV.S(AI533:OFFSET(AI533,$B$6-1,0))</f>
        <v>#DIV/0!</v>
      </c>
      <c r="AL533" s="4" t="e">
        <f ca="1">SQRT($B$9)*_xlfn.STDEV.S(AI533:OFFSET(AI533,$B$7-1,0))</f>
        <v>#DIV/0!</v>
      </c>
      <c r="AM533" s="4" t="e">
        <f ca="1">SQRT($B$9)*_xlfn.STDEV.S(AI533:OFFSET(AI533,$B$8-1,0))</f>
        <v>#DIV/0!</v>
      </c>
    </row>
    <row r="534" spans="5:39" x14ac:dyDescent="0.2">
      <c r="E534" s="42">
        <v>44677</v>
      </c>
      <c r="F534" s="43"/>
      <c r="G534" s="43"/>
      <c r="H534" s="43"/>
      <c r="I534" s="43"/>
      <c r="K534" s="3" t="e">
        <f t="shared" si="49"/>
        <v>#DIV/0!</v>
      </c>
      <c r="L534" s="3" t="e">
        <f ca="1">SQRT(AVERAGE(K534:OFFSET(K534,$B$5-1,0))*$B$9/(4*LN(2)))</f>
        <v>#DIV/0!</v>
      </c>
      <c r="M534" s="3" t="e">
        <f ca="1">SQRT(AVERAGE(K534:OFFSET(K534,$B$6-1,0))*$B$9/(4*LN(2)))</f>
        <v>#DIV/0!</v>
      </c>
      <c r="N534" s="3" t="e">
        <f ca="1">SQRT(AVERAGE(K534:OFFSET(K534,$B$7-1,0))*$B$9/(4*LN(2)))</f>
        <v>#DIV/0!</v>
      </c>
      <c r="O534" s="3" t="e">
        <f ca="1">SQRT(AVERAGE(K534:OFFSET(K534,$B$8-1,0))*$B$9/(4*LN(2)))</f>
        <v>#DIV/0!</v>
      </c>
      <c r="Q534" s="5" t="e">
        <f t="shared" si="48"/>
        <v>#DIV/0!</v>
      </c>
      <c r="R534" s="5" t="e">
        <f ca="1">SQRT($B$9*AVERAGE((Q534:OFFSET(Q534,$B$5-1,0))))</f>
        <v>#DIV/0!</v>
      </c>
      <c r="S534" s="5" t="e">
        <f ca="1">SQRT($B$9*AVERAGE((Q534:OFFSET(Q534,$B$6-1,0))))</f>
        <v>#DIV/0!</v>
      </c>
      <c r="T534" s="5" t="e">
        <f ca="1">SQRT($B$9*AVERAGE((Q534:OFFSET(Q534,$B$7-1,0))))</f>
        <v>#DIV/0!</v>
      </c>
      <c r="U534" s="5" t="e">
        <f ca="1">SQRT($B$9*AVERAGE((Q534:OFFSET(Q534,$B$8-1,0))))</f>
        <v>#DIV/0!</v>
      </c>
      <c r="W534" s="6" t="e">
        <f t="shared" si="47"/>
        <v>#DIV/0!</v>
      </c>
      <c r="X534" s="6" t="e">
        <f ca="1">SQRT($B$9*AVERAGE(W534:OFFSET(W534,$B$5-1,0)))</f>
        <v>#DIV/0!</v>
      </c>
      <c r="Y534" s="6" t="e">
        <f ca="1">SQRT($B$9*AVERAGE(W534:OFFSET(W534,$B$6-1,0)))</f>
        <v>#DIV/0!</v>
      </c>
      <c r="Z534" s="6" t="e">
        <f ca="1">SQRT($B$9*AVERAGE(W534:OFFSET(W534,$B$7-1,0)))</f>
        <v>#DIV/0!</v>
      </c>
      <c r="AA534" s="6" t="e">
        <f ca="1">SQRT($B$9*AVERAGE(W534:OFFSET(W534,$B$8-1,0)))</f>
        <v>#DIV/0!</v>
      </c>
      <c r="AC534" s="34" t="e">
        <f t="shared" si="50"/>
        <v>#DIV/0!</v>
      </c>
      <c r="AD534" s="34" t="e">
        <f ca="1">SQRT($B$9*SUM(AC534:OFFSET(AC534,$B$5-1,0))/($B$5-1))</f>
        <v>#DIV/0!</v>
      </c>
      <c r="AE534" s="34" t="e">
        <f ca="1">SQRT($B$9*SUM(AC534:OFFSET(AC534,$B$6-1,0))/($B$6-1))</f>
        <v>#DIV/0!</v>
      </c>
      <c r="AF534" s="34" t="e">
        <f ca="1">SQRT($B$9*SUM(AC534:OFFSET(AC534,$B$7-1,0))/($B$7-1))</f>
        <v>#DIV/0!</v>
      </c>
      <c r="AG534" s="34" t="e">
        <f ca="1">SQRT($B$9*SUM(AC534:OFFSET(AC534,$B$8-1,0))/($B$8-1))</f>
        <v>#DIV/0!</v>
      </c>
      <c r="AI534" s="1" t="e">
        <f t="shared" si="51"/>
        <v>#DIV/0!</v>
      </c>
      <c r="AJ534" s="4" t="e">
        <f ca="1">SQRT($B$9)*_xlfn.STDEV.S(AI534:OFFSET(AI534,$B$5-1,0))</f>
        <v>#DIV/0!</v>
      </c>
      <c r="AK534" s="4" t="e">
        <f ca="1">SQRT($B$9)*_xlfn.STDEV.S(AI534:OFFSET(AI534,$B$6-1,0))</f>
        <v>#DIV/0!</v>
      </c>
      <c r="AL534" s="4" t="e">
        <f ca="1">SQRT($B$9)*_xlfn.STDEV.S(AI534:OFFSET(AI534,$B$7-1,0))</f>
        <v>#DIV/0!</v>
      </c>
      <c r="AM534" s="4" t="e">
        <f ca="1">SQRT($B$9)*_xlfn.STDEV.S(AI534:OFFSET(AI534,$B$8-1,0))</f>
        <v>#DIV/0!</v>
      </c>
    </row>
    <row r="535" spans="5:39" x14ac:dyDescent="0.2">
      <c r="E535" s="42">
        <v>44676</v>
      </c>
      <c r="F535" s="43"/>
      <c r="G535" s="43"/>
      <c r="H535" s="43"/>
      <c r="I535" s="43"/>
      <c r="K535" s="3" t="e">
        <f t="shared" si="49"/>
        <v>#DIV/0!</v>
      </c>
      <c r="L535" s="3" t="e">
        <f ca="1">SQRT(AVERAGE(K535:OFFSET(K535,$B$5-1,0))*$B$9/(4*LN(2)))</f>
        <v>#DIV/0!</v>
      </c>
      <c r="M535" s="3" t="e">
        <f ca="1">SQRT(AVERAGE(K535:OFFSET(K535,$B$6-1,0))*$B$9/(4*LN(2)))</f>
        <v>#DIV/0!</v>
      </c>
      <c r="N535" s="3" t="e">
        <f ca="1">SQRT(AVERAGE(K535:OFFSET(K535,$B$7-1,0))*$B$9/(4*LN(2)))</f>
        <v>#DIV/0!</v>
      </c>
      <c r="O535" s="3" t="e">
        <f ca="1">SQRT(AVERAGE(K535:OFFSET(K535,$B$8-1,0))*$B$9/(4*LN(2)))</f>
        <v>#DIV/0!</v>
      </c>
      <c r="Q535" s="5" t="e">
        <f t="shared" si="48"/>
        <v>#DIV/0!</v>
      </c>
      <c r="R535" s="5" t="e">
        <f ca="1">SQRT($B$9*AVERAGE((Q535:OFFSET(Q535,$B$5-1,0))))</f>
        <v>#DIV/0!</v>
      </c>
      <c r="S535" s="5" t="e">
        <f ca="1">SQRT($B$9*AVERAGE((Q535:OFFSET(Q535,$B$6-1,0))))</f>
        <v>#DIV/0!</v>
      </c>
      <c r="T535" s="5" t="e">
        <f ca="1">SQRT($B$9*AVERAGE((Q535:OFFSET(Q535,$B$7-1,0))))</f>
        <v>#DIV/0!</v>
      </c>
      <c r="U535" s="5" t="e">
        <f ca="1">SQRT($B$9*AVERAGE((Q535:OFFSET(Q535,$B$8-1,0))))</f>
        <v>#DIV/0!</v>
      </c>
      <c r="W535" s="6" t="e">
        <f t="shared" si="47"/>
        <v>#DIV/0!</v>
      </c>
      <c r="X535" s="6" t="e">
        <f ca="1">SQRT($B$9*AVERAGE(W535:OFFSET(W535,$B$5-1,0)))</f>
        <v>#DIV/0!</v>
      </c>
      <c r="Y535" s="6" t="e">
        <f ca="1">SQRT($B$9*AVERAGE(W535:OFFSET(W535,$B$6-1,0)))</f>
        <v>#DIV/0!</v>
      </c>
      <c r="Z535" s="6" t="e">
        <f ca="1">SQRT($B$9*AVERAGE(W535:OFFSET(W535,$B$7-1,0)))</f>
        <v>#DIV/0!</v>
      </c>
      <c r="AA535" s="6" t="e">
        <f ca="1">SQRT($B$9*AVERAGE(W535:OFFSET(W535,$B$8-1,0)))</f>
        <v>#DIV/0!</v>
      </c>
      <c r="AC535" s="34" t="e">
        <f t="shared" si="50"/>
        <v>#DIV/0!</v>
      </c>
      <c r="AD535" s="34" t="e">
        <f ca="1">SQRT($B$9*SUM(AC535:OFFSET(AC535,$B$5-1,0))/($B$5-1))</f>
        <v>#DIV/0!</v>
      </c>
      <c r="AE535" s="34" t="e">
        <f ca="1">SQRT($B$9*SUM(AC535:OFFSET(AC535,$B$6-1,0))/($B$6-1))</f>
        <v>#DIV/0!</v>
      </c>
      <c r="AF535" s="34" t="e">
        <f ca="1">SQRT($B$9*SUM(AC535:OFFSET(AC535,$B$7-1,0))/($B$7-1))</f>
        <v>#DIV/0!</v>
      </c>
      <c r="AG535" s="34" t="e">
        <f ca="1">SQRT($B$9*SUM(AC535:OFFSET(AC535,$B$8-1,0))/($B$8-1))</f>
        <v>#DIV/0!</v>
      </c>
      <c r="AI535" s="1" t="e">
        <f t="shared" si="51"/>
        <v>#DIV/0!</v>
      </c>
      <c r="AJ535" s="4" t="e">
        <f ca="1">SQRT($B$9)*_xlfn.STDEV.S(AI535:OFFSET(AI535,$B$5-1,0))</f>
        <v>#DIV/0!</v>
      </c>
      <c r="AK535" s="4" t="e">
        <f ca="1">SQRT($B$9)*_xlfn.STDEV.S(AI535:OFFSET(AI535,$B$6-1,0))</f>
        <v>#DIV/0!</v>
      </c>
      <c r="AL535" s="4" t="e">
        <f ca="1">SQRT($B$9)*_xlfn.STDEV.S(AI535:OFFSET(AI535,$B$7-1,0))</f>
        <v>#DIV/0!</v>
      </c>
      <c r="AM535" s="4" t="e">
        <f ca="1">SQRT($B$9)*_xlfn.STDEV.S(AI535:OFFSET(AI535,$B$8-1,0))</f>
        <v>#DIV/0!</v>
      </c>
    </row>
    <row r="536" spans="5:39" x14ac:dyDescent="0.2">
      <c r="E536" s="42">
        <v>44673</v>
      </c>
      <c r="F536" s="43"/>
      <c r="G536" s="43"/>
      <c r="H536" s="43"/>
      <c r="I536" s="43"/>
      <c r="K536" s="3" t="e">
        <f t="shared" si="49"/>
        <v>#DIV/0!</v>
      </c>
      <c r="L536" s="3" t="e">
        <f ca="1">SQRT(AVERAGE(K536:OFFSET(K536,$B$5-1,0))*$B$9/(4*LN(2)))</f>
        <v>#DIV/0!</v>
      </c>
      <c r="M536" s="3" t="e">
        <f ca="1">SQRT(AVERAGE(K536:OFFSET(K536,$B$6-1,0))*$B$9/(4*LN(2)))</f>
        <v>#DIV/0!</v>
      </c>
      <c r="N536" s="3" t="e">
        <f ca="1">SQRT(AVERAGE(K536:OFFSET(K536,$B$7-1,0))*$B$9/(4*LN(2)))</f>
        <v>#DIV/0!</v>
      </c>
      <c r="O536" s="3" t="e">
        <f ca="1">SQRT(AVERAGE(K536:OFFSET(K536,$B$8-1,0))*$B$9/(4*LN(2)))</f>
        <v>#DIV/0!</v>
      </c>
      <c r="Q536" s="5" t="e">
        <f t="shared" si="48"/>
        <v>#DIV/0!</v>
      </c>
      <c r="R536" s="5" t="e">
        <f ca="1">SQRT($B$9*AVERAGE((Q536:OFFSET(Q536,$B$5-1,0))))</f>
        <v>#DIV/0!</v>
      </c>
      <c r="S536" s="5" t="e">
        <f ca="1">SQRT($B$9*AVERAGE((Q536:OFFSET(Q536,$B$6-1,0))))</f>
        <v>#DIV/0!</v>
      </c>
      <c r="T536" s="5" t="e">
        <f ca="1">SQRT($B$9*AVERAGE((Q536:OFFSET(Q536,$B$7-1,0))))</f>
        <v>#DIV/0!</v>
      </c>
      <c r="U536" s="5" t="e">
        <f ca="1">SQRT($B$9*AVERAGE((Q536:OFFSET(Q536,$B$8-1,0))))</f>
        <v>#DIV/0!</v>
      </c>
      <c r="W536" s="6" t="e">
        <f t="shared" si="47"/>
        <v>#DIV/0!</v>
      </c>
      <c r="X536" s="6" t="e">
        <f ca="1">SQRT($B$9*AVERAGE(W536:OFFSET(W536,$B$5-1,0)))</f>
        <v>#DIV/0!</v>
      </c>
      <c r="Y536" s="6" t="e">
        <f ca="1">SQRT($B$9*AVERAGE(W536:OFFSET(W536,$B$6-1,0)))</f>
        <v>#DIV/0!</v>
      </c>
      <c r="Z536" s="6" t="e">
        <f ca="1">SQRT($B$9*AVERAGE(W536:OFFSET(W536,$B$7-1,0)))</f>
        <v>#DIV/0!</v>
      </c>
      <c r="AA536" s="6" t="e">
        <f ca="1">SQRT($B$9*AVERAGE(W536:OFFSET(W536,$B$8-1,0)))</f>
        <v>#DIV/0!</v>
      </c>
      <c r="AC536" s="34" t="e">
        <f t="shared" si="50"/>
        <v>#DIV/0!</v>
      </c>
      <c r="AD536" s="34" t="e">
        <f ca="1">SQRT($B$9*SUM(AC536:OFFSET(AC536,$B$5-1,0))/($B$5-1))</f>
        <v>#DIV/0!</v>
      </c>
      <c r="AE536" s="34" t="e">
        <f ca="1">SQRT($B$9*SUM(AC536:OFFSET(AC536,$B$6-1,0))/($B$6-1))</f>
        <v>#DIV/0!</v>
      </c>
      <c r="AF536" s="34" t="e">
        <f ca="1">SQRT($B$9*SUM(AC536:OFFSET(AC536,$B$7-1,0))/($B$7-1))</f>
        <v>#DIV/0!</v>
      </c>
      <c r="AG536" s="34" t="e">
        <f ca="1">SQRT($B$9*SUM(AC536:OFFSET(AC536,$B$8-1,0))/($B$8-1))</f>
        <v>#DIV/0!</v>
      </c>
      <c r="AI536" s="1" t="e">
        <f t="shared" si="51"/>
        <v>#DIV/0!</v>
      </c>
      <c r="AJ536" s="4" t="e">
        <f ca="1">SQRT($B$9)*_xlfn.STDEV.S(AI536:OFFSET(AI536,$B$5-1,0))</f>
        <v>#DIV/0!</v>
      </c>
      <c r="AK536" s="4" t="e">
        <f ca="1">SQRT($B$9)*_xlfn.STDEV.S(AI536:OFFSET(AI536,$B$6-1,0))</f>
        <v>#DIV/0!</v>
      </c>
      <c r="AL536" s="4" t="e">
        <f ca="1">SQRT($B$9)*_xlfn.STDEV.S(AI536:OFFSET(AI536,$B$7-1,0))</f>
        <v>#DIV/0!</v>
      </c>
      <c r="AM536" s="4" t="e">
        <f ca="1">SQRT($B$9)*_xlfn.STDEV.S(AI536:OFFSET(AI536,$B$8-1,0))</f>
        <v>#DIV/0!</v>
      </c>
    </row>
    <row r="537" spans="5:39" x14ac:dyDescent="0.2">
      <c r="E537" s="42">
        <v>44672</v>
      </c>
      <c r="F537" s="43"/>
      <c r="G537" s="43"/>
      <c r="H537" s="43"/>
      <c r="I537" s="43"/>
      <c r="K537" s="3" t="e">
        <f t="shared" si="49"/>
        <v>#DIV/0!</v>
      </c>
      <c r="L537" s="3" t="e">
        <f ca="1">SQRT(AVERAGE(K537:OFFSET(K537,$B$5-1,0))*$B$9/(4*LN(2)))</f>
        <v>#DIV/0!</v>
      </c>
      <c r="M537" s="3" t="e">
        <f ca="1">SQRT(AVERAGE(K537:OFFSET(K537,$B$6-1,0))*$B$9/(4*LN(2)))</f>
        <v>#DIV/0!</v>
      </c>
      <c r="N537" s="3" t="e">
        <f ca="1">SQRT(AVERAGE(K537:OFFSET(K537,$B$7-1,0))*$B$9/(4*LN(2)))</f>
        <v>#DIV/0!</v>
      </c>
      <c r="O537" s="3" t="e">
        <f ca="1">SQRT(AVERAGE(K537:OFFSET(K537,$B$8-1,0))*$B$9/(4*LN(2)))</f>
        <v>#DIV/0!</v>
      </c>
      <c r="Q537" s="5" t="e">
        <f t="shared" si="48"/>
        <v>#DIV/0!</v>
      </c>
      <c r="R537" s="5" t="e">
        <f ca="1">SQRT($B$9*AVERAGE((Q537:OFFSET(Q537,$B$5-1,0))))</f>
        <v>#DIV/0!</v>
      </c>
      <c r="S537" s="5" t="e">
        <f ca="1">SQRT($B$9*AVERAGE((Q537:OFFSET(Q537,$B$6-1,0))))</f>
        <v>#DIV/0!</v>
      </c>
      <c r="T537" s="5" t="e">
        <f ca="1">SQRT($B$9*AVERAGE((Q537:OFFSET(Q537,$B$7-1,0))))</f>
        <v>#DIV/0!</v>
      </c>
      <c r="U537" s="5" t="e">
        <f ca="1">SQRT($B$9*AVERAGE((Q537:OFFSET(Q537,$B$8-1,0))))</f>
        <v>#DIV/0!</v>
      </c>
      <c r="W537" s="6" t="e">
        <f t="shared" si="47"/>
        <v>#DIV/0!</v>
      </c>
      <c r="X537" s="6" t="e">
        <f ca="1">SQRT($B$9*AVERAGE(W537:OFFSET(W537,$B$5-1,0)))</f>
        <v>#DIV/0!</v>
      </c>
      <c r="Y537" s="6" t="e">
        <f ca="1">SQRT($B$9*AVERAGE(W537:OFFSET(W537,$B$6-1,0)))</f>
        <v>#DIV/0!</v>
      </c>
      <c r="Z537" s="6" t="e">
        <f ca="1">SQRT($B$9*AVERAGE(W537:OFFSET(W537,$B$7-1,0)))</f>
        <v>#DIV/0!</v>
      </c>
      <c r="AA537" s="6" t="e">
        <f ca="1">SQRT($B$9*AVERAGE(W537:OFFSET(W537,$B$8-1,0)))</f>
        <v>#DIV/0!</v>
      </c>
      <c r="AC537" s="34" t="e">
        <f t="shared" si="50"/>
        <v>#DIV/0!</v>
      </c>
      <c r="AD537" s="34" t="e">
        <f ca="1">SQRT($B$9*SUM(AC537:OFFSET(AC537,$B$5-1,0))/($B$5-1))</f>
        <v>#DIV/0!</v>
      </c>
      <c r="AE537" s="34" t="e">
        <f ca="1">SQRT($B$9*SUM(AC537:OFFSET(AC537,$B$6-1,0))/($B$6-1))</f>
        <v>#DIV/0!</v>
      </c>
      <c r="AF537" s="34" t="e">
        <f ca="1">SQRT($B$9*SUM(AC537:OFFSET(AC537,$B$7-1,0))/($B$7-1))</f>
        <v>#DIV/0!</v>
      </c>
      <c r="AG537" s="34" t="e">
        <f ca="1">SQRT($B$9*SUM(AC537:OFFSET(AC537,$B$8-1,0))/($B$8-1))</f>
        <v>#DIV/0!</v>
      </c>
      <c r="AI537" s="1" t="e">
        <f t="shared" si="51"/>
        <v>#DIV/0!</v>
      </c>
      <c r="AJ537" s="4" t="e">
        <f ca="1">SQRT($B$9)*_xlfn.STDEV.S(AI537:OFFSET(AI537,$B$5-1,0))</f>
        <v>#DIV/0!</v>
      </c>
      <c r="AK537" s="4" t="e">
        <f ca="1">SQRT($B$9)*_xlfn.STDEV.S(AI537:OFFSET(AI537,$B$6-1,0))</f>
        <v>#DIV/0!</v>
      </c>
      <c r="AL537" s="4" t="e">
        <f ca="1">SQRT($B$9)*_xlfn.STDEV.S(AI537:OFFSET(AI537,$B$7-1,0))</f>
        <v>#DIV/0!</v>
      </c>
      <c r="AM537" s="4" t="e">
        <f ca="1">SQRT($B$9)*_xlfn.STDEV.S(AI537:OFFSET(AI537,$B$8-1,0))</f>
        <v>#DIV/0!</v>
      </c>
    </row>
    <row r="538" spans="5:39" x14ac:dyDescent="0.2">
      <c r="E538" s="42">
        <v>44671</v>
      </c>
      <c r="F538" s="43"/>
      <c r="G538" s="43"/>
      <c r="H538" s="43"/>
      <c r="I538" s="43"/>
      <c r="K538" s="3" t="e">
        <f t="shared" si="49"/>
        <v>#DIV/0!</v>
      </c>
      <c r="L538" s="3" t="e">
        <f ca="1">SQRT(AVERAGE(K538:OFFSET(K538,$B$5-1,0))*$B$9/(4*LN(2)))</f>
        <v>#DIV/0!</v>
      </c>
      <c r="M538" s="3" t="e">
        <f ca="1">SQRT(AVERAGE(K538:OFFSET(K538,$B$6-1,0))*$B$9/(4*LN(2)))</f>
        <v>#DIV/0!</v>
      </c>
      <c r="N538" s="3" t="e">
        <f ca="1">SQRT(AVERAGE(K538:OFFSET(K538,$B$7-1,0))*$B$9/(4*LN(2)))</f>
        <v>#DIV/0!</v>
      </c>
      <c r="O538" s="3" t="e">
        <f ca="1">SQRT(AVERAGE(K538:OFFSET(K538,$B$8-1,0))*$B$9/(4*LN(2)))</f>
        <v>#DIV/0!</v>
      </c>
      <c r="Q538" s="5" t="e">
        <f t="shared" si="48"/>
        <v>#DIV/0!</v>
      </c>
      <c r="R538" s="5" t="e">
        <f ca="1">SQRT($B$9*AVERAGE((Q538:OFFSET(Q538,$B$5-1,0))))</f>
        <v>#DIV/0!</v>
      </c>
      <c r="S538" s="5" t="e">
        <f ca="1">SQRT($B$9*AVERAGE((Q538:OFFSET(Q538,$B$6-1,0))))</f>
        <v>#DIV/0!</v>
      </c>
      <c r="T538" s="5" t="e">
        <f ca="1">SQRT($B$9*AVERAGE((Q538:OFFSET(Q538,$B$7-1,0))))</f>
        <v>#DIV/0!</v>
      </c>
      <c r="U538" s="5" t="e">
        <f ca="1">SQRT($B$9*AVERAGE((Q538:OFFSET(Q538,$B$8-1,0))))</f>
        <v>#DIV/0!</v>
      </c>
      <c r="W538" s="6" t="e">
        <f t="shared" si="47"/>
        <v>#DIV/0!</v>
      </c>
      <c r="X538" s="6" t="e">
        <f ca="1">SQRT($B$9*AVERAGE(W538:OFFSET(W538,$B$5-1,0)))</f>
        <v>#DIV/0!</v>
      </c>
      <c r="Y538" s="6" t="e">
        <f ca="1">SQRT($B$9*AVERAGE(W538:OFFSET(W538,$B$6-1,0)))</f>
        <v>#DIV/0!</v>
      </c>
      <c r="Z538" s="6" t="e">
        <f ca="1">SQRT($B$9*AVERAGE(W538:OFFSET(W538,$B$7-1,0)))</f>
        <v>#DIV/0!</v>
      </c>
      <c r="AA538" s="6" t="e">
        <f ca="1">SQRT($B$9*AVERAGE(W538:OFFSET(W538,$B$8-1,0)))</f>
        <v>#DIV/0!</v>
      </c>
      <c r="AC538" s="34" t="e">
        <f t="shared" si="50"/>
        <v>#DIV/0!</v>
      </c>
      <c r="AD538" s="34" t="e">
        <f ca="1">SQRT($B$9*SUM(AC538:OFFSET(AC538,$B$5-1,0))/($B$5-1))</f>
        <v>#DIV/0!</v>
      </c>
      <c r="AE538" s="34" t="e">
        <f ca="1">SQRT($B$9*SUM(AC538:OFFSET(AC538,$B$6-1,0))/($B$6-1))</f>
        <v>#DIV/0!</v>
      </c>
      <c r="AF538" s="34" t="e">
        <f ca="1">SQRT($B$9*SUM(AC538:OFFSET(AC538,$B$7-1,0))/($B$7-1))</f>
        <v>#DIV/0!</v>
      </c>
      <c r="AG538" s="34" t="e">
        <f ca="1">SQRT($B$9*SUM(AC538:OFFSET(AC538,$B$8-1,0))/($B$8-1))</f>
        <v>#DIV/0!</v>
      </c>
      <c r="AI538" s="1" t="e">
        <f t="shared" si="51"/>
        <v>#DIV/0!</v>
      </c>
      <c r="AJ538" s="4" t="e">
        <f ca="1">SQRT($B$9)*_xlfn.STDEV.S(AI538:OFFSET(AI538,$B$5-1,0))</f>
        <v>#DIV/0!</v>
      </c>
      <c r="AK538" s="4" t="e">
        <f ca="1">SQRT($B$9)*_xlfn.STDEV.S(AI538:OFFSET(AI538,$B$6-1,0))</f>
        <v>#DIV/0!</v>
      </c>
      <c r="AL538" s="4" t="e">
        <f ca="1">SQRT($B$9)*_xlfn.STDEV.S(AI538:OFFSET(AI538,$B$7-1,0))</f>
        <v>#DIV/0!</v>
      </c>
      <c r="AM538" s="4" t="e">
        <f ca="1">SQRT($B$9)*_xlfn.STDEV.S(AI538:OFFSET(AI538,$B$8-1,0))</f>
        <v>#DIV/0!</v>
      </c>
    </row>
    <row r="539" spans="5:39" x14ac:dyDescent="0.2">
      <c r="E539" s="42">
        <v>44670</v>
      </c>
      <c r="F539" s="43"/>
      <c r="G539" s="43"/>
      <c r="H539" s="43"/>
      <c r="I539" s="43"/>
      <c r="K539" s="3" t="e">
        <f t="shared" si="49"/>
        <v>#DIV/0!</v>
      </c>
      <c r="L539" s="3" t="e">
        <f ca="1">SQRT(AVERAGE(K539:OFFSET(K539,$B$5-1,0))*$B$9/(4*LN(2)))</f>
        <v>#DIV/0!</v>
      </c>
      <c r="M539" s="3" t="e">
        <f ca="1">SQRT(AVERAGE(K539:OFFSET(K539,$B$6-1,0))*$B$9/(4*LN(2)))</f>
        <v>#DIV/0!</v>
      </c>
      <c r="N539" s="3" t="e">
        <f ca="1">SQRT(AVERAGE(K539:OFFSET(K539,$B$7-1,0))*$B$9/(4*LN(2)))</f>
        <v>#DIV/0!</v>
      </c>
      <c r="O539" s="3" t="e">
        <f ca="1">SQRT(AVERAGE(K539:OFFSET(K539,$B$8-1,0))*$B$9/(4*LN(2)))</f>
        <v>#DIV/0!</v>
      </c>
      <c r="Q539" s="5" t="e">
        <f t="shared" si="48"/>
        <v>#DIV/0!</v>
      </c>
      <c r="R539" s="5" t="e">
        <f ca="1">SQRT($B$9*AVERAGE((Q539:OFFSET(Q539,$B$5-1,0))))</f>
        <v>#DIV/0!</v>
      </c>
      <c r="S539" s="5" t="e">
        <f ca="1">SQRT($B$9*AVERAGE((Q539:OFFSET(Q539,$B$6-1,0))))</f>
        <v>#DIV/0!</v>
      </c>
      <c r="T539" s="5" t="e">
        <f ca="1">SQRT($B$9*AVERAGE((Q539:OFFSET(Q539,$B$7-1,0))))</f>
        <v>#DIV/0!</v>
      </c>
      <c r="U539" s="5" t="e">
        <f ca="1">SQRT($B$9*AVERAGE((Q539:OFFSET(Q539,$B$8-1,0))))</f>
        <v>#DIV/0!</v>
      </c>
      <c r="W539" s="6" t="e">
        <f t="shared" si="47"/>
        <v>#DIV/0!</v>
      </c>
      <c r="X539" s="6" t="e">
        <f ca="1">SQRT($B$9*AVERAGE(W539:OFFSET(W539,$B$5-1,0)))</f>
        <v>#DIV/0!</v>
      </c>
      <c r="Y539" s="6" t="e">
        <f ca="1">SQRT($B$9*AVERAGE(W539:OFFSET(W539,$B$6-1,0)))</f>
        <v>#DIV/0!</v>
      </c>
      <c r="Z539" s="6" t="e">
        <f ca="1">SQRT($B$9*AVERAGE(W539:OFFSET(W539,$B$7-1,0)))</f>
        <v>#DIV/0!</v>
      </c>
      <c r="AA539" s="6" t="e">
        <f ca="1">SQRT($B$9*AVERAGE(W539:OFFSET(W539,$B$8-1,0)))</f>
        <v>#DIV/0!</v>
      </c>
      <c r="AC539" s="34" t="e">
        <f t="shared" si="50"/>
        <v>#DIV/0!</v>
      </c>
      <c r="AD539" s="34" t="e">
        <f ca="1">SQRT($B$9*SUM(AC539:OFFSET(AC539,$B$5-1,0))/($B$5-1))</f>
        <v>#DIV/0!</v>
      </c>
      <c r="AE539" s="34" t="e">
        <f ca="1">SQRT($B$9*SUM(AC539:OFFSET(AC539,$B$6-1,0))/($B$6-1))</f>
        <v>#DIV/0!</v>
      </c>
      <c r="AF539" s="34" t="e">
        <f ca="1">SQRT($B$9*SUM(AC539:OFFSET(AC539,$B$7-1,0))/($B$7-1))</f>
        <v>#DIV/0!</v>
      </c>
      <c r="AG539" s="34" t="e">
        <f ca="1">SQRT($B$9*SUM(AC539:OFFSET(AC539,$B$8-1,0))/($B$8-1))</f>
        <v>#DIV/0!</v>
      </c>
      <c r="AI539" s="1" t="e">
        <f t="shared" si="51"/>
        <v>#DIV/0!</v>
      </c>
      <c r="AJ539" s="4" t="e">
        <f ca="1">SQRT($B$9)*_xlfn.STDEV.S(AI539:OFFSET(AI539,$B$5-1,0))</f>
        <v>#DIV/0!</v>
      </c>
      <c r="AK539" s="4" t="e">
        <f ca="1">SQRT($B$9)*_xlfn.STDEV.S(AI539:OFFSET(AI539,$B$6-1,0))</f>
        <v>#DIV/0!</v>
      </c>
      <c r="AL539" s="4" t="e">
        <f ca="1">SQRT($B$9)*_xlfn.STDEV.S(AI539:OFFSET(AI539,$B$7-1,0))</f>
        <v>#DIV/0!</v>
      </c>
      <c r="AM539" s="4" t="e">
        <f ca="1">SQRT($B$9)*_xlfn.STDEV.S(AI539:OFFSET(AI539,$B$8-1,0))</f>
        <v>#DIV/0!</v>
      </c>
    </row>
    <row r="540" spans="5:39" x14ac:dyDescent="0.2">
      <c r="E540" s="42">
        <v>44669</v>
      </c>
      <c r="F540" s="43"/>
      <c r="G540" s="43"/>
      <c r="H540" s="43"/>
      <c r="I540" s="43"/>
      <c r="K540" s="3" t="e">
        <f t="shared" si="49"/>
        <v>#DIV/0!</v>
      </c>
      <c r="L540" s="3" t="e">
        <f ca="1">SQRT(AVERAGE(K540:OFFSET(K540,$B$5-1,0))*$B$9/(4*LN(2)))</f>
        <v>#DIV/0!</v>
      </c>
      <c r="M540" s="3" t="e">
        <f ca="1">SQRT(AVERAGE(K540:OFFSET(K540,$B$6-1,0))*$B$9/(4*LN(2)))</f>
        <v>#DIV/0!</v>
      </c>
      <c r="N540" s="3" t="e">
        <f ca="1">SQRT(AVERAGE(K540:OFFSET(K540,$B$7-1,0))*$B$9/(4*LN(2)))</f>
        <v>#DIV/0!</v>
      </c>
      <c r="O540" s="3" t="e">
        <f ca="1">SQRT(AVERAGE(K540:OFFSET(K540,$B$8-1,0))*$B$9/(4*LN(2)))</f>
        <v>#DIV/0!</v>
      </c>
      <c r="Q540" s="5" t="e">
        <f t="shared" si="48"/>
        <v>#DIV/0!</v>
      </c>
      <c r="R540" s="5" t="e">
        <f ca="1">SQRT($B$9*AVERAGE((Q540:OFFSET(Q540,$B$5-1,0))))</f>
        <v>#DIV/0!</v>
      </c>
      <c r="S540" s="5" t="e">
        <f ca="1">SQRT($B$9*AVERAGE((Q540:OFFSET(Q540,$B$6-1,0))))</f>
        <v>#DIV/0!</v>
      </c>
      <c r="T540" s="5" t="e">
        <f ca="1">SQRT($B$9*AVERAGE((Q540:OFFSET(Q540,$B$7-1,0))))</f>
        <v>#DIV/0!</v>
      </c>
      <c r="U540" s="5" t="e">
        <f ca="1">SQRT($B$9*AVERAGE((Q540:OFFSET(Q540,$B$8-1,0))))</f>
        <v>#DIV/0!</v>
      </c>
      <c r="W540" s="6" t="e">
        <f t="shared" si="47"/>
        <v>#DIV/0!</v>
      </c>
      <c r="X540" s="6" t="e">
        <f ca="1">SQRT($B$9*AVERAGE(W540:OFFSET(W540,$B$5-1,0)))</f>
        <v>#DIV/0!</v>
      </c>
      <c r="Y540" s="6" t="e">
        <f ca="1">SQRT($B$9*AVERAGE(W540:OFFSET(W540,$B$6-1,0)))</f>
        <v>#DIV/0!</v>
      </c>
      <c r="Z540" s="6" t="e">
        <f ca="1">SQRT($B$9*AVERAGE(W540:OFFSET(W540,$B$7-1,0)))</f>
        <v>#DIV/0!</v>
      </c>
      <c r="AA540" s="6" t="e">
        <f ca="1">SQRT($B$9*AVERAGE(W540:OFFSET(W540,$B$8-1,0)))</f>
        <v>#DIV/0!</v>
      </c>
      <c r="AC540" s="34" t="e">
        <f t="shared" si="50"/>
        <v>#DIV/0!</v>
      </c>
      <c r="AD540" s="34" t="e">
        <f ca="1">SQRT($B$9*SUM(AC540:OFFSET(AC540,$B$5-1,0))/($B$5-1))</f>
        <v>#DIV/0!</v>
      </c>
      <c r="AE540" s="34" t="e">
        <f ca="1">SQRT($B$9*SUM(AC540:OFFSET(AC540,$B$6-1,0))/($B$6-1))</f>
        <v>#DIV/0!</v>
      </c>
      <c r="AF540" s="34" t="e">
        <f ca="1">SQRT($B$9*SUM(AC540:OFFSET(AC540,$B$7-1,0))/($B$7-1))</f>
        <v>#DIV/0!</v>
      </c>
      <c r="AG540" s="34" t="e">
        <f ca="1">SQRT($B$9*SUM(AC540:OFFSET(AC540,$B$8-1,0))/($B$8-1))</f>
        <v>#DIV/0!</v>
      </c>
      <c r="AI540" s="1" t="e">
        <f t="shared" si="51"/>
        <v>#DIV/0!</v>
      </c>
      <c r="AJ540" s="4" t="e">
        <f ca="1">SQRT($B$9)*_xlfn.STDEV.S(AI540:OFFSET(AI540,$B$5-1,0))</f>
        <v>#DIV/0!</v>
      </c>
      <c r="AK540" s="4" t="e">
        <f ca="1">SQRT($B$9)*_xlfn.STDEV.S(AI540:OFFSET(AI540,$B$6-1,0))</f>
        <v>#DIV/0!</v>
      </c>
      <c r="AL540" s="4" t="e">
        <f ca="1">SQRT($B$9)*_xlfn.STDEV.S(AI540:OFFSET(AI540,$B$7-1,0))</f>
        <v>#DIV/0!</v>
      </c>
      <c r="AM540" s="4" t="e">
        <f ca="1">SQRT($B$9)*_xlfn.STDEV.S(AI540:OFFSET(AI540,$B$8-1,0))</f>
        <v>#DIV/0!</v>
      </c>
    </row>
    <row r="541" spans="5:39" x14ac:dyDescent="0.2">
      <c r="E541" s="42">
        <v>44666</v>
      </c>
      <c r="F541" s="43"/>
      <c r="G541" s="43"/>
      <c r="H541" s="43"/>
      <c r="I541" s="43"/>
      <c r="K541" s="3" t="e">
        <f t="shared" si="49"/>
        <v>#DIV/0!</v>
      </c>
      <c r="L541" s="3" t="e">
        <f ca="1">SQRT(AVERAGE(K541:OFFSET(K541,$B$5-1,0))*$B$9/(4*LN(2)))</f>
        <v>#DIV/0!</v>
      </c>
      <c r="M541" s="3" t="e">
        <f ca="1">SQRT(AVERAGE(K541:OFFSET(K541,$B$6-1,0))*$B$9/(4*LN(2)))</f>
        <v>#DIV/0!</v>
      </c>
      <c r="N541" s="3" t="e">
        <f ca="1">SQRT(AVERAGE(K541:OFFSET(K541,$B$7-1,0))*$B$9/(4*LN(2)))</f>
        <v>#DIV/0!</v>
      </c>
      <c r="O541" s="3" t="e">
        <f ca="1">SQRT(AVERAGE(K541:OFFSET(K541,$B$8-1,0))*$B$9/(4*LN(2)))</f>
        <v>#DIV/0!</v>
      </c>
      <c r="Q541" s="5" t="e">
        <f t="shared" si="48"/>
        <v>#DIV/0!</v>
      </c>
      <c r="R541" s="5" t="e">
        <f ca="1">SQRT($B$9*AVERAGE((Q541:OFFSET(Q541,$B$5-1,0))))</f>
        <v>#DIV/0!</v>
      </c>
      <c r="S541" s="5" t="e">
        <f ca="1">SQRT($B$9*AVERAGE((Q541:OFFSET(Q541,$B$6-1,0))))</f>
        <v>#DIV/0!</v>
      </c>
      <c r="T541" s="5" t="e">
        <f ca="1">SQRT($B$9*AVERAGE((Q541:OFFSET(Q541,$B$7-1,0))))</f>
        <v>#DIV/0!</v>
      </c>
      <c r="U541" s="5" t="e">
        <f ca="1">SQRT($B$9*AVERAGE((Q541:OFFSET(Q541,$B$8-1,0))))</f>
        <v>#DIV/0!</v>
      </c>
      <c r="W541" s="6" t="e">
        <f t="shared" si="47"/>
        <v>#DIV/0!</v>
      </c>
      <c r="X541" s="6" t="e">
        <f ca="1">SQRT($B$9*AVERAGE(W541:OFFSET(W541,$B$5-1,0)))</f>
        <v>#DIV/0!</v>
      </c>
      <c r="Y541" s="6" t="e">
        <f ca="1">SQRT($B$9*AVERAGE(W541:OFFSET(W541,$B$6-1,0)))</f>
        <v>#DIV/0!</v>
      </c>
      <c r="Z541" s="6" t="e">
        <f ca="1">SQRT($B$9*AVERAGE(W541:OFFSET(W541,$B$7-1,0)))</f>
        <v>#DIV/0!</v>
      </c>
      <c r="AA541" s="6" t="e">
        <f ca="1">SQRT($B$9*AVERAGE(W541:OFFSET(W541,$B$8-1,0)))</f>
        <v>#DIV/0!</v>
      </c>
      <c r="AC541" s="34" t="e">
        <f t="shared" si="50"/>
        <v>#DIV/0!</v>
      </c>
      <c r="AD541" s="34" t="e">
        <f ca="1">SQRT($B$9*SUM(AC541:OFFSET(AC541,$B$5-1,0))/($B$5-1))</f>
        <v>#DIV/0!</v>
      </c>
      <c r="AE541" s="34" t="e">
        <f ca="1">SQRT($B$9*SUM(AC541:OFFSET(AC541,$B$6-1,0))/($B$6-1))</f>
        <v>#DIV/0!</v>
      </c>
      <c r="AF541" s="34" t="e">
        <f ca="1">SQRT($B$9*SUM(AC541:OFFSET(AC541,$B$7-1,0))/($B$7-1))</f>
        <v>#DIV/0!</v>
      </c>
      <c r="AG541" s="34" t="e">
        <f ca="1">SQRT($B$9*SUM(AC541:OFFSET(AC541,$B$8-1,0))/($B$8-1))</f>
        <v>#DIV/0!</v>
      </c>
      <c r="AI541" s="1" t="e">
        <f t="shared" si="51"/>
        <v>#DIV/0!</v>
      </c>
      <c r="AJ541" s="4" t="e">
        <f ca="1">SQRT($B$9)*_xlfn.STDEV.S(AI541:OFFSET(AI541,$B$5-1,0))</f>
        <v>#DIV/0!</v>
      </c>
      <c r="AK541" s="4" t="e">
        <f ca="1">SQRT($B$9)*_xlfn.STDEV.S(AI541:OFFSET(AI541,$B$6-1,0))</f>
        <v>#DIV/0!</v>
      </c>
      <c r="AL541" s="4" t="e">
        <f ca="1">SQRT($B$9)*_xlfn.STDEV.S(AI541:OFFSET(AI541,$B$7-1,0))</f>
        <v>#DIV/0!</v>
      </c>
      <c r="AM541" s="4" t="e">
        <f ca="1">SQRT($B$9)*_xlfn.STDEV.S(AI541:OFFSET(AI541,$B$8-1,0))</f>
        <v>#DIV/0!</v>
      </c>
    </row>
    <row r="542" spans="5:39" x14ac:dyDescent="0.2">
      <c r="E542" s="42">
        <v>44665</v>
      </c>
      <c r="F542" s="43"/>
      <c r="G542" s="43"/>
      <c r="H542" s="43"/>
      <c r="I542" s="43"/>
      <c r="K542" s="3" t="e">
        <f t="shared" si="49"/>
        <v>#DIV/0!</v>
      </c>
      <c r="L542" s="3" t="e">
        <f ca="1">SQRT(AVERAGE(K542:OFFSET(K542,$B$5-1,0))*$B$9/(4*LN(2)))</f>
        <v>#DIV/0!</v>
      </c>
      <c r="M542" s="3" t="e">
        <f ca="1">SQRT(AVERAGE(K542:OFFSET(K542,$B$6-1,0))*$B$9/(4*LN(2)))</f>
        <v>#DIV/0!</v>
      </c>
      <c r="N542" s="3" t="e">
        <f ca="1">SQRT(AVERAGE(K542:OFFSET(K542,$B$7-1,0))*$B$9/(4*LN(2)))</f>
        <v>#DIV/0!</v>
      </c>
      <c r="O542" s="3" t="e">
        <f ca="1">SQRT(AVERAGE(K542:OFFSET(K542,$B$8-1,0))*$B$9/(4*LN(2)))</f>
        <v>#DIV/0!</v>
      </c>
      <c r="Q542" s="5" t="e">
        <f t="shared" si="48"/>
        <v>#DIV/0!</v>
      </c>
      <c r="R542" s="5" t="e">
        <f ca="1">SQRT($B$9*AVERAGE((Q542:OFFSET(Q542,$B$5-1,0))))</f>
        <v>#DIV/0!</v>
      </c>
      <c r="S542" s="5" t="e">
        <f ca="1">SQRT($B$9*AVERAGE((Q542:OFFSET(Q542,$B$6-1,0))))</f>
        <v>#DIV/0!</v>
      </c>
      <c r="T542" s="5" t="e">
        <f ca="1">SQRT($B$9*AVERAGE((Q542:OFFSET(Q542,$B$7-1,0))))</f>
        <v>#DIV/0!</v>
      </c>
      <c r="U542" s="5" t="e">
        <f ca="1">SQRT($B$9*AVERAGE((Q542:OFFSET(Q542,$B$8-1,0))))</f>
        <v>#DIV/0!</v>
      </c>
      <c r="W542" s="6" t="e">
        <f t="shared" si="47"/>
        <v>#DIV/0!</v>
      </c>
      <c r="X542" s="6" t="e">
        <f ca="1">SQRT($B$9*AVERAGE(W542:OFFSET(W542,$B$5-1,0)))</f>
        <v>#DIV/0!</v>
      </c>
      <c r="Y542" s="6" t="e">
        <f ca="1">SQRT($B$9*AVERAGE(W542:OFFSET(W542,$B$6-1,0)))</f>
        <v>#DIV/0!</v>
      </c>
      <c r="Z542" s="6" t="e">
        <f ca="1">SQRT($B$9*AVERAGE(W542:OFFSET(W542,$B$7-1,0)))</f>
        <v>#DIV/0!</v>
      </c>
      <c r="AA542" s="6" t="e">
        <f ca="1">SQRT($B$9*AVERAGE(W542:OFFSET(W542,$B$8-1,0)))</f>
        <v>#DIV/0!</v>
      </c>
      <c r="AC542" s="34" t="e">
        <f t="shared" si="50"/>
        <v>#DIV/0!</v>
      </c>
      <c r="AD542" s="34" t="e">
        <f ca="1">SQRT($B$9*SUM(AC542:OFFSET(AC542,$B$5-1,0))/($B$5-1))</f>
        <v>#DIV/0!</v>
      </c>
      <c r="AE542" s="34" t="e">
        <f ca="1">SQRT($B$9*SUM(AC542:OFFSET(AC542,$B$6-1,0))/($B$6-1))</f>
        <v>#DIV/0!</v>
      </c>
      <c r="AF542" s="34" t="e">
        <f ca="1">SQRT($B$9*SUM(AC542:OFFSET(AC542,$B$7-1,0))/($B$7-1))</f>
        <v>#DIV/0!</v>
      </c>
      <c r="AG542" s="34" t="e">
        <f ca="1">SQRT($B$9*SUM(AC542:OFFSET(AC542,$B$8-1,0))/($B$8-1))</f>
        <v>#DIV/0!</v>
      </c>
      <c r="AI542" s="1" t="e">
        <f t="shared" si="51"/>
        <v>#DIV/0!</v>
      </c>
      <c r="AJ542" s="4" t="e">
        <f ca="1">SQRT($B$9)*_xlfn.STDEV.S(AI542:OFFSET(AI542,$B$5-1,0))</f>
        <v>#DIV/0!</v>
      </c>
      <c r="AK542" s="4" t="e">
        <f ca="1">SQRT($B$9)*_xlfn.STDEV.S(AI542:OFFSET(AI542,$B$6-1,0))</f>
        <v>#DIV/0!</v>
      </c>
      <c r="AL542" s="4" t="e">
        <f ca="1">SQRT($B$9)*_xlfn.STDEV.S(AI542:OFFSET(AI542,$B$7-1,0))</f>
        <v>#DIV/0!</v>
      </c>
      <c r="AM542" s="4" t="e">
        <f ca="1">SQRT($B$9)*_xlfn.STDEV.S(AI542:OFFSET(AI542,$B$8-1,0))</f>
        <v>#DIV/0!</v>
      </c>
    </row>
    <row r="543" spans="5:39" x14ac:dyDescent="0.2">
      <c r="E543" s="42">
        <v>44664</v>
      </c>
      <c r="F543" s="43"/>
      <c r="G543" s="43"/>
      <c r="H543" s="43"/>
      <c r="I543" s="43"/>
      <c r="K543" s="3" t="e">
        <f t="shared" si="49"/>
        <v>#DIV/0!</v>
      </c>
      <c r="L543" s="3" t="e">
        <f ca="1">SQRT(AVERAGE(K543:OFFSET(K543,$B$5-1,0))*$B$9/(4*LN(2)))</f>
        <v>#DIV/0!</v>
      </c>
      <c r="M543" s="3" t="e">
        <f ca="1">SQRT(AVERAGE(K543:OFFSET(K543,$B$6-1,0))*$B$9/(4*LN(2)))</f>
        <v>#DIV/0!</v>
      </c>
      <c r="N543" s="3" t="e">
        <f ca="1">SQRT(AVERAGE(K543:OFFSET(K543,$B$7-1,0))*$B$9/(4*LN(2)))</f>
        <v>#DIV/0!</v>
      </c>
      <c r="O543" s="3" t="e">
        <f ca="1">SQRT(AVERAGE(K543:OFFSET(K543,$B$8-1,0))*$B$9/(4*LN(2)))</f>
        <v>#DIV/0!</v>
      </c>
      <c r="Q543" s="5" t="e">
        <f t="shared" si="48"/>
        <v>#DIV/0!</v>
      </c>
      <c r="R543" s="5" t="e">
        <f ca="1">SQRT($B$9*AVERAGE((Q543:OFFSET(Q543,$B$5-1,0))))</f>
        <v>#DIV/0!</v>
      </c>
      <c r="S543" s="5" t="e">
        <f ca="1">SQRT($B$9*AVERAGE((Q543:OFFSET(Q543,$B$6-1,0))))</f>
        <v>#DIV/0!</v>
      </c>
      <c r="T543" s="5" t="e">
        <f ca="1">SQRT($B$9*AVERAGE((Q543:OFFSET(Q543,$B$7-1,0))))</f>
        <v>#DIV/0!</v>
      </c>
      <c r="U543" s="5" t="e">
        <f ca="1">SQRT($B$9*AVERAGE((Q543:OFFSET(Q543,$B$8-1,0))))</f>
        <v>#DIV/0!</v>
      </c>
      <c r="W543" s="6" t="e">
        <f t="shared" si="47"/>
        <v>#DIV/0!</v>
      </c>
      <c r="X543" s="6" t="e">
        <f ca="1">SQRT($B$9*AVERAGE(W543:OFFSET(W543,$B$5-1,0)))</f>
        <v>#DIV/0!</v>
      </c>
      <c r="Y543" s="6" t="e">
        <f ca="1">SQRT($B$9*AVERAGE(W543:OFFSET(W543,$B$6-1,0)))</f>
        <v>#DIV/0!</v>
      </c>
      <c r="Z543" s="6" t="e">
        <f ca="1">SQRT($B$9*AVERAGE(W543:OFFSET(W543,$B$7-1,0)))</f>
        <v>#DIV/0!</v>
      </c>
      <c r="AA543" s="6" t="e">
        <f ca="1">SQRT($B$9*AVERAGE(W543:OFFSET(W543,$B$8-1,0)))</f>
        <v>#DIV/0!</v>
      </c>
      <c r="AC543" s="34" t="e">
        <f t="shared" si="50"/>
        <v>#DIV/0!</v>
      </c>
      <c r="AD543" s="34" t="e">
        <f ca="1">SQRT($B$9*SUM(AC543:OFFSET(AC543,$B$5-1,0))/($B$5-1))</f>
        <v>#DIV/0!</v>
      </c>
      <c r="AE543" s="34" t="e">
        <f ca="1">SQRT($B$9*SUM(AC543:OFFSET(AC543,$B$6-1,0))/($B$6-1))</f>
        <v>#DIV/0!</v>
      </c>
      <c r="AF543" s="34" t="e">
        <f ca="1">SQRT($B$9*SUM(AC543:OFFSET(AC543,$B$7-1,0))/($B$7-1))</f>
        <v>#DIV/0!</v>
      </c>
      <c r="AG543" s="34" t="e">
        <f ca="1">SQRT($B$9*SUM(AC543:OFFSET(AC543,$B$8-1,0))/($B$8-1))</f>
        <v>#DIV/0!</v>
      </c>
      <c r="AI543" s="1" t="e">
        <f t="shared" si="51"/>
        <v>#DIV/0!</v>
      </c>
      <c r="AJ543" s="4" t="e">
        <f ca="1">SQRT($B$9)*_xlfn.STDEV.S(AI543:OFFSET(AI543,$B$5-1,0))</f>
        <v>#DIV/0!</v>
      </c>
      <c r="AK543" s="4" t="e">
        <f ca="1">SQRT($B$9)*_xlfn.STDEV.S(AI543:OFFSET(AI543,$B$6-1,0))</f>
        <v>#DIV/0!</v>
      </c>
      <c r="AL543" s="4" t="e">
        <f ca="1">SQRT($B$9)*_xlfn.STDEV.S(AI543:OFFSET(AI543,$B$7-1,0))</f>
        <v>#DIV/0!</v>
      </c>
      <c r="AM543" s="4" t="e">
        <f ca="1">SQRT($B$9)*_xlfn.STDEV.S(AI543:OFFSET(AI543,$B$8-1,0))</f>
        <v>#DIV/0!</v>
      </c>
    </row>
    <row r="544" spans="5:39" x14ac:dyDescent="0.2">
      <c r="E544" s="42">
        <v>44663</v>
      </c>
      <c r="F544" s="43"/>
      <c r="G544" s="43"/>
      <c r="H544" s="43"/>
      <c r="I544" s="43"/>
      <c r="K544" s="3" t="e">
        <f t="shared" si="49"/>
        <v>#DIV/0!</v>
      </c>
      <c r="L544" s="3" t="e">
        <f ca="1">SQRT(AVERAGE(K544:OFFSET(K544,$B$5-1,0))*$B$9/(4*LN(2)))</f>
        <v>#DIV/0!</v>
      </c>
      <c r="M544" s="3" t="e">
        <f ca="1">SQRT(AVERAGE(K544:OFFSET(K544,$B$6-1,0))*$B$9/(4*LN(2)))</f>
        <v>#DIV/0!</v>
      </c>
      <c r="N544" s="3" t="e">
        <f ca="1">SQRT(AVERAGE(K544:OFFSET(K544,$B$7-1,0))*$B$9/(4*LN(2)))</f>
        <v>#DIV/0!</v>
      </c>
      <c r="O544" s="3" t="e">
        <f ca="1">SQRT(AVERAGE(K544:OFFSET(K544,$B$8-1,0))*$B$9/(4*LN(2)))</f>
        <v>#DIV/0!</v>
      </c>
      <c r="Q544" s="5" t="e">
        <f t="shared" si="48"/>
        <v>#DIV/0!</v>
      </c>
      <c r="R544" s="5" t="e">
        <f ca="1">SQRT($B$9*AVERAGE((Q544:OFFSET(Q544,$B$5-1,0))))</f>
        <v>#DIV/0!</v>
      </c>
      <c r="S544" s="5" t="e">
        <f ca="1">SQRT($B$9*AVERAGE((Q544:OFFSET(Q544,$B$6-1,0))))</f>
        <v>#DIV/0!</v>
      </c>
      <c r="T544" s="5" t="e">
        <f ca="1">SQRT($B$9*AVERAGE((Q544:OFFSET(Q544,$B$7-1,0))))</f>
        <v>#DIV/0!</v>
      </c>
      <c r="U544" s="5" t="e">
        <f ca="1">SQRT($B$9*AVERAGE((Q544:OFFSET(Q544,$B$8-1,0))))</f>
        <v>#DIV/0!</v>
      </c>
      <c r="W544" s="6" t="e">
        <f t="shared" si="47"/>
        <v>#DIV/0!</v>
      </c>
      <c r="X544" s="6" t="e">
        <f ca="1">SQRT($B$9*AVERAGE(W544:OFFSET(W544,$B$5-1,0)))</f>
        <v>#DIV/0!</v>
      </c>
      <c r="Y544" s="6" t="e">
        <f ca="1">SQRT($B$9*AVERAGE(W544:OFFSET(W544,$B$6-1,0)))</f>
        <v>#DIV/0!</v>
      </c>
      <c r="Z544" s="6" t="e">
        <f ca="1">SQRT($B$9*AVERAGE(W544:OFFSET(W544,$B$7-1,0)))</f>
        <v>#DIV/0!</v>
      </c>
      <c r="AA544" s="6" t="e">
        <f ca="1">SQRT($B$9*AVERAGE(W544:OFFSET(W544,$B$8-1,0)))</f>
        <v>#DIV/0!</v>
      </c>
      <c r="AC544" s="34" t="e">
        <f t="shared" si="50"/>
        <v>#DIV/0!</v>
      </c>
      <c r="AD544" s="34" t="e">
        <f ca="1">SQRT($B$9*SUM(AC544:OFFSET(AC544,$B$5-1,0))/($B$5-1))</f>
        <v>#DIV/0!</v>
      </c>
      <c r="AE544" s="34" t="e">
        <f ca="1">SQRT($B$9*SUM(AC544:OFFSET(AC544,$B$6-1,0))/($B$6-1))</f>
        <v>#DIV/0!</v>
      </c>
      <c r="AF544" s="34" t="e">
        <f ca="1">SQRT($B$9*SUM(AC544:OFFSET(AC544,$B$7-1,0))/($B$7-1))</f>
        <v>#DIV/0!</v>
      </c>
      <c r="AG544" s="34" t="e">
        <f ca="1">SQRT($B$9*SUM(AC544:OFFSET(AC544,$B$8-1,0))/($B$8-1))</f>
        <v>#DIV/0!</v>
      </c>
      <c r="AI544" s="1" t="e">
        <f t="shared" si="51"/>
        <v>#DIV/0!</v>
      </c>
      <c r="AJ544" s="4" t="e">
        <f ca="1">SQRT($B$9)*_xlfn.STDEV.S(AI544:OFFSET(AI544,$B$5-1,0))</f>
        <v>#DIV/0!</v>
      </c>
      <c r="AK544" s="4" t="e">
        <f ca="1">SQRT($B$9)*_xlfn.STDEV.S(AI544:OFFSET(AI544,$B$6-1,0))</f>
        <v>#DIV/0!</v>
      </c>
      <c r="AL544" s="4" t="e">
        <f ca="1">SQRT($B$9)*_xlfn.STDEV.S(AI544:OFFSET(AI544,$B$7-1,0))</f>
        <v>#DIV/0!</v>
      </c>
      <c r="AM544" s="4" t="e">
        <f ca="1">SQRT($B$9)*_xlfn.STDEV.S(AI544:OFFSET(AI544,$B$8-1,0))</f>
        <v>#DIV/0!</v>
      </c>
    </row>
    <row r="545" spans="5:39" x14ac:dyDescent="0.2">
      <c r="E545" s="42">
        <v>44662</v>
      </c>
      <c r="F545" s="43"/>
      <c r="G545" s="43"/>
      <c r="H545" s="43"/>
      <c r="I545" s="43"/>
      <c r="K545" s="3" t="e">
        <f t="shared" si="49"/>
        <v>#DIV/0!</v>
      </c>
      <c r="L545" s="3" t="e">
        <f ca="1">SQRT(AVERAGE(K545:OFFSET(K545,$B$5-1,0))*$B$9/(4*LN(2)))</f>
        <v>#DIV/0!</v>
      </c>
      <c r="M545" s="3" t="e">
        <f ca="1">SQRT(AVERAGE(K545:OFFSET(K545,$B$6-1,0))*$B$9/(4*LN(2)))</f>
        <v>#DIV/0!</v>
      </c>
      <c r="N545" s="3" t="e">
        <f ca="1">SQRT(AVERAGE(K545:OFFSET(K545,$B$7-1,0))*$B$9/(4*LN(2)))</f>
        <v>#DIV/0!</v>
      </c>
      <c r="O545" s="3" t="e">
        <f ca="1">SQRT(AVERAGE(K545:OFFSET(K545,$B$8-1,0))*$B$9/(4*LN(2)))</f>
        <v>#DIV/0!</v>
      </c>
      <c r="Q545" s="5" t="e">
        <f t="shared" si="48"/>
        <v>#DIV/0!</v>
      </c>
      <c r="R545" s="5" t="e">
        <f ca="1">SQRT($B$9*AVERAGE((Q545:OFFSET(Q545,$B$5-1,0))))</f>
        <v>#DIV/0!</v>
      </c>
      <c r="S545" s="5" t="e">
        <f ca="1">SQRT($B$9*AVERAGE((Q545:OFFSET(Q545,$B$6-1,0))))</f>
        <v>#DIV/0!</v>
      </c>
      <c r="T545" s="5" t="e">
        <f ca="1">SQRT($B$9*AVERAGE((Q545:OFFSET(Q545,$B$7-1,0))))</f>
        <v>#DIV/0!</v>
      </c>
      <c r="U545" s="5" t="e">
        <f ca="1">SQRT($B$9*AVERAGE((Q545:OFFSET(Q545,$B$8-1,0))))</f>
        <v>#DIV/0!</v>
      </c>
      <c r="W545" s="6" t="e">
        <f t="shared" si="47"/>
        <v>#DIV/0!</v>
      </c>
      <c r="X545" s="6" t="e">
        <f ca="1">SQRT($B$9*AVERAGE(W545:OFFSET(W545,$B$5-1,0)))</f>
        <v>#DIV/0!</v>
      </c>
      <c r="Y545" s="6" t="e">
        <f ca="1">SQRT($B$9*AVERAGE(W545:OFFSET(W545,$B$6-1,0)))</f>
        <v>#DIV/0!</v>
      </c>
      <c r="Z545" s="6" t="e">
        <f ca="1">SQRT($B$9*AVERAGE(W545:OFFSET(W545,$B$7-1,0)))</f>
        <v>#DIV/0!</v>
      </c>
      <c r="AA545" s="6" t="e">
        <f ca="1">SQRT($B$9*AVERAGE(W545:OFFSET(W545,$B$8-1,0)))</f>
        <v>#DIV/0!</v>
      </c>
      <c r="AC545" s="34" t="e">
        <f t="shared" si="50"/>
        <v>#DIV/0!</v>
      </c>
      <c r="AD545" s="34" t="e">
        <f ca="1">SQRT($B$9*SUM(AC545:OFFSET(AC545,$B$5-1,0))/($B$5-1))</f>
        <v>#DIV/0!</v>
      </c>
      <c r="AE545" s="34" t="e">
        <f ca="1">SQRT($B$9*SUM(AC545:OFFSET(AC545,$B$6-1,0))/($B$6-1))</f>
        <v>#DIV/0!</v>
      </c>
      <c r="AF545" s="34" t="e">
        <f ca="1">SQRT($B$9*SUM(AC545:OFFSET(AC545,$B$7-1,0))/($B$7-1))</f>
        <v>#DIV/0!</v>
      </c>
      <c r="AG545" s="34" t="e">
        <f ca="1">SQRT($B$9*SUM(AC545:OFFSET(AC545,$B$8-1,0))/($B$8-1))</f>
        <v>#DIV/0!</v>
      </c>
      <c r="AI545" s="1" t="e">
        <f t="shared" si="51"/>
        <v>#DIV/0!</v>
      </c>
      <c r="AJ545" s="4" t="e">
        <f ca="1">SQRT($B$9)*_xlfn.STDEV.S(AI545:OFFSET(AI545,$B$5-1,0))</f>
        <v>#DIV/0!</v>
      </c>
      <c r="AK545" s="4" t="e">
        <f ca="1">SQRT($B$9)*_xlfn.STDEV.S(AI545:OFFSET(AI545,$B$6-1,0))</f>
        <v>#DIV/0!</v>
      </c>
      <c r="AL545" s="4" t="e">
        <f ca="1">SQRT($B$9)*_xlfn.STDEV.S(AI545:OFFSET(AI545,$B$7-1,0))</f>
        <v>#DIV/0!</v>
      </c>
      <c r="AM545" s="4" t="e">
        <f ca="1">SQRT($B$9)*_xlfn.STDEV.S(AI545:OFFSET(AI545,$B$8-1,0))</f>
        <v>#DIV/0!</v>
      </c>
    </row>
    <row r="546" spans="5:39" x14ac:dyDescent="0.2">
      <c r="E546" s="42">
        <v>44659</v>
      </c>
      <c r="F546" s="43"/>
      <c r="G546" s="43"/>
      <c r="H546" s="43"/>
      <c r="I546" s="43"/>
      <c r="K546" s="3" t="e">
        <f t="shared" si="49"/>
        <v>#DIV/0!</v>
      </c>
      <c r="L546" s="3" t="e">
        <f ca="1">SQRT(AVERAGE(K546:OFFSET(K546,$B$5-1,0))*$B$9/(4*LN(2)))</f>
        <v>#DIV/0!</v>
      </c>
      <c r="M546" s="3" t="e">
        <f ca="1">SQRT(AVERAGE(K546:OFFSET(K546,$B$6-1,0))*$B$9/(4*LN(2)))</f>
        <v>#DIV/0!</v>
      </c>
      <c r="N546" s="3" t="e">
        <f ca="1">SQRT(AVERAGE(K546:OFFSET(K546,$B$7-1,0))*$B$9/(4*LN(2)))</f>
        <v>#DIV/0!</v>
      </c>
      <c r="O546" s="3" t="e">
        <f ca="1">SQRT(AVERAGE(K546:OFFSET(K546,$B$8-1,0))*$B$9/(4*LN(2)))</f>
        <v>#DIV/0!</v>
      </c>
      <c r="Q546" s="5" t="e">
        <f t="shared" si="48"/>
        <v>#DIV/0!</v>
      </c>
      <c r="R546" s="5" t="e">
        <f ca="1">SQRT($B$9*AVERAGE((Q546:OFFSET(Q546,$B$5-1,0))))</f>
        <v>#DIV/0!</v>
      </c>
      <c r="S546" s="5" t="e">
        <f ca="1">SQRT($B$9*AVERAGE((Q546:OFFSET(Q546,$B$6-1,0))))</f>
        <v>#DIV/0!</v>
      </c>
      <c r="T546" s="5" t="e">
        <f ca="1">SQRT($B$9*AVERAGE((Q546:OFFSET(Q546,$B$7-1,0))))</f>
        <v>#DIV/0!</v>
      </c>
      <c r="U546" s="5" t="e">
        <f ca="1">SQRT($B$9*AVERAGE((Q546:OFFSET(Q546,$B$8-1,0))))</f>
        <v>#DIV/0!</v>
      </c>
      <c r="W546" s="6" t="e">
        <f t="shared" si="47"/>
        <v>#DIV/0!</v>
      </c>
      <c r="X546" s="6" t="e">
        <f ca="1">SQRT($B$9*AVERAGE(W546:OFFSET(W546,$B$5-1,0)))</f>
        <v>#DIV/0!</v>
      </c>
      <c r="Y546" s="6" t="e">
        <f ca="1">SQRT($B$9*AVERAGE(W546:OFFSET(W546,$B$6-1,0)))</f>
        <v>#DIV/0!</v>
      </c>
      <c r="Z546" s="6" t="e">
        <f ca="1">SQRT($B$9*AVERAGE(W546:OFFSET(W546,$B$7-1,0)))</f>
        <v>#DIV/0!</v>
      </c>
      <c r="AA546" s="6" t="e">
        <f ca="1">SQRT($B$9*AVERAGE(W546:OFFSET(W546,$B$8-1,0)))</f>
        <v>#DIV/0!</v>
      </c>
      <c r="AC546" s="34" t="e">
        <f t="shared" si="50"/>
        <v>#DIV/0!</v>
      </c>
      <c r="AD546" s="34" t="e">
        <f ca="1">SQRT($B$9*SUM(AC546:OFFSET(AC546,$B$5-1,0))/($B$5-1))</f>
        <v>#DIV/0!</v>
      </c>
      <c r="AE546" s="34" t="e">
        <f ca="1">SQRT($B$9*SUM(AC546:OFFSET(AC546,$B$6-1,0))/($B$6-1))</f>
        <v>#DIV/0!</v>
      </c>
      <c r="AF546" s="34" t="e">
        <f ca="1">SQRT($B$9*SUM(AC546:OFFSET(AC546,$B$7-1,0))/($B$7-1))</f>
        <v>#DIV/0!</v>
      </c>
      <c r="AG546" s="34" t="e">
        <f ca="1">SQRT($B$9*SUM(AC546:OFFSET(AC546,$B$8-1,0))/($B$8-1))</f>
        <v>#DIV/0!</v>
      </c>
      <c r="AI546" s="1" t="e">
        <f t="shared" si="51"/>
        <v>#DIV/0!</v>
      </c>
      <c r="AJ546" s="4" t="e">
        <f ca="1">SQRT($B$9)*_xlfn.STDEV.S(AI546:OFFSET(AI546,$B$5-1,0))</f>
        <v>#DIV/0!</v>
      </c>
      <c r="AK546" s="4" t="e">
        <f ca="1">SQRT($B$9)*_xlfn.STDEV.S(AI546:OFFSET(AI546,$B$6-1,0))</f>
        <v>#DIV/0!</v>
      </c>
      <c r="AL546" s="4" t="e">
        <f ca="1">SQRT($B$9)*_xlfn.STDEV.S(AI546:OFFSET(AI546,$B$7-1,0))</f>
        <v>#DIV/0!</v>
      </c>
      <c r="AM546" s="4" t="e">
        <f ca="1">SQRT($B$9)*_xlfn.STDEV.S(AI546:OFFSET(AI546,$B$8-1,0))</f>
        <v>#DIV/0!</v>
      </c>
    </row>
    <row r="547" spans="5:39" x14ac:dyDescent="0.2">
      <c r="E547" s="42">
        <v>44658</v>
      </c>
      <c r="F547" s="43"/>
      <c r="G547" s="43"/>
      <c r="H547" s="43"/>
      <c r="I547" s="43"/>
      <c r="K547" s="3" t="e">
        <f t="shared" si="49"/>
        <v>#DIV/0!</v>
      </c>
      <c r="L547" s="3" t="e">
        <f ca="1">SQRT(AVERAGE(K547:OFFSET(K547,$B$5-1,0))*$B$9/(4*LN(2)))</f>
        <v>#DIV/0!</v>
      </c>
      <c r="M547" s="3" t="e">
        <f ca="1">SQRT(AVERAGE(K547:OFFSET(K547,$B$6-1,0))*$B$9/(4*LN(2)))</f>
        <v>#DIV/0!</v>
      </c>
      <c r="N547" s="3" t="e">
        <f ca="1">SQRT(AVERAGE(K547:OFFSET(K547,$B$7-1,0))*$B$9/(4*LN(2)))</f>
        <v>#DIV/0!</v>
      </c>
      <c r="O547" s="3" t="e">
        <f ca="1">SQRT(AVERAGE(K547:OFFSET(K547,$B$8-1,0))*$B$9/(4*LN(2)))</f>
        <v>#DIV/0!</v>
      </c>
      <c r="Q547" s="5" t="e">
        <f t="shared" si="48"/>
        <v>#DIV/0!</v>
      </c>
      <c r="R547" s="5" t="e">
        <f ca="1">SQRT($B$9*AVERAGE((Q547:OFFSET(Q547,$B$5-1,0))))</f>
        <v>#DIV/0!</v>
      </c>
      <c r="S547" s="5" t="e">
        <f ca="1">SQRT($B$9*AVERAGE((Q547:OFFSET(Q547,$B$6-1,0))))</f>
        <v>#DIV/0!</v>
      </c>
      <c r="T547" s="5" t="e">
        <f ca="1">SQRT($B$9*AVERAGE((Q547:OFFSET(Q547,$B$7-1,0))))</f>
        <v>#DIV/0!</v>
      </c>
      <c r="U547" s="5" t="e">
        <f ca="1">SQRT($B$9*AVERAGE((Q547:OFFSET(Q547,$B$8-1,0))))</f>
        <v>#DIV/0!</v>
      </c>
      <c r="W547" s="6" t="e">
        <f t="shared" si="47"/>
        <v>#DIV/0!</v>
      </c>
      <c r="X547" s="6" t="e">
        <f ca="1">SQRT($B$9*AVERAGE(W547:OFFSET(W547,$B$5-1,0)))</f>
        <v>#DIV/0!</v>
      </c>
      <c r="Y547" s="6" t="e">
        <f ca="1">SQRT($B$9*AVERAGE(W547:OFFSET(W547,$B$6-1,0)))</f>
        <v>#DIV/0!</v>
      </c>
      <c r="Z547" s="6" t="e">
        <f ca="1">SQRT($B$9*AVERAGE(W547:OFFSET(W547,$B$7-1,0)))</f>
        <v>#DIV/0!</v>
      </c>
      <c r="AA547" s="6" t="e">
        <f ca="1">SQRT($B$9*AVERAGE(W547:OFFSET(W547,$B$8-1,0)))</f>
        <v>#DIV/0!</v>
      </c>
      <c r="AC547" s="34" t="e">
        <f t="shared" si="50"/>
        <v>#DIV/0!</v>
      </c>
      <c r="AD547" s="34" t="e">
        <f ca="1">SQRT($B$9*SUM(AC547:OFFSET(AC547,$B$5-1,0))/($B$5-1))</f>
        <v>#DIV/0!</v>
      </c>
      <c r="AE547" s="34" t="e">
        <f ca="1">SQRT($B$9*SUM(AC547:OFFSET(AC547,$B$6-1,0))/($B$6-1))</f>
        <v>#DIV/0!</v>
      </c>
      <c r="AF547" s="34" t="e">
        <f ca="1">SQRT($B$9*SUM(AC547:OFFSET(AC547,$B$7-1,0))/($B$7-1))</f>
        <v>#DIV/0!</v>
      </c>
      <c r="AG547" s="34" t="e">
        <f ca="1">SQRT($B$9*SUM(AC547:OFFSET(AC547,$B$8-1,0))/($B$8-1))</f>
        <v>#DIV/0!</v>
      </c>
      <c r="AI547" s="1" t="e">
        <f t="shared" si="51"/>
        <v>#DIV/0!</v>
      </c>
      <c r="AJ547" s="4" t="e">
        <f ca="1">SQRT($B$9)*_xlfn.STDEV.S(AI547:OFFSET(AI547,$B$5-1,0))</f>
        <v>#DIV/0!</v>
      </c>
      <c r="AK547" s="4" t="e">
        <f ca="1">SQRT($B$9)*_xlfn.STDEV.S(AI547:OFFSET(AI547,$B$6-1,0))</f>
        <v>#DIV/0!</v>
      </c>
      <c r="AL547" s="4" t="e">
        <f ca="1">SQRT($B$9)*_xlfn.STDEV.S(AI547:OFFSET(AI547,$B$7-1,0))</f>
        <v>#DIV/0!</v>
      </c>
      <c r="AM547" s="4" t="e">
        <f ca="1">SQRT($B$9)*_xlfn.STDEV.S(AI547:OFFSET(AI547,$B$8-1,0))</f>
        <v>#DIV/0!</v>
      </c>
    </row>
    <row r="548" spans="5:39" x14ac:dyDescent="0.2">
      <c r="E548" s="42">
        <v>44657</v>
      </c>
      <c r="F548" s="43"/>
      <c r="G548" s="43"/>
      <c r="H548" s="43"/>
      <c r="I548" s="43"/>
      <c r="K548" s="3" t="e">
        <f t="shared" si="49"/>
        <v>#DIV/0!</v>
      </c>
      <c r="L548" s="3" t="e">
        <f ca="1">SQRT(AVERAGE(K548:OFFSET(K548,$B$5-1,0))*$B$9/(4*LN(2)))</f>
        <v>#DIV/0!</v>
      </c>
      <c r="M548" s="3" t="e">
        <f ca="1">SQRT(AVERAGE(K548:OFFSET(K548,$B$6-1,0))*$B$9/(4*LN(2)))</f>
        <v>#DIV/0!</v>
      </c>
      <c r="N548" s="3" t="e">
        <f ca="1">SQRT(AVERAGE(K548:OFFSET(K548,$B$7-1,0))*$B$9/(4*LN(2)))</f>
        <v>#DIV/0!</v>
      </c>
      <c r="O548" s="3" t="e">
        <f ca="1">SQRT(AVERAGE(K548:OFFSET(K548,$B$8-1,0))*$B$9/(4*LN(2)))</f>
        <v>#DIV/0!</v>
      </c>
      <c r="Q548" s="5" t="e">
        <f t="shared" si="48"/>
        <v>#DIV/0!</v>
      </c>
      <c r="R548" s="5" t="e">
        <f ca="1">SQRT($B$9*AVERAGE((Q548:OFFSET(Q548,$B$5-1,0))))</f>
        <v>#DIV/0!</v>
      </c>
      <c r="S548" s="5" t="e">
        <f ca="1">SQRT($B$9*AVERAGE((Q548:OFFSET(Q548,$B$6-1,0))))</f>
        <v>#DIV/0!</v>
      </c>
      <c r="T548" s="5" t="e">
        <f ca="1">SQRT($B$9*AVERAGE((Q548:OFFSET(Q548,$B$7-1,0))))</f>
        <v>#DIV/0!</v>
      </c>
      <c r="U548" s="5" t="e">
        <f ca="1">SQRT($B$9*AVERAGE((Q548:OFFSET(Q548,$B$8-1,0))))</f>
        <v>#DIV/0!</v>
      </c>
      <c r="W548" s="6" t="e">
        <f t="shared" si="47"/>
        <v>#DIV/0!</v>
      </c>
      <c r="X548" s="6" t="e">
        <f ca="1">SQRT($B$9*AVERAGE(W548:OFFSET(W548,$B$5-1,0)))</f>
        <v>#DIV/0!</v>
      </c>
      <c r="Y548" s="6" t="e">
        <f ca="1">SQRT($B$9*AVERAGE(W548:OFFSET(W548,$B$6-1,0)))</f>
        <v>#DIV/0!</v>
      </c>
      <c r="Z548" s="6" t="e">
        <f ca="1">SQRT($B$9*AVERAGE(W548:OFFSET(W548,$B$7-1,0)))</f>
        <v>#DIV/0!</v>
      </c>
      <c r="AA548" s="6" t="e">
        <f ca="1">SQRT($B$9*AVERAGE(W548:OFFSET(W548,$B$8-1,0)))</f>
        <v>#DIV/0!</v>
      </c>
      <c r="AC548" s="34" t="e">
        <f t="shared" si="50"/>
        <v>#DIV/0!</v>
      </c>
      <c r="AD548" s="34" t="e">
        <f ca="1">SQRT($B$9*SUM(AC548:OFFSET(AC548,$B$5-1,0))/($B$5-1))</f>
        <v>#DIV/0!</v>
      </c>
      <c r="AE548" s="34" t="e">
        <f ca="1">SQRT($B$9*SUM(AC548:OFFSET(AC548,$B$6-1,0))/($B$6-1))</f>
        <v>#DIV/0!</v>
      </c>
      <c r="AF548" s="34" t="e">
        <f ca="1">SQRT($B$9*SUM(AC548:OFFSET(AC548,$B$7-1,0))/($B$7-1))</f>
        <v>#DIV/0!</v>
      </c>
      <c r="AG548" s="34" t="e">
        <f ca="1">SQRT($B$9*SUM(AC548:OFFSET(AC548,$B$8-1,0))/($B$8-1))</f>
        <v>#DIV/0!</v>
      </c>
      <c r="AI548" s="1" t="e">
        <f t="shared" si="51"/>
        <v>#DIV/0!</v>
      </c>
      <c r="AJ548" s="4" t="e">
        <f ca="1">SQRT($B$9)*_xlfn.STDEV.S(AI548:OFFSET(AI548,$B$5-1,0))</f>
        <v>#DIV/0!</v>
      </c>
      <c r="AK548" s="4" t="e">
        <f ca="1">SQRT($B$9)*_xlfn.STDEV.S(AI548:OFFSET(AI548,$B$6-1,0))</f>
        <v>#DIV/0!</v>
      </c>
      <c r="AL548" s="4" t="e">
        <f ca="1">SQRT($B$9)*_xlfn.STDEV.S(AI548:OFFSET(AI548,$B$7-1,0))</f>
        <v>#DIV/0!</v>
      </c>
      <c r="AM548" s="4" t="e">
        <f ca="1">SQRT($B$9)*_xlfn.STDEV.S(AI548:OFFSET(AI548,$B$8-1,0))</f>
        <v>#DIV/0!</v>
      </c>
    </row>
    <row r="549" spans="5:39" x14ac:dyDescent="0.2">
      <c r="E549" s="42">
        <v>44652</v>
      </c>
      <c r="F549" s="43"/>
      <c r="G549" s="43"/>
      <c r="H549" s="43"/>
      <c r="I549" s="43"/>
      <c r="K549" s="3" t="e">
        <f t="shared" si="49"/>
        <v>#DIV/0!</v>
      </c>
      <c r="L549" s="3" t="e">
        <f ca="1">SQRT(AVERAGE(K549:OFFSET(K549,$B$5-1,0))*$B$9/(4*LN(2)))</f>
        <v>#DIV/0!</v>
      </c>
      <c r="M549" s="3" t="e">
        <f ca="1">SQRT(AVERAGE(K549:OFFSET(K549,$B$6-1,0))*$B$9/(4*LN(2)))</f>
        <v>#DIV/0!</v>
      </c>
      <c r="N549" s="3" t="e">
        <f ca="1">SQRT(AVERAGE(K549:OFFSET(K549,$B$7-1,0))*$B$9/(4*LN(2)))</f>
        <v>#DIV/0!</v>
      </c>
      <c r="O549" s="3" t="e">
        <f ca="1">SQRT(AVERAGE(K549:OFFSET(K549,$B$8-1,0))*$B$9/(4*LN(2)))</f>
        <v>#DIV/0!</v>
      </c>
      <c r="Q549" s="5" t="e">
        <f t="shared" si="48"/>
        <v>#DIV/0!</v>
      </c>
      <c r="R549" s="5" t="e">
        <f ca="1">SQRT($B$9*AVERAGE((Q549:OFFSET(Q549,$B$5-1,0))))</f>
        <v>#DIV/0!</v>
      </c>
      <c r="S549" s="5" t="e">
        <f ca="1">SQRT($B$9*AVERAGE((Q549:OFFSET(Q549,$B$6-1,0))))</f>
        <v>#DIV/0!</v>
      </c>
      <c r="T549" s="5" t="e">
        <f ca="1">SQRT($B$9*AVERAGE((Q549:OFFSET(Q549,$B$7-1,0))))</f>
        <v>#DIV/0!</v>
      </c>
      <c r="U549" s="5" t="e">
        <f ca="1">SQRT($B$9*AVERAGE((Q549:OFFSET(Q549,$B$8-1,0))))</f>
        <v>#DIV/0!</v>
      </c>
      <c r="W549" s="6" t="e">
        <f t="shared" si="47"/>
        <v>#DIV/0!</v>
      </c>
      <c r="X549" s="6" t="e">
        <f ca="1">SQRT($B$9*AVERAGE(W549:OFFSET(W549,$B$5-1,0)))</f>
        <v>#DIV/0!</v>
      </c>
      <c r="Y549" s="6" t="e">
        <f ca="1">SQRT($B$9*AVERAGE(W549:OFFSET(W549,$B$6-1,0)))</f>
        <v>#DIV/0!</v>
      </c>
      <c r="Z549" s="6" t="e">
        <f ca="1">SQRT($B$9*AVERAGE(W549:OFFSET(W549,$B$7-1,0)))</f>
        <v>#DIV/0!</v>
      </c>
      <c r="AA549" s="6" t="e">
        <f ca="1">SQRT($B$9*AVERAGE(W549:OFFSET(W549,$B$8-1,0)))</f>
        <v>#DIV/0!</v>
      </c>
      <c r="AC549" s="34" t="e">
        <f t="shared" si="50"/>
        <v>#DIV/0!</v>
      </c>
      <c r="AD549" s="34" t="e">
        <f ca="1">SQRT($B$9*SUM(AC549:OFFSET(AC549,$B$5-1,0))/($B$5-1))</f>
        <v>#DIV/0!</v>
      </c>
      <c r="AE549" s="34" t="e">
        <f ca="1">SQRT($B$9*SUM(AC549:OFFSET(AC549,$B$6-1,0))/($B$6-1))</f>
        <v>#DIV/0!</v>
      </c>
      <c r="AF549" s="34" t="e">
        <f ca="1">SQRT($B$9*SUM(AC549:OFFSET(AC549,$B$7-1,0))/($B$7-1))</f>
        <v>#DIV/0!</v>
      </c>
      <c r="AG549" s="34" t="e">
        <f ca="1">SQRT($B$9*SUM(AC549:OFFSET(AC549,$B$8-1,0))/($B$8-1))</f>
        <v>#DIV/0!</v>
      </c>
      <c r="AI549" s="1" t="e">
        <f t="shared" si="51"/>
        <v>#DIV/0!</v>
      </c>
      <c r="AJ549" s="4" t="e">
        <f ca="1">SQRT($B$9)*_xlfn.STDEV.S(AI549:OFFSET(AI549,$B$5-1,0))</f>
        <v>#DIV/0!</v>
      </c>
      <c r="AK549" s="4" t="e">
        <f ca="1">SQRT($B$9)*_xlfn.STDEV.S(AI549:OFFSET(AI549,$B$6-1,0))</f>
        <v>#DIV/0!</v>
      </c>
      <c r="AL549" s="4" t="e">
        <f ca="1">SQRT($B$9)*_xlfn.STDEV.S(AI549:OFFSET(AI549,$B$7-1,0))</f>
        <v>#DIV/0!</v>
      </c>
      <c r="AM549" s="4" t="e">
        <f ca="1">SQRT($B$9)*_xlfn.STDEV.S(AI549:OFFSET(AI549,$B$8-1,0))</f>
        <v>#DIV/0!</v>
      </c>
    </row>
    <row r="550" spans="5:39" x14ac:dyDescent="0.2">
      <c r="E550" s="42">
        <v>44651</v>
      </c>
      <c r="F550" s="43"/>
      <c r="G550" s="43"/>
      <c r="H550" s="43"/>
      <c r="I550" s="43"/>
      <c r="K550" s="3" t="e">
        <f t="shared" si="49"/>
        <v>#DIV/0!</v>
      </c>
      <c r="L550" s="3" t="e">
        <f ca="1">SQRT(AVERAGE(K550:OFFSET(K550,$B$5-1,0))*$B$9/(4*LN(2)))</f>
        <v>#DIV/0!</v>
      </c>
      <c r="M550" s="3" t="e">
        <f ca="1">SQRT(AVERAGE(K550:OFFSET(K550,$B$6-1,0))*$B$9/(4*LN(2)))</f>
        <v>#DIV/0!</v>
      </c>
      <c r="N550" s="3" t="e">
        <f ca="1">SQRT(AVERAGE(K550:OFFSET(K550,$B$7-1,0))*$B$9/(4*LN(2)))</f>
        <v>#DIV/0!</v>
      </c>
      <c r="O550" s="3" t="e">
        <f ca="1">SQRT(AVERAGE(K550:OFFSET(K550,$B$8-1,0))*$B$9/(4*LN(2)))</f>
        <v>#DIV/0!</v>
      </c>
      <c r="Q550" s="5" t="e">
        <f t="shared" si="48"/>
        <v>#DIV/0!</v>
      </c>
      <c r="R550" s="5" t="e">
        <f ca="1">SQRT($B$9*AVERAGE((Q550:OFFSET(Q550,$B$5-1,0))))</f>
        <v>#DIV/0!</v>
      </c>
      <c r="S550" s="5" t="e">
        <f ca="1">SQRT($B$9*AVERAGE((Q550:OFFSET(Q550,$B$6-1,0))))</f>
        <v>#DIV/0!</v>
      </c>
      <c r="T550" s="5" t="e">
        <f ca="1">SQRT($B$9*AVERAGE((Q550:OFFSET(Q550,$B$7-1,0))))</f>
        <v>#DIV/0!</v>
      </c>
      <c r="U550" s="5" t="e">
        <f ca="1">SQRT($B$9*AVERAGE((Q550:OFFSET(Q550,$B$8-1,0))))</f>
        <v>#DIV/0!</v>
      </c>
      <c r="W550" s="6" t="e">
        <f t="shared" si="47"/>
        <v>#DIV/0!</v>
      </c>
      <c r="X550" s="6" t="e">
        <f ca="1">SQRT($B$9*AVERAGE(W550:OFFSET(W550,$B$5-1,0)))</f>
        <v>#DIV/0!</v>
      </c>
      <c r="Y550" s="6" t="e">
        <f ca="1">SQRT($B$9*AVERAGE(W550:OFFSET(W550,$B$6-1,0)))</f>
        <v>#DIV/0!</v>
      </c>
      <c r="Z550" s="6" t="e">
        <f ca="1">SQRT($B$9*AVERAGE(W550:OFFSET(W550,$B$7-1,0)))</f>
        <v>#DIV/0!</v>
      </c>
      <c r="AA550" s="6" t="e">
        <f ca="1">SQRT($B$9*AVERAGE(W550:OFFSET(W550,$B$8-1,0)))</f>
        <v>#DIV/0!</v>
      </c>
      <c r="AC550" s="34" t="e">
        <f t="shared" si="50"/>
        <v>#DIV/0!</v>
      </c>
      <c r="AD550" s="34" t="e">
        <f ca="1">SQRT($B$9*SUM(AC550:OFFSET(AC550,$B$5-1,0))/($B$5-1))</f>
        <v>#DIV/0!</v>
      </c>
      <c r="AE550" s="34" t="e">
        <f ca="1">SQRT($B$9*SUM(AC550:OFFSET(AC550,$B$6-1,0))/($B$6-1))</f>
        <v>#DIV/0!</v>
      </c>
      <c r="AF550" s="34" t="e">
        <f ca="1">SQRT($B$9*SUM(AC550:OFFSET(AC550,$B$7-1,0))/($B$7-1))</f>
        <v>#DIV/0!</v>
      </c>
      <c r="AG550" s="34" t="e">
        <f ca="1">SQRT($B$9*SUM(AC550:OFFSET(AC550,$B$8-1,0))/($B$8-1))</f>
        <v>#DIV/0!</v>
      </c>
      <c r="AI550" s="1" t="e">
        <f t="shared" si="51"/>
        <v>#DIV/0!</v>
      </c>
      <c r="AJ550" s="4" t="e">
        <f ca="1">SQRT($B$9)*_xlfn.STDEV.S(AI550:OFFSET(AI550,$B$5-1,0))</f>
        <v>#DIV/0!</v>
      </c>
      <c r="AK550" s="4" t="e">
        <f ca="1">SQRT($B$9)*_xlfn.STDEV.S(AI550:OFFSET(AI550,$B$6-1,0))</f>
        <v>#DIV/0!</v>
      </c>
      <c r="AL550" s="4" t="e">
        <f ca="1">SQRT($B$9)*_xlfn.STDEV.S(AI550:OFFSET(AI550,$B$7-1,0))</f>
        <v>#DIV/0!</v>
      </c>
      <c r="AM550" s="4" t="e">
        <f ca="1">SQRT($B$9)*_xlfn.STDEV.S(AI550:OFFSET(AI550,$B$8-1,0))</f>
        <v>#DIV/0!</v>
      </c>
    </row>
    <row r="551" spans="5:39" x14ac:dyDescent="0.2">
      <c r="E551" s="42">
        <v>44650</v>
      </c>
      <c r="F551" s="43"/>
      <c r="G551" s="43"/>
      <c r="H551" s="43"/>
      <c r="I551" s="43"/>
      <c r="K551" s="3" t="e">
        <f t="shared" si="49"/>
        <v>#DIV/0!</v>
      </c>
      <c r="L551" s="3" t="e">
        <f ca="1">SQRT(AVERAGE(K551:OFFSET(K551,$B$5-1,0))*$B$9/(4*LN(2)))</f>
        <v>#DIV/0!</v>
      </c>
      <c r="M551" s="3" t="e">
        <f ca="1">SQRT(AVERAGE(K551:OFFSET(K551,$B$6-1,0))*$B$9/(4*LN(2)))</f>
        <v>#DIV/0!</v>
      </c>
      <c r="N551" s="3" t="e">
        <f ca="1">SQRT(AVERAGE(K551:OFFSET(K551,$B$7-1,0))*$B$9/(4*LN(2)))</f>
        <v>#DIV/0!</v>
      </c>
      <c r="O551" s="3" t="e">
        <f ca="1">SQRT(AVERAGE(K551:OFFSET(K551,$B$8-1,0))*$B$9/(4*LN(2)))</f>
        <v>#DIV/0!</v>
      </c>
      <c r="Q551" s="5" t="e">
        <f t="shared" si="48"/>
        <v>#DIV/0!</v>
      </c>
      <c r="R551" s="5" t="e">
        <f ca="1">SQRT($B$9*AVERAGE((Q551:OFFSET(Q551,$B$5-1,0))))</f>
        <v>#DIV/0!</v>
      </c>
      <c r="S551" s="5" t="e">
        <f ca="1">SQRT($B$9*AVERAGE((Q551:OFFSET(Q551,$B$6-1,0))))</f>
        <v>#DIV/0!</v>
      </c>
      <c r="T551" s="5" t="e">
        <f ca="1">SQRT($B$9*AVERAGE((Q551:OFFSET(Q551,$B$7-1,0))))</f>
        <v>#DIV/0!</v>
      </c>
      <c r="U551" s="5" t="e">
        <f ca="1">SQRT($B$9*AVERAGE((Q551:OFFSET(Q551,$B$8-1,0))))</f>
        <v>#DIV/0!</v>
      </c>
      <c r="W551" s="6" t="e">
        <f t="shared" ref="W551:W614" si="52">LN(G551/I551)*LN(G551/F551)+LN(H551/I551)*LN(H551/F551)</f>
        <v>#DIV/0!</v>
      </c>
      <c r="X551" s="6" t="e">
        <f ca="1">SQRT($B$9*AVERAGE(W551:OFFSET(W551,$B$5-1,0)))</f>
        <v>#DIV/0!</v>
      </c>
      <c r="Y551" s="6" t="e">
        <f ca="1">SQRT($B$9*AVERAGE(W551:OFFSET(W551,$B$6-1,0)))</f>
        <v>#DIV/0!</v>
      </c>
      <c r="Z551" s="6" t="e">
        <f ca="1">SQRT($B$9*AVERAGE(W551:OFFSET(W551,$B$7-1,0)))</f>
        <v>#DIV/0!</v>
      </c>
      <c r="AA551" s="6" t="e">
        <f ca="1">SQRT($B$9*AVERAGE(W551:OFFSET(W551,$B$8-1,0)))</f>
        <v>#DIV/0!</v>
      </c>
      <c r="AC551" s="34" t="e">
        <f t="shared" si="50"/>
        <v>#DIV/0!</v>
      </c>
      <c r="AD551" s="34" t="e">
        <f ca="1">SQRT($B$9*SUM(AC551:OFFSET(AC551,$B$5-1,0))/($B$5-1))</f>
        <v>#DIV/0!</v>
      </c>
      <c r="AE551" s="34" t="e">
        <f ca="1">SQRT($B$9*SUM(AC551:OFFSET(AC551,$B$6-1,0))/($B$6-1))</f>
        <v>#DIV/0!</v>
      </c>
      <c r="AF551" s="34" t="e">
        <f ca="1">SQRT($B$9*SUM(AC551:OFFSET(AC551,$B$7-1,0))/($B$7-1))</f>
        <v>#DIV/0!</v>
      </c>
      <c r="AG551" s="34" t="e">
        <f ca="1">SQRT($B$9*SUM(AC551:OFFSET(AC551,$B$8-1,0))/($B$8-1))</f>
        <v>#DIV/0!</v>
      </c>
      <c r="AI551" s="1" t="e">
        <f t="shared" si="51"/>
        <v>#DIV/0!</v>
      </c>
      <c r="AJ551" s="4" t="e">
        <f ca="1">SQRT($B$9)*_xlfn.STDEV.S(AI551:OFFSET(AI551,$B$5-1,0))</f>
        <v>#DIV/0!</v>
      </c>
      <c r="AK551" s="4" t="e">
        <f ca="1">SQRT($B$9)*_xlfn.STDEV.S(AI551:OFFSET(AI551,$B$6-1,0))</f>
        <v>#DIV/0!</v>
      </c>
      <c r="AL551" s="4" t="e">
        <f ca="1">SQRT($B$9)*_xlfn.STDEV.S(AI551:OFFSET(AI551,$B$7-1,0))</f>
        <v>#DIV/0!</v>
      </c>
      <c r="AM551" s="4" t="e">
        <f ca="1">SQRT($B$9)*_xlfn.STDEV.S(AI551:OFFSET(AI551,$B$8-1,0))</f>
        <v>#DIV/0!</v>
      </c>
    </row>
    <row r="552" spans="5:39" x14ac:dyDescent="0.2">
      <c r="E552" s="42">
        <v>44649</v>
      </c>
      <c r="F552" s="43"/>
      <c r="G552" s="43"/>
      <c r="H552" s="43"/>
      <c r="I552" s="43"/>
      <c r="K552" s="3" t="e">
        <f t="shared" si="49"/>
        <v>#DIV/0!</v>
      </c>
      <c r="L552" s="3" t="e">
        <f ca="1">SQRT(AVERAGE(K552:OFFSET(K552,$B$5-1,0))*$B$9/(4*LN(2)))</f>
        <v>#DIV/0!</v>
      </c>
      <c r="M552" s="3" t="e">
        <f ca="1">SQRT(AVERAGE(K552:OFFSET(K552,$B$6-1,0))*$B$9/(4*LN(2)))</f>
        <v>#DIV/0!</v>
      </c>
      <c r="N552" s="3" t="e">
        <f ca="1">SQRT(AVERAGE(K552:OFFSET(K552,$B$7-1,0))*$B$9/(4*LN(2)))</f>
        <v>#DIV/0!</v>
      </c>
      <c r="O552" s="3" t="e">
        <f ca="1">SQRT(AVERAGE(K552:OFFSET(K552,$B$8-1,0))*$B$9/(4*LN(2)))</f>
        <v>#DIV/0!</v>
      </c>
      <c r="Q552" s="5" t="e">
        <f t="shared" si="48"/>
        <v>#DIV/0!</v>
      </c>
      <c r="R552" s="5" t="e">
        <f ca="1">SQRT($B$9*AVERAGE((Q552:OFFSET(Q552,$B$5-1,0))))</f>
        <v>#DIV/0!</v>
      </c>
      <c r="S552" s="5" t="e">
        <f ca="1">SQRT($B$9*AVERAGE((Q552:OFFSET(Q552,$B$6-1,0))))</f>
        <v>#DIV/0!</v>
      </c>
      <c r="T552" s="5" t="e">
        <f ca="1">SQRT($B$9*AVERAGE((Q552:OFFSET(Q552,$B$7-1,0))))</f>
        <v>#DIV/0!</v>
      </c>
      <c r="U552" s="5" t="e">
        <f ca="1">SQRT($B$9*AVERAGE((Q552:OFFSET(Q552,$B$8-1,0))))</f>
        <v>#DIV/0!</v>
      </c>
      <c r="W552" s="6" t="e">
        <f t="shared" si="52"/>
        <v>#DIV/0!</v>
      </c>
      <c r="X552" s="6" t="e">
        <f ca="1">SQRT($B$9*AVERAGE(W552:OFFSET(W552,$B$5-1,0)))</f>
        <v>#DIV/0!</v>
      </c>
      <c r="Y552" s="6" t="e">
        <f ca="1">SQRT($B$9*AVERAGE(W552:OFFSET(W552,$B$6-1,0)))</f>
        <v>#DIV/0!</v>
      </c>
      <c r="Z552" s="6" t="e">
        <f ca="1">SQRT($B$9*AVERAGE(W552:OFFSET(W552,$B$7-1,0)))</f>
        <v>#DIV/0!</v>
      </c>
      <c r="AA552" s="6" t="e">
        <f ca="1">SQRT($B$9*AVERAGE(W552:OFFSET(W552,$B$8-1,0)))</f>
        <v>#DIV/0!</v>
      </c>
      <c r="AC552" s="34" t="e">
        <f t="shared" si="50"/>
        <v>#DIV/0!</v>
      </c>
      <c r="AD552" s="34" t="e">
        <f ca="1">SQRT($B$9*SUM(AC552:OFFSET(AC552,$B$5-1,0))/($B$5-1))</f>
        <v>#DIV/0!</v>
      </c>
      <c r="AE552" s="34" t="e">
        <f ca="1">SQRT($B$9*SUM(AC552:OFFSET(AC552,$B$6-1,0))/($B$6-1))</f>
        <v>#DIV/0!</v>
      </c>
      <c r="AF552" s="34" t="e">
        <f ca="1">SQRT($B$9*SUM(AC552:OFFSET(AC552,$B$7-1,0))/($B$7-1))</f>
        <v>#DIV/0!</v>
      </c>
      <c r="AG552" s="34" t="e">
        <f ca="1">SQRT($B$9*SUM(AC552:OFFSET(AC552,$B$8-1,0))/($B$8-1))</f>
        <v>#DIV/0!</v>
      </c>
      <c r="AI552" s="1" t="e">
        <f t="shared" si="51"/>
        <v>#DIV/0!</v>
      </c>
      <c r="AJ552" s="4" t="e">
        <f ca="1">SQRT($B$9)*_xlfn.STDEV.S(AI552:OFFSET(AI552,$B$5-1,0))</f>
        <v>#DIV/0!</v>
      </c>
      <c r="AK552" s="4" t="e">
        <f ca="1">SQRT($B$9)*_xlfn.STDEV.S(AI552:OFFSET(AI552,$B$6-1,0))</f>
        <v>#DIV/0!</v>
      </c>
      <c r="AL552" s="4" t="e">
        <f ca="1">SQRT($B$9)*_xlfn.STDEV.S(AI552:OFFSET(AI552,$B$7-1,0))</f>
        <v>#DIV/0!</v>
      </c>
      <c r="AM552" s="4" t="e">
        <f ca="1">SQRT($B$9)*_xlfn.STDEV.S(AI552:OFFSET(AI552,$B$8-1,0))</f>
        <v>#DIV/0!</v>
      </c>
    </row>
    <row r="553" spans="5:39" x14ac:dyDescent="0.2">
      <c r="E553" s="42">
        <v>44648</v>
      </c>
      <c r="F553" s="43"/>
      <c r="G553" s="43"/>
      <c r="H553" s="43"/>
      <c r="I553" s="43"/>
      <c r="K553" s="3" t="e">
        <f t="shared" si="49"/>
        <v>#DIV/0!</v>
      </c>
      <c r="L553" s="3" t="e">
        <f ca="1">SQRT(AVERAGE(K553:OFFSET(K553,$B$5-1,0))*$B$9/(4*LN(2)))</f>
        <v>#DIV/0!</v>
      </c>
      <c r="M553" s="3" t="e">
        <f ca="1">SQRT(AVERAGE(K553:OFFSET(K553,$B$6-1,0))*$B$9/(4*LN(2)))</f>
        <v>#DIV/0!</v>
      </c>
      <c r="N553" s="3" t="e">
        <f ca="1">SQRT(AVERAGE(K553:OFFSET(K553,$B$7-1,0))*$B$9/(4*LN(2)))</f>
        <v>#DIV/0!</v>
      </c>
      <c r="O553" s="3" t="e">
        <f ca="1">SQRT(AVERAGE(K553:OFFSET(K553,$B$8-1,0))*$B$9/(4*LN(2)))</f>
        <v>#DIV/0!</v>
      </c>
      <c r="Q553" s="5" t="e">
        <f t="shared" si="48"/>
        <v>#DIV/0!</v>
      </c>
      <c r="R553" s="5" t="e">
        <f ca="1">SQRT($B$9*AVERAGE((Q553:OFFSET(Q553,$B$5-1,0))))</f>
        <v>#DIV/0!</v>
      </c>
      <c r="S553" s="5" t="e">
        <f ca="1">SQRT($B$9*AVERAGE((Q553:OFFSET(Q553,$B$6-1,0))))</f>
        <v>#DIV/0!</v>
      </c>
      <c r="T553" s="5" t="e">
        <f ca="1">SQRT($B$9*AVERAGE((Q553:OFFSET(Q553,$B$7-1,0))))</f>
        <v>#DIV/0!</v>
      </c>
      <c r="U553" s="5" t="e">
        <f ca="1">SQRT($B$9*AVERAGE((Q553:OFFSET(Q553,$B$8-1,0))))</f>
        <v>#DIV/0!</v>
      </c>
      <c r="W553" s="6" t="e">
        <f t="shared" si="52"/>
        <v>#DIV/0!</v>
      </c>
      <c r="X553" s="6" t="e">
        <f ca="1">SQRT($B$9*AVERAGE(W553:OFFSET(W553,$B$5-1,0)))</f>
        <v>#DIV/0!</v>
      </c>
      <c r="Y553" s="6" t="e">
        <f ca="1">SQRT($B$9*AVERAGE(W553:OFFSET(W553,$B$6-1,0)))</f>
        <v>#DIV/0!</v>
      </c>
      <c r="Z553" s="6" t="e">
        <f ca="1">SQRT($B$9*AVERAGE(W553:OFFSET(W553,$B$7-1,0)))</f>
        <v>#DIV/0!</v>
      </c>
      <c r="AA553" s="6" t="e">
        <f ca="1">SQRT($B$9*AVERAGE(W553:OFFSET(W553,$B$8-1,0)))</f>
        <v>#DIV/0!</v>
      </c>
      <c r="AC553" s="34" t="e">
        <f t="shared" si="50"/>
        <v>#DIV/0!</v>
      </c>
      <c r="AD553" s="34" t="e">
        <f ca="1">SQRT($B$9*SUM(AC553:OFFSET(AC553,$B$5-1,0))/($B$5-1))</f>
        <v>#DIV/0!</v>
      </c>
      <c r="AE553" s="34" t="e">
        <f ca="1">SQRT($B$9*SUM(AC553:OFFSET(AC553,$B$6-1,0))/($B$6-1))</f>
        <v>#DIV/0!</v>
      </c>
      <c r="AF553" s="34" t="e">
        <f ca="1">SQRT($B$9*SUM(AC553:OFFSET(AC553,$B$7-1,0))/($B$7-1))</f>
        <v>#DIV/0!</v>
      </c>
      <c r="AG553" s="34" t="e">
        <f ca="1">SQRT($B$9*SUM(AC553:OFFSET(AC553,$B$8-1,0))/($B$8-1))</f>
        <v>#DIV/0!</v>
      </c>
      <c r="AI553" s="1" t="e">
        <f t="shared" si="51"/>
        <v>#DIV/0!</v>
      </c>
      <c r="AJ553" s="4" t="e">
        <f ca="1">SQRT($B$9)*_xlfn.STDEV.S(AI553:OFFSET(AI553,$B$5-1,0))</f>
        <v>#DIV/0!</v>
      </c>
      <c r="AK553" s="4" t="e">
        <f ca="1">SQRT($B$9)*_xlfn.STDEV.S(AI553:OFFSET(AI553,$B$6-1,0))</f>
        <v>#DIV/0!</v>
      </c>
      <c r="AL553" s="4" t="e">
        <f ca="1">SQRT($B$9)*_xlfn.STDEV.S(AI553:OFFSET(AI553,$B$7-1,0))</f>
        <v>#DIV/0!</v>
      </c>
      <c r="AM553" s="4" t="e">
        <f ca="1">SQRT($B$9)*_xlfn.STDEV.S(AI553:OFFSET(AI553,$B$8-1,0))</f>
        <v>#DIV/0!</v>
      </c>
    </row>
    <row r="554" spans="5:39" x14ac:dyDescent="0.2">
      <c r="E554" s="42">
        <v>44645</v>
      </c>
      <c r="F554" s="43"/>
      <c r="G554" s="43"/>
      <c r="H554" s="43"/>
      <c r="I554" s="43"/>
      <c r="K554" s="3" t="e">
        <f t="shared" si="49"/>
        <v>#DIV/0!</v>
      </c>
      <c r="L554" s="3" t="e">
        <f ca="1">SQRT(AVERAGE(K554:OFFSET(K554,$B$5-1,0))*$B$9/(4*LN(2)))</f>
        <v>#DIV/0!</v>
      </c>
      <c r="M554" s="3" t="e">
        <f ca="1">SQRT(AVERAGE(K554:OFFSET(K554,$B$6-1,0))*$B$9/(4*LN(2)))</f>
        <v>#DIV/0!</v>
      </c>
      <c r="N554" s="3" t="e">
        <f ca="1">SQRT(AVERAGE(K554:OFFSET(K554,$B$7-1,0))*$B$9/(4*LN(2)))</f>
        <v>#DIV/0!</v>
      </c>
      <c r="O554" s="3" t="e">
        <f ca="1">SQRT(AVERAGE(K554:OFFSET(K554,$B$8-1,0))*$B$9/(4*LN(2)))</f>
        <v>#DIV/0!</v>
      </c>
      <c r="Q554" s="5" t="e">
        <f t="shared" si="48"/>
        <v>#DIV/0!</v>
      </c>
      <c r="R554" s="5" t="e">
        <f ca="1">SQRT($B$9*AVERAGE((Q554:OFFSET(Q554,$B$5-1,0))))</f>
        <v>#DIV/0!</v>
      </c>
      <c r="S554" s="5" t="e">
        <f ca="1">SQRT($B$9*AVERAGE((Q554:OFFSET(Q554,$B$6-1,0))))</f>
        <v>#DIV/0!</v>
      </c>
      <c r="T554" s="5" t="e">
        <f ca="1">SQRT($B$9*AVERAGE((Q554:OFFSET(Q554,$B$7-1,0))))</f>
        <v>#DIV/0!</v>
      </c>
      <c r="U554" s="5" t="e">
        <f ca="1">SQRT($B$9*AVERAGE((Q554:OFFSET(Q554,$B$8-1,0))))</f>
        <v>#DIV/0!</v>
      </c>
      <c r="W554" s="6" t="e">
        <f t="shared" si="52"/>
        <v>#DIV/0!</v>
      </c>
      <c r="X554" s="6" t="e">
        <f ca="1">SQRT($B$9*AVERAGE(W554:OFFSET(W554,$B$5-1,0)))</f>
        <v>#DIV/0!</v>
      </c>
      <c r="Y554" s="6" t="e">
        <f ca="1">SQRT($B$9*AVERAGE(W554:OFFSET(W554,$B$6-1,0)))</f>
        <v>#DIV/0!</v>
      </c>
      <c r="Z554" s="6" t="e">
        <f ca="1">SQRT($B$9*AVERAGE(W554:OFFSET(W554,$B$7-1,0)))</f>
        <v>#DIV/0!</v>
      </c>
      <c r="AA554" s="6" t="e">
        <f ca="1">SQRT($B$9*AVERAGE(W554:OFFSET(W554,$B$8-1,0)))</f>
        <v>#DIV/0!</v>
      </c>
      <c r="AC554" s="34" t="e">
        <f t="shared" si="50"/>
        <v>#DIV/0!</v>
      </c>
      <c r="AD554" s="34" t="e">
        <f ca="1">SQRT($B$9*SUM(AC554:OFFSET(AC554,$B$5-1,0))/($B$5-1))</f>
        <v>#DIV/0!</v>
      </c>
      <c r="AE554" s="34" t="e">
        <f ca="1">SQRT($B$9*SUM(AC554:OFFSET(AC554,$B$6-1,0))/($B$6-1))</f>
        <v>#DIV/0!</v>
      </c>
      <c r="AF554" s="34" t="e">
        <f ca="1">SQRT($B$9*SUM(AC554:OFFSET(AC554,$B$7-1,0))/($B$7-1))</f>
        <v>#DIV/0!</v>
      </c>
      <c r="AG554" s="34" t="e">
        <f ca="1">SQRT($B$9*SUM(AC554:OFFSET(AC554,$B$8-1,0))/($B$8-1))</f>
        <v>#DIV/0!</v>
      </c>
      <c r="AI554" s="1" t="e">
        <f t="shared" si="51"/>
        <v>#DIV/0!</v>
      </c>
      <c r="AJ554" s="4" t="e">
        <f ca="1">SQRT($B$9)*_xlfn.STDEV.S(AI554:OFFSET(AI554,$B$5-1,0))</f>
        <v>#DIV/0!</v>
      </c>
      <c r="AK554" s="4" t="e">
        <f ca="1">SQRT($B$9)*_xlfn.STDEV.S(AI554:OFFSET(AI554,$B$6-1,0))</f>
        <v>#DIV/0!</v>
      </c>
      <c r="AL554" s="4" t="e">
        <f ca="1">SQRT($B$9)*_xlfn.STDEV.S(AI554:OFFSET(AI554,$B$7-1,0))</f>
        <v>#DIV/0!</v>
      </c>
      <c r="AM554" s="4" t="e">
        <f ca="1">SQRT($B$9)*_xlfn.STDEV.S(AI554:OFFSET(AI554,$B$8-1,0))</f>
        <v>#DIV/0!</v>
      </c>
    </row>
    <row r="555" spans="5:39" x14ac:dyDescent="0.2">
      <c r="E555" s="42">
        <v>44644</v>
      </c>
      <c r="F555" s="43"/>
      <c r="G555" s="43"/>
      <c r="H555" s="43"/>
      <c r="I555" s="43"/>
      <c r="K555" s="3" t="e">
        <f t="shared" si="49"/>
        <v>#DIV/0!</v>
      </c>
      <c r="L555" s="3" t="e">
        <f ca="1">SQRT(AVERAGE(K555:OFFSET(K555,$B$5-1,0))*$B$9/(4*LN(2)))</f>
        <v>#DIV/0!</v>
      </c>
      <c r="M555" s="3" t="e">
        <f ca="1">SQRT(AVERAGE(K555:OFFSET(K555,$B$6-1,0))*$B$9/(4*LN(2)))</f>
        <v>#DIV/0!</v>
      </c>
      <c r="N555" s="3" t="e">
        <f ca="1">SQRT(AVERAGE(K555:OFFSET(K555,$B$7-1,0))*$B$9/(4*LN(2)))</f>
        <v>#DIV/0!</v>
      </c>
      <c r="O555" s="3" t="e">
        <f ca="1">SQRT(AVERAGE(K555:OFFSET(K555,$B$8-1,0))*$B$9/(4*LN(2)))</f>
        <v>#DIV/0!</v>
      </c>
      <c r="Q555" s="5" t="e">
        <f t="shared" si="48"/>
        <v>#DIV/0!</v>
      </c>
      <c r="R555" s="5" t="e">
        <f ca="1">SQRT($B$9*AVERAGE((Q555:OFFSET(Q555,$B$5-1,0))))</f>
        <v>#DIV/0!</v>
      </c>
      <c r="S555" s="5" t="e">
        <f ca="1">SQRT($B$9*AVERAGE((Q555:OFFSET(Q555,$B$6-1,0))))</f>
        <v>#DIV/0!</v>
      </c>
      <c r="T555" s="5" t="e">
        <f ca="1">SQRT($B$9*AVERAGE((Q555:OFFSET(Q555,$B$7-1,0))))</f>
        <v>#DIV/0!</v>
      </c>
      <c r="U555" s="5" t="e">
        <f ca="1">SQRT($B$9*AVERAGE((Q555:OFFSET(Q555,$B$8-1,0))))</f>
        <v>#DIV/0!</v>
      </c>
      <c r="W555" s="6" t="e">
        <f t="shared" si="52"/>
        <v>#DIV/0!</v>
      </c>
      <c r="X555" s="6" t="e">
        <f ca="1">SQRT($B$9*AVERAGE(W555:OFFSET(W555,$B$5-1,0)))</f>
        <v>#DIV/0!</v>
      </c>
      <c r="Y555" s="6" t="e">
        <f ca="1">SQRT($B$9*AVERAGE(W555:OFFSET(W555,$B$6-1,0)))</f>
        <v>#DIV/0!</v>
      </c>
      <c r="Z555" s="6" t="e">
        <f ca="1">SQRT($B$9*AVERAGE(W555:OFFSET(W555,$B$7-1,0)))</f>
        <v>#DIV/0!</v>
      </c>
      <c r="AA555" s="6" t="e">
        <f ca="1">SQRT($B$9*AVERAGE(W555:OFFSET(W555,$B$8-1,0)))</f>
        <v>#DIV/0!</v>
      </c>
      <c r="AC555" s="34" t="e">
        <f t="shared" si="50"/>
        <v>#DIV/0!</v>
      </c>
      <c r="AD555" s="34" t="e">
        <f ca="1">SQRT($B$9*SUM(AC555:OFFSET(AC555,$B$5-1,0))/($B$5-1))</f>
        <v>#DIV/0!</v>
      </c>
      <c r="AE555" s="34" t="e">
        <f ca="1">SQRT($B$9*SUM(AC555:OFFSET(AC555,$B$6-1,0))/($B$6-1))</f>
        <v>#DIV/0!</v>
      </c>
      <c r="AF555" s="34" t="e">
        <f ca="1">SQRT($B$9*SUM(AC555:OFFSET(AC555,$B$7-1,0))/($B$7-1))</f>
        <v>#DIV/0!</v>
      </c>
      <c r="AG555" s="34" t="e">
        <f ca="1">SQRT($B$9*SUM(AC555:OFFSET(AC555,$B$8-1,0))/($B$8-1))</f>
        <v>#DIV/0!</v>
      </c>
      <c r="AI555" s="1" t="e">
        <f t="shared" si="51"/>
        <v>#DIV/0!</v>
      </c>
      <c r="AJ555" s="4" t="e">
        <f ca="1">SQRT($B$9)*_xlfn.STDEV.S(AI555:OFFSET(AI555,$B$5-1,0))</f>
        <v>#DIV/0!</v>
      </c>
      <c r="AK555" s="4" t="e">
        <f ca="1">SQRT($B$9)*_xlfn.STDEV.S(AI555:OFFSET(AI555,$B$6-1,0))</f>
        <v>#DIV/0!</v>
      </c>
      <c r="AL555" s="4" t="e">
        <f ca="1">SQRT($B$9)*_xlfn.STDEV.S(AI555:OFFSET(AI555,$B$7-1,0))</f>
        <v>#DIV/0!</v>
      </c>
      <c r="AM555" s="4" t="e">
        <f ca="1">SQRT($B$9)*_xlfn.STDEV.S(AI555:OFFSET(AI555,$B$8-1,0))</f>
        <v>#DIV/0!</v>
      </c>
    </row>
    <row r="556" spans="5:39" x14ac:dyDescent="0.2">
      <c r="E556" s="42">
        <v>44643</v>
      </c>
      <c r="F556" s="43"/>
      <c r="G556" s="43"/>
      <c r="H556" s="43"/>
      <c r="I556" s="43"/>
      <c r="K556" s="3" t="e">
        <f t="shared" si="49"/>
        <v>#DIV/0!</v>
      </c>
      <c r="L556" s="3" t="e">
        <f ca="1">SQRT(AVERAGE(K556:OFFSET(K556,$B$5-1,0))*$B$9/(4*LN(2)))</f>
        <v>#DIV/0!</v>
      </c>
      <c r="M556" s="3" t="e">
        <f ca="1">SQRT(AVERAGE(K556:OFFSET(K556,$B$6-1,0))*$B$9/(4*LN(2)))</f>
        <v>#DIV/0!</v>
      </c>
      <c r="N556" s="3" t="e">
        <f ca="1">SQRT(AVERAGE(K556:OFFSET(K556,$B$7-1,0))*$B$9/(4*LN(2)))</f>
        <v>#DIV/0!</v>
      </c>
      <c r="O556" s="3" t="e">
        <f ca="1">SQRT(AVERAGE(K556:OFFSET(K556,$B$8-1,0))*$B$9/(4*LN(2)))</f>
        <v>#DIV/0!</v>
      </c>
      <c r="Q556" s="5" t="e">
        <f t="shared" si="48"/>
        <v>#DIV/0!</v>
      </c>
      <c r="R556" s="5" t="e">
        <f ca="1">SQRT($B$9*AVERAGE((Q556:OFFSET(Q556,$B$5-1,0))))</f>
        <v>#DIV/0!</v>
      </c>
      <c r="S556" s="5" t="e">
        <f ca="1">SQRT($B$9*AVERAGE((Q556:OFFSET(Q556,$B$6-1,0))))</f>
        <v>#DIV/0!</v>
      </c>
      <c r="T556" s="5" t="e">
        <f ca="1">SQRT($B$9*AVERAGE((Q556:OFFSET(Q556,$B$7-1,0))))</f>
        <v>#DIV/0!</v>
      </c>
      <c r="U556" s="5" t="e">
        <f ca="1">SQRT($B$9*AVERAGE((Q556:OFFSET(Q556,$B$8-1,0))))</f>
        <v>#DIV/0!</v>
      </c>
      <c r="W556" s="6" t="e">
        <f t="shared" si="52"/>
        <v>#DIV/0!</v>
      </c>
      <c r="X556" s="6" t="e">
        <f ca="1">SQRT($B$9*AVERAGE(W556:OFFSET(W556,$B$5-1,0)))</f>
        <v>#DIV/0!</v>
      </c>
      <c r="Y556" s="6" t="e">
        <f ca="1">SQRT($B$9*AVERAGE(W556:OFFSET(W556,$B$6-1,0)))</f>
        <v>#DIV/0!</v>
      </c>
      <c r="Z556" s="6" t="e">
        <f ca="1">SQRT($B$9*AVERAGE(W556:OFFSET(W556,$B$7-1,0)))</f>
        <v>#DIV/0!</v>
      </c>
      <c r="AA556" s="6" t="e">
        <f ca="1">SQRT($B$9*AVERAGE(W556:OFFSET(W556,$B$8-1,0)))</f>
        <v>#DIV/0!</v>
      </c>
      <c r="AC556" s="34" t="e">
        <f t="shared" si="50"/>
        <v>#DIV/0!</v>
      </c>
      <c r="AD556" s="34" t="e">
        <f ca="1">SQRT($B$9*SUM(AC556:OFFSET(AC556,$B$5-1,0))/($B$5-1))</f>
        <v>#DIV/0!</v>
      </c>
      <c r="AE556" s="34" t="e">
        <f ca="1">SQRT($B$9*SUM(AC556:OFFSET(AC556,$B$6-1,0))/($B$6-1))</f>
        <v>#DIV/0!</v>
      </c>
      <c r="AF556" s="34" t="e">
        <f ca="1">SQRT($B$9*SUM(AC556:OFFSET(AC556,$B$7-1,0))/($B$7-1))</f>
        <v>#DIV/0!</v>
      </c>
      <c r="AG556" s="34" t="e">
        <f ca="1">SQRT($B$9*SUM(AC556:OFFSET(AC556,$B$8-1,0))/($B$8-1))</f>
        <v>#DIV/0!</v>
      </c>
      <c r="AI556" s="1" t="e">
        <f t="shared" si="51"/>
        <v>#DIV/0!</v>
      </c>
      <c r="AJ556" s="4" t="e">
        <f ca="1">SQRT($B$9)*_xlfn.STDEV.S(AI556:OFFSET(AI556,$B$5-1,0))</f>
        <v>#DIV/0!</v>
      </c>
      <c r="AK556" s="4" t="e">
        <f ca="1">SQRT($B$9)*_xlfn.STDEV.S(AI556:OFFSET(AI556,$B$6-1,0))</f>
        <v>#DIV/0!</v>
      </c>
      <c r="AL556" s="4" t="e">
        <f ca="1">SQRT($B$9)*_xlfn.STDEV.S(AI556:OFFSET(AI556,$B$7-1,0))</f>
        <v>#DIV/0!</v>
      </c>
      <c r="AM556" s="4" t="e">
        <f ca="1">SQRT($B$9)*_xlfn.STDEV.S(AI556:OFFSET(AI556,$B$8-1,0))</f>
        <v>#DIV/0!</v>
      </c>
    </row>
    <row r="557" spans="5:39" x14ac:dyDescent="0.2">
      <c r="E557" s="42">
        <v>44642</v>
      </c>
      <c r="F557" s="43"/>
      <c r="G557" s="43"/>
      <c r="H557" s="43"/>
      <c r="I557" s="43"/>
      <c r="K557" s="3" t="e">
        <f t="shared" si="49"/>
        <v>#DIV/0!</v>
      </c>
      <c r="L557" s="3" t="e">
        <f ca="1">SQRT(AVERAGE(K557:OFFSET(K557,$B$5-1,0))*$B$9/(4*LN(2)))</f>
        <v>#DIV/0!</v>
      </c>
      <c r="M557" s="3" t="e">
        <f ca="1">SQRT(AVERAGE(K557:OFFSET(K557,$B$6-1,0))*$B$9/(4*LN(2)))</f>
        <v>#DIV/0!</v>
      </c>
      <c r="N557" s="3" t="e">
        <f ca="1">SQRT(AVERAGE(K557:OFFSET(K557,$B$7-1,0))*$B$9/(4*LN(2)))</f>
        <v>#DIV/0!</v>
      </c>
      <c r="O557" s="3" t="e">
        <f ca="1">SQRT(AVERAGE(K557:OFFSET(K557,$B$8-1,0))*$B$9/(4*LN(2)))</f>
        <v>#DIV/0!</v>
      </c>
      <c r="Q557" s="5" t="e">
        <f t="shared" si="48"/>
        <v>#DIV/0!</v>
      </c>
      <c r="R557" s="5" t="e">
        <f ca="1">SQRT($B$9*AVERAGE((Q557:OFFSET(Q557,$B$5-1,0))))</f>
        <v>#DIV/0!</v>
      </c>
      <c r="S557" s="5" t="e">
        <f ca="1">SQRT($B$9*AVERAGE((Q557:OFFSET(Q557,$B$6-1,0))))</f>
        <v>#DIV/0!</v>
      </c>
      <c r="T557" s="5" t="e">
        <f ca="1">SQRT($B$9*AVERAGE((Q557:OFFSET(Q557,$B$7-1,0))))</f>
        <v>#DIV/0!</v>
      </c>
      <c r="U557" s="5" t="e">
        <f ca="1">SQRT($B$9*AVERAGE((Q557:OFFSET(Q557,$B$8-1,0))))</f>
        <v>#DIV/0!</v>
      </c>
      <c r="W557" s="6" t="e">
        <f t="shared" si="52"/>
        <v>#DIV/0!</v>
      </c>
      <c r="X557" s="6" t="e">
        <f ca="1">SQRT($B$9*AVERAGE(W557:OFFSET(W557,$B$5-1,0)))</f>
        <v>#DIV/0!</v>
      </c>
      <c r="Y557" s="6" t="e">
        <f ca="1">SQRT($B$9*AVERAGE(W557:OFFSET(W557,$B$6-1,0)))</f>
        <v>#DIV/0!</v>
      </c>
      <c r="Z557" s="6" t="e">
        <f ca="1">SQRT($B$9*AVERAGE(W557:OFFSET(W557,$B$7-1,0)))</f>
        <v>#DIV/0!</v>
      </c>
      <c r="AA557" s="6" t="e">
        <f ca="1">SQRT($B$9*AVERAGE(W557:OFFSET(W557,$B$8-1,0)))</f>
        <v>#DIV/0!</v>
      </c>
      <c r="AC557" s="34" t="e">
        <f t="shared" si="50"/>
        <v>#DIV/0!</v>
      </c>
      <c r="AD557" s="34" t="e">
        <f ca="1">SQRT($B$9*SUM(AC557:OFFSET(AC557,$B$5-1,0))/($B$5-1))</f>
        <v>#DIV/0!</v>
      </c>
      <c r="AE557" s="34" t="e">
        <f ca="1">SQRT($B$9*SUM(AC557:OFFSET(AC557,$B$6-1,0))/($B$6-1))</f>
        <v>#DIV/0!</v>
      </c>
      <c r="AF557" s="34" t="e">
        <f ca="1">SQRT($B$9*SUM(AC557:OFFSET(AC557,$B$7-1,0))/($B$7-1))</f>
        <v>#DIV/0!</v>
      </c>
      <c r="AG557" s="34" t="e">
        <f ca="1">SQRT($B$9*SUM(AC557:OFFSET(AC557,$B$8-1,0))/($B$8-1))</f>
        <v>#DIV/0!</v>
      </c>
      <c r="AI557" s="1" t="e">
        <f t="shared" si="51"/>
        <v>#DIV/0!</v>
      </c>
      <c r="AJ557" s="4" t="e">
        <f ca="1">SQRT($B$9)*_xlfn.STDEV.S(AI557:OFFSET(AI557,$B$5-1,0))</f>
        <v>#DIV/0!</v>
      </c>
      <c r="AK557" s="4" t="e">
        <f ca="1">SQRT($B$9)*_xlfn.STDEV.S(AI557:OFFSET(AI557,$B$6-1,0))</f>
        <v>#DIV/0!</v>
      </c>
      <c r="AL557" s="4" t="e">
        <f ca="1">SQRT($B$9)*_xlfn.STDEV.S(AI557:OFFSET(AI557,$B$7-1,0))</f>
        <v>#DIV/0!</v>
      </c>
      <c r="AM557" s="4" t="e">
        <f ca="1">SQRT($B$9)*_xlfn.STDEV.S(AI557:OFFSET(AI557,$B$8-1,0))</f>
        <v>#DIV/0!</v>
      </c>
    </row>
    <row r="558" spans="5:39" x14ac:dyDescent="0.2">
      <c r="E558" s="42">
        <v>44641</v>
      </c>
      <c r="F558" s="43"/>
      <c r="G558" s="43"/>
      <c r="H558" s="43"/>
      <c r="I558" s="43"/>
      <c r="K558" s="3" t="e">
        <f t="shared" si="49"/>
        <v>#DIV/0!</v>
      </c>
      <c r="L558" s="3" t="e">
        <f ca="1">SQRT(AVERAGE(K558:OFFSET(K558,$B$5-1,0))*$B$9/(4*LN(2)))</f>
        <v>#DIV/0!</v>
      </c>
      <c r="M558" s="3" t="e">
        <f ca="1">SQRT(AVERAGE(K558:OFFSET(K558,$B$6-1,0))*$B$9/(4*LN(2)))</f>
        <v>#DIV/0!</v>
      </c>
      <c r="N558" s="3" t="e">
        <f ca="1">SQRT(AVERAGE(K558:OFFSET(K558,$B$7-1,0))*$B$9/(4*LN(2)))</f>
        <v>#DIV/0!</v>
      </c>
      <c r="O558" s="3" t="e">
        <f ca="1">SQRT(AVERAGE(K558:OFFSET(K558,$B$8-1,0))*$B$9/(4*LN(2)))</f>
        <v>#DIV/0!</v>
      </c>
      <c r="Q558" s="5" t="e">
        <f t="shared" si="48"/>
        <v>#DIV/0!</v>
      </c>
      <c r="R558" s="5" t="e">
        <f ca="1">SQRT($B$9*AVERAGE((Q558:OFFSET(Q558,$B$5-1,0))))</f>
        <v>#DIV/0!</v>
      </c>
      <c r="S558" s="5" t="e">
        <f ca="1">SQRT($B$9*AVERAGE((Q558:OFFSET(Q558,$B$6-1,0))))</f>
        <v>#DIV/0!</v>
      </c>
      <c r="T558" s="5" t="e">
        <f ca="1">SQRT($B$9*AVERAGE((Q558:OFFSET(Q558,$B$7-1,0))))</f>
        <v>#DIV/0!</v>
      </c>
      <c r="U558" s="5" t="e">
        <f ca="1">SQRT($B$9*AVERAGE((Q558:OFFSET(Q558,$B$8-1,0))))</f>
        <v>#DIV/0!</v>
      </c>
      <c r="W558" s="6" t="e">
        <f t="shared" si="52"/>
        <v>#DIV/0!</v>
      </c>
      <c r="X558" s="6" t="e">
        <f ca="1">SQRT($B$9*AVERAGE(W558:OFFSET(W558,$B$5-1,0)))</f>
        <v>#DIV/0!</v>
      </c>
      <c r="Y558" s="6" t="e">
        <f ca="1">SQRT($B$9*AVERAGE(W558:OFFSET(W558,$B$6-1,0)))</f>
        <v>#DIV/0!</v>
      </c>
      <c r="Z558" s="6" t="e">
        <f ca="1">SQRT($B$9*AVERAGE(W558:OFFSET(W558,$B$7-1,0)))</f>
        <v>#DIV/0!</v>
      </c>
      <c r="AA558" s="6" t="e">
        <f ca="1">SQRT($B$9*AVERAGE(W558:OFFSET(W558,$B$8-1,0)))</f>
        <v>#DIV/0!</v>
      </c>
      <c r="AC558" s="34" t="e">
        <f t="shared" si="50"/>
        <v>#DIV/0!</v>
      </c>
      <c r="AD558" s="34" t="e">
        <f ca="1">SQRT($B$9*SUM(AC558:OFFSET(AC558,$B$5-1,0))/($B$5-1))</f>
        <v>#DIV/0!</v>
      </c>
      <c r="AE558" s="34" t="e">
        <f ca="1">SQRT($B$9*SUM(AC558:OFFSET(AC558,$B$6-1,0))/($B$6-1))</f>
        <v>#DIV/0!</v>
      </c>
      <c r="AF558" s="34" t="e">
        <f ca="1">SQRT($B$9*SUM(AC558:OFFSET(AC558,$B$7-1,0))/($B$7-1))</f>
        <v>#DIV/0!</v>
      </c>
      <c r="AG558" s="34" t="e">
        <f ca="1">SQRT($B$9*SUM(AC558:OFFSET(AC558,$B$8-1,0))/($B$8-1))</f>
        <v>#DIV/0!</v>
      </c>
      <c r="AI558" s="1" t="e">
        <f t="shared" si="51"/>
        <v>#DIV/0!</v>
      </c>
      <c r="AJ558" s="4" t="e">
        <f ca="1">SQRT($B$9)*_xlfn.STDEV.S(AI558:OFFSET(AI558,$B$5-1,0))</f>
        <v>#DIV/0!</v>
      </c>
      <c r="AK558" s="4" t="e">
        <f ca="1">SQRT($B$9)*_xlfn.STDEV.S(AI558:OFFSET(AI558,$B$6-1,0))</f>
        <v>#DIV/0!</v>
      </c>
      <c r="AL558" s="4" t="e">
        <f ca="1">SQRT($B$9)*_xlfn.STDEV.S(AI558:OFFSET(AI558,$B$7-1,0))</f>
        <v>#DIV/0!</v>
      </c>
      <c r="AM558" s="4" t="e">
        <f ca="1">SQRT($B$9)*_xlfn.STDEV.S(AI558:OFFSET(AI558,$B$8-1,0))</f>
        <v>#DIV/0!</v>
      </c>
    </row>
    <row r="559" spans="5:39" x14ac:dyDescent="0.2">
      <c r="E559" s="42">
        <v>44638</v>
      </c>
      <c r="F559" s="43"/>
      <c r="G559" s="43"/>
      <c r="H559" s="43"/>
      <c r="I559" s="43"/>
      <c r="K559" s="3" t="e">
        <f t="shared" si="49"/>
        <v>#DIV/0!</v>
      </c>
      <c r="L559" s="3" t="e">
        <f ca="1">SQRT(AVERAGE(K559:OFFSET(K559,$B$5-1,0))*$B$9/(4*LN(2)))</f>
        <v>#DIV/0!</v>
      </c>
      <c r="M559" s="3" t="e">
        <f ca="1">SQRT(AVERAGE(K559:OFFSET(K559,$B$6-1,0))*$B$9/(4*LN(2)))</f>
        <v>#DIV/0!</v>
      </c>
      <c r="N559" s="3" t="e">
        <f ca="1">SQRT(AVERAGE(K559:OFFSET(K559,$B$7-1,0))*$B$9/(4*LN(2)))</f>
        <v>#DIV/0!</v>
      </c>
      <c r="O559" s="3" t="e">
        <f ca="1">SQRT(AVERAGE(K559:OFFSET(K559,$B$8-1,0))*$B$9/(4*LN(2)))</f>
        <v>#DIV/0!</v>
      </c>
      <c r="Q559" s="5" t="e">
        <f t="shared" si="48"/>
        <v>#DIV/0!</v>
      </c>
      <c r="R559" s="5" t="e">
        <f ca="1">SQRT($B$9*AVERAGE((Q559:OFFSET(Q559,$B$5-1,0))))</f>
        <v>#DIV/0!</v>
      </c>
      <c r="S559" s="5" t="e">
        <f ca="1">SQRT($B$9*AVERAGE((Q559:OFFSET(Q559,$B$6-1,0))))</f>
        <v>#DIV/0!</v>
      </c>
      <c r="T559" s="5" t="e">
        <f ca="1">SQRT($B$9*AVERAGE((Q559:OFFSET(Q559,$B$7-1,0))))</f>
        <v>#DIV/0!</v>
      </c>
      <c r="U559" s="5" t="e">
        <f ca="1">SQRT($B$9*AVERAGE((Q559:OFFSET(Q559,$B$8-1,0))))</f>
        <v>#DIV/0!</v>
      </c>
      <c r="W559" s="6" t="e">
        <f t="shared" si="52"/>
        <v>#DIV/0!</v>
      </c>
      <c r="X559" s="6" t="e">
        <f ca="1">SQRT($B$9*AVERAGE(W559:OFFSET(W559,$B$5-1,0)))</f>
        <v>#DIV/0!</v>
      </c>
      <c r="Y559" s="6" t="e">
        <f ca="1">SQRT($B$9*AVERAGE(W559:OFFSET(W559,$B$6-1,0)))</f>
        <v>#DIV/0!</v>
      </c>
      <c r="Z559" s="6" t="e">
        <f ca="1">SQRT($B$9*AVERAGE(W559:OFFSET(W559,$B$7-1,0)))</f>
        <v>#DIV/0!</v>
      </c>
      <c r="AA559" s="6" t="e">
        <f ca="1">SQRT($B$9*AVERAGE(W559:OFFSET(W559,$B$8-1,0)))</f>
        <v>#DIV/0!</v>
      </c>
      <c r="AC559" s="34" t="e">
        <f t="shared" si="50"/>
        <v>#DIV/0!</v>
      </c>
      <c r="AD559" s="34" t="e">
        <f ca="1">SQRT($B$9*SUM(AC559:OFFSET(AC559,$B$5-1,0))/($B$5-1))</f>
        <v>#DIV/0!</v>
      </c>
      <c r="AE559" s="34" t="e">
        <f ca="1">SQRT($B$9*SUM(AC559:OFFSET(AC559,$B$6-1,0))/($B$6-1))</f>
        <v>#DIV/0!</v>
      </c>
      <c r="AF559" s="34" t="e">
        <f ca="1">SQRT($B$9*SUM(AC559:OFFSET(AC559,$B$7-1,0))/($B$7-1))</f>
        <v>#DIV/0!</v>
      </c>
      <c r="AG559" s="34" t="e">
        <f ca="1">SQRT($B$9*SUM(AC559:OFFSET(AC559,$B$8-1,0))/($B$8-1))</f>
        <v>#DIV/0!</v>
      </c>
      <c r="AI559" s="1" t="e">
        <f t="shared" si="51"/>
        <v>#DIV/0!</v>
      </c>
      <c r="AJ559" s="4" t="e">
        <f ca="1">SQRT($B$9)*_xlfn.STDEV.S(AI559:OFFSET(AI559,$B$5-1,0))</f>
        <v>#DIV/0!</v>
      </c>
      <c r="AK559" s="4" t="e">
        <f ca="1">SQRT($B$9)*_xlfn.STDEV.S(AI559:OFFSET(AI559,$B$6-1,0))</f>
        <v>#DIV/0!</v>
      </c>
      <c r="AL559" s="4" t="e">
        <f ca="1">SQRT($B$9)*_xlfn.STDEV.S(AI559:OFFSET(AI559,$B$7-1,0))</f>
        <v>#DIV/0!</v>
      </c>
      <c r="AM559" s="4" t="e">
        <f ca="1">SQRT($B$9)*_xlfn.STDEV.S(AI559:OFFSET(AI559,$B$8-1,0))</f>
        <v>#DIV/0!</v>
      </c>
    </row>
    <row r="560" spans="5:39" x14ac:dyDescent="0.2">
      <c r="E560" s="42">
        <v>44637</v>
      </c>
      <c r="F560" s="43"/>
      <c r="G560" s="43"/>
      <c r="H560" s="43"/>
      <c r="I560" s="43"/>
      <c r="K560" s="3" t="e">
        <f t="shared" si="49"/>
        <v>#DIV/0!</v>
      </c>
      <c r="L560" s="3" t="e">
        <f ca="1">SQRT(AVERAGE(K560:OFFSET(K560,$B$5-1,0))*$B$9/(4*LN(2)))</f>
        <v>#DIV/0!</v>
      </c>
      <c r="M560" s="3" t="e">
        <f ca="1">SQRT(AVERAGE(K560:OFFSET(K560,$B$6-1,0))*$B$9/(4*LN(2)))</f>
        <v>#DIV/0!</v>
      </c>
      <c r="N560" s="3" t="e">
        <f ca="1">SQRT(AVERAGE(K560:OFFSET(K560,$B$7-1,0))*$B$9/(4*LN(2)))</f>
        <v>#DIV/0!</v>
      </c>
      <c r="O560" s="3" t="e">
        <f ca="1">SQRT(AVERAGE(K560:OFFSET(K560,$B$8-1,0))*$B$9/(4*LN(2)))</f>
        <v>#DIV/0!</v>
      </c>
      <c r="Q560" s="5" t="e">
        <f t="shared" si="48"/>
        <v>#DIV/0!</v>
      </c>
      <c r="R560" s="5" t="e">
        <f ca="1">SQRT($B$9*AVERAGE((Q560:OFFSET(Q560,$B$5-1,0))))</f>
        <v>#DIV/0!</v>
      </c>
      <c r="S560" s="5" t="e">
        <f ca="1">SQRT($B$9*AVERAGE((Q560:OFFSET(Q560,$B$6-1,0))))</f>
        <v>#DIV/0!</v>
      </c>
      <c r="T560" s="5" t="e">
        <f ca="1">SQRT($B$9*AVERAGE((Q560:OFFSET(Q560,$B$7-1,0))))</f>
        <v>#DIV/0!</v>
      </c>
      <c r="U560" s="5" t="e">
        <f ca="1">SQRT($B$9*AVERAGE((Q560:OFFSET(Q560,$B$8-1,0))))</f>
        <v>#DIV/0!</v>
      </c>
      <c r="W560" s="6" t="e">
        <f t="shared" si="52"/>
        <v>#DIV/0!</v>
      </c>
      <c r="X560" s="6" t="e">
        <f ca="1">SQRT($B$9*AVERAGE(W560:OFFSET(W560,$B$5-1,0)))</f>
        <v>#DIV/0!</v>
      </c>
      <c r="Y560" s="6" t="e">
        <f ca="1">SQRT($B$9*AVERAGE(W560:OFFSET(W560,$B$6-1,0)))</f>
        <v>#DIV/0!</v>
      </c>
      <c r="Z560" s="6" t="e">
        <f ca="1">SQRT($B$9*AVERAGE(W560:OFFSET(W560,$B$7-1,0)))</f>
        <v>#DIV/0!</v>
      </c>
      <c r="AA560" s="6" t="e">
        <f ca="1">SQRT($B$9*AVERAGE(W560:OFFSET(W560,$B$8-1,0)))</f>
        <v>#DIV/0!</v>
      </c>
      <c r="AC560" s="34" t="e">
        <f t="shared" si="50"/>
        <v>#DIV/0!</v>
      </c>
      <c r="AD560" s="34" t="e">
        <f ca="1">SQRT($B$9*SUM(AC560:OFFSET(AC560,$B$5-1,0))/($B$5-1))</f>
        <v>#DIV/0!</v>
      </c>
      <c r="AE560" s="34" t="e">
        <f ca="1">SQRT($B$9*SUM(AC560:OFFSET(AC560,$B$6-1,0))/($B$6-1))</f>
        <v>#DIV/0!</v>
      </c>
      <c r="AF560" s="34" t="e">
        <f ca="1">SQRT($B$9*SUM(AC560:OFFSET(AC560,$B$7-1,0))/($B$7-1))</f>
        <v>#DIV/0!</v>
      </c>
      <c r="AG560" s="34" t="e">
        <f ca="1">SQRT($B$9*SUM(AC560:OFFSET(AC560,$B$8-1,0))/($B$8-1))</f>
        <v>#DIV/0!</v>
      </c>
      <c r="AI560" s="1" t="e">
        <f t="shared" si="51"/>
        <v>#DIV/0!</v>
      </c>
      <c r="AJ560" s="4" t="e">
        <f ca="1">SQRT($B$9)*_xlfn.STDEV.S(AI560:OFFSET(AI560,$B$5-1,0))</f>
        <v>#DIV/0!</v>
      </c>
      <c r="AK560" s="4" t="e">
        <f ca="1">SQRT($B$9)*_xlfn.STDEV.S(AI560:OFFSET(AI560,$B$6-1,0))</f>
        <v>#DIV/0!</v>
      </c>
      <c r="AL560" s="4" t="e">
        <f ca="1">SQRT($B$9)*_xlfn.STDEV.S(AI560:OFFSET(AI560,$B$7-1,0))</f>
        <v>#DIV/0!</v>
      </c>
      <c r="AM560" s="4" t="e">
        <f ca="1">SQRT($B$9)*_xlfn.STDEV.S(AI560:OFFSET(AI560,$B$8-1,0))</f>
        <v>#DIV/0!</v>
      </c>
    </row>
    <row r="561" spans="5:39" x14ac:dyDescent="0.2">
      <c r="E561" s="42">
        <v>44636</v>
      </c>
      <c r="F561" s="43"/>
      <c r="G561" s="43"/>
      <c r="H561" s="43"/>
      <c r="I561" s="43"/>
      <c r="K561" s="3" t="e">
        <f t="shared" si="49"/>
        <v>#DIV/0!</v>
      </c>
      <c r="L561" s="3" t="e">
        <f ca="1">SQRT(AVERAGE(K561:OFFSET(K561,$B$5-1,0))*$B$9/(4*LN(2)))</f>
        <v>#DIV/0!</v>
      </c>
      <c r="M561" s="3" t="e">
        <f ca="1">SQRT(AVERAGE(K561:OFFSET(K561,$B$6-1,0))*$B$9/(4*LN(2)))</f>
        <v>#DIV/0!</v>
      </c>
      <c r="N561" s="3" t="e">
        <f ca="1">SQRT(AVERAGE(K561:OFFSET(K561,$B$7-1,0))*$B$9/(4*LN(2)))</f>
        <v>#DIV/0!</v>
      </c>
      <c r="O561" s="3" t="e">
        <f ca="1">SQRT(AVERAGE(K561:OFFSET(K561,$B$8-1,0))*$B$9/(4*LN(2)))</f>
        <v>#DIV/0!</v>
      </c>
      <c r="Q561" s="5" t="e">
        <f t="shared" si="48"/>
        <v>#DIV/0!</v>
      </c>
      <c r="R561" s="5" t="e">
        <f ca="1">SQRT($B$9*AVERAGE((Q561:OFFSET(Q561,$B$5-1,0))))</f>
        <v>#DIV/0!</v>
      </c>
      <c r="S561" s="5" t="e">
        <f ca="1">SQRT($B$9*AVERAGE((Q561:OFFSET(Q561,$B$6-1,0))))</f>
        <v>#DIV/0!</v>
      </c>
      <c r="T561" s="5" t="e">
        <f ca="1">SQRT($B$9*AVERAGE((Q561:OFFSET(Q561,$B$7-1,0))))</f>
        <v>#DIV/0!</v>
      </c>
      <c r="U561" s="5" t="e">
        <f ca="1">SQRT($B$9*AVERAGE((Q561:OFFSET(Q561,$B$8-1,0))))</f>
        <v>#DIV/0!</v>
      </c>
      <c r="W561" s="6" t="e">
        <f t="shared" si="52"/>
        <v>#DIV/0!</v>
      </c>
      <c r="X561" s="6" t="e">
        <f ca="1">SQRT($B$9*AVERAGE(W561:OFFSET(W561,$B$5-1,0)))</f>
        <v>#DIV/0!</v>
      </c>
      <c r="Y561" s="6" t="e">
        <f ca="1">SQRT($B$9*AVERAGE(W561:OFFSET(W561,$B$6-1,0)))</f>
        <v>#DIV/0!</v>
      </c>
      <c r="Z561" s="6" t="e">
        <f ca="1">SQRT($B$9*AVERAGE(W561:OFFSET(W561,$B$7-1,0)))</f>
        <v>#DIV/0!</v>
      </c>
      <c r="AA561" s="6" t="e">
        <f ca="1">SQRT($B$9*AVERAGE(W561:OFFSET(W561,$B$8-1,0)))</f>
        <v>#DIV/0!</v>
      </c>
      <c r="AC561" s="34" t="e">
        <f t="shared" si="50"/>
        <v>#DIV/0!</v>
      </c>
      <c r="AD561" s="34" t="e">
        <f ca="1">SQRT($B$9*SUM(AC561:OFFSET(AC561,$B$5-1,0))/($B$5-1))</f>
        <v>#DIV/0!</v>
      </c>
      <c r="AE561" s="34" t="e">
        <f ca="1">SQRT($B$9*SUM(AC561:OFFSET(AC561,$B$6-1,0))/($B$6-1))</f>
        <v>#DIV/0!</v>
      </c>
      <c r="AF561" s="34" t="e">
        <f ca="1">SQRT($B$9*SUM(AC561:OFFSET(AC561,$B$7-1,0))/($B$7-1))</f>
        <v>#DIV/0!</v>
      </c>
      <c r="AG561" s="34" t="e">
        <f ca="1">SQRT($B$9*SUM(AC561:OFFSET(AC561,$B$8-1,0))/($B$8-1))</f>
        <v>#DIV/0!</v>
      </c>
      <c r="AI561" s="1" t="e">
        <f t="shared" si="51"/>
        <v>#DIV/0!</v>
      </c>
      <c r="AJ561" s="4" t="e">
        <f ca="1">SQRT($B$9)*_xlfn.STDEV.S(AI561:OFFSET(AI561,$B$5-1,0))</f>
        <v>#DIV/0!</v>
      </c>
      <c r="AK561" s="4" t="e">
        <f ca="1">SQRT($B$9)*_xlfn.STDEV.S(AI561:OFFSET(AI561,$B$6-1,0))</f>
        <v>#DIV/0!</v>
      </c>
      <c r="AL561" s="4" t="e">
        <f ca="1">SQRT($B$9)*_xlfn.STDEV.S(AI561:OFFSET(AI561,$B$7-1,0))</f>
        <v>#DIV/0!</v>
      </c>
      <c r="AM561" s="4" t="e">
        <f ca="1">SQRT($B$9)*_xlfn.STDEV.S(AI561:OFFSET(AI561,$B$8-1,0))</f>
        <v>#DIV/0!</v>
      </c>
    </row>
    <row r="562" spans="5:39" x14ac:dyDescent="0.2">
      <c r="E562" s="42">
        <v>44635</v>
      </c>
      <c r="F562" s="43"/>
      <c r="G562" s="43"/>
      <c r="H562" s="43"/>
      <c r="I562" s="43"/>
      <c r="K562" s="3" t="e">
        <f t="shared" si="49"/>
        <v>#DIV/0!</v>
      </c>
      <c r="L562" s="3" t="e">
        <f ca="1">SQRT(AVERAGE(K562:OFFSET(K562,$B$5-1,0))*$B$9/(4*LN(2)))</f>
        <v>#DIV/0!</v>
      </c>
      <c r="M562" s="3" t="e">
        <f ca="1">SQRT(AVERAGE(K562:OFFSET(K562,$B$6-1,0))*$B$9/(4*LN(2)))</f>
        <v>#DIV/0!</v>
      </c>
      <c r="N562" s="3" t="e">
        <f ca="1">SQRT(AVERAGE(K562:OFFSET(K562,$B$7-1,0))*$B$9/(4*LN(2)))</f>
        <v>#DIV/0!</v>
      </c>
      <c r="O562" s="3" t="e">
        <f ca="1">SQRT(AVERAGE(K562:OFFSET(K562,$B$8-1,0))*$B$9/(4*LN(2)))</f>
        <v>#DIV/0!</v>
      </c>
      <c r="Q562" s="5" t="e">
        <f t="shared" si="48"/>
        <v>#DIV/0!</v>
      </c>
      <c r="R562" s="5" t="e">
        <f ca="1">SQRT($B$9*AVERAGE((Q562:OFFSET(Q562,$B$5-1,0))))</f>
        <v>#DIV/0!</v>
      </c>
      <c r="S562" s="5" t="e">
        <f ca="1">SQRT($B$9*AVERAGE((Q562:OFFSET(Q562,$B$6-1,0))))</f>
        <v>#DIV/0!</v>
      </c>
      <c r="T562" s="5" t="e">
        <f ca="1">SQRT($B$9*AVERAGE((Q562:OFFSET(Q562,$B$7-1,0))))</f>
        <v>#DIV/0!</v>
      </c>
      <c r="U562" s="5" t="e">
        <f ca="1">SQRT($B$9*AVERAGE((Q562:OFFSET(Q562,$B$8-1,0))))</f>
        <v>#DIV/0!</v>
      </c>
      <c r="W562" s="6" t="e">
        <f t="shared" si="52"/>
        <v>#DIV/0!</v>
      </c>
      <c r="X562" s="6" t="e">
        <f ca="1">SQRT($B$9*AVERAGE(W562:OFFSET(W562,$B$5-1,0)))</f>
        <v>#DIV/0!</v>
      </c>
      <c r="Y562" s="6" t="e">
        <f ca="1">SQRT($B$9*AVERAGE(W562:OFFSET(W562,$B$6-1,0)))</f>
        <v>#DIV/0!</v>
      </c>
      <c r="Z562" s="6" t="e">
        <f ca="1">SQRT($B$9*AVERAGE(W562:OFFSET(W562,$B$7-1,0)))</f>
        <v>#DIV/0!</v>
      </c>
      <c r="AA562" s="6" t="e">
        <f ca="1">SQRT($B$9*AVERAGE(W562:OFFSET(W562,$B$8-1,0)))</f>
        <v>#DIV/0!</v>
      </c>
      <c r="AC562" s="34" t="e">
        <f t="shared" si="50"/>
        <v>#DIV/0!</v>
      </c>
      <c r="AD562" s="34" t="e">
        <f ca="1">SQRT($B$9*SUM(AC562:OFFSET(AC562,$B$5-1,0))/($B$5-1))</f>
        <v>#DIV/0!</v>
      </c>
      <c r="AE562" s="34" t="e">
        <f ca="1">SQRT($B$9*SUM(AC562:OFFSET(AC562,$B$6-1,0))/($B$6-1))</f>
        <v>#DIV/0!</v>
      </c>
      <c r="AF562" s="34" t="e">
        <f ca="1">SQRT($B$9*SUM(AC562:OFFSET(AC562,$B$7-1,0))/($B$7-1))</f>
        <v>#DIV/0!</v>
      </c>
      <c r="AG562" s="34" t="e">
        <f ca="1">SQRT($B$9*SUM(AC562:OFFSET(AC562,$B$8-1,0))/($B$8-1))</f>
        <v>#DIV/0!</v>
      </c>
      <c r="AI562" s="1" t="e">
        <f t="shared" si="51"/>
        <v>#DIV/0!</v>
      </c>
      <c r="AJ562" s="4" t="e">
        <f ca="1">SQRT($B$9)*_xlfn.STDEV.S(AI562:OFFSET(AI562,$B$5-1,0))</f>
        <v>#DIV/0!</v>
      </c>
      <c r="AK562" s="4" t="e">
        <f ca="1">SQRT($B$9)*_xlfn.STDEV.S(AI562:OFFSET(AI562,$B$6-1,0))</f>
        <v>#DIV/0!</v>
      </c>
      <c r="AL562" s="4" t="e">
        <f ca="1">SQRT($B$9)*_xlfn.STDEV.S(AI562:OFFSET(AI562,$B$7-1,0))</f>
        <v>#DIV/0!</v>
      </c>
      <c r="AM562" s="4" t="e">
        <f ca="1">SQRT($B$9)*_xlfn.STDEV.S(AI562:OFFSET(AI562,$B$8-1,0))</f>
        <v>#DIV/0!</v>
      </c>
    </row>
    <row r="563" spans="5:39" x14ac:dyDescent="0.2">
      <c r="E563" s="42">
        <v>44634</v>
      </c>
      <c r="F563" s="43"/>
      <c r="G563" s="43"/>
      <c r="H563" s="43"/>
      <c r="I563" s="43"/>
      <c r="K563" s="3" t="e">
        <f t="shared" si="49"/>
        <v>#DIV/0!</v>
      </c>
      <c r="L563" s="3" t="e">
        <f ca="1">SQRT(AVERAGE(K563:OFFSET(K563,$B$5-1,0))*$B$9/(4*LN(2)))</f>
        <v>#DIV/0!</v>
      </c>
      <c r="M563" s="3" t="e">
        <f ca="1">SQRT(AVERAGE(K563:OFFSET(K563,$B$6-1,0))*$B$9/(4*LN(2)))</f>
        <v>#DIV/0!</v>
      </c>
      <c r="N563" s="3" t="e">
        <f ca="1">SQRT(AVERAGE(K563:OFFSET(K563,$B$7-1,0))*$B$9/(4*LN(2)))</f>
        <v>#DIV/0!</v>
      </c>
      <c r="O563" s="3" t="e">
        <f ca="1">SQRT(AVERAGE(K563:OFFSET(K563,$B$8-1,0))*$B$9/(4*LN(2)))</f>
        <v>#DIV/0!</v>
      </c>
      <c r="Q563" s="5" t="e">
        <f t="shared" si="48"/>
        <v>#DIV/0!</v>
      </c>
      <c r="R563" s="5" t="e">
        <f ca="1">SQRT($B$9*AVERAGE((Q563:OFFSET(Q563,$B$5-1,0))))</f>
        <v>#DIV/0!</v>
      </c>
      <c r="S563" s="5" t="e">
        <f ca="1">SQRT($B$9*AVERAGE((Q563:OFFSET(Q563,$B$6-1,0))))</f>
        <v>#DIV/0!</v>
      </c>
      <c r="T563" s="5" t="e">
        <f ca="1">SQRT($B$9*AVERAGE((Q563:OFFSET(Q563,$B$7-1,0))))</f>
        <v>#DIV/0!</v>
      </c>
      <c r="U563" s="5" t="e">
        <f ca="1">SQRT($B$9*AVERAGE((Q563:OFFSET(Q563,$B$8-1,0))))</f>
        <v>#DIV/0!</v>
      </c>
      <c r="W563" s="6" t="e">
        <f t="shared" si="52"/>
        <v>#DIV/0!</v>
      </c>
      <c r="X563" s="6" t="e">
        <f ca="1">SQRT($B$9*AVERAGE(W563:OFFSET(W563,$B$5-1,0)))</f>
        <v>#DIV/0!</v>
      </c>
      <c r="Y563" s="6" t="e">
        <f ca="1">SQRT($B$9*AVERAGE(W563:OFFSET(W563,$B$6-1,0)))</f>
        <v>#DIV/0!</v>
      </c>
      <c r="Z563" s="6" t="e">
        <f ca="1">SQRT($B$9*AVERAGE(W563:OFFSET(W563,$B$7-1,0)))</f>
        <v>#DIV/0!</v>
      </c>
      <c r="AA563" s="6" t="e">
        <f ca="1">SQRT($B$9*AVERAGE(W563:OFFSET(W563,$B$8-1,0)))</f>
        <v>#DIV/0!</v>
      </c>
      <c r="AC563" s="34" t="e">
        <f t="shared" si="50"/>
        <v>#DIV/0!</v>
      </c>
      <c r="AD563" s="34" t="e">
        <f ca="1">SQRT($B$9*SUM(AC563:OFFSET(AC563,$B$5-1,0))/($B$5-1))</f>
        <v>#DIV/0!</v>
      </c>
      <c r="AE563" s="34" t="e">
        <f ca="1">SQRT($B$9*SUM(AC563:OFFSET(AC563,$B$6-1,0))/($B$6-1))</f>
        <v>#DIV/0!</v>
      </c>
      <c r="AF563" s="34" t="e">
        <f ca="1">SQRT($B$9*SUM(AC563:OFFSET(AC563,$B$7-1,0))/($B$7-1))</f>
        <v>#DIV/0!</v>
      </c>
      <c r="AG563" s="34" t="e">
        <f ca="1">SQRT($B$9*SUM(AC563:OFFSET(AC563,$B$8-1,0))/($B$8-1))</f>
        <v>#DIV/0!</v>
      </c>
      <c r="AI563" s="1" t="e">
        <f t="shared" si="51"/>
        <v>#DIV/0!</v>
      </c>
      <c r="AJ563" s="4" t="e">
        <f ca="1">SQRT($B$9)*_xlfn.STDEV.S(AI563:OFFSET(AI563,$B$5-1,0))</f>
        <v>#DIV/0!</v>
      </c>
      <c r="AK563" s="4" t="e">
        <f ca="1">SQRT($B$9)*_xlfn.STDEV.S(AI563:OFFSET(AI563,$B$6-1,0))</f>
        <v>#DIV/0!</v>
      </c>
      <c r="AL563" s="4" t="e">
        <f ca="1">SQRT($B$9)*_xlfn.STDEV.S(AI563:OFFSET(AI563,$B$7-1,0))</f>
        <v>#DIV/0!</v>
      </c>
      <c r="AM563" s="4" t="e">
        <f ca="1">SQRT($B$9)*_xlfn.STDEV.S(AI563:OFFSET(AI563,$B$8-1,0))</f>
        <v>#DIV/0!</v>
      </c>
    </row>
    <row r="564" spans="5:39" x14ac:dyDescent="0.2">
      <c r="E564" s="42">
        <v>44631</v>
      </c>
      <c r="F564" s="43"/>
      <c r="G564" s="43"/>
      <c r="H564" s="43"/>
      <c r="I564" s="43"/>
      <c r="K564" s="3" t="e">
        <f t="shared" si="49"/>
        <v>#DIV/0!</v>
      </c>
      <c r="L564" s="3" t="e">
        <f ca="1">SQRT(AVERAGE(K564:OFFSET(K564,$B$5-1,0))*$B$9/(4*LN(2)))</f>
        <v>#DIV/0!</v>
      </c>
      <c r="M564" s="3" t="e">
        <f ca="1">SQRT(AVERAGE(K564:OFFSET(K564,$B$6-1,0))*$B$9/(4*LN(2)))</f>
        <v>#DIV/0!</v>
      </c>
      <c r="N564" s="3" t="e">
        <f ca="1">SQRT(AVERAGE(K564:OFFSET(K564,$B$7-1,0))*$B$9/(4*LN(2)))</f>
        <v>#DIV/0!</v>
      </c>
      <c r="O564" s="3" t="e">
        <f ca="1">SQRT(AVERAGE(K564:OFFSET(K564,$B$8-1,0))*$B$9/(4*LN(2)))</f>
        <v>#DIV/0!</v>
      </c>
      <c r="Q564" s="5" t="e">
        <f t="shared" si="48"/>
        <v>#DIV/0!</v>
      </c>
      <c r="R564" s="5" t="e">
        <f ca="1">SQRT($B$9*AVERAGE((Q564:OFFSET(Q564,$B$5-1,0))))</f>
        <v>#DIV/0!</v>
      </c>
      <c r="S564" s="5" t="e">
        <f ca="1">SQRT($B$9*AVERAGE((Q564:OFFSET(Q564,$B$6-1,0))))</f>
        <v>#DIV/0!</v>
      </c>
      <c r="T564" s="5" t="e">
        <f ca="1">SQRT($B$9*AVERAGE((Q564:OFFSET(Q564,$B$7-1,0))))</f>
        <v>#DIV/0!</v>
      </c>
      <c r="U564" s="5" t="e">
        <f ca="1">SQRT($B$9*AVERAGE((Q564:OFFSET(Q564,$B$8-1,0))))</f>
        <v>#DIV/0!</v>
      </c>
      <c r="W564" s="6" t="e">
        <f t="shared" si="52"/>
        <v>#DIV/0!</v>
      </c>
      <c r="X564" s="6" t="e">
        <f ca="1">SQRT($B$9*AVERAGE(W564:OFFSET(W564,$B$5-1,0)))</f>
        <v>#DIV/0!</v>
      </c>
      <c r="Y564" s="6" t="e">
        <f ca="1">SQRT($B$9*AVERAGE(W564:OFFSET(W564,$B$6-1,0)))</f>
        <v>#DIV/0!</v>
      </c>
      <c r="Z564" s="6" t="e">
        <f ca="1">SQRT($B$9*AVERAGE(W564:OFFSET(W564,$B$7-1,0)))</f>
        <v>#DIV/0!</v>
      </c>
      <c r="AA564" s="6" t="e">
        <f ca="1">SQRT($B$9*AVERAGE(W564:OFFSET(W564,$B$8-1,0)))</f>
        <v>#DIV/0!</v>
      </c>
      <c r="AC564" s="34" t="e">
        <f t="shared" si="50"/>
        <v>#DIV/0!</v>
      </c>
      <c r="AD564" s="34" t="e">
        <f ca="1">SQRT($B$9*SUM(AC564:OFFSET(AC564,$B$5-1,0))/($B$5-1))</f>
        <v>#DIV/0!</v>
      </c>
      <c r="AE564" s="34" t="e">
        <f ca="1">SQRT($B$9*SUM(AC564:OFFSET(AC564,$B$6-1,0))/($B$6-1))</f>
        <v>#DIV/0!</v>
      </c>
      <c r="AF564" s="34" t="e">
        <f ca="1">SQRT($B$9*SUM(AC564:OFFSET(AC564,$B$7-1,0))/($B$7-1))</f>
        <v>#DIV/0!</v>
      </c>
      <c r="AG564" s="34" t="e">
        <f ca="1">SQRT($B$9*SUM(AC564:OFFSET(AC564,$B$8-1,0))/($B$8-1))</f>
        <v>#DIV/0!</v>
      </c>
      <c r="AI564" s="1" t="e">
        <f t="shared" si="51"/>
        <v>#DIV/0!</v>
      </c>
      <c r="AJ564" s="4" t="e">
        <f ca="1">SQRT($B$9)*_xlfn.STDEV.S(AI564:OFFSET(AI564,$B$5-1,0))</f>
        <v>#DIV/0!</v>
      </c>
      <c r="AK564" s="4" t="e">
        <f ca="1">SQRT($B$9)*_xlfn.STDEV.S(AI564:OFFSET(AI564,$B$6-1,0))</f>
        <v>#DIV/0!</v>
      </c>
      <c r="AL564" s="4" t="e">
        <f ca="1">SQRT($B$9)*_xlfn.STDEV.S(AI564:OFFSET(AI564,$B$7-1,0))</f>
        <v>#DIV/0!</v>
      </c>
      <c r="AM564" s="4" t="e">
        <f ca="1">SQRT($B$9)*_xlfn.STDEV.S(AI564:OFFSET(AI564,$B$8-1,0))</f>
        <v>#DIV/0!</v>
      </c>
    </row>
    <row r="565" spans="5:39" x14ac:dyDescent="0.2">
      <c r="E565" s="42">
        <v>44630</v>
      </c>
      <c r="F565" s="43"/>
      <c r="G565" s="43"/>
      <c r="H565" s="43"/>
      <c r="I565" s="43"/>
      <c r="K565" s="3" t="e">
        <f t="shared" si="49"/>
        <v>#DIV/0!</v>
      </c>
      <c r="L565" s="3" t="e">
        <f ca="1">SQRT(AVERAGE(K565:OFFSET(K565,$B$5-1,0))*$B$9/(4*LN(2)))</f>
        <v>#DIV/0!</v>
      </c>
      <c r="M565" s="3" t="e">
        <f ca="1">SQRT(AVERAGE(K565:OFFSET(K565,$B$6-1,0))*$B$9/(4*LN(2)))</f>
        <v>#DIV/0!</v>
      </c>
      <c r="N565" s="3" t="e">
        <f ca="1">SQRT(AVERAGE(K565:OFFSET(K565,$B$7-1,0))*$B$9/(4*LN(2)))</f>
        <v>#DIV/0!</v>
      </c>
      <c r="O565" s="3" t="e">
        <f ca="1">SQRT(AVERAGE(K565:OFFSET(K565,$B$8-1,0))*$B$9/(4*LN(2)))</f>
        <v>#DIV/0!</v>
      </c>
      <c r="Q565" s="5" t="e">
        <f t="shared" si="48"/>
        <v>#DIV/0!</v>
      </c>
      <c r="R565" s="5" t="e">
        <f ca="1">SQRT($B$9*AVERAGE((Q565:OFFSET(Q565,$B$5-1,0))))</f>
        <v>#DIV/0!</v>
      </c>
      <c r="S565" s="5" t="e">
        <f ca="1">SQRT($B$9*AVERAGE((Q565:OFFSET(Q565,$B$6-1,0))))</f>
        <v>#DIV/0!</v>
      </c>
      <c r="T565" s="5" t="e">
        <f ca="1">SQRT($B$9*AVERAGE((Q565:OFFSET(Q565,$B$7-1,0))))</f>
        <v>#DIV/0!</v>
      </c>
      <c r="U565" s="5" t="e">
        <f ca="1">SQRT($B$9*AVERAGE((Q565:OFFSET(Q565,$B$8-1,0))))</f>
        <v>#DIV/0!</v>
      </c>
      <c r="W565" s="6" t="e">
        <f t="shared" si="52"/>
        <v>#DIV/0!</v>
      </c>
      <c r="X565" s="6" t="e">
        <f ca="1">SQRT($B$9*AVERAGE(W565:OFFSET(W565,$B$5-1,0)))</f>
        <v>#DIV/0!</v>
      </c>
      <c r="Y565" s="6" t="e">
        <f ca="1">SQRT($B$9*AVERAGE(W565:OFFSET(W565,$B$6-1,0)))</f>
        <v>#DIV/0!</v>
      </c>
      <c r="Z565" s="6" t="e">
        <f ca="1">SQRT($B$9*AVERAGE(W565:OFFSET(W565,$B$7-1,0)))</f>
        <v>#DIV/0!</v>
      </c>
      <c r="AA565" s="6" t="e">
        <f ca="1">SQRT($B$9*AVERAGE(W565:OFFSET(W565,$B$8-1,0)))</f>
        <v>#DIV/0!</v>
      </c>
      <c r="AC565" s="34" t="e">
        <f t="shared" si="50"/>
        <v>#DIV/0!</v>
      </c>
      <c r="AD565" s="34" t="e">
        <f ca="1">SQRT($B$9*SUM(AC565:OFFSET(AC565,$B$5-1,0))/($B$5-1))</f>
        <v>#DIV/0!</v>
      </c>
      <c r="AE565" s="34" t="e">
        <f ca="1">SQRT($B$9*SUM(AC565:OFFSET(AC565,$B$6-1,0))/($B$6-1))</f>
        <v>#DIV/0!</v>
      </c>
      <c r="AF565" s="34" t="e">
        <f ca="1">SQRT($B$9*SUM(AC565:OFFSET(AC565,$B$7-1,0))/($B$7-1))</f>
        <v>#DIV/0!</v>
      </c>
      <c r="AG565" s="34" t="e">
        <f ca="1">SQRT($B$9*SUM(AC565:OFFSET(AC565,$B$8-1,0))/($B$8-1))</f>
        <v>#DIV/0!</v>
      </c>
      <c r="AI565" s="1" t="e">
        <f t="shared" si="51"/>
        <v>#DIV/0!</v>
      </c>
      <c r="AJ565" s="4" t="e">
        <f ca="1">SQRT($B$9)*_xlfn.STDEV.S(AI565:OFFSET(AI565,$B$5-1,0))</f>
        <v>#DIV/0!</v>
      </c>
      <c r="AK565" s="4" t="e">
        <f ca="1">SQRT($B$9)*_xlfn.STDEV.S(AI565:OFFSET(AI565,$B$6-1,0))</f>
        <v>#DIV/0!</v>
      </c>
      <c r="AL565" s="4" t="e">
        <f ca="1">SQRT($B$9)*_xlfn.STDEV.S(AI565:OFFSET(AI565,$B$7-1,0))</f>
        <v>#DIV/0!</v>
      </c>
      <c r="AM565" s="4" t="e">
        <f ca="1">SQRT($B$9)*_xlfn.STDEV.S(AI565:OFFSET(AI565,$B$8-1,0))</f>
        <v>#DIV/0!</v>
      </c>
    </row>
    <row r="566" spans="5:39" x14ac:dyDescent="0.2">
      <c r="E566" s="42">
        <v>44629</v>
      </c>
      <c r="F566" s="43"/>
      <c r="G566" s="43"/>
      <c r="H566" s="43"/>
      <c r="I566" s="43"/>
      <c r="K566" s="3" t="e">
        <f t="shared" si="49"/>
        <v>#DIV/0!</v>
      </c>
      <c r="L566" s="3" t="e">
        <f ca="1">SQRT(AVERAGE(K566:OFFSET(K566,$B$5-1,0))*$B$9/(4*LN(2)))</f>
        <v>#DIV/0!</v>
      </c>
      <c r="M566" s="3" t="e">
        <f ca="1">SQRT(AVERAGE(K566:OFFSET(K566,$B$6-1,0))*$B$9/(4*LN(2)))</f>
        <v>#DIV/0!</v>
      </c>
      <c r="N566" s="3" t="e">
        <f ca="1">SQRT(AVERAGE(K566:OFFSET(K566,$B$7-1,0))*$B$9/(4*LN(2)))</f>
        <v>#DIV/0!</v>
      </c>
      <c r="O566" s="3" t="e">
        <f ca="1">SQRT(AVERAGE(K566:OFFSET(K566,$B$8-1,0))*$B$9/(4*LN(2)))</f>
        <v>#DIV/0!</v>
      </c>
      <c r="Q566" s="5" t="e">
        <f t="shared" si="48"/>
        <v>#DIV/0!</v>
      </c>
      <c r="R566" s="5" t="e">
        <f ca="1">SQRT($B$9*AVERAGE((Q566:OFFSET(Q566,$B$5-1,0))))</f>
        <v>#DIV/0!</v>
      </c>
      <c r="S566" s="5" t="e">
        <f ca="1">SQRT($B$9*AVERAGE((Q566:OFFSET(Q566,$B$6-1,0))))</f>
        <v>#DIV/0!</v>
      </c>
      <c r="T566" s="5" t="e">
        <f ca="1">SQRT($B$9*AVERAGE((Q566:OFFSET(Q566,$B$7-1,0))))</f>
        <v>#DIV/0!</v>
      </c>
      <c r="U566" s="5" t="e">
        <f ca="1">SQRT($B$9*AVERAGE((Q566:OFFSET(Q566,$B$8-1,0))))</f>
        <v>#DIV/0!</v>
      </c>
      <c r="W566" s="6" t="e">
        <f t="shared" si="52"/>
        <v>#DIV/0!</v>
      </c>
      <c r="X566" s="6" t="e">
        <f ca="1">SQRT($B$9*AVERAGE(W566:OFFSET(W566,$B$5-1,0)))</f>
        <v>#DIV/0!</v>
      </c>
      <c r="Y566" s="6" t="e">
        <f ca="1">SQRT($B$9*AVERAGE(W566:OFFSET(W566,$B$6-1,0)))</f>
        <v>#DIV/0!</v>
      </c>
      <c r="Z566" s="6" t="e">
        <f ca="1">SQRT($B$9*AVERAGE(W566:OFFSET(W566,$B$7-1,0)))</f>
        <v>#DIV/0!</v>
      </c>
      <c r="AA566" s="6" t="e">
        <f ca="1">SQRT($B$9*AVERAGE(W566:OFFSET(W566,$B$8-1,0)))</f>
        <v>#DIV/0!</v>
      </c>
      <c r="AC566" s="34" t="e">
        <f t="shared" si="50"/>
        <v>#DIV/0!</v>
      </c>
      <c r="AD566" s="34" t="e">
        <f ca="1">SQRT($B$9*SUM(AC566:OFFSET(AC566,$B$5-1,0))/($B$5-1))</f>
        <v>#DIV/0!</v>
      </c>
      <c r="AE566" s="34" t="e">
        <f ca="1">SQRT($B$9*SUM(AC566:OFFSET(AC566,$B$6-1,0))/($B$6-1))</f>
        <v>#DIV/0!</v>
      </c>
      <c r="AF566" s="34" t="e">
        <f ca="1">SQRT($B$9*SUM(AC566:OFFSET(AC566,$B$7-1,0))/($B$7-1))</f>
        <v>#DIV/0!</v>
      </c>
      <c r="AG566" s="34" t="e">
        <f ca="1">SQRT($B$9*SUM(AC566:OFFSET(AC566,$B$8-1,0))/($B$8-1))</f>
        <v>#DIV/0!</v>
      </c>
      <c r="AI566" s="1" t="e">
        <f t="shared" si="51"/>
        <v>#DIV/0!</v>
      </c>
      <c r="AJ566" s="4" t="e">
        <f ca="1">SQRT($B$9)*_xlfn.STDEV.S(AI566:OFFSET(AI566,$B$5-1,0))</f>
        <v>#DIV/0!</v>
      </c>
      <c r="AK566" s="4" t="e">
        <f ca="1">SQRT($B$9)*_xlfn.STDEV.S(AI566:OFFSET(AI566,$B$6-1,0))</f>
        <v>#DIV/0!</v>
      </c>
      <c r="AL566" s="4" t="e">
        <f ca="1">SQRT($B$9)*_xlfn.STDEV.S(AI566:OFFSET(AI566,$B$7-1,0))</f>
        <v>#DIV/0!</v>
      </c>
      <c r="AM566" s="4" t="e">
        <f ca="1">SQRT($B$9)*_xlfn.STDEV.S(AI566:OFFSET(AI566,$B$8-1,0))</f>
        <v>#DIV/0!</v>
      </c>
    </row>
    <row r="567" spans="5:39" x14ac:dyDescent="0.2">
      <c r="E567" s="42">
        <v>44628</v>
      </c>
      <c r="F567" s="43"/>
      <c r="G567" s="43"/>
      <c r="H567" s="43"/>
      <c r="I567" s="43"/>
      <c r="K567" s="3" t="e">
        <f t="shared" si="49"/>
        <v>#DIV/0!</v>
      </c>
      <c r="L567" s="3" t="e">
        <f ca="1">SQRT(AVERAGE(K567:OFFSET(K567,$B$5-1,0))*$B$9/(4*LN(2)))</f>
        <v>#DIV/0!</v>
      </c>
      <c r="M567" s="3" t="e">
        <f ca="1">SQRT(AVERAGE(K567:OFFSET(K567,$B$6-1,0))*$B$9/(4*LN(2)))</f>
        <v>#DIV/0!</v>
      </c>
      <c r="N567" s="3" t="e">
        <f ca="1">SQRT(AVERAGE(K567:OFFSET(K567,$B$7-1,0))*$B$9/(4*LN(2)))</f>
        <v>#DIV/0!</v>
      </c>
      <c r="O567" s="3" t="e">
        <f ca="1">SQRT(AVERAGE(K567:OFFSET(K567,$B$8-1,0))*$B$9/(4*LN(2)))</f>
        <v>#DIV/0!</v>
      </c>
      <c r="Q567" s="5" t="e">
        <f t="shared" si="48"/>
        <v>#DIV/0!</v>
      </c>
      <c r="R567" s="5" t="e">
        <f ca="1">SQRT($B$9*AVERAGE((Q567:OFFSET(Q567,$B$5-1,0))))</f>
        <v>#DIV/0!</v>
      </c>
      <c r="S567" s="5" t="e">
        <f ca="1">SQRT($B$9*AVERAGE((Q567:OFFSET(Q567,$B$6-1,0))))</f>
        <v>#DIV/0!</v>
      </c>
      <c r="T567" s="5" t="e">
        <f ca="1">SQRT($B$9*AVERAGE((Q567:OFFSET(Q567,$B$7-1,0))))</f>
        <v>#DIV/0!</v>
      </c>
      <c r="U567" s="5" t="e">
        <f ca="1">SQRT($B$9*AVERAGE((Q567:OFFSET(Q567,$B$8-1,0))))</f>
        <v>#DIV/0!</v>
      </c>
      <c r="W567" s="6" t="e">
        <f t="shared" si="52"/>
        <v>#DIV/0!</v>
      </c>
      <c r="X567" s="6" t="e">
        <f ca="1">SQRT($B$9*AVERAGE(W567:OFFSET(W567,$B$5-1,0)))</f>
        <v>#DIV/0!</v>
      </c>
      <c r="Y567" s="6" t="e">
        <f ca="1">SQRT($B$9*AVERAGE(W567:OFFSET(W567,$B$6-1,0)))</f>
        <v>#DIV/0!</v>
      </c>
      <c r="Z567" s="6" t="e">
        <f ca="1">SQRT($B$9*AVERAGE(W567:OFFSET(W567,$B$7-1,0)))</f>
        <v>#DIV/0!</v>
      </c>
      <c r="AA567" s="6" t="e">
        <f ca="1">SQRT($B$9*AVERAGE(W567:OFFSET(W567,$B$8-1,0)))</f>
        <v>#DIV/0!</v>
      </c>
      <c r="AC567" s="34" t="e">
        <f t="shared" si="50"/>
        <v>#DIV/0!</v>
      </c>
      <c r="AD567" s="34" t="e">
        <f ca="1">SQRT($B$9*SUM(AC567:OFFSET(AC567,$B$5-1,0))/($B$5-1))</f>
        <v>#DIV/0!</v>
      </c>
      <c r="AE567" s="34" t="e">
        <f ca="1">SQRT($B$9*SUM(AC567:OFFSET(AC567,$B$6-1,0))/($B$6-1))</f>
        <v>#DIV/0!</v>
      </c>
      <c r="AF567" s="34" t="e">
        <f ca="1">SQRT($B$9*SUM(AC567:OFFSET(AC567,$B$7-1,0))/($B$7-1))</f>
        <v>#DIV/0!</v>
      </c>
      <c r="AG567" s="34" t="e">
        <f ca="1">SQRT($B$9*SUM(AC567:OFFSET(AC567,$B$8-1,0))/($B$8-1))</f>
        <v>#DIV/0!</v>
      </c>
      <c r="AI567" s="1" t="e">
        <f t="shared" si="51"/>
        <v>#DIV/0!</v>
      </c>
      <c r="AJ567" s="4" t="e">
        <f ca="1">SQRT($B$9)*_xlfn.STDEV.S(AI567:OFFSET(AI567,$B$5-1,0))</f>
        <v>#DIV/0!</v>
      </c>
      <c r="AK567" s="4" t="e">
        <f ca="1">SQRT($B$9)*_xlfn.STDEV.S(AI567:OFFSET(AI567,$B$6-1,0))</f>
        <v>#DIV/0!</v>
      </c>
      <c r="AL567" s="4" t="e">
        <f ca="1">SQRT($B$9)*_xlfn.STDEV.S(AI567:OFFSET(AI567,$B$7-1,0))</f>
        <v>#DIV/0!</v>
      </c>
      <c r="AM567" s="4" t="e">
        <f ca="1">SQRT($B$9)*_xlfn.STDEV.S(AI567:OFFSET(AI567,$B$8-1,0))</f>
        <v>#DIV/0!</v>
      </c>
    </row>
    <row r="568" spans="5:39" x14ac:dyDescent="0.2">
      <c r="E568" s="42">
        <v>44627</v>
      </c>
      <c r="F568" s="43"/>
      <c r="G568" s="43"/>
      <c r="H568" s="43"/>
      <c r="I568" s="43"/>
      <c r="K568" s="3" t="e">
        <f t="shared" si="49"/>
        <v>#DIV/0!</v>
      </c>
      <c r="L568" s="3" t="e">
        <f ca="1">SQRT(AVERAGE(K568:OFFSET(K568,$B$5-1,0))*$B$9/(4*LN(2)))</f>
        <v>#DIV/0!</v>
      </c>
      <c r="M568" s="3" t="e">
        <f ca="1">SQRT(AVERAGE(K568:OFFSET(K568,$B$6-1,0))*$B$9/(4*LN(2)))</f>
        <v>#DIV/0!</v>
      </c>
      <c r="N568" s="3" t="e">
        <f ca="1">SQRT(AVERAGE(K568:OFFSET(K568,$B$7-1,0))*$B$9/(4*LN(2)))</f>
        <v>#DIV/0!</v>
      </c>
      <c r="O568" s="3" t="e">
        <f ca="1">SQRT(AVERAGE(K568:OFFSET(K568,$B$8-1,0))*$B$9/(4*LN(2)))</f>
        <v>#DIV/0!</v>
      </c>
      <c r="Q568" s="5" t="e">
        <f t="shared" si="48"/>
        <v>#DIV/0!</v>
      </c>
      <c r="R568" s="5" t="e">
        <f ca="1">SQRT($B$9*AVERAGE((Q568:OFFSET(Q568,$B$5-1,0))))</f>
        <v>#DIV/0!</v>
      </c>
      <c r="S568" s="5" t="e">
        <f ca="1">SQRT($B$9*AVERAGE((Q568:OFFSET(Q568,$B$6-1,0))))</f>
        <v>#DIV/0!</v>
      </c>
      <c r="T568" s="5" t="e">
        <f ca="1">SQRT($B$9*AVERAGE((Q568:OFFSET(Q568,$B$7-1,0))))</f>
        <v>#DIV/0!</v>
      </c>
      <c r="U568" s="5" t="e">
        <f ca="1">SQRT($B$9*AVERAGE((Q568:OFFSET(Q568,$B$8-1,0))))</f>
        <v>#DIV/0!</v>
      </c>
      <c r="W568" s="6" t="e">
        <f t="shared" si="52"/>
        <v>#DIV/0!</v>
      </c>
      <c r="X568" s="6" t="e">
        <f ca="1">SQRT($B$9*AVERAGE(W568:OFFSET(W568,$B$5-1,0)))</f>
        <v>#DIV/0!</v>
      </c>
      <c r="Y568" s="6" t="e">
        <f ca="1">SQRT($B$9*AVERAGE(W568:OFFSET(W568,$B$6-1,0)))</f>
        <v>#DIV/0!</v>
      </c>
      <c r="Z568" s="6" t="e">
        <f ca="1">SQRT($B$9*AVERAGE(W568:OFFSET(W568,$B$7-1,0)))</f>
        <v>#DIV/0!</v>
      </c>
      <c r="AA568" s="6" t="e">
        <f ca="1">SQRT($B$9*AVERAGE(W568:OFFSET(W568,$B$8-1,0)))</f>
        <v>#DIV/0!</v>
      </c>
      <c r="AC568" s="34" t="e">
        <f t="shared" si="50"/>
        <v>#DIV/0!</v>
      </c>
      <c r="AD568" s="34" t="e">
        <f ca="1">SQRT($B$9*SUM(AC568:OFFSET(AC568,$B$5-1,0))/($B$5-1))</f>
        <v>#DIV/0!</v>
      </c>
      <c r="AE568" s="34" t="e">
        <f ca="1">SQRT($B$9*SUM(AC568:OFFSET(AC568,$B$6-1,0))/($B$6-1))</f>
        <v>#DIV/0!</v>
      </c>
      <c r="AF568" s="34" t="e">
        <f ca="1">SQRT($B$9*SUM(AC568:OFFSET(AC568,$B$7-1,0))/($B$7-1))</f>
        <v>#DIV/0!</v>
      </c>
      <c r="AG568" s="34" t="e">
        <f ca="1">SQRT($B$9*SUM(AC568:OFFSET(AC568,$B$8-1,0))/($B$8-1))</f>
        <v>#DIV/0!</v>
      </c>
      <c r="AI568" s="1" t="e">
        <f t="shared" si="51"/>
        <v>#DIV/0!</v>
      </c>
      <c r="AJ568" s="4" t="e">
        <f ca="1">SQRT($B$9)*_xlfn.STDEV.S(AI568:OFFSET(AI568,$B$5-1,0))</f>
        <v>#DIV/0!</v>
      </c>
      <c r="AK568" s="4" t="e">
        <f ca="1">SQRT($B$9)*_xlfn.STDEV.S(AI568:OFFSET(AI568,$B$6-1,0))</f>
        <v>#DIV/0!</v>
      </c>
      <c r="AL568" s="4" t="e">
        <f ca="1">SQRT($B$9)*_xlfn.STDEV.S(AI568:OFFSET(AI568,$B$7-1,0))</f>
        <v>#DIV/0!</v>
      </c>
      <c r="AM568" s="4" t="e">
        <f ca="1">SQRT($B$9)*_xlfn.STDEV.S(AI568:OFFSET(AI568,$B$8-1,0))</f>
        <v>#DIV/0!</v>
      </c>
    </row>
    <row r="569" spans="5:39" x14ac:dyDescent="0.2">
      <c r="E569" s="42">
        <v>44624</v>
      </c>
      <c r="F569" s="43"/>
      <c r="G569" s="43"/>
      <c r="H569" s="43"/>
      <c r="I569" s="43"/>
      <c r="K569" s="3" t="e">
        <f t="shared" si="49"/>
        <v>#DIV/0!</v>
      </c>
      <c r="L569" s="3" t="e">
        <f ca="1">SQRT(AVERAGE(K569:OFFSET(K569,$B$5-1,0))*$B$9/(4*LN(2)))</f>
        <v>#DIV/0!</v>
      </c>
      <c r="M569" s="3" t="e">
        <f ca="1">SQRT(AVERAGE(K569:OFFSET(K569,$B$6-1,0))*$B$9/(4*LN(2)))</f>
        <v>#DIV/0!</v>
      </c>
      <c r="N569" s="3" t="e">
        <f ca="1">SQRT(AVERAGE(K569:OFFSET(K569,$B$7-1,0))*$B$9/(4*LN(2)))</f>
        <v>#DIV/0!</v>
      </c>
      <c r="O569" s="3" t="e">
        <f ca="1">SQRT(AVERAGE(K569:OFFSET(K569,$B$8-1,0))*$B$9/(4*LN(2)))</f>
        <v>#DIV/0!</v>
      </c>
      <c r="Q569" s="5" t="e">
        <f t="shared" si="48"/>
        <v>#DIV/0!</v>
      </c>
      <c r="R569" s="5" t="e">
        <f ca="1">SQRT($B$9*AVERAGE((Q569:OFFSET(Q569,$B$5-1,0))))</f>
        <v>#DIV/0!</v>
      </c>
      <c r="S569" s="5" t="e">
        <f ca="1">SQRT($B$9*AVERAGE((Q569:OFFSET(Q569,$B$6-1,0))))</f>
        <v>#DIV/0!</v>
      </c>
      <c r="T569" s="5" t="e">
        <f ca="1">SQRT($B$9*AVERAGE((Q569:OFFSET(Q569,$B$7-1,0))))</f>
        <v>#DIV/0!</v>
      </c>
      <c r="U569" s="5" t="e">
        <f ca="1">SQRT($B$9*AVERAGE((Q569:OFFSET(Q569,$B$8-1,0))))</f>
        <v>#DIV/0!</v>
      </c>
      <c r="W569" s="6" t="e">
        <f t="shared" si="52"/>
        <v>#DIV/0!</v>
      </c>
      <c r="X569" s="6" t="e">
        <f ca="1">SQRT($B$9*AVERAGE(W569:OFFSET(W569,$B$5-1,0)))</f>
        <v>#DIV/0!</v>
      </c>
      <c r="Y569" s="6" t="e">
        <f ca="1">SQRT($B$9*AVERAGE(W569:OFFSET(W569,$B$6-1,0)))</f>
        <v>#DIV/0!</v>
      </c>
      <c r="Z569" s="6" t="e">
        <f ca="1">SQRT($B$9*AVERAGE(W569:OFFSET(W569,$B$7-1,0)))</f>
        <v>#DIV/0!</v>
      </c>
      <c r="AA569" s="6" t="e">
        <f ca="1">SQRT($B$9*AVERAGE(W569:OFFSET(W569,$B$8-1,0)))</f>
        <v>#DIV/0!</v>
      </c>
      <c r="AC569" s="34" t="e">
        <f t="shared" si="50"/>
        <v>#DIV/0!</v>
      </c>
      <c r="AD569" s="34" t="e">
        <f ca="1">SQRT($B$9*SUM(AC569:OFFSET(AC569,$B$5-1,0))/($B$5-1))</f>
        <v>#DIV/0!</v>
      </c>
      <c r="AE569" s="34" t="e">
        <f ca="1">SQRT($B$9*SUM(AC569:OFFSET(AC569,$B$6-1,0))/($B$6-1))</f>
        <v>#DIV/0!</v>
      </c>
      <c r="AF569" s="34" t="e">
        <f ca="1">SQRT($B$9*SUM(AC569:OFFSET(AC569,$B$7-1,0))/($B$7-1))</f>
        <v>#DIV/0!</v>
      </c>
      <c r="AG569" s="34" t="e">
        <f ca="1">SQRT($B$9*SUM(AC569:OFFSET(AC569,$B$8-1,0))/($B$8-1))</f>
        <v>#DIV/0!</v>
      </c>
      <c r="AI569" s="1" t="e">
        <f t="shared" si="51"/>
        <v>#DIV/0!</v>
      </c>
      <c r="AJ569" s="4" t="e">
        <f ca="1">SQRT($B$9)*_xlfn.STDEV.S(AI569:OFFSET(AI569,$B$5-1,0))</f>
        <v>#DIV/0!</v>
      </c>
      <c r="AK569" s="4" t="e">
        <f ca="1">SQRT($B$9)*_xlfn.STDEV.S(AI569:OFFSET(AI569,$B$6-1,0))</f>
        <v>#DIV/0!</v>
      </c>
      <c r="AL569" s="4" t="e">
        <f ca="1">SQRT($B$9)*_xlfn.STDEV.S(AI569:OFFSET(AI569,$B$7-1,0))</f>
        <v>#DIV/0!</v>
      </c>
      <c r="AM569" s="4" t="e">
        <f ca="1">SQRT($B$9)*_xlfn.STDEV.S(AI569:OFFSET(AI569,$B$8-1,0))</f>
        <v>#DIV/0!</v>
      </c>
    </row>
    <row r="570" spans="5:39" x14ac:dyDescent="0.2">
      <c r="E570" s="42">
        <v>44623</v>
      </c>
      <c r="F570" s="43"/>
      <c r="G570" s="43"/>
      <c r="H570" s="43"/>
      <c r="I570" s="43"/>
      <c r="K570" s="3" t="e">
        <f t="shared" si="49"/>
        <v>#DIV/0!</v>
      </c>
      <c r="L570" s="3" t="e">
        <f ca="1">SQRT(AVERAGE(K570:OFFSET(K570,$B$5-1,0))*$B$9/(4*LN(2)))</f>
        <v>#DIV/0!</v>
      </c>
      <c r="M570" s="3" t="e">
        <f ca="1">SQRT(AVERAGE(K570:OFFSET(K570,$B$6-1,0))*$B$9/(4*LN(2)))</f>
        <v>#DIV/0!</v>
      </c>
      <c r="N570" s="3" t="e">
        <f ca="1">SQRT(AVERAGE(K570:OFFSET(K570,$B$7-1,0))*$B$9/(4*LN(2)))</f>
        <v>#DIV/0!</v>
      </c>
      <c r="O570" s="3" t="e">
        <f ca="1">SQRT(AVERAGE(K570:OFFSET(K570,$B$8-1,0))*$B$9/(4*LN(2)))</f>
        <v>#DIV/0!</v>
      </c>
      <c r="Q570" s="5" t="e">
        <f t="shared" si="48"/>
        <v>#DIV/0!</v>
      </c>
      <c r="R570" s="5" t="e">
        <f ca="1">SQRT($B$9*AVERAGE((Q570:OFFSET(Q570,$B$5-1,0))))</f>
        <v>#DIV/0!</v>
      </c>
      <c r="S570" s="5" t="e">
        <f ca="1">SQRT($B$9*AVERAGE((Q570:OFFSET(Q570,$B$6-1,0))))</f>
        <v>#DIV/0!</v>
      </c>
      <c r="T570" s="5" t="e">
        <f ca="1">SQRT($B$9*AVERAGE((Q570:OFFSET(Q570,$B$7-1,0))))</f>
        <v>#DIV/0!</v>
      </c>
      <c r="U570" s="5" t="e">
        <f ca="1">SQRT($B$9*AVERAGE((Q570:OFFSET(Q570,$B$8-1,0))))</f>
        <v>#DIV/0!</v>
      </c>
      <c r="W570" s="6" t="e">
        <f t="shared" si="52"/>
        <v>#DIV/0!</v>
      </c>
      <c r="X570" s="6" t="e">
        <f ca="1">SQRT($B$9*AVERAGE(W570:OFFSET(W570,$B$5-1,0)))</f>
        <v>#DIV/0!</v>
      </c>
      <c r="Y570" s="6" t="e">
        <f ca="1">SQRT($B$9*AVERAGE(W570:OFFSET(W570,$B$6-1,0)))</f>
        <v>#DIV/0!</v>
      </c>
      <c r="Z570" s="6" t="e">
        <f ca="1">SQRT($B$9*AVERAGE(W570:OFFSET(W570,$B$7-1,0)))</f>
        <v>#DIV/0!</v>
      </c>
      <c r="AA570" s="6" t="e">
        <f ca="1">SQRT($B$9*AVERAGE(W570:OFFSET(W570,$B$8-1,0)))</f>
        <v>#DIV/0!</v>
      </c>
      <c r="AC570" s="34" t="e">
        <f t="shared" si="50"/>
        <v>#DIV/0!</v>
      </c>
      <c r="AD570" s="34" t="e">
        <f ca="1">SQRT($B$9*SUM(AC570:OFFSET(AC570,$B$5-1,0))/($B$5-1))</f>
        <v>#DIV/0!</v>
      </c>
      <c r="AE570" s="34" t="e">
        <f ca="1">SQRT($B$9*SUM(AC570:OFFSET(AC570,$B$6-1,0))/($B$6-1))</f>
        <v>#DIV/0!</v>
      </c>
      <c r="AF570" s="34" t="e">
        <f ca="1">SQRT($B$9*SUM(AC570:OFFSET(AC570,$B$7-1,0))/($B$7-1))</f>
        <v>#DIV/0!</v>
      </c>
      <c r="AG570" s="34" t="e">
        <f ca="1">SQRT($B$9*SUM(AC570:OFFSET(AC570,$B$8-1,0))/($B$8-1))</f>
        <v>#DIV/0!</v>
      </c>
      <c r="AI570" s="1" t="e">
        <f t="shared" si="51"/>
        <v>#DIV/0!</v>
      </c>
      <c r="AJ570" s="4" t="e">
        <f ca="1">SQRT($B$9)*_xlfn.STDEV.S(AI570:OFFSET(AI570,$B$5-1,0))</f>
        <v>#DIV/0!</v>
      </c>
      <c r="AK570" s="4" t="e">
        <f ca="1">SQRT($B$9)*_xlfn.STDEV.S(AI570:OFFSET(AI570,$B$6-1,0))</f>
        <v>#DIV/0!</v>
      </c>
      <c r="AL570" s="4" t="e">
        <f ca="1">SQRT($B$9)*_xlfn.STDEV.S(AI570:OFFSET(AI570,$B$7-1,0))</f>
        <v>#DIV/0!</v>
      </c>
      <c r="AM570" s="4" t="e">
        <f ca="1">SQRT($B$9)*_xlfn.STDEV.S(AI570:OFFSET(AI570,$B$8-1,0))</f>
        <v>#DIV/0!</v>
      </c>
    </row>
    <row r="571" spans="5:39" x14ac:dyDescent="0.2">
      <c r="E571" s="42">
        <v>44622</v>
      </c>
      <c r="F571" s="43"/>
      <c r="G571" s="43"/>
      <c r="H571" s="43"/>
      <c r="I571" s="43"/>
      <c r="K571" s="3" t="e">
        <f t="shared" si="49"/>
        <v>#DIV/0!</v>
      </c>
      <c r="L571" s="3" t="e">
        <f ca="1">SQRT(AVERAGE(K571:OFFSET(K571,$B$5-1,0))*$B$9/(4*LN(2)))</f>
        <v>#DIV/0!</v>
      </c>
      <c r="M571" s="3" t="e">
        <f ca="1">SQRT(AVERAGE(K571:OFFSET(K571,$B$6-1,0))*$B$9/(4*LN(2)))</f>
        <v>#DIV/0!</v>
      </c>
      <c r="N571" s="3" t="e">
        <f ca="1">SQRT(AVERAGE(K571:OFFSET(K571,$B$7-1,0))*$B$9/(4*LN(2)))</f>
        <v>#DIV/0!</v>
      </c>
      <c r="O571" s="3" t="e">
        <f ca="1">SQRT(AVERAGE(K571:OFFSET(K571,$B$8-1,0))*$B$9/(4*LN(2)))</f>
        <v>#DIV/0!</v>
      </c>
      <c r="Q571" s="5" t="e">
        <f t="shared" si="48"/>
        <v>#DIV/0!</v>
      </c>
      <c r="R571" s="5" t="e">
        <f ca="1">SQRT($B$9*AVERAGE((Q571:OFFSET(Q571,$B$5-1,0))))</f>
        <v>#DIV/0!</v>
      </c>
      <c r="S571" s="5" t="e">
        <f ca="1">SQRT($B$9*AVERAGE((Q571:OFFSET(Q571,$B$6-1,0))))</f>
        <v>#DIV/0!</v>
      </c>
      <c r="T571" s="5" t="e">
        <f ca="1">SQRT($B$9*AVERAGE((Q571:OFFSET(Q571,$B$7-1,0))))</f>
        <v>#DIV/0!</v>
      </c>
      <c r="U571" s="5" t="e">
        <f ca="1">SQRT($B$9*AVERAGE((Q571:OFFSET(Q571,$B$8-1,0))))</f>
        <v>#DIV/0!</v>
      </c>
      <c r="W571" s="6" t="e">
        <f t="shared" si="52"/>
        <v>#DIV/0!</v>
      </c>
      <c r="X571" s="6" t="e">
        <f ca="1">SQRT($B$9*AVERAGE(W571:OFFSET(W571,$B$5-1,0)))</f>
        <v>#DIV/0!</v>
      </c>
      <c r="Y571" s="6" t="e">
        <f ca="1">SQRT($B$9*AVERAGE(W571:OFFSET(W571,$B$6-1,0)))</f>
        <v>#DIV/0!</v>
      </c>
      <c r="Z571" s="6" t="e">
        <f ca="1">SQRT($B$9*AVERAGE(W571:OFFSET(W571,$B$7-1,0)))</f>
        <v>#DIV/0!</v>
      </c>
      <c r="AA571" s="6" t="e">
        <f ca="1">SQRT($B$9*AVERAGE(W571:OFFSET(W571,$B$8-1,0)))</f>
        <v>#DIV/0!</v>
      </c>
      <c r="AC571" s="34" t="e">
        <f t="shared" si="50"/>
        <v>#DIV/0!</v>
      </c>
      <c r="AD571" s="34" t="e">
        <f ca="1">SQRT($B$9*SUM(AC571:OFFSET(AC571,$B$5-1,0))/($B$5-1))</f>
        <v>#DIV/0!</v>
      </c>
      <c r="AE571" s="34" t="e">
        <f ca="1">SQRT($B$9*SUM(AC571:OFFSET(AC571,$B$6-1,0))/($B$6-1))</f>
        <v>#DIV/0!</v>
      </c>
      <c r="AF571" s="34" t="e">
        <f ca="1">SQRT($B$9*SUM(AC571:OFFSET(AC571,$B$7-1,0))/($B$7-1))</f>
        <v>#DIV/0!</v>
      </c>
      <c r="AG571" s="34" t="e">
        <f ca="1">SQRT($B$9*SUM(AC571:OFFSET(AC571,$B$8-1,0))/($B$8-1))</f>
        <v>#DIV/0!</v>
      </c>
      <c r="AI571" s="1" t="e">
        <f t="shared" si="51"/>
        <v>#DIV/0!</v>
      </c>
      <c r="AJ571" s="4" t="e">
        <f ca="1">SQRT($B$9)*_xlfn.STDEV.S(AI571:OFFSET(AI571,$B$5-1,0))</f>
        <v>#DIV/0!</v>
      </c>
      <c r="AK571" s="4" t="e">
        <f ca="1">SQRT($B$9)*_xlfn.STDEV.S(AI571:OFFSET(AI571,$B$6-1,0))</f>
        <v>#DIV/0!</v>
      </c>
      <c r="AL571" s="4" t="e">
        <f ca="1">SQRT($B$9)*_xlfn.STDEV.S(AI571:OFFSET(AI571,$B$7-1,0))</f>
        <v>#DIV/0!</v>
      </c>
      <c r="AM571" s="4" t="e">
        <f ca="1">SQRT($B$9)*_xlfn.STDEV.S(AI571:OFFSET(AI571,$B$8-1,0))</f>
        <v>#DIV/0!</v>
      </c>
    </row>
    <row r="572" spans="5:39" x14ac:dyDescent="0.2">
      <c r="E572" s="42">
        <v>44621</v>
      </c>
      <c r="F572" s="43"/>
      <c r="G572" s="43"/>
      <c r="H572" s="43"/>
      <c r="I572" s="43"/>
      <c r="K572" s="3" t="e">
        <f t="shared" si="49"/>
        <v>#DIV/0!</v>
      </c>
      <c r="L572" s="3" t="e">
        <f ca="1">SQRT(AVERAGE(K572:OFFSET(K572,$B$5-1,0))*$B$9/(4*LN(2)))</f>
        <v>#DIV/0!</v>
      </c>
      <c r="M572" s="3" t="e">
        <f ca="1">SQRT(AVERAGE(K572:OFFSET(K572,$B$6-1,0))*$B$9/(4*LN(2)))</f>
        <v>#DIV/0!</v>
      </c>
      <c r="N572" s="3" t="e">
        <f ca="1">SQRT(AVERAGE(K572:OFFSET(K572,$B$7-1,0))*$B$9/(4*LN(2)))</f>
        <v>#DIV/0!</v>
      </c>
      <c r="O572" s="3" t="e">
        <f ca="1">SQRT(AVERAGE(K572:OFFSET(K572,$B$8-1,0))*$B$9/(4*LN(2)))</f>
        <v>#DIV/0!</v>
      </c>
      <c r="Q572" s="5" t="e">
        <f t="shared" si="48"/>
        <v>#DIV/0!</v>
      </c>
      <c r="R572" s="5" t="e">
        <f ca="1">SQRT($B$9*AVERAGE((Q572:OFFSET(Q572,$B$5-1,0))))</f>
        <v>#DIV/0!</v>
      </c>
      <c r="S572" s="5" t="e">
        <f ca="1">SQRT($B$9*AVERAGE((Q572:OFFSET(Q572,$B$6-1,0))))</f>
        <v>#DIV/0!</v>
      </c>
      <c r="T572" s="5" t="e">
        <f ca="1">SQRT($B$9*AVERAGE((Q572:OFFSET(Q572,$B$7-1,0))))</f>
        <v>#DIV/0!</v>
      </c>
      <c r="U572" s="5" t="e">
        <f ca="1">SQRT($B$9*AVERAGE((Q572:OFFSET(Q572,$B$8-1,0))))</f>
        <v>#DIV/0!</v>
      </c>
      <c r="W572" s="6" t="e">
        <f t="shared" si="52"/>
        <v>#DIV/0!</v>
      </c>
      <c r="X572" s="6" t="e">
        <f ca="1">SQRT($B$9*AVERAGE(W572:OFFSET(W572,$B$5-1,0)))</f>
        <v>#DIV/0!</v>
      </c>
      <c r="Y572" s="6" t="e">
        <f ca="1">SQRT($B$9*AVERAGE(W572:OFFSET(W572,$B$6-1,0)))</f>
        <v>#DIV/0!</v>
      </c>
      <c r="Z572" s="6" t="e">
        <f ca="1">SQRT($B$9*AVERAGE(W572:OFFSET(W572,$B$7-1,0)))</f>
        <v>#DIV/0!</v>
      </c>
      <c r="AA572" s="6" t="e">
        <f ca="1">SQRT($B$9*AVERAGE(W572:OFFSET(W572,$B$8-1,0)))</f>
        <v>#DIV/0!</v>
      </c>
      <c r="AC572" s="34" t="e">
        <f t="shared" si="50"/>
        <v>#DIV/0!</v>
      </c>
      <c r="AD572" s="34" t="e">
        <f ca="1">SQRT($B$9*SUM(AC572:OFFSET(AC572,$B$5-1,0))/($B$5-1))</f>
        <v>#DIV/0!</v>
      </c>
      <c r="AE572" s="34" t="e">
        <f ca="1">SQRT($B$9*SUM(AC572:OFFSET(AC572,$B$6-1,0))/($B$6-1))</f>
        <v>#DIV/0!</v>
      </c>
      <c r="AF572" s="34" t="e">
        <f ca="1">SQRT($B$9*SUM(AC572:OFFSET(AC572,$B$7-1,0))/($B$7-1))</f>
        <v>#DIV/0!</v>
      </c>
      <c r="AG572" s="34" t="e">
        <f ca="1">SQRT($B$9*SUM(AC572:OFFSET(AC572,$B$8-1,0))/($B$8-1))</f>
        <v>#DIV/0!</v>
      </c>
      <c r="AI572" s="1" t="e">
        <f t="shared" si="51"/>
        <v>#DIV/0!</v>
      </c>
      <c r="AJ572" s="4" t="e">
        <f ca="1">SQRT($B$9)*_xlfn.STDEV.S(AI572:OFFSET(AI572,$B$5-1,0))</f>
        <v>#DIV/0!</v>
      </c>
      <c r="AK572" s="4" t="e">
        <f ca="1">SQRT($B$9)*_xlfn.STDEV.S(AI572:OFFSET(AI572,$B$6-1,0))</f>
        <v>#DIV/0!</v>
      </c>
      <c r="AL572" s="4" t="e">
        <f ca="1">SQRT($B$9)*_xlfn.STDEV.S(AI572:OFFSET(AI572,$B$7-1,0))</f>
        <v>#DIV/0!</v>
      </c>
      <c r="AM572" s="4" t="e">
        <f ca="1">SQRT($B$9)*_xlfn.STDEV.S(AI572:OFFSET(AI572,$B$8-1,0))</f>
        <v>#DIV/0!</v>
      </c>
    </row>
    <row r="573" spans="5:39" x14ac:dyDescent="0.2">
      <c r="E573" s="42">
        <v>44620</v>
      </c>
      <c r="F573" s="43"/>
      <c r="G573" s="43"/>
      <c r="H573" s="43"/>
      <c r="I573" s="43"/>
      <c r="K573" s="3" t="e">
        <f t="shared" si="49"/>
        <v>#DIV/0!</v>
      </c>
      <c r="L573" s="3" t="e">
        <f ca="1">SQRT(AVERAGE(K573:OFFSET(K573,$B$5-1,0))*$B$9/(4*LN(2)))</f>
        <v>#DIV/0!</v>
      </c>
      <c r="M573" s="3" t="e">
        <f ca="1">SQRT(AVERAGE(K573:OFFSET(K573,$B$6-1,0))*$B$9/(4*LN(2)))</f>
        <v>#DIV/0!</v>
      </c>
      <c r="N573" s="3" t="e">
        <f ca="1">SQRT(AVERAGE(K573:OFFSET(K573,$B$7-1,0))*$B$9/(4*LN(2)))</f>
        <v>#DIV/0!</v>
      </c>
      <c r="O573" s="3" t="e">
        <f ca="1">SQRT(AVERAGE(K573:OFFSET(K573,$B$8-1,0))*$B$9/(4*LN(2)))</f>
        <v>#DIV/0!</v>
      </c>
      <c r="Q573" s="5" t="e">
        <f t="shared" si="48"/>
        <v>#DIV/0!</v>
      </c>
      <c r="R573" s="5" t="e">
        <f ca="1">SQRT($B$9*AVERAGE((Q573:OFFSET(Q573,$B$5-1,0))))</f>
        <v>#DIV/0!</v>
      </c>
      <c r="S573" s="5" t="e">
        <f ca="1">SQRT($B$9*AVERAGE((Q573:OFFSET(Q573,$B$6-1,0))))</f>
        <v>#DIV/0!</v>
      </c>
      <c r="T573" s="5" t="e">
        <f ca="1">SQRT($B$9*AVERAGE((Q573:OFFSET(Q573,$B$7-1,0))))</f>
        <v>#DIV/0!</v>
      </c>
      <c r="U573" s="5" t="e">
        <f ca="1">SQRT($B$9*AVERAGE((Q573:OFFSET(Q573,$B$8-1,0))))</f>
        <v>#DIV/0!</v>
      </c>
      <c r="W573" s="6" t="e">
        <f t="shared" si="52"/>
        <v>#DIV/0!</v>
      </c>
      <c r="X573" s="6" t="e">
        <f ca="1">SQRT($B$9*AVERAGE(W573:OFFSET(W573,$B$5-1,0)))</f>
        <v>#DIV/0!</v>
      </c>
      <c r="Y573" s="6" t="e">
        <f ca="1">SQRT($B$9*AVERAGE(W573:OFFSET(W573,$B$6-1,0)))</f>
        <v>#DIV/0!</v>
      </c>
      <c r="Z573" s="6" t="e">
        <f ca="1">SQRT($B$9*AVERAGE(W573:OFFSET(W573,$B$7-1,0)))</f>
        <v>#DIV/0!</v>
      </c>
      <c r="AA573" s="6" t="e">
        <f ca="1">SQRT($B$9*AVERAGE(W573:OFFSET(W573,$B$8-1,0)))</f>
        <v>#DIV/0!</v>
      </c>
      <c r="AC573" s="34" t="e">
        <f t="shared" si="50"/>
        <v>#DIV/0!</v>
      </c>
      <c r="AD573" s="34" t="e">
        <f ca="1">SQRT($B$9*SUM(AC573:OFFSET(AC573,$B$5-1,0))/($B$5-1))</f>
        <v>#DIV/0!</v>
      </c>
      <c r="AE573" s="34" t="e">
        <f ca="1">SQRT($B$9*SUM(AC573:OFFSET(AC573,$B$6-1,0))/($B$6-1))</f>
        <v>#DIV/0!</v>
      </c>
      <c r="AF573" s="34" t="e">
        <f ca="1">SQRT($B$9*SUM(AC573:OFFSET(AC573,$B$7-1,0))/($B$7-1))</f>
        <v>#DIV/0!</v>
      </c>
      <c r="AG573" s="34" t="e">
        <f ca="1">SQRT($B$9*SUM(AC573:OFFSET(AC573,$B$8-1,0))/($B$8-1))</f>
        <v>#DIV/0!</v>
      </c>
      <c r="AI573" s="1" t="e">
        <f t="shared" si="51"/>
        <v>#DIV/0!</v>
      </c>
      <c r="AJ573" s="4" t="e">
        <f ca="1">SQRT($B$9)*_xlfn.STDEV.S(AI573:OFFSET(AI573,$B$5-1,0))</f>
        <v>#DIV/0!</v>
      </c>
      <c r="AK573" s="4" t="e">
        <f ca="1">SQRT($B$9)*_xlfn.STDEV.S(AI573:OFFSET(AI573,$B$6-1,0))</f>
        <v>#DIV/0!</v>
      </c>
      <c r="AL573" s="4" t="e">
        <f ca="1">SQRT($B$9)*_xlfn.STDEV.S(AI573:OFFSET(AI573,$B$7-1,0))</f>
        <v>#DIV/0!</v>
      </c>
      <c r="AM573" s="4" t="e">
        <f ca="1">SQRT($B$9)*_xlfn.STDEV.S(AI573:OFFSET(AI573,$B$8-1,0))</f>
        <v>#DIV/0!</v>
      </c>
    </row>
    <row r="574" spans="5:39" x14ac:dyDescent="0.2">
      <c r="E574" s="42">
        <v>44617</v>
      </c>
      <c r="F574" s="43"/>
      <c r="G574" s="43"/>
      <c r="H574" s="43"/>
      <c r="I574" s="43"/>
      <c r="K574" s="3" t="e">
        <f t="shared" si="49"/>
        <v>#DIV/0!</v>
      </c>
      <c r="L574" s="3" t="e">
        <f ca="1">SQRT(AVERAGE(K574:OFFSET(K574,$B$5-1,0))*$B$9/(4*LN(2)))</f>
        <v>#DIV/0!</v>
      </c>
      <c r="M574" s="3" t="e">
        <f ca="1">SQRT(AVERAGE(K574:OFFSET(K574,$B$6-1,0))*$B$9/(4*LN(2)))</f>
        <v>#DIV/0!</v>
      </c>
      <c r="N574" s="3" t="e">
        <f ca="1">SQRT(AVERAGE(K574:OFFSET(K574,$B$7-1,0))*$B$9/(4*LN(2)))</f>
        <v>#DIV/0!</v>
      </c>
      <c r="O574" s="3" t="e">
        <f ca="1">SQRT(AVERAGE(K574:OFFSET(K574,$B$8-1,0))*$B$9/(4*LN(2)))</f>
        <v>#DIV/0!</v>
      </c>
      <c r="Q574" s="5" t="e">
        <f t="shared" si="48"/>
        <v>#DIV/0!</v>
      </c>
      <c r="R574" s="5" t="e">
        <f ca="1">SQRT($B$9*AVERAGE((Q574:OFFSET(Q574,$B$5-1,0))))</f>
        <v>#DIV/0!</v>
      </c>
      <c r="S574" s="5" t="e">
        <f ca="1">SQRT($B$9*AVERAGE((Q574:OFFSET(Q574,$B$6-1,0))))</f>
        <v>#DIV/0!</v>
      </c>
      <c r="T574" s="5" t="e">
        <f ca="1">SQRT($B$9*AVERAGE((Q574:OFFSET(Q574,$B$7-1,0))))</f>
        <v>#DIV/0!</v>
      </c>
      <c r="U574" s="5" t="e">
        <f ca="1">SQRT($B$9*AVERAGE((Q574:OFFSET(Q574,$B$8-1,0))))</f>
        <v>#DIV/0!</v>
      </c>
      <c r="W574" s="6" t="e">
        <f t="shared" si="52"/>
        <v>#DIV/0!</v>
      </c>
      <c r="X574" s="6" t="e">
        <f ca="1">SQRT($B$9*AVERAGE(W574:OFFSET(W574,$B$5-1,0)))</f>
        <v>#DIV/0!</v>
      </c>
      <c r="Y574" s="6" t="e">
        <f ca="1">SQRT($B$9*AVERAGE(W574:OFFSET(W574,$B$6-1,0)))</f>
        <v>#DIV/0!</v>
      </c>
      <c r="Z574" s="6" t="e">
        <f ca="1">SQRT($B$9*AVERAGE(W574:OFFSET(W574,$B$7-1,0)))</f>
        <v>#DIV/0!</v>
      </c>
      <c r="AA574" s="6" t="e">
        <f ca="1">SQRT($B$9*AVERAGE(W574:OFFSET(W574,$B$8-1,0)))</f>
        <v>#DIV/0!</v>
      </c>
      <c r="AC574" s="34" t="e">
        <f t="shared" si="50"/>
        <v>#DIV/0!</v>
      </c>
      <c r="AD574" s="34" t="e">
        <f ca="1">SQRT($B$9*SUM(AC574:OFFSET(AC574,$B$5-1,0))/($B$5-1))</f>
        <v>#DIV/0!</v>
      </c>
      <c r="AE574" s="34" t="e">
        <f ca="1">SQRT($B$9*SUM(AC574:OFFSET(AC574,$B$6-1,0))/($B$6-1))</f>
        <v>#DIV/0!</v>
      </c>
      <c r="AF574" s="34" t="e">
        <f ca="1">SQRT($B$9*SUM(AC574:OFFSET(AC574,$B$7-1,0))/($B$7-1))</f>
        <v>#DIV/0!</v>
      </c>
      <c r="AG574" s="34" t="e">
        <f ca="1">SQRT($B$9*SUM(AC574:OFFSET(AC574,$B$8-1,0))/($B$8-1))</f>
        <v>#DIV/0!</v>
      </c>
      <c r="AI574" s="1" t="e">
        <f t="shared" si="51"/>
        <v>#DIV/0!</v>
      </c>
      <c r="AJ574" s="4" t="e">
        <f ca="1">SQRT($B$9)*_xlfn.STDEV.S(AI574:OFFSET(AI574,$B$5-1,0))</f>
        <v>#DIV/0!</v>
      </c>
      <c r="AK574" s="4" t="e">
        <f ca="1">SQRT($B$9)*_xlfn.STDEV.S(AI574:OFFSET(AI574,$B$6-1,0))</f>
        <v>#DIV/0!</v>
      </c>
      <c r="AL574" s="4" t="e">
        <f ca="1">SQRT($B$9)*_xlfn.STDEV.S(AI574:OFFSET(AI574,$B$7-1,0))</f>
        <v>#DIV/0!</v>
      </c>
      <c r="AM574" s="4" t="e">
        <f ca="1">SQRT($B$9)*_xlfn.STDEV.S(AI574:OFFSET(AI574,$B$8-1,0))</f>
        <v>#DIV/0!</v>
      </c>
    </row>
    <row r="575" spans="5:39" x14ac:dyDescent="0.2">
      <c r="E575" s="42">
        <v>44616</v>
      </c>
      <c r="F575" s="43"/>
      <c r="G575" s="43"/>
      <c r="H575" s="43"/>
      <c r="I575" s="43"/>
      <c r="K575" s="3" t="e">
        <f t="shared" si="49"/>
        <v>#DIV/0!</v>
      </c>
      <c r="L575" s="3" t="e">
        <f ca="1">SQRT(AVERAGE(K575:OFFSET(K575,$B$5-1,0))*$B$9/(4*LN(2)))</f>
        <v>#DIV/0!</v>
      </c>
      <c r="M575" s="3" t="e">
        <f ca="1">SQRT(AVERAGE(K575:OFFSET(K575,$B$6-1,0))*$B$9/(4*LN(2)))</f>
        <v>#DIV/0!</v>
      </c>
      <c r="N575" s="3" t="e">
        <f ca="1">SQRT(AVERAGE(K575:OFFSET(K575,$B$7-1,0))*$B$9/(4*LN(2)))</f>
        <v>#DIV/0!</v>
      </c>
      <c r="O575" s="3" t="e">
        <f ca="1">SQRT(AVERAGE(K575:OFFSET(K575,$B$8-1,0))*$B$9/(4*LN(2)))</f>
        <v>#DIV/0!</v>
      </c>
      <c r="Q575" s="5" t="e">
        <f t="shared" si="48"/>
        <v>#DIV/0!</v>
      </c>
      <c r="R575" s="5" t="e">
        <f ca="1">SQRT($B$9*AVERAGE((Q575:OFFSET(Q575,$B$5-1,0))))</f>
        <v>#DIV/0!</v>
      </c>
      <c r="S575" s="5" t="e">
        <f ca="1">SQRT($B$9*AVERAGE((Q575:OFFSET(Q575,$B$6-1,0))))</f>
        <v>#DIV/0!</v>
      </c>
      <c r="T575" s="5" t="e">
        <f ca="1">SQRT($B$9*AVERAGE((Q575:OFFSET(Q575,$B$7-1,0))))</f>
        <v>#DIV/0!</v>
      </c>
      <c r="U575" s="5" t="e">
        <f ca="1">SQRT($B$9*AVERAGE((Q575:OFFSET(Q575,$B$8-1,0))))</f>
        <v>#DIV/0!</v>
      </c>
      <c r="W575" s="6" t="e">
        <f t="shared" si="52"/>
        <v>#DIV/0!</v>
      </c>
      <c r="X575" s="6" t="e">
        <f ca="1">SQRT($B$9*AVERAGE(W575:OFFSET(W575,$B$5-1,0)))</f>
        <v>#DIV/0!</v>
      </c>
      <c r="Y575" s="6" t="e">
        <f ca="1">SQRT($B$9*AVERAGE(W575:OFFSET(W575,$B$6-1,0)))</f>
        <v>#DIV/0!</v>
      </c>
      <c r="Z575" s="6" t="e">
        <f ca="1">SQRT($B$9*AVERAGE(W575:OFFSET(W575,$B$7-1,0)))</f>
        <v>#DIV/0!</v>
      </c>
      <c r="AA575" s="6" t="e">
        <f ca="1">SQRT($B$9*AVERAGE(W575:OFFSET(W575,$B$8-1,0)))</f>
        <v>#DIV/0!</v>
      </c>
      <c r="AC575" s="34" t="e">
        <f t="shared" si="50"/>
        <v>#DIV/0!</v>
      </c>
      <c r="AD575" s="34" t="e">
        <f ca="1">SQRT($B$9*SUM(AC575:OFFSET(AC575,$B$5-1,0))/($B$5-1))</f>
        <v>#DIV/0!</v>
      </c>
      <c r="AE575" s="34" t="e">
        <f ca="1">SQRT($B$9*SUM(AC575:OFFSET(AC575,$B$6-1,0))/($B$6-1))</f>
        <v>#DIV/0!</v>
      </c>
      <c r="AF575" s="34" t="e">
        <f ca="1">SQRT($B$9*SUM(AC575:OFFSET(AC575,$B$7-1,0))/($B$7-1))</f>
        <v>#DIV/0!</v>
      </c>
      <c r="AG575" s="34" t="e">
        <f ca="1">SQRT($B$9*SUM(AC575:OFFSET(AC575,$B$8-1,0))/($B$8-1))</f>
        <v>#DIV/0!</v>
      </c>
      <c r="AI575" s="1" t="e">
        <f t="shared" si="51"/>
        <v>#DIV/0!</v>
      </c>
      <c r="AJ575" s="4" t="e">
        <f ca="1">SQRT($B$9)*_xlfn.STDEV.S(AI575:OFFSET(AI575,$B$5-1,0))</f>
        <v>#DIV/0!</v>
      </c>
      <c r="AK575" s="4" t="e">
        <f ca="1">SQRT($B$9)*_xlfn.STDEV.S(AI575:OFFSET(AI575,$B$6-1,0))</f>
        <v>#DIV/0!</v>
      </c>
      <c r="AL575" s="4" t="e">
        <f ca="1">SQRT($B$9)*_xlfn.STDEV.S(AI575:OFFSET(AI575,$B$7-1,0))</f>
        <v>#DIV/0!</v>
      </c>
      <c r="AM575" s="4" t="e">
        <f ca="1">SQRT($B$9)*_xlfn.STDEV.S(AI575:OFFSET(AI575,$B$8-1,0))</f>
        <v>#DIV/0!</v>
      </c>
    </row>
    <row r="576" spans="5:39" x14ac:dyDescent="0.2">
      <c r="E576" s="42">
        <v>44615</v>
      </c>
      <c r="F576" s="43"/>
      <c r="G576" s="43"/>
      <c r="H576" s="43"/>
      <c r="I576" s="43"/>
      <c r="K576" s="3" t="e">
        <f t="shared" si="49"/>
        <v>#DIV/0!</v>
      </c>
      <c r="L576" s="3" t="e">
        <f ca="1">SQRT(AVERAGE(K576:OFFSET(K576,$B$5-1,0))*$B$9/(4*LN(2)))</f>
        <v>#DIV/0!</v>
      </c>
      <c r="M576" s="3" t="e">
        <f ca="1">SQRT(AVERAGE(K576:OFFSET(K576,$B$6-1,0))*$B$9/(4*LN(2)))</f>
        <v>#DIV/0!</v>
      </c>
      <c r="N576" s="3" t="e">
        <f ca="1">SQRT(AVERAGE(K576:OFFSET(K576,$B$7-1,0))*$B$9/(4*LN(2)))</f>
        <v>#DIV/0!</v>
      </c>
      <c r="O576" s="3" t="e">
        <f ca="1">SQRT(AVERAGE(K576:OFFSET(K576,$B$8-1,0))*$B$9/(4*LN(2)))</f>
        <v>#DIV/0!</v>
      </c>
      <c r="Q576" s="5" t="e">
        <f t="shared" si="48"/>
        <v>#DIV/0!</v>
      </c>
      <c r="R576" s="5" t="e">
        <f ca="1">SQRT($B$9*AVERAGE((Q576:OFFSET(Q576,$B$5-1,0))))</f>
        <v>#DIV/0!</v>
      </c>
      <c r="S576" s="5" t="e">
        <f ca="1">SQRT($B$9*AVERAGE((Q576:OFFSET(Q576,$B$6-1,0))))</f>
        <v>#DIV/0!</v>
      </c>
      <c r="T576" s="5" t="e">
        <f ca="1">SQRT($B$9*AVERAGE((Q576:OFFSET(Q576,$B$7-1,0))))</f>
        <v>#DIV/0!</v>
      </c>
      <c r="U576" s="5" t="e">
        <f ca="1">SQRT($B$9*AVERAGE((Q576:OFFSET(Q576,$B$8-1,0))))</f>
        <v>#DIV/0!</v>
      </c>
      <c r="W576" s="6" t="e">
        <f t="shared" si="52"/>
        <v>#DIV/0!</v>
      </c>
      <c r="X576" s="6" t="e">
        <f ca="1">SQRT($B$9*AVERAGE(W576:OFFSET(W576,$B$5-1,0)))</f>
        <v>#DIV/0!</v>
      </c>
      <c r="Y576" s="6" t="e">
        <f ca="1">SQRT($B$9*AVERAGE(W576:OFFSET(W576,$B$6-1,0)))</f>
        <v>#DIV/0!</v>
      </c>
      <c r="Z576" s="6" t="e">
        <f ca="1">SQRT($B$9*AVERAGE(W576:OFFSET(W576,$B$7-1,0)))</f>
        <v>#DIV/0!</v>
      </c>
      <c r="AA576" s="6" t="e">
        <f ca="1">SQRT($B$9*AVERAGE(W576:OFFSET(W576,$B$8-1,0)))</f>
        <v>#DIV/0!</v>
      </c>
      <c r="AC576" s="34" t="e">
        <f t="shared" si="50"/>
        <v>#DIV/0!</v>
      </c>
      <c r="AD576" s="34" t="e">
        <f ca="1">SQRT($B$9*SUM(AC576:OFFSET(AC576,$B$5-1,0))/($B$5-1))</f>
        <v>#DIV/0!</v>
      </c>
      <c r="AE576" s="34" t="e">
        <f ca="1">SQRT($B$9*SUM(AC576:OFFSET(AC576,$B$6-1,0))/($B$6-1))</f>
        <v>#DIV/0!</v>
      </c>
      <c r="AF576" s="34" t="e">
        <f ca="1">SQRT($B$9*SUM(AC576:OFFSET(AC576,$B$7-1,0))/($B$7-1))</f>
        <v>#DIV/0!</v>
      </c>
      <c r="AG576" s="34" t="e">
        <f ca="1">SQRT($B$9*SUM(AC576:OFFSET(AC576,$B$8-1,0))/($B$8-1))</f>
        <v>#DIV/0!</v>
      </c>
      <c r="AI576" s="1" t="e">
        <f t="shared" si="51"/>
        <v>#DIV/0!</v>
      </c>
      <c r="AJ576" s="4" t="e">
        <f ca="1">SQRT($B$9)*_xlfn.STDEV.S(AI576:OFFSET(AI576,$B$5-1,0))</f>
        <v>#DIV/0!</v>
      </c>
      <c r="AK576" s="4" t="e">
        <f ca="1">SQRT($B$9)*_xlfn.STDEV.S(AI576:OFFSET(AI576,$B$6-1,0))</f>
        <v>#DIV/0!</v>
      </c>
      <c r="AL576" s="4" t="e">
        <f ca="1">SQRT($B$9)*_xlfn.STDEV.S(AI576:OFFSET(AI576,$B$7-1,0))</f>
        <v>#DIV/0!</v>
      </c>
      <c r="AM576" s="4" t="e">
        <f ca="1">SQRT($B$9)*_xlfn.STDEV.S(AI576:OFFSET(AI576,$B$8-1,0))</f>
        <v>#DIV/0!</v>
      </c>
    </row>
    <row r="577" spans="5:39" x14ac:dyDescent="0.2">
      <c r="E577" s="42">
        <v>44614</v>
      </c>
      <c r="F577" s="43"/>
      <c r="G577" s="43"/>
      <c r="H577" s="43"/>
      <c r="I577" s="43"/>
      <c r="K577" s="3" t="e">
        <f t="shared" si="49"/>
        <v>#DIV/0!</v>
      </c>
      <c r="L577" s="3" t="e">
        <f ca="1">SQRT(AVERAGE(K577:OFFSET(K577,$B$5-1,0))*$B$9/(4*LN(2)))</f>
        <v>#DIV/0!</v>
      </c>
      <c r="M577" s="3" t="e">
        <f ca="1">SQRT(AVERAGE(K577:OFFSET(K577,$B$6-1,0))*$B$9/(4*LN(2)))</f>
        <v>#DIV/0!</v>
      </c>
      <c r="N577" s="3" t="e">
        <f ca="1">SQRT(AVERAGE(K577:OFFSET(K577,$B$7-1,0))*$B$9/(4*LN(2)))</f>
        <v>#DIV/0!</v>
      </c>
      <c r="O577" s="3" t="e">
        <f ca="1">SQRT(AVERAGE(K577:OFFSET(K577,$B$8-1,0))*$B$9/(4*LN(2)))</f>
        <v>#DIV/0!</v>
      </c>
      <c r="Q577" s="5" t="e">
        <f t="shared" si="48"/>
        <v>#DIV/0!</v>
      </c>
      <c r="R577" s="5" t="e">
        <f ca="1">SQRT($B$9*AVERAGE((Q577:OFFSET(Q577,$B$5-1,0))))</f>
        <v>#DIV/0!</v>
      </c>
      <c r="S577" s="5" t="e">
        <f ca="1">SQRT($B$9*AVERAGE((Q577:OFFSET(Q577,$B$6-1,0))))</f>
        <v>#DIV/0!</v>
      </c>
      <c r="T577" s="5" t="e">
        <f ca="1">SQRT($B$9*AVERAGE((Q577:OFFSET(Q577,$B$7-1,0))))</f>
        <v>#DIV/0!</v>
      </c>
      <c r="U577" s="5" t="e">
        <f ca="1">SQRT($B$9*AVERAGE((Q577:OFFSET(Q577,$B$8-1,0))))</f>
        <v>#DIV/0!</v>
      </c>
      <c r="W577" s="6" t="e">
        <f t="shared" si="52"/>
        <v>#DIV/0!</v>
      </c>
      <c r="X577" s="6" t="e">
        <f ca="1">SQRT($B$9*AVERAGE(W577:OFFSET(W577,$B$5-1,0)))</f>
        <v>#DIV/0!</v>
      </c>
      <c r="Y577" s="6" t="e">
        <f ca="1">SQRT($B$9*AVERAGE(W577:OFFSET(W577,$B$6-1,0)))</f>
        <v>#DIV/0!</v>
      </c>
      <c r="Z577" s="6" t="e">
        <f ca="1">SQRT($B$9*AVERAGE(W577:OFFSET(W577,$B$7-1,0)))</f>
        <v>#DIV/0!</v>
      </c>
      <c r="AA577" s="6" t="e">
        <f ca="1">SQRT($B$9*AVERAGE(W577:OFFSET(W577,$B$8-1,0)))</f>
        <v>#DIV/0!</v>
      </c>
      <c r="AC577" s="34" t="e">
        <f t="shared" si="50"/>
        <v>#DIV/0!</v>
      </c>
      <c r="AD577" s="34" t="e">
        <f ca="1">SQRT($B$9*SUM(AC577:OFFSET(AC577,$B$5-1,0))/($B$5-1))</f>
        <v>#DIV/0!</v>
      </c>
      <c r="AE577" s="34" t="e">
        <f ca="1">SQRT($B$9*SUM(AC577:OFFSET(AC577,$B$6-1,0))/($B$6-1))</f>
        <v>#DIV/0!</v>
      </c>
      <c r="AF577" s="34" t="e">
        <f ca="1">SQRT($B$9*SUM(AC577:OFFSET(AC577,$B$7-1,0))/($B$7-1))</f>
        <v>#DIV/0!</v>
      </c>
      <c r="AG577" s="34" t="e">
        <f ca="1">SQRT($B$9*SUM(AC577:OFFSET(AC577,$B$8-1,0))/($B$8-1))</f>
        <v>#DIV/0!</v>
      </c>
      <c r="AI577" s="1" t="e">
        <f t="shared" si="51"/>
        <v>#DIV/0!</v>
      </c>
      <c r="AJ577" s="4" t="e">
        <f ca="1">SQRT($B$9)*_xlfn.STDEV.S(AI577:OFFSET(AI577,$B$5-1,0))</f>
        <v>#DIV/0!</v>
      </c>
      <c r="AK577" s="4" t="e">
        <f ca="1">SQRT($B$9)*_xlfn.STDEV.S(AI577:OFFSET(AI577,$B$6-1,0))</f>
        <v>#DIV/0!</v>
      </c>
      <c r="AL577" s="4" t="e">
        <f ca="1">SQRT($B$9)*_xlfn.STDEV.S(AI577:OFFSET(AI577,$B$7-1,0))</f>
        <v>#DIV/0!</v>
      </c>
      <c r="AM577" s="4" t="e">
        <f ca="1">SQRT($B$9)*_xlfn.STDEV.S(AI577:OFFSET(AI577,$B$8-1,0))</f>
        <v>#DIV/0!</v>
      </c>
    </row>
    <row r="578" spans="5:39" x14ac:dyDescent="0.2">
      <c r="E578" s="42">
        <v>44613</v>
      </c>
      <c r="F578" s="43"/>
      <c r="G578" s="43"/>
      <c r="H578" s="43"/>
      <c r="I578" s="43"/>
      <c r="K578" s="3" t="e">
        <f t="shared" si="49"/>
        <v>#DIV/0!</v>
      </c>
      <c r="L578" s="3" t="e">
        <f ca="1">SQRT(AVERAGE(K578:OFFSET(K578,$B$5-1,0))*$B$9/(4*LN(2)))</f>
        <v>#DIV/0!</v>
      </c>
      <c r="M578" s="3" t="e">
        <f ca="1">SQRT(AVERAGE(K578:OFFSET(K578,$B$6-1,0))*$B$9/(4*LN(2)))</f>
        <v>#DIV/0!</v>
      </c>
      <c r="N578" s="3" t="e">
        <f ca="1">SQRT(AVERAGE(K578:OFFSET(K578,$B$7-1,0))*$B$9/(4*LN(2)))</f>
        <v>#DIV/0!</v>
      </c>
      <c r="O578" s="3" t="e">
        <f ca="1">SQRT(AVERAGE(K578:OFFSET(K578,$B$8-1,0))*$B$9/(4*LN(2)))</f>
        <v>#DIV/0!</v>
      </c>
      <c r="Q578" s="5" t="e">
        <f t="shared" si="48"/>
        <v>#DIV/0!</v>
      </c>
      <c r="R578" s="5" t="e">
        <f ca="1">SQRT($B$9*AVERAGE((Q578:OFFSET(Q578,$B$5-1,0))))</f>
        <v>#DIV/0!</v>
      </c>
      <c r="S578" s="5" t="e">
        <f ca="1">SQRT($B$9*AVERAGE((Q578:OFFSET(Q578,$B$6-1,0))))</f>
        <v>#DIV/0!</v>
      </c>
      <c r="T578" s="5" t="e">
        <f ca="1">SQRT($B$9*AVERAGE((Q578:OFFSET(Q578,$B$7-1,0))))</f>
        <v>#DIV/0!</v>
      </c>
      <c r="U578" s="5" t="e">
        <f ca="1">SQRT($B$9*AVERAGE((Q578:OFFSET(Q578,$B$8-1,0))))</f>
        <v>#DIV/0!</v>
      </c>
      <c r="W578" s="6" t="e">
        <f t="shared" si="52"/>
        <v>#DIV/0!</v>
      </c>
      <c r="X578" s="6" t="e">
        <f ca="1">SQRT($B$9*AVERAGE(W578:OFFSET(W578,$B$5-1,0)))</f>
        <v>#DIV/0!</v>
      </c>
      <c r="Y578" s="6" t="e">
        <f ca="1">SQRT($B$9*AVERAGE(W578:OFFSET(W578,$B$6-1,0)))</f>
        <v>#DIV/0!</v>
      </c>
      <c r="Z578" s="6" t="e">
        <f ca="1">SQRT($B$9*AVERAGE(W578:OFFSET(W578,$B$7-1,0)))</f>
        <v>#DIV/0!</v>
      </c>
      <c r="AA578" s="6" t="e">
        <f ca="1">SQRT($B$9*AVERAGE(W578:OFFSET(W578,$B$8-1,0)))</f>
        <v>#DIV/0!</v>
      </c>
      <c r="AC578" s="34" t="e">
        <f t="shared" si="50"/>
        <v>#DIV/0!</v>
      </c>
      <c r="AD578" s="34" t="e">
        <f ca="1">SQRT($B$9*SUM(AC578:OFFSET(AC578,$B$5-1,0))/($B$5-1))</f>
        <v>#DIV/0!</v>
      </c>
      <c r="AE578" s="34" t="e">
        <f ca="1">SQRT($B$9*SUM(AC578:OFFSET(AC578,$B$6-1,0))/($B$6-1))</f>
        <v>#DIV/0!</v>
      </c>
      <c r="AF578" s="34" t="e">
        <f ca="1">SQRT($B$9*SUM(AC578:OFFSET(AC578,$B$7-1,0))/($B$7-1))</f>
        <v>#DIV/0!</v>
      </c>
      <c r="AG578" s="34" t="e">
        <f ca="1">SQRT($B$9*SUM(AC578:OFFSET(AC578,$B$8-1,0))/($B$8-1))</f>
        <v>#DIV/0!</v>
      </c>
      <c r="AI578" s="1" t="e">
        <f t="shared" si="51"/>
        <v>#DIV/0!</v>
      </c>
      <c r="AJ578" s="4" t="e">
        <f ca="1">SQRT($B$9)*_xlfn.STDEV.S(AI578:OFFSET(AI578,$B$5-1,0))</f>
        <v>#DIV/0!</v>
      </c>
      <c r="AK578" s="4" t="e">
        <f ca="1">SQRT($B$9)*_xlfn.STDEV.S(AI578:OFFSET(AI578,$B$6-1,0))</f>
        <v>#DIV/0!</v>
      </c>
      <c r="AL578" s="4" t="e">
        <f ca="1">SQRT($B$9)*_xlfn.STDEV.S(AI578:OFFSET(AI578,$B$7-1,0))</f>
        <v>#DIV/0!</v>
      </c>
      <c r="AM578" s="4" t="e">
        <f ca="1">SQRT($B$9)*_xlfn.STDEV.S(AI578:OFFSET(AI578,$B$8-1,0))</f>
        <v>#DIV/0!</v>
      </c>
    </row>
    <row r="579" spans="5:39" x14ac:dyDescent="0.2">
      <c r="E579" s="42">
        <v>44610</v>
      </c>
      <c r="F579" s="43"/>
      <c r="G579" s="43"/>
      <c r="H579" s="43"/>
      <c r="I579" s="43"/>
      <c r="K579" s="3" t="e">
        <f t="shared" si="49"/>
        <v>#DIV/0!</v>
      </c>
      <c r="L579" s="3" t="e">
        <f ca="1">SQRT(AVERAGE(K579:OFFSET(K579,$B$5-1,0))*$B$9/(4*LN(2)))</f>
        <v>#DIV/0!</v>
      </c>
      <c r="M579" s="3" t="e">
        <f ca="1">SQRT(AVERAGE(K579:OFFSET(K579,$B$6-1,0))*$B$9/(4*LN(2)))</f>
        <v>#DIV/0!</v>
      </c>
      <c r="N579" s="3" t="e">
        <f ca="1">SQRT(AVERAGE(K579:OFFSET(K579,$B$7-1,0))*$B$9/(4*LN(2)))</f>
        <v>#DIV/0!</v>
      </c>
      <c r="O579" s="3" t="e">
        <f ca="1">SQRT(AVERAGE(K579:OFFSET(K579,$B$8-1,0))*$B$9/(4*LN(2)))</f>
        <v>#DIV/0!</v>
      </c>
      <c r="Q579" s="5" t="e">
        <f t="shared" si="48"/>
        <v>#DIV/0!</v>
      </c>
      <c r="R579" s="5" t="e">
        <f ca="1">SQRT($B$9*AVERAGE((Q579:OFFSET(Q579,$B$5-1,0))))</f>
        <v>#DIV/0!</v>
      </c>
      <c r="S579" s="5" t="e">
        <f ca="1">SQRT($B$9*AVERAGE((Q579:OFFSET(Q579,$B$6-1,0))))</f>
        <v>#DIV/0!</v>
      </c>
      <c r="T579" s="5" t="e">
        <f ca="1">SQRT($B$9*AVERAGE((Q579:OFFSET(Q579,$B$7-1,0))))</f>
        <v>#DIV/0!</v>
      </c>
      <c r="U579" s="5" t="e">
        <f ca="1">SQRT($B$9*AVERAGE((Q579:OFFSET(Q579,$B$8-1,0))))</f>
        <v>#DIV/0!</v>
      </c>
      <c r="W579" s="6" t="e">
        <f t="shared" si="52"/>
        <v>#DIV/0!</v>
      </c>
      <c r="X579" s="6" t="e">
        <f ca="1">SQRT($B$9*AVERAGE(W579:OFFSET(W579,$B$5-1,0)))</f>
        <v>#DIV/0!</v>
      </c>
      <c r="Y579" s="6" t="e">
        <f ca="1">SQRT($B$9*AVERAGE(W579:OFFSET(W579,$B$6-1,0)))</f>
        <v>#DIV/0!</v>
      </c>
      <c r="Z579" s="6" t="e">
        <f ca="1">SQRT($B$9*AVERAGE(W579:OFFSET(W579,$B$7-1,0)))</f>
        <v>#DIV/0!</v>
      </c>
      <c r="AA579" s="6" t="e">
        <f ca="1">SQRT($B$9*AVERAGE(W579:OFFSET(W579,$B$8-1,0)))</f>
        <v>#DIV/0!</v>
      </c>
      <c r="AC579" s="34" t="e">
        <f t="shared" si="50"/>
        <v>#DIV/0!</v>
      </c>
      <c r="AD579" s="34" t="e">
        <f ca="1">SQRT($B$9*SUM(AC579:OFFSET(AC579,$B$5-1,0))/($B$5-1))</f>
        <v>#DIV/0!</v>
      </c>
      <c r="AE579" s="34" t="e">
        <f ca="1">SQRT($B$9*SUM(AC579:OFFSET(AC579,$B$6-1,0))/($B$6-1))</f>
        <v>#DIV/0!</v>
      </c>
      <c r="AF579" s="34" t="e">
        <f ca="1">SQRT($B$9*SUM(AC579:OFFSET(AC579,$B$7-1,0))/($B$7-1))</f>
        <v>#DIV/0!</v>
      </c>
      <c r="AG579" s="34" t="e">
        <f ca="1">SQRT($B$9*SUM(AC579:OFFSET(AC579,$B$8-1,0))/($B$8-1))</f>
        <v>#DIV/0!</v>
      </c>
      <c r="AI579" s="1" t="e">
        <f t="shared" si="51"/>
        <v>#DIV/0!</v>
      </c>
      <c r="AJ579" s="4" t="e">
        <f ca="1">SQRT($B$9)*_xlfn.STDEV.S(AI579:OFFSET(AI579,$B$5-1,0))</f>
        <v>#DIV/0!</v>
      </c>
      <c r="AK579" s="4" t="e">
        <f ca="1">SQRT($B$9)*_xlfn.STDEV.S(AI579:OFFSET(AI579,$B$6-1,0))</f>
        <v>#DIV/0!</v>
      </c>
      <c r="AL579" s="4" t="e">
        <f ca="1">SQRT($B$9)*_xlfn.STDEV.S(AI579:OFFSET(AI579,$B$7-1,0))</f>
        <v>#DIV/0!</v>
      </c>
      <c r="AM579" s="4" t="e">
        <f ca="1">SQRT($B$9)*_xlfn.STDEV.S(AI579:OFFSET(AI579,$B$8-1,0))</f>
        <v>#DIV/0!</v>
      </c>
    </row>
    <row r="580" spans="5:39" x14ac:dyDescent="0.2">
      <c r="E580" s="42">
        <v>44609</v>
      </c>
      <c r="F580" s="43"/>
      <c r="G580" s="43"/>
      <c r="H580" s="43"/>
      <c r="I580" s="43"/>
      <c r="K580" s="3" t="e">
        <f t="shared" si="49"/>
        <v>#DIV/0!</v>
      </c>
      <c r="L580" s="3" t="e">
        <f ca="1">SQRT(AVERAGE(K580:OFFSET(K580,$B$5-1,0))*$B$9/(4*LN(2)))</f>
        <v>#DIV/0!</v>
      </c>
      <c r="M580" s="3" t="e">
        <f ca="1">SQRT(AVERAGE(K580:OFFSET(K580,$B$6-1,0))*$B$9/(4*LN(2)))</f>
        <v>#DIV/0!</v>
      </c>
      <c r="N580" s="3" t="e">
        <f ca="1">SQRT(AVERAGE(K580:OFFSET(K580,$B$7-1,0))*$B$9/(4*LN(2)))</f>
        <v>#DIV/0!</v>
      </c>
      <c r="O580" s="3" t="e">
        <f ca="1">SQRT(AVERAGE(K580:OFFSET(K580,$B$8-1,0))*$B$9/(4*LN(2)))</f>
        <v>#DIV/0!</v>
      </c>
      <c r="Q580" s="5" t="e">
        <f t="shared" si="48"/>
        <v>#DIV/0!</v>
      </c>
      <c r="R580" s="5" t="e">
        <f ca="1">SQRT($B$9*AVERAGE((Q580:OFFSET(Q580,$B$5-1,0))))</f>
        <v>#DIV/0!</v>
      </c>
      <c r="S580" s="5" t="e">
        <f ca="1">SQRT($B$9*AVERAGE((Q580:OFFSET(Q580,$B$6-1,0))))</f>
        <v>#DIV/0!</v>
      </c>
      <c r="T580" s="5" t="e">
        <f ca="1">SQRT($B$9*AVERAGE((Q580:OFFSET(Q580,$B$7-1,0))))</f>
        <v>#DIV/0!</v>
      </c>
      <c r="U580" s="5" t="e">
        <f ca="1">SQRT($B$9*AVERAGE((Q580:OFFSET(Q580,$B$8-1,0))))</f>
        <v>#DIV/0!</v>
      </c>
      <c r="W580" s="6" t="e">
        <f t="shared" si="52"/>
        <v>#DIV/0!</v>
      </c>
      <c r="X580" s="6" t="e">
        <f ca="1">SQRT($B$9*AVERAGE(W580:OFFSET(W580,$B$5-1,0)))</f>
        <v>#DIV/0!</v>
      </c>
      <c r="Y580" s="6" t="e">
        <f ca="1">SQRT($B$9*AVERAGE(W580:OFFSET(W580,$B$6-1,0)))</f>
        <v>#DIV/0!</v>
      </c>
      <c r="Z580" s="6" t="e">
        <f ca="1">SQRT($B$9*AVERAGE(W580:OFFSET(W580,$B$7-1,0)))</f>
        <v>#DIV/0!</v>
      </c>
      <c r="AA580" s="6" t="e">
        <f ca="1">SQRT($B$9*AVERAGE(W580:OFFSET(W580,$B$8-1,0)))</f>
        <v>#DIV/0!</v>
      </c>
      <c r="AC580" s="34" t="e">
        <f t="shared" si="50"/>
        <v>#DIV/0!</v>
      </c>
      <c r="AD580" s="34" t="e">
        <f ca="1">SQRT($B$9*SUM(AC580:OFFSET(AC580,$B$5-1,0))/($B$5-1))</f>
        <v>#DIV/0!</v>
      </c>
      <c r="AE580" s="34" t="e">
        <f ca="1">SQRT($B$9*SUM(AC580:OFFSET(AC580,$B$6-1,0))/($B$6-1))</f>
        <v>#DIV/0!</v>
      </c>
      <c r="AF580" s="34" t="e">
        <f ca="1">SQRT($B$9*SUM(AC580:OFFSET(AC580,$B$7-1,0))/($B$7-1))</f>
        <v>#DIV/0!</v>
      </c>
      <c r="AG580" s="34" t="e">
        <f ca="1">SQRT($B$9*SUM(AC580:OFFSET(AC580,$B$8-1,0))/($B$8-1))</f>
        <v>#DIV/0!</v>
      </c>
      <c r="AI580" s="1" t="e">
        <f t="shared" si="51"/>
        <v>#DIV/0!</v>
      </c>
      <c r="AJ580" s="4" t="e">
        <f ca="1">SQRT($B$9)*_xlfn.STDEV.S(AI580:OFFSET(AI580,$B$5-1,0))</f>
        <v>#DIV/0!</v>
      </c>
      <c r="AK580" s="4" t="e">
        <f ca="1">SQRT($B$9)*_xlfn.STDEV.S(AI580:OFFSET(AI580,$B$6-1,0))</f>
        <v>#DIV/0!</v>
      </c>
      <c r="AL580" s="4" t="e">
        <f ca="1">SQRT($B$9)*_xlfn.STDEV.S(AI580:OFFSET(AI580,$B$7-1,0))</f>
        <v>#DIV/0!</v>
      </c>
      <c r="AM580" s="4" t="e">
        <f ca="1">SQRT($B$9)*_xlfn.STDEV.S(AI580:OFFSET(AI580,$B$8-1,0))</f>
        <v>#DIV/0!</v>
      </c>
    </row>
    <row r="581" spans="5:39" x14ac:dyDescent="0.2">
      <c r="E581" s="42">
        <v>44608</v>
      </c>
      <c r="F581" s="43"/>
      <c r="G581" s="43"/>
      <c r="H581" s="43"/>
      <c r="I581" s="43"/>
      <c r="K581" s="3" t="e">
        <f t="shared" si="49"/>
        <v>#DIV/0!</v>
      </c>
      <c r="L581" s="3" t="e">
        <f ca="1">SQRT(AVERAGE(K581:OFFSET(K581,$B$5-1,0))*$B$9/(4*LN(2)))</f>
        <v>#DIV/0!</v>
      </c>
      <c r="M581" s="3" t="e">
        <f ca="1">SQRT(AVERAGE(K581:OFFSET(K581,$B$6-1,0))*$B$9/(4*LN(2)))</f>
        <v>#DIV/0!</v>
      </c>
      <c r="N581" s="3" t="e">
        <f ca="1">SQRT(AVERAGE(K581:OFFSET(K581,$B$7-1,0))*$B$9/(4*LN(2)))</f>
        <v>#DIV/0!</v>
      </c>
      <c r="O581" s="3" t="e">
        <f ca="1">SQRT(AVERAGE(K581:OFFSET(K581,$B$8-1,0))*$B$9/(4*LN(2)))</f>
        <v>#DIV/0!</v>
      </c>
      <c r="Q581" s="5" t="e">
        <f t="shared" ref="Q581:Q644" si="53">0.511*(LN(G581/H581))^2-0.019*(LN(I581/F581)*LN(G581*H581/F581^2)-2*LN(G581/F581)*LN(H581/F581))-0.383*(LN(I581/F581))^2</f>
        <v>#DIV/0!</v>
      </c>
      <c r="R581" s="5" t="e">
        <f ca="1">SQRT($B$9*AVERAGE((Q581:OFFSET(Q581,$B$5-1,0))))</f>
        <v>#DIV/0!</v>
      </c>
      <c r="S581" s="5" t="e">
        <f ca="1">SQRT($B$9*AVERAGE((Q581:OFFSET(Q581,$B$6-1,0))))</f>
        <v>#DIV/0!</v>
      </c>
      <c r="T581" s="5" t="e">
        <f ca="1">SQRT($B$9*AVERAGE((Q581:OFFSET(Q581,$B$7-1,0))))</f>
        <v>#DIV/0!</v>
      </c>
      <c r="U581" s="5" t="e">
        <f ca="1">SQRT($B$9*AVERAGE((Q581:OFFSET(Q581,$B$8-1,0))))</f>
        <v>#DIV/0!</v>
      </c>
      <c r="W581" s="6" t="e">
        <f t="shared" si="52"/>
        <v>#DIV/0!</v>
      </c>
      <c r="X581" s="6" t="e">
        <f ca="1">SQRT($B$9*AVERAGE(W581:OFFSET(W581,$B$5-1,0)))</f>
        <v>#DIV/0!</v>
      </c>
      <c r="Y581" s="6" t="e">
        <f ca="1">SQRT($B$9*AVERAGE(W581:OFFSET(W581,$B$6-1,0)))</f>
        <v>#DIV/0!</v>
      </c>
      <c r="Z581" s="6" t="e">
        <f ca="1">SQRT($B$9*AVERAGE(W581:OFFSET(W581,$B$7-1,0)))</f>
        <v>#DIV/0!</v>
      </c>
      <c r="AA581" s="6" t="e">
        <f ca="1">SQRT($B$9*AVERAGE(W581:OFFSET(W581,$B$8-1,0)))</f>
        <v>#DIV/0!</v>
      </c>
      <c r="AC581" s="34" t="e">
        <f t="shared" si="50"/>
        <v>#DIV/0!</v>
      </c>
      <c r="AD581" s="34" t="e">
        <f ca="1">SQRT($B$9*SUM(AC581:OFFSET(AC581,$B$5-1,0))/($B$5-1))</f>
        <v>#DIV/0!</v>
      </c>
      <c r="AE581" s="34" t="e">
        <f ca="1">SQRT($B$9*SUM(AC581:OFFSET(AC581,$B$6-1,0))/($B$6-1))</f>
        <v>#DIV/0!</v>
      </c>
      <c r="AF581" s="34" t="e">
        <f ca="1">SQRT($B$9*SUM(AC581:OFFSET(AC581,$B$7-1,0))/($B$7-1))</f>
        <v>#DIV/0!</v>
      </c>
      <c r="AG581" s="34" t="e">
        <f ca="1">SQRT($B$9*SUM(AC581:OFFSET(AC581,$B$8-1,0))/($B$8-1))</f>
        <v>#DIV/0!</v>
      </c>
      <c r="AI581" s="1" t="e">
        <f t="shared" si="51"/>
        <v>#DIV/0!</v>
      </c>
      <c r="AJ581" s="4" t="e">
        <f ca="1">SQRT($B$9)*_xlfn.STDEV.S(AI581:OFFSET(AI581,$B$5-1,0))</f>
        <v>#DIV/0!</v>
      </c>
      <c r="AK581" s="4" t="e">
        <f ca="1">SQRT($B$9)*_xlfn.STDEV.S(AI581:OFFSET(AI581,$B$6-1,0))</f>
        <v>#DIV/0!</v>
      </c>
      <c r="AL581" s="4" t="e">
        <f ca="1">SQRT($B$9)*_xlfn.STDEV.S(AI581:OFFSET(AI581,$B$7-1,0))</f>
        <v>#DIV/0!</v>
      </c>
      <c r="AM581" s="4" t="e">
        <f ca="1">SQRT($B$9)*_xlfn.STDEV.S(AI581:OFFSET(AI581,$B$8-1,0))</f>
        <v>#DIV/0!</v>
      </c>
    </row>
    <row r="582" spans="5:39" x14ac:dyDescent="0.2">
      <c r="E582" s="42">
        <v>44607</v>
      </c>
      <c r="F582" s="43"/>
      <c r="G582" s="43"/>
      <c r="H582" s="43"/>
      <c r="I582" s="43"/>
      <c r="K582" s="3" t="e">
        <f t="shared" ref="K582:K645" si="54">(LN(G582/H582))^2</f>
        <v>#DIV/0!</v>
      </c>
      <c r="L582" s="3" t="e">
        <f ca="1">SQRT(AVERAGE(K582:OFFSET(K582,$B$5-1,0))*$B$9/(4*LN(2)))</f>
        <v>#DIV/0!</v>
      </c>
      <c r="M582" s="3" t="e">
        <f ca="1">SQRT(AVERAGE(K582:OFFSET(K582,$B$6-1,0))*$B$9/(4*LN(2)))</f>
        <v>#DIV/0!</v>
      </c>
      <c r="N582" s="3" t="e">
        <f ca="1">SQRT(AVERAGE(K582:OFFSET(K582,$B$7-1,0))*$B$9/(4*LN(2)))</f>
        <v>#DIV/0!</v>
      </c>
      <c r="O582" s="3" t="e">
        <f ca="1">SQRT(AVERAGE(K582:OFFSET(K582,$B$8-1,0))*$B$9/(4*LN(2)))</f>
        <v>#DIV/0!</v>
      </c>
      <c r="Q582" s="5" t="e">
        <f t="shared" si="53"/>
        <v>#DIV/0!</v>
      </c>
      <c r="R582" s="5" t="e">
        <f ca="1">SQRT($B$9*AVERAGE((Q582:OFFSET(Q582,$B$5-1,0))))</f>
        <v>#DIV/0!</v>
      </c>
      <c r="S582" s="5" t="e">
        <f ca="1">SQRT($B$9*AVERAGE((Q582:OFFSET(Q582,$B$6-1,0))))</f>
        <v>#DIV/0!</v>
      </c>
      <c r="T582" s="5" t="e">
        <f ca="1">SQRT($B$9*AVERAGE((Q582:OFFSET(Q582,$B$7-1,0))))</f>
        <v>#DIV/0!</v>
      </c>
      <c r="U582" s="5" t="e">
        <f ca="1">SQRT($B$9*AVERAGE((Q582:OFFSET(Q582,$B$8-1,0))))</f>
        <v>#DIV/0!</v>
      </c>
      <c r="W582" s="6" t="e">
        <f t="shared" si="52"/>
        <v>#DIV/0!</v>
      </c>
      <c r="X582" s="6" t="e">
        <f ca="1">SQRT($B$9*AVERAGE(W582:OFFSET(W582,$B$5-1,0)))</f>
        <v>#DIV/0!</v>
      </c>
      <c r="Y582" s="6" t="e">
        <f ca="1">SQRT($B$9*AVERAGE(W582:OFFSET(W582,$B$6-1,0)))</f>
        <v>#DIV/0!</v>
      </c>
      <c r="Z582" s="6" t="e">
        <f ca="1">SQRT($B$9*AVERAGE(W582:OFFSET(W582,$B$7-1,0)))</f>
        <v>#DIV/0!</v>
      </c>
      <c r="AA582" s="6" t="e">
        <f ca="1">SQRT($B$9*AVERAGE(W582:OFFSET(W582,$B$8-1,0)))</f>
        <v>#DIV/0!</v>
      </c>
      <c r="AC582" s="34" t="e">
        <f t="shared" si="50"/>
        <v>#DIV/0!</v>
      </c>
      <c r="AD582" s="34" t="e">
        <f ca="1">SQRT($B$9*SUM(AC582:OFFSET(AC582,$B$5-1,0))/($B$5-1))</f>
        <v>#DIV/0!</v>
      </c>
      <c r="AE582" s="34" t="e">
        <f ca="1">SQRT($B$9*SUM(AC582:OFFSET(AC582,$B$6-1,0))/($B$6-1))</f>
        <v>#DIV/0!</v>
      </c>
      <c r="AF582" s="34" t="e">
        <f ca="1">SQRT($B$9*SUM(AC582:OFFSET(AC582,$B$7-1,0))/($B$7-1))</f>
        <v>#DIV/0!</v>
      </c>
      <c r="AG582" s="34" t="e">
        <f ca="1">SQRT($B$9*SUM(AC582:OFFSET(AC582,$B$8-1,0))/($B$8-1))</f>
        <v>#DIV/0!</v>
      </c>
      <c r="AI582" s="1" t="e">
        <f t="shared" si="51"/>
        <v>#DIV/0!</v>
      </c>
      <c r="AJ582" s="4" t="e">
        <f ca="1">SQRT($B$9)*_xlfn.STDEV.S(AI582:OFFSET(AI582,$B$5-1,0))</f>
        <v>#DIV/0!</v>
      </c>
      <c r="AK582" s="4" t="e">
        <f ca="1">SQRT($B$9)*_xlfn.STDEV.S(AI582:OFFSET(AI582,$B$6-1,0))</f>
        <v>#DIV/0!</v>
      </c>
      <c r="AL582" s="4" t="e">
        <f ca="1">SQRT($B$9)*_xlfn.STDEV.S(AI582:OFFSET(AI582,$B$7-1,0))</f>
        <v>#DIV/0!</v>
      </c>
      <c r="AM582" s="4" t="e">
        <f ca="1">SQRT($B$9)*_xlfn.STDEV.S(AI582:OFFSET(AI582,$B$8-1,0))</f>
        <v>#DIV/0!</v>
      </c>
    </row>
    <row r="583" spans="5:39" x14ac:dyDescent="0.2">
      <c r="E583" s="42">
        <v>44606</v>
      </c>
      <c r="F583" s="43"/>
      <c r="G583" s="43"/>
      <c r="H583" s="43"/>
      <c r="I583" s="43"/>
      <c r="K583" s="3" t="e">
        <f t="shared" si="54"/>
        <v>#DIV/0!</v>
      </c>
      <c r="L583" s="3" t="e">
        <f ca="1">SQRT(AVERAGE(K583:OFFSET(K583,$B$5-1,0))*$B$9/(4*LN(2)))</f>
        <v>#DIV/0!</v>
      </c>
      <c r="M583" s="3" t="e">
        <f ca="1">SQRT(AVERAGE(K583:OFFSET(K583,$B$6-1,0))*$B$9/(4*LN(2)))</f>
        <v>#DIV/0!</v>
      </c>
      <c r="N583" s="3" t="e">
        <f ca="1">SQRT(AVERAGE(K583:OFFSET(K583,$B$7-1,0))*$B$9/(4*LN(2)))</f>
        <v>#DIV/0!</v>
      </c>
      <c r="O583" s="3" t="e">
        <f ca="1">SQRT(AVERAGE(K583:OFFSET(K583,$B$8-1,0))*$B$9/(4*LN(2)))</f>
        <v>#DIV/0!</v>
      </c>
      <c r="Q583" s="5" t="e">
        <f t="shared" si="53"/>
        <v>#DIV/0!</v>
      </c>
      <c r="R583" s="5" t="e">
        <f ca="1">SQRT($B$9*AVERAGE((Q583:OFFSET(Q583,$B$5-1,0))))</f>
        <v>#DIV/0!</v>
      </c>
      <c r="S583" s="5" t="e">
        <f ca="1">SQRT($B$9*AVERAGE((Q583:OFFSET(Q583,$B$6-1,0))))</f>
        <v>#DIV/0!</v>
      </c>
      <c r="T583" s="5" t="e">
        <f ca="1">SQRT($B$9*AVERAGE((Q583:OFFSET(Q583,$B$7-1,0))))</f>
        <v>#DIV/0!</v>
      </c>
      <c r="U583" s="5" t="e">
        <f ca="1">SQRT($B$9*AVERAGE((Q583:OFFSET(Q583,$B$8-1,0))))</f>
        <v>#DIV/0!</v>
      </c>
      <c r="W583" s="6" t="e">
        <f t="shared" si="52"/>
        <v>#DIV/0!</v>
      </c>
      <c r="X583" s="6" t="e">
        <f ca="1">SQRT($B$9*AVERAGE(W583:OFFSET(W583,$B$5-1,0)))</f>
        <v>#DIV/0!</v>
      </c>
      <c r="Y583" s="6" t="e">
        <f ca="1">SQRT($B$9*AVERAGE(W583:OFFSET(W583,$B$6-1,0)))</f>
        <v>#DIV/0!</v>
      </c>
      <c r="Z583" s="6" t="e">
        <f ca="1">SQRT($B$9*AVERAGE(W583:OFFSET(W583,$B$7-1,0)))</f>
        <v>#DIV/0!</v>
      </c>
      <c r="AA583" s="6" t="e">
        <f ca="1">SQRT($B$9*AVERAGE(W583:OFFSET(W583,$B$8-1,0)))</f>
        <v>#DIV/0!</v>
      </c>
      <c r="AC583" s="34" t="e">
        <f t="shared" si="50"/>
        <v>#DIV/0!</v>
      </c>
      <c r="AD583" s="34" t="e">
        <f ca="1">SQRT($B$9*SUM(AC583:OFFSET(AC583,$B$5-1,0))/($B$5-1))</f>
        <v>#DIV/0!</v>
      </c>
      <c r="AE583" s="34" t="e">
        <f ca="1">SQRT($B$9*SUM(AC583:OFFSET(AC583,$B$6-1,0))/($B$6-1))</f>
        <v>#DIV/0!</v>
      </c>
      <c r="AF583" s="34" t="e">
        <f ca="1">SQRT($B$9*SUM(AC583:OFFSET(AC583,$B$7-1,0))/($B$7-1))</f>
        <v>#DIV/0!</v>
      </c>
      <c r="AG583" s="34" t="e">
        <f ca="1">SQRT($B$9*SUM(AC583:OFFSET(AC583,$B$8-1,0))/($B$8-1))</f>
        <v>#DIV/0!</v>
      </c>
      <c r="AI583" s="1" t="e">
        <f t="shared" si="51"/>
        <v>#DIV/0!</v>
      </c>
      <c r="AJ583" s="4" t="e">
        <f ca="1">SQRT($B$9)*_xlfn.STDEV.S(AI583:OFFSET(AI583,$B$5-1,0))</f>
        <v>#DIV/0!</v>
      </c>
      <c r="AK583" s="4" t="e">
        <f ca="1">SQRT($B$9)*_xlfn.STDEV.S(AI583:OFFSET(AI583,$B$6-1,0))</f>
        <v>#DIV/0!</v>
      </c>
      <c r="AL583" s="4" t="e">
        <f ca="1">SQRT($B$9)*_xlfn.STDEV.S(AI583:OFFSET(AI583,$B$7-1,0))</f>
        <v>#DIV/0!</v>
      </c>
      <c r="AM583" s="4" t="e">
        <f ca="1">SQRT($B$9)*_xlfn.STDEV.S(AI583:OFFSET(AI583,$B$8-1,0))</f>
        <v>#DIV/0!</v>
      </c>
    </row>
    <row r="584" spans="5:39" x14ac:dyDescent="0.2">
      <c r="E584" s="42">
        <v>44603</v>
      </c>
      <c r="F584" s="43"/>
      <c r="G584" s="43"/>
      <c r="H584" s="43"/>
      <c r="I584" s="43"/>
      <c r="K584" s="3" t="e">
        <f t="shared" si="54"/>
        <v>#DIV/0!</v>
      </c>
      <c r="L584" s="3" t="e">
        <f ca="1">SQRT(AVERAGE(K584:OFFSET(K584,$B$5-1,0))*$B$9/(4*LN(2)))</f>
        <v>#DIV/0!</v>
      </c>
      <c r="M584" s="3" t="e">
        <f ca="1">SQRT(AVERAGE(K584:OFFSET(K584,$B$6-1,0))*$B$9/(4*LN(2)))</f>
        <v>#DIV/0!</v>
      </c>
      <c r="N584" s="3" t="e">
        <f ca="1">SQRT(AVERAGE(K584:OFFSET(K584,$B$7-1,0))*$B$9/(4*LN(2)))</f>
        <v>#DIV/0!</v>
      </c>
      <c r="O584" s="3" t="e">
        <f ca="1">SQRT(AVERAGE(K584:OFFSET(K584,$B$8-1,0))*$B$9/(4*LN(2)))</f>
        <v>#DIV/0!</v>
      </c>
      <c r="Q584" s="5" t="e">
        <f t="shared" si="53"/>
        <v>#DIV/0!</v>
      </c>
      <c r="R584" s="5" t="e">
        <f ca="1">SQRT($B$9*AVERAGE((Q584:OFFSET(Q584,$B$5-1,0))))</f>
        <v>#DIV/0!</v>
      </c>
      <c r="S584" s="5" t="e">
        <f ca="1">SQRT($B$9*AVERAGE((Q584:OFFSET(Q584,$B$6-1,0))))</f>
        <v>#DIV/0!</v>
      </c>
      <c r="T584" s="5" t="e">
        <f ca="1">SQRT($B$9*AVERAGE((Q584:OFFSET(Q584,$B$7-1,0))))</f>
        <v>#DIV/0!</v>
      </c>
      <c r="U584" s="5" t="e">
        <f ca="1">SQRT($B$9*AVERAGE((Q584:OFFSET(Q584,$B$8-1,0))))</f>
        <v>#DIV/0!</v>
      </c>
      <c r="W584" s="6" t="e">
        <f t="shared" si="52"/>
        <v>#DIV/0!</v>
      </c>
      <c r="X584" s="6" t="e">
        <f ca="1">SQRT($B$9*AVERAGE(W584:OFFSET(W584,$B$5-1,0)))</f>
        <v>#DIV/0!</v>
      </c>
      <c r="Y584" s="6" t="e">
        <f ca="1">SQRT($B$9*AVERAGE(W584:OFFSET(W584,$B$6-1,0)))</f>
        <v>#DIV/0!</v>
      </c>
      <c r="Z584" s="6" t="e">
        <f ca="1">SQRT($B$9*AVERAGE(W584:OFFSET(W584,$B$7-1,0)))</f>
        <v>#DIV/0!</v>
      </c>
      <c r="AA584" s="6" t="e">
        <f ca="1">SQRT($B$9*AVERAGE(W584:OFFSET(W584,$B$8-1,0)))</f>
        <v>#DIV/0!</v>
      </c>
      <c r="AC584" s="34" t="e">
        <f t="shared" si="50"/>
        <v>#DIV/0!</v>
      </c>
      <c r="AD584" s="34" t="e">
        <f ca="1">SQRT($B$9*SUM(AC584:OFFSET(AC584,$B$5-1,0))/($B$5-1))</f>
        <v>#DIV/0!</v>
      </c>
      <c r="AE584" s="34" t="e">
        <f ca="1">SQRT($B$9*SUM(AC584:OFFSET(AC584,$B$6-1,0))/($B$6-1))</f>
        <v>#DIV/0!</v>
      </c>
      <c r="AF584" s="34" t="e">
        <f ca="1">SQRT($B$9*SUM(AC584:OFFSET(AC584,$B$7-1,0))/($B$7-1))</f>
        <v>#DIV/0!</v>
      </c>
      <c r="AG584" s="34" t="e">
        <f ca="1">SQRT($B$9*SUM(AC584:OFFSET(AC584,$B$8-1,0))/($B$8-1))</f>
        <v>#DIV/0!</v>
      </c>
      <c r="AI584" s="1" t="e">
        <f t="shared" si="51"/>
        <v>#DIV/0!</v>
      </c>
      <c r="AJ584" s="4" t="e">
        <f ca="1">SQRT($B$9)*_xlfn.STDEV.S(AI584:OFFSET(AI584,$B$5-1,0))</f>
        <v>#DIV/0!</v>
      </c>
      <c r="AK584" s="4" t="e">
        <f ca="1">SQRT($B$9)*_xlfn.STDEV.S(AI584:OFFSET(AI584,$B$6-1,0))</f>
        <v>#DIV/0!</v>
      </c>
      <c r="AL584" s="4" t="e">
        <f ca="1">SQRT($B$9)*_xlfn.STDEV.S(AI584:OFFSET(AI584,$B$7-1,0))</f>
        <v>#DIV/0!</v>
      </c>
      <c r="AM584" s="4" t="e">
        <f ca="1">SQRT($B$9)*_xlfn.STDEV.S(AI584:OFFSET(AI584,$B$8-1,0))</f>
        <v>#DIV/0!</v>
      </c>
    </row>
    <row r="585" spans="5:39" x14ac:dyDescent="0.2">
      <c r="E585" s="42">
        <v>44602</v>
      </c>
      <c r="F585" s="43"/>
      <c r="G585" s="43"/>
      <c r="H585" s="43"/>
      <c r="I585" s="43"/>
      <c r="K585" s="3" t="e">
        <f t="shared" si="54"/>
        <v>#DIV/0!</v>
      </c>
      <c r="L585" s="3" t="e">
        <f ca="1">SQRT(AVERAGE(K585:OFFSET(K585,$B$5-1,0))*$B$9/(4*LN(2)))</f>
        <v>#DIV/0!</v>
      </c>
      <c r="M585" s="3" t="e">
        <f ca="1">SQRT(AVERAGE(K585:OFFSET(K585,$B$6-1,0))*$B$9/(4*LN(2)))</f>
        <v>#DIV/0!</v>
      </c>
      <c r="N585" s="3" t="e">
        <f ca="1">SQRT(AVERAGE(K585:OFFSET(K585,$B$7-1,0))*$B$9/(4*LN(2)))</f>
        <v>#DIV/0!</v>
      </c>
      <c r="O585" s="3" t="e">
        <f ca="1">SQRT(AVERAGE(K585:OFFSET(K585,$B$8-1,0))*$B$9/(4*LN(2)))</f>
        <v>#DIV/0!</v>
      </c>
      <c r="Q585" s="5" t="e">
        <f t="shared" si="53"/>
        <v>#DIV/0!</v>
      </c>
      <c r="R585" s="5" t="e">
        <f ca="1">SQRT($B$9*AVERAGE((Q585:OFFSET(Q585,$B$5-1,0))))</f>
        <v>#DIV/0!</v>
      </c>
      <c r="S585" s="5" t="e">
        <f ca="1">SQRT($B$9*AVERAGE((Q585:OFFSET(Q585,$B$6-1,0))))</f>
        <v>#DIV/0!</v>
      </c>
      <c r="T585" s="5" t="e">
        <f ca="1">SQRT($B$9*AVERAGE((Q585:OFFSET(Q585,$B$7-1,0))))</f>
        <v>#DIV/0!</v>
      </c>
      <c r="U585" s="5" t="e">
        <f ca="1">SQRT($B$9*AVERAGE((Q585:OFFSET(Q585,$B$8-1,0))))</f>
        <v>#DIV/0!</v>
      </c>
      <c r="W585" s="6" t="e">
        <f t="shared" si="52"/>
        <v>#DIV/0!</v>
      </c>
      <c r="X585" s="6" t="e">
        <f ca="1">SQRT($B$9*AVERAGE(W585:OFFSET(W585,$B$5-1,0)))</f>
        <v>#DIV/0!</v>
      </c>
      <c r="Y585" s="6" t="e">
        <f ca="1">SQRT($B$9*AVERAGE(W585:OFFSET(W585,$B$6-1,0)))</f>
        <v>#DIV/0!</v>
      </c>
      <c r="Z585" s="6" t="e">
        <f ca="1">SQRT($B$9*AVERAGE(W585:OFFSET(W585,$B$7-1,0)))</f>
        <v>#DIV/0!</v>
      </c>
      <c r="AA585" s="6" t="e">
        <f ca="1">SQRT($B$9*AVERAGE(W585:OFFSET(W585,$B$8-1,0)))</f>
        <v>#DIV/0!</v>
      </c>
      <c r="AC585" s="34" t="e">
        <f t="shared" si="50"/>
        <v>#DIV/0!</v>
      </c>
      <c r="AD585" s="34" t="e">
        <f ca="1">SQRT($B$9*SUM(AC585:OFFSET(AC585,$B$5-1,0))/($B$5-1))</f>
        <v>#DIV/0!</v>
      </c>
      <c r="AE585" s="34" t="e">
        <f ca="1">SQRT($B$9*SUM(AC585:OFFSET(AC585,$B$6-1,0))/($B$6-1))</f>
        <v>#DIV/0!</v>
      </c>
      <c r="AF585" s="34" t="e">
        <f ca="1">SQRT($B$9*SUM(AC585:OFFSET(AC585,$B$7-1,0))/($B$7-1))</f>
        <v>#DIV/0!</v>
      </c>
      <c r="AG585" s="34" t="e">
        <f ca="1">SQRT($B$9*SUM(AC585:OFFSET(AC585,$B$8-1,0))/($B$8-1))</f>
        <v>#DIV/0!</v>
      </c>
      <c r="AI585" s="1" t="e">
        <f t="shared" si="51"/>
        <v>#DIV/0!</v>
      </c>
      <c r="AJ585" s="4" t="e">
        <f ca="1">SQRT($B$9)*_xlfn.STDEV.S(AI585:OFFSET(AI585,$B$5-1,0))</f>
        <v>#DIV/0!</v>
      </c>
      <c r="AK585" s="4" t="e">
        <f ca="1">SQRT($B$9)*_xlfn.STDEV.S(AI585:OFFSET(AI585,$B$6-1,0))</f>
        <v>#DIV/0!</v>
      </c>
      <c r="AL585" s="4" t="e">
        <f ca="1">SQRT($B$9)*_xlfn.STDEV.S(AI585:OFFSET(AI585,$B$7-1,0))</f>
        <v>#DIV/0!</v>
      </c>
      <c r="AM585" s="4" t="e">
        <f ca="1">SQRT($B$9)*_xlfn.STDEV.S(AI585:OFFSET(AI585,$B$8-1,0))</f>
        <v>#DIV/0!</v>
      </c>
    </row>
    <row r="586" spans="5:39" x14ac:dyDescent="0.2">
      <c r="E586" s="42">
        <v>44601</v>
      </c>
      <c r="F586" s="43"/>
      <c r="G586" s="43"/>
      <c r="H586" s="43"/>
      <c r="I586" s="43"/>
      <c r="K586" s="3" t="e">
        <f t="shared" si="54"/>
        <v>#DIV/0!</v>
      </c>
      <c r="L586" s="3" t="e">
        <f ca="1">SQRT(AVERAGE(K586:OFFSET(K586,$B$5-1,0))*$B$9/(4*LN(2)))</f>
        <v>#DIV/0!</v>
      </c>
      <c r="M586" s="3" t="e">
        <f ca="1">SQRT(AVERAGE(K586:OFFSET(K586,$B$6-1,0))*$B$9/(4*LN(2)))</f>
        <v>#DIV/0!</v>
      </c>
      <c r="N586" s="3" t="e">
        <f ca="1">SQRT(AVERAGE(K586:OFFSET(K586,$B$7-1,0))*$B$9/(4*LN(2)))</f>
        <v>#DIV/0!</v>
      </c>
      <c r="O586" s="3" t="e">
        <f ca="1">SQRT(AVERAGE(K586:OFFSET(K586,$B$8-1,0))*$B$9/(4*LN(2)))</f>
        <v>#DIV/0!</v>
      </c>
      <c r="Q586" s="5" t="e">
        <f t="shared" si="53"/>
        <v>#DIV/0!</v>
      </c>
      <c r="R586" s="5" t="e">
        <f ca="1">SQRT($B$9*AVERAGE((Q586:OFFSET(Q586,$B$5-1,0))))</f>
        <v>#DIV/0!</v>
      </c>
      <c r="S586" s="5" t="e">
        <f ca="1">SQRT($B$9*AVERAGE((Q586:OFFSET(Q586,$B$6-1,0))))</f>
        <v>#DIV/0!</v>
      </c>
      <c r="T586" s="5" t="e">
        <f ca="1">SQRT($B$9*AVERAGE((Q586:OFFSET(Q586,$B$7-1,0))))</f>
        <v>#DIV/0!</v>
      </c>
      <c r="U586" s="5" t="e">
        <f ca="1">SQRT($B$9*AVERAGE((Q586:OFFSET(Q586,$B$8-1,0))))</f>
        <v>#DIV/0!</v>
      </c>
      <c r="W586" s="6" t="e">
        <f t="shared" si="52"/>
        <v>#DIV/0!</v>
      </c>
      <c r="X586" s="6" t="e">
        <f ca="1">SQRT($B$9*AVERAGE(W586:OFFSET(W586,$B$5-1,0)))</f>
        <v>#DIV/0!</v>
      </c>
      <c r="Y586" s="6" t="e">
        <f ca="1">SQRT($B$9*AVERAGE(W586:OFFSET(W586,$B$6-1,0)))</f>
        <v>#DIV/0!</v>
      </c>
      <c r="Z586" s="6" t="e">
        <f ca="1">SQRT($B$9*AVERAGE(W586:OFFSET(W586,$B$7-1,0)))</f>
        <v>#DIV/0!</v>
      </c>
      <c r="AA586" s="6" t="e">
        <f ca="1">SQRT($B$9*AVERAGE(W586:OFFSET(W586,$B$8-1,0)))</f>
        <v>#DIV/0!</v>
      </c>
      <c r="AC586" s="34" t="e">
        <f t="shared" si="50"/>
        <v>#DIV/0!</v>
      </c>
      <c r="AD586" s="34" t="e">
        <f ca="1">SQRT($B$9*SUM(AC586:OFFSET(AC586,$B$5-1,0))/($B$5-1))</f>
        <v>#DIV/0!</v>
      </c>
      <c r="AE586" s="34" t="e">
        <f ca="1">SQRT($B$9*SUM(AC586:OFFSET(AC586,$B$6-1,0))/($B$6-1))</f>
        <v>#DIV/0!</v>
      </c>
      <c r="AF586" s="34" t="e">
        <f ca="1">SQRT($B$9*SUM(AC586:OFFSET(AC586,$B$7-1,0))/($B$7-1))</f>
        <v>#DIV/0!</v>
      </c>
      <c r="AG586" s="34" t="e">
        <f ca="1">SQRT($B$9*SUM(AC586:OFFSET(AC586,$B$8-1,0))/($B$8-1))</f>
        <v>#DIV/0!</v>
      </c>
      <c r="AI586" s="1" t="e">
        <f t="shared" si="51"/>
        <v>#DIV/0!</v>
      </c>
      <c r="AJ586" s="4" t="e">
        <f ca="1">SQRT($B$9)*_xlfn.STDEV.S(AI586:OFFSET(AI586,$B$5-1,0))</f>
        <v>#DIV/0!</v>
      </c>
      <c r="AK586" s="4" t="e">
        <f ca="1">SQRT($B$9)*_xlfn.STDEV.S(AI586:OFFSET(AI586,$B$6-1,0))</f>
        <v>#DIV/0!</v>
      </c>
      <c r="AL586" s="4" t="e">
        <f ca="1">SQRT($B$9)*_xlfn.STDEV.S(AI586:OFFSET(AI586,$B$7-1,0))</f>
        <v>#DIV/0!</v>
      </c>
      <c r="AM586" s="4" t="e">
        <f ca="1">SQRT($B$9)*_xlfn.STDEV.S(AI586:OFFSET(AI586,$B$8-1,0))</f>
        <v>#DIV/0!</v>
      </c>
    </row>
    <row r="587" spans="5:39" x14ac:dyDescent="0.2">
      <c r="E587" s="42">
        <v>44600</v>
      </c>
      <c r="F587" s="43"/>
      <c r="G587" s="43"/>
      <c r="H587" s="43"/>
      <c r="I587" s="43"/>
      <c r="K587" s="3" t="e">
        <f t="shared" si="54"/>
        <v>#DIV/0!</v>
      </c>
      <c r="L587" s="3" t="e">
        <f ca="1">SQRT(AVERAGE(K587:OFFSET(K587,$B$5-1,0))*$B$9/(4*LN(2)))</f>
        <v>#DIV/0!</v>
      </c>
      <c r="M587" s="3" t="e">
        <f ca="1">SQRT(AVERAGE(K587:OFFSET(K587,$B$6-1,0))*$B$9/(4*LN(2)))</f>
        <v>#DIV/0!</v>
      </c>
      <c r="N587" s="3" t="e">
        <f ca="1">SQRT(AVERAGE(K587:OFFSET(K587,$B$7-1,0))*$B$9/(4*LN(2)))</f>
        <v>#DIV/0!</v>
      </c>
      <c r="O587" s="3" t="e">
        <f ca="1">SQRT(AVERAGE(K587:OFFSET(K587,$B$8-1,0))*$B$9/(4*LN(2)))</f>
        <v>#DIV/0!</v>
      </c>
      <c r="Q587" s="5" t="e">
        <f t="shared" si="53"/>
        <v>#DIV/0!</v>
      </c>
      <c r="R587" s="5" t="e">
        <f ca="1">SQRT($B$9*AVERAGE((Q587:OFFSET(Q587,$B$5-1,0))))</f>
        <v>#DIV/0!</v>
      </c>
      <c r="S587" s="5" t="e">
        <f ca="1">SQRT($B$9*AVERAGE((Q587:OFFSET(Q587,$B$6-1,0))))</f>
        <v>#DIV/0!</v>
      </c>
      <c r="T587" s="5" t="e">
        <f ca="1">SQRT($B$9*AVERAGE((Q587:OFFSET(Q587,$B$7-1,0))))</f>
        <v>#DIV/0!</v>
      </c>
      <c r="U587" s="5" t="e">
        <f ca="1">SQRT($B$9*AVERAGE((Q587:OFFSET(Q587,$B$8-1,0))))</f>
        <v>#DIV/0!</v>
      </c>
      <c r="W587" s="6" t="e">
        <f t="shared" si="52"/>
        <v>#DIV/0!</v>
      </c>
      <c r="X587" s="6" t="e">
        <f ca="1">SQRT($B$9*AVERAGE(W587:OFFSET(W587,$B$5-1,0)))</f>
        <v>#DIV/0!</v>
      </c>
      <c r="Y587" s="6" t="e">
        <f ca="1">SQRT($B$9*AVERAGE(W587:OFFSET(W587,$B$6-1,0)))</f>
        <v>#DIV/0!</v>
      </c>
      <c r="Z587" s="6" t="e">
        <f ca="1">SQRT($B$9*AVERAGE(W587:OFFSET(W587,$B$7-1,0)))</f>
        <v>#DIV/0!</v>
      </c>
      <c r="AA587" s="6" t="e">
        <f ca="1">SQRT($B$9*AVERAGE(W587:OFFSET(W587,$B$8-1,0)))</f>
        <v>#DIV/0!</v>
      </c>
      <c r="AC587" s="34" t="e">
        <f t="shared" si="50"/>
        <v>#DIV/0!</v>
      </c>
      <c r="AD587" s="34" t="e">
        <f ca="1">SQRT($B$9*SUM(AC587:OFFSET(AC587,$B$5-1,0))/($B$5-1))</f>
        <v>#DIV/0!</v>
      </c>
      <c r="AE587" s="34" t="e">
        <f ca="1">SQRT($B$9*SUM(AC587:OFFSET(AC587,$B$6-1,0))/($B$6-1))</f>
        <v>#DIV/0!</v>
      </c>
      <c r="AF587" s="34" t="e">
        <f ca="1">SQRT($B$9*SUM(AC587:OFFSET(AC587,$B$7-1,0))/($B$7-1))</f>
        <v>#DIV/0!</v>
      </c>
      <c r="AG587" s="34" t="e">
        <f ca="1">SQRT($B$9*SUM(AC587:OFFSET(AC587,$B$8-1,0))/($B$8-1))</f>
        <v>#DIV/0!</v>
      </c>
      <c r="AI587" s="1" t="e">
        <f t="shared" si="51"/>
        <v>#DIV/0!</v>
      </c>
      <c r="AJ587" s="4" t="e">
        <f ca="1">SQRT($B$9)*_xlfn.STDEV.S(AI587:OFFSET(AI587,$B$5-1,0))</f>
        <v>#DIV/0!</v>
      </c>
      <c r="AK587" s="4" t="e">
        <f ca="1">SQRT($B$9)*_xlfn.STDEV.S(AI587:OFFSET(AI587,$B$6-1,0))</f>
        <v>#DIV/0!</v>
      </c>
      <c r="AL587" s="4" t="e">
        <f ca="1">SQRT($B$9)*_xlfn.STDEV.S(AI587:OFFSET(AI587,$B$7-1,0))</f>
        <v>#DIV/0!</v>
      </c>
      <c r="AM587" s="4" t="e">
        <f ca="1">SQRT($B$9)*_xlfn.STDEV.S(AI587:OFFSET(AI587,$B$8-1,0))</f>
        <v>#DIV/0!</v>
      </c>
    </row>
    <row r="588" spans="5:39" x14ac:dyDescent="0.2">
      <c r="E588" s="42">
        <v>44599</v>
      </c>
      <c r="F588" s="43"/>
      <c r="G588" s="43"/>
      <c r="H588" s="43"/>
      <c r="I588" s="43"/>
      <c r="K588" s="3" t="e">
        <f t="shared" si="54"/>
        <v>#DIV/0!</v>
      </c>
      <c r="L588" s="3" t="e">
        <f ca="1">SQRT(AVERAGE(K588:OFFSET(K588,$B$5-1,0))*$B$9/(4*LN(2)))</f>
        <v>#DIV/0!</v>
      </c>
      <c r="M588" s="3" t="e">
        <f ca="1">SQRT(AVERAGE(K588:OFFSET(K588,$B$6-1,0))*$B$9/(4*LN(2)))</f>
        <v>#DIV/0!</v>
      </c>
      <c r="N588" s="3" t="e">
        <f ca="1">SQRT(AVERAGE(K588:OFFSET(K588,$B$7-1,0))*$B$9/(4*LN(2)))</f>
        <v>#DIV/0!</v>
      </c>
      <c r="O588" s="3" t="e">
        <f ca="1">SQRT(AVERAGE(K588:OFFSET(K588,$B$8-1,0))*$B$9/(4*LN(2)))</f>
        <v>#DIV/0!</v>
      </c>
      <c r="Q588" s="5" t="e">
        <f t="shared" si="53"/>
        <v>#DIV/0!</v>
      </c>
      <c r="R588" s="5" t="e">
        <f ca="1">SQRT($B$9*AVERAGE((Q588:OFFSET(Q588,$B$5-1,0))))</f>
        <v>#DIV/0!</v>
      </c>
      <c r="S588" s="5" t="e">
        <f ca="1">SQRT($B$9*AVERAGE((Q588:OFFSET(Q588,$B$6-1,0))))</f>
        <v>#DIV/0!</v>
      </c>
      <c r="T588" s="5" t="e">
        <f ca="1">SQRT($B$9*AVERAGE((Q588:OFFSET(Q588,$B$7-1,0))))</f>
        <v>#DIV/0!</v>
      </c>
      <c r="U588" s="5" t="e">
        <f ca="1">SQRT($B$9*AVERAGE((Q588:OFFSET(Q588,$B$8-1,0))))</f>
        <v>#DIV/0!</v>
      </c>
      <c r="W588" s="6" t="e">
        <f t="shared" si="52"/>
        <v>#DIV/0!</v>
      </c>
      <c r="X588" s="6" t="e">
        <f ca="1">SQRT($B$9*AVERAGE(W588:OFFSET(W588,$B$5-1,0)))</f>
        <v>#DIV/0!</v>
      </c>
      <c r="Y588" s="6" t="e">
        <f ca="1">SQRT($B$9*AVERAGE(W588:OFFSET(W588,$B$6-1,0)))</f>
        <v>#DIV/0!</v>
      </c>
      <c r="Z588" s="6" t="e">
        <f ca="1">SQRT($B$9*AVERAGE(W588:OFFSET(W588,$B$7-1,0)))</f>
        <v>#DIV/0!</v>
      </c>
      <c r="AA588" s="6" t="e">
        <f ca="1">SQRT($B$9*AVERAGE(W588:OFFSET(W588,$B$8-1,0)))</f>
        <v>#DIV/0!</v>
      </c>
      <c r="AC588" s="34" t="e">
        <f t="shared" si="50"/>
        <v>#DIV/0!</v>
      </c>
      <c r="AD588" s="34" t="e">
        <f ca="1">SQRT($B$9*SUM(AC588:OFFSET(AC588,$B$5-1,0))/($B$5-1))</f>
        <v>#DIV/0!</v>
      </c>
      <c r="AE588" s="34" t="e">
        <f ca="1">SQRT($B$9*SUM(AC588:OFFSET(AC588,$B$6-1,0))/($B$6-1))</f>
        <v>#DIV/0!</v>
      </c>
      <c r="AF588" s="34" t="e">
        <f ca="1">SQRT($B$9*SUM(AC588:OFFSET(AC588,$B$7-1,0))/($B$7-1))</f>
        <v>#DIV/0!</v>
      </c>
      <c r="AG588" s="34" t="e">
        <f ca="1">SQRT($B$9*SUM(AC588:OFFSET(AC588,$B$8-1,0))/($B$8-1))</f>
        <v>#DIV/0!</v>
      </c>
      <c r="AI588" s="1" t="e">
        <f t="shared" si="51"/>
        <v>#DIV/0!</v>
      </c>
      <c r="AJ588" s="4" t="e">
        <f ca="1">SQRT($B$9)*_xlfn.STDEV.S(AI588:OFFSET(AI588,$B$5-1,0))</f>
        <v>#DIV/0!</v>
      </c>
      <c r="AK588" s="4" t="e">
        <f ca="1">SQRT($B$9)*_xlfn.STDEV.S(AI588:OFFSET(AI588,$B$6-1,0))</f>
        <v>#DIV/0!</v>
      </c>
      <c r="AL588" s="4" t="e">
        <f ca="1">SQRT($B$9)*_xlfn.STDEV.S(AI588:OFFSET(AI588,$B$7-1,0))</f>
        <v>#DIV/0!</v>
      </c>
      <c r="AM588" s="4" t="e">
        <f ca="1">SQRT($B$9)*_xlfn.STDEV.S(AI588:OFFSET(AI588,$B$8-1,0))</f>
        <v>#DIV/0!</v>
      </c>
    </row>
    <row r="589" spans="5:39" x14ac:dyDescent="0.2">
      <c r="E589" s="42">
        <v>44589</v>
      </c>
      <c r="F589" s="43"/>
      <c r="G589" s="43"/>
      <c r="H589" s="43"/>
      <c r="I589" s="43"/>
      <c r="K589" s="3" t="e">
        <f t="shared" si="54"/>
        <v>#DIV/0!</v>
      </c>
      <c r="L589" s="3" t="e">
        <f ca="1">SQRT(AVERAGE(K589:OFFSET(K589,$B$5-1,0))*$B$9/(4*LN(2)))</f>
        <v>#DIV/0!</v>
      </c>
      <c r="M589" s="3" t="e">
        <f ca="1">SQRT(AVERAGE(K589:OFFSET(K589,$B$6-1,0))*$B$9/(4*LN(2)))</f>
        <v>#DIV/0!</v>
      </c>
      <c r="N589" s="3" t="e">
        <f ca="1">SQRT(AVERAGE(K589:OFFSET(K589,$B$7-1,0))*$B$9/(4*LN(2)))</f>
        <v>#DIV/0!</v>
      </c>
      <c r="O589" s="3" t="e">
        <f ca="1">SQRT(AVERAGE(K589:OFFSET(K589,$B$8-1,0))*$B$9/(4*LN(2)))</f>
        <v>#DIV/0!</v>
      </c>
      <c r="Q589" s="5" t="e">
        <f t="shared" si="53"/>
        <v>#DIV/0!</v>
      </c>
      <c r="R589" s="5" t="e">
        <f ca="1">SQRT($B$9*AVERAGE((Q589:OFFSET(Q589,$B$5-1,0))))</f>
        <v>#DIV/0!</v>
      </c>
      <c r="S589" s="5" t="e">
        <f ca="1">SQRT($B$9*AVERAGE((Q589:OFFSET(Q589,$B$6-1,0))))</f>
        <v>#DIV/0!</v>
      </c>
      <c r="T589" s="5" t="e">
        <f ca="1">SQRT($B$9*AVERAGE((Q589:OFFSET(Q589,$B$7-1,0))))</f>
        <v>#DIV/0!</v>
      </c>
      <c r="U589" s="5" t="e">
        <f ca="1">SQRT($B$9*AVERAGE((Q589:OFFSET(Q589,$B$8-1,0))))</f>
        <v>#DIV/0!</v>
      </c>
      <c r="W589" s="6" t="e">
        <f t="shared" si="52"/>
        <v>#DIV/0!</v>
      </c>
      <c r="X589" s="6" t="e">
        <f ca="1">SQRT($B$9*AVERAGE(W589:OFFSET(W589,$B$5-1,0)))</f>
        <v>#DIV/0!</v>
      </c>
      <c r="Y589" s="6" t="e">
        <f ca="1">SQRT($B$9*AVERAGE(W589:OFFSET(W589,$B$6-1,0)))</f>
        <v>#DIV/0!</v>
      </c>
      <c r="Z589" s="6" t="e">
        <f ca="1">SQRT($B$9*AVERAGE(W589:OFFSET(W589,$B$7-1,0)))</f>
        <v>#DIV/0!</v>
      </c>
      <c r="AA589" s="6" t="e">
        <f ca="1">SQRT($B$9*AVERAGE(W589:OFFSET(W589,$B$8-1,0)))</f>
        <v>#DIV/0!</v>
      </c>
      <c r="AC589" s="34" t="e">
        <f t="shared" si="50"/>
        <v>#DIV/0!</v>
      </c>
      <c r="AD589" s="34" t="e">
        <f ca="1">SQRT($B$9*SUM(AC589:OFFSET(AC589,$B$5-1,0))/($B$5-1))</f>
        <v>#DIV/0!</v>
      </c>
      <c r="AE589" s="34" t="e">
        <f ca="1">SQRT($B$9*SUM(AC589:OFFSET(AC589,$B$6-1,0))/($B$6-1))</f>
        <v>#DIV/0!</v>
      </c>
      <c r="AF589" s="34" t="e">
        <f ca="1">SQRT($B$9*SUM(AC589:OFFSET(AC589,$B$7-1,0))/($B$7-1))</f>
        <v>#DIV/0!</v>
      </c>
      <c r="AG589" s="34" t="e">
        <f ca="1">SQRT($B$9*SUM(AC589:OFFSET(AC589,$B$8-1,0))/($B$8-1))</f>
        <v>#DIV/0!</v>
      </c>
      <c r="AI589" s="1" t="e">
        <f t="shared" si="51"/>
        <v>#DIV/0!</v>
      </c>
      <c r="AJ589" s="4" t="e">
        <f ca="1">SQRT($B$9)*_xlfn.STDEV.S(AI589:OFFSET(AI589,$B$5-1,0))</f>
        <v>#DIV/0!</v>
      </c>
      <c r="AK589" s="4" t="e">
        <f ca="1">SQRT($B$9)*_xlfn.STDEV.S(AI589:OFFSET(AI589,$B$6-1,0))</f>
        <v>#DIV/0!</v>
      </c>
      <c r="AL589" s="4" t="e">
        <f ca="1">SQRT($B$9)*_xlfn.STDEV.S(AI589:OFFSET(AI589,$B$7-1,0))</f>
        <v>#DIV/0!</v>
      </c>
      <c r="AM589" s="4" t="e">
        <f ca="1">SQRT($B$9)*_xlfn.STDEV.S(AI589:OFFSET(AI589,$B$8-1,0))</f>
        <v>#DIV/0!</v>
      </c>
    </row>
    <row r="590" spans="5:39" x14ac:dyDescent="0.2">
      <c r="E590" s="42">
        <v>44588</v>
      </c>
      <c r="F590" s="43"/>
      <c r="G590" s="43"/>
      <c r="H590" s="43"/>
      <c r="I590" s="43"/>
      <c r="K590" s="3" t="e">
        <f t="shared" si="54"/>
        <v>#DIV/0!</v>
      </c>
      <c r="L590" s="3" t="e">
        <f ca="1">SQRT(AVERAGE(K590:OFFSET(K590,$B$5-1,0))*$B$9/(4*LN(2)))</f>
        <v>#DIV/0!</v>
      </c>
      <c r="M590" s="3" t="e">
        <f ca="1">SQRT(AVERAGE(K590:OFFSET(K590,$B$6-1,0))*$B$9/(4*LN(2)))</f>
        <v>#DIV/0!</v>
      </c>
      <c r="N590" s="3" t="e">
        <f ca="1">SQRT(AVERAGE(K590:OFFSET(K590,$B$7-1,0))*$B$9/(4*LN(2)))</f>
        <v>#DIV/0!</v>
      </c>
      <c r="O590" s="3" t="e">
        <f ca="1">SQRT(AVERAGE(K590:OFFSET(K590,$B$8-1,0))*$B$9/(4*LN(2)))</f>
        <v>#DIV/0!</v>
      </c>
      <c r="Q590" s="5" t="e">
        <f t="shared" si="53"/>
        <v>#DIV/0!</v>
      </c>
      <c r="R590" s="5" t="e">
        <f ca="1">SQRT($B$9*AVERAGE((Q590:OFFSET(Q590,$B$5-1,0))))</f>
        <v>#DIV/0!</v>
      </c>
      <c r="S590" s="5" t="e">
        <f ca="1">SQRT($B$9*AVERAGE((Q590:OFFSET(Q590,$B$6-1,0))))</f>
        <v>#DIV/0!</v>
      </c>
      <c r="T590" s="5" t="e">
        <f ca="1">SQRT($B$9*AVERAGE((Q590:OFFSET(Q590,$B$7-1,0))))</f>
        <v>#DIV/0!</v>
      </c>
      <c r="U590" s="5" t="e">
        <f ca="1">SQRT($B$9*AVERAGE((Q590:OFFSET(Q590,$B$8-1,0))))</f>
        <v>#DIV/0!</v>
      </c>
      <c r="W590" s="6" t="e">
        <f t="shared" si="52"/>
        <v>#DIV/0!</v>
      </c>
      <c r="X590" s="6" t="e">
        <f ca="1">SQRT($B$9*AVERAGE(W590:OFFSET(W590,$B$5-1,0)))</f>
        <v>#DIV/0!</v>
      </c>
      <c r="Y590" s="6" t="e">
        <f ca="1">SQRT($B$9*AVERAGE(W590:OFFSET(W590,$B$6-1,0)))</f>
        <v>#DIV/0!</v>
      </c>
      <c r="Z590" s="6" t="e">
        <f ca="1">SQRT($B$9*AVERAGE(W590:OFFSET(W590,$B$7-1,0)))</f>
        <v>#DIV/0!</v>
      </c>
      <c r="AA590" s="6" t="e">
        <f ca="1">SQRT($B$9*AVERAGE(W590:OFFSET(W590,$B$8-1,0)))</f>
        <v>#DIV/0!</v>
      </c>
      <c r="AC590" s="34" t="e">
        <f t="shared" si="50"/>
        <v>#DIV/0!</v>
      </c>
      <c r="AD590" s="34" t="e">
        <f ca="1">SQRT($B$9*SUM(AC590:OFFSET(AC590,$B$5-1,0))/($B$5-1))</f>
        <v>#DIV/0!</v>
      </c>
      <c r="AE590" s="34" t="e">
        <f ca="1">SQRT($B$9*SUM(AC590:OFFSET(AC590,$B$6-1,0))/($B$6-1))</f>
        <v>#DIV/0!</v>
      </c>
      <c r="AF590" s="34" t="e">
        <f ca="1">SQRT($B$9*SUM(AC590:OFFSET(AC590,$B$7-1,0))/($B$7-1))</f>
        <v>#DIV/0!</v>
      </c>
      <c r="AG590" s="34" t="e">
        <f ca="1">SQRT($B$9*SUM(AC590:OFFSET(AC590,$B$8-1,0))/($B$8-1))</f>
        <v>#DIV/0!</v>
      </c>
      <c r="AI590" s="1" t="e">
        <f t="shared" si="51"/>
        <v>#DIV/0!</v>
      </c>
      <c r="AJ590" s="4" t="e">
        <f ca="1">SQRT($B$9)*_xlfn.STDEV.S(AI590:OFFSET(AI590,$B$5-1,0))</f>
        <v>#DIV/0!</v>
      </c>
      <c r="AK590" s="4" t="e">
        <f ca="1">SQRT($B$9)*_xlfn.STDEV.S(AI590:OFFSET(AI590,$B$6-1,0))</f>
        <v>#DIV/0!</v>
      </c>
      <c r="AL590" s="4" t="e">
        <f ca="1">SQRT($B$9)*_xlfn.STDEV.S(AI590:OFFSET(AI590,$B$7-1,0))</f>
        <v>#DIV/0!</v>
      </c>
      <c r="AM590" s="4" t="e">
        <f ca="1">SQRT($B$9)*_xlfn.STDEV.S(AI590:OFFSET(AI590,$B$8-1,0))</f>
        <v>#DIV/0!</v>
      </c>
    </row>
    <row r="591" spans="5:39" x14ac:dyDescent="0.2">
      <c r="E591" s="42">
        <v>44587</v>
      </c>
      <c r="F591" s="43"/>
      <c r="G591" s="43"/>
      <c r="H591" s="43"/>
      <c r="I591" s="43"/>
      <c r="K591" s="3" t="e">
        <f t="shared" si="54"/>
        <v>#DIV/0!</v>
      </c>
      <c r="L591" s="3" t="e">
        <f ca="1">SQRT(AVERAGE(K591:OFFSET(K591,$B$5-1,0))*$B$9/(4*LN(2)))</f>
        <v>#DIV/0!</v>
      </c>
      <c r="M591" s="3" t="e">
        <f ca="1">SQRT(AVERAGE(K591:OFFSET(K591,$B$6-1,0))*$B$9/(4*LN(2)))</f>
        <v>#DIV/0!</v>
      </c>
      <c r="N591" s="3" t="e">
        <f ca="1">SQRT(AVERAGE(K591:OFFSET(K591,$B$7-1,0))*$B$9/(4*LN(2)))</f>
        <v>#DIV/0!</v>
      </c>
      <c r="O591" s="3" t="e">
        <f ca="1">SQRT(AVERAGE(K591:OFFSET(K591,$B$8-1,0))*$B$9/(4*LN(2)))</f>
        <v>#DIV/0!</v>
      </c>
      <c r="Q591" s="5" t="e">
        <f t="shared" si="53"/>
        <v>#DIV/0!</v>
      </c>
      <c r="R591" s="5" t="e">
        <f ca="1">SQRT($B$9*AVERAGE((Q591:OFFSET(Q591,$B$5-1,0))))</f>
        <v>#DIV/0!</v>
      </c>
      <c r="S591" s="5" t="e">
        <f ca="1">SQRT($B$9*AVERAGE((Q591:OFFSET(Q591,$B$6-1,0))))</f>
        <v>#DIV/0!</v>
      </c>
      <c r="T591" s="5" t="e">
        <f ca="1">SQRT($B$9*AVERAGE((Q591:OFFSET(Q591,$B$7-1,0))))</f>
        <v>#DIV/0!</v>
      </c>
      <c r="U591" s="5" t="e">
        <f ca="1">SQRT($B$9*AVERAGE((Q591:OFFSET(Q591,$B$8-1,0))))</f>
        <v>#DIV/0!</v>
      </c>
      <c r="W591" s="6" t="e">
        <f t="shared" si="52"/>
        <v>#DIV/0!</v>
      </c>
      <c r="X591" s="6" t="e">
        <f ca="1">SQRT($B$9*AVERAGE(W591:OFFSET(W591,$B$5-1,0)))</f>
        <v>#DIV/0!</v>
      </c>
      <c r="Y591" s="6" t="e">
        <f ca="1">SQRT($B$9*AVERAGE(W591:OFFSET(W591,$B$6-1,0)))</f>
        <v>#DIV/0!</v>
      </c>
      <c r="Z591" s="6" t="e">
        <f ca="1">SQRT($B$9*AVERAGE(W591:OFFSET(W591,$B$7-1,0)))</f>
        <v>#DIV/0!</v>
      </c>
      <c r="AA591" s="6" t="e">
        <f ca="1">SQRT($B$9*AVERAGE(W591:OFFSET(W591,$B$8-1,0)))</f>
        <v>#DIV/0!</v>
      </c>
      <c r="AC591" s="34" t="e">
        <f t="shared" si="50"/>
        <v>#DIV/0!</v>
      </c>
      <c r="AD591" s="34" t="e">
        <f ca="1">SQRT($B$9*SUM(AC591:OFFSET(AC591,$B$5-1,0))/($B$5-1))</f>
        <v>#DIV/0!</v>
      </c>
      <c r="AE591" s="34" t="e">
        <f ca="1">SQRT($B$9*SUM(AC591:OFFSET(AC591,$B$6-1,0))/($B$6-1))</f>
        <v>#DIV/0!</v>
      </c>
      <c r="AF591" s="34" t="e">
        <f ca="1">SQRT($B$9*SUM(AC591:OFFSET(AC591,$B$7-1,0))/($B$7-1))</f>
        <v>#DIV/0!</v>
      </c>
      <c r="AG591" s="34" t="e">
        <f ca="1">SQRT($B$9*SUM(AC591:OFFSET(AC591,$B$8-1,0))/($B$8-1))</f>
        <v>#DIV/0!</v>
      </c>
      <c r="AI591" s="1" t="e">
        <f t="shared" si="51"/>
        <v>#DIV/0!</v>
      </c>
      <c r="AJ591" s="4" t="e">
        <f ca="1">SQRT($B$9)*_xlfn.STDEV.S(AI591:OFFSET(AI591,$B$5-1,0))</f>
        <v>#DIV/0!</v>
      </c>
      <c r="AK591" s="4" t="e">
        <f ca="1">SQRT($B$9)*_xlfn.STDEV.S(AI591:OFFSET(AI591,$B$6-1,0))</f>
        <v>#DIV/0!</v>
      </c>
      <c r="AL591" s="4" t="e">
        <f ca="1">SQRT($B$9)*_xlfn.STDEV.S(AI591:OFFSET(AI591,$B$7-1,0))</f>
        <v>#DIV/0!</v>
      </c>
      <c r="AM591" s="4" t="e">
        <f ca="1">SQRT($B$9)*_xlfn.STDEV.S(AI591:OFFSET(AI591,$B$8-1,0))</f>
        <v>#DIV/0!</v>
      </c>
    </row>
    <row r="592" spans="5:39" x14ac:dyDescent="0.2">
      <c r="E592" s="42">
        <v>44586</v>
      </c>
      <c r="F592" s="43"/>
      <c r="G592" s="43"/>
      <c r="H592" s="43"/>
      <c r="I592" s="43"/>
      <c r="K592" s="3" t="e">
        <f t="shared" si="54"/>
        <v>#DIV/0!</v>
      </c>
      <c r="L592" s="3" t="e">
        <f ca="1">SQRT(AVERAGE(K592:OFFSET(K592,$B$5-1,0))*$B$9/(4*LN(2)))</f>
        <v>#DIV/0!</v>
      </c>
      <c r="M592" s="3" t="e">
        <f ca="1">SQRT(AVERAGE(K592:OFFSET(K592,$B$6-1,0))*$B$9/(4*LN(2)))</f>
        <v>#DIV/0!</v>
      </c>
      <c r="N592" s="3" t="e">
        <f ca="1">SQRT(AVERAGE(K592:OFFSET(K592,$B$7-1,0))*$B$9/(4*LN(2)))</f>
        <v>#DIV/0!</v>
      </c>
      <c r="O592" s="3" t="e">
        <f ca="1">SQRT(AVERAGE(K592:OFFSET(K592,$B$8-1,0))*$B$9/(4*LN(2)))</f>
        <v>#DIV/0!</v>
      </c>
      <c r="Q592" s="5" t="e">
        <f t="shared" si="53"/>
        <v>#DIV/0!</v>
      </c>
      <c r="R592" s="5" t="e">
        <f ca="1">SQRT($B$9*AVERAGE((Q592:OFFSET(Q592,$B$5-1,0))))</f>
        <v>#DIV/0!</v>
      </c>
      <c r="S592" s="5" t="e">
        <f ca="1">SQRT($B$9*AVERAGE((Q592:OFFSET(Q592,$B$6-1,0))))</f>
        <v>#DIV/0!</v>
      </c>
      <c r="T592" s="5" t="e">
        <f ca="1">SQRT($B$9*AVERAGE((Q592:OFFSET(Q592,$B$7-1,0))))</f>
        <v>#DIV/0!</v>
      </c>
      <c r="U592" s="5" t="e">
        <f ca="1">SQRT($B$9*AVERAGE((Q592:OFFSET(Q592,$B$8-1,0))))</f>
        <v>#DIV/0!</v>
      </c>
      <c r="W592" s="6" t="e">
        <f t="shared" si="52"/>
        <v>#DIV/0!</v>
      </c>
      <c r="X592" s="6" t="e">
        <f ca="1">SQRT($B$9*AVERAGE(W592:OFFSET(W592,$B$5-1,0)))</f>
        <v>#DIV/0!</v>
      </c>
      <c r="Y592" s="6" t="e">
        <f ca="1">SQRT($B$9*AVERAGE(W592:OFFSET(W592,$B$6-1,0)))</f>
        <v>#DIV/0!</v>
      </c>
      <c r="Z592" s="6" t="e">
        <f ca="1">SQRT($B$9*AVERAGE(W592:OFFSET(W592,$B$7-1,0)))</f>
        <v>#DIV/0!</v>
      </c>
      <c r="AA592" s="6" t="e">
        <f ca="1">SQRT($B$9*AVERAGE(W592:OFFSET(W592,$B$8-1,0)))</f>
        <v>#DIV/0!</v>
      </c>
      <c r="AC592" s="34" t="e">
        <f t="shared" si="50"/>
        <v>#DIV/0!</v>
      </c>
      <c r="AD592" s="34" t="e">
        <f ca="1">SQRT($B$9*SUM(AC592:OFFSET(AC592,$B$5-1,0))/($B$5-1))</f>
        <v>#DIV/0!</v>
      </c>
      <c r="AE592" s="34" t="e">
        <f ca="1">SQRT($B$9*SUM(AC592:OFFSET(AC592,$B$6-1,0))/($B$6-1))</f>
        <v>#DIV/0!</v>
      </c>
      <c r="AF592" s="34" t="e">
        <f ca="1">SQRT($B$9*SUM(AC592:OFFSET(AC592,$B$7-1,0))/($B$7-1))</f>
        <v>#DIV/0!</v>
      </c>
      <c r="AG592" s="34" t="e">
        <f ca="1">SQRT($B$9*SUM(AC592:OFFSET(AC592,$B$8-1,0))/($B$8-1))</f>
        <v>#DIV/0!</v>
      </c>
      <c r="AI592" s="1" t="e">
        <f t="shared" si="51"/>
        <v>#DIV/0!</v>
      </c>
      <c r="AJ592" s="4" t="e">
        <f ca="1">SQRT($B$9)*_xlfn.STDEV.S(AI592:OFFSET(AI592,$B$5-1,0))</f>
        <v>#DIV/0!</v>
      </c>
      <c r="AK592" s="4" t="e">
        <f ca="1">SQRT($B$9)*_xlfn.STDEV.S(AI592:OFFSET(AI592,$B$6-1,0))</f>
        <v>#DIV/0!</v>
      </c>
      <c r="AL592" s="4" t="e">
        <f ca="1">SQRT($B$9)*_xlfn.STDEV.S(AI592:OFFSET(AI592,$B$7-1,0))</f>
        <v>#DIV/0!</v>
      </c>
      <c r="AM592" s="4" t="e">
        <f ca="1">SQRT($B$9)*_xlfn.STDEV.S(AI592:OFFSET(AI592,$B$8-1,0))</f>
        <v>#DIV/0!</v>
      </c>
    </row>
    <row r="593" spans="5:39" x14ac:dyDescent="0.2">
      <c r="E593" s="42">
        <v>44585</v>
      </c>
      <c r="F593" s="43"/>
      <c r="G593" s="43"/>
      <c r="H593" s="43"/>
      <c r="I593" s="43"/>
      <c r="K593" s="3" t="e">
        <f t="shared" si="54"/>
        <v>#DIV/0!</v>
      </c>
      <c r="L593" s="3" t="e">
        <f ca="1">SQRT(AVERAGE(K593:OFFSET(K593,$B$5-1,0))*$B$9/(4*LN(2)))</f>
        <v>#DIV/0!</v>
      </c>
      <c r="M593" s="3" t="e">
        <f ca="1">SQRT(AVERAGE(K593:OFFSET(K593,$B$6-1,0))*$B$9/(4*LN(2)))</f>
        <v>#DIV/0!</v>
      </c>
      <c r="N593" s="3" t="e">
        <f ca="1">SQRT(AVERAGE(K593:OFFSET(K593,$B$7-1,0))*$B$9/(4*LN(2)))</f>
        <v>#DIV/0!</v>
      </c>
      <c r="O593" s="3" t="e">
        <f ca="1">SQRT(AVERAGE(K593:OFFSET(K593,$B$8-1,0))*$B$9/(4*LN(2)))</f>
        <v>#DIV/0!</v>
      </c>
      <c r="Q593" s="5" t="e">
        <f t="shared" si="53"/>
        <v>#DIV/0!</v>
      </c>
      <c r="R593" s="5" t="e">
        <f ca="1">SQRT($B$9*AVERAGE((Q593:OFFSET(Q593,$B$5-1,0))))</f>
        <v>#DIV/0!</v>
      </c>
      <c r="S593" s="5" t="e">
        <f ca="1">SQRT($B$9*AVERAGE((Q593:OFFSET(Q593,$B$6-1,0))))</f>
        <v>#DIV/0!</v>
      </c>
      <c r="T593" s="5" t="e">
        <f ca="1">SQRT($B$9*AVERAGE((Q593:OFFSET(Q593,$B$7-1,0))))</f>
        <v>#DIV/0!</v>
      </c>
      <c r="U593" s="5" t="e">
        <f ca="1">SQRT($B$9*AVERAGE((Q593:OFFSET(Q593,$B$8-1,0))))</f>
        <v>#DIV/0!</v>
      </c>
      <c r="W593" s="6" t="e">
        <f t="shared" si="52"/>
        <v>#DIV/0!</v>
      </c>
      <c r="X593" s="6" t="e">
        <f ca="1">SQRT($B$9*AVERAGE(W593:OFFSET(W593,$B$5-1,0)))</f>
        <v>#DIV/0!</v>
      </c>
      <c r="Y593" s="6" t="e">
        <f ca="1">SQRT($B$9*AVERAGE(W593:OFFSET(W593,$B$6-1,0)))</f>
        <v>#DIV/0!</v>
      </c>
      <c r="Z593" s="6" t="e">
        <f ca="1">SQRT($B$9*AVERAGE(W593:OFFSET(W593,$B$7-1,0)))</f>
        <v>#DIV/0!</v>
      </c>
      <c r="AA593" s="6" t="e">
        <f ca="1">SQRT($B$9*AVERAGE(W593:OFFSET(W593,$B$8-1,0)))</f>
        <v>#DIV/0!</v>
      </c>
      <c r="AC593" s="34" t="e">
        <f t="shared" ref="AC593:AC656" si="55">(LN(I593/I594))^2</f>
        <v>#DIV/0!</v>
      </c>
      <c r="AD593" s="34" t="e">
        <f ca="1">SQRT($B$9*SUM(AC593:OFFSET(AC593,$B$5-1,0))/($B$5-1))</f>
        <v>#DIV/0!</v>
      </c>
      <c r="AE593" s="34" t="e">
        <f ca="1">SQRT($B$9*SUM(AC593:OFFSET(AC593,$B$6-1,0))/($B$6-1))</f>
        <v>#DIV/0!</v>
      </c>
      <c r="AF593" s="34" t="e">
        <f ca="1">SQRT($B$9*SUM(AC593:OFFSET(AC593,$B$7-1,0))/($B$7-1))</f>
        <v>#DIV/0!</v>
      </c>
      <c r="AG593" s="34" t="e">
        <f ca="1">SQRT($B$9*SUM(AC593:OFFSET(AC593,$B$8-1,0))/($B$8-1))</f>
        <v>#DIV/0!</v>
      </c>
      <c r="AI593" s="1" t="e">
        <f t="shared" si="51"/>
        <v>#DIV/0!</v>
      </c>
      <c r="AJ593" s="4" t="e">
        <f ca="1">SQRT($B$9)*_xlfn.STDEV.S(AI593:OFFSET(AI593,$B$5-1,0))</f>
        <v>#DIV/0!</v>
      </c>
      <c r="AK593" s="4" t="e">
        <f ca="1">SQRT($B$9)*_xlfn.STDEV.S(AI593:OFFSET(AI593,$B$6-1,0))</f>
        <v>#DIV/0!</v>
      </c>
      <c r="AL593" s="4" t="e">
        <f ca="1">SQRT($B$9)*_xlfn.STDEV.S(AI593:OFFSET(AI593,$B$7-1,0))</f>
        <v>#DIV/0!</v>
      </c>
      <c r="AM593" s="4" t="e">
        <f ca="1">SQRT($B$9)*_xlfn.STDEV.S(AI593:OFFSET(AI593,$B$8-1,0))</f>
        <v>#DIV/0!</v>
      </c>
    </row>
    <row r="594" spans="5:39" x14ac:dyDescent="0.2">
      <c r="E594" s="42">
        <v>44582</v>
      </c>
      <c r="F594" s="43"/>
      <c r="G594" s="43"/>
      <c r="H594" s="43"/>
      <c r="I594" s="43"/>
      <c r="K594" s="3" t="e">
        <f t="shared" si="54"/>
        <v>#DIV/0!</v>
      </c>
      <c r="L594" s="3" t="e">
        <f ca="1">SQRT(AVERAGE(K594:OFFSET(K594,$B$5-1,0))*$B$9/(4*LN(2)))</f>
        <v>#DIV/0!</v>
      </c>
      <c r="M594" s="3" t="e">
        <f ca="1">SQRT(AVERAGE(K594:OFFSET(K594,$B$6-1,0))*$B$9/(4*LN(2)))</f>
        <v>#DIV/0!</v>
      </c>
      <c r="N594" s="3" t="e">
        <f ca="1">SQRT(AVERAGE(K594:OFFSET(K594,$B$7-1,0))*$B$9/(4*LN(2)))</f>
        <v>#DIV/0!</v>
      </c>
      <c r="O594" s="3" t="e">
        <f ca="1">SQRT(AVERAGE(K594:OFFSET(K594,$B$8-1,0))*$B$9/(4*LN(2)))</f>
        <v>#DIV/0!</v>
      </c>
      <c r="Q594" s="5" t="e">
        <f t="shared" si="53"/>
        <v>#DIV/0!</v>
      </c>
      <c r="R594" s="5" t="e">
        <f ca="1">SQRT($B$9*AVERAGE((Q594:OFFSET(Q594,$B$5-1,0))))</f>
        <v>#DIV/0!</v>
      </c>
      <c r="S594" s="5" t="e">
        <f ca="1">SQRT($B$9*AVERAGE((Q594:OFFSET(Q594,$B$6-1,0))))</f>
        <v>#DIV/0!</v>
      </c>
      <c r="T594" s="5" t="e">
        <f ca="1">SQRT($B$9*AVERAGE((Q594:OFFSET(Q594,$B$7-1,0))))</f>
        <v>#DIV/0!</v>
      </c>
      <c r="U594" s="5" t="e">
        <f ca="1">SQRT($B$9*AVERAGE((Q594:OFFSET(Q594,$B$8-1,0))))</f>
        <v>#DIV/0!</v>
      </c>
      <c r="W594" s="6" t="e">
        <f t="shared" si="52"/>
        <v>#DIV/0!</v>
      </c>
      <c r="X594" s="6" t="e">
        <f ca="1">SQRT($B$9*AVERAGE(W594:OFFSET(W594,$B$5-1,0)))</f>
        <v>#DIV/0!</v>
      </c>
      <c r="Y594" s="6" t="e">
        <f ca="1">SQRT($B$9*AVERAGE(W594:OFFSET(W594,$B$6-1,0)))</f>
        <v>#DIV/0!</v>
      </c>
      <c r="Z594" s="6" t="e">
        <f ca="1">SQRT($B$9*AVERAGE(W594:OFFSET(W594,$B$7-1,0)))</f>
        <v>#DIV/0!</v>
      </c>
      <c r="AA594" s="6" t="e">
        <f ca="1">SQRT($B$9*AVERAGE(W594:OFFSET(W594,$B$8-1,0)))</f>
        <v>#DIV/0!</v>
      </c>
      <c r="AC594" s="34" t="e">
        <f t="shared" si="55"/>
        <v>#DIV/0!</v>
      </c>
      <c r="AD594" s="34" t="e">
        <f ca="1">SQRT($B$9*SUM(AC594:OFFSET(AC594,$B$5-1,0))/($B$5-1))</f>
        <v>#DIV/0!</v>
      </c>
      <c r="AE594" s="34" t="e">
        <f ca="1">SQRT($B$9*SUM(AC594:OFFSET(AC594,$B$6-1,0))/($B$6-1))</f>
        <v>#DIV/0!</v>
      </c>
      <c r="AF594" s="34" t="e">
        <f ca="1">SQRT($B$9*SUM(AC594:OFFSET(AC594,$B$7-1,0))/($B$7-1))</f>
        <v>#DIV/0!</v>
      </c>
      <c r="AG594" s="34" t="e">
        <f ca="1">SQRT($B$9*SUM(AC594:OFFSET(AC594,$B$8-1,0))/($B$8-1))</f>
        <v>#DIV/0!</v>
      </c>
      <c r="AI594" s="1" t="e">
        <f t="shared" si="51"/>
        <v>#DIV/0!</v>
      </c>
      <c r="AJ594" s="4" t="e">
        <f ca="1">SQRT($B$9)*_xlfn.STDEV.S(AI594:OFFSET(AI594,$B$5-1,0))</f>
        <v>#DIV/0!</v>
      </c>
      <c r="AK594" s="4" t="e">
        <f ca="1">SQRT($B$9)*_xlfn.STDEV.S(AI594:OFFSET(AI594,$B$6-1,0))</f>
        <v>#DIV/0!</v>
      </c>
      <c r="AL594" s="4" t="e">
        <f ca="1">SQRT($B$9)*_xlfn.STDEV.S(AI594:OFFSET(AI594,$B$7-1,0))</f>
        <v>#DIV/0!</v>
      </c>
      <c r="AM594" s="4" t="e">
        <f ca="1">SQRT($B$9)*_xlfn.STDEV.S(AI594:OFFSET(AI594,$B$8-1,0))</f>
        <v>#DIV/0!</v>
      </c>
    </row>
    <row r="595" spans="5:39" x14ac:dyDescent="0.2">
      <c r="E595" s="42">
        <v>44581</v>
      </c>
      <c r="F595" s="43"/>
      <c r="G595" s="43"/>
      <c r="H595" s="43"/>
      <c r="I595" s="43"/>
      <c r="K595" s="3" t="e">
        <f t="shared" si="54"/>
        <v>#DIV/0!</v>
      </c>
      <c r="L595" s="3" t="e">
        <f ca="1">SQRT(AVERAGE(K595:OFFSET(K595,$B$5-1,0))*$B$9/(4*LN(2)))</f>
        <v>#DIV/0!</v>
      </c>
      <c r="M595" s="3" t="e">
        <f ca="1">SQRT(AVERAGE(K595:OFFSET(K595,$B$6-1,0))*$B$9/(4*LN(2)))</f>
        <v>#DIV/0!</v>
      </c>
      <c r="N595" s="3" t="e">
        <f ca="1">SQRT(AVERAGE(K595:OFFSET(K595,$B$7-1,0))*$B$9/(4*LN(2)))</f>
        <v>#DIV/0!</v>
      </c>
      <c r="O595" s="3" t="e">
        <f ca="1">SQRT(AVERAGE(K595:OFFSET(K595,$B$8-1,0))*$B$9/(4*LN(2)))</f>
        <v>#DIV/0!</v>
      </c>
      <c r="Q595" s="5" t="e">
        <f t="shared" si="53"/>
        <v>#DIV/0!</v>
      </c>
      <c r="R595" s="5" t="e">
        <f ca="1">SQRT($B$9*AVERAGE((Q595:OFFSET(Q595,$B$5-1,0))))</f>
        <v>#DIV/0!</v>
      </c>
      <c r="S595" s="5" t="e">
        <f ca="1">SQRT($B$9*AVERAGE((Q595:OFFSET(Q595,$B$6-1,0))))</f>
        <v>#DIV/0!</v>
      </c>
      <c r="T595" s="5" t="e">
        <f ca="1">SQRT($B$9*AVERAGE((Q595:OFFSET(Q595,$B$7-1,0))))</f>
        <v>#DIV/0!</v>
      </c>
      <c r="U595" s="5" t="e">
        <f ca="1">SQRT($B$9*AVERAGE((Q595:OFFSET(Q595,$B$8-1,0))))</f>
        <v>#DIV/0!</v>
      </c>
      <c r="W595" s="6" t="e">
        <f t="shared" si="52"/>
        <v>#DIV/0!</v>
      </c>
      <c r="X595" s="6" t="e">
        <f ca="1">SQRT($B$9*AVERAGE(W595:OFFSET(W595,$B$5-1,0)))</f>
        <v>#DIV/0!</v>
      </c>
      <c r="Y595" s="6" t="e">
        <f ca="1">SQRT($B$9*AVERAGE(W595:OFFSET(W595,$B$6-1,0)))</f>
        <v>#DIV/0!</v>
      </c>
      <c r="Z595" s="6" t="e">
        <f ca="1">SQRT($B$9*AVERAGE(W595:OFFSET(W595,$B$7-1,0)))</f>
        <v>#DIV/0!</v>
      </c>
      <c r="AA595" s="6" t="e">
        <f ca="1">SQRT($B$9*AVERAGE(W595:OFFSET(W595,$B$8-1,0)))</f>
        <v>#DIV/0!</v>
      </c>
      <c r="AC595" s="34" t="e">
        <f t="shared" si="55"/>
        <v>#DIV/0!</v>
      </c>
      <c r="AD595" s="34" t="e">
        <f ca="1">SQRT($B$9*SUM(AC595:OFFSET(AC595,$B$5-1,0))/($B$5-1))</f>
        <v>#DIV/0!</v>
      </c>
      <c r="AE595" s="34" t="e">
        <f ca="1">SQRT($B$9*SUM(AC595:OFFSET(AC595,$B$6-1,0))/($B$6-1))</f>
        <v>#DIV/0!</v>
      </c>
      <c r="AF595" s="34" t="e">
        <f ca="1">SQRT($B$9*SUM(AC595:OFFSET(AC595,$B$7-1,0))/($B$7-1))</f>
        <v>#DIV/0!</v>
      </c>
      <c r="AG595" s="34" t="e">
        <f ca="1">SQRT($B$9*SUM(AC595:OFFSET(AC595,$B$8-1,0))/($B$8-1))</f>
        <v>#DIV/0!</v>
      </c>
      <c r="AI595" s="1" t="e">
        <f t="shared" ref="AI595:AI658" si="56">LN(I595/I596)</f>
        <v>#DIV/0!</v>
      </c>
      <c r="AJ595" s="4" t="e">
        <f ca="1">SQRT($B$9)*_xlfn.STDEV.S(AI595:OFFSET(AI595,$B$5-1,0))</f>
        <v>#DIV/0!</v>
      </c>
      <c r="AK595" s="4" t="e">
        <f ca="1">SQRT($B$9)*_xlfn.STDEV.S(AI595:OFFSET(AI595,$B$6-1,0))</f>
        <v>#DIV/0!</v>
      </c>
      <c r="AL595" s="4" t="e">
        <f ca="1">SQRT($B$9)*_xlfn.STDEV.S(AI595:OFFSET(AI595,$B$7-1,0))</f>
        <v>#DIV/0!</v>
      </c>
      <c r="AM595" s="4" t="e">
        <f ca="1">SQRT($B$9)*_xlfn.STDEV.S(AI595:OFFSET(AI595,$B$8-1,0))</f>
        <v>#DIV/0!</v>
      </c>
    </row>
    <row r="596" spans="5:39" x14ac:dyDescent="0.2">
      <c r="E596" s="42">
        <v>44580</v>
      </c>
      <c r="F596" s="43"/>
      <c r="G596" s="43"/>
      <c r="H596" s="43"/>
      <c r="I596" s="43"/>
      <c r="K596" s="3" t="e">
        <f t="shared" si="54"/>
        <v>#DIV/0!</v>
      </c>
      <c r="L596" s="3" t="e">
        <f ca="1">SQRT(AVERAGE(K596:OFFSET(K596,$B$5-1,0))*$B$9/(4*LN(2)))</f>
        <v>#DIV/0!</v>
      </c>
      <c r="M596" s="3" t="e">
        <f ca="1">SQRT(AVERAGE(K596:OFFSET(K596,$B$6-1,0))*$B$9/(4*LN(2)))</f>
        <v>#DIV/0!</v>
      </c>
      <c r="N596" s="3" t="e">
        <f ca="1">SQRT(AVERAGE(K596:OFFSET(K596,$B$7-1,0))*$B$9/(4*LN(2)))</f>
        <v>#DIV/0!</v>
      </c>
      <c r="O596" s="3" t="e">
        <f ca="1">SQRT(AVERAGE(K596:OFFSET(K596,$B$8-1,0))*$B$9/(4*LN(2)))</f>
        <v>#DIV/0!</v>
      </c>
      <c r="Q596" s="5" t="e">
        <f t="shared" si="53"/>
        <v>#DIV/0!</v>
      </c>
      <c r="R596" s="5" t="e">
        <f ca="1">SQRT($B$9*AVERAGE((Q596:OFFSET(Q596,$B$5-1,0))))</f>
        <v>#DIV/0!</v>
      </c>
      <c r="S596" s="5" t="e">
        <f ca="1">SQRT($B$9*AVERAGE((Q596:OFFSET(Q596,$B$6-1,0))))</f>
        <v>#DIV/0!</v>
      </c>
      <c r="T596" s="5" t="e">
        <f ca="1">SQRT($B$9*AVERAGE((Q596:OFFSET(Q596,$B$7-1,0))))</f>
        <v>#DIV/0!</v>
      </c>
      <c r="U596" s="5" t="e">
        <f ca="1">SQRT($B$9*AVERAGE((Q596:OFFSET(Q596,$B$8-1,0))))</f>
        <v>#DIV/0!</v>
      </c>
      <c r="W596" s="6" t="e">
        <f t="shared" si="52"/>
        <v>#DIV/0!</v>
      </c>
      <c r="X596" s="6" t="e">
        <f ca="1">SQRT($B$9*AVERAGE(W596:OFFSET(W596,$B$5-1,0)))</f>
        <v>#DIV/0!</v>
      </c>
      <c r="Y596" s="6" t="e">
        <f ca="1">SQRT($B$9*AVERAGE(W596:OFFSET(W596,$B$6-1,0)))</f>
        <v>#DIV/0!</v>
      </c>
      <c r="Z596" s="6" t="e">
        <f ca="1">SQRT($B$9*AVERAGE(W596:OFFSET(W596,$B$7-1,0)))</f>
        <v>#DIV/0!</v>
      </c>
      <c r="AA596" s="6" t="e">
        <f ca="1">SQRT($B$9*AVERAGE(W596:OFFSET(W596,$B$8-1,0)))</f>
        <v>#DIV/0!</v>
      </c>
      <c r="AC596" s="34" t="e">
        <f t="shared" si="55"/>
        <v>#DIV/0!</v>
      </c>
      <c r="AD596" s="34" t="e">
        <f ca="1">SQRT($B$9*SUM(AC596:OFFSET(AC596,$B$5-1,0))/($B$5-1))</f>
        <v>#DIV/0!</v>
      </c>
      <c r="AE596" s="34" t="e">
        <f ca="1">SQRT($B$9*SUM(AC596:OFFSET(AC596,$B$6-1,0))/($B$6-1))</f>
        <v>#DIV/0!</v>
      </c>
      <c r="AF596" s="34" t="e">
        <f ca="1">SQRT($B$9*SUM(AC596:OFFSET(AC596,$B$7-1,0))/($B$7-1))</f>
        <v>#DIV/0!</v>
      </c>
      <c r="AG596" s="34" t="e">
        <f ca="1">SQRT($B$9*SUM(AC596:OFFSET(AC596,$B$8-1,0))/($B$8-1))</f>
        <v>#DIV/0!</v>
      </c>
      <c r="AI596" s="1" t="e">
        <f t="shared" si="56"/>
        <v>#DIV/0!</v>
      </c>
      <c r="AJ596" s="4" t="e">
        <f ca="1">SQRT($B$9)*_xlfn.STDEV.S(AI596:OFFSET(AI596,$B$5-1,0))</f>
        <v>#DIV/0!</v>
      </c>
      <c r="AK596" s="4" t="e">
        <f ca="1">SQRT($B$9)*_xlfn.STDEV.S(AI596:OFFSET(AI596,$B$6-1,0))</f>
        <v>#DIV/0!</v>
      </c>
      <c r="AL596" s="4" t="e">
        <f ca="1">SQRT($B$9)*_xlfn.STDEV.S(AI596:OFFSET(AI596,$B$7-1,0))</f>
        <v>#DIV/0!</v>
      </c>
      <c r="AM596" s="4" t="e">
        <f ca="1">SQRT($B$9)*_xlfn.STDEV.S(AI596:OFFSET(AI596,$B$8-1,0))</f>
        <v>#DIV/0!</v>
      </c>
    </row>
    <row r="597" spans="5:39" x14ac:dyDescent="0.2">
      <c r="E597" s="42">
        <v>44579</v>
      </c>
      <c r="F597" s="43"/>
      <c r="G597" s="43"/>
      <c r="H597" s="43"/>
      <c r="I597" s="43"/>
      <c r="K597" s="3" t="e">
        <f t="shared" si="54"/>
        <v>#DIV/0!</v>
      </c>
      <c r="L597" s="3" t="e">
        <f ca="1">SQRT(AVERAGE(K597:OFFSET(K597,$B$5-1,0))*$B$9/(4*LN(2)))</f>
        <v>#DIV/0!</v>
      </c>
      <c r="M597" s="3" t="e">
        <f ca="1">SQRT(AVERAGE(K597:OFFSET(K597,$B$6-1,0))*$B$9/(4*LN(2)))</f>
        <v>#DIV/0!</v>
      </c>
      <c r="N597" s="3" t="e">
        <f ca="1">SQRT(AVERAGE(K597:OFFSET(K597,$B$7-1,0))*$B$9/(4*LN(2)))</f>
        <v>#DIV/0!</v>
      </c>
      <c r="O597" s="3" t="e">
        <f ca="1">SQRT(AVERAGE(K597:OFFSET(K597,$B$8-1,0))*$B$9/(4*LN(2)))</f>
        <v>#DIV/0!</v>
      </c>
      <c r="Q597" s="5" t="e">
        <f t="shared" si="53"/>
        <v>#DIV/0!</v>
      </c>
      <c r="R597" s="5" t="e">
        <f ca="1">SQRT($B$9*AVERAGE((Q597:OFFSET(Q597,$B$5-1,0))))</f>
        <v>#DIV/0!</v>
      </c>
      <c r="S597" s="5" t="e">
        <f ca="1">SQRT($B$9*AVERAGE((Q597:OFFSET(Q597,$B$6-1,0))))</f>
        <v>#DIV/0!</v>
      </c>
      <c r="T597" s="5" t="e">
        <f ca="1">SQRT($B$9*AVERAGE((Q597:OFFSET(Q597,$B$7-1,0))))</f>
        <v>#DIV/0!</v>
      </c>
      <c r="U597" s="5" t="e">
        <f ca="1">SQRT($B$9*AVERAGE((Q597:OFFSET(Q597,$B$8-1,0))))</f>
        <v>#DIV/0!</v>
      </c>
      <c r="W597" s="6" t="e">
        <f t="shared" si="52"/>
        <v>#DIV/0!</v>
      </c>
      <c r="X597" s="6" t="e">
        <f ca="1">SQRT($B$9*AVERAGE(W597:OFFSET(W597,$B$5-1,0)))</f>
        <v>#DIV/0!</v>
      </c>
      <c r="Y597" s="6" t="e">
        <f ca="1">SQRT($B$9*AVERAGE(W597:OFFSET(W597,$B$6-1,0)))</f>
        <v>#DIV/0!</v>
      </c>
      <c r="Z597" s="6" t="e">
        <f ca="1">SQRT($B$9*AVERAGE(W597:OFFSET(W597,$B$7-1,0)))</f>
        <v>#DIV/0!</v>
      </c>
      <c r="AA597" s="6" t="e">
        <f ca="1">SQRT($B$9*AVERAGE(W597:OFFSET(W597,$B$8-1,0)))</f>
        <v>#DIV/0!</v>
      </c>
      <c r="AC597" s="34" t="e">
        <f t="shared" si="55"/>
        <v>#DIV/0!</v>
      </c>
      <c r="AD597" s="34" t="e">
        <f ca="1">SQRT($B$9*SUM(AC597:OFFSET(AC597,$B$5-1,0))/($B$5-1))</f>
        <v>#DIV/0!</v>
      </c>
      <c r="AE597" s="34" t="e">
        <f ca="1">SQRT($B$9*SUM(AC597:OFFSET(AC597,$B$6-1,0))/($B$6-1))</f>
        <v>#DIV/0!</v>
      </c>
      <c r="AF597" s="34" t="e">
        <f ca="1">SQRT($B$9*SUM(AC597:OFFSET(AC597,$B$7-1,0))/($B$7-1))</f>
        <v>#DIV/0!</v>
      </c>
      <c r="AG597" s="34" t="e">
        <f ca="1">SQRT($B$9*SUM(AC597:OFFSET(AC597,$B$8-1,0))/($B$8-1))</f>
        <v>#DIV/0!</v>
      </c>
      <c r="AI597" s="1" t="e">
        <f t="shared" si="56"/>
        <v>#DIV/0!</v>
      </c>
      <c r="AJ597" s="4" t="e">
        <f ca="1">SQRT($B$9)*_xlfn.STDEV.S(AI597:OFFSET(AI597,$B$5-1,0))</f>
        <v>#DIV/0!</v>
      </c>
      <c r="AK597" s="4" t="e">
        <f ca="1">SQRT($B$9)*_xlfn.STDEV.S(AI597:OFFSET(AI597,$B$6-1,0))</f>
        <v>#DIV/0!</v>
      </c>
      <c r="AL597" s="4" t="e">
        <f ca="1">SQRT($B$9)*_xlfn.STDEV.S(AI597:OFFSET(AI597,$B$7-1,0))</f>
        <v>#DIV/0!</v>
      </c>
      <c r="AM597" s="4" t="e">
        <f ca="1">SQRT($B$9)*_xlfn.STDEV.S(AI597:OFFSET(AI597,$B$8-1,0))</f>
        <v>#DIV/0!</v>
      </c>
    </row>
    <row r="598" spans="5:39" x14ac:dyDescent="0.2">
      <c r="E598" s="42">
        <v>44578</v>
      </c>
      <c r="F598" s="43"/>
      <c r="G598" s="43"/>
      <c r="H598" s="43"/>
      <c r="I598" s="43"/>
      <c r="K598" s="3" t="e">
        <f t="shared" si="54"/>
        <v>#DIV/0!</v>
      </c>
      <c r="L598" s="3" t="e">
        <f ca="1">SQRT(AVERAGE(K598:OFFSET(K598,$B$5-1,0))*$B$9/(4*LN(2)))</f>
        <v>#DIV/0!</v>
      </c>
      <c r="M598" s="3" t="e">
        <f ca="1">SQRT(AVERAGE(K598:OFFSET(K598,$B$6-1,0))*$B$9/(4*LN(2)))</f>
        <v>#DIV/0!</v>
      </c>
      <c r="N598" s="3" t="e">
        <f ca="1">SQRT(AVERAGE(K598:OFFSET(K598,$B$7-1,0))*$B$9/(4*LN(2)))</f>
        <v>#DIV/0!</v>
      </c>
      <c r="O598" s="3" t="e">
        <f ca="1">SQRT(AVERAGE(K598:OFFSET(K598,$B$8-1,0))*$B$9/(4*LN(2)))</f>
        <v>#DIV/0!</v>
      </c>
      <c r="Q598" s="5" t="e">
        <f t="shared" si="53"/>
        <v>#DIV/0!</v>
      </c>
      <c r="R598" s="5" t="e">
        <f ca="1">SQRT($B$9*AVERAGE((Q598:OFFSET(Q598,$B$5-1,0))))</f>
        <v>#DIV/0!</v>
      </c>
      <c r="S598" s="5" t="e">
        <f ca="1">SQRT($B$9*AVERAGE((Q598:OFFSET(Q598,$B$6-1,0))))</f>
        <v>#DIV/0!</v>
      </c>
      <c r="T598" s="5" t="e">
        <f ca="1">SQRT($B$9*AVERAGE((Q598:OFFSET(Q598,$B$7-1,0))))</f>
        <v>#DIV/0!</v>
      </c>
      <c r="U598" s="5" t="e">
        <f ca="1">SQRT($B$9*AVERAGE((Q598:OFFSET(Q598,$B$8-1,0))))</f>
        <v>#DIV/0!</v>
      </c>
      <c r="W598" s="6" t="e">
        <f t="shared" si="52"/>
        <v>#DIV/0!</v>
      </c>
      <c r="X598" s="6" t="e">
        <f ca="1">SQRT($B$9*AVERAGE(W598:OFFSET(W598,$B$5-1,0)))</f>
        <v>#DIV/0!</v>
      </c>
      <c r="Y598" s="6" t="e">
        <f ca="1">SQRT($B$9*AVERAGE(W598:OFFSET(W598,$B$6-1,0)))</f>
        <v>#DIV/0!</v>
      </c>
      <c r="Z598" s="6" t="e">
        <f ca="1">SQRT($B$9*AVERAGE(W598:OFFSET(W598,$B$7-1,0)))</f>
        <v>#DIV/0!</v>
      </c>
      <c r="AA598" s="6" t="e">
        <f ca="1">SQRT($B$9*AVERAGE(W598:OFFSET(W598,$B$8-1,0)))</f>
        <v>#DIV/0!</v>
      </c>
      <c r="AC598" s="34" t="e">
        <f t="shared" si="55"/>
        <v>#DIV/0!</v>
      </c>
      <c r="AD598" s="34" t="e">
        <f ca="1">SQRT($B$9*SUM(AC598:OFFSET(AC598,$B$5-1,0))/($B$5-1))</f>
        <v>#DIV/0!</v>
      </c>
      <c r="AE598" s="34" t="e">
        <f ca="1">SQRT($B$9*SUM(AC598:OFFSET(AC598,$B$6-1,0))/($B$6-1))</f>
        <v>#DIV/0!</v>
      </c>
      <c r="AF598" s="34" t="e">
        <f ca="1">SQRT($B$9*SUM(AC598:OFFSET(AC598,$B$7-1,0))/($B$7-1))</f>
        <v>#DIV/0!</v>
      </c>
      <c r="AG598" s="34" t="e">
        <f ca="1">SQRT($B$9*SUM(AC598:OFFSET(AC598,$B$8-1,0))/($B$8-1))</f>
        <v>#DIV/0!</v>
      </c>
      <c r="AI598" s="1" t="e">
        <f t="shared" si="56"/>
        <v>#DIV/0!</v>
      </c>
      <c r="AJ598" s="4" t="e">
        <f ca="1">SQRT($B$9)*_xlfn.STDEV.S(AI598:OFFSET(AI598,$B$5-1,0))</f>
        <v>#DIV/0!</v>
      </c>
      <c r="AK598" s="4" t="e">
        <f ca="1">SQRT($B$9)*_xlfn.STDEV.S(AI598:OFFSET(AI598,$B$6-1,0))</f>
        <v>#DIV/0!</v>
      </c>
      <c r="AL598" s="4" t="e">
        <f ca="1">SQRT($B$9)*_xlfn.STDEV.S(AI598:OFFSET(AI598,$B$7-1,0))</f>
        <v>#DIV/0!</v>
      </c>
      <c r="AM598" s="4" t="e">
        <f ca="1">SQRT($B$9)*_xlfn.STDEV.S(AI598:OFFSET(AI598,$B$8-1,0))</f>
        <v>#DIV/0!</v>
      </c>
    </row>
    <row r="599" spans="5:39" x14ac:dyDescent="0.2">
      <c r="E599" s="42">
        <v>44575</v>
      </c>
      <c r="F599" s="43"/>
      <c r="G599" s="43"/>
      <c r="H599" s="43"/>
      <c r="I599" s="43"/>
      <c r="K599" s="3" t="e">
        <f t="shared" si="54"/>
        <v>#DIV/0!</v>
      </c>
      <c r="L599" s="3" t="e">
        <f ca="1">SQRT(AVERAGE(K599:OFFSET(K599,$B$5-1,0))*$B$9/(4*LN(2)))</f>
        <v>#DIV/0!</v>
      </c>
      <c r="M599" s="3" t="e">
        <f ca="1">SQRT(AVERAGE(K599:OFFSET(K599,$B$6-1,0))*$B$9/(4*LN(2)))</f>
        <v>#DIV/0!</v>
      </c>
      <c r="N599" s="3" t="e">
        <f ca="1">SQRT(AVERAGE(K599:OFFSET(K599,$B$7-1,0))*$B$9/(4*LN(2)))</f>
        <v>#DIV/0!</v>
      </c>
      <c r="O599" s="3" t="e">
        <f ca="1">SQRT(AVERAGE(K599:OFFSET(K599,$B$8-1,0))*$B$9/(4*LN(2)))</f>
        <v>#DIV/0!</v>
      </c>
      <c r="Q599" s="5" t="e">
        <f t="shared" si="53"/>
        <v>#DIV/0!</v>
      </c>
      <c r="R599" s="5" t="e">
        <f ca="1">SQRT($B$9*AVERAGE((Q599:OFFSET(Q599,$B$5-1,0))))</f>
        <v>#DIV/0!</v>
      </c>
      <c r="S599" s="5" t="e">
        <f ca="1">SQRT($B$9*AVERAGE((Q599:OFFSET(Q599,$B$6-1,0))))</f>
        <v>#DIV/0!</v>
      </c>
      <c r="T599" s="5" t="e">
        <f ca="1">SQRT($B$9*AVERAGE((Q599:OFFSET(Q599,$B$7-1,0))))</f>
        <v>#DIV/0!</v>
      </c>
      <c r="U599" s="5" t="e">
        <f ca="1">SQRT($B$9*AVERAGE((Q599:OFFSET(Q599,$B$8-1,0))))</f>
        <v>#DIV/0!</v>
      </c>
      <c r="W599" s="6" t="e">
        <f t="shared" si="52"/>
        <v>#DIV/0!</v>
      </c>
      <c r="X599" s="6" t="e">
        <f ca="1">SQRT($B$9*AVERAGE(W599:OFFSET(W599,$B$5-1,0)))</f>
        <v>#DIV/0!</v>
      </c>
      <c r="Y599" s="6" t="e">
        <f ca="1">SQRT($B$9*AVERAGE(W599:OFFSET(W599,$B$6-1,0)))</f>
        <v>#DIV/0!</v>
      </c>
      <c r="Z599" s="6" t="e">
        <f ca="1">SQRT($B$9*AVERAGE(W599:OFFSET(W599,$B$7-1,0)))</f>
        <v>#DIV/0!</v>
      </c>
      <c r="AA599" s="6" t="e">
        <f ca="1">SQRT($B$9*AVERAGE(W599:OFFSET(W599,$B$8-1,0)))</f>
        <v>#DIV/0!</v>
      </c>
      <c r="AC599" s="34" t="e">
        <f t="shared" si="55"/>
        <v>#DIV/0!</v>
      </c>
      <c r="AD599" s="34" t="e">
        <f ca="1">SQRT($B$9*SUM(AC599:OFFSET(AC599,$B$5-1,0))/($B$5-1))</f>
        <v>#DIV/0!</v>
      </c>
      <c r="AE599" s="34" t="e">
        <f ca="1">SQRT($B$9*SUM(AC599:OFFSET(AC599,$B$6-1,0))/($B$6-1))</f>
        <v>#DIV/0!</v>
      </c>
      <c r="AF599" s="34" t="e">
        <f ca="1">SQRT($B$9*SUM(AC599:OFFSET(AC599,$B$7-1,0))/($B$7-1))</f>
        <v>#DIV/0!</v>
      </c>
      <c r="AG599" s="34" t="e">
        <f ca="1">SQRT($B$9*SUM(AC599:OFFSET(AC599,$B$8-1,0))/($B$8-1))</f>
        <v>#DIV/0!</v>
      </c>
      <c r="AI599" s="1" t="e">
        <f t="shared" si="56"/>
        <v>#DIV/0!</v>
      </c>
      <c r="AJ599" s="4" t="e">
        <f ca="1">SQRT($B$9)*_xlfn.STDEV.S(AI599:OFFSET(AI599,$B$5-1,0))</f>
        <v>#DIV/0!</v>
      </c>
      <c r="AK599" s="4" t="e">
        <f ca="1">SQRT($B$9)*_xlfn.STDEV.S(AI599:OFFSET(AI599,$B$6-1,0))</f>
        <v>#DIV/0!</v>
      </c>
      <c r="AL599" s="4" t="e">
        <f ca="1">SQRT($B$9)*_xlfn.STDEV.S(AI599:OFFSET(AI599,$B$7-1,0))</f>
        <v>#DIV/0!</v>
      </c>
      <c r="AM599" s="4" t="e">
        <f ca="1">SQRT($B$9)*_xlfn.STDEV.S(AI599:OFFSET(AI599,$B$8-1,0))</f>
        <v>#DIV/0!</v>
      </c>
    </row>
    <row r="600" spans="5:39" x14ac:dyDescent="0.2">
      <c r="E600" s="42">
        <v>44574</v>
      </c>
      <c r="F600" s="43"/>
      <c r="G600" s="43"/>
      <c r="H600" s="43"/>
      <c r="I600" s="43"/>
      <c r="K600" s="3" t="e">
        <f t="shared" si="54"/>
        <v>#DIV/0!</v>
      </c>
      <c r="L600" s="3" t="e">
        <f ca="1">SQRT(AVERAGE(K600:OFFSET(K600,$B$5-1,0))*$B$9/(4*LN(2)))</f>
        <v>#DIV/0!</v>
      </c>
      <c r="M600" s="3" t="e">
        <f ca="1">SQRT(AVERAGE(K600:OFFSET(K600,$B$6-1,0))*$B$9/(4*LN(2)))</f>
        <v>#DIV/0!</v>
      </c>
      <c r="N600" s="3" t="e">
        <f ca="1">SQRT(AVERAGE(K600:OFFSET(K600,$B$7-1,0))*$B$9/(4*LN(2)))</f>
        <v>#DIV/0!</v>
      </c>
      <c r="O600" s="3" t="e">
        <f ca="1">SQRT(AVERAGE(K600:OFFSET(K600,$B$8-1,0))*$B$9/(4*LN(2)))</f>
        <v>#DIV/0!</v>
      </c>
      <c r="Q600" s="5" t="e">
        <f t="shared" si="53"/>
        <v>#DIV/0!</v>
      </c>
      <c r="R600" s="5" t="e">
        <f ca="1">SQRT($B$9*AVERAGE((Q600:OFFSET(Q600,$B$5-1,0))))</f>
        <v>#DIV/0!</v>
      </c>
      <c r="S600" s="5" t="e">
        <f ca="1">SQRT($B$9*AVERAGE((Q600:OFFSET(Q600,$B$6-1,0))))</f>
        <v>#DIV/0!</v>
      </c>
      <c r="T600" s="5" t="e">
        <f ca="1">SQRT($B$9*AVERAGE((Q600:OFFSET(Q600,$B$7-1,0))))</f>
        <v>#DIV/0!</v>
      </c>
      <c r="U600" s="5" t="e">
        <f ca="1">SQRT($B$9*AVERAGE((Q600:OFFSET(Q600,$B$8-1,0))))</f>
        <v>#DIV/0!</v>
      </c>
      <c r="W600" s="6" t="e">
        <f t="shared" si="52"/>
        <v>#DIV/0!</v>
      </c>
      <c r="X600" s="6" t="e">
        <f ca="1">SQRT($B$9*AVERAGE(W600:OFFSET(W600,$B$5-1,0)))</f>
        <v>#DIV/0!</v>
      </c>
      <c r="Y600" s="6" t="e">
        <f ca="1">SQRT($B$9*AVERAGE(W600:OFFSET(W600,$B$6-1,0)))</f>
        <v>#DIV/0!</v>
      </c>
      <c r="Z600" s="6" t="e">
        <f ca="1">SQRT($B$9*AVERAGE(W600:OFFSET(W600,$B$7-1,0)))</f>
        <v>#DIV/0!</v>
      </c>
      <c r="AA600" s="6" t="e">
        <f ca="1">SQRT($B$9*AVERAGE(W600:OFFSET(W600,$B$8-1,0)))</f>
        <v>#DIV/0!</v>
      </c>
      <c r="AC600" s="34" t="e">
        <f t="shared" si="55"/>
        <v>#DIV/0!</v>
      </c>
      <c r="AD600" s="34" t="e">
        <f ca="1">SQRT($B$9*SUM(AC600:OFFSET(AC600,$B$5-1,0))/($B$5-1))</f>
        <v>#DIV/0!</v>
      </c>
      <c r="AE600" s="34" t="e">
        <f ca="1">SQRT($B$9*SUM(AC600:OFFSET(AC600,$B$6-1,0))/($B$6-1))</f>
        <v>#DIV/0!</v>
      </c>
      <c r="AF600" s="34" t="e">
        <f ca="1">SQRT($B$9*SUM(AC600:OFFSET(AC600,$B$7-1,0))/($B$7-1))</f>
        <v>#DIV/0!</v>
      </c>
      <c r="AG600" s="34" t="e">
        <f ca="1">SQRT($B$9*SUM(AC600:OFFSET(AC600,$B$8-1,0))/($B$8-1))</f>
        <v>#DIV/0!</v>
      </c>
      <c r="AI600" s="1" t="e">
        <f t="shared" si="56"/>
        <v>#DIV/0!</v>
      </c>
      <c r="AJ600" s="4" t="e">
        <f ca="1">SQRT($B$9)*_xlfn.STDEV.S(AI600:OFFSET(AI600,$B$5-1,0))</f>
        <v>#DIV/0!</v>
      </c>
      <c r="AK600" s="4" t="e">
        <f ca="1">SQRT($B$9)*_xlfn.STDEV.S(AI600:OFFSET(AI600,$B$6-1,0))</f>
        <v>#DIV/0!</v>
      </c>
      <c r="AL600" s="4" t="e">
        <f ca="1">SQRT($B$9)*_xlfn.STDEV.S(AI600:OFFSET(AI600,$B$7-1,0))</f>
        <v>#DIV/0!</v>
      </c>
      <c r="AM600" s="4" t="e">
        <f ca="1">SQRT($B$9)*_xlfn.STDEV.S(AI600:OFFSET(AI600,$B$8-1,0))</f>
        <v>#DIV/0!</v>
      </c>
    </row>
    <row r="601" spans="5:39" x14ac:dyDescent="0.2">
      <c r="E601" s="42">
        <v>44573</v>
      </c>
      <c r="F601" s="43"/>
      <c r="G601" s="43"/>
      <c r="H601" s="43"/>
      <c r="I601" s="43"/>
      <c r="K601" s="3" t="e">
        <f t="shared" si="54"/>
        <v>#DIV/0!</v>
      </c>
      <c r="L601" s="3" t="e">
        <f ca="1">SQRT(AVERAGE(K601:OFFSET(K601,$B$5-1,0))*$B$9/(4*LN(2)))</f>
        <v>#DIV/0!</v>
      </c>
      <c r="M601" s="3" t="e">
        <f ca="1">SQRT(AVERAGE(K601:OFFSET(K601,$B$6-1,0))*$B$9/(4*LN(2)))</f>
        <v>#DIV/0!</v>
      </c>
      <c r="N601" s="3" t="e">
        <f ca="1">SQRT(AVERAGE(K601:OFFSET(K601,$B$7-1,0))*$B$9/(4*LN(2)))</f>
        <v>#DIV/0!</v>
      </c>
      <c r="O601" s="3" t="e">
        <f ca="1">SQRT(AVERAGE(K601:OFFSET(K601,$B$8-1,0))*$B$9/(4*LN(2)))</f>
        <v>#DIV/0!</v>
      </c>
      <c r="Q601" s="5" t="e">
        <f t="shared" si="53"/>
        <v>#DIV/0!</v>
      </c>
      <c r="R601" s="5" t="e">
        <f ca="1">SQRT($B$9*AVERAGE((Q601:OFFSET(Q601,$B$5-1,0))))</f>
        <v>#DIV/0!</v>
      </c>
      <c r="S601" s="5" t="e">
        <f ca="1">SQRT($B$9*AVERAGE((Q601:OFFSET(Q601,$B$6-1,0))))</f>
        <v>#DIV/0!</v>
      </c>
      <c r="T601" s="5" t="e">
        <f ca="1">SQRT($B$9*AVERAGE((Q601:OFFSET(Q601,$B$7-1,0))))</f>
        <v>#DIV/0!</v>
      </c>
      <c r="U601" s="5" t="e">
        <f ca="1">SQRT($B$9*AVERAGE((Q601:OFFSET(Q601,$B$8-1,0))))</f>
        <v>#DIV/0!</v>
      </c>
      <c r="W601" s="6" t="e">
        <f t="shared" si="52"/>
        <v>#DIV/0!</v>
      </c>
      <c r="X601" s="6" t="e">
        <f ca="1">SQRT($B$9*AVERAGE(W601:OFFSET(W601,$B$5-1,0)))</f>
        <v>#DIV/0!</v>
      </c>
      <c r="Y601" s="6" t="e">
        <f ca="1">SQRT($B$9*AVERAGE(W601:OFFSET(W601,$B$6-1,0)))</f>
        <v>#DIV/0!</v>
      </c>
      <c r="Z601" s="6" t="e">
        <f ca="1">SQRT($B$9*AVERAGE(W601:OFFSET(W601,$B$7-1,0)))</f>
        <v>#DIV/0!</v>
      </c>
      <c r="AA601" s="6" t="e">
        <f ca="1">SQRT($B$9*AVERAGE(W601:OFFSET(W601,$B$8-1,0)))</f>
        <v>#DIV/0!</v>
      </c>
      <c r="AC601" s="34" t="e">
        <f t="shared" si="55"/>
        <v>#DIV/0!</v>
      </c>
      <c r="AD601" s="34" t="e">
        <f ca="1">SQRT($B$9*SUM(AC601:OFFSET(AC601,$B$5-1,0))/($B$5-1))</f>
        <v>#DIV/0!</v>
      </c>
      <c r="AE601" s="34" t="e">
        <f ca="1">SQRT($B$9*SUM(AC601:OFFSET(AC601,$B$6-1,0))/($B$6-1))</f>
        <v>#DIV/0!</v>
      </c>
      <c r="AF601" s="34" t="e">
        <f ca="1">SQRT($B$9*SUM(AC601:OFFSET(AC601,$B$7-1,0))/($B$7-1))</f>
        <v>#DIV/0!</v>
      </c>
      <c r="AG601" s="34" t="e">
        <f ca="1">SQRT($B$9*SUM(AC601:OFFSET(AC601,$B$8-1,0))/($B$8-1))</f>
        <v>#DIV/0!</v>
      </c>
      <c r="AI601" s="1" t="e">
        <f t="shared" si="56"/>
        <v>#DIV/0!</v>
      </c>
      <c r="AJ601" s="4" t="e">
        <f ca="1">SQRT($B$9)*_xlfn.STDEV.S(AI601:OFFSET(AI601,$B$5-1,0))</f>
        <v>#DIV/0!</v>
      </c>
      <c r="AK601" s="4" t="e">
        <f ca="1">SQRT($B$9)*_xlfn.STDEV.S(AI601:OFFSET(AI601,$B$6-1,0))</f>
        <v>#DIV/0!</v>
      </c>
      <c r="AL601" s="4" t="e">
        <f ca="1">SQRT($B$9)*_xlfn.STDEV.S(AI601:OFFSET(AI601,$B$7-1,0))</f>
        <v>#DIV/0!</v>
      </c>
      <c r="AM601" s="4" t="e">
        <f ca="1">SQRT($B$9)*_xlfn.STDEV.S(AI601:OFFSET(AI601,$B$8-1,0))</f>
        <v>#DIV/0!</v>
      </c>
    </row>
    <row r="602" spans="5:39" x14ac:dyDescent="0.2">
      <c r="E602" s="42">
        <v>44572</v>
      </c>
      <c r="F602" s="43"/>
      <c r="G602" s="43"/>
      <c r="H602" s="43"/>
      <c r="I602" s="43"/>
      <c r="K602" s="3" t="e">
        <f t="shared" si="54"/>
        <v>#DIV/0!</v>
      </c>
      <c r="L602" s="3" t="e">
        <f ca="1">SQRT(AVERAGE(K602:OFFSET(K602,$B$5-1,0))*$B$9/(4*LN(2)))</f>
        <v>#DIV/0!</v>
      </c>
      <c r="M602" s="3" t="e">
        <f ca="1">SQRT(AVERAGE(K602:OFFSET(K602,$B$6-1,0))*$B$9/(4*LN(2)))</f>
        <v>#DIV/0!</v>
      </c>
      <c r="N602" s="3" t="e">
        <f ca="1">SQRT(AVERAGE(K602:OFFSET(K602,$B$7-1,0))*$B$9/(4*LN(2)))</f>
        <v>#DIV/0!</v>
      </c>
      <c r="O602" s="3" t="e">
        <f ca="1">SQRT(AVERAGE(K602:OFFSET(K602,$B$8-1,0))*$B$9/(4*LN(2)))</f>
        <v>#DIV/0!</v>
      </c>
      <c r="Q602" s="5" t="e">
        <f t="shared" si="53"/>
        <v>#DIV/0!</v>
      </c>
      <c r="R602" s="5" t="e">
        <f ca="1">SQRT($B$9*AVERAGE((Q602:OFFSET(Q602,$B$5-1,0))))</f>
        <v>#DIV/0!</v>
      </c>
      <c r="S602" s="5" t="e">
        <f ca="1">SQRT($B$9*AVERAGE((Q602:OFFSET(Q602,$B$6-1,0))))</f>
        <v>#DIV/0!</v>
      </c>
      <c r="T602" s="5" t="e">
        <f ca="1">SQRT($B$9*AVERAGE((Q602:OFFSET(Q602,$B$7-1,0))))</f>
        <v>#DIV/0!</v>
      </c>
      <c r="U602" s="5" t="e">
        <f ca="1">SQRT($B$9*AVERAGE((Q602:OFFSET(Q602,$B$8-1,0))))</f>
        <v>#DIV/0!</v>
      </c>
      <c r="W602" s="6" t="e">
        <f t="shared" si="52"/>
        <v>#DIV/0!</v>
      </c>
      <c r="X602" s="6" t="e">
        <f ca="1">SQRT($B$9*AVERAGE(W602:OFFSET(W602,$B$5-1,0)))</f>
        <v>#DIV/0!</v>
      </c>
      <c r="Y602" s="6" t="e">
        <f ca="1">SQRT($B$9*AVERAGE(W602:OFFSET(W602,$B$6-1,0)))</f>
        <v>#DIV/0!</v>
      </c>
      <c r="Z602" s="6" t="e">
        <f ca="1">SQRT($B$9*AVERAGE(W602:OFFSET(W602,$B$7-1,0)))</f>
        <v>#DIV/0!</v>
      </c>
      <c r="AA602" s="6" t="e">
        <f ca="1">SQRT($B$9*AVERAGE(W602:OFFSET(W602,$B$8-1,0)))</f>
        <v>#DIV/0!</v>
      </c>
      <c r="AC602" s="34" t="e">
        <f t="shared" si="55"/>
        <v>#DIV/0!</v>
      </c>
      <c r="AD602" s="34" t="e">
        <f ca="1">SQRT($B$9*SUM(AC602:OFFSET(AC602,$B$5-1,0))/($B$5-1))</f>
        <v>#DIV/0!</v>
      </c>
      <c r="AE602" s="34" t="e">
        <f ca="1">SQRT($B$9*SUM(AC602:OFFSET(AC602,$B$6-1,0))/($B$6-1))</f>
        <v>#DIV/0!</v>
      </c>
      <c r="AF602" s="34" t="e">
        <f ca="1">SQRT($B$9*SUM(AC602:OFFSET(AC602,$B$7-1,0))/($B$7-1))</f>
        <v>#DIV/0!</v>
      </c>
      <c r="AG602" s="34" t="e">
        <f ca="1">SQRT($B$9*SUM(AC602:OFFSET(AC602,$B$8-1,0))/($B$8-1))</f>
        <v>#DIV/0!</v>
      </c>
      <c r="AI602" s="1" t="e">
        <f t="shared" si="56"/>
        <v>#DIV/0!</v>
      </c>
      <c r="AJ602" s="4" t="e">
        <f ca="1">SQRT($B$9)*_xlfn.STDEV.S(AI602:OFFSET(AI602,$B$5-1,0))</f>
        <v>#DIV/0!</v>
      </c>
      <c r="AK602" s="4" t="e">
        <f ca="1">SQRT($B$9)*_xlfn.STDEV.S(AI602:OFFSET(AI602,$B$6-1,0))</f>
        <v>#DIV/0!</v>
      </c>
      <c r="AL602" s="4" t="e">
        <f ca="1">SQRT($B$9)*_xlfn.STDEV.S(AI602:OFFSET(AI602,$B$7-1,0))</f>
        <v>#DIV/0!</v>
      </c>
      <c r="AM602" s="4" t="e">
        <f ca="1">SQRT($B$9)*_xlfn.STDEV.S(AI602:OFFSET(AI602,$B$8-1,0))</f>
        <v>#DIV/0!</v>
      </c>
    </row>
    <row r="603" spans="5:39" x14ac:dyDescent="0.2">
      <c r="E603" s="42">
        <v>44571</v>
      </c>
      <c r="F603" s="43"/>
      <c r="G603" s="43"/>
      <c r="H603" s="43"/>
      <c r="I603" s="43"/>
      <c r="K603" s="3" t="e">
        <f t="shared" si="54"/>
        <v>#DIV/0!</v>
      </c>
      <c r="L603" s="3" t="e">
        <f ca="1">SQRT(AVERAGE(K603:OFFSET(K603,$B$5-1,0))*$B$9/(4*LN(2)))</f>
        <v>#DIV/0!</v>
      </c>
      <c r="M603" s="3" t="e">
        <f ca="1">SQRT(AVERAGE(K603:OFFSET(K603,$B$6-1,0))*$B$9/(4*LN(2)))</f>
        <v>#DIV/0!</v>
      </c>
      <c r="N603" s="3" t="e">
        <f ca="1">SQRT(AVERAGE(K603:OFFSET(K603,$B$7-1,0))*$B$9/(4*LN(2)))</f>
        <v>#DIV/0!</v>
      </c>
      <c r="O603" s="3" t="e">
        <f ca="1">SQRT(AVERAGE(K603:OFFSET(K603,$B$8-1,0))*$B$9/(4*LN(2)))</f>
        <v>#DIV/0!</v>
      </c>
      <c r="Q603" s="5" t="e">
        <f t="shared" si="53"/>
        <v>#DIV/0!</v>
      </c>
      <c r="R603" s="5" t="e">
        <f ca="1">SQRT($B$9*AVERAGE((Q603:OFFSET(Q603,$B$5-1,0))))</f>
        <v>#DIV/0!</v>
      </c>
      <c r="S603" s="5" t="e">
        <f ca="1">SQRT($B$9*AVERAGE((Q603:OFFSET(Q603,$B$6-1,0))))</f>
        <v>#DIV/0!</v>
      </c>
      <c r="T603" s="5" t="e">
        <f ca="1">SQRT($B$9*AVERAGE((Q603:OFFSET(Q603,$B$7-1,0))))</f>
        <v>#DIV/0!</v>
      </c>
      <c r="U603" s="5" t="e">
        <f ca="1">SQRT($B$9*AVERAGE((Q603:OFFSET(Q603,$B$8-1,0))))</f>
        <v>#DIV/0!</v>
      </c>
      <c r="W603" s="6" t="e">
        <f t="shared" si="52"/>
        <v>#DIV/0!</v>
      </c>
      <c r="X603" s="6" t="e">
        <f ca="1">SQRT($B$9*AVERAGE(W603:OFFSET(W603,$B$5-1,0)))</f>
        <v>#DIV/0!</v>
      </c>
      <c r="Y603" s="6" t="e">
        <f ca="1">SQRT($B$9*AVERAGE(W603:OFFSET(W603,$B$6-1,0)))</f>
        <v>#DIV/0!</v>
      </c>
      <c r="Z603" s="6" t="e">
        <f ca="1">SQRT($B$9*AVERAGE(W603:OFFSET(W603,$B$7-1,0)))</f>
        <v>#DIV/0!</v>
      </c>
      <c r="AA603" s="6" t="e">
        <f ca="1">SQRT($B$9*AVERAGE(W603:OFFSET(W603,$B$8-1,0)))</f>
        <v>#DIV/0!</v>
      </c>
      <c r="AC603" s="34" t="e">
        <f t="shared" si="55"/>
        <v>#DIV/0!</v>
      </c>
      <c r="AD603" s="34" t="e">
        <f ca="1">SQRT($B$9*SUM(AC603:OFFSET(AC603,$B$5-1,0))/($B$5-1))</f>
        <v>#DIV/0!</v>
      </c>
      <c r="AE603" s="34" t="e">
        <f ca="1">SQRT($B$9*SUM(AC603:OFFSET(AC603,$B$6-1,0))/($B$6-1))</f>
        <v>#DIV/0!</v>
      </c>
      <c r="AF603" s="34" t="e">
        <f ca="1">SQRT($B$9*SUM(AC603:OFFSET(AC603,$B$7-1,0))/($B$7-1))</f>
        <v>#DIV/0!</v>
      </c>
      <c r="AG603" s="34" t="e">
        <f ca="1">SQRT($B$9*SUM(AC603:OFFSET(AC603,$B$8-1,0))/($B$8-1))</f>
        <v>#DIV/0!</v>
      </c>
      <c r="AI603" s="1" t="e">
        <f t="shared" si="56"/>
        <v>#DIV/0!</v>
      </c>
      <c r="AJ603" s="4" t="e">
        <f ca="1">SQRT($B$9)*_xlfn.STDEV.S(AI603:OFFSET(AI603,$B$5-1,0))</f>
        <v>#DIV/0!</v>
      </c>
      <c r="AK603" s="4" t="e">
        <f ca="1">SQRT($B$9)*_xlfn.STDEV.S(AI603:OFFSET(AI603,$B$6-1,0))</f>
        <v>#DIV/0!</v>
      </c>
      <c r="AL603" s="4" t="e">
        <f ca="1">SQRT($B$9)*_xlfn.STDEV.S(AI603:OFFSET(AI603,$B$7-1,0))</f>
        <v>#DIV/0!</v>
      </c>
      <c r="AM603" s="4" t="e">
        <f ca="1">SQRT($B$9)*_xlfn.STDEV.S(AI603:OFFSET(AI603,$B$8-1,0))</f>
        <v>#DIV/0!</v>
      </c>
    </row>
    <row r="604" spans="5:39" x14ac:dyDescent="0.2">
      <c r="E604" s="42">
        <v>44568</v>
      </c>
      <c r="F604" s="43"/>
      <c r="G604" s="43"/>
      <c r="H604" s="43"/>
      <c r="I604" s="43"/>
      <c r="K604" s="3" t="e">
        <f t="shared" si="54"/>
        <v>#DIV/0!</v>
      </c>
      <c r="L604" s="3" t="e">
        <f ca="1">SQRT(AVERAGE(K604:OFFSET(K604,$B$5-1,0))*$B$9/(4*LN(2)))</f>
        <v>#DIV/0!</v>
      </c>
      <c r="M604" s="3" t="e">
        <f ca="1">SQRT(AVERAGE(K604:OFFSET(K604,$B$6-1,0))*$B$9/(4*LN(2)))</f>
        <v>#DIV/0!</v>
      </c>
      <c r="N604" s="3" t="e">
        <f ca="1">SQRT(AVERAGE(K604:OFFSET(K604,$B$7-1,0))*$B$9/(4*LN(2)))</f>
        <v>#DIV/0!</v>
      </c>
      <c r="O604" s="3" t="e">
        <f ca="1">SQRT(AVERAGE(K604:OFFSET(K604,$B$8-1,0))*$B$9/(4*LN(2)))</f>
        <v>#DIV/0!</v>
      </c>
      <c r="Q604" s="5" t="e">
        <f t="shared" si="53"/>
        <v>#DIV/0!</v>
      </c>
      <c r="R604" s="5" t="e">
        <f ca="1">SQRT($B$9*AVERAGE((Q604:OFFSET(Q604,$B$5-1,0))))</f>
        <v>#DIV/0!</v>
      </c>
      <c r="S604" s="5" t="e">
        <f ca="1">SQRT($B$9*AVERAGE((Q604:OFFSET(Q604,$B$6-1,0))))</f>
        <v>#DIV/0!</v>
      </c>
      <c r="T604" s="5" t="e">
        <f ca="1">SQRT($B$9*AVERAGE((Q604:OFFSET(Q604,$B$7-1,0))))</f>
        <v>#DIV/0!</v>
      </c>
      <c r="U604" s="5" t="e">
        <f ca="1">SQRT($B$9*AVERAGE((Q604:OFFSET(Q604,$B$8-1,0))))</f>
        <v>#DIV/0!</v>
      </c>
      <c r="W604" s="6" t="e">
        <f t="shared" si="52"/>
        <v>#DIV/0!</v>
      </c>
      <c r="X604" s="6" t="e">
        <f ca="1">SQRT($B$9*AVERAGE(W604:OFFSET(W604,$B$5-1,0)))</f>
        <v>#DIV/0!</v>
      </c>
      <c r="Y604" s="6" t="e">
        <f ca="1">SQRT($B$9*AVERAGE(W604:OFFSET(W604,$B$6-1,0)))</f>
        <v>#DIV/0!</v>
      </c>
      <c r="Z604" s="6" t="e">
        <f ca="1">SQRT($B$9*AVERAGE(W604:OFFSET(W604,$B$7-1,0)))</f>
        <v>#DIV/0!</v>
      </c>
      <c r="AA604" s="6" t="e">
        <f ca="1">SQRT($B$9*AVERAGE(W604:OFFSET(W604,$B$8-1,0)))</f>
        <v>#DIV/0!</v>
      </c>
      <c r="AC604" s="34" t="e">
        <f t="shared" si="55"/>
        <v>#DIV/0!</v>
      </c>
      <c r="AD604" s="34" t="e">
        <f ca="1">SQRT($B$9*SUM(AC604:OFFSET(AC604,$B$5-1,0))/($B$5-1))</f>
        <v>#DIV/0!</v>
      </c>
      <c r="AE604" s="34" t="e">
        <f ca="1">SQRT($B$9*SUM(AC604:OFFSET(AC604,$B$6-1,0))/($B$6-1))</f>
        <v>#DIV/0!</v>
      </c>
      <c r="AF604" s="34" t="e">
        <f ca="1">SQRT($B$9*SUM(AC604:OFFSET(AC604,$B$7-1,0))/($B$7-1))</f>
        <v>#DIV/0!</v>
      </c>
      <c r="AG604" s="34" t="e">
        <f ca="1">SQRT($B$9*SUM(AC604:OFFSET(AC604,$B$8-1,0))/($B$8-1))</f>
        <v>#DIV/0!</v>
      </c>
      <c r="AI604" s="1" t="e">
        <f t="shared" si="56"/>
        <v>#DIV/0!</v>
      </c>
      <c r="AJ604" s="4" t="e">
        <f ca="1">SQRT($B$9)*_xlfn.STDEV.S(AI604:OFFSET(AI604,$B$5-1,0))</f>
        <v>#DIV/0!</v>
      </c>
      <c r="AK604" s="4" t="e">
        <f ca="1">SQRT($B$9)*_xlfn.STDEV.S(AI604:OFFSET(AI604,$B$6-1,0))</f>
        <v>#DIV/0!</v>
      </c>
      <c r="AL604" s="4" t="e">
        <f ca="1">SQRT($B$9)*_xlfn.STDEV.S(AI604:OFFSET(AI604,$B$7-1,0))</f>
        <v>#DIV/0!</v>
      </c>
      <c r="AM604" s="4" t="e">
        <f ca="1">SQRT($B$9)*_xlfn.STDEV.S(AI604:OFFSET(AI604,$B$8-1,0))</f>
        <v>#DIV/0!</v>
      </c>
    </row>
    <row r="605" spans="5:39" x14ac:dyDescent="0.2">
      <c r="E605" s="42">
        <v>44567</v>
      </c>
      <c r="F605" s="43"/>
      <c r="G605" s="43"/>
      <c r="H605" s="43"/>
      <c r="I605" s="43"/>
      <c r="K605" s="3" t="e">
        <f t="shared" si="54"/>
        <v>#DIV/0!</v>
      </c>
      <c r="L605" s="3" t="e">
        <f ca="1">SQRT(AVERAGE(K605:OFFSET(K605,$B$5-1,0))*$B$9/(4*LN(2)))</f>
        <v>#DIV/0!</v>
      </c>
      <c r="M605" s="3" t="e">
        <f ca="1">SQRT(AVERAGE(K605:OFFSET(K605,$B$6-1,0))*$B$9/(4*LN(2)))</f>
        <v>#DIV/0!</v>
      </c>
      <c r="N605" s="3" t="e">
        <f ca="1">SQRT(AVERAGE(K605:OFFSET(K605,$B$7-1,0))*$B$9/(4*LN(2)))</f>
        <v>#DIV/0!</v>
      </c>
      <c r="O605" s="3" t="e">
        <f ca="1">SQRT(AVERAGE(K605:OFFSET(K605,$B$8-1,0))*$B$9/(4*LN(2)))</f>
        <v>#DIV/0!</v>
      </c>
      <c r="Q605" s="5" t="e">
        <f t="shared" si="53"/>
        <v>#DIV/0!</v>
      </c>
      <c r="R605" s="5" t="e">
        <f ca="1">SQRT($B$9*AVERAGE((Q605:OFFSET(Q605,$B$5-1,0))))</f>
        <v>#DIV/0!</v>
      </c>
      <c r="S605" s="5" t="e">
        <f ca="1">SQRT($B$9*AVERAGE((Q605:OFFSET(Q605,$B$6-1,0))))</f>
        <v>#DIV/0!</v>
      </c>
      <c r="T605" s="5" t="e">
        <f ca="1">SQRT($B$9*AVERAGE((Q605:OFFSET(Q605,$B$7-1,0))))</f>
        <v>#DIV/0!</v>
      </c>
      <c r="U605" s="5" t="e">
        <f ca="1">SQRT($B$9*AVERAGE((Q605:OFFSET(Q605,$B$8-1,0))))</f>
        <v>#DIV/0!</v>
      </c>
      <c r="W605" s="6" t="e">
        <f t="shared" si="52"/>
        <v>#DIV/0!</v>
      </c>
      <c r="X605" s="6" t="e">
        <f ca="1">SQRT($B$9*AVERAGE(W605:OFFSET(W605,$B$5-1,0)))</f>
        <v>#DIV/0!</v>
      </c>
      <c r="Y605" s="6" t="e">
        <f ca="1">SQRT($B$9*AVERAGE(W605:OFFSET(W605,$B$6-1,0)))</f>
        <v>#DIV/0!</v>
      </c>
      <c r="Z605" s="6" t="e">
        <f ca="1">SQRT($B$9*AVERAGE(W605:OFFSET(W605,$B$7-1,0)))</f>
        <v>#DIV/0!</v>
      </c>
      <c r="AA605" s="6" t="e">
        <f ca="1">SQRT($B$9*AVERAGE(W605:OFFSET(W605,$B$8-1,0)))</f>
        <v>#DIV/0!</v>
      </c>
      <c r="AC605" s="34" t="e">
        <f t="shared" si="55"/>
        <v>#DIV/0!</v>
      </c>
      <c r="AD605" s="34" t="e">
        <f ca="1">SQRT($B$9*SUM(AC605:OFFSET(AC605,$B$5-1,0))/($B$5-1))</f>
        <v>#DIV/0!</v>
      </c>
      <c r="AE605" s="34" t="e">
        <f ca="1">SQRT($B$9*SUM(AC605:OFFSET(AC605,$B$6-1,0))/($B$6-1))</f>
        <v>#DIV/0!</v>
      </c>
      <c r="AF605" s="34" t="e">
        <f ca="1">SQRT($B$9*SUM(AC605:OFFSET(AC605,$B$7-1,0))/($B$7-1))</f>
        <v>#DIV/0!</v>
      </c>
      <c r="AG605" s="34" t="e">
        <f ca="1">SQRT($B$9*SUM(AC605:OFFSET(AC605,$B$8-1,0))/($B$8-1))</f>
        <v>#DIV/0!</v>
      </c>
      <c r="AI605" s="1" t="e">
        <f t="shared" si="56"/>
        <v>#DIV/0!</v>
      </c>
      <c r="AJ605" s="4" t="e">
        <f ca="1">SQRT($B$9)*_xlfn.STDEV.S(AI605:OFFSET(AI605,$B$5-1,0))</f>
        <v>#DIV/0!</v>
      </c>
      <c r="AK605" s="4" t="e">
        <f ca="1">SQRT($B$9)*_xlfn.STDEV.S(AI605:OFFSET(AI605,$B$6-1,0))</f>
        <v>#DIV/0!</v>
      </c>
      <c r="AL605" s="4" t="e">
        <f ca="1">SQRT($B$9)*_xlfn.STDEV.S(AI605:OFFSET(AI605,$B$7-1,0))</f>
        <v>#DIV/0!</v>
      </c>
      <c r="AM605" s="4" t="e">
        <f ca="1">SQRT($B$9)*_xlfn.STDEV.S(AI605:OFFSET(AI605,$B$8-1,0))</f>
        <v>#DIV/0!</v>
      </c>
    </row>
    <row r="606" spans="5:39" x14ac:dyDescent="0.2">
      <c r="E606" s="42">
        <v>44566</v>
      </c>
      <c r="F606" s="43"/>
      <c r="G606" s="43"/>
      <c r="H606" s="43"/>
      <c r="I606" s="43"/>
      <c r="K606" s="3" t="e">
        <f t="shared" si="54"/>
        <v>#DIV/0!</v>
      </c>
      <c r="L606" s="3" t="e">
        <f ca="1">SQRT(AVERAGE(K606:OFFSET(K606,$B$5-1,0))*$B$9/(4*LN(2)))</f>
        <v>#DIV/0!</v>
      </c>
      <c r="M606" s="3" t="e">
        <f ca="1">SQRT(AVERAGE(K606:OFFSET(K606,$B$6-1,0))*$B$9/(4*LN(2)))</f>
        <v>#DIV/0!</v>
      </c>
      <c r="N606" s="3" t="e">
        <f ca="1">SQRT(AVERAGE(K606:OFFSET(K606,$B$7-1,0))*$B$9/(4*LN(2)))</f>
        <v>#DIV/0!</v>
      </c>
      <c r="O606" s="3" t="e">
        <f ca="1">SQRT(AVERAGE(K606:OFFSET(K606,$B$8-1,0))*$B$9/(4*LN(2)))</f>
        <v>#DIV/0!</v>
      </c>
      <c r="Q606" s="5" t="e">
        <f t="shared" si="53"/>
        <v>#DIV/0!</v>
      </c>
      <c r="R606" s="5" t="e">
        <f ca="1">SQRT($B$9*AVERAGE((Q606:OFFSET(Q606,$B$5-1,0))))</f>
        <v>#DIV/0!</v>
      </c>
      <c r="S606" s="5" t="e">
        <f ca="1">SQRT($B$9*AVERAGE((Q606:OFFSET(Q606,$B$6-1,0))))</f>
        <v>#DIV/0!</v>
      </c>
      <c r="T606" s="5" t="e">
        <f ca="1">SQRT($B$9*AVERAGE((Q606:OFFSET(Q606,$B$7-1,0))))</f>
        <v>#DIV/0!</v>
      </c>
      <c r="U606" s="5" t="e">
        <f ca="1">SQRT($B$9*AVERAGE((Q606:OFFSET(Q606,$B$8-1,0))))</f>
        <v>#DIV/0!</v>
      </c>
      <c r="W606" s="6" t="e">
        <f t="shared" si="52"/>
        <v>#DIV/0!</v>
      </c>
      <c r="X606" s="6" t="e">
        <f ca="1">SQRT($B$9*AVERAGE(W606:OFFSET(W606,$B$5-1,0)))</f>
        <v>#DIV/0!</v>
      </c>
      <c r="Y606" s="6" t="e">
        <f ca="1">SQRT($B$9*AVERAGE(W606:OFFSET(W606,$B$6-1,0)))</f>
        <v>#DIV/0!</v>
      </c>
      <c r="Z606" s="6" t="e">
        <f ca="1">SQRT($B$9*AVERAGE(W606:OFFSET(W606,$B$7-1,0)))</f>
        <v>#DIV/0!</v>
      </c>
      <c r="AA606" s="6" t="e">
        <f ca="1">SQRT($B$9*AVERAGE(W606:OFFSET(W606,$B$8-1,0)))</f>
        <v>#DIV/0!</v>
      </c>
      <c r="AC606" s="34" t="e">
        <f t="shared" si="55"/>
        <v>#DIV/0!</v>
      </c>
      <c r="AD606" s="34" t="e">
        <f ca="1">SQRT($B$9*SUM(AC606:OFFSET(AC606,$B$5-1,0))/($B$5-1))</f>
        <v>#DIV/0!</v>
      </c>
      <c r="AE606" s="34" t="e">
        <f ca="1">SQRT($B$9*SUM(AC606:OFFSET(AC606,$B$6-1,0))/($B$6-1))</f>
        <v>#DIV/0!</v>
      </c>
      <c r="AF606" s="34" t="e">
        <f ca="1">SQRT($B$9*SUM(AC606:OFFSET(AC606,$B$7-1,0))/($B$7-1))</f>
        <v>#DIV/0!</v>
      </c>
      <c r="AG606" s="34" t="e">
        <f ca="1">SQRT($B$9*SUM(AC606:OFFSET(AC606,$B$8-1,0))/($B$8-1))</f>
        <v>#DIV/0!</v>
      </c>
      <c r="AI606" s="1" t="e">
        <f t="shared" si="56"/>
        <v>#DIV/0!</v>
      </c>
      <c r="AJ606" s="4" t="e">
        <f ca="1">SQRT($B$9)*_xlfn.STDEV.S(AI606:OFFSET(AI606,$B$5-1,0))</f>
        <v>#DIV/0!</v>
      </c>
      <c r="AK606" s="4" t="e">
        <f ca="1">SQRT($B$9)*_xlfn.STDEV.S(AI606:OFFSET(AI606,$B$6-1,0))</f>
        <v>#DIV/0!</v>
      </c>
      <c r="AL606" s="4" t="e">
        <f ca="1">SQRT($B$9)*_xlfn.STDEV.S(AI606:OFFSET(AI606,$B$7-1,0))</f>
        <v>#DIV/0!</v>
      </c>
      <c r="AM606" s="4" t="e">
        <f ca="1">SQRT($B$9)*_xlfn.STDEV.S(AI606:OFFSET(AI606,$B$8-1,0))</f>
        <v>#DIV/0!</v>
      </c>
    </row>
    <row r="607" spans="5:39" x14ac:dyDescent="0.2">
      <c r="E607" s="42">
        <v>44565</v>
      </c>
      <c r="F607" s="43"/>
      <c r="G607" s="43"/>
      <c r="H607" s="43"/>
      <c r="I607" s="43"/>
      <c r="K607" s="3" t="e">
        <f t="shared" si="54"/>
        <v>#DIV/0!</v>
      </c>
      <c r="L607" s="3" t="e">
        <f ca="1">SQRT(AVERAGE(K607:OFFSET(K607,$B$5-1,0))*$B$9/(4*LN(2)))</f>
        <v>#DIV/0!</v>
      </c>
      <c r="M607" s="3" t="e">
        <f ca="1">SQRT(AVERAGE(K607:OFFSET(K607,$B$6-1,0))*$B$9/(4*LN(2)))</f>
        <v>#DIV/0!</v>
      </c>
      <c r="N607" s="3" t="e">
        <f ca="1">SQRT(AVERAGE(K607:OFFSET(K607,$B$7-1,0))*$B$9/(4*LN(2)))</f>
        <v>#DIV/0!</v>
      </c>
      <c r="O607" s="3" t="e">
        <f ca="1">SQRT(AVERAGE(K607:OFFSET(K607,$B$8-1,0))*$B$9/(4*LN(2)))</f>
        <v>#DIV/0!</v>
      </c>
      <c r="Q607" s="5" t="e">
        <f t="shared" si="53"/>
        <v>#DIV/0!</v>
      </c>
      <c r="R607" s="5" t="e">
        <f ca="1">SQRT($B$9*AVERAGE((Q607:OFFSET(Q607,$B$5-1,0))))</f>
        <v>#DIV/0!</v>
      </c>
      <c r="S607" s="5" t="e">
        <f ca="1">SQRT($B$9*AVERAGE((Q607:OFFSET(Q607,$B$6-1,0))))</f>
        <v>#DIV/0!</v>
      </c>
      <c r="T607" s="5" t="e">
        <f ca="1">SQRT($B$9*AVERAGE((Q607:OFFSET(Q607,$B$7-1,0))))</f>
        <v>#DIV/0!</v>
      </c>
      <c r="U607" s="5" t="e">
        <f ca="1">SQRT($B$9*AVERAGE((Q607:OFFSET(Q607,$B$8-1,0))))</f>
        <v>#DIV/0!</v>
      </c>
      <c r="W607" s="6" t="e">
        <f t="shared" si="52"/>
        <v>#DIV/0!</v>
      </c>
      <c r="X607" s="6" t="e">
        <f ca="1">SQRT($B$9*AVERAGE(W607:OFFSET(W607,$B$5-1,0)))</f>
        <v>#DIV/0!</v>
      </c>
      <c r="Y607" s="6" t="e">
        <f ca="1">SQRT($B$9*AVERAGE(W607:OFFSET(W607,$B$6-1,0)))</f>
        <v>#DIV/0!</v>
      </c>
      <c r="Z607" s="6" t="e">
        <f ca="1">SQRT($B$9*AVERAGE(W607:OFFSET(W607,$B$7-1,0)))</f>
        <v>#DIV/0!</v>
      </c>
      <c r="AA607" s="6" t="e">
        <f ca="1">SQRT($B$9*AVERAGE(W607:OFFSET(W607,$B$8-1,0)))</f>
        <v>#DIV/0!</v>
      </c>
      <c r="AC607" s="34" t="e">
        <f t="shared" si="55"/>
        <v>#DIV/0!</v>
      </c>
      <c r="AD607" s="34" t="e">
        <f ca="1">SQRT($B$9*SUM(AC607:OFFSET(AC607,$B$5-1,0))/($B$5-1))</f>
        <v>#DIV/0!</v>
      </c>
      <c r="AE607" s="34" t="e">
        <f ca="1">SQRT($B$9*SUM(AC607:OFFSET(AC607,$B$6-1,0))/($B$6-1))</f>
        <v>#DIV/0!</v>
      </c>
      <c r="AF607" s="34" t="e">
        <f ca="1">SQRT($B$9*SUM(AC607:OFFSET(AC607,$B$7-1,0))/($B$7-1))</f>
        <v>#DIV/0!</v>
      </c>
      <c r="AG607" s="34" t="e">
        <f ca="1">SQRT($B$9*SUM(AC607:OFFSET(AC607,$B$8-1,0))/($B$8-1))</f>
        <v>#DIV/0!</v>
      </c>
      <c r="AI607" s="1" t="e">
        <f t="shared" si="56"/>
        <v>#DIV/0!</v>
      </c>
      <c r="AJ607" s="4" t="e">
        <f ca="1">SQRT($B$9)*_xlfn.STDEV.S(AI607:OFFSET(AI607,$B$5-1,0))</f>
        <v>#DIV/0!</v>
      </c>
      <c r="AK607" s="4" t="e">
        <f ca="1">SQRT($B$9)*_xlfn.STDEV.S(AI607:OFFSET(AI607,$B$6-1,0))</f>
        <v>#DIV/0!</v>
      </c>
      <c r="AL607" s="4" t="e">
        <f ca="1">SQRT($B$9)*_xlfn.STDEV.S(AI607:OFFSET(AI607,$B$7-1,0))</f>
        <v>#DIV/0!</v>
      </c>
      <c r="AM607" s="4" t="e">
        <f ca="1">SQRT($B$9)*_xlfn.STDEV.S(AI607:OFFSET(AI607,$B$8-1,0))</f>
        <v>#DIV/0!</v>
      </c>
    </row>
    <row r="608" spans="5:39" x14ac:dyDescent="0.2">
      <c r="E608" s="42">
        <v>44561</v>
      </c>
      <c r="F608" s="43"/>
      <c r="G608" s="43"/>
      <c r="H608" s="43"/>
      <c r="I608" s="43"/>
      <c r="K608" s="3" t="e">
        <f t="shared" si="54"/>
        <v>#DIV/0!</v>
      </c>
      <c r="L608" s="3" t="e">
        <f ca="1">SQRT(AVERAGE(K608:OFFSET(K608,$B$5-1,0))*$B$9/(4*LN(2)))</f>
        <v>#DIV/0!</v>
      </c>
      <c r="M608" s="3" t="e">
        <f ca="1">SQRT(AVERAGE(K608:OFFSET(K608,$B$6-1,0))*$B$9/(4*LN(2)))</f>
        <v>#DIV/0!</v>
      </c>
      <c r="N608" s="3" t="e">
        <f ca="1">SQRT(AVERAGE(K608:OFFSET(K608,$B$7-1,0))*$B$9/(4*LN(2)))</f>
        <v>#DIV/0!</v>
      </c>
      <c r="O608" s="3" t="e">
        <f ca="1">SQRT(AVERAGE(K608:OFFSET(K608,$B$8-1,0))*$B$9/(4*LN(2)))</f>
        <v>#DIV/0!</v>
      </c>
      <c r="Q608" s="5" t="e">
        <f t="shared" si="53"/>
        <v>#DIV/0!</v>
      </c>
      <c r="R608" s="5" t="e">
        <f ca="1">SQRT($B$9*AVERAGE((Q608:OFFSET(Q608,$B$5-1,0))))</f>
        <v>#DIV/0!</v>
      </c>
      <c r="S608" s="5" t="e">
        <f ca="1">SQRT($B$9*AVERAGE((Q608:OFFSET(Q608,$B$6-1,0))))</f>
        <v>#DIV/0!</v>
      </c>
      <c r="T608" s="5" t="e">
        <f ca="1">SQRT($B$9*AVERAGE((Q608:OFFSET(Q608,$B$7-1,0))))</f>
        <v>#DIV/0!</v>
      </c>
      <c r="U608" s="5" t="e">
        <f ca="1">SQRT($B$9*AVERAGE((Q608:OFFSET(Q608,$B$8-1,0))))</f>
        <v>#DIV/0!</v>
      </c>
      <c r="W608" s="6" t="e">
        <f t="shared" si="52"/>
        <v>#DIV/0!</v>
      </c>
      <c r="X608" s="6" t="e">
        <f ca="1">SQRT($B$9*AVERAGE(W608:OFFSET(W608,$B$5-1,0)))</f>
        <v>#DIV/0!</v>
      </c>
      <c r="Y608" s="6" t="e">
        <f ca="1">SQRT($B$9*AVERAGE(W608:OFFSET(W608,$B$6-1,0)))</f>
        <v>#DIV/0!</v>
      </c>
      <c r="Z608" s="6" t="e">
        <f ca="1">SQRT($B$9*AVERAGE(W608:OFFSET(W608,$B$7-1,0)))</f>
        <v>#DIV/0!</v>
      </c>
      <c r="AA608" s="6" t="e">
        <f ca="1">SQRT($B$9*AVERAGE(W608:OFFSET(W608,$B$8-1,0)))</f>
        <v>#DIV/0!</v>
      </c>
      <c r="AC608" s="34" t="e">
        <f t="shared" si="55"/>
        <v>#DIV/0!</v>
      </c>
      <c r="AD608" s="34" t="e">
        <f ca="1">SQRT($B$9*SUM(AC608:OFFSET(AC608,$B$5-1,0))/($B$5-1))</f>
        <v>#DIV/0!</v>
      </c>
      <c r="AE608" s="34" t="e">
        <f ca="1">SQRT($B$9*SUM(AC608:OFFSET(AC608,$B$6-1,0))/($B$6-1))</f>
        <v>#DIV/0!</v>
      </c>
      <c r="AF608" s="34" t="e">
        <f ca="1">SQRT($B$9*SUM(AC608:OFFSET(AC608,$B$7-1,0))/($B$7-1))</f>
        <v>#DIV/0!</v>
      </c>
      <c r="AG608" s="34" t="e">
        <f ca="1">SQRT($B$9*SUM(AC608:OFFSET(AC608,$B$8-1,0))/($B$8-1))</f>
        <v>#DIV/0!</v>
      </c>
      <c r="AI608" s="1" t="e">
        <f t="shared" si="56"/>
        <v>#DIV/0!</v>
      </c>
      <c r="AJ608" s="4" t="e">
        <f ca="1">SQRT($B$9)*_xlfn.STDEV.S(AI608:OFFSET(AI608,$B$5-1,0))</f>
        <v>#DIV/0!</v>
      </c>
      <c r="AK608" s="4" t="e">
        <f ca="1">SQRT($B$9)*_xlfn.STDEV.S(AI608:OFFSET(AI608,$B$6-1,0))</f>
        <v>#DIV/0!</v>
      </c>
      <c r="AL608" s="4" t="e">
        <f ca="1">SQRT($B$9)*_xlfn.STDEV.S(AI608:OFFSET(AI608,$B$7-1,0))</f>
        <v>#DIV/0!</v>
      </c>
      <c r="AM608" s="4" t="e">
        <f ca="1">SQRT($B$9)*_xlfn.STDEV.S(AI608:OFFSET(AI608,$B$8-1,0))</f>
        <v>#DIV/0!</v>
      </c>
    </row>
    <row r="609" spans="5:39" x14ac:dyDescent="0.2">
      <c r="E609" s="42">
        <v>44560</v>
      </c>
      <c r="F609" s="43"/>
      <c r="G609" s="43"/>
      <c r="H609" s="43"/>
      <c r="I609" s="43"/>
      <c r="K609" s="3" t="e">
        <f t="shared" si="54"/>
        <v>#DIV/0!</v>
      </c>
      <c r="L609" s="3" t="e">
        <f ca="1">SQRT(AVERAGE(K609:OFFSET(K609,$B$5-1,0))*$B$9/(4*LN(2)))</f>
        <v>#DIV/0!</v>
      </c>
      <c r="M609" s="3" t="e">
        <f ca="1">SQRT(AVERAGE(K609:OFFSET(K609,$B$6-1,0))*$B$9/(4*LN(2)))</f>
        <v>#DIV/0!</v>
      </c>
      <c r="N609" s="3" t="e">
        <f ca="1">SQRT(AVERAGE(K609:OFFSET(K609,$B$7-1,0))*$B$9/(4*LN(2)))</f>
        <v>#DIV/0!</v>
      </c>
      <c r="O609" s="3" t="e">
        <f ca="1">SQRT(AVERAGE(K609:OFFSET(K609,$B$8-1,0))*$B$9/(4*LN(2)))</f>
        <v>#DIV/0!</v>
      </c>
      <c r="Q609" s="5" t="e">
        <f t="shared" si="53"/>
        <v>#DIV/0!</v>
      </c>
      <c r="R609" s="5" t="e">
        <f ca="1">SQRT($B$9*AVERAGE((Q609:OFFSET(Q609,$B$5-1,0))))</f>
        <v>#DIV/0!</v>
      </c>
      <c r="S609" s="5" t="e">
        <f ca="1">SQRT($B$9*AVERAGE((Q609:OFFSET(Q609,$B$6-1,0))))</f>
        <v>#DIV/0!</v>
      </c>
      <c r="T609" s="5" t="e">
        <f ca="1">SQRT($B$9*AVERAGE((Q609:OFFSET(Q609,$B$7-1,0))))</f>
        <v>#DIV/0!</v>
      </c>
      <c r="U609" s="5" t="e">
        <f ca="1">SQRT($B$9*AVERAGE((Q609:OFFSET(Q609,$B$8-1,0))))</f>
        <v>#DIV/0!</v>
      </c>
      <c r="W609" s="6" t="e">
        <f t="shared" si="52"/>
        <v>#DIV/0!</v>
      </c>
      <c r="X609" s="6" t="e">
        <f ca="1">SQRT($B$9*AVERAGE(W609:OFFSET(W609,$B$5-1,0)))</f>
        <v>#DIV/0!</v>
      </c>
      <c r="Y609" s="6" t="e">
        <f ca="1">SQRT($B$9*AVERAGE(W609:OFFSET(W609,$B$6-1,0)))</f>
        <v>#DIV/0!</v>
      </c>
      <c r="Z609" s="6" t="e">
        <f ca="1">SQRT($B$9*AVERAGE(W609:OFFSET(W609,$B$7-1,0)))</f>
        <v>#DIV/0!</v>
      </c>
      <c r="AA609" s="6" t="e">
        <f ca="1">SQRT($B$9*AVERAGE(W609:OFFSET(W609,$B$8-1,0)))</f>
        <v>#DIV/0!</v>
      </c>
      <c r="AC609" s="34" t="e">
        <f t="shared" si="55"/>
        <v>#DIV/0!</v>
      </c>
      <c r="AD609" s="34" t="e">
        <f ca="1">SQRT($B$9*SUM(AC609:OFFSET(AC609,$B$5-1,0))/($B$5-1))</f>
        <v>#DIV/0!</v>
      </c>
      <c r="AE609" s="34" t="e">
        <f ca="1">SQRT($B$9*SUM(AC609:OFFSET(AC609,$B$6-1,0))/($B$6-1))</f>
        <v>#DIV/0!</v>
      </c>
      <c r="AF609" s="34" t="e">
        <f ca="1">SQRT($B$9*SUM(AC609:OFFSET(AC609,$B$7-1,0))/($B$7-1))</f>
        <v>#DIV/0!</v>
      </c>
      <c r="AG609" s="34" t="e">
        <f ca="1">SQRT($B$9*SUM(AC609:OFFSET(AC609,$B$8-1,0))/($B$8-1))</f>
        <v>#DIV/0!</v>
      </c>
      <c r="AI609" s="1" t="e">
        <f t="shared" si="56"/>
        <v>#DIV/0!</v>
      </c>
      <c r="AJ609" s="4" t="e">
        <f ca="1">SQRT($B$9)*_xlfn.STDEV.S(AI609:OFFSET(AI609,$B$5-1,0))</f>
        <v>#DIV/0!</v>
      </c>
      <c r="AK609" s="4" t="e">
        <f ca="1">SQRT($B$9)*_xlfn.STDEV.S(AI609:OFFSET(AI609,$B$6-1,0))</f>
        <v>#DIV/0!</v>
      </c>
      <c r="AL609" s="4" t="e">
        <f ca="1">SQRT($B$9)*_xlfn.STDEV.S(AI609:OFFSET(AI609,$B$7-1,0))</f>
        <v>#DIV/0!</v>
      </c>
      <c r="AM609" s="4" t="e">
        <f ca="1">SQRT($B$9)*_xlfn.STDEV.S(AI609:OFFSET(AI609,$B$8-1,0))</f>
        <v>#DIV/0!</v>
      </c>
    </row>
    <row r="610" spans="5:39" x14ac:dyDescent="0.2">
      <c r="E610" s="42">
        <v>44559</v>
      </c>
      <c r="F610" s="43"/>
      <c r="G610" s="43"/>
      <c r="H610" s="43"/>
      <c r="I610" s="43"/>
      <c r="K610" s="3" t="e">
        <f t="shared" si="54"/>
        <v>#DIV/0!</v>
      </c>
      <c r="L610" s="3" t="e">
        <f ca="1">SQRT(AVERAGE(K610:OFFSET(K610,$B$5-1,0))*$B$9/(4*LN(2)))</f>
        <v>#DIV/0!</v>
      </c>
      <c r="M610" s="3" t="e">
        <f ca="1">SQRT(AVERAGE(K610:OFFSET(K610,$B$6-1,0))*$B$9/(4*LN(2)))</f>
        <v>#DIV/0!</v>
      </c>
      <c r="N610" s="3" t="e">
        <f ca="1">SQRT(AVERAGE(K610:OFFSET(K610,$B$7-1,0))*$B$9/(4*LN(2)))</f>
        <v>#DIV/0!</v>
      </c>
      <c r="O610" s="3" t="e">
        <f ca="1">SQRT(AVERAGE(K610:OFFSET(K610,$B$8-1,0))*$B$9/(4*LN(2)))</f>
        <v>#DIV/0!</v>
      </c>
      <c r="Q610" s="5" t="e">
        <f t="shared" si="53"/>
        <v>#DIV/0!</v>
      </c>
      <c r="R610" s="5" t="e">
        <f ca="1">SQRT($B$9*AVERAGE((Q610:OFFSET(Q610,$B$5-1,0))))</f>
        <v>#DIV/0!</v>
      </c>
      <c r="S610" s="5" t="e">
        <f ca="1">SQRT($B$9*AVERAGE((Q610:OFFSET(Q610,$B$6-1,0))))</f>
        <v>#DIV/0!</v>
      </c>
      <c r="T610" s="5" t="e">
        <f ca="1">SQRT($B$9*AVERAGE((Q610:OFFSET(Q610,$B$7-1,0))))</f>
        <v>#DIV/0!</v>
      </c>
      <c r="U610" s="5" t="e">
        <f ca="1">SQRT($B$9*AVERAGE((Q610:OFFSET(Q610,$B$8-1,0))))</f>
        <v>#DIV/0!</v>
      </c>
      <c r="W610" s="6" t="e">
        <f t="shared" si="52"/>
        <v>#DIV/0!</v>
      </c>
      <c r="X610" s="6" t="e">
        <f ca="1">SQRT($B$9*AVERAGE(W610:OFFSET(W610,$B$5-1,0)))</f>
        <v>#DIV/0!</v>
      </c>
      <c r="Y610" s="6" t="e">
        <f ca="1">SQRT($B$9*AVERAGE(W610:OFFSET(W610,$B$6-1,0)))</f>
        <v>#DIV/0!</v>
      </c>
      <c r="Z610" s="6" t="e">
        <f ca="1">SQRT($B$9*AVERAGE(W610:OFFSET(W610,$B$7-1,0)))</f>
        <v>#DIV/0!</v>
      </c>
      <c r="AA610" s="6" t="e">
        <f ca="1">SQRT($B$9*AVERAGE(W610:OFFSET(W610,$B$8-1,0)))</f>
        <v>#DIV/0!</v>
      </c>
      <c r="AC610" s="34" t="e">
        <f t="shared" si="55"/>
        <v>#DIV/0!</v>
      </c>
      <c r="AD610" s="34" t="e">
        <f ca="1">SQRT($B$9*SUM(AC610:OFFSET(AC610,$B$5-1,0))/($B$5-1))</f>
        <v>#DIV/0!</v>
      </c>
      <c r="AE610" s="34" t="e">
        <f ca="1">SQRT($B$9*SUM(AC610:OFFSET(AC610,$B$6-1,0))/($B$6-1))</f>
        <v>#DIV/0!</v>
      </c>
      <c r="AF610" s="34" t="e">
        <f ca="1">SQRT($B$9*SUM(AC610:OFFSET(AC610,$B$7-1,0))/($B$7-1))</f>
        <v>#DIV/0!</v>
      </c>
      <c r="AG610" s="34" t="e">
        <f ca="1">SQRT($B$9*SUM(AC610:OFFSET(AC610,$B$8-1,0))/($B$8-1))</f>
        <v>#DIV/0!</v>
      </c>
      <c r="AI610" s="1" t="e">
        <f t="shared" si="56"/>
        <v>#DIV/0!</v>
      </c>
      <c r="AJ610" s="4" t="e">
        <f ca="1">SQRT($B$9)*_xlfn.STDEV.S(AI610:OFFSET(AI610,$B$5-1,0))</f>
        <v>#DIV/0!</v>
      </c>
      <c r="AK610" s="4" t="e">
        <f ca="1">SQRT($B$9)*_xlfn.STDEV.S(AI610:OFFSET(AI610,$B$6-1,0))</f>
        <v>#DIV/0!</v>
      </c>
      <c r="AL610" s="4" t="e">
        <f ca="1">SQRT($B$9)*_xlfn.STDEV.S(AI610:OFFSET(AI610,$B$7-1,0))</f>
        <v>#DIV/0!</v>
      </c>
      <c r="AM610" s="4" t="e">
        <f ca="1">SQRT($B$9)*_xlfn.STDEV.S(AI610:OFFSET(AI610,$B$8-1,0))</f>
        <v>#DIV/0!</v>
      </c>
    </row>
    <row r="611" spans="5:39" x14ac:dyDescent="0.2">
      <c r="E611" s="42">
        <v>44558</v>
      </c>
      <c r="F611" s="43"/>
      <c r="G611" s="43"/>
      <c r="H611" s="43"/>
      <c r="I611" s="43"/>
      <c r="K611" s="3" t="e">
        <f t="shared" si="54"/>
        <v>#DIV/0!</v>
      </c>
      <c r="L611" s="3" t="e">
        <f ca="1">SQRT(AVERAGE(K611:OFFSET(K611,$B$5-1,0))*$B$9/(4*LN(2)))</f>
        <v>#DIV/0!</v>
      </c>
      <c r="M611" s="3" t="e">
        <f ca="1">SQRT(AVERAGE(K611:OFFSET(K611,$B$6-1,0))*$B$9/(4*LN(2)))</f>
        <v>#DIV/0!</v>
      </c>
      <c r="N611" s="3" t="e">
        <f ca="1">SQRT(AVERAGE(K611:OFFSET(K611,$B$7-1,0))*$B$9/(4*LN(2)))</f>
        <v>#DIV/0!</v>
      </c>
      <c r="O611" s="3" t="e">
        <f ca="1">SQRT(AVERAGE(K611:OFFSET(K611,$B$8-1,0))*$B$9/(4*LN(2)))</f>
        <v>#DIV/0!</v>
      </c>
      <c r="Q611" s="5" t="e">
        <f t="shared" si="53"/>
        <v>#DIV/0!</v>
      </c>
      <c r="R611" s="5" t="e">
        <f ca="1">SQRT($B$9*AVERAGE((Q611:OFFSET(Q611,$B$5-1,0))))</f>
        <v>#DIV/0!</v>
      </c>
      <c r="S611" s="5" t="e">
        <f ca="1">SQRT($B$9*AVERAGE((Q611:OFFSET(Q611,$B$6-1,0))))</f>
        <v>#DIV/0!</v>
      </c>
      <c r="T611" s="5" t="e">
        <f ca="1">SQRT($B$9*AVERAGE((Q611:OFFSET(Q611,$B$7-1,0))))</f>
        <v>#DIV/0!</v>
      </c>
      <c r="U611" s="5" t="e">
        <f ca="1">SQRT($B$9*AVERAGE((Q611:OFFSET(Q611,$B$8-1,0))))</f>
        <v>#DIV/0!</v>
      </c>
      <c r="W611" s="6" t="e">
        <f t="shared" si="52"/>
        <v>#DIV/0!</v>
      </c>
      <c r="X611" s="6" t="e">
        <f ca="1">SQRT($B$9*AVERAGE(W611:OFFSET(W611,$B$5-1,0)))</f>
        <v>#DIV/0!</v>
      </c>
      <c r="Y611" s="6" t="e">
        <f ca="1">SQRT($B$9*AVERAGE(W611:OFFSET(W611,$B$6-1,0)))</f>
        <v>#DIV/0!</v>
      </c>
      <c r="Z611" s="6" t="e">
        <f ca="1">SQRT($B$9*AVERAGE(W611:OFFSET(W611,$B$7-1,0)))</f>
        <v>#DIV/0!</v>
      </c>
      <c r="AA611" s="6" t="e">
        <f ca="1">SQRT($B$9*AVERAGE(W611:OFFSET(W611,$B$8-1,0)))</f>
        <v>#DIV/0!</v>
      </c>
      <c r="AC611" s="34" t="e">
        <f t="shared" si="55"/>
        <v>#DIV/0!</v>
      </c>
      <c r="AD611" s="34" t="e">
        <f ca="1">SQRT($B$9*SUM(AC611:OFFSET(AC611,$B$5-1,0))/($B$5-1))</f>
        <v>#DIV/0!</v>
      </c>
      <c r="AE611" s="34" t="e">
        <f ca="1">SQRT($B$9*SUM(AC611:OFFSET(AC611,$B$6-1,0))/($B$6-1))</f>
        <v>#DIV/0!</v>
      </c>
      <c r="AF611" s="34" t="e">
        <f ca="1">SQRT($B$9*SUM(AC611:OFFSET(AC611,$B$7-1,0))/($B$7-1))</f>
        <v>#DIV/0!</v>
      </c>
      <c r="AG611" s="34" t="e">
        <f ca="1">SQRT($B$9*SUM(AC611:OFFSET(AC611,$B$8-1,0))/($B$8-1))</f>
        <v>#DIV/0!</v>
      </c>
      <c r="AI611" s="1" t="e">
        <f t="shared" si="56"/>
        <v>#DIV/0!</v>
      </c>
      <c r="AJ611" s="4" t="e">
        <f ca="1">SQRT($B$9)*_xlfn.STDEV.S(AI611:OFFSET(AI611,$B$5-1,0))</f>
        <v>#DIV/0!</v>
      </c>
      <c r="AK611" s="4" t="e">
        <f ca="1">SQRT($B$9)*_xlfn.STDEV.S(AI611:OFFSET(AI611,$B$6-1,0))</f>
        <v>#DIV/0!</v>
      </c>
      <c r="AL611" s="4" t="e">
        <f ca="1">SQRT($B$9)*_xlfn.STDEV.S(AI611:OFFSET(AI611,$B$7-1,0))</f>
        <v>#DIV/0!</v>
      </c>
      <c r="AM611" s="4" t="e">
        <f ca="1">SQRT($B$9)*_xlfn.STDEV.S(AI611:OFFSET(AI611,$B$8-1,0))</f>
        <v>#DIV/0!</v>
      </c>
    </row>
    <row r="612" spans="5:39" x14ac:dyDescent="0.2">
      <c r="E612" s="42">
        <v>44557</v>
      </c>
      <c r="F612" s="43"/>
      <c r="G612" s="43"/>
      <c r="H612" s="43"/>
      <c r="I612" s="43"/>
      <c r="K612" s="3" t="e">
        <f t="shared" si="54"/>
        <v>#DIV/0!</v>
      </c>
      <c r="L612" s="3" t="e">
        <f ca="1">SQRT(AVERAGE(K612:OFFSET(K612,$B$5-1,0))*$B$9/(4*LN(2)))</f>
        <v>#DIV/0!</v>
      </c>
      <c r="M612" s="3" t="e">
        <f ca="1">SQRT(AVERAGE(K612:OFFSET(K612,$B$6-1,0))*$B$9/(4*LN(2)))</f>
        <v>#DIV/0!</v>
      </c>
      <c r="N612" s="3" t="e">
        <f ca="1">SQRT(AVERAGE(K612:OFFSET(K612,$B$7-1,0))*$B$9/(4*LN(2)))</f>
        <v>#DIV/0!</v>
      </c>
      <c r="O612" s="3" t="e">
        <f ca="1">SQRT(AVERAGE(K612:OFFSET(K612,$B$8-1,0))*$B$9/(4*LN(2)))</f>
        <v>#DIV/0!</v>
      </c>
      <c r="Q612" s="5" t="e">
        <f t="shared" si="53"/>
        <v>#DIV/0!</v>
      </c>
      <c r="R612" s="5" t="e">
        <f ca="1">SQRT($B$9*AVERAGE((Q612:OFFSET(Q612,$B$5-1,0))))</f>
        <v>#DIV/0!</v>
      </c>
      <c r="S612" s="5" t="e">
        <f ca="1">SQRT($B$9*AVERAGE((Q612:OFFSET(Q612,$B$6-1,0))))</f>
        <v>#DIV/0!</v>
      </c>
      <c r="T612" s="5" t="e">
        <f ca="1">SQRT($B$9*AVERAGE((Q612:OFFSET(Q612,$B$7-1,0))))</f>
        <v>#DIV/0!</v>
      </c>
      <c r="U612" s="5" t="e">
        <f ca="1">SQRT($B$9*AVERAGE((Q612:OFFSET(Q612,$B$8-1,0))))</f>
        <v>#DIV/0!</v>
      </c>
      <c r="W612" s="6" t="e">
        <f t="shared" si="52"/>
        <v>#DIV/0!</v>
      </c>
      <c r="X612" s="6" t="e">
        <f ca="1">SQRT($B$9*AVERAGE(W612:OFFSET(W612,$B$5-1,0)))</f>
        <v>#DIV/0!</v>
      </c>
      <c r="Y612" s="6" t="e">
        <f ca="1">SQRT($B$9*AVERAGE(W612:OFFSET(W612,$B$6-1,0)))</f>
        <v>#DIV/0!</v>
      </c>
      <c r="Z612" s="6" t="e">
        <f ca="1">SQRT($B$9*AVERAGE(W612:OFFSET(W612,$B$7-1,0)))</f>
        <v>#DIV/0!</v>
      </c>
      <c r="AA612" s="6" t="e">
        <f ca="1">SQRT($B$9*AVERAGE(W612:OFFSET(W612,$B$8-1,0)))</f>
        <v>#DIV/0!</v>
      </c>
      <c r="AC612" s="34" t="e">
        <f t="shared" si="55"/>
        <v>#DIV/0!</v>
      </c>
      <c r="AD612" s="34" t="e">
        <f ca="1">SQRT($B$9*SUM(AC612:OFFSET(AC612,$B$5-1,0))/($B$5-1))</f>
        <v>#DIV/0!</v>
      </c>
      <c r="AE612" s="34" t="e">
        <f ca="1">SQRT($B$9*SUM(AC612:OFFSET(AC612,$B$6-1,0))/($B$6-1))</f>
        <v>#DIV/0!</v>
      </c>
      <c r="AF612" s="34" t="e">
        <f ca="1">SQRT($B$9*SUM(AC612:OFFSET(AC612,$B$7-1,0))/($B$7-1))</f>
        <v>#DIV/0!</v>
      </c>
      <c r="AG612" s="34" t="e">
        <f ca="1">SQRT($B$9*SUM(AC612:OFFSET(AC612,$B$8-1,0))/($B$8-1))</f>
        <v>#DIV/0!</v>
      </c>
      <c r="AI612" s="1" t="e">
        <f t="shared" si="56"/>
        <v>#DIV/0!</v>
      </c>
      <c r="AJ612" s="4" t="e">
        <f ca="1">SQRT($B$9)*_xlfn.STDEV.S(AI612:OFFSET(AI612,$B$5-1,0))</f>
        <v>#DIV/0!</v>
      </c>
      <c r="AK612" s="4" t="e">
        <f ca="1">SQRT($B$9)*_xlfn.STDEV.S(AI612:OFFSET(AI612,$B$6-1,0))</f>
        <v>#DIV/0!</v>
      </c>
      <c r="AL612" s="4" t="e">
        <f ca="1">SQRT($B$9)*_xlfn.STDEV.S(AI612:OFFSET(AI612,$B$7-1,0))</f>
        <v>#DIV/0!</v>
      </c>
      <c r="AM612" s="4" t="e">
        <f ca="1">SQRT($B$9)*_xlfn.STDEV.S(AI612:OFFSET(AI612,$B$8-1,0))</f>
        <v>#DIV/0!</v>
      </c>
    </row>
    <row r="613" spans="5:39" x14ac:dyDescent="0.2">
      <c r="E613" s="42">
        <v>44554</v>
      </c>
      <c r="F613" s="43"/>
      <c r="G613" s="43"/>
      <c r="H613" s="43"/>
      <c r="I613" s="43"/>
      <c r="K613" s="3" t="e">
        <f t="shared" si="54"/>
        <v>#DIV/0!</v>
      </c>
      <c r="L613" s="3" t="e">
        <f ca="1">SQRT(AVERAGE(K613:OFFSET(K613,$B$5-1,0))*$B$9/(4*LN(2)))</f>
        <v>#DIV/0!</v>
      </c>
      <c r="M613" s="3" t="e">
        <f ca="1">SQRT(AVERAGE(K613:OFFSET(K613,$B$6-1,0))*$B$9/(4*LN(2)))</f>
        <v>#DIV/0!</v>
      </c>
      <c r="N613" s="3" t="e">
        <f ca="1">SQRT(AVERAGE(K613:OFFSET(K613,$B$7-1,0))*$B$9/(4*LN(2)))</f>
        <v>#DIV/0!</v>
      </c>
      <c r="O613" s="3" t="e">
        <f ca="1">SQRT(AVERAGE(K613:OFFSET(K613,$B$8-1,0))*$B$9/(4*LN(2)))</f>
        <v>#DIV/0!</v>
      </c>
      <c r="Q613" s="5" t="e">
        <f t="shared" si="53"/>
        <v>#DIV/0!</v>
      </c>
      <c r="R613" s="5" t="e">
        <f ca="1">SQRT($B$9*AVERAGE((Q613:OFFSET(Q613,$B$5-1,0))))</f>
        <v>#DIV/0!</v>
      </c>
      <c r="S613" s="5" t="e">
        <f ca="1">SQRT($B$9*AVERAGE((Q613:OFFSET(Q613,$B$6-1,0))))</f>
        <v>#DIV/0!</v>
      </c>
      <c r="T613" s="5" t="e">
        <f ca="1">SQRT($B$9*AVERAGE((Q613:OFFSET(Q613,$B$7-1,0))))</f>
        <v>#DIV/0!</v>
      </c>
      <c r="U613" s="5" t="e">
        <f ca="1">SQRT($B$9*AVERAGE((Q613:OFFSET(Q613,$B$8-1,0))))</f>
        <v>#DIV/0!</v>
      </c>
      <c r="W613" s="6" t="e">
        <f t="shared" si="52"/>
        <v>#DIV/0!</v>
      </c>
      <c r="X613" s="6" t="e">
        <f ca="1">SQRT($B$9*AVERAGE(W613:OFFSET(W613,$B$5-1,0)))</f>
        <v>#DIV/0!</v>
      </c>
      <c r="Y613" s="6" t="e">
        <f ca="1">SQRT($B$9*AVERAGE(W613:OFFSET(W613,$B$6-1,0)))</f>
        <v>#DIV/0!</v>
      </c>
      <c r="Z613" s="6" t="e">
        <f ca="1">SQRT($B$9*AVERAGE(W613:OFFSET(W613,$B$7-1,0)))</f>
        <v>#DIV/0!</v>
      </c>
      <c r="AA613" s="6" t="e">
        <f ca="1">SQRT($B$9*AVERAGE(W613:OFFSET(W613,$B$8-1,0)))</f>
        <v>#DIV/0!</v>
      </c>
      <c r="AC613" s="34" t="e">
        <f t="shared" si="55"/>
        <v>#DIV/0!</v>
      </c>
      <c r="AD613" s="34" t="e">
        <f ca="1">SQRT($B$9*SUM(AC613:OFFSET(AC613,$B$5-1,0))/($B$5-1))</f>
        <v>#DIV/0!</v>
      </c>
      <c r="AE613" s="34" t="e">
        <f ca="1">SQRT($B$9*SUM(AC613:OFFSET(AC613,$B$6-1,0))/($B$6-1))</f>
        <v>#DIV/0!</v>
      </c>
      <c r="AF613" s="34" t="e">
        <f ca="1">SQRT($B$9*SUM(AC613:OFFSET(AC613,$B$7-1,0))/($B$7-1))</f>
        <v>#DIV/0!</v>
      </c>
      <c r="AG613" s="34" t="e">
        <f ca="1">SQRT($B$9*SUM(AC613:OFFSET(AC613,$B$8-1,0))/($B$8-1))</f>
        <v>#DIV/0!</v>
      </c>
      <c r="AI613" s="1" t="e">
        <f t="shared" si="56"/>
        <v>#DIV/0!</v>
      </c>
      <c r="AJ613" s="4" t="e">
        <f ca="1">SQRT($B$9)*_xlfn.STDEV.S(AI613:OFFSET(AI613,$B$5-1,0))</f>
        <v>#DIV/0!</v>
      </c>
      <c r="AK613" s="4" t="e">
        <f ca="1">SQRT($B$9)*_xlfn.STDEV.S(AI613:OFFSET(AI613,$B$6-1,0))</f>
        <v>#DIV/0!</v>
      </c>
      <c r="AL613" s="4" t="e">
        <f ca="1">SQRT($B$9)*_xlfn.STDEV.S(AI613:OFFSET(AI613,$B$7-1,0))</f>
        <v>#DIV/0!</v>
      </c>
      <c r="AM613" s="4" t="e">
        <f ca="1">SQRT($B$9)*_xlfn.STDEV.S(AI613:OFFSET(AI613,$B$8-1,0))</f>
        <v>#DIV/0!</v>
      </c>
    </row>
    <row r="614" spans="5:39" x14ac:dyDescent="0.2">
      <c r="E614" s="42">
        <v>44553</v>
      </c>
      <c r="F614" s="43"/>
      <c r="G614" s="43"/>
      <c r="H614" s="43"/>
      <c r="I614" s="43"/>
      <c r="K614" s="3" t="e">
        <f t="shared" si="54"/>
        <v>#DIV/0!</v>
      </c>
      <c r="L614" s="3" t="e">
        <f ca="1">SQRT(AVERAGE(K614:OFFSET(K614,$B$5-1,0))*$B$9/(4*LN(2)))</f>
        <v>#DIV/0!</v>
      </c>
      <c r="M614" s="3" t="e">
        <f ca="1">SQRT(AVERAGE(K614:OFFSET(K614,$B$6-1,0))*$B$9/(4*LN(2)))</f>
        <v>#DIV/0!</v>
      </c>
      <c r="N614" s="3" t="e">
        <f ca="1">SQRT(AVERAGE(K614:OFFSET(K614,$B$7-1,0))*$B$9/(4*LN(2)))</f>
        <v>#DIV/0!</v>
      </c>
      <c r="O614" s="3" t="e">
        <f ca="1">SQRT(AVERAGE(K614:OFFSET(K614,$B$8-1,0))*$B$9/(4*LN(2)))</f>
        <v>#DIV/0!</v>
      </c>
      <c r="Q614" s="5" t="e">
        <f t="shared" si="53"/>
        <v>#DIV/0!</v>
      </c>
      <c r="R614" s="5" t="e">
        <f ca="1">SQRT($B$9*AVERAGE((Q614:OFFSET(Q614,$B$5-1,0))))</f>
        <v>#DIV/0!</v>
      </c>
      <c r="S614" s="5" t="e">
        <f ca="1">SQRT($B$9*AVERAGE((Q614:OFFSET(Q614,$B$6-1,0))))</f>
        <v>#DIV/0!</v>
      </c>
      <c r="T614" s="5" t="e">
        <f ca="1">SQRT($B$9*AVERAGE((Q614:OFFSET(Q614,$B$7-1,0))))</f>
        <v>#DIV/0!</v>
      </c>
      <c r="U614" s="5" t="e">
        <f ca="1">SQRT($B$9*AVERAGE((Q614:OFFSET(Q614,$B$8-1,0))))</f>
        <v>#DIV/0!</v>
      </c>
      <c r="W614" s="6" t="e">
        <f t="shared" si="52"/>
        <v>#DIV/0!</v>
      </c>
      <c r="X614" s="6" t="e">
        <f ca="1">SQRT($B$9*AVERAGE(W614:OFFSET(W614,$B$5-1,0)))</f>
        <v>#DIV/0!</v>
      </c>
      <c r="Y614" s="6" t="e">
        <f ca="1">SQRT($B$9*AVERAGE(W614:OFFSET(W614,$B$6-1,0)))</f>
        <v>#DIV/0!</v>
      </c>
      <c r="Z614" s="6" t="e">
        <f ca="1">SQRT($B$9*AVERAGE(W614:OFFSET(W614,$B$7-1,0)))</f>
        <v>#DIV/0!</v>
      </c>
      <c r="AA614" s="6" t="e">
        <f ca="1">SQRT($B$9*AVERAGE(W614:OFFSET(W614,$B$8-1,0)))</f>
        <v>#DIV/0!</v>
      </c>
      <c r="AC614" s="34" t="e">
        <f t="shared" si="55"/>
        <v>#DIV/0!</v>
      </c>
      <c r="AD614" s="34" t="e">
        <f ca="1">SQRT($B$9*SUM(AC614:OFFSET(AC614,$B$5-1,0))/($B$5-1))</f>
        <v>#DIV/0!</v>
      </c>
      <c r="AE614" s="34" t="e">
        <f ca="1">SQRT($B$9*SUM(AC614:OFFSET(AC614,$B$6-1,0))/($B$6-1))</f>
        <v>#DIV/0!</v>
      </c>
      <c r="AF614" s="34" t="e">
        <f ca="1">SQRT($B$9*SUM(AC614:OFFSET(AC614,$B$7-1,0))/($B$7-1))</f>
        <v>#DIV/0!</v>
      </c>
      <c r="AG614" s="34" t="e">
        <f ca="1">SQRT($B$9*SUM(AC614:OFFSET(AC614,$B$8-1,0))/($B$8-1))</f>
        <v>#DIV/0!</v>
      </c>
      <c r="AI614" s="1" t="e">
        <f t="shared" si="56"/>
        <v>#DIV/0!</v>
      </c>
      <c r="AJ614" s="4" t="e">
        <f ca="1">SQRT($B$9)*_xlfn.STDEV.S(AI614:OFFSET(AI614,$B$5-1,0))</f>
        <v>#DIV/0!</v>
      </c>
      <c r="AK614" s="4" t="e">
        <f ca="1">SQRT($B$9)*_xlfn.STDEV.S(AI614:OFFSET(AI614,$B$6-1,0))</f>
        <v>#DIV/0!</v>
      </c>
      <c r="AL614" s="4" t="e">
        <f ca="1">SQRT($B$9)*_xlfn.STDEV.S(AI614:OFFSET(AI614,$B$7-1,0))</f>
        <v>#DIV/0!</v>
      </c>
      <c r="AM614" s="4" t="e">
        <f ca="1">SQRT($B$9)*_xlfn.STDEV.S(AI614:OFFSET(AI614,$B$8-1,0))</f>
        <v>#DIV/0!</v>
      </c>
    </row>
    <row r="615" spans="5:39" x14ac:dyDescent="0.2">
      <c r="E615" s="42">
        <v>44552</v>
      </c>
      <c r="F615" s="43"/>
      <c r="G615" s="43"/>
      <c r="H615" s="43"/>
      <c r="I615" s="43"/>
      <c r="K615" s="3" t="e">
        <f t="shared" si="54"/>
        <v>#DIV/0!</v>
      </c>
      <c r="L615" s="3" t="e">
        <f ca="1">SQRT(AVERAGE(K615:OFFSET(K615,$B$5-1,0))*$B$9/(4*LN(2)))</f>
        <v>#DIV/0!</v>
      </c>
      <c r="M615" s="3" t="e">
        <f ca="1">SQRT(AVERAGE(K615:OFFSET(K615,$B$6-1,0))*$B$9/(4*LN(2)))</f>
        <v>#DIV/0!</v>
      </c>
      <c r="N615" s="3" t="e">
        <f ca="1">SQRT(AVERAGE(K615:OFFSET(K615,$B$7-1,0))*$B$9/(4*LN(2)))</f>
        <v>#DIV/0!</v>
      </c>
      <c r="O615" s="3" t="e">
        <f ca="1">SQRT(AVERAGE(K615:OFFSET(K615,$B$8-1,0))*$B$9/(4*LN(2)))</f>
        <v>#DIV/0!</v>
      </c>
      <c r="Q615" s="5" t="e">
        <f t="shared" si="53"/>
        <v>#DIV/0!</v>
      </c>
      <c r="R615" s="5" t="e">
        <f ca="1">SQRT($B$9*AVERAGE((Q615:OFFSET(Q615,$B$5-1,0))))</f>
        <v>#DIV/0!</v>
      </c>
      <c r="S615" s="5" t="e">
        <f ca="1">SQRT($B$9*AVERAGE((Q615:OFFSET(Q615,$B$6-1,0))))</f>
        <v>#DIV/0!</v>
      </c>
      <c r="T615" s="5" t="e">
        <f ca="1">SQRT($B$9*AVERAGE((Q615:OFFSET(Q615,$B$7-1,0))))</f>
        <v>#DIV/0!</v>
      </c>
      <c r="U615" s="5" t="e">
        <f ca="1">SQRT($B$9*AVERAGE((Q615:OFFSET(Q615,$B$8-1,0))))</f>
        <v>#DIV/0!</v>
      </c>
      <c r="W615" s="6" t="e">
        <f t="shared" ref="W615:W678" si="57">LN(G615/I615)*LN(G615/F615)+LN(H615/I615)*LN(H615/F615)</f>
        <v>#DIV/0!</v>
      </c>
      <c r="X615" s="6" t="e">
        <f ca="1">SQRT($B$9*AVERAGE(W615:OFFSET(W615,$B$5-1,0)))</f>
        <v>#DIV/0!</v>
      </c>
      <c r="Y615" s="6" t="e">
        <f ca="1">SQRT($B$9*AVERAGE(W615:OFFSET(W615,$B$6-1,0)))</f>
        <v>#DIV/0!</v>
      </c>
      <c r="Z615" s="6" t="e">
        <f ca="1">SQRT($B$9*AVERAGE(W615:OFFSET(W615,$B$7-1,0)))</f>
        <v>#DIV/0!</v>
      </c>
      <c r="AA615" s="6" t="e">
        <f ca="1">SQRT($B$9*AVERAGE(W615:OFFSET(W615,$B$8-1,0)))</f>
        <v>#DIV/0!</v>
      </c>
      <c r="AC615" s="34" t="e">
        <f t="shared" si="55"/>
        <v>#DIV/0!</v>
      </c>
      <c r="AD615" s="34" t="e">
        <f ca="1">SQRT($B$9*SUM(AC615:OFFSET(AC615,$B$5-1,0))/($B$5-1))</f>
        <v>#DIV/0!</v>
      </c>
      <c r="AE615" s="34" t="e">
        <f ca="1">SQRT($B$9*SUM(AC615:OFFSET(AC615,$B$6-1,0))/($B$6-1))</f>
        <v>#DIV/0!</v>
      </c>
      <c r="AF615" s="34" t="e">
        <f ca="1">SQRT($B$9*SUM(AC615:OFFSET(AC615,$B$7-1,0))/($B$7-1))</f>
        <v>#DIV/0!</v>
      </c>
      <c r="AG615" s="34" t="e">
        <f ca="1">SQRT($B$9*SUM(AC615:OFFSET(AC615,$B$8-1,0))/($B$8-1))</f>
        <v>#DIV/0!</v>
      </c>
      <c r="AI615" s="1" t="e">
        <f t="shared" si="56"/>
        <v>#DIV/0!</v>
      </c>
      <c r="AJ615" s="4" t="e">
        <f ca="1">SQRT($B$9)*_xlfn.STDEV.S(AI615:OFFSET(AI615,$B$5-1,0))</f>
        <v>#DIV/0!</v>
      </c>
      <c r="AK615" s="4" t="e">
        <f ca="1">SQRT($B$9)*_xlfn.STDEV.S(AI615:OFFSET(AI615,$B$6-1,0))</f>
        <v>#DIV/0!</v>
      </c>
      <c r="AL615" s="4" t="e">
        <f ca="1">SQRT($B$9)*_xlfn.STDEV.S(AI615:OFFSET(AI615,$B$7-1,0))</f>
        <v>#DIV/0!</v>
      </c>
      <c r="AM615" s="4" t="e">
        <f ca="1">SQRT($B$9)*_xlfn.STDEV.S(AI615:OFFSET(AI615,$B$8-1,0))</f>
        <v>#DIV/0!</v>
      </c>
    </row>
    <row r="616" spans="5:39" x14ac:dyDescent="0.2">
      <c r="E616" s="42">
        <v>44551</v>
      </c>
      <c r="F616" s="43"/>
      <c r="G616" s="43"/>
      <c r="H616" s="43"/>
      <c r="I616" s="43"/>
      <c r="K616" s="3" t="e">
        <f t="shared" si="54"/>
        <v>#DIV/0!</v>
      </c>
      <c r="L616" s="3" t="e">
        <f ca="1">SQRT(AVERAGE(K616:OFFSET(K616,$B$5-1,0))*$B$9/(4*LN(2)))</f>
        <v>#DIV/0!</v>
      </c>
      <c r="M616" s="3" t="e">
        <f ca="1">SQRT(AVERAGE(K616:OFFSET(K616,$B$6-1,0))*$B$9/(4*LN(2)))</f>
        <v>#DIV/0!</v>
      </c>
      <c r="N616" s="3" t="e">
        <f ca="1">SQRT(AVERAGE(K616:OFFSET(K616,$B$7-1,0))*$B$9/(4*LN(2)))</f>
        <v>#DIV/0!</v>
      </c>
      <c r="O616" s="3" t="e">
        <f ca="1">SQRT(AVERAGE(K616:OFFSET(K616,$B$8-1,0))*$B$9/(4*LN(2)))</f>
        <v>#DIV/0!</v>
      </c>
      <c r="Q616" s="5" t="e">
        <f t="shared" si="53"/>
        <v>#DIV/0!</v>
      </c>
      <c r="R616" s="5" t="e">
        <f ca="1">SQRT($B$9*AVERAGE((Q616:OFFSET(Q616,$B$5-1,0))))</f>
        <v>#DIV/0!</v>
      </c>
      <c r="S616" s="5" t="e">
        <f ca="1">SQRT($B$9*AVERAGE((Q616:OFFSET(Q616,$B$6-1,0))))</f>
        <v>#DIV/0!</v>
      </c>
      <c r="T616" s="5" t="e">
        <f ca="1">SQRT($B$9*AVERAGE((Q616:OFFSET(Q616,$B$7-1,0))))</f>
        <v>#DIV/0!</v>
      </c>
      <c r="U616" s="5" t="e">
        <f ca="1">SQRT($B$9*AVERAGE((Q616:OFFSET(Q616,$B$8-1,0))))</f>
        <v>#DIV/0!</v>
      </c>
      <c r="W616" s="6" t="e">
        <f t="shared" si="57"/>
        <v>#DIV/0!</v>
      </c>
      <c r="X616" s="6" t="e">
        <f ca="1">SQRT($B$9*AVERAGE(W616:OFFSET(W616,$B$5-1,0)))</f>
        <v>#DIV/0!</v>
      </c>
      <c r="Y616" s="6" t="e">
        <f ca="1">SQRT($B$9*AVERAGE(W616:OFFSET(W616,$B$6-1,0)))</f>
        <v>#DIV/0!</v>
      </c>
      <c r="Z616" s="6" t="e">
        <f ca="1">SQRT($B$9*AVERAGE(W616:OFFSET(W616,$B$7-1,0)))</f>
        <v>#DIV/0!</v>
      </c>
      <c r="AA616" s="6" t="e">
        <f ca="1">SQRT($B$9*AVERAGE(W616:OFFSET(W616,$B$8-1,0)))</f>
        <v>#DIV/0!</v>
      </c>
      <c r="AC616" s="34" t="e">
        <f t="shared" si="55"/>
        <v>#DIV/0!</v>
      </c>
      <c r="AD616" s="34" t="e">
        <f ca="1">SQRT($B$9*SUM(AC616:OFFSET(AC616,$B$5-1,0))/($B$5-1))</f>
        <v>#DIV/0!</v>
      </c>
      <c r="AE616" s="34" t="e">
        <f ca="1">SQRT($B$9*SUM(AC616:OFFSET(AC616,$B$6-1,0))/($B$6-1))</f>
        <v>#DIV/0!</v>
      </c>
      <c r="AF616" s="34" t="e">
        <f ca="1">SQRT($B$9*SUM(AC616:OFFSET(AC616,$B$7-1,0))/($B$7-1))</f>
        <v>#DIV/0!</v>
      </c>
      <c r="AG616" s="34" t="e">
        <f ca="1">SQRT($B$9*SUM(AC616:OFFSET(AC616,$B$8-1,0))/($B$8-1))</f>
        <v>#DIV/0!</v>
      </c>
      <c r="AI616" s="1" t="e">
        <f t="shared" si="56"/>
        <v>#DIV/0!</v>
      </c>
      <c r="AJ616" s="4" t="e">
        <f ca="1">SQRT($B$9)*_xlfn.STDEV.S(AI616:OFFSET(AI616,$B$5-1,0))</f>
        <v>#DIV/0!</v>
      </c>
      <c r="AK616" s="4" t="e">
        <f ca="1">SQRT($B$9)*_xlfn.STDEV.S(AI616:OFFSET(AI616,$B$6-1,0))</f>
        <v>#DIV/0!</v>
      </c>
      <c r="AL616" s="4" t="e">
        <f ca="1">SQRT($B$9)*_xlfn.STDEV.S(AI616:OFFSET(AI616,$B$7-1,0))</f>
        <v>#DIV/0!</v>
      </c>
      <c r="AM616" s="4" t="e">
        <f ca="1">SQRT($B$9)*_xlfn.STDEV.S(AI616:OFFSET(AI616,$B$8-1,0))</f>
        <v>#DIV/0!</v>
      </c>
    </row>
    <row r="617" spans="5:39" x14ac:dyDescent="0.2">
      <c r="E617" s="42">
        <v>44550</v>
      </c>
      <c r="F617" s="43"/>
      <c r="G617" s="43"/>
      <c r="H617" s="43"/>
      <c r="I617" s="43"/>
      <c r="K617" s="3" t="e">
        <f t="shared" si="54"/>
        <v>#DIV/0!</v>
      </c>
      <c r="L617" s="3" t="e">
        <f ca="1">SQRT(AVERAGE(K617:OFFSET(K617,$B$5-1,0))*$B$9/(4*LN(2)))</f>
        <v>#DIV/0!</v>
      </c>
      <c r="M617" s="3" t="e">
        <f ca="1">SQRT(AVERAGE(K617:OFFSET(K617,$B$6-1,0))*$B$9/(4*LN(2)))</f>
        <v>#DIV/0!</v>
      </c>
      <c r="N617" s="3" t="e">
        <f ca="1">SQRT(AVERAGE(K617:OFFSET(K617,$B$7-1,0))*$B$9/(4*LN(2)))</f>
        <v>#DIV/0!</v>
      </c>
      <c r="O617" s="3" t="e">
        <f ca="1">SQRT(AVERAGE(K617:OFFSET(K617,$B$8-1,0))*$B$9/(4*LN(2)))</f>
        <v>#DIV/0!</v>
      </c>
      <c r="Q617" s="5" t="e">
        <f t="shared" si="53"/>
        <v>#DIV/0!</v>
      </c>
      <c r="R617" s="5" t="e">
        <f ca="1">SQRT($B$9*AVERAGE((Q617:OFFSET(Q617,$B$5-1,0))))</f>
        <v>#DIV/0!</v>
      </c>
      <c r="S617" s="5" t="e">
        <f ca="1">SQRT($B$9*AVERAGE((Q617:OFFSET(Q617,$B$6-1,0))))</f>
        <v>#DIV/0!</v>
      </c>
      <c r="T617" s="5" t="e">
        <f ca="1">SQRT($B$9*AVERAGE((Q617:OFFSET(Q617,$B$7-1,0))))</f>
        <v>#DIV/0!</v>
      </c>
      <c r="U617" s="5" t="e">
        <f ca="1">SQRT($B$9*AVERAGE((Q617:OFFSET(Q617,$B$8-1,0))))</f>
        <v>#DIV/0!</v>
      </c>
      <c r="W617" s="6" t="e">
        <f t="shared" si="57"/>
        <v>#DIV/0!</v>
      </c>
      <c r="X617" s="6" t="e">
        <f ca="1">SQRT($B$9*AVERAGE(W617:OFFSET(W617,$B$5-1,0)))</f>
        <v>#DIV/0!</v>
      </c>
      <c r="Y617" s="6" t="e">
        <f ca="1">SQRT($B$9*AVERAGE(W617:OFFSET(W617,$B$6-1,0)))</f>
        <v>#DIV/0!</v>
      </c>
      <c r="Z617" s="6" t="e">
        <f ca="1">SQRT($B$9*AVERAGE(W617:OFFSET(W617,$B$7-1,0)))</f>
        <v>#DIV/0!</v>
      </c>
      <c r="AA617" s="6" t="e">
        <f ca="1">SQRT($B$9*AVERAGE(W617:OFFSET(W617,$B$8-1,0)))</f>
        <v>#DIV/0!</v>
      </c>
      <c r="AC617" s="34" t="e">
        <f t="shared" si="55"/>
        <v>#DIV/0!</v>
      </c>
      <c r="AD617" s="34" t="e">
        <f ca="1">SQRT($B$9*SUM(AC617:OFFSET(AC617,$B$5-1,0))/($B$5-1))</f>
        <v>#DIV/0!</v>
      </c>
      <c r="AE617" s="34" t="e">
        <f ca="1">SQRT($B$9*SUM(AC617:OFFSET(AC617,$B$6-1,0))/($B$6-1))</f>
        <v>#DIV/0!</v>
      </c>
      <c r="AF617" s="34" t="e">
        <f ca="1">SQRT($B$9*SUM(AC617:OFFSET(AC617,$B$7-1,0))/($B$7-1))</f>
        <v>#DIV/0!</v>
      </c>
      <c r="AG617" s="34" t="e">
        <f ca="1">SQRT($B$9*SUM(AC617:OFFSET(AC617,$B$8-1,0))/($B$8-1))</f>
        <v>#DIV/0!</v>
      </c>
      <c r="AI617" s="1" t="e">
        <f t="shared" si="56"/>
        <v>#DIV/0!</v>
      </c>
      <c r="AJ617" s="4" t="e">
        <f ca="1">SQRT($B$9)*_xlfn.STDEV.S(AI617:OFFSET(AI617,$B$5-1,0))</f>
        <v>#DIV/0!</v>
      </c>
      <c r="AK617" s="4" t="e">
        <f ca="1">SQRT($B$9)*_xlfn.STDEV.S(AI617:OFFSET(AI617,$B$6-1,0))</f>
        <v>#DIV/0!</v>
      </c>
      <c r="AL617" s="4" t="e">
        <f ca="1">SQRT($B$9)*_xlfn.STDEV.S(AI617:OFFSET(AI617,$B$7-1,0))</f>
        <v>#DIV/0!</v>
      </c>
      <c r="AM617" s="4" t="e">
        <f ca="1">SQRT($B$9)*_xlfn.STDEV.S(AI617:OFFSET(AI617,$B$8-1,0))</f>
        <v>#DIV/0!</v>
      </c>
    </row>
    <row r="618" spans="5:39" x14ac:dyDescent="0.2">
      <c r="E618" s="42">
        <v>44547</v>
      </c>
      <c r="F618" s="43"/>
      <c r="G618" s="43"/>
      <c r="H618" s="43"/>
      <c r="I618" s="43"/>
      <c r="K618" s="3" t="e">
        <f t="shared" si="54"/>
        <v>#DIV/0!</v>
      </c>
      <c r="L618" s="3" t="e">
        <f ca="1">SQRT(AVERAGE(K618:OFFSET(K618,$B$5-1,0))*$B$9/(4*LN(2)))</f>
        <v>#DIV/0!</v>
      </c>
      <c r="M618" s="3" t="e">
        <f ca="1">SQRT(AVERAGE(K618:OFFSET(K618,$B$6-1,0))*$B$9/(4*LN(2)))</f>
        <v>#DIV/0!</v>
      </c>
      <c r="N618" s="3" t="e">
        <f ca="1">SQRT(AVERAGE(K618:OFFSET(K618,$B$7-1,0))*$B$9/(4*LN(2)))</f>
        <v>#DIV/0!</v>
      </c>
      <c r="O618" s="3" t="e">
        <f ca="1">SQRT(AVERAGE(K618:OFFSET(K618,$B$8-1,0))*$B$9/(4*LN(2)))</f>
        <v>#DIV/0!</v>
      </c>
      <c r="Q618" s="5" t="e">
        <f t="shared" si="53"/>
        <v>#DIV/0!</v>
      </c>
      <c r="R618" s="5" t="e">
        <f ca="1">SQRT($B$9*AVERAGE((Q618:OFFSET(Q618,$B$5-1,0))))</f>
        <v>#DIV/0!</v>
      </c>
      <c r="S618" s="5" t="e">
        <f ca="1">SQRT($B$9*AVERAGE((Q618:OFFSET(Q618,$B$6-1,0))))</f>
        <v>#DIV/0!</v>
      </c>
      <c r="T618" s="5" t="e">
        <f ca="1">SQRT($B$9*AVERAGE((Q618:OFFSET(Q618,$B$7-1,0))))</f>
        <v>#DIV/0!</v>
      </c>
      <c r="U618" s="5" t="e">
        <f ca="1">SQRT($B$9*AVERAGE((Q618:OFFSET(Q618,$B$8-1,0))))</f>
        <v>#DIV/0!</v>
      </c>
      <c r="W618" s="6" t="e">
        <f t="shared" si="57"/>
        <v>#DIV/0!</v>
      </c>
      <c r="X618" s="6" t="e">
        <f ca="1">SQRT($B$9*AVERAGE(W618:OFFSET(W618,$B$5-1,0)))</f>
        <v>#DIV/0!</v>
      </c>
      <c r="Y618" s="6" t="e">
        <f ca="1">SQRT($B$9*AVERAGE(W618:OFFSET(W618,$B$6-1,0)))</f>
        <v>#DIV/0!</v>
      </c>
      <c r="Z618" s="6" t="e">
        <f ca="1">SQRT($B$9*AVERAGE(W618:OFFSET(W618,$B$7-1,0)))</f>
        <v>#DIV/0!</v>
      </c>
      <c r="AA618" s="6" t="e">
        <f ca="1">SQRT($B$9*AVERAGE(W618:OFFSET(W618,$B$8-1,0)))</f>
        <v>#DIV/0!</v>
      </c>
      <c r="AC618" s="34" t="e">
        <f t="shared" si="55"/>
        <v>#DIV/0!</v>
      </c>
      <c r="AD618" s="34" t="e">
        <f ca="1">SQRT($B$9*SUM(AC618:OFFSET(AC618,$B$5-1,0))/($B$5-1))</f>
        <v>#DIV/0!</v>
      </c>
      <c r="AE618" s="34" t="e">
        <f ca="1">SQRT($B$9*SUM(AC618:OFFSET(AC618,$B$6-1,0))/($B$6-1))</f>
        <v>#DIV/0!</v>
      </c>
      <c r="AF618" s="34" t="e">
        <f ca="1">SQRT($B$9*SUM(AC618:OFFSET(AC618,$B$7-1,0))/($B$7-1))</f>
        <v>#DIV/0!</v>
      </c>
      <c r="AG618" s="34" t="e">
        <f ca="1">SQRT($B$9*SUM(AC618:OFFSET(AC618,$B$8-1,0))/($B$8-1))</f>
        <v>#DIV/0!</v>
      </c>
      <c r="AI618" s="1" t="e">
        <f t="shared" si="56"/>
        <v>#DIV/0!</v>
      </c>
      <c r="AJ618" s="4" t="e">
        <f ca="1">SQRT($B$9)*_xlfn.STDEV.S(AI618:OFFSET(AI618,$B$5-1,0))</f>
        <v>#DIV/0!</v>
      </c>
      <c r="AK618" s="4" t="e">
        <f ca="1">SQRT($B$9)*_xlfn.STDEV.S(AI618:OFFSET(AI618,$B$6-1,0))</f>
        <v>#DIV/0!</v>
      </c>
      <c r="AL618" s="4" t="e">
        <f ca="1">SQRT($B$9)*_xlfn.STDEV.S(AI618:OFFSET(AI618,$B$7-1,0))</f>
        <v>#DIV/0!</v>
      </c>
      <c r="AM618" s="4" t="e">
        <f ca="1">SQRT($B$9)*_xlfn.STDEV.S(AI618:OFFSET(AI618,$B$8-1,0))</f>
        <v>#DIV/0!</v>
      </c>
    </row>
    <row r="619" spans="5:39" x14ac:dyDescent="0.2">
      <c r="E619" s="42">
        <v>44546</v>
      </c>
      <c r="F619" s="43"/>
      <c r="G619" s="43"/>
      <c r="H619" s="43"/>
      <c r="I619" s="43"/>
      <c r="K619" s="3" t="e">
        <f t="shared" si="54"/>
        <v>#DIV/0!</v>
      </c>
      <c r="L619" s="3" t="e">
        <f ca="1">SQRT(AVERAGE(K619:OFFSET(K619,$B$5-1,0))*$B$9/(4*LN(2)))</f>
        <v>#DIV/0!</v>
      </c>
      <c r="M619" s="3" t="e">
        <f ca="1">SQRT(AVERAGE(K619:OFFSET(K619,$B$6-1,0))*$B$9/(4*LN(2)))</f>
        <v>#DIV/0!</v>
      </c>
      <c r="N619" s="3" t="e">
        <f ca="1">SQRT(AVERAGE(K619:OFFSET(K619,$B$7-1,0))*$B$9/(4*LN(2)))</f>
        <v>#DIV/0!</v>
      </c>
      <c r="O619" s="3" t="e">
        <f ca="1">SQRT(AVERAGE(K619:OFFSET(K619,$B$8-1,0))*$B$9/(4*LN(2)))</f>
        <v>#DIV/0!</v>
      </c>
      <c r="Q619" s="5" t="e">
        <f t="shared" si="53"/>
        <v>#DIV/0!</v>
      </c>
      <c r="R619" s="5" t="e">
        <f ca="1">SQRT($B$9*AVERAGE((Q619:OFFSET(Q619,$B$5-1,0))))</f>
        <v>#DIV/0!</v>
      </c>
      <c r="S619" s="5" t="e">
        <f ca="1">SQRT($B$9*AVERAGE((Q619:OFFSET(Q619,$B$6-1,0))))</f>
        <v>#DIV/0!</v>
      </c>
      <c r="T619" s="5" t="e">
        <f ca="1">SQRT($B$9*AVERAGE((Q619:OFFSET(Q619,$B$7-1,0))))</f>
        <v>#DIV/0!</v>
      </c>
      <c r="U619" s="5" t="e">
        <f ca="1">SQRT($B$9*AVERAGE((Q619:OFFSET(Q619,$B$8-1,0))))</f>
        <v>#DIV/0!</v>
      </c>
      <c r="W619" s="6" t="e">
        <f t="shared" si="57"/>
        <v>#DIV/0!</v>
      </c>
      <c r="X619" s="6" t="e">
        <f ca="1">SQRT($B$9*AVERAGE(W619:OFFSET(W619,$B$5-1,0)))</f>
        <v>#DIV/0!</v>
      </c>
      <c r="Y619" s="6" t="e">
        <f ca="1">SQRT($B$9*AVERAGE(W619:OFFSET(W619,$B$6-1,0)))</f>
        <v>#DIV/0!</v>
      </c>
      <c r="Z619" s="6" t="e">
        <f ca="1">SQRT($B$9*AVERAGE(W619:OFFSET(W619,$B$7-1,0)))</f>
        <v>#DIV/0!</v>
      </c>
      <c r="AA619" s="6" t="e">
        <f ca="1">SQRT($B$9*AVERAGE(W619:OFFSET(W619,$B$8-1,0)))</f>
        <v>#DIV/0!</v>
      </c>
      <c r="AC619" s="34" t="e">
        <f t="shared" si="55"/>
        <v>#DIV/0!</v>
      </c>
      <c r="AD619" s="34" t="e">
        <f ca="1">SQRT($B$9*SUM(AC619:OFFSET(AC619,$B$5-1,0))/($B$5-1))</f>
        <v>#DIV/0!</v>
      </c>
      <c r="AE619" s="34" t="e">
        <f ca="1">SQRT($B$9*SUM(AC619:OFFSET(AC619,$B$6-1,0))/($B$6-1))</f>
        <v>#DIV/0!</v>
      </c>
      <c r="AF619" s="34" t="e">
        <f ca="1">SQRT($B$9*SUM(AC619:OFFSET(AC619,$B$7-1,0))/($B$7-1))</f>
        <v>#DIV/0!</v>
      </c>
      <c r="AG619" s="34" t="e">
        <f ca="1">SQRT($B$9*SUM(AC619:OFFSET(AC619,$B$8-1,0))/($B$8-1))</f>
        <v>#DIV/0!</v>
      </c>
      <c r="AI619" s="1" t="e">
        <f t="shared" si="56"/>
        <v>#DIV/0!</v>
      </c>
      <c r="AJ619" s="4" t="e">
        <f ca="1">SQRT($B$9)*_xlfn.STDEV.S(AI619:OFFSET(AI619,$B$5-1,0))</f>
        <v>#DIV/0!</v>
      </c>
      <c r="AK619" s="4" t="e">
        <f ca="1">SQRT($B$9)*_xlfn.STDEV.S(AI619:OFFSET(AI619,$B$6-1,0))</f>
        <v>#DIV/0!</v>
      </c>
      <c r="AL619" s="4" t="e">
        <f ca="1">SQRT($B$9)*_xlfn.STDEV.S(AI619:OFFSET(AI619,$B$7-1,0))</f>
        <v>#DIV/0!</v>
      </c>
      <c r="AM619" s="4" t="e">
        <f ca="1">SQRT($B$9)*_xlfn.STDEV.S(AI619:OFFSET(AI619,$B$8-1,0))</f>
        <v>#DIV/0!</v>
      </c>
    </row>
    <row r="620" spans="5:39" x14ac:dyDescent="0.2">
      <c r="E620" s="42">
        <v>44545</v>
      </c>
      <c r="F620" s="43"/>
      <c r="G620" s="43"/>
      <c r="H620" s="43"/>
      <c r="I620" s="43"/>
      <c r="K620" s="3" t="e">
        <f t="shared" si="54"/>
        <v>#DIV/0!</v>
      </c>
      <c r="L620" s="3" t="e">
        <f ca="1">SQRT(AVERAGE(K620:OFFSET(K620,$B$5-1,0))*$B$9/(4*LN(2)))</f>
        <v>#DIV/0!</v>
      </c>
      <c r="M620" s="3" t="e">
        <f ca="1">SQRT(AVERAGE(K620:OFFSET(K620,$B$6-1,0))*$B$9/(4*LN(2)))</f>
        <v>#DIV/0!</v>
      </c>
      <c r="N620" s="3" t="e">
        <f ca="1">SQRT(AVERAGE(K620:OFFSET(K620,$B$7-1,0))*$B$9/(4*LN(2)))</f>
        <v>#DIV/0!</v>
      </c>
      <c r="O620" s="3" t="e">
        <f ca="1">SQRT(AVERAGE(K620:OFFSET(K620,$B$8-1,0))*$B$9/(4*LN(2)))</f>
        <v>#DIV/0!</v>
      </c>
      <c r="Q620" s="5" t="e">
        <f t="shared" si="53"/>
        <v>#DIV/0!</v>
      </c>
      <c r="R620" s="5" t="e">
        <f ca="1">SQRT($B$9*AVERAGE((Q620:OFFSET(Q620,$B$5-1,0))))</f>
        <v>#DIV/0!</v>
      </c>
      <c r="S620" s="5" t="e">
        <f ca="1">SQRT($B$9*AVERAGE((Q620:OFFSET(Q620,$B$6-1,0))))</f>
        <v>#DIV/0!</v>
      </c>
      <c r="T620" s="5" t="e">
        <f ca="1">SQRT($B$9*AVERAGE((Q620:OFFSET(Q620,$B$7-1,0))))</f>
        <v>#DIV/0!</v>
      </c>
      <c r="U620" s="5" t="e">
        <f ca="1">SQRT($B$9*AVERAGE((Q620:OFFSET(Q620,$B$8-1,0))))</f>
        <v>#DIV/0!</v>
      </c>
      <c r="W620" s="6" t="e">
        <f t="shared" si="57"/>
        <v>#DIV/0!</v>
      </c>
      <c r="X620" s="6" t="e">
        <f ca="1">SQRT($B$9*AVERAGE(W620:OFFSET(W620,$B$5-1,0)))</f>
        <v>#DIV/0!</v>
      </c>
      <c r="Y620" s="6" t="e">
        <f ca="1">SQRT($B$9*AVERAGE(W620:OFFSET(W620,$B$6-1,0)))</f>
        <v>#DIV/0!</v>
      </c>
      <c r="Z620" s="6" t="e">
        <f ca="1">SQRT($B$9*AVERAGE(W620:OFFSET(W620,$B$7-1,0)))</f>
        <v>#DIV/0!</v>
      </c>
      <c r="AA620" s="6" t="e">
        <f ca="1">SQRT($B$9*AVERAGE(W620:OFFSET(W620,$B$8-1,0)))</f>
        <v>#DIV/0!</v>
      </c>
      <c r="AC620" s="34" t="e">
        <f t="shared" si="55"/>
        <v>#DIV/0!</v>
      </c>
      <c r="AD620" s="34" t="e">
        <f ca="1">SQRT($B$9*SUM(AC620:OFFSET(AC620,$B$5-1,0))/($B$5-1))</f>
        <v>#DIV/0!</v>
      </c>
      <c r="AE620" s="34" t="e">
        <f ca="1">SQRT($B$9*SUM(AC620:OFFSET(AC620,$B$6-1,0))/($B$6-1))</f>
        <v>#DIV/0!</v>
      </c>
      <c r="AF620" s="34" t="e">
        <f ca="1">SQRT($B$9*SUM(AC620:OFFSET(AC620,$B$7-1,0))/($B$7-1))</f>
        <v>#DIV/0!</v>
      </c>
      <c r="AG620" s="34" t="e">
        <f ca="1">SQRT($B$9*SUM(AC620:OFFSET(AC620,$B$8-1,0))/($B$8-1))</f>
        <v>#DIV/0!</v>
      </c>
      <c r="AI620" s="1" t="e">
        <f t="shared" si="56"/>
        <v>#DIV/0!</v>
      </c>
      <c r="AJ620" s="4" t="e">
        <f ca="1">SQRT($B$9)*_xlfn.STDEV.S(AI620:OFFSET(AI620,$B$5-1,0))</f>
        <v>#DIV/0!</v>
      </c>
      <c r="AK620" s="4" t="e">
        <f ca="1">SQRT($B$9)*_xlfn.STDEV.S(AI620:OFFSET(AI620,$B$6-1,0))</f>
        <v>#DIV/0!</v>
      </c>
      <c r="AL620" s="4" t="e">
        <f ca="1">SQRT($B$9)*_xlfn.STDEV.S(AI620:OFFSET(AI620,$B$7-1,0))</f>
        <v>#DIV/0!</v>
      </c>
      <c r="AM620" s="4" t="e">
        <f ca="1">SQRT($B$9)*_xlfn.STDEV.S(AI620:OFFSET(AI620,$B$8-1,0))</f>
        <v>#DIV/0!</v>
      </c>
    </row>
    <row r="621" spans="5:39" x14ac:dyDescent="0.2">
      <c r="E621" s="42">
        <v>44544</v>
      </c>
      <c r="F621" s="43"/>
      <c r="G621" s="43"/>
      <c r="H621" s="43"/>
      <c r="I621" s="43"/>
      <c r="K621" s="3" t="e">
        <f t="shared" si="54"/>
        <v>#DIV/0!</v>
      </c>
      <c r="L621" s="3" t="e">
        <f ca="1">SQRT(AVERAGE(K621:OFFSET(K621,$B$5-1,0))*$B$9/(4*LN(2)))</f>
        <v>#DIV/0!</v>
      </c>
      <c r="M621" s="3" t="e">
        <f ca="1">SQRT(AVERAGE(K621:OFFSET(K621,$B$6-1,0))*$B$9/(4*LN(2)))</f>
        <v>#DIV/0!</v>
      </c>
      <c r="N621" s="3" t="e">
        <f ca="1">SQRT(AVERAGE(K621:OFFSET(K621,$B$7-1,0))*$B$9/(4*LN(2)))</f>
        <v>#DIV/0!</v>
      </c>
      <c r="O621" s="3" t="e">
        <f ca="1">SQRT(AVERAGE(K621:OFFSET(K621,$B$8-1,0))*$B$9/(4*LN(2)))</f>
        <v>#DIV/0!</v>
      </c>
      <c r="Q621" s="5" t="e">
        <f t="shared" si="53"/>
        <v>#DIV/0!</v>
      </c>
      <c r="R621" s="5" t="e">
        <f ca="1">SQRT($B$9*AVERAGE((Q621:OFFSET(Q621,$B$5-1,0))))</f>
        <v>#DIV/0!</v>
      </c>
      <c r="S621" s="5" t="e">
        <f ca="1">SQRT($B$9*AVERAGE((Q621:OFFSET(Q621,$B$6-1,0))))</f>
        <v>#DIV/0!</v>
      </c>
      <c r="T621" s="5" t="e">
        <f ca="1">SQRT($B$9*AVERAGE((Q621:OFFSET(Q621,$B$7-1,0))))</f>
        <v>#DIV/0!</v>
      </c>
      <c r="U621" s="5" t="e">
        <f ca="1">SQRT($B$9*AVERAGE((Q621:OFFSET(Q621,$B$8-1,0))))</f>
        <v>#DIV/0!</v>
      </c>
      <c r="W621" s="6" t="e">
        <f t="shared" si="57"/>
        <v>#DIV/0!</v>
      </c>
      <c r="X621" s="6" t="e">
        <f ca="1">SQRT($B$9*AVERAGE(W621:OFFSET(W621,$B$5-1,0)))</f>
        <v>#DIV/0!</v>
      </c>
      <c r="Y621" s="6" t="e">
        <f ca="1">SQRT($B$9*AVERAGE(W621:OFFSET(W621,$B$6-1,0)))</f>
        <v>#DIV/0!</v>
      </c>
      <c r="Z621" s="6" t="e">
        <f ca="1">SQRT($B$9*AVERAGE(W621:OFFSET(W621,$B$7-1,0)))</f>
        <v>#DIV/0!</v>
      </c>
      <c r="AA621" s="6" t="e">
        <f ca="1">SQRT($B$9*AVERAGE(W621:OFFSET(W621,$B$8-1,0)))</f>
        <v>#DIV/0!</v>
      </c>
      <c r="AC621" s="34" t="e">
        <f t="shared" si="55"/>
        <v>#DIV/0!</v>
      </c>
      <c r="AD621" s="34" t="e">
        <f ca="1">SQRT($B$9*SUM(AC621:OFFSET(AC621,$B$5-1,0))/($B$5-1))</f>
        <v>#DIV/0!</v>
      </c>
      <c r="AE621" s="34" t="e">
        <f ca="1">SQRT($B$9*SUM(AC621:OFFSET(AC621,$B$6-1,0))/($B$6-1))</f>
        <v>#DIV/0!</v>
      </c>
      <c r="AF621" s="34" t="e">
        <f ca="1">SQRT($B$9*SUM(AC621:OFFSET(AC621,$B$7-1,0))/($B$7-1))</f>
        <v>#DIV/0!</v>
      </c>
      <c r="AG621" s="34" t="e">
        <f ca="1">SQRT($B$9*SUM(AC621:OFFSET(AC621,$B$8-1,0))/($B$8-1))</f>
        <v>#DIV/0!</v>
      </c>
      <c r="AI621" s="1" t="e">
        <f t="shared" si="56"/>
        <v>#DIV/0!</v>
      </c>
      <c r="AJ621" s="4" t="e">
        <f ca="1">SQRT($B$9)*_xlfn.STDEV.S(AI621:OFFSET(AI621,$B$5-1,0))</f>
        <v>#DIV/0!</v>
      </c>
      <c r="AK621" s="4" t="e">
        <f ca="1">SQRT($B$9)*_xlfn.STDEV.S(AI621:OFFSET(AI621,$B$6-1,0))</f>
        <v>#DIV/0!</v>
      </c>
      <c r="AL621" s="4" t="e">
        <f ca="1">SQRT($B$9)*_xlfn.STDEV.S(AI621:OFFSET(AI621,$B$7-1,0))</f>
        <v>#DIV/0!</v>
      </c>
      <c r="AM621" s="4" t="e">
        <f ca="1">SQRT($B$9)*_xlfn.STDEV.S(AI621:OFFSET(AI621,$B$8-1,0))</f>
        <v>#DIV/0!</v>
      </c>
    </row>
    <row r="622" spans="5:39" x14ac:dyDescent="0.2">
      <c r="E622" s="42">
        <v>44543</v>
      </c>
      <c r="F622" s="43"/>
      <c r="G622" s="43"/>
      <c r="H622" s="43"/>
      <c r="I622" s="43"/>
      <c r="K622" s="3" t="e">
        <f t="shared" si="54"/>
        <v>#DIV/0!</v>
      </c>
      <c r="L622" s="3" t="e">
        <f ca="1">SQRT(AVERAGE(K622:OFFSET(K622,$B$5-1,0))*$B$9/(4*LN(2)))</f>
        <v>#DIV/0!</v>
      </c>
      <c r="M622" s="3" t="e">
        <f ca="1">SQRT(AVERAGE(K622:OFFSET(K622,$B$6-1,0))*$B$9/(4*LN(2)))</f>
        <v>#DIV/0!</v>
      </c>
      <c r="N622" s="3" t="e">
        <f ca="1">SQRT(AVERAGE(K622:OFFSET(K622,$B$7-1,0))*$B$9/(4*LN(2)))</f>
        <v>#DIV/0!</v>
      </c>
      <c r="O622" s="3" t="e">
        <f ca="1">SQRT(AVERAGE(K622:OFFSET(K622,$B$8-1,0))*$B$9/(4*LN(2)))</f>
        <v>#DIV/0!</v>
      </c>
      <c r="Q622" s="5" t="e">
        <f t="shared" si="53"/>
        <v>#DIV/0!</v>
      </c>
      <c r="R622" s="5" t="e">
        <f ca="1">SQRT($B$9*AVERAGE((Q622:OFFSET(Q622,$B$5-1,0))))</f>
        <v>#DIV/0!</v>
      </c>
      <c r="S622" s="5" t="e">
        <f ca="1">SQRT($B$9*AVERAGE((Q622:OFFSET(Q622,$B$6-1,0))))</f>
        <v>#DIV/0!</v>
      </c>
      <c r="T622" s="5" t="e">
        <f ca="1">SQRT($B$9*AVERAGE((Q622:OFFSET(Q622,$B$7-1,0))))</f>
        <v>#DIV/0!</v>
      </c>
      <c r="U622" s="5" t="e">
        <f ca="1">SQRT($B$9*AVERAGE((Q622:OFFSET(Q622,$B$8-1,0))))</f>
        <v>#DIV/0!</v>
      </c>
      <c r="W622" s="6" t="e">
        <f t="shared" si="57"/>
        <v>#DIV/0!</v>
      </c>
      <c r="X622" s="6" t="e">
        <f ca="1">SQRT($B$9*AVERAGE(W622:OFFSET(W622,$B$5-1,0)))</f>
        <v>#DIV/0!</v>
      </c>
      <c r="Y622" s="6" t="e">
        <f ca="1">SQRT($B$9*AVERAGE(W622:OFFSET(W622,$B$6-1,0)))</f>
        <v>#DIV/0!</v>
      </c>
      <c r="Z622" s="6" t="e">
        <f ca="1">SQRT($B$9*AVERAGE(W622:OFFSET(W622,$B$7-1,0)))</f>
        <v>#DIV/0!</v>
      </c>
      <c r="AA622" s="6" t="e">
        <f ca="1">SQRT($B$9*AVERAGE(W622:OFFSET(W622,$B$8-1,0)))</f>
        <v>#DIV/0!</v>
      </c>
      <c r="AC622" s="34" t="e">
        <f t="shared" si="55"/>
        <v>#DIV/0!</v>
      </c>
      <c r="AD622" s="34" t="e">
        <f ca="1">SQRT($B$9*SUM(AC622:OFFSET(AC622,$B$5-1,0))/($B$5-1))</f>
        <v>#DIV/0!</v>
      </c>
      <c r="AE622" s="34" t="e">
        <f ca="1">SQRT($B$9*SUM(AC622:OFFSET(AC622,$B$6-1,0))/($B$6-1))</f>
        <v>#DIV/0!</v>
      </c>
      <c r="AF622" s="34" t="e">
        <f ca="1">SQRT($B$9*SUM(AC622:OFFSET(AC622,$B$7-1,0))/($B$7-1))</f>
        <v>#DIV/0!</v>
      </c>
      <c r="AG622" s="34" t="e">
        <f ca="1">SQRT($B$9*SUM(AC622:OFFSET(AC622,$B$8-1,0))/($B$8-1))</f>
        <v>#DIV/0!</v>
      </c>
      <c r="AI622" s="1" t="e">
        <f t="shared" si="56"/>
        <v>#DIV/0!</v>
      </c>
      <c r="AJ622" s="4" t="e">
        <f ca="1">SQRT($B$9)*_xlfn.STDEV.S(AI622:OFFSET(AI622,$B$5-1,0))</f>
        <v>#DIV/0!</v>
      </c>
      <c r="AK622" s="4" t="e">
        <f ca="1">SQRT($B$9)*_xlfn.STDEV.S(AI622:OFFSET(AI622,$B$6-1,0))</f>
        <v>#DIV/0!</v>
      </c>
      <c r="AL622" s="4" t="e">
        <f ca="1">SQRT($B$9)*_xlfn.STDEV.S(AI622:OFFSET(AI622,$B$7-1,0))</f>
        <v>#DIV/0!</v>
      </c>
      <c r="AM622" s="4" t="e">
        <f ca="1">SQRT($B$9)*_xlfn.STDEV.S(AI622:OFFSET(AI622,$B$8-1,0))</f>
        <v>#DIV/0!</v>
      </c>
    </row>
    <row r="623" spans="5:39" x14ac:dyDescent="0.2">
      <c r="E623" s="42">
        <v>44540</v>
      </c>
      <c r="F623" s="43"/>
      <c r="G623" s="43"/>
      <c r="H623" s="43"/>
      <c r="I623" s="43"/>
      <c r="K623" s="3" t="e">
        <f t="shared" si="54"/>
        <v>#DIV/0!</v>
      </c>
      <c r="L623" s="3" t="e">
        <f ca="1">SQRT(AVERAGE(K623:OFFSET(K623,$B$5-1,0))*$B$9/(4*LN(2)))</f>
        <v>#DIV/0!</v>
      </c>
      <c r="M623" s="3" t="e">
        <f ca="1">SQRT(AVERAGE(K623:OFFSET(K623,$B$6-1,0))*$B$9/(4*LN(2)))</f>
        <v>#DIV/0!</v>
      </c>
      <c r="N623" s="3" t="e">
        <f ca="1">SQRT(AVERAGE(K623:OFFSET(K623,$B$7-1,0))*$B$9/(4*LN(2)))</f>
        <v>#DIV/0!</v>
      </c>
      <c r="O623" s="3" t="e">
        <f ca="1">SQRT(AVERAGE(K623:OFFSET(K623,$B$8-1,0))*$B$9/(4*LN(2)))</f>
        <v>#DIV/0!</v>
      </c>
      <c r="Q623" s="5" t="e">
        <f t="shared" si="53"/>
        <v>#DIV/0!</v>
      </c>
      <c r="R623" s="5" t="e">
        <f ca="1">SQRT($B$9*AVERAGE((Q623:OFFSET(Q623,$B$5-1,0))))</f>
        <v>#DIV/0!</v>
      </c>
      <c r="S623" s="5" t="e">
        <f ca="1">SQRT($B$9*AVERAGE((Q623:OFFSET(Q623,$B$6-1,0))))</f>
        <v>#DIV/0!</v>
      </c>
      <c r="T623" s="5" t="e">
        <f ca="1">SQRT($B$9*AVERAGE((Q623:OFFSET(Q623,$B$7-1,0))))</f>
        <v>#DIV/0!</v>
      </c>
      <c r="U623" s="5" t="e">
        <f ca="1">SQRT($B$9*AVERAGE((Q623:OFFSET(Q623,$B$8-1,0))))</f>
        <v>#DIV/0!</v>
      </c>
      <c r="W623" s="6" t="e">
        <f t="shared" si="57"/>
        <v>#DIV/0!</v>
      </c>
      <c r="X623" s="6" t="e">
        <f ca="1">SQRT($B$9*AVERAGE(W623:OFFSET(W623,$B$5-1,0)))</f>
        <v>#DIV/0!</v>
      </c>
      <c r="Y623" s="6" t="e">
        <f ca="1">SQRT($B$9*AVERAGE(W623:OFFSET(W623,$B$6-1,0)))</f>
        <v>#DIV/0!</v>
      </c>
      <c r="Z623" s="6" t="e">
        <f ca="1">SQRT($B$9*AVERAGE(W623:OFFSET(W623,$B$7-1,0)))</f>
        <v>#DIV/0!</v>
      </c>
      <c r="AA623" s="6" t="e">
        <f ca="1">SQRT($B$9*AVERAGE(W623:OFFSET(W623,$B$8-1,0)))</f>
        <v>#DIV/0!</v>
      </c>
      <c r="AC623" s="34" t="e">
        <f t="shared" si="55"/>
        <v>#DIV/0!</v>
      </c>
      <c r="AD623" s="34" t="e">
        <f ca="1">SQRT($B$9*SUM(AC623:OFFSET(AC623,$B$5-1,0))/($B$5-1))</f>
        <v>#DIV/0!</v>
      </c>
      <c r="AE623" s="34" t="e">
        <f ca="1">SQRT($B$9*SUM(AC623:OFFSET(AC623,$B$6-1,0))/($B$6-1))</f>
        <v>#DIV/0!</v>
      </c>
      <c r="AF623" s="34" t="e">
        <f ca="1">SQRT($B$9*SUM(AC623:OFFSET(AC623,$B$7-1,0))/($B$7-1))</f>
        <v>#DIV/0!</v>
      </c>
      <c r="AG623" s="34" t="e">
        <f ca="1">SQRT($B$9*SUM(AC623:OFFSET(AC623,$B$8-1,0))/($B$8-1))</f>
        <v>#DIV/0!</v>
      </c>
      <c r="AI623" s="1" t="e">
        <f t="shared" si="56"/>
        <v>#DIV/0!</v>
      </c>
      <c r="AJ623" s="4" t="e">
        <f ca="1">SQRT($B$9)*_xlfn.STDEV.S(AI623:OFFSET(AI623,$B$5-1,0))</f>
        <v>#DIV/0!</v>
      </c>
      <c r="AK623" s="4" t="e">
        <f ca="1">SQRT($B$9)*_xlfn.STDEV.S(AI623:OFFSET(AI623,$B$6-1,0))</f>
        <v>#DIV/0!</v>
      </c>
      <c r="AL623" s="4" t="e">
        <f ca="1">SQRT($B$9)*_xlfn.STDEV.S(AI623:OFFSET(AI623,$B$7-1,0))</f>
        <v>#DIV/0!</v>
      </c>
      <c r="AM623" s="4" t="e">
        <f ca="1">SQRT($B$9)*_xlfn.STDEV.S(AI623:OFFSET(AI623,$B$8-1,0))</f>
        <v>#DIV/0!</v>
      </c>
    </row>
    <row r="624" spans="5:39" x14ac:dyDescent="0.2">
      <c r="E624" s="42">
        <v>44539</v>
      </c>
      <c r="F624" s="43"/>
      <c r="G624" s="43"/>
      <c r="H624" s="43"/>
      <c r="I624" s="43"/>
      <c r="K624" s="3" t="e">
        <f t="shared" si="54"/>
        <v>#DIV/0!</v>
      </c>
      <c r="L624" s="3" t="e">
        <f ca="1">SQRT(AVERAGE(K624:OFFSET(K624,$B$5-1,0))*$B$9/(4*LN(2)))</f>
        <v>#DIV/0!</v>
      </c>
      <c r="M624" s="3" t="e">
        <f ca="1">SQRT(AVERAGE(K624:OFFSET(K624,$B$6-1,0))*$B$9/(4*LN(2)))</f>
        <v>#DIV/0!</v>
      </c>
      <c r="N624" s="3" t="e">
        <f ca="1">SQRT(AVERAGE(K624:OFFSET(K624,$B$7-1,0))*$B$9/(4*LN(2)))</f>
        <v>#DIV/0!</v>
      </c>
      <c r="O624" s="3" t="e">
        <f ca="1">SQRT(AVERAGE(K624:OFFSET(K624,$B$8-1,0))*$B$9/(4*LN(2)))</f>
        <v>#DIV/0!</v>
      </c>
      <c r="Q624" s="5" t="e">
        <f t="shared" si="53"/>
        <v>#DIV/0!</v>
      </c>
      <c r="R624" s="5" t="e">
        <f ca="1">SQRT($B$9*AVERAGE((Q624:OFFSET(Q624,$B$5-1,0))))</f>
        <v>#DIV/0!</v>
      </c>
      <c r="S624" s="5" t="e">
        <f ca="1">SQRT($B$9*AVERAGE((Q624:OFFSET(Q624,$B$6-1,0))))</f>
        <v>#DIV/0!</v>
      </c>
      <c r="T624" s="5" t="e">
        <f ca="1">SQRT($B$9*AVERAGE((Q624:OFFSET(Q624,$B$7-1,0))))</f>
        <v>#DIV/0!</v>
      </c>
      <c r="U624" s="5" t="e">
        <f ca="1">SQRT($B$9*AVERAGE((Q624:OFFSET(Q624,$B$8-1,0))))</f>
        <v>#DIV/0!</v>
      </c>
      <c r="W624" s="6" t="e">
        <f t="shared" si="57"/>
        <v>#DIV/0!</v>
      </c>
      <c r="X624" s="6" t="e">
        <f ca="1">SQRT($B$9*AVERAGE(W624:OFFSET(W624,$B$5-1,0)))</f>
        <v>#DIV/0!</v>
      </c>
      <c r="Y624" s="6" t="e">
        <f ca="1">SQRT($B$9*AVERAGE(W624:OFFSET(W624,$B$6-1,0)))</f>
        <v>#DIV/0!</v>
      </c>
      <c r="Z624" s="6" t="e">
        <f ca="1">SQRT($B$9*AVERAGE(W624:OFFSET(W624,$B$7-1,0)))</f>
        <v>#DIV/0!</v>
      </c>
      <c r="AA624" s="6" t="e">
        <f ca="1">SQRT($B$9*AVERAGE(W624:OFFSET(W624,$B$8-1,0)))</f>
        <v>#DIV/0!</v>
      </c>
      <c r="AC624" s="34" t="e">
        <f t="shared" si="55"/>
        <v>#DIV/0!</v>
      </c>
      <c r="AD624" s="34" t="e">
        <f ca="1">SQRT($B$9*SUM(AC624:OFFSET(AC624,$B$5-1,0))/($B$5-1))</f>
        <v>#DIV/0!</v>
      </c>
      <c r="AE624" s="34" t="e">
        <f ca="1">SQRT($B$9*SUM(AC624:OFFSET(AC624,$B$6-1,0))/($B$6-1))</f>
        <v>#DIV/0!</v>
      </c>
      <c r="AF624" s="34" t="e">
        <f ca="1">SQRT($B$9*SUM(AC624:OFFSET(AC624,$B$7-1,0))/($B$7-1))</f>
        <v>#DIV/0!</v>
      </c>
      <c r="AG624" s="34" t="e">
        <f ca="1">SQRT($B$9*SUM(AC624:OFFSET(AC624,$B$8-1,0))/($B$8-1))</f>
        <v>#DIV/0!</v>
      </c>
      <c r="AI624" s="1" t="e">
        <f t="shared" si="56"/>
        <v>#DIV/0!</v>
      </c>
      <c r="AJ624" s="4" t="e">
        <f ca="1">SQRT($B$9)*_xlfn.STDEV.S(AI624:OFFSET(AI624,$B$5-1,0))</f>
        <v>#DIV/0!</v>
      </c>
      <c r="AK624" s="4" t="e">
        <f ca="1">SQRT($B$9)*_xlfn.STDEV.S(AI624:OFFSET(AI624,$B$6-1,0))</f>
        <v>#DIV/0!</v>
      </c>
      <c r="AL624" s="4" t="e">
        <f ca="1">SQRT($B$9)*_xlfn.STDEV.S(AI624:OFFSET(AI624,$B$7-1,0))</f>
        <v>#DIV/0!</v>
      </c>
      <c r="AM624" s="4" t="e">
        <f ca="1">SQRT($B$9)*_xlfn.STDEV.S(AI624:OFFSET(AI624,$B$8-1,0))</f>
        <v>#DIV/0!</v>
      </c>
    </row>
    <row r="625" spans="5:39" x14ac:dyDescent="0.2">
      <c r="E625" s="42">
        <v>44538</v>
      </c>
      <c r="F625" s="43"/>
      <c r="G625" s="43"/>
      <c r="H625" s="43"/>
      <c r="I625" s="43"/>
      <c r="K625" s="3" t="e">
        <f t="shared" si="54"/>
        <v>#DIV/0!</v>
      </c>
      <c r="L625" s="3" t="e">
        <f ca="1">SQRT(AVERAGE(K625:OFFSET(K625,$B$5-1,0))*$B$9/(4*LN(2)))</f>
        <v>#DIV/0!</v>
      </c>
      <c r="M625" s="3" t="e">
        <f ca="1">SQRT(AVERAGE(K625:OFFSET(K625,$B$6-1,0))*$B$9/(4*LN(2)))</f>
        <v>#DIV/0!</v>
      </c>
      <c r="N625" s="3" t="e">
        <f ca="1">SQRT(AVERAGE(K625:OFFSET(K625,$B$7-1,0))*$B$9/(4*LN(2)))</f>
        <v>#DIV/0!</v>
      </c>
      <c r="O625" s="3" t="e">
        <f ca="1">SQRT(AVERAGE(K625:OFFSET(K625,$B$8-1,0))*$B$9/(4*LN(2)))</f>
        <v>#DIV/0!</v>
      </c>
      <c r="Q625" s="5" t="e">
        <f t="shared" si="53"/>
        <v>#DIV/0!</v>
      </c>
      <c r="R625" s="5" t="e">
        <f ca="1">SQRT($B$9*AVERAGE((Q625:OFFSET(Q625,$B$5-1,0))))</f>
        <v>#DIV/0!</v>
      </c>
      <c r="S625" s="5" t="e">
        <f ca="1">SQRT($B$9*AVERAGE((Q625:OFFSET(Q625,$B$6-1,0))))</f>
        <v>#DIV/0!</v>
      </c>
      <c r="T625" s="5" t="e">
        <f ca="1">SQRT($B$9*AVERAGE((Q625:OFFSET(Q625,$B$7-1,0))))</f>
        <v>#DIV/0!</v>
      </c>
      <c r="U625" s="5" t="e">
        <f ca="1">SQRT($B$9*AVERAGE((Q625:OFFSET(Q625,$B$8-1,0))))</f>
        <v>#DIV/0!</v>
      </c>
      <c r="W625" s="6" t="e">
        <f t="shared" si="57"/>
        <v>#DIV/0!</v>
      </c>
      <c r="X625" s="6" t="e">
        <f ca="1">SQRT($B$9*AVERAGE(W625:OFFSET(W625,$B$5-1,0)))</f>
        <v>#DIV/0!</v>
      </c>
      <c r="Y625" s="6" t="e">
        <f ca="1">SQRT($B$9*AVERAGE(W625:OFFSET(W625,$B$6-1,0)))</f>
        <v>#DIV/0!</v>
      </c>
      <c r="Z625" s="6" t="e">
        <f ca="1">SQRT($B$9*AVERAGE(W625:OFFSET(W625,$B$7-1,0)))</f>
        <v>#DIV/0!</v>
      </c>
      <c r="AA625" s="6" t="e">
        <f ca="1">SQRT($B$9*AVERAGE(W625:OFFSET(W625,$B$8-1,0)))</f>
        <v>#DIV/0!</v>
      </c>
      <c r="AC625" s="34" t="e">
        <f t="shared" si="55"/>
        <v>#DIV/0!</v>
      </c>
      <c r="AD625" s="34" t="e">
        <f ca="1">SQRT($B$9*SUM(AC625:OFFSET(AC625,$B$5-1,0))/($B$5-1))</f>
        <v>#DIV/0!</v>
      </c>
      <c r="AE625" s="34" t="e">
        <f ca="1">SQRT($B$9*SUM(AC625:OFFSET(AC625,$B$6-1,0))/($B$6-1))</f>
        <v>#DIV/0!</v>
      </c>
      <c r="AF625" s="34" t="e">
        <f ca="1">SQRT($B$9*SUM(AC625:OFFSET(AC625,$B$7-1,0))/($B$7-1))</f>
        <v>#DIV/0!</v>
      </c>
      <c r="AG625" s="34" t="e">
        <f ca="1">SQRT($B$9*SUM(AC625:OFFSET(AC625,$B$8-1,0))/($B$8-1))</f>
        <v>#DIV/0!</v>
      </c>
      <c r="AI625" s="1" t="e">
        <f t="shared" si="56"/>
        <v>#DIV/0!</v>
      </c>
      <c r="AJ625" s="4" t="e">
        <f ca="1">SQRT($B$9)*_xlfn.STDEV.S(AI625:OFFSET(AI625,$B$5-1,0))</f>
        <v>#DIV/0!</v>
      </c>
      <c r="AK625" s="4" t="e">
        <f ca="1">SQRT($B$9)*_xlfn.STDEV.S(AI625:OFFSET(AI625,$B$6-1,0))</f>
        <v>#DIV/0!</v>
      </c>
      <c r="AL625" s="4" t="e">
        <f ca="1">SQRT($B$9)*_xlfn.STDEV.S(AI625:OFFSET(AI625,$B$7-1,0))</f>
        <v>#DIV/0!</v>
      </c>
      <c r="AM625" s="4" t="e">
        <f ca="1">SQRT($B$9)*_xlfn.STDEV.S(AI625:OFFSET(AI625,$B$8-1,0))</f>
        <v>#DIV/0!</v>
      </c>
    </row>
    <row r="626" spans="5:39" x14ac:dyDescent="0.2">
      <c r="E626" s="42">
        <v>44537</v>
      </c>
      <c r="F626" s="43"/>
      <c r="G626" s="43"/>
      <c r="H626" s="43"/>
      <c r="I626" s="43"/>
      <c r="K626" s="3" t="e">
        <f t="shared" si="54"/>
        <v>#DIV/0!</v>
      </c>
      <c r="L626" s="3" t="e">
        <f ca="1">SQRT(AVERAGE(K626:OFFSET(K626,$B$5-1,0))*$B$9/(4*LN(2)))</f>
        <v>#DIV/0!</v>
      </c>
      <c r="M626" s="3" t="e">
        <f ca="1">SQRT(AVERAGE(K626:OFFSET(K626,$B$6-1,0))*$B$9/(4*LN(2)))</f>
        <v>#DIV/0!</v>
      </c>
      <c r="N626" s="3" t="e">
        <f ca="1">SQRT(AVERAGE(K626:OFFSET(K626,$B$7-1,0))*$B$9/(4*LN(2)))</f>
        <v>#DIV/0!</v>
      </c>
      <c r="O626" s="3" t="e">
        <f ca="1">SQRT(AVERAGE(K626:OFFSET(K626,$B$8-1,0))*$B$9/(4*LN(2)))</f>
        <v>#DIV/0!</v>
      </c>
      <c r="Q626" s="5" t="e">
        <f t="shared" si="53"/>
        <v>#DIV/0!</v>
      </c>
      <c r="R626" s="5" t="e">
        <f ca="1">SQRT($B$9*AVERAGE((Q626:OFFSET(Q626,$B$5-1,0))))</f>
        <v>#DIV/0!</v>
      </c>
      <c r="S626" s="5" t="e">
        <f ca="1">SQRT($B$9*AVERAGE((Q626:OFFSET(Q626,$B$6-1,0))))</f>
        <v>#DIV/0!</v>
      </c>
      <c r="T626" s="5" t="e">
        <f ca="1">SQRT($B$9*AVERAGE((Q626:OFFSET(Q626,$B$7-1,0))))</f>
        <v>#DIV/0!</v>
      </c>
      <c r="U626" s="5" t="e">
        <f ca="1">SQRT($B$9*AVERAGE((Q626:OFFSET(Q626,$B$8-1,0))))</f>
        <v>#DIV/0!</v>
      </c>
      <c r="W626" s="6" t="e">
        <f t="shared" si="57"/>
        <v>#DIV/0!</v>
      </c>
      <c r="X626" s="6" t="e">
        <f ca="1">SQRT($B$9*AVERAGE(W626:OFFSET(W626,$B$5-1,0)))</f>
        <v>#DIV/0!</v>
      </c>
      <c r="Y626" s="6" t="e">
        <f ca="1">SQRT($B$9*AVERAGE(W626:OFFSET(W626,$B$6-1,0)))</f>
        <v>#DIV/0!</v>
      </c>
      <c r="Z626" s="6" t="e">
        <f ca="1">SQRT($B$9*AVERAGE(W626:OFFSET(W626,$B$7-1,0)))</f>
        <v>#DIV/0!</v>
      </c>
      <c r="AA626" s="6" t="e">
        <f ca="1">SQRT($B$9*AVERAGE(W626:OFFSET(W626,$B$8-1,0)))</f>
        <v>#DIV/0!</v>
      </c>
      <c r="AC626" s="34" t="e">
        <f t="shared" si="55"/>
        <v>#DIV/0!</v>
      </c>
      <c r="AD626" s="34" t="e">
        <f ca="1">SQRT($B$9*SUM(AC626:OFFSET(AC626,$B$5-1,0))/($B$5-1))</f>
        <v>#DIV/0!</v>
      </c>
      <c r="AE626" s="34" t="e">
        <f ca="1">SQRT($B$9*SUM(AC626:OFFSET(AC626,$B$6-1,0))/($B$6-1))</f>
        <v>#DIV/0!</v>
      </c>
      <c r="AF626" s="34" t="e">
        <f ca="1">SQRT($B$9*SUM(AC626:OFFSET(AC626,$B$7-1,0))/($B$7-1))</f>
        <v>#DIV/0!</v>
      </c>
      <c r="AG626" s="34" t="e">
        <f ca="1">SQRT($B$9*SUM(AC626:OFFSET(AC626,$B$8-1,0))/($B$8-1))</f>
        <v>#DIV/0!</v>
      </c>
      <c r="AI626" s="1" t="e">
        <f t="shared" si="56"/>
        <v>#DIV/0!</v>
      </c>
      <c r="AJ626" s="4" t="e">
        <f ca="1">SQRT($B$9)*_xlfn.STDEV.S(AI626:OFFSET(AI626,$B$5-1,0))</f>
        <v>#DIV/0!</v>
      </c>
      <c r="AK626" s="4" t="e">
        <f ca="1">SQRT($B$9)*_xlfn.STDEV.S(AI626:OFFSET(AI626,$B$6-1,0))</f>
        <v>#DIV/0!</v>
      </c>
      <c r="AL626" s="4" t="e">
        <f ca="1">SQRT($B$9)*_xlfn.STDEV.S(AI626:OFFSET(AI626,$B$7-1,0))</f>
        <v>#DIV/0!</v>
      </c>
      <c r="AM626" s="4" t="e">
        <f ca="1">SQRT($B$9)*_xlfn.STDEV.S(AI626:OFFSET(AI626,$B$8-1,0))</f>
        <v>#DIV/0!</v>
      </c>
    </row>
    <row r="627" spans="5:39" x14ac:dyDescent="0.2">
      <c r="E627" s="42">
        <v>44536</v>
      </c>
      <c r="F627" s="43"/>
      <c r="G627" s="43"/>
      <c r="H627" s="43"/>
      <c r="I627" s="43"/>
      <c r="K627" s="3" t="e">
        <f t="shared" si="54"/>
        <v>#DIV/0!</v>
      </c>
      <c r="L627" s="3" t="e">
        <f ca="1">SQRT(AVERAGE(K627:OFFSET(K627,$B$5-1,0))*$B$9/(4*LN(2)))</f>
        <v>#DIV/0!</v>
      </c>
      <c r="M627" s="3" t="e">
        <f ca="1">SQRT(AVERAGE(K627:OFFSET(K627,$B$6-1,0))*$B$9/(4*LN(2)))</f>
        <v>#DIV/0!</v>
      </c>
      <c r="N627" s="3" t="e">
        <f ca="1">SQRT(AVERAGE(K627:OFFSET(K627,$B$7-1,0))*$B$9/(4*LN(2)))</f>
        <v>#DIV/0!</v>
      </c>
      <c r="O627" s="3" t="e">
        <f ca="1">SQRT(AVERAGE(K627:OFFSET(K627,$B$8-1,0))*$B$9/(4*LN(2)))</f>
        <v>#DIV/0!</v>
      </c>
      <c r="Q627" s="5" t="e">
        <f t="shared" si="53"/>
        <v>#DIV/0!</v>
      </c>
      <c r="R627" s="5" t="e">
        <f ca="1">SQRT($B$9*AVERAGE((Q627:OFFSET(Q627,$B$5-1,0))))</f>
        <v>#DIV/0!</v>
      </c>
      <c r="S627" s="5" t="e">
        <f ca="1">SQRT($B$9*AVERAGE((Q627:OFFSET(Q627,$B$6-1,0))))</f>
        <v>#DIV/0!</v>
      </c>
      <c r="T627" s="5" t="e">
        <f ca="1">SQRT($B$9*AVERAGE((Q627:OFFSET(Q627,$B$7-1,0))))</f>
        <v>#DIV/0!</v>
      </c>
      <c r="U627" s="5" t="e">
        <f ca="1">SQRT($B$9*AVERAGE((Q627:OFFSET(Q627,$B$8-1,0))))</f>
        <v>#DIV/0!</v>
      </c>
      <c r="W627" s="6" t="e">
        <f t="shared" si="57"/>
        <v>#DIV/0!</v>
      </c>
      <c r="X627" s="6" t="e">
        <f ca="1">SQRT($B$9*AVERAGE(W627:OFFSET(W627,$B$5-1,0)))</f>
        <v>#DIV/0!</v>
      </c>
      <c r="Y627" s="6" t="e">
        <f ca="1">SQRT($B$9*AVERAGE(W627:OFFSET(W627,$B$6-1,0)))</f>
        <v>#DIV/0!</v>
      </c>
      <c r="Z627" s="6" t="e">
        <f ca="1">SQRT($B$9*AVERAGE(W627:OFFSET(W627,$B$7-1,0)))</f>
        <v>#DIV/0!</v>
      </c>
      <c r="AA627" s="6" t="e">
        <f ca="1">SQRT($B$9*AVERAGE(W627:OFFSET(W627,$B$8-1,0)))</f>
        <v>#DIV/0!</v>
      </c>
      <c r="AC627" s="34" t="e">
        <f t="shared" si="55"/>
        <v>#DIV/0!</v>
      </c>
      <c r="AD627" s="34" t="e">
        <f ca="1">SQRT($B$9*SUM(AC627:OFFSET(AC627,$B$5-1,0))/($B$5-1))</f>
        <v>#DIV/0!</v>
      </c>
      <c r="AE627" s="34" t="e">
        <f ca="1">SQRT($B$9*SUM(AC627:OFFSET(AC627,$B$6-1,0))/($B$6-1))</f>
        <v>#DIV/0!</v>
      </c>
      <c r="AF627" s="34" t="e">
        <f ca="1">SQRT($B$9*SUM(AC627:OFFSET(AC627,$B$7-1,0))/($B$7-1))</f>
        <v>#DIV/0!</v>
      </c>
      <c r="AG627" s="34" t="e">
        <f ca="1">SQRT($B$9*SUM(AC627:OFFSET(AC627,$B$8-1,0))/($B$8-1))</f>
        <v>#DIV/0!</v>
      </c>
      <c r="AI627" s="1" t="e">
        <f t="shared" si="56"/>
        <v>#DIV/0!</v>
      </c>
      <c r="AJ627" s="4" t="e">
        <f ca="1">SQRT($B$9)*_xlfn.STDEV.S(AI627:OFFSET(AI627,$B$5-1,0))</f>
        <v>#DIV/0!</v>
      </c>
      <c r="AK627" s="4" t="e">
        <f ca="1">SQRT($B$9)*_xlfn.STDEV.S(AI627:OFFSET(AI627,$B$6-1,0))</f>
        <v>#DIV/0!</v>
      </c>
      <c r="AL627" s="4" t="e">
        <f ca="1">SQRT($B$9)*_xlfn.STDEV.S(AI627:OFFSET(AI627,$B$7-1,0))</f>
        <v>#DIV/0!</v>
      </c>
      <c r="AM627" s="4" t="e">
        <f ca="1">SQRT($B$9)*_xlfn.STDEV.S(AI627:OFFSET(AI627,$B$8-1,0))</f>
        <v>#DIV/0!</v>
      </c>
    </row>
    <row r="628" spans="5:39" x14ac:dyDescent="0.2">
      <c r="E628" s="42">
        <v>44533</v>
      </c>
      <c r="F628" s="43"/>
      <c r="G628" s="43"/>
      <c r="H628" s="43"/>
      <c r="I628" s="43"/>
      <c r="K628" s="3" t="e">
        <f t="shared" si="54"/>
        <v>#DIV/0!</v>
      </c>
      <c r="L628" s="3" t="e">
        <f ca="1">SQRT(AVERAGE(K628:OFFSET(K628,$B$5-1,0))*$B$9/(4*LN(2)))</f>
        <v>#DIV/0!</v>
      </c>
      <c r="M628" s="3" t="e">
        <f ca="1">SQRT(AVERAGE(K628:OFFSET(K628,$B$6-1,0))*$B$9/(4*LN(2)))</f>
        <v>#DIV/0!</v>
      </c>
      <c r="N628" s="3" t="e">
        <f ca="1">SQRT(AVERAGE(K628:OFFSET(K628,$B$7-1,0))*$B$9/(4*LN(2)))</f>
        <v>#DIV/0!</v>
      </c>
      <c r="O628" s="3" t="e">
        <f ca="1">SQRT(AVERAGE(K628:OFFSET(K628,$B$8-1,0))*$B$9/(4*LN(2)))</f>
        <v>#DIV/0!</v>
      </c>
      <c r="Q628" s="5" t="e">
        <f t="shared" si="53"/>
        <v>#DIV/0!</v>
      </c>
      <c r="R628" s="5" t="e">
        <f ca="1">SQRT($B$9*AVERAGE((Q628:OFFSET(Q628,$B$5-1,0))))</f>
        <v>#DIV/0!</v>
      </c>
      <c r="S628" s="5" t="e">
        <f ca="1">SQRT($B$9*AVERAGE((Q628:OFFSET(Q628,$B$6-1,0))))</f>
        <v>#DIV/0!</v>
      </c>
      <c r="T628" s="5" t="e">
        <f ca="1">SQRT($B$9*AVERAGE((Q628:OFFSET(Q628,$B$7-1,0))))</f>
        <v>#DIV/0!</v>
      </c>
      <c r="U628" s="5" t="e">
        <f ca="1">SQRT($B$9*AVERAGE((Q628:OFFSET(Q628,$B$8-1,0))))</f>
        <v>#DIV/0!</v>
      </c>
      <c r="W628" s="6" t="e">
        <f t="shared" si="57"/>
        <v>#DIV/0!</v>
      </c>
      <c r="X628" s="6" t="e">
        <f ca="1">SQRT($B$9*AVERAGE(W628:OFFSET(W628,$B$5-1,0)))</f>
        <v>#DIV/0!</v>
      </c>
      <c r="Y628" s="6" t="e">
        <f ca="1">SQRT($B$9*AVERAGE(W628:OFFSET(W628,$B$6-1,0)))</f>
        <v>#DIV/0!</v>
      </c>
      <c r="Z628" s="6" t="e">
        <f ca="1">SQRT($B$9*AVERAGE(W628:OFFSET(W628,$B$7-1,0)))</f>
        <v>#DIV/0!</v>
      </c>
      <c r="AA628" s="6" t="e">
        <f ca="1">SQRT($B$9*AVERAGE(W628:OFFSET(W628,$B$8-1,0)))</f>
        <v>#DIV/0!</v>
      </c>
      <c r="AC628" s="34" t="e">
        <f t="shared" si="55"/>
        <v>#DIV/0!</v>
      </c>
      <c r="AD628" s="34" t="e">
        <f ca="1">SQRT($B$9*SUM(AC628:OFFSET(AC628,$B$5-1,0))/($B$5-1))</f>
        <v>#DIV/0!</v>
      </c>
      <c r="AE628" s="34" t="e">
        <f ca="1">SQRT($B$9*SUM(AC628:OFFSET(AC628,$B$6-1,0))/($B$6-1))</f>
        <v>#DIV/0!</v>
      </c>
      <c r="AF628" s="34" t="e">
        <f ca="1">SQRT($B$9*SUM(AC628:OFFSET(AC628,$B$7-1,0))/($B$7-1))</f>
        <v>#DIV/0!</v>
      </c>
      <c r="AG628" s="34" t="e">
        <f ca="1">SQRT($B$9*SUM(AC628:OFFSET(AC628,$B$8-1,0))/($B$8-1))</f>
        <v>#DIV/0!</v>
      </c>
      <c r="AI628" s="1" t="e">
        <f t="shared" si="56"/>
        <v>#DIV/0!</v>
      </c>
      <c r="AJ628" s="4" t="e">
        <f ca="1">SQRT($B$9)*_xlfn.STDEV.S(AI628:OFFSET(AI628,$B$5-1,0))</f>
        <v>#DIV/0!</v>
      </c>
      <c r="AK628" s="4" t="e">
        <f ca="1">SQRT($B$9)*_xlfn.STDEV.S(AI628:OFFSET(AI628,$B$6-1,0))</f>
        <v>#DIV/0!</v>
      </c>
      <c r="AL628" s="4" t="e">
        <f ca="1">SQRT($B$9)*_xlfn.STDEV.S(AI628:OFFSET(AI628,$B$7-1,0))</f>
        <v>#DIV/0!</v>
      </c>
      <c r="AM628" s="4" t="e">
        <f ca="1">SQRT($B$9)*_xlfn.STDEV.S(AI628:OFFSET(AI628,$B$8-1,0))</f>
        <v>#DIV/0!</v>
      </c>
    </row>
    <row r="629" spans="5:39" x14ac:dyDescent="0.2">
      <c r="E629" s="42">
        <v>44532</v>
      </c>
      <c r="F629" s="43"/>
      <c r="G629" s="43"/>
      <c r="H629" s="43"/>
      <c r="I629" s="43"/>
      <c r="K629" s="3" t="e">
        <f t="shared" si="54"/>
        <v>#DIV/0!</v>
      </c>
      <c r="L629" s="3" t="e">
        <f ca="1">SQRT(AVERAGE(K629:OFFSET(K629,$B$5-1,0))*$B$9/(4*LN(2)))</f>
        <v>#DIV/0!</v>
      </c>
      <c r="M629" s="3" t="e">
        <f ca="1">SQRT(AVERAGE(K629:OFFSET(K629,$B$6-1,0))*$B$9/(4*LN(2)))</f>
        <v>#DIV/0!</v>
      </c>
      <c r="N629" s="3" t="e">
        <f ca="1">SQRT(AVERAGE(K629:OFFSET(K629,$B$7-1,0))*$B$9/(4*LN(2)))</f>
        <v>#DIV/0!</v>
      </c>
      <c r="O629" s="3" t="e">
        <f ca="1">SQRT(AVERAGE(K629:OFFSET(K629,$B$8-1,0))*$B$9/(4*LN(2)))</f>
        <v>#DIV/0!</v>
      </c>
      <c r="Q629" s="5" t="e">
        <f t="shared" si="53"/>
        <v>#DIV/0!</v>
      </c>
      <c r="R629" s="5" t="e">
        <f ca="1">SQRT($B$9*AVERAGE((Q629:OFFSET(Q629,$B$5-1,0))))</f>
        <v>#DIV/0!</v>
      </c>
      <c r="S629" s="5" t="e">
        <f ca="1">SQRT($B$9*AVERAGE((Q629:OFFSET(Q629,$B$6-1,0))))</f>
        <v>#DIV/0!</v>
      </c>
      <c r="T629" s="5" t="e">
        <f ca="1">SQRT($B$9*AVERAGE((Q629:OFFSET(Q629,$B$7-1,0))))</f>
        <v>#DIV/0!</v>
      </c>
      <c r="U629" s="5" t="e">
        <f ca="1">SQRT($B$9*AVERAGE((Q629:OFFSET(Q629,$B$8-1,0))))</f>
        <v>#DIV/0!</v>
      </c>
      <c r="W629" s="6" t="e">
        <f t="shared" si="57"/>
        <v>#DIV/0!</v>
      </c>
      <c r="X629" s="6" t="e">
        <f ca="1">SQRT($B$9*AVERAGE(W629:OFFSET(W629,$B$5-1,0)))</f>
        <v>#DIV/0!</v>
      </c>
      <c r="Y629" s="6" t="e">
        <f ca="1">SQRT($B$9*AVERAGE(W629:OFFSET(W629,$B$6-1,0)))</f>
        <v>#DIV/0!</v>
      </c>
      <c r="Z629" s="6" t="e">
        <f ca="1">SQRT($B$9*AVERAGE(W629:OFFSET(W629,$B$7-1,0)))</f>
        <v>#DIV/0!</v>
      </c>
      <c r="AA629" s="6" t="e">
        <f ca="1">SQRT($B$9*AVERAGE(W629:OFFSET(W629,$B$8-1,0)))</f>
        <v>#DIV/0!</v>
      </c>
      <c r="AC629" s="34" t="e">
        <f t="shared" si="55"/>
        <v>#DIV/0!</v>
      </c>
      <c r="AD629" s="34" t="e">
        <f ca="1">SQRT($B$9*SUM(AC629:OFFSET(AC629,$B$5-1,0))/($B$5-1))</f>
        <v>#DIV/0!</v>
      </c>
      <c r="AE629" s="34" t="e">
        <f ca="1">SQRT($B$9*SUM(AC629:OFFSET(AC629,$B$6-1,0))/($B$6-1))</f>
        <v>#DIV/0!</v>
      </c>
      <c r="AF629" s="34" t="e">
        <f ca="1">SQRT($B$9*SUM(AC629:OFFSET(AC629,$B$7-1,0))/($B$7-1))</f>
        <v>#DIV/0!</v>
      </c>
      <c r="AG629" s="34" t="e">
        <f ca="1">SQRT($B$9*SUM(AC629:OFFSET(AC629,$B$8-1,0))/($B$8-1))</f>
        <v>#DIV/0!</v>
      </c>
      <c r="AI629" s="1" t="e">
        <f t="shared" si="56"/>
        <v>#DIV/0!</v>
      </c>
      <c r="AJ629" s="4" t="e">
        <f ca="1">SQRT($B$9)*_xlfn.STDEV.S(AI629:OFFSET(AI629,$B$5-1,0))</f>
        <v>#DIV/0!</v>
      </c>
      <c r="AK629" s="4" t="e">
        <f ca="1">SQRT($B$9)*_xlfn.STDEV.S(AI629:OFFSET(AI629,$B$6-1,0))</f>
        <v>#DIV/0!</v>
      </c>
      <c r="AL629" s="4" t="e">
        <f ca="1">SQRT($B$9)*_xlfn.STDEV.S(AI629:OFFSET(AI629,$B$7-1,0))</f>
        <v>#DIV/0!</v>
      </c>
      <c r="AM629" s="4" t="e">
        <f ca="1">SQRT($B$9)*_xlfn.STDEV.S(AI629:OFFSET(AI629,$B$8-1,0))</f>
        <v>#DIV/0!</v>
      </c>
    </row>
    <row r="630" spans="5:39" x14ac:dyDescent="0.2">
      <c r="E630" s="42">
        <v>44531</v>
      </c>
      <c r="F630" s="43"/>
      <c r="G630" s="43"/>
      <c r="H630" s="43"/>
      <c r="I630" s="43"/>
      <c r="K630" s="3" t="e">
        <f t="shared" si="54"/>
        <v>#DIV/0!</v>
      </c>
      <c r="L630" s="3" t="e">
        <f ca="1">SQRT(AVERAGE(K630:OFFSET(K630,$B$5-1,0))*$B$9/(4*LN(2)))</f>
        <v>#DIV/0!</v>
      </c>
      <c r="M630" s="3" t="e">
        <f ca="1">SQRT(AVERAGE(K630:OFFSET(K630,$B$6-1,0))*$B$9/(4*LN(2)))</f>
        <v>#DIV/0!</v>
      </c>
      <c r="N630" s="3" t="e">
        <f ca="1">SQRT(AVERAGE(K630:OFFSET(K630,$B$7-1,0))*$B$9/(4*LN(2)))</f>
        <v>#DIV/0!</v>
      </c>
      <c r="O630" s="3" t="e">
        <f ca="1">SQRT(AVERAGE(K630:OFFSET(K630,$B$8-1,0))*$B$9/(4*LN(2)))</f>
        <v>#DIV/0!</v>
      </c>
      <c r="Q630" s="5" t="e">
        <f t="shared" si="53"/>
        <v>#DIV/0!</v>
      </c>
      <c r="R630" s="5" t="e">
        <f ca="1">SQRT($B$9*AVERAGE((Q630:OFFSET(Q630,$B$5-1,0))))</f>
        <v>#DIV/0!</v>
      </c>
      <c r="S630" s="5" t="e">
        <f ca="1">SQRT($B$9*AVERAGE((Q630:OFFSET(Q630,$B$6-1,0))))</f>
        <v>#DIV/0!</v>
      </c>
      <c r="T630" s="5" t="e">
        <f ca="1">SQRT($B$9*AVERAGE((Q630:OFFSET(Q630,$B$7-1,0))))</f>
        <v>#DIV/0!</v>
      </c>
      <c r="U630" s="5" t="e">
        <f ca="1">SQRT($B$9*AVERAGE((Q630:OFFSET(Q630,$B$8-1,0))))</f>
        <v>#DIV/0!</v>
      </c>
      <c r="W630" s="6" t="e">
        <f t="shared" si="57"/>
        <v>#DIV/0!</v>
      </c>
      <c r="X630" s="6" t="e">
        <f ca="1">SQRT($B$9*AVERAGE(W630:OFFSET(W630,$B$5-1,0)))</f>
        <v>#DIV/0!</v>
      </c>
      <c r="Y630" s="6" t="e">
        <f ca="1">SQRT($B$9*AVERAGE(W630:OFFSET(W630,$B$6-1,0)))</f>
        <v>#DIV/0!</v>
      </c>
      <c r="Z630" s="6" t="e">
        <f ca="1">SQRT($B$9*AVERAGE(W630:OFFSET(W630,$B$7-1,0)))</f>
        <v>#DIV/0!</v>
      </c>
      <c r="AA630" s="6" t="e">
        <f ca="1">SQRT($B$9*AVERAGE(W630:OFFSET(W630,$B$8-1,0)))</f>
        <v>#DIV/0!</v>
      </c>
      <c r="AC630" s="34" t="e">
        <f t="shared" si="55"/>
        <v>#DIV/0!</v>
      </c>
      <c r="AD630" s="34" t="e">
        <f ca="1">SQRT($B$9*SUM(AC630:OFFSET(AC630,$B$5-1,0))/($B$5-1))</f>
        <v>#DIV/0!</v>
      </c>
      <c r="AE630" s="34" t="e">
        <f ca="1">SQRT($B$9*SUM(AC630:OFFSET(AC630,$B$6-1,0))/($B$6-1))</f>
        <v>#DIV/0!</v>
      </c>
      <c r="AF630" s="34" t="e">
        <f ca="1">SQRT($B$9*SUM(AC630:OFFSET(AC630,$B$7-1,0))/($B$7-1))</f>
        <v>#DIV/0!</v>
      </c>
      <c r="AG630" s="34" t="e">
        <f ca="1">SQRT($B$9*SUM(AC630:OFFSET(AC630,$B$8-1,0))/($B$8-1))</f>
        <v>#DIV/0!</v>
      </c>
      <c r="AI630" s="1" t="e">
        <f t="shared" si="56"/>
        <v>#DIV/0!</v>
      </c>
      <c r="AJ630" s="4" t="e">
        <f ca="1">SQRT($B$9)*_xlfn.STDEV.S(AI630:OFFSET(AI630,$B$5-1,0))</f>
        <v>#DIV/0!</v>
      </c>
      <c r="AK630" s="4" t="e">
        <f ca="1">SQRT($B$9)*_xlfn.STDEV.S(AI630:OFFSET(AI630,$B$6-1,0))</f>
        <v>#DIV/0!</v>
      </c>
      <c r="AL630" s="4" t="e">
        <f ca="1">SQRT($B$9)*_xlfn.STDEV.S(AI630:OFFSET(AI630,$B$7-1,0))</f>
        <v>#DIV/0!</v>
      </c>
      <c r="AM630" s="4" t="e">
        <f ca="1">SQRT($B$9)*_xlfn.STDEV.S(AI630:OFFSET(AI630,$B$8-1,0))</f>
        <v>#DIV/0!</v>
      </c>
    </row>
    <row r="631" spans="5:39" x14ac:dyDescent="0.2">
      <c r="E631" s="42">
        <v>44530</v>
      </c>
      <c r="F631" s="43"/>
      <c r="G631" s="43"/>
      <c r="H631" s="43"/>
      <c r="I631" s="43"/>
      <c r="K631" s="3" t="e">
        <f t="shared" si="54"/>
        <v>#DIV/0!</v>
      </c>
      <c r="L631" s="3" t="e">
        <f ca="1">SQRT(AVERAGE(K631:OFFSET(K631,$B$5-1,0))*$B$9/(4*LN(2)))</f>
        <v>#DIV/0!</v>
      </c>
      <c r="M631" s="3" t="e">
        <f ca="1">SQRT(AVERAGE(K631:OFFSET(K631,$B$6-1,0))*$B$9/(4*LN(2)))</f>
        <v>#DIV/0!</v>
      </c>
      <c r="N631" s="3" t="e">
        <f ca="1">SQRT(AVERAGE(K631:OFFSET(K631,$B$7-1,0))*$B$9/(4*LN(2)))</f>
        <v>#DIV/0!</v>
      </c>
      <c r="O631" s="3" t="e">
        <f ca="1">SQRT(AVERAGE(K631:OFFSET(K631,$B$8-1,0))*$B$9/(4*LN(2)))</f>
        <v>#DIV/0!</v>
      </c>
      <c r="Q631" s="5" t="e">
        <f t="shared" si="53"/>
        <v>#DIV/0!</v>
      </c>
      <c r="R631" s="5" t="e">
        <f ca="1">SQRT($B$9*AVERAGE((Q631:OFFSET(Q631,$B$5-1,0))))</f>
        <v>#DIV/0!</v>
      </c>
      <c r="S631" s="5" t="e">
        <f ca="1">SQRT($B$9*AVERAGE((Q631:OFFSET(Q631,$B$6-1,0))))</f>
        <v>#DIV/0!</v>
      </c>
      <c r="T631" s="5" t="e">
        <f ca="1">SQRT($B$9*AVERAGE((Q631:OFFSET(Q631,$B$7-1,0))))</f>
        <v>#DIV/0!</v>
      </c>
      <c r="U631" s="5" t="e">
        <f ca="1">SQRT($B$9*AVERAGE((Q631:OFFSET(Q631,$B$8-1,0))))</f>
        <v>#DIV/0!</v>
      </c>
      <c r="W631" s="6" t="e">
        <f t="shared" si="57"/>
        <v>#DIV/0!</v>
      </c>
      <c r="X631" s="6" t="e">
        <f ca="1">SQRT($B$9*AVERAGE(W631:OFFSET(W631,$B$5-1,0)))</f>
        <v>#DIV/0!</v>
      </c>
      <c r="Y631" s="6" t="e">
        <f ca="1">SQRT($B$9*AVERAGE(W631:OFFSET(W631,$B$6-1,0)))</f>
        <v>#DIV/0!</v>
      </c>
      <c r="Z631" s="6" t="e">
        <f ca="1">SQRT($B$9*AVERAGE(W631:OFFSET(W631,$B$7-1,0)))</f>
        <v>#DIV/0!</v>
      </c>
      <c r="AA631" s="6" t="e">
        <f ca="1">SQRT($B$9*AVERAGE(W631:OFFSET(W631,$B$8-1,0)))</f>
        <v>#DIV/0!</v>
      </c>
      <c r="AC631" s="34" t="e">
        <f t="shared" si="55"/>
        <v>#DIV/0!</v>
      </c>
      <c r="AD631" s="34" t="e">
        <f ca="1">SQRT($B$9*SUM(AC631:OFFSET(AC631,$B$5-1,0))/($B$5-1))</f>
        <v>#DIV/0!</v>
      </c>
      <c r="AE631" s="34" t="e">
        <f ca="1">SQRT($B$9*SUM(AC631:OFFSET(AC631,$B$6-1,0))/($B$6-1))</f>
        <v>#DIV/0!</v>
      </c>
      <c r="AF631" s="34" t="e">
        <f ca="1">SQRT($B$9*SUM(AC631:OFFSET(AC631,$B$7-1,0))/($B$7-1))</f>
        <v>#DIV/0!</v>
      </c>
      <c r="AG631" s="34" t="e">
        <f ca="1">SQRT($B$9*SUM(AC631:OFFSET(AC631,$B$8-1,0))/($B$8-1))</f>
        <v>#DIV/0!</v>
      </c>
      <c r="AI631" s="1" t="e">
        <f t="shared" si="56"/>
        <v>#DIV/0!</v>
      </c>
      <c r="AJ631" s="4" t="e">
        <f ca="1">SQRT($B$9)*_xlfn.STDEV.S(AI631:OFFSET(AI631,$B$5-1,0))</f>
        <v>#DIV/0!</v>
      </c>
      <c r="AK631" s="4" t="e">
        <f ca="1">SQRT($B$9)*_xlfn.STDEV.S(AI631:OFFSET(AI631,$B$6-1,0))</f>
        <v>#DIV/0!</v>
      </c>
      <c r="AL631" s="4" t="e">
        <f ca="1">SQRT($B$9)*_xlfn.STDEV.S(AI631:OFFSET(AI631,$B$7-1,0))</f>
        <v>#DIV/0!</v>
      </c>
      <c r="AM631" s="4" t="e">
        <f ca="1">SQRT($B$9)*_xlfn.STDEV.S(AI631:OFFSET(AI631,$B$8-1,0))</f>
        <v>#DIV/0!</v>
      </c>
    </row>
    <row r="632" spans="5:39" x14ac:dyDescent="0.2">
      <c r="E632" s="42">
        <v>44529</v>
      </c>
      <c r="F632" s="43"/>
      <c r="G632" s="43"/>
      <c r="H632" s="43"/>
      <c r="I632" s="43"/>
      <c r="K632" s="3" t="e">
        <f t="shared" si="54"/>
        <v>#DIV/0!</v>
      </c>
      <c r="L632" s="3" t="e">
        <f ca="1">SQRT(AVERAGE(K632:OFFSET(K632,$B$5-1,0))*$B$9/(4*LN(2)))</f>
        <v>#DIV/0!</v>
      </c>
      <c r="M632" s="3" t="e">
        <f ca="1">SQRT(AVERAGE(K632:OFFSET(K632,$B$6-1,0))*$B$9/(4*LN(2)))</f>
        <v>#DIV/0!</v>
      </c>
      <c r="N632" s="3" t="e">
        <f ca="1">SQRT(AVERAGE(K632:OFFSET(K632,$B$7-1,0))*$B$9/(4*LN(2)))</f>
        <v>#DIV/0!</v>
      </c>
      <c r="O632" s="3" t="e">
        <f ca="1">SQRT(AVERAGE(K632:OFFSET(K632,$B$8-1,0))*$B$9/(4*LN(2)))</f>
        <v>#DIV/0!</v>
      </c>
      <c r="Q632" s="5" t="e">
        <f t="shared" si="53"/>
        <v>#DIV/0!</v>
      </c>
      <c r="R632" s="5" t="e">
        <f ca="1">SQRT($B$9*AVERAGE((Q632:OFFSET(Q632,$B$5-1,0))))</f>
        <v>#DIV/0!</v>
      </c>
      <c r="S632" s="5" t="e">
        <f ca="1">SQRT($B$9*AVERAGE((Q632:OFFSET(Q632,$B$6-1,0))))</f>
        <v>#DIV/0!</v>
      </c>
      <c r="T632" s="5" t="e">
        <f ca="1">SQRT($B$9*AVERAGE((Q632:OFFSET(Q632,$B$7-1,0))))</f>
        <v>#DIV/0!</v>
      </c>
      <c r="U632" s="5" t="e">
        <f ca="1">SQRT($B$9*AVERAGE((Q632:OFFSET(Q632,$B$8-1,0))))</f>
        <v>#DIV/0!</v>
      </c>
      <c r="W632" s="6" t="e">
        <f t="shared" si="57"/>
        <v>#DIV/0!</v>
      </c>
      <c r="X632" s="6" t="e">
        <f ca="1">SQRT($B$9*AVERAGE(W632:OFFSET(W632,$B$5-1,0)))</f>
        <v>#DIV/0!</v>
      </c>
      <c r="Y632" s="6" t="e">
        <f ca="1">SQRT($B$9*AVERAGE(W632:OFFSET(W632,$B$6-1,0)))</f>
        <v>#DIV/0!</v>
      </c>
      <c r="Z632" s="6" t="e">
        <f ca="1">SQRT($B$9*AVERAGE(W632:OFFSET(W632,$B$7-1,0)))</f>
        <v>#DIV/0!</v>
      </c>
      <c r="AA632" s="6" t="e">
        <f ca="1">SQRT($B$9*AVERAGE(W632:OFFSET(W632,$B$8-1,0)))</f>
        <v>#DIV/0!</v>
      </c>
      <c r="AC632" s="34" t="e">
        <f t="shared" si="55"/>
        <v>#DIV/0!</v>
      </c>
      <c r="AD632" s="34" t="e">
        <f ca="1">SQRT($B$9*SUM(AC632:OFFSET(AC632,$B$5-1,0))/($B$5-1))</f>
        <v>#DIV/0!</v>
      </c>
      <c r="AE632" s="34" t="e">
        <f ca="1">SQRT($B$9*SUM(AC632:OFFSET(AC632,$B$6-1,0))/($B$6-1))</f>
        <v>#DIV/0!</v>
      </c>
      <c r="AF632" s="34" t="e">
        <f ca="1">SQRT($B$9*SUM(AC632:OFFSET(AC632,$B$7-1,0))/($B$7-1))</f>
        <v>#DIV/0!</v>
      </c>
      <c r="AG632" s="34" t="e">
        <f ca="1">SQRT($B$9*SUM(AC632:OFFSET(AC632,$B$8-1,0))/($B$8-1))</f>
        <v>#DIV/0!</v>
      </c>
      <c r="AI632" s="1" t="e">
        <f t="shared" si="56"/>
        <v>#DIV/0!</v>
      </c>
      <c r="AJ632" s="4" t="e">
        <f ca="1">SQRT($B$9)*_xlfn.STDEV.S(AI632:OFFSET(AI632,$B$5-1,0))</f>
        <v>#DIV/0!</v>
      </c>
      <c r="AK632" s="4" t="e">
        <f ca="1">SQRT($B$9)*_xlfn.STDEV.S(AI632:OFFSET(AI632,$B$6-1,0))</f>
        <v>#DIV/0!</v>
      </c>
      <c r="AL632" s="4" t="e">
        <f ca="1">SQRT($B$9)*_xlfn.STDEV.S(AI632:OFFSET(AI632,$B$7-1,0))</f>
        <v>#DIV/0!</v>
      </c>
      <c r="AM632" s="4" t="e">
        <f ca="1">SQRT($B$9)*_xlfn.STDEV.S(AI632:OFFSET(AI632,$B$8-1,0))</f>
        <v>#DIV/0!</v>
      </c>
    </row>
    <row r="633" spans="5:39" x14ac:dyDescent="0.2">
      <c r="E633" s="42">
        <v>44526</v>
      </c>
      <c r="F633" s="43"/>
      <c r="G633" s="43"/>
      <c r="H633" s="43"/>
      <c r="I633" s="43"/>
      <c r="K633" s="3" t="e">
        <f t="shared" si="54"/>
        <v>#DIV/0!</v>
      </c>
      <c r="L633" s="3" t="e">
        <f ca="1">SQRT(AVERAGE(K633:OFFSET(K633,$B$5-1,0))*$B$9/(4*LN(2)))</f>
        <v>#DIV/0!</v>
      </c>
      <c r="M633" s="3" t="e">
        <f ca="1">SQRT(AVERAGE(K633:OFFSET(K633,$B$6-1,0))*$B$9/(4*LN(2)))</f>
        <v>#DIV/0!</v>
      </c>
      <c r="N633" s="3" t="e">
        <f ca="1">SQRT(AVERAGE(K633:OFFSET(K633,$B$7-1,0))*$B$9/(4*LN(2)))</f>
        <v>#DIV/0!</v>
      </c>
      <c r="O633" s="3" t="e">
        <f ca="1">SQRT(AVERAGE(K633:OFFSET(K633,$B$8-1,0))*$B$9/(4*LN(2)))</f>
        <v>#DIV/0!</v>
      </c>
      <c r="Q633" s="5" t="e">
        <f t="shared" si="53"/>
        <v>#DIV/0!</v>
      </c>
      <c r="R633" s="5" t="e">
        <f ca="1">SQRT($B$9*AVERAGE((Q633:OFFSET(Q633,$B$5-1,0))))</f>
        <v>#DIV/0!</v>
      </c>
      <c r="S633" s="5" t="e">
        <f ca="1">SQRT($B$9*AVERAGE((Q633:OFFSET(Q633,$B$6-1,0))))</f>
        <v>#DIV/0!</v>
      </c>
      <c r="T633" s="5" t="e">
        <f ca="1">SQRT($B$9*AVERAGE((Q633:OFFSET(Q633,$B$7-1,0))))</f>
        <v>#DIV/0!</v>
      </c>
      <c r="U633" s="5" t="e">
        <f ca="1">SQRT($B$9*AVERAGE((Q633:OFFSET(Q633,$B$8-1,0))))</f>
        <v>#DIV/0!</v>
      </c>
      <c r="W633" s="6" t="e">
        <f t="shared" si="57"/>
        <v>#DIV/0!</v>
      </c>
      <c r="X633" s="6" t="e">
        <f ca="1">SQRT($B$9*AVERAGE(W633:OFFSET(W633,$B$5-1,0)))</f>
        <v>#DIV/0!</v>
      </c>
      <c r="Y633" s="6" t="e">
        <f ca="1">SQRT($B$9*AVERAGE(W633:OFFSET(W633,$B$6-1,0)))</f>
        <v>#DIV/0!</v>
      </c>
      <c r="Z633" s="6" t="e">
        <f ca="1">SQRT($B$9*AVERAGE(W633:OFFSET(W633,$B$7-1,0)))</f>
        <v>#DIV/0!</v>
      </c>
      <c r="AA633" s="6" t="e">
        <f ca="1">SQRT($B$9*AVERAGE(W633:OFFSET(W633,$B$8-1,0)))</f>
        <v>#DIV/0!</v>
      </c>
      <c r="AC633" s="34" t="e">
        <f t="shared" si="55"/>
        <v>#DIV/0!</v>
      </c>
      <c r="AD633" s="34" t="e">
        <f ca="1">SQRT($B$9*SUM(AC633:OFFSET(AC633,$B$5-1,0))/($B$5-1))</f>
        <v>#DIV/0!</v>
      </c>
      <c r="AE633" s="34" t="e">
        <f ca="1">SQRT($B$9*SUM(AC633:OFFSET(AC633,$B$6-1,0))/($B$6-1))</f>
        <v>#DIV/0!</v>
      </c>
      <c r="AF633" s="34" t="e">
        <f ca="1">SQRT($B$9*SUM(AC633:OFFSET(AC633,$B$7-1,0))/($B$7-1))</f>
        <v>#DIV/0!</v>
      </c>
      <c r="AG633" s="34" t="e">
        <f ca="1">SQRT($B$9*SUM(AC633:OFFSET(AC633,$B$8-1,0))/($B$8-1))</f>
        <v>#DIV/0!</v>
      </c>
      <c r="AI633" s="1" t="e">
        <f t="shared" si="56"/>
        <v>#DIV/0!</v>
      </c>
      <c r="AJ633" s="4" t="e">
        <f ca="1">SQRT($B$9)*_xlfn.STDEV.S(AI633:OFFSET(AI633,$B$5-1,0))</f>
        <v>#DIV/0!</v>
      </c>
      <c r="AK633" s="4" t="e">
        <f ca="1">SQRT($B$9)*_xlfn.STDEV.S(AI633:OFFSET(AI633,$B$6-1,0))</f>
        <v>#DIV/0!</v>
      </c>
      <c r="AL633" s="4" t="e">
        <f ca="1">SQRT($B$9)*_xlfn.STDEV.S(AI633:OFFSET(AI633,$B$7-1,0))</f>
        <v>#DIV/0!</v>
      </c>
      <c r="AM633" s="4" t="e">
        <f ca="1">SQRT($B$9)*_xlfn.STDEV.S(AI633:OFFSET(AI633,$B$8-1,0))</f>
        <v>#DIV/0!</v>
      </c>
    </row>
    <row r="634" spans="5:39" x14ac:dyDescent="0.2">
      <c r="E634" s="42">
        <v>44525</v>
      </c>
      <c r="F634" s="43"/>
      <c r="G634" s="43"/>
      <c r="H634" s="43"/>
      <c r="I634" s="43"/>
      <c r="K634" s="3" t="e">
        <f t="shared" si="54"/>
        <v>#DIV/0!</v>
      </c>
      <c r="L634" s="3" t="e">
        <f ca="1">SQRT(AVERAGE(K634:OFFSET(K634,$B$5-1,0))*$B$9/(4*LN(2)))</f>
        <v>#DIV/0!</v>
      </c>
      <c r="M634" s="3" t="e">
        <f ca="1">SQRT(AVERAGE(K634:OFFSET(K634,$B$6-1,0))*$B$9/(4*LN(2)))</f>
        <v>#DIV/0!</v>
      </c>
      <c r="N634" s="3" t="e">
        <f ca="1">SQRT(AVERAGE(K634:OFFSET(K634,$B$7-1,0))*$B$9/(4*LN(2)))</f>
        <v>#DIV/0!</v>
      </c>
      <c r="O634" s="3" t="e">
        <f ca="1">SQRT(AVERAGE(K634:OFFSET(K634,$B$8-1,0))*$B$9/(4*LN(2)))</f>
        <v>#DIV/0!</v>
      </c>
      <c r="Q634" s="5" t="e">
        <f t="shared" si="53"/>
        <v>#DIV/0!</v>
      </c>
      <c r="R634" s="5" t="e">
        <f ca="1">SQRT($B$9*AVERAGE((Q634:OFFSET(Q634,$B$5-1,0))))</f>
        <v>#DIV/0!</v>
      </c>
      <c r="S634" s="5" t="e">
        <f ca="1">SQRT($B$9*AVERAGE((Q634:OFFSET(Q634,$B$6-1,0))))</f>
        <v>#DIV/0!</v>
      </c>
      <c r="T634" s="5" t="e">
        <f ca="1">SQRT($B$9*AVERAGE((Q634:OFFSET(Q634,$B$7-1,0))))</f>
        <v>#DIV/0!</v>
      </c>
      <c r="U634" s="5" t="e">
        <f ca="1">SQRT($B$9*AVERAGE((Q634:OFFSET(Q634,$B$8-1,0))))</f>
        <v>#DIV/0!</v>
      </c>
      <c r="W634" s="6" t="e">
        <f t="shared" si="57"/>
        <v>#DIV/0!</v>
      </c>
      <c r="X634" s="6" t="e">
        <f ca="1">SQRT($B$9*AVERAGE(W634:OFFSET(W634,$B$5-1,0)))</f>
        <v>#DIV/0!</v>
      </c>
      <c r="Y634" s="6" t="e">
        <f ca="1">SQRT($B$9*AVERAGE(W634:OFFSET(W634,$B$6-1,0)))</f>
        <v>#DIV/0!</v>
      </c>
      <c r="Z634" s="6" t="e">
        <f ca="1">SQRT($B$9*AVERAGE(W634:OFFSET(W634,$B$7-1,0)))</f>
        <v>#DIV/0!</v>
      </c>
      <c r="AA634" s="6" t="e">
        <f ca="1">SQRT($B$9*AVERAGE(W634:OFFSET(W634,$B$8-1,0)))</f>
        <v>#DIV/0!</v>
      </c>
      <c r="AC634" s="34" t="e">
        <f t="shared" si="55"/>
        <v>#DIV/0!</v>
      </c>
      <c r="AD634" s="34" t="e">
        <f ca="1">SQRT($B$9*SUM(AC634:OFFSET(AC634,$B$5-1,0))/($B$5-1))</f>
        <v>#DIV/0!</v>
      </c>
      <c r="AE634" s="34" t="e">
        <f ca="1">SQRT($B$9*SUM(AC634:OFFSET(AC634,$B$6-1,0))/($B$6-1))</f>
        <v>#DIV/0!</v>
      </c>
      <c r="AF634" s="34" t="e">
        <f ca="1">SQRT($B$9*SUM(AC634:OFFSET(AC634,$B$7-1,0))/($B$7-1))</f>
        <v>#DIV/0!</v>
      </c>
      <c r="AG634" s="34" t="e">
        <f ca="1">SQRT($B$9*SUM(AC634:OFFSET(AC634,$B$8-1,0))/($B$8-1))</f>
        <v>#DIV/0!</v>
      </c>
      <c r="AI634" s="1" t="e">
        <f t="shared" si="56"/>
        <v>#DIV/0!</v>
      </c>
      <c r="AJ634" s="4" t="e">
        <f ca="1">SQRT($B$9)*_xlfn.STDEV.S(AI634:OFFSET(AI634,$B$5-1,0))</f>
        <v>#DIV/0!</v>
      </c>
      <c r="AK634" s="4" t="e">
        <f ca="1">SQRT($B$9)*_xlfn.STDEV.S(AI634:OFFSET(AI634,$B$6-1,0))</f>
        <v>#DIV/0!</v>
      </c>
      <c r="AL634" s="4" t="e">
        <f ca="1">SQRT($B$9)*_xlfn.STDEV.S(AI634:OFFSET(AI634,$B$7-1,0))</f>
        <v>#DIV/0!</v>
      </c>
      <c r="AM634" s="4" t="e">
        <f ca="1">SQRT($B$9)*_xlfn.STDEV.S(AI634:OFFSET(AI634,$B$8-1,0))</f>
        <v>#DIV/0!</v>
      </c>
    </row>
    <row r="635" spans="5:39" x14ac:dyDescent="0.2">
      <c r="E635" s="42">
        <v>44524</v>
      </c>
      <c r="F635" s="43"/>
      <c r="G635" s="43"/>
      <c r="H635" s="43"/>
      <c r="I635" s="43"/>
      <c r="K635" s="3" t="e">
        <f t="shared" si="54"/>
        <v>#DIV/0!</v>
      </c>
      <c r="L635" s="3" t="e">
        <f ca="1">SQRT(AVERAGE(K635:OFFSET(K635,$B$5-1,0))*$B$9/(4*LN(2)))</f>
        <v>#DIV/0!</v>
      </c>
      <c r="M635" s="3" t="e">
        <f ca="1">SQRT(AVERAGE(K635:OFFSET(K635,$B$6-1,0))*$B$9/(4*LN(2)))</f>
        <v>#DIV/0!</v>
      </c>
      <c r="N635" s="3" t="e">
        <f ca="1">SQRT(AVERAGE(K635:OFFSET(K635,$B$7-1,0))*$B$9/(4*LN(2)))</f>
        <v>#DIV/0!</v>
      </c>
      <c r="O635" s="3" t="e">
        <f ca="1">SQRT(AVERAGE(K635:OFFSET(K635,$B$8-1,0))*$B$9/(4*LN(2)))</f>
        <v>#DIV/0!</v>
      </c>
      <c r="Q635" s="5" t="e">
        <f t="shared" si="53"/>
        <v>#DIV/0!</v>
      </c>
      <c r="R635" s="5" t="e">
        <f ca="1">SQRT($B$9*AVERAGE((Q635:OFFSET(Q635,$B$5-1,0))))</f>
        <v>#DIV/0!</v>
      </c>
      <c r="S635" s="5" t="e">
        <f ca="1">SQRT($B$9*AVERAGE((Q635:OFFSET(Q635,$B$6-1,0))))</f>
        <v>#DIV/0!</v>
      </c>
      <c r="T635" s="5" t="e">
        <f ca="1">SQRT($B$9*AVERAGE((Q635:OFFSET(Q635,$B$7-1,0))))</f>
        <v>#DIV/0!</v>
      </c>
      <c r="U635" s="5" t="e">
        <f ca="1">SQRT($B$9*AVERAGE((Q635:OFFSET(Q635,$B$8-1,0))))</f>
        <v>#DIV/0!</v>
      </c>
      <c r="W635" s="6" t="e">
        <f t="shared" si="57"/>
        <v>#DIV/0!</v>
      </c>
      <c r="X635" s="6" t="e">
        <f ca="1">SQRT($B$9*AVERAGE(W635:OFFSET(W635,$B$5-1,0)))</f>
        <v>#DIV/0!</v>
      </c>
      <c r="Y635" s="6" t="e">
        <f ca="1">SQRT($B$9*AVERAGE(W635:OFFSET(W635,$B$6-1,0)))</f>
        <v>#DIV/0!</v>
      </c>
      <c r="Z635" s="6" t="e">
        <f ca="1">SQRT($B$9*AVERAGE(W635:OFFSET(W635,$B$7-1,0)))</f>
        <v>#DIV/0!</v>
      </c>
      <c r="AA635" s="6" t="e">
        <f ca="1">SQRT($B$9*AVERAGE(W635:OFFSET(W635,$B$8-1,0)))</f>
        <v>#DIV/0!</v>
      </c>
      <c r="AC635" s="34" t="e">
        <f t="shared" si="55"/>
        <v>#DIV/0!</v>
      </c>
      <c r="AD635" s="34" t="e">
        <f ca="1">SQRT($B$9*SUM(AC635:OFFSET(AC635,$B$5-1,0))/($B$5-1))</f>
        <v>#DIV/0!</v>
      </c>
      <c r="AE635" s="34" t="e">
        <f ca="1">SQRT($B$9*SUM(AC635:OFFSET(AC635,$B$6-1,0))/($B$6-1))</f>
        <v>#DIV/0!</v>
      </c>
      <c r="AF635" s="34" t="e">
        <f ca="1">SQRT($B$9*SUM(AC635:OFFSET(AC635,$B$7-1,0))/($B$7-1))</f>
        <v>#DIV/0!</v>
      </c>
      <c r="AG635" s="34" t="e">
        <f ca="1">SQRT($B$9*SUM(AC635:OFFSET(AC635,$B$8-1,0))/($B$8-1))</f>
        <v>#DIV/0!</v>
      </c>
      <c r="AI635" s="1" t="e">
        <f t="shared" si="56"/>
        <v>#DIV/0!</v>
      </c>
      <c r="AJ635" s="4" t="e">
        <f ca="1">SQRT($B$9)*_xlfn.STDEV.S(AI635:OFFSET(AI635,$B$5-1,0))</f>
        <v>#DIV/0!</v>
      </c>
      <c r="AK635" s="4" t="e">
        <f ca="1">SQRT($B$9)*_xlfn.STDEV.S(AI635:OFFSET(AI635,$B$6-1,0))</f>
        <v>#DIV/0!</v>
      </c>
      <c r="AL635" s="4" t="e">
        <f ca="1">SQRT($B$9)*_xlfn.STDEV.S(AI635:OFFSET(AI635,$B$7-1,0))</f>
        <v>#DIV/0!</v>
      </c>
      <c r="AM635" s="4" t="e">
        <f ca="1">SQRT($B$9)*_xlfn.STDEV.S(AI635:OFFSET(AI635,$B$8-1,0))</f>
        <v>#DIV/0!</v>
      </c>
    </row>
    <row r="636" spans="5:39" x14ac:dyDescent="0.2">
      <c r="E636" s="42">
        <v>44523</v>
      </c>
      <c r="F636" s="43"/>
      <c r="G636" s="43"/>
      <c r="H636" s="43"/>
      <c r="I636" s="43"/>
      <c r="K636" s="3" t="e">
        <f t="shared" si="54"/>
        <v>#DIV/0!</v>
      </c>
      <c r="L636" s="3" t="e">
        <f ca="1">SQRT(AVERAGE(K636:OFFSET(K636,$B$5-1,0))*$B$9/(4*LN(2)))</f>
        <v>#DIV/0!</v>
      </c>
      <c r="M636" s="3" t="e">
        <f ca="1">SQRT(AVERAGE(K636:OFFSET(K636,$B$6-1,0))*$B$9/(4*LN(2)))</f>
        <v>#DIV/0!</v>
      </c>
      <c r="N636" s="3" t="e">
        <f ca="1">SQRT(AVERAGE(K636:OFFSET(K636,$B$7-1,0))*$B$9/(4*LN(2)))</f>
        <v>#DIV/0!</v>
      </c>
      <c r="O636" s="3" t="e">
        <f ca="1">SQRT(AVERAGE(K636:OFFSET(K636,$B$8-1,0))*$B$9/(4*LN(2)))</f>
        <v>#DIV/0!</v>
      </c>
      <c r="Q636" s="5" t="e">
        <f t="shared" si="53"/>
        <v>#DIV/0!</v>
      </c>
      <c r="R636" s="5" t="e">
        <f ca="1">SQRT($B$9*AVERAGE((Q636:OFFSET(Q636,$B$5-1,0))))</f>
        <v>#DIV/0!</v>
      </c>
      <c r="S636" s="5" t="e">
        <f ca="1">SQRT($B$9*AVERAGE((Q636:OFFSET(Q636,$B$6-1,0))))</f>
        <v>#DIV/0!</v>
      </c>
      <c r="T636" s="5" t="e">
        <f ca="1">SQRT($B$9*AVERAGE((Q636:OFFSET(Q636,$B$7-1,0))))</f>
        <v>#DIV/0!</v>
      </c>
      <c r="U636" s="5" t="e">
        <f ca="1">SQRT($B$9*AVERAGE((Q636:OFFSET(Q636,$B$8-1,0))))</f>
        <v>#DIV/0!</v>
      </c>
      <c r="W636" s="6" t="e">
        <f t="shared" si="57"/>
        <v>#DIV/0!</v>
      </c>
      <c r="X636" s="6" t="e">
        <f ca="1">SQRT($B$9*AVERAGE(W636:OFFSET(W636,$B$5-1,0)))</f>
        <v>#DIV/0!</v>
      </c>
      <c r="Y636" s="6" t="e">
        <f ca="1">SQRT($B$9*AVERAGE(W636:OFFSET(W636,$B$6-1,0)))</f>
        <v>#DIV/0!</v>
      </c>
      <c r="Z636" s="6" t="e">
        <f ca="1">SQRT($B$9*AVERAGE(W636:OFFSET(W636,$B$7-1,0)))</f>
        <v>#DIV/0!</v>
      </c>
      <c r="AA636" s="6" t="e">
        <f ca="1">SQRT($B$9*AVERAGE(W636:OFFSET(W636,$B$8-1,0)))</f>
        <v>#DIV/0!</v>
      </c>
      <c r="AC636" s="34" t="e">
        <f t="shared" si="55"/>
        <v>#DIV/0!</v>
      </c>
      <c r="AD636" s="34" t="e">
        <f ca="1">SQRT($B$9*SUM(AC636:OFFSET(AC636,$B$5-1,0))/($B$5-1))</f>
        <v>#DIV/0!</v>
      </c>
      <c r="AE636" s="34" t="e">
        <f ca="1">SQRT($B$9*SUM(AC636:OFFSET(AC636,$B$6-1,0))/($B$6-1))</f>
        <v>#DIV/0!</v>
      </c>
      <c r="AF636" s="34" t="e">
        <f ca="1">SQRT($B$9*SUM(AC636:OFFSET(AC636,$B$7-1,0))/($B$7-1))</f>
        <v>#DIV/0!</v>
      </c>
      <c r="AG636" s="34" t="e">
        <f ca="1">SQRT($B$9*SUM(AC636:OFFSET(AC636,$B$8-1,0))/($B$8-1))</f>
        <v>#DIV/0!</v>
      </c>
      <c r="AI636" s="1" t="e">
        <f t="shared" si="56"/>
        <v>#DIV/0!</v>
      </c>
      <c r="AJ636" s="4" t="e">
        <f ca="1">SQRT($B$9)*_xlfn.STDEV.S(AI636:OFFSET(AI636,$B$5-1,0))</f>
        <v>#DIV/0!</v>
      </c>
      <c r="AK636" s="4" t="e">
        <f ca="1">SQRT($B$9)*_xlfn.STDEV.S(AI636:OFFSET(AI636,$B$6-1,0))</f>
        <v>#DIV/0!</v>
      </c>
      <c r="AL636" s="4" t="e">
        <f ca="1">SQRT($B$9)*_xlfn.STDEV.S(AI636:OFFSET(AI636,$B$7-1,0))</f>
        <v>#DIV/0!</v>
      </c>
      <c r="AM636" s="4" t="e">
        <f ca="1">SQRT($B$9)*_xlfn.STDEV.S(AI636:OFFSET(AI636,$B$8-1,0))</f>
        <v>#DIV/0!</v>
      </c>
    </row>
    <row r="637" spans="5:39" x14ac:dyDescent="0.2">
      <c r="E637" s="42">
        <v>44522</v>
      </c>
      <c r="F637" s="43"/>
      <c r="G637" s="43"/>
      <c r="H637" s="43"/>
      <c r="I637" s="43"/>
      <c r="K637" s="3" t="e">
        <f t="shared" si="54"/>
        <v>#DIV/0!</v>
      </c>
      <c r="L637" s="3" t="e">
        <f ca="1">SQRT(AVERAGE(K637:OFFSET(K637,$B$5-1,0))*$B$9/(4*LN(2)))</f>
        <v>#DIV/0!</v>
      </c>
      <c r="M637" s="3" t="e">
        <f ca="1">SQRT(AVERAGE(K637:OFFSET(K637,$B$6-1,0))*$B$9/(4*LN(2)))</f>
        <v>#DIV/0!</v>
      </c>
      <c r="N637" s="3" t="e">
        <f ca="1">SQRT(AVERAGE(K637:OFFSET(K637,$B$7-1,0))*$B$9/(4*LN(2)))</f>
        <v>#DIV/0!</v>
      </c>
      <c r="O637" s="3" t="e">
        <f ca="1">SQRT(AVERAGE(K637:OFFSET(K637,$B$8-1,0))*$B$9/(4*LN(2)))</f>
        <v>#DIV/0!</v>
      </c>
      <c r="Q637" s="5" t="e">
        <f t="shared" si="53"/>
        <v>#DIV/0!</v>
      </c>
      <c r="R637" s="5" t="e">
        <f ca="1">SQRT($B$9*AVERAGE((Q637:OFFSET(Q637,$B$5-1,0))))</f>
        <v>#DIV/0!</v>
      </c>
      <c r="S637" s="5" t="e">
        <f ca="1">SQRT($B$9*AVERAGE((Q637:OFFSET(Q637,$B$6-1,0))))</f>
        <v>#DIV/0!</v>
      </c>
      <c r="T637" s="5" t="e">
        <f ca="1">SQRT($B$9*AVERAGE((Q637:OFFSET(Q637,$B$7-1,0))))</f>
        <v>#DIV/0!</v>
      </c>
      <c r="U637" s="5" t="e">
        <f ca="1">SQRT($B$9*AVERAGE((Q637:OFFSET(Q637,$B$8-1,0))))</f>
        <v>#DIV/0!</v>
      </c>
      <c r="W637" s="6" t="e">
        <f t="shared" si="57"/>
        <v>#DIV/0!</v>
      </c>
      <c r="X637" s="6" t="e">
        <f ca="1">SQRT($B$9*AVERAGE(W637:OFFSET(W637,$B$5-1,0)))</f>
        <v>#DIV/0!</v>
      </c>
      <c r="Y637" s="6" t="e">
        <f ca="1">SQRT($B$9*AVERAGE(W637:OFFSET(W637,$B$6-1,0)))</f>
        <v>#DIV/0!</v>
      </c>
      <c r="Z637" s="6" t="e">
        <f ca="1">SQRT($B$9*AVERAGE(W637:OFFSET(W637,$B$7-1,0)))</f>
        <v>#DIV/0!</v>
      </c>
      <c r="AA637" s="6" t="e">
        <f ca="1">SQRT($B$9*AVERAGE(W637:OFFSET(W637,$B$8-1,0)))</f>
        <v>#DIV/0!</v>
      </c>
      <c r="AC637" s="34" t="e">
        <f t="shared" si="55"/>
        <v>#DIV/0!</v>
      </c>
      <c r="AD637" s="34" t="e">
        <f ca="1">SQRT($B$9*SUM(AC637:OFFSET(AC637,$B$5-1,0))/($B$5-1))</f>
        <v>#DIV/0!</v>
      </c>
      <c r="AE637" s="34" t="e">
        <f ca="1">SQRT($B$9*SUM(AC637:OFFSET(AC637,$B$6-1,0))/($B$6-1))</f>
        <v>#DIV/0!</v>
      </c>
      <c r="AF637" s="34" t="e">
        <f ca="1">SQRT($B$9*SUM(AC637:OFFSET(AC637,$B$7-1,0))/($B$7-1))</f>
        <v>#DIV/0!</v>
      </c>
      <c r="AG637" s="34" t="e">
        <f ca="1">SQRT($B$9*SUM(AC637:OFFSET(AC637,$B$8-1,0))/($B$8-1))</f>
        <v>#DIV/0!</v>
      </c>
      <c r="AI637" s="1" t="e">
        <f t="shared" si="56"/>
        <v>#DIV/0!</v>
      </c>
      <c r="AJ637" s="4" t="e">
        <f ca="1">SQRT($B$9)*_xlfn.STDEV.S(AI637:OFFSET(AI637,$B$5-1,0))</f>
        <v>#DIV/0!</v>
      </c>
      <c r="AK637" s="4" t="e">
        <f ca="1">SQRT($B$9)*_xlfn.STDEV.S(AI637:OFFSET(AI637,$B$6-1,0))</f>
        <v>#DIV/0!</v>
      </c>
      <c r="AL637" s="4" t="e">
        <f ca="1">SQRT($B$9)*_xlfn.STDEV.S(AI637:OFFSET(AI637,$B$7-1,0))</f>
        <v>#DIV/0!</v>
      </c>
      <c r="AM637" s="4" t="e">
        <f ca="1">SQRT($B$9)*_xlfn.STDEV.S(AI637:OFFSET(AI637,$B$8-1,0))</f>
        <v>#DIV/0!</v>
      </c>
    </row>
    <row r="638" spans="5:39" x14ac:dyDescent="0.2">
      <c r="E638" s="42">
        <v>44519</v>
      </c>
      <c r="F638" s="43"/>
      <c r="G638" s="43"/>
      <c r="H638" s="43"/>
      <c r="I638" s="43"/>
      <c r="K638" s="3" t="e">
        <f t="shared" si="54"/>
        <v>#DIV/0!</v>
      </c>
      <c r="L638" s="3" t="e">
        <f ca="1">SQRT(AVERAGE(K638:OFFSET(K638,$B$5-1,0))*$B$9/(4*LN(2)))</f>
        <v>#DIV/0!</v>
      </c>
      <c r="M638" s="3" t="e">
        <f ca="1">SQRT(AVERAGE(K638:OFFSET(K638,$B$6-1,0))*$B$9/(4*LN(2)))</f>
        <v>#DIV/0!</v>
      </c>
      <c r="N638" s="3" t="e">
        <f ca="1">SQRT(AVERAGE(K638:OFFSET(K638,$B$7-1,0))*$B$9/(4*LN(2)))</f>
        <v>#DIV/0!</v>
      </c>
      <c r="O638" s="3" t="e">
        <f ca="1">SQRT(AVERAGE(K638:OFFSET(K638,$B$8-1,0))*$B$9/(4*LN(2)))</f>
        <v>#DIV/0!</v>
      </c>
      <c r="Q638" s="5" t="e">
        <f t="shared" si="53"/>
        <v>#DIV/0!</v>
      </c>
      <c r="R638" s="5" t="e">
        <f ca="1">SQRT($B$9*AVERAGE((Q638:OFFSET(Q638,$B$5-1,0))))</f>
        <v>#DIV/0!</v>
      </c>
      <c r="S638" s="5" t="e">
        <f ca="1">SQRT($B$9*AVERAGE((Q638:OFFSET(Q638,$B$6-1,0))))</f>
        <v>#DIV/0!</v>
      </c>
      <c r="T638" s="5" t="e">
        <f ca="1">SQRT($B$9*AVERAGE((Q638:OFFSET(Q638,$B$7-1,0))))</f>
        <v>#DIV/0!</v>
      </c>
      <c r="U638" s="5" t="e">
        <f ca="1">SQRT($B$9*AVERAGE((Q638:OFFSET(Q638,$B$8-1,0))))</f>
        <v>#DIV/0!</v>
      </c>
      <c r="W638" s="6" t="e">
        <f t="shared" si="57"/>
        <v>#DIV/0!</v>
      </c>
      <c r="X638" s="6" t="e">
        <f ca="1">SQRT($B$9*AVERAGE(W638:OFFSET(W638,$B$5-1,0)))</f>
        <v>#DIV/0!</v>
      </c>
      <c r="Y638" s="6" t="e">
        <f ca="1">SQRT($B$9*AVERAGE(W638:OFFSET(W638,$B$6-1,0)))</f>
        <v>#DIV/0!</v>
      </c>
      <c r="Z638" s="6" t="e">
        <f ca="1">SQRT($B$9*AVERAGE(W638:OFFSET(W638,$B$7-1,0)))</f>
        <v>#DIV/0!</v>
      </c>
      <c r="AA638" s="6" t="e">
        <f ca="1">SQRT($B$9*AVERAGE(W638:OFFSET(W638,$B$8-1,0)))</f>
        <v>#DIV/0!</v>
      </c>
      <c r="AC638" s="34" t="e">
        <f t="shared" si="55"/>
        <v>#DIV/0!</v>
      </c>
      <c r="AD638" s="34" t="e">
        <f ca="1">SQRT($B$9*SUM(AC638:OFFSET(AC638,$B$5-1,0))/($B$5-1))</f>
        <v>#DIV/0!</v>
      </c>
      <c r="AE638" s="34" t="e">
        <f ca="1">SQRT($B$9*SUM(AC638:OFFSET(AC638,$B$6-1,0))/($B$6-1))</f>
        <v>#DIV/0!</v>
      </c>
      <c r="AF638" s="34" t="e">
        <f ca="1">SQRT($B$9*SUM(AC638:OFFSET(AC638,$B$7-1,0))/($B$7-1))</f>
        <v>#DIV/0!</v>
      </c>
      <c r="AG638" s="34" t="e">
        <f ca="1">SQRT($B$9*SUM(AC638:OFFSET(AC638,$B$8-1,0))/($B$8-1))</f>
        <v>#DIV/0!</v>
      </c>
      <c r="AI638" s="1" t="e">
        <f t="shared" si="56"/>
        <v>#DIV/0!</v>
      </c>
      <c r="AJ638" s="4" t="e">
        <f ca="1">SQRT($B$9)*_xlfn.STDEV.S(AI638:OFFSET(AI638,$B$5-1,0))</f>
        <v>#DIV/0!</v>
      </c>
      <c r="AK638" s="4" t="e">
        <f ca="1">SQRT($B$9)*_xlfn.STDEV.S(AI638:OFFSET(AI638,$B$6-1,0))</f>
        <v>#DIV/0!</v>
      </c>
      <c r="AL638" s="4" t="e">
        <f ca="1">SQRT($B$9)*_xlfn.STDEV.S(AI638:OFFSET(AI638,$B$7-1,0))</f>
        <v>#DIV/0!</v>
      </c>
      <c r="AM638" s="4" t="e">
        <f ca="1">SQRT($B$9)*_xlfn.STDEV.S(AI638:OFFSET(AI638,$B$8-1,0))</f>
        <v>#DIV/0!</v>
      </c>
    </row>
    <row r="639" spans="5:39" x14ac:dyDescent="0.2">
      <c r="E639" s="42">
        <v>44518</v>
      </c>
      <c r="F639" s="43"/>
      <c r="G639" s="43"/>
      <c r="H639" s="43"/>
      <c r="I639" s="43"/>
      <c r="K639" s="3" t="e">
        <f t="shared" si="54"/>
        <v>#DIV/0!</v>
      </c>
      <c r="L639" s="3" t="e">
        <f ca="1">SQRT(AVERAGE(K639:OFFSET(K639,$B$5-1,0))*$B$9/(4*LN(2)))</f>
        <v>#DIV/0!</v>
      </c>
      <c r="M639" s="3" t="e">
        <f ca="1">SQRT(AVERAGE(K639:OFFSET(K639,$B$6-1,0))*$B$9/(4*LN(2)))</f>
        <v>#DIV/0!</v>
      </c>
      <c r="N639" s="3" t="e">
        <f ca="1">SQRT(AVERAGE(K639:OFFSET(K639,$B$7-1,0))*$B$9/(4*LN(2)))</f>
        <v>#DIV/0!</v>
      </c>
      <c r="O639" s="3" t="e">
        <f ca="1">SQRT(AVERAGE(K639:OFFSET(K639,$B$8-1,0))*$B$9/(4*LN(2)))</f>
        <v>#DIV/0!</v>
      </c>
      <c r="Q639" s="5" t="e">
        <f t="shared" si="53"/>
        <v>#DIV/0!</v>
      </c>
      <c r="R639" s="5" t="e">
        <f ca="1">SQRT($B$9*AVERAGE((Q639:OFFSET(Q639,$B$5-1,0))))</f>
        <v>#DIV/0!</v>
      </c>
      <c r="S639" s="5" t="e">
        <f ca="1">SQRT($B$9*AVERAGE((Q639:OFFSET(Q639,$B$6-1,0))))</f>
        <v>#DIV/0!</v>
      </c>
      <c r="T639" s="5" t="e">
        <f ca="1">SQRT($B$9*AVERAGE((Q639:OFFSET(Q639,$B$7-1,0))))</f>
        <v>#DIV/0!</v>
      </c>
      <c r="U639" s="5" t="e">
        <f ca="1">SQRT($B$9*AVERAGE((Q639:OFFSET(Q639,$B$8-1,0))))</f>
        <v>#DIV/0!</v>
      </c>
      <c r="W639" s="6" t="e">
        <f t="shared" si="57"/>
        <v>#DIV/0!</v>
      </c>
      <c r="X639" s="6" t="e">
        <f ca="1">SQRT($B$9*AVERAGE(W639:OFFSET(W639,$B$5-1,0)))</f>
        <v>#DIV/0!</v>
      </c>
      <c r="Y639" s="6" t="e">
        <f ca="1">SQRT($B$9*AVERAGE(W639:OFFSET(W639,$B$6-1,0)))</f>
        <v>#DIV/0!</v>
      </c>
      <c r="Z639" s="6" t="e">
        <f ca="1">SQRT($B$9*AVERAGE(W639:OFFSET(W639,$B$7-1,0)))</f>
        <v>#DIV/0!</v>
      </c>
      <c r="AA639" s="6" t="e">
        <f ca="1">SQRT($B$9*AVERAGE(W639:OFFSET(W639,$B$8-1,0)))</f>
        <v>#DIV/0!</v>
      </c>
      <c r="AC639" s="34" t="e">
        <f t="shared" si="55"/>
        <v>#DIV/0!</v>
      </c>
      <c r="AD639" s="34" t="e">
        <f ca="1">SQRT($B$9*SUM(AC639:OFFSET(AC639,$B$5-1,0))/($B$5-1))</f>
        <v>#DIV/0!</v>
      </c>
      <c r="AE639" s="34" t="e">
        <f ca="1">SQRT($B$9*SUM(AC639:OFFSET(AC639,$B$6-1,0))/($B$6-1))</f>
        <v>#DIV/0!</v>
      </c>
      <c r="AF639" s="34" t="e">
        <f ca="1">SQRT($B$9*SUM(AC639:OFFSET(AC639,$B$7-1,0))/($B$7-1))</f>
        <v>#DIV/0!</v>
      </c>
      <c r="AG639" s="34" t="e">
        <f ca="1">SQRT($B$9*SUM(AC639:OFFSET(AC639,$B$8-1,0))/($B$8-1))</f>
        <v>#DIV/0!</v>
      </c>
      <c r="AI639" s="1" t="e">
        <f t="shared" si="56"/>
        <v>#DIV/0!</v>
      </c>
      <c r="AJ639" s="4" t="e">
        <f ca="1">SQRT($B$9)*_xlfn.STDEV.S(AI639:OFFSET(AI639,$B$5-1,0))</f>
        <v>#DIV/0!</v>
      </c>
      <c r="AK639" s="4" t="e">
        <f ca="1">SQRT($B$9)*_xlfn.STDEV.S(AI639:OFFSET(AI639,$B$6-1,0))</f>
        <v>#DIV/0!</v>
      </c>
      <c r="AL639" s="4" t="e">
        <f ca="1">SQRT($B$9)*_xlfn.STDEV.S(AI639:OFFSET(AI639,$B$7-1,0))</f>
        <v>#DIV/0!</v>
      </c>
      <c r="AM639" s="4" t="e">
        <f ca="1">SQRT($B$9)*_xlfn.STDEV.S(AI639:OFFSET(AI639,$B$8-1,0))</f>
        <v>#DIV/0!</v>
      </c>
    </row>
    <row r="640" spans="5:39" x14ac:dyDescent="0.2">
      <c r="E640" s="42">
        <v>44517</v>
      </c>
      <c r="F640" s="43"/>
      <c r="G640" s="43"/>
      <c r="H640" s="43"/>
      <c r="I640" s="43"/>
      <c r="K640" s="3" t="e">
        <f t="shared" si="54"/>
        <v>#DIV/0!</v>
      </c>
      <c r="L640" s="3" t="e">
        <f ca="1">SQRT(AVERAGE(K640:OFFSET(K640,$B$5-1,0))*$B$9/(4*LN(2)))</f>
        <v>#DIV/0!</v>
      </c>
      <c r="M640" s="3" t="e">
        <f ca="1">SQRT(AVERAGE(K640:OFFSET(K640,$B$6-1,0))*$B$9/(4*LN(2)))</f>
        <v>#DIV/0!</v>
      </c>
      <c r="N640" s="3" t="e">
        <f ca="1">SQRT(AVERAGE(K640:OFFSET(K640,$B$7-1,0))*$B$9/(4*LN(2)))</f>
        <v>#DIV/0!</v>
      </c>
      <c r="O640" s="3" t="e">
        <f ca="1">SQRT(AVERAGE(K640:OFFSET(K640,$B$8-1,0))*$B$9/(4*LN(2)))</f>
        <v>#DIV/0!</v>
      </c>
      <c r="Q640" s="5" t="e">
        <f t="shared" si="53"/>
        <v>#DIV/0!</v>
      </c>
      <c r="R640" s="5" t="e">
        <f ca="1">SQRT($B$9*AVERAGE((Q640:OFFSET(Q640,$B$5-1,0))))</f>
        <v>#DIV/0!</v>
      </c>
      <c r="S640" s="5" t="e">
        <f ca="1">SQRT($B$9*AVERAGE((Q640:OFFSET(Q640,$B$6-1,0))))</f>
        <v>#DIV/0!</v>
      </c>
      <c r="T640" s="5" t="e">
        <f ca="1">SQRT($B$9*AVERAGE((Q640:OFFSET(Q640,$B$7-1,0))))</f>
        <v>#DIV/0!</v>
      </c>
      <c r="U640" s="5" t="e">
        <f ca="1">SQRT($B$9*AVERAGE((Q640:OFFSET(Q640,$B$8-1,0))))</f>
        <v>#DIV/0!</v>
      </c>
      <c r="W640" s="6" t="e">
        <f t="shared" si="57"/>
        <v>#DIV/0!</v>
      </c>
      <c r="X640" s="6" t="e">
        <f ca="1">SQRT($B$9*AVERAGE(W640:OFFSET(W640,$B$5-1,0)))</f>
        <v>#DIV/0!</v>
      </c>
      <c r="Y640" s="6" t="e">
        <f ca="1">SQRT($B$9*AVERAGE(W640:OFFSET(W640,$B$6-1,0)))</f>
        <v>#DIV/0!</v>
      </c>
      <c r="Z640" s="6" t="e">
        <f ca="1">SQRT($B$9*AVERAGE(W640:OFFSET(W640,$B$7-1,0)))</f>
        <v>#DIV/0!</v>
      </c>
      <c r="AA640" s="6" t="e">
        <f ca="1">SQRT($B$9*AVERAGE(W640:OFFSET(W640,$B$8-1,0)))</f>
        <v>#DIV/0!</v>
      </c>
      <c r="AC640" s="34" t="e">
        <f t="shared" si="55"/>
        <v>#DIV/0!</v>
      </c>
      <c r="AD640" s="34" t="e">
        <f ca="1">SQRT($B$9*SUM(AC640:OFFSET(AC640,$B$5-1,0))/($B$5-1))</f>
        <v>#DIV/0!</v>
      </c>
      <c r="AE640" s="34" t="e">
        <f ca="1">SQRT($B$9*SUM(AC640:OFFSET(AC640,$B$6-1,0))/($B$6-1))</f>
        <v>#DIV/0!</v>
      </c>
      <c r="AF640" s="34" t="e">
        <f ca="1">SQRT($B$9*SUM(AC640:OFFSET(AC640,$B$7-1,0))/($B$7-1))</f>
        <v>#DIV/0!</v>
      </c>
      <c r="AG640" s="34" t="e">
        <f ca="1">SQRT($B$9*SUM(AC640:OFFSET(AC640,$B$8-1,0))/($B$8-1))</f>
        <v>#DIV/0!</v>
      </c>
      <c r="AI640" s="1" t="e">
        <f t="shared" si="56"/>
        <v>#DIV/0!</v>
      </c>
      <c r="AJ640" s="4" t="e">
        <f ca="1">SQRT($B$9)*_xlfn.STDEV.S(AI640:OFFSET(AI640,$B$5-1,0))</f>
        <v>#DIV/0!</v>
      </c>
      <c r="AK640" s="4" t="e">
        <f ca="1">SQRT($B$9)*_xlfn.STDEV.S(AI640:OFFSET(AI640,$B$6-1,0))</f>
        <v>#DIV/0!</v>
      </c>
      <c r="AL640" s="4" t="e">
        <f ca="1">SQRT($B$9)*_xlfn.STDEV.S(AI640:OFFSET(AI640,$B$7-1,0))</f>
        <v>#DIV/0!</v>
      </c>
      <c r="AM640" s="4" t="e">
        <f ca="1">SQRT($B$9)*_xlfn.STDEV.S(AI640:OFFSET(AI640,$B$8-1,0))</f>
        <v>#DIV/0!</v>
      </c>
    </row>
    <row r="641" spans="5:39" x14ac:dyDescent="0.2">
      <c r="E641" s="42">
        <v>44516</v>
      </c>
      <c r="F641" s="43"/>
      <c r="G641" s="43"/>
      <c r="H641" s="43"/>
      <c r="I641" s="43"/>
      <c r="K641" s="3" t="e">
        <f t="shared" si="54"/>
        <v>#DIV/0!</v>
      </c>
      <c r="L641" s="3" t="e">
        <f ca="1">SQRT(AVERAGE(K641:OFFSET(K641,$B$5-1,0))*$B$9/(4*LN(2)))</f>
        <v>#DIV/0!</v>
      </c>
      <c r="M641" s="3" t="e">
        <f ca="1">SQRT(AVERAGE(K641:OFFSET(K641,$B$6-1,0))*$B$9/(4*LN(2)))</f>
        <v>#DIV/0!</v>
      </c>
      <c r="N641" s="3" t="e">
        <f ca="1">SQRT(AVERAGE(K641:OFFSET(K641,$B$7-1,0))*$B$9/(4*LN(2)))</f>
        <v>#DIV/0!</v>
      </c>
      <c r="O641" s="3" t="e">
        <f ca="1">SQRT(AVERAGE(K641:OFFSET(K641,$B$8-1,0))*$B$9/(4*LN(2)))</f>
        <v>#DIV/0!</v>
      </c>
      <c r="Q641" s="5" t="e">
        <f t="shared" si="53"/>
        <v>#DIV/0!</v>
      </c>
      <c r="R641" s="5" t="e">
        <f ca="1">SQRT($B$9*AVERAGE((Q641:OFFSET(Q641,$B$5-1,0))))</f>
        <v>#DIV/0!</v>
      </c>
      <c r="S641" s="5" t="e">
        <f ca="1">SQRT($B$9*AVERAGE((Q641:OFFSET(Q641,$B$6-1,0))))</f>
        <v>#DIV/0!</v>
      </c>
      <c r="T641" s="5" t="e">
        <f ca="1">SQRT($B$9*AVERAGE((Q641:OFFSET(Q641,$B$7-1,0))))</f>
        <v>#DIV/0!</v>
      </c>
      <c r="U641" s="5" t="e">
        <f ca="1">SQRT($B$9*AVERAGE((Q641:OFFSET(Q641,$B$8-1,0))))</f>
        <v>#DIV/0!</v>
      </c>
      <c r="W641" s="6" t="e">
        <f t="shared" si="57"/>
        <v>#DIV/0!</v>
      </c>
      <c r="X641" s="6" t="e">
        <f ca="1">SQRT($B$9*AVERAGE(W641:OFFSET(W641,$B$5-1,0)))</f>
        <v>#DIV/0!</v>
      </c>
      <c r="Y641" s="6" t="e">
        <f ca="1">SQRT($B$9*AVERAGE(W641:OFFSET(W641,$B$6-1,0)))</f>
        <v>#DIV/0!</v>
      </c>
      <c r="Z641" s="6" t="e">
        <f ca="1">SQRT($B$9*AVERAGE(W641:OFFSET(W641,$B$7-1,0)))</f>
        <v>#DIV/0!</v>
      </c>
      <c r="AA641" s="6" t="e">
        <f ca="1">SQRT($B$9*AVERAGE(W641:OFFSET(W641,$B$8-1,0)))</f>
        <v>#DIV/0!</v>
      </c>
      <c r="AC641" s="34" t="e">
        <f t="shared" si="55"/>
        <v>#DIV/0!</v>
      </c>
      <c r="AD641" s="34" t="e">
        <f ca="1">SQRT($B$9*SUM(AC641:OFFSET(AC641,$B$5-1,0))/($B$5-1))</f>
        <v>#DIV/0!</v>
      </c>
      <c r="AE641" s="34" t="e">
        <f ca="1">SQRT($B$9*SUM(AC641:OFFSET(AC641,$B$6-1,0))/($B$6-1))</f>
        <v>#DIV/0!</v>
      </c>
      <c r="AF641" s="34" t="e">
        <f ca="1">SQRT($B$9*SUM(AC641:OFFSET(AC641,$B$7-1,0))/($B$7-1))</f>
        <v>#DIV/0!</v>
      </c>
      <c r="AG641" s="34" t="e">
        <f ca="1">SQRT($B$9*SUM(AC641:OFFSET(AC641,$B$8-1,0))/($B$8-1))</f>
        <v>#DIV/0!</v>
      </c>
      <c r="AI641" s="1" t="e">
        <f t="shared" si="56"/>
        <v>#DIV/0!</v>
      </c>
      <c r="AJ641" s="4" t="e">
        <f ca="1">SQRT($B$9)*_xlfn.STDEV.S(AI641:OFFSET(AI641,$B$5-1,0))</f>
        <v>#DIV/0!</v>
      </c>
      <c r="AK641" s="4" t="e">
        <f ca="1">SQRT($B$9)*_xlfn.STDEV.S(AI641:OFFSET(AI641,$B$6-1,0))</f>
        <v>#DIV/0!</v>
      </c>
      <c r="AL641" s="4" t="e">
        <f ca="1">SQRT($B$9)*_xlfn.STDEV.S(AI641:OFFSET(AI641,$B$7-1,0))</f>
        <v>#DIV/0!</v>
      </c>
      <c r="AM641" s="4" t="e">
        <f ca="1">SQRT($B$9)*_xlfn.STDEV.S(AI641:OFFSET(AI641,$B$8-1,0))</f>
        <v>#DIV/0!</v>
      </c>
    </row>
    <row r="642" spans="5:39" x14ac:dyDescent="0.2">
      <c r="E642" s="42">
        <v>44515</v>
      </c>
      <c r="F642" s="43"/>
      <c r="G642" s="43"/>
      <c r="H642" s="43"/>
      <c r="I642" s="43"/>
      <c r="K642" s="3" t="e">
        <f t="shared" si="54"/>
        <v>#DIV/0!</v>
      </c>
      <c r="L642" s="3" t="e">
        <f ca="1">SQRT(AVERAGE(K642:OFFSET(K642,$B$5-1,0))*$B$9/(4*LN(2)))</f>
        <v>#DIV/0!</v>
      </c>
      <c r="M642" s="3" t="e">
        <f ca="1">SQRT(AVERAGE(K642:OFFSET(K642,$B$6-1,0))*$B$9/(4*LN(2)))</f>
        <v>#DIV/0!</v>
      </c>
      <c r="N642" s="3" t="e">
        <f ca="1">SQRT(AVERAGE(K642:OFFSET(K642,$B$7-1,0))*$B$9/(4*LN(2)))</f>
        <v>#DIV/0!</v>
      </c>
      <c r="O642" s="3" t="e">
        <f ca="1">SQRT(AVERAGE(K642:OFFSET(K642,$B$8-1,0))*$B$9/(4*LN(2)))</f>
        <v>#DIV/0!</v>
      </c>
      <c r="Q642" s="5" t="e">
        <f t="shared" si="53"/>
        <v>#DIV/0!</v>
      </c>
      <c r="R642" s="5" t="e">
        <f ca="1">SQRT($B$9*AVERAGE((Q642:OFFSET(Q642,$B$5-1,0))))</f>
        <v>#DIV/0!</v>
      </c>
      <c r="S642" s="5" t="e">
        <f ca="1">SQRT($B$9*AVERAGE((Q642:OFFSET(Q642,$B$6-1,0))))</f>
        <v>#DIV/0!</v>
      </c>
      <c r="T642" s="5" t="e">
        <f ca="1">SQRT($B$9*AVERAGE((Q642:OFFSET(Q642,$B$7-1,0))))</f>
        <v>#DIV/0!</v>
      </c>
      <c r="U642" s="5" t="e">
        <f ca="1">SQRT($B$9*AVERAGE((Q642:OFFSET(Q642,$B$8-1,0))))</f>
        <v>#DIV/0!</v>
      </c>
      <c r="W642" s="6" t="e">
        <f t="shared" si="57"/>
        <v>#DIV/0!</v>
      </c>
      <c r="X642" s="6" t="e">
        <f ca="1">SQRT($B$9*AVERAGE(W642:OFFSET(W642,$B$5-1,0)))</f>
        <v>#DIV/0!</v>
      </c>
      <c r="Y642" s="6" t="e">
        <f ca="1">SQRT($B$9*AVERAGE(W642:OFFSET(W642,$B$6-1,0)))</f>
        <v>#DIV/0!</v>
      </c>
      <c r="Z642" s="6" t="e">
        <f ca="1">SQRT($B$9*AVERAGE(W642:OFFSET(W642,$B$7-1,0)))</f>
        <v>#DIV/0!</v>
      </c>
      <c r="AA642" s="6" t="e">
        <f ca="1">SQRT($B$9*AVERAGE(W642:OFFSET(W642,$B$8-1,0)))</f>
        <v>#DIV/0!</v>
      </c>
      <c r="AC642" s="34" t="e">
        <f t="shared" si="55"/>
        <v>#DIV/0!</v>
      </c>
      <c r="AD642" s="34" t="e">
        <f ca="1">SQRT($B$9*SUM(AC642:OFFSET(AC642,$B$5-1,0))/($B$5-1))</f>
        <v>#DIV/0!</v>
      </c>
      <c r="AE642" s="34" t="e">
        <f ca="1">SQRT($B$9*SUM(AC642:OFFSET(AC642,$B$6-1,0))/($B$6-1))</f>
        <v>#DIV/0!</v>
      </c>
      <c r="AF642" s="34" t="e">
        <f ca="1">SQRT($B$9*SUM(AC642:OFFSET(AC642,$B$7-1,0))/($B$7-1))</f>
        <v>#DIV/0!</v>
      </c>
      <c r="AG642" s="34" t="e">
        <f ca="1">SQRT($B$9*SUM(AC642:OFFSET(AC642,$B$8-1,0))/($B$8-1))</f>
        <v>#DIV/0!</v>
      </c>
      <c r="AI642" s="1" t="e">
        <f t="shared" si="56"/>
        <v>#DIV/0!</v>
      </c>
      <c r="AJ642" s="4" t="e">
        <f ca="1">SQRT($B$9)*_xlfn.STDEV.S(AI642:OFFSET(AI642,$B$5-1,0))</f>
        <v>#DIV/0!</v>
      </c>
      <c r="AK642" s="4" t="e">
        <f ca="1">SQRT($B$9)*_xlfn.STDEV.S(AI642:OFFSET(AI642,$B$6-1,0))</f>
        <v>#DIV/0!</v>
      </c>
      <c r="AL642" s="4" t="e">
        <f ca="1">SQRT($B$9)*_xlfn.STDEV.S(AI642:OFFSET(AI642,$B$7-1,0))</f>
        <v>#DIV/0!</v>
      </c>
      <c r="AM642" s="4" t="e">
        <f ca="1">SQRT($B$9)*_xlfn.STDEV.S(AI642:OFFSET(AI642,$B$8-1,0))</f>
        <v>#DIV/0!</v>
      </c>
    </row>
    <row r="643" spans="5:39" x14ac:dyDescent="0.2">
      <c r="E643" s="42">
        <v>44512</v>
      </c>
      <c r="F643" s="43"/>
      <c r="G643" s="43"/>
      <c r="H643" s="43"/>
      <c r="I643" s="43"/>
      <c r="K643" s="3" t="e">
        <f t="shared" si="54"/>
        <v>#DIV/0!</v>
      </c>
      <c r="L643" s="3" t="e">
        <f ca="1">SQRT(AVERAGE(K643:OFFSET(K643,$B$5-1,0))*$B$9/(4*LN(2)))</f>
        <v>#DIV/0!</v>
      </c>
      <c r="M643" s="3" t="e">
        <f ca="1">SQRT(AVERAGE(K643:OFFSET(K643,$B$6-1,0))*$B$9/(4*LN(2)))</f>
        <v>#DIV/0!</v>
      </c>
      <c r="N643" s="3" t="e">
        <f ca="1">SQRT(AVERAGE(K643:OFFSET(K643,$B$7-1,0))*$B$9/(4*LN(2)))</f>
        <v>#DIV/0!</v>
      </c>
      <c r="O643" s="3" t="e">
        <f ca="1">SQRT(AVERAGE(K643:OFFSET(K643,$B$8-1,0))*$B$9/(4*LN(2)))</f>
        <v>#DIV/0!</v>
      </c>
      <c r="Q643" s="5" t="e">
        <f t="shared" si="53"/>
        <v>#DIV/0!</v>
      </c>
      <c r="R643" s="5" t="e">
        <f ca="1">SQRT($B$9*AVERAGE((Q643:OFFSET(Q643,$B$5-1,0))))</f>
        <v>#DIV/0!</v>
      </c>
      <c r="S643" s="5" t="e">
        <f ca="1">SQRT($B$9*AVERAGE((Q643:OFFSET(Q643,$B$6-1,0))))</f>
        <v>#DIV/0!</v>
      </c>
      <c r="T643" s="5" t="e">
        <f ca="1">SQRT($B$9*AVERAGE((Q643:OFFSET(Q643,$B$7-1,0))))</f>
        <v>#DIV/0!</v>
      </c>
      <c r="U643" s="5" t="e">
        <f ca="1">SQRT($B$9*AVERAGE((Q643:OFFSET(Q643,$B$8-1,0))))</f>
        <v>#DIV/0!</v>
      </c>
      <c r="W643" s="6" t="e">
        <f t="shared" si="57"/>
        <v>#DIV/0!</v>
      </c>
      <c r="X643" s="6" t="e">
        <f ca="1">SQRT($B$9*AVERAGE(W643:OFFSET(W643,$B$5-1,0)))</f>
        <v>#DIV/0!</v>
      </c>
      <c r="Y643" s="6" t="e">
        <f ca="1">SQRT($B$9*AVERAGE(W643:OFFSET(W643,$B$6-1,0)))</f>
        <v>#DIV/0!</v>
      </c>
      <c r="Z643" s="6" t="e">
        <f ca="1">SQRT($B$9*AVERAGE(W643:OFFSET(W643,$B$7-1,0)))</f>
        <v>#DIV/0!</v>
      </c>
      <c r="AA643" s="6" t="e">
        <f ca="1">SQRT($B$9*AVERAGE(W643:OFFSET(W643,$B$8-1,0)))</f>
        <v>#DIV/0!</v>
      </c>
      <c r="AC643" s="34" t="e">
        <f t="shared" si="55"/>
        <v>#DIV/0!</v>
      </c>
      <c r="AD643" s="34" t="e">
        <f ca="1">SQRT($B$9*SUM(AC643:OFFSET(AC643,$B$5-1,0))/($B$5-1))</f>
        <v>#DIV/0!</v>
      </c>
      <c r="AE643" s="34" t="e">
        <f ca="1">SQRT($B$9*SUM(AC643:OFFSET(AC643,$B$6-1,0))/($B$6-1))</f>
        <v>#DIV/0!</v>
      </c>
      <c r="AF643" s="34" t="e">
        <f ca="1">SQRT($B$9*SUM(AC643:OFFSET(AC643,$B$7-1,0))/($B$7-1))</f>
        <v>#DIV/0!</v>
      </c>
      <c r="AG643" s="34" t="e">
        <f ca="1">SQRT($B$9*SUM(AC643:OFFSET(AC643,$B$8-1,0))/($B$8-1))</f>
        <v>#DIV/0!</v>
      </c>
      <c r="AI643" s="1" t="e">
        <f t="shared" si="56"/>
        <v>#DIV/0!</v>
      </c>
      <c r="AJ643" s="4" t="e">
        <f ca="1">SQRT($B$9)*_xlfn.STDEV.S(AI643:OFFSET(AI643,$B$5-1,0))</f>
        <v>#DIV/0!</v>
      </c>
      <c r="AK643" s="4" t="e">
        <f ca="1">SQRT($B$9)*_xlfn.STDEV.S(AI643:OFFSET(AI643,$B$6-1,0))</f>
        <v>#DIV/0!</v>
      </c>
      <c r="AL643" s="4" t="e">
        <f ca="1">SQRT($B$9)*_xlfn.STDEV.S(AI643:OFFSET(AI643,$B$7-1,0))</f>
        <v>#DIV/0!</v>
      </c>
      <c r="AM643" s="4" t="e">
        <f ca="1">SQRT($B$9)*_xlfn.STDEV.S(AI643:OFFSET(AI643,$B$8-1,0))</f>
        <v>#DIV/0!</v>
      </c>
    </row>
    <row r="644" spans="5:39" x14ac:dyDescent="0.2">
      <c r="E644" s="42">
        <v>44511</v>
      </c>
      <c r="F644" s="43"/>
      <c r="G644" s="43"/>
      <c r="H644" s="43"/>
      <c r="I644" s="43"/>
      <c r="K644" s="3" t="e">
        <f t="shared" si="54"/>
        <v>#DIV/0!</v>
      </c>
      <c r="L644" s="3" t="e">
        <f ca="1">SQRT(AVERAGE(K644:OFFSET(K644,$B$5-1,0))*$B$9/(4*LN(2)))</f>
        <v>#DIV/0!</v>
      </c>
      <c r="M644" s="3" t="e">
        <f ca="1">SQRT(AVERAGE(K644:OFFSET(K644,$B$6-1,0))*$B$9/(4*LN(2)))</f>
        <v>#DIV/0!</v>
      </c>
      <c r="N644" s="3" t="e">
        <f ca="1">SQRT(AVERAGE(K644:OFFSET(K644,$B$7-1,0))*$B$9/(4*LN(2)))</f>
        <v>#DIV/0!</v>
      </c>
      <c r="O644" s="3" t="e">
        <f ca="1">SQRT(AVERAGE(K644:OFFSET(K644,$B$8-1,0))*$B$9/(4*LN(2)))</f>
        <v>#DIV/0!</v>
      </c>
      <c r="Q644" s="5" t="e">
        <f t="shared" si="53"/>
        <v>#DIV/0!</v>
      </c>
      <c r="R644" s="5" t="e">
        <f ca="1">SQRT($B$9*AVERAGE((Q644:OFFSET(Q644,$B$5-1,0))))</f>
        <v>#DIV/0!</v>
      </c>
      <c r="S644" s="5" t="e">
        <f ca="1">SQRT($B$9*AVERAGE((Q644:OFFSET(Q644,$B$6-1,0))))</f>
        <v>#DIV/0!</v>
      </c>
      <c r="T644" s="5" t="e">
        <f ca="1">SQRT($B$9*AVERAGE((Q644:OFFSET(Q644,$B$7-1,0))))</f>
        <v>#DIV/0!</v>
      </c>
      <c r="U644" s="5" t="e">
        <f ca="1">SQRT($B$9*AVERAGE((Q644:OFFSET(Q644,$B$8-1,0))))</f>
        <v>#DIV/0!</v>
      </c>
      <c r="W644" s="6" t="e">
        <f t="shared" si="57"/>
        <v>#DIV/0!</v>
      </c>
      <c r="X644" s="6" t="e">
        <f ca="1">SQRT($B$9*AVERAGE(W644:OFFSET(W644,$B$5-1,0)))</f>
        <v>#DIV/0!</v>
      </c>
      <c r="Y644" s="6" t="e">
        <f ca="1">SQRT($B$9*AVERAGE(W644:OFFSET(W644,$B$6-1,0)))</f>
        <v>#DIV/0!</v>
      </c>
      <c r="Z644" s="6" t="e">
        <f ca="1">SQRT($B$9*AVERAGE(W644:OFFSET(W644,$B$7-1,0)))</f>
        <v>#DIV/0!</v>
      </c>
      <c r="AA644" s="6" t="e">
        <f ca="1">SQRT($B$9*AVERAGE(W644:OFFSET(W644,$B$8-1,0)))</f>
        <v>#DIV/0!</v>
      </c>
      <c r="AC644" s="34" t="e">
        <f t="shared" si="55"/>
        <v>#DIV/0!</v>
      </c>
      <c r="AD644" s="34" t="e">
        <f ca="1">SQRT($B$9*SUM(AC644:OFFSET(AC644,$B$5-1,0))/($B$5-1))</f>
        <v>#DIV/0!</v>
      </c>
      <c r="AE644" s="34" t="e">
        <f ca="1">SQRT($B$9*SUM(AC644:OFFSET(AC644,$B$6-1,0))/($B$6-1))</f>
        <v>#DIV/0!</v>
      </c>
      <c r="AF644" s="34" t="e">
        <f ca="1">SQRT($B$9*SUM(AC644:OFFSET(AC644,$B$7-1,0))/($B$7-1))</f>
        <v>#DIV/0!</v>
      </c>
      <c r="AG644" s="34" t="e">
        <f ca="1">SQRT($B$9*SUM(AC644:OFFSET(AC644,$B$8-1,0))/($B$8-1))</f>
        <v>#DIV/0!</v>
      </c>
      <c r="AI644" s="1" t="e">
        <f t="shared" si="56"/>
        <v>#DIV/0!</v>
      </c>
      <c r="AJ644" s="4" t="e">
        <f ca="1">SQRT($B$9)*_xlfn.STDEV.S(AI644:OFFSET(AI644,$B$5-1,0))</f>
        <v>#DIV/0!</v>
      </c>
      <c r="AK644" s="4" t="e">
        <f ca="1">SQRT($B$9)*_xlfn.STDEV.S(AI644:OFFSET(AI644,$B$6-1,0))</f>
        <v>#DIV/0!</v>
      </c>
      <c r="AL644" s="4" t="e">
        <f ca="1">SQRT($B$9)*_xlfn.STDEV.S(AI644:OFFSET(AI644,$B$7-1,0))</f>
        <v>#DIV/0!</v>
      </c>
      <c r="AM644" s="4" t="e">
        <f ca="1">SQRT($B$9)*_xlfn.STDEV.S(AI644:OFFSET(AI644,$B$8-1,0))</f>
        <v>#DIV/0!</v>
      </c>
    </row>
    <row r="645" spans="5:39" x14ac:dyDescent="0.2">
      <c r="E645" s="42">
        <v>44510</v>
      </c>
      <c r="F645" s="43"/>
      <c r="G645" s="43"/>
      <c r="H645" s="43"/>
      <c r="I645" s="43"/>
      <c r="K645" s="3" t="e">
        <f t="shared" si="54"/>
        <v>#DIV/0!</v>
      </c>
      <c r="L645" s="3" t="e">
        <f ca="1">SQRT(AVERAGE(K645:OFFSET(K645,$B$5-1,0))*$B$9/(4*LN(2)))</f>
        <v>#DIV/0!</v>
      </c>
      <c r="M645" s="3" t="e">
        <f ca="1">SQRT(AVERAGE(K645:OFFSET(K645,$B$6-1,0))*$B$9/(4*LN(2)))</f>
        <v>#DIV/0!</v>
      </c>
      <c r="N645" s="3" t="e">
        <f ca="1">SQRT(AVERAGE(K645:OFFSET(K645,$B$7-1,0))*$B$9/(4*LN(2)))</f>
        <v>#DIV/0!</v>
      </c>
      <c r="O645" s="3" t="e">
        <f ca="1">SQRT(AVERAGE(K645:OFFSET(K645,$B$8-1,0))*$B$9/(4*LN(2)))</f>
        <v>#DIV/0!</v>
      </c>
      <c r="Q645" s="5" t="e">
        <f t="shared" ref="Q645:Q708" si="58">0.511*(LN(G645/H645))^2-0.019*(LN(I645/F645)*LN(G645*H645/F645^2)-2*LN(G645/F645)*LN(H645/F645))-0.383*(LN(I645/F645))^2</f>
        <v>#DIV/0!</v>
      </c>
      <c r="R645" s="5" t="e">
        <f ca="1">SQRT($B$9*AVERAGE((Q645:OFFSET(Q645,$B$5-1,0))))</f>
        <v>#DIV/0!</v>
      </c>
      <c r="S645" s="5" t="e">
        <f ca="1">SQRT($B$9*AVERAGE((Q645:OFFSET(Q645,$B$6-1,0))))</f>
        <v>#DIV/0!</v>
      </c>
      <c r="T645" s="5" t="e">
        <f ca="1">SQRT($B$9*AVERAGE((Q645:OFFSET(Q645,$B$7-1,0))))</f>
        <v>#DIV/0!</v>
      </c>
      <c r="U645" s="5" t="e">
        <f ca="1">SQRT($B$9*AVERAGE((Q645:OFFSET(Q645,$B$8-1,0))))</f>
        <v>#DIV/0!</v>
      </c>
      <c r="W645" s="6" t="e">
        <f t="shared" si="57"/>
        <v>#DIV/0!</v>
      </c>
      <c r="X645" s="6" t="e">
        <f ca="1">SQRT($B$9*AVERAGE(W645:OFFSET(W645,$B$5-1,0)))</f>
        <v>#DIV/0!</v>
      </c>
      <c r="Y645" s="6" t="e">
        <f ca="1">SQRT($B$9*AVERAGE(W645:OFFSET(W645,$B$6-1,0)))</f>
        <v>#DIV/0!</v>
      </c>
      <c r="Z645" s="6" t="e">
        <f ca="1">SQRT($B$9*AVERAGE(W645:OFFSET(W645,$B$7-1,0)))</f>
        <v>#DIV/0!</v>
      </c>
      <c r="AA645" s="6" t="e">
        <f ca="1">SQRT($B$9*AVERAGE(W645:OFFSET(W645,$B$8-1,0)))</f>
        <v>#DIV/0!</v>
      </c>
      <c r="AC645" s="34" t="e">
        <f t="shared" si="55"/>
        <v>#DIV/0!</v>
      </c>
      <c r="AD645" s="34" t="e">
        <f ca="1">SQRT($B$9*SUM(AC645:OFFSET(AC645,$B$5-1,0))/($B$5-1))</f>
        <v>#DIV/0!</v>
      </c>
      <c r="AE645" s="34" t="e">
        <f ca="1">SQRT($B$9*SUM(AC645:OFFSET(AC645,$B$6-1,0))/($B$6-1))</f>
        <v>#DIV/0!</v>
      </c>
      <c r="AF645" s="34" t="e">
        <f ca="1">SQRT($B$9*SUM(AC645:OFFSET(AC645,$B$7-1,0))/($B$7-1))</f>
        <v>#DIV/0!</v>
      </c>
      <c r="AG645" s="34" t="e">
        <f ca="1">SQRT($B$9*SUM(AC645:OFFSET(AC645,$B$8-1,0))/($B$8-1))</f>
        <v>#DIV/0!</v>
      </c>
      <c r="AI645" s="1" t="e">
        <f t="shared" si="56"/>
        <v>#DIV/0!</v>
      </c>
      <c r="AJ645" s="4" t="e">
        <f ca="1">SQRT($B$9)*_xlfn.STDEV.S(AI645:OFFSET(AI645,$B$5-1,0))</f>
        <v>#DIV/0!</v>
      </c>
      <c r="AK645" s="4" t="e">
        <f ca="1">SQRT($B$9)*_xlfn.STDEV.S(AI645:OFFSET(AI645,$B$6-1,0))</f>
        <v>#DIV/0!</v>
      </c>
      <c r="AL645" s="4" t="e">
        <f ca="1">SQRT($B$9)*_xlfn.STDEV.S(AI645:OFFSET(AI645,$B$7-1,0))</f>
        <v>#DIV/0!</v>
      </c>
      <c r="AM645" s="4" t="e">
        <f ca="1">SQRT($B$9)*_xlfn.STDEV.S(AI645:OFFSET(AI645,$B$8-1,0))</f>
        <v>#DIV/0!</v>
      </c>
    </row>
    <row r="646" spans="5:39" x14ac:dyDescent="0.2">
      <c r="E646" s="42">
        <v>44509</v>
      </c>
      <c r="F646" s="43"/>
      <c r="G646" s="43"/>
      <c r="H646" s="43"/>
      <c r="I646" s="43"/>
      <c r="K646" s="3" t="e">
        <f t="shared" ref="K646:K709" si="59">(LN(G646/H646))^2</f>
        <v>#DIV/0!</v>
      </c>
      <c r="L646" s="3" t="e">
        <f ca="1">SQRT(AVERAGE(K646:OFFSET(K646,$B$5-1,0))*$B$9/(4*LN(2)))</f>
        <v>#DIV/0!</v>
      </c>
      <c r="M646" s="3" t="e">
        <f ca="1">SQRT(AVERAGE(K646:OFFSET(K646,$B$6-1,0))*$B$9/(4*LN(2)))</f>
        <v>#DIV/0!</v>
      </c>
      <c r="N646" s="3" t="e">
        <f ca="1">SQRT(AVERAGE(K646:OFFSET(K646,$B$7-1,0))*$B$9/(4*LN(2)))</f>
        <v>#DIV/0!</v>
      </c>
      <c r="O646" s="3" t="e">
        <f ca="1">SQRT(AVERAGE(K646:OFFSET(K646,$B$8-1,0))*$B$9/(4*LN(2)))</f>
        <v>#DIV/0!</v>
      </c>
      <c r="Q646" s="5" t="e">
        <f t="shared" si="58"/>
        <v>#DIV/0!</v>
      </c>
      <c r="R646" s="5" t="e">
        <f ca="1">SQRT($B$9*AVERAGE((Q646:OFFSET(Q646,$B$5-1,0))))</f>
        <v>#DIV/0!</v>
      </c>
      <c r="S646" s="5" t="e">
        <f ca="1">SQRT($B$9*AVERAGE((Q646:OFFSET(Q646,$B$6-1,0))))</f>
        <v>#DIV/0!</v>
      </c>
      <c r="T646" s="5" t="e">
        <f ca="1">SQRT($B$9*AVERAGE((Q646:OFFSET(Q646,$B$7-1,0))))</f>
        <v>#DIV/0!</v>
      </c>
      <c r="U646" s="5" t="e">
        <f ca="1">SQRT($B$9*AVERAGE((Q646:OFFSET(Q646,$B$8-1,0))))</f>
        <v>#DIV/0!</v>
      </c>
      <c r="W646" s="6" t="e">
        <f t="shared" si="57"/>
        <v>#DIV/0!</v>
      </c>
      <c r="X646" s="6" t="e">
        <f ca="1">SQRT($B$9*AVERAGE(W646:OFFSET(W646,$B$5-1,0)))</f>
        <v>#DIV/0!</v>
      </c>
      <c r="Y646" s="6" t="e">
        <f ca="1">SQRT($B$9*AVERAGE(W646:OFFSET(W646,$B$6-1,0)))</f>
        <v>#DIV/0!</v>
      </c>
      <c r="Z646" s="6" t="e">
        <f ca="1">SQRT($B$9*AVERAGE(W646:OFFSET(W646,$B$7-1,0)))</f>
        <v>#DIV/0!</v>
      </c>
      <c r="AA646" s="6" t="e">
        <f ca="1">SQRT($B$9*AVERAGE(W646:OFFSET(W646,$B$8-1,0)))</f>
        <v>#DIV/0!</v>
      </c>
      <c r="AC646" s="34" t="e">
        <f t="shared" si="55"/>
        <v>#DIV/0!</v>
      </c>
      <c r="AD646" s="34" t="e">
        <f ca="1">SQRT($B$9*SUM(AC646:OFFSET(AC646,$B$5-1,0))/($B$5-1))</f>
        <v>#DIV/0!</v>
      </c>
      <c r="AE646" s="34" t="e">
        <f ca="1">SQRT($B$9*SUM(AC646:OFFSET(AC646,$B$6-1,0))/($B$6-1))</f>
        <v>#DIV/0!</v>
      </c>
      <c r="AF646" s="34" t="e">
        <f ca="1">SQRT($B$9*SUM(AC646:OFFSET(AC646,$B$7-1,0))/($B$7-1))</f>
        <v>#DIV/0!</v>
      </c>
      <c r="AG646" s="34" t="e">
        <f ca="1">SQRT($B$9*SUM(AC646:OFFSET(AC646,$B$8-1,0))/($B$8-1))</f>
        <v>#DIV/0!</v>
      </c>
      <c r="AI646" s="1" t="e">
        <f t="shared" si="56"/>
        <v>#DIV/0!</v>
      </c>
      <c r="AJ646" s="4" t="e">
        <f ca="1">SQRT($B$9)*_xlfn.STDEV.S(AI646:OFFSET(AI646,$B$5-1,0))</f>
        <v>#DIV/0!</v>
      </c>
      <c r="AK646" s="4" t="e">
        <f ca="1">SQRT($B$9)*_xlfn.STDEV.S(AI646:OFFSET(AI646,$B$6-1,0))</f>
        <v>#DIV/0!</v>
      </c>
      <c r="AL646" s="4" t="e">
        <f ca="1">SQRT($B$9)*_xlfn.STDEV.S(AI646:OFFSET(AI646,$B$7-1,0))</f>
        <v>#DIV/0!</v>
      </c>
      <c r="AM646" s="4" t="e">
        <f ca="1">SQRT($B$9)*_xlfn.STDEV.S(AI646:OFFSET(AI646,$B$8-1,0))</f>
        <v>#DIV/0!</v>
      </c>
    </row>
    <row r="647" spans="5:39" x14ac:dyDescent="0.2">
      <c r="E647" s="42">
        <v>44508</v>
      </c>
      <c r="F647" s="43"/>
      <c r="G647" s="43"/>
      <c r="H647" s="43"/>
      <c r="I647" s="43"/>
      <c r="K647" s="3" t="e">
        <f t="shared" si="59"/>
        <v>#DIV/0!</v>
      </c>
      <c r="L647" s="3" t="e">
        <f ca="1">SQRT(AVERAGE(K647:OFFSET(K647,$B$5-1,0))*$B$9/(4*LN(2)))</f>
        <v>#DIV/0!</v>
      </c>
      <c r="M647" s="3" t="e">
        <f ca="1">SQRT(AVERAGE(K647:OFFSET(K647,$B$6-1,0))*$B$9/(4*LN(2)))</f>
        <v>#DIV/0!</v>
      </c>
      <c r="N647" s="3" t="e">
        <f ca="1">SQRT(AVERAGE(K647:OFFSET(K647,$B$7-1,0))*$B$9/(4*LN(2)))</f>
        <v>#DIV/0!</v>
      </c>
      <c r="O647" s="3" t="e">
        <f ca="1">SQRT(AVERAGE(K647:OFFSET(K647,$B$8-1,0))*$B$9/(4*LN(2)))</f>
        <v>#DIV/0!</v>
      </c>
      <c r="Q647" s="5" t="e">
        <f t="shared" si="58"/>
        <v>#DIV/0!</v>
      </c>
      <c r="R647" s="5" t="e">
        <f ca="1">SQRT($B$9*AVERAGE((Q647:OFFSET(Q647,$B$5-1,0))))</f>
        <v>#DIV/0!</v>
      </c>
      <c r="S647" s="5" t="e">
        <f ca="1">SQRT($B$9*AVERAGE((Q647:OFFSET(Q647,$B$6-1,0))))</f>
        <v>#DIV/0!</v>
      </c>
      <c r="T647" s="5" t="e">
        <f ca="1">SQRT($B$9*AVERAGE((Q647:OFFSET(Q647,$B$7-1,0))))</f>
        <v>#DIV/0!</v>
      </c>
      <c r="U647" s="5" t="e">
        <f ca="1">SQRT($B$9*AVERAGE((Q647:OFFSET(Q647,$B$8-1,0))))</f>
        <v>#DIV/0!</v>
      </c>
      <c r="W647" s="6" t="e">
        <f t="shared" si="57"/>
        <v>#DIV/0!</v>
      </c>
      <c r="X647" s="6" t="e">
        <f ca="1">SQRT($B$9*AVERAGE(W647:OFFSET(W647,$B$5-1,0)))</f>
        <v>#DIV/0!</v>
      </c>
      <c r="Y647" s="6" t="e">
        <f ca="1">SQRT($B$9*AVERAGE(W647:OFFSET(W647,$B$6-1,0)))</f>
        <v>#DIV/0!</v>
      </c>
      <c r="Z647" s="6" t="e">
        <f ca="1">SQRT($B$9*AVERAGE(W647:OFFSET(W647,$B$7-1,0)))</f>
        <v>#DIV/0!</v>
      </c>
      <c r="AA647" s="6" t="e">
        <f ca="1">SQRT($B$9*AVERAGE(W647:OFFSET(W647,$B$8-1,0)))</f>
        <v>#DIV/0!</v>
      </c>
      <c r="AC647" s="34" t="e">
        <f t="shared" si="55"/>
        <v>#DIV/0!</v>
      </c>
      <c r="AD647" s="34" t="e">
        <f ca="1">SQRT($B$9*SUM(AC647:OFFSET(AC647,$B$5-1,0))/($B$5-1))</f>
        <v>#DIV/0!</v>
      </c>
      <c r="AE647" s="34" t="e">
        <f ca="1">SQRT($B$9*SUM(AC647:OFFSET(AC647,$B$6-1,0))/($B$6-1))</f>
        <v>#DIV/0!</v>
      </c>
      <c r="AF647" s="34" t="e">
        <f ca="1">SQRT($B$9*SUM(AC647:OFFSET(AC647,$B$7-1,0))/($B$7-1))</f>
        <v>#DIV/0!</v>
      </c>
      <c r="AG647" s="34" t="e">
        <f ca="1">SQRT($B$9*SUM(AC647:OFFSET(AC647,$B$8-1,0))/($B$8-1))</f>
        <v>#DIV/0!</v>
      </c>
      <c r="AI647" s="1" t="e">
        <f t="shared" si="56"/>
        <v>#DIV/0!</v>
      </c>
      <c r="AJ647" s="4" t="e">
        <f ca="1">SQRT($B$9)*_xlfn.STDEV.S(AI647:OFFSET(AI647,$B$5-1,0))</f>
        <v>#DIV/0!</v>
      </c>
      <c r="AK647" s="4" t="e">
        <f ca="1">SQRT($B$9)*_xlfn.STDEV.S(AI647:OFFSET(AI647,$B$6-1,0))</f>
        <v>#DIV/0!</v>
      </c>
      <c r="AL647" s="4" t="e">
        <f ca="1">SQRT($B$9)*_xlfn.STDEV.S(AI647:OFFSET(AI647,$B$7-1,0))</f>
        <v>#DIV/0!</v>
      </c>
      <c r="AM647" s="4" t="e">
        <f ca="1">SQRT($B$9)*_xlfn.STDEV.S(AI647:OFFSET(AI647,$B$8-1,0))</f>
        <v>#DIV/0!</v>
      </c>
    </row>
    <row r="648" spans="5:39" x14ac:dyDescent="0.2">
      <c r="E648" s="42">
        <v>44505</v>
      </c>
      <c r="F648" s="43"/>
      <c r="G648" s="43"/>
      <c r="H648" s="43"/>
      <c r="I648" s="43"/>
      <c r="K648" s="3" t="e">
        <f t="shared" si="59"/>
        <v>#DIV/0!</v>
      </c>
      <c r="L648" s="3" t="e">
        <f ca="1">SQRT(AVERAGE(K648:OFFSET(K648,$B$5-1,0))*$B$9/(4*LN(2)))</f>
        <v>#DIV/0!</v>
      </c>
      <c r="M648" s="3" t="e">
        <f ca="1">SQRT(AVERAGE(K648:OFFSET(K648,$B$6-1,0))*$B$9/(4*LN(2)))</f>
        <v>#DIV/0!</v>
      </c>
      <c r="N648" s="3" t="e">
        <f ca="1">SQRT(AVERAGE(K648:OFFSET(K648,$B$7-1,0))*$B$9/(4*LN(2)))</f>
        <v>#DIV/0!</v>
      </c>
      <c r="O648" s="3" t="e">
        <f ca="1">SQRT(AVERAGE(K648:OFFSET(K648,$B$8-1,0))*$B$9/(4*LN(2)))</f>
        <v>#DIV/0!</v>
      </c>
      <c r="Q648" s="5" t="e">
        <f t="shared" si="58"/>
        <v>#DIV/0!</v>
      </c>
      <c r="R648" s="5" t="e">
        <f ca="1">SQRT($B$9*AVERAGE((Q648:OFFSET(Q648,$B$5-1,0))))</f>
        <v>#DIV/0!</v>
      </c>
      <c r="S648" s="5" t="e">
        <f ca="1">SQRT($B$9*AVERAGE((Q648:OFFSET(Q648,$B$6-1,0))))</f>
        <v>#DIV/0!</v>
      </c>
      <c r="T648" s="5" t="e">
        <f ca="1">SQRT($B$9*AVERAGE((Q648:OFFSET(Q648,$B$7-1,0))))</f>
        <v>#DIV/0!</v>
      </c>
      <c r="U648" s="5" t="e">
        <f ca="1">SQRT($B$9*AVERAGE((Q648:OFFSET(Q648,$B$8-1,0))))</f>
        <v>#DIV/0!</v>
      </c>
      <c r="W648" s="6" t="e">
        <f t="shared" si="57"/>
        <v>#DIV/0!</v>
      </c>
      <c r="X648" s="6" t="e">
        <f ca="1">SQRT($B$9*AVERAGE(W648:OFFSET(W648,$B$5-1,0)))</f>
        <v>#DIV/0!</v>
      </c>
      <c r="Y648" s="6" t="e">
        <f ca="1">SQRT($B$9*AVERAGE(W648:OFFSET(W648,$B$6-1,0)))</f>
        <v>#DIV/0!</v>
      </c>
      <c r="Z648" s="6" t="e">
        <f ca="1">SQRT($B$9*AVERAGE(W648:OFFSET(W648,$B$7-1,0)))</f>
        <v>#DIV/0!</v>
      </c>
      <c r="AA648" s="6" t="e">
        <f ca="1">SQRT($B$9*AVERAGE(W648:OFFSET(W648,$B$8-1,0)))</f>
        <v>#DIV/0!</v>
      </c>
      <c r="AC648" s="34" t="e">
        <f t="shared" si="55"/>
        <v>#DIV/0!</v>
      </c>
      <c r="AD648" s="34" t="e">
        <f ca="1">SQRT($B$9*SUM(AC648:OFFSET(AC648,$B$5-1,0))/($B$5-1))</f>
        <v>#DIV/0!</v>
      </c>
      <c r="AE648" s="34" t="e">
        <f ca="1">SQRT($B$9*SUM(AC648:OFFSET(AC648,$B$6-1,0))/($B$6-1))</f>
        <v>#DIV/0!</v>
      </c>
      <c r="AF648" s="34" t="e">
        <f ca="1">SQRT($B$9*SUM(AC648:OFFSET(AC648,$B$7-1,0))/($B$7-1))</f>
        <v>#DIV/0!</v>
      </c>
      <c r="AG648" s="34" t="e">
        <f ca="1">SQRT($B$9*SUM(AC648:OFFSET(AC648,$B$8-1,0))/($B$8-1))</f>
        <v>#DIV/0!</v>
      </c>
      <c r="AI648" s="1" t="e">
        <f t="shared" si="56"/>
        <v>#DIV/0!</v>
      </c>
      <c r="AJ648" s="4" t="e">
        <f ca="1">SQRT($B$9)*_xlfn.STDEV.S(AI648:OFFSET(AI648,$B$5-1,0))</f>
        <v>#DIV/0!</v>
      </c>
      <c r="AK648" s="4" t="e">
        <f ca="1">SQRT($B$9)*_xlfn.STDEV.S(AI648:OFFSET(AI648,$B$6-1,0))</f>
        <v>#DIV/0!</v>
      </c>
      <c r="AL648" s="4" t="e">
        <f ca="1">SQRT($B$9)*_xlfn.STDEV.S(AI648:OFFSET(AI648,$B$7-1,0))</f>
        <v>#DIV/0!</v>
      </c>
      <c r="AM648" s="4" t="e">
        <f ca="1">SQRT($B$9)*_xlfn.STDEV.S(AI648:OFFSET(AI648,$B$8-1,0))</f>
        <v>#DIV/0!</v>
      </c>
    </row>
    <row r="649" spans="5:39" x14ac:dyDescent="0.2">
      <c r="E649" s="42">
        <v>44504</v>
      </c>
      <c r="F649" s="43"/>
      <c r="G649" s="43"/>
      <c r="H649" s="43"/>
      <c r="I649" s="43"/>
      <c r="K649" s="3" t="e">
        <f t="shared" si="59"/>
        <v>#DIV/0!</v>
      </c>
      <c r="L649" s="3" t="e">
        <f ca="1">SQRT(AVERAGE(K649:OFFSET(K649,$B$5-1,0))*$B$9/(4*LN(2)))</f>
        <v>#DIV/0!</v>
      </c>
      <c r="M649" s="3" t="e">
        <f ca="1">SQRT(AVERAGE(K649:OFFSET(K649,$B$6-1,0))*$B$9/(4*LN(2)))</f>
        <v>#DIV/0!</v>
      </c>
      <c r="N649" s="3" t="e">
        <f ca="1">SQRT(AVERAGE(K649:OFFSET(K649,$B$7-1,0))*$B$9/(4*LN(2)))</f>
        <v>#DIV/0!</v>
      </c>
      <c r="O649" s="3" t="e">
        <f ca="1">SQRT(AVERAGE(K649:OFFSET(K649,$B$8-1,0))*$B$9/(4*LN(2)))</f>
        <v>#DIV/0!</v>
      </c>
      <c r="Q649" s="5" t="e">
        <f t="shared" si="58"/>
        <v>#DIV/0!</v>
      </c>
      <c r="R649" s="5" t="e">
        <f ca="1">SQRT($B$9*AVERAGE((Q649:OFFSET(Q649,$B$5-1,0))))</f>
        <v>#DIV/0!</v>
      </c>
      <c r="S649" s="5" t="e">
        <f ca="1">SQRT($B$9*AVERAGE((Q649:OFFSET(Q649,$B$6-1,0))))</f>
        <v>#DIV/0!</v>
      </c>
      <c r="T649" s="5" t="e">
        <f ca="1">SQRT($B$9*AVERAGE((Q649:OFFSET(Q649,$B$7-1,0))))</f>
        <v>#DIV/0!</v>
      </c>
      <c r="U649" s="5" t="e">
        <f ca="1">SQRT($B$9*AVERAGE((Q649:OFFSET(Q649,$B$8-1,0))))</f>
        <v>#DIV/0!</v>
      </c>
      <c r="W649" s="6" t="e">
        <f t="shared" si="57"/>
        <v>#DIV/0!</v>
      </c>
      <c r="X649" s="6" t="e">
        <f ca="1">SQRT($B$9*AVERAGE(W649:OFFSET(W649,$B$5-1,0)))</f>
        <v>#DIV/0!</v>
      </c>
      <c r="Y649" s="6" t="e">
        <f ca="1">SQRT($B$9*AVERAGE(W649:OFFSET(W649,$B$6-1,0)))</f>
        <v>#DIV/0!</v>
      </c>
      <c r="Z649" s="6" t="e">
        <f ca="1">SQRT($B$9*AVERAGE(W649:OFFSET(W649,$B$7-1,0)))</f>
        <v>#DIV/0!</v>
      </c>
      <c r="AA649" s="6" t="e">
        <f ca="1">SQRT($B$9*AVERAGE(W649:OFFSET(W649,$B$8-1,0)))</f>
        <v>#DIV/0!</v>
      </c>
      <c r="AC649" s="34" t="e">
        <f t="shared" si="55"/>
        <v>#DIV/0!</v>
      </c>
      <c r="AD649" s="34" t="e">
        <f ca="1">SQRT($B$9*SUM(AC649:OFFSET(AC649,$B$5-1,0))/($B$5-1))</f>
        <v>#DIV/0!</v>
      </c>
      <c r="AE649" s="34" t="e">
        <f ca="1">SQRT($B$9*SUM(AC649:OFFSET(AC649,$B$6-1,0))/($B$6-1))</f>
        <v>#DIV/0!</v>
      </c>
      <c r="AF649" s="34" t="e">
        <f ca="1">SQRT($B$9*SUM(AC649:OFFSET(AC649,$B$7-1,0))/($B$7-1))</f>
        <v>#DIV/0!</v>
      </c>
      <c r="AG649" s="34" t="e">
        <f ca="1">SQRT($B$9*SUM(AC649:OFFSET(AC649,$B$8-1,0))/($B$8-1))</f>
        <v>#DIV/0!</v>
      </c>
      <c r="AI649" s="1" t="e">
        <f t="shared" si="56"/>
        <v>#DIV/0!</v>
      </c>
      <c r="AJ649" s="4" t="e">
        <f ca="1">SQRT($B$9)*_xlfn.STDEV.S(AI649:OFFSET(AI649,$B$5-1,0))</f>
        <v>#DIV/0!</v>
      </c>
      <c r="AK649" s="4" t="e">
        <f ca="1">SQRT($B$9)*_xlfn.STDEV.S(AI649:OFFSET(AI649,$B$6-1,0))</f>
        <v>#DIV/0!</v>
      </c>
      <c r="AL649" s="4" t="e">
        <f ca="1">SQRT($B$9)*_xlfn.STDEV.S(AI649:OFFSET(AI649,$B$7-1,0))</f>
        <v>#DIV/0!</v>
      </c>
      <c r="AM649" s="4" t="e">
        <f ca="1">SQRT($B$9)*_xlfn.STDEV.S(AI649:OFFSET(AI649,$B$8-1,0))</f>
        <v>#DIV/0!</v>
      </c>
    </row>
    <row r="650" spans="5:39" x14ac:dyDescent="0.2">
      <c r="E650" s="42">
        <v>44503</v>
      </c>
      <c r="F650" s="43"/>
      <c r="G650" s="43"/>
      <c r="H650" s="43"/>
      <c r="I650" s="43"/>
      <c r="K650" s="3" t="e">
        <f t="shared" si="59"/>
        <v>#DIV/0!</v>
      </c>
      <c r="L650" s="3" t="e">
        <f ca="1">SQRT(AVERAGE(K650:OFFSET(K650,$B$5-1,0))*$B$9/(4*LN(2)))</f>
        <v>#DIV/0!</v>
      </c>
      <c r="M650" s="3" t="e">
        <f ca="1">SQRT(AVERAGE(K650:OFFSET(K650,$B$6-1,0))*$B$9/(4*LN(2)))</f>
        <v>#DIV/0!</v>
      </c>
      <c r="N650" s="3" t="e">
        <f ca="1">SQRT(AVERAGE(K650:OFFSET(K650,$B$7-1,0))*$B$9/(4*LN(2)))</f>
        <v>#DIV/0!</v>
      </c>
      <c r="O650" s="3" t="e">
        <f ca="1">SQRT(AVERAGE(K650:OFFSET(K650,$B$8-1,0))*$B$9/(4*LN(2)))</f>
        <v>#DIV/0!</v>
      </c>
      <c r="Q650" s="5" t="e">
        <f t="shared" si="58"/>
        <v>#DIV/0!</v>
      </c>
      <c r="R650" s="5" t="e">
        <f ca="1">SQRT($B$9*AVERAGE((Q650:OFFSET(Q650,$B$5-1,0))))</f>
        <v>#DIV/0!</v>
      </c>
      <c r="S650" s="5" t="e">
        <f ca="1">SQRT($B$9*AVERAGE((Q650:OFFSET(Q650,$B$6-1,0))))</f>
        <v>#DIV/0!</v>
      </c>
      <c r="T650" s="5" t="e">
        <f ca="1">SQRT($B$9*AVERAGE((Q650:OFFSET(Q650,$B$7-1,0))))</f>
        <v>#DIV/0!</v>
      </c>
      <c r="U650" s="5" t="e">
        <f ca="1">SQRT($B$9*AVERAGE((Q650:OFFSET(Q650,$B$8-1,0))))</f>
        <v>#DIV/0!</v>
      </c>
      <c r="W650" s="6" t="e">
        <f t="shared" si="57"/>
        <v>#DIV/0!</v>
      </c>
      <c r="X650" s="6" t="e">
        <f ca="1">SQRT($B$9*AVERAGE(W650:OFFSET(W650,$B$5-1,0)))</f>
        <v>#DIV/0!</v>
      </c>
      <c r="Y650" s="6" t="e">
        <f ca="1">SQRT($B$9*AVERAGE(W650:OFFSET(W650,$B$6-1,0)))</f>
        <v>#DIV/0!</v>
      </c>
      <c r="Z650" s="6" t="e">
        <f ca="1">SQRT($B$9*AVERAGE(W650:OFFSET(W650,$B$7-1,0)))</f>
        <v>#DIV/0!</v>
      </c>
      <c r="AA650" s="6" t="e">
        <f ca="1">SQRT($B$9*AVERAGE(W650:OFFSET(W650,$B$8-1,0)))</f>
        <v>#DIV/0!</v>
      </c>
      <c r="AC650" s="34" t="e">
        <f t="shared" si="55"/>
        <v>#DIV/0!</v>
      </c>
      <c r="AD650" s="34" t="e">
        <f ca="1">SQRT($B$9*SUM(AC650:OFFSET(AC650,$B$5-1,0))/($B$5-1))</f>
        <v>#DIV/0!</v>
      </c>
      <c r="AE650" s="34" t="e">
        <f ca="1">SQRT($B$9*SUM(AC650:OFFSET(AC650,$B$6-1,0))/($B$6-1))</f>
        <v>#DIV/0!</v>
      </c>
      <c r="AF650" s="34" t="e">
        <f ca="1">SQRT($B$9*SUM(AC650:OFFSET(AC650,$B$7-1,0))/($B$7-1))</f>
        <v>#DIV/0!</v>
      </c>
      <c r="AG650" s="34" t="e">
        <f ca="1">SQRT($B$9*SUM(AC650:OFFSET(AC650,$B$8-1,0))/($B$8-1))</f>
        <v>#DIV/0!</v>
      </c>
      <c r="AI650" s="1" t="e">
        <f t="shared" si="56"/>
        <v>#DIV/0!</v>
      </c>
      <c r="AJ650" s="4" t="e">
        <f ca="1">SQRT($B$9)*_xlfn.STDEV.S(AI650:OFFSET(AI650,$B$5-1,0))</f>
        <v>#DIV/0!</v>
      </c>
      <c r="AK650" s="4" t="e">
        <f ca="1">SQRT($B$9)*_xlfn.STDEV.S(AI650:OFFSET(AI650,$B$6-1,0))</f>
        <v>#DIV/0!</v>
      </c>
      <c r="AL650" s="4" t="e">
        <f ca="1">SQRT($B$9)*_xlfn.STDEV.S(AI650:OFFSET(AI650,$B$7-1,0))</f>
        <v>#DIV/0!</v>
      </c>
      <c r="AM650" s="4" t="e">
        <f ca="1">SQRT($B$9)*_xlfn.STDEV.S(AI650:OFFSET(AI650,$B$8-1,0))</f>
        <v>#DIV/0!</v>
      </c>
    </row>
    <row r="651" spans="5:39" x14ac:dyDescent="0.2">
      <c r="E651" s="42">
        <v>44502</v>
      </c>
      <c r="F651" s="43"/>
      <c r="G651" s="43"/>
      <c r="H651" s="43"/>
      <c r="I651" s="43"/>
      <c r="K651" s="3" t="e">
        <f t="shared" si="59"/>
        <v>#DIV/0!</v>
      </c>
      <c r="L651" s="3" t="e">
        <f ca="1">SQRT(AVERAGE(K651:OFFSET(K651,$B$5-1,0))*$B$9/(4*LN(2)))</f>
        <v>#DIV/0!</v>
      </c>
      <c r="M651" s="3" t="e">
        <f ca="1">SQRT(AVERAGE(K651:OFFSET(K651,$B$6-1,0))*$B$9/(4*LN(2)))</f>
        <v>#DIV/0!</v>
      </c>
      <c r="N651" s="3" t="e">
        <f ca="1">SQRT(AVERAGE(K651:OFFSET(K651,$B$7-1,0))*$B$9/(4*LN(2)))</f>
        <v>#DIV/0!</v>
      </c>
      <c r="O651" s="3" t="e">
        <f ca="1">SQRT(AVERAGE(K651:OFFSET(K651,$B$8-1,0))*$B$9/(4*LN(2)))</f>
        <v>#DIV/0!</v>
      </c>
      <c r="Q651" s="5" t="e">
        <f t="shared" si="58"/>
        <v>#DIV/0!</v>
      </c>
      <c r="R651" s="5" t="e">
        <f ca="1">SQRT($B$9*AVERAGE((Q651:OFFSET(Q651,$B$5-1,0))))</f>
        <v>#DIV/0!</v>
      </c>
      <c r="S651" s="5" t="e">
        <f ca="1">SQRT($B$9*AVERAGE((Q651:OFFSET(Q651,$B$6-1,0))))</f>
        <v>#DIV/0!</v>
      </c>
      <c r="T651" s="5" t="e">
        <f ca="1">SQRT($B$9*AVERAGE((Q651:OFFSET(Q651,$B$7-1,0))))</f>
        <v>#DIV/0!</v>
      </c>
      <c r="U651" s="5" t="e">
        <f ca="1">SQRT($B$9*AVERAGE((Q651:OFFSET(Q651,$B$8-1,0))))</f>
        <v>#DIV/0!</v>
      </c>
      <c r="W651" s="6" t="e">
        <f t="shared" si="57"/>
        <v>#DIV/0!</v>
      </c>
      <c r="X651" s="6" t="e">
        <f ca="1">SQRT($B$9*AVERAGE(W651:OFFSET(W651,$B$5-1,0)))</f>
        <v>#DIV/0!</v>
      </c>
      <c r="Y651" s="6" t="e">
        <f ca="1">SQRT($B$9*AVERAGE(W651:OFFSET(W651,$B$6-1,0)))</f>
        <v>#DIV/0!</v>
      </c>
      <c r="Z651" s="6" t="e">
        <f ca="1">SQRT($B$9*AVERAGE(W651:OFFSET(W651,$B$7-1,0)))</f>
        <v>#DIV/0!</v>
      </c>
      <c r="AA651" s="6" t="e">
        <f ca="1">SQRT($B$9*AVERAGE(W651:OFFSET(W651,$B$8-1,0)))</f>
        <v>#DIV/0!</v>
      </c>
      <c r="AC651" s="34" t="e">
        <f t="shared" si="55"/>
        <v>#DIV/0!</v>
      </c>
      <c r="AD651" s="34" t="e">
        <f ca="1">SQRT($B$9*SUM(AC651:OFFSET(AC651,$B$5-1,0))/($B$5-1))</f>
        <v>#DIV/0!</v>
      </c>
      <c r="AE651" s="34" t="e">
        <f ca="1">SQRT($B$9*SUM(AC651:OFFSET(AC651,$B$6-1,0))/($B$6-1))</f>
        <v>#DIV/0!</v>
      </c>
      <c r="AF651" s="34" t="e">
        <f ca="1">SQRT($B$9*SUM(AC651:OFFSET(AC651,$B$7-1,0))/($B$7-1))</f>
        <v>#DIV/0!</v>
      </c>
      <c r="AG651" s="34" t="e">
        <f ca="1">SQRT($B$9*SUM(AC651:OFFSET(AC651,$B$8-1,0))/($B$8-1))</f>
        <v>#DIV/0!</v>
      </c>
      <c r="AI651" s="1" t="e">
        <f t="shared" si="56"/>
        <v>#DIV/0!</v>
      </c>
      <c r="AJ651" s="4" t="e">
        <f ca="1">SQRT($B$9)*_xlfn.STDEV.S(AI651:OFFSET(AI651,$B$5-1,0))</f>
        <v>#DIV/0!</v>
      </c>
      <c r="AK651" s="4" t="e">
        <f ca="1">SQRT($B$9)*_xlfn.STDEV.S(AI651:OFFSET(AI651,$B$6-1,0))</f>
        <v>#DIV/0!</v>
      </c>
      <c r="AL651" s="4" t="e">
        <f ca="1">SQRT($B$9)*_xlfn.STDEV.S(AI651:OFFSET(AI651,$B$7-1,0))</f>
        <v>#DIV/0!</v>
      </c>
      <c r="AM651" s="4" t="e">
        <f ca="1">SQRT($B$9)*_xlfn.STDEV.S(AI651:OFFSET(AI651,$B$8-1,0))</f>
        <v>#DIV/0!</v>
      </c>
    </row>
    <row r="652" spans="5:39" x14ac:dyDescent="0.2">
      <c r="E652" s="42">
        <v>44501</v>
      </c>
      <c r="F652" s="43"/>
      <c r="G652" s="43"/>
      <c r="H652" s="43"/>
      <c r="I652" s="43"/>
      <c r="K652" s="3" t="e">
        <f t="shared" si="59"/>
        <v>#DIV/0!</v>
      </c>
      <c r="L652" s="3" t="e">
        <f ca="1">SQRT(AVERAGE(K652:OFFSET(K652,$B$5-1,0))*$B$9/(4*LN(2)))</f>
        <v>#DIV/0!</v>
      </c>
      <c r="M652" s="3" t="e">
        <f ca="1">SQRT(AVERAGE(K652:OFFSET(K652,$B$6-1,0))*$B$9/(4*LN(2)))</f>
        <v>#DIV/0!</v>
      </c>
      <c r="N652" s="3" t="e">
        <f ca="1">SQRT(AVERAGE(K652:OFFSET(K652,$B$7-1,0))*$B$9/(4*LN(2)))</f>
        <v>#DIV/0!</v>
      </c>
      <c r="O652" s="3" t="e">
        <f ca="1">SQRT(AVERAGE(K652:OFFSET(K652,$B$8-1,0))*$B$9/(4*LN(2)))</f>
        <v>#DIV/0!</v>
      </c>
      <c r="Q652" s="5" t="e">
        <f t="shared" si="58"/>
        <v>#DIV/0!</v>
      </c>
      <c r="R652" s="5" t="e">
        <f ca="1">SQRT($B$9*AVERAGE((Q652:OFFSET(Q652,$B$5-1,0))))</f>
        <v>#DIV/0!</v>
      </c>
      <c r="S652" s="5" t="e">
        <f ca="1">SQRT($B$9*AVERAGE((Q652:OFFSET(Q652,$B$6-1,0))))</f>
        <v>#DIV/0!</v>
      </c>
      <c r="T652" s="5" t="e">
        <f ca="1">SQRT($B$9*AVERAGE((Q652:OFFSET(Q652,$B$7-1,0))))</f>
        <v>#DIV/0!</v>
      </c>
      <c r="U652" s="5" t="e">
        <f ca="1">SQRT($B$9*AVERAGE((Q652:OFFSET(Q652,$B$8-1,0))))</f>
        <v>#DIV/0!</v>
      </c>
      <c r="W652" s="6" t="e">
        <f t="shared" si="57"/>
        <v>#DIV/0!</v>
      </c>
      <c r="X652" s="6" t="e">
        <f ca="1">SQRT($B$9*AVERAGE(W652:OFFSET(W652,$B$5-1,0)))</f>
        <v>#DIV/0!</v>
      </c>
      <c r="Y652" s="6" t="e">
        <f ca="1">SQRT($B$9*AVERAGE(W652:OFFSET(W652,$B$6-1,0)))</f>
        <v>#DIV/0!</v>
      </c>
      <c r="Z652" s="6" t="e">
        <f ca="1">SQRT($B$9*AVERAGE(W652:OFFSET(W652,$B$7-1,0)))</f>
        <v>#DIV/0!</v>
      </c>
      <c r="AA652" s="6" t="e">
        <f ca="1">SQRT($B$9*AVERAGE(W652:OFFSET(W652,$B$8-1,0)))</f>
        <v>#DIV/0!</v>
      </c>
      <c r="AC652" s="34" t="e">
        <f t="shared" si="55"/>
        <v>#DIV/0!</v>
      </c>
      <c r="AD652" s="34" t="e">
        <f ca="1">SQRT($B$9*SUM(AC652:OFFSET(AC652,$B$5-1,0))/($B$5-1))</f>
        <v>#DIV/0!</v>
      </c>
      <c r="AE652" s="34" t="e">
        <f ca="1">SQRT($B$9*SUM(AC652:OFFSET(AC652,$B$6-1,0))/($B$6-1))</f>
        <v>#DIV/0!</v>
      </c>
      <c r="AF652" s="34" t="e">
        <f ca="1">SQRT($B$9*SUM(AC652:OFFSET(AC652,$B$7-1,0))/($B$7-1))</f>
        <v>#DIV/0!</v>
      </c>
      <c r="AG652" s="34" t="e">
        <f ca="1">SQRT($B$9*SUM(AC652:OFFSET(AC652,$B$8-1,0))/($B$8-1))</f>
        <v>#DIV/0!</v>
      </c>
      <c r="AI652" s="1" t="e">
        <f t="shared" si="56"/>
        <v>#DIV/0!</v>
      </c>
      <c r="AJ652" s="4" t="e">
        <f ca="1">SQRT($B$9)*_xlfn.STDEV.S(AI652:OFFSET(AI652,$B$5-1,0))</f>
        <v>#DIV/0!</v>
      </c>
      <c r="AK652" s="4" t="e">
        <f ca="1">SQRT($B$9)*_xlfn.STDEV.S(AI652:OFFSET(AI652,$B$6-1,0))</f>
        <v>#DIV/0!</v>
      </c>
      <c r="AL652" s="4" t="e">
        <f ca="1">SQRT($B$9)*_xlfn.STDEV.S(AI652:OFFSET(AI652,$B$7-1,0))</f>
        <v>#DIV/0!</v>
      </c>
      <c r="AM652" s="4" t="e">
        <f ca="1">SQRT($B$9)*_xlfn.STDEV.S(AI652:OFFSET(AI652,$B$8-1,0))</f>
        <v>#DIV/0!</v>
      </c>
    </row>
    <row r="653" spans="5:39" x14ac:dyDescent="0.2">
      <c r="E653" s="42">
        <v>44498</v>
      </c>
      <c r="F653" s="43"/>
      <c r="G653" s="43"/>
      <c r="H653" s="43"/>
      <c r="I653" s="43"/>
      <c r="K653" s="3" t="e">
        <f t="shared" si="59"/>
        <v>#DIV/0!</v>
      </c>
      <c r="L653" s="3" t="e">
        <f ca="1">SQRT(AVERAGE(K653:OFFSET(K653,$B$5-1,0))*$B$9/(4*LN(2)))</f>
        <v>#DIV/0!</v>
      </c>
      <c r="M653" s="3" t="e">
        <f ca="1">SQRT(AVERAGE(K653:OFFSET(K653,$B$6-1,0))*$B$9/(4*LN(2)))</f>
        <v>#DIV/0!</v>
      </c>
      <c r="N653" s="3" t="e">
        <f ca="1">SQRT(AVERAGE(K653:OFFSET(K653,$B$7-1,0))*$B$9/(4*LN(2)))</f>
        <v>#DIV/0!</v>
      </c>
      <c r="O653" s="3" t="e">
        <f ca="1">SQRT(AVERAGE(K653:OFFSET(K653,$B$8-1,0))*$B$9/(4*LN(2)))</f>
        <v>#DIV/0!</v>
      </c>
      <c r="Q653" s="5" t="e">
        <f t="shared" si="58"/>
        <v>#DIV/0!</v>
      </c>
      <c r="R653" s="5" t="e">
        <f ca="1">SQRT($B$9*AVERAGE((Q653:OFFSET(Q653,$B$5-1,0))))</f>
        <v>#DIV/0!</v>
      </c>
      <c r="S653" s="5" t="e">
        <f ca="1">SQRT($B$9*AVERAGE((Q653:OFFSET(Q653,$B$6-1,0))))</f>
        <v>#DIV/0!</v>
      </c>
      <c r="T653" s="5" t="e">
        <f ca="1">SQRT($B$9*AVERAGE((Q653:OFFSET(Q653,$B$7-1,0))))</f>
        <v>#DIV/0!</v>
      </c>
      <c r="U653" s="5" t="e">
        <f ca="1">SQRT($B$9*AVERAGE((Q653:OFFSET(Q653,$B$8-1,0))))</f>
        <v>#DIV/0!</v>
      </c>
      <c r="W653" s="6" t="e">
        <f t="shared" si="57"/>
        <v>#DIV/0!</v>
      </c>
      <c r="X653" s="6" t="e">
        <f ca="1">SQRT($B$9*AVERAGE(W653:OFFSET(W653,$B$5-1,0)))</f>
        <v>#DIV/0!</v>
      </c>
      <c r="Y653" s="6" t="e">
        <f ca="1">SQRT($B$9*AVERAGE(W653:OFFSET(W653,$B$6-1,0)))</f>
        <v>#DIV/0!</v>
      </c>
      <c r="Z653" s="6" t="e">
        <f ca="1">SQRT($B$9*AVERAGE(W653:OFFSET(W653,$B$7-1,0)))</f>
        <v>#DIV/0!</v>
      </c>
      <c r="AA653" s="6" t="e">
        <f ca="1">SQRT($B$9*AVERAGE(W653:OFFSET(W653,$B$8-1,0)))</f>
        <v>#DIV/0!</v>
      </c>
      <c r="AC653" s="34" t="e">
        <f t="shared" si="55"/>
        <v>#DIV/0!</v>
      </c>
      <c r="AD653" s="34" t="e">
        <f ca="1">SQRT($B$9*SUM(AC653:OFFSET(AC653,$B$5-1,0))/($B$5-1))</f>
        <v>#DIV/0!</v>
      </c>
      <c r="AE653" s="34" t="e">
        <f ca="1">SQRT($B$9*SUM(AC653:OFFSET(AC653,$B$6-1,0))/($B$6-1))</f>
        <v>#DIV/0!</v>
      </c>
      <c r="AF653" s="34" t="e">
        <f ca="1">SQRT($B$9*SUM(AC653:OFFSET(AC653,$B$7-1,0))/($B$7-1))</f>
        <v>#DIV/0!</v>
      </c>
      <c r="AG653" s="34" t="e">
        <f ca="1">SQRT($B$9*SUM(AC653:OFFSET(AC653,$B$8-1,0))/($B$8-1))</f>
        <v>#DIV/0!</v>
      </c>
      <c r="AI653" s="1" t="e">
        <f t="shared" si="56"/>
        <v>#DIV/0!</v>
      </c>
      <c r="AJ653" s="4" t="e">
        <f ca="1">SQRT($B$9)*_xlfn.STDEV.S(AI653:OFFSET(AI653,$B$5-1,0))</f>
        <v>#DIV/0!</v>
      </c>
      <c r="AK653" s="4" t="e">
        <f ca="1">SQRT($B$9)*_xlfn.STDEV.S(AI653:OFFSET(AI653,$B$6-1,0))</f>
        <v>#DIV/0!</v>
      </c>
      <c r="AL653" s="4" t="e">
        <f ca="1">SQRT($B$9)*_xlfn.STDEV.S(AI653:OFFSET(AI653,$B$7-1,0))</f>
        <v>#DIV/0!</v>
      </c>
      <c r="AM653" s="4" t="e">
        <f ca="1">SQRT($B$9)*_xlfn.STDEV.S(AI653:OFFSET(AI653,$B$8-1,0))</f>
        <v>#DIV/0!</v>
      </c>
    </row>
    <row r="654" spans="5:39" x14ac:dyDescent="0.2">
      <c r="E654" s="42">
        <v>44497</v>
      </c>
      <c r="F654" s="43"/>
      <c r="G654" s="43"/>
      <c r="H654" s="43"/>
      <c r="I654" s="43"/>
      <c r="K654" s="3" t="e">
        <f t="shared" si="59"/>
        <v>#DIV/0!</v>
      </c>
      <c r="L654" s="3" t="e">
        <f ca="1">SQRT(AVERAGE(K654:OFFSET(K654,$B$5-1,0))*$B$9/(4*LN(2)))</f>
        <v>#DIV/0!</v>
      </c>
      <c r="M654" s="3" t="e">
        <f ca="1">SQRT(AVERAGE(K654:OFFSET(K654,$B$6-1,0))*$B$9/(4*LN(2)))</f>
        <v>#DIV/0!</v>
      </c>
      <c r="N654" s="3" t="e">
        <f ca="1">SQRT(AVERAGE(K654:OFFSET(K654,$B$7-1,0))*$B$9/(4*LN(2)))</f>
        <v>#DIV/0!</v>
      </c>
      <c r="O654" s="3" t="e">
        <f ca="1">SQRT(AVERAGE(K654:OFFSET(K654,$B$8-1,0))*$B$9/(4*LN(2)))</f>
        <v>#DIV/0!</v>
      </c>
      <c r="Q654" s="5" t="e">
        <f t="shared" si="58"/>
        <v>#DIV/0!</v>
      </c>
      <c r="R654" s="5" t="e">
        <f ca="1">SQRT($B$9*AVERAGE((Q654:OFFSET(Q654,$B$5-1,0))))</f>
        <v>#DIV/0!</v>
      </c>
      <c r="S654" s="5" t="e">
        <f ca="1">SQRT($B$9*AVERAGE((Q654:OFFSET(Q654,$B$6-1,0))))</f>
        <v>#DIV/0!</v>
      </c>
      <c r="T654" s="5" t="e">
        <f ca="1">SQRT($B$9*AVERAGE((Q654:OFFSET(Q654,$B$7-1,0))))</f>
        <v>#DIV/0!</v>
      </c>
      <c r="U654" s="5" t="e">
        <f ca="1">SQRT($B$9*AVERAGE((Q654:OFFSET(Q654,$B$8-1,0))))</f>
        <v>#DIV/0!</v>
      </c>
      <c r="W654" s="6" t="e">
        <f t="shared" si="57"/>
        <v>#DIV/0!</v>
      </c>
      <c r="X654" s="6" t="e">
        <f ca="1">SQRT($B$9*AVERAGE(W654:OFFSET(W654,$B$5-1,0)))</f>
        <v>#DIV/0!</v>
      </c>
      <c r="Y654" s="6" t="e">
        <f ca="1">SQRT($B$9*AVERAGE(W654:OFFSET(W654,$B$6-1,0)))</f>
        <v>#DIV/0!</v>
      </c>
      <c r="Z654" s="6" t="e">
        <f ca="1">SQRT($B$9*AVERAGE(W654:OFFSET(W654,$B$7-1,0)))</f>
        <v>#DIV/0!</v>
      </c>
      <c r="AA654" s="6" t="e">
        <f ca="1">SQRT($B$9*AVERAGE(W654:OFFSET(W654,$B$8-1,0)))</f>
        <v>#DIV/0!</v>
      </c>
      <c r="AC654" s="34" t="e">
        <f t="shared" si="55"/>
        <v>#DIV/0!</v>
      </c>
      <c r="AD654" s="34" t="e">
        <f ca="1">SQRT($B$9*SUM(AC654:OFFSET(AC654,$B$5-1,0))/($B$5-1))</f>
        <v>#DIV/0!</v>
      </c>
      <c r="AE654" s="34" t="e">
        <f ca="1">SQRT($B$9*SUM(AC654:OFFSET(AC654,$B$6-1,0))/($B$6-1))</f>
        <v>#DIV/0!</v>
      </c>
      <c r="AF654" s="34" t="e">
        <f ca="1">SQRT($B$9*SUM(AC654:OFFSET(AC654,$B$7-1,0))/($B$7-1))</f>
        <v>#DIV/0!</v>
      </c>
      <c r="AG654" s="34" t="e">
        <f ca="1">SQRT($B$9*SUM(AC654:OFFSET(AC654,$B$8-1,0))/($B$8-1))</f>
        <v>#DIV/0!</v>
      </c>
      <c r="AI654" s="1" t="e">
        <f t="shared" si="56"/>
        <v>#DIV/0!</v>
      </c>
      <c r="AJ654" s="4" t="e">
        <f ca="1">SQRT($B$9)*_xlfn.STDEV.S(AI654:OFFSET(AI654,$B$5-1,0))</f>
        <v>#DIV/0!</v>
      </c>
      <c r="AK654" s="4" t="e">
        <f ca="1">SQRT($B$9)*_xlfn.STDEV.S(AI654:OFFSET(AI654,$B$6-1,0))</f>
        <v>#DIV/0!</v>
      </c>
      <c r="AL654" s="4" t="e">
        <f ca="1">SQRT($B$9)*_xlfn.STDEV.S(AI654:OFFSET(AI654,$B$7-1,0))</f>
        <v>#DIV/0!</v>
      </c>
      <c r="AM654" s="4" t="e">
        <f ca="1">SQRT($B$9)*_xlfn.STDEV.S(AI654:OFFSET(AI654,$B$8-1,0))</f>
        <v>#DIV/0!</v>
      </c>
    </row>
    <row r="655" spans="5:39" x14ac:dyDescent="0.2">
      <c r="E655" s="42">
        <v>44496</v>
      </c>
      <c r="F655" s="43"/>
      <c r="G655" s="43"/>
      <c r="H655" s="43"/>
      <c r="I655" s="43"/>
      <c r="K655" s="3" t="e">
        <f t="shared" si="59"/>
        <v>#DIV/0!</v>
      </c>
      <c r="L655" s="3" t="e">
        <f ca="1">SQRT(AVERAGE(K655:OFFSET(K655,$B$5-1,0))*$B$9/(4*LN(2)))</f>
        <v>#DIV/0!</v>
      </c>
      <c r="M655" s="3" t="e">
        <f ca="1">SQRT(AVERAGE(K655:OFFSET(K655,$B$6-1,0))*$B$9/(4*LN(2)))</f>
        <v>#DIV/0!</v>
      </c>
      <c r="N655" s="3" t="e">
        <f ca="1">SQRT(AVERAGE(K655:OFFSET(K655,$B$7-1,0))*$B$9/(4*LN(2)))</f>
        <v>#DIV/0!</v>
      </c>
      <c r="O655" s="3" t="e">
        <f ca="1">SQRT(AVERAGE(K655:OFFSET(K655,$B$8-1,0))*$B$9/(4*LN(2)))</f>
        <v>#DIV/0!</v>
      </c>
      <c r="Q655" s="5" t="e">
        <f t="shared" si="58"/>
        <v>#DIV/0!</v>
      </c>
      <c r="R655" s="5" t="e">
        <f ca="1">SQRT($B$9*AVERAGE((Q655:OFFSET(Q655,$B$5-1,0))))</f>
        <v>#DIV/0!</v>
      </c>
      <c r="S655" s="5" t="e">
        <f ca="1">SQRT($B$9*AVERAGE((Q655:OFFSET(Q655,$B$6-1,0))))</f>
        <v>#DIV/0!</v>
      </c>
      <c r="T655" s="5" t="e">
        <f ca="1">SQRT($B$9*AVERAGE((Q655:OFFSET(Q655,$B$7-1,0))))</f>
        <v>#DIV/0!</v>
      </c>
      <c r="U655" s="5" t="e">
        <f ca="1">SQRT($B$9*AVERAGE((Q655:OFFSET(Q655,$B$8-1,0))))</f>
        <v>#DIV/0!</v>
      </c>
      <c r="W655" s="6" t="e">
        <f t="shared" si="57"/>
        <v>#DIV/0!</v>
      </c>
      <c r="X655" s="6" t="e">
        <f ca="1">SQRT($B$9*AVERAGE(W655:OFFSET(W655,$B$5-1,0)))</f>
        <v>#DIV/0!</v>
      </c>
      <c r="Y655" s="6" t="e">
        <f ca="1">SQRT($B$9*AVERAGE(W655:OFFSET(W655,$B$6-1,0)))</f>
        <v>#DIV/0!</v>
      </c>
      <c r="Z655" s="6" t="e">
        <f ca="1">SQRT($B$9*AVERAGE(W655:OFFSET(W655,$B$7-1,0)))</f>
        <v>#DIV/0!</v>
      </c>
      <c r="AA655" s="6" t="e">
        <f ca="1">SQRT($B$9*AVERAGE(W655:OFFSET(W655,$B$8-1,0)))</f>
        <v>#DIV/0!</v>
      </c>
      <c r="AC655" s="34" t="e">
        <f t="shared" si="55"/>
        <v>#DIV/0!</v>
      </c>
      <c r="AD655" s="34" t="e">
        <f ca="1">SQRT($B$9*SUM(AC655:OFFSET(AC655,$B$5-1,0))/($B$5-1))</f>
        <v>#DIV/0!</v>
      </c>
      <c r="AE655" s="34" t="e">
        <f ca="1">SQRT($B$9*SUM(AC655:OFFSET(AC655,$B$6-1,0))/($B$6-1))</f>
        <v>#DIV/0!</v>
      </c>
      <c r="AF655" s="34" t="e">
        <f ca="1">SQRT($B$9*SUM(AC655:OFFSET(AC655,$B$7-1,0))/($B$7-1))</f>
        <v>#DIV/0!</v>
      </c>
      <c r="AG655" s="34" t="e">
        <f ca="1">SQRT($B$9*SUM(AC655:OFFSET(AC655,$B$8-1,0))/($B$8-1))</f>
        <v>#DIV/0!</v>
      </c>
      <c r="AI655" s="1" t="e">
        <f t="shared" si="56"/>
        <v>#DIV/0!</v>
      </c>
      <c r="AJ655" s="4" t="e">
        <f ca="1">SQRT($B$9)*_xlfn.STDEV.S(AI655:OFFSET(AI655,$B$5-1,0))</f>
        <v>#DIV/0!</v>
      </c>
      <c r="AK655" s="4" t="e">
        <f ca="1">SQRT($B$9)*_xlfn.STDEV.S(AI655:OFFSET(AI655,$B$6-1,0))</f>
        <v>#DIV/0!</v>
      </c>
      <c r="AL655" s="4" t="e">
        <f ca="1">SQRT($B$9)*_xlfn.STDEV.S(AI655:OFFSET(AI655,$B$7-1,0))</f>
        <v>#DIV/0!</v>
      </c>
      <c r="AM655" s="4" t="e">
        <f ca="1">SQRT($B$9)*_xlfn.STDEV.S(AI655:OFFSET(AI655,$B$8-1,0))</f>
        <v>#DIV/0!</v>
      </c>
    </row>
    <row r="656" spans="5:39" x14ac:dyDescent="0.2">
      <c r="E656" s="42">
        <v>44495</v>
      </c>
      <c r="F656" s="43"/>
      <c r="G656" s="43"/>
      <c r="H656" s="43"/>
      <c r="I656" s="43"/>
      <c r="K656" s="3" t="e">
        <f t="shared" si="59"/>
        <v>#DIV/0!</v>
      </c>
      <c r="L656" s="3" t="e">
        <f ca="1">SQRT(AVERAGE(K656:OFFSET(K656,$B$5-1,0))*$B$9/(4*LN(2)))</f>
        <v>#DIV/0!</v>
      </c>
      <c r="M656" s="3" t="e">
        <f ca="1">SQRT(AVERAGE(K656:OFFSET(K656,$B$6-1,0))*$B$9/(4*LN(2)))</f>
        <v>#DIV/0!</v>
      </c>
      <c r="N656" s="3" t="e">
        <f ca="1">SQRT(AVERAGE(K656:OFFSET(K656,$B$7-1,0))*$B$9/(4*LN(2)))</f>
        <v>#DIV/0!</v>
      </c>
      <c r="O656" s="3" t="e">
        <f ca="1">SQRT(AVERAGE(K656:OFFSET(K656,$B$8-1,0))*$B$9/(4*LN(2)))</f>
        <v>#DIV/0!</v>
      </c>
      <c r="Q656" s="5" t="e">
        <f t="shared" si="58"/>
        <v>#DIV/0!</v>
      </c>
      <c r="R656" s="5" t="e">
        <f ca="1">SQRT($B$9*AVERAGE((Q656:OFFSET(Q656,$B$5-1,0))))</f>
        <v>#DIV/0!</v>
      </c>
      <c r="S656" s="5" t="e">
        <f ca="1">SQRT($B$9*AVERAGE((Q656:OFFSET(Q656,$B$6-1,0))))</f>
        <v>#DIV/0!</v>
      </c>
      <c r="T656" s="5" t="e">
        <f ca="1">SQRT($B$9*AVERAGE((Q656:OFFSET(Q656,$B$7-1,0))))</f>
        <v>#DIV/0!</v>
      </c>
      <c r="U656" s="5" t="e">
        <f ca="1">SQRT($B$9*AVERAGE((Q656:OFFSET(Q656,$B$8-1,0))))</f>
        <v>#DIV/0!</v>
      </c>
      <c r="W656" s="6" t="e">
        <f t="shared" si="57"/>
        <v>#DIV/0!</v>
      </c>
      <c r="X656" s="6" t="e">
        <f ca="1">SQRT($B$9*AVERAGE(W656:OFFSET(W656,$B$5-1,0)))</f>
        <v>#DIV/0!</v>
      </c>
      <c r="Y656" s="6" t="e">
        <f ca="1">SQRT($B$9*AVERAGE(W656:OFFSET(W656,$B$6-1,0)))</f>
        <v>#DIV/0!</v>
      </c>
      <c r="Z656" s="6" t="e">
        <f ca="1">SQRT($B$9*AVERAGE(W656:OFFSET(W656,$B$7-1,0)))</f>
        <v>#DIV/0!</v>
      </c>
      <c r="AA656" s="6" t="e">
        <f ca="1">SQRT($B$9*AVERAGE(W656:OFFSET(W656,$B$8-1,0)))</f>
        <v>#DIV/0!</v>
      </c>
      <c r="AC656" s="34" t="e">
        <f t="shared" si="55"/>
        <v>#DIV/0!</v>
      </c>
      <c r="AD656" s="34" t="e">
        <f ca="1">SQRT($B$9*SUM(AC656:OFFSET(AC656,$B$5-1,0))/($B$5-1))</f>
        <v>#DIV/0!</v>
      </c>
      <c r="AE656" s="34" t="e">
        <f ca="1">SQRT($B$9*SUM(AC656:OFFSET(AC656,$B$6-1,0))/($B$6-1))</f>
        <v>#DIV/0!</v>
      </c>
      <c r="AF656" s="34" t="e">
        <f ca="1">SQRT($B$9*SUM(AC656:OFFSET(AC656,$B$7-1,0))/($B$7-1))</f>
        <v>#DIV/0!</v>
      </c>
      <c r="AG656" s="34" t="e">
        <f ca="1">SQRT($B$9*SUM(AC656:OFFSET(AC656,$B$8-1,0))/($B$8-1))</f>
        <v>#DIV/0!</v>
      </c>
      <c r="AI656" s="1" t="e">
        <f t="shared" si="56"/>
        <v>#DIV/0!</v>
      </c>
      <c r="AJ656" s="4" t="e">
        <f ca="1">SQRT($B$9)*_xlfn.STDEV.S(AI656:OFFSET(AI656,$B$5-1,0))</f>
        <v>#DIV/0!</v>
      </c>
      <c r="AK656" s="4" t="e">
        <f ca="1">SQRT($B$9)*_xlfn.STDEV.S(AI656:OFFSET(AI656,$B$6-1,0))</f>
        <v>#DIV/0!</v>
      </c>
      <c r="AL656" s="4" t="e">
        <f ca="1">SQRT($B$9)*_xlfn.STDEV.S(AI656:OFFSET(AI656,$B$7-1,0))</f>
        <v>#DIV/0!</v>
      </c>
      <c r="AM656" s="4" t="e">
        <f ca="1">SQRT($B$9)*_xlfn.STDEV.S(AI656:OFFSET(AI656,$B$8-1,0))</f>
        <v>#DIV/0!</v>
      </c>
    </row>
    <row r="657" spans="5:39" x14ac:dyDescent="0.2">
      <c r="E657" s="42">
        <v>44494</v>
      </c>
      <c r="F657" s="43"/>
      <c r="G657" s="43"/>
      <c r="H657" s="43"/>
      <c r="I657" s="43"/>
      <c r="K657" s="3" t="e">
        <f t="shared" si="59"/>
        <v>#DIV/0!</v>
      </c>
      <c r="L657" s="3" t="e">
        <f ca="1">SQRT(AVERAGE(K657:OFFSET(K657,$B$5-1,0))*$B$9/(4*LN(2)))</f>
        <v>#DIV/0!</v>
      </c>
      <c r="M657" s="3" t="e">
        <f ca="1">SQRT(AVERAGE(K657:OFFSET(K657,$B$6-1,0))*$B$9/(4*LN(2)))</f>
        <v>#DIV/0!</v>
      </c>
      <c r="N657" s="3" t="e">
        <f ca="1">SQRT(AVERAGE(K657:OFFSET(K657,$B$7-1,0))*$B$9/(4*LN(2)))</f>
        <v>#DIV/0!</v>
      </c>
      <c r="O657" s="3" t="e">
        <f ca="1">SQRT(AVERAGE(K657:OFFSET(K657,$B$8-1,0))*$B$9/(4*LN(2)))</f>
        <v>#DIV/0!</v>
      </c>
      <c r="Q657" s="5" t="e">
        <f t="shared" si="58"/>
        <v>#DIV/0!</v>
      </c>
      <c r="R657" s="5" t="e">
        <f ca="1">SQRT($B$9*AVERAGE((Q657:OFFSET(Q657,$B$5-1,0))))</f>
        <v>#DIV/0!</v>
      </c>
      <c r="S657" s="5" t="e">
        <f ca="1">SQRT($B$9*AVERAGE((Q657:OFFSET(Q657,$B$6-1,0))))</f>
        <v>#DIV/0!</v>
      </c>
      <c r="T657" s="5" t="e">
        <f ca="1">SQRT($B$9*AVERAGE((Q657:OFFSET(Q657,$B$7-1,0))))</f>
        <v>#DIV/0!</v>
      </c>
      <c r="U657" s="5" t="e">
        <f ca="1">SQRT($B$9*AVERAGE((Q657:OFFSET(Q657,$B$8-1,0))))</f>
        <v>#DIV/0!</v>
      </c>
      <c r="W657" s="6" t="e">
        <f t="shared" si="57"/>
        <v>#DIV/0!</v>
      </c>
      <c r="X657" s="6" t="e">
        <f ca="1">SQRT($B$9*AVERAGE(W657:OFFSET(W657,$B$5-1,0)))</f>
        <v>#DIV/0!</v>
      </c>
      <c r="Y657" s="6" t="e">
        <f ca="1">SQRT($B$9*AVERAGE(W657:OFFSET(W657,$B$6-1,0)))</f>
        <v>#DIV/0!</v>
      </c>
      <c r="Z657" s="6" t="e">
        <f ca="1">SQRT($B$9*AVERAGE(W657:OFFSET(W657,$B$7-1,0)))</f>
        <v>#DIV/0!</v>
      </c>
      <c r="AA657" s="6" t="e">
        <f ca="1">SQRT($B$9*AVERAGE(W657:OFFSET(W657,$B$8-1,0)))</f>
        <v>#DIV/0!</v>
      </c>
      <c r="AC657" s="34" t="e">
        <f t="shared" ref="AC657:AC720" si="60">(LN(I657/I658))^2</f>
        <v>#DIV/0!</v>
      </c>
      <c r="AD657" s="34" t="e">
        <f ca="1">SQRT($B$9*SUM(AC657:OFFSET(AC657,$B$5-1,0))/($B$5-1))</f>
        <v>#DIV/0!</v>
      </c>
      <c r="AE657" s="34" t="e">
        <f ca="1">SQRT($B$9*SUM(AC657:OFFSET(AC657,$B$6-1,0))/($B$6-1))</f>
        <v>#DIV/0!</v>
      </c>
      <c r="AF657" s="34" t="e">
        <f ca="1">SQRT($B$9*SUM(AC657:OFFSET(AC657,$B$7-1,0))/($B$7-1))</f>
        <v>#DIV/0!</v>
      </c>
      <c r="AG657" s="34" t="e">
        <f ca="1">SQRT($B$9*SUM(AC657:OFFSET(AC657,$B$8-1,0))/($B$8-1))</f>
        <v>#DIV/0!</v>
      </c>
      <c r="AI657" s="1" t="e">
        <f t="shared" si="56"/>
        <v>#DIV/0!</v>
      </c>
      <c r="AJ657" s="4" t="e">
        <f ca="1">SQRT($B$9)*_xlfn.STDEV.S(AI657:OFFSET(AI657,$B$5-1,0))</f>
        <v>#DIV/0!</v>
      </c>
      <c r="AK657" s="4" t="e">
        <f ca="1">SQRT($B$9)*_xlfn.STDEV.S(AI657:OFFSET(AI657,$B$6-1,0))</f>
        <v>#DIV/0!</v>
      </c>
      <c r="AL657" s="4" t="e">
        <f ca="1">SQRT($B$9)*_xlfn.STDEV.S(AI657:OFFSET(AI657,$B$7-1,0))</f>
        <v>#DIV/0!</v>
      </c>
      <c r="AM657" s="4" t="e">
        <f ca="1">SQRT($B$9)*_xlfn.STDEV.S(AI657:OFFSET(AI657,$B$8-1,0))</f>
        <v>#DIV/0!</v>
      </c>
    </row>
    <row r="658" spans="5:39" x14ac:dyDescent="0.2">
      <c r="E658" s="42">
        <v>44491</v>
      </c>
      <c r="F658" s="43"/>
      <c r="G658" s="43"/>
      <c r="H658" s="43"/>
      <c r="I658" s="43"/>
      <c r="K658" s="3" t="e">
        <f t="shared" si="59"/>
        <v>#DIV/0!</v>
      </c>
      <c r="L658" s="3" t="e">
        <f ca="1">SQRT(AVERAGE(K658:OFFSET(K658,$B$5-1,0))*$B$9/(4*LN(2)))</f>
        <v>#DIV/0!</v>
      </c>
      <c r="M658" s="3" t="e">
        <f ca="1">SQRT(AVERAGE(K658:OFFSET(K658,$B$6-1,0))*$B$9/(4*LN(2)))</f>
        <v>#DIV/0!</v>
      </c>
      <c r="N658" s="3" t="e">
        <f ca="1">SQRT(AVERAGE(K658:OFFSET(K658,$B$7-1,0))*$B$9/(4*LN(2)))</f>
        <v>#DIV/0!</v>
      </c>
      <c r="O658" s="3" t="e">
        <f ca="1">SQRT(AVERAGE(K658:OFFSET(K658,$B$8-1,0))*$B$9/(4*LN(2)))</f>
        <v>#DIV/0!</v>
      </c>
      <c r="Q658" s="5" t="e">
        <f t="shared" si="58"/>
        <v>#DIV/0!</v>
      </c>
      <c r="R658" s="5" t="e">
        <f ca="1">SQRT($B$9*AVERAGE((Q658:OFFSET(Q658,$B$5-1,0))))</f>
        <v>#DIV/0!</v>
      </c>
      <c r="S658" s="5" t="e">
        <f ca="1">SQRT($B$9*AVERAGE((Q658:OFFSET(Q658,$B$6-1,0))))</f>
        <v>#DIV/0!</v>
      </c>
      <c r="T658" s="5" t="e">
        <f ca="1">SQRT($B$9*AVERAGE((Q658:OFFSET(Q658,$B$7-1,0))))</f>
        <v>#DIV/0!</v>
      </c>
      <c r="U658" s="5" t="e">
        <f ca="1">SQRT($B$9*AVERAGE((Q658:OFFSET(Q658,$B$8-1,0))))</f>
        <v>#DIV/0!</v>
      </c>
      <c r="W658" s="6" t="e">
        <f t="shared" si="57"/>
        <v>#DIV/0!</v>
      </c>
      <c r="X658" s="6" t="e">
        <f ca="1">SQRT($B$9*AVERAGE(W658:OFFSET(W658,$B$5-1,0)))</f>
        <v>#DIV/0!</v>
      </c>
      <c r="Y658" s="6" t="e">
        <f ca="1">SQRT($B$9*AVERAGE(W658:OFFSET(W658,$B$6-1,0)))</f>
        <v>#DIV/0!</v>
      </c>
      <c r="Z658" s="6" t="e">
        <f ca="1">SQRT($B$9*AVERAGE(W658:OFFSET(W658,$B$7-1,0)))</f>
        <v>#DIV/0!</v>
      </c>
      <c r="AA658" s="6" t="e">
        <f ca="1">SQRT($B$9*AVERAGE(W658:OFFSET(W658,$B$8-1,0)))</f>
        <v>#DIV/0!</v>
      </c>
      <c r="AC658" s="34" t="e">
        <f t="shared" si="60"/>
        <v>#DIV/0!</v>
      </c>
      <c r="AD658" s="34" t="e">
        <f ca="1">SQRT($B$9*SUM(AC658:OFFSET(AC658,$B$5-1,0))/($B$5-1))</f>
        <v>#DIV/0!</v>
      </c>
      <c r="AE658" s="34" t="e">
        <f ca="1">SQRT($B$9*SUM(AC658:OFFSET(AC658,$B$6-1,0))/($B$6-1))</f>
        <v>#DIV/0!</v>
      </c>
      <c r="AF658" s="34" t="e">
        <f ca="1">SQRT($B$9*SUM(AC658:OFFSET(AC658,$B$7-1,0))/($B$7-1))</f>
        <v>#DIV/0!</v>
      </c>
      <c r="AG658" s="34" t="e">
        <f ca="1">SQRT($B$9*SUM(AC658:OFFSET(AC658,$B$8-1,0))/($B$8-1))</f>
        <v>#DIV/0!</v>
      </c>
      <c r="AI658" s="1" t="e">
        <f t="shared" si="56"/>
        <v>#DIV/0!</v>
      </c>
      <c r="AJ658" s="4" t="e">
        <f ca="1">SQRT($B$9)*_xlfn.STDEV.S(AI658:OFFSET(AI658,$B$5-1,0))</f>
        <v>#DIV/0!</v>
      </c>
      <c r="AK658" s="4" t="e">
        <f ca="1">SQRT($B$9)*_xlfn.STDEV.S(AI658:OFFSET(AI658,$B$6-1,0))</f>
        <v>#DIV/0!</v>
      </c>
      <c r="AL658" s="4" t="e">
        <f ca="1">SQRT($B$9)*_xlfn.STDEV.S(AI658:OFFSET(AI658,$B$7-1,0))</f>
        <v>#DIV/0!</v>
      </c>
      <c r="AM658" s="4" t="e">
        <f ca="1">SQRT($B$9)*_xlfn.STDEV.S(AI658:OFFSET(AI658,$B$8-1,0))</f>
        <v>#DIV/0!</v>
      </c>
    </row>
    <row r="659" spans="5:39" x14ac:dyDescent="0.2">
      <c r="E659" s="42">
        <v>44490</v>
      </c>
      <c r="F659" s="43"/>
      <c r="G659" s="43"/>
      <c r="H659" s="43"/>
      <c r="I659" s="43"/>
      <c r="K659" s="3" t="e">
        <f t="shared" si="59"/>
        <v>#DIV/0!</v>
      </c>
      <c r="L659" s="3" t="e">
        <f ca="1">SQRT(AVERAGE(K659:OFFSET(K659,$B$5-1,0))*$B$9/(4*LN(2)))</f>
        <v>#DIV/0!</v>
      </c>
      <c r="M659" s="3" t="e">
        <f ca="1">SQRT(AVERAGE(K659:OFFSET(K659,$B$6-1,0))*$B$9/(4*LN(2)))</f>
        <v>#DIV/0!</v>
      </c>
      <c r="N659" s="3" t="e">
        <f ca="1">SQRT(AVERAGE(K659:OFFSET(K659,$B$7-1,0))*$B$9/(4*LN(2)))</f>
        <v>#DIV/0!</v>
      </c>
      <c r="O659" s="3" t="e">
        <f ca="1">SQRT(AVERAGE(K659:OFFSET(K659,$B$8-1,0))*$B$9/(4*LN(2)))</f>
        <v>#DIV/0!</v>
      </c>
      <c r="Q659" s="5" t="e">
        <f t="shared" si="58"/>
        <v>#DIV/0!</v>
      </c>
      <c r="R659" s="5" t="e">
        <f ca="1">SQRT($B$9*AVERAGE((Q659:OFFSET(Q659,$B$5-1,0))))</f>
        <v>#DIV/0!</v>
      </c>
      <c r="S659" s="5" t="e">
        <f ca="1">SQRT($B$9*AVERAGE((Q659:OFFSET(Q659,$B$6-1,0))))</f>
        <v>#DIV/0!</v>
      </c>
      <c r="T659" s="5" t="e">
        <f ca="1">SQRT($B$9*AVERAGE((Q659:OFFSET(Q659,$B$7-1,0))))</f>
        <v>#DIV/0!</v>
      </c>
      <c r="U659" s="5" t="e">
        <f ca="1">SQRT($B$9*AVERAGE((Q659:OFFSET(Q659,$B$8-1,0))))</f>
        <v>#DIV/0!</v>
      </c>
      <c r="W659" s="6" t="e">
        <f t="shared" si="57"/>
        <v>#DIV/0!</v>
      </c>
      <c r="X659" s="6" t="e">
        <f ca="1">SQRT($B$9*AVERAGE(W659:OFFSET(W659,$B$5-1,0)))</f>
        <v>#DIV/0!</v>
      </c>
      <c r="Y659" s="6" t="e">
        <f ca="1">SQRT($B$9*AVERAGE(W659:OFFSET(W659,$B$6-1,0)))</f>
        <v>#DIV/0!</v>
      </c>
      <c r="Z659" s="6" t="e">
        <f ca="1">SQRT($B$9*AVERAGE(W659:OFFSET(W659,$B$7-1,0)))</f>
        <v>#DIV/0!</v>
      </c>
      <c r="AA659" s="6" t="e">
        <f ca="1">SQRT($B$9*AVERAGE(W659:OFFSET(W659,$B$8-1,0)))</f>
        <v>#DIV/0!</v>
      </c>
      <c r="AC659" s="34" t="e">
        <f t="shared" si="60"/>
        <v>#DIV/0!</v>
      </c>
      <c r="AD659" s="34" t="e">
        <f ca="1">SQRT($B$9*SUM(AC659:OFFSET(AC659,$B$5-1,0))/($B$5-1))</f>
        <v>#DIV/0!</v>
      </c>
      <c r="AE659" s="34" t="e">
        <f ca="1">SQRT($B$9*SUM(AC659:OFFSET(AC659,$B$6-1,0))/($B$6-1))</f>
        <v>#DIV/0!</v>
      </c>
      <c r="AF659" s="34" t="e">
        <f ca="1">SQRT($B$9*SUM(AC659:OFFSET(AC659,$B$7-1,0))/($B$7-1))</f>
        <v>#DIV/0!</v>
      </c>
      <c r="AG659" s="34" t="e">
        <f ca="1">SQRT($B$9*SUM(AC659:OFFSET(AC659,$B$8-1,0))/($B$8-1))</f>
        <v>#DIV/0!</v>
      </c>
      <c r="AI659" s="1" t="e">
        <f t="shared" ref="AI659:AI722" si="61">LN(I659/I660)</f>
        <v>#DIV/0!</v>
      </c>
      <c r="AJ659" s="4" t="e">
        <f ca="1">SQRT($B$9)*_xlfn.STDEV.S(AI659:OFFSET(AI659,$B$5-1,0))</f>
        <v>#DIV/0!</v>
      </c>
      <c r="AK659" s="4" t="e">
        <f ca="1">SQRT($B$9)*_xlfn.STDEV.S(AI659:OFFSET(AI659,$B$6-1,0))</f>
        <v>#DIV/0!</v>
      </c>
      <c r="AL659" s="4" t="e">
        <f ca="1">SQRT($B$9)*_xlfn.STDEV.S(AI659:OFFSET(AI659,$B$7-1,0))</f>
        <v>#DIV/0!</v>
      </c>
      <c r="AM659" s="4" t="e">
        <f ca="1">SQRT($B$9)*_xlfn.STDEV.S(AI659:OFFSET(AI659,$B$8-1,0))</f>
        <v>#DIV/0!</v>
      </c>
    </row>
    <row r="660" spans="5:39" x14ac:dyDescent="0.2">
      <c r="E660" s="42">
        <v>44489</v>
      </c>
      <c r="F660" s="43"/>
      <c r="G660" s="43"/>
      <c r="H660" s="43"/>
      <c r="I660" s="43"/>
      <c r="K660" s="3" t="e">
        <f t="shared" si="59"/>
        <v>#DIV/0!</v>
      </c>
      <c r="L660" s="3" t="e">
        <f ca="1">SQRT(AVERAGE(K660:OFFSET(K660,$B$5-1,0))*$B$9/(4*LN(2)))</f>
        <v>#DIV/0!</v>
      </c>
      <c r="M660" s="3" t="e">
        <f ca="1">SQRT(AVERAGE(K660:OFFSET(K660,$B$6-1,0))*$B$9/(4*LN(2)))</f>
        <v>#DIV/0!</v>
      </c>
      <c r="N660" s="3" t="e">
        <f ca="1">SQRT(AVERAGE(K660:OFFSET(K660,$B$7-1,0))*$B$9/(4*LN(2)))</f>
        <v>#DIV/0!</v>
      </c>
      <c r="O660" s="3" t="e">
        <f ca="1">SQRT(AVERAGE(K660:OFFSET(K660,$B$8-1,0))*$B$9/(4*LN(2)))</f>
        <v>#DIV/0!</v>
      </c>
      <c r="Q660" s="5" t="e">
        <f t="shared" si="58"/>
        <v>#DIV/0!</v>
      </c>
      <c r="R660" s="5" t="e">
        <f ca="1">SQRT($B$9*AVERAGE((Q660:OFFSET(Q660,$B$5-1,0))))</f>
        <v>#DIV/0!</v>
      </c>
      <c r="S660" s="5" t="e">
        <f ca="1">SQRT($B$9*AVERAGE((Q660:OFFSET(Q660,$B$6-1,0))))</f>
        <v>#DIV/0!</v>
      </c>
      <c r="T660" s="5" t="e">
        <f ca="1">SQRT($B$9*AVERAGE((Q660:OFFSET(Q660,$B$7-1,0))))</f>
        <v>#DIV/0!</v>
      </c>
      <c r="U660" s="5" t="e">
        <f ca="1">SQRT($B$9*AVERAGE((Q660:OFFSET(Q660,$B$8-1,0))))</f>
        <v>#DIV/0!</v>
      </c>
      <c r="W660" s="6" t="e">
        <f t="shared" si="57"/>
        <v>#DIV/0!</v>
      </c>
      <c r="X660" s="6" t="e">
        <f ca="1">SQRT($B$9*AVERAGE(W660:OFFSET(W660,$B$5-1,0)))</f>
        <v>#DIV/0!</v>
      </c>
      <c r="Y660" s="6" t="e">
        <f ca="1">SQRT($B$9*AVERAGE(W660:OFFSET(W660,$B$6-1,0)))</f>
        <v>#DIV/0!</v>
      </c>
      <c r="Z660" s="6" t="e">
        <f ca="1">SQRT($B$9*AVERAGE(W660:OFFSET(W660,$B$7-1,0)))</f>
        <v>#DIV/0!</v>
      </c>
      <c r="AA660" s="6" t="e">
        <f ca="1">SQRT($B$9*AVERAGE(W660:OFFSET(W660,$B$8-1,0)))</f>
        <v>#DIV/0!</v>
      </c>
      <c r="AC660" s="34" t="e">
        <f t="shared" si="60"/>
        <v>#DIV/0!</v>
      </c>
      <c r="AD660" s="34" t="e">
        <f ca="1">SQRT($B$9*SUM(AC660:OFFSET(AC660,$B$5-1,0))/($B$5-1))</f>
        <v>#DIV/0!</v>
      </c>
      <c r="AE660" s="34" t="e">
        <f ca="1">SQRT($B$9*SUM(AC660:OFFSET(AC660,$B$6-1,0))/($B$6-1))</f>
        <v>#DIV/0!</v>
      </c>
      <c r="AF660" s="34" t="e">
        <f ca="1">SQRT($B$9*SUM(AC660:OFFSET(AC660,$B$7-1,0))/($B$7-1))</f>
        <v>#DIV/0!</v>
      </c>
      <c r="AG660" s="34" t="e">
        <f ca="1">SQRT($B$9*SUM(AC660:OFFSET(AC660,$B$8-1,0))/($B$8-1))</f>
        <v>#DIV/0!</v>
      </c>
      <c r="AI660" s="1" t="e">
        <f t="shared" si="61"/>
        <v>#DIV/0!</v>
      </c>
      <c r="AJ660" s="4" t="e">
        <f ca="1">SQRT($B$9)*_xlfn.STDEV.S(AI660:OFFSET(AI660,$B$5-1,0))</f>
        <v>#DIV/0!</v>
      </c>
      <c r="AK660" s="4" t="e">
        <f ca="1">SQRT($B$9)*_xlfn.STDEV.S(AI660:OFFSET(AI660,$B$6-1,0))</f>
        <v>#DIV/0!</v>
      </c>
      <c r="AL660" s="4" t="e">
        <f ca="1">SQRT($B$9)*_xlfn.STDEV.S(AI660:OFFSET(AI660,$B$7-1,0))</f>
        <v>#DIV/0!</v>
      </c>
      <c r="AM660" s="4" t="e">
        <f ca="1">SQRT($B$9)*_xlfn.STDEV.S(AI660:OFFSET(AI660,$B$8-1,0))</f>
        <v>#DIV/0!</v>
      </c>
    </row>
    <row r="661" spans="5:39" x14ac:dyDescent="0.2">
      <c r="E661" s="42">
        <v>44488</v>
      </c>
      <c r="F661" s="43"/>
      <c r="G661" s="43"/>
      <c r="H661" s="43"/>
      <c r="I661" s="43"/>
      <c r="K661" s="3" t="e">
        <f t="shared" si="59"/>
        <v>#DIV/0!</v>
      </c>
      <c r="L661" s="3" t="e">
        <f ca="1">SQRT(AVERAGE(K661:OFFSET(K661,$B$5-1,0))*$B$9/(4*LN(2)))</f>
        <v>#DIV/0!</v>
      </c>
      <c r="M661" s="3" t="e">
        <f ca="1">SQRT(AVERAGE(K661:OFFSET(K661,$B$6-1,0))*$B$9/(4*LN(2)))</f>
        <v>#DIV/0!</v>
      </c>
      <c r="N661" s="3" t="e">
        <f ca="1">SQRT(AVERAGE(K661:OFFSET(K661,$B$7-1,0))*$B$9/(4*LN(2)))</f>
        <v>#DIV/0!</v>
      </c>
      <c r="O661" s="3" t="e">
        <f ca="1">SQRT(AVERAGE(K661:OFFSET(K661,$B$8-1,0))*$B$9/(4*LN(2)))</f>
        <v>#DIV/0!</v>
      </c>
      <c r="Q661" s="5" t="e">
        <f t="shared" si="58"/>
        <v>#DIV/0!</v>
      </c>
      <c r="R661" s="5" t="e">
        <f ca="1">SQRT($B$9*AVERAGE((Q661:OFFSET(Q661,$B$5-1,0))))</f>
        <v>#DIV/0!</v>
      </c>
      <c r="S661" s="5" t="e">
        <f ca="1">SQRT($B$9*AVERAGE((Q661:OFFSET(Q661,$B$6-1,0))))</f>
        <v>#DIV/0!</v>
      </c>
      <c r="T661" s="5" t="e">
        <f ca="1">SQRT($B$9*AVERAGE((Q661:OFFSET(Q661,$B$7-1,0))))</f>
        <v>#DIV/0!</v>
      </c>
      <c r="U661" s="5" t="e">
        <f ca="1">SQRT($B$9*AVERAGE((Q661:OFFSET(Q661,$B$8-1,0))))</f>
        <v>#DIV/0!</v>
      </c>
      <c r="W661" s="6" t="e">
        <f t="shared" si="57"/>
        <v>#DIV/0!</v>
      </c>
      <c r="X661" s="6" t="e">
        <f ca="1">SQRT($B$9*AVERAGE(W661:OFFSET(W661,$B$5-1,0)))</f>
        <v>#DIV/0!</v>
      </c>
      <c r="Y661" s="6" t="e">
        <f ca="1">SQRT($B$9*AVERAGE(W661:OFFSET(W661,$B$6-1,0)))</f>
        <v>#DIV/0!</v>
      </c>
      <c r="Z661" s="6" t="e">
        <f ca="1">SQRT($B$9*AVERAGE(W661:OFFSET(W661,$B$7-1,0)))</f>
        <v>#DIV/0!</v>
      </c>
      <c r="AA661" s="6" t="e">
        <f ca="1">SQRT($B$9*AVERAGE(W661:OFFSET(W661,$B$8-1,0)))</f>
        <v>#DIV/0!</v>
      </c>
      <c r="AC661" s="34" t="e">
        <f t="shared" si="60"/>
        <v>#DIV/0!</v>
      </c>
      <c r="AD661" s="34" t="e">
        <f ca="1">SQRT($B$9*SUM(AC661:OFFSET(AC661,$B$5-1,0))/($B$5-1))</f>
        <v>#DIV/0!</v>
      </c>
      <c r="AE661" s="34" t="e">
        <f ca="1">SQRT($B$9*SUM(AC661:OFFSET(AC661,$B$6-1,0))/($B$6-1))</f>
        <v>#DIV/0!</v>
      </c>
      <c r="AF661" s="34" t="e">
        <f ca="1">SQRT($B$9*SUM(AC661:OFFSET(AC661,$B$7-1,0))/($B$7-1))</f>
        <v>#DIV/0!</v>
      </c>
      <c r="AG661" s="34" t="e">
        <f ca="1">SQRT($B$9*SUM(AC661:OFFSET(AC661,$B$8-1,0))/($B$8-1))</f>
        <v>#DIV/0!</v>
      </c>
      <c r="AI661" s="1" t="e">
        <f t="shared" si="61"/>
        <v>#DIV/0!</v>
      </c>
      <c r="AJ661" s="4" t="e">
        <f ca="1">SQRT($B$9)*_xlfn.STDEV.S(AI661:OFFSET(AI661,$B$5-1,0))</f>
        <v>#DIV/0!</v>
      </c>
      <c r="AK661" s="4" t="e">
        <f ca="1">SQRT($B$9)*_xlfn.STDEV.S(AI661:OFFSET(AI661,$B$6-1,0))</f>
        <v>#DIV/0!</v>
      </c>
      <c r="AL661" s="4" t="e">
        <f ca="1">SQRT($B$9)*_xlfn.STDEV.S(AI661:OFFSET(AI661,$B$7-1,0))</f>
        <v>#DIV/0!</v>
      </c>
      <c r="AM661" s="4" t="e">
        <f ca="1">SQRT($B$9)*_xlfn.STDEV.S(AI661:OFFSET(AI661,$B$8-1,0))</f>
        <v>#DIV/0!</v>
      </c>
    </row>
    <row r="662" spans="5:39" x14ac:dyDescent="0.2">
      <c r="E662" s="42">
        <v>44487</v>
      </c>
      <c r="F662" s="43"/>
      <c r="G662" s="43"/>
      <c r="H662" s="43"/>
      <c r="I662" s="43"/>
      <c r="K662" s="3" t="e">
        <f t="shared" si="59"/>
        <v>#DIV/0!</v>
      </c>
      <c r="L662" s="3" t="e">
        <f ca="1">SQRT(AVERAGE(K662:OFFSET(K662,$B$5-1,0))*$B$9/(4*LN(2)))</f>
        <v>#DIV/0!</v>
      </c>
      <c r="M662" s="3" t="e">
        <f ca="1">SQRT(AVERAGE(K662:OFFSET(K662,$B$6-1,0))*$B$9/(4*LN(2)))</f>
        <v>#DIV/0!</v>
      </c>
      <c r="N662" s="3" t="e">
        <f ca="1">SQRT(AVERAGE(K662:OFFSET(K662,$B$7-1,0))*$B$9/(4*LN(2)))</f>
        <v>#DIV/0!</v>
      </c>
      <c r="O662" s="3" t="e">
        <f ca="1">SQRT(AVERAGE(K662:OFFSET(K662,$B$8-1,0))*$B$9/(4*LN(2)))</f>
        <v>#DIV/0!</v>
      </c>
      <c r="Q662" s="5" t="e">
        <f t="shared" si="58"/>
        <v>#DIV/0!</v>
      </c>
      <c r="R662" s="5" t="e">
        <f ca="1">SQRT($B$9*AVERAGE((Q662:OFFSET(Q662,$B$5-1,0))))</f>
        <v>#DIV/0!</v>
      </c>
      <c r="S662" s="5" t="e">
        <f ca="1">SQRT($B$9*AVERAGE((Q662:OFFSET(Q662,$B$6-1,0))))</f>
        <v>#DIV/0!</v>
      </c>
      <c r="T662" s="5" t="e">
        <f ca="1">SQRT($B$9*AVERAGE((Q662:OFFSET(Q662,$B$7-1,0))))</f>
        <v>#DIV/0!</v>
      </c>
      <c r="U662" s="5" t="e">
        <f ca="1">SQRT($B$9*AVERAGE((Q662:OFFSET(Q662,$B$8-1,0))))</f>
        <v>#DIV/0!</v>
      </c>
      <c r="W662" s="6" t="e">
        <f t="shared" si="57"/>
        <v>#DIV/0!</v>
      </c>
      <c r="X662" s="6" t="e">
        <f ca="1">SQRT($B$9*AVERAGE(W662:OFFSET(W662,$B$5-1,0)))</f>
        <v>#DIV/0!</v>
      </c>
      <c r="Y662" s="6" t="e">
        <f ca="1">SQRT($B$9*AVERAGE(W662:OFFSET(W662,$B$6-1,0)))</f>
        <v>#DIV/0!</v>
      </c>
      <c r="Z662" s="6" t="e">
        <f ca="1">SQRT($B$9*AVERAGE(W662:OFFSET(W662,$B$7-1,0)))</f>
        <v>#DIV/0!</v>
      </c>
      <c r="AA662" s="6" t="e">
        <f ca="1">SQRT($B$9*AVERAGE(W662:OFFSET(W662,$B$8-1,0)))</f>
        <v>#DIV/0!</v>
      </c>
      <c r="AC662" s="34" t="e">
        <f t="shared" si="60"/>
        <v>#DIV/0!</v>
      </c>
      <c r="AD662" s="34" t="e">
        <f ca="1">SQRT($B$9*SUM(AC662:OFFSET(AC662,$B$5-1,0))/($B$5-1))</f>
        <v>#DIV/0!</v>
      </c>
      <c r="AE662" s="34" t="e">
        <f ca="1">SQRT($B$9*SUM(AC662:OFFSET(AC662,$B$6-1,0))/($B$6-1))</f>
        <v>#DIV/0!</v>
      </c>
      <c r="AF662" s="34" t="e">
        <f ca="1">SQRT($B$9*SUM(AC662:OFFSET(AC662,$B$7-1,0))/($B$7-1))</f>
        <v>#DIV/0!</v>
      </c>
      <c r="AG662" s="34" t="e">
        <f ca="1">SQRT($B$9*SUM(AC662:OFFSET(AC662,$B$8-1,0))/($B$8-1))</f>
        <v>#DIV/0!</v>
      </c>
      <c r="AI662" s="1" t="e">
        <f t="shared" si="61"/>
        <v>#DIV/0!</v>
      </c>
      <c r="AJ662" s="4" t="e">
        <f ca="1">SQRT($B$9)*_xlfn.STDEV.S(AI662:OFFSET(AI662,$B$5-1,0))</f>
        <v>#DIV/0!</v>
      </c>
      <c r="AK662" s="4" t="e">
        <f ca="1">SQRT($B$9)*_xlfn.STDEV.S(AI662:OFFSET(AI662,$B$6-1,0))</f>
        <v>#DIV/0!</v>
      </c>
      <c r="AL662" s="4" t="e">
        <f ca="1">SQRT($B$9)*_xlfn.STDEV.S(AI662:OFFSET(AI662,$B$7-1,0))</f>
        <v>#DIV/0!</v>
      </c>
      <c r="AM662" s="4" t="e">
        <f ca="1">SQRT($B$9)*_xlfn.STDEV.S(AI662:OFFSET(AI662,$B$8-1,0))</f>
        <v>#DIV/0!</v>
      </c>
    </row>
    <row r="663" spans="5:39" x14ac:dyDescent="0.2">
      <c r="E663" s="42">
        <v>44484</v>
      </c>
      <c r="F663" s="43"/>
      <c r="G663" s="43"/>
      <c r="H663" s="43"/>
      <c r="I663" s="43"/>
      <c r="K663" s="3" t="e">
        <f t="shared" si="59"/>
        <v>#DIV/0!</v>
      </c>
      <c r="L663" s="3" t="e">
        <f ca="1">SQRT(AVERAGE(K663:OFFSET(K663,$B$5-1,0))*$B$9/(4*LN(2)))</f>
        <v>#DIV/0!</v>
      </c>
      <c r="M663" s="3" t="e">
        <f ca="1">SQRT(AVERAGE(K663:OFFSET(K663,$B$6-1,0))*$B$9/(4*LN(2)))</f>
        <v>#DIV/0!</v>
      </c>
      <c r="N663" s="3" t="e">
        <f ca="1">SQRT(AVERAGE(K663:OFFSET(K663,$B$7-1,0))*$B$9/(4*LN(2)))</f>
        <v>#DIV/0!</v>
      </c>
      <c r="O663" s="3" t="e">
        <f ca="1">SQRT(AVERAGE(K663:OFFSET(K663,$B$8-1,0))*$B$9/(4*LN(2)))</f>
        <v>#DIV/0!</v>
      </c>
      <c r="Q663" s="5" t="e">
        <f t="shared" si="58"/>
        <v>#DIV/0!</v>
      </c>
      <c r="R663" s="5" t="e">
        <f ca="1">SQRT($B$9*AVERAGE((Q663:OFFSET(Q663,$B$5-1,0))))</f>
        <v>#DIV/0!</v>
      </c>
      <c r="S663" s="5" t="e">
        <f ca="1">SQRT($B$9*AVERAGE((Q663:OFFSET(Q663,$B$6-1,0))))</f>
        <v>#DIV/0!</v>
      </c>
      <c r="T663" s="5" t="e">
        <f ca="1">SQRT($B$9*AVERAGE((Q663:OFFSET(Q663,$B$7-1,0))))</f>
        <v>#DIV/0!</v>
      </c>
      <c r="U663" s="5" t="e">
        <f ca="1">SQRT($B$9*AVERAGE((Q663:OFFSET(Q663,$B$8-1,0))))</f>
        <v>#DIV/0!</v>
      </c>
      <c r="W663" s="6" t="e">
        <f t="shared" si="57"/>
        <v>#DIV/0!</v>
      </c>
      <c r="X663" s="6" t="e">
        <f ca="1">SQRT($B$9*AVERAGE(W663:OFFSET(W663,$B$5-1,0)))</f>
        <v>#DIV/0!</v>
      </c>
      <c r="Y663" s="6" t="e">
        <f ca="1">SQRT($B$9*AVERAGE(W663:OFFSET(W663,$B$6-1,0)))</f>
        <v>#DIV/0!</v>
      </c>
      <c r="Z663" s="6" t="e">
        <f ca="1">SQRT($B$9*AVERAGE(W663:OFFSET(W663,$B$7-1,0)))</f>
        <v>#DIV/0!</v>
      </c>
      <c r="AA663" s="6" t="e">
        <f ca="1">SQRT($B$9*AVERAGE(W663:OFFSET(W663,$B$8-1,0)))</f>
        <v>#DIV/0!</v>
      </c>
      <c r="AC663" s="34" t="e">
        <f t="shared" si="60"/>
        <v>#DIV/0!</v>
      </c>
      <c r="AD663" s="34" t="e">
        <f ca="1">SQRT($B$9*SUM(AC663:OFFSET(AC663,$B$5-1,0))/($B$5-1))</f>
        <v>#DIV/0!</v>
      </c>
      <c r="AE663" s="34" t="e">
        <f ca="1">SQRT($B$9*SUM(AC663:OFFSET(AC663,$B$6-1,0))/($B$6-1))</f>
        <v>#DIV/0!</v>
      </c>
      <c r="AF663" s="34" t="e">
        <f ca="1">SQRT($B$9*SUM(AC663:OFFSET(AC663,$B$7-1,0))/($B$7-1))</f>
        <v>#DIV/0!</v>
      </c>
      <c r="AG663" s="34" t="e">
        <f ca="1">SQRT($B$9*SUM(AC663:OFFSET(AC663,$B$8-1,0))/($B$8-1))</f>
        <v>#DIV/0!</v>
      </c>
      <c r="AI663" s="1" t="e">
        <f t="shared" si="61"/>
        <v>#DIV/0!</v>
      </c>
      <c r="AJ663" s="4" t="e">
        <f ca="1">SQRT($B$9)*_xlfn.STDEV.S(AI663:OFFSET(AI663,$B$5-1,0))</f>
        <v>#DIV/0!</v>
      </c>
      <c r="AK663" s="4" t="e">
        <f ca="1">SQRT($B$9)*_xlfn.STDEV.S(AI663:OFFSET(AI663,$B$6-1,0))</f>
        <v>#DIV/0!</v>
      </c>
      <c r="AL663" s="4" t="e">
        <f ca="1">SQRT($B$9)*_xlfn.STDEV.S(AI663:OFFSET(AI663,$B$7-1,0))</f>
        <v>#DIV/0!</v>
      </c>
      <c r="AM663" s="4" t="e">
        <f ca="1">SQRT($B$9)*_xlfn.STDEV.S(AI663:OFFSET(AI663,$B$8-1,0))</f>
        <v>#DIV/0!</v>
      </c>
    </row>
    <row r="664" spans="5:39" x14ac:dyDescent="0.2">
      <c r="E664" s="42">
        <v>44483</v>
      </c>
      <c r="F664" s="43"/>
      <c r="G664" s="43"/>
      <c r="H664" s="43"/>
      <c r="I664" s="43"/>
      <c r="K664" s="3" t="e">
        <f t="shared" si="59"/>
        <v>#DIV/0!</v>
      </c>
      <c r="L664" s="3" t="e">
        <f ca="1">SQRT(AVERAGE(K664:OFFSET(K664,$B$5-1,0))*$B$9/(4*LN(2)))</f>
        <v>#DIV/0!</v>
      </c>
      <c r="M664" s="3" t="e">
        <f ca="1">SQRT(AVERAGE(K664:OFFSET(K664,$B$6-1,0))*$B$9/(4*LN(2)))</f>
        <v>#DIV/0!</v>
      </c>
      <c r="N664" s="3" t="e">
        <f ca="1">SQRT(AVERAGE(K664:OFFSET(K664,$B$7-1,0))*$B$9/(4*LN(2)))</f>
        <v>#DIV/0!</v>
      </c>
      <c r="O664" s="3" t="e">
        <f ca="1">SQRT(AVERAGE(K664:OFFSET(K664,$B$8-1,0))*$B$9/(4*LN(2)))</f>
        <v>#DIV/0!</v>
      </c>
      <c r="Q664" s="5" t="e">
        <f t="shared" si="58"/>
        <v>#DIV/0!</v>
      </c>
      <c r="R664" s="5" t="e">
        <f ca="1">SQRT($B$9*AVERAGE((Q664:OFFSET(Q664,$B$5-1,0))))</f>
        <v>#DIV/0!</v>
      </c>
      <c r="S664" s="5" t="e">
        <f ca="1">SQRT($B$9*AVERAGE((Q664:OFFSET(Q664,$B$6-1,0))))</f>
        <v>#DIV/0!</v>
      </c>
      <c r="T664" s="5" t="e">
        <f ca="1">SQRT($B$9*AVERAGE((Q664:OFFSET(Q664,$B$7-1,0))))</f>
        <v>#DIV/0!</v>
      </c>
      <c r="U664" s="5" t="e">
        <f ca="1">SQRT($B$9*AVERAGE((Q664:OFFSET(Q664,$B$8-1,0))))</f>
        <v>#DIV/0!</v>
      </c>
      <c r="W664" s="6" t="e">
        <f t="shared" si="57"/>
        <v>#DIV/0!</v>
      </c>
      <c r="X664" s="6" t="e">
        <f ca="1">SQRT($B$9*AVERAGE(W664:OFFSET(W664,$B$5-1,0)))</f>
        <v>#DIV/0!</v>
      </c>
      <c r="Y664" s="6" t="e">
        <f ca="1">SQRT($B$9*AVERAGE(W664:OFFSET(W664,$B$6-1,0)))</f>
        <v>#DIV/0!</v>
      </c>
      <c r="Z664" s="6" t="e">
        <f ca="1">SQRT($B$9*AVERAGE(W664:OFFSET(W664,$B$7-1,0)))</f>
        <v>#DIV/0!</v>
      </c>
      <c r="AA664" s="6" t="e">
        <f ca="1">SQRT($B$9*AVERAGE(W664:OFFSET(W664,$B$8-1,0)))</f>
        <v>#DIV/0!</v>
      </c>
      <c r="AC664" s="34" t="e">
        <f t="shared" si="60"/>
        <v>#DIV/0!</v>
      </c>
      <c r="AD664" s="34" t="e">
        <f ca="1">SQRT($B$9*SUM(AC664:OFFSET(AC664,$B$5-1,0))/($B$5-1))</f>
        <v>#DIV/0!</v>
      </c>
      <c r="AE664" s="34" t="e">
        <f ca="1">SQRT($B$9*SUM(AC664:OFFSET(AC664,$B$6-1,0))/($B$6-1))</f>
        <v>#DIV/0!</v>
      </c>
      <c r="AF664" s="34" t="e">
        <f ca="1">SQRT($B$9*SUM(AC664:OFFSET(AC664,$B$7-1,0))/($B$7-1))</f>
        <v>#DIV/0!</v>
      </c>
      <c r="AG664" s="34" t="e">
        <f ca="1">SQRT($B$9*SUM(AC664:OFFSET(AC664,$B$8-1,0))/($B$8-1))</f>
        <v>#DIV/0!</v>
      </c>
      <c r="AI664" s="1" t="e">
        <f t="shared" si="61"/>
        <v>#DIV/0!</v>
      </c>
      <c r="AJ664" s="4" t="e">
        <f ca="1">SQRT($B$9)*_xlfn.STDEV.S(AI664:OFFSET(AI664,$B$5-1,0))</f>
        <v>#DIV/0!</v>
      </c>
      <c r="AK664" s="4" t="e">
        <f ca="1">SQRT($B$9)*_xlfn.STDEV.S(AI664:OFFSET(AI664,$B$6-1,0))</f>
        <v>#DIV/0!</v>
      </c>
      <c r="AL664" s="4" t="e">
        <f ca="1">SQRT($B$9)*_xlfn.STDEV.S(AI664:OFFSET(AI664,$B$7-1,0))</f>
        <v>#DIV/0!</v>
      </c>
      <c r="AM664" s="4" t="e">
        <f ca="1">SQRT($B$9)*_xlfn.STDEV.S(AI664:OFFSET(AI664,$B$8-1,0))</f>
        <v>#DIV/0!</v>
      </c>
    </row>
    <row r="665" spans="5:39" x14ac:dyDescent="0.2">
      <c r="E665" s="42">
        <v>44482</v>
      </c>
      <c r="F665" s="43"/>
      <c r="G665" s="43"/>
      <c r="H665" s="43"/>
      <c r="I665" s="43"/>
      <c r="K665" s="3" t="e">
        <f t="shared" si="59"/>
        <v>#DIV/0!</v>
      </c>
      <c r="L665" s="3" t="e">
        <f ca="1">SQRT(AVERAGE(K665:OFFSET(K665,$B$5-1,0))*$B$9/(4*LN(2)))</f>
        <v>#DIV/0!</v>
      </c>
      <c r="M665" s="3" t="e">
        <f ca="1">SQRT(AVERAGE(K665:OFFSET(K665,$B$6-1,0))*$B$9/(4*LN(2)))</f>
        <v>#DIV/0!</v>
      </c>
      <c r="N665" s="3" t="e">
        <f ca="1">SQRT(AVERAGE(K665:OFFSET(K665,$B$7-1,0))*$B$9/(4*LN(2)))</f>
        <v>#DIV/0!</v>
      </c>
      <c r="O665" s="3" t="e">
        <f ca="1">SQRT(AVERAGE(K665:OFFSET(K665,$B$8-1,0))*$B$9/(4*LN(2)))</f>
        <v>#DIV/0!</v>
      </c>
      <c r="Q665" s="5" t="e">
        <f t="shared" si="58"/>
        <v>#DIV/0!</v>
      </c>
      <c r="R665" s="5" t="e">
        <f ca="1">SQRT($B$9*AVERAGE((Q665:OFFSET(Q665,$B$5-1,0))))</f>
        <v>#DIV/0!</v>
      </c>
      <c r="S665" s="5" t="e">
        <f ca="1">SQRT($B$9*AVERAGE((Q665:OFFSET(Q665,$B$6-1,0))))</f>
        <v>#DIV/0!</v>
      </c>
      <c r="T665" s="5" t="e">
        <f ca="1">SQRT($B$9*AVERAGE((Q665:OFFSET(Q665,$B$7-1,0))))</f>
        <v>#DIV/0!</v>
      </c>
      <c r="U665" s="5" t="e">
        <f ca="1">SQRT($B$9*AVERAGE((Q665:OFFSET(Q665,$B$8-1,0))))</f>
        <v>#DIV/0!</v>
      </c>
      <c r="W665" s="6" t="e">
        <f t="shared" si="57"/>
        <v>#DIV/0!</v>
      </c>
      <c r="X665" s="6" t="e">
        <f ca="1">SQRT($B$9*AVERAGE(W665:OFFSET(W665,$B$5-1,0)))</f>
        <v>#DIV/0!</v>
      </c>
      <c r="Y665" s="6" t="e">
        <f ca="1">SQRT($B$9*AVERAGE(W665:OFFSET(W665,$B$6-1,0)))</f>
        <v>#DIV/0!</v>
      </c>
      <c r="Z665" s="6" t="e">
        <f ca="1">SQRT($B$9*AVERAGE(W665:OFFSET(W665,$B$7-1,0)))</f>
        <v>#DIV/0!</v>
      </c>
      <c r="AA665" s="6" t="e">
        <f ca="1">SQRT($B$9*AVERAGE(W665:OFFSET(W665,$B$8-1,0)))</f>
        <v>#DIV/0!</v>
      </c>
      <c r="AC665" s="34" t="e">
        <f t="shared" si="60"/>
        <v>#DIV/0!</v>
      </c>
      <c r="AD665" s="34" t="e">
        <f ca="1">SQRT($B$9*SUM(AC665:OFFSET(AC665,$B$5-1,0))/($B$5-1))</f>
        <v>#DIV/0!</v>
      </c>
      <c r="AE665" s="34" t="e">
        <f ca="1">SQRT($B$9*SUM(AC665:OFFSET(AC665,$B$6-1,0))/($B$6-1))</f>
        <v>#DIV/0!</v>
      </c>
      <c r="AF665" s="34" t="e">
        <f ca="1">SQRT($B$9*SUM(AC665:OFFSET(AC665,$B$7-1,0))/($B$7-1))</f>
        <v>#DIV/0!</v>
      </c>
      <c r="AG665" s="34" t="e">
        <f ca="1">SQRT($B$9*SUM(AC665:OFFSET(AC665,$B$8-1,0))/($B$8-1))</f>
        <v>#DIV/0!</v>
      </c>
      <c r="AI665" s="1" t="e">
        <f t="shared" si="61"/>
        <v>#DIV/0!</v>
      </c>
      <c r="AJ665" s="4" t="e">
        <f ca="1">SQRT($B$9)*_xlfn.STDEV.S(AI665:OFFSET(AI665,$B$5-1,0))</f>
        <v>#DIV/0!</v>
      </c>
      <c r="AK665" s="4" t="e">
        <f ca="1">SQRT($B$9)*_xlfn.STDEV.S(AI665:OFFSET(AI665,$B$6-1,0))</f>
        <v>#DIV/0!</v>
      </c>
      <c r="AL665" s="4" t="e">
        <f ca="1">SQRT($B$9)*_xlfn.STDEV.S(AI665:OFFSET(AI665,$B$7-1,0))</f>
        <v>#DIV/0!</v>
      </c>
      <c r="AM665" s="4" t="e">
        <f ca="1">SQRT($B$9)*_xlfn.STDEV.S(AI665:OFFSET(AI665,$B$8-1,0))</f>
        <v>#DIV/0!</v>
      </c>
    </row>
    <row r="666" spans="5:39" x14ac:dyDescent="0.2">
      <c r="E666" s="42">
        <v>44481</v>
      </c>
      <c r="F666" s="43"/>
      <c r="G666" s="43"/>
      <c r="H666" s="43"/>
      <c r="I666" s="43"/>
      <c r="K666" s="3" t="e">
        <f t="shared" si="59"/>
        <v>#DIV/0!</v>
      </c>
      <c r="L666" s="3" t="e">
        <f ca="1">SQRT(AVERAGE(K666:OFFSET(K666,$B$5-1,0))*$B$9/(4*LN(2)))</f>
        <v>#DIV/0!</v>
      </c>
      <c r="M666" s="3" t="e">
        <f ca="1">SQRT(AVERAGE(K666:OFFSET(K666,$B$6-1,0))*$B$9/(4*LN(2)))</f>
        <v>#DIV/0!</v>
      </c>
      <c r="N666" s="3" t="e">
        <f ca="1">SQRT(AVERAGE(K666:OFFSET(K666,$B$7-1,0))*$B$9/(4*LN(2)))</f>
        <v>#DIV/0!</v>
      </c>
      <c r="O666" s="3" t="e">
        <f ca="1">SQRT(AVERAGE(K666:OFFSET(K666,$B$8-1,0))*$B$9/(4*LN(2)))</f>
        <v>#DIV/0!</v>
      </c>
      <c r="Q666" s="5" t="e">
        <f t="shared" si="58"/>
        <v>#DIV/0!</v>
      </c>
      <c r="R666" s="5" t="e">
        <f ca="1">SQRT($B$9*AVERAGE((Q666:OFFSET(Q666,$B$5-1,0))))</f>
        <v>#DIV/0!</v>
      </c>
      <c r="S666" s="5" t="e">
        <f ca="1">SQRT($B$9*AVERAGE((Q666:OFFSET(Q666,$B$6-1,0))))</f>
        <v>#DIV/0!</v>
      </c>
      <c r="T666" s="5" t="e">
        <f ca="1">SQRT($B$9*AVERAGE((Q666:OFFSET(Q666,$B$7-1,0))))</f>
        <v>#DIV/0!</v>
      </c>
      <c r="U666" s="5" t="e">
        <f ca="1">SQRT($B$9*AVERAGE((Q666:OFFSET(Q666,$B$8-1,0))))</f>
        <v>#DIV/0!</v>
      </c>
      <c r="W666" s="6" t="e">
        <f t="shared" si="57"/>
        <v>#DIV/0!</v>
      </c>
      <c r="X666" s="6" t="e">
        <f ca="1">SQRT($B$9*AVERAGE(W666:OFFSET(W666,$B$5-1,0)))</f>
        <v>#DIV/0!</v>
      </c>
      <c r="Y666" s="6" t="e">
        <f ca="1">SQRT($B$9*AVERAGE(W666:OFFSET(W666,$B$6-1,0)))</f>
        <v>#DIV/0!</v>
      </c>
      <c r="Z666" s="6" t="e">
        <f ca="1">SQRT($B$9*AVERAGE(W666:OFFSET(W666,$B$7-1,0)))</f>
        <v>#DIV/0!</v>
      </c>
      <c r="AA666" s="6" t="e">
        <f ca="1">SQRT($B$9*AVERAGE(W666:OFFSET(W666,$B$8-1,0)))</f>
        <v>#DIV/0!</v>
      </c>
      <c r="AC666" s="34" t="e">
        <f t="shared" si="60"/>
        <v>#DIV/0!</v>
      </c>
      <c r="AD666" s="34" t="e">
        <f ca="1">SQRT($B$9*SUM(AC666:OFFSET(AC666,$B$5-1,0))/($B$5-1))</f>
        <v>#DIV/0!</v>
      </c>
      <c r="AE666" s="34" t="e">
        <f ca="1">SQRT($B$9*SUM(AC666:OFFSET(AC666,$B$6-1,0))/($B$6-1))</f>
        <v>#DIV/0!</v>
      </c>
      <c r="AF666" s="34" t="e">
        <f ca="1">SQRT($B$9*SUM(AC666:OFFSET(AC666,$B$7-1,0))/($B$7-1))</f>
        <v>#DIV/0!</v>
      </c>
      <c r="AG666" s="34" t="e">
        <f ca="1">SQRT($B$9*SUM(AC666:OFFSET(AC666,$B$8-1,0))/($B$8-1))</f>
        <v>#DIV/0!</v>
      </c>
      <c r="AI666" s="1" t="e">
        <f t="shared" si="61"/>
        <v>#DIV/0!</v>
      </c>
      <c r="AJ666" s="4" t="e">
        <f ca="1">SQRT($B$9)*_xlfn.STDEV.S(AI666:OFFSET(AI666,$B$5-1,0))</f>
        <v>#DIV/0!</v>
      </c>
      <c r="AK666" s="4" t="e">
        <f ca="1">SQRT($B$9)*_xlfn.STDEV.S(AI666:OFFSET(AI666,$B$6-1,0))</f>
        <v>#DIV/0!</v>
      </c>
      <c r="AL666" s="4" t="e">
        <f ca="1">SQRT($B$9)*_xlfn.STDEV.S(AI666:OFFSET(AI666,$B$7-1,0))</f>
        <v>#DIV/0!</v>
      </c>
      <c r="AM666" s="4" t="e">
        <f ca="1">SQRT($B$9)*_xlfn.STDEV.S(AI666:OFFSET(AI666,$B$8-1,0))</f>
        <v>#DIV/0!</v>
      </c>
    </row>
    <row r="667" spans="5:39" x14ac:dyDescent="0.2">
      <c r="E667" s="42">
        <v>44480</v>
      </c>
      <c r="F667" s="43"/>
      <c r="G667" s="43"/>
      <c r="H667" s="43"/>
      <c r="I667" s="43"/>
      <c r="K667" s="3" t="e">
        <f t="shared" si="59"/>
        <v>#DIV/0!</v>
      </c>
      <c r="L667" s="3" t="e">
        <f ca="1">SQRT(AVERAGE(K667:OFFSET(K667,$B$5-1,0))*$B$9/(4*LN(2)))</f>
        <v>#DIV/0!</v>
      </c>
      <c r="M667" s="3" t="e">
        <f ca="1">SQRT(AVERAGE(K667:OFFSET(K667,$B$6-1,0))*$B$9/(4*LN(2)))</f>
        <v>#DIV/0!</v>
      </c>
      <c r="N667" s="3" t="e">
        <f ca="1">SQRT(AVERAGE(K667:OFFSET(K667,$B$7-1,0))*$B$9/(4*LN(2)))</f>
        <v>#DIV/0!</v>
      </c>
      <c r="O667" s="3" t="e">
        <f ca="1">SQRT(AVERAGE(K667:OFFSET(K667,$B$8-1,0))*$B$9/(4*LN(2)))</f>
        <v>#DIV/0!</v>
      </c>
      <c r="Q667" s="5" t="e">
        <f t="shared" si="58"/>
        <v>#DIV/0!</v>
      </c>
      <c r="R667" s="5" t="e">
        <f ca="1">SQRT($B$9*AVERAGE((Q667:OFFSET(Q667,$B$5-1,0))))</f>
        <v>#DIV/0!</v>
      </c>
      <c r="S667" s="5" t="e">
        <f ca="1">SQRT($B$9*AVERAGE((Q667:OFFSET(Q667,$B$6-1,0))))</f>
        <v>#DIV/0!</v>
      </c>
      <c r="T667" s="5" t="e">
        <f ca="1">SQRT($B$9*AVERAGE((Q667:OFFSET(Q667,$B$7-1,0))))</f>
        <v>#DIV/0!</v>
      </c>
      <c r="U667" s="5" t="e">
        <f ca="1">SQRT($B$9*AVERAGE((Q667:OFFSET(Q667,$B$8-1,0))))</f>
        <v>#DIV/0!</v>
      </c>
      <c r="W667" s="6" t="e">
        <f t="shared" si="57"/>
        <v>#DIV/0!</v>
      </c>
      <c r="X667" s="6" t="e">
        <f ca="1">SQRT($B$9*AVERAGE(W667:OFFSET(W667,$B$5-1,0)))</f>
        <v>#DIV/0!</v>
      </c>
      <c r="Y667" s="6" t="e">
        <f ca="1">SQRT($B$9*AVERAGE(W667:OFFSET(W667,$B$6-1,0)))</f>
        <v>#DIV/0!</v>
      </c>
      <c r="Z667" s="6" t="e">
        <f ca="1">SQRT($B$9*AVERAGE(W667:OFFSET(W667,$B$7-1,0)))</f>
        <v>#DIV/0!</v>
      </c>
      <c r="AA667" s="6" t="e">
        <f ca="1">SQRT($B$9*AVERAGE(W667:OFFSET(W667,$B$8-1,0)))</f>
        <v>#DIV/0!</v>
      </c>
      <c r="AC667" s="34" t="e">
        <f t="shared" si="60"/>
        <v>#DIV/0!</v>
      </c>
      <c r="AD667" s="34" t="e">
        <f ca="1">SQRT($B$9*SUM(AC667:OFFSET(AC667,$B$5-1,0))/($B$5-1))</f>
        <v>#DIV/0!</v>
      </c>
      <c r="AE667" s="34" t="e">
        <f ca="1">SQRT($B$9*SUM(AC667:OFFSET(AC667,$B$6-1,0))/($B$6-1))</f>
        <v>#DIV/0!</v>
      </c>
      <c r="AF667" s="34" t="e">
        <f ca="1">SQRT($B$9*SUM(AC667:OFFSET(AC667,$B$7-1,0))/($B$7-1))</f>
        <v>#DIV/0!</v>
      </c>
      <c r="AG667" s="34" t="e">
        <f ca="1">SQRT($B$9*SUM(AC667:OFFSET(AC667,$B$8-1,0))/($B$8-1))</f>
        <v>#DIV/0!</v>
      </c>
      <c r="AI667" s="1" t="e">
        <f t="shared" si="61"/>
        <v>#DIV/0!</v>
      </c>
      <c r="AJ667" s="4" t="e">
        <f ca="1">SQRT($B$9)*_xlfn.STDEV.S(AI667:OFFSET(AI667,$B$5-1,0))</f>
        <v>#DIV/0!</v>
      </c>
      <c r="AK667" s="4" t="e">
        <f ca="1">SQRT($B$9)*_xlfn.STDEV.S(AI667:OFFSET(AI667,$B$6-1,0))</f>
        <v>#DIV/0!</v>
      </c>
      <c r="AL667" s="4" t="e">
        <f ca="1">SQRT($B$9)*_xlfn.STDEV.S(AI667:OFFSET(AI667,$B$7-1,0))</f>
        <v>#DIV/0!</v>
      </c>
      <c r="AM667" s="4" t="e">
        <f ca="1">SQRT($B$9)*_xlfn.STDEV.S(AI667:OFFSET(AI667,$B$8-1,0))</f>
        <v>#DIV/0!</v>
      </c>
    </row>
    <row r="668" spans="5:39" x14ac:dyDescent="0.2">
      <c r="E668" s="42">
        <v>44477</v>
      </c>
      <c r="F668" s="43"/>
      <c r="G668" s="43"/>
      <c r="H668" s="43"/>
      <c r="I668" s="43"/>
      <c r="K668" s="3" t="e">
        <f t="shared" si="59"/>
        <v>#DIV/0!</v>
      </c>
      <c r="L668" s="3" t="e">
        <f ca="1">SQRT(AVERAGE(K668:OFFSET(K668,$B$5-1,0))*$B$9/(4*LN(2)))</f>
        <v>#DIV/0!</v>
      </c>
      <c r="M668" s="3" t="e">
        <f ca="1">SQRT(AVERAGE(K668:OFFSET(K668,$B$6-1,0))*$B$9/(4*LN(2)))</f>
        <v>#DIV/0!</v>
      </c>
      <c r="N668" s="3" t="e">
        <f ca="1">SQRT(AVERAGE(K668:OFFSET(K668,$B$7-1,0))*$B$9/(4*LN(2)))</f>
        <v>#DIV/0!</v>
      </c>
      <c r="O668" s="3" t="e">
        <f ca="1">SQRT(AVERAGE(K668:OFFSET(K668,$B$8-1,0))*$B$9/(4*LN(2)))</f>
        <v>#DIV/0!</v>
      </c>
      <c r="Q668" s="5" t="e">
        <f t="shared" si="58"/>
        <v>#DIV/0!</v>
      </c>
      <c r="R668" s="5" t="e">
        <f ca="1">SQRT($B$9*AVERAGE((Q668:OFFSET(Q668,$B$5-1,0))))</f>
        <v>#DIV/0!</v>
      </c>
      <c r="S668" s="5" t="e">
        <f ca="1">SQRT($B$9*AVERAGE((Q668:OFFSET(Q668,$B$6-1,0))))</f>
        <v>#DIV/0!</v>
      </c>
      <c r="T668" s="5" t="e">
        <f ca="1">SQRT($B$9*AVERAGE((Q668:OFFSET(Q668,$B$7-1,0))))</f>
        <v>#DIV/0!</v>
      </c>
      <c r="U668" s="5" t="e">
        <f ca="1">SQRT($B$9*AVERAGE((Q668:OFFSET(Q668,$B$8-1,0))))</f>
        <v>#DIV/0!</v>
      </c>
      <c r="W668" s="6" t="e">
        <f t="shared" si="57"/>
        <v>#DIV/0!</v>
      </c>
      <c r="X668" s="6" t="e">
        <f ca="1">SQRT($B$9*AVERAGE(W668:OFFSET(W668,$B$5-1,0)))</f>
        <v>#DIV/0!</v>
      </c>
      <c r="Y668" s="6" t="e">
        <f ca="1">SQRT($B$9*AVERAGE(W668:OFFSET(W668,$B$6-1,0)))</f>
        <v>#DIV/0!</v>
      </c>
      <c r="Z668" s="6" t="e">
        <f ca="1">SQRT($B$9*AVERAGE(W668:OFFSET(W668,$B$7-1,0)))</f>
        <v>#DIV/0!</v>
      </c>
      <c r="AA668" s="6" t="e">
        <f ca="1">SQRT($B$9*AVERAGE(W668:OFFSET(W668,$B$8-1,0)))</f>
        <v>#DIV/0!</v>
      </c>
      <c r="AC668" s="34" t="e">
        <f t="shared" si="60"/>
        <v>#DIV/0!</v>
      </c>
      <c r="AD668" s="34" t="e">
        <f ca="1">SQRT($B$9*SUM(AC668:OFFSET(AC668,$B$5-1,0))/($B$5-1))</f>
        <v>#DIV/0!</v>
      </c>
      <c r="AE668" s="34" t="e">
        <f ca="1">SQRT($B$9*SUM(AC668:OFFSET(AC668,$B$6-1,0))/($B$6-1))</f>
        <v>#DIV/0!</v>
      </c>
      <c r="AF668" s="34" t="e">
        <f ca="1">SQRT($B$9*SUM(AC668:OFFSET(AC668,$B$7-1,0))/($B$7-1))</f>
        <v>#DIV/0!</v>
      </c>
      <c r="AG668" s="34" t="e">
        <f ca="1">SQRT($B$9*SUM(AC668:OFFSET(AC668,$B$8-1,0))/($B$8-1))</f>
        <v>#DIV/0!</v>
      </c>
      <c r="AI668" s="1" t="e">
        <f t="shared" si="61"/>
        <v>#DIV/0!</v>
      </c>
      <c r="AJ668" s="4" t="e">
        <f ca="1">SQRT($B$9)*_xlfn.STDEV.S(AI668:OFFSET(AI668,$B$5-1,0))</f>
        <v>#DIV/0!</v>
      </c>
      <c r="AK668" s="4" t="e">
        <f ca="1">SQRT($B$9)*_xlfn.STDEV.S(AI668:OFFSET(AI668,$B$6-1,0))</f>
        <v>#DIV/0!</v>
      </c>
      <c r="AL668" s="4" t="e">
        <f ca="1">SQRT($B$9)*_xlfn.STDEV.S(AI668:OFFSET(AI668,$B$7-1,0))</f>
        <v>#DIV/0!</v>
      </c>
      <c r="AM668" s="4" t="e">
        <f ca="1">SQRT($B$9)*_xlfn.STDEV.S(AI668:OFFSET(AI668,$B$8-1,0))</f>
        <v>#DIV/0!</v>
      </c>
    </row>
    <row r="669" spans="5:39" x14ac:dyDescent="0.2">
      <c r="E669" s="42">
        <v>44469</v>
      </c>
      <c r="F669" s="43"/>
      <c r="G669" s="43"/>
      <c r="H669" s="43"/>
      <c r="I669" s="43"/>
      <c r="K669" s="3" t="e">
        <f t="shared" si="59"/>
        <v>#DIV/0!</v>
      </c>
      <c r="L669" s="3" t="e">
        <f ca="1">SQRT(AVERAGE(K669:OFFSET(K669,$B$5-1,0))*$B$9/(4*LN(2)))</f>
        <v>#DIV/0!</v>
      </c>
      <c r="M669" s="3" t="e">
        <f ca="1">SQRT(AVERAGE(K669:OFFSET(K669,$B$6-1,0))*$B$9/(4*LN(2)))</f>
        <v>#DIV/0!</v>
      </c>
      <c r="N669" s="3" t="e">
        <f ca="1">SQRT(AVERAGE(K669:OFFSET(K669,$B$7-1,0))*$B$9/(4*LN(2)))</f>
        <v>#DIV/0!</v>
      </c>
      <c r="O669" s="3" t="e">
        <f ca="1">SQRT(AVERAGE(K669:OFFSET(K669,$B$8-1,0))*$B$9/(4*LN(2)))</f>
        <v>#DIV/0!</v>
      </c>
      <c r="Q669" s="5" t="e">
        <f t="shared" si="58"/>
        <v>#DIV/0!</v>
      </c>
      <c r="R669" s="5" t="e">
        <f ca="1">SQRT($B$9*AVERAGE((Q669:OFFSET(Q669,$B$5-1,0))))</f>
        <v>#DIV/0!</v>
      </c>
      <c r="S669" s="5" t="e">
        <f ca="1">SQRT($B$9*AVERAGE((Q669:OFFSET(Q669,$B$6-1,0))))</f>
        <v>#DIV/0!</v>
      </c>
      <c r="T669" s="5" t="e">
        <f ca="1">SQRT($B$9*AVERAGE((Q669:OFFSET(Q669,$B$7-1,0))))</f>
        <v>#DIV/0!</v>
      </c>
      <c r="U669" s="5" t="e">
        <f ca="1">SQRT($B$9*AVERAGE((Q669:OFFSET(Q669,$B$8-1,0))))</f>
        <v>#DIV/0!</v>
      </c>
      <c r="W669" s="6" t="e">
        <f t="shared" si="57"/>
        <v>#DIV/0!</v>
      </c>
      <c r="X669" s="6" t="e">
        <f ca="1">SQRT($B$9*AVERAGE(W669:OFFSET(W669,$B$5-1,0)))</f>
        <v>#DIV/0!</v>
      </c>
      <c r="Y669" s="6" t="e">
        <f ca="1">SQRT($B$9*AVERAGE(W669:OFFSET(W669,$B$6-1,0)))</f>
        <v>#DIV/0!</v>
      </c>
      <c r="Z669" s="6" t="e">
        <f ca="1">SQRT($B$9*AVERAGE(W669:OFFSET(W669,$B$7-1,0)))</f>
        <v>#DIV/0!</v>
      </c>
      <c r="AA669" s="6" t="e">
        <f ca="1">SQRT($B$9*AVERAGE(W669:OFFSET(W669,$B$8-1,0)))</f>
        <v>#DIV/0!</v>
      </c>
      <c r="AC669" s="34" t="e">
        <f t="shared" si="60"/>
        <v>#DIV/0!</v>
      </c>
      <c r="AD669" s="34" t="e">
        <f ca="1">SQRT($B$9*SUM(AC669:OFFSET(AC669,$B$5-1,0))/($B$5-1))</f>
        <v>#DIV/0!</v>
      </c>
      <c r="AE669" s="34" t="e">
        <f ca="1">SQRT($B$9*SUM(AC669:OFFSET(AC669,$B$6-1,0))/($B$6-1))</f>
        <v>#DIV/0!</v>
      </c>
      <c r="AF669" s="34" t="e">
        <f ca="1">SQRT($B$9*SUM(AC669:OFFSET(AC669,$B$7-1,0))/($B$7-1))</f>
        <v>#DIV/0!</v>
      </c>
      <c r="AG669" s="34" t="e">
        <f ca="1">SQRT($B$9*SUM(AC669:OFFSET(AC669,$B$8-1,0))/($B$8-1))</f>
        <v>#DIV/0!</v>
      </c>
      <c r="AI669" s="1" t="e">
        <f t="shared" si="61"/>
        <v>#DIV/0!</v>
      </c>
      <c r="AJ669" s="4" t="e">
        <f ca="1">SQRT($B$9)*_xlfn.STDEV.S(AI669:OFFSET(AI669,$B$5-1,0))</f>
        <v>#DIV/0!</v>
      </c>
      <c r="AK669" s="4" t="e">
        <f ca="1">SQRT($B$9)*_xlfn.STDEV.S(AI669:OFFSET(AI669,$B$6-1,0))</f>
        <v>#DIV/0!</v>
      </c>
      <c r="AL669" s="4" t="e">
        <f ca="1">SQRT($B$9)*_xlfn.STDEV.S(AI669:OFFSET(AI669,$B$7-1,0))</f>
        <v>#DIV/0!</v>
      </c>
      <c r="AM669" s="4" t="e">
        <f ca="1">SQRT($B$9)*_xlfn.STDEV.S(AI669:OFFSET(AI669,$B$8-1,0))</f>
        <v>#DIV/0!</v>
      </c>
    </row>
    <row r="670" spans="5:39" x14ac:dyDescent="0.2">
      <c r="E670" s="42">
        <v>44468</v>
      </c>
      <c r="F670" s="43"/>
      <c r="G670" s="43"/>
      <c r="H670" s="43"/>
      <c r="I670" s="43"/>
      <c r="K670" s="3" t="e">
        <f t="shared" si="59"/>
        <v>#DIV/0!</v>
      </c>
      <c r="L670" s="3" t="e">
        <f ca="1">SQRT(AVERAGE(K670:OFFSET(K670,$B$5-1,0))*$B$9/(4*LN(2)))</f>
        <v>#DIV/0!</v>
      </c>
      <c r="M670" s="3" t="e">
        <f ca="1">SQRT(AVERAGE(K670:OFFSET(K670,$B$6-1,0))*$B$9/(4*LN(2)))</f>
        <v>#DIV/0!</v>
      </c>
      <c r="N670" s="3" t="e">
        <f ca="1">SQRT(AVERAGE(K670:OFFSET(K670,$B$7-1,0))*$B$9/(4*LN(2)))</f>
        <v>#DIV/0!</v>
      </c>
      <c r="O670" s="3" t="e">
        <f ca="1">SQRT(AVERAGE(K670:OFFSET(K670,$B$8-1,0))*$B$9/(4*LN(2)))</f>
        <v>#DIV/0!</v>
      </c>
      <c r="Q670" s="5" t="e">
        <f t="shared" si="58"/>
        <v>#DIV/0!</v>
      </c>
      <c r="R670" s="5" t="e">
        <f ca="1">SQRT($B$9*AVERAGE((Q670:OFFSET(Q670,$B$5-1,0))))</f>
        <v>#DIV/0!</v>
      </c>
      <c r="S670" s="5" t="e">
        <f ca="1">SQRT($B$9*AVERAGE((Q670:OFFSET(Q670,$B$6-1,0))))</f>
        <v>#DIV/0!</v>
      </c>
      <c r="T670" s="5" t="e">
        <f ca="1">SQRT($B$9*AVERAGE((Q670:OFFSET(Q670,$B$7-1,0))))</f>
        <v>#DIV/0!</v>
      </c>
      <c r="U670" s="5" t="e">
        <f ca="1">SQRT($B$9*AVERAGE((Q670:OFFSET(Q670,$B$8-1,0))))</f>
        <v>#DIV/0!</v>
      </c>
      <c r="W670" s="6" t="e">
        <f t="shared" si="57"/>
        <v>#DIV/0!</v>
      </c>
      <c r="X670" s="6" t="e">
        <f ca="1">SQRT($B$9*AVERAGE(W670:OFFSET(W670,$B$5-1,0)))</f>
        <v>#DIV/0!</v>
      </c>
      <c r="Y670" s="6" t="e">
        <f ca="1">SQRT($B$9*AVERAGE(W670:OFFSET(W670,$B$6-1,0)))</f>
        <v>#DIV/0!</v>
      </c>
      <c r="Z670" s="6" t="e">
        <f ca="1">SQRT($B$9*AVERAGE(W670:OFFSET(W670,$B$7-1,0)))</f>
        <v>#DIV/0!</v>
      </c>
      <c r="AA670" s="6" t="e">
        <f ca="1">SQRT($B$9*AVERAGE(W670:OFFSET(W670,$B$8-1,0)))</f>
        <v>#DIV/0!</v>
      </c>
      <c r="AC670" s="34" t="e">
        <f t="shared" si="60"/>
        <v>#DIV/0!</v>
      </c>
      <c r="AD670" s="34" t="e">
        <f ca="1">SQRT($B$9*SUM(AC670:OFFSET(AC670,$B$5-1,0))/($B$5-1))</f>
        <v>#DIV/0!</v>
      </c>
      <c r="AE670" s="34" t="e">
        <f ca="1">SQRT($B$9*SUM(AC670:OFFSET(AC670,$B$6-1,0))/($B$6-1))</f>
        <v>#DIV/0!</v>
      </c>
      <c r="AF670" s="34" t="e">
        <f ca="1">SQRT($B$9*SUM(AC670:OFFSET(AC670,$B$7-1,0))/($B$7-1))</f>
        <v>#DIV/0!</v>
      </c>
      <c r="AG670" s="34" t="e">
        <f ca="1">SQRT($B$9*SUM(AC670:OFFSET(AC670,$B$8-1,0))/($B$8-1))</f>
        <v>#DIV/0!</v>
      </c>
      <c r="AI670" s="1" t="e">
        <f t="shared" si="61"/>
        <v>#DIV/0!</v>
      </c>
      <c r="AJ670" s="4" t="e">
        <f ca="1">SQRT($B$9)*_xlfn.STDEV.S(AI670:OFFSET(AI670,$B$5-1,0))</f>
        <v>#DIV/0!</v>
      </c>
      <c r="AK670" s="4" t="e">
        <f ca="1">SQRT($B$9)*_xlfn.STDEV.S(AI670:OFFSET(AI670,$B$6-1,0))</f>
        <v>#DIV/0!</v>
      </c>
      <c r="AL670" s="4" t="e">
        <f ca="1">SQRT($B$9)*_xlfn.STDEV.S(AI670:OFFSET(AI670,$B$7-1,0))</f>
        <v>#DIV/0!</v>
      </c>
      <c r="AM670" s="4" t="e">
        <f ca="1">SQRT($B$9)*_xlfn.STDEV.S(AI670:OFFSET(AI670,$B$8-1,0))</f>
        <v>#DIV/0!</v>
      </c>
    </row>
    <row r="671" spans="5:39" x14ac:dyDescent="0.2">
      <c r="E671" s="42">
        <v>44467</v>
      </c>
      <c r="F671" s="43"/>
      <c r="G671" s="43"/>
      <c r="H671" s="43"/>
      <c r="I671" s="43"/>
      <c r="K671" s="3" t="e">
        <f t="shared" si="59"/>
        <v>#DIV/0!</v>
      </c>
      <c r="L671" s="3" t="e">
        <f ca="1">SQRT(AVERAGE(K671:OFFSET(K671,$B$5-1,0))*$B$9/(4*LN(2)))</f>
        <v>#DIV/0!</v>
      </c>
      <c r="M671" s="3" t="e">
        <f ca="1">SQRT(AVERAGE(K671:OFFSET(K671,$B$6-1,0))*$B$9/(4*LN(2)))</f>
        <v>#DIV/0!</v>
      </c>
      <c r="N671" s="3" t="e">
        <f ca="1">SQRT(AVERAGE(K671:OFFSET(K671,$B$7-1,0))*$B$9/(4*LN(2)))</f>
        <v>#DIV/0!</v>
      </c>
      <c r="O671" s="3" t="e">
        <f ca="1">SQRT(AVERAGE(K671:OFFSET(K671,$B$8-1,0))*$B$9/(4*LN(2)))</f>
        <v>#DIV/0!</v>
      </c>
      <c r="Q671" s="5" t="e">
        <f t="shared" si="58"/>
        <v>#DIV/0!</v>
      </c>
      <c r="R671" s="5" t="e">
        <f ca="1">SQRT($B$9*AVERAGE((Q671:OFFSET(Q671,$B$5-1,0))))</f>
        <v>#DIV/0!</v>
      </c>
      <c r="S671" s="5" t="e">
        <f ca="1">SQRT($B$9*AVERAGE((Q671:OFFSET(Q671,$B$6-1,0))))</f>
        <v>#DIV/0!</v>
      </c>
      <c r="T671" s="5" t="e">
        <f ca="1">SQRT($B$9*AVERAGE((Q671:OFFSET(Q671,$B$7-1,0))))</f>
        <v>#DIV/0!</v>
      </c>
      <c r="U671" s="5" t="e">
        <f ca="1">SQRT($B$9*AVERAGE((Q671:OFFSET(Q671,$B$8-1,0))))</f>
        <v>#DIV/0!</v>
      </c>
      <c r="W671" s="6" t="e">
        <f t="shared" si="57"/>
        <v>#DIV/0!</v>
      </c>
      <c r="X671" s="6" t="e">
        <f ca="1">SQRT($B$9*AVERAGE(W671:OFFSET(W671,$B$5-1,0)))</f>
        <v>#DIV/0!</v>
      </c>
      <c r="Y671" s="6" t="e">
        <f ca="1">SQRT($B$9*AVERAGE(W671:OFFSET(W671,$B$6-1,0)))</f>
        <v>#DIV/0!</v>
      </c>
      <c r="Z671" s="6" t="e">
        <f ca="1">SQRT($B$9*AVERAGE(W671:OFFSET(W671,$B$7-1,0)))</f>
        <v>#DIV/0!</v>
      </c>
      <c r="AA671" s="6" t="e">
        <f ca="1">SQRT($B$9*AVERAGE(W671:OFFSET(W671,$B$8-1,0)))</f>
        <v>#DIV/0!</v>
      </c>
      <c r="AC671" s="34" t="e">
        <f t="shared" si="60"/>
        <v>#DIV/0!</v>
      </c>
      <c r="AD671" s="34" t="e">
        <f ca="1">SQRT($B$9*SUM(AC671:OFFSET(AC671,$B$5-1,0))/($B$5-1))</f>
        <v>#DIV/0!</v>
      </c>
      <c r="AE671" s="34" t="e">
        <f ca="1">SQRT($B$9*SUM(AC671:OFFSET(AC671,$B$6-1,0))/($B$6-1))</f>
        <v>#DIV/0!</v>
      </c>
      <c r="AF671" s="34" t="e">
        <f ca="1">SQRT($B$9*SUM(AC671:OFFSET(AC671,$B$7-1,0))/($B$7-1))</f>
        <v>#DIV/0!</v>
      </c>
      <c r="AG671" s="34" t="e">
        <f ca="1">SQRT($B$9*SUM(AC671:OFFSET(AC671,$B$8-1,0))/($B$8-1))</f>
        <v>#DIV/0!</v>
      </c>
      <c r="AI671" s="1" t="e">
        <f t="shared" si="61"/>
        <v>#DIV/0!</v>
      </c>
      <c r="AJ671" s="4" t="e">
        <f ca="1">SQRT($B$9)*_xlfn.STDEV.S(AI671:OFFSET(AI671,$B$5-1,0))</f>
        <v>#DIV/0!</v>
      </c>
      <c r="AK671" s="4" t="e">
        <f ca="1">SQRT($B$9)*_xlfn.STDEV.S(AI671:OFFSET(AI671,$B$6-1,0))</f>
        <v>#DIV/0!</v>
      </c>
      <c r="AL671" s="4" t="e">
        <f ca="1">SQRT($B$9)*_xlfn.STDEV.S(AI671:OFFSET(AI671,$B$7-1,0))</f>
        <v>#DIV/0!</v>
      </c>
      <c r="AM671" s="4" t="e">
        <f ca="1">SQRT($B$9)*_xlfn.STDEV.S(AI671:OFFSET(AI671,$B$8-1,0))</f>
        <v>#DIV/0!</v>
      </c>
    </row>
    <row r="672" spans="5:39" x14ac:dyDescent="0.2">
      <c r="E672" s="42">
        <v>44466</v>
      </c>
      <c r="F672" s="43"/>
      <c r="G672" s="43"/>
      <c r="H672" s="43"/>
      <c r="I672" s="43"/>
      <c r="K672" s="3" t="e">
        <f t="shared" si="59"/>
        <v>#DIV/0!</v>
      </c>
      <c r="L672" s="3" t="e">
        <f ca="1">SQRT(AVERAGE(K672:OFFSET(K672,$B$5-1,0))*$B$9/(4*LN(2)))</f>
        <v>#DIV/0!</v>
      </c>
      <c r="M672" s="3" t="e">
        <f ca="1">SQRT(AVERAGE(K672:OFFSET(K672,$B$6-1,0))*$B$9/(4*LN(2)))</f>
        <v>#DIV/0!</v>
      </c>
      <c r="N672" s="3" t="e">
        <f ca="1">SQRT(AVERAGE(K672:OFFSET(K672,$B$7-1,0))*$B$9/(4*LN(2)))</f>
        <v>#DIV/0!</v>
      </c>
      <c r="O672" s="3" t="e">
        <f ca="1">SQRT(AVERAGE(K672:OFFSET(K672,$B$8-1,0))*$B$9/(4*LN(2)))</f>
        <v>#DIV/0!</v>
      </c>
      <c r="Q672" s="5" t="e">
        <f t="shared" si="58"/>
        <v>#DIV/0!</v>
      </c>
      <c r="R672" s="5" t="e">
        <f ca="1">SQRT($B$9*AVERAGE((Q672:OFFSET(Q672,$B$5-1,0))))</f>
        <v>#DIV/0!</v>
      </c>
      <c r="S672" s="5" t="e">
        <f ca="1">SQRT($B$9*AVERAGE((Q672:OFFSET(Q672,$B$6-1,0))))</f>
        <v>#DIV/0!</v>
      </c>
      <c r="T672" s="5" t="e">
        <f ca="1">SQRT($B$9*AVERAGE((Q672:OFFSET(Q672,$B$7-1,0))))</f>
        <v>#DIV/0!</v>
      </c>
      <c r="U672" s="5" t="e">
        <f ca="1">SQRT($B$9*AVERAGE((Q672:OFFSET(Q672,$B$8-1,0))))</f>
        <v>#DIV/0!</v>
      </c>
      <c r="W672" s="6" t="e">
        <f t="shared" si="57"/>
        <v>#DIV/0!</v>
      </c>
      <c r="X672" s="6" t="e">
        <f ca="1">SQRT($B$9*AVERAGE(W672:OFFSET(W672,$B$5-1,0)))</f>
        <v>#DIV/0!</v>
      </c>
      <c r="Y672" s="6" t="e">
        <f ca="1">SQRT($B$9*AVERAGE(W672:OFFSET(W672,$B$6-1,0)))</f>
        <v>#DIV/0!</v>
      </c>
      <c r="Z672" s="6" t="e">
        <f ca="1">SQRT($B$9*AVERAGE(W672:OFFSET(W672,$B$7-1,0)))</f>
        <v>#DIV/0!</v>
      </c>
      <c r="AA672" s="6" t="e">
        <f ca="1">SQRT($B$9*AVERAGE(W672:OFFSET(W672,$B$8-1,0)))</f>
        <v>#DIV/0!</v>
      </c>
      <c r="AC672" s="34" t="e">
        <f t="shared" si="60"/>
        <v>#DIV/0!</v>
      </c>
      <c r="AD672" s="34" t="e">
        <f ca="1">SQRT($B$9*SUM(AC672:OFFSET(AC672,$B$5-1,0))/($B$5-1))</f>
        <v>#DIV/0!</v>
      </c>
      <c r="AE672" s="34" t="e">
        <f ca="1">SQRT($B$9*SUM(AC672:OFFSET(AC672,$B$6-1,0))/($B$6-1))</f>
        <v>#DIV/0!</v>
      </c>
      <c r="AF672" s="34" t="e">
        <f ca="1">SQRT($B$9*SUM(AC672:OFFSET(AC672,$B$7-1,0))/($B$7-1))</f>
        <v>#DIV/0!</v>
      </c>
      <c r="AG672" s="34" t="e">
        <f ca="1">SQRT($B$9*SUM(AC672:OFFSET(AC672,$B$8-1,0))/($B$8-1))</f>
        <v>#DIV/0!</v>
      </c>
      <c r="AI672" s="1" t="e">
        <f t="shared" si="61"/>
        <v>#DIV/0!</v>
      </c>
      <c r="AJ672" s="4" t="e">
        <f ca="1">SQRT($B$9)*_xlfn.STDEV.S(AI672:OFFSET(AI672,$B$5-1,0))</f>
        <v>#DIV/0!</v>
      </c>
      <c r="AK672" s="4" t="e">
        <f ca="1">SQRT($B$9)*_xlfn.STDEV.S(AI672:OFFSET(AI672,$B$6-1,0))</f>
        <v>#DIV/0!</v>
      </c>
      <c r="AL672" s="4" t="e">
        <f ca="1">SQRT($B$9)*_xlfn.STDEV.S(AI672:OFFSET(AI672,$B$7-1,0))</f>
        <v>#DIV/0!</v>
      </c>
      <c r="AM672" s="4" t="e">
        <f ca="1">SQRT($B$9)*_xlfn.STDEV.S(AI672:OFFSET(AI672,$B$8-1,0))</f>
        <v>#DIV/0!</v>
      </c>
    </row>
    <row r="673" spans="5:39" x14ac:dyDescent="0.2">
      <c r="E673" s="42">
        <v>44463</v>
      </c>
      <c r="F673" s="43"/>
      <c r="G673" s="43"/>
      <c r="H673" s="43"/>
      <c r="I673" s="43"/>
      <c r="K673" s="3" t="e">
        <f t="shared" si="59"/>
        <v>#DIV/0!</v>
      </c>
      <c r="L673" s="3" t="e">
        <f ca="1">SQRT(AVERAGE(K673:OFFSET(K673,$B$5-1,0))*$B$9/(4*LN(2)))</f>
        <v>#DIV/0!</v>
      </c>
      <c r="M673" s="3" t="e">
        <f ca="1">SQRT(AVERAGE(K673:OFFSET(K673,$B$6-1,0))*$B$9/(4*LN(2)))</f>
        <v>#DIV/0!</v>
      </c>
      <c r="N673" s="3" t="e">
        <f ca="1">SQRT(AVERAGE(K673:OFFSET(K673,$B$7-1,0))*$B$9/(4*LN(2)))</f>
        <v>#DIV/0!</v>
      </c>
      <c r="O673" s="3" t="e">
        <f ca="1">SQRT(AVERAGE(K673:OFFSET(K673,$B$8-1,0))*$B$9/(4*LN(2)))</f>
        <v>#DIV/0!</v>
      </c>
      <c r="Q673" s="5" t="e">
        <f t="shared" si="58"/>
        <v>#DIV/0!</v>
      </c>
      <c r="R673" s="5" t="e">
        <f ca="1">SQRT($B$9*AVERAGE((Q673:OFFSET(Q673,$B$5-1,0))))</f>
        <v>#DIV/0!</v>
      </c>
      <c r="S673" s="5" t="e">
        <f ca="1">SQRT($B$9*AVERAGE((Q673:OFFSET(Q673,$B$6-1,0))))</f>
        <v>#DIV/0!</v>
      </c>
      <c r="T673" s="5" t="e">
        <f ca="1">SQRT($B$9*AVERAGE((Q673:OFFSET(Q673,$B$7-1,0))))</f>
        <v>#DIV/0!</v>
      </c>
      <c r="U673" s="5" t="e">
        <f ca="1">SQRT($B$9*AVERAGE((Q673:OFFSET(Q673,$B$8-1,0))))</f>
        <v>#DIV/0!</v>
      </c>
      <c r="W673" s="6" t="e">
        <f t="shared" si="57"/>
        <v>#DIV/0!</v>
      </c>
      <c r="X673" s="6" t="e">
        <f ca="1">SQRT($B$9*AVERAGE(W673:OFFSET(W673,$B$5-1,0)))</f>
        <v>#DIV/0!</v>
      </c>
      <c r="Y673" s="6" t="e">
        <f ca="1">SQRT($B$9*AVERAGE(W673:OFFSET(W673,$B$6-1,0)))</f>
        <v>#DIV/0!</v>
      </c>
      <c r="Z673" s="6" t="e">
        <f ca="1">SQRT($B$9*AVERAGE(W673:OFFSET(W673,$B$7-1,0)))</f>
        <v>#DIV/0!</v>
      </c>
      <c r="AA673" s="6" t="e">
        <f ca="1">SQRT($B$9*AVERAGE(W673:OFFSET(W673,$B$8-1,0)))</f>
        <v>#DIV/0!</v>
      </c>
      <c r="AC673" s="34" t="e">
        <f t="shared" si="60"/>
        <v>#DIV/0!</v>
      </c>
      <c r="AD673" s="34" t="e">
        <f ca="1">SQRT($B$9*SUM(AC673:OFFSET(AC673,$B$5-1,0))/($B$5-1))</f>
        <v>#DIV/0!</v>
      </c>
      <c r="AE673" s="34" t="e">
        <f ca="1">SQRT($B$9*SUM(AC673:OFFSET(AC673,$B$6-1,0))/($B$6-1))</f>
        <v>#DIV/0!</v>
      </c>
      <c r="AF673" s="34" t="e">
        <f ca="1">SQRT($B$9*SUM(AC673:OFFSET(AC673,$B$7-1,0))/($B$7-1))</f>
        <v>#DIV/0!</v>
      </c>
      <c r="AG673" s="34" t="e">
        <f ca="1">SQRT($B$9*SUM(AC673:OFFSET(AC673,$B$8-1,0))/($B$8-1))</f>
        <v>#DIV/0!</v>
      </c>
      <c r="AI673" s="1" t="e">
        <f t="shared" si="61"/>
        <v>#DIV/0!</v>
      </c>
      <c r="AJ673" s="4" t="e">
        <f ca="1">SQRT($B$9)*_xlfn.STDEV.S(AI673:OFFSET(AI673,$B$5-1,0))</f>
        <v>#DIV/0!</v>
      </c>
      <c r="AK673" s="4" t="e">
        <f ca="1">SQRT($B$9)*_xlfn.STDEV.S(AI673:OFFSET(AI673,$B$6-1,0))</f>
        <v>#DIV/0!</v>
      </c>
      <c r="AL673" s="4" t="e">
        <f ca="1">SQRT($B$9)*_xlfn.STDEV.S(AI673:OFFSET(AI673,$B$7-1,0))</f>
        <v>#DIV/0!</v>
      </c>
      <c r="AM673" s="4" t="e">
        <f ca="1">SQRT($B$9)*_xlfn.STDEV.S(AI673:OFFSET(AI673,$B$8-1,0))</f>
        <v>#DIV/0!</v>
      </c>
    </row>
    <row r="674" spans="5:39" x14ac:dyDescent="0.2">
      <c r="E674" s="42">
        <v>44462</v>
      </c>
      <c r="F674" s="43"/>
      <c r="G674" s="43"/>
      <c r="H674" s="43"/>
      <c r="I674" s="43"/>
      <c r="K674" s="3" t="e">
        <f t="shared" si="59"/>
        <v>#DIV/0!</v>
      </c>
      <c r="L674" s="3" t="e">
        <f ca="1">SQRT(AVERAGE(K674:OFFSET(K674,$B$5-1,0))*$B$9/(4*LN(2)))</f>
        <v>#DIV/0!</v>
      </c>
      <c r="M674" s="3" t="e">
        <f ca="1">SQRT(AVERAGE(K674:OFFSET(K674,$B$6-1,0))*$B$9/(4*LN(2)))</f>
        <v>#DIV/0!</v>
      </c>
      <c r="N674" s="3" t="e">
        <f ca="1">SQRT(AVERAGE(K674:OFFSET(K674,$B$7-1,0))*$B$9/(4*LN(2)))</f>
        <v>#DIV/0!</v>
      </c>
      <c r="O674" s="3" t="e">
        <f ca="1">SQRT(AVERAGE(K674:OFFSET(K674,$B$8-1,0))*$B$9/(4*LN(2)))</f>
        <v>#DIV/0!</v>
      </c>
      <c r="Q674" s="5" t="e">
        <f t="shared" si="58"/>
        <v>#DIV/0!</v>
      </c>
      <c r="R674" s="5" t="e">
        <f ca="1">SQRT($B$9*AVERAGE((Q674:OFFSET(Q674,$B$5-1,0))))</f>
        <v>#DIV/0!</v>
      </c>
      <c r="S674" s="5" t="e">
        <f ca="1">SQRT($B$9*AVERAGE((Q674:OFFSET(Q674,$B$6-1,0))))</f>
        <v>#DIV/0!</v>
      </c>
      <c r="T674" s="5" t="e">
        <f ca="1">SQRT($B$9*AVERAGE((Q674:OFFSET(Q674,$B$7-1,0))))</f>
        <v>#DIV/0!</v>
      </c>
      <c r="U674" s="5" t="e">
        <f ca="1">SQRT($B$9*AVERAGE((Q674:OFFSET(Q674,$B$8-1,0))))</f>
        <v>#DIV/0!</v>
      </c>
      <c r="W674" s="6" t="e">
        <f t="shared" si="57"/>
        <v>#DIV/0!</v>
      </c>
      <c r="X674" s="6" t="e">
        <f ca="1">SQRT($B$9*AVERAGE(W674:OFFSET(W674,$B$5-1,0)))</f>
        <v>#DIV/0!</v>
      </c>
      <c r="Y674" s="6" t="e">
        <f ca="1">SQRT($B$9*AVERAGE(W674:OFFSET(W674,$B$6-1,0)))</f>
        <v>#DIV/0!</v>
      </c>
      <c r="Z674" s="6" t="e">
        <f ca="1">SQRT($B$9*AVERAGE(W674:OFFSET(W674,$B$7-1,0)))</f>
        <v>#DIV/0!</v>
      </c>
      <c r="AA674" s="6" t="e">
        <f ca="1">SQRT($B$9*AVERAGE(W674:OFFSET(W674,$B$8-1,0)))</f>
        <v>#DIV/0!</v>
      </c>
      <c r="AC674" s="34" t="e">
        <f t="shared" si="60"/>
        <v>#DIV/0!</v>
      </c>
      <c r="AD674" s="34" t="e">
        <f ca="1">SQRT($B$9*SUM(AC674:OFFSET(AC674,$B$5-1,0))/($B$5-1))</f>
        <v>#DIV/0!</v>
      </c>
      <c r="AE674" s="34" t="e">
        <f ca="1">SQRT($B$9*SUM(AC674:OFFSET(AC674,$B$6-1,0))/($B$6-1))</f>
        <v>#DIV/0!</v>
      </c>
      <c r="AF674" s="34" t="e">
        <f ca="1">SQRT($B$9*SUM(AC674:OFFSET(AC674,$B$7-1,0))/($B$7-1))</f>
        <v>#DIV/0!</v>
      </c>
      <c r="AG674" s="34" t="e">
        <f ca="1">SQRT($B$9*SUM(AC674:OFFSET(AC674,$B$8-1,0))/($B$8-1))</f>
        <v>#DIV/0!</v>
      </c>
      <c r="AI674" s="1" t="e">
        <f t="shared" si="61"/>
        <v>#DIV/0!</v>
      </c>
      <c r="AJ674" s="4" t="e">
        <f ca="1">SQRT($B$9)*_xlfn.STDEV.S(AI674:OFFSET(AI674,$B$5-1,0))</f>
        <v>#DIV/0!</v>
      </c>
      <c r="AK674" s="4" t="e">
        <f ca="1">SQRT($B$9)*_xlfn.STDEV.S(AI674:OFFSET(AI674,$B$6-1,0))</f>
        <v>#DIV/0!</v>
      </c>
      <c r="AL674" s="4" t="e">
        <f ca="1">SQRT($B$9)*_xlfn.STDEV.S(AI674:OFFSET(AI674,$B$7-1,0))</f>
        <v>#DIV/0!</v>
      </c>
      <c r="AM674" s="4" t="e">
        <f ca="1">SQRT($B$9)*_xlfn.STDEV.S(AI674:OFFSET(AI674,$B$8-1,0))</f>
        <v>#DIV/0!</v>
      </c>
    </row>
    <row r="675" spans="5:39" x14ac:dyDescent="0.2">
      <c r="E675" s="42">
        <v>44461</v>
      </c>
      <c r="F675" s="43"/>
      <c r="G675" s="43"/>
      <c r="H675" s="43"/>
      <c r="I675" s="43"/>
      <c r="K675" s="3" t="e">
        <f t="shared" si="59"/>
        <v>#DIV/0!</v>
      </c>
      <c r="L675" s="3" t="e">
        <f ca="1">SQRT(AVERAGE(K675:OFFSET(K675,$B$5-1,0))*$B$9/(4*LN(2)))</f>
        <v>#DIV/0!</v>
      </c>
      <c r="M675" s="3" t="e">
        <f ca="1">SQRT(AVERAGE(K675:OFFSET(K675,$B$6-1,0))*$B$9/(4*LN(2)))</f>
        <v>#DIV/0!</v>
      </c>
      <c r="N675" s="3" t="e">
        <f ca="1">SQRT(AVERAGE(K675:OFFSET(K675,$B$7-1,0))*$B$9/(4*LN(2)))</f>
        <v>#DIV/0!</v>
      </c>
      <c r="O675" s="3" t="e">
        <f ca="1">SQRT(AVERAGE(K675:OFFSET(K675,$B$8-1,0))*$B$9/(4*LN(2)))</f>
        <v>#DIV/0!</v>
      </c>
      <c r="Q675" s="5" t="e">
        <f t="shared" si="58"/>
        <v>#DIV/0!</v>
      </c>
      <c r="R675" s="5" t="e">
        <f ca="1">SQRT($B$9*AVERAGE((Q675:OFFSET(Q675,$B$5-1,0))))</f>
        <v>#DIV/0!</v>
      </c>
      <c r="S675" s="5" t="e">
        <f ca="1">SQRT($B$9*AVERAGE((Q675:OFFSET(Q675,$B$6-1,0))))</f>
        <v>#DIV/0!</v>
      </c>
      <c r="T675" s="5" t="e">
        <f ca="1">SQRT($B$9*AVERAGE((Q675:OFFSET(Q675,$B$7-1,0))))</f>
        <v>#DIV/0!</v>
      </c>
      <c r="U675" s="5" t="e">
        <f ca="1">SQRT($B$9*AVERAGE((Q675:OFFSET(Q675,$B$8-1,0))))</f>
        <v>#DIV/0!</v>
      </c>
      <c r="W675" s="6" t="e">
        <f t="shared" si="57"/>
        <v>#DIV/0!</v>
      </c>
      <c r="X675" s="6" t="e">
        <f ca="1">SQRT($B$9*AVERAGE(W675:OFFSET(W675,$B$5-1,0)))</f>
        <v>#DIV/0!</v>
      </c>
      <c r="Y675" s="6" t="e">
        <f ca="1">SQRT($B$9*AVERAGE(W675:OFFSET(W675,$B$6-1,0)))</f>
        <v>#DIV/0!</v>
      </c>
      <c r="Z675" s="6" t="e">
        <f ca="1">SQRT($B$9*AVERAGE(W675:OFFSET(W675,$B$7-1,0)))</f>
        <v>#DIV/0!</v>
      </c>
      <c r="AA675" s="6" t="e">
        <f ca="1">SQRT($B$9*AVERAGE(W675:OFFSET(W675,$B$8-1,0)))</f>
        <v>#DIV/0!</v>
      </c>
      <c r="AC675" s="34" t="e">
        <f t="shared" si="60"/>
        <v>#DIV/0!</v>
      </c>
      <c r="AD675" s="34" t="e">
        <f ca="1">SQRT($B$9*SUM(AC675:OFFSET(AC675,$B$5-1,0))/($B$5-1))</f>
        <v>#DIV/0!</v>
      </c>
      <c r="AE675" s="34" t="e">
        <f ca="1">SQRT($B$9*SUM(AC675:OFFSET(AC675,$B$6-1,0))/($B$6-1))</f>
        <v>#DIV/0!</v>
      </c>
      <c r="AF675" s="34" t="e">
        <f ca="1">SQRT($B$9*SUM(AC675:OFFSET(AC675,$B$7-1,0))/($B$7-1))</f>
        <v>#DIV/0!</v>
      </c>
      <c r="AG675" s="34" t="e">
        <f ca="1">SQRT($B$9*SUM(AC675:OFFSET(AC675,$B$8-1,0))/($B$8-1))</f>
        <v>#DIV/0!</v>
      </c>
      <c r="AI675" s="1" t="e">
        <f t="shared" si="61"/>
        <v>#DIV/0!</v>
      </c>
      <c r="AJ675" s="4" t="e">
        <f ca="1">SQRT($B$9)*_xlfn.STDEV.S(AI675:OFFSET(AI675,$B$5-1,0))</f>
        <v>#DIV/0!</v>
      </c>
      <c r="AK675" s="4" t="e">
        <f ca="1">SQRT($B$9)*_xlfn.STDEV.S(AI675:OFFSET(AI675,$B$6-1,0))</f>
        <v>#DIV/0!</v>
      </c>
      <c r="AL675" s="4" t="e">
        <f ca="1">SQRT($B$9)*_xlfn.STDEV.S(AI675:OFFSET(AI675,$B$7-1,0))</f>
        <v>#DIV/0!</v>
      </c>
      <c r="AM675" s="4" t="e">
        <f ca="1">SQRT($B$9)*_xlfn.STDEV.S(AI675:OFFSET(AI675,$B$8-1,0))</f>
        <v>#DIV/0!</v>
      </c>
    </row>
    <row r="676" spans="5:39" x14ac:dyDescent="0.2">
      <c r="E676" s="42">
        <v>44456</v>
      </c>
      <c r="F676" s="43"/>
      <c r="G676" s="43"/>
      <c r="H676" s="43"/>
      <c r="I676" s="43"/>
      <c r="K676" s="3" t="e">
        <f t="shared" si="59"/>
        <v>#DIV/0!</v>
      </c>
      <c r="L676" s="3" t="e">
        <f ca="1">SQRT(AVERAGE(K676:OFFSET(K676,$B$5-1,0))*$B$9/(4*LN(2)))</f>
        <v>#DIV/0!</v>
      </c>
      <c r="M676" s="3" t="e">
        <f ca="1">SQRT(AVERAGE(K676:OFFSET(K676,$B$6-1,0))*$B$9/(4*LN(2)))</f>
        <v>#DIV/0!</v>
      </c>
      <c r="N676" s="3" t="e">
        <f ca="1">SQRT(AVERAGE(K676:OFFSET(K676,$B$7-1,0))*$B$9/(4*LN(2)))</f>
        <v>#DIV/0!</v>
      </c>
      <c r="O676" s="3" t="e">
        <f ca="1">SQRT(AVERAGE(K676:OFFSET(K676,$B$8-1,0))*$B$9/(4*LN(2)))</f>
        <v>#DIV/0!</v>
      </c>
      <c r="Q676" s="5" t="e">
        <f t="shared" si="58"/>
        <v>#DIV/0!</v>
      </c>
      <c r="R676" s="5" t="e">
        <f ca="1">SQRT($B$9*AVERAGE((Q676:OFFSET(Q676,$B$5-1,0))))</f>
        <v>#DIV/0!</v>
      </c>
      <c r="S676" s="5" t="e">
        <f ca="1">SQRT($B$9*AVERAGE((Q676:OFFSET(Q676,$B$6-1,0))))</f>
        <v>#DIV/0!</v>
      </c>
      <c r="T676" s="5" t="e">
        <f ca="1">SQRT($B$9*AVERAGE((Q676:OFFSET(Q676,$B$7-1,0))))</f>
        <v>#DIV/0!</v>
      </c>
      <c r="U676" s="5" t="e">
        <f ca="1">SQRT($B$9*AVERAGE((Q676:OFFSET(Q676,$B$8-1,0))))</f>
        <v>#DIV/0!</v>
      </c>
      <c r="W676" s="6" t="e">
        <f t="shared" si="57"/>
        <v>#DIV/0!</v>
      </c>
      <c r="X676" s="6" t="e">
        <f ca="1">SQRT($B$9*AVERAGE(W676:OFFSET(W676,$B$5-1,0)))</f>
        <v>#DIV/0!</v>
      </c>
      <c r="Y676" s="6" t="e">
        <f ca="1">SQRT($B$9*AVERAGE(W676:OFFSET(W676,$B$6-1,0)))</f>
        <v>#DIV/0!</v>
      </c>
      <c r="Z676" s="6" t="e">
        <f ca="1">SQRT($B$9*AVERAGE(W676:OFFSET(W676,$B$7-1,0)))</f>
        <v>#DIV/0!</v>
      </c>
      <c r="AA676" s="6" t="e">
        <f ca="1">SQRT($B$9*AVERAGE(W676:OFFSET(W676,$B$8-1,0)))</f>
        <v>#DIV/0!</v>
      </c>
      <c r="AC676" s="34" t="e">
        <f t="shared" si="60"/>
        <v>#DIV/0!</v>
      </c>
      <c r="AD676" s="34" t="e">
        <f ca="1">SQRT($B$9*SUM(AC676:OFFSET(AC676,$B$5-1,0))/($B$5-1))</f>
        <v>#DIV/0!</v>
      </c>
      <c r="AE676" s="34" t="e">
        <f ca="1">SQRT($B$9*SUM(AC676:OFFSET(AC676,$B$6-1,0))/($B$6-1))</f>
        <v>#DIV/0!</v>
      </c>
      <c r="AF676" s="34" t="e">
        <f ca="1">SQRT($B$9*SUM(AC676:OFFSET(AC676,$B$7-1,0))/($B$7-1))</f>
        <v>#DIV/0!</v>
      </c>
      <c r="AG676" s="34" t="e">
        <f ca="1">SQRT($B$9*SUM(AC676:OFFSET(AC676,$B$8-1,0))/($B$8-1))</f>
        <v>#DIV/0!</v>
      </c>
      <c r="AI676" s="1" t="e">
        <f t="shared" si="61"/>
        <v>#DIV/0!</v>
      </c>
      <c r="AJ676" s="4" t="e">
        <f ca="1">SQRT($B$9)*_xlfn.STDEV.S(AI676:OFFSET(AI676,$B$5-1,0))</f>
        <v>#DIV/0!</v>
      </c>
      <c r="AK676" s="4" t="e">
        <f ca="1">SQRT($B$9)*_xlfn.STDEV.S(AI676:OFFSET(AI676,$B$6-1,0))</f>
        <v>#DIV/0!</v>
      </c>
      <c r="AL676" s="4" t="e">
        <f ca="1">SQRT($B$9)*_xlfn.STDEV.S(AI676:OFFSET(AI676,$B$7-1,0))</f>
        <v>#DIV/0!</v>
      </c>
      <c r="AM676" s="4" t="e">
        <f ca="1">SQRT($B$9)*_xlfn.STDEV.S(AI676:OFFSET(AI676,$B$8-1,0))</f>
        <v>#DIV/0!</v>
      </c>
    </row>
    <row r="677" spans="5:39" x14ac:dyDescent="0.2">
      <c r="E677" s="42">
        <v>44455</v>
      </c>
      <c r="F677" s="43"/>
      <c r="G677" s="43"/>
      <c r="H677" s="43"/>
      <c r="I677" s="43"/>
      <c r="K677" s="3" t="e">
        <f t="shared" si="59"/>
        <v>#DIV/0!</v>
      </c>
      <c r="L677" s="3" t="e">
        <f ca="1">SQRT(AVERAGE(K677:OFFSET(K677,$B$5-1,0))*$B$9/(4*LN(2)))</f>
        <v>#DIV/0!</v>
      </c>
      <c r="M677" s="3" t="e">
        <f ca="1">SQRT(AVERAGE(K677:OFFSET(K677,$B$6-1,0))*$B$9/(4*LN(2)))</f>
        <v>#DIV/0!</v>
      </c>
      <c r="N677" s="3" t="e">
        <f ca="1">SQRT(AVERAGE(K677:OFFSET(K677,$B$7-1,0))*$B$9/(4*LN(2)))</f>
        <v>#DIV/0!</v>
      </c>
      <c r="O677" s="3" t="e">
        <f ca="1">SQRT(AVERAGE(K677:OFFSET(K677,$B$8-1,0))*$B$9/(4*LN(2)))</f>
        <v>#DIV/0!</v>
      </c>
      <c r="Q677" s="5" t="e">
        <f t="shared" si="58"/>
        <v>#DIV/0!</v>
      </c>
      <c r="R677" s="5" t="e">
        <f ca="1">SQRT($B$9*AVERAGE((Q677:OFFSET(Q677,$B$5-1,0))))</f>
        <v>#DIV/0!</v>
      </c>
      <c r="S677" s="5" t="e">
        <f ca="1">SQRT($B$9*AVERAGE((Q677:OFFSET(Q677,$B$6-1,0))))</f>
        <v>#DIV/0!</v>
      </c>
      <c r="T677" s="5" t="e">
        <f ca="1">SQRT($B$9*AVERAGE((Q677:OFFSET(Q677,$B$7-1,0))))</f>
        <v>#DIV/0!</v>
      </c>
      <c r="U677" s="5" t="e">
        <f ca="1">SQRT($B$9*AVERAGE((Q677:OFFSET(Q677,$B$8-1,0))))</f>
        <v>#DIV/0!</v>
      </c>
      <c r="W677" s="6" t="e">
        <f t="shared" si="57"/>
        <v>#DIV/0!</v>
      </c>
      <c r="X677" s="6" t="e">
        <f ca="1">SQRT($B$9*AVERAGE(W677:OFFSET(W677,$B$5-1,0)))</f>
        <v>#DIV/0!</v>
      </c>
      <c r="Y677" s="6" t="e">
        <f ca="1">SQRT($B$9*AVERAGE(W677:OFFSET(W677,$B$6-1,0)))</f>
        <v>#DIV/0!</v>
      </c>
      <c r="Z677" s="6" t="e">
        <f ca="1">SQRT($B$9*AVERAGE(W677:OFFSET(W677,$B$7-1,0)))</f>
        <v>#DIV/0!</v>
      </c>
      <c r="AA677" s="6" t="e">
        <f ca="1">SQRT($B$9*AVERAGE(W677:OFFSET(W677,$B$8-1,0)))</f>
        <v>#DIV/0!</v>
      </c>
      <c r="AC677" s="34" t="e">
        <f t="shared" si="60"/>
        <v>#DIV/0!</v>
      </c>
      <c r="AD677" s="34" t="e">
        <f ca="1">SQRT($B$9*SUM(AC677:OFFSET(AC677,$B$5-1,0))/($B$5-1))</f>
        <v>#DIV/0!</v>
      </c>
      <c r="AE677" s="34" t="e">
        <f ca="1">SQRT($B$9*SUM(AC677:OFFSET(AC677,$B$6-1,0))/($B$6-1))</f>
        <v>#DIV/0!</v>
      </c>
      <c r="AF677" s="34" t="e">
        <f ca="1">SQRT($B$9*SUM(AC677:OFFSET(AC677,$B$7-1,0))/($B$7-1))</f>
        <v>#DIV/0!</v>
      </c>
      <c r="AG677" s="34" t="e">
        <f ca="1">SQRT($B$9*SUM(AC677:OFFSET(AC677,$B$8-1,0))/($B$8-1))</f>
        <v>#DIV/0!</v>
      </c>
      <c r="AI677" s="1" t="e">
        <f t="shared" si="61"/>
        <v>#DIV/0!</v>
      </c>
      <c r="AJ677" s="4" t="e">
        <f ca="1">SQRT($B$9)*_xlfn.STDEV.S(AI677:OFFSET(AI677,$B$5-1,0))</f>
        <v>#DIV/0!</v>
      </c>
      <c r="AK677" s="4" t="e">
        <f ca="1">SQRT($B$9)*_xlfn.STDEV.S(AI677:OFFSET(AI677,$B$6-1,0))</f>
        <v>#DIV/0!</v>
      </c>
      <c r="AL677" s="4" t="e">
        <f ca="1">SQRT($B$9)*_xlfn.STDEV.S(AI677:OFFSET(AI677,$B$7-1,0))</f>
        <v>#DIV/0!</v>
      </c>
      <c r="AM677" s="4" t="e">
        <f ca="1">SQRT($B$9)*_xlfn.STDEV.S(AI677:OFFSET(AI677,$B$8-1,0))</f>
        <v>#DIV/0!</v>
      </c>
    </row>
    <row r="678" spans="5:39" x14ac:dyDescent="0.2">
      <c r="E678" s="42">
        <v>44454</v>
      </c>
      <c r="F678" s="43"/>
      <c r="G678" s="43"/>
      <c r="H678" s="43"/>
      <c r="I678" s="43"/>
      <c r="K678" s="3" t="e">
        <f t="shared" si="59"/>
        <v>#DIV/0!</v>
      </c>
      <c r="L678" s="3" t="e">
        <f ca="1">SQRT(AVERAGE(K678:OFFSET(K678,$B$5-1,0))*$B$9/(4*LN(2)))</f>
        <v>#DIV/0!</v>
      </c>
      <c r="M678" s="3" t="e">
        <f ca="1">SQRT(AVERAGE(K678:OFFSET(K678,$B$6-1,0))*$B$9/(4*LN(2)))</f>
        <v>#DIV/0!</v>
      </c>
      <c r="N678" s="3" t="e">
        <f ca="1">SQRT(AVERAGE(K678:OFFSET(K678,$B$7-1,0))*$B$9/(4*LN(2)))</f>
        <v>#DIV/0!</v>
      </c>
      <c r="O678" s="3" t="e">
        <f ca="1">SQRT(AVERAGE(K678:OFFSET(K678,$B$8-1,0))*$B$9/(4*LN(2)))</f>
        <v>#DIV/0!</v>
      </c>
      <c r="Q678" s="5" t="e">
        <f t="shared" si="58"/>
        <v>#DIV/0!</v>
      </c>
      <c r="R678" s="5" t="e">
        <f ca="1">SQRT($B$9*AVERAGE((Q678:OFFSET(Q678,$B$5-1,0))))</f>
        <v>#DIV/0!</v>
      </c>
      <c r="S678" s="5" t="e">
        <f ca="1">SQRT($B$9*AVERAGE((Q678:OFFSET(Q678,$B$6-1,0))))</f>
        <v>#DIV/0!</v>
      </c>
      <c r="T678" s="5" t="e">
        <f ca="1">SQRT($B$9*AVERAGE((Q678:OFFSET(Q678,$B$7-1,0))))</f>
        <v>#DIV/0!</v>
      </c>
      <c r="U678" s="5" t="e">
        <f ca="1">SQRT($B$9*AVERAGE((Q678:OFFSET(Q678,$B$8-1,0))))</f>
        <v>#DIV/0!</v>
      </c>
      <c r="W678" s="6" t="e">
        <f t="shared" si="57"/>
        <v>#DIV/0!</v>
      </c>
      <c r="X678" s="6" t="e">
        <f ca="1">SQRT($B$9*AVERAGE(W678:OFFSET(W678,$B$5-1,0)))</f>
        <v>#DIV/0!</v>
      </c>
      <c r="Y678" s="6" t="e">
        <f ca="1">SQRT($B$9*AVERAGE(W678:OFFSET(W678,$B$6-1,0)))</f>
        <v>#DIV/0!</v>
      </c>
      <c r="Z678" s="6" t="e">
        <f ca="1">SQRT($B$9*AVERAGE(W678:OFFSET(W678,$B$7-1,0)))</f>
        <v>#DIV/0!</v>
      </c>
      <c r="AA678" s="6" t="e">
        <f ca="1">SQRT($B$9*AVERAGE(W678:OFFSET(W678,$B$8-1,0)))</f>
        <v>#DIV/0!</v>
      </c>
      <c r="AC678" s="34" t="e">
        <f t="shared" si="60"/>
        <v>#DIV/0!</v>
      </c>
      <c r="AD678" s="34" t="e">
        <f ca="1">SQRT($B$9*SUM(AC678:OFFSET(AC678,$B$5-1,0))/($B$5-1))</f>
        <v>#DIV/0!</v>
      </c>
      <c r="AE678" s="34" t="e">
        <f ca="1">SQRT($B$9*SUM(AC678:OFFSET(AC678,$B$6-1,0))/($B$6-1))</f>
        <v>#DIV/0!</v>
      </c>
      <c r="AF678" s="34" t="e">
        <f ca="1">SQRT($B$9*SUM(AC678:OFFSET(AC678,$B$7-1,0))/($B$7-1))</f>
        <v>#DIV/0!</v>
      </c>
      <c r="AG678" s="34" t="e">
        <f ca="1">SQRT($B$9*SUM(AC678:OFFSET(AC678,$B$8-1,0))/($B$8-1))</f>
        <v>#DIV/0!</v>
      </c>
      <c r="AI678" s="1" t="e">
        <f t="shared" si="61"/>
        <v>#DIV/0!</v>
      </c>
      <c r="AJ678" s="4" t="e">
        <f ca="1">SQRT($B$9)*_xlfn.STDEV.S(AI678:OFFSET(AI678,$B$5-1,0))</f>
        <v>#DIV/0!</v>
      </c>
      <c r="AK678" s="4" t="e">
        <f ca="1">SQRT($B$9)*_xlfn.STDEV.S(AI678:OFFSET(AI678,$B$6-1,0))</f>
        <v>#DIV/0!</v>
      </c>
      <c r="AL678" s="4" t="e">
        <f ca="1">SQRT($B$9)*_xlfn.STDEV.S(AI678:OFFSET(AI678,$B$7-1,0))</f>
        <v>#DIV/0!</v>
      </c>
      <c r="AM678" s="4" t="e">
        <f ca="1">SQRT($B$9)*_xlfn.STDEV.S(AI678:OFFSET(AI678,$B$8-1,0))</f>
        <v>#DIV/0!</v>
      </c>
    </row>
    <row r="679" spans="5:39" x14ac:dyDescent="0.2">
      <c r="E679" s="42">
        <v>44453</v>
      </c>
      <c r="F679" s="43"/>
      <c r="G679" s="43"/>
      <c r="H679" s="43"/>
      <c r="I679" s="43"/>
      <c r="K679" s="3" t="e">
        <f t="shared" si="59"/>
        <v>#DIV/0!</v>
      </c>
      <c r="L679" s="3" t="e">
        <f ca="1">SQRT(AVERAGE(K679:OFFSET(K679,$B$5-1,0))*$B$9/(4*LN(2)))</f>
        <v>#DIV/0!</v>
      </c>
      <c r="M679" s="3" t="e">
        <f ca="1">SQRT(AVERAGE(K679:OFFSET(K679,$B$6-1,0))*$B$9/(4*LN(2)))</f>
        <v>#DIV/0!</v>
      </c>
      <c r="N679" s="3" t="e">
        <f ca="1">SQRT(AVERAGE(K679:OFFSET(K679,$B$7-1,0))*$B$9/(4*LN(2)))</f>
        <v>#DIV/0!</v>
      </c>
      <c r="O679" s="3" t="e">
        <f ca="1">SQRT(AVERAGE(K679:OFFSET(K679,$B$8-1,0))*$B$9/(4*LN(2)))</f>
        <v>#DIV/0!</v>
      </c>
      <c r="Q679" s="5" t="e">
        <f t="shared" si="58"/>
        <v>#DIV/0!</v>
      </c>
      <c r="R679" s="5" t="e">
        <f ca="1">SQRT($B$9*AVERAGE((Q679:OFFSET(Q679,$B$5-1,0))))</f>
        <v>#DIV/0!</v>
      </c>
      <c r="S679" s="5" t="e">
        <f ca="1">SQRT($B$9*AVERAGE((Q679:OFFSET(Q679,$B$6-1,0))))</f>
        <v>#DIV/0!</v>
      </c>
      <c r="T679" s="5" t="e">
        <f ca="1">SQRT($B$9*AVERAGE((Q679:OFFSET(Q679,$B$7-1,0))))</f>
        <v>#DIV/0!</v>
      </c>
      <c r="U679" s="5" t="e">
        <f ca="1">SQRT($B$9*AVERAGE((Q679:OFFSET(Q679,$B$8-1,0))))</f>
        <v>#DIV/0!</v>
      </c>
      <c r="W679" s="6" t="e">
        <f t="shared" ref="W679:W742" si="62">LN(G679/I679)*LN(G679/F679)+LN(H679/I679)*LN(H679/F679)</f>
        <v>#DIV/0!</v>
      </c>
      <c r="X679" s="6" t="e">
        <f ca="1">SQRT($B$9*AVERAGE(W679:OFFSET(W679,$B$5-1,0)))</f>
        <v>#DIV/0!</v>
      </c>
      <c r="Y679" s="6" t="e">
        <f ca="1">SQRT($B$9*AVERAGE(W679:OFFSET(W679,$B$6-1,0)))</f>
        <v>#DIV/0!</v>
      </c>
      <c r="Z679" s="6" t="e">
        <f ca="1">SQRT($B$9*AVERAGE(W679:OFFSET(W679,$B$7-1,0)))</f>
        <v>#DIV/0!</v>
      </c>
      <c r="AA679" s="6" t="e">
        <f ca="1">SQRT($B$9*AVERAGE(W679:OFFSET(W679,$B$8-1,0)))</f>
        <v>#DIV/0!</v>
      </c>
      <c r="AC679" s="34" t="e">
        <f t="shared" si="60"/>
        <v>#DIV/0!</v>
      </c>
      <c r="AD679" s="34" t="e">
        <f ca="1">SQRT($B$9*SUM(AC679:OFFSET(AC679,$B$5-1,0))/($B$5-1))</f>
        <v>#DIV/0!</v>
      </c>
      <c r="AE679" s="34" t="e">
        <f ca="1">SQRT($B$9*SUM(AC679:OFFSET(AC679,$B$6-1,0))/($B$6-1))</f>
        <v>#DIV/0!</v>
      </c>
      <c r="AF679" s="34" t="e">
        <f ca="1">SQRT($B$9*SUM(AC679:OFFSET(AC679,$B$7-1,0))/($B$7-1))</f>
        <v>#DIV/0!</v>
      </c>
      <c r="AG679" s="34" t="e">
        <f ca="1">SQRT($B$9*SUM(AC679:OFFSET(AC679,$B$8-1,0))/($B$8-1))</f>
        <v>#DIV/0!</v>
      </c>
      <c r="AI679" s="1" t="e">
        <f t="shared" si="61"/>
        <v>#DIV/0!</v>
      </c>
      <c r="AJ679" s="4" t="e">
        <f ca="1">SQRT($B$9)*_xlfn.STDEV.S(AI679:OFFSET(AI679,$B$5-1,0))</f>
        <v>#DIV/0!</v>
      </c>
      <c r="AK679" s="4" t="e">
        <f ca="1">SQRT($B$9)*_xlfn.STDEV.S(AI679:OFFSET(AI679,$B$6-1,0))</f>
        <v>#DIV/0!</v>
      </c>
      <c r="AL679" s="4" t="e">
        <f ca="1">SQRT($B$9)*_xlfn.STDEV.S(AI679:OFFSET(AI679,$B$7-1,0))</f>
        <v>#DIV/0!</v>
      </c>
      <c r="AM679" s="4" t="e">
        <f ca="1">SQRT($B$9)*_xlfn.STDEV.S(AI679:OFFSET(AI679,$B$8-1,0))</f>
        <v>#DIV/0!</v>
      </c>
    </row>
    <row r="680" spans="5:39" x14ac:dyDescent="0.2">
      <c r="E680" s="42">
        <v>44452</v>
      </c>
      <c r="F680" s="43"/>
      <c r="G680" s="43"/>
      <c r="H680" s="43"/>
      <c r="I680" s="43"/>
      <c r="K680" s="3" t="e">
        <f t="shared" si="59"/>
        <v>#DIV/0!</v>
      </c>
      <c r="L680" s="3" t="e">
        <f ca="1">SQRT(AVERAGE(K680:OFFSET(K680,$B$5-1,0))*$B$9/(4*LN(2)))</f>
        <v>#DIV/0!</v>
      </c>
      <c r="M680" s="3" t="e">
        <f ca="1">SQRT(AVERAGE(K680:OFFSET(K680,$B$6-1,0))*$B$9/(4*LN(2)))</f>
        <v>#DIV/0!</v>
      </c>
      <c r="N680" s="3" t="e">
        <f ca="1">SQRT(AVERAGE(K680:OFFSET(K680,$B$7-1,0))*$B$9/(4*LN(2)))</f>
        <v>#DIV/0!</v>
      </c>
      <c r="O680" s="3" t="e">
        <f ca="1">SQRT(AVERAGE(K680:OFFSET(K680,$B$8-1,0))*$B$9/(4*LN(2)))</f>
        <v>#DIV/0!</v>
      </c>
      <c r="Q680" s="5" t="e">
        <f t="shared" si="58"/>
        <v>#DIV/0!</v>
      </c>
      <c r="R680" s="5" t="e">
        <f ca="1">SQRT($B$9*AVERAGE((Q680:OFFSET(Q680,$B$5-1,0))))</f>
        <v>#DIV/0!</v>
      </c>
      <c r="S680" s="5" t="e">
        <f ca="1">SQRT($B$9*AVERAGE((Q680:OFFSET(Q680,$B$6-1,0))))</f>
        <v>#DIV/0!</v>
      </c>
      <c r="T680" s="5" t="e">
        <f ca="1">SQRT($B$9*AVERAGE((Q680:OFFSET(Q680,$B$7-1,0))))</f>
        <v>#DIV/0!</v>
      </c>
      <c r="U680" s="5" t="e">
        <f ca="1">SQRT($B$9*AVERAGE((Q680:OFFSET(Q680,$B$8-1,0))))</f>
        <v>#DIV/0!</v>
      </c>
      <c r="W680" s="6" t="e">
        <f t="shared" si="62"/>
        <v>#DIV/0!</v>
      </c>
      <c r="X680" s="6" t="e">
        <f ca="1">SQRT($B$9*AVERAGE(W680:OFFSET(W680,$B$5-1,0)))</f>
        <v>#DIV/0!</v>
      </c>
      <c r="Y680" s="6" t="e">
        <f ca="1">SQRT($B$9*AVERAGE(W680:OFFSET(W680,$B$6-1,0)))</f>
        <v>#DIV/0!</v>
      </c>
      <c r="Z680" s="6" t="e">
        <f ca="1">SQRT($B$9*AVERAGE(W680:OFFSET(W680,$B$7-1,0)))</f>
        <v>#DIV/0!</v>
      </c>
      <c r="AA680" s="6" t="e">
        <f ca="1">SQRT($B$9*AVERAGE(W680:OFFSET(W680,$B$8-1,0)))</f>
        <v>#DIV/0!</v>
      </c>
      <c r="AC680" s="34" t="e">
        <f t="shared" si="60"/>
        <v>#DIV/0!</v>
      </c>
      <c r="AD680" s="34" t="e">
        <f ca="1">SQRT($B$9*SUM(AC680:OFFSET(AC680,$B$5-1,0))/($B$5-1))</f>
        <v>#DIV/0!</v>
      </c>
      <c r="AE680" s="34" t="e">
        <f ca="1">SQRT($B$9*SUM(AC680:OFFSET(AC680,$B$6-1,0))/($B$6-1))</f>
        <v>#DIV/0!</v>
      </c>
      <c r="AF680" s="34" t="e">
        <f ca="1">SQRT($B$9*SUM(AC680:OFFSET(AC680,$B$7-1,0))/($B$7-1))</f>
        <v>#DIV/0!</v>
      </c>
      <c r="AG680" s="34" t="e">
        <f ca="1">SQRT($B$9*SUM(AC680:OFFSET(AC680,$B$8-1,0))/($B$8-1))</f>
        <v>#DIV/0!</v>
      </c>
      <c r="AI680" s="1" t="e">
        <f t="shared" si="61"/>
        <v>#DIV/0!</v>
      </c>
      <c r="AJ680" s="4" t="e">
        <f ca="1">SQRT($B$9)*_xlfn.STDEV.S(AI680:OFFSET(AI680,$B$5-1,0))</f>
        <v>#DIV/0!</v>
      </c>
      <c r="AK680" s="4" t="e">
        <f ca="1">SQRT($B$9)*_xlfn.STDEV.S(AI680:OFFSET(AI680,$B$6-1,0))</f>
        <v>#DIV/0!</v>
      </c>
      <c r="AL680" s="4" t="e">
        <f ca="1">SQRT($B$9)*_xlfn.STDEV.S(AI680:OFFSET(AI680,$B$7-1,0))</f>
        <v>#DIV/0!</v>
      </c>
      <c r="AM680" s="4" t="e">
        <f ca="1">SQRT($B$9)*_xlfn.STDEV.S(AI680:OFFSET(AI680,$B$8-1,0))</f>
        <v>#DIV/0!</v>
      </c>
    </row>
    <row r="681" spans="5:39" x14ac:dyDescent="0.2">
      <c r="E681" s="42">
        <v>44449</v>
      </c>
      <c r="F681" s="43"/>
      <c r="G681" s="43"/>
      <c r="H681" s="43"/>
      <c r="I681" s="43"/>
      <c r="K681" s="3" t="e">
        <f t="shared" si="59"/>
        <v>#DIV/0!</v>
      </c>
      <c r="L681" s="3" t="e">
        <f ca="1">SQRT(AVERAGE(K681:OFFSET(K681,$B$5-1,0))*$B$9/(4*LN(2)))</f>
        <v>#DIV/0!</v>
      </c>
      <c r="M681" s="3" t="e">
        <f ca="1">SQRT(AVERAGE(K681:OFFSET(K681,$B$6-1,0))*$B$9/(4*LN(2)))</f>
        <v>#DIV/0!</v>
      </c>
      <c r="N681" s="3" t="e">
        <f ca="1">SQRT(AVERAGE(K681:OFFSET(K681,$B$7-1,0))*$B$9/(4*LN(2)))</f>
        <v>#DIV/0!</v>
      </c>
      <c r="O681" s="3" t="e">
        <f ca="1">SQRT(AVERAGE(K681:OFFSET(K681,$B$8-1,0))*$B$9/(4*LN(2)))</f>
        <v>#DIV/0!</v>
      </c>
      <c r="Q681" s="5" t="e">
        <f t="shared" si="58"/>
        <v>#DIV/0!</v>
      </c>
      <c r="R681" s="5" t="e">
        <f ca="1">SQRT($B$9*AVERAGE((Q681:OFFSET(Q681,$B$5-1,0))))</f>
        <v>#DIV/0!</v>
      </c>
      <c r="S681" s="5" t="e">
        <f ca="1">SQRT($B$9*AVERAGE((Q681:OFFSET(Q681,$B$6-1,0))))</f>
        <v>#DIV/0!</v>
      </c>
      <c r="T681" s="5" t="e">
        <f ca="1">SQRT($B$9*AVERAGE((Q681:OFFSET(Q681,$B$7-1,0))))</f>
        <v>#DIV/0!</v>
      </c>
      <c r="U681" s="5" t="e">
        <f ca="1">SQRT($B$9*AVERAGE((Q681:OFFSET(Q681,$B$8-1,0))))</f>
        <v>#DIV/0!</v>
      </c>
      <c r="W681" s="6" t="e">
        <f t="shared" si="62"/>
        <v>#DIV/0!</v>
      </c>
      <c r="X681" s="6" t="e">
        <f ca="1">SQRT($B$9*AVERAGE(W681:OFFSET(W681,$B$5-1,0)))</f>
        <v>#DIV/0!</v>
      </c>
      <c r="Y681" s="6" t="e">
        <f ca="1">SQRT($B$9*AVERAGE(W681:OFFSET(W681,$B$6-1,0)))</f>
        <v>#DIV/0!</v>
      </c>
      <c r="Z681" s="6" t="e">
        <f ca="1">SQRT($B$9*AVERAGE(W681:OFFSET(W681,$B$7-1,0)))</f>
        <v>#DIV/0!</v>
      </c>
      <c r="AA681" s="6" t="e">
        <f ca="1">SQRT($B$9*AVERAGE(W681:OFFSET(W681,$B$8-1,0)))</f>
        <v>#DIV/0!</v>
      </c>
      <c r="AC681" s="34" t="e">
        <f t="shared" si="60"/>
        <v>#DIV/0!</v>
      </c>
      <c r="AD681" s="34" t="e">
        <f ca="1">SQRT($B$9*SUM(AC681:OFFSET(AC681,$B$5-1,0))/($B$5-1))</f>
        <v>#DIV/0!</v>
      </c>
      <c r="AE681" s="34" t="e">
        <f ca="1">SQRT($B$9*SUM(AC681:OFFSET(AC681,$B$6-1,0))/($B$6-1))</f>
        <v>#DIV/0!</v>
      </c>
      <c r="AF681" s="34" t="e">
        <f ca="1">SQRT($B$9*SUM(AC681:OFFSET(AC681,$B$7-1,0))/($B$7-1))</f>
        <v>#DIV/0!</v>
      </c>
      <c r="AG681" s="34" t="e">
        <f ca="1">SQRT($B$9*SUM(AC681:OFFSET(AC681,$B$8-1,0))/($B$8-1))</f>
        <v>#DIV/0!</v>
      </c>
      <c r="AI681" s="1" t="e">
        <f t="shared" si="61"/>
        <v>#DIV/0!</v>
      </c>
      <c r="AJ681" s="4" t="e">
        <f ca="1">SQRT($B$9)*_xlfn.STDEV.S(AI681:OFFSET(AI681,$B$5-1,0))</f>
        <v>#DIV/0!</v>
      </c>
      <c r="AK681" s="4" t="e">
        <f ca="1">SQRT($B$9)*_xlfn.STDEV.S(AI681:OFFSET(AI681,$B$6-1,0))</f>
        <v>#DIV/0!</v>
      </c>
      <c r="AL681" s="4" t="e">
        <f ca="1">SQRT($B$9)*_xlfn.STDEV.S(AI681:OFFSET(AI681,$B$7-1,0))</f>
        <v>#DIV/0!</v>
      </c>
      <c r="AM681" s="4" t="e">
        <f ca="1">SQRT($B$9)*_xlfn.STDEV.S(AI681:OFFSET(AI681,$B$8-1,0))</f>
        <v>#DIV/0!</v>
      </c>
    </row>
    <row r="682" spans="5:39" x14ac:dyDescent="0.2">
      <c r="E682" s="42">
        <v>44448</v>
      </c>
      <c r="F682" s="43"/>
      <c r="G682" s="43"/>
      <c r="H682" s="43"/>
      <c r="I682" s="43"/>
      <c r="K682" s="3" t="e">
        <f t="shared" si="59"/>
        <v>#DIV/0!</v>
      </c>
      <c r="L682" s="3" t="e">
        <f ca="1">SQRT(AVERAGE(K682:OFFSET(K682,$B$5-1,0))*$B$9/(4*LN(2)))</f>
        <v>#DIV/0!</v>
      </c>
      <c r="M682" s="3" t="e">
        <f ca="1">SQRT(AVERAGE(K682:OFFSET(K682,$B$6-1,0))*$B$9/(4*LN(2)))</f>
        <v>#DIV/0!</v>
      </c>
      <c r="N682" s="3" t="e">
        <f ca="1">SQRT(AVERAGE(K682:OFFSET(K682,$B$7-1,0))*$B$9/(4*LN(2)))</f>
        <v>#DIV/0!</v>
      </c>
      <c r="O682" s="3" t="e">
        <f ca="1">SQRT(AVERAGE(K682:OFFSET(K682,$B$8-1,0))*$B$9/(4*LN(2)))</f>
        <v>#DIV/0!</v>
      </c>
      <c r="Q682" s="5" t="e">
        <f t="shared" si="58"/>
        <v>#DIV/0!</v>
      </c>
      <c r="R682" s="5" t="e">
        <f ca="1">SQRT($B$9*AVERAGE((Q682:OFFSET(Q682,$B$5-1,0))))</f>
        <v>#DIV/0!</v>
      </c>
      <c r="S682" s="5" t="e">
        <f ca="1">SQRT($B$9*AVERAGE((Q682:OFFSET(Q682,$B$6-1,0))))</f>
        <v>#DIV/0!</v>
      </c>
      <c r="T682" s="5" t="e">
        <f ca="1">SQRT($B$9*AVERAGE((Q682:OFFSET(Q682,$B$7-1,0))))</f>
        <v>#DIV/0!</v>
      </c>
      <c r="U682" s="5" t="e">
        <f ca="1">SQRT($B$9*AVERAGE((Q682:OFFSET(Q682,$B$8-1,0))))</f>
        <v>#DIV/0!</v>
      </c>
      <c r="W682" s="6" t="e">
        <f t="shared" si="62"/>
        <v>#DIV/0!</v>
      </c>
      <c r="X682" s="6" t="e">
        <f ca="1">SQRT($B$9*AVERAGE(W682:OFFSET(W682,$B$5-1,0)))</f>
        <v>#DIV/0!</v>
      </c>
      <c r="Y682" s="6" t="e">
        <f ca="1">SQRT($B$9*AVERAGE(W682:OFFSET(W682,$B$6-1,0)))</f>
        <v>#DIV/0!</v>
      </c>
      <c r="Z682" s="6" t="e">
        <f ca="1">SQRT($B$9*AVERAGE(W682:OFFSET(W682,$B$7-1,0)))</f>
        <v>#DIV/0!</v>
      </c>
      <c r="AA682" s="6" t="e">
        <f ca="1">SQRT($B$9*AVERAGE(W682:OFFSET(W682,$B$8-1,0)))</f>
        <v>#DIV/0!</v>
      </c>
      <c r="AC682" s="34" t="e">
        <f t="shared" si="60"/>
        <v>#DIV/0!</v>
      </c>
      <c r="AD682" s="34" t="e">
        <f ca="1">SQRT($B$9*SUM(AC682:OFFSET(AC682,$B$5-1,0))/($B$5-1))</f>
        <v>#DIV/0!</v>
      </c>
      <c r="AE682" s="34" t="e">
        <f ca="1">SQRT($B$9*SUM(AC682:OFFSET(AC682,$B$6-1,0))/($B$6-1))</f>
        <v>#DIV/0!</v>
      </c>
      <c r="AF682" s="34" t="e">
        <f ca="1">SQRT($B$9*SUM(AC682:OFFSET(AC682,$B$7-1,0))/($B$7-1))</f>
        <v>#DIV/0!</v>
      </c>
      <c r="AG682" s="34" t="e">
        <f ca="1">SQRT($B$9*SUM(AC682:OFFSET(AC682,$B$8-1,0))/($B$8-1))</f>
        <v>#DIV/0!</v>
      </c>
      <c r="AI682" s="1" t="e">
        <f t="shared" si="61"/>
        <v>#DIV/0!</v>
      </c>
      <c r="AJ682" s="4" t="e">
        <f ca="1">SQRT($B$9)*_xlfn.STDEV.S(AI682:OFFSET(AI682,$B$5-1,0))</f>
        <v>#DIV/0!</v>
      </c>
      <c r="AK682" s="4" t="e">
        <f ca="1">SQRT($B$9)*_xlfn.STDEV.S(AI682:OFFSET(AI682,$B$6-1,0))</f>
        <v>#DIV/0!</v>
      </c>
      <c r="AL682" s="4" t="e">
        <f ca="1">SQRT($B$9)*_xlfn.STDEV.S(AI682:OFFSET(AI682,$B$7-1,0))</f>
        <v>#DIV/0!</v>
      </c>
      <c r="AM682" s="4" t="e">
        <f ca="1">SQRT($B$9)*_xlfn.STDEV.S(AI682:OFFSET(AI682,$B$8-1,0))</f>
        <v>#DIV/0!</v>
      </c>
    </row>
    <row r="683" spans="5:39" x14ac:dyDescent="0.2">
      <c r="E683" s="42">
        <v>44447</v>
      </c>
      <c r="F683" s="43"/>
      <c r="G683" s="43"/>
      <c r="H683" s="43"/>
      <c r="I683" s="43"/>
      <c r="K683" s="3" t="e">
        <f t="shared" si="59"/>
        <v>#DIV/0!</v>
      </c>
      <c r="L683" s="3" t="e">
        <f ca="1">SQRT(AVERAGE(K683:OFFSET(K683,$B$5-1,0))*$B$9/(4*LN(2)))</f>
        <v>#DIV/0!</v>
      </c>
      <c r="M683" s="3" t="e">
        <f ca="1">SQRT(AVERAGE(K683:OFFSET(K683,$B$6-1,0))*$B$9/(4*LN(2)))</f>
        <v>#DIV/0!</v>
      </c>
      <c r="N683" s="3" t="e">
        <f ca="1">SQRT(AVERAGE(K683:OFFSET(K683,$B$7-1,0))*$B$9/(4*LN(2)))</f>
        <v>#DIV/0!</v>
      </c>
      <c r="O683" s="3" t="e">
        <f ca="1">SQRT(AVERAGE(K683:OFFSET(K683,$B$8-1,0))*$B$9/(4*LN(2)))</f>
        <v>#DIV/0!</v>
      </c>
      <c r="Q683" s="5" t="e">
        <f t="shared" si="58"/>
        <v>#DIV/0!</v>
      </c>
      <c r="R683" s="5" t="e">
        <f ca="1">SQRT($B$9*AVERAGE((Q683:OFFSET(Q683,$B$5-1,0))))</f>
        <v>#DIV/0!</v>
      </c>
      <c r="S683" s="5" t="e">
        <f ca="1">SQRT($B$9*AVERAGE((Q683:OFFSET(Q683,$B$6-1,0))))</f>
        <v>#DIV/0!</v>
      </c>
      <c r="T683" s="5" t="e">
        <f ca="1">SQRT($B$9*AVERAGE((Q683:OFFSET(Q683,$B$7-1,0))))</f>
        <v>#DIV/0!</v>
      </c>
      <c r="U683" s="5" t="e">
        <f ca="1">SQRT($B$9*AVERAGE((Q683:OFFSET(Q683,$B$8-1,0))))</f>
        <v>#DIV/0!</v>
      </c>
      <c r="W683" s="6" t="e">
        <f t="shared" si="62"/>
        <v>#DIV/0!</v>
      </c>
      <c r="X683" s="6" t="e">
        <f ca="1">SQRT($B$9*AVERAGE(W683:OFFSET(W683,$B$5-1,0)))</f>
        <v>#DIV/0!</v>
      </c>
      <c r="Y683" s="6" t="e">
        <f ca="1">SQRT($B$9*AVERAGE(W683:OFFSET(W683,$B$6-1,0)))</f>
        <v>#DIV/0!</v>
      </c>
      <c r="Z683" s="6" t="e">
        <f ca="1">SQRT($B$9*AVERAGE(W683:OFFSET(W683,$B$7-1,0)))</f>
        <v>#DIV/0!</v>
      </c>
      <c r="AA683" s="6" t="e">
        <f ca="1">SQRT($B$9*AVERAGE(W683:OFFSET(W683,$B$8-1,0)))</f>
        <v>#DIV/0!</v>
      </c>
      <c r="AC683" s="34" t="e">
        <f t="shared" si="60"/>
        <v>#DIV/0!</v>
      </c>
      <c r="AD683" s="34" t="e">
        <f ca="1">SQRT($B$9*SUM(AC683:OFFSET(AC683,$B$5-1,0))/($B$5-1))</f>
        <v>#DIV/0!</v>
      </c>
      <c r="AE683" s="34" t="e">
        <f ca="1">SQRT($B$9*SUM(AC683:OFFSET(AC683,$B$6-1,0))/($B$6-1))</f>
        <v>#DIV/0!</v>
      </c>
      <c r="AF683" s="34" t="e">
        <f ca="1">SQRT($B$9*SUM(AC683:OFFSET(AC683,$B$7-1,0))/($B$7-1))</f>
        <v>#DIV/0!</v>
      </c>
      <c r="AG683" s="34" t="e">
        <f ca="1">SQRT($B$9*SUM(AC683:OFFSET(AC683,$B$8-1,0))/($B$8-1))</f>
        <v>#DIV/0!</v>
      </c>
      <c r="AI683" s="1" t="e">
        <f t="shared" si="61"/>
        <v>#DIV/0!</v>
      </c>
      <c r="AJ683" s="4" t="e">
        <f ca="1">SQRT($B$9)*_xlfn.STDEV.S(AI683:OFFSET(AI683,$B$5-1,0))</f>
        <v>#DIV/0!</v>
      </c>
      <c r="AK683" s="4" t="e">
        <f ca="1">SQRT($B$9)*_xlfn.STDEV.S(AI683:OFFSET(AI683,$B$6-1,0))</f>
        <v>#DIV/0!</v>
      </c>
      <c r="AL683" s="4" t="e">
        <f ca="1">SQRT($B$9)*_xlfn.STDEV.S(AI683:OFFSET(AI683,$B$7-1,0))</f>
        <v>#DIV/0!</v>
      </c>
      <c r="AM683" s="4" t="e">
        <f ca="1">SQRT($B$9)*_xlfn.STDEV.S(AI683:OFFSET(AI683,$B$8-1,0))</f>
        <v>#DIV/0!</v>
      </c>
    </row>
    <row r="684" spans="5:39" x14ac:dyDescent="0.2">
      <c r="E684" s="42">
        <v>44446</v>
      </c>
      <c r="F684" s="43"/>
      <c r="G684" s="43"/>
      <c r="H684" s="43"/>
      <c r="I684" s="43"/>
      <c r="K684" s="3" t="e">
        <f t="shared" si="59"/>
        <v>#DIV/0!</v>
      </c>
      <c r="L684" s="3" t="e">
        <f ca="1">SQRT(AVERAGE(K684:OFFSET(K684,$B$5-1,0))*$B$9/(4*LN(2)))</f>
        <v>#DIV/0!</v>
      </c>
      <c r="M684" s="3" t="e">
        <f ca="1">SQRT(AVERAGE(K684:OFFSET(K684,$B$6-1,0))*$B$9/(4*LN(2)))</f>
        <v>#DIV/0!</v>
      </c>
      <c r="N684" s="3" t="e">
        <f ca="1">SQRT(AVERAGE(K684:OFFSET(K684,$B$7-1,0))*$B$9/(4*LN(2)))</f>
        <v>#DIV/0!</v>
      </c>
      <c r="O684" s="3" t="e">
        <f ca="1">SQRT(AVERAGE(K684:OFFSET(K684,$B$8-1,0))*$B$9/(4*LN(2)))</f>
        <v>#DIV/0!</v>
      </c>
      <c r="Q684" s="5" t="e">
        <f t="shared" si="58"/>
        <v>#DIV/0!</v>
      </c>
      <c r="R684" s="5" t="e">
        <f ca="1">SQRT($B$9*AVERAGE((Q684:OFFSET(Q684,$B$5-1,0))))</f>
        <v>#DIV/0!</v>
      </c>
      <c r="S684" s="5" t="e">
        <f ca="1">SQRT($B$9*AVERAGE((Q684:OFFSET(Q684,$B$6-1,0))))</f>
        <v>#DIV/0!</v>
      </c>
      <c r="T684" s="5" t="e">
        <f ca="1">SQRT($B$9*AVERAGE((Q684:OFFSET(Q684,$B$7-1,0))))</f>
        <v>#DIV/0!</v>
      </c>
      <c r="U684" s="5" t="e">
        <f ca="1">SQRT($B$9*AVERAGE((Q684:OFFSET(Q684,$B$8-1,0))))</f>
        <v>#DIV/0!</v>
      </c>
      <c r="W684" s="6" t="e">
        <f t="shared" si="62"/>
        <v>#DIV/0!</v>
      </c>
      <c r="X684" s="6" t="e">
        <f ca="1">SQRT($B$9*AVERAGE(W684:OFFSET(W684,$B$5-1,0)))</f>
        <v>#DIV/0!</v>
      </c>
      <c r="Y684" s="6" t="e">
        <f ca="1">SQRT($B$9*AVERAGE(W684:OFFSET(W684,$B$6-1,0)))</f>
        <v>#DIV/0!</v>
      </c>
      <c r="Z684" s="6" t="e">
        <f ca="1">SQRT($B$9*AVERAGE(W684:OFFSET(W684,$B$7-1,0)))</f>
        <v>#DIV/0!</v>
      </c>
      <c r="AA684" s="6" t="e">
        <f ca="1">SQRT($B$9*AVERAGE(W684:OFFSET(W684,$B$8-1,0)))</f>
        <v>#DIV/0!</v>
      </c>
      <c r="AC684" s="34" t="e">
        <f t="shared" si="60"/>
        <v>#DIV/0!</v>
      </c>
      <c r="AD684" s="34" t="e">
        <f ca="1">SQRT($B$9*SUM(AC684:OFFSET(AC684,$B$5-1,0))/($B$5-1))</f>
        <v>#DIV/0!</v>
      </c>
      <c r="AE684" s="34" t="e">
        <f ca="1">SQRT($B$9*SUM(AC684:OFFSET(AC684,$B$6-1,0))/($B$6-1))</f>
        <v>#DIV/0!</v>
      </c>
      <c r="AF684" s="34" t="e">
        <f ca="1">SQRT($B$9*SUM(AC684:OFFSET(AC684,$B$7-1,0))/($B$7-1))</f>
        <v>#DIV/0!</v>
      </c>
      <c r="AG684" s="34" t="e">
        <f ca="1">SQRT($B$9*SUM(AC684:OFFSET(AC684,$B$8-1,0))/($B$8-1))</f>
        <v>#DIV/0!</v>
      </c>
      <c r="AI684" s="1" t="e">
        <f t="shared" si="61"/>
        <v>#DIV/0!</v>
      </c>
      <c r="AJ684" s="4" t="e">
        <f ca="1">SQRT($B$9)*_xlfn.STDEV.S(AI684:OFFSET(AI684,$B$5-1,0))</f>
        <v>#DIV/0!</v>
      </c>
      <c r="AK684" s="4" t="e">
        <f ca="1">SQRT($B$9)*_xlfn.STDEV.S(AI684:OFFSET(AI684,$B$6-1,0))</f>
        <v>#DIV/0!</v>
      </c>
      <c r="AL684" s="4" t="e">
        <f ca="1">SQRT($B$9)*_xlfn.STDEV.S(AI684:OFFSET(AI684,$B$7-1,0))</f>
        <v>#DIV/0!</v>
      </c>
      <c r="AM684" s="4" t="e">
        <f ca="1">SQRT($B$9)*_xlfn.STDEV.S(AI684:OFFSET(AI684,$B$8-1,0))</f>
        <v>#DIV/0!</v>
      </c>
    </row>
    <row r="685" spans="5:39" x14ac:dyDescent="0.2">
      <c r="E685" s="42">
        <v>44445</v>
      </c>
      <c r="F685" s="43"/>
      <c r="G685" s="43"/>
      <c r="H685" s="43"/>
      <c r="I685" s="43"/>
      <c r="K685" s="3" t="e">
        <f t="shared" si="59"/>
        <v>#DIV/0!</v>
      </c>
      <c r="L685" s="3" t="e">
        <f ca="1">SQRT(AVERAGE(K685:OFFSET(K685,$B$5-1,0))*$B$9/(4*LN(2)))</f>
        <v>#DIV/0!</v>
      </c>
      <c r="M685" s="3" t="e">
        <f ca="1">SQRT(AVERAGE(K685:OFFSET(K685,$B$6-1,0))*$B$9/(4*LN(2)))</f>
        <v>#DIV/0!</v>
      </c>
      <c r="N685" s="3" t="e">
        <f ca="1">SQRT(AVERAGE(K685:OFFSET(K685,$B$7-1,0))*$B$9/(4*LN(2)))</f>
        <v>#DIV/0!</v>
      </c>
      <c r="O685" s="3" t="e">
        <f ca="1">SQRT(AVERAGE(K685:OFFSET(K685,$B$8-1,0))*$B$9/(4*LN(2)))</f>
        <v>#DIV/0!</v>
      </c>
      <c r="Q685" s="5" t="e">
        <f t="shared" si="58"/>
        <v>#DIV/0!</v>
      </c>
      <c r="R685" s="5" t="e">
        <f ca="1">SQRT($B$9*AVERAGE((Q685:OFFSET(Q685,$B$5-1,0))))</f>
        <v>#DIV/0!</v>
      </c>
      <c r="S685" s="5" t="e">
        <f ca="1">SQRT($B$9*AVERAGE((Q685:OFFSET(Q685,$B$6-1,0))))</f>
        <v>#DIV/0!</v>
      </c>
      <c r="T685" s="5" t="e">
        <f ca="1">SQRT($B$9*AVERAGE((Q685:OFFSET(Q685,$B$7-1,0))))</f>
        <v>#DIV/0!</v>
      </c>
      <c r="U685" s="5" t="e">
        <f ca="1">SQRT($B$9*AVERAGE((Q685:OFFSET(Q685,$B$8-1,0))))</f>
        <v>#DIV/0!</v>
      </c>
      <c r="W685" s="6" t="e">
        <f t="shared" si="62"/>
        <v>#DIV/0!</v>
      </c>
      <c r="X685" s="6" t="e">
        <f ca="1">SQRT($B$9*AVERAGE(W685:OFFSET(W685,$B$5-1,0)))</f>
        <v>#DIV/0!</v>
      </c>
      <c r="Y685" s="6" t="e">
        <f ca="1">SQRT($B$9*AVERAGE(W685:OFFSET(W685,$B$6-1,0)))</f>
        <v>#DIV/0!</v>
      </c>
      <c r="Z685" s="6" t="e">
        <f ca="1">SQRT($B$9*AVERAGE(W685:OFFSET(W685,$B$7-1,0)))</f>
        <v>#DIV/0!</v>
      </c>
      <c r="AA685" s="6" t="e">
        <f ca="1">SQRT($B$9*AVERAGE(W685:OFFSET(W685,$B$8-1,0)))</f>
        <v>#DIV/0!</v>
      </c>
      <c r="AC685" s="34" t="e">
        <f t="shared" si="60"/>
        <v>#DIV/0!</v>
      </c>
      <c r="AD685" s="34" t="e">
        <f ca="1">SQRT($B$9*SUM(AC685:OFFSET(AC685,$B$5-1,0))/($B$5-1))</f>
        <v>#DIV/0!</v>
      </c>
      <c r="AE685" s="34" t="e">
        <f ca="1">SQRT($B$9*SUM(AC685:OFFSET(AC685,$B$6-1,0))/($B$6-1))</f>
        <v>#DIV/0!</v>
      </c>
      <c r="AF685" s="34" t="e">
        <f ca="1">SQRT($B$9*SUM(AC685:OFFSET(AC685,$B$7-1,0))/($B$7-1))</f>
        <v>#DIV/0!</v>
      </c>
      <c r="AG685" s="34" t="e">
        <f ca="1">SQRT($B$9*SUM(AC685:OFFSET(AC685,$B$8-1,0))/($B$8-1))</f>
        <v>#DIV/0!</v>
      </c>
      <c r="AI685" s="1" t="e">
        <f t="shared" si="61"/>
        <v>#DIV/0!</v>
      </c>
      <c r="AJ685" s="4" t="e">
        <f ca="1">SQRT($B$9)*_xlfn.STDEV.S(AI685:OFFSET(AI685,$B$5-1,0))</f>
        <v>#DIV/0!</v>
      </c>
      <c r="AK685" s="4" t="e">
        <f ca="1">SQRT($B$9)*_xlfn.STDEV.S(AI685:OFFSET(AI685,$B$6-1,0))</f>
        <v>#DIV/0!</v>
      </c>
      <c r="AL685" s="4" t="e">
        <f ca="1">SQRT($B$9)*_xlfn.STDEV.S(AI685:OFFSET(AI685,$B$7-1,0))</f>
        <v>#DIV/0!</v>
      </c>
      <c r="AM685" s="4" t="e">
        <f ca="1">SQRT($B$9)*_xlfn.STDEV.S(AI685:OFFSET(AI685,$B$8-1,0))</f>
        <v>#DIV/0!</v>
      </c>
    </row>
    <row r="686" spans="5:39" x14ac:dyDescent="0.2">
      <c r="E686" s="42">
        <v>44442</v>
      </c>
      <c r="F686" s="43"/>
      <c r="G686" s="43"/>
      <c r="H686" s="43"/>
      <c r="I686" s="43"/>
      <c r="K686" s="3" t="e">
        <f t="shared" si="59"/>
        <v>#DIV/0!</v>
      </c>
      <c r="L686" s="3" t="e">
        <f ca="1">SQRT(AVERAGE(K686:OFFSET(K686,$B$5-1,0))*$B$9/(4*LN(2)))</f>
        <v>#DIV/0!</v>
      </c>
      <c r="M686" s="3" t="e">
        <f ca="1">SQRT(AVERAGE(K686:OFFSET(K686,$B$6-1,0))*$B$9/(4*LN(2)))</f>
        <v>#DIV/0!</v>
      </c>
      <c r="N686" s="3" t="e">
        <f ca="1">SQRT(AVERAGE(K686:OFFSET(K686,$B$7-1,0))*$B$9/(4*LN(2)))</f>
        <v>#DIV/0!</v>
      </c>
      <c r="O686" s="3" t="e">
        <f ca="1">SQRT(AVERAGE(K686:OFFSET(K686,$B$8-1,0))*$B$9/(4*LN(2)))</f>
        <v>#DIV/0!</v>
      </c>
      <c r="Q686" s="5" t="e">
        <f t="shared" si="58"/>
        <v>#DIV/0!</v>
      </c>
      <c r="R686" s="5" t="e">
        <f ca="1">SQRT($B$9*AVERAGE((Q686:OFFSET(Q686,$B$5-1,0))))</f>
        <v>#DIV/0!</v>
      </c>
      <c r="S686" s="5" t="e">
        <f ca="1">SQRT($B$9*AVERAGE((Q686:OFFSET(Q686,$B$6-1,0))))</f>
        <v>#DIV/0!</v>
      </c>
      <c r="T686" s="5" t="e">
        <f ca="1">SQRT($B$9*AVERAGE((Q686:OFFSET(Q686,$B$7-1,0))))</f>
        <v>#DIV/0!</v>
      </c>
      <c r="U686" s="5" t="e">
        <f ca="1">SQRT($B$9*AVERAGE((Q686:OFFSET(Q686,$B$8-1,0))))</f>
        <v>#DIV/0!</v>
      </c>
      <c r="W686" s="6" t="e">
        <f t="shared" si="62"/>
        <v>#DIV/0!</v>
      </c>
      <c r="X686" s="6" t="e">
        <f ca="1">SQRT($B$9*AVERAGE(W686:OFFSET(W686,$B$5-1,0)))</f>
        <v>#DIV/0!</v>
      </c>
      <c r="Y686" s="6" t="e">
        <f ca="1">SQRT($B$9*AVERAGE(W686:OFFSET(W686,$B$6-1,0)))</f>
        <v>#DIV/0!</v>
      </c>
      <c r="Z686" s="6" t="e">
        <f ca="1">SQRT($B$9*AVERAGE(W686:OFFSET(W686,$B$7-1,0)))</f>
        <v>#DIV/0!</v>
      </c>
      <c r="AA686" s="6" t="e">
        <f ca="1">SQRT($B$9*AVERAGE(W686:OFFSET(W686,$B$8-1,0)))</f>
        <v>#DIV/0!</v>
      </c>
      <c r="AC686" s="34" t="e">
        <f t="shared" si="60"/>
        <v>#DIV/0!</v>
      </c>
      <c r="AD686" s="34" t="e">
        <f ca="1">SQRT($B$9*SUM(AC686:OFFSET(AC686,$B$5-1,0))/($B$5-1))</f>
        <v>#DIV/0!</v>
      </c>
      <c r="AE686" s="34" t="e">
        <f ca="1">SQRT($B$9*SUM(AC686:OFFSET(AC686,$B$6-1,0))/($B$6-1))</f>
        <v>#DIV/0!</v>
      </c>
      <c r="AF686" s="34" t="e">
        <f ca="1">SQRT($B$9*SUM(AC686:OFFSET(AC686,$B$7-1,0))/($B$7-1))</f>
        <v>#DIV/0!</v>
      </c>
      <c r="AG686" s="34" t="e">
        <f ca="1">SQRT($B$9*SUM(AC686:OFFSET(AC686,$B$8-1,0))/($B$8-1))</f>
        <v>#DIV/0!</v>
      </c>
      <c r="AI686" s="1" t="e">
        <f t="shared" si="61"/>
        <v>#DIV/0!</v>
      </c>
      <c r="AJ686" s="4" t="e">
        <f ca="1">SQRT($B$9)*_xlfn.STDEV.S(AI686:OFFSET(AI686,$B$5-1,0))</f>
        <v>#DIV/0!</v>
      </c>
      <c r="AK686" s="4" t="e">
        <f ca="1">SQRT($B$9)*_xlfn.STDEV.S(AI686:OFFSET(AI686,$B$6-1,0))</f>
        <v>#DIV/0!</v>
      </c>
      <c r="AL686" s="4" t="e">
        <f ca="1">SQRT($B$9)*_xlfn.STDEV.S(AI686:OFFSET(AI686,$B$7-1,0))</f>
        <v>#DIV/0!</v>
      </c>
      <c r="AM686" s="4" t="e">
        <f ca="1">SQRT($B$9)*_xlfn.STDEV.S(AI686:OFFSET(AI686,$B$8-1,0))</f>
        <v>#DIV/0!</v>
      </c>
    </row>
    <row r="687" spans="5:39" x14ac:dyDescent="0.2">
      <c r="E687" s="42">
        <v>44441</v>
      </c>
      <c r="F687" s="43"/>
      <c r="G687" s="43"/>
      <c r="H687" s="43"/>
      <c r="I687" s="43"/>
      <c r="K687" s="3" t="e">
        <f t="shared" si="59"/>
        <v>#DIV/0!</v>
      </c>
      <c r="L687" s="3" t="e">
        <f ca="1">SQRT(AVERAGE(K687:OFFSET(K687,$B$5-1,0))*$B$9/(4*LN(2)))</f>
        <v>#DIV/0!</v>
      </c>
      <c r="M687" s="3" t="e">
        <f ca="1">SQRT(AVERAGE(K687:OFFSET(K687,$B$6-1,0))*$B$9/(4*LN(2)))</f>
        <v>#DIV/0!</v>
      </c>
      <c r="N687" s="3" t="e">
        <f ca="1">SQRT(AVERAGE(K687:OFFSET(K687,$B$7-1,0))*$B$9/(4*LN(2)))</f>
        <v>#DIV/0!</v>
      </c>
      <c r="O687" s="3" t="e">
        <f ca="1">SQRT(AVERAGE(K687:OFFSET(K687,$B$8-1,0))*$B$9/(4*LN(2)))</f>
        <v>#DIV/0!</v>
      </c>
      <c r="Q687" s="5" t="e">
        <f t="shared" si="58"/>
        <v>#DIV/0!</v>
      </c>
      <c r="R687" s="5" t="e">
        <f ca="1">SQRT($B$9*AVERAGE((Q687:OFFSET(Q687,$B$5-1,0))))</f>
        <v>#DIV/0!</v>
      </c>
      <c r="S687" s="5" t="e">
        <f ca="1">SQRT($B$9*AVERAGE((Q687:OFFSET(Q687,$B$6-1,0))))</f>
        <v>#DIV/0!</v>
      </c>
      <c r="T687" s="5" t="e">
        <f ca="1">SQRT($B$9*AVERAGE((Q687:OFFSET(Q687,$B$7-1,0))))</f>
        <v>#DIV/0!</v>
      </c>
      <c r="U687" s="5" t="e">
        <f ca="1">SQRT($B$9*AVERAGE((Q687:OFFSET(Q687,$B$8-1,0))))</f>
        <v>#DIV/0!</v>
      </c>
      <c r="W687" s="6" t="e">
        <f t="shared" si="62"/>
        <v>#DIV/0!</v>
      </c>
      <c r="X687" s="6" t="e">
        <f ca="1">SQRT($B$9*AVERAGE(W687:OFFSET(W687,$B$5-1,0)))</f>
        <v>#DIV/0!</v>
      </c>
      <c r="Y687" s="6" t="e">
        <f ca="1">SQRT($B$9*AVERAGE(W687:OFFSET(W687,$B$6-1,0)))</f>
        <v>#DIV/0!</v>
      </c>
      <c r="Z687" s="6" t="e">
        <f ca="1">SQRT($B$9*AVERAGE(W687:OFFSET(W687,$B$7-1,0)))</f>
        <v>#DIV/0!</v>
      </c>
      <c r="AA687" s="6" t="e">
        <f ca="1">SQRT($B$9*AVERAGE(W687:OFFSET(W687,$B$8-1,0)))</f>
        <v>#DIV/0!</v>
      </c>
      <c r="AC687" s="34" t="e">
        <f t="shared" si="60"/>
        <v>#DIV/0!</v>
      </c>
      <c r="AD687" s="34" t="e">
        <f ca="1">SQRT($B$9*SUM(AC687:OFFSET(AC687,$B$5-1,0))/($B$5-1))</f>
        <v>#DIV/0!</v>
      </c>
      <c r="AE687" s="34" t="e">
        <f ca="1">SQRT($B$9*SUM(AC687:OFFSET(AC687,$B$6-1,0))/($B$6-1))</f>
        <v>#DIV/0!</v>
      </c>
      <c r="AF687" s="34" t="e">
        <f ca="1">SQRT($B$9*SUM(AC687:OFFSET(AC687,$B$7-1,0))/($B$7-1))</f>
        <v>#DIV/0!</v>
      </c>
      <c r="AG687" s="34" t="e">
        <f ca="1">SQRT($B$9*SUM(AC687:OFFSET(AC687,$B$8-1,0))/($B$8-1))</f>
        <v>#DIV/0!</v>
      </c>
      <c r="AI687" s="1" t="e">
        <f t="shared" si="61"/>
        <v>#DIV/0!</v>
      </c>
      <c r="AJ687" s="4" t="e">
        <f ca="1">SQRT($B$9)*_xlfn.STDEV.S(AI687:OFFSET(AI687,$B$5-1,0))</f>
        <v>#DIV/0!</v>
      </c>
      <c r="AK687" s="4" t="e">
        <f ca="1">SQRT($B$9)*_xlfn.STDEV.S(AI687:OFFSET(AI687,$B$6-1,0))</f>
        <v>#DIV/0!</v>
      </c>
      <c r="AL687" s="4" t="e">
        <f ca="1">SQRT($B$9)*_xlfn.STDEV.S(AI687:OFFSET(AI687,$B$7-1,0))</f>
        <v>#DIV/0!</v>
      </c>
      <c r="AM687" s="4" t="e">
        <f ca="1">SQRT($B$9)*_xlfn.STDEV.S(AI687:OFFSET(AI687,$B$8-1,0))</f>
        <v>#DIV/0!</v>
      </c>
    </row>
    <row r="688" spans="5:39" x14ac:dyDescent="0.2">
      <c r="E688" s="42">
        <v>44440</v>
      </c>
      <c r="F688" s="43"/>
      <c r="G688" s="43"/>
      <c r="H688" s="43"/>
      <c r="I688" s="43"/>
      <c r="K688" s="3" t="e">
        <f t="shared" si="59"/>
        <v>#DIV/0!</v>
      </c>
      <c r="L688" s="3" t="e">
        <f ca="1">SQRT(AVERAGE(K688:OFFSET(K688,$B$5-1,0))*$B$9/(4*LN(2)))</f>
        <v>#DIV/0!</v>
      </c>
      <c r="M688" s="3" t="e">
        <f ca="1">SQRT(AVERAGE(K688:OFFSET(K688,$B$6-1,0))*$B$9/(4*LN(2)))</f>
        <v>#DIV/0!</v>
      </c>
      <c r="N688" s="3" t="e">
        <f ca="1">SQRT(AVERAGE(K688:OFFSET(K688,$B$7-1,0))*$B$9/(4*LN(2)))</f>
        <v>#DIV/0!</v>
      </c>
      <c r="O688" s="3" t="e">
        <f ca="1">SQRT(AVERAGE(K688:OFFSET(K688,$B$8-1,0))*$B$9/(4*LN(2)))</f>
        <v>#DIV/0!</v>
      </c>
      <c r="Q688" s="5" t="e">
        <f t="shared" si="58"/>
        <v>#DIV/0!</v>
      </c>
      <c r="R688" s="5" t="e">
        <f ca="1">SQRT($B$9*AVERAGE((Q688:OFFSET(Q688,$B$5-1,0))))</f>
        <v>#DIV/0!</v>
      </c>
      <c r="S688" s="5" t="e">
        <f ca="1">SQRT($B$9*AVERAGE((Q688:OFFSET(Q688,$B$6-1,0))))</f>
        <v>#DIV/0!</v>
      </c>
      <c r="T688" s="5" t="e">
        <f ca="1">SQRT($B$9*AVERAGE((Q688:OFFSET(Q688,$B$7-1,0))))</f>
        <v>#DIV/0!</v>
      </c>
      <c r="U688" s="5" t="e">
        <f ca="1">SQRT($B$9*AVERAGE((Q688:OFFSET(Q688,$B$8-1,0))))</f>
        <v>#DIV/0!</v>
      </c>
      <c r="W688" s="6" t="e">
        <f t="shared" si="62"/>
        <v>#DIV/0!</v>
      </c>
      <c r="X688" s="6" t="e">
        <f ca="1">SQRT($B$9*AVERAGE(W688:OFFSET(W688,$B$5-1,0)))</f>
        <v>#DIV/0!</v>
      </c>
      <c r="Y688" s="6" t="e">
        <f ca="1">SQRT($B$9*AVERAGE(W688:OFFSET(W688,$B$6-1,0)))</f>
        <v>#DIV/0!</v>
      </c>
      <c r="Z688" s="6" t="e">
        <f ca="1">SQRT($B$9*AVERAGE(W688:OFFSET(W688,$B$7-1,0)))</f>
        <v>#DIV/0!</v>
      </c>
      <c r="AA688" s="6" t="e">
        <f ca="1">SQRT($B$9*AVERAGE(W688:OFFSET(W688,$B$8-1,0)))</f>
        <v>#DIV/0!</v>
      </c>
      <c r="AC688" s="34" t="e">
        <f t="shared" si="60"/>
        <v>#DIV/0!</v>
      </c>
      <c r="AD688" s="34" t="e">
        <f ca="1">SQRT($B$9*SUM(AC688:OFFSET(AC688,$B$5-1,0))/($B$5-1))</f>
        <v>#DIV/0!</v>
      </c>
      <c r="AE688" s="34" t="e">
        <f ca="1">SQRT($B$9*SUM(AC688:OFFSET(AC688,$B$6-1,0))/($B$6-1))</f>
        <v>#DIV/0!</v>
      </c>
      <c r="AF688" s="34" t="e">
        <f ca="1">SQRT($B$9*SUM(AC688:OFFSET(AC688,$B$7-1,0))/($B$7-1))</f>
        <v>#DIV/0!</v>
      </c>
      <c r="AG688" s="34" t="e">
        <f ca="1">SQRT($B$9*SUM(AC688:OFFSET(AC688,$B$8-1,0))/($B$8-1))</f>
        <v>#DIV/0!</v>
      </c>
      <c r="AI688" s="1" t="e">
        <f t="shared" si="61"/>
        <v>#DIV/0!</v>
      </c>
      <c r="AJ688" s="4" t="e">
        <f ca="1">SQRT($B$9)*_xlfn.STDEV.S(AI688:OFFSET(AI688,$B$5-1,0))</f>
        <v>#DIV/0!</v>
      </c>
      <c r="AK688" s="4" t="e">
        <f ca="1">SQRT($B$9)*_xlfn.STDEV.S(AI688:OFFSET(AI688,$B$6-1,0))</f>
        <v>#DIV/0!</v>
      </c>
      <c r="AL688" s="4" t="e">
        <f ca="1">SQRT($B$9)*_xlfn.STDEV.S(AI688:OFFSET(AI688,$B$7-1,0))</f>
        <v>#DIV/0!</v>
      </c>
      <c r="AM688" s="4" t="e">
        <f ca="1">SQRT($B$9)*_xlfn.STDEV.S(AI688:OFFSET(AI688,$B$8-1,0))</f>
        <v>#DIV/0!</v>
      </c>
    </row>
    <row r="689" spans="5:39" x14ac:dyDescent="0.2">
      <c r="E689" s="42">
        <v>44439</v>
      </c>
      <c r="F689" s="43"/>
      <c r="G689" s="43"/>
      <c r="H689" s="43"/>
      <c r="I689" s="43"/>
      <c r="K689" s="3" t="e">
        <f t="shared" si="59"/>
        <v>#DIV/0!</v>
      </c>
      <c r="L689" s="3" t="e">
        <f ca="1">SQRT(AVERAGE(K689:OFFSET(K689,$B$5-1,0))*$B$9/(4*LN(2)))</f>
        <v>#DIV/0!</v>
      </c>
      <c r="M689" s="3" t="e">
        <f ca="1">SQRT(AVERAGE(K689:OFFSET(K689,$B$6-1,0))*$B$9/(4*LN(2)))</f>
        <v>#DIV/0!</v>
      </c>
      <c r="N689" s="3" t="e">
        <f ca="1">SQRT(AVERAGE(K689:OFFSET(K689,$B$7-1,0))*$B$9/(4*LN(2)))</f>
        <v>#DIV/0!</v>
      </c>
      <c r="O689" s="3" t="e">
        <f ca="1">SQRT(AVERAGE(K689:OFFSET(K689,$B$8-1,0))*$B$9/(4*LN(2)))</f>
        <v>#DIV/0!</v>
      </c>
      <c r="Q689" s="5" t="e">
        <f t="shared" si="58"/>
        <v>#DIV/0!</v>
      </c>
      <c r="R689" s="5" t="e">
        <f ca="1">SQRT($B$9*AVERAGE((Q689:OFFSET(Q689,$B$5-1,0))))</f>
        <v>#DIV/0!</v>
      </c>
      <c r="S689" s="5" t="e">
        <f ca="1">SQRT($B$9*AVERAGE((Q689:OFFSET(Q689,$B$6-1,0))))</f>
        <v>#DIV/0!</v>
      </c>
      <c r="T689" s="5" t="e">
        <f ca="1">SQRT($B$9*AVERAGE((Q689:OFFSET(Q689,$B$7-1,0))))</f>
        <v>#DIV/0!</v>
      </c>
      <c r="U689" s="5" t="e">
        <f ca="1">SQRT($B$9*AVERAGE((Q689:OFFSET(Q689,$B$8-1,0))))</f>
        <v>#DIV/0!</v>
      </c>
      <c r="W689" s="6" t="e">
        <f t="shared" si="62"/>
        <v>#DIV/0!</v>
      </c>
      <c r="X689" s="6" t="e">
        <f ca="1">SQRT($B$9*AVERAGE(W689:OFFSET(W689,$B$5-1,0)))</f>
        <v>#DIV/0!</v>
      </c>
      <c r="Y689" s="6" t="e">
        <f ca="1">SQRT($B$9*AVERAGE(W689:OFFSET(W689,$B$6-1,0)))</f>
        <v>#DIV/0!</v>
      </c>
      <c r="Z689" s="6" t="e">
        <f ca="1">SQRT($B$9*AVERAGE(W689:OFFSET(W689,$B$7-1,0)))</f>
        <v>#DIV/0!</v>
      </c>
      <c r="AA689" s="6" t="e">
        <f ca="1">SQRT($B$9*AVERAGE(W689:OFFSET(W689,$B$8-1,0)))</f>
        <v>#DIV/0!</v>
      </c>
      <c r="AC689" s="34" t="e">
        <f t="shared" si="60"/>
        <v>#DIV/0!</v>
      </c>
      <c r="AD689" s="34" t="e">
        <f ca="1">SQRT($B$9*SUM(AC689:OFFSET(AC689,$B$5-1,0))/($B$5-1))</f>
        <v>#DIV/0!</v>
      </c>
      <c r="AE689" s="34" t="e">
        <f ca="1">SQRT($B$9*SUM(AC689:OFFSET(AC689,$B$6-1,0))/($B$6-1))</f>
        <v>#DIV/0!</v>
      </c>
      <c r="AF689" s="34" t="e">
        <f ca="1">SQRT($B$9*SUM(AC689:OFFSET(AC689,$B$7-1,0))/($B$7-1))</f>
        <v>#DIV/0!</v>
      </c>
      <c r="AG689" s="34" t="e">
        <f ca="1">SQRT($B$9*SUM(AC689:OFFSET(AC689,$B$8-1,0))/($B$8-1))</f>
        <v>#DIV/0!</v>
      </c>
      <c r="AI689" s="1" t="e">
        <f t="shared" si="61"/>
        <v>#DIV/0!</v>
      </c>
      <c r="AJ689" s="4" t="e">
        <f ca="1">SQRT($B$9)*_xlfn.STDEV.S(AI689:OFFSET(AI689,$B$5-1,0))</f>
        <v>#DIV/0!</v>
      </c>
      <c r="AK689" s="4" t="e">
        <f ca="1">SQRT($B$9)*_xlfn.STDEV.S(AI689:OFFSET(AI689,$B$6-1,0))</f>
        <v>#DIV/0!</v>
      </c>
      <c r="AL689" s="4" t="e">
        <f ca="1">SQRT($B$9)*_xlfn.STDEV.S(AI689:OFFSET(AI689,$B$7-1,0))</f>
        <v>#DIV/0!</v>
      </c>
      <c r="AM689" s="4" t="e">
        <f ca="1">SQRT($B$9)*_xlfn.STDEV.S(AI689:OFFSET(AI689,$B$8-1,0))</f>
        <v>#DIV/0!</v>
      </c>
    </row>
    <row r="690" spans="5:39" x14ac:dyDescent="0.2">
      <c r="E690" s="42">
        <v>44438</v>
      </c>
      <c r="F690" s="43"/>
      <c r="G690" s="43"/>
      <c r="H690" s="43"/>
      <c r="I690" s="43"/>
      <c r="K690" s="3" t="e">
        <f t="shared" si="59"/>
        <v>#DIV/0!</v>
      </c>
      <c r="L690" s="3" t="e">
        <f ca="1">SQRT(AVERAGE(K690:OFFSET(K690,$B$5-1,0))*$B$9/(4*LN(2)))</f>
        <v>#DIV/0!</v>
      </c>
      <c r="M690" s="3" t="e">
        <f ca="1">SQRT(AVERAGE(K690:OFFSET(K690,$B$6-1,0))*$B$9/(4*LN(2)))</f>
        <v>#DIV/0!</v>
      </c>
      <c r="N690" s="3" t="e">
        <f ca="1">SQRT(AVERAGE(K690:OFFSET(K690,$B$7-1,0))*$B$9/(4*LN(2)))</f>
        <v>#DIV/0!</v>
      </c>
      <c r="O690" s="3" t="e">
        <f ca="1">SQRT(AVERAGE(K690:OFFSET(K690,$B$8-1,0))*$B$9/(4*LN(2)))</f>
        <v>#DIV/0!</v>
      </c>
      <c r="Q690" s="5" t="e">
        <f t="shared" si="58"/>
        <v>#DIV/0!</v>
      </c>
      <c r="R690" s="5" t="e">
        <f ca="1">SQRT($B$9*AVERAGE((Q690:OFFSET(Q690,$B$5-1,0))))</f>
        <v>#DIV/0!</v>
      </c>
      <c r="S690" s="5" t="e">
        <f ca="1">SQRT($B$9*AVERAGE((Q690:OFFSET(Q690,$B$6-1,0))))</f>
        <v>#DIV/0!</v>
      </c>
      <c r="T690" s="5" t="e">
        <f ca="1">SQRT($B$9*AVERAGE((Q690:OFFSET(Q690,$B$7-1,0))))</f>
        <v>#DIV/0!</v>
      </c>
      <c r="U690" s="5" t="e">
        <f ca="1">SQRT($B$9*AVERAGE((Q690:OFFSET(Q690,$B$8-1,0))))</f>
        <v>#DIV/0!</v>
      </c>
      <c r="W690" s="6" t="e">
        <f t="shared" si="62"/>
        <v>#DIV/0!</v>
      </c>
      <c r="X690" s="6" t="e">
        <f ca="1">SQRT($B$9*AVERAGE(W690:OFFSET(W690,$B$5-1,0)))</f>
        <v>#DIV/0!</v>
      </c>
      <c r="Y690" s="6" t="e">
        <f ca="1">SQRT($B$9*AVERAGE(W690:OFFSET(W690,$B$6-1,0)))</f>
        <v>#DIV/0!</v>
      </c>
      <c r="Z690" s="6" t="e">
        <f ca="1">SQRT($B$9*AVERAGE(W690:OFFSET(W690,$B$7-1,0)))</f>
        <v>#DIV/0!</v>
      </c>
      <c r="AA690" s="6" t="e">
        <f ca="1">SQRT($B$9*AVERAGE(W690:OFFSET(W690,$B$8-1,0)))</f>
        <v>#DIV/0!</v>
      </c>
      <c r="AC690" s="34" t="e">
        <f t="shared" si="60"/>
        <v>#DIV/0!</v>
      </c>
      <c r="AD690" s="34" t="e">
        <f ca="1">SQRT($B$9*SUM(AC690:OFFSET(AC690,$B$5-1,0))/($B$5-1))</f>
        <v>#DIV/0!</v>
      </c>
      <c r="AE690" s="34" t="e">
        <f ca="1">SQRT($B$9*SUM(AC690:OFFSET(AC690,$B$6-1,0))/($B$6-1))</f>
        <v>#DIV/0!</v>
      </c>
      <c r="AF690" s="34" t="e">
        <f ca="1">SQRT($B$9*SUM(AC690:OFFSET(AC690,$B$7-1,0))/($B$7-1))</f>
        <v>#DIV/0!</v>
      </c>
      <c r="AG690" s="34" t="e">
        <f ca="1">SQRT($B$9*SUM(AC690:OFFSET(AC690,$B$8-1,0))/($B$8-1))</f>
        <v>#DIV/0!</v>
      </c>
      <c r="AI690" s="1" t="e">
        <f t="shared" si="61"/>
        <v>#DIV/0!</v>
      </c>
      <c r="AJ690" s="4" t="e">
        <f ca="1">SQRT($B$9)*_xlfn.STDEV.S(AI690:OFFSET(AI690,$B$5-1,0))</f>
        <v>#DIV/0!</v>
      </c>
      <c r="AK690" s="4" t="e">
        <f ca="1">SQRT($B$9)*_xlfn.STDEV.S(AI690:OFFSET(AI690,$B$6-1,0))</f>
        <v>#DIV/0!</v>
      </c>
      <c r="AL690" s="4" t="e">
        <f ca="1">SQRT($B$9)*_xlfn.STDEV.S(AI690:OFFSET(AI690,$B$7-1,0))</f>
        <v>#DIV/0!</v>
      </c>
      <c r="AM690" s="4" t="e">
        <f ca="1">SQRT($B$9)*_xlfn.STDEV.S(AI690:OFFSET(AI690,$B$8-1,0))</f>
        <v>#DIV/0!</v>
      </c>
    </row>
    <row r="691" spans="5:39" x14ac:dyDescent="0.2">
      <c r="E691" s="42">
        <v>44435</v>
      </c>
      <c r="F691" s="43"/>
      <c r="G691" s="43"/>
      <c r="H691" s="43"/>
      <c r="I691" s="43"/>
      <c r="K691" s="3" t="e">
        <f t="shared" si="59"/>
        <v>#DIV/0!</v>
      </c>
      <c r="L691" s="3" t="e">
        <f ca="1">SQRT(AVERAGE(K691:OFFSET(K691,$B$5-1,0))*$B$9/(4*LN(2)))</f>
        <v>#DIV/0!</v>
      </c>
      <c r="M691" s="3" t="e">
        <f ca="1">SQRT(AVERAGE(K691:OFFSET(K691,$B$6-1,0))*$B$9/(4*LN(2)))</f>
        <v>#DIV/0!</v>
      </c>
      <c r="N691" s="3" t="e">
        <f ca="1">SQRT(AVERAGE(K691:OFFSET(K691,$B$7-1,0))*$B$9/(4*LN(2)))</f>
        <v>#DIV/0!</v>
      </c>
      <c r="O691" s="3" t="e">
        <f ca="1">SQRT(AVERAGE(K691:OFFSET(K691,$B$8-1,0))*$B$9/(4*LN(2)))</f>
        <v>#DIV/0!</v>
      </c>
      <c r="Q691" s="5" t="e">
        <f t="shared" si="58"/>
        <v>#DIV/0!</v>
      </c>
      <c r="R691" s="5" t="e">
        <f ca="1">SQRT($B$9*AVERAGE((Q691:OFFSET(Q691,$B$5-1,0))))</f>
        <v>#DIV/0!</v>
      </c>
      <c r="S691" s="5" t="e">
        <f ca="1">SQRT($B$9*AVERAGE((Q691:OFFSET(Q691,$B$6-1,0))))</f>
        <v>#DIV/0!</v>
      </c>
      <c r="T691" s="5" t="e">
        <f ca="1">SQRT($B$9*AVERAGE((Q691:OFFSET(Q691,$B$7-1,0))))</f>
        <v>#DIV/0!</v>
      </c>
      <c r="U691" s="5" t="e">
        <f ca="1">SQRT($B$9*AVERAGE((Q691:OFFSET(Q691,$B$8-1,0))))</f>
        <v>#DIV/0!</v>
      </c>
      <c r="W691" s="6" t="e">
        <f t="shared" si="62"/>
        <v>#DIV/0!</v>
      </c>
      <c r="X691" s="6" t="e">
        <f ca="1">SQRT($B$9*AVERAGE(W691:OFFSET(W691,$B$5-1,0)))</f>
        <v>#DIV/0!</v>
      </c>
      <c r="Y691" s="6" t="e">
        <f ca="1">SQRT($B$9*AVERAGE(W691:OFFSET(W691,$B$6-1,0)))</f>
        <v>#DIV/0!</v>
      </c>
      <c r="Z691" s="6" t="e">
        <f ca="1">SQRT($B$9*AVERAGE(W691:OFFSET(W691,$B$7-1,0)))</f>
        <v>#DIV/0!</v>
      </c>
      <c r="AA691" s="6" t="e">
        <f ca="1">SQRT($B$9*AVERAGE(W691:OFFSET(W691,$B$8-1,0)))</f>
        <v>#DIV/0!</v>
      </c>
      <c r="AC691" s="34" t="e">
        <f t="shared" si="60"/>
        <v>#DIV/0!</v>
      </c>
      <c r="AD691" s="34" t="e">
        <f ca="1">SQRT($B$9*SUM(AC691:OFFSET(AC691,$B$5-1,0))/($B$5-1))</f>
        <v>#DIV/0!</v>
      </c>
      <c r="AE691" s="34" t="e">
        <f ca="1">SQRT($B$9*SUM(AC691:OFFSET(AC691,$B$6-1,0))/($B$6-1))</f>
        <v>#DIV/0!</v>
      </c>
      <c r="AF691" s="34" t="e">
        <f ca="1">SQRT($B$9*SUM(AC691:OFFSET(AC691,$B$7-1,0))/($B$7-1))</f>
        <v>#DIV/0!</v>
      </c>
      <c r="AG691" s="34" t="e">
        <f ca="1">SQRT($B$9*SUM(AC691:OFFSET(AC691,$B$8-1,0))/($B$8-1))</f>
        <v>#DIV/0!</v>
      </c>
      <c r="AI691" s="1" t="e">
        <f t="shared" si="61"/>
        <v>#DIV/0!</v>
      </c>
      <c r="AJ691" s="4" t="e">
        <f ca="1">SQRT($B$9)*_xlfn.STDEV.S(AI691:OFFSET(AI691,$B$5-1,0))</f>
        <v>#DIV/0!</v>
      </c>
      <c r="AK691" s="4" t="e">
        <f ca="1">SQRT($B$9)*_xlfn.STDEV.S(AI691:OFFSET(AI691,$B$6-1,0))</f>
        <v>#DIV/0!</v>
      </c>
      <c r="AL691" s="4" t="e">
        <f ca="1">SQRT($B$9)*_xlfn.STDEV.S(AI691:OFFSET(AI691,$B$7-1,0))</f>
        <v>#DIV/0!</v>
      </c>
      <c r="AM691" s="4" t="e">
        <f ca="1">SQRT($B$9)*_xlfn.STDEV.S(AI691:OFFSET(AI691,$B$8-1,0))</f>
        <v>#DIV/0!</v>
      </c>
    </row>
    <row r="692" spans="5:39" x14ac:dyDescent="0.2">
      <c r="E692" s="42">
        <v>44434</v>
      </c>
      <c r="F692" s="43"/>
      <c r="G692" s="43"/>
      <c r="H692" s="43"/>
      <c r="I692" s="43"/>
      <c r="K692" s="3" t="e">
        <f t="shared" si="59"/>
        <v>#DIV/0!</v>
      </c>
      <c r="L692" s="3" t="e">
        <f ca="1">SQRT(AVERAGE(K692:OFFSET(K692,$B$5-1,0))*$B$9/(4*LN(2)))</f>
        <v>#DIV/0!</v>
      </c>
      <c r="M692" s="3" t="e">
        <f ca="1">SQRT(AVERAGE(K692:OFFSET(K692,$B$6-1,0))*$B$9/(4*LN(2)))</f>
        <v>#DIV/0!</v>
      </c>
      <c r="N692" s="3" t="e">
        <f ca="1">SQRT(AVERAGE(K692:OFFSET(K692,$B$7-1,0))*$B$9/(4*LN(2)))</f>
        <v>#DIV/0!</v>
      </c>
      <c r="O692" s="3" t="e">
        <f ca="1">SQRT(AVERAGE(K692:OFFSET(K692,$B$8-1,0))*$B$9/(4*LN(2)))</f>
        <v>#DIV/0!</v>
      </c>
      <c r="Q692" s="5" t="e">
        <f t="shared" si="58"/>
        <v>#DIV/0!</v>
      </c>
      <c r="R692" s="5" t="e">
        <f ca="1">SQRT($B$9*AVERAGE((Q692:OFFSET(Q692,$B$5-1,0))))</f>
        <v>#DIV/0!</v>
      </c>
      <c r="S692" s="5" t="e">
        <f ca="1">SQRT($B$9*AVERAGE((Q692:OFFSET(Q692,$B$6-1,0))))</f>
        <v>#DIV/0!</v>
      </c>
      <c r="T692" s="5" t="e">
        <f ca="1">SQRT($B$9*AVERAGE((Q692:OFFSET(Q692,$B$7-1,0))))</f>
        <v>#DIV/0!</v>
      </c>
      <c r="U692" s="5" t="e">
        <f ca="1">SQRT($B$9*AVERAGE((Q692:OFFSET(Q692,$B$8-1,0))))</f>
        <v>#DIV/0!</v>
      </c>
      <c r="W692" s="6" t="e">
        <f t="shared" si="62"/>
        <v>#DIV/0!</v>
      </c>
      <c r="X692" s="6" t="e">
        <f ca="1">SQRT($B$9*AVERAGE(W692:OFFSET(W692,$B$5-1,0)))</f>
        <v>#DIV/0!</v>
      </c>
      <c r="Y692" s="6" t="e">
        <f ca="1">SQRT($B$9*AVERAGE(W692:OFFSET(W692,$B$6-1,0)))</f>
        <v>#DIV/0!</v>
      </c>
      <c r="Z692" s="6" t="e">
        <f ca="1">SQRT($B$9*AVERAGE(W692:OFFSET(W692,$B$7-1,0)))</f>
        <v>#DIV/0!</v>
      </c>
      <c r="AA692" s="6" t="e">
        <f ca="1">SQRT($B$9*AVERAGE(W692:OFFSET(W692,$B$8-1,0)))</f>
        <v>#DIV/0!</v>
      </c>
      <c r="AC692" s="34" t="e">
        <f t="shared" si="60"/>
        <v>#DIV/0!</v>
      </c>
      <c r="AD692" s="34" t="e">
        <f ca="1">SQRT($B$9*SUM(AC692:OFFSET(AC692,$B$5-1,0))/($B$5-1))</f>
        <v>#DIV/0!</v>
      </c>
      <c r="AE692" s="34" t="e">
        <f ca="1">SQRT($B$9*SUM(AC692:OFFSET(AC692,$B$6-1,0))/($B$6-1))</f>
        <v>#DIV/0!</v>
      </c>
      <c r="AF692" s="34" t="e">
        <f ca="1">SQRT($B$9*SUM(AC692:OFFSET(AC692,$B$7-1,0))/($B$7-1))</f>
        <v>#DIV/0!</v>
      </c>
      <c r="AG692" s="34" t="e">
        <f ca="1">SQRT($B$9*SUM(AC692:OFFSET(AC692,$B$8-1,0))/($B$8-1))</f>
        <v>#DIV/0!</v>
      </c>
      <c r="AI692" s="1" t="e">
        <f t="shared" si="61"/>
        <v>#DIV/0!</v>
      </c>
      <c r="AJ692" s="4" t="e">
        <f ca="1">SQRT($B$9)*_xlfn.STDEV.S(AI692:OFFSET(AI692,$B$5-1,0))</f>
        <v>#DIV/0!</v>
      </c>
      <c r="AK692" s="4" t="e">
        <f ca="1">SQRT($B$9)*_xlfn.STDEV.S(AI692:OFFSET(AI692,$B$6-1,0))</f>
        <v>#DIV/0!</v>
      </c>
      <c r="AL692" s="4" t="e">
        <f ca="1">SQRT($B$9)*_xlfn.STDEV.S(AI692:OFFSET(AI692,$B$7-1,0))</f>
        <v>#DIV/0!</v>
      </c>
      <c r="AM692" s="4" t="e">
        <f ca="1">SQRT($B$9)*_xlfn.STDEV.S(AI692:OFFSET(AI692,$B$8-1,0))</f>
        <v>#DIV/0!</v>
      </c>
    </row>
    <row r="693" spans="5:39" x14ac:dyDescent="0.2">
      <c r="E693" s="42">
        <v>44433</v>
      </c>
      <c r="F693" s="43"/>
      <c r="G693" s="43"/>
      <c r="H693" s="43"/>
      <c r="I693" s="43"/>
      <c r="K693" s="3" t="e">
        <f t="shared" si="59"/>
        <v>#DIV/0!</v>
      </c>
      <c r="L693" s="3" t="e">
        <f ca="1">SQRT(AVERAGE(K693:OFFSET(K693,$B$5-1,0))*$B$9/(4*LN(2)))</f>
        <v>#DIV/0!</v>
      </c>
      <c r="M693" s="3" t="e">
        <f ca="1">SQRT(AVERAGE(K693:OFFSET(K693,$B$6-1,0))*$B$9/(4*LN(2)))</f>
        <v>#DIV/0!</v>
      </c>
      <c r="N693" s="3" t="e">
        <f ca="1">SQRT(AVERAGE(K693:OFFSET(K693,$B$7-1,0))*$B$9/(4*LN(2)))</f>
        <v>#DIV/0!</v>
      </c>
      <c r="O693" s="3" t="e">
        <f ca="1">SQRT(AVERAGE(K693:OFFSET(K693,$B$8-1,0))*$B$9/(4*LN(2)))</f>
        <v>#DIV/0!</v>
      </c>
      <c r="Q693" s="5" t="e">
        <f t="shared" si="58"/>
        <v>#DIV/0!</v>
      </c>
      <c r="R693" s="5" t="e">
        <f ca="1">SQRT($B$9*AVERAGE((Q693:OFFSET(Q693,$B$5-1,0))))</f>
        <v>#DIV/0!</v>
      </c>
      <c r="S693" s="5" t="e">
        <f ca="1">SQRT($B$9*AVERAGE((Q693:OFFSET(Q693,$B$6-1,0))))</f>
        <v>#DIV/0!</v>
      </c>
      <c r="T693" s="5" t="e">
        <f ca="1">SQRT($B$9*AVERAGE((Q693:OFFSET(Q693,$B$7-1,0))))</f>
        <v>#DIV/0!</v>
      </c>
      <c r="U693" s="5" t="e">
        <f ca="1">SQRT($B$9*AVERAGE((Q693:OFFSET(Q693,$B$8-1,0))))</f>
        <v>#DIV/0!</v>
      </c>
      <c r="W693" s="6" t="e">
        <f t="shared" si="62"/>
        <v>#DIV/0!</v>
      </c>
      <c r="X693" s="6" t="e">
        <f ca="1">SQRT($B$9*AVERAGE(W693:OFFSET(W693,$B$5-1,0)))</f>
        <v>#DIV/0!</v>
      </c>
      <c r="Y693" s="6" t="e">
        <f ca="1">SQRT($B$9*AVERAGE(W693:OFFSET(W693,$B$6-1,0)))</f>
        <v>#DIV/0!</v>
      </c>
      <c r="Z693" s="6" t="e">
        <f ca="1">SQRT($B$9*AVERAGE(W693:OFFSET(W693,$B$7-1,0)))</f>
        <v>#DIV/0!</v>
      </c>
      <c r="AA693" s="6" t="e">
        <f ca="1">SQRT($B$9*AVERAGE(W693:OFFSET(W693,$B$8-1,0)))</f>
        <v>#DIV/0!</v>
      </c>
      <c r="AC693" s="34" t="e">
        <f t="shared" si="60"/>
        <v>#DIV/0!</v>
      </c>
      <c r="AD693" s="34" t="e">
        <f ca="1">SQRT($B$9*SUM(AC693:OFFSET(AC693,$B$5-1,0))/($B$5-1))</f>
        <v>#DIV/0!</v>
      </c>
      <c r="AE693" s="34" t="e">
        <f ca="1">SQRT($B$9*SUM(AC693:OFFSET(AC693,$B$6-1,0))/($B$6-1))</f>
        <v>#DIV/0!</v>
      </c>
      <c r="AF693" s="34" t="e">
        <f ca="1">SQRT($B$9*SUM(AC693:OFFSET(AC693,$B$7-1,0))/($B$7-1))</f>
        <v>#DIV/0!</v>
      </c>
      <c r="AG693" s="34" t="e">
        <f ca="1">SQRT($B$9*SUM(AC693:OFFSET(AC693,$B$8-1,0))/($B$8-1))</f>
        <v>#DIV/0!</v>
      </c>
      <c r="AI693" s="1" t="e">
        <f t="shared" si="61"/>
        <v>#DIV/0!</v>
      </c>
      <c r="AJ693" s="4" t="e">
        <f ca="1">SQRT($B$9)*_xlfn.STDEV.S(AI693:OFFSET(AI693,$B$5-1,0))</f>
        <v>#DIV/0!</v>
      </c>
      <c r="AK693" s="4" t="e">
        <f ca="1">SQRT($B$9)*_xlfn.STDEV.S(AI693:OFFSET(AI693,$B$6-1,0))</f>
        <v>#DIV/0!</v>
      </c>
      <c r="AL693" s="4" t="e">
        <f ca="1">SQRT($B$9)*_xlfn.STDEV.S(AI693:OFFSET(AI693,$B$7-1,0))</f>
        <v>#DIV/0!</v>
      </c>
      <c r="AM693" s="4" t="e">
        <f ca="1">SQRT($B$9)*_xlfn.STDEV.S(AI693:OFFSET(AI693,$B$8-1,0))</f>
        <v>#DIV/0!</v>
      </c>
    </row>
    <row r="694" spans="5:39" x14ac:dyDescent="0.2">
      <c r="E694" s="42">
        <v>44432</v>
      </c>
      <c r="F694" s="43"/>
      <c r="G694" s="43"/>
      <c r="H694" s="43"/>
      <c r="I694" s="43"/>
      <c r="K694" s="3" t="e">
        <f t="shared" si="59"/>
        <v>#DIV/0!</v>
      </c>
      <c r="L694" s="3" t="e">
        <f ca="1">SQRT(AVERAGE(K694:OFFSET(K694,$B$5-1,0))*$B$9/(4*LN(2)))</f>
        <v>#DIV/0!</v>
      </c>
      <c r="M694" s="3" t="e">
        <f ca="1">SQRT(AVERAGE(K694:OFFSET(K694,$B$6-1,0))*$B$9/(4*LN(2)))</f>
        <v>#DIV/0!</v>
      </c>
      <c r="N694" s="3" t="e">
        <f ca="1">SQRT(AVERAGE(K694:OFFSET(K694,$B$7-1,0))*$B$9/(4*LN(2)))</f>
        <v>#DIV/0!</v>
      </c>
      <c r="O694" s="3" t="e">
        <f ca="1">SQRT(AVERAGE(K694:OFFSET(K694,$B$8-1,0))*$B$9/(4*LN(2)))</f>
        <v>#DIV/0!</v>
      </c>
      <c r="Q694" s="5" t="e">
        <f t="shared" si="58"/>
        <v>#DIV/0!</v>
      </c>
      <c r="R694" s="5" t="e">
        <f ca="1">SQRT($B$9*AVERAGE((Q694:OFFSET(Q694,$B$5-1,0))))</f>
        <v>#DIV/0!</v>
      </c>
      <c r="S694" s="5" t="e">
        <f ca="1">SQRT($B$9*AVERAGE((Q694:OFFSET(Q694,$B$6-1,0))))</f>
        <v>#DIV/0!</v>
      </c>
      <c r="T694" s="5" t="e">
        <f ca="1">SQRT($B$9*AVERAGE((Q694:OFFSET(Q694,$B$7-1,0))))</f>
        <v>#DIV/0!</v>
      </c>
      <c r="U694" s="5" t="e">
        <f ca="1">SQRT($B$9*AVERAGE((Q694:OFFSET(Q694,$B$8-1,0))))</f>
        <v>#DIV/0!</v>
      </c>
      <c r="W694" s="6" t="e">
        <f t="shared" si="62"/>
        <v>#DIV/0!</v>
      </c>
      <c r="X694" s="6" t="e">
        <f ca="1">SQRT($B$9*AVERAGE(W694:OFFSET(W694,$B$5-1,0)))</f>
        <v>#DIV/0!</v>
      </c>
      <c r="Y694" s="6" t="e">
        <f ca="1">SQRT($B$9*AVERAGE(W694:OFFSET(W694,$B$6-1,0)))</f>
        <v>#DIV/0!</v>
      </c>
      <c r="Z694" s="6" t="e">
        <f ca="1">SQRT($B$9*AVERAGE(W694:OFFSET(W694,$B$7-1,0)))</f>
        <v>#DIV/0!</v>
      </c>
      <c r="AA694" s="6" t="e">
        <f ca="1">SQRT($B$9*AVERAGE(W694:OFFSET(W694,$B$8-1,0)))</f>
        <v>#DIV/0!</v>
      </c>
      <c r="AC694" s="34" t="e">
        <f t="shared" si="60"/>
        <v>#DIV/0!</v>
      </c>
      <c r="AD694" s="34" t="e">
        <f ca="1">SQRT($B$9*SUM(AC694:OFFSET(AC694,$B$5-1,0))/($B$5-1))</f>
        <v>#DIV/0!</v>
      </c>
      <c r="AE694" s="34" t="e">
        <f ca="1">SQRT($B$9*SUM(AC694:OFFSET(AC694,$B$6-1,0))/($B$6-1))</f>
        <v>#DIV/0!</v>
      </c>
      <c r="AF694" s="34" t="e">
        <f ca="1">SQRT($B$9*SUM(AC694:OFFSET(AC694,$B$7-1,0))/($B$7-1))</f>
        <v>#DIV/0!</v>
      </c>
      <c r="AG694" s="34" t="e">
        <f ca="1">SQRT($B$9*SUM(AC694:OFFSET(AC694,$B$8-1,0))/($B$8-1))</f>
        <v>#DIV/0!</v>
      </c>
      <c r="AI694" s="1" t="e">
        <f t="shared" si="61"/>
        <v>#DIV/0!</v>
      </c>
      <c r="AJ694" s="4" t="e">
        <f ca="1">SQRT($B$9)*_xlfn.STDEV.S(AI694:OFFSET(AI694,$B$5-1,0))</f>
        <v>#DIV/0!</v>
      </c>
      <c r="AK694" s="4" t="e">
        <f ca="1">SQRT($B$9)*_xlfn.STDEV.S(AI694:OFFSET(AI694,$B$6-1,0))</f>
        <v>#DIV/0!</v>
      </c>
      <c r="AL694" s="4" t="e">
        <f ca="1">SQRT($B$9)*_xlfn.STDEV.S(AI694:OFFSET(AI694,$B$7-1,0))</f>
        <v>#DIV/0!</v>
      </c>
      <c r="AM694" s="4" t="e">
        <f ca="1">SQRT($B$9)*_xlfn.STDEV.S(AI694:OFFSET(AI694,$B$8-1,0))</f>
        <v>#DIV/0!</v>
      </c>
    </row>
    <row r="695" spans="5:39" x14ac:dyDescent="0.2">
      <c r="E695" s="42">
        <v>44431</v>
      </c>
      <c r="F695" s="43"/>
      <c r="G695" s="43"/>
      <c r="H695" s="43"/>
      <c r="I695" s="43"/>
      <c r="K695" s="3" t="e">
        <f t="shared" si="59"/>
        <v>#DIV/0!</v>
      </c>
      <c r="L695" s="3" t="e">
        <f ca="1">SQRT(AVERAGE(K695:OFFSET(K695,$B$5-1,0))*$B$9/(4*LN(2)))</f>
        <v>#DIV/0!</v>
      </c>
      <c r="M695" s="3" t="e">
        <f ca="1">SQRT(AVERAGE(K695:OFFSET(K695,$B$6-1,0))*$B$9/(4*LN(2)))</f>
        <v>#DIV/0!</v>
      </c>
      <c r="N695" s="3" t="e">
        <f ca="1">SQRT(AVERAGE(K695:OFFSET(K695,$B$7-1,0))*$B$9/(4*LN(2)))</f>
        <v>#DIV/0!</v>
      </c>
      <c r="O695" s="3" t="e">
        <f ca="1">SQRT(AVERAGE(K695:OFFSET(K695,$B$8-1,0))*$B$9/(4*LN(2)))</f>
        <v>#DIV/0!</v>
      </c>
      <c r="Q695" s="5" t="e">
        <f t="shared" si="58"/>
        <v>#DIV/0!</v>
      </c>
      <c r="R695" s="5" t="e">
        <f ca="1">SQRT($B$9*AVERAGE((Q695:OFFSET(Q695,$B$5-1,0))))</f>
        <v>#DIV/0!</v>
      </c>
      <c r="S695" s="5" t="e">
        <f ca="1">SQRT($B$9*AVERAGE((Q695:OFFSET(Q695,$B$6-1,0))))</f>
        <v>#DIV/0!</v>
      </c>
      <c r="T695" s="5" t="e">
        <f ca="1">SQRT($B$9*AVERAGE((Q695:OFFSET(Q695,$B$7-1,0))))</f>
        <v>#DIV/0!</v>
      </c>
      <c r="U695" s="5" t="e">
        <f ca="1">SQRT($B$9*AVERAGE((Q695:OFFSET(Q695,$B$8-1,0))))</f>
        <v>#DIV/0!</v>
      </c>
      <c r="W695" s="6" t="e">
        <f t="shared" si="62"/>
        <v>#DIV/0!</v>
      </c>
      <c r="X695" s="6" t="e">
        <f ca="1">SQRT($B$9*AVERAGE(W695:OFFSET(W695,$B$5-1,0)))</f>
        <v>#DIV/0!</v>
      </c>
      <c r="Y695" s="6" t="e">
        <f ca="1">SQRT($B$9*AVERAGE(W695:OFFSET(W695,$B$6-1,0)))</f>
        <v>#DIV/0!</v>
      </c>
      <c r="Z695" s="6" t="e">
        <f ca="1">SQRT($B$9*AVERAGE(W695:OFFSET(W695,$B$7-1,0)))</f>
        <v>#DIV/0!</v>
      </c>
      <c r="AA695" s="6" t="e">
        <f ca="1">SQRT($B$9*AVERAGE(W695:OFFSET(W695,$B$8-1,0)))</f>
        <v>#DIV/0!</v>
      </c>
      <c r="AC695" s="34" t="e">
        <f t="shared" si="60"/>
        <v>#DIV/0!</v>
      </c>
      <c r="AD695" s="34" t="e">
        <f ca="1">SQRT($B$9*SUM(AC695:OFFSET(AC695,$B$5-1,0))/($B$5-1))</f>
        <v>#DIV/0!</v>
      </c>
      <c r="AE695" s="34" t="e">
        <f ca="1">SQRT($B$9*SUM(AC695:OFFSET(AC695,$B$6-1,0))/($B$6-1))</f>
        <v>#DIV/0!</v>
      </c>
      <c r="AF695" s="34" t="e">
        <f ca="1">SQRT($B$9*SUM(AC695:OFFSET(AC695,$B$7-1,0))/($B$7-1))</f>
        <v>#DIV/0!</v>
      </c>
      <c r="AG695" s="34" t="e">
        <f ca="1">SQRT($B$9*SUM(AC695:OFFSET(AC695,$B$8-1,0))/($B$8-1))</f>
        <v>#DIV/0!</v>
      </c>
      <c r="AI695" s="1" t="e">
        <f t="shared" si="61"/>
        <v>#DIV/0!</v>
      </c>
      <c r="AJ695" s="4" t="e">
        <f ca="1">SQRT($B$9)*_xlfn.STDEV.S(AI695:OFFSET(AI695,$B$5-1,0))</f>
        <v>#DIV/0!</v>
      </c>
      <c r="AK695" s="4" t="e">
        <f ca="1">SQRT($B$9)*_xlfn.STDEV.S(AI695:OFFSET(AI695,$B$6-1,0))</f>
        <v>#DIV/0!</v>
      </c>
      <c r="AL695" s="4" t="e">
        <f ca="1">SQRT($B$9)*_xlfn.STDEV.S(AI695:OFFSET(AI695,$B$7-1,0))</f>
        <v>#DIV/0!</v>
      </c>
      <c r="AM695" s="4" t="e">
        <f ca="1">SQRT($B$9)*_xlfn.STDEV.S(AI695:OFFSET(AI695,$B$8-1,0))</f>
        <v>#DIV/0!</v>
      </c>
    </row>
    <row r="696" spans="5:39" x14ac:dyDescent="0.2">
      <c r="E696" s="42">
        <v>44428</v>
      </c>
      <c r="F696" s="43"/>
      <c r="G696" s="43"/>
      <c r="H696" s="43"/>
      <c r="I696" s="43"/>
      <c r="K696" s="3" t="e">
        <f t="shared" si="59"/>
        <v>#DIV/0!</v>
      </c>
      <c r="L696" s="3" t="e">
        <f ca="1">SQRT(AVERAGE(K696:OFFSET(K696,$B$5-1,0))*$B$9/(4*LN(2)))</f>
        <v>#DIV/0!</v>
      </c>
      <c r="M696" s="3" t="e">
        <f ca="1">SQRT(AVERAGE(K696:OFFSET(K696,$B$6-1,0))*$B$9/(4*LN(2)))</f>
        <v>#DIV/0!</v>
      </c>
      <c r="N696" s="3" t="e">
        <f ca="1">SQRT(AVERAGE(K696:OFFSET(K696,$B$7-1,0))*$B$9/(4*LN(2)))</f>
        <v>#DIV/0!</v>
      </c>
      <c r="O696" s="3" t="e">
        <f ca="1">SQRT(AVERAGE(K696:OFFSET(K696,$B$8-1,0))*$B$9/(4*LN(2)))</f>
        <v>#DIV/0!</v>
      </c>
      <c r="Q696" s="5" t="e">
        <f t="shared" si="58"/>
        <v>#DIV/0!</v>
      </c>
      <c r="R696" s="5" t="e">
        <f ca="1">SQRT($B$9*AVERAGE((Q696:OFFSET(Q696,$B$5-1,0))))</f>
        <v>#DIV/0!</v>
      </c>
      <c r="S696" s="5" t="e">
        <f ca="1">SQRT($B$9*AVERAGE((Q696:OFFSET(Q696,$B$6-1,0))))</f>
        <v>#DIV/0!</v>
      </c>
      <c r="T696" s="5" t="e">
        <f ca="1">SQRT($B$9*AVERAGE((Q696:OFFSET(Q696,$B$7-1,0))))</f>
        <v>#DIV/0!</v>
      </c>
      <c r="U696" s="5" t="e">
        <f ca="1">SQRT($B$9*AVERAGE((Q696:OFFSET(Q696,$B$8-1,0))))</f>
        <v>#DIV/0!</v>
      </c>
      <c r="W696" s="6" t="e">
        <f t="shared" si="62"/>
        <v>#DIV/0!</v>
      </c>
      <c r="X696" s="6" t="e">
        <f ca="1">SQRT($B$9*AVERAGE(W696:OFFSET(W696,$B$5-1,0)))</f>
        <v>#DIV/0!</v>
      </c>
      <c r="Y696" s="6" t="e">
        <f ca="1">SQRT($B$9*AVERAGE(W696:OFFSET(W696,$B$6-1,0)))</f>
        <v>#DIV/0!</v>
      </c>
      <c r="Z696" s="6" t="e">
        <f ca="1">SQRT($B$9*AVERAGE(W696:OFFSET(W696,$B$7-1,0)))</f>
        <v>#DIV/0!</v>
      </c>
      <c r="AA696" s="6" t="e">
        <f ca="1">SQRT($B$9*AVERAGE(W696:OFFSET(W696,$B$8-1,0)))</f>
        <v>#DIV/0!</v>
      </c>
      <c r="AC696" s="34" t="e">
        <f t="shared" si="60"/>
        <v>#DIV/0!</v>
      </c>
      <c r="AD696" s="34" t="e">
        <f ca="1">SQRT($B$9*SUM(AC696:OFFSET(AC696,$B$5-1,0))/($B$5-1))</f>
        <v>#DIV/0!</v>
      </c>
      <c r="AE696" s="34" t="e">
        <f ca="1">SQRT($B$9*SUM(AC696:OFFSET(AC696,$B$6-1,0))/($B$6-1))</f>
        <v>#DIV/0!</v>
      </c>
      <c r="AF696" s="34" t="e">
        <f ca="1">SQRT($B$9*SUM(AC696:OFFSET(AC696,$B$7-1,0))/($B$7-1))</f>
        <v>#DIV/0!</v>
      </c>
      <c r="AG696" s="34" t="e">
        <f ca="1">SQRT($B$9*SUM(AC696:OFFSET(AC696,$B$8-1,0))/($B$8-1))</f>
        <v>#DIV/0!</v>
      </c>
      <c r="AI696" s="1" t="e">
        <f t="shared" si="61"/>
        <v>#DIV/0!</v>
      </c>
      <c r="AJ696" s="4" t="e">
        <f ca="1">SQRT($B$9)*_xlfn.STDEV.S(AI696:OFFSET(AI696,$B$5-1,0))</f>
        <v>#DIV/0!</v>
      </c>
      <c r="AK696" s="4" t="e">
        <f ca="1">SQRT($B$9)*_xlfn.STDEV.S(AI696:OFFSET(AI696,$B$6-1,0))</f>
        <v>#DIV/0!</v>
      </c>
      <c r="AL696" s="4" t="e">
        <f ca="1">SQRT($B$9)*_xlfn.STDEV.S(AI696:OFFSET(AI696,$B$7-1,0))</f>
        <v>#DIV/0!</v>
      </c>
      <c r="AM696" s="4" t="e">
        <f ca="1">SQRT($B$9)*_xlfn.STDEV.S(AI696:OFFSET(AI696,$B$8-1,0))</f>
        <v>#DIV/0!</v>
      </c>
    </row>
    <row r="697" spans="5:39" x14ac:dyDescent="0.2">
      <c r="E697" s="42">
        <v>44427</v>
      </c>
      <c r="F697" s="43"/>
      <c r="G697" s="43"/>
      <c r="H697" s="43"/>
      <c r="I697" s="43"/>
      <c r="K697" s="3" t="e">
        <f t="shared" si="59"/>
        <v>#DIV/0!</v>
      </c>
      <c r="L697" s="3" t="e">
        <f ca="1">SQRT(AVERAGE(K697:OFFSET(K697,$B$5-1,0))*$B$9/(4*LN(2)))</f>
        <v>#DIV/0!</v>
      </c>
      <c r="M697" s="3" t="e">
        <f ca="1">SQRT(AVERAGE(K697:OFFSET(K697,$B$6-1,0))*$B$9/(4*LN(2)))</f>
        <v>#DIV/0!</v>
      </c>
      <c r="N697" s="3" t="e">
        <f ca="1">SQRT(AVERAGE(K697:OFFSET(K697,$B$7-1,0))*$B$9/(4*LN(2)))</f>
        <v>#DIV/0!</v>
      </c>
      <c r="O697" s="3" t="e">
        <f ca="1">SQRT(AVERAGE(K697:OFFSET(K697,$B$8-1,0))*$B$9/(4*LN(2)))</f>
        <v>#DIV/0!</v>
      </c>
      <c r="Q697" s="5" t="e">
        <f t="shared" si="58"/>
        <v>#DIV/0!</v>
      </c>
      <c r="R697" s="5" t="e">
        <f ca="1">SQRT($B$9*AVERAGE((Q697:OFFSET(Q697,$B$5-1,0))))</f>
        <v>#DIV/0!</v>
      </c>
      <c r="S697" s="5" t="e">
        <f ca="1">SQRT($B$9*AVERAGE((Q697:OFFSET(Q697,$B$6-1,0))))</f>
        <v>#DIV/0!</v>
      </c>
      <c r="T697" s="5" t="e">
        <f ca="1">SQRT($B$9*AVERAGE((Q697:OFFSET(Q697,$B$7-1,0))))</f>
        <v>#DIV/0!</v>
      </c>
      <c r="U697" s="5" t="e">
        <f ca="1">SQRT($B$9*AVERAGE((Q697:OFFSET(Q697,$B$8-1,0))))</f>
        <v>#DIV/0!</v>
      </c>
      <c r="W697" s="6" t="e">
        <f t="shared" si="62"/>
        <v>#DIV/0!</v>
      </c>
      <c r="X697" s="6" t="e">
        <f ca="1">SQRT($B$9*AVERAGE(W697:OFFSET(W697,$B$5-1,0)))</f>
        <v>#DIV/0!</v>
      </c>
      <c r="Y697" s="6" t="e">
        <f ca="1">SQRT($B$9*AVERAGE(W697:OFFSET(W697,$B$6-1,0)))</f>
        <v>#DIV/0!</v>
      </c>
      <c r="Z697" s="6" t="e">
        <f ca="1">SQRT($B$9*AVERAGE(W697:OFFSET(W697,$B$7-1,0)))</f>
        <v>#DIV/0!</v>
      </c>
      <c r="AA697" s="6" t="e">
        <f ca="1">SQRT($B$9*AVERAGE(W697:OFFSET(W697,$B$8-1,0)))</f>
        <v>#DIV/0!</v>
      </c>
      <c r="AC697" s="34" t="e">
        <f t="shared" si="60"/>
        <v>#DIV/0!</v>
      </c>
      <c r="AD697" s="34" t="e">
        <f ca="1">SQRT($B$9*SUM(AC697:OFFSET(AC697,$B$5-1,0))/($B$5-1))</f>
        <v>#DIV/0!</v>
      </c>
      <c r="AE697" s="34" t="e">
        <f ca="1">SQRT($B$9*SUM(AC697:OFFSET(AC697,$B$6-1,0))/($B$6-1))</f>
        <v>#DIV/0!</v>
      </c>
      <c r="AF697" s="34" t="e">
        <f ca="1">SQRT($B$9*SUM(AC697:OFFSET(AC697,$B$7-1,0))/($B$7-1))</f>
        <v>#DIV/0!</v>
      </c>
      <c r="AG697" s="34" t="e">
        <f ca="1">SQRT($B$9*SUM(AC697:OFFSET(AC697,$B$8-1,0))/($B$8-1))</f>
        <v>#DIV/0!</v>
      </c>
      <c r="AI697" s="1" t="e">
        <f t="shared" si="61"/>
        <v>#DIV/0!</v>
      </c>
      <c r="AJ697" s="4" t="e">
        <f ca="1">SQRT($B$9)*_xlfn.STDEV.S(AI697:OFFSET(AI697,$B$5-1,0))</f>
        <v>#DIV/0!</v>
      </c>
      <c r="AK697" s="4" t="e">
        <f ca="1">SQRT($B$9)*_xlfn.STDEV.S(AI697:OFFSET(AI697,$B$6-1,0))</f>
        <v>#DIV/0!</v>
      </c>
      <c r="AL697" s="4" t="e">
        <f ca="1">SQRT($B$9)*_xlfn.STDEV.S(AI697:OFFSET(AI697,$B$7-1,0))</f>
        <v>#DIV/0!</v>
      </c>
      <c r="AM697" s="4" t="e">
        <f ca="1">SQRT($B$9)*_xlfn.STDEV.S(AI697:OFFSET(AI697,$B$8-1,0))</f>
        <v>#DIV/0!</v>
      </c>
    </row>
    <row r="698" spans="5:39" x14ac:dyDescent="0.2">
      <c r="E698" s="42">
        <v>44426</v>
      </c>
      <c r="F698" s="43"/>
      <c r="G698" s="43"/>
      <c r="H698" s="43"/>
      <c r="I698" s="43"/>
      <c r="K698" s="3" t="e">
        <f t="shared" si="59"/>
        <v>#DIV/0!</v>
      </c>
      <c r="L698" s="3" t="e">
        <f ca="1">SQRT(AVERAGE(K698:OFFSET(K698,$B$5-1,0))*$B$9/(4*LN(2)))</f>
        <v>#DIV/0!</v>
      </c>
      <c r="M698" s="3" t="e">
        <f ca="1">SQRT(AVERAGE(K698:OFFSET(K698,$B$6-1,0))*$B$9/(4*LN(2)))</f>
        <v>#DIV/0!</v>
      </c>
      <c r="N698" s="3" t="e">
        <f ca="1">SQRT(AVERAGE(K698:OFFSET(K698,$B$7-1,0))*$B$9/(4*LN(2)))</f>
        <v>#DIV/0!</v>
      </c>
      <c r="O698" s="3" t="e">
        <f ca="1">SQRT(AVERAGE(K698:OFFSET(K698,$B$8-1,0))*$B$9/(4*LN(2)))</f>
        <v>#DIV/0!</v>
      </c>
      <c r="Q698" s="5" t="e">
        <f t="shared" si="58"/>
        <v>#DIV/0!</v>
      </c>
      <c r="R698" s="5" t="e">
        <f ca="1">SQRT($B$9*AVERAGE((Q698:OFFSET(Q698,$B$5-1,0))))</f>
        <v>#DIV/0!</v>
      </c>
      <c r="S698" s="5" t="e">
        <f ca="1">SQRT($B$9*AVERAGE((Q698:OFFSET(Q698,$B$6-1,0))))</f>
        <v>#DIV/0!</v>
      </c>
      <c r="T698" s="5" t="e">
        <f ca="1">SQRT($B$9*AVERAGE((Q698:OFFSET(Q698,$B$7-1,0))))</f>
        <v>#DIV/0!</v>
      </c>
      <c r="U698" s="5" t="e">
        <f ca="1">SQRT($B$9*AVERAGE((Q698:OFFSET(Q698,$B$8-1,0))))</f>
        <v>#DIV/0!</v>
      </c>
      <c r="W698" s="6" t="e">
        <f t="shared" si="62"/>
        <v>#DIV/0!</v>
      </c>
      <c r="X698" s="6" t="e">
        <f ca="1">SQRT($B$9*AVERAGE(W698:OFFSET(W698,$B$5-1,0)))</f>
        <v>#DIV/0!</v>
      </c>
      <c r="Y698" s="6" t="e">
        <f ca="1">SQRT($B$9*AVERAGE(W698:OFFSET(W698,$B$6-1,0)))</f>
        <v>#DIV/0!</v>
      </c>
      <c r="Z698" s="6" t="e">
        <f ca="1">SQRT($B$9*AVERAGE(W698:OFFSET(W698,$B$7-1,0)))</f>
        <v>#DIV/0!</v>
      </c>
      <c r="AA698" s="6" t="e">
        <f ca="1">SQRT($B$9*AVERAGE(W698:OFFSET(W698,$B$8-1,0)))</f>
        <v>#DIV/0!</v>
      </c>
      <c r="AC698" s="34" t="e">
        <f t="shared" si="60"/>
        <v>#DIV/0!</v>
      </c>
      <c r="AD698" s="34" t="e">
        <f ca="1">SQRT($B$9*SUM(AC698:OFFSET(AC698,$B$5-1,0))/($B$5-1))</f>
        <v>#DIV/0!</v>
      </c>
      <c r="AE698" s="34" t="e">
        <f ca="1">SQRT($B$9*SUM(AC698:OFFSET(AC698,$B$6-1,0))/($B$6-1))</f>
        <v>#DIV/0!</v>
      </c>
      <c r="AF698" s="34" t="e">
        <f ca="1">SQRT($B$9*SUM(AC698:OFFSET(AC698,$B$7-1,0))/($B$7-1))</f>
        <v>#DIV/0!</v>
      </c>
      <c r="AG698" s="34" t="e">
        <f ca="1">SQRT($B$9*SUM(AC698:OFFSET(AC698,$B$8-1,0))/($B$8-1))</f>
        <v>#DIV/0!</v>
      </c>
      <c r="AI698" s="1" t="e">
        <f t="shared" si="61"/>
        <v>#DIV/0!</v>
      </c>
      <c r="AJ698" s="4" t="e">
        <f ca="1">SQRT($B$9)*_xlfn.STDEV.S(AI698:OFFSET(AI698,$B$5-1,0))</f>
        <v>#DIV/0!</v>
      </c>
      <c r="AK698" s="4" t="e">
        <f ca="1">SQRT($B$9)*_xlfn.STDEV.S(AI698:OFFSET(AI698,$B$6-1,0))</f>
        <v>#DIV/0!</v>
      </c>
      <c r="AL698" s="4" t="e">
        <f ca="1">SQRT($B$9)*_xlfn.STDEV.S(AI698:OFFSET(AI698,$B$7-1,0))</f>
        <v>#DIV/0!</v>
      </c>
      <c r="AM698" s="4" t="e">
        <f ca="1">SQRT($B$9)*_xlfn.STDEV.S(AI698:OFFSET(AI698,$B$8-1,0))</f>
        <v>#DIV/0!</v>
      </c>
    </row>
    <row r="699" spans="5:39" x14ac:dyDescent="0.2">
      <c r="E699" s="42">
        <v>44425</v>
      </c>
      <c r="F699" s="43"/>
      <c r="G699" s="43"/>
      <c r="H699" s="43"/>
      <c r="I699" s="43"/>
      <c r="K699" s="3" t="e">
        <f t="shared" si="59"/>
        <v>#DIV/0!</v>
      </c>
      <c r="L699" s="3" t="e">
        <f ca="1">SQRT(AVERAGE(K699:OFFSET(K699,$B$5-1,0))*$B$9/(4*LN(2)))</f>
        <v>#DIV/0!</v>
      </c>
      <c r="M699" s="3" t="e">
        <f ca="1">SQRT(AVERAGE(K699:OFFSET(K699,$B$6-1,0))*$B$9/(4*LN(2)))</f>
        <v>#DIV/0!</v>
      </c>
      <c r="N699" s="3" t="e">
        <f ca="1">SQRT(AVERAGE(K699:OFFSET(K699,$B$7-1,0))*$B$9/(4*LN(2)))</f>
        <v>#DIV/0!</v>
      </c>
      <c r="O699" s="3" t="e">
        <f ca="1">SQRT(AVERAGE(K699:OFFSET(K699,$B$8-1,0))*$B$9/(4*LN(2)))</f>
        <v>#DIV/0!</v>
      </c>
      <c r="Q699" s="5" t="e">
        <f t="shared" si="58"/>
        <v>#DIV/0!</v>
      </c>
      <c r="R699" s="5" t="e">
        <f ca="1">SQRT($B$9*AVERAGE((Q699:OFFSET(Q699,$B$5-1,0))))</f>
        <v>#DIV/0!</v>
      </c>
      <c r="S699" s="5" t="e">
        <f ca="1">SQRT($B$9*AVERAGE((Q699:OFFSET(Q699,$B$6-1,0))))</f>
        <v>#DIV/0!</v>
      </c>
      <c r="T699" s="5" t="e">
        <f ca="1">SQRT($B$9*AVERAGE((Q699:OFFSET(Q699,$B$7-1,0))))</f>
        <v>#DIV/0!</v>
      </c>
      <c r="U699" s="5" t="e">
        <f ca="1">SQRT($B$9*AVERAGE((Q699:OFFSET(Q699,$B$8-1,0))))</f>
        <v>#DIV/0!</v>
      </c>
      <c r="W699" s="6" t="e">
        <f t="shared" si="62"/>
        <v>#DIV/0!</v>
      </c>
      <c r="X699" s="6" t="e">
        <f ca="1">SQRT($B$9*AVERAGE(W699:OFFSET(W699,$B$5-1,0)))</f>
        <v>#DIV/0!</v>
      </c>
      <c r="Y699" s="6" t="e">
        <f ca="1">SQRT($B$9*AVERAGE(W699:OFFSET(W699,$B$6-1,0)))</f>
        <v>#DIV/0!</v>
      </c>
      <c r="Z699" s="6" t="e">
        <f ca="1">SQRT($B$9*AVERAGE(W699:OFFSET(W699,$B$7-1,0)))</f>
        <v>#DIV/0!</v>
      </c>
      <c r="AA699" s="6" t="e">
        <f ca="1">SQRT($B$9*AVERAGE(W699:OFFSET(W699,$B$8-1,0)))</f>
        <v>#DIV/0!</v>
      </c>
      <c r="AC699" s="34" t="e">
        <f t="shared" si="60"/>
        <v>#DIV/0!</v>
      </c>
      <c r="AD699" s="34" t="e">
        <f ca="1">SQRT($B$9*SUM(AC699:OFFSET(AC699,$B$5-1,0))/($B$5-1))</f>
        <v>#DIV/0!</v>
      </c>
      <c r="AE699" s="34" t="e">
        <f ca="1">SQRT($B$9*SUM(AC699:OFFSET(AC699,$B$6-1,0))/($B$6-1))</f>
        <v>#DIV/0!</v>
      </c>
      <c r="AF699" s="34" t="e">
        <f ca="1">SQRT($B$9*SUM(AC699:OFFSET(AC699,$B$7-1,0))/($B$7-1))</f>
        <v>#DIV/0!</v>
      </c>
      <c r="AG699" s="34" t="e">
        <f ca="1">SQRT($B$9*SUM(AC699:OFFSET(AC699,$B$8-1,0))/($B$8-1))</f>
        <v>#DIV/0!</v>
      </c>
      <c r="AI699" s="1" t="e">
        <f t="shared" si="61"/>
        <v>#DIV/0!</v>
      </c>
      <c r="AJ699" s="4" t="e">
        <f ca="1">SQRT($B$9)*_xlfn.STDEV.S(AI699:OFFSET(AI699,$B$5-1,0))</f>
        <v>#DIV/0!</v>
      </c>
      <c r="AK699" s="4" t="e">
        <f ca="1">SQRT($B$9)*_xlfn.STDEV.S(AI699:OFFSET(AI699,$B$6-1,0))</f>
        <v>#DIV/0!</v>
      </c>
      <c r="AL699" s="4" t="e">
        <f ca="1">SQRT($B$9)*_xlfn.STDEV.S(AI699:OFFSET(AI699,$B$7-1,0))</f>
        <v>#DIV/0!</v>
      </c>
      <c r="AM699" s="4" t="e">
        <f ca="1">SQRT($B$9)*_xlfn.STDEV.S(AI699:OFFSET(AI699,$B$8-1,0))</f>
        <v>#DIV/0!</v>
      </c>
    </row>
    <row r="700" spans="5:39" x14ac:dyDescent="0.2">
      <c r="E700" s="42">
        <v>44424</v>
      </c>
      <c r="F700" s="43"/>
      <c r="G700" s="43"/>
      <c r="H700" s="43"/>
      <c r="I700" s="43"/>
      <c r="K700" s="3" t="e">
        <f t="shared" si="59"/>
        <v>#DIV/0!</v>
      </c>
      <c r="L700" s="3" t="e">
        <f ca="1">SQRT(AVERAGE(K700:OFFSET(K700,$B$5-1,0))*$B$9/(4*LN(2)))</f>
        <v>#DIV/0!</v>
      </c>
      <c r="M700" s="3" t="e">
        <f ca="1">SQRT(AVERAGE(K700:OFFSET(K700,$B$6-1,0))*$B$9/(4*LN(2)))</f>
        <v>#DIV/0!</v>
      </c>
      <c r="N700" s="3" t="e">
        <f ca="1">SQRT(AVERAGE(K700:OFFSET(K700,$B$7-1,0))*$B$9/(4*LN(2)))</f>
        <v>#DIV/0!</v>
      </c>
      <c r="O700" s="3" t="e">
        <f ca="1">SQRT(AVERAGE(K700:OFFSET(K700,$B$8-1,0))*$B$9/(4*LN(2)))</f>
        <v>#DIV/0!</v>
      </c>
      <c r="Q700" s="5" t="e">
        <f t="shared" si="58"/>
        <v>#DIV/0!</v>
      </c>
      <c r="R700" s="5" t="e">
        <f ca="1">SQRT($B$9*AVERAGE((Q700:OFFSET(Q700,$B$5-1,0))))</f>
        <v>#DIV/0!</v>
      </c>
      <c r="S700" s="5" t="e">
        <f ca="1">SQRT($B$9*AVERAGE((Q700:OFFSET(Q700,$B$6-1,0))))</f>
        <v>#DIV/0!</v>
      </c>
      <c r="T700" s="5" t="e">
        <f ca="1">SQRT($B$9*AVERAGE((Q700:OFFSET(Q700,$B$7-1,0))))</f>
        <v>#DIV/0!</v>
      </c>
      <c r="U700" s="5" t="e">
        <f ca="1">SQRT($B$9*AVERAGE((Q700:OFFSET(Q700,$B$8-1,0))))</f>
        <v>#DIV/0!</v>
      </c>
      <c r="W700" s="6" t="e">
        <f t="shared" si="62"/>
        <v>#DIV/0!</v>
      </c>
      <c r="X700" s="6" t="e">
        <f ca="1">SQRT($B$9*AVERAGE(W700:OFFSET(W700,$B$5-1,0)))</f>
        <v>#DIV/0!</v>
      </c>
      <c r="Y700" s="6" t="e">
        <f ca="1">SQRT($B$9*AVERAGE(W700:OFFSET(W700,$B$6-1,0)))</f>
        <v>#DIV/0!</v>
      </c>
      <c r="Z700" s="6" t="e">
        <f ca="1">SQRT($B$9*AVERAGE(W700:OFFSET(W700,$B$7-1,0)))</f>
        <v>#DIV/0!</v>
      </c>
      <c r="AA700" s="6" t="e">
        <f ca="1">SQRT($B$9*AVERAGE(W700:OFFSET(W700,$B$8-1,0)))</f>
        <v>#DIV/0!</v>
      </c>
      <c r="AC700" s="34" t="e">
        <f t="shared" si="60"/>
        <v>#DIV/0!</v>
      </c>
      <c r="AD700" s="34" t="e">
        <f ca="1">SQRT($B$9*SUM(AC700:OFFSET(AC700,$B$5-1,0))/($B$5-1))</f>
        <v>#DIV/0!</v>
      </c>
      <c r="AE700" s="34" t="e">
        <f ca="1">SQRT($B$9*SUM(AC700:OFFSET(AC700,$B$6-1,0))/($B$6-1))</f>
        <v>#DIV/0!</v>
      </c>
      <c r="AF700" s="34" t="e">
        <f ca="1">SQRT($B$9*SUM(AC700:OFFSET(AC700,$B$7-1,0))/($B$7-1))</f>
        <v>#DIV/0!</v>
      </c>
      <c r="AG700" s="34" t="e">
        <f ca="1">SQRT($B$9*SUM(AC700:OFFSET(AC700,$B$8-1,0))/($B$8-1))</f>
        <v>#DIV/0!</v>
      </c>
      <c r="AI700" s="1" t="e">
        <f t="shared" si="61"/>
        <v>#DIV/0!</v>
      </c>
      <c r="AJ700" s="4" t="e">
        <f ca="1">SQRT($B$9)*_xlfn.STDEV.S(AI700:OFFSET(AI700,$B$5-1,0))</f>
        <v>#DIV/0!</v>
      </c>
      <c r="AK700" s="4" t="e">
        <f ca="1">SQRT($B$9)*_xlfn.STDEV.S(AI700:OFFSET(AI700,$B$6-1,0))</f>
        <v>#DIV/0!</v>
      </c>
      <c r="AL700" s="4" t="e">
        <f ca="1">SQRT($B$9)*_xlfn.STDEV.S(AI700:OFFSET(AI700,$B$7-1,0))</f>
        <v>#DIV/0!</v>
      </c>
      <c r="AM700" s="4" t="e">
        <f ca="1">SQRT($B$9)*_xlfn.STDEV.S(AI700:OFFSET(AI700,$B$8-1,0))</f>
        <v>#DIV/0!</v>
      </c>
    </row>
    <row r="701" spans="5:39" x14ac:dyDescent="0.2">
      <c r="E701" s="42">
        <v>44421</v>
      </c>
      <c r="F701" s="43"/>
      <c r="G701" s="43"/>
      <c r="H701" s="43"/>
      <c r="I701" s="43"/>
      <c r="K701" s="3" t="e">
        <f t="shared" si="59"/>
        <v>#DIV/0!</v>
      </c>
      <c r="L701" s="3" t="e">
        <f ca="1">SQRT(AVERAGE(K701:OFFSET(K701,$B$5-1,0))*$B$9/(4*LN(2)))</f>
        <v>#DIV/0!</v>
      </c>
      <c r="M701" s="3" t="e">
        <f ca="1">SQRT(AVERAGE(K701:OFFSET(K701,$B$6-1,0))*$B$9/(4*LN(2)))</f>
        <v>#DIV/0!</v>
      </c>
      <c r="N701" s="3" t="e">
        <f ca="1">SQRT(AVERAGE(K701:OFFSET(K701,$B$7-1,0))*$B$9/(4*LN(2)))</f>
        <v>#DIV/0!</v>
      </c>
      <c r="O701" s="3" t="e">
        <f ca="1">SQRT(AVERAGE(K701:OFFSET(K701,$B$8-1,0))*$B$9/(4*LN(2)))</f>
        <v>#DIV/0!</v>
      </c>
      <c r="Q701" s="5" t="e">
        <f t="shared" si="58"/>
        <v>#DIV/0!</v>
      </c>
      <c r="R701" s="5" t="e">
        <f ca="1">SQRT($B$9*AVERAGE((Q701:OFFSET(Q701,$B$5-1,0))))</f>
        <v>#DIV/0!</v>
      </c>
      <c r="S701" s="5" t="e">
        <f ca="1">SQRT($B$9*AVERAGE((Q701:OFFSET(Q701,$B$6-1,0))))</f>
        <v>#DIV/0!</v>
      </c>
      <c r="T701" s="5" t="e">
        <f ca="1">SQRT($B$9*AVERAGE((Q701:OFFSET(Q701,$B$7-1,0))))</f>
        <v>#DIV/0!</v>
      </c>
      <c r="U701" s="5" t="e">
        <f ca="1">SQRT($B$9*AVERAGE((Q701:OFFSET(Q701,$B$8-1,0))))</f>
        <v>#DIV/0!</v>
      </c>
      <c r="W701" s="6" t="e">
        <f t="shared" si="62"/>
        <v>#DIV/0!</v>
      </c>
      <c r="X701" s="6" t="e">
        <f ca="1">SQRT($B$9*AVERAGE(W701:OFFSET(W701,$B$5-1,0)))</f>
        <v>#DIV/0!</v>
      </c>
      <c r="Y701" s="6" t="e">
        <f ca="1">SQRT($B$9*AVERAGE(W701:OFFSET(W701,$B$6-1,0)))</f>
        <v>#DIV/0!</v>
      </c>
      <c r="Z701" s="6" t="e">
        <f ca="1">SQRT($B$9*AVERAGE(W701:OFFSET(W701,$B$7-1,0)))</f>
        <v>#DIV/0!</v>
      </c>
      <c r="AA701" s="6" t="e">
        <f ca="1">SQRT($B$9*AVERAGE(W701:OFFSET(W701,$B$8-1,0)))</f>
        <v>#DIV/0!</v>
      </c>
      <c r="AC701" s="34" t="e">
        <f t="shared" si="60"/>
        <v>#DIV/0!</v>
      </c>
      <c r="AD701" s="34" t="e">
        <f ca="1">SQRT($B$9*SUM(AC701:OFFSET(AC701,$B$5-1,0))/($B$5-1))</f>
        <v>#DIV/0!</v>
      </c>
      <c r="AE701" s="34" t="e">
        <f ca="1">SQRT($B$9*SUM(AC701:OFFSET(AC701,$B$6-1,0))/($B$6-1))</f>
        <v>#DIV/0!</v>
      </c>
      <c r="AF701" s="34" t="e">
        <f ca="1">SQRT($B$9*SUM(AC701:OFFSET(AC701,$B$7-1,0))/($B$7-1))</f>
        <v>#DIV/0!</v>
      </c>
      <c r="AG701" s="34" t="e">
        <f ca="1">SQRT($B$9*SUM(AC701:OFFSET(AC701,$B$8-1,0))/($B$8-1))</f>
        <v>#DIV/0!</v>
      </c>
      <c r="AI701" s="1" t="e">
        <f t="shared" si="61"/>
        <v>#DIV/0!</v>
      </c>
      <c r="AJ701" s="4" t="e">
        <f ca="1">SQRT($B$9)*_xlfn.STDEV.S(AI701:OFFSET(AI701,$B$5-1,0))</f>
        <v>#DIV/0!</v>
      </c>
      <c r="AK701" s="4" t="e">
        <f ca="1">SQRT($B$9)*_xlfn.STDEV.S(AI701:OFFSET(AI701,$B$6-1,0))</f>
        <v>#DIV/0!</v>
      </c>
      <c r="AL701" s="4" t="e">
        <f ca="1">SQRT($B$9)*_xlfn.STDEV.S(AI701:OFFSET(AI701,$B$7-1,0))</f>
        <v>#DIV/0!</v>
      </c>
      <c r="AM701" s="4" t="e">
        <f ca="1">SQRT($B$9)*_xlfn.STDEV.S(AI701:OFFSET(AI701,$B$8-1,0))</f>
        <v>#DIV/0!</v>
      </c>
    </row>
    <row r="702" spans="5:39" x14ac:dyDescent="0.2">
      <c r="E702" s="42">
        <v>44420</v>
      </c>
      <c r="F702" s="43"/>
      <c r="G702" s="43"/>
      <c r="H702" s="43"/>
      <c r="I702" s="43"/>
      <c r="K702" s="3" t="e">
        <f t="shared" si="59"/>
        <v>#DIV/0!</v>
      </c>
      <c r="L702" s="3" t="e">
        <f ca="1">SQRT(AVERAGE(K702:OFFSET(K702,$B$5-1,0))*$B$9/(4*LN(2)))</f>
        <v>#DIV/0!</v>
      </c>
      <c r="M702" s="3" t="e">
        <f ca="1">SQRT(AVERAGE(K702:OFFSET(K702,$B$6-1,0))*$B$9/(4*LN(2)))</f>
        <v>#DIV/0!</v>
      </c>
      <c r="N702" s="3" t="e">
        <f ca="1">SQRT(AVERAGE(K702:OFFSET(K702,$B$7-1,0))*$B$9/(4*LN(2)))</f>
        <v>#DIV/0!</v>
      </c>
      <c r="O702" s="3" t="e">
        <f ca="1">SQRT(AVERAGE(K702:OFFSET(K702,$B$8-1,0))*$B$9/(4*LN(2)))</f>
        <v>#DIV/0!</v>
      </c>
      <c r="Q702" s="5" t="e">
        <f t="shared" si="58"/>
        <v>#DIV/0!</v>
      </c>
      <c r="R702" s="5" t="e">
        <f ca="1">SQRT($B$9*AVERAGE((Q702:OFFSET(Q702,$B$5-1,0))))</f>
        <v>#DIV/0!</v>
      </c>
      <c r="S702" s="5" t="e">
        <f ca="1">SQRT($B$9*AVERAGE((Q702:OFFSET(Q702,$B$6-1,0))))</f>
        <v>#DIV/0!</v>
      </c>
      <c r="T702" s="5" t="e">
        <f ca="1">SQRT($B$9*AVERAGE((Q702:OFFSET(Q702,$B$7-1,0))))</f>
        <v>#DIV/0!</v>
      </c>
      <c r="U702" s="5" t="e">
        <f ca="1">SQRT($B$9*AVERAGE((Q702:OFFSET(Q702,$B$8-1,0))))</f>
        <v>#DIV/0!</v>
      </c>
      <c r="W702" s="6" t="e">
        <f t="shared" si="62"/>
        <v>#DIV/0!</v>
      </c>
      <c r="X702" s="6" t="e">
        <f ca="1">SQRT($B$9*AVERAGE(W702:OFFSET(W702,$B$5-1,0)))</f>
        <v>#DIV/0!</v>
      </c>
      <c r="Y702" s="6" t="e">
        <f ca="1">SQRT($B$9*AVERAGE(W702:OFFSET(W702,$B$6-1,0)))</f>
        <v>#DIV/0!</v>
      </c>
      <c r="Z702" s="6" t="e">
        <f ca="1">SQRT($B$9*AVERAGE(W702:OFFSET(W702,$B$7-1,0)))</f>
        <v>#DIV/0!</v>
      </c>
      <c r="AA702" s="6" t="e">
        <f ca="1">SQRT($B$9*AVERAGE(W702:OFFSET(W702,$B$8-1,0)))</f>
        <v>#DIV/0!</v>
      </c>
      <c r="AC702" s="34" t="e">
        <f t="shared" si="60"/>
        <v>#DIV/0!</v>
      </c>
      <c r="AD702" s="34" t="e">
        <f ca="1">SQRT($B$9*SUM(AC702:OFFSET(AC702,$B$5-1,0))/($B$5-1))</f>
        <v>#DIV/0!</v>
      </c>
      <c r="AE702" s="34" t="e">
        <f ca="1">SQRT($B$9*SUM(AC702:OFFSET(AC702,$B$6-1,0))/($B$6-1))</f>
        <v>#DIV/0!</v>
      </c>
      <c r="AF702" s="34" t="e">
        <f ca="1">SQRT($B$9*SUM(AC702:OFFSET(AC702,$B$7-1,0))/($B$7-1))</f>
        <v>#DIV/0!</v>
      </c>
      <c r="AG702" s="34" t="e">
        <f ca="1">SQRT($B$9*SUM(AC702:OFFSET(AC702,$B$8-1,0))/($B$8-1))</f>
        <v>#DIV/0!</v>
      </c>
      <c r="AI702" s="1" t="e">
        <f t="shared" si="61"/>
        <v>#DIV/0!</v>
      </c>
      <c r="AJ702" s="4" t="e">
        <f ca="1">SQRT($B$9)*_xlfn.STDEV.S(AI702:OFFSET(AI702,$B$5-1,0))</f>
        <v>#DIV/0!</v>
      </c>
      <c r="AK702" s="4" t="e">
        <f ca="1">SQRT($B$9)*_xlfn.STDEV.S(AI702:OFFSET(AI702,$B$6-1,0))</f>
        <v>#DIV/0!</v>
      </c>
      <c r="AL702" s="4" t="e">
        <f ca="1">SQRT($B$9)*_xlfn.STDEV.S(AI702:OFFSET(AI702,$B$7-1,0))</f>
        <v>#DIV/0!</v>
      </c>
      <c r="AM702" s="4" t="e">
        <f ca="1">SQRT($B$9)*_xlfn.STDEV.S(AI702:OFFSET(AI702,$B$8-1,0))</f>
        <v>#DIV/0!</v>
      </c>
    </row>
    <row r="703" spans="5:39" x14ac:dyDescent="0.2">
      <c r="E703" s="42">
        <v>44419</v>
      </c>
      <c r="F703" s="43"/>
      <c r="G703" s="43"/>
      <c r="H703" s="43"/>
      <c r="I703" s="43"/>
      <c r="K703" s="3" t="e">
        <f t="shared" si="59"/>
        <v>#DIV/0!</v>
      </c>
      <c r="L703" s="3" t="e">
        <f ca="1">SQRT(AVERAGE(K703:OFFSET(K703,$B$5-1,0))*$B$9/(4*LN(2)))</f>
        <v>#DIV/0!</v>
      </c>
      <c r="M703" s="3" t="e">
        <f ca="1">SQRT(AVERAGE(K703:OFFSET(K703,$B$6-1,0))*$B$9/(4*LN(2)))</f>
        <v>#DIV/0!</v>
      </c>
      <c r="N703" s="3" t="e">
        <f ca="1">SQRT(AVERAGE(K703:OFFSET(K703,$B$7-1,0))*$B$9/(4*LN(2)))</f>
        <v>#DIV/0!</v>
      </c>
      <c r="O703" s="3" t="e">
        <f ca="1">SQRT(AVERAGE(K703:OFFSET(K703,$B$8-1,0))*$B$9/(4*LN(2)))</f>
        <v>#DIV/0!</v>
      </c>
      <c r="Q703" s="5" t="e">
        <f t="shared" si="58"/>
        <v>#DIV/0!</v>
      </c>
      <c r="R703" s="5" t="e">
        <f ca="1">SQRT($B$9*AVERAGE((Q703:OFFSET(Q703,$B$5-1,0))))</f>
        <v>#DIV/0!</v>
      </c>
      <c r="S703" s="5" t="e">
        <f ca="1">SQRT($B$9*AVERAGE((Q703:OFFSET(Q703,$B$6-1,0))))</f>
        <v>#DIV/0!</v>
      </c>
      <c r="T703" s="5" t="e">
        <f ca="1">SQRT($B$9*AVERAGE((Q703:OFFSET(Q703,$B$7-1,0))))</f>
        <v>#DIV/0!</v>
      </c>
      <c r="U703" s="5" t="e">
        <f ca="1">SQRT($B$9*AVERAGE((Q703:OFFSET(Q703,$B$8-1,0))))</f>
        <v>#DIV/0!</v>
      </c>
      <c r="W703" s="6" t="e">
        <f t="shared" si="62"/>
        <v>#DIV/0!</v>
      </c>
      <c r="X703" s="6" t="e">
        <f ca="1">SQRT($B$9*AVERAGE(W703:OFFSET(W703,$B$5-1,0)))</f>
        <v>#DIV/0!</v>
      </c>
      <c r="Y703" s="6" t="e">
        <f ca="1">SQRT($B$9*AVERAGE(W703:OFFSET(W703,$B$6-1,0)))</f>
        <v>#DIV/0!</v>
      </c>
      <c r="Z703" s="6" t="e">
        <f ca="1">SQRT($B$9*AVERAGE(W703:OFFSET(W703,$B$7-1,0)))</f>
        <v>#DIV/0!</v>
      </c>
      <c r="AA703" s="6" t="e">
        <f ca="1">SQRT($B$9*AVERAGE(W703:OFFSET(W703,$B$8-1,0)))</f>
        <v>#DIV/0!</v>
      </c>
      <c r="AC703" s="34" t="e">
        <f t="shared" si="60"/>
        <v>#DIV/0!</v>
      </c>
      <c r="AD703" s="34" t="e">
        <f ca="1">SQRT($B$9*SUM(AC703:OFFSET(AC703,$B$5-1,0))/($B$5-1))</f>
        <v>#DIV/0!</v>
      </c>
      <c r="AE703" s="34" t="e">
        <f ca="1">SQRT($B$9*SUM(AC703:OFFSET(AC703,$B$6-1,0))/($B$6-1))</f>
        <v>#DIV/0!</v>
      </c>
      <c r="AF703" s="34" t="e">
        <f ca="1">SQRT($B$9*SUM(AC703:OFFSET(AC703,$B$7-1,0))/($B$7-1))</f>
        <v>#DIV/0!</v>
      </c>
      <c r="AG703" s="34" t="e">
        <f ca="1">SQRT($B$9*SUM(AC703:OFFSET(AC703,$B$8-1,0))/($B$8-1))</f>
        <v>#DIV/0!</v>
      </c>
      <c r="AI703" s="1" t="e">
        <f t="shared" si="61"/>
        <v>#DIV/0!</v>
      </c>
      <c r="AJ703" s="4" t="e">
        <f ca="1">SQRT($B$9)*_xlfn.STDEV.S(AI703:OFFSET(AI703,$B$5-1,0))</f>
        <v>#DIV/0!</v>
      </c>
      <c r="AK703" s="4" t="e">
        <f ca="1">SQRT($B$9)*_xlfn.STDEV.S(AI703:OFFSET(AI703,$B$6-1,0))</f>
        <v>#DIV/0!</v>
      </c>
      <c r="AL703" s="4" t="e">
        <f ca="1">SQRT($B$9)*_xlfn.STDEV.S(AI703:OFFSET(AI703,$B$7-1,0))</f>
        <v>#DIV/0!</v>
      </c>
      <c r="AM703" s="4" t="e">
        <f ca="1">SQRT($B$9)*_xlfn.STDEV.S(AI703:OFFSET(AI703,$B$8-1,0))</f>
        <v>#DIV/0!</v>
      </c>
    </row>
    <row r="704" spans="5:39" x14ac:dyDescent="0.2">
      <c r="E704" s="42">
        <v>44418</v>
      </c>
      <c r="F704" s="43"/>
      <c r="G704" s="43"/>
      <c r="H704" s="43"/>
      <c r="I704" s="43"/>
      <c r="K704" s="3" t="e">
        <f t="shared" si="59"/>
        <v>#DIV/0!</v>
      </c>
      <c r="L704" s="3" t="e">
        <f ca="1">SQRT(AVERAGE(K704:OFFSET(K704,$B$5-1,0))*$B$9/(4*LN(2)))</f>
        <v>#DIV/0!</v>
      </c>
      <c r="M704" s="3" t="e">
        <f ca="1">SQRT(AVERAGE(K704:OFFSET(K704,$B$6-1,0))*$B$9/(4*LN(2)))</f>
        <v>#DIV/0!</v>
      </c>
      <c r="N704" s="3" t="e">
        <f ca="1">SQRT(AVERAGE(K704:OFFSET(K704,$B$7-1,0))*$B$9/(4*LN(2)))</f>
        <v>#DIV/0!</v>
      </c>
      <c r="O704" s="3" t="e">
        <f ca="1">SQRT(AVERAGE(K704:OFFSET(K704,$B$8-1,0))*$B$9/(4*LN(2)))</f>
        <v>#DIV/0!</v>
      </c>
      <c r="Q704" s="5" t="e">
        <f t="shared" si="58"/>
        <v>#DIV/0!</v>
      </c>
      <c r="R704" s="5" t="e">
        <f ca="1">SQRT($B$9*AVERAGE((Q704:OFFSET(Q704,$B$5-1,0))))</f>
        <v>#DIV/0!</v>
      </c>
      <c r="S704" s="5" t="e">
        <f ca="1">SQRT($B$9*AVERAGE((Q704:OFFSET(Q704,$B$6-1,0))))</f>
        <v>#DIV/0!</v>
      </c>
      <c r="T704" s="5" t="e">
        <f ca="1">SQRT($B$9*AVERAGE((Q704:OFFSET(Q704,$B$7-1,0))))</f>
        <v>#DIV/0!</v>
      </c>
      <c r="U704" s="5" t="e">
        <f ca="1">SQRT($B$9*AVERAGE((Q704:OFFSET(Q704,$B$8-1,0))))</f>
        <v>#DIV/0!</v>
      </c>
      <c r="W704" s="6" t="e">
        <f t="shared" si="62"/>
        <v>#DIV/0!</v>
      </c>
      <c r="X704" s="6" t="e">
        <f ca="1">SQRT($B$9*AVERAGE(W704:OFFSET(W704,$B$5-1,0)))</f>
        <v>#DIV/0!</v>
      </c>
      <c r="Y704" s="6" t="e">
        <f ca="1">SQRT($B$9*AVERAGE(W704:OFFSET(W704,$B$6-1,0)))</f>
        <v>#DIV/0!</v>
      </c>
      <c r="Z704" s="6" t="e">
        <f ca="1">SQRT($B$9*AVERAGE(W704:OFFSET(W704,$B$7-1,0)))</f>
        <v>#DIV/0!</v>
      </c>
      <c r="AA704" s="6" t="e">
        <f ca="1">SQRT($B$9*AVERAGE(W704:OFFSET(W704,$B$8-1,0)))</f>
        <v>#DIV/0!</v>
      </c>
      <c r="AC704" s="34" t="e">
        <f t="shared" si="60"/>
        <v>#DIV/0!</v>
      </c>
      <c r="AD704" s="34" t="e">
        <f ca="1">SQRT($B$9*SUM(AC704:OFFSET(AC704,$B$5-1,0))/($B$5-1))</f>
        <v>#DIV/0!</v>
      </c>
      <c r="AE704" s="34" t="e">
        <f ca="1">SQRT($B$9*SUM(AC704:OFFSET(AC704,$B$6-1,0))/($B$6-1))</f>
        <v>#DIV/0!</v>
      </c>
      <c r="AF704" s="34" t="e">
        <f ca="1">SQRT($B$9*SUM(AC704:OFFSET(AC704,$B$7-1,0))/($B$7-1))</f>
        <v>#DIV/0!</v>
      </c>
      <c r="AG704" s="34" t="e">
        <f ca="1">SQRT($B$9*SUM(AC704:OFFSET(AC704,$B$8-1,0))/($B$8-1))</f>
        <v>#DIV/0!</v>
      </c>
      <c r="AI704" s="1" t="e">
        <f t="shared" si="61"/>
        <v>#DIV/0!</v>
      </c>
      <c r="AJ704" s="4" t="e">
        <f ca="1">SQRT($B$9)*_xlfn.STDEV.S(AI704:OFFSET(AI704,$B$5-1,0))</f>
        <v>#DIV/0!</v>
      </c>
      <c r="AK704" s="4" t="e">
        <f ca="1">SQRT($B$9)*_xlfn.STDEV.S(AI704:OFFSET(AI704,$B$6-1,0))</f>
        <v>#DIV/0!</v>
      </c>
      <c r="AL704" s="4" t="e">
        <f ca="1">SQRT($B$9)*_xlfn.STDEV.S(AI704:OFFSET(AI704,$B$7-1,0))</f>
        <v>#DIV/0!</v>
      </c>
      <c r="AM704" s="4" t="e">
        <f ca="1">SQRT($B$9)*_xlfn.STDEV.S(AI704:OFFSET(AI704,$B$8-1,0))</f>
        <v>#DIV/0!</v>
      </c>
    </row>
    <row r="705" spans="5:39" x14ac:dyDescent="0.2">
      <c r="E705" s="42">
        <v>44417</v>
      </c>
      <c r="F705" s="43"/>
      <c r="G705" s="43"/>
      <c r="H705" s="43"/>
      <c r="I705" s="43"/>
      <c r="K705" s="3" t="e">
        <f t="shared" si="59"/>
        <v>#DIV/0!</v>
      </c>
      <c r="L705" s="3" t="e">
        <f ca="1">SQRT(AVERAGE(K705:OFFSET(K705,$B$5-1,0))*$B$9/(4*LN(2)))</f>
        <v>#DIV/0!</v>
      </c>
      <c r="M705" s="3" t="e">
        <f ca="1">SQRT(AVERAGE(K705:OFFSET(K705,$B$6-1,0))*$B$9/(4*LN(2)))</f>
        <v>#DIV/0!</v>
      </c>
      <c r="N705" s="3" t="e">
        <f ca="1">SQRT(AVERAGE(K705:OFFSET(K705,$B$7-1,0))*$B$9/(4*LN(2)))</f>
        <v>#DIV/0!</v>
      </c>
      <c r="O705" s="3" t="e">
        <f ca="1">SQRT(AVERAGE(K705:OFFSET(K705,$B$8-1,0))*$B$9/(4*LN(2)))</f>
        <v>#DIV/0!</v>
      </c>
      <c r="Q705" s="5" t="e">
        <f t="shared" si="58"/>
        <v>#DIV/0!</v>
      </c>
      <c r="R705" s="5" t="e">
        <f ca="1">SQRT($B$9*AVERAGE((Q705:OFFSET(Q705,$B$5-1,0))))</f>
        <v>#DIV/0!</v>
      </c>
      <c r="S705" s="5" t="e">
        <f ca="1">SQRT($B$9*AVERAGE((Q705:OFFSET(Q705,$B$6-1,0))))</f>
        <v>#DIV/0!</v>
      </c>
      <c r="T705" s="5" t="e">
        <f ca="1">SQRT($B$9*AVERAGE((Q705:OFFSET(Q705,$B$7-1,0))))</f>
        <v>#DIV/0!</v>
      </c>
      <c r="U705" s="5" t="e">
        <f ca="1">SQRT($B$9*AVERAGE((Q705:OFFSET(Q705,$B$8-1,0))))</f>
        <v>#DIV/0!</v>
      </c>
      <c r="W705" s="6" t="e">
        <f t="shared" si="62"/>
        <v>#DIV/0!</v>
      </c>
      <c r="X705" s="6" t="e">
        <f ca="1">SQRT($B$9*AVERAGE(W705:OFFSET(W705,$B$5-1,0)))</f>
        <v>#DIV/0!</v>
      </c>
      <c r="Y705" s="6" t="e">
        <f ca="1">SQRT($B$9*AVERAGE(W705:OFFSET(W705,$B$6-1,0)))</f>
        <v>#DIV/0!</v>
      </c>
      <c r="Z705" s="6" t="e">
        <f ca="1">SQRT($B$9*AVERAGE(W705:OFFSET(W705,$B$7-1,0)))</f>
        <v>#DIV/0!</v>
      </c>
      <c r="AA705" s="6" t="e">
        <f ca="1">SQRT($B$9*AVERAGE(W705:OFFSET(W705,$B$8-1,0)))</f>
        <v>#DIV/0!</v>
      </c>
      <c r="AC705" s="34" t="e">
        <f t="shared" si="60"/>
        <v>#DIV/0!</v>
      </c>
      <c r="AD705" s="34" t="e">
        <f ca="1">SQRT($B$9*SUM(AC705:OFFSET(AC705,$B$5-1,0))/($B$5-1))</f>
        <v>#DIV/0!</v>
      </c>
      <c r="AE705" s="34" t="e">
        <f ca="1">SQRT($B$9*SUM(AC705:OFFSET(AC705,$B$6-1,0))/($B$6-1))</f>
        <v>#DIV/0!</v>
      </c>
      <c r="AF705" s="34" t="e">
        <f ca="1">SQRT($B$9*SUM(AC705:OFFSET(AC705,$B$7-1,0))/($B$7-1))</f>
        <v>#DIV/0!</v>
      </c>
      <c r="AG705" s="34" t="e">
        <f ca="1">SQRT($B$9*SUM(AC705:OFFSET(AC705,$B$8-1,0))/($B$8-1))</f>
        <v>#DIV/0!</v>
      </c>
      <c r="AI705" s="1" t="e">
        <f t="shared" si="61"/>
        <v>#DIV/0!</v>
      </c>
      <c r="AJ705" s="4" t="e">
        <f ca="1">SQRT($B$9)*_xlfn.STDEV.S(AI705:OFFSET(AI705,$B$5-1,0))</f>
        <v>#DIV/0!</v>
      </c>
      <c r="AK705" s="4" t="e">
        <f ca="1">SQRT($B$9)*_xlfn.STDEV.S(AI705:OFFSET(AI705,$B$6-1,0))</f>
        <v>#DIV/0!</v>
      </c>
      <c r="AL705" s="4" t="e">
        <f ca="1">SQRT($B$9)*_xlfn.STDEV.S(AI705:OFFSET(AI705,$B$7-1,0))</f>
        <v>#DIV/0!</v>
      </c>
      <c r="AM705" s="4" t="e">
        <f ca="1">SQRT($B$9)*_xlfn.STDEV.S(AI705:OFFSET(AI705,$B$8-1,0))</f>
        <v>#DIV/0!</v>
      </c>
    </row>
    <row r="706" spans="5:39" x14ac:dyDescent="0.2">
      <c r="E706" s="42">
        <v>44414</v>
      </c>
      <c r="F706" s="43"/>
      <c r="G706" s="43"/>
      <c r="H706" s="43"/>
      <c r="I706" s="43"/>
      <c r="K706" s="3" t="e">
        <f t="shared" si="59"/>
        <v>#DIV/0!</v>
      </c>
      <c r="L706" s="3" t="e">
        <f ca="1">SQRT(AVERAGE(K706:OFFSET(K706,$B$5-1,0))*$B$9/(4*LN(2)))</f>
        <v>#DIV/0!</v>
      </c>
      <c r="M706" s="3" t="e">
        <f ca="1">SQRT(AVERAGE(K706:OFFSET(K706,$B$6-1,0))*$B$9/(4*LN(2)))</f>
        <v>#DIV/0!</v>
      </c>
      <c r="N706" s="3" t="e">
        <f ca="1">SQRT(AVERAGE(K706:OFFSET(K706,$B$7-1,0))*$B$9/(4*LN(2)))</f>
        <v>#DIV/0!</v>
      </c>
      <c r="O706" s="3" t="e">
        <f ca="1">SQRT(AVERAGE(K706:OFFSET(K706,$B$8-1,0))*$B$9/(4*LN(2)))</f>
        <v>#DIV/0!</v>
      </c>
      <c r="Q706" s="5" t="e">
        <f t="shared" si="58"/>
        <v>#DIV/0!</v>
      </c>
      <c r="R706" s="5" t="e">
        <f ca="1">SQRT($B$9*AVERAGE((Q706:OFFSET(Q706,$B$5-1,0))))</f>
        <v>#DIV/0!</v>
      </c>
      <c r="S706" s="5" t="e">
        <f ca="1">SQRT($B$9*AVERAGE((Q706:OFFSET(Q706,$B$6-1,0))))</f>
        <v>#DIV/0!</v>
      </c>
      <c r="T706" s="5" t="e">
        <f ca="1">SQRT($B$9*AVERAGE((Q706:OFFSET(Q706,$B$7-1,0))))</f>
        <v>#DIV/0!</v>
      </c>
      <c r="U706" s="5" t="e">
        <f ca="1">SQRT($B$9*AVERAGE((Q706:OFFSET(Q706,$B$8-1,0))))</f>
        <v>#DIV/0!</v>
      </c>
      <c r="W706" s="6" t="e">
        <f t="shared" si="62"/>
        <v>#DIV/0!</v>
      </c>
      <c r="X706" s="6" t="e">
        <f ca="1">SQRT($B$9*AVERAGE(W706:OFFSET(W706,$B$5-1,0)))</f>
        <v>#DIV/0!</v>
      </c>
      <c r="Y706" s="6" t="e">
        <f ca="1">SQRT($B$9*AVERAGE(W706:OFFSET(W706,$B$6-1,0)))</f>
        <v>#DIV/0!</v>
      </c>
      <c r="Z706" s="6" t="e">
        <f ca="1">SQRT($B$9*AVERAGE(W706:OFFSET(W706,$B$7-1,0)))</f>
        <v>#DIV/0!</v>
      </c>
      <c r="AA706" s="6" t="e">
        <f ca="1">SQRT($B$9*AVERAGE(W706:OFFSET(W706,$B$8-1,0)))</f>
        <v>#DIV/0!</v>
      </c>
      <c r="AC706" s="34" t="e">
        <f t="shared" si="60"/>
        <v>#DIV/0!</v>
      </c>
      <c r="AD706" s="34" t="e">
        <f ca="1">SQRT($B$9*SUM(AC706:OFFSET(AC706,$B$5-1,0))/($B$5-1))</f>
        <v>#DIV/0!</v>
      </c>
      <c r="AE706" s="34" t="e">
        <f ca="1">SQRT($B$9*SUM(AC706:OFFSET(AC706,$B$6-1,0))/($B$6-1))</f>
        <v>#DIV/0!</v>
      </c>
      <c r="AF706" s="34" t="e">
        <f ca="1">SQRT($B$9*SUM(AC706:OFFSET(AC706,$B$7-1,0))/($B$7-1))</f>
        <v>#DIV/0!</v>
      </c>
      <c r="AG706" s="34" t="e">
        <f ca="1">SQRT($B$9*SUM(AC706:OFFSET(AC706,$B$8-1,0))/($B$8-1))</f>
        <v>#DIV/0!</v>
      </c>
      <c r="AI706" s="1" t="e">
        <f t="shared" si="61"/>
        <v>#DIV/0!</v>
      </c>
      <c r="AJ706" s="4" t="e">
        <f ca="1">SQRT($B$9)*_xlfn.STDEV.S(AI706:OFFSET(AI706,$B$5-1,0))</f>
        <v>#DIV/0!</v>
      </c>
      <c r="AK706" s="4" t="e">
        <f ca="1">SQRT($B$9)*_xlfn.STDEV.S(AI706:OFFSET(AI706,$B$6-1,0))</f>
        <v>#DIV/0!</v>
      </c>
      <c r="AL706" s="4" t="e">
        <f ca="1">SQRT($B$9)*_xlfn.STDEV.S(AI706:OFFSET(AI706,$B$7-1,0))</f>
        <v>#DIV/0!</v>
      </c>
      <c r="AM706" s="4" t="e">
        <f ca="1">SQRT($B$9)*_xlfn.STDEV.S(AI706:OFFSET(AI706,$B$8-1,0))</f>
        <v>#DIV/0!</v>
      </c>
    </row>
    <row r="707" spans="5:39" x14ac:dyDescent="0.2">
      <c r="E707" s="42">
        <v>44413</v>
      </c>
      <c r="F707" s="43"/>
      <c r="G707" s="43"/>
      <c r="H707" s="43"/>
      <c r="I707" s="43"/>
      <c r="K707" s="3" t="e">
        <f t="shared" si="59"/>
        <v>#DIV/0!</v>
      </c>
      <c r="L707" s="3" t="e">
        <f ca="1">SQRT(AVERAGE(K707:OFFSET(K707,$B$5-1,0))*$B$9/(4*LN(2)))</f>
        <v>#DIV/0!</v>
      </c>
      <c r="M707" s="3" t="e">
        <f ca="1">SQRT(AVERAGE(K707:OFFSET(K707,$B$6-1,0))*$B$9/(4*LN(2)))</f>
        <v>#DIV/0!</v>
      </c>
      <c r="N707" s="3" t="e">
        <f ca="1">SQRT(AVERAGE(K707:OFFSET(K707,$B$7-1,0))*$B$9/(4*LN(2)))</f>
        <v>#DIV/0!</v>
      </c>
      <c r="O707" s="3" t="e">
        <f ca="1">SQRT(AVERAGE(K707:OFFSET(K707,$B$8-1,0))*$B$9/(4*LN(2)))</f>
        <v>#DIV/0!</v>
      </c>
      <c r="Q707" s="5" t="e">
        <f t="shared" si="58"/>
        <v>#DIV/0!</v>
      </c>
      <c r="R707" s="5" t="e">
        <f ca="1">SQRT($B$9*AVERAGE((Q707:OFFSET(Q707,$B$5-1,0))))</f>
        <v>#DIV/0!</v>
      </c>
      <c r="S707" s="5" t="e">
        <f ca="1">SQRT($B$9*AVERAGE((Q707:OFFSET(Q707,$B$6-1,0))))</f>
        <v>#DIV/0!</v>
      </c>
      <c r="T707" s="5" t="e">
        <f ca="1">SQRT($B$9*AVERAGE((Q707:OFFSET(Q707,$B$7-1,0))))</f>
        <v>#DIV/0!</v>
      </c>
      <c r="U707" s="5" t="e">
        <f ca="1">SQRT($B$9*AVERAGE((Q707:OFFSET(Q707,$B$8-1,0))))</f>
        <v>#DIV/0!</v>
      </c>
      <c r="W707" s="6" t="e">
        <f t="shared" si="62"/>
        <v>#DIV/0!</v>
      </c>
      <c r="X707" s="6" t="e">
        <f ca="1">SQRT($B$9*AVERAGE(W707:OFFSET(W707,$B$5-1,0)))</f>
        <v>#DIV/0!</v>
      </c>
      <c r="Y707" s="6" t="e">
        <f ca="1">SQRT($B$9*AVERAGE(W707:OFFSET(W707,$B$6-1,0)))</f>
        <v>#DIV/0!</v>
      </c>
      <c r="Z707" s="6" t="e">
        <f ca="1">SQRT($B$9*AVERAGE(W707:OFFSET(W707,$B$7-1,0)))</f>
        <v>#DIV/0!</v>
      </c>
      <c r="AA707" s="6" t="e">
        <f ca="1">SQRT($B$9*AVERAGE(W707:OFFSET(W707,$B$8-1,0)))</f>
        <v>#DIV/0!</v>
      </c>
      <c r="AC707" s="34" t="e">
        <f t="shared" si="60"/>
        <v>#DIV/0!</v>
      </c>
      <c r="AD707" s="34" t="e">
        <f ca="1">SQRT($B$9*SUM(AC707:OFFSET(AC707,$B$5-1,0))/($B$5-1))</f>
        <v>#DIV/0!</v>
      </c>
      <c r="AE707" s="34" t="e">
        <f ca="1">SQRT($B$9*SUM(AC707:OFFSET(AC707,$B$6-1,0))/($B$6-1))</f>
        <v>#DIV/0!</v>
      </c>
      <c r="AF707" s="34" t="e">
        <f ca="1">SQRT($B$9*SUM(AC707:OFFSET(AC707,$B$7-1,0))/($B$7-1))</f>
        <v>#DIV/0!</v>
      </c>
      <c r="AG707" s="34" t="e">
        <f ca="1">SQRT($B$9*SUM(AC707:OFFSET(AC707,$B$8-1,0))/($B$8-1))</f>
        <v>#DIV/0!</v>
      </c>
      <c r="AI707" s="1" t="e">
        <f t="shared" si="61"/>
        <v>#DIV/0!</v>
      </c>
      <c r="AJ707" s="4" t="e">
        <f ca="1">SQRT($B$9)*_xlfn.STDEV.S(AI707:OFFSET(AI707,$B$5-1,0))</f>
        <v>#DIV/0!</v>
      </c>
      <c r="AK707" s="4" t="e">
        <f ca="1">SQRT($B$9)*_xlfn.STDEV.S(AI707:OFFSET(AI707,$B$6-1,0))</f>
        <v>#DIV/0!</v>
      </c>
      <c r="AL707" s="4" t="e">
        <f ca="1">SQRT($B$9)*_xlfn.STDEV.S(AI707:OFFSET(AI707,$B$7-1,0))</f>
        <v>#DIV/0!</v>
      </c>
      <c r="AM707" s="4" t="e">
        <f ca="1">SQRT($B$9)*_xlfn.STDEV.S(AI707:OFFSET(AI707,$B$8-1,0))</f>
        <v>#DIV/0!</v>
      </c>
    </row>
    <row r="708" spans="5:39" x14ac:dyDescent="0.2">
      <c r="E708" s="42">
        <v>44412</v>
      </c>
      <c r="F708" s="43"/>
      <c r="G708" s="43"/>
      <c r="H708" s="43"/>
      <c r="I708" s="43"/>
      <c r="K708" s="3" t="e">
        <f t="shared" si="59"/>
        <v>#DIV/0!</v>
      </c>
      <c r="L708" s="3" t="e">
        <f ca="1">SQRT(AVERAGE(K708:OFFSET(K708,$B$5-1,0))*$B$9/(4*LN(2)))</f>
        <v>#DIV/0!</v>
      </c>
      <c r="M708" s="3" t="e">
        <f ca="1">SQRT(AVERAGE(K708:OFFSET(K708,$B$6-1,0))*$B$9/(4*LN(2)))</f>
        <v>#DIV/0!</v>
      </c>
      <c r="N708" s="3" t="e">
        <f ca="1">SQRT(AVERAGE(K708:OFFSET(K708,$B$7-1,0))*$B$9/(4*LN(2)))</f>
        <v>#DIV/0!</v>
      </c>
      <c r="O708" s="3" t="e">
        <f ca="1">SQRT(AVERAGE(K708:OFFSET(K708,$B$8-1,0))*$B$9/(4*LN(2)))</f>
        <v>#DIV/0!</v>
      </c>
      <c r="Q708" s="5" t="e">
        <f t="shared" si="58"/>
        <v>#DIV/0!</v>
      </c>
      <c r="R708" s="5" t="e">
        <f ca="1">SQRT($B$9*AVERAGE((Q708:OFFSET(Q708,$B$5-1,0))))</f>
        <v>#DIV/0!</v>
      </c>
      <c r="S708" s="5" t="e">
        <f ca="1">SQRT($B$9*AVERAGE((Q708:OFFSET(Q708,$B$6-1,0))))</f>
        <v>#DIV/0!</v>
      </c>
      <c r="T708" s="5" t="e">
        <f ca="1">SQRT($B$9*AVERAGE((Q708:OFFSET(Q708,$B$7-1,0))))</f>
        <v>#DIV/0!</v>
      </c>
      <c r="U708" s="5" t="e">
        <f ca="1">SQRT($B$9*AVERAGE((Q708:OFFSET(Q708,$B$8-1,0))))</f>
        <v>#DIV/0!</v>
      </c>
      <c r="W708" s="6" t="e">
        <f t="shared" si="62"/>
        <v>#DIV/0!</v>
      </c>
      <c r="X708" s="6" t="e">
        <f ca="1">SQRT($B$9*AVERAGE(W708:OFFSET(W708,$B$5-1,0)))</f>
        <v>#DIV/0!</v>
      </c>
      <c r="Y708" s="6" t="e">
        <f ca="1">SQRT($B$9*AVERAGE(W708:OFFSET(W708,$B$6-1,0)))</f>
        <v>#DIV/0!</v>
      </c>
      <c r="Z708" s="6" t="e">
        <f ca="1">SQRT($B$9*AVERAGE(W708:OFFSET(W708,$B$7-1,0)))</f>
        <v>#DIV/0!</v>
      </c>
      <c r="AA708" s="6" t="e">
        <f ca="1">SQRT($B$9*AVERAGE(W708:OFFSET(W708,$B$8-1,0)))</f>
        <v>#DIV/0!</v>
      </c>
      <c r="AC708" s="34" t="e">
        <f t="shared" si="60"/>
        <v>#DIV/0!</v>
      </c>
      <c r="AD708" s="34" t="e">
        <f ca="1">SQRT($B$9*SUM(AC708:OFFSET(AC708,$B$5-1,0))/($B$5-1))</f>
        <v>#DIV/0!</v>
      </c>
      <c r="AE708" s="34" t="e">
        <f ca="1">SQRT($B$9*SUM(AC708:OFFSET(AC708,$B$6-1,0))/($B$6-1))</f>
        <v>#DIV/0!</v>
      </c>
      <c r="AF708" s="34" t="e">
        <f ca="1">SQRT($B$9*SUM(AC708:OFFSET(AC708,$B$7-1,0))/($B$7-1))</f>
        <v>#DIV/0!</v>
      </c>
      <c r="AG708" s="34" t="e">
        <f ca="1">SQRT($B$9*SUM(AC708:OFFSET(AC708,$B$8-1,0))/($B$8-1))</f>
        <v>#DIV/0!</v>
      </c>
      <c r="AI708" s="1" t="e">
        <f t="shared" si="61"/>
        <v>#DIV/0!</v>
      </c>
      <c r="AJ708" s="4" t="e">
        <f ca="1">SQRT($B$9)*_xlfn.STDEV.S(AI708:OFFSET(AI708,$B$5-1,0))</f>
        <v>#DIV/0!</v>
      </c>
      <c r="AK708" s="4" t="e">
        <f ca="1">SQRT($B$9)*_xlfn.STDEV.S(AI708:OFFSET(AI708,$B$6-1,0))</f>
        <v>#DIV/0!</v>
      </c>
      <c r="AL708" s="4" t="e">
        <f ca="1">SQRT($B$9)*_xlfn.STDEV.S(AI708:OFFSET(AI708,$B$7-1,0))</f>
        <v>#DIV/0!</v>
      </c>
      <c r="AM708" s="4" t="e">
        <f ca="1">SQRT($B$9)*_xlfn.STDEV.S(AI708:OFFSET(AI708,$B$8-1,0))</f>
        <v>#DIV/0!</v>
      </c>
    </row>
    <row r="709" spans="5:39" x14ac:dyDescent="0.2">
      <c r="E709" s="42">
        <v>44411</v>
      </c>
      <c r="F709" s="43"/>
      <c r="G709" s="43"/>
      <c r="H709" s="43"/>
      <c r="I709" s="43"/>
      <c r="K709" s="3" t="e">
        <f t="shared" si="59"/>
        <v>#DIV/0!</v>
      </c>
      <c r="L709" s="3" t="e">
        <f ca="1">SQRT(AVERAGE(K709:OFFSET(K709,$B$5-1,0))*$B$9/(4*LN(2)))</f>
        <v>#DIV/0!</v>
      </c>
      <c r="M709" s="3" t="e">
        <f ca="1">SQRT(AVERAGE(K709:OFFSET(K709,$B$6-1,0))*$B$9/(4*LN(2)))</f>
        <v>#DIV/0!</v>
      </c>
      <c r="N709" s="3" t="e">
        <f ca="1">SQRT(AVERAGE(K709:OFFSET(K709,$B$7-1,0))*$B$9/(4*LN(2)))</f>
        <v>#DIV/0!</v>
      </c>
      <c r="O709" s="3" t="e">
        <f ca="1">SQRT(AVERAGE(K709:OFFSET(K709,$B$8-1,0))*$B$9/(4*LN(2)))</f>
        <v>#DIV/0!</v>
      </c>
      <c r="Q709" s="5" t="e">
        <f t="shared" ref="Q709:Q772" si="63">0.511*(LN(G709/H709))^2-0.019*(LN(I709/F709)*LN(G709*H709/F709^2)-2*LN(G709/F709)*LN(H709/F709))-0.383*(LN(I709/F709))^2</f>
        <v>#DIV/0!</v>
      </c>
      <c r="R709" s="5" t="e">
        <f ca="1">SQRT($B$9*AVERAGE((Q709:OFFSET(Q709,$B$5-1,0))))</f>
        <v>#DIV/0!</v>
      </c>
      <c r="S709" s="5" t="e">
        <f ca="1">SQRT($B$9*AVERAGE((Q709:OFFSET(Q709,$B$6-1,0))))</f>
        <v>#DIV/0!</v>
      </c>
      <c r="T709" s="5" t="e">
        <f ca="1">SQRT($B$9*AVERAGE((Q709:OFFSET(Q709,$B$7-1,0))))</f>
        <v>#DIV/0!</v>
      </c>
      <c r="U709" s="5" t="e">
        <f ca="1">SQRT($B$9*AVERAGE((Q709:OFFSET(Q709,$B$8-1,0))))</f>
        <v>#DIV/0!</v>
      </c>
      <c r="W709" s="6" t="e">
        <f t="shared" si="62"/>
        <v>#DIV/0!</v>
      </c>
      <c r="X709" s="6" t="e">
        <f ca="1">SQRT($B$9*AVERAGE(W709:OFFSET(W709,$B$5-1,0)))</f>
        <v>#DIV/0!</v>
      </c>
      <c r="Y709" s="6" t="e">
        <f ca="1">SQRT($B$9*AVERAGE(W709:OFFSET(W709,$B$6-1,0)))</f>
        <v>#DIV/0!</v>
      </c>
      <c r="Z709" s="6" t="e">
        <f ca="1">SQRT($B$9*AVERAGE(W709:OFFSET(W709,$B$7-1,0)))</f>
        <v>#DIV/0!</v>
      </c>
      <c r="AA709" s="6" t="e">
        <f ca="1">SQRT($B$9*AVERAGE(W709:OFFSET(W709,$B$8-1,0)))</f>
        <v>#DIV/0!</v>
      </c>
      <c r="AC709" s="34" t="e">
        <f t="shared" si="60"/>
        <v>#DIV/0!</v>
      </c>
      <c r="AD709" s="34" t="e">
        <f ca="1">SQRT($B$9*SUM(AC709:OFFSET(AC709,$B$5-1,0))/($B$5-1))</f>
        <v>#DIV/0!</v>
      </c>
      <c r="AE709" s="34" t="e">
        <f ca="1">SQRT($B$9*SUM(AC709:OFFSET(AC709,$B$6-1,0))/($B$6-1))</f>
        <v>#DIV/0!</v>
      </c>
      <c r="AF709" s="34" t="e">
        <f ca="1">SQRT($B$9*SUM(AC709:OFFSET(AC709,$B$7-1,0))/($B$7-1))</f>
        <v>#DIV/0!</v>
      </c>
      <c r="AG709" s="34" t="e">
        <f ca="1">SQRT($B$9*SUM(AC709:OFFSET(AC709,$B$8-1,0))/($B$8-1))</f>
        <v>#DIV/0!</v>
      </c>
      <c r="AI709" s="1" t="e">
        <f t="shared" si="61"/>
        <v>#DIV/0!</v>
      </c>
      <c r="AJ709" s="4" t="e">
        <f ca="1">SQRT($B$9)*_xlfn.STDEV.S(AI709:OFFSET(AI709,$B$5-1,0))</f>
        <v>#DIV/0!</v>
      </c>
      <c r="AK709" s="4" t="e">
        <f ca="1">SQRT($B$9)*_xlfn.STDEV.S(AI709:OFFSET(AI709,$B$6-1,0))</f>
        <v>#DIV/0!</v>
      </c>
      <c r="AL709" s="4" t="e">
        <f ca="1">SQRT($B$9)*_xlfn.STDEV.S(AI709:OFFSET(AI709,$B$7-1,0))</f>
        <v>#DIV/0!</v>
      </c>
      <c r="AM709" s="4" t="e">
        <f ca="1">SQRT($B$9)*_xlfn.STDEV.S(AI709:OFFSET(AI709,$B$8-1,0))</f>
        <v>#DIV/0!</v>
      </c>
    </row>
    <row r="710" spans="5:39" x14ac:dyDescent="0.2">
      <c r="E710" s="42">
        <v>44410</v>
      </c>
      <c r="F710" s="43"/>
      <c r="G710" s="43"/>
      <c r="H710" s="43"/>
      <c r="I710" s="43"/>
      <c r="K710" s="3" t="e">
        <f t="shared" ref="K710:K773" si="64">(LN(G710/H710))^2</f>
        <v>#DIV/0!</v>
      </c>
      <c r="L710" s="3" t="e">
        <f ca="1">SQRT(AVERAGE(K710:OFFSET(K710,$B$5-1,0))*$B$9/(4*LN(2)))</f>
        <v>#DIV/0!</v>
      </c>
      <c r="M710" s="3" t="e">
        <f ca="1">SQRT(AVERAGE(K710:OFFSET(K710,$B$6-1,0))*$B$9/(4*LN(2)))</f>
        <v>#DIV/0!</v>
      </c>
      <c r="N710" s="3" t="e">
        <f ca="1">SQRT(AVERAGE(K710:OFFSET(K710,$B$7-1,0))*$B$9/(4*LN(2)))</f>
        <v>#DIV/0!</v>
      </c>
      <c r="O710" s="3" t="e">
        <f ca="1">SQRT(AVERAGE(K710:OFFSET(K710,$B$8-1,0))*$B$9/(4*LN(2)))</f>
        <v>#DIV/0!</v>
      </c>
      <c r="Q710" s="5" t="e">
        <f t="shared" si="63"/>
        <v>#DIV/0!</v>
      </c>
      <c r="R710" s="5" t="e">
        <f ca="1">SQRT($B$9*AVERAGE((Q710:OFFSET(Q710,$B$5-1,0))))</f>
        <v>#DIV/0!</v>
      </c>
      <c r="S710" s="5" t="e">
        <f ca="1">SQRT($B$9*AVERAGE((Q710:OFFSET(Q710,$B$6-1,0))))</f>
        <v>#DIV/0!</v>
      </c>
      <c r="T710" s="5" t="e">
        <f ca="1">SQRT($B$9*AVERAGE((Q710:OFFSET(Q710,$B$7-1,0))))</f>
        <v>#DIV/0!</v>
      </c>
      <c r="U710" s="5" t="e">
        <f ca="1">SQRT($B$9*AVERAGE((Q710:OFFSET(Q710,$B$8-1,0))))</f>
        <v>#DIV/0!</v>
      </c>
      <c r="W710" s="6" t="e">
        <f t="shared" si="62"/>
        <v>#DIV/0!</v>
      </c>
      <c r="X710" s="6" t="e">
        <f ca="1">SQRT($B$9*AVERAGE(W710:OFFSET(W710,$B$5-1,0)))</f>
        <v>#DIV/0!</v>
      </c>
      <c r="Y710" s="6" t="e">
        <f ca="1">SQRT($B$9*AVERAGE(W710:OFFSET(W710,$B$6-1,0)))</f>
        <v>#DIV/0!</v>
      </c>
      <c r="Z710" s="6" t="e">
        <f ca="1">SQRT($B$9*AVERAGE(W710:OFFSET(W710,$B$7-1,0)))</f>
        <v>#DIV/0!</v>
      </c>
      <c r="AA710" s="6" t="e">
        <f ca="1">SQRT($B$9*AVERAGE(W710:OFFSET(W710,$B$8-1,0)))</f>
        <v>#DIV/0!</v>
      </c>
      <c r="AC710" s="34" t="e">
        <f t="shared" si="60"/>
        <v>#DIV/0!</v>
      </c>
      <c r="AD710" s="34" t="e">
        <f ca="1">SQRT($B$9*SUM(AC710:OFFSET(AC710,$B$5-1,0))/($B$5-1))</f>
        <v>#DIV/0!</v>
      </c>
      <c r="AE710" s="34" t="e">
        <f ca="1">SQRT($B$9*SUM(AC710:OFFSET(AC710,$B$6-1,0))/($B$6-1))</f>
        <v>#DIV/0!</v>
      </c>
      <c r="AF710" s="34" t="e">
        <f ca="1">SQRT($B$9*SUM(AC710:OFFSET(AC710,$B$7-1,0))/($B$7-1))</f>
        <v>#DIV/0!</v>
      </c>
      <c r="AG710" s="34" t="e">
        <f ca="1">SQRT($B$9*SUM(AC710:OFFSET(AC710,$B$8-1,0))/($B$8-1))</f>
        <v>#DIV/0!</v>
      </c>
      <c r="AI710" s="1" t="e">
        <f t="shared" si="61"/>
        <v>#DIV/0!</v>
      </c>
      <c r="AJ710" s="4" t="e">
        <f ca="1">SQRT($B$9)*_xlfn.STDEV.S(AI710:OFFSET(AI710,$B$5-1,0))</f>
        <v>#DIV/0!</v>
      </c>
      <c r="AK710" s="4" t="e">
        <f ca="1">SQRT($B$9)*_xlfn.STDEV.S(AI710:OFFSET(AI710,$B$6-1,0))</f>
        <v>#DIV/0!</v>
      </c>
      <c r="AL710" s="4" t="e">
        <f ca="1">SQRT($B$9)*_xlfn.STDEV.S(AI710:OFFSET(AI710,$B$7-1,0))</f>
        <v>#DIV/0!</v>
      </c>
      <c r="AM710" s="4" t="e">
        <f ca="1">SQRT($B$9)*_xlfn.STDEV.S(AI710:OFFSET(AI710,$B$8-1,0))</f>
        <v>#DIV/0!</v>
      </c>
    </row>
    <row r="711" spans="5:39" x14ac:dyDescent="0.2">
      <c r="E711" s="42">
        <v>44407</v>
      </c>
      <c r="F711" s="43"/>
      <c r="G711" s="43"/>
      <c r="H711" s="43"/>
      <c r="I711" s="43"/>
      <c r="K711" s="3" t="e">
        <f t="shared" si="64"/>
        <v>#DIV/0!</v>
      </c>
      <c r="L711" s="3" t="e">
        <f ca="1">SQRT(AVERAGE(K711:OFFSET(K711,$B$5-1,0))*$B$9/(4*LN(2)))</f>
        <v>#DIV/0!</v>
      </c>
      <c r="M711" s="3" t="e">
        <f ca="1">SQRT(AVERAGE(K711:OFFSET(K711,$B$6-1,0))*$B$9/(4*LN(2)))</f>
        <v>#DIV/0!</v>
      </c>
      <c r="N711" s="3" t="e">
        <f ca="1">SQRT(AVERAGE(K711:OFFSET(K711,$B$7-1,0))*$B$9/(4*LN(2)))</f>
        <v>#DIV/0!</v>
      </c>
      <c r="O711" s="3" t="e">
        <f ca="1">SQRT(AVERAGE(K711:OFFSET(K711,$B$8-1,0))*$B$9/(4*LN(2)))</f>
        <v>#DIV/0!</v>
      </c>
      <c r="Q711" s="5" t="e">
        <f t="shared" si="63"/>
        <v>#DIV/0!</v>
      </c>
      <c r="R711" s="5" t="e">
        <f ca="1">SQRT($B$9*AVERAGE((Q711:OFFSET(Q711,$B$5-1,0))))</f>
        <v>#DIV/0!</v>
      </c>
      <c r="S711" s="5" t="e">
        <f ca="1">SQRT($B$9*AVERAGE((Q711:OFFSET(Q711,$B$6-1,0))))</f>
        <v>#DIV/0!</v>
      </c>
      <c r="T711" s="5" t="e">
        <f ca="1">SQRT($B$9*AVERAGE((Q711:OFFSET(Q711,$B$7-1,0))))</f>
        <v>#DIV/0!</v>
      </c>
      <c r="U711" s="5" t="e">
        <f ca="1">SQRT($B$9*AVERAGE((Q711:OFFSET(Q711,$B$8-1,0))))</f>
        <v>#DIV/0!</v>
      </c>
      <c r="W711" s="6" t="e">
        <f t="shared" si="62"/>
        <v>#DIV/0!</v>
      </c>
      <c r="X711" s="6" t="e">
        <f ca="1">SQRT($B$9*AVERAGE(W711:OFFSET(W711,$B$5-1,0)))</f>
        <v>#DIV/0!</v>
      </c>
      <c r="Y711" s="6" t="e">
        <f ca="1">SQRT($B$9*AVERAGE(W711:OFFSET(W711,$B$6-1,0)))</f>
        <v>#DIV/0!</v>
      </c>
      <c r="Z711" s="6" t="e">
        <f ca="1">SQRT($B$9*AVERAGE(W711:OFFSET(W711,$B$7-1,0)))</f>
        <v>#DIV/0!</v>
      </c>
      <c r="AA711" s="6" t="e">
        <f ca="1">SQRT($B$9*AVERAGE(W711:OFFSET(W711,$B$8-1,0)))</f>
        <v>#DIV/0!</v>
      </c>
      <c r="AC711" s="34" t="e">
        <f t="shared" si="60"/>
        <v>#DIV/0!</v>
      </c>
      <c r="AD711" s="34" t="e">
        <f ca="1">SQRT($B$9*SUM(AC711:OFFSET(AC711,$B$5-1,0))/($B$5-1))</f>
        <v>#DIV/0!</v>
      </c>
      <c r="AE711" s="34" t="e">
        <f ca="1">SQRT($B$9*SUM(AC711:OFFSET(AC711,$B$6-1,0))/($B$6-1))</f>
        <v>#DIV/0!</v>
      </c>
      <c r="AF711" s="34" t="e">
        <f ca="1">SQRT($B$9*SUM(AC711:OFFSET(AC711,$B$7-1,0))/($B$7-1))</f>
        <v>#DIV/0!</v>
      </c>
      <c r="AG711" s="34" t="e">
        <f ca="1">SQRT($B$9*SUM(AC711:OFFSET(AC711,$B$8-1,0))/($B$8-1))</f>
        <v>#DIV/0!</v>
      </c>
      <c r="AI711" s="1" t="e">
        <f t="shared" si="61"/>
        <v>#DIV/0!</v>
      </c>
      <c r="AJ711" s="4" t="e">
        <f ca="1">SQRT($B$9)*_xlfn.STDEV.S(AI711:OFFSET(AI711,$B$5-1,0))</f>
        <v>#DIV/0!</v>
      </c>
      <c r="AK711" s="4" t="e">
        <f ca="1">SQRT($B$9)*_xlfn.STDEV.S(AI711:OFFSET(AI711,$B$6-1,0))</f>
        <v>#DIV/0!</v>
      </c>
      <c r="AL711" s="4" t="e">
        <f ca="1">SQRT($B$9)*_xlfn.STDEV.S(AI711:OFFSET(AI711,$B$7-1,0))</f>
        <v>#DIV/0!</v>
      </c>
      <c r="AM711" s="4" t="e">
        <f ca="1">SQRT($B$9)*_xlfn.STDEV.S(AI711:OFFSET(AI711,$B$8-1,0))</f>
        <v>#DIV/0!</v>
      </c>
    </row>
    <row r="712" spans="5:39" x14ac:dyDescent="0.2">
      <c r="E712" s="42">
        <v>44406</v>
      </c>
      <c r="F712" s="43"/>
      <c r="G712" s="43"/>
      <c r="H712" s="43"/>
      <c r="I712" s="43"/>
      <c r="K712" s="3" t="e">
        <f t="shared" si="64"/>
        <v>#DIV/0!</v>
      </c>
      <c r="L712" s="3" t="e">
        <f ca="1">SQRT(AVERAGE(K712:OFFSET(K712,$B$5-1,0))*$B$9/(4*LN(2)))</f>
        <v>#DIV/0!</v>
      </c>
      <c r="M712" s="3" t="e">
        <f ca="1">SQRT(AVERAGE(K712:OFFSET(K712,$B$6-1,0))*$B$9/(4*LN(2)))</f>
        <v>#DIV/0!</v>
      </c>
      <c r="N712" s="3" t="e">
        <f ca="1">SQRT(AVERAGE(K712:OFFSET(K712,$B$7-1,0))*$B$9/(4*LN(2)))</f>
        <v>#DIV/0!</v>
      </c>
      <c r="O712" s="3" t="e">
        <f ca="1">SQRT(AVERAGE(K712:OFFSET(K712,$B$8-1,0))*$B$9/(4*LN(2)))</f>
        <v>#DIV/0!</v>
      </c>
      <c r="Q712" s="5" t="e">
        <f t="shared" si="63"/>
        <v>#DIV/0!</v>
      </c>
      <c r="R712" s="5" t="e">
        <f ca="1">SQRT($B$9*AVERAGE((Q712:OFFSET(Q712,$B$5-1,0))))</f>
        <v>#DIV/0!</v>
      </c>
      <c r="S712" s="5" t="e">
        <f ca="1">SQRT($B$9*AVERAGE((Q712:OFFSET(Q712,$B$6-1,0))))</f>
        <v>#DIV/0!</v>
      </c>
      <c r="T712" s="5" t="e">
        <f ca="1">SQRT($B$9*AVERAGE((Q712:OFFSET(Q712,$B$7-1,0))))</f>
        <v>#DIV/0!</v>
      </c>
      <c r="U712" s="5" t="e">
        <f ca="1">SQRT($B$9*AVERAGE((Q712:OFFSET(Q712,$B$8-1,0))))</f>
        <v>#DIV/0!</v>
      </c>
      <c r="W712" s="6" t="e">
        <f t="shared" si="62"/>
        <v>#DIV/0!</v>
      </c>
      <c r="X712" s="6" t="e">
        <f ca="1">SQRT($B$9*AVERAGE(W712:OFFSET(W712,$B$5-1,0)))</f>
        <v>#DIV/0!</v>
      </c>
      <c r="Y712" s="6" t="e">
        <f ca="1">SQRT($B$9*AVERAGE(W712:OFFSET(W712,$B$6-1,0)))</f>
        <v>#DIV/0!</v>
      </c>
      <c r="Z712" s="6" t="e">
        <f ca="1">SQRT($B$9*AVERAGE(W712:OFFSET(W712,$B$7-1,0)))</f>
        <v>#DIV/0!</v>
      </c>
      <c r="AA712" s="6" t="e">
        <f ca="1">SQRT($B$9*AVERAGE(W712:OFFSET(W712,$B$8-1,0)))</f>
        <v>#DIV/0!</v>
      </c>
      <c r="AC712" s="34" t="e">
        <f t="shared" si="60"/>
        <v>#DIV/0!</v>
      </c>
      <c r="AD712" s="34" t="e">
        <f ca="1">SQRT($B$9*SUM(AC712:OFFSET(AC712,$B$5-1,0))/($B$5-1))</f>
        <v>#DIV/0!</v>
      </c>
      <c r="AE712" s="34" t="e">
        <f ca="1">SQRT($B$9*SUM(AC712:OFFSET(AC712,$B$6-1,0))/($B$6-1))</f>
        <v>#DIV/0!</v>
      </c>
      <c r="AF712" s="34" t="e">
        <f ca="1">SQRT($B$9*SUM(AC712:OFFSET(AC712,$B$7-1,0))/($B$7-1))</f>
        <v>#DIV/0!</v>
      </c>
      <c r="AG712" s="34" t="e">
        <f ca="1">SQRT($B$9*SUM(AC712:OFFSET(AC712,$B$8-1,0))/($B$8-1))</f>
        <v>#DIV/0!</v>
      </c>
      <c r="AI712" s="1" t="e">
        <f t="shared" si="61"/>
        <v>#DIV/0!</v>
      </c>
      <c r="AJ712" s="4" t="e">
        <f ca="1">SQRT($B$9)*_xlfn.STDEV.S(AI712:OFFSET(AI712,$B$5-1,0))</f>
        <v>#DIV/0!</v>
      </c>
      <c r="AK712" s="4" t="e">
        <f ca="1">SQRT($B$9)*_xlfn.STDEV.S(AI712:OFFSET(AI712,$B$6-1,0))</f>
        <v>#DIV/0!</v>
      </c>
      <c r="AL712" s="4" t="e">
        <f ca="1">SQRT($B$9)*_xlfn.STDEV.S(AI712:OFFSET(AI712,$B$7-1,0))</f>
        <v>#DIV/0!</v>
      </c>
      <c r="AM712" s="4" t="e">
        <f ca="1">SQRT($B$9)*_xlfn.STDEV.S(AI712:OFFSET(AI712,$B$8-1,0))</f>
        <v>#DIV/0!</v>
      </c>
    </row>
    <row r="713" spans="5:39" x14ac:dyDescent="0.2">
      <c r="E713" s="42">
        <v>44405</v>
      </c>
      <c r="F713" s="43"/>
      <c r="G713" s="43"/>
      <c r="H713" s="43"/>
      <c r="I713" s="43"/>
      <c r="K713" s="3" t="e">
        <f t="shared" si="64"/>
        <v>#DIV/0!</v>
      </c>
      <c r="L713" s="3" t="e">
        <f ca="1">SQRT(AVERAGE(K713:OFFSET(K713,$B$5-1,0))*$B$9/(4*LN(2)))</f>
        <v>#DIV/0!</v>
      </c>
      <c r="M713" s="3" t="e">
        <f ca="1">SQRT(AVERAGE(K713:OFFSET(K713,$B$6-1,0))*$B$9/(4*LN(2)))</f>
        <v>#DIV/0!</v>
      </c>
      <c r="N713" s="3" t="e">
        <f ca="1">SQRT(AVERAGE(K713:OFFSET(K713,$B$7-1,0))*$B$9/(4*LN(2)))</f>
        <v>#DIV/0!</v>
      </c>
      <c r="O713" s="3" t="e">
        <f ca="1">SQRT(AVERAGE(K713:OFFSET(K713,$B$8-1,0))*$B$9/(4*LN(2)))</f>
        <v>#DIV/0!</v>
      </c>
      <c r="Q713" s="5" t="e">
        <f t="shared" si="63"/>
        <v>#DIV/0!</v>
      </c>
      <c r="R713" s="5" t="e">
        <f ca="1">SQRT($B$9*AVERAGE((Q713:OFFSET(Q713,$B$5-1,0))))</f>
        <v>#DIV/0!</v>
      </c>
      <c r="S713" s="5" t="e">
        <f ca="1">SQRT($B$9*AVERAGE((Q713:OFFSET(Q713,$B$6-1,0))))</f>
        <v>#DIV/0!</v>
      </c>
      <c r="T713" s="5" t="e">
        <f ca="1">SQRT($B$9*AVERAGE((Q713:OFFSET(Q713,$B$7-1,0))))</f>
        <v>#DIV/0!</v>
      </c>
      <c r="U713" s="5" t="e">
        <f ca="1">SQRT($B$9*AVERAGE((Q713:OFFSET(Q713,$B$8-1,0))))</f>
        <v>#DIV/0!</v>
      </c>
      <c r="W713" s="6" t="e">
        <f t="shared" si="62"/>
        <v>#DIV/0!</v>
      </c>
      <c r="X713" s="6" t="e">
        <f ca="1">SQRT($B$9*AVERAGE(W713:OFFSET(W713,$B$5-1,0)))</f>
        <v>#DIV/0!</v>
      </c>
      <c r="Y713" s="6" t="e">
        <f ca="1">SQRT($B$9*AVERAGE(W713:OFFSET(W713,$B$6-1,0)))</f>
        <v>#DIV/0!</v>
      </c>
      <c r="Z713" s="6" t="e">
        <f ca="1">SQRT($B$9*AVERAGE(W713:OFFSET(W713,$B$7-1,0)))</f>
        <v>#DIV/0!</v>
      </c>
      <c r="AA713" s="6" t="e">
        <f ca="1">SQRT($B$9*AVERAGE(W713:OFFSET(W713,$B$8-1,0)))</f>
        <v>#DIV/0!</v>
      </c>
      <c r="AC713" s="34" t="e">
        <f t="shared" si="60"/>
        <v>#DIV/0!</v>
      </c>
      <c r="AD713" s="34" t="e">
        <f ca="1">SQRT($B$9*SUM(AC713:OFFSET(AC713,$B$5-1,0))/($B$5-1))</f>
        <v>#DIV/0!</v>
      </c>
      <c r="AE713" s="34" t="e">
        <f ca="1">SQRT($B$9*SUM(AC713:OFFSET(AC713,$B$6-1,0))/($B$6-1))</f>
        <v>#DIV/0!</v>
      </c>
      <c r="AF713" s="34" t="e">
        <f ca="1">SQRT($B$9*SUM(AC713:OFFSET(AC713,$B$7-1,0))/($B$7-1))</f>
        <v>#DIV/0!</v>
      </c>
      <c r="AG713" s="34" t="e">
        <f ca="1">SQRT($B$9*SUM(AC713:OFFSET(AC713,$B$8-1,0))/($B$8-1))</f>
        <v>#DIV/0!</v>
      </c>
      <c r="AI713" s="1" t="e">
        <f t="shared" si="61"/>
        <v>#DIV/0!</v>
      </c>
      <c r="AJ713" s="4" t="e">
        <f ca="1">SQRT($B$9)*_xlfn.STDEV.S(AI713:OFFSET(AI713,$B$5-1,0))</f>
        <v>#DIV/0!</v>
      </c>
      <c r="AK713" s="4" t="e">
        <f ca="1">SQRT($B$9)*_xlfn.STDEV.S(AI713:OFFSET(AI713,$B$6-1,0))</f>
        <v>#DIV/0!</v>
      </c>
      <c r="AL713" s="4" t="e">
        <f ca="1">SQRT($B$9)*_xlfn.STDEV.S(AI713:OFFSET(AI713,$B$7-1,0))</f>
        <v>#DIV/0!</v>
      </c>
      <c r="AM713" s="4" t="e">
        <f ca="1">SQRT($B$9)*_xlfn.STDEV.S(AI713:OFFSET(AI713,$B$8-1,0))</f>
        <v>#DIV/0!</v>
      </c>
    </row>
    <row r="714" spans="5:39" x14ac:dyDescent="0.2">
      <c r="E714" s="42">
        <v>44404</v>
      </c>
      <c r="F714" s="43"/>
      <c r="G714" s="43"/>
      <c r="H714" s="43"/>
      <c r="I714" s="43"/>
      <c r="K714" s="3" t="e">
        <f t="shared" si="64"/>
        <v>#DIV/0!</v>
      </c>
      <c r="L714" s="3" t="e">
        <f ca="1">SQRT(AVERAGE(K714:OFFSET(K714,$B$5-1,0))*$B$9/(4*LN(2)))</f>
        <v>#DIV/0!</v>
      </c>
      <c r="M714" s="3" t="e">
        <f ca="1">SQRT(AVERAGE(K714:OFFSET(K714,$B$6-1,0))*$B$9/(4*LN(2)))</f>
        <v>#DIV/0!</v>
      </c>
      <c r="N714" s="3" t="e">
        <f ca="1">SQRT(AVERAGE(K714:OFFSET(K714,$B$7-1,0))*$B$9/(4*LN(2)))</f>
        <v>#DIV/0!</v>
      </c>
      <c r="O714" s="3" t="e">
        <f ca="1">SQRT(AVERAGE(K714:OFFSET(K714,$B$8-1,0))*$B$9/(4*LN(2)))</f>
        <v>#DIV/0!</v>
      </c>
      <c r="Q714" s="5" t="e">
        <f t="shared" si="63"/>
        <v>#DIV/0!</v>
      </c>
      <c r="R714" s="5" t="e">
        <f ca="1">SQRT($B$9*AVERAGE((Q714:OFFSET(Q714,$B$5-1,0))))</f>
        <v>#DIV/0!</v>
      </c>
      <c r="S714" s="5" t="e">
        <f ca="1">SQRT($B$9*AVERAGE((Q714:OFFSET(Q714,$B$6-1,0))))</f>
        <v>#DIV/0!</v>
      </c>
      <c r="T714" s="5" t="e">
        <f ca="1">SQRT($B$9*AVERAGE((Q714:OFFSET(Q714,$B$7-1,0))))</f>
        <v>#DIV/0!</v>
      </c>
      <c r="U714" s="5" t="e">
        <f ca="1">SQRT($B$9*AVERAGE((Q714:OFFSET(Q714,$B$8-1,0))))</f>
        <v>#DIV/0!</v>
      </c>
      <c r="W714" s="6" t="e">
        <f t="shared" si="62"/>
        <v>#DIV/0!</v>
      </c>
      <c r="X714" s="6" t="e">
        <f ca="1">SQRT($B$9*AVERAGE(W714:OFFSET(W714,$B$5-1,0)))</f>
        <v>#DIV/0!</v>
      </c>
      <c r="Y714" s="6" t="e">
        <f ca="1">SQRT($B$9*AVERAGE(W714:OFFSET(W714,$B$6-1,0)))</f>
        <v>#DIV/0!</v>
      </c>
      <c r="Z714" s="6" t="e">
        <f ca="1">SQRT($B$9*AVERAGE(W714:OFFSET(W714,$B$7-1,0)))</f>
        <v>#DIV/0!</v>
      </c>
      <c r="AA714" s="6" t="e">
        <f ca="1">SQRT($B$9*AVERAGE(W714:OFFSET(W714,$B$8-1,0)))</f>
        <v>#DIV/0!</v>
      </c>
      <c r="AC714" s="34" t="e">
        <f t="shared" si="60"/>
        <v>#DIV/0!</v>
      </c>
      <c r="AD714" s="34" t="e">
        <f ca="1">SQRT($B$9*SUM(AC714:OFFSET(AC714,$B$5-1,0))/($B$5-1))</f>
        <v>#DIV/0!</v>
      </c>
      <c r="AE714" s="34" t="e">
        <f ca="1">SQRT($B$9*SUM(AC714:OFFSET(AC714,$B$6-1,0))/($B$6-1))</f>
        <v>#DIV/0!</v>
      </c>
      <c r="AF714" s="34" t="e">
        <f ca="1">SQRT($B$9*SUM(AC714:OFFSET(AC714,$B$7-1,0))/($B$7-1))</f>
        <v>#DIV/0!</v>
      </c>
      <c r="AG714" s="34" t="e">
        <f ca="1">SQRT($B$9*SUM(AC714:OFFSET(AC714,$B$8-1,0))/($B$8-1))</f>
        <v>#DIV/0!</v>
      </c>
      <c r="AI714" s="1" t="e">
        <f t="shared" si="61"/>
        <v>#DIV/0!</v>
      </c>
      <c r="AJ714" s="4" t="e">
        <f ca="1">SQRT($B$9)*_xlfn.STDEV.S(AI714:OFFSET(AI714,$B$5-1,0))</f>
        <v>#DIV/0!</v>
      </c>
      <c r="AK714" s="4" t="e">
        <f ca="1">SQRT($B$9)*_xlfn.STDEV.S(AI714:OFFSET(AI714,$B$6-1,0))</f>
        <v>#DIV/0!</v>
      </c>
      <c r="AL714" s="4" t="e">
        <f ca="1">SQRT($B$9)*_xlfn.STDEV.S(AI714:OFFSET(AI714,$B$7-1,0))</f>
        <v>#DIV/0!</v>
      </c>
      <c r="AM714" s="4" t="e">
        <f ca="1">SQRT($B$9)*_xlfn.STDEV.S(AI714:OFFSET(AI714,$B$8-1,0))</f>
        <v>#DIV/0!</v>
      </c>
    </row>
    <row r="715" spans="5:39" x14ac:dyDescent="0.2">
      <c r="E715" s="42">
        <v>44403</v>
      </c>
      <c r="F715" s="43"/>
      <c r="G715" s="43"/>
      <c r="H715" s="43"/>
      <c r="I715" s="43"/>
      <c r="K715" s="3" t="e">
        <f t="shared" si="64"/>
        <v>#DIV/0!</v>
      </c>
      <c r="L715" s="3" t="e">
        <f ca="1">SQRT(AVERAGE(K715:OFFSET(K715,$B$5-1,0))*$B$9/(4*LN(2)))</f>
        <v>#DIV/0!</v>
      </c>
      <c r="M715" s="3" t="e">
        <f ca="1">SQRT(AVERAGE(K715:OFFSET(K715,$B$6-1,0))*$B$9/(4*LN(2)))</f>
        <v>#DIV/0!</v>
      </c>
      <c r="N715" s="3" t="e">
        <f ca="1">SQRT(AVERAGE(K715:OFFSET(K715,$B$7-1,0))*$B$9/(4*LN(2)))</f>
        <v>#DIV/0!</v>
      </c>
      <c r="O715" s="3" t="e">
        <f ca="1">SQRT(AVERAGE(K715:OFFSET(K715,$B$8-1,0))*$B$9/(4*LN(2)))</f>
        <v>#DIV/0!</v>
      </c>
      <c r="Q715" s="5" t="e">
        <f t="shared" si="63"/>
        <v>#DIV/0!</v>
      </c>
      <c r="R715" s="5" t="e">
        <f ca="1">SQRT($B$9*AVERAGE((Q715:OFFSET(Q715,$B$5-1,0))))</f>
        <v>#DIV/0!</v>
      </c>
      <c r="S715" s="5" t="e">
        <f ca="1">SQRT($B$9*AVERAGE((Q715:OFFSET(Q715,$B$6-1,0))))</f>
        <v>#DIV/0!</v>
      </c>
      <c r="T715" s="5" t="e">
        <f ca="1">SQRT($B$9*AVERAGE((Q715:OFFSET(Q715,$B$7-1,0))))</f>
        <v>#DIV/0!</v>
      </c>
      <c r="U715" s="5" t="e">
        <f ca="1">SQRT($B$9*AVERAGE((Q715:OFFSET(Q715,$B$8-1,0))))</f>
        <v>#DIV/0!</v>
      </c>
      <c r="W715" s="6" t="e">
        <f t="shared" si="62"/>
        <v>#DIV/0!</v>
      </c>
      <c r="X715" s="6" t="e">
        <f ca="1">SQRT($B$9*AVERAGE(W715:OFFSET(W715,$B$5-1,0)))</f>
        <v>#DIV/0!</v>
      </c>
      <c r="Y715" s="6" t="e">
        <f ca="1">SQRT($B$9*AVERAGE(W715:OFFSET(W715,$B$6-1,0)))</f>
        <v>#DIV/0!</v>
      </c>
      <c r="Z715" s="6" t="e">
        <f ca="1">SQRT($B$9*AVERAGE(W715:OFFSET(W715,$B$7-1,0)))</f>
        <v>#DIV/0!</v>
      </c>
      <c r="AA715" s="6" t="e">
        <f ca="1">SQRT($B$9*AVERAGE(W715:OFFSET(W715,$B$8-1,0)))</f>
        <v>#DIV/0!</v>
      </c>
      <c r="AC715" s="34" t="e">
        <f t="shared" si="60"/>
        <v>#DIV/0!</v>
      </c>
      <c r="AD715" s="34" t="e">
        <f ca="1">SQRT($B$9*SUM(AC715:OFFSET(AC715,$B$5-1,0))/($B$5-1))</f>
        <v>#DIV/0!</v>
      </c>
      <c r="AE715" s="34" t="e">
        <f ca="1">SQRT($B$9*SUM(AC715:OFFSET(AC715,$B$6-1,0))/($B$6-1))</f>
        <v>#DIV/0!</v>
      </c>
      <c r="AF715" s="34" t="e">
        <f ca="1">SQRT($B$9*SUM(AC715:OFFSET(AC715,$B$7-1,0))/($B$7-1))</f>
        <v>#DIV/0!</v>
      </c>
      <c r="AG715" s="34" t="e">
        <f ca="1">SQRT($B$9*SUM(AC715:OFFSET(AC715,$B$8-1,0))/($B$8-1))</f>
        <v>#DIV/0!</v>
      </c>
      <c r="AI715" s="1" t="e">
        <f t="shared" si="61"/>
        <v>#DIV/0!</v>
      </c>
      <c r="AJ715" s="4" t="e">
        <f ca="1">SQRT($B$9)*_xlfn.STDEV.S(AI715:OFFSET(AI715,$B$5-1,0))</f>
        <v>#DIV/0!</v>
      </c>
      <c r="AK715" s="4" t="e">
        <f ca="1">SQRT($B$9)*_xlfn.STDEV.S(AI715:OFFSET(AI715,$B$6-1,0))</f>
        <v>#DIV/0!</v>
      </c>
      <c r="AL715" s="4" t="e">
        <f ca="1">SQRT($B$9)*_xlfn.STDEV.S(AI715:OFFSET(AI715,$B$7-1,0))</f>
        <v>#DIV/0!</v>
      </c>
      <c r="AM715" s="4" t="e">
        <f ca="1">SQRT($B$9)*_xlfn.STDEV.S(AI715:OFFSET(AI715,$B$8-1,0))</f>
        <v>#DIV/0!</v>
      </c>
    </row>
    <row r="716" spans="5:39" x14ac:dyDescent="0.2">
      <c r="E716" s="42">
        <v>44400</v>
      </c>
      <c r="F716" s="43"/>
      <c r="G716" s="43"/>
      <c r="H716" s="43"/>
      <c r="I716" s="43"/>
      <c r="K716" s="3" t="e">
        <f t="shared" si="64"/>
        <v>#DIV/0!</v>
      </c>
      <c r="L716" s="3" t="e">
        <f ca="1">SQRT(AVERAGE(K716:OFFSET(K716,$B$5-1,0))*$B$9/(4*LN(2)))</f>
        <v>#DIV/0!</v>
      </c>
      <c r="M716" s="3" t="e">
        <f ca="1">SQRT(AVERAGE(K716:OFFSET(K716,$B$6-1,0))*$B$9/(4*LN(2)))</f>
        <v>#DIV/0!</v>
      </c>
      <c r="N716" s="3" t="e">
        <f ca="1">SQRT(AVERAGE(K716:OFFSET(K716,$B$7-1,0))*$B$9/(4*LN(2)))</f>
        <v>#DIV/0!</v>
      </c>
      <c r="O716" s="3" t="e">
        <f ca="1">SQRT(AVERAGE(K716:OFFSET(K716,$B$8-1,0))*$B$9/(4*LN(2)))</f>
        <v>#DIV/0!</v>
      </c>
      <c r="Q716" s="5" t="e">
        <f t="shared" si="63"/>
        <v>#DIV/0!</v>
      </c>
      <c r="R716" s="5" t="e">
        <f ca="1">SQRT($B$9*AVERAGE((Q716:OFFSET(Q716,$B$5-1,0))))</f>
        <v>#DIV/0!</v>
      </c>
      <c r="S716" s="5" t="e">
        <f ca="1">SQRT($B$9*AVERAGE((Q716:OFFSET(Q716,$B$6-1,0))))</f>
        <v>#DIV/0!</v>
      </c>
      <c r="T716" s="5" t="e">
        <f ca="1">SQRT($B$9*AVERAGE((Q716:OFFSET(Q716,$B$7-1,0))))</f>
        <v>#DIV/0!</v>
      </c>
      <c r="U716" s="5" t="e">
        <f ca="1">SQRT($B$9*AVERAGE((Q716:OFFSET(Q716,$B$8-1,0))))</f>
        <v>#DIV/0!</v>
      </c>
      <c r="W716" s="6" t="e">
        <f t="shared" si="62"/>
        <v>#DIV/0!</v>
      </c>
      <c r="X716" s="6" t="e">
        <f ca="1">SQRT($B$9*AVERAGE(W716:OFFSET(W716,$B$5-1,0)))</f>
        <v>#DIV/0!</v>
      </c>
      <c r="Y716" s="6" t="e">
        <f ca="1">SQRT($B$9*AVERAGE(W716:OFFSET(W716,$B$6-1,0)))</f>
        <v>#DIV/0!</v>
      </c>
      <c r="Z716" s="6" t="e">
        <f ca="1">SQRT($B$9*AVERAGE(W716:OFFSET(W716,$B$7-1,0)))</f>
        <v>#DIV/0!</v>
      </c>
      <c r="AA716" s="6" t="e">
        <f ca="1">SQRT($B$9*AVERAGE(W716:OFFSET(W716,$B$8-1,0)))</f>
        <v>#DIV/0!</v>
      </c>
      <c r="AC716" s="34" t="e">
        <f t="shared" si="60"/>
        <v>#DIV/0!</v>
      </c>
      <c r="AD716" s="34" t="e">
        <f ca="1">SQRT($B$9*SUM(AC716:OFFSET(AC716,$B$5-1,0))/($B$5-1))</f>
        <v>#DIV/0!</v>
      </c>
      <c r="AE716" s="34" t="e">
        <f ca="1">SQRT($B$9*SUM(AC716:OFFSET(AC716,$B$6-1,0))/($B$6-1))</f>
        <v>#DIV/0!</v>
      </c>
      <c r="AF716" s="34" t="e">
        <f ca="1">SQRT($B$9*SUM(AC716:OFFSET(AC716,$B$7-1,0))/($B$7-1))</f>
        <v>#DIV/0!</v>
      </c>
      <c r="AG716" s="34" t="e">
        <f ca="1">SQRT($B$9*SUM(AC716:OFFSET(AC716,$B$8-1,0))/($B$8-1))</f>
        <v>#DIV/0!</v>
      </c>
      <c r="AI716" s="1" t="e">
        <f t="shared" si="61"/>
        <v>#DIV/0!</v>
      </c>
      <c r="AJ716" s="4" t="e">
        <f ca="1">SQRT($B$9)*_xlfn.STDEV.S(AI716:OFFSET(AI716,$B$5-1,0))</f>
        <v>#DIV/0!</v>
      </c>
      <c r="AK716" s="4" t="e">
        <f ca="1">SQRT($B$9)*_xlfn.STDEV.S(AI716:OFFSET(AI716,$B$6-1,0))</f>
        <v>#DIV/0!</v>
      </c>
      <c r="AL716" s="4" t="e">
        <f ca="1">SQRT($B$9)*_xlfn.STDEV.S(AI716:OFFSET(AI716,$B$7-1,0))</f>
        <v>#DIV/0!</v>
      </c>
      <c r="AM716" s="4" t="e">
        <f ca="1">SQRT($B$9)*_xlfn.STDEV.S(AI716:OFFSET(AI716,$B$8-1,0))</f>
        <v>#DIV/0!</v>
      </c>
    </row>
    <row r="717" spans="5:39" x14ac:dyDescent="0.2">
      <c r="E717" s="42">
        <v>44399</v>
      </c>
      <c r="F717" s="43"/>
      <c r="G717" s="43"/>
      <c r="H717" s="43"/>
      <c r="I717" s="43"/>
      <c r="K717" s="3" t="e">
        <f t="shared" si="64"/>
        <v>#DIV/0!</v>
      </c>
      <c r="L717" s="3" t="e">
        <f ca="1">SQRT(AVERAGE(K717:OFFSET(K717,$B$5-1,0))*$B$9/(4*LN(2)))</f>
        <v>#DIV/0!</v>
      </c>
      <c r="M717" s="3" t="e">
        <f ca="1">SQRT(AVERAGE(K717:OFFSET(K717,$B$6-1,0))*$B$9/(4*LN(2)))</f>
        <v>#DIV/0!</v>
      </c>
      <c r="N717" s="3" t="e">
        <f ca="1">SQRT(AVERAGE(K717:OFFSET(K717,$B$7-1,0))*$B$9/(4*LN(2)))</f>
        <v>#DIV/0!</v>
      </c>
      <c r="O717" s="3" t="e">
        <f ca="1">SQRT(AVERAGE(K717:OFFSET(K717,$B$8-1,0))*$B$9/(4*LN(2)))</f>
        <v>#DIV/0!</v>
      </c>
      <c r="Q717" s="5" t="e">
        <f t="shared" si="63"/>
        <v>#DIV/0!</v>
      </c>
      <c r="R717" s="5" t="e">
        <f ca="1">SQRT($B$9*AVERAGE((Q717:OFFSET(Q717,$B$5-1,0))))</f>
        <v>#DIV/0!</v>
      </c>
      <c r="S717" s="5" t="e">
        <f ca="1">SQRT($B$9*AVERAGE((Q717:OFFSET(Q717,$B$6-1,0))))</f>
        <v>#DIV/0!</v>
      </c>
      <c r="T717" s="5" t="e">
        <f ca="1">SQRT($B$9*AVERAGE((Q717:OFFSET(Q717,$B$7-1,0))))</f>
        <v>#DIV/0!</v>
      </c>
      <c r="U717" s="5" t="e">
        <f ca="1">SQRT($B$9*AVERAGE((Q717:OFFSET(Q717,$B$8-1,0))))</f>
        <v>#DIV/0!</v>
      </c>
      <c r="W717" s="6" t="e">
        <f t="shared" si="62"/>
        <v>#DIV/0!</v>
      </c>
      <c r="X717" s="6" t="e">
        <f ca="1">SQRT($B$9*AVERAGE(W717:OFFSET(W717,$B$5-1,0)))</f>
        <v>#DIV/0!</v>
      </c>
      <c r="Y717" s="6" t="e">
        <f ca="1">SQRT($B$9*AVERAGE(W717:OFFSET(W717,$B$6-1,0)))</f>
        <v>#DIV/0!</v>
      </c>
      <c r="Z717" s="6" t="e">
        <f ca="1">SQRT($B$9*AVERAGE(W717:OFFSET(W717,$B$7-1,0)))</f>
        <v>#DIV/0!</v>
      </c>
      <c r="AA717" s="6" t="e">
        <f ca="1">SQRT($B$9*AVERAGE(W717:OFFSET(W717,$B$8-1,0)))</f>
        <v>#DIV/0!</v>
      </c>
      <c r="AC717" s="34" t="e">
        <f t="shared" si="60"/>
        <v>#DIV/0!</v>
      </c>
      <c r="AD717" s="34" t="e">
        <f ca="1">SQRT($B$9*SUM(AC717:OFFSET(AC717,$B$5-1,0))/($B$5-1))</f>
        <v>#DIV/0!</v>
      </c>
      <c r="AE717" s="34" t="e">
        <f ca="1">SQRT($B$9*SUM(AC717:OFFSET(AC717,$B$6-1,0))/($B$6-1))</f>
        <v>#DIV/0!</v>
      </c>
      <c r="AF717" s="34" t="e">
        <f ca="1">SQRT($B$9*SUM(AC717:OFFSET(AC717,$B$7-1,0))/($B$7-1))</f>
        <v>#DIV/0!</v>
      </c>
      <c r="AG717" s="34" t="e">
        <f ca="1">SQRT($B$9*SUM(AC717:OFFSET(AC717,$B$8-1,0))/($B$8-1))</f>
        <v>#DIV/0!</v>
      </c>
      <c r="AI717" s="1" t="e">
        <f t="shared" si="61"/>
        <v>#DIV/0!</v>
      </c>
      <c r="AJ717" s="4" t="e">
        <f ca="1">SQRT($B$9)*_xlfn.STDEV.S(AI717:OFFSET(AI717,$B$5-1,0))</f>
        <v>#DIV/0!</v>
      </c>
      <c r="AK717" s="4" t="e">
        <f ca="1">SQRT($B$9)*_xlfn.STDEV.S(AI717:OFFSET(AI717,$B$6-1,0))</f>
        <v>#DIV/0!</v>
      </c>
      <c r="AL717" s="4" t="e">
        <f ca="1">SQRT($B$9)*_xlfn.STDEV.S(AI717:OFFSET(AI717,$B$7-1,0))</f>
        <v>#DIV/0!</v>
      </c>
      <c r="AM717" s="4" t="e">
        <f ca="1">SQRT($B$9)*_xlfn.STDEV.S(AI717:OFFSET(AI717,$B$8-1,0))</f>
        <v>#DIV/0!</v>
      </c>
    </row>
    <row r="718" spans="5:39" x14ac:dyDescent="0.2">
      <c r="E718" s="42">
        <v>44398</v>
      </c>
      <c r="F718" s="43"/>
      <c r="G718" s="43"/>
      <c r="H718" s="43"/>
      <c r="I718" s="43"/>
      <c r="K718" s="3" t="e">
        <f t="shared" si="64"/>
        <v>#DIV/0!</v>
      </c>
      <c r="L718" s="3" t="e">
        <f ca="1">SQRT(AVERAGE(K718:OFFSET(K718,$B$5-1,0))*$B$9/(4*LN(2)))</f>
        <v>#DIV/0!</v>
      </c>
      <c r="M718" s="3" t="e">
        <f ca="1">SQRT(AVERAGE(K718:OFFSET(K718,$B$6-1,0))*$B$9/(4*LN(2)))</f>
        <v>#DIV/0!</v>
      </c>
      <c r="N718" s="3" t="e">
        <f ca="1">SQRT(AVERAGE(K718:OFFSET(K718,$B$7-1,0))*$B$9/(4*LN(2)))</f>
        <v>#DIV/0!</v>
      </c>
      <c r="O718" s="3" t="e">
        <f ca="1">SQRT(AVERAGE(K718:OFFSET(K718,$B$8-1,0))*$B$9/(4*LN(2)))</f>
        <v>#DIV/0!</v>
      </c>
      <c r="Q718" s="5" t="e">
        <f t="shared" si="63"/>
        <v>#DIV/0!</v>
      </c>
      <c r="R718" s="5" t="e">
        <f ca="1">SQRT($B$9*AVERAGE((Q718:OFFSET(Q718,$B$5-1,0))))</f>
        <v>#DIV/0!</v>
      </c>
      <c r="S718" s="5" t="e">
        <f ca="1">SQRT($B$9*AVERAGE((Q718:OFFSET(Q718,$B$6-1,0))))</f>
        <v>#DIV/0!</v>
      </c>
      <c r="T718" s="5" t="e">
        <f ca="1">SQRT($B$9*AVERAGE((Q718:OFFSET(Q718,$B$7-1,0))))</f>
        <v>#DIV/0!</v>
      </c>
      <c r="U718" s="5" t="e">
        <f ca="1">SQRT($B$9*AVERAGE((Q718:OFFSET(Q718,$B$8-1,0))))</f>
        <v>#DIV/0!</v>
      </c>
      <c r="W718" s="6" t="e">
        <f t="shared" si="62"/>
        <v>#DIV/0!</v>
      </c>
      <c r="X718" s="6" t="e">
        <f ca="1">SQRT($B$9*AVERAGE(W718:OFFSET(W718,$B$5-1,0)))</f>
        <v>#DIV/0!</v>
      </c>
      <c r="Y718" s="6" t="e">
        <f ca="1">SQRT($B$9*AVERAGE(W718:OFFSET(W718,$B$6-1,0)))</f>
        <v>#DIV/0!</v>
      </c>
      <c r="Z718" s="6" t="e">
        <f ca="1">SQRT($B$9*AVERAGE(W718:OFFSET(W718,$B$7-1,0)))</f>
        <v>#DIV/0!</v>
      </c>
      <c r="AA718" s="6" t="e">
        <f ca="1">SQRT($B$9*AVERAGE(W718:OFFSET(W718,$B$8-1,0)))</f>
        <v>#DIV/0!</v>
      </c>
      <c r="AC718" s="34" t="e">
        <f t="shared" si="60"/>
        <v>#DIV/0!</v>
      </c>
      <c r="AD718" s="34" t="e">
        <f ca="1">SQRT($B$9*SUM(AC718:OFFSET(AC718,$B$5-1,0))/($B$5-1))</f>
        <v>#DIV/0!</v>
      </c>
      <c r="AE718" s="34" t="e">
        <f ca="1">SQRT($B$9*SUM(AC718:OFFSET(AC718,$B$6-1,0))/($B$6-1))</f>
        <v>#DIV/0!</v>
      </c>
      <c r="AF718" s="34" t="e">
        <f ca="1">SQRT($B$9*SUM(AC718:OFFSET(AC718,$B$7-1,0))/($B$7-1))</f>
        <v>#DIV/0!</v>
      </c>
      <c r="AG718" s="34" t="e">
        <f ca="1">SQRT($B$9*SUM(AC718:OFFSET(AC718,$B$8-1,0))/($B$8-1))</f>
        <v>#DIV/0!</v>
      </c>
      <c r="AI718" s="1" t="e">
        <f t="shared" si="61"/>
        <v>#DIV/0!</v>
      </c>
      <c r="AJ718" s="4" t="e">
        <f ca="1">SQRT($B$9)*_xlfn.STDEV.S(AI718:OFFSET(AI718,$B$5-1,0))</f>
        <v>#DIV/0!</v>
      </c>
      <c r="AK718" s="4" t="e">
        <f ca="1">SQRT($B$9)*_xlfn.STDEV.S(AI718:OFFSET(AI718,$B$6-1,0))</f>
        <v>#DIV/0!</v>
      </c>
      <c r="AL718" s="4" t="e">
        <f ca="1">SQRT($B$9)*_xlfn.STDEV.S(AI718:OFFSET(AI718,$B$7-1,0))</f>
        <v>#DIV/0!</v>
      </c>
      <c r="AM718" s="4" t="e">
        <f ca="1">SQRT($B$9)*_xlfn.STDEV.S(AI718:OFFSET(AI718,$B$8-1,0))</f>
        <v>#DIV/0!</v>
      </c>
    </row>
    <row r="719" spans="5:39" x14ac:dyDescent="0.2">
      <c r="E719" s="42">
        <v>44397</v>
      </c>
      <c r="F719" s="43"/>
      <c r="G719" s="43"/>
      <c r="H719" s="43"/>
      <c r="I719" s="43"/>
      <c r="K719" s="3" t="e">
        <f t="shared" si="64"/>
        <v>#DIV/0!</v>
      </c>
      <c r="L719" s="3" t="e">
        <f ca="1">SQRT(AVERAGE(K719:OFFSET(K719,$B$5-1,0))*$B$9/(4*LN(2)))</f>
        <v>#DIV/0!</v>
      </c>
      <c r="M719" s="3" t="e">
        <f ca="1">SQRT(AVERAGE(K719:OFFSET(K719,$B$6-1,0))*$B$9/(4*LN(2)))</f>
        <v>#DIV/0!</v>
      </c>
      <c r="N719" s="3" t="e">
        <f ca="1">SQRT(AVERAGE(K719:OFFSET(K719,$B$7-1,0))*$B$9/(4*LN(2)))</f>
        <v>#DIV/0!</v>
      </c>
      <c r="O719" s="3" t="e">
        <f ca="1">SQRT(AVERAGE(K719:OFFSET(K719,$B$8-1,0))*$B$9/(4*LN(2)))</f>
        <v>#DIV/0!</v>
      </c>
      <c r="Q719" s="5" t="e">
        <f t="shared" si="63"/>
        <v>#DIV/0!</v>
      </c>
      <c r="R719" s="5" t="e">
        <f ca="1">SQRT($B$9*AVERAGE((Q719:OFFSET(Q719,$B$5-1,0))))</f>
        <v>#DIV/0!</v>
      </c>
      <c r="S719" s="5" t="e">
        <f ca="1">SQRT($B$9*AVERAGE((Q719:OFFSET(Q719,$B$6-1,0))))</f>
        <v>#DIV/0!</v>
      </c>
      <c r="T719" s="5" t="e">
        <f ca="1">SQRT($B$9*AVERAGE((Q719:OFFSET(Q719,$B$7-1,0))))</f>
        <v>#DIV/0!</v>
      </c>
      <c r="U719" s="5" t="e">
        <f ca="1">SQRT($B$9*AVERAGE((Q719:OFFSET(Q719,$B$8-1,0))))</f>
        <v>#DIV/0!</v>
      </c>
      <c r="W719" s="6" t="e">
        <f t="shared" si="62"/>
        <v>#DIV/0!</v>
      </c>
      <c r="X719" s="6" t="e">
        <f ca="1">SQRT($B$9*AVERAGE(W719:OFFSET(W719,$B$5-1,0)))</f>
        <v>#DIV/0!</v>
      </c>
      <c r="Y719" s="6" t="e">
        <f ca="1">SQRT($B$9*AVERAGE(W719:OFFSET(W719,$B$6-1,0)))</f>
        <v>#DIV/0!</v>
      </c>
      <c r="Z719" s="6" t="e">
        <f ca="1">SQRT($B$9*AVERAGE(W719:OFFSET(W719,$B$7-1,0)))</f>
        <v>#DIV/0!</v>
      </c>
      <c r="AA719" s="6" t="e">
        <f ca="1">SQRT($B$9*AVERAGE(W719:OFFSET(W719,$B$8-1,0)))</f>
        <v>#DIV/0!</v>
      </c>
      <c r="AC719" s="34" t="e">
        <f t="shared" si="60"/>
        <v>#DIV/0!</v>
      </c>
      <c r="AD719" s="34" t="e">
        <f ca="1">SQRT($B$9*SUM(AC719:OFFSET(AC719,$B$5-1,0))/($B$5-1))</f>
        <v>#DIV/0!</v>
      </c>
      <c r="AE719" s="34" t="e">
        <f ca="1">SQRT($B$9*SUM(AC719:OFFSET(AC719,$B$6-1,0))/($B$6-1))</f>
        <v>#DIV/0!</v>
      </c>
      <c r="AF719" s="34" t="e">
        <f ca="1">SQRT($B$9*SUM(AC719:OFFSET(AC719,$B$7-1,0))/($B$7-1))</f>
        <v>#DIV/0!</v>
      </c>
      <c r="AG719" s="34" t="e">
        <f ca="1">SQRT($B$9*SUM(AC719:OFFSET(AC719,$B$8-1,0))/($B$8-1))</f>
        <v>#DIV/0!</v>
      </c>
      <c r="AI719" s="1" t="e">
        <f t="shared" si="61"/>
        <v>#DIV/0!</v>
      </c>
      <c r="AJ719" s="4" t="e">
        <f ca="1">SQRT($B$9)*_xlfn.STDEV.S(AI719:OFFSET(AI719,$B$5-1,0))</f>
        <v>#DIV/0!</v>
      </c>
      <c r="AK719" s="4" t="e">
        <f ca="1">SQRT($B$9)*_xlfn.STDEV.S(AI719:OFFSET(AI719,$B$6-1,0))</f>
        <v>#DIV/0!</v>
      </c>
      <c r="AL719" s="4" t="e">
        <f ca="1">SQRT($B$9)*_xlfn.STDEV.S(AI719:OFFSET(AI719,$B$7-1,0))</f>
        <v>#DIV/0!</v>
      </c>
      <c r="AM719" s="4" t="e">
        <f ca="1">SQRT($B$9)*_xlfn.STDEV.S(AI719:OFFSET(AI719,$B$8-1,0))</f>
        <v>#DIV/0!</v>
      </c>
    </row>
    <row r="720" spans="5:39" x14ac:dyDescent="0.2">
      <c r="E720" s="42">
        <v>44396</v>
      </c>
      <c r="F720" s="43"/>
      <c r="G720" s="43"/>
      <c r="H720" s="43"/>
      <c r="I720" s="43"/>
      <c r="K720" s="3" t="e">
        <f t="shared" si="64"/>
        <v>#DIV/0!</v>
      </c>
      <c r="L720" s="3" t="e">
        <f ca="1">SQRT(AVERAGE(K720:OFFSET(K720,$B$5-1,0))*$B$9/(4*LN(2)))</f>
        <v>#DIV/0!</v>
      </c>
      <c r="M720" s="3" t="e">
        <f ca="1">SQRT(AVERAGE(K720:OFFSET(K720,$B$6-1,0))*$B$9/(4*LN(2)))</f>
        <v>#DIV/0!</v>
      </c>
      <c r="N720" s="3" t="e">
        <f ca="1">SQRT(AVERAGE(K720:OFFSET(K720,$B$7-1,0))*$B$9/(4*LN(2)))</f>
        <v>#DIV/0!</v>
      </c>
      <c r="O720" s="3" t="e">
        <f ca="1">SQRT(AVERAGE(K720:OFFSET(K720,$B$8-1,0))*$B$9/(4*LN(2)))</f>
        <v>#DIV/0!</v>
      </c>
      <c r="Q720" s="5" t="e">
        <f t="shared" si="63"/>
        <v>#DIV/0!</v>
      </c>
      <c r="R720" s="5" t="e">
        <f ca="1">SQRT($B$9*AVERAGE((Q720:OFFSET(Q720,$B$5-1,0))))</f>
        <v>#DIV/0!</v>
      </c>
      <c r="S720" s="5" t="e">
        <f ca="1">SQRT($B$9*AVERAGE((Q720:OFFSET(Q720,$B$6-1,0))))</f>
        <v>#DIV/0!</v>
      </c>
      <c r="T720" s="5" t="e">
        <f ca="1">SQRT($B$9*AVERAGE((Q720:OFFSET(Q720,$B$7-1,0))))</f>
        <v>#DIV/0!</v>
      </c>
      <c r="U720" s="5" t="e">
        <f ca="1">SQRT($B$9*AVERAGE((Q720:OFFSET(Q720,$B$8-1,0))))</f>
        <v>#DIV/0!</v>
      </c>
      <c r="W720" s="6" t="e">
        <f t="shared" si="62"/>
        <v>#DIV/0!</v>
      </c>
      <c r="X720" s="6" t="e">
        <f ca="1">SQRT($B$9*AVERAGE(W720:OFFSET(W720,$B$5-1,0)))</f>
        <v>#DIV/0!</v>
      </c>
      <c r="Y720" s="6" t="e">
        <f ca="1">SQRT($B$9*AVERAGE(W720:OFFSET(W720,$B$6-1,0)))</f>
        <v>#DIV/0!</v>
      </c>
      <c r="Z720" s="6" t="e">
        <f ca="1">SQRT($B$9*AVERAGE(W720:OFFSET(W720,$B$7-1,0)))</f>
        <v>#DIV/0!</v>
      </c>
      <c r="AA720" s="6" t="e">
        <f ca="1">SQRT($B$9*AVERAGE(W720:OFFSET(W720,$B$8-1,0)))</f>
        <v>#DIV/0!</v>
      </c>
      <c r="AC720" s="34" t="e">
        <f t="shared" si="60"/>
        <v>#DIV/0!</v>
      </c>
      <c r="AD720" s="34" t="e">
        <f ca="1">SQRT($B$9*SUM(AC720:OFFSET(AC720,$B$5-1,0))/($B$5-1))</f>
        <v>#DIV/0!</v>
      </c>
      <c r="AE720" s="34" t="e">
        <f ca="1">SQRT($B$9*SUM(AC720:OFFSET(AC720,$B$6-1,0))/($B$6-1))</f>
        <v>#DIV/0!</v>
      </c>
      <c r="AF720" s="34" t="e">
        <f ca="1">SQRT($B$9*SUM(AC720:OFFSET(AC720,$B$7-1,0))/($B$7-1))</f>
        <v>#DIV/0!</v>
      </c>
      <c r="AG720" s="34" t="e">
        <f ca="1">SQRT($B$9*SUM(AC720:OFFSET(AC720,$B$8-1,0))/($B$8-1))</f>
        <v>#DIV/0!</v>
      </c>
      <c r="AI720" s="1" t="e">
        <f t="shared" si="61"/>
        <v>#DIV/0!</v>
      </c>
      <c r="AJ720" s="4" t="e">
        <f ca="1">SQRT($B$9)*_xlfn.STDEV.S(AI720:OFFSET(AI720,$B$5-1,0))</f>
        <v>#DIV/0!</v>
      </c>
      <c r="AK720" s="4" t="e">
        <f ca="1">SQRT($B$9)*_xlfn.STDEV.S(AI720:OFFSET(AI720,$B$6-1,0))</f>
        <v>#DIV/0!</v>
      </c>
      <c r="AL720" s="4" t="e">
        <f ca="1">SQRT($B$9)*_xlfn.STDEV.S(AI720:OFFSET(AI720,$B$7-1,0))</f>
        <v>#DIV/0!</v>
      </c>
      <c r="AM720" s="4" t="e">
        <f ca="1">SQRT($B$9)*_xlfn.STDEV.S(AI720:OFFSET(AI720,$B$8-1,0))</f>
        <v>#DIV/0!</v>
      </c>
    </row>
    <row r="721" spans="5:39" x14ac:dyDescent="0.2">
      <c r="E721" s="42">
        <v>44393</v>
      </c>
      <c r="F721" s="43"/>
      <c r="G721" s="43"/>
      <c r="H721" s="43"/>
      <c r="I721" s="43"/>
      <c r="K721" s="3" t="e">
        <f t="shared" si="64"/>
        <v>#DIV/0!</v>
      </c>
      <c r="L721" s="3" t="e">
        <f ca="1">SQRT(AVERAGE(K721:OFFSET(K721,$B$5-1,0))*$B$9/(4*LN(2)))</f>
        <v>#DIV/0!</v>
      </c>
      <c r="M721" s="3" t="e">
        <f ca="1">SQRT(AVERAGE(K721:OFFSET(K721,$B$6-1,0))*$B$9/(4*LN(2)))</f>
        <v>#DIV/0!</v>
      </c>
      <c r="N721" s="3" t="e">
        <f ca="1">SQRT(AVERAGE(K721:OFFSET(K721,$B$7-1,0))*$B$9/(4*LN(2)))</f>
        <v>#DIV/0!</v>
      </c>
      <c r="O721" s="3" t="e">
        <f ca="1">SQRT(AVERAGE(K721:OFFSET(K721,$B$8-1,0))*$B$9/(4*LN(2)))</f>
        <v>#DIV/0!</v>
      </c>
      <c r="Q721" s="5" t="e">
        <f t="shared" si="63"/>
        <v>#DIV/0!</v>
      </c>
      <c r="R721" s="5" t="e">
        <f ca="1">SQRT($B$9*AVERAGE((Q721:OFFSET(Q721,$B$5-1,0))))</f>
        <v>#DIV/0!</v>
      </c>
      <c r="S721" s="5" t="e">
        <f ca="1">SQRT($B$9*AVERAGE((Q721:OFFSET(Q721,$B$6-1,0))))</f>
        <v>#DIV/0!</v>
      </c>
      <c r="T721" s="5" t="e">
        <f ca="1">SQRT($B$9*AVERAGE((Q721:OFFSET(Q721,$B$7-1,0))))</f>
        <v>#DIV/0!</v>
      </c>
      <c r="U721" s="5" t="e">
        <f ca="1">SQRT($B$9*AVERAGE((Q721:OFFSET(Q721,$B$8-1,0))))</f>
        <v>#DIV/0!</v>
      </c>
      <c r="W721" s="6" t="e">
        <f t="shared" si="62"/>
        <v>#DIV/0!</v>
      </c>
      <c r="X721" s="6" t="e">
        <f ca="1">SQRT($B$9*AVERAGE(W721:OFFSET(W721,$B$5-1,0)))</f>
        <v>#DIV/0!</v>
      </c>
      <c r="Y721" s="6" t="e">
        <f ca="1">SQRT($B$9*AVERAGE(W721:OFFSET(W721,$B$6-1,0)))</f>
        <v>#DIV/0!</v>
      </c>
      <c r="Z721" s="6" t="e">
        <f ca="1">SQRT($B$9*AVERAGE(W721:OFFSET(W721,$B$7-1,0)))</f>
        <v>#DIV/0!</v>
      </c>
      <c r="AA721" s="6" t="e">
        <f ca="1">SQRT($B$9*AVERAGE(W721:OFFSET(W721,$B$8-1,0)))</f>
        <v>#DIV/0!</v>
      </c>
      <c r="AC721" s="34" t="e">
        <f t="shared" ref="AC721:AC784" si="65">(LN(I721/I722))^2</f>
        <v>#DIV/0!</v>
      </c>
      <c r="AD721" s="34" t="e">
        <f ca="1">SQRT($B$9*SUM(AC721:OFFSET(AC721,$B$5-1,0))/($B$5-1))</f>
        <v>#DIV/0!</v>
      </c>
      <c r="AE721" s="34" t="e">
        <f ca="1">SQRT($B$9*SUM(AC721:OFFSET(AC721,$B$6-1,0))/($B$6-1))</f>
        <v>#DIV/0!</v>
      </c>
      <c r="AF721" s="34" t="e">
        <f ca="1">SQRT($B$9*SUM(AC721:OFFSET(AC721,$B$7-1,0))/($B$7-1))</f>
        <v>#DIV/0!</v>
      </c>
      <c r="AG721" s="34" t="e">
        <f ca="1">SQRT($B$9*SUM(AC721:OFFSET(AC721,$B$8-1,0))/($B$8-1))</f>
        <v>#DIV/0!</v>
      </c>
      <c r="AI721" s="1" t="e">
        <f t="shared" si="61"/>
        <v>#DIV/0!</v>
      </c>
      <c r="AJ721" s="4" t="e">
        <f ca="1">SQRT($B$9)*_xlfn.STDEV.S(AI721:OFFSET(AI721,$B$5-1,0))</f>
        <v>#DIV/0!</v>
      </c>
      <c r="AK721" s="4" t="e">
        <f ca="1">SQRT($B$9)*_xlfn.STDEV.S(AI721:OFFSET(AI721,$B$6-1,0))</f>
        <v>#DIV/0!</v>
      </c>
      <c r="AL721" s="4" t="e">
        <f ca="1">SQRT($B$9)*_xlfn.STDEV.S(AI721:OFFSET(AI721,$B$7-1,0))</f>
        <v>#DIV/0!</v>
      </c>
      <c r="AM721" s="4" t="e">
        <f ca="1">SQRT($B$9)*_xlfn.STDEV.S(AI721:OFFSET(AI721,$B$8-1,0))</f>
        <v>#DIV/0!</v>
      </c>
    </row>
    <row r="722" spans="5:39" x14ac:dyDescent="0.2">
      <c r="E722" s="42">
        <v>44392</v>
      </c>
      <c r="F722" s="43"/>
      <c r="G722" s="43"/>
      <c r="H722" s="43"/>
      <c r="I722" s="43"/>
      <c r="K722" s="3" t="e">
        <f t="shared" si="64"/>
        <v>#DIV/0!</v>
      </c>
      <c r="L722" s="3" t="e">
        <f ca="1">SQRT(AVERAGE(K722:OFFSET(K722,$B$5-1,0))*$B$9/(4*LN(2)))</f>
        <v>#DIV/0!</v>
      </c>
      <c r="M722" s="3" t="e">
        <f ca="1">SQRT(AVERAGE(K722:OFFSET(K722,$B$6-1,0))*$B$9/(4*LN(2)))</f>
        <v>#DIV/0!</v>
      </c>
      <c r="N722" s="3" t="e">
        <f ca="1">SQRT(AVERAGE(K722:OFFSET(K722,$B$7-1,0))*$B$9/(4*LN(2)))</f>
        <v>#DIV/0!</v>
      </c>
      <c r="O722" s="3" t="e">
        <f ca="1">SQRT(AVERAGE(K722:OFFSET(K722,$B$8-1,0))*$B$9/(4*LN(2)))</f>
        <v>#DIV/0!</v>
      </c>
      <c r="Q722" s="5" t="e">
        <f t="shared" si="63"/>
        <v>#DIV/0!</v>
      </c>
      <c r="R722" s="5" t="e">
        <f ca="1">SQRT($B$9*AVERAGE((Q722:OFFSET(Q722,$B$5-1,0))))</f>
        <v>#DIV/0!</v>
      </c>
      <c r="S722" s="5" t="e">
        <f ca="1">SQRT($B$9*AVERAGE((Q722:OFFSET(Q722,$B$6-1,0))))</f>
        <v>#DIV/0!</v>
      </c>
      <c r="T722" s="5" t="e">
        <f ca="1">SQRT($B$9*AVERAGE((Q722:OFFSET(Q722,$B$7-1,0))))</f>
        <v>#DIV/0!</v>
      </c>
      <c r="U722" s="5" t="e">
        <f ca="1">SQRT($B$9*AVERAGE((Q722:OFFSET(Q722,$B$8-1,0))))</f>
        <v>#DIV/0!</v>
      </c>
      <c r="W722" s="6" t="e">
        <f t="shared" si="62"/>
        <v>#DIV/0!</v>
      </c>
      <c r="X722" s="6" t="e">
        <f ca="1">SQRT($B$9*AVERAGE(W722:OFFSET(W722,$B$5-1,0)))</f>
        <v>#DIV/0!</v>
      </c>
      <c r="Y722" s="6" t="e">
        <f ca="1">SQRT($B$9*AVERAGE(W722:OFFSET(W722,$B$6-1,0)))</f>
        <v>#DIV/0!</v>
      </c>
      <c r="Z722" s="6" t="e">
        <f ca="1">SQRT($B$9*AVERAGE(W722:OFFSET(W722,$B$7-1,0)))</f>
        <v>#DIV/0!</v>
      </c>
      <c r="AA722" s="6" t="e">
        <f ca="1">SQRT($B$9*AVERAGE(W722:OFFSET(W722,$B$8-1,0)))</f>
        <v>#DIV/0!</v>
      </c>
      <c r="AC722" s="34" t="e">
        <f t="shared" si="65"/>
        <v>#DIV/0!</v>
      </c>
      <c r="AD722" s="34" t="e">
        <f ca="1">SQRT($B$9*SUM(AC722:OFFSET(AC722,$B$5-1,0))/($B$5-1))</f>
        <v>#DIV/0!</v>
      </c>
      <c r="AE722" s="34" t="e">
        <f ca="1">SQRT($B$9*SUM(AC722:OFFSET(AC722,$B$6-1,0))/($B$6-1))</f>
        <v>#DIV/0!</v>
      </c>
      <c r="AF722" s="34" t="e">
        <f ca="1">SQRT($B$9*SUM(AC722:OFFSET(AC722,$B$7-1,0))/($B$7-1))</f>
        <v>#DIV/0!</v>
      </c>
      <c r="AG722" s="34" t="e">
        <f ca="1">SQRT($B$9*SUM(AC722:OFFSET(AC722,$B$8-1,0))/($B$8-1))</f>
        <v>#DIV/0!</v>
      </c>
      <c r="AI722" s="1" t="e">
        <f t="shared" si="61"/>
        <v>#DIV/0!</v>
      </c>
      <c r="AJ722" s="4" t="e">
        <f ca="1">SQRT($B$9)*_xlfn.STDEV.S(AI722:OFFSET(AI722,$B$5-1,0))</f>
        <v>#DIV/0!</v>
      </c>
      <c r="AK722" s="4" t="e">
        <f ca="1">SQRT($B$9)*_xlfn.STDEV.S(AI722:OFFSET(AI722,$B$6-1,0))</f>
        <v>#DIV/0!</v>
      </c>
      <c r="AL722" s="4" t="e">
        <f ca="1">SQRT($B$9)*_xlfn.STDEV.S(AI722:OFFSET(AI722,$B$7-1,0))</f>
        <v>#DIV/0!</v>
      </c>
      <c r="AM722" s="4" t="e">
        <f ca="1">SQRT($B$9)*_xlfn.STDEV.S(AI722:OFFSET(AI722,$B$8-1,0))</f>
        <v>#DIV/0!</v>
      </c>
    </row>
    <row r="723" spans="5:39" x14ac:dyDescent="0.2">
      <c r="E723" s="42">
        <v>44391</v>
      </c>
      <c r="F723" s="43"/>
      <c r="G723" s="43"/>
      <c r="H723" s="43"/>
      <c r="I723" s="43"/>
      <c r="K723" s="3" t="e">
        <f t="shared" si="64"/>
        <v>#DIV/0!</v>
      </c>
      <c r="L723" s="3" t="e">
        <f ca="1">SQRT(AVERAGE(K723:OFFSET(K723,$B$5-1,0))*$B$9/(4*LN(2)))</f>
        <v>#DIV/0!</v>
      </c>
      <c r="M723" s="3" t="e">
        <f ca="1">SQRT(AVERAGE(K723:OFFSET(K723,$B$6-1,0))*$B$9/(4*LN(2)))</f>
        <v>#DIV/0!</v>
      </c>
      <c r="N723" s="3" t="e">
        <f ca="1">SQRT(AVERAGE(K723:OFFSET(K723,$B$7-1,0))*$B$9/(4*LN(2)))</f>
        <v>#DIV/0!</v>
      </c>
      <c r="O723" s="3" t="e">
        <f ca="1">SQRT(AVERAGE(K723:OFFSET(K723,$B$8-1,0))*$B$9/(4*LN(2)))</f>
        <v>#DIV/0!</v>
      </c>
      <c r="Q723" s="5" t="e">
        <f t="shared" si="63"/>
        <v>#DIV/0!</v>
      </c>
      <c r="R723" s="5" t="e">
        <f ca="1">SQRT($B$9*AVERAGE((Q723:OFFSET(Q723,$B$5-1,0))))</f>
        <v>#DIV/0!</v>
      </c>
      <c r="S723" s="5" t="e">
        <f ca="1">SQRT($B$9*AVERAGE((Q723:OFFSET(Q723,$B$6-1,0))))</f>
        <v>#DIV/0!</v>
      </c>
      <c r="T723" s="5" t="e">
        <f ca="1">SQRT($B$9*AVERAGE((Q723:OFFSET(Q723,$B$7-1,0))))</f>
        <v>#DIV/0!</v>
      </c>
      <c r="U723" s="5" t="e">
        <f ca="1">SQRT($B$9*AVERAGE((Q723:OFFSET(Q723,$B$8-1,0))))</f>
        <v>#DIV/0!</v>
      </c>
      <c r="W723" s="6" t="e">
        <f t="shared" si="62"/>
        <v>#DIV/0!</v>
      </c>
      <c r="X723" s="6" t="e">
        <f ca="1">SQRT($B$9*AVERAGE(W723:OFFSET(W723,$B$5-1,0)))</f>
        <v>#DIV/0!</v>
      </c>
      <c r="Y723" s="6" t="e">
        <f ca="1">SQRT($B$9*AVERAGE(W723:OFFSET(W723,$B$6-1,0)))</f>
        <v>#DIV/0!</v>
      </c>
      <c r="Z723" s="6" t="e">
        <f ca="1">SQRT($B$9*AVERAGE(W723:OFFSET(W723,$B$7-1,0)))</f>
        <v>#DIV/0!</v>
      </c>
      <c r="AA723" s="6" t="e">
        <f ca="1">SQRT($B$9*AVERAGE(W723:OFFSET(W723,$B$8-1,0)))</f>
        <v>#DIV/0!</v>
      </c>
      <c r="AC723" s="34" t="e">
        <f t="shared" si="65"/>
        <v>#DIV/0!</v>
      </c>
      <c r="AD723" s="34" t="e">
        <f ca="1">SQRT($B$9*SUM(AC723:OFFSET(AC723,$B$5-1,0))/($B$5-1))</f>
        <v>#DIV/0!</v>
      </c>
      <c r="AE723" s="34" t="e">
        <f ca="1">SQRT($B$9*SUM(AC723:OFFSET(AC723,$B$6-1,0))/($B$6-1))</f>
        <v>#DIV/0!</v>
      </c>
      <c r="AF723" s="34" t="e">
        <f ca="1">SQRT($B$9*SUM(AC723:OFFSET(AC723,$B$7-1,0))/($B$7-1))</f>
        <v>#DIV/0!</v>
      </c>
      <c r="AG723" s="34" t="e">
        <f ca="1">SQRT($B$9*SUM(AC723:OFFSET(AC723,$B$8-1,0))/($B$8-1))</f>
        <v>#DIV/0!</v>
      </c>
      <c r="AI723" s="1" t="e">
        <f t="shared" ref="AI723:AI786" si="66">LN(I723/I724)</f>
        <v>#DIV/0!</v>
      </c>
      <c r="AJ723" s="4" t="e">
        <f ca="1">SQRT($B$9)*_xlfn.STDEV.S(AI723:OFFSET(AI723,$B$5-1,0))</f>
        <v>#DIV/0!</v>
      </c>
      <c r="AK723" s="4" t="e">
        <f ca="1">SQRT($B$9)*_xlfn.STDEV.S(AI723:OFFSET(AI723,$B$6-1,0))</f>
        <v>#DIV/0!</v>
      </c>
      <c r="AL723" s="4" t="e">
        <f ca="1">SQRT($B$9)*_xlfn.STDEV.S(AI723:OFFSET(AI723,$B$7-1,0))</f>
        <v>#DIV/0!</v>
      </c>
      <c r="AM723" s="4" t="e">
        <f ca="1">SQRT($B$9)*_xlfn.STDEV.S(AI723:OFFSET(AI723,$B$8-1,0))</f>
        <v>#DIV/0!</v>
      </c>
    </row>
    <row r="724" spans="5:39" x14ac:dyDescent="0.2">
      <c r="E724" s="42">
        <v>44390</v>
      </c>
      <c r="F724" s="43"/>
      <c r="G724" s="43"/>
      <c r="H724" s="43"/>
      <c r="I724" s="43"/>
      <c r="K724" s="3" t="e">
        <f t="shared" si="64"/>
        <v>#DIV/0!</v>
      </c>
      <c r="L724" s="3" t="e">
        <f ca="1">SQRT(AVERAGE(K724:OFFSET(K724,$B$5-1,0))*$B$9/(4*LN(2)))</f>
        <v>#DIV/0!</v>
      </c>
      <c r="M724" s="3" t="e">
        <f ca="1">SQRT(AVERAGE(K724:OFFSET(K724,$B$6-1,0))*$B$9/(4*LN(2)))</f>
        <v>#DIV/0!</v>
      </c>
      <c r="N724" s="3" t="e">
        <f ca="1">SQRT(AVERAGE(K724:OFFSET(K724,$B$7-1,0))*$B$9/(4*LN(2)))</f>
        <v>#DIV/0!</v>
      </c>
      <c r="O724" s="3" t="e">
        <f ca="1">SQRT(AVERAGE(K724:OFFSET(K724,$B$8-1,0))*$B$9/(4*LN(2)))</f>
        <v>#DIV/0!</v>
      </c>
      <c r="Q724" s="5" t="e">
        <f t="shared" si="63"/>
        <v>#DIV/0!</v>
      </c>
      <c r="R724" s="5" t="e">
        <f ca="1">SQRT($B$9*AVERAGE((Q724:OFFSET(Q724,$B$5-1,0))))</f>
        <v>#DIV/0!</v>
      </c>
      <c r="S724" s="5" t="e">
        <f ca="1">SQRT($B$9*AVERAGE((Q724:OFFSET(Q724,$B$6-1,0))))</f>
        <v>#DIV/0!</v>
      </c>
      <c r="T724" s="5" t="e">
        <f ca="1">SQRT($B$9*AVERAGE((Q724:OFFSET(Q724,$B$7-1,0))))</f>
        <v>#DIV/0!</v>
      </c>
      <c r="U724" s="5" t="e">
        <f ca="1">SQRT($B$9*AVERAGE((Q724:OFFSET(Q724,$B$8-1,0))))</f>
        <v>#DIV/0!</v>
      </c>
      <c r="W724" s="6" t="e">
        <f t="shared" si="62"/>
        <v>#DIV/0!</v>
      </c>
      <c r="X724" s="6" t="e">
        <f ca="1">SQRT($B$9*AVERAGE(W724:OFFSET(W724,$B$5-1,0)))</f>
        <v>#DIV/0!</v>
      </c>
      <c r="Y724" s="6" t="e">
        <f ca="1">SQRT($B$9*AVERAGE(W724:OFFSET(W724,$B$6-1,0)))</f>
        <v>#DIV/0!</v>
      </c>
      <c r="Z724" s="6" t="e">
        <f ca="1">SQRT($B$9*AVERAGE(W724:OFFSET(W724,$B$7-1,0)))</f>
        <v>#DIV/0!</v>
      </c>
      <c r="AA724" s="6" t="e">
        <f ca="1">SQRT($B$9*AVERAGE(W724:OFFSET(W724,$B$8-1,0)))</f>
        <v>#DIV/0!</v>
      </c>
      <c r="AC724" s="34" t="e">
        <f t="shared" si="65"/>
        <v>#DIV/0!</v>
      </c>
      <c r="AD724" s="34" t="e">
        <f ca="1">SQRT($B$9*SUM(AC724:OFFSET(AC724,$B$5-1,0))/($B$5-1))</f>
        <v>#DIV/0!</v>
      </c>
      <c r="AE724" s="34" t="e">
        <f ca="1">SQRT($B$9*SUM(AC724:OFFSET(AC724,$B$6-1,0))/($B$6-1))</f>
        <v>#DIV/0!</v>
      </c>
      <c r="AF724" s="34" t="e">
        <f ca="1">SQRT($B$9*SUM(AC724:OFFSET(AC724,$B$7-1,0))/($B$7-1))</f>
        <v>#DIV/0!</v>
      </c>
      <c r="AG724" s="34" t="e">
        <f ca="1">SQRT($B$9*SUM(AC724:OFFSET(AC724,$B$8-1,0))/($B$8-1))</f>
        <v>#DIV/0!</v>
      </c>
      <c r="AI724" s="1" t="e">
        <f t="shared" si="66"/>
        <v>#DIV/0!</v>
      </c>
      <c r="AJ724" s="4" t="e">
        <f ca="1">SQRT($B$9)*_xlfn.STDEV.S(AI724:OFFSET(AI724,$B$5-1,0))</f>
        <v>#DIV/0!</v>
      </c>
      <c r="AK724" s="4" t="e">
        <f ca="1">SQRT($B$9)*_xlfn.STDEV.S(AI724:OFFSET(AI724,$B$6-1,0))</f>
        <v>#DIV/0!</v>
      </c>
      <c r="AL724" s="4" t="e">
        <f ca="1">SQRT($B$9)*_xlfn.STDEV.S(AI724:OFFSET(AI724,$B$7-1,0))</f>
        <v>#DIV/0!</v>
      </c>
      <c r="AM724" s="4" t="e">
        <f ca="1">SQRT($B$9)*_xlfn.STDEV.S(AI724:OFFSET(AI724,$B$8-1,0))</f>
        <v>#DIV/0!</v>
      </c>
    </row>
    <row r="725" spans="5:39" x14ac:dyDescent="0.2">
      <c r="E725" s="42">
        <v>44389</v>
      </c>
      <c r="F725" s="43"/>
      <c r="G725" s="43"/>
      <c r="H725" s="43"/>
      <c r="I725" s="43"/>
      <c r="K725" s="3" t="e">
        <f t="shared" si="64"/>
        <v>#DIV/0!</v>
      </c>
      <c r="L725" s="3" t="e">
        <f ca="1">SQRT(AVERAGE(K725:OFFSET(K725,$B$5-1,0))*$B$9/(4*LN(2)))</f>
        <v>#DIV/0!</v>
      </c>
      <c r="M725" s="3" t="e">
        <f ca="1">SQRT(AVERAGE(K725:OFFSET(K725,$B$6-1,0))*$B$9/(4*LN(2)))</f>
        <v>#DIV/0!</v>
      </c>
      <c r="N725" s="3" t="e">
        <f ca="1">SQRT(AVERAGE(K725:OFFSET(K725,$B$7-1,0))*$B$9/(4*LN(2)))</f>
        <v>#DIV/0!</v>
      </c>
      <c r="O725" s="3" t="e">
        <f ca="1">SQRT(AVERAGE(K725:OFFSET(K725,$B$8-1,0))*$B$9/(4*LN(2)))</f>
        <v>#DIV/0!</v>
      </c>
      <c r="Q725" s="5" t="e">
        <f t="shared" si="63"/>
        <v>#DIV/0!</v>
      </c>
      <c r="R725" s="5" t="e">
        <f ca="1">SQRT($B$9*AVERAGE((Q725:OFFSET(Q725,$B$5-1,0))))</f>
        <v>#DIV/0!</v>
      </c>
      <c r="S725" s="5" t="e">
        <f ca="1">SQRT($B$9*AVERAGE((Q725:OFFSET(Q725,$B$6-1,0))))</f>
        <v>#DIV/0!</v>
      </c>
      <c r="T725" s="5" t="e">
        <f ca="1">SQRT($B$9*AVERAGE((Q725:OFFSET(Q725,$B$7-1,0))))</f>
        <v>#DIV/0!</v>
      </c>
      <c r="U725" s="5" t="e">
        <f ca="1">SQRT($B$9*AVERAGE((Q725:OFFSET(Q725,$B$8-1,0))))</f>
        <v>#DIV/0!</v>
      </c>
      <c r="W725" s="6" t="e">
        <f t="shared" si="62"/>
        <v>#DIV/0!</v>
      </c>
      <c r="X725" s="6" t="e">
        <f ca="1">SQRT($B$9*AVERAGE(W725:OFFSET(W725,$B$5-1,0)))</f>
        <v>#DIV/0!</v>
      </c>
      <c r="Y725" s="6" t="e">
        <f ca="1">SQRT($B$9*AVERAGE(W725:OFFSET(W725,$B$6-1,0)))</f>
        <v>#DIV/0!</v>
      </c>
      <c r="Z725" s="6" t="e">
        <f ca="1">SQRT($B$9*AVERAGE(W725:OFFSET(W725,$B$7-1,0)))</f>
        <v>#DIV/0!</v>
      </c>
      <c r="AA725" s="6" t="e">
        <f ca="1">SQRT($B$9*AVERAGE(W725:OFFSET(W725,$B$8-1,0)))</f>
        <v>#DIV/0!</v>
      </c>
      <c r="AC725" s="34" t="e">
        <f t="shared" si="65"/>
        <v>#DIV/0!</v>
      </c>
      <c r="AD725" s="34" t="e">
        <f ca="1">SQRT($B$9*SUM(AC725:OFFSET(AC725,$B$5-1,0))/($B$5-1))</f>
        <v>#DIV/0!</v>
      </c>
      <c r="AE725" s="34" t="e">
        <f ca="1">SQRT($B$9*SUM(AC725:OFFSET(AC725,$B$6-1,0))/($B$6-1))</f>
        <v>#DIV/0!</v>
      </c>
      <c r="AF725" s="34" t="e">
        <f ca="1">SQRT($B$9*SUM(AC725:OFFSET(AC725,$B$7-1,0))/($B$7-1))</f>
        <v>#DIV/0!</v>
      </c>
      <c r="AG725" s="34" t="e">
        <f ca="1">SQRT($B$9*SUM(AC725:OFFSET(AC725,$B$8-1,0))/($B$8-1))</f>
        <v>#DIV/0!</v>
      </c>
      <c r="AI725" s="1" t="e">
        <f t="shared" si="66"/>
        <v>#DIV/0!</v>
      </c>
      <c r="AJ725" s="4" t="e">
        <f ca="1">SQRT($B$9)*_xlfn.STDEV.S(AI725:OFFSET(AI725,$B$5-1,0))</f>
        <v>#DIV/0!</v>
      </c>
      <c r="AK725" s="4" t="e">
        <f ca="1">SQRT($B$9)*_xlfn.STDEV.S(AI725:OFFSET(AI725,$B$6-1,0))</f>
        <v>#DIV/0!</v>
      </c>
      <c r="AL725" s="4" t="e">
        <f ca="1">SQRT($B$9)*_xlfn.STDEV.S(AI725:OFFSET(AI725,$B$7-1,0))</f>
        <v>#DIV/0!</v>
      </c>
      <c r="AM725" s="4" t="e">
        <f ca="1">SQRT($B$9)*_xlfn.STDEV.S(AI725:OFFSET(AI725,$B$8-1,0))</f>
        <v>#DIV/0!</v>
      </c>
    </row>
    <row r="726" spans="5:39" x14ac:dyDescent="0.2">
      <c r="E726" s="42">
        <v>44386</v>
      </c>
      <c r="F726" s="43"/>
      <c r="G726" s="43"/>
      <c r="H726" s="43"/>
      <c r="I726" s="43"/>
      <c r="K726" s="3" t="e">
        <f t="shared" si="64"/>
        <v>#DIV/0!</v>
      </c>
      <c r="L726" s="3" t="e">
        <f ca="1">SQRT(AVERAGE(K726:OFFSET(K726,$B$5-1,0))*$B$9/(4*LN(2)))</f>
        <v>#DIV/0!</v>
      </c>
      <c r="M726" s="3" t="e">
        <f ca="1">SQRT(AVERAGE(K726:OFFSET(K726,$B$6-1,0))*$B$9/(4*LN(2)))</f>
        <v>#DIV/0!</v>
      </c>
      <c r="N726" s="3" t="e">
        <f ca="1">SQRT(AVERAGE(K726:OFFSET(K726,$B$7-1,0))*$B$9/(4*LN(2)))</f>
        <v>#DIV/0!</v>
      </c>
      <c r="O726" s="3" t="e">
        <f ca="1">SQRT(AVERAGE(K726:OFFSET(K726,$B$8-1,0))*$B$9/(4*LN(2)))</f>
        <v>#DIV/0!</v>
      </c>
      <c r="Q726" s="5" t="e">
        <f t="shared" si="63"/>
        <v>#DIV/0!</v>
      </c>
      <c r="R726" s="5" t="e">
        <f ca="1">SQRT($B$9*AVERAGE((Q726:OFFSET(Q726,$B$5-1,0))))</f>
        <v>#DIV/0!</v>
      </c>
      <c r="S726" s="5" t="e">
        <f ca="1">SQRT($B$9*AVERAGE((Q726:OFFSET(Q726,$B$6-1,0))))</f>
        <v>#DIV/0!</v>
      </c>
      <c r="T726" s="5" t="e">
        <f ca="1">SQRT($B$9*AVERAGE((Q726:OFFSET(Q726,$B$7-1,0))))</f>
        <v>#DIV/0!</v>
      </c>
      <c r="U726" s="5" t="e">
        <f ca="1">SQRT($B$9*AVERAGE((Q726:OFFSET(Q726,$B$8-1,0))))</f>
        <v>#DIV/0!</v>
      </c>
      <c r="W726" s="6" t="e">
        <f t="shared" si="62"/>
        <v>#DIV/0!</v>
      </c>
      <c r="X726" s="6" t="e">
        <f ca="1">SQRT($B$9*AVERAGE(W726:OFFSET(W726,$B$5-1,0)))</f>
        <v>#DIV/0!</v>
      </c>
      <c r="Y726" s="6" t="e">
        <f ca="1">SQRT($B$9*AVERAGE(W726:OFFSET(W726,$B$6-1,0)))</f>
        <v>#DIV/0!</v>
      </c>
      <c r="Z726" s="6" t="e">
        <f ca="1">SQRT($B$9*AVERAGE(W726:OFFSET(W726,$B$7-1,0)))</f>
        <v>#DIV/0!</v>
      </c>
      <c r="AA726" s="6" t="e">
        <f ca="1">SQRT($B$9*AVERAGE(W726:OFFSET(W726,$B$8-1,0)))</f>
        <v>#DIV/0!</v>
      </c>
      <c r="AC726" s="34" t="e">
        <f t="shared" si="65"/>
        <v>#DIV/0!</v>
      </c>
      <c r="AD726" s="34" t="e">
        <f ca="1">SQRT($B$9*SUM(AC726:OFFSET(AC726,$B$5-1,0))/($B$5-1))</f>
        <v>#DIV/0!</v>
      </c>
      <c r="AE726" s="34" t="e">
        <f ca="1">SQRT($B$9*SUM(AC726:OFFSET(AC726,$B$6-1,0))/($B$6-1))</f>
        <v>#DIV/0!</v>
      </c>
      <c r="AF726" s="34" t="e">
        <f ca="1">SQRT($B$9*SUM(AC726:OFFSET(AC726,$B$7-1,0))/($B$7-1))</f>
        <v>#DIV/0!</v>
      </c>
      <c r="AG726" s="34" t="e">
        <f ca="1">SQRT($B$9*SUM(AC726:OFFSET(AC726,$B$8-1,0))/($B$8-1))</f>
        <v>#DIV/0!</v>
      </c>
      <c r="AI726" s="1" t="e">
        <f t="shared" si="66"/>
        <v>#DIV/0!</v>
      </c>
      <c r="AJ726" s="4" t="e">
        <f ca="1">SQRT($B$9)*_xlfn.STDEV.S(AI726:OFFSET(AI726,$B$5-1,0))</f>
        <v>#DIV/0!</v>
      </c>
      <c r="AK726" s="4" t="e">
        <f ca="1">SQRT($B$9)*_xlfn.STDEV.S(AI726:OFFSET(AI726,$B$6-1,0))</f>
        <v>#DIV/0!</v>
      </c>
      <c r="AL726" s="4" t="e">
        <f ca="1">SQRT($B$9)*_xlfn.STDEV.S(AI726:OFFSET(AI726,$B$7-1,0))</f>
        <v>#DIV/0!</v>
      </c>
      <c r="AM726" s="4" t="e">
        <f ca="1">SQRT($B$9)*_xlfn.STDEV.S(AI726:OFFSET(AI726,$B$8-1,0))</f>
        <v>#DIV/0!</v>
      </c>
    </row>
    <row r="727" spans="5:39" x14ac:dyDescent="0.2">
      <c r="E727" s="42">
        <v>44385</v>
      </c>
      <c r="F727" s="43"/>
      <c r="G727" s="43"/>
      <c r="H727" s="43"/>
      <c r="I727" s="43"/>
      <c r="K727" s="3" t="e">
        <f t="shared" si="64"/>
        <v>#DIV/0!</v>
      </c>
      <c r="L727" s="3" t="e">
        <f ca="1">SQRT(AVERAGE(K727:OFFSET(K727,$B$5-1,0))*$B$9/(4*LN(2)))</f>
        <v>#DIV/0!</v>
      </c>
      <c r="M727" s="3" t="e">
        <f ca="1">SQRT(AVERAGE(K727:OFFSET(K727,$B$6-1,0))*$B$9/(4*LN(2)))</f>
        <v>#DIV/0!</v>
      </c>
      <c r="N727" s="3" t="e">
        <f ca="1">SQRT(AVERAGE(K727:OFFSET(K727,$B$7-1,0))*$B$9/(4*LN(2)))</f>
        <v>#DIV/0!</v>
      </c>
      <c r="O727" s="3" t="e">
        <f ca="1">SQRT(AVERAGE(K727:OFFSET(K727,$B$8-1,0))*$B$9/(4*LN(2)))</f>
        <v>#DIV/0!</v>
      </c>
      <c r="Q727" s="5" t="e">
        <f t="shared" si="63"/>
        <v>#DIV/0!</v>
      </c>
      <c r="R727" s="5" t="e">
        <f ca="1">SQRT($B$9*AVERAGE((Q727:OFFSET(Q727,$B$5-1,0))))</f>
        <v>#DIV/0!</v>
      </c>
      <c r="S727" s="5" t="e">
        <f ca="1">SQRT($B$9*AVERAGE((Q727:OFFSET(Q727,$B$6-1,0))))</f>
        <v>#DIV/0!</v>
      </c>
      <c r="T727" s="5" t="e">
        <f ca="1">SQRT($B$9*AVERAGE((Q727:OFFSET(Q727,$B$7-1,0))))</f>
        <v>#DIV/0!</v>
      </c>
      <c r="U727" s="5" t="e">
        <f ca="1">SQRT($B$9*AVERAGE((Q727:OFFSET(Q727,$B$8-1,0))))</f>
        <v>#DIV/0!</v>
      </c>
      <c r="W727" s="6" t="e">
        <f t="shared" si="62"/>
        <v>#DIV/0!</v>
      </c>
      <c r="X727" s="6" t="e">
        <f ca="1">SQRT($B$9*AVERAGE(W727:OFFSET(W727,$B$5-1,0)))</f>
        <v>#DIV/0!</v>
      </c>
      <c r="Y727" s="6" t="e">
        <f ca="1">SQRT($B$9*AVERAGE(W727:OFFSET(W727,$B$6-1,0)))</f>
        <v>#DIV/0!</v>
      </c>
      <c r="Z727" s="6" t="e">
        <f ca="1">SQRT($B$9*AVERAGE(W727:OFFSET(W727,$B$7-1,0)))</f>
        <v>#DIV/0!</v>
      </c>
      <c r="AA727" s="6" t="e">
        <f ca="1">SQRT($B$9*AVERAGE(W727:OFFSET(W727,$B$8-1,0)))</f>
        <v>#DIV/0!</v>
      </c>
      <c r="AC727" s="34" t="e">
        <f t="shared" si="65"/>
        <v>#DIV/0!</v>
      </c>
      <c r="AD727" s="34" t="e">
        <f ca="1">SQRT($B$9*SUM(AC727:OFFSET(AC727,$B$5-1,0))/($B$5-1))</f>
        <v>#DIV/0!</v>
      </c>
      <c r="AE727" s="34" t="e">
        <f ca="1">SQRT($B$9*SUM(AC727:OFFSET(AC727,$B$6-1,0))/($B$6-1))</f>
        <v>#DIV/0!</v>
      </c>
      <c r="AF727" s="34" t="e">
        <f ca="1">SQRT($B$9*SUM(AC727:OFFSET(AC727,$B$7-1,0))/($B$7-1))</f>
        <v>#DIV/0!</v>
      </c>
      <c r="AG727" s="34" t="e">
        <f ca="1">SQRT($B$9*SUM(AC727:OFFSET(AC727,$B$8-1,0))/($B$8-1))</f>
        <v>#DIV/0!</v>
      </c>
      <c r="AI727" s="1" t="e">
        <f t="shared" si="66"/>
        <v>#DIV/0!</v>
      </c>
      <c r="AJ727" s="4" t="e">
        <f ca="1">SQRT($B$9)*_xlfn.STDEV.S(AI727:OFFSET(AI727,$B$5-1,0))</f>
        <v>#DIV/0!</v>
      </c>
      <c r="AK727" s="4" t="e">
        <f ca="1">SQRT($B$9)*_xlfn.STDEV.S(AI727:OFFSET(AI727,$B$6-1,0))</f>
        <v>#DIV/0!</v>
      </c>
      <c r="AL727" s="4" t="e">
        <f ca="1">SQRT($B$9)*_xlfn.STDEV.S(AI727:OFFSET(AI727,$B$7-1,0))</f>
        <v>#DIV/0!</v>
      </c>
      <c r="AM727" s="4" t="e">
        <f ca="1">SQRT($B$9)*_xlfn.STDEV.S(AI727:OFFSET(AI727,$B$8-1,0))</f>
        <v>#DIV/0!</v>
      </c>
    </row>
    <row r="728" spans="5:39" x14ac:dyDescent="0.2">
      <c r="E728" s="42">
        <v>44384</v>
      </c>
      <c r="F728" s="43"/>
      <c r="G728" s="43"/>
      <c r="H728" s="43"/>
      <c r="I728" s="43"/>
      <c r="K728" s="3" t="e">
        <f t="shared" si="64"/>
        <v>#DIV/0!</v>
      </c>
      <c r="L728" s="3" t="e">
        <f ca="1">SQRT(AVERAGE(K728:OFFSET(K728,$B$5-1,0))*$B$9/(4*LN(2)))</f>
        <v>#DIV/0!</v>
      </c>
      <c r="M728" s="3" t="e">
        <f ca="1">SQRT(AVERAGE(K728:OFFSET(K728,$B$6-1,0))*$B$9/(4*LN(2)))</f>
        <v>#DIV/0!</v>
      </c>
      <c r="N728" s="3" t="e">
        <f ca="1">SQRT(AVERAGE(K728:OFFSET(K728,$B$7-1,0))*$B$9/(4*LN(2)))</f>
        <v>#DIV/0!</v>
      </c>
      <c r="O728" s="3" t="e">
        <f ca="1">SQRT(AVERAGE(K728:OFFSET(K728,$B$8-1,0))*$B$9/(4*LN(2)))</f>
        <v>#DIV/0!</v>
      </c>
      <c r="Q728" s="5" t="e">
        <f t="shared" si="63"/>
        <v>#DIV/0!</v>
      </c>
      <c r="R728" s="5" t="e">
        <f ca="1">SQRT($B$9*AVERAGE((Q728:OFFSET(Q728,$B$5-1,0))))</f>
        <v>#DIV/0!</v>
      </c>
      <c r="S728" s="5" t="e">
        <f ca="1">SQRT($B$9*AVERAGE((Q728:OFFSET(Q728,$B$6-1,0))))</f>
        <v>#DIV/0!</v>
      </c>
      <c r="T728" s="5" t="e">
        <f ca="1">SQRT($B$9*AVERAGE((Q728:OFFSET(Q728,$B$7-1,0))))</f>
        <v>#DIV/0!</v>
      </c>
      <c r="U728" s="5" t="e">
        <f ca="1">SQRT($B$9*AVERAGE((Q728:OFFSET(Q728,$B$8-1,0))))</f>
        <v>#DIV/0!</v>
      </c>
      <c r="W728" s="6" t="e">
        <f t="shared" si="62"/>
        <v>#DIV/0!</v>
      </c>
      <c r="X728" s="6" t="e">
        <f ca="1">SQRT($B$9*AVERAGE(W728:OFFSET(W728,$B$5-1,0)))</f>
        <v>#DIV/0!</v>
      </c>
      <c r="Y728" s="6" t="e">
        <f ca="1">SQRT($B$9*AVERAGE(W728:OFFSET(W728,$B$6-1,0)))</f>
        <v>#DIV/0!</v>
      </c>
      <c r="Z728" s="6" t="e">
        <f ca="1">SQRT($B$9*AVERAGE(W728:OFFSET(W728,$B$7-1,0)))</f>
        <v>#DIV/0!</v>
      </c>
      <c r="AA728" s="6" t="e">
        <f ca="1">SQRT($B$9*AVERAGE(W728:OFFSET(W728,$B$8-1,0)))</f>
        <v>#DIV/0!</v>
      </c>
      <c r="AC728" s="34" t="e">
        <f t="shared" si="65"/>
        <v>#DIV/0!</v>
      </c>
      <c r="AD728" s="34" t="e">
        <f ca="1">SQRT($B$9*SUM(AC728:OFFSET(AC728,$B$5-1,0))/($B$5-1))</f>
        <v>#DIV/0!</v>
      </c>
      <c r="AE728" s="34" t="e">
        <f ca="1">SQRT($B$9*SUM(AC728:OFFSET(AC728,$B$6-1,0))/($B$6-1))</f>
        <v>#DIV/0!</v>
      </c>
      <c r="AF728" s="34" t="e">
        <f ca="1">SQRT($B$9*SUM(AC728:OFFSET(AC728,$B$7-1,0))/($B$7-1))</f>
        <v>#DIV/0!</v>
      </c>
      <c r="AG728" s="34" t="e">
        <f ca="1">SQRT($B$9*SUM(AC728:OFFSET(AC728,$B$8-1,0))/($B$8-1))</f>
        <v>#DIV/0!</v>
      </c>
      <c r="AI728" s="1" t="e">
        <f t="shared" si="66"/>
        <v>#DIV/0!</v>
      </c>
      <c r="AJ728" s="4" t="e">
        <f ca="1">SQRT($B$9)*_xlfn.STDEV.S(AI728:OFFSET(AI728,$B$5-1,0))</f>
        <v>#DIV/0!</v>
      </c>
      <c r="AK728" s="4" t="e">
        <f ca="1">SQRT($B$9)*_xlfn.STDEV.S(AI728:OFFSET(AI728,$B$6-1,0))</f>
        <v>#DIV/0!</v>
      </c>
      <c r="AL728" s="4" t="e">
        <f ca="1">SQRT($B$9)*_xlfn.STDEV.S(AI728:OFFSET(AI728,$B$7-1,0))</f>
        <v>#DIV/0!</v>
      </c>
      <c r="AM728" s="4" t="e">
        <f ca="1">SQRT($B$9)*_xlfn.STDEV.S(AI728:OFFSET(AI728,$B$8-1,0))</f>
        <v>#DIV/0!</v>
      </c>
    </row>
    <row r="729" spans="5:39" x14ac:dyDescent="0.2">
      <c r="E729" s="42">
        <v>44383</v>
      </c>
      <c r="F729" s="43"/>
      <c r="G729" s="43"/>
      <c r="H729" s="43"/>
      <c r="I729" s="43"/>
      <c r="K729" s="3" t="e">
        <f t="shared" si="64"/>
        <v>#DIV/0!</v>
      </c>
      <c r="L729" s="3" t="e">
        <f ca="1">SQRT(AVERAGE(K729:OFFSET(K729,$B$5-1,0))*$B$9/(4*LN(2)))</f>
        <v>#DIV/0!</v>
      </c>
      <c r="M729" s="3" t="e">
        <f ca="1">SQRT(AVERAGE(K729:OFFSET(K729,$B$6-1,0))*$B$9/(4*LN(2)))</f>
        <v>#DIV/0!</v>
      </c>
      <c r="N729" s="3" t="e">
        <f ca="1">SQRT(AVERAGE(K729:OFFSET(K729,$B$7-1,0))*$B$9/(4*LN(2)))</f>
        <v>#DIV/0!</v>
      </c>
      <c r="O729" s="3" t="e">
        <f ca="1">SQRT(AVERAGE(K729:OFFSET(K729,$B$8-1,0))*$B$9/(4*LN(2)))</f>
        <v>#DIV/0!</v>
      </c>
      <c r="Q729" s="5" t="e">
        <f t="shared" si="63"/>
        <v>#DIV/0!</v>
      </c>
      <c r="R729" s="5" t="e">
        <f ca="1">SQRT($B$9*AVERAGE((Q729:OFFSET(Q729,$B$5-1,0))))</f>
        <v>#DIV/0!</v>
      </c>
      <c r="S729" s="5" t="e">
        <f ca="1">SQRT($B$9*AVERAGE((Q729:OFFSET(Q729,$B$6-1,0))))</f>
        <v>#DIV/0!</v>
      </c>
      <c r="T729" s="5" t="e">
        <f ca="1">SQRT($B$9*AVERAGE((Q729:OFFSET(Q729,$B$7-1,0))))</f>
        <v>#DIV/0!</v>
      </c>
      <c r="U729" s="5" t="e">
        <f ca="1">SQRT($B$9*AVERAGE((Q729:OFFSET(Q729,$B$8-1,0))))</f>
        <v>#DIV/0!</v>
      </c>
      <c r="W729" s="6" t="e">
        <f t="shared" si="62"/>
        <v>#DIV/0!</v>
      </c>
      <c r="X729" s="6" t="e">
        <f ca="1">SQRT($B$9*AVERAGE(W729:OFFSET(W729,$B$5-1,0)))</f>
        <v>#DIV/0!</v>
      </c>
      <c r="Y729" s="6" t="e">
        <f ca="1">SQRT($B$9*AVERAGE(W729:OFFSET(W729,$B$6-1,0)))</f>
        <v>#DIV/0!</v>
      </c>
      <c r="Z729" s="6" t="e">
        <f ca="1">SQRT($B$9*AVERAGE(W729:OFFSET(W729,$B$7-1,0)))</f>
        <v>#DIV/0!</v>
      </c>
      <c r="AA729" s="6" t="e">
        <f ca="1">SQRT($B$9*AVERAGE(W729:OFFSET(W729,$B$8-1,0)))</f>
        <v>#DIV/0!</v>
      </c>
      <c r="AC729" s="34" t="e">
        <f t="shared" si="65"/>
        <v>#DIV/0!</v>
      </c>
      <c r="AD729" s="34" t="e">
        <f ca="1">SQRT($B$9*SUM(AC729:OFFSET(AC729,$B$5-1,0))/($B$5-1))</f>
        <v>#DIV/0!</v>
      </c>
      <c r="AE729" s="34" t="e">
        <f ca="1">SQRT($B$9*SUM(AC729:OFFSET(AC729,$B$6-1,0))/($B$6-1))</f>
        <v>#DIV/0!</v>
      </c>
      <c r="AF729" s="34" t="e">
        <f ca="1">SQRT($B$9*SUM(AC729:OFFSET(AC729,$B$7-1,0))/($B$7-1))</f>
        <v>#DIV/0!</v>
      </c>
      <c r="AG729" s="34" t="e">
        <f ca="1">SQRT($B$9*SUM(AC729:OFFSET(AC729,$B$8-1,0))/($B$8-1))</f>
        <v>#DIV/0!</v>
      </c>
      <c r="AI729" s="1" t="e">
        <f t="shared" si="66"/>
        <v>#DIV/0!</v>
      </c>
      <c r="AJ729" s="4" t="e">
        <f ca="1">SQRT($B$9)*_xlfn.STDEV.S(AI729:OFFSET(AI729,$B$5-1,0))</f>
        <v>#DIV/0!</v>
      </c>
      <c r="AK729" s="4" t="e">
        <f ca="1">SQRT($B$9)*_xlfn.STDEV.S(AI729:OFFSET(AI729,$B$6-1,0))</f>
        <v>#DIV/0!</v>
      </c>
      <c r="AL729" s="4" t="e">
        <f ca="1">SQRT($B$9)*_xlfn.STDEV.S(AI729:OFFSET(AI729,$B$7-1,0))</f>
        <v>#DIV/0!</v>
      </c>
      <c r="AM729" s="4" t="e">
        <f ca="1">SQRT($B$9)*_xlfn.STDEV.S(AI729:OFFSET(AI729,$B$8-1,0))</f>
        <v>#DIV/0!</v>
      </c>
    </row>
    <row r="730" spans="5:39" x14ac:dyDescent="0.2">
      <c r="E730" s="42">
        <v>44382</v>
      </c>
      <c r="F730" s="43"/>
      <c r="G730" s="43"/>
      <c r="H730" s="43"/>
      <c r="I730" s="43"/>
      <c r="K730" s="3" t="e">
        <f t="shared" si="64"/>
        <v>#DIV/0!</v>
      </c>
      <c r="L730" s="3" t="e">
        <f ca="1">SQRT(AVERAGE(K730:OFFSET(K730,$B$5-1,0))*$B$9/(4*LN(2)))</f>
        <v>#DIV/0!</v>
      </c>
      <c r="M730" s="3" t="e">
        <f ca="1">SQRT(AVERAGE(K730:OFFSET(K730,$B$6-1,0))*$B$9/(4*LN(2)))</f>
        <v>#DIV/0!</v>
      </c>
      <c r="N730" s="3" t="e">
        <f ca="1">SQRT(AVERAGE(K730:OFFSET(K730,$B$7-1,0))*$B$9/(4*LN(2)))</f>
        <v>#DIV/0!</v>
      </c>
      <c r="O730" s="3" t="e">
        <f ca="1">SQRT(AVERAGE(K730:OFFSET(K730,$B$8-1,0))*$B$9/(4*LN(2)))</f>
        <v>#DIV/0!</v>
      </c>
      <c r="Q730" s="5" t="e">
        <f t="shared" si="63"/>
        <v>#DIV/0!</v>
      </c>
      <c r="R730" s="5" t="e">
        <f ca="1">SQRT($B$9*AVERAGE((Q730:OFFSET(Q730,$B$5-1,0))))</f>
        <v>#DIV/0!</v>
      </c>
      <c r="S730" s="5" t="e">
        <f ca="1">SQRT($B$9*AVERAGE((Q730:OFFSET(Q730,$B$6-1,0))))</f>
        <v>#DIV/0!</v>
      </c>
      <c r="T730" s="5" t="e">
        <f ca="1">SQRT($B$9*AVERAGE((Q730:OFFSET(Q730,$B$7-1,0))))</f>
        <v>#DIV/0!</v>
      </c>
      <c r="U730" s="5" t="e">
        <f ca="1">SQRT($B$9*AVERAGE((Q730:OFFSET(Q730,$B$8-1,0))))</f>
        <v>#DIV/0!</v>
      </c>
      <c r="W730" s="6" t="e">
        <f t="shared" si="62"/>
        <v>#DIV/0!</v>
      </c>
      <c r="X730" s="6" t="e">
        <f ca="1">SQRT($B$9*AVERAGE(W730:OFFSET(W730,$B$5-1,0)))</f>
        <v>#DIV/0!</v>
      </c>
      <c r="Y730" s="6" t="e">
        <f ca="1">SQRT($B$9*AVERAGE(W730:OFFSET(W730,$B$6-1,0)))</f>
        <v>#DIV/0!</v>
      </c>
      <c r="Z730" s="6" t="e">
        <f ca="1">SQRT($B$9*AVERAGE(W730:OFFSET(W730,$B$7-1,0)))</f>
        <v>#DIV/0!</v>
      </c>
      <c r="AA730" s="6" t="e">
        <f ca="1">SQRT($B$9*AVERAGE(W730:OFFSET(W730,$B$8-1,0)))</f>
        <v>#DIV/0!</v>
      </c>
      <c r="AC730" s="34" t="e">
        <f t="shared" si="65"/>
        <v>#DIV/0!</v>
      </c>
      <c r="AD730" s="34" t="e">
        <f ca="1">SQRT($B$9*SUM(AC730:OFFSET(AC730,$B$5-1,0))/($B$5-1))</f>
        <v>#DIV/0!</v>
      </c>
      <c r="AE730" s="34" t="e">
        <f ca="1">SQRT($B$9*SUM(AC730:OFFSET(AC730,$B$6-1,0))/($B$6-1))</f>
        <v>#DIV/0!</v>
      </c>
      <c r="AF730" s="34" t="e">
        <f ca="1">SQRT($B$9*SUM(AC730:OFFSET(AC730,$B$7-1,0))/($B$7-1))</f>
        <v>#DIV/0!</v>
      </c>
      <c r="AG730" s="34" t="e">
        <f ca="1">SQRT($B$9*SUM(AC730:OFFSET(AC730,$B$8-1,0))/($B$8-1))</f>
        <v>#DIV/0!</v>
      </c>
      <c r="AI730" s="1" t="e">
        <f t="shared" si="66"/>
        <v>#DIV/0!</v>
      </c>
      <c r="AJ730" s="4" t="e">
        <f ca="1">SQRT($B$9)*_xlfn.STDEV.S(AI730:OFFSET(AI730,$B$5-1,0))</f>
        <v>#DIV/0!</v>
      </c>
      <c r="AK730" s="4" t="e">
        <f ca="1">SQRT($B$9)*_xlfn.STDEV.S(AI730:OFFSET(AI730,$B$6-1,0))</f>
        <v>#DIV/0!</v>
      </c>
      <c r="AL730" s="4" t="e">
        <f ca="1">SQRT($B$9)*_xlfn.STDEV.S(AI730:OFFSET(AI730,$B$7-1,0))</f>
        <v>#DIV/0!</v>
      </c>
      <c r="AM730" s="4" t="e">
        <f ca="1">SQRT($B$9)*_xlfn.STDEV.S(AI730:OFFSET(AI730,$B$8-1,0))</f>
        <v>#DIV/0!</v>
      </c>
    </row>
    <row r="731" spans="5:39" x14ac:dyDescent="0.2">
      <c r="E731" s="42">
        <v>44379</v>
      </c>
      <c r="F731" s="43"/>
      <c r="G731" s="43"/>
      <c r="H731" s="43"/>
      <c r="I731" s="43"/>
      <c r="K731" s="3" t="e">
        <f t="shared" si="64"/>
        <v>#DIV/0!</v>
      </c>
      <c r="L731" s="3" t="e">
        <f ca="1">SQRT(AVERAGE(K731:OFFSET(K731,$B$5-1,0))*$B$9/(4*LN(2)))</f>
        <v>#DIV/0!</v>
      </c>
      <c r="M731" s="3" t="e">
        <f ca="1">SQRT(AVERAGE(K731:OFFSET(K731,$B$6-1,0))*$B$9/(4*LN(2)))</f>
        <v>#DIV/0!</v>
      </c>
      <c r="N731" s="3" t="e">
        <f ca="1">SQRT(AVERAGE(K731:OFFSET(K731,$B$7-1,0))*$B$9/(4*LN(2)))</f>
        <v>#DIV/0!</v>
      </c>
      <c r="O731" s="3" t="e">
        <f ca="1">SQRT(AVERAGE(K731:OFFSET(K731,$B$8-1,0))*$B$9/(4*LN(2)))</f>
        <v>#DIV/0!</v>
      </c>
      <c r="Q731" s="5" t="e">
        <f t="shared" si="63"/>
        <v>#DIV/0!</v>
      </c>
      <c r="R731" s="5" t="e">
        <f ca="1">SQRT($B$9*AVERAGE((Q731:OFFSET(Q731,$B$5-1,0))))</f>
        <v>#DIV/0!</v>
      </c>
      <c r="S731" s="5" t="e">
        <f ca="1">SQRT($B$9*AVERAGE((Q731:OFFSET(Q731,$B$6-1,0))))</f>
        <v>#DIV/0!</v>
      </c>
      <c r="T731" s="5" t="e">
        <f ca="1">SQRT($B$9*AVERAGE((Q731:OFFSET(Q731,$B$7-1,0))))</f>
        <v>#DIV/0!</v>
      </c>
      <c r="U731" s="5" t="e">
        <f ca="1">SQRT($B$9*AVERAGE((Q731:OFFSET(Q731,$B$8-1,0))))</f>
        <v>#DIV/0!</v>
      </c>
      <c r="W731" s="6" t="e">
        <f t="shared" si="62"/>
        <v>#DIV/0!</v>
      </c>
      <c r="X731" s="6" t="e">
        <f ca="1">SQRT($B$9*AVERAGE(W731:OFFSET(W731,$B$5-1,0)))</f>
        <v>#DIV/0!</v>
      </c>
      <c r="Y731" s="6" t="e">
        <f ca="1">SQRT($B$9*AVERAGE(W731:OFFSET(W731,$B$6-1,0)))</f>
        <v>#DIV/0!</v>
      </c>
      <c r="Z731" s="6" t="e">
        <f ca="1">SQRT($B$9*AVERAGE(W731:OFFSET(W731,$B$7-1,0)))</f>
        <v>#DIV/0!</v>
      </c>
      <c r="AA731" s="6" t="e">
        <f ca="1">SQRT($B$9*AVERAGE(W731:OFFSET(W731,$B$8-1,0)))</f>
        <v>#DIV/0!</v>
      </c>
      <c r="AC731" s="34" t="e">
        <f t="shared" si="65"/>
        <v>#DIV/0!</v>
      </c>
      <c r="AD731" s="34" t="e">
        <f ca="1">SQRT($B$9*SUM(AC731:OFFSET(AC731,$B$5-1,0))/($B$5-1))</f>
        <v>#DIV/0!</v>
      </c>
      <c r="AE731" s="34" t="e">
        <f ca="1">SQRT($B$9*SUM(AC731:OFFSET(AC731,$B$6-1,0))/($B$6-1))</f>
        <v>#DIV/0!</v>
      </c>
      <c r="AF731" s="34" t="e">
        <f ca="1">SQRT($B$9*SUM(AC731:OFFSET(AC731,$B$7-1,0))/($B$7-1))</f>
        <v>#DIV/0!</v>
      </c>
      <c r="AG731" s="34" t="e">
        <f ca="1">SQRT($B$9*SUM(AC731:OFFSET(AC731,$B$8-1,0))/($B$8-1))</f>
        <v>#DIV/0!</v>
      </c>
      <c r="AI731" s="1" t="e">
        <f t="shared" si="66"/>
        <v>#DIV/0!</v>
      </c>
      <c r="AJ731" s="4" t="e">
        <f ca="1">SQRT($B$9)*_xlfn.STDEV.S(AI731:OFFSET(AI731,$B$5-1,0))</f>
        <v>#DIV/0!</v>
      </c>
      <c r="AK731" s="4" t="e">
        <f ca="1">SQRT($B$9)*_xlfn.STDEV.S(AI731:OFFSET(AI731,$B$6-1,0))</f>
        <v>#DIV/0!</v>
      </c>
      <c r="AL731" s="4" t="e">
        <f ca="1">SQRT($B$9)*_xlfn.STDEV.S(AI731:OFFSET(AI731,$B$7-1,0))</f>
        <v>#DIV/0!</v>
      </c>
      <c r="AM731" s="4" t="e">
        <f ca="1">SQRT($B$9)*_xlfn.STDEV.S(AI731:OFFSET(AI731,$B$8-1,0))</f>
        <v>#DIV/0!</v>
      </c>
    </row>
    <row r="732" spans="5:39" x14ac:dyDescent="0.2">
      <c r="E732" s="42">
        <v>44378</v>
      </c>
      <c r="F732" s="43"/>
      <c r="G732" s="43"/>
      <c r="H732" s="43"/>
      <c r="I732" s="43"/>
      <c r="K732" s="3" t="e">
        <f t="shared" si="64"/>
        <v>#DIV/0!</v>
      </c>
      <c r="L732" s="3" t="e">
        <f ca="1">SQRT(AVERAGE(K732:OFFSET(K732,$B$5-1,0))*$B$9/(4*LN(2)))</f>
        <v>#DIV/0!</v>
      </c>
      <c r="M732" s="3" t="e">
        <f ca="1">SQRT(AVERAGE(K732:OFFSET(K732,$B$6-1,0))*$B$9/(4*LN(2)))</f>
        <v>#DIV/0!</v>
      </c>
      <c r="N732" s="3" t="e">
        <f ca="1">SQRT(AVERAGE(K732:OFFSET(K732,$B$7-1,0))*$B$9/(4*LN(2)))</f>
        <v>#DIV/0!</v>
      </c>
      <c r="O732" s="3" t="e">
        <f ca="1">SQRT(AVERAGE(K732:OFFSET(K732,$B$8-1,0))*$B$9/(4*LN(2)))</f>
        <v>#DIV/0!</v>
      </c>
      <c r="Q732" s="5" t="e">
        <f t="shared" si="63"/>
        <v>#DIV/0!</v>
      </c>
      <c r="R732" s="5" t="e">
        <f ca="1">SQRT($B$9*AVERAGE((Q732:OFFSET(Q732,$B$5-1,0))))</f>
        <v>#DIV/0!</v>
      </c>
      <c r="S732" s="5" t="e">
        <f ca="1">SQRT($B$9*AVERAGE((Q732:OFFSET(Q732,$B$6-1,0))))</f>
        <v>#DIV/0!</v>
      </c>
      <c r="T732" s="5" t="e">
        <f ca="1">SQRT($B$9*AVERAGE((Q732:OFFSET(Q732,$B$7-1,0))))</f>
        <v>#DIV/0!</v>
      </c>
      <c r="U732" s="5" t="e">
        <f ca="1">SQRT($B$9*AVERAGE((Q732:OFFSET(Q732,$B$8-1,0))))</f>
        <v>#DIV/0!</v>
      </c>
      <c r="W732" s="6" t="e">
        <f t="shared" si="62"/>
        <v>#DIV/0!</v>
      </c>
      <c r="X732" s="6" t="e">
        <f ca="1">SQRT($B$9*AVERAGE(W732:OFFSET(W732,$B$5-1,0)))</f>
        <v>#DIV/0!</v>
      </c>
      <c r="Y732" s="6" t="e">
        <f ca="1">SQRT($B$9*AVERAGE(W732:OFFSET(W732,$B$6-1,0)))</f>
        <v>#DIV/0!</v>
      </c>
      <c r="Z732" s="6" t="e">
        <f ca="1">SQRT($B$9*AVERAGE(W732:OFFSET(W732,$B$7-1,0)))</f>
        <v>#DIV/0!</v>
      </c>
      <c r="AA732" s="6" t="e">
        <f ca="1">SQRT($B$9*AVERAGE(W732:OFFSET(W732,$B$8-1,0)))</f>
        <v>#DIV/0!</v>
      </c>
      <c r="AC732" s="34" t="e">
        <f t="shared" si="65"/>
        <v>#DIV/0!</v>
      </c>
      <c r="AD732" s="34" t="e">
        <f ca="1">SQRT($B$9*SUM(AC732:OFFSET(AC732,$B$5-1,0))/($B$5-1))</f>
        <v>#DIV/0!</v>
      </c>
      <c r="AE732" s="34" t="e">
        <f ca="1">SQRT($B$9*SUM(AC732:OFFSET(AC732,$B$6-1,0))/($B$6-1))</f>
        <v>#DIV/0!</v>
      </c>
      <c r="AF732" s="34" t="e">
        <f ca="1">SQRT($B$9*SUM(AC732:OFFSET(AC732,$B$7-1,0))/($B$7-1))</f>
        <v>#DIV/0!</v>
      </c>
      <c r="AG732" s="34" t="e">
        <f ca="1">SQRT($B$9*SUM(AC732:OFFSET(AC732,$B$8-1,0))/($B$8-1))</f>
        <v>#DIV/0!</v>
      </c>
      <c r="AI732" s="1" t="e">
        <f t="shared" si="66"/>
        <v>#DIV/0!</v>
      </c>
      <c r="AJ732" s="4" t="e">
        <f ca="1">SQRT($B$9)*_xlfn.STDEV.S(AI732:OFFSET(AI732,$B$5-1,0))</f>
        <v>#DIV/0!</v>
      </c>
      <c r="AK732" s="4" t="e">
        <f ca="1">SQRT($B$9)*_xlfn.STDEV.S(AI732:OFFSET(AI732,$B$6-1,0))</f>
        <v>#DIV/0!</v>
      </c>
      <c r="AL732" s="4" t="e">
        <f ca="1">SQRT($B$9)*_xlfn.STDEV.S(AI732:OFFSET(AI732,$B$7-1,0))</f>
        <v>#DIV/0!</v>
      </c>
      <c r="AM732" s="4" t="e">
        <f ca="1">SQRT($B$9)*_xlfn.STDEV.S(AI732:OFFSET(AI732,$B$8-1,0))</f>
        <v>#DIV/0!</v>
      </c>
    </row>
    <row r="733" spans="5:39" x14ac:dyDescent="0.2">
      <c r="E733" s="42">
        <v>44377</v>
      </c>
      <c r="F733" s="43"/>
      <c r="G733" s="43"/>
      <c r="H733" s="43"/>
      <c r="I733" s="43"/>
      <c r="K733" s="3" t="e">
        <f t="shared" si="64"/>
        <v>#DIV/0!</v>
      </c>
      <c r="L733" s="3" t="e">
        <f ca="1">SQRT(AVERAGE(K733:OFFSET(K733,$B$5-1,0))*$B$9/(4*LN(2)))</f>
        <v>#DIV/0!</v>
      </c>
      <c r="M733" s="3" t="e">
        <f ca="1">SQRT(AVERAGE(K733:OFFSET(K733,$B$6-1,0))*$B$9/(4*LN(2)))</f>
        <v>#DIV/0!</v>
      </c>
      <c r="N733" s="3" t="e">
        <f ca="1">SQRT(AVERAGE(K733:OFFSET(K733,$B$7-1,0))*$B$9/(4*LN(2)))</f>
        <v>#DIV/0!</v>
      </c>
      <c r="O733" s="3" t="e">
        <f ca="1">SQRT(AVERAGE(K733:OFFSET(K733,$B$8-1,0))*$B$9/(4*LN(2)))</f>
        <v>#DIV/0!</v>
      </c>
      <c r="Q733" s="5" t="e">
        <f t="shared" si="63"/>
        <v>#DIV/0!</v>
      </c>
      <c r="R733" s="5" t="e">
        <f ca="1">SQRT($B$9*AVERAGE((Q733:OFFSET(Q733,$B$5-1,0))))</f>
        <v>#DIV/0!</v>
      </c>
      <c r="S733" s="5" t="e">
        <f ca="1">SQRT($B$9*AVERAGE((Q733:OFFSET(Q733,$B$6-1,0))))</f>
        <v>#DIV/0!</v>
      </c>
      <c r="T733" s="5" t="e">
        <f ca="1">SQRT($B$9*AVERAGE((Q733:OFFSET(Q733,$B$7-1,0))))</f>
        <v>#DIV/0!</v>
      </c>
      <c r="U733" s="5" t="e">
        <f ca="1">SQRT($B$9*AVERAGE((Q733:OFFSET(Q733,$B$8-1,0))))</f>
        <v>#DIV/0!</v>
      </c>
      <c r="W733" s="6" t="e">
        <f t="shared" si="62"/>
        <v>#DIV/0!</v>
      </c>
      <c r="X733" s="6" t="e">
        <f ca="1">SQRT($B$9*AVERAGE(W733:OFFSET(W733,$B$5-1,0)))</f>
        <v>#DIV/0!</v>
      </c>
      <c r="Y733" s="6" t="e">
        <f ca="1">SQRT($B$9*AVERAGE(W733:OFFSET(W733,$B$6-1,0)))</f>
        <v>#DIV/0!</v>
      </c>
      <c r="Z733" s="6" t="e">
        <f ca="1">SQRT($B$9*AVERAGE(W733:OFFSET(W733,$B$7-1,0)))</f>
        <v>#DIV/0!</v>
      </c>
      <c r="AA733" s="6" t="e">
        <f ca="1">SQRT($B$9*AVERAGE(W733:OFFSET(W733,$B$8-1,0)))</f>
        <v>#DIV/0!</v>
      </c>
      <c r="AC733" s="34" t="e">
        <f t="shared" si="65"/>
        <v>#DIV/0!</v>
      </c>
      <c r="AD733" s="34" t="e">
        <f ca="1">SQRT($B$9*SUM(AC733:OFFSET(AC733,$B$5-1,0))/($B$5-1))</f>
        <v>#DIV/0!</v>
      </c>
      <c r="AE733" s="34" t="e">
        <f ca="1">SQRT($B$9*SUM(AC733:OFFSET(AC733,$B$6-1,0))/($B$6-1))</f>
        <v>#DIV/0!</v>
      </c>
      <c r="AF733" s="34" t="e">
        <f ca="1">SQRT($B$9*SUM(AC733:OFFSET(AC733,$B$7-1,0))/($B$7-1))</f>
        <v>#DIV/0!</v>
      </c>
      <c r="AG733" s="34" t="e">
        <f ca="1">SQRT($B$9*SUM(AC733:OFFSET(AC733,$B$8-1,0))/($B$8-1))</f>
        <v>#DIV/0!</v>
      </c>
      <c r="AI733" s="1" t="e">
        <f t="shared" si="66"/>
        <v>#DIV/0!</v>
      </c>
      <c r="AJ733" s="4" t="e">
        <f ca="1">SQRT($B$9)*_xlfn.STDEV.S(AI733:OFFSET(AI733,$B$5-1,0))</f>
        <v>#DIV/0!</v>
      </c>
      <c r="AK733" s="4" t="e">
        <f ca="1">SQRT($B$9)*_xlfn.STDEV.S(AI733:OFFSET(AI733,$B$6-1,0))</f>
        <v>#DIV/0!</v>
      </c>
      <c r="AL733" s="4" t="e">
        <f ca="1">SQRT($B$9)*_xlfn.STDEV.S(AI733:OFFSET(AI733,$B$7-1,0))</f>
        <v>#DIV/0!</v>
      </c>
      <c r="AM733" s="4" t="e">
        <f ca="1">SQRT($B$9)*_xlfn.STDEV.S(AI733:OFFSET(AI733,$B$8-1,0))</f>
        <v>#DIV/0!</v>
      </c>
    </row>
    <row r="734" spans="5:39" x14ac:dyDescent="0.2">
      <c r="E734" s="42">
        <v>44376</v>
      </c>
      <c r="F734" s="43"/>
      <c r="G734" s="43"/>
      <c r="H734" s="43"/>
      <c r="I734" s="43"/>
      <c r="K734" s="3" t="e">
        <f t="shared" si="64"/>
        <v>#DIV/0!</v>
      </c>
      <c r="L734" s="3" t="e">
        <f ca="1">SQRT(AVERAGE(K734:OFFSET(K734,$B$5-1,0))*$B$9/(4*LN(2)))</f>
        <v>#DIV/0!</v>
      </c>
      <c r="M734" s="3" t="e">
        <f ca="1">SQRT(AVERAGE(K734:OFFSET(K734,$B$6-1,0))*$B$9/(4*LN(2)))</f>
        <v>#DIV/0!</v>
      </c>
      <c r="N734" s="3" t="e">
        <f ca="1">SQRT(AVERAGE(K734:OFFSET(K734,$B$7-1,0))*$B$9/(4*LN(2)))</f>
        <v>#DIV/0!</v>
      </c>
      <c r="O734" s="3" t="e">
        <f ca="1">SQRT(AVERAGE(K734:OFFSET(K734,$B$8-1,0))*$B$9/(4*LN(2)))</f>
        <v>#DIV/0!</v>
      </c>
      <c r="Q734" s="5" t="e">
        <f t="shared" si="63"/>
        <v>#DIV/0!</v>
      </c>
      <c r="R734" s="5" t="e">
        <f ca="1">SQRT($B$9*AVERAGE((Q734:OFFSET(Q734,$B$5-1,0))))</f>
        <v>#DIV/0!</v>
      </c>
      <c r="S734" s="5" t="e">
        <f ca="1">SQRT($B$9*AVERAGE((Q734:OFFSET(Q734,$B$6-1,0))))</f>
        <v>#DIV/0!</v>
      </c>
      <c r="T734" s="5" t="e">
        <f ca="1">SQRT($B$9*AVERAGE((Q734:OFFSET(Q734,$B$7-1,0))))</f>
        <v>#DIV/0!</v>
      </c>
      <c r="U734" s="5" t="e">
        <f ca="1">SQRT($B$9*AVERAGE((Q734:OFFSET(Q734,$B$8-1,0))))</f>
        <v>#DIV/0!</v>
      </c>
      <c r="W734" s="6" t="e">
        <f t="shared" si="62"/>
        <v>#DIV/0!</v>
      </c>
      <c r="X734" s="6" t="e">
        <f ca="1">SQRT($B$9*AVERAGE(W734:OFFSET(W734,$B$5-1,0)))</f>
        <v>#DIV/0!</v>
      </c>
      <c r="Y734" s="6" t="e">
        <f ca="1">SQRT($B$9*AVERAGE(W734:OFFSET(W734,$B$6-1,0)))</f>
        <v>#DIV/0!</v>
      </c>
      <c r="Z734" s="6" t="e">
        <f ca="1">SQRT($B$9*AVERAGE(W734:OFFSET(W734,$B$7-1,0)))</f>
        <v>#DIV/0!</v>
      </c>
      <c r="AA734" s="6" t="e">
        <f ca="1">SQRT($B$9*AVERAGE(W734:OFFSET(W734,$B$8-1,0)))</f>
        <v>#DIV/0!</v>
      </c>
      <c r="AC734" s="34" t="e">
        <f t="shared" si="65"/>
        <v>#DIV/0!</v>
      </c>
      <c r="AD734" s="34" t="e">
        <f ca="1">SQRT($B$9*SUM(AC734:OFFSET(AC734,$B$5-1,0))/($B$5-1))</f>
        <v>#DIV/0!</v>
      </c>
      <c r="AE734" s="34" t="e">
        <f ca="1">SQRT($B$9*SUM(AC734:OFFSET(AC734,$B$6-1,0))/($B$6-1))</f>
        <v>#DIV/0!</v>
      </c>
      <c r="AF734" s="34" t="e">
        <f ca="1">SQRT($B$9*SUM(AC734:OFFSET(AC734,$B$7-1,0))/($B$7-1))</f>
        <v>#DIV/0!</v>
      </c>
      <c r="AG734" s="34" t="e">
        <f ca="1">SQRT($B$9*SUM(AC734:OFFSET(AC734,$B$8-1,0))/($B$8-1))</f>
        <v>#DIV/0!</v>
      </c>
      <c r="AI734" s="1" t="e">
        <f t="shared" si="66"/>
        <v>#DIV/0!</v>
      </c>
      <c r="AJ734" s="4" t="e">
        <f ca="1">SQRT($B$9)*_xlfn.STDEV.S(AI734:OFFSET(AI734,$B$5-1,0))</f>
        <v>#DIV/0!</v>
      </c>
      <c r="AK734" s="4" t="e">
        <f ca="1">SQRT($B$9)*_xlfn.STDEV.S(AI734:OFFSET(AI734,$B$6-1,0))</f>
        <v>#DIV/0!</v>
      </c>
      <c r="AL734" s="4" t="e">
        <f ca="1">SQRT($B$9)*_xlfn.STDEV.S(AI734:OFFSET(AI734,$B$7-1,0))</f>
        <v>#DIV/0!</v>
      </c>
      <c r="AM734" s="4" t="e">
        <f ca="1">SQRT($B$9)*_xlfn.STDEV.S(AI734:OFFSET(AI734,$B$8-1,0))</f>
        <v>#DIV/0!</v>
      </c>
    </row>
    <row r="735" spans="5:39" x14ac:dyDescent="0.2">
      <c r="E735" s="42">
        <v>44375</v>
      </c>
      <c r="F735" s="43"/>
      <c r="G735" s="43"/>
      <c r="H735" s="43"/>
      <c r="I735" s="43"/>
      <c r="K735" s="3" t="e">
        <f t="shared" si="64"/>
        <v>#DIV/0!</v>
      </c>
      <c r="L735" s="3" t="e">
        <f ca="1">SQRT(AVERAGE(K735:OFFSET(K735,$B$5-1,0))*$B$9/(4*LN(2)))</f>
        <v>#DIV/0!</v>
      </c>
      <c r="M735" s="3" t="e">
        <f ca="1">SQRT(AVERAGE(K735:OFFSET(K735,$B$6-1,0))*$B$9/(4*LN(2)))</f>
        <v>#DIV/0!</v>
      </c>
      <c r="N735" s="3" t="e">
        <f ca="1">SQRT(AVERAGE(K735:OFFSET(K735,$B$7-1,0))*$B$9/(4*LN(2)))</f>
        <v>#DIV/0!</v>
      </c>
      <c r="O735" s="3" t="e">
        <f ca="1">SQRT(AVERAGE(K735:OFFSET(K735,$B$8-1,0))*$B$9/(4*LN(2)))</f>
        <v>#DIV/0!</v>
      </c>
      <c r="Q735" s="5" t="e">
        <f t="shared" si="63"/>
        <v>#DIV/0!</v>
      </c>
      <c r="R735" s="5" t="e">
        <f ca="1">SQRT($B$9*AVERAGE((Q735:OFFSET(Q735,$B$5-1,0))))</f>
        <v>#DIV/0!</v>
      </c>
      <c r="S735" s="5" t="e">
        <f ca="1">SQRT($B$9*AVERAGE((Q735:OFFSET(Q735,$B$6-1,0))))</f>
        <v>#DIV/0!</v>
      </c>
      <c r="T735" s="5" t="e">
        <f ca="1">SQRT($B$9*AVERAGE((Q735:OFFSET(Q735,$B$7-1,0))))</f>
        <v>#DIV/0!</v>
      </c>
      <c r="U735" s="5" t="e">
        <f ca="1">SQRT($B$9*AVERAGE((Q735:OFFSET(Q735,$B$8-1,0))))</f>
        <v>#DIV/0!</v>
      </c>
      <c r="W735" s="6" t="e">
        <f t="shared" si="62"/>
        <v>#DIV/0!</v>
      </c>
      <c r="X735" s="6" t="e">
        <f ca="1">SQRT($B$9*AVERAGE(W735:OFFSET(W735,$B$5-1,0)))</f>
        <v>#DIV/0!</v>
      </c>
      <c r="Y735" s="6" t="e">
        <f ca="1">SQRT($B$9*AVERAGE(W735:OFFSET(W735,$B$6-1,0)))</f>
        <v>#DIV/0!</v>
      </c>
      <c r="Z735" s="6" t="e">
        <f ca="1">SQRT($B$9*AVERAGE(W735:OFFSET(W735,$B$7-1,0)))</f>
        <v>#DIV/0!</v>
      </c>
      <c r="AA735" s="6" t="e">
        <f ca="1">SQRT($B$9*AVERAGE(W735:OFFSET(W735,$B$8-1,0)))</f>
        <v>#DIV/0!</v>
      </c>
      <c r="AC735" s="34" t="e">
        <f t="shared" si="65"/>
        <v>#DIV/0!</v>
      </c>
      <c r="AD735" s="34" t="e">
        <f ca="1">SQRT($B$9*SUM(AC735:OFFSET(AC735,$B$5-1,0))/($B$5-1))</f>
        <v>#DIV/0!</v>
      </c>
      <c r="AE735" s="34" t="e">
        <f ca="1">SQRT($B$9*SUM(AC735:OFFSET(AC735,$B$6-1,0))/($B$6-1))</f>
        <v>#DIV/0!</v>
      </c>
      <c r="AF735" s="34" t="e">
        <f ca="1">SQRT($B$9*SUM(AC735:OFFSET(AC735,$B$7-1,0))/($B$7-1))</f>
        <v>#DIV/0!</v>
      </c>
      <c r="AG735" s="34" t="e">
        <f ca="1">SQRT($B$9*SUM(AC735:OFFSET(AC735,$B$8-1,0))/($B$8-1))</f>
        <v>#DIV/0!</v>
      </c>
      <c r="AI735" s="1" t="e">
        <f t="shared" si="66"/>
        <v>#DIV/0!</v>
      </c>
      <c r="AJ735" s="4" t="e">
        <f ca="1">SQRT($B$9)*_xlfn.STDEV.S(AI735:OFFSET(AI735,$B$5-1,0))</f>
        <v>#DIV/0!</v>
      </c>
      <c r="AK735" s="4" t="e">
        <f ca="1">SQRT($B$9)*_xlfn.STDEV.S(AI735:OFFSET(AI735,$B$6-1,0))</f>
        <v>#DIV/0!</v>
      </c>
      <c r="AL735" s="4" t="e">
        <f ca="1">SQRT($B$9)*_xlfn.STDEV.S(AI735:OFFSET(AI735,$B$7-1,0))</f>
        <v>#DIV/0!</v>
      </c>
      <c r="AM735" s="4" t="e">
        <f ca="1">SQRT($B$9)*_xlfn.STDEV.S(AI735:OFFSET(AI735,$B$8-1,0))</f>
        <v>#DIV/0!</v>
      </c>
    </row>
    <row r="736" spans="5:39" x14ac:dyDescent="0.2">
      <c r="E736" s="42">
        <v>44372</v>
      </c>
      <c r="F736" s="43"/>
      <c r="G736" s="43"/>
      <c r="H736" s="43"/>
      <c r="I736" s="43"/>
      <c r="K736" s="3" t="e">
        <f t="shared" si="64"/>
        <v>#DIV/0!</v>
      </c>
      <c r="L736" s="3" t="e">
        <f ca="1">SQRT(AVERAGE(K736:OFFSET(K736,$B$5-1,0))*$B$9/(4*LN(2)))</f>
        <v>#DIV/0!</v>
      </c>
      <c r="M736" s="3" t="e">
        <f ca="1">SQRT(AVERAGE(K736:OFFSET(K736,$B$6-1,0))*$B$9/(4*LN(2)))</f>
        <v>#DIV/0!</v>
      </c>
      <c r="N736" s="3" t="e">
        <f ca="1">SQRT(AVERAGE(K736:OFFSET(K736,$B$7-1,0))*$B$9/(4*LN(2)))</f>
        <v>#DIV/0!</v>
      </c>
      <c r="O736" s="3" t="e">
        <f ca="1">SQRT(AVERAGE(K736:OFFSET(K736,$B$8-1,0))*$B$9/(4*LN(2)))</f>
        <v>#DIV/0!</v>
      </c>
      <c r="Q736" s="5" t="e">
        <f t="shared" si="63"/>
        <v>#DIV/0!</v>
      </c>
      <c r="R736" s="5" t="e">
        <f ca="1">SQRT($B$9*AVERAGE((Q736:OFFSET(Q736,$B$5-1,0))))</f>
        <v>#DIV/0!</v>
      </c>
      <c r="S736" s="5" t="e">
        <f ca="1">SQRT($B$9*AVERAGE((Q736:OFFSET(Q736,$B$6-1,0))))</f>
        <v>#DIV/0!</v>
      </c>
      <c r="T736" s="5" t="e">
        <f ca="1">SQRT($B$9*AVERAGE((Q736:OFFSET(Q736,$B$7-1,0))))</f>
        <v>#DIV/0!</v>
      </c>
      <c r="U736" s="5" t="e">
        <f ca="1">SQRT($B$9*AVERAGE((Q736:OFFSET(Q736,$B$8-1,0))))</f>
        <v>#DIV/0!</v>
      </c>
      <c r="W736" s="6" t="e">
        <f t="shared" si="62"/>
        <v>#DIV/0!</v>
      </c>
      <c r="X736" s="6" t="e">
        <f ca="1">SQRT($B$9*AVERAGE(W736:OFFSET(W736,$B$5-1,0)))</f>
        <v>#DIV/0!</v>
      </c>
      <c r="Y736" s="6" t="e">
        <f ca="1">SQRT($B$9*AVERAGE(W736:OFFSET(W736,$B$6-1,0)))</f>
        <v>#DIV/0!</v>
      </c>
      <c r="Z736" s="6" t="e">
        <f ca="1">SQRT($B$9*AVERAGE(W736:OFFSET(W736,$B$7-1,0)))</f>
        <v>#DIV/0!</v>
      </c>
      <c r="AA736" s="6" t="e">
        <f ca="1">SQRT($B$9*AVERAGE(W736:OFFSET(W736,$B$8-1,0)))</f>
        <v>#DIV/0!</v>
      </c>
      <c r="AC736" s="34" t="e">
        <f t="shared" si="65"/>
        <v>#DIV/0!</v>
      </c>
      <c r="AD736" s="34" t="e">
        <f ca="1">SQRT($B$9*SUM(AC736:OFFSET(AC736,$B$5-1,0))/($B$5-1))</f>
        <v>#DIV/0!</v>
      </c>
      <c r="AE736" s="34" t="e">
        <f ca="1">SQRT($B$9*SUM(AC736:OFFSET(AC736,$B$6-1,0))/($B$6-1))</f>
        <v>#DIV/0!</v>
      </c>
      <c r="AF736" s="34" t="e">
        <f ca="1">SQRT($B$9*SUM(AC736:OFFSET(AC736,$B$7-1,0))/($B$7-1))</f>
        <v>#DIV/0!</v>
      </c>
      <c r="AG736" s="34" t="e">
        <f ca="1">SQRT($B$9*SUM(AC736:OFFSET(AC736,$B$8-1,0))/($B$8-1))</f>
        <v>#DIV/0!</v>
      </c>
      <c r="AI736" s="1" t="e">
        <f t="shared" si="66"/>
        <v>#DIV/0!</v>
      </c>
      <c r="AJ736" s="4" t="e">
        <f ca="1">SQRT($B$9)*_xlfn.STDEV.S(AI736:OFFSET(AI736,$B$5-1,0))</f>
        <v>#DIV/0!</v>
      </c>
      <c r="AK736" s="4" t="e">
        <f ca="1">SQRT($B$9)*_xlfn.STDEV.S(AI736:OFFSET(AI736,$B$6-1,0))</f>
        <v>#DIV/0!</v>
      </c>
      <c r="AL736" s="4" t="e">
        <f ca="1">SQRT($B$9)*_xlfn.STDEV.S(AI736:OFFSET(AI736,$B$7-1,0))</f>
        <v>#DIV/0!</v>
      </c>
      <c r="AM736" s="4" t="e">
        <f ca="1">SQRT($B$9)*_xlfn.STDEV.S(AI736:OFFSET(AI736,$B$8-1,0))</f>
        <v>#DIV/0!</v>
      </c>
    </row>
    <row r="737" spans="5:39" x14ac:dyDescent="0.2">
      <c r="E737" s="42">
        <v>44371</v>
      </c>
      <c r="F737" s="43"/>
      <c r="G737" s="43"/>
      <c r="H737" s="43"/>
      <c r="I737" s="43"/>
      <c r="K737" s="3" t="e">
        <f t="shared" si="64"/>
        <v>#DIV/0!</v>
      </c>
      <c r="L737" s="3" t="e">
        <f ca="1">SQRT(AVERAGE(K737:OFFSET(K737,$B$5-1,0))*$B$9/(4*LN(2)))</f>
        <v>#DIV/0!</v>
      </c>
      <c r="M737" s="3" t="e">
        <f ca="1">SQRT(AVERAGE(K737:OFFSET(K737,$B$6-1,0))*$B$9/(4*LN(2)))</f>
        <v>#DIV/0!</v>
      </c>
      <c r="N737" s="3" t="e">
        <f ca="1">SQRT(AVERAGE(K737:OFFSET(K737,$B$7-1,0))*$B$9/(4*LN(2)))</f>
        <v>#DIV/0!</v>
      </c>
      <c r="O737" s="3" t="e">
        <f ca="1">SQRT(AVERAGE(K737:OFFSET(K737,$B$8-1,0))*$B$9/(4*LN(2)))</f>
        <v>#DIV/0!</v>
      </c>
      <c r="Q737" s="5" t="e">
        <f t="shared" si="63"/>
        <v>#DIV/0!</v>
      </c>
      <c r="R737" s="5" t="e">
        <f ca="1">SQRT($B$9*AVERAGE((Q737:OFFSET(Q737,$B$5-1,0))))</f>
        <v>#DIV/0!</v>
      </c>
      <c r="S737" s="5" t="e">
        <f ca="1">SQRT($B$9*AVERAGE((Q737:OFFSET(Q737,$B$6-1,0))))</f>
        <v>#DIV/0!</v>
      </c>
      <c r="T737" s="5" t="e">
        <f ca="1">SQRT($B$9*AVERAGE((Q737:OFFSET(Q737,$B$7-1,0))))</f>
        <v>#DIV/0!</v>
      </c>
      <c r="U737" s="5" t="e">
        <f ca="1">SQRT($B$9*AVERAGE((Q737:OFFSET(Q737,$B$8-1,0))))</f>
        <v>#DIV/0!</v>
      </c>
      <c r="W737" s="6" t="e">
        <f t="shared" si="62"/>
        <v>#DIV/0!</v>
      </c>
      <c r="X737" s="6" t="e">
        <f ca="1">SQRT($B$9*AVERAGE(W737:OFFSET(W737,$B$5-1,0)))</f>
        <v>#DIV/0!</v>
      </c>
      <c r="Y737" s="6" t="e">
        <f ca="1">SQRT($B$9*AVERAGE(W737:OFFSET(W737,$B$6-1,0)))</f>
        <v>#DIV/0!</v>
      </c>
      <c r="Z737" s="6" t="e">
        <f ca="1">SQRT($B$9*AVERAGE(W737:OFFSET(W737,$B$7-1,0)))</f>
        <v>#DIV/0!</v>
      </c>
      <c r="AA737" s="6" t="e">
        <f ca="1">SQRT($B$9*AVERAGE(W737:OFFSET(W737,$B$8-1,0)))</f>
        <v>#DIV/0!</v>
      </c>
      <c r="AC737" s="34" t="e">
        <f t="shared" si="65"/>
        <v>#DIV/0!</v>
      </c>
      <c r="AD737" s="34" t="e">
        <f ca="1">SQRT($B$9*SUM(AC737:OFFSET(AC737,$B$5-1,0))/($B$5-1))</f>
        <v>#DIV/0!</v>
      </c>
      <c r="AE737" s="34" t="e">
        <f ca="1">SQRT($B$9*SUM(AC737:OFFSET(AC737,$B$6-1,0))/($B$6-1))</f>
        <v>#DIV/0!</v>
      </c>
      <c r="AF737" s="34" t="e">
        <f ca="1">SQRT($B$9*SUM(AC737:OFFSET(AC737,$B$7-1,0))/($B$7-1))</f>
        <v>#DIV/0!</v>
      </c>
      <c r="AG737" s="34" t="e">
        <f ca="1">SQRT($B$9*SUM(AC737:OFFSET(AC737,$B$8-1,0))/($B$8-1))</f>
        <v>#DIV/0!</v>
      </c>
      <c r="AI737" s="1" t="e">
        <f t="shared" si="66"/>
        <v>#DIV/0!</v>
      </c>
      <c r="AJ737" s="4" t="e">
        <f ca="1">SQRT($B$9)*_xlfn.STDEV.S(AI737:OFFSET(AI737,$B$5-1,0))</f>
        <v>#DIV/0!</v>
      </c>
      <c r="AK737" s="4" t="e">
        <f ca="1">SQRT($B$9)*_xlfn.STDEV.S(AI737:OFFSET(AI737,$B$6-1,0))</f>
        <v>#DIV/0!</v>
      </c>
      <c r="AL737" s="4" t="e">
        <f ca="1">SQRT($B$9)*_xlfn.STDEV.S(AI737:OFFSET(AI737,$B$7-1,0))</f>
        <v>#DIV/0!</v>
      </c>
      <c r="AM737" s="4" t="e">
        <f ca="1">SQRT($B$9)*_xlfn.STDEV.S(AI737:OFFSET(AI737,$B$8-1,0))</f>
        <v>#DIV/0!</v>
      </c>
    </row>
    <row r="738" spans="5:39" x14ac:dyDescent="0.2">
      <c r="E738" s="42">
        <v>44370</v>
      </c>
      <c r="F738" s="43"/>
      <c r="G738" s="43"/>
      <c r="H738" s="43"/>
      <c r="I738" s="43"/>
      <c r="K738" s="3" t="e">
        <f t="shared" si="64"/>
        <v>#DIV/0!</v>
      </c>
      <c r="L738" s="3" t="e">
        <f ca="1">SQRT(AVERAGE(K738:OFFSET(K738,$B$5-1,0))*$B$9/(4*LN(2)))</f>
        <v>#DIV/0!</v>
      </c>
      <c r="M738" s="3" t="e">
        <f ca="1">SQRT(AVERAGE(K738:OFFSET(K738,$B$6-1,0))*$B$9/(4*LN(2)))</f>
        <v>#DIV/0!</v>
      </c>
      <c r="N738" s="3" t="e">
        <f ca="1">SQRT(AVERAGE(K738:OFFSET(K738,$B$7-1,0))*$B$9/(4*LN(2)))</f>
        <v>#DIV/0!</v>
      </c>
      <c r="O738" s="3" t="e">
        <f ca="1">SQRT(AVERAGE(K738:OFFSET(K738,$B$8-1,0))*$B$9/(4*LN(2)))</f>
        <v>#DIV/0!</v>
      </c>
      <c r="Q738" s="5" t="e">
        <f t="shared" si="63"/>
        <v>#DIV/0!</v>
      </c>
      <c r="R738" s="5" t="e">
        <f ca="1">SQRT($B$9*AVERAGE((Q738:OFFSET(Q738,$B$5-1,0))))</f>
        <v>#DIV/0!</v>
      </c>
      <c r="S738" s="5" t="e">
        <f ca="1">SQRT($B$9*AVERAGE((Q738:OFFSET(Q738,$B$6-1,0))))</f>
        <v>#DIV/0!</v>
      </c>
      <c r="T738" s="5" t="e">
        <f ca="1">SQRT($B$9*AVERAGE((Q738:OFFSET(Q738,$B$7-1,0))))</f>
        <v>#DIV/0!</v>
      </c>
      <c r="U738" s="5" t="e">
        <f ca="1">SQRT($B$9*AVERAGE((Q738:OFFSET(Q738,$B$8-1,0))))</f>
        <v>#DIV/0!</v>
      </c>
      <c r="W738" s="6" t="e">
        <f t="shared" si="62"/>
        <v>#DIV/0!</v>
      </c>
      <c r="X738" s="6" t="e">
        <f ca="1">SQRT($B$9*AVERAGE(W738:OFFSET(W738,$B$5-1,0)))</f>
        <v>#DIV/0!</v>
      </c>
      <c r="Y738" s="6" t="e">
        <f ca="1">SQRT($B$9*AVERAGE(W738:OFFSET(W738,$B$6-1,0)))</f>
        <v>#DIV/0!</v>
      </c>
      <c r="Z738" s="6" t="e">
        <f ca="1">SQRT($B$9*AVERAGE(W738:OFFSET(W738,$B$7-1,0)))</f>
        <v>#DIV/0!</v>
      </c>
      <c r="AA738" s="6" t="e">
        <f ca="1">SQRT($B$9*AVERAGE(W738:OFFSET(W738,$B$8-1,0)))</f>
        <v>#DIV/0!</v>
      </c>
      <c r="AC738" s="34" t="e">
        <f t="shared" si="65"/>
        <v>#DIV/0!</v>
      </c>
      <c r="AD738" s="34" t="e">
        <f ca="1">SQRT($B$9*SUM(AC738:OFFSET(AC738,$B$5-1,0))/($B$5-1))</f>
        <v>#DIV/0!</v>
      </c>
      <c r="AE738" s="34" t="e">
        <f ca="1">SQRT($B$9*SUM(AC738:OFFSET(AC738,$B$6-1,0))/($B$6-1))</f>
        <v>#DIV/0!</v>
      </c>
      <c r="AF738" s="34" t="e">
        <f ca="1">SQRT($B$9*SUM(AC738:OFFSET(AC738,$B$7-1,0))/($B$7-1))</f>
        <v>#DIV/0!</v>
      </c>
      <c r="AG738" s="34" t="e">
        <f ca="1">SQRT($B$9*SUM(AC738:OFFSET(AC738,$B$8-1,0))/($B$8-1))</f>
        <v>#DIV/0!</v>
      </c>
      <c r="AI738" s="1" t="e">
        <f t="shared" si="66"/>
        <v>#DIV/0!</v>
      </c>
      <c r="AJ738" s="4" t="e">
        <f ca="1">SQRT($B$9)*_xlfn.STDEV.S(AI738:OFFSET(AI738,$B$5-1,0))</f>
        <v>#DIV/0!</v>
      </c>
      <c r="AK738" s="4" t="e">
        <f ca="1">SQRT($B$9)*_xlfn.STDEV.S(AI738:OFFSET(AI738,$B$6-1,0))</f>
        <v>#DIV/0!</v>
      </c>
      <c r="AL738" s="4" t="e">
        <f ca="1">SQRT($B$9)*_xlfn.STDEV.S(AI738:OFFSET(AI738,$B$7-1,0))</f>
        <v>#DIV/0!</v>
      </c>
      <c r="AM738" s="4" t="e">
        <f ca="1">SQRT($B$9)*_xlfn.STDEV.S(AI738:OFFSET(AI738,$B$8-1,0))</f>
        <v>#DIV/0!</v>
      </c>
    </row>
    <row r="739" spans="5:39" x14ac:dyDescent="0.2">
      <c r="E739" s="42">
        <v>44369</v>
      </c>
      <c r="F739" s="43"/>
      <c r="G739" s="43"/>
      <c r="H739" s="43"/>
      <c r="I739" s="43"/>
      <c r="K739" s="3" t="e">
        <f t="shared" si="64"/>
        <v>#DIV/0!</v>
      </c>
      <c r="L739" s="3" t="e">
        <f ca="1">SQRT(AVERAGE(K739:OFFSET(K739,$B$5-1,0))*$B$9/(4*LN(2)))</f>
        <v>#DIV/0!</v>
      </c>
      <c r="M739" s="3" t="e">
        <f ca="1">SQRT(AVERAGE(K739:OFFSET(K739,$B$6-1,0))*$B$9/(4*LN(2)))</f>
        <v>#DIV/0!</v>
      </c>
      <c r="N739" s="3" t="e">
        <f ca="1">SQRT(AVERAGE(K739:OFFSET(K739,$B$7-1,0))*$B$9/(4*LN(2)))</f>
        <v>#DIV/0!</v>
      </c>
      <c r="O739" s="3" t="e">
        <f ca="1">SQRT(AVERAGE(K739:OFFSET(K739,$B$8-1,0))*$B$9/(4*LN(2)))</f>
        <v>#DIV/0!</v>
      </c>
      <c r="Q739" s="5" t="e">
        <f t="shared" si="63"/>
        <v>#DIV/0!</v>
      </c>
      <c r="R739" s="5" t="e">
        <f ca="1">SQRT($B$9*AVERAGE((Q739:OFFSET(Q739,$B$5-1,0))))</f>
        <v>#DIV/0!</v>
      </c>
      <c r="S739" s="5" t="e">
        <f ca="1">SQRT($B$9*AVERAGE((Q739:OFFSET(Q739,$B$6-1,0))))</f>
        <v>#DIV/0!</v>
      </c>
      <c r="T739" s="5" t="e">
        <f ca="1">SQRT($B$9*AVERAGE((Q739:OFFSET(Q739,$B$7-1,0))))</f>
        <v>#DIV/0!</v>
      </c>
      <c r="U739" s="5" t="e">
        <f ca="1">SQRT($B$9*AVERAGE((Q739:OFFSET(Q739,$B$8-1,0))))</f>
        <v>#DIV/0!</v>
      </c>
      <c r="W739" s="6" t="e">
        <f t="shared" si="62"/>
        <v>#DIV/0!</v>
      </c>
      <c r="X739" s="6" t="e">
        <f ca="1">SQRT($B$9*AVERAGE(W739:OFFSET(W739,$B$5-1,0)))</f>
        <v>#DIV/0!</v>
      </c>
      <c r="Y739" s="6" t="e">
        <f ca="1">SQRT($B$9*AVERAGE(W739:OFFSET(W739,$B$6-1,0)))</f>
        <v>#DIV/0!</v>
      </c>
      <c r="Z739" s="6" t="e">
        <f ca="1">SQRT($B$9*AVERAGE(W739:OFFSET(W739,$B$7-1,0)))</f>
        <v>#DIV/0!</v>
      </c>
      <c r="AA739" s="6" t="e">
        <f ca="1">SQRT($B$9*AVERAGE(W739:OFFSET(W739,$B$8-1,0)))</f>
        <v>#DIV/0!</v>
      </c>
      <c r="AC739" s="34" t="e">
        <f t="shared" si="65"/>
        <v>#DIV/0!</v>
      </c>
      <c r="AD739" s="34" t="e">
        <f ca="1">SQRT($B$9*SUM(AC739:OFFSET(AC739,$B$5-1,0))/($B$5-1))</f>
        <v>#DIV/0!</v>
      </c>
      <c r="AE739" s="34" t="e">
        <f ca="1">SQRT($B$9*SUM(AC739:OFFSET(AC739,$B$6-1,0))/($B$6-1))</f>
        <v>#DIV/0!</v>
      </c>
      <c r="AF739" s="34" t="e">
        <f ca="1">SQRT($B$9*SUM(AC739:OFFSET(AC739,$B$7-1,0))/($B$7-1))</f>
        <v>#DIV/0!</v>
      </c>
      <c r="AG739" s="34" t="e">
        <f ca="1">SQRT($B$9*SUM(AC739:OFFSET(AC739,$B$8-1,0))/($B$8-1))</f>
        <v>#DIV/0!</v>
      </c>
      <c r="AI739" s="1" t="e">
        <f t="shared" si="66"/>
        <v>#DIV/0!</v>
      </c>
      <c r="AJ739" s="4" t="e">
        <f ca="1">SQRT($B$9)*_xlfn.STDEV.S(AI739:OFFSET(AI739,$B$5-1,0))</f>
        <v>#DIV/0!</v>
      </c>
      <c r="AK739" s="4" t="e">
        <f ca="1">SQRT($B$9)*_xlfn.STDEV.S(AI739:OFFSET(AI739,$B$6-1,0))</f>
        <v>#DIV/0!</v>
      </c>
      <c r="AL739" s="4" t="e">
        <f ca="1">SQRT($B$9)*_xlfn.STDEV.S(AI739:OFFSET(AI739,$B$7-1,0))</f>
        <v>#DIV/0!</v>
      </c>
      <c r="AM739" s="4" t="e">
        <f ca="1">SQRT($B$9)*_xlfn.STDEV.S(AI739:OFFSET(AI739,$B$8-1,0))</f>
        <v>#DIV/0!</v>
      </c>
    </row>
    <row r="740" spans="5:39" x14ac:dyDescent="0.2">
      <c r="E740" s="42">
        <v>44368</v>
      </c>
      <c r="F740" s="43"/>
      <c r="G740" s="43"/>
      <c r="H740" s="43"/>
      <c r="I740" s="43"/>
      <c r="K740" s="3" t="e">
        <f t="shared" si="64"/>
        <v>#DIV/0!</v>
      </c>
      <c r="L740" s="3" t="e">
        <f ca="1">SQRT(AVERAGE(K740:OFFSET(K740,$B$5-1,0))*$B$9/(4*LN(2)))</f>
        <v>#DIV/0!</v>
      </c>
      <c r="M740" s="3" t="e">
        <f ca="1">SQRT(AVERAGE(K740:OFFSET(K740,$B$6-1,0))*$B$9/(4*LN(2)))</f>
        <v>#DIV/0!</v>
      </c>
      <c r="N740" s="3" t="e">
        <f ca="1">SQRT(AVERAGE(K740:OFFSET(K740,$B$7-1,0))*$B$9/(4*LN(2)))</f>
        <v>#DIV/0!</v>
      </c>
      <c r="O740" s="3" t="e">
        <f ca="1">SQRT(AVERAGE(K740:OFFSET(K740,$B$8-1,0))*$B$9/(4*LN(2)))</f>
        <v>#DIV/0!</v>
      </c>
      <c r="Q740" s="5" t="e">
        <f t="shared" si="63"/>
        <v>#DIV/0!</v>
      </c>
      <c r="R740" s="5" t="e">
        <f ca="1">SQRT($B$9*AVERAGE((Q740:OFFSET(Q740,$B$5-1,0))))</f>
        <v>#DIV/0!</v>
      </c>
      <c r="S740" s="5" t="e">
        <f ca="1">SQRT($B$9*AVERAGE((Q740:OFFSET(Q740,$B$6-1,0))))</f>
        <v>#DIV/0!</v>
      </c>
      <c r="T740" s="5" t="e">
        <f ca="1">SQRT($B$9*AVERAGE((Q740:OFFSET(Q740,$B$7-1,0))))</f>
        <v>#DIV/0!</v>
      </c>
      <c r="U740" s="5" t="e">
        <f ca="1">SQRT($B$9*AVERAGE((Q740:OFFSET(Q740,$B$8-1,0))))</f>
        <v>#DIV/0!</v>
      </c>
      <c r="W740" s="6" t="e">
        <f t="shared" si="62"/>
        <v>#DIV/0!</v>
      </c>
      <c r="X740" s="6" t="e">
        <f ca="1">SQRT($B$9*AVERAGE(W740:OFFSET(W740,$B$5-1,0)))</f>
        <v>#DIV/0!</v>
      </c>
      <c r="Y740" s="6" t="e">
        <f ca="1">SQRT($B$9*AVERAGE(W740:OFFSET(W740,$B$6-1,0)))</f>
        <v>#DIV/0!</v>
      </c>
      <c r="Z740" s="6" t="e">
        <f ca="1">SQRT($B$9*AVERAGE(W740:OFFSET(W740,$B$7-1,0)))</f>
        <v>#DIV/0!</v>
      </c>
      <c r="AA740" s="6" t="e">
        <f ca="1">SQRT($B$9*AVERAGE(W740:OFFSET(W740,$B$8-1,0)))</f>
        <v>#DIV/0!</v>
      </c>
      <c r="AC740" s="34" t="e">
        <f t="shared" si="65"/>
        <v>#DIV/0!</v>
      </c>
      <c r="AD740" s="34" t="e">
        <f ca="1">SQRT($B$9*SUM(AC740:OFFSET(AC740,$B$5-1,0))/($B$5-1))</f>
        <v>#DIV/0!</v>
      </c>
      <c r="AE740" s="34" t="e">
        <f ca="1">SQRT($B$9*SUM(AC740:OFFSET(AC740,$B$6-1,0))/($B$6-1))</f>
        <v>#DIV/0!</v>
      </c>
      <c r="AF740" s="34" t="e">
        <f ca="1">SQRT($B$9*SUM(AC740:OFFSET(AC740,$B$7-1,0))/($B$7-1))</f>
        <v>#DIV/0!</v>
      </c>
      <c r="AG740" s="34" t="e">
        <f ca="1">SQRT($B$9*SUM(AC740:OFFSET(AC740,$B$8-1,0))/($B$8-1))</f>
        <v>#DIV/0!</v>
      </c>
      <c r="AI740" s="1" t="e">
        <f t="shared" si="66"/>
        <v>#DIV/0!</v>
      </c>
      <c r="AJ740" s="4" t="e">
        <f ca="1">SQRT($B$9)*_xlfn.STDEV.S(AI740:OFFSET(AI740,$B$5-1,0))</f>
        <v>#DIV/0!</v>
      </c>
      <c r="AK740" s="4" t="e">
        <f ca="1">SQRT($B$9)*_xlfn.STDEV.S(AI740:OFFSET(AI740,$B$6-1,0))</f>
        <v>#DIV/0!</v>
      </c>
      <c r="AL740" s="4" t="e">
        <f ca="1">SQRT($B$9)*_xlfn.STDEV.S(AI740:OFFSET(AI740,$B$7-1,0))</f>
        <v>#DIV/0!</v>
      </c>
      <c r="AM740" s="4" t="e">
        <f ca="1">SQRT($B$9)*_xlfn.STDEV.S(AI740:OFFSET(AI740,$B$8-1,0))</f>
        <v>#DIV/0!</v>
      </c>
    </row>
    <row r="741" spans="5:39" x14ac:dyDescent="0.2">
      <c r="E741" s="42">
        <v>44365</v>
      </c>
      <c r="F741" s="43"/>
      <c r="G741" s="43"/>
      <c r="H741" s="43"/>
      <c r="I741" s="43"/>
      <c r="K741" s="3" t="e">
        <f t="shared" si="64"/>
        <v>#DIV/0!</v>
      </c>
      <c r="L741" s="3" t="e">
        <f ca="1">SQRT(AVERAGE(K741:OFFSET(K741,$B$5-1,0))*$B$9/(4*LN(2)))</f>
        <v>#DIV/0!</v>
      </c>
      <c r="M741" s="3" t="e">
        <f ca="1">SQRT(AVERAGE(K741:OFFSET(K741,$B$6-1,0))*$B$9/(4*LN(2)))</f>
        <v>#DIV/0!</v>
      </c>
      <c r="N741" s="3" t="e">
        <f ca="1">SQRT(AVERAGE(K741:OFFSET(K741,$B$7-1,0))*$B$9/(4*LN(2)))</f>
        <v>#DIV/0!</v>
      </c>
      <c r="O741" s="3" t="e">
        <f ca="1">SQRT(AVERAGE(K741:OFFSET(K741,$B$8-1,0))*$B$9/(4*LN(2)))</f>
        <v>#DIV/0!</v>
      </c>
      <c r="Q741" s="5" t="e">
        <f t="shared" si="63"/>
        <v>#DIV/0!</v>
      </c>
      <c r="R741" s="5" t="e">
        <f ca="1">SQRT($B$9*AVERAGE((Q741:OFFSET(Q741,$B$5-1,0))))</f>
        <v>#DIV/0!</v>
      </c>
      <c r="S741" s="5" t="e">
        <f ca="1">SQRT($B$9*AVERAGE((Q741:OFFSET(Q741,$B$6-1,0))))</f>
        <v>#DIV/0!</v>
      </c>
      <c r="T741" s="5" t="e">
        <f ca="1">SQRT($B$9*AVERAGE((Q741:OFFSET(Q741,$B$7-1,0))))</f>
        <v>#DIV/0!</v>
      </c>
      <c r="U741" s="5" t="e">
        <f ca="1">SQRT($B$9*AVERAGE((Q741:OFFSET(Q741,$B$8-1,0))))</f>
        <v>#DIV/0!</v>
      </c>
      <c r="W741" s="6" t="e">
        <f t="shared" si="62"/>
        <v>#DIV/0!</v>
      </c>
      <c r="X741" s="6" t="e">
        <f ca="1">SQRT($B$9*AVERAGE(W741:OFFSET(W741,$B$5-1,0)))</f>
        <v>#DIV/0!</v>
      </c>
      <c r="Y741" s="6" t="e">
        <f ca="1">SQRT($B$9*AVERAGE(W741:OFFSET(W741,$B$6-1,0)))</f>
        <v>#DIV/0!</v>
      </c>
      <c r="Z741" s="6" t="e">
        <f ca="1">SQRT($B$9*AVERAGE(W741:OFFSET(W741,$B$7-1,0)))</f>
        <v>#DIV/0!</v>
      </c>
      <c r="AA741" s="6" t="e">
        <f ca="1">SQRT($B$9*AVERAGE(W741:OFFSET(W741,$B$8-1,0)))</f>
        <v>#DIV/0!</v>
      </c>
      <c r="AC741" s="34" t="e">
        <f t="shared" si="65"/>
        <v>#DIV/0!</v>
      </c>
      <c r="AD741" s="34" t="e">
        <f ca="1">SQRT($B$9*SUM(AC741:OFFSET(AC741,$B$5-1,0))/($B$5-1))</f>
        <v>#DIV/0!</v>
      </c>
      <c r="AE741" s="34" t="e">
        <f ca="1">SQRT($B$9*SUM(AC741:OFFSET(AC741,$B$6-1,0))/($B$6-1))</f>
        <v>#DIV/0!</v>
      </c>
      <c r="AF741" s="34" t="e">
        <f ca="1">SQRT($B$9*SUM(AC741:OFFSET(AC741,$B$7-1,0))/($B$7-1))</f>
        <v>#DIV/0!</v>
      </c>
      <c r="AG741" s="34" t="e">
        <f ca="1">SQRT($B$9*SUM(AC741:OFFSET(AC741,$B$8-1,0))/($B$8-1))</f>
        <v>#DIV/0!</v>
      </c>
      <c r="AI741" s="1" t="e">
        <f t="shared" si="66"/>
        <v>#DIV/0!</v>
      </c>
      <c r="AJ741" s="4" t="e">
        <f ca="1">SQRT($B$9)*_xlfn.STDEV.S(AI741:OFFSET(AI741,$B$5-1,0))</f>
        <v>#DIV/0!</v>
      </c>
      <c r="AK741" s="4" t="e">
        <f ca="1">SQRT($B$9)*_xlfn.STDEV.S(AI741:OFFSET(AI741,$B$6-1,0))</f>
        <v>#DIV/0!</v>
      </c>
      <c r="AL741" s="4" t="e">
        <f ca="1">SQRT($B$9)*_xlfn.STDEV.S(AI741:OFFSET(AI741,$B$7-1,0))</f>
        <v>#DIV/0!</v>
      </c>
      <c r="AM741" s="4" t="e">
        <f ca="1">SQRT($B$9)*_xlfn.STDEV.S(AI741:OFFSET(AI741,$B$8-1,0))</f>
        <v>#DIV/0!</v>
      </c>
    </row>
    <row r="742" spans="5:39" x14ac:dyDescent="0.2">
      <c r="E742" s="42">
        <v>44364</v>
      </c>
      <c r="F742" s="43"/>
      <c r="G742" s="43"/>
      <c r="H742" s="43"/>
      <c r="I742" s="43"/>
      <c r="K742" s="3" t="e">
        <f t="shared" si="64"/>
        <v>#DIV/0!</v>
      </c>
      <c r="L742" s="3" t="e">
        <f ca="1">SQRT(AVERAGE(K742:OFFSET(K742,$B$5-1,0))*$B$9/(4*LN(2)))</f>
        <v>#DIV/0!</v>
      </c>
      <c r="M742" s="3" t="e">
        <f ca="1">SQRT(AVERAGE(K742:OFFSET(K742,$B$6-1,0))*$B$9/(4*LN(2)))</f>
        <v>#DIV/0!</v>
      </c>
      <c r="N742" s="3" t="e">
        <f ca="1">SQRT(AVERAGE(K742:OFFSET(K742,$B$7-1,0))*$B$9/(4*LN(2)))</f>
        <v>#DIV/0!</v>
      </c>
      <c r="O742" s="3" t="e">
        <f ca="1">SQRT(AVERAGE(K742:OFFSET(K742,$B$8-1,0))*$B$9/(4*LN(2)))</f>
        <v>#DIV/0!</v>
      </c>
      <c r="Q742" s="5" t="e">
        <f t="shared" si="63"/>
        <v>#DIV/0!</v>
      </c>
      <c r="R742" s="5" t="e">
        <f ca="1">SQRT($B$9*AVERAGE((Q742:OFFSET(Q742,$B$5-1,0))))</f>
        <v>#DIV/0!</v>
      </c>
      <c r="S742" s="5" t="e">
        <f ca="1">SQRT($B$9*AVERAGE((Q742:OFFSET(Q742,$B$6-1,0))))</f>
        <v>#DIV/0!</v>
      </c>
      <c r="T742" s="5" t="e">
        <f ca="1">SQRT($B$9*AVERAGE((Q742:OFFSET(Q742,$B$7-1,0))))</f>
        <v>#DIV/0!</v>
      </c>
      <c r="U742" s="5" t="e">
        <f ca="1">SQRT($B$9*AVERAGE((Q742:OFFSET(Q742,$B$8-1,0))))</f>
        <v>#DIV/0!</v>
      </c>
      <c r="W742" s="6" t="e">
        <f t="shared" si="62"/>
        <v>#DIV/0!</v>
      </c>
      <c r="X742" s="6" t="e">
        <f ca="1">SQRT($B$9*AVERAGE(W742:OFFSET(W742,$B$5-1,0)))</f>
        <v>#DIV/0!</v>
      </c>
      <c r="Y742" s="6" t="e">
        <f ca="1">SQRT($B$9*AVERAGE(W742:OFFSET(W742,$B$6-1,0)))</f>
        <v>#DIV/0!</v>
      </c>
      <c r="Z742" s="6" t="e">
        <f ca="1">SQRT($B$9*AVERAGE(W742:OFFSET(W742,$B$7-1,0)))</f>
        <v>#DIV/0!</v>
      </c>
      <c r="AA742" s="6" t="e">
        <f ca="1">SQRT($B$9*AVERAGE(W742:OFFSET(W742,$B$8-1,0)))</f>
        <v>#DIV/0!</v>
      </c>
      <c r="AC742" s="34" t="e">
        <f t="shared" si="65"/>
        <v>#DIV/0!</v>
      </c>
      <c r="AD742" s="34" t="e">
        <f ca="1">SQRT($B$9*SUM(AC742:OFFSET(AC742,$B$5-1,0))/($B$5-1))</f>
        <v>#DIV/0!</v>
      </c>
      <c r="AE742" s="34" t="e">
        <f ca="1">SQRT($B$9*SUM(AC742:OFFSET(AC742,$B$6-1,0))/($B$6-1))</f>
        <v>#DIV/0!</v>
      </c>
      <c r="AF742" s="34" t="e">
        <f ca="1">SQRT($B$9*SUM(AC742:OFFSET(AC742,$B$7-1,0))/($B$7-1))</f>
        <v>#DIV/0!</v>
      </c>
      <c r="AG742" s="34" t="e">
        <f ca="1">SQRT($B$9*SUM(AC742:OFFSET(AC742,$B$8-1,0))/($B$8-1))</f>
        <v>#DIV/0!</v>
      </c>
      <c r="AI742" s="1" t="e">
        <f t="shared" si="66"/>
        <v>#DIV/0!</v>
      </c>
      <c r="AJ742" s="4" t="e">
        <f ca="1">SQRT($B$9)*_xlfn.STDEV.S(AI742:OFFSET(AI742,$B$5-1,0))</f>
        <v>#DIV/0!</v>
      </c>
      <c r="AK742" s="4" t="e">
        <f ca="1">SQRT($B$9)*_xlfn.STDEV.S(AI742:OFFSET(AI742,$B$6-1,0))</f>
        <v>#DIV/0!</v>
      </c>
      <c r="AL742" s="4" t="e">
        <f ca="1">SQRT($B$9)*_xlfn.STDEV.S(AI742:OFFSET(AI742,$B$7-1,0))</f>
        <v>#DIV/0!</v>
      </c>
      <c r="AM742" s="4" t="e">
        <f ca="1">SQRT($B$9)*_xlfn.STDEV.S(AI742:OFFSET(AI742,$B$8-1,0))</f>
        <v>#DIV/0!</v>
      </c>
    </row>
    <row r="743" spans="5:39" x14ac:dyDescent="0.2">
      <c r="E743" s="42">
        <v>44363</v>
      </c>
      <c r="F743" s="43"/>
      <c r="G743" s="43"/>
      <c r="H743" s="43"/>
      <c r="I743" s="43"/>
      <c r="K743" s="3" t="e">
        <f t="shared" si="64"/>
        <v>#DIV/0!</v>
      </c>
      <c r="L743" s="3" t="e">
        <f ca="1">SQRT(AVERAGE(K743:OFFSET(K743,$B$5-1,0))*$B$9/(4*LN(2)))</f>
        <v>#DIV/0!</v>
      </c>
      <c r="M743" s="3" t="e">
        <f ca="1">SQRT(AVERAGE(K743:OFFSET(K743,$B$6-1,0))*$B$9/(4*LN(2)))</f>
        <v>#DIV/0!</v>
      </c>
      <c r="N743" s="3" t="e">
        <f ca="1">SQRT(AVERAGE(K743:OFFSET(K743,$B$7-1,0))*$B$9/(4*LN(2)))</f>
        <v>#DIV/0!</v>
      </c>
      <c r="O743" s="3" t="e">
        <f ca="1">SQRT(AVERAGE(K743:OFFSET(K743,$B$8-1,0))*$B$9/(4*LN(2)))</f>
        <v>#DIV/0!</v>
      </c>
      <c r="Q743" s="5" t="e">
        <f t="shared" si="63"/>
        <v>#DIV/0!</v>
      </c>
      <c r="R743" s="5" t="e">
        <f ca="1">SQRT($B$9*AVERAGE((Q743:OFFSET(Q743,$B$5-1,0))))</f>
        <v>#DIV/0!</v>
      </c>
      <c r="S743" s="5" t="e">
        <f ca="1">SQRT($B$9*AVERAGE((Q743:OFFSET(Q743,$B$6-1,0))))</f>
        <v>#DIV/0!</v>
      </c>
      <c r="T743" s="5" t="e">
        <f ca="1">SQRT($B$9*AVERAGE((Q743:OFFSET(Q743,$B$7-1,0))))</f>
        <v>#DIV/0!</v>
      </c>
      <c r="U743" s="5" t="e">
        <f ca="1">SQRT($B$9*AVERAGE((Q743:OFFSET(Q743,$B$8-1,0))))</f>
        <v>#DIV/0!</v>
      </c>
      <c r="W743" s="6" t="e">
        <f t="shared" ref="W743:W806" si="67">LN(G743/I743)*LN(G743/F743)+LN(H743/I743)*LN(H743/F743)</f>
        <v>#DIV/0!</v>
      </c>
      <c r="X743" s="6" t="e">
        <f ca="1">SQRT($B$9*AVERAGE(W743:OFFSET(W743,$B$5-1,0)))</f>
        <v>#DIV/0!</v>
      </c>
      <c r="Y743" s="6" t="e">
        <f ca="1">SQRT($B$9*AVERAGE(W743:OFFSET(W743,$B$6-1,0)))</f>
        <v>#DIV/0!</v>
      </c>
      <c r="Z743" s="6" t="e">
        <f ca="1">SQRT($B$9*AVERAGE(W743:OFFSET(W743,$B$7-1,0)))</f>
        <v>#DIV/0!</v>
      </c>
      <c r="AA743" s="6" t="e">
        <f ca="1">SQRT($B$9*AVERAGE(W743:OFFSET(W743,$B$8-1,0)))</f>
        <v>#DIV/0!</v>
      </c>
      <c r="AC743" s="34" t="e">
        <f t="shared" si="65"/>
        <v>#DIV/0!</v>
      </c>
      <c r="AD743" s="34" t="e">
        <f ca="1">SQRT($B$9*SUM(AC743:OFFSET(AC743,$B$5-1,0))/($B$5-1))</f>
        <v>#DIV/0!</v>
      </c>
      <c r="AE743" s="34" t="e">
        <f ca="1">SQRT($B$9*SUM(AC743:OFFSET(AC743,$B$6-1,0))/($B$6-1))</f>
        <v>#DIV/0!</v>
      </c>
      <c r="AF743" s="34" t="e">
        <f ca="1">SQRT($B$9*SUM(AC743:OFFSET(AC743,$B$7-1,0))/($B$7-1))</f>
        <v>#DIV/0!</v>
      </c>
      <c r="AG743" s="34" t="e">
        <f ca="1">SQRT($B$9*SUM(AC743:OFFSET(AC743,$B$8-1,0))/($B$8-1))</f>
        <v>#DIV/0!</v>
      </c>
      <c r="AI743" s="1" t="e">
        <f t="shared" si="66"/>
        <v>#DIV/0!</v>
      </c>
      <c r="AJ743" s="4" t="e">
        <f ca="1">SQRT($B$9)*_xlfn.STDEV.S(AI743:OFFSET(AI743,$B$5-1,0))</f>
        <v>#DIV/0!</v>
      </c>
      <c r="AK743" s="4" t="e">
        <f ca="1">SQRT($B$9)*_xlfn.STDEV.S(AI743:OFFSET(AI743,$B$6-1,0))</f>
        <v>#DIV/0!</v>
      </c>
      <c r="AL743" s="4" t="e">
        <f ca="1">SQRT($B$9)*_xlfn.STDEV.S(AI743:OFFSET(AI743,$B$7-1,0))</f>
        <v>#DIV/0!</v>
      </c>
      <c r="AM743" s="4" t="e">
        <f ca="1">SQRT($B$9)*_xlfn.STDEV.S(AI743:OFFSET(AI743,$B$8-1,0))</f>
        <v>#DIV/0!</v>
      </c>
    </row>
    <row r="744" spans="5:39" x14ac:dyDescent="0.2">
      <c r="E744" s="42">
        <v>44362</v>
      </c>
      <c r="F744" s="43"/>
      <c r="G744" s="43"/>
      <c r="H744" s="43"/>
      <c r="I744" s="43"/>
      <c r="K744" s="3" t="e">
        <f t="shared" si="64"/>
        <v>#DIV/0!</v>
      </c>
      <c r="L744" s="3" t="e">
        <f ca="1">SQRT(AVERAGE(K744:OFFSET(K744,$B$5-1,0))*$B$9/(4*LN(2)))</f>
        <v>#DIV/0!</v>
      </c>
      <c r="M744" s="3" t="e">
        <f ca="1">SQRT(AVERAGE(K744:OFFSET(K744,$B$6-1,0))*$B$9/(4*LN(2)))</f>
        <v>#DIV/0!</v>
      </c>
      <c r="N744" s="3" t="e">
        <f ca="1">SQRT(AVERAGE(K744:OFFSET(K744,$B$7-1,0))*$B$9/(4*LN(2)))</f>
        <v>#DIV/0!</v>
      </c>
      <c r="O744" s="3" t="e">
        <f ca="1">SQRT(AVERAGE(K744:OFFSET(K744,$B$8-1,0))*$B$9/(4*LN(2)))</f>
        <v>#DIV/0!</v>
      </c>
      <c r="Q744" s="5" t="e">
        <f t="shared" si="63"/>
        <v>#DIV/0!</v>
      </c>
      <c r="R744" s="5" t="e">
        <f ca="1">SQRT($B$9*AVERAGE((Q744:OFFSET(Q744,$B$5-1,0))))</f>
        <v>#DIV/0!</v>
      </c>
      <c r="S744" s="5" t="e">
        <f ca="1">SQRT($B$9*AVERAGE((Q744:OFFSET(Q744,$B$6-1,0))))</f>
        <v>#DIV/0!</v>
      </c>
      <c r="T744" s="5" t="e">
        <f ca="1">SQRT($B$9*AVERAGE((Q744:OFFSET(Q744,$B$7-1,0))))</f>
        <v>#DIV/0!</v>
      </c>
      <c r="U744" s="5" t="e">
        <f ca="1">SQRT($B$9*AVERAGE((Q744:OFFSET(Q744,$B$8-1,0))))</f>
        <v>#DIV/0!</v>
      </c>
      <c r="W744" s="6" t="e">
        <f t="shared" si="67"/>
        <v>#DIV/0!</v>
      </c>
      <c r="X744" s="6" t="e">
        <f ca="1">SQRT($B$9*AVERAGE(W744:OFFSET(W744,$B$5-1,0)))</f>
        <v>#DIV/0!</v>
      </c>
      <c r="Y744" s="6" t="e">
        <f ca="1">SQRT($B$9*AVERAGE(W744:OFFSET(W744,$B$6-1,0)))</f>
        <v>#DIV/0!</v>
      </c>
      <c r="Z744" s="6" t="e">
        <f ca="1">SQRT($B$9*AVERAGE(W744:OFFSET(W744,$B$7-1,0)))</f>
        <v>#DIV/0!</v>
      </c>
      <c r="AA744" s="6" t="e">
        <f ca="1">SQRT($B$9*AVERAGE(W744:OFFSET(W744,$B$8-1,0)))</f>
        <v>#DIV/0!</v>
      </c>
      <c r="AC744" s="34" t="e">
        <f t="shared" si="65"/>
        <v>#DIV/0!</v>
      </c>
      <c r="AD744" s="34" t="e">
        <f ca="1">SQRT($B$9*SUM(AC744:OFFSET(AC744,$B$5-1,0))/($B$5-1))</f>
        <v>#DIV/0!</v>
      </c>
      <c r="AE744" s="34" t="e">
        <f ca="1">SQRT($B$9*SUM(AC744:OFFSET(AC744,$B$6-1,0))/($B$6-1))</f>
        <v>#DIV/0!</v>
      </c>
      <c r="AF744" s="34" t="e">
        <f ca="1">SQRT($B$9*SUM(AC744:OFFSET(AC744,$B$7-1,0))/($B$7-1))</f>
        <v>#DIV/0!</v>
      </c>
      <c r="AG744" s="34" t="e">
        <f ca="1">SQRT($B$9*SUM(AC744:OFFSET(AC744,$B$8-1,0))/($B$8-1))</f>
        <v>#DIV/0!</v>
      </c>
      <c r="AI744" s="1" t="e">
        <f t="shared" si="66"/>
        <v>#DIV/0!</v>
      </c>
      <c r="AJ744" s="4" t="e">
        <f ca="1">SQRT($B$9)*_xlfn.STDEV.S(AI744:OFFSET(AI744,$B$5-1,0))</f>
        <v>#DIV/0!</v>
      </c>
      <c r="AK744" s="4" t="e">
        <f ca="1">SQRT($B$9)*_xlfn.STDEV.S(AI744:OFFSET(AI744,$B$6-1,0))</f>
        <v>#DIV/0!</v>
      </c>
      <c r="AL744" s="4" t="e">
        <f ca="1">SQRT($B$9)*_xlfn.STDEV.S(AI744:OFFSET(AI744,$B$7-1,0))</f>
        <v>#DIV/0!</v>
      </c>
      <c r="AM744" s="4" t="e">
        <f ca="1">SQRT($B$9)*_xlfn.STDEV.S(AI744:OFFSET(AI744,$B$8-1,0))</f>
        <v>#DIV/0!</v>
      </c>
    </row>
    <row r="745" spans="5:39" x14ac:dyDescent="0.2">
      <c r="E745" s="42">
        <v>44358</v>
      </c>
      <c r="F745" s="43"/>
      <c r="G745" s="43"/>
      <c r="H745" s="43"/>
      <c r="I745" s="43"/>
      <c r="K745" s="3" t="e">
        <f t="shared" si="64"/>
        <v>#DIV/0!</v>
      </c>
      <c r="L745" s="3" t="e">
        <f ca="1">SQRT(AVERAGE(K745:OFFSET(K745,$B$5-1,0))*$B$9/(4*LN(2)))</f>
        <v>#DIV/0!</v>
      </c>
      <c r="M745" s="3" t="e">
        <f ca="1">SQRT(AVERAGE(K745:OFFSET(K745,$B$6-1,0))*$B$9/(4*LN(2)))</f>
        <v>#DIV/0!</v>
      </c>
      <c r="N745" s="3" t="e">
        <f ca="1">SQRT(AVERAGE(K745:OFFSET(K745,$B$7-1,0))*$B$9/(4*LN(2)))</f>
        <v>#DIV/0!</v>
      </c>
      <c r="O745" s="3" t="e">
        <f ca="1">SQRT(AVERAGE(K745:OFFSET(K745,$B$8-1,0))*$B$9/(4*LN(2)))</f>
        <v>#DIV/0!</v>
      </c>
      <c r="Q745" s="5" t="e">
        <f t="shared" si="63"/>
        <v>#DIV/0!</v>
      </c>
      <c r="R745" s="5" t="e">
        <f ca="1">SQRT($B$9*AVERAGE((Q745:OFFSET(Q745,$B$5-1,0))))</f>
        <v>#DIV/0!</v>
      </c>
      <c r="S745" s="5" t="e">
        <f ca="1">SQRT($B$9*AVERAGE((Q745:OFFSET(Q745,$B$6-1,0))))</f>
        <v>#DIV/0!</v>
      </c>
      <c r="T745" s="5" t="e">
        <f ca="1">SQRT($B$9*AVERAGE((Q745:OFFSET(Q745,$B$7-1,0))))</f>
        <v>#DIV/0!</v>
      </c>
      <c r="U745" s="5" t="e">
        <f ca="1">SQRT($B$9*AVERAGE((Q745:OFFSET(Q745,$B$8-1,0))))</f>
        <v>#DIV/0!</v>
      </c>
      <c r="W745" s="6" t="e">
        <f t="shared" si="67"/>
        <v>#DIV/0!</v>
      </c>
      <c r="X745" s="6" t="e">
        <f ca="1">SQRT($B$9*AVERAGE(W745:OFFSET(W745,$B$5-1,0)))</f>
        <v>#DIV/0!</v>
      </c>
      <c r="Y745" s="6" t="e">
        <f ca="1">SQRT($B$9*AVERAGE(W745:OFFSET(W745,$B$6-1,0)))</f>
        <v>#DIV/0!</v>
      </c>
      <c r="Z745" s="6" t="e">
        <f ca="1">SQRT($B$9*AVERAGE(W745:OFFSET(W745,$B$7-1,0)))</f>
        <v>#DIV/0!</v>
      </c>
      <c r="AA745" s="6" t="e">
        <f ca="1">SQRT($B$9*AVERAGE(W745:OFFSET(W745,$B$8-1,0)))</f>
        <v>#DIV/0!</v>
      </c>
      <c r="AC745" s="34" t="e">
        <f t="shared" si="65"/>
        <v>#DIV/0!</v>
      </c>
      <c r="AD745" s="34" t="e">
        <f ca="1">SQRT($B$9*SUM(AC745:OFFSET(AC745,$B$5-1,0))/($B$5-1))</f>
        <v>#DIV/0!</v>
      </c>
      <c r="AE745" s="34" t="e">
        <f ca="1">SQRT($B$9*SUM(AC745:OFFSET(AC745,$B$6-1,0))/($B$6-1))</f>
        <v>#DIV/0!</v>
      </c>
      <c r="AF745" s="34" t="e">
        <f ca="1">SQRT($B$9*SUM(AC745:OFFSET(AC745,$B$7-1,0))/($B$7-1))</f>
        <v>#DIV/0!</v>
      </c>
      <c r="AG745" s="34" t="e">
        <f ca="1">SQRT($B$9*SUM(AC745:OFFSET(AC745,$B$8-1,0))/($B$8-1))</f>
        <v>#DIV/0!</v>
      </c>
      <c r="AI745" s="1" t="e">
        <f t="shared" si="66"/>
        <v>#DIV/0!</v>
      </c>
      <c r="AJ745" s="4" t="e">
        <f ca="1">SQRT($B$9)*_xlfn.STDEV.S(AI745:OFFSET(AI745,$B$5-1,0))</f>
        <v>#DIV/0!</v>
      </c>
      <c r="AK745" s="4" t="e">
        <f ca="1">SQRT($B$9)*_xlfn.STDEV.S(AI745:OFFSET(AI745,$B$6-1,0))</f>
        <v>#DIV/0!</v>
      </c>
      <c r="AL745" s="4" t="e">
        <f ca="1">SQRT($B$9)*_xlfn.STDEV.S(AI745:OFFSET(AI745,$B$7-1,0))</f>
        <v>#DIV/0!</v>
      </c>
      <c r="AM745" s="4" t="e">
        <f ca="1">SQRT($B$9)*_xlfn.STDEV.S(AI745:OFFSET(AI745,$B$8-1,0))</f>
        <v>#DIV/0!</v>
      </c>
    </row>
    <row r="746" spans="5:39" x14ac:dyDescent="0.2">
      <c r="E746" s="42">
        <v>44357</v>
      </c>
      <c r="F746" s="43"/>
      <c r="G746" s="43"/>
      <c r="H746" s="43"/>
      <c r="I746" s="43"/>
      <c r="K746" s="3" t="e">
        <f t="shared" si="64"/>
        <v>#DIV/0!</v>
      </c>
      <c r="L746" s="3" t="e">
        <f ca="1">SQRT(AVERAGE(K746:OFFSET(K746,$B$5-1,0))*$B$9/(4*LN(2)))</f>
        <v>#DIV/0!</v>
      </c>
      <c r="M746" s="3" t="e">
        <f ca="1">SQRT(AVERAGE(K746:OFFSET(K746,$B$6-1,0))*$B$9/(4*LN(2)))</f>
        <v>#DIV/0!</v>
      </c>
      <c r="N746" s="3" t="e">
        <f ca="1">SQRT(AVERAGE(K746:OFFSET(K746,$B$7-1,0))*$B$9/(4*LN(2)))</f>
        <v>#DIV/0!</v>
      </c>
      <c r="O746" s="3" t="e">
        <f ca="1">SQRT(AVERAGE(K746:OFFSET(K746,$B$8-1,0))*$B$9/(4*LN(2)))</f>
        <v>#DIV/0!</v>
      </c>
      <c r="Q746" s="5" t="e">
        <f t="shared" si="63"/>
        <v>#DIV/0!</v>
      </c>
      <c r="R746" s="5" t="e">
        <f ca="1">SQRT($B$9*AVERAGE((Q746:OFFSET(Q746,$B$5-1,0))))</f>
        <v>#DIV/0!</v>
      </c>
      <c r="S746" s="5" t="e">
        <f ca="1">SQRT($B$9*AVERAGE((Q746:OFFSET(Q746,$B$6-1,0))))</f>
        <v>#DIV/0!</v>
      </c>
      <c r="T746" s="5" t="e">
        <f ca="1">SQRT($B$9*AVERAGE((Q746:OFFSET(Q746,$B$7-1,0))))</f>
        <v>#DIV/0!</v>
      </c>
      <c r="U746" s="5" t="e">
        <f ca="1">SQRT($B$9*AVERAGE((Q746:OFFSET(Q746,$B$8-1,0))))</f>
        <v>#DIV/0!</v>
      </c>
      <c r="W746" s="6" t="e">
        <f t="shared" si="67"/>
        <v>#DIV/0!</v>
      </c>
      <c r="X746" s="6" t="e">
        <f ca="1">SQRT($B$9*AVERAGE(W746:OFFSET(W746,$B$5-1,0)))</f>
        <v>#DIV/0!</v>
      </c>
      <c r="Y746" s="6" t="e">
        <f ca="1">SQRT($B$9*AVERAGE(W746:OFFSET(W746,$B$6-1,0)))</f>
        <v>#DIV/0!</v>
      </c>
      <c r="Z746" s="6" t="e">
        <f ca="1">SQRT($B$9*AVERAGE(W746:OFFSET(W746,$B$7-1,0)))</f>
        <v>#DIV/0!</v>
      </c>
      <c r="AA746" s="6" t="e">
        <f ca="1">SQRT($B$9*AVERAGE(W746:OFFSET(W746,$B$8-1,0)))</f>
        <v>#DIV/0!</v>
      </c>
      <c r="AC746" s="34" t="e">
        <f t="shared" si="65"/>
        <v>#DIV/0!</v>
      </c>
      <c r="AD746" s="34" t="e">
        <f ca="1">SQRT($B$9*SUM(AC746:OFFSET(AC746,$B$5-1,0))/($B$5-1))</f>
        <v>#DIV/0!</v>
      </c>
      <c r="AE746" s="34" t="e">
        <f ca="1">SQRT($B$9*SUM(AC746:OFFSET(AC746,$B$6-1,0))/($B$6-1))</f>
        <v>#DIV/0!</v>
      </c>
      <c r="AF746" s="34" t="e">
        <f ca="1">SQRT($B$9*SUM(AC746:OFFSET(AC746,$B$7-1,0))/($B$7-1))</f>
        <v>#DIV/0!</v>
      </c>
      <c r="AG746" s="34" t="e">
        <f ca="1">SQRT($B$9*SUM(AC746:OFFSET(AC746,$B$8-1,0))/($B$8-1))</f>
        <v>#DIV/0!</v>
      </c>
      <c r="AI746" s="1" t="e">
        <f t="shared" si="66"/>
        <v>#DIV/0!</v>
      </c>
      <c r="AJ746" s="4" t="e">
        <f ca="1">SQRT($B$9)*_xlfn.STDEV.S(AI746:OFFSET(AI746,$B$5-1,0))</f>
        <v>#DIV/0!</v>
      </c>
      <c r="AK746" s="4" t="e">
        <f ca="1">SQRT($B$9)*_xlfn.STDEV.S(AI746:OFFSET(AI746,$B$6-1,0))</f>
        <v>#DIV/0!</v>
      </c>
      <c r="AL746" s="4" t="e">
        <f ca="1">SQRT($B$9)*_xlfn.STDEV.S(AI746:OFFSET(AI746,$B$7-1,0))</f>
        <v>#DIV/0!</v>
      </c>
      <c r="AM746" s="4" t="e">
        <f ca="1">SQRT($B$9)*_xlfn.STDEV.S(AI746:OFFSET(AI746,$B$8-1,0))</f>
        <v>#DIV/0!</v>
      </c>
    </row>
    <row r="747" spans="5:39" x14ac:dyDescent="0.2">
      <c r="E747" s="42">
        <v>44356</v>
      </c>
      <c r="F747" s="43"/>
      <c r="G747" s="43"/>
      <c r="H747" s="43"/>
      <c r="I747" s="43"/>
      <c r="K747" s="3" t="e">
        <f t="shared" si="64"/>
        <v>#DIV/0!</v>
      </c>
      <c r="L747" s="3" t="e">
        <f ca="1">SQRT(AVERAGE(K747:OFFSET(K747,$B$5-1,0))*$B$9/(4*LN(2)))</f>
        <v>#DIV/0!</v>
      </c>
      <c r="M747" s="3" t="e">
        <f ca="1">SQRT(AVERAGE(K747:OFFSET(K747,$B$6-1,0))*$B$9/(4*LN(2)))</f>
        <v>#DIV/0!</v>
      </c>
      <c r="N747" s="3" t="e">
        <f ca="1">SQRT(AVERAGE(K747:OFFSET(K747,$B$7-1,0))*$B$9/(4*LN(2)))</f>
        <v>#DIV/0!</v>
      </c>
      <c r="O747" s="3" t="e">
        <f ca="1">SQRT(AVERAGE(K747:OFFSET(K747,$B$8-1,0))*$B$9/(4*LN(2)))</f>
        <v>#DIV/0!</v>
      </c>
      <c r="Q747" s="5" t="e">
        <f t="shared" si="63"/>
        <v>#DIV/0!</v>
      </c>
      <c r="R747" s="5" t="e">
        <f ca="1">SQRT($B$9*AVERAGE((Q747:OFFSET(Q747,$B$5-1,0))))</f>
        <v>#DIV/0!</v>
      </c>
      <c r="S747" s="5" t="e">
        <f ca="1">SQRT($B$9*AVERAGE((Q747:OFFSET(Q747,$B$6-1,0))))</f>
        <v>#DIV/0!</v>
      </c>
      <c r="T747" s="5" t="e">
        <f ca="1">SQRT($B$9*AVERAGE((Q747:OFFSET(Q747,$B$7-1,0))))</f>
        <v>#DIV/0!</v>
      </c>
      <c r="U747" s="5" t="e">
        <f ca="1">SQRT($B$9*AVERAGE((Q747:OFFSET(Q747,$B$8-1,0))))</f>
        <v>#DIV/0!</v>
      </c>
      <c r="W747" s="6" t="e">
        <f t="shared" si="67"/>
        <v>#DIV/0!</v>
      </c>
      <c r="X747" s="6" t="e">
        <f ca="1">SQRT($B$9*AVERAGE(W747:OFFSET(W747,$B$5-1,0)))</f>
        <v>#DIV/0!</v>
      </c>
      <c r="Y747" s="6" t="e">
        <f ca="1">SQRT($B$9*AVERAGE(W747:OFFSET(W747,$B$6-1,0)))</f>
        <v>#DIV/0!</v>
      </c>
      <c r="Z747" s="6" t="e">
        <f ca="1">SQRT($B$9*AVERAGE(W747:OFFSET(W747,$B$7-1,0)))</f>
        <v>#DIV/0!</v>
      </c>
      <c r="AA747" s="6" t="e">
        <f ca="1">SQRT($B$9*AVERAGE(W747:OFFSET(W747,$B$8-1,0)))</f>
        <v>#DIV/0!</v>
      </c>
      <c r="AC747" s="34" t="e">
        <f t="shared" si="65"/>
        <v>#DIV/0!</v>
      </c>
      <c r="AD747" s="34" t="e">
        <f ca="1">SQRT($B$9*SUM(AC747:OFFSET(AC747,$B$5-1,0))/($B$5-1))</f>
        <v>#DIV/0!</v>
      </c>
      <c r="AE747" s="34" t="e">
        <f ca="1">SQRT($B$9*SUM(AC747:OFFSET(AC747,$B$6-1,0))/($B$6-1))</f>
        <v>#DIV/0!</v>
      </c>
      <c r="AF747" s="34" t="e">
        <f ca="1">SQRT($B$9*SUM(AC747:OFFSET(AC747,$B$7-1,0))/($B$7-1))</f>
        <v>#DIV/0!</v>
      </c>
      <c r="AG747" s="34" t="e">
        <f ca="1">SQRT($B$9*SUM(AC747:OFFSET(AC747,$B$8-1,0))/($B$8-1))</f>
        <v>#DIV/0!</v>
      </c>
      <c r="AI747" s="1" t="e">
        <f t="shared" si="66"/>
        <v>#DIV/0!</v>
      </c>
      <c r="AJ747" s="4" t="e">
        <f ca="1">SQRT($B$9)*_xlfn.STDEV.S(AI747:OFFSET(AI747,$B$5-1,0))</f>
        <v>#DIV/0!</v>
      </c>
      <c r="AK747" s="4" t="e">
        <f ca="1">SQRT($B$9)*_xlfn.STDEV.S(AI747:OFFSET(AI747,$B$6-1,0))</f>
        <v>#DIV/0!</v>
      </c>
      <c r="AL747" s="4" t="e">
        <f ca="1">SQRT($B$9)*_xlfn.STDEV.S(AI747:OFFSET(AI747,$B$7-1,0))</f>
        <v>#DIV/0!</v>
      </c>
      <c r="AM747" s="4" t="e">
        <f ca="1">SQRT($B$9)*_xlfn.STDEV.S(AI747:OFFSET(AI747,$B$8-1,0))</f>
        <v>#DIV/0!</v>
      </c>
    </row>
    <row r="748" spans="5:39" x14ac:dyDescent="0.2">
      <c r="E748" s="42">
        <v>44355</v>
      </c>
      <c r="F748" s="43"/>
      <c r="G748" s="43"/>
      <c r="H748" s="43"/>
      <c r="I748" s="43"/>
      <c r="K748" s="3" t="e">
        <f t="shared" si="64"/>
        <v>#DIV/0!</v>
      </c>
      <c r="L748" s="3" t="e">
        <f ca="1">SQRT(AVERAGE(K748:OFFSET(K748,$B$5-1,0))*$B$9/(4*LN(2)))</f>
        <v>#DIV/0!</v>
      </c>
      <c r="M748" s="3" t="e">
        <f ca="1">SQRT(AVERAGE(K748:OFFSET(K748,$B$6-1,0))*$B$9/(4*LN(2)))</f>
        <v>#DIV/0!</v>
      </c>
      <c r="N748" s="3" t="e">
        <f ca="1">SQRT(AVERAGE(K748:OFFSET(K748,$B$7-1,0))*$B$9/(4*LN(2)))</f>
        <v>#DIV/0!</v>
      </c>
      <c r="O748" s="3" t="e">
        <f ca="1">SQRT(AVERAGE(K748:OFFSET(K748,$B$8-1,0))*$B$9/(4*LN(2)))</f>
        <v>#DIV/0!</v>
      </c>
      <c r="Q748" s="5" t="e">
        <f t="shared" si="63"/>
        <v>#DIV/0!</v>
      </c>
      <c r="R748" s="5" t="e">
        <f ca="1">SQRT($B$9*AVERAGE((Q748:OFFSET(Q748,$B$5-1,0))))</f>
        <v>#DIV/0!</v>
      </c>
      <c r="S748" s="5" t="e">
        <f ca="1">SQRT($B$9*AVERAGE((Q748:OFFSET(Q748,$B$6-1,0))))</f>
        <v>#DIV/0!</v>
      </c>
      <c r="T748" s="5" t="e">
        <f ca="1">SQRT($B$9*AVERAGE((Q748:OFFSET(Q748,$B$7-1,0))))</f>
        <v>#DIV/0!</v>
      </c>
      <c r="U748" s="5" t="e">
        <f ca="1">SQRT($B$9*AVERAGE((Q748:OFFSET(Q748,$B$8-1,0))))</f>
        <v>#DIV/0!</v>
      </c>
      <c r="W748" s="6" t="e">
        <f t="shared" si="67"/>
        <v>#DIV/0!</v>
      </c>
      <c r="X748" s="6" t="e">
        <f ca="1">SQRT($B$9*AVERAGE(W748:OFFSET(W748,$B$5-1,0)))</f>
        <v>#DIV/0!</v>
      </c>
      <c r="Y748" s="6" t="e">
        <f ca="1">SQRT($B$9*AVERAGE(W748:OFFSET(W748,$B$6-1,0)))</f>
        <v>#DIV/0!</v>
      </c>
      <c r="Z748" s="6" t="e">
        <f ca="1">SQRT($B$9*AVERAGE(W748:OFFSET(W748,$B$7-1,0)))</f>
        <v>#DIV/0!</v>
      </c>
      <c r="AA748" s="6" t="e">
        <f ca="1">SQRT($B$9*AVERAGE(W748:OFFSET(W748,$B$8-1,0)))</f>
        <v>#DIV/0!</v>
      </c>
      <c r="AC748" s="34" t="e">
        <f t="shared" si="65"/>
        <v>#DIV/0!</v>
      </c>
      <c r="AD748" s="34" t="e">
        <f ca="1">SQRT($B$9*SUM(AC748:OFFSET(AC748,$B$5-1,0))/($B$5-1))</f>
        <v>#DIV/0!</v>
      </c>
      <c r="AE748" s="34" t="e">
        <f ca="1">SQRT($B$9*SUM(AC748:OFFSET(AC748,$B$6-1,0))/($B$6-1))</f>
        <v>#DIV/0!</v>
      </c>
      <c r="AF748" s="34" t="e">
        <f ca="1">SQRT($B$9*SUM(AC748:OFFSET(AC748,$B$7-1,0))/($B$7-1))</f>
        <v>#DIV/0!</v>
      </c>
      <c r="AG748" s="34" t="e">
        <f ca="1">SQRT($B$9*SUM(AC748:OFFSET(AC748,$B$8-1,0))/($B$8-1))</f>
        <v>#DIV/0!</v>
      </c>
      <c r="AI748" s="1" t="e">
        <f t="shared" si="66"/>
        <v>#DIV/0!</v>
      </c>
      <c r="AJ748" s="4" t="e">
        <f ca="1">SQRT($B$9)*_xlfn.STDEV.S(AI748:OFFSET(AI748,$B$5-1,0))</f>
        <v>#DIV/0!</v>
      </c>
      <c r="AK748" s="4" t="e">
        <f ca="1">SQRT($B$9)*_xlfn.STDEV.S(AI748:OFFSET(AI748,$B$6-1,0))</f>
        <v>#DIV/0!</v>
      </c>
      <c r="AL748" s="4" t="e">
        <f ca="1">SQRT($B$9)*_xlfn.STDEV.S(AI748:OFFSET(AI748,$B$7-1,0))</f>
        <v>#DIV/0!</v>
      </c>
      <c r="AM748" s="4" t="e">
        <f ca="1">SQRT($B$9)*_xlfn.STDEV.S(AI748:OFFSET(AI748,$B$8-1,0))</f>
        <v>#DIV/0!</v>
      </c>
    </row>
    <row r="749" spans="5:39" x14ac:dyDescent="0.2">
      <c r="E749" s="42">
        <v>44354</v>
      </c>
      <c r="F749" s="43"/>
      <c r="G749" s="43"/>
      <c r="H749" s="43"/>
      <c r="I749" s="43"/>
      <c r="K749" s="3" t="e">
        <f t="shared" si="64"/>
        <v>#DIV/0!</v>
      </c>
      <c r="L749" s="3" t="e">
        <f ca="1">SQRT(AVERAGE(K749:OFFSET(K749,$B$5-1,0))*$B$9/(4*LN(2)))</f>
        <v>#DIV/0!</v>
      </c>
      <c r="M749" s="3" t="e">
        <f ca="1">SQRT(AVERAGE(K749:OFFSET(K749,$B$6-1,0))*$B$9/(4*LN(2)))</f>
        <v>#DIV/0!</v>
      </c>
      <c r="N749" s="3" t="e">
        <f ca="1">SQRT(AVERAGE(K749:OFFSET(K749,$B$7-1,0))*$B$9/(4*LN(2)))</f>
        <v>#DIV/0!</v>
      </c>
      <c r="O749" s="3" t="e">
        <f ca="1">SQRT(AVERAGE(K749:OFFSET(K749,$B$8-1,0))*$B$9/(4*LN(2)))</f>
        <v>#DIV/0!</v>
      </c>
      <c r="Q749" s="5" t="e">
        <f t="shared" si="63"/>
        <v>#DIV/0!</v>
      </c>
      <c r="R749" s="5" t="e">
        <f ca="1">SQRT($B$9*AVERAGE((Q749:OFFSET(Q749,$B$5-1,0))))</f>
        <v>#DIV/0!</v>
      </c>
      <c r="S749" s="5" t="e">
        <f ca="1">SQRT($B$9*AVERAGE((Q749:OFFSET(Q749,$B$6-1,0))))</f>
        <v>#DIV/0!</v>
      </c>
      <c r="T749" s="5" t="e">
        <f ca="1">SQRT($B$9*AVERAGE((Q749:OFFSET(Q749,$B$7-1,0))))</f>
        <v>#DIV/0!</v>
      </c>
      <c r="U749" s="5" t="e">
        <f ca="1">SQRT($B$9*AVERAGE((Q749:OFFSET(Q749,$B$8-1,0))))</f>
        <v>#DIV/0!</v>
      </c>
      <c r="W749" s="6" t="e">
        <f t="shared" si="67"/>
        <v>#DIV/0!</v>
      </c>
      <c r="X749" s="6" t="e">
        <f ca="1">SQRT($B$9*AVERAGE(W749:OFFSET(W749,$B$5-1,0)))</f>
        <v>#DIV/0!</v>
      </c>
      <c r="Y749" s="6" t="e">
        <f ca="1">SQRT($B$9*AVERAGE(W749:OFFSET(W749,$B$6-1,0)))</f>
        <v>#DIV/0!</v>
      </c>
      <c r="Z749" s="6" t="e">
        <f ca="1">SQRT($B$9*AVERAGE(W749:OFFSET(W749,$B$7-1,0)))</f>
        <v>#DIV/0!</v>
      </c>
      <c r="AA749" s="6" t="e">
        <f ca="1">SQRT($B$9*AVERAGE(W749:OFFSET(W749,$B$8-1,0)))</f>
        <v>#DIV/0!</v>
      </c>
      <c r="AC749" s="34" t="e">
        <f t="shared" si="65"/>
        <v>#DIV/0!</v>
      </c>
      <c r="AD749" s="34" t="e">
        <f ca="1">SQRT($B$9*SUM(AC749:OFFSET(AC749,$B$5-1,0))/($B$5-1))</f>
        <v>#DIV/0!</v>
      </c>
      <c r="AE749" s="34" t="e">
        <f ca="1">SQRT($B$9*SUM(AC749:OFFSET(AC749,$B$6-1,0))/($B$6-1))</f>
        <v>#DIV/0!</v>
      </c>
      <c r="AF749" s="34" t="e">
        <f ca="1">SQRT($B$9*SUM(AC749:OFFSET(AC749,$B$7-1,0))/($B$7-1))</f>
        <v>#DIV/0!</v>
      </c>
      <c r="AG749" s="34" t="e">
        <f ca="1">SQRT($B$9*SUM(AC749:OFFSET(AC749,$B$8-1,0))/($B$8-1))</f>
        <v>#DIV/0!</v>
      </c>
      <c r="AI749" s="1" t="e">
        <f t="shared" si="66"/>
        <v>#DIV/0!</v>
      </c>
      <c r="AJ749" s="4" t="e">
        <f ca="1">SQRT($B$9)*_xlfn.STDEV.S(AI749:OFFSET(AI749,$B$5-1,0))</f>
        <v>#DIV/0!</v>
      </c>
      <c r="AK749" s="4" t="e">
        <f ca="1">SQRT($B$9)*_xlfn.STDEV.S(AI749:OFFSET(AI749,$B$6-1,0))</f>
        <v>#DIV/0!</v>
      </c>
      <c r="AL749" s="4" t="e">
        <f ca="1">SQRT($B$9)*_xlfn.STDEV.S(AI749:OFFSET(AI749,$B$7-1,0))</f>
        <v>#DIV/0!</v>
      </c>
      <c r="AM749" s="4" t="e">
        <f ca="1">SQRT($B$9)*_xlfn.STDEV.S(AI749:OFFSET(AI749,$B$8-1,0))</f>
        <v>#DIV/0!</v>
      </c>
    </row>
    <row r="750" spans="5:39" x14ac:dyDescent="0.2">
      <c r="E750" s="42">
        <v>44351</v>
      </c>
      <c r="F750" s="43"/>
      <c r="G750" s="43"/>
      <c r="H750" s="43"/>
      <c r="I750" s="43"/>
      <c r="K750" s="3" t="e">
        <f t="shared" si="64"/>
        <v>#DIV/0!</v>
      </c>
      <c r="L750" s="3" t="e">
        <f ca="1">SQRT(AVERAGE(K750:OFFSET(K750,$B$5-1,0))*$B$9/(4*LN(2)))</f>
        <v>#DIV/0!</v>
      </c>
      <c r="M750" s="3" t="e">
        <f ca="1">SQRT(AVERAGE(K750:OFFSET(K750,$B$6-1,0))*$B$9/(4*LN(2)))</f>
        <v>#DIV/0!</v>
      </c>
      <c r="N750" s="3" t="e">
        <f ca="1">SQRT(AVERAGE(K750:OFFSET(K750,$B$7-1,0))*$B$9/(4*LN(2)))</f>
        <v>#DIV/0!</v>
      </c>
      <c r="O750" s="3" t="e">
        <f ca="1">SQRT(AVERAGE(K750:OFFSET(K750,$B$8-1,0))*$B$9/(4*LN(2)))</f>
        <v>#DIV/0!</v>
      </c>
      <c r="Q750" s="5" t="e">
        <f t="shared" si="63"/>
        <v>#DIV/0!</v>
      </c>
      <c r="R750" s="5" t="e">
        <f ca="1">SQRT($B$9*AVERAGE((Q750:OFFSET(Q750,$B$5-1,0))))</f>
        <v>#DIV/0!</v>
      </c>
      <c r="S750" s="5" t="e">
        <f ca="1">SQRT($B$9*AVERAGE((Q750:OFFSET(Q750,$B$6-1,0))))</f>
        <v>#DIV/0!</v>
      </c>
      <c r="T750" s="5" t="e">
        <f ca="1">SQRT($B$9*AVERAGE((Q750:OFFSET(Q750,$B$7-1,0))))</f>
        <v>#DIV/0!</v>
      </c>
      <c r="U750" s="5" t="e">
        <f ca="1">SQRT($B$9*AVERAGE((Q750:OFFSET(Q750,$B$8-1,0))))</f>
        <v>#DIV/0!</v>
      </c>
      <c r="W750" s="6" t="e">
        <f t="shared" si="67"/>
        <v>#DIV/0!</v>
      </c>
      <c r="X750" s="6" t="e">
        <f ca="1">SQRT($B$9*AVERAGE(W750:OFFSET(W750,$B$5-1,0)))</f>
        <v>#DIV/0!</v>
      </c>
      <c r="Y750" s="6" t="e">
        <f ca="1">SQRT($B$9*AVERAGE(W750:OFFSET(W750,$B$6-1,0)))</f>
        <v>#DIV/0!</v>
      </c>
      <c r="Z750" s="6" t="e">
        <f ca="1">SQRT($B$9*AVERAGE(W750:OFFSET(W750,$B$7-1,0)))</f>
        <v>#DIV/0!</v>
      </c>
      <c r="AA750" s="6" t="e">
        <f ca="1">SQRT($B$9*AVERAGE(W750:OFFSET(W750,$B$8-1,0)))</f>
        <v>#DIV/0!</v>
      </c>
      <c r="AC750" s="34" t="e">
        <f t="shared" si="65"/>
        <v>#DIV/0!</v>
      </c>
      <c r="AD750" s="34" t="e">
        <f ca="1">SQRT($B$9*SUM(AC750:OFFSET(AC750,$B$5-1,0))/($B$5-1))</f>
        <v>#DIV/0!</v>
      </c>
      <c r="AE750" s="34" t="e">
        <f ca="1">SQRT($B$9*SUM(AC750:OFFSET(AC750,$B$6-1,0))/($B$6-1))</f>
        <v>#DIV/0!</v>
      </c>
      <c r="AF750" s="34" t="e">
        <f ca="1">SQRT($B$9*SUM(AC750:OFFSET(AC750,$B$7-1,0))/($B$7-1))</f>
        <v>#DIV/0!</v>
      </c>
      <c r="AG750" s="34" t="e">
        <f ca="1">SQRT($B$9*SUM(AC750:OFFSET(AC750,$B$8-1,0))/($B$8-1))</f>
        <v>#DIV/0!</v>
      </c>
      <c r="AI750" s="1" t="e">
        <f t="shared" si="66"/>
        <v>#DIV/0!</v>
      </c>
      <c r="AJ750" s="4" t="e">
        <f ca="1">SQRT($B$9)*_xlfn.STDEV.S(AI750:OFFSET(AI750,$B$5-1,0))</f>
        <v>#DIV/0!</v>
      </c>
      <c r="AK750" s="4" t="e">
        <f ca="1">SQRT($B$9)*_xlfn.STDEV.S(AI750:OFFSET(AI750,$B$6-1,0))</f>
        <v>#DIV/0!</v>
      </c>
      <c r="AL750" s="4" t="e">
        <f ca="1">SQRT($B$9)*_xlfn.STDEV.S(AI750:OFFSET(AI750,$B$7-1,0))</f>
        <v>#DIV/0!</v>
      </c>
      <c r="AM750" s="4" t="e">
        <f ca="1">SQRT($B$9)*_xlfn.STDEV.S(AI750:OFFSET(AI750,$B$8-1,0))</f>
        <v>#DIV/0!</v>
      </c>
    </row>
    <row r="751" spans="5:39" x14ac:dyDescent="0.2">
      <c r="E751" s="42">
        <v>44350</v>
      </c>
      <c r="F751" s="43"/>
      <c r="G751" s="43"/>
      <c r="H751" s="43"/>
      <c r="I751" s="43"/>
      <c r="K751" s="3" t="e">
        <f t="shared" si="64"/>
        <v>#DIV/0!</v>
      </c>
      <c r="L751" s="3" t="e">
        <f ca="1">SQRT(AVERAGE(K751:OFFSET(K751,$B$5-1,0))*$B$9/(4*LN(2)))</f>
        <v>#DIV/0!</v>
      </c>
      <c r="M751" s="3" t="e">
        <f ca="1">SQRT(AVERAGE(K751:OFFSET(K751,$B$6-1,0))*$B$9/(4*LN(2)))</f>
        <v>#DIV/0!</v>
      </c>
      <c r="N751" s="3" t="e">
        <f ca="1">SQRT(AVERAGE(K751:OFFSET(K751,$B$7-1,0))*$B$9/(4*LN(2)))</f>
        <v>#DIV/0!</v>
      </c>
      <c r="O751" s="3" t="e">
        <f ca="1">SQRT(AVERAGE(K751:OFFSET(K751,$B$8-1,0))*$B$9/(4*LN(2)))</f>
        <v>#DIV/0!</v>
      </c>
      <c r="Q751" s="5" t="e">
        <f t="shared" si="63"/>
        <v>#DIV/0!</v>
      </c>
      <c r="R751" s="5" t="e">
        <f ca="1">SQRT($B$9*AVERAGE((Q751:OFFSET(Q751,$B$5-1,0))))</f>
        <v>#DIV/0!</v>
      </c>
      <c r="S751" s="5" t="e">
        <f ca="1">SQRT($B$9*AVERAGE((Q751:OFFSET(Q751,$B$6-1,0))))</f>
        <v>#DIV/0!</v>
      </c>
      <c r="T751" s="5" t="e">
        <f ca="1">SQRT($B$9*AVERAGE((Q751:OFFSET(Q751,$B$7-1,0))))</f>
        <v>#DIV/0!</v>
      </c>
      <c r="U751" s="5" t="e">
        <f ca="1">SQRT($B$9*AVERAGE((Q751:OFFSET(Q751,$B$8-1,0))))</f>
        <v>#DIV/0!</v>
      </c>
      <c r="W751" s="6" t="e">
        <f t="shared" si="67"/>
        <v>#DIV/0!</v>
      </c>
      <c r="X751" s="6" t="e">
        <f ca="1">SQRT($B$9*AVERAGE(W751:OFFSET(W751,$B$5-1,0)))</f>
        <v>#DIV/0!</v>
      </c>
      <c r="Y751" s="6" t="e">
        <f ca="1">SQRT($B$9*AVERAGE(W751:OFFSET(W751,$B$6-1,0)))</f>
        <v>#DIV/0!</v>
      </c>
      <c r="Z751" s="6" t="e">
        <f ca="1">SQRT($B$9*AVERAGE(W751:OFFSET(W751,$B$7-1,0)))</f>
        <v>#DIV/0!</v>
      </c>
      <c r="AA751" s="6" t="e">
        <f ca="1">SQRT($B$9*AVERAGE(W751:OFFSET(W751,$B$8-1,0)))</f>
        <v>#DIV/0!</v>
      </c>
      <c r="AC751" s="34" t="e">
        <f t="shared" si="65"/>
        <v>#DIV/0!</v>
      </c>
      <c r="AD751" s="34" t="e">
        <f ca="1">SQRT($B$9*SUM(AC751:OFFSET(AC751,$B$5-1,0))/($B$5-1))</f>
        <v>#DIV/0!</v>
      </c>
      <c r="AE751" s="34" t="e">
        <f ca="1">SQRT($B$9*SUM(AC751:OFFSET(AC751,$B$6-1,0))/($B$6-1))</f>
        <v>#DIV/0!</v>
      </c>
      <c r="AF751" s="34" t="e">
        <f ca="1">SQRT($B$9*SUM(AC751:OFFSET(AC751,$B$7-1,0))/($B$7-1))</f>
        <v>#DIV/0!</v>
      </c>
      <c r="AG751" s="34" t="e">
        <f ca="1">SQRT($B$9*SUM(AC751:OFFSET(AC751,$B$8-1,0))/($B$8-1))</f>
        <v>#DIV/0!</v>
      </c>
      <c r="AI751" s="1" t="e">
        <f t="shared" si="66"/>
        <v>#DIV/0!</v>
      </c>
      <c r="AJ751" s="4" t="e">
        <f ca="1">SQRT($B$9)*_xlfn.STDEV.S(AI751:OFFSET(AI751,$B$5-1,0))</f>
        <v>#DIV/0!</v>
      </c>
      <c r="AK751" s="4" t="e">
        <f ca="1">SQRT($B$9)*_xlfn.STDEV.S(AI751:OFFSET(AI751,$B$6-1,0))</f>
        <v>#DIV/0!</v>
      </c>
      <c r="AL751" s="4" t="e">
        <f ca="1">SQRT($B$9)*_xlfn.STDEV.S(AI751:OFFSET(AI751,$B$7-1,0))</f>
        <v>#DIV/0!</v>
      </c>
      <c r="AM751" s="4" t="e">
        <f ca="1">SQRT($B$9)*_xlfn.STDEV.S(AI751:OFFSET(AI751,$B$8-1,0))</f>
        <v>#DIV/0!</v>
      </c>
    </row>
    <row r="752" spans="5:39" x14ac:dyDescent="0.2">
      <c r="E752" s="42">
        <v>44349</v>
      </c>
      <c r="F752" s="43"/>
      <c r="G752" s="43"/>
      <c r="H752" s="43"/>
      <c r="I752" s="43"/>
      <c r="K752" s="3" t="e">
        <f t="shared" si="64"/>
        <v>#DIV/0!</v>
      </c>
      <c r="L752" s="3" t="e">
        <f ca="1">SQRT(AVERAGE(K752:OFFSET(K752,$B$5-1,0))*$B$9/(4*LN(2)))</f>
        <v>#DIV/0!</v>
      </c>
      <c r="M752" s="3" t="e">
        <f ca="1">SQRT(AVERAGE(K752:OFFSET(K752,$B$6-1,0))*$B$9/(4*LN(2)))</f>
        <v>#DIV/0!</v>
      </c>
      <c r="N752" s="3" t="e">
        <f ca="1">SQRT(AVERAGE(K752:OFFSET(K752,$B$7-1,0))*$B$9/(4*LN(2)))</f>
        <v>#DIV/0!</v>
      </c>
      <c r="O752" s="3" t="e">
        <f ca="1">SQRT(AVERAGE(K752:OFFSET(K752,$B$8-1,0))*$B$9/(4*LN(2)))</f>
        <v>#DIV/0!</v>
      </c>
      <c r="Q752" s="5" t="e">
        <f t="shared" si="63"/>
        <v>#DIV/0!</v>
      </c>
      <c r="R752" s="5" t="e">
        <f ca="1">SQRT($B$9*AVERAGE((Q752:OFFSET(Q752,$B$5-1,0))))</f>
        <v>#DIV/0!</v>
      </c>
      <c r="S752" s="5" t="e">
        <f ca="1">SQRT($B$9*AVERAGE((Q752:OFFSET(Q752,$B$6-1,0))))</f>
        <v>#DIV/0!</v>
      </c>
      <c r="T752" s="5" t="e">
        <f ca="1">SQRT($B$9*AVERAGE((Q752:OFFSET(Q752,$B$7-1,0))))</f>
        <v>#DIV/0!</v>
      </c>
      <c r="U752" s="5" t="e">
        <f ca="1">SQRT($B$9*AVERAGE((Q752:OFFSET(Q752,$B$8-1,0))))</f>
        <v>#DIV/0!</v>
      </c>
      <c r="W752" s="6" t="e">
        <f t="shared" si="67"/>
        <v>#DIV/0!</v>
      </c>
      <c r="X752" s="6" t="e">
        <f ca="1">SQRT($B$9*AVERAGE(W752:OFFSET(W752,$B$5-1,0)))</f>
        <v>#DIV/0!</v>
      </c>
      <c r="Y752" s="6" t="e">
        <f ca="1">SQRT($B$9*AVERAGE(W752:OFFSET(W752,$B$6-1,0)))</f>
        <v>#DIV/0!</v>
      </c>
      <c r="Z752" s="6" t="e">
        <f ca="1">SQRT($B$9*AVERAGE(W752:OFFSET(W752,$B$7-1,0)))</f>
        <v>#DIV/0!</v>
      </c>
      <c r="AA752" s="6" t="e">
        <f ca="1">SQRT($B$9*AVERAGE(W752:OFFSET(W752,$B$8-1,0)))</f>
        <v>#DIV/0!</v>
      </c>
      <c r="AC752" s="34" t="e">
        <f t="shared" si="65"/>
        <v>#DIV/0!</v>
      </c>
      <c r="AD752" s="34" t="e">
        <f ca="1">SQRT($B$9*SUM(AC752:OFFSET(AC752,$B$5-1,0))/($B$5-1))</f>
        <v>#DIV/0!</v>
      </c>
      <c r="AE752" s="34" t="e">
        <f ca="1">SQRT($B$9*SUM(AC752:OFFSET(AC752,$B$6-1,0))/($B$6-1))</f>
        <v>#DIV/0!</v>
      </c>
      <c r="AF752" s="34" t="e">
        <f ca="1">SQRT($B$9*SUM(AC752:OFFSET(AC752,$B$7-1,0))/($B$7-1))</f>
        <v>#DIV/0!</v>
      </c>
      <c r="AG752" s="34" t="e">
        <f ca="1">SQRT($B$9*SUM(AC752:OFFSET(AC752,$B$8-1,0))/($B$8-1))</f>
        <v>#DIV/0!</v>
      </c>
      <c r="AI752" s="1" t="e">
        <f t="shared" si="66"/>
        <v>#DIV/0!</v>
      </c>
      <c r="AJ752" s="4" t="e">
        <f ca="1">SQRT($B$9)*_xlfn.STDEV.S(AI752:OFFSET(AI752,$B$5-1,0))</f>
        <v>#DIV/0!</v>
      </c>
      <c r="AK752" s="4" t="e">
        <f ca="1">SQRT($B$9)*_xlfn.STDEV.S(AI752:OFFSET(AI752,$B$6-1,0))</f>
        <v>#DIV/0!</v>
      </c>
      <c r="AL752" s="4" t="e">
        <f ca="1">SQRT($B$9)*_xlfn.STDEV.S(AI752:OFFSET(AI752,$B$7-1,0))</f>
        <v>#DIV/0!</v>
      </c>
      <c r="AM752" s="4" t="e">
        <f ca="1">SQRT($B$9)*_xlfn.STDEV.S(AI752:OFFSET(AI752,$B$8-1,0))</f>
        <v>#DIV/0!</v>
      </c>
    </row>
    <row r="753" spans="5:39" x14ac:dyDescent="0.2">
      <c r="E753" s="42">
        <v>44348</v>
      </c>
      <c r="F753" s="43"/>
      <c r="G753" s="43"/>
      <c r="H753" s="43"/>
      <c r="I753" s="43"/>
      <c r="K753" s="3" t="e">
        <f t="shared" si="64"/>
        <v>#DIV/0!</v>
      </c>
      <c r="L753" s="3" t="e">
        <f ca="1">SQRT(AVERAGE(K753:OFFSET(K753,$B$5-1,0))*$B$9/(4*LN(2)))</f>
        <v>#DIV/0!</v>
      </c>
      <c r="M753" s="3" t="e">
        <f ca="1">SQRT(AVERAGE(K753:OFFSET(K753,$B$6-1,0))*$B$9/(4*LN(2)))</f>
        <v>#DIV/0!</v>
      </c>
      <c r="N753" s="3" t="e">
        <f ca="1">SQRT(AVERAGE(K753:OFFSET(K753,$B$7-1,0))*$B$9/(4*LN(2)))</f>
        <v>#DIV/0!</v>
      </c>
      <c r="O753" s="3" t="e">
        <f ca="1">SQRT(AVERAGE(K753:OFFSET(K753,$B$8-1,0))*$B$9/(4*LN(2)))</f>
        <v>#DIV/0!</v>
      </c>
      <c r="Q753" s="5" t="e">
        <f t="shared" si="63"/>
        <v>#DIV/0!</v>
      </c>
      <c r="R753" s="5" t="e">
        <f ca="1">SQRT($B$9*AVERAGE((Q753:OFFSET(Q753,$B$5-1,0))))</f>
        <v>#DIV/0!</v>
      </c>
      <c r="S753" s="5" t="e">
        <f ca="1">SQRT($B$9*AVERAGE((Q753:OFFSET(Q753,$B$6-1,0))))</f>
        <v>#DIV/0!</v>
      </c>
      <c r="T753" s="5" t="e">
        <f ca="1">SQRT($B$9*AVERAGE((Q753:OFFSET(Q753,$B$7-1,0))))</f>
        <v>#DIV/0!</v>
      </c>
      <c r="U753" s="5" t="e">
        <f ca="1">SQRT($B$9*AVERAGE((Q753:OFFSET(Q753,$B$8-1,0))))</f>
        <v>#DIV/0!</v>
      </c>
      <c r="W753" s="6" t="e">
        <f t="shared" si="67"/>
        <v>#DIV/0!</v>
      </c>
      <c r="X753" s="6" t="e">
        <f ca="1">SQRT($B$9*AVERAGE(W753:OFFSET(W753,$B$5-1,0)))</f>
        <v>#DIV/0!</v>
      </c>
      <c r="Y753" s="6" t="e">
        <f ca="1">SQRT($B$9*AVERAGE(W753:OFFSET(W753,$B$6-1,0)))</f>
        <v>#DIV/0!</v>
      </c>
      <c r="Z753" s="6" t="e">
        <f ca="1">SQRT($B$9*AVERAGE(W753:OFFSET(W753,$B$7-1,0)))</f>
        <v>#DIV/0!</v>
      </c>
      <c r="AA753" s="6" t="e">
        <f ca="1">SQRT($B$9*AVERAGE(W753:OFFSET(W753,$B$8-1,0)))</f>
        <v>#DIV/0!</v>
      </c>
      <c r="AC753" s="34" t="e">
        <f t="shared" si="65"/>
        <v>#DIV/0!</v>
      </c>
      <c r="AD753" s="34" t="e">
        <f ca="1">SQRT($B$9*SUM(AC753:OFFSET(AC753,$B$5-1,0))/($B$5-1))</f>
        <v>#DIV/0!</v>
      </c>
      <c r="AE753" s="34" t="e">
        <f ca="1">SQRT($B$9*SUM(AC753:OFFSET(AC753,$B$6-1,0))/($B$6-1))</f>
        <v>#DIV/0!</v>
      </c>
      <c r="AF753" s="34" t="e">
        <f ca="1">SQRT($B$9*SUM(AC753:OFFSET(AC753,$B$7-1,0))/($B$7-1))</f>
        <v>#DIV/0!</v>
      </c>
      <c r="AG753" s="34" t="e">
        <f ca="1">SQRT($B$9*SUM(AC753:OFFSET(AC753,$B$8-1,0))/($B$8-1))</f>
        <v>#DIV/0!</v>
      </c>
      <c r="AI753" s="1" t="e">
        <f t="shared" si="66"/>
        <v>#DIV/0!</v>
      </c>
      <c r="AJ753" s="4" t="e">
        <f ca="1">SQRT($B$9)*_xlfn.STDEV.S(AI753:OFFSET(AI753,$B$5-1,0))</f>
        <v>#DIV/0!</v>
      </c>
      <c r="AK753" s="4" t="e">
        <f ca="1">SQRT($B$9)*_xlfn.STDEV.S(AI753:OFFSET(AI753,$B$6-1,0))</f>
        <v>#DIV/0!</v>
      </c>
      <c r="AL753" s="4" t="e">
        <f ca="1">SQRT($B$9)*_xlfn.STDEV.S(AI753:OFFSET(AI753,$B$7-1,0))</f>
        <v>#DIV/0!</v>
      </c>
      <c r="AM753" s="4" t="e">
        <f ca="1">SQRT($B$9)*_xlfn.STDEV.S(AI753:OFFSET(AI753,$B$8-1,0))</f>
        <v>#DIV/0!</v>
      </c>
    </row>
    <row r="754" spans="5:39" x14ac:dyDescent="0.2">
      <c r="E754" s="42">
        <v>44347</v>
      </c>
      <c r="F754" s="43"/>
      <c r="G754" s="43"/>
      <c r="H754" s="43"/>
      <c r="I754" s="43"/>
      <c r="K754" s="3" t="e">
        <f t="shared" si="64"/>
        <v>#DIV/0!</v>
      </c>
      <c r="L754" s="3" t="e">
        <f ca="1">SQRT(AVERAGE(K754:OFFSET(K754,$B$5-1,0))*$B$9/(4*LN(2)))</f>
        <v>#DIV/0!</v>
      </c>
      <c r="M754" s="3" t="e">
        <f ca="1">SQRT(AVERAGE(K754:OFFSET(K754,$B$6-1,0))*$B$9/(4*LN(2)))</f>
        <v>#DIV/0!</v>
      </c>
      <c r="N754" s="3" t="e">
        <f ca="1">SQRT(AVERAGE(K754:OFFSET(K754,$B$7-1,0))*$B$9/(4*LN(2)))</f>
        <v>#DIV/0!</v>
      </c>
      <c r="O754" s="3" t="e">
        <f ca="1">SQRT(AVERAGE(K754:OFFSET(K754,$B$8-1,0))*$B$9/(4*LN(2)))</f>
        <v>#DIV/0!</v>
      </c>
      <c r="Q754" s="5" t="e">
        <f t="shared" si="63"/>
        <v>#DIV/0!</v>
      </c>
      <c r="R754" s="5" t="e">
        <f ca="1">SQRT($B$9*AVERAGE((Q754:OFFSET(Q754,$B$5-1,0))))</f>
        <v>#DIV/0!</v>
      </c>
      <c r="S754" s="5" t="e">
        <f ca="1">SQRT($B$9*AVERAGE((Q754:OFFSET(Q754,$B$6-1,0))))</f>
        <v>#DIV/0!</v>
      </c>
      <c r="T754" s="5" t="e">
        <f ca="1">SQRT($B$9*AVERAGE((Q754:OFFSET(Q754,$B$7-1,0))))</f>
        <v>#DIV/0!</v>
      </c>
      <c r="U754" s="5" t="e">
        <f ca="1">SQRT($B$9*AVERAGE((Q754:OFFSET(Q754,$B$8-1,0))))</f>
        <v>#DIV/0!</v>
      </c>
      <c r="W754" s="6" t="e">
        <f t="shared" si="67"/>
        <v>#DIV/0!</v>
      </c>
      <c r="X754" s="6" t="e">
        <f ca="1">SQRT($B$9*AVERAGE(W754:OFFSET(W754,$B$5-1,0)))</f>
        <v>#DIV/0!</v>
      </c>
      <c r="Y754" s="6" t="e">
        <f ca="1">SQRT($B$9*AVERAGE(W754:OFFSET(W754,$B$6-1,0)))</f>
        <v>#DIV/0!</v>
      </c>
      <c r="Z754" s="6" t="e">
        <f ca="1">SQRT($B$9*AVERAGE(W754:OFFSET(W754,$B$7-1,0)))</f>
        <v>#DIV/0!</v>
      </c>
      <c r="AA754" s="6" t="e">
        <f ca="1">SQRT($B$9*AVERAGE(W754:OFFSET(W754,$B$8-1,0)))</f>
        <v>#DIV/0!</v>
      </c>
      <c r="AC754" s="34" t="e">
        <f t="shared" si="65"/>
        <v>#DIV/0!</v>
      </c>
      <c r="AD754" s="34" t="e">
        <f ca="1">SQRT($B$9*SUM(AC754:OFFSET(AC754,$B$5-1,0))/($B$5-1))</f>
        <v>#DIV/0!</v>
      </c>
      <c r="AE754" s="34" t="e">
        <f ca="1">SQRT($B$9*SUM(AC754:OFFSET(AC754,$B$6-1,0))/($B$6-1))</f>
        <v>#DIV/0!</v>
      </c>
      <c r="AF754" s="34" t="e">
        <f ca="1">SQRT($B$9*SUM(AC754:OFFSET(AC754,$B$7-1,0))/($B$7-1))</f>
        <v>#DIV/0!</v>
      </c>
      <c r="AG754" s="34" t="e">
        <f ca="1">SQRT($B$9*SUM(AC754:OFFSET(AC754,$B$8-1,0))/($B$8-1))</f>
        <v>#DIV/0!</v>
      </c>
      <c r="AI754" s="1" t="e">
        <f t="shared" si="66"/>
        <v>#DIV/0!</v>
      </c>
      <c r="AJ754" s="4" t="e">
        <f ca="1">SQRT($B$9)*_xlfn.STDEV.S(AI754:OFFSET(AI754,$B$5-1,0))</f>
        <v>#DIV/0!</v>
      </c>
      <c r="AK754" s="4" t="e">
        <f ca="1">SQRT($B$9)*_xlfn.STDEV.S(AI754:OFFSET(AI754,$B$6-1,0))</f>
        <v>#DIV/0!</v>
      </c>
      <c r="AL754" s="4" t="e">
        <f ca="1">SQRT($B$9)*_xlfn.STDEV.S(AI754:OFFSET(AI754,$B$7-1,0))</f>
        <v>#DIV/0!</v>
      </c>
      <c r="AM754" s="4" t="e">
        <f ca="1">SQRT($B$9)*_xlfn.STDEV.S(AI754:OFFSET(AI754,$B$8-1,0))</f>
        <v>#DIV/0!</v>
      </c>
    </row>
    <row r="755" spans="5:39" x14ac:dyDescent="0.2">
      <c r="E755" s="42">
        <v>44344</v>
      </c>
      <c r="F755" s="43"/>
      <c r="G755" s="43"/>
      <c r="H755" s="43"/>
      <c r="I755" s="43"/>
      <c r="K755" s="3" t="e">
        <f t="shared" si="64"/>
        <v>#DIV/0!</v>
      </c>
      <c r="L755" s="3" t="e">
        <f ca="1">SQRT(AVERAGE(K755:OFFSET(K755,$B$5-1,0))*$B$9/(4*LN(2)))</f>
        <v>#DIV/0!</v>
      </c>
      <c r="M755" s="3" t="e">
        <f ca="1">SQRT(AVERAGE(K755:OFFSET(K755,$B$6-1,0))*$B$9/(4*LN(2)))</f>
        <v>#DIV/0!</v>
      </c>
      <c r="N755" s="3" t="e">
        <f ca="1">SQRT(AVERAGE(K755:OFFSET(K755,$B$7-1,0))*$B$9/(4*LN(2)))</f>
        <v>#DIV/0!</v>
      </c>
      <c r="O755" s="3" t="e">
        <f ca="1">SQRT(AVERAGE(K755:OFFSET(K755,$B$8-1,0))*$B$9/(4*LN(2)))</f>
        <v>#DIV/0!</v>
      </c>
      <c r="Q755" s="5" t="e">
        <f t="shared" si="63"/>
        <v>#DIV/0!</v>
      </c>
      <c r="R755" s="5" t="e">
        <f ca="1">SQRT($B$9*AVERAGE((Q755:OFFSET(Q755,$B$5-1,0))))</f>
        <v>#DIV/0!</v>
      </c>
      <c r="S755" s="5" t="e">
        <f ca="1">SQRT($B$9*AVERAGE((Q755:OFFSET(Q755,$B$6-1,0))))</f>
        <v>#DIV/0!</v>
      </c>
      <c r="T755" s="5" t="e">
        <f ca="1">SQRT($B$9*AVERAGE((Q755:OFFSET(Q755,$B$7-1,0))))</f>
        <v>#DIV/0!</v>
      </c>
      <c r="U755" s="5" t="e">
        <f ca="1">SQRT($B$9*AVERAGE((Q755:OFFSET(Q755,$B$8-1,0))))</f>
        <v>#DIV/0!</v>
      </c>
      <c r="W755" s="6" t="e">
        <f t="shared" si="67"/>
        <v>#DIV/0!</v>
      </c>
      <c r="X755" s="6" t="e">
        <f ca="1">SQRT($B$9*AVERAGE(W755:OFFSET(W755,$B$5-1,0)))</f>
        <v>#DIV/0!</v>
      </c>
      <c r="Y755" s="6" t="e">
        <f ca="1">SQRT($B$9*AVERAGE(W755:OFFSET(W755,$B$6-1,0)))</f>
        <v>#DIV/0!</v>
      </c>
      <c r="Z755" s="6" t="e">
        <f ca="1">SQRT($B$9*AVERAGE(W755:OFFSET(W755,$B$7-1,0)))</f>
        <v>#DIV/0!</v>
      </c>
      <c r="AA755" s="6" t="e">
        <f ca="1">SQRT($B$9*AVERAGE(W755:OFFSET(W755,$B$8-1,0)))</f>
        <v>#DIV/0!</v>
      </c>
      <c r="AC755" s="34" t="e">
        <f t="shared" si="65"/>
        <v>#DIV/0!</v>
      </c>
      <c r="AD755" s="34" t="e">
        <f ca="1">SQRT($B$9*SUM(AC755:OFFSET(AC755,$B$5-1,0))/($B$5-1))</f>
        <v>#DIV/0!</v>
      </c>
      <c r="AE755" s="34" t="e">
        <f ca="1">SQRT($B$9*SUM(AC755:OFFSET(AC755,$B$6-1,0))/($B$6-1))</f>
        <v>#DIV/0!</v>
      </c>
      <c r="AF755" s="34" t="e">
        <f ca="1">SQRT($B$9*SUM(AC755:OFFSET(AC755,$B$7-1,0))/($B$7-1))</f>
        <v>#DIV/0!</v>
      </c>
      <c r="AG755" s="34" t="e">
        <f ca="1">SQRT($B$9*SUM(AC755:OFFSET(AC755,$B$8-1,0))/($B$8-1))</f>
        <v>#DIV/0!</v>
      </c>
      <c r="AI755" s="1" t="e">
        <f t="shared" si="66"/>
        <v>#DIV/0!</v>
      </c>
      <c r="AJ755" s="4" t="e">
        <f ca="1">SQRT($B$9)*_xlfn.STDEV.S(AI755:OFFSET(AI755,$B$5-1,0))</f>
        <v>#DIV/0!</v>
      </c>
      <c r="AK755" s="4" t="e">
        <f ca="1">SQRT($B$9)*_xlfn.STDEV.S(AI755:OFFSET(AI755,$B$6-1,0))</f>
        <v>#DIV/0!</v>
      </c>
      <c r="AL755" s="4" t="e">
        <f ca="1">SQRT($B$9)*_xlfn.STDEV.S(AI755:OFFSET(AI755,$B$7-1,0))</f>
        <v>#DIV/0!</v>
      </c>
      <c r="AM755" s="4" t="e">
        <f ca="1">SQRT($B$9)*_xlfn.STDEV.S(AI755:OFFSET(AI755,$B$8-1,0))</f>
        <v>#DIV/0!</v>
      </c>
    </row>
    <row r="756" spans="5:39" x14ac:dyDescent="0.2">
      <c r="E756" s="42">
        <v>44343</v>
      </c>
      <c r="F756" s="43"/>
      <c r="G756" s="43"/>
      <c r="H756" s="43"/>
      <c r="I756" s="43"/>
      <c r="K756" s="3" t="e">
        <f t="shared" si="64"/>
        <v>#DIV/0!</v>
      </c>
      <c r="L756" s="3" t="e">
        <f ca="1">SQRT(AVERAGE(K756:OFFSET(K756,$B$5-1,0))*$B$9/(4*LN(2)))</f>
        <v>#DIV/0!</v>
      </c>
      <c r="M756" s="3" t="e">
        <f ca="1">SQRT(AVERAGE(K756:OFFSET(K756,$B$6-1,0))*$B$9/(4*LN(2)))</f>
        <v>#DIV/0!</v>
      </c>
      <c r="N756" s="3" t="e">
        <f ca="1">SQRT(AVERAGE(K756:OFFSET(K756,$B$7-1,0))*$B$9/(4*LN(2)))</f>
        <v>#DIV/0!</v>
      </c>
      <c r="O756" s="3" t="e">
        <f ca="1">SQRT(AVERAGE(K756:OFFSET(K756,$B$8-1,0))*$B$9/(4*LN(2)))</f>
        <v>#DIV/0!</v>
      </c>
      <c r="Q756" s="5" t="e">
        <f t="shared" si="63"/>
        <v>#DIV/0!</v>
      </c>
      <c r="R756" s="5" t="e">
        <f ca="1">SQRT($B$9*AVERAGE((Q756:OFFSET(Q756,$B$5-1,0))))</f>
        <v>#DIV/0!</v>
      </c>
      <c r="S756" s="5" t="e">
        <f ca="1">SQRT($B$9*AVERAGE((Q756:OFFSET(Q756,$B$6-1,0))))</f>
        <v>#DIV/0!</v>
      </c>
      <c r="T756" s="5" t="e">
        <f ca="1">SQRT($B$9*AVERAGE((Q756:OFFSET(Q756,$B$7-1,0))))</f>
        <v>#DIV/0!</v>
      </c>
      <c r="U756" s="5" t="e">
        <f ca="1">SQRT($B$9*AVERAGE((Q756:OFFSET(Q756,$B$8-1,0))))</f>
        <v>#DIV/0!</v>
      </c>
      <c r="W756" s="6" t="e">
        <f t="shared" si="67"/>
        <v>#DIV/0!</v>
      </c>
      <c r="X756" s="6" t="e">
        <f ca="1">SQRT($B$9*AVERAGE(W756:OFFSET(W756,$B$5-1,0)))</f>
        <v>#DIV/0!</v>
      </c>
      <c r="Y756" s="6" t="e">
        <f ca="1">SQRT($B$9*AVERAGE(W756:OFFSET(W756,$B$6-1,0)))</f>
        <v>#DIV/0!</v>
      </c>
      <c r="Z756" s="6" t="e">
        <f ca="1">SQRT($B$9*AVERAGE(W756:OFFSET(W756,$B$7-1,0)))</f>
        <v>#DIV/0!</v>
      </c>
      <c r="AA756" s="6" t="e">
        <f ca="1">SQRT($B$9*AVERAGE(W756:OFFSET(W756,$B$8-1,0)))</f>
        <v>#DIV/0!</v>
      </c>
      <c r="AC756" s="34" t="e">
        <f t="shared" si="65"/>
        <v>#DIV/0!</v>
      </c>
      <c r="AD756" s="34" t="e">
        <f ca="1">SQRT($B$9*SUM(AC756:OFFSET(AC756,$B$5-1,0))/($B$5-1))</f>
        <v>#DIV/0!</v>
      </c>
      <c r="AE756" s="34" t="e">
        <f ca="1">SQRT($B$9*SUM(AC756:OFFSET(AC756,$B$6-1,0))/($B$6-1))</f>
        <v>#DIV/0!</v>
      </c>
      <c r="AF756" s="34" t="e">
        <f ca="1">SQRT($B$9*SUM(AC756:OFFSET(AC756,$B$7-1,0))/($B$7-1))</f>
        <v>#DIV/0!</v>
      </c>
      <c r="AG756" s="34" t="e">
        <f ca="1">SQRT($B$9*SUM(AC756:OFFSET(AC756,$B$8-1,0))/($B$8-1))</f>
        <v>#DIV/0!</v>
      </c>
      <c r="AI756" s="1" t="e">
        <f t="shared" si="66"/>
        <v>#DIV/0!</v>
      </c>
      <c r="AJ756" s="4" t="e">
        <f ca="1">SQRT($B$9)*_xlfn.STDEV.S(AI756:OFFSET(AI756,$B$5-1,0))</f>
        <v>#DIV/0!</v>
      </c>
      <c r="AK756" s="4" t="e">
        <f ca="1">SQRT($B$9)*_xlfn.STDEV.S(AI756:OFFSET(AI756,$B$6-1,0))</f>
        <v>#DIV/0!</v>
      </c>
      <c r="AL756" s="4" t="e">
        <f ca="1">SQRT($B$9)*_xlfn.STDEV.S(AI756:OFFSET(AI756,$B$7-1,0))</f>
        <v>#DIV/0!</v>
      </c>
      <c r="AM756" s="4" t="e">
        <f ca="1">SQRT($B$9)*_xlfn.STDEV.S(AI756:OFFSET(AI756,$B$8-1,0))</f>
        <v>#DIV/0!</v>
      </c>
    </row>
    <row r="757" spans="5:39" x14ac:dyDescent="0.2">
      <c r="E757" s="42">
        <v>44342</v>
      </c>
      <c r="F757" s="43"/>
      <c r="G757" s="43"/>
      <c r="H757" s="43"/>
      <c r="I757" s="43"/>
      <c r="K757" s="3" t="e">
        <f t="shared" si="64"/>
        <v>#DIV/0!</v>
      </c>
      <c r="L757" s="3" t="e">
        <f ca="1">SQRT(AVERAGE(K757:OFFSET(K757,$B$5-1,0))*$B$9/(4*LN(2)))</f>
        <v>#DIV/0!</v>
      </c>
      <c r="M757" s="3" t="e">
        <f ca="1">SQRT(AVERAGE(K757:OFFSET(K757,$B$6-1,0))*$B$9/(4*LN(2)))</f>
        <v>#DIV/0!</v>
      </c>
      <c r="N757" s="3" t="e">
        <f ca="1">SQRT(AVERAGE(K757:OFFSET(K757,$B$7-1,0))*$B$9/(4*LN(2)))</f>
        <v>#DIV/0!</v>
      </c>
      <c r="O757" s="3" t="e">
        <f ca="1">SQRT(AVERAGE(K757:OFFSET(K757,$B$8-1,0))*$B$9/(4*LN(2)))</f>
        <v>#DIV/0!</v>
      </c>
      <c r="Q757" s="5" t="e">
        <f t="shared" si="63"/>
        <v>#DIV/0!</v>
      </c>
      <c r="R757" s="5" t="e">
        <f ca="1">SQRT($B$9*AVERAGE((Q757:OFFSET(Q757,$B$5-1,0))))</f>
        <v>#DIV/0!</v>
      </c>
      <c r="S757" s="5" t="e">
        <f ca="1">SQRT($B$9*AVERAGE((Q757:OFFSET(Q757,$B$6-1,0))))</f>
        <v>#DIV/0!</v>
      </c>
      <c r="T757" s="5" t="e">
        <f ca="1">SQRT($B$9*AVERAGE((Q757:OFFSET(Q757,$B$7-1,0))))</f>
        <v>#DIV/0!</v>
      </c>
      <c r="U757" s="5" t="e">
        <f ca="1">SQRT($B$9*AVERAGE((Q757:OFFSET(Q757,$B$8-1,0))))</f>
        <v>#DIV/0!</v>
      </c>
      <c r="W757" s="6" t="e">
        <f t="shared" si="67"/>
        <v>#DIV/0!</v>
      </c>
      <c r="X757" s="6" t="e">
        <f ca="1">SQRT($B$9*AVERAGE(W757:OFFSET(W757,$B$5-1,0)))</f>
        <v>#DIV/0!</v>
      </c>
      <c r="Y757" s="6" t="e">
        <f ca="1">SQRT($B$9*AVERAGE(W757:OFFSET(W757,$B$6-1,0)))</f>
        <v>#DIV/0!</v>
      </c>
      <c r="Z757" s="6" t="e">
        <f ca="1">SQRT($B$9*AVERAGE(W757:OFFSET(W757,$B$7-1,0)))</f>
        <v>#DIV/0!</v>
      </c>
      <c r="AA757" s="6" t="e">
        <f ca="1">SQRT($B$9*AVERAGE(W757:OFFSET(W757,$B$8-1,0)))</f>
        <v>#DIV/0!</v>
      </c>
      <c r="AC757" s="34" t="e">
        <f t="shared" si="65"/>
        <v>#DIV/0!</v>
      </c>
      <c r="AD757" s="34" t="e">
        <f ca="1">SQRT($B$9*SUM(AC757:OFFSET(AC757,$B$5-1,0))/($B$5-1))</f>
        <v>#DIV/0!</v>
      </c>
      <c r="AE757" s="34" t="e">
        <f ca="1">SQRT($B$9*SUM(AC757:OFFSET(AC757,$B$6-1,0))/($B$6-1))</f>
        <v>#DIV/0!</v>
      </c>
      <c r="AF757" s="34" t="e">
        <f ca="1">SQRT($B$9*SUM(AC757:OFFSET(AC757,$B$7-1,0))/($B$7-1))</f>
        <v>#DIV/0!</v>
      </c>
      <c r="AG757" s="34" t="e">
        <f ca="1">SQRT($B$9*SUM(AC757:OFFSET(AC757,$B$8-1,0))/($B$8-1))</f>
        <v>#DIV/0!</v>
      </c>
      <c r="AI757" s="1" t="e">
        <f t="shared" si="66"/>
        <v>#DIV/0!</v>
      </c>
      <c r="AJ757" s="4" t="e">
        <f ca="1">SQRT($B$9)*_xlfn.STDEV.S(AI757:OFFSET(AI757,$B$5-1,0))</f>
        <v>#DIV/0!</v>
      </c>
      <c r="AK757" s="4" t="e">
        <f ca="1">SQRT($B$9)*_xlfn.STDEV.S(AI757:OFFSET(AI757,$B$6-1,0))</f>
        <v>#DIV/0!</v>
      </c>
      <c r="AL757" s="4" t="e">
        <f ca="1">SQRT($B$9)*_xlfn.STDEV.S(AI757:OFFSET(AI757,$B$7-1,0))</f>
        <v>#DIV/0!</v>
      </c>
      <c r="AM757" s="4" t="e">
        <f ca="1">SQRT($B$9)*_xlfn.STDEV.S(AI757:OFFSET(AI757,$B$8-1,0))</f>
        <v>#DIV/0!</v>
      </c>
    </row>
    <row r="758" spans="5:39" x14ac:dyDescent="0.2">
      <c r="E758" s="42">
        <v>44341</v>
      </c>
      <c r="F758" s="43"/>
      <c r="G758" s="43"/>
      <c r="H758" s="43"/>
      <c r="I758" s="43"/>
      <c r="K758" s="3" t="e">
        <f t="shared" si="64"/>
        <v>#DIV/0!</v>
      </c>
      <c r="L758" s="3" t="e">
        <f ca="1">SQRT(AVERAGE(K758:OFFSET(K758,$B$5-1,0))*$B$9/(4*LN(2)))</f>
        <v>#DIV/0!</v>
      </c>
      <c r="M758" s="3" t="e">
        <f ca="1">SQRT(AVERAGE(K758:OFFSET(K758,$B$6-1,0))*$B$9/(4*LN(2)))</f>
        <v>#DIV/0!</v>
      </c>
      <c r="N758" s="3" t="e">
        <f ca="1">SQRT(AVERAGE(K758:OFFSET(K758,$B$7-1,0))*$B$9/(4*LN(2)))</f>
        <v>#DIV/0!</v>
      </c>
      <c r="O758" s="3" t="e">
        <f ca="1">SQRT(AVERAGE(K758:OFFSET(K758,$B$8-1,0))*$B$9/(4*LN(2)))</f>
        <v>#DIV/0!</v>
      </c>
      <c r="Q758" s="5" t="e">
        <f t="shared" si="63"/>
        <v>#DIV/0!</v>
      </c>
      <c r="R758" s="5" t="e">
        <f ca="1">SQRT($B$9*AVERAGE((Q758:OFFSET(Q758,$B$5-1,0))))</f>
        <v>#DIV/0!</v>
      </c>
      <c r="S758" s="5" t="e">
        <f ca="1">SQRT($B$9*AVERAGE((Q758:OFFSET(Q758,$B$6-1,0))))</f>
        <v>#DIV/0!</v>
      </c>
      <c r="T758" s="5" t="e">
        <f ca="1">SQRT($B$9*AVERAGE((Q758:OFFSET(Q758,$B$7-1,0))))</f>
        <v>#DIV/0!</v>
      </c>
      <c r="U758" s="5" t="e">
        <f ca="1">SQRT($B$9*AVERAGE((Q758:OFFSET(Q758,$B$8-1,0))))</f>
        <v>#DIV/0!</v>
      </c>
      <c r="W758" s="6" t="e">
        <f t="shared" si="67"/>
        <v>#DIV/0!</v>
      </c>
      <c r="X758" s="6" t="e">
        <f ca="1">SQRT($B$9*AVERAGE(W758:OFFSET(W758,$B$5-1,0)))</f>
        <v>#DIV/0!</v>
      </c>
      <c r="Y758" s="6" t="e">
        <f ca="1">SQRT($B$9*AVERAGE(W758:OFFSET(W758,$B$6-1,0)))</f>
        <v>#DIV/0!</v>
      </c>
      <c r="Z758" s="6" t="e">
        <f ca="1">SQRT($B$9*AVERAGE(W758:OFFSET(W758,$B$7-1,0)))</f>
        <v>#DIV/0!</v>
      </c>
      <c r="AA758" s="6" t="e">
        <f ca="1">SQRT($B$9*AVERAGE(W758:OFFSET(W758,$B$8-1,0)))</f>
        <v>#DIV/0!</v>
      </c>
      <c r="AC758" s="34" t="e">
        <f t="shared" si="65"/>
        <v>#DIV/0!</v>
      </c>
      <c r="AD758" s="34" t="e">
        <f ca="1">SQRT($B$9*SUM(AC758:OFFSET(AC758,$B$5-1,0))/($B$5-1))</f>
        <v>#DIV/0!</v>
      </c>
      <c r="AE758" s="34" t="e">
        <f ca="1">SQRT($B$9*SUM(AC758:OFFSET(AC758,$B$6-1,0))/($B$6-1))</f>
        <v>#DIV/0!</v>
      </c>
      <c r="AF758" s="34" t="e">
        <f ca="1">SQRT($B$9*SUM(AC758:OFFSET(AC758,$B$7-1,0))/($B$7-1))</f>
        <v>#DIV/0!</v>
      </c>
      <c r="AG758" s="34" t="e">
        <f ca="1">SQRT($B$9*SUM(AC758:OFFSET(AC758,$B$8-1,0))/($B$8-1))</f>
        <v>#DIV/0!</v>
      </c>
      <c r="AI758" s="1" t="e">
        <f t="shared" si="66"/>
        <v>#DIV/0!</v>
      </c>
      <c r="AJ758" s="4" t="e">
        <f ca="1">SQRT($B$9)*_xlfn.STDEV.S(AI758:OFFSET(AI758,$B$5-1,0))</f>
        <v>#DIV/0!</v>
      </c>
      <c r="AK758" s="4" t="e">
        <f ca="1">SQRT($B$9)*_xlfn.STDEV.S(AI758:OFFSET(AI758,$B$6-1,0))</f>
        <v>#DIV/0!</v>
      </c>
      <c r="AL758" s="4" t="e">
        <f ca="1">SQRT($B$9)*_xlfn.STDEV.S(AI758:OFFSET(AI758,$B$7-1,0))</f>
        <v>#DIV/0!</v>
      </c>
      <c r="AM758" s="4" t="e">
        <f ca="1">SQRT($B$9)*_xlfn.STDEV.S(AI758:OFFSET(AI758,$B$8-1,0))</f>
        <v>#DIV/0!</v>
      </c>
    </row>
    <row r="759" spans="5:39" x14ac:dyDescent="0.2">
      <c r="E759" s="42">
        <v>44340</v>
      </c>
      <c r="F759" s="43"/>
      <c r="G759" s="43"/>
      <c r="H759" s="43"/>
      <c r="I759" s="43"/>
      <c r="K759" s="3" t="e">
        <f t="shared" si="64"/>
        <v>#DIV/0!</v>
      </c>
      <c r="L759" s="3" t="e">
        <f ca="1">SQRT(AVERAGE(K759:OFFSET(K759,$B$5-1,0))*$B$9/(4*LN(2)))</f>
        <v>#DIV/0!</v>
      </c>
      <c r="M759" s="3" t="e">
        <f ca="1">SQRT(AVERAGE(K759:OFFSET(K759,$B$6-1,0))*$B$9/(4*LN(2)))</f>
        <v>#DIV/0!</v>
      </c>
      <c r="N759" s="3" t="e">
        <f ca="1">SQRT(AVERAGE(K759:OFFSET(K759,$B$7-1,0))*$B$9/(4*LN(2)))</f>
        <v>#DIV/0!</v>
      </c>
      <c r="O759" s="3" t="e">
        <f ca="1">SQRT(AVERAGE(K759:OFFSET(K759,$B$8-1,0))*$B$9/(4*LN(2)))</f>
        <v>#DIV/0!</v>
      </c>
      <c r="Q759" s="5" t="e">
        <f t="shared" si="63"/>
        <v>#DIV/0!</v>
      </c>
      <c r="R759" s="5" t="e">
        <f ca="1">SQRT($B$9*AVERAGE((Q759:OFFSET(Q759,$B$5-1,0))))</f>
        <v>#DIV/0!</v>
      </c>
      <c r="S759" s="5" t="e">
        <f ca="1">SQRT($B$9*AVERAGE((Q759:OFFSET(Q759,$B$6-1,0))))</f>
        <v>#DIV/0!</v>
      </c>
      <c r="T759" s="5" t="e">
        <f ca="1">SQRT($B$9*AVERAGE((Q759:OFFSET(Q759,$B$7-1,0))))</f>
        <v>#DIV/0!</v>
      </c>
      <c r="U759" s="5" t="e">
        <f ca="1">SQRT($B$9*AVERAGE((Q759:OFFSET(Q759,$B$8-1,0))))</f>
        <v>#DIV/0!</v>
      </c>
      <c r="W759" s="6" t="e">
        <f t="shared" si="67"/>
        <v>#DIV/0!</v>
      </c>
      <c r="X759" s="6" t="e">
        <f ca="1">SQRT($B$9*AVERAGE(W759:OFFSET(W759,$B$5-1,0)))</f>
        <v>#DIV/0!</v>
      </c>
      <c r="Y759" s="6" t="e">
        <f ca="1">SQRT($B$9*AVERAGE(W759:OFFSET(W759,$B$6-1,0)))</f>
        <v>#DIV/0!</v>
      </c>
      <c r="Z759" s="6" t="e">
        <f ca="1">SQRT($B$9*AVERAGE(W759:OFFSET(W759,$B$7-1,0)))</f>
        <v>#DIV/0!</v>
      </c>
      <c r="AA759" s="6" t="e">
        <f ca="1">SQRT($B$9*AVERAGE(W759:OFFSET(W759,$B$8-1,0)))</f>
        <v>#DIV/0!</v>
      </c>
      <c r="AC759" s="34" t="e">
        <f t="shared" si="65"/>
        <v>#DIV/0!</v>
      </c>
      <c r="AD759" s="34" t="e">
        <f ca="1">SQRT($B$9*SUM(AC759:OFFSET(AC759,$B$5-1,0))/($B$5-1))</f>
        <v>#DIV/0!</v>
      </c>
      <c r="AE759" s="34" t="e">
        <f ca="1">SQRT($B$9*SUM(AC759:OFFSET(AC759,$B$6-1,0))/($B$6-1))</f>
        <v>#DIV/0!</v>
      </c>
      <c r="AF759" s="34" t="e">
        <f ca="1">SQRT($B$9*SUM(AC759:OFFSET(AC759,$B$7-1,0))/($B$7-1))</f>
        <v>#DIV/0!</v>
      </c>
      <c r="AG759" s="34" t="e">
        <f ca="1">SQRT($B$9*SUM(AC759:OFFSET(AC759,$B$8-1,0))/($B$8-1))</f>
        <v>#DIV/0!</v>
      </c>
      <c r="AI759" s="1" t="e">
        <f t="shared" si="66"/>
        <v>#DIV/0!</v>
      </c>
      <c r="AJ759" s="4" t="e">
        <f ca="1">SQRT($B$9)*_xlfn.STDEV.S(AI759:OFFSET(AI759,$B$5-1,0))</f>
        <v>#DIV/0!</v>
      </c>
      <c r="AK759" s="4" t="e">
        <f ca="1">SQRT($B$9)*_xlfn.STDEV.S(AI759:OFFSET(AI759,$B$6-1,0))</f>
        <v>#DIV/0!</v>
      </c>
      <c r="AL759" s="4" t="e">
        <f ca="1">SQRT($B$9)*_xlfn.STDEV.S(AI759:OFFSET(AI759,$B$7-1,0))</f>
        <v>#DIV/0!</v>
      </c>
      <c r="AM759" s="4" t="e">
        <f ca="1">SQRT($B$9)*_xlfn.STDEV.S(AI759:OFFSET(AI759,$B$8-1,0))</f>
        <v>#DIV/0!</v>
      </c>
    </row>
    <row r="760" spans="5:39" x14ac:dyDescent="0.2">
      <c r="E760" s="42">
        <v>44337</v>
      </c>
      <c r="F760" s="43"/>
      <c r="G760" s="43"/>
      <c r="H760" s="43"/>
      <c r="I760" s="43"/>
      <c r="K760" s="3" t="e">
        <f t="shared" si="64"/>
        <v>#DIV/0!</v>
      </c>
      <c r="L760" s="3" t="e">
        <f ca="1">SQRT(AVERAGE(K760:OFFSET(K760,$B$5-1,0))*$B$9/(4*LN(2)))</f>
        <v>#DIV/0!</v>
      </c>
      <c r="M760" s="3" t="e">
        <f ca="1">SQRT(AVERAGE(K760:OFFSET(K760,$B$6-1,0))*$B$9/(4*LN(2)))</f>
        <v>#DIV/0!</v>
      </c>
      <c r="N760" s="3" t="e">
        <f ca="1">SQRT(AVERAGE(K760:OFFSET(K760,$B$7-1,0))*$B$9/(4*LN(2)))</f>
        <v>#DIV/0!</v>
      </c>
      <c r="O760" s="3" t="e">
        <f ca="1">SQRT(AVERAGE(K760:OFFSET(K760,$B$8-1,0))*$B$9/(4*LN(2)))</f>
        <v>#DIV/0!</v>
      </c>
      <c r="Q760" s="5" t="e">
        <f t="shared" si="63"/>
        <v>#DIV/0!</v>
      </c>
      <c r="R760" s="5" t="e">
        <f ca="1">SQRT($B$9*AVERAGE((Q760:OFFSET(Q760,$B$5-1,0))))</f>
        <v>#DIV/0!</v>
      </c>
      <c r="S760" s="5" t="e">
        <f ca="1">SQRT($B$9*AVERAGE((Q760:OFFSET(Q760,$B$6-1,0))))</f>
        <v>#DIV/0!</v>
      </c>
      <c r="T760" s="5" t="e">
        <f ca="1">SQRT($B$9*AVERAGE((Q760:OFFSET(Q760,$B$7-1,0))))</f>
        <v>#DIV/0!</v>
      </c>
      <c r="U760" s="5" t="e">
        <f ca="1">SQRT($B$9*AVERAGE((Q760:OFFSET(Q760,$B$8-1,0))))</f>
        <v>#DIV/0!</v>
      </c>
      <c r="W760" s="6" t="e">
        <f t="shared" si="67"/>
        <v>#DIV/0!</v>
      </c>
      <c r="X760" s="6" t="e">
        <f ca="1">SQRT($B$9*AVERAGE(W760:OFFSET(W760,$B$5-1,0)))</f>
        <v>#DIV/0!</v>
      </c>
      <c r="Y760" s="6" t="e">
        <f ca="1">SQRT($B$9*AVERAGE(W760:OFFSET(W760,$B$6-1,0)))</f>
        <v>#DIV/0!</v>
      </c>
      <c r="Z760" s="6" t="e">
        <f ca="1">SQRT($B$9*AVERAGE(W760:OFFSET(W760,$B$7-1,0)))</f>
        <v>#DIV/0!</v>
      </c>
      <c r="AA760" s="6" t="e">
        <f ca="1">SQRT($B$9*AVERAGE(W760:OFFSET(W760,$B$8-1,0)))</f>
        <v>#DIV/0!</v>
      </c>
      <c r="AC760" s="34" t="e">
        <f t="shared" si="65"/>
        <v>#DIV/0!</v>
      </c>
      <c r="AD760" s="34" t="e">
        <f ca="1">SQRT($B$9*SUM(AC760:OFFSET(AC760,$B$5-1,0))/($B$5-1))</f>
        <v>#DIV/0!</v>
      </c>
      <c r="AE760" s="34" t="e">
        <f ca="1">SQRT($B$9*SUM(AC760:OFFSET(AC760,$B$6-1,0))/($B$6-1))</f>
        <v>#DIV/0!</v>
      </c>
      <c r="AF760" s="34" t="e">
        <f ca="1">SQRT($B$9*SUM(AC760:OFFSET(AC760,$B$7-1,0))/($B$7-1))</f>
        <v>#DIV/0!</v>
      </c>
      <c r="AG760" s="34" t="e">
        <f ca="1">SQRT($B$9*SUM(AC760:OFFSET(AC760,$B$8-1,0))/($B$8-1))</f>
        <v>#DIV/0!</v>
      </c>
      <c r="AI760" s="1" t="e">
        <f t="shared" si="66"/>
        <v>#DIV/0!</v>
      </c>
      <c r="AJ760" s="4" t="e">
        <f ca="1">SQRT($B$9)*_xlfn.STDEV.S(AI760:OFFSET(AI760,$B$5-1,0))</f>
        <v>#DIV/0!</v>
      </c>
      <c r="AK760" s="4" t="e">
        <f ca="1">SQRT($B$9)*_xlfn.STDEV.S(AI760:OFFSET(AI760,$B$6-1,0))</f>
        <v>#DIV/0!</v>
      </c>
      <c r="AL760" s="4" t="e">
        <f ca="1">SQRT($B$9)*_xlfn.STDEV.S(AI760:OFFSET(AI760,$B$7-1,0))</f>
        <v>#DIV/0!</v>
      </c>
      <c r="AM760" s="4" t="e">
        <f ca="1">SQRT($B$9)*_xlfn.STDEV.S(AI760:OFFSET(AI760,$B$8-1,0))</f>
        <v>#DIV/0!</v>
      </c>
    </row>
    <row r="761" spans="5:39" x14ac:dyDescent="0.2">
      <c r="E761" s="42">
        <v>44336</v>
      </c>
      <c r="F761" s="43"/>
      <c r="G761" s="43"/>
      <c r="H761" s="43"/>
      <c r="I761" s="43"/>
      <c r="K761" s="3" t="e">
        <f t="shared" si="64"/>
        <v>#DIV/0!</v>
      </c>
      <c r="L761" s="3" t="e">
        <f ca="1">SQRT(AVERAGE(K761:OFFSET(K761,$B$5-1,0))*$B$9/(4*LN(2)))</f>
        <v>#DIV/0!</v>
      </c>
      <c r="M761" s="3" t="e">
        <f ca="1">SQRT(AVERAGE(K761:OFFSET(K761,$B$6-1,0))*$B$9/(4*LN(2)))</f>
        <v>#DIV/0!</v>
      </c>
      <c r="N761" s="3" t="e">
        <f ca="1">SQRT(AVERAGE(K761:OFFSET(K761,$B$7-1,0))*$B$9/(4*LN(2)))</f>
        <v>#DIV/0!</v>
      </c>
      <c r="O761" s="3" t="e">
        <f ca="1">SQRT(AVERAGE(K761:OFFSET(K761,$B$8-1,0))*$B$9/(4*LN(2)))</f>
        <v>#DIV/0!</v>
      </c>
      <c r="Q761" s="5" t="e">
        <f t="shared" si="63"/>
        <v>#DIV/0!</v>
      </c>
      <c r="R761" s="5" t="e">
        <f ca="1">SQRT($B$9*AVERAGE((Q761:OFFSET(Q761,$B$5-1,0))))</f>
        <v>#DIV/0!</v>
      </c>
      <c r="S761" s="5" t="e">
        <f ca="1">SQRT($B$9*AVERAGE((Q761:OFFSET(Q761,$B$6-1,0))))</f>
        <v>#DIV/0!</v>
      </c>
      <c r="T761" s="5" t="e">
        <f ca="1">SQRT($B$9*AVERAGE((Q761:OFFSET(Q761,$B$7-1,0))))</f>
        <v>#DIV/0!</v>
      </c>
      <c r="U761" s="5" t="e">
        <f ca="1">SQRT($B$9*AVERAGE((Q761:OFFSET(Q761,$B$8-1,0))))</f>
        <v>#DIV/0!</v>
      </c>
      <c r="W761" s="6" t="e">
        <f t="shared" si="67"/>
        <v>#DIV/0!</v>
      </c>
      <c r="X761" s="6" t="e">
        <f ca="1">SQRT($B$9*AVERAGE(W761:OFFSET(W761,$B$5-1,0)))</f>
        <v>#DIV/0!</v>
      </c>
      <c r="Y761" s="6" t="e">
        <f ca="1">SQRT($B$9*AVERAGE(W761:OFFSET(W761,$B$6-1,0)))</f>
        <v>#DIV/0!</v>
      </c>
      <c r="Z761" s="6" t="e">
        <f ca="1">SQRT($B$9*AVERAGE(W761:OFFSET(W761,$B$7-1,0)))</f>
        <v>#DIV/0!</v>
      </c>
      <c r="AA761" s="6" t="e">
        <f ca="1">SQRT($B$9*AVERAGE(W761:OFFSET(W761,$B$8-1,0)))</f>
        <v>#DIV/0!</v>
      </c>
      <c r="AC761" s="34" t="e">
        <f t="shared" si="65"/>
        <v>#DIV/0!</v>
      </c>
      <c r="AD761" s="34" t="e">
        <f ca="1">SQRT($B$9*SUM(AC761:OFFSET(AC761,$B$5-1,0))/($B$5-1))</f>
        <v>#DIV/0!</v>
      </c>
      <c r="AE761" s="34" t="e">
        <f ca="1">SQRT($B$9*SUM(AC761:OFFSET(AC761,$B$6-1,0))/($B$6-1))</f>
        <v>#DIV/0!</v>
      </c>
      <c r="AF761" s="34" t="e">
        <f ca="1">SQRT($B$9*SUM(AC761:OFFSET(AC761,$B$7-1,0))/($B$7-1))</f>
        <v>#DIV/0!</v>
      </c>
      <c r="AG761" s="34" t="e">
        <f ca="1">SQRT($B$9*SUM(AC761:OFFSET(AC761,$B$8-1,0))/($B$8-1))</f>
        <v>#DIV/0!</v>
      </c>
      <c r="AI761" s="1" t="e">
        <f t="shared" si="66"/>
        <v>#DIV/0!</v>
      </c>
      <c r="AJ761" s="4" t="e">
        <f ca="1">SQRT($B$9)*_xlfn.STDEV.S(AI761:OFFSET(AI761,$B$5-1,0))</f>
        <v>#DIV/0!</v>
      </c>
      <c r="AK761" s="4" t="e">
        <f ca="1">SQRT($B$9)*_xlfn.STDEV.S(AI761:OFFSET(AI761,$B$6-1,0))</f>
        <v>#DIV/0!</v>
      </c>
      <c r="AL761" s="4" t="e">
        <f ca="1">SQRT($B$9)*_xlfn.STDEV.S(AI761:OFFSET(AI761,$B$7-1,0))</f>
        <v>#DIV/0!</v>
      </c>
      <c r="AM761" s="4" t="e">
        <f ca="1">SQRT($B$9)*_xlfn.STDEV.S(AI761:OFFSET(AI761,$B$8-1,0))</f>
        <v>#DIV/0!</v>
      </c>
    </row>
    <row r="762" spans="5:39" x14ac:dyDescent="0.2">
      <c r="E762" s="42">
        <v>44335</v>
      </c>
      <c r="F762" s="43"/>
      <c r="G762" s="43"/>
      <c r="H762" s="43"/>
      <c r="I762" s="43"/>
      <c r="K762" s="3" t="e">
        <f t="shared" si="64"/>
        <v>#DIV/0!</v>
      </c>
      <c r="L762" s="3" t="e">
        <f ca="1">SQRT(AVERAGE(K762:OFFSET(K762,$B$5-1,0))*$B$9/(4*LN(2)))</f>
        <v>#DIV/0!</v>
      </c>
      <c r="M762" s="3" t="e">
        <f ca="1">SQRT(AVERAGE(K762:OFFSET(K762,$B$6-1,0))*$B$9/(4*LN(2)))</f>
        <v>#DIV/0!</v>
      </c>
      <c r="N762" s="3" t="e">
        <f ca="1">SQRT(AVERAGE(K762:OFFSET(K762,$B$7-1,0))*$B$9/(4*LN(2)))</f>
        <v>#DIV/0!</v>
      </c>
      <c r="O762" s="3" t="e">
        <f ca="1">SQRT(AVERAGE(K762:OFFSET(K762,$B$8-1,0))*$B$9/(4*LN(2)))</f>
        <v>#DIV/0!</v>
      </c>
      <c r="Q762" s="5" t="e">
        <f t="shared" si="63"/>
        <v>#DIV/0!</v>
      </c>
      <c r="R762" s="5" t="e">
        <f ca="1">SQRT($B$9*AVERAGE((Q762:OFFSET(Q762,$B$5-1,0))))</f>
        <v>#DIV/0!</v>
      </c>
      <c r="S762" s="5" t="e">
        <f ca="1">SQRT($B$9*AVERAGE((Q762:OFFSET(Q762,$B$6-1,0))))</f>
        <v>#DIV/0!</v>
      </c>
      <c r="T762" s="5" t="e">
        <f ca="1">SQRT($B$9*AVERAGE((Q762:OFFSET(Q762,$B$7-1,0))))</f>
        <v>#DIV/0!</v>
      </c>
      <c r="U762" s="5" t="e">
        <f ca="1">SQRT($B$9*AVERAGE((Q762:OFFSET(Q762,$B$8-1,0))))</f>
        <v>#DIV/0!</v>
      </c>
      <c r="W762" s="6" t="e">
        <f t="shared" si="67"/>
        <v>#DIV/0!</v>
      </c>
      <c r="X762" s="6" t="e">
        <f ca="1">SQRT($B$9*AVERAGE(W762:OFFSET(W762,$B$5-1,0)))</f>
        <v>#DIV/0!</v>
      </c>
      <c r="Y762" s="6" t="e">
        <f ca="1">SQRT($B$9*AVERAGE(W762:OFFSET(W762,$B$6-1,0)))</f>
        <v>#DIV/0!</v>
      </c>
      <c r="Z762" s="6" t="e">
        <f ca="1">SQRT($B$9*AVERAGE(W762:OFFSET(W762,$B$7-1,0)))</f>
        <v>#DIV/0!</v>
      </c>
      <c r="AA762" s="6" t="e">
        <f ca="1">SQRT($B$9*AVERAGE(W762:OFFSET(W762,$B$8-1,0)))</f>
        <v>#DIV/0!</v>
      </c>
      <c r="AC762" s="34" t="e">
        <f t="shared" si="65"/>
        <v>#DIV/0!</v>
      </c>
      <c r="AD762" s="34" t="e">
        <f ca="1">SQRT($B$9*SUM(AC762:OFFSET(AC762,$B$5-1,0))/($B$5-1))</f>
        <v>#DIV/0!</v>
      </c>
      <c r="AE762" s="34" t="e">
        <f ca="1">SQRT($B$9*SUM(AC762:OFFSET(AC762,$B$6-1,0))/($B$6-1))</f>
        <v>#DIV/0!</v>
      </c>
      <c r="AF762" s="34" t="e">
        <f ca="1">SQRT($B$9*SUM(AC762:OFFSET(AC762,$B$7-1,0))/($B$7-1))</f>
        <v>#DIV/0!</v>
      </c>
      <c r="AG762" s="34" t="e">
        <f ca="1">SQRT($B$9*SUM(AC762:OFFSET(AC762,$B$8-1,0))/($B$8-1))</f>
        <v>#DIV/0!</v>
      </c>
      <c r="AI762" s="1" t="e">
        <f t="shared" si="66"/>
        <v>#DIV/0!</v>
      </c>
      <c r="AJ762" s="4" t="e">
        <f ca="1">SQRT($B$9)*_xlfn.STDEV.S(AI762:OFFSET(AI762,$B$5-1,0))</f>
        <v>#DIV/0!</v>
      </c>
      <c r="AK762" s="4" t="e">
        <f ca="1">SQRT($B$9)*_xlfn.STDEV.S(AI762:OFFSET(AI762,$B$6-1,0))</f>
        <v>#DIV/0!</v>
      </c>
      <c r="AL762" s="4" t="e">
        <f ca="1">SQRT($B$9)*_xlfn.STDEV.S(AI762:OFFSET(AI762,$B$7-1,0))</f>
        <v>#DIV/0!</v>
      </c>
      <c r="AM762" s="4" t="e">
        <f ca="1">SQRT($B$9)*_xlfn.STDEV.S(AI762:OFFSET(AI762,$B$8-1,0))</f>
        <v>#DIV/0!</v>
      </c>
    </row>
    <row r="763" spans="5:39" x14ac:dyDescent="0.2">
      <c r="E763" s="42">
        <v>44334</v>
      </c>
      <c r="F763" s="43"/>
      <c r="G763" s="43"/>
      <c r="H763" s="43"/>
      <c r="I763" s="43"/>
      <c r="K763" s="3" t="e">
        <f t="shared" si="64"/>
        <v>#DIV/0!</v>
      </c>
      <c r="L763" s="3" t="e">
        <f ca="1">SQRT(AVERAGE(K763:OFFSET(K763,$B$5-1,0))*$B$9/(4*LN(2)))</f>
        <v>#DIV/0!</v>
      </c>
      <c r="M763" s="3" t="e">
        <f ca="1">SQRT(AVERAGE(K763:OFFSET(K763,$B$6-1,0))*$B$9/(4*LN(2)))</f>
        <v>#DIV/0!</v>
      </c>
      <c r="N763" s="3" t="e">
        <f ca="1">SQRT(AVERAGE(K763:OFFSET(K763,$B$7-1,0))*$B$9/(4*LN(2)))</f>
        <v>#DIV/0!</v>
      </c>
      <c r="O763" s="3" t="e">
        <f ca="1">SQRT(AVERAGE(K763:OFFSET(K763,$B$8-1,0))*$B$9/(4*LN(2)))</f>
        <v>#DIV/0!</v>
      </c>
      <c r="Q763" s="5" t="e">
        <f t="shared" si="63"/>
        <v>#DIV/0!</v>
      </c>
      <c r="R763" s="5" t="e">
        <f ca="1">SQRT($B$9*AVERAGE((Q763:OFFSET(Q763,$B$5-1,0))))</f>
        <v>#DIV/0!</v>
      </c>
      <c r="S763" s="5" t="e">
        <f ca="1">SQRT($B$9*AVERAGE((Q763:OFFSET(Q763,$B$6-1,0))))</f>
        <v>#DIV/0!</v>
      </c>
      <c r="T763" s="5" t="e">
        <f ca="1">SQRT($B$9*AVERAGE((Q763:OFFSET(Q763,$B$7-1,0))))</f>
        <v>#DIV/0!</v>
      </c>
      <c r="U763" s="5" t="e">
        <f ca="1">SQRT($B$9*AVERAGE((Q763:OFFSET(Q763,$B$8-1,0))))</f>
        <v>#DIV/0!</v>
      </c>
      <c r="W763" s="6" t="e">
        <f t="shared" si="67"/>
        <v>#DIV/0!</v>
      </c>
      <c r="X763" s="6" t="e">
        <f ca="1">SQRT($B$9*AVERAGE(W763:OFFSET(W763,$B$5-1,0)))</f>
        <v>#DIV/0!</v>
      </c>
      <c r="Y763" s="6" t="e">
        <f ca="1">SQRT($B$9*AVERAGE(W763:OFFSET(W763,$B$6-1,0)))</f>
        <v>#DIV/0!</v>
      </c>
      <c r="Z763" s="6" t="e">
        <f ca="1">SQRT($B$9*AVERAGE(W763:OFFSET(W763,$B$7-1,0)))</f>
        <v>#DIV/0!</v>
      </c>
      <c r="AA763" s="6" t="e">
        <f ca="1">SQRT($B$9*AVERAGE(W763:OFFSET(W763,$B$8-1,0)))</f>
        <v>#DIV/0!</v>
      </c>
      <c r="AC763" s="34" t="e">
        <f t="shared" si="65"/>
        <v>#DIV/0!</v>
      </c>
      <c r="AD763" s="34" t="e">
        <f ca="1">SQRT($B$9*SUM(AC763:OFFSET(AC763,$B$5-1,0))/($B$5-1))</f>
        <v>#DIV/0!</v>
      </c>
      <c r="AE763" s="34" t="e">
        <f ca="1">SQRT($B$9*SUM(AC763:OFFSET(AC763,$B$6-1,0))/($B$6-1))</f>
        <v>#DIV/0!</v>
      </c>
      <c r="AF763" s="34" t="e">
        <f ca="1">SQRT($B$9*SUM(AC763:OFFSET(AC763,$B$7-1,0))/($B$7-1))</f>
        <v>#DIV/0!</v>
      </c>
      <c r="AG763" s="34" t="e">
        <f ca="1">SQRT($B$9*SUM(AC763:OFFSET(AC763,$B$8-1,0))/($B$8-1))</f>
        <v>#DIV/0!</v>
      </c>
      <c r="AI763" s="1" t="e">
        <f t="shared" si="66"/>
        <v>#DIV/0!</v>
      </c>
      <c r="AJ763" s="4" t="e">
        <f ca="1">SQRT($B$9)*_xlfn.STDEV.S(AI763:OFFSET(AI763,$B$5-1,0))</f>
        <v>#DIV/0!</v>
      </c>
      <c r="AK763" s="4" t="e">
        <f ca="1">SQRT($B$9)*_xlfn.STDEV.S(AI763:OFFSET(AI763,$B$6-1,0))</f>
        <v>#DIV/0!</v>
      </c>
      <c r="AL763" s="4" t="e">
        <f ca="1">SQRT($B$9)*_xlfn.STDEV.S(AI763:OFFSET(AI763,$B$7-1,0))</f>
        <v>#DIV/0!</v>
      </c>
      <c r="AM763" s="4" t="e">
        <f ca="1">SQRT($B$9)*_xlfn.STDEV.S(AI763:OFFSET(AI763,$B$8-1,0))</f>
        <v>#DIV/0!</v>
      </c>
    </row>
    <row r="764" spans="5:39" x14ac:dyDescent="0.2">
      <c r="E764" s="42">
        <v>44333</v>
      </c>
      <c r="F764" s="43"/>
      <c r="G764" s="43"/>
      <c r="H764" s="43"/>
      <c r="I764" s="43"/>
      <c r="K764" s="3" t="e">
        <f t="shared" si="64"/>
        <v>#DIV/0!</v>
      </c>
      <c r="L764" s="3" t="e">
        <f ca="1">SQRT(AVERAGE(K764:OFFSET(K764,$B$5-1,0))*$B$9/(4*LN(2)))</f>
        <v>#DIV/0!</v>
      </c>
      <c r="M764" s="3" t="e">
        <f ca="1">SQRT(AVERAGE(K764:OFFSET(K764,$B$6-1,0))*$B$9/(4*LN(2)))</f>
        <v>#DIV/0!</v>
      </c>
      <c r="N764" s="3" t="e">
        <f ca="1">SQRT(AVERAGE(K764:OFFSET(K764,$B$7-1,0))*$B$9/(4*LN(2)))</f>
        <v>#DIV/0!</v>
      </c>
      <c r="O764" s="3" t="e">
        <f ca="1">SQRT(AVERAGE(K764:OFFSET(K764,$B$8-1,0))*$B$9/(4*LN(2)))</f>
        <v>#DIV/0!</v>
      </c>
      <c r="Q764" s="5" t="e">
        <f t="shared" si="63"/>
        <v>#DIV/0!</v>
      </c>
      <c r="R764" s="5" t="e">
        <f ca="1">SQRT($B$9*AVERAGE((Q764:OFFSET(Q764,$B$5-1,0))))</f>
        <v>#DIV/0!</v>
      </c>
      <c r="S764" s="5" t="e">
        <f ca="1">SQRT($B$9*AVERAGE((Q764:OFFSET(Q764,$B$6-1,0))))</f>
        <v>#DIV/0!</v>
      </c>
      <c r="T764" s="5" t="e">
        <f ca="1">SQRT($B$9*AVERAGE((Q764:OFFSET(Q764,$B$7-1,0))))</f>
        <v>#DIV/0!</v>
      </c>
      <c r="U764" s="5" t="e">
        <f ca="1">SQRT($B$9*AVERAGE((Q764:OFFSET(Q764,$B$8-1,0))))</f>
        <v>#DIV/0!</v>
      </c>
      <c r="W764" s="6" t="e">
        <f t="shared" si="67"/>
        <v>#DIV/0!</v>
      </c>
      <c r="X764" s="6" t="e">
        <f ca="1">SQRT($B$9*AVERAGE(W764:OFFSET(W764,$B$5-1,0)))</f>
        <v>#DIV/0!</v>
      </c>
      <c r="Y764" s="6" t="e">
        <f ca="1">SQRT($B$9*AVERAGE(W764:OFFSET(W764,$B$6-1,0)))</f>
        <v>#DIV/0!</v>
      </c>
      <c r="Z764" s="6" t="e">
        <f ca="1">SQRT($B$9*AVERAGE(W764:OFFSET(W764,$B$7-1,0)))</f>
        <v>#DIV/0!</v>
      </c>
      <c r="AA764" s="6" t="e">
        <f ca="1">SQRT($B$9*AVERAGE(W764:OFFSET(W764,$B$8-1,0)))</f>
        <v>#DIV/0!</v>
      </c>
      <c r="AC764" s="34" t="e">
        <f t="shared" si="65"/>
        <v>#DIV/0!</v>
      </c>
      <c r="AD764" s="34" t="e">
        <f ca="1">SQRT($B$9*SUM(AC764:OFFSET(AC764,$B$5-1,0))/($B$5-1))</f>
        <v>#DIV/0!</v>
      </c>
      <c r="AE764" s="34" t="e">
        <f ca="1">SQRT($B$9*SUM(AC764:OFFSET(AC764,$B$6-1,0))/($B$6-1))</f>
        <v>#DIV/0!</v>
      </c>
      <c r="AF764" s="34" t="e">
        <f ca="1">SQRT($B$9*SUM(AC764:OFFSET(AC764,$B$7-1,0))/($B$7-1))</f>
        <v>#DIV/0!</v>
      </c>
      <c r="AG764" s="34" t="e">
        <f ca="1">SQRT($B$9*SUM(AC764:OFFSET(AC764,$B$8-1,0))/($B$8-1))</f>
        <v>#DIV/0!</v>
      </c>
      <c r="AI764" s="1" t="e">
        <f t="shared" si="66"/>
        <v>#DIV/0!</v>
      </c>
      <c r="AJ764" s="4" t="e">
        <f ca="1">SQRT($B$9)*_xlfn.STDEV.S(AI764:OFFSET(AI764,$B$5-1,0))</f>
        <v>#DIV/0!</v>
      </c>
      <c r="AK764" s="4" t="e">
        <f ca="1">SQRT($B$9)*_xlfn.STDEV.S(AI764:OFFSET(AI764,$B$6-1,0))</f>
        <v>#DIV/0!</v>
      </c>
      <c r="AL764" s="4" t="e">
        <f ca="1">SQRT($B$9)*_xlfn.STDEV.S(AI764:OFFSET(AI764,$B$7-1,0))</f>
        <v>#DIV/0!</v>
      </c>
      <c r="AM764" s="4" t="e">
        <f ca="1">SQRT($B$9)*_xlfn.STDEV.S(AI764:OFFSET(AI764,$B$8-1,0))</f>
        <v>#DIV/0!</v>
      </c>
    </row>
    <row r="765" spans="5:39" x14ac:dyDescent="0.2">
      <c r="E765" s="42">
        <v>44330</v>
      </c>
      <c r="F765" s="43"/>
      <c r="G765" s="43"/>
      <c r="H765" s="43"/>
      <c r="I765" s="43"/>
      <c r="K765" s="3" t="e">
        <f t="shared" si="64"/>
        <v>#DIV/0!</v>
      </c>
      <c r="L765" s="3" t="e">
        <f ca="1">SQRT(AVERAGE(K765:OFFSET(K765,$B$5-1,0))*$B$9/(4*LN(2)))</f>
        <v>#DIV/0!</v>
      </c>
      <c r="M765" s="3" t="e">
        <f ca="1">SQRT(AVERAGE(K765:OFFSET(K765,$B$6-1,0))*$B$9/(4*LN(2)))</f>
        <v>#DIV/0!</v>
      </c>
      <c r="N765" s="3" t="e">
        <f ca="1">SQRT(AVERAGE(K765:OFFSET(K765,$B$7-1,0))*$B$9/(4*LN(2)))</f>
        <v>#DIV/0!</v>
      </c>
      <c r="O765" s="3" t="e">
        <f ca="1">SQRT(AVERAGE(K765:OFFSET(K765,$B$8-1,0))*$B$9/(4*LN(2)))</f>
        <v>#DIV/0!</v>
      </c>
      <c r="Q765" s="5" t="e">
        <f t="shared" si="63"/>
        <v>#DIV/0!</v>
      </c>
      <c r="R765" s="5" t="e">
        <f ca="1">SQRT($B$9*AVERAGE((Q765:OFFSET(Q765,$B$5-1,0))))</f>
        <v>#DIV/0!</v>
      </c>
      <c r="S765" s="5" t="e">
        <f ca="1">SQRT($B$9*AVERAGE((Q765:OFFSET(Q765,$B$6-1,0))))</f>
        <v>#DIV/0!</v>
      </c>
      <c r="T765" s="5" t="e">
        <f ca="1">SQRT($B$9*AVERAGE((Q765:OFFSET(Q765,$B$7-1,0))))</f>
        <v>#DIV/0!</v>
      </c>
      <c r="U765" s="5" t="e">
        <f ca="1">SQRT($B$9*AVERAGE((Q765:OFFSET(Q765,$B$8-1,0))))</f>
        <v>#DIV/0!</v>
      </c>
      <c r="W765" s="6" t="e">
        <f t="shared" si="67"/>
        <v>#DIV/0!</v>
      </c>
      <c r="X765" s="6" t="e">
        <f ca="1">SQRT($B$9*AVERAGE(W765:OFFSET(W765,$B$5-1,0)))</f>
        <v>#DIV/0!</v>
      </c>
      <c r="Y765" s="6" t="e">
        <f ca="1">SQRT($B$9*AVERAGE(W765:OFFSET(W765,$B$6-1,0)))</f>
        <v>#DIV/0!</v>
      </c>
      <c r="Z765" s="6" t="e">
        <f ca="1">SQRT($B$9*AVERAGE(W765:OFFSET(W765,$B$7-1,0)))</f>
        <v>#DIV/0!</v>
      </c>
      <c r="AA765" s="6" t="e">
        <f ca="1">SQRT($B$9*AVERAGE(W765:OFFSET(W765,$B$8-1,0)))</f>
        <v>#DIV/0!</v>
      </c>
      <c r="AC765" s="34" t="e">
        <f t="shared" si="65"/>
        <v>#DIV/0!</v>
      </c>
      <c r="AD765" s="34" t="e">
        <f ca="1">SQRT($B$9*SUM(AC765:OFFSET(AC765,$B$5-1,0))/($B$5-1))</f>
        <v>#DIV/0!</v>
      </c>
      <c r="AE765" s="34" t="e">
        <f ca="1">SQRT($B$9*SUM(AC765:OFFSET(AC765,$B$6-1,0))/($B$6-1))</f>
        <v>#DIV/0!</v>
      </c>
      <c r="AF765" s="34" t="e">
        <f ca="1">SQRT($B$9*SUM(AC765:OFFSET(AC765,$B$7-1,0))/($B$7-1))</f>
        <v>#DIV/0!</v>
      </c>
      <c r="AG765" s="34" t="e">
        <f ca="1">SQRT($B$9*SUM(AC765:OFFSET(AC765,$B$8-1,0))/($B$8-1))</f>
        <v>#DIV/0!</v>
      </c>
      <c r="AI765" s="1" t="e">
        <f t="shared" si="66"/>
        <v>#DIV/0!</v>
      </c>
      <c r="AJ765" s="4" t="e">
        <f ca="1">SQRT($B$9)*_xlfn.STDEV.S(AI765:OFFSET(AI765,$B$5-1,0))</f>
        <v>#DIV/0!</v>
      </c>
      <c r="AK765" s="4" t="e">
        <f ca="1">SQRT($B$9)*_xlfn.STDEV.S(AI765:OFFSET(AI765,$B$6-1,0))</f>
        <v>#DIV/0!</v>
      </c>
      <c r="AL765" s="4" t="e">
        <f ca="1">SQRT($B$9)*_xlfn.STDEV.S(AI765:OFFSET(AI765,$B$7-1,0))</f>
        <v>#DIV/0!</v>
      </c>
      <c r="AM765" s="4" t="e">
        <f ca="1">SQRT($B$9)*_xlfn.STDEV.S(AI765:OFFSET(AI765,$B$8-1,0))</f>
        <v>#DIV/0!</v>
      </c>
    </row>
    <row r="766" spans="5:39" x14ac:dyDescent="0.2">
      <c r="E766" s="42">
        <v>44329</v>
      </c>
      <c r="F766" s="43"/>
      <c r="G766" s="43"/>
      <c r="H766" s="43"/>
      <c r="I766" s="43"/>
      <c r="K766" s="3" t="e">
        <f t="shared" si="64"/>
        <v>#DIV/0!</v>
      </c>
      <c r="L766" s="3" t="e">
        <f ca="1">SQRT(AVERAGE(K766:OFFSET(K766,$B$5-1,0))*$B$9/(4*LN(2)))</f>
        <v>#DIV/0!</v>
      </c>
      <c r="M766" s="3" t="e">
        <f ca="1">SQRT(AVERAGE(K766:OFFSET(K766,$B$6-1,0))*$B$9/(4*LN(2)))</f>
        <v>#DIV/0!</v>
      </c>
      <c r="N766" s="3" t="e">
        <f ca="1">SQRT(AVERAGE(K766:OFFSET(K766,$B$7-1,0))*$B$9/(4*LN(2)))</f>
        <v>#DIV/0!</v>
      </c>
      <c r="O766" s="3" t="e">
        <f ca="1">SQRT(AVERAGE(K766:OFFSET(K766,$B$8-1,0))*$B$9/(4*LN(2)))</f>
        <v>#DIV/0!</v>
      </c>
      <c r="Q766" s="5" t="e">
        <f t="shared" si="63"/>
        <v>#DIV/0!</v>
      </c>
      <c r="R766" s="5" t="e">
        <f ca="1">SQRT($B$9*AVERAGE((Q766:OFFSET(Q766,$B$5-1,0))))</f>
        <v>#DIV/0!</v>
      </c>
      <c r="S766" s="5" t="e">
        <f ca="1">SQRT($B$9*AVERAGE((Q766:OFFSET(Q766,$B$6-1,0))))</f>
        <v>#DIV/0!</v>
      </c>
      <c r="T766" s="5" t="e">
        <f ca="1">SQRT($B$9*AVERAGE((Q766:OFFSET(Q766,$B$7-1,0))))</f>
        <v>#DIV/0!</v>
      </c>
      <c r="U766" s="5" t="e">
        <f ca="1">SQRT($B$9*AVERAGE((Q766:OFFSET(Q766,$B$8-1,0))))</f>
        <v>#DIV/0!</v>
      </c>
      <c r="W766" s="6" t="e">
        <f t="shared" si="67"/>
        <v>#DIV/0!</v>
      </c>
      <c r="X766" s="6" t="e">
        <f ca="1">SQRT($B$9*AVERAGE(W766:OFFSET(W766,$B$5-1,0)))</f>
        <v>#DIV/0!</v>
      </c>
      <c r="Y766" s="6" t="e">
        <f ca="1">SQRT($B$9*AVERAGE(W766:OFFSET(W766,$B$6-1,0)))</f>
        <v>#DIV/0!</v>
      </c>
      <c r="Z766" s="6" t="e">
        <f ca="1">SQRT($B$9*AVERAGE(W766:OFFSET(W766,$B$7-1,0)))</f>
        <v>#DIV/0!</v>
      </c>
      <c r="AA766" s="6" t="e">
        <f ca="1">SQRT($B$9*AVERAGE(W766:OFFSET(W766,$B$8-1,0)))</f>
        <v>#DIV/0!</v>
      </c>
      <c r="AC766" s="34" t="e">
        <f t="shared" si="65"/>
        <v>#DIV/0!</v>
      </c>
      <c r="AD766" s="34" t="e">
        <f ca="1">SQRT($B$9*SUM(AC766:OFFSET(AC766,$B$5-1,0))/($B$5-1))</f>
        <v>#DIV/0!</v>
      </c>
      <c r="AE766" s="34" t="e">
        <f ca="1">SQRT($B$9*SUM(AC766:OFFSET(AC766,$B$6-1,0))/($B$6-1))</f>
        <v>#DIV/0!</v>
      </c>
      <c r="AF766" s="34" t="e">
        <f ca="1">SQRT($B$9*SUM(AC766:OFFSET(AC766,$B$7-1,0))/($B$7-1))</f>
        <v>#DIV/0!</v>
      </c>
      <c r="AG766" s="34" t="e">
        <f ca="1">SQRT($B$9*SUM(AC766:OFFSET(AC766,$B$8-1,0))/($B$8-1))</f>
        <v>#DIV/0!</v>
      </c>
      <c r="AI766" s="1" t="e">
        <f t="shared" si="66"/>
        <v>#DIV/0!</v>
      </c>
      <c r="AJ766" s="4" t="e">
        <f ca="1">SQRT($B$9)*_xlfn.STDEV.S(AI766:OFFSET(AI766,$B$5-1,0))</f>
        <v>#DIV/0!</v>
      </c>
      <c r="AK766" s="4" t="e">
        <f ca="1">SQRT($B$9)*_xlfn.STDEV.S(AI766:OFFSET(AI766,$B$6-1,0))</f>
        <v>#DIV/0!</v>
      </c>
      <c r="AL766" s="4" t="e">
        <f ca="1">SQRT($B$9)*_xlfn.STDEV.S(AI766:OFFSET(AI766,$B$7-1,0))</f>
        <v>#DIV/0!</v>
      </c>
      <c r="AM766" s="4" t="e">
        <f ca="1">SQRT($B$9)*_xlfn.STDEV.S(AI766:OFFSET(AI766,$B$8-1,0))</f>
        <v>#DIV/0!</v>
      </c>
    </row>
    <row r="767" spans="5:39" x14ac:dyDescent="0.2">
      <c r="E767" s="42">
        <v>44328</v>
      </c>
      <c r="F767" s="43"/>
      <c r="G767" s="43"/>
      <c r="H767" s="43"/>
      <c r="I767" s="43"/>
      <c r="K767" s="3" t="e">
        <f t="shared" si="64"/>
        <v>#DIV/0!</v>
      </c>
      <c r="L767" s="3" t="e">
        <f ca="1">SQRT(AVERAGE(K767:OFFSET(K767,$B$5-1,0))*$B$9/(4*LN(2)))</f>
        <v>#DIV/0!</v>
      </c>
      <c r="M767" s="3" t="e">
        <f ca="1">SQRT(AVERAGE(K767:OFFSET(K767,$B$6-1,0))*$B$9/(4*LN(2)))</f>
        <v>#DIV/0!</v>
      </c>
      <c r="N767" s="3" t="e">
        <f ca="1">SQRT(AVERAGE(K767:OFFSET(K767,$B$7-1,0))*$B$9/(4*LN(2)))</f>
        <v>#DIV/0!</v>
      </c>
      <c r="O767" s="3" t="e">
        <f ca="1">SQRT(AVERAGE(K767:OFFSET(K767,$B$8-1,0))*$B$9/(4*LN(2)))</f>
        <v>#DIV/0!</v>
      </c>
      <c r="Q767" s="5" t="e">
        <f t="shared" si="63"/>
        <v>#DIV/0!</v>
      </c>
      <c r="R767" s="5" t="e">
        <f ca="1">SQRT($B$9*AVERAGE((Q767:OFFSET(Q767,$B$5-1,0))))</f>
        <v>#DIV/0!</v>
      </c>
      <c r="S767" s="5" t="e">
        <f ca="1">SQRT($B$9*AVERAGE((Q767:OFFSET(Q767,$B$6-1,0))))</f>
        <v>#DIV/0!</v>
      </c>
      <c r="T767" s="5" t="e">
        <f ca="1">SQRT($B$9*AVERAGE((Q767:OFFSET(Q767,$B$7-1,0))))</f>
        <v>#DIV/0!</v>
      </c>
      <c r="U767" s="5" t="e">
        <f ca="1">SQRT($B$9*AVERAGE((Q767:OFFSET(Q767,$B$8-1,0))))</f>
        <v>#DIV/0!</v>
      </c>
      <c r="W767" s="6" t="e">
        <f t="shared" si="67"/>
        <v>#DIV/0!</v>
      </c>
      <c r="X767" s="6" t="e">
        <f ca="1">SQRT($B$9*AVERAGE(W767:OFFSET(W767,$B$5-1,0)))</f>
        <v>#DIV/0!</v>
      </c>
      <c r="Y767" s="6" t="e">
        <f ca="1">SQRT($B$9*AVERAGE(W767:OFFSET(W767,$B$6-1,0)))</f>
        <v>#DIV/0!</v>
      </c>
      <c r="Z767" s="6" t="e">
        <f ca="1">SQRT($B$9*AVERAGE(W767:OFFSET(W767,$B$7-1,0)))</f>
        <v>#DIV/0!</v>
      </c>
      <c r="AA767" s="6" t="e">
        <f ca="1">SQRT($B$9*AVERAGE(W767:OFFSET(W767,$B$8-1,0)))</f>
        <v>#DIV/0!</v>
      </c>
      <c r="AC767" s="34" t="e">
        <f t="shared" si="65"/>
        <v>#DIV/0!</v>
      </c>
      <c r="AD767" s="34" t="e">
        <f ca="1">SQRT($B$9*SUM(AC767:OFFSET(AC767,$B$5-1,0))/($B$5-1))</f>
        <v>#DIV/0!</v>
      </c>
      <c r="AE767" s="34" t="e">
        <f ca="1">SQRT($B$9*SUM(AC767:OFFSET(AC767,$B$6-1,0))/($B$6-1))</f>
        <v>#DIV/0!</v>
      </c>
      <c r="AF767" s="34" t="e">
        <f ca="1">SQRT($B$9*SUM(AC767:OFFSET(AC767,$B$7-1,0))/($B$7-1))</f>
        <v>#DIV/0!</v>
      </c>
      <c r="AG767" s="34" t="e">
        <f ca="1">SQRT($B$9*SUM(AC767:OFFSET(AC767,$B$8-1,0))/($B$8-1))</f>
        <v>#DIV/0!</v>
      </c>
      <c r="AI767" s="1" t="e">
        <f t="shared" si="66"/>
        <v>#DIV/0!</v>
      </c>
      <c r="AJ767" s="4" t="e">
        <f ca="1">SQRT($B$9)*_xlfn.STDEV.S(AI767:OFFSET(AI767,$B$5-1,0))</f>
        <v>#DIV/0!</v>
      </c>
      <c r="AK767" s="4" t="e">
        <f ca="1">SQRT($B$9)*_xlfn.STDEV.S(AI767:OFFSET(AI767,$B$6-1,0))</f>
        <v>#DIV/0!</v>
      </c>
      <c r="AL767" s="4" t="e">
        <f ca="1">SQRT($B$9)*_xlfn.STDEV.S(AI767:OFFSET(AI767,$B$7-1,0))</f>
        <v>#DIV/0!</v>
      </c>
      <c r="AM767" s="4" t="e">
        <f ca="1">SQRT($B$9)*_xlfn.STDEV.S(AI767:OFFSET(AI767,$B$8-1,0))</f>
        <v>#DIV/0!</v>
      </c>
    </row>
    <row r="768" spans="5:39" x14ac:dyDescent="0.2">
      <c r="E768" s="42">
        <v>44327</v>
      </c>
      <c r="F768" s="43"/>
      <c r="G768" s="43"/>
      <c r="H768" s="43"/>
      <c r="I768" s="43"/>
      <c r="K768" s="3" t="e">
        <f t="shared" si="64"/>
        <v>#DIV/0!</v>
      </c>
      <c r="L768" s="3" t="e">
        <f ca="1">SQRT(AVERAGE(K768:OFFSET(K768,$B$5-1,0))*$B$9/(4*LN(2)))</f>
        <v>#DIV/0!</v>
      </c>
      <c r="M768" s="3" t="e">
        <f ca="1">SQRT(AVERAGE(K768:OFFSET(K768,$B$6-1,0))*$B$9/(4*LN(2)))</f>
        <v>#DIV/0!</v>
      </c>
      <c r="N768" s="3" t="e">
        <f ca="1">SQRT(AVERAGE(K768:OFFSET(K768,$B$7-1,0))*$B$9/(4*LN(2)))</f>
        <v>#DIV/0!</v>
      </c>
      <c r="O768" s="3" t="e">
        <f ca="1">SQRT(AVERAGE(K768:OFFSET(K768,$B$8-1,0))*$B$9/(4*LN(2)))</f>
        <v>#DIV/0!</v>
      </c>
      <c r="Q768" s="5" t="e">
        <f t="shared" si="63"/>
        <v>#DIV/0!</v>
      </c>
      <c r="R768" s="5" t="e">
        <f ca="1">SQRT($B$9*AVERAGE((Q768:OFFSET(Q768,$B$5-1,0))))</f>
        <v>#DIV/0!</v>
      </c>
      <c r="S768" s="5" t="e">
        <f ca="1">SQRT($B$9*AVERAGE((Q768:OFFSET(Q768,$B$6-1,0))))</f>
        <v>#DIV/0!</v>
      </c>
      <c r="T768" s="5" t="e">
        <f ca="1">SQRT($B$9*AVERAGE((Q768:OFFSET(Q768,$B$7-1,0))))</f>
        <v>#DIV/0!</v>
      </c>
      <c r="U768" s="5" t="e">
        <f ca="1">SQRT($B$9*AVERAGE((Q768:OFFSET(Q768,$B$8-1,0))))</f>
        <v>#DIV/0!</v>
      </c>
      <c r="W768" s="6" t="e">
        <f t="shared" si="67"/>
        <v>#DIV/0!</v>
      </c>
      <c r="X768" s="6" t="e">
        <f ca="1">SQRT($B$9*AVERAGE(W768:OFFSET(W768,$B$5-1,0)))</f>
        <v>#DIV/0!</v>
      </c>
      <c r="Y768" s="6" t="e">
        <f ca="1">SQRT($B$9*AVERAGE(W768:OFFSET(W768,$B$6-1,0)))</f>
        <v>#DIV/0!</v>
      </c>
      <c r="Z768" s="6" t="e">
        <f ca="1">SQRT($B$9*AVERAGE(W768:OFFSET(W768,$B$7-1,0)))</f>
        <v>#DIV/0!</v>
      </c>
      <c r="AA768" s="6" t="e">
        <f ca="1">SQRT($B$9*AVERAGE(W768:OFFSET(W768,$B$8-1,0)))</f>
        <v>#DIV/0!</v>
      </c>
      <c r="AC768" s="34" t="e">
        <f t="shared" si="65"/>
        <v>#DIV/0!</v>
      </c>
      <c r="AD768" s="34" t="e">
        <f ca="1">SQRT($B$9*SUM(AC768:OFFSET(AC768,$B$5-1,0))/($B$5-1))</f>
        <v>#DIV/0!</v>
      </c>
      <c r="AE768" s="34" t="e">
        <f ca="1">SQRT($B$9*SUM(AC768:OFFSET(AC768,$B$6-1,0))/($B$6-1))</f>
        <v>#DIV/0!</v>
      </c>
      <c r="AF768" s="34" t="e">
        <f ca="1">SQRT($B$9*SUM(AC768:OFFSET(AC768,$B$7-1,0))/($B$7-1))</f>
        <v>#DIV/0!</v>
      </c>
      <c r="AG768" s="34" t="e">
        <f ca="1">SQRT($B$9*SUM(AC768:OFFSET(AC768,$B$8-1,0))/($B$8-1))</f>
        <v>#DIV/0!</v>
      </c>
      <c r="AI768" s="1" t="e">
        <f t="shared" si="66"/>
        <v>#DIV/0!</v>
      </c>
      <c r="AJ768" s="4" t="e">
        <f ca="1">SQRT($B$9)*_xlfn.STDEV.S(AI768:OFFSET(AI768,$B$5-1,0))</f>
        <v>#DIV/0!</v>
      </c>
      <c r="AK768" s="4" t="e">
        <f ca="1">SQRT($B$9)*_xlfn.STDEV.S(AI768:OFFSET(AI768,$B$6-1,0))</f>
        <v>#DIV/0!</v>
      </c>
      <c r="AL768" s="4" t="e">
        <f ca="1">SQRT($B$9)*_xlfn.STDEV.S(AI768:OFFSET(AI768,$B$7-1,0))</f>
        <v>#DIV/0!</v>
      </c>
      <c r="AM768" s="4" t="e">
        <f ca="1">SQRT($B$9)*_xlfn.STDEV.S(AI768:OFFSET(AI768,$B$8-1,0))</f>
        <v>#DIV/0!</v>
      </c>
    </row>
    <row r="769" spans="5:39" x14ac:dyDescent="0.2">
      <c r="E769" s="42">
        <v>44326</v>
      </c>
      <c r="F769" s="43"/>
      <c r="G769" s="43"/>
      <c r="H769" s="43"/>
      <c r="I769" s="43"/>
      <c r="K769" s="3" t="e">
        <f t="shared" si="64"/>
        <v>#DIV/0!</v>
      </c>
      <c r="L769" s="3" t="e">
        <f ca="1">SQRT(AVERAGE(K769:OFFSET(K769,$B$5-1,0))*$B$9/(4*LN(2)))</f>
        <v>#DIV/0!</v>
      </c>
      <c r="M769" s="3" t="e">
        <f ca="1">SQRT(AVERAGE(K769:OFFSET(K769,$B$6-1,0))*$B$9/(4*LN(2)))</f>
        <v>#DIV/0!</v>
      </c>
      <c r="N769" s="3" t="e">
        <f ca="1">SQRT(AVERAGE(K769:OFFSET(K769,$B$7-1,0))*$B$9/(4*LN(2)))</f>
        <v>#DIV/0!</v>
      </c>
      <c r="O769" s="3" t="e">
        <f ca="1">SQRT(AVERAGE(K769:OFFSET(K769,$B$8-1,0))*$B$9/(4*LN(2)))</f>
        <v>#DIV/0!</v>
      </c>
      <c r="Q769" s="5" t="e">
        <f t="shared" si="63"/>
        <v>#DIV/0!</v>
      </c>
      <c r="R769" s="5" t="e">
        <f ca="1">SQRT($B$9*AVERAGE((Q769:OFFSET(Q769,$B$5-1,0))))</f>
        <v>#DIV/0!</v>
      </c>
      <c r="S769" s="5" t="e">
        <f ca="1">SQRT($B$9*AVERAGE((Q769:OFFSET(Q769,$B$6-1,0))))</f>
        <v>#DIV/0!</v>
      </c>
      <c r="T769" s="5" t="e">
        <f ca="1">SQRT($B$9*AVERAGE((Q769:OFFSET(Q769,$B$7-1,0))))</f>
        <v>#DIV/0!</v>
      </c>
      <c r="U769" s="5" t="e">
        <f ca="1">SQRT($B$9*AVERAGE((Q769:OFFSET(Q769,$B$8-1,0))))</f>
        <v>#DIV/0!</v>
      </c>
      <c r="W769" s="6" t="e">
        <f t="shared" si="67"/>
        <v>#DIV/0!</v>
      </c>
      <c r="X769" s="6" t="e">
        <f ca="1">SQRT($B$9*AVERAGE(W769:OFFSET(W769,$B$5-1,0)))</f>
        <v>#DIV/0!</v>
      </c>
      <c r="Y769" s="6" t="e">
        <f ca="1">SQRT($B$9*AVERAGE(W769:OFFSET(W769,$B$6-1,0)))</f>
        <v>#DIV/0!</v>
      </c>
      <c r="Z769" s="6" t="e">
        <f ca="1">SQRT($B$9*AVERAGE(W769:OFFSET(W769,$B$7-1,0)))</f>
        <v>#DIV/0!</v>
      </c>
      <c r="AA769" s="6" t="e">
        <f ca="1">SQRT($B$9*AVERAGE(W769:OFFSET(W769,$B$8-1,0)))</f>
        <v>#DIV/0!</v>
      </c>
      <c r="AC769" s="34" t="e">
        <f t="shared" si="65"/>
        <v>#DIV/0!</v>
      </c>
      <c r="AD769" s="34" t="e">
        <f ca="1">SQRT($B$9*SUM(AC769:OFFSET(AC769,$B$5-1,0))/($B$5-1))</f>
        <v>#DIV/0!</v>
      </c>
      <c r="AE769" s="34" t="e">
        <f ca="1">SQRT($B$9*SUM(AC769:OFFSET(AC769,$B$6-1,0))/($B$6-1))</f>
        <v>#DIV/0!</v>
      </c>
      <c r="AF769" s="34" t="e">
        <f ca="1">SQRT($B$9*SUM(AC769:OFFSET(AC769,$B$7-1,0))/($B$7-1))</f>
        <v>#DIV/0!</v>
      </c>
      <c r="AG769" s="34" t="e">
        <f ca="1">SQRT($B$9*SUM(AC769:OFFSET(AC769,$B$8-1,0))/($B$8-1))</f>
        <v>#DIV/0!</v>
      </c>
      <c r="AI769" s="1" t="e">
        <f t="shared" si="66"/>
        <v>#DIV/0!</v>
      </c>
      <c r="AJ769" s="4" t="e">
        <f ca="1">SQRT($B$9)*_xlfn.STDEV.S(AI769:OFFSET(AI769,$B$5-1,0))</f>
        <v>#DIV/0!</v>
      </c>
      <c r="AK769" s="4" t="e">
        <f ca="1">SQRT($B$9)*_xlfn.STDEV.S(AI769:OFFSET(AI769,$B$6-1,0))</f>
        <v>#DIV/0!</v>
      </c>
      <c r="AL769" s="4" t="e">
        <f ca="1">SQRT($B$9)*_xlfn.STDEV.S(AI769:OFFSET(AI769,$B$7-1,0))</f>
        <v>#DIV/0!</v>
      </c>
      <c r="AM769" s="4" t="e">
        <f ca="1">SQRT($B$9)*_xlfn.STDEV.S(AI769:OFFSET(AI769,$B$8-1,0))</f>
        <v>#DIV/0!</v>
      </c>
    </row>
    <row r="770" spans="5:39" x14ac:dyDescent="0.2">
      <c r="E770" s="42">
        <v>44323</v>
      </c>
      <c r="F770" s="43"/>
      <c r="G770" s="43"/>
      <c r="H770" s="43"/>
      <c r="I770" s="43"/>
      <c r="K770" s="3" t="e">
        <f t="shared" si="64"/>
        <v>#DIV/0!</v>
      </c>
      <c r="L770" s="3" t="e">
        <f ca="1">SQRT(AVERAGE(K770:OFFSET(K770,$B$5-1,0))*$B$9/(4*LN(2)))</f>
        <v>#DIV/0!</v>
      </c>
      <c r="M770" s="3" t="e">
        <f ca="1">SQRT(AVERAGE(K770:OFFSET(K770,$B$6-1,0))*$B$9/(4*LN(2)))</f>
        <v>#DIV/0!</v>
      </c>
      <c r="N770" s="3" t="e">
        <f ca="1">SQRT(AVERAGE(K770:OFFSET(K770,$B$7-1,0))*$B$9/(4*LN(2)))</f>
        <v>#DIV/0!</v>
      </c>
      <c r="O770" s="3" t="e">
        <f ca="1">SQRT(AVERAGE(K770:OFFSET(K770,$B$8-1,0))*$B$9/(4*LN(2)))</f>
        <v>#DIV/0!</v>
      </c>
      <c r="Q770" s="5" t="e">
        <f t="shared" si="63"/>
        <v>#DIV/0!</v>
      </c>
      <c r="R770" s="5" t="e">
        <f ca="1">SQRT($B$9*AVERAGE((Q770:OFFSET(Q770,$B$5-1,0))))</f>
        <v>#DIV/0!</v>
      </c>
      <c r="S770" s="5" t="e">
        <f ca="1">SQRT($B$9*AVERAGE((Q770:OFFSET(Q770,$B$6-1,0))))</f>
        <v>#DIV/0!</v>
      </c>
      <c r="T770" s="5" t="e">
        <f ca="1">SQRT($B$9*AVERAGE((Q770:OFFSET(Q770,$B$7-1,0))))</f>
        <v>#DIV/0!</v>
      </c>
      <c r="U770" s="5" t="e">
        <f ca="1">SQRT($B$9*AVERAGE((Q770:OFFSET(Q770,$B$8-1,0))))</f>
        <v>#DIV/0!</v>
      </c>
      <c r="W770" s="6" t="e">
        <f t="shared" si="67"/>
        <v>#DIV/0!</v>
      </c>
      <c r="X770" s="6" t="e">
        <f ca="1">SQRT($B$9*AVERAGE(W770:OFFSET(W770,$B$5-1,0)))</f>
        <v>#DIV/0!</v>
      </c>
      <c r="Y770" s="6" t="e">
        <f ca="1">SQRT($B$9*AVERAGE(W770:OFFSET(W770,$B$6-1,0)))</f>
        <v>#DIV/0!</v>
      </c>
      <c r="Z770" s="6" t="e">
        <f ca="1">SQRT($B$9*AVERAGE(W770:OFFSET(W770,$B$7-1,0)))</f>
        <v>#DIV/0!</v>
      </c>
      <c r="AA770" s="6" t="e">
        <f ca="1">SQRT($B$9*AVERAGE(W770:OFFSET(W770,$B$8-1,0)))</f>
        <v>#DIV/0!</v>
      </c>
      <c r="AC770" s="34" t="e">
        <f t="shared" si="65"/>
        <v>#DIV/0!</v>
      </c>
      <c r="AD770" s="34" t="e">
        <f ca="1">SQRT($B$9*SUM(AC770:OFFSET(AC770,$B$5-1,0))/($B$5-1))</f>
        <v>#DIV/0!</v>
      </c>
      <c r="AE770" s="34" t="e">
        <f ca="1">SQRT($B$9*SUM(AC770:OFFSET(AC770,$B$6-1,0))/($B$6-1))</f>
        <v>#DIV/0!</v>
      </c>
      <c r="AF770" s="34" t="e">
        <f ca="1">SQRT($B$9*SUM(AC770:OFFSET(AC770,$B$7-1,0))/($B$7-1))</f>
        <v>#DIV/0!</v>
      </c>
      <c r="AG770" s="34" t="e">
        <f ca="1">SQRT($B$9*SUM(AC770:OFFSET(AC770,$B$8-1,0))/($B$8-1))</f>
        <v>#DIV/0!</v>
      </c>
      <c r="AI770" s="1" t="e">
        <f t="shared" si="66"/>
        <v>#DIV/0!</v>
      </c>
      <c r="AJ770" s="4" t="e">
        <f ca="1">SQRT($B$9)*_xlfn.STDEV.S(AI770:OFFSET(AI770,$B$5-1,0))</f>
        <v>#DIV/0!</v>
      </c>
      <c r="AK770" s="4" t="e">
        <f ca="1">SQRT($B$9)*_xlfn.STDEV.S(AI770:OFFSET(AI770,$B$6-1,0))</f>
        <v>#DIV/0!</v>
      </c>
      <c r="AL770" s="4" t="e">
        <f ca="1">SQRT($B$9)*_xlfn.STDEV.S(AI770:OFFSET(AI770,$B$7-1,0))</f>
        <v>#DIV/0!</v>
      </c>
      <c r="AM770" s="4" t="e">
        <f ca="1">SQRT($B$9)*_xlfn.STDEV.S(AI770:OFFSET(AI770,$B$8-1,0))</f>
        <v>#DIV/0!</v>
      </c>
    </row>
    <row r="771" spans="5:39" x14ac:dyDescent="0.2">
      <c r="E771" s="42">
        <v>44322</v>
      </c>
      <c r="F771" s="43"/>
      <c r="G771" s="43"/>
      <c r="H771" s="43"/>
      <c r="I771" s="43"/>
      <c r="K771" s="3" t="e">
        <f t="shared" si="64"/>
        <v>#DIV/0!</v>
      </c>
      <c r="L771" s="3" t="e">
        <f ca="1">SQRT(AVERAGE(K771:OFFSET(K771,$B$5-1,0))*$B$9/(4*LN(2)))</f>
        <v>#DIV/0!</v>
      </c>
      <c r="M771" s="3" t="e">
        <f ca="1">SQRT(AVERAGE(K771:OFFSET(K771,$B$6-1,0))*$B$9/(4*LN(2)))</f>
        <v>#DIV/0!</v>
      </c>
      <c r="N771" s="3" t="e">
        <f ca="1">SQRT(AVERAGE(K771:OFFSET(K771,$B$7-1,0))*$B$9/(4*LN(2)))</f>
        <v>#DIV/0!</v>
      </c>
      <c r="O771" s="3" t="e">
        <f ca="1">SQRT(AVERAGE(K771:OFFSET(K771,$B$8-1,0))*$B$9/(4*LN(2)))</f>
        <v>#DIV/0!</v>
      </c>
      <c r="Q771" s="5" t="e">
        <f t="shared" si="63"/>
        <v>#DIV/0!</v>
      </c>
      <c r="R771" s="5" t="e">
        <f ca="1">SQRT($B$9*AVERAGE((Q771:OFFSET(Q771,$B$5-1,0))))</f>
        <v>#DIV/0!</v>
      </c>
      <c r="S771" s="5" t="e">
        <f ca="1">SQRT($B$9*AVERAGE((Q771:OFFSET(Q771,$B$6-1,0))))</f>
        <v>#DIV/0!</v>
      </c>
      <c r="T771" s="5" t="e">
        <f ca="1">SQRT($B$9*AVERAGE((Q771:OFFSET(Q771,$B$7-1,0))))</f>
        <v>#DIV/0!</v>
      </c>
      <c r="U771" s="5" t="e">
        <f ca="1">SQRT($B$9*AVERAGE((Q771:OFFSET(Q771,$B$8-1,0))))</f>
        <v>#DIV/0!</v>
      </c>
      <c r="W771" s="6" t="e">
        <f t="shared" si="67"/>
        <v>#DIV/0!</v>
      </c>
      <c r="X771" s="6" t="e">
        <f ca="1">SQRT($B$9*AVERAGE(W771:OFFSET(W771,$B$5-1,0)))</f>
        <v>#DIV/0!</v>
      </c>
      <c r="Y771" s="6" t="e">
        <f ca="1">SQRT($B$9*AVERAGE(W771:OFFSET(W771,$B$6-1,0)))</f>
        <v>#DIV/0!</v>
      </c>
      <c r="Z771" s="6" t="e">
        <f ca="1">SQRT($B$9*AVERAGE(W771:OFFSET(W771,$B$7-1,0)))</f>
        <v>#DIV/0!</v>
      </c>
      <c r="AA771" s="6" t="e">
        <f ca="1">SQRT($B$9*AVERAGE(W771:OFFSET(W771,$B$8-1,0)))</f>
        <v>#DIV/0!</v>
      </c>
      <c r="AC771" s="34" t="e">
        <f t="shared" si="65"/>
        <v>#DIV/0!</v>
      </c>
      <c r="AD771" s="34" t="e">
        <f ca="1">SQRT($B$9*SUM(AC771:OFFSET(AC771,$B$5-1,0))/($B$5-1))</f>
        <v>#DIV/0!</v>
      </c>
      <c r="AE771" s="34" t="e">
        <f ca="1">SQRT($B$9*SUM(AC771:OFFSET(AC771,$B$6-1,0))/($B$6-1))</f>
        <v>#DIV/0!</v>
      </c>
      <c r="AF771" s="34" t="e">
        <f ca="1">SQRT($B$9*SUM(AC771:OFFSET(AC771,$B$7-1,0))/($B$7-1))</f>
        <v>#DIV/0!</v>
      </c>
      <c r="AG771" s="34" t="e">
        <f ca="1">SQRT($B$9*SUM(AC771:OFFSET(AC771,$B$8-1,0))/($B$8-1))</f>
        <v>#DIV/0!</v>
      </c>
      <c r="AI771" s="1" t="e">
        <f t="shared" si="66"/>
        <v>#DIV/0!</v>
      </c>
      <c r="AJ771" s="4" t="e">
        <f ca="1">SQRT($B$9)*_xlfn.STDEV.S(AI771:OFFSET(AI771,$B$5-1,0))</f>
        <v>#DIV/0!</v>
      </c>
      <c r="AK771" s="4" t="e">
        <f ca="1">SQRT($B$9)*_xlfn.STDEV.S(AI771:OFFSET(AI771,$B$6-1,0))</f>
        <v>#DIV/0!</v>
      </c>
      <c r="AL771" s="4" t="e">
        <f ca="1">SQRT($B$9)*_xlfn.STDEV.S(AI771:OFFSET(AI771,$B$7-1,0))</f>
        <v>#DIV/0!</v>
      </c>
      <c r="AM771" s="4" t="e">
        <f ca="1">SQRT($B$9)*_xlfn.STDEV.S(AI771:OFFSET(AI771,$B$8-1,0))</f>
        <v>#DIV/0!</v>
      </c>
    </row>
    <row r="772" spans="5:39" x14ac:dyDescent="0.2">
      <c r="E772" s="42">
        <v>44316</v>
      </c>
      <c r="F772" s="43"/>
      <c r="G772" s="43"/>
      <c r="H772" s="43"/>
      <c r="I772" s="43"/>
      <c r="K772" s="3" t="e">
        <f t="shared" si="64"/>
        <v>#DIV/0!</v>
      </c>
      <c r="L772" s="3" t="e">
        <f ca="1">SQRT(AVERAGE(K772:OFFSET(K772,$B$5-1,0))*$B$9/(4*LN(2)))</f>
        <v>#DIV/0!</v>
      </c>
      <c r="M772" s="3" t="e">
        <f ca="1">SQRT(AVERAGE(K772:OFFSET(K772,$B$6-1,0))*$B$9/(4*LN(2)))</f>
        <v>#DIV/0!</v>
      </c>
      <c r="N772" s="3" t="e">
        <f ca="1">SQRT(AVERAGE(K772:OFFSET(K772,$B$7-1,0))*$B$9/(4*LN(2)))</f>
        <v>#DIV/0!</v>
      </c>
      <c r="O772" s="3" t="e">
        <f ca="1">SQRT(AVERAGE(K772:OFFSET(K772,$B$8-1,0))*$B$9/(4*LN(2)))</f>
        <v>#DIV/0!</v>
      </c>
      <c r="Q772" s="5" t="e">
        <f t="shared" si="63"/>
        <v>#DIV/0!</v>
      </c>
      <c r="R772" s="5" t="e">
        <f ca="1">SQRT($B$9*AVERAGE((Q772:OFFSET(Q772,$B$5-1,0))))</f>
        <v>#DIV/0!</v>
      </c>
      <c r="S772" s="5" t="e">
        <f ca="1">SQRT($B$9*AVERAGE((Q772:OFFSET(Q772,$B$6-1,0))))</f>
        <v>#DIV/0!</v>
      </c>
      <c r="T772" s="5" t="e">
        <f ca="1">SQRT($B$9*AVERAGE((Q772:OFFSET(Q772,$B$7-1,0))))</f>
        <v>#DIV/0!</v>
      </c>
      <c r="U772" s="5" t="e">
        <f ca="1">SQRT($B$9*AVERAGE((Q772:OFFSET(Q772,$B$8-1,0))))</f>
        <v>#DIV/0!</v>
      </c>
      <c r="W772" s="6" t="e">
        <f t="shared" si="67"/>
        <v>#DIV/0!</v>
      </c>
      <c r="X772" s="6" t="e">
        <f ca="1">SQRT($B$9*AVERAGE(W772:OFFSET(W772,$B$5-1,0)))</f>
        <v>#DIV/0!</v>
      </c>
      <c r="Y772" s="6" t="e">
        <f ca="1">SQRT($B$9*AVERAGE(W772:OFFSET(W772,$B$6-1,0)))</f>
        <v>#DIV/0!</v>
      </c>
      <c r="Z772" s="6" t="e">
        <f ca="1">SQRT($B$9*AVERAGE(W772:OFFSET(W772,$B$7-1,0)))</f>
        <v>#DIV/0!</v>
      </c>
      <c r="AA772" s="6" t="e">
        <f ca="1">SQRT($B$9*AVERAGE(W772:OFFSET(W772,$B$8-1,0)))</f>
        <v>#DIV/0!</v>
      </c>
      <c r="AC772" s="34" t="e">
        <f t="shared" si="65"/>
        <v>#DIV/0!</v>
      </c>
      <c r="AD772" s="34" t="e">
        <f ca="1">SQRT($B$9*SUM(AC772:OFFSET(AC772,$B$5-1,0))/($B$5-1))</f>
        <v>#DIV/0!</v>
      </c>
      <c r="AE772" s="34" t="e">
        <f ca="1">SQRT($B$9*SUM(AC772:OFFSET(AC772,$B$6-1,0))/($B$6-1))</f>
        <v>#DIV/0!</v>
      </c>
      <c r="AF772" s="34" t="e">
        <f ca="1">SQRT($B$9*SUM(AC772:OFFSET(AC772,$B$7-1,0))/($B$7-1))</f>
        <v>#DIV/0!</v>
      </c>
      <c r="AG772" s="34" t="e">
        <f ca="1">SQRT($B$9*SUM(AC772:OFFSET(AC772,$B$8-1,0))/($B$8-1))</f>
        <v>#DIV/0!</v>
      </c>
      <c r="AI772" s="1" t="e">
        <f t="shared" si="66"/>
        <v>#DIV/0!</v>
      </c>
      <c r="AJ772" s="4" t="e">
        <f ca="1">SQRT($B$9)*_xlfn.STDEV.S(AI772:OFFSET(AI772,$B$5-1,0))</f>
        <v>#DIV/0!</v>
      </c>
      <c r="AK772" s="4" t="e">
        <f ca="1">SQRT($B$9)*_xlfn.STDEV.S(AI772:OFFSET(AI772,$B$6-1,0))</f>
        <v>#DIV/0!</v>
      </c>
      <c r="AL772" s="4" t="e">
        <f ca="1">SQRT($B$9)*_xlfn.STDEV.S(AI772:OFFSET(AI772,$B$7-1,0))</f>
        <v>#DIV/0!</v>
      </c>
      <c r="AM772" s="4" t="e">
        <f ca="1">SQRT($B$9)*_xlfn.STDEV.S(AI772:OFFSET(AI772,$B$8-1,0))</f>
        <v>#DIV/0!</v>
      </c>
    </row>
    <row r="773" spans="5:39" x14ac:dyDescent="0.2">
      <c r="E773" s="42">
        <v>44315</v>
      </c>
      <c r="F773" s="43"/>
      <c r="G773" s="43"/>
      <c r="H773" s="43"/>
      <c r="I773" s="43"/>
      <c r="K773" s="3" t="e">
        <f t="shared" si="64"/>
        <v>#DIV/0!</v>
      </c>
      <c r="L773" s="3" t="e">
        <f ca="1">SQRT(AVERAGE(K773:OFFSET(K773,$B$5-1,0))*$B$9/(4*LN(2)))</f>
        <v>#DIV/0!</v>
      </c>
      <c r="M773" s="3" t="e">
        <f ca="1">SQRT(AVERAGE(K773:OFFSET(K773,$B$6-1,0))*$B$9/(4*LN(2)))</f>
        <v>#DIV/0!</v>
      </c>
      <c r="N773" s="3" t="e">
        <f ca="1">SQRT(AVERAGE(K773:OFFSET(K773,$B$7-1,0))*$B$9/(4*LN(2)))</f>
        <v>#DIV/0!</v>
      </c>
      <c r="O773" s="3" t="e">
        <f ca="1">SQRT(AVERAGE(K773:OFFSET(K773,$B$8-1,0))*$B$9/(4*LN(2)))</f>
        <v>#DIV/0!</v>
      </c>
      <c r="Q773" s="5" t="e">
        <f t="shared" ref="Q773:Q836" si="68">0.511*(LN(G773/H773))^2-0.019*(LN(I773/F773)*LN(G773*H773/F773^2)-2*LN(G773/F773)*LN(H773/F773))-0.383*(LN(I773/F773))^2</f>
        <v>#DIV/0!</v>
      </c>
      <c r="R773" s="5" t="e">
        <f ca="1">SQRT($B$9*AVERAGE((Q773:OFFSET(Q773,$B$5-1,0))))</f>
        <v>#DIV/0!</v>
      </c>
      <c r="S773" s="5" t="e">
        <f ca="1">SQRT($B$9*AVERAGE((Q773:OFFSET(Q773,$B$6-1,0))))</f>
        <v>#DIV/0!</v>
      </c>
      <c r="T773" s="5" t="e">
        <f ca="1">SQRT($B$9*AVERAGE((Q773:OFFSET(Q773,$B$7-1,0))))</f>
        <v>#DIV/0!</v>
      </c>
      <c r="U773" s="5" t="e">
        <f ca="1">SQRT($B$9*AVERAGE((Q773:OFFSET(Q773,$B$8-1,0))))</f>
        <v>#DIV/0!</v>
      </c>
      <c r="W773" s="6" t="e">
        <f t="shared" si="67"/>
        <v>#DIV/0!</v>
      </c>
      <c r="X773" s="6" t="e">
        <f ca="1">SQRT($B$9*AVERAGE(W773:OFFSET(W773,$B$5-1,0)))</f>
        <v>#DIV/0!</v>
      </c>
      <c r="Y773" s="6" t="e">
        <f ca="1">SQRT($B$9*AVERAGE(W773:OFFSET(W773,$B$6-1,0)))</f>
        <v>#DIV/0!</v>
      </c>
      <c r="Z773" s="6" t="e">
        <f ca="1">SQRT($B$9*AVERAGE(W773:OFFSET(W773,$B$7-1,0)))</f>
        <v>#DIV/0!</v>
      </c>
      <c r="AA773" s="6" t="e">
        <f ca="1">SQRT($B$9*AVERAGE(W773:OFFSET(W773,$B$8-1,0)))</f>
        <v>#DIV/0!</v>
      </c>
      <c r="AC773" s="34" t="e">
        <f t="shared" si="65"/>
        <v>#DIV/0!</v>
      </c>
      <c r="AD773" s="34" t="e">
        <f ca="1">SQRT($B$9*SUM(AC773:OFFSET(AC773,$B$5-1,0))/($B$5-1))</f>
        <v>#DIV/0!</v>
      </c>
      <c r="AE773" s="34" t="e">
        <f ca="1">SQRT($B$9*SUM(AC773:OFFSET(AC773,$B$6-1,0))/($B$6-1))</f>
        <v>#DIV/0!</v>
      </c>
      <c r="AF773" s="34" t="e">
        <f ca="1">SQRT($B$9*SUM(AC773:OFFSET(AC773,$B$7-1,0))/($B$7-1))</f>
        <v>#DIV/0!</v>
      </c>
      <c r="AG773" s="34" t="e">
        <f ca="1">SQRT($B$9*SUM(AC773:OFFSET(AC773,$B$8-1,0))/($B$8-1))</f>
        <v>#DIV/0!</v>
      </c>
      <c r="AI773" s="1" t="e">
        <f t="shared" si="66"/>
        <v>#DIV/0!</v>
      </c>
      <c r="AJ773" s="4" t="e">
        <f ca="1">SQRT($B$9)*_xlfn.STDEV.S(AI773:OFFSET(AI773,$B$5-1,0))</f>
        <v>#DIV/0!</v>
      </c>
      <c r="AK773" s="4" t="e">
        <f ca="1">SQRT($B$9)*_xlfn.STDEV.S(AI773:OFFSET(AI773,$B$6-1,0))</f>
        <v>#DIV/0!</v>
      </c>
      <c r="AL773" s="4" t="e">
        <f ca="1">SQRT($B$9)*_xlfn.STDEV.S(AI773:OFFSET(AI773,$B$7-1,0))</f>
        <v>#DIV/0!</v>
      </c>
      <c r="AM773" s="4" t="e">
        <f ca="1">SQRT($B$9)*_xlfn.STDEV.S(AI773:OFFSET(AI773,$B$8-1,0))</f>
        <v>#DIV/0!</v>
      </c>
    </row>
    <row r="774" spans="5:39" x14ac:dyDescent="0.2">
      <c r="E774" s="42">
        <v>44314</v>
      </c>
      <c r="F774" s="43"/>
      <c r="G774" s="43"/>
      <c r="H774" s="43"/>
      <c r="I774" s="43"/>
      <c r="K774" s="3" t="e">
        <f t="shared" ref="K774:K837" si="69">(LN(G774/H774))^2</f>
        <v>#DIV/0!</v>
      </c>
      <c r="L774" s="3" t="e">
        <f ca="1">SQRT(AVERAGE(K774:OFFSET(K774,$B$5-1,0))*$B$9/(4*LN(2)))</f>
        <v>#DIV/0!</v>
      </c>
      <c r="M774" s="3" t="e">
        <f ca="1">SQRT(AVERAGE(K774:OFFSET(K774,$B$6-1,0))*$B$9/(4*LN(2)))</f>
        <v>#DIV/0!</v>
      </c>
      <c r="N774" s="3" t="e">
        <f ca="1">SQRT(AVERAGE(K774:OFFSET(K774,$B$7-1,0))*$B$9/(4*LN(2)))</f>
        <v>#DIV/0!</v>
      </c>
      <c r="O774" s="3" t="e">
        <f ca="1">SQRT(AVERAGE(K774:OFFSET(K774,$B$8-1,0))*$B$9/(4*LN(2)))</f>
        <v>#DIV/0!</v>
      </c>
      <c r="Q774" s="5" t="e">
        <f t="shared" si="68"/>
        <v>#DIV/0!</v>
      </c>
      <c r="R774" s="5" t="e">
        <f ca="1">SQRT($B$9*AVERAGE((Q774:OFFSET(Q774,$B$5-1,0))))</f>
        <v>#DIV/0!</v>
      </c>
      <c r="S774" s="5" t="e">
        <f ca="1">SQRT($B$9*AVERAGE((Q774:OFFSET(Q774,$B$6-1,0))))</f>
        <v>#DIV/0!</v>
      </c>
      <c r="T774" s="5" t="e">
        <f ca="1">SQRT($B$9*AVERAGE((Q774:OFFSET(Q774,$B$7-1,0))))</f>
        <v>#DIV/0!</v>
      </c>
      <c r="U774" s="5" t="e">
        <f ca="1">SQRT($B$9*AVERAGE((Q774:OFFSET(Q774,$B$8-1,0))))</f>
        <v>#DIV/0!</v>
      </c>
      <c r="W774" s="6" t="e">
        <f t="shared" si="67"/>
        <v>#DIV/0!</v>
      </c>
      <c r="X774" s="6" t="e">
        <f ca="1">SQRT($B$9*AVERAGE(W774:OFFSET(W774,$B$5-1,0)))</f>
        <v>#DIV/0!</v>
      </c>
      <c r="Y774" s="6" t="e">
        <f ca="1">SQRT($B$9*AVERAGE(W774:OFFSET(W774,$B$6-1,0)))</f>
        <v>#DIV/0!</v>
      </c>
      <c r="Z774" s="6" t="e">
        <f ca="1">SQRT($B$9*AVERAGE(W774:OFFSET(W774,$B$7-1,0)))</f>
        <v>#DIV/0!</v>
      </c>
      <c r="AA774" s="6" t="e">
        <f ca="1">SQRT($B$9*AVERAGE(W774:OFFSET(W774,$B$8-1,0)))</f>
        <v>#DIV/0!</v>
      </c>
      <c r="AC774" s="34" t="e">
        <f t="shared" si="65"/>
        <v>#DIV/0!</v>
      </c>
      <c r="AD774" s="34" t="e">
        <f ca="1">SQRT($B$9*SUM(AC774:OFFSET(AC774,$B$5-1,0))/($B$5-1))</f>
        <v>#DIV/0!</v>
      </c>
      <c r="AE774" s="34" t="e">
        <f ca="1">SQRT($B$9*SUM(AC774:OFFSET(AC774,$B$6-1,0))/($B$6-1))</f>
        <v>#DIV/0!</v>
      </c>
      <c r="AF774" s="34" t="e">
        <f ca="1">SQRT($B$9*SUM(AC774:OFFSET(AC774,$B$7-1,0))/($B$7-1))</f>
        <v>#DIV/0!</v>
      </c>
      <c r="AG774" s="34" t="e">
        <f ca="1">SQRT($B$9*SUM(AC774:OFFSET(AC774,$B$8-1,0))/($B$8-1))</f>
        <v>#DIV/0!</v>
      </c>
      <c r="AI774" s="1" t="e">
        <f t="shared" si="66"/>
        <v>#DIV/0!</v>
      </c>
      <c r="AJ774" s="4" t="e">
        <f ca="1">SQRT($B$9)*_xlfn.STDEV.S(AI774:OFFSET(AI774,$B$5-1,0))</f>
        <v>#DIV/0!</v>
      </c>
      <c r="AK774" s="4" t="e">
        <f ca="1">SQRT($B$9)*_xlfn.STDEV.S(AI774:OFFSET(AI774,$B$6-1,0))</f>
        <v>#DIV/0!</v>
      </c>
      <c r="AL774" s="4" t="e">
        <f ca="1">SQRT($B$9)*_xlfn.STDEV.S(AI774:OFFSET(AI774,$B$7-1,0))</f>
        <v>#DIV/0!</v>
      </c>
      <c r="AM774" s="4" t="e">
        <f ca="1">SQRT($B$9)*_xlfn.STDEV.S(AI774:OFFSET(AI774,$B$8-1,0))</f>
        <v>#DIV/0!</v>
      </c>
    </row>
    <row r="775" spans="5:39" x14ac:dyDescent="0.2">
      <c r="E775" s="42">
        <v>44313</v>
      </c>
      <c r="F775" s="43"/>
      <c r="G775" s="43"/>
      <c r="H775" s="43"/>
      <c r="I775" s="43"/>
      <c r="K775" s="3" t="e">
        <f t="shared" si="69"/>
        <v>#DIV/0!</v>
      </c>
      <c r="L775" s="3" t="e">
        <f ca="1">SQRT(AVERAGE(K775:OFFSET(K775,$B$5-1,0))*$B$9/(4*LN(2)))</f>
        <v>#DIV/0!</v>
      </c>
      <c r="M775" s="3" t="e">
        <f ca="1">SQRT(AVERAGE(K775:OFFSET(K775,$B$6-1,0))*$B$9/(4*LN(2)))</f>
        <v>#DIV/0!</v>
      </c>
      <c r="N775" s="3" t="e">
        <f ca="1">SQRT(AVERAGE(K775:OFFSET(K775,$B$7-1,0))*$B$9/(4*LN(2)))</f>
        <v>#DIV/0!</v>
      </c>
      <c r="O775" s="3" t="e">
        <f ca="1">SQRT(AVERAGE(K775:OFFSET(K775,$B$8-1,0))*$B$9/(4*LN(2)))</f>
        <v>#DIV/0!</v>
      </c>
      <c r="Q775" s="5" t="e">
        <f t="shared" si="68"/>
        <v>#DIV/0!</v>
      </c>
      <c r="R775" s="5" t="e">
        <f ca="1">SQRT($B$9*AVERAGE((Q775:OFFSET(Q775,$B$5-1,0))))</f>
        <v>#DIV/0!</v>
      </c>
      <c r="S775" s="5" t="e">
        <f ca="1">SQRT($B$9*AVERAGE((Q775:OFFSET(Q775,$B$6-1,0))))</f>
        <v>#DIV/0!</v>
      </c>
      <c r="T775" s="5" t="e">
        <f ca="1">SQRT($B$9*AVERAGE((Q775:OFFSET(Q775,$B$7-1,0))))</f>
        <v>#DIV/0!</v>
      </c>
      <c r="U775" s="5" t="e">
        <f ca="1">SQRT($B$9*AVERAGE((Q775:OFFSET(Q775,$B$8-1,0))))</f>
        <v>#DIV/0!</v>
      </c>
      <c r="W775" s="6" t="e">
        <f t="shared" si="67"/>
        <v>#DIV/0!</v>
      </c>
      <c r="X775" s="6" t="e">
        <f ca="1">SQRT($B$9*AVERAGE(W775:OFFSET(W775,$B$5-1,0)))</f>
        <v>#DIV/0!</v>
      </c>
      <c r="Y775" s="6" t="e">
        <f ca="1">SQRT($B$9*AVERAGE(W775:OFFSET(W775,$B$6-1,0)))</f>
        <v>#DIV/0!</v>
      </c>
      <c r="Z775" s="6" t="e">
        <f ca="1">SQRT($B$9*AVERAGE(W775:OFFSET(W775,$B$7-1,0)))</f>
        <v>#DIV/0!</v>
      </c>
      <c r="AA775" s="6" t="e">
        <f ca="1">SQRT($B$9*AVERAGE(W775:OFFSET(W775,$B$8-1,0)))</f>
        <v>#DIV/0!</v>
      </c>
      <c r="AC775" s="34" t="e">
        <f t="shared" si="65"/>
        <v>#DIV/0!</v>
      </c>
      <c r="AD775" s="34" t="e">
        <f ca="1">SQRT($B$9*SUM(AC775:OFFSET(AC775,$B$5-1,0))/($B$5-1))</f>
        <v>#DIV/0!</v>
      </c>
      <c r="AE775" s="34" t="e">
        <f ca="1">SQRT($B$9*SUM(AC775:OFFSET(AC775,$B$6-1,0))/($B$6-1))</f>
        <v>#DIV/0!</v>
      </c>
      <c r="AF775" s="34" t="e">
        <f ca="1">SQRT($B$9*SUM(AC775:OFFSET(AC775,$B$7-1,0))/($B$7-1))</f>
        <v>#DIV/0!</v>
      </c>
      <c r="AG775" s="34" t="e">
        <f ca="1">SQRT($B$9*SUM(AC775:OFFSET(AC775,$B$8-1,0))/($B$8-1))</f>
        <v>#DIV/0!</v>
      </c>
      <c r="AI775" s="1" t="e">
        <f t="shared" si="66"/>
        <v>#DIV/0!</v>
      </c>
      <c r="AJ775" s="4" t="e">
        <f ca="1">SQRT($B$9)*_xlfn.STDEV.S(AI775:OFFSET(AI775,$B$5-1,0))</f>
        <v>#DIV/0!</v>
      </c>
      <c r="AK775" s="4" t="e">
        <f ca="1">SQRT($B$9)*_xlfn.STDEV.S(AI775:OFFSET(AI775,$B$6-1,0))</f>
        <v>#DIV/0!</v>
      </c>
      <c r="AL775" s="4" t="e">
        <f ca="1">SQRT($B$9)*_xlfn.STDEV.S(AI775:OFFSET(AI775,$B$7-1,0))</f>
        <v>#DIV/0!</v>
      </c>
      <c r="AM775" s="4" t="e">
        <f ca="1">SQRT($B$9)*_xlfn.STDEV.S(AI775:OFFSET(AI775,$B$8-1,0))</f>
        <v>#DIV/0!</v>
      </c>
    </row>
    <row r="776" spans="5:39" x14ac:dyDescent="0.2">
      <c r="E776" s="42">
        <v>44312</v>
      </c>
      <c r="F776" s="43"/>
      <c r="G776" s="43"/>
      <c r="H776" s="43"/>
      <c r="I776" s="43"/>
      <c r="K776" s="3" t="e">
        <f t="shared" si="69"/>
        <v>#DIV/0!</v>
      </c>
      <c r="L776" s="3" t="e">
        <f ca="1">SQRT(AVERAGE(K776:OFFSET(K776,$B$5-1,0))*$B$9/(4*LN(2)))</f>
        <v>#DIV/0!</v>
      </c>
      <c r="M776" s="3" t="e">
        <f ca="1">SQRT(AVERAGE(K776:OFFSET(K776,$B$6-1,0))*$B$9/(4*LN(2)))</f>
        <v>#DIV/0!</v>
      </c>
      <c r="N776" s="3" t="e">
        <f ca="1">SQRT(AVERAGE(K776:OFFSET(K776,$B$7-1,0))*$B$9/(4*LN(2)))</f>
        <v>#DIV/0!</v>
      </c>
      <c r="O776" s="3" t="e">
        <f ca="1">SQRT(AVERAGE(K776:OFFSET(K776,$B$8-1,0))*$B$9/(4*LN(2)))</f>
        <v>#DIV/0!</v>
      </c>
      <c r="Q776" s="5" t="e">
        <f t="shared" si="68"/>
        <v>#DIV/0!</v>
      </c>
      <c r="R776" s="5" t="e">
        <f ca="1">SQRT($B$9*AVERAGE((Q776:OFFSET(Q776,$B$5-1,0))))</f>
        <v>#DIV/0!</v>
      </c>
      <c r="S776" s="5" t="e">
        <f ca="1">SQRT($B$9*AVERAGE((Q776:OFFSET(Q776,$B$6-1,0))))</f>
        <v>#DIV/0!</v>
      </c>
      <c r="T776" s="5" t="e">
        <f ca="1">SQRT($B$9*AVERAGE((Q776:OFFSET(Q776,$B$7-1,0))))</f>
        <v>#DIV/0!</v>
      </c>
      <c r="U776" s="5" t="e">
        <f ca="1">SQRT($B$9*AVERAGE((Q776:OFFSET(Q776,$B$8-1,0))))</f>
        <v>#DIV/0!</v>
      </c>
      <c r="W776" s="6" t="e">
        <f t="shared" si="67"/>
        <v>#DIV/0!</v>
      </c>
      <c r="X776" s="6" t="e">
        <f ca="1">SQRT($B$9*AVERAGE(W776:OFFSET(W776,$B$5-1,0)))</f>
        <v>#DIV/0!</v>
      </c>
      <c r="Y776" s="6" t="e">
        <f ca="1">SQRT($B$9*AVERAGE(W776:OFFSET(W776,$B$6-1,0)))</f>
        <v>#DIV/0!</v>
      </c>
      <c r="Z776" s="6" t="e">
        <f ca="1">SQRT($B$9*AVERAGE(W776:OFFSET(W776,$B$7-1,0)))</f>
        <v>#DIV/0!</v>
      </c>
      <c r="AA776" s="6" t="e">
        <f ca="1">SQRT($B$9*AVERAGE(W776:OFFSET(W776,$B$8-1,0)))</f>
        <v>#DIV/0!</v>
      </c>
      <c r="AC776" s="34" t="e">
        <f t="shared" si="65"/>
        <v>#DIV/0!</v>
      </c>
      <c r="AD776" s="34" t="e">
        <f ca="1">SQRT($B$9*SUM(AC776:OFFSET(AC776,$B$5-1,0))/($B$5-1))</f>
        <v>#DIV/0!</v>
      </c>
      <c r="AE776" s="34" t="e">
        <f ca="1">SQRT($B$9*SUM(AC776:OFFSET(AC776,$B$6-1,0))/($B$6-1))</f>
        <v>#DIV/0!</v>
      </c>
      <c r="AF776" s="34" t="e">
        <f ca="1">SQRT($B$9*SUM(AC776:OFFSET(AC776,$B$7-1,0))/($B$7-1))</f>
        <v>#DIV/0!</v>
      </c>
      <c r="AG776" s="34" t="e">
        <f ca="1">SQRT($B$9*SUM(AC776:OFFSET(AC776,$B$8-1,0))/($B$8-1))</f>
        <v>#DIV/0!</v>
      </c>
      <c r="AI776" s="1" t="e">
        <f t="shared" si="66"/>
        <v>#DIV/0!</v>
      </c>
      <c r="AJ776" s="4" t="e">
        <f ca="1">SQRT($B$9)*_xlfn.STDEV.S(AI776:OFFSET(AI776,$B$5-1,0))</f>
        <v>#DIV/0!</v>
      </c>
      <c r="AK776" s="4" t="e">
        <f ca="1">SQRT($B$9)*_xlfn.STDEV.S(AI776:OFFSET(AI776,$B$6-1,0))</f>
        <v>#DIV/0!</v>
      </c>
      <c r="AL776" s="4" t="e">
        <f ca="1">SQRT($B$9)*_xlfn.STDEV.S(AI776:OFFSET(AI776,$B$7-1,0))</f>
        <v>#DIV/0!</v>
      </c>
      <c r="AM776" s="4" t="e">
        <f ca="1">SQRT($B$9)*_xlfn.STDEV.S(AI776:OFFSET(AI776,$B$8-1,0))</f>
        <v>#DIV/0!</v>
      </c>
    </row>
    <row r="777" spans="5:39" x14ac:dyDescent="0.2">
      <c r="E777" s="42">
        <v>44309</v>
      </c>
      <c r="F777" s="43"/>
      <c r="G777" s="43"/>
      <c r="H777" s="43"/>
      <c r="I777" s="43"/>
      <c r="K777" s="3" t="e">
        <f t="shared" si="69"/>
        <v>#DIV/0!</v>
      </c>
      <c r="L777" s="3" t="e">
        <f ca="1">SQRT(AVERAGE(K777:OFFSET(K777,$B$5-1,0))*$B$9/(4*LN(2)))</f>
        <v>#DIV/0!</v>
      </c>
      <c r="M777" s="3" t="e">
        <f ca="1">SQRT(AVERAGE(K777:OFFSET(K777,$B$6-1,0))*$B$9/(4*LN(2)))</f>
        <v>#DIV/0!</v>
      </c>
      <c r="N777" s="3" t="e">
        <f ca="1">SQRT(AVERAGE(K777:OFFSET(K777,$B$7-1,0))*$B$9/(4*LN(2)))</f>
        <v>#DIV/0!</v>
      </c>
      <c r="O777" s="3" t="e">
        <f ca="1">SQRT(AVERAGE(K777:OFFSET(K777,$B$8-1,0))*$B$9/(4*LN(2)))</f>
        <v>#DIV/0!</v>
      </c>
      <c r="Q777" s="5" t="e">
        <f t="shared" si="68"/>
        <v>#DIV/0!</v>
      </c>
      <c r="R777" s="5" t="e">
        <f ca="1">SQRT($B$9*AVERAGE((Q777:OFFSET(Q777,$B$5-1,0))))</f>
        <v>#DIV/0!</v>
      </c>
      <c r="S777" s="5" t="e">
        <f ca="1">SQRT($B$9*AVERAGE((Q777:OFFSET(Q777,$B$6-1,0))))</f>
        <v>#DIV/0!</v>
      </c>
      <c r="T777" s="5" t="e">
        <f ca="1">SQRT($B$9*AVERAGE((Q777:OFFSET(Q777,$B$7-1,0))))</f>
        <v>#DIV/0!</v>
      </c>
      <c r="U777" s="5" t="e">
        <f ca="1">SQRT($B$9*AVERAGE((Q777:OFFSET(Q777,$B$8-1,0))))</f>
        <v>#DIV/0!</v>
      </c>
      <c r="W777" s="6" t="e">
        <f t="shared" si="67"/>
        <v>#DIV/0!</v>
      </c>
      <c r="X777" s="6" t="e">
        <f ca="1">SQRT($B$9*AVERAGE(W777:OFFSET(W777,$B$5-1,0)))</f>
        <v>#DIV/0!</v>
      </c>
      <c r="Y777" s="6" t="e">
        <f ca="1">SQRT($B$9*AVERAGE(W777:OFFSET(W777,$B$6-1,0)))</f>
        <v>#DIV/0!</v>
      </c>
      <c r="Z777" s="6" t="e">
        <f ca="1">SQRT($B$9*AVERAGE(W777:OFFSET(W777,$B$7-1,0)))</f>
        <v>#DIV/0!</v>
      </c>
      <c r="AA777" s="6" t="e">
        <f ca="1">SQRT($B$9*AVERAGE(W777:OFFSET(W777,$B$8-1,0)))</f>
        <v>#DIV/0!</v>
      </c>
      <c r="AC777" s="34" t="e">
        <f t="shared" si="65"/>
        <v>#DIV/0!</v>
      </c>
      <c r="AD777" s="34" t="e">
        <f ca="1">SQRT($B$9*SUM(AC777:OFFSET(AC777,$B$5-1,0))/($B$5-1))</f>
        <v>#DIV/0!</v>
      </c>
      <c r="AE777" s="34" t="e">
        <f ca="1">SQRT($B$9*SUM(AC777:OFFSET(AC777,$B$6-1,0))/($B$6-1))</f>
        <v>#DIV/0!</v>
      </c>
      <c r="AF777" s="34" t="e">
        <f ca="1">SQRT($B$9*SUM(AC777:OFFSET(AC777,$B$7-1,0))/($B$7-1))</f>
        <v>#DIV/0!</v>
      </c>
      <c r="AG777" s="34" t="e">
        <f ca="1">SQRT($B$9*SUM(AC777:OFFSET(AC777,$B$8-1,0))/($B$8-1))</f>
        <v>#DIV/0!</v>
      </c>
      <c r="AI777" s="1" t="e">
        <f t="shared" si="66"/>
        <v>#DIV/0!</v>
      </c>
      <c r="AJ777" s="4" t="e">
        <f ca="1">SQRT($B$9)*_xlfn.STDEV.S(AI777:OFFSET(AI777,$B$5-1,0))</f>
        <v>#DIV/0!</v>
      </c>
      <c r="AK777" s="4" t="e">
        <f ca="1">SQRT($B$9)*_xlfn.STDEV.S(AI777:OFFSET(AI777,$B$6-1,0))</f>
        <v>#DIV/0!</v>
      </c>
      <c r="AL777" s="4" t="e">
        <f ca="1">SQRT($B$9)*_xlfn.STDEV.S(AI777:OFFSET(AI777,$B$7-1,0))</f>
        <v>#DIV/0!</v>
      </c>
      <c r="AM777" s="4" t="e">
        <f ca="1">SQRT($B$9)*_xlfn.STDEV.S(AI777:OFFSET(AI777,$B$8-1,0))</f>
        <v>#DIV/0!</v>
      </c>
    </row>
    <row r="778" spans="5:39" x14ac:dyDescent="0.2">
      <c r="E778" s="42">
        <v>44308</v>
      </c>
      <c r="F778" s="43"/>
      <c r="G778" s="43"/>
      <c r="H778" s="43"/>
      <c r="I778" s="43"/>
      <c r="K778" s="3" t="e">
        <f t="shared" si="69"/>
        <v>#DIV/0!</v>
      </c>
      <c r="L778" s="3" t="e">
        <f ca="1">SQRT(AVERAGE(K778:OFFSET(K778,$B$5-1,0))*$B$9/(4*LN(2)))</f>
        <v>#DIV/0!</v>
      </c>
      <c r="M778" s="3" t="e">
        <f ca="1">SQRT(AVERAGE(K778:OFFSET(K778,$B$6-1,0))*$B$9/(4*LN(2)))</f>
        <v>#DIV/0!</v>
      </c>
      <c r="N778" s="3" t="e">
        <f ca="1">SQRT(AVERAGE(K778:OFFSET(K778,$B$7-1,0))*$B$9/(4*LN(2)))</f>
        <v>#DIV/0!</v>
      </c>
      <c r="O778" s="3" t="e">
        <f ca="1">SQRT(AVERAGE(K778:OFFSET(K778,$B$8-1,0))*$B$9/(4*LN(2)))</f>
        <v>#DIV/0!</v>
      </c>
      <c r="Q778" s="5" t="e">
        <f t="shared" si="68"/>
        <v>#DIV/0!</v>
      </c>
      <c r="R778" s="5" t="e">
        <f ca="1">SQRT($B$9*AVERAGE((Q778:OFFSET(Q778,$B$5-1,0))))</f>
        <v>#DIV/0!</v>
      </c>
      <c r="S778" s="5" t="e">
        <f ca="1">SQRT($B$9*AVERAGE((Q778:OFFSET(Q778,$B$6-1,0))))</f>
        <v>#DIV/0!</v>
      </c>
      <c r="T778" s="5" t="e">
        <f ca="1">SQRT($B$9*AVERAGE((Q778:OFFSET(Q778,$B$7-1,0))))</f>
        <v>#DIV/0!</v>
      </c>
      <c r="U778" s="5" t="e">
        <f ca="1">SQRT($B$9*AVERAGE((Q778:OFFSET(Q778,$B$8-1,0))))</f>
        <v>#DIV/0!</v>
      </c>
      <c r="W778" s="6" t="e">
        <f t="shared" si="67"/>
        <v>#DIV/0!</v>
      </c>
      <c r="X778" s="6" t="e">
        <f ca="1">SQRT($B$9*AVERAGE(W778:OFFSET(W778,$B$5-1,0)))</f>
        <v>#DIV/0!</v>
      </c>
      <c r="Y778" s="6" t="e">
        <f ca="1">SQRT($B$9*AVERAGE(W778:OFFSET(W778,$B$6-1,0)))</f>
        <v>#DIV/0!</v>
      </c>
      <c r="Z778" s="6" t="e">
        <f ca="1">SQRT($B$9*AVERAGE(W778:OFFSET(W778,$B$7-1,0)))</f>
        <v>#DIV/0!</v>
      </c>
      <c r="AA778" s="6" t="e">
        <f ca="1">SQRT($B$9*AVERAGE(W778:OFFSET(W778,$B$8-1,0)))</f>
        <v>#DIV/0!</v>
      </c>
      <c r="AC778" s="34" t="e">
        <f t="shared" si="65"/>
        <v>#DIV/0!</v>
      </c>
      <c r="AD778" s="34" t="e">
        <f ca="1">SQRT($B$9*SUM(AC778:OFFSET(AC778,$B$5-1,0))/($B$5-1))</f>
        <v>#DIV/0!</v>
      </c>
      <c r="AE778" s="34" t="e">
        <f ca="1">SQRT($B$9*SUM(AC778:OFFSET(AC778,$B$6-1,0))/($B$6-1))</f>
        <v>#DIV/0!</v>
      </c>
      <c r="AF778" s="34" t="e">
        <f ca="1">SQRT($B$9*SUM(AC778:OFFSET(AC778,$B$7-1,0))/($B$7-1))</f>
        <v>#DIV/0!</v>
      </c>
      <c r="AG778" s="34" t="e">
        <f ca="1">SQRT($B$9*SUM(AC778:OFFSET(AC778,$B$8-1,0))/($B$8-1))</f>
        <v>#DIV/0!</v>
      </c>
      <c r="AI778" s="1" t="e">
        <f t="shared" si="66"/>
        <v>#DIV/0!</v>
      </c>
      <c r="AJ778" s="4" t="e">
        <f ca="1">SQRT($B$9)*_xlfn.STDEV.S(AI778:OFFSET(AI778,$B$5-1,0))</f>
        <v>#DIV/0!</v>
      </c>
      <c r="AK778" s="4" t="e">
        <f ca="1">SQRT($B$9)*_xlfn.STDEV.S(AI778:OFFSET(AI778,$B$6-1,0))</f>
        <v>#DIV/0!</v>
      </c>
      <c r="AL778" s="4" t="e">
        <f ca="1">SQRT($B$9)*_xlfn.STDEV.S(AI778:OFFSET(AI778,$B$7-1,0))</f>
        <v>#DIV/0!</v>
      </c>
      <c r="AM778" s="4" t="e">
        <f ca="1">SQRT($B$9)*_xlfn.STDEV.S(AI778:OFFSET(AI778,$B$8-1,0))</f>
        <v>#DIV/0!</v>
      </c>
    </row>
    <row r="779" spans="5:39" x14ac:dyDescent="0.2">
      <c r="E779" s="42">
        <v>44307</v>
      </c>
      <c r="F779" s="43"/>
      <c r="G779" s="43"/>
      <c r="H779" s="43"/>
      <c r="I779" s="43"/>
      <c r="K779" s="3" t="e">
        <f t="shared" si="69"/>
        <v>#DIV/0!</v>
      </c>
      <c r="L779" s="3" t="e">
        <f ca="1">SQRT(AVERAGE(K779:OFFSET(K779,$B$5-1,0))*$B$9/(4*LN(2)))</f>
        <v>#DIV/0!</v>
      </c>
      <c r="M779" s="3" t="e">
        <f ca="1">SQRT(AVERAGE(K779:OFFSET(K779,$B$6-1,0))*$B$9/(4*LN(2)))</f>
        <v>#DIV/0!</v>
      </c>
      <c r="N779" s="3" t="e">
        <f ca="1">SQRT(AVERAGE(K779:OFFSET(K779,$B$7-1,0))*$B$9/(4*LN(2)))</f>
        <v>#DIV/0!</v>
      </c>
      <c r="O779" s="3" t="e">
        <f ca="1">SQRT(AVERAGE(K779:OFFSET(K779,$B$8-1,0))*$B$9/(4*LN(2)))</f>
        <v>#DIV/0!</v>
      </c>
      <c r="Q779" s="5" t="e">
        <f t="shared" si="68"/>
        <v>#DIV/0!</v>
      </c>
      <c r="R779" s="5" t="e">
        <f ca="1">SQRT($B$9*AVERAGE((Q779:OFFSET(Q779,$B$5-1,0))))</f>
        <v>#DIV/0!</v>
      </c>
      <c r="S779" s="5" t="e">
        <f ca="1">SQRT($B$9*AVERAGE((Q779:OFFSET(Q779,$B$6-1,0))))</f>
        <v>#DIV/0!</v>
      </c>
      <c r="T779" s="5" t="e">
        <f ca="1">SQRT($B$9*AVERAGE((Q779:OFFSET(Q779,$B$7-1,0))))</f>
        <v>#DIV/0!</v>
      </c>
      <c r="U779" s="5" t="e">
        <f ca="1">SQRT($B$9*AVERAGE((Q779:OFFSET(Q779,$B$8-1,0))))</f>
        <v>#DIV/0!</v>
      </c>
      <c r="W779" s="6" t="e">
        <f t="shared" si="67"/>
        <v>#DIV/0!</v>
      </c>
      <c r="X779" s="6" t="e">
        <f ca="1">SQRT($B$9*AVERAGE(W779:OFFSET(W779,$B$5-1,0)))</f>
        <v>#DIV/0!</v>
      </c>
      <c r="Y779" s="6" t="e">
        <f ca="1">SQRT($B$9*AVERAGE(W779:OFFSET(W779,$B$6-1,0)))</f>
        <v>#DIV/0!</v>
      </c>
      <c r="Z779" s="6" t="e">
        <f ca="1">SQRT($B$9*AVERAGE(W779:OFFSET(W779,$B$7-1,0)))</f>
        <v>#DIV/0!</v>
      </c>
      <c r="AA779" s="6" t="e">
        <f ca="1">SQRT($B$9*AVERAGE(W779:OFFSET(W779,$B$8-1,0)))</f>
        <v>#DIV/0!</v>
      </c>
      <c r="AC779" s="34" t="e">
        <f t="shared" si="65"/>
        <v>#DIV/0!</v>
      </c>
      <c r="AD779" s="34" t="e">
        <f ca="1">SQRT($B$9*SUM(AC779:OFFSET(AC779,$B$5-1,0))/($B$5-1))</f>
        <v>#DIV/0!</v>
      </c>
      <c r="AE779" s="34" t="e">
        <f ca="1">SQRT($B$9*SUM(AC779:OFFSET(AC779,$B$6-1,0))/($B$6-1))</f>
        <v>#DIV/0!</v>
      </c>
      <c r="AF779" s="34" t="e">
        <f ca="1">SQRT($B$9*SUM(AC779:OFFSET(AC779,$B$7-1,0))/($B$7-1))</f>
        <v>#DIV/0!</v>
      </c>
      <c r="AG779" s="34" t="e">
        <f ca="1">SQRT($B$9*SUM(AC779:OFFSET(AC779,$B$8-1,0))/($B$8-1))</f>
        <v>#DIV/0!</v>
      </c>
      <c r="AI779" s="1" t="e">
        <f t="shared" si="66"/>
        <v>#DIV/0!</v>
      </c>
      <c r="AJ779" s="4" t="e">
        <f ca="1">SQRT($B$9)*_xlfn.STDEV.S(AI779:OFFSET(AI779,$B$5-1,0))</f>
        <v>#DIV/0!</v>
      </c>
      <c r="AK779" s="4" t="e">
        <f ca="1">SQRT($B$9)*_xlfn.STDEV.S(AI779:OFFSET(AI779,$B$6-1,0))</f>
        <v>#DIV/0!</v>
      </c>
      <c r="AL779" s="4" t="e">
        <f ca="1">SQRT($B$9)*_xlfn.STDEV.S(AI779:OFFSET(AI779,$B$7-1,0))</f>
        <v>#DIV/0!</v>
      </c>
      <c r="AM779" s="4" t="e">
        <f ca="1">SQRT($B$9)*_xlfn.STDEV.S(AI779:OFFSET(AI779,$B$8-1,0))</f>
        <v>#DIV/0!</v>
      </c>
    </row>
    <row r="780" spans="5:39" x14ac:dyDescent="0.2">
      <c r="E780" s="42">
        <v>44306</v>
      </c>
      <c r="F780" s="43"/>
      <c r="G780" s="43"/>
      <c r="H780" s="43"/>
      <c r="I780" s="43"/>
      <c r="K780" s="3" t="e">
        <f t="shared" si="69"/>
        <v>#DIV/0!</v>
      </c>
      <c r="L780" s="3" t="e">
        <f ca="1">SQRT(AVERAGE(K780:OFFSET(K780,$B$5-1,0))*$B$9/(4*LN(2)))</f>
        <v>#DIV/0!</v>
      </c>
      <c r="M780" s="3" t="e">
        <f ca="1">SQRT(AVERAGE(K780:OFFSET(K780,$B$6-1,0))*$B$9/(4*LN(2)))</f>
        <v>#DIV/0!</v>
      </c>
      <c r="N780" s="3" t="e">
        <f ca="1">SQRT(AVERAGE(K780:OFFSET(K780,$B$7-1,0))*$B$9/(4*LN(2)))</f>
        <v>#DIV/0!</v>
      </c>
      <c r="O780" s="3" t="e">
        <f ca="1">SQRT(AVERAGE(K780:OFFSET(K780,$B$8-1,0))*$B$9/(4*LN(2)))</f>
        <v>#DIV/0!</v>
      </c>
      <c r="Q780" s="5" t="e">
        <f t="shared" si="68"/>
        <v>#DIV/0!</v>
      </c>
      <c r="R780" s="5" t="e">
        <f ca="1">SQRT($B$9*AVERAGE((Q780:OFFSET(Q780,$B$5-1,0))))</f>
        <v>#DIV/0!</v>
      </c>
      <c r="S780" s="5" t="e">
        <f ca="1">SQRT($B$9*AVERAGE((Q780:OFFSET(Q780,$B$6-1,0))))</f>
        <v>#DIV/0!</v>
      </c>
      <c r="T780" s="5" t="e">
        <f ca="1">SQRT($B$9*AVERAGE((Q780:OFFSET(Q780,$B$7-1,0))))</f>
        <v>#DIV/0!</v>
      </c>
      <c r="U780" s="5" t="e">
        <f ca="1">SQRT($B$9*AVERAGE((Q780:OFFSET(Q780,$B$8-1,0))))</f>
        <v>#DIV/0!</v>
      </c>
      <c r="W780" s="6" t="e">
        <f t="shared" si="67"/>
        <v>#DIV/0!</v>
      </c>
      <c r="X780" s="6" t="e">
        <f ca="1">SQRT($B$9*AVERAGE(W780:OFFSET(W780,$B$5-1,0)))</f>
        <v>#DIV/0!</v>
      </c>
      <c r="Y780" s="6" t="e">
        <f ca="1">SQRT($B$9*AVERAGE(W780:OFFSET(W780,$B$6-1,0)))</f>
        <v>#DIV/0!</v>
      </c>
      <c r="Z780" s="6" t="e">
        <f ca="1">SQRT($B$9*AVERAGE(W780:OFFSET(W780,$B$7-1,0)))</f>
        <v>#DIV/0!</v>
      </c>
      <c r="AA780" s="6" t="e">
        <f ca="1">SQRT($B$9*AVERAGE(W780:OFFSET(W780,$B$8-1,0)))</f>
        <v>#DIV/0!</v>
      </c>
      <c r="AC780" s="34" t="e">
        <f t="shared" si="65"/>
        <v>#DIV/0!</v>
      </c>
      <c r="AD780" s="34" t="e">
        <f ca="1">SQRT($B$9*SUM(AC780:OFFSET(AC780,$B$5-1,0))/($B$5-1))</f>
        <v>#DIV/0!</v>
      </c>
      <c r="AE780" s="34" t="e">
        <f ca="1">SQRT($B$9*SUM(AC780:OFFSET(AC780,$B$6-1,0))/($B$6-1))</f>
        <v>#DIV/0!</v>
      </c>
      <c r="AF780" s="34" t="e">
        <f ca="1">SQRT($B$9*SUM(AC780:OFFSET(AC780,$B$7-1,0))/($B$7-1))</f>
        <v>#DIV/0!</v>
      </c>
      <c r="AG780" s="34" t="e">
        <f ca="1">SQRT($B$9*SUM(AC780:OFFSET(AC780,$B$8-1,0))/($B$8-1))</f>
        <v>#DIV/0!</v>
      </c>
      <c r="AI780" s="1" t="e">
        <f t="shared" si="66"/>
        <v>#DIV/0!</v>
      </c>
      <c r="AJ780" s="4" t="e">
        <f ca="1">SQRT($B$9)*_xlfn.STDEV.S(AI780:OFFSET(AI780,$B$5-1,0))</f>
        <v>#DIV/0!</v>
      </c>
      <c r="AK780" s="4" t="e">
        <f ca="1">SQRT($B$9)*_xlfn.STDEV.S(AI780:OFFSET(AI780,$B$6-1,0))</f>
        <v>#DIV/0!</v>
      </c>
      <c r="AL780" s="4" t="e">
        <f ca="1">SQRT($B$9)*_xlfn.STDEV.S(AI780:OFFSET(AI780,$B$7-1,0))</f>
        <v>#DIV/0!</v>
      </c>
      <c r="AM780" s="4" t="e">
        <f ca="1">SQRT($B$9)*_xlfn.STDEV.S(AI780:OFFSET(AI780,$B$8-1,0))</f>
        <v>#DIV/0!</v>
      </c>
    </row>
    <row r="781" spans="5:39" x14ac:dyDescent="0.2">
      <c r="E781" s="42">
        <v>44305</v>
      </c>
      <c r="F781" s="43"/>
      <c r="G781" s="43"/>
      <c r="H781" s="43"/>
      <c r="I781" s="43"/>
      <c r="K781" s="3" t="e">
        <f t="shared" si="69"/>
        <v>#DIV/0!</v>
      </c>
      <c r="L781" s="3" t="e">
        <f ca="1">SQRT(AVERAGE(K781:OFFSET(K781,$B$5-1,0))*$B$9/(4*LN(2)))</f>
        <v>#DIV/0!</v>
      </c>
      <c r="M781" s="3" t="e">
        <f ca="1">SQRT(AVERAGE(K781:OFFSET(K781,$B$6-1,0))*$B$9/(4*LN(2)))</f>
        <v>#DIV/0!</v>
      </c>
      <c r="N781" s="3" t="e">
        <f ca="1">SQRT(AVERAGE(K781:OFFSET(K781,$B$7-1,0))*$B$9/(4*LN(2)))</f>
        <v>#DIV/0!</v>
      </c>
      <c r="O781" s="3" t="e">
        <f ca="1">SQRT(AVERAGE(K781:OFFSET(K781,$B$8-1,0))*$B$9/(4*LN(2)))</f>
        <v>#DIV/0!</v>
      </c>
      <c r="Q781" s="5" t="e">
        <f t="shared" si="68"/>
        <v>#DIV/0!</v>
      </c>
      <c r="R781" s="5" t="e">
        <f ca="1">SQRT($B$9*AVERAGE((Q781:OFFSET(Q781,$B$5-1,0))))</f>
        <v>#DIV/0!</v>
      </c>
      <c r="S781" s="5" t="e">
        <f ca="1">SQRT($B$9*AVERAGE((Q781:OFFSET(Q781,$B$6-1,0))))</f>
        <v>#DIV/0!</v>
      </c>
      <c r="T781" s="5" t="e">
        <f ca="1">SQRT($B$9*AVERAGE((Q781:OFFSET(Q781,$B$7-1,0))))</f>
        <v>#DIV/0!</v>
      </c>
      <c r="U781" s="5" t="e">
        <f ca="1">SQRT($B$9*AVERAGE((Q781:OFFSET(Q781,$B$8-1,0))))</f>
        <v>#DIV/0!</v>
      </c>
      <c r="W781" s="6" t="e">
        <f t="shared" si="67"/>
        <v>#DIV/0!</v>
      </c>
      <c r="X781" s="6" t="e">
        <f ca="1">SQRT($B$9*AVERAGE(W781:OFFSET(W781,$B$5-1,0)))</f>
        <v>#DIV/0!</v>
      </c>
      <c r="Y781" s="6" t="e">
        <f ca="1">SQRT($B$9*AVERAGE(W781:OFFSET(W781,$B$6-1,0)))</f>
        <v>#DIV/0!</v>
      </c>
      <c r="Z781" s="6" t="e">
        <f ca="1">SQRT($B$9*AVERAGE(W781:OFFSET(W781,$B$7-1,0)))</f>
        <v>#DIV/0!</v>
      </c>
      <c r="AA781" s="6" t="e">
        <f ca="1">SQRT($B$9*AVERAGE(W781:OFFSET(W781,$B$8-1,0)))</f>
        <v>#DIV/0!</v>
      </c>
      <c r="AC781" s="34" t="e">
        <f t="shared" si="65"/>
        <v>#DIV/0!</v>
      </c>
      <c r="AD781" s="34" t="e">
        <f ca="1">SQRT($B$9*SUM(AC781:OFFSET(AC781,$B$5-1,0))/($B$5-1))</f>
        <v>#DIV/0!</v>
      </c>
      <c r="AE781" s="34" t="e">
        <f ca="1">SQRT($B$9*SUM(AC781:OFFSET(AC781,$B$6-1,0))/($B$6-1))</f>
        <v>#DIV/0!</v>
      </c>
      <c r="AF781" s="34" t="e">
        <f ca="1">SQRT($B$9*SUM(AC781:OFFSET(AC781,$B$7-1,0))/($B$7-1))</f>
        <v>#DIV/0!</v>
      </c>
      <c r="AG781" s="34" t="e">
        <f ca="1">SQRT($B$9*SUM(AC781:OFFSET(AC781,$B$8-1,0))/($B$8-1))</f>
        <v>#DIV/0!</v>
      </c>
      <c r="AI781" s="1" t="e">
        <f t="shared" si="66"/>
        <v>#DIV/0!</v>
      </c>
      <c r="AJ781" s="4" t="e">
        <f ca="1">SQRT($B$9)*_xlfn.STDEV.S(AI781:OFFSET(AI781,$B$5-1,0))</f>
        <v>#DIV/0!</v>
      </c>
      <c r="AK781" s="4" t="e">
        <f ca="1">SQRT($B$9)*_xlfn.STDEV.S(AI781:OFFSET(AI781,$B$6-1,0))</f>
        <v>#DIV/0!</v>
      </c>
      <c r="AL781" s="4" t="e">
        <f ca="1">SQRT($B$9)*_xlfn.STDEV.S(AI781:OFFSET(AI781,$B$7-1,0))</f>
        <v>#DIV/0!</v>
      </c>
      <c r="AM781" s="4" t="e">
        <f ca="1">SQRT($B$9)*_xlfn.STDEV.S(AI781:OFFSET(AI781,$B$8-1,0))</f>
        <v>#DIV/0!</v>
      </c>
    </row>
    <row r="782" spans="5:39" x14ac:dyDescent="0.2">
      <c r="E782" s="42">
        <v>44302</v>
      </c>
      <c r="F782" s="43"/>
      <c r="G782" s="43"/>
      <c r="H782" s="43"/>
      <c r="I782" s="43"/>
      <c r="K782" s="3" t="e">
        <f t="shared" si="69"/>
        <v>#DIV/0!</v>
      </c>
      <c r="L782" s="3" t="e">
        <f ca="1">SQRT(AVERAGE(K782:OFFSET(K782,$B$5-1,0))*$B$9/(4*LN(2)))</f>
        <v>#DIV/0!</v>
      </c>
      <c r="M782" s="3" t="e">
        <f ca="1">SQRT(AVERAGE(K782:OFFSET(K782,$B$6-1,0))*$B$9/(4*LN(2)))</f>
        <v>#DIV/0!</v>
      </c>
      <c r="N782" s="3" t="e">
        <f ca="1">SQRT(AVERAGE(K782:OFFSET(K782,$B$7-1,0))*$B$9/(4*LN(2)))</f>
        <v>#DIV/0!</v>
      </c>
      <c r="O782" s="3" t="e">
        <f ca="1">SQRT(AVERAGE(K782:OFFSET(K782,$B$8-1,0))*$B$9/(4*LN(2)))</f>
        <v>#DIV/0!</v>
      </c>
      <c r="Q782" s="5" t="e">
        <f t="shared" si="68"/>
        <v>#DIV/0!</v>
      </c>
      <c r="R782" s="5" t="e">
        <f ca="1">SQRT($B$9*AVERAGE((Q782:OFFSET(Q782,$B$5-1,0))))</f>
        <v>#DIV/0!</v>
      </c>
      <c r="S782" s="5" t="e">
        <f ca="1">SQRT($B$9*AVERAGE((Q782:OFFSET(Q782,$B$6-1,0))))</f>
        <v>#DIV/0!</v>
      </c>
      <c r="T782" s="5" t="e">
        <f ca="1">SQRT($B$9*AVERAGE((Q782:OFFSET(Q782,$B$7-1,0))))</f>
        <v>#DIV/0!</v>
      </c>
      <c r="U782" s="5" t="e">
        <f ca="1">SQRT($B$9*AVERAGE((Q782:OFFSET(Q782,$B$8-1,0))))</f>
        <v>#DIV/0!</v>
      </c>
      <c r="W782" s="6" t="e">
        <f t="shared" si="67"/>
        <v>#DIV/0!</v>
      </c>
      <c r="X782" s="6" t="e">
        <f ca="1">SQRT($B$9*AVERAGE(W782:OFFSET(W782,$B$5-1,0)))</f>
        <v>#DIV/0!</v>
      </c>
      <c r="Y782" s="6" t="e">
        <f ca="1">SQRT($B$9*AVERAGE(W782:OFFSET(W782,$B$6-1,0)))</f>
        <v>#DIV/0!</v>
      </c>
      <c r="Z782" s="6" t="e">
        <f ca="1">SQRT($B$9*AVERAGE(W782:OFFSET(W782,$B$7-1,0)))</f>
        <v>#DIV/0!</v>
      </c>
      <c r="AA782" s="6" t="e">
        <f ca="1">SQRT($B$9*AVERAGE(W782:OFFSET(W782,$B$8-1,0)))</f>
        <v>#DIV/0!</v>
      </c>
      <c r="AC782" s="34" t="e">
        <f t="shared" si="65"/>
        <v>#DIV/0!</v>
      </c>
      <c r="AD782" s="34" t="e">
        <f ca="1">SQRT($B$9*SUM(AC782:OFFSET(AC782,$B$5-1,0))/($B$5-1))</f>
        <v>#DIV/0!</v>
      </c>
      <c r="AE782" s="34" t="e">
        <f ca="1">SQRT($B$9*SUM(AC782:OFFSET(AC782,$B$6-1,0))/($B$6-1))</f>
        <v>#DIV/0!</v>
      </c>
      <c r="AF782" s="34" t="e">
        <f ca="1">SQRT($B$9*SUM(AC782:OFFSET(AC782,$B$7-1,0))/($B$7-1))</f>
        <v>#DIV/0!</v>
      </c>
      <c r="AG782" s="34" t="e">
        <f ca="1">SQRT($B$9*SUM(AC782:OFFSET(AC782,$B$8-1,0))/($B$8-1))</f>
        <v>#DIV/0!</v>
      </c>
      <c r="AI782" s="1" t="e">
        <f t="shared" si="66"/>
        <v>#DIV/0!</v>
      </c>
      <c r="AJ782" s="4" t="e">
        <f ca="1">SQRT($B$9)*_xlfn.STDEV.S(AI782:OFFSET(AI782,$B$5-1,0))</f>
        <v>#DIV/0!</v>
      </c>
      <c r="AK782" s="4" t="e">
        <f ca="1">SQRT($B$9)*_xlfn.STDEV.S(AI782:OFFSET(AI782,$B$6-1,0))</f>
        <v>#DIV/0!</v>
      </c>
      <c r="AL782" s="4" t="e">
        <f ca="1">SQRT($B$9)*_xlfn.STDEV.S(AI782:OFFSET(AI782,$B$7-1,0))</f>
        <v>#DIV/0!</v>
      </c>
      <c r="AM782" s="4" t="e">
        <f ca="1">SQRT($B$9)*_xlfn.STDEV.S(AI782:OFFSET(AI782,$B$8-1,0))</f>
        <v>#DIV/0!</v>
      </c>
    </row>
    <row r="783" spans="5:39" x14ac:dyDescent="0.2">
      <c r="E783" s="42">
        <v>44301</v>
      </c>
      <c r="F783" s="43"/>
      <c r="G783" s="43"/>
      <c r="H783" s="43"/>
      <c r="I783" s="43"/>
      <c r="K783" s="3" t="e">
        <f t="shared" si="69"/>
        <v>#DIV/0!</v>
      </c>
      <c r="L783" s="3" t="e">
        <f ca="1">SQRT(AVERAGE(K783:OFFSET(K783,$B$5-1,0))*$B$9/(4*LN(2)))</f>
        <v>#DIV/0!</v>
      </c>
      <c r="M783" s="3" t="e">
        <f ca="1">SQRT(AVERAGE(K783:OFFSET(K783,$B$6-1,0))*$B$9/(4*LN(2)))</f>
        <v>#DIV/0!</v>
      </c>
      <c r="N783" s="3" t="e">
        <f ca="1">SQRT(AVERAGE(K783:OFFSET(K783,$B$7-1,0))*$B$9/(4*LN(2)))</f>
        <v>#DIV/0!</v>
      </c>
      <c r="O783" s="3" t="e">
        <f ca="1">SQRT(AVERAGE(K783:OFFSET(K783,$B$8-1,0))*$B$9/(4*LN(2)))</f>
        <v>#DIV/0!</v>
      </c>
      <c r="Q783" s="5" t="e">
        <f t="shared" si="68"/>
        <v>#DIV/0!</v>
      </c>
      <c r="R783" s="5" t="e">
        <f ca="1">SQRT($B$9*AVERAGE((Q783:OFFSET(Q783,$B$5-1,0))))</f>
        <v>#DIV/0!</v>
      </c>
      <c r="S783" s="5" t="e">
        <f ca="1">SQRT($B$9*AVERAGE((Q783:OFFSET(Q783,$B$6-1,0))))</f>
        <v>#DIV/0!</v>
      </c>
      <c r="T783" s="5" t="e">
        <f ca="1">SQRT($B$9*AVERAGE((Q783:OFFSET(Q783,$B$7-1,0))))</f>
        <v>#DIV/0!</v>
      </c>
      <c r="U783" s="5" t="e">
        <f ca="1">SQRT($B$9*AVERAGE((Q783:OFFSET(Q783,$B$8-1,0))))</f>
        <v>#DIV/0!</v>
      </c>
      <c r="W783" s="6" t="e">
        <f t="shared" si="67"/>
        <v>#DIV/0!</v>
      </c>
      <c r="X783" s="6" t="e">
        <f ca="1">SQRT($B$9*AVERAGE(W783:OFFSET(W783,$B$5-1,0)))</f>
        <v>#DIV/0!</v>
      </c>
      <c r="Y783" s="6" t="e">
        <f ca="1">SQRT($B$9*AVERAGE(W783:OFFSET(W783,$B$6-1,0)))</f>
        <v>#DIV/0!</v>
      </c>
      <c r="Z783" s="6" t="e">
        <f ca="1">SQRT($B$9*AVERAGE(W783:OFFSET(W783,$B$7-1,0)))</f>
        <v>#DIV/0!</v>
      </c>
      <c r="AA783" s="6" t="e">
        <f ca="1">SQRT($B$9*AVERAGE(W783:OFFSET(W783,$B$8-1,0)))</f>
        <v>#DIV/0!</v>
      </c>
      <c r="AC783" s="34" t="e">
        <f t="shared" si="65"/>
        <v>#DIV/0!</v>
      </c>
      <c r="AD783" s="34" t="e">
        <f ca="1">SQRT($B$9*SUM(AC783:OFFSET(AC783,$B$5-1,0))/($B$5-1))</f>
        <v>#DIV/0!</v>
      </c>
      <c r="AE783" s="34" t="e">
        <f ca="1">SQRT($B$9*SUM(AC783:OFFSET(AC783,$B$6-1,0))/($B$6-1))</f>
        <v>#DIV/0!</v>
      </c>
      <c r="AF783" s="34" t="e">
        <f ca="1">SQRT($B$9*SUM(AC783:OFFSET(AC783,$B$7-1,0))/($B$7-1))</f>
        <v>#DIV/0!</v>
      </c>
      <c r="AG783" s="34" t="e">
        <f ca="1">SQRT($B$9*SUM(AC783:OFFSET(AC783,$B$8-1,0))/($B$8-1))</f>
        <v>#DIV/0!</v>
      </c>
      <c r="AI783" s="1" t="e">
        <f t="shared" si="66"/>
        <v>#DIV/0!</v>
      </c>
      <c r="AJ783" s="4" t="e">
        <f ca="1">SQRT($B$9)*_xlfn.STDEV.S(AI783:OFFSET(AI783,$B$5-1,0))</f>
        <v>#DIV/0!</v>
      </c>
      <c r="AK783" s="4" t="e">
        <f ca="1">SQRT($B$9)*_xlfn.STDEV.S(AI783:OFFSET(AI783,$B$6-1,0))</f>
        <v>#DIV/0!</v>
      </c>
      <c r="AL783" s="4" t="e">
        <f ca="1">SQRT($B$9)*_xlfn.STDEV.S(AI783:OFFSET(AI783,$B$7-1,0))</f>
        <v>#DIV/0!</v>
      </c>
      <c r="AM783" s="4" t="e">
        <f ca="1">SQRT($B$9)*_xlfn.STDEV.S(AI783:OFFSET(AI783,$B$8-1,0))</f>
        <v>#DIV/0!</v>
      </c>
    </row>
    <row r="784" spans="5:39" x14ac:dyDescent="0.2">
      <c r="E784" s="42">
        <v>44300</v>
      </c>
      <c r="F784" s="43"/>
      <c r="G784" s="43"/>
      <c r="H784" s="43"/>
      <c r="I784" s="43"/>
      <c r="K784" s="3" t="e">
        <f t="shared" si="69"/>
        <v>#DIV/0!</v>
      </c>
      <c r="L784" s="3" t="e">
        <f ca="1">SQRT(AVERAGE(K784:OFFSET(K784,$B$5-1,0))*$B$9/(4*LN(2)))</f>
        <v>#DIV/0!</v>
      </c>
      <c r="M784" s="3" t="e">
        <f ca="1">SQRT(AVERAGE(K784:OFFSET(K784,$B$6-1,0))*$B$9/(4*LN(2)))</f>
        <v>#DIV/0!</v>
      </c>
      <c r="N784" s="3" t="e">
        <f ca="1">SQRT(AVERAGE(K784:OFFSET(K784,$B$7-1,0))*$B$9/(4*LN(2)))</f>
        <v>#DIV/0!</v>
      </c>
      <c r="O784" s="3" t="e">
        <f ca="1">SQRT(AVERAGE(K784:OFFSET(K784,$B$8-1,0))*$B$9/(4*LN(2)))</f>
        <v>#DIV/0!</v>
      </c>
      <c r="Q784" s="5" t="e">
        <f t="shared" si="68"/>
        <v>#DIV/0!</v>
      </c>
      <c r="R784" s="5" t="e">
        <f ca="1">SQRT($B$9*AVERAGE((Q784:OFFSET(Q784,$B$5-1,0))))</f>
        <v>#DIV/0!</v>
      </c>
      <c r="S784" s="5" t="e">
        <f ca="1">SQRT($B$9*AVERAGE((Q784:OFFSET(Q784,$B$6-1,0))))</f>
        <v>#DIV/0!</v>
      </c>
      <c r="T784" s="5" t="e">
        <f ca="1">SQRT($B$9*AVERAGE((Q784:OFFSET(Q784,$B$7-1,0))))</f>
        <v>#DIV/0!</v>
      </c>
      <c r="U784" s="5" t="e">
        <f ca="1">SQRT($B$9*AVERAGE((Q784:OFFSET(Q784,$B$8-1,0))))</f>
        <v>#DIV/0!</v>
      </c>
      <c r="W784" s="6" t="e">
        <f t="shared" si="67"/>
        <v>#DIV/0!</v>
      </c>
      <c r="X784" s="6" t="e">
        <f ca="1">SQRT($B$9*AVERAGE(W784:OFFSET(W784,$B$5-1,0)))</f>
        <v>#DIV/0!</v>
      </c>
      <c r="Y784" s="6" t="e">
        <f ca="1">SQRT($B$9*AVERAGE(W784:OFFSET(W784,$B$6-1,0)))</f>
        <v>#DIV/0!</v>
      </c>
      <c r="Z784" s="6" t="e">
        <f ca="1">SQRT($B$9*AVERAGE(W784:OFFSET(W784,$B$7-1,0)))</f>
        <v>#DIV/0!</v>
      </c>
      <c r="AA784" s="6" t="e">
        <f ca="1">SQRT($B$9*AVERAGE(W784:OFFSET(W784,$B$8-1,0)))</f>
        <v>#DIV/0!</v>
      </c>
      <c r="AC784" s="34" t="e">
        <f t="shared" si="65"/>
        <v>#DIV/0!</v>
      </c>
      <c r="AD784" s="34" t="e">
        <f ca="1">SQRT($B$9*SUM(AC784:OFFSET(AC784,$B$5-1,0))/($B$5-1))</f>
        <v>#DIV/0!</v>
      </c>
      <c r="AE784" s="34" t="e">
        <f ca="1">SQRT($B$9*SUM(AC784:OFFSET(AC784,$B$6-1,0))/($B$6-1))</f>
        <v>#DIV/0!</v>
      </c>
      <c r="AF784" s="34" t="e">
        <f ca="1">SQRT($B$9*SUM(AC784:OFFSET(AC784,$B$7-1,0))/($B$7-1))</f>
        <v>#DIV/0!</v>
      </c>
      <c r="AG784" s="34" t="e">
        <f ca="1">SQRT($B$9*SUM(AC784:OFFSET(AC784,$B$8-1,0))/($B$8-1))</f>
        <v>#DIV/0!</v>
      </c>
      <c r="AI784" s="1" t="e">
        <f t="shared" si="66"/>
        <v>#DIV/0!</v>
      </c>
      <c r="AJ784" s="4" t="e">
        <f ca="1">SQRT($B$9)*_xlfn.STDEV.S(AI784:OFFSET(AI784,$B$5-1,0))</f>
        <v>#DIV/0!</v>
      </c>
      <c r="AK784" s="4" t="e">
        <f ca="1">SQRT($B$9)*_xlfn.STDEV.S(AI784:OFFSET(AI784,$B$6-1,0))</f>
        <v>#DIV/0!</v>
      </c>
      <c r="AL784" s="4" t="e">
        <f ca="1">SQRT($B$9)*_xlfn.STDEV.S(AI784:OFFSET(AI784,$B$7-1,0))</f>
        <v>#DIV/0!</v>
      </c>
      <c r="AM784" s="4" t="e">
        <f ca="1">SQRT($B$9)*_xlfn.STDEV.S(AI784:OFFSET(AI784,$B$8-1,0))</f>
        <v>#DIV/0!</v>
      </c>
    </row>
    <row r="785" spans="5:39" x14ac:dyDescent="0.2">
      <c r="E785" s="42">
        <v>44299</v>
      </c>
      <c r="F785" s="43"/>
      <c r="G785" s="43"/>
      <c r="H785" s="43"/>
      <c r="I785" s="43"/>
      <c r="K785" s="3" t="e">
        <f t="shared" si="69"/>
        <v>#DIV/0!</v>
      </c>
      <c r="L785" s="3" t="e">
        <f ca="1">SQRT(AVERAGE(K785:OFFSET(K785,$B$5-1,0))*$B$9/(4*LN(2)))</f>
        <v>#DIV/0!</v>
      </c>
      <c r="M785" s="3" t="e">
        <f ca="1">SQRT(AVERAGE(K785:OFFSET(K785,$B$6-1,0))*$B$9/(4*LN(2)))</f>
        <v>#DIV/0!</v>
      </c>
      <c r="N785" s="3" t="e">
        <f ca="1">SQRT(AVERAGE(K785:OFFSET(K785,$B$7-1,0))*$B$9/(4*LN(2)))</f>
        <v>#DIV/0!</v>
      </c>
      <c r="O785" s="3" t="e">
        <f ca="1">SQRT(AVERAGE(K785:OFFSET(K785,$B$8-1,0))*$B$9/(4*LN(2)))</f>
        <v>#DIV/0!</v>
      </c>
      <c r="Q785" s="5" t="e">
        <f t="shared" si="68"/>
        <v>#DIV/0!</v>
      </c>
      <c r="R785" s="5" t="e">
        <f ca="1">SQRT($B$9*AVERAGE((Q785:OFFSET(Q785,$B$5-1,0))))</f>
        <v>#DIV/0!</v>
      </c>
      <c r="S785" s="5" t="e">
        <f ca="1">SQRT($B$9*AVERAGE((Q785:OFFSET(Q785,$B$6-1,0))))</f>
        <v>#DIV/0!</v>
      </c>
      <c r="T785" s="5" t="e">
        <f ca="1">SQRT($B$9*AVERAGE((Q785:OFFSET(Q785,$B$7-1,0))))</f>
        <v>#DIV/0!</v>
      </c>
      <c r="U785" s="5" t="e">
        <f ca="1">SQRT($B$9*AVERAGE((Q785:OFFSET(Q785,$B$8-1,0))))</f>
        <v>#DIV/0!</v>
      </c>
      <c r="W785" s="6" t="e">
        <f t="shared" si="67"/>
        <v>#DIV/0!</v>
      </c>
      <c r="X785" s="6" t="e">
        <f ca="1">SQRT($B$9*AVERAGE(W785:OFFSET(W785,$B$5-1,0)))</f>
        <v>#DIV/0!</v>
      </c>
      <c r="Y785" s="6" t="e">
        <f ca="1">SQRT($B$9*AVERAGE(W785:OFFSET(W785,$B$6-1,0)))</f>
        <v>#DIV/0!</v>
      </c>
      <c r="Z785" s="6" t="e">
        <f ca="1">SQRT($B$9*AVERAGE(W785:OFFSET(W785,$B$7-1,0)))</f>
        <v>#DIV/0!</v>
      </c>
      <c r="AA785" s="6" t="e">
        <f ca="1">SQRT($B$9*AVERAGE(W785:OFFSET(W785,$B$8-1,0)))</f>
        <v>#DIV/0!</v>
      </c>
      <c r="AC785" s="34" t="e">
        <f t="shared" ref="AC785:AC848" si="70">(LN(I785/I786))^2</f>
        <v>#DIV/0!</v>
      </c>
      <c r="AD785" s="34" t="e">
        <f ca="1">SQRT($B$9*SUM(AC785:OFFSET(AC785,$B$5-1,0))/($B$5-1))</f>
        <v>#DIV/0!</v>
      </c>
      <c r="AE785" s="34" t="e">
        <f ca="1">SQRT($B$9*SUM(AC785:OFFSET(AC785,$B$6-1,0))/($B$6-1))</f>
        <v>#DIV/0!</v>
      </c>
      <c r="AF785" s="34" t="e">
        <f ca="1">SQRT($B$9*SUM(AC785:OFFSET(AC785,$B$7-1,0))/($B$7-1))</f>
        <v>#DIV/0!</v>
      </c>
      <c r="AG785" s="34" t="e">
        <f ca="1">SQRT($B$9*SUM(AC785:OFFSET(AC785,$B$8-1,0))/($B$8-1))</f>
        <v>#DIV/0!</v>
      </c>
      <c r="AI785" s="1" t="e">
        <f t="shared" si="66"/>
        <v>#DIV/0!</v>
      </c>
      <c r="AJ785" s="4" t="e">
        <f ca="1">SQRT($B$9)*_xlfn.STDEV.S(AI785:OFFSET(AI785,$B$5-1,0))</f>
        <v>#DIV/0!</v>
      </c>
      <c r="AK785" s="4" t="e">
        <f ca="1">SQRT($B$9)*_xlfn.STDEV.S(AI785:OFFSET(AI785,$B$6-1,0))</f>
        <v>#DIV/0!</v>
      </c>
      <c r="AL785" s="4" t="e">
        <f ca="1">SQRT($B$9)*_xlfn.STDEV.S(AI785:OFFSET(AI785,$B$7-1,0))</f>
        <v>#DIV/0!</v>
      </c>
      <c r="AM785" s="4" t="e">
        <f ca="1">SQRT($B$9)*_xlfn.STDEV.S(AI785:OFFSET(AI785,$B$8-1,0))</f>
        <v>#DIV/0!</v>
      </c>
    </row>
    <row r="786" spans="5:39" x14ac:dyDescent="0.2">
      <c r="E786" s="42">
        <v>44298</v>
      </c>
      <c r="F786" s="43"/>
      <c r="G786" s="43"/>
      <c r="H786" s="43"/>
      <c r="I786" s="43"/>
      <c r="K786" s="3" t="e">
        <f t="shared" si="69"/>
        <v>#DIV/0!</v>
      </c>
      <c r="L786" s="3" t="e">
        <f ca="1">SQRT(AVERAGE(K786:OFFSET(K786,$B$5-1,0))*$B$9/(4*LN(2)))</f>
        <v>#DIV/0!</v>
      </c>
      <c r="M786" s="3" t="e">
        <f ca="1">SQRT(AVERAGE(K786:OFFSET(K786,$B$6-1,0))*$B$9/(4*LN(2)))</f>
        <v>#DIV/0!</v>
      </c>
      <c r="N786" s="3" t="e">
        <f ca="1">SQRT(AVERAGE(K786:OFFSET(K786,$B$7-1,0))*$B$9/(4*LN(2)))</f>
        <v>#DIV/0!</v>
      </c>
      <c r="O786" s="3" t="e">
        <f ca="1">SQRT(AVERAGE(K786:OFFSET(K786,$B$8-1,0))*$B$9/(4*LN(2)))</f>
        <v>#DIV/0!</v>
      </c>
      <c r="Q786" s="5" t="e">
        <f t="shared" si="68"/>
        <v>#DIV/0!</v>
      </c>
      <c r="R786" s="5" t="e">
        <f ca="1">SQRT($B$9*AVERAGE((Q786:OFFSET(Q786,$B$5-1,0))))</f>
        <v>#DIV/0!</v>
      </c>
      <c r="S786" s="5" t="e">
        <f ca="1">SQRT($B$9*AVERAGE((Q786:OFFSET(Q786,$B$6-1,0))))</f>
        <v>#DIV/0!</v>
      </c>
      <c r="T786" s="5" t="e">
        <f ca="1">SQRT($B$9*AVERAGE((Q786:OFFSET(Q786,$B$7-1,0))))</f>
        <v>#DIV/0!</v>
      </c>
      <c r="U786" s="5" t="e">
        <f ca="1">SQRT($B$9*AVERAGE((Q786:OFFSET(Q786,$B$8-1,0))))</f>
        <v>#DIV/0!</v>
      </c>
      <c r="W786" s="6" t="e">
        <f t="shared" si="67"/>
        <v>#DIV/0!</v>
      </c>
      <c r="X786" s="6" t="e">
        <f ca="1">SQRT($B$9*AVERAGE(W786:OFFSET(W786,$B$5-1,0)))</f>
        <v>#DIV/0!</v>
      </c>
      <c r="Y786" s="6" t="e">
        <f ca="1">SQRT($B$9*AVERAGE(W786:OFFSET(W786,$B$6-1,0)))</f>
        <v>#DIV/0!</v>
      </c>
      <c r="Z786" s="6" t="e">
        <f ca="1">SQRT($B$9*AVERAGE(W786:OFFSET(W786,$B$7-1,0)))</f>
        <v>#DIV/0!</v>
      </c>
      <c r="AA786" s="6" t="e">
        <f ca="1">SQRT($B$9*AVERAGE(W786:OFFSET(W786,$B$8-1,0)))</f>
        <v>#DIV/0!</v>
      </c>
      <c r="AC786" s="34" t="e">
        <f t="shared" si="70"/>
        <v>#DIV/0!</v>
      </c>
      <c r="AD786" s="34" t="e">
        <f ca="1">SQRT($B$9*SUM(AC786:OFFSET(AC786,$B$5-1,0))/($B$5-1))</f>
        <v>#DIV/0!</v>
      </c>
      <c r="AE786" s="34" t="e">
        <f ca="1">SQRT($B$9*SUM(AC786:OFFSET(AC786,$B$6-1,0))/($B$6-1))</f>
        <v>#DIV/0!</v>
      </c>
      <c r="AF786" s="34" t="e">
        <f ca="1">SQRT($B$9*SUM(AC786:OFFSET(AC786,$B$7-1,0))/($B$7-1))</f>
        <v>#DIV/0!</v>
      </c>
      <c r="AG786" s="34" t="e">
        <f ca="1">SQRT($B$9*SUM(AC786:OFFSET(AC786,$B$8-1,0))/($B$8-1))</f>
        <v>#DIV/0!</v>
      </c>
      <c r="AI786" s="1" t="e">
        <f t="shared" si="66"/>
        <v>#DIV/0!</v>
      </c>
      <c r="AJ786" s="4" t="e">
        <f ca="1">SQRT($B$9)*_xlfn.STDEV.S(AI786:OFFSET(AI786,$B$5-1,0))</f>
        <v>#DIV/0!</v>
      </c>
      <c r="AK786" s="4" t="e">
        <f ca="1">SQRT($B$9)*_xlfn.STDEV.S(AI786:OFFSET(AI786,$B$6-1,0))</f>
        <v>#DIV/0!</v>
      </c>
      <c r="AL786" s="4" t="e">
        <f ca="1">SQRT($B$9)*_xlfn.STDEV.S(AI786:OFFSET(AI786,$B$7-1,0))</f>
        <v>#DIV/0!</v>
      </c>
      <c r="AM786" s="4" t="e">
        <f ca="1">SQRT($B$9)*_xlfn.STDEV.S(AI786:OFFSET(AI786,$B$8-1,0))</f>
        <v>#DIV/0!</v>
      </c>
    </row>
    <row r="787" spans="5:39" x14ac:dyDescent="0.2">
      <c r="E787" s="42">
        <v>44295</v>
      </c>
      <c r="F787" s="43"/>
      <c r="G787" s="43"/>
      <c r="H787" s="43"/>
      <c r="I787" s="43"/>
      <c r="K787" s="3" t="e">
        <f t="shared" si="69"/>
        <v>#DIV/0!</v>
      </c>
      <c r="L787" s="3" t="e">
        <f ca="1">SQRT(AVERAGE(K787:OFFSET(K787,$B$5-1,0))*$B$9/(4*LN(2)))</f>
        <v>#DIV/0!</v>
      </c>
      <c r="M787" s="3" t="e">
        <f ca="1">SQRT(AVERAGE(K787:OFFSET(K787,$B$6-1,0))*$B$9/(4*LN(2)))</f>
        <v>#DIV/0!</v>
      </c>
      <c r="N787" s="3" t="e">
        <f ca="1">SQRT(AVERAGE(K787:OFFSET(K787,$B$7-1,0))*$B$9/(4*LN(2)))</f>
        <v>#DIV/0!</v>
      </c>
      <c r="O787" s="3" t="e">
        <f ca="1">SQRT(AVERAGE(K787:OFFSET(K787,$B$8-1,0))*$B$9/(4*LN(2)))</f>
        <v>#DIV/0!</v>
      </c>
      <c r="Q787" s="5" t="e">
        <f t="shared" si="68"/>
        <v>#DIV/0!</v>
      </c>
      <c r="R787" s="5" t="e">
        <f ca="1">SQRT($B$9*AVERAGE((Q787:OFFSET(Q787,$B$5-1,0))))</f>
        <v>#DIV/0!</v>
      </c>
      <c r="S787" s="5" t="e">
        <f ca="1">SQRT($B$9*AVERAGE((Q787:OFFSET(Q787,$B$6-1,0))))</f>
        <v>#DIV/0!</v>
      </c>
      <c r="T787" s="5" t="e">
        <f ca="1">SQRT($B$9*AVERAGE((Q787:OFFSET(Q787,$B$7-1,0))))</f>
        <v>#DIV/0!</v>
      </c>
      <c r="U787" s="5" t="e">
        <f ca="1">SQRT($B$9*AVERAGE((Q787:OFFSET(Q787,$B$8-1,0))))</f>
        <v>#DIV/0!</v>
      </c>
      <c r="W787" s="6" t="e">
        <f t="shared" si="67"/>
        <v>#DIV/0!</v>
      </c>
      <c r="X787" s="6" t="e">
        <f ca="1">SQRT($B$9*AVERAGE(W787:OFFSET(W787,$B$5-1,0)))</f>
        <v>#DIV/0!</v>
      </c>
      <c r="Y787" s="6" t="e">
        <f ca="1">SQRT($B$9*AVERAGE(W787:OFFSET(W787,$B$6-1,0)))</f>
        <v>#DIV/0!</v>
      </c>
      <c r="Z787" s="6" t="e">
        <f ca="1">SQRT($B$9*AVERAGE(W787:OFFSET(W787,$B$7-1,0)))</f>
        <v>#DIV/0!</v>
      </c>
      <c r="AA787" s="6" t="e">
        <f ca="1">SQRT($B$9*AVERAGE(W787:OFFSET(W787,$B$8-1,0)))</f>
        <v>#DIV/0!</v>
      </c>
      <c r="AC787" s="34" t="e">
        <f t="shared" si="70"/>
        <v>#DIV/0!</v>
      </c>
      <c r="AD787" s="34" t="e">
        <f ca="1">SQRT($B$9*SUM(AC787:OFFSET(AC787,$B$5-1,0))/($B$5-1))</f>
        <v>#DIV/0!</v>
      </c>
      <c r="AE787" s="34" t="e">
        <f ca="1">SQRT($B$9*SUM(AC787:OFFSET(AC787,$B$6-1,0))/($B$6-1))</f>
        <v>#DIV/0!</v>
      </c>
      <c r="AF787" s="34" t="e">
        <f ca="1">SQRT($B$9*SUM(AC787:OFFSET(AC787,$B$7-1,0))/($B$7-1))</f>
        <v>#DIV/0!</v>
      </c>
      <c r="AG787" s="34" t="e">
        <f ca="1">SQRT($B$9*SUM(AC787:OFFSET(AC787,$B$8-1,0))/($B$8-1))</f>
        <v>#DIV/0!</v>
      </c>
      <c r="AI787" s="1" t="e">
        <f t="shared" ref="AI787:AI850" si="71">LN(I787/I788)</f>
        <v>#DIV/0!</v>
      </c>
      <c r="AJ787" s="4" t="e">
        <f ca="1">SQRT($B$9)*_xlfn.STDEV.S(AI787:OFFSET(AI787,$B$5-1,0))</f>
        <v>#DIV/0!</v>
      </c>
      <c r="AK787" s="4" t="e">
        <f ca="1">SQRT($B$9)*_xlfn.STDEV.S(AI787:OFFSET(AI787,$B$6-1,0))</f>
        <v>#DIV/0!</v>
      </c>
      <c r="AL787" s="4" t="e">
        <f ca="1">SQRT($B$9)*_xlfn.STDEV.S(AI787:OFFSET(AI787,$B$7-1,0))</f>
        <v>#DIV/0!</v>
      </c>
      <c r="AM787" s="4" t="e">
        <f ca="1">SQRT($B$9)*_xlfn.STDEV.S(AI787:OFFSET(AI787,$B$8-1,0))</f>
        <v>#DIV/0!</v>
      </c>
    </row>
    <row r="788" spans="5:39" x14ac:dyDescent="0.2">
      <c r="E788" s="42">
        <v>44294</v>
      </c>
      <c r="F788" s="43"/>
      <c r="G788" s="43"/>
      <c r="H788" s="43"/>
      <c r="I788" s="43"/>
      <c r="K788" s="3" t="e">
        <f t="shared" si="69"/>
        <v>#DIV/0!</v>
      </c>
      <c r="L788" s="3" t="e">
        <f ca="1">SQRT(AVERAGE(K788:OFFSET(K788,$B$5-1,0))*$B$9/(4*LN(2)))</f>
        <v>#DIV/0!</v>
      </c>
      <c r="M788" s="3" t="e">
        <f ca="1">SQRT(AVERAGE(K788:OFFSET(K788,$B$6-1,0))*$B$9/(4*LN(2)))</f>
        <v>#DIV/0!</v>
      </c>
      <c r="N788" s="3" t="e">
        <f ca="1">SQRT(AVERAGE(K788:OFFSET(K788,$B$7-1,0))*$B$9/(4*LN(2)))</f>
        <v>#DIV/0!</v>
      </c>
      <c r="O788" s="3" t="e">
        <f ca="1">SQRT(AVERAGE(K788:OFFSET(K788,$B$8-1,0))*$B$9/(4*LN(2)))</f>
        <v>#DIV/0!</v>
      </c>
      <c r="Q788" s="5" t="e">
        <f t="shared" si="68"/>
        <v>#DIV/0!</v>
      </c>
      <c r="R788" s="5" t="e">
        <f ca="1">SQRT($B$9*AVERAGE((Q788:OFFSET(Q788,$B$5-1,0))))</f>
        <v>#DIV/0!</v>
      </c>
      <c r="S788" s="5" t="e">
        <f ca="1">SQRT($B$9*AVERAGE((Q788:OFFSET(Q788,$B$6-1,0))))</f>
        <v>#DIV/0!</v>
      </c>
      <c r="T788" s="5" t="e">
        <f ca="1">SQRT($B$9*AVERAGE((Q788:OFFSET(Q788,$B$7-1,0))))</f>
        <v>#DIV/0!</v>
      </c>
      <c r="U788" s="5" t="e">
        <f ca="1">SQRT($B$9*AVERAGE((Q788:OFFSET(Q788,$B$8-1,0))))</f>
        <v>#DIV/0!</v>
      </c>
      <c r="W788" s="6" t="e">
        <f t="shared" si="67"/>
        <v>#DIV/0!</v>
      </c>
      <c r="X788" s="6" t="e">
        <f ca="1">SQRT($B$9*AVERAGE(W788:OFFSET(W788,$B$5-1,0)))</f>
        <v>#DIV/0!</v>
      </c>
      <c r="Y788" s="6" t="e">
        <f ca="1">SQRT($B$9*AVERAGE(W788:OFFSET(W788,$B$6-1,0)))</f>
        <v>#DIV/0!</v>
      </c>
      <c r="Z788" s="6" t="e">
        <f ca="1">SQRT($B$9*AVERAGE(W788:OFFSET(W788,$B$7-1,0)))</f>
        <v>#DIV/0!</v>
      </c>
      <c r="AA788" s="6" t="e">
        <f ca="1">SQRT($B$9*AVERAGE(W788:OFFSET(W788,$B$8-1,0)))</f>
        <v>#DIV/0!</v>
      </c>
      <c r="AC788" s="34" t="e">
        <f t="shared" si="70"/>
        <v>#DIV/0!</v>
      </c>
      <c r="AD788" s="34" t="e">
        <f ca="1">SQRT($B$9*SUM(AC788:OFFSET(AC788,$B$5-1,0))/($B$5-1))</f>
        <v>#DIV/0!</v>
      </c>
      <c r="AE788" s="34" t="e">
        <f ca="1">SQRT($B$9*SUM(AC788:OFFSET(AC788,$B$6-1,0))/($B$6-1))</f>
        <v>#DIV/0!</v>
      </c>
      <c r="AF788" s="34" t="e">
        <f ca="1">SQRT($B$9*SUM(AC788:OFFSET(AC788,$B$7-1,0))/($B$7-1))</f>
        <v>#DIV/0!</v>
      </c>
      <c r="AG788" s="34" t="e">
        <f ca="1">SQRT($B$9*SUM(AC788:OFFSET(AC788,$B$8-1,0))/($B$8-1))</f>
        <v>#DIV/0!</v>
      </c>
      <c r="AI788" s="1" t="e">
        <f t="shared" si="71"/>
        <v>#DIV/0!</v>
      </c>
      <c r="AJ788" s="4" t="e">
        <f ca="1">SQRT($B$9)*_xlfn.STDEV.S(AI788:OFFSET(AI788,$B$5-1,0))</f>
        <v>#DIV/0!</v>
      </c>
      <c r="AK788" s="4" t="e">
        <f ca="1">SQRT($B$9)*_xlfn.STDEV.S(AI788:OFFSET(AI788,$B$6-1,0))</f>
        <v>#DIV/0!</v>
      </c>
      <c r="AL788" s="4" t="e">
        <f ca="1">SQRT($B$9)*_xlfn.STDEV.S(AI788:OFFSET(AI788,$B$7-1,0))</f>
        <v>#DIV/0!</v>
      </c>
      <c r="AM788" s="4" t="e">
        <f ca="1">SQRT($B$9)*_xlfn.STDEV.S(AI788:OFFSET(AI788,$B$8-1,0))</f>
        <v>#DIV/0!</v>
      </c>
    </row>
    <row r="789" spans="5:39" x14ac:dyDescent="0.2">
      <c r="E789" s="42">
        <v>44293</v>
      </c>
      <c r="F789" s="43"/>
      <c r="G789" s="43"/>
      <c r="H789" s="43"/>
      <c r="I789" s="43"/>
      <c r="K789" s="3" t="e">
        <f t="shared" si="69"/>
        <v>#DIV/0!</v>
      </c>
      <c r="L789" s="3" t="e">
        <f ca="1">SQRT(AVERAGE(K789:OFFSET(K789,$B$5-1,0))*$B$9/(4*LN(2)))</f>
        <v>#DIV/0!</v>
      </c>
      <c r="M789" s="3" t="e">
        <f ca="1">SQRT(AVERAGE(K789:OFFSET(K789,$B$6-1,0))*$B$9/(4*LN(2)))</f>
        <v>#DIV/0!</v>
      </c>
      <c r="N789" s="3" t="e">
        <f ca="1">SQRT(AVERAGE(K789:OFFSET(K789,$B$7-1,0))*$B$9/(4*LN(2)))</f>
        <v>#DIV/0!</v>
      </c>
      <c r="O789" s="3" t="e">
        <f ca="1">SQRT(AVERAGE(K789:OFFSET(K789,$B$8-1,0))*$B$9/(4*LN(2)))</f>
        <v>#DIV/0!</v>
      </c>
      <c r="Q789" s="5" t="e">
        <f t="shared" si="68"/>
        <v>#DIV/0!</v>
      </c>
      <c r="R789" s="5" t="e">
        <f ca="1">SQRT($B$9*AVERAGE((Q789:OFFSET(Q789,$B$5-1,0))))</f>
        <v>#DIV/0!</v>
      </c>
      <c r="S789" s="5" t="e">
        <f ca="1">SQRT($B$9*AVERAGE((Q789:OFFSET(Q789,$B$6-1,0))))</f>
        <v>#DIV/0!</v>
      </c>
      <c r="T789" s="5" t="e">
        <f ca="1">SQRT($B$9*AVERAGE((Q789:OFFSET(Q789,$B$7-1,0))))</f>
        <v>#DIV/0!</v>
      </c>
      <c r="U789" s="5" t="e">
        <f ca="1">SQRT($B$9*AVERAGE((Q789:OFFSET(Q789,$B$8-1,0))))</f>
        <v>#DIV/0!</v>
      </c>
      <c r="W789" s="6" t="e">
        <f t="shared" si="67"/>
        <v>#DIV/0!</v>
      </c>
      <c r="X789" s="6" t="e">
        <f ca="1">SQRT($B$9*AVERAGE(W789:OFFSET(W789,$B$5-1,0)))</f>
        <v>#DIV/0!</v>
      </c>
      <c r="Y789" s="6" t="e">
        <f ca="1">SQRT($B$9*AVERAGE(W789:OFFSET(W789,$B$6-1,0)))</f>
        <v>#DIV/0!</v>
      </c>
      <c r="Z789" s="6" t="e">
        <f ca="1">SQRT($B$9*AVERAGE(W789:OFFSET(W789,$B$7-1,0)))</f>
        <v>#DIV/0!</v>
      </c>
      <c r="AA789" s="6" t="e">
        <f ca="1">SQRT($B$9*AVERAGE(W789:OFFSET(W789,$B$8-1,0)))</f>
        <v>#DIV/0!</v>
      </c>
      <c r="AC789" s="34" t="e">
        <f t="shared" si="70"/>
        <v>#DIV/0!</v>
      </c>
      <c r="AD789" s="34" t="e">
        <f ca="1">SQRT($B$9*SUM(AC789:OFFSET(AC789,$B$5-1,0))/($B$5-1))</f>
        <v>#DIV/0!</v>
      </c>
      <c r="AE789" s="34" t="e">
        <f ca="1">SQRT($B$9*SUM(AC789:OFFSET(AC789,$B$6-1,0))/($B$6-1))</f>
        <v>#DIV/0!</v>
      </c>
      <c r="AF789" s="34" t="e">
        <f ca="1">SQRT($B$9*SUM(AC789:OFFSET(AC789,$B$7-1,0))/($B$7-1))</f>
        <v>#DIV/0!</v>
      </c>
      <c r="AG789" s="34" t="e">
        <f ca="1">SQRT($B$9*SUM(AC789:OFFSET(AC789,$B$8-1,0))/($B$8-1))</f>
        <v>#DIV/0!</v>
      </c>
      <c r="AI789" s="1" t="e">
        <f t="shared" si="71"/>
        <v>#DIV/0!</v>
      </c>
      <c r="AJ789" s="4" t="e">
        <f ca="1">SQRT($B$9)*_xlfn.STDEV.S(AI789:OFFSET(AI789,$B$5-1,0))</f>
        <v>#DIV/0!</v>
      </c>
      <c r="AK789" s="4" t="e">
        <f ca="1">SQRT($B$9)*_xlfn.STDEV.S(AI789:OFFSET(AI789,$B$6-1,0))</f>
        <v>#DIV/0!</v>
      </c>
      <c r="AL789" s="4" t="e">
        <f ca="1">SQRT($B$9)*_xlfn.STDEV.S(AI789:OFFSET(AI789,$B$7-1,0))</f>
        <v>#DIV/0!</v>
      </c>
      <c r="AM789" s="4" t="e">
        <f ca="1">SQRT($B$9)*_xlfn.STDEV.S(AI789:OFFSET(AI789,$B$8-1,0))</f>
        <v>#DIV/0!</v>
      </c>
    </row>
    <row r="790" spans="5:39" x14ac:dyDescent="0.2">
      <c r="E790" s="42">
        <v>44292</v>
      </c>
      <c r="F790" s="43"/>
      <c r="G790" s="43"/>
      <c r="H790" s="43"/>
      <c r="I790" s="43"/>
      <c r="K790" s="3" t="e">
        <f t="shared" si="69"/>
        <v>#DIV/0!</v>
      </c>
      <c r="L790" s="3" t="e">
        <f ca="1">SQRT(AVERAGE(K790:OFFSET(K790,$B$5-1,0))*$B$9/(4*LN(2)))</f>
        <v>#DIV/0!</v>
      </c>
      <c r="M790" s="3" t="e">
        <f ca="1">SQRT(AVERAGE(K790:OFFSET(K790,$B$6-1,0))*$B$9/(4*LN(2)))</f>
        <v>#DIV/0!</v>
      </c>
      <c r="N790" s="3" t="e">
        <f ca="1">SQRT(AVERAGE(K790:OFFSET(K790,$B$7-1,0))*$B$9/(4*LN(2)))</f>
        <v>#DIV/0!</v>
      </c>
      <c r="O790" s="3" t="e">
        <f ca="1">SQRT(AVERAGE(K790:OFFSET(K790,$B$8-1,0))*$B$9/(4*LN(2)))</f>
        <v>#DIV/0!</v>
      </c>
      <c r="Q790" s="5" t="e">
        <f t="shared" si="68"/>
        <v>#DIV/0!</v>
      </c>
      <c r="R790" s="5" t="e">
        <f ca="1">SQRT($B$9*AVERAGE((Q790:OFFSET(Q790,$B$5-1,0))))</f>
        <v>#DIV/0!</v>
      </c>
      <c r="S790" s="5" t="e">
        <f ca="1">SQRT($B$9*AVERAGE((Q790:OFFSET(Q790,$B$6-1,0))))</f>
        <v>#DIV/0!</v>
      </c>
      <c r="T790" s="5" t="e">
        <f ca="1">SQRT($B$9*AVERAGE((Q790:OFFSET(Q790,$B$7-1,0))))</f>
        <v>#DIV/0!</v>
      </c>
      <c r="U790" s="5" t="e">
        <f ca="1">SQRT($B$9*AVERAGE((Q790:OFFSET(Q790,$B$8-1,0))))</f>
        <v>#DIV/0!</v>
      </c>
      <c r="W790" s="6" t="e">
        <f t="shared" si="67"/>
        <v>#DIV/0!</v>
      </c>
      <c r="X790" s="6" t="e">
        <f ca="1">SQRT($B$9*AVERAGE(W790:OFFSET(W790,$B$5-1,0)))</f>
        <v>#DIV/0!</v>
      </c>
      <c r="Y790" s="6" t="e">
        <f ca="1">SQRT($B$9*AVERAGE(W790:OFFSET(W790,$B$6-1,0)))</f>
        <v>#DIV/0!</v>
      </c>
      <c r="Z790" s="6" t="e">
        <f ca="1">SQRT($B$9*AVERAGE(W790:OFFSET(W790,$B$7-1,0)))</f>
        <v>#DIV/0!</v>
      </c>
      <c r="AA790" s="6" t="e">
        <f ca="1">SQRT($B$9*AVERAGE(W790:OFFSET(W790,$B$8-1,0)))</f>
        <v>#DIV/0!</v>
      </c>
      <c r="AC790" s="34" t="e">
        <f t="shared" si="70"/>
        <v>#DIV/0!</v>
      </c>
      <c r="AD790" s="34" t="e">
        <f ca="1">SQRT($B$9*SUM(AC790:OFFSET(AC790,$B$5-1,0))/($B$5-1))</f>
        <v>#DIV/0!</v>
      </c>
      <c r="AE790" s="34" t="e">
        <f ca="1">SQRT($B$9*SUM(AC790:OFFSET(AC790,$B$6-1,0))/($B$6-1))</f>
        <v>#DIV/0!</v>
      </c>
      <c r="AF790" s="34" t="e">
        <f ca="1">SQRT($B$9*SUM(AC790:OFFSET(AC790,$B$7-1,0))/($B$7-1))</f>
        <v>#DIV/0!</v>
      </c>
      <c r="AG790" s="34" t="e">
        <f ca="1">SQRT($B$9*SUM(AC790:OFFSET(AC790,$B$8-1,0))/($B$8-1))</f>
        <v>#DIV/0!</v>
      </c>
      <c r="AI790" s="1" t="e">
        <f t="shared" si="71"/>
        <v>#DIV/0!</v>
      </c>
      <c r="AJ790" s="4" t="e">
        <f ca="1">SQRT($B$9)*_xlfn.STDEV.S(AI790:OFFSET(AI790,$B$5-1,0))</f>
        <v>#DIV/0!</v>
      </c>
      <c r="AK790" s="4" t="e">
        <f ca="1">SQRT($B$9)*_xlfn.STDEV.S(AI790:OFFSET(AI790,$B$6-1,0))</f>
        <v>#DIV/0!</v>
      </c>
      <c r="AL790" s="4" t="e">
        <f ca="1">SQRT($B$9)*_xlfn.STDEV.S(AI790:OFFSET(AI790,$B$7-1,0))</f>
        <v>#DIV/0!</v>
      </c>
      <c r="AM790" s="4" t="e">
        <f ca="1">SQRT($B$9)*_xlfn.STDEV.S(AI790:OFFSET(AI790,$B$8-1,0))</f>
        <v>#DIV/0!</v>
      </c>
    </row>
    <row r="791" spans="5:39" x14ac:dyDescent="0.2">
      <c r="E791" s="42">
        <v>44288</v>
      </c>
      <c r="F791" s="43"/>
      <c r="G791" s="43"/>
      <c r="H791" s="43"/>
      <c r="I791" s="43"/>
      <c r="K791" s="3" t="e">
        <f t="shared" si="69"/>
        <v>#DIV/0!</v>
      </c>
      <c r="L791" s="3" t="e">
        <f ca="1">SQRT(AVERAGE(K791:OFFSET(K791,$B$5-1,0))*$B$9/(4*LN(2)))</f>
        <v>#DIV/0!</v>
      </c>
      <c r="M791" s="3" t="e">
        <f ca="1">SQRT(AVERAGE(K791:OFFSET(K791,$B$6-1,0))*$B$9/(4*LN(2)))</f>
        <v>#DIV/0!</v>
      </c>
      <c r="N791" s="3" t="e">
        <f ca="1">SQRT(AVERAGE(K791:OFFSET(K791,$B$7-1,0))*$B$9/(4*LN(2)))</f>
        <v>#DIV/0!</v>
      </c>
      <c r="O791" s="3" t="e">
        <f ca="1">SQRT(AVERAGE(K791:OFFSET(K791,$B$8-1,0))*$B$9/(4*LN(2)))</f>
        <v>#DIV/0!</v>
      </c>
      <c r="Q791" s="5" t="e">
        <f t="shared" si="68"/>
        <v>#DIV/0!</v>
      </c>
      <c r="R791" s="5" t="e">
        <f ca="1">SQRT($B$9*AVERAGE((Q791:OFFSET(Q791,$B$5-1,0))))</f>
        <v>#DIV/0!</v>
      </c>
      <c r="S791" s="5" t="e">
        <f ca="1">SQRT($B$9*AVERAGE((Q791:OFFSET(Q791,$B$6-1,0))))</f>
        <v>#DIV/0!</v>
      </c>
      <c r="T791" s="5" t="e">
        <f ca="1">SQRT($B$9*AVERAGE((Q791:OFFSET(Q791,$B$7-1,0))))</f>
        <v>#DIV/0!</v>
      </c>
      <c r="U791" s="5" t="e">
        <f ca="1">SQRT($B$9*AVERAGE((Q791:OFFSET(Q791,$B$8-1,0))))</f>
        <v>#DIV/0!</v>
      </c>
      <c r="W791" s="6" t="e">
        <f t="shared" si="67"/>
        <v>#DIV/0!</v>
      </c>
      <c r="X791" s="6" t="e">
        <f ca="1">SQRT($B$9*AVERAGE(W791:OFFSET(W791,$B$5-1,0)))</f>
        <v>#DIV/0!</v>
      </c>
      <c r="Y791" s="6" t="e">
        <f ca="1">SQRT($B$9*AVERAGE(W791:OFFSET(W791,$B$6-1,0)))</f>
        <v>#DIV/0!</v>
      </c>
      <c r="Z791" s="6" t="e">
        <f ca="1">SQRT($B$9*AVERAGE(W791:OFFSET(W791,$B$7-1,0)))</f>
        <v>#DIV/0!</v>
      </c>
      <c r="AA791" s="6" t="e">
        <f ca="1">SQRT($B$9*AVERAGE(W791:OFFSET(W791,$B$8-1,0)))</f>
        <v>#DIV/0!</v>
      </c>
      <c r="AC791" s="34" t="e">
        <f t="shared" si="70"/>
        <v>#DIV/0!</v>
      </c>
      <c r="AD791" s="34" t="e">
        <f ca="1">SQRT($B$9*SUM(AC791:OFFSET(AC791,$B$5-1,0))/($B$5-1))</f>
        <v>#DIV/0!</v>
      </c>
      <c r="AE791" s="34" t="e">
        <f ca="1">SQRT($B$9*SUM(AC791:OFFSET(AC791,$B$6-1,0))/($B$6-1))</f>
        <v>#DIV/0!</v>
      </c>
      <c r="AF791" s="34" t="e">
        <f ca="1">SQRT($B$9*SUM(AC791:OFFSET(AC791,$B$7-1,0))/($B$7-1))</f>
        <v>#DIV/0!</v>
      </c>
      <c r="AG791" s="34" t="e">
        <f ca="1">SQRT($B$9*SUM(AC791:OFFSET(AC791,$B$8-1,0))/($B$8-1))</f>
        <v>#DIV/0!</v>
      </c>
      <c r="AI791" s="1" t="e">
        <f t="shared" si="71"/>
        <v>#DIV/0!</v>
      </c>
      <c r="AJ791" s="4" t="e">
        <f ca="1">SQRT($B$9)*_xlfn.STDEV.S(AI791:OFFSET(AI791,$B$5-1,0))</f>
        <v>#DIV/0!</v>
      </c>
      <c r="AK791" s="4" t="e">
        <f ca="1">SQRT($B$9)*_xlfn.STDEV.S(AI791:OFFSET(AI791,$B$6-1,0))</f>
        <v>#DIV/0!</v>
      </c>
      <c r="AL791" s="4" t="e">
        <f ca="1">SQRT($B$9)*_xlfn.STDEV.S(AI791:OFFSET(AI791,$B$7-1,0))</f>
        <v>#DIV/0!</v>
      </c>
      <c r="AM791" s="4" t="e">
        <f ca="1">SQRT($B$9)*_xlfn.STDEV.S(AI791:OFFSET(AI791,$B$8-1,0))</f>
        <v>#DIV/0!</v>
      </c>
    </row>
    <row r="792" spans="5:39" x14ac:dyDescent="0.2">
      <c r="E792" s="42">
        <v>44287</v>
      </c>
      <c r="F792" s="43"/>
      <c r="G792" s="43"/>
      <c r="H792" s="43"/>
      <c r="I792" s="43"/>
      <c r="K792" s="3" t="e">
        <f t="shared" si="69"/>
        <v>#DIV/0!</v>
      </c>
      <c r="L792" s="3" t="e">
        <f ca="1">SQRT(AVERAGE(K792:OFFSET(K792,$B$5-1,0))*$B$9/(4*LN(2)))</f>
        <v>#DIV/0!</v>
      </c>
      <c r="M792" s="3" t="e">
        <f ca="1">SQRT(AVERAGE(K792:OFFSET(K792,$B$6-1,0))*$B$9/(4*LN(2)))</f>
        <v>#DIV/0!</v>
      </c>
      <c r="N792" s="3" t="e">
        <f ca="1">SQRT(AVERAGE(K792:OFFSET(K792,$B$7-1,0))*$B$9/(4*LN(2)))</f>
        <v>#DIV/0!</v>
      </c>
      <c r="O792" s="3" t="e">
        <f ca="1">SQRT(AVERAGE(K792:OFFSET(K792,$B$8-1,0))*$B$9/(4*LN(2)))</f>
        <v>#DIV/0!</v>
      </c>
      <c r="Q792" s="5" t="e">
        <f t="shared" si="68"/>
        <v>#DIV/0!</v>
      </c>
      <c r="R792" s="5" t="e">
        <f ca="1">SQRT($B$9*AVERAGE((Q792:OFFSET(Q792,$B$5-1,0))))</f>
        <v>#DIV/0!</v>
      </c>
      <c r="S792" s="5" t="e">
        <f ca="1">SQRT($B$9*AVERAGE((Q792:OFFSET(Q792,$B$6-1,0))))</f>
        <v>#DIV/0!</v>
      </c>
      <c r="T792" s="5" t="e">
        <f ca="1">SQRT($B$9*AVERAGE((Q792:OFFSET(Q792,$B$7-1,0))))</f>
        <v>#DIV/0!</v>
      </c>
      <c r="U792" s="5" t="e">
        <f ca="1">SQRT($B$9*AVERAGE((Q792:OFFSET(Q792,$B$8-1,0))))</f>
        <v>#DIV/0!</v>
      </c>
      <c r="W792" s="6" t="e">
        <f t="shared" si="67"/>
        <v>#DIV/0!</v>
      </c>
      <c r="X792" s="6" t="e">
        <f ca="1">SQRT($B$9*AVERAGE(W792:OFFSET(W792,$B$5-1,0)))</f>
        <v>#DIV/0!</v>
      </c>
      <c r="Y792" s="6" t="e">
        <f ca="1">SQRT($B$9*AVERAGE(W792:OFFSET(W792,$B$6-1,0)))</f>
        <v>#DIV/0!</v>
      </c>
      <c r="Z792" s="6" t="e">
        <f ca="1">SQRT($B$9*AVERAGE(W792:OFFSET(W792,$B$7-1,0)))</f>
        <v>#DIV/0!</v>
      </c>
      <c r="AA792" s="6" t="e">
        <f ca="1">SQRT($B$9*AVERAGE(W792:OFFSET(W792,$B$8-1,0)))</f>
        <v>#DIV/0!</v>
      </c>
      <c r="AC792" s="34" t="e">
        <f t="shared" si="70"/>
        <v>#DIV/0!</v>
      </c>
      <c r="AD792" s="34" t="e">
        <f ca="1">SQRT($B$9*SUM(AC792:OFFSET(AC792,$B$5-1,0))/($B$5-1))</f>
        <v>#DIV/0!</v>
      </c>
      <c r="AE792" s="34" t="e">
        <f ca="1">SQRT($B$9*SUM(AC792:OFFSET(AC792,$B$6-1,0))/($B$6-1))</f>
        <v>#DIV/0!</v>
      </c>
      <c r="AF792" s="34" t="e">
        <f ca="1">SQRT($B$9*SUM(AC792:OFFSET(AC792,$B$7-1,0))/($B$7-1))</f>
        <v>#DIV/0!</v>
      </c>
      <c r="AG792" s="34" t="e">
        <f ca="1">SQRT($B$9*SUM(AC792:OFFSET(AC792,$B$8-1,0))/($B$8-1))</f>
        <v>#DIV/0!</v>
      </c>
      <c r="AI792" s="1" t="e">
        <f t="shared" si="71"/>
        <v>#DIV/0!</v>
      </c>
      <c r="AJ792" s="4" t="e">
        <f ca="1">SQRT($B$9)*_xlfn.STDEV.S(AI792:OFFSET(AI792,$B$5-1,0))</f>
        <v>#DIV/0!</v>
      </c>
      <c r="AK792" s="4" t="e">
        <f ca="1">SQRT($B$9)*_xlfn.STDEV.S(AI792:OFFSET(AI792,$B$6-1,0))</f>
        <v>#DIV/0!</v>
      </c>
      <c r="AL792" s="4" t="e">
        <f ca="1">SQRT($B$9)*_xlfn.STDEV.S(AI792:OFFSET(AI792,$B$7-1,0))</f>
        <v>#DIV/0!</v>
      </c>
      <c r="AM792" s="4" t="e">
        <f ca="1">SQRT($B$9)*_xlfn.STDEV.S(AI792:OFFSET(AI792,$B$8-1,0))</f>
        <v>#DIV/0!</v>
      </c>
    </row>
    <row r="793" spans="5:39" x14ac:dyDescent="0.2">
      <c r="E793" s="42">
        <v>44286</v>
      </c>
      <c r="F793" s="43"/>
      <c r="G793" s="43"/>
      <c r="H793" s="43"/>
      <c r="I793" s="43"/>
      <c r="K793" s="3" t="e">
        <f t="shared" si="69"/>
        <v>#DIV/0!</v>
      </c>
      <c r="L793" s="3" t="e">
        <f ca="1">SQRT(AVERAGE(K793:OFFSET(K793,$B$5-1,0))*$B$9/(4*LN(2)))</f>
        <v>#DIV/0!</v>
      </c>
      <c r="M793" s="3" t="e">
        <f ca="1">SQRT(AVERAGE(K793:OFFSET(K793,$B$6-1,0))*$B$9/(4*LN(2)))</f>
        <v>#DIV/0!</v>
      </c>
      <c r="N793" s="3" t="e">
        <f ca="1">SQRT(AVERAGE(K793:OFFSET(K793,$B$7-1,0))*$B$9/(4*LN(2)))</f>
        <v>#DIV/0!</v>
      </c>
      <c r="O793" s="3" t="e">
        <f ca="1">SQRT(AVERAGE(K793:OFFSET(K793,$B$8-1,0))*$B$9/(4*LN(2)))</f>
        <v>#DIV/0!</v>
      </c>
      <c r="Q793" s="5" t="e">
        <f t="shared" si="68"/>
        <v>#DIV/0!</v>
      </c>
      <c r="R793" s="5" t="e">
        <f ca="1">SQRT($B$9*AVERAGE((Q793:OFFSET(Q793,$B$5-1,0))))</f>
        <v>#DIV/0!</v>
      </c>
      <c r="S793" s="5" t="e">
        <f ca="1">SQRT($B$9*AVERAGE((Q793:OFFSET(Q793,$B$6-1,0))))</f>
        <v>#DIV/0!</v>
      </c>
      <c r="T793" s="5" t="e">
        <f ca="1">SQRT($B$9*AVERAGE((Q793:OFFSET(Q793,$B$7-1,0))))</f>
        <v>#DIV/0!</v>
      </c>
      <c r="U793" s="5" t="e">
        <f ca="1">SQRT($B$9*AVERAGE((Q793:OFFSET(Q793,$B$8-1,0))))</f>
        <v>#DIV/0!</v>
      </c>
      <c r="W793" s="6" t="e">
        <f t="shared" si="67"/>
        <v>#DIV/0!</v>
      </c>
      <c r="X793" s="6" t="e">
        <f ca="1">SQRT($B$9*AVERAGE(W793:OFFSET(W793,$B$5-1,0)))</f>
        <v>#DIV/0!</v>
      </c>
      <c r="Y793" s="6" t="e">
        <f ca="1">SQRT($B$9*AVERAGE(W793:OFFSET(W793,$B$6-1,0)))</f>
        <v>#DIV/0!</v>
      </c>
      <c r="Z793" s="6" t="e">
        <f ca="1">SQRT($B$9*AVERAGE(W793:OFFSET(W793,$B$7-1,0)))</f>
        <v>#DIV/0!</v>
      </c>
      <c r="AA793" s="6" t="e">
        <f ca="1">SQRT($B$9*AVERAGE(W793:OFFSET(W793,$B$8-1,0)))</f>
        <v>#DIV/0!</v>
      </c>
      <c r="AC793" s="34" t="e">
        <f t="shared" si="70"/>
        <v>#DIV/0!</v>
      </c>
      <c r="AD793" s="34" t="e">
        <f ca="1">SQRT($B$9*SUM(AC793:OFFSET(AC793,$B$5-1,0))/($B$5-1))</f>
        <v>#DIV/0!</v>
      </c>
      <c r="AE793" s="34" t="e">
        <f ca="1">SQRT($B$9*SUM(AC793:OFFSET(AC793,$B$6-1,0))/($B$6-1))</f>
        <v>#DIV/0!</v>
      </c>
      <c r="AF793" s="34" t="e">
        <f ca="1">SQRT($B$9*SUM(AC793:OFFSET(AC793,$B$7-1,0))/($B$7-1))</f>
        <v>#DIV/0!</v>
      </c>
      <c r="AG793" s="34" t="e">
        <f ca="1">SQRT($B$9*SUM(AC793:OFFSET(AC793,$B$8-1,0))/($B$8-1))</f>
        <v>#DIV/0!</v>
      </c>
      <c r="AI793" s="1" t="e">
        <f t="shared" si="71"/>
        <v>#DIV/0!</v>
      </c>
      <c r="AJ793" s="4" t="e">
        <f ca="1">SQRT($B$9)*_xlfn.STDEV.S(AI793:OFFSET(AI793,$B$5-1,0))</f>
        <v>#DIV/0!</v>
      </c>
      <c r="AK793" s="4" t="e">
        <f ca="1">SQRT($B$9)*_xlfn.STDEV.S(AI793:OFFSET(AI793,$B$6-1,0))</f>
        <v>#DIV/0!</v>
      </c>
      <c r="AL793" s="4" t="e">
        <f ca="1">SQRT($B$9)*_xlfn.STDEV.S(AI793:OFFSET(AI793,$B$7-1,0))</f>
        <v>#DIV/0!</v>
      </c>
      <c r="AM793" s="4" t="e">
        <f ca="1">SQRT($B$9)*_xlfn.STDEV.S(AI793:OFFSET(AI793,$B$8-1,0))</f>
        <v>#DIV/0!</v>
      </c>
    </row>
    <row r="794" spans="5:39" x14ac:dyDescent="0.2">
      <c r="E794" s="42">
        <v>44285</v>
      </c>
      <c r="F794" s="43"/>
      <c r="G794" s="43"/>
      <c r="H794" s="43"/>
      <c r="I794" s="43"/>
      <c r="K794" s="3" t="e">
        <f t="shared" si="69"/>
        <v>#DIV/0!</v>
      </c>
      <c r="L794" s="3" t="e">
        <f ca="1">SQRT(AVERAGE(K794:OFFSET(K794,$B$5-1,0))*$B$9/(4*LN(2)))</f>
        <v>#DIV/0!</v>
      </c>
      <c r="M794" s="3" t="e">
        <f ca="1">SQRT(AVERAGE(K794:OFFSET(K794,$B$6-1,0))*$B$9/(4*LN(2)))</f>
        <v>#DIV/0!</v>
      </c>
      <c r="N794" s="3" t="e">
        <f ca="1">SQRT(AVERAGE(K794:OFFSET(K794,$B$7-1,0))*$B$9/(4*LN(2)))</f>
        <v>#DIV/0!</v>
      </c>
      <c r="O794" s="3" t="e">
        <f ca="1">SQRT(AVERAGE(K794:OFFSET(K794,$B$8-1,0))*$B$9/(4*LN(2)))</f>
        <v>#DIV/0!</v>
      </c>
      <c r="Q794" s="5" t="e">
        <f t="shared" si="68"/>
        <v>#DIV/0!</v>
      </c>
      <c r="R794" s="5" t="e">
        <f ca="1">SQRT($B$9*AVERAGE((Q794:OFFSET(Q794,$B$5-1,0))))</f>
        <v>#DIV/0!</v>
      </c>
      <c r="S794" s="5" t="e">
        <f ca="1">SQRT($B$9*AVERAGE((Q794:OFFSET(Q794,$B$6-1,0))))</f>
        <v>#DIV/0!</v>
      </c>
      <c r="T794" s="5" t="e">
        <f ca="1">SQRT($B$9*AVERAGE((Q794:OFFSET(Q794,$B$7-1,0))))</f>
        <v>#DIV/0!</v>
      </c>
      <c r="U794" s="5" t="e">
        <f ca="1">SQRT($B$9*AVERAGE((Q794:OFFSET(Q794,$B$8-1,0))))</f>
        <v>#DIV/0!</v>
      </c>
      <c r="W794" s="6" t="e">
        <f t="shared" si="67"/>
        <v>#DIV/0!</v>
      </c>
      <c r="X794" s="6" t="e">
        <f ca="1">SQRT($B$9*AVERAGE(W794:OFFSET(W794,$B$5-1,0)))</f>
        <v>#DIV/0!</v>
      </c>
      <c r="Y794" s="6" t="e">
        <f ca="1">SQRT($B$9*AVERAGE(W794:OFFSET(W794,$B$6-1,0)))</f>
        <v>#DIV/0!</v>
      </c>
      <c r="Z794" s="6" t="e">
        <f ca="1">SQRT($B$9*AVERAGE(W794:OFFSET(W794,$B$7-1,0)))</f>
        <v>#DIV/0!</v>
      </c>
      <c r="AA794" s="6" t="e">
        <f ca="1">SQRT($B$9*AVERAGE(W794:OFFSET(W794,$B$8-1,0)))</f>
        <v>#DIV/0!</v>
      </c>
      <c r="AC794" s="34" t="e">
        <f t="shared" si="70"/>
        <v>#DIV/0!</v>
      </c>
      <c r="AD794" s="34" t="e">
        <f ca="1">SQRT($B$9*SUM(AC794:OFFSET(AC794,$B$5-1,0))/($B$5-1))</f>
        <v>#DIV/0!</v>
      </c>
      <c r="AE794" s="34" t="e">
        <f ca="1">SQRT($B$9*SUM(AC794:OFFSET(AC794,$B$6-1,0))/($B$6-1))</f>
        <v>#DIV/0!</v>
      </c>
      <c r="AF794" s="34" t="e">
        <f ca="1">SQRT($B$9*SUM(AC794:OFFSET(AC794,$B$7-1,0))/($B$7-1))</f>
        <v>#DIV/0!</v>
      </c>
      <c r="AG794" s="34" t="e">
        <f ca="1">SQRT($B$9*SUM(AC794:OFFSET(AC794,$B$8-1,0))/($B$8-1))</f>
        <v>#DIV/0!</v>
      </c>
      <c r="AI794" s="1" t="e">
        <f t="shared" si="71"/>
        <v>#DIV/0!</v>
      </c>
      <c r="AJ794" s="4" t="e">
        <f ca="1">SQRT($B$9)*_xlfn.STDEV.S(AI794:OFFSET(AI794,$B$5-1,0))</f>
        <v>#DIV/0!</v>
      </c>
      <c r="AK794" s="4" t="e">
        <f ca="1">SQRT($B$9)*_xlfn.STDEV.S(AI794:OFFSET(AI794,$B$6-1,0))</f>
        <v>#DIV/0!</v>
      </c>
      <c r="AL794" s="4" t="e">
        <f ca="1">SQRT($B$9)*_xlfn.STDEV.S(AI794:OFFSET(AI794,$B$7-1,0))</f>
        <v>#DIV/0!</v>
      </c>
      <c r="AM794" s="4" t="e">
        <f ca="1">SQRT($B$9)*_xlfn.STDEV.S(AI794:OFFSET(AI794,$B$8-1,0))</f>
        <v>#DIV/0!</v>
      </c>
    </row>
    <row r="795" spans="5:39" x14ac:dyDescent="0.2">
      <c r="E795" s="42">
        <v>44284</v>
      </c>
      <c r="F795" s="43"/>
      <c r="G795" s="43"/>
      <c r="H795" s="43"/>
      <c r="I795" s="43"/>
      <c r="K795" s="3" t="e">
        <f t="shared" si="69"/>
        <v>#DIV/0!</v>
      </c>
      <c r="L795" s="3" t="e">
        <f ca="1">SQRT(AVERAGE(K795:OFFSET(K795,$B$5-1,0))*$B$9/(4*LN(2)))</f>
        <v>#DIV/0!</v>
      </c>
      <c r="M795" s="3" t="e">
        <f ca="1">SQRT(AVERAGE(K795:OFFSET(K795,$B$6-1,0))*$B$9/(4*LN(2)))</f>
        <v>#DIV/0!</v>
      </c>
      <c r="N795" s="3" t="e">
        <f ca="1">SQRT(AVERAGE(K795:OFFSET(K795,$B$7-1,0))*$B$9/(4*LN(2)))</f>
        <v>#DIV/0!</v>
      </c>
      <c r="O795" s="3" t="e">
        <f ca="1">SQRT(AVERAGE(K795:OFFSET(K795,$B$8-1,0))*$B$9/(4*LN(2)))</f>
        <v>#DIV/0!</v>
      </c>
      <c r="Q795" s="5" t="e">
        <f t="shared" si="68"/>
        <v>#DIV/0!</v>
      </c>
      <c r="R795" s="5" t="e">
        <f ca="1">SQRT($B$9*AVERAGE((Q795:OFFSET(Q795,$B$5-1,0))))</f>
        <v>#DIV/0!</v>
      </c>
      <c r="S795" s="5" t="e">
        <f ca="1">SQRT($B$9*AVERAGE((Q795:OFFSET(Q795,$B$6-1,0))))</f>
        <v>#DIV/0!</v>
      </c>
      <c r="T795" s="5" t="e">
        <f ca="1">SQRT($B$9*AVERAGE((Q795:OFFSET(Q795,$B$7-1,0))))</f>
        <v>#DIV/0!</v>
      </c>
      <c r="U795" s="5" t="e">
        <f ca="1">SQRT($B$9*AVERAGE((Q795:OFFSET(Q795,$B$8-1,0))))</f>
        <v>#DIV/0!</v>
      </c>
      <c r="W795" s="6" t="e">
        <f t="shared" si="67"/>
        <v>#DIV/0!</v>
      </c>
      <c r="X795" s="6" t="e">
        <f ca="1">SQRT($B$9*AVERAGE(W795:OFFSET(W795,$B$5-1,0)))</f>
        <v>#DIV/0!</v>
      </c>
      <c r="Y795" s="6" t="e">
        <f ca="1">SQRT($B$9*AVERAGE(W795:OFFSET(W795,$B$6-1,0)))</f>
        <v>#DIV/0!</v>
      </c>
      <c r="Z795" s="6" t="e">
        <f ca="1">SQRT($B$9*AVERAGE(W795:OFFSET(W795,$B$7-1,0)))</f>
        <v>#DIV/0!</v>
      </c>
      <c r="AA795" s="6" t="e">
        <f ca="1">SQRT($B$9*AVERAGE(W795:OFFSET(W795,$B$8-1,0)))</f>
        <v>#DIV/0!</v>
      </c>
      <c r="AC795" s="34" t="e">
        <f t="shared" si="70"/>
        <v>#DIV/0!</v>
      </c>
      <c r="AD795" s="34" t="e">
        <f ca="1">SQRT($B$9*SUM(AC795:OFFSET(AC795,$B$5-1,0))/($B$5-1))</f>
        <v>#DIV/0!</v>
      </c>
      <c r="AE795" s="34" t="e">
        <f ca="1">SQRT($B$9*SUM(AC795:OFFSET(AC795,$B$6-1,0))/($B$6-1))</f>
        <v>#DIV/0!</v>
      </c>
      <c r="AF795" s="34" t="e">
        <f ca="1">SQRT($B$9*SUM(AC795:OFFSET(AC795,$B$7-1,0))/($B$7-1))</f>
        <v>#DIV/0!</v>
      </c>
      <c r="AG795" s="34" t="e">
        <f ca="1">SQRT($B$9*SUM(AC795:OFFSET(AC795,$B$8-1,0))/($B$8-1))</f>
        <v>#DIV/0!</v>
      </c>
      <c r="AI795" s="1" t="e">
        <f t="shared" si="71"/>
        <v>#DIV/0!</v>
      </c>
      <c r="AJ795" s="4" t="e">
        <f ca="1">SQRT($B$9)*_xlfn.STDEV.S(AI795:OFFSET(AI795,$B$5-1,0))</f>
        <v>#DIV/0!</v>
      </c>
      <c r="AK795" s="4" t="e">
        <f ca="1">SQRT($B$9)*_xlfn.STDEV.S(AI795:OFFSET(AI795,$B$6-1,0))</f>
        <v>#DIV/0!</v>
      </c>
      <c r="AL795" s="4" t="e">
        <f ca="1">SQRT($B$9)*_xlfn.STDEV.S(AI795:OFFSET(AI795,$B$7-1,0))</f>
        <v>#DIV/0!</v>
      </c>
      <c r="AM795" s="4" t="e">
        <f ca="1">SQRT($B$9)*_xlfn.STDEV.S(AI795:OFFSET(AI795,$B$8-1,0))</f>
        <v>#DIV/0!</v>
      </c>
    </row>
    <row r="796" spans="5:39" x14ac:dyDescent="0.2">
      <c r="E796" s="42">
        <v>44281</v>
      </c>
      <c r="F796" s="43"/>
      <c r="G796" s="43"/>
      <c r="H796" s="43"/>
      <c r="I796" s="43"/>
      <c r="K796" s="3" t="e">
        <f t="shared" si="69"/>
        <v>#DIV/0!</v>
      </c>
      <c r="L796" s="3" t="e">
        <f ca="1">SQRT(AVERAGE(K796:OFFSET(K796,$B$5-1,0))*$B$9/(4*LN(2)))</f>
        <v>#DIV/0!</v>
      </c>
      <c r="M796" s="3" t="e">
        <f ca="1">SQRT(AVERAGE(K796:OFFSET(K796,$B$6-1,0))*$B$9/(4*LN(2)))</f>
        <v>#DIV/0!</v>
      </c>
      <c r="N796" s="3" t="e">
        <f ca="1">SQRT(AVERAGE(K796:OFFSET(K796,$B$7-1,0))*$B$9/(4*LN(2)))</f>
        <v>#DIV/0!</v>
      </c>
      <c r="O796" s="3" t="e">
        <f ca="1">SQRT(AVERAGE(K796:OFFSET(K796,$B$8-1,0))*$B$9/(4*LN(2)))</f>
        <v>#DIV/0!</v>
      </c>
      <c r="Q796" s="5" t="e">
        <f t="shared" si="68"/>
        <v>#DIV/0!</v>
      </c>
      <c r="R796" s="5" t="e">
        <f ca="1">SQRT($B$9*AVERAGE((Q796:OFFSET(Q796,$B$5-1,0))))</f>
        <v>#DIV/0!</v>
      </c>
      <c r="S796" s="5" t="e">
        <f ca="1">SQRT($B$9*AVERAGE((Q796:OFFSET(Q796,$B$6-1,0))))</f>
        <v>#DIV/0!</v>
      </c>
      <c r="T796" s="5" t="e">
        <f ca="1">SQRT($B$9*AVERAGE((Q796:OFFSET(Q796,$B$7-1,0))))</f>
        <v>#DIV/0!</v>
      </c>
      <c r="U796" s="5" t="e">
        <f ca="1">SQRT($B$9*AVERAGE((Q796:OFFSET(Q796,$B$8-1,0))))</f>
        <v>#DIV/0!</v>
      </c>
      <c r="W796" s="6" t="e">
        <f t="shared" si="67"/>
        <v>#DIV/0!</v>
      </c>
      <c r="X796" s="6" t="e">
        <f ca="1">SQRT($B$9*AVERAGE(W796:OFFSET(W796,$B$5-1,0)))</f>
        <v>#DIV/0!</v>
      </c>
      <c r="Y796" s="6" t="e">
        <f ca="1">SQRT($B$9*AVERAGE(W796:OFFSET(W796,$B$6-1,0)))</f>
        <v>#DIV/0!</v>
      </c>
      <c r="Z796" s="6" t="e">
        <f ca="1">SQRT($B$9*AVERAGE(W796:OFFSET(W796,$B$7-1,0)))</f>
        <v>#DIV/0!</v>
      </c>
      <c r="AA796" s="6" t="e">
        <f ca="1">SQRT($B$9*AVERAGE(W796:OFFSET(W796,$B$8-1,0)))</f>
        <v>#DIV/0!</v>
      </c>
      <c r="AC796" s="34" t="e">
        <f t="shared" si="70"/>
        <v>#DIV/0!</v>
      </c>
      <c r="AD796" s="34" t="e">
        <f ca="1">SQRT($B$9*SUM(AC796:OFFSET(AC796,$B$5-1,0))/($B$5-1))</f>
        <v>#DIV/0!</v>
      </c>
      <c r="AE796" s="34" t="e">
        <f ca="1">SQRT($B$9*SUM(AC796:OFFSET(AC796,$B$6-1,0))/($B$6-1))</f>
        <v>#DIV/0!</v>
      </c>
      <c r="AF796" s="34" t="e">
        <f ca="1">SQRT($B$9*SUM(AC796:OFFSET(AC796,$B$7-1,0))/($B$7-1))</f>
        <v>#DIV/0!</v>
      </c>
      <c r="AG796" s="34" t="e">
        <f ca="1">SQRT($B$9*SUM(AC796:OFFSET(AC796,$B$8-1,0))/($B$8-1))</f>
        <v>#DIV/0!</v>
      </c>
      <c r="AI796" s="1" t="e">
        <f t="shared" si="71"/>
        <v>#DIV/0!</v>
      </c>
      <c r="AJ796" s="4" t="e">
        <f ca="1">SQRT($B$9)*_xlfn.STDEV.S(AI796:OFFSET(AI796,$B$5-1,0))</f>
        <v>#DIV/0!</v>
      </c>
      <c r="AK796" s="4" t="e">
        <f ca="1">SQRT($B$9)*_xlfn.STDEV.S(AI796:OFFSET(AI796,$B$6-1,0))</f>
        <v>#DIV/0!</v>
      </c>
      <c r="AL796" s="4" t="e">
        <f ca="1">SQRT($B$9)*_xlfn.STDEV.S(AI796:OFFSET(AI796,$B$7-1,0))</f>
        <v>#DIV/0!</v>
      </c>
      <c r="AM796" s="4" t="e">
        <f ca="1">SQRT($B$9)*_xlfn.STDEV.S(AI796:OFFSET(AI796,$B$8-1,0))</f>
        <v>#DIV/0!</v>
      </c>
    </row>
    <row r="797" spans="5:39" x14ac:dyDescent="0.2">
      <c r="E797" s="42">
        <v>44280</v>
      </c>
      <c r="F797" s="43"/>
      <c r="G797" s="43"/>
      <c r="H797" s="43"/>
      <c r="I797" s="43"/>
      <c r="K797" s="3" t="e">
        <f t="shared" si="69"/>
        <v>#DIV/0!</v>
      </c>
      <c r="L797" s="3" t="e">
        <f ca="1">SQRT(AVERAGE(K797:OFFSET(K797,$B$5-1,0))*$B$9/(4*LN(2)))</f>
        <v>#DIV/0!</v>
      </c>
      <c r="M797" s="3" t="e">
        <f ca="1">SQRT(AVERAGE(K797:OFFSET(K797,$B$6-1,0))*$B$9/(4*LN(2)))</f>
        <v>#DIV/0!</v>
      </c>
      <c r="N797" s="3" t="e">
        <f ca="1">SQRT(AVERAGE(K797:OFFSET(K797,$B$7-1,0))*$B$9/(4*LN(2)))</f>
        <v>#DIV/0!</v>
      </c>
      <c r="O797" s="3" t="e">
        <f ca="1">SQRT(AVERAGE(K797:OFFSET(K797,$B$8-1,0))*$B$9/(4*LN(2)))</f>
        <v>#DIV/0!</v>
      </c>
      <c r="Q797" s="5" t="e">
        <f t="shared" si="68"/>
        <v>#DIV/0!</v>
      </c>
      <c r="R797" s="5" t="e">
        <f ca="1">SQRT($B$9*AVERAGE((Q797:OFFSET(Q797,$B$5-1,0))))</f>
        <v>#DIV/0!</v>
      </c>
      <c r="S797" s="5" t="e">
        <f ca="1">SQRT($B$9*AVERAGE((Q797:OFFSET(Q797,$B$6-1,0))))</f>
        <v>#DIV/0!</v>
      </c>
      <c r="T797" s="5" t="e">
        <f ca="1">SQRT($B$9*AVERAGE((Q797:OFFSET(Q797,$B$7-1,0))))</f>
        <v>#DIV/0!</v>
      </c>
      <c r="U797" s="5" t="e">
        <f ca="1">SQRT($B$9*AVERAGE((Q797:OFFSET(Q797,$B$8-1,0))))</f>
        <v>#DIV/0!</v>
      </c>
      <c r="W797" s="6" t="e">
        <f t="shared" si="67"/>
        <v>#DIV/0!</v>
      </c>
      <c r="X797" s="6" t="e">
        <f ca="1">SQRT($B$9*AVERAGE(W797:OFFSET(W797,$B$5-1,0)))</f>
        <v>#DIV/0!</v>
      </c>
      <c r="Y797" s="6" t="e">
        <f ca="1">SQRT($B$9*AVERAGE(W797:OFFSET(W797,$B$6-1,0)))</f>
        <v>#DIV/0!</v>
      </c>
      <c r="Z797" s="6" t="e">
        <f ca="1">SQRT($B$9*AVERAGE(W797:OFFSET(W797,$B$7-1,0)))</f>
        <v>#DIV/0!</v>
      </c>
      <c r="AA797" s="6" t="e">
        <f ca="1">SQRT($B$9*AVERAGE(W797:OFFSET(W797,$B$8-1,0)))</f>
        <v>#DIV/0!</v>
      </c>
      <c r="AC797" s="34" t="e">
        <f t="shared" si="70"/>
        <v>#DIV/0!</v>
      </c>
      <c r="AD797" s="34" t="e">
        <f ca="1">SQRT($B$9*SUM(AC797:OFFSET(AC797,$B$5-1,0))/($B$5-1))</f>
        <v>#DIV/0!</v>
      </c>
      <c r="AE797" s="34" t="e">
        <f ca="1">SQRT($B$9*SUM(AC797:OFFSET(AC797,$B$6-1,0))/($B$6-1))</f>
        <v>#DIV/0!</v>
      </c>
      <c r="AF797" s="34" t="e">
        <f ca="1">SQRT($B$9*SUM(AC797:OFFSET(AC797,$B$7-1,0))/($B$7-1))</f>
        <v>#DIV/0!</v>
      </c>
      <c r="AG797" s="34" t="e">
        <f ca="1">SQRT($B$9*SUM(AC797:OFFSET(AC797,$B$8-1,0))/($B$8-1))</f>
        <v>#DIV/0!</v>
      </c>
      <c r="AI797" s="1" t="e">
        <f t="shared" si="71"/>
        <v>#DIV/0!</v>
      </c>
      <c r="AJ797" s="4" t="e">
        <f ca="1">SQRT($B$9)*_xlfn.STDEV.S(AI797:OFFSET(AI797,$B$5-1,0))</f>
        <v>#DIV/0!</v>
      </c>
      <c r="AK797" s="4" t="e">
        <f ca="1">SQRT($B$9)*_xlfn.STDEV.S(AI797:OFFSET(AI797,$B$6-1,0))</f>
        <v>#DIV/0!</v>
      </c>
      <c r="AL797" s="4" t="e">
        <f ca="1">SQRT($B$9)*_xlfn.STDEV.S(AI797:OFFSET(AI797,$B$7-1,0))</f>
        <v>#DIV/0!</v>
      </c>
      <c r="AM797" s="4" t="e">
        <f ca="1">SQRT($B$9)*_xlfn.STDEV.S(AI797:OFFSET(AI797,$B$8-1,0))</f>
        <v>#DIV/0!</v>
      </c>
    </row>
    <row r="798" spans="5:39" x14ac:dyDescent="0.2">
      <c r="E798" s="42">
        <v>44279</v>
      </c>
      <c r="F798" s="43"/>
      <c r="G798" s="43"/>
      <c r="H798" s="43"/>
      <c r="I798" s="43"/>
      <c r="K798" s="3" t="e">
        <f t="shared" si="69"/>
        <v>#DIV/0!</v>
      </c>
      <c r="L798" s="3" t="e">
        <f ca="1">SQRT(AVERAGE(K798:OFFSET(K798,$B$5-1,0))*$B$9/(4*LN(2)))</f>
        <v>#DIV/0!</v>
      </c>
      <c r="M798" s="3" t="e">
        <f ca="1">SQRT(AVERAGE(K798:OFFSET(K798,$B$6-1,0))*$B$9/(4*LN(2)))</f>
        <v>#DIV/0!</v>
      </c>
      <c r="N798" s="3" t="e">
        <f ca="1">SQRT(AVERAGE(K798:OFFSET(K798,$B$7-1,0))*$B$9/(4*LN(2)))</f>
        <v>#DIV/0!</v>
      </c>
      <c r="O798" s="3" t="e">
        <f ca="1">SQRT(AVERAGE(K798:OFFSET(K798,$B$8-1,0))*$B$9/(4*LN(2)))</f>
        <v>#DIV/0!</v>
      </c>
      <c r="Q798" s="5" t="e">
        <f t="shared" si="68"/>
        <v>#DIV/0!</v>
      </c>
      <c r="R798" s="5" t="e">
        <f ca="1">SQRT($B$9*AVERAGE((Q798:OFFSET(Q798,$B$5-1,0))))</f>
        <v>#DIV/0!</v>
      </c>
      <c r="S798" s="5" t="e">
        <f ca="1">SQRT($B$9*AVERAGE((Q798:OFFSET(Q798,$B$6-1,0))))</f>
        <v>#DIV/0!</v>
      </c>
      <c r="T798" s="5" t="e">
        <f ca="1">SQRT($B$9*AVERAGE((Q798:OFFSET(Q798,$B$7-1,0))))</f>
        <v>#DIV/0!</v>
      </c>
      <c r="U798" s="5" t="e">
        <f ca="1">SQRT($B$9*AVERAGE((Q798:OFFSET(Q798,$B$8-1,0))))</f>
        <v>#DIV/0!</v>
      </c>
      <c r="W798" s="6" t="e">
        <f t="shared" si="67"/>
        <v>#DIV/0!</v>
      </c>
      <c r="X798" s="6" t="e">
        <f ca="1">SQRT($B$9*AVERAGE(W798:OFFSET(W798,$B$5-1,0)))</f>
        <v>#DIV/0!</v>
      </c>
      <c r="Y798" s="6" t="e">
        <f ca="1">SQRT($B$9*AVERAGE(W798:OFFSET(W798,$B$6-1,0)))</f>
        <v>#DIV/0!</v>
      </c>
      <c r="Z798" s="6" t="e">
        <f ca="1">SQRT($B$9*AVERAGE(W798:OFFSET(W798,$B$7-1,0)))</f>
        <v>#DIV/0!</v>
      </c>
      <c r="AA798" s="6" t="e">
        <f ca="1">SQRT($B$9*AVERAGE(W798:OFFSET(W798,$B$8-1,0)))</f>
        <v>#DIV/0!</v>
      </c>
      <c r="AC798" s="34" t="e">
        <f t="shared" si="70"/>
        <v>#DIV/0!</v>
      </c>
      <c r="AD798" s="34" t="e">
        <f ca="1">SQRT($B$9*SUM(AC798:OFFSET(AC798,$B$5-1,0))/($B$5-1))</f>
        <v>#DIV/0!</v>
      </c>
      <c r="AE798" s="34" t="e">
        <f ca="1">SQRT($B$9*SUM(AC798:OFFSET(AC798,$B$6-1,0))/($B$6-1))</f>
        <v>#DIV/0!</v>
      </c>
      <c r="AF798" s="34" t="e">
        <f ca="1">SQRT($B$9*SUM(AC798:OFFSET(AC798,$B$7-1,0))/($B$7-1))</f>
        <v>#DIV/0!</v>
      </c>
      <c r="AG798" s="34" t="e">
        <f ca="1">SQRT($B$9*SUM(AC798:OFFSET(AC798,$B$8-1,0))/($B$8-1))</f>
        <v>#DIV/0!</v>
      </c>
      <c r="AI798" s="1" t="e">
        <f t="shared" si="71"/>
        <v>#DIV/0!</v>
      </c>
      <c r="AJ798" s="4" t="e">
        <f ca="1">SQRT($B$9)*_xlfn.STDEV.S(AI798:OFFSET(AI798,$B$5-1,0))</f>
        <v>#DIV/0!</v>
      </c>
      <c r="AK798" s="4" t="e">
        <f ca="1">SQRT($B$9)*_xlfn.STDEV.S(AI798:OFFSET(AI798,$B$6-1,0))</f>
        <v>#DIV/0!</v>
      </c>
      <c r="AL798" s="4" t="e">
        <f ca="1">SQRT($B$9)*_xlfn.STDEV.S(AI798:OFFSET(AI798,$B$7-1,0))</f>
        <v>#DIV/0!</v>
      </c>
      <c r="AM798" s="4" t="e">
        <f ca="1">SQRT($B$9)*_xlfn.STDEV.S(AI798:OFFSET(AI798,$B$8-1,0))</f>
        <v>#DIV/0!</v>
      </c>
    </row>
    <row r="799" spans="5:39" x14ac:dyDescent="0.2">
      <c r="E799" s="42">
        <v>44278</v>
      </c>
      <c r="F799" s="43"/>
      <c r="G799" s="43"/>
      <c r="H799" s="43"/>
      <c r="I799" s="43"/>
      <c r="K799" s="3" t="e">
        <f t="shared" si="69"/>
        <v>#DIV/0!</v>
      </c>
      <c r="L799" s="3" t="e">
        <f ca="1">SQRT(AVERAGE(K799:OFFSET(K799,$B$5-1,0))*$B$9/(4*LN(2)))</f>
        <v>#DIV/0!</v>
      </c>
      <c r="M799" s="3" t="e">
        <f ca="1">SQRT(AVERAGE(K799:OFFSET(K799,$B$6-1,0))*$B$9/(4*LN(2)))</f>
        <v>#DIV/0!</v>
      </c>
      <c r="N799" s="3" t="e">
        <f ca="1">SQRT(AVERAGE(K799:OFFSET(K799,$B$7-1,0))*$B$9/(4*LN(2)))</f>
        <v>#DIV/0!</v>
      </c>
      <c r="O799" s="3" t="e">
        <f ca="1">SQRT(AVERAGE(K799:OFFSET(K799,$B$8-1,0))*$B$9/(4*LN(2)))</f>
        <v>#DIV/0!</v>
      </c>
      <c r="Q799" s="5" t="e">
        <f t="shared" si="68"/>
        <v>#DIV/0!</v>
      </c>
      <c r="R799" s="5" t="e">
        <f ca="1">SQRT($B$9*AVERAGE((Q799:OFFSET(Q799,$B$5-1,0))))</f>
        <v>#DIV/0!</v>
      </c>
      <c r="S799" s="5" t="e">
        <f ca="1">SQRT($B$9*AVERAGE((Q799:OFFSET(Q799,$B$6-1,0))))</f>
        <v>#DIV/0!</v>
      </c>
      <c r="T799" s="5" t="e">
        <f ca="1">SQRT($B$9*AVERAGE((Q799:OFFSET(Q799,$B$7-1,0))))</f>
        <v>#DIV/0!</v>
      </c>
      <c r="U799" s="5" t="e">
        <f ca="1">SQRT($B$9*AVERAGE((Q799:OFFSET(Q799,$B$8-1,0))))</f>
        <v>#DIV/0!</v>
      </c>
      <c r="W799" s="6" t="e">
        <f t="shared" si="67"/>
        <v>#DIV/0!</v>
      </c>
      <c r="X799" s="6" t="e">
        <f ca="1">SQRT($B$9*AVERAGE(W799:OFFSET(W799,$B$5-1,0)))</f>
        <v>#DIV/0!</v>
      </c>
      <c r="Y799" s="6" t="e">
        <f ca="1">SQRT($B$9*AVERAGE(W799:OFFSET(W799,$B$6-1,0)))</f>
        <v>#DIV/0!</v>
      </c>
      <c r="Z799" s="6" t="e">
        <f ca="1">SQRT($B$9*AVERAGE(W799:OFFSET(W799,$B$7-1,0)))</f>
        <v>#DIV/0!</v>
      </c>
      <c r="AA799" s="6" t="e">
        <f ca="1">SQRT($B$9*AVERAGE(W799:OFFSET(W799,$B$8-1,0)))</f>
        <v>#DIV/0!</v>
      </c>
      <c r="AC799" s="34" t="e">
        <f t="shared" si="70"/>
        <v>#DIV/0!</v>
      </c>
      <c r="AD799" s="34" t="e">
        <f ca="1">SQRT($B$9*SUM(AC799:OFFSET(AC799,$B$5-1,0))/($B$5-1))</f>
        <v>#DIV/0!</v>
      </c>
      <c r="AE799" s="34" t="e">
        <f ca="1">SQRT($B$9*SUM(AC799:OFFSET(AC799,$B$6-1,0))/($B$6-1))</f>
        <v>#DIV/0!</v>
      </c>
      <c r="AF799" s="34" t="e">
        <f ca="1">SQRT($B$9*SUM(AC799:OFFSET(AC799,$B$7-1,0))/($B$7-1))</f>
        <v>#DIV/0!</v>
      </c>
      <c r="AG799" s="34" t="e">
        <f ca="1">SQRT($B$9*SUM(AC799:OFFSET(AC799,$B$8-1,0))/($B$8-1))</f>
        <v>#DIV/0!</v>
      </c>
      <c r="AI799" s="1" t="e">
        <f t="shared" si="71"/>
        <v>#DIV/0!</v>
      </c>
      <c r="AJ799" s="4" t="e">
        <f ca="1">SQRT($B$9)*_xlfn.STDEV.S(AI799:OFFSET(AI799,$B$5-1,0))</f>
        <v>#DIV/0!</v>
      </c>
      <c r="AK799" s="4" t="e">
        <f ca="1">SQRT($B$9)*_xlfn.STDEV.S(AI799:OFFSET(AI799,$B$6-1,0))</f>
        <v>#DIV/0!</v>
      </c>
      <c r="AL799" s="4" t="e">
        <f ca="1">SQRT($B$9)*_xlfn.STDEV.S(AI799:OFFSET(AI799,$B$7-1,0))</f>
        <v>#DIV/0!</v>
      </c>
      <c r="AM799" s="4" t="e">
        <f ca="1">SQRT($B$9)*_xlfn.STDEV.S(AI799:OFFSET(AI799,$B$8-1,0))</f>
        <v>#DIV/0!</v>
      </c>
    </row>
    <row r="800" spans="5:39" x14ac:dyDescent="0.2">
      <c r="E800" s="42">
        <v>44277</v>
      </c>
      <c r="F800" s="43"/>
      <c r="G800" s="43"/>
      <c r="H800" s="43"/>
      <c r="I800" s="43"/>
      <c r="K800" s="3" t="e">
        <f t="shared" si="69"/>
        <v>#DIV/0!</v>
      </c>
      <c r="L800" s="3" t="e">
        <f ca="1">SQRT(AVERAGE(K800:OFFSET(K800,$B$5-1,0))*$B$9/(4*LN(2)))</f>
        <v>#DIV/0!</v>
      </c>
      <c r="M800" s="3" t="e">
        <f ca="1">SQRT(AVERAGE(K800:OFFSET(K800,$B$6-1,0))*$B$9/(4*LN(2)))</f>
        <v>#DIV/0!</v>
      </c>
      <c r="N800" s="3" t="e">
        <f ca="1">SQRT(AVERAGE(K800:OFFSET(K800,$B$7-1,0))*$B$9/(4*LN(2)))</f>
        <v>#DIV/0!</v>
      </c>
      <c r="O800" s="3" t="e">
        <f ca="1">SQRT(AVERAGE(K800:OFFSET(K800,$B$8-1,0))*$B$9/(4*LN(2)))</f>
        <v>#DIV/0!</v>
      </c>
      <c r="Q800" s="5" t="e">
        <f t="shared" si="68"/>
        <v>#DIV/0!</v>
      </c>
      <c r="R800" s="5" t="e">
        <f ca="1">SQRT($B$9*AVERAGE((Q800:OFFSET(Q800,$B$5-1,0))))</f>
        <v>#DIV/0!</v>
      </c>
      <c r="S800" s="5" t="e">
        <f ca="1">SQRT($B$9*AVERAGE((Q800:OFFSET(Q800,$B$6-1,0))))</f>
        <v>#DIV/0!</v>
      </c>
      <c r="T800" s="5" t="e">
        <f ca="1">SQRT($B$9*AVERAGE((Q800:OFFSET(Q800,$B$7-1,0))))</f>
        <v>#DIV/0!</v>
      </c>
      <c r="U800" s="5" t="e">
        <f ca="1">SQRT($B$9*AVERAGE((Q800:OFFSET(Q800,$B$8-1,0))))</f>
        <v>#DIV/0!</v>
      </c>
      <c r="W800" s="6" t="e">
        <f t="shared" si="67"/>
        <v>#DIV/0!</v>
      </c>
      <c r="X800" s="6" t="e">
        <f ca="1">SQRT($B$9*AVERAGE(W800:OFFSET(W800,$B$5-1,0)))</f>
        <v>#DIV/0!</v>
      </c>
      <c r="Y800" s="6" t="e">
        <f ca="1">SQRT($B$9*AVERAGE(W800:OFFSET(W800,$B$6-1,0)))</f>
        <v>#DIV/0!</v>
      </c>
      <c r="Z800" s="6" t="e">
        <f ca="1">SQRT($B$9*AVERAGE(W800:OFFSET(W800,$B$7-1,0)))</f>
        <v>#DIV/0!</v>
      </c>
      <c r="AA800" s="6" t="e">
        <f ca="1">SQRT($B$9*AVERAGE(W800:OFFSET(W800,$B$8-1,0)))</f>
        <v>#DIV/0!</v>
      </c>
      <c r="AC800" s="34" t="e">
        <f t="shared" si="70"/>
        <v>#DIV/0!</v>
      </c>
      <c r="AD800" s="34" t="e">
        <f ca="1">SQRT($B$9*SUM(AC800:OFFSET(AC800,$B$5-1,0))/($B$5-1))</f>
        <v>#DIV/0!</v>
      </c>
      <c r="AE800" s="34" t="e">
        <f ca="1">SQRT($B$9*SUM(AC800:OFFSET(AC800,$B$6-1,0))/($B$6-1))</f>
        <v>#DIV/0!</v>
      </c>
      <c r="AF800" s="34" t="e">
        <f ca="1">SQRT($B$9*SUM(AC800:OFFSET(AC800,$B$7-1,0))/($B$7-1))</f>
        <v>#DIV/0!</v>
      </c>
      <c r="AG800" s="34" t="e">
        <f ca="1">SQRT($B$9*SUM(AC800:OFFSET(AC800,$B$8-1,0))/($B$8-1))</f>
        <v>#DIV/0!</v>
      </c>
      <c r="AI800" s="1" t="e">
        <f t="shared" si="71"/>
        <v>#DIV/0!</v>
      </c>
      <c r="AJ800" s="4" t="e">
        <f ca="1">SQRT($B$9)*_xlfn.STDEV.S(AI800:OFFSET(AI800,$B$5-1,0))</f>
        <v>#DIV/0!</v>
      </c>
      <c r="AK800" s="4" t="e">
        <f ca="1">SQRT($B$9)*_xlfn.STDEV.S(AI800:OFFSET(AI800,$B$6-1,0))</f>
        <v>#DIV/0!</v>
      </c>
      <c r="AL800" s="4" t="e">
        <f ca="1">SQRT($B$9)*_xlfn.STDEV.S(AI800:OFFSET(AI800,$B$7-1,0))</f>
        <v>#DIV/0!</v>
      </c>
      <c r="AM800" s="4" t="e">
        <f ca="1">SQRT($B$9)*_xlfn.STDEV.S(AI800:OFFSET(AI800,$B$8-1,0))</f>
        <v>#DIV/0!</v>
      </c>
    </row>
    <row r="801" spans="5:39" x14ac:dyDescent="0.2">
      <c r="E801" s="42">
        <v>44274</v>
      </c>
      <c r="F801" s="43"/>
      <c r="G801" s="43"/>
      <c r="H801" s="43"/>
      <c r="I801" s="43"/>
      <c r="K801" s="3" t="e">
        <f t="shared" si="69"/>
        <v>#DIV/0!</v>
      </c>
      <c r="L801" s="3" t="e">
        <f ca="1">SQRT(AVERAGE(K801:OFFSET(K801,$B$5-1,0))*$B$9/(4*LN(2)))</f>
        <v>#DIV/0!</v>
      </c>
      <c r="M801" s="3" t="e">
        <f ca="1">SQRT(AVERAGE(K801:OFFSET(K801,$B$6-1,0))*$B$9/(4*LN(2)))</f>
        <v>#DIV/0!</v>
      </c>
      <c r="N801" s="3" t="e">
        <f ca="1">SQRT(AVERAGE(K801:OFFSET(K801,$B$7-1,0))*$B$9/(4*LN(2)))</f>
        <v>#DIV/0!</v>
      </c>
      <c r="O801" s="3" t="e">
        <f ca="1">SQRT(AVERAGE(K801:OFFSET(K801,$B$8-1,0))*$B$9/(4*LN(2)))</f>
        <v>#DIV/0!</v>
      </c>
      <c r="Q801" s="5" t="e">
        <f t="shared" si="68"/>
        <v>#DIV/0!</v>
      </c>
      <c r="R801" s="5" t="e">
        <f ca="1">SQRT($B$9*AVERAGE((Q801:OFFSET(Q801,$B$5-1,0))))</f>
        <v>#DIV/0!</v>
      </c>
      <c r="S801" s="5" t="e">
        <f ca="1">SQRT($B$9*AVERAGE((Q801:OFFSET(Q801,$B$6-1,0))))</f>
        <v>#DIV/0!</v>
      </c>
      <c r="T801" s="5" t="e">
        <f ca="1">SQRT($B$9*AVERAGE((Q801:OFFSET(Q801,$B$7-1,0))))</f>
        <v>#DIV/0!</v>
      </c>
      <c r="U801" s="5" t="e">
        <f ca="1">SQRT($B$9*AVERAGE((Q801:OFFSET(Q801,$B$8-1,0))))</f>
        <v>#DIV/0!</v>
      </c>
      <c r="W801" s="6" t="e">
        <f t="shared" si="67"/>
        <v>#DIV/0!</v>
      </c>
      <c r="X801" s="6" t="e">
        <f ca="1">SQRT($B$9*AVERAGE(W801:OFFSET(W801,$B$5-1,0)))</f>
        <v>#DIV/0!</v>
      </c>
      <c r="Y801" s="6" t="e">
        <f ca="1">SQRT($B$9*AVERAGE(W801:OFFSET(W801,$B$6-1,0)))</f>
        <v>#DIV/0!</v>
      </c>
      <c r="Z801" s="6" t="e">
        <f ca="1">SQRT($B$9*AVERAGE(W801:OFFSET(W801,$B$7-1,0)))</f>
        <v>#DIV/0!</v>
      </c>
      <c r="AA801" s="6" t="e">
        <f ca="1">SQRT($B$9*AVERAGE(W801:OFFSET(W801,$B$8-1,0)))</f>
        <v>#DIV/0!</v>
      </c>
      <c r="AC801" s="34" t="e">
        <f t="shared" si="70"/>
        <v>#DIV/0!</v>
      </c>
      <c r="AD801" s="34" t="e">
        <f ca="1">SQRT($B$9*SUM(AC801:OFFSET(AC801,$B$5-1,0))/($B$5-1))</f>
        <v>#DIV/0!</v>
      </c>
      <c r="AE801" s="34" t="e">
        <f ca="1">SQRT($B$9*SUM(AC801:OFFSET(AC801,$B$6-1,0))/($B$6-1))</f>
        <v>#DIV/0!</v>
      </c>
      <c r="AF801" s="34" t="e">
        <f ca="1">SQRT($B$9*SUM(AC801:OFFSET(AC801,$B$7-1,0))/($B$7-1))</f>
        <v>#DIV/0!</v>
      </c>
      <c r="AG801" s="34" t="e">
        <f ca="1">SQRT($B$9*SUM(AC801:OFFSET(AC801,$B$8-1,0))/($B$8-1))</f>
        <v>#DIV/0!</v>
      </c>
      <c r="AI801" s="1" t="e">
        <f t="shared" si="71"/>
        <v>#DIV/0!</v>
      </c>
      <c r="AJ801" s="4" t="e">
        <f ca="1">SQRT($B$9)*_xlfn.STDEV.S(AI801:OFFSET(AI801,$B$5-1,0))</f>
        <v>#DIV/0!</v>
      </c>
      <c r="AK801" s="4" t="e">
        <f ca="1">SQRT($B$9)*_xlfn.STDEV.S(AI801:OFFSET(AI801,$B$6-1,0))</f>
        <v>#DIV/0!</v>
      </c>
      <c r="AL801" s="4" t="e">
        <f ca="1">SQRT($B$9)*_xlfn.STDEV.S(AI801:OFFSET(AI801,$B$7-1,0))</f>
        <v>#DIV/0!</v>
      </c>
      <c r="AM801" s="4" t="e">
        <f ca="1">SQRT($B$9)*_xlfn.STDEV.S(AI801:OFFSET(AI801,$B$8-1,0))</f>
        <v>#DIV/0!</v>
      </c>
    </row>
    <row r="802" spans="5:39" x14ac:dyDescent="0.2">
      <c r="E802" s="42">
        <v>44273</v>
      </c>
      <c r="F802" s="43"/>
      <c r="G802" s="43"/>
      <c r="H802" s="43"/>
      <c r="I802" s="43"/>
      <c r="K802" s="3" t="e">
        <f t="shared" si="69"/>
        <v>#DIV/0!</v>
      </c>
      <c r="L802" s="3" t="e">
        <f ca="1">SQRT(AVERAGE(K802:OFFSET(K802,$B$5-1,0))*$B$9/(4*LN(2)))</f>
        <v>#DIV/0!</v>
      </c>
      <c r="M802" s="3" t="e">
        <f ca="1">SQRT(AVERAGE(K802:OFFSET(K802,$B$6-1,0))*$B$9/(4*LN(2)))</f>
        <v>#DIV/0!</v>
      </c>
      <c r="N802" s="3" t="e">
        <f ca="1">SQRT(AVERAGE(K802:OFFSET(K802,$B$7-1,0))*$B$9/(4*LN(2)))</f>
        <v>#DIV/0!</v>
      </c>
      <c r="O802" s="3" t="e">
        <f ca="1">SQRT(AVERAGE(K802:OFFSET(K802,$B$8-1,0))*$B$9/(4*LN(2)))</f>
        <v>#DIV/0!</v>
      </c>
      <c r="Q802" s="5" t="e">
        <f t="shared" si="68"/>
        <v>#DIV/0!</v>
      </c>
      <c r="R802" s="5" t="e">
        <f ca="1">SQRT($B$9*AVERAGE((Q802:OFFSET(Q802,$B$5-1,0))))</f>
        <v>#DIV/0!</v>
      </c>
      <c r="S802" s="5" t="e">
        <f ca="1">SQRT($B$9*AVERAGE((Q802:OFFSET(Q802,$B$6-1,0))))</f>
        <v>#DIV/0!</v>
      </c>
      <c r="T802" s="5" t="e">
        <f ca="1">SQRT($B$9*AVERAGE((Q802:OFFSET(Q802,$B$7-1,0))))</f>
        <v>#DIV/0!</v>
      </c>
      <c r="U802" s="5" t="e">
        <f ca="1">SQRT($B$9*AVERAGE((Q802:OFFSET(Q802,$B$8-1,0))))</f>
        <v>#DIV/0!</v>
      </c>
      <c r="W802" s="6" t="e">
        <f t="shared" si="67"/>
        <v>#DIV/0!</v>
      </c>
      <c r="X802" s="6" t="e">
        <f ca="1">SQRT($B$9*AVERAGE(W802:OFFSET(W802,$B$5-1,0)))</f>
        <v>#DIV/0!</v>
      </c>
      <c r="Y802" s="6" t="e">
        <f ca="1">SQRT($B$9*AVERAGE(W802:OFFSET(W802,$B$6-1,0)))</f>
        <v>#DIV/0!</v>
      </c>
      <c r="Z802" s="6" t="e">
        <f ca="1">SQRT($B$9*AVERAGE(W802:OFFSET(W802,$B$7-1,0)))</f>
        <v>#DIV/0!</v>
      </c>
      <c r="AA802" s="6" t="e">
        <f ca="1">SQRT($B$9*AVERAGE(W802:OFFSET(W802,$B$8-1,0)))</f>
        <v>#DIV/0!</v>
      </c>
      <c r="AC802" s="34" t="e">
        <f t="shared" si="70"/>
        <v>#DIV/0!</v>
      </c>
      <c r="AD802" s="34" t="e">
        <f ca="1">SQRT($B$9*SUM(AC802:OFFSET(AC802,$B$5-1,0))/($B$5-1))</f>
        <v>#DIV/0!</v>
      </c>
      <c r="AE802" s="34" t="e">
        <f ca="1">SQRT($B$9*SUM(AC802:OFFSET(AC802,$B$6-1,0))/($B$6-1))</f>
        <v>#DIV/0!</v>
      </c>
      <c r="AF802" s="34" t="e">
        <f ca="1">SQRT($B$9*SUM(AC802:OFFSET(AC802,$B$7-1,0))/($B$7-1))</f>
        <v>#DIV/0!</v>
      </c>
      <c r="AG802" s="34" t="e">
        <f ca="1">SQRT($B$9*SUM(AC802:OFFSET(AC802,$B$8-1,0))/($B$8-1))</f>
        <v>#DIV/0!</v>
      </c>
      <c r="AI802" s="1" t="e">
        <f t="shared" si="71"/>
        <v>#DIV/0!</v>
      </c>
      <c r="AJ802" s="4" t="e">
        <f ca="1">SQRT($B$9)*_xlfn.STDEV.S(AI802:OFFSET(AI802,$B$5-1,0))</f>
        <v>#DIV/0!</v>
      </c>
      <c r="AK802" s="4" t="e">
        <f ca="1">SQRT($B$9)*_xlfn.STDEV.S(AI802:OFFSET(AI802,$B$6-1,0))</f>
        <v>#DIV/0!</v>
      </c>
      <c r="AL802" s="4" t="e">
        <f ca="1">SQRT($B$9)*_xlfn.STDEV.S(AI802:OFFSET(AI802,$B$7-1,0))</f>
        <v>#DIV/0!</v>
      </c>
      <c r="AM802" s="4" t="e">
        <f ca="1">SQRT($B$9)*_xlfn.STDEV.S(AI802:OFFSET(AI802,$B$8-1,0))</f>
        <v>#DIV/0!</v>
      </c>
    </row>
    <row r="803" spans="5:39" x14ac:dyDescent="0.2">
      <c r="E803" s="42">
        <v>44272</v>
      </c>
      <c r="F803" s="43"/>
      <c r="G803" s="43"/>
      <c r="H803" s="43"/>
      <c r="I803" s="43"/>
      <c r="K803" s="3" t="e">
        <f t="shared" si="69"/>
        <v>#DIV/0!</v>
      </c>
      <c r="L803" s="3" t="e">
        <f ca="1">SQRT(AVERAGE(K803:OFFSET(K803,$B$5-1,0))*$B$9/(4*LN(2)))</f>
        <v>#DIV/0!</v>
      </c>
      <c r="M803" s="3" t="e">
        <f ca="1">SQRT(AVERAGE(K803:OFFSET(K803,$B$6-1,0))*$B$9/(4*LN(2)))</f>
        <v>#DIV/0!</v>
      </c>
      <c r="N803" s="3" t="e">
        <f ca="1">SQRT(AVERAGE(K803:OFFSET(K803,$B$7-1,0))*$B$9/(4*LN(2)))</f>
        <v>#DIV/0!</v>
      </c>
      <c r="O803" s="3" t="e">
        <f ca="1">SQRT(AVERAGE(K803:OFFSET(K803,$B$8-1,0))*$B$9/(4*LN(2)))</f>
        <v>#DIV/0!</v>
      </c>
      <c r="Q803" s="5" t="e">
        <f t="shared" si="68"/>
        <v>#DIV/0!</v>
      </c>
      <c r="R803" s="5" t="e">
        <f ca="1">SQRT($B$9*AVERAGE((Q803:OFFSET(Q803,$B$5-1,0))))</f>
        <v>#DIV/0!</v>
      </c>
      <c r="S803" s="5" t="e">
        <f ca="1">SQRT($B$9*AVERAGE((Q803:OFFSET(Q803,$B$6-1,0))))</f>
        <v>#DIV/0!</v>
      </c>
      <c r="T803" s="5" t="e">
        <f ca="1">SQRT($B$9*AVERAGE((Q803:OFFSET(Q803,$B$7-1,0))))</f>
        <v>#DIV/0!</v>
      </c>
      <c r="U803" s="5" t="e">
        <f ca="1">SQRT($B$9*AVERAGE((Q803:OFFSET(Q803,$B$8-1,0))))</f>
        <v>#DIV/0!</v>
      </c>
      <c r="W803" s="6" t="e">
        <f t="shared" si="67"/>
        <v>#DIV/0!</v>
      </c>
      <c r="X803" s="6" t="e">
        <f ca="1">SQRT($B$9*AVERAGE(W803:OFFSET(W803,$B$5-1,0)))</f>
        <v>#DIV/0!</v>
      </c>
      <c r="Y803" s="6" t="e">
        <f ca="1">SQRT($B$9*AVERAGE(W803:OFFSET(W803,$B$6-1,0)))</f>
        <v>#DIV/0!</v>
      </c>
      <c r="Z803" s="6" t="e">
        <f ca="1">SQRT($B$9*AVERAGE(W803:OFFSET(W803,$B$7-1,0)))</f>
        <v>#DIV/0!</v>
      </c>
      <c r="AA803" s="6" t="e">
        <f ca="1">SQRT($B$9*AVERAGE(W803:OFFSET(W803,$B$8-1,0)))</f>
        <v>#DIV/0!</v>
      </c>
      <c r="AC803" s="34" t="e">
        <f t="shared" si="70"/>
        <v>#DIV/0!</v>
      </c>
      <c r="AD803" s="34" t="e">
        <f ca="1">SQRT($B$9*SUM(AC803:OFFSET(AC803,$B$5-1,0))/($B$5-1))</f>
        <v>#DIV/0!</v>
      </c>
      <c r="AE803" s="34" t="e">
        <f ca="1">SQRT($B$9*SUM(AC803:OFFSET(AC803,$B$6-1,0))/($B$6-1))</f>
        <v>#DIV/0!</v>
      </c>
      <c r="AF803" s="34" t="e">
        <f ca="1">SQRT($B$9*SUM(AC803:OFFSET(AC803,$B$7-1,0))/($B$7-1))</f>
        <v>#DIV/0!</v>
      </c>
      <c r="AG803" s="34" t="e">
        <f ca="1">SQRT($B$9*SUM(AC803:OFFSET(AC803,$B$8-1,0))/($B$8-1))</f>
        <v>#DIV/0!</v>
      </c>
      <c r="AI803" s="1" t="e">
        <f t="shared" si="71"/>
        <v>#DIV/0!</v>
      </c>
      <c r="AJ803" s="4" t="e">
        <f ca="1">SQRT($B$9)*_xlfn.STDEV.S(AI803:OFFSET(AI803,$B$5-1,0))</f>
        <v>#DIV/0!</v>
      </c>
      <c r="AK803" s="4" t="e">
        <f ca="1">SQRT($B$9)*_xlfn.STDEV.S(AI803:OFFSET(AI803,$B$6-1,0))</f>
        <v>#DIV/0!</v>
      </c>
      <c r="AL803" s="4" t="e">
        <f ca="1">SQRT($B$9)*_xlfn.STDEV.S(AI803:OFFSET(AI803,$B$7-1,0))</f>
        <v>#DIV/0!</v>
      </c>
      <c r="AM803" s="4" t="e">
        <f ca="1">SQRT($B$9)*_xlfn.STDEV.S(AI803:OFFSET(AI803,$B$8-1,0))</f>
        <v>#DIV/0!</v>
      </c>
    </row>
    <row r="804" spans="5:39" x14ac:dyDescent="0.2">
      <c r="E804" s="42">
        <v>44271</v>
      </c>
      <c r="F804" s="43"/>
      <c r="G804" s="43"/>
      <c r="H804" s="43"/>
      <c r="I804" s="43"/>
      <c r="K804" s="3" t="e">
        <f t="shared" si="69"/>
        <v>#DIV/0!</v>
      </c>
      <c r="L804" s="3" t="e">
        <f ca="1">SQRT(AVERAGE(K804:OFFSET(K804,$B$5-1,0))*$B$9/(4*LN(2)))</f>
        <v>#DIV/0!</v>
      </c>
      <c r="M804" s="3" t="e">
        <f ca="1">SQRT(AVERAGE(K804:OFFSET(K804,$B$6-1,0))*$B$9/(4*LN(2)))</f>
        <v>#DIV/0!</v>
      </c>
      <c r="N804" s="3" t="e">
        <f ca="1">SQRT(AVERAGE(K804:OFFSET(K804,$B$7-1,0))*$B$9/(4*LN(2)))</f>
        <v>#DIV/0!</v>
      </c>
      <c r="O804" s="3" t="e">
        <f ca="1">SQRT(AVERAGE(K804:OFFSET(K804,$B$8-1,0))*$B$9/(4*LN(2)))</f>
        <v>#DIV/0!</v>
      </c>
      <c r="Q804" s="5" t="e">
        <f t="shared" si="68"/>
        <v>#DIV/0!</v>
      </c>
      <c r="R804" s="5" t="e">
        <f ca="1">SQRT($B$9*AVERAGE((Q804:OFFSET(Q804,$B$5-1,0))))</f>
        <v>#DIV/0!</v>
      </c>
      <c r="S804" s="5" t="e">
        <f ca="1">SQRT($B$9*AVERAGE((Q804:OFFSET(Q804,$B$6-1,0))))</f>
        <v>#DIV/0!</v>
      </c>
      <c r="T804" s="5" t="e">
        <f ca="1">SQRT($B$9*AVERAGE((Q804:OFFSET(Q804,$B$7-1,0))))</f>
        <v>#DIV/0!</v>
      </c>
      <c r="U804" s="5" t="e">
        <f ca="1">SQRT($B$9*AVERAGE((Q804:OFFSET(Q804,$B$8-1,0))))</f>
        <v>#DIV/0!</v>
      </c>
      <c r="W804" s="6" t="e">
        <f t="shared" si="67"/>
        <v>#DIV/0!</v>
      </c>
      <c r="X804" s="6" t="e">
        <f ca="1">SQRT($B$9*AVERAGE(W804:OFFSET(W804,$B$5-1,0)))</f>
        <v>#DIV/0!</v>
      </c>
      <c r="Y804" s="6" t="e">
        <f ca="1">SQRT($B$9*AVERAGE(W804:OFFSET(W804,$B$6-1,0)))</f>
        <v>#DIV/0!</v>
      </c>
      <c r="Z804" s="6" t="e">
        <f ca="1">SQRT($B$9*AVERAGE(W804:OFFSET(W804,$B$7-1,0)))</f>
        <v>#DIV/0!</v>
      </c>
      <c r="AA804" s="6" t="e">
        <f ca="1">SQRT($B$9*AVERAGE(W804:OFFSET(W804,$B$8-1,0)))</f>
        <v>#DIV/0!</v>
      </c>
      <c r="AC804" s="34" t="e">
        <f t="shared" si="70"/>
        <v>#DIV/0!</v>
      </c>
      <c r="AD804" s="34" t="e">
        <f ca="1">SQRT($B$9*SUM(AC804:OFFSET(AC804,$B$5-1,0))/($B$5-1))</f>
        <v>#DIV/0!</v>
      </c>
      <c r="AE804" s="34" t="e">
        <f ca="1">SQRT($B$9*SUM(AC804:OFFSET(AC804,$B$6-1,0))/($B$6-1))</f>
        <v>#DIV/0!</v>
      </c>
      <c r="AF804" s="34" t="e">
        <f ca="1">SQRT($B$9*SUM(AC804:OFFSET(AC804,$B$7-1,0))/($B$7-1))</f>
        <v>#DIV/0!</v>
      </c>
      <c r="AG804" s="34" t="e">
        <f ca="1">SQRT($B$9*SUM(AC804:OFFSET(AC804,$B$8-1,0))/($B$8-1))</f>
        <v>#DIV/0!</v>
      </c>
      <c r="AI804" s="1" t="e">
        <f t="shared" si="71"/>
        <v>#DIV/0!</v>
      </c>
      <c r="AJ804" s="4" t="e">
        <f ca="1">SQRT($B$9)*_xlfn.STDEV.S(AI804:OFFSET(AI804,$B$5-1,0))</f>
        <v>#DIV/0!</v>
      </c>
      <c r="AK804" s="4" t="e">
        <f ca="1">SQRT($B$9)*_xlfn.STDEV.S(AI804:OFFSET(AI804,$B$6-1,0))</f>
        <v>#DIV/0!</v>
      </c>
      <c r="AL804" s="4" t="e">
        <f ca="1">SQRT($B$9)*_xlfn.STDEV.S(AI804:OFFSET(AI804,$B$7-1,0))</f>
        <v>#DIV/0!</v>
      </c>
      <c r="AM804" s="4" t="e">
        <f ca="1">SQRT($B$9)*_xlfn.STDEV.S(AI804:OFFSET(AI804,$B$8-1,0))</f>
        <v>#DIV/0!</v>
      </c>
    </row>
    <row r="805" spans="5:39" x14ac:dyDescent="0.2">
      <c r="E805" s="42">
        <v>44270</v>
      </c>
      <c r="F805" s="43"/>
      <c r="G805" s="43"/>
      <c r="H805" s="43"/>
      <c r="I805" s="43"/>
      <c r="K805" s="3" t="e">
        <f t="shared" si="69"/>
        <v>#DIV/0!</v>
      </c>
      <c r="L805" s="3" t="e">
        <f ca="1">SQRT(AVERAGE(K805:OFFSET(K805,$B$5-1,0))*$B$9/(4*LN(2)))</f>
        <v>#DIV/0!</v>
      </c>
      <c r="M805" s="3" t="e">
        <f ca="1">SQRT(AVERAGE(K805:OFFSET(K805,$B$6-1,0))*$B$9/(4*LN(2)))</f>
        <v>#DIV/0!</v>
      </c>
      <c r="N805" s="3" t="e">
        <f ca="1">SQRT(AVERAGE(K805:OFFSET(K805,$B$7-1,0))*$B$9/(4*LN(2)))</f>
        <v>#DIV/0!</v>
      </c>
      <c r="O805" s="3" t="e">
        <f ca="1">SQRT(AVERAGE(K805:OFFSET(K805,$B$8-1,0))*$B$9/(4*LN(2)))</f>
        <v>#DIV/0!</v>
      </c>
      <c r="Q805" s="5" t="e">
        <f t="shared" si="68"/>
        <v>#DIV/0!</v>
      </c>
      <c r="R805" s="5" t="e">
        <f ca="1">SQRT($B$9*AVERAGE((Q805:OFFSET(Q805,$B$5-1,0))))</f>
        <v>#DIV/0!</v>
      </c>
      <c r="S805" s="5" t="e">
        <f ca="1">SQRT($B$9*AVERAGE((Q805:OFFSET(Q805,$B$6-1,0))))</f>
        <v>#DIV/0!</v>
      </c>
      <c r="T805" s="5" t="e">
        <f ca="1">SQRT($B$9*AVERAGE((Q805:OFFSET(Q805,$B$7-1,0))))</f>
        <v>#DIV/0!</v>
      </c>
      <c r="U805" s="5" t="e">
        <f ca="1">SQRT($B$9*AVERAGE((Q805:OFFSET(Q805,$B$8-1,0))))</f>
        <v>#DIV/0!</v>
      </c>
      <c r="W805" s="6" t="e">
        <f t="shared" si="67"/>
        <v>#DIV/0!</v>
      </c>
      <c r="X805" s="6" t="e">
        <f ca="1">SQRT($B$9*AVERAGE(W805:OFFSET(W805,$B$5-1,0)))</f>
        <v>#DIV/0!</v>
      </c>
      <c r="Y805" s="6" t="e">
        <f ca="1">SQRT($B$9*AVERAGE(W805:OFFSET(W805,$B$6-1,0)))</f>
        <v>#DIV/0!</v>
      </c>
      <c r="Z805" s="6" t="e">
        <f ca="1">SQRT($B$9*AVERAGE(W805:OFFSET(W805,$B$7-1,0)))</f>
        <v>#DIV/0!</v>
      </c>
      <c r="AA805" s="6" t="e">
        <f ca="1">SQRT($B$9*AVERAGE(W805:OFFSET(W805,$B$8-1,0)))</f>
        <v>#DIV/0!</v>
      </c>
      <c r="AC805" s="34" t="e">
        <f t="shared" si="70"/>
        <v>#DIV/0!</v>
      </c>
      <c r="AD805" s="34" t="e">
        <f ca="1">SQRT($B$9*SUM(AC805:OFFSET(AC805,$B$5-1,0))/($B$5-1))</f>
        <v>#DIV/0!</v>
      </c>
      <c r="AE805" s="34" t="e">
        <f ca="1">SQRT($B$9*SUM(AC805:OFFSET(AC805,$B$6-1,0))/($B$6-1))</f>
        <v>#DIV/0!</v>
      </c>
      <c r="AF805" s="34" t="e">
        <f ca="1">SQRT($B$9*SUM(AC805:OFFSET(AC805,$B$7-1,0))/($B$7-1))</f>
        <v>#DIV/0!</v>
      </c>
      <c r="AG805" s="34" t="e">
        <f ca="1">SQRT($B$9*SUM(AC805:OFFSET(AC805,$B$8-1,0))/($B$8-1))</f>
        <v>#DIV/0!</v>
      </c>
      <c r="AI805" s="1" t="e">
        <f t="shared" si="71"/>
        <v>#DIV/0!</v>
      </c>
      <c r="AJ805" s="4" t="e">
        <f ca="1">SQRT($B$9)*_xlfn.STDEV.S(AI805:OFFSET(AI805,$B$5-1,0))</f>
        <v>#DIV/0!</v>
      </c>
      <c r="AK805" s="4" t="e">
        <f ca="1">SQRT($B$9)*_xlfn.STDEV.S(AI805:OFFSET(AI805,$B$6-1,0))</f>
        <v>#DIV/0!</v>
      </c>
      <c r="AL805" s="4" t="e">
        <f ca="1">SQRT($B$9)*_xlfn.STDEV.S(AI805:OFFSET(AI805,$B$7-1,0))</f>
        <v>#DIV/0!</v>
      </c>
      <c r="AM805" s="4" t="e">
        <f ca="1">SQRT($B$9)*_xlfn.STDEV.S(AI805:OFFSET(AI805,$B$8-1,0))</f>
        <v>#DIV/0!</v>
      </c>
    </row>
    <row r="806" spans="5:39" x14ac:dyDescent="0.2">
      <c r="E806" s="42">
        <v>44267</v>
      </c>
      <c r="F806" s="43"/>
      <c r="G806" s="43"/>
      <c r="H806" s="43"/>
      <c r="I806" s="43"/>
      <c r="K806" s="3" t="e">
        <f t="shared" si="69"/>
        <v>#DIV/0!</v>
      </c>
      <c r="L806" s="3" t="e">
        <f ca="1">SQRT(AVERAGE(K806:OFFSET(K806,$B$5-1,0))*$B$9/(4*LN(2)))</f>
        <v>#DIV/0!</v>
      </c>
      <c r="M806" s="3" t="e">
        <f ca="1">SQRT(AVERAGE(K806:OFFSET(K806,$B$6-1,0))*$B$9/(4*LN(2)))</f>
        <v>#DIV/0!</v>
      </c>
      <c r="N806" s="3" t="e">
        <f ca="1">SQRT(AVERAGE(K806:OFFSET(K806,$B$7-1,0))*$B$9/(4*LN(2)))</f>
        <v>#DIV/0!</v>
      </c>
      <c r="O806" s="3" t="e">
        <f ca="1">SQRT(AVERAGE(K806:OFFSET(K806,$B$8-1,0))*$B$9/(4*LN(2)))</f>
        <v>#DIV/0!</v>
      </c>
      <c r="Q806" s="5" t="e">
        <f t="shared" si="68"/>
        <v>#DIV/0!</v>
      </c>
      <c r="R806" s="5" t="e">
        <f ca="1">SQRT($B$9*AVERAGE((Q806:OFFSET(Q806,$B$5-1,0))))</f>
        <v>#DIV/0!</v>
      </c>
      <c r="S806" s="5" t="e">
        <f ca="1">SQRT($B$9*AVERAGE((Q806:OFFSET(Q806,$B$6-1,0))))</f>
        <v>#DIV/0!</v>
      </c>
      <c r="T806" s="5" t="e">
        <f ca="1">SQRT($B$9*AVERAGE((Q806:OFFSET(Q806,$B$7-1,0))))</f>
        <v>#DIV/0!</v>
      </c>
      <c r="U806" s="5" t="e">
        <f ca="1">SQRT($B$9*AVERAGE((Q806:OFFSET(Q806,$B$8-1,0))))</f>
        <v>#DIV/0!</v>
      </c>
      <c r="W806" s="6" t="e">
        <f t="shared" si="67"/>
        <v>#DIV/0!</v>
      </c>
      <c r="X806" s="6" t="e">
        <f ca="1">SQRT($B$9*AVERAGE(W806:OFFSET(W806,$B$5-1,0)))</f>
        <v>#DIV/0!</v>
      </c>
      <c r="Y806" s="6" t="e">
        <f ca="1">SQRT($B$9*AVERAGE(W806:OFFSET(W806,$B$6-1,0)))</f>
        <v>#DIV/0!</v>
      </c>
      <c r="Z806" s="6" t="e">
        <f ca="1">SQRT($B$9*AVERAGE(W806:OFFSET(W806,$B$7-1,0)))</f>
        <v>#DIV/0!</v>
      </c>
      <c r="AA806" s="6" t="e">
        <f ca="1">SQRT($B$9*AVERAGE(W806:OFFSET(W806,$B$8-1,0)))</f>
        <v>#DIV/0!</v>
      </c>
      <c r="AC806" s="34" t="e">
        <f t="shared" si="70"/>
        <v>#DIV/0!</v>
      </c>
      <c r="AD806" s="34" t="e">
        <f ca="1">SQRT($B$9*SUM(AC806:OFFSET(AC806,$B$5-1,0))/($B$5-1))</f>
        <v>#DIV/0!</v>
      </c>
      <c r="AE806" s="34" t="e">
        <f ca="1">SQRT($B$9*SUM(AC806:OFFSET(AC806,$B$6-1,0))/($B$6-1))</f>
        <v>#DIV/0!</v>
      </c>
      <c r="AF806" s="34" t="e">
        <f ca="1">SQRT($B$9*SUM(AC806:OFFSET(AC806,$B$7-1,0))/($B$7-1))</f>
        <v>#DIV/0!</v>
      </c>
      <c r="AG806" s="34" t="e">
        <f ca="1">SQRT($B$9*SUM(AC806:OFFSET(AC806,$B$8-1,0))/($B$8-1))</f>
        <v>#DIV/0!</v>
      </c>
      <c r="AI806" s="1" t="e">
        <f t="shared" si="71"/>
        <v>#DIV/0!</v>
      </c>
      <c r="AJ806" s="4" t="e">
        <f ca="1">SQRT($B$9)*_xlfn.STDEV.S(AI806:OFFSET(AI806,$B$5-1,0))</f>
        <v>#DIV/0!</v>
      </c>
      <c r="AK806" s="4" t="e">
        <f ca="1">SQRT($B$9)*_xlfn.STDEV.S(AI806:OFFSET(AI806,$B$6-1,0))</f>
        <v>#DIV/0!</v>
      </c>
      <c r="AL806" s="4" t="e">
        <f ca="1">SQRT($B$9)*_xlfn.STDEV.S(AI806:OFFSET(AI806,$B$7-1,0))</f>
        <v>#DIV/0!</v>
      </c>
      <c r="AM806" s="4" t="e">
        <f ca="1">SQRT($B$9)*_xlfn.STDEV.S(AI806:OFFSET(AI806,$B$8-1,0))</f>
        <v>#DIV/0!</v>
      </c>
    </row>
    <row r="807" spans="5:39" x14ac:dyDescent="0.2">
      <c r="E807" s="42">
        <v>44266</v>
      </c>
      <c r="F807" s="43"/>
      <c r="G807" s="43"/>
      <c r="H807" s="43"/>
      <c r="I807" s="43"/>
      <c r="K807" s="3" t="e">
        <f t="shared" si="69"/>
        <v>#DIV/0!</v>
      </c>
      <c r="L807" s="3" t="e">
        <f ca="1">SQRT(AVERAGE(K807:OFFSET(K807,$B$5-1,0))*$B$9/(4*LN(2)))</f>
        <v>#DIV/0!</v>
      </c>
      <c r="M807" s="3" t="e">
        <f ca="1">SQRT(AVERAGE(K807:OFFSET(K807,$B$6-1,0))*$B$9/(4*LN(2)))</f>
        <v>#DIV/0!</v>
      </c>
      <c r="N807" s="3" t="e">
        <f ca="1">SQRT(AVERAGE(K807:OFFSET(K807,$B$7-1,0))*$B$9/(4*LN(2)))</f>
        <v>#DIV/0!</v>
      </c>
      <c r="O807" s="3" t="e">
        <f ca="1">SQRT(AVERAGE(K807:OFFSET(K807,$B$8-1,0))*$B$9/(4*LN(2)))</f>
        <v>#DIV/0!</v>
      </c>
      <c r="Q807" s="5" t="e">
        <f t="shared" si="68"/>
        <v>#DIV/0!</v>
      </c>
      <c r="R807" s="5" t="e">
        <f ca="1">SQRT($B$9*AVERAGE((Q807:OFFSET(Q807,$B$5-1,0))))</f>
        <v>#DIV/0!</v>
      </c>
      <c r="S807" s="5" t="e">
        <f ca="1">SQRT($B$9*AVERAGE((Q807:OFFSET(Q807,$B$6-1,0))))</f>
        <v>#DIV/0!</v>
      </c>
      <c r="T807" s="5" t="e">
        <f ca="1">SQRT($B$9*AVERAGE((Q807:OFFSET(Q807,$B$7-1,0))))</f>
        <v>#DIV/0!</v>
      </c>
      <c r="U807" s="5" t="e">
        <f ca="1">SQRT($B$9*AVERAGE((Q807:OFFSET(Q807,$B$8-1,0))))</f>
        <v>#DIV/0!</v>
      </c>
      <c r="W807" s="6" t="e">
        <f t="shared" ref="W807:W870" si="72">LN(G807/I807)*LN(G807/F807)+LN(H807/I807)*LN(H807/F807)</f>
        <v>#DIV/0!</v>
      </c>
      <c r="X807" s="6" t="e">
        <f ca="1">SQRT($B$9*AVERAGE(W807:OFFSET(W807,$B$5-1,0)))</f>
        <v>#DIV/0!</v>
      </c>
      <c r="Y807" s="6" t="e">
        <f ca="1">SQRT($B$9*AVERAGE(W807:OFFSET(W807,$B$6-1,0)))</f>
        <v>#DIV/0!</v>
      </c>
      <c r="Z807" s="6" t="e">
        <f ca="1">SQRT($B$9*AVERAGE(W807:OFFSET(W807,$B$7-1,0)))</f>
        <v>#DIV/0!</v>
      </c>
      <c r="AA807" s="6" t="e">
        <f ca="1">SQRT($B$9*AVERAGE(W807:OFFSET(W807,$B$8-1,0)))</f>
        <v>#DIV/0!</v>
      </c>
      <c r="AC807" s="34" t="e">
        <f t="shared" si="70"/>
        <v>#DIV/0!</v>
      </c>
      <c r="AD807" s="34" t="e">
        <f ca="1">SQRT($B$9*SUM(AC807:OFFSET(AC807,$B$5-1,0))/($B$5-1))</f>
        <v>#DIV/0!</v>
      </c>
      <c r="AE807" s="34" t="e">
        <f ca="1">SQRT($B$9*SUM(AC807:OFFSET(AC807,$B$6-1,0))/($B$6-1))</f>
        <v>#DIV/0!</v>
      </c>
      <c r="AF807" s="34" t="e">
        <f ca="1">SQRT($B$9*SUM(AC807:OFFSET(AC807,$B$7-1,0))/($B$7-1))</f>
        <v>#DIV/0!</v>
      </c>
      <c r="AG807" s="34" t="e">
        <f ca="1">SQRT($B$9*SUM(AC807:OFFSET(AC807,$B$8-1,0))/($B$8-1))</f>
        <v>#DIV/0!</v>
      </c>
      <c r="AI807" s="1" t="e">
        <f t="shared" si="71"/>
        <v>#DIV/0!</v>
      </c>
      <c r="AJ807" s="4" t="e">
        <f ca="1">SQRT($B$9)*_xlfn.STDEV.S(AI807:OFFSET(AI807,$B$5-1,0))</f>
        <v>#DIV/0!</v>
      </c>
      <c r="AK807" s="4" t="e">
        <f ca="1">SQRT($B$9)*_xlfn.STDEV.S(AI807:OFFSET(AI807,$B$6-1,0))</f>
        <v>#DIV/0!</v>
      </c>
      <c r="AL807" s="4" t="e">
        <f ca="1">SQRT($B$9)*_xlfn.STDEV.S(AI807:OFFSET(AI807,$B$7-1,0))</f>
        <v>#DIV/0!</v>
      </c>
      <c r="AM807" s="4" t="e">
        <f ca="1">SQRT($B$9)*_xlfn.STDEV.S(AI807:OFFSET(AI807,$B$8-1,0))</f>
        <v>#DIV/0!</v>
      </c>
    </row>
    <row r="808" spans="5:39" x14ac:dyDescent="0.2">
      <c r="E808" s="42">
        <v>44265</v>
      </c>
      <c r="F808" s="43"/>
      <c r="G808" s="43"/>
      <c r="H808" s="43"/>
      <c r="I808" s="43"/>
      <c r="K808" s="3" t="e">
        <f t="shared" si="69"/>
        <v>#DIV/0!</v>
      </c>
      <c r="L808" s="3" t="e">
        <f ca="1">SQRT(AVERAGE(K808:OFFSET(K808,$B$5-1,0))*$B$9/(4*LN(2)))</f>
        <v>#DIV/0!</v>
      </c>
      <c r="M808" s="3" t="e">
        <f ca="1">SQRT(AVERAGE(K808:OFFSET(K808,$B$6-1,0))*$B$9/(4*LN(2)))</f>
        <v>#DIV/0!</v>
      </c>
      <c r="N808" s="3" t="e">
        <f ca="1">SQRT(AVERAGE(K808:OFFSET(K808,$B$7-1,0))*$B$9/(4*LN(2)))</f>
        <v>#DIV/0!</v>
      </c>
      <c r="O808" s="3" t="e">
        <f ca="1">SQRT(AVERAGE(K808:OFFSET(K808,$B$8-1,0))*$B$9/(4*LN(2)))</f>
        <v>#DIV/0!</v>
      </c>
      <c r="Q808" s="5" t="e">
        <f t="shared" si="68"/>
        <v>#DIV/0!</v>
      </c>
      <c r="R808" s="5" t="e">
        <f ca="1">SQRT($B$9*AVERAGE((Q808:OFFSET(Q808,$B$5-1,0))))</f>
        <v>#DIV/0!</v>
      </c>
      <c r="S808" s="5" t="e">
        <f ca="1">SQRT($B$9*AVERAGE((Q808:OFFSET(Q808,$B$6-1,0))))</f>
        <v>#DIV/0!</v>
      </c>
      <c r="T808" s="5" t="e">
        <f ca="1">SQRT($B$9*AVERAGE((Q808:OFFSET(Q808,$B$7-1,0))))</f>
        <v>#DIV/0!</v>
      </c>
      <c r="U808" s="5" t="e">
        <f ca="1">SQRT($B$9*AVERAGE((Q808:OFFSET(Q808,$B$8-1,0))))</f>
        <v>#DIV/0!</v>
      </c>
      <c r="W808" s="6" t="e">
        <f t="shared" si="72"/>
        <v>#DIV/0!</v>
      </c>
      <c r="X808" s="6" t="e">
        <f ca="1">SQRT($B$9*AVERAGE(W808:OFFSET(W808,$B$5-1,0)))</f>
        <v>#DIV/0!</v>
      </c>
      <c r="Y808" s="6" t="e">
        <f ca="1">SQRT($B$9*AVERAGE(W808:OFFSET(W808,$B$6-1,0)))</f>
        <v>#DIV/0!</v>
      </c>
      <c r="Z808" s="6" t="e">
        <f ca="1">SQRT($B$9*AVERAGE(W808:OFFSET(W808,$B$7-1,0)))</f>
        <v>#DIV/0!</v>
      </c>
      <c r="AA808" s="6" t="e">
        <f ca="1">SQRT($B$9*AVERAGE(W808:OFFSET(W808,$B$8-1,0)))</f>
        <v>#DIV/0!</v>
      </c>
      <c r="AC808" s="34" t="e">
        <f t="shared" si="70"/>
        <v>#DIV/0!</v>
      </c>
      <c r="AD808" s="34" t="e">
        <f ca="1">SQRT($B$9*SUM(AC808:OFFSET(AC808,$B$5-1,0))/($B$5-1))</f>
        <v>#DIV/0!</v>
      </c>
      <c r="AE808" s="34" t="e">
        <f ca="1">SQRT($B$9*SUM(AC808:OFFSET(AC808,$B$6-1,0))/($B$6-1))</f>
        <v>#DIV/0!</v>
      </c>
      <c r="AF808" s="34" t="e">
        <f ca="1">SQRT($B$9*SUM(AC808:OFFSET(AC808,$B$7-1,0))/($B$7-1))</f>
        <v>#DIV/0!</v>
      </c>
      <c r="AG808" s="34" t="e">
        <f ca="1">SQRT($B$9*SUM(AC808:OFFSET(AC808,$B$8-1,0))/($B$8-1))</f>
        <v>#DIV/0!</v>
      </c>
      <c r="AI808" s="1" t="e">
        <f t="shared" si="71"/>
        <v>#DIV/0!</v>
      </c>
      <c r="AJ808" s="4" t="e">
        <f ca="1">SQRT($B$9)*_xlfn.STDEV.S(AI808:OFFSET(AI808,$B$5-1,0))</f>
        <v>#DIV/0!</v>
      </c>
      <c r="AK808" s="4" t="e">
        <f ca="1">SQRT($B$9)*_xlfn.STDEV.S(AI808:OFFSET(AI808,$B$6-1,0))</f>
        <v>#DIV/0!</v>
      </c>
      <c r="AL808" s="4" t="e">
        <f ca="1">SQRT($B$9)*_xlfn.STDEV.S(AI808:OFFSET(AI808,$B$7-1,0))</f>
        <v>#DIV/0!</v>
      </c>
      <c r="AM808" s="4" t="e">
        <f ca="1">SQRT($B$9)*_xlfn.STDEV.S(AI808:OFFSET(AI808,$B$8-1,0))</f>
        <v>#DIV/0!</v>
      </c>
    </row>
    <row r="809" spans="5:39" x14ac:dyDescent="0.2">
      <c r="E809" s="42">
        <v>44264</v>
      </c>
      <c r="F809" s="43"/>
      <c r="G809" s="43"/>
      <c r="H809" s="43"/>
      <c r="I809" s="43"/>
      <c r="K809" s="3" t="e">
        <f t="shared" si="69"/>
        <v>#DIV/0!</v>
      </c>
      <c r="L809" s="3" t="e">
        <f ca="1">SQRT(AVERAGE(K809:OFFSET(K809,$B$5-1,0))*$B$9/(4*LN(2)))</f>
        <v>#DIV/0!</v>
      </c>
      <c r="M809" s="3" t="e">
        <f ca="1">SQRT(AVERAGE(K809:OFFSET(K809,$B$6-1,0))*$B$9/(4*LN(2)))</f>
        <v>#DIV/0!</v>
      </c>
      <c r="N809" s="3" t="e">
        <f ca="1">SQRT(AVERAGE(K809:OFFSET(K809,$B$7-1,0))*$B$9/(4*LN(2)))</f>
        <v>#DIV/0!</v>
      </c>
      <c r="O809" s="3" t="e">
        <f ca="1">SQRT(AVERAGE(K809:OFFSET(K809,$B$8-1,0))*$B$9/(4*LN(2)))</f>
        <v>#DIV/0!</v>
      </c>
      <c r="Q809" s="5" t="e">
        <f t="shared" si="68"/>
        <v>#DIV/0!</v>
      </c>
      <c r="R809" s="5" t="e">
        <f ca="1">SQRT($B$9*AVERAGE((Q809:OFFSET(Q809,$B$5-1,0))))</f>
        <v>#DIV/0!</v>
      </c>
      <c r="S809" s="5" t="e">
        <f ca="1">SQRT($B$9*AVERAGE((Q809:OFFSET(Q809,$B$6-1,0))))</f>
        <v>#DIV/0!</v>
      </c>
      <c r="T809" s="5" t="e">
        <f ca="1">SQRT($B$9*AVERAGE((Q809:OFFSET(Q809,$B$7-1,0))))</f>
        <v>#DIV/0!</v>
      </c>
      <c r="U809" s="5" t="e">
        <f ca="1">SQRT($B$9*AVERAGE((Q809:OFFSET(Q809,$B$8-1,0))))</f>
        <v>#DIV/0!</v>
      </c>
      <c r="W809" s="6" t="e">
        <f t="shared" si="72"/>
        <v>#DIV/0!</v>
      </c>
      <c r="X809" s="6" t="e">
        <f ca="1">SQRT($B$9*AVERAGE(W809:OFFSET(W809,$B$5-1,0)))</f>
        <v>#DIV/0!</v>
      </c>
      <c r="Y809" s="6" t="e">
        <f ca="1">SQRT($B$9*AVERAGE(W809:OFFSET(W809,$B$6-1,0)))</f>
        <v>#DIV/0!</v>
      </c>
      <c r="Z809" s="6" t="e">
        <f ca="1">SQRT($B$9*AVERAGE(W809:OFFSET(W809,$B$7-1,0)))</f>
        <v>#DIV/0!</v>
      </c>
      <c r="AA809" s="6" t="e">
        <f ca="1">SQRT($B$9*AVERAGE(W809:OFFSET(W809,$B$8-1,0)))</f>
        <v>#DIV/0!</v>
      </c>
      <c r="AC809" s="34" t="e">
        <f t="shared" si="70"/>
        <v>#DIV/0!</v>
      </c>
      <c r="AD809" s="34" t="e">
        <f ca="1">SQRT($B$9*SUM(AC809:OFFSET(AC809,$B$5-1,0))/($B$5-1))</f>
        <v>#DIV/0!</v>
      </c>
      <c r="AE809" s="34" t="e">
        <f ca="1">SQRT($B$9*SUM(AC809:OFFSET(AC809,$B$6-1,0))/($B$6-1))</f>
        <v>#DIV/0!</v>
      </c>
      <c r="AF809" s="34" t="e">
        <f ca="1">SQRT($B$9*SUM(AC809:OFFSET(AC809,$B$7-1,0))/($B$7-1))</f>
        <v>#DIV/0!</v>
      </c>
      <c r="AG809" s="34" t="e">
        <f ca="1">SQRT($B$9*SUM(AC809:OFFSET(AC809,$B$8-1,0))/($B$8-1))</f>
        <v>#DIV/0!</v>
      </c>
      <c r="AI809" s="1" t="e">
        <f t="shared" si="71"/>
        <v>#DIV/0!</v>
      </c>
      <c r="AJ809" s="4" t="e">
        <f ca="1">SQRT($B$9)*_xlfn.STDEV.S(AI809:OFFSET(AI809,$B$5-1,0))</f>
        <v>#DIV/0!</v>
      </c>
      <c r="AK809" s="4" t="e">
        <f ca="1">SQRT($B$9)*_xlfn.STDEV.S(AI809:OFFSET(AI809,$B$6-1,0))</f>
        <v>#DIV/0!</v>
      </c>
      <c r="AL809" s="4" t="e">
        <f ca="1">SQRT($B$9)*_xlfn.STDEV.S(AI809:OFFSET(AI809,$B$7-1,0))</f>
        <v>#DIV/0!</v>
      </c>
      <c r="AM809" s="4" t="e">
        <f ca="1">SQRT($B$9)*_xlfn.STDEV.S(AI809:OFFSET(AI809,$B$8-1,0))</f>
        <v>#DIV/0!</v>
      </c>
    </row>
    <row r="810" spans="5:39" x14ac:dyDescent="0.2">
      <c r="E810" s="42">
        <v>44263</v>
      </c>
      <c r="F810" s="43"/>
      <c r="G810" s="43"/>
      <c r="H810" s="43"/>
      <c r="I810" s="43"/>
      <c r="K810" s="3" t="e">
        <f t="shared" si="69"/>
        <v>#DIV/0!</v>
      </c>
      <c r="L810" s="3" t="e">
        <f ca="1">SQRT(AVERAGE(K810:OFFSET(K810,$B$5-1,0))*$B$9/(4*LN(2)))</f>
        <v>#DIV/0!</v>
      </c>
      <c r="M810" s="3" t="e">
        <f ca="1">SQRT(AVERAGE(K810:OFFSET(K810,$B$6-1,0))*$B$9/(4*LN(2)))</f>
        <v>#DIV/0!</v>
      </c>
      <c r="N810" s="3" t="e">
        <f ca="1">SQRT(AVERAGE(K810:OFFSET(K810,$B$7-1,0))*$B$9/(4*LN(2)))</f>
        <v>#DIV/0!</v>
      </c>
      <c r="O810" s="3" t="e">
        <f ca="1">SQRT(AVERAGE(K810:OFFSET(K810,$B$8-1,0))*$B$9/(4*LN(2)))</f>
        <v>#DIV/0!</v>
      </c>
      <c r="Q810" s="5" t="e">
        <f t="shared" si="68"/>
        <v>#DIV/0!</v>
      </c>
      <c r="R810" s="5" t="e">
        <f ca="1">SQRT($B$9*AVERAGE((Q810:OFFSET(Q810,$B$5-1,0))))</f>
        <v>#DIV/0!</v>
      </c>
      <c r="S810" s="5" t="e">
        <f ca="1">SQRT($B$9*AVERAGE((Q810:OFFSET(Q810,$B$6-1,0))))</f>
        <v>#DIV/0!</v>
      </c>
      <c r="T810" s="5" t="e">
        <f ca="1">SQRT($B$9*AVERAGE((Q810:OFFSET(Q810,$B$7-1,0))))</f>
        <v>#DIV/0!</v>
      </c>
      <c r="U810" s="5" t="e">
        <f ca="1">SQRT($B$9*AVERAGE((Q810:OFFSET(Q810,$B$8-1,0))))</f>
        <v>#DIV/0!</v>
      </c>
      <c r="W810" s="6" t="e">
        <f t="shared" si="72"/>
        <v>#DIV/0!</v>
      </c>
      <c r="X810" s="6" t="e">
        <f ca="1">SQRT($B$9*AVERAGE(W810:OFFSET(W810,$B$5-1,0)))</f>
        <v>#DIV/0!</v>
      </c>
      <c r="Y810" s="6" t="e">
        <f ca="1">SQRT($B$9*AVERAGE(W810:OFFSET(W810,$B$6-1,0)))</f>
        <v>#DIV/0!</v>
      </c>
      <c r="Z810" s="6" t="e">
        <f ca="1">SQRT($B$9*AVERAGE(W810:OFFSET(W810,$B$7-1,0)))</f>
        <v>#DIV/0!</v>
      </c>
      <c r="AA810" s="6" t="e">
        <f ca="1">SQRT($B$9*AVERAGE(W810:OFFSET(W810,$B$8-1,0)))</f>
        <v>#DIV/0!</v>
      </c>
      <c r="AC810" s="34" t="e">
        <f t="shared" si="70"/>
        <v>#DIV/0!</v>
      </c>
      <c r="AD810" s="34" t="e">
        <f ca="1">SQRT($B$9*SUM(AC810:OFFSET(AC810,$B$5-1,0))/($B$5-1))</f>
        <v>#DIV/0!</v>
      </c>
      <c r="AE810" s="34" t="e">
        <f ca="1">SQRT($B$9*SUM(AC810:OFFSET(AC810,$B$6-1,0))/($B$6-1))</f>
        <v>#DIV/0!</v>
      </c>
      <c r="AF810" s="34" t="e">
        <f ca="1">SQRT($B$9*SUM(AC810:OFFSET(AC810,$B$7-1,0))/($B$7-1))</f>
        <v>#DIV/0!</v>
      </c>
      <c r="AG810" s="34" t="e">
        <f ca="1">SQRT($B$9*SUM(AC810:OFFSET(AC810,$B$8-1,0))/($B$8-1))</f>
        <v>#DIV/0!</v>
      </c>
      <c r="AI810" s="1" t="e">
        <f t="shared" si="71"/>
        <v>#DIV/0!</v>
      </c>
      <c r="AJ810" s="4" t="e">
        <f ca="1">SQRT($B$9)*_xlfn.STDEV.S(AI810:OFFSET(AI810,$B$5-1,0))</f>
        <v>#DIV/0!</v>
      </c>
      <c r="AK810" s="4" t="e">
        <f ca="1">SQRT($B$9)*_xlfn.STDEV.S(AI810:OFFSET(AI810,$B$6-1,0))</f>
        <v>#DIV/0!</v>
      </c>
      <c r="AL810" s="4" t="e">
        <f ca="1">SQRT($B$9)*_xlfn.STDEV.S(AI810:OFFSET(AI810,$B$7-1,0))</f>
        <v>#DIV/0!</v>
      </c>
      <c r="AM810" s="4" t="e">
        <f ca="1">SQRT($B$9)*_xlfn.STDEV.S(AI810:OFFSET(AI810,$B$8-1,0))</f>
        <v>#DIV/0!</v>
      </c>
    </row>
    <row r="811" spans="5:39" x14ac:dyDescent="0.2">
      <c r="E811" s="42">
        <v>44260</v>
      </c>
      <c r="F811" s="43"/>
      <c r="G811" s="43"/>
      <c r="H811" s="43"/>
      <c r="I811" s="43"/>
      <c r="K811" s="3" t="e">
        <f t="shared" si="69"/>
        <v>#DIV/0!</v>
      </c>
      <c r="L811" s="3" t="e">
        <f ca="1">SQRT(AVERAGE(K811:OFFSET(K811,$B$5-1,0))*$B$9/(4*LN(2)))</f>
        <v>#DIV/0!</v>
      </c>
      <c r="M811" s="3" t="e">
        <f ca="1">SQRT(AVERAGE(K811:OFFSET(K811,$B$6-1,0))*$B$9/(4*LN(2)))</f>
        <v>#DIV/0!</v>
      </c>
      <c r="N811" s="3" t="e">
        <f ca="1">SQRT(AVERAGE(K811:OFFSET(K811,$B$7-1,0))*$B$9/(4*LN(2)))</f>
        <v>#DIV/0!</v>
      </c>
      <c r="O811" s="3" t="e">
        <f ca="1">SQRT(AVERAGE(K811:OFFSET(K811,$B$8-1,0))*$B$9/(4*LN(2)))</f>
        <v>#DIV/0!</v>
      </c>
      <c r="Q811" s="5" t="e">
        <f t="shared" si="68"/>
        <v>#DIV/0!</v>
      </c>
      <c r="R811" s="5" t="e">
        <f ca="1">SQRT($B$9*AVERAGE((Q811:OFFSET(Q811,$B$5-1,0))))</f>
        <v>#DIV/0!</v>
      </c>
      <c r="S811" s="5" t="e">
        <f ca="1">SQRT($B$9*AVERAGE((Q811:OFFSET(Q811,$B$6-1,0))))</f>
        <v>#DIV/0!</v>
      </c>
      <c r="T811" s="5" t="e">
        <f ca="1">SQRT($B$9*AVERAGE((Q811:OFFSET(Q811,$B$7-1,0))))</f>
        <v>#DIV/0!</v>
      </c>
      <c r="U811" s="5" t="e">
        <f ca="1">SQRT($B$9*AVERAGE((Q811:OFFSET(Q811,$B$8-1,0))))</f>
        <v>#DIV/0!</v>
      </c>
      <c r="W811" s="6" t="e">
        <f t="shared" si="72"/>
        <v>#DIV/0!</v>
      </c>
      <c r="X811" s="6" t="e">
        <f ca="1">SQRT($B$9*AVERAGE(W811:OFFSET(W811,$B$5-1,0)))</f>
        <v>#DIV/0!</v>
      </c>
      <c r="Y811" s="6" t="e">
        <f ca="1">SQRT($B$9*AVERAGE(W811:OFFSET(W811,$B$6-1,0)))</f>
        <v>#DIV/0!</v>
      </c>
      <c r="Z811" s="6" t="e">
        <f ca="1">SQRT($B$9*AVERAGE(W811:OFFSET(W811,$B$7-1,0)))</f>
        <v>#DIV/0!</v>
      </c>
      <c r="AA811" s="6" t="e">
        <f ca="1">SQRT($B$9*AVERAGE(W811:OFFSET(W811,$B$8-1,0)))</f>
        <v>#DIV/0!</v>
      </c>
      <c r="AC811" s="34" t="e">
        <f t="shared" si="70"/>
        <v>#DIV/0!</v>
      </c>
      <c r="AD811" s="34" t="e">
        <f ca="1">SQRT($B$9*SUM(AC811:OFFSET(AC811,$B$5-1,0))/($B$5-1))</f>
        <v>#DIV/0!</v>
      </c>
      <c r="AE811" s="34" t="e">
        <f ca="1">SQRT($B$9*SUM(AC811:OFFSET(AC811,$B$6-1,0))/($B$6-1))</f>
        <v>#DIV/0!</v>
      </c>
      <c r="AF811" s="34" t="e">
        <f ca="1">SQRT($B$9*SUM(AC811:OFFSET(AC811,$B$7-1,0))/($B$7-1))</f>
        <v>#DIV/0!</v>
      </c>
      <c r="AG811" s="34" t="e">
        <f ca="1">SQRT($B$9*SUM(AC811:OFFSET(AC811,$B$8-1,0))/($B$8-1))</f>
        <v>#DIV/0!</v>
      </c>
      <c r="AI811" s="1" t="e">
        <f t="shared" si="71"/>
        <v>#DIV/0!</v>
      </c>
      <c r="AJ811" s="4" t="e">
        <f ca="1">SQRT($B$9)*_xlfn.STDEV.S(AI811:OFFSET(AI811,$B$5-1,0))</f>
        <v>#DIV/0!</v>
      </c>
      <c r="AK811" s="4" t="e">
        <f ca="1">SQRT($B$9)*_xlfn.STDEV.S(AI811:OFFSET(AI811,$B$6-1,0))</f>
        <v>#DIV/0!</v>
      </c>
      <c r="AL811" s="4" t="e">
        <f ca="1">SQRT($B$9)*_xlfn.STDEV.S(AI811:OFFSET(AI811,$B$7-1,0))</f>
        <v>#DIV/0!</v>
      </c>
      <c r="AM811" s="4" t="e">
        <f ca="1">SQRT($B$9)*_xlfn.STDEV.S(AI811:OFFSET(AI811,$B$8-1,0))</f>
        <v>#DIV/0!</v>
      </c>
    </row>
    <row r="812" spans="5:39" x14ac:dyDescent="0.2">
      <c r="E812" s="42">
        <v>44259</v>
      </c>
      <c r="F812" s="43"/>
      <c r="G812" s="43"/>
      <c r="H812" s="43"/>
      <c r="I812" s="43"/>
      <c r="K812" s="3" t="e">
        <f t="shared" si="69"/>
        <v>#DIV/0!</v>
      </c>
      <c r="L812" s="3" t="e">
        <f ca="1">SQRT(AVERAGE(K812:OFFSET(K812,$B$5-1,0))*$B$9/(4*LN(2)))</f>
        <v>#DIV/0!</v>
      </c>
      <c r="M812" s="3" t="e">
        <f ca="1">SQRT(AVERAGE(K812:OFFSET(K812,$B$6-1,0))*$B$9/(4*LN(2)))</f>
        <v>#DIV/0!</v>
      </c>
      <c r="N812" s="3" t="e">
        <f ca="1">SQRT(AVERAGE(K812:OFFSET(K812,$B$7-1,0))*$B$9/(4*LN(2)))</f>
        <v>#DIV/0!</v>
      </c>
      <c r="O812" s="3" t="e">
        <f ca="1">SQRT(AVERAGE(K812:OFFSET(K812,$B$8-1,0))*$B$9/(4*LN(2)))</f>
        <v>#DIV/0!</v>
      </c>
      <c r="Q812" s="5" t="e">
        <f t="shared" si="68"/>
        <v>#DIV/0!</v>
      </c>
      <c r="R812" s="5" t="e">
        <f ca="1">SQRT($B$9*AVERAGE((Q812:OFFSET(Q812,$B$5-1,0))))</f>
        <v>#DIV/0!</v>
      </c>
      <c r="S812" s="5" t="e">
        <f ca="1">SQRT($B$9*AVERAGE((Q812:OFFSET(Q812,$B$6-1,0))))</f>
        <v>#DIV/0!</v>
      </c>
      <c r="T812" s="5" t="e">
        <f ca="1">SQRT($B$9*AVERAGE((Q812:OFFSET(Q812,$B$7-1,0))))</f>
        <v>#DIV/0!</v>
      </c>
      <c r="U812" s="5" t="e">
        <f ca="1">SQRT($B$9*AVERAGE((Q812:OFFSET(Q812,$B$8-1,0))))</f>
        <v>#DIV/0!</v>
      </c>
      <c r="W812" s="6" t="e">
        <f t="shared" si="72"/>
        <v>#DIV/0!</v>
      </c>
      <c r="X812" s="6" t="e">
        <f ca="1">SQRT($B$9*AVERAGE(W812:OFFSET(W812,$B$5-1,0)))</f>
        <v>#DIV/0!</v>
      </c>
      <c r="Y812" s="6" t="e">
        <f ca="1">SQRT($B$9*AVERAGE(W812:OFFSET(W812,$B$6-1,0)))</f>
        <v>#DIV/0!</v>
      </c>
      <c r="Z812" s="6" t="e">
        <f ca="1">SQRT($B$9*AVERAGE(W812:OFFSET(W812,$B$7-1,0)))</f>
        <v>#DIV/0!</v>
      </c>
      <c r="AA812" s="6" t="e">
        <f ca="1">SQRT($B$9*AVERAGE(W812:OFFSET(W812,$B$8-1,0)))</f>
        <v>#DIV/0!</v>
      </c>
      <c r="AC812" s="34" t="e">
        <f t="shared" si="70"/>
        <v>#DIV/0!</v>
      </c>
      <c r="AD812" s="34" t="e">
        <f ca="1">SQRT($B$9*SUM(AC812:OFFSET(AC812,$B$5-1,0))/($B$5-1))</f>
        <v>#DIV/0!</v>
      </c>
      <c r="AE812" s="34" t="e">
        <f ca="1">SQRT($B$9*SUM(AC812:OFFSET(AC812,$B$6-1,0))/($B$6-1))</f>
        <v>#DIV/0!</v>
      </c>
      <c r="AF812" s="34" t="e">
        <f ca="1">SQRT($B$9*SUM(AC812:OFFSET(AC812,$B$7-1,0))/($B$7-1))</f>
        <v>#DIV/0!</v>
      </c>
      <c r="AG812" s="34" t="e">
        <f ca="1">SQRT($B$9*SUM(AC812:OFFSET(AC812,$B$8-1,0))/($B$8-1))</f>
        <v>#DIV/0!</v>
      </c>
      <c r="AI812" s="1" t="e">
        <f t="shared" si="71"/>
        <v>#DIV/0!</v>
      </c>
      <c r="AJ812" s="4" t="e">
        <f ca="1">SQRT($B$9)*_xlfn.STDEV.S(AI812:OFFSET(AI812,$B$5-1,0))</f>
        <v>#DIV/0!</v>
      </c>
      <c r="AK812" s="4" t="e">
        <f ca="1">SQRT($B$9)*_xlfn.STDEV.S(AI812:OFFSET(AI812,$B$6-1,0))</f>
        <v>#DIV/0!</v>
      </c>
      <c r="AL812" s="4" t="e">
        <f ca="1">SQRT($B$9)*_xlfn.STDEV.S(AI812:OFFSET(AI812,$B$7-1,0))</f>
        <v>#DIV/0!</v>
      </c>
      <c r="AM812" s="4" t="e">
        <f ca="1">SQRT($B$9)*_xlfn.STDEV.S(AI812:OFFSET(AI812,$B$8-1,0))</f>
        <v>#DIV/0!</v>
      </c>
    </row>
    <row r="813" spans="5:39" x14ac:dyDescent="0.2">
      <c r="E813" s="42">
        <v>44258</v>
      </c>
      <c r="F813" s="43"/>
      <c r="G813" s="43"/>
      <c r="H813" s="43"/>
      <c r="I813" s="43"/>
      <c r="K813" s="3" t="e">
        <f t="shared" si="69"/>
        <v>#DIV/0!</v>
      </c>
      <c r="L813" s="3" t="e">
        <f ca="1">SQRT(AVERAGE(K813:OFFSET(K813,$B$5-1,0))*$B$9/(4*LN(2)))</f>
        <v>#DIV/0!</v>
      </c>
      <c r="M813" s="3" t="e">
        <f ca="1">SQRT(AVERAGE(K813:OFFSET(K813,$B$6-1,0))*$B$9/(4*LN(2)))</f>
        <v>#DIV/0!</v>
      </c>
      <c r="N813" s="3" t="e">
        <f ca="1">SQRT(AVERAGE(K813:OFFSET(K813,$B$7-1,0))*$B$9/(4*LN(2)))</f>
        <v>#DIV/0!</v>
      </c>
      <c r="O813" s="3" t="e">
        <f ca="1">SQRT(AVERAGE(K813:OFFSET(K813,$B$8-1,0))*$B$9/(4*LN(2)))</f>
        <v>#DIV/0!</v>
      </c>
      <c r="Q813" s="5" t="e">
        <f t="shared" si="68"/>
        <v>#DIV/0!</v>
      </c>
      <c r="R813" s="5" t="e">
        <f ca="1">SQRT($B$9*AVERAGE((Q813:OFFSET(Q813,$B$5-1,0))))</f>
        <v>#DIV/0!</v>
      </c>
      <c r="S813" s="5" t="e">
        <f ca="1">SQRT($B$9*AVERAGE((Q813:OFFSET(Q813,$B$6-1,0))))</f>
        <v>#DIV/0!</v>
      </c>
      <c r="T813" s="5" t="e">
        <f ca="1">SQRT($B$9*AVERAGE((Q813:OFFSET(Q813,$B$7-1,0))))</f>
        <v>#DIV/0!</v>
      </c>
      <c r="U813" s="5" t="e">
        <f ca="1">SQRT($B$9*AVERAGE((Q813:OFFSET(Q813,$B$8-1,0))))</f>
        <v>#DIV/0!</v>
      </c>
      <c r="W813" s="6" t="e">
        <f t="shared" si="72"/>
        <v>#DIV/0!</v>
      </c>
      <c r="X813" s="6" t="e">
        <f ca="1">SQRT($B$9*AVERAGE(W813:OFFSET(W813,$B$5-1,0)))</f>
        <v>#DIV/0!</v>
      </c>
      <c r="Y813" s="6" t="e">
        <f ca="1">SQRT($B$9*AVERAGE(W813:OFFSET(W813,$B$6-1,0)))</f>
        <v>#DIV/0!</v>
      </c>
      <c r="Z813" s="6" t="e">
        <f ca="1">SQRT($B$9*AVERAGE(W813:OFFSET(W813,$B$7-1,0)))</f>
        <v>#DIV/0!</v>
      </c>
      <c r="AA813" s="6" t="e">
        <f ca="1">SQRT($B$9*AVERAGE(W813:OFFSET(W813,$B$8-1,0)))</f>
        <v>#DIV/0!</v>
      </c>
      <c r="AC813" s="34" t="e">
        <f t="shared" si="70"/>
        <v>#DIV/0!</v>
      </c>
      <c r="AD813" s="34" t="e">
        <f ca="1">SQRT($B$9*SUM(AC813:OFFSET(AC813,$B$5-1,0))/($B$5-1))</f>
        <v>#DIV/0!</v>
      </c>
      <c r="AE813" s="34" t="e">
        <f ca="1">SQRT($B$9*SUM(AC813:OFFSET(AC813,$B$6-1,0))/($B$6-1))</f>
        <v>#DIV/0!</v>
      </c>
      <c r="AF813" s="34" t="e">
        <f ca="1">SQRT($B$9*SUM(AC813:OFFSET(AC813,$B$7-1,0))/($B$7-1))</f>
        <v>#DIV/0!</v>
      </c>
      <c r="AG813" s="34" t="e">
        <f ca="1">SQRT($B$9*SUM(AC813:OFFSET(AC813,$B$8-1,0))/($B$8-1))</f>
        <v>#DIV/0!</v>
      </c>
      <c r="AI813" s="1" t="e">
        <f t="shared" si="71"/>
        <v>#DIV/0!</v>
      </c>
      <c r="AJ813" s="4" t="e">
        <f ca="1">SQRT($B$9)*_xlfn.STDEV.S(AI813:OFFSET(AI813,$B$5-1,0))</f>
        <v>#DIV/0!</v>
      </c>
      <c r="AK813" s="4" t="e">
        <f ca="1">SQRT($B$9)*_xlfn.STDEV.S(AI813:OFFSET(AI813,$B$6-1,0))</f>
        <v>#DIV/0!</v>
      </c>
      <c r="AL813" s="4" t="e">
        <f ca="1">SQRT($B$9)*_xlfn.STDEV.S(AI813:OFFSET(AI813,$B$7-1,0))</f>
        <v>#DIV/0!</v>
      </c>
      <c r="AM813" s="4" t="e">
        <f ca="1">SQRT($B$9)*_xlfn.STDEV.S(AI813:OFFSET(AI813,$B$8-1,0))</f>
        <v>#DIV/0!</v>
      </c>
    </row>
    <row r="814" spans="5:39" x14ac:dyDescent="0.2">
      <c r="E814" s="42">
        <v>44257</v>
      </c>
      <c r="F814" s="43"/>
      <c r="G814" s="43"/>
      <c r="H814" s="43"/>
      <c r="I814" s="43"/>
      <c r="K814" s="3" t="e">
        <f t="shared" si="69"/>
        <v>#DIV/0!</v>
      </c>
      <c r="L814" s="3" t="e">
        <f ca="1">SQRT(AVERAGE(K814:OFFSET(K814,$B$5-1,0))*$B$9/(4*LN(2)))</f>
        <v>#DIV/0!</v>
      </c>
      <c r="M814" s="3" t="e">
        <f ca="1">SQRT(AVERAGE(K814:OFFSET(K814,$B$6-1,0))*$B$9/(4*LN(2)))</f>
        <v>#DIV/0!</v>
      </c>
      <c r="N814" s="3" t="e">
        <f ca="1">SQRT(AVERAGE(K814:OFFSET(K814,$B$7-1,0))*$B$9/(4*LN(2)))</f>
        <v>#DIV/0!</v>
      </c>
      <c r="O814" s="3" t="e">
        <f ca="1">SQRT(AVERAGE(K814:OFFSET(K814,$B$8-1,0))*$B$9/(4*LN(2)))</f>
        <v>#DIV/0!</v>
      </c>
      <c r="Q814" s="5" t="e">
        <f t="shared" si="68"/>
        <v>#DIV/0!</v>
      </c>
      <c r="R814" s="5" t="e">
        <f ca="1">SQRT($B$9*AVERAGE((Q814:OFFSET(Q814,$B$5-1,0))))</f>
        <v>#DIV/0!</v>
      </c>
      <c r="S814" s="5" t="e">
        <f ca="1">SQRT($B$9*AVERAGE((Q814:OFFSET(Q814,$B$6-1,0))))</f>
        <v>#DIV/0!</v>
      </c>
      <c r="T814" s="5" t="e">
        <f ca="1">SQRT($B$9*AVERAGE((Q814:OFFSET(Q814,$B$7-1,0))))</f>
        <v>#DIV/0!</v>
      </c>
      <c r="U814" s="5" t="e">
        <f ca="1">SQRT($B$9*AVERAGE((Q814:OFFSET(Q814,$B$8-1,0))))</f>
        <v>#DIV/0!</v>
      </c>
      <c r="W814" s="6" t="e">
        <f t="shared" si="72"/>
        <v>#DIV/0!</v>
      </c>
      <c r="X814" s="6" t="e">
        <f ca="1">SQRT($B$9*AVERAGE(W814:OFFSET(W814,$B$5-1,0)))</f>
        <v>#DIV/0!</v>
      </c>
      <c r="Y814" s="6" t="e">
        <f ca="1">SQRT($B$9*AVERAGE(W814:OFFSET(W814,$B$6-1,0)))</f>
        <v>#DIV/0!</v>
      </c>
      <c r="Z814" s="6" t="e">
        <f ca="1">SQRT($B$9*AVERAGE(W814:OFFSET(W814,$B$7-1,0)))</f>
        <v>#DIV/0!</v>
      </c>
      <c r="AA814" s="6" t="e">
        <f ca="1">SQRT($B$9*AVERAGE(W814:OFFSET(W814,$B$8-1,0)))</f>
        <v>#DIV/0!</v>
      </c>
      <c r="AC814" s="34" t="e">
        <f t="shared" si="70"/>
        <v>#DIV/0!</v>
      </c>
      <c r="AD814" s="34" t="e">
        <f ca="1">SQRT($B$9*SUM(AC814:OFFSET(AC814,$B$5-1,0))/($B$5-1))</f>
        <v>#DIV/0!</v>
      </c>
      <c r="AE814" s="34" t="e">
        <f ca="1">SQRT($B$9*SUM(AC814:OFFSET(AC814,$B$6-1,0))/($B$6-1))</f>
        <v>#DIV/0!</v>
      </c>
      <c r="AF814" s="34" t="e">
        <f ca="1">SQRT($B$9*SUM(AC814:OFFSET(AC814,$B$7-1,0))/($B$7-1))</f>
        <v>#DIV/0!</v>
      </c>
      <c r="AG814" s="34" t="e">
        <f ca="1">SQRT($B$9*SUM(AC814:OFFSET(AC814,$B$8-1,0))/($B$8-1))</f>
        <v>#DIV/0!</v>
      </c>
      <c r="AI814" s="1" t="e">
        <f t="shared" si="71"/>
        <v>#DIV/0!</v>
      </c>
      <c r="AJ814" s="4" t="e">
        <f ca="1">SQRT($B$9)*_xlfn.STDEV.S(AI814:OFFSET(AI814,$B$5-1,0))</f>
        <v>#DIV/0!</v>
      </c>
      <c r="AK814" s="4" t="e">
        <f ca="1">SQRT($B$9)*_xlfn.STDEV.S(AI814:OFFSET(AI814,$B$6-1,0))</f>
        <v>#DIV/0!</v>
      </c>
      <c r="AL814" s="4" t="e">
        <f ca="1">SQRT($B$9)*_xlfn.STDEV.S(AI814:OFFSET(AI814,$B$7-1,0))</f>
        <v>#DIV/0!</v>
      </c>
      <c r="AM814" s="4" t="e">
        <f ca="1">SQRT($B$9)*_xlfn.STDEV.S(AI814:OFFSET(AI814,$B$8-1,0))</f>
        <v>#DIV/0!</v>
      </c>
    </row>
    <row r="815" spans="5:39" x14ac:dyDescent="0.2">
      <c r="E815" s="42">
        <v>44256</v>
      </c>
      <c r="F815" s="43"/>
      <c r="G815" s="43"/>
      <c r="H815" s="43"/>
      <c r="I815" s="43"/>
      <c r="K815" s="3" t="e">
        <f t="shared" si="69"/>
        <v>#DIV/0!</v>
      </c>
      <c r="L815" s="3" t="e">
        <f ca="1">SQRT(AVERAGE(K815:OFFSET(K815,$B$5-1,0))*$B$9/(4*LN(2)))</f>
        <v>#DIV/0!</v>
      </c>
      <c r="M815" s="3" t="e">
        <f ca="1">SQRT(AVERAGE(K815:OFFSET(K815,$B$6-1,0))*$B$9/(4*LN(2)))</f>
        <v>#DIV/0!</v>
      </c>
      <c r="N815" s="3" t="e">
        <f ca="1">SQRT(AVERAGE(K815:OFFSET(K815,$B$7-1,0))*$B$9/(4*LN(2)))</f>
        <v>#DIV/0!</v>
      </c>
      <c r="O815" s="3" t="e">
        <f ca="1">SQRT(AVERAGE(K815:OFFSET(K815,$B$8-1,0))*$B$9/(4*LN(2)))</f>
        <v>#DIV/0!</v>
      </c>
      <c r="Q815" s="5" t="e">
        <f t="shared" si="68"/>
        <v>#DIV/0!</v>
      </c>
      <c r="R815" s="5" t="e">
        <f ca="1">SQRT($B$9*AVERAGE((Q815:OFFSET(Q815,$B$5-1,0))))</f>
        <v>#DIV/0!</v>
      </c>
      <c r="S815" s="5" t="e">
        <f ca="1">SQRT($B$9*AVERAGE((Q815:OFFSET(Q815,$B$6-1,0))))</f>
        <v>#DIV/0!</v>
      </c>
      <c r="T815" s="5" t="e">
        <f ca="1">SQRT($B$9*AVERAGE((Q815:OFFSET(Q815,$B$7-1,0))))</f>
        <v>#DIV/0!</v>
      </c>
      <c r="U815" s="5" t="e">
        <f ca="1">SQRT($B$9*AVERAGE((Q815:OFFSET(Q815,$B$8-1,0))))</f>
        <v>#DIV/0!</v>
      </c>
      <c r="W815" s="6" t="e">
        <f t="shared" si="72"/>
        <v>#DIV/0!</v>
      </c>
      <c r="X815" s="6" t="e">
        <f ca="1">SQRT($B$9*AVERAGE(W815:OFFSET(W815,$B$5-1,0)))</f>
        <v>#DIV/0!</v>
      </c>
      <c r="Y815" s="6" t="e">
        <f ca="1">SQRT($B$9*AVERAGE(W815:OFFSET(W815,$B$6-1,0)))</f>
        <v>#DIV/0!</v>
      </c>
      <c r="Z815" s="6" t="e">
        <f ca="1">SQRT($B$9*AVERAGE(W815:OFFSET(W815,$B$7-1,0)))</f>
        <v>#DIV/0!</v>
      </c>
      <c r="AA815" s="6" t="e">
        <f ca="1">SQRT($B$9*AVERAGE(W815:OFFSET(W815,$B$8-1,0)))</f>
        <v>#DIV/0!</v>
      </c>
      <c r="AC815" s="34" t="e">
        <f t="shared" si="70"/>
        <v>#DIV/0!</v>
      </c>
      <c r="AD815" s="34" t="e">
        <f ca="1">SQRT($B$9*SUM(AC815:OFFSET(AC815,$B$5-1,0))/($B$5-1))</f>
        <v>#DIV/0!</v>
      </c>
      <c r="AE815" s="34" t="e">
        <f ca="1">SQRT($B$9*SUM(AC815:OFFSET(AC815,$B$6-1,0))/($B$6-1))</f>
        <v>#DIV/0!</v>
      </c>
      <c r="AF815" s="34" t="e">
        <f ca="1">SQRT($B$9*SUM(AC815:OFFSET(AC815,$B$7-1,0))/($B$7-1))</f>
        <v>#DIV/0!</v>
      </c>
      <c r="AG815" s="34" t="e">
        <f ca="1">SQRT($B$9*SUM(AC815:OFFSET(AC815,$B$8-1,0))/($B$8-1))</f>
        <v>#DIV/0!</v>
      </c>
      <c r="AI815" s="1" t="e">
        <f t="shared" si="71"/>
        <v>#DIV/0!</v>
      </c>
      <c r="AJ815" s="4" t="e">
        <f ca="1">SQRT($B$9)*_xlfn.STDEV.S(AI815:OFFSET(AI815,$B$5-1,0))</f>
        <v>#DIV/0!</v>
      </c>
      <c r="AK815" s="4" t="e">
        <f ca="1">SQRT($B$9)*_xlfn.STDEV.S(AI815:OFFSET(AI815,$B$6-1,0))</f>
        <v>#DIV/0!</v>
      </c>
      <c r="AL815" s="4" t="e">
        <f ca="1">SQRT($B$9)*_xlfn.STDEV.S(AI815:OFFSET(AI815,$B$7-1,0))</f>
        <v>#DIV/0!</v>
      </c>
      <c r="AM815" s="4" t="e">
        <f ca="1">SQRT($B$9)*_xlfn.STDEV.S(AI815:OFFSET(AI815,$B$8-1,0))</f>
        <v>#DIV/0!</v>
      </c>
    </row>
    <row r="816" spans="5:39" x14ac:dyDescent="0.2">
      <c r="E816" s="42">
        <v>44253</v>
      </c>
      <c r="F816" s="43"/>
      <c r="G816" s="43"/>
      <c r="H816" s="43"/>
      <c r="I816" s="43"/>
      <c r="K816" s="3" t="e">
        <f t="shared" si="69"/>
        <v>#DIV/0!</v>
      </c>
      <c r="L816" s="3" t="e">
        <f ca="1">SQRT(AVERAGE(K816:OFFSET(K816,$B$5-1,0))*$B$9/(4*LN(2)))</f>
        <v>#DIV/0!</v>
      </c>
      <c r="M816" s="3" t="e">
        <f ca="1">SQRT(AVERAGE(K816:OFFSET(K816,$B$6-1,0))*$B$9/(4*LN(2)))</f>
        <v>#DIV/0!</v>
      </c>
      <c r="N816" s="3" t="e">
        <f ca="1">SQRT(AVERAGE(K816:OFFSET(K816,$B$7-1,0))*$B$9/(4*LN(2)))</f>
        <v>#DIV/0!</v>
      </c>
      <c r="O816" s="3" t="e">
        <f ca="1">SQRT(AVERAGE(K816:OFFSET(K816,$B$8-1,0))*$B$9/(4*LN(2)))</f>
        <v>#DIV/0!</v>
      </c>
      <c r="Q816" s="5" t="e">
        <f t="shared" si="68"/>
        <v>#DIV/0!</v>
      </c>
      <c r="R816" s="5" t="e">
        <f ca="1">SQRT($B$9*AVERAGE((Q816:OFFSET(Q816,$B$5-1,0))))</f>
        <v>#DIV/0!</v>
      </c>
      <c r="S816" s="5" t="e">
        <f ca="1">SQRT($B$9*AVERAGE((Q816:OFFSET(Q816,$B$6-1,0))))</f>
        <v>#DIV/0!</v>
      </c>
      <c r="T816" s="5" t="e">
        <f ca="1">SQRT($B$9*AVERAGE((Q816:OFFSET(Q816,$B$7-1,0))))</f>
        <v>#DIV/0!</v>
      </c>
      <c r="U816" s="5" t="e">
        <f ca="1">SQRT($B$9*AVERAGE((Q816:OFFSET(Q816,$B$8-1,0))))</f>
        <v>#DIV/0!</v>
      </c>
      <c r="W816" s="6" t="e">
        <f t="shared" si="72"/>
        <v>#DIV/0!</v>
      </c>
      <c r="X816" s="6" t="e">
        <f ca="1">SQRT($B$9*AVERAGE(W816:OFFSET(W816,$B$5-1,0)))</f>
        <v>#DIV/0!</v>
      </c>
      <c r="Y816" s="6" t="e">
        <f ca="1">SQRT($B$9*AVERAGE(W816:OFFSET(W816,$B$6-1,0)))</f>
        <v>#DIV/0!</v>
      </c>
      <c r="Z816" s="6" t="e">
        <f ca="1">SQRT($B$9*AVERAGE(W816:OFFSET(W816,$B$7-1,0)))</f>
        <v>#DIV/0!</v>
      </c>
      <c r="AA816" s="6" t="e">
        <f ca="1">SQRT($B$9*AVERAGE(W816:OFFSET(W816,$B$8-1,0)))</f>
        <v>#DIV/0!</v>
      </c>
      <c r="AC816" s="34" t="e">
        <f t="shared" si="70"/>
        <v>#DIV/0!</v>
      </c>
      <c r="AD816" s="34" t="e">
        <f ca="1">SQRT($B$9*SUM(AC816:OFFSET(AC816,$B$5-1,0))/($B$5-1))</f>
        <v>#DIV/0!</v>
      </c>
      <c r="AE816" s="34" t="e">
        <f ca="1">SQRT($B$9*SUM(AC816:OFFSET(AC816,$B$6-1,0))/($B$6-1))</f>
        <v>#DIV/0!</v>
      </c>
      <c r="AF816" s="34" t="e">
        <f ca="1">SQRT($B$9*SUM(AC816:OFFSET(AC816,$B$7-1,0))/($B$7-1))</f>
        <v>#DIV/0!</v>
      </c>
      <c r="AG816" s="34" t="e">
        <f ca="1">SQRT($B$9*SUM(AC816:OFFSET(AC816,$B$8-1,0))/($B$8-1))</f>
        <v>#DIV/0!</v>
      </c>
      <c r="AI816" s="1" t="e">
        <f t="shared" si="71"/>
        <v>#DIV/0!</v>
      </c>
      <c r="AJ816" s="4" t="e">
        <f ca="1">SQRT($B$9)*_xlfn.STDEV.S(AI816:OFFSET(AI816,$B$5-1,0))</f>
        <v>#DIV/0!</v>
      </c>
      <c r="AK816" s="4" t="e">
        <f ca="1">SQRT($B$9)*_xlfn.STDEV.S(AI816:OFFSET(AI816,$B$6-1,0))</f>
        <v>#DIV/0!</v>
      </c>
      <c r="AL816" s="4" t="e">
        <f ca="1">SQRT($B$9)*_xlfn.STDEV.S(AI816:OFFSET(AI816,$B$7-1,0))</f>
        <v>#DIV/0!</v>
      </c>
      <c r="AM816" s="4" t="e">
        <f ca="1">SQRT($B$9)*_xlfn.STDEV.S(AI816:OFFSET(AI816,$B$8-1,0))</f>
        <v>#DIV/0!</v>
      </c>
    </row>
    <row r="817" spans="5:39" x14ac:dyDescent="0.2">
      <c r="E817" s="42">
        <v>44252</v>
      </c>
      <c r="F817" s="43"/>
      <c r="G817" s="43"/>
      <c r="H817" s="43"/>
      <c r="I817" s="43"/>
      <c r="K817" s="3" t="e">
        <f t="shared" si="69"/>
        <v>#DIV/0!</v>
      </c>
      <c r="L817" s="3" t="e">
        <f ca="1">SQRT(AVERAGE(K817:OFFSET(K817,$B$5-1,0))*$B$9/(4*LN(2)))</f>
        <v>#DIV/0!</v>
      </c>
      <c r="M817" s="3" t="e">
        <f ca="1">SQRT(AVERAGE(K817:OFFSET(K817,$B$6-1,0))*$B$9/(4*LN(2)))</f>
        <v>#DIV/0!</v>
      </c>
      <c r="N817" s="3" t="e">
        <f ca="1">SQRT(AVERAGE(K817:OFFSET(K817,$B$7-1,0))*$B$9/(4*LN(2)))</f>
        <v>#DIV/0!</v>
      </c>
      <c r="O817" s="3" t="e">
        <f ca="1">SQRT(AVERAGE(K817:OFFSET(K817,$B$8-1,0))*$B$9/(4*LN(2)))</f>
        <v>#DIV/0!</v>
      </c>
      <c r="Q817" s="5" t="e">
        <f t="shared" si="68"/>
        <v>#DIV/0!</v>
      </c>
      <c r="R817" s="5" t="e">
        <f ca="1">SQRT($B$9*AVERAGE((Q817:OFFSET(Q817,$B$5-1,0))))</f>
        <v>#DIV/0!</v>
      </c>
      <c r="S817" s="5" t="e">
        <f ca="1">SQRT($B$9*AVERAGE((Q817:OFFSET(Q817,$B$6-1,0))))</f>
        <v>#DIV/0!</v>
      </c>
      <c r="T817" s="5" t="e">
        <f ca="1">SQRT($B$9*AVERAGE((Q817:OFFSET(Q817,$B$7-1,0))))</f>
        <v>#DIV/0!</v>
      </c>
      <c r="U817" s="5" t="e">
        <f ca="1">SQRT($B$9*AVERAGE((Q817:OFFSET(Q817,$B$8-1,0))))</f>
        <v>#DIV/0!</v>
      </c>
      <c r="W817" s="6" t="e">
        <f t="shared" si="72"/>
        <v>#DIV/0!</v>
      </c>
      <c r="X817" s="6" t="e">
        <f ca="1">SQRT($B$9*AVERAGE(W817:OFFSET(W817,$B$5-1,0)))</f>
        <v>#DIV/0!</v>
      </c>
      <c r="Y817" s="6" t="e">
        <f ca="1">SQRT($B$9*AVERAGE(W817:OFFSET(W817,$B$6-1,0)))</f>
        <v>#DIV/0!</v>
      </c>
      <c r="Z817" s="6" t="e">
        <f ca="1">SQRT($B$9*AVERAGE(W817:OFFSET(W817,$B$7-1,0)))</f>
        <v>#DIV/0!</v>
      </c>
      <c r="AA817" s="6" t="e">
        <f ca="1">SQRT($B$9*AVERAGE(W817:OFFSET(W817,$B$8-1,0)))</f>
        <v>#DIV/0!</v>
      </c>
      <c r="AC817" s="34" t="e">
        <f t="shared" si="70"/>
        <v>#DIV/0!</v>
      </c>
      <c r="AD817" s="34" t="e">
        <f ca="1">SQRT($B$9*SUM(AC817:OFFSET(AC817,$B$5-1,0))/($B$5-1))</f>
        <v>#DIV/0!</v>
      </c>
      <c r="AE817" s="34" t="e">
        <f ca="1">SQRT($B$9*SUM(AC817:OFFSET(AC817,$B$6-1,0))/($B$6-1))</f>
        <v>#DIV/0!</v>
      </c>
      <c r="AF817" s="34" t="e">
        <f ca="1">SQRT($B$9*SUM(AC817:OFFSET(AC817,$B$7-1,0))/($B$7-1))</f>
        <v>#DIV/0!</v>
      </c>
      <c r="AG817" s="34" t="e">
        <f ca="1">SQRT($B$9*SUM(AC817:OFFSET(AC817,$B$8-1,0))/($B$8-1))</f>
        <v>#DIV/0!</v>
      </c>
      <c r="AI817" s="1" t="e">
        <f t="shared" si="71"/>
        <v>#DIV/0!</v>
      </c>
      <c r="AJ817" s="4" t="e">
        <f ca="1">SQRT($B$9)*_xlfn.STDEV.S(AI817:OFFSET(AI817,$B$5-1,0))</f>
        <v>#DIV/0!</v>
      </c>
      <c r="AK817" s="4" t="e">
        <f ca="1">SQRT($B$9)*_xlfn.STDEV.S(AI817:OFFSET(AI817,$B$6-1,0))</f>
        <v>#DIV/0!</v>
      </c>
      <c r="AL817" s="4" t="e">
        <f ca="1">SQRT($B$9)*_xlfn.STDEV.S(AI817:OFFSET(AI817,$B$7-1,0))</f>
        <v>#DIV/0!</v>
      </c>
      <c r="AM817" s="4" t="e">
        <f ca="1">SQRT($B$9)*_xlfn.STDEV.S(AI817:OFFSET(AI817,$B$8-1,0))</f>
        <v>#DIV/0!</v>
      </c>
    </row>
    <row r="818" spans="5:39" x14ac:dyDescent="0.2">
      <c r="E818" s="42">
        <v>44251</v>
      </c>
      <c r="F818" s="43"/>
      <c r="G818" s="43"/>
      <c r="H818" s="43"/>
      <c r="I818" s="43"/>
      <c r="K818" s="3" t="e">
        <f t="shared" si="69"/>
        <v>#DIV/0!</v>
      </c>
      <c r="L818" s="3" t="e">
        <f ca="1">SQRT(AVERAGE(K818:OFFSET(K818,$B$5-1,0))*$B$9/(4*LN(2)))</f>
        <v>#DIV/0!</v>
      </c>
      <c r="M818" s="3" t="e">
        <f ca="1">SQRT(AVERAGE(K818:OFFSET(K818,$B$6-1,0))*$B$9/(4*LN(2)))</f>
        <v>#DIV/0!</v>
      </c>
      <c r="N818" s="3" t="e">
        <f ca="1">SQRT(AVERAGE(K818:OFFSET(K818,$B$7-1,0))*$B$9/(4*LN(2)))</f>
        <v>#DIV/0!</v>
      </c>
      <c r="O818" s="3" t="e">
        <f ca="1">SQRT(AVERAGE(K818:OFFSET(K818,$B$8-1,0))*$B$9/(4*LN(2)))</f>
        <v>#DIV/0!</v>
      </c>
      <c r="Q818" s="5" t="e">
        <f t="shared" si="68"/>
        <v>#DIV/0!</v>
      </c>
      <c r="R818" s="5" t="e">
        <f ca="1">SQRT($B$9*AVERAGE((Q818:OFFSET(Q818,$B$5-1,0))))</f>
        <v>#DIV/0!</v>
      </c>
      <c r="S818" s="5" t="e">
        <f ca="1">SQRT($B$9*AVERAGE((Q818:OFFSET(Q818,$B$6-1,0))))</f>
        <v>#DIV/0!</v>
      </c>
      <c r="T818" s="5" t="e">
        <f ca="1">SQRT($B$9*AVERAGE((Q818:OFFSET(Q818,$B$7-1,0))))</f>
        <v>#DIV/0!</v>
      </c>
      <c r="U818" s="5" t="e">
        <f ca="1">SQRT($B$9*AVERAGE((Q818:OFFSET(Q818,$B$8-1,0))))</f>
        <v>#DIV/0!</v>
      </c>
      <c r="W818" s="6" t="e">
        <f t="shared" si="72"/>
        <v>#DIV/0!</v>
      </c>
      <c r="X818" s="6" t="e">
        <f ca="1">SQRT($B$9*AVERAGE(W818:OFFSET(W818,$B$5-1,0)))</f>
        <v>#DIV/0!</v>
      </c>
      <c r="Y818" s="6" t="e">
        <f ca="1">SQRT($B$9*AVERAGE(W818:OFFSET(W818,$B$6-1,0)))</f>
        <v>#DIV/0!</v>
      </c>
      <c r="Z818" s="6" t="e">
        <f ca="1">SQRT($B$9*AVERAGE(W818:OFFSET(W818,$B$7-1,0)))</f>
        <v>#DIV/0!</v>
      </c>
      <c r="AA818" s="6" t="e">
        <f ca="1">SQRT($B$9*AVERAGE(W818:OFFSET(W818,$B$8-1,0)))</f>
        <v>#DIV/0!</v>
      </c>
      <c r="AC818" s="34" t="e">
        <f t="shared" si="70"/>
        <v>#DIV/0!</v>
      </c>
      <c r="AD818" s="34" t="e">
        <f ca="1">SQRT($B$9*SUM(AC818:OFFSET(AC818,$B$5-1,0))/($B$5-1))</f>
        <v>#DIV/0!</v>
      </c>
      <c r="AE818" s="34" t="e">
        <f ca="1">SQRT($B$9*SUM(AC818:OFFSET(AC818,$B$6-1,0))/($B$6-1))</f>
        <v>#DIV/0!</v>
      </c>
      <c r="AF818" s="34" t="e">
        <f ca="1">SQRT($B$9*SUM(AC818:OFFSET(AC818,$B$7-1,0))/($B$7-1))</f>
        <v>#DIV/0!</v>
      </c>
      <c r="AG818" s="34" t="e">
        <f ca="1">SQRT($B$9*SUM(AC818:OFFSET(AC818,$B$8-1,0))/($B$8-1))</f>
        <v>#DIV/0!</v>
      </c>
      <c r="AI818" s="1" t="e">
        <f t="shared" si="71"/>
        <v>#DIV/0!</v>
      </c>
      <c r="AJ818" s="4" t="e">
        <f ca="1">SQRT($B$9)*_xlfn.STDEV.S(AI818:OFFSET(AI818,$B$5-1,0))</f>
        <v>#DIV/0!</v>
      </c>
      <c r="AK818" s="4" t="e">
        <f ca="1">SQRT($B$9)*_xlfn.STDEV.S(AI818:OFFSET(AI818,$B$6-1,0))</f>
        <v>#DIV/0!</v>
      </c>
      <c r="AL818" s="4" t="e">
        <f ca="1">SQRT($B$9)*_xlfn.STDEV.S(AI818:OFFSET(AI818,$B$7-1,0))</f>
        <v>#DIV/0!</v>
      </c>
      <c r="AM818" s="4" t="e">
        <f ca="1">SQRT($B$9)*_xlfn.STDEV.S(AI818:OFFSET(AI818,$B$8-1,0))</f>
        <v>#DIV/0!</v>
      </c>
    </row>
    <row r="819" spans="5:39" x14ac:dyDescent="0.2">
      <c r="E819" s="42">
        <v>44250</v>
      </c>
      <c r="F819" s="43"/>
      <c r="G819" s="43"/>
      <c r="H819" s="43"/>
      <c r="I819" s="43"/>
      <c r="K819" s="3" t="e">
        <f t="shared" si="69"/>
        <v>#DIV/0!</v>
      </c>
      <c r="L819" s="3" t="e">
        <f ca="1">SQRT(AVERAGE(K819:OFFSET(K819,$B$5-1,0))*$B$9/(4*LN(2)))</f>
        <v>#DIV/0!</v>
      </c>
      <c r="M819" s="3" t="e">
        <f ca="1">SQRT(AVERAGE(K819:OFFSET(K819,$B$6-1,0))*$B$9/(4*LN(2)))</f>
        <v>#DIV/0!</v>
      </c>
      <c r="N819" s="3" t="e">
        <f ca="1">SQRT(AVERAGE(K819:OFFSET(K819,$B$7-1,0))*$B$9/(4*LN(2)))</f>
        <v>#DIV/0!</v>
      </c>
      <c r="O819" s="3" t="e">
        <f ca="1">SQRT(AVERAGE(K819:OFFSET(K819,$B$8-1,0))*$B$9/(4*LN(2)))</f>
        <v>#DIV/0!</v>
      </c>
      <c r="Q819" s="5" t="e">
        <f t="shared" si="68"/>
        <v>#DIV/0!</v>
      </c>
      <c r="R819" s="5" t="e">
        <f ca="1">SQRT($B$9*AVERAGE((Q819:OFFSET(Q819,$B$5-1,0))))</f>
        <v>#DIV/0!</v>
      </c>
      <c r="S819" s="5" t="e">
        <f ca="1">SQRT($B$9*AVERAGE((Q819:OFFSET(Q819,$B$6-1,0))))</f>
        <v>#DIV/0!</v>
      </c>
      <c r="T819" s="5" t="e">
        <f ca="1">SQRT($B$9*AVERAGE((Q819:OFFSET(Q819,$B$7-1,0))))</f>
        <v>#DIV/0!</v>
      </c>
      <c r="U819" s="5" t="e">
        <f ca="1">SQRT($B$9*AVERAGE((Q819:OFFSET(Q819,$B$8-1,0))))</f>
        <v>#DIV/0!</v>
      </c>
      <c r="W819" s="6" t="e">
        <f t="shared" si="72"/>
        <v>#DIV/0!</v>
      </c>
      <c r="X819" s="6" t="e">
        <f ca="1">SQRT($B$9*AVERAGE(W819:OFFSET(W819,$B$5-1,0)))</f>
        <v>#DIV/0!</v>
      </c>
      <c r="Y819" s="6" t="e">
        <f ca="1">SQRT($B$9*AVERAGE(W819:OFFSET(W819,$B$6-1,0)))</f>
        <v>#DIV/0!</v>
      </c>
      <c r="Z819" s="6" t="e">
        <f ca="1">SQRT($B$9*AVERAGE(W819:OFFSET(W819,$B$7-1,0)))</f>
        <v>#DIV/0!</v>
      </c>
      <c r="AA819" s="6" t="e">
        <f ca="1">SQRT($B$9*AVERAGE(W819:OFFSET(W819,$B$8-1,0)))</f>
        <v>#DIV/0!</v>
      </c>
      <c r="AC819" s="34" t="e">
        <f t="shared" si="70"/>
        <v>#DIV/0!</v>
      </c>
      <c r="AD819" s="34" t="e">
        <f ca="1">SQRT($B$9*SUM(AC819:OFFSET(AC819,$B$5-1,0))/($B$5-1))</f>
        <v>#DIV/0!</v>
      </c>
      <c r="AE819" s="34" t="e">
        <f ca="1">SQRT($B$9*SUM(AC819:OFFSET(AC819,$B$6-1,0))/($B$6-1))</f>
        <v>#DIV/0!</v>
      </c>
      <c r="AF819" s="34" t="e">
        <f ca="1">SQRT($B$9*SUM(AC819:OFFSET(AC819,$B$7-1,0))/($B$7-1))</f>
        <v>#DIV/0!</v>
      </c>
      <c r="AG819" s="34" t="e">
        <f ca="1">SQRT($B$9*SUM(AC819:OFFSET(AC819,$B$8-1,0))/($B$8-1))</f>
        <v>#DIV/0!</v>
      </c>
      <c r="AI819" s="1" t="e">
        <f t="shared" si="71"/>
        <v>#DIV/0!</v>
      </c>
      <c r="AJ819" s="4" t="e">
        <f ca="1">SQRT($B$9)*_xlfn.STDEV.S(AI819:OFFSET(AI819,$B$5-1,0))</f>
        <v>#DIV/0!</v>
      </c>
      <c r="AK819" s="4" t="e">
        <f ca="1">SQRT($B$9)*_xlfn.STDEV.S(AI819:OFFSET(AI819,$B$6-1,0))</f>
        <v>#DIV/0!</v>
      </c>
      <c r="AL819" s="4" t="e">
        <f ca="1">SQRT($B$9)*_xlfn.STDEV.S(AI819:OFFSET(AI819,$B$7-1,0))</f>
        <v>#DIV/0!</v>
      </c>
      <c r="AM819" s="4" t="e">
        <f ca="1">SQRT($B$9)*_xlfn.STDEV.S(AI819:OFFSET(AI819,$B$8-1,0))</f>
        <v>#DIV/0!</v>
      </c>
    </row>
    <row r="820" spans="5:39" x14ac:dyDescent="0.2">
      <c r="E820" s="42">
        <v>44249</v>
      </c>
      <c r="F820" s="43"/>
      <c r="G820" s="43"/>
      <c r="H820" s="43"/>
      <c r="I820" s="43"/>
      <c r="K820" s="3" t="e">
        <f t="shared" si="69"/>
        <v>#DIV/0!</v>
      </c>
      <c r="L820" s="3" t="e">
        <f ca="1">SQRT(AVERAGE(K820:OFFSET(K820,$B$5-1,0))*$B$9/(4*LN(2)))</f>
        <v>#DIV/0!</v>
      </c>
      <c r="M820" s="3" t="e">
        <f ca="1">SQRT(AVERAGE(K820:OFFSET(K820,$B$6-1,0))*$B$9/(4*LN(2)))</f>
        <v>#DIV/0!</v>
      </c>
      <c r="N820" s="3" t="e">
        <f ca="1">SQRT(AVERAGE(K820:OFFSET(K820,$B$7-1,0))*$B$9/(4*LN(2)))</f>
        <v>#DIV/0!</v>
      </c>
      <c r="O820" s="3" t="e">
        <f ca="1">SQRT(AVERAGE(K820:OFFSET(K820,$B$8-1,0))*$B$9/(4*LN(2)))</f>
        <v>#DIV/0!</v>
      </c>
      <c r="Q820" s="5" t="e">
        <f t="shared" si="68"/>
        <v>#DIV/0!</v>
      </c>
      <c r="R820" s="5" t="e">
        <f ca="1">SQRT($B$9*AVERAGE((Q820:OFFSET(Q820,$B$5-1,0))))</f>
        <v>#DIV/0!</v>
      </c>
      <c r="S820" s="5" t="e">
        <f ca="1">SQRT($B$9*AVERAGE((Q820:OFFSET(Q820,$B$6-1,0))))</f>
        <v>#DIV/0!</v>
      </c>
      <c r="T820" s="5" t="e">
        <f ca="1">SQRT($B$9*AVERAGE((Q820:OFFSET(Q820,$B$7-1,0))))</f>
        <v>#DIV/0!</v>
      </c>
      <c r="U820" s="5" t="e">
        <f ca="1">SQRT($B$9*AVERAGE((Q820:OFFSET(Q820,$B$8-1,0))))</f>
        <v>#DIV/0!</v>
      </c>
      <c r="W820" s="6" t="e">
        <f t="shared" si="72"/>
        <v>#DIV/0!</v>
      </c>
      <c r="X820" s="6" t="e">
        <f ca="1">SQRT($B$9*AVERAGE(W820:OFFSET(W820,$B$5-1,0)))</f>
        <v>#DIV/0!</v>
      </c>
      <c r="Y820" s="6" t="e">
        <f ca="1">SQRT($B$9*AVERAGE(W820:OFFSET(W820,$B$6-1,0)))</f>
        <v>#DIV/0!</v>
      </c>
      <c r="Z820" s="6" t="e">
        <f ca="1">SQRT($B$9*AVERAGE(W820:OFFSET(W820,$B$7-1,0)))</f>
        <v>#DIV/0!</v>
      </c>
      <c r="AA820" s="6" t="e">
        <f ca="1">SQRT($B$9*AVERAGE(W820:OFFSET(W820,$B$8-1,0)))</f>
        <v>#DIV/0!</v>
      </c>
      <c r="AC820" s="34" t="e">
        <f t="shared" si="70"/>
        <v>#DIV/0!</v>
      </c>
      <c r="AD820" s="34" t="e">
        <f ca="1">SQRT($B$9*SUM(AC820:OFFSET(AC820,$B$5-1,0))/($B$5-1))</f>
        <v>#DIV/0!</v>
      </c>
      <c r="AE820" s="34" t="e">
        <f ca="1">SQRT($B$9*SUM(AC820:OFFSET(AC820,$B$6-1,0))/($B$6-1))</f>
        <v>#DIV/0!</v>
      </c>
      <c r="AF820" s="34" t="e">
        <f ca="1">SQRT($B$9*SUM(AC820:OFFSET(AC820,$B$7-1,0))/($B$7-1))</f>
        <v>#DIV/0!</v>
      </c>
      <c r="AG820" s="34" t="e">
        <f ca="1">SQRT($B$9*SUM(AC820:OFFSET(AC820,$B$8-1,0))/($B$8-1))</f>
        <v>#DIV/0!</v>
      </c>
      <c r="AI820" s="1" t="e">
        <f t="shared" si="71"/>
        <v>#DIV/0!</v>
      </c>
      <c r="AJ820" s="4" t="e">
        <f ca="1">SQRT($B$9)*_xlfn.STDEV.S(AI820:OFFSET(AI820,$B$5-1,0))</f>
        <v>#DIV/0!</v>
      </c>
      <c r="AK820" s="4" t="e">
        <f ca="1">SQRT($B$9)*_xlfn.STDEV.S(AI820:OFFSET(AI820,$B$6-1,0))</f>
        <v>#DIV/0!</v>
      </c>
      <c r="AL820" s="4" t="e">
        <f ca="1">SQRT($B$9)*_xlfn.STDEV.S(AI820:OFFSET(AI820,$B$7-1,0))</f>
        <v>#DIV/0!</v>
      </c>
      <c r="AM820" s="4" t="e">
        <f ca="1">SQRT($B$9)*_xlfn.STDEV.S(AI820:OFFSET(AI820,$B$8-1,0))</f>
        <v>#DIV/0!</v>
      </c>
    </row>
    <row r="821" spans="5:39" x14ac:dyDescent="0.2">
      <c r="E821" s="42">
        <v>44246</v>
      </c>
      <c r="F821" s="43"/>
      <c r="G821" s="43"/>
      <c r="H821" s="43"/>
      <c r="I821" s="43"/>
      <c r="K821" s="3" t="e">
        <f t="shared" si="69"/>
        <v>#DIV/0!</v>
      </c>
      <c r="L821" s="3" t="e">
        <f ca="1">SQRT(AVERAGE(K821:OFFSET(K821,$B$5-1,0))*$B$9/(4*LN(2)))</f>
        <v>#DIV/0!</v>
      </c>
      <c r="M821" s="3" t="e">
        <f ca="1">SQRT(AVERAGE(K821:OFFSET(K821,$B$6-1,0))*$B$9/(4*LN(2)))</f>
        <v>#DIV/0!</v>
      </c>
      <c r="N821" s="3" t="e">
        <f ca="1">SQRT(AVERAGE(K821:OFFSET(K821,$B$7-1,0))*$B$9/(4*LN(2)))</f>
        <v>#DIV/0!</v>
      </c>
      <c r="O821" s="3" t="e">
        <f ca="1">SQRT(AVERAGE(K821:OFFSET(K821,$B$8-1,0))*$B$9/(4*LN(2)))</f>
        <v>#DIV/0!</v>
      </c>
      <c r="Q821" s="5" t="e">
        <f t="shared" si="68"/>
        <v>#DIV/0!</v>
      </c>
      <c r="R821" s="5" t="e">
        <f ca="1">SQRT($B$9*AVERAGE((Q821:OFFSET(Q821,$B$5-1,0))))</f>
        <v>#DIV/0!</v>
      </c>
      <c r="S821" s="5" t="e">
        <f ca="1">SQRT($B$9*AVERAGE((Q821:OFFSET(Q821,$B$6-1,0))))</f>
        <v>#DIV/0!</v>
      </c>
      <c r="T821" s="5" t="e">
        <f ca="1">SQRT($B$9*AVERAGE((Q821:OFFSET(Q821,$B$7-1,0))))</f>
        <v>#DIV/0!</v>
      </c>
      <c r="U821" s="5" t="e">
        <f ca="1">SQRT($B$9*AVERAGE((Q821:OFFSET(Q821,$B$8-1,0))))</f>
        <v>#DIV/0!</v>
      </c>
      <c r="W821" s="6" t="e">
        <f t="shared" si="72"/>
        <v>#DIV/0!</v>
      </c>
      <c r="X821" s="6" t="e">
        <f ca="1">SQRT($B$9*AVERAGE(W821:OFFSET(W821,$B$5-1,0)))</f>
        <v>#DIV/0!</v>
      </c>
      <c r="Y821" s="6" t="e">
        <f ca="1">SQRT($B$9*AVERAGE(W821:OFFSET(W821,$B$6-1,0)))</f>
        <v>#DIV/0!</v>
      </c>
      <c r="Z821" s="6" t="e">
        <f ca="1">SQRT($B$9*AVERAGE(W821:OFFSET(W821,$B$7-1,0)))</f>
        <v>#DIV/0!</v>
      </c>
      <c r="AA821" s="6" t="e">
        <f ca="1">SQRT($B$9*AVERAGE(W821:OFFSET(W821,$B$8-1,0)))</f>
        <v>#DIV/0!</v>
      </c>
      <c r="AC821" s="34" t="e">
        <f t="shared" si="70"/>
        <v>#DIV/0!</v>
      </c>
      <c r="AD821" s="34" t="e">
        <f ca="1">SQRT($B$9*SUM(AC821:OFFSET(AC821,$B$5-1,0))/($B$5-1))</f>
        <v>#DIV/0!</v>
      </c>
      <c r="AE821" s="34" t="e">
        <f ca="1">SQRT($B$9*SUM(AC821:OFFSET(AC821,$B$6-1,0))/($B$6-1))</f>
        <v>#DIV/0!</v>
      </c>
      <c r="AF821" s="34" t="e">
        <f ca="1">SQRT($B$9*SUM(AC821:OFFSET(AC821,$B$7-1,0))/($B$7-1))</f>
        <v>#DIV/0!</v>
      </c>
      <c r="AG821" s="34" t="e">
        <f ca="1">SQRT($B$9*SUM(AC821:OFFSET(AC821,$B$8-1,0))/($B$8-1))</f>
        <v>#DIV/0!</v>
      </c>
      <c r="AI821" s="1" t="e">
        <f t="shared" si="71"/>
        <v>#DIV/0!</v>
      </c>
      <c r="AJ821" s="4" t="e">
        <f ca="1">SQRT($B$9)*_xlfn.STDEV.S(AI821:OFFSET(AI821,$B$5-1,0))</f>
        <v>#DIV/0!</v>
      </c>
      <c r="AK821" s="4" t="e">
        <f ca="1">SQRT($B$9)*_xlfn.STDEV.S(AI821:OFFSET(AI821,$B$6-1,0))</f>
        <v>#DIV/0!</v>
      </c>
      <c r="AL821" s="4" t="e">
        <f ca="1">SQRT($B$9)*_xlfn.STDEV.S(AI821:OFFSET(AI821,$B$7-1,0))</f>
        <v>#DIV/0!</v>
      </c>
      <c r="AM821" s="4" t="e">
        <f ca="1">SQRT($B$9)*_xlfn.STDEV.S(AI821:OFFSET(AI821,$B$8-1,0))</f>
        <v>#DIV/0!</v>
      </c>
    </row>
    <row r="822" spans="5:39" x14ac:dyDescent="0.2">
      <c r="E822" s="42">
        <v>44245</v>
      </c>
      <c r="F822" s="43"/>
      <c r="G822" s="43"/>
      <c r="H822" s="43"/>
      <c r="I822" s="43"/>
      <c r="K822" s="3" t="e">
        <f t="shared" si="69"/>
        <v>#DIV/0!</v>
      </c>
      <c r="L822" s="3" t="e">
        <f ca="1">SQRT(AVERAGE(K822:OFFSET(K822,$B$5-1,0))*$B$9/(4*LN(2)))</f>
        <v>#DIV/0!</v>
      </c>
      <c r="M822" s="3" t="e">
        <f ca="1">SQRT(AVERAGE(K822:OFFSET(K822,$B$6-1,0))*$B$9/(4*LN(2)))</f>
        <v>#DIV/0!</v>
      </c>
      <c r="N822" s="3" t="e">
        <f ca="1">SQRT(AVERAGE(K822:OFFSET(K822,$B$7-1,0))*$B$9/(4*LN(2)))</f>
        <v>#DIV/0!</v>
      </c>
      <c r="O822" s="3" t="e">
        <f ca="1">SQRT(AVERAGE(K822:OFFSET(K822,$B$8-1,0))*$B$9/(4*LN(2)))</f>
        <v>#DIV/0!</v>
      </c>
      <c r="Q822" s="5" t="e">
        <f t="shared" si="68"/>
        <v>#DIV/0!</v>
      </c>
      <c r="R822" s="5" t="e">
        <f ca="1">SQRT($B$9*AVERAGE((Q822:OFFSET(Q822,$B$5-1,0))))</f>
        <v>#DIV/0!</v>
      </c>
      <c r="S822" s="5" t="e">
        <f ca="1">SQRT($B$9*AVERAGE((Q822:OFFSET(Q822,$B$6-1,0))))</f>
        <v>#DIV/0!</v>
      </c>
      <c r="T822" s="5" t="e">
        <f ca="1">SQRT($B$9*AVERAGE((Q822:OFFSET(Q822,$B$7-1,0))))</f>
        <v>#DIV/0!</v>
      </c>
      <c r="U822" s="5" t="e">
        <f ca="1">SQRT($B$9*AVERAGE((Q822:OFFSET(Q822,$B$8-1,0))))</f>
        <v>#DIV/0!</v>
      </c>
      <c r="W822" s="6" t="e">
        <f t="shared" si="72"/>
        <v>#DIV/0!</v>
      </c>
      <c r="X822" s="6" t="e">
        <f ca="1">SQRT($B$9*AVERAGE(W822:OFFSET(W822,$B$5-1,0)))</f>
        <v>#DIV/0!</v>
      </c>
      <c r="Y822" s="6" t="e">
        <f ca="1">SQRT($B$9*AVERAGE(W822:OFFSET(W822,$B$6-1,0)))</f>
        <v>#DIV/0!</v>
      </c>
      <c r="Z822" s="6" t="e">
        <f ca="1">SQRT($B$9*AVERAGE(W822:OFFSET(W822,$B$7-1,0)))</f>
        <v>#DIV/0!</v>
      </c>
      <c r="AA822" s="6" t="e">
        <f ca="1">SQRT($B$9*AVERAGE(W822:OFFSET(W822,$B$8-1,0)))</f>
        <v>#DIV/0!</v>
      </c>
      <c r="AC822" s="34" t="e">
        <f t="shared" si="70"/>
        <v>#DIV/0!</v>
      </c>
      <c r="AD822" s="34" t="e">
        <f ca="1">SQRT($B$9*SUM(AC822:OFFSET(AC822,$B$5-1,0))/($B$5-1))</f>
        <v>#DIV/0!</v>
      </c>
      <c r="AE822" s="34" t="e">
        <f ca="1">SQRT($B$9*SUM(AC822:OFFSET(AC822,$B$6-1,0))/($B$6-1))</f>
        <v>#DIV/0!</v>
      </c>
      <c r="AF822" s="34" t="e">
        <f ca="1">SQRT($B$9*SUM(AC822:OFFSET(AC822,$B$7-1,0))/($B$7-1))</f>
        <v>#DIV/0!</v>
      </c>
      <c r="AG822" s="34" t="e">
        <f ca="1">SQRT($B$9*SUM(AC822:OFFSET(AC822,$B$8-1,0))/($B$8-1))</f>
        <v>#DIV/0!</v>
      </c>
      <c r="AI822" s="1" t="e">
        <f t="shared" si="71"/>
        <v>#DIV/0!</v>
      </c>
      <c r="AJ822" s="4" t="e">
        <f ca="1">SQRT($B$9)*_xlfn.STDEV.S(AI822:OFFSET(AI822,$B$5-1,0))</f>
        <v>#DIV/0!</v>
      </c>
      <c r="AK822" s="4" t="e">
        <f ca="1">SQRT($B$9)*_xlfn.STDEV.S(AI822:OFFSET(AI822,$B$6-1,0))</f>
        <v>#DIV/0!</v>
      </c>
      <c r="AL822" s="4" t="e">
        <f ca="1">SQRT($B$9)*_xlfn.STDEV.S(AI822:OFFSET(AI822,$B$7-1,0))</f>
        <v>#DIV/0!</v>
      </c>
      <c r="AM822" s="4" t="e">
        <f ca="1">SQRT($B$9)*_xlfn.STDEV.S(AI822:OFFSET(AI822,$B$8-1,0))</f>
        <v>#DIV/0!</v>
      </c>
    </row>
    <row r="823" spans="5:39" x14ac:dyDescent="0.2">
      <c r="E823" s="42">
        <v>44237</v>
      </c>
      <c r="F823" s="43"/>
      <c r="G823" s="43"/>
      <c r="H823" s="43"/>
      <c r="I823" s="43"/>
      <c r="K823" s="3" t="e">
        <f t="shared" si="69"/>
        <v>#DIV/0!</v>
      </c>
      <c r="L823" s="3" t="e">
        <f ca="1">SQRT(AVERAGE(K823:OFFSET(K823,$B$5-1,0))*$B$9/(4*LN(2)))</f>
        <v>#DIV/0!</v>
      </c>
      <c r="M823" s="3" t="e">
        <f ca="1">SQRT(AVERAGE(K823:OFFSET(K823,$B$6-1,0))*$B$9/(4*LN(2)))</f>
        <v>#DIV/0!</v>
      </c>
      <c r="N823" s="3" t="e">
        <f ca="1">SQRT(AVERAGE(K823:OFFSET(K823,$B$7-1,0))*$B$9/(4*LN(2)))</f>
        <v>#DIV/0!</v>
      </c>
      <c r="O823" s="3" t="e">
        <f ca="1">SQRT(AVERAGE(K823:OFFSET(K823,$B$8-1,0))*$B$9/(4*LN(2)))</f>
        <v>#DIV/0!</v>
      </c>
      <c r="Q823" s="5" t="e">
        <f t="shared" si="68"/>
        <v>#DIV/0!</v>
      </c>
      <c r="R823" s="5" t="e">
        <f ca="1">SQRT($B$9*AVERAGE((Q823:OFFSET(Q823,$B$5-1,0))))</f>
        <v>#DIV/0!</v>
      </c>
      <c r="S823" s="5" t="e">
        <f ca="1">SQRT($B$9*AVERAGE((Q823:OFFSET(Q823,$B$6-1,0))))</f>
        <v>#DIV/0!</v>
      </c>
      <c r="T823" s="5" t="e">
        <f ca="1">SQRT($B$9*AVERAGE((Q823:OFFSET(Q823,$B$7-1,0))))</f>
        <v>#DIV/0!</v>
      </c>
      <c r="U823" s="5" t="e">
        <f ca="1">SQRT($B$9*AVERAGE((Q823:OFFSET(Q823,$B$8-1,0))))</f>
        <v>#DIV/0!</v>
      </c>
      <c r="W823" s="6" t="e">
        <f t="shared" si="72"/>
        <v>#DIV/0!</v>
      </c>
      <c r="X823" s="6" t="e">
        <f ca="1">SQRT($B$9*AVERAGE(W823:OFFSET(W823,$B$5-1,0)))</f>
        <v>#DIV/0!</v>
      </c>
      <c r="Y823" s="6" t="e">
        <f ca="1">SQRT($B$9*AVERAGE(W823:OFFSET(W823,$B$6-1,0)))</f>
        <v>#DIV/0!</v>
      </c>
      <c r="Z823" s="6" t="e">
        <f ca="1">SQRT($B$9*AVERAGE(W823:OFFSET(W823,$B$7-1,0)))</f>
        <v>#DIV/0!</v>
      </c>
      <c r="AA823" s="6" t="e">
        <f ca="1">SQRT($B$9*AVERAGE(W823:OFFSET(W823,$B$8-1,0)))</f>
        <v>#DIV/0!</v>
      </c>
      <c r="AC823" s="34" t="e">
        <f t="shared" si="70"/>
        <v>#DIV/0!</v>
      </c>
      <c r="AD823" s="34" t="e">
        <f ca="1">SQRT($B$9*SUM(AC823:OFFSET(AC823,$B$5-1,0))/($B$5-1))</f>
        <v>#DIV/0!</v>
      </c>
      <c r="AE823" s="34" t="e">
        <f ca="1">SQRT($B$9*SUM(AC823:OFFSET(AC823,$B$6-1,0))/($B$6-1))</f>
        <v>#DIV/0!</v>
      </c>
      <c r="AF823" s="34" t="e">
        <f ca="1">SQRT($B$9*SUM(AC823:OFFSET(AC823,$B$7-1,0))/($B$7-1))</f>
        <v>#DIV/0!</v>
      </c>
      <c r="AG823" s="34" t="e">
        <f ca="1">SQRT($B$9*SUM(AC823:OFFSET(AC823,$B$8-1,0))/($B$8-1))</f>
        <v>#DIV/0!</v>
      </c>
      <c r="AI823" s="1" t="e">
        <f t="shared" si="71"/>
        <v>#DIV/0!</v>
      </c>
      <c r="AJ823" s="4" t="e">
        <f ca="1">SQRT($B$9)*_xlfn.STDEV.S(AI823:OFFSET(AI823,$B$5-1,0))</f>
        <v>#DIV/0!</v>
      </c>
      <c r="AK823" s="4" t="e">
        <f ca="1">SQRT($B$9)*_xlfn.STDEV.S(AI823:OFFSET(AI823,$B$6-1,0))</f>
        <v>#DIV/0!</v>
      </c>
      <c r="AL823" s="4" t="e">
        <f ca="1">SQRT($B$9)*_xlfn.STDEV.S(AI823:OFFSET(AI823,$B$7-1,0))</f>
        <v>#DIV/0!</v>
      </c>
      <c r="AM823" s="4" t="e">
        <f ca="1">SQRT($B$9)*_xlfn.STDEV.S(AI823:OFFSET(AI823,$B$8-1,0))</f>
        <v>#DIV/0!</v>
      </c>
    </row>
    <row r="824" spans="5:39" x14ac:dyDescent="0.2">
      <c r="E824" s="42">
        <v>44236</v>
      </c>
      <c r="F824" s="43"/>
      <c r="G824" s="43"/>
      <c r="H824" s="43"/>
      <c r="I824" s="43"/>
      <c r="K824" s="3" t="e">
        <f t="shared" si="69"/>
        <v>#DIV/0!</v>
      </c>
      <c r="L824" s="3" t="e">
        <f ca="1">SQRT(AVERAGE(K824:OFFSET(K824,$B$5-1,0))*$B$9/(4*LN(2)))</f>
        <v>#DIV/0!</v>
      </c>
      <c r="M824" s="3" t="e">
        <f ca="1">SQRT(AVERAGE(K824:OFFSET(K824,$B$6-1,0))*$B$9/(4*LN(2)))</f>
        <v>#DIV/0!</v>
      </c>
      <c r="N824" s="3" t="e">
        <f ca="1">SQRT(AVERAGE(K824:OFFSET(K824,$B$7-1,0))*$B$9/(4*LN(2)))</f>
        <v>#DIV/0!</v>
      </c>
      <c r="O824" s="3" t="e">
        <f ca="1">SQRT(AVERAGE(K824:OFFSET(K824,$B$8-1,0))*$B$9/(4*LN(2)))</f>
        <v>#DIV/0!</v>
      </c>
      <c r="Q824" s="5" t="e">
        <f t="shared" si="68"/>
        <v>#DIV/0!</v>
      </c>
      <c r="R824" s="5" t="e">
        <f ca="1">SQRT($B$9*AVERAGE((Q824:OFFSET(Q824,$B$5-1,0))))</f>
        <v>#DIV/0!</v>
      </c>
      <c r="S824" s="5" t="e">
        <f ca="1">SQRT($B$9*AVERAGE((Q824:OFFSET(Q824,$B$6-1,0))))</f>
        <v>#DIV/0!</v>
      </c>
      <c r="T824" s="5" t="e">
        <f ca="1">SQRT($B$9*AVERAGE((Q824:OFFSET(Q824,$B$7-1,0))))</f>
        <v>#DIV/0!</v>
      </c>
      <c r="U824" s="5" t="e">
        <f ca="1">SQRT($B$9*AVERAGE((Q824:OFFSET(Q824,$B$8-1,0))))</f>
        <v>#DIV/0!</v>
      </c>
      <c r="W824" s="6" t="e">
        <f t="shared" si="72"/>
        <v>#DIV/0!</v>
      </c>
      <c r="X824" s="6" t="e">
        <f ca="1">SQRT($B$9*AVERAGE(W824:OFFSET(W824,$B$5-1,0)))</f>
        <v>#DIV/0!</v>
      </c>
      <c r="Y824" s="6" t="e">
        <f ca="1">SQRT($B$9*AVERAGE(W824:OFFSET(W824,$B$6-1,0)))</f>
        <v>#DIV/0!</v>
      </c>
      <c r="Z824" s="6" t="e">
        <f ca="1">SQRT($B$9*AVERAGE(W824:OFFSET(W824,$B$7-1,0)))</f>
        <v>#DIV/0!</v>
      </c>
      <c r="AA824" s="6" t="e">
        <f ca="1">SQRT($B$9*AVERAGE(W824:OFFSET(W824,$B$8-1,0)))</f>
        <v>#DIV/0!</v>
      </c>
      <c r="AC824" s="34" t="e">
        <f t="shared" si="70"/>
        <v>#DIV/0!</v>
      </c>
      <c r="AD824" s="34" t="e">
        <f ca="1">SQRT($B$9*SUM(AC824:OFFSET(AC824,$B$5-1,0))/($B$5-1))</f>
        <v>#DIV/0!</v>
      </c>
      <c r="AE824" s="34" t="e">
        <f ca="1">SQRT($B$9*SUM(AC824:OFFSET(AC824,$B$6-1,0))/($B$6-1))</f>
        <v>#DIV/0!</v>
      </c>
      <c r="AF824" s="34" t="e">
        <f ca="1">SQRT($B$9*SUM(AC824:OFFSET(AC824,$B$7-1,0))/($B$7-1))</f>
        <v>#DIV/0!</v>
      </c>
      <c r="AG824" s="34" t="e">
        <f ca="1">SQRT($B$9*SUM(AC824:OFFSET(AC824,$B$8-1,0))/($B$8-1))</f>
        <v>#DIV/0!</v>
      </c>
      <c r="AI824" s="1" t="e">
        <f t="shared" si="71"/>
        <v>#DIV/0!</v>
      </c>
      <c r="AJ824" s="4" t="e">
        <f ca="1">SQRT($B$9)*_xlfn.STDEV.S(AI824:OFFSET(AI824,$B$5-1,0))</f>
        <v>#DIV/0!</v>
      </c>
      <c r="AK824" s="4" t="e">
        <f ca="1">SQRT($B$9)*_xlfn.STDEV.S(AI824:OFFSET(AI824,$B$6-1,0))</f>
        <v>#DIV/0!</v>
      </c>
      <c r="AL824" s="4" t="e">
        <f ca="1">SQRT($B$9)*_xlfn.STDEV.S(AI824:OFFSET(AI824,$B$7-1,0))</f>
        <v>#DIV/0!</v>
      </c>
      <c r="AM824" s="4" t="e">
        <f ca="1">SQRT($B$9)*_xlfn.STDEV.S(AI824:OFFSET(AI824,$B$8-1,0))</f>
        <v>#DIV/0!</v>
      </c>
    </row>
    <row r="825" spans="5:39" x14ac:dyDescent="0.2">
      <c r="E825" s="42">
        <v>44235</v>
      </c>
      <c r="F825" s="43"/>
      <c r="G825" s="43"/>
      <c r="H825" s="43"/>
      <c r="I825" s="43"/>
      <c r="K825" s="3" t="e">
        <f t="shared" si="69"/>
        <v>#DIV/0!</v>
      </c>
      <c r="L825" s="3" t="e">
        <f ca="1">SQRT(AVERAGE(K825:OFFSET(K825,$B$5-1,0))*$B$9/(4*LN(2)))</f>
        <v>#DIV/0!</v>
      </c>
      <c r="M825" s="3" t="e">
        <f ca="1">SQRT(AVERAGE(K825:OFFSET(K825,$B$6-1,0))*$B$9/(4*LN(2)))</f>
        <v>#DIV/0!</v>
      </c>
      <c r="N825" s="3" t="e">
        <f ca="1">SQRT(AVERAGE(K825:OFFSET(K825,$B$7-1,0))*$B$9/(4*LN(2)))</f>
        <v>#DIV/0!</v>
      </c>
      <c r="O825" s="3" t="e">
        <f ca="1">SQRT(AVERAGE(K825:OFFSET(K825,$B$8-1,0))*$B$9/(4*LN(2)))</f>
        <v>#DIV/0!</v>
      </c>
      <c r="Q825" s="5" t="e">
        <f t="shared" si="68"/>
        <v>#DIV/0!</v>
      </c>
      <c r="R825" s="5" t="e">
        <f ca="1">SQRT($B$9*AVERAGE((Q825:OFFSET(Q825,$B$5-1,0))))</f>
        <v>#DIV/0!</v>
      </c>
      <c r="S825" s="5" t="e">
        <f ca="1">SQRT($B$9*AVERAGE((Q825:OFFSET(Q825,$B$6-1,0))))</f>
        <v>#DIV/0!</v>
      </c>
      <c r="T825" s="5" t="e">
        <f ca="1">SQRT($B$9*AVERAGE((Q825:OFFSET(Q825,$B$7-1,0))))</f>
        <v>#DIV/0!</v>
      </c>
      <c r="U825" s="5" t="e">
        <f ca="1">SQRT($B$9*AVERAGE((Q825:OFFSET(Q825,$B$8-1,0))))</f>
        <v>#DIV/0!</v>
      </c>
      <c r="W825" s="6" t="e">
        <f t="shared" si="72"/>
        <v>#DIV/0!</v>
      </c>
      <c r="X825" s="6" t="e">
        <f ca="1">SQRT($B$9*AVERAGE(W825:OFFSET(W825,$B$5-1,0)))</f>
        <v>#DIV/0!</v>
      </c>
      <c r="Y825" s="6" t="e">
        <f ca="1">SQRT($B$9*AVERAGE(W825:OFFSET(W825,$B$6-1,0)))</f>
        <v>#DIV/0!</v>
      </c>
      <c r="Z825" s="6" t="e">
        <f ca="1">SQRT($B$9*AVERAGE(W825:OFFSET(W825,$B$7-1,0)))</f>
        <v>#DIV/0!</v>
      </c>
      <c r="AA825" s="6" t="e">
        <f ca="1">SQRT($B$9*AVERAGE(W825:OFFSET(W825,$B$8-1,0)))</f>
        <v>#DIV/0!</v>
      </c>
      <c r="AC825" s="34" t="e">
        <f t="shared" si="70"/>
        <v>#DIV/0!</v>
      </c>
      <c r="AD825" s="34" t="e">
        <f ca="1">SQRT($B$9*SUM(AC825:OFFSET(AC825,$B$5-1,0))/($B$5-1))</f>
        <v>#DIV/0!</v>
      </c>
      <c r="AE825" s="34" t="e">
        <f ca="1">SQRT($B$9*SUM(AC825:OFFSET(AC825,$B$6-1,0))/($B$6-1))</f>
        <v>#DIV/0!</v>
      </c>
      <c r="AF825" s="34" t="e">
        <f ca="1">SQRT($B$9*SUM(AC825:OFFSET(AC825,$B$7-1,0))/($B$7-1))</f>
        <v>#DIV/0!</v>
      </c>
      <c r="AG825" s="34" t="e">
        <f ca="1">SQRT($B$9*SUM(AC825:OFFSET(AC825,$B$8-1,0))/($B$8-1))</f>
        <v>#DIV/0!</v>
      </c>
      <c r="AI825" s="1" t="e">
        <f t="shared" si="71"/>
        <v>#DIV/0!</v>
      </c>
      <c r="AJ825" s="4" t="e">
        <f ca="1">SQRT($B$9)*_xlfn.STDEV.S(AI825:OFFSET(AI825,$B$5-1,0))</f>
        <v>#DIV/0!</v>
      </c>
      <c r="AK825" s="4" t="e">
        <f ca="1">SQRT($B$9)*_xlfn.STDEV.S(AI825:OFFSET(AI825,$B$6-1,0))</f>
        <v>#DIV/0!</v>
      </c>
      <c r="AL825" s="4" t="e">
        <f ca="1">SQRT($B$9)*_xlfn.STDEV.S(AI825:OFFSET(AI825,$B$7-1,0))</f>
        <v>#DIV/0!</v>
      </c>
      <c r="AM825" s="4" t="e">
        <f ca="1">SQRT($B$9)*_xlfn.STDEV.S(AI825:OFFSET(AI825,$B$8-1,0))</f>
        <v>#DIV/0!</v>
      </c>
    </row>
    <row r="826" spans="5:39" x14ac:dyDescent="0.2">
      <c r="E826" s="42">
        <v>44232</v>
      </c>
      <c r="F826" s="43"/>
      <c r="G826" s="43"/>
      <c r="H826" s="43"/>
      <c r="I826" s="43"/>
      <c r="K826" s="3" t="e">
        <f t="shared" si="69"/>
        <v>#DIV/0!</v>
      </c>
      <c r="L826" s="3" t="e">
        <f ca="1">SQRT(AVERAGE(K826:OFFSET(K826,$B$5-1,0))*$B$9/(4*LN(2)))</f>
        <v>#DIV/0!</v>
      </c>
      <c r="M826" s="3" t="e">
        <f ca="1">SQRT(AVERAGE(K826:OFFSET(K826,$B$6-1,0))*$B$9/(4*LN(2)))</f>
        <v>#DIV/0!</v>
      </c>
      <c r="N826" s="3" t="e">
        <f ca="1">SQRT(AVERAGE(K826:OFFSET(K826,$B$7-1,0))*$B$9/(4*LN(2)))</f>
        <v>#DIV/0!</v>
      </c>
      <c r="O826" s="3" t="e">
        <f ca="1">SQRT(AVERAGE(K826:OFFSET(K826,$B$8-1,0))*$B$9/(4*LN(2)))</f>
        <v>#DIV/0!</v>
      </c>
      <c r="Q826" s="5" t="e">
        <f t="shared" si="68"/>
        <v>#DIV/0!</v>
      </c>
      <c r="R826" s="5" t="e">
        <f ca="1">SQRT($B$9*AVERAGE((Q826:OFFSET(Q826,$B$5-1,0))))</f>
        <v>#DIV/0!</v>
      </c>
      <c r="S826" s="5" t="e">
        <f ca="1">SQRT($B$9*AVERAGE((Q826:OFFSET(Q826,$B$6-1,0))))</f>
        <v>#DIV/0!</v>
      </c>
      <c r="T826" s="5" t="e">
        <f ca="1">SQRT($B$9*AVERAGE((Q826:OFFSET(Q826,$B$7-1,0))))</f>
        <v>#DIV/0!</v>
      </c>
      <c r="U826" s="5" t="e">
        <f ca="1">SQRT($B$9*AVERAGE((Q826:OFFSET(Q826,$B$8-1,0))))</f>
        <v>#DIV/0!</v>
      </c>
      <c r="W826" s="6" t="e">
        <f t="shared" si="72"/>
        <v>#DIV/0!</v>
      </c>
      <c r="X826" s="6" t="e">
        <f ca="1">SQRT($B$9*AVERAGE(W826:OFFSET(W826,$B$5-1,0)))</f>
        <v>#DIV/0!</v>
      </c>
      <c r="Y826" s="6" t="e">
        <f ca="1">SQRT($B$9*AVERAGE(W826:OFFSET(W826,$B$6-1,0)))</f>
        <v>#DIV/0!</v>
      </c>
      <c r="Z826" s="6" t="e">
        <f ca="1">SQRT($B$9*AVERAGE(W826:OFFSET(W826,$B$7-1,0)))</f>
        <v>#DIV/0!</v>
      </c>
      <c r="AA826" s="6" t="e">
        <f ca="1">SQRT($B$9*AVERAGE(W826:OFFSET(W826,$B$8-1,0)))</f>
        <v>#DIV/0!</v>
      </c>
      <c r="AC826" s="34" t="e">
        <f t="shared" si="70"/>
        <v>#DIV/0!</v>
      </c>
      <c r="AD826" s="34" t="e">
        <f ca="1">SQRT($B$9*SUM(AC826:OFFSET(AC826,$B$5-1,0))/($B$5-1))</f>
        <v>#DIV/0!</v>
      </c>
      <c r="AE826" s="34" t="e">
        <f ca="1">SQRT($B$9*SUM(AC826:OFFSET(AC826,$B$6-1,0))/($B$6-1))</f>
        <v>#DIV/0!</v>
      </c>
      <c r="AF826" s="34" t="e">
        <f ca="1">SQRT($B$9*SUM(AC826:OFFSET(AC826,$B$7-1,0))/($B$7-1))</f>
        <v>#DIV/0!</v>
      </c>
      <c r="AG826" s="34" t="e">
        <f ca="1">SQRT($B$9*SUM(AC826:OFFSET(AC826,$B$8-1,0))/($B$8-1))</f>
        <v>#DIV/0!</v>
      </c>
      <c r="AI826" s="1" t="e">
        <f t="shared" si="71"/>
        <v>#DIV/0!</v>
      </c>
      <c r="AJ826" s="4" t="e">
        <f ca="1">SQRT($B$9)*_xlfn.STDEV.S(AI826:OFFSET(AI826,$B$5-1,0))</f>
        <v>#DIV/0!</v>
      </c>
      <c r="AK826" s="4" t="e">
        <f ca="1">SQRT($B$9)*_xlfn.STDEV.S(AI826:OFFSET(AI826,$B$6-1,0))</f>
        <v>#DIV/0!</v>
      </c>
      <c r="AL826" s="4" t="e">
        <f ca="1">SQRT($B$9)*_xlfn.STDEV.S(AI826:OFFSET(AI826,$B$7-1,0))</f>
        <v>#DIV/0!</v>
      </c>
      <c r="AM826" s="4" t="e">
        <f ca="1">SQRT($B$9)*_xlfn.STDEV.S(AI826:OFFSET(AI826,$B$8-1,0))</f>
        <v>#DIV/0!</v>
      </c>
    </row>
    <row r="827" spans="5:39" x14ac:dyDescent="0.2">
      <c r="E827" s="42">
        <v>44231</v>
      </c>
      <c r="F827" s="43"/>
      <c r="G827" s="43"/>
      <c r="H827" s="43"/>
      <c r="I827" s="43"/>
      <c r="K827" s="3" t="e">
        <f t="shared" si="69"/>
        <v>#DIV/0!</v>
      </c>
      <c r="L827" s="3" t="e">
        <f ca="1">SQRT(AVERAGE(K827:OFFSET(K827,$B$5-1,0))*$B$9/(4*LN(2)))</f>
        <v>#DIV/0!</v>
      </c>
      <c r="M827" s="3" t="e">
        <f ca="1">SQRT(AVERAGE(K827:OFFSET(K827,$B$6-1,0))*$B$9/(4*LN(2)))</f>
        <v>#DIV/0!</v>
      </c>
      <c r="N827" s="3" t="e">
        <f ca="1">SQRT(AVERAGE(K827:OFFSET(K827,$B$7-1,0))*$B$9/(4*LN(2)))</f>
        <v>#DIV/0!</v>
      </c>
      <c r="O827" s="3" t="e">
        <f ca="1">SQRT(AVERAGE(K827:OFFSET(K827,$B$8-1,0))*$B$9/(4*LN(2)))</f>
        <v>#DIV/0!</v>
      </c>
      <c r="Q827" s="5" t="e">
        <f t="shared" si="68"/>
        <v>#DIV/0!</v>
      </c>
      <c r="R827" s="5" t="e">
        <f ca="1">SQRT($B$9*AVERAGE((Q827:OFFSET(Q827,$B$5-1,0))))</f>
        <v>#DIV/0!</v>
      </c>
      <c r="S827" s="5" t="e">
        <f ca="1">SQRT($B$9*AVERAGE((Q827:OFFSET(Q827,$B$6-1,0))))</f>
        <v>#DIV/0!</v>
      </c>
      <c r="T827" s="5" t="e">
        <f ca="1">SQRT($B$9*AVERAGE((Q827:OFFSET(Q827,$B$7-1,0))))</f>
        <v>#DIV/0!</v>
      </c>
      <c r="U827" s="5" t="e">
        <f ca="1">SQRT($B$9*AVERAGE((Q827:OFFSET(Q827,$B$8-1,0))))</f>
        <v>#DIV/0!</v>
      </c>
      <c r="W827" s="6" t="e">
        <f t="shared" si="72"/>
        <v>#DIV/0!</v>
      </c>
      <c r="X827" s="6" t="e">
        <f ca="1">SQRT($B$9*AVERAGE(W827:OFFSET(W827,$B$5-1,0)))</f>
        <v>#DIV/0!</v>
      </c>
      <c r="Y827" s="6" t="e">
        <f ca="1">SQRT($B$9*AVERAGE(W827:OFFSET(W827,$B$6-1,0)))</f>
        <v>#DIV/0!</v>
      </c>
      <c r="Z827" s="6" t="e">
        <f ca="1">SQRT($B$9*AVERAGE(W827:OFFSET(W827,$B$7-1,0)))</f>
        <v>#DIV/0!</v>
      </c>
      <c r="AA827" s="6" t="e">
        <f ca="1">SQRT($B$9*AVERAGE(W827:OFFSET(W827,$B$8-1,0)))</f>
        <v>#DIV/0!</v>
      </c>
      <c r="AC827" s="34" t="e">
        <f t="shared" si="70"/>
        <v>#DIV/0!</v>
      </c>
      <c r="AD827" s="34" t="e">
        <f ca="1">SQRT($B$9*SUM(AC827:OFFSET(AC827,$B$5-1,0))/($B$5-1))</f>
        <v>#DIV/0!</v>
      </c>
      <c r="AE827" s="34" t="e">
        <f ca="1">SQRT($B$9*SUM(AC827:OFFSET(AC827,$B$6-1,0))/($B$6-1))</f>
        <v>#DIV/0!</v>
      </c>
      <c r="AF827" s="34" t="e">
        <f ca="1">SQRT($B$9*SUM(AC827:OFFSET(AC827,$B$7-1,0))/($B$7-1))</f>
        <v>#DIV/0!</v>
      </c>
      <c r="AG827" s="34" t="e">
        <f ca="1">SQRT($B$9*SUM(AC827:OFFSET(AC827,$B$8-1,0))/($B$8-1))</f>
        <v>#DIV/0!</v>
      </c>
      <c r="AI827" s="1" t="e">
        <f t="shared" si="71"/>
        <v>#DIV/0!</v>
      </c>
      <c r="AJ827" s="4" t="e">
        <f ca="1">SQRT($B$9)*_xlfn.STDEV.S(AI827:OFFSET(AI827,$B$5-1,0))</f>
        <v>#DIV/0!</v>
      </c>
      <c r="AK827" s="4" t="e">
        <f ca="1">SQRT($B$9)*_xlfn.STDEV.S(AI827:OFFSET(AI827,$B$6-1,0))</f>
        <v>#DIV/0!</v>
      </c>
      <c r="AL827" s="4" t="e">
        <f ca="1">SQRT($B$9)*_xlfn.STDEV.S(AI827:OFFSET(AI827,$B$7-1,0))</f>
        <v>#DIV/0!</v>
      </c>
      <c r="AM827" s="4" t="e">
        <f ca="1">SQRT($B$9)*_xlfn.STDEV.S(AI827:OFFSET(AI827,$B$8-1,0))</f>
        <v>#DIV/0!</v>
      </c>
    </row>
    <row r="828" spans="5:39" x14ac:dyDescent="0.2">
      <c r="E828" s="42">
        <v>44230</v>
      </c>
      <c r="F828" s="43"/>
      <c r="G828" s="43"/>
      <c r="H828" s="43"/>
      <c r="I828" s="43"/>
      <c r="K828" s="3" t="e">
        <f t="shared" si="69"/>
        <v>#DIV/0!</v>
      </c>
      <c r="L828" s="3" t="e">
        <f ca="1">SQRT(AVERAGE(K828:OFFSET(K828,$B$5-1,0))*$B$9/(4*LN(2)))</f>
        <v>#DIV/0!</v>
      </c>
      <c r="M828" s="3" t="e">
        <f ca="1">SQRT(AVERAGE(K828:OFFSET(K828,$B$6-1,0))*$B$9/(4*LN(2)))</f>
        <v>#DIV/0!</v>
      </c>
      <c r="N828" s="3" t="e">
        <f ca="1">SQRT(AVERAGE(K828:OFFSET(K828,$B$7-1,0))*$B$9/(4*LN(2)))</f>
        <v>#DIV/0!</v>
      </c>
      <c r="O828" s="3" t="e">
        <f ca="1">SQRT(AVERAGE(K828:OFFSET(K828,$B$8-1,0))*$B$9/(4*LN(2)))</f>
        <v>#DIV/0!</v>
      </c>
      <c r="Q828" s="5" t="e">
        <f t="shared" si="68"/>
        <v>#DIV/0!</v>
      </c>
      <c r="R828" s="5" t="e">
        <f ca="1">SQRT($B$9*AVERAGE((Q828:OFFSET(Q828,$B$5-1,0))))</f>
        <v>#DIV/0!</v>
      </c>
      <c r="S828" s="5" t="e">
        <f ca="1">SQRT($B$9*AVERAGE((Q828:OFFSET(Q828,$B$6-1,0))))</f>
        <v>#DIV/0!</v>
      </c>
      <c r="T828" s="5" t="e">
        <f ca="1">SQRT($B$9*AVERAGE((Q828:OFFSET(Q828,$B$7-1,0))))</f>
        <v>#DIV/0!</v>
      </c>
      <c r="U828" s="5" t="e">
        <f ca="1">SQRT($B$9*AVERAGE((Q828:OFFSET(Q828,$B$8-1,0))))</f>
        <v>#DIV/0!</v>
      </c>
      <c r="W828" s="6" t="e">
        <f t="shared" si="72"/>
        <v>#DIV/0!</v>
      </c>
      <c r="X828" s="6" t="e">
        <f ca="1">SQRT($B$9*AVERAGE(W828:OFFSET(W828,$B$5-1,0)))</f>
        <v>#DIV/0!</v>
      </c>
      <c r="Y828" s="6" t="e">
        <f ca="1">SQRT($B$9*AVERAGE(W828:OFFSET(W828,$B$6-1,0)))</f>
        <v>#DIV/0!</v>
      </c>
      <c r="Z828" s="6" t="e">
        <f ca="1">SQRT($B$9*AVERAGE(W828:OFFSET(W828,$B$7-1,0)))</f>
        <v>#DIV/0!</v>
      </c>
      <c r="AA828" s="6" t="e">
        <f ca="1">SQRT($B$9*AVERAGE(W828:OFFSET(W828,$B$8-1,0)))</f>
        <v>#DIV/0!</v>
      </c>
      <c r="AC828" s="34" t="e">
        <f t="shared" si="70"/>
        <v>#DIV/0!</v>
      </c>
      <c r="AD828" s="34" t="e">
        <f ca="1">SQRT($B$9*SUM(AC828:OFFSET(AC828,$B$5-1,0))/($B$5-1))</f>
        <v>#DIV/0!</v>
      </c>
      <c r="AE828" s="34" t="e">
        <f ca="1">SQRT($B$9*SUM(AC828:OFFSET(AC828,$B$6-1,0))/($B$6-1))</f>
        <v>#DIV/0!</v>
      </c>
      <c r="AF828" s="34" t="e">
        <f ca="1">SQRT($B$9*SUM(AC828:OFFSET(AC828,$B$7-1,0))/($B$7-1))</f>
        <v>#DIV/0!</v>
      </c>
      <c r="AG828" s="34" t="e">
        <f ca="1">SQRT($B$9*SUM(AC828:OFFSET(AC828,$B$8-1,0))/($B$8-1))</f>
        <v>#DIV/0!</v>
      </c>
      <c r="AI828" s="1" t="e">
        <f t="shared" si="71"/>
        <v>#DIV/0!</v>
      </c>
      <c r="AJ828" s="4" t="e">
        <f ca="1">SQRT($B$9)*_xlfn.STDEV.S(AI828:OFFSET(AI828,$B$5-1,0))</f>
        <v>#DIV/0!</v>
      </c>
      <c r="AK828" s="4" t="e">
        <f ca="1">SQRT($B$9)*_xlfn.STDEV.S(AI828:OFFSET(AI828,$B$6-1,0))</f>
        <v>#DIV/0!</v>
      </c>
      <c r="AL828" s="4" t="e">
        <f ca="1">SQRT($B$9)*_xlfn.STDEV.S(AI828:OFFSET(AI828,$B$7-1,0))</f>
        <v>#DIV/0!</v>
      </c>
      <c r="AM828" s="4" t="e">
        <f ca="1">SQRT($B$9)*_xlfn.STDEV.S(AI828:OFFSET(AI828,$B$8-1,0))</f>
        <v>#DIV/0!</v>
      </c>
    </row>
    <row r="829" spans="5:39" x14ac:dyDescent="0.2">
      <c r="E829" s="42">
        <v>44229</v>
      </c>
      <c r="F829" s="43"/>
      <c r="G829" s="43"/>
      <c r="H829" s="43"/>
      <c r="I829" s="43"/>
      <c r="K829" s="3" t="e">
        <f t="shared" si="69"/>
        <v>#DIV/0!</v>
      </c>
      <c r="L829" s="3" t="e">
        <f ca="1">SQRT(AVERAGE(K829:OFFSET(K829,$B$5-1,0))*$B$9/(4*LN(2)))</f>
        <v>#DIV/0!</v>
      </c>
      <c r="M829" s="3" t="e">
        <f ca="1">SQRT(AVERAGE(K829:OFFSET(K829,$B$6-1,0))*$B$9/(4*LN(2)))</f>
        <v>#DIV/0!</v>
      </c>
      <c r="N829" s="3" t="e">
        <f ca="1">SQRT(AVERAGE(K829:OFFSET(K829,$B$7-1,0))*$B$9/(4*LN(2)))</f>
        <v>#DIV/0!</v>
      </c>
      <c r="O829" s="3" t="e">
        <f ca="1">SQRT(AVERAGE(K829:OFFSET(K829,$B$8-1,0))*$B$9/(4*LN(2)))</f>
        <v>#DIV/0!</v>
      </c>
      <c r="Q829" s="5" t="e">
        <f t="shared" si="68"/>
        <v>#DIV/0!</v>
      </c>
      <c r="R829" s="5" t="e">
        <f ca="1">SQRT($B$9*AVERAGE((Q829:OFFSET(Q829,$B$5-1,0))))</f>
        <v>#DIV/0!</v>
      </c>
      <c r="S829" s="5" t="e">
        <f ca="1">SQRT($B$9*AVERAGE((Q829:OFFSET(Q829,$B$6-1,0))))</f>
        <v>#DIV/0!</v>
      </c>
      <c r="T829" s="5" t="e">
        <f ca="1">SQRT($B$9*AVERAGE((Q829:OFFSET(Q829,$B$7-1,0))))</f>
        <v>#DIV/0!</v>
      </c>
      <c r="U829" s="5" t="e">
        <f ca="1">SQRT($B$9*AVERAGE((Q829:OFFSET(Q829,$B$8-1,0))))</f>
        <v>#DIV/0!</v>
      </c>
      <c r="W829" s="6" t="e">
        <f t="shared" si="72"/>
        <v>#DIV/0!</v>
      </c>
      <c r="X829" s="6" t="e">
        <f ca="1">SQRT($B$9*AVERAGE(W829:OFFSET(W829,$B$5-1,0)))</f>
        <v>#DIV/0!</v>
      </c>
      <c r="Y829" s="6" t="e">
        <f ca="1">SQRT($B$9*AVERAGE(W829:OFFSET(W829,$B$6-1,0)))</f>
        <v>#DIV/0!</v>
      </c>
      <c r="Z829" s="6" t="e">
        <f ca="1">SQRT($B$9*AVERAGE(W829:OFFSET(W829,$B$7-1,0)))</f>
        <v>#DIV/0!</v>
      </c>
      <c r="AA829" s="6" t="e">
        <f ca="1">SQRT($B$9*AVERAGE(W829:OFFSET(W829,$B$8-1,0)))</f>
        <v>#DIV/0!</v>
      </c>
      <c r="AC829" s="34" t="e">
        <f t="shared" si="70"/>
        <v>#DIV/0!</v>
      </c>
      <c r="AD829" s="34" t="e">
        <f ca="1">SQRT($B$9*SUM(AC829:OFFSET(AC829,$B$5-1,0))/($B$5-1))</f>
        <v>#DIV/0!</v>
      </c>
      <c r="AE829" s="34" t="e">
        <f ca="1">SQRT($B$9*SUM(AC829:OFFSET(AC829,$B$6-1,0))/($B$6-1))</f>
        <v>#DIV/0!</v>
      </c>
      <c r="AF829" s="34" t="e">
        <f ca="1">SQRT($B$9*SUM(AC829:OFFSET(AC829,$B$7-1,0))/($B$7-1))</f>
        <v>#DIV/0!</v>
      </c>
      <c r="AG829" s="34" t="e">
        <f ca="1">SQRT($B$9*SUM(AC829:OFFSET(AC829,$B$8-1,0))/($B$8-1))</f>
        <v>#DIV/0!</v>
      </c>
      <c r="AI829" s="1" t="e">
        <f t="shared" si="71"/>
        <v>#DIV/0!</v>
      </c>
      <c r="AJ829" s="4" t="e">
        <f ca="1">SQRT($B$9)*_xlfn.STDEV.S(AI829:OFFSET(AI829,$B$5-1,0))</f>
        <v>#DIV/0!</v>
      </c>
      <c r="AK829" s="4" t="e">
        <f ca="1">SQRT($B$9)*_xlfn.STDEV.S(AI829:OFFSET(AI829,$B$6-1,0))</f>
        <v>#DIV/0!</v>
      </c>
      <c r="AL829" s="4" t="e">
        <f ca="1">SQRT($B$9)*_xlfn.STDEV.S(AI829:OFFSET(AI829,$B$7-1,0))</f>
        <v>#DIV/0!</v>
      </c>
      <c r="AM829" s="4" t="e">
        <f ca="1">SQRT($B$9)*_xlfn.STDEV.S(AI829:OFFSET(AI829,$B$8-1,0))</f>
        <v>#DIV/0!</v>
      </c>
    </row>
    <row r="830" spans="5:39" x14ac:dyDescent="0.2">
      <c r="E830" s="42">
        <v>44228</v>
      </c>
      <c r="F830" s="43"/>
      <c r="G830" s="43"/>
      <c r="H830" s="43"/>
      <c r="I830" s="43"/>
      <c r="K830" s="3" t="e">
        <f t="shared" si="69"/>
        <v>#DIV/0!</v>
      </c>
      <c r="L830" s="3" t="e">
        <f ca="1">SQRT(AVERAGE(K830:OFFSET(K830,$B$5-1,0))*$B$9/(4*LN(2)))</f>
        <v>#DIV/0!</v>
      </c>
      <c r="M830" s="3" t="e">
        <f ca="1">SQRT(AVERAGE(K830:OFFSET(K830,$B$6-1,0))*$B$9/(4*LN(2)))</f>
        <v>#DIV/0!</v>
      </c>
      <c r="N830" s="3" t="e">
        <f ca="1">SQRT(AVERAGE(K830:OFFSET(K830,$B$7-1,0))*$B$9/(4*LN(2)))</f>
        <v>#DIV/0!</v>
      </c>
      <c r="O830" s="3" t="e">
        <f ca="1">SQRT(AVERAGE(K830:OFFSET(K830,$B$8-1,0))*$B$9/(4*LN(2)))</f>
        <v>#DIV/0!</v>
      </c>
      <c r="Q830" s="5" t="e">
        <f t="shared" si="68"/>
        <v>#DIV/0!</v>
      </c>
      <c r="R830" s="5" t="e">
        <f ca="1">SQRT($B$9*AVERAGE((Q830:OFFSET(Q830,$B$5-1,0))))</f>
        <v>#DIV/0!</v>
      </c>
      <c r="S830" s="5" t="e">
        <f ca="1">SQRT($B$9*AVERAGE((Q830:OFFSET(Q830,$B$6-1,0))))</f>
        <v>#DIV/0!</v>
      </c>
      <c r="T830" s="5" t="e">
        <f ca="1">SQRT($B$9*AVERAGE((Q830:OFFSET(Q830,$B$7-1,0))))</f>
        <v>#DIV/0!</v>
      </c>
      <c r="U830" s="5" t="e">
        <f ca="1">SQRT($B$9*AVERAGE((Q830:OFFSET(Q830,$B$8-1,0))))</f>
        <v>#DIV/0!</v>
      </c>
      <c r="W830" s="6" t="e">
        <f t="shared" si="72"/>
        <v>#DIV/0!</v>
      </c>
      <c r="X830" s="6" t="e">
        <f ca="1">SQRT($B$9*AVERAGE(W830:OFFSET(W830,$B$5-1,0)))</f>
        <v>#DIV/0!</v>
      </c>
      <c r="Y830" s="6" t="e">
        <f ca="1">SQRT($B$9*AVERAGE(W830:OFFSET(W830,$B$6-1,0)))</f>
        <v>#DIV/0!</v>
      </c>
      <c r="Z830" s="6" t="e">
        <f ca="1">SQRT($B$9*AVERAGE(W830:OFFSET(W830,$B$7-1,0)))</f>
        <v>#DIV/0!</v>
      </c>
      <c r="AA830" s="6" t="e">
        <f ca="1">SQRT($B$9*AVERAGE(W830:OFFSET(W830,$B$8-1,0)))</f>
        <v>#DIV/0!</v>
      </c>
      <c r="AC830" s="34" t="e">
        <f t="shared" si="70"/>
        <v>#DIV/0!</v>
      </c>
      <c r="AD830" s="34" t="e">
        <f ca="1">SQRT($B$9*SUM(AC830:OFFSET(AC830,$B$5-1,0))/($B$5-1))</f>
        <v>#DIV/0!</v>
      </c>
      <c r="AE830" s="34" t="e">
        <f ca="1">SQRT($B$9*SUM(AC830:OFFSET(AC830,$B$6-1,0))/($B$6-1))</f>
        <v>#DIV/0!</v>
      </c>
      <c r="AF830" s="34" t="e">
        <f ca="1">SQRT($B$9*SUM(AC830:OFFSET(AC830,$B$7-1,0))/($B$7-1))</f>
        <v>#DIV/0!</v>
      </c>
      <c r="AG830" s="34" t="e">
        <f ca="1">SQRT($B$9*SUM(AC830:OFFSET(AC830,$B$8-1,0))/($B$8-1))</f>
        <v>#DIV/0!</v>
      </c>
      <c r="AI830" s="1" t="e">
        <f t="shared" si="71"/>
        <v>#DIV/0!</v>
      </c>
      <c r="AJ830" s="4" t="e">
        <f ca="1">SQRT($B$9)*_xlfn.STDEV.S(AI830:OFFSET(AI830,$B$5-1,0))</f>
        <v>#DIV/0!</v>
      </c>
      <c r="AK830" s="4" t="e">
        <f ca="1">SQRT($B$9)*_xlfn.STDEV.S(AI830:OFFSET(AI830,$B$6-1,0))</f>
        <v>#DIV/0!</v>
      </c>
      <c r="AL830" s="4" t="e">
        <f ca="1">SQRT($B$9)*_xlfn.STDEV.S(AI830:OFFSET(AI830,$B$7-1,0))</f>
        <v>#DIV/0!</v>
      </c>
      <c r="AM830" s="4" t="e">
        <f ca="1">SQRT($B$9)*_xlfn.STDEV.S(AI830:OFFSET(AI830,$B$8-1,0))</f>
        <v>#DIV/0!</v>
      </c>
    </row>
    <row r="831" spans="5:39" x14ac:dyDescent="0.2">
      <c r="E831" s="42">
        <v>44225</v>
      </c>
      <c r="F831" s="43"/>
      <c r="G831" s="43"/>
      <c r="H831" s="43"/>
      <c r="I831" s="43"/>
      <c r="K831" s="3" t="e">
        <f t="shared" si="69"/>
        <v>#DIV/0!</v>
      </c>
      <c r="L831" s="3" t="e">
        <f ca="1">SQRT(AVERAGE(K831:OFFSET(K831,$B$5-1,0))*$B$9/(4*LN(2)))</f>
        <v>#DIV/0!</v>
      </c>
      <c r="M831" s="3" t="e">
        <f ca="1">SQRT(AVERAGE(K831:OFFSET(K831,$B$6-1,0))*$B$9/(4*LN(2)))</f>
        <v>#DIV/0!</v>
      </c>
      <c r="N831" s="3" t="e">
        <f ca="1">SQRT(AVERAGE(K831:OFFSET(K831,$B$7-1,0))*$B$9/(4*LN(2)))</f>
        <v>#DIV/0!</v>
      </c>
      <c r="O831" s="3" t="e">
        <f ca="1">SQRT(AVERAGE(K831:OFFSET(K831,$B$8-1,0))*$B$9/(4*LN(2)))</f>
        <v>#DIV/0!</v>
      </c>
      <c r="Q831" s="5" t="e">
        <f t="shared" si="68"/>
        <v>#DIV/0!</v>
      </c>
      <c r="R831" s="5" t="e">
        <f ca="1">SQRT($B$9*AVERAGE((Q831:OFFSET(Q831,$B$5-1,0))))</f>
        <v>#DIV/0!</v>
      </c>
      <c r="S831" s="5" t="e">
        <f ca="1">SQRT($B$9*AVERAGE((Q831:OFFSET(Q831,$B$6-1,0))))</f>
        <v>#DIV/0!</v>
      </c>
      <c r="T831" s="5" t="e">
        <f ca="1">SQRT($B$9*AVERAGE((Q831:OFFSET(Q831,$B$7-1,0))))</f>
        <v>#DIV/0!</v>
      </c>
      <c r="U831" s="5" t="e">
        <f ca="1">SQRT($B$9*AVERAGE((Q831:OFFSET(Q831,$B$8-1,0))))</f>
        <v>#DIV/0!</v>
      </c>
      <c r="W831" s="6" t="e">
        <f t="shared" si="72"/>
        <v>#DIV/0!</v>
      </c>
      <c r="X831" s="6" t="e">
        <f ca="1">SQRT($B$9*AVERAGE(W831:OFFSET(W831,$B$5-1,0)))</f>
        <v>#DIV/0!</v>
      </c>
      <c r="Y831" s="6" t="e">
        <f ca="1">SQRT($B$9*AVERAGE(W831:OFFSET(W831,$B$6-1,0)))</f>
        <v>#DIV/0!</v>
      </c>
      <c r="Z831" s="6" t="e">
        <f ca="1">SQRT($B$9*AVERAGE(W831:OFFSET(W831,$B$7-1,0)))</f>
        <v>#DIV/0!</v>
      </c>
      <c r="AA831" s="6" t="e">
        <f ca="1">SQRT($B$9*AVERAGE(W831:OFFSET(W831,$B$8-1,0)))</f>
        <v>#DIV/0!</v>
      </c>
      <c r="AC831" s="34" t="e">
        <f t="shared" si="70"/>
        <v>#DIV/0!</v>
      </c>
      <c r="AD831" s="34" t="e">
        <f ca="1">SQRT($B$9*SUM(AC831:OFFSET(AC831,$B$5-1,0))/($B$5-1))</f>
        <v>#DIV/0!</v>
      </c>
      <c r="AE831" s="34" t="e">
        <f ca="1">SQRT($B$9*SUM(AC831:OFFSET(AC831,$B$6-1,0))/($B$6-1))</f>
        <v>#DIV/0!</v>
      </c>
      <c r="AF831" s="34" t="e">
        <f ca="1">SQRT($B$9*SUM(AC831:OFFSET(AC831,$B$7-1,0))/($B$7-1))</f>
        <v>#DIV/0!</v>
      </c>
      <c r="AG831" s="34" t="e">
        <f ca="1">SQRT($B$9*SUM(AC831:OFFSET(AC831,$B$8-1,0))/($B$8-1))</f>
        <v>#DIV/0!</v>
      </c>
      <c r="AI831" s="1" t="e">
        <f t="shared" si="71"/>
        <v>#DIV/0!</v>
      </c>
      <c r="AJ831" s="4" t="e">
        <f ca="1">SQRT($B$9)*_xlfn.STDEV.S(AI831:OFFSET(AI831,$B$5-1,0))</f>
        <v>#DIV/0!</v>
      </c>
      <c r="AK831" s="4" t="e">
        <f ca="1">SQRT($B$9)*_xlfn.STDEV.S(AI831:OFFSET(AI831,$B$6-1,0))</f>
        <v>#DIV/0!</v>
      </c>
      <c r="AL831" s="4" t="e">
        <f ca="1">SQRT($B$9)*_xlfn.STDEV.S(AI831:OFFSET(AI831,$B$7-1,0))</f>
        <v>#DIV/0!</v>
      </c>
      <c r="AM831" s="4" t="e">
        <f ca="1">SQRT($B$9)*_xlfn.STDEV.S(AI831:OFFSET(AI831,$B$8-1,0))</f>
        <v>#DIV/0!</v>
      </c>
    </row>
    <row r="832" spans="5:39" x14ac:dyDescent="0.2">
      <c r="E832" s="42">
        <v>44224</v>
      </c>
      <c r="F832" s="43"/>
      <c r="G832" s="43"/>
      <c r="H832" s="43"/>
      <c r="I832" s="43"/>
      <c r="K832" s="3" t="e">
        <f t="shared" si="69"/>
        <v>#DIV/0!</v>
      </c>
      <c r="L832" s="3" t="e">
        <f ca="1">SQRT(AVERAGE(K832:OFFSET(K832,$B$5-1,0))*$B$9/(4*LN(2)))</f>
        <v>#DIV/0!</v>
      </c>
      <c r="M832" s="3" t="e">
        <f ca="1">SQRT(AVERAGE(K832:OFFSET(K832,$B$6-1,0))*$B$9/(4*LN(2)))</f>
        <v>#DIV/0!</v>
      </c>
      <c r="N832" s="3" t="e">
        <f ca="1">SQRT(AVERAGE(K832:OFFSET(K832,$B$7-1,0))*$B$9/(4*LN(2)))</f>
        <v>#DIV/0!</v>
      </c>
      <c r="O832" s="3" t="e">
        <f ca="1">SQRT(AVERAGE(K832:OFFSET(K832,$B$8-1,0))*$B$9/(4*LN(2)))</f>
        <v>#DIV/0!</v>
      </c>
      <c r="Q832" s="5" t="e">
        <f t="shared" si="68"/>
        <v>#DIV/0!</v>
      </c>
      <c r="R832" s="5" t="e">
        <f ca="1">SQRT($B$9*AVERAGE((Q832:OFFSET(Q832,$B$5-1,0))))</f>
        <v>#DIV/0!</v>
      </c>
      <c r="S832" s="5" t="e">
        <f ca="1">SQRT($B$9*AVERAGE((Q832:OFFSET(Q832,$B$6-1,0))))</f>
        <v>#DIV/0!</v>
      </c>
      <c r="T832" s="5" t="e">
        <f ca="1">SQRT($B$9*AVERAGE((Q832:OFFSET(Q832,$B$7-1,0))))</f>
        <v>#DIV/0!</v>
      </c>
      <c r="U832" s="5" t="e">
        <f ca="1">SQRT($B$9*AVERAGE((Q832:OFFSET(Q832,$B$8-1,0))))</f>
        <v>#DIV/0!</v>
      </c>
      <c r="W832" s="6" t="e">
        <f t="shared" si="72"/>
        <v>#DIV/0!</v>
      </c>
      <c r="X832" s="6" t="e">
        <f ca="1">SQRT($B$9*AVERAGE(W832:OFFSET(W832,$B$5-1,0)))</f>
        <v>#DIV/0!</v>
      </c>
      <c r="Y832" s="6" t="e">
        <f ca="1">SQRT($B$9*AVERAGE(W832:OFFSET(W832,$B$6-1,0)))</f>
        <v>#DIV/0!</v>
      </c>
      <c r="Z832" s="6" t="e">
        <f ca="1">SQRT($B$9*AVERAGE(W832:OFFSET(W832,$B$7-1,0)))</f>
        <v>#DIV/0!</v>
      </c>
      <c r="AA832" s="6" t="e">
        <f ca="1">SQRT($B$9*AVERAGE(W832:OFFSET(W832,$B$8-1,0)))</f>
        <v>#DIV/0!</v>
      </c>
      <c r="AC832" s="34" t="e">
        <f t="shared" si="70"/>
        <v>#DIV/0!</v>
      </c>
      <c r="AD832" s="34" t="e">
        <f ca="1">SQRT($B$9*SUM(AC832:OFFSET(AC832,$B$5-1,0))/($B$5-1))</f>
        <v>#DIV/0!</v>
      </c>
      <c r="AE832" s="34" t="e">
        <f ca="1">SQRT($B$9*SUM(AC832:OFFSET(AC832,$B$6-1,0))/($B$6-1))</f>
        <v>#DIV/0!</v>
      </c>
      <c r="AF832" s="34" t="e">
        <f ca="1">SQRT($B$9*SUM(AC832:OFFSET(AC832,$B$7-1,0))/($B$7-1))</f>
        <v>#DIV/0!</v>
      </c>
      <c r="AG832" s="34" t="e">
        <f ca="1">SQRT($B$9*SUM(AC832:OFFSET(AC832,$B$8-1,0))/($B$8-1))</f>
        <v>#DIV/0!</v>
      </c>
      <c r="AI832" s="1" t="e">
        <f t="shared" si="71"/>
        <v>#DIV/0!</v>
      </c>
      <c r="AJ832" s="4" t="e">
        <f ca="1">SQRT($B$9)*_xlfn.STDEV.S(AI832:OFFSET(AI832,$B$5-1,0))</f>
        <v>#DIV/0!</v>
      </c>
      <c r="AK832" s="4" t="e">
        <f ca="1">SQRT($B$9)*_xlfn.STDEV.S(AI832:OFFSET(AI832,$B$6-1,0))</f>
        <v>#DIV/0!</v>
      </c>
      <c r="AL832" s="4" t="e">
        <f ca="1">SQRT($B$9)*_xlfn.STDEV.S(AI832:OFFSET(AI832,$B$7-1,0))</f>
        <v>#DIV/0!</v>
      </c>
      <c r="AM832" s="4" t="e">
        <f ca="1">SQRT($B$9)*_xlfn.STDEV.S(AI832:OFFSET(AI832,$B$8-1,0))</f>
        <v>#DIV/0!</v>
      </c>
    </row>
    <row r="833" spans="5:39" x14ac:dyDescent="0.2">
      <c r="E833" s="42">
        <v>44223</v>
      </c>
      <c r="F833" s="43"/>
      <c r="G833" s="43"/>
      <c r="H833" s="43"/>
      <c r="I833" s="43"/>
      <c r="K833" s="3" t="e">
        <f t="shared" si="69"/>
        <v>#DIV/0!</v>
      </c>
      <c r="L833" s="3" t="e">
        <f ca="1">SQRT(AVERAGE(K833:OFFSET(K833,$B$5-1,0))*$B$9/(4*LN(2)))</f>
        <v>#DIV/0!</v>
      </c>
      <c r="M833" s="3" t="e">
        <f ca="1">SQRT(AVERAGE(K833:OFFSET(K833,$B$6-1,0))*$B$9/(4*LN(2)))</f>
        <v>#DIV/0!</v>
      </c>
      <c r="N833" s="3" t="e">
        <f ca="1">SQRT(AVERAGE(K833:OFFSET(K833,$B$7-1,0))*$B$9/(4*LN(2)))</f>
        <v>#DIV/0!</v>
      </c>
      <c r="O833" s="3" t="e">
        <f ca="1">SQRT(AVERAGE(K833:OFFSET(K833,$B$8-1,0))*$B$9/(4*LN(2)))</f>
        <v>#DIV/0!</v>
      </c>
      <c r="Q833" s="5" t="e">
        <f t="shared" si="68"/>
        <v>#DIV/0!</v>
      </c>
      <c r="R833" s="5" t="e">
        <f ca="1">SQRT($B$9*AVERAGE((Q833:OFFSET(Q833,$B$5-1,0))))</f>
        <v>#DIV/0!</v>
      </c>
      <c r="S833" s="5" t="e">
        <f ca="1">SQRT($B$9*AVERAGE((Q833:OFFSET(Q833,$B$6-1,0))))</f>
        <v>#DIV/0!</v>
      </c>
      <c r="T833" s="5" t="e">
        <f ca="1">SQRT($B$9*AVERAGE((Q833:OFFSET(Q833,$B$7-1,0))))</f>
        <v>#DIV/0!</v>
      </c>
      <c r="U833" s="5" t="e">
        <f ca="1">SQRT($B$9*AVERAGE((Q833:OFFSET(Q833,$B$8-1,0))))</f>
        <v>#DIV/0!</v>
      </c>
      <c r="W833" s="6" t="e">
        <f t="shared" si="72"/>
        <v>#DIV/0!</v>
      </c>
      <c r="X833" s="6" t="e">
        <f ca="1">SQRT($B$9*AVERAGE(W833:OFFSET(W833,$B$5-1,0)))</f>
        <v>#DIV/0!</v>
      </c>
      <c r="Y833" s="6" t="e">
        <f ca="1">SQRT($B$9*AVERAGE(W833:OFFSET(W833,$B$6-1,0)))</f>
        <v>#DIV/0!</v>
      </c>
      <c r="Z833" s="6" t="e">
        <f ca="1">SQRT($B$9*AVERAGE(W833:OFFSET(W833,$B$7-1,0)))</f>
        <v>#DIV/0!</v>
      </c>
      <c r="AA833" s="6" t="e">
        <f ca="1">SQRT($B$9*AVERAGE(W833:OFFSET(W833,$B$8-1,0)))</f>
        <v>#DIV/0!</v>
      </c>
      <c r="AC833" s="34" t="e">
        <f t="shared" si="70"/>
        <v>#DIV/0!</v>
      </c>
      <c r="AD833" s="34" t="e">
        <f ca="1">SQRT($B$9*SUM(AC833:OFFSET(AC833,$B$5-1,0))/($B$5-1))</f>
        <v>#DIV/0!</v>
      </c>
      <c r="AE833" s="34" t="e">
        <f ca="1">SQRT($B$9*SUM(AC833:OFFSET(AC833,$B$6-1,0))/($B$6-1))</f>
        <v>#DIV/0!</v>
      </c>
      <c r="AF833" s="34" t="e">
        <f ca="1">SQRT($B$9*SUM(AC833:OFFSET(AC833,$B$7-1,0))/($B$7-1))</f>
        <v>#DIV/0!</v>
      </c>
      <c r="AG833" s="34" t="e">
        <f ca="1">SQRT($B$9*SUM(AC833:OFFSET(AC833,$B$8-1,0))/($B$8-1))</f>
        <v>#DIV/0!</v>
      </c>
      <c r="AI833" s="1" t="e">
        <f t="shared" si="71"/>
        <v>#DIV/0!</v>
      </c>
      <c r="AJ833" s="4" t="e">
        <f ca="1">SQRT($B$9)*_xlfn.STDEV.S(AI833:OFFSET(AI833,$B$5-1,0))</f>
        <v>#DIV/0!</v>
      </c>
      <c r="AK833" s="4" t="e">
        <f ca="1">SQRT($B$9)*_xlfn.STDEV.S(AI833:OFFSET(AI833,$B$6-1,0))</f>
        <v>#DIV/0!</v>
      </c>
      <c r="AL833" s="4" t="e">
        <f ca="1">SQRT($B$9)*_xlfn.STDEV.S(AI833:OFFSET(AI833,$B$7-1,0))</f>
        <v>#DIV/0!</v>
      </c>
      <c r="AM833" s="4" t="e">
        <f ca="1">SQRT($B$9)*_xlfn.STDEV.S(AI833:OFFSET(AI833,$B$8-1,0))</f>
        <v>#DIV/0!</v>
      </c>
    </row>
    <row r="834" spans="5:39" x14ac:dyDescent="0.2">
      <c r="E834" s="42">
        <v>44222</v>
      </c>
      <c r="F834" s="43"/>
      <c r="G834" s="43"/>
      <c r="H834" s="43"/>
      <c r="I834" s="43"/>
      <c r="K834" s="3" t="e">
        <f t="shared" si="69"/>
        <v>#DIV/0!</v>
      </c>
      <c r="L834" s="3" t="e">
        <f ca="1">SQRT(AVERAGE(K834:OFFSET(K834,$B$5-1,0))*$B$9/(4*LN(2)))</f>
        <v>#DIV/0!</v>
      </c>
      <c r="M834" s="3" t="e">
        <f ca="1">SQRT(AVERAGE(K834:OFFSET(K834,$B$6-1,0))*$B$9/(4*LN(2)))</f>
        <v>#DIV/0!</v>
      </c>
      <c r="N834" s="3" t="e">
        <f ca="1">SQRT(AVERAGE(K834:OFFSET(K834,$B$7-1,0))*$B$9/(4*LN(2)))</f>
        <v>#DIV/0!</v>
      </c>
      <c r="O834" s="3" t="e">
        <f ca="1">SQRT(AVERAGE(K834:OFFSET(K834,$B$8-1,0))*$B$9/(4*LN(2)))</f>
        <v>#DIV/0!</v>
      </c>
      <c r="Q834" s="5" t="e">
        <f t="shared" si="68"/>
        <v>#DIV/0!</v>
      </c>
      <c r="R834" s="5" t="e">
        <f ca="1">SQRT($B$9*AVERAGE((Q834:OFFSET(Q834,$B$5-1,0))))</f>
        <v>#DIV/0!</v>
      </c>
      <c r="S834" s="5" t="e">
        <f ca="1">SQRT($B$9*AVERAGE((Q834:OFFSET(Q834,$B$6-1,0))))</f>
        <v>#DIV/0!</v>
      </c>
      <c r="T834" s="5" t="e">
        <f ca="1">SQRT($B$9*AVERAGE((Q834:OFFSET(Q834,$B$7-1,0))))</f>
        <v>#DIV/0!</v>
      </c>
      <c r="U834" s="5" t="e">
        <f ca="1">SQRT($B$9*AVERAGE((Q834:OFFSET(Q834,$B$8-1,0))))</f>
        <v>#DIV/0!</v>
      </c>
      <c r="W834" s="6" t="e">
        <f t="shared" si="72"/>
        <v>#DIV/0!</v>
      </c>
      <c r="X834" s="6" t="e">
        <f ca="1">SQRT($B$9*AVERAGE(W834:OFFSET(W834,$B$5-1,0)))</f>
        <v>#DIV/0!</v>
      </c>
      <c r="Y834" s="6" t="e">
        <f ca="1">SQRT($B$9*AVERAGE(W834:OFFSET(W834,$B$6-1,0)))</f>
        <v>#DIV/0!</v>
      </c>
      <c r="Z834" s="6" t="e">
        <f ca="1">SQRT($B$9*AVERAGE(W834:OFFSET(W834,$B$7-1,0)))</f>
        <v>#DIV/0!</v>
      </c>
      <c r="AA834" s="6" t="e">
        <f ca="1">SQRT($B$9*AVERAGE(W834:OFFSET(W834,$B$8-1,0)))</f>
        <v>#DIV/0!</v>
      </c>
      <c r="AC834" s="34" t="e">
        <f t="shared" si="70"/>
        <v>#DIV/0!</v>
      </c>
      <c r="AD834" s="34" t="e">
        <f ca="1">SQRT($B$9*SUM(AC834:OFFSET(AC834,$B$5-1,0))/($B$5-1))</f>
        <v>#DIV/0!</v>
      </c>
      <c r="AE834" s="34" t="e">
        <f ca="1">SQRT($B$9*SUM(AC834:OFFSET(AC834,$B$6-1,0))/($B$6-1))</f>
        <v>#DIV/0!</v>
      </c>
      <c r="AF834" s="34" t="e">
        <f ca="1">SQRT($B$9*SUM(AC834:OFFSET(AC834,$B$7-1,0))/($B$7-1))</f>
        <v>#DIV/0!</v>
      </c>
      <c r="AG834" s="34" t="e">
        <f ca="1">SQRT($B$9*SUM(AC834:OFFSET(AC834,$B$8-1,0))/($B$8-1))</f>
        <v>#DIV/0!</v>
      </c>
      <c r="AI834" s="1" t="e">
        <f t="shared" si="71"/>
        <v>#DIV/0!</v>
      </c>
      <c r="AJ834" s="4" t="e">
        <f ca="1">SQRT($B$9)*_xlfn.STDEV.S(AI834:OFFSET(AI834,$B$5-1,0))</f>
        <v>#DIV/0!</v>
      </c>
      <c r="AK834" s="4" t="e">
        <f ca="1">SQRT($B$9)*_xlfn.STDEV.S(AI834:OFFSET(AI834,$B$6-1,0))</f>
        <v>#DIV/0!</v>
      </c>
      <c r="AL834" s="4" t="e">
        <f ca="1">SQRT($B$9)*_xlfn.STDEV.S(AI834:OFFSET(AI834,$B$7-1,0))</f>
        <v>#DIV/0!</v>
      </c>
      <c r="AM834" s="4" t="e">
        <f ca="1">SQRT($B$9)*_xlfn.STDEV.S(AI834:OFFSET(AI834,$B$8-1,0))</f>
        <v>#DIV/0!</v>
      </c>
    </row>
    <row r="835" spans="5:39" x14ac:dyDescent="0.2">
      <c r="E835" s="42">
        <v>44221</v>
      </c>
      <c r="F835" s="43"/>
      <c r="G835" s="43"/>
      <c r="H835" s="43"/>
      <c r="I835" s="43"/>
      <c r="K835" s="3" t="e">
        <f t="shared" si="69"/>
        <v>#DIV/0!</v>
      </c>
      <c r="L835" s="3" t="e">
        <f ca="1">SQRT(AVERAGE(K835:OFFSET(K835,$B$5-1,0))*$B$9/(4*LN(2)))</f>
        <v>#DIV/0!</v>
      </c>
      <c r="M835" s="3" t="e">
        <f ca="1">SQRT(AVERAGE(K835:OFFSET(K835,$B$6-1,0))*$B$9/(4*LN(2)))</f>
        <v>#DIV/0!</v>
      </c>
      <c r="N835" s="3" t="e">
        <f ca="1">SQRT(AVERAGE(K835:OFFSET(K835,$B$7-1,0))*$B$9/(4*LN(2)))</f>
        <v>#DIV/0!</v>
      </c>
      <c r="O835" s="3" t="e">
        <f ca="1">SQRT(AVERAGE(K835:OFFSET(K835,$B$8-1,0))*$B$9/(4*LN(2)))</f>
        <v>#DIV/0!</v>
      </c>
      <c r="Q835" s="5" t="e">
        <f t="shared" si="68"/>
        <v>#DIV/0!</v>
      </c>
      <c r="R835" s="5" t="e">
        <f ca="1">SQRT($B$9*AVERAGE((Q835:OFFSET(Q835,$B$5-1,0))))</f>
        <v>#DIV/0!</v>
      </c>
      <c r="S835" s="5" t="e">
        <f ca="1">SQRT($B$9*AVERAGE((Q835:OFFSET(Q835,$B$6-1,0))))</f>
        <v>#DIV/0!</v>
      </c>
      <c r="T835" s="5" t="e">
        <f ca="1">SQRT($B$9*AVERAGE((Q835:OFFSET(Q835,$B$7-1,0))))</f>
        <v>#DIV/0!</v>
      </c>
      <c r="U835" s="5" t="e">
        <f ca="1">SQRT($B$9*AVERAGE((Q835:OFFSET(Q835,$B$8-1,0))))</f>
        <v>#DIV/0!</v>
      </c>
      <c r="W835" s="6" t="e">
        <f t="shared" si="72"/>
        <v>#DIV/0!</v>
      </c>
      <c r="X835" s="6" t="e">
        <f ca="1">SQRT($B$9*AVERAGE(W835:OFFSET(W835,$B$5-1,0)))</f>
        <v>#DIV/0!</v>
      </c>
      <c r="Y835" s="6" t="e">
        <f ca="1">SQRT($B$9*AVERAGE(W835:OFFSET(W835,$B$6-1,0)))</f>
        <v>#DIV/0!</v>
      </c>
      <c r="Z835" s="6" t="e">
        <f ca="1">SQRT($B$9*AVERAGE(W835:OFFSET(W835,$B$7-1,0)))</f>
        <v>#DIV/0!</v>
      </c>
      <c r="AA835" s="6" t="e">
        <f ca="1">SQRT($B$9*AVERAGE(W835:OFFSET(W835,$B$8-1,0)))</f>
        <v>#DIV/0!</v>
      </c>
      <c r="AC835" s="34" t="e">
        <f t="shared" si="70"/>
        <v>#DIV/0!</v>
      </c>
      <c r="AD835" s="34" t="e">
        <f ca="1">SQRT($B$9*SUM(AC835:OFFSET(AC835,$B$5-1,0))/($B$5-1))</f>
        <v>#DIV/0!</v>
      </c>
      <c r="AE835" s="34" t="e">
        <f ca="1">SQRT($B$9*SUM(AC835:OFFSET(AC835,$B$6-1,0))/($B$6-1))</f>
        <v>#DIV/0!</v>
      </c>
      <c r="AF835" s="34" t="e">
        <f ca="1">SQRT($B$9*SUM(AC835:OFFSET(AC835,$B$7-1,0))/($B$7-1))</f>
        <v>#DIV/0!</v>
      </c>
      <c r="AG835" s="34" t="e">
        <f ca="1">SQRT($B$9*SUM(AC835:OFFSET(AC835,$B$8-1,0))/($B$8-1))</f>
        <v>#DIV/0!</v>
      </c>
      <c r="AI835" s="1" t="e">
        <f t="shared" si="71"/>
        <v>#DIV/0!</v>
      </c>
      <c r="AJ835" s="4" t="e">
        <f ca="1">SQRT($B$9)*_xlfn.STDEV.S(AI835:OFFSET(AI835,$B$5-1,0))</f>
        <v>#DIV/0!</v>
      </c>
      <c r="AK835" s="4" t="e">
        <f ca="1">SQRT($B$9)*_xlfn.STDEV.S(AI835:OFFSET(AI835,$B$6-1,0))</f>
        <v>#DIV/0!</v>
      </c>
      <c r="AL835" s="4" t="e">
        <f ca="1">SQRT($B$9)*_xlfn.STDEV.S(AI835:OFFSET(AI835,$B$7-1,0))</f>
        <v>#DIV/0!</v>
      </c>
      <c r="AM835" s="4" t="e">
        <f ca="1">SQRT($B$9)*_xlfn.STDEV.S(AI835:OFFSET(AI835,$B$8-1,0))</f>
        <v>#DIV/0!</v>
      </c>
    </row>
    <row r="836" spans="5:39" x14ac:dyDescent="0.2">
      <c r="E836" s="42">
        <v>44218</v>
      </c>
      <c r="F836" s="43"/>
      <c r="G836" s="43"/>
      <c r="H836" s="43"/>
      <c r="I836" s="43"/>
      <c r="K836" s="3" t="e">
        <f t="shared" si="69"/>
        <v>#DIV/0!</v>
      </c>
      <c r="L836" s="3" t="e">
        <f ca="1">SQRT(AVERAGE(K836:OFFSET(K836,$B$5-1,0))*$B$9/(4*LN(2)))</f>
        <v>#DIV/0!</v>
      </c>
      <c r="M836" s="3" t="e">
        <f ca="1">SQRT(AVERAGE(K836:OFFSET(K836,$B$6-1,0))*$B$9/(4*LN(2)))</f>
        <v>#DIV/0!</v>
      </c>
      <c r="N836" s="3" t="e">
        <f ca="1">SQRT(AVERAGE(K836:OFFSET(K836,$B$7-1,0))*$B$9/(4*LN(2)))</f>
        <v>#DIV/0!</v>
      </c>
      <c r="O836" s="3" t="e">
        <f ca="1">SQRT(AVERAGE(K836:OFFSET(K836,$B$8-1,0))*$B$9/(4*LN(2)))</f>
        <v>#DIV/0!</v>
      </c>
      <c r="Q836" s="5" t="e">
        <f t="shared" si="68"/>
        <v>#DIV/0!</v>
      </c>
      <c r="R836" s="5" t="e">
        <f ca="1">SQRT($B$9*AVERAGE((Q836:OFFSET(Q836,$B$5-1,0))))</f>
        <v>#DIV/0!</v>
      </c>
      <c r="S836" s="5" t="e">
        <f ca="1">SQRT($B$9*AVERAGE((Q836:OFFSET(Q836,$B$6-1,0))))</f>
        <v>#DIV/0!</v>
      </c>
      <c r="T836" s="5" t="e">
        <f ca="1">SQRT($B$9*AVERAGE((Q836:OFFSET(Q836,$B$7-1,0))))</f>
        <v>#DIV/0!</v>
      </c>
      <c r="U836" s="5" t="e">
        <f ca="1">SQRT($B$9*AVERAGE((Q836:OFFSET(Q836,$B$8-1,0))))</f>
        <v>#DIV/0!</v>
      </c>
      <c r="W836" s="6" t="e">
        <f t="shared" si="72"/>
        <v>#DIV/0!</v>
      </c>
      <c r="X836" s="6" t="e">
        <f ca="1">SQRT($B$9*AVERAGE(W836:OFFSET(W836,$B$5-1,0)))</f>
        <v>#DIV/0!</v>
      </c>
      <c r="Y836" s="6" t="e">
        <f ca="1">SQRT($B$9*AVERAGE(W836:OFFSET(W836,$B$6-1,0)))</f>
        <v>#DIV/0!</v>
      </c>
      <c r="Z836" s="6" t="e">
        <f ca="1">SQRT($B$9*AVERAGE(W836:OFFSET(W836,$B$7-1,0)))</f>
        <v>#DIV/0!</v>
      </c>
      <c r="AA836" s="6" t="e">
        <f ca="1">SQRT($B$9*AVERAGE(W836:OFFSET(W836,$B$8-1,0)))</f>
        <v>#DIV/0!</v>
      </c>
      <c r="AC836" s="34" t="e">
        <f t="shared" si="70"/>
        <v>#DIV/0!</v>
      </c>
      <c r="AD836" s="34" t="e">
        <f ca="1">SQRT($B$9*SUM(AC836:OFFSET(AC836,$B$5-1,0))/($B$5-1))</f>
        <v>#DIV/0!</v>
      </c>
      <c r="AE836" s="34" t="e">
        <f ca="1">SQRT($B$9*SUM(AC836:OFFSET(AC836,$B$6-1,0))/($B$6-1))</f>
        <v>#DIV/0!</v>
      </c>
      <c r="AF836" s="34" t="e">
        <f ca="1">SQRT($B$9*SUM(AC836:OFFSET(AC836,$B$7-1,0))/($B$7-1))</f>
        <v>#DIV/0!</v>
      </c>
      <c r="AG836" s="34" t="e">
        <f ca="1">SQRT($B$9*SUM(AC836:OFFSET(AC836,$B$8-1,0))/($B$8-1))</f>
        <v>#DIV/0!</v>
      </c>
      <c r="AI836" s="1" t="e">
        <f t="shared" si="71"/>
        <v>#DIV/0!</v>
      </c>
      <c r="AJ836" s="4" t="e">
        <f ca="1">SQRT($B$9)*_xlfn.STDEV.S(AI836:OFFSET(AI836,$B$5-1,0))</f>
        <v>#DIV/0!</v>
      </c>
      <c r="AK836" s="4" t="e">
        <f ca="1">SQRT($B$9)*_xlfn.STDEV.S(AI836:OFFSET(AI836,$B$6-1,0))</f>
        <v>#DIV/0!</v>
      </c>
      <c r="AL836" s="4" t="e">
        <f ca="1">SQRT($B$9)*_xlfn.STDEV.S(AI836:OFFSET(AI836,$B$7-1,0))</f>
        <v>#DIV/0!</v>
      </c>
      <c r="AM836" s="4" t="e">
        <f ca="1">SQRT($B$9)*_xlfn.STDEV.S(AI836:OFFSET(AI836,$B$8-1,0))</f>
        <v>#DIV/0!</v>
      </c>
    </row>
    <row r="837" spans="5:39" x14ac:dyDescent="0.2">
      <c r="E837" s="42">
        <v>44217</v>
      </c>
      <c r="F837" s="43"/>
      <c r="G837" s="43"/>
      <c r="H837" s="43"/>
      <c r="I837" s="43"/>
      <c r="K837" s="3" t="e">
        <f t="shared" si="69"/>
        <v>#DIV/0!</v>
      </c>
      <c r="L837" s="3" t="e">
        <f ca="1">SQRT(AVERAGE(K837:OFFSET(K837,$B$5-1,0))*$B$9/(4*LN(2)))</f>
        <v>#DIV/0!</v>
      </c>
      <c r="M837" s="3" t="e">
        <f ca="1">SQRT(AVERAGE(K837:OFFSET(K837,$B$6-1,0))*$B$9/(4*LN(2)))</f>
        <v>#DIV/0!</v>
      </c>
      <c r="N837" s="3" t="e">
        <f ca="1">SQRT(AVERAGE(K837:OFFSET(K837,$B$7-1,0))*$B$9/(4*LN(2)))</f>
        <v>#DIV/0!</v>
      </c>
      <c r="O837" s="3" t="e">
        <f ca="1">SQRT(AVERAGE(K837:OFFSET(K837,$B$8-1,0))*$B$9/(4*LN(2)))</f>
        <v>#DIV/0!</v>
      </c>
      <c r="Q837" s="5" t="e">
        <f t="shared" ref="Q837:Q900" si="73">0.511*(LN(G837/H837))^2-0.019*(LN(I837/F837)*LN(G837*H837/F837^2)-2*LN(G837/F837)*LN(H837/F837))-0.383*(LN(I837/F837))^2</f>
        <v>#DIV/0!</v>
      </c>
      <c r="R837" s="5" t="e">
        <f ca="1">SQRT($B$9*AVERAGE((Q837:OFFSET(Q837,$B$5-1,0))))</f>
        <v>#DIV/0!</v>
      </c>
      <c r="S837" s="5" t="e">
        <f ca="1">SQRT($B$9*AVERAGE((Q837:OFFSET(Q837,$B$6-1,0))))</f>
        <v>#DIV/0!</v>
      </c>
      <c r="T837" s="5" t="e">
        <f ca="1">SQRT($B$9*AVERAGE((Q837:OFFSET(Q837,$B$7-1,0))))</f>
        <v>#DIV/0!</v>
      </c>
      <c r="U837" s="5" t="e">
        <f ca="1">SQRT($B$9*AVERAGE((Q837:OFFSET(Q837,$B$8-1,0))))</f>
        <v>#DIV/0!</v>
      </c>
      <c r="W837" s="6" t="e">
        <f t="shared" si="72"/>
        <v>#DIV/0!</v>
      </c>
      <c r="X837" s="6" t="e">
        <f ca="1">SQRT($B$9*AVERAGE(W837:OFFSET(W837,$B$5-1,0)))</f>
        <v>#DIV/0!</v>
      </c>
      <c r="Y837" s="6" t="e">
        <f ca="1">SQRT($B$9*AVERAGE(W837:OFFSET(W837,$B$6-1,0)))</f>
        <v>#DIV/0!</v>
      </c>
      <c r="Z837" s="6" t="e">
        <f ca="1">SQRT($B$9*AVERAGE(W837:OFFSET(W837,$B$7-1,0)))</f>
        <v>#DIV/0!</v>
      </c>
      <c r="AA837" s="6" t="e">
        <f ca="1">SQRT($B$9*AVERAGE(W837:OFFSET(W837,$B$8-1,0)))</f>
        <v>#DIV/0!</v>
      </c>
      <c r="AC837" s="34" t="e">
        <f t="shared" si="70"/>
        <v>#DIV/0!</v>
      </c>
      <c r="AD837" s="34" t="e">
        <f ca="1">SQRT($B$9*SUM(AC837:OFFSET(AC837,$B$5-1,0))/($B$5-1))</f>
        <v>#DIV/0!</v>
      </c>
      <c r="AE837" s="34" t="e">
        <f ca="1">SQRT($B$9*SUM(AC837:OFFSET(AC837,$B$6-1,0))/($B$6-1))</f>
        <v>#DIV/0!</v>
      </c>
      <c r="AF837" s="34" t="e">
        <f ca="1">SQRT($B$9*SUM(AC837:OFFSET(AC837,$B$7-1,0))/($B$7-1))</f>
        <v>#DIV/0!</v>
      </c>
      <c r="AG837" s="34" t="e">
        <f ca="1">SQRT($B$9*SUM(AC837:OFFSET(AC837,$B$8-1,0))/($B$8-1))</f>
        <v>#DIV/0!</v>
      </c>
      <c r="AI837" s="1" t="e">
        <f t="shared" si="71"/>
        <v>#DIV/0!</v>
      </c>
      <c r="AJ837" s="4" t="e">
        <f ca="1">SQRT($B$9)*_xlfn.STDEV.S(AI837:OFFSET(AI837,$B$5-1,0))</f>
        <v>#DIV/0!</v>
      </c>
      <c r="AK837" s="4" t="e">
        <f ca="1">SQRT($B$9)*_xlfn.STDEV.S(AI837:OFFSET(AI837,$B$6-1,0))</f>
        <v>#DIV/0!</v>
      </c>
      <c r="AL837" s="4" t="e">
        <f ca="1">SQRT($B$9)*_xlfn.STDEV.S(AI837:OFFSET(AI837,$B$7-1,0))</f>
        <v>#DIV/0!</v>
      </c>
      <c r="AM837" s="4" t="e">
        <f ca="1">SQRT($B$9)*_xlfn.STDEV.S(AI837:OFFSET(AI837,$B$8-1,0))</f>
        <v>#DIV/0!</v>
      </c>
    </row>
    <row r="838" spans="5:39" x14ac:dyDescent="0.2">
      <c r="E838" s="42">
        <v>44216</v>
      </c>
      <c r="F838" s="43"/>
      <c r="G838" s="43"/>
      <c r="H838" s="43"/>
      <c r="I838" s="43"/>
      <c r="K838" s="3" t="e">
        <f t="shared" ref="K838:K901" si="74">(LN(G838/H838))^2</f>
        <v>#DIV/0!</v>
      </c>
      <c r="L838" s="3" t="e">
        <f ca="1">SQRT(AVERAGE(K838:OFFSET(K838,$B$5-1,0))*$B$9/(4*LN(2)))</f>
        <v>#DIV/0!</v>
      </c>
      <c r="M838" s="3" t="e">
        <f ca="1">SQRT(AVERAGE(K838:OFFSET(K838,$B$6-1,0))*$B$9/(4*LN(2)))</f>
        <v>#DIV/0!</v>
      </c>
      <c r="N838" s="3" t="e">
        <f ca="1">SQRT(AVERAGE(K838:OFFSET(K838,$B$7-1,0))*$B$9/(4*LN(2)))</f>
        <v>#DIV/0!</v>
      </c>
      <c r="O838" s="3" t="e">
        <f ca="1">SQRT(AVERAGE(K838:OFFSET(K838,$B$8-1,0))*$B$9/(4*LN(2)))</f>
        <v>#DIV/0!</v>
      </c>
      <c r="Q838" s="5" t="e">
        <f t="shared" si="73"/>
        <v>#DIV/0!</v>
      </c>
      <c r="R838" s="5" t="e">
        <f ca="1">SQRT($B$9*AVERAGE((Q838:OFFSET(Q838,$B$5-1,0))))</f>
        <v>#DIV/0!</v>
      </c>
      <c r="S838" s="5" t="e">
        <f ca="1">SQRT($B$9*AVERAGE((Q838:OFFSET(Q838,$B$6-1,0))))</f>
        <v>#DIV/0!</v>
      </c>
      <c r="T838" s="5" t="e">
        <f ca="1">SQRT($B$9*AVERAGE((Q838:OFFSET(Q838,$B$7-1,0))))</f>
        <v>#DIV/0!</v>
      </c>
      <c r="U838" s="5" t="e">
        <f ca="1">SQRT($B$9*AVERAGE((Q838:OFFSET(Q838,$B$8-1,0))))</f>
        <v>#DIV/0!</v>
      </c>
      <c r="W838" s="6" t="e">
        <f t="shared" si="72"/>
        <v>#DIV/0!</v>
      </c>
      <c r="X838" s="6" t="e">
        <f ca="1">SQRT($B$9*AVERAGE(W838:OFFSET(W838,$B$5-1,0)))</f>
        <v>#DIV/0!</v>
      </c>
      <c r="Y838" s="6" t="e">
        <f ca="1">SQRT($B$9*AVERAGE(W838:OFFSET(W838,$B$6-1,0)))</f>
        <v>#DIV/0!</v>
      </c>
      <c r="Z838" s="6" t="e">
        <f ca="1">SQRT($B$9*AVERAGE(W838:OFFSET(W838,$B$7-1,0)))</f>
        <v>#DIV/0!</v>
      </c>
      <c r="AA838" s="6" t="e">
        <f ca="1">SQRT($B$9*AVERAGE(W838:OFFSET(W838,$B$8-1,0)))</f>
        <v>#DIV/0!</v>
      </c>
      <c r="AC838" s="34" t="e">
        <f t="shared" si="70"/>
        <v>#DIV/0!</v>
      </c>
      <c r="AD838" s="34" t="e">
        <f ca="1">SQRT($B$9*SUM(AC838:OFFSET(AC838,$B$5-1,0))/($B$5-1))</f>
        <v>#DIV/0!</v>
      </c>
      <c r="AE838" s="34" t="e">
        <f ca="1">SQRT($B$9*SUM(AC838:OFFSET(AC838,$B$6-1,0))/($B$6-1))</f>
        <v>#DIV/0!</v>
      </c>
      <c r="AF838" s="34" t="e">
        <f ca="1">SQRT($B$9*SUM(AC838:OFFSET(AC838,$B$7-1,0))/($B$7-1))</f>
        <v>#DIV/0!</v>
      </c>
      <c r="AG838" s="34" t="e">
        <f ca="1">SQRT($B$9*SUM(AC838:OFFSET(AC838,$B$8-1,0))/($B$8-1))</f>
        <v>#DIV/0!</v>
      </c>
      <c r="AI838" s="1" t="e">
        <f t="shared" si="71"/>
        <v>#DIV/0!</v>
      </c>
      <c r="AJ838" s="4" t="e">
        <f ca="1">SQRT($B$9)*_xlfn.STDEV.S(AI838:OFFSET(AI838,$B$5-1,0))</f>
        <v>#DIV/0!</v>
      </c>
      <c r="AK838" s="4" t="e">
        <f ca="1">SQRT($B$9)*_xlfn.STDEV.S(AI838:OFFSET(AI838,$B$6-1,0))</f>
        <v>#DIV/0!</v>
      </c>
      <c r="AL838" s="4" t="e">
        <f ca="1">SQRT($B$9)*_xlfn.STDEV.S(AI838:OFFSET(AI838,$B$7-1,0))</f>
        <v>#DIV/0!</v>
      </c>
      <c r="AM838" s="4" t="e">
        <f ca="1">SQRT($B$9)*_xlfn.STDEV.S(AI838:OFFSET(AI838,$B$8-1,0))</f>
        <v>#DIV/0!</v>
      </c>
    </row>
    <row r="839" spans="5:39" x14ac:dyDescent="0.2">
      <c r="E839" s="42">
        <v>44215</v>
      </c>
      <c r="F839" s="43"/>
      <c r="G839" s="43"/>
      <c r="H839" s="43"/>
      <c r="I839" s="43"/>
      <c r="K839" s="3" t="e">
        <f t="shared" si="74"/>
        <v>#DIV/0!</v>
      </c>
      <c r="L839" s="3" t="e">
        <f ca="1">SQRT(AVERAGE(K839:OFFSET(K839,$B$5-1,0))*$B$9/(4*LN(2)))</f>
        <v>#DIV/0!</v>
      </c>
      <c r="M839" s="3" t="e">
        <f ca="1">SQRT(AVERAGE(K839:OFFSET(K839,$B$6-1,0))*$B$9/(4*LN(2)))</f>
        <v>#DIV/0!</v>
      </c>
      <c r="N839" s="3" t="e">
        <f ca="1">SQRT(AVERAGE(K839:OFFSET(K839,$B$7-1,0))*$B$9/(4*LN(2)))</f>
        <v>#DIV/0!</v>
      </c>
      <c r="O839" s="3" t="e">
        <f ca="1">SQRT(AVERAGE(K839:OFFSET(K839,$B$8-1,0))*$B$9/(4*LN(2)))</f>
        <v>#DIV/0!</v>
      </c>
      <c r="Q839" s="5" t="e">
        <f t="shared" si="73"/>
        <v>#DIV/0!</v>
      </c>
      <c r="R839" s="5" t="e">
        <f ca="1">SQRT($B$9*AVERAGE((Q839:OFFSET(Q839,$B$5-1,0))))</f>
        <v>#DIV/0!</v>
      </c>
      <c r="S839" s="5" t="e">
        <f ca="1">SQRT($B$9*AVERAGE((Q839:OFFSET(Q839,$B$6-1,0))))</f>
        <v>#DIV/0!</v>
      </c>
      <c r="T839" s="5" t="e">
        <f ca="1">SQRT($B$9*AVERAGE((Q839:OFFSET(Q839,$B$7-1,0))))</f>
        <v>#DIV/0!</v>
      </c>
      <c r="U839" s="5" t="e">
        <f ca="1">SQRT($B$9*AVERAGE((Q839:OFFSET(Q839,$B$8-1,0))))</f>
        <v>#DIV/0!</v>
      </c>
      <c r="W839" s="6" t="e">
        <f t="shared" si="72"/>
        <v>#DIV/0!</v>
      </c>
      <c r="X839" s="6" t="e">
        <f ca="1">SQRT($B$9*AVERAGE(W839:OFFSET(W839,$B$5-1,0)))</f>
        <v>#DIV/0!</v>
      </c>
      <c r="Y839" s="6" t="e">
        <f ca="1">SQRT($B$9*AVERAGE(W839:OFFSET(W839,$B$6-1,0)))</f>
        <v>#DIV/0!</v>
      </c>
      <c r="Z839" s="6" t="e">
        <f ca="1">SQRT($B$9*AVERAGE(W839:OFFSET(W839,$B$7-1,0)))</f>
        <v>#DIV/0!</v>
      </c>
      <c r="AA839" s="6" t="e">
        <f ca="1">SQRT($B$9*AVERAGE(W839:OFFSET(W839,$B$8-1,0)))</f>
        <v>#DIV/0!</v>
      </c>
      <c r="AC839" s="34" t="e">
        <f t="shared" si="70"/>
        <v>#DIV/0!</v>
      </c>
      <c r="AD839" s="34" t="e">
        <f ca="1">SQRT($B$9*SUM(AC839:OFFSET(AC839,$B$5-1,0))/($B$5-1))</f>
        <v>#DIV/0!</v>
      </c>
      <c r="AE839" s="34" t="e">
        <f ca="1">SQRT($B$9*SUM(AC839:OFFSET(AC839,$B$6-1,0))/($B$6-1))</f>
        <v>#DIV/0!</v>
      </c>
      <c r="AF839" s="34" t="e">
        <f ca="1">SQRT($B$9*SUM(AC839:OFFSET(AC839,$B$7-1,0))/($B$7-1))</f>
        <v>#DIV/0!</v>
      </c>
      <c r="AG839" s="34" t="e">
        <f ca="1">SQRT($B$9*SUM(AC839:OFFSET(AC839,$B$8-1,0))/($B$8-1))</f>
        <v>#DIV/0!</v>
      </c>
      <c r="AI839" s="1" t="e">
        <f t="shared" si="71"/>
        <v>#DIV/0!</v>
      </c>
      <c r="AJ839" s="4" t="e">
        <f ca="1">SQRT($B$9)*_xlfn.STDEV.S(AI839:OFFSET(AI839,$B$5-1,0))</f>
        <v>#DIV/0!</v>
      </c>
      <c r="AK839" s="4" t="e">
        <f ca="1">SQRT($B$9)*_xlfn.STDEV.S(AI839:OFFSET(AI839,$B$6-1,0))</f>
        <v>#DIV/0!</v>
      </c>
      <c r="AL839" s="4" t="e">
        <f ca="1">SQRT($B$9)*_xlfn.STDEV.S(AI839:OFFSET(AI839,$B$7-1,0))</f>
        <v>#DIV/0!</v>
      </c>
      <c r="AM839" s="4" t="e">
        <f ca="1">SQRT($B$9)*_xlfn.STDEV.S(AI839:OFFSET(AI839,$B$8-1,0))</f>
        <v>#DIV/0!</v>
      </c>
    </row>
    <row r="840" spans="5:39" x14ac:dyDescent="0.2">
      <c r="E840" s="42">
        <v>44214</v>
      </c>
      <c r="F840" s="43"/>
      <c r="G840" s="43"/>
      <c r="H840" s="43"/>
      <c r="I840" s="43"/>
      <c r="K840" s="3" t="e">
        <f t="shared" si="74"/>
        <v>#DIV/0!</v>
      </c>
      <c r="L840" s="3" t="e">
        <f ca="1">SQRT(AVERAGE(K840:OFFSET(K840,$B$5-1,0))*$B$9/(4*LN(2)))</f>
        <v>#DIV/0!</v>
      </c>
      <c r="M840" s="3" t="e">
        <f ca="1">SQRT(AVERAGE(K840:OFFSET(K840,$B$6-1,0))*$B$9/(4*LN(2)))</f>
        <v>#DIV/0!</v>
      </c>
      <c r="N840" s="3" t="e">
        <f ca="1">SQRT(AVERAGE(K840:OFFSET(K840,$B$7-1,0))*$B$9/(4*LN(2)))</f>
        <v>#DIV/0!</v>
      </c>
      <c r="O840" s="3" t="e">
        <f ca="1">SQRT(AVERAGE(K840:OFFSET(K840,$B$8-1,0))*$B$9/(4*LN(2)))</f>
        <v>#DIV/0!</v>
      </c>
      <c r="Q840" s="5" t="e">
        <f t="shared" si="73"/>
        <v>#DIV/0!</v>
      </c>
      <c r="R840" s="5" t="e">
        <f ca="1">SQRT($B$9*AVERAGE((Q840:OFFSET(Q840,$B$5-1,0))))</f>
        <v>#DIV/0!</v>
      </c>
      <c r="S840" s="5" t="e">
        <f ca="1">SQRT($B$9*AVERAGE((Q840:OFFSET(Q840,$B$6-1,0))))</f>
        <v>#DIV/0!</v>
      </c>
      <c r="T840" s="5" t="e">
        <f ca="1">SQRT($B$9*AVERAGE((Q840:OFFSET(Q840,$B$7-1,0))))</f>
        <v>#DIV/0!</v>
      </c>
      <c r="U840" s="5" t="e">
        <f ca="1">SQRT($B$9*AVERAGE((Q840:OFFSET(Q840,$B$8-1,0))))</f>
        <v>#DIV/0!</v>
      </c>
      <c r="W840" s="6" t="e">
        <f t="shared" si="72"/>
        <v>#DIV/0!</v>
      </c>
      <c r="X840" s="6" t="e">
        <f ca="1">SQRT($B$9*AVERAGE(W840:OFFSET(W840,$B$5-1,0)))</f>
        <v>#DIV/0!</v>
      </c>
      <c r="Y840" s="6" t="e">
        <f ca="1">SQRT($B$9*AVERAGE(W840:OFFSET(W840,$B$6-1,0)))</f>
        <v>#DIV/0!</v>
      </c>
      <c r="Z840" s="6" t="e">
        <f ca="1">SQRT($B$9*AVERAGE(W840:OFFSET(W840,$B$7-1,0)))</f>
        <v>#DIV/0!</v>
      </c>
      <c r="AA840" s="6" t="e">
        <f ca="1">SQRT($B$9*AVERAGE(W840:OFFSET(W840,$B$8-1,0)))</f>
        <v>#DIV/0!</v>
      </c>
      <c r="AC840" s="34" t="e">
        <f t="shared" si="70"/>
        <v>#DIV/0!</v>
      </c>
      <c r="AD840" s="34" t="e">
        <f ca="1">SQRT($B$9*SUM(AC840:OFFSET(AC840,$B$5-1,0))/($B$5-1))</f>
        <v>#DIV/0!</v>
      </c>
      <c r="AE840" s="34" t="e">
        <f ca="1">SQRT($B$9*SUM(AC840:OFFSET(AC840,$B$6-1,0))/($B$6-1))</f>
        <v>#DIV/0!</v>
      </c>
      <c r="AF840" s="34" t="e">
        <f ca="1">SQRT($B$9*SUM(AC840:OFFSET(AC840,$B$7-1,0))/($B$7-1))</f>
        <v>#DIV/0!</v>
      </c>
      <c r="AG840" s="34" t="e">
        <f ca="1">SQRT($B$9*SUM(AC840:OFFSET(AC840,$B$8-1,0))/($B$8-1))</f>
        <v>#DIV/0!</v>
      </c>
      <c r="AI840" s="1" t="e">
        <f t="shared" si="71"/>
        <v>#DIV/0!</v>
      </c>
      <c r="AJ840" s="4" t="e">
        <f ca="1">SQRT($B$9)*_xlfn.STDEV.S(AI840:OFFSET(AI840,$B$5-1,0))</f>
        <v>#DIV/0!</v>
      </c>
      <c r="AK840" s="4" t="e">
        <f ca="1">SQRT($B$9)*_xlfn.STDEV.S(AI840:OFFSET(AI840,$B$6-1,0))</f>
        <v>#DIV/0!</v>
      </c>
      <c r="AL840" s="4" t="e">
        <f ca="1">SQRT($B$9)*_xlfn.STDEV.S(AI840:OFFSET(AI840,$B$7-1,0))</f>
        <v>#DIV/0!</v>
      </c>
      <c r="AM840" s="4" t="e">
        <f ca="1">SQRT($B$9)*_xlfn.STDEV.S(AI840:OFFSET(AI840,$B$8-1,0))</f>
        <v>#DIV/0!</v>
      </c>
    </row>
    <row r="841" spans="5:39" x14ac:dyDescent="0.2">
      <c r="E841" s="42">
        <v>44211</v>
      </c>
      <c r="F841" s="43"/>
      <c r="G841" s="43"/>
      <c r="H841" s="43"/>
      <c r="I841" s="43"/>
      <c r="K841" s="3" t="e">
        <f t="shared" si="74"/>
        <v>#DIV/0!</v>
      </c>
      <c r="L841" s="3" t="e">
        <f ca="1">SQRT(AVERAGE(K841:OFFSET(K841,$B$5-1,0))*$B$9/(4*LN(2)))</f>
        <v>#DIV/0!</v>
      </c>
      <c r="M841" s="3" t="e">
        <f ca="1">SQRT(AVERAGE(K841:OFFSET(K841,$B$6-1,0))*$B$9/(4*LN(2)))</f>
        <v>#DIV/0!</v>
      </c>
      <c r="N841" s="3" t="e">
        <f ca="1">SQRT(AVERAGE(K841:OFFSET(K841,$B$7-1,0))*$B$9/(4*LN(2)))</f>
        <v>#DIV/0!</v>
      </c>
      <c r="O841" s="3" t="e">
        <f ca="1">SQRT(AVERAGE(K841:OFFSET(K841,$B$8-1,0))*$B$9/(4*LN(2)))</f>
        <v>#DIV/0!</v>
      </c>
      <c r="Q841" s="5" t="e">
        <f t="shared" si="73"/>
        <v>#DIV/0!</v>
      </c>
      <c r="R841" s="5" t="e">
        <f ca="1">SQRT($B$9*AVERAGE((Q841:OFFSET(Q841,$B$5-1,0))))</f>
        <v>#DIV/0!</v>
      </c>
      <c r="S841" s="5" t="e">
        <f ca="1">SQRT($B$9*AVERAGE((Q841:OFFSET(Q841,$B$6-1,0))))</f>
        <v>#DIV/0!</v>
      </c>
      <c r="T841" s="5" t="e">
        <f ca="1">SQRT($B$9*AVERAGE((Q841:OFFSET(Q841,$B$7-1,0))))</f>
        <v>#DIV/0!</v>
      </c>
      <c r="U841" s="5" t="e">
        <f ca="1">SQRT($B$9*AVERAGE((Q841:OFFSET(Q841,$B$8-1,0))))</f>
        <v>#DIV/0!</v>
      </c>
      <c r="W841" s="6" t="e">
        <f t="shared" si="72"/>
        <v>#DIV/0!</v>
      </c>
      <c r="X841" s="6" t="e">
        <f ca="1">SQRT($B$9*AVERAGE(W841:OFFSET(W841,$B$5-1,0)))</f>
        <v>#DIV/0!</v>
      </c>
      <c r="Y841" s="6" t="e">
        <f ca="1">SQRT($B$9*AVERAGE(W841:OFFSET(W841,$B$6-1,0)))</f>
        <v>#DIV/0!</v>
      </c>
      <c r="Z841" s="6" t="e">
        <f ca="1">SQRT($B$9*AVERAGE(W841:OFFSET(W841,$B$7-1,0)))</f>
        <v>#DIV/0!</v>
      </c>
      <c r="AA841" s="6" t="e">
        <f ca="1">SQRT($B$9*AVERAGE(W841:OFFSET(W841,$B$8-1,0)))</f>
        <v>#DIV/0!</v>
      </c>
      <c r="AC841" s="34" t="e">
        <f t="shared" si="70"/>
        <v>#DIV/0!</v>
      </c>
      <c r="AD841" s="34" t="e">
        <f ca="1">SQRT($B$9*SUM(AC841:OFFSET(AC841,$B$5-1,0))/($B$5-1))</f>
        <v>#DIV/0!</v>
      </c>
      <c r="AE841" s="34" t="e">
        <f ca="1">SQRT($B$9*SUM(AC841:OFFSET(AC841,$B$6-1,0))/($B$6-1))</f>
        <v>#DIV/0!</v>
      </c>
      <c r="AF841" s="34" t="e">
        <f ca="1">SQRT($B$9*SUM(AC841:OFFSET(AC841,$B$7-1,0))/($B$7-1))</f>
        <v>#DIV/0!</v>
      </c>
      <c r="AG841" s="34" t="e">
        <f ca="1">SQRT($B$9*SUM(AC841:OFFSET(AC841,$B$8-1,0))/($B$8-1))</f>
        <v>#DIV/0!</v>
      </c>
      <c r="AI841" s="1" t="e">
        <f t="shared" si="71"/>
        <v>#DIV/0!</v>
      </c>
      <c r="AJ841" s="4" t="e">
        <f ca="1">SQRT($B$9)*_xlfn.STDEV.S(AI841:OFFSET(AI841,$B$5-1,0))</f>
        <v>#DIV/0!</v>
      </c>
      <c r="AK841" s="4" t="e">
        <f ca="1">SQRT($B$9)*_xlfn.STDEV.S(AI841:OFFSET(AI841,$B$6-1,0))</f>
        <v>#DIV/0!</v>
      </c>
      <c r="AL841" s="4" t="e">
        <f ca="1">SQRT($B$9)*_xlfn.STDEV.S(AI841:OFFSET(AI841,$B$7-1,0))</f>
        <v>#DIV/0!</v>
      </c>
      <c r="AM841" s="4" t="e">
        <f ca="1">SQRT($B$9)*_xlfn.STDEV.S(AI841:OFFSET(AI841,$B$8-1,0))</f>
        <v>#DIV/0!</v>
      </c>
    </row>
    <row r="842" spans="5:39" x14ac:dyDescent="0.2">
      <c r="E842" s="42">
        <v>44210</v>
      </c>
      <c r="F842" s="43"/>
      <c r="G842" s="43"/>
      <c r="H842" s="43"/>
      <c r="I842" s="43"/>
      <c r="K842" s="3" t="e">
        <f t="shared" si="74"/>
        <v>#DIV/0!</v>
      </c>
      <c r="L842" s="3" t="e">
        <f ca="1">SQRT(AVERAGE(K842:OFFSET(K842,$B$5-1,0))*$B$9/(4*LN(2)))</f>
        <v>#DIV/0!</v>
      </c>
      <c r="M842" s="3" t="e">
        <f ca="1">SQRT(AVERAGE(K842:OFFSET(K842,$B$6-1,0))*$B$9/(4*LN(2)))</f>
        <v>#DIV/0!</v>
      </c>
      <c r="N842" s="3" t="e">
        <f ca="1">SQRT(AVERAGE(K842:OFFSET(K842,$B$7-1,0))*$B$9/(4*LN(2)))</f>
        <v>#DIV/0!</v>
      </c>
      <c r="O842" s="3" t="e">
        <f ca="1">SQRT(AVERAGE(K842:OFFSET(K842,$B$8-1,0))*$B$9/(4*LN(2)))</f>
        <v>#DIV/0!</v>
      </c>
      <c r="Q842" s="5" t="e">
        <f t="shared" si="73"/>
        <v>#DIV/0!</v>
      </c>
      <c r="R842" s="5" t="e">
        <f ca="1">SQRT($B$9*AVERAGE((Q842:OFFSET(Q842,$B$5-1,0))))</f>
        <v>#DIV/0!</v>
      </c>
      <c r="S842" s="5" t="e">
        <f ca="1">SQRT($B$9*AVERAGE((Q842:OFFSET(Q842,$B$6-1,0))))</f>
        <v>#DIV/0!</v>
      </c>
      <c r="T842" s="5" t="e">
        <f ca="1">SQRT($B$9*AVERAGE((Q842:OFFSET(Q842,$B$7-1,0))))</f>
        <v>#DIV/0!</v>
      </c>
      <c r="U842" s="5" t="e">
        <f ca="1">SQRT($B$9*AVERAGE((Q842:OFFSET(Q842,$B$8-1,0))))</f>
        <v>#DIV/0!</v>
      </c>
      <c r="W842" s="6" t="e">
        <f t="shared" si="72"/>
        <v>#DIV/0!</v>
      </c>
      <c r="X842" s="6" t="e">
        <f ca="1">SQRT($B$9*AVERAGE(W842:OFFSET(W842,$B$5-1,0)))</f>
        <v>#DIV/0!</v>
      </c>
      <c r="Y842" s="6" t="e">
        <f ca="1">SQRT($B$9*AVERAGE(W842:OFFSET(W842,$B$6-1,0)))</f>
        <v>#DIV/0!</v>
      </c>
      <c r="Z842" s="6" t="e">
        <f ca="1">SQRT($B$9*AVERAGE(W842:OFFSET(W842,$B$7-1,0)))</f>
        <v>#DIV/0!</v>
      </c>
      <c r="AA842" s="6" t="e">
        <f ca="1">SQRT($B$9*AVERAGE(W842:OFFSET(W842,$B$8-1,0)))</f>
        <v>#DIV/0!</v>
      </c>
      <c r="AC842" s="34" t="e">
        <f t="shared" si="70"/>
        <v>#DIV/0!</v>
      </c>
      <c r="AD842" s="34" t="e">
        <f ca="1">SQRT($B$9*SUM(AC842:OFFSET(AC842,$B$5-1,0))/($B$5-1))</f>
        <v>#DIV/0!</v>
      </c>
      <c r="AE842" s="34" t="e">
        <f ca="1">SQRT($B$9*SUM(AC842:OFFSET(AC842,$B$6-1,0))/($B$6-1))</f>
        <v>#DIV/0!</v>
      </c>
      <c r="AF842" s="34" t="e">
        <f ca="1">SQRT($B$9*SUM(AC842:OFFSET(AC842,$B$7-1,0))/($B$7-1))</f>
        <v>#DIV/0!</v>
      </c>
      <c r="AG842" s="34" t="e">
        <f ca="1">SQRT($B$9*SUM(AC842:OFFSET(AC842,$B$8-1,0))/($B$8-1))</f>
        <v>#DIV/0!</v>
      </c>
      <c r="AI842" s="1" t="e">
        <f t="shared" si="71"/>
        <v>#DIV/0!</v>
      </c>
      <c r="AJ842" s="4" t="e">
        <f ca="1">SQRT($B$9)*_xlfn.STDEV.S(AI842:OFFSET(AI842,$B$5-1,0))</f>
        <v>#DIV/0!</v>
      </c>
      <c r="AK842" s="4" t="e">
        <f ca="1">SQRT($B$9)*_xlfn.STDEV.S(AI842:OFFSET(AI842,$B$6-1,0))</f>
        <v>#DIV/0!</v>
      </c>
      <c r="AL842" s="4" t="e">
        <f ca="1">SQRT($B$9)*_xlfn.STDEV.S(AI842:OFFSET(AI842,$B$7-1,0))</f>
        <v>#DIV/0!</v>
      </c>
      <c r="AM842" s="4" t="e">
        <f ca="1">SQRT($B$9)*_xlfn.STDEV.S(AI842:OFFSET(AI842,$B$8-1,0))</f>
        <v>#DIV/0!</v>
      </c>
    </row>
    <row r="843" spans="5:39" x14ac:dyDescent="0.2">
      <c r="E843" s="42">
        <v>44209</v>
      </c>
      <c r="F843" s="43"/>
      <c r="G843" s="43"/>
      <c r="H843" s="43"/>
      <c r="I843" s="43"/>
      <c r="K843" s="3" t="e">
        <f t="shared" si="74"/>
        <v>#DIV/0!</v>
      </c>
      <c r="L843" s="3" t="e">
        <f ca="1">SQRT(AVERAGE(K843:OFFSET(K843,$B$5-1,0))*$B$9/(4*LN(2)))</f>
        <v>#DIV/0!</v>
      </c>
      <c r="M843" s="3" t="e">
        <f ca="1">SQRT(AVERAGE(K843:OFFSET(K843,$B$6-1,0))*$B$9/(4*LN(2)))</f>
        <v>#DIV/0!</v>
      </c>
      <c r="N843" s="3" t="e">
        <f ca="1">SQRT(AVERAGE(K843:OFFSET(K843,$B$7-1,0))*$B$9/(4*LN(2)))</f>
        <v>#DIV/0!</v>
      </c>
      <c r="O843" s="3" t="e">
        <f ca="1">SQRT(AVERAGE(K843:OFFSET(K843,$B$8-1,0))*$B$9/(4*LN(2)))</f>
        <v>#DIV/0!</v>
      </c>
      <c r="Q843" s="5" t="e">
        <f t="shared" si="73"/>
        <v>#DIV/0!</v>
      </c>
      <c r="R843" s="5" t="e">
        <f ca="1">SQRT($B$9*AVERAGE((Q843:OFFSET(Q843,$B$5-1,0))))</f>
        <v>#DIV/0!</v>
      </c>
      <c r="S843" s="5" t="e">
        <f ca="1">SQRT($B$9*AVERAGE((Q843:OFFSET(Q843,$B$6-1,0))))</f>
        <v>#DIV/0!</v>
      </c>
      <c r="T843" s="5" t="e">
        <f ca="1">SQRT($B$9*AVERAGE((Q843:OFFSET(Q843,$B$7-1,0))))</f>
        <v>#DIV/0!</v>
      </c>
      <c r="U843" s="5" t="e">
        <f ca="1">SQRT($B$9*AVERAGE((Q843:OFFSET(Q843,$B$8-1,0))))</f>
        <v>#DIV/0!</v>
      </c>
      <c r="W843" s="6" t="e">
        <f t="shared" si="72"/>
        <v>#DIV/0!</v>
      </c>
      <c r="X843" s="6" t="e">
        <f ca="1">SQRT($B$9*AVERAGE(W843:OFFSET(W843,$B$5-1,0)))</f>
        <v>#DIV/0!</v>
      </c>
      <c r="Y843" s="6" t="e">
        <f ca="1">SQRT($B$9*AVERAGE(W843:OFFSET(W843,$B$6-1,0)))</f>
        <v>#DIV/0!</v>
      </c>
      <c r="Z843" s="6" t="e">
        <f ca="1">SQRT($B$9*AVERAGE(W843:OFFSET(W843,$B$7-1,0)))</f>
        <v>#DIV/0!</v>
      </c>
      <c r="AA843" s="6" t="e">
        <f ca="1">SQRT($B$9*AVERAGE(W843:OFFSET(W843,$B$8-1,0)))</f>
        <v>#DIV/0!</v>
      </c>
      <c r="AC843" s="34" t="e">
        <f t="shared" si="70"/>
        <v>#DIV/0!</v>
      </c>
      <c r="AD843" s="34" t="e">
        <f ca="1">SQRT($B$9*SUM(AC843:OFFSET(AC843,$B$5-1,0))/($B$5-1))</f>
        <v>#DIV/0!</v>
      </c>
      <c r="AE843" s="34" t="e">
        <f ca="1">SQRT($B$9*SUM(AC843:OFFSET(AC843,$B$6-1,0))/($B$6-1))</f>
        <v>#DIV/0!</v>
      </c>
      <c r="AF843" s="34" t="e">
        <f ca="1">SQRT($B$9*SUM(AC843:OFFSET(AC843,$B$7-1,0))/($B$7-1))</f>
        <v>#DIV/0!</v>
      </c>
      <c r="AG843" s="34" t="e">
        <f ca="1">SQRT($B$9*SUM(AC843:OFFSET(AC843,$B$8-1,0))/($B$8-1))</f>
        <v>#DIV/0!</v>
      </c>
      <c r="AI843" s="1" t="e">
        <f t="shared" si="71"/>
        <v>#DIV/0!</v>
      </c>
      <c r="AJ843" s="4" t="e">
        <f ca="1">SQRT($B$9)*_xlfn.STDEV.S(AI843:OFFSET(AI843,$B$5-1,0))</f>
        <v>#DIV/0!</v>
      </c>
      <c r="AK843" s="4" t="e">
        <f ca="1">SQRT($B$9)*_xlfn.STDEV.S(AI843:OFFSET(AI843,$B$6-1,0))</f>
        <v>#DIV/0!</v>
      </c>
      <c r="AL843" s="4" t="e">
        <f ca="1">SQRT($B$9)*_xlfn.STDEV.S(AI843:OFFSET(AI843,$B$7-1,0))</f>
        <v>#DIV/0!</v>
      </c>
      <c r="AM843" s="4" t="e">
        <f ca="1">SQRT($B$9)*_xlfn.STDEV.S(AI843:OFFSET(AI843,$B$8-1,0))</f>
        <v>#DIV/0!</v>
      </c>
    </row>
    <row r="844" spans="5:39" x14ac:dyDescent="0.2">
      <c r="E844" s="42">
        <v>44208</v>
      </c>
      <c r="F844" s="43"/>
      <c r="G844" s="43"/>
      <c r="H844" s="43"/>
      <c r="I844" s="43"/>
      <c r="K844" s="3" t="e">
        <f t="shared" si="74"/>
        <v>#DIV/0!</v>
      </c>
      <c r="L844" s="3" t="e">
        <f ca="1">SQRT(AVERAGE(K844:OFFSET(K844,$B$5-1,0))*$B$9/(4*LN(2)))</f>
        <v>#DIV/0!</v>
      </c>
      <c r="M844" s="3" t="e">
        <f ca="1">SQRT(AVERAGE(K844:OFFSET(K844,$B$6-1,0))*$B$9/(4*LN(2)))</f>
        <v>#DIV/0!</v>
      </c>
      <c r="N844" s="3" t="e">
        <f ca="1">SQRT(AVERAGE(K844:OFFSET(K844,$B$7-1,0))*$B$9/(4*LN(2)))</f>
        <v>#DIV/0!</v>
      </c>
      <c r="O844" s="3" t="e">
        <f ca="1">SQRT(AVERAGE(K844:OFFSET(K844,$B$8-1,0))*$B$9/(4*LN(2)))</f>
        <v>#DIV/0!</v>
      </c>
      <c r="Q844" s="5" t="e">
        <f t="shared" si="73"/>
        <v>#DIV/0!</v>
      </c>
      <c r="R844" s="5" t="e">
        <f ca="1">SQRT($B$9*AVERAGE((Q844:OFFSET(Q844,$B$5-1,0))))</f>
        <v>#DIV/0!</v>
      </c>
      <c r="S844" s="5" t="e">
        <f ca="1">SQRT($B$9*AVERAGE((Q844:OFFSET(Q844,$B$6-1,0))))</f>
        <v>#DIV/0!</v>
      </c>
      <c r="T844" s="5" t="e">
        <f ca="1">SQRT($B$9*AVERAGE((Q844:OFFSET(Q844,$B$7-1,0))))</f>
        <v>#DIV/0!</v>
      </c>
      <c r="U844" s="5" t="e">
        <f ca="1">SQRT($B$9*AVERAGE((Q844:OFFSET(Q844,$B$8-1,0))))</f>
        <v>#DIV/0!</v>
      </c>
      <c r="W844" s="6" t="e">
        <f t="shared" si="72"/>
        <v>#DIV/0!</v>
      </c>
      <c r="X844" s="6" t="e">
        <f ca="1">SQRT($B$9*AVERAGE(W844:OFFSET(W844,$B$5-1,0)))</f>
        <v>#DIV/0!</v>
      </c>
      <c r="Y844" s="6" t="e">
        <f ca="1">SQRT($B$9*AVERAGE(W844:OFFSET(W844,$B$6-1,0)))</f>
        <v>#DIV/0!</v>
      </c>
      <c r="Z844" s="6" t="e">
        <f ca="1">SQRT($B$9*AVERAGE(W844:OFFSET(W844,$B$7-1,0)))</f>
        <v>#DIV/0!</v>
      </c>
      <c r="AA844" s="6" t="e">
        <f ca="1">SQRT($B$9*AVERAGE(W844:OFFSET(W844,$B$8-1,0)))</f>
        <v>#DIV/0!</v>
      </c>
      <c r="AC844" s="34" t="e">
        <f t="shared" si="70"/>
        <v>#DIV/0!</v>
      </c>
      <c r="AD844" s="34" t="e">
        <f ca="1">SQRT($B$9*SUM(AC844:OFFSET(AC844,$B$5-1,0))/($B$5-1))</f>
        <v>#DIV/0!</v>
      </c>
      <c r="AE844" s="34" t="e">
        <f ca="1">SQRT($B$9*SUM(AC844:OFFSET(AC844,$B$6-1,0))/($B$6-1))</f>
        <v>#DIV/0!</v>
      </c>
      <c r="AF844" s="34" t="e">
        <f ca="1">SQRT($B$9*SUM(AC844:OFFSET(AC844,$B$7-1,0))/($B$7-1))</f>
        <v>#DIV/0!</v>
      </c>
      <c r="AG844" s="34" t="e">
        <f ca="1">SQRT($B$9*SUM(AC844:OFFSET(AC844,$B$8-1,0))/($B$8-1))</f>
        <v>#DIV/0!</v>
      </c>
      <c r="AI844" s="1" t="e">
        <f t="shared" si="71"/>
        <v>#DIV/0!</v>
      </c>
      <c r="AJ844" s="4" t="e">
        <f ca="1">SQRT($B$9)*_xlfn.STDEV.S(AI844:OFFSET(AI844,$B$5-1,0))</f>
        <v>#DIV/0!</v>
      </c>
      <c r="AK844" s="4" t="e">
        <f ca="1">SQRT($B$9)*_xlfn.STDEV.S(AI844:OFFSET(AI844,$B$6-1,0))</f>
        <v>#DIV/0!</v>
      </c>
      <c r="AL844" s="4" t="e">
        <f ca="1">SQRT($B$9)*_xlfn.STDEV.S(AI844:OFFSET(AI844,$B$7-1,0))</f>
        <v>#DIV/0!</v>
      </c>
      <c r="AM844" s="4" t="e">
        <f ca="1">SQRT($B$9)*_xlfn.STDEV.S(AI844:OFFSET(AI844,$B$8-1,0))</f>
        <v>#DIV/0!</v>
      </c>
    </row>
    <row r="845" spans="5:39" x14ac:dyDescent="0.2">
      <c r="E845" s="42">
        <v>44207</v>
      </c>
      <c r="F845" s="43"/>
      <c r="G845" s="43"/>
      <c r="H845" s="43"/>
      <c r="I845" s="43"/>
      <c r="K845" s="3" t="e">
        <f t="shared" si="74"/>
        <v>#DIV/0!</v>
      </c>
      <c r="L845" s="3" t="e">
        <f ca="1">SQRT(AVERAGE(K845:OFFSET(K845,$B$5-1,0))*$B$9/(4*LN(2)))</f>
        <v>#DIV/0!</v>
      </c>
      <c r="M845" s="3" t="e">
        <f ca="1">SQRT(AVERAGE(K845:OFFSET(K845,$B$6-1,0))*$B$9/(4*LN(2)))</f>
        <v>#DIV/0!</v>
      </c>
      <c r="N845" s="3" t="e">
        <f ca="1">SQRT(AVERAGE(K845:OFFSET(K845,$B$7-1,0))*$B$9/(4*LN(2)))</f>
        <v>#DIV/0!</v>
      </c>
      <c r="O845" s="3" t="e">
        <f ca="1">SQRT(AVERAGE(K845:OFFSET(K845,$B$8-1,0))*$B$9/(4*LN(2)))</f>
        <v>#DIV/0!</v>
      </c>
      <c r="Q845" s="5" t="e">
        <f t="shared" si="73"/>
        <v>#DIV/0!</v>
      </c>
      <c r="R845" s="5" t="e">
        <f ca="1">SQRT($B$9*AVERAGE((Q845:OFFSET(Q845,$B$5-1,0))))</f>
        <v>#DIV/0!</v>
      </c>
      <c r="S845" s="5" t="e">
        <f ca="1">SQRT($B$9*AVERAGE((Q845:OFFSET(Q845,$B$6-1,0))))</f>
        <v>#DIV/0!</v>
      </c>
      <c r="T845" s="5" t="e">
        <f ca="1">SQRT($B$9*AVERAGE((Q845:OFFSET(Q845,$B$7-1,0))))</f>
        <v>#DIV/0!</v>
      </c>
      <c r="U845" s="5" t="e">
        <f ca="1">SQRT($B$9*AVERAGE((Q845:OFFSET(Q845,$B$8-1,0))))</f>
        <v>#DIV/0!</v>
      </c>
      <c r="W845" s="6" t="e">
        <f t="shared" si="72"/>
        <v>#DIV/0!</v>
      </c>
      <c r="X845" s="6" t="e">
        <f ca="1">SQRT($B$9*AVERAGE(W845:OFFSET(W845,$B$5-1,0)))</f>
        <v>#DIV/0!</v>
      </c>
      <c r="Y845" s="6" t="e">
        <f ca="1">SQRT($B$9*AVERAGE(W845:OFFSET(W845,$B$6-1,0)))</f>
        <v>#DIV/0!</v>
      </c>
      <c r="Z845" s="6" t="e">
        <f ca="1">SQRT($B$9*AVERAGE(W845:OFFSET(W845,$B$7-1,0)))</f>
        <v>#DIV/0!</v>
      </c>
      <c r="AA845" s="6" t="e">
        <f ca="1">SQRT($B$9*AVERAGE(W845:OFFSET(W845,$B$8-1,0)))</f>
        <v>#DIV/0!</v>
      </c>
      <c r="AC845" s="34" t="e">
        <f t="shared" si="70"/>
        <v>#DIV/0!</v>
      </c>
      <c r="AD845" s="34" t="e">
        <f ca="1">SQRT($B$9*SUM(AC845:OFFSET(AC845,$B$5-1,0))/($B$5-1))</f>
        <v>#DIV/0!</v>
      </c>
      <c r="AE845" s="34" t="e">
        <f ca="1">SQRT($B$9*SUM(AC845:OFFSET(AC845,$B$6-1,0))/($B$6-1))</f>
        <v>#DIV/0!</v>
      </c>
      <c r="AF845" s="34" t="e">
        <f ca="1">SQRT($B$9*SUM(AC845:OFFSET(AC845,$B$7-1,0))/($B$7-1))</f>
        <v>#DIV/0!</v>
      </c>
      <c r="AG845" s="34" t="e">
        <f ca="1">SQRT($B$9*SUM(AC845:OFFSET(AC845,$B$8-1,0))/($B$8-1))</f>
        <v>#DIV/0!</v>
      </c>
      <c r="AI845" s="1" t="e">
        <f t="shared" si="71"/>
        <v>#DIV/0!</v>
      </c>
      <c r="AJ845" s="4" t="e">
        <f ca="1">SQRT($B$9)*_xlfn.STDEV.S(AI845:OFFSET(AI845,$B$5-1,0))</f>
        <v>#DIV/0!</v>
      </c>
      <c r="AK845" s="4" t="e">
        <f ca="1">SQRT($B$9)*_xlfn.STDEV.S(AI845:OFFSET(AI845,$B$6-1,0))</f>
        <v>#DIV/0!</v>
      </c>
      <c r="AL845" s="4" t="e">
        <f ca="1">SQRT($B$9)*_xlfn.STDEV.S(AI845:OFFSET(AI845,$B$7-1,0))</f>
        <v>#DIV/0!</v>
      </c>
      <c r="AM845" s="4" t="e">
        <f ca="1">SQRT($B$9)*_xlfn.STDEV.S(AI845:OFFSET(AI845,$B$8-1,0))</f>
        <v>#DIV/0!</v>
      </c>
    </row>
    <row r="846" spans="5:39" x14ac:dyDescent="0.2">
      <c r="E846" s="42">
        <v>44204</v>
      </c>
      <c r="F846" s="43"/>
      <c r="G846" s="43"/>
      <c r="H846" s="43"/>
      <c r="I846" s="43"/>
      <c r="K846" s="3" t="e">
        <f t="shared" si="74"/>
        <v>#DIV/0!</v>
      </c>
      <c r="L846" s="3" t="e">
        <f ca="1">SQRT(AVERAGE(K846:OFFSET(K846,$B$5-1,0))*$B$9/(4*LN(2)))</f>
        <v>#DIV/0!</v>
      </c>
      <c r="M846" s="3" t="e">
        <f ca="1">SQRT(AVERAGE(K846:OFFSET(K846,$B$6-1,0))*$B$9/(4*LN(2)))</f>
        <v>#DIV/0!</v>
      </c>
      <c r="N846" s="3" t="e">
        <f ca="1">SQRT(AVERAGE(K846:OFFSET(K846,$B$7-1,0))*$B$9/(4*LN(2)))</f>
        <v>#DIV/0!</v>
      </c>
      <c r="O846" s="3" t="e">
        <f ca="1">SQRT(AVERAGE(K846:OFFSET(K846,$B$8-1,0))*$B$9/(4*LN(2)))</f>
        <v>#DIV/0!</v>
      </c>
      <c r="Q846" s="5" t="e">
        <f t="shared" si="73"/>
        <v>#DIV/0!</v>
      </c>
      <c r="R846" s="5" t="e">
        <f ca="1">SQRT($B$9*AVERAGE((Q846:OFFSET(Q846,$B$5-1,0))))</f>
        <v>#DIV/0!</v>
      </c>
      <c r="S846" s="5" t="e">
        <f ca="1">SQRT($B$9*AVERAGE((Q846:OFFSET(Q846,$B$6-1,0))))</f>
        <v>#DIV/0!</v>
      </c>
      <c r="T846" s="5" t="e">
        <f ca="1">SQRT($B$9*AVERAGE((Q846:OFFSET(Q846,$B$7-1,0))))</f>
        <v>#DIV/0!</v>
      </c>
      <c r="U846" s="5" t="e">
        <f ca="1">SQRT($B$9*AVERAGE((Q846:OFFSET(Q846,$B$8-1,0))))</f>
        <v>#DIV/0!</v>
      </c>
      <c r="W846" s="6" t="e">
        <f t="shared" si="72"/>
        <v>#DIV/0!</v>
      </c>
      <c r="X846" s="6" t="e">
        <f ca="1">SQRT($B$9*AVERAGE(W846:OFFSET(W846,$B$5-1,0)))</f>
        <v>#DIV/0!</v>
      </c>
      <c r="Y846" s="6" t="e">
        <f ca="1">SQRT($B$9*AVERAGE(W846:OFFSET(W846,$B$6-1,0)))</f>
        <v>#DIV/0!</v>
      </c>
      <c r="Z846" s="6" t="e">
        <f ca="1">SQRT($B$9*AVERAGE(W846:OFFSET(W846,$B$7-1,0)))</f>
        <v>#DIV/0!</v>
      </c>
      <c r="AA846" s="6" t="e">
        <f ca="1">SQRT($B$9*AVERAGE(W846:OFFSET(W846,$B$8-1,0)))</f>
        <v>#DIV/0!</v>
      </c>
      <c r="AC846" s="34" t="e">
        <f t="shared" si="70"/>
        <v>#DIV/0!</v>
      </c>
      <c r="AD846" s="34" t="e">
        <f ca="1">SQRT($B$9*SUM(AC846:OFFSET(AC846,$B$5-1,0))/($B$5-1))</f>
        <v>#DIV/0!</v>
      </c>
      <c r="AE846" s="34" t="e">
        <f ca="1">SQRT($B$9*SUM(AC846:OFFSET(AC846,$B$6-1,0))/($B$6-1))</f>
        <v>#DIV/0!</v>
      </c>
      <c r="AF846" s="34" t="e">
        <f ca="1">SQRT($B$9*SUM(AC846:OFFSET(AC846,$B$7-1,0))/($B$7-1))</f>
        <v>#DIV/0!</v>
      </c>
      <c r="AG846" s="34" t="e">
        <f ca="1">SQRT($B$9*SUM(AC846:OFFSET(AC846,$B$8-1,0))/($B$8-1))</f>
        <v>#DIV/0!</v>
      </c>
      <c r="AI846" s="1" t="e">
        <f t="shared" si="71"/>
        <v>#DIV/0!</v>
      </c>
      <c r="AJ846" s="4" t="e">
        <f ca="1">SQRT($B$9)*_xlfn.STDEV.S(AI846:OFFSET(AI846,$B$5-1,0))</f>
        <v>#DIV/0!</v>
      </c>
      <c r="AK846" s="4" t="e">
        <f ca="1">SQRT($B$9)*_xlfn.STDEV.S(AI846:OFFSET(AI846,$B$6-1,0))</f>
        <v>#DIV/0!</v>
      </c>
      <c r="AL846" s="4" t="e">
        <f ca="1">SQRT($B$9)*_xlfn.STDEV.S(AI846:OFFSET(AI846,$B$7-1,0))</f>
        <v>#DIV/0!</v>
      </c>
      <c r="AM846" s="4" t="e">
        <f ca="1">SQRT($B$9)*_xlfn.STDEV.S(AI846:OFFSET(AI846,$B$8-1,0))</f>
        <v>#DIV/0!</v>
      </c>
    </row>
    <row r="847" spans="5:39" x14ac:dyDescent="0.2">
      <c r="E847" s="42">
        <v>44203</v>
      </c>
      <c r="F847" s="43"/>
      <c r="G847" s="43"/>
      <c r="H847" s="43"/>
      <c r="I847" s="43"/>
      <c r="K847" s="3" t="e">
        <f t="shared" si="74"/>
        <v>#DIV/0!</v>
      </c>
      <c r="L847" s="3" t="e">
        <f ca="1">SQRT(AVERAGE(K847:OFFSET(K847,$B$5-1,0))*$B$9/(4*LN(2)))</f>
        <v>#DIV/0!</v>
      </c>
      <c r="M847" s="3" t="e">
        <f ca="1">SQRT(AVERAGE(K847:OFFSET(K847,$B$6-1,0))*$B$9/(4*LN(2)))</f>
        <v>#DIV/0!</v>
      </c>
      <c r="N847" s="3" t="e">
        <f ca="1">SQRT(AVERAGE(K847:OFFSET(K847,$B$7-1,0))*$B$9/(4*LN(2)))</f>
        <v>#DIV/0!</v>
      </c>
      <c r="O847" s="3" t="e">
        <f ca="1">SQRT(AVERAGE(K847:OFFSET(K847,$B$8-1,0))*$B$9/(4*LN(2)))</f>
        <v>#DIV/0!</v>
      </c>
      <c r="Q847" s="5" t="e">
        <f t="shared" si="73"/>
        <v>#DIV/0!</v>
      </c>
      <c r="R847" s="5" t="e">
        <f ca="1">SQRT($B$9*AVERAGE((Q847:OFFSET(Q847,$B$5-1,0))))</f>
        <v>#DIV/0!</v>
      </c>
      <c r="S847" s="5" t="e">
        <f ca="1">SQRT($B$9*AVERAGE((Q847:OFFSET(Q847,$B$6-1,0))))</f>
        <v>#DIV/0!</v>
      </c>
      <c r="T847" s="5" t="e">
        <f ca="1">SQRT($B$9*AVERAGE((Q847:OFFSET(Q847,$B$7-1,0))))</f>
        <v>#DIV/0!</v>
      </c>
      <c r="U847" s="5" t="e">
        <f ca="1">SQRT($B$9*AVERAGE((Q847:OFFSET(Q847,$B$8-1,0))))</f>
        <v>#DIV/0!</v>
      </c>
      <c r="W847" s="6" t="e">
        <f t="shared" si="72"/>
        <v>#DIV/0!</v>
      </c>
      <c r="X847" s="6" t="e">
        <f ca="1">SQRT($B$9*AVERAGE(W847:OFFSET(W847,$B$5-1,0)))</f>
        <v>#DIV/0!</v>
      </c>
      <c r="Y847" s="6" t="e">
        <f ca="1">SQRT($B$9*AVERAGE(W847:OFFSET(W847,$B$6-1,0)))</f>
        <v>#DIV/0!</v>
      </c>
      <c r="Z847" s="6" t="e">
        <f ca="1">SQRT($B$9*AVERAGE(W847:OFFSET(W847,$B$7-1,0)))</f>
        <v>#DIV/0!</v>
      </c>
      <c r="AA847" s="6" t="e">
        <f ca="1">SQRT($B$9*AVERAGE(W847:OFFSET(W847,$B$8-1,0)))</f>
        <v>#DIV/0!</v>
      </c>
      <c r="AC847" s="34" t="e">
        <f t="shared" si="70"/>
        <v>#DIV/0!</v>
      </c>
      <c r="AD847" s="34" t="e">
        <f ca="1">SQRT($B$9*SUM(AC847:OFFSET(AC847,$B$5-1,0))/($B$5-1))</f>
        <v>#DIV/0!</v>
      </c>
      <c r="AE847" s="34" t="e">
        <f ca="1">SQRT($B$9*SUM(AC847:OFFSET(AC847,$B$6-1,0))/($B$6-1))</f>
        <v>#DIV/0!</v>
      </c>
      <c r="AF847" s="34" t="e">
        <f ca="1">SQRT($B$9*SUM(AC847:OFFSET(AC847,$B$7-1,0))/($B$7-1))</f>
        <v>#DIV/0!</v>
      </c>
      <c r="AG847" s="34" t="e">
        <f ca="1">SQRT($B$9*SUM(AC847:OFFSET(AC847,$B$8-1,0))/($B$8-1))</f>
        <v>#DIV/0!</v>
      </c>
      <c r="AI847" s="1" t="e">
        <f t="shared" si="71"/>
        <v>#DIV/0!</v>
      </c>
      <c r="AJ847" s="4" t="e">
        <f ca="1">SQRT($B$9)*_xlfn.STDEV.S(AI847:OFFSET(AI847,$B$5-1,0))</f>
        <v>#DIV/0!</v>
      </c>
      <c r="AK847" s="4" t="e">
        <f ca="1">SQRT($B$9)*_xlfn.STDEV.S(AI847:OFFSET(AI847,$B$6-1,0))</f>
        <v>#DIV/0!</v>
      </c>
      <c r="AL847" s="4" t="e">
        <f ca="1">SQRT($B$9)*_xlfn.STDEV.S(AI847:OFFSET(AI847,$B$7-1,0))</f>
        <v>#DIV/0!</v>
      </c>
      <c r="AM847" s="4" t="e">
        <f ca="1">SQRT($B$9)*_xlfn.STDEV.S(AI847:OFFSET(AI847,$B$8-1,0))</f>
        <v>#DIV/0!</v>
      </c>
    </row>
    <row r="848" spans="5:39" x14ac:dyDescent="0.2">
      <c r="E848" s="42">
        <v>44202</v>
      </c>
      <c r="F848" s="43"/>
      <c r="G848" s="43"/>
      <c r="H848" s="43"/>
      <c r="I848" s="43"/>
      <c r="K848" s="3" t="e">
        <f t="shared" si="74"/>
        <v>#DIV/0!</v>
      </c>
      <c r="L848" s="3" t="e">
        <f ca="1">SQRT(AVERAGE(K848:OFFSET(K848,$B$5-1,0))*$B$9/(4*LN(2)))</f>
        <v>#DIV/0!</v>
      </c>
      <c r="M848" s="3" t="e">
        <f ca="1">SQRT(AVERAGE(K848:OFFSET(K848,$B$6-1,0))*$B$9/(4*LN(2)))</f>
        <v>#DIV/0!</v>
      </c>
      <c r="N848" s="3" t="e">
        <f ca="1">SQRT(AVERAGE(K848:OFFSET(K848,$B$7-1,0))*$B$9/(4*LN(2)))</f>
        <v>#DIV/0!</v>
      </c>
      <c r="O848" s="3" t="e">
        <f ca="1">SQRT(AVERAGE(K848:OFFSET(K848,$B$8-1,0))*$B$9/(4*LN(2)))</f>
        <v>#DIV/0!</v>
      </c>
      <c r="Q848" s="5" t="e">
        <f t="shared" si="73"/>
        <v>#DIV/0!</v>
      </c>
      <c r="R848" s="5" t="e">
        <f ca="1">SQRT($B$9*AVERAGE((Q848:OFFSET(Q848,$B$5-1,0))))</f>
        <v>#DIV/0!</v>
      </c>
      <c r="S848" s="5" t="e">
        <f ca="1">SQRT($B$9*AVERAGE((Q848:OFFSET(Q848,$B$6-1,0))))</f>
        <v>#DIV/0!</v>
      </c>
      <c r="T848" s="5" t="e">
        <f ca="1">SQRT($B$9*AVERAGE((Q848:OFFSET(Q848,$B$7-1,0))))</f>
        <v>#DIV/0!</v>
      </c>
      <c r="U848" s="5" t="e">
        <f ca="1">SQRT($B$9*AVERAGE((Q848:OFFSET(Q848,$B$8-1,0))))</f>
        <v>#DIV/0!</v>
      </c>
      <c r="W848" s="6" t="e">
        <f t="shared" si="72"/>
        <v>#DIV/0!</v>
      </c>
      <c r="X848" s="6" t="e">
        <f ca="1">SQRT($B$9*AVERAGE(W848:OFFSET(W848,$B$5-1,0)))</f>
        <v>#DIV/0!</v>
      </c>
      <c r="Y848" s="6" t="e">
        <f ca="1">SQRT($B$9*AVERAGE(W848:OFFSET(W848,$B$6-1,0)))</f>
        <v>#DIV/0!</v>
      </c>
      <c r="Z848" s="6" t="e">
        <f ca="1">SQRT($B$9*AVERAGE(W848:OFFSET(W848,$B$7-1,0)))</f>
        <v>#DIV/0!</v>
      </c>
      <c r="AA848" s="6" t="e">
        <f ca="1">SQRT($B$9*AVERAGE(W848:OFFSET(W848,$B$8-1,0)))</f>
        <v>#DIV/0!</v>
      </c>
      <c r="AC848" s="34" t="e">
        <f t="shared" si="70"/>
        <v>#DIV/0!</v>
      </c>
      <c r="AD848" s="34" t="e">
        <f ca="1">SQRT($B$9*SUM(AC848:OFFSET(AC848,$B$5-1,0))/($B$5-1))</f>
        <v>#DIV/0!</v>
      </c>
      <c r="AE848" s="34" t="e">
        <f ca="1">SQRT($B$9*SUM(AC848:OFFSET(AC848,$B$6-1,0))/($B$6-1))</f>
        <v>#DIV/0!</v>
      </c>
      <c r="AF848" s="34" t="e">
        <f ca="1">SQRT($B$9*SUM(AC848:OFFSET(AC848,$B$7-1,0))/($B$7-1))</f>
        <v>#DIV/0!</v>
      </c>
      <c r="AG848" s="34" t="e">
        <f ca="1">SQRT($B$9*SUM(AC848:OFFSET(AC848,$B$8-1,0))/($B$8-1))</f>
        <v>#DIV/0!</v>
      </c>
      <c r="AI848" s="1" t="e">
        <f t="shared" si="71"/>
        <v>#DIV/0!</v>
      </c>
      <c r="AJ848" s="4" t="e">
        <f ca="1">SQRT($B$9)*_xlfn.STDEV.S(AI848:OFFSET(AI848,$B$5-1,0))</f>
        <v>#DIV/0!</v>
      </c>
      <c r="AK848" s="4" t="e">
        <f ca="1">SQRT($B$9)*_xlfn.STDEV.S(AI848:OFFSET(AI848,$B$6-1,0))</f>
        <v>#DIV/0!</v>
      </c>
      <c r="AL848" s="4" t="e">
        <f ca="1">SQRT($B$9)*_xlfn.STDEV.S(AI848:OFFSET(AI848,$B$7-1,0))</f>
        <v>#DIV/0!</v>
      </c>
      <c r="AM848" s="4" t="e">
        <f ca="1">SQRT($B$9)*_xlfn.STDEV.S(AI848:OFFSET(AI848,$B$8-1,0))</f>
        <v>#DIV/0!</v>
      </c>
    </row>
    <row r="849" spans="5:39" x14ac:dyDescent="0.2">
      <c r="E849" s="42">
        <v>44201</v>
      </c>
      <c r="F849" s="43"/>
      <c r="G849" s="43"/>
      <c r="H849" s="43"/>
      <c r="I849" s="43"/>
      <c r="K849" s="3" t="e">
        <f t="shared" si="74"/>
        <v>#DIV/0!</v>
      </c>
      <c r="L849" s="3" t="e">
        <f ca="1">SQRT(AVERAGE(K849:OFFSET(K849,$B$5-1,0))*$B$9/(4*LN(2)))</f>
        <v>#DIV/0!</v>
      </c>
      <c r="M849" s="3" t="e">
        <f ca="1">SQRT(AVERAGE(K849:OFFSET(K849,$B$6-1,0))*$B$9/(4*LN(2)))</f>
        <v>#DIV/0!</v>
      </c>
      <c r="N849" s="3" t="e">
        <f ca="1">SQRT(AVERAGE(K849:OFFSET(K849,$B$7-1,0))*$B$9/(4*LN(2)))</f>
        <v>#DIV/0!</v>
      </c>
      <c r="O849" s="3" t="e">
        <f ca="1">SQRT(AVERAGE(K849:OFFSET(K849,$B$8-1,0))*$B$9/(4*LN(2)))</f>
        <v>#DIV/0!</v>
      </c>
      <c r="Q849" s="5" t="e">
        <f t="shared" si="73"/>
        <v>#DIV/0!</v>
      </c>
      <c r="R849" s="5" t="e">
        <f ca="1">SQRT($B$9*AVERAGE((Q849:OFFSET(Q849,$B$5-1,0))))</f>
        <v>#DIV/0!</v>
      </c>
      <c r="S849" s="5" t="e">
        <f ca="1">SQRT($B$9*AVERAGE((Q849:OFFSET(Q849,$B$6-1,0))))</f>
        <v>#DIV/0!</v>
      </c>
      <c r="T849" s="5" t="e">
        <f ca="1">SQRT($B$9*AVERAGE((Q849:OFFSET(Q849,$B$7-1,0))))</f>
        <v>#DIV/0!</v>
      </c>
      <c r="U849" s="5" t="e">
        <f ca="1">SQRT($B$9*AVERAGE((Q849:OFFSET(Q849,$B$8-1,0))))</f>
        <v>#DIV/0!</v>
      </c>
      <c r="W849" s="6" t="e">
        <f t="shared" si="72"/>
        <v>#DIV/0!</v>
      </c>
      <c r="X849" s="6" t="e">
        <f ca="1">SQRT($B$9*AVERAGE(W849:OFFSET(W849,$B$5-1,0)))</f>
        <v>#DIV/0!</v>
      </c>
      <c r="Y849" s="6" t="e">
        <f ca="1">SQRT($B$9*AVERAGE(W849:OFFSET(W849,$B$6-1,0)))</f>
        <v>#DIV/0!</v>
      </c>
      <c r="Z849" s="6" t="e">
        <f ca="1">SQRT($B$9*AVERAGE(W849:OFFSET(W849,$B$7-1,0)))</f>
        <v>#DIV/0!</v>
      </c>
      <c r="AA849" s="6" t="e">
        <f ca="1">SQRT($B$9*AVERAGE(W849:OFFSET(W849,$B$8-1,0)))</f>
        <v>#DIV/0!</v>
      </c>
      <c r="AC849" s="34" t="e">
        <f t="shared" ref="AC849:AC912" si="75">(LN(I849/I850))^2</f>
        <v>#DIV/0!</v>
      </c>
      <c r="AD849" s="34" t="e">
        <f ca="1">SQRT($B$9*SUM(AC849:OFFSET(AC849,$B$5-1,0))/($B$5-1))</f>
        <v>#DIV/0!</v>
      </c>
      <c r="AE849" s="34" t="e">
        <f ca="1">SQRT($B$9*SUM(AC849:OFFSET(AC849,$B$6-1,0))/($B$6-1))</f>
        <v>#DIV/0!</v>
      </c>
      <c r="AF849" s="34" t="e">
        <f ca="1">SQRT($B$9*SUM(AC849:OFFSET(AC849,$B$7-1,0))/($B$7-1))</f>
        <v>#DIV/0!</v>
      </c>
      <c r="AG849" s="34" t="e">
        <f ca="1">SQRT($B$9*SUM(AC849:OFFSET(AC849,$B$8-1,0))/($B$8-1))</f>
        <v>#DIV/0!</v>
      </c>
      <c r="AI849" s="1" t="e">
        <f t="shared" si="71"/>
        <v>#DIV/0!</v>
      </c>
      <c r="AJ849" s="4" t="e">
        <f ca="1">SQRT($B$9)*_xlfn.STDEV.S(AI849:OFFSET(AI849,$B$5-1,0))</f>
        <v>#DIV/0!</v>
      </c>
      <c r="AK849" s="4" t="e">
        <f ca="1">SQRT($B$9)*_xlfn.STDEV.S(AI849:OFFSET(AI849,$B$6-1,0))</f>
        <v>#DIV/0!</v>
      </c>
      <c r="AL849" s="4" t="e">
        <f ca="1">SQRT($B$9)*_xlfn.STDEV.S(AI849:OFFSET(AI849,$B$7-1,0))</f>
        <v>#DIV/0!</v>
      </c>
      <c r="AM849" s="4" t="e">
        <f ca="1">SQRT($B$9)*_xlfn.STDEV.S(AI849:OFFSET(AI849,$B$8-1,0))</f>
        <v>#DIV/0!</v>
      </c>
    </row>
    <row r="850" spans="5:39" x14ac:dyDescent="0.2">
      <c r="E850" s="42">
        <v>44200</v>
      </c>
      <c r="F850" s="43"/>
      <c r="G850" s="43"/>
      <c r="H850" s="43"/>
      <c r="I850" s="43"/>
      <c r="K850" s="3" t="e">
        <f t="shared" si="74"/>
        <v>#DIV/0!</v>
      </c>
      <c r="L850" s="3" t="e">
        <f ca="1">SQRT(AVERAGE(K850:OFFSET(K850,$B$5-1,0))*$B$9/(4*LN(2)))</f>
        <v>#DIV/0!</v>
      </c>
      <c r="M850" s="3" t="e">
        <f ca="1">SQRT(AVERAGE(K850:OFFSET(K850,$B$6-1,0))*$B$9/(4*LN(2)))</f>
        <v>#DIV/0!</v>
      </c>
      <c r="N850" s="3" t="e">
        <f ca="1">SQRT(AVERAGE(K850:OFFSET(K850,$B$7-1,0))*$B$9/(4*LN(2)))</f>
        <v>#DIV/0!</v>
      </c>
      <c r="O850" s="3" t="e">
        <f ca="1">SQRT(AVERAGE(K850:OFFSET(K850,$B$8-1,0))*$B$9/(4*LN(2)))</f>
        <v>#DIV/0!</v>
      </c>
      <c r="Q850" s="5" t="e">
        <f t="shared" si="73"/>
        <v>#DIV/0!</v>
      </c>
      <c r="R850" s="5" t="e">
        <f ca="1">SQRT($B$9*AVERAGE((Q850:OFFSET(Q850,$B$5-1,0))))</f>
        <v>#DIV/0!</v>
      </c>
      <c r="S850" s="5" t="e">
        <f ca="1">SQRT($B$9*AVERAGE((Q850:OFFSET(Q850,$B$6-1,0))))</f>
        <v>#DIV/0!</v>
      </c>
      <c r="T850" s="5" t="e">
        <f ca="1">SQRT($B$9*AVERAGE((Q850:OFFSET(Q850,$B$7-1,0))))</f>
        <v>#DIV/0!</v>
      </c>
      <c r="U850" s="5" t="e">
        <f ca="1">SQRT($B$9*AVERAGE((Q850:OFFSET(Q850,$B$8-1,0))))</f>
        <v>#DIV/0!</v>
      </c>
      <c r="W850" s="6" t="e">
        <f t="shared" si="72"/>
        <v>#DIV/0!</v>
      </c>
      <c r="X850" s="6" t="e">
        <f ca="1">SQRT($B$9*AVERAGE(W850:OFFSET(W850,$B$5-1,0)))</f>
        <v>#DIV/0!</v>
      </c>
      <c r="Y850" s="6" t="e">
        <f ca="1">SQRT($B$9*AVERAGE(W850:OFFSET(W850,$B$6-1,0)))</f>
        <v>#DIV/0!</v>
      </c>
      <c r="Z850" s="6" t="e">
        <f ca="1">SQRT($B$9*AVERAGE(W850:OFFSET(W850,$B$7-1,0)))</f>
        <v>#DIV/0!</v>
      </c>
      <c r="AA850" s="6" t="e">
        <f ca="1">SQRT($B$9*AVERAGE(W850:OFFSET(W850,$B$8-1,0)))</f>
        <v>#DIV/0!</v>
      </c>
      <c r="AC850" s="34" t="e">
        <f t="shared" si="75"/>
        <v>#DIV/0!</v>
      </c>
      <c r="AD850" s="34" t="e">
        <f ca="1">SQRT($B$9*SUM(AC850:OFFSET(AC850,$B$5-1,0))/($B$5-1))</f>
        <v>#DIV/0!</v>
      </c>
      <c r="AE850" s="34" t="e">
        <f ca="1">SQRT($B$9*SUM(AC850:OFFSET(AC850,$B$6-1,0))/($B$6-1))</f>
        <v>#DIV/0!</v>
      </c>
      <c r="AF850" s="34" t="e">
        <f ca="1">SQRT($B$9*SUM(AC850:OFFSET(AC850,$B$7-1,0))/($B$7-1))</f>
        <v>#DIV/0!</v>
      </c>
      <c r="AG850" s="34" t="e">
        <f ca="1">SQRT($B$9*SUM(AC850:OFFSET(AC850,$B$8-1,0))/($B$8-1))</f>
        <v>#DIV/0!</v>
      </c>
      <c r="AI850" s="1" t="e">
        <f t="shared" si="71"/>
        <v>#DIV/0!</v>
      </c>
      <c r="AJ850" s="4" t="e">
        <f ca="1">SQRT($B$9)*_xlfn.STDEV.S(AI850:OFFSET(AI850,$B$5-1,0))</f>
        <v>#DIV/0!</v>
      </c>
      <c r="AK850" s="4" t="e">
        <f ca="1">SQRT($B$9)*_xlfn.STDEV.S(AI850:OFFSET(AI850,$B$6-1,0))</f>
        <v>#DIV/0!</v>
      </c>
      <c r="AL850" s="4" t="e">
        <f ca="1">SQRT($B$9)*_xlfn.STDEV.S(AI850:OFFSET(AI850,$B$7-1,0))</f>
        <v>#DIV/0!</v>
      </c>
      <c r="AM850" s="4" t="e">
        <f ca="1">SQRT($B$9)*_xlfn.STDEV.S(AI850:OFFSET(AI850,$B$8-1,0))</f>
        <v>#DIV/0!</v>
      </c>
    </row>
    <row r="851" spans="5:39" x14ac:dyDescent="0.2">
      <c r="E851" s="42">
        <v>44196</v>
      </c>
      <c r="F851" s="43"/>
      <c r="G851" s="43"/>
      <c r="H851" s="43"/>
      <c r="I851" s="43"/>
      <c r="K851" s="3" t="e">
        <f t="shared" si="74"/>
        <v>#DIV/0!</v>
      </c>
      <c r="L851" s="3" t="e">
        <f ca="1">SQRT(AVERAGE(K851:OFFSET(K851,$B$5-1,0))*$B$9/(4*LN(2)))</f>
        <v>#DIV/0!</v>
      </c>
      <c r="M851" s="3" t="e">
        <f ca="1">SQRT(AVERAGE(K851:OFFSET(K851,$B$6-1,0))*$B$9/(4*LN(2)))</f>
        <v>#DIV/0!</v>
      </c>
      <c r="N851" s="3" t="e">
        <f ca="1">SQRT(AVERAGE(K851:OFFSET(K851,$B$7-1,0))*$B$9/(4*LN(2)))</f>
        <v>#DIV/0!</v>
      </c>
      <c r="O851" s="3" t="e">
        <f ca="1">SQRT(AVERAGE(K851:OFFSET(K851,$B$8-1,0))*$B$9/(4*LN(2)))</f>
        <v>#DIV/0!</v>
      </c>
      <c r="Q851" s="5" t="e">
        <f t="shared" si="73"/>
        <v>#DIV/0!</v>
      </c>
      <c r="R851" s="5" t="e">
        <f ca="1">SQRT($B$9*AVERAGE((Q851:OFFSET(Q851,$B$5-1,0))))</f>
        <v>#DIV/0!</v>
      </c>
      <c r="S851" s="5" t="e">
        <f ca="1">SQRT($B$9*AVERAGE((Q851:OFFSET(Q851,$B$6-1,0))))</f>
        <v>#DIV/0!</v>
      </c>
      <c r="T851" s="5" t="e">
        <f ca="1">SQRT($B$9*AVERAGE((Q851:OFFSET(Q851,$B$7-1,0))))</f>
        <v>#DIV/0!</v>
      </c>
      <c r="U851" s="5" t="e">
        <f ca="1">SQRT($B$9*AVERAGE((Q851:OFFSET(Q851,$B$8-1,0))))</f>
        <v>#DIV/0!</v>
      </c>
      <c r="W851" s="6" t="e">
        <f t="shared" si="72"/>
        <v>#DIV/0!</v>
      </c>
      <c r="X851" s="6" t="e">
        <f ca="1">SQRT($B$9*AVERAGE(W851:OFFSET(W851,$B$5-1,0)))</f>
        <v>#DIV/0!</v>
      </c>
      <c r="Y851" s="6" t="e">
        <f ca="1">SQRT($B$9*AVERAGE(W851:OFFSET(W851,$B$6-1,0)))</f>
        <v>#DIV/0!</v>
      </c>
      <c r="Z851" s="6" t="e">
        <f ca="1">SQRT($B$9*AVERAGE(W851:OFFSET(W851,$B$7-1,0)))</f>
        <v>#DIV/0!</v>
      </c>
      <c r="AA851" s="6" t="e">
        <f ca="1">SQRT($B$9*AVERAGE(W851:OFFSET(W851,$B$8-1,0)))</f>
        <v>#DIV/0!</v>
      </c>
      <c r="AC851" s="34" t="e">
        <f t="shared" si="75"/>
        <v>#DIV/0!</v>
      </c>
      <c r="AD851" s="34" t="e">
        <f ca="1">SQRT($B$9*SUM(AC851:OFFSET(AC851,$B$5-1,0))/($B$5-1))</f>
        <v>#DIV/0!</v>
      </c>
      <c r="AE851" s="34" t="e">
        <f ca="1">SQRT($B$9*SUM(AC851:OFFSET(AC851,$B$6-1,0))/($B$6-1))</f>
        <v>#DIV/0!</v>
      </c>
      <c r="AF851" s="34" t="e">
        <f ca="1">SQRT($B$9*SUM(AC851:OFFSET(AC851,$B$7-1,0))/($B$7-1))</f>
        <v>#DIV/0!</v>
      </c>
      <c r="AG851" s="34" t="e">
        <f ca="1">SQRT($B$9*SUM(AC851:OFFSET(AC851,$B$8-1,0))/($B$8-1))</f>
        <v>#DIV/0!</v>
      </c>
      <c r="AI851" s="1" t="e">
        <f t="shared" ref="AI851:AI914" si="76">LN(I851/I852)</f>
        <v>#DIV/0!</v>
      </c>
      <c r="AJ851" s="4" t="e">
        <f ca="1">SQRT($B$9)*_xlfn.STDEV.S(AI851:OFFSET(AI851,$B$5-1,0))</f>
        <v>#DIV/0!</v>
      </c>
      <c r="AK851" s="4" t="e">
        <f ca="1">SQRT($B$9)*_xlfn.STDEV.S(AI851:OFFSET(AI851,$B$6-1,0))</f>
        <v>#DIV/0!</v>
      </c>
      <c r="AL851" s="4" t="e">
        <f ca="1">SQRT($B$9)*_xlfn.STDEV.S(AI851:OFFSET(AI851,$B$7-1,0))</f>
        <v>#DIV/0!</v>
      </c>
      <c r="AM851" s="4" t="e">
        <f ca="1">SQRT($B$9)*_xlfn.STDEV.S(AI851:OFFSET(AI851,$B$8-1,0))</f>
        <v>#DIV/0!</v>
      </c>
    </row>
    <row r="852" spans="5:39" x14ac:dyDescent="0.2">
      <c r="E852" s="42">
        <v>44195</v>
      </c>
      <c r="F852" s="43"/>
      <c r="G852" s="43"/>
      <c r="H852" s="43"/>
      <c r="I852" s="43"/>
      <c r="K852" s="3" t="e">
        <f t="shared" si="74"/>
        <v>#DIV/0!</v>
      </c>
      <c r="L852" s="3" t="e">
        <f ca="1">SQRT(AVERAGE(K852:OFFSET(K852,$B$5-1,0))*$B$9/(4*LN(2)))</f>
        <v>#DIV/0!</v>
      </c>
      <c r="M852" s="3" t="e">
        <f ca="1">SQRT(AVERAGE(K852:OFFSET(K852,$B$6-1,0))*$B$9/(4*LN(2)))</f>
        <v>#DIV/0!</v>
      </c>
      <c r="N852" s="3" t="e">
        <f ca="1">SQRT(AVERAGE(K852:OFFSET(K852,$B$7-1,0))*$B$9/(4*LN(2)))</f>
        <v>#DIV/0!</v>
      </c>
      <c r="O852" s="3" t="e">
        <f ca="1">SQRT(AVERAGE(K852:OFFSET(K852,$B$8-1,0))*$B$9/(4*LN(2)))</f>
        <v>#DIV/0!</v>
      </c>
      <c r="Q852" s="5" t="e">
        <f t="shared" si="73"/>
        <v>#DIV/0!</v>
      </c>
      <c r="R852" s="5" t="e">
        <f ca="1">SQRT($B$9*AVERAGE((Q852:OFFSET(Q852,$B$5-1,0))))</f>
        <v>#DIV/0!</v>
      </c>
      <c r="S852" s="5" t="e">
        <f ca="1">SQRT($B$9*AVERAGE((Q852:OFFSET(Q852,$B$6-1,0))))</f>
        <v>#DIV/0!</v>
      </c>
      <c r="T852" s="5" t="e">
        <f ca="1">SQRT($B$9*AVERAGE((Q852:OFFSET(Q852,$B$7-1,0))))</f>
        <v>#DIV/0!</v>
      </c>
      <c r="U852" s="5" t="e">
        <f ca="1">SQRT($B$9*AVERAGE((Q852:OFFSET(Q852,$B$8-1,0))))</f>
        <v>#DIV/0!</v>
      </c>
      <c r="W852" s="6" t="e">
        <f t="shared" si="72"/>
        <v>#DIV/0!</v>
      </c>
      <c r="X852" s="6" t="e">
        <f ca="1">SQRT($B$9*AVERAGE(W852:OFFSET(W852,$B$5-1,0)))</f>
        <v>#DIV/0!</v>
      </c>
      <c r="Y852" s="6" t="e">
        <f ca="1">SQRT($B$9*AVERAGE(W852:OFFSET(W852,$B$6-1,0)))</f>
        <v>#DIV/0!</v>
      </c>
      <c r="Z852" s="6" t="e">
        <f ca="1">SQRT($B$9*AVERAGE(W852:OFFSET(W852,$B$7-1,0)))</f>
        <v>#DIV/0!</v>
      </c>
      <c r="AA852" s="6" t="e">
        <f ca="1">SQRT($B$9*AVERAGE(W852:OFFSET(W852,$B$8-1,0)))</f>
        <v>#DIV/0!</v>
      </c>
      <c r="AC852" s="34" t="e">
        <f t="shared" si="75"/>
        <v>#DIV/0!</v>
      </c>
      <c r="AD852" s="34" t="e">
        <f ca="1">SQRT($B$9*SUM(AC852:OFFSET(AC852,$B$5-1,0))/($B$5-1))</f>
        <v>#DIV/0!</v>
      </c>
      <c r="AE852" s="34" t="e">
        <f ca="1">SQRT($B$9*SUM(AC852:OFFSET(AC852,$B$6-1,0))/($B$6-1))</f>
        <v>#DIV/0!</v>
      </c>
      <c r="AF852" s="34" t="e">
        <f ca="1">SQRT($B$9*SUM(AC852:OFFSET(AC852,$B$7-1,0))/($B$7-1))</f>
        <v>#DIV/0!</v>
      </c>
      <c r="AG852" s="34" t="e">
        <f ca="1">SQRT($B$9*SUM(AC852:OFFSET(AC852,$B$8-1,0))/($B$8-1))</f>
        <v>#DIV/0!</v>
      </c>
      <c r="AI852" s="1" t="e">
        <f t="shared" si="76"/>
        <v>#DIV/0!</v>
      </c>
      <c r="AJ852" s="4" t="e">
        <f ca="1">SQRT($B$9)*_xlfn.STDEV.S(AI852:OFFSET(AI852,$B$5-1,0))</f>
        <v>#DIV/0!</v>
      </c>
      <c r="AK852" s="4" t="e">
        <f ca="1">SQRT($B$9)*_xlfn.STDEV.S(AI852:OFFSET(AI852,$B$6-1,0))</f>
        <v>#DIV/0!</v>
      </c>
      <c r="AL852" s="4" t="e">
        <f ca="1">SQRT($B$9)*_xlfn.STDEV.S(AI852:OFFSET(AI852,$B$7-1,0))</f>
        <v>#DIV/0!</v>
      </c>
      <c r="AM852" s="4" t="e">
        <f ca="1">SQRT($B$9)*_xlfn.STDEV.S(AI852:OFFSET(AI852,$B$8-1,0))</f>
        <v>#DIV/0!</v>
      </c>
    </row>
    <row r="853" spans="5:39" x14ac:dyDescent="0.2">
      <c r="E853" s="42">
        <v>44194</v>
      </c>
      <c r="F853" s="43"/>
      <c r="G853" s="43"/>
      <c r="H853" s="43"/>
      <c r="I853" s="43"/>
      <c r="K853" s="3" t="e">
        <f t="shared" si="74"/>
        <v>#DIV/0!</v>
      </c>
      <c r="L853" s="3" t="e">
        <f ca="1">SQRT(AVERAGE(K853:OFFSET(K853,$B$5-1,0))*$B$9/(4*LN(2)))</f>
        <v>#DIV/0!</v>
      </c>
      <c r="M853" s="3" t="e">
        <f ca="1">SQRT(AVERAGE(K853:OFFSET(K853,$B$6-1,0))*$B$9/(4*LN(2)))</f>
        <v>#DIV/0!</v>
      </c>
      <c r="N853" s="3" t="e">
        <f ca="1">SQRT(AVERAGE(K853:OFFSET(K853,$B$7-1,0))*$B$9/(4*LN(2)))</f>
        <v>#DIV/0!</v>
      </c>
      <c r="O853" s="3" t="e">
        <f ca="1">SQRT(AVERAGE(K853:OFFSET(K853,$B$8-1,0))*$B$9/(4*LN(2)))</f>
        <v>#DIV/0!</v>
      </c>
      <c r="Q853" s="5" t="e">
        <f t="shared" si="73"/>
        <v>#DIV/0!</v>
      </c>
      <c r="R853" s="5" t="e">
        <f ca="1">SQRT($B$9*AVERAGE((Q853:OFFSET(Q853,$B$5-1,0))))</f>
        <v>#DIV/0!</v>
      </c>
      <c r="S853" s="5" t="e">
        <f ca="1">SQRT($B$9*AVERAGE((Q853:OFFSET(Q853,$B$6-1,0))))</f>
        <v>#DIV/0!</v>
      </c>
      <c r="T853" s="5" t="e">
        <f ca="1">SQRT($B$9*AVERAGE((Q853:OFFSET(Q853,$B$7-1,0))))</f>
        <v>#DIV/0!</v>
      </c>
      <c r="U853" s="5" t="e">
        <f ca="1">SQRT($B$9*AVERAGE((Q853:OFFSET(Q853,$B$8-1,0))))</f>
        <v>#DIV/0!</v>
      </c>
      <c r="W853" s="6" t="e">
        <f t="shared" si="72"/>
        <v>#DIV/0!</v>
      </c>
      <c r="X853" s="6" t="e">
        <f ca="1">SQRT($B$9*AVERAGE(W853:OFFSET(W853,$B$5-1,0)))</f>
        <v>#DIV/0!</v>
      </c>
      <c r="Y853" s="6" t="e">
        <f ca="1">SQRT($B$9*AVERAGE(W853:OFFSET(W853,$B$6-1,0)))</f>
        <v>#DIV/0!</v>
      </c>
      <c r="Z853" s="6" t="e">
        <f ca="1">SQRT($B$9*AVERAGE(W853:OFFSET(W853,$B$7-1,0)))</f>
        <v>#DIV/0!</v>
      </c>
      <c r="AA853" s="6" t="e">
        <f ca="1">SQRT($B$9*AVERAGE(W853:OFFSET(W853,$B$8-1,0)))</f>
        <v>#DIV/0!</v>
      </c>
      <c r="AC853" s="34" t="e">
        <f t="shared" si="75"/>
        <v>#DIV/0!</v>
      </c>
      <c r="AD853" s="34" t="e">
        <f ca="1">SQRT($B$9*SUM(AC853:OFFSET(AC853,$B$5-1,0))/($B$5-1))</f>
        <v>#DIV/0!</v>
      </c>
      <c r="AE853" s="34" t="e">
        <f ca="1">SQRT($B$9*SUM(AC853:OFFSET(AC853,$B$6-1,0))/($B$6-1))</f>
        <v>#DIV/0!</v>
      </c>
      <c r="AF853" s="34" t="e">
        <f ca="1">SQRT($B$9*SUM(AC853:OFFSET(AC853,$B$7-1,0))/($B$7-1))</f>
        <v>#DIV/0!</v>
      </c>
      <c r="AG853" s="34" t="e">
        <f ca="1">SQRT($B$9*SUM(AC853:OFFSET(AC853,$B$8-1,0))/($B$8-1))</f>
        <v>#DIV/0!</v>
      </c>
      <c r="AI853" s="1" t="e">
        <f t="shared" si="76"/>
        <v>#DIV/0!</v>
      </c>
      <c r="AJ853" s="4" t="e">
        <f ca="1">SQRT($B$9)*_xlfn.STDEV.S(AI853:OFFSET(AI853,$B$5-1,0))</f>
        <v>#DIV/0!</v>
      </c>
      <c r="AK853" s="4" t="e">
        <f ca="1">SQRT($B$9)*_xlfn.STDEV.S(AI853:OFFSET(AI853,$B$6-1,0))</f>
        <v>#DIV/0!</v>
      </c>
      <c r="AL853" s="4" t="e">
        <f ca="1">SQRT($B$9)*_xlfn.STDEV.S(AI853:OFFSET(AI853,$B$7-1,0))</f>
        <v>#DIV/0!</v>
      </c>
      <c r="AM853" s="4" t="e">
        <f ca="1">SQRT($B$9)*_xlfn.STDEV.S(AI853:OFFSET(AI853,$B$8-1,0))</f>
        <v>#DIV/0!</v>
      </c>
    </row>
    <row r="854" spans="5:39" x14ac:dyDescent="0.2">
      <c r="E854" s="42">
        <v>44193</v>
      </c>
      <c r="F854" s="43"/>
      <c r="G854" s="43"/>
      <c r="H854" s="43"/>
      <c r="I854" s="43"/>
      <c r="K854" s="3" t="e">
        <f t="shared" si="74"/>
        <v>#DIV/0!</v>
      </c>
      <c r="L854" s="3" t="e">
        <f ca="1">SQRT(AVERAGE(K854:OFFSET(K854,$B$5-1,0))*$B$9/(4*LN(2)))</f>
        <v>#DIV/0!</v>
      </c>
      <c r="M854" s="3" t="e">
        <f ca="1">SQRT(AVERAGE(K854:OFFSET(K854,$B$6-1,0))*$B$9/(4*LN(2)))</f>
        <v>#DIV/0!</v>
      </c>
      <c r="N854" s="3" t="e">
        <f ca="1">SQRT(AVERAGE(K854:OFFSET(K854,$B$7-1,0))*$B$9/(4*LN(2)))</f>
        <v>#DIV/0!</v>
      </c>
      <c r="O854" s="3" t="e">
        <f ca="1">SQRT(AVERAGE(K854:OFFSET(K854,$B$8-1,0))*$B$9/(4*LN(2)))</f>
        <v>#DIV/0!</v>
      </c>
      <c r="Q854" s="5" t="e">
        <f t="shared" si="73"/>
        <v>#DIV/0!</v>
      </c>
      <c r="R854" s="5" t="e">
        <f ca="1">SQRT($B$9*AVERAGE((Q854:OFFSET(Q854,$B$5-1,0))))</f>
        <v>#DIV/0!</v>
      </c>
      <c r="S854" s="5" t="e">
        <f ca="1">SQRT($B$9*AVERAGE((Q854:OFFSET(Q854,$B$6-1,0))))</f>
        <v>#DIV/0!</v>
      </c>
      <c r="T854" s="5" t="e">
        <f ca="1">SQRT($B$9*AVERAGE((Q854:OFFSET(Q854,$B$7-1,0))))</f>
        <v>#DIV/0!</v>
      </c>
      <c r="U854" s="5" t="e">
        <f ca="1">SQRT($B$9*AVERAGE((Q854:OFFSET(Q854,$B$8-1,0))))</f>
        <v>#DIV/0!</v>
      </c>
      <c r="W854" s="6" t="e">
        <f t="shared" si="72"/>
        <v>#DIV/0!</v>
      </c>
      <c r="X854" s="6" t="e">
        <f ca="1">SQRT($B$9*AVERAGE(W854:OFFSET(W854,$B$5-1,0)))</f>
        <v>#DIV/0!</v>
      </c>
      <c r="Y854" s="6" t="e">
        <f ca="1">SQRT($B$9*AVERAGE(W854:OFFSET(W854,$B$6-1,0)))</f>
        <v>#DIV/0!</v>
      </c>
      <c r="Z854" s="6" t="e">
        <f ca="1">SQRT($B$9*AVERAGE(W854:OFFSET(W854,$B$7-1,0)))</f>
        <v>#DIV/0!</v>
      </c>
      <c r="AA854" s="6" t="e">
        <f ca="1">SQRT($B$9*AVERAGE(W854:OFFSET(W854,$B$8-1,0)))</f>
        <v>#DIV/0!</v>
      </c>
      <c r="AC854" s="34" t="e">
        <f t="shared" si="75"/>
        <v>#DIV/0!</v>
      </c>
      <c r="AD854" s="34" t="e">
        <f ca="1">SQRT($B$9*SUM(AC854:OFFSET(AC854,$B$5-1,0))/($B$5-1))</f>
        <v>#DIV/0!</v>
      </c>
      <c r="AE854" s="34" t="e">
        <f ca="1">SQRT($B$9*SUM(AC854:OFFSET(AC854,$B$6-1,0))/($B$6-1))</f>
        <v>#DIV/0!</v>
      </c>
      <c r="AF854" s="34" t="e">
        <f ca="1">SQRT($B$9*SUM(AC854:OFFSET(AC854,$B$7-1,0))/($B$7-1))</f>
        <v>#DIV/0!</v>
      </c>
      <c r="AG854" s="34" t="e">
        <f ca="1">SQRT($B$9*SUM(AC854:OFFSET(AC854,$B$8-1,0))/($B$8-1))</f>
        <v>#DIV/0!</v>
      </c>
      <c r="AI854" s="1" t="e">
        <f t="shared" si="76"/>
        <v>#DIV/0!</v>
      </c>
      <c r="AJ854" s="4" t="e">
        <f ca="1">SQRT($B$9)*_xlfn.STDEV.S(AI854:OFFSET(AI854,$B$5-1,0))</f>
        <v>#DIV/0!</v>
      </c>
      <c r="AK854" s="4" t="e">
        <f ca="1">SQRT($B$9)*_xlfn.STDEV.S(AI854:OFFSET(AI854,$B$6-1,0))</f>
        <v>#DIV/0!</v>
      </c>
      <c r="AL854" s="4" t="e">
        <f ca="1">SQRT($B$9)*_xlfn.STDEV.S(AI854:OFFSET(AI854,$B$7-1,0))</f>
        <v>#DIV/0!</v>
      </c>
      <c r="AM854" s="4" t="e">
        <f ca="1">SQRT($B$9)*_xlfn.STDEV.S(AI854:OFFSET(AI854,$B$8-1,0))</f>
        <v>#DIV/0!</v>
      </c>
    </row>
    <row r="855" spans="5:39" x14ac:dyDescent="0.2">
      <c r="E855" s="42">
        <v>44190</v>
      </c>
      <c r="F855" s="43"/>
      <c r="G855" s="43"/>
      <c r="H855" s="43"/>
      <c r="I855" s="43"/>
      <c r="K855" s="3" t="e">
        <f t="shared" si="74"/>
        <v>#DIV/0!</v>
      </c>
      <c r="L855" s="3" t="e">
        <f ca="1">SQRT(AVERAGE(K855:OFFSET(K855,$B$5-1,0))*$B$9/(4*LN(2)))</f>
        <v>#DIV/0!</v>
      </c>
      <c r="M855" s="3" t="e">
        <f ca="1">SQRT(AVERAGE(K855:OFFSET(K855,$B$6-1,0))*$B$9/(4*LN(2)))</f>
        <v>#DIV/0!</v>
      </c>
      <c r="N855" s="3" t="e">
        <f ca="1">SQRT(AVERAGE(K855:OFFSET(K855,$B$7-1,0))*$B$9/(4*LN(2)))</f>
        <v>#DIV/0!</v>
      </c>
      <c r="O855" s="3" t="e">
        <f ca="1">SQRT(AVERAGE(K855:OFFSET(K855,$B$8-1,0))*$B$9/(4*LN(2)))</f>
        <v>#DIV/0!</v>
      </c>
      <c r="Q855" s="5" t="e">
        <f t="shared" si="73"/>
        <v>#DIV/0!</v>
      </c>
      <c r="R855" s="5" t="e">
        <f ca="1">SQRT($B$9*AVERAGE((Q855:OFFSET(Q855,$B$5-1,0))))</f>
        <v>#DIV/0!</v>
      </c>
      <c r="S855" s="5" t="e">
        <f ca="1">SQRT($B$9*AVERAGE((Q855:OFFSET(Q855,$B$6-1,0))))</f>
        <v>#DIV/0!</v>
      </c>
      <c r="T855" s="5" t="e">
        <f ca="1">SQRT($B$9*AVERAGE((Q855:OFFSET(Q855,$B$7-1,0))))</f>
        <v>#DIV/0!</v>
      </c>
      <c r="U855" s="5" t="e">
        <f ca="1">SQRT($B$9*AVERAGE((Q855:OFFSET(Q855,$B$8-1,0))))</f>
        <v>#DIV/0!</v>
      </c>
      <c r="W855" s="6" t="e">
        <f t="shared" si="72"/>
        <v>#DIV/0!</v>
      </c>
      <c r="X855" s="6" t="e">
        <f ca="1">SQRT($B$9*AVERAGE(W855:OFFSET(W855,$B$5-1,0)))</f>
        <v>#DIV/0!</v>
      </c>
      <c r="Y855" s="6" t="e">
        <f ca="1">SQRT($B$9*AVERAGE(W855:OFFSET(W855,$B$6-1,0)))</f>
        <v>#DIV/0!</v>
      </c>
      <c r="Z855" s="6" t="e">
        <f ca="1">SQRT($B$9*AVERAGE(W855:OFFSET(W855,$B$7-1,0)))</f>
        <v>#DIV/0!</v>
      </c>
      <c r="AA855" s="6" t="e">
        <f ca="1">SQRT($B$9*AVERAGE(W855:OFFSET(W855,$B$8-1,0)))</f>
        <v>#DIV/0!</v>
      </c>
      <c r="AC855" s="34" t="e">
        <f t="shared" si="75"/>
        <v>#DIV/0!</v>
      </c>
      <c r="AD855" s="34" t="e">
        <f ca="1">SQRT($B$9*SUM(AC855:OFFSET(AC855,$B$5-1,0))/($B$5-1))</f>
        <v>#DIV/0!</v>
      </c>
      <c r="AE855" s="34" t="e">
        <f ca="1">SQRT($B$9*SUM(AC855:OFFSET(AC855,$B$6-1,0))/($B$6-1))</f>
        <v>#DIV/0!</v>
      </c>
      <c r="AF855" s="34" t="e">
        <f ca="1">SQRT($B$9*SUM(AC855:OFFSET(AC855,$B$7-1,0))/($B$7-1))</f>
        <v>#DIV/0!</v>
      </c>
      <c r="AG855" s="34" t="e">
        <f ca="1">SQRT($B$9*SUM(AC855:OFFSET(AC855,$B$8-1,0))/($B$8-1))</f>
        <v>#DIV/0!</v>
      </c>
      <c r="AI855" s="1" t="e">
        <f t="shared" si="76"/>
        <v>#DIV/0!</v>
      </c>
      <c r="AJ855" s="4" t="e">
        <f ca="1">SQRT($B$9)*_xlfn.STDEV.S(AI855:OFFSET(AI855,$B$5-1,0))</f>
        <v>#DIV/0!</v>
      </c>
      <c r="AK855" s="4" t="e">
        <f ca="1">SQRT($B$9)*_xlfn.STDEV.S(AI855:OFFSET(AI855,$B$6-1,0))</f>
        <v>#DIV/0!</v>
      </c>
      <c r="AL855" s="4" t="e">
        <f ca="1">SQRT($B$9)*_xlfn.STDEV.S(AI855:OFFSET(AI855,$B$7-1,0))</f>
        <v>#DIV/0!</v>
      </c>
      <c r="AM855" s="4" t="e">
        <f ca="1">SQRT($B$9)*_xlfn.STDEV.S(AI855:OFFSET(AI855,$B$8-1,0))</f>
        <v>#DIV/0!</v>
      </c>
    </row>
    <row r="856" spans="5:39" x14ac:dyDescent="0.2">
      <c r="E856" s="42">
        <v>44189</v>
      </c>
      <c r="F856" s="43"/>
      <c r="G856" s="43"/>
      <c r="H856" s="43"/>
      <c r="I856" s="43"/>
      <c r="K856" s="3" t="e">
        <f t="shared" si="74"/>
        <v>#DIV/0!</v>
      </c>
      <c r="L856" s="3" t="e">
        <f ca="1">SQRT(AVERAGE(K856:OFFSET(K856,$B$5-1,0))*$B$9/(4*LN(2)))</f>
        <v>#DIV/0!</v>
      </c>
      <c r="M856" s="3" t="e">
        <f ca="1">SQRT(AVERAGE(K856:OFFSET(K856,$B$6-1,0))*$B$9/(4*LN(2)))</f>
        <v>#DIV/0!</v>
      </c>
      <c r="N856" s="3" t="e">
        <f ca="1">SQRT(AVERAGE(K856:OFFSET(K856,$B$7-1,0))*$B$9/(4*LN(2)))</f>
        <v>#DIV/0!</v>
      </c>
      <c r="O856" s="3" t="e">
        <f ca="1">SQRT(AVERAGE(K856:OFFSET(K856,$B$8-1,0))*$B$9/(4*LN(2)))</f>
        <v>#DIV/0!</v>
      </c>
      <c r="Q856" s="5" t="e">
        <f t="shared" si="73"/>
        <v>#DIV/0!</v>
      </c>
      <c r="R856" s="5" t="e">
        <f ca="1">SQRT($B$9*AVERAGE((Q856:OFFSET(Q856,$B$5-1,0))))</f>
        <v>#DIV/0!</v>
      </c>
      <c r="S856" s="5" t="e">
        <f ca="1">SQRT($B$9*AVERAGE((Q856:OFFSET(Q856,$B$6-1,0))))</f>
        <v>#DIV/0!</v>
      </c>
      <c r="T856" s="5" t="e">
        <f ca="1">SQRT($B$9*AVERAGE((Q856:OFFSET(Q856,$B$7-1,0))))</f>
        <v>#DIV/0!</v>
      </c>
      <c r="U856" s="5" t="e">
        <f ca="1">SQRT($B$9*AVERAGE((Q856:OFFSET(Q856,$B$8-1,0))))</f>
        <v>#DIV/0!</v>
      </c>
      <c r="W856" s="6" t="e">
        <f t="shared" si="72"/>
        <v>#DIV/0!</v>
      </c>
      <c r="X856" s="6" t="e">
        <f ca="1">SQRT($B$9*AVERAGE(W856:OFFSET(W856,$B$5-1,0)))</f>
        <v>#DIV/0!</v>
      </c>
      <c r="Y856" s="6" t="e">
        <f ca="1">SQRT($B$9*AVERAGE(W856:OFFSET(W856,$B$6-1,0)))</f>
        <v>#DIV/0!</v>
      </c>
      <c r="Z856" s="6" t="e">
        <f ca="1">SQRT($B$9*AVERAGE(W856:OFFSET(W856,$B$7-1,0)))</f>
        <v>#DIV/0!</v>
      </c>
      <c r="AA856" s="6" t="e">
        <f ca="1">SQRT($B$9*AVERAGE(W856:OFFSET(W856,$B$8-1,0)))</f>
        <v>#DIV/0!</v>
      </c>
      <c r="AC856" s="34" t="e">
        <f t="shared" si="75"/>
        <v>#DIV/0!</v>
      </c>
      <c r="AD856" s="34" t="e">
        <f ca="1">SQRT($B$9*SUM(AC856:OFFSET(AC856,$B$5-1,0))/($B$5-1))</f>
        <v>#DIV/0!</v>
      </c>
      <c r="AE856" s="34" t="e">
        <f ca="1">SQRT($B$9*SUM(AC856:OFFSET(AC856,$B$6-1,0))/($B$6-1))</f>
        <v>#DIV/0!</v>
      </c>
      <c r="AF856" s="34" t="e">
        <f ca="1">SQRT($B$9*SUM(AC856:OFFSET(AC856,$B$7-1,0))/($B$7-1))</f>
        <v>#DIV/0!</v>
      </c>
      <c r="AG856" s="34" t="e">
        <f ca="1">SQRT($B$9*SUM(AC856:OFFSET(AC856,$B$8-1,0))/($B$8-1))</f>
        <v>#DIV/0!</v>
      </c>
      <c r="AI856" s="1" t="e">
        <f t="shared" si="76"/>
        <v>#DIV/0!</v>
      </c>
      <c r="AJ856" s="4" t="e">
        <f ca="1">SQRT($B$9)*_xlfn.STDEV.S(AI856:OFFSET(AI856,$B$5-1,0))</f>
        <v>#DIV/0!</v>
      </c>
      <c r="AK856" s="4" t="e">
        <f ca="1">SQRT($B$9)*_xlfn.STDEV.S(AI856:OFFSET(AI856,$B$6-1,0))</f>
        <v>#DIV/0!</v>
      </c>
      <c r="AL856" s="4" t="e">
        <f ca="1">SQRT($B$9)*_xlfn.STDEV.S(AI856:OFFSET(AI856,$B$7-1,0))</f>
        <v>#DIV/0!</v>
      </c>
      <c r="AM856" s="4" t="e">
        <f ca="1">SQRT($B$9)*_xlfn.STDEV.S(AI856:OFFSET(AI856,$B$8-1,0))</f>
        <v>#DIV/0!</v>
      </c>
    </row>
    <row r="857" spans="5:39" x14ac:dyDescent="0.2">
      <c r="E857" s="42">
        <v>44188</v>
      </c>
      <c r="F857" s="43"/>
      <c r="G857" s="43"/>
      <c r="H857" s="43"/>
      <c r="I857" s="43"/>
      <c r="K857" s="3" t="e">
        <f t="shared" si="74"/>
        <v>#DIV/0!</v>
      </c>
      <c r="L857" s="3" t="e">
        <f ca="1">SQRT(AVERAGE(K857:OFFSET(K857,$B$5-1,0))*$B$9/(4*LN(2)))</f>
        <v>#DIV/0!</v>
      </c>
      <c r="M857" s="3" t="e">
        <f ca="1">SQRT(AVERAGE(K857:OFFSET(K857,$B$6-1,0))*$B$9/(4*LN(2)))</f>
        <v>#DIV/0!</v>
      </c>
      <c r="N857" s="3" t="e">
        <f ca="1">SQRT(AVERAGE(K857:OFFSET(K857,$B$7-1,0))*$B$9/(4*LN(2)))</f>
        <v>#DIV/0!</v>
      </c>
      <c r="O857" s="3" t="e">
        <f ca="1">SQRT(AVERAGE(K857:OFFSET(K857,$B$8-1,0))*$B$9/(4*LN(2)))</f>
        <v>#DIV/0!</v>
      </c>
      <c r="Q857" s="5" t="e">
        <f t="shared" si="73"/>
        <v>#DIV/0!</v>
      </c>
      <c r="R857" s="5" t="e">
        <f ca="1">SQRT($B$9*AVERAGE((Q857:OFFSET(Q857,$B$5-1,0))))</f>
        <v>#DIV/0!</v>
      </c>
      <c r="S857" s="5" t="e">
        <f ca="1">SQRT($B$9*AVERAGE((Q857:OFFSET(Q857,$B$6-1,0))))</f>
        <v>#DIV/0!</v>
      </c>
      <c r="T857" s="5" t="e">
        <f ca="1">SQRT($B$9*AVERAGE((Q857:OFFSET(Q857,$B$7-1,0))))</f>
        <v>#DIV/0!</v>
      </c>
      <c r="U857" s="5" t="e">
        <f ca="1">SQRT($B$9*AVERAGE((Q857:OFFSET(Q857,$B$8-1,0))))</f>
        <v>#DIV/0!</v>
      </c>
      <c r="W857" s="6" t="e">
        <f t="shared" si="72"/>
        <v>#DIV/0!</v>
      </c>
      <c r="X857" s="6" t="e">
        <f ca="1">SQRT($B$9*AVERAGE(W857:OFFSET(W857,$B$5-1,0)))</f>
        <v>#DIV/0!</v>
      </c>
      <c r="Y857" s="6" t="e">
        <f ca="1">SQRT($B$9*AVERAGE(W857:OFFSET(W857,$B$6-1,0)))</f>
        <v>#DIV/0!</v>
      </c>
      <c r="Z857" s="6" t="e">
        <f ca="1">SQRT($B$9*AVERAGE(W857:OFFSET(W857,$B$7-1,0)))</f>
        <v>#DIV/0!</v>
      </c>
      <c r="AA857" s="6" t="e">
        <f ca="1">SQRT($B$9*AVERAGE(W857:OFFSET(W857,$B$8-1,0)))</f>
        <v>#DIV/0!</v>
      </c>
      <c r="AC857" s="34" t="e">
        <f t="shared" si="75"/>
        <v>#DIV/0!</v>
      </c>
      <c r="AD857" s="34" t="e">
        <f ca="1">SQRT($B$9*SUM(AC857:OFFSET(AC857,$B$5-1,0))/($B$5-1))</f>
        <v>#DIV/0!</v>
      </c>
      <c r="AE857" s="34" t="e">
        <f ca="1">SQRT($B$9*SUM(AC857:OFFSET(AC857,$B$6-1,0))/($B$6-1))</f>
        <v>#DIV/0!</v>
      </c>
      <c r="AF857" s="34" t="e">
        <f ca="1">SQRT($B$9*SUM(AC857:OFFSET(AC857,$B$7-1,0))/($B$7-1))</f>
        <v>#DIV/0!</v>
      </c>
      <c r="AG857" s="34" t="e">
        <f ca="1">SQRT($B$9*SUM(AC857:OFFSET(AC857,$B$8-1,0))/($B$8-1))</f>
        <v>#DIV/0!</v>
      </c>
      <c r="AI857" s="1" t="e">
        <f t="shared" si="76"/>
        <v>#DIV/0!</v>
      </c>
      <c r="AJ857" s="4" t="e">
        <f ca="1">SQRT($B$9)*_xlfn.STDEV.S(AI857:OFFSET(AI857,$B$5-1,0))</f>
        <v>#DIV/0!</v>
      </c>
      <c r="AK857" s="4" t="e">
        <f ca="1">SQRT($B$9)*_xlfn.STDEV.S(AI857:OFFSET(AI857,$B$6-1,0))</f>
        <v>#DIV/0!</v>
      </c>
      <c r="AL857" s="4" t="e">
        <f ca="1">SQRT($B$9)*_xlfn.STDEV.S(AI857:OFFSET(AI857,$B$7-1,0))</f>
        <v>#DIV/0!</v>
      </c>
      <c r="AM857" s="4" t="e">
        <f ca="1">SQRT($B$9)*_xlfn.STDEV.S(AI857:OFFSET(AI857,$B$8-1,0))</f>
        <v>#DIV/0!</v>
      </c>
    </row>
    <row r="858" spans="5:39" x14ac:dyDescent="0.2">
      <c r="E858" s="42">
        <v>44187</v>
      </c>
      <c r="F858" s="43"/>
      <c r="G858" s="43"/>
      <c r="H858" s="43"/>
      <c r="I858" s="43"/>
      <c r="K858" s="3" t="e">
        <f t="shared" si="74"/>
        <v>#DIV/0!</v>
      </c>
      <c r="L858" s="3" t="e">
        <f ca="1">SQRT(AVERAGE(K858:OFFSET(K858,$B$5-1,0))*$B$9/(4*LN(2)))</f>
        <v>#DIV/0!</v>
      </c>
      <c r="M858" s="3" t="e">
        <f ca="1">SQRT(AVERAGE(K858:OFFSET(K858,$B$6-1,0))*$B$9/(4*LN(2)))</f>
        <v>#DIV/0!</v>
      </c>
      <c r="N858" s="3" t="e">
        <f ca="1">SQRT(AVERAGE(K858:OFFSET(K858,$B$7-1,0))*$B$9/(4*LN(2)))</f>
        <v>#DIV/0!</v>
      </c>
      <c r="O858" s="3" t="e">
        <f ca="1">SQRT(AVERAGE(K858:OFFSET(K858,$B$8-1,0))*$B$9/(4*LN(2)))</f>
        <v>#DIV/0!</v>
      </c>
      <c r="Q858" s="5" t="e">
        <f t="shared" si="73"/>
        <v>#DIV/0!</v>
      </c>
      <c r="R858" s="5" t="e">
        <f ca="1">SQRT($B$9*AVERAGE((Q858:OFFSET(Q858,$B$5-1,0))))</f>
        <v>#DIV/0!</v>
      </c>
      <c r="S858" s="5" t="e">
        <f ca="1">SQRT($B$9*AVERAGE((Q858:OFFSET(Q858,$B$6-1,0))))</f>
        <v>#DIV/0!</v>
      </c>
      <c r="T858" s="5" t="e">
        <f ca="1">SQRT($B$9*AVERAGE((Q858:OFFSET(Q858,$B$7-1,0))))</f>
        <v>#DIV/0!</v>
      </c>
      <c r="U858" s="5" t="e">
        <f ca="1">SQRT($B$9*AVERAGE((Q858:OFFSET(Q858,$B$8-1,0))))</f>
        <v>#DIV/0!</v>
      </c>
      <c r="W858" s="6" t="e">
        <f t="shared" si="72"/>
        <v>#DIV/0!</v>
      </c>
      <c r="X858" s="6" t="e">
        <f ca="1">SQRT($B$9*AVERAGE(W858:OFFSET(W858,$B$5-1,0)))</f>
        <v>#DIV/0!</v>
      </c>
      <c r="Y858" s="6" t="e">
        <f ca="1">SQRT($B$9*AVERAGE(W858:OFFSET(W858,$B$6-1,0)))</f>
        <v>#DIV/0!</v>
      </c>
      <c r="Z858" s="6" t="e">
        <f ca="1">SQRT($B$9*AVERAGE(W858:OFFSET(W858,$B$7-1,0)))</f>
        <v>#DIV/0!</v>
      </c>
      <c r="AA858" s="6" t="e">
        <f ca="1">SQRT($B$9*AVERAGE(W858:OFFSET(W858,$B$8-1,0)))</f>
        <v>#DIV/0!</v>
      </c>
      <c r="AC858" s="34" t="e">
        <f t="shared" si="75"/>
        <v>#DIV/0!</v>
      </c>
      <c r="AD858" s="34" t="e">
        <f ca="1">SQRT($B$9*SUM(AC858:OFFSET(AC858,$B$5-1,0))/($B$5-1))</f>
        <v>#DIV/0!</v>
      </c>
      <c r="AE858" s="34" t="e">
        <f ca="1">SQRT($B$9*SUM(AC858:OFFSET(AC858,$B$6-1,0))/($B$6-1))</f>
        <v>#DIV/0!</v>
      </c>
      <c r="AF858" s="34" t="e">
        <f ca="1">SQRT($B$9*SUM(AC858:OFFSET(AC858,$B$7-1,0))/($B$7-1))</f>
        <v>#DIV/0!</v>
      </c>
      <c r="AG858" s="34" t="e">
        <f ca="1">SQRT($B$9*SUM(AC858:OFFSET(AC858,$B$8-1,0))/($B$8-1))</f>
        <v>#DIV/0!</v>
      </c>
      <c r="AI858" s="1" t="e">
        <f t="shared" si="76"/>
        <v>#DIV/0!</v>
      </c>
      <c r="AJ858" s="4" t="e">
        <f ca="1">SQRT($B$9)*_xlfn.STDEV.S(AI858:OFFSET(AI858,$B$5-1,0))</f>
        <v>#DIV/0!</v>
      </c>
      <c r="AK858" s="4" t="e">
        <f ca="1">SQRT($B$9)*_xlfn.STDEV.S(AI858:OFFSET(AI858,$B$6-1,0))</f>
        <v>#DIV/0!</v>
      </c>
      <c r="AL858" s="4" t="e">
        <f ca="1">SQRT($B$9)*_xlfn.STDEV.S(AI858:OFFSET(AI858,$B$7-1,0))</f>
        <v>#DIV/0!</v>
      </c>
      <c r="AM858" s="4" t="e">
        <f ca="1">SQRT($B$9)*_xlfn.STDEV.S(AI858:OFFSET(AI858,$B$8-1,0))</f>
        <v>#DIV/0!</v>
      </c>
    </row>
    <row r="859" spans="5:39" x14ac:dyDescent="0.2">
      <c r="E859" s="42">
        <v>44186</v>
      </c>
      <c r="F859" s="43"/>
      <c r="G859" s="43"/>
      <c r="H859" s="43"/>
      <c r="I859" s="43"/>
      <c r="K859" s="3" t="e">
        <f t="shared" si="74"/>
        <v>#DIV/0!</v>
      </c>
      <c r="L859" s="3" t="e">
        <f ca="1">SQRT(AVERAGE(K859:OFFSET(K859,$B$5-1,0))*$B$9/(4*LN(2)))</f>
        <v>#DIV/0!</v>
      </c>
      <c r="M859" s="3" t="e">
        <f ca="1">SQRT(AVERAGE(K859:OFFSET(K859,$B$6-1,0))*$B$9/(4*LN(2)))</f>
        <v>#DIV/0!</v>
      </c>
      <c r="N859" s="3" t="e">
        <f ca="1">SQRT(AVERAGE(K859:OFFSET(K859,$B$7-1,0))*$B$9/(4*LN(2)))</f>
        <v>#DIV/0!</v>
      </c>
      <c r="O859" s="3" t="e">
        <f ca="1">SQRT(AVERAGE(K859:OFFSET(K859,$B$8-1,0))*$B$9/(4*LN(2)))</f>
        <v>#DIV/0!</v>
      </c>
      <c r="Q859" s="5" t="e">
        <f t="shared" si="73"/>
        <v>#DIV/0!</v>
      </c>
      <c r="R859" s="5" t="e">
        <f ca="1">SQRT($B$9*AVERAGE((Q859:OFFSET(Q859,$B$5-1,0))))</f>
        <v>#DIV/0!</v>
      </c>
      <c r="S859" s="5" t="e">
        <f ca="1">SQRT($B$9*AVERAGE((Q859:OFFSET(Q859,$B$6-1,0))))</f>
        <v>#DIV/0!</v>
      </c>
      <c r="T859" s="5" t="e">
        <f ca="1">SQRT($B$9*AVERAGE((Q859:OFFSET(Q859,$B$7-1,0))))</f>
        <v>#DIV/0!</v>
      </c>
      <c r="U859" s="5" t="e">
        <f ca="1">SQRT($B$9*AVERAGE((Q859:OFFSET(Q859,$B$8-1,0))))</f>
        <v>#DIV/0!</v>
      </c>
      <c r="W859" s="6" t="e">
        <f t="shared" si="72"/>
        <v>#DIV/0!</v>
      </c>
      <c r="X859" s="6" t="e">
        <f ca="1">SQRT($B$9*AVERAGE(W859:OFFSET(W859,$B$5-1,0)))</f>
        <v>#DIV/0!</v>
      </c>
      <c r="Y859" s="6" t="e">
        <f ca="1">SQRT($B$9*AVERAGE(W859:OFFSET(W859,$B$6-1,0)))</f>
        <v>#DIV/0!</v>
      </c>
      <c r="Z859" s="6" t="e">
        <f ca="1">SQRT($B$9*AVERAGE(W859:OFFSET(W859,$B$7-1,0)))</f>
        <v>#DIV/0!</v>
      </c>
      <c r="AA859" s="6" t="e">
        <f ca="1">SQRT($B$9*AVERAGE(W859:OFFSET(W859,$B$8-1,0)))</f>
        <v>#DIV/0!</v>
      </c>
      <c r="AC859" s="34" t="e">
        <f t="shared" si="75"/>
        <v>#DIV/0!</v>
      </c>
      <c r="AD859" s="34" t="e">
        <f ca="1">SQRT($B$9*SUM(AC859:OFFSET(AC859,$B$5-1,0))/($B$5-1))</f>
        <v>#DIV/0!</v>
      </c>
      <c r="AE859" s="34" t="e">
        <f ca="1">SQRT($B$9*SUM(AC859:OFFSET(AC859,$B$6-1,0))/($B$6-1))</f>
        <v>#DIV/0!</v>
      </c>
      <c r="AF859" s="34" t="e">
        <f ca="1">SQRT($B$9*SUM(AC859:OFFSET(AC859,$B$7-1,0))/($B$7-1))</f>
        <v>#DIV/0!</v>
      </c>
      <c r="AG859" s="34" t="e">
        <f ca="1">SQRT($B$9*SUM(AC859:OFFSET(AC859,$B$8-1,0))/($B$8-1))</f>
        <v>#DIV/0!</v>
      </c>
      <c r="AI859" s="1" t="e">
        <f t="shared" si="76"/>
        <v>#DIV/0!</v>
      </c>
      <c r="AJ859" s="4" t="e">
        <f ca="1">SQRT($B$9)*_xlfn.STDEV.S(AI859:OFFSET(AI859,$B$5-1,0))</f>
        <v>#DIV/0!</v>
      </c>
      <c r="AK859" s="4" t="e">
        <f ca="1">SQRT($B$9)*_xlfn.STDEV.S(AI859:OFFSET(AI859,$B$6-1,0))</f>
        <v>#DIV/0!</v>
      </c>
      <c r="AL859" s="4" t="e">
        <f ca="1">SQRT($B$9)*_xlfn.STDEV.S(AI859:OFFSET(AI859,$B$7-1,0))</f>
        <v>#DIV/0!</v>
      </c>
      <c r="AM859" s="4" t="e">
        <f ca="1">SQRT($B$9)*_xlfn.STDEV.S(AI859:OFFSET(AI859,$B$8-1,0))</f>
        <v>#DIV/0!</v>
      </c>
    </row>
    <row r="860" spans="5:39" x14ac:dyDescent="0.2">
      <c r="E860" s="42">
        <v>44183</v>
      </c>
      <c r="F860" s="43"/>
      <c r="G860" s="43"/>
      <c r="H860" s="43"/>
      <c r="I860" s="43"/>
      <c r="K860" s="3" t="e">
        <f t="shared" si="74"/>
        <v>#DIV/0!</v>
      </c>
      <c r="L860" s="3" t="e">
        <f ca="1">SQRT(AVERAGE(K860:OFFSET(K860,$B$5-1,0))*$B$9/(4*LN(2)))</f>
        <v>#DIV/0!</v>
      </c>
      <c r="M860" s="3" t="e">
        <f ca="1">SQRT(AVERAGE(K860:OFFSET(K860,$B$6-1,0))*$B$9/(4*LN(2)))</f>
        <v>#DIV/0!</v>
      </c>
      <c r="N860" s="3" t="e">
        <f ca="1">SQRT(AVERAGE(K860:OFFSET(K860,$B$7-1,0))*$B$9/(4*LN(2)))</f>
        <v>#DIV/0!</v>
      </c>
      <c r="O860" s="3" t="e">
        <f ca="1">SQRT(AVERAGE(K860:OFFSET(K860,$B$8-1,0))*$B$9/(4*LN(2)))</f>
        <v>#DIV/0!</v>
      </c>
      <c r="Q860" s="5" t="e">
        <f t="shared" si="73"/>
        <v>#DIV/0!</v>
      </c>
      <c r="R860" s="5" t="e">
        <f ca="1">SQRT($B$9*AVERAGE((Q860:OFFSET(Q860,$B$5-1,0))))</f>
        <v>#DIV/0!</v>
      </c>
      <c r="S860" s="5" t="e">
        <f ca="1">SQRT($B$9*AVERAGE((Q860:OFFSET(Q860,$B$6-1,0))))</f>
        <v>#DIV/0!</v>
      </c>
      <c r="T860" s="5" t="e">
        <f ca="1">SQRT($B$9*AVERAGE((Q860:OFFSET(Q860,$B$7-1,0))))</f>
        <v>#DIV/0!</v>
      </c>
      <c r="U860" s="5" t="e">
        <f ca="1">SQRT($B$9*AVERAGE((Q860:OFFSET(Q860,$B$8-1,0))))</f>
        <v>#DIV/0!</v>
      </c>
      <c r="W860" s="6" t="e">
        <f t="shared" si="72"/>
        <v>#DIV/0!</v>
      </c>
      <c r="X860" s="6" t="e">
        <f ca="1">SQRT($B$9*AVERAGE(W860:OFFSET(W860,$B$5-1,0)))</f>
        <v>#DIV/0!</v>
      </c>
      <c r="Y860" s="6" t="e">
        <f ca="1">SQRT($B$9*AVERAGE(W860:OFFSET(W860,$B$6-1,0)))</f>
        <v>#DIV/0!</v>
      </c>
      <c r="Z860" s="6" t="e">
        <f ca="1">SQRT($B$9*AVERAGE(W860:OFFSET(W860,$B$7-1,0)))</f>
        <v>#DIV/0!</v>
      </c>
      <c r="AA860" s="6" t="e">
        <f ca="1">SQRT($B$9*AVERAGE(W860:OFFSET(W860,$B$8-1,0)))</f>
        <v>#DIV/0!</v>
      </c>
      <c r="AC860" s="34" t="e">
        <f t="shared" si="75"/>
        <v>#DIV/0!</v>
      </c>
      <c r="AD860" s="34" t="e">
        <f ca="1">SQRT($B$9*SUM(AC860:OFFSET(AC860,$B$5-1,0))/($B$5-1))</f>
        <v>#DIV/0!</v>
      </c>
      <c r="AE860" s="34" t="e">
        <f ca="1">SQRT($B$9*SUM(AC860:OFFSET(AC860,$B$6-1,0))/($B$6-1))</f>
        <v>#DIV/0!</v>
      </c>
      <c r="AF860" s="34" t="e">
        <f ca="1">SQRT($B$9*SUM(AC860:OFFSET(AC860,$B$7-1,0))/($B$7-1))</f>
        <v>#DIV/0!</v>
      </c>
      <c r="AG860" s="34" t="e">
        <f ca="1">SQRT($B$9*SUM(AC860:OFFSET(AC860,$B$8-1,0))/($B$8-1))</f>
        <v>#DIV/0!</v>
      </c>
      <c r="AI860" s="1" t="e">
        <f t="shared" si="76"/>
        <v>#DIV/0!</v>
      </c>
      <c r="AJ860" s="4" t="e">
        <f ca="1">SQRT($B$9)*_xlfn.STDEV.S(AI860:OFFSET(AI860,$B$5-1,0))</f>
        <v>#DIV/0!</v>
      </c>
      <c r="AK860" s="4" t="e">
        <f ca="1">SQRT($B$9)*_xlfn.STDEV.S(AI860:OFFSET(AI860,$B$6-1,0))</f>
        <v>#DIV/0!</v>
      </c>
      <c r="AL860" s="4" t="e">
        <f ca="1">SQRT($B$9)*_xlfn.STDEV.S(AI860:OFFSET(AI860,$B$7-1,0))</f>
        <v>#DIV/0!</v>
      </c>
      <c r="AM860" s="4" t="e">
        <f ca="1">SQRT($B$9)*_xlfn.STDEV.S(AI860:OFFSET(AI860,$B$8-1,0))</f>
        <v>#DIV/0!</v>
      </c>
    </row>
    <row r="861" spans="5:39" x14ac:dyDescent="0.2">
      <c r="E861" s="42">
        <v>44182</v>
      </c>
      <c r="F861" s="43"/>
      <c r="G861" s="43"/>
      <c r="H861" s="43"/>
      <c r="I861" s="43"/>
      <c r="K861" s="3" t="e">
        <f t="shared" si="74"/>
        <v>#DIV/0!</v>
      </c>
      <c r="L861" s="3" t="e">
        <f ca="1">SQRT(AVERAGE(K861:OFFSET(K861,$B$5-1,0))*$B$9/(4*LN(2)))</f>
        <v>#DIV/0!</v>
      </c>
      <c r="M861" s="3" t="e">
        <f ca="1">SQRT(AVERAGE(K861:OFFSET(K861,$B$6-1,0))*$B$9/(4*LN(2)))</f>
        <v>#DIV/0!</v>
      </c>
      <c r="N861" s="3" t="e">
        <f ca="1">SQRT(AVERAGE(K861:OFFSET(K861,$B$7-1,0))*$B$9/(4*LN(2)))</f>
        <v>#DIV/0!</v>
      </c>
      <c r="O861" s="3" t="e">
        <f ca="1">SQRT(AVERAGE(K861:OFFSET(K861,$B$8-1,0))*$B$9/(4*LN(2)))</f>
        <v>#DIV/0!</v>
      </c>
      <c r="Q861" s="5" t="e">
        <f t="shared" si="73"/>
        <v>#DIV/0!</v>
      </c>
      <c r="R861" s="5" t="e">
        <f ca="1">SQRT($B$9*AVERAGE((Q861:OFFSET(Q861,$B$5-1,0))))</f>
        <v>#DIV/0!</v>
      </c>
      <c r="S861" s="5" t="e">
        <f ca="1">SQRT($B$9*AVERAGE((Q861:OFFSET(Q861,$B$6-1,0))))</f>
        <v>#DIV/0!</v>
      </c>
      <c r="T861" s="5" t="e">
        <f ca="1">SQRT($B$9*AVERAGE((Q861:OFFSET(Q861,$B$7-1,0))))</f>
        <v>#DIV/0!</v>
      </c>
      <c r="U861" s="5" t="e">
        <f ca="1">SQRT($B$9*AVERAGE((Q861:OFFSET(Q861,$B$8-1,0))))</f>
        <v>#DIV/0!</v>
      </c>
      <c r="W861" s="6" t="e">
        <f t="shared" si="72"/>
        <v>#DIV/0!</v>
      </c>
      <c r="X861" s="6" t="e">
        <f ca="1">SQRT($B$9*AVERAGE(W861:OFFSET(W861,$B$5-1,0)))</f>
        <v>#DIV/0!</v>
      </c>
      <c r="Y861" s="6" t="e">
        <f ca="1">SQRT($B$9*AVERAGE(W861:OFFSET(W861,$B$6-1,0)))</f>
        <v>#DIV/0!</v>
      </c>
      <c r="Z861" s="6" t="e">
        <f ca="1">SQRT($B$9*AVERAGE(W861:OFFSET(W861,$B$7-1,0)))</f>
        <v>#DIV/0!</v>
      </c>
      <c r="AA861" s="6" t="e">
        <f ca="1">SQRT($B$9*AVERAGE(W861:OFFSET(W861,$B$8-1,0)))</f>
        <v>#DIV/0!</v>
      </c>
      <c r="AC861" s="34" t="e">
        <f t="shared" si="75"/>
        <v>#DIV/0!</v>
      </c>
      <c r="AD861" s="34" t="e">
        <f ca="1">SQRT($B$9*SUM(AC861:OFFSET(AC861,$B$5-1,0))/($B$5-1))</f>
        <v>#DIV/0!</v>
      </c>
      <c r="AE861" s="34" t="e">
        <f ca="1">SQRT($B$9*SUM(AC861:OFFSET(AC861,$B$6-1,0))/($B$6-1))</f>
        <v>#DIV/0!</v>
      </c>
      <c r="AF861" s="34" t="e">
        <f ca="1">SQRT($B$9*SUM(AC861:OFFSET(AC861,$B$7-1,0))/($B$7-1))</f>
        <v>#DIV/0!</v>
      </c>
      <c r="AG861" s="34" t="e">
        <f ca="1">SQRT($B$9*SUM(AC861:OFFSET(AC861,$B$8-1,0))/($B$8-1))</f>
        <v>#DIV/0!</v>
      </c>
      <c r="AI861" s="1" t="e">
        <f t="shared" si="76"/>
        <v>#DIV/0!</v>
      </c>
      <c r="AJ861" s="4" t="e">
        <f ca="1">SQRT($B$9)*_xlfn.STDEV.S(AI861:OFFSET(AI861,$B$5-1,0))</f>
        <v>#DIV/0!</v>
      </c>
      <c r="AK861" s="4" t="e">
        <f ca="1">SQRT($B$9)*_xlfn.STDEV.S(AI861:OFFSET(AI861,$B$6-1,0))</f>
        <v>#DIV/0!</v>
      </c>
      <c r="AL861" s="4" t="e">
        <f ca="1">SQRT($B$9)*_xlfn.STDEV.S(AI861:OFFSET(AI861,$B$7-1,0))</f>
        <v>#DIV/0!</v>
      </c>
      <c r="AM861" s="4" t="e">
        <f ca="1">SQRT($B$9)*_xlfn.STDEV.S(AI861:OFFSET(AI861,$B$8-1,0))</f>
        <v>#DIV/0!</v>
      </c>
    </row>
    <row r="862" spans="5:39" x14ac:dyDescent="0.2">
      <c r="E862" s="42">
        <v>44181</v>
      </c>
      <c r="F862" s="43"/>
      <c r="G862" s="43"/>
      <c r="H862" s="43"/>
      <c r="I862" s="43"/>
      <c r="K862" s="3" t="e">
        <f t="shared" si="74"/>
        <v>#DIV/0!</v>
      </c>
      <c r="L862" s="3" t="e">
        <f ca="1">SQRT(AVERAGE(K862:OFFSET(K862,$B$5-1,0))*$B$9/(4*LN(2)))</f>
        <v>#DIV/0!</v>
      </c>
      <c r="M862" s="3" t="e">
        <f ca="1">SQRT(AVERAGE(K862:OFFSET(K862,$B$6-1,0))*$B$9/(4*LN(2)))</f>
        <v>#DIV/0!</v>
      </c>
      <c r="N862" s="3" t="e">
        <f ca="1">SQRT(AVERAGE(K862:OFFSET(K862,$B$7-1,0))*$B$9/(4*LN(2)))</f>
        <v>#DIV/0!</v>
      </c>
      <c r="O862" s="3" t="e">
        <f ca="1">SQRT(AVERAGE(K862:OFFSET(K862,$B$8-1,0))*$B$9/(4*LN(2)))</f>
        <v>#DIV/0!</v>
      </c>
      <c r="Q862" s="5" t="e">
        <f t="shared" si="73"/>
        <v>#DIV/0!</v>
      </c>
      <c r="R862" s="5" t="e">
        <f ca="1">SQRT($B$9*AVERAGE((Q862:OFFSET(Q862,$B$5-1,0))))</f>
        <v>#DIV/0!</v>
      </c>
      <c r="S862" s="5" t="e">
        <f ca="1">SQRT($B$9*AVERAGE((Q862:OFFSET(Q862,$B$6-1,0))))</f>
        <v>#DIV/0!</v>
      </c>
      <c r="T862" s="5" t="e">
        <f ca="1">SQRT($B$9*AVERAGE((Q862:OFFSET(Q862,$B$7-1,0))))</f>
        <v>#DIV/0!</v>
      </c>
      <c r="U862" s="5" t="e">
        <f ca="1">SQRT($B$9*AVERAGE((Q862:OFFSET(Q862,$B$8-1,0))))</f>
        <v>#DIV/0!</v>
      </c>
      <c r="W862" s="6" t="e">
        <f t="shared" si="72"/>
        <v>#DIV/0!</v>
      </c>
      <c r="X862" s="6" t="e">
        <f ca="1">SQRT($B$9*AVERAGE(W862:OFFSET(W862,$B$5-1,0)))</f>
        <v>#DIV/0!</v>
      </c>
      <c r="Y862" s="6" t="e">
        <f ca="1">SQRT($B$9*AVERAGE(W862:OFFSET(W862,$B$6-1,0)))</f>
        <v>#DIV/0!</v>
      </c>
      <c r="Z862" s="6" t="e">
        <f ca="1">SQRT($B$9*AVERAGE(W862:OFFSET(W862,$B$7-1,0)))</f>
        <v>#DIV/0!</v>
      </c>
      <c r="AA862" s="6" t="e">
        <f ca="1">SQRT($B$9*AVERAGE(W862:OFFSET(W862,$B$8-1,0)))</f>
        <v>#DIV/0!</v>
      </c>
      <c r="AC862" s="34" t="e">
        <f t="shared" si="75"/>
        <v>#DIV/0!</v>
      </c>
      <c r="AD862" s="34" t="e">
        <f ca="1">SQRT($B$9*SUM(AC862:OFFSET(AC862,$B$5-1,0))/($B$5-1))</f>
        <v>#DIV/0!</v>
      </c>
      <c r="AE862" s="34" t="e">
        <f ca="1">SQRT($B$9*SUM(AC862:OFFSET(AC862,$B$6-1,0))/($B$6-1))</f>
        <v>#DIV/0!</v>
      </c>
      <c r="AF862" s="34" t="e">
        <f ca="1">SQRT($B$9*SUM(AC862:OFFSET(AC862,$B$7-1,0))/($B$7-1))</f>
        <v>#DIV/0!</v>
      </c>
      <c r="AG862" s="34" t="e">
        <f ca="1">SQRT($B$9*SUM(AC862:OFFSET(AC862,$B$8-1,0))/($B$8-1))</f>
        <v>#DIV/0!</v>
      </c>
      <c r="AI862" s="1" t="e">
        <f t="shared" si="76"/>
        <v>#DIV/0!</v>
      </c>
      <c r="AJ862" s="4" t="e">
        <f ca="1">SQRT($B$9)*_xlfn.STDEV.S(AI862:OFFSET(AI862,$B$5-1,0))</f>
        <v>#DIV/0!</v>
      </c>
      <c r="AK862" s="4" t="e">
        <f ca="1">SQRT($B$9)*_xlfn.STDEV.S(AI862:OFFSET(AI862,$B$6-1,0))</f>
        <v>#DIV/0!</v>
      </c>
      <c r="AL862" s="4" t="e">
        <f ca="1">SQRT($B$9)*_xlfn.STDEV.S(AI862:OFFSET(AI862,$B$7-1,0))</f>
        <v>#DIV/0!</v>
      </c>
      <c r="AM862" s="4" t="e">
        <f ca="1">SQRT($B$9)*_xlfn.STDEV.S(AI862:OFFSET(AI862,$B$8-1,0))</f>
        <v>#DIV/0!</v>
      </c>
    </row>
    <row r="863" spans="5:39" x14ac:dyDescent="0.2">
      <c r="E863" s="42">
        <v>44180</v>
      </c>
      <c r="F863" s="43"/>
      <c r="G863" s="43"/>
      <c r="H863" s="43"/>
      <c r="I863" s="43"/>
      <c r="K863" s="3" t="e">
        <f t="shared" si="74"/>
        <v>#DIV/0!</v>
      </c>
      <c r="L863" s="3" t="e">
        <f ca="1">SQRT(AVERAGE(K863:OFFSET(K863,$B$5-1,0))*$B$9/(4*LN(2)))</f>
        <v>#DIV/0!</v>
      </c>
      <c r="M863" s="3" t="e">
        <f ca="1">SQRT(AVERAGE(K863:OFFSET(K863,$B$6-1,0))*$B$9/(4*LN(2)))</f>
        <v>#DIV/0!</v>
      </c>
      <c r="N863" s="3" t="e">
        <f ca="1">SQRT(AVERAGE(K863:OFFSET(K863,$B$7-1,0))*$B$9/(4*LN(2)))</f>
        <v>#DIV/0!</v>
      </c>
      <c r="O863" s="3" t="e">
        <f ca="1">SQRT(AVERAGE(K863:OFFSET(K863,$B$8-1,0))*$B$9/(4*LN(2)))</f>
        <v>#DIV/0!</v>
      </c>
      <c r="Q863" s="5" t="e">
        <f t="shared" si="73"/>
        <v>#DIV/0!</v>
      </c>
      <c r="R863" s="5" t="e">
        <f ca="1">SQRT($B$9*AVERAGE((Q863:OFFSET(Q863,$B$5-1,0))))</f>
        <v>#DIV/0!</v>
      </c>
      <c r="S863" s="5" t="e">
        <f ca="1">SQRT($B$9*AVERAGE((Q863:OFFSET(Q863,$B$6-1,0))))</f>
        <v>#DIV/0!</v>
      </c>
      <c r="T863" s="5" t="e">
        <f ca="1">SQRT($B$9*AVERAGE((Q863:OFFSET(Q863,$B$7-1,0))))</f>
        <v>#DIV/0!</v>
      </c>
      <c r="U863" s="5" t="e">
        <f ca="1">SQRT($B$9*AVERAGE((Q863:OFFSET(Q863,$B$8-1,0))))</f>
        <v>#DIV/0!</v>
      </c>
      <c r="W863" s="6" t="e">
        <f t="shared" si="72"/>
        <v>#DIV/0!</v>
      </c>
      <c r="X863" s="6" t="e">
        <f ca="1">SQRT($B$9*AVERAGE(W863:OFFSET(W863,$B$5-1,0)))</f>
        <v>#DIV/0!</v>
      </c>
      <c r="Y863" s="6" t="e">
        <f ca="1">SQRT($B$9*AVERAGE(W863:OFFSET(W863,$B$6-1,0)))</f>
        <v>#DIV/0!</v>
      </c>
      <c r="Z863" s="6" t="e">
        <f ca="1">SQRT($B$9*AVERAGE(W863:OFFSET(W863,$B$7-1,0)))</f>
        <v>#DIV/0!</v>
      </c>
      <c r="AA863" s="6" t="e">
        <f ca="1">SQRT($B$9*AVERAGE(W863:OFFSET(W863,$B$8-1,0)))</f>
        <v>#DIV/0!</v>
      </c>
      <c r="AC863" s="34" t="e">
        <f t="shared" si="75"/>
        <v>#DIV/0!</v>
      </c>
      <c r="AD863" s="34" t="e">
        <f ca="1">SQRT($B$9*SUM(AC863:OFFSET(AC863,$B$5-1,0))/($B$5-1))</f>
        <v>#DIV/0!</v>
      </c>
      <c r="AE863" s="34" t="e">
        <f ca="1">SQRT($B$9*SUM(AC863:OFFSET(AC863,$B$6-1,0))/($B$6-1))</f>
        <v>#DIV/0!</v>
      </c>
      <c r="AF863" s="34" t="e">
        <f ca="1">SQRT($B$9*SUM(AC863:OFFSET(AC863,$B$7-1,0))/($B$7-1))</f>
        <v>#DIV/0!</v>
      </c>
      <c r="AG863" s="34" t="e">
        <f ca="1">SQRT($B$9*SUM(AC863:OFFSET(AC863,$B$8-1,0))/($B$8-1))</f>
        <v>#DIV/0!</v>
      </c>
      <c r="AI863" s="1" t="e">
        <f t="shared" si="76"/>
        <v>#DIV/0!</v>
      </c>
      <c r="AJ863" s="4" t="e">
        <f ca="1">SQRT($B$9)*_xlfn.STDEV.S(AI863:OFFSET(AI863,$B$5-1,0))</f>
        <v>#DIV/0!</v>
      </c>
      <c r="AK863" s="4" t="e">
        <f ca="1">SQRT($B$9)*_xlfn.STDEV.S(AI863:OFFSET(AI863,$B$6-1,0))</f>
        <v>#DIV/0!</v>
      </c>
      <c r="AL863" s="4" t="e">
        <f ca="1">SQRT($B$9)*_xlfn.STDEV.S(AI863:OFFSET(AI863,$B$7-1,0))</f>
        <v>#DIV/0!</v>
      </c>
      <c r="AM863" s="4" t="e">
        <f ca="1">SQRT($B$9)*_xlfn.STDEV.S(AI863:OFFSET(AI863,$B$8-1,0))</f>
        <v>#DIV/0!</v>
      </c>
    </row>
    <row r="864" spans="5:39" x14ac:dyDescent="0.2">
      <c r="E864" s="42">
        <v>44179</v>
      </c>
      <c r="F864" s="43"/>
      <c r="G864" s="43"/>
      <c r="H864" s="43"/>
      <c r="I864" s="43"/>
      <c r="K864" s="3" t="e">
        <f t="shared" si="74"/>
        <v>#DIV/0!</v>
      </c>
      <c r="L864" s="3" t="e">
        <f ca="1">SQRT(AVERAGE(K864:OFFSET(K864,$B$5-1,0))*$B$9/(4*LN(2)))</f>
        <v>#DIV/0!</v>
      </c>
      <c r="M864" s="3" t="e">
        <f ca="1">SQRT(AVERAGE(K864:OFFSET(K864,$B$6-1,0))*$B$9/(4*LN(2)))</f>
        <v>#DIV/0!</v>
      </c>
      <c r="N864" s="3" t="e">
        <f ca="1">SQRT(AVERAGE(K864:OFFSET(K864,$B$7-1,0))*$B$9/(4*LN(2)))</f>
        <v>#DIV/0!</v>
      </c>
      <c r="O864" s="3" t="e">
        <f ca="1">SQRT(AVERAGE(K864:OFFSET(K864,$B$8-1,0))*$B$9/(4*LN(2)))</f>
        <v>#DIV/0!</v>
      </c>
      <c r="Q864" s="5" t="e">
        <f t="shared" si="73"/>
        <v>#DIV/0!</v>
      </c>
      <c r="R864" s="5" t="e">
        <f ca="1">SQRT($B$9*AVERAGE((Q864:OFFSET(Q864,$B$5-1,0))))</f>
        <v>#DIV/0!</v>
      </c>
      <c r="S864" s="5" t="e">
        <f ca="1">SQRT($B$9*AVERAGE((Q864:OFFSET(Q864,$B$6-1,0))))</f>
        <v>#DIV/0!</v>
      </c>
      <c r="T864" s="5" t="e">
        <f ca="1">SQRT($B$9*AVERAGE((Q864:OFFSET(Q864,$B$7-1,0))))</f>
        <v>#DIV/0!</v>
      </c>
      <c r="U864" s="5" t="e">
        <f ca="1">SQRT($B$9*AVERAGE((Q864:OFFSET(Q864,$B$8-1,0))))</f>
        <v>#DIV/0!</v>
      </c>
      <c r="W864" s="6" t="e">
        <f t="shared" si="72"/>
        <v>#DIV/0!</v>
      </c>
      <c r="X864" s="6" t="e">
        <f ca="1">SQRT($B$9*AVERAGE(W864:OFFSET(W864,$B$5-1,0)))</f>
        <v>#DIV/0!</v>
      </c>
      <c r="Y864" s="6" t="e">
        <f ca="1">SQRT($B$9*AVERAGE(W864:OFFSET(W864,$B$6-1,0)))</f>
        <v>#DIV/0!</v>
      </c>
      <c r="Z864" s="6" t="e">
        <f ca="1">SQRT($B$9*AVERAGE(W864:OFFSET(W864,$B$7-1,0)))</f>
        <v>#DIV/0!</v>
      </c>
      <c r="AA864" s="6" t="e">
        <f ca="1">SQRT($B$9*AVERAGE(W864:OFFSET(W864,$B$8-1,0)))</f>
        <v>#DIV/0!</v>
      </c>
      <c r="AC864" s="34" t="e">
        <f t="shared" si="75"/>
        <v>#DIV/0!</v>
      </c>
      <c r="AD864" s="34" t="e">
        <f ca="1">SQRT($B$9*SUM(AC864:OFFSET(AC864,$B$5-1,0))/($B$5-1))</f>
        <v>#DIV/0!</v>
      </c>
      <c r="AE864" s="34" t="e">
        <f ca="1">SQRT($B$9*SUM(AC864:OFFSET(AC864,$B$6-1,0))/($B$6-1))</f>
        <v>#DIV/0!</v>
      </c>
      <c r="AF864" s="34" t="e">
        <f ca="1">SQRT($B$9*SUM(AC864:OFFSET(AC864,$B$7-1,0))/($B$7-1))</f>
        <v>#DIV/0!</v>
      </c>
      <c r="AG864" s="34" t="e">
        <f ca="1">SQRT($B$9*SUM(AC864:OFFSET(AC864,$B$8-1,0))/($B$8-1))</f>
        <v>#DIV/0!</v>
      </c>
      <c r="AI864" s="1" t="e">
        <f t="shared" si="76"/>
        <v>#DIV/0!</v>
      </c>
      <c r="AJ864" s="4" t="e">
        <f ca="1">SQRT($B$9)*_xlfn.STDEV.S(AI864:OFFSET(AI864,$B$5-1,0))</f>
        <v>#DIV/0!</v>
      </c>
      <c r="AK864" s="4" t="e">
        <f ca="1">SQRT($B$9)*_xlfn.STDEV.S(AI864:OFFSET(AI864,$B$6-1,0))</f>
        <v>#DIV/0!</v>
      </c>
      <c r="AL864" s="4" t="e">
        <f ca="1">SQRT($B$9)*_xlfn.STDEV.S(AI864:OFFSET(AI864,$B$7-1,0))</f>
        <v>#DIV/0!</v>
      </c>
      <c r="AM864" s="4" t="e">
        <f ca="1">SQRT($B$9)*_xlfn.STDEV.S(AI864:OFFSET(AI864,$B$8-1,0))</f>
        <v>#DIV/0!</v>
      </c>
    </row>
    <row r="865" spans="5:39" x14ac:dyDescent="0.2">
      <c r="E865" s="42">
        <v>44176</v>
      </c>
      <c r="F865" s="43"/>
      <c r="G865" s="43"/>
      <c r="H865" s="43"/>
      <c r="I865" s="43"/>
      <c r="K865" s="3" t="e">
        <f t="shared" si="74"/>
        <v>#DIV/0!</v>
      </c>
      <c r="L865" s="3" t="e">
        <f ca="1">SQRT(AVERAGE(K865:OFFSET(K865,$B$5-1,0))*$B$9/(4*LN(2)))</f>
        <v>#DIV/0!</v>
      </c>
      <c r="M865" s="3" t="e">
        <f ca="1">SQRT(AVERAGE(K865:OFFSET(K865,$B$6-1,0))*$B$9/(4*LN(2)))</f>
        <v>#DIV/0!</v>
      </c>
      <c r="N865" s="3" t="e">
        <f ca="1">SQRT(AVERAGE(K865:OFFSET(K865,$B$7-1,0))*$B$9/(4*LN(2)))</f>
        <v>#DIV/0!</v>
      </c>
      <c r="O865" s="3" t="e">
        <f ca="1">SQRT(AVERAGE(K865:OFFSET(K865,$B$8-1,0))*$B$9/(4*LN(2)))</f>
        <v>#DIV/0!</v>
      </c>
      <c r="Q865" s="5" t="e">
        <f t="shared" si="73"/>
        <v>#DIV/0!</v>
      </c>
      <c r="R865" s="5" t="e">
        <f ca="1">SQRT($B$9*AVERAGE((Q865:OFFSET(Q865,$B$5-1,0))))</f>
        <v>#DIV/0!</v>
      </c>
      <c r="S865" s="5" t="e">
        <f ca="1">SQRT($B$9*AVERAGE((Q865:OFFSET(Q865,$B$6-1,0))))</f>
        <v>#DIV/0!</v>
      </c>
      <c r="T865" s="5" t="e">
        <f ca="1">SQRT($B$9*AVERAGE((Q865:OFFSET(Q865,$B$7-1,0))))</f>
        <v>#DIV/0!</v>
      </c>
      <c r="U865" s="5" t="e">
        <f ca="1">SQRT($B$9*AVERAGE((Q865:OFFSET(Q865,$B$8-1,0))))</f>
        <v>#DIV/0!</v>
      </c>
      <c r="W865" s="6" t="e">
        <f t="shared" si="72"/>
        <v>#DIV/0!</v>
      </c>
      <c r="X865" s="6" t="e">
        <f ca="1">SQRT($B$9*AVERAGE(W865:OFFSET(W865,$B$5-1,0)))</f>
        <v>#DIV/0!</v>
      </c>
      <c r="Y865" s="6" t="e">
        <f ca="1">SQRT($B$9*AVERAGE(W865:OFFSET(W865,$B$6-1,0)))</f>
        <v>#DIV/0!</v>
      </c>
      <c r="Z865" s="6" t="e">
        <f ca="1">SQRT($B$9*AVERAGE(W865:OFFSET(W865,$B$7-1,0)))</f>
        <v>#DIV/0!</v>
      </c>
      <c r="AA865" s="6" t="e">
        <f ca="1">SQRT($B$9*AVERAGE(W865:OFFSET(W865,$B$8-1,0)))</f>
        <v>#DIV/0!</v>
      </c>
      <c r="AC865" s="34" t="e">
        <f t="shared" si="75"/>
        <v>#DIV/0!</v>
      </c>
      <c r="AD865" s="34" t="e">
        <f ca="1">SQRT($B$9*SUM(AC865:OFFSET(AC865,$B$5-1,0))/($B$5-1))</f>
        <v>#DIV/0!</v>
      </c>
      <c r="AE865" s="34" t="e">
        <f ca="1">SQRT($B$9*SUM(AC865:OFFSET(AC865,$B$6-1,0))/($B$6-1))</f>
        <v>#DIV/0!</v>
      </c>
      <c r="AF865" s="34" t="e">
        <f ca="1">SQRT($B$9*SUM(AC865:OFFSET(AC865,$B$7-1,0))/($B$7-1))</f>
        <v>#DIV/0!</v>
      </c>
      <c r="AG865" s="34" t="e">
        <f ca="1">SQRT($B$9*SUM(AC865:OFFSET(AC865,$B$8-1,0))/($B$8-1))</f>
        <v>#DIV/0!</v>
      </c>
      <c r="AI865" s="1" t="e">
        <f t="shared" si="76"/>
        <v>#DIV/0!</v>
      </c>
      <c r="AJ865" s="4" t="e">
        <f ca="1">SQRT($B$9)*_xlfn.STDEV.S(AI865:OFFSET(AI865,$B$5-1,0))</f>
        <v>#DIV/0!</v>
      </c>
      <c r="AK865" s="4" t="e">
        <f ca="1">SQRT($B$9)*_xlfn.STDEV.S(AI865:OFFSET(AI865,$B$6-1,0))</f>
        <v>#DIV/0!</v>
      </c>
      <c r="AL865" s="4" t="e">
        <f ca="1">SQRT($B$9)*_xlfn.STDEV.S(AI865:OFFSET(AI865,$B$7-1,0))</f>
        <v>#DIV/0!</v>
      </c>
      <c r="AM865" s="4" t="e">
        <f ca="1">SQRT($B$9)*_xlfn.STDEV.S(AI865:OFFSET(AI865,$B$8-1,0))</f>
        <v>#DIV/0!</v>
      </c>
    </row>
    <row r="866" spans="5:39" x14ac:dyDescent="0.2">
      <c r="E866" s="42">
        <v>44175</v>
      </c>
      <c r="F866" s="43"/>
      <c r="G866" s="43"/>
      <c r="H866" s="43"/>
      <c r="I866" s="43"/>
      <c r="K866" s="3" t="e">
        <f t="shared" si="74"/>
        <v>#DIV/0!</v>
      </c>
      <c r="L866" s="3" t="e">
        <f ca="1">SQRT(AVERAGE(K866:OFFSET(K866,$B$5-1,0))*$B$9/(4*LN(2)))</f>
        <v>#DIV/0!</v>
      </c>
      <c r="M866" s="3" t="e">
        <f ca="1">SQRT(AVERAGE(K866:OFFSET(K866,$B$6-1,0))*$B$9/(4*LN(2)))</f>
        <v>#DIV/0!</v>
      </c>
      <c r="N866" s="3" t="e">
        <f ca="1">SQRT(AVERAGE(K866:OFFSET(K866,$B$7-1,0))*$B$9/(4*LN(2)))</f>
        <v>#DIV/0!</v>
      </c>
      <c r="O866" s="3" t="e">
        <f ca="1">SQRT(AVERAGE(K866:OFFSET(K866,$B$8-1,0))*$B$9/(4*LN(2)))</f>
        <v>#DIV/0!</v>
      </c>
      <c r="Q866" s="5" t="e">
        <f t="shared" si="73"/>
        <v>#DIV/0!</v>
      </c>
      <c r="R866" s="5" t="e">
        <f ca="1">SQRT($B$9*AVERAGE((Q866:OFFSET(Q866,$B$5-1,0))))</f>
        <v>#DIV/0!</v>
      </c>
      <c r="S866" s="5" t="e">
        <f ca="1">SQRT($B$9*AVERAGE((Q866:OFFSET(Q866,$B$6-1,0))))</f>
        <v>#DIV/0!</v>
      </c>
      <c r="T866" s="5" t="e">
        <f ca="1">SQRT($B$9*AVERAGE((Q866:OFFSET(Q866,$B$7-1,0))))</f>
        <v>#DIV/0!</v>
      </c>
      <c r="U866" s="5" t="e">
        <f ca="1">SQRT($B$9*AVERAGE((Q866:OFFSET(Q866,$B$8-1,0))))</f>
        <v>#DIV/0!</v>
      </c>
      <c r="W866" s="6" t="e">
        <f t="shared" si="72"/>
        <v>#DIV/0!</v>
      </c>
      <c r="X866" s="6" t="e">
        <f ca="1">SQRT($B$9*AVERAGE(W866:OFFSET(W866,$B$5-1,0)))</f>
        <v>#DIV/0!</v>
      </c>
      <c r="Y866" s="6" t="e">
        <f ca="1">SQRT($B$9*AVERAGE(W866:OFFSET(W866,$B$6-1,0)))</f>
        <v>#DIV/0!</v>
      </c>
      <c r="Z866" s="6" t="e">
        <f ca="1">SQRT($B$9*AVERAGE(W866:OFFSET(W866,$B$7-1,0)))</f>
        <v>#DIV/0!</v>
      </c>
      <c r="AA866" s="6" t="e">
        <f ca="1">SQRT($B$9*AVERAGE(W866:OFFSET(W866,$B$8-1,0)))</f>
        <v>#DIV/0!</v>
      </c>
      <c r="AC866" s="34" t="e">
        <f t="shared" si="75"/>
        <v>#DIV/0!</v>
      </c>
      <c r="AD866" s="34" t="e">
        <f ca="1">SQRT($B$9*SUM(AC866:OFFSET(AC866,$B$5-1,0))/($B$5-1))</f>
        <v>#DIV/0!</v>
      </c>
      <c r="AE866" s="34" t="e">
        <f ca="1">SQRT($B$9*SUM(AC866:OFFSET(AC866,$B$6-1,0))/($B$6-1))</f>
        <v>#DIV/0!</v>
      </c>
      <c r="AF866" s="34" t="e">
        <f ca="1">SQRT($B$9*SUM(AC866:OFFSET(AC866,$B$7-1,0))/($B$7-1))</f>
        <v>#DIV/0!</v>
      </c>
      <c r="AG866" s="34" t="e">
        <f ca="1">SQRT($B$9*SUM(AC866:OFFSET(AC866,$B$8-1,0))/($B$8-1))</f>
        <v>#DIV/0!</v>
      </c>
      <c r="AI866" s="1" t="e">
        <f t="shared" si="76"/>
        <v>#DIV/0!</v>
      </c>
      <c r="AJ866" s="4" t="e">
        <f ca="1">SQRT($B$9)*_xlfn.STDEV.S(AI866:OFFSET(AI866,$B$5-1,0))</f>
        <v>#DIV/0!</v>
      </c>
      <c r="AK866" s="4" t="e">
        <f ca="1">SQRT($B$9)*_xlfn.STDEV.S(AI866:OFFSET(AI866,$B$6-1,0))</f>
        <v>#DIV/0!</v>
      </c>
      <c r="AL866" s="4" t="e">
        <f ca="1">SQRT($B$9)*_xlfn.STDEV.S(AI866:OFFSET(AI866,$B$7-1,0))</f>
        <v>#DIV/0!</v>
      </c>
      <c r="AM866" s="4" t="e">
        <f ca="1">SQRT($B$9)*_xlfn.STDEV.S(AI866:OFFSET(AI866,$B$8-1,0))</f>
        <v>#DIV/0!</v>
      </c>
    </row>
    <row r="867" spans="5:39" x14ac:dyDescent="0.2">
      <c r="E867" s="42">
        <v>44174</v>
      </c>
      <c r="F867" s="43"/>
      <c r="G867" s="43"/>
      <c r="H867" s="43"/>
      <c r="I867" s="43"/>
      <c r="K867" s="3" t="e">
        <f t="shared" si="74"/>
        <v>#DIV/0!</v>
      </c>
      <c r="L867" s="3" t="e">
        <f ca="1">SQRT(AVERAGE(K867:OFFSET(K867,$B$5-1,0))*$B$9/(4*LN(2)))</f>
        <v>#DIV/0!</v>
      </c>
      <c r="M867" s="3" t="e">
        <f ca="1">SQRT(AVERAGE(K867:OFFSET(K867,$B$6-1,0))*$B$9/(4*LN(2)))</f>
        <v>#DIV/0!</v>
      </c>
      <c r="N867" s="3" t="e">
        <f ca="1">SQRT(AVERAGE(K867:OFFSET(K867,$B$7-1,0))*$B$9/(4*LN(2)))</f>
        <v>#DIV/0!</v>
      </c>
      <c r="O867" s="3" t="e">
        <f ca="1">SQRT(AVERAGE(K867:OFFSET(K867,$B$8-1,0))*$B$9/(4*LN(2)))</f>
        <v>#DIV/0!</v>
      </c>
      <c r="Q867" s="5" t="e">
        <f t="shared" si="73"/>
        <v>#DIV/0!</v>
      </c>
      <c r="R867" s="5" t="e">
        <f ca="1">SQRT($B$9*AVERAGE((Q867:OFFSET(Q867,$B$5-1,0))))</f>
        <v>#DIV/0!</v>
      </c>
      <c r="S867" s="5" t="e">
        <f ca="1">SQRT($B$9*AVERAGE((Q867:OFFSET(Q867,$B$6-1,0))))</f>
        <v>#DIV/0!</v>
      </c>
      <c r="T867" s="5" t="e">
        <f ca="1">SQRT($B$9*AVERAGE((Q867:OFFSET(Q867,$B$7-1,0))))</f>
        <v>#DIV/0!</v>
      </c>
      <c r="U867" s="5" t="e">
        <f ca="1">SQRT($B$9*AVERAGE((Q867:OFFSET(Q867,$B$8-1,0))))</f>
        <v>#DIV/0!</v>
      </c>
      <c r="W867" s="6" t="e">
        <f t="shared" si="72"/>
        <v>#DIV/0!</v>
      </c>
      <c r="X867" s="6" t="e">
        <f ca="1">SQRT($B$9*AVERAGE(W867:OFFSET(W867,$B$5-1,0)))</f>
        <v>#DIV/0!</v>
      </c>
      <c r="Y867" s="6" t="e">
        <f ca="1">SQRT($B$9*AVERAGE(W867:OFFSET(W867,$B$6-1,0)))</f>
        <v>#DIV/0!</v>
      </c>
      <c r="Z867" s="6" t="e">
        <f ca="1">SQRT($B$9*AVERAGE(W867:OFFSET(W867,$B$7-1,0)))</f>
        <v>#DIV/0!</v>
      </c>
      <c r="AA867" s="6" t="e">
        <f ca="1">SQRT($B$9*AVERAGE(W867:OFFSET(W867,$B$8-1,0)))</f>
        <v>#DIV/0!</v>
      </c>
      <c r="AC867" s="34" t="e">
        <f t="shared" si="75"/>
        <v>#DIV/0!</v>
      </c>
      <c r="AD867" s="34" t="e">
        <f ca="1">SQRT($B$9*SUM(AC867:OFFSET(AC867,$B$5-1,0))/($B$5-1))</f>
        <v>#DIV/0!</v>
      </c>
      <c r="AE867" s="34" t="e">
        <f ca="1">SQRT($B$9*SUM(AC867:OFFSET(AC867,$B$6-1,0))/($B$6-1))</f>
        <v>#DIV/0!</v>
      </c>
      <c r="AF867" s="34" t="e">
        <f ca="1">SQRT($B$9*SUM(AC867:OFFSET(AC867,$B$7-1,0))/($B$7-1))</f>
        <v>#DIV/0!</v>
      </c>
      <c r="AG867" s="34" t="e">
        <f ca="1">SQRT($B$9*SUM(AC867:OFFSET(AC867,$B$8-1,0))/($B$8-1))</f>
        <v>#DIV/0!</v>
      </c>
      <c r="AI867" s="1" t="e">
        <f t="shared" si="76"/>
        <v>#DIV/0!</v>
      </c>
      <c r="AJ867" s="4" t="e">
        <f ca="1">SQRT($B$9)*_xlfn.STDEV.S(AI867:OFFSET(AI867,$B$5-1,0))</f>
        <v>#DIV/0!</v>
      </c>
      <c r="AK867" s="4" t="e">
        <f ca="1">SQRT($B$9)*_xlfn.STDEV.S(AI867:OFFSET(AI867,$B$6-1,0))</f>
        <v>#DIV/0!</v>
      </c>
      <c r="AL867" s="4" t="e">
        <f ca="1">SQRT($B$9)*_xlfn.STDEV.S(AI867:OFFSET(AI867,$B$7-1,0))</f>
        <v>#DIV/0!</v>
      </c>
      <c r="AM867" s="4" t="e">
        <f ca="1">SQRT($B$9)*_xlfn.STDEV.S(AI867:OFFSET(AI867,$B$8-1,0))</f>
        <v>#DIV/0!</v>
      </c>
    </row>
    <row r="868" spans="5:39" x14ac:dyDescent="0.2">
      <c r="E868" s="42">
        <v>44173</v>
      </c>
      <c r="F868" s="43"/>
      <c r="G868" s="43"/>
      <c r="H868" s="43"/>
      <c r="I868" s="43"/>
      <c r="K868" s="3" t="e">
        <f t="shared" si="74"/>
        <v>#DIV/0!</v>
      </c>
      <c r="L868" s="3" t="e">
        <f ca="1">SQRT(AVERAGE(K868:OFFSET(K868,$B$5-1,0))*$B$9/(4*LN(2)))</f>
        <v>#DIV/0!</v>
      </c>
      <c r="M868" s="3" t="e">
        <f ca="1">SQRT(AVERAGE(K868:OFFSET(K868,$B$6-1,0))*$B$9/(4*LN(2)))</f>
        <v>#DIV/0!</v>
      </c>
      <c r="N868" s="3" t="e">
        <f ca="1">SQRT(AVERAGE(K868:OFFSET(K868,$B$7-1,0))*$B$9/(4*LN(2)))</f>
        <v>#DIV/0!</v>
      </c>
      <c r="O868" s="3" t="e">
        <f ca="1">SQRT(AVERAGE(K868:OFFSET(K868,$B$8-1,0))*$B$9/(4*LN(2)))</f>
        <v>#DIV/0!</v>
      </c>
      <c r="Q868" s="5" t="e">
        <f t="shared" si="73"/>
        <v>#DIV/0!</v>
      </c>
      <c r="R868" s="5" t="e">
        <f ca="1">SQRT($B$9*AVERAGE((Q868:OFFSET(Q868,$B$5-1,0))))</f>
        <v>#DIV/0!</v>
      </c>
      <c r="S868" s="5" t="e">
        <f ca="1">SQRT($B$9*AVERAGE((Q868:OFFSET(Q868,$B$6-1,0))))</f>
        <v>#DIV/0!</v>
      </c>
      <c r="T868" s="5" t="e">
        <f ca="1">SQRT($B$9*AVERAGE((Q868:OFFSET(Q868,$B$7-1,0))))</f>
        <v>#DIV/0!</v>
      </c>
      <c r="U868" s="5" t="e">
        <f ca="1">SQRT($B$9*AVERAGE((Q868:OFFSET(Q868,$B$8-1,0))))</f>
        <v>#DIV/0!</v>
      </c>
      <c r="W868" s="6" t="e">
        <f t="shared" si="72"/>
        <v>#DIV/0!</v>
      </c>
      <c r="X868" s="6" t="e">
        <f ca="1">SQRT($B$9*AVERAGE(W868:OFFSET(W868,$B$5-1,0)))</f>
        <v>#DIV/0!</v>
      </c>
      <c r="Y868" s="6" t="e">
        <f ca="1">SQRT($B$9*AVERAGE(W868:OFFSET(W868,$B$6-1,0)))</f>
        <v>#DIV/0!</v>
      </c>
      <c r="Z868" s="6" t="e">
        <f ca="1">SQRT($B$9*AVERAGE(W868:OFFSET(W868,$B$7-1,0)))</f>
        <v>#DIV/0!</v>
      </c>
      <c r="AA868" s="6" t="e">
        <f ca="1">SQRT($B$9*AVERAGE(W868:OFFSET(W868,$B$8-1,0)))</f>
        <v>#DIV/0!</v>
      </c>
      <c r="AC868" s="34" t="e">
        <f t="shared" si="75"/>
        <v>#DIV/0!</v>
      </c>
      <c r="AD868" s="34" t="e">
        <f ca="1">SQRT($B$9*SUM(AC868:OFFSET(AC868,$B$5-1,0))/($B$5-1))</f>
        <v>#DIV/0!</v>
      </c>
      <c r="AE868" s="34" t="e">
        <f ca="1">SQRT($B$9*SUM(AC868:OFFSET(AC868,$B$6-1,0))/($B$6-1))</f>
        <v>#DIV/0!</v>
      </c>
      <c r="AF868" s="34" t="e">
        <f ca="1">SQRT($B$9*SUM(AC868:OFFSET(AC868,$B$7-1,0))/($B$7-1))</f>
        <v>#DIV/0!</v>
      </c>
      <c r="AG868" s="34" t="e">
        <f ca="1">SQRT($B$9*SUM(AC868:OFFSET(AC868,$B$8-1,0))/($B$8-1))</f>
        <v>#DIV/0!</v>
      </c>
      <c r="AI868" s="1" t="e">
        <f t="shared" si="76"/>
        <v>#DIV/0!</v>
      </c>
      <c r="AJ868" s="4" t="e">
        <f ca="1">SQRT($B$9)*_xlfn.STDEV.S(AI868:OFFSET(AI868,$B$5-1,0))</f>
        <v>#DIV/0!</v>
      </c>
      <c r="AK868" s="4" t="e">
        <f ca="1">SQRT($B$9)*_xlfn.STDEV.S(AI868:OFFSET(AI868,$B$6-1,0))</f>
        <v>#DIV/0!</v>
      </c>
      <c r="AL868" s="4" t="e">
        <f ca="1">SQRT($B$9)*_xlfn.STDEV.S(AI868:OFFSET(AI868,$B$7-1,0))</f>
        <v>#DIV/0!</v>
      </c>
      <c r="AM868" s="4" t="e">
        <f ca="1">SQRT($B$9)*_xlfn.STDEV.S(AI868:OFFSET(AI868,$B$8-1,0))</f>
        <v>#DIV/0!</v>
      </c>
    </row>
    <row r="869" spans="5:39" x14ac:dyDescent="0.2">
      <c r="E869" s="42">
        <v>44172</v>
      </c>
      <c r="F869" s="43"/>
      <c r="G869" s="43"/>
      <c r="H869" s="43"/>
      <c r="I869" s="43"/>
      <c r="K869" s="3" t="e">
        <f t="shared" si="74"/>
        <v>#DIV/0!</v>
      </c>
      <c r="L869" s="3" t="e">
        <f ca="1">SQRT(AVERAGE(K869:OFFSET(K869,$B$5-1,0))*$B$9/(4*LN(2)))</f>
        <v>#DIV/0!</v>
      </c>
      <c r="M869" s="3" t="e">
        <f ca="1">SQRT(AVERAGE(K869:OFFSET(K869,$B$6-1,0))*$B$9/(4*LN(2)))</f>
        <v>#DIV/0!</v>
      </c>
      <c r="N869" s="3" t="e">
        <f ca="1">SQRT(AVERAGE(K869:OFFSET(K869,$B$7-1,0))*$B$9/(4*LN(2)))</f>
        <v>#DIV/0!</v>
      </c>
      <c r="O869" s="3" t="e">
        <f ca="1">SQRT(AVERAGE(K869:OFFSET(K869,$B$8-1,0))*$B$9/(4*LN(2)))</f>
        <v>#DIV/0!</v>
      </c>
      <c r="Q869" s="5" t="e">
        <f t="shared" si="73"/>
        <v>#DIV/0!</v>
      </c>
      <c r="R869" s="5" t="e">
        <f ca="1">SQRT($B$9*AVERAGE((Q869:OFFSET(Q869,$B$5-1,0))))</f>
        <v>#DIV/0!</v>
      </c>
      <c r="S869" s="5" t="e">
        <f ca="1">SQRT($B$9*AVERAGE((Q869:OFFSET(Q869,$B$6-1,0))))</f>
        <v>#DIV/0!</v>
      </c>
      <c r="T869" s="5" t="e">
        <f ca="1">SQRT($B$9*AVERAGE((Q869:OFFSET(Q869,$B$7-1,0))))</f>
        <v>#DIV/0!</v>
      </c>
      <c r="U869" s="5" t="e">
        <f ca="1">SQRT($B$9*AVERAGE((Q869:OFFSET(Q869,$B$8-1,0))))</f>
        <v>#DIV/0!</v>
      </c>
      <c r="W869" s="6" t="e">
        <f t="shared" si="72"/>
        <v>#DIV/0!</v>
      </c>
      <c r="X869" s="6" t="e">
        <f ca="1">SQRT($B$9*AVERAGE(W869:OFFSET(W869,$B$5-1,0)))</f>
        <v>#DIV/0!</v>
      </c>
      <c r="Y869" s="6" t="e">
        <f ca="1">SQRT($B$9*AVERAGE(W869:OFFSET(W869,$B$6-1,0)))</f>
        <v>#DIV/0!</v>
      </c>
      <c r="Z869" s="6" t="e">
        <f ca="1">SQRT($B$9*AVERAGE(W869:OFFSET(W869,$B$7-1,0)))</f>
        <v>#DIV/0!</v>
      </c>
      <c r="AA869" s="6" t="e">
        <f ca="1">SQRT($B$9*AVERAGE(W869:OFFSET(W869,$B$8-1,0)))</f>
        <v>#DIV/0!</v>
      </c>
      <c r="AC869" s="34" t="e">
        <f t="shared" si="75"/>
        <v>#DIV/0!</v>
      </c>
      <c r="AD869" s="34" t="e">
        <f ca="1">SQRT($B$9*SUM(AC869:OFFSET(AC869,$B$5-1,0))/($B$5-1))</f>
        <v>#DIV/0!</v>
      </c>
      <c r="AE869" s="34" t="e">
        <f ca="1">SQRT($B$9*SUM(AC869:OFFSET(AC869,$B$6-1,0))/($B$6-1))</f>
        <v>#DIV/0!</v>
      </c>
      <c r="AF869" s="34" t="e">
        <f ca="1">SQRT($B$9*SUM(AC869:OFFSET(AC869,$B$7-1,0))/($B$7-1))</f>
        <v>#DIV/0!</v>
      </c>
      <c r="AG869" s="34" t="e">
        <f ca="1">SQRT($B$9*SUM(AC869:OFFSET(AC869,$B$8-1,0))/($B$8-1))</f>
        <v>#DIV/0!</v>
      </c>
      <c r="AI869" s="1" t="e">
        <f t="shared" si="76"/>
        <v>#DIV/0!</v>
      </c>
      <c r="AJ869" s="4" t="e">
        <f ca="1">SQRT($B$9)*_xlfn.STDEV.S(AI869:OFFSET(AI869,$B$5-1,0))</f>
        <v>#DIV/0!</v>
      </c>
      <c r="AK869" s="4" t="e">
        <f ca="1">SQRT($B$9)*_xlfn.STDEV.S(AI869:OFFSET(AI869,$B$6-1,0))</f>
        <v>#DIV/0!</v>
      </c>
      <c r="AL869" s="4" t="e">
        <f ca="1">SQRT($B$9)*_xlfn.STDEV.S(AI869:OFFSET(AI869,$B$7-1,0))</f>
        <v>#DIV/0!</v>
      </c>
      <c r="AM869" s="4" t="e">
        <f ca="1">SQRT($B$9)*_xlfn.STDEV.S(AI869:OFFSET(AI869,$B$8-1,0))</f>
        <v>#DIV/0!</v>
      </c>
    </row>
    <row r="870" spans="5:39" x14ac:dyDescent="0.2">
      <c r="E870" s="42">
        <v>44169</v>
      </c>
      <c r="F870" s="43"/>
      <c r="G870" s="43"/>
      <c r="H870" s="43"/>
      <c r="I870" s="43"/>
      <c r="K870" s="3" t="e">
        <f t="shared" si="74"/>
        <v>#DIV/0!</v>
      </c>
      <c r="L870" s="3" t="e">
        <f ca="1">SQRT(AVERAGE(K870:OFFSET(K870,$B$5-1,0))*$B$9/(4*LN(2)))</f>
        <v>#DIV/0!</v>
      </c>
      <c r="M870" s="3" t="e">
        <f ca="1">SQRT(AVERAGE(K870:OFFSET(K870,$B$6-1,0))*$B$9/(4*LN(2)))</f>
        <v>#DIV/0!</v>
      </c>
      <c r="N870" s="3" t="e">
        <f ca="1">SQRT(AVERAGE(K870:OFFSET(K870,$B$7-1,0))*$B$9/(4*LN(2)))</f>
        <v>#DIV/0!</v>
      </c>
      <c r="O870" s="3" t="e">
        <f ca="1">SQRT(AVERAGE(K870:OFFSET(K870,$B$8-1,0))*$B$9/(4*LN(2)))</f>
        <v>#DIV/0!</v>
      </c>
      <c r="Q870" s="5" t="e">
        <f t="shared" si="73"/>
        <v>#DIV/0!</v>
      </c>
      <c r="R870" s="5" t="e">
        <f ca="1">SQRT($B$9*AVERAGE((Q870:OFFSET(Q870,$B$5-1,0))))</f>
        <v>#DIV/0!</v>
      </c>
      <c r="S870" s="5" t="e">
        <f ca="1">SQRT($B$9*AVERAGE((Q870:OFFSET(Q870,$B$6-1,0))))</f>
        <v>#DIV/0!</v>
      </c>
      <c r="T870" s="5" t="e">
        <f ca="1">SQRT($B$9*AVERAGE((Q870:OFFSET(Q870,$B$7-1,0))))</f>
        <v>#DIV/0!</v>
      </c>
      <c r="U870" s="5" t="e">
        <f ca="1">SQRT($B$9*AVERAGE((Q870:OFFSET(Q870,$B$8-1,0))))</f>
        <v>#DIV/0!</v>
      </c>
      <c r="W870" s="6" t="e">
        <f t="shared" si="72"/>
        <v>#DIV/0!</v>
      </c>
      <c r="X870" s="6" t="e">
        <f ca="1">SQRT($B$9*AVERAGE(W870:OFFSET(W870,$B$5-1,0)))</f>
        <v>#DIV/0!</v>
      </c>
      <c r="Y870" s="6" t="e">
        <f ca="1">SQRT($B$9*AVERAGE(W870:OFFSET(W870,$B$6-1,0)))</f>
        <v>#DIV/0!</v>
      </c>
      <c r="Z870" s="6" t="e">
        <f ca="1">SQRT($B$9*AVERAGE(W870:OFFSET(W870,$B$7-1,0)))</f>
        <v>#DIV/0!</v>
      </c>
      <c r="AA870" s="6" t="e">
        <f ca="1">SQRT($B$9*AVERAGE(W870:OFFSET(W870,$B$8-1,0)))</f>
        <v>#DIV/0!</v>
      </c>
      <c r="AC870" s="34" t="e">
        <f t="shared" si="75"/>
        <v>#DIV/0!</v>
      </c>
      <c r="AD870" s="34" t="e">
        <f ca="1">SQRT($B$9*SUM(AC870:OFFSET(AC870,$B$5-1,0))/($B$5-1))</f>
        <v>#DIV/0!</v>
      </c>
      <c r="AE870" s="34" t="e">
        <f ca="1">SQRT($B$9*SUM(AC870:OFFSET(AC870,$B$6-1,0))/($B$6-1))</f>
        <v>#DIV/0!</v>
      </c>
      <c r="AF870" s="34" t="e">
        <f ca="1">SQRT($B$9*SUM(AC870:OFFSET(AC870,$B$7-1,0))/($B$7-1))</f>
        <v>#DIV/0!</v>
      </c>
      <c r="AG870" s="34" t="e">
        <f ca="1">SQRT($B$9*SUM(AC870:OFFSET(AC870,$B$8-1,0))/($B$8-1))</f>
        <v>#DIV/0!</v>
      </c>
      <c r="AI870" s="1" t="e">
        <f t="shared" si="76"/>
        <v>#DIV/0!</v>
      </c>
      <c r="AJ870" s="4" t="e">
        <f ca="1">SQRT($B$9)*_xlfn.STDEV.S(AI870:OFFSET(AI870,$B$5-1,0))</f>
        <v>#DIV/0!</v>
      </c>
      <c r="AK870" s="4" t="e">
        <f ca="1">SQRT($B$9)*_xlfn.STDEV.S(AI870:OFFSET(AI870,$B$6-1,0))</f>
        <v>#DIV/0!</v>
      </c>
      <c r="AL870" s="4" t="e">
        <f ca="1">SQRT($B$9)*_xlfn.STDEV.S(AI870:OFFSET(AI870,$B$7-1,0))</f>
        <v>#DIV/0!</v>
      </c>
      <c r="AM870" s="4" t="e">
        <f ca="1">SQRT($B$9)*_xlfn.STDEV.S(AI870:OFFSET(AI870,$B$8-1,0))</f>
        <v>#DIV/0!</v>
      </c>
    </row>
    <row r="871" spans="5:39" x14ac:dyDescent="0.2">
      <c r="E871" s="42">
        <v>44168</v>
      </c>
      <c r="F871" s="43"/>
      <c r="G871" s="43"/>
      <c r="H871" s="43"/>
      <c r="I871" s="43"/>
      <c r="K871" s="3" t="e">
        <f t="shared" si="74"/>
        <v>#DIV/0!</v>
      </c>
      <c r="L871" s="3" t="e">
        <f ca="1">SQRT(AVERAGE(K871:OFFSET(K871,$B$5-1,0))*$B$9/(4*LN(2)))</f>
        <v>#DIV/0!</v>
      </c>
      <c r="M871" s="3" t="e">
        <f ca="1">SQRT(AVERAGE(K871:OFFSET(K871,$B$6-1,0))*$B$9/(4*LN(2)))</f>
        <v>#DIV/0!</v>
      </c>
      <c r="N871" s="3" t="e">
        <f ca="1">SQRT(AVERAGE(K871:OFFSET(K871,$B$7-1,0))*$B$9/(4*LN(2)))</f>
        <v>#DIV/0!</v>
      </c>
      <c r="O871" s="3" t="e">
        <f ca="1">SQRT(AVERAGE(K871:OFFSET(K871,$B$8-1,0))*$B$9/(4*LN(2)))</f>
        <v>#DIV/0!</v>
      </c>
      <c r="Q871" s="5" t="e">
        <f t="shared" si="73"/>
        <v>#DIV/0!</v>
      </c>
      <c r="R871" s="5" t="e">
        <f ca="1">SQRT($B$9*AVERAGE((Q871:OFFSET(Q871,$B$5-1,0))))</f>
        <v>#DIV/0!</v>
      </c>
      <c r="S871" s="5" t="e">
        <f ca="1">SQRT($B$9*AVERAGE((Q871:OFFSET(Q871,$B$6-1,0))))</f>
        <v>#DIV/0!</v>
      </c>
      <c r="T871" s="5" t="e">
        <f ca="1">SQRT($B$9*AVERAGE((Q871:OFFSET(Q871,$B$7-1,0))))</f>
        <v>#DIV/0!</v>
      </c>
      <c r="U871" s="5" t="e">
        <f ca="1">SQRT($B$9*AVERAGE((Q871:OFFSET(Q871,$B$8-1,0))))</f>
        <v>#DIV/0!</v>
      </c>
      <c r="W871" s="6" t="e">
        <f t="shared" ref="W871:W934" si="77">LN(G871/I871)*LN(G871/F871)+LN(H871/I871)*LN(H871/F871)</f>
        <v>#DIV/0!</v>
      </c>
      <c r="X871" s="6" t="e">
        <f ca="1">SQRT($B$9*AVERAGE(W871:OFFSET(W871,$B$5-1,0)))</f>
        <v>#DIV/0!</v>
      </c>
      <c r="Y871" s="6" t="e">
        <f ca="1">SQRT($B$9*AVERAGE(W871:OFFSET(W871,$B$6-1,0)))</f>
        <v>#DIV/0!</v>
      </c>
      <c r="Z871" s="6" t="e">
        <f ca="1">SQRT($B$9*AVERAGE(W871:OFFSET(W871,$B$7-1,0)))</f>
        <v>#DIV/0!</v>
      </c>
      <c r="AA871" s="6" t="e">
        <f ca="1">SQRT($B$9*AVERAGE(W871:OFFSET(W871,$B$8-1,0)))</f>
        <v>#DIV/0!</v>
      </c>
      <c r="AC871" s="34" t="e">
        <f t="shared" si="75"/>
        <v>#DIV/0!</v>
      </c>
      <c r="AD871" s="34" t="e">
        <f ca="1">SQRT($B$9*SUM(AC871:OFFSET(AC871,$B$5-1,0))/($B$5-1))</f>
        <v>#DIV/0!</v>
      </c>
      <c r="AE871" s="34" t="e">
        <f ca="1">SQRT($B$9*SUM(AC871:OFFSET(AC871,$B$6-1,0))/($B$6-1))</f>
        <v>#DIV/0!</v>
      </c>
      <c r="AF871" s="34" t="e">
        <f ca="1">SQRT($B$9*SUM(AC871:OFFSET(AC871,$B$7-1,0))/($B$7-1))</f>
        <v>#DIV/0!</v>
      </c>
      <c r="AG871" s="34" t="e">
        <f ca="1">SQRT($B$9*SUM(AC871:OFFSET(AC871,$B$8-1,0))/($B$8-1))</f>
        <v>#DIV/0!</v>
      </c>
      <c r="AI871" s="1" t="e">
        <f t="shared" si="76"/>
        <v>#DIV/0!</v>
      </c>
      <c r="AJ871" s="4" t="e">
        <f ca="1">SQRT($B$9)*_xlfn.STDEV.S(AI871:OFFSET(AI871,$B$5-1,0))</f>
        <v>#DIV/0!</v>
      </c>
      <c r="AK871" s="4" t="e">
        <f ca="1">SQRT($B$9)*_xlfn.STDEV.S(AI871:OFFSET(AI871,$B$6-1,0))</f>
        <v>#DIV/0!</v>
      </c>
      <c r="AL871" s="4" t="e">
        <f ca="1">SQRT($B$9)*_xlfn.STDEV.S(AI871:OFFSET(AI871,$B$7-1,0))</f>
        <v>#DIV/0!</v>
      </c>
      <c r="AM871" s="4" t="e">
        <f ca="1">SQRT($B$9)*_xlfn.STDEV.S(AI871:OFFSET(AI871,$B$8-1,0))</f>
        <v>#DIV/0!</v>
      </c>
    </row>
    <row r="872" spans="5:39" x14ac:dyDescent="0.2">
      <c r="E872" s="42">
        <v>44167</v>
      </c>
      <c r="F872" s="43"/>
      <c r="G872" s="43"/>
      <c r="H872" s="43"/>
      <c r="I872" s="43"/>
      <c r="K872" s="3" t="e">
        <f t="shared" si="74"/>
        <v>#DIV/0!</v>
      </c>
      <c r="L872" s="3" t="e">
        <f ca="1">SQRT(AVERAGE(K872:OFFSET(K872,$B$5-1,0))*$B$9/(4*LN(2)))</f>
        <v>#DIV/0!</v>
      </c>
      <c r="M872" s="3" t="e">
        <f ca="1">SQRT(AVERAGE(K872:OFFSET(K872,$B$6-1,0))*$B$9/(4*LN(2)))</f>
        <v>#DIV/0!</v>
      </c>
      <c r="N872" s="3" t="e">
        <f ca="1">SQRT(AVERAGE(K872:OFFSET(K872,$B$7-1,0))*$B$9/(4*LN(2)))</f>
        <v>#DIV/0!</v>
      </c>
      <c r="O872" s="3" t="e">
        <f ca="1">SQRT(AVERAGE(K872:OFFSET(K872,$B$8-1,0))*$B$9/(4*LN(2)))</f>
        <v>#DIV/0!</v>
      </c>
      <c r="Q872" s="5" t="e">
        <f t="shared" si="73"/>
        <v>#DIV/0!</v>
      </c>
      <c r="R872" s="5" t="e">
        <f ca="1">SQRT($B$9*AVERAGE((Q872:OFFSET(Q872,$B$5-1,0))))</f>
        <v>#DIV/0!</v>
      </c>
      <c r="S872" s="5" t="e">
        <f ca="1">SQRT($B$9*AVERAGE((Q872:OFFSET(Q872,$B$6-1,0))))</f>
        <v>#DIV/0!</v>
      </c>
      <c r="T872" s="5" t="e">
        <f ca="1">SQRT($B$9*AVERAGE((Q872:OFFSET(Q872,$B$7-1,0))))</f>
        <v>#DIV/0!</v>
      </c>
      <c r="U872" s="5" t="e">
        <f ca="1">SQRT($B$9*AVERAGE((Q872:OFFSET(Q872,$B$8-1,0))))</f>
        <v>#DIV/0!</v>
      </c>
      <c r="W872" s="6" t="e">
        <f t="shared" si="77"/>
        <v>#DIV/0!</v>
      </c>
      <c r="X872" s="6" t="e">
        <f ca="1">SQRT($B$9*AVERAGE(W872:OFFSET(W872,$B$5-1,0)))</f>
        <v>#DIV/0!</v>
      </c>
      <c r="Y872" s="6" t="e">
        <f ca="1">SQRT($B$9*AVERAGE(W872:OFFSET(W872,$B$6-1,0)))</f>
        <v>#DIV/0!</v>
      </c>
      <c r="Z872" s="6" t="e">
        <f ca="1">SQRT($B$9*AVERAGE(W872:OFFSET(W872,$B$7-1,0)))</f>
        <v>#DIV/0!</v>
      </c>
      <c r="AA872" s="6" t="e">
        <f ca="1">SQRT($B$9*AVERAGE(W872:OFFSET(W872,$B$8-1,0)))</f>
        <v>#DIV/0!</v>
      </c>
      <c r="AC872" s="34" t="e">
        <f t="shared" si="75"/>
        <v>#DIV/0!</v>
      </c>
      <c r="AD872" s="34" t="e">
        <f ca="1">SQRT($B$9*SUM(AC872:OFFSET(AC872,$B$5-1,0))/($B$5-1))</f>
        <v>#DIV/0!</v>
      </c>
      <c r="AE872" s="34" t="e">
        <f ca="1">SQRT($B$9*SUM(AC872:OFFSET(AC872,$B$6-1,0))/($B$6-1))</f>
        <v>#DIV/0!</v>
      </c>
      <c r="AF872" s="34" t="e">
        <f ca="1">SQRT($B$9*SUM(AC872:OFFSET(AC872,$B$7-1,0))/($B$7-1))</f>
        <v>#DIV/0!</v>
      </c>
      <c r="AG872" s="34" t="e">
        <f ca="1">SQRT($B$9*SUM(AC872:OFFSET(AC872,$B$8-1,0))/($B$8-1))</f>
        <v>#DIV/0!</v>
      </c>
      <c r="AI872" s="1" t="e">
        <f t="shared" si="76"/>
        <v>#DIV/0!</v>
      </c>
      <c r="AJ872" s="4" t="e">
        <f ca="1">SQRT($B$9)*_xlfn.STDEV.S(AI872:OFFSET(AI872,$B$5-1,0))</f>
        <v>#DIV/0!</v>
      </c>
      <c r="AK872" s="4" t="e">
        <f ca="1">SQRT($B$9)*_xlfn.STDEV.S(AI872:OFFSET(AI872,$B$6-1,0))</f>
        <v>#DIV/0!</v>
      </c>
      <c r="AL872" s="4" t="e">
        <f ca="1">SQRT($B$9)*_xlfn.STDEV.S(AI872:OFFSET(AI872,$B$7-1,0))</f>
        <v>#DIV/0!</v>
      </c>
      <c r="AM872" s="4" t="e">
        <f ca="1">SQRT($B$9)*_xlfn.STDEV.S(AI872:OFFSET(AI872,$B$8-1,0))</f>
        <v>#DIV/0!</v>
      </c>
    </row>
    <row r="873" spans="5:39" x14ac:dyDescent="0.2">
      <c r="E873" s="42">
        <v>44166</v>
      </c>
      <c r="F873" s="43"/>
      <c r="G873" s="43"/>
      <c r="H873" s="43"/>
      <c r="I873" s="43"/>
      <c r="K873" s="3" t="e">
        <f t="shared" si="74"/>
        <v>#DIV/0!</v>
      </c>
      <c r="L873" s="3" t="e">
        <f ca="1">SQRT(AVERAGE(K873:OFFSET(K873,$B$5-1,0))*$B$9/(4*LN(2)))</f>
        <v>#DIV/0!</v>
      </c>
      <c r="M873" s="3" t="e">
        <f ca="1">SQRT(AVERAGE(K873:OFFSET(K873,$B$6-1,0))*$B$9/(4*LN(2)))</f>
        <v>#DIV/0!</v>
      </c>
      <c r="N873" s="3" t="e">
        <f ca="1">SQRT(AVERAGE(K873:OFFSET(K873,$B$7-1,0))*$B$9/(4*LN(2)))</f>
        <v>#DIV/0!</v>
      </c>
      <c r="O873" s="3" t="e">
        <f ca="1">SQRT(AVERAGE(K873:OFFSET(K873,$B$8-1,0))*$B$9/(4*LN(2)))</f>
        <v>#DIV/0!</v>
      </c>
      <c r="Q873" s="5" t="e">
        <f t="shared" si="73"/>
        <v>#DIV/0!</v>
      </c>
      <c r="R873" s="5" t="e">
        <f ca="1">SQRT($B$9*AVERAGE((Q873:OFFSET(Q873,$B$5-1,0))))</f>
        <v>#DIV/0!</v>
      </c>
      <c r="S873" s="5" t="e">
        <f ca="1">SQRT($B$9*AVERAGE((Q873:OFFSET(Q873,$B$6-1,0))))</f>
        <v>#DIV/0!</v>
      </c>
      <c r="T873" s="5" t="e">
        <f ca="1">SQRT($B$9*AVERAGE((Q873:OFFSET(Q873,$B$7-1,0))))</f>
        <v>#DIV/0!</v>
      </c>
      <c r="U873" s="5" t="e">
        <f ca="1">SQRT($B$9*AVERAGE((Q873:OFFSET(Q873,$B$8-1,0))))</f>
        <v>#DIV/0!</v>
      </c>
      <c r="W873" s="6" t="e">
        <f t="shared" si="77"/>
        <v>#DIV/0!</v>
      </c>
      <c r="X873" s="6" t="e">
        <f ca="1">SQRT($B$9*AVERAGE(W873:OFFSET(W873,$B$5-1,0)))</f>
        <v>#DIV/0!</v>
      </c>
      <c r="Y873" s="6" t="e">
        <f ca="1">SQRT($B$9*AVERAGE(W873:OFFSET(W873,$B$6-1,0)))</f>
        <v>#DIV/0!</v>
      </c>
      <c r="Z873" s="6" t="e">
        <f ca="1">SQRT($B$9*AVERAGE(W873:OFFSET(W873,$B$7-1,0)))</f>
        <v>#DIV/0!</v>
      </c>
      <c r="AA873" s="6" t="e">
        <f ca="1">SQRT($B$9*AVERAGE(W873:OFFSET(W873,$B$8-1,0)))</f>
        <v>#DIV/0!</v>
      </c>
      <c r="AC873" s="34" t="e">
        <f t="shared" si="75"/>
        <v>#DIV/0!</v>
      </c>
      <c r="AD873" s="34" t="e">
        <f ca="1">SQRT($B$9*SUM(AC873:OFFSET(AC873,$B$5-1,0))/($B$5-1))</f>
        <v>#DIV/0!</v>
      </c>
      <c r="AE873" s="34" t="e">
        <f ca="1">SQRT($B$9*SUM(AC873:OFFSET(AC873,$B$6-1,0))/($B$6-1))</f>
        <v>#DIV/0!</v>
      </c>
      <c r="AF873" s="34" t="e">
        <f ca="1">SQRT($B$9*SUM(AC873:OFFSET(AC873,$B$7-1,0))/($B$7-1))</f>
        <v>#DIV/0!</v>
      </c>
      <c r="AG873" s="34" t="e">
        <f ca="1">SQRT($B$9*SUM(AC873:OFFSET(AC873,$B$8-1,0))/($B$8-1))</f>
        <v>#DIV/0!</v>
      </c>
      <c r="AI873" s="1" t="e">
        <f t="shared" si="76"/>
        <v>#DIV/0!</v>
      </c>
      <c r="AJ873" s="4" t="e">
        <f ca="1">SQRT($B$9)*_xlfn.STDEV.S(AI873:OFFSET(AI873,$B$5-1,0))</f>
        <v>#DIV/0!</v>
      </c>
      <c r="AK873" s="4" t="e">
        <f ca="1">SQRT($B$9)*_xlfn.STDEV.S(AI873:OFFSET(AI873,$B$6-1,0))</f>
        <v>#DIV/0!</v>
      </c>
      <c r="AL873" s="4" t="e">
        <f ca="1">SQRT($B$9)*_xlfn.STDEV.S(AI873:OFFSET(AI873,$B$7-1,0))</f>
        <v>#DIV/0!</v>
      </c>
      <c r="AM873" s="4" t="e">
        <f ca="1">SQRT($B$9)*_xlfn.STDEV.S(AI873:OFFSET(AI873,$B$8-1,0))</f>
        <v>#DIV/0!</v>
      </c>
    </row>
    <row r="874" spans="5:39" x14ac:dyDescent="0.2">
      <c r="E874" s="42">
        <v>44165</v>
      </c>
      <c r="F874" s="43"/>
      <c r="G874" s="43"/>
      <c r="H874" s="43"/>
      <c r="I874" s="43"/>
      <c r="K874" s="3" t="e">
        <f t="shared" si="74"/>
        <v>#DIV/0!</v>
      </c>
      <c r="L874" s="3" t="e">
        <f ca="1">SQRT(AVERAGE(K874:OFFSET(K874,$B$5-1,0))*$B$9/(4*LN(2)))</f>
        <v>#DIV/0!</v>
      </c>
      <c r="M874" s="3" t="e">
        <f ca="1">SQRT(AVERAGE(K874:OFFSET(K874,$B$6-1,0))*$B$9/(4*LN(2)))</f>
        <v>#DIV/0!</v>
      </c>
      <c r="N874" s="3" t="e">
        <f ca="1">SQRT(AVERAGE(K874:OFFSET(K874,$B$7-1,0))*$B$9/(4*LN(2)))</f>
        <v>#DIV/0!</v>
      </c>
      <c r="O874" s="3" t="e">
        <f ca="1">SQRT(AVERAGE(K874:OFFSET(K874,$B$8-1,0))*$B$9/(4*LN(2)))</f>
        <v>#DIV/0!</v>
      </c>
      <c r="Q874" s="5" t="e">
        <f t="shared" si="73"/>
        <v>#DIV/0!</v>
      </c>
      <c r="R874" s="5" t="e">
        <f ca="1">SQRT($B$9*AVERAGE((Q874:OFFSET(Q874,$B$5-1,0))))</f>
        <v>#DIV/0!</v>
      </c>
      <c r="S874" s="5" t="e">
        <f ca="1">SQRT($B$9*AVERAGE((Q874:OFFSET(Q874,$B$6-1,0))))</f>
        <v>#DIV/0!</v>
      </c>
      <c r="T874" s="5" t="e">
        <f ca="1">SQRT($B$9*AVERAGE((Q874:OFFSET(Q874,$B$7-1,0))))</f>
        <v>#DIV/0!</v>
      </c>
      <c r="U874" s="5" t="e">
        <f ca="1">SQRT($B$9*AVERAGE((Q874:OFFSET(Q874,$B$8-1,0))))</f>
        <v>#DIV/0!</v>
      </c>
      <c r="W874" s="6" t="e">
        <f t="shared" si="77"/>
        <v>#DIV/0!</v>
      </c>
      <c r="X874" s="6" t="e">
        <f ca="1">SQRT($B$9*AVERAGE(W874:OFFSET(W874,$B$5-1,0)))</f>
        <v>#DIV/0!</v>
      </c>
      <c r="Y874" s="6" t="e">
        <f ca="1">SQRT($B$9*AVERAGE(W874:OFFSET(W874,$B$6-1,0)))</f>
        <v>#DIV/0!</v>
      </c>
      <c r="Z874" s="6" t="e">
        <f ca="1">SQRT($B$9*AVERAGE(W874:OFFSET(W874,$B$7-1,0)))</f>
        <v>#DIV/0!</v>
      </c>
      <c r="AA874" s="6" t="e">
        <f ca="1">SQRT($B$9*AVERAGE(W874:OFFSET(W874,$B$8-1,0)))</f>
        <v>#DIV/0!</v>
      </c>
      <c r="AC874" s="34" t="e">
        <f t="shared" si="75"/>
        <v>#DIV/0!</v>
      </c>
      <c r="AD874" s="34" t="e">
        <f ca="1">SQRT($B$9*SUM(AC874:OFFSET(AC874,$B$5-1,0))/($B$5-1))</f>
        <v>#DIV/0!</v>
      </c>
      <c r="AE874" s="34" t="e">
        <f ca="1">SQRT($B$9*SUM(AC874:OFFSET(AC874,$B$6-1,0))/($B$6-1))</f>
        <v>#DIV/0!</v>
      </c>
      <c r="AF874" s="34" t="e">
        <f ca="1">SQRT($B$9*SUM(AC874:OFFSET(AC874,$B$7-1,0))/($B$7-1))</f>
        <v>#DIV/0!</v>
      </c>
      <c r="AG874" s="34" t="e">
        <f ca="1">SQRT($B$9*SUM(AC874:OFFSET(AC874,$B$8-1,0))/($B$8-1))</f>
        <v>#DIV/0!</v>
      </c>
      <c r="AI874" s="1" t="e">
        <f t="shared" si="76"/>
        <v>#DIV/0!</v>
      </c>
      <c r="AJ874" s="4" t="e">
        <f ca="1">SQRT($B$9)*_xlfn.STDEV.S(AI874:OFFSET(AI874,$B$5-1,0))</f>
        <v>#DIV/0!</v>
      </c>
      <c r="AK874" s="4" t="e">
        <f ca="1">SQRT($B$9)*_xlfn.STDEV.S(AI874:OFFSET(AI874,$B$6-1,0))</f>
        <v>#DIV/0!</v>
      </c>
      <c r="AL874" s="4" t="e">
        <f ca="1">SQRT($B$9)*_xlfn.STDEV.S(AI874:OFFSET(AI874,$B$7-1,0))</f>
        <v>#DIV/0!</v>
      </c>
      <c r="AM874" s="4" t="e">
        <f ca="1">SQRT($B$9)*_xlfn.STDEV.S(AI874:OFFSET(AI874,$B$8-1,0))</f>
        <v>#DIV/0!</v>
      </c>
    </row>
    <row r="875" spans="5:39" x14ac:dyDescent="0.2">
      <c r="E875" s="42">
        <v>44162</v>
      </c>
      <c r="F875" s="43"/>
      <c r="G875" s="43"/>
      <c r="H875" s="43"/>
      <c r="I875" s="43"/>
      <c r="K875" s="3" t="e">
        <f t="shared" si="74"/>
        <v>#DIV/0!</v>
      </c>
      <c r="L875" s="3" t="e">
        <f ca="1">SQRT(AVERAGE(K875:OFFSET(K875,$B$5-1,0))*$B$9/(4*LN(2)))</f>
        <v>#DIV/0!</v>
      </c>
      <c r="M875" s="3" t="e">
        <f ca="1">SQRT(AVERAGE(K875:OFFSET(K875,$B$6-1,0))*$B$9/(4*LN(2)))</f>
        <v>#DIV/0!</v>
      </c>
      <c r="N875" s="3" t="e">
        <f ca="1">SQRT(AVERAGE(K875:OFFSET(K875,$B$7-1,0))*$B$9/(4*LN(2)))</f>
        <v>#DIV/0!</v>
      </c>
      <c r="O875" s="3" t="e">
        <f ca="1">SQRT(AVERAGE(K875:OFFSET(K875,$B$8-1,0))*$B$9/(4*LN(2)))</f>
        <v>#DIV/0!</v>
      </c>
      <c r="Q875" s="5" t="e">
        <f t="shared" si="73"/>
        <v>#DIV/0!</v>
      </c>
      <c r="R875" s="5" t="e">
        <f ca="1">SQRT($B$9*AVERAGE((Q875:OFFSET(Q875,$B$5-1,0))))</f>
        <v>#DIV/0!</v>
      </c>
      <c r="S875" s="5" t="e">
        <f ca="1">SQRT($B$9*AVERAGE((Q875:OFFSET(Q875,$B$6-1,0))))</f>
        <v>#DIV/0!</v>
      </c>
      <c r="T875" s="5" t="e">
        <f ca="1">SQRT($B$9*AVERAGE((Q875:OFFSET(Q875,$B$7-1,0))))</f>
        <v>#DIV/0!</v>
      </c>
      <c r="U875" s="5" t="e">
        <f ca="1">SQRT($B$9*AVERAGE((Q875:OFFSET(Q875,$B$8-1,0))))</f>
        <v>#DIV/0!</v>
      </c>
      <c r="W875" s="6" t="e">
        <f t="shared" si="77"/>
        <v>#DIV/0!</v>
      </c>
      <c r="X875" s="6" t="e">
        <f ca="1">SQRT($B$9*AVERAGE(W875:OFFSET(W875,$B$5-1,0)))</f>
        <v>#DIV/0!</v>
      </c>
      <c r="Y875" s="6" t="e">
        <f ca="1">SQRT($B$9*AVERAGE(W875:OFFSET(W875,$B$6-1,0)))</f>
        <v>#DIV/0!</v>
      </c>
      <c r="Z875" s="6" t="e">
        <f ca="1">SQRT($B$9*AVERAGE(W875:OFFSET(W875,$B$7-1,0)))</f>
        <v>#DIV/0!</v>
      </c>
      <c r="AA875" s="6" t="e">
        <f ca="1">SQRT($B$9*AVERAGE(W875:OFFSET(W875,$B$8-1,0)))</f>
        <v>#DIV/0!</v>
      </c>
      <c r="AC875" s="34" t="e">
        <f t="shared" si="75"/>
        <v>#DIV/0!</v>
      </c>
      <c r="AD875" s="34" t="e">
        <f ca="1">SQRT($B$9*SUM(AC875:OFFSET(AC875,$B$5-1,0))/($B$5-1))</f>
        <v>#DIV/0!</v>
      </c>
      <c r="AE875" s="34" t="e">
        <f ca="1">SQRT($B$9*SUM(AC875:OFFSET(AC875,$B$6-1,0))/($B$6-1))</f>
        <v>#DIV/0!</v>
      </c>
      <c r="AF875" s="34" t="e">
        <f ca="1">SQRT($B$9*SUM(AC875:OFFSET(AC875,$B$7-1,0))/($B$7-1))</f>
        <v>#DIV/0!</v>
      </c>
      <c r="AG875" s="34" t="e">
        <f ca="1">SQRT($B$9*SUM(AC875:OFFSET(AC875,$B$8-1,0))/($B$8-1))</f>
        <v>#DIV/0!</v>
      </c>
      <c r="AI875" s="1" t="e">
        <f t="shared" si="76"/>
        <v>#DIV/0!</v>
      </c>
      <c r="AJ875" s="4" t="e">
        <f ca="1">SQRT($B$9)*_xlfn.STDEV.S(AI875:OFFSET(AI875,$B$5-1,0))</f>
        <v>#DIV/0!</v>
      </c>
      <c r="AK875" s="4" t="e">
        <f ca="1">SQRT($B$9)*_xlfn.STDEV.S(AI875:OFFSET(AI875,$B$6-1,0))</f>
        <v>#DIV/0!</v>
      </c>
      <c r="AL875" s="4" t="e">
        <f ca="1">SQRT($B$9)*_xlfn.STDEV.S(AI875:OFFSET(AI875,$B$7-1,0))</f>
        <v>#DIV/0!</v>
      </c>
      <c r="AM875" s="4" t="e">
        <f ca="1">SQRT($B$9)*_xlfn.STDEV.S(AI875:OFFSET(AI875,$B$8-1,0))</f>
        <v>#DIV/0!</v>
      </c>
    </row>
    <row r="876" spans="5:39" x14ac:dyDescent="0.2">
      <c r="E876" s="42">
        <v>44161</v>
      </c>
      <c r="F876" s="43"/>
      <c r="G876" s="43"/>
      <c r="H876" s="43"/>
      <c r="I876" s="43"/>
      <c r="K876" s="3" t="e">
        <f t="shared" si="74"/>
        <v>#DIV/0!</v>
      </c>
      <c r="L876" s="3" t="e">
        <f ca="1">SQRT(AVERAGE(K876:OFFSET(K876,$B$5-1,0))*$B$9/(4*LN(2)))</f>
        <v>#DIV/0!</v>
      </c>
      <c r="M876" s="3" t="e">
        <f ca="1">SQRT(AVERAGE(K876:OFFSET(K876,$B$6-1,0))*$B$9/(4*LN(2)))</f>
        <v>#DIV/0!</v>
      </c>
      <c r="N876" s="3" t="e">
        <f ca="1">SQRT(AVERAGE(K876:OFFSET(K876,$B$7-1,0))*$B$9/(4*LN(2)))</f>
        <v>#DIV/0!</v>
      </c>
      <c r="O876" s="3" t="e">
        <f ca="1">SQRT(AVERAGE(K876:OFFSET(K876,$B$8-1,0))*$B$9/(4*LN(2)))</f>
        <v>#DIV/0!</v>
      </c>
      <c r="Q876" s="5" t="e">
        <f t="shared" si="73"/>
        <v>#DIV/0!</v>
      </c>
      <c r="R876" s="5" t="e">
        <f ca="1">SQRT($B$9*AVERAGE((Q876:OFFSET(Q876,$B$5-1,0))))</f>
        <v>#DIV/0!</v>
      </c>
      <c r="S876" s="5" t="e">
        <f ca="1">SQRT($B$9*AVERAGE((Q876:OFFSET(Q876,$B$6-1,0))))</f>
        <v>#DIV/0!</v>
      </c>
      <c r="T876" s="5" t="e">
        <f ca="1">SQRT($B$9*AVERAGE((Q876:OFFSET(Q876,$B$7-1,0))))</f>
        <v>#DIV/0!</v>
      </c>
      <c r="U876" s="5" t="e">
        <f ca="1">SQRT($B$9*AVERAGE((Q876:OFFSET(Q876,$B$8-1,0))))</f>
        <v>#DIV/0!</v>
      </c>
      <c r="W876" s="6" t="e">
        <f t="shared" si="77"/>
        <v>#DIV/0!</v>
      </c>
      <c r="X876" s="6" t="e">
        <f ca="1">SQRT($B$9*AVERAGE(W876:OFFSET(W876,$B$5-1,0)))</f>
        <v>#DIV/0!</v>
      </c>
      <c r="Y876" s="6" t="e">
        <f ca="1">SQRT($B$9*AVERAGE(W876:OFFSET(W876,$B$6-1,0)))</f>
        <v>#DIV/0!</v>
      </c>
      <c r="Z876" s="6" t="e">
        <f ca="1">SQRT($B$9*AVERAGE(W876:OFFSET(W876,$B$7-1,0)))</f>
        <v>#DIV/0!</v>
      </c>
      <c r="AA876" s="6" t="e">
        <f ca="1">SQRT($B$9*AVERAGE(W876:OFFSET(W876,$B$8-1,0)))</f>
        <v>#DIV/0!</v>
      </c>
      <c r="AC876" s="34" t="e">
        <f t="shared" si="75"/>
        <v>#DIV/0!</v>
      </c>
      <c r="AD876" s="34" t="e">
        <f ca="1">SQRT($B$9*SUM(AC876:OFFSET(AC876,$B$5-1,0))/($B$5-1))</f>
        <v>#DIV/0!</v>
      </c>
      <c r="AE876" s="34" t="e">
        <f ca="1">SQRT($B$9*SUM(AC876:OFFSET(AC876,$B$6-1,0))/($B$6-1))</f>
        <v>#DIV/0!</v>
      </c>
      <c r="AF876" s="34" t="e">
        <f ca="1">SQRT($B$9*SUM(AC876:OFFSET(AC876,$B$7-1,0))/($B$7-1))</f>
        <v>#DIV/0!</v>
      </c>
      <c r="AG876" s="34" t="e">
        <f ca="1">SQRT($B$9*SUM(AC876:OFFSET(AC876,$B$8-1,0))/($B$8-1))</f>
        <v>#DIV/0!</v>
      </c>
      <c r="AI876" s="1" t="e">
        <f t="shared" si="76"/>
        <v>#DIV/0!</v>
      </c>
      <c r="AJ876" s="4" t="e">
        <f ca="1">SQRT($B$9)*_xlfn.STDEV.S(AI876:OFFSET(AI876,$B$5-1,0))</f>
        <v>#DIV/0!</v>
      </c>
      <c r="AK876" s="4" t="e">
        <f ca="1">SQRT($B$9)*_xlfn.STDEV.S(AI876:OFFSET(AI876,$B$6-1,0))</f>
        <v>#DIV/0!</v>
      </c>
      <c r="AL876" s="4" t="e">
        <f ca="1">SQRT($B$9)*_xlfn.STDEV.S(AI876:OFFSET(AI876,$B$7-1,0))</f>
        <v>#DIV/0!</v>
      </c>
      <c r="AM876" s="4" t="e">
        <f ca="1">SQRT($B$9)*_xlfn.STDEV.S(AI876:OFFSET(AI876,$B$8-1,0))</f>
        <v>#DIV/0!</v>
      </c>
    </row>
    <row r="877" spans="5:39" x14ac:dyDescent="0.2">
      <c r="E877" s="42">
        <v>44160</v>
      </c>
      <c r="F877" s="43"/>
      <c r="G877" s="43"/>
      <c r="H877" s="43"/>
      <c r="I877" s="43"/>
      <c r="K877" s="3" t="e">
        <f t="shared" si="74"/>
        <v>#DIV/0!</v>
      </c>
      <c r="L877" s="3" t="e">
        <f ca="1">SQRT(AVERAGE(K877:OFFSET(K877,$B$5-1,0))*$B$9/(4*LN(2)))</f>
        <v>#DIV/0!</v>
      </c>
      <c r="M877" s="3" t="e">
        <f ca="1">SQRT(AVERAGE(K877:OFFSET(K877,$B$6-1,0))*$B$9/(4*LN(2)))</f>
        <v>#DIV/0!</v>
      </c>
      <c r="N877" s="3" t="e">
        <f ca="1">SQRT(AVERAGE(K877:OFFSET(K877,$B$7-1,0))*$B$9/(4*LN(2)))</f>
        <v>#DIV/0!</v>
      </c>
      <c r="O877" s="3" t="e">
        <f ca="1">SQRT(AVERAGE(K877:OFFSET(K877,$B$8-1,0))*$B$9/(4*LN(2)))</f>
        <v>#DIV/0!</v>
      </c>
      <c r="Q877" s="5" t="e">
        <f t="shared" si="73"/>
        <v>#DIV/0!</v>
      </c>
      <c r="R877" s="5" t="e">
        <f ca="1">SQRT($B$9*AVERAGE((Q877:OFFSET(Q877,$B$5-1,0))))</f>
        <v>#DIV/0!</v>
      </c>
      <c r="S877" s="5" t="e">
        <f ca="1">SQRT($B$9*AVERAGE((Q877:OFFSET(Q877,$B$6-1,0))))</f>
        <v>#DIV/0!</v>
      </c>
      <c r="T877" s="5" t="e">
        <f ca="1">SQRT($B$9*AVERAGE((Q877:OFFSET(Q877,$B$7-1,0))))</f>
        <v>#DIV/0!</v>
      </c>
      <c r="U877" s="5" t="e">
        <f ca="1">SQRT($B$9*AVERAGE((Q877:OFFSET(Q877,$B$8-1,0))))</f>
        <v>#DIV/0!</v>
      </c>
      <c r="W877" s="6" t="e">
        <f t="shared" si="77"/>
        <v>#DIV/0!</v>
      </c>
      <c r="X877" s="6" t="e">
        <f ca="1">SQRT($B$9*AVERAGE(W877:OFFSET(W877,$B$5-1,0)))</f>
        <v>#DIV/0!</v>
      </c>
      <c r="Y877" s="6" t="e">
        <f ca="1">SQRT($B$9*AVERAGE(W877:OFFSET(W877,$B$6-1,0)))</f>
        <v>#DIV/0!</v>
      </c>
      <c r="Z877" s="6" t="e">
        <f ca="1">SQRT($B$9*AVERAGE(W877:OFFSET(W877,$B$7-1,0)))</f>
        <v>#DIV/0!</v>
      </c>
      <c r="AA877" s="6" t="e">
        <f ca="1">SQRT($B$9*AVERAGE(W877:OFFSET(W877,$B$8-1,0)))</f>
        <v>#DIV/0!</v>
      </c>
      <c r="AC877" s="34" t="e">
        <f t="shared" si="75"/>
        <v>#DIV/0!</v>
      </c>
      <c r="AD877" s="34" t="e">
        <f ca="1">SQRT($B$9*SUM(AC877:OFFSET(AC877,$B$5-1,0))/($B$5-1))</f>
        <v>#DIV/0!</v>
      </c>
      <c r="AE877" s="34" t="e">
        <f ca="1">SQRT($B$9*SUM(AC877:OFFSET(AC877,$B$6-1,0))/($B$6-1))</f>
        <v>#DIV/0!</v>
      </c>
      <c r="AF877" s="34" t="e">
        <f ca="1">SQRT($B$9*SUM(AC877:OFFSET(AC877,$B$7-1,0))/($B$7-1))</f>
        <v>#DIV/0!</v>
      </c>
      <c r="AG877" s="34" t="e">
        <f ca="1">SQRT($B$9*SUM(AC877:OFFSET(AC877,$B$8-1,0))/($B$8-1))</f>
        <v>#DIV/0!</v>
      </c>
      <c r="AI877" s="1" t="e">
        <f t="shared" si="76"/>
        <v>#DIV/0!</v>
      </c>
      <c r="AJ877" s="4" t="e">
        <f ca="1">SQRT($B$9)*_xlfn.STDEV.S(AI877:OFFSET(AI877,$B$5-1,0))</f>
        <v>#DIV/0!</v>
      </c>
      <c r="AK877" s="4" t="e">
        <f ca="1">SQRT($B$9)*_xlfn.STDEV.S(AI877:OFFSET(AI877,$B$6-1,0))</f>
        <v>#DIV/0!</v>
      </c>
      <c r="AL877" s="4" t="e">
        <f ca="1">SQRT($B$9)*_xlfn.STDEV.S(AI877:OFFSET(AI877,$B$7-1,0))</f>
        <v>#DIV/0!</v>
      </c>
      <c r="AM877" s="4" t="e">
        <f ca="1">SQRT($B$9)*_xlfn.STDEV.S(AI877:OFFSET(AI877,$B$8-1,0))</f>
        <v>#DIV/0!</v>
      </c>
    </row>
    <row r="878" spans="5:39" x14ac:dyDescent="0.2">
      <c r="E878" s="42">
        <v>44159</v>
      </c>
      <c r="F878" s="43"/>
      <c r="G878" s="43"/>
      <c r="H878" s="43"/>
      <c r="I878" s="43"/>
      <c r="K878" s="3" t="e">
        <f t="shared" si="74"/>
        <v>#DIV/0!</v>
      </c>
      <c r="L878" s="3" t="e">
        <f ca="1">SQRT(AVERAGE(K878:OFFSET(K878,$B$5-1,0))*$B$9/(4*LN(2)))</f>
        <v>#DIV/0!</v>
      </c>
      <c r="M878" s="3" t="e">
        <f ca="1">SQRT(AVERAGE(K878:OFFSET(K878,$B$6-1,0))*$B$9/(4*LN(2)))</f>
        <v>#DIV/0!</v>
      </c>
      <c r="N878" s="3" t="e">
        <f ca="1">SQRT(AVERAGE(K878:OFFSET(K878,$B$7-1,0))*$B$9/(4*LN(2)))</f>
        <v>#DIV/0!</v>
      </c>
      <c r="O878" s="3" t="e">
        <f ca="1">SQRT(AVERAGE(K878:OFFSET(K878,$B$8-1,0))*$B$9/(4*LN(2)))</f>
        <v>#DIV/0!</v>
      </c>
      <c r="Q878" s="5" t="e">
        <f t="shared" si="73"/>
        <v>#DIV/0!</v>
      </c>
      <c r="R878" s="5" t="e">
        <f ca="1">SQRT($B$9*AVERAGE((Q878:OFFSET(Q878,$B$5-1,0))))</f>
        <v>#DIV/0!</v>
      </c>
      <c r="S878" s="5" t="e">
        <f ca="1">SQRT($B$9*AVERAGE((Q878:OFFSET(Q878,$B$6-1,0))))</f>
        <v>#DIV/0!</v>
      </c>
      <c r="T878" s="5" t="e">
        <f ca="1">SQRT($B$9*AVERAGE((Q878:OFFSET(Q878,$B$7-1,0))))</f>
        <v>#DIV/0!</v>
      </c>
      <c r="U878" s="5" t="e">
        <f ca="1">SQRT($B$9*AVERAGE((Q878:OFFSET(Q878,$B$8-1,0))))</f>
        <v>#DIV/0!</v>
      </c>
      <c r="W878" s="6" t="e">
        <f t="shared" si="77"/>
        <v>#DIV/0!</v>
      </c>
      <c r="X878" s="6" t="e">
        <f ca="1">SQRT($B$9*AVERAGE(W878:OFFSET(W878,$B$5-1,0)))</f>
        <v>#DIV/0!</v>
      </c>
      <c r="Y878" s="6" t="e">
        <f ca="1">SQRT($B$9*AVERAGE(W878:OFFSET(W878,$B$6-1,0)))</f>
        <v>#DIV/0!</v>
      </c>
      <c r="Z878" s="6" t="e">
        <f ca="1">SQRT($B$9*AVERAGE(W878:OFFSET(W878,$B$7-1,0)))</f>
        <v>#DIV/0!</v>
      </c>
      <c r="AA878" s="6" t="e">
        <f ca="1">SQRT($B$9*AVERAGE(W878:OFFSET(W878,$B$8-1,0)))</f>
        <v>#DIV/0!</v>
      </c>
      <c r="AC878" s="34" t="e">
        <f t="shared" si="75"/>
        <v>#DIV/0!</v>
      </c>
      <c r="AD878" s="34" t="e">
        <f ca="1">SQRT($B$9*SUM(AC878:OFFSET(AC878,$B$5-1,0))/($B$5-1))</f>
        <v>#DIV/0!</v>
      </c>
      <c r="AE878" s="34" t="e">
        <f ca="1">SQRT($B$9*SUM(AC878:OFFSET(AC878,$B$6-1,0))/($B$6-1))</f>
        <v>#DIV/0!</v>
      </c>
      <c r="AF878" s="34" t="e">
        <f ca="1">SQRT($B$9*SUM(AC878:OFFSET(AC878,$B$7-1,0))/($B$7-1))</f>
        <v>#DIV/0!</v>
      </c>
      <c r="AG878" s="34" t="e">
        <f ca="1">SQRT($B$9*SUM(AC878:OFFSET(AC878,$B$8-1,0))/($B$8-1))</f>
        <v>#DIV/0!</v>
      </c>
      <c r="AI878" s="1" t="e">
        <f t="shared" si="76"/>
        <v>#DIV/0!</v>
      </c>
      <c r="AJ878" s="4" t="e">
        <f ca="1">SQRT($B$9)*_xlfn.STDEV.S(AI878:OFFSET(AI878,$B$5-1,0))</f>
        <v>#DIV/0!</v>
      </c>
      <c r="AK878" s="4" t="e">
        <f ca="1">SQRT($B$9)*_xlfn.STDEV.S(AI878:OFFSET(AI878,$B$6-1,0))</f>
        <v>#DIV/0!</v>
      </c>
      <c r="AL878" s="4" t="e">
        <f ca="1">SQRT($B$9)*_xlfn.STDEV.S(AI878:OFFSET(AI878,$B$7-1,0))</f>
        <v>#DIV/0!</v>
      </c>
      <c r="AM878" s="4" t="e">
        <f ca="1">SQRT($B$9)*_xlfn.STDEV.S(AI878:OFFSET(AI878,$B$8-1,0))</f>
        <v>#DIV/0!</v>
      </c>
    </row>
    <row r="879" spans="5:39" x14ac:dyDescent="0.2">
      <c r="E879" s="42">
        <v>44158</v>
      </c>
      <c r="F879" s="43"/>
      <c r="G879" s="43"/>
      <c r="H879" s="43"/>
      <c r="I879" s="43"/>
      <c r="K879" s="3" t="e">
        <f t="shared" si="74"/>
        <v>#DIV/0!</v>
      </c>
      <c r="L879" s="3" t="e">
        <f ca="1">SQRT(AVERAGE(K879:OFFSET(K879,$B$5-1,0))*$B$9/(4*LN(2)))</f>
        <v>#DIV/0!</v>
      </c>
      <c r="M879" s="3" t="e">
        <f ca="1">SQRT(AVERAGE(K879:OFFSET(K879,$B$6-1,0))*$B$9/(4*LN(2)))</f>
        <v>#DIV/0!</v>
      </c>
      <c r="N879" s="3" t="e">
        <f ca="1">SQRT(AVERAGE(K879:OFFSET(K879,$B$7-1,0))*$B$9/(4*LN(2)))</f>
        <v>#DIV/0!</v>
      </c>
      <c r="O879" s="3" t="e">
        <f ca="1">SQRT(AVERAGE(K879:OFFSET(K879,$B$8-1,0))*$B$9/(4*LN(2)))</f>
        <v>#DIV/0!</v>
      </c>
      <c r="Q879" s="5" t="e">
        <f t="shared" si="73"/>
        <v>#DIV/0!</v>
      </c>
      <c r="R879" s="5" t="e">
        <f ca="1">SQRT($B$9*AVERAGE((Q879:OFFSET(Q879,$B$5-1,0))))</f>
        <v>#DIV/0!</v>
      </c>
      <c r="S879" s="5" t="e">
        <f ca="1">SQRT($B$9*AVERAGE((Q879:OFFSET(Q879,$B$6-1,0))))</f>
        <v>#DIV/0!</v>
      </c>
      <c r="T879" s="5" t="e">
        <f ca="1">SQRT($B$9*AVERAGE((Q879:OFFSET(Q879,$B$7-1,0))))</f>
        <v>#DIV/0!</v>
      </c>
      <c r="U879" s="5" t="e">
        <f ca="1">SQRT($B$9*AVERAGE((Q879:OFFSET(Q879,$B$8-1,0))))</f>
        <v>#DIV/0!</v>
      </c>
      <c r="W879" s="6" t="e">
        <f t="shared" si="77"/>
        <v>#DIV/0!</v>
      </c>
      <c r="X879" s="6" t="e">
        <f ca="1">SQRT($B$9*AVERAGE(W879:OFFSET(W879,$B$5-1,0)))</f>
        <v>#DIV/0!</v>
      </c>
      <c r="Y879" s="6" t="e">
        <f ca="1">SQRT($B$9*AVERAGE(W879:OFFSET(W879,$B$6-1,0)))</f>
        <v>#DIV/0!</v>
      </c>
      <c r="Z879" s="6" t="e">
        <f ca="1">SQRT($B$9*AVERAGE(W879:OFFSET(W879,$B$7-1,0)))</f>
        <v>#DIV/0!</v>
      </c>
      <c r="AA879" s="6" t="e">
        <f ca="1">SQRT($B$9*AVERAGE(W879:OFFSET(W879,$B$8-1,0)))</f>
        <v>#DIV/0!</v>
      </c>
      <c r="AC879" s="34" t="e">
        <f t="shared" si="75"/>
        <v>#DIV/0!</v>
      </c>
      <c r="AD879" s="34" t="e">
        <f ca="1">SQRT($B$9*SUM(AC879:OFFSET(AC879,$B$5-1,0))/($B$5-1))</f>
        <v>#DIV/0!</v>
      </c>
      <c r="AE879" s="34" t="e">
        <f ca="1">SQRT($B$9*SUM(AC879:OFFSET(AC879,$B$6-1,0))/($B$6-1))</f>
        <v>#DIV/0!</v>
      </c>
      <c r="AF879" s="34" t="e">
        <f ca="1">SQRT($B$9*SUM(AC879:OFFSET(AC879,$B$7-1,0))/($B$7-1))</f>
        <v>#DIV/0!</v>
      </c>
      <c r="AG879" s="34" t="e">
        <f ca="1">SQRT($B$9*SUM(AC879:OFFSET(AC879,$B$8-1,0))/($B$8-1))</f>
        <v>#DIV/0!</v>
      </c>
      <c r="AI879" s="1" t="e">
        <f t="shared" si="76"/>
        <v>#DIV/0!</v>
      </c>
      <c r="AJ879" s="4" t="e">
        <f ca="1">SQRT($B$9)*_xlfn.STDEV.S(AI879:OFFSET(AI879,$B$5-1,0))</f>
        <v>#DIV/0!</v>
      </c>
      <c r="AK879" s="4" t="e">
        <f ca="1">SQRT($B$9)*_xlfn.STDEV.S(AI879:OFFSET(AI879,$B$6-1,0))</f>
        <v>#DIV/0!</v>
      </c>
      <c r="AL879" s="4" t="e">
        <f ca="1">SQRT($B$9)*_xlfn.STDEV.S(AI879:OFFSET(AI879,$B$7-1,0))</f>
        <v>#DIV/0!</v>
      </c>
      <c r="AM879" s="4" t="e">
        <f ca="1">SQRT($B$9)*_xlfn.STDEV.S(AI879:OFFSET(AI879,$B$8-1,0))</f>
        <v>#DIV/0!</v>
      </c>
    </row>
    <row r="880" spans="5:39" x14ac:dyDescent="0.2">
      <c r="E880" s="42">
        <v>44155</v>
      </c>
      <c r="F880" s="43"/>
      <c r="G880" s="43"/>
      <c r="H880" s="43"/>
      <c r="I880" s="43"/>
      <c r="K880" s="3" t="e">
        <f t="shared" si="74"/>
        <v>#DIV/0!</v>
      </c>
      <c r="L880" s="3" t="e">
        <f ca="1">SQRT(AVERAGE(K880:OFFSET(K880,$B$5-1,0))*$B$9/(4*LN(2)))</f>
        <v>#DIV/0!</v>
      </c>
      <c r="M880" s="3" t="e">
        <f ca="1">SQRT(AVERAGE(K880:OFFSET(K880,$B$6-1,0))*$B$9/(4*LN(2)))</f>
        <v>#DIV/0!</v>
      </c>
      <c r="N880" s="3" t="e">
        <f ca="1">SQRT(AVERAGE(K880:OFFSET(K880,$B$7-1,0))*$B$9/(4*LN(2)))</f>
        <v>#DIV/0!</v>
      </c>
      <c r="O880" s="3" t="e">
        <f ca="1">SQRT(AVERAGE(K880:OFFSET(K880,$B$8-1,0))*$B$9/(4*LN(2)))</f>
        <v>#DIV/0!</v>
      </c>
      <c r="Q880" s="5" t="e">
        <f t="shared" si="73"/>
        <v>#DIV/0!</v>
      </c>
      <c r="R880" s="5" t="e">
        <f ca="1">SQRT($B$9*AVERAGE((Q880:OFFSET(Q880,$B$5-1,0))))</f>
        <v>#DIV/0!</v>
      </c>
      <c r="S880" s="5" t="e">
        <f ca="1">SQRT($B$9*AVERAGE((Q880:OFFSET(Q880,$B$6-1,0))))</f>
        <v>#DIV/0!</v>
      </c>
      <c r="T880" s="5" t="e">
        <f ca="1">SQRT($B$9*AVERAGE((Q880:OFFSET(Q880,$B$7-1,0))))</f>
        <v>#DIV/0!</v>
      </c>
      <c r="U880" s="5" t="e">
        <f ca="1">SQRT($B$9*AVERAGE((Q880:OFFSET(Q880,$B$8-1,0))))</f>
        <v>#DIV/0!</v>
      </c>
      <c r="W880" s="6" t="e">
        <f t="shared" si="77"/>
        <v>#DIV/0!</v>
      </c>
      <c r="X880" s="6" t="e">
        <f ca="1">SQRT($B$9*AVERAGE(W880:OFFSET(W880,$B$5-1,0)))</f>
        <v>#DIV/0!</v>
      </c>
      <c r="Y880" s="6" t="e">
        <f ca="1">SQRT($B$9*AVERAGE(W880:OFFSET(W880,$B$6-1,0)))</f>
        <v>#DIV/0!</v>
      </c>
      <c r="Z880" s="6" t="e">
        <f ca="1">SQRT($B$9*AVERAGE(W880:OFFSET(W880,$B$7-1,0)))</f>
        <v>#DIV/0!</v>
      </c>
      <c r="AA880" s="6" t="e">
        <f ca="1">SQRT($B$9*AVERAGE(W880:OFFSET(W880,$B$8-1,0)))</f>
        <v>#DIV/0!</v>
      </c>
      <c r="AC880" s="34" t="e">
        <f t="shared" si="75"/>
        <v>#DIV/0!</v>
      </c>
      <c r="AD880" s="34" t="e">
        <f ca="1">SQRT($B$9*SUM(AC880:OFFSET(AC880,$B$5-1,0))/($B$5-1))</f>
        <v>#DIV/0!</v>
      </c>
      <c r="AE880" s="34" t="e">
        <f ca="1">SQRT($B$9*SUM(AC880:OFFSET(AC880,$B$6-1,0))/($B$6-1))</f>
        <v>#DIV/0!</v>
      </c>
      <c r="AF880" s="34" t="e">
        <f ca="1">SQRT($B$9*SUM(AC880:OFFSET(AC880,$B$7-1,0))/($B$7-1))</f>
        <v>#DIV/0!</v>
      </c>
      <c r="AG880" s="34" t="e">
        <f ca="1">SQRT($B$9*SUM(AC880:OFFSET(AC880,$B$8-1,0))/($B$8-1))</f>
        <v>#DIV/0!</v>
      </c>
      <c r="AI880" s="1" t="e">
        <f t="shared" si="76"/>
        <v>#DIV/0!</v>
      </c>
      <c r="AJ880" s="4" t="e">
        <f ca="1">SQRT($B$9)*_xlfn.STDEV.S(AI880:OFFSET(AI880,$B$5-1,0))</f>
        <v>#DIV/0!</v>
      </c>
      <c r="AK880" s="4" t="e">
        <f ca="1">SQRT($B$9)*_xlfn.STDEV.S(AI880:OFFSET(AI880,$B$6-1,0))</f>
        <v>#DIV/0!</v>
      </c>
      <c r="AL880" s="4" t="e">
        <f ca="1">SQRT($B$9)*_xlfn.STDEV.S(AI880:OFFSET(AI880,$B$7-1,0))</f>
        <v>#DIV/0!</v>
      </c>
      <c r="AM880" s="4" t="e">
        <f ca="1">SQRT($B$9)*_xlfn.STDEV.S(AI880:OFFSET(AI880,$B$8-1,0))</f>
        <v>#DIV/0!</v>
      </c>
    </row>
    <row r="881" spans="5:39" x14ac:dyDescent="0.2">
      <c r="E881" s="42">
        <v>44154</v>
      </c>
      <c r="F881" s="43"/>
      <c r="G881" s="43"/>
      <c r="H881" s="43"/>
      <c r="I881" s="43"/>
      <c r="K881" s="3" t="e">
        <f t="shared" si="74"/>
        <v>#DIV/0!</v>
      </c>
      <c r="L881" s="3" t="e">
        <f ca="1">SQRT(AVERAGE(K881:OFFSET(K881,$B$5-1,0))*$B$9/(4*LN(2)))</f>
        <v>#DIV/0!</v>
      </c>
      <c r="M881" s="3" t="e">
        <f ca="1">SQRT(AVERAGE(K881:OFFSET(K881,$B$6-1,0))*$B$9/(4*LN(2)))</f>
        <v>#DIV/0!</v>
      </c>
      <c r="N881" s="3" t="e">
        <f ca="1">SQRT(AVERAGE(K881:OFFSET(K881,$B$7-1,0))*$B$9/(4*LN(2)))</f>
        <v>#DIV/0!</v>
      </c>
      <c r="O881" s="3" t="e">
        <f ca="1">SQRT(AVERAGE(K881:OFFSET(K881,$B$8-1,0))*$B$9/(4*LN(2)))</f>
        <v>#DIV/0!</v>
      </c>
      <c r="Q881" s="5" t="e">
        <f t="shared" si="73"/>
        <v>#DIV/0!</v>
      </c>
      <c r="R881" s="5" t="e">
        <f ca="1">SQRT($B$9*AVERAGE((Q881:OFFSET(Q881,$B$5-1,0))))</f>
        <v>#DIV/0!</v>
      </c>
      <c r="S881" s="5" t="e">
        <f ca="1">SQRT($B$9*AVERAGE((Q881:OFFSET(Q881,$B$6-1,0))))</f>
        <v>#DIV/0!</v>
      </c>
      <c r="T881" s="5" t="e">
        <f ca="1">SQRT($B$9*AVERAGE((Q881:OFFSET(Q881,$B$7-1,0))))</f>
        <v>#DIV/0!</v>
      </c>
      <c r="U881" s="5" t="e">
        <f ca="1">SQRT($B$9*AVERAGE((Q881:OFFSET(Q881,$B$8-1,0))))</f>
        <v>#DIV/0!</v>
      </c>
      <c r="W881" s="6" t="e">
        <f t="shared" si="77"/>
        <v>#DIV/0!</v>
      </c>
      <c r="X881" s="6" t="e">
        <f ca="1">SQRT($B$9*AVERAGE(W881:OFFSET(W881,$B$5-1,0)))</f>
        <v>#DIV/0!</v>
      </c>
      <c r="Y881" s="6" t="e">
        <f ca="1">SQRT($B$9*AVERAGE(W881:OFFSET(W881,$B$6-1,0)))</f>
        <v>#DIV/0!</v>
      </c>
      <c r="Z881" s="6" t="e">
        <f ca="1">SQRT($B$9*AVERAGE(W881:OFFSET(W881,$B$7-1,0)))</f>
        <v>#DIV/0!</v>
      </c>
      <c r="AA881" s="6" t="e">
        <f ca="1">SQRT($B$9*AVERAGE(W881:OFFSET(W881,$B$8-1,0)))</f>
        <v>#DIV/0!</v>
      </c>
      <c r="AC881" s="34" t="e">
        <f t="shared" si="75"/>
        <v>#DIV/0!</v>
      </c>
      <c r="AD881" s="34" t="e">
        <f ca="1">SQRT($B$9*SUM(AC881:OFFSET(AC881,$B$5-1,0))/($B$5-1))</f>
        <v>#DIV/0!</v>
      </c>
      <c r="AE881" s="34" t="e">
        <f ca="1">SQRT($B$9*SUM(AC881:OFFSET(AC881,$B$6-1,0))/($B$6-1))</f>
        <v>#DIV/0!</v>
      </c>
      <c r="AF881" s="34" t="e">
        <f ca="1">SQRT($B$9*SUM(AC881:OFFSET(AC881,$B$7-1,0))/($B$7-1))</f>
        <v>#DIV/0!</v>
      </c>
      <c r="AG881" s="34" t="e">
        <f ca="1">SQRT($B$9*SUM(AC881:OFFSET(AC881,$B$8-1,0))/($B$8-1))</f>
        <v>#DIV/0!</v>
      </c>
      <c r="AI881" s="1" t="e">
        <f t="shared" si="76"/>
        <v>#DIV/0!</v>
      </c>
      <c r="AJ881" s="4" t="e">
        <f ca="1">SQRT($B$9)*_xlfn.STDEV.S(AI881:OFFSET(AI881,$B$5-1,0))</f>
        <v>#DIV/0!</v>
      </c>
      <c r="AK881" s="4" t="e">
        <f ca="1">SQRT($B$9)*_xlfn.STDEV.S(AI881:OFFSET(AI881,$B$6-1,0))</f>
        <v>#DIV/0!</v>
      </c>
      <c r="AL881" s="4" t="e">
        <f ca="1">SQRT($B$9)*_xlfn.STDEV.S(AI881:OFFSET(AI881,$B$7-1,0))</f>
        <v>#DIV/0!</v>
      </c>
      <c r="AM881" s="4" t="e">
        <f ca="1">SQRT($B$9)*_xlfn.STDEV.S(AI881:OFFSET(AI881,$B$8-1,0))</f>
        <v>#DIV/0!</v>
      </c>
    </row>
    <row r="882" spans="5:39" x14ac:dyDescent="0.2">
      <c r="E882" s="42">
        <v>44153</v>
      </c>
      <c r="F882" s="43"/>
      <c r="G882" s="43"/>
      <c r="H882" s="43"/>
      <c r="I882" s="43"/>
      <c r="K882" s="3" t="e">
        <f t="shared" si="74"/>
        <v>#DIV/0!</v>
      </c>
      <c r="L882" s="3" t="e">
        <f ca="1">SQRT(AVERAGE(K882:OFFSET(K882,$B$5-1,0))*$B$9/(4*LN(2)))</f>
        <v>#DIV/0!</v>
      </c>
      <c r="M882" s="3" t="e">
        <f ca="1">SQRT(AVERAGE(K882:OFFSET(K882,$B$6-1,0))*$B$9/(4*LN(2)))</f>
        <v>#DIV/0!</v>
      </c>
      <c r="N882" s="3" t="e">
        <f ca="1">SQRT(AVERAGE(K882:OFFSET(K882,$B$7-1,0))*$B$9/(4*LN(2)))</f>
        <v>#DIV/0!</v>
      </c>
      <c r="O882" s="3" t="e">
        <f ca="1">SQRT(AVERAGE(K882:OFFSET(K882,$B$8-1,0))*$B$9/(4*LN(2)))</f>
        <v>#DIV/0!</v>
      </c>
      <c r="Q882" s="5" t="e">
        <f t="shared" si="73"/>
        <v>#DIV/0!</v>
      </c>
      <c r="R882" s="5" t="e">
        <f ca="1">SQRT($B$9*AVERAGE((Q882:OFFSET(Q882,$B$5-1,0))))</f>
        <v>#DIV/0!</v>
      </c>
      <c r="S882" s="5" t="e">
        <f ca="1">SQRT($B$9*AVERAGE((Q882:OFFSET(Q882,$B$6-1,0))))</f>
        <v>#DIV/0!</v>
      </c>
      <c r="T882" s="5" t="e">
        <f ca="1">SQRT($B$9*AVERAGE((Q882:OFFSET(Q882,$B$7-1,0))))</f>
        <v>#DIV/0!</v>
      </c>
      <c r="U882" s="5" t="e">
        <f ca="1">SQRT($B$9*AVERAGE((Q882:OFFSET(Q882,$B$8-1,0))))</f>
        <v>#DIV/0!</v>
      </c>
      <c r="W882" s="6" t="e">
        <f t="shared" si="77"/>
        <v>#DIV/0!</v>
      </c>
      <c r="X882" s="6" t="e">
        <f ca="1">SQRT($B$9*AVERAGE(W882:OFFSET(W882,$B$5-1,0)))</f>
        <v>#DIV/0!</v>
      </c>
      <c r="Y882" s="6" t="e">
        <f ca="1">SQRT($B$9*AVERAGE(W882:OFFSET(W882,$B$6-1,0)))</f>
        <v>#DIV/0!</v>
      </c>
      <c r="Z882" s="6" t="e">
        <f ca="1">SQRT($B$9*AVERAGE(W882:OFFSET(W882,$B$7-1,0)))</f>
        <v>#DIV/0!</v>
      </c>
      <c r="AA882" s="6" t="e">
        <f ca="1">SQRT($B$9*AVERAGE(W882:OFFSET(W882,$B$8-1,0)))</f>
        <v>#DIV/0!</v>
      </c>
      <c r="AC882" s="34" t="e">
        <f t="shared" si="75"/>
        <v>#DIV/0!</v>
      </c>
      <c r="AD882" s="34" t="e">
        <f ca="1">SQRT($B$9*SUM(AC882:OFFSET(AC882,$B$5-1,0))/($B$5-1))</f>
        <v>#DIV/0!</v>
      </c>
      <c r="AE882" s="34" t="e">
        <f ca="1">SQRT($B$9*SUM(AC882:OFFSET(AC882,$B$6-1,0))/($B$6-1))</f>
        <v>#DIV/0!</v>
      </c>
      <c r="AF882" s="34" t="e">
        <f ca="1">SQRT($B$9*SUM(AC882:OFFSET(AC882,$B$7-1,0))/($B$7-1))</f>
        <v>#DIV/0!</v>
      </c>
      <c r="AG882" s="34" t="e">
        <f ca="1">SQRT($B$9*SUM(AC882:OFFSET(AC882,$B$8-1,0))/($B$8-1))</f>
        <v>#DIV/0!</v>
      </c>
      <c r="AI882" s="1" t="e">
        <f t="shared" si="76"/>
        <v>#DIV/0!</v>
      </c>
      <c r="AJ882" s="4" t="e">
        <f ca="1">SQRT($B$9)*_xlfn.STDEV.S(AI882:OFFSET(AI882,$B$5-1,0))</f>
        <v>#DIV/0!</v>
      </c>
      <c r="AK882" s="4" t="e">
        <f ca="1">SQRT($B$9)*_xlfn.STDEV.S(AI882:OFFSET(AI882,$B$6-1,0))</f>
        <v>#DIV/0!</v>
      </c>
      <c r="AL882" s="4" t="e">
        <f ca="1">SQRT($B$9)*_xlfn.STDEV.S(AI882:OFFSET(AI882,$B$7-1,0))</f>
        <v>#DIV/0!</v>
      </c>
      <c r="AM882" s="4" t="e">
        <f ca="1">SQRT($B$9)*_xlfn.STDEV.S(AI882:OFFSET(AI882,$B$8-1,0))</f>
        <v>#DIV/0!</v>
      </c>
    </row>
    <row r="883" spans="5:39" x14ac:dyDescent="0.2">
      <c r="E883" s="42">
        <v>44152</v>
      </c>
      <c r="F883" s="43"/>
      <c r="G883" s="43"/>
      <c r="H883" s="43"/>
      <c r="I883" s="43"/>
      <c r="K883" s="3" t="e">
        <f t="shared" si="74"/>
        <v>#DIV/0!</v>
      </c>
      <c r="L883" s="3" t="e">
        <f ca="1">SQRT(AVERAGE(K883:OFFSET(K883,$B$5-1,0))*$B$9/(4*LN(2)))</f>
        <v>#DIV/0!</v>
      </c>
      <c r="M883" s="3" t="e">
        <f ca="1">SQRT(AVERAGE(K883:OFFSET(K883,$B$6-1,0))*$B$9/(4*LN(2)))</f>
        <v>#DIV/0!</v>
      </c>
      <c r="N883" s="3" t="e">
        <f ca="1">SQRT(AVERAGE(K883:OFFSET(K883,$B$7-1,0))*$B$9/(4*LN(2)))</f>
        <v>#DIV/0!</v>
      </c>
      <c r="O883" s="3" t="e">
        <f ca="1">SQRT(AVERAGE(K883:OFFSET(K883,$B$8-1,0))*$B$9/(4*LN(2)))</f>
        <v>#DIV/0!</v>
      </c>
      <c r="Q883" s="5" t="e">
        <f t="shared" si="73"/>
        <v>#DIV/0!</v>
      </c>
      <c r="R883" s="5" t="e">
        <f ca="1">SQRT($B$9*AVERAGE((Q883:OFFSET(Q883,$B$5-1,0))))</f>
        <v>#DIV/0!</v>
      </c>
      <c r="S883" s="5" t="e">
        <f ca="1">SQRT($B$9*AVERAGE((Q883:OFFSET(Q883,$B$6-1,0))))</f>
        <v>#DIV/0!</v>
      </c>
      <c r="T883" s="5" t="e">
        <f ca="1">SQRT($B$9*AVERAGE((Q883:OFFSET(Q883,$B$7-1,0))))</f>
        <v>#DIV/0!</v>
      </c>
      <c r="U883" s="5" t="e">
        <f ca="1">SQRT($B$9*AVERAGE((Q883:OFFSET(Q883,$B$8-1,0))))</f>
        <v>#DIV/0!</v>
      </c>
      <c r="W883" s="6" t="e">
        <f t="shared" si="77"/>
        <v>#DIV/0!</v>
      </c>
      <c r="X883" s="6" t="e">
        <f ca="1">SQRT($B$9*AVERAGE(W883:OFFSET(W883,$B$5-1,0)))</f>
        <v>#DIV/0!</v>
      </c>
      <c r="Y883" s="6" t="e">
        <f ca="1">SQRT($B$9*AVERAGE(W883:OFFSET(W883,$B$6-1,0)))</f>
        <v>#DIV/0!</v>
      </c>
      <c r="Z883" s="6" t="e">
        <f ca="1">SQRT($B$9*AVERAGE(W883:OFFSET(W883,$B$7-1,0)))</f>
        <v>#DIV/0!</v>
      </c>
      <c r="AA883" s="6" t="e">
        <f ca="1">SQRT($B$9*AVERAGE(W883:OFFSET(W883,$B$8-1,0)))</f>
        <v>#DIV/0!</v>
      </c>
      <c r="AC883" s="34" t="e">
        <f t="shared" si="75"/>
        <v>#DIV/0!</v>
      </c>
      <c r="AD883" s="34" t="e">
        <f ca="1">SQRT($B$9*SUM(AC883:OFFSET(AC883,$B$5-1,0))/($B$5-1))</f>
        <v>#DIV/0!</v>
      </c>
      <c r="AE883" s="34" t="e">
        <f ca="1">SQRT($B$9*SUM(AC883:OFFSET(AC883,$B$6-1,0))/($B$6-1))</f>
        <v>#DIV/0!</v>
      </c>
      <c r="AF883" s="34" t="e">
        <f ca="1">SQRT($B$9*SUM(AC883:OFFSET(AC883,$B$7-1,0))/($B$7-1))</f>
        <v>#DIV/0!</v>
      </c>
      <c r="AG883" s="34" t="e">
        <f ca="1">SQRT($B$9*SUM(AC883:OFFSET(AC883,$B$8-1,0))/($B$8-1))</f>
        <v>#DIV/0!</v>
      </c>
      <c r="AI883" s="1" t="e">
        <f t="shared" si="76"/>
        <v>#DIV/0!</v>
      </c>
      <c r="AJ883" s="4" t="e">
        <f ca="1">SQRT($B$9)*_xlfn.STDEV.S(AI883:OFFSET(AI883,$B$5-1,0))</f>
        <v>#DIV/0!</v>
      </c>
      <c r="AK883" s="4" t="e">
        <f ca="1">SQRT($B$9)*_xlfn.STDEV.S(AI883:OFFSET(AI883,$B$6-1,0))</f>
        <v>#DIV/0!</v>
      </c>
      <c r="AL883" s="4" t="e">
        <f ca="1">SQRT($B$9)*_xlfn.STDEV.S(AI883:OFFSET(AI883,$B$7-1,0))</f>
        <v>#DIV/0!</v>
      </c>
      <c r="AM883" s="4" t="e">
        <f ca="1">SQRT($B$9)*_xlfn.STDEV.S(AI883:OFFSET(AI883,$B$8-1,0))</f>
        <v>#DIV/0!</v>
      </c>
    </row>
    <row r="884" spans="5:39" x14ac:dyDescent="0.2">
      <c r="E884" s="42">
        <v>44151</v>
      </c>
      <c r="F884" s="43"/>
      <c r="G884" s="43"/>
      <c r="H884" s="43"/>
      <c r="I884" s="43"/>
      <c r="K884" s="3" t="e">
        <f t="shared" si="74"/>
        <v>#DIV/0!</v>
      </c>
      <c r="L884" s="3" t="e">
        <f ca="1">SQRT(AVERAGE(K884:OFFSET(K884,$B$5-1,0))*$B$9/(4*LN(2)))</f>
        <v>#DIV/0!</v>
      </c>
      <c r="M884" s="3" t="e">
        <f ca="1">SQRT(AVERAGE(K884:OFFSET(K884,$B$6-1,0))*$B$9/(4*LN(2)))</f>
        <v>#DIV/0!</v>
      </c>
      <c r="N884" s="3" t="e">
        <f ca="1">SQRT(AVERAGE(K884:OFFSET(K884,$B$7-1,0))*$B$9/(4*LN(2)))</f>
        <v>#DIV/0!</v>
      </c>
      <c r="O884" s="3" t="e">
        <f ca="1">SQRT(AVERAGE(K884:OFFSET(K884,$B$8-1,0))*$B$9/(4*LN(2)))</f>
        <v>#DIV/0!</v>
      </c>
      <c r="Q884" s="5" t="e">
        <f t="shared" si="73"/>
        <v>#DIV/0!</v>
      </c>
      <c r="R884" s="5" t="e">
        <f ca="1">SQRT($B$9*AVERAGE((Q884:OFFSET(Q884,$B$5-1,0))))</f>
        <v>#DIV/0!</v>
      </c>
      <c r="S884" s="5" t="e">
        <f ca="1">SQRT($B$9*AVERAGE((Q884:OFFSET(Q884,$B$6-1,0))))</f>
        <v>#DIV/0!</v>
      </c>
      <c r="T884" s="5" t="e">
        <f ca="1">SQRT($B$9*AVERAGE((Q884:OFFSET(Q884,$B$7-1,0))))</f>
        <v>#DIV/0!</v>
      </c>
      <c r="U884" s="5" t="e">
        <f ca="1">SQRT($B$9*AVERAGE((Q884:OFFSET(Q884,$B$8-1,0))))</f>
        <v>#DIV/0!</v>
      </c>
      <c r="W884" s="6" t="e">
        <f t="shared" si="77"/>
        <v>#DIV/0!</v>
      </c>
      <c r="X884" s="6" t="e">
        <f ca="1">SQRT($B$9*AVERAGE(W884:OFFSET(W884,$B$5-1,0)))</f>
        <v>#DIV/0!</v>
      </c>
      <c r="Y884" s="6" t="e">
        <f ca="1">SQRT($B$9*AVERAGE(W884:OFFSET(W884,$B$6-1,0)))</f>
        <v>#DIV/0!</v>
      </c>
      <c r="Z884" s="6" t="e">
        <f ca="1">SQRT($B$9*AVERAGE(W884:OFFSET(W884,$B$7-1,0)))</f>
        <v>#DIV/0!</v>
      </c>
      <c r="AA884" s="6" t="e">
        <f ca="1">SQRT($B$9*AVERAGE(W884:OFFSET(W884,$B$8-1,0)))</f>
        <v>#DIV/0!</v>
      </c>
      <c r="AC884" s="34" t="e">
        <f t="shared" si="75"/>
        <v>#DIV/0!</v>
      </c>
      <c r="AD884" s="34" t="e">
        <f ca="1">SQRT($B$9*SUM(AC884:OFFSET(AC884,$B$5-1,0))/($B$5-1))</f>
        <v>#DIV/0!</v>
      </c>
      <c r="AE884" s="34" t="e">
        <f ca="1">SQRT($B$9*SUM(AC884:OFFSET(AC884,$B$6-1,0))/($B$6-1))</f>
        <v>#DIV/0!</v>
      </c>
      <c r="AF884" s="34" t="e">
        <f ca="1">SQRT($B$9*SUM(AC884:OFFSET(AC884,$B$7-1,0))/($B$7-1))</f>
        <v>#DIV/0!</v>
      </c>
      <c r="AG884" s="34" t="e">
        <f ca="1">SQRT($B$9*SUM(AC884:OFFSET(AC884,$B$8-1,0))/($B$8-1))</f>
        <v>#DIV/0!</v>
      </c>
      <c r="AI884" s="1" t="e">
        <f t="shared" si="76"/>
        <v>#DIV/0!</v>
      </c>
      <c r="AJ884" s="4" t="e">
        <f ca="1">SQRT($B$9)*_xlfn.STDEV.S(AI884:OFFSET(AI884,$B$5-1,0))</f>
        <v>#DIV/0!</v>
      </c>
      <c r="AK884" s="4" t="e">
        <f ca="1">SQRT($B$9)*_xlfn.STDEV.S(AI884:OFFSET(AI884,$B$6-1,0))</f>
        <v>#DIV/0!</v>
      </c>
      <c r="AL884" s="4" t="e">
        <f ca="1">SQRT($B$9)*_xlfn.STDEV.S(AI884:OFFSET(AI884,$B$7-1,0))</f>
        <v>#DIV/0!</v>
      </c>
      <c r="AM884" s="4" t="e">
        <f ca="1">SQRT($B$9)*_xlfn.STDEV.S(AI884:OFFSET(AI884,$B$8-1,0))</f>
        <v>#DIV/0!</v>
      </c>
    </row>
    <row r="885" spans="5:39" x14ac:dyDescent="0.2">
      <c r="E885" s="42">
        <v>44148</v>
      </c>
      <c r="F885" s="43"/>
      <c r="G885" s="43"/>
      <c r="H885" s="43"/>
      <c r="I885" s="43"/>
      <c r="K885" s="3" t="e">
        <f t="shared" si="74"/>
        <v>#DIV/0!</v>
      </c>
      <c r="L885" s="3" t="e">
        <f ca="1">SQRT(AVERAGE(K885:OFFSET(K885,$B$5-1,0))*$B$9/(4*LN(2)))</f>
        <v>#DIV/0!</v>
      </c>
      <c r="M885" s="3" t="e">
        <f ca="1">SQRT(AVERAGE(K885:OFFSET(K885,$B$6-1,0))*$B$9/(4*LN(2)))</f>
        <v>#DIV/0!</v>
      </c>
      <c r="N885" s="3" t="e">
        <f ca="1">SQRT(AVERAGE(K885:OFFSET(K885,$B$7-1,0))*$B$9/(4*LN(2)))</f>
        <v>#DIV/0!</v>
      </c>
      <c r="O885" s="3" t="e">
        <f ca="1">SQRT(AVERAGE(K885:OFFSET(K885,$B$8-1,0))*$B$9/(4*LN(2)))</f>
        <v>#DIV/0!</v>
      </c>
      <c r="Q885" s="5" t="e">
        <f t="shared" si="73"/>
        <v>#DIV/0!</v>
      </c>
      <c r="R885" s="5" t="e">
        <f ca="1">SQRT($B$9*AVERAGE((Q885:OFFSET(Q885,$B$5-1,0))))</f>
        <v>#DIV/0!</v>
      </c>
      <c r="S885" s="5" t="e">
        <f ca="1">SQRT($B$9*AVERAGE((Q885:OFFSET(Q885,$B$6-1,0))))</f>
        <v>#DIV/0!</v>
      </c>
      <c r="T885" s="5" t="e">
        <f ca="1">SQRT($B$9*AVERAGE((Q885:OFFSET(Q885,$B$7-1,0))))</f>
        <v>#DIV/0!</v>
      </c>
      <c r="U885" s="5" t="e">
        <f ca="1">SQRT($B$9*AVERAGE((Q885:OFFSET(Q885,$B$8-1,0))))</f>
        <v>#DIV/0!</v>
      </c>
      <c r="W885" s="6" t="e">
        <f t="shared" si="77"/>
        <v>#DIV/0!</v>
      </c>
      <c r="X885" s="6" t="e">
        <f ca="1">SQRT($B$9*AVERAGE(W885:OFFSET(W885,$B$5-1,0)))</f>
        <v>#DIV/0!</v>
      </c>
      <c r="Y885" s="6" t="e">
        <f ca="1">SQRT($B$9*AVERAGE(W885:OFFSET(W885,$B$6-1,0)))</f>
        <v>#DIV/0!</v>
      </c>
      <c r="Z885" s="6" t="e">
        <f ca="1">SQRT($B$9*AVERAGE(W885:OFFSET(W885,$B$7-1,0)))</f>
        <v>#DIV/0!</v>
      </c>
      <c r="AA885" s="6" t="e">
        <f ca="1">SQRT($B$9*AVERAGE(W885:OFFSET(W885,$B$8-1,0)))</f>
        <v>#DIV/0!</v>
      </c>
      <c r="AC885" s="34" t="e">
        <f t="shared" si="75"/>
        <v>#DIV/0!</v>
      </c>
      <c r="AD885" s="34" t="e">
        <f ca="1">SQRT($B$9*SUM(AC885:OFFSET(AC885,$B$5-1,0))/($B$5-1))</f>
        <v>#DIV/0!</v>
      </c>
      <c r="AE885" s="34" t="e">
        <f ca="1">SQRT($B$9*SUM(AC885:OFFSET(AC885,$B$6-1,0))/($B$6-1))</f>
        <v>#DIV/0!</v>
      </c>
      <c r="AF885" s="34" t="e">
        <f ca="1">SQRT($B$9*SUM(AC885:OFFSET(AC885,$B$7-1,0))/($B$7-1))</f>
        <v>#DIV/0!</v>
      </c>
      <c r="AG885" s="34" t="e">
        <f ca="1">SQRT($B$9*SUM(AC885:OFFSET(AC885,$B$8-1,0))/($B$8-1))</f>
        <v>#DIV/0!</v>
      </c>
      <c r="AI885" s="1" t="e">
        <f t="shared" si="76"/>
        <v>#DIV/0!</v>
      </c>
      <c r="AJ885" s="4" t="e">
        <f ca="1">SQRT($B$9)*_xlfn.STDEV.S(AI885:OFFSET(AI885,$B$5-1,0))</f>
        <v>#DIV/0!</v>
      </c>
      <c r="AK885" s="4" t="e">
        <f ca="1">SQRT($B$9)*_xlfn.STDEV.S(AI885:OFFSET(AI885,$B$6-1,0))</f>
        <v>#DIV/0!</v>
      </c>
      <c r="AL885" s="4" t="e">
        <f ca="1">SQRT($B$9)*_xlfn.STDEV.S(AI885:OFFSET(AI885,$B$7-1,0))</f>
        <v>#DIV/0!</v>
      </c>
      <c r="AM885" s="4" t="e">
        <f ca="1">SQRT($B$9)*_xlfn.STDEV.S(AI885:OFFSET(AI885,$B$8-1,0))</f>
        <v>#DIV/0!</v>
      </c>
    </row>
    <row r="886" spans="5:39" x14ac:dyDescent="0.2">
      <c r="E886" s="42">
        <v>44147</v>
      </c>
      <c r="F886" s="43"/>
      <c r="G886" s="43"/>
      <c r="H886" s="43"/>
      <c r="I886" s="43"/>
      <c r="K886" s="3" t="e">
        <f t="shared" si="74"/>
        <v>#DIV/0!</v>
      </c>
      <c r="L886" s="3" t="e">
        <f ca="1">SQRT(AVERAGE(K886:OFFSET(K886,$B$5-1,0))*$B$9/(4*LN(2)))</f>
        <v>#DIV/0!</v>
      </c>
      <c r="M886" s="3" t="e">
        <f ca="1">SQRT(AVERAGE(K886:OFFSET(K886,$B$6-1,0))*$B$9/(4*LN(2)))</f>
        <v>#DIV/0!</v>
      </c>
      <c r="N886" s="3" t="e">
        <f ca="1">SQRT(AVERAGE(K886:OFFSET(K886,$B$7-1,0))*$B$9/(4*LN(2)))</f>
        <v>#DIV/0!</v>
      </c>
      <c r="O886" s="3" t="e">
        <f ca="1">SQRT(AVERAGE(K886:OFFSET(K886,$B$8-1,0))*$B$9/(4*LN(2)))</f>
        <v>#DIV/0!</v>
      </c>
      <c r="Q886" s="5" t="e">
        <f t="shared" si="73"/>
        <v>#DIV/0!</v>
      </c>
      <c r="R886" s="5" t="e">
        <f ca="1">SQRT($B$9*AVERAGE((Q886:OFFSET(Q886,$B$5-1,0))))</f>
        <v>#DIV/0!</v>
      </c>
      <c r="S886" s="5" t="e">
        <f ca="1">SQRT($B$9*AVERAGE((Q886:OFFSET(Q886,$B$6-1,0))))</f>
        <v>#DIV/0!</v>
      </c>
      <c r="T886" s="5" t="e">
        <f ca="1">SQRT($B$9*AVERAGE((Q886:OFFSET(Q886,$B$7-1,0))))</f>
        <v>#DIV/0!</v>
      </c>
      <c r="U886" s="5" t="e">
        <f ca="1">SQRT($B$9*AVERAGE((Q886:OFFSET(Q886,$B$8-1,0))))</f>
        <v>#DIV/0!</v>
      </c>
      <c r="W886" s="6" t="e">
        <f t="shared" si="77"/>
        <v>#DIV/0!</v>
      </c>
      <c r="X886" s="6" t="e">
        <f ca="1">SQRT($B$9*AVERAGE(W886:OFFSET(W886,$B$5-1,0)))</f>
        <v>#DIV/0!</v>
      </c>
      <c r="Y886" s="6" t="e">
        <f ca="1">SQRT($B$9*AVERAGE(W886:OFFSET(W886,$B$6-1,0)))</f>
        <v>#DIV/0!</v>
      </c>
      <c r="Z886" s="6" t="e">
        <f ca="1">SQRT($B$9*AVERAGE(W886:OFFSET(W886,$B$7-1,0)))</f>
        <v>#DIV/0!</v>
      </c>
      <c r="AA886" s="6" t="e">
        <f ca="1">SQRT($B$9*AVERAGE(W886:OFFSET(W886,$B$8-1,0)))</f>
        <v>#DIV/0!</v>
      </c>
      <c r="AC886" s="34" t="e">
        <f t="shared" si="75"/>
        <v>#DIV/0!</v>
      </c>
      <c r="AD886" s="34" t="e">
        <f ca="1">SQRT($B$9*SUM(AC886:OFFSET(AC886,$B$5-1,0))/($B$5-1))</f>
        <v>#DIV/0!</v>
      </c>
      <c r="AE886" s="34" t="e">
        <f ca="1">SQRT($B$9*SUM(AC886:OFFSET(AC886,$B$6-1,0))/($B$6-1))</f>
        <v>#DIV/0!</v>
      </c>
      <c r="AF886" s="34" t="e">
        <f ca="1">SQRT($B$9*SUM(AC886:OFFSET(AC886,$B$7-1,0))/($B$7-1))</f>
        <v>#DIV/0!</v>
      </c>
      <c r="AG886" s="34" t="e">
        <f ca="1">SQRT($B$9*SUM(AC886:OFFSET(AC886,$B$8-1,0))/($B$8-1))</f>
        <v>#DIV/0!</v>
      </c>
      <c r="AI886" s="1" t="e">
        <f t="shared" si="76"/>
        <v>#DIV/0!</v>
      </c>
      <c r="AJ886" s="4" t="e">
        <f ca="1">SQRT($B$9)*_xlfn.STDEV.S(AI886:OFFSET(AI886,$B$5-1,0))</f>
        <v>#DIV/0!</v>
      </c>
      <c r="AK886" s="4" t="e">
        <f ca="1">SQRT($B$9)*_xlfn.STDEV.S(AI886:OFFSET(AI886,$B$6-1,0))</f>
        <v>#DIV/0!</v>
      </c>
      <c r="AL886" s="4" t="e">
        <f ca="1">SQRT($B$9)*_xlfn.STDEV.S(AI886:OFFSET(AI886,$B$7-1,0))</f>
        <v>#DIV/0!</v>
      </c>
      <c r="AM886" s="4" t="e">
        <f ca="1">SQRT($B$9)*_xlfn.STDEV.S(AI886:OFFSET(AI886,$B$8-1,0))</f>
        <v>#DIV/0!</v>
      </c>
    </row>
    <row r="887" spans="5:39" x14ac:dyDescent="0.2">
      <c r="E887" s="42">
        <v>44146</v>
      </c>
      <c r="F887" s="43"/>
      <c r="G887" s="43"/>
      <c r="H887" s="43"/>
      <c r="I887" s="43"/>
      <c r="K887" s="3" t="e">
        <f t="shared" si="74"/>
        <v>#DIV/0!</v>
      </c>
      <c r="L887" s="3" t="e">
        <f ca="1">SQRT(AVERAGE(K887:OFFSET(K887,$B$5-1,0))*$B$9/(4*LN(2)))</f>
        <v>#DIV/0!</v>
      </c>
      <c r="M887" s="3" t="e">
        <f ca="1">SQRT(AVERAGE(K887:OFFSET(K887,$B$6-1,0))*$B$9/(4*LN(2)))</f>
        <v>#DIV/0!</v>
      </c>
      <c r="N887" s="3" t="e">
        <f ca="1">SQRT(AVERAGE(K887:OFFSET(K887,$B$7-1,0))*$B$9/(4*LN(2)))</f>
        <v>#DIV/0!</v>
      </c>
      <c r="O887" s="3" t="e">
        <f ca="1">SQRT(AVERAGE(K887:OFFSET(K887,$B$8-1,0))*$B$9/(4*LN(2)))</f>
        <v>#DIV/0!</v>
      </c>
      <c r="Q887" s="5" t="e">
        <f t="shared" si="73"/>
        <v>#DIV/0!</v>
      </c>
      <c r="R887" s="5" t="e">
        <f ca="1">SQRT($B$9*AVERAGE((Q887:OFFSET(Q887,$B$5-1,0))))</f>
        <v>#DIV/0!</v>
      </c>
      <c r="S887" s="5" t="e">
        <f ca="1">SQRT($B$9*AVERAGE((Q887:OFFSET(Q887,$B$6-1,0))))</f>
        <v>#DIV/0!</v>
      </c>
      <c r="T887" s="5" t="e">
        <f ca="1">SQRT($B$9*AVERAGE((Q887:OFFSET(Q887,$B$7-1,0))))</f>
        <v>#DIV/0!</v>
      </c>
      <c r="U887" s="5" t="e">
        <f ca="1">SQRT($B$9*AVERAGE((Q887:OFFSET(Q887,$B$8-1,0))))</f>
        <v>#DIV/0!</v>
      </c>
      <c r="W887" s="6" t="e">
        <f t="shared" si="77"/>
        <v>#DIV/0!</v>
      </c>
      <c r="X887" s="6" t="e">
        <f ca="1">SQRT($B$9*AVERAGE(W887:OFFSET(W887,$B$5-1,0)))</f>
        <v>#DIV/0!</v>
      </c>
      <c r="Y887" s="6" t="e">
        <f ca="1">SQRT($B$9*AVERAGE(W887:OFFSET(W887,$B$6-1,0)))</f>
        <v>#DIV/0!</v>
      </c>
      <c r="Z887" s="6" t="e">
        <f ca="1">SQRT($B$9*AVERAGE(W887:OFFSET(W887,$B$7-1,0)))</f>
        <v>#DIV/0!</v>
      </c>
      <c r="AA887" s="6" t="e">
        <f ca="1">SQRT($B$9*AVERAGE(W887:OFFSET(W887,$B$8-1,0)))</f>
        <v>#DIV/0!</v>
      </c>
      <c r="AC887" s="34" t="e">
        <f t="shared" si="75"/>
        <v>#DIV/0!</v>
      </c>
      <c r="AD887" s="34" t="e">
        <f ca="1">SQRT($B$9*SUM(AC887:OFFSET(AC887,$B$5-1,0))/($B$5-1))</f>
        <v>#DIV/0!</v>
      </c>
      <c r="AE887" s="34" t="e">
        <f ca="1">SQRT($B$9*SUM(AC887:OFFSET(AC887,$B$6-1,0))/($B$6-1))</f>
        <v>#DIV/0!</v>
      </c>
      <c r="AF887" s="34" t="e">
        <f ca="1">SQRT($B$9*SUM(AC887:OFFSET(AC887,$B$7-1,0))/($B$7-1))</f>
        <v>#DIV/0!</v>
      </c>
      <c r="AG887" s="34" t="e">
        <f ca="1">SQRT($B$9*SUM(AC887:OFFSET(AC887,$B$8-1,0))/($B$8-1))</f>
        <v>#DIV/0!</v>
      </c>
      <c r="AI887" s="1" t="e">
        <f t="shared" si="76"/>
        <v>#DIV/0!</v>
      </c>
      <c r="AJ887" s="4" t="e">
        <f ca="1">SQRT($B$9)*_xlfn.STDEV.S(AI887:OFFSET(AI887,$B$5-1,0))</f>
        <v>#DIV/0!</v>
      </c>
      <c r="AK887" s="4" t="e">
        <f ca="1">SQRT($B$9)*_xlfn.STDEV.S(AI887:OFFSET(AI887,$B$6-1,0))</f>
        <v>#DIV/0!</v>
      </c>
      <c r="AL887" s="4" t="e">
        <f ca="1">SQRT($B$9)*_xlfn.STDEV.S(AI887:OFFSET(AI887,$B$7-1,0))</f>
        <v>#DIV/0!</v>
      </c>
      <c r="AM887" s="4" t="e">
        <f ca="1">SQRT($B$9)*_xlfn.STDEV.S(AI887:OFFSET(AI887,$B$8-1,0))</f>
        <v>#DIV/0!</v>
      </c>
    </row>
    <row r="888" spans="5:39" x14ac:dyDescent="0.2">
      <c r="E888" s="42">
        <v>44145</v>
      </c>
      <c r="F888" s="43"/>
      <c r="G888" s="43"/>
      <c r="H888" s="43"/>
      <c r="I888" s="43"/>
      <c r="K888" s="3" t="e">
        <f t="shared" si="74"/>
        <v>#DIV/0!</v>
      </c>
      <c r="L888" s="3" t="e">
        <f ca="1">SQRT(AVERAGE(K888:OFFSET(K888,$B$5-1,0))*$B$9/(4*LN(2)))</f>
        <v>#DIV/0!</v>
      </c>
      <c r="M888" s="3" t="e">
        <f ca="1">SQRT(AVERAGE(K888:OFFSET(K888,$B$6-1,0))*$B$9/(4*LN(2)))</f>
        <v>#DIV/0!</v>
      </c>
      <c r="N888" s="3" t="e">
        <f ca="1">SQRT(AVERAGE(K888:OFFSET(K888,$B$7-1,0))*$B$9/(4*LN(2)))</f>
        <v>#DIV/0!</v>
      </c>
      <c r="O888" s="3" t="e">
        <f ca="1">SQRT(AVERAGE(K888:OFFSET(K888,$B$8-1,0))*$B$9/(4*LN(2)))</f>
        <v>#DIV/0!</v>
      </c>
      <c r="Q888" s="5" t="e">
        <f t="shared" si="73"/>
        <v>#DIV/0!</v>
      </c>
      <c r="R888" s="5" t="e">
        <f ca="1">SQRT($B$9*AVERAGE((Q888:OFFSET(Q888,$B$5-1,0))))</f>
        <v>#DIV/0!</v>
      </c>
      <c r="S888" s="5" t="e">
        <f ca="1">SQRT($B$9*AVERAGE((Q888:OFFSET(Q888,$B$6-1,0))))</f>
        <v>#DIV/0!</v>
      </c>
      <c r="T888" s="5" t="e">
        <f ca="1">SQRT($B$9*AVERAGE((Q888:OFFSET(Q888,$B$7-1,0))))</f>
        <v>#DIV/0!</v>
      </c>
      <c r="U888" s="5" t="e">
        <f ca="1">SQRT($B$9*AVERAGE((Q888:OFFSET(Q888,$B$8-1,0))))</f>
        <v>#DIV/0!</v>
      </c>
      <c r="W888" s="6" t="e">
        <f t="shared" si="77"/>
        <v>#DIV/0!</v>
      </c>
      <c r="X888" s="6" t="e">
        <f ca="1">SQRT($B$9*AVERAGE(W888:OFFSET(W888,$B$5-1,0)))</f>
        <v>#DIV/0!</v>
      </c>
      <c r="Y888" s="6" t="e">
        <f ca="1">SQRT($B$9*AVERAGE(W888:OFFSET(W888,$B$6-1,0)))</f>
        <v>#DIV/0!</v>
      </c>
      <c r="Z888" s="6" t="e">
        <f ca="1">SQRT($B$9*AVERAGE(W888:OFFSET(W888,$B$7-1,0)))</f>
        <v>#DIV/0!</v>
      </c>
      <c r="AA888" s="6" t="e">
        <f ca="1">SQRT($B$9*AVERAGE(W888:OFFSET(W888,$B$8-1,0)))</f>
        <v>#DIV/0!</v>
      </c>
      <c r="AC888" s="34" t="e">
        <f t="shared" si="75"/>
        <v>#DIV/0!</v>
      </c>
      <c r="AD888" s="34" t="e">
        <f ca="1">SQRT($B$9*SUM(AC888:OFFSET(AC888,$B$5-1,0))/($B$5-1))</f>
        <v>#DIV/0!</v>
      </c>
      <c r="AE888" s="34" t="e">
        <f ca="1">SQRT($B$9*SUM(AC888:OFFSET(AC888,$B$6-1,0))/($B$6-1))</f>
        <v>#DIV/0!</v>
      </c>
      <c r="AF888" s="34" t="e">
        <f ca="1">SQRT($B$9*SUM(AC888:OFFSET(AC888,$B$7-1,0))/($B$7-1))</f>
        <v>#DIV/0!</v>
      </c>
      <c r="AG888" s="34" t="e">
        <f ca="1">SQRT($B$9*SUM(AC888:OFFSET(AC888,$B$8-1,0))/($B$8-1))</f>
        <v>#DIV/0!</v>
      </c>
      <c r="AI888" s="1" t="e">
        <f t="shared" si="76"/>
        <v>#DIV/0!</v>
      </c>
      <c r="AJ888" s="4" t="e">
        <f ca="1">SQRT($B$9)*_xlfn.STDEV.S(AI888:OFFSET(AI888,$B$5-1,0))</f>
        <v>#DIV/0!</v>
      </c>
      <c r="AK888" s="4" t="e">
        <f ca="1">SQRT($B$9)*_xlfn.STDEV.S(AI888:OFFSET(AI888,$B$6-1,0))</f>
        <v>#DIV/0!</v>
      </c>
      <c r="AL888" s="4" t="e">
        <f ca="1">SQRT($B$9)*_xlfn.STDEV.S(AI888:OFFSET(AI888,$B$7-1,0))</f>
        <v>#DIV/0!</v>
      </c>
      <c r="AM888" s="4" t="e">
        <f ca="1">SQRT($B$9)*_xlfn.STDEV.S(AI888:OFFSET(AI888,$B$8-1,0))</f>
        <v>#DIV/0!</v>
      </c>
    </row>
    <row r="889" spans="5:39" x14ac:dyDescent="0.2">
      <c r="E889" s="42">
        <v>44144</v>
      </c>
      <c r="F889" s="43"/>
      <c r="G889" s="43"/>
      <c r="H889" s="43"/>
      <c r="I889" s="43"/>
      <c r="K889" s="3" t="e">
        <f t="shared" si="74"/>
        <v>#DIV/0!</v>
      </c>
      <c r="L889" s="3" t="e">
        <f ca="1">SQRT(AVERAGE(K889:OFFSET(K889,$B$5-1,0))*$B$9/(4*LN(2)))</f>
        <v>#DIV/0!</v>
      </c>
      <c r="M889" s="3" t="e">
        <f ca="1">SQRT(AVERAGE(K889:OFFSET(K889,$B$6-1,0))*$B$9/(4*LN(2)))</f>
        <v>#DIV/0!</v>
      </c>
      <c r="N889" s="3" t="e">
        <f ca="1">SQRT(AVERAGE(K889:OFFSET(K889,$B$7-1,0))*$B$9/(4*LN(2)))</f>
        <v>#DIV/0!</v>
      </c>
      <c r="O889" s="3" t="e">
        <f ca="1">SQRT(AVERAGE(K889:OFFSET(K889,$B$8-1,0))*$B$9/(4*LN(2)))</f>
        <v>#DIV/0!</v>
      </c>
      <c r="Q889" s="5" t="e">
        <f t="shared" si="73"/>
        <v>#DIV/0!</v>
      </c>
      <c r="R889" s="5" t="e">
        <f ca="1">SQRT($B$9*AVERAGE((Q889:OFFSET(Q889,$B$5-1,0))))</f>
        <v>#DIV/0!</v>
      </c>
      <c r="S889" s="5" t="e">
        <f ca="1">SQRT($B$9*AVERAGE((Q889:OFFSET(Q889,$B$6-1,0))))</f>
        <v>#DIV/0!</v>
      </c>
      <c r="T889" s="5" t="e">
        <f ca="1">SQRT($B$9*AVERAGE((Q889:OFFSET(Q889,$B$7-1,0))))</f>
        <v>#DIV/0!</v>
      </c>
      <c r="U889" s="5" t="e">
        <f ca="1">SQRT($B$9*AVERAGE((Q889:OFFSET(Q889,$B$8-1,0))))</f>
        <v>#DIV/0!</v>
      </c>
      <c r="W889" s="6" t="e">
        <f t="shared" si="77"/>
        <v>#DIV/0!</v>
      </c>
      <c r="X889" s="6" t="e">
        <f ca="1">SQRT($B$9*AVERAGE(W889:OFFSET(W889,$B$5-1,0)))</f>
        <v>#DIV/0!</v>
      </c>
      <c r="Y889" s="6" t="e">
        <f ca="1">SQRT($B$9*AVERAGE(W889:OFFSET(W889,$B$6-1,0)))</f>
        <v>#DIV/0!</v>
      </c>
      <c r="Z889" s="6" t="e">
        <f ca="1">SQRT($B$9*AVERAGE(W889:OFFSET(W889,$B$7-1,0)))</f>
        <v>#DIV/0!</v>
      </c>
      <c r="AA889" s="6" t="e">
        <f ca="1">SQRT($B$9*AVERAGE(W889:OFFSET(W889,$B$8-1,0)))</f>
        <v>#DIV/0!</v>
      </c>
      <c r="AC889" s="34" t="e">
        <f t="shared" si="75"/>
        <v>#DIV/0!</v>
      </c>
      <c r="AD889" s="34" t="e">
        <f ca="1">SQRT($B$9*SUM(AC889:OFFSET(AC889,$B$5-1,0))/($B$5-1))</f>
        <v>#DIV/0!</v>
      </c>
      <c r="AE889" s="34" t="e">
        <f ca="1">SQRT($B$9*SUM(AC889:OFFSET(AC889,$B$6-1,0))/($B$6-1))</f>
        <v>#DIV/0!</v>
      </c>
      <c r="AF889" s="34" t="e">
        <f ca="1">SQRT($B$9*SUM(AC889:OFFSET(AC889,$B$7-1,0))/($B$7-1))</f>
        <v>#DIV/0!</v>
      </c>
      <c r="AG889" s="34" t="e">
        <f ca="1">SQRT($B$9*SUM(AC889:OFFSET(AC889,$B$8-1,0))/($B$8-1))</f>
        <v>#DIV/0!</v>
      </c>
      <c r="AI889" s="1" t="e">
        <f t="shared" si="76"/>
        <v>#DIV/0!</v>
      </c>
      <c r="AJ889" s="4" t="e">
        <f ca="1">SQRT($B$9)*_xlfn.STDEV.S(AI889:OFFSET(AI889,$B$5-1,0))</f>
        <v>#DIV/0!</v>
      </c>
      <c r="AK889" s="4" t="e">
        <f ca="1">SQRT($B$9)*_xlfn.STDEV.S(AI889:OFFSET(AI889,$B$6-1,0))</f>
        <v>#DIV/0!</v>
      </c>
      <c r="AL889" s="4" t="e">
        <f ca="1">SQRT($B$9)*_xlfn.STDEV.S(AI889:OFFSET(AI889,$B$7-1,0))</f>
        <v>#DIV/0!</v>
      </c>
      <c r="AM889" s="4" t="e">
        <f ca="1">SQRT($B$9)*_xlfn.STDEV.S(AI889:OFFSET(AI889,$B$8-1,0))</f>
        <v>#DIV/0!</v>
      </c>
    </row>
    <row r="890" spans="5:39" x14ac:dyDescent="0.2">
      <c r="E890" s="42">
        <v>44141</v>
      </c>
      <c r="F890" s="43"/>
      <c r="G890" s="43"/>
      <c r="H890" s="43"/>
      <c r="I890" s="43"/>
      <c r="K890" s="3" t="e">
        <f t="shared" si="74"/>
        <v>#DIV/0!</v>
      </c>
      <c r="L890" s="3" t="e">
        <f ca="1">SQRT(AVERAGE(K890:OFFSET(K890,$B$5-1,0))*$B$9/(4*LN(2)))</f>
        <v>#DIV/0!</v>
      </c>
      <c r="M890" s="3" t="e">
        <f ca="1">SQRT(AVERAGE(K890:OFFSET(K890,$B$6-1,0))*$B$9/(4*LN(2)))</f>
        <v>#DIV/0!</v>
      </c>
      <c r="N890" s="3" t="e">
        <f ca="1">SQRT(AVERAGE(K890:OFFSET(K890,$B$7-1,0))*$B$9/(4*LN(2)))</f>
        <v>#DIV/0!</v>
      </c>
      <c r="O890" s="3" t="e">
        <f ca="1">SQRT(AVERAGE(K890:OFFSET(K890,$B$8-1,0))*$B$9/(4*LN(2)))</f>
        <v>#DIV/0!</v>
      </c>
      <c r="Q890" s="5" t="e">
        <f t="shared" si="73"/>
        <v>#DIV/0!</v>
      </c>
      <c r="R890" s="5" t="e">
        <f ca="1">SQRT($B$9*AVERAGE((Q890:OFFSET(Q890,$B$5-1,0))))</f>
        <v>#DIV/0!</v>
      </c>
      <c r="S890" s="5" t="e">
        <f ca="1">SQRT($B$9*AVERAGE((Q890:OFFSET(Q890,$B$6-1,0))))</f>
        <v>#DIV/0!</v>
      </c>
      <c r="T890" s="5" t="e">
        <f ca="1">SQRT($B$9*AVERAGE((Q890:OFFSET(Q890,$B$7-1,0))))</f>
        <v>#DIV/0!</v>
      </c>
      <c r="U890" s="5" t="e">
        <f ca="1">SQRT($B$9*AVERAGE((Q890:OFFSET(Q890,$B$8-1,0))))</f>
        <v>#DIV/0!</v>
      </c>
      <c r="W890" s="6" t="e">
        <f t="shared" si="77"/>
        <v>#DIV/0!</v>
      </c>
      <c r="X890" s="6" t="e">
        <f ca="1">SQRT($B$9*AVERAGE(W890:OFFSET(W890,$B$5-1,0)))</f>
        <v>#DIV/0!</v>
      </c>
      <c r="Y890" s="6" t="e">
        <f ca="1">SQRT($B$9*AVERAGE(W890:OFFSET(W890,$B$6-1,0)))</f>
        <v>#DIV/0!</v>
      </c>
      <c r="Z890" s="6" t="e">
        <f ca="1">SQRT($B$9*AVERAGE(W890:OFFSET(W890,$B$7-1,0)))</f>
        <v>#DIV/0!</v>
      </c>
      <c r="AA890" s="6" t="e">
        <f ca="1">SQRT($B$9*AVERAGE(W890:OFFSET(W890,$B$8-1,0)))</f>
        <v>#DIV/0!</v>
      </c>
      <c r="AC890" s="34" t="e">
        <f t="shared" si="75"/>
        <v>#DIV/0!</v>
      </c>
      <c r="AD890" s="34" t="e">
        <f ca="1">SQRT($B$9*SUM(AC890:OFFSET(AC890,$B$5-1,0))/($B$5-1))</f>
        <v>#DIV/0!</v>
      </c>
      <c r="AE890" s="34" t="e">
        <f ca="1">SQRT($B$9*SUM(AC890:OFFSET(AC890,$B$6-1,0))/($B$6-1))</f>
        <v>#DIV/0!</v>
      </c>
      <c r="AF890" s="34" t="e">
        <f ca="1">SQRT($B$9*SUM(AC890:OFFSET(AC890,$B$7-1,0))/($B$7-1))</f>
        <v>#DIV/0!</v>
      </c>
      <c r="AG890" s="34" t="e">
        <f ca="1">SQRT($B$9*SUM(AC890:OFFSET(AC890,$B$8-1,0))/($B$8-1))</f>
        <v>#DIV/0!</v>
      </c>
      <c r="AI890" s="1" t="e">
        <f t="shared" si="76"/>
        <v>#DIV/0!</v>
      </c>
      <c r="AJ890" s="4" t="e">
        <f ca="1">SQRT($B$9)*_xlfn.STDEV.S(AI890:OFFSET(AI890,$B$5-1,0))</f>
        <v>#DIV/0!</v>
      </c>
      <c r="AK890" s="4" t="e">
        <f ca="1">SQRT($B$9)*_xlfn.STDEV.S(AI890:OFFSET(AI890,$B$6-1,0))</f>
        <v>#DIV/0!</v>
      </c>
      <c r="AL890" s="4" t="e">
        <f ca="1">SQRT($B$9)*_xlfn.STDEV.S(AI890:OFFSET(AI890,$B$7-1,0))</f>
        <v>#DIV/0!</v>
      </c>
      <c r="AM890" s="4" t="e">
        <f ca="1">SQRT($B$9)*_xlfn.STDEV.S(AI890:OFFSET(AI890,$B$8-1,0))</f>
        <v>#DIV/0!</v>
      </c>
    </row>
    <row r="891" spans="5:39" x14ac:dyDescent="0.2">
      <c r="E891" s="42">
        <v>44140</v>
      </c>
      <c r="F891" s="43"/>
      <c r="G891" s="43"/>
      <c r="H891" s="43"/>
      <c r="I891" s="43"/>
      <c r="K891" s="3" t="e">
        <f t="shared" si="74"/>
        <v>#DIV/0!</v>
      </c>
      <c r="L891" s="3" t="e">
        <f ca="1">SQRT(AVERAGE(K891:OFFSET(K891,$B$5-1,0))*$B$9/(4*LN(2)))</f>
        <v>#DIV/0!</v>
      </c>
      <c r="M891" s="3" t="e">
        <f ca="1">SQRT(AVERAGE(K891:OFFSET(K891,$B$6-1,0))*$B$9/(4*LN(2)))</f>
        <v>#DIV/0!</v>
      </c>
      <c r="N891" s="3" t="e">
        <f ca="1">SQRT(AVERAGE(K891:OFFSET(K891,$B$7-1,0))*$B$9/(4*LN(2)))</f>
        <v>#DIV/0!</v>
      </c>
      <c r="O891" s="3" t="e">
        <f ca="1">SQRT(AVERAGE(K891:OFFSET(K891,$B$8-1,0))*$B$9/(4*LN(2)))</f>
        <v>#DIV/0!</v>
      </c>
      <c r="Q891" s="5" t="e">
        <f t="shared" si="73"/>
        <v>#DIV/0!</v>
      </c>
      <c r="R891" s="5" t="e">
        <f ca="1">SQRT($B$9*AVERAGE((Q891:OFFSET(Q891,$B$5-1,0))))</f>
        <v>#DIV/0!</v>
      </c>
      <c r="S891" s="5" t="e">
        <f ca="1">SQRT($B$9*AVERAGE((Q891:OFFSET(Q891,$B$6-1,0))))</f>
        <v>#DIV/0!</v>
      </c>
      <c r="T891" s="5" t="e">
        <f ca="1">SQRT($B$9*AVERAGE((Q891:OFFSET(Q891,$B$7-1,0))))</f>
        <v>#DIV/0!</v>
      </c>
      <c r="U891" s="5" t="e">
        <f ca="1">SQRT($B$9*AVERAGE((Q891:OFFSET(Q891,$B$8-1,0))))</f>
        <v>#DIV/0!</v>
      </c>
      <c r="W891" s="6" t="e">
        <f t="shared" si="77"/>
        <v>#DIV/0!</v>
      </c>
      <c r="X891" s="6" t="e">
        <f ca="1">SQRT($B$9*AVERAGE(W891:OFFSET(W891,$B$5-1,0)))</f>
        <v>#DIV/0!</v>
      </c>
      <c r="Y891" s="6" t="e">
        <f ca="1">SQRT($B$9*AVERAGE(W891:OFFSET(W891,$B$6-1,0)))</f>
        <v>#DIV/0!</v>
      </c>
      <c r="Z891" s="6" t="e">
        <f ca="1">SQRT($B$9*AVERAGE(W891:OFFSET(W891,$B$7-1,0)))</f>
        <v>#DIV/0!</v>
      </c>
      <c r="AA891" s="6" t="e">
        <f ca="1">SQRT($B$9*AVERAGE(W891:OFFSET(W891,$B$8-1,0)))</f>
        <v>#DIV/0!</v>
      </c>
      <c r="AC891" s="34" t="e">
        <f t="shared" si="75"/>
        <v>#DIV/0!</v>
      </c>
      <c r="AD891" s="34" t="e">
        <f ca="1">SQRT($B$9*SUM(AC891:OFFSET(AC891,$B$5-1,0))/($B$5-1))</f>
        <v>#DIV/0!</v>
      </c>
      <c r="AE891" s="34" t="e">
        <f ca="1">SQRT($B$9*SUM(AC891:OFFSET(AC891,$B$6-1,0))/($B$6-1))</f>
        <v>#DIV/0!</v>
      </c>
      <c r="AF891" s="34" t="e">
        <f ca="1">SQRT($B$9*SUM(AC891:OFFSET(AC891,$B$7-1,0))/($B$7-1))</f>
        <v>#DIV/0!</v>
      </c>
      <c r="AG891" s="34" t="e">
        <f ca="1">SQRT($B$9*SUM(AC891:OFFSET(AC891,$B$8-1,0))/($B$8-1))</f>
        <v>#DIV/0!</v>
      </c>
      <c r="AI891" s="1" t="e">
        <f t="shared" si="76"/>
        <v>#DIV/0!</v>
      </c>
      <c r="AJ891" s="4" t="e">
        <f ca="1">SQRT($B$9)*_xlfn.STDEV.S(AI891:OFFSET(AI891,$B$5-1,0))</f>
        <v>#DIV/0!</v>
      </c>
      <c r="AK891" s="4" t="e">
        <f ca="1">SQRT($B$9)*_xlfn.STDEV.S(AI891:OFFSET(AI891,$B$6-1,0))</f>
        <v>#DIV/0!</v>
      </c>
      <c r="AL891" s="4" t="e">
        <f ca="1">SQRT($B$9)*_xlfn.STDEV.S(AI891:OFFSET(AI891,$B$7-1,0))</f>
        <v>#DIV/0!</v>
      </c>
      <c r="AM891" s="4" t="e">
        <f ca="1">SQRT($B$9)*_xlfn.STDEV.S(AI891:OFFSET(AI891,$B$8-1,0))</f>
        <v>#DIV/0!</v>
      </c>
    </row>
    <row r="892" spans="5:39" x14ac:dyDescent="0.2">
      <c r="E892" s="42">
        <v>44139</v>
      </c>
      <c r="F892" s="43"/>
      <c r="G892" s="43"/>
      <c r="H892" s="43"/>
      <c r="I892" s="43"/>
      <c r="K892" s="3" t="e">
        <f t="shared" si="74"/>
        <v>#DIV/0!</v>
      </c>
      <c r="L892" s="3" t="e">
        <f ca="1">SQRT(AVERAGE(K892:OFFSET(K892,$B$5-1,0))*$B$9/(4*LN(2)))</f>
        <v>#DIV/0!</v>
      </c>
      <c r="M892" s="3" t="e">
        <f ca="1">SQRT(AVERAGE(K892:OFFSET(K892,$B$6-1,0))*$B$9/(4*LN(2)))</f>
        <v>#DIV/0!</v>
      </c>
      <c r="N892" s="3" t="e">
        <f ca="1">SQRT(AVERAGE(K892:OFFSET(K892,$B$7-1,0))*$B$9/(4*LN(2)))</f>
        <v>#DIV/0!</v>
      </c>
      <c r="O892" s="3" t="e">
        <f ca="1">SQRT(AVERAGE(K892:OFFSET(K892,$B$8-1,0))*$B$9/(4*LN(2)))</f>
        <v>#DIV/0!</v>
      </c>
      <c r="Q892" s="5" t="e">
        <f t="shared" si="73"/>
        <v>#DIV/0!</v>
      </c>
      <c r="R892" s="5" t="e">
        <f ca="1">SQRT($B$9*AVERAGE((Q892:OFFSET(Q892,$B$5-1,0))))</f>
        <v>#DIV/0!</v>
      </c>
      <c r="S892" s="5" t="e">
        <f ca="1">SQRT($B$9*AVERAGE((Q892:OFFSET(Q892,$B$6-1,0))))</f>
        <v>#DIV/0!</v>
      </c>
      <c r="T892" s="5" t="e">
        <f ca="1">SQRT($B$9*AVERAGE((Q892:OFFSET(Q892,$B$7-1,0))))</f>
        <v>#DIV/0!</v>
      </c>
      <c r="U892" s="5" t="e">
        <f ca="1">SQRT($B$9*AVERAGE((Q892:OFFSET(Q892,$B$8-1,0))))</f>
        <v>#DIV/0!</v>
      </c>
      <c r="W892" s="6" t="e">
        <f t="shared" si="77"/>
        <v>#DIV/0!</v>
      </c>
      <c r="X892" s="6" t="e">
        <f ca="1">SQRT($B$9*AVERAGE(W892:OFFSET(W892,$B$5-1,0)))</f>
        <v>#DIV/0!</v>
      </c>
      <c r="Y892" s="6" t="e">
        <f ca="1">SQRT($B$9*AVERAGE(W892:OFFSET(W892,$B$6-1,0)))</f>
        <v>#DIV/0!</v>
      </c>
      <c r="Z892" s="6" t="e">
        <f ca="1">SQRT($B$9*AVERAGE(W892:OFFSET(W892,$B$7-1,0)))</f>
        <v>#DIV/0!</v>
      </c>
      <c r="AA892" s="6" t="e">
        <f ca="1">SQRT($B$9*AVERAGE(W892:OFFSET(W892,$B$8-1,0)))</f>
        <v>#DIV/0!</v>
      </c>
      <c r="AC892" s="34" t="e">
        <f t="shared" si="75"/>
        <v>#DIV/0!</v>
      </c>
      <c r="AD892" s="34" t="e">
        <f ca="1">SQRT($B$9*SUM(AC892:OFFSET(AC892,$B$5-1,0))/($B$5-1))</f>
        <v>#DIV/0!</v>
      </c>
      <c r="AE892" s="34" t="e">
        <f ca="1">SQRT($B$9*SUM(AC892:OFFSET(AC892,$B$6-1,0))/($B$6-1))</f>
        <v>#DIV/0!</v>
      </c>
      <c r="AF892" s="34" t="e">
        <f ca="1">SQRT($B$9*SUM(AC892:OFFSET(AC892,$B$7-1,0))/($B$7-1))</f>
        <v>#DIV/0!</v>
      </c>
      <c r="AG892" s="34" t="e">
        <f ca="1">SQRT($B$9*SUM(AC892:OFFSET(AC892,$B$8-1,0))/($B$8-1))</f>
        <v>#DIV/0!</v>
      </c>
      <c r="AI892" s="1" t="e">
        <f t="shared" si="76"/>
        <v>#DIV/0!</v>
      </c>
      <c r="AJ892" s="4" t="e">
        <f ca="1">SQRT($B$9)*_xlfn.STDEV.S(AI892:OFFSET(AI892,$B$5-1,0))</f>
        <v>#DIV/0!</v>
      </c>
      <c r="AK892" s="4" t="e">
        <f ca="1">SQRT($B$9)*_xlfn.STDEV.S(AI892:OFFSET(AI892,$B$6-1,0))</f>
        <v>#DIV/0!</v>
      </c>
      <c r="AL892" s="4" t="e">
        <f ca="1">SQRT($B$9)*_xlfn.STDEV.S(AI892:OFFSET(AI892,$B$7-1,0))</f>
        <v>#DIV/0!</v>
      </c>
      <c r="AM892" s="4" t="e">
        <f ca="1">SQRT($B$9)*_xlfn.STDEV.S(AI892:OFFSET(AI892,$B$8-1,0))</f>
        <v>#DIV/0!</v>
      </c>
    </row>
    <row r="893" spans="5:39" x14ac:dyDescent="0.2">
      <c r="E893" s="42">
        <v>44138</v>
      </c>
      <c r="F893" s="43"/>
      <c r="G893" s="43"/>
      <c r="H893" s="43"/>
      <c r="I893" s="43"/>
      <c r="K893" s="3" t="e">
        <f t="shared" si="74"/>
        <v>#DIV/0!</v>
      </c>
      <c r="L893" s="3" t="e">
        <f ca="1">SQRT(AVERAGE(K893:OFFSET(K893,$B$5-1,0))*$B$9/(4*LN(2)))</f>
        <v>#DIV/0!</v>
      </c>
      <c r="M893" s="3" t="e">
        <f ca="1">SQRT(AVERAGE(K893:OFFSET(K893,$B$6-1,0))*$B$9/(4*LN(2)))</f>
        <v>#DIV/0!</v>
      </c>
      <c r="N893" s="3" t="e">
        <f ca="1">SQRT(AVERAGE(K893:OFFSET(K893,$B$7-1,0))*$B$9/(4*LN(2)))</f>
        <v>#DIV/0!</v>
      </c>
      <c r="O893" s="3" t="e">
        <f ca="1">SQRT(AVERAGE(K893:OFFSET(K893,$B$8-1,0))*$B$9/(4*LN(2)))</f>
        <v>#DIV/0!</v>
      </c>
      <c r="Q893" s="5" t="e">
        <f t="shared" si="73"/>
        <v>#DIV/0!</v>
      </c>
      <c r="R893" s="5" t="e">
        <f ca="1">SQRT($B$9*AVERAGE((Q893:OFFSET(Q893,$B$5-1,0))))</f>
        <v>#DIV/0!</v>
      </c>
      <c r="S893" s="5" t="e">
        <f ca="1">SQRT($B$9*AVERAGE((Q893:OFFSET(Q893,$B$6-1,0))))</f>
        <v>#DIV/0!</v>
      </c>
      <c r="T893" s="5" t="e">
        <f ca="1">SQRT($B$9*AVERAGE((Q893:OFFSET(Q893,$B$7-1,0))))</f>
        <v>#DIV/0!</v>
      </c>
      <c r="U893" s="5" t="e">
        <f ca="1">SQRT($B$9*AVERAGE((Q893:OFFSET(Q893,$B$8-1,0))))</f>
        <v>#DIV/0!</v>
      </c>
      <c r="W893" s="6" t="e">
        <f t="shared" si="77"/>
        <v>#DIV/0!</v>
      </c>
      <c r="X893" s="6" t="e">
        <f ca="1">SQRT($B$9*AVERAGE(W893:OFFSET(W893,$B$5-1,0)))</f>
        <v>#DIV/0!</v>
      </c>
      <c r="Y893" s="6" t="e">
        <f ca="1">SQRT($B$9*AVERAGE(W893:OFFSET(W893,$B$6-1,0)))</f>
        <v>#DIV/0!</v>
      </c>
      <c r="Z893" s="6" t="e">
        <f ca="1">SQRT($B$9*AVERAGE(W893:OFFSET(W893,$B$7-1,0)))</f>
        <v>#DIV/0!</v>
      </c>
      <c r="AA893" s="6" t="e">
        <f ca="1">SQRT($B$9*AVERAGE(W893:OFFSET(W893,$B$8-1,0)))</f>
        <v>#DIV/0!</v>
      </c>
      <c r="AC893" s="34" t="e">
        <f t="shared" si="75"/>
        <v>#DIV/0!</v>
      </c>
      <c r="AD893" s="34" t="e">
        <f ca="1">SQRT($B$9*SUM(AC893:OFFSET(AC893,$B$5-1,0))/($B$5-1))</f>
        <v>#DIV/0!</v>
      </c>
      <c r="AE893" s="34" t="e">
        <f ca="1">SQRT($B$9*SUM(AC893:OFFSET(AC893,$B$6-1,0))/($B$6-1))</f>
        <v>#DIV/0!</v>
      </c>
      <c r="AF893" s="34" t="e">
        <f ca="1">SQRT($B$9*SUM(AC893:OFFSET(AC893,$B$7-1,0))/($B$7-1))</f>
        <v>#DIV/0!</v>
      </c>
      <c r="AG893" s="34" t="e">
        <f ca="1">SQRT($B$9*SUM(AC893:OFFSET(AC893,$B$8-1,0))/($B$8-1))</f>
        <v>#DIV/0!</v>
      </c>
      <c r="AI893" s="1" t="e">
        <f t="shared" si="76"/>
        <v>#DIV/0!</v>
      </c>
      <c r="AJ893" s="4" t="e">
        <f ca="1">SQRT($B$9)*_xlfn.STDEV.S(AI893:OFFSET(AI893,$B$5-1,0))</f>
        <v>#DIV/0!</v>
      </c>
      <c r="AK893" s="4" t="e">
        <f ca="1">SQRT($B$9)*_xlfn.STDEV.S(AI893:OFFSET(AI893,$B$6-1,0))</f>
        <v>#DIV/0!</v>
      </c>
      <c r="AL893" s="4" t="e">
        <f ca="1">SQRT($B$9)*_xlfn.STDEV.S(AI893:OFFSET(AI893,$B$7-1,0))</f>
        <v>#DIV/0!</v>
      </c>
      <c r="AM893" s="4" t="e">
        <f ca="1">SQRT($B$9)*_xlfn.STDEV.S(AI893:OFFSET(AI893,$B$8-1,0))</f>
        <v>#DIV/0!</v>
      </c>
    </row>
    <row r="894" spans="5:39" x14ac:dyDescent="0.2">
      <c r="E894" s="42">
        <v>44137</v>
      </c>
      <c r="F894" s="43"/>
      <c r="G894" s="43"/>
      <c r="H894" s="43"/>
      <c r="I894" s="43"/>
      <c r="K894" s="3" t="e">
        <f t="shared" si="74"/>
        <v>#DIV/0!</v>
      </c>
      <c r="L894" s="3" t="e">
        <f ca="1">SQRT(AVERAGE(K894:OFFSET(K894,$B$5-1,0))*$B$9/(4*LN(2)))</f>
        <v>#DIV/0!</v>
      </c>
      <c r="M894" s="3" t="e">
        <f ca="1">SQRT(AVERAGE(K894:OFFSET(K894,$B$6-1,0))*$B$9/(4*LN(2)))</f>
        <v>#DIV/0!</v>
      </c>
      <c r="N894" s="3" t="e">
        <f ca="1">SQRT(AVERAGE(K894:OFFSET(K894,$B$7-1,0))*$B$9/(4*LN(2)))</f>
        <v>#DIV/0!</v>
      </c>
      <c r="O894" s="3" t="e">
        <f ca="1">SQRT(AVERAGE(K894:OFFSET(K894,$B$8-1,0))*$B$9/(4*LN(2)))</f>
        <v>#DIV/0!</v>
      </c>
      <c r="Q894" s="5" t="e">
        <f t="shared" si="73"/>
        <v>#DIV/0!</v>
      </c>
      <c r="R894" s="5" t="e">
        <f ca="1">SQRT($B$9*AVERAGE((Q894:OFFSET(Q894,$B$5-1,0))))</f>
        <v>#DIV/0!</v>
      </c>
      <c r="S894" s="5" t="e">
        <f ca="1">SQRT($B$9*AVERAGE((Q894:OFFSET(Q894,$B$6-1,0))))</f>
        <v>#DIV/0!</v>
      </c>
      <c r="T894" s="5" t="e">
        <f ca="1">SQRT($B$9*AVERAGE((Q894:OFFSET(Q894,$B$7-1,0))))</f>
        <v>#DIV/0!</v>
      </c>
      <c r="U894" s="5" t="e">
        <f ca="1">SQRT($B$9*AVERAGE((Q894:OFFSET(Q894,$B$8-1,0))))</f>
        <v>#DIV/0!</v>
      </c>
      <c r="W894" s="6" t="e">
        <f t="shared" si="77"/>
        <v>#DIV/0!</v>
      </c>
      <c r="X894" s="6" t="e">
        <f ca="1">SQRT($B$9*AVERAGE(W894:OFFSET(W894,$B$5-1,0)))</f>
        <v>#DIV/0!</v>
      </c>
      <c r="Y894" s="6" t="e">
        <f ca="1">SQRT($B$9*AVERAGE(W894:OFFSET(W894,$B$6-1,0)))</f>
        <v>#DIV/0!</v>
      </c>
      <c r="Z894" s="6" t="e">
        <f ca="1">SQRT($B$9*AVERAGE(W894:OFFSET(W894,$B$7-1,0)))</f>
        <v>#DIV/0!</v>
      </c>
      <c r="AA894" s="6" t="e">
        <f ca="1">SQRT($B$9*AVERAGE(W894:OFFSET(W894,$B$8-1,0)))</f>
        <v>#DIV/0!</v>
      </c>
      <c r="AC894" s="34" t="e">
        <f t="shared" si="75"/>
        <v>#DIV/0!</v>
      </c>
      <c r="AD894" s="34" t="e">
        <f ca="1">SQRT($B$9*SUM(AC894:OFFSET(AC894,$B$5-1,0))/($B$5-1))</f>
        <v>#DIV/0!</v>
      </c>
      <c r="AE894" s="34" t="e">
        <f ca="1">SQRT($B$9*SUM(AC894:OFFSET(AC894,$B$6-1,0))/($B$6-1))</f>
        <v>#DIV/0!</v>
      </c>
      <c r="AF894" s="34" t="e">
        <f ca="1">SQRT($B$9*SUM(AC894:OFFSET(AC894,$B$7-1,0))/($B$7-1))</f>
        <v>#DIV/0!</v>
      </c>
      <c r="AG894" s="34" t="e">
        <f ca="1">SQRT($B$9*SUM(AC894:OFFSET(AC894,$B$8-1,0))/($B$8-1))</f>
        <v>#DIV/0!</v>
      </c>
      <c r="AI894" s="1" t="e">
        <f t="shared" si="76"/>
        <v>#DIV/0!</v>
      </c>
      <c r="AJ894" s="4" t="e">
        <f ca="1">SQRT($B$9)*_xlfn.STDEV.S(AI894:OFFSET(AI894,$B$5-1,0))</f>
        <v>#DIV/0!</v>
      </c>
      <c r="AK894" s="4" t="e">
        <f ca="1">SQRT($B$9)*_xlfn.STDEV.S(AI894:OFFSET(AI894,$B$6-1,0))</f>
        <v>#DIV/0!</v>
      </c>
      <c r="AL894" s="4" t="e">
        <f ca="1">SQRT($B$9)*_xlfn.STDEV.S(AI894:OFFSET(AI894,$B$7-1,0))</f>
        <v>#DIV/0!</v>
      </c>
      <c r="AM894" s="4" t="e">
        <f ca="1">SQRT($B$9)*_xlfn.STDEV.S(AI894:OFFSET(AI894,$B$8-1,0))</f>
        <v>#DIV/0!</v>
      </c>
    </row>
    <row r="895" spans="5:39" x14ac:dyDescent="0.2">
      <c r="E895" s="42">
        <v>44134</v>
      </c>
      <c r="F895" s="43"/>
      <c r="G895" s="43"/>
      <c r="H895" s="43"/>
      <c r="I895" s="43"/>
      <c r="K895" s="3" t="e">
        <f t="shared" si="74"/>
        <v>#DIV/0!</v>
      </c>
      <c r="L895" s="3" t="e">
        <f ca="1">SQRT(AVERAGE(K895:OFFSET(K895,$B$5-1,0))*$B$9/(4*LN(2)))</f>
        <v>#DIV/0!</v>
      </c>
      <c r="M895" s="3" t="e">
        <f ca="1">SQRT(AVERAGE(K895:OFFSET(K895,$B$6-1,0))*$B$9/(4*LN(2)))</f>
        <v>#DIV/0!</v>
      </c>
      <c r="N895" s="3" t="e">
        <f ca="1">SQRT(AVERAGE(K895:OFFSET(K895,$B$7-1,0))*$B$9/(4*LN(2)))</f>
        <v>#DIV/0!</v>
      </c>
      <c r="O895" s="3" t="e">
        <f ca="1">SQRT(AVERAGE(K895:OFFSET(K895,$B$8-1,0))*$B$9/(4*LN(2)))</f>
        <v>#DIV/0!</v>
      </c>
      <c r="Q895" s="5" t="e">
        <f t="shared" si="73"/>
        <v>#DIV/0!</v>
      </c>
      <c r="R895" s="5" t="e">
        <f ca="1">SQRT($B$9*AVERAGE((Q895:OFFSET(Q895,$B$5-1,0))))</f>
        <v>#DIV/0!</v>
      </c>
      <c r="S895" s="5" t="e">
        <f ca="1">SQRT($B$9*AVERAGE((Q895:OFFSET(Q895,$B$6-1,0))))</f>
        <v>#DIV/0!</v>
      </c>
      <c r="T895" s="5" t="e">
        <f ca="1">SQRT($B$9*AVERAGE((Q895:OFFSET(Q895,$B$7-1,0))))</f>
        <v>#DIV/0!</v>
      </c>
      <c r="U895" s="5" t="e">
        <f ca="1">SQRT($B$9*AVERAGE((Q895:OFFSET(Q895,$B$8-1,0))))</f>
        <v>#DIV/0!</v>
      </c>
      <c r="W895" s="6" t="e">
        <f t="shared" si="77"/>
        <v>#DIV/0!</v>
      </c>
      <c r="X895" s="6" t="e">
        <f ca="1">SQRT($B$9*AVERAGE(W895:OFFSET(W895,$B$5-1,0)))</f>
        <v>#DIV/0!</v>
      </c>
      <c r="Y895" s="6" t="e">
        <f ca="1">SQRT($B$9*AVERAGE(W895:OFFSET(W895,$B$6-1,0)))</f>
        <v>#DIV/0!</v>
      </c>
      <c r="Z895" s="6" t="e">
        <f ca="1">SQRT($B$9*AVERAGE(W895:OFFSET(W895,$B$7-1,0)))</f>
        <v>#DIV/0!</v>
      </c>
      <c r="AA895" s="6" t="e">
        <f ca="1">SQRT($B$9*AVERAGE(W895:OFFSET(W895,$B$8-1,0)))</f>
        <v>#DIV/0!</v>
      </c>
      <c r="AC895" s="34" t="e">
        <f t="shared" si="75"/>
        <v>#DIV/0!</v>
      </c>
      <c r="AD895" s="34" t="e">
        <f ca="1">SQRT($B$9*SUM(AC895:OFFSET(AC895,$B$5-1,0))/($B$5-1))</f>
        <v>#DIV/0!</v>
      </c>
      <c r="AE895" s="34" t="e">
        <f ca="1">SQRT($B$9*SUM(AC895:OFFSET(AC895,$B$6-1,0))/($B$6-1))</f>
        <v>#DIV/0!</v>
      </c>
      <c r="AF895" s="34" t="e">
        <f ca="1">SQRT($B$9*SUM(AC895:OFFSET(AC895,$B$7-1,0))/($B$7-1))</f>
        <v>#DIV/0!</v>
      </c>
      <c r="AG895" s="34" t="e">
        <f ca="1">SQRT($B$9*SUM(AC895:OFFSET(AC895,$B$8-1,0))/($B$8-1))</f>
        <v>#DIV/0!</v>
      </c>
      <c r="AI895" s="1" t="e">
        <f t="shared" si="76"/>
        <v>#DIV/0!</v>
      </c>
      <c r="AJ895" s="4" t="e">
        <f ca="1">SQRT($B$9)*_xlfn.STDEV.S(AI895:OFFSET(AI895,$B$5-1,0))</f>
        <v>#DIV/0!</v>
      </c>
      <c r="AK895" s="4" t="e">
        <f ca="1">SQRT($B$9)*_xlfn.STDEV.S(AI895:OFFSET(AI895,$B$6-1,0))</f>
        <v>#DIV/0!</v>
      </c>
      <c r="AL895" s="4" t="e">
        <f ca="1">SQRT($B$9)*_xlfn.STDEV.S(AI895:OFFSET(AI895,$B$7-1,0))</f>
        <v>#DIV/0!</v>
      </c>
      <c r="AM895" s="4" t="e">
        <f ca="1">SQRT($B$9)*_xlfn.STDEV.S(AI895:OFFSET(AI895,$B$8-1,0))</f>
        <v>#DIV/0!</v>
      </c>
    </row>
    <row r="896" spans="5:39" x14ac:dyDescent="0.2">
      <c r="E896" s="42">
        <v>44133</v>
      </c>
      <c r="F896" s="43"/>
      <c r="G896" s="43"/>
      <c r="H896" s="43"/>
      <c r="I896" s="43"/>
      <c r="K896" s="3" t="e">
        <f t="shared" si="74"/>
        <v>#DIV/0!</v>
      </c>
      <c r="L896" s="3" t="e">
        <f ca="1">SQRT(AVERAGE(K896:OFFSET(K896,$B$5-1,0))*$B$9/(4*LN(2)))</f>
        <v>#DIV/0!</v>
      </c>
      <c r="M896" s="3" t="e">
        <f ca="1">SQRT(AVERAGE(K896:OFFSET(K896,$B$6-1,0))*$B$9/(4*LN(2)))</f>
        <v>#DIV/0!</v>
      </c>
      <c r="N896" s="3" t="e">
        <f ca="1">SQRT(AVERAGE(K896:OFFSET(K896,$B$7-1,0))*$B$9/(4*LN(2)))</f>
        <v>#DIV/0!</v>
      </c>
      <c r="O896" s="3" t="e">
        <f ca="1">SQRT(AVERAGE(K896:OFFSET(K896,$B$8-1,0))*$B$9/(4*LN(2)))</f>
        <v>#DIV/0!</v>
      </c>
      <c r="Q896" s="5" t="e">
        <f t="shared" si="73"/>
        <v>#DIV/0!</v>
      </c>
      <c r="R896" s="5" t="e">
        <f ca="1">SQRT($B$9*AVERAGE((Q896:OFFSET(Q896,$B$5-1,0))))</f>
        <v>#DIV/0!</v>
      </c>
      <c r="S896" s="5" t="e">
        <f ca="1">SQRT($B$9*AVERAGE((Q896:OFFSET(Q896,$B$6-1,0))))</f>
        <v>#DIV/0!</v>
      </c>
      <c r="T896" s="5" t="e">
        <f ca="1">SQRT($B$9*AVERAGE((Q896:OFFSET(Q896,$B$7-1,0))))</f>
        <v>#DIV/0!</v>
      </c>
      <c r="U896" s="5" t="e">
        <f ca="1">SQRT($B$9*AVERAGE((Q896:OFFSET(Q896,$B$8-1,0))))</f>
        <v>#DIV/0!</v>
      </c>
      <c r="W896" s="6" t="e">
        <f t="shared" si="77"/>
        <v>#DIV/0!</v>
      </c>
      <c r="X896" s="6" t="e">
        <f ca="1">SQRT($B$9*AVERAGE(W896:OFFSET(W896,$B$5-1,0)))</f>
        <v>#DIV/0!</v>
      </c>
      <c r="Y896" s="6" t="e">
        <f ca="1">SQRT($B$9*AVERAGE(W896:OFFSET(W896,$B$6-1,0)))</f>
        <v>#DIV/0!</v>
      </c>
      <c r="Z896" s="6" t="e">
        <f ca="1">SQRT($B$9*AVERAGE(W896:OFFSET(W896,$B$7-1,0)))</f>
        <v>#DIV/0!</v>
      </c>
      <c r="AA896" s="6" t="e">
        <f ca="1">SQRT($B$9*AVERAGE(W896:OFFSET(W896,$B$8-1,0)))</f>
        <v>#DIV/0!</v>
      </c>
      <c r="AC896" s="34" t="e">
        <f t="shared" si="75"/>
        <v>#DIV/0!</v>
      </c>
      <c r="AD896" s="34" t="e">
        <f ca="1">SQRT($B$9*SUM(AC896:OFFSET(AC896,$B$5-1,0))/($B$5-1))</f>
        <v>#DIV/0!</v>
      </c>
      <c r="AE896" s="34" t="e">
        <f ca="1">SQRT($B$9*SUM(AC896:OFFSET(AC896,$B$6-1,0))/($B$6-1))</f>
        <v>#DIV/0!</v>
      </c>
      <c r="AF896" s="34" t="e">
        <f ca="1">SQRT($B$9*SUM(AC896:OFFSET(AC896,$B$7-1,0))/($B$7-1))</f>
        <v>#DIV/0!</v>
      </c>
      <c r="AG896" s="34" t="e">
        <f ca="1">SQRT($B$9*SUM(AC896:OFFSET(AC896,$B$8-1,0))/($B$8-1))</f>
        <v>#DIV/0!</v>
      </c>
      <c r="AI896" s="1" t="e">
        <f t="shared" si="76"/>
        <v>#DIV/0!</v>
      </c>
      <c r="AJ896" s="4" t="e">
        <f ca="1">SQRT($B$9)*_xlfn.STDEV.S(AI896:OFFSET(AI896,$B$5-1,0))</f>
        <v>#DIV/0!</v>
      </c>
      <c r="AK896" s="4" t="e">
        <f ca="1">SQRT($B$9)*_xlfn.STDEV.S(AI896:OFFSET(AI896,$B$6-1,0))</f>
        <v>#DIV/0!</v>
      </c>
      <c r="AL896" s="4" t="e">
        <f ca="1">SQRT($B$9)*_xlfn.STDEV.S(AI896:OFFSET(AI896,$B$7-1,0))</f>
        <v>#DIV/0!</v>
      </c>
      <c r="AM896" s="4" t="e">
        <f ca="1">SQRT($B$9)*_xlfn.STDEV.S(AI896:OFFSET(AI896,$B$8-1,0))</f>
        <v>#DIV/0!</v>
      </c>
    </row>
    <row r="897" spans="5:39" x14ac:dyDescent="0.2">
      <c r="E897" s="42">
        <v>44132</v>
      </c>
      <c r="F897" s="43"/>
      <c r="G897" s="43"/>
      <c r="H897" s="43"/>
      <c r="I897" s="43"/>
      <c r="K897" s="3" t="e">
        <f t="shared" si="74"/>
        <v>#DIV/0!</v>
      </c>
      <c r="L897" s="3" t="e">
        <f ca="1">SQRT(AVERAGE(K897:OFFSET(K897,$B$5-1,0))*$B$9/(4*LN(2)))</f>
        <v>#DIV/0!</v>
      </c>
      <c r="M897" s="3" t="e">
        <f ca="1">SQRT(AVERAGE(K897:OFFSET(K897,$B$6-1,0))*$B$9/(4*LN(2)))</f>
        <v>#DIV/0!</v>
      </c>
      <c r="N897" s="3" t="e">
        <f ca="1">SQRT(AVERAGE(K897:OFFSET(K897,$B$7-1,0))*$B$9/(4*LN(2)))</f>
        <v>#DIV/0!</v>
      </c>
      <c r="O897" s="3" t="e">
        <f ca="1">SQRT(AVERAGE(K897:OFFSET(K897,$B$8-1,0))*$B$9/(4*LN(2)))</f>
        <v>#DIV/0!</v>
      </c>
      <c r="Q897" s="5" t="e">
        <f t="shared" si="73"/>
        <v>#DIV/0!</v>
      </c>
      <c r="R897" s="5" t="e">
        <f ca="1">SQRT($B$9*AVERAGE((Q897:OFFSET(Q897,$B$5-1,0))))</f>
        <v>#DIV/0!</v>
      </c>
      <c r="S897" s="5" t="e">
        <f ca="1">SQRT($B$9*AVERAGE((Q897:OFFSET(Q897,$B$6-1,0))))</f>
        <v>#DIV/0!</v>
      </c>
      <c r="T897" s="5" t="e">
        <f ca="1">SQRT($B$9*AVERAGE((Q897:OFFSET(Q897,$B$7-1,0))))</f>
        <v>#DIV/0!</v>
      </c>
      <c r="U897" s="5" t="e">
        <f ca="1">SQRT($B$9*AVERAGE((Q897:OFFSET(Q897,$B$8-1,0))))</f>
        <v>#DIV/0!</v>
      </c>
      <c r="W897" s="6" t="e">
        <f t="shared" si="77"/>
        <v>#DIV/0!</v>
      </c>
      <c r="X897" s="6" t="e">
        <f ca="1">SQRT($B$9*AVERAGE(W897:OFFSET(W897,$B$5-1,0)))</f>
        <v>#DIV/0!</v>
      </c>
      <c r="Y897" s="6" t="e">
        <f ca="1">SQRT($B$9*AVERAGE(W897:OFFSET(W897,$B$6-1,0)))</f>
        <v>#DIV/0!</v>
      </c>
      <c r="Z897" s="6" t="e">
        <f ca="1">SQRT($B$9*AVERAGE(W897:OFFSET(W897,$B$7-1,0)))</f>
        <v>#DIV/0!</v>
      </c>
      <c r="AA897" s="6" t="e">
        <f ca="1">SQRT($B$9*AVERAGE(W897:OFFSET(W897,$B$8-1,0)))</f>
        <v>#DIV/0!</v>
      </c>
      <c r="AC897" s="34" t="e">
        <f t="shared" si="75"/>
        <v>#DIV/0!</v>
      </c>
      <c r="AD897" s="34" t="e">
        <f ca="1">SQRT($B$9*SUM(AC897:OFFSET(AC897,$B$5-1,0))/($B$5-1))</f>
        <v>#DIV/0!</v>
      </c>
      <c r="AE897" s="34" t="e">
        <f ca="1">SQRT($B$9*SUM(AC897:OFFSET(AC897,$B$6-1,0))/($B$6-1))</f>
        <v>#DIV/0!</v>
      </c>
      <c r="AF897" s="34" t="e">
        <f ca="1">SQRT($B$9*SUM(AC897:OFFSET(AC897,$B$7-1,0))/($B$7-1))</f>
        <v>#DIV/0!</v>
      </c>
      <c r="AG897" s="34" t="e">
        <f ca="1">SQRT($B$9*SUM(AC897:OFFSET(AC897,$B$8-1,0))/($B$8-1))</f>
        <v>#DIV/0!</v>
      </c>
      <c r="AI897" s="1" t="e">
        <f t="shared" si="76"/>
        <v>#DIV/0!</v>
      </c>
      <c r="AJ897" s="4" t="e">
        <f ca="1">SQRT($B$9)*_xlfn.STDEV.S(AI897:OFFSET(AI897,$B$5-1,0))</f>
        <v>#DIV/0!</v>
      </c>
      <c r="AK897" s="4" t="e">
        <f ca="1">SQRT($B$9)*_xlfn.STDEV.S(AI897:OFFSET(AI897,$B$6-1,0))</f>
        <v>#DIV/0!</v>
      </c>
      <c r="AL897" s="4" t="e">
        <f ca="1">SQRT($B$9)*_xlfn.STDEV.S(AI897:OFFSET(AI897,$B$7-1,0))</f>
        <v>#DIV/0!</v>
      </c>
      <c r="AM897" s="4" t="e">
        <f ca="1">SQRT($B$9)*_xlfn.STDEV.S(AI897:OFFSET(AI897,$B$8-1,0))</f>
        <v>#DIV/0!</v>
      </c>
    </row>
    <row r="898" spans="5:39" x14ac:dyDescent="0.2">
      <c r="E898" s="42">
        <v>44131</v>
      </c>
      <c r="F898" s="43"/>
      <c r="G898" s="43"/>
      <c r="H898" s="43"/>
      <c r="I898" s="43"/>
      <c r="K898" s="3" t="e">
        <f t="shared" si="74"/>
        <v>#DIV/0!</v>
      </c>
      <c r="L898" s="3" t="e">
        <f ca="1">SQRT(AVERAGE(K898:OFFSET(K898,$B$5-1,0))*$B$9/(4*LN(2)))</f>
        <v>#DIV/0!</v>
      </c>
      <c r="M898" s="3" t="e">
        <f ca="1">SQRT(AVERAGE(K898:OFFSET(K898,$B$6-1,0))*$B$9/(4*LN(2)))</f>
        <v>#DIV/0!</v>
      </c>
      <c r="N898" s="3" t="e">
        <f ca="1">SQRT(AVERAGE(K898:OFFSET(K898,$B$7-1,0))*$B$9/(4*LN(2)))</f>
        <v>#DIV/0!</v>
      </c>
      <c r="O898" s="3" t="e">
        <f ca="1">SQRT(AVERAGE(K898:OFFSET(K898,$B$8-1,0))*$B$9/(4*LN(2)))</f>
        <v>#DIV/0!</v>
      </c>
      <c r="Q898" s="5" t="e">
        <f t="shared" si="73"/>
        <v>#DIV/0!</v>
      </c>
      <c r="R898" s="5" t="e">
        <f ca="1">SQRT($B$9*AVERAGE((Q898:OFFSET(Q898,$B$5-1,0))))</f>
        <v>#DIV/0!</v>
      </c>
      <c r="S898" s="5" t="e">
        <f ca="1">SQRT($B$9*AVERAGE((Q898:OFFSET(Q898,$B$6-1,0))))</f>
        <v>#DIV/0!</v>
      </c>
      <c r="T898" s="5" t="e">
        <f ca="1">SQRT($B$9*AVERAGE((Q898:OFFSET(Q898,$B$7-1,0))))</f>
        <v>#DIV/0!</v>
      </c>
      <c r="U898" s="5" t="e">
        <f ca="1">SQRT($B$9*AVERAGE((Q898:OFFSET(Q898,$B$8-1,0))))</f>
        <v>#DIV/0!</v>
      </c>
      <c r="W898" s="6" t="e">
        <f t="shared" si="77"/>
        <v>#DIV/0!</v>
      </c>
      <c r="X898" s="6" t="e">
        <f ca="1">SQRT($B$9*AVERAGE(W898:OFFSET(W898,$B$5-1,0)))</f>
        <v>#DIV/0!</v>
      </c>
      <c r="Y898" s="6" t="e">
        <f ca="1">SQRT($B$9*AVERAGE(W898:OFFSET(W898,$B$6-1,0)))</f>
        <v>#DIV/0!</v>
      </c>
      <c r="Z898" s="6" t="e">
        <f ca="1">SQRT($B$9*AVERAGE(W898:OFFSET(W898,$B$7-1,0)))</f>
        <v>#DIV/0!</v>
      </c>
      <c r="AA898" s="6" t="e">
        <f ca="1">SQRT($B$9*AVERAGE(W898:OFFSET(W898,$B$8-1,0)))</f>
        <v>#DIV/0!</v>
      </c>
      <c r="AC898" s="34" t="e">
        <f t="shared" si="75"/>
        <v>#DIV/0!</v>
      </c>
      <c r="AD898" s="34" t="e">
        <f ca="1">SQRT($B$9*SUM(AC898:OFFSET(AC898,$B$5-1,0))/($B$5-1))</f>
        <v>#DIV/0!</v>
      </c>
      <c r="AE898" s="34" t="e">
        <f ca="1">SQRT($B$9*SUM(AC898:OFFSET(AC898,$B$6-1,0))/($B$6-1))</f>
        <v>#DIV/0!</v>
      </c>
      <c r="AF898" s="34" t="e">
        <f ca="1">SQRT($B$9*SUM(AC898:OFFSET(AC898,$B$7-1,0))/($B$7-1))</f>
        <v>#DIV/0!</v>
      </c>
      <c r="AG898" s="34" t="e">
        <f ca="1">SQRT($B$9*SUM(AC898:OFFSET(AC898,$B$8-1,0))/($B$8-1))</f>
        <v>#DIV/0!</v>
      </c>
      <c r="AI898" s="1" t="e">
        <f t="shared" si="76"/>
        <v>#DIV/0!</v>
      </c>
      <c r="AJ898" s="4" t="e">
        <f ca="1">SQRT($B$9)*_xlfn.STDEV.S(AI898:OFFSET(AI898,$B$5-1,0))</f>
        <v>#DIV/0!</v>
      </c>
      <c r="AK898" s="4" t="e">
        <f ca="1">SQRT($B$9)*_xlfn.STDEV.S(AI898:OFFSET(AI898,$B$6-1,0))</f>
        <v>#DIV/0!</v>
      </c>
      <c r="AL898" s="4" t="e">
        <f ca="1">SQRT($B$9)*_xlfn.STDEV.S(AI898:OFFSET(AI898,$B$7-1,0))</f>
        <v>#DIV/0!</v>
      </c>
      <c r="AM898" s="4" t="e">
        <f ca="1">SQRT($B$9)*_xlfn.STDEV.S(AI898:OFFSET(AI898,$B$8-1,0))</f>
        <v>#DIV/0!</v>
      </c>
    </row>
    <row r="899" spans="5:39" x14ac:dyDescent="0.2">
      <c r="E899" s="42">
        <v>44130</v>
      </c>
      <c r="F899" s="43"/>
      <c r="G899" s="43"/>
      <c r="H899" s="43"/>
      <c r="I899" s="43"/>
      <c r="K899" s="3" t="e">
        <f t="shared" si="74"/>
        <v>#DIV/0!</v>
      </c>
      <c r="L899" s="3" t="e">
        <f ca="1">SQRT(AVERAGE(K899:OFFSET(K899,$B$5-1,0))*$B$9/(4*LN(2)))</f>
        <v>#DIV/0!</v>
      </c>
      <c r="M899" s="3" t="e">
        <f ca="1">SQRT(AVERAGE(K899:OFFSET(K899,$B$6-1,0))*$B$9/(4*LN(2)))</f>
        <v>#DIV/0!</v>
      </c>
      <c r="N899" s="3" t="e">
        <f ca="1">SQRT(AVERAGE(K899:OFFSET(K899,$B$7-1,0))*$B$9/(4*LN(2)))</f>
        <v>#DIV/0!</v>
      </c>
      <c r="O899" s="3" t="e">
        <f ca="1">SQRT(AVERAGE(K899:OFFSET(K899,$B$8-1,0))*$B$9/(4*LN(2)))</f>
        <v>#DIV/0!</v>
      </c>
      <c r="Q899" s="5" t="e">
        <f t="shared" si="73"/>
        <v>#DIV/0!</v>
      </c>
      <c r="R899" s="5" t="e">
        <f ca="1">SQRT($B$9*AVERAGE((Q899:OFFSET(Q899,$B$5-1,0))))</f>
        <v>#DIV/0!</v>
      </c>
      <c r="S899" s="5" t="e">
        <f ca="1">SQRT($B$9*AVERAGE((Q899:OFFSET(Q899,$B$6-1,0))))</f>
        <v>#DIV/0!</v>
      </c>
      <c r="T899" s="5" t="e">
        <f ca="1">SQRT($B$9*AVERAGE((Q899:OFFSET(Q899,$B$7-1,0))))</f>
        <v>#DIV/0!</v>
      </c>
      <c r="U899" s="5" t="e">
        <f ca="1">SQRT($B$9*AVERAGE((Q899:OFFSET(Q899,$B$8-1,0))))</f>
        <v>#DIV/0!</v>
      </c>
      <c r="W899" s="6" t="e">
        <f t="shared" si="77"/>
        <v>#DIV/0!</v>
      </c>
      <c r="X899" s="6" t="e">
        <f ca="1">SQRT($B$9*AVERAGE(W899:OFFSET(W899,$B$5-1,0)))</f>
        <v>#DIV/0!</v>
      </c>
      <c r="Y899" s="6" t="e">
        <f ca="1">SQRT($B$9*AVERAGE(W899:OFFSET(W899,$B$6-1,0)))</f>
        <v>#DIV/0!</v>
      </c>
      <c r="Z899" s="6" t="e">
        <f ca="1">SQRT($B$9*AVERAGE(W899:OFFSET(W899,$B$7-1,0)))</f>
        <v>#DIV/0!</v>
      </c>
      <c r="AA899" s="6" t="e">
        <f ca="1">SQRT($B$9*AVERAGE(W899:OFFSET(W899,$B$8-1,0)))</f>
        <v>#DIV/0!</v>
      </c>
      <c r="AC899" s="34" t="e">
        <f t="shared" si="75"/>
        <v>#DIV/0!</v>
      </c>
      <c r="AD899" s="34" t="e">
        <f ca="1">SQRT($B$9*SUM(AC899:OFFSET(AC899,$B$5-1,0))/($B$5-1))</f>
        <v>#DIV/0!</v>
      </c>
      <c r="AE899" s="34" t="e">
        <f ca="1">SQRT($B$9*SUM(AC899:OFFSET(AC899,$B$6-1,0))/($B$6-1))</f>
        <v>#DIV/0!</v>
      </c>
      <c r="AF899" s="34" t="e">
        <f ca="1">SQRT($B$9*SUM(AC899:OFFSET(AC899,$B$7-1,0))/($B$7-1))</f>
        <v>#DIV/0!</v>
      </c>
      <c r="AG899" s="34" t="e">
        <f ca="1">SQRT($B$9*SUM(AC899:OFFSET(AC899,$B$8-1,0))/($B$8-1))</f>
        <v>#DIV/0!</v>
      </c>
      <c r="AI899" s="1" t="e">
        <f t="shared" si="76"/>
        <v>#DIV/0!</v>
      </c>
      <c r="AJ899" s="4" t="e">
        <f ca="1">SQRT($B$9)*_xlfn.STDEV.S(AI899:OFFSET(AI899,$B$5-1,0))</f>
        <v>#DIV/0!</v>
      </c>
      <c r="AK899" s="4" t="e">
        <f ca="1">SQRT($B$9)*_xlfn.STDEV.S(AI899:OFFSET(AI899,$B$6-1,0))</f>
        <v>#DIV/0!</v>
      </c>
      <c r="AL899" s="4" t="e">
        <f ca="1">SQRT($B$9)*_xlfn.STDEV.S(AI899:OFFSET(AI899,$B$7-1,0))</f>
        <v>#DIV/0!</v>
      </c>
      <c r="AM899" s="4" t="e">
        <f ca="1">SQRT($B$9)*_xlfn.STDEV.S(AI899:OFFSET(AI899,$B$8-1,0))</f>
        <v>#DIV/0!</v>
      </c>
    </row>
    <row r="900" spans="5:39" x14ac:dyDescent="0.2">
      <c r="E900" s="42">
        <v>44127</v>
      </c>
      <c r="F900" s="43"/>
      <c r="G900" s="43"/>
      <c r="H900" s="43"/>
      <c r="I900" s="43"/>
      <c r="K900" s="3" t="e">
        <f t="shared" si="74"/>
        <v>#DIV/0!</v>
      </c>
      <c r="L900" s="3" t="e">
        <f ca="1">SQRT(AVERAGE(K900:OFFSET(K900,$B$5-1,0))*$B$9/(4*LN(2)))</f>
        <v>#DIV/0!</v>
      </c>
      <c r="M900" s="3" t="e">
        <f ca="1">SQRT(AVERAGE(K900:OFFSET(K900,$B$6-1,0))*$B$9/(4*LN(2)))</f>
        <v>#DIV/0!</v>
      </c>
      <c r="N900" s="3" t="e">
        <f ca="1">SQRT(AVERAGE(K900:OFFSET(K900,$B$7-1,0))*$B$9/(4*LN(2)))</f>
        <v>#DIV/0!</v>
      </c>
      <c r="O900" s="3" t="e">
        <f ca="1">SQRT(AVERAGE(K900:OFFSET(K900,$B$8-1,0))*$B$9/(4*LN(2)))</f>
        <v>#DIV/0!</v>
      </c>
      <c r="Q900" s="5" t="e">
        <f t="shared" si="73"/>
        <v>#DIV/0!</v>
      </c>
      <c r="R900" s="5" t="e">
        <f ca="1">SQRT($B$9*AVERAGE((Q900:OFFSET(Q900,$B$5-1,0))))</f>
        <v>#DIV/0!</v>
      </c>
      <c r="S900" s="5" t="e">
        <f ca="1">SQRT($B$9*AVERAGE((Q900:OFFSET(Q900,$B$6-1,0))))</f>
        <v>#DIV/0!</v>
      </c>
      <c r="T900" s="5" t="e">
        <f ca="1">SQRT($B$9*AVERAGE((Q900:OFFSET(Q900,$B$7-1,0))))</f>
        <v>#DIV/0!</v>
      </c>
      <c r="U900" s="5" t="e">
        <f ca="1">SQRT($B$9*AVERAGE((Q900:OFFSET(Q900,$B$8-1,0))))</f>
        <v>#DIV/0!</v>
      </c>
      <c r="W900" s="6" t="e">
        <f t="shared" si="77"/>
        <v>#DIV/0!</v>
      </c>
      <c r="X900" s="6" t="e">
        <f ca="1">SQRT($B$9*AVERAGE(W900:OFFSET(W900,$B$5-1,0)))</f>
        <v>#DIV/0!</v>
      </c>
      <c r="Y900" s="6" t="e">
        <f ca="1">SQRT($B$9*AVERAGE(W900:OFFSET(W900,$B$6-1,0)))</f>
        <v>#DIV/0!</v>
      </c>
      <c r="Z900" s="6" t="e">
        <f ca="1">SQRT($B$9*AVERAGE(W900:OFFSET(W900,$B$7-1,0)))</f>
        <v>#DIV/0!</v>
      </c>
      <c r="AA900" s="6" t="e">
        <f ca="1">SQRT($B$9*AVERAGE(W900:OFFSET(W900,$B$8-1,0)))</f>
        <v>#DIV/0!</v>
      </c>
      <c r="AC900" s="34" t="e">
        <f t="shared" si="75"/>
        <v>#DIV/0!</v>
      </c>
      <c r="AD900" s="34" t="e">
        <f ca="1">SQRT($B$9*SUM(AC900:OFFSET(AC900,$B$5-1,0))/($B$5-1))</f>
        <v>#DIV/0!</v>
      </c>
      <c r="AE900" s="34" t="e">
        <f ca="1">SQRT($B$9*SUM(AC900:OFFSET(AC900,$B$6-1,0))/($B$6-1))</f>
        <v>#DIV/0!</v>
      </c>
      <c r="AF900" s="34" t="e">
        <f ca="1">SQRT($B$9*SUM(AC900:OFFSET(AC900,$B$7-1,0))/($B$7-1))</f>
        <v>#DIV/0!</v>
      </c>
      <c r="AG900" s="34" t="e">
        <f ca="1">SQRT($B$9*SUM(AC900:OFFSET(AC900,$B$8-1,0))/($B$8-1))</f>
        <v>#DIV/0!</v>
      </c>
      <c r="AI900" s="1" t="e">
        <f t="shared" si="76"/>
        <v>#DIV/0!</v>
      </c>
      <c r="AJ900" s="4" t="e">
        <f ca="1">SQRT($B$9)*_xlfn.STDEV.S(AI900:OFFSET(AI900,$B$5-1,0))</f>
        <v>#DIV/0!</v>
      </c>
      <c r="AK900" s="4" t="e">
        <f ca="1">SQRT($B$9)*_xlfn.STDEV.S(AI900:OFFSET(AI900,$B$6-1,0))</f>
        <v>#DIV/0!</v>
      </c>
      <c r="AL900" s="4" t="e">
        <f ca="1">SQRT($B$9)*_xlfn.STDEV.S(AI900:OFFSET(AI900,$B$7-1,0))</f>
        <v>#DIV/0!</v>
      </c>
      <c r="AM900" s="4" t="e">
        <f ca="1">SQRT($B$9)*_xlfn.STDEV.S(AI900:OFFSET(AI900,$B$8-1,0))</f>
        <v>#DIV/0!</v>
      </c>
    </row>
    <row r="901" spans="5:39" x14ac:dyDescent="0.2">
      <c r="E901" s="42">
        <v>44126</v>
      </c>
      <c r="F901" s="43"/>
      <c r="G901" s="43"/>
      <c r="H901" s="43"/>
      <c r="I901" s="43"/>
      <c r="K901" s="3" t="e">
        <f t="shared" si="74"/>
        <v>#DIV/0!</v>
      </c>
      <c r="L901" s="3" t="e">
        <f ca="1">SQRT(AVERAGE(K901:OFFSET(K901,$B$5-1,0))*$B$9/(4*LN(2)))</f>
        <v>#DIV/0!</v>
      </c>
      <c r="M901" s="3" t="e">
        <f ca="1">SQRT(AVERAGE(K901:OFFSET(K901,$B$6-1,0))*$B$9/(4*LN(2)))</f>
        <v>#DIV/0!</v>
      </c>
      <c r="N901" s="3" t="e">
        <f ca="1">SQRT(AVERAGE(K901:OFFSET(K901,$B$7-1,0))*$B$9/(4*LN(2)))</f>
        <v>#DIV/0!</v>
      </c>
      <c r="O901" s="3" t="e">
        <f ca="1">SQRT(AVERAGE(K901:OFFSET(K901,$B$8-1,0))*$B$9/(4*LN(2)))</f>
        <v>#DIV/0!</v>
      </c>
      <c r="Q901" s="5" t="e">
        <f t="shared" ref="Q901:Q964" si="78">0.511*(LN(G901/H901))^2-0.019*(LN(I901/F901)*LN(G901*H901/F901^2)-2*LN(G901/F901)*LN(H901/F901))-0.383*(LN(I901/F901))^2</f>
        <v>#DIV/0!</v>
      </c>
      <c r="R901" s="5" t="e">
        <f ca="1">SQRT($B$9*AVERAGE((Q901:OFFSET(Q901,$B$5-1,0))))</f>
        <v>#DIV/0!</v>
      </c>
      <c r="S901" s="5" t="e">
        <f ca="1">SQRT($B$9*AVERAGE((Q901:OFFSET(Q901,$B$6-1,0))))</f>
        <v>#DIV/0!</v>
      </c>
      <c r="T901" s="5" t="e">
        <f ca="1">SQRT($B$9*AVERAGE((Q901:OFFSET(Q901,$B$7-1,0))))</f>
        <v>#DIV/0!</v>
      </c>
      <c r="U901" s="5" t="e">
        <f ca="1">SQRT($B$9*AVERAGE((Q901:OFFSET(Q901,$B$8-1,0))))</f>
        <v>#DIV/0!</v>
      </c>
      <c r="W901" s="6" t="e">
        <f t="shared" si="77"/>
        <v>#DIV/0!</v>
      </c>
      <c r="X901" s="6" t="e">
        <f ca="1">SQRT($B$9*AVERAGE(W901:OFFSET(W901,$B$5-1,0)))</f>
        <v>#DIV/0!</v>
      </c>
      <c r="Y901" s="6" t="e">
        <f ca="1">SQRT($B$9*AVERAGE(W901:OFFSET(W901,$B$6-1,0)))</f>
        <v>#DIV/0!</v>
      </c>
      <c r="Z901" s="6" t="e">
        <f ca="1">SQRT($B$9*AVERAGE(W901:OFFSET(W901,$B$7-1,0)))</f>
        <v>#DIV/0!</v>
      </c>
      <c r="AA901" s="6" t="e">
        <f ca="1">SQRT($B$9*AVERAGE(W901:OFFSET(W901,$B$8-1,0)))</f>
        <v>#DIV/0!</v>
      </c>
      <c r="AC901" s="34" t="e">
        <f t="shared" si="75"/>
        <v>#DIV/0!</v>
      </c>
      <c r="AD901" s="34" t="e">
        <f ca="1">SQRT($B$9*SUM(AC901:OFFSET(AC901,$B$5-1,0))/($B$5-1))</f>
        <v>#DIV/0!</v>
      </c>
      <c r="AE901" s="34" t="e">
        <f ca="1">SQRT($B$9*SUM(AC901:OFFSET(AC901,$B$6-1,0))/($B$6-1))</f>
        <v>#DIV/0!</v>
      </c>
      <c r="AF901" s="34" t="e">
        <f ca="1">SQRT($B$9*SUM(AC901:OFFSET(AC901,$B$7-1,0))/($B$7-1))</f>
        <v>#DIV/0!</v>
      </c>
      <c r="AG901" s="34" t="e">
        <f ca="1">SQRT($B$9*SUM(AC901:OFFSET(AC901,$B$8-1,0))/($B$8-1))</f>
        <v>#DIV/0!</v>
      </c>
      <c r="AI901" s="1" t="e">
        <f t="shared" si="76"/>
        <v>#DIV/0!</v>
      </c>
      <c r="AJ901" s="4" t="e">
        <f ca="1">SQRT($B$9)*_xlfn.STDEV.S(AI901:OFFSET(AI901,$B$5-1,0))</f>
        <v>#DIV/0!</v>
      </c>
      <c r="AK901" s="4" t="e">
        <f ca="1">SQRT($B$9)*_xlfn.STDEV.S(AI901:OFFSET(AI901,$B$6-1,0))</f>
        <v>#DIV/0!</v>
      </c>
      <c r="AL901" s="4" t="e">
        <f ca="1">SQRT($B$9)*_xlfn.STDEV.S(AI901:OFFSET(AI901,$B$7-1,0))</f>
        <v>#DIV/0!</v>
      </c>
      <c r="AM901" s="4" t="e">
        <f ca="1">SQRT($B$9)*_xlfn.STDEV.S(AI901:OFFSET(AI901,$B$8-1,0))</f>
        <v>#DIV/0!</v>
      </c>
    </row>
    <row r="902" spans="5:39" x14ac:dyDescent="0.2">
      <c r="E902" s="42">
        <v>44125</v>
      </c>
      <c r="F902" s="43"/>
      <c r="G902" s="43"/>
      <c r="H902" s="43"/>
      <c r="I902" s="43"/>
      <c r="K902" s="3" t="e">
        <f t="shared" ref="K902:K965" si="79">(LN(G902/H902))^2</f>
        <v>#DIV/0!</v>
      </c>
      <c r="L902" s="3" t="e">
        <f ca="1">SQRT(AVERAGE(K902:OFFSET(K902,$B$5-1,0))*$B$9/(4*LN(2)))</f>
        <v>#DIV/0!</v>
      </c>
      <c r="M902" s="3" t="e">
        <f ca="1">SQRT(AVERAGE(K902:OFFSET(K902,$B$6-1,0))*$B$9/(4*LN(2)))</f>
        <v>#DIV/0!</v>
      </c>
      <c r="N902" s="3" t="e">
        <f ca="1">SQRT(AVERAGE(K902:OFFSET(K902,$B$7-1,0))*$B$9/(4*LN(2)))</f>
        <v>#DIV/0!</v>
      </c>
      <c r="O902" s="3" t="e">
        <f ca="1">SQRT(AVERAGE(K902:OFFSET(K902,$B$8-1,0))*$B$9/(4*LN(2)))</f>
        <v>#DIV/0!</v>
      </c>
      <c r="Q902" s="5" t="e">
        <f t="shared" si="78"/>
        <v>#DIV/0!</v>
      </c>
      <c r="R902" s="5" t="e">
        <f ca="1">SQRT($B$9*AVERAGE((Q902:OFFSET(Q902,$B$5-1,0))))</f>
        <v>#DIV/0!</v>
      </c>
      <c r="S902" s="5" t="e">
        <f ca="1">SQRT($B$9*AVERAGE((Q902:OFFSET(Q902,$B$6-1,0))))</f>
        <v>#DIV/0!</v>
      </c>
      <c r="T902" s="5" t="e">
        <f ca="1">SQRT($B$9*AVERAGE((Q902:OFFSET(Q902,$B$7-1,0))))</f>
        <v>#DIV/0!</v>
      </c>
      <c r="U902" s="5" t="e">
        <f ca="1">SQRT($B$9*AVERAGE((Q902:OFFSET(Q902,$B$8-1,0))))</f>
        <v>#DIV/0!</v>
      </c>
      <c r="W902" s="6" t="e">
        <f t="shared" si="77"/>
        <v>#DIV/0!</v>
      </c>
      <c r="X902" s="6" t="e">
        <f ca="1">SQRT($B$9*AVERAGE(W902:OFFSET(W902,$B$5-1,0)))</f>
        <v>#DIV/0!</v>
      </c>
      <c r="Y902" s="6" t="e">
        <f ca="1">SQRT($B$9*AVERAGE(W902:OFFSET(W902,$B$6-1,0)))</f>
        <v>#DIV/0!</v>
      </c>
      <c r="Z902" s="6" t="e">
        <f ca="1">SQRT($B$9*AVERAGE(W902:OFFSET(W902,$B$7-1,0)))</f>
        <v>#DIV/0!</v>
      </c>
      <c r="AA902" s="6" t="e">
        <f ca="1">SQRT($B$9*AVERAGE(W902:OFFSET(W902,$B$8-1,0)))</f>
        <v>#DIV/0!</v>
      </c>
      <c r="AC902" s="34" t="e">
        <f t="shared" si="75"/>
        <v>#DIV/0!</v>
      </c>
      <c r="AD902" s="34" t="e">
        <f ca="1">SQRT($B$9*SUM(AC902:OFFSET(AC902,$B$5-1,0))/($B$5-1))</f>
        <v>#DIV/0!</v>
      </c>
      <c r="AE902" s="34" t="e">
        <f ca="1">SQRT($B$9*SUM(AC902:OFFSET(AC902,$B$6-1,0))/($B$6-1))</f>
        <v>#DIV/0!</v>
      </c>
      <c r="AF902" s="34" t="e">
        <f ca="1">SQRT($B$9*SUM(AC902:OFFSET(AC902,$B$7-1,0))/($B$7-1))</f>
        <v>#DIV/0!</v>
      </c>
      <c r="AG902" s="34" t="e">
        <f ca="1">SQRT($B$9*SUM(AC902:OFFSET(AC902,$B$8-1,0))/($B$8-1))</f>
        <v>#DIV/0!</v>
      </c>
      <c r="AI902" s="1" t="e">
        <f t="shared" si="76"/>
        <v>#DIV/0!</v>
      </c>
      <c r="AJ902" s="4" t="e">
        <f ca="1">SQRT($B$9)*_xlfn.STDEV.S(AI902:OFFSET(AI902,$B$5-1,0))</f>
        <v>#DIV/0!</v>
      </c>
      <c r="AK902" s="4" t="e">
        <f ca="1">SQRT($B$9)*_xlfn.STDEV.S(AI902:OFFSET(AI902,$B$6-1,0))</f>
        <v>#DIV/0!</v>
      </c>
      <c r="AL902" s="4" t="e">
        <f ca="1">SQRT($B$9)*_xlfn.STDEV.S(AI902:OFFSET(AI902,$B$7-1,0))</f>
        <v>#DIV/0!</v>
      </c>
      <c r="AM902" s="4" t="e">
        <f ca="1">SQRT($B$9)*_xlfn.STDEV.S(AI902:OFFSET(AI902,$B$8-1,0))</f>
        <v>#DIV/0!</v>
      </c>
    </row>
    <row r="903" spans="5:39" x14ac:dyDescent="0.2">
      <c r="E903" s="42">
        <v>44124</v>
      </c>
      <c r="F903" s="43"/>
      <c r="G903" s="43"/>
      <c r="H903" s="43"/>
      <c r="I903" s="43"/>
      <c r="K903" s="3" t="e">
        <f t="shared" si="79"/>
        <v>#DIV/0!</v>
      </c>
      <c r="L903" s="3" t="e">
        <f ca="1">SQRT(AVERAGE(K903:OFFSET(K903,$B$5-1,0))*$B$9/(4*LN(2)))</f>
        <v>#DIV/0!</v>
      </c>
      <c r="M903" s="3" t="e">
        <f ca="1">SQRT(AVERAGE(K903:OFFSET(K903,$B$6-1,0))*$B$9/(4*LN(2)))</f>
        <v>#DIV/0!</v>
      </c>
      <c r="N903" s="3" t="e">
        <f ca="1">SQRT(AVERAGE(K903:OFFSET(K903,$B$7-1,0))*$B$9/(4*LN(2)))</f>
        <v>#DIV/0!</v>
      </c>
      <c r="O903" s="3" t="e">
        <f ca="1">SQRT(AVERAGE(K903:OFFSET(K903,$B$8-1,0))*$B$9/(4*LN(2)))</f>
        <v>#DIV/0!</v>
      </c>
      <c r="Q903" s="5" t="e">
        <f t="shared" si="78"/>
        <v>#DIV/0!</v>
      </c>
      <c r="R903" s="5" t="e">
        <f ca="1">SQRT($B$9*AVERAGE((Q903:OFFSET(Q903,$B$5-1,0))))</f>
        <v>#DIV/0!</v>
      </c>
      <c r="S903" s="5" t="e">
        <f ca="1">SQRT($B$9*AVERAGE((Q903:OFFSET(Q903,$B$6-1,0))))</f>
        <v>#DIV/0!</v>
      </c>
      <c r="T903" s="5" t="e">
        <f ca="1">SQRT($B$9*AVERAGE((Q903:OFFSET(Q903,$B$7-1,0))))</f>
        <v>#DIV/0!</v>
      </c>
      <c r="U903" s="5" t="e">
        <f ca="1">SQRT($B$9*AVERAGE((Q903:OFFSET(Q903,$B$8-1,0))))</f>
        <v>#DIV/0!</v>
      </c>
      <c r="W903" s="6" t="e">
        <f t="shared" si="77"/>
        <v>#DIV/0!</v>
      </c>
      <c r="X903" s="6" t="e">
        <f ca="1">SQRT($B$9*AVERAGE(W903:OFFSET(W903,$B$5-1,0)))</f>
        <v>#DIV/0!</v>
      </c>
      <c r="Y903" s="6" t="e">
        <f ca="1">SQRT($B$9*AVERAGE(W903:OFFSET(W903,$B$6-1,0)))</f>
        <v>#DIV/0!</v>
      </c>
      <c r="Z903" s="6" t="e">
        <f ca="1">SQRT($B$9*AVERAGE(W903:OFFSET(W903,$B$7-1,0)))</f>
        <v>#DIV/0!</v>
      </c>
      <c r="AA903" s="6" t="e">
        <f ca="1">SQRT($B$9*AVERAGE(W903:OFFSET(W903,$B$8-1,0)))</f>
        <v>#DIV/0!</v>
      </c>
      <c r="AC903" s="34" t="e">
        <f t="shared" si="75"/>
        <v>#DIV/0!</v>
      </c>
      <c r="AD903" s="34" t="e">
        <f ca="1">SQRT($B$9*SUM(AC903:OFFSET(AC903,$B$5-1,0))/($B$5-1))</f>
        <v>#DIV/0!</v>
      </c>
      <c r="AE903" s="34" t="e">
        <f ca="1">SQRT($B$9*SUM(AC903:OFFSET(AC903,$B$6-1,0))/($B$6-1))</f>
        <v>#DIV/0!</v>
      </c>
      <c r="AF903" s="34" t="e">
        <f ca="1">SQRT($B$9*SUM(AC903:OFFSET(AC903,$B$7-1,0))/($B$7-1))</f>
        <v>#DIV/0!</v>
      </c>
      <c r="AG903" s="34" t="e">
        <f ca="1">SQRT($B$9*SUM(AC903:OFFSET(AC903,$B$8-1,0))/($B$8-1))</f>
        <v>#DIV/0!</v>
      </c>
      <c r="AI903" s="1" t="e">
        <f t="shared" si="76"/>
        <v>#DIV/0!</v>
      </c>
      <c r="AJ903" s="4" t="e">
        <f ca="1">SQRT($B$9)*_xlfn.STDEV.S(AI903:OFFSET(AI903,$B$5-1,0))</f>
        <v>#DIV/0!</v>
      </c>
      <c r="AK903" s="4" t="e">
        <f ca="1">SQRT($B$9)*_xlfn.STDEV.S(AI903:OFFSET(AI903,$B$6-1,0))</f>
        <v>#DIV/0!</v>
      </c>
      <c r="AL903" s="4" t="e">
        <f ca="1">SQRT($B$9)*_xlfn.STDEV.S(AI903:OFFSET(AI903,$B$7-1,0))</f>
        <v>#DIV/0!</v>
      </c>
      <c r="AM903" s="4" t="e">
        <f ca="1">SQRT($B$9)*_xlfn.STDEV.S(AI903:OFFSET(AI903,$B$8-1,0))</f>
        <v>#DIV/0!</v>
      </c>
    </row>
    <row r="904" spans="5:39" x14ac:dyDescent="0.2">
      <c r="E904" s="42">
        <v>44123</v>
      </c>
      <c r="F904" s="43"/>
      <c r="G904" s="43"/>
      <c r="H904" s="43"/>
      <c r="I904" s="43"/>
      <c r="K904" s="3" t="e">
        <f t="shared" si="79"/>
        <v>#DIV/0!</v>
      </c>
      <c r="L904" s="3" t="e">
        <f ca="1">SQRT(AVERAGE(K904:OFFSET(K904,$B$5-1,0))*$B$9/(4*LN(2)))</f>
        <v>#DIV/0!</v>
      </c>
      <c r="M904" s="3" t="e">
        <f ca="1">SQRT(AVERAGE(K904:OFFSET(K904,$B$6-1,0))*$B$9/(4*LN(2)))</f>
        <v>#DIV/0!</v>
      </c>
      <c r="N904" s="3" t="e">
        <f ca="1">SQRT(AVERAGE(K904:OFFSET(K904,$B$7-1,0))*$B$9/(4*LN(2)))</f>
        <v>#DIV/0!</v>
      </c>
      <c r="O904" s="3" t="e">
        <f ca="1">SQRT(AVERAGE(K904:OFFSET(K904,$B$8-1,0))*$B$9/(4*LN(2)))</f>
        <v>#DIV/0!</v>
      </c>
      <c r="Q904" s="5" t="e">
        <f t="shared" si="78"/>
        <v>#DIV/0!</v>
      </c>
      <c r="R904" s="5" t="e">
        <f ca="1">SQRT($B$9*AVERAGE((Q904:OFFSET(Q904,$B$5-1,0))))</f>
        <v>#DIV/0!</v>
      </c>
      <c r="S904" s="5" t="e">
        <f ca="1">SQRT($B$9*AVERAGE((Q904:OFFSET(Q904,$B$6-1,0))))</f>
        <v>#DIV/0!</v>
      </c>
      <c r="T904" s="5" t="e">
        <f ca="1">SQRT($B$9*AVERAGE((Q904:OFFSET(Q904,$B$7-1,0))))</f>
        <v>#DIV/0!</v>
      </c>
      <c r="U904" s="5" t="e">
        <f ca="1">SQRT($B$9*AVERAGE((Q904:OFFSET(Q904,$B$8-1,0))))</f>
        <v>#DIV/0!</v>
      </c>
      <c r="W904" s="6" t="e">
        <f t="shared" si="77"/>
        <v>#DIV/0!</v>
      </c>
      <c r="X904" s="6" t="e">
        <f ca="1">SQRT($B$9*AVERAGE(W904:OFFSET(W904,$B$5-1,0)))</f>
        <v>#DIV/0!</v>
      </c>
      <c r="Y904" s="6" t="e">
        <f ca="1">SQRT($B$9*AVERAGE(W904:OFFSET(W904,$B$6-1,0)))</f>
        <v>#DIV/0!</v>
      </c>
      <c r="Z904" s="6" t="e">
        <f ca="1">SQRT($B$9*AVERAGE(W904:OFFSET(W904,$B$7-1,0)))</f>
        <v>#DIV/0!</v>
      </c>
      <c r="AA904" s="6" t="e">
        <f ca="1">SQRT($B$9*AVERAGE(W904:OFFSET(W904,$B$8-1,0)))</f>
        <v>#DIV/0!</v>
      </c>
      <c r="AC904" s="34" t="e">
        <f t="shared" si="75"/>
        <v>#DIV/0!</v>
      </c>
      <c r="AD904" s="34" t="e">
        <f ca="1">SQRT($B$9*SUM(AC904:OFFSET(AC904,$B$5-1,0))/($B$5-1))</f>
        <v>#DIV/0!</v>
      </c>
      <c r="AE904" s="34" t="e">
        <f ca="1">SQRT($B$9*SUM(AC904:OFFSET(AC904,$B$6-1,0))/($B$6-1))</f>
        <v>#DIV/0!</v>
      </c>
      <c r="AF904" s="34" t="e">
        <f ca="1">SQRT($B$9*SUM(AC904:OFFSET(AC904,$B$7-1,0))/($B$7-1))</f>
        <v>#DIV/0!</v>
      </c>
      <c r="AG904" s="34" t="e">
        <f ca="1">SQRT($B$9*SUM(AC904:OFFSET(AC904,$B$8-1,0))/($B$8-1))</f>
        <v>#DIV/0!</v>
      </c>
      <c r="AI904" s="1" t="e">
        <f t="shared" si="76"/>
        <v>#DIV/0!</v>
      </c>
      <c r="AJ904" s="4" t="e">
        <f ca="1">SQRT($B$9)*_xlfn.STDEV.S(AI904:OFFSET(AI904,$B$5-1,0))</f>
        <v>#DIV/0!</v>
      </c>
      <c r="AK904" s="4" t="e">
        <f ca="1">SQRT($B$9)*_xlfn.STDEV.S(AI904:OFFSET(AI904,$B$6-1,0))</f>
        <v>#DIV/0!</v>
      </c>
      <c r="AL904" s="4" t="e">
        <f ca="1">SQRT($B$9)*_xlfn.STDEV.S(AI904:OFFSET(AI904,$B$7-1,0))</f>
        <v>#DIV/0!</v>
      </c>
      <c r="AM904" s="4" t="e">
        <f ca="1">SQRT($B$9)*_xlfn.STDEV.S(AI904:OFFSET(AI904,$B$8-1,0))</f>
        <v>#DIV/0!</v>
      </c>
    </row>
    <row r="905" spans="5:39" x14ac:dyDescent="0.2">
      <c r="E905" s="42">
        <v>44120</v>
      </c>
      <c r="F905" s="43"/>
      <c r="G905" s="43"/>
      <c r="H905" s="43"/>
      <c r="I905" s="43"/>
      <c r="K905" s="3" t="e">
        <f t="shared" si="79"/>
        <v>#DIV/0!</v>
      </c>
      <c r="L905" s="3" t="e">
        <f ca="1">SQRT(AVERAGE(K905:OFFSET(K905,$B$5-1,0))*$B$9/(4*LN(2)))</f>
        <v>#DIV/0!</v>
      </c>
      <c r="M905" s="3" t="e">
        <f ca="1">SQRT(AVERAGE(K905:OFFSET(K905,$B$6-1,0))*$B$9/(4*LN(2)))</f>
        <v>#DIV/0!</v>
      </c>
      <c r="N905" s="3" t="e">
        <f ca="1">SQRT(AVERAGE(K905:OFFSET(K905,$B$7-1,0))*$B$9/(4*LN(2)))</f>
        <v>#DIV/0!</v>
      </c>
      <c r="O905" s="3" t="e">
        <f ca="1">SQRT(AVERAGE(K905:OFFSET(K905,$B$8-1,0))*$B$9/(4*LN(2)))</f>
        <v>#DIV/0!</v>
      </c>
      <c r="Q905" s="5" t="e">
        <f t="shared" si="78"/>
        <v>#DIV/0!</v>
      </c>
      <c r="R905" s="5" t="e">
        <f ca="1">SQRT($B$9*AVERAGE((Q905:OFFSET(Q905,$B$5-1,0))))</f>
        <v>#DIV/0!</v>
      </c>
      <c r="S905" s="5" t="e">
        <f ca="1">SQRT($B$9*AVERAGE((Q905:OFFSET(Q905,$B$6-1,0))))</f>
        <v>#DIV/0!</v>
      </c>
      <c r="T905" s="5" t="e">
        <f ca="1">SQRT($B$9*AVERAGE((Q905:OFFSET(Q905,$B$7-1,0))))</f>
        <v>#DIV/0!</v>
      </c>
      <c r="U905" s="5" t="e">
        <f ca="1">SQRT($B$9*AVERAGE((Q905:OFFSET(Q905,$B$8-1,0))))</f>
        <v>#DIV/0!</v>
      </c>
      <c r="W905" s="6" t="e">
        <f t="shared" si="77"/>
        <v>#DIV/0!</v>
      </c>
      <c r="X905" s="6" t="e">
        <f ca="1">SQRT($B$9*AVERAGE(W905:OFFSET(W905,$B$5-1,0)))</f>
        <v>#DIV/0!</v>
      </c>
      <c r="Y905" s="6" t="e">
        <f ca="1">SQRT($B$9*AVERAGE(W905:OFFSET(W905,$B$6-1,0)))</f>
        <v>#DIV/0!</v>
      </c>
      <c r="Z905" s="6" t="e">
        <f ca="1">SQRT($B$9*AVERAGE(W905:OFFSET(W905,$B$7-1,0)))</f>
        <v>#DIV/0!</v>
      </c>
      <c r="AA905" s="6" t="e">
        <f ca="1">SQRT($B$9*AVERAGE(W905:OFFSET(W905,$B$8-1,0)))</f>
        <v>#DIV/0!</v>
      </c>
      <c r="AC905" s="34" t="e">
        <f t="shared" si="75"/>
        <v>#DIV/0!</v>
      </c>
      <c r="AD905" s="34" t="e">
        <f ca="1">SQRT($B$9*SUM(AC905:OFFSET(AC905,$B$5-1,0))/($B$5-1))</f>
        <v>#DIV/0!</v>
      </c>
      <c r="AE905" s="34" t="e">
        <f ca="1">SQRT($B$9*SUM(AC905:OFFSET(AC905,$B$6-1,0))/($B$6-1))</f>
        <v>#DIV/0!</v>
      </c>
      <c r="AF905" s="34" t="e">
        <f ca="1">SQRT($B$9*SUM(AC905:OFFSET(AC905,$B$7-1,0))/($B$7-1))</f>
        <v>#DIV/0!</v>
      </c>
      <c r="AG905" s="34" t="e">
        <f ca="1">SQRT($B$9*SUM(AC905:OFFSET(AC905,$B$8-1,0))/($B$8-1))</f>
        <v>#DIV/0!</v>
      </c>
      <c r="AI905" s="1" t="e">
        <f t="shared" si="76"/>
        <v>#DIV/0!</v>
      </c>
      <c r="AJ905" s="4" t="e">
        <f ca="1">SQRT($B$9)*_xlfn.STDEV.S(AI905:OFFSET(AI905,$B$5-1,0))</f>
        <v>#DIV/0!</v>
      </c>
      <c r="AK905" s="4" t="e">
        <f ca="1">SQRT($B$9)*_xlfn.STDEV.S(AI905:OFFSET(AI905,$B$6-1,0))</f>
        <v>#DIV/0!</v>
      </c>
      <c r="AL905" s="4" t="e">
        <f ca="1">SQRT($B$9)*_xlfn.STDEV.S(AI905:OFFSET(AI905,$B$7-1,0))</f>
        <v>#DIV/0!</v>
      </c>
      <c r="AM905" s="4" t="e">
        <f ca="1">SQRT($B$9)*_xlfn.STDEV.S(AI905:OFFSET(AI905,$B$8-1,0))</f>
        <v>#DIV/0!</v>
      </c>
    </row>
    <row r="906" spans="5:39" x14ac:dyDescent="0.2">
      <c r="E906" s="42">
        <v>44119</v>
      </c>
      <c r="F906" s="43"/>
      <c r="G906" s="43"/>
      <c r="H906" s="43"/>
      <c r="I906" s="43"/>
      <c r="K906" s="3" t="e">
        <f t="shared" si="79"/>
        <v>#DIV/0!</v>
      </c>
      <c r="L906" s="3" t="e">
        <f ca="1">SQRT(AVERAGE(K906:OFFSET(K906,$B$5-1,0))*$B$9/(4*LN(2)))</f>
        <v>#DIV/0!</v>
      </c>
      <c r="M906" s="3" t="e">
        <f ca="1">SQRT(AVERAGE(K906:OFFSET(K906,$B$6-1,0))*$B$9/(4*LN(2)))</f>
        <v>#DIV/0!</v>
      </c>
      <c r="N906" s="3" t="e">
        <f ca="1">SQRT(AVERAGE(K906:OFFSET(K906,$B$7-1,0))*$B$9/(4*LN(2)))</f>
        <v>#DIV/0!</v>
      </c>
      <c r="O906" s="3" t="e">
        <f ca="1">SQRT(AVERAGE(K906:OFFSET(K906,$B$8-1,0))*$B$9/(4*LN(2)))</f>
        <v>#DIV/0!</v>
      </c>
      <c r="Q906" s="5" t="e">
        <f t="shared" si="78"/>
        <v>#DIV/0!</v>
      </c>
      <c r="R906" s="5" t="e">
        <f ca="1">SQRT($B$9*AVERAGE((Q906:OFFSET(Q906,$B$5-1,0))))</f>
        <v>#DIV/0!</v>
      </c>
      <c r="S906" s="5" t="e">
        <f ca="1">SQRT($B$9*AVERAGE((Q906:OFFSET(Q906,$B$6-1,0))))</f>
        <v>#DIV/0!</v>
      </c>
      <c r="T906" s="5" t="e">
        <f ca="1">SQRT($B$9*AVERAGE((Q906:OFFSET(Q906,$B$7-1,0))))</f>
        <v>#DIV/0!</v>
      </c>
      <c r="U906" s="5" t="e">
        <f ca="1">SQRT($B$9*AVERAGE((Q906:OFFSET(Q906,$B$8-1,0))))</f>
        <v>#DIV/0!</v>
      </c>
      <c r="W906" s="6" t="e">
        <f t="shared" si="77"/>
        <v>#DIV/0!</v>
      </c>
      <c r="X906" s="6" t="e">
        <f ca="1">SQRT($B$9*AVERAGE(W906:OFFSET(W906,$B$5-1,0)))</f>
        <v>#DIV/0!</v>
      </c>
      <c r="Y906" s="6" t="e">
        <f ca="1">SQRT($B$9*AVERAGE(W906:OFFSET(W906,$B$6-1,0)))</f>
        <v>#DIV/0!</v>
      </c>
      <c r="Z906" s="6" t="e">
        <f ca="1">SQRT($B$9*AVERAGE(W906:OFFSET(W906,$B$7-1,0)))</f>
        <v>#DIV/0!</v>
      </c>
      <c r="AA906" s="6" t="e">
        <f ca="1">SQRT($B$9*AVERAGE(W906:OFFSET(W906,$B$8-1,0)))</f>
        <v>#DIV/0!</v>
      </c>
      <c r="AC906" s="34" t="e">
        <f t="shared" si="75"/>
        <v>#DIV/0!</v>
      </c>
      <c r="AD906" s="34" t="e">
        <f ca="1">SQRT($B$9*SUM(AC906:OFFSET(AC906,$B$5-1,0))/($B$5-1))</f>
        <v>#DIV/0!</v>
      </c>
      <c r="AE906" s="34" t="e">
        <f ca="1">SQRT($B$9*SUM(AC906:OFFSET(AC906,$B$6-1,0))/($B$6-1))</f>
        <v>#DIV/0!</v>
      </c>
      <c r="AF906" s="34" t="e">
        <f ca="1">SQRT($B$9*SUM(AC906:OFFSET(AC906,$B$7-1,0))/($B$7-1))</f>
        <v>#DIV/0!</v>
      </c>
      <c r="AG906" s="34" t="e">
        <f ca="1">SQRT($B$9*SUM(AC906:OFFSET(AC906,$B$8-1,0))/($B$8-1))</f>
        <v>#DIV/0!</v>
      </c>
      <c r="AI906" s="1" t="e">
        <f t="shared" si="76"/>
        <v>#DIV/0!</v>
      </c>
      <c r="AJ906" s="4" t="e">
        <f ca="1">SQRT($B$9)*_xlfn.STDEV.S(AI906:OFFSET(AI906,$B$5-1,0))</f>
        <v>#DIV/0!</v>
      </c>
      <c r="AK906" s="4" t="e">
        <f ca="1">SQRT($B$9)*_xlfn.STDEV.S(AI906:OFFSET(AI906,$B$6-1,0))</f>
        <v>#DIV/0!</v>
      </c>
      <c r="AL906" s="4" t="e">
        <f ca="1">SQRT($B$9)*_xlfn.STDEV.S(AI906:OFFSET(AI906,$B$7-1,0))</f>
        <v>#DIV/0!</v>
      </c>
      <c r="AM906" s="4" t="e">
        <f ca="1">SQRT($B$9)*_xlfn.STDEV.S(AI906:OFFSET(AI906,$B$8-1,0))</f>
        <v>#DIV/0!</v>
      </c>
    </row>
    <row r="907" spans="5:39" x14ac:dyDescent="0.2">
      <c r="E907" s="42">
        <v>44118</v>
      </c>
      <c r="F907" s="43"/>
      <c r="G907" s="43"/>
      <c r="H907" s="43"/>
      <c r="I907" s="43"/>
      <c r="K907" s="3" t="e">
        <f t="shared" si="79"/>
        <v>#DIV/0!</v>
      </c>
      <c r="L907" s="3" t="e">
        <f ca="1">SQRT(AVERAGE(K907:OFFSET(K907,$B$5-1,0))*$B$9/(4*LN(2)))</f>
        <v>#DIV/0!</v>
      </c>
      <c r="M907" s="3" t="e">
        <f ca="1">SQRT(AVERAGE(K907:OFFSET(K907,$B$6-1,0))*$B$9/(4*LN(2)))</f>
        <v>#DIV/0!</v>
      </c>
      <c r="N907" s="3" t="e">
        <f ca="1">SQRT(AVERAGE(K907:OFFSET(K907,$B$7-1,0))*$B$9/(4*LN(2)))</f>
        <v>#DIV/0!</v>
      </c>
      <c r="O907" s="3" t="e">
        <f ca="1">SQRT(AVERAGE(K907:OFFSET(K907,$B$8-1,0))*$B$9/(4*LN(2)))</f>
        <v>#DIV/0!</v>
      </c>
      <c r="Q907" s="5" t="e">
        <f t="shared" si="78"/>
        <v>#DIV/0!</v>
      </c>
      <c r="R907" s="5" t="e">
        <f ca="1">SQRT($B$9*AVERAGE((Q907:OFFSET(Q907,$B$5-1,0))))</f>
        <v>#DIV/0!</v>
      </c>
      <c r="S907" s="5" t="e">
        <f ca="1">SQRT($B$9*AVERAGE((Q907:OFFSET(Q907,$B$6-1,0))))</f>
        <v>#DIV/0!</v>
      </c>
      <c r="T907" s="5" t="e">
        <f ca="1">SQRT($B$9*AVERAGE((Q907:OFFSET(Q907,$B$7-1,0))))</f>
        <v>#DIV/0!</v>
      </c>
      <c r="U907" s="5" t="e">
        <f ca="1">SQRT($B$9*AVERAGE((Q907:OFFSET(Q907,$B$8-1,0))))</f>
        <v>#DIV/0!</v>
      </c>
      <c r="W907" s="6" t="e">
        <f t="shared" si="77"/>
        <v>#DIV/0!</v>
      </c>
      <c r="X907" s="6" t="e">
        <f ca="1">SQRT($B$9*AVERAGE(W907:OFFSET(W907,$B$5-1,0)))</f>
        <v>#DIV/0!</v>
      </c>
      <c r="Y907" s="6" t="e">
        <f ca="1">SQRT($B$9*AVERAGE(W907:OFFSET(W907,$B$6-1,0)))</f>
        <v>#DIV/0!</v>
      </c>
      <c r="Z907" s="6" t="e">
        <f ca="1">SQRT($B$9*AVERAGE(W907:OFFSET(W907,$B$7-1,0)))</f>
        <v>#DIV/0!</v>
      </c>
      <c r="AA907" s="6" t="e">
        <f ca="1">SQRT($B$9*AVERAGE(W907:OFFSET(W907,$B$8-1,0)))</f>
        <v>#DIV/0!</v>
      </c>
      <c r="AC907" s="34" t="e">
        <f t="shared" si="75"/>
        <v>#DIV/0!</v>
      </c>
      <c r="AD907" s="34" t="e">
        <f ca="1">SQRT($B$9*SUM(AC907:OFFSET(AC907,$B$5-1,0))/($B$5-1))</f>
        <v>#DIV/0!</v>
      </c>
      <c r="AE907" s="34" t="e">
        <f ca="1">SQRT($B$9*SUM(AC907:OFFSET(AC907,$B$6-1,0))/($B$6-1))</f>
        <v>#DIV/0!</v>
      </c>
      <c r="AF907" s="34" t="e">
        <f ca="1">SQRT($B$9*SUM(AC907:OFFSET(AC907,$B$7-1,0))/($B$7-1))</f>
        <v>#DIV/0!</v>
      </c>
      <c r="AG907" s="34" t="e">
        <f ca="1">SQRT($B$9*SUM(AC907:OFFSET(AC907,$B$8-1,0))/($B$8-1))</f>
        <v>#DIV/0!</v>
      </c>
      <c r="AI907" s="1" t="e">
        <f t="shared" si="76"/>
        <v>#DIV/0!</v>
      </c>
      <c r="AJ907" s="4" t="e">
        <f ca="1">SQRT($B$9)*_xlfn.STDEV.S(AI907:OFFSET(AI907,$B$5-1,0))</f>
        <v>#DIV/0!</v>
      </c>
      <c r="AK907" s="4" t="e">
        <f ca="1">SQRT($B$9)*_xlfn.STDEV.S(AI907:OFFSET(AI907,$B$6-1,0))</f>
        <v>#DIV/0!</v>
      </c>
      <c r="AL907" s="4" t="e">
        <f ca="1">SQRT($B$9)*_xlfn.STDEV.S(AI907:OFFSET(AI907,$B$7-1,0))</f>
        <v>#DIV/0!</v>
      </c>
      <c r="AM907" s="4" t="e">
        <f ca="1">SQRT($B$9)*_xlfn.STDEV.S(AI907:OFFSET(AI907,$B$8-1,0))</f>
        <v>#DIV/0!</v>
      </c>
    </row>
    <row r="908" spans="5:39" x14ac:dyDescent="0.2">
      <c r="E908" s="42">
        <v>44117</v>
      </c>
      <c r="F908" s="43"/>
      <c r="G908" s="43"/>
      <c r="H908" s="43"/>
      <c r="I908" s="43"/>
      <c r="K908" s="3" t="e">
        <f t="shared" si="79"/>
        <v>#DIV/0!</v>
      </c>
      <c r="L908" s="3" t="e">
        <f ca="1">SQRT(AVERAGE(K908:OFFSET(K908,$B$5-1,0))*$B$9/(4*LN(2)))</f>
        <v>#DIV/0!</v>
      </c>
      <c r="M908" s="3" t="e">
        <f ca="1">SQRT(AVERAGE(K908:OFFSET(K908,$B$6-1,0))*$B$9/(4*LN(2)))</f>
        <v>#DIV/0!</v>
      </c>
      <c r="N908" s="3" t="e">
        <f ca="1">SQRT(AVERAGE(K908:OFFSET(K908,$B$7-1,0))*$B$9/(4*LN(2)))</f>
        <v>#DIV/0!</v>
      </c>
      <c r="O908" s="3" t="e">
        <f ca="1">SQRT(AVERAGE(K908:OFFSET(K908,$B$8-1,0))*$B$9/(4*LN(2)))</f>
        <v>#DIV/0!</v>
      </c>
      <c r="Q908" s="5" t="e">
        <f t="shared" si="78"/>
        <v>#DIV/0!</v>
      </c>
      <c r="R908" s="5" t="e">
        <f ca="1">SQRT($B$9*AVERAGE((Q908:OFFSET(Q908,$B$5-1,0))))</f>
        <v>#DIV/0!</v>
      </c>
      <c r="S908" s="5" t="e">
        <f ca="1">SQRT($B$9*AVERAGE((Q908:OFFSET(Q908,$B$6-1,0))))</f>
        <v>#DIV/0!</v>
      </c>
      <c r="T908" s="5" t="e">
        <f ca="1">SQRT($B$9*AVERAGE((Q908:OFFSET(Q908,$B$7-1,0))))</f>
        <v>#DIV/0!</v>
      </c>
      <c r="U908" s="5" t="e">
        <f ca="1">SQRT($B$9*AVERAGE((Q908:OFFSET(Q908,$B$8-1,0))))</f>
        <v>#DIV/0!</v>
      </c>
      <c r="W908" s="6" t="e">
        <f t="shared" si="77"/>
        <v>#DIV/0!</v>
      </c>
      <c r="X908" s="6" t="e">
        <f ca="1">SQRT($B$9*AVERAGE(W908:OFFSET(W908,$B$5-1,0)))</f>
        <v>#DIV/0!</v>
      </c>
      <c r="Y908" s="6" t="e">
        <f ca="1">SQRT($B$9*AVERAGE(W908:OFFSET(W908,$B$6-1,0)))</f>
        <v>#DIV/0!</v>
      </c>
      <c r="Z908" s="6" t="e">
        <f ca="1">SQRT($B$9*AVERAGE(W908:OFFSET(W908,$B$7-1,0)))</f>
        <v>#DIV/0!</v>
      </c>
      <c r="AA908" s="6" t="e">
        <f ca="1">SQRT($B$9*AVERAGE(W908:OFFSET(W908,$B$8-1,0)))</f>
        <v>#DIV/0!</v>
      </c>
      <c r="AC908" s="34" t="e">
        <f t="shared" si="75"/>
        <v>#DIV/0!</v>
      </c>
      <c r="AD908" s="34" t="e">
        <f ca="1">SQRT($B$9*SUM(AC908:OFFSET(AC908,$B$5-1,0))/($B$5-1))</f>
        <v>#DIV/0!</v>
      </c>
      <c r="AE908" s="34" t="e">
        <f ca="1">SQRT($B$9*SUM(AC908:OFFSET(AC908,$B$6-1,0))/($B$6-1))</f>
        <v>#DIV/0!</v>
      </c>
      <c r="AF908" s="34" t="e">
        <f ca="1">SQRT($B$9*SUM(AC908:OFFSET(AC908,$B$7-1,0))/($B$7-1))</f>
        <v>#DIV/0!</v>
      </c>
      <c r="AG908" s="34" t="e">
        <f ca="1">SQRT($B$9*SUM(AC908:OFFSET(AC908,$B$8-1,0))/($B$8-1))</f>
        <v>#DIV/0!</v>
      </c>
      <c r="AI908" s="1" t="e">
        <f t="shared" si="76"/>
        <v>#DIV/0!</v>
      </c>
      <c r="AJ908" s="4" t="e">
        <f ca="1">SQRT($B$9)*_xlfn.STDEV.S(AI908:OFFSET(AI908,$B$5-1,0))</f>
        <v>#DIV/0!</v>
      </c>
      <c r="AK908" s="4" t="e">
        <f ca="1">SQRT($B$9)*_xlfn.STDEV.S(AI908:OFFSET(AI908,$B$6-1,0))</f>
        <v>#DIV/0!</v>
      </c>
      <c r="AL908" s="4" t="e">
        <f ca="1">SQRT($B$9)*_xlfn.STDEV.S(AI908:OFFSET(AI908,$B$7-1,0))</f>
        <v>#DIV/0!</v>
      </c>
      <c r="AM908" s="4" t="e">
        <f ca="1">SQRT($B$9)*_xlfn.STDEV.S(AI908:OFFSET(AI908,$B$8-1,0))</f>
        <v>#DIV/0!</v>
      </c>
    </row>
    <row r="909" spans="5:39" x14ac:dyDescent="0.2">
      <c r="E909" s="42">
        <v>44116</v>
      </c>
      <c r="F909" s="43"/>
      <c r="G909" s="43"/>
      <c r="H909" s="43"/>
      <c r="I909" s="43"/>
      <c r="K909" s="3" t="e">
        <f t="shared" si="79"/>
        <v>#DIV/0!</v>
      </c>
      <c r="L909" s="3" t="e">
        <f ca="1">SQRT(AVERAGE(K909:OFFSET(K909,$B$5-1,0))*$B$9/(4*LN(2)))</f>
        <v>#DIV/0!</v>
      </c>
      <c r="M909" s="3" t="e">
        <f ca="1">SQRT(AVERAGE(K909:OFFSET(K909,$B$6-1,0))*$B$9/(4*LN(2)))</f>
        <v>#DIV/0!</v>
      </c>
      <c r="N909" s="3" t="e">
        <f ca="1">SQRT(AVERAGE(K909:OFFSET(K909,$B$7-1,0))*$B$9/(4*LN(2)))</f>
        <v>#DIV/0!</v>
      </c>
      <c r="O909" s="3" t="e">
        <f ca="1">SQRT(AVERAGE(K909:OFFSET(K909,$B$8-1,0))*$B$9/(4*LN(2)))</f>
        <v>#DIV/0!</v>
      </c>
      <c r="Q909" s="5" t="e">
        <f t="shared" si="78"/>
        <v>#DIV/0!</v>
      </c>
      <c r="R909" s="5" t="e">
        <f ca="1">SQRT($B$9*AVERAGE((Q909:OFFSET(Q909,$B$5-1,0))))</f>
        <v>#DIV/0!</v>
      </c>
      <c r="S909" s="5" t="e">
        <f ca="1">SQRT($B$9*AVERAGE((Q909:OFFSET(Q909,$B$6-1,0))))</f>
        <v>#DIV/0!</v>
      </c>
      <c r="T909" s="5" t="e">
        <f ca="1">SQRT($B$9*AVERAGE((Q909:OFFSET(Q909,$B$7-1,0))))</f>
        <v>#DIV/0!</v>
      </c>
      <c r="U909" s="5" t="e">
        <f ca="1">SQRT($B$9*AVERAGE((Q909:OFFSET(Q909,$B$8-1,0))))</f>
        <v>#DIV/0!</v>
      </c>
      <c r="W909" s="6" t="e">
        <f t="shared" si="77"/>
        <v>#DIV/0!</v>
      </c>
      <c r="X909" s="6" t="e">
        <f ca="1">SQRT($B$9*AVERAGE(W909:OFFSET(W909,$B$5-1,0)))</f>
        <v>#DIV/0!</v>
      </c>
      <c r="Y909" s="6" t="e">
        <f ca="1">SQRT($B$9*AVERAGE(W909:OFFSET(W909,$B$6-1,0)))</f>
        <v>#DIV/0!</v>
      </c>
      <c r="Z909" s="6" t="e">
        <f ca="1">SQRT($B$9*AVERAGE(W909:OFFSET(W909,$B$7-1,0)))</f>
        <v>#DIV/0!</v>
      </c>
      <c r="AA909" s="6" t="e">
        <f ca="1">SQRT($B$9*AVERAGE(W909:OFFSET(W909,$B$8-1,0)))</f>
        <v>#DIV/0!</v>
      </c>
      <c r="AC909" s="34" t="e">
        <f t="shared" si="75"/>
        <v>#DIV/0!</v>
      </c>
      <c r="AD909" s="34" t="e">
        <f ca="1">SQRT($B$9*SUM(AC909:OFFSET(AC909,$B$5-1,0))/($B$5-1))</f>
        <v>#DIV/0!</v>
      </c>
      <c r="AE909" s="34" t="e">
        <f ca="1">SQRT($B$9*SUM(AC909:OFFSET(AC909,$B$6-1,0))/($B$6-1))</f>
        <v>#DIV/0!</v>
      </c>
      <c r="AF909" s="34" t="e">
        <f ca="1">SQRT($B$9*SUM(AC909:OFFSET(AC909,$B$7-1,0))/($B$7-1))</f>
        <v>#DIV/0!</v>
      </c>
      <c r="AG909" s="34" t="e">
        <f ca="1">SQRT($B$9*SUM(AC909:OFFSET(AC909,$B$8-1,0))/($B$8-1))</f>
        <v>#DIV/0!</v>
      </c>
      <c r="AI909" s="1" t="e">
        <f t="shared" si="76"/>
        <v>#DIV/0!</v>
      </c>
      <c r="AJ909" s="4" t="e">
        <f ca="1">SQRT($B$9)*_xlfn.STDEV.S(AI909:OFFSET(AI909,$B$5-1,0))</f>
        <v>#DIV/0!</v>
      </c>
      <c r="AK909" s="4" t="e">
        <f ca="1">SQRT($B$9)*_xlfn.STDEV.S(AI909:OFFSET(AI909,$B$6-1,0))</f>
        <v>#DIV/0!</v>
      </c>
      <c r="AL909" s="4" t="e">
        <f ca="1">SQRT($B$9)*_xlfn.STDEV.S(AI909:OFFSET(AI909,$B$7-1,0))</f>
        <v>#DIV/0!</v>
      </c>
      <c r="AM909" s="4" t="e">
        <f ca="1">SQRT($B$9)*_xlfn.STDEV.S(AI909:OFFSET(AI909,$B$8-1,0))</f>
        <v>#DIV/0!</v>
      </c>
    </row>
    <row r="910" spans="5:39" x14ac:dyDescent="0.2">
      <c r="E910" s="42">
        <v>44113</v>
      </c>
      <c r="F910" s="43"/>
      <c r="G910" s="43"/>
      <c r="H910" s="43"/>
      <c r="I910" s="43"/>
      <c r="K910" s="3" t="e">
        <f t="shared" si="79"/>
        <v>#DIV/0!</v>
      </c>
      <c r="L910" s="3" t="e">
        <f ca="1">SQRT(AVERAGE(K910:OFFSET(K910,$B$5-1,0))*$B$9/(4*LN(2)))</f>
        <v>#DIV/0!</v>
      </c>
      <c r="M910" s="3" t="e">
        <f ca="1">SQRT(AVERAGE(K910:OFFSET(K910,$B$6-1,0))*$B$9/(4*LN(2)))</f>
        <v>#DIV/0!</v>
      </c>
      <c r="N910" s="3" t="e">
        <f ca="1">SQRT(AVERAGE(K910:OFFSET(K910,$B$7-1,0))*$B$9/(4*LN(2)))</f>
        <v>#DIV/0!</v>
      </c>
      <c r="O910" s="3" t="e">
        <f ca="1">SQRT(AVERAGE(K910:OFFSET(K910,$B$8-1,0))*$B$9/(4*LN(2)))</f>
        <v>#DIV/0!</v>
      </c>
      <c r="Q910" s="5" t="e">
        <f t="shared" si="78"/>
        <v>#DIV/0!</v>
      </c>
      <c r="R910" s="5" t="e">
        <f ca="1">SQRT($B$9*AVERAGE((Q910:OFFSET(Q910,$B$5-1,0))))</f>
        <v>#DIV/0!</v>
      </c>
      <c r="S910" s="5" t="e">
        <f ca="1">SQRT($B$9*AVERAGE((Q910:OFFSET(Q910,$B$6-1,0))))</f>
        <v>#DIV/0!</v>
      </c>
      <c r="T910" s="5" t="e">
        <f ca="1">SQRT($B$9*AVERAGE((Q910:OFFSET(Q910,$B$7-1,0))))</f>
        <v>#DIV/0!</v>
      </c>
      <c r="U910" s="5" t="e">
        <f ca="1">SQRT($B$9*AVERAGE((Q910:OFFSET(Q910,$B$8-1,0))))</f>
        <v>#DIV/0!</v>
      </c>
      <c r="W910" s="6" t="e">
        <f t="shared" si="77"/>
        <v>#DIV/0!</v>
      </c>
      <c r="X910" s="6" t="e">
        <f ca="1">SQRT($B$9*AVERAGE(W910:OFFSET(W910,$B$5-1,0)))</f>
        <v>#DIV/0!</v>
      </c>
      <c r="Y910" s="6" t="e">
        <f ca="1">SQRT($B$9*AVERAGE(W910:OFFSET(W910,$B$6-1,0)))</f>
        <v>#DIV/0!</v>
      </c>
      <c r="Z910" s="6" t="e">
        <f ca="1">SQRT($B$9*AVERAGE(W910:OFFSET(W910,$B$7-1,0)))</f>
        <v>#DIV/0!</v>
      </c>
      <c r="AA910" s="6" t="e">
        <f ca="1">SQRT($B$9*AVERAGE(W910:OFFSET(W910,$B$8-1,0)))</f>
        <v>#DIV/0!</v>
      </c>
      <c r="AC910" s="34" t="e">
        <f t="shared" si="75"/>
        <v>#DIV/0!</v>
      </c>
      <c r="AD910" s="34" t="e">
        <f ca="1">SQRT($B$9*SUM(AC910:OFFSET(AC910,$B$5-1,0))/($B$5-1))</f>
        <v>#DIV/0!</v>
      </c>
      <c r="AE910" s="34" t="e">
        <f ca="1">SQRT($B$9*SUM(AC910:OFFSET(AC910,$B$6-1,0))/($B$6-1))</f>
        <v>#DIV/0!</v>
      </c>
      <c r="AF910" s="34" t="e">
        <f ca="1">SQRT($B$9*SUM(AC910:OFFSET(AC910,$B$7-1,0))/($B$7-1))</f>
        <v>#DIV/0!</v>
      </c>
      <c r="AG910" s="34" t="e">
        <f ca="1">SQRT($B$9*SUM(AC910:OFFSET(AC910,$B$8-1,0))/($B$8-1))</f>
        <v>#DIV/0!</v>
      </c>
      <c r="AI910" s="1" t="e">
        <f t="shared" si="76"/>
        <v>#DIV/0!</v>
      </c>
      <c r="AJ910" s="4" t="e">
        <f ca="1">SQRT($B$9)*_xlfn.STDEV.S(AI910:OFFSET(AI910,$B$5-1,0))</f>
        <v>#DIV/0!</v>
      </c>
      <c r="AK910" s="4" t="e">
        <f ca="1">SQRT($B$9)*_xlfn.STDEV.S(AI910:OFFSET(AI910,$B$6-1,0))</f>
        <v>#DIV/0!</v>
      </c>
      <c r="AL910" s="4" t="e">
        <f ca="1">SQRT($B$9)*_xlfn.STDEV.S(AI910:OFFSET(AI910,$B$7-1,0))</f>
        <v>#DIV/0!</v>
      </c>
      <c r="AM910" s="4" t="e">
        <f ca="1">SQRT($B$9)*_xlfn.STDEV.S(AI910:OFFSET(AI910,$B$8-1,0))</f>
        <v>#DIV/0!</v>
      </c>
    </row>
    <row r="911" spans="5:39" x14ac:dyDescent="0.2">
      <c r="E911" s="42">
        <v>44104</v>
      </c>
      <c r="F911" s="43"/>
      <c r="G911" s="43"/>
      <c r="H911" s="43"/>
      <c r="I911" s="43"/>
      <c r="K911" s="3" t="e">
        <f t="shared" si="79"/>
        <v>#DIV/0!</v>
      </c>
      <c r="L911" s="3" t="e">
        <f ca="1">SQRT(AVERAGE(K911:OFFSET(K911,$B$5-1,0))*$B$9/(4*LN(2)))</f>
        <v>#DIV/0!</v>
      </c>
      <c r="M911" s="3" t="e">
        <f ca="1">SQRT(AVERAGE(K911:OFFSET(K911,$B$6-1,0))*$B$9/(4*LN(2)))</f>
        <v>#DIV/0!</v>
      </c>
      <c r="N911" s="3" t="e">
        <f ca="1">SQRT(AVERAGE(K911:OFFSET(K911,$B$7-1,0))*$B$9/(4*LN(2)))</f>
        <v>#DIV/0!</v>
      </c>
      <c r="O911" s="3" t="e">
        <f ca="1">SQRT(AVERAGE(K911:OFFSET(K911,$B$8-1,0))*$B$9/(4*LN(2)))</f>
        <v>#DIV/0!</v>
      </c>
      <c r="Q911" s="5" t="e">
        <f t="shared" si="78"/>
        <v>#DIV/0!</v>
      </c>
      <c r="R911" s="5" t="e">
        <f ca="1">SQRT($B$9*AVERAGE((Q911:OFFSET(Q911,$B$5-1,0))))</f>
        <v>#DIV/0!</v>
      </c>
      <c r="S911" s="5" t="e">
        <f ca="1">SQRT($B$9*AVERAGE((Q911:OFFSET(Q911,$B$6-1,0))))</f>
        <v>#DIV/0!</v>
      </c>
      <c r="T911" s="5" t="e">
        <f ca="1">SQRT($B$9*AVERAGE((Q911:OFFSET(Q911,$B$7-1,0))))</f>
        <v>#DIV/0!</v>
      </c>
      <c r="U911" s="5" t="e">
        <f ca="1">SQRT($B$9*AVERAGE((Q911:OFFSET(Q911,$B$8-1,0))))</f>
        <v>#DIV/0!</v>
      </c>
      <c r="W911" s="6" t="e">
        <f t="shared" si="77"/>
        <v>#DIV/0!</v>
      </c>
      <c r="X911" s="6" t="e">
        <f ca="1">SQRT($B$9*AVERAGE(W911:OFFSET(W911,$B$5-1,0)))</f>
        <v>#DIV/0!</v>
      </c>
      <c r="Y911" s="6" t="e">
        <f ca="1">SQRT($B$9*AVERAGE(W911:OFFSET(W911,$B$6-1,0)))</f>
        <v>#DIV/0!</v>
      </c>
      <c r="Z911" s="6" t="e">
        <f ca="1">SQRT($B$9*AVERAGE(W911:OFFSET(W911,$B$7-1,0)))</f>
        <v>#DIV/0!</v>
      </c>
      <c r="AA911" s="6" t="e">
        <f ca="1">SQRT($B$9*AVERAGE(W911:OFFSET(W911,$B$8-1,0)))</f>
        <v>#DIV/0!</v>
      </c>
      <c r="AC911" s="34" t="e">
        <f t="shared" si="75"/>
        <v>#DIV/0!</v>
      </c>
      <c r="AD911" s="34" t="e">
        <f ca="1">SQRT($B$9*SUM(AC911:OFFSET(AC911,$B$5-1,0))/($B$5-1))</f>
        <v>#DIV/0!</v>
      </c>
      <c r="AE911" s="34" t="e">
        <f ca="1">SQRT($B$9*SUM(AC911:OFFSET(AC911,$B$6-1,0))/($B$6-1))</f>
        <v>#DIV/0!</v>
      </c>
      <c r="AF911" s="34" t="e">
        <f ca="1">SQRT($B$9*SUM(AC911:OFFSET(AC911,$B$7-1,0))/($B$7-1))</f>
        <v>#DIV/0!</v>
      </c>
      <c r="AG911" s="34" t="e">
        <f ca="1">SQRT($B$9*SUM(AC911:OFFSET(AC911,$B$8-1,0))/($B$8-1))</f>
        <v>#DIV/0!</v>
      </c>
      <c r="AI911" s="1" t="e">
        <f t="shared" si="76"/>
        <v>#DIV/0!</v>
      </c>
      <c r="AJ911" s="4" t="e">
        <f ca="1">SQRT($B$9)*_xlfn.STDEV.S(AI911:OFFSET(AI911,$B$5-1,0))</f>
        <v>#DIV/0!</v>
      </c>
      <c r="AK911" s="4" t="e">
        <f ca="1">SQRT($B$9)*_xlfn.STDEV.S(AI911:OFFSET(AI911,$B$6-1,0))</f>
        <v>#DIV/0!</v>
      </c>
      <c r="AL911" s="4" t="e">
        <f ca="1">SQRT($B$9)*_xlfn.STDEV.S(AI911:OFFSET(AI911,$B$7-1,0))</f>
        <v>#DIV/0!</v>
      </c>
      <c r="AM911" s="4" t="e">
        <f ca="1">SQRT($B$9)*_xlfn.STDEV.S(AI911:OFFSET(AI911,$B$8-1,0))</f>
        <v>#DIV/0!</v>
      </c>
    </row>
    <row r="912" spans="5:39" x14ac:dyDescent="0.2">
      <c r="E912" s="42">
        <v>44103</v>
      </c>
      <c r="F912" s="43"/>
      <c r="G912" s="43"/>
      <c r="H912" s="43"/>
      <c r="I912" s="43"/>
      <c r="K912" s="3" t="e">
        <f t="shared" si="79"/>
        <v>#DIV/0!</v>
      </c>
      <c r="L912" s="3" t="e">
        <f ca="1">SQRT(AVERAGE(K912:OFFSET(K912,$B$5-1,0))*$B$9/(4*LN(2)))</f>
        <v>#DIV/0!</v>
      </c>
      <c r="M912" s="3" t="e">
        <f ca="1">SQRT(AVERAGE(K912:OFFSET(K912,$B$6-1,0))*$B$9/(4*LN(2)))</f>
        <v>#DIV/0!</v>
      </c>
      <c r="N912" s="3" t="e">
        <f ca="1">SQRT(AVERAGE(K912:OFFSET(K912,$B$7-1,0))*$B$9/(4*LN(2)))</f>
        <v>#DIV/0!</v>
      </c>
      <c r="O912" s="3" t="e">
        <f ca="1">SQRT(AVERAGE(K912:OFFSET(K912,$B$8-1,0))*$B$9/(4*LN(2)))</f>
        <v>#DIV/0!</v>
      </c>
      <c r="Q912" s="5" t="e">
        <f t="shared" si="78"/>
        <v>#DIV/0!</v>
      </c>
      <c r="R912" s="5" t="e">
        <f ca="1">SQRT($B$9*AVERAGE((Q912:OFFSET(Q912,$B$5-1,0))))</f>
        <v>#DIV/0!</v>
      </c>
      <c r="S912" s="5" t="e">
        <f ca="1">SQRT($B$9*AVERAGE((Q912:OFFSET(Q912,$B$6-1,0))))</f>
        <v>#DIV/0!</v>
      </c>
      <c r="T912" s="5" t="e">
        <f ca="1">SQRT($B$9*AVERAGE((Q912:OFFSET(Q912,$B$7-1,0))))</f>
        <v>#DIV/0!</v>
      </c>
      <c r="U912" s="5" t="e">
        <f ca="1">SQRT($B$9*AVERAGE((Q912:OFFSET(Q912,$B$8-1,0))))</f>
        <v>#DIV/0!</v>
      </c>
      <c r="W912" s="6" t="e">
        <f t="shared" si="77"/>
        <v>#DIV/0!</v>
      </c>
      <c r="X912" s="6" t="e">
        <f ca="1">SQRT($B$9*AVERAGE(W912:OFFSET(W912,$B$5-1,0)))</f>
        <v>#DIV/0!</v>
      </c>
      <c r="Y912" s="6" t="e">
        <f ca="1">SQRT($B$9*AVERAGE(W912:OFFSET(W912,$B$6-1,0)))</f>
        <v>#DIV/0!</v>
      </c>
      <c r="Z912" s="6" t="e">
        <f ca="1">SQRT($B$9*AVERAGE(W912:OFFSET(W912,$B$7-1,0)))</f>
        <v>#DIV/0!</v>
      </c>
      <c r="AA912" s="6" t="e">
        <f ca="1">SQRT($B$9*AVERAGE(W912:OFFSET(W912,$B$8-1,0)))</f>
        <v>#DIV/0!</v>
      </c>
      <c r="AC912" s="34" t="e">
        <f t="shared" si="75"/>
        <v>#DIV/0!</v>
      </c>
      <c r="AD912" s="34" t="e">
        <f ca="1">SQRT($B$9*SUM(AC912:OFFSET(AC912,$B$5-1,0))/($B$5-1))</f>
        <v>#DIV/0!</v>
      </c>
      <c r="AE912" s="34" t="e">
        <f ca="1">SQRT($B$9*SUM(AC912:OFFSET(AC912,$B$6-1,0))/($B$6-1))</f>
        <v>#DIV/0!</v>
      </c>
      <c r="AF912" s="34" t="e">
        <f ca="1">SQRT($B$9*SUM(AC912:OFFSET(AC912,$B$7-1,0))/($B$7-1))</f>
        <v>#DIV/0!</v>
      </c>
      <c r="AG912" s="34" t="e">
        <f ca="1">SQRT($B$9*SUM(AC912:OFFSET(AC912,$B$8-1,0))/($B$8-1))</f>
        <v>#DIV/0!</v>
      </c>
      <c r="AI912" s="1" t="e">
        <f t="shared" si="76"/>
        <v>#DIV/0!</v>
      </c>
      <c r="AJ912" s="4" t="e">
        <f ca="1">SQRT($B$9)*_xlfn.STDEV.S(AI912:OFFSET(AI912,$B$5-1,0))</f>
        <v>#DIV/0!</v>
      </c>
      <c r="AK912" s="4" t="e">
        <f ca="1">SQRT($B$9)*_xlfn.STDEV.S(AI912:OFFSET(AI912,$B$6-1,0))</f>
        <v>#DIV/0!</v>
      </c>
      <c r="AL912" s="4" t="e">
        <f ca="1">SQRT($B$9)*_xlfn.STDEV.S(AI912:OFFSET(AI912,$B$7-1,0))</f>
        <v>#DIV/0!</v>
      </c>
      <c r="AM912" s="4" t="e">
        <f ca="1">SQRT($B$9)*_xlfn.STDEV.S(AI912:OFFSET(AI912,$B$8-1,0))</f>
        <v>#DIV/0!</v>
      </c>
    </row>
    <row r="913" spans="5:39" x14ac:dyDescent="0.2">
      <c r="E913" s="42">
        <v>44102</v>
      </c>
      <c r="F913" s="43"/>
      <c r="G913" s="43"/>
      <c r="H913" s="43"/>
      <c r="I913" s="43"/>
      <c r="K913" s="3" t="e">
        <f t="shared" si="79"/>
        <v>#DIV/0!</v>
      </c>
      <c r="L913" s="3" t="e">
        <f ca="1">SQRT(AVERAGE(K913:OFFSET(K913,$B$5-1,0))*$B$9/(4*LN(2)))</f>
        <v>#DIV/0!</v>
      </c>
      <c r="M913" s="3" t="e">
        <f ca="1">SQRT(AVERAGE(K913:OFFSET(K913,$B$6-1,0))*$B$9/(4*LN(2)))</f>
        <v>#DIV/0!</v>
      </c>
      <c r="N913" s="3" t="e">
        <f ca="1">SQRT(AVERAGE(K913:OFFSET(K913,$B$7-1,0))*$B$9/(4*LN(2)))</f>
        <v>#DIV/0!</v>
      </c>
      <c r="O913" s="3" t="e">
        <f ca="1">SQRT(AVERAGE(K913:OFFSET(K913,$B$8-1,0))*$B$9/(4*LN(2)))</f>
        <v>#DIV/0!</v>
      </c>
      <c r="Q913" s="5" t="e">
        <f t="shared" si="78"/>
        <v>#DIV/0!</v>
      </c>
      <c r="R913" s="5" t="e">
        <f ca="1">SQRT($B$9*AVERAGE((Q913:OFFSET(Q913,$B$5-1,0))))</f>
        <v>#DIV/0!</v>
      </c>
      <c r="S913" s="5" t="e">
        <f ca="1">SQRT($B$9*AVERAGE((Q913:OFFSET(Q913,$B$6-1,0))))</f>
        <v>#DIV/0!</v>
      </c>
      <c r="T913" s="5" t="e">
        <f ca="1">SQRT($B$9*AVERAGE((Q913:OFFSET(Q913,$B$7-1,0))))</f>
        <v>#DIV/0!</v>
      </c>
      <c r="U913" s="5" t="e">
        <f ca="1">SQRT($B$9*AVERAGE((Q913:OFFSET(Q913,$B$8-1,0))))</f>
        <v>#DIV/0!</v>
      </c>
      <c r="W913" s="6" t="e">
        <f t="shared" si="77"/>
        <v>#DIV/0!</v>
      </c>
      <c r="X913" s="6" t="e">
        <f ca="1">SQRT($B$9*AVERAGE(W913:OFFSET(W913,$B$5-1,0)))</f>
        <v>#DIV/0!</v>
      </c>
      <c r="Y913" s="6" t="e">
        <f ca="1">SQRT($B$9*AVERAGE(W913:OFFSET(W913,$B$6-1,0)))</f>
        <v>#DIV/0!</v>
      </c>
      <c r="Z913" s="6" t="e">
        <f ca="1">SQRT($B$9*AVERAGE(W913:OFFSET(W913,$B$7-1,0)))</f>
        <v>#DIV/0!</v>
      </c>
      <c r="AA913" s="6" t="e">
        <f ca="1">SQRT($B$9*AVERAGE(W913:OFFSET(W913,$B$8-1,0)))</f>
        <v>#DIV/0!</v>
      </c>
      <c r="AC913" s="34" t="e">
        <f t="shared" ref="AC913:AC976" si="80">(LN(I913/I914))^2</f>
        <v>#DIV/0!</v>
      </c>
      <c r="AD913" s="34" t="e">
        <f ca="1">SQRT($B$9*SUM(AC913:OFFSET(AC913,$B$5-1,0))/($B$5-1))</f>
        <v>#DIV/0!</v>
      </c>
      <c r="AE913" s="34" t="e">
        <f ca="1">SQRT($B$9*SUM(AC913:OFFSET(AC913,$B$6-1,0))/($B$6-1))</f>
        <v>#DIV/0!</v>
      </c>
      <c r="AF913" s="34" t="e">
        <f ca="1">SQRT($B$9*SUM(AC913:OFFSET(AC913,$B$7-1,0))/($B$7-1))</f>
        <v>#DIV/0!</v>
      </c>
      <c r="AG913" s="34" t="e">
        <f ca="1">SQRT($B$9*SUM(AC913:OFFSET(AC913,$B$8-1,0))/($B$8-1))</f>
        <v>#DIV/0!</v>
      </c>
      <c r="AI913" s="1" t="e">
        <f t="shared" si="76"/>
        <v>#DIV/0!</v>
      </c>
      <c r="AJ913" s="4" t="e">
        <f ca="1">SQRT($B$9)*_xlfn.STDEV.S(AI913:OFFSET(AI913,$B$5-1,0))</f>
        <v>#DIV/0!</v>
      </c>
      <c r="AK913" s="4" t="e">
        <f ca="1">SQRT($B$9)*_xlfn.STDEV.S(AI913:OFFSET(AI913,$B$6-1,0))</f>
        <v>#DIV/0!</v>
      </c>
      <c r="AL913" s="4" t="e">
        <f ca="1">SQRT($B$9)*_xlfn.STDEV.S(AI913:OFFSET(AI913,$B$7-1,0))</f>
        <v>#DIV/0!</v>
      </c>
      <c r="AM913" s="4" t="e">
        <f ca="1">SQRT($B$9)*_xlfn.STDEV.S(AI913:OFFSET(AI913,$B$8-1,0))</f>
        <v>#DIV/0!</v>
      </c>
    </row>
    <row r="914" spans="5:39" x14ac:dyDescent="0.2">
      <c r="E914" s="42">
        <v>44099</v>
      </c>
      <c r="F914" s="43"/>
      <c r="G914" s="43"/>
      <c r="H914" s="43"/>
      <c r="I914" s="43"/>
      <c r="K914" s="3" t="e">
        <f t="shared" si="79"/>
        <v>#DIV/0!</v>
      </c>
      <c r="L914" s="3" t="e">
        <f ca="1">SQRT(AVERAGE(K914:OFFSET(K914,$B$5-1,0))*$B$9/(4*LN(2)))</f>
        <v>#DIV/0!</v>
      </c>
      <c r="M914" s="3" t="e">
        <f ca="1">SQRT(AVERAGE(K914:OFFSET(K914,$B$6-1,0))*$B$9/(4*LN(2)))</f>
        <v>#DIV/0!</v>
      </c>
      <c r="N914" s="3" t="e">
        <f ca="1">SQRT(AVERAGE(K914:OFFSET(K914,$B$7-1,0))*$B$9/(4*LN(2)))</f>
        <v>#DIV/0!</v>
      </c>
      <c r="O914" s="3" t="e">
        <f ca="1">SQRT(AVERAGE(K914:OFFSET(K914,$B$8-1,0))*$B$9/(4*LN(2)))</f>
        <v>#DIV/0!</v>
      </c>
      <c r="Q914" s="5" t="e">
        <f t="shared" si="78"/>
        <v>#DIV/0!</v>
      </c>
      <c r="R914" s="5" t="e">
        <f ca="1">SQRT($B$9*AVERAGE((Q914:OFFSET(Q914,$B$5-1,0))))</f>
        <v>#DIV/0!</v>
      </c>
      <c r="S914" s="5" t="e">
        <f ca="1">SQRT($B$9*AVERAGE((Q914:OFFSET(Q914,$B$6-1,0))))</f>
        <v>#DIV/0!</v>
      </c>
      <c r="T914" s="5" t="e">
        <f ca="1">SQRT($B$9*AVERAGE((Q914:OFFSET(Q914,$B$7-1,0))))</f>
        <v>#DIV/0!</v>
      </c>
      <c r="U914" s="5" t="e">
        <f ca="1">SQRT($B$9*AVERAGE((Q914:OFFSET(Q914,$B$8-1,0))))</f>
        <v>#DIV/0!</v>
      </c>
      <c r="W914" s="6" t="e">
        <f t="shared" si="77"/>
        <v>#DIV/0!</v>
      </c>
      <c r="X914" s="6" t="e">
        <f ca="1">SQRT($B$9*AVERAGE(W914:OFFSET(W914,$B$5-1,0)))</f>
        <v>#DIV/0!</v>
      </c>
      <c r="Y914" s="6" t="e">
        <f ca="1">SQRT($B$9*AVERAGE(W914:OFFSET(W914,$B$6-1,0)))</f>
        <v>#DIV/0!</v>
      </c>
      <c r="Z914" s="6" t="e">
        <f ca="1">SQRT($B$9*AVERAGE(W914:OFFSET(W914,$B$7-1,0)))</f>
        <v>#DIV/0!</v>
      </c>
      <c r="AA914" s="6" t="e">
        <f ca="1">SQRT($B$9*AVERAGE(W914:OFFSET(W914,$B$8-1,0)))</f>
        <v>#DIV/0!</v>
      </c>
      <c r="AC914" s="34" t="e">
        <f t="shared" si="80"/>
        <v>#DIV/0!</v>
      </c>
      <c r="AD914" s="34" t="e">
        <f ca="1">SQRT($B$9*SUM(AC914:OFFSET(AC914,$B$5-1,0))/($B$5-1))</f>
        <v>#DIV/0!</v>
      </c>
      <c r="AE914" s="34" t="e">
        <f ca="1">SQRT($B$9*SUM(AC914:OFFSET(AC914,$B$6-1,0))/($B$6-1))</f>
        <v>#DIV/0!</v>
      </c>
      <c r="AF914" s="34" t="e">
        <f ca="1">SQRT($B$9*SUM(AC914:OFFSET(AC914,$B$7-1,0))/($B$7-1))</f>
        <v>#DIV/0!</v>
      </c>
      <c r="AG914" s="34" t="e">
        <f ca="1">SQRT($B$9*SUM(AC914:OFFSET(AC914,$B$8-1,0))/($B$8-1))</f>
        <v>#DIV/0!</v>
      </c>
      <c r="AI914" s="1" t="e">
        <f t="shared" si="76"/>
        <v>#DIV/0!</v>
      </c>
      <c r="AJ914" s="4" t="e">
        <f ca="1">SQRT($B$9)*_xlfn.STDEV.S(AI914:OFFSET(AI914,$B$5-1,0))</f>
        <v>#DIV/0!</v>
      </c>
      <c r="AK914" s="4" t="e">
        <f ca="1">SQRT($B$9)*_xlfn.STDEV.S(AI914:OFFSET(AI914,$B$6-1,0))</f>
        <v>#DIV/0!</v>
      </c>
      <c r="AL914" s="4" t="e">
        <f ca="1">SQRT($B$9)*_xlfn.STDEV.S(AI914:OFFSET(AI914,$B$7-1,0))</f>
        <v>#DIV/0!</v>
      </c>
      <c r="AM914" s="4" t="e">
        <f ca="1">SQRT($B$9)*_xlfn.STDEV.S(AI914:OFFSET(AI914,$B$8-1,0))</f>
        <v>#DIV/0!</v>
      </c>
    </row>
    <row r="915" spans="5:39" x14ac:dyDescent="0.2">
      <c r="E915" s="42">
        <v>44098</v>
      </c>
      <c r="F915" s="43"/>
      <c r="G915" s="43"/>
      <c r="H915" s="43"/>
      <c r="I915" s="43"/>
      <c r="K915" s="3" t="e">
        <f t="shared" si="79"/>
        <v>#DIV/0!</v>
      </c>
      <c r="L915" s="3" t="e">
        <f ca="1">SQRT(AVERAGE(K915:OFFSET(K915,$B$5-1,0))*$B$9/(4*LN(2)))</f>
        <v>#DIV/0!</v>
      </c>
      <c r="M915" s="3" t="e">
        <f ca="1">SQRT(AVERAGE(K915:OFFSET(K915,$B$6-1,0))*$B$9/(4*LN(2)))</f>
        <v>#DIV/0!</v>
      </c>
      <c r="N915" s="3" t="e">
        <f ca="1">SQRT(AVERAGE(K915:OFFSET(K915,$B$7-1,0))*$B$9/(4*LN(2)))</f>
        <v>#DIV/0!</v>
      </c>
      <c r="O915" s="3" t="e">
        <f ca="1">SQRT(AVERAGE(K915:OFFSET(K915,$B$8-1,0))*$B$9/(4*LN(2)))</f>
        <v>#DIV/0!</v>
      </c>
      <c r="Q915" s="5" t="e">
        <f t="shared" si="78"/>
        <v>#DIV/0!</v>
      </c>
      <c r="R915" s="5" t="e">
        <f ca="1">SQRT($B$9*AVERAGE((Q915:OFFSET(Q915,$B$5-1,0))))</f>
        <v>#DIV/0!</v>
      </c>
      <c r="S915" s="5" t="e">
        <f ca="1">SQRT($B$9*AVERAGE((Q915:OFFSET(Q915,$B$6-1,0))))</f>
        <v>#DIV/0!</v>
      </c>
      <c r="T915" s="5" t="e">
        <f ca="1">SQRT($B$9*AVERAGE((Q915:OFFSET(Q915,$B$7-1,0))))</f>
        <v>#DIV/0!</v>
      </c>
      <c r="U915" s="5" t="e">
        <f ca="1">SQRT($B$9*AVERAGE((Q915:OFFSET(Q915,$B$8-1,0))))</f>
        <v>#DIV/0!</v>
      </c>
      <c r="W915" s="6" t="e">
        <f t="shared" si="77"/>
        <v>#DIV/0!</v>
      </c>
      <c r="X915" s="6" t="e">
        <f ca="1">SQRT($B$9*AVERAGE(W915:OFFSET(W915,$B$5-1,0)))</f>
        <v>#DIV/0!</v>
      </c>
      <c r="Y915" s="6" t="e">
        <f ca="1">SQRT($B$9*AVERAGE(W915:OFFSET(W915,$B$6-1,0)))</f>
        <v>#DIV/0!</v>
      </c>
      <c r="Z915" s="6" t="e">
        <f ca="1">SQRT($B$9*AVERAGE(W915:OFFSET(W915,$B$7-1,0)))</f>
        <v>#DIV/0!</v>
      </c>
      <c r="AA915" s="6" t="e">
        <f ca="1">SQRT($B$9*AVERAGE(W915:OFFSET(W915,$B$8-1,0)))</f>
        <v>#DIV/0!</v>
      </c>
      <c r="AC915" s="34" t="e">
        <f t="shared" si="80"/>
        <v>#DIV/0!</v>
      </c>
      <c r="AD915" s="34" t="e">
        <f ca="1">SQRT($B$9*SUM(AC915:OFFSET(AC915,$B$5-1,0))/($B$5-1))</f>
        <v>#DIV/0!</v>
      </c>
      <c r="AE915" s="34" t="e">
        <f ca="1">SQRT($B$9*SUM(AC915:OFFSET(AC915,$B$6-1,0))/($B$6-1))</f>
        <v>#DIV/0!</v>
      </c>
      <c r="AF915" s="34" t="e">
        <f ca="1">SQRT($B$9*SUM(AC915:OFFSET(AC915,$B$7-1,0))/($B$7-1))</f>
        <v>#DIV/0!</v>
      </c>
      <c r="AG915" s="34" t="e">
        <f ca="1">SQRT($B$9*SUM(AC915:OFFSET(AC915,$B$8-1,0))/($B$8-1))</f>
        <v>#DIV/0!</v>
      </c>
      <c r="AI915" s="1" t="e">
        <f t="shared" ref="AI915:AI978" si="81">LN(I915/I916)</f>
        <v>#DIV/0!</v>
      </c>
      <c r="AJ915" s="4" t="e">
        <f ca="1">SQRT($B$9)*_xlfn.STDEV.S(AI915:OFFSET(AI915,$B$5-1,0))</f>
        <v>#DIV/0!</v>
      </c>
      <c r="AK915" s="4" t="e">
        <f ca="1">SQRT($B$9)*_xlfn.STDEV.S(AI915:OFFSET(AI915,$B$6-1,0))</f>
        <v>#DIV/0!</v>
      </c>
      <c r="AL915" s="4" t="e">
        <f ca="1">SQRT($B$9)*_xlfn.STDEV.S(AI915:OFFSET(AI915,$B$7-1,0))</f>
        <v>#DIV/0!</v>
      </c>
      <c r="AM915" s="4" t="e">
        <f ca="1">SQRT($B$9)*_xlfn.STDEV.S(AI915:OFFSET(AI915,$B$8-1,0))</f>
        <v>#DIV/0!</v>
      </c>
    </row>
    <row r="916" spans="5:39" x14ac:dyDescent="0.2">
      <c r="E916" s="42">
        <v>44097</v>
      </c>
      <c r="F916" s="43"/>
      <c r="G916" s="43"/>
      <c r="H916" s="43"/>
      <c r="I916" s="43"/>
      <c r="K916" s="3" t="e">
        <f t="shared" si="79"/>
        <v>#DIV/0!</v>
      </c>
      <c r="L916" s="3" t="e">
        <f ca="1">SQRT(AVERAGE(K916:OFFSET(K916,$B$5-1,0))*$B$9/(4*LN(2)))</f>
        <v>#DIV/0!</v>
      </c>
      <c r="M916" s="3" t="e">
        <f ca="1">SQRT(AVERAGE(K916:OFFSET(K916,$B$6-1,0))*$B$9/(4*LN(2)))</f>
        <v>#DIV/0!</v>
      </c>
      <c r="N916" s="3" t="e">
        <f ca="1">SQRT(AVERAGE(K916:OFFSET(K916,$B$7-1,0))*$B$9/(4*LN(2)))</f>
        <v>#DIV/0!</v>
      </c>
      <c r="O916" s="3" t="e">
        <f ca="1">SQRT(AVERAGE(K916:OFFSET(K916,$B$8-1,0))*$B$9/(4*LN(2)))</f>
        <v>#DIV/0!</v>
      </c>
      <c r="Q916" s="5" t="e">
        <f t="shared" si="78"/>
        <v>#DIV/0!</v>
      </c>
      <c r="R916" s="5" t="e">
        <f ca="1">SQRT($B$9*AVERAGE((Q916:OFFSET(Q916,$B$5-1,0))))</f>
        <v>#DIV/0!</v>
      </c>
      <c r="S916" s="5" t="e">
        <f ca="1">SQRT($B$9*AVERAGE((Q916:OFFSET(Q916,$B$6-1,0))))</f>
        <v>#DIV/0!</v>
      </c>
      <c r="T916" s="5" t="e">
        <f ca="1">SQRT($B$9*AVERAGE((Q916:OFFSET(Q916,$B$7-1,0))))</f>
        <v>#DIV/0!</v>
      </c>
      <c r="U916" s="5" t="e">
        <f ca="1">SQRT($B$9*AVERAGE((Q916:OFFSET(Q916,$B$8-1,0))))</f>
        <v>#DIV/0!</v>
      </c>
      <c r="W916" s="6" t="e">
        <f t="shared" si="77"/>
        <v>#DIV/0!</v>
      </c>
      <c r="X916" s="6" t="e">
        <f ca="1">SQRT($B$9*AVERAGE(W916:OFFSET(W916,$B$5-1,0)))</f>
        <v>#DIV/0!</v>
      </c>
      <c r="Y916" s="6" t="e">
        <f ca="1">SQRT($B$9*AVERAGE(W916:OFFSET(W916,$B$6-1,0)))</f>
        <v>#DIV/0!</v>
      </c>
      <c r="Z916" s="6" t="e">
        <f ca="1">SQRT($B$9*AVERAGE(W916:OFFSET(W916,$B$7-1,0)))</f>
        <v>#DIV/0!</v>
      </c>
      <c r="AA916" s="6" t="e">
        <f ca="1">SQRT($B$9*AVERAGE(W916:OFFSET(W916,$B$8-1,0)))</f>
        <v>#DIV/0!</v>
      </c>
      <c r="AC916" s="34" t="e">
        <f t="shared" si="80"/>
        <v>#DIV/0!</v>
      </c>
      <c r="AD916" s="34" t="e">
        <f ca="1">SQRT($B$9*SUM(AC916:OFFSET(AC916,$B$5-1,0))/($B$5-1))</f>
        <v>#DIV/0!</v>
      </c>
      <c r="AE916" s="34" t="e">
        <f ca="1">SQRT($B$9*SUM(AC916:OFFSET(AC916,$B$6-1,0))/($B$6-1))</f>
        <v>#DIV/0!</v>
      </c>
      <c r="AF916" s="34" t="e">
        <f ca="1">SQRT($B$9*SUM(AC916:OFFSET(AC916,$B$7-1,0))/($B$7-1))</f>
        <v>#DIV/0!</v>
      </c>
      <c r="AG916" s="34" t="e">
        <f ca="1">SQRT($B$9*SUM(AC916:OFFSET(AC916,$B$8-1,0))/($B$8-1))</f>
        <v>#DIV/0!</v>
      </c>
      <c r="AI916" s="1" t="e">
        <f t="shared" si="81"/>
        <v>#DIV/0!</v>
      </c>
      <c r="AJ916" s="4" t="e">
        <f ca="1">SQRT($B$9)*_xlfn.STDEV.S(AI916:OFFSET(AI916,$B$5-1,0))</f>
        <v>#DIV/0!</v>
      </c>
      <c r="AK916" s="4" t="e">
        <f ca="1">SQRT($B$9)*_xlfn.STDEV.S(AI916:OFFSET(AI916,$B$6-1,0))</f>
        <v>#DIV/0!</v>
      </c>
      <c r="AL916" s="4" t="e">
        <f ca="1">SQRT($B$9)*_xlfn.STDEV.S(AI916:OFFSET(AI916,$B$7-1,0))</f>
        <v>#DIV/0!</v>
      </c>
      <c r="AM916" s="4" t="e">
        <f ca="1">SQRT($B$9)*_xlfn.STDEV.S(AI916:OFFSET(AI916,$B$8-1,0))</f>
        <v>#DIV/0!</v>
      </c>
    </row>
    <row r="917" spans="5:39" x14ac:dyDescent="0.2">
      <c r="E917" s="42">
        <v>44096</v>
      </c>
      <c r="F917" s="43"/>
      <c r="G917" s="43"/>
      <c r="H917" s="43"/>
      <c r="I917" s="43"/>
      <c r="K917" s="3" t="e">
        <f t="shared" si="79"/>
        <v>#DIV/0!</v>
      </c>
      <c r="L917" s="3" t="e">
        <f ca="1">SQRT(AVERAGE(K917:OFFSET(K917,$B$5-1,0))*$B$9/(4*LN(2)))</f>
        <v>#DIV/0!</v>
      </c>
      <c r="M917" s="3" t="e">
        <f ca="1">SQRT(AVERAGE(K917:OFFSET(K917,$B$6-1,0))*$B$9/(4*LN(2)))</f>
        <v>#DIV/0!</v>
      </c>
      <c r="N917" s="3" t="e">
        <f ca="1">SQRT(AVERAGE(K917:OFFSET(K917,$B$7-1,0))*$B$9/(4*LN(2)))</f>
        <v>#DIV/0!</v>
      </c>
      <c r="O917" s="3" t="e">
        <f ca="1">SQRT(AVERAGE(K917:OFFSET(K917,$B$8-1,0))*$B$9/(4*LN(2)))</f>
        <v>#DIV/0!</v>
      </c>
      <c r="Q917" s="5" t="e">
        <f t="shared" si="78"/>
        <v>#DIV/0!</v>
      </c>
      <c r="R917" s="5" t="e">
        <f ca="1">SQRT($B$9*AVERAGE((Q917:OFFSET(Q917,$B$5-1,0))))</f>
        <v>#DIV/0!</v>
      </c>
      <c r="S917" s="5" t="e">
        <f ca="1">SQRT($B$9*AVERAGE((Q917:OFFSET(Q917,$B$6-1,0))))</f>
        <v>#DIV/0!</v>
      </c>
      <c r="T917" s="5" t="e">
        <f ca="1">SQRT($B$9*AVERAGE((Q917:OFFSET(Q917,$B$7-1,0))))</f>
        <v>#DIV/0!</v>
      </c>
      <c r="U917" s="5" t="e">
        <f ca="1">SQRT($B$9*AVERAGE((Q917:OFFSET(Q917,$B$8-1,0))))</f>
        <v>#DIV/0!</v>
      </c>
      <c r="W917" s="6" t="e">
        <f t="shared" si="77"/>
        <v>#DIV/0!</v>
      </c>
      <c r="X917" s="6" t="e">
        <f ca="1">SQRT($B$9*AVERAGE(W917:OFFSET(W917,$B$5-1,0)))</f>
        <v>#DIV/0!</v>
      </c>
      <c r="Y917" s="6" t="e">
        <f ca="1">SQRT($B$9*AVERAGE(W917:OFFSET(W917,$B$6-1,0)))</f>
        <v>#DIV/0!</v>
      </c>
      <c r="Z917" s="6" t="e">
        <f ca="1">SQRT($B$9*AVERAGE(W917:OFFSET(W917,$B$7-1,0)))</f>
        <v>#DIV/0!</v>
      </c>
      <c r="AA917" s="6" t="e">
        <f ca="1">SQRT($B$9*AVERAGE(W917:OFFSET(W917,$B$8-1,0)))</f>
        <v>#DIV/0!</v>
      </c>
      <c r="AC917" s="34" t="e">
        <f t="shared" si="80"/>
        <v>#DIV/0!</v>
      </c>
      <c r="AD917" s="34" t="e">
        <f ca="1">SQRT($B$9*SUM(AC917:OFFSET(AC917,$B$5-1,0))/($B$5-1))</f>
        <v>#DIV/0!</v>
      </c>
      <c r="AE917" s="34" t="e">
        <f ca="1">SQRT($B$9*SUM(AC917:OFFSET(AC917,$B$6-1,0))/($B$6-1))</f>
        <v>#DIV/0!</v>
      </c>
      <c r="AF917" s="34" t="e">
        <f ca="1">SQRT($B$9*SUM(AC917:OFFSET(AC917,$B$7-1,0))/($B$7-1))</f>
        <v>#DIV/0!</v>
      </c>
      <c r="AG917" s="34" t="e">
        <f ca="1">SQRT($B$9*SUM(AC917:OFFSET(AC917,$B$8-1,0))/($B$8-1))</f>
        <v>#DIV/0!</v>
      </c>
      <c r="AI917" s="1" t="e">
        <f t="shared" si="81"/>
        <v>#DIV/0!</v>
      </c>
      <c r="AJ917" s="4" t="e">
        <f ca="1">SQRT($B$9)*_xlfn.STDEV.S(AI917:OFFSET(AI917,$B$5-1,0))</f>
        <v>#DIV/0!</v>
      </c>
      <c r="AK917" s="4" t="e">
        <f ca="1">SQRT($B$9)*_xlfn.STDEV.S(AI917:OFFSET(AI917,$B$6-1,0))</f>
        <v>#DIV/0!</v>
      </c>
      <c r="AL917" s="4" t="e">
        <f ca="1">SQRT($B$9)*_xlfn.STDEV.S(AI917:OFFSET(AI917,$B$7-1,0))</f>
        <v>#DIV/0!</v>
      </c>
      <c r="AM917" s="4" t="e">
        <f ca="1">SQRT($B$9)*_xlfn.STDEV.S(AI917:OFFSET(AI917,$B$8-1,0))</f>
        <v>#DIV/0!</v>
      </c>
    </row>
    <row r="918" spans="5:39" x14ac:dyDescent="0.2">
      <c r="E918" s="42">
        <v>44095</v>
      </c>
      <c r="F918" s="43"/>
      <c r="G918" s="43"/>
      <c r="H918" s="43"/>
      <c r="I918" s="43"/>
      <c r="K918" s="3" t="e">
        <f t="shared" si="79"/>
        <v>#DIV/0!</v>
      </c>
      <c r="L918" s="3" t="e">
        <f ca="1">SQRT(AVERAGE(K918:OFFSET(K918,$B$5-1,0))*$B$9/(4*LN(2)))</f>
        <v>#DIV/0!</v>
      </c>
      <c r="M918" s="3" t="e">
        <f ca="1">SQRT(AVERAGE(K918:OFFSET(K918,$B$6-1,0))*$B$9/(4*LN(2)))</f>
        <v>#DIV/0!</v>
      </c>
      <c r="N918" s="3" t="e">
        <f ca="1">SQRT(AVERAGE(K918:OFFSET(K918,$B$7-1,0))*$B$9/(4*LN(2)))</f>
        <v>#DIV/0!</v>
      </c>
      <c r="O918" s="3" t="e">
        <f ca="1">SQRT(AVERAGE(K918:OFFSET(K918,$B$8-1,0))*$B$9/(4*LN(2)))</f>
        <v>#DIV/0!</v>
      </c>
      <c r="Q918" s="5" t="e">
        <f t="shared" si="78"/>
        <v>#DIV/0!</v>
      </c>
      <c r="R918" s="5" t="e">
        <f ca="1">SQRT($B$9*AVERAGE((Q918:OFFSET(Q918,$B$5-1,0))))</f>
        <v>#DIV/0!</v>
      </c>
      <c r="S918" s="5" t="e">
        <f ca="1">SQRT($B$9*AVERAGE((Q918:OFFSET(Q918,$B$6-1,0))))</f>
        <v>#DIV/0!</v>
      </c>
      <c r="T918" s="5" t="e">
        <f ca="1">SQRT($B$9*AVERAGE((Q918:OFFSET(Q918,$B$7-1,0))))</f>
        <v>#DIV/0!</v>
      </c>
      <c r="U918" s="5" t="e">
        <f ca="1">SQRT($B$9*AVERAGE((Q918:OFFSET(Q918,$B$8-1,0))))</f>
        <v>#DIV/0!</v>
      </c>
      <c r="W918" s="6" t="e">
        <f t="shared" si="77"/>
        <v>#DIV/0!</v>
      </c>
      <c r="X918" s="6" t="e">
        <f ca="1">SQRT($B$9*AVERAGE(W918:OFFSET(W918,$B$5-1,0)))</f>
        <v>#DIV/0!</v>
      </c>
      <c r="Y918" s="6" t="e">
        <f ca="1">SQRT($B$9*AVERAGE(W918:OFFSET(W918,$B$6-1,0)))</f>
        <v>#DIV/0!</v>
      </c>
      <c r="Z918" s="6" t="e">
        <f ca="1">SQRT($B$9*AVERAGE(W918:OFFSET(W918,$B$7-1,0)))</f>
        <v>#DIV/0!</v>
      </c>
      <c r="AA918" s="6" t="e">
        <f ca="1">SQRT($B$9*AVERAGE(W918:OFFSET(W918,$B$8-1,0)))</f>
        <v>#DIV/0!</v>
      </c>
      <c r="AC918" s="34" t="e">
        <f t="shared" si="80"/>
        <v>#DIV/0!</v>
      </c>
      <c r="AD918" s="34" t="e">
        <f ca="1">SQRT($B$9*SUM(AC918:OFFSET(AC918,$B$5-1,0))/($B$5-1))</f>
        <v>#DIV/0!</v>
      </c>
      <c r="AE918" s="34" t="e">
        <f ca="1">SQRT($B$9*SUM(AC918:OFFSET(AC918,$B$6-1,0))/($B$6-1))</f>
        <v>#DIV/0!</v>
      </c>
      <c r="AF918" s="34" t="e">
        <f ca="1">SQRT($B$9*SUM(AC918:OFFSET(AC918,$B$7-1,0))/($B$7-1))</f>
        <v>#DIV/0!</v>
      </c>
      <c r="AG918" s="34" t="e">
        <f ca="1">SQRT($B$9*SUM(AC918:OFFSET(AC918,$B$8-1,0))/($B$8-1))</f>
        <v>#DIV/0!</v>
      </c>
      <c r="AI918" s="1" t="e">
        <f t="shared" si="81"/>
        <v>#DIV/0!</v>
      </c>
      <c r="AJ918" s="4" t="e">
        <f ca="1">SQRT($B$9)*_xlfn.STDEV.S(AI918:OFFSET(AI918,$B$5-1,0))</f>
        <v>#DIV/0!</v>
      </c>
      <c r="AK918" s="4" t="e">
        <f ca="1">SQRT($B$9)*_xlfn.STDEV.S(AI918:OFFSET(AI918,$B$6-1,0))</f>
        <v>#DIV/0!</v>
      </c>
      <c r="AL918" s="4" t="e">
        <f ca="1">SQRT($B$9)*_xlfn.STDEV.S(AI918:OFFSET(AI918,$B$7-1,0))</f>
        <v>#DIV/0!</v>
      </c>
      <c r="AM918" s="4" t="e">
        <f ca="1">SQRT($B$9)*_xlfn.STDEV.S(AI918:OFFSET(AI918,$B$8-1,0))</f>
        <v>#DIV/0!</v>
      </c>
    </row>
    <row r="919" spans="5:39" x14ac:dyDescent="0.2">
      <c r="E919" s="42">
        <v>44092</v>
      </c>
      <c r="F919" s="43"/>
      <c r="G919" s="43"/>
      <c r="H919" s="43"/>
      <c r="I919" s="43"/>
      <c r="K919" s="3" t="e">
        <f t="shared" si="79"/>
        <v>#DIV/0!</v>
      </c>
      <c r="L919" s="3" t="e">
        <f ca="1">SQRT(AVERAGE(K919:OFFSET(K919,$B$5-1,0))*$B$9/(4*LN(2)))</f>
        <v>#DIV/0!</v>
      </c>
      <c r="M919" s="3" t="e">
        <f ca="1">SQRT(AVERAGE(K919:OFFSET(K919,$B$6-1,0))*$B$9/(4*LN(2)))</f>
        <v>#DIV/0!</v>
      </c>
      <c r="N919" s="3" t="e">
        <f ca="1">SQRT(AVERAGE(K919:OFFSET(K919,$B$7-1,0))*$B$9/(4*LN(2)))</f>
        <v>#DIV/0!</v>
      </c>
      <c r="O919" s="3" t="e">
        <f ca="1">SQRT(AVERAGE(K919:OFFSET(K919,$B$8-1,0))*$B$9/(4*LN(2)))</f>
        <v>#DIV/0!</v>
      </c>
      <c r="Q919" s="5" t="e">
        <f t="shared" si="78"/>
        <v>#DIV/0!</v>
      </c>
      <c r="R919" s="5" t="e">
        <f ca="1">SQRT($B$9*AVERAGE((Q919:OFFSET(Q919,$B$5-1,0))))</f>
        <v>#DIV/0!</v>
      </c>
      <c r="S919" s="5" t="e">
        <f ca="1">SQRT($B$9*AVERAGE((Q919:OFFSET(Q919,$B$6-1,0))))</f>
        <v>#DIV/0!</v>
      </c>
      <c r="T919" s="5" t="e">
        <f ca="1">SQRT($B$9*AVERAGE((Q919:OFFSET(Q919,$B$7-1,0))))</f>
        <v>#DIV/0!</v>
      </c>
      <c r="U919" s="5" t="e">
        <f ca="1">SQRT($B$9*AVERAGE((Q919:OFFSET(Q919,$B$8-1,0))))</f>
        <v>#DIV/0!</v>
      </c>
      <c r="W919" s="6" t="e">
        <f t="shared" si="77"/>
        <v>#DIV/0!</v>
      </c>
      <c r="X919" s="6" t="e">
        <f ca="1">SQRT($B$9*AVERAGE(W919:OFFSET(W919,$B$5-1,0)))</f>
        <v>#DIV/0!</v>
      </c>
      <c r="Y919" s="6" t="e">
        <f ca="1">SQRT($B$9*AVERAGE(W919:OFFSET(W919,$B$6-1,0)))</f>
        <v>#DIV/0!</v>
      </c>
      <c r="Z919" s="6" t="e">
        <f ca="1">SQRT($B$9*AVERAGE(W919:OFFSET(W919,$B$7-1,0)))</f>
        <v>#DIV/0!</v>
      </c>
      <c r="AA919" s="6" t="e">
        <f ca="1">SQRT($B$9*AVERAGE(W919:OFFSET(W919,$B$8-1,0)))</f>
        <v>#DIV/0!</v>
      </c>
      <c r="AC919" s="34" t="e">
        <f t="shared" si="80"/>
        <v>#DIV/0!</v>
      </c>
      <c r="AD919" s="34" t="e">
        <f ca="1">SQRT($B$9*SUM(AC919:OFFSET(AC919,$B$5-1,0))/($B$5-1))</f>
        <v>#DIV/0!</v>
      </c>
      <c r="AE919" s="34" t="e">
        <f ca="1">SQRT($B$9*SUM(AC919:OFFSET(AC919,$B$6-1,0))/($B$6-1))</f>
        <v>#DIV/0!</v>
      </c>
      <c r="AF919" s="34" t="e">
        <f ca="1">SQRT($B$9*SUM(AC919:OFFSET(AC919,$B$7-1,0))/($B$7-1))</f>
        <v>#DIV/0!</v>
      </c>
      <c r="AG919" s="34" t="e">
        <f ca="1">SQRT($B$9*SUM(AC919:OFFSET(AC919,$B$8-1,0))/($B$8-1))</f>
        <v>#DIV/0!</v>
      </c>
      <c r="AI919" s="1" t="e">
        <f t="shared" si="81"/>
        <v>#DIV/0!</v>
      </c>
      <c r="AJ919" s="4" t="e">
        <f ca="1">SQRT($B$9)*_xlfn.STDEV.S(AI919:OFFSET(AI919,$B$5-1,0))</f>
        <v>#DIV/0!</v>
      </c>
      <c r="AK919" s="4" t="e">
        <f ca="1">SQRT($B$9)*_xlfn.STDEV.S(AI919:OFFSET(AI919,$B$6-1,0))</f>
        <v>#DIV/0!</v>
      </c>
      <c r="AL919" s="4" t="e">
        <f ca="1">SQRT($B$9)*_xlfn.STDEV.S(AI919:OFFSET(AI919,$B$7-1,0))</f>
        <v>#DIV/0!</v>
      </c>
      <c r="AM919" s="4" t="e">
        <f ca="1">SQRT($B$9)*_xlfn.STDEV.S(AI919:OFFSET(AI919,$B$8-1,0))</f>
        <v>#DIV/0!</v>
      </c>
    </row>
    <row r="920" spans="5:39" x14ac:dyDescent="0.2">
      <c r="E920" s="42">
        <v>44091</v>
      </c>
      <c r="F920" s="43"/>
      <c r="G920" s="43"/>
      <c r="H920" s="43"/>
      <c r="I920" s="43"/>
      <c r="K920" s="3" t="e">
        <f t="shared" si="79"/>
        <v>#DIV/0!</v>
      </c>
      <c r="L920" s="3" t="e">
        <f ca="1">SQRT(AVERAGE(K920:OFFSET(K920,$B$5-1,0))*$B$9/(4*LN(2)))</f>
        <v>#DIV/0!</v>
      </c>
      <c r="M920" s="3" t="e">
        <f ca="1">SQRT(AVERAGE(K920:OFFSET(K920,$B$6-1,0))*$B$9/(4*LN(2)))</f>
        <v>#DIV/0!</v>
      </c>
      <c r="N920" s="3" t="e">
        <f ca="1">SQRT(AVERAGE(K920:OFFSET(K920,$B$7-1,0))*$B$9/(4*LN(2)))</f>
        <v>#DIV/0!</v>
      </c>
      <c r="O920" s="3" t="e">
        <f ca="1">SQRT(AVERAGE(K920:OFFSET(K920,$B$8-1,0))*$B$9/(4*LN(2)))</f>
        <v>#DIV/0!</v>
      </c>
      <c r="Q920" s="5" t="e">
        <f t="shared" si="78"/>
        <v>#DIV/0!</v>
      </c>
      <c r="R920" s="5" t="e">
        <f ca="1">SQRT($B$9*AVERAGE((Q920:OFFSET(Q920,$B$5-1,0))))</f>
        <v>#DIV/0!</v>
      </c>
      <c r="S920" s="5" t="e">
        <f ca="1">SQRT($B$9*AVERAGE((Q920:OFFSET(Q920,$B$6-1,0))))</f>
        <v>#DIV/0!</v>
      </c>
      <c r="T920" s="5" t="e">
        <f ca="1">SQRT($B$9*AVERAGE((Q920:OFFSET(Q920,$B$7-1,0))))</f>
        <v>#DIV/0!</v>
      </c>
      <c r="U920" s="5" t="e">
        <f ca="1">SQRT($B$9*AVERAGE((Q920:OFFSET(Q920,$B$8-1,0))))</f>
        <v>#DIV/0!</v>
      </c>
      <c r="W920" s="6" t="e">
        <f t="shared" si="77"/>
        <v>#DIV/0!</v>
      </c>
      <c r="X920" s="6" t="e">
        <f ca="1">SQRT($B$9*AVERAGE(W920:OFFSET(W920,$B$5-1,0)))</f>
        <v>#DIV/0!</v>
      </c>
      <c r="Y920" s="6" t="e">
        <f ca="1">SQRT($B$9*AVERAGE(W920:OFFSET(W920,$B$6-1,0)))</f>
        <v>#DIV/0!</v>
      </c>
      <c r="Z920" s="6" t="e">
        <f ca="1">SQRT($B$9*AVERAGE(W920:OFFSET(W920,$B$7-1,0)))</f>
        <v>#DIV/0!</v>
      </c>
      <c r="AA920" s="6" t="e">
        <f ca="1">SQRT($B$9*AVERAGE(W920:OFFSET(W920,$B$8-1,0)))</f>
        <v>#DIV/0!</v>
      </c>
      <c r="AC920" s="34" t="e">
        <f t="shared" si="80"/>
        <v>#DIV/0!</v>
      </c>
      <c r="AD920" s="34" t="e">
        <f ca="1">SQRT($B$9*SUM(AC920:OFFSET(AC920,$B$5-1,0))/($B$5-1))</f>
        <v>#DIV/0!</v>
      </c>
      <c r="AE920" s="34" t="e">
        <f ca="1">SQRT($B$9*SUM(AC920:OFFSET(AC920,$B$6-1,0))/($B$6-1))</f>
        <v>#DIV/0!</v>
      </c>
      <c r="AF920" s="34" t="e">
        <f ca="1">SQRT($B$9*SUM(AC920:OFFSET(AC920,$B$7-1,0))/($B$7-1))</f>
        <v>#DIV/0!</v>
      </c>
      <c r="AG920" s="34" t="e">
        <f ca="1">SQRT($B$9*SUM(AC920:OFFSET(AC920,$B$8-1,0))/($B$8-1))</f>
        <v>#DIV/0!</v>
      </c>
      <c r="AI920" s="1" t="e">
        <f t="shared" si="81"/>
        <v>#DIV/0!</v>
      </c>
      <c r="AJ920" s="4" t="e">
        <f ca="1">SQRT($B$9)*_xlfn.STDEV.S(AI920:OFFSET(AI920,$B$5-1,0))</f>
        <v>#DIV/0!</v>
      </c>
      <c r="AK920" s="4" t="e">
        <f ca="1">SQRT($B$9)*_xlfn.STDEV.S(AI920:OFFSET(AI920,$B$6-1,0))</f>
        <v>#DIV/0!</v>
      </c>
      <c r="AL920" s="4" t="e">
        <f ca="1">SQRT($B$9)*_xlfn.STDEV.S(AI920:OFFSET(AI920,$B$7-1,0))</f>
        <v>#DIV/0!</v>
      </c>
      <c r="AM920" s="4" t="e">
        <f ca="1">SQRT($B$9)*_xlfn.STDEV.S(AI920:OFFSET(AI920,$B$8-1,0))</f>
        <v>#DIV/0!</v>
      </c>
    </row>
    <row r="921" spans="5:39" x14ac:dyDescent="0.2">
      <c r="E921" s="42">
        <v>44090</v>
      </c>
      <c r="F921" s="43"/>
      <c r="G921" s="43"/>
      <c r="H921" s="43"/>
      <c r="I921" s="43"/>
      <c r="K921" s="3" t="e">
        <f t="shared" si="79"/>
        <v>#DIV/0!</v>
      </c>
      <c r="L921" s="3" t="e">
        <f ca="1">SQRT(AVERAGE(K921:OFFSET(K921,$B$5-1,0))*$B$9/(4*LN(2)))</f>
        <v>#DIV/0!</v>
      </c>
      <c r="M921" s="3" t="e">
        <f ca="1">SQRT(AVERAGE(K921:OFFSET(K921,$B$6-1,0))*$B$9/(4*LN(2)))</f>
        <v>#DIV/0!</v>
      </c>
      <c r="N921" s="3" t="e">
        <f ca="1">SQRT(AVERAGE(K921:OFFSET(K921,$B$7-1,0))*$B$9/(4*LN(2)))</f>
        <v>#DIV/0!</v>
      </c>
      <c r="O921" s="3" t="e">
        <f ca="1">SQRT(AVERAGE(K921:OFFSET(K921,$B$8-1,0))*$B$9/(4*LN(2)))</f>
        <v>#DIV/0!</v>
      </c>
      <c r="Q921" s="5" t="e">
        <f t="shared" si="78"/>
        <v>#DIV/0!</v>
      </c>
      <c r="R921" s="5" t="e">
        <f ca="1">SQRT($B$9*AVERAGE((Q921:OFFSET(Q921,$B$5-1,0))))</f>
        <v>#DIV/0!</v>
      </c>
      <c r="S921" s="5" t="e">
        <f ca="1">SQRT($B$9*AVERAGE((Q921:OFFSET(Q921,$B$6-1,0))))</f>
        <v>#DIV/0!</v>
      </c>
      <c r="T921" s="5" t="e">
        <f ca="1">SQRT($B$9*AVERAGE((Q921:OFFSET(Q921,$B$7-1,0))))</f>
        <v>#DIV/0!</v>
      </c>
      <c r="U921" s="5" t="e">
        <f ca="1">SQRT($B$9*AVERAGE((Q921:OFFSET(Q921,$B$8-1,0))))</f>
        <v>#DIV/0!</v>
      </c>
      <c r="W921" s="6" t="e">
        <f t="shared" si="77"/>
        <v>#DIV/0!</v>
      </c>
      <c r="X921" s="6" t="e">
        <f ca="1">SQRT($B$9*AVERAGE(W921:OFFSET(W921,$B$5-1,0)))</f>
        <v>#DIV/0!</v>
      </c>
      <c r="Y921" s="6" t="e">
        <f ca="1">SQRT($B$9*AVERAGE(W921:OFFSET(W921,$B$6-1,0)))</f>
        <v>#DIV/0!</v>
      </c>
      <c r="Z921" s="6" t="e">
        <f ca="1">SQRT($B$9*AVERAGE(W921:OFFSET(W921,$B$7-1,0)))</f>
        <v>#DIV/0!</v>
      </c>
      <c r="AA921" s="6" t="e">
        <f ca="1">SQRT($B$9*AVERAGE(W921:OFFSET(W921,$B$8-1,0)))</f>
        <v>#DIV/0!</v>
      </c>
      <c r="AC921" s="34" t="e">
        <f t="shared" si="80"/>
        <v>#DIV/0!</v>
      </c>
      <c r="AD921" s="34" t="e">
        <f ca="1">SQRT($B$9*SUM(AC921:OFFSET(AC921,$B$5-1,0))/($B$5-1))</f>
        <v>#DIV/0!</v>
      </c>
      <c r="AE921" s="34" t="e">
        <f ca="1">SQRT($B$9*SUM(AC921:OFFSET(AC921,$B$6-1,0))/($B$6-1))</f>
        <v>#DIV/0!</v>
      </c>
      <c r="AF921" s="34" t="e">
        <f ca="1">SQRT($B$9*SUM(AC921:OFFSET(AC921,$B$7-1,0))/($B$7-1))</f>
        <v>#DIV/0!</v>
      </c>
      <c r="AG921" s="34" t="e">
        <f ca="1">SQRT($B$9*SUM(AC921:OFFSET(AC921,$B$8-1,0))/($B$8-1))</f>
        <v>#DIV/0!</v>
      </c>
      <c r="AI921" s="1" t="e">
        <f t="shared" si="81"/>
        <v>#DIV/0!</v>
      </c>
      <c r="AJ921" s="4" t="e">
        <f ca="1">SQRT($B$9)*_xlfn.STDEV.S(AI921:OFFSET(AI921,$B$5-1,0))</f>
        <v>#DIV/0!</v>
      </c>
      <c r="AK921" s="4" t="e">
        <f ca="1">SQRT($B$9)*_xlfn.STDEV.S(AI921:OFFSET(AI921,$B$6-1,0))</f>
        <v>#DIV/0!</v>
      </c>
      <c r="AL921" s="4" t="e">
        <f ca="1">SQRT($B$9)*_xlfn.STDEV.S(AI921:OFFSET(AI921,$B$7-1,0))</f>
        <v>#DIV/0!</v>
      </c>
      <c r="AM921" s="4" t="e">
        <f ca="1">SQRT($B$9)*_xlfn.STDEV.S(AI921:OFFSET(AI921,$B$8-1,0))</f>
        <v>#DIV/0!</v>
      </c>
    </row>
    <row r="922" spans="5:39" x14ac:dyDescent="0.2">
      <c r="E922" s="42">
        <v>44089</v>
      </c>
      <c r="F922" s="43"/>
      <c r="G922" s="43"/>
      <c r="H922" s="43"/>
      <c r="I922" s="43"/>
      <c r="K922" s="3" t="e">
        <f t="shared" si="79"/>
        <v>#DIV/0!</v>
      </c>
      <c r="L922" s="3" t="e">
        <f ca="1">SQRT(AVERAGE(K922:OFFSET(K922,$B$5-1,0))*$B$9/(4*LN(2)))</f>
        <v>#DIV/0!</v>
      </c>
      <c r="M922" s="3" t="e">
        <f ca="1">SQRT(AVERAGE(K922:OFFSET(K922,$B$6-1,0))*$B$9/(4*LN(2)))</f>
        <v>#DIV/0!</v>
      </c>
      <c r="N922" s="3" t="e">
        <f ca="1">SQRT(AVERAGE(K922:OFFSET(K922,$B$7-1,0))*$B$9/(4*LN(2)))</f>
        <v>#DIV/0!</v>
      </c>
      <c r="O922" s="3" t="e">
        <f ca="1">SQRT(AVERAGE(K922:OFFSET(K922,$B$8-1,0))*$B$9/(4*LN(2)))</f>
        <v>#DIV/0!</v>
      </c>
      <c r="Q922" s="5" t="e">
        <f t="shared" si="78"/>
        <v>#DIV/0!</v>
      </c>
      <c r="R922" s="5" t="e">
        <f ca="1">SQRT($B$9*AVERAGE((Q922:OFFSET(Q922,$B$5-1,0))))</f>
        <v>#DIV/0!</v>
      </c>
      <c r="S922" s="5" t="e">
        <f ca="1">SQRT($B$9*AVERAGE((Q922:OFFSET(Q922,$B$6-1,0))))</f>
        <v>#DIV/0!</v>
      </c>
      <c r="T922" s="5" t="e">
        <f ca="1">SQRT($B$9*AVERAGE((Q922:OFFSET(Q922,$B$7-1,0))))</f>
        <v>#DIV/0!</v>
      </c>
      <c r="U922" s="5" t="e">
        <f ca="1">SQRT($B$9*AVERAGE((Q922:OFFSET(Q922,$B$8-1,0))))</f>
        <v>#DIV/0!</v>
      </c>
      <c r="W922" s="6" t="e">
        <f t="shared" si="77"/>
        <v>#DIV/0!</v>
      </c>
      <c r="X922" s="6" t="e">
        <f ca="1">SQRT($B$9*AVERAGE(W922:OFFSET(W922,$B$5-1,0)))</f>
        <v>#DIV/0!</v>
      </c>
      <c r="Y922" s="6" t="e">
        <f ca="1">SQRT($B$9*AVERAGE(W922:OFFSET(W922,$B$6-1,0)))</f>
        <v>#DIV/0!</v>
      </c>
      <c r="Z922" s="6" t="e">
        <f ca="1">SQRT($B$9*AVERAGE(W922:OFFSET(W922,$B$7-1,0)))</f>
        <v>#DIV/0!</v>
      </c>
      <c r="AA922" s="6" t="e">
        <f ca="1">SQRT($B$9*AVERAGE(W922:OFFSET(W922,$B$8-1,0)))</f>
        <v>#DIV/0!</v>
      </c>
      <c r="AC922" s="34" t="e">
        <f t="shared" si="80"/>
        <v>#DIV/0!</v>
      </c>
      <c r="AD922" s="34" t="e">
        <f ca="1">SQRT($B$9*SUM(AC922:OFFSET(AC922,$B$5-1,0))/($B$5-1))</f>
        <v>#DIV/0!</v>
      </c>
      <c r="AE922" s="34" t="e">
        <f ca="1">SQRT($B$9*SUM(AC922:OFFSET(AC922,$B$6-1,0))/($B$6-1))</f>
        <v>#DIV/0!</v>
      </c>
      <c r="AF922" s="34" t="e">
        <f ca="1">SQRT($B$9*SUM(AC922:OFFSET(AC922,$B$7-1,0))/($B$7-1))</f>
        <v>#DIV/0!</v>
      </c>
      <c r="AG922" s="34" t="e">
        <f ca="1">SQRT($B$9*SUM(AC922:OFFSET(AC922,$B$8-1,0))/($B$8-1))</f>
        <v>#DIV/0!</v>
      </c>
      <c r="AI922" s="1" t="e">
        <f t="shared" si="81"/>
        <v>#DIV/0!</v>
      </c>
      <c r="AJ922" s="4" t="e">
        <f ca="1">SQRT($B$9)*_xlfn.STDEV.S(AI922:OFFSET(AI922,$B$5-1,0))</f>
        <v>#DIV/0!</v>
      </c>
      <c r="AK922" s="4" t="e">
        <f ca="1">SQRT($B$9)*_xlfn.STDEV.S(AI922:OFFSET(AI922,$B$6-1,0))</f>
        <v>#DIV/0!</v>
      </c>
      <c r="AL922" s="4" t="e">
        <f ca="1">SQRT($B$9)*_xlfn.STDEV.S(AI922:OFFSET(AI922,$B$7-1,0))</f>
        <v>#DIV/0!</v>
      </c>
      <c r="AM922" s="4" t="e">
        <f ca="1">SQRT($B$9)*_xlfn.STDEV.S(AI922:OFFSET(AI922,$B$8-1,0))</f>
        <v>#DIV/0!</v>
      </c>
    </row>
    <row r="923" spans="5:39" x14ac:dyDescent="0.2">
      <c r="E923" s="42">
        <v>44088</v>
      </c>
      <c r="F923" s="43"/>
      <c r="G923" s="43"/>
      <c r="H923" s="43"/>
      <c r="I923" s="43"/>
      <c r="K923" s="3" t="e">
        <f t="shared" si="79"/>
        <v>#DIV/0!</v>
      </c>
      <c r="L923" s="3" t="e">
        <f ca="1">SQRT(AVERAGE(K923:OFFSET(K923,$B$5-1,0))*$B$9/(4*LN(2)))</f>
        <v>#DIV/0!</v>
      </c>
      <c r="M923" s="3" t="e">
        <f ca="1">SQRT(AVERAGE(K923:OFFSET(K923,$B$6-1,0))*$B$9/(4*LN(2)))</f>
        <v>#DIV/0!</v>
      </c>
      <c r="N923" s="3" t="e">
        <f ca="1">SQRT(AVERAGE(K923:OFFSET(K923,$B$7-1,0))*$B$9/(4*LN(2)))</f>
        <v>#DIV/0!</v>
      </c>
      <c r="O923" s="3" t="e">
        <f ca="1">SQRT(AVERAGE(K923:OFFSET(K923,$B$8-1,0))*$B$9/(4*LN(2)))</f>
        <v>#DIV/0!</v>
      </c>
      <c r="Q923" s="5" t="e">
        <f t="shared" si="78"/>
        <v>#DIV/0!</v>
      </c>
      <c r="R923" s="5" t="e">
        <f ca="1">SQRT($B$9*AVERAGE((Q923:OFFSET(Q923,$B$5-1,0))))</f>
        <v>#DIV/0!</v>
      </c>
      <c r="S923" s="5" t="e">
        <f ca="1">SQRT($B$9*AVERAGE((Q923:OFFSET(Q923,$B$6-1,0))))</f>
        <v>#DIV/0!</v>
      </c>
      <c r="T923" s="5" t="e">
        <f ca="1">SQRT($B$9*AVERAGE((Q923:OFFSET(Q923,$B$7-1,0))))</f>
        <v>#DIV/0!</v>
      </c>
      <c r="U923" s="5" t="e">
        <f ca="1">SQRT($B$9*AVERAGE((Q923:OFFSET(Q923,$B$8-1,0))))</f>
        <v>#DIV/0!</v>
      </c>
      <c r="W923" s="6" t="e">
        <f t="shared" si="77"/>
        <v>#DIV/0!</v>
      </c>
      <c r="X923" s="6" t="e">
        <f ca="1">SQRT($B$9*AVERAGE(W923:OFFSET(W923,$B$5-1,0)))</f>
        <v>#DIV/0!</v>
      </c>
      <c r="Y923" s="6" t="e">
        <f ca="1">SQRT($B$9*AVERAGE(W923:OFFSET(W923,$B$6-1,0)))</f>
        <v>#DIV/0!</v>
      </c>
      <c r="Z923" s="6" t="e">
        <f ca="1">SQRT($B$9*AVERAGE(W923:OFFSET(W923,$B$7-1,0)))</f>
        <v>#DIV/0!</v>
      </c>
      <c r="AA923" s="6" t="e">
        <f ca="1">SQRT($B$9*AVERAGE(W923:OFFSET(W923,$B$8-1,0)))</f>
        <v>#DIV/0!</v>
      </c>
      <c r="AC923" s="34" t="e">
        <f t="shared" si="80"/>
        <v>#DIV/0!</v>
      </c>
      <c r="AD923" s="34" t="e">
        <f ca="1">SQRT($B$9*SUM(AC923:OFFSET(AC923,$B$5-1,0))/($B$5-1))</f>
        <v>#DIV/0!</v>
      </c>
      <c r="AE923" s="34" t="e">
        <f ca="1">SQRT($B$9*SUM(AC923:OFFSET(AC923,$B$6-1,0))/($B$6-1))</f>
        <v>#DIV/0!</v>
      </c>
      <c r="AF923" s="34" t="e">
        <f ca="1">SQRT($B$9*SUM(AC923:OFFSET(AC923,$B$7-1,0))/($B$7-1))</f>
        <v>#DIV/0!</v>
      </c>
      <c r="AG923" s="34" t="e">
        <f ca="1">SQRT($B$9*SUM(AC923:OFFSET(AC923,$B$8-1,0))/($B$8-1))</f>
        <v>#DIV/0!</v>
      </c>
      <c r="AI923" s="1" t="e">
        <f t="shared" si="81"/>
        <v>#DIV/0!</v>
      </c>
      <c r="AJ923" s="4" t="e">
        <f ca="1">SQRT($B$9)*_xlfn.STDEV.S(AI923:OFFSET(AI923,$B$5-1,0))</f>
        <v>#DIV/0!</v>
      </c>
      <c r="AK923" s="4" t="e">
        <f ca="1">SQRT($B$9)*_xlfn.STDEV.S(AI923:OFFSET(AI923,$B$6-1,0))</f>
        <v>#DIV/0!</v>
      </c>
      <c r="AL923" s="4" t="e">
        <f ca="1">SQRT($B$9)*_xlfn.STDEV.S(AI923:OFFSET(AI923,$B$7-1,0))</f>
        <v>#DIV/0!</v>
      </c>
      <c r="AM923" s="4" t="e">
        <f ca="1">SQRT($B$9)*_xlfn.STDEV.S(AI923:OFFSET(AI923,$B$8-1,0))</f>
        <v>#DIV/0!</v>
      </c>
    </row>
    <row r="924" spans="5:39" x14ac:dyDescent="0.2">
      <c r="E924" s="42">
        <v>44085</v>
      </c>
      <c r="F924" s="43"/>
      <c r="G924" s="43"/>
      <c r="H924" s="43"/>
      <c r="I924" s="43"/>
      <c r="K924" s="3" t="e">
        <f t="shared" si="79"/>
        <v>#DIV/0!</v>
      </c>
      <c r="L924" s="3" t="e">
        <f ca="1">SQRT(AVERAGE(K924:OFFSET(K924,$B$5-1,0))*$B$9/(4*LN(2)))</f>
        <v>#DIV/0!</v>
      </c>
      <c r="M924" s="3" t="e">
        <f ca="1">SQRT(AVERAGE(K924:OFFSET(K924,$B$6-1,0))*$B$9/(4*LN(2)))</f>
        <v>#DIV/0!</v>
      </c>
      <c r="N924" s="3" t="e">
        <f ca="1">SQRT(AVERAGE(K924:OFFSET(K924,$B$7-1,0))*$B$9/(4*LN(2)))</f>
        <v>#DIV/0!</v>
      </c>
      <c r="O924" s="3" t="e">
        <f ca="1">SQRT(AVERAGE(K924:OFFSET(K924,$B$8-1,0))*$B$9/(4*LN(2)))</f>
        <v>#DIV/0!</v>
      </c>
      <c r="Q924" s="5" t="e">
        <f t="shared" si="78"/>
        <v>#DIV/0!</v>
      </c>
      <c r="R924" s="5" t="e">
        <f ca="1">SQRT($B$9*AVERAGE((Q924:OFFSET(Q924,$B$5-1,0))))</f>
        <v>#DIV/0!</v>
      </c>
      <c r="S924" s="5" t="e">
        <f ca="1">SQRT($B$9*AVERAGE((Q924:OFFSET(Q924,$B$6-1,0))))</f>
        <v>#DIV/0!</v>
      </c>
      <c r="T924" s="5" t="e">
        <f ca="1">SQRT($B$9*AVERAGE((Q924:OFFSET(Q924,$B$7-1,0))))</f>
        <v>#DIV/0!</v>
      </c>
      <c r="U924" s="5" t="e">
        <f ca="1">SQRT($B$9*AVERAGE((Q924:OFFSET(Q924,$B$8-1,0))))</f>
        <v>#DIV/0!</v>
      </c>
      <c r="W924" s="6" t="e">
        <f t="shared" si="77"/>
        <v>#DIV/0!</v>
      </c>
      <c r="X924" s="6" t="e">
        <f ca="1">SQRT($B$9*AVERAGE(W924:OFFSET(W924,$B$5-1,0)))</f>
        <v>#DIV/0!</v>
      </c>
      <c r="Y924" s="6" t="e">
        <f ca="1">SQRT($B$9*AVERAGE(W924:OFFSET(W924,$B$6-1,0)))</f>
        <v>#DIV/0!</v>
      </c>
      <c r="Z924" s="6" t="e">
        <f ca="1">SQRT($B$9*AVERAGE(W924:OFFSET(W924,$B$7-1,0)))</f>
        <v>#DIV/0!</v>
      </c>
      <c r="AA924" s="6" t="e">
        <f ca="1">SQRT($B$9*AVERAGE(W924:OFFSET(W924,$B$8-1,0)))</f>
        <v>#DIV/0!</v>
      </c>
      <c r="AC924" s="34" t="e">
        <f t="shared" si="80"/>
        <v>#DIV/0!</v>
      </c>
      <c r="AD924" s="34" t="e">
        <f ca="1">SQRT($B$9*SUM(AC924:OFFSET(AC924,$B$5-1,0))/($B$5-1))</f>
        <v>#DIV/0!</v>
      </c>
      <c r="AE924" s="34" t="e">
        <f ca="1">SQRT($B$9*SUM(AC924:OFFSET(AC924,$B$6-1,0))/($B$6-1))</f>
        <v>#DIV/0!</v>
      </c>
      <c r="AF924" s="34" t="e">
        <f ca="1">SQRT($B$9*SUM(AC924:OFFSET(AC924,$B$7-1,0))/($B$7-1))</f>
        <v>#DIV/0!</v>
      </c>
      <c r="AG924" s="34" t="e">
        <f ca="1">SQRT($B$9*SUM(AC924:OFFSET(AC924,$B$8-1,0))/($B$8-1))</f>
        <v>#DIV/0!</v>
      </c>
      <c r="AI924" s="1" t="e">
        <f t="shared" si="81"/>
        <v>#DIV/0!</v>
      </c>
      <c r="AJ924" s="4" t="e">
        <f ca="1">SQRT($B$9)*_xlfn.STDEV.S(AI924:OFFSET(AI924,$B$5-1,0))</f>
        <v>#DIV/0!</v>
      </c>
      <c r="AK924" s="4" t="e">
        <f ca="1">SQRT($B$9)*_xlfn.STDEV.S(AI924:OFFSET(AI924,$B$6-1,0))</f>
        <v>#DIV/0!</v>
      </c>
      <c r="AL924" s="4" t="e">
        <f ca="1">SQRT($B$9)*_xlfn.STDEV.S(AI924:OFFSET(AI924,$B$7-1,0))</f>
        <v>#DIV/0!</v>
      </c>
      <c r="AM924" s="4" t="e">
        <f ca="1">SQRT($B$9)*_xlfn.STDEV.S(AI924:OFFSET(AI924,$B$8-1,0))</f>
        <v>#DIV/0!</v>
      </c>
    </row>
    <row r="925" spans="5:39" x14ac:dyDescent="0.2">
      <c r="E925" s="42">
        <v>44084</v>
      </c>
      <c r="F925" s="43"/>
      <c r="G925" s="43"/>
      <c r="H925" s="43"/>
      <c r="I925" s="43"/>
      <c r="K925" s="3" t="e">
        <f t="shared" si="79"/>
        <v>#DIV/0!</v>
      </c>
      <c r="L925" s="3" t="e">
        <f ca="1">SQRT(AVERAGE(K925:OFFSET(K925,$B$5-1,0))*$B$9/(4*LN(2)))</f>
        <v>#DIV/0!</v>
      </c>
      <c r="M925" s="3" t="e">
        <f ca="1">SQRT(AVERAGE(K925:OFFSET(K925,$B$6-1,0))*$B$9/(4*LN(2)))</f>
        <v>#DIV/0!</v>
      </c>
      <c r="N925" s="3" t="e">
        <f ca="1">SQRT(AVERAGE(K925:OFFSET(K925,$B$7-1,0))*$B$9/(4*LN(2)))</f>
        <v>#DIV/0!</v>
      </c>
      <c r="O925" s="3" t="e">
        <f ca="1">SQRT(AVERAGE(K925:OFFSET(K925,$B$8-1,0))*$B$9/(4*LN(2)))</f>
        <v>#DIV/0!</v>
      </c>
      <c r="Q925" s="5" t="e">
        <f t="shared" si="78"/>
        <v>#DIV/0!</v>
      </c>
      <c r="R925" s="5" t="e">
        <f ca="1">SQRT($B$9*AVERAGE((Q925:OFFSET(Q925,$B$5-1,0))))</f>
        <v>#DIV/0!</v>
      </c>
      <c r="S925" s="5" t="e">
        <f ca="1">SQRT($B$9*AVERAGE((Q925:OFFSET(Q925,$B$6-1,0))))</f>
        <v>#DIV/0!</v>
      </c>
      <c r="T925" s="5" t="e">
        <f ca="1">SQRT($B$9*AVERAGE((Q925:OFFSET(Q925,$B$7-1,0))))</f>
        <v>#DIV/0!</v>
      </c>
      <c r="U925" s="5" t="e">
        <f ca="1">SQRT($B$9*AVERAGE((Q925:OFFSET(Q925,$B$8-1,0))))</f>
        <v>#DIV/0!</v>
      </c>
      <c r="W925" s="6" t="e">
        <f t="shared" si="77"/>
        <v>#DIV/0!</v>
      </c>
      <c r="X925" s="6" t="e">
        <f ca="1">SQRT($B$9*AVERAGE(W925:OFFSET(W925,$B$5-1,0)))</f>
        <v>#DIV/0!</v>
      </c>
      <c r="Y925" s="6" t="e">
        <f ca="1">SQRT($B$9*AVERAGE(W925:OFFSET(W925,$B$6-1,0)))</f>
        <v>#DIV/0!</v>
      </c>
      <c r="Z925" s="6" t="e">
        <f ca="1">SQRT($B$9*AVERAGE(W925:OFFSET(W925,$B$7-1,0)))</f>
        <v>#DIV/0!</v>
      </c>
      <c r="AA925" s="6" t="e">
        <f ca="1">SQRT($B$9*AVERAGE(W925:OFFSET(W925,$B$8-1,0)))</f>
        <v>#DIV/0!</v>
      </c>
      <c r="AC925" s="34" t="e">
        <f t="shared" si="80"/>
        <v>#DIV/0!</v>
      </c>
      <c r="AD925" s="34" t="e">
        <f ca="1">SQRT($B$9*SUM(AC925:OFFSET(AC925,$B$5-1,0))/($B$5-1))</f>
        <v>#DIV/0!</v>
      </c>
      <c r="AE925" s="34" t="e">
        <f ca="1">SQRT($B$9*SUM(AC925:OFFSET(AC925,$B$6-1,0))/($B$6-1))</f>
        <v>#DIV/0!</v>
      </c>
      <c r="AF925" s="34" t="e">
        <f ca="1">SQRT($B$9*SUM(AC925:OFFSET(AC925,$B$7-1,0))/($B$7-1))</f>
        <v>#DIV/0!</v>
      </c>
      <c r="AG925" s="34" t="e">
        <f ca="1">SQRT($B$9*SUM(AC925:OFFSET(AC925,$B$8-1,0))/($B$8-1))</f>
        <v>#DIV/0!</v>
      </c>
      <c r="AI925" s="1" t="e">
        <f t="shared" si="81"/>
        <v>#DIV/0!</v>
      </c>
      <c r="AJ925" s="4" t="e">
        <f ca="1">SQRT($B$9)*_xlfn.STDEV.S(AI925:OFFSET(AI925,$B$5-1,0))</f>
        <v>#DIV/0!</v>
      </c>
      <c r="AK925" s="4" t="e">
        <f ca="1">SQRT($B$9)*_xlfn.STDEV.S(AI925:OFFSET(AI925,$B$6-1,0))</f>
        <v>#DIV/0!</v>
      </c>
      <c r="AL925" s="4" t="e">
        <f ca="1">SQRT($B$9)*_xlfn.STDEV.S(AI925:OFFSET(AI925,$B$7-1,0))</f>
        <v>#DIV/0!</v>
      </c>
      <c r="AM925" s="4" t="e">
        <f ca="1">SQRT($B$9)*_xlfn.STDEV.S(AI925:OFFSET(AI925,$B$8-1,0))</f>
        <v>#DIV/0!</v>
      </c>
    </row>
    <row r="926" spans="5:39" x14ac:dyDescent="0.2">
      <c r="E926" s="42">
        <v>44083</v>
      </c>
      <c r="F926" s="43"/>
      <c r="G926" s="43"/>
      <c r="H926" s="43"/>
      <c r="I926" s="43"/>
      <c r="K926" s="3" t="e">
        <f t="shared" si="79"/>
        <v>#DIV/0!</v>
      </c>
      <c r="L926" s="3" t="e">
        <f ca="1">SQRT(AVERAGE(K926:OFFSET(K926,$B$5-1,0))*$B$9/(4*LN(2)))</f>
        <v>#DIV/0!</v>
      </c>
      <c r="M926" s="3" t="e">
        <f ca="1">SQRT(AVERAGE(K926:OFFSET(K926,$B$6-1,0))*$B$9/(4*LN(2)))</f>
        <v>#DIV/0!</v>
      </c>
      <c r="N926" s="3" t="e">
        <f ca="1">SQRT(AVERAGE(K926:OFFSET(K926,$B$7-1,0))*$B$9/(4*LN(2)))</f>
        <v>#DIV/0!</v>
      </c>
      <c r="O926" s="3" t="e">
        <f ca="1">SQRT(AVERAGE(K926:OFFSET(K926,$B$8-1,0))*$B$9/(4*LN(2)))</f>
        <v>#DIV/0!</v>
      </c>
      <c r="Q926" s="5" t="e">
        <f t="shared" si="78"/>
        <v>#DIV/0!</v>
      </c>
      <c r="R926" s="5" t="e">
        <f ca="1">SQRT($B$9*AVERAGE((Q926:OFFSET(Q926,$B$5-1,0))))</f>
        <v>#DIV/0!</v>
      </c>
      <c r="S926" s="5" t="e">
        <f ca="1">SQRT($B$9*AVERAGE((Q926:OFFSET(Q926,$B$6-1,0))))</f>
        <v>#DIV/0!</v>
      </c>
      <c r="T926" s="5" t="e">
        <f ca="1">SQRT($B$9*AVERAGE((Q926:OFFSET(Q926,$B$7-1,0))))</f>
        <v>#DIV/0!</v>
      </c>
      <c r="U926" s="5" t="e">
        <f ca="1">SQRT($B$9*AVERAGE((Q926:OFFSET(Q926,$B$8-1,0))))</f>
        <v>#DIV/0!</v>
      </c>
      <c r="W926" s="6" t="e">
        <f t="shared" si="77"/>
        <v>#DIV/0!</v>
      </c>
      <c r="X926" s="6" t="e">
        <f ca="1">SQRT($B$9*AVERAGE(W926:OFFSET(W926,$B$5-1,0)))</f>
        <v>#DIV/0!</v>
      </c>
      <c r="Y926" s="6" t="e">
        <f ca="1">SQRT($B$9*AVERAGE(W926:OFFSET(W926,$B$6-1,0)))</f>
        <v>#DIV/0!</v>
      </c>
      <c r="Z926" s="6" t="e">
        <f ca="1">SQRT($B$9*AVERAGE(W926:OFFSET(W926,$B$7-1,0)))</f>
        <v>#DIV/0!</v>
      </c>
      <c r="AA926" s="6" t="e">
        <f ca="1">SQRT($B$9*AVERAGE(W926:OFFSET(W926,$B$8-1,0)))</f>
        <v>#DIV/0!</v>
      </c>
      <c r="AC926" s="34" t="e">
        <f t="shared" si="80"/>
        <v>#DIV/0!</v>
      </c>
      <c r="AD926" s="34" t="e">
        <f ca="1">SQRT($B$9*SUM(AC926:OFFSET(AC926,$B$5-1,0))/($B$5-1))</f>
        <v>#DIV/0!</v>
      </c>
      <c r="AE926" s="34" t="e">
        <f ca="1">SQRT($B$9*SUM(AC926:OFFSET(AC926,$B$6-1,0))/($B$6-1))</f>
        <v>#DIV/0!</v>
      </c>
      <c r="AF926" s="34" t="e">
        <f ca="1">SQRT($B$9*SUM(AC926:OFFSET(AC926,$B$7-1,0))/($B$7-1))</f>
        <v>#DIV/0!</v>
      </c>
      <c r="AG926" s="34" t="e">
        <f ca="1">SQRT($B$9*SUM(AC926:OFFSET(AC926,$B$8-1,0))/($B$8-1))</f>
        <v>#DIV/0!</v>
      </c>
      <c r="AI926" s="1" t="e">
        <f t="shared" si="81"/>
        <v>#DIV/0!</v>
      </c>
      <c r="AJ926" s="4" t="e">
        <f ca="1">SQRT($B$9)*_xlfn.STDEV.S(AI926:OFFSET(AI926,$B$5-1,0))</f>
        <v>#DIV/0!</v>
      </c>
      <c r="AK926" s="4" t="e">
        <f ca="1">SQRT($B$9)*_xlfn.STDEV.S(AI926:OFFSET(AI926,$B$6-1,0))</f>
        <v>#DIV/0!</v>
      </c>
      <c r="AL926" s="4" t="e">
        <f ca="1">SQRT($B$9)*_xlfn.STDEV.S(AI926:OFFSET(AI926,$B$7-1,0))</f>
        <v>#DIV/0!</v>
      </c>
      <c r="AM926" s="4" t="e">
        <f ca="1">SQRT($B$9)*_xlfn.STDEV.S(AI926:OFFSET(AI926,$B$8-1,0))</f>
        <v>#DIV/0!</v>
      </c>
    </row>
    <row r="927" spans="5:39" x14ac:dyDescent="0.2">
      <c r="E927" s="42">
        <v>44082</v>
      </c>
      <c r="F927" s="43"/>
      <c r="G927" s="43"/>
      <c r="H927" s="43"/>
      <c r="I927" s="43"/>
      <c r="K927" s="3" t="e">
        <f t="shared" si="79"/>
        <v>#DIV/0!</v>
      </c>
      <c r="L927" s="3" t="e">
        <f ca="1">SQRT(AVERAGE(K927:OFFSET(K927,$B$5-1,0))*$B$9/(4*LN(2)))</f>
        <v>#DIV/0!</v>
      </c>
      <c r="M927" s="3" t="e">
        <f ca="1">SQRT(AVERAGE(K927:OFFSET(K927,$B$6-1,0))*$B$9/(4*LN(2)))</f>
        <v>#DIV/0!</v>
      </c>
      <c r="N927" s="3" t="e">
        <f ca="1">SQRT(AVERAGE(K927:OFFSET(K927,$B$7-1,0))*$B$9/(4*LN(2)))</f>
        <v>#DIV/0!</v>
      </c>
      <c r="O927" s="3" t="e">
        <f ca="1">SQRT(AVERAGE(K927:OFFSET(K927,$B$8-1,0))*$B$9/(4*LN(2)))</f>
        <v>#DIV/0!</v>
      </c>
      <c r="Q927" s="5" t="e">
        <f t="shared" si="78"/>
        <v>#DIV/0!</v>
      </c>
      <c r="R927" s="5" t="e">
        <f ca="1">SQRT($B$9*AVERAGE((Q927:OFFSET(Q927,$B$5-1,0))))</f>
        <v>#DIV/0!</v>
      </c>
      <c r="S927" s="5" t="e">
        <f ca="1">SQRT($B$9*AVERAGE((Q927:OFFSET(Q927,$B$6-1,0))))</f>
        <v>#DIV/0!</v>
      </c>
      <c r="T927" s="5" t="e">
        <f ca="1">SQRT($B$9*AVERAGE((Q927:OFFSET(Q927,$B$7-1,0))))</f>
        <v>#DIV/0!</v>
      </c>
      <c r="U927" s="5" t="e">
        <f ca="1">SQRT($B$9*AVERAGE((Q927:OFFSET(Q927,$B$8-1,0))))</f>
        <v>#DIV/0!</v>
      </c>
      <c r="W927" s="6" t="e">
        <f t="shared" si="77"/>
        <v>#DIV/0!</v>
      </c>
      <c r="X927" s="6" t="e">
        <f ca="1">SQRT($B$9*AVERAGE(W927:OFFSET(W927,$B$5-1,0)))</f>
        <v>#DIV/0!</v>
      </c>
      <c r="Y927" s="6" t="e">
        <f ca="1">SQRT($B$9*AVERAGE(W927:OFFSET(W927,$B$6-1,0)))</f>
        <v>#DIV/0!</v>
      </c>
      <c r="Z927" s="6" t="e">
        <f ca="1">SQRT($B$9*AVERAGE(W927:OFFSET(W927,$B$7-1,0)))</f>
        <v>#DIV/0!</v>
      </c>
      <c r="AA927" s="6" t="e">
        <f ca="1">SQRT($B$9*AVERAGE(W927:OFFSET(W927,$B$8-1,0)))</f>
        <v>#DIV/0!</v>
      </c>
      <c r="AC927" s="34" t="e">
        <f t="shared" si="80"/>
        <v>#DIV/0!</v>
      </c>
      <c r="AD927" s="34" t="e">
        <f ca="1">SQRT($B$9*SUM(AC927:OFFSET(AC927,$B$5-1,0))/($B$5-1))</f>
        <v>#DIV/0!</v>
      </c>
      <c r="AE927" s="34" t="e">
        <f ca="1">SQRT($B$9*SUM(AC927:OFFSET(AC927,$B$6-1,0))/($B$6-1))</f>
        <v>#DIV/0!</v>
      </c>
      <c r="AF927" s="34" t="e">
        <f ca="1">SQRT($B$9*SUM(AC927:OFFSET(AC927,$B$7-1,0))/($B$7-1))</f>
        <v>#DIV/0!</v>
      </c>
      <c r="AG927" s="34" t="e">
        <f ca="1">SQRT($B$9*SUM(AC927:OFFSET(AC927,$B$8-1,0))/($B$8-1))</f>
        <v>#DIV/0!</v>
      </c>
      <c r="AI927" s="1" t="e">
        <f t="shared" si="81"/>
        <v>#DIV/0!</v>
      </c>
      <c r="AJ927" s="4" t="e">
        <f ca="1">SQRT($B$9)*_xlfn.STDEV.S(AI927:OFFSET(AI927,$B$5-1,0))</f>
        <v>#DIV/0!</v>
      </c>
      <c r="AK927" s="4" t="e">
        <f ca="1">SQRT($B$9)*_xlfn.STDEV.S(AI927:OFFSET(AI927,$B$6-1,0))</f>
        <v>#DIV/0!</v>
      </c>
      <c r="AL927" s="4" t="e">
        <f ca="1">SQRT($B$9)*_xlfn.STDEV.S(AI927:OFFSET(AI927,$B$7-1,0))</f>
        <v>#DIV/0!</v>
      </c>
      <c r="AM927" s="4" t="e">
        <f ca="1">SQRT($B$9)*_xlfn.STDEV.S(AI927:OFFSET(AI927,$B$8-1,0))</f>
        <v>#DIV/0!</v>
      </c>
    </row>
    <row r="928" spans="5:39" x14ac:dyDescent="0.2">
      <c r="E928" s="42">
        <v>44081</v>
      </c>
      <c r="F928" s="43"/>
      <c r="G928" s="43"/>
      <c r="H928" s="43"/>
      <c r="I928" s="43"/>
      <c r="K928" s="3" t="e">
        <f t="shared" si="79"/>
        <v>#DIV/0!</v>
      </c>
      <c r="L928" s="3" t="e">
        <f ca="1">SQRT(AVERAGE(K928:OFFSET(K928,$B$5-1,0))*$B$9/(4*LN(2)))</f>
        <v>#DIV/0!</v>
      </c>
      <c r="M928" s="3" t="e">
        <f ca="1">SQRT(AVERAGE(K928:OFFSET(K928,$B$6-1,0))*$B$9/(4*LN(2)))</f>
        <v>#DIV/0!</v>
      </c>
      <c r="N928" s="3" t="e">
        <f ca="1">SQRT(AVERAGE(K928:OFFSET(K928,$B$7-1,0))*$B$9/(4*LN(2)))</f>
        <v>#DIV/0!</v>
      </c>
      <c r="O928" s="3" t="e">
        <f ca="1">SQRT(AVERAGE(K928:OFFSET(K928,$B$8-1,0))*$B$9/(4*LN(2)))</f>
        <v>#DIV/0!</v>
      </c>
      <c r="Q928" s="5" t="e">
        <f t="shared" si="78"/>
        <v>#DIV/0!</v>
      </c>
      <c r="R928" s="5" t="e">
        <f ca="1">SQRT($B$9*AVERAGE((Q928:OFFSET(Q928,$B$5-1,0))))</f>
        <v>#DIV/0!</v>
      </c>
      <c r="S928" s="5" t="e">
        <f ca="1">SQRT($B$9*AVERAGE((Q928:OFFSET(Q928,$B$6-1,0))))</f>
        <v>#DIV/0!</v>
      </c>
      <c r="T928" s="5" t="e">
        <f ca="1">SQRT($B$9*AVERAGE((Q928:OFFSET(Q928,$B$7-1,0))))</f>
        <v>#DIV/0!</v>
      </c>
      <c r="U928" s="5" t="e">
        <f ca="1">SQRT($B$9*AVERAGE((Q928:OFFSET(Q928,$B$8-1,0))))</f>
        <v>#DIV/0!</v>
      </c>
      <c r="W928" s="6" t="e">
        <f t="shared" si="77"/>
        <v>#DIV/0!</v>
      </c>
      <c r="X928" s="6" t="e">
        <f ca="1">SQRT($B$9*AVERAGE(W928:OFFSET(W928,$B$5-1,0)))</f>
        <v>#DIV/0!</v>
      </c>
      <c r="Y928" s="6" t="e">
        <f ca="1">SQRT($B$9*AVERAGE(W928:OFFSET(W928,$B$6-1,0)))</f>
        <v>#DIV/0!</v>
      </c>
      <c r="Z928" s="6" t="e">
        <f ca="1">SQRT($B$9*AVERAGE(W928:OFFSET(W928,$B$7-1,0)))</f>
        <v>#DIV/0!</v>
      </c>
      <c r="AA928" s="6" t="e">
        <f ca="1">SQRT($B$9*AVERAGE(W928:OFFSET(W928,$B$8-1,0)))</f>
        <v>#DIV/0!</v>
      </c>
      <c r="AC928" s="34" t="e">
        <f t="shared" si="80"/>
        <v>#DIV/0!</v>
      </c>
      <c r="AD928" s="34" t="e">
        <f ca="1">SQRT($B$9*SUM(AC928:OFFSET(AC928,$B$5-1,0))/($B$5-1))</f>
        <v>#DIV/0!</v>
      </c>
      <c r="AE928" s="34" t="e">
        <f ca="1">SQRT($B$9*SUM(AC928:OFFSET(AC928,$B$6-1,0))/($B$6-1))</f>
        <v>#DIV/0!</v>
      </c>
      <c r="AF928" s="34" t="e">
        <f ca="1">SQRT($B$9*SUM(AC928:OFFSET(AC928,$B$7-1,0))/($B$7-1))</f>
        <v>#DIV/0!</v>
      </c>
      <c r="AG928" s="34" t="e">
        <f ca="1">SQRT($B$9*SUM(AC928:OFFSET(AC928,$B$8-1,0))/($B$8-1))</f>
        <v>#DIV/0!</v>
      </c>
      <c r="AI928" s="1" t="e">
        <f t="shared" si="81"/>
        <v>#DIV/0!</v>
      </c>
      <c r="AJ928" s="4" t="e">
        <f ca="1">SQRT($B$9)*_xlfn.STDEV.S(AI928:OFFSET(AI928,$B$5-1,0))</f>
        <v>#DIV/0!</v>
      </c>
      <c r="AK928" s="4" t="e">
        <f ca="1">SQRT($B$9)*_xlfn.STDEV.S(AI928:OFFSET(AI928,$B$6-1,0))</f>
        <v>#DIV/0!</v>
      </c>
      <c r="AL928" s="4" t="e">
        <f ca="1">SQRT($B$9)*_xlfn.STDEV.S(AI928:OFFSET(AI928,$B$7-1,0))</f>
        <v>#DIV/0!</v>
      </c>
      <c r="AM928" s="4" t="e">
        <f ca="1">SQRT($B$9)*_xlfn.STDEV.S(AI928:OFFSET(AI928,$B$8-1,0))</f>
        <v>#DIV/0!</v>
      </c>
    </row>
    <row r="929" spans="5:39" x14ac:dyDescent="0.2">
      <c r="E929" s="42">
        <v>44078</v>
      </c>
      <c r="F929" s="43"/>
      <c r="G929" s="43"/>
      <c r="H929" s="43"/>
      <c r="I929" s="43"/>
      <c r="K929" s="3" t="e">
        <f t="shared" si="79"/>
        <v>#DIV/0!</v>
      </c>
      <c r="L929" s="3" t="e">
        <f ca="1">SQRT(AVERAGE(K929:OFFSET(K929,$B$5-1,0))*$B$9/(4*LN(2)))</f>
        <v>#DIV/0!</v>
      </c>
      <c r="M929" s="3" t="e">
        <f ca="1">SQRT(AVERAGE(K929:OFFSET(K929,$B$6-1,0))*$B$9/(4*LN(2)))</f>
        <v>#DIV/0!</v>
      </c>
      <c r="N929" s="3" t="e">
        <f ca="1">SQRT(AVERAGE(K929:OFFSET(K929,$B$7-1,0))*$B$9/(4*LN(2)))</f>
        <v>#DIV/0!</v>
      </c>
      <c r="O929" s="3" t="e">
        <f ca="1">SQRT(AVERAGE(K929:OFFSET(K929,$B$8-1,0))*$B$9/(4*LN(2)))</f>
        <v>#DIV/0!</v>
      </c>
      <c r="Q929" s="5" t="e">
        <f t="shared" si="78"/>
        <v>#DIV/0!</v>
      </c>
      <c r="R929" s="5" t="e">
        <f ca="1">SQRT($B$9*AVERAGE((Q929:OFFSET(Q929,$B$5-1,0))))</f>
        <v>#DIV/0!</v>
      </c>
      <c r="S929" s="5" t="e">
        <f ca="1">SQRT($B$9*AVERAGE((Q929:OFFSET(Q929,$B$6-1,0))))</f>
        <v>#DIV/0!</v>
      </c>
      <c r="T929" s="5" t="e">
        <f ca="1">SQRT($B$9*AVERAGE((Q929:OFFSET(Q929,$B$7-1,0))))</f>
        <v>#DIV/0!</v>
      </c>
      <c r="U929" s="5" t="e">
        <f ca="1">SQRT($B$9*AVERAGE((Q929:OFFSET(Q929,$B$8-1,0))))</f>
        <v>#DIV/0!</v>
      </c>
      <c r="W929" s="6" t="e">
        <f t="shared" si="77"/>
        <v>#DIV/0!</v>
      </c>
      <c r="X929" s="6" t="e">
        <f ca="1">SQRT($B$9*AVERAGE(W929:OFFSET(W929,$B$5-1,0)))</f>
        <v>#DIV/0!</v>
      </c>
      <c r="Y929" s="6" t="e">
        <f ca="1">SQRT($B$9*AVERAGE(W929:OFFSET(W929,$B$6-1,0)))</f>
        <v>#DIV/0!</v>
      </c>
      <c r="Z929" s="6" t="e">
        <f ca="1">SQRT($B$9*AVERAGE(W929:OFFSET(W929,$B$7-1,0)))</f>
        <v>#DIV/0!</v>
      </c>
      <c r="AA929" s="6" t="e">
        <f ca="1">SQRT($B$9*AVERAGE(W929:OFFSET(W929,$B$8-1,0)))</f>
        <v>#DIV/0!</v>
      </c>
      <c r="AC929" s="34" t="e">
        <f t="shared" si="80"/>
        <v>#DIV/0!</v>
      </c>
      <c r="AD929" s="34" t="e">
        <f ca="1">SQRT($B$9*SUM(AC929:OFFSET(AC929,$B$5-1,0))/($B$5-1))</f>
        <v>#DIV/0!</v>
      </c>
      <c r="AE929" s="34" t="e">
        <f ca="1">SQRT($B$9*SUM(AC929:OFFSET(AC929,$B$6-1,0))/($B$6-1))</f>
        <v>#DIV/0!</v>
      </c>
      <c r="AF929" s="34" t="e">
        <f ca="1">SQRT($B$9*SUM(AC929:OFFSET(AC929,$B$7-1,0))/($B$7-1))</f>
        <v>#DIV/0!</v>
      </c>
      <c r="AG929" s="34" t="e">
        <f ca="1">SQRT($B$9*SUM(AC929:OFFSET(AC929,$B$8-1,0))/($B$8-1))</f>
        <v>#DIV/0!</v>
      </c>
      <c r="AI929" s="1" t="e">
        <f t="shared" si="81"/>
        <v>#DIV/0!</v>
      </c>
      <c r="AJ929" s="4" t="e">
        <f ca="1">SQRT($B$9)*_xlfn.STDEV.S(AI929:OFFSET(AI929,$B$5-1,0))</f>
        <v>#DIV/0!</v>
      </c>
      <c r="AK929" s="4" t="e">
        <f ca="1">SQRT($B$9)*_xlfn.STDEV.S(AI929:OFFSET(AI929,$B$6-1,0))</f>
        <v>#DIV/0!</v>
      </c>
      <c r="AL929" s="4" t="e">
        <f ca="1">SQRT($B$9)*_xlfn.STDEV.S(AI929:OFFSET(AI929,$B$7-1,0))</f>
        <v>#DIV/0!</v>
      </c>
      <c r="AM929" s="4" t="e">
        <f ca="1">SQRT($B$9)*_xlfn.STDEV.S(AI929:OFFSET(AI929,$B$8-1,0))</f>
        <v>#DIV/0!</v>
      </c>
    </row>
    <row r="930" spans="5:39" x14ac:dyDescent="0.2">
      <c r="E930" s="42">
        <v>44077</v>
      </c>
      <c r="F930" s="43"/>
      <c r="G930" s="43"/>
      <c r="H930" s="43"/>
      <c r="I930" s="43"/>
      <c r="K930" s="3" t="e">
        <f t="shared" si="79"/>
        <v>#DIV/0!</v>
      </c>
      <c r="L930" s="3" t="e">
        <f ca="1">SQRT(AVERAGE(K930:OFFSET(K930,$B$5-1,0))*$B$9/(4*LN(2)))</f>
        <v>#DIV/0!</v>
      </c>
      <c r="M930" s="3" t="e">
        <f ca="1">SQRT(AVERAGE(K930:OFFSET(K930,$B$6-1,0))*$B$9/(4*LN(2)))</f>
        <v>#DIV/0!</v>
      </c>
      <c r="N930" s="3" t="e">
        <f ca="1">SQRT(AVERAGE(K930:OFFSET(K930,$B$7-1,0))*$B$9/(4*LN(2)))</f>
        <v>#DIV/0!</v>
      </c>
      <c r="O930" s="3" t="e">
        <f ca="1">SQRT(AVERAGE(K930:OFFSET(K930,$B$8-1,0))*$B$9/(4*LN(2)))</f>
        <v>#DIV/0!</v>
      </c>
      <c r="Q930" s="5" t="e">
        <f t="shared" si="78"/>
        <v>#DIV/0!</v>
      </c>
      <c r="R930" s="5" t="e">
        <f ca="1">SQRT($B$9*AVERAGE((Q930:OFFSET(Q930,$B$5-1,0))))</f>
        <v>#DIV/0!</v>
      </c>
      <c r="S930" s="5" t="e">
        <f ca="1">SQRT($B$9*AVERAGE((Q930:OFFSET(Q930,$B$6-1,0))))</f>
        <v>#DIV/0!</v>
      </c>
      <c r="T930" s="5" t="e">
        <f ca="1">SQRT($B$9*AVERAGE((Q930:OFFSET(Q930,$B$7-1,0))))</f>
        <v>#DIV/0!</v>
      </c>
      <c r="U930" s="5" t="e">
        <f ca="1">SQRT($B$9*AVERAGE((Q930:OFFSET(Q930,$B$8-1,0))))</f>
        <v>#DIV/0!</v>
      </c>
      <c r="W930" s="6" t="e">
        <f t="shared" si="77"/>
        <v>#DIV/0!</v>
      </c>
      <c r="X930" s="6" t="e">
        <f ca="1">SQRT($B$9*AVERAGE(W930:OFFSET(W930,$B$5-1,0)))</f>
        <v>#DIV/0!</v>
      </c>
      <c r="Y930" s="6" t="e">
        <f ca="1">SQRT($B$9*AVERAGE(W930:OFFSET(W930,$B$6-1,0)))</f>
        <v>#DIV/0!</v>
      </c>
      <c r="Z930" s="6" t="e">
        <f ca="1">SQRT($B$9*AVERAGE(W930:OFFSET(W930,$B$7-1,0)))</f>
        <v>#DIV/0!</v>
      </c>
      <c r="AA930" s="6" t="e">
        <f ca="1">SQRT($B$9*AVERAGE(W930:OFFSET(W930,$B$8-1,0)))</f>
        <v>#DIV/0!</v>
      </c>
      <c r="AC930" s="34" t="e">
        <f t="shared" si="80"/>
        <v>#DIV/0!</v>
      </c>
      <c r="AD930" s="34" t="e">
        <f ca="1">SQRT($B$9*SUM(AC930:OFFSET(AC930,$B$5-1,0))/($B$5-1))</f>
        <v>#DIV/0!</v>
      </c>
      <c r="AE930" s="34" t="e">
        <f ca="1">SQRT($B$9*SUM(AC930:OFFSET(AC930,$B$6-1,0))/($B$6-1))</f>
        <v>#DIV/0!</v>
      </c>
      <c r="AF930" s="34" t="e">
        <f ca="1">SQRT($B$9*SUM(AC930:OFFSET(AC930,$B$7-1,0))/($B$7-1))</f>
        <v>#DIV/0!</v>
      </c>
      <c r="AG930" s="34" t="e">
        <f ca="1">SQRT($B$9*SUM(AC930:OFFSET(AC930,$B$8-1,0))/($B$8-1))</f>
        <v>#DIV/0!</v>
      </c>
      <c r="AI930" s="1" t="e">
        <f t="shared" si="81"/>
        <v>#DIV/0!</v>
      </c>
      <c r="AJ930" s="4" t="e">
        <f ca="1">SQRT($B$9)*_xlfn.STDEV.S(AI930:OFFSET(AI930,$B$5-1,0))</f>
        <v>#DIV/0!</v>
      </c>
      <c r="AK930" s="4" t="e">
        <f ca="1">SQRT($B$9)*_xlfn.STDEV.S(AI930:OFFSET(AI930,$B$6-1,0))</f>
        <v>#DIV/0!</v>
      </c>
      <c r="AL930" s="4" t="e">
        <f ca="1">SQRT($B$9)*_xlfn.STDEV.S(AI930:OFFSET(AI930,$B$7-1,0))</f>
        <v>#DIV/0!</v>
      </c>
      <c r="AM930" s="4" t="e">
        <f ca="1">SQRT($B$9)*_xlfn.STDEV.S(AI930:OFFSET(AI930,$B$8-1,0))</f>
        <v>#DIV/0!</v>
      </c>
    </row>
    <row r="931" spans="5:39" x14ac:dyDescent="0.2">
      <c r="E931" s="42">
        <v>44076</v>
      </c>
      <c r="F931" s="43"/>
      <c r="G931" s="43"/>
      <c r="H931" s="43"/>
      <c r="I931" s="43"/>
      <c r="K931" s="3" t="e">
        <f t="shared" si="79"/>
        <v>#DIV/0!</v>
      </c>
      <c r="L931" s="3" t="e">
        <f ca="1">SQRT(AVERAGE(K931:OFFSET(K931,$B$5-1,0))*$B$9/(4*LN(2)))</f>
        <v>#DIV/0!</v>
      </c>
      <c r="M931" s="3" t="e">
        <f ca="1">SQRT(AVERAGE(K931:OFFSET(K931,$B$6-1,0))*$B$9/(4*LN(2)))</f>
        <v>#DIV/0!</v>
      </c>
      <c r="N931" s="3" t="e">
        <f ca="1">SQRT(AVERAGE(K931:OFFSET(K931,$B$7-1,0))*$B$9/(4*LN(2)))</f>
        <v>#DIV/0!</v>
      </c>
      <c r="O931" s="3" t="e">
        <f ca="1">SQRT(AVERAGE(K931:OFFSET(K931,$B$8-1,0))*$B$9/(4*LN(2)))</f>
        <v>#DIV/0!</v>
      </c>
      <c r="Q931" s="5" t="e">
        <f t="shared" si="78"/>
        <v>#DIV/0!</v>
      </c>
      <c r="R931" s="5" t="e">
        <f ca="1">SQRT($B$9*AVERAGE((Q931:OFFSET(Q931,$B$5-1,0))))</f>
        <v>#DIV/0!</v>
      </c>
      <c r="S931" s="5" t="e">
        <f ca="1">SQRT($B$9*AVERAGE((Q931:OFFSET(Q931,$B$6-1,0))))</f>
        <v>#DIV/0!</v>
      </c>
      <c r="T931" s="5" t="e">
        <f ca="1">SQRT($B$9*AVERAGE((Q931:OFFSET(Q931,$B$7-1,0))))</f>
        <v>#DIV/0!</v>
      </c>
      <c r="U931" s="5" t="e">
        <f ca="1">SQRT($B$9*AVERAGE((Q931:OFFSET(Q931,$B$8-1,0))))</f>
        <v>#DIV/0!</v>
      </c>
      <c r="W931" s="6" t="e">
        <f t="shared" si="77"/>
        <v>#DIV/0!</v>
      </c>
      <c r="X931" s="6" t="e">
        <f ca="1">SQRT($B$9*AVERAGE(W931:OFFSET(W931,$B$5-1,0)))</f>
        <v>#DIV/0!</v>
      </c>
      <c r="Y931" s="6" t="e">
        <f ca="1">SQRT($B$9*AVERAGE(W931:OFFSET(W931,$B$6-1,0)))</f>
        <v>#DIV/0!</v>
      </c>
      <c r="Z931" s="6" t="e">
        <f ca="1">SQRT($B$9*AVERAGE(W931:OFFSET(W931,$B$7-1,0)))</f>
        <v>#DIV/0!</v>
      </c>
      <c r="AA931" s="6" t="e">
        <f ca="1">SQRT($B$9*AVERAGE(W931:OFFSET(W931,$B$8-1,0)))</f>
        <v>#DIV/0!</v>
      </c>
      <c r="AC931" s="34" t="e">
        <f t="shared" si="80"/>
        <v>#DIV/0!</v>
      </c>
      <c r="AD931" s="34" t="e">
        <f ca="1">SQRT($B$9*SUM(AC931:OFFSET(AC931,$B$5-1,0))/($B$5-1))</f>
        <v>#DIV/0!</v>
      </c>
      <c r="AE931" s="34" t="e">
        <f ca="1">SQRT($B$9*SUM(AC931:OFFSET(AC931,$B$6-1,0))/($B$6-1))</f>
        <v>#DIV/0!</v>
      </c>
      <c r="AF931" s="34" t="e">
        <f ca="1">SQRT($B$9*SUM(AC931:OFFSET(AC931,$B$7-1,0))/($B$7-1))</f>
        <v>#DIV/0!</v>
      </c>
      <c r="AG931" s="34" t="e">
        <f ca="1">SQRT($B$9*SUM(AC931:OFFSET(AC931,$B$8-1,0))/($B$8-1))</f>
        <v>#DIV/0!</v>
      </c>
      <c r="AI931" s="1" t="e">
        <f t="shared" si="81"/>
        <v>#DIV/0!</v>
      </c>
      <c r="AJ931" s="4" t="e">
        <f ca="1">SQRT($B$9)*_xlfn.STDEV.S(AI931:OFFSET(AI931,$B$5-1,0))</f>
        <v>#DIV/0!</v>
      </c>
      <c r="AK931" s="4" t="e">
        <f ca="1">SQRT($B$9)*_xlfn.STDEV.S(AI931:OFFSET(AI931,$B$6-1,0))</f>
        <v>#DIV/0!</v>
      </c>
      <c r="AL931" s="4" t="e">
        <f ca="1">SQRT($B$9)*_xlfn.STDEV.S(AI931:OFFSET(AI931,$B$7-1,0))</f>
        <v>#DIV/0!</v>
      </c>
      <c r="AM931" s="4" t="e">
        <f ca="1">SQRT($B$9)*_xlfn.STDEV.S(AI931:OFFSET(AI931,$B$8-1,0))</f>
        <v>#DIV/0!</v>
      </c>
    </row>
    <row r="932" spans="5:39" x14ac:dyDescent="0.2">
      <c r="E932" s="42">
        <v>44075</v>
      </c>
      <c r="F932" s="43"/>
      <c r="G932" s="43"/>
      <c r="H932" s="43"/>
      <c r="I932" s="43"/>
      <c r="K932" s="3" t="e">
        <f t="shared" si="79"/>
        <v>#DIV/0!</v>
      </c>
      <c r="L932" s="3" t="e">
        <f ca="1">SQRT(AVERAGE(K932:OFFSET(K932,$B$5-1,0))*$B$9/(4*LN(2)))</f>
        <v>#DIV/0!</v>
      </c>
      <c r="M932" s="3" t="e">
        <f ca="1">SQRT(AVERAGE(K932:OFFSET(K932,$B$6-1,0))*$B$9/(4*LN(2)))</f>
        <v>#DIV/0!</v>
      </c>
      <c r="N932" s="3" t="e">
        <f ca="1">SQRT(AVERAGE(K932:OFFSET(K932,$B$7-1,0))*$B$9/(4*LN(2)))</f>
        <v>#DIV/0!</v>
      </c>
      <c r="O932" s="3" t="e">
        <f ca="1">SQRT(AVERAGE(K932:OFFSET(K932,$B$8-1,0))*$B$9/(4*LN(2)))</f>
        <v>#DIV/0!</v>
      </c>
      <c r="Q932" s="5" t="e">
        <f t="shared" si="78"/>
        <v>#DIV/0!</v>
      </c>
      <c r="R932" s="5" t="e">
        <f ca="1">SQRT($B$9*AVERAGE((Q932:OFFSET(Q932,$B$5-1,0))))</f>
        <v>#DIV/0!</v>
      </c>
      <c r="S932" s="5" t="e">
        <f ca="1">SQRT($B$9*AVERAGE((Q932:OFFSET(Q932,$B$6-1,0))))</f>
        <v>#DIV/0!</v>
      </c>
      <c r="T932" s="5" t="e">
        <f ca="1">SQRT($B$9*AVERAGE((Q932:OFFSET(Q932,$B$7-1,0))))</f>
        <v>#DIV/0!</v>
      </c>
      <c r="U932" s="5" t="e">
        <f ca="1">SQRT($B$9*AVERAGE((Q932:OFFSET(Q932,$B$8-1,0))))</f>
        <v>#DIV/0!</v>
      </c>
      <c r="W932" s="6" t="e">
        <f t="shared" si="77"/>
        <v>#DIV/0!</v>
      </c>
      <c r="X932" s="6" t="e">
        <f ca="1">SQRT($B$9*AVERAGE(W932:OFFSET(W932,$B$5-1,0)))</f>
        <v>#DIV/0!</v>
      </c>
      <c r="Y932" s="6" t="e">
        <f ca="1">SQRT($B$9*AVERAGE(W932:OFFSET(W932,$B$6-1,0)))</f>
        <v>#DIV/0!</v>
      </c>
      <c r="Z932" s="6" t="e">
        <f ca="1">SQRT($B$9*AVERAGE(W932:OFFSET(W932,$B$7-1,0)))</f>
        <v>#DIV/0!</v>
      </c>
      <c r="AA932" s="6" t="e">
        <f ca="1">SQRT($B$9*AVERAGE(W932:OFFSET(W932,$B$8-1,0)))</f>
        <v>#DIV/0!</v>
      </c>
      <c r="AC932" s="34" t="e">
        <f t="shared" si="80"/>
        <v>#DIV/0!</v>
      </c>
      <c r="AD932" s="34" t="e">
        <f ca="1">SQRT($B$9*SUM(AC932:OFFSET(AC932,$B$5-1,0))/($B$5-1))</f>
        <v>#DIV/0!</v>
      </c>
      <c r="AE932" s="34" t="e">
        <f ca="1">SQRT($B$9*SUM(AC932:OFFSET(AC932,$B$6-1,0))/($B$6-1))</f>
        <v>#DIV/0!</v>
      </c>
      <c r="AF932" s="34" t="e">
        <f ca="1">SQRT($B$9*SUM(AC932:OFFSET(AC932,$B$7-1,0))/($B$7-1))</f>
        <v>#DIV/0!</v>
      </c>
      <c r="AG932" s="34" t="e">
        <f ca="1">SQRT($B$9*SUM(AC932:OFFSET(AC932,$B$8-1,0))/($B$8-1))</f>
        <v>#DIV/0!</v>
      </c>
      <c r="AI932" s="1" t="e">
        <f t="shared" si="81"/>
        <v>#DIV/0!</v>
      </c>
      <c r="AJ932" s="4" t="e">
        <f ca="1">SQRT($B$9)*_xlfn.STDEV.S(AI932:OFFSET(AI932,$B$5-1,0))</f>
        <v>#DIV/0!</v>
      </c>
      <c r="AK932" s="4" t="e">
        <f ca="1">SQRT($B$9)*_xlfn.STDEV.S(AI932:OFFSET(AI932,$B$6-1,0))</f>
        <v>#DIV/0!</v>
      </c>
      <c r="AL932" s="4" t="e">
        <f ca="1">SQRT($B$9)*_xlfn.STDEV.S(AI932:OFFSET(AI932,$B$7-1,0))</f>
        <v>#DIV/0!</v>
      </c>
      <c r="AM932" s="4" t="e">
        <f ca="1">SQRT($B$9)*_xlfn.STDEV.S(AI932:OFFSET(AI932,$B$8-1,0))</f>
        <v>#DIV/0!</v>
      </c>
    </row>
    <row r="933" spans="5:39" x14ac:dyDescent="0.2">
      <c r="E933" s="42">
        <v>44074</v>
      </c>
      <c r="F933" s="43"/>
      <c r="G933" s="43"/>
      <c r="H933" s="43"/>
      <c r="I933" s="43"/>
      <c r="K933" s="3" t="e">
        <f t="shared" si="79"/>
        <v>#DIV/0!</v>
      </c>
      <c r="L933" s="3" t="e">
        <f ca="1">SQRT(AVERAGE(K933:OFFSET(K933,$B$5-1,0))*$B$9/(4*LN(2)))</f>
        <v>#DIV/0!</v>
      </c>
      <c r="M933" s="3" t="e">
        <f ca="1">SQRT(AVERAGE(K933:OFFSET(K933,$B$6-1,0))*$B$9/(4*LN(2)))</f>
        <v>#DIV/0!</v>
      </c>
      <c r="N933" s="3" t="e">
        <f ca="1">SQRT(AVERAGE(K933:OFFSET(K933,$B$7-1,0))*$B$9/(4*LN(2)))</f>
        <v>#DIV/0!</v>
      </c>
      <c r="O933" s="3" t="e">
        <f ca="1">SQRT(AVERAGE(K933:OFFSET(K933,$B$8-1,0))*$B$9/(4*LN(2)))</f>
        <v>#DIV/0!</v>
      </c>
      <c r="Q933" s="5" t="e">
        <f t="shared" si="78"/>
        <v>#DIV/0!</v>
      </c>
      <c r="R933" s="5" t="e">
        <f ca="1">SQRT($B$9*AVERAGE((Q933:OFFSET(Q933,$B$5-1,0))))</f>
        <v>#DIV/0!</v>
      </c>
      <c r="S933" s="5" t="e">
        <f ca="1">SQRT($B$9*AVERAGE((Q933:OFFSET(Q933,$B$6-1,0))))</f>
        <v>#DIV/0!</v>
      </c>
      <c r="T933" s="5" t="e">
        <f ca="1">SQRT($B$9*AVERAGE((Q933:OFFSET(Q933,$B$7-1,0))))</f>
        <v>#DIV/0!</v>
      </c>
      <c r="U933" s="5" t="e">
        <f ca="1">SQRT($B$9*AVERAGE((Q933:OFFSET(Q933,$B$8-1,0))))</f>
        <v>#DIV/0!</v>
      </c>
      <c r="W933" s="6" t="e">
        <f t="shared" si="77"/>
        <v>#DIV/0!</v>
      </c>
      <c r="X933" s="6" t="e">
        <f ca="1">SQRT($B$9*AVERAGE(W933:OFFSET(W933,$B$5-1,0)))</f>
        <v>#DIV/0!</v>
      </c>
      <c r="Y933" s="6" t="e">
        <f ca="1">SQRT($B$9*AVERAGE(W933:OFFSET(W933,$B$6-1,0)))</f>
        <v>#DIV/0!</v>
      </c>
      <c r="Z933" s="6" t="e">
        <f ca="1">SQRT($B$9*AVERAGE(W933:OFFSET(W933,$B$7-1,0)))</f>
        <v>#DIV/0!</v>
      </c>
      <c r="AA933" s="6" t="e">
        <f ca="1">SQRT($B$9*AVERAGE(W933:OFFSET(W933,$B$8-1,0)))</f>
        <v>#DIV/0!</v>
      </c>
      <c r="AC933" s="34" t="e">
        <f t="shared" si="80"/>
        <v>#DIV/0!</v>
      </c>
      <c r="AD933" s="34" t="e">
        <f ca="1">SQRT($B$9*SUM(AC933:OFFSET(AC933,$B$5-1,0))/($B$5-1))</f>
        <v>#DIV/0!</v>
      </c>
      <c r="AE933" s="34" t="e">
        <f ca="1">SQRT($B$9*SUM(AC933:OFFSET(AC933,$B$6-1,0))/($B$6-1))</f>
        <v>#DIV/0!</v>
      </c>
      <c r="AF933" s="34" t="e">
        <f ca="1">SQRT($B$9*SUM(AC933:OFFSET(AC933,$B$7-1,0))/($B$7-1))</f>
        <v>#DIV/0!</v>
      </c>
      <c r="AG933" s="34" t="e">
        <f ca="1">SQRT($B$9*SUM(AC933:OFFSET(AC933,$B$8-1,0))/($B$8-1))</f>
        <v>#DIV/0!</v>
      </c>
      <c r="AI933" s="1" t="e">
        <f t="shared" si="81"/>
        <v>#DIV/0!</v>
      </c>
      <c r="AJ933" s="4" t="e">
        <f ca="1">SQRT($B$9)*_xlfn.STDEV.S(AI933:OFFSET(AI933,$B$5-1,0))</f>
        <v>#DIV/0!</v>
      </c>
      <c r="AK933" s="4" t="e">
        <f ca="1">SQRT($B$9)*_xlfn.STDEV.S(AI933:OFFSET(AI933,$B$6-1,0))</f>
        <v>#DIV/0!</v>
      </c>
      <c r="AL933" s="4" t="e">
        <f ca="1">SQRT($B$9)*_xlfn.STDEV.S(AI933:OFFSET(AI933,$B$7-1,0))</f>
        <v>#DIV/0!</v>
      </c>
      <c r="AM933" s="4" t="e">
        <f ca="1">SQRT($B$9)*_xlfn.STDEV.S(AI933:OFFSET(AI933,$B$8-1,0))</f>
        <v>#DIV/0!</v>
      </c>
    </row>
    <row r="934" spans="5:39" x14ac:dyDescent="0.2">
      <c r="E934" s="42">
        <v>44071</v>
      </c>
      <c r="F934" s="43"/>
      <c r="G934" s="43"/>
      <c r="H934" s="43"/>
      <c r="I934" s="43"/>
      <c r="K934" s="3" t="e">
        <f t="shared" si="79"/>
        <v>#DIV/0!</v>
      </c>
      <c r="L934" s="3" t="e">
        <f ca="1">SQRT(AVERAGE(K934:OFFSET(K934,$B$5-1,0))*$B$9/(4*LN(2)))</f>
        <v>#DIV/0!</v>
      </c>
      <c r="M934" s="3" t="e">
        <f ca="1">SQRT(AVERAGE(K934:OFFSET(K934,$B$6-1,0))*$B$9/(4*LN(2)))</f>
        <v>#DIV/0!</v>
      </c>
      <c r="N934" s="3" t="e">
        <f ca="1">SQRT(AVERAGE(K934:OFFSET(K934,$B$7-1,0))*$B$9/(4*LN(2)))</f>
        <v>#DIV/0!</v>
      </c>
      <c r="O934" s="3" t="e">
        <f ca="1">SQRT(AVERAGE(K934:OFFSET(K934,$B$8-1,0))*$B$9/(4*LN(2)))</f>
        <v>#DIV/0!</v>
      </c>
      <c r="Q934" s="5" t="e">
        <f t="shared" si="78"/>
        <v>#DIV/0!</v>
      </c>
      <c r="R934" s="5" t="e">
        <f ca="1">SQRT($B$9*AVERAGE((Q934:OFFSET(Q934,$B$5-1,0))))</f>
        <v>#DIV/0!</v>
      </c>
      <c r="S934" s="5" t="e">
        <f ca="1">SQRT($B$9*AVERAGE((Q934:OFFSET(Q934,$B$6-1,0))))</f>
        <v>#DIV/0!</v>
      </c>
      <c r="T934" s="5" t="e">
        <f ca="1">SQRT($B$9*AVERAGE((Q934:OFFSET(Q934,$B$7-1,0))))</f>
        <v>#DIV/0!</v>
      </c>
      <c r="U934" s="5" t="e">
        <f ca="1">SQRT($B$9*AVERAGE((Q934:OFFSET(Q934,$B$8-1,0))))</f>
        <v>#DIV/0!</v>
      </c>
      <c r="W934" s="6" t="e">
        <f t="shared" si="77"/>
        <v>#DIV/0!</v>
      </c>
      <c r="X934" s="6" t="e">
        <f ca="1">SQRT($B$9*AVERAGE(W934:OFFSET(W934,$B$5-1,0)))</f>
        <v>#DIV/0!</v>
      </c>
      <c r="Y934" s="6" t="e">
        <f ca="1">SQRT($B$9*AVERAGE(W934:OFFSET(W934,$B$6-1,0)))</f>
        <v>#DIV/0!</v>
      </c>
      <c r="Z934" s="6" t="e">
        <f ca="1">SQRT($B$9*AVERAGE(W934:OFFSET(W934,$B$7-1,0)))</f>
        <v>#DIV/0!</v>
      </c>
      <c r="AA934" s="6" t="e">
        <f ca="1">SQRT($B$9*AVERAGE(W934:OFFSET(W934,$B$8-1,0)))</f>
        <v>#DIV/0!</v>
      </c>
      <c r="AC934" s="34" t="e">
        <f t="shared" si="80"/>
        <v>#DIV/0!</v>
      </c>
      <c r="AD934" s="34" t="e">
        <f ca="1">SQRT($B$9*SUM(AC934:OFFSET(AC934,$B$5-1,0))/($B$5-1))</f>
        <v>#DIV/0!</v>
      </c>
      <c r="AE934" s="34" t="e">
        <f ca="1">SQRT($B$9*SUM(AC934:OFFSET(AC934,$B$6-1,0))/($B$6-1))</f>
        <v>#DIV/0!</v>
      </c>
      <c r="AF934" s="34" t="e">
        <f ca="1">SQRT($B$9*SUM(AC934:OFFSET(AC934,$B$7-1,0))/($B$7-1))</f>
        <v>#DIV/0!</v>
      </c>
      <c r="AG934" s="34" t="e">
        <f ca="1">SQRT($B$9*SUM(AC934:OFFSET(AC934,$B$8-1,0))/($B$8-1))</f>
        <v>#DIV/0!</v>
      </c>
      <c r="AI934" s="1" t="e">
        <f t="shared" si="81"/>
        <v>#DIV/0!</v>
      </c>
      <c r="AJ934" s="4" t="e">
        <f ca="1">SQRT($B$9)*_xlfn.STDEV.S(AI934:OFFSET(AI934,$B$5-1,0))</f>
        <v>#DIV/0!</v>
      </c>
      <c r="AK934" s="4" t="e">
        <f ca="1">SQRT($B$9)*_xlfn.STDEV.S(AI934:OFFSET(AI934,$B$6-1,0))</f>
        <v>#DIV/0!</v>
      </c>
      <c r="AL934" s="4" t="e">
        <f ca="1">SQRT($B$9)*_xlfn.STDEV.S(AI934:OFFSET(AI934,$B$7-1,0))</f>
        <v>#DIV/0!</v>
      </c>
      <c r="AM934" s="4" t="e">
        <f ca="1">SQRT($B$9)*_xlfn.STDEV.S(AI934:OFFSET(AI934,$B$8-1,0))</f>
        <v>#DIV/0!</v>
      </c>
    </row>
    <row r="935" spans="5:39" x14ac:dyDescent="0.2">
      <c r="E935" s="42">
        <v>44070</v>
      </c>
      <c r="F935" s="43"/>
      <c r="G935" s="43"/>
      <c r="H935" s="43"/>
      <c r="I935" s="43"/>
      <c r="K935" s="3" t="e">
        <f t="shared" si="79"/>
        <v>#DIV/0!</v>
      </c>
      <c r="L935" s="3" t="e">
        <f ca="1">SQRT(AVERAGE(K935:OFFSET(K935,$B$5-1,0))*$B$9/(4*LN(2)))</f>
        <v>#DIV/0!</v>
      </c>
      <c r="M935" s="3" t="e">
        <f ca="1">SQRT(AVERAGE(K935:OFFSET(K935,$B$6-1,0))*$B$9/(4*LN(2)))</f>
        <v>#DIV/0!</v>
      </c>
      <c r="N935" s="3" t="e">
        <f ca="1">SQRT(AVERAGE(K935:OFFSET(K935,$B$7-1,0))*$B$9/(4*LN(2)))</f>
        <v>#DIV/0!</v>
      </c>
      <c r="O935" s="3" t="e">
        <f ca="1">SQRT(AVERAGE(K935:OFFSET(K935,$B$8-1,0))*$B$9/(4*LN(2)))</f>
        <v>#DIV/0!</v>
      </c>
      <c r="Q935" s="5" t="e">
        <f t="shared" si="78"/>
        <v>#DIV/0!</v>
      </c>
      <c r="R935" s="5" t="e">
        <f ca="1">SQRT($B$9*AVERAGE((Q935:OFFSET(Q935,$B$5-1,0))))</f>
        <v>#DIV/0!</v>
      </c>
      <c r="S935" s="5" t="e">
        <f ca="1">SQRT($B$9*AVERAGE((Q935:OFFSET(Q935,$B$6-1,0))))</f>
        <v>#DIV/0!</v>
      </c>
      <c r="T935" s="5" t="e">
        <f ca="1">SQRT($B$9*AVERAGE((Q935:OFFSET(Q935,$B$7-1,0))))</f>
        <v>#DIV/0!</v>
      </c>
      <c r="U935" s="5" t="e">
        <f ca="1">SQRT($B$9*AVERAGE((Q935:OFFSET(Q935,$B$8-1,0))))</f>
        <v>#DIV/0!</v>
      </c>
      <c r="W935" s="6" t="e">
        <f t="shared" ref="W935:W998" si="82">LN(G935/I935)*LN(G935/F935)+LN(H935/I935)*LN(H935/F935)</f>
        <v>#DIV/0!</v>
      </c>
      <c r="X935" s="6" t="e">
        <f ca="1">SQRT($B$9*AVERAGE(W935:OFFSET(W935,$B$5-1,0)))</f>
        <v>#DIV/0!</v>
      </c>
      <c r="Y935" s="6" t="e">
        <f ca="1">SQRT($B$9*AVERAGE(W935:OFFSET(W935,$B$6-1,0)))</f>
        <v>#DIV/0!</v>
      </c>
      <c r="Z935" s="6" t="e">
        <f ca="1">SQRT($B$9*AVERAGE(W935:OFFSET(W935,$B$7-1,0)))</f>
        <v>#DIV/0!</v>
      </c>
      <c r="AA935" s="6" t="e">
        <f ca="1">SQRT($B$9*AVERAGE(W935:OFFSET(W935,$B$8-1,0)))</f>
        <v>#DIV/0!</v>
      </c>
      <c r="AC935" s="34" t="e">
        <f t="shared" si="80"/>
        <v>#DIV/0!</v>
      </c>
      <c r="AD935" s="34" t="e">
        <f ca="1">SQRT($B$9*SUM(AC935:OFFSET(AC935,$B$5-1,0))/($B$5-1))</f>
        <v>#DIV/0!</v>
      </c>
      <c r="AE935" s="34" t="e">
        <f ca="1">SQRT($B$9*SUM(AC935:OFFSET(AC935,$B$6-1,0))/($B$6-1))</f>
        <v>#DIV/0!</v>
      </c>
      <c r="AF935" s="34" t="e">
        <f ca="1">SQRT($B$9*SUM(AC935:OFFSET(AC935,$B$7-1,0))/($B$7-1))</f>
        <v>#DIV/0!</v>
      </c>
      <c r="AG935" s="34" t="e">
        <f ca="1">SQRT($B$9*SUM(AC935:OFFSET(AC935,$B$8-1,0))/($B$8-1))</f>
        <v>#DIV/0!</v>
      </c>
      <c r="AI935" s="1" t="e">
        <f t="shared" si="81"/>
        <v>#DIV/0!</v>
      </c>
      <c r="AJ935" s="4" t="e">
        <f ca="1">SQRT($B$9)*_xlfn.STDEV.S(AI935:OFFSET(AI935,$B$5-1,0))</f>
        <v>#DIV/0!</v>
      </c>
      <c r="AK935" s="4" t="e">
        <f ca="1">SQRT($B$9)*_xlfn.STDEV.S(AI935:OFFSET(AI935,$B$6-1,0))</f>
        <v>#DIV/0!</v>
      </c>
      <c r="AL935" s="4" t="e">
        <f ca="1">SQRT($B$9)*_xlfn.STDEV.S(AI935:OFFSET(AI935,$B$7-1,0))</f>
        <v>#DIV/0!</v>
      </c>
      <c r="AM935" s="4" t="e">
        <f ca="1">SQRT($B$9)*_xlfn.STDEV.S(AI935:OFFSET(AI935,$B$8-1,0))</f>
        <v>#DIV/0!</v>
      </c>
    </row>
    <row r="936" spans="5:39" x14ac:dyDescent="0.2">
      <c r="E936" s="42">
        <v>44069</v>
      </c>
      <c r="F936" s="43"/>
      <c r="G936" s="43"/>
      <c r="H936" s="43"/>
      <c r="I936" s="43"/>
      <c r="K936" s="3" t="e">
        <f t="shared" si="79"/>
        <v>#DIV/0!</v>
      </c>
      <c r="L936" s="3" t="e">
        <f ca="1">SQRT(AVERAGE(K936:OFFSET(K936,$B$5-1,0))*$B$9/(4*LN(2)))</f>
        <v>#DIV/0!</v>
      </c>
      <c r="M936" s="3" t="e">
        <f ca="1">SQRT(AVERAGE(K936:OFFSET(K936,$B$6-1,0))*$B$9/(4*LN(2)))</f>
        <v>#DIV/0!</v>
      </c>
      <c r="N936" s="3" t="e">
        <f ca="1">SQRT(AVERAGE(K936:OFFSET(K936,$B$7-1,0))*$B$9/(4*LN(2)))</f>
        <v>#DIV/0!</v>
      </c>
      <c r="O936" s="3" t="e">
        <f ca="1">SQRT(AVERAGE(K936:OFFSET(K936,$B$8-1,0))*$B$9/(4*LN(2)))</f>
        <v>#DIV/0!</v>
      </c>
      <c r="Q936" s="5" t="e">
        <f t="shared" si="78"/>
        <v>#DIV/0!</v>
      </c>
      <c r="R936" s="5" t="e">
        <f ca="1">SQRT($B$9*AVERAGE((Q936:OFFSET(Q936,$B$5-1,0))))</f>
        <v>#DIV/0!</v>
      </c>
      <c r="S936" s="5" t="e">
        <f ca="1">SQRT($B$9*AVERAGE((Q936:OFFSET(Q936,$B$6-1,0))))</f>
        <v>#DIV/0!</v>
      </c>
      <c r="T936" s="5" t="e">
        <f ca="1">SQRT($B$9*AVERAGE((Q936:OFFSET(Q936,$B$7-1,0))))</f>
        <v>#DIV/0!</v>
      </c>
      <c r="U936" s="5" t="e">
        <f ca="1">SQRT($B$9*AVERAGE((Q936:OFFSET(Q936,$B$8-1,0))))</f>
        <v>#DIV/0!</v>
      </c>
      <c r="W936" s="6" t="e">
        <f t="shared" si="82"/>
        <v>#DIV/0!</v>
      </c>
      <c r="X936" s="6" t="e">
        <f ca="1">SQRT($B$9*AVERAGE(W936:OFFSET(W936,$B$5-1,0)))</f>
        <v>#DIV/0!</v>
      </c>
      <c r="Y936" s="6" t="e">
        <f ca="1">SQRT($B$9*AVERAGE(W936:OFFSET(W936,$B$6-1,0)))</f>
        <v>#DIV/0!</v>
      </c>
      <c r="Z936" s="6" t="e">
        <f ca="1">SQRT($B$9*AVERAGE(W936:OFFSET(W936,$B$7-1,0)))</f>
        <v>#DIV/0!</v>
      </c>
      <c r="AA936" s="6" t="e">
        <f ca="1">SQRT($B$9*AVERAGE(W936:OFFSET(W936,$B$8-1,0)))</f>
        <v>#DIV/0!</v>
      </c>
      <c r="AC936" s="34" t="e">
        <f t="shared" si="80"/>
        <v>#DIV/0!</v>
      </c>
      <c r="AD936" s="34" t="e">
        <f ca="1">SQRT($B$9*SUM(AC936:OFFSET(AC936,$B$5-1,0))/($B$5-1))</f>
        <v>#DIV/0!</v>
      </c>
      <c r="AE936" s="34" t="e">
        <f ca="1">SQRT($B$9*SUM(AC936:OFFSET(AC936,$B$6-1,0))/($B$6-1))</f>
        <v>#DIV/0!</v>
      </c>
      <c r="AF936" s="34" t="e">
        <f ca="1">SQRT($B$9*SUM(AC936:OFFSET(AC936,$B$7-1,0))/($B$7-1))</f>
        <v>#DIV/0!</v>
      </c>
      <c r="AG936" s="34" t="e">
        <f ca="1">SQRT($B$9*SUM(AC936:OFFSET(AC936,$B$8-1,0))/($B$8-1))</f>
        <v>#DIV/0!</v>
      </c>
      <c r="AI936" s="1" t="e">
        <f t="shared" si="81"/>
        <v>#DIV/0!</v>
      </c>
      <c r="AJ936" s="4" t="e">
        <f ca="1">SQRT($B$9)*_xlfn.STDEV.S(AI936:OFFSET(AI936,$B$5-1,0))</f>
        <v>#DIV/0!</v>
      </c>
      <c r="AK936" s="4" t="e">
        <f ca="1">SQRT($B$9)*_xlfn.STDEV.S(AI936:OFFSET(AI936,$B$6-1,0))</f>
        <v>#DIV/0!</v>
      </c>
      <c r="AL936" s="4" t="e">
        <f ca="1">SQRT($B$9)*_xlfn.STDEV.S(AI936:OFFSET(AI936,$B$7-1,0))</f>
        <v>#DIV/0!</v>
      </c>
      <c r="AM936" s="4" t="e">
        <f ca="1">SQRT($B$9)*_xlfn.STDEV.S(AI936:OFFSET(AI936,$B$8-1,0))</f>
        <v>#DIV/0!</v>
      </c>
    </row>
    <row r="937" spans="5:39" x14ac:dyDescent="0.2">
      <c r="E937" s="42">
        <v>44068</v>
      </c>
      <c r="F937" s="43"/>
      <c r="G937" s="43"/>
      <c r="H937" s="43"/>
      <c r="I937" s="43"/>
      <c r="K937" s="3" t="e">
        <f t="shared" si="79"/>
        <v>#DIV/0!</v>
      </c>
      <c r="L937" s="3" t="e">
        <f ca="1">SQRT(AVERAGE(K937:OFFSET(K937,$B$5-1,0))*$B$9/(4*LN(2)))</f>
        <v>#DIV/0!</v>
      </c>
      <c r="M937" s="3" t="e">
        <f ca="1">SQRT(AVERAGE(K937:OFFSET(K937,$B$6-1,0))*$B$9/(4*LN(2)))</f>
        <v>#DIV/0!</v>
      </c>
      <c r="N937" s="3" t="e">
        <f ca="1">SQRT(AVERAGE(K937:OFFSET(K937,$B$7-1,0))*$B$9/(4*LN(2)))</f>
        <v>#DIV/0!</v>
      </c>
      <c r="O937" s="3" t="e">
        <f ca="1">SQRT(AVERAGE(K937:OFFSET(K937,$B$8-1,0))*$B$9/(4*LN(2)))</f>
        <v>#DIV/0!</v>
      </c>
      <c r="Q937" s="5" t="e">
        <f t="shared" si="78"/>
        <v>#DIV/0!</v>
      </c>
      <c r="R937" s="5" t="e">
        <f ca="1">SQRT($B$9*AVERAGE((Q937:OFFSET(Q937,$B$5-1,0))))</f>
        <v>#DIV/0!</v>
      </c>
      <c r="S937" s="5" t="e">
        <f ca="1">SQRT($B$9*AVERAGE((Q937:OFFSET(Q937,$B$6-1,0))))</f>
        <v>#DIV/0!</v>
      </c>
      <c r="T937" s="5" t="e">
        <f ca="1">SQRT($B$9*AVERAGE((Q937:OFFSET(Q937,$B$7-1,0))))</f>
        <v>#DIV/0!</v>
      </c>
      <c r="U937" s="5" t="e">
        <f ca="1">SQRT($B$9*AVERAGE((Q937:OFFSET(Q937,$B$8-1,0))))</f>
        <v>#DIV/0!</v>
      </c>
      <c r="W937" s="6" t="e">
        <f t="shared" si="82"/>
        <v>#DIV/0!</v>
      </c>
      <c r="X937" s="6" t="e">
        <f ca="1">SQRT($B$9*AVERAGE(W937:OFFSET(W937,$B$5-1,0)))</f>
        <v>#DIV/0!</v>
      </c>
      <c r="Y937" s="6" t="e">
        <f ca="1">SQRT($B$9*AVERAGE(W937:OFFSET(W937,$B$6-1,0)))</f>
        <v>#DIV/0!</v>
      </c>
      <c r="Z937" s="6" t="e">
        <f ca="1">SQRT($B$9*AVERAGE(W937:OFFSET(W937,$B$7-1,0)))</f>
        <v>#DIV/0!</v>
      </c>
      <c r="AA937" s="6" t="e">
        <f ca="1">SQRT($B$9*AVERAGE(W937:OFFSET(W937,$B$8-1,0)))</f>
        <v>#DIV/0!</v>
      </c>
      <c r="AC937" s="34" t="e">
        <f t="shared" si="80"/>
        <v>#DIV/0!</v>
      </c>
      <c r="AD937" s="34" t="e">
        <f ca="1">SQRT($B$9*SUM(AC937:OFFSET(AC937,$B$5-1,0))/($B$5-1))</f>
        <v>#DIV/0!</v>
      </c>
      <c r="AE937" s="34" t="e">
        <f ca="1">SQRT($B$9*SUM(AC937:OFFSET(AC937,$B$6-1,0))/($B$6-1))</f>
        <v>#DIV/0!</v>
      </c>
      <c r="AF937" s="34" t="e">
        <f ca="1">SQRT($B$9*SUM(AC937:OFFSET(AC937,$B$7-1,0))/($B$7-1))</f>
        <v>#DIV/0!</v>
      </c>
      <c r="AG937" s="34" t="e">
        <f ca="1">SQRT($B$9*SUM(AC937:OFFSET(AC937,$B$8-1,0))/($B$8-1))</f>
        <v>#DIV/0!</v>
      </c>
      <c r="AI937" s="1" t="e">
        <f t="shared" si="81"/>
        <v>#DIV/0!</v>
      </c>
      <c r="AJ937" s="4" t="e">
        <f ca="1">SQRT($B$9)*_xlfn.STDEV.S(AI937:OFFSET(AI937,$B$5-1,0))</f>
        <v>#DIV/0!</v>
      </c>
      <c r="AK937" s="4" t="e">
        <f ca="1">SQRT($B$9)*_xlfn.STDEV.S(AI937:OFFSET(AI937,$B$6-1,0))</f>
        <v>#DIV/0!</v>
      </c>
      <c r="AL937" s="4" t="e">
        <f ca="1">SQRT($B$9)*_xlfn.STDEV.S(AI937:OFFSET(AI937,$B$7-1,0))</f>
        <v>#DIV/0!</v>
      </c>
      <c r="AM937" s="4" t="e">
        <f ca="1">SQRT($B$9)*_xlfn.STDEV.S(AI937:OFFSET(AI937,$B$8-1,0))</f>
        <v>#DIV/0!</v>
      </c>
    </row>
    <row r="938" spans="5:39" x14ac:dyDescent="0.2">
      <c r="E938" s="42">
        <v>44067</v>
      </c>
      <c r="F938" s="43"/>
      <c r="G938" s="43"/>
      <c r="H938" s="43"/>
      <c r="I938" s="43"/>
      <c r="K938" s="3" t="e">
        <f t="shared" si="79"/>
        <v>#DIV/0!</v>
      </c>
      <c r="L938" s="3" t="e">
        <f ca="1">SQRT(AVERAGE(K938:OFFSET(K938,$B$5-1,0))*$B$9/(4*LN(2)))</f>
        <v>#DIV/0!</v>
      </c>
      <c r="M938" s="3" t="e">
        <f ca="1">SQRT(AVERAGE(K938:OFFSET(K938,$B$6-1,0))*$B$9/(4*LN(2)))</f>
        <v>#DIV/0!</v>
      </c>
      <c r="N938" s="3" t="e">
        <f ca="1">SQRT(AVERAGE(K938:OFFSET(K938,$B$7-1,0))*$B$9/(4*LN(2)))</f>
        <v>#DIV/0!</v>
      </c>
      <c r="O938" s="3" t="e">
        <f ca="1">SQRT(AVERAGE(K938:OFFSET(K938,$B$8-1,0))*$B$9/(4*LN(2)))</f>
        <v>#DIV/0!</v>
      </c>
      <c r="Q938" s="5" t="e">
        <f t="shared" si="78"/>
        <v>#DIV/0!</v>
      </c>
      <c r="R938" s="5" t="e">
        <f ca="1">SQRT($B$9*AVERAGE((Q938:OFFSET(Q938,$B$5-1,0))))</f>
        <v>#DIV/0!</v>
      </c>
      <c r="S938" s="5" t="e">
        <f ca="1">SQRT($B$9*AVERAGE((Q938:OFFSET(Q938,$B$6-1,0))))</f>
        <v>#DIV/0!</v>
      </c>
      <c r="T938" s="5" t="e">
        <f ca="1">SQRT($B$9*AVERAGE((Q938:OFFSET(Q938,$B$7-1,0))))</f>
        <v>#DIV/0!</v>
      </c>
      <c r="U938" s="5" t="e">
        <f ca="1">SQRT($B$9*AVERAGE((Q938:OFFSET(Q938,$B$8-1,0))))</f>
        <v>#DIV/0!</v>
      </c>
      <c r="W938" s="6" t="e">
        <f t="shared" si="82"/>
        <v>#DIV/0!</v>
      </c>
      <c r="X938" s="6" t="e">
        <f ca="1">SQRT($B$9*AVERAGE(W938:OFFSET(W938,$B$5-1,0)))</f>
        <v>#DIV/0!</v>
      </c>
      <c r="Y938" s="6" t="e">
        <f ca="1">SQRT($B$9*AVERAGE(W938:OFFSET(W938,$B$6-1,0)))</f>
        <v>#DIV/0!</v>
      </c>
      <c r="Z938" s="6" t="e">
        <f ca="1">SQRT($B$9*AVERAGE(W938:OFFSET(W938,$B$7-1,0)))</f>
        <v>#DIV/0!</v>
      </c>
      <c r="AA938" s="6" t="e">
        <f ca="1">SQRT($B$9*AVERAGE(W938:OFFSET(W938,$B$8-1,0)))</f>
        <v>#DIV/0!</v>
      </c>
      <c r="AC938" s="34" t="e">
        <f t="shared" si="80"/>
        <v>#DIV/0!</v>
      </c>
      <c r="AD938" s="34" t="e">
        <f ca="1">SQRT($B$9*SUM(AC938:OFFSET(AC938,$B$5-1,0))/($B$5-1))</f>
        <v>#DIV/0!</v>
      </c>
      <c r="AE938" s="34" t="e">
        <f ca="1">SQRT($B$9*SUM(AC938:OFFSET(AC938,$B$6-1,0))/($B$6-1))</f>
        <v>#DIV/0!</v>
      </c>
      <c r="AF938" s="34" t="e">
        <f ca="1">SQRT($B$9*SUM(AC938:OFFSET(AC938,$B$7-1,0))/($B$7-1))</f>
        <v>#DIV/0!</v>
      </c>
      <c r="AG938" s="34" t="e">
        <f ca="1">SQRT($B$9*SUM(AC938:OFFSET(AC938,$B$8-1,0))/($B$8-1))</f>
        <v>#DIV/0!</v>
      </c>
      <c r="AI938" s="1" t="e">
        <f t="shared" si="81"/>
        <v>#DIV/0!</v>
      </c>
      <c r="AJ938" s="4" t="e">
        <f ca="1">SQRT($B$9)*_xlfn.STDEV.S(AI938:OFFSET(AI938,$B$5-1,0))</f>
        <v>#DIV/0!</v>
      </c>
      <c r="AK938" s="4" t="e">
        <f ca="1">SQRT($B$9)*_xlfn.STDEV.S(AI938:OFFSET(AI938,$B$6-1,0))</f>
        <v>#DIV/0!</v>
      </c>
      <c r="AL938" s="4" t="e">
        <f ca="1">SQRT($B$9)*_xlfn.STDEV.S(AI938:OFFSET(AI938,$B$7-1,0))</f>
        <v>#DIV/0!</v>
      </c>
      <c r="AM938" s="4" t="e">
        <f ca="1">SQRT($B$9)*_xlfn.STDEV.S(AI938:OFFSET(AI938,$B$8-1,0))</f>
        <v>#DIV/0!</v>
      </c>
    </row>
    <row r="939" spans="5:39" x14ac:dyDescent="0.2">
      <c r="E939" s="42">
        <v>44064</v>
      </c>
      <c r="F939" s="43"/>
      <c r="G939" s="43"/>
      <c r="H939" s="43"/>
      <c r="I939" s="43"/>
      <c r="K939" s="3" t="e">
        <f t="shared" si="79"/>
        <v>#DIV/0!</v>
      </c>
      <c r="L939" s="3" t="e">
        <f ca="1">SQRT(AVERAGE(K939:OFFSET(K939,$B$5-1,0))*$B$9/(4*LN(2)))</f>
        <v>#DIV/0!</v>
      </c>
      <c r="M939" s="3" t="e">
        <f ca="1">SQRT(AVERAGE(K939:OFFSET(K939,$B$6-1,0))*$B$9/(4*LN(2)))</f>
        <v>#DIV/0!</v>
      </c>
      <c r="N939" s="3" t="e">
        <f ca="1">SQRT(AVERAGE(K939:OFFSET(K939,$B$7-1,0))*$B$9/(4*LN(2)))</f>
        <v>#DIV/0!</v>
      </c>
      <c r="O939" s="3" t="e">
        <f ca="1">SQRT(AVERAGE(K939:OFFSET(K939,$B$8-1,0))*$B$9/(4*LN(2)))</f>
        <v>#DIV/0!</v>
      </c>
      <c r="Q939" s="5" t="e">
        <f t="shared" si="78"/>
        <v>#DIV/0!</v>
      </c>
      <c r="R939" s="5" t="e">
        <f ca="1">SQRT($B$9*AVERAGE((Q939:OFFSET(Q939,$B$5-1,0))))</f>
        <v>#DIV/0!</v>
      </c>
      <c r="S939" s="5" t="e">
        <f ca="1">SQRT($B$9*AVERAGE((Q939:OFFSET(Q939,$B$6-1,0))))</f>
        <v>#DIV/0!</v>
      </c>
      <c r="T939" s="5" t="e">
        <f ca="1">SQRT($B$9*AVERAGE((Q939:OFFSET(Q939,$B$7-1,0))))</f>
        <v>#DIV/0!</v>
      </c>
      <c r="U939" s="5" t="e">
        <f ca="1">SQRT($B$9*AVERAGE((Q939:OFFSET(Q939,$B$8-1,0))))</f>
        <v>#DIV/0!</v>
      </c>
      <c r="W939" s="6" t="e">
        <f t="shared" si="82"/>
        <v>#DIV/0!</v>
      </c>
      <c r="X939" s="6" t="e">
        <f ca="1">SQRT($B$9*AVERAGE(W939:OFFSET(W939,$B$5-1,0)))</f>
        <v>#DIV/0!</v>
      </c>
      <c r="Y939" s="6" t="e">
        <f ca="1">SQRT($B$9*AVERAGE(W939:OFFSET(W939,$B$6-1,0)))</f>
        <v>#DIV/0!</v>
      </c>
      <c r="Z939" s="6" t="e">
        <f ca="1">SQRT($B$9*AVERAGE(W939:OFFSET(W939,$B$7-1,0)))</f>
        <v>#DIV/0!</v>
      </c>
      <c r="AA939" s="6" t="e">
        <f ca="1">SQRT($B$9*AVERAGE(W939:OFFSET(W939,$B$8-1,0)))</f>
        <v>#DIV/0!</v>
      </c>
      <c r="AC939" s="34" t="e">
        <f t="shared" si="80"/>
        <v>#DIV/0!</v>
      </c>
      <c r="AD939" s="34" t="e">
        <f ca="1">SQRT($B$9*SUM(AC939:OFFSET(AC939,$B$5-1,0))/($B$5-1))</f>
        <v>#DIV/0!</v>
      </c>
      <c r="AE939" s="34" t="e">
        <f ca="1">SQRT($B$9*SUM(AC939:OFFSET(AC939,$B$6-1,0))/($B$6-1))</f>
        <v>#DIV/0!</v>
      </c>
      <c r="AF939" s="34" t="e">
        <f ca="1">SQRT($B$9*SUM(AC939:OFFSET(AC939,$B$7-1,0))/($B$7-1))</f>
        <v>#DIV/0!</v>
      </c>
      <c r="AG939" s="34" t="e">
        <f ca="1">SQRT($B$9*SUM(AC939:OFFSET(AC939,$B$8-1,0))/($B$8-1))</f>
        <v>#DIV/0!</v>
      </c>
      <c r="AI939" s="1" t="e">
        <f t="shared" si="81"/>
        <v>#DIV/0!</v>
      </c>
      <c r="AJ939" s="4" t="e">
        <f ca="1">SQRT($B$9)*_xlfn.STDEV.S(AI939:OFFSET(AI939,$B$5-1,0))</f>
        <v>#DIV/0!</v>
      </c>
      <c r="AK939" s="4" t="e">
        <f ca="1">SQRT($B$9)*_xlfn.STDEV.S(AI939:OFFSET(AI939,$B$6-1,0))</f>
        <v>#DIV/0!</v>
      </c>
      <c r="AL939" s="4" t="e">
        <f ca="1">SQRT($B$9)*_xlfn.STDEV.S(AI939:OFFSET(AI939,$B$7-1,0))</f>
        <v>#DIV/0!</v>
      </c>
      <c r="AM939" s="4" t="e">
        <f ca="1">SQRT($B$9)*_xlfn.STDEV.S(AI939:OFFSET(AI939,$B$8-1,0))</f>
        <v>#DIV/0!</v>
      </c>
    </row>
    <row r="940" spans="5:39" x14ac:dyDescent="0.2">
      <c r="E940" s="42">
        <v>44063</v>
      </c>
      <c r="F940" s="43"/>
      <c r="G940" s="43"/>
      <c r="H940" s="43"/>
      <c r="I940" s="43"/>
      <c r="K940" s="3" t="e">
        <f t="shared" si="79"/>
        <v>#DIV/0!</v>
      </c>
      <c r="L940" s="3" t="e">
        <f ca="1">SQRT(AVERAGE(K940:OFFSET(K940,$B$5-1,0))*$B$9/(4*LN(2)))</f>
        <v>#DIV/0!</v>
      </c>
      <c r="M940" s="3" t="e">
        <f ca="1">SQRT(AVERAGE(K940:OFFSET(K940,$B$6-1,0))*$B$9/(4*LN(2)))</f>
        <v>#DIV/0!</v>
      </c>
      <c r="N940" s="3" t="e">
        <f ca="1">SQRT(AVERAGE(K940:OFFSET(K940,$B$7-1,0))*$B$9/(4*LN(2)))</f>
        <v>#DIV/0!</v>
      </c>
      <c r="O940" s="3" t="e">
        <f ca="1">SQRT(AVERAGE(K940:OFFSET(K940,$B$8-1,0))*$B$9/(4*LN(2)))</f>
        <v>#DIV/0!</v>
      </c>
      <c r="Q940" s="5" t="e">
        <f t="shared" si="78"/>
        <v>#DIV/0!</v>
      </c>
      <c r="R940" s="5" t="e">
        <f ca="1">SQRT($B$9*AVERAGE((Q940:OFFSET(Q940,$B$5-1,0))))</f>
        <v>#DIV/0!</v>
      </c>
      <c r="S940" s="5" t="e">
        <f ca="1">SQRT($B$9*AVERAGE((Q940:OFFSET(Q940,$B$6-1,0))))</f>
        <v>#DIV/0!</v>
      </c>
      <c r="T940" s="5" t="e">
        <f ca="1">SQRT($B$9*AVERAGE((Q940:OFFSET(Q940,$B$7-1,0))))</f>
        <v>#DIV/0!</v>
      </c>
      <c r="U940" s="5" t="e">
        <f ca="1">SQRT($B$9*AVERAGE((Q940:OFFSET(Q940,$B$8-1,0))))</f>
        <v>#DIV/0!</v>
      </c>
      <c r="W940" s="6" t="e">
        <f t="shared" si="82"/>
        <v>#DIV/0!</v>
      </c>
      <c r="X940" s="6" t="e">
        <f ca="1">SQRT($B$9*AVERAGE(W940:OFFSET(W940,$B$5-1,0)))</f>
        <v>#DIV/0!</v>
      </c>
      <c r="Y940" s="6" t="e">
        <f ca="1">SQRT($B$9*AVERAGE(W940:OFFSET(W940,$B$6-1,0)))</f>
        <v>#DIV/0!</v>
      </c>
      <c r="Z940" s="6" t="e">
        <f ca="1">SQRT($B$9*AVERAGE(W940:OFFSET(W940,$B$7-1,0)))</f>
        <v>#DIV/0!</v>
      </c>
      <c r="AA940" s="6" t="e">
        <f ca="1">SQRT($B$9*AVERAGE(W940:OFFSET(W940,$B$8-1,0)))</f>
        <v>#DIV/0!</v>
      </c>
      <c r="AC940" s="34" t="e">
        <f t="shared" si="80"/>
        <v>#DIV/0!</v>
      </c>
      <c r="AD940" s="34" t="e">
        <f ca="1">SQRT($B$9*SUM(AC940:OFFSET(AC940,$B$5-1,0))/($B$5-1))</f>
        <v>#DIV/0!</v>
      </c>
      <c r="AE940" s="34" t="e">
        <f ca="1">SQRT($B$9*SUM(AC940:OFFSET(AC940,$B$6-1,0))/($B$6-1))</f>
        <v>#DIV/0!</v>
      </c>
      <c r="AF940" s="34" t="e">
        <f ca="1">SQRT($B$9*SUM(AC940:OFFSET(AC940,$B$7-1,0))/($B$7-1))</f>
        <v>#DIV/0!</v>
      </c>
      <c r="AG940" s="34" t="e">
        <f ca="1">SQRT($B$9*SUM(AC940:OFFSET(AC940,$B$8-1,0))/($B$8-1))</f>
        <v>#DIV/0!</v>
      </c>
      <c r="AI940" s="1" t="e">
        <f t="shared" si="81"/>
        <v>#DIV/0!</v>
      </c>
      <c r="AJ940" s="4" t="e">
        <f ca="1">SQRT($B$9)*_xlfn.STDEV.S(AI940:OFFSET(AI940,$B$5-1,0))</f>
        <v>#DIV/0!</v>
      </c>
      <c r="AK940" s="4" t="e">
        <f ca="1">SQRT($B$9)*_xlfn.STDEV.S(AI940:OFFSET(AI940,$B$6-1,0))</f>
        <v>#DIV/0!</v>
      </c>
      <c r="AL940" s="4" t="e">
        <f ca="1">SQRT($B$9)*_xlfn.STDEV.S(AI940:OFFSET(AI940,$B$7-1,0))</f>
        <v>#DIV/0!</v>
      </c>
      <c r="AM940" s="4" t="e">
        <f ca="1">SQRT($B$9)*_xlfn.STDEV.S(AI940:OFFSET(AI940,$B$8-1,0))</f>
        <v>#DIV/0!</v>
      </c>
    </row>
    <row r="941" spans="5:39" x14ac:dyDescent="0.2">
      <c r="E941" s="42">
        <v>44062</v>
      </c>
      <c r="F941" s="43"/>
      <c r="G941" s="43"/>
      <c r="H941" s="43"/>
      <c r="I941" s="43"/>
      <c r="K941" s="3" t="e">
        <f t="shared" si="79"/>
        <v>#DIV/0!</v>
      </c>
      <c r="L941" s="3" t="e">
        <f ca="1">SQRT(AVERAGE(K941:OFFSET(K941,$B$5-1,0))*$B$9/(4*LN(2)))</f>
        <v>#DIV/0!</v>
      </c>
      <c r="M941" s="3" t="e">
        <f ca="1">SQRT(AVERAGE(K941:OFFSET(K941,$B$6-1,0))*$B$9/(4*LN(2)))</f>
        <v>#DIV/0!</v>
      </c>
      <c r="N941" s="3" t="e">
        <f ca="1">SQRT(AVERAGE(K941:OFFSET(K941,$B$7-1,0))*$B$9/(4*LN(2)))</f>
        <v>#DIV/0!</v>
      </c>
      <c r="O941" s="3" t="e">
        <f ca="1">SQRT(AVERAGE(K941:OFFSET(K941,$B$8-1,0))*$B$9/(4*LN(2)))</f>
        <v>#DIV/0!</v>
      </c>
      <c r="Q941" s="5" t="e">
        <f t="shared" si="78"/>
        <v>#DIV/0!</v>
      </c>
      <c r="R941" s="5" t="e">
        <f ca="1">SQRT($B$9*AVERAGE((Q941:OFFSET(Q941,$B$5-1,0))))</f>
        <v>#DIV/0!</v>
      </c>
      <c r="S941" s="5" t="e">
        <f ca="1">SQRT($B$9*AVERAGE((Q941:OFFSET(Q941,$B$6-1,0))))</f>
        <v>#DIV/0!</v>
      </c>
      <c r="T941" s="5" t="e">
        <f ca="1">SQRT($B$9*AVERAGE((Q941:OFFSET(Q941,$B$7-1,0))))</f>
        <v>#DIV/0!</v>
      </c>
      <c r="U941" s="5" t="e">
        <f ca="1">SQRT($B$9*AVERAGE((Q941:OFFSET(Q941,$B$8-1,0))))</f>
        <v>#DIV/0!</v>
      </c>
      <c r="W941" s="6" t="e">
        <f t="shared" si="82"/>
        <v>#DIV/0!</v>
      </c>
      <c r="X941" s="6" t="e">
        <f ca="1">SQRT($B$9*AVERAGE(W941:OFFSET(W941,$B$5-1,0)))</f>
        <v>#DIV/0!</v>
      </c>
      <c r="Y941" s="6" t="e">
        <f ca="1">SQRT($B$9*AVERAGE(W941:OFFSET(W941,$B$6-1,0)))</f>
        <v>#DIV/0!</v>
      </c>
      <c r="Z941" s="6" t="e">
        <f ca="1">SQRT($B$9*AVERAGE(W941:OFFSET(W941,$B$7-1,0)))</f>
        <v>#DIV/0!</v>
      </c>
      <c r="AA941" s="6" t="e">
        <f ca="1">SQRT($B$9*AVERAGE(W941:OFFSET(W941,$B$8-1,0)))</f>
        <v>#DIV/0!</v>
      </c>
      <c r="AC941" s="34" t="e">
        <f t="shared" si="80"/>
        <v>#DIV/0!</v>
      </c>
      <c r="AD941" s="34" t="e">
        <f ca="1">SQRT($B$9*SUM(AC941:OFFSET(AC941,$B$5-1,0))/($B$5-1))</f>
        <v>#DIV/0!</v>
      </c>
      <c r="AE941" s="34" t="e">
        <f ca="1">SQRT($B$9*SUM(AC941:OFFSET(AC941,$B$6-1,0))/($B$6-1))</f>
        <v>#DIV/0!</v>
      </c>
      <c r="AF941" s="34" t="e">
        <f ca="1">SQRT($B$9*SUM(AC941:OFFSET(AC941,$B$7-1,0))/($B$7-1))</f>
        <v>#DIV/0!</v>
      </c>
      <c r="AG941" s="34" t="e">
        <f ca="1">SQRT($B$9*SUM(AC941:OFFSET(AC941,$B$8-1,0))/($B$8-1))</f>
        <v>#DIV/0!</v>
      </c>
      <c r="AI941" s="1" t="e">
        <f t="shared" si="81"/>
        <v>#DIV/0!</v>
      </c>
      <c r="AJ941" s="4" t="e">
        <f ca="1">SQRT($B$9)*_xlfn.STDEV.S(AI941:OFFSET(AI941,$B$5-1,0))</f>
        <v>#DIV/0!</v>
      </c>
      <c r="AK941" s="4" t="e">
        <f ca="1">SQRT($B$9)*_xlfn.STDEV.S(AI941:OFFSET(AI941,$B$6-1,0))</f>
        <v>#DIV/0!</v>
      </c>
      <c r="AL941" s="4" t="e">
        <f ca="1">SQRT($B$9)*_xlfn.STDEV.S(AI941:OFFSET(AI941,$B$7-1,0))</f>
        <v>#DIV/0!</v>
      </c>
      <c r="AM941" s="4" t="e">
        <f ca="1">SQRT($B$9)*_xlfn.STDEV.S(AI941:OFFSET(AI941,$B$8-1,0))</f>
        <v>#DIV/0!</v>
      </c>
    </row>
    <row r="942" spans="5:39" x14ac:dyDescent="0.2">
      <c r="E942" s="42">
        <v>44061</v>
      </c>
      <c r="F942" s="43"/>
      <c r="G942" s="43"/>
      <c r="H942" s="43"/>
      <c r="I942" s="43"/>
      <c r="K942" s="3" t="e">
        <f t="shared" si="79"/>
        <v>#DIV/0!</v>
      </c>
      <c r="L942" s="3" t="e">
        <f ca="1">SQRT(AVERAGE(K942:OFFSET(K942,$B$5-1,0))*$B$9/(4*LN(2)))</f>
        <v>#DIV/0!</v>
      </c>
      <c r="M942" s="3" t="e">
        <f ca="1">SQRT(AVERAGE(K942:OFFSET(K942,$B$6-1,0))*$B$9/(4*LN(2)))</f>
        <v>#DIV/0!</v>
      </c>
      <c r="N942" s="3" t="e">
        <f ca="1">SQRT(AVERAGE(K942:OFFSET(K942,$B$7-1,0))*$B$9/(4*LN(2)))</f>
        <v>#DIV/0!</v>
      </c>
      <c r="O942" s="3" t="e">
        <f ca="1">SQRT(AVERAGE(K942:OFFSET(K942,$B$8-1,0))*$B$9/(4*LN(2)))</f>
        <v>#DIV/0!</v>
      </c>
      <c r="Q942" s="5" t="e">
        <f t="shared" si="78"/>
        <v>#DIV/0!</v>
      </c>
      <c r="R942" s="5" t="e">
        <f ca="1">SQRT($B$9*AVERAGE((Q942:OFFSET(Q942,$B$5-1,0))))</f>
        <v>#DIV/0!</v>
      </c>
      <c r="S942" s="5" t="e">
        <f ca="1">SQRT($B$9*AVERAGE((Q942:OFFSET(Q942,$B$6-1,0))))</f>
        <v>#DIV/0!</v>
      </c>
      <c r="T942" s="5" t="e">
        <f ca="1">SQRT($B$9*AVERAGE((Q942:OFFSET(Q942,$B$7-1,0))))</f>
        <v>#DIV/0!</v>
      </c>
      <c r="U942" s="5" t="e">
        <f ca="1">SQRT($B$9*AVERAGE((Q942:OFFSET(Q942,$B$8-1,0))))</f>
        <v>#DIV/0!</v>
      </c>
      <c r="W942" s="6" t="e">
        <f t="shared" si="82"/>
        <v>#DIV/0!</v>
      </c>
      <c r="X942" s="6" t="e">
        <f ca="1">SQRT($B$9*AVERAGE(W942:OFFSET(W942,$B$5-1,0)))</f>
        <v>#DIV/0!</v>
      </c>
      <c r="Y942" s="6" t="e">
        <f ca="1">SQRT($B$9*AVERAGE(W942:OFFSET(W942,$B$6-1,0)))</f>
        <v>#DIV/0!</v>
      </c>
      <c r="Z942" s="6" t="e">
        <f ca="1">SQRT($B$9*AVERAGE(W942:OFFSET(W942,$B$7-1,0)))</f>
        <v>#DIV/0!</v>
      </c>
      <c r="AA942" s="6" t="e">
        <f ca="1">SQRT($B$9*AVERAGE(W942:OFFSET(W942,$B$8-1,0)))</f>
        <v>#DIV/0!</v>
      </c>
      <c r="AC942" s="34" t="e">
        <f t="shared" si="80"/>
        <v>#DIV/0!</v>
      </c>
      <c r="AD942" s="34" t="e">
        <f ca="1">SQRT($B$9*SUM(AC942:OFFSET(AC942,$B$5-1,0))/($B$5-1))</f>
        <v>#DIV/0!</v>
      </c>
      <c r="AE942" s="34" t="e">
        <f ca="1">SQRT($B$9*SUM(AC942:OFFSET(AC942,$B$6-1,0))/($B$6-1))</f>
        <v>#DIV/0!</v>
      </c>
      <c r="AF942" s="34" t="e">
        <f ca="1">SQRT($B$9*SUM(AC942:OFFSET(AC942,$B$7-1,0))/($B$7-1))</f>
        <v>#DIV/0!</v>
      </c>
      <c r="AG942" s="34" t="e">
        <f ca="1">SQRT($B$9*SUM(AC942:OFFSET(AC942,$B$8-1,0))/($B$8-1))</f>
        <v>#DIV/0!</v>
      </c>
      <c r="AI942" s="1" t="e">
        <f t="shared" si="81"/>
        <v>#DIV/0!</v>
      </c>
      <c r="AJ942" s="4" t="e">
        <f ca="1">SQRT($B$9)*_xlfn.STDEV.S(AI942:OFFSET(AI942,$B$5-1,0))</f>
        <v>#DIV/0!</v>
      </c>
      <c r="AK942" s="4" t="e">
        <f ca="1">SQRT($B$9)*_xlfn.STDEV.S(AI942:OFFSET(AI942,$B$6-1,0))</f>
        <v>#DIV/0!</v>
      </c>
      <c r="AL942" s="4" t="e">
        <f ca="1">SQRT($B$9)*_xlfn.STDEV.S(AI942:OFFSET(AI942,$B$7-1,0))</f>
        <v>#DIV/0!</v>
      </c>
      <c r="AM942" s="4" t="e">
        <f ca="1">SQRT($B$9)*_xlfn.STDEV.S(AI942:OFFSET(AI942,$B$8-1,0))</f>
        <v>#DIV/0!</v>
      </c>
    </row>
    <row r="943" spans="5:39" x14ac:dyDescent="0.2">
      <c r="E943" s="42">
        <v>44060</v>
      </c>
      <c r="F943" s="43"/>
      <c r="G943" s="43"/>
      <c r="H943" s="43"/>
      <c r="I943" s="43"/>
      <c r="K943" s="3" t="e">
        <f t="shared" si="79"/>
        <v>#DIV/0!</v>
      </c>
      <c r="L943" s="3" t="e">
        <f ca="1">SQRT(AVERAGE(K943:OFFSET(K943,$B$5-1,0))*$B$9/(4*LN(2)))</f>
        <v>#DIV/0!</v>
      </c>
      <c r="M943" s="3" t="e">
        <f ca="1">SQRT(AVERAGE(K943:OFFSET(K943,$B$6-1,0))*$B$9/(4*LN(2)))</f>
        <v>#DIV/0!</v>
      </c>
      <c r="N943" s="3" t="e">
        <f ca="1">SQRT(AVERAGE(K943:OFFSET(K943,$B$7-1,0))*$B$9/(4*LN(2)))</f>
        <v>#DIV/0!</v>
      </c>
      <c r="O943" s="3" t="e">
        <f ca="1">SQRT(AVERAGE(K943:OFFSET(K943,$B$8-1,0))*$B$9/(4*LN(2)))</f>
        <v>#DIV/0!</v>
      </c>
      <c r="Q943" s="5" t="e">
        <f t="shared" si="78"/>
        <v>#DIV/0!</v>
      </c>
      <c r="R943" s="5" t="e">
        <f ca="1">SQRT($B$9*AVERAGE((Q943:OFFSET(Q943,$B$5-1,0))))</f>
        <v>#DIV/0!</v>
      </c>
      <c r="S943" s="5" t="e">
        <f ca="1">SQRT($B$9*AVERAGE((Q943:OFFSET(Q943,$B$6-1,0))))</f>
        <v>#DIV/0!</v>
      </c>
      <c r="T943" s="5" t="e">
        <f ca="1">SQRT($B$9*AVERAGE((Q943:OFFSET(Q943,$B$7-1,0))))</f>
        <v>#DIV/0!</v>
      </c>
      <c r="U943" s="5" t="e">
        <f ca="1">SQRT($B$9*AVERAGE((Q943:OFFSET(Q943,$B$8-1,0))))</f>
        <v>#DIV/0!</v>
      </c>
      <c r="W943" s="6" t="e">
        <f t="shared" si="82"/>
        <v>#DIV/0!</v>
      </c>
      <c r="X943" s="6" t="e">
        <f ca="1">SQRT($B$9*AVERAGE(W943:OFFSET(W943,$B$5-1,0)))</f>
        <v>#DIV/0!</v>
      </c>
      <c r="Y943" s="6" t="e">
        <f ca="1">SQRT($B$9*AVERAGE(W943:OFFSET(W943,$B$6-1,0)))</f>
        <v>#DIV/0!</v>
      </c>
      <c r="Z943" s="6" t="e">
        <f ca="1">SQRT($B$9*AVERAGE(W943:OFFSET(W943,$B$7-1,0)))</f>
        <v>#DIV/0!</v>
      </c>
      <c r="AA943" s="6" t="e">
        <f ca="1">SQRT($B$9*AVERAGE(W943:OFFSET(W943,$B$8-1,0)))</f>
        <v>#DIV/0!</v>
      </c>
      <c r="AC943" s="34" t="e">
        <f t="shared" si="80"/>
        <v>#DIV/0!</v>
      </c>
      <c r="AD943" s="34" t="e">
        <f ca="1">SQRT($B$9*SUM(AC943:OFFSET(AC943,$B$5-1,0))/($B$5-1))</f>
        <v>#DIV/0!</v>
      </c>
      <c r="AE943" s="34" t="e">
        <f ca="1">SQRT($B$9*SUM(AC943:OFFSET(AC943,$B$6-1,0))/($B$6-1))</f>
        <v>#DIV/0!</v>
      </c>
      <c r="AF943" s="34" t="e">
        <f ca="1">SQRT($B$9*SUM(AC943:OFFSET(AC943,$B$7-1,0))/($B$7-1))</f>
        <v>#DIV/0!</v>
      </c>
      <c r="AG943" s="34" t="e">
        <f ca="1">SQRT($B$9*SUM(AC943:OFFSET(AC943,$B$8-1,0))/($B$8-1))</f>
        <v>#DIV/0!</v>
      </c>
      <c r="AI943" s="1" t="e">
        <f t="shared" si="81"/>
        <v>#DIV/0!</v>
      </c>
      <c r="AJ943" s="4" t="e">
        <f ca="1">SQRT($B$9)*_xlfn.STDEV.S(AI943:OFFSET(AI943,$B$5-1,0))</f>
        <v>#DIV/0!</v>
      </c>
      <c r="AK943" s="4" t="e">
        <f ca="1">SQRT($B$9)*_xlfn.STDEV.S(AI943:OFFSET(AI943,$B$6-1,0))</f>
        <v>#DIV/0!</v>
      </c>
      <c r="AL943" s="4" t="e">
        <f ca="1">SQRT($B$9)*_xlfn.STDEV.S(AI943:OFFSET(AI943,$B$7-1,0))</f>
        <v>#DIV/0!</v>
      </c>
      <c r="AM943" s="4" t="e">
        <f ca="1">SQRT($B$9)*_xlfn.STDEV.S(AI943:OFFSET(AI943,$B$8-1,0))</f>
        <v>#DIV/0!</v>
      </c>
    </row>
    <row r="944" spans="5:39" x14ac:dyDescent="0.2">
      <c r="E944" s="42">
        <v>44057</v>
      </c>
      <c r="F944" s="43"/>
      <c r="G944" s="43"/>
      <c r="H944" s="43"/>
      <c r="I944" s="43"/>
      <c r="K944" s="3" t="e">
        <f t="shared" si="79"/>
        <v>#DIV/0!</v>
      </c>
      <c r="L944" s="3" t="e">
        <f ca="1">SQRT(AVERAGE(K944:OFFSET(K944,$B$5-1,0))*$B$9/(4*LN(2)))</f>
        <v>#DIV/0!</v>
      </c>
      <c r="M944" s="3" t="e">
        <f ca="1">SQRT(AVERAGE(K944:OFFSET(K944,$B$6-1,0))*$B$9/(4*LN(2)))</f>
        <v>#DIV/0!</v>
      </c>
      <c r="N944" s="3" t="e">
        <f ca="1">SQRT(AVERAGE(K944:OFFSET(K944,$B$7-1,0))*$B$9/(4*LN(2)))</f>
        <v>#DIV/0!</v>
      </c>
      <c r="O944" s="3" t="e">
        <f ca="1">SQRT(AVERAGE(K944:OFFSET(K944,$B$8-1,0))*$B$9/(4*LN(2)))</f>
        <v>#DIV/0!</v>
      </c>
      <c r="Q944" s="5" t="e">
        <f t="shared" si="78"/>
        <v>#DIV/0!</v>
      </c>
      <c r="R944" s="5" t="e">
        <f ca="1">SQRT($B$9*AVERAGE((Q944:OFFSET(Q944,$B$5-1,0))))</f>
        <v>#DIV/0!</v>
      </c>
      <c r="S944" s="5" t="e">
        <f ca="1">SQRT($B$9*AVERAGE((Q944:OFFSET(Q944,$B$6-1,0))))</f>
        <v>#DIV/0!</v>
      </c>
      <c r="T944" s="5" t="e">
        <f ca="1">SQRT($B$9*AVERAGE((Q944:OFFSET(Q944,$B$7-1,0))))</f>
        <v>#DIV/0!</v>
      </c>
      <c r="U944" s="5" t="e">
        <f ca="1">SQRT($B$9*AVERAGE((Q944:OFFSET(Q944,$B$8-1,0))))</f>
        <v>#DIV/0!</v>
      </c>
      <c r="W944" s="6" t="e">
        <f t="shared" si="82"/>
        <v>#DIV/0!</v>
      </c>
      <c r="X944" s="6" t="e">
        <f ca="1">SQRT($B$9*AVERAGE(W944:OFFSET(W944,$B$5-1,0)))</f>
        <v>#DIV/0!</v>
      </c>
      <c r="Y944" s="6" t="e">
        <f ca="1">SQRT($B$9*AVERAGE(W944:OFFSET(W944,$B$6-1,0)))</f>
        <v>#DIV/0!</v>
      </c>
      <c r="Z944" s="6" t="e">
        <f ca="1">SQRT($B$9*AVERAGE(W944:OFFSET(W944,$B$7-1,0)))</f>
        <v>#DIV/0!</v>
      </c>
      <c r="AA944" s="6" t="e">
        <f ca="1">SQRT($B$9*AVERAGE(W944:OFFSET(W944,$B$8-1,0)))</f>
        <v>#DIV/0!</v>
      </c>
      <c r="AC944" s="34" t="e">
        <f t="shared" si="80"/>
        <v>#DIV/0!</v>
      </c>
      <c r="AD944" s="34" t="e">
        <f ca="1">SQRT($B$9*SUM(AC944:OFFSET(AC944,$B$5-1,0))/($B$5-1))</f>
        <v>#DIV/0!</v>
      </c>
      <c r="AE944" s="34" t="e">
        <f ca="1">SQRT($B$9*SUM(AC944:OFFSET(AC944,$B$6-1,0))/($B$6-1))</f>
        <v>#DIV/0!</v>
      </c>
      <c r="AF944" s="34" t="e">
        <f ca="1">SQRT($B$9*SUM(AC944:OFFSET(AC944,$B$7-1,0))/($B$7-1))</f>
        <v>#DIV/0!</v>
      </c>
      <c r="AG944" s="34" t="e">
        <f ca="1">SQRT($B$9*SUM(AC944:OFFSET(AC944,$B$8-1,0))/($B$8-1))</f>
        <v>#DIV/0!</v>
      </c>
      <c r="AI944" s="1" t="e">
        <f t="shared" si="81"/>
        <v>#DIV/0!</v>
      </c>
      <c r="AJ944" s="4" t="e">
        <f ca="1">SQRT($B$9)*_xlfn.STDEV.S(AI944:OFFSET(AI944,$B$5-1,0))</f>
        <v>#DIV/0!</v>
      </c>
      <c r="AK944" s="4" t="e">
        <f ca="1">SQRT($B$9)*_xlfn.STDEV.S(AI944:OFFSET(AI944,$B$6-1,0))</f>
        <v>#DIV/0!</v>
      </c>
      <c r="AL944" s="4" t="e">
        <f ca="1">SQRT($B$9)*_xlfn.STDEV.S(AI944:OFFSET(AI944,$B$7-1,0))</f>
        <v>#DIV/0!</v>
      </c>
      <c r="AM944" s="4" t="e">
        <f ca="1">SQRT($B$9)*_xlfn.STDEV.S(AI944:OFFSET(AI944,$B$8-1,0))</f>
        <v>#DIV/0!</v>
      </c>
    </row>
    <row r="945" spans="5:39" x14ac:dyDescent="0.2">
      <c r="E945" s="42">
        <v>44056</v>
      </c>
      <c r="F945" s="43"/>
      <c r="G945" s="43"/>
      <c r="H945" s="43"/>
      <c r="I945" s="43"/>
      <c r="K945" s="3" t="e">
        <f t="shared" si="79"/>
        <v>#DIV/0!</v>
      </c>
      <c r="L945" s="3" t="e">
        <f ca="1">SQRT(AVERAGE(K945:OFFSET(K945,$B$5-1,0))*$B$9/(4*LN(2)))</f>
        <v>#DIV/0!</v>
      </c>
      <c r="M945" s="3" t="e">
        <f ca="1">SQRT(AVERAGE(K945:OFFSET(K945,$B$6-1,0))*$B$9/(4*LN(2)))</f>
        <v>#DIV/0!</v>
      </c>
      <c r="N945" s="3" t="e">
        <f ca="1">SQRT(AVERAGE(K945:OFFSET(K945,$B$7-1,0))*$B$9/(4*LN(2)))</f>
        <v>#DIV/0!</v>
      </c>
      <c r="O945" s="3" t="e">
        <f ca="1">SQRT(AVERAGE(K945:OFFSET(K945,$B$8-1,0))*$B$9/(4*LN(2)))</f>
        <v>#DIV/0!</v>
      </c>
      <c r="Q945" s="5" t="e">
        <f t="shared" si="78"/>
        <v>#DIV/0!</v>
      </c>
      <c r="R945" s="5" t="e">
        <f ca="1">SQRT($B$9*AVERAGE((Q945:OFFSET(Q945,$B$5-1,0))))</f>
        <v>#DIV/0!</v>
      </c>
      <c r="S945" s="5" t="e">
        <f ca="1">SQRT($B$9*AVERAGE((Q945:OFFSET(Q945,$B$6-1,0))))</f>
        <v>#DIV/0!</v>
      </c>
      <c r="T945" s="5" t="e">
        <f ca="1">SQRT($B$9*AVERAGE((Q945:OFFSET(Q945,$B$7-1,0))))</f>
        <v>#DIV/0!</v>
      </c>
      <c r="U945" s="5" t="e">
        <f ca="1">SQRT($B$9*AVERAGE((Q945:OFFSET(Q945,$B$8-1,0))))</f>
        <v>#DIV/0!</v>
      </c>
      <c r="W945" s="6" t="e">
        <f t="shared" si="82"/>
        <v>#DIV/0!</v>
      </c>
      <c r="X945" s="6" t="e">
        <f ca="1">SQRT($B$9*AVERAGE(W945:OFFSET(W945,$B$5-1,0)))</f>
        <v>#DIV/0!</v>
      </c>
      <c r="Y945" s="6" t="e">
        <f ca="1">SQRT($B$9*AVERAGE(W945:OFFSET(W945,$B$6-1,0)))</f>
        <v>#DIV/0!</v>
      </c>
      <c r="Z945" s="6" t="e">
        <f ca="1">SQRT($B$9*AVERAGE(W945:OFFSET(W945,$B$7-1,0)))</f>
        <v>#DIV/0!</v>
      </c>
      <c r="AA945" s="6" t="e">
        <f ca="1">SQRT($B$9*AVERAGE(W945:OFFSET(W945,$B$8-1,0)))</f>
        <v>#DIV/0!</v>
      </c>
      <c r="AC945" s="34" t="e">
        <f t="shared" si="80"/>
        <v>#DIV/0!</v>
      </c>
      <c r="AD945" s="34" t="e">
        <f ca="1">SQRT($B$9*SUM(AC945:OFFSET(AC945,$B$5-1,0))/($B$5-1))</f>
        <v>#DIV/0!</v>
      </c>
      <c r="AE945" s="34" t="e">
        <f ca="1">SQRT($B$9*SUM(AC945:OFFSET(AC945,$B$6-1,0))/($B$6-1))</f>
        <v>#DIV/0!</v>
      </c>
      <c r="AF945" s="34" t="e">
        <f ca="1">SQRT($B$9*SUM(AC945:OFFSET(AC945,$B$7-1,0))/($B$7-1))</f>
        <v>#DIV/0!</v>
      </c>
      <c r="AG945" s="34" t="e">
        <f ca="1">SQRT($B$9*SUM(AC945:OFFSET(AC945,$B$8-1,0))/($B$8-1))</f>
        <v>#DIV/0!</v>
      </c>
      <c r="AI945" s="1" t="e">
        <f t="shared" si="81"/>
        <v>#DIV/0!</v>
      </c>
      <c r="AJ945" s="4" t="e">
        <f ca="1">SQRT($B$9)*_xlfn.STDEV.S(AI945:OFFSET(AI945,$B$5-1,0))</f>
        <v>#DIV/0!</v>
      </c>
      <c r="AK945" s="4" t="e">
        <f ca="1">SQRT($B$9)*_xlfn.STDEV.S(AI945:OFFSET(AI945,$B$6-1,0))</f>
        <v>#DIV/0!</v>
      </c>
      <c r="AL945" s="4" t="e">
        <f ca="1">SQRT($B$9)*_xlfn.STDEV.S(AI945:OFFSET(AI945,$B$7-1,0))</f>
        <v>#DIV/0!</v>
      </c>
      <c r="AM945" s="4" t="e">
        <f ca="1">SQRT($B$9)*_xlfn.STDEV.S(AI945:OFFSET(AI945,$B$8-1,0))</f>
        <v>#DIV/0!</v>
      </c>
    </row>
    <row r="946" spans="5:39" x14ac:dyDescent="0.2">
      <c r="E946" s="42">
        <v>44055</v>
      </c>
      <c r="F946" s="43"/>
      <c r="G946" s="43"/>
      <c r="H946" s="43"/>
      <c r="I946" s="43"/>
      <c r="K946" s="3" t="e">
        <f t="shared" si="79"/>
        <v>#DIV/0!</v>
      </c>
      <c r="L946" s="3" t="e">
        <f ca="1">SQRT(AVERAGE(K946:OFFSET(K946,$B$5-1,0))*$B$9/(4*LN(2)))</f>
        <v>#DIV/0!</v>
      </c>
      <c r="M946" s="3" t="e">
        <f ca="1">SQRT(AVERAGE(K946:OFFSET(K946,$B$6-1,0))*$B$9/(4*LN(2)))</f>
        <v>#DIV/0!</v>
      </c>
      <c r="N946" s="3" t="e">
        <f ca="1">SQRT(AVERAGE(K946:OFFSET(K946,$B$7-1,0))*$B$9/(4*LN(2)))</f>
        <v>#DIV/0!</v>
      </c>
      <c r="O946" s="3" t="e">
        <f ca="1">SQRT(AVERAGE(K946:OFFSET(K946,$B$8-1,0))*$B$9/(4*LN(2)))</f>
        <v>#DIV/0!</v>
      </c>
      <c r="Q946" s="5" t="e">
        <f t="shared" si="78"/>
        <v>#DIV/0!</v>
      </c>
      <c r="R946" s="5" t="e">
        <f ca="1">SQRT($B$9*AVERAGE((Q946:OFFSET(Q946,$B$5-1,0))))</f>
        <v>#DIV/0!</v>
      </c>
      <c r="S946" s="5" t="e">
        <f ca="1">SQRT($B$9*AVERAGE((Q946:OFFSET(Q946,$B$6-1,0))))</f>
        <v>#DIV/0!</v>
      </c>
      <c r="T946" s="5" t="e">
        <f ca="1">SQRT($B$9*AVERAGE((Q946:OFFSET(Q946,$B$7-1,0))))</f>
        <v>#DIV/0!</v>
      </c>
      <c r="U946" s="5" t="e">
        <f ca="1">SQRT($B$9*AVERAGE((Q946:OFFSET(Q946,$B$8-1,0))))</f>
        <v>#DIV/0!</v>
      </c>
      <c r="W946" s="6" t="e">
        <f t="shared" si="82"/>
        <v>#DIV/0!</v>
      </c>
      <c r="X946" s="6" t="e">
        <f ca="1">SQRT($B$9*AVERAGE(W946:OFFSET(W946,$B$5-1,0)))</f>
        <v>#DIV/0!</v>
      </c>
      <c r="Y946" s="6" t="e">
        <f ca="1">SQRT($B$9*AVERAGE(W946:OFFSET(W946,$B$6-1,0)))</f>
        <v>#DIV/0!</v>
      </c>
      <c r="Z946" s="6" t="e">
        <f ca="1">SQRT($B$9*AVERAGE(W946:OFFSET(W946,$B$7-1,0)))</f>
        <v>#DIV/0!</v>
      </c>
      <c r="AA946" s="6" t="e">
        <f ca="1">SQRT($B$9*AVERAGE(W946:OFFSET(W946,$B$8-1,0)))</f>
        <v>#DIV/0!</v>
      </c>
      <c r="AC946" s="34" t="e">
        <f t="shared" si="80"/>
        <v>#DIV/0!</v>
      </c>
      <c r="AD946" s="34" t="e">
        <f ca="1">SQRT($B$9*SUM(AC946:OFFSET(AC946,$B$5-1,0))/($B$5-1))</f>
        <v>#DIV/0!</v>
      </c>
      <c r="AE946" s="34" t="e">
        <f ca="1">SQRT($B$9*SUM(AC946:OFFSET(AC946,$B$6-1,0))/($B$6-1))</f>
        <v>#DIV/0!</v>
      </c>
      <c r="AF946" s="34" t="e">
        <f ca="1">SQRT($B$9*SUM(AC946:OFFSET(AC946,$B$7-1,0))/($B$7-1))</f>
        <v>#DIV/0!</v>
      </c>
      <c r="AG946" s="34" t="e">
        <f ca="1">SQRT($B$9*SUM(AC946:OFFSET(AC946,$B$8-1,0))/($B$8-1))</f>
        <v>#DIV/0!</v>
      </c>
      <c r="AI946" s="1" t="e">
        <f t="shared" si="81"/>
        <v>#DIV/0!</v>
      </c>
      <c r="AJ946" s="4" t="e">
        <f ca="1">SQRT($B$9)*_xlfn.STDEV.S(AI946:OFFSET(AI946,$B$5-1,0))</f>
        <v>#DIV/0!</v>
      </c>
      <c r="AK946" s="4" t="e">
        <f ca="1">SQRT($B$9)*_xlfn.STDEV.S(AI946:OFFSET(AI946,$B$6-1,0))</f>
        <v>#DIV/0!</v>
      </c>
      <c r="AL946" s="4" t="e">
        <f ca="1">SQRT($B$9)*_xlfn.STDEV.S(AI946:OFFSET(AI946,$B$7-1,0))</f>
        <v>#DIV/0!</v>
      </c>
      <c r="AM946" s="4" t="e">
        <f ca="1">SQRT($B$9)*_xlfn.STDEV.S(AI946:OFFSET(AI946,$B$8-1,0))</f>
        <v>#DIV/0!</v>
      </c>
    </row>
    <row r="947" spans="5:39" x14ac:dyDescent="0.2">
      <c r="E947" s="42">
        <v>44054</v>
      </c>
      <c r="F947" s="43"/>
      <c r="G947" s="43"/>
      <c r="H947" s="43"/>
      <c r="I947" s="43"/>
      <c r="K947" s="3" t="e">
        <f t="shared" si="79"/>
        <v>#DIV/0!</v>
      </c>
      <c r="L947" s="3" t="e">
        <f ca="1">SQRT(AVERAGE(K947:OFFSET(K947,$B$5-1,0))*$B$9/(4*LN(2)))</f>
        <v>#DIV/0!</v>
      </c>
      <c r="M947" s="3" t="e">
        <f ca="1">SQRT(AVERAGE(K947:OFFSET(K947,$B$6-1,0))*$B$9/(4*LN(2)))</f>
        <v>#DIV/0!</v>
      </c>
      <c r="N947" s="3" t="e">
        <f ca="1">SQRT(AVERAGE(K947:OFFSET(K947,$B$7-1,0))*$B$9/(4*LN(2)))</f>
        <v>#DIV/0!</v>
      </c>
      <c r="O947" s="3" t="e">
        <f ca="1">SQRT(AVERAGE(K947:OFFSET(K947,$B$8-1,0))*$B$9/(4*LN(2)))</f>
        <v>#DIV/0!</v>
      </c>
      <c r="Q947" s="5" t="e">
        <f t="shared" si="78"/>
        <v>#DIV/0!</v>
      </c>
      <c r="R947" s="5" t="e">
        <f ca="1">SQRT($B$9*AVERAGE((Q947:OFFSET(Q947,$B$5-1,0))))</f>
        <v>#DIV/0!</v>
      </c>
      <c r="S947" s="5" t="e">
        <f ca="1">SQRT($B$9*AVERAGE((Q947:OFFSET(Q947,$B$6-1,0))))</f>
        <v>#DIV/0!</v>
      </c>
      <c r="T947" s="5" t="e">
        <f ca="1">SQRT($B$9*AVERAGE((Q947:OFFSET(Q947,$B$7-1,0))))</f>
        <v>#DIV/0!</v>
      </c>
      <c r="U947" s="5" t="e">
        <f ca="1">SQRT($B$9*AVERAGE((Q947:OFFSET(Q947,$B$8-1,0))))</f>
        <v>#DIV/0!</v>
      </c>
      <c r="W947" s="6" t="e">
        <f t="shared" si="82"/>
        <v>#DIV/0!</v>
      </c>
      <c r="X947" s="6" t="e">
        <f ca="1">SQRT($B$9*AVERAGE(W947:OFFSET(W947,$B$5-1,0)))</f>
        <v>#DIV/0!</v>
      </c>
      <c r="Y947" s="6" t="e">
        <f ca="1">SQRT($B$9*AVERAGE(W947:OFFSET(W947,$B$6-1,0)))</f>
        <v>#DIV/0!</v>
      </c>
      <c r="Z947" s="6" t="e">
        <f ca="1">SQRT($B$9*AVERAGE(W947:OFFSET(W947,$B$7-1,0)))</f>
        <v>#DIV/0!</v>
      </c>
      <c r="AA947" s="6" t="e">
        <f ca="1">SQRT($B$9*AVERAGE(W947:OFFSET(W947,$B$8-1,0)))</f>
        <v>#DIV/0!</v>
      </c>
      <c r="AC947" s="34" t="e">
        <f t="shared" si="80"/>
        <v>#DIV/0!</v>
      </c>
      <c r="AD947" s="34" t="e">
        <f ca="1">SQRT($B$9*SUM(AC947:OFFSET(AC947,$B$5-1,0))/($B$5-1))</f>
        <v>#DIV/0!</v>
      </c>
      <c r="AE947" s="34" t="e">
        <f ca="1">SQRT($B$9*SUM(AC947:OFFSET(AC947,$B$6-1,0))/($B$6-1))</f>
        <v>#DIV/0!</v>
      </c>
      <c r="AF947" s="34" t="e">
        <f ca="1">SQRT($B$9*SUM(AC947:OFFSET(AC947,$B$7-1,0))/($B$7-1))</f>
        <v>#DIV/0!</v>
      </c>
      <c r="AG947" s="34" t="e">
        <f ca="1">SQRT($B$9*SUM(AC947:OFFSET(AC947,$B$8-1,0))/($B$8-1))</f>
        <v>#DIV/0!</v>
      </c>
      <c r="AI947" s="1" t="e">
        <f t="shared" si="81"/>
        <v>#DIV/0!</v>
      </c>
      <c r="AJ947" s="4" t="e">
        <f ca="1">SQRT($B$9)*_xlfn.STDEV.S(AI947:OFFSET(AI947,$B$5-1,0))</f>
        <v>#DIV/0!</v>
      </c>
      <c r="AK947" s="4" t="e">
        <f ca="1">SQRT($B$9)*_xlfn.STDEV.S(AI947:OFFSET(AI947,$B$6-1,0))</f>
        <v>#DIV/0!</v>
      </c>
      <c r="AL947" s="4" t="e">
        <f ca="1">SQRT($B$9)*_xlfn.STDEV.S(AI947:OFFSET(AI947,$B$7-1,0))</f>
        <v>#DIV/0!</v>
      </c>
      <c r="AM947" s="4" t="e">
        <f ca="1">SQRT($B$9)*_xlfn.STDEV.S(AI947:OFFSET(AI947,$B$8-1,0))</f>
        <v>#DIV/0!</v>
      </c>
    </row>
    <row r="948" spans="5:39" x14ac:dyDescent="0.2">
      <c r="E948" s="42">
        <v>44053</v>
      </c>
      <c r="F948" s="43"/>
      <c r="G948" s="43"/>
      <c r="H948" s="43"/>
      <c r="I948" s="43"/>
      <c r="K948" s="3" t="e">
        <f t="shared" si="79"/>
        <v>#DIV/0!</v>
      </c>
      <c r="L948" s="3" t="e">
        <f ca="1">SQRT(AVERAGE(K948:OFFSET(K948,$B$5-1,0))*$B$9/(4*LN(2)))</f>
        <v>#DIV/0!</v>
      </c>
      <c r="M948" s="3" t="e">
        <f ca="1">SQRT(AVERAGE(K948:OFFSET(K948,$B$6-1,0))*$B$9/(4*LN(2)))</f>
        <v>#DIV/0!</v>
      </c>
      <c r="N948" s="3" t="e">
        <f ca="1">SQRT(AVERAGE(K948:OFFSET(K948,$B$7-1,0))*$B$9/(4*LN(2)))</f>
        <v>#DIV/0!</v>
      </c>
      <c r="O948" s="3" t="e">
        <f ca="1">SQRT(AVERAGE(K948:OFFSET(K948,$B$8-1,0))*$B$9/(4*LN(2)))</f>
        <v>#DIV/0!</v>
      </c>
      <c r="Q948" s="5" t="e">
        <f t="shared" si="78"/>
        <v>#DIV/0!</v>
      </c>
      <c r="R948" s="5" t="e">
        <f ca="1">SQRT($B$9*AVERAGE((Q948:OFFSET(Q948,$B$5-1,0))))</f>
        <v>#DIV/0!</v>
      </c>
      <c r="S948" s="5" t="e">
        <f ca="1">SQRT($B$9*AVERAGE((Q948:OFFSET(Q948,$B$6-1,0))))</f>
        <v>#DIV/0!</v>
      </c>
      <c r="T948" s="5" t="e">
        <f ca="1">SQRT($B$9*AVERAGE((Q948:OFFSET(Q948,$B$7-1,0))))</f>
        <v>#DIV/0!</v>
      </c>
      <c r="U948" s="5" t="e">
        <f ca="1">SQRT($B$9*AVERAGE((Q948:OFFSET(Q948,$B$8-1,0))))</f>
        <v>#DIV/0!</v>
      </c>
      <c r="W948" s="6" t="e">
        <f t="shared" si="82"/>
        <v>#DIV/0!</v>
      </c>
      <c r="X948" s="6" t="e">
        <f ca="1">SQRT($B$9*AVERAGE(W948:OFFSET(W948,$B$5-1,0)))</f>
        <v>#DIV/0!</v>
      </c>
      <c r="Y948" s="6" t="e">
        <f ca="1">SQRT($B$9*AVERAGE(W948:OFFSET(W948,$B$6-1,0)))</f>
        <v>#DIV/0!</v>
      </c>
      <c r="Z948" s="6" t="e">
        <f ca="1">SQRT($B$9*AVERAGE(W948:OFFSET(W948,$B$7-1,0)))</f>
        <v>#DIV/0!</v>
      </c>
      <c r="AA948" s="6" t="e">
        <f ca="1">SQRT($B$9*AVERAGE(W948:OFFSET(W948,$B$8-1,0)))</f>
        <v>#DIV/0!</v>
      </c>
      <c r="AC948" s="34" t="e">
        <f t="shared" si="80"/>
        <v>#DIV/0!</v>
      </c>
      <c r="AD948" s="34" t="e">
        <f ca="1">SQRT($B$9*SUM(AC948:OFFSET(AC948,$B$5-1,0))/($B$5-1))</f>
        <v>#DIV/0!</v>
      </c>
      <c r="AE948" s="34" t="e">
        <f ca="1">SQRT($B$9*SUM(AC948:OFFSET(AC948,$B$6-1,0))/($B$6-1))</f>
        <v>#DIV/0!</v>
      </c>
      <c r="AF948" s="34" t="e">
        <f ca="1">SQRT($B$9*SUM(AC948:OFFSET(AC948,$B$7-1,0))/($B$7-1))</f>
        <v>#DIV/0!</v>
      </c>
      <c r="AG948" s="34" t="e">
        <f ca="1">SQRT($B$9*SUM(AC948:OFFSET(AC948,$B$8-1,0))/($B$8-1))</f>
        <v>#DIV/0!</v>
      </c>
      <c r="AI948" s="1" t="e">
        <f t="shared" si="81"/>
        <v>#DIV/0!</v>
      </c>
      <c r="AJ948" s="4" t="e">
        <f ca="1">SQRT($B$9)*_xlfn.STDEV.S(AI948:OFFSET(AI948,$B$5-1,0))</f>
        <v>#DIV/0!</v>
      </c>
      <c r="AK948" s="4" t="e">
        <f ca="1">SQRT($B$9)*_xlfn.STDEV.S(AI948:OFFSET(AI948,$B$6-1,0))</f>
        <v>#DIV/0!</v>
      </c>
      <c r="AL948" s="4" t="e">
        <f ca="1">SQRT($B$9)*_xlfn.STDEV.S(AI948:OFFSET(AI948,$B$7-1,0))</f>
        <v>#DIV/0!</v>
      </c>
      <c r="AM948" s="4" t="e">
        <f ca="1">SQRT($B$9)*_xlfn.STDEV.S(AI948:OFFSET(AI948,$B$8-1,0))</f>
        <v>#DIV/0!</v>
      </c>
    </row>
    <row r="949" spans="5:39" x14ac:dyDescent="0.2">
      <c r="E949" s="42">
        <v>44050</v>
      </c>
      <c r="F949" s="43"/>
      <c r="G949" s="43"/>
      <c r="H949" s="43"/>
      <c r="I949" s="43"/>
      <c r="K949" s="3" t="e">
        <f t="shared" si="79"/>
        <v>#DIV/0!</v>
      </c>
      <c r="L949" s="3" t="e">
        <f ca="1">SQRT(AVERAGE(K949:OFFSET(K949,$B$5-1,0))*$B$9/(4*LN(2)))</f>
        <v>#DIV/0!</v>
      </c>
      <c r="M949" s="3" t="e">
        <f ca="1">SQRT(AVERAGE(K949:OFFSET(K949,$B$6-1,0))*$B$9/(4*LN(2)))</f>
        <v>#DIV/0!</v>
      </c>
      <c r="N949" s="3" t="e">
        <f ca="1">SQRT(AVERAGE(K949:OFFSET(K949,$B$7-1,0))*$B$9/(4*LN(2)))</f>
        <v>#DIV/0!</v>
      </c>
      <c r="O949" s="3" t="e">
        <f ca="1">SQRT(AVERAGE(K949:OFFSET(K949,$B$8-1,0))*$B$9/(4*LN(2)))</f>
        <v>#DIV/0!</v>
      </c>
      <c r="Q949" s="5" t="e">
        <f t="shared" si="78"/>
        <v>#DIV/0!</v>
      </c>
      <c r="R949" s="5" t="e">
        <f ca="1">SQRT($B$9*AVERAGE((Q949:OFFSET(Q949,$B$5-1,0))))</f>
        <v>#DIV/0!</v>
      </c>
      <c r="S949" s="5" t="e">
        <f ca="1">SQRT($B$9*AVERAGE((Q949:OFFSET(Q949,$B$6-1,0))))</f>
        <v>#DIV/0!</v>
      </c>
      <c r="T949" s="5" t="e">
        <f ca="1">SQRT($B$9*AVERAGE((Q949:OFFSET(Q949,$B$7-1,0))))</f>
        <v>#DIV/0!</v>
      </c>
      <c r="U949" s="5" t="e">
        <f ca="1">SQRT($B$9*AVERAGE((Q949:OFFSET(Q949,$B$8-1,0))))</f>
        <v>#DIV/0!</v>
      </c>
      <c r="W949" s="6" t="e">
        <f t="shared" si="82"/>
        <v>#DIV/0!</v>
      </c>
      <c r="X949" s="6" t="e">
        <f ca="1">SQRT($B$9*AVERAGE(W949:OFFSET(W949,$B$5-1,0)))</f>
        <v>#DIV/0!</v>
      </c>
      <c r="Y949" s="6" t="e">
        <f ca="1">SQRT($B$9*AVERAGE(W949:OFFSET(W949,$B$6-1,0)))</f>
        <v>#DIV/0!</v>
      </c>
      <c r="Z949" s="6" t="e">
        <f ca="1">SQRT($B$9*AVERAGE(W949:OFFSET(W949,$B$7-1,0)))</f>
        <v>#DIV/0!</v>
      </c>
      <c r="AA949" s="6" t="e">
        <f ca="1">SQRT($B$9*AVERAGE(W949:OFFSET(W949,$B$8-1,0)))</f>
        <v>#DIV/0!</v>
      </c>
      <c r="AC949" s="34" t="e">
        <f t="shared" si="80"/>
        <v>#DIV/0!</v>
      </c>
      <c r="AD949" s="34" t="e">
        <f ca="1">SQRT($B$9*SUM(AC949:OFFSET(AC949,$B$5-1,0))/($B$5-1))</f>
        <v>#DIV/0!</v>
      </c>
      <c r="AE949" s="34" t="e">
        <f ca="1">SQRT($B$9*SUM(AC949:OFFSET(AC949,$B$6-1,0))/($B$6-1))</f>
        <v>#DIV/0!</v>
      </c>
      <c r="AF949" s="34" t="e">
        <f ca="1">SQRT($B$9*SUM(AC949:OFFSET(AC949,$B$7-1,0))/($B$7-1))</f>
        <v>#DIV/0!</v>
      </c>
      <c r="AG949" s="34" t="e">
        <f ca="1">SQRT($B$9*SUM(AC949:OFFSET(AC949,$B$8-1,0))/($B$8-1))</f>
        <v>#DIV/0!</v>
      </c>
      <c r="AI949" s="1" t="e">
        <f t="shared" si="81"/>
        <v>#DIV/0!</v>
      </c>
      <c r="AJ949" s="4" t="e">
        <f ca="1">SQRT($B$9)*_xlfn.STDEV.S(AI949:OFFSET(AI949,$B$5-1,0))</f>
        <v>#DIV/0!</v>
      </c>
      <c r="AK949" s="4" t="e">
        <f ca="1">SQRT($B$9)*_xlfn.STDEV.S(AI949:OFFSET(AI949,$B$6-1,0))</f>
        <v>#DIV/0!</v>
      </c>
      <c r="AL949" s="4" t="e">
        <f ca="1">SQRT($B$9)*_xlfn.STDEV.S(AI949:OFFSET(AI949,$B$7-1,0))</f>
        <v>#DIV/0!</v>
      </c>
      <c r="AM949" s="4" t="e">
        <f ca="1">SQRT($B$9)*_xlfn.STDEV.S(AI949:OFFSET(AI949,$B$8-1,0))</f>
        <v>#DIV/0!</v>
      </c>
    </row>
    <row r="950" spans="5:39" x14ac:dyDescent="0.2">
      <c r="E950" s="42">
        <v>44049</v>
      </c>
      <c r="F950" s="43"/>
      <c r="G950" s="43"/>
      <c r="H950" s="43"/>
      <c r="I950" s="43"/>
      <c r="K950" s="3" t="e">
        <f t="shared" si="79"/>
        <v>#DIV/0!</v>
      </c>
      <c r="L950" s="3" t="e">
        <f ca="1">SQRT(AVERAGE(K950:OFFSET(K950,$B$5-1,0))*$B$9/(4*LN(2)))</f>
        <v>#DIV/0!</v>
      </c>
      <c r="M950" s="3" t="e">
        <f ca="1">SQRT(AVERAGE(K950:OFFSET(K950,$B$6-1,0))*$B$9/(4*LN(2)))</f>
        <v>#DIV/0!</v>
      </c>
      <c r="N950" s="3" t="e">
        <f ca="1">SQRT(AVERAGE(K950:OFFSET(K950,$B$7-1,0))*$B$9/(4*LN(2)))</f>
        <v>#DIV/0!</v>
      </c>
      <c r="O950" s="3" t="e">
        <f ca="1">SQRT(AVERAGE(K950:OFFSET(K950,$B$8-1,0))*$B$9/(4*LN(2)))</f>
        <v>#DIV/0!</v>
      </c>
      <c r="Q950" s="5" t="e">
        <f t="shared" si="78"/>
        <v>#DIV/0!</v>
      </c>
      <c r="R950" s="5" t="e">
        <f ca="1">SQRT($B$9*AVERAGE((Q950:OFFSET(Q950,$B$5-1,0))))</f>
        <v>#DIV/0!</v>
      </c>
      <c r="S950" s="5" t="e">
        <f ca="1">SQRT($B$9*AVERAGE((Q950:OFFSET(Q950,$B$6-1,0))))</f>
        <v>#DIV/0!</v>
      </c>
      <c r="T950" s="5" t="e">
        <f ca="1">SQRT($B$9*AVERAGE((Q950:OFFSET(Q950,$B$7-1,0))))</f>
        <v>#DIV/0!</v>
      </c>
      <c r="U950" s="5" t="e">
        <f ca="1">SQRT($B$9*AVERAGE((Q950:OFFSET(Q950,$B$8-1,0))))</f>
        <v>#DIV/0!</v>
      </c>
      <c r="W950" s="6" t="e">
        <f t="shared" si="82"/>
        <v>#DIV/0!</v>
      </c>
      <c r="X950" s="6" t="e">
        <f ca="1">SQRT($B$9*AVERAGE(W950:OFFSET(W950,$B$5-1,0)))</f>
        <v>#DIV/0!</v>
      </c>
      <c r="Y950" s="6" t="e">
        <f ca="1">SQRT($B$9*AVERAGE(W950:OFFSET(W950,$B$6-1,0)))</f>
        <v>#DIV/0!</v>
      </c>
      <c r="Z950" s="6" t="e">
        <f ca="1">SQRT($B$9*AVERAGE(W950:OFFSET(W950,$B$7-1,0)))</f>
        <v>#DIV/0!</v>
      </c>
      <c r="AA950" s="6" t="e">
        <f ca="1">SQRT($B$9*AVERAGE(W950:OFFSET(W950,$B$8-1,0)))</f>
        <v>#DIV/0!</v>
      </c>
      <c r="AC950" s="34" t="e">
        <f t="shared" si="80"/>
        <v>#DIV/0!</v>
      </c>
      <c r="AD950" s="34" t="e">
        <f ca="1">SQRT($B$9*SUM(AC950:OFFSET(AC950,$B$5-1,0))/($B$5-1))</f>
        <v>#DIV/0!</v>
      </c>
      <c r="AE950" s="34" t="e">
        <f ca="1">SQRT($B$9*SUM(AC950:OFFSET(AC950,$B$6-1,0))/($B$6-1))</f>
        <v>#DIV/0!</v>
      </c>
      <c r="AF950" s="34" t="e">
        <f ca="1">SQRT($B$9*SUM(AC950:OFFSET(AC950,$B$7-1,0))/($B$7-1))</f>
        <v>#DIV/0!</v>
      </c>
      <c r="AG950" s="34" t="e">
        <f ca="1">SQRT($B$9*SUM(AC950:OFFSET(AC950,$B$8-1,0))/($B$8-1))</f>
        <v>#DIV/0!</v>
      </c>
      <c r="AI950" s="1" t="e">
        <f t="shared" si="81"/>
        <v>#DIV/0!</v>
      </c>
      <c r="AJ950" s="4" t="e">
        <f ca="1">SQRT($B$9)*_xlfn.STDEV.S(AI950:OFFSET(AI950,$B$5-1,0))</f>
        <v>#DIV/0!</v>
      </c>
      <c r="AK950" s="4" t="e">
        <f ca="1">SQRT($B$9)*_xlfn.STDEV.S(AI950:OFFSET(AI950,$B$6-1,0))</f>
        <v>#DIV/0!</v>
      </c>
      <c r="AL950" s="4" t="e">
        <f ca="1">SQRT($B$9)*_xlfn.STDEV.S(AI950:OFFSET(AI950,$B$7-1,0))</f>
        <v>#DIV/0!</v>
      </c>
      <c r="AM950" s="4" t="e">
        <f ca="1">SQRT($B$9)*_xlfn.STDEV.S(AI950:OFFSET(AI950,$B$8-1,0))</f>
        <v>#DIV/0!</v>
      </c>
    </row>
    <row r="951" spans="5:39" x14ac:dyDescent="0.2">
      <c r="E951" s="42">
        <v>44048</v>
      </c>
      <c r="F951" s="43"/>
      <c r="G951" s="43"/>
      <c r="H951" s="43"/>
      <c r="I951" s="43"/>
      <c r="K951" s="3" t="e">
        <f t="shared" si="79"/>
        <v>#DIV/0!</v>
      </c>
      <c r="L951" s="3" t="e">
        <f ca="1">SQRT(AVERAGE(K951:OFFSET(K951,$B$5-1,0))*$B$9/(4*LN(2)))</f>
        <v>#DIV/0!</v>
      </c>
      <c r="M951" s="3" t="e">
        <f ca="1">SQRT(AVERAGE(K951:OFFSET(K951,$B$6-1,0))*$B$9/(4*LN(2)))</f>
        <v>#DIV/0!</v>
      </c>
      <c r="N951" s="3" t="e">
        <f ca="1">SQRT(AVERAGE(K951:OFFSET(K951,$B$7-1,0))*$B$9/(4*LN(2)))</f>
        <v>#DIV/0!</v>
      </c>
      <c r="O951" s="3" t="e">
        <f ca="1">SQRT(AVERAGE(K951:OFFSET(K951,$B$8-1,0))*$B$9/(4*LN(2)))</f>
        <v>#DIV/0!</v>
      </c>
      <c r="Q951" s="5" t="e">
        <f t="shared" si="78"/>
        <v>#DIV/0!</v>
      </c>
      <c r="R951" s="5" t="e">
        <f ca="1">SQRT($B$9*AVERAGE((Q951:OFFSET(Q951,$B$5-1,0))))</f>
        <v>#DIV/0!</v>
      </c>
      <c r="S951" s="5" t="e">
        <f ca="1">SQRT($B$9*AVERAGE((Q951:OFFSET(Q951,$B$6-1,0))))</f>
        <v>#DIV/0!</v>
      </c>
      <c r="T951" s="5" t="e">
        <f ca="1">SQRT($B$9*AVERAGE((Q951:OFFSET(Q951,$B$7-1,0))))</f>
        <v>#DIV/0!</v>
      </c>
      <c r="U951" s="5" t="e">
        <f ca="1">SQRT($B$9*AVERAGE((Q951:OFFSET(Q951,$B$8-1,0))))</f>
        <v>#DIV/0!</v>
      </c>
      <c r="W951" s="6" t="e">
        <f t="shared" si="82"/>
        <v>#DIV/0!</v>
      </c>
      <c r="X951" s="6" t="e">
        <f ca="1">SQRT($B$9*AVERAGE(W951:OFFSET(W951,$B$5-1,0)))</f>
        <v>#DIV/0!</v>
      </c>
      <c r="Y951" s="6" t="e">
        <f ca="1">SQRT($B$9*AVERAGE(W951:OFFSET(W951,$B$6-1,0)))</f>
        <v>#DIV/0!</v>
      </c>
      <c r="Z951" s="6" t="e">
        <f ca="1">SQRT($B$9*AVERAGE(W951:OFFSET(W951,$B$7-1,0)))</f>
        <v>#DIV/0!</v>
      </c>
      <c r="AA951" s="6" t="e">
        <f ca="1">SQRT($B$9*AVERAGE(W951:OFFSET(W951,$B$8-1,0)))</f>
        <v>#DIV/0!</v>
      </c>
      <c r="AC951" s="34" t="e">
        <f t="shared" si="80"/>
        <v>#DIV/0!</v>
      </c>
      <c r="AD951" s="34" t="e">
        <f ca="1">SQRT($B$9*SUM(AC951:OFFSET(AC951,$B$5-1,0))/($B$5-1))</f>
        <v>#DIV/0!</v>
      </c>
      <c r="AE951" s="34" t="e">
        <f ca="1">SQRT($B$9*SUM(AC951:OFFSET(AC951,$B$6-1,0))/($B$6-1))</f>
        <v>#DIV/0!</v>
      </c>
      <c r="AF951" s="34" t="e">
        <f ca="1">SQRT($B$9*SUM(AC951:OFFSET(AC951,$B$7-1,0))/($B$7-1))</f>
        <v>#DIV/0!</v>
      </c>
      <c r="AG951" s="34" t="e">
        <f ca="1">SQRT($B$9*SUM(AC951:OFFSET(AC951,$B$8-1,0))/($B$8-1))</f>
        <v>#DIV/0!</v>
      </c>
      <c r="AI951" s="1" t="e">
        <f t="shared" si="81"/>
        <v>#DIV/0!</v>
      </c>
      <c r="AJ951" s="4" t="e">
        <f ca="1">SQRT($B$9)*_xlfn.STDEV.S(AI951:OFFSET(AI951,$B$5-1,0))</f>
        <v>#DIV/0!</v>
      </c>
      <c r="AK951" s="4" t="e">
        <f ca="1">SQRT($B$9)*_xlfn.STDEV.S(AI951:OFFSET(AI951,$B$6-1,0))</f>
        <v>#DIV/0!</v>
      </c>
      <c r="AL951" s="4" t="e">
        <f ca="1">SQRT($B$9)*_xlfn.STDEV.S(AI951:OFFSET(AI951,$B$7-1,0))</f>
        <v>#DIV/0!</v>
      </c>
      <c r="AM951" s="4" t="e">
        <f ca="1">SQRT($B$9)*_xlfn.STDEV.S(AI951:OFFSET(AI951,$B$8-1,0))</f>
        <v>#DIV/0!</v>
      </c>
    </row>
    <row r="952" spans="5:39" x14ac:dyDescent="0.2">
      <c r="E952" s="42">
        <v>44047</v>
      </c>
      <c r="F952" s="43"/>
      <c r="G952" s="43"/>
      <c r="H952" s="43"/>
      <c r="I952" s="43"/>
      <c r="K952" s="3" t="e">
        <f t="shared" si="79"/>
        <v>#DIV/0!</v>
      </c>
      <c r="L952" s="3" t="e">
        <f ca="1">SQRT(AVERAGE(K952:OFFSET(K952,$B$5-1,0))*$B$9/(4*LN(2)))</f>
        <v>#DIV/0!</v>
      </c>
      <c r="M952" s="3" t="e">
        <f ca="1">SQRT(AVERAGE(K952:OFFSET(K952,$B$6-1,0))*$B$9/(4*LN(2)))</f>
        <v>#DIV/0!</v>
      </c>
      <c r="N952" s="3" t="e">
        <f ca="1">SQRT(AVERAGE(K952:OFFSET(K952,$B$7-1,0))*$B$9/(4*LN(2)))</f>
        <v>#DIV/0!</v>
      </c>
      <c r="O952" s="3" t="e">
        <f ca="1">SQRT(AVERAGE(K952:OFFSET(K952,$B$8-1,0))*$B$9/(4*LN(2)))</f>
        <v>#DIV/0!</v>
      </c>
      <c r="Q952" s="5" t="e">
        <f t="shared" si="78"/>
        <v>#DIV/0!</v>
      </c>
      <c r="R952" s="5" t="e">
        <f ca="1">SQRT($B$9*AVERAGE((Q952:OFFSET(Q952,$B$5-1,0))))</f>
        <v>#DIV/0!</v>
      </c>
      <c r="S952" s="5" t="e">
        <f ca="1">SQRT($B$9*AVERAGE((Q952:OFFSET(Q952,$B$6-1,0))))</f>
        <v>#DIV/0!</v>
      </c>
      <c r="T952" s="5" t="e">
        <f ca="1">SQRT($B$9*AVERAGE((Q952:OFFSET(Q952,$B$7-1,0))))</f>
        <v>#DIV/0!</v>
      </c>
      <c r="U952" s="5" t="e">
        <f ca="1">SQRT($B$9*AVERAGE((Q952:OFFSET(Q952,$B$8-1,0))))</f>
        <v>#DIV/0!</v>
      </c>
      <c r="W952" s="6" t="e">
        <f t="shared" si="82"/>
        <v>#DIV/0!</v>
      </c>
      <c r="X952" s="6" t="e">
        <f ca="1">SQRT($B$9*AVERAGE(W952:OFFSET(W952,$B$5-1,0)))</f>
        <v>#DIV/0!</v>
      </c>
      <c r="Y952" s="6" t="e">
        <f ca="1">SQRT($B$9*AVERAGE(W952:OFFSET(W952,$B$6-1,0)))</f>
        <v>#DIV/0!</v>
      </c>
      <c r="Z952" s="6" t="e">
        <f ca="1">SQRT($B$9*AVERAGE(W952:OFFSET(W952,$B$7-1,0)))</f>
        <v>#DIV/0!</v>
      </c>
      <c r="AA952" s="6" t="e">
        <f ca="1">SQRT($B$9*AVERAGE(W952:OFFSET(W952,$B$8-1,0)))</f>
        <v>#DIV/0!</v>
      </c>
      <c r="AC952" s="34" t="e">
        <f t="shared" si="80"/>
        <v>#DIV/0!</v>
      </c>
      <c r="AD952" s="34" t="e">
        <f ca="1">SQRT($B$9*SUM(AC952:OFFSET(AC952,$B$5-1,0))/($B$5-1))</f>
        <v>#DIV/0!</v>
      </c>
      <c r="AE952" s="34" t="e">
        <f ca="1">SQRT($B$9*SUM(AC952:OFFSET(AC952,$B$6-1,0))/($B$6-1))</f>
        <v>#DIV/0!</v>
      </c>
      <c r="AF952" s="34" t="e">
        <f ca="1">SQRT($B$9*SUM(AC952:OFFSET(AC952,$B$7-1,0))/($B$7-1))</f>
        <v>#DIV/0!</v>
      </c>
      <c r="AG952" s="34" t="e">
        <f ca="1">SQRT($B$9*SUM(AC952:OFFSET(AC952,$B$8-1,0))/($B$8-1))</f>
        <v>#DIV/0!</v>
      </c>
      <c r="AI952" s="1" t="e">
        <f t="shared" si="81"/>
        <v>#DIV/0!</v>
      </c>
      <c r="AJ952" s="4" t="e">
        <f ca="1">SQRT($B$9)*_xlfn.STDEV.S(AI952:OFFSET(AI952,$B$5-1,0))</f>
        <v>#DIV/0!</v>
      </c>
      <c r="AK952" s="4" t="e">
        <f ca="1">SQRT($B$9)*_xlfn.STDEV.S(AI952:OFFSET(AI952,$B$6-1,0))</f>
        <v>#DIV/0!</v>
      </c>
      <c r="AL952" s="4" t="e">
        <f ca="1">SQRT($B$9)*_xlfn.STDEV.S(AI952:OFFSET(AI952,$B$7-1,0))</f>
        <v>#DIV/0!</v>
      </c>
      <c r="AM952" s="4" t="e">
        <f ca="1">SQRT($B$9)*_xlfn.STDEV.S(AI952:OFFSET(AI952,$B$8-1,0))</f>
        <v>#DIV/0!</v>
      </c>
    </row>
    <row r="953" spans="5:39" x14ac:dyDescent="0.2">
      <c r="E953" s="42">
        <v>44046</v>
      </c>
      <c r="F953" s="43"/>
      <c r="G953" s="43"/>
      <c r="H953" s="43"/>
      <c r="I953" s="43"/>
      <c r="K953" s="3" t="e">
        <f t="shared" si="79"/>
        <v>#DIV/0!</v>
      </c>
      <c r="L953" s="3" t="e">
        <f ca="1">SQRT(AVERAGE(K953:OFFSET(K953,$B$5-1,0))*$B$9/(4*LN(2)))</f>
        <v>#DIV/0!</v>
      </c>
      <c r="M953" s="3" t="e">
        <f ca="1">SQRT(AVERAGE(K953:OFFSET(K953,$B$6-1,0))*$B$9/(4*LN(2)))</f>
        <v>#DIV/0!</v>
      </c>
      <c r="N953" s="3" t="e">
        <f ca="1">SQRT(AVERAGE(K953:OFFSET(K953,$B$7-1,0))*$B$9/(4*LN(2)))</f>
        <v>#DIV/0!</v>
      </c>
      <c r="O953" s="3" t="e">
        <f ca="1">SQRT(AVERAGE(K953:OFFSET(K953,$B$8-1,0))*$B$9/(4*LN(2)))</f>
        <v>#DIV/0!</v>
      </c>
      <c r="Q953" s="5" t="e">
        <f t="shared" si="78"/>
        <v>#DIV/0!</v>
      </c>
      <c r="R953" s="5" t="e">
        <f ca="1">SQRT($B$9*AVERAGE((Q953:OFFSET(Q953,$B$5-1,0))))</f>
        <v>#DIV/0!</v>
      </c>
      <c r="S953" s="5" t="e">
        <f ca="1">SQRT($B$9*AVERAGE((Q953:OFFSET(Q953,$B$6-1,0))))</f>
        <v>#DIV/0!</v>
      </c>
      <c r="T953" s="5" t="e">
        <f ca="1">SQRT($B$9*AVERAGE((Q953:OFFSET(Q953,$B$7-1,0))))</f>
        <v>#DIV/0!</v>
      </c>
      <c r="U953" s="5" t="e">
        <f ca="1">SQRT($B$9*AVERAGE((Q953:OFFSET(Q953,$B$8-1,0))))</f>
        <v>#DIV/0!</v>
      </c>
      <c r="W953" s="6" t="e">
        <f t="shared" si="82"/>
        <v>#DIV/0!</v>
      </c>
      <c r="X953" s="6" t="e">
        <f ca="1">SQRT($B$9*AVERAGE(W953:OFFSET(W953,$B$5-1,0)))</f>
        <v>#DIV/0!</v>
      </c>
      <c r="Y953" s="6" t="e">
        <f ca="1">SQRT($B$9*AVERAGE(W953:OFFSET(W953,$B$6-1,0)))</f>
        <v>#DIV/0!</v>
      </c>
      <c r="Z953" s="6" t="e">
        <f ca="1">SQRT($B$9*AVERAGE(W953:OFFSET(W953,$B$7-1,0)))</f>
        <v>#DIV/0!</v>
      </c>
      <c r="AA953" s="6" t="e">
        <f ca="1">SQRT($B$9*AVERAGE(W953:OFFSET(W953,$B$8-1,0)))</f>
        <v>#DIV/0!</v>
      </c>
      <c r="AC953" s="34" t="e">
        <f t="shared" si="80"/>
        <v>#DIV/0!</v>
      </c>
      <c r="AD953" s="34" t="e">
        <f ca="1">SQRT($B$9*SUM(AC953:OFFSET(AC953,$B$5-1,0))/($B$5-1))</f>
        <v>#DIV/0!</v>
      </c>
      <c r="AE953" s="34" t="e">
        <f ca="1">SQRT($B$9*SUM(AC953:OFFSET(AC953,$B$6-1,0))/($B$6-1))</f>
        <v>#DIV/0!</v>
      </c>
      <c r="AF953" s="34" t="e">
        <f ca="1">SQRT($B$9*SUM(AC953:OFFSET(AC953,$B$7-1,0))/($B$7-1))</f>
        <v>#DIV/0!</v>
      </c>
      <c r="AG953" s="34" t="e">
        <f ca="1">SQRT($B$9*SUM(AC953:OFFSET(AC953,$B$8-1,0))/($B$8-1))</f>
        <v>#DIV/0!</v>
      </c>
      <c r="AI953" s="1" t="e">
        <f t="shared" si="81"/>
        <v>#DIV/0!</v>
      </c>
      <c r="AJ953" s="4" t="e">
        <f ca="1">SQRT($B$9)*_xlfn.STDEV.S(AI953:OFFSET(AI953,$B$5-1,0))</f>
        <v>#DIV/0!</v>
      </c>
      <c r="AK953" s="4" t="e">
        <f ca="1">SQRT($B$9)*_xlfn.STDEV.S(AI953:OFFSET(AI953,$B$6-1,0))</f>
        <v>#DIV/0!</v>
      </c>
      <c r="AL953" s="4" t="e">
        <f ca="1">SQRT($B$9)*_xlfn.STDEV.S(AI953:OFFSET(AI953,$B$7-1,0))</f>
        <v>#DIV/0!</v>
      </c>
      <c r="AM953" s="4" t="e">
        <f ca="1">SQRT($B$9)*_xlfn.STDEV.S(AI953:OFFSET(AI953,$B$8-1,0))</f>
        <v>#DIV/0!</v>
      </c>
    </row>
    <row r="954" spans="5:39" x14ac:dyDescent="0.2">
      <c r="E954" s="42">
        <v>44043</v>
      </c>
      <c r="F954" s="43"/>
      <c r="G954" s="43"/>
      <c r="H954" s="43"/>
      <c r="I954" s="43"/>
      <c r="K954" s="3" t="e">
        <f t="shared" si="79"/>
        <v>#DIV/0!</v>
      </c>
      <c r="L954" s="3" t="e">
        <f ca="1">SQRT(AVERAGE(K954:OFFSET(K954,$B$5-1,0))*$B$9/(4*LN(2)))</f>
        <v>#DIV/0!</v>
      </c>
      <c r="M954" s="3" t="e">
        <f ca="1">SQRT(AVERAGE(K954:OFFSET(K954,$B$6-1,0))*$B$9/(4*LN(2)))</f>
        <v>#DIV/0!</v>
      </c>
      <c r="N954" s="3" t="e">
        <f ca="1">SQRT(AVERAGE(K954:OFFSET(K954,$B$7-1,0))*$B$9/(4*LN(2)))</f>
        <v>#DIV/0!</v>
      </c>
      <c r="O954" s="3" t="e">
        <f ca="1">SQRT(AVERAGE(K954:OFFSET(K954,$B$8-1,0))*$B$9/(4*LN(2)))</f>
        <v>#DIV/0!</v>
      </c>
      <c r="Q954" s="5" t="e">
        <f t="shared" si="78"/>
        <v>#DIV/0!</v>
      </c>
      <c r="R954" s="5" t="e">
        <f ca="1">SQRT($B$9*AVERAGE((Q954:OFFSET(Q954,$B$5-1,0))))</f>
        <v>#DIV/0!</v>
      </c>
      <c r="S954" s="5" t="e">
        <f ca="1">SQRT($B$9*AVERAGE((Q954:OFFSET(Q954,$B$6-1,0))))</f>
        <v>#DIV/0!</v>
      </c>
      <c r="T954" s="5" t="e">
        <f ca="1">SQRT($B$9*AVERAGE((Q954:OFFSET(Q954,$B$7-1,0))))</f>
        <v>#DIV/0!</v>
      </c>
      <c r="U954" s="5" t="e">
        <f ca="1">SQRT($B$9*AVERAGE((Q954:OFFSET(Q954,$B$8-1,0))))</f>
        <v>#DIV/0!</v>
      </c>
      <c r="W954" s="6" t="e">
        <f t="shared" si="82"/>
        <v>#DIV/0!</v>
      </c>
      <c r="X954" s="6" t="e">
        <f ca="1">SQRT($B$9*AVERAGE(W954:OFFSET(W954,$B$5-1,0)))</f>
        <v>#DIV/0!</v>
      </c>
      <c r="Y954" s="6" t="e">
        <f ca="1">SQRT($B$9*AVERAGE(W954:OFFSET(W954,$B$6-1,0)))</f>
        <v>#DIV/0!</v>
      </c>
      <c r="Z954" s="6" t="e">
        <f ca="1">SQRT($B$9*AVERAGE(W954:OFFSET(W954,$B$7-1,0)))</f>
        <v>#DIV/0!</v>
      </c>
      <c r="AA954" s="6" t="e">
        <f ca="1">SQRT($B$9*AVERAGE(W954:OFFSET(W954,$B$8-1,0)))</f>
        <v>#DIV/0!</v>
      </c>
      <c r="AC954" s="34" t="e">
        <f t="shared" si="80"/>
        <v>#DIV/0!</v>
      </c>
      <c r="AD954" s="34" t="e">
        <f ca="1">SQRT($B$9*SUM(AC954:OFFSET(AC954,$B$5-1,0))/($B$5-1))</f>
        <v>#DIV/0!</v>
      </c>
      <c r="AE954" s="34" t="e">
        <f ca="1">SQRT($B$9*SUM(AC954:OFFSET(AC954,$B$6-1,0))/($B$6-1))</f>
        <v>#DIV/0!</v>
      </c>
      <c r="AF954" s="34" t="e">
        <f ca="1">SQRT($B$9*SUM(AC954:OFFSET(AC954,$B$7-1,0))/($B$7-1))</f>
        <v>#DIV/0!</v>
      </c>
      <c r="AG954" s="34" t="e">
        <f ca="1">SQRT($B$9*SUM(AC954:OFFSET(AC954,$B$8-1,0))/($B$8-1))</f>
        <v>#DIV/0!</v>
      </c>
      <c r="AI954" s="1" t="e">
        <f t="shared" si="81"/>
        <v>#DIV/0!</v>
      </c>
      <c r="AJ954" s="4" t="e">
        <f ca="1">SQRT($B$9)*_xlfn.STDEV.S(AI954:OFFSET(AI954,$B$5-1,0))</f>
        <v>#DIV/0!</v>
      </c>
      <c r="AK954" s="4" t="e">
        <f ca="1">SQRT($B$9)*_xlfn.STDEV.S(AI954:OFFSET(AI954,$B$6-1,0))</f>
        <v>#DIV/0!</v>
      </c>
      <c r="AL954" s="4" t="e">
        <f ca="1">SQRT($B$9)*_xlfn.STDEV.S(AI954:OFFSET(AI954,$B$7-1,0))</f>
        <v>#DIV/0!</v>
      </c>
      <c r="AM954" s="4" t="e">
        <f ca="1">SQRT($B$9)*_xlfn.STDEV.S(AI954:OFFSET(AI954,$B$8-1,0))</f>
        <v>#DIV/0!</v>
      </c>
    </row>
    <row r="955" spans="5:39" x14ac:dyDescent="0.2">
      <c r="E955" s="42">
        <v>44042</v>
      </c>
      <c r="F955" s="43"/>
      <c r="G955" s="43"/>
      <c r="H955" s="43"/>
      <c r="I955" s="43"/>
      <c r="K955" s="3" t="e">
        <f t="shared" si="79"/>
        <v>#DIV/0!</v>
      </c>
      <c r="L955" s="3" t="e">
        <f ca="1">SQRT(AVERAGE(K955:OFFSET(K955,$B$5-1,0))*$B$9/(4*LN(2)))</f>
        <v>#DIV/0!</v>
      </c>
      <c r="M955" s="3" t="e">
        <f ca="1">SQRT(AVERAGE(K955:OFFSET(K955,$B$6-1,0))*$B$9/(4*LN(2)))</f>
        <v>#DIV/0!</v>
      </c>
      <c r="N955" s="3" t="e">
        <f ca="1">SQRT(AVERAGE(K955:OFFSET(K955,$B$7-1,0))*$B$9/(4*LN(2)))</f>
        <v>#DIV/0!</v>
      </c>
      <c r="O955" s="3" t="e">
        <f ca="1">SQRT(AVERAGE(K955:OFFSET(K955,$B$8-1,0))*$B$9/(4*LN(2)))</f>
        <v>#DIV/0!</v>
      </c>
      <c r="Q955" s="5" t="e">
        <f t="shared" si="78"/>
        <v>#DIV/0!</v>
      </c>
      <c r="R955" s="5" t="e">
        <f ca="1">SQRT($B$9*AVERAGE((Q955:OFFSET(Q955,$B$5-1,0))))</f>
        <v>#DIV/0!</v>
      </c>
      <c r="S955" s="5" t="e">
        <f ca="1">SQRT($B$9*AVERAGE((Q955:OFFSET(Q955,$B$6-1,0))))</f>
        <v>#DIV/0!</v>
      </c>
      <c r="T955" s="5" t="e">
        <f ca="1">SQRT($B$9*AVERAGE((Q955:OFFSET(Q955,$B$7-1,0))))</f>
        <v>#DIV/0!</v>
      </c>
      <c r="U955" s="5" t="e">
        <f ca="1">SQRT($B$9*AVERAGE((Q955:OFFSET(Q955,$B$8-1,0))))</f>
        <v>#DIV/0!</v>
      </c>
      <c r="W955" s="6" t="e">
        <f t="shared" si="82"/>
        <v>#DIV/0!</v>
      </c>
      <c r="X955" s="6" t="e">
        <f ca="1">SQRT($B$9*AVERAGE(W955:OFFSET(W955,$B$5-1,0)))</f>
        <v>#DIV/0!</v>
      </c>
      <c r="Y955" s="6" t="e">
        <f ca="1">SQRT($B$9*AVERAGE(W955:OFFSET(W955,$B$6-1,0)))</f>
        <v>#DIV/0!</v>
      </c>
      <c r="Z955" s="6" t="e">
        <f ca="1">SQRT($B$9*AVERAGE(W955:OFFSET(W955,$B$7-1,0)))</f>
        <v>#DIV/0!</v>
      </c>
      <c r="AA955" s="6" t="e">
        <f ca="1">SQRT($B$9*AVERAGE(W955:OFFSET(W955,$B$8-1,0)))</f>
        <v>#DIV/0!</v>
      </c>
      <c r="AC955" s="34" t="e">
        <f t="shared" si="80"/>
        <v>#DIV/0!</v>
      </c>
      <c r="AD955" s="34" t="e">
        <f ca="1">SQRT($B$9*SUM(AC955:OFFSET(AC955,$B$5-1,0))/($B$5-1))</f>
        <v>#DIV/0!</v>
      </c>
      <c r="AE955" s="34" t="e">
        <f ca="1">SQRT($B$9*SUM(AC955:OFFSET(AC955,$B$6-1,0))/($B$6-1))</f>
        <v>#DIV/0!</v>
      </c>
      <c r="AF955" s="34" t="e">
        <f ca="1">SQRT($B$9*SUM(AC955:OFFSET(AC955,$B$7-1,0))/($B$7-1))</f>
        <v>#DIV/0!</v>
      </c>
      <c r="AG955" s="34" t="e">
        <f ca="1">SQRT($B$9*SUM(AC955:OFFSET(AC955,$B$8-1,0))/($B$8-1))</f>
        <v>#DIV/0!</v>
      </c>
      <c r="AI955" s="1" t="e">
        <f t="shared" si="81"/>
        <v>#DIV/0!</v>
      </c>
      <c r="AJ955" s="4" t="e">
        <f ca="1">SQRT($B$9)*_xlfn.STDEV.S(AI955:OFFSET(AI955,$B$5-1,0))</f>
        <v>#DIV/0!</v>
      </c>
      <c r="AK955" s="4" t="e">
        <f ca="1">SQRT($B$9)*_xlfn.STDEV.S(AI955:OFFSET(AI955,$B$6-1,0))</f>
        <v>#DIV/0!</v>
      </c>
      <c r="AL955" s="4" t="e">
        <f ca="1">SQRT($B$9)*_xlfn.STDEV.S(AI955:OFFSET(AI955,$B$7-1,0))</f>
        <v>#DIV/0!</v>
      </c>
      <c r="AM955" s="4" t="e">
        <f ca="1">SQRT($B$9)*_xlfn.STDEV.S(AI955:OFFSET(AI955,$B$8-1,0))</f>
        <v>#DIV/0!</v>
      </c>
    </row>
    <row r="956" spans="5:39" x14ac:dyDescent="0.2">
      <c r="E956" s="42">
        <v>44041</v>
      </c>
      <c r="F956" s="43"/>
      <c r="G956" s="43"/>
      <c r="H956" s="43"/>
      <c r="I956" s="43"/>
      <c r="K956" s="3" t="e">
        <f t="shared" si="79"/>
        <v>#DIV/0!</v>
      </c>
      <c r="L956" s="3" t="e">
        <f ca="1">SQRT(AVERAGE(K956:OFFSET(K956,$B$5-1,0))*$B$9/(4*LN(2)))</f>
        <v>#DIV/0!</v>
      </c>
      <c r="M956" s="3" t="e">
        <f ca="1">SQRT(AVERAGE(K956:OFFSET(K956,$B$6-1,0))*$B$9/(4*LN(2)))</f>
        <v>#DIV/0!</v>
      </c>
      <c r="N956" s="3" t="e">
        <f ca="1">SQRT(AVERAGE(K956:OFFSET(K956,$B$7-1,0))*$B$9/(4*LN(2)))</f>
        <v>#DIV/0!</v>
      </c>
      <c r="O956" s="3" t="e">
        <f ca="1">SQRT(AVERAGE(K956:OFFSET(K956,$B$8-1,0))*$B$9/(4*LN(2)))</f>
        <v>#DIV/0!</v>
      </c>
      <c r="Q956" s="5" t="e">
        <f t="shared" si="78"/>
        <v>#DIV/0!</v>
      </c>
      <c r="R956" s="5" t="e">
        <f ca="1">SQRT($B$9*AVERAGE((Q956:OFFSET(Q956,$B$5-1,0))))</f>
        <v>#DIV/0!</v>
      </c>
      <c r="S956" s="5" t="e">
        <f ca="1">SQRT($B$9*AVERAGE((Q956:OFFSET(Q956,$B$6-1,0))))</f>
        <v>#DIV/0!</v>
      </c>
      <c r="T956" s="5" t="e">
        <f ca="1">SQRT($B$9*AVERAGE((Q956:OFFSET(Q956,$B$7-1,0))))</f>
        <v>#DIV/0!</v>
      </c>
      <c r="U956" s="5" t="e">
        <f ca="1">SQRT($B$9*AVERAGE((Q956:OFFSET(Q956,$B$8-1,0))))</f>
        <v>#DIV/0!</v>
      </c>
      <c r="W956" s="6" t="e">
        <f t="shared" si="82"/>
        <v>#DIV/0!</v>
      </c>
      <c r="X956" s="6" t="e">
        <f ca="1">SQRT($B$9*AVERAGE(W956:OFFSET(W956,$B$5-1,0)))</f>
        <v>#DIV/0!</v>
      </c>
      <c r="Y956" s="6" t="e">
        <f ca="1">SQRT($B$9*AVERAGE(W956:OFFSET(W956,$B$6-1,0)))</f>
        <v>#DIV/0!</v>
      </c>
      <c r="Z956" s="6" t="e">
        <f ca="1">SQRT($B$9*AVERAGE(W956:OFFSET(W956,$B$7-1,0)))</f>
        <v>#DIV/0!</v>
      </c>
      <c r="AA956" s="6" t="e">
        <f ca="1">SQRT($B$9*AVERAGE(W956:OFFSET(W956,$B$8-1,0)))</f>
        <v>#DIV/0!</v>
      </c>
      <c r="AC956" s="34" t="e">
        <f t="shared" si="80"/>
        <v>#DIV/0!</v>
      </c>
      <c r="AD956" s="34" t="e">
        <f ca="1">SQRT($B$9*SUM(AC956:OFFSET(AC956,$B$5-1,0))/($B$5-1))</f>
        <v>#DIV/0!</v>
      </c>
      <c r="AE956" s="34" t="e">
        <f ca="1">SQRT($B$9*SUM(AC956:OFFSET(AC956,$B$6-1,0))/($B$6-1))</f>
        <v>#DIV/0!</v>
      </c>
      <c r="AF956" s="34" t="e">
        <f ca="1">SQRT($B$9*SUM(AC956:OFFSET(AC956,$B$7-1,0))/($B$7-1))</f>
        <v>#DIV/0!</v>
      </c>
      <c r="AG956" s="34" t="e">
        <f ca="1">SQRT($B$9*SUM(AC956:OFFSET(AC956,$B$8-1,0))/($B$8-1))</f>
        <v>#DIV/0!</v>
      </c>
      <c r="AI956" s="1" t="e">
        <f t="shared" si="81"/>
        <v>#DIV/0!</v>
      </c>
      <c r="AJ956" s="4" t="e">
        <f ca="1">SQRT($B$9)*_xlfn.STDEV.S(AI956:OFFSET(AI956,$B$5-1,0))</f>
        <v>#DIV/0!</v>
      </c>
      <c r="AK956" s="4" t="e">
        <f ca="1">SQRT($B$9)*_xlfn.STDEV.S(AI956:OFFSET(AI956,$B$6-1,0))</f>
        <v>#DIV/0!</v>
      </c>
      <c r="AL956" s="4" t="e">
        <f ca="1">SQRT($B$9)*_xlfn.STDEV.S(AI956:OFFSET(AI956,$B$7-1,0))</f>
        <v>#DIV/0!</v>
      </c>
      <c r="AM956" s="4" t="e">
        <f ca="1">SQRT($B$9)*_xlfn.STDEV.S(AI956:OFFSET(AI956,$B$8-1,0))</f>
        <v>#DIV/0!</v>
      </c>
    </row>
    <row r="957" spans="5:39" x14ac:dyDescent="0.2">
      <c r="E957" s="42">
        <v>44040</v>
      </c>
      <c r="F957" s="43"/>
      <c r="G957" s="43"/>
      <c r="H957" s="43"/>
      <c r="I957" s="43"/>
      <c r="K957" s="3" t="e">
        <f t="shared" si="79"/>
        <v>#DIV/0!</v>
      </c>
      <c r="L957" s="3" t="e">
        <f ca="1">SQRT(AVERAGE(K957:OFFSET(K957,$B$5-1,0))*$B$9/(4*LN(2)))</f>
        <v>#DIV/0!</v>
      </c>
      <c r="M957" s="3" t="e">
        <f ca="1">SQRT(AVERAGE(K957:OFFSET(K957,$B$6-1,0))*$B$9/(4*LN(2)))</f>
        <v>#DIV/0!</v>
      </c>
      <c r="N957" s="3" t="e">
        <f ca="1">SQRT(AVERAGE(K957:OFFSET(K957,$B$7-1,0))*$B$9/(4*LN(2)))</f>
        <v>#DIV/0!</v>
      </c>
      <c r="O957" s="3" t="e">
        <f ca="1">SQRT(AVERAGE(K957:OFFSET(K957,$B$8-1,0))*$B$9/(4*LN(2)))</f>
        <v>#DIV/0!</v>
      </c>
      <c r="Q957" s="5" t="e">
        <f t="shared" si="78"/>
        <v>#DIV/0!</v>
      </c>
      <c r="R957" s="5" t="e">
        <f ca="1">SQRT($B$9*AVERAGE((Q957:OFFSET(Q957,$B$5-1,0))))</f>
        <v>#DIV/0!</v>
      </c>
      <c r="S957" s="5" t="e">
        <f ca="1">SQRT($B$9*AVERAGE((Q957:OFFSET(Q957,$B$6-1,0))))</f>
        <v>#DIV/0!</v>
      </c>
      <c r="T957" s="5" t="e">
        <f ca="1">SQRT($B$9*AVERAGE((Q957:OFFSET(Q957,$B$7-1,0))))</f>
        <v>#DIV/0!</v>
      </c>
      <c r="U957" s="5" t="e">
        <f ca="1">SQRT($B$9*AVERAGE((Q957:OFFSET(Q957,$B$8-1,0))))</f>
        <v>#DIV/0!</v>
      </c>
      <c r="W957" s="6" t="e">
        <f t="shared" si="82"/>
        <v>#DIV/0!</v>
      </c>
      <c r="X957" s="6" t="e">
        <f ca="1">SQRT($B$9*AVERAGE(W957:OFFSET(W957,$B$5-1,0)))</f>
        <v>#DIV/0!</v>
      </c>
      <c r="Y957" s="6" t="e">
        <f ca="1">SQRT($B$9*AVERAGE(W957:OFFSET(W957,$B$6-1,0)))</f>
        <v>#DIV/0!</v>
      </c>
      <c r="Z957" s="6" t="e">
        <f ca="1">SQRT($B$9*AVERAGE(W957:OFFSET(W957,$B$7-1,0)))</f>
        <v>#DIV/0!</v>
      </c>
      <c r="AA957" s="6" t="e">
        <f ca="1">SQRT($B$9*AVERAGE(W957:OFFSET(W957,$B$8-1,0)))</f>
        <v>#DIV/0!</v>
      </c>
      <c r="AC957" s="34" t="e">
        <f t="shared" si="80"/>
        <v>#DIV/0!</v>
      </c>
      <c r="AD957" s="34" t="e">
        <f ca="1">SQRT($B$9*SUM(AC957:OFFSET(AC957,$B$5-1,0))/($B$5-1))</f>
        <v>#DIV/0!</v>
      </c>
      <c r="AE957" s="34" t="e">
        <f ca="1">SQRT($B$9*SUM(AC957:OFFSET(AC957,$B$6-1,0))/($B$6-1))</f>
        <v>#DIV/0!</v>
      </c>
      <c r="AF957" s="34" t="e">
        <f ca="1">SQRT($B$9*SUM(AC957:OFFSET(AC957,$B$7-1,0))/($B$7-1))</f>
        <v>#DIV/0!</v>
      </c>
      <c r="AG957" s="34" t="e">
        <f ca="1">SQRT($B$9*SUM(AC957:OFFSET(AC957,$B$8-1,0))/($B$8-1))</f>
        <v>#DIV/0!</v>
      </c>
      <c r="AI957" s="1" t="e">
        <f t="shared" si="81"/>
        <v>#DIV/0!</v>
      </c>
      <c r="AJ957" s="4" t="e">
        <f ca="1">SQRT($B$9)*_xlfn.STDEV.S(AI957:OFFSET(AI957,$B$5-1,0))</f>
        <v>#DIV/0!</v>
      </c>
      <c r="AK957" s="4" t="e">
        <f ca="1">SQRT($B$9)*_xlfn.STDEV.S(AI957:OFFSET(AI957,$B$6-1,0))</f>
        <v>#DIV/0!</v>
      </c>
      <c r="AL957" s="4" t="e">
        <f ca="1">SQRT($B$9)*_xlfn.STDEV.S(AI957:OFFSET(AI957,$B$7-1,0))</f>
        <v>#DIV/0!</v>
      </c>
      <c r="AM957" s="4" t="e">
        <f ca="1">SQRT($B$9)*_xlfn.STDEV.S(AI957:OFFSET(AI957,$B$8-1,0))</f>
        <v>#DIV/0!</v>
      </c>
    </row>
    <row r="958" spans="5:39" x14ac:dyDescent="0.2">
      <c r="E958" s="42">
        <v>44039</v>
      </c>
      <c r="F958" s="43"/>
      <c r="G958" s="43"/>
      <c r="H958" s="43"/>
      <c r="I958" s="43"/>
      <c r="K958" s="3" t="e">
        <f t="shared" si="79"/>
        <v>#DIV/0!</v>
      </c>
      <c r="L958" s="3" t="e">
        <f ca="1">SQRT(AVERAGE(K958:OFFSET(K958,$B$5-1,0))*$B$9/(4*LN(2)))</f>
        <v>#DIV/0!</v>
      </c>
      <c r="M958" s="3" t="e">
        <f ca="1">SQRT(AVERAGE(K958:OFFSET(K958,$B$6-1,0))*$B$9/(4*LN(2)))</f>
        <v>#DIV/0!</v>
      </c>
      <c r="N958" s="3" t="e">
        <f ca="1">SQRT(AVERAGE(K958:OFFSET(K958,$B$7-1,0))*$B$9/(4*LN(2)))</f>
        <v>#DIV/0!</v>
      </c>
      <c r="O958" s="3" t="e">
        <f ca="1">SQRT(AVERAGE(K958:OFFSET(K958,$B$8-1,0))*$B$9/(4*LN(2)))</f>
        <v>#DIV/0!</v>
      </c>
      <c r="Q958" s="5" t="e">
        <f t="shared" si="78"/>
        <v>#DIV/0!</v>
      </c>
      <c r="R958" s="5" t="e">
        <f ca="1">SQRT($B$9*AVERAGE((Q958:OFFSET(Q958,$B$5-1,0))))</f>
        <v>#DIV/0!</v>
      </c>
      <c r="S958" s="5" t="e">
        <f ca="1">SQRT($B$9*AVERAGE((Q958:OFFSET(Q958,$B$6-1,0))))</f>
        <v>#DIV/0!</v>
      </c>
      <c r="T958" s="5" t="e">
        <f ca="1">SQRT($B$9*AVERAGE((Q958:OFFSET(Q958,$B$7-1,0))))</f>
        <v>#DIV/0!</v>
      </c>
      <c r="U958" s="5" t="e">
        <f ca="1">SQRT($B$9*AVERAGE((Q958:OFFSET(Q958,$B$8-1,0))))</f>
        <v>#DIV/0!</v>
      </c>
      <c r="W958" s="6" t="e">
        <f t="shared" si="82"/>
        <v>#DIV/0!</v>
      </c>
      <c r="X958" s="6" t="e">
        <f ca="1">SQRT($B$9*AVERAGE(W958:OFFSET(W958,$B$5-1,0)))</f>
        <v>#DIV/0!</v>
      </c>
      <c r="Y958" s="6" t="e">
        <f ca="1">SQRT($B$9*AVERAGE(W958:OFFSET(W958,$B$6-1,0)))</f>
        <v>#DIV/0!</v>
      </c>
      <c r="Z958" s="6" t="e">
        <f ca="1">SQRT($B$9*AVERAGE(W958:OFFSET(W958,$B$7-1,0)))</f>
        <v>#DIV/0!</v>
      </c>
      <c r="AA958" s="6" t="e">
        <f ca="1">SQRT($B$9*AVERAGE(W958:OFFSET(W958,$B$8-1,0)))</f>
        <v>#DIV/0!</v>
      </c>
      <c r="AC958" s="34" t="e">
        <f t="shared" si="80"/>
        <v>#DIV/0!</v>
      </c>
      <c r="AD958" s="34" t="e">
        <f ca="1">SQRT($B$9*SUM(AC958:OFFSET(AC958,$B$5-1,0))/($B$5-1))</f>
        <v>#DIV/0!</v>
      </c>
      <c r="AE958" s="34" t="e">
        <f ca="1">SQRT($B$9*SUM(AC958:OFFSET(AC958,$B$6-1,0))/($B$6-1))</f>
        <v>#DIV/0!</v>
      </c>
      <c r="AF958" s="34" t="e">
        <f ca="1">SQRT($B$9*SUM(AC958:OFFSET(AC958,$B$7-1,0))/($B$7-1))</f>
        <v>#DIV/0!</v>
      </c>
      <c r="AG958" s="34" t="e">
        <f ca="1">SQRT($B$9*SUM(AC958:OFFSET(AC958,$B$8-1,0))/($B$8-1))</f>
        <v>#DIV/0!</v>
      </c>
      <c r="AI958" s="1" t="e">
        <f t="shared" si="81"/>
        <v>#DIV/0!</v>
      </c>
      <c r="AJ958" s="4" t="e">
        <f ca="1">SQRT($B$9)*_xlfn.STDEV.S(AI958:OFFSET(AI958,$B$5-1,0))</f>
        <v>#DIV/0!</v>
      </c>
      <c r="AK958" s="4" t="e">
        <f ca="1">SQRT($B$9)*_xlfn.STDEV.S(AI958:OFFSET(AI958,$B$6-1,0))</f>
        <v>#DIV/0!</v>
      </c>
      <c r="AL958" s="4" t="e">
        <f ca="1">SQRT($B$9)*_xlfn.STDEV.S(AI958:OFFSET(AI958,$B$7-1,0))</f>
        <v>#DIV/0!</v>
      </c>
      <c r="AM958" s="4" t="e">
        <f ca="1">SQRT($B$9)*_xlfn.STDEV.S(AI958:OFFSET(AI958,$B$8-1,0))</f>
        <v>#DIV/0!</v>
      </c>
    </row>
    <row r="959" spans="5:39" x14ac:dyDescent="0.2">
      <c r="E959" s="42">
        <v>44036</v>
      </c>
      <c r="F959" s="43"/>
      <c r="G959" s="43"/>
      <c r="H959" s="43"/>
      <c r="I959" s="43"/>
      <c r="K959" s="3" t="e">
        <f t="shared" si="79"/>
        <v>#DIV/0!</v>
      </c>
      <c r="L959" s="3" t="e">
        <f ca="1">SQRT(AVERAGE(K959:OFFSET(K959,$B$5-1,0))*$B$9/(4*LN(2)))</f>
        <v>#DIV/0!</v>
      </c>
      <c r="M959" s="3" t="e">
        <f ca="1">SQRT(AVERAGE(K959:OFFSET(K959,$B$6-1,0))*$B$9/(4*LN(2)))</f>
        <v>#DIV/0!</v>
      </c>
      <c r="N959" s="3" t="e">
        <f ca="1">SQRT(AVERAGE(K959:OFFSET(K959,$B$7-1,0))*$B$9/(4*LN(2)))</f>
        <v>#DIV/0!</v>
      </c>
      <c r="O959" s="3" t="e">
        <f ca="1">SQRT(AVERAGE(K959:OFFSET(K959,$B$8-1,0))*$B$9/(4*LN(2)))</f>
        <v>#DIV/0!</v>
      </c>
      <c r="Q959" s="5" t="e">
        <f t="shared" si="78"/>
        <v>#DIV/0!</v>
      </c>
      <c r="R959" s="5" t="e">
        <f ca="1">SQRT($B$9*AVERAGE((Q959:OFFSET(Q959,$B$5-1,0))))</f>
        <v>#DIV/0!</v>
      </c>
      <c r="S959" s="5" t="e">
        <f ca="1">SQRT($B$9*AVERAGE((Q959:OFFSET(Q959,$B$6-1,0))))</f>
        <v>#DIV/0!</v>
      </c>
      <c r="T959" s="5" t="e">
        <f ca="1">SQRT($B$9*AVERAGE((Q959:OFFSET(Q959,$B$7-1,0))))</f>
        <v>#DIV/0!</v>
      </c>
      <c r="U959" s="5" t="e">
        <f ca="1">SQRT($B$9*AVERAGE((Q959:OFFSET(Q959,$B$8-1,0))))</f>
        <v>#DIV/0!</v>
      </c>
      <c r="W959" s="6" t="e">
        <f t="shared" si="82"/>
        <v>#DIV/0!</v>
      </c>
      <c r="X959" s="6" t="e">
        <f ca="1">SQRT($B$9*AVERAGE(W959:OFFSET(W959,$B$5-1,0)))</f>
        <v>#DIV/0!</v>
      </c>
      <c r="Y959" s="6" t="e">
        <f ca="1">SQRT($B$9*AVERAGE(W959:OFFSET(W959,$B$6-1,0)))</f>
        <v>#DIV/0!</v>
      </c>
      <c r="Z959" s="6" t="e">
        <f ca="1">SQRT($B$9*AVERAGE(W959:OFFSET(W959,$B$7-1,0)))</f>
        <v>#DIV/0!</v>
      </c>
      <c r="AA959" s="6" t="e">
        <f ca="1">SQRT($B$9*AVERAGE(W959:OFFSET(W959,$B$8-1,0)))</f>
        <v>#DIV/0!</v>
      </c>
      <c r="AC959" s="34" t="e">
        <f t="shared" si="80"/>
        <v>#DIV/0!</v>
      </c>
      <c r="AD959" s="34" t="e">
        <f ca="1">SQRT($B$9*SUM(AC959:OFFSET(AC959,$B$5-1,0))/($B$5-1))</f>
        <v>#DIV/0!</v>
      </c>
      <c r="AE959" s="34" t="e">
        <f ca="1">SQRT($B$9*SUM(AC959:OFFSET(AC959,$B$6-1,0))/($B$6-1))</f>
        <v>#DIV/0!</v>
      </c>
      <c r="AF959" s="34" t="e">
        <f ca="1">SQRT($B$9*SUM(AC959:OFFSET(AC959,$B$7-1,0))/($B$7-1))</f>
        <v>#DIV/0!</v>
      </c>
      <c r="AG959" s="34" t="e">
        <f ca="1">SQRT($B$9*SUM(AC959:OFFSET(AC959,$B$8-1,0))/($B$8-1))</f>
        <v>#DIV/0!</v>
      </c>
      <c r="AI959" s="1" t="e">
        <f t="shared" si="81"/>
        <v>#DIV/0!</v>
      </c>
      <c r="AJ959" s="4" t="e">
        <f ca="1">SQRT($B$9)*_xlfn.STDEV.S(AI959:OFFSET(AI959,$B$5-1,0))</f>
        <v>#DIV/0!</v>
      </c>
      <c r="AK959" s="4" t="e">
        <f ca="1">SQRT($B$9)*_xlfn.STDEV.S(AI959:OFFSET(AI959,$B$6-1,0))</f>
        <v>#DIV/0!</v>
      </c>
      <c r="AL959" s="4" t="e">
        <f ca="1">SQRT($B$9)*_xlfn.STDEV.S(AI959:OFFSET(AI959,$B$7-1,0))</f>
        <v>#DIV/0!</v>
      </c>
      <c r="AM959" s="4" t="e">
        <f ca="1">SQRT($B$9)*_xlfn.STDEV.S(AI959:OFFSET(AI959,$B$8-1,0))</f>
        <v>#DIV/0!</v>
      </c>
    </row>
    <row r="960" spans="5:39" x14ac:dyDescent="0.2">
      <c r="E960" s="42">
        <v>44035</v>
      </c>
      <c r="F960" s="43"/>
      <c r="G960" s="43"/>
      <c r="H960" s="43"/>
      <c r="I960" s="43"/>
      <c r="K960" s="3" t="e">
        <f t="shared" si="79"/>
        <v>#DIV/0!</v>
      </c>
      <c r="L960" s="3" t="e">
        <f ca="1">SQRT(AVERAGE(K960:OFFSET(K960,$B$5-1,0))*$B$9/(4*LN(2)))</f>
        <v>#DIV/0!</v>
      </c>
      <c r="M960" s="3" t="e">
        <f ca="1">SQRT(AVERAGE(K960:OFFSET(K960,$B$6-1,0))*$B$9/(4*LN(2)))</f>
        <v>#DIV/0!</v>
      </c>
      <c r="N960" s="3" t="e">
        <f ca="1">SQRT(AVERAGE(K960:OFFSET(K960,$B$7-1,0))*$B$9/(4*LN(2)))</f>
        <v>#DIV/0!</v>
      </c>
      <c r="O960" s="3" t="e">
        <f ca="1">SQRT(AVERAGE(K960:OFFSET(K960,$B$8-1,0))*$B$9/(4*LN(2)))</f>
        <v>#DIV/0!</v>
      </c>
      <c r="Q960" s="5" t="e">
        <f t="shared" si="78"/>
        <v>#DIV/0!</v>
      </c>
      <c r="R960" s="5" t="e">
        <f ca="1">SQRT($B$9*AVERAGE((Q960:OFFSET(Q960,$B$5-1,0))))</f>
        <v>#DIV/0!</v>
      </c>
      <c r="S960" s="5" t="e">
        <f ca="1">SQRT($B$9*AVERAGE((Q960:OFFSET(Q960,$B$6-1,0))))</f>
        <v>#DIV/0!</v>
      </c>
      <c r="T960" s="5" t="e">
        <f ca="1">SQRT($B$9*AVERAGE((Q960:OFFSET(Q960,$B$7-1,0))))</f>
        <v>#DIV/0!</v>
      </c>
      <c r="U960" s="5" t="e">
        <f ca="1">SQRT($B$9*AVERAGE((Q960:OFFSET(Q960,$B$8-1,0))))</f>
        <v>#DIV/0!</v>
      </c>
      <c r="W960" s="6" t="e">
        <f t="shared" si="82"/>
        <v>#DIV/0!</v>
      </c>
      <c r="X960" s="6" t="e">
        <f ca="1">SQRT($B$9*AVERAGE(W960:OFFSET(W960,$B$5-1,0)))</f>
        <v>#DIV/0!</v>
      </c>
      <c r="Y960" s="6" t="e">
        <f ca="1">SQRT($B$9*AVERAGE(W960:OFFSET(W960,$B$6-1,0)))</f>
        <v>#DIV/0!</v>
      </c>
      <c r="Z960" s="6" t="e">
        <f ca="1">SQRT($B$9*AVERAGE(W960:OFFSET(W960,$B$7-1,0)))</f>
        <v>#DIV/0!</v>
      </c>
      <c r="AA960" s="6" t="e">
        <f ca="1">SQRT($B$9*AVERAGE(W960:OFFSET(W960,$B$8-1,0)))</f>
        <v>#DIV/0!</v>
      </c>
      <c r="AC960" s="34" t="e">
        <f t="shared" si="80"/>
        <v>#DIV/0!</v>
      </c>
      <c r="AD960" s="34" t="e">
        <f ca="1">SQRT($B$9*SUM(AC960:OFFSET(AC960,$B$5-1,0))/($B$5-1))</f>
        <v>#DIV/0!</v>
      </c>
      <c r="AE960" s="34" t="e">
        <f ca="1">SQRT($B$9*SUM(AC960:OFFSET(AC960,$B$6-1,0))/($B$6-1))</f>
        <v>#DIV/0!</v>
      </c>
      <c r="AF960" s="34" t="e">
        <f ca="1">SQRT($B$9*SUM(AC960:OFFSET(AC960,$B$7-1,0))/($B$7-1))</f>
        <v>#DIV/0!</v>
      </c>
      <c r="AG960" s="34" t="e">
        <f ca="1">SQRT($B$9*SUM(AC960:OFFSET(AC960,$B$8-1,0))/($B$8-1))</f>
        <v>#DIV/0!</v>
      </c>
      <c r="AI960" s="1" t="e">
        <f t="shared" si="81"/>
        <v>#DIV/0!</v>
      </c>
      <c r="AJ960" s="4" t="e">
        <f ca="1">SQRT($B$9)*_xlfn.STDEV.S(AI960:OFFSET(AI960,$B$5-1,0))</f>
        <v>#DIV/0!</v>
      </c>
      <c r="AK960" s="4" t="e">
        <f ca="1">SQRT($B$9)*_xlfn.STDEV.S(AI960:OFFSET(AI960,$B$6-1,0))</f>
        <v>#DIV/0!</v>
      </c>
      <c r="AL960" s="4" t="e">
        <f ca="1">SQRT($B$9)*_xlfn.STDEV.S(AI960:OFFSET(AI960,$B$7-1,0))</f>
        <v>#DIV/0!</v>
      </c>
      <c r="AM960" s="4" t="e">
        <f ca="1">SQRT($B$9)*_xlfn.STDEV.S(AI960:OFFSET(AI960,$B$8-1,0))</f>
        <v>#DIV/0!</v>
      </c>
    </row>
    <row r="961" spans="5:39" x14ac:dyDescent="0.2">
      <c r="E961" s="42">
        <v>44034</v>
      </c>
      <c r="F961" s="43"/>
      <c r="G961" s="43"/>
      <c r="H961" s="43"/>
      <c r="I961" s="43"/>
      <c r="K961" s="3" t="e">
        <f t="shared" si="79"/>
        <v>#DIV/0!</v>
      </c>
      <c r="L961" s="3" t="e">
        <f ca="1">SQRT(AVERAGE(K961:OFFSET(K961,$B$5-1,0))*$B$9/(4*LN(2)))</f>
        <v>#DIV/0!</v>
      </c>
      <c r="M961" s="3" t="e">
        <f ca="1">SQRT(AVERAGE(K961:OFFSET(K961,$B$6-1,0))*$B$9/(4*LN(2)))</f>
        <v>#DIV/0!</v>
      </c>
      <c r="N961" s="3" t="e">
        <f ca="1">SQRT(AVERAGE(K961:OFFSET(K961,$B$7-1,0))*$B$9/(4*LN(2)))</f>
        <v>#DIV/0!</v>
      </c>
      <c r="O961" s="3" t="e">
        <f ca="1">SQRT(AVERAGE(K961:OFFSET(K961,$B$8-1,0))*$B$9/(4*LN(2)))</f>
        <v>#DIV/0!</v>
      </c>
      <c r="Q961" s="5" t="e">
        <f t="shared" si="78"/>
        <v>#DIV/0!</v>
      </c>
      <c r="R961" s="5" t="e">
        <f ca="1">SQRT($B$9*AVERAGE((Q961:OFFSET(Q961,$B$5-1,0))))</f>
        <v>#DIV/0!</v>
      </c>
      <c r="S961" s="5" t="e">
        <f ca="1">SQRT($B$9*AVERAGE((Q961:OFFSET(Q961,$B$6-1,0))))</f>
        <v>#DIV/0!</v>
      </c>
      <c r="T961" s="5" t="e">
        <f ca="1">SQRT($B$9*AVERAGE((Q961:OFFSET(Q961,$B$7-1,0))))</f>
        <v>#DIV/0!</v>
      </c>
      <c r="U961" s="5" t="e">
        <f ca="1">SQRT($B$9*AVERAGE((Q961:OFFSET(Q961,$B$8-1,0))))</f>
        <v>#DIV/0!</v>
      </c>
      <c r="W961" s="6" t="e">
        <f t="shared" si="82"/>
        <v>#DIV/0!</v>
      </c>
      <c r="X961" s="6" t="e">
        <f ca="1">SQRT($B$9*AVERAGE(W961:OFFSET(W961,$B$5-1,0)))</f>
        <v>#DIV/0!</v>
      </c>
      <c r="Y961" s="6" t="e">
        <f ca="1">SQRT($B$9*AVERAGE(W961:OFFSET(W961,$B$6-1,0)))</f>
        <v>#DIV/0!</v>
      </c>
      <c r="Z961" s="6" t="e">
        <f ca="1">SQRT($B$9*AVERAGE(W961:OFFSET(W961,$B$7-1,0)))</f>
        <v>#DIV/0!</v>
      </c>
      <c r="AA961" s="6" t="e">
        <f ca="1">SQRT($B$9*AVERAGE(W961:OFFSET(W961,$B$8-1,0)))</f>
        <v>#DIV/0!</v>
      </c>
      <c r="AC961" s="34" t="e">
        <f t="shared" si="80"/>
        <v>#DIV/0!</v>
      </c>
      <c r="AD961" s="34" t="e">
        <f ca="1">SQRT($B$9*SUM(AC961:OFFSET(AC961,$B$5-1,0))/($B$5-1))</f>
        <v>#DIV/0!</v>
      </c>
      <c r="AE961" s="34" t="e">
        <f ca="1">SQRT($B$9*SUM(AC961:OFFSET(AC961,$B$6-1,0))/($B$6-1))</f>
        <v>#DIV/0!</v>
      </c>
      <c r="AF961" s="34" t="e">
        <f ca="1">SQRT($B$9*SUM(AC961:OFFSET(AC961,$B$7-1,0))/($B$7-1))</f>
        <v>#DIV/0!</v>
      </c>
      <c r="AG961" s="34" t="e">
        <f ca="1">SQRT($B$9*SUM(AC961:OFFSET(AC961,$B$8-1,0))/($B$8-1))</f>
        <v>#DIV/0!</v>
      </c>
      <c r="AI961" s="1" t="e">
        <f t="shared" si="81"/>
        <v>#DIV/0!</v>
      </c>
      <c r="AJ961" s="4" t="e">
        <f ca="1">SQRT($B$9)*_xlfn.STDEV.S(AI961:OFFSET(AI961,$B$5-1,0))</f>
        <v>#DIV/0!</v>
      </c>
      <c r="AK961" s="4" t="e">
        <f ca="1">SQRT($B$9)*_xlfn.STDEV.S(AI961:OFFSET(AI961,$B$6-1,0))</f>
        <v>#DIV/0!</v>
      </c>
      <c r="AL961" s="4" t="e">
        <f ca="1">SQRT($B$9)*_xlfn.STDEV.S(AI961:OFFSET(AI961,$B$7-1,0))</f>
        <v>#DIV/0!</v>
      </c>
      <c r="AM961" s="4" t="e">
        <f ca="1">SQRT($B$9)*_xlfn.STDEV.S(AI961:OFFSET(AI961,$B$8-1,0))</f>
        <v>#DIV/0!</v>
      </c>
    </row>
    <row r="962" spans="5:39" x14ac:dyDescent="0.2">
      <c r="E962" s="42">
        <v>44033</v>
      </c>
      <c r="F962" s="43"/>
      <c r="G962" s="43"/>
      <c r="H962" s="43"/>
      <c r="I962" s="43"/>
      <c r="K962" s="3" t="e">
        <f t="shared" si="79"/>
        <v>#DIV/0!</v>
      </c>
      <c r="L962" s="3" t="e">
        <f ca="1">SQRT(AVERAGE(K962:OFFSET(K962,$B$5-1,0))*$B$9/(4*LN(2)))</f>
        <v>#DIV/0!</v>
      </c>
      <c r="M962" s="3" t="e">
        <f ca="1">SQRT(AVERAGE(K962:OFFSET(K962,$B$6-1,0))*$B$9/(4*LN(2)))</f>
        <v>#DIV/0!</v>
      </c>
      <c r="N962" s="3" t="e">
        <f ca="1">SQRT(AVERAGE(K962:OFFSET(K962,$B$7-1,0))*$B$9/(4*LN(2)))</f>
        <v>#DIV/0!</v>
      </c>
      <c r="O962" s="3" t="e">
        <f ca="1">SQRT(AVERAGE(K962:OFFSET(K962,$B$8-1,0))*$B$9/(4*LN(2)))</f>
        <v>#DIV/0!</v>
      </c>
      <c r="Q962" s="5" t="e">
        <f t="shared" si="78"/>
        <v>#DIV/0!</v>
      </c>
      <c r="R962" s="5" t="e">
        <f ca="1">SQRT($B$9*AVERAGE((Q962:OFFSET(Q962,$B$5-1,0))))</f>
        <v>#DIV/0!</v>
      </c>
      <c r="S962" s="5" t="e">
        <f ca="1">SQRT($B$9*AVERAGE((Q962:OFFSET(Q962,$B$6-1,0))))</f>
        <v>#DIV/0!</v>
      </c>
      <c r="T962" s="5" t="e">
        <f ca="1">SQRT($B$9*AVERAGE((Q962:OFFSET(Q962,$B$7-1,0))))</f>
        <v>#DIV/0!</v>
      </c>
      <c r="U962" s="5" t="e">
        <f ca="1">SQRT($B$9*AVERAGE((Q962:OFFSET(Q962,$B$8-1,0))))</f>
        <v>#DIV/0!</v>
      </c>
      <c r="W962" s="6" t="e">
        <f t="shared" si="82"/>
        <v>#DIV/0!</v>
      </c>
      <c r="X962" s="6" t="e">
        <f ca="1">SQRT($B$9*AVERAGE(W962:OFFSET(W962,$B$5-1,0)))</f>
        <v>#DIV/0!</v>
      </c>
      <c r="Y962" s="6" t="e">
        <f ca="1">SQRT($B$9*AVERAGE(W962:OFFSET(W962,$B$6-1,0)))</f>
        <v>#DIV/0!</v>
      </c>
      <c r="Z962" s="6" t="e">
        <f ca="1">SQRT($B$9*AVERAGE(W962:OFFSET(W962,$B$7-1,0)))</f>
        <v>#DIV/0!</v>
      </c>
      <c r="AA962" s="6" t="e">
        <f ca="1">SQRT($B$9*AVERAGE(W962:OFFSET(W962,$B$8-1,0)))</f>
        <v>#DIV/0!</v>
      </c>
      <c r="AC962" s="34" t="e">
        <f t="shared" si="80"/>
        <v>#DIV/0!</v>
      </c>
      <c r="AD962" s="34" t="e">
        <f ca="1">SQRT($B$9*SUM(AC962:OFFSET(AC962,$B$5-1,0))/($B$5-1))</f>
        <v>#DIV/0!</v>
      </c>
      <c r="AE962" s="34" t="e">
        <f ca="1">SQRT($B$9*SUM(AC962:OFFSET(AC962,$B$6-1,0))/($B$6-1))</f>
        <v>#DIV/0!</v>
      </c>
      <c r="AF962" s="34" t="e">
        <f ca="1">SQRT($B$9*SUM(AC962:OFFSET(AC962,$B$7-1,0))/($B$7-1))</f>
        <v>#DIV/0!</v>
      </c>
      <c r="AG962" s="34" t="e">
        <f ca="1">SQRT($B$9*SUM(AC962:OFFSET(AC962,$B$8-1,0))/($B$8-1))</f>
        <v>#DIV/0!</v>
      </c>
      <c r="AI962" s="1" t="e">
        <f t="shared" si="81"/>
        <v>#DIV/0!</v>
      </c>
      <c r="AJ962" s="4" t="e">
        <f ca="1">SQRT($B$9)*_xlfn.STDEV.S(AI962:OFFSET(AI962,$B$5-1,0))</f>
        <v>#DIV/0!</v>
      </c>
      <c r="AK962" s="4" t="e">
        <f ca="1">SQRT($B$9)*_xlfn.STDEV.S(AI962:OFFSET(AI962,$B$6-1,0))</f>
        <v>#DIV/0!</v>
      </c>
      <c r="AL962" s="4" t="e">
        <f ca="1">SQRT($B$9)*_xlfn.STDEV.S(AI962:OFFSET(AI962,$B$7-1,0))</f>
        <v>#DIV/0!</v>
      </c>
      <c r="AM962" s="4" t="e">
        <f ca="1">SQRT($B$9)*_xlfn.STDEV.S(AI962:OFFSET(AI962,$B$8-1,0))</f>
        <v>#DIV/0!</v>
      </c>
    </row>
    <row r="963" spans="5:39" x14ac:dyDescent="0.2">
      <c r="E963" s="42">
        <v>44032</v>
      </c>
      <c r="F963" s="43"/>
      <c r="G963" s="43"/>
      <c r="H963" s="43"/>
      <c r="I963" s="43"/>
      <c r="K963" s="3" t="e">
        <f t="shared" si="79"/>
        <v>#DIV/0!</v>
      </c>
      <c r="L963" s="3" t="e">
        <f ca="1">SQRT(AVERAGE(K963:OFFSET(K963,$B$5-1,0))*$B$9/(4*LN(2)))</f>
        <v>#DIV/0!</v>
      </c>
      <c r="M963" s="3" t="e">
        <f ca="1">SQRT(AVERAGE(K963:OFFSET(K963,$B$6-1,0))*$B$9/(4*LN(2)))</f>
        <v>#DIV/0!</v>
      </c>
      <c r="N963" s="3" t="e">
        <f ca="1">SQRT(AVERAGE(K963:OFFSET(K963,$B$7-1,0))*$B$9/(4*LN(2)))</f>
        <v>#DIV/0!</v>
      </c>
      <c r="O963" s="3" t="e">
        <f ca="1">SQRT(AVERAGE(K963:OFFSET(K963,$B$8-1,0))*$B$9/(4*LN(2)))</f>
        <v>#DIV/0!</v>
      </c>
      <c r="Q963" s="5" t="e">
        <f t="shared" si="78"/>
        <v>#DIV/0!</v>
      </c>
      <c r="R963" s="5" t="e">
        <f ca="1">SQRT($B$9*AVERAGE((Q963:OFFSET(Q963,$B$5-1,0))))</f>
        <v>#DIV/0!</v>
      </c>
      <c r="S963" s="5" t="e">
        <f ca="1">SQRT($B$9*AVERAGE((Q963:OFFSET(Q963,$B$6-1,0))))</f>
        <v>#DIV/0!</v>
      </c>
      <c r="T963" s="5" t="e">
        <f ca="1">SQRT($B$9*AVERAGE((Q963:OFFSET(Q963,$B$7-1,0))))</f>
        <v>#DIV/0!</v>
      </c>
      <c r="U963" s="5" t="e">
        <f ca="1">SQRT($B$9*AVERAGE((Q963:OFFSET(Q963,$B$8-1,0))))</f>
        <v>#DIV/0!</v>
      </c>
      <c r="W963" s="6" t="e">
        <f t="shared" si="82"/>
        <v>#DIV/0!</v>
      </c>
      <c r="X963" s="6" t="e">
        <f ca="1">SQRT($B$9*AVERAGE(W963:OFFSET(W963,$B$5-1,0)))</f>
        <v>#DIV/0!</v>
      </c>
      <c r="Y963" s="6" t="e">
        <f ca="1">SQRT($B$9*AVERAGE(W963:OFFSET(W963,$B$6-1,0)))</f>
        <v>#DIV/0!</v>
      </c>
      <c r="Z963" s="6" t="e">
        <f ca="1">SQRT($B$9*AVERAGE(W963:OFFSET(W963,$B$7-1,0)))</f>
        <v>#DIV/0!</v>
      </c>
      <c r="AA963" s="6" t="e">
        <f ca="1">SQRT($B$9*AVERAGE(W963:OFFSET(W963,$B$8-1,0)))</f>
        <v>#DIV/0!</v>
      </c>
      <c r="AC963" s="34" t="e">
        <f t="shared" si="80"/>
        <v>#DIV/0!</v>
      </c>
      <c r="AD963" s="34" t="e">
        <f ca="1">SQRT($B$9*SUM(AC963:OFFSET(AC963,$B$5-1,0))/($B$5-1))</f>
        <v>#DIV/0!</v>
      </c>
      <c r="AE963" s="34" t="e">
        <f ca="1">SQRT($B$9*SUM(AC963:OFFSET(AC963,$B$6-1,0))/($B$6-1))</f>
        <v>#DIV/0!</v>
      </c>
      <c r="AF963" s="34" t="e">
        <f ca="1">SQRT($B$9*SUM(AC963:OFFSET(AC963,$B$7-1,0))/($B$7-1))</f>
        <v>#DIV/0!</v>
      </c>
      <c r="AG963" s="34" t="e">
        <f ca="1">SQRT($B$9*SUM(AC963:OFFSET(AC963,$B$8-1,0))/($B$8-1))</f>
        <v>#DIV/0!</v>
      </c>
      <c r="AI963" s="1" t="e">
        <f t="shared" si="81"/>
        <v>#DIV/0!</v>
      </c>
      <c r="AJ963" s="4" t="e">
        <f ca="1">SQRT($B$9)*_xlfn.STDEV.S(AI963:OFFSET(AI963,$B$5-1,0))</f>
        <v>#DIV/0!</v>
      </c>
      <c r="AK963" s="4" t="e">
        <f ca="1">SQRT($B$9)*_xlfn.STDEV.S(AI963:OFFSET(AI963,$B$6-1,0))</f>
        <v>#DIV/0!</v>
      </c>
      <c r="AL963" s="4" t="e">
        <f ca="1">SQRT($B$9)*_xlfn.STDEV.S(AI963:OFFSET(AI963,$B$7-1,0))</f>
        <v>#DIV/0!</v>
      </c>
      <c r="AM963" s="4" t="e">
        <f ca="1">SQRT($B$9)*_xlfn.STDEV.S(AI963:OFFSET(AI963,$B$8-1,0))</f>
        <v>#DIV/0!</v>
      </c>
    </row>
    <row r="964" spans="5:39" x14ac:dyDescent="0.2">
      <c r="E964" s="42">
        <v>44029</v>
      </c>
      <c r="F964" s="43"/>
      <c r="G964" s="43"/>
      <c r="H964" s="43"/>
      <c r="I964" s="43"/>
      <c r="K964" s="3" t="e">
        <f t="shared" si="79"/>
        <v>#DIV/0!</v>
      </c>
      <c r="L964" s="3" t="e">
        <f ca="1">SQRT(AVERAGE(K964:OFFSET(K964,$B$5-1,0))*$B$9/(4*LN(2)))</f>
        <v>#DIV/0!</v>
      </c>
      <c r="M964" s="3" t="e">
        <f ca="1">SQRT(AVERAGE(K964:OFFSET(K964,$B$6-1,0))*$B$9/(4*LN(2)))</f>
        <v>#DIV/0!</v>
      </c>
      <c r="N964" s="3" t="e">
        <f ca="1">SQRT(AVERAGE(K964:OFFSET(K964,$B$7-1,0))*$B$9/(4*LN(2)))</f>
        <v>#DIV/0!</v>
      </c>
      <c r="O964" s="3" t="e">
        <f ca="1">SQRT(AVERAGE(K964:OFFSET(K964,$B$8-1,0))*$B$9/(4*LN(2)))</f>
        <v>#DIV/0!</v>
      </c>
      <c r="Q964" s="5" t="e">
        <f t="shared" si="78"/>
        <v>#DIV/0!</v>
      </c>
      <c r="R964" s="5" t="e">
        <f ca="1">SQRT($B$9*AVERAGE((Q964:OFFSET(Q964,$B$5-1,0))))</f>
        <v>#DIV/0!</v>
      </c>
      <c r="S964" s="5" t="e">
        <f ca="1">SQRT($B$9*AVERAGE((Q964:OFFSET(Q964,$B$6-1,0))))</f>
        <v>#DIV/0!</v>
      </c>
      <c r="T964" s="5" t="e">
        <f ca="1">SQRT($B$9*AVERAGE((Q964:OFFSET(Q964,$B$7-1,0))))</f>
        <v>#DIV/0!</v>
      </c>
      <c r="U964" s="5" t="e">
        <f ca="1">SQRT($B$9*AVERAGE((Q964:OFFSET(Q964,$B$8-1,0))))</f>
        <v>#DIV/0!</v>
      </c>
      <c r="W964" s="6" t="e">
        <f t="shared" si="82"/>
        <v>#DIV/0!</v>
      </c>
      <c r="X964" s="6" t="e">
        <f ca="1">SQRT($B$9*AVERAGE(W964:OFFSET(W964,$B$5-1,0)))</f>
        <v>#DIV/0!</v>
      </c>
      <c r="Y964" s="6" t="e">
        <f ca="1">SQRT($B$9*AVERAGE(W964:OFFSET(W964,$B$6-1,0)))</f>
        <v>#DIV/0!</v>
      </c>
      <c r="Z964" s="6" t="e">
        <f ca="1">SQRT($B$9*AVERAGE(W964:OFFSET(W964,$B$7-1,0)))</f>
        <v>#DIV/0!</v>
      </c>
      <c r="AA964" s="6" t="e">
        <f ca="1">SQRT($B$9*AVERAGE(W964:OFFSET(W964,$B$8-1,0)))</f>
        <v>#DIV/0!</v>
      </c>
      <c r="AC964" s="34" t="e">
        <f t="shared" si="80"/>
        <v>#DIV/0!</v>
      </c>
      <c r="AD964" s="34" t="e">
        <f ca="1">SQRT($B$9*SUM(AC964:OFFSET(AC964,$B$5-1,0))/($B$5-1))</f>
        <v>#DIV/0!</v>
      </c>
      <c r="AE964" s="34" t="e">
        <f ca="1">SQRT($B$9*SUM(AC964:OFFSET(AC964,$B$6-1,0))/($B$6-1))</f>
        <v>#DIV/0!</v>
      </c>
      <c r="AF964" s="34" t="e">
        <f ca="1">SQRT($B$9*SUM(AC964:OFFSET(AC964,$B$7-1,0))/($B$7-1))</f>
        <v>#DIV/0!</v>
      </c>
      <c r="AG964" s="34" t="e">
        <f ca="1">SQRT($B$9*SUM(AC964:OFFSET(AC964,$B$8-1,0))/($B$8-1))</f>
        <v>#DIV/0!</v>
      </c>
      <c r="AI964" s="1" t="e">
        <f t="shared" si="81"/>
        <v>#DIV/0!</v>
      </c>
      <c r="AJ964" s="4" t="e">
        <f ca="1">SQRT($B$9)*_xlfn.STDEV.S(AI964:OFFSET(AI964,$B$5-1,0))</f>
        <v>#DIV/0!</v>
      </c>
      <c r="AK964" s="4" t="e">
        <f ca="1">SQRT($B$9)*_xlfn.STDEV.S(AI964:OFFSET(AI964,$B$6-1,0))</f>
        <v>#DIV/0!</v>
      </c>
      <c r="AL964" s="4" t="e">
        <f ca="1">SQRT($B$9)*_xlfn.STDEV.S(AI964:OFFSET(AI964,$B$7-1,0))</f>
        <v>#DIV/0!</v>
      </c>
      <c r="AM964" s="4" t="e">
        <f ca="1">SQRT($B$9)*_xlfn.STDEV.S(AI964:OFFSET(AI964,$B$8-1,0))</f>
        <v>#DIV/0!</v>
      </c>
    </row>
    <row r="965" spans="5:39" x14ac:dyDescent="0.2">
      <c r="E965" s="42">
        <v>44028</v>
      </c>
      <c r="F965" s="43"/>
      <c r="G965" s="43"/>
      <c r="H965" s="43"/>
      <c r="I965" s="43"/>
      <c r="K965" s="3" t="e">
        <f t="shared" si="79"/>
        <v>#DIV/0!</v>
      </c>
      <c r="L965" s="3" t="e">
        <f ca="1">SQRT(AVERAGE(K965:OFFSET(K965,$B$5-1,0))*$B$9/(4*LN(2)))</f>
        <v>#DIV/0!</v>
      </c>
      <c r="M965" s="3" t="e">
        <f ca="1">SQRT(AVERAGE(K965:OFFSET(K965,$B$6-1,0))*$B$9/(4*LN(2)))</f>
        <v>#DIV/0!</v>
      </c>
      <c r="N965" s="3" t="e">
        <f ca="1">SQRT(AVERAGE(K965:OFFSET(K965,$B$7-1,0))*$B$9/(4*LN(2)))</f>
        <v>#DIV/0!</v>
      </c>
      <c r="O965" s="3" t="e">
        <f ca="1">SQRT(AVERAGE(K965:OFFSET(K965,$B$8-1,0))*$B$9/(4*LN(2)))</f>
        <v>#DIV/0!</v>
      </c>
      <c r="Q965" s="5" t="e">
        <f t="shared" ref="Q965:Q1028" si="83">0.511*(LN(G965/H965))^2-0.019*(LN(I965/F965)*LN(G965*H965/F965^2)-2*LN(G965/F965)*LN(H965/F965))-0.383*(LN(I965/F965))^2</f>
        <v>#DIV/0!</v>
      </c>
      <c r="R965" s="5" t="e">
        <f ca="1">SQRT($B$9*AVERAGE((Q965:OFFSET(Q965,$B$5-1,0))))</f>
        <v>#DIV/0!</v>
      </c>
      <c r="S965" s="5" t="e">
        <f ca="1">SQRT($B$9*AVERAGE((Q965:OFFSET(Q965,$B$6-1,0))))</f>
        <v>#DIV/0!</v>
      </c>
      <c r="T965" s="5" t="e">
        <f ca="1">SQRT($B$9*AVERAGE((Q965:OFFSET(Q965,$B$7-1,0))))</f>
        <v>#DIV/0!</v>
      </c>
      <c r="U965" s="5" t="e">
        <f ca="1">SQRT($B$9*AVERAGE((Q965:OFFSET(Q965,$B$8-1,0))))</f>
        <v>#DIV/0!</v>
      </c>
      <c r="W965" s="6" t="e">
        <f t="shared" si="82"/>
        <v>#DIV/0!</v>
      </c>
      <c r="X965" s="6" t="e">
        <f ca="1">SQRT($B$9*AVERAGE(W965:OFFSET(W965,$B$5-1,0)))</f>
        <v>#DIV/0!</v>
      </c>
      <c r="Y965" s="6" t="e">
        <f ca="1">SQRT($B$9*AVERAGE(W965:OFFSET(W965,$B$6-1,0)))</f>
        <v>#DIV/0!</v>
      </c>
      <c r="Z965" s="6" t="e">
        <f ca="1">SQRT($B$9*AVERAGE(W965:OFFSET(W965,$B$7-1,0)))</f>
        <v>#DIV/0!</v>
      </c>
      <c r="AA965" s="6" t="e">
        <f ca="1">SQRT($B$9*AVERAGE(W965:OFFSET(W965,$B$8-1,0)))</f>
        <v>#DIV/0!</v>
      </c>
      <c r="AC965" s="34" t="e">
        <f t="shared" si="80"/>
        <v>#DIV/0!</v>
      </c>
      <c r="AD965" s="34" t="e">
        <f ca="1">SQRT($B$9*SUM(AC965:OFFSET(AC965,$B$5-1,0))/($B$5-1))</f>
        <v>#DIV/0!</v>
      </c>
      <c r="AE965" s="34" t="e">
        <f ca="1">SQRT($B$9*SUM(AC965:OFFSET(AC965,$B$6-1,0))/($B$6-1))</f>
        <v>#DIV/0!</v>
      </c>
      <c r="AF965" s="34" t="e">
        <f ca="1">SQRT($B$9*SUM(AC965:OFFSET(AC965,$B$7-1,0))/($B$7-1))</f>
        <v>#DIV/0!</v>
      </c>
      <c r="AG965" s="34" t="e">
        <f ca="1">SQRT($B$9*SUM(AC965:OFFSET(AC965,$B$8-1,0))/($B$8-1))</f>
        <v>#DIV/0!</v>
      </c>
      <c r="AI965" s="1" t="e">
        <f t="shared" si="81"/>
        <v>#DIV/0!</v>
      </c>
      <c r="AJ965" s="4" t="e">
        <f ca="1">SQRT($B$9)*_xlfn.STDEV.S(AI965:OFFSET(AI965,$B$5-1,0))</f>
        <v>#DIV/0!</v>
      </c>
      <c r="AK965" s="4" t="e">
        <f ca="1">SQRT($B$9)*_xlfn.STDEV.S(AI965:OFFSET(AI965,$B$6-1,0))</f>
        <v>#DIV/0!</v>
      </c>
      <c r="AL965" s="4" t="e">
        <f ca="1">SQRT($B$9)*_xlfn.STDEV.S(AI965:OFFSET(AI965,$B$7-1,0))</f>
        <v>#DIV/0!</v>
      </c>
      <c r="AM965" s="4" t="e">
        <f ca="1">SQRT($B$9)*_xlfn.STDEV.S(AI965:OFFSET(AI965,$B$8-1,0))</f>
        <v>#DIV/0!</v>
      </c>
    </row>
    <row r="966" spans="5:39" x14ac:dyDescent="0.2">
      <c r="E966" s="42">
        <v>44027</v>
      </c>
      <c r="F966" s="43"/>
      <c r="G966" s="43"/>
      <c r="H966" s="43"/>
      <c r="I966" s="43"/>
      <c r="K966" s="3" t="e">
        <f t="shared" ref="K966:K1029" si="84">(LN(G966/H966))^2</f>
        <v>#DIV/0!</v>
      </c>
      <c r="L966" s="3" t="e">
        <f ca="1">SQRT(AVERAGE(K966:OFFSET(K966,$B$5-1,0))*$B$9/(4*LN(2)))</f>
        <v>#DIV/0!</v>
      </c>
      <c r="M966" s="3" t="e">
        <f ca="1">SQRT(AVERAGE(K966:OFFSET(K966,$B$6-1,0))*$B$9/(4*LN(2)))</f>
        <v>#DIV/0!</v>
      </c>
      <c r="N966" s="3" t="e">
        <f ca="1">SQRT(AVERAGE(K966:OFFSET(K966,$B$7-1,0))*$B$9/(4*LN(2)))</f>
        <v>#DIV/0!</v>
      </c>
      <c r="O966" s="3" t="e">
        <f ca="1">SQRT(AVERAGE(K966:OFFSET(K966,$B$8-1,0))*$B$9/(4*LN(2)))</f>
        <v>#DIV/0!</v>
      </c>
      <c r="Q966" s="5" t="e">
        <f t="shared" si="83"/>
        <v>#DIV/0!</v>
      </c>
      <c r="R966" s="5" t="e">
        <f ca="1">SQRT($B$9*AVERAGE((Q966:OFFSET(Q966,$B$5-1,0))))</f>
        <v>#DIV/0!</v>
      </c>
      <c r="S966" s="5" t="e">
        <f ca="1">SQRT($B$9*AVERAGE((Q966:OFFSET(Q966,$B$6-1,0))))</f>
        <v>#DIV/0!</v>
      </c>
      <c r="T966" s="5" t="e">
        <f ca="1">SQRT($B$9*AVERAGE((Q966:OFFSET(Q966,$B$7-1,0))))</f>
        <v>#DIV/0!</v>
      </c>
      <c r="U966" s="5" t="e">
        <f ca="1">SQRT($B$9*AVERAGE((Q966:OFFSET(Q966,$B$8-1,0))))</f>
        <v>#DIV/0!</v>
      </c>
      <c r="W966" s="6" t="e">
        <f t="shared" si="82"/>
        <v>#DIV/0!</v>
      </c>
      <c r="X966" s="6" t="e">
        <f ca="1">SQRT($B$9*AVERAGE(W966:OFFSET(W966,$B$5-1,0)))</f>
        <v>#DIV/0!</v>
      </c>
      <c r="Y966" s="6" t="e">
        <f ca="1">SQRT($B$9*AVERAGE(W966:OFFSET(W966,$B$6-1,0)))</f>
        <v>#DIV/0!</v>
      </c>
      <c r="Z966" s="6" t="e">
        <f ca="1">SQRT($B$9*AVERAGE(W966:OFFSET(W966,$B$7-1,0)))</f>
        <v>#DIV/0!</v>
      </c>
      <c r="AA966" s="6" t="e">
        <f ca="1">SQRT($B$9*AVERAGE(W966:OFFSET(W966,$B$8-1,0)))</f>
        <v>#DIV/0!</v>
      </c>
      <c r="AC966" s="34" t="e">
        <f t="shared" si="80"/>
        <v>#DIV/0!</v>
      </c>
      <c r="AD966" s="34" t="e">
        <f ca="1">SQRT($B$9*SUM(AC966:OFFSET(AC966,$B$5-1,0))/($B$5-1))</f>
        <v>#DIV/0!</v>
      </c>
      <c r="AE966" s="34" t="e">
        <f ca="1">SQRT($B$9*SUM(AC966:OFFSET(AC966,$B$6-1,0))/($B$6-1))</f>
        <v>#DIV/0!</v>
      </c>
      <c r="AF966" s="34" t="e">
        <f ca="1">SQRT($B$9*SUM(AC966:OFFSET(AC966,$B$7-1,0))/($B$7-1))</f>
        <v>#DIV/0!</v>
      </c>
      <c r="AG966" s="34" t="e">
        <f ca="1">SQRT($B$9*SUM(AC966:OFFSET(AC966,$B$8-1,0))/($B$8-1))</f>
        <v>#DIV/0!</v>
      </c>
      <c r="AI966" s="1" t="e">
        <f t="shared" si="81"/>
        <v>#DIV/0!</v>
      </c>
      <c r="AJ966" s="4" t="e">
        <f ca="1">SQRT($B$9)*_xlfn.STDEV.S(AI966:OFFSET(AI966,$B$5-1,0))</f>
        <v>#DIV/0!</v>
      </c>
      <c r="AK966" s="4" t="e">
        <f ca="1">SQRT($B$9)*_xlfn.STDEV.S(AI966:OFFSET(AI966,$B$6-1,0))</f>
        <v>#DIV/0!</v>
      </c>
      <c r="AL966" s="4" t="e">
        <f ca="1">SQRT($B$9)*_xlfn.STDEV.S(AI966:OFFSET(AI966,$B$7-1,0))</f>
        <v>#DIV/0!</v>
      </c>
      <c r="AM966" s="4" t="e">
        <f ca="1">SQRT($B$9)*_xlfn.STDEV.S(AI966:OFFSET(AI966,$B$8-1,0))</f>
        <v>#DIV/0!</v>
      </c>
    </row>
    <row r="967" spans="5:39" x14ac:dyDescent="0.2">
      <c r="E967" s="42">
        <v>44026</v>
      </c>
      <c r="F967" s="43"/>
      <c r="G967" s="43"/>
      <c r="H967" s="43"/>
      <c r="I967" s="43"/>
      <c r="K967" s="3" t="e">
        <f t="shared" si="84"/>
        <v>#DIV/0!</v>
      </c>
      <c r="L967" s="3" t="e">
        <f ca="1">SQRT(AVERAGE(K967:OFFSET(K967,$B$5-1,0))*$B$9/(4*LN(2)))</f>
        <v>#DIV/0!</v>
      </c>
      <c r="M967" s="3" t="e">
        <f ca="1">SQRT(AVERAGE(K967:OFFSET(K967,$B$6-1,0))*$B$9/(4*LN(2)))</f>
        <v>#DIV/0!</v>
      </c>
      <c r="N967" s="3" t="e">
        <f ca="1">SQRT(AVERAGE(K967:OFFSET(K967,$B$7-1,0))*$B$9/(4*LN(2)))</f>
        <v>#DIV/0!</v>
      </c>
      <c r="O967" s="3" t="e">
        <f ca="1">SQRT(AVERAGE(K967:OFFSET(K967,$B$8-1,0))*$B$9/(4*LN(2)))</f>
        <v>#DIV/0!</v>
      </c>
      <c r="Q967" s="5" t="e">
        <f t="shared" si="83"/>
        <v>#DIV/0!</v>
      </c>
      <c r="R967" s="5" t="e">
        <f ca="1">SQRT($B$9*AVERAGE((Q967:OFFSET(Q967,$B$5-1,0))))</f>
        <v>#DIV/0!</v>
      </c>
      <c r="S967" s="5" t="e">
        <f ca="1">SQRT($B$9*AVERAGE((Q967:OFFSET(Q967,$B$6-1,0))))</f>
        <v>#DIV/0!</v>
      </c>
      <c r="T967" s="5" t="e">
        <f ca="1">SQRT($B$9*AVERAGE((Q967:OFFSET(Q967,$B$7-1,0))))</f>
        <v>#DIV/0!</v>
      </c>
      <c r="U967" s="5" t="e">
        <f ca="1">SQRT($B$9*AVERAGE((Q967:OFFSET(Q967,$B$8-1,0))))</f>
        <v>#DIV/0!</v>
      </c>
      <c r="W967" s="6" t="e">
        <f t="shared" si="82"/>
        <v>#DIV/0!</v>
      </c>
      <c r="X967" s="6" t="e">
        <f ca="1">SQRT($B$9*AVERAGE(W967:OFFSET(W967,$B$5-1,0)))</f>
        <v>#DIV/0!</v>
      </c>
      <c r="Y967" s="6" t="e">
        <f ca="1">SQRT($B$9*AVERAGE(W967:OFFSET(W967,$B$6-1,0)))</f>
        <v>#DIV/0!</v>
      </c>
      <c r="Z967" s="6" t="e">
        <f ca="1">SQRT($B$9*AVERAGE(W967:OFFSET(W967,$B$7-1,0)))</f>
        <v>#DIV/0!</v>
      </c>
      <c r="AA967" s="6" t="e">
        <f ca="1">SQRT($B$9*AVERAGE(W967:OFFSET(W967,$B$8-1,0)))</f>
        <v>#DIV/0!</v>
      </c>
      <c r="AC967" s="34" t="e">
        <f t="shared" si="80"/>
        <v>#DIV/0!</v>
      </c>
      <c r="AD967" s="34" t="e">
        <f ca="1">SQRT($B$9*SUM(AC967:OFFSET(AC967,$B$5-1,0))/($B$5-1))</f>
        <v>#DIV/0!</v>
      </c>
      <c r="AE967" s="34" t="e">
        <f ca="1">SQRT($B$9*SUM(AC967:OFFSET(AC967,$B$6-1,0))/($B$6-1))</f>
        <v>#DIV/0!</v>
      </c>
      <c r="AF967" s="34" t="e">
        <f ca="1">SQRT($B$9*SUM(AC967:OFFSET(AC967,$B$7-1,0))/($B$7-1))</f>
        <v>#DIV/0!</v>
      </c>
      <c r="AG967" s="34" t="e">
        <f ca="1">SQRT($B$9*SUM(AC967:OFFSET(AC967,$B$8-1,0))/($B$8-1))</f>
        <v>#DIV/0!</v>
      </c>
      <c r="AI967" s="1" t="e">
        <f t="shared" si="81"/>
        <v>#DIV/0!</v>
      </c>
      <c r="AJ967" s="4" t="e">
        <f ca="1">SQRT($B$9)*_xlfn.STDEV.S(AI967:OFFSET(AI967,$B$5-1,0))</f>
        <v>#DIV/0!</v>
      </c>
      <c r="AK967" s="4" t="e">
        <f ca="1">SQRT($B$9)*_xlfn.STDEV.S(AI967:OFFSET(AI967,$B$6-1,0))</f>
        <v>#DIV/0!</v>
      </c>
      <c r="AL967" s="4" t="e">
        <f ca="1">SQRT($B$9)*_xlfn.STDEV.S(AI967:OFFSET(AI967,$B$7-1,0))</f>
        <v>#DIV/0!</v>
      </c>
      <c r="AM967" s="4" t="e">
        <f ca="1">SQRT($B$9)*_xlfn.STDEV.S(AI967:OFFSET(AI967,$B$8-1,0))</f>
        <v>#DIV/0!</v>
      </c>
    </row>
    <row r="968" spans="5:39" x14ac:dyDescent="0.2">
      <c r="E968" s="42">
        <v>44025</v>
      </c>
      <c r="F968" s="43"/>
      <c r="G968" s="43"/>
      <c r="H968" s="43"/>
      <c r="I968" s="43"/>
      <c r="K968" s="3" t="e">
        <f t="shared" si="84"/>
        <v>#DIV/0!</v>
      </c>
      <c r="L968" s="3" t="e">
        <f ca="1">SQRT(AVERAGE(K968:OFFSET(K968,$B$5-1,0))*$B$9/(4*LN(2)))</f>
        <v>#DIV/0!</v>
      </c>
      <c r="M968" s="3" t="e">
        <f ca="1">SQRT(AVERAGE(K968:OFFSET(K968,$B$6-1,0))*$B$9/(4*LN(2)))</f>
        <v>#DIV/0!</v>
      </c>
      <c r="N968" s="3" t="e">
        <f ca="1">SQRT(AVERAGE(K968:OFFSET(K968,$B$7-1,0))*$B$9/(4*LN(2)))</f>
        <v>#DIV/0!</v>
      </c>
      <c r="O968" s="3" t="e">
        <f ca="1">SQRT(AVERAGE(K968:OFFSET(K968,$B$8-1,0))*$B$9/(4*LN(2)))</f>
        <v>#DIV/0!</v>
      </c>
      <c r="Q968" s="5" t="e">
        <f t="shared" si="83"/>
        <v>#DIV/0!</v>
      </c>
      <c r="R968" s="5" t="e">
        <f ca="1">SQRT($B$9*AVERAGE((Q968:OFFSET(Q968,$B$5-1,0))))</f>
        <v>#DIV/0!</v>
      </c>
      <c r="S968" s="5" t="e">
        <f ca="1">SQRT($B$9*AVERAGE((Q968:OFFSET(Q968,$B$6-1,0))))</f>
        <v>#DIV/0!</v>
      </c>
      <c r="T968" s="5" t="e">
        <f ca="1">SQRT($B$9*AVERAGE((Q968:OFFSET(Q968,$B$7-1,0))))</f>
        <v>#DIV/0!</v>
      </c>
      <c r="U968" s="5" t="e">
        <f ca="1">SQRT($B$9*AVERAGE((Q968:OFFSET(Q968,$B$8-1,0))))</f>
        <v>#DIV/0!</v>
      </c>
      <c r="W968" s="6" t="e">
        <f t="shared" si="82"/>
        <v>#DIV/0!</v>
      </c>
      <c r="X968" s="6" t="e">
        <f ca="1">SQRT($B$9*AVERAGE(W968:OFFSET(W968,$B$5-1,0)))</f>
        <v>#DIV/0!</v>
      </c>
      <c r="Y968" s="6" t="e">
        <f ca="1">SQRT($B$9*AVERAGE(W968:OFFSET(W968,$B$6-1,0)))</f>
        <v>#DIV/0!</v>
      </c>
      <c r="Z968" s="6" t="e">
        <f ca="1">SQRT($B$9*AVERAGE(W968:OFFSET(W968,$B$7-1,0)))</f>
        <v>#DIV/0!</v>
      </c>
      <c r="AA968" s="6" t="e">
        <f ca="1">SQRT($B$9*AVERAGE(W968:OFFSET(W968,$B$8-1,0)))</f>
        <v>#DIV/0!</v>
      </c>
      <c r="AC968" s="34" t="e">
        <f t="shared" si="80"/>
        <v>#DIV/0!</v>
      </c>
      <c r="AD968" s="34" t="e">
        <f ca="1">SQRT($B$9*SUM(AC968:OFFSET(AC968,$B$5-1,0))/($B$5-1))</f>
        <v>#DIV/0!</v>
      </c>
      <c r="AE968" s="34" t="e">
        <f ca="1">SQRT($B$9*SUM(AC968:OFFSET(AC968,$B$6-1,0))/($B$6-1))</f>
        <v>#DIV/0!</v>
      </c>
      <c r="AF968" s="34" t="e">
        <f ca="1">SQRT($B$9*SUM(AC968:OFFSET(AC968,$B$7-1,0))/($B$7-1))</f>
        <v>#DIV/0!</v>
      </c>
      <c r="AG968" s="34" t="e">
        <f ca="1">SQRT($B$9*SUM(AC968:OFFSET(AC968,$B$8-1,0))/($B$8-1))</f>
        <v>#DIV/0!</v>
      </c>
      <c r="AI968" s="1" t="e">
        <f t="shared" si="81"/>
        <v>#DIV/0!</v>
      </c>
      <c r="AJ968" s="4" t="e">
        <f ca="1">SQRT($B$9)*_xlfn.STDEV.S(AI968:OFFSET(AI968,$B$5-1,0))</f>
        <v>#DIV/0!</v>
      </c>
      <c r="AK968" s="4" t="e">
        <f ca="1">SQRT($B$9)*_xlfn.STDEV.S(AI968:OFFSET(AI968,$B$6-1,0))</f>
        <v>#DIV/0!</v>
      </c>
      <c r="AL968" s="4" t="e">
        <f ca="1">SQRT($B$9)*_xlfn.STDEV.S(AI968:OFFSET(AI968,$B$7-1,0))</f>
        <v>#DIV/0!</v>
      </c>
      <c r="AM968" s="4" t="e">
        <f ca="1">SQRT($B$9)*_xlfn.STDEV.S(AI968:OFFSET(AI968,$B$8-1,0))</f>
        <v>#DIV/0!</v>
      </c>
    </row>
    <row r="969" spans="5:39" x14ac:dyDescent="0.2">
      <c r="E969" s="42">
        <v>44022</v>
      </c>
      <c r="F969" s="43"/>
      <c r="G969" s="43"/>
      <c r="H969" s="43"/>
      <c r="I969" s="43"/>
      <c r="K969" s="3" t="e">
        <f t="shared" si="84"/>
        <v>#DIV/0!</v>
      </c>
      <c r="L969" s="3" t="e">
        <f ca="1">SQRT(AVERAGE(K969:OFFSET(K969,$B$5-1,0))*$B$9/(4*LN(2)))</f>
        <v>#DIV/0!</v>
      </c>
      <c r="M969" s="3" t="e">
        <f ca="1">SQRT(AVERAGE(K969:OFFSET(K969,$B$6-1,0))*$B$9/(4*LN(2)))</f>
        <v>#DIV/0!</v>
      </c>
      <c r="N969" s="3" t="e">
        <f ca="1">SQRT(AVERAGE(K969:OFFSET(K969,$B$7-1,0))*$B$9/(4*LN(2)))</f>
        <v>#DIV/0!</v>
      </c>
      <c r="O969" s="3" t="e">
        <f ca="1">SQRT(AVERAGE(K969:OFFSET(K969,$B$8-1,0))*$B$9/(4*LN(2)))</f>
        <v>#DIV/0!</v>
      </c>
      <c r="Q969" s="5" t="e">
        <f t="shared" si="83"/>
        <v>#DIV/0!</v>
      </c>
      <c r="R969" s="5" t="e">
        <f ca="1">SQRT($B$9*AVERAGE((Q969:OFFSET(Q969,$B$5-1,0))))</f>
        <v>#DIV/0!</v>
      </c>
      <c r="S969" s="5" t="e">
        <f ca="1">SQRT($B$9*AVERAGE((Q969:OFFSET(Q969,$B$6-1,0))))</f>
        <v>#DIV/0!</v>
      </c>
      <c r="T969" s="5" t="e">
        <f ca="1">SQRT($B$9*AVERAGE((Q969:OFFSET(Q969,$B$7-1,0))))</f>
        <v>#DIV/0!</v>
      </c>
      <c r="U969" s="5" t="e">
        <f ca="1">SQRT($B$9*AVERAGE((Q969:OFFSET(Q969,$B$8-1,0))))</f>
        <v>#DIV/0!</v>
      </c>
      <c r="W969" s="6" t="e">
        <f t="shared" si="82"/>
        <v>#DIV/0!</v>
      </c>
      <c r="X969" s="6" t="e">
        <f ca="1">SQRT($B$9*AVERAGE(W969:OFFSET(W969,$B$5-1,0)))</f>
        <v>#DIV/0!</v>
      </c>
      <c r="Y969" s="6" t="e">
        <f ca="1">SQRT($B$9*AVERAGE(W969:OFFSET(W969,$B$6-1,0)))</f>
        <v>#DIV/0!</v>
      </c>
      <c r="Z969" s="6" t="e">
        <f ca="1">SQRT($B$9*AVERAGE(W969:OFFSET(W969,$B$7-1,0)))</f>
        <v>#DIV/0!</v>
      </c>
      <c r="AA969" s="6" t="e">
        <f ca="1">SQRT($B$9*AVERAGE(W969:OFFSET(W969,$B$8-1,0)))</f>
        <v>#DIV/0!</v>
      </c>
      <c r="AC969" s="34" t="e">
        <f t="shared" si="80"/>
        <v>#DIV/0!</v>
      </c>
      <c r="AD969" s="34" t="e">
        <f ca="1">SQRT($B$9*SUM(AC969:OFFSET(AC969,$B$5-1,0))/($B$5-1))</f>
        <v>#DIV/0!</v>
      </c>
      <c r="AE969" s="34" t="e">
        <f ca="1">SQRT($B$9*SUM(AC969:OFFSET(AC969,$B$6-1,0))/($B$6-1))</f>
        <v>#DIV/0!</v>
      </c>
      <c r="AF969" s="34" t="e">
        <f ca="1">SQRT($B$9*SUM(AC969:OFFSET(AC969,$B$7-1,0))/($B$7-1))</f>
        <v>#DIV/0!</v>
      </c>
      <c r="AG969" s="34" t="e">
        <f ca="1">SQRT($B$9*SUM(AC969:OFFSET(AC969,$B$8-1,0))/($B$8-1))</f>
        <v>#DIV/0!</v>
      </c>
      <c r="AI969" s="1" t="e">
        <f t="shared" si="81"/>
        <v>#DIV/0!</v>
      </c>
      <c r="AJ969" s="4" t="e">
        <f ca="1">SQRT($B$9)*_xlfn.STDEV.S(AI969:OFFSET(AI969,$B$5-1,0))</f>
        <v>#DIV/0!</v>
      </c>
      <c r="AK969" s="4" t="e">
        <f ca="1">SQRT($B$9)*_xlfn.STDEV.S(AI969:OFFSET(AI969,$B$6-1,0))</f>
        <v>#DIV/0!</v>
      </c>
      <c r="AL969" s="4" t="e">
        <f ca="1">SQRT($B$9)*_xlfn.STDEV.S(AI969:OFFSET(AI969,$B$7-1,0))</f>
        <v>#DIV/0!</v>
      </c>
      <c r="AM969" s="4" t="e">
        <f ca="1">SQRT($B$9)*_xlfn.STDEV.S(AI969:OFFSET(AI969,$B$8-1,0))</f>
        <v>#DIV/0!</v>
      </c>
    </row>
    <row r="970" spans="5:39" x14ac:dyDescent="0.2">
      <c r="E970" s="42">
        <v>44021</v>
      </c>
      <c r="F970" s="43"/>
      <c r="G970" s="43"/>
      <c r="H970" s="43"/>
      <c r="I970" s="43"/>
      <c r="K970" s="3" t="e">
        <f t="shared" si="84"/>
        <v>#DIV/0!</v>
      </c>
      <c r="L970" s="3" t="e">
        <f ca="1">SQRT(AVERAGE(K970:OFFSET(K970,$B$5-1,0))*$B$9/(4*LN(2)))</f>
        <v>#DIV/0!</v>
      </c>
      <c r="M970" s="3" t="e">
        <f ca="1">SQRT(AVERAGE(K970:OFFSET(K970,$B$6-1,0))*$B$9/(4*LN(2)))</f>
        <v>#DIV/0!</v>
      </c>
      <c r="N970" s="3" t="e">
        <f ca="1">SQRT(AVERAGE(K970:OFFSET(K970,$B$7-1,0))*$B$9/(4*LN(2)))</f>
        <v>#DIV/0!</v>
      </c>
      <c r="O970" s="3" t="e">
        <f ca="1">SQRT(AVERAGE(K970:OFFSET(K970,$B$8-1,0))*$B$9/(4*LN(2)))</f>
        <v>#DIV/0!</v>
      </c>
      <c r="Q970" s="5" t="e">
        <f t="shared" si="83"/>
        <v>#DIV/0!</v>
      </c>
      <c r="R970" s="5" t="e">
        <f ca="1">SQRT($B$9*AVERAGE((Q970:OFFSET(Q970,$B$5-1,0))))</f>
        <v>#DIV/0!</v>
      </c>
      <c r="S970" s="5" t="e">
        <f ca="1">SQRT($B$9*AVERAGE((Q970:OFFSET(Q970,$B$6-1,0))))</f>
        <v>#DIV/0!</v>
      </c>
      <c r="T970" s="5" t="e">
        <f ca="1">SQRT($B$9*AVERAGE((Q970:OFFSET(Q970,$B$7-1,0))))</f>
        <v>#DIV/0!</v>
      </c>
      <c r="U970" s="5" t="e">
        <f ca="1">SQRT($B$9*AVERAGE((Q970:OFFSET(Q970,$B$8-1,0))))</f>
        <v>#DIV/0!</v>
      </c>
      <c r="W970" s="6" t="e">
        <f t="shared" si="82"/>
        <v>#DIV/0!</v>
      </c>
      <c r="X970" s="6" t="e">
        <f ca="1">SQRT($B$9*AVERAGE(W970:OFFSET(W970,$B$5-1,0)))</f>
        <v>#DIV/0!</v>
      </c>
      <c r="Y970" s="6" t="e">
        <f ca="1">SQRT($B$9*AVERAGE(W970:OFFSET(W970,$B$6-1,0)))</f>
        <v>#DIV/0!</v>
      </c>
      <c r="Z970" s="6" t="e">
        <f ca="1">SQRT($B$9*AVERAGE(W970:OFFSET(W970,$B$7-1,0)))</f>
        <v>#DIV/0!</v>
      </c>
      <c r="AA970" s="6" t="e">
        <f ca="1">SQRT($B$9*AVERAGE(W970:OFFSET(W970,$B$8-1,0)))</f>
        <v>#DIV/0!</v>
      </c>
      <c r="AC970" s="34" t="e">
        <f t="shared" si="80"/>
        <v>#DIV/0!</v>
      </c>
      <c r="AD970" s="34" t="e">
        <f ca="1">SQRT($B$9*SUM(AC970:OFFSET(AC970,$B$5-1,0))/($B$5-1))</f>
        <v>#DIV/0!</v>
      </c>
      <c r="AE970" s="34" t="e">
        <f ca="1">SQRT($B$9*SUM(AC970:OFFSET(AC970,$B$6-1,0))/($B$6-1))</f>
        <v>#DIV/0!</v>
      </c>
      <c r="AF970" s="34" t="e">
        <f ca="1">SQRT($B$9*SUM(AC970:OFFSET(AC970,$B$7-1,0))/($B$7-1))</f>
        <v>#DIV/0!</v>
      </c>
      <c r="AG970" s="34" t="e">
        <f ca="1">SQRT($B$9*SUM(AC970:OFFSET(AC970,$B$8-1,0))/($B$8-1))</f>
        <v>#DIV/0!</v>
      </c>
      <c r="AI970" s="1" t="e">
        <f t="shared" si="81"/>
        <v>#DIV/0!</v>
      </c>
      <c r="AJ970" s="4" t="e">
        <f ca="1">SQRT($B$9)*_xlfn.STDEV.S(AI970:OFFSET(AI970,$B$5-1,0))</f>
        <v>#DIV/0!</v>
      </c>
      <c r="AK970" s="4" t="e">
        <f ca="1">SQRT($B$9)*_xlfn.STDEV.S(AI970:OFFSET(AI970,$B$6-1,0))</f>
        <v>#DIV/0!</v>
      </c>
      <c r="AL970" s="4" t="e">
        <f ca="1">SQRT($B$9)*_xlfn.STDEV.S(AI970:OFFSET(AI970,$B$7-1,0))</f>
        <v>#DIV/0!</v>
      </c>
      <c r="AM970" s="4" t="e">
        <f ca="1">SQRT($B$9)*_xlfn.STDEV.S(AI970:OFFSET(AI970,$B$8-1,0))</f>
        <v>#DIV/0!</v>
      </c>
    </row>
    <row r="971" spans="5:39" x14ac:dyDescent="0.2">
      <c r="E971" s="42">
        <v>44020</v>
      </c>
      <c r="F971" s="43"/>
      <c r="G971" s="43"/>
      <c r="H971" s="43"/>
      <c r="I971" s="43"/>
      <c r="K971" s="3" t="e">
        <f t="shared" si="84"/>
        <v>#DIV/0!</v>
      </c>
      <c r="L971" s="3" t="e">
        <f ca="1">SQRT(AVERAGE(K971:OFFSET(K971,$B$5-1,0))*$B$9/(4*LN(2)))</f>
        <v>#DIV/0!</v>
      </c>
      <c r="M971" s="3" t="e">
        <f ca="1">SQRT(AVERAGE(K971:OFFSET(K971,$B$6-1,0))*$B$9/(4*LN(2)))</f>
        <v>#DIV/0!</v>
      </c>
      <c r="N971" s="3" t="e">
        <f ca="1">SQRT(AVERAGE(K971:OFFSET(K971,$B$7-1,0))*$B$9/(4*LN(2)))</f>
        <v>#DIV/0!</v>
      </c>
      <c r="O971" s="3" t="e">
        <f ca="1">SQRT(AVERAGE(K971:OFFSET(K971,$B$8-1,0))*$B$9/(4*LN(2)))</f>
        <v>#DIV/0!</v>
      </c>
      <c r="Q971" s="5" t="e">
        <f t="shared" si="83"/>
        <v>#DIV/0!</v>
      </c>
      <c r="R971" s="5" t="e">
        <f ca="1">SQRT($B$9*AVERAGE((Q971:OFFSET(Q971,$B$5-1,0))))</f>
        <v>#DIV/0!</v>
      </c>
      <c r="S971" s="5" t="e">
        <f ca="1">SQRT($B$9*AVERAGE((Q971:OFFSET(Q971,$B$6-1,0))))</f>
        <v>#DIV/0!</v>
      </c>
      <c r="T971" s="5" t="e">
        <f ca="1">SQRT($B$9*AVERAGE((Q971:OFFSET(Q971,$B$7-1,0))))</f>
        <v>#DIV/0!</v>
      </c>
      <c r="U971" s="5" t="e">
        <f ca="1">SQRT($B$9*AVERAGE((Q971:OFFSET(Q971,$B$8-1,0))))</f>
        <v>#DIV/0!</v>
      </c>
      <c r="W971" s="6" t="e">
        <f t="shared" si="82"/>
        <v>#DIV/0!</v>
      </c>
      <c r="X971" s="6" t="e">
        <f ca="1">SQRT($B$9*AVERAGE(W971:OFFSET(W971,$B$5-1,0)))</f>
        <v>#DIV/0!</v>
      </c>
      <c r="Y971" s="6" t="e">
        <f ca="1">SQRT($B$9*AVERAGE(W971:OFFSET(W971,$B$6-1,0)))</f>
        <v>#DIV/0!</v>
      </c>
      <c r="Z971" s="6" t="e">
        <f ca="1">SQRT($B$9*AVERAGE(W971:OFFSET(W971,$B$7-1,0)))</f>
        <v>#DIV/0!</v>
      </c>
      <c r="AA971" s="6" t="e">
        <f ca="1">SQRT($B$9*AVERAGE(W971:OFFSET(W971,$B$8-1,0)))</f>
        <v>#DIV/0!</v>
      </c>
      <c r="AC971" s="34" t="e">
        <f t="shared" si="80"/>
        <v>#DIV/0!</v>
      </c>
      <c r="AD971" s="34" t="e">
        <f ca="1">SQRT($B$9*SUM(AC971:OFFSET(AC971,$B$5-1,0))/($B$5-1))</f>
        <v>#DIV/0!</v>
      </c>
      <c r="AE971" s="34" t="e">
        <f ca="1">SQRT($B$9*SUM(AC971:OFFSET(AC971,$B$6-1,0))/($B$6-1))</f>
        <v>#DIV/0!</v>
      </c>
      <c r="AF971" s="34" t="e">
        <f ca="1">SQRT($B$9*SUM(AC971:OFFSET(AC971,$B$7-1,0))/($B$7-1))</f>
        <v>#DIV/0!</v>
      </c>
      <c r="AG971" s="34" t="e">
        <f ca="1">SQRT($B$9*SUM(AC971:OFFSET(AC971,$B$8-1,0))/($B$8-1))</f>
        <v>#DIV/0!</v>
      </c>
      <c r="AI971" s="1" t="e">
        <f t="shared" si="81"/>
        <v>#DIV/0!</v>
      </c>
      <c r="AJ971" s="4" t="e">
        <f ca="1">SQRT($B$9)*_xlfn.STDEV.S(AI971:OFFSET(AI971,$B$5-1,0))</f>
        <v>#DIV/0!</v>
      </c>
      <c r="AK971" s="4" t="e">
        <f ca="1">SQRT($B$9)*_xlfn.STDEV.S(AI971:OFFSET(AI971,$B$6-1,0))</f>
        <v>#DIV/0!</v>
      </c>
      <c r="AL971" s="4" t="e">
        <f ca="1">SQRT($B$9)*_xlfn.STDEV.S(AI971:OFFSET(AI971,$B$7-1,0))</f>
        <v>#DIV/0!</v>
      </c>
      <c r="AM971" s="4" t="e">
        <f ca="1">SQRT($B$9)*_xlfn.STDEV.S(AI971:OFFSET(AI971,$B$8-1,0))</f>
        <v>#DIV/0!</v>
      </c>
    </row>
    <row r="972" spans="5:39" x14ac:dyDescent="0.2">
      <c r="E972" s="42">
        <v>44019</v>
      </c>
      <c r="F972" s="43"/>
      <c r="G972" s="43"/>
      <c r="H972" s="43"/>
      <c r="I972" s="43"/>
      <c r="K972" s="3" t="e">
        <f t="shared" si="84"/>
        <v>#DIV/0!</v>
      </c>
      <c r="L972" s="3" t="e">
        <f ca="1">SQRT(AVERAGE(K972:OFFSET(K972,$B$5-1,0))*$B$9/(4*LN(2)))</f>
        <v>#DIV/0!</v>
      </c>
      <c r="M972" s="3" t="e">
        <f ca="1">SQRT(AVERAGE(K972:OFFSET(K972,$B$6-1,0))*$B$9/(4*LN(2)))</f>
        <v>#DIV/0!</v>
      </c>
      <c r="N972" s="3" t="e">
        <f ca="1">SQRT(AVERAGE(K972:OFFSET(K972,$B$7-1,0))*$B$9/(4*LN(2)))</f>
        <v>#DIV/0!</v>
      </c>
      <c r="O972" s="3" t="e">
        <f ca="1">SQRT(AVERAGE(K972:OFFSET(K972,$B$8-1,0))*$B$9/(4*LN(2)))</f>
        <v>#DIV/0!</v>
      </c>
      <c r="Q972" s="5" t="e">
        <f t="shared" si="83"/>
        <v>#DIV/0!</v>
      </c>
      <c r="R972" s="5" t="e">
        <f ca="1">SQRT($B$9*AVERAGE((Q972:OFFSET(Q972,$B$5-1,0))))</f>
        <v>#DIV/0!</v>
      </c>
      <c r="S972" s="5" t="e">
        <f ca="1">SQRT($B$9*AVERAGE((Q972:OFFSET(Q972,$B$6-1,0))))</f>
        <v>#DIV/0!</v>
      </c>
      <c r="T972" s="5" t="e">
        <f ca="1">SQRT($B$9*AVERAGE((Q972:OFFSET(Q972,$B$7-1,0))))</f>
        <v>#DIV/0!</v>
      </c>
      <c r="U972" s="5" t="e">
        <f ca="1">SQRT($B$9*AVERAGE((Q972:OFFSET(Q972,$B$8-1,0))))</f>
        <v>#DIV/0!</v>
      </c>
      <c r="W972" s="6" t="e">
        <f t="shared" si="82"/>
        <v>#DIV/0!</v>
      </c>
      <c r="X972" s="6" t="e">
        <f ca="1">SQRT($B$9*AVERAGE(W972:OFFSET(W972,$B$5-1,0)))</f>
        <v>#DIV/0!</v>
      </c>
      <c r="Y972" s="6" t="e">
        <f ca="1">SQRT($B$9*AVERAGE(W972:OFFSET(W972,$B$6-1,0)))</f>
        <v>#DIV/0!</v>
      </c>
      <c r="Z972" s="6" t="e">
        <f ca="1">SQRT($B$9*AVERAGE(W972:OFFSET(W972,$B$7-1,0)))</f>
        <v>#DIV/0!</v>
      </c>
      <c r="AA972" s="6" t="e">
        <f ca="1">SQRT($B$9*AVERAGE(W972:OFFSET(W972,$B$8-1,0)))</f>
        <v>#DIV/0!</v>
      </c>
      <c r="AC972" s="34" t="e">
        <f t="shared" si="80"/>
        <v>#DIV/0!</v>
      </c>
      <c r="AD972" s="34" t="e">
        <f ca="1">SQRT($B$9*SUM(AC972:OFFSET(AC972,$B$5-1,0))/($B$5-1))</f>
        <v>#DIV/0!</v>
      </c>
      <c r="AE972" s="34" t="e">
        <f ca="1">SQRT($B$9*SUM(AC972:OFFSET(AC972,$B$6-1,0))/($B$6-1))</f>
        <v>#DIV/0!</v>
      </c>
      <c r="AF972" s="34" t="e">
        <f ca="1">SQRT($B$9*SUM(AC972:OFFSET(AC972,$B$7-1,0))/($B$7-1))</f>
        <v>#DIV/0!</v>
      </c>
      <c r="AG972" s="34" t="e">
        <f ca="1">SQRT($B$9*SUM(AC972:OFFSET(AC972,$B$8-1,0))/($B$8-1))</f>
        <v>#DIV/0!</v>
      </c>
      <c r="AI972" s="1" t="e">
        <f t="shared" si="81"/>
        <v>#DIV/0!</v>
      </c>
      <c r="AJ972" s="4" t="e">
        <f ca="1">SQRT($B$9)*_xlfn.STDEV.S(AI972:OFFSET(AI972,$B$5-1,0))</f>
        <v>#DIV/0!</v>
      </c>
      <c r="AK972" s="4" t="e">
        <f ca="1">SQRT($B$9)*_xlfn.STDEV.S(AI972:OFFSET(AI972,$B$6-1,0))</f>
        <v>#DIV/0!</v>
      </c>
      <c r="AL972" s="4" t="e">
        <f ca="1">SQRT($B$9)*_xlfn.STDEV.S(AI972:OFFSET(AI972,$B$7-1,0))</f>
        <v>#DIV/0!</v>
      </c>
      <c r="AM972" s="4" t="e">
        <f ca="1">SQRT($B$9)*_xlfn.STDEV.S(AI972:OFFSET(AI972,$B$8-1,0))</f>
        <v>#DIV/0!</v>
      </c>
    </row>
    <row r="973" spans="5:39" x14ac:dyDescent="0.2">
      <c r="E973" s="42">
        <v>44018</v>
      </c>
      <c r="F973" s="43"/>
      <c r="G973" s="43"/>
      <c r="H973" s="43"/>
      <c r="I973" s="43"/>
      <c r="K973" s="3" t="e">
        <f t="shared" si="84"/>
        <v>#DIV/0!</v>
      </c>
      <c r="L973" s="3" t="e">
        <f ca="1">SQRT(AVERAGE(K973:OFFSET(K973,$B$5-1,0))*$B$9/(4*LN(2)))</f>
        <v>#DIV/0!</v>
      </c>
      <c r="M973" s="3" t="e">
        <f ca="1">SQRT(AVERAGE(K973:OFFSET(K973,$B$6-1,0))*$B$9/(4*LN(2)))</f>
        <v>#DIV/0!</v>
      </c>
      <c r="N973" s="3" t="e">
        <f ca="1">SQRT(AVERAGE(K973:OFFSET(K973,$B$7-1,0))*$B$9/(4*LN(2)))</f>
        <v>#DIV/0!</v>
      </c>
      <c r="O973" s="3" t="e">
        <f ca="1">SQRT(AVERAGE(K973:OFFSET(K973,$B$8-1,0))*$B$9/(4*LN(2)))</f>
        <v>#DIV/0!</v>
      </c>
      <c r="Q973" s="5" t="e">
        <f t="shared" si="83"/>
        <v>#DIV/0!</v>
      </c>
      <c r="R973" s="5" t="e">
        <f ca="1">SQRT($B$9*AVERAGE((Q973:OFFSET(Q973,$B$5-1,0))))</f>
        <v>#DIV/0!</v>
      </c>
      <c r="S973" s="5" t="e">
        <f ca="1">SQRT($B$9*AVERAGE((Q973:OFFSET(Q973,$B$6-1,0))))</f>
        <v>#DIV/0!</v>
      </c>
      <c r="T973" s="5" t="e">
        <f ca="1">SQRT($B$9*AVERAGE((Q973:OFFSET(Q973,$B$7-1,0))))</f>
        <v>#DIV/0!</v>
      </c>
      <c r="U973" s="5" t="e">
        <f ca="1">SQRT($B$9*AVERAGE((Q973:OFFSET(Q973,$B$8-1,0))))</f>
        <v>#DIV/0!</v>
      </c>
      <c r="W973" s="6" t="e">
        <f t="shared" si="82"/>
        <v>#DIV/0!</v>
      </c>
      <c r="X973" s="6" t="e">
        <f ca="1">SQRT($B$9*AVERAGE(W973:OFFSET(W973,$B$5-1,0)))</f>
        <v>#DIV/0!</v>
      </c>
      <c r="Y973" s="6" t="e">
        <f ca="1">SQRT($B$9*AVERAGE(W973:OFFSET(W973,$B$6-1,0)))</f>
        <v>#DIV/0!</v>
      </c>
      <c r="Z973" s="6" t="e">
        <f ca="1">SQRT($B$9*AVERAGE(W973:OFFSET(W973,$B$7-1,0)))</f>
        <v>#DIV/0!</v>
      </c>
      <c r="AA973" s="6" t="e">
        <f ca="1">SQRT($B$9*AVERAGE(W973:OFFSET(W973,$B$8-1,0)))</f>
        <v>#DIV/0!</v>
      </c>
      <c r="AC973" s="34" t="e">
        <f t="shared" si="80"/>
        <v>#DIV/0!</v>
      </c>
      <c r="AD973" s="34" t="e">
        <f ca="1">SQRT($B$9*SUM(AC973:OFFSET(AC973,$B$5-1,0))/($B$5-1))</f>
        <v>#DIV/0!</v>
      </c>
      <c r="AE973" s="34" t="e">
        <f ca="1">SQRT($B$9*SUM(AC973:OFFSET(AC973,$B$6-1,0))/($B$6-1))</f>
        <v>#DIV/0!</v>
      </c>
      <c r="AF973" s="34" t="e">
        <f ca="1">SQRT($B$9*SUM(AC973:OFFSET(AC973,$B$7-1,0))/($B$7-1))</f>
        <v>#DIV/0!</v>
      </c>
      <c r="AG973" s="34" t="e">
        <f ca="1">SQRT($B$9*SUM(AC973:OFFSET(AC973,$B$8-1,0))/($B$8-1))</f>
        <v>#DIV/0!</v>
      </c>
      <c r="AI973" s="1" t="e">
        <f t="shared" si="81"/>
        <v>#DIV/0!</v>
      </c>
      <c r="AJ973" s="4" t="e">
        <f ca="1">SQRT($B$9)*_xlfn.STDEV.S(AI973:OFFSET(AI973,$B$5-1,0))</f>
        <v>#DIV/0!</v>
      </c>
      <c r="AK973" s="4" t="e">
        <f ca="1">SQRT($B$9)*_xlfn.STDEV.S(AI973:OFFSET(AI973,$B$6-1,0))</f>
        <v>#DIV/0!</v>
      </c>
      <c r="AL973" s="4" t="e">
        <f ca="1">SQRT($B$9)*_xlfn.STDEV.S(AI973:OFFSET(AI973,$B$7-1,0))</f>
        <v>#DIV/0!</v>
      </c>
      <c r="AM973" s="4" t="e">
        <f ca="1">SQRT($B$9)*_xlfn.STDEV.S(AI973:OFFSET(AI973,$B$8-1,0))</f>
        <v>#DIV/0!</v>
      </c>
    </row>
    <row r="974" spans="5:39" x14ac:dyDescent="0.2">
      <c r="E974" s="42">
        <v>44015</v>
      </c>
      <c r="F974" s="43"/>
      <c r="G974" s="43"/>
      <c r="H974" s="43"/>
      <c r="I974" s="43"/>
      <c r="K974" s="3" t="e">
        <f t="shared" si="84"/>
        <v>#DIV/0!</v>
      </c>
      <c r="L974" s="3" t="e">
        <f ca="1">SQRT(AVERAGE(K974:OFFSET(K974,$B$5-1,0))*$B$9/(4*LN(2)))</f>
        <v>#DIV/0!</v>
      </c>
      <c r="M974" s="3" t="e">
        <f ca="1">SQRT(AVERAGE(K974:OFFSET(K974,$B$6-1,0))*$B$9/(4*LN(2)))</f>
        <v>#DIV/0!</v>
      </c>
      <c r="N974" s="3" t="e">
        <f ca="1">SQRT(AVERAGE(K974:OFFSET(K974,$B$7-1,0))*$B$9/(4*LN(2)))</f>
        <v>#DIV/0!</v>
      </c>
      <c r="O974" s="3" t="e">
        <f ca="1">SQRT(AVERAGE(K974:OFFSET(K974,$B$8-1,0))*$B$9/(4*LN(2)))</f>
        <v>#DIV/0!</v>
      </c>
      <c r="Q974" s="5" t="e">
        <f t="shared" si="83"/>
        <v>#DIV/0!</v>
      </c>
      <c r="R974" s="5" t="e">
        <f ca="1">SQRT($B$9*AVERAGE((Q974:OFFSET(Q974,$B$5-1,0))))</f>
        <v>#DIV/0!</v>
      </c>
      <c r="S974" s="5" t="e">
        <f ca="1">SQRT($B$9*AVERAGE((Q974:OFFSET(Q974,$B$6-1,0))))</f>
        <v>#DIV/0!</v>
      </c>
      <c r="T974" s="5" t="e">
        <f ca="1">SQRT($B$9*AVERAGE((Q974:OFFSET(Q974,$B$7-1,0))))</f>
        <v>#DIV/0!</v>
      </c>
      <c r="U974" s="5" t="e">
        <f ca="1">SQRT($B$9*AVERAGE((Q974:OFFSET(Q974,$B$8-1,0))))</f>
        <v>#DIV/0!</v>
      </c>
      <c r="W974" s="6" t="e">
        <f t="shared" si="82"/>
        <v>#DIV/0!</v>
      </c>
      <c r="X974" s="6" t="e">
        <f ca="1">SQRT($B$9*AVERAGE(W974:OFFSET(W974,$B$5-1,0)))</f>
        <v>#DIV/0!</v>
      </c>
      <c r="Y974" s="6" t="e">
        <f ca="1">SQRT($B$9*AVERAGE(W974:OFFSET(W974,$B$6-1,0)))</f>
        <v>#DIV/0!</v>
      </c>
      <c r="Z974" s="6" t="e">
        <f ca="1">SQRT($B$9*AVERAGE(W974:OFFSET(W974,$B$7-1,0)))</f>
        <v>#DIV/0!</v>
      </c>
      <c r="AA974" s="6" t="e">
        <f ca="1">SQRT($B$9*AVERAGE(W974:OFFSET(W974,$B$8-1,0)))</f>
        <v>#DIV/0!</v>
      </c>
      <c r="AC974" s="34" t="e">
        <f t="shared" si="80"/>
        <v>#DIV/0!</v>
      </c>
      <c r="AD974" s="34" t="e">
        <f ca="1">SQRT($B$9*SUM(AC974:OFFSET(AC974,$B$5-1,0))/($B$5-1))</f>
        <v>#DIV/0!</v>
      </c>
      <c r="AE974" s="34" t="e">
        <f ca="1">SQRT($B$9*SUM(AC974:OFFSET(AC974,$B$6-1,0))/($B$6-1))</f>
        <v>#DIV/0!</v>
      </c>
      <c r="AF974" s="34" t="e">
        <f ca="1">SQRT($B$9*SUM(AC974:OFFSET(AC974,$B$7-1,0))/($B$7-1))</f>
        <v>#DIV/0!</v>
      </c>
      <c r="AG974" s="34" t="e">
        <f ca="1">SQRT($B$9*SUM(AC974:OFFSET(AC974,$B$8-1,0))/($B$8-1))</f>
        <v>#DIV/0!</v>
      </c>
      <c r="AI974" s="1" t="e">
        <f t="shared" si="81"/>
        <v>#DIV/0!</v>
      </c>
      <c r="AJ974" s="4" t="e">
        <f ca="1">SQRT($B$9)*_xlfn.STDEV.S(AI974:OFFSET(AI974,$B$5-1,0))</f>
        <v>#DIV/0!</v>
      </c>
      <c r="AK974" s="4" t="e">
        <f ca="1">SQRT($B$9)*_xlfn.STDEV.S(AI974:OFFSET(AI974,$B$6-1,0))</f>
        <v>#DIV/0!</v>
      </c>
      <c r="AL974" s="4" t="e">
        <f ca="1">SQRT($B$9)*_xlfn.STDEV.S(AI974:OFFSET(AI974,$B$7-1,0))</f>
        <v>#DIV/0!</v>
      </c>
      <c r="AM974" s="4" t="e">
        <f ca="1">SQRT($B$9)*_xlfn.STDEV.S(AI974:OFFSET(AI974,$B$8-1,0))</f>
        <v>#DIV/0!</v>
      </c>
    </row>
    <row r="975" spans="5:39" x14ac:dyDescent="0.2">
      <c r="E975" s="42">
        <v>44014</v>
      </c>
      <c r="F975" s="43"/>
      <c r="G975" s="43"/>
      <c r="H975" s="43"/>
      <c r="I975" s="43"/>
      <c r="K975" s="3" t="e">
        <f t="shared" si="84"/>
        <v>#DIV/0!</v>
      </c>
      <c r="L975" s="3" t="e">
        <f ca="1">SQRT(AVERAGE(K975:OFFSET(K975,$B$5-1,0))*$B$9/(4*LN(2)))</f>
        <v>#DIV/0!</v>
      </c>
      <c r="M975" s="3" t="e">
        <f ca="1">SQRT(AVERAGE(K975:OFFSET(K975,$B$6-1,0))*$B$9/(4*LN(2)))</f>
        <v>#DIV/0!</v>
      </c>
      <c r="N975" s="3" t="e">
        <f ca="1">SQRT(AVERAGE(K975:OFFSET(K975,$B$7-1,0))*$B$9/(4*LN(2)))</f>
        <v>#DIV/0!</v>
      </c>
      <c r="O975" s="3" t="e">
        <f ca="1">SQRT(AVERAGE(K975:OFFSET(K975,$B$8-1,0))*$B$9/(4*LN(2)))</f>
        <v>#DIV/0!</v>
      </c>
      <c r="Q975" s="5" t="e">
        <f t="shared" si="83"/>
        <v>#DIV/0!</v>
      </c>
      <c r="R975" s="5" t="e">
        <f ca="1">SQRT($B$9*AVERAGE((Q975:OFFSET(Q975,$B$5-1,0))))</f>
        <v>#DIV/0!</v>
      </c>
      <c r="S975" s="5" t="e">
        <f ca="1">SQRT($B$9*AVERAGE((Q975:OFFSET(Q975,$B$6-1,0))))</f>
        <v>#DIV/0!</v>
      </c>
      <c r="T975" s="5" t="e">
        <f ca="1">SQRT($B$9*AVERAGE((Q975:OFFSET(Q975,$B$7-1,0))))</f>
        <v>#DIV/0!</v>
      </c>
      <c r="U975" s="5" t="e">
        <f ca="1">SQRT($B$9*AVERAGE((Q975:OFFSET(Q975,$B$8-1,0))))</f>
        <v>#DIV/0!</v>
      </c>
      <c r="W975" s="6" t="e">
        <f t="shared" si="82"/>
        <v>#DIV/0!</v>
      </c>
      <c r="X975" s="6" t="e">
        <f ca="1">SQRT($B$9*AVERAGE(W975:OFFSET(W975,$B$5-1,0)))</f>
        <v>#DIV/0!</v>
      </c>
      <c r="Y975" s="6" t="e">
        <f ca="1">SQRT($B$9*AVERAGE(W975:OFFSET(W975,$B$6-1,0)))</f>
        <v>#DIV/0!</v>
      </c>
      <c r="Z975" s="6" t="e">
        <f ca="1">SQRT($B$9*AVERAGE(W975:OFFSET(W975,$B$7-1,0)))</f>
        <v>#DIV/0!</v>
      </c>
      <c r="AA975" s="6" t="e">
        <f ca="1">SQRT($B$9*AVERAGE(W975:OFFSET(W975,$B$8-1,0)))</f>
        <v>#DIV/0!</v>
      </c>
      <c r="AC975" s="34" t="e">
        <f t="shared" si="80"/>
        <v>#DIV/0!</v>
      </c>
      <c r="AD975" s="34" t="e">
        <f ca="1">SQRT($B$9*SUM(AC975:OFFSET(AC975,$B$5-1,0))/($B$5-1))</f>
        <v>#DIV/0!</v>
      </c>
      <c r="AE975" s="34" t="e">
        <f ca="1">SQRT($B$9*SUM(AC975:OFFSET(AC975,$B$6-1,0))/($B$6-1))</f>
        <v>#DIV/0!</v>
      </c>
      <c r="AF975" s="34" t="e">
        <f ca="1">SQRT($B$9*SUM(AC975:OFFSET(AC975,$B$7-1,0))/($B$7-1))</f>
        <v>#DIV/0!</v>
      </c>
      <c r="AG975" s="34" t="e">
        <f ca="1">SQRT($B$9*SUM(AC975:OFFSET(AC975,$B$8-1,0))/($B$8-1))</f>
        <v>#DIV/0!</v>
      </c>
      <c r="AI975" s="1" t="e">
        <f t="shared" si="81"/>
        <v>#DIV/0!</v>
      </c>
      <c r="AJ975" s="4" t="e">
        <f ca="1">SQRT($B$9)*_xlfn.STDEV.S(AI975:OFFSET(AI975,$B$5-1,0))</f>
        <v>#DIV/0!</v>
      </c>
      <c r="AK975" s="4" t="e">
        <f ca="1">SQRT($B$9)*_xlfn.STDEV.S(AI975:OFFSET(AI975,$B$6-1,0))</f>
        <v>#DIV/0!</v>
      </c>
      <c r="AL975" s="4" t="e">
        <f ca="1">SQRT($B$9)*_xlfn.STDEV.S(AI975:OFFSET(AI975,$B$7-1,0))</f>
        <v>#DIV/0!</v>
      </c>
      <c r="AM975" s="4" t="e">
        <f ca="1">SQRT($B$9)*_xlfn.STDEV.S(AI975:OFFSET(AI975,$B$8-1,0))</f>
        <v>#DIV/0!</v>
      </c>
    </row>
    <row r="976" spans="5:39" x14ac:dyDescent="0.2">
      <c r="E976" s="42">
        <v>44013</v>
      </c>
      <c r="F976" s="43"/>
      <c r="G976" s="43"/>
      <c r="H976" s="43"/>
      <c r="I976" s="43"/>
      <c r="K976" s="3" t="e">
        <f t="shared" si="84"/>
        <v>#DIV/0!</v>
      </c>
      <c r="L976" s="3" t="e">
        <f ca="1">SQRT(AVERAGE(K976:OFFSET(K976,$B$5-1,0))*$B$9/(4*LN(2)))</f>
        <v>#DIV/0!</v>
      </c>
      <c r="M976" s="3" t="e">
        <f ca="1">SQRT(AVERAGE(K976:OFFSET(K976,$B$6-1,0))*$B$9/(4*LN(2)))</f>
        <v>#DIV/0!</v>
      </c>
      <c r="N976" s="3" t="e">
        <f ca="1">SQRT(AVERAGE(K976:OFFSET(K976,$B$7-1,0))*$B$9/(4*LN(2)))</f>
        <v>#DIV/0!</v>
      </c>
      <c r="O976" s="3" t="e">
        <f ca="1">SQRT(AVERAGE(K976:OFFSET(K976,$B$8-1,0))*$B$9/(4*LN(2)))</f>
        <v>#DIV/0!</v>
      </c>
      <c r="Q976" s="5" t="e">
        <f t="shared" si="83"/>
        <v>#DIV/0!</v>
      </c>
      <c r="R976" s="5" t="e">
        <f ca="1">SQRT($B$9*AVERAGE((Q976:OFFSET(Q976,$B$5-1,0))))</f>
        <v>#DIV/0!</v>
      </c>
      <c r="S976" s="5" t="e">
        <f ca="1">SQRT($B$9*AVERAGE((Q976:OFFSET(Q976,$B$6-1,0))))</f>
        <v>#DIV/0!</v>
      </c>
      <c r="T976" s="5" t="e">
        <f ca="1">SQRT($B$9*AVERAGE((Q976:OFFSET(Q976,$B$7-1,0))))</f>
        <v>#DIV/0!</v>
      </c>
      <c r="U976" s="5" t="e">
        <f ca="1">SQRT($B$9*AVERAGE((Q976:OFFSET(Q976,$B$8-1,0))))</f>
        <v>#DIV/0!</v>
      </c>
      <c r="W976" s="6" t="e">
        <f t="shared" si="82"/>
        <v>#DIV/0!</v>
      </c>
      <c r="X976" s="6" t="e">
        <f ca="1">SQRT($B$9*AVERAGE(W976:OFFSET(W976,$B$5-1,0)))</f>
        <v>#DIV/0!</v>
      </c>
      <c r="Y976" s="6" t="e">
        <f ca="1">SQRT($B$9*AVERAGE(W976:OFFSET(W976,$B$6-1,0)))</f>
        <v>#DIV/0!</v>
      </c>
      <c r="Z976" s="6" t="e">
        <f ca="1">SQRT($B$9*AVERAGE(W976:OFFSET(W976,$B$7-1,0)))</f>
        <v>#DIV/0!</v>
      </c>
      <c r="AA976" s="6" t="e">
        <f ca="1">SQRT($B$9*AVERAGE(W976:OFFSET(W976,$B$8-1,0)))</f>
        <v>#DIV/0!</v>
      </c>
      <c r="AC976" s="34" t="e">
        <f t="shared" si="80"/>
        <v>#DIV/0!</v>
      </c>
      <c r="AD976" s="34" t="e">
        <f ca="1">SQRT($B$9*SUM(AC976:OFFSET(AC976,$B$5-1,0))/($B$5-1))</f>
        <v>#DIV/0!</v>
      </c>
      <c r="AE976" s="34" t="e">
        <f ca="1">SQRT($B$9*SUM(AC976:OFFSET(AC976,$B$6-1,0))/($B$6-1))</f>
        <v>#DIV/0!</v>
      </c>
      <c r="AF976" s="34" t="e">
        <f ca="1">SQRT($B$9*SUM(AC976:OFFSET(AC976,$B$7-1,0))/($B$7-1))</f>
        <v>#DIV/0!</v>
      </c>
      <c r="AG976" s="34" t="e">
        <f ca="1">SQRT($B$9*SUM(AC976:OFFSET(AC976,$B$8-1,0))/($B$8-1))</f>
        <v>#DIV/0!</v>
      </c>
      <c r="AI976" s="1" t="e">
        <f t="shared" si="81"/>
        <v>#DIV/0!</v>
      </c>
      <c r="AJ976" s="4" t="e">
        <f ca="1">SQRT($B$9)*_xlfn.STDEV.S(AI976:OFFSET(AI976,$B$5-1,0))</f>
        <v>#DIV/0!</v>
      </c>
      <c r="AK976" s="4" t="e">
        <f ca="1">SQRT($B$9)*_xlfn.STDEV.S(AI976:OFFSET(AI976,$B$6-1,0))</f>
        <v>#DIV/0!</v>
      </c>
      <c r="AL976" s="4" t="e">
        <f ca="1">SQRT($B$9)*_xlfn.STDEV.S(AI976:OFFSET(AI976,$B$7-1,0))</f>
        <v>#DIV/0!</v>
      </c>
      <c r="AM976" s="4" t="e">
        <f ca="1">SQRT($B$9)*_xlfn.STDEV.S(AI976:OFFSET(AI976,$B$8-1,0))</f>
        <v>#DIV/0!</v>
      </c>
    </row>
    <row r="977" spans="5:39" x14ac:dyDescent="0.2">
      <c r="E977" s="42">
        <v>44012</v>
      </c>
      <c r="F977" s="43"/>
      <c r="G977" s="43"/>
      <c r="H977" s="43"/>
      <c r="I977" s="43"/>
      <c r="K977" s="3" t="e">
        <f t="shared" si="84"/>
        <v>#DIV/0!</v>
      </c>
      <c r="L977" s="3" t="e">
        <f ca="1">SQRT(AVERAGE(K977:OFFSET(K977,$B$5-1,0))*$B$9/(4*LN(2)))</f>
        <v>#DIV/0!</v>
      </c>
      <c r="M977" s="3" t="e">
        <f ca="1">SQRT(AVERAGE(K977:OFFSET(K977,$B$6-1,0))*$B$9/(4*LN(2)))</f>
        <v>#DIV/0!</v>
      </c>
      <c r="N977" s="3" t="e">
        <f ca="1">SQRT(AVERAGE(K977:OFFSET(K977,$B$7-1,0))*$B$9/(4*LN(2)))</f>
        <v>#DIV/0!</v>
      </c>
      <c r="O977" s="3" t="e">
        <f ca="1">SQRT(AVERAGE(K977:OFFSET(K977,$B$8-1,0))*$B$9/(4*LN(2)))</f>
        <v>#DIV/0!</v>
      </c>
      <c r="Q977" s="5" t="e">
        <f t="shared" si="83"/>
        <v>#DIV/0!</v>
      </c>
      <c r="R977" s="5" t="e">
        <f ca="1">SQRT($B$9*AVERAGE((Q977:OFFSET(Q977,$B$5-1,0))))</f>
        <v>#DIV/0!</v>
      </c>
      <c r="S977" s="5" t="e">
        <f ca="1">SQRT($B$9*AVERAGE((Q977:OFFSET(Q977,$B$6-1,0))))</f>
        <v>#DIV/0!</v>
      </c>
      <c r="T977" s="5" t="e">
        <f ca="1">SQRT($B$9*AVERAGE((Q977:OFFSET(Q977,$B$7-1,0))))</f>
        <v>#DIV/0!</v>
      </c>
      <c r="U977" s="5" t="e">
        <f ca="1">SQRT($B$9*AVERAGE((Q977:OFFSET(Q977,$B$8-1,0))))</f>
        <v>#DIV/0!</v>
      </c>
      <c r="W977" s="6" t="e">
        <f t="shared" si="82"/>
        <v>#DIV/0!</v>
      </c>
      <c r="X977" s="6" t="e">
        <f ca="1">SQRT($B$9*AVERAGE(W977:OFFSET(W977,$B$5-1,0)))</f>
        <v>#DIV/0!</v>
      </c>
      <c r="Y977" s="6" t="e">
        <f ca="1">SQRT($B$9*AVERAGE(W977:OFFSET(W977,$B$6-1,0)))</f>
        <v>#DIV/0!</v>
      </c>
      <c r="Z977" s="6" t="e">
        <f ca="1">SQRT($B$9*AVERAGE(W977:OFFSET(W977,$B$7-1,0)))</f>
        <v>#DIV/0!</v>
      </c>
      <c r="AA977" s="6" t="e">
        <f ca="1">SQRT($B$9*AVERAGE(W977:OFFSET(W977,$B$8-1,0)))</f>
        <v>#DIV/0!</v>
      </c>
      <c r="AC977" s="34" t="e">
        <f t="shared" ref="AC977:AC1040" si="85">(LN(I977/I978))^2</f>
        <v>#DIV/0!</v>
      </c>
      <c r="AD977" s="34" t="e">
        <f ca="1">SQRT($B$9*SUM(AC977:OFFSET(AC977,$B$5-1,0))/($B$5-1))</f>
        <v>#DIV/0!</v>
      </c>
      <c r="AE977" s="34" t="e">
        <f ca="1">SQRT($B$9*SUM(AC977:OFFSET(AC977,$B$6-1,0))/($B$6-1))</f>
        <v>#DIV/0!</v>
      </c>
      <c r="AF977" s="34" t="e">
        <f ca="1">SQRT($B$9*SUM(AC977:OFFSET(AC977,$B$7-1,0))/($B$7-1))</f>
        <v>#DIV/0!</v>
      </c>
      <c r="AG977" s="34" t="e">
        <f ca="1">SQRT($B$9*SUM(AC977:OFFSET(AC977,$B$8-1,0))/($B$8-1))</f>
        <v>#DIV/0!</v>
      </c>
      <c r="AI977" s="1" t="e">
        <f t="shared" si="81"/>
        <v>#DIV/0!</v>
      </c>
      <c r="AJ977" s="4" t="e">
        <f ca="1">SQRT($B$9)*_xlfn.STDEV.S(AI977:OFFSET(AI977,$B$5-1,0))</f>
        <v>#DIV/0!</v>
      </c>
      <c r="AK977" s="4" t="e">
        <f ca="1">SQRT($B$9)*_xlfn.STDEV.S(AI977:OFFSET(AI977,$B$6-1,0))</f>
        <v>#DIV/0!</v>
      </c>
      <c r="AL977" s="4" t="e">
        <f ca="1">SQRT($B$9)*_xlfn.STDEV.S(AI977:OFFSET(AI977,$B$7-1,0))</f>
        <v>#DIV/0!</v>
      </c>
      <c r="AM977" s="4" t="e">
        <f ca="1">SQRT($B$9)*_xlfn.STDEV.S(AI977:OFFSET(AI977,$B$8-1,0))</f>
        <v>#DIV/0!</v>
      </c>
    </row>
    <row r="978" spans="5:39" x14ac:dyDescent="0.2">
      <c r="E978" s="42">
        <v>44011</v>
      </c>
      <c r="F978" s="43"/>
      <c r="G978" s="43"/>
      <c r="H978" s="43"/>
      <c r="I978" s="43"/>
      <c r="K978" s="3" t="e">
        <f t="shared" si="84"/>
        <v>#DIV/0!</v>
      </c>
      <c r="L978" s="3" t="e">
        <f ca="1">SQRT(AVERAGE(K978:OFFSET(K978,$B$5-1,0))*$B$9/(4*LN(2)))</f>
        <v>#DIV/0!</v>
      </c>
      <c r="M978" s="3" t="e">
        <f ca="1">SQRT(AVERAGE(K978:OFFSET(K978,$B$6-1,0))*$B$9/(4*LN(2)))</f>
        <v>#DIV/0!</v>
      </c>
      <c r="N978" s="3" t="e">
        <f ca="1">SQRT(AVERAGE(K978:OFFSET(K978,$B$7-1,0))*$B$9/(4*LN(2)))</f>
        <v>#DIV/0!</v>
      </c>
      <c r="O978" s="3" t="e">
        <f ca="1">SQRT(AVERAGE(K978:OFFSET(K978,$B$8-1,0))*$B$9/(4*LN(2)))</f>
        <v>#DIV/0!</v>
      </c>
      <c r="Q978" s="5" t="e">
        <f t="shared" si="83"/>
        <v>#DIV/0!</v>
      </c>
      <c r="R978" s="5" t="e">
        <f ca="1">SQRT($B$9*AVERAGE((Q978:OFFSET(Q978,$B$5-1,0))))</f>
        <v>#DIV/0!</v>
      </c>
      <c r="S978" s="5" t="e">
        <f ca="1">SQRT($B$9*AVERAGE((Q978:OFFSET(Q978,$B$6-1,0))))</f>
        <v>#DIV/0!</v>
      </c>
      <c r="T978" s="5" t="e">
        <f ca="1">SQRT($B$9*AVERAGE((Q978:OFFSET(Q978,$B$7-1,0))))</f>
        <v>#DIV/0!</v>
      </c>
      <c r="U978" s="5" t="e">
        <f ca="1">SQRT($B$9*AVERAGE((Q978:OFFSET(Q978,$B$8-1,0))))</f>
        <v>#DIV/0!</v>
      </c>
      <c r="W978" s="6" t="e">
        <f t="shared" si="82"/>
        <v>#DIV/0!</v>
      </c>
      <c r="X978" s="6" t="e">
        <f ca="1">SQRT($B$9*AVERAGE(W978:OFFSET(W978,$B$5-1,0)))</f>
        <v>#DIV/0!</v>
      </c>
      <c r="Y978" s="6" t="e">
        <f ca="1">SQRT($B$9*AVERAGE(W978:OFFSET(W978,$B$6-1,0)))</f>
        <v>#DIV/0!</v>
      </c>
      <c r="Z978" s="6" t="e">
        <f ca="1">SQRT($B$9*AVERAGE(W978:OFFSET(W978,$B$7-1,0)))</f>
        <v>#DIV/0!</v>
      </c>
      <c r="AA978" s="6" t="e">
        <f ca="1">SQRT($B$9*AVERAGE(W978:OFFSET(W978,$B$8-1,0)))</f>
        <v>#DIV/0!</v>
      </c>
      <c r="AC978" s="34" t="e">
        <f t="shared" si="85"/>
        <v>#DIV/0!</v>
      </c>
      <c r="AD978" s="34" t="e">
        <f ca="1">SQRT($B$9*SUM(AC978:OFFSET(AC978,$B$5-1,0))/($B$5-1))</f>
        <v>#DIV/0!</v>
      </c>
      <c r="AE978" s="34" t="e">
        <f ca="1">SQRT($B$9*SUM(AC978:OFFSET(AC978,$B$6-1,0))/($B$6-1))</f>
        <v>#DIV/0!</v>
      </c>
      <c r="AF978" s="34" t="e">
        <f ca="1">SQRT($B$9*SUM(AC978:OFFSET(AC978,$B$7-1,0))/($B$7-1))</f>
        <v>#DIV/0!</v>
      </c>
      <c r="AG978" s="34" t="e">
        <f ca="1">SQRT($B$9*SUM(AC978:OFFSET(AC978,$B$8-1,0))/($B$8-1))</f>
        <v>#DIV/0!</v>
      </c>
      <c r="AI978" s="1" t="e">
        <f t="shared" si="81"/>
        <v>#DIV/0!</v>
      </c>
      <c r="AJ978" s="4" t="e">
        <f ca="1">SQRT($B$9)*_xlfn.STDEV.S(AI978:OFFSET(AI978,$B$5-1,0))</f>
        <v>#DIV/0!</v>
      </c>
      <c r="AK978" s="4" t="e">
        <f ca="1">SQRT($B$9)*_xlfn.STDEV.S(AI978:OFFSET(AI978,$B$6-1,0))</f>
        <v>#DIV/0!</v>
      </c>
      <c r="AL978" s="4" t="e">
        <f ca="1">SQRT($B$9)*_xlfn.STDEV.S(AI978:OFFSET(AI978,$B$7-1,0))</f>
        <v>#DIV/0!</v>
      </c>
      <c r="AM978" s="4" t="e">
        <f ca="1">SQRT($B$9)*_xlfn.STDEV.S(AI978:OFFSET(AI978,$B$8-1,0))</f>
        <v>#DIV/0!</v>
      </c>
    </row>
    <row r="979" spans="5:39" x14ac:dyDescent="0.2">
      <c r="E979" s="42">
        <v>44006</v>
      </c>
      <c r="F979" s="43"/>
      <c r="G979" s="43"/>
      <c r="H979" s="43"/>
      <c r="I979" s="43"/>
      <c r="K979" s="3" t="e">
        <f t="shared" si="84"/>
        <v>#DIV/0!</v>
      </c>
      <c r="L979" s="3" t="e">
        <f ca="1">SQRT(AVERAGE(K979:OFFSET(K979,$B$5-1,0))*$B$9/(4*LN(2)))</f>
        <v>#DIV/0!</v>
      </c>
      <c r="M979" s="3" t="e">
        <f ca="1">SQRT(AVERAGE(K979:OFFSET(K979,$B$6-1,0))*$B$9/(4*LN(2)))</f>
        <v>#DIV/0!</v>
      </c>
      <c r="N979" s="3" t="e">
        <f ca="1">SQRT(AVERAGE(K979:OFFSET(K979,$B$7-1,0))*$B$9/(4*LN(2)))</f>
        <v>#DIV/0!</v>
      </c>
      <c r="O979" s="3" t="e">
        <f ca="1">SQRT(AVERAGE(K979:OFFSET(K979,$B$8-1,0))*$B$9/(4*LN(2)))</f>
        <v>#DIV/0!</v>
      </c>
      <c r="Q979" s="5" t="e">
        <f t="shared" si="83"/>
        <v>#DIV/0!</v>
      </c>
      <c r="R979" s="5" t="e">
        <f ca="1">SQRT($B$9*AVERAGE((Q979:OFFSET(Q979,$B$5-1,0))))</f>
        <v>#DIV/0!</v>
      </c>
      <c r="S979" s="5" t="e">
        <f ca="1">SQRT($B$9*AVERAGE((Q979:OFFSET(Q979,$B$6-1,0))))</f>
        <v>#DIV/0!</v>
      </c>
      <c r="T979" s="5" t="e">
        <f ca="1">SQRT($B$9*AVERAGE((Q979:OFFSET(Q979,$B$7-1,0))))</f>
        <v>#DIV/0!</v>
      </c>
      <c r="U979" s="5" t="e">
        <f ca="1">SQRT($B$9*AVERAGE((Q979:OFFSET(Q979,$B$8-1,0))))</f>
        <v>#DIV/0!</v>
      </c>
      <c r="W979" s="6" t="e">
        <f t="shared" si="82"/>
        <v>#DIV/0!</v>
      </c>
      <c r="X979" s="6" t="e">
        <f ca="1">SQRT($B$9*AVERAGE(W979:OFFSET(W979,$B$5-1,0)))</f>
        <v>#DIV/0!</v>
      </c>
      <c r="Y979" s="6" t="e">
        <f ca="1">SQRT($B$9*AVERAGE(W979:OFFSET(W979,$B$6-1,0)))</f>
        <v>#DIV/0!</v>
      </c>
      <c r="Z979" s="6" t="e">
        <f ca="1">SQRT($B$9*AVERAGE(W979:OFFSET(W979,$B$7-1,0)))</f>
        <v>#DIV/0!</v>
      </c>
      <c r="AA979" s="6" t="e">
        <f ca="1">SQRT($B$9*AVERAGE(W979:OFFSET(W979,$B$8-1,0)))</f>
        <v>#DIV/0!</v>
      </c>
      <c r="AC979" s="34" t="e">
        <f t="shared" si="85"/>
        <v>#DIV/0!</v>
      </c>
      <c r="AD979" s="34" t="e">
        <f ca="1">SQRT($B$9*SUM(AC979:OFFSET(AC979,$B$5-1,0))/($B$5-1))</f>
        <v>#DIV/0!</v>
      </c>
      <c r="AE979" s="34" t="e">
        <f ca="1">SQRT($B$9*SUM(AC979:OFFSET(AC979,$B$6-1,0))/($B$6-1))</f>
        <v>#DIV/0!</v>
      </c>
      <c r="AF979" s="34" t="e">
        <f ca="1">SQRT($B$9*SUM(AC979:OFFSET(AC979,$B$7-1,0))/($B$7-1))</f>
        <v>#DIV/0!</v>
      </c>
      <c r="AG979" s="34" t="e">
        <f ca="1">SQRT($B$9*SUM(AC979:OFFSET(AC979,$B$8-1,0))/($B$8-1))</f>
        <v>#DIV/0!</v>
      </c>
      <c r="AI979" s="1" t="e">
        <f t="shared" ref="AI979:AI1042" si="86">LN(I979/I980)</f>
        <v>#DIV/0!</v>
      </c>
      <c r="AJ979" s="4" t="e">
        <f ca="1">SQRT($B$9)*_xlfn.STDEV.S(AI979:OFFSET(AI979,$B$5-1,0))</f>
        <v>#DIV/0!</v>
      </c>
      <c r="AK979" s="4" t="e">
        <f ca="1">SQRT($B$9)*_xlfn.STDEV.S(AI979:OFFSET(AI979,$B$6-1,0))</f>
        <v>#DIV/0!</v>
      </c>
      <c r="AL979" s="4" t="e">
        <f ca="1">SQRT($B$9)*_xlfn.STDEV.S(AI979:OFFSET(AI979,$B$7-1,0))</f>
        <v>#DIV/0!</v>
      </c>
      <c r="AM979" s="4" t="e">
        <f ca="1">SQRT($B$9)*_xlfn.STDEV.S(AI979:OFFSET(AI979,$B$8-1,0))</f>
        <v>#DIV/0!</v>
      </c>
    </row>
    <row r="980" spans="5:39" x14ac:dyDescent="0.2">
      <c r="E980" s="42">
        <v>44005</v>
      </c>
      <c r="F980" s="43"/>
      <c r="G980" s="43"/>
      <c r="H980" s="43"/>
      <c r="I980" s="43"/>
      <c r="K980" s="3" t="e">
        <f t="shared" si="84"/>
        <v>#DIV/0!</v>
      </c>
      <c r="L980" s="3" t="e">
        <f ca="1">SQRT(AVERAGE(K980:OFFSET(K980,$B$5-1,0))*$B$9/(4*LN(2)))</f>
        <v>#DIV/0!</v>
      </c>
      <c r="M980" s="3" t="e">
        <f ca="1">SQRT(AVERAGE(K980:OFFSET(K980,$B$6-1,0))*$B$9/(4*LN(2)))</f>
        <v>#DIV/0!</v>
      </c>
      <c r="N980" s="3" t="e">
        <f ca="1">SQRT(AVERAGE(K980:OFFSET(K980,$B$7-1,0))*$B$9/(4*LN(2)))</f>
        <v>#DIV/0!</v>
      </c>
      <c r="O980" s="3" t="e">
        <f ca="1">SQRT(AVERAGE(K980:OFFSET(K980,$B$8-1,0))*$B$9/(4*LN(2)))</f>
        <v>#DIV/0!</v>
      </c>
      <c r="Q980" s="5" t="e">
        <f t="shared" si="83"/>
        <v>#DIV/0!</v>
      </c>
      <c r="R980" s="5" t="e">
        <f ca="1">SQRT($B$9*AVERAGE((Q980:OFFSET(Q980,$B$5-1,0))))</f>
        <v>#DIV/0!</v>
      </c>
      <c r="S980" s="5" t="e">
        <f ca="1">SQRT($B$9*AVERAGE((Q980:OFFSET(Q980,$B$6-1,0))))</f>
        <v>#DIV/0!</v>
      </c>
      <c r="T980" s="5" t="e">
        <f ca="1">SQRT($B$9*AVERAGE((Q980:OFFSET(Q980,$B$7-1,0))))</f>
        <v>#DIV/0!</v>
      </c>
      <c r="U980" s="5" t="e">
        <f ca="1">SQRT($B$9*AVERAGE((Q980:OFFSET(Q980,$B$8-1,0))))</f>
        <v>#DIV/0!</v>
      </c>
      <c r="W980" s="6" t="e">
        <f t="shared" si="82"/>
        <v>#DIV/0!</v>
      </c>
      <c r="X980" s="6" t="e">
        <f ca="1">SQRT($B$9*AVERAGE(W980:OFFSET(W980,$B$5-1,0)))</f>
        <v>#DIV/0!</v>
      </c>
      <c r="Y980" s="6" t="e">
        <f ca="1">SQRT($B$9*AVERAGE(W980:OFFSET(W980,$B$6-1,0)))</f>
        <v>#DIV/0!</v>
      </c>
      <c r="Z980" s="6" t="e">
        <f ca="1">SQRT($B$9*AVERAGE(W980:OFFSET(W980,$B$7-1,0)))</f>
        <v>#DIV/0!</v>
      </c>
      <c r="AA980" s="6" t="e">
        <f ca="1">SQRT($B$9*AVERAGE(W980:OFFSET(W980,$B$8-1,0)))</f>
        <v>#DIV/0!</v>
      </c>
      <c r="AC980" s="34" t="e">
        <f t="shared" si="85"/>
        <v>#DIV/0!</v>
      </c>
      <c r="AD980" s="34" t="e">
        <f ca="1">SQRT($B$9*SUM(AC980:OFFSET(AC980,$B$5-1,0))/($B$5-1))</f>
        <v>#DIV/0!</v>
      </c>
      <c r="AE980" s="34" t="e">
        <f ca="1">SQRT($B$9*SUM(AC980:OFFSET(AC980,$B$6-1,0))/($B$6-1))</f>
        <v>#DIV/0!</v>
      </c>
      <c r="AF980" s="34" t="e">
        <f ca="1">SQRT($B$9*SUM(AC980:OFFSET(AC980,$B$7-1,0))/($B$7-1))</f>
        <v>#DIV/0!</v>
      </c>
      <c r="AG980" s="34" t="e">
        <f ca="1">SQRT($B$9*SUM(AC980:OFFSET(AC980,$B$8-1,0))/($B$8-1))</f>
        <v>#DIV/0!</v>
      </c>
      <c r="AI980" s="1" t="e">
        <f t="shared" si="86"/>
        <v>#DIV/0!</v>
      </c>
      <c r="AJ980" s="4" t="e">
        <f ca="1">SQRT($B$9)*_xlfn.STDEV.S(AI980:OFFSET(AI980,$B$5-1,0))</f>
        <v>#DIV/0!</v>
      </c>
      <c r="AK980" s="4" t="e">
        <f ca="1">SQRT($B$9)*_xlfn.STDEV.S(AI980:OFFSET(AI980,$B$6-1,0))</f>
        <v>#DIV/0!</v>
      </c>
      <c r="AL980" s="4" t="e">
        <f ca="1">SQRT($B$9)*_xlfn.STDEV.S(AI980:OFFSET(AI980,$B$7-1,0))</f>
        <v>#DIV/0!</v>
      </c>
      <c r="AM980" s="4" t="e">
        <f ca="1">SQRT($B$9)*_xlfn.STDEV.S(AI980:OFFSET(AI980,$B$8-1,0))</f>
        <v>#DIV/0!</v>
      </c>
    </row>
    <row r="981" spans="5:39" x14ac:dyDescent="0.2">
      <c r="E981" s="42">
        <v>44004</v>
      </c>
      <c r="F981" s="43"/>
      <c r="G981" s="43"/>
      <c r="H981" s="43"/>
      <c r="I981" s="43"/>
      <c r="K981" s="3" t="e">
        <f t="shared" si="84"/>
        <v>#DIV/0!</v>
      </c>
      <c r="L981" s="3" t="e">
        <f ca="1">SQRT(AVERAGE(K981:OFFSET(K981,$B$5-1,0))*$B$9/(4*LN(2)))</f>
        <v>#DIV/0!</v>
      </c>
      <c r="M981" s="3" t="e">
        <f ca="1">SQRT(AVERAGE(K981:OFFSET(K981,$B$6-1,0))*$B$9/(4*LN(2)))</f>
        <v>#DIV/0!</v>
      </c>
      <c r="N981" s="3" t="e">
        <f ca="1">SQRT(AVERAGE(K981:OFFSET(K981,$B$7-1,0))*$B$9/(4*LN(2)))</f>
        <v>#DIV/0!</v>
      </c>
      <c r="O981" s="3" t="e">
        <f ca="1">SQRT(AVERAGE(K981:OFFSET(K981,$B$8-1,0))*$B$9/(4*LN(2)))</f>
        <v>#DIV/0!</v>
      </c>
      <c r="Q981" s="5" t="e">
        <f t="shared" si="83"/>
        <v>#DIV/0!</v>
      </c>
      <c r="R981" s="5" t="e">
        <f ca="1">SQRT($B$9*AVERAGE((Q981:OFFSET(Q981,$B$5-1,0))))</f>
        <v>#DIV/0!</v>
      </c>
      <c r="S981" s="5" t="e">
        <f ca="1">SQRT($B$9*AVERAGE((Q981:OFFSET(Q981,$B$6-1,0))))</f>
        <v>#DIV/0!</v>
      </c>
      <c r="T981" s="5" t="e">
        <f ca="1">SQRT($B$9*AVERAGE((Q981:OFFSET(Q981,$B$7-1,0))))</f>
        <v>#DIV/0!</v>
      </c>
      <c r="U981" s="5" t="e">
        <f ca="1">SQRT($B$9*AVERAGE((Q981:OFFSET(Q981,$B$8-1,0))))</f>
        <v>#DIV/0!</v>
      </c>
      <c r="W981" s="6" t="e">
        <f t="shared" si="82"/>
        <v>#DIV/0!</v>
      </c>
      <c r="X981" s="6" t="e">
        <f ca="1">SQRT($B$9*AVERAGE(W981:OFFSET(W981,$B$5-1,0)))</f>
        <v>#DIV/0!</v>
      </c>
      <c r="Y981" s="6" t="e">
        <f ca="1">SQRT($B$9*AVERAGE(W981:OFFSET(W981,$B$6-1,0)))</f>
        <v>#DIV/0!</v>
      </c>
      <c r="Z981" s="6" t="e">
        <f ca="1">SQRT($B$9*AVERAGE(W981:OFFSET(W981,$B$7-1,0)))</f>
        <v>#DIV/0!</v>
      </c>
      <c r="AA981" s="6" t="e">
        <f ca="1">SQRT($B$9*AVERAGE(W981:OFFSET(W981,$B$8-1,0)))</f>
        <v>#DIV/0!</v>
      </c>
      <c r="AC981" s="34" t="e">
        <f t="shared" si="85"/>
        <v>#DIV/0!</v>
      </c>
      <c r="AD981" s="34" t="e">
        <f ca="1">SQRT($B$9*SUM(AC981:OFFSET(AC981,$B$5-1,0))/($B$5-1))</f>
        <v>#DIV/0!</v>
      </c>
      <c r="AE981" s="34" t="e">
        <f ca="1">SQRT($B$9*SUM(AC981:OFFSET(AC981,$B$6-1,0))/($B$6-1))</f>
        <v>#DIV/0!</v>
      </c>
      <c r="AF981" s="34" t="e">
        <f ca="1">SQRT($B$9*SUM(AC981:OFFSET(AC981,$B$7-1,0))/($B$7-1))</f>
        <v>#DIV/0!</v>
      </c>
      <c r="AG981" s="34" t="e">
        <f ca="1">SQRT($B$9*SUM(AC981:OFFSET(AC981,$B$8-1,0))/($B$8-1))</f>
        <v>#DIV/0!</v>
      </c>
      <c r="AI981" s="1" t="e">
        <f t="shared" si="86"/>
        <v>#DIV/0!</v>
      </c>
      <c r="AJ981" s="4" t="e">
        <f ca="1">SQRT($B$9)*_xlfn.STDEV.S(AI981:OFFSET(AI981,$B$5-1,0))</f>
        <v>#DIV/0!</v>
      </c>
      <c r="AK981" s="4" t="e">
        <f ca="1">SQRT($B$9)*_xlfn.STDEV.S(AI981:OFFSET(AI981,$B$6-1,0))</f>
        <v>#DIV/0!</v>
      </c>
      <c r="AL981" s="4" t="e">
        <f ca="1">SQRT($B$9)*_xlfn.STDEV.S(AI981:OFFSET(AI981,$B$7-1,0))</f>
        <v>#DIV/0!</v>
      </c>
      <c r="AM981" s="4" t="e">
        <f ca="1">SQRT($B$9)*_xlfn.STDEV.S(AI981:OFFSET(AI981,$B$8-1,0))</f>
        <v>#DIV/0!</v>
      </c>
    </row>
    <row r="982" spans="5:39" x14ac:dyDescent="0.2">
      <c r="E982" s="42">
        <v>44001</v>
      </c>
      <c r="F982" s="43"/>
      <c r="G982" s="43"/>
      <c r="H982" s="43"/>
      <c r="I982" s="43"/>
      <c r="K982" s="3" t="e">
        <f t="shared" si="84"/>
        <v>#DIV/0!</v>
      </c>
      <c r="L982" s="3" t="e">
        <f ca="1">SQRT(AVERAGE(K982:OFFSET(K982,$B$5-1,0))*$B$9/(4*LN(2)))</f>
        <v>#DIV/0!</v>
      </c>
      <c r="M982" s="3" t="e">
        <f ca="1">SQRT(AVERAGE(K982:OFFSET(K982,$B$6-1,0))*$B$9/(4*LN(2)))</f>
        <v>#DIV/0!</v>
      </c>
      <c r="N982" s="3" t="e">
        <f ca="1">SQRT(AVERAGE(K982:OFFSET(K982,$B$7-1,0))*$B$9/(4*LN(2)))</f>
        <v>#DIV/0!</v>
      </c>
      <c r="O982" s="3" t="e">
        <f ca="1">SQRT(AVERAGE(K982:OFFSET(K982,$B$8-1,0))*$B$9/(4*LN(2)))</f>
        <v>#DIV/0!</v>
      </c>
      <c r="Q982" s="5" t="e">
        <f t="shared" si="83"/>
        <v>#DIV/0!</v>
      </c>
      <c r="R982" s="5" t="e">
        <f ca="1">SQRT($B$9*AVERAGE((Q982:OFFSET(Q982,$B$5-1,0))))</f>
        <v>#DIV/0!</v>
      </c>
      <c r="S982" s="5" t="e">
        <f ca="1">SQRT($B$9*AVERAGE((Q982:OFFSET(Q982,$B$6-1,0))))</f>
        <v>#DIV/0!</v>
      </c>
      <c r="T982" s="5" t="e">
        <f ca="1">SQRT($B$9*AVERAGE((Q982:OFFSET(Q982,$B$7-1,0))))</f>
        <v>#DIV/0!</v>
      </c>
      <c r="U982" s="5" t="e">
        <f ca="1">SQRT($B$9*AVERAGE((Q982:OFFSET(Q982,$B$8-1,0))))</f>
        <v>#DIV/0!</v>
      </c>
      <c r="W982" s="6" t="e">
        <f t="shared" si="82"/>
        <v>#DIV/0!</v>
      </c>
      <c r="X982" s="6" t="e">
        <f ca="1">SQRT($B$9*AVERAGE(W982:OFFSET(W982,$B$5-1,0)))</f>
        <v>#DIV/0!</v>
      </c>
      <c r="Y982" s="6" t="e">
        <f ca="1">SQRT($B$9*AVERAGE(W982:OFFSET(W982,$B$6-1,0)))</f>
        <v>#DIV/0!</v>
      </c>
      <c r="Z982" s="6" t="e">
        <f ca="1">SQRT($B$9*AVERAGE(W982:OFFSET(W982,$B$7-1,0)))</f>
        <v>#DIV/0!</v>
      </c>
      <c r="AA982" s="6" t="e">
        <f ca="1">SQRT($B$9*AVERAGE(W982:OFFSET(W982,$B$8-1,0)))</f>
        <v>#DIV/0!</v>
      </c>
      <c r="AC982" s="34" t="e">
        <f t="shared" si="85"/>
        <v>#DIV/0!</v>
      </c>
      <c r="AD982" s="34" t="e">
        <f ca="1">SQRT($B$9*SUM(AC982:OFFSET(AC982,$B$5-1,0))/($B$5-1))</f>
        <v>#DIV/0!</v>
      </c>
      <c r="AE982" s="34" t="e">
        <f ca="1">SQRT($B$9*SUM(AC982:OFFSET(AC982,$B$6-1,0))/($B$6-1))</f>
        <v>#DIV/0!</v>
      </c>
      <c r="AF982" s="34" t="e">
        <f ca="1">SQRT($B$9*SUM(AC982:OFFSET(AC982,$B$7-1,0))/($B$7-1))</f>
        <v>#DIV/0!</v>
      </c>
      <c r="AG982" s="34" t="e">
        <f ca="1">SQRT($B$9*SUM(AC982:OFFSET(AC982,$B$8-1,0))/($B$8-1))</f>
        <v>#DIV/0!</v>
      </c>
      <c r="AI982" s="1" t="e">
        <f t="shared" si="86"/>
        <v>#DIV/0!</v>
      </c>
      <c r="AJ982" s="4" t="e">
        <f ca="1">SQRT($B$9)*_xlfn.STDEV.S(AI982:OFFSET(AI982,$B$5-1,0))</f>
        <v>#DIV/0!</v>
      </c>
      <c r="AK982" s="4" t="e">
        <f ca="1">SQRT($B$9)*_xlfn.STDEV.S(AI982:OFFSET(AI982,$B$6-1,0))</f>
        <v>#DIV/0!</v>
      </c>
      <c r="AL982" s="4" t="e">
        <f ca="1">SQRT($B$9)*_xlfn.STDEV.S(AI982:OFFSET(AI982,$B$7-1,0))</f>
        <v>#DIV/0!</v>
      </c>
      <c r="AM982" s="4" t="e">
        <f ca="1">SQRT($B$9)*_xlfn.STDEV.S(AI982:OFFSET(AI982,$B$8-1,0))</f>
        <v>#DIV/0!</v>
      </c>
    </row>
    <row r="983" spans="5:39" x14ac:dyDescent="0.2">
      <c r="E983" s="42">
        <v>44000</v>
      </c>
      <c r="F983" s="43"/>
      <c r="G983" s="43"/>
      <c r="H983" s="43"/>
      <c r="I983" s="43"/>
      <c r="K983" s="3" t="e">
        <f t="shared" si="84"/>
        <v>#DIV/0!</v>
      </c>
      <c r="L983" s="3" t="e">
        <f ca="1">SQRT(AVERAGE(K983:OFFSET(K983,$B$5-1,0))*$B$9/(4*LN(2)))</f>
        <v>#DIV/0!</v>
      </c>
      <c r="M983" s="3" t="e">
        <f ca="1">SQRT(AVERAGE(K983:OFFSET(K983,$B$6-1,0))*$B$9/(4*LN(2)))</f>
        <v>#DIV/0!</v>
      </c>
      <c r="N983" s="3" t="e">
        <f ca="1">SQRT(AVERAGE(K983:OFFSET(K983,$B$7-1,0))*$B$9/(4*LN(2)))</f>
        <v>#DIV/0!</v>
      </c>
      <c r="O983" s="3" t="e">
        <f ca="1">SQRT(AVERAGE(K983:OFFSET(K983,$B$8-1,0))*$B$9/(4*LN(2)))</f>
        <v>#DIV/0!</v>
      </c>
      <c r="Q983" s="5" t="e">
        <f t="shared" si="83"/>
        <v>#DIV/0!</v>
      </c>
      <c r="R983" s="5" t="e">
        <f ca="1">SQRT($B$9*AVERAGE((Q983:OFFSET(Q983,$B$5-1,0))))</f>
        <v>#DIV/0!</v>
      </c>
      <c r="S983" s="5" t="e">
        <f ca="1">SQRT($B$9*AVERAGE((Q983:OFFSET(Q983,$B$6-1,0))))</f>
        <v>#DIV/0!</v>
      </c>
      <c r="T983" s="5" t="e">
        <f ca="1">SQRT($B$9*AVERAGE((Q983:OFFSET(Q983,$B$7-1,0))))</f>
        <v>#DIV/0!</v>
      </c>
      <c r="U983" s="5" t="e">
        <f ca="1">SQRT($B$9*AVERAGE((Q983:OFFSET(Q983,$B$8-1,0))))</f>
        <v>#DIV/0!</v>
      </c>
      <c r="W983" s="6" t="e">
        <f t="shared" si="82"/>
        <v>#DIV/0!</v>
      </c>
      <c r="X983" s="6" t="e">
        <f ca="1">SQRT($B$9*AVERAGE(W983:OFFSET(W983,$B$5-1,0)))</f>
        <v>#DIV/0!</v>
      </c>
      <c r="Y983" s="6" t="e">
        <f ca="1">SQRT($B$9*AVERAGE(W983:OFFSET(W983,$B$6-1,0)))</f>
        <v>#DIV/0!</v>
      </c>
      <c r="Z983" s="6" t="e">
        <f ca="1">SQRT($B$9*AVERAGE(W983:OFFSET(W983,$B$7-1,0)))</f>
        <v>#DIV/0!</v>
      </c>
      <c r="AA983" s="6" t="e">
        <f ca="1">SQRT($B$9*AVERAGE(W983:OFFSET(W983,$B$8-1,0)))</f>
        <v>#DIV/0!</v>
      </c>
      <c r="AC983" s="34" t="e">
        <f t="shared" si="85"/>
        <v>#DIV/0!</v>
      </c>
      <c r="AD983" s="34" t="e">
        <f ca="1">SQRT($B$9*SUM(AC983:OFFSET(AC983,$B$5-1,0))/($B$5-1))</f>
        <v>#DIV/0!</v>
      </c>
      <c r="AE983" s="34" t="e">
        <f ca="1">SQRT($B$9*SUM(AC983:OFFSET(AC983,$B$6-1,0))/($B$6-1))</f>
        <v>#DIV/0!</v>
      </c>
      <c r="AF983" s="34" t="e">
        <f ca="1">SQRT($B$9*SUM(AC983:OFFSET(AC983,$B$7-1,0))/($B$7-1))</f>
        <v>#DIV/0!</v>
      </c>
      <c r="AG983" s="34" t="e">
        <f ca="1">SQRT($B$9*SUM(AC983:OFFSET(AC983,$B$8-1,0))/($B$8-1))</f>
        <v>#DIV/0!</v>
      </c>
      <c r="AI983" s="1" t="e">
        <f t="shared" si="86"/>
        <v>#DIV/0!</v>
      </c>
      <c r="AJ983" s="4" t="e">
        <f ca="1">SQRT($B$9)*_xlfn.STDEV.S(AI983:OFFSET(AI983,$B$5-1,0))</f>
        <v>#DIV/0!</v>
      </c>
      <c r="AK983" s="4" t="e">
        <f ca="1">SQRT($B$9)*_xlfn.STDEV.S(AI983:OFFSET(AI983,$B$6-1,0))</f>
        <v>#DIV/0!</v>
      </c>
      <c r="AL983" s="4" t="e">
        <f ca="1">SQRT($B$9)*_xlfn.STDEV.S(AI983:OFFSET(AI983,$B$7-1,0))</f>
        <v>#DIV/0!</v>
      </c>
      <c r="AM983" s="4" t="e">
        <f ca="1">SQRT($B$9)*_xlfn.STDEV.S(AI983:OFFSET(AI983,$B$8-1,0))</f>
        <v>#DIV/0!</v>
      </c>
    </row>
    <row r="984" spans="5:39" x14ac:dyDescent="0.2">
      <c r="E984" s="42">
        <v>43999</v>
      </c>
      <c r="F984" s="43"/>
      <c r="G984" s="43"/>
      <c r="H984" s="43"/>
      <c r="I984" s="43"/>
      <c r="K984" s="3" t="e">
        <f t="shared" si="84"/>
        <v>#DIV/0!</v>
      </c>
      <c r="L984" s="3" t="e">
        <f ca="1">SQRT(AVERAGE(K984:OFFSET(K984,$B$5-1,0))*$B$9/(4*LN(2)))</f>
        <v>#DIV/0!</v>
      </c>
      <c r="M984" s="3" t="e">
        <f ca="1">SQRT(AVERAGE(K984:OFFSET(K984,$B$6-1,0))*$B$9/(4*LN(2)))</f>
        <v>#DIV/0!</v>
      </c>
      <c r="N984" s="3" t="e">
        <f ca="1">SQRT(AVERAGE(K984:OFFSET(K984,$B$7-1,0))*$B$9/(4*LN(2)))</f>
        <v>#DIV/0!</v>
      </c>
      <c r="O984" s="3" t="e">
        <f ca="1">SQRT(AVERAGE(K984:OFFSET(K984,$B$8-1,0))*$B$9/(4*LN(2)))</f>
        <v>#DIV/0!</v>
      </c>
      <c r="Q984" s="5" t="e">
        <f t="shared" si="83"/>
        <v>#DIV/0!</v>
      </c>
      <c r="R984" s="5" t="e">
        <f ca="1">SQRT($B$9*AVERAGE((Q984:OFFSET(Q984,$B$5-1,0))))</f>
        <v>#DIV/0!</v>
      </c>
      <c r="S984" s="5" t="e">
        <f ca="1">SQRT($B$9*AVERAGE((Q984:OFFSET(Q984,$B$6-1,0))))</f>
        <v>#DIV/0!</v>
      </c>
      <c r="T984" s="5" t="e">
        <f ca="1">SQRT($B$9*AVERAGE((Q984:OFFSET(Q984,$B$7-1,0))))</f>
        <v>#DIV/0!</v>
      </c>
      <c r="U984" s="5" t="e">
        <f ca="1">SQRT($B$9*AVERAGE((Q984:OFFSET(Q984,$B$8-1,0))))</f>
        <v>#DIV/0!</v>
      </c>
      <c r="W984" s="6" t="e">
        <f t="shared" si="82"/>
        <v>#DIV/0!</v>
      </c>
      <c r="X984" s="6" t="e">
        <f ca="1">SQRT($B$9*AVERAGE(W984:OFFSET(W984,$B$5-1,0)))</f>
        <v>#DIV/0!</v>
      </c>
      <c r="Y984" s="6" t="e">
        <f ca="1">SQRT($B$9*AVERAGE(W984:OFFSET(W984,$B$6-1,0)))</f>
        <v>#DIV/0!</v>
      </c>
      <c r="Z984" s="6" t="e">
        <f ca="1">SQRT($B$9*AVERAGE(W984:OFFSET(W984,$B$7-1,0)))</f>
        <v>#DIV/0!</v>
      </c>
      <c r="AA984" s="6" t="e">
        <f ca="1">SQRT($B$9*AVERAGE(W984:OFFSET(W984,$B$8-1,0)))</f>
        <v>#DIV/0!</v>
      </c>
      <c r="AC984" s="34" t="e">
        <f t="shared" si="85"/>
        <v>#DIV/0!</v>
      </c>
      <c r="AD984" s="34" t="e">
        <f ca="1">SQRT($B$9*SUM(AC984:OFFSET(AC984,$B$5-1,0))/($B$5-1))</f>
        <v>#DIV/0!</v>
      </c>
      <c r="AE984" s="34" t="e">
        <f ca="1">SQRT($B$9*SUM(AC984:OFFSET(AC984,$B$6-1,0))/($B$6-1))</f>
        <v>#DIV/0!</v>
      </c>
      <c r="AF984" s="34" t="e">
        <f ca="1">SQRT($B$9*SUM(AC984:OFFSET(AC984,$B$7-1,0))/($B$7-1))</f>
        <v>#DIV/0!</v>
      </c>
      <c r="AG984" s="34" t="e">
        <f ca="1">SQRT($B$9*SUM(AC984:OFFSET(AC984,$B$8-1,0))/($B$8-1))</f>
        <v>#DIV/0!</v>
      </c>
      <c r="AI984" s="1" t="e">
        <f t="shared" si="86"/>
        <v>#DIV/0!</v>
      </c>
      <c r="AJ984" s="4" t="e">
        <f ca="1">SQRT($B$9)*_xlfn.STDEV.S(AI984:OFFSET(AI984,$B$5-1,0))</f>
        <v>#DIV/0!</v>
      </c>
      <c r="AK984" s="4" t="e">
        <f ca="1">SQRT($B$9)*_xlfn.STDEV.S(AI984:OFFSET(AI984,$B$6-1,0))</f>
        <v>#DIV/0!</v>
      </c>
      <c r="AL984" s="4" t="e">
        <f ca="1">SQRT($B$9)*_xlfn.STDEV.S(AI984:OFFSET(AI984,$B$7-1,0))</f>
        <v>#DIV/0!</v>
      </c>
      <c r="AM984" s="4" t="e">
        <f ca="1">SQRT($B$9)*_xlfn.STDEV.S(AI984:OFFSET(AI984,$B$8-1,0))</f>
        <v>#DIV/0!</v>
      </c>
    </row>
    <row r="985" spans="5:39" x14ac:dyDescent="0.2">
      <c r="E985" s="42">
        <v>43998</v>
      </c>
      <c r="F985" s="43"/>
      <c r="G985" s="43"/>
      <c r="H985" s="43"/>
      <c r="I985" s="43"/>
      <c r="K985" s="3" t="e">
        <f t="shared" si="84"/>
        <v>#DIV/0!</v>
      </c>
      <c r="L985" s="3" t="e">
        <f ca="1">SQRT(AVERAGE(K985:OFFSET(K985,$B$5-1,0))*$B$9/(4*LN(2)))</f>
        <v>#DIV/0!</v>
      </c>
      <c r="M985" s="3" t="e">
        <f ca="1">SQRT(AVERAGE(K985:OFFSET(K985,$B$6-1,0))*$B$9/(4*LN(2)))</f>
        <v>#DIV/0!</v>
      </c>
      <c r="N985" s="3" t="e">
        <f ca="1">SQRT(AVERAGE(K985:OFFSET(K985,$B$7-1,0))*$B$9/(4*LN(2)))</f>
        <v>#DIV/0!</v>
      </c>
      <c r="O985" s="3" t="e">
        <f ca="1">SQRT(AVERAGE(K985:OFFSET(K985,$B$8-1,0))*$B$9/(4*LN(2)))</f>
        <v>#DIV/0!</v>
      </c>
      <c r="Q985" s="5" t="e">
        <f t="shared" si="83"/>
        <v>#DIV/0!</v>
      </c>
      <c r="R985" s="5" t="e">
        <f ca="1">SQRT($B$9*AVERAGE((Q985:OFFSET(Q985,$B$5-1,0))))</f>
        <v>#DIV/0!</v>
      </c>
      <c r="S985" s="5" t="e">
        <f ca="1">SQRT($B$9*AVERAGE((Q985:OFFSET(Q985,$B$6-1,0))))</f>
        <v>#DIV/0!</v>
      </c>
      <c r="T985" s="5" t="e">
        <f ca="1">SQRT($B$9*AVERAGE((Q985:OFFSET(Q985,$B$7-1,0))))</f>
        <v>#DIV/0!</v>
      </c>
      <c r="U985" s="5" t="e">
        <f ca="1">SQRT($B$9*AVERAGE((Q985:OFFSET(Q985,$B$8-1,0))))</f>
        <v>#DIV/0!</v>
      </c>
      <c r="W985" s="6" t="e">
        <f t="shared" si="82"/>
        <v>#DIV/0!</v>
      </c>
      <c r="X985" s="6" t="e">
        <f ca="1">SQRT($B$9*AVERAGE(W985:OFFSET(W985,$B$5-1,0)))</f>
        <v>#DIV/0!</v>
      </c>
      <c r="Y985" s="6" t="e">
        <f ca="1">SQRT($B$9*AVERAGE(W985:OFFSET(W985,$B$6-1,0)))</f>
        <v>#DIV/0!</v>
      </c>
      <c r="Z985" s="6" t="e">
        <f ca="1">SQRT($B$9*AVERAGE(W985:OFFSET(W985,$B$7-1,0)))</f>
        <v>#DIV/0!</v>
      </c>
      <c r="AA985" s="6" t="e">
        <f ca="1">SQRT($B$9*AVERAGE(W985:OFFSET(W985,$B$8-1,0)))</f>
        <v>#DIV/0!</v>
      </c>
      <c r="AC985" s="34" t="e">
        <f t="shared" si="85"/>
        <v>#DIV/0!</v>
      </c>
      <c r="AD985" s="34" t="e">
        <f ca="1">SQRT($B$9*SUM(AC985:OFFSET(AC985,$B$5-1,0))/($B$5-1))</f>
        <v>#DIV/0!</v>
      </c>
      <c r="AE985" s="34" t="e">
        <f ca="1">SQRT($B$9*SUM(AC985:OFFSET(AC985,$B$6-1,0))/($B$6-1))</f>
        <v>#DIV/0!</v>
      </c>
      <c r="AF985" s="34" t="e">
        <f ca="1">SQRT($B$9*SUM(AC985:OFFSET(AC985,$B$7-1,0))/($B$7-1))</f>
        <v>#DIV/0!</v>
      </c>
      <c r="AG985" s="34" t="e">
        <f ca="1">SQRT($B$9*SUM(AC985:OFFSET(AC985,$B$8-1,0))/($B$8-1))</f>
        <v>#DIV/0!</v>
      </c>
      <c r="AI985" s="1" t="e">
        <f t="shared" si="86"/>
        <v>#DIV/0!</v>
      </c>
      <c r="AJ985" s="4" t="e">
        <f ca="1">SQRT($B$9)*_xlfn.STDEV.S(AI985:OFFSET(AI985,$B$5-1,0))</f>
        <v>#DIV/0!</v>
      </c>
      <c r="AK985" s="4" t="e">
        <f ca="1">SQRT($B$9)*_xlfn.STDEV.S(AI985:OFFSET(AI985,$B$6-1,0))</f>
        <v>#DIV/0!</v>
      </c>
      <c r="AL985" s="4" t="e">
        <f ca="1">SQRT($B$9)*_xlfn.STDEV.S(AI985:OFFSET(AI985,$B$7-1,0))</f>
        <v>#DIV/0!</v>
      </c>
      <c r="AM985" s="4" t="e">
        <f ca="1">SQRT($B$9)*_xlfn.STDEV.S(AI985:OFFSET(AI985,$B$8-1,0))</f>
        <v>#DIV/0!</v>
      </c>
    </row>
    <row r="986" spans="5:39" x14ac:dyDescent="0.2">
      <c r="E986" s="42">
        <v>43997</v>
      </c>
      <c r="F986" s="43"/>
      <c r="G986" s="43"/>
      <c r="H986" s="43"/>
      <c r="I986" s="43"/>
      <c r="K986" s="3" t="e">
        <f t="shared" si="84"/>
        <v>#DIV/0!</v>
      </c>
      <c r="L986" s="3" t="e">
        <f ca="1">SQRT(AVERAGE(K986:OFFSET(K986,$B$5-1,0))*$B$9/(4*LN(2)))</f>
        <v>#DIV/0!</v>
      </c>
      <c r="M986" s="3" t="e">
        <f ca="1">SQRT(AVERAGE(K986:OFFSET(K986,$B$6-1,0))*$B$9/(4*LN(2)))</f>
        <v>#DIV/0!</v>
      </c>
      <c r="N986" s="3" t="e">
        <f ca="1">SQRT(AVERAGE(K986:OFFSET(K986,$B$7-1,0))*$B$9/(4*LN(2)))</f>
        <v>#DIV/0!</v>
      </c>
      <c r="O986" s="3" t="e">
        <f ca="1">SQRT(AVERAGE(K986:OFFSET(K986,$B$8-1,0))*$B$9/(4*LN(2)))</f>
        <v>#DIV/0!</v>
      </c>
      <c r="Q986" s="5" t="e">
        <f t="shared" si="83"/>
        <v>#DIV/0!</v>
      </c>
      <c r="R986" s="5" t="e">
        <f ca="1">SQRT($B$9*AVERAGE((Q986:OFFSET(Q986,$B$5-1,0))))</f>
        <v>#DIV/0!</v>
      </c>
      <c r="S986" s="5" t="e">
        <f ca="1">SQRT($B$9*AVERAGE((Q986:OFFSET(Q986,$B$6-1,0))))</f>
        <v>#DIV/0!</v>
      </c>
      <c r="T986" s="5" t="e">
        <f ca="1">SQRT($B$9*AVERAGE((Q986:OFFSET(Q986,$B$7-1,0))))</f>
        <v>#DIV/0!</v>
      </c>
      <c r="U986" s="5" t="e">
        <f ca="1">SQRT($B$9*AVERAGE((Q986:OFFSET(Q986,$B$8-1,0))))</f>
        <v>#DIV/0!</v>
      </c>
      <c r="W986" s="6" t="e">
        <f t="shared" si="82"/>
        <v>#DIV/0!</v>
      </c>
      <c r="X986" s="6" t="e">
        <f ca="1">SQRT($B$9*AVERAGE(W986:OFFSET(W986,$B$5-1,0)))</f>
        <v>#DIV/0!</v>
      </c>
      <c r="Y986" s="6" t="e">
        <f ca="1">SQRT($B$9*AVERAGE(W986:OFFSET(W986,$B$6-1,0)))</f>
        <v>#DIV/0!</v>
      </c>
      <c r="Z986" s="6" t="e">
        <f ca="1">SQRT($B$9*AVERAGE(W986:OFFSET(W986,$B$7-1,0)))</f>
        <v>#DIV/0!</v>
      </c>
      <c r="AA986" s="6" t="e">
        <f ca="1">SQRT($B$9*AVERAGE(W986:OFFSET(W986,$B$8-1,0)))</f>
        <v>#DIV/0!</v>
      </c>
      <c r="AC986" s="34" t="e">
        <f t="shared" si="85"/>
        <v>#DIV/0!</v>
      </c>
      <c r="AD986" s="34" t="e">
        <f ca="1">SQRT($B$9*SUM(AC986:OFFSET(AC986,$B$5-1,0))/($B$5-1))</f>
        <v>#DIV/0!</v>
      </c>
      <c r="AE986" s="34" t="e">
        <f ca="1">SQRT($B$9*SUM(AC986:OFFSET(AC986,$B$6-1,0))/($B$6-1))</f>
        <v>#DIV/0!</v>
      </c>
      <c r="AF986" s="34" t="e">
        <f ca="1">SQRT($B$9*SUM(AC986:OFFSET(AC986,$B$7-1,0))/($B$7-1))</f>
        <v>#DIV/0!</v>
      </c>
      <c r="AG986" s="34" t="e">
        <f ca="1">SQRT($B$9*SUM(AC986:OFFSET(AC986,$B$8-1,0))/($B$8-1))</f>
        <v>#DIV/0!</v>
      </c>
      <c r="AI986" s="1" t="e">
        <f t="shared" si="86"/>
        <v>#DIV/0!</v>
      </c>
      <c r="AJ986" s="4" t="e">
        <f ca="1">SQRT($B$9)*_xlfn.STDEV.S(AI986:OFFSET(AI986,$B$5-1,0))</f>
        <v>#DIV/0!</v>
      </c>
      <c r="AK986" s="4" t="e">
        <f ca="1">SQRT($B$9)*_xlfn.STDEV.S(AI986:OFFSET(AI986,$B$6-1,0))</f>
        <v>#DIV/0!</v>
      </c>
      <c r="AL986" s="4" t="e">
        <f ca="1">SQRT($B$9)*_xlfn.STDEV.S(AI986:OFFSET(AI986,$B$7-1,0))</f>
        <v>#DIV/0!</v>
      </c>
      <c r="AM986" s="4" t="e">
        <f ca="1">SQRT($B$9)*_xlfn.STDEV.S(AI986:OFFSET(AI986,$B$8-1,0))</f>
        <v>#DIV/0!</v>
      </c>
    </row>
    <row r="987" spans="5:39" x14ac:dyDescent="0.2">
      <c r="E987" s="42">
        <v>43994</v>
      </c>
      <c r="F987" s="43"/>
      <c r="G987" s="43"/>
      <c r="H987" s="43"/>
      <c r="I987" s="43"/>
      <c r="K987" s="3" t="e">
        <f t="shared" si="84"/>
        <v>#DIV/0!</v>
      </c>
      <c r="L987" s="3" t="e">
        <f ca="1">SQRT(AVERAGE(K987:OFFSET(K987,$B$5-1,0))*$B$9/(4*LN(2)))</f>
        <v>#DIV/0!</v>
      </c>
      <c r="M987" s="3" t="e">
        <f ca="1">SQRT(AVERAGE(K987:OFFSET(K987,$B$6-1,0))*$B$9/(4*LN(2)))</f>
        <v>#DIV/0!</v>
      </c>
      <c r="N987" s="3" t="e">
        <f ca="1">SQRT(AVERAGE(K987:OFFSET(K987,$B$7-1,0))*$B$9/(4*LN(2)))</f>
        <v>#DIV/0!</v>
      </c>
      <c r="O987" s="3" t="e">
        <f ca="1">SQRT(AVERAGE(K987:OFFSET(K987,$B$8-1,0))*$B$9/(4*LN(2)))</f>
        <v>#DIV/0!</v>
      </c>
      <c r="Q987" s="5" t="e">
        <f t="shared" si="83"/>
        <v>#DIV/0!</v>
      </c>
      <c r="R987" s="5" t="e">
        <f ca="1">SQRT($B$9*AVERAGE((Q987:OFFSET(Q987,$B$5-1,0))))</f>
        <v>#DIV/0!</v>
      </c>
      <c r="S987" s="5" t="e">
        <f ca="1">SQRT($B$9*AVERAGE((Q987:OFFSET(Q987,$B$6-1,0))))</f>
        <v>#DIV/0!</v>
      </c>
      <c r="T987" s="5" t="e">
        <f ca="1">SQRT($B$9*AVERAGE((Q987:OFFSET(Q987,$B$7-1,0))))</f>
        <v>#DIV/0!</v>
      </c>
      <c r="U987" s="5" t="e">
        <f ca="1">SQRT($B$9*AVERAGE((Q987:OFFSET(Q987,$B$8-1,0))))</f>
        <v>#DIV/0!</v>
      </c>
      <c r="W987" s="6" t="e">
        <f t="shared" si="82"/>
        <v>#DIV/0!</v>
      </c>
      <c r="X987" s="6" t="e">
        <f ca="1">SQRT($B$9*AVERAGE(W987:OFFSET(W987,$B$5-1,0)))</f>
        <v>#DIV/0!</v>
      </c>
      <c r="Y987" s="6" t="e">
        <f ca="1">SQRT($B$9*AVERAGE(W987:OFFSET(W987,$B$6-1,0)))</f>
        <v>#DIV/0!</v>
      </c>
      <c r="Z987" s="6" t="e">
        <f ca="1">SQRT($B$9*AVERAGE(W987:OFFSET(W987,$B$7-1,0)))</f>
        <v>#DIV/0!</v>
      </c>
      <c r="AA987" s="6" t="e">
        <f ca="1">SQRT($B$9*AVERAGE(W987:OFFSET(W987,$B$8-1,0)))</f>
        <v>#DIV/0!</v>
      </c>
      <c r="AC987" s="34" t="e">
        <f t="shared" si="85"/>
        <v>#DIV/0!</v>
      </c>
      <c r="AD987" s="34" t="e">
        <f ca="1">SQRT($B$9*SUM(AC987:OFFSET(AC987,$B$5-1,0))/($B$5-1))</f>
        <v>#DIV/0!</v>
      </c>
      <c r="AE987" s="34" t="e">
        <f ca="1">SQRT($B$9*SUM(AC987:OFFSET(AC987,$B$6-1,0))/($B$6-1))</f>
        <v>#DIV/0!</v>
      </c>
      <c r="AF987" s="34" t="e">
        <f ca="1">SQRT($B$9*SUM(AC987:OFFSET(AC987,$B$7-1,0))/($B$7-1))</f>
        <v>#DIV/0!</v>
      </c>
      <c r="AG987" s="34" t="e">
        <f ca="1">SQRT($B$9*SUM(AC987:OFFSET(AC987,$B$8-1,0))/($B$8-1))</f>
        <v>#DIV/0!</v>
      </c>
      <c r="AI987" s="1" t="e">
        <f t="shared" si="86"/>
        <v>#DIV/0!</v>
      </c>
      <c r="AJ987" s="4" t="e">
        <f ca="1">SQRT($B$9)*_xlfn.STDEV.S(AI987:OFFSET(AI987,$B$5-1,0))</f>
        <v>#DIV/0!</v>
      </c>
      <c r="AK987" s="4" t="e">
        <f ca="1">SQRT($B$9)*_xlfn.STDEV.S(AI987:OFFSET(AI987,$B$6-1,0))</f>
        <v>#DIV/0!</v>
      </c>
      <c r="AL987" s="4" t="e">
        <f ca="1">SQRT($B$9)*_xlfn.STDEV.S(AI987:OFFSET(AI987,$B$7-1,0))</f>
        <v>#DIV/0!</v>
      </c>
      <c r="AM987" s="4" t="e">
        <f ca="1">SQRT($B$9)*_xlfn.STDEV.S(AI987:OFFSET(AI987,$B$8-1,0))</f>
        <v>#DIV/0!</v>
      </c>
    </row>
    <row r="988" spans="5:39" x14ac:dyDescent="0.2">
      <c r="E988" s="42">
        <v>43993</v>
      </c>
      <c r="F988" s="43"/>
      <c r="G988" s="43"/>
      <c r="H988" s="43"/>
      <c r="I988" s="43"/>
      <c r="K988" s="3" t="e">
        <f t="shared" si="84"/>
        <v>#DIV/0!</v>
      </c>
      <c r="L988" s="3" t="e">
        <f ca="1">SQRT(AVERAGE(K988:OFFSET(K988,$B$5-1,0))*$B$9/(4*LN(2)))</f>
        <v>#DIV/0!</v>
      </c>
      <c r="M988" s="3" t="e">
        <f ca="1">SQRT(AVERAGE(K988:OFFSET(K988,$B$6-1,0))*$B$9/(4*LN(2)))</f>
        <v>#DIV/0!</v>
      </c>
      <c r="N988" s="3" t="e">
        <f ca="1">SQRT(AVERAGE(K988:OFFSET(K988,$B$7-1,0))*$B$9/(4*LN(2)))</f>
        <v>#DIV/0!</v>
      </c>
      <c r="O988" s="3" t="e">
        <f ca="1">SQRT(AVERAGE(K988:OFFSET(K988,$B$8-1,0))*$B$9/(4*LN(2)))</f>
        <v>#DIV/0!</v>
      </c>
      <c r="Q988" s="5" t="e">
        <f t="shared" si="83"/>
        <v>#DIV/0!</v>
      </c>
      <c r="R988" s="5" t="e">
        <f ca="1">SQRT($B$9*AVERAGE((Q988:OFFSET(Q988,$B$5-1,0))))</f>
        <v>#DIV/0!</v>
      </c>
      <c r="S988" s="5" t="e">
        <f ca="1">SQRT($B$9*AVERAGE((Q988:OFFSET(Q988,$B$6-1,0))))</f>
        <v>#DIV/0!</v>
      </c>
      <c r="T988" s="5" t="e">
        <f ca="1">SQRT($B$9*AVERAGE((Q988:OFFSET(Q988,$B$7-1,0))))</f>
        <v>#DIV/0!</v>
      </c>
      <c r="U988" s="5" t="e">
        <f ca="1">SQRT($B$9*AVERAGE((Q988:OFFSET(Q988,$B$8-1,0))))</f>
        <v>#DIV/0!</v>
      </c>
      <c r="W988" s="6" t="e">
        <f t="shared" si="82"/>
        <v>#DIV/0!</v>
      </c>
      <c r="X988" s="6" t="e">
        <f ca="1">SQRT($B$9*AVERAGE(W988:OFFSET(W988,$B$5-1,0)))</f>
        <v>#DIV/0!</v>
      </c>
      <c r="Y988" s="6" t="e">
        <f ca="1">SQRT($B$9*AVERAGE(W988:OFFSET(W988,$B$6-1,0)))</f>
        <v>#DIV/0!</v>
      </c>
      <c r="Z988" s="6" t="e">
        <f ca="1">SQRT($B$9*AVERAGE(W988:OFFSET(W988,$B$7-1,0)))</f>
        <v>#DIV/0!</v>
      </c>
      <c r="AA988" s="6" t="e">
        <f ca="1">SQRT($B$9*AVERAGE(W988:OFFSET(W988,$B$8-1,0)))</f>
        <v>#DIV/0!</v>
      </c>
      <c r="AC988" s="34" t="e">
        <f t="shared" si="85"/>
        <v>#DIV/0!</v>
      </c>
      <c r="AD988" s="34" t="e">
        <f ca="1">SQRT($B$9*SUM(AC988:OFFSET(AC988,$B$5-1,0))/($B$5-1))</f>
        <v>#DIV/0!</v>
      </c>
      <c r="AE988" s="34" t="e">
        <f ca="1">SQRT($B$9*SUM(AC988:OFFSET(AC988,$B$6-1,0))/($B$6-1))</f>
        <v>#DIV/0!</v>
      </c>
      <c r="AF988" s="34" t="e">
        <f ca="1">SQRT($B$9*SUM(AC988:OFFSET(AC988,$B$7-1,0))/($B$7-1))</f>
        <v>#DIV/0!</v>
      </c>
      <c r="AG988" s="34" t="e">
        <f ca="1">SQRT($B$9*SUM(AC988:OFFSET(AC988,$B$8-1,0))/($B$8-1))</f>
        <v>#DIV/0!</v>
      </c>
      <c r="AI988" s="1" t="e">
        <f t="shared" si="86"/>
        <v>#DIV/0!</v>
      </c>
      <c r="AJ988" s="4" t="e">
        <f ca="1">SQRT($B$9)*_xlfn.STDEV.S(AI988:OFFSET(AI988,$B$5-1,0))</f>
        <v>#DIV/0!</v>
      </c>
      <c r="AK988" s="4" t="e">
        <f ca="1">SQRT($B$9)*_xlfn.STDEV.S(AI988:OFFSET(AI988,$B$6-1,0))</f>
        <v>#DIV/0!</v>
      </c>
      <c r="AL988" s="4" t="e">
        <f ca="1">SQRT($B$9)*_xlfn.STDEV.S(AI988:OFFSET(AI988,$B$7-1,0))</f>
        <v>#DIV/0!</v>
      </c>
      <c r="AM988" s="4" t="e">
        <f ca="1">SQRT($B$9)*_xlfn.STDEV.S(AI988:OFFSET(AI988,$B$8-1,0))</f>
        <v>#DIV/0!</v>
      </c>
    </row>
    <row r="989" spans="5:39" x14ac:dyDescent="0.2">
      <c r="E989" s="42">
        <v>43992</v>
      </c>
      <c r="F989" s="43"/>
      <c r="G989" s="43"/>
      <c r="H989" s="43"/>
      <c r="I989" s="43"/>
      <c r="K989" s="3" t="e">
        <f t="shared" si="84"/>
        <v>#DIV/0!</v>
      </c>
      <c r="L989" s="3" t="e">
        <f ca="1">SQRT(AVERAGE(K989:OFFSET(K989,$B$5-1,0))*$B$9/(4*LN(2)))</f>
        <v>#DIV/0!</v>
      </c>
      <c r="M989" s="3" t="e">
        <f ca="1">SQRT(AVERAGE(K989:OFFSET(K989,$B$6-1,0))*$B$9/(4*LN(2)))</f>
        <v>#DIV/0!</v>
      </c>
      <c r="N989" s="3" t="e">
        <f ca="1">SQRT(AVERAGE(K989:OFFSET(K989,$B$7-1,0))*$B$9/(4*LN(2)))</f>
        <v>#DIV/0!</v>
      </c>
      <c r="O989" s="3" t="e">
        <f ca="1">SQRT(AVERAGE(K989:OFFSET(K989,$B$8-1,0))*$B$9/(4*LN(2)))</f>
        <v>#DIV/0!</v>
      </c>
      <c r="Q989" s="5" t="e">
        <f t="shared" si="83"/>
        <v>#DIV/0!</v>
      </c>
      <c r="R989" s="5" t="e">
        <f ca="1">SQRT($B$9*AVERAGE((Q989:OFFSET(Q989,$B$5-1,0))))</f>
        <v>#DIV/0!</v>
      </c>
      <c r="S989" s="5" t="e">
        <f ca="1">SQRT($B$9*AVERAGE((Q989:OFFSET(Q989,$B$6-1,0))))</f>
        <v>#DIV/0!</v>
      </c>
      <c r="T989" s="5" t="e">
        <f ca="1">SQRT($B$9*AVERAGE((Q989:OFFSET(Q989,$B$7-1,0))))</f>
        <v>#DIV/0!</v>
      </c>
      <c r="U989" s="5" t="e">
        <f ca="1">SQRT($B$9*AVERAGE((Q989:OFFSET(Q989,$B$8-1,0))))</f>
        <v>#DIV/0!</v>
      </c>
      <c r="W989" s="6" t="e">
        <f t="shared" si="82"/>
        <v>#DIV/0!</v>
      </c>
      <c r="X989" s="6" t="e">
        <f ca="1">SQRT($B$9*AVERAGE(W989:OFFSET(W989,$B$5-1,0)))</f>
        <v>#DIV/0!</v>
      </c>
      <c r="Y989" s="6" t="e">
        <f ca="1">SQRT($B$9*AVERAGE(W989:OFFSET(W989,$B$6-1,0)))</f>
        <v>#DIV/0!</v>
      </c>
      <c r="Z989" s="6" t="e">
        <f ca="1">SQRT($B$9*AVERAGE(W989:OFFSET(W989,$B$7-1,0)))</f>
        <v>#DIV/0!</v>
      </c>
      <c r="AA989" s="6" t="e">
        <f ca="1">SQRT($B$9*AVERAGE(W989:OFFSET(W989,$B$8-1,0)))</f>
        <v>#DIV/0!</v>
      </c>
      <c r="AC989" s="34" t="e">
        <f t="shared" si="85"/>
        <v>#DIV/0!</v>
      </c>
      <c r="AD989" s="34" t="e">
        <f ca="1">SQRT($B$9*SUM(AC989:OFFSET(AC989,$B$5-1,0))/($B$5-1))</f>
        <v>#DIV/0!</v>
      </c>
      <c r="AE989" s="34" t="e">
        <f ca="1">SQRT($B$9*SUM(AC989:OFFSET(AC989,$B$6-1,0))/($B$6-1))</f>
        <v>#DIV/0!</v>
      </c>
      <c r="AF989" s="34" t="e">
        <f ca="1">SQRT($B$9*SUM(AC989:OFFSET(AC989,$B$7-1,0))/($B$7-1))</f>
        <v>#DIV/0!</v>
      </c>
      <c r="AG989" s="34" t="e">
        <f ca="1">SQRT($B$9*SUM(AC989:OFFSET(AC989,$B$8-1,0))/($B$8-1))</f>
        <v>#DIV/0!</v>
      </c>
      <c r="AI989" s="1" t="e">
        <f t="shared" si="86"/>
        <v>#DIV/0!</v>
      </c>
      <c r="AJ989" s="4" t="e">
        <f ca="1">SQRT($B$9)*_xlfn.STDEV.S(AI989:OFFSET(AI989,$B$5-1,0))</f>
        <v>#DIV/0!</v>
      </c>
      <c r="AK989" s="4" t="e">
        <f ca="1">SQRT($B$9)*_xlfn.STDEV.S(AI989:OFFSET(AI989,$B$6-1,0))</f>
        <v>#DIV/0!</v>
      </c>
      <c r="AL989" s="4" t="e">
        <f ca="1">SQRT($B$9)*_xlfn.STDEV.S(AI989:OFFSET(AI989,$B$7-1,0))</f>
        <v>#DIV/0!</v>
      </c>
      <c r="AM989" s="4" t="e">
        <f ca="1">SQRT($B$9)*_xlfn.STDEV.S(AI989:OFFSET(AI989,$B$8-1,0))</f>
        <v>#DIV/0!</v>
      </c>
    </row>
    <row r="990" spans="5:39" x14ac:dyDescent="0.2">
      <c r="E990" s="42">
        <v>43991</v>
      </c>
      <c r="F990" s="43"/>
      <c r="G990" s="43"/>
      <c r="H990" s="43"/>
      <c r="I990" s="43"/>
      <c r="K990" s="3" t="e">
        <f t="shared" si="84"/>
        <v>#DIV/0!</v>
      </c>
      <c r="L990" s="3" t="e">
        <f ca="1">SQRT(AVERAGE(K990:OFFSET(K990,$B$5-1,0))*$B$9/(4*LN(2)))</f>
        <v>#DIV/0!</v>
      </c>
      <c r="M990" s="3" t="e">
        <f ca="1">SQRT(AVERAGE(K990:OFFSET(K990,$B$6-1,0))*$B$9/(4*LN(2)))</f>
        <v>#DIV/0!</v>
      </c>
      <c r="N990" s="3" t="e">
        <f ca="1">SQRT(AVERAGE(K990:OFFSET(K990,$B$7-1,0))*$B$9/(4*LN(2)))</f>
        <v>#DIV/0!</v>
      </c>
      <c r="O990" s="3" t="e">
        <f ca="1">SQRT(AVERAGE(K990:OFFSET(K990,$B$8-1,0))*$B$9/(4*LN(2)))</f>
        <v>#DIV/0!</v>
      </c>
      <c r="Q990" s="5" t="e">
        <f t="shared" si="83"/>
        <v>#DIV/0!</v>
      </c>
      <c r="R990" s="5" t="e">
        <f ca="1">SQRT($B$9*AVERAGE((Q990:OFFSET(Q990,$B$5-1,0))))</f>
        <v>#DIV/0!</v>
      </c>
      <c r="S990" s="5" t="e">
        <f ca="1">SQRT($B$9*AVERAGE((Q990:OFFSET(Q990,$B$6-1,0))))</f>
        <v>#DIV/0!</v>
      </c>
      <c r="T990" s="5" t="e">
        <f ca="1">SQRT($B$9*AVERAGE((Q990:OFFSET(Q990,$B$7-1,0))))</f>
        <v>#DIV/0!</v>
      </c>
      <c r="U990" s="5" t="e">
        <f ca="1">SQRT($B$9*AVERAGE((Q990:OFFSET(Q990,$B$8-1,0))))</f>
        <v>#DIV/0!</v>
      </c>
      <c r="W990" s="6" t="e">
        <f t="shared" si="82"/>
        <v>#DIV/0!</v>
      </c>
      <c r="X990" s="6" t="e">
        <f ca="1">SQRT($B$9*AVERAGE(W990:OFFSET(W990,$B$5-1,0)))</f>
        <v>#DIV/0!</v>
      </c>
      <c r="Y990" s="6" t="e">
        <f ca="1">SQRT($B$9*AVERAGE(W990:OFFSET(W990,$B$6-1,0)))</f>
        <v>#DIV/0!</v>
      </c>
      <c r="Z990" s="6" t="e">
        <f ca="1">SQRT($B$9*AVERAGE(W990:OFFSET(W990,$B$7-1,0)))</f>
        <v>#DIV/0!</v>
      </c>
      <c r="AA990" s="6" t="e">
        <f ca="1">SQRT($B$9*AVERAGE(W990:OFFSET(W990,$B$8-1,0)))</f>
        <v>#DIV/0!</v>
      </c>
      <c r="AC990" s="34" t="e">
        <f t="shared" si="85"/>
        <v>#DIV/0!</v>
      </c>
      <c r="AD990" s="34" t="e">
        <f ca="1">SQRT($B$9*SUM(AC990:OFFSET(AC990,$B$5-1,0))/($B$5-1))</f>
        <v>#DIV/0!</v>
      </c>
      <c r="AE990" s="34" t="e">
        <f ca="1">SQRT($B$9*SUM(AC990:OFFSET(AC990,$B$6-1,0))/($B$6-1))</f>
        <v>#DIV/0!</v>
      </c>
      <c r="AF990" s="34" t="e">
        <f ca="1">SQRT($B$9*SUM(AC990:OFFSET(AC990,$B$7-1,0))/($B$7-1))</f>
        <v>#DIV/0!</v>
      </c>
      <c r="AG990" s="34" t="e">
        <f ca="1">SQRT($B$9*SUM(AC990:OFFSET(AC990,$B$8-1,0))/($B$8-1))</f>
        <v>#DIV/0!</v>
      </c>
      <c r="AI990" s="1" t="e">
        <f t="shared" si="86"/>
        <v>#DIV/0!</v>
      </c>
      <c r="AJ990" s="4" t="e">
        <f ca="1">SQRT($B$9)*_xlfn.STDEV.S(AI990:OFFSET(AI990,$B$5-1,0))</f>
        <v>#DIV/0!</v>
      </c>
      <c r="AK990" s="4" t="e">
        <f ca="1">SQRT($B$9)*_xlfn.STDEV.S(AI990:OFFSET(AI990,$B$6-1,0))</f>
        <v>#DIV/0!</v>
      </c>
      <c r="AL990" s="4" t="e">
        <f ca="1">SQRT($B$9)*_xlfn.STDEV.S(AI990:OFFSET(AI990,$B$7-1,0))</f>
        <v>#DIV/0!</v>
      </c>
      <c r="AM990" s="4" t="e">
        <f ca="1">SQRT($B$9)*_xlfn.STDEV.S(AI990:OFFSET(AI990,$B$8-1,0))</f>
        <v>#DIV/0!</v>
      </c>
    </row>
    <row r="991" spans="5:39" x14ac:dyDescent="0.2">
      <c r="E991" s="42">
        <v>43990</v>
      </c>
      <c r="F991" s="43"/>
      <c r="G991" s="43"/>
      <c r="H991" s="43"/>
      <c r="I991" s="43"/>
      <c r="K991" s="3" t="e">
        <f t="shared" si="84"/>
        <v>#DIV/0!</v>
      </c>
      <c r="L991" s="3" t="e">
        <f ca="1">SQRT(AVERAGE(K991:OFFSET(K991,$B$5-1,0))*$B$9/(4*LN(2)))</f>
        <v>#DIV/0!</v>
      </c>
      <c r="M991" s="3" t="e">
        <f ca="1">SQRT(AVERAGE(K991:OFFSET(K991,$B$6-1,0))*$B$9/(4*LN(2)))</f>
        <v>#DIV/0!</v>
      </c>
      <c r="N991" s="3" t="e">
        <f ca="1">SQRT(AVERAGE(K991:OFFSET(K991,$B$7-1,0))*$B$9/(4*LN(2)))</f>
        <v>#DIV/0!</v>
      </c>
      <c r="O991" s="3" t="e">
        <f ca="1">SQRT(AVERAGE(K991:OFFSET(K991,$B$8-1,0))*$B$9/(4*LN(2)))</f>
        <v>#DIV/0!</v>
      </c>
      <c r="Q991" s="5" t="e">
        <f t="shared" si="83"/>
        <v>#DIV/0!</v>
      </c>
      <c r="R991" s="5" t="e">
        <f ca="1">SQRT($B$9*AVERAGE((Q991:OFFSET(Q991,$B$5-1,0))))</f>
        <v>#DIV/0!</v>
      </c>
      <c r="S991" s="5" t="e">
        <f ca="1">SQRT($B$9*AVERAGE((Q991:OFFSET(Q991,$B$6-1,0))))</f>
        <v>#DIV/0!</v>
      </c>
      <c r="T991" s="5" t="e">
        <f ca="1">SQRT($B$9*AVERAGE((Q991:OFFSET(Q991,$B$7-1,0))))</f>
        <v>#DIV/0!</v>
      </c>
      <c r="U991" s="5" t="e">
        <f ca="1">SQRT($B$9*AVERAGE((Q991:OFFSET(Q991,$B$8-1,0))))</f>
        <v>#DIV/0!</v>
      </c>
      <c r="W991" s="6" t="e">
        <f t="shared" si="82"/>
        <v>#DIV/0!</v>
      </c>
      <c r="X991" s="6" t="e">
        <f ca="1">SQRT($B$9*AVERAGE(W991:OFFSET(W991,$B$5-1,0)))</f>
        <v>#DIV/0!</v>
      </c>
      <c r="Y991" s="6" t="e">
        <f ca="1">SQRT($B$9*AVERAGE(W991:OFFSET(W991,$B$6-1,0)))</f>
        <v>#DIV/0!</v>
      </c>
      <c r="Z991" s="6" t="e">
        <f ca="1">SQRT($B$9*AVERAGE(W991:OFFSET(W991,$B$7-1,0)))</f>
        <v>#DIV/0!</v>
      </c>
      <c r="AA991" s="6" t="e">
        <f ca="1">SQRT($B$9*AVERAGE(W991:OFFSET(W991,$B$8-1,0)))</f>
        <v>#DIV/0!</v>
      </c>
      <c r="AC991" s="34" t="e">
        <f t="shared" si="85"/>
        <v>#DIV/0!</v>
      </c>
      <c r="AD991" s="34" t="e">
        <f ca="1">SQRT($B$9*SUM(AC991:OFFSET(AC991,$B$5-1,0))/($B$5-1))</f>
        <v>#DIV/0!</v>
      </c>
      <c r="AE991" s="34" t="e">
        <f ca="1">SQRT($B$9*SUM(AC991:OFFSET(AC991,$B$6-1,0))/($B$6-1))</f>
        <v>#DIV/0!</v>
      </c>
      <c r="AF991" s="34" t="e">
        <f ca="1">SQRT($B$9*SUM(AC991:OFFSET(AC991,$B$7-1,0))/($B$7-1))</f>
        <v>#DIV/0!</v>
      </c>
      <c r="AG991" s="34" t="e">
        <f ca="1">SQRT($B$9*SUM(AC991:OFFSET(AC991,$B$8-1,0))/($B$8-1))</f>
        <v>#DIV/0!</v>
      </c>
      <c r="AI991" s="1" t="e">
        <f t="shared" si="86"/>
        <v>#DIV/0!</v>
      </c>
      <c r="AJ991" s="4" t="e">
        <f ca="1">SQRT($B$9)*_xlfn.STDEV.S(AI991:OFFSET(AI991,$B$5-1,0))</f>
        <v>#DIV/0!</v>
      </c>
      <c r="AK991" s="4" t="e">
        <f ca="1">SQRT($B$9)*_xlfn.STDEV.S(AI991:OFFSET(AI991,$B$6-1,0))</f>
        <v>#DIV/0!</v>
      </c>
      <c r="AL991" s="4" t="e">
        <f ca="1">SQRT($B$9)*_xlfn.STDEV.S(AI991:OFFSET(AI991,$B$7-1,0))</f>
        <v>#DIV/0!</v>
      </c>
      <c r="AM991" s="4" t="e">
        <f ca="1">SQRT($B$9)*_xlfn.STDEV.S(AI991:OFFSET(AI991,$B$8-1,0))</f>
        <v>#DIV/0!</v>
      </c>
    </row>
    <row r="992" spans="5:39" x14ac:dyDescent="0.2">
      <c r="E992" s="42">
        <v>43987</v>
      </c>
      <c r="F992" s="43"/>
      <c r="G992" s="43"/>
      <c r="H992" s="43"/>
      <c r="I992" s="43"/>
      <c r="K992" s="3" t="e">
        <f t="shared" si="84"/>
        <v>#DIV/0!</v>
      </c>
      <c r="L992" s="3" t="e">
        <f ca="1">SQRT(AVERAGE(K992:OFFSET(K992,$B$5-1,0))*$B$9/(4*LN(2)))</f>
        <v>#DIV/0!</v>
      </c>
      <c r="M992" s="3" t="e">
        <f ca="1">SQRT(AVERAGE(K992:OFFSET(K992,$B$6-1,0))*$B$9/(4*LN(2)))</f>
        <v>#DIV/0!</v>
      </c>
      <c r="N992" s="3" t="e">
        <f ca="1">SQRT(AVERAGE(K992:OFFSET(K992,$B$7-1,0))*$B$9/(4*LN(2)))</f>
        <v>#DIV/0!</v>
      </c>
      <c r="O992" s="3" t="e">
        <f ca="1">SQRT(AVERAGE(K992:OFFSET(K992,$B$8-1,0))*$B$9/(4*LN(2)))</f>
        <v>#DIV/0!</v>
      </c>
      <c r="Q992" s="5" t="e">
        <f t="shared" si="83"/>
        <v>#DIV/0!</v>
      </c>
      <c r="R992" s="5" t="e">
        <f ca="1">SQRT($B$9*AVERAGE((Q992:OFFSET(Q992,$B$5-1,0))))</f>
        <v>#DIV/0!</v>
      </c>
      <c r="S992" s="5" t="e">
        <f ca="1">SQRT($B$9*AVERAGE((Q992:OFFSET(Q992,$B$6-1,0))))</f>
        <v>#DIV/0!</v>
      </c>
      <c r="T992" s="5" t="e">
        <f ca="1">SQRT($B$9*AVERAGE((Q992:OFFSET(Q992,$B$7-1,0))))</f>
        <v>#DIV/0!</v>
      </c>
      <c r="U992" s="5" t="e">
        <f ca="1">SQRT($B$9*AVERAGE((Q992:OFFSET(Q992,$B$8-1,0))))</f>
        <v>#DIV/0!</v>
      </c>
      <c r="W992" s="6" t="e">
        <f t="shared" si="82"/>
        <v>#DIV/0!</v>
      </c>
      <c r="X992" s="6" t="e">
        <f ca="1">SQRT($B$9*AVERAGE(W992:OFFSET(W992,$B$5-1,0)))</f>
        <v>#DIV/0!</v>
      </c>
      <c r="Y992" s="6" t="e">
        <f ca="1">SQRT($B$9*AVERAGE(W992:OFFSET(W992,$B$6-1,0)))</f>
        <v>#DIV/0!</v>
      </c>
      <c r="Z992" s="6" t="e">
        <f ca="1">SQRT($B$9*AVERAGE(W992:OFFSET(W992,$B$7-1,0)))</f>
        <v>#DIV/0!</v>
      </c>
      <c r="AA992" s="6" t="e">
        <f ca="1">SQRT($B$9*AVERAGE(W992:OFFSET(W992,$B$8-1,0)))</f>
        <v>#DIV/0!</v>
      </c>
      <c r="AC992" s="34" t="e">
        <f t="shared" si="85"/>
        <v>#DIV/0!</v>
      </c>
      <c r="AD992" s="34" t="e">
        <f ca="1">SQRT($B$9*SUM(AC992:OFFSET(AC992,$B$5-1,0))/($B$5-1))</f>
        <v>#DIV/0!</v>
      </c>
      <c r="AE992" s="34" t="e">
        <f ca="1">SQRT($B$9*SUM(AC992:OFFSET(AC992,$B$6-1,0))/($B$6-1))</f>
        <v>#DIV/0!</v>
      </c>
      <c r="AF992" s="34" t="e">
        <f ca="1">SQRT($B$9*SUM(AC992:OFFSET(AC992,$B$7-1,0))/($B$7-1))</f>
        <v>#DIV/0!</v>
      </c>
      <c r="AG992" s="34" t="e">
        <f ca="1">SQRT($B$9*SUM(AC992:OFFSET(AC992,$B$8-1,0))/($B$8-1))</f>
        <v>#DIV/0!</v>
      </c>
      <c r="AI992" s="1" t="e">
        <f t="shared" si="86"/>
        <v>#DIV/0!</v>
      </c>
      <c r="AJ992" s="4" t="e">
        <f ca="1">SQRT($B$9)*_xlfn.STDEV.S(AI992:OFFSET(AI992,$B$5-1,0))</f>
        <v>#DIV/0!</v>
      </c>
      <c r="AK992" s="4" t="e">
        <f ca="1">SQRT($B$9)*_xlfn.STDEV.S(AI992:OFFSET(AI992,$B$6-1,0))</f>
        <v>#DIV/0!</v>
      </c>
      <c r="AL992" s="4" t="e">
        <f ca="1">SQRT($B$9)*_xlfn.STDEV.S(AI992:OFFSET(AI992,$B$7-1,0))</f>
        <v>#DIV/0!</v>
      </c>
      <c r="AM992" s="4" t="e">
        <f ca="1">SQRT($B$9)*_xlfn.STDEV.S(AI992:OFFSET(AI992,$B$8-1,0))</f>
        <v>#DIV/0!</v>
      </c>
    </row>
    <row r="993" spans="5:39" x14ac:dyDescent="0.2">
      <c r="E993" s="42">
        <v>43986</v>
      </c>
      <c r="F993" s="43"/>
      <c r="G993" s="43"/>
      <c r="H993" s="43"/>
      <c r="I993" s="43"/>
      <c r="K993" s="3" t="e">
        <f t="shared" si="84"/>
        <v>#DIV/0!</v>
      </c>
      <c r="L993" s="3" t="e">
        <f ca="1">SQRT(AVERAGE(K993:OFFSET(K993,$B$5-1,0))*$B$9/(4*LN(2)))</f>
        <v>#DIV/0!</v>
      </c>
      <c r="M993" s="3" t="e">
        <f ca="1">SQRT(AVERAGE(K993:OFFSET(K993,$B$6-1,0))*$B$9/(4*LN(2)))</f>
        <v>#DIV/0!</v>
      </c>
      <c r="N993" s="3" t="e">
        <f ca="1">SQRT(AVERAGE(K993:OFFSET(K993,$B$7-1,0))*$B$9/(4*LN(2)))</f>
        <v>#DIV/0!</v>
      </c>
      <c r="O993" s="3" t="e">
        <f ca="1">SQRT(AVERAGE(K993:OFFSET(K993,$B$8-1,0))*$B$9/(4*LN(2)))</f>
        <v>#DIV/0!</v>
      </c>
      <c r="Q993" s="5" t="e">
        <f t="shared" si="83"/>
        <v>#DIV/0!</v>
      </c>
      <c r="R993" s="5" t="e">
        <f ca="1">SQRT($B$9*AVERAGE((Q993:OFFSET(Q993,$B$5-1,0))))</f>
        <v>#DIV/0!</v>
      </c>
      <c r="S993" s="5" t="e">
        <f ca="1">SQRT($B$9*AVERAGE((Q993:OFFSET(Q993,$B$6-1,0))))</f>
        <v>#DIV/0!</v>
      </c>
      <c r="T993" s="5" t="e">
        <f ca="1">SQRT($B$9*AVERAGE((Q993:OFFSET(Q993,$B$7-1,0))))</f>
        <v>#DIV/0!</v>
      </c>
      <c r="U993" s="5" t="e">
        <f ca="1">SQRT($B$9*AVERAGE((Q993:OFFSET(Q993,$B$8-1,0))))</f>
        <v>#DIV/0!</v>
      </c>
      <c r="W993" s="6" t="e">
        <f t="shared" si="82"/>
        <v>#DIV/0!</v>
      </c>
      <c r="X993" s="6" t="e">
        <f ca="1">SQRT($B$9*AVERAGE(W993:OFFSET(W993,$B$5-1,0)))</f>
        <v>#DIV/0!</v>
      </c>
      <c r="Y993" s="6" t="e">
        <f ca="1">SQRT($B$9*AVERAGE(W993:OFFSET(W993,$B$6-1,0)))</f>
        <v>#DIV/0!</v>
      </c>
      <c r="Z993" s="6" t="e">
        <f ca="1">SQRT($B$9*AVERAGE(W993:OFFSET(W993,$B$7-1,0)))</f>
        <v>#DIV/0!</v>
      </c>
      <c r="AA993" s="6" t="e">
        <f ca="1">SQRT($B$9*AVERAGE(W993:OFFSET(W993,$B$8-1,0)))</f>
        <v>#DIV/0!</v>
      </c>
      <c r="AC993" s="34" t="e">
        <f t="shared" si="85"/>
        <v>#DIV/0!</v>
      </c>
      <c r="AD993" s="34" t="e">
        <f ca="1">SQRT($B$9*SUM(AC993:OFFSET(AC993,$B$5-1,0))/($B$5-1))</f>
        <v>#DIV/0!</v>
      </c>
      <c r="AE993" s="34" t="e">
        <f ca="1">SQRT($B$9*SUM(AC993:OFFSET(AC993,$B$6-1,0))/($B$6-1))</f>
        <v>#DIV/0!</v>
      </c>
      <c r="AF993" s="34" t="e">
        <f ca="1">SQRT($B$9*SUM(AC993:OFFSET(AC993,$B$7-1,0))/($B$7-1))</f>
        <v>#DIV/0!</v>
      </c>
      <c r="AG993" s="34" t="e">
        <f ca="1">SQRT($B$9*SUM(AC993:OFFSET(AC993,$B$8-1,0))/($B$8-1))</f>
        <v>#DIV/0!</v>
      </c>
      <c r="AI993" s="1" t="e">
        <f t="shared" si="86"/>
        <v>#DIV/0!</v>
      </c>
      <c r="AJ993" s="4" t="e">
        <f ca="1">SQRT($B$9)*_xlfn.STDEV.S(AI993:OFFSET(AI993,$B$5-1,0))</f>
        <v>#DIV/0!</v>
      </c>
      <c r="AK993" s="4" t="e">
        <f ca="1">SQRT($B$9)*_xlfn.STDEV.S(AI993:OFFSET(AI993,$B$6-1,0))</f>
        <v>#DIV/0!</v>
      </c>
      <c r="AL993" s="4" t="e">
        <f ca="1">SQRT($B$9)*_xlfn.STDEV.S(AI993:OFFSET(AI993,$B$7-1,0))</f>
        <v>#DIV/0!</v>
      </c>
      <c r="AM993" s="4" t="e">
        <f ca="1">SQRT($B$9)*_xlfn.STDEV.S(AI993:OFFSET(AI993,$B$8-1,0))</f>
        <v>#DIV/0!</v>
      </c>
    </row>
    <row r="994" spans="5:39" x14ac:dyDescent="0.2">
      <c r="E994" s="42">
        <v>43985</v>
      </c>
      <c r="F994" s="43"/>
      <c r="G994" s="43"/>
      <c r="H994" s="43"/>
      <c r="I994" s="43"/>
      <c r="K994" s="3" t="e">
        <f t="shared" si="84"/>
        <v>#DIV/0!</v>
      </c>
      <c r="L994" s="3" t="e">
        <f ca="1">SQRT(AVERAGE(K994:OFFSET(K994,$B$5-1,0))*$B$9/(4*LN(2)))</f>
        <v>#DIV/0!</v>
      </c>
      <c r="M994" s="3" t="e">
        <f ca="1">SQRT(AVERAGE(K994:OFFSET(K994,$B$6-1,0))*$B$9/(4*LN(2)))</f>
        <v>#DIV/0!</v>
      </c>
      <c r="N994" s="3" t="e">
        <f ca="1">SQRT(AVERAGE(K994:OFFSET(K994,$B$7-1,0))*$B$9/(4*LN(2)))</f>
        <v>#DIV/0!</v>
      </c>
      <c r="O994" s="3" t="e">
        <f ca="1">SQRT(AVERAGE(K994:OFFSET(K994,$B$8-1,0))*$B$9/(4*LN(2)))</f>
        <v>#DIV/0!</v>
      </c>
      <c r="Q994" s="5" t="e">
        <f t="shared" si="83"/>
        <v>#DIV/0!</v>
      </c>
      <c r="R994" s="5" t="e">
        <f ca="1">SQRT($B$9*AVERAGE((Q994:OFFSET(Q994,$B$5-1,0))))</f>
        <v>#DIV/0!</v>
      </c>
      <c r="S994" s="5" t="e">
        <f ca="1">SQRT($B$9*AVERAGE((Q994:OFFSET(Q994,$B$6-1,0))))</f>
        <v>#DIV/0!</v>
      </c>
      <c r="T994" s="5" t="e">
        <f ca="1">SQRT($B$9*AVERAGE((Q994:OFFSET(Q994,$B$7-1,0))))</f>
        <v>#DIV/0!</v>
      </c>
      <c r="U994" s="5" t="e">
        <f ca="1">SQRT($B$9*AVERAGE((Q994:OFFSET(Q994,$B$8-1,0))))</f>
        <v>#DIV/0!</v>
      </c>
      <c r="W994" s="6" t="e">
        <f t="shared" si="82"/>
        <v>#DIV/0!</v>
      </c>
      <c r="X994" s="6" t="e">
        <f ca="1">SQRT($B$9*AVERAGE(W994:OFFSET(W994,$B$5-1,0)))</f>
        <v>#DIV/0!</v>
      </c>
      <c r="Y994" s="6" t="e">
        <f ca="1">SQRT($B$9*AVERAGE(W994:OFFSET(W994,$B$6-1,0)))</f>
        <v>#DIV/0!</v>
      </c>
      <c r="Z994" s="6" t="e">
        <f ca="1">SQRT($B$9*AVERAGE(W994:OFFSET(W994,$B$7-1,0)))</f>
        <v>#DIV/0!</v>
      </c>
      <c r="AA994" s="6" t="e">
        <f ca="1">SQRT($B$9*AVERAGE(W994:OFFSET(W994,$B$8-1,0)))</f>
        <v>#DIV/0!</v>
      </c>
      <c r="AC994" s="34" t="e">
        <f t="shared" si="85"/>
        <v>#DIV/0!</v>
      </c>
      <c r="AD994" s="34" t="e">
        <f ca="1">SQRT($B$9*SUM(AC994:OFFSET(AC994,$B$5-1,0))/($B$5-1))</f>
        <v>#DIV/0!</v>
      </c>
      <c r="AE994" s="34" t="e">
        <f ca="1">SQRT($B$9*SUM(AC994:OFFSET(AC994,$B$6-1,0))/($B$6-1))</f>
        <v>#DIV/0!</v>
      </c>
      <c r="AF994" s="34" t="e">
        <f ca="1">SQRT($B$9*SUM(AC994:OFFSET(AC994,$B$7-1,0))/($B$7-1))</f>
        <v>#DIV/0!</v>
      </c>
      <c r="AG994" s="34" t="e">
        <f ca="1">SQRT($B$9*SUM(AC994:OFFSET(AC994,$B$8-1,0))/($B$8-1))</f>
        <v>#DIV/0!</v>
      </c>
      <c r="AI994" s="1" t="e">
        <f t="shared" si="86"/>
        <v>#DIV/0!</v>
      </c>
      <c r="AJ994" s="4" t="e">
        <f ca="1">SQRT($B$9)*_xlfn.STDEV.S(AI994:OFFSET(AI994,$B$5-1,0))</f>
        <v>#DIV/0!</v>
      </c>
      <c r="AK994" s="4" t="e">
        <f ca="1">SQRT($B$9)*_xlfn.STDEV.S(AI994:OFFSET(AI994,$B$6-1,0))</f>
        <v>#DIV/0!</v>
      </c>
      <c r="AL994" s="4" t="e">
        <f ca="1">SQRT($B$9)*_xlfn.STDEV.S(AI994:OFFSET(AI994,$B$7-1,0))</f>
        <v>#DIV/0!</v>
      </c>
      <c r="AM994" s="4" t="e">
        <f ca="1">SQRT($B$9)*_xlfn.STDEV.S(AI994:OFFSET(AI994,$B$8-1,0))</f>
        <v>#DIV/0!</v>
      </c>
    </row>
    <row r="995" spans="5:39" x14ac:dyDescent="0.2">
      <c r="K995" s="3" t="e">
        <f t="shared" si="84"/>
        <v>#DIV/0!</v>
      </c>
      <c r="L995" s="3" t="e">
        <f ca="1">SQRT(AVERAGE(K995:OFFSET(K995,$B$5-1,0))*$B$9/(4*LN(2)))</f>
        <v>#DIV/0!</v>
      </c>
      <c r="M995" s="3" t="e">
        <f ca="1">SQRT(AVERAGE(K995:OFFSET(K995,$B$6-1,0))*$B$9/(4*LN(2)))</f>
        <v>#DIV/0!</v>
      </c>
      <c r="N995" s="3" t="e">
        <f ca="1">SQRT(AVERAGE(K995:OFFSET(K995,$B$7-1,0))*$B$9/(4*LN(2)))</f>
        <v>#DIV/0!</v>
      </c>
      <c r="O995" s="3" t="e">
        <f ca="1">SQRT(AVERAGE(K995:OFFSET(K995,$B$8-1,0))*$B$9/(4*LN(2)))</f>
        <v>#DIV/0!</v>
      </c>
      <c r="Q995" s="5" t="e">
        <f t="shared" si="83"/>
        <v>#DIV/0!</v>
      </c>
      <c r="R995" s="5" t="e">
        <f ca="1">SQRT($B$9*AVERAGE((Q995:OFFSET(Q995,$B$5-1,0))))</f>
        <v>#DIV/0!</v>
      </c>
      <c r="S995" s="5" t="e">
        <f ca="1">SQRT($B$9*AVERAGE((Q995:OFFSET(Q995,$B$6-1,0))))</f>
        <v>#DIV/0!</v>
      </c>
      <c r="T995" s="5" t="e">
        <f ca="1">SQRT($B$9*AVERAGE((Q995:OFFSET(Q995,$B$7-1,0))))</f>
        <v>#DIV/0!</v>
      </c>
      <c r="U995" s="5" t="e">
        <f ca="1">SQRT($B$9*AVERAGE((Q995:OFFSET(Q995,$B$8-1,0))))</f>
        <v>#DIV/0!</v>
      </c>
      <c r="W995" s="6" t="e">
        <f t="shared" si="82"/>
        <v>#DIV/0!</v>
      </c>
      <c r="X995" s="6" t="e">
        <f ca="1">SQRT($B$9*AVERAGE(W995:OFFSET(W995,$B$5-1,0)))</f>
        <v>#DIV/0!</v>
      </c>
      <c r="Y995" s="6" t="e">
        <f ca="1">SQRT($B$9*AVERAGE(W995:OFFSET(W995,$B$6-1,0)))</f>
        <v>#DIV/0!</v>
      </c>
      <c r="Z995" s="6" t="e">
        <f ca="1">SQRT($B$9*AVERAGE(W995:OFFSET(W995,$B$7-1,0)))</f>
        <v>#DIV/0!</v>
      </c>
      <c r="AA995" s="6" t="e">
        <f ca="1">SQRT($B$9*AVERAGE(W995:OFFSET(W995,$B$8-1,0)))</f>
        <v>#DIV/0!</v>
      </c>
      <c r="AC995" s="34" t="e">
        <f t="shared" si="85"/>
        <v>#DIV/0!</v>
      </c>
      <c r="AD995" s="34" t="e">
        <f ca="1">SQRT($B$9*SUM(AC995:OFFSET(AC995,$B$5-1,0))/($B$5-1))</f>
        <v>#DIV/0!</v>
      </c>
      <c r="AE995" s="34" t="e">
        <f ca="1">SQRT($B$9*SUM(AC995:OFFSET(AC995,$B$6-1,0))/($B$6-1))</f>
        <v>#DIV/0!</v>
      </c>
      <c r="AF995" s="34" t="e">
        <f ca="1">SQRT($B$9*SUM(AC995:OFFSET(AC995,$B$7-1,0))/($B$7-1))</f>
        <v>#DIV/0!</v>
      </c>
      <c r="AG995" s="34" t="e">
        <f ca="1">SQRT($B$9*SUM(AC995:OFFSET(AC995,$B$8-1,0))/($B$8-1))</f>
        <v>#DIV/0!</v>
      </c>
      <c r="AI995" s="1" t="e">
        <f t="shared" si="86"/>
        <v>#DIV/0!</v>
      </c>
      <c r="AJ995" s="4" t="e">
        <f ca="1">SQRT($B$9)*_xlfn.STDEV.S(AI995:OFFSET(AI995,$B$5-1,0))</f>
        <v>#DIV/0!</v>
      </c>
      <c r="AK995" s="4" t="e">
        <f ca="1">SQRT($B$9)*_xlfn.STDEV.S(AI995:OFFSET(AI995,$B$6-1,0))</f>
        <v>#DIV/0!</v>
      </c>
      <c r="AL995" s="4" t="e">
        <f ca="1">SQRT($B$9)*_xlfn.STDEV.S(AI995:OFFSET(AI995,$B$7-1,0))</f>
        <v>#DIV/0!</v>
      </c>
      <c r="AM995" s="4" t="e">
        <f ca="1">SQRT($B$9)*_xlfn.STDEV.S(AI995:OFFSET(AI995,$B$8-1,0))</f>
        <v>#DIV/0!</v>
      </c>
    </row>
    <row r="996" spans="5:39" x14ac:dyDescent="0.2">
      <c r="K996" s="3" t="e">
        <f t="shared" si="84"/>
        <v>#DIV/0!</v>
      </c>
      <c r="L996" s="3" t="e">
        <f ca="1">SQRT(AVERAGE(K996:OFFSET(K996,$B$5-1,0))*$B$9/(4*LN(2)))</f>
        <v>#DIV/0!</v>
      </c>
      <c r="M996" s="3" t="e">
        <f ca="1">SQRT(AVERAGE(K996:OFFSET(K996,$B$6-1,0))*$B$9/(4*LN(2)))</f>
        <v>#DIV/0!</v>
      </c>
      <c r="N996" s="3" t="e">
        <f ca="1">SQRT(AVERAGE(K996:OFFSET(K996,$B$7-1,0))*$B$9/(4*LN(2)))</f>
        <v>#DIV/0!</v>
      </c>
      <c r="O996" s="3" t="e">
        <f ca="1">SQRT(AVERAGE(K996:OFFSET(K996,$B$8-1,0))*$B$9/(4*LN(2)))</f>
        <v>#DIV/0!</v>
      </c>
      <c r="Q996" s="5" t="e">
        <f t="shared" si="83"/>
        <v>#DIV/0!</v>
      </c>
      <c r="R996" s="5" t="e">
        <f ca="1">SQRT($B$9*AVERAGE((Q996:OFFSET(Q996,$B$5-1,0))))</f>
        <v>#DIV/0!</v>
      </c>
      <c r="S996" s="5" t="e">
        <f ca="1">SQRT($B$9*AVERAGE((Q996:OFFSET(Q996,$B$6-1,0))))</f>
        <v>#DIV/0!</v>
      </c>
      <c r="T996" s="5" t="e">
        <f ca="1">SQRT($B$9*AVERAGE((Q996:OFFSET(Q996,$B$7-1,0))))</f>
        <v>#DIV/0!</v>
      </c>
      <c r="U996" s="5" t="e">
        <f ca="1">SQRT($B$9*AVERAGE((Q996:OFFSET(Q996,$B$8-1,0))))</f>
        <v>#DIV/0!</v>
      </c>
      <c r="W996" s="6" t="e">
        <f t="shared" si="82"/>
        <v>#DIV/0!</v>
      </c>
      <c r="X996" s="6" t="e">
        <f ca="1">SQRT($B$9*AVERAGE(W996:OFFSET(W996,$B$5-1,0)))</f>
        <v>#DIV/0!</v>
      </c>
      <c r="Y996" s="6" t="e">
        <f ca="1">SQRT($B$9*AVERAGE(W996:OFFSET(W996,$B$6-1,0)))</f>
        <v>#DIV/0!</v>
      </c>
      <c r="Z996" s="6" t="e">
        <f ca="1">SQRT($B$9*AVERAGE(W996:OFFSET(W996,$B$7-1,0)))</f>
        <v>#DIV/0!</v>
      </c>
      <c r="AA996" s="6" t="e">
        <f ca="1">SQRT($B$9*AVERAGE(W996:OFFSET(W996,$B$8-1,0)))</f>
        <v>#DIV/0!</v>
      </c>
      <c r="AC996" s="34" t="e">
        <f t="shared" si="85"/>
        <v>#DIV/0!</v>
      </c>
      <c r="AD996" s="34" t="e">
        <f ca="1">SQRT($B$9*SUM(AC996:OFFSET(AC996,$B$5-1,0))/($B$5-1))</f>
        <v>#DIV/0!</v>
      </c>
      <c r="AE996" s="34" t="e">
        <f ca="1">SQRT($B$9*SUM(AC996:OFFSET(AC996,$B$6-1,0))/($B$6-1))</f>
        <v>#DIV/0!</v>
      </c>
      <c r="AF996" s="34" t="e">
        <f ca="1">SQRT($B$9*SUM(AC996:OFFSET(AC996,$B$7-1,0))/($B$7-1))</f>
        <v>#DIV/0!</v>
      </c>
      <c r="AG996" s="34" t="e">
        <f ca="1">SQRT($B$9*SUM(AC996:OFFSET(AC996,$B$8-1,0))/($B$8-1))</f>
        <v>#DIV/0!</v>
      </c>
      <c r="AI996" s="1" t="e">
        <f t="shared" si="86"/>
        <v>#DIV/0!</v>
      </c>
      <c r="AJ996" s="4" t="e">
        <f ca="1">SQRT($B$9)*_xlfn.STDEV.S(AI996:OFFSET(AI996,$B$5-1,0))</f>
        <v>#DIV/0!</v>
      </c>
      <c r="AK996" s="4" t="e">
        <f ca="1">SQRT($B$9)*_xlfn.STDEV.S(AI996:OFFSET(AI996,$B$6-1,0))</f>
        <v>#DIV/0!</v>
      </c>
      <c r="AL996" s="4" t="e">
        <f ca="1">SQRT($B$9)*_xlfn.STDEV.S(AI996:OFFSET(AI996,$B$7-1,0))</f>
        <v>#DIV/0!</v>
      </c>
      <c r="AM996" s="4" t="e">
        <f ca="1">SQRT($B$9)*_xlfn.STDEV.S(AI996:OFFSET(AI996,$B$8-1,0))</f>
        <v>#DIV/0!</v>
      </c>
    </row>
    <row r="997" spans="5:39" x14ac:dyDescent="0.2">
      <c r="K997" s="3" t="e">
        <f t="shared" si="84"/>
        <v>#DIV/0!</v>
      </c>
      <c r="L997" s="3" t="e">
        <f ca="1">SQRT(AVERAGE(K997:OFFSET(K997,$B$5-1,0))*$B$9/(4*LN(2)))</f>
        <v>#DIV/0!</v>
      </c>
      <c r="M997" s="3" t="e">
        <f ca="1">SQRT(AVERAGE(K997:OFFSET(K997,$B$6-1,0))*$B$9/(4*LN(2)))</f>
        <v>#DIV/0!</v>
      </c>
      <c r="N997" s="3" t="e">
        <f ca="1">SQRT(AVERAGE(K997:OFFSET(K997,$B$7-1,0))*$B$9/(4*LN(2)))</f>
        <v>#DIV/0!</v>
      </c>
      <c r="O997" s="3" t="e">
        <f ca="1">SQRT(AVERAGE(K997:OFFSET(K997,$B$8-1,0))*$B$9/(4*LN(2)))</f>
        <v>#DIV/0!</v>
      </c>
      <c r="Q997" s="5" t="e">
        <f t="shared" si="83"/>
        <v>#DIV/0!</v>
      </c>
      <c r="R997" s="5" t="e">
        <f ca="1">SQRT($B$9*AVERAGE((Q997:OFFSET(Q997,$B$5-1,0))))</f>
        <v>#DIV/0!</v>
      </c>
      <c r="S997" s="5" t="e">
        <f ca="1">SQRT($B$9*AVERAGE((Q997:OFFSET(Q997,$B$6-1,0))))</f>
        <v>#DIV/0!</v>
      </c>
      <c r="T997" s="5" t="e">
        <f ca="1">SQRT($B$9*AVERAGE((Q997:OFFSET(Q997,$B$7-1,0))))</f>
        <v>#DIV/0!</v>
      </c>
      <c r="U997" s="5" t="e">
        <f ca="1">SQRT($B$9*AVERAGE((Q997:OFFSET(Q997,$B$8-1,0))))</f>
        <v>#DIV/0!</v>
      </c>
      <c r="W997" s="6" t="e">
        <f t="shared" si="82"/>
        <v>#DIV/0!</v>
      </c>
      <c r="X997" s="6" t="e">
        <f ca="1">SQRT($B$9*AVERAGE(W997:OFFSET(W997,$B$5-1,0)))</f>
        <v>#DIV/0!</v>
      </c>
      <c r="Y997" s="6" t="e">
        <f ca="1">SQRT($B$9*AVERAGE(W997:OFFSET(W997,$B$6-1,0)))</f>
        <v>#DIV/0!</v>
      </c>
      <c r="Z997" s="6" t="e">
        <f ca="1">SQRT($B$9*AVERAGE(W997:OFFSET(W997,$B$7-1,0)))</f>
        <v>#DIV/0!</v>
      </c>
      <c r="AA997" s="6" t="e">
        <f ca="1">SQRT($B$9*AVERAGE(W997:OFFSET(W997,$B$8-1,0)))</f>
        <v>#DIV/0!</v>
      </c>
      <c r="AC997" s="34" t="e">
        <f t="shared" si="85"/>
        <v>#DIV/0!</v>
      </c>
      <c r="AD997" s="34" t="e">
        <f ca="1">SQRT($B$9*SUM(AC997:OFFSET(AC997,$B$5-1,0))/($B$5-1))</f>
        <v>#DIV/0!</v>
      </c>
      <c r="AE997" s="34" t="e">
        <f ca="1">SQRT($B$9*SUM(AC997:OFFSET(AC997,$B$6-1,0))/($B$6-1))</f>
        <v>#DIV/0!</v>
      </c>
      <c r="AF997" s="34" t="e">
        <f ca="1">SQRT($B$9*SUM(AC997:OFFSET(AC997,$B$7-1,0))/($B$7-1))</f>
        <v>#DIV/0!</v>
      </c>
      <c r="AG997" s="34" t="e">
        <f ca="1">SQRT($B$9*SUM(AC997:OFFSET(AC997,$B$8-1,0))/($B$8-1))</f>
        <v>#DIV/0!</v>
      </c>
      <c r="AI997" s="1" t="e">
        <f t="shared" si="86"/>
        <v>#DIV/0!</v>
      </c>
      <c r="AJ997" s="4" t="e">
        <f ca="1">SQRT($B$9)*_xlfn.STDEV.S(AI997:OFFSET(AI997,$B$5-1,0))</f>
        <v>#DIV/0!</v>
      </c>
      <c r="AK997" s="4" t="e">
        <f ca="1">SQRT($B$9)*_xlfn.STDEV.S(AI997:OFFSET(AI997,$B$6-1,0))</f>
        <v>#DIV/0!</v>
      </c>
      <c r="AL997" s="4" t="e">
        <f ca="1">SQRT($B$9)*_xlfn.STDEV.S(AI997:OFFSET(AI997,$B$7-1,0))</f>
        <v>#DIV/0!</v>
      </c>
      <c r="AM997" s="4" t="e">
        <f ca="1">SQRT($B$9)*_xlfn.STDEV.S(AI997:OFFSET(AI997,$B$8-1,0))</f>
        <v>#DIV/0!</v>
      </c>
    </row>
    <row r="998" spans="5:39" x14ac:dyDescent="0.2">
      <c r="K998" s="3" t="e">
        <f t="shared" si="84"/>
        <v>#DIV/0!</v>
      </c>
      <c r="L998" s="3" t="e">
        <f ca="1">SQRT(AVERAGE(K998:OFFSET(K998,$B$5-1,0))*$B$9/(4*LN(2)))</f>
        <v>#DIV/0!</v>
      </c>
      <c r="M998" s="3" t="e">
        <f ca="1">SQRT(AVERAGE(K998:OFFSET(K998,$B$6-1,0))*$B$9/(4*LN(2)))</f>
        <v>#DIV/0!</v>
      </c>
      <c r="N998" s="3" t="e">
        <f ca="1">SQRT(AVERAGE(K998:OFFSET(K998,$B$7-1,0))*$B$9/(4*LN(2)))</f>
        <v>#DIV/0!</v>
      </c>
      <c r="O998" s="3" t="e">
        <f ca="1">SQRT(AVERAGE(K998:OFFSET(K998,$B$8-1,0))*$B$9/(4*LN(2)))</f>
        <v>#DIV/0!</v>
      </c>
      <c r="Q998" s="5" t="e">
        <f t="shared" si="83"/>
        <v>#DIV/0!</v>
      </c>
      <c r="R998" s="5" t="e">
        <f ca="1">SQRT($B$9*AVERAGE((Q998:OFFSET(Q998,$B$5-1,0))))</f>
        <v>#DIV/0!</v>
      </c>
      <c r="S998" s="5" t="e">
        <f ca="1">SQRT($B$9*AVERAGE((Q998:OFFSET(Q998,$B$6-1,0))))</f>
        <v>#DIV/0!</v>
      </c>
      <c r="T998" s="5" t="e">
        <f ca="1">SQRT($B$9*AVERAGE((Q998:OFFSET(Q998,$B$7-1,0))))</f>
        <v>#DIV/0!</v>
      </c>
      <c r="U998" s="5" t="e">
        <f ca="1">SQRT($B$9*AVERAGE((Q998:OFFSET(Q998,$B$8-1,0))))</f>
        <v>#DIV/0!</v>
      </c>
      <c r="W998" s="6" t="e">
        <f t="shared" si="82"/>
        <v>#DIV/0!</v>
      </c>
      <c r="X998" s="6" t="e">
        <f ca="1">SQRT($B$9*AVERAGE(W998:OFFSET(W998,$B$5-1,0)))</f>
        <v>#DIV/0!</v>
      </c>
      <c r="Y998" s="6" t="e">
        <f ca="1">SQRT($B$9*AVERAGE(W998:OFFSET(W998,$B$6-1,0)))</f>
        <v>#DIV/0!</v>
      </c>
      <c r="Z998" s="6" t="e">
        <f ca="1">SQRT($B$9*AVERAGE(W998:OFFSET(W998,$B$7-1,0)))</f>
        <v>#DIV/0!</v>
      </c>
      <c r="AA998" s="6" t="e">
        <f ca="1">SQRT($B$9*AVERAGE(W998:OFFSET(W998,$B$8-1,0)))</f>
        <v>#DIV/0!</v>
      </c>
      <c r="AC998" s="34" t="e">
        <f t="shared" si="85"/>
        <v>#DIV/0!</v>
      </c>
      <c r="AD998" s="34" t="e">
        <f ca="1">SQRT($B$9*SUM(AC998:OFFSET(AC998,$B$5-1,0))/($B$5-1))</f>
        <v>#DIV/0!</v>
      </c>
      <c r="AE998" s="34" t="e">
        <f ca="1">SQRT($B$9*SUM(AC998:OFFSET(AC998,$B$6-1,0))/($B$6-1))</f>
        <v>#DIV/0!</v>
      </c>
      <c r="AF998" s="34" t="e">
        <f ca="1">SQRT($B$9*SUM(AC998:OFFSET(AC998,$B$7-1,0))/($B$7-1))</f>
        <v>#DIV/0!</v>
      </c>
      <c r="AG998" s="34" t="e">
        <f ca="1">SQRT($B$9*SUM(AC998:OFFSET(AC998,$B$8-1,0))/($B$8-1))</f>
        <v>#DIV/0!</v>
      </c>
      <c r="AI998" s="1" t="e">
        <f t="shared" si="86"/>
        <v>#DIV/0!</v>
      </c>
      <c r="AJ998" s="4" t="e">
        <f ca="1">SQRT($B$9)*_xlfn.STDEV.S(AI998:OFFSET(AI998,$B$5-1,0))</f>
        <v>#DIV/0!</v>
      </c>
      <c r="AK998" s="4" t="e">
        <f ca="1">SQRT($B$9)*_xlfn.STDEV.S(AI998:OFFSET(AI998,$B$6-1,0))</f>
        <v>#DIV/0!</v>
      </c>
      <c r="AL998" s="4" t="e">
        <f ca="1">SQRT($B$9)*_xlfn.STDEV.S(AI998:OFFSET(AI998,$B$7-1,0))</f>
        <v>#DIV/0!</v>
      </c>
      <c r="AM998" s="4" t="e">
        <f ca="1">SQRT($B$9)*_xlfn.STDEV.S(AI998:OFFSET(AI998,$B$8-1,0))</f>
        <v>#DIV/0!</v>
      </c>
    </row>
    <row r="999" spans="5:39" x14ac:dyDescent="0.2">
      <c r="K999" s="3" t="e">
        <f t="shared" si="84"/>
        <v>#DIV/0!</v>
      </c>
      <c r="L999" s="3" t="e">
        <f ca="1">SQRT(AVERAGE(K999:OFFSET(K999,$B$5-1,0))*$B$9/(4*LN(2)))</f>
        <v>#DIV/0!</v>
      </c>
      <c r="M999" s="3" t="e">
        <f ca="1">SQRT(AVERAGE(K999:OFFSET(K999,$B$6-1,0))*$B$9/(4*LN(2)))</f>
        <v>#DIV/0!</v>
      </c>
      <c r="N999" s="3" t="e">
        <f ca="1">SQRT(AVERAGE(K999:OFFSET(K999,$B$7-1,0))*$B$9/(4*LN(2)))</f>
        <v>#DIV/0!</v>
      </c>
      <c r="O999" s="3" t="e">
        <f ca="1">SQRT(AVERAGE(K999:OFFSET(K999,$B$8-1,0))*$B$9/(4*LN(2)))</f>
        <v>#DIV/0!</v>
      </c>
      <c r="Q999" s="5" t="e">
        <f t="shared" si="83"/>
        <v>#DIV/0!</v>
      </c>
      <c r="R999" s="5" t="e">
        <f ca="1">SQRT($B$9*AVERAGE((Q999:OFFSET(Q999,$B$5-1,0))))</f>
        <v>#DIV/0!</v>
      </c>
      <c r="S999" s="5" t="e">
        <f ca="1">SQRT($B$9*AVERAGE((Q999:OFFSET(Q999,$B$6-1,0))))</f>
        <v>#DIV/0!</v>
      </c>
      <c r="T999" s="5" t="e">
        <f ca="1">SQRT($B$9*AVERAGE((Q999:OFFSET(Q999,$B$7-1,0))))</f>
        <v>#DIV/0!</v>
      </c>
      <c r="U999" s="5" t="e">
        <f ca="1">SQRT($B$9*AVERAGE((Q999:OFFSET(Q999,$B$8-1,0))))</f>
        <v>#DIV/0!</v>
      </c>
      <c r="W999" s="6" t="e">
        <f t="shared" ref="W999:W1062" si="87">LN(G999/I999)*LN(G999/F999)+LN(H999/I999)*LN(H999/F999)</f>
        <v>#DIV/0!</v>
      </c>
      <c r="X999" s="6" t="e">
        <f ca="1">SQRT($B$9*AVERAGE(W999:OFFSET(W999,$B$5-1,0)))</f>
        <v>#DIV/0!</v>
      </c>
      <c r="Y999" s="6" t="e">
        <f ca="1">SQRT($B$9*AVERAGE(W999:OFFSET(W999,$B$6-1,0)))</f>
        <v>#DIV/0!</v>
      </c>
      <c r="Z999" s="6" t="e">
        <f ca="1">SQRT($B$9*AVERAGE(W999:OFFSET(W999,$B$7-1,0)))</f>
        <v>#DIV/0!</v>
      </c>
      <c r="AA999" s="6" t="e">
        <f ca="1">SQRT($B$9*AVERAGE(W999:OFFSET(W999,$B$8-1,0)))</f>
        <v>#DIV/0!</v>
      </c>
      <c r="AC999" s="34" t="e">
        <f t="shared" si="85"/>
        <v>#DIV/0!</v>
      </c>
      <c r="AD999" s="34" t="e">
        <f ca="1">SQRT($B$9*SUM(AC999:OFFSET(AC999,$B$5-1,0))/($B$5-1))</f>
        <v>#DIV/0!</v>
      </c>
      <c r="AE999" s="34" t="e">
        <f ca="1">SQRT($B$9*SUM(AC999:OFFSET(AC999,$B$6-1,0))/($B$6-1))</f>
        <v>#DIV/0!</v>
      </c>
      <c r="AF999" s="34" t="e">
        <f ca="1">SQRT($B$9*SUM(AC999:OFFSET(AC999,$B$7-1,0))/($B$7-1))</f>
        <v>#DIV/0!</v>
      </c>
      <c r="AG999" s="34" t="e">
        <f ca="1">SQRT($B$9*SUM(AC999:OFFSET(AC999,$B$8-1,0))/($B$8-1))</f>
        <v>#DIV/0!</v>
      </c>
      <c r="AI999" s="1" t="e">
        <f t="shared" si="86"/>
        <v>#DIV/0!</v>
      </c>
      <c r="AJ999" s="4" t="e">
        <f ca="1">SQRT($B$9)*_xlfn.STDEV.S(AI999:OFFSET(AI999,$B$5-1,0))</f>
        <v>#DIV/0!</v>
      </c>
      <c r="AK999" s="4" t="e">
        <f ca="1">SQRT($B$9)*_xlfn.STDEV.S(AI999:OFFSET(AI999,$B$6-1,0))</f>
        <v>#DIV/0!</v>
      </c>
      <c r="AL999" s="4" t="e">
        <f ca="1">SQRT($B$9)*_xlfn.STDEV.S(AI999:OFFSET(AI999,$B$7-1,0))</f>
        <v>#DIV/0!</v>
      </c>
      <c r="AM999" s="4" t="e">
        <f ca="1">SQRT($B$9)*_xlfn.STDEV.S(AI999:OFFSET(AI999,$B$8-1,0))</f>
        <v>#DIV/0!</v>
      </c>
    </row>
    <row r="1000" spans="5:39" x14ac:dyDescent="0.2">
      <c r="K1000" s="3" t="e">
        <f t="shared" si="84"/>
        <v>#DIV/0!</v>
      </c>
      <c r="L1000" s="3" t="e">
        <f ca="1">SQRT(AVERAGE(K1000:OFFSET(K1000,$B$5-1,0))*$B$9/(4*LN(2)))</f>
        <v>#DIV/0!</v>
      </c>
      <c r="M1000" s="3" t="e">
        <f ca="1">SQRT(AVERAGE(K1000:OFFSET(K1000,$B$6-1,0))*$B$9/(4*LN(2)))</f>
        <v>#DIV/0!</v>
      </c>
      <c r="N1000" s="3" t="e">
        <f ca="1">SQRT(AVERAGE(K1000:OFFSET(K1000,$B$7-1,0))*$B$9/(4*LN(2)))</f>
        <v>#DIV/0!</v>
      </c>
      <c r="O1000" s="3" t="e">
        <f ca="1">SQRT(AVERAGE(K1000:OFFSET(K1000,$B$8-1,0))*$B$9/(4*LN(2)))</f>
        <v>#DIV/0!</v>
      </c>
      <c r="Q1000" s="5" t="e">
        <f t="shared" si="83"/>
        <v>#DIV/0!</v>
      </c>
      <c r="R1000" s="5" t="e">
        <f ca="1">SQRT($B$9*AVERAGE((Q1000:OFFSET(Q1000,$B$5-1,0))))</f>
        <v>#DIV/0!</v>
      </c>
      <c r="S1000" s="5" t="e">
        <f ca="1">SQRT($B$9*AVERAGE((Q1000:OFFSET(Q1000,$B$6-1,0))))</f>
        <v>#DIV/0!</v>
      </c>
      <c r="T1000" s="5" t="e">
        <f ca="1">SQRT($B$9*AVERAGE((Q1000:OFFSET(Q1000,$B$7-1,0))))</f>
        <v>#DIV/0!</v>
      </c>
      <c r="U1000" s="5" t="e">
        <f ca="1">SQRT($B$9*AVERAGE((Q1000:OFFSET(Q1000,$B$8-1,0))))</f>
        <v>#DIV/0!</v>
      </c>
      <c r="W1000" s="6" t="e">
        <f t="shared" si="87"/>
        <v>#DIV/0!</v>
      </c>
      <c r="X1000" s="6" t="e">
        <f ca="1">SQRT($B$9*AVERAGE(W1000:OFFSET(W1000,$B$5-1,0)))</f>
        <v>#DIV/0!</v>
      </c>
      <c r="Y1000" s="6" t="e">
        <f ca="1">SQRT($B$9*AVERAGE(W1000:OFFSET(W1000,$B$6-1,0)))</f>
        <v>#DIV/0!</v>
      </c>
      <c r="Z1000" s="6" t="e">
        <f ca="1">SQRT($B$9*AVERAGE(W1000:OFFSET(W1000,$B$7-1,0)))</f>
        <v>#DIV/0!</v>
      </c>
      <c r="AA1000" s="6" t="e">
        <f ca="1">SQRT($B$9*AVERAGE(W1000:OFFSET(W1000,$B$8-1,0)))</f>
        <v>#DIV/0!</v>
      </c>
      <c r="AC1000" s="34" t="e">
        <f t="shared" si="85"/>
        <v>#DIV/0!</v>
      </c>
      <c r="AD1000" s="34" t="e">
        <f ca="1">SQRT($B$9*SUM(AC1000:OFFSET(AC1000,$B$5-1,0))/($B$5-1))</f>
        <v>#DIV/0!</v>
      </c>
      <c r="AE1000" s="34" t="e">
        <f ca="1">SQRT($B$9*SUM(AC1000:OFFSET(AC1000,$B$6-1,0))/($B$6-1))</f>
        <v>#DIV/0!</v>
      </c>
      <c r="AF1000" s="34" t="e">
        <f ca="1">SQRT($B$9*SUM(AC1000:OFFSET(AC1000,$B$7-1,0))/($B$7-1))</f>
        <v>#DIV/0!</v>
      </c>
      <c r="AG1000" s="34" t="e">
        <f ca="1">SQRT($B$9*SUM(AC1000:OFFSET(AC1000,$B$8-1,0))/($B$8-1))</f>
        <v>#DIV/0!</v>
      </c>
      <c r="AI1000" s="1" t="e">
        <f t="shared" si="86"/>
        <v>#DIV/0!</v>
      </c>
      <c r="AJ1000" s="4" t="e">
        <f ca="1">SQRT($B$9)*_xlfn.STDEV.S(AI1000:OFFSET(AI1000,$B$5-1,0))</f>
        <v>#DIV/0!</v>
      </c>
      <c r="AK1000" s="4" t="e">
        <f ca="1">SQRT($B$9)*_xlfn.STDEV.S(AI1000:OFFSET(AI1000,$B$6-1,0))</f>
        <v>#DIV/0!</v>
      </c>
      <c r="AL1000" s="4" t="e">
        <f ca="1">SQRT($B$9)*_xlfn.STDEV.S(AI1000:OFFSET(AI1000,$B$7-1,0))</f>
        <v>#DIV/0!</v>
      </c>
      <c r="AM1000" s="4" t="e">
        <f ca="1">SQRT($B$9)*_xlfn.STDEV.S(AI1000:OFFSET(AI1000,$B$8-1,0))</f>
        <v>#DIV/0!</v>
      </c>
    </row>
    <row r="1001" spans="5:39" x14ac:dyDescent="0.2">
      <c r="K1001" s="3" t="e">
        <f t="shared" si="84"/>
        <v>#DIV/0!</v>
      </c>
      <c r="L1001" s="3" t="e">
        <f ca="1">SQRT(AVERAGE(K1001:OFFSET(K1001,$B$5-1,0))*$B$9/(4*LN(2)))</f>
        <v>#DIV/0!</v>
      </c>
      <c r="M1001" s="3" t="e">
        <f ca="1">SQRT(AVERAGE(K1001:OFFSET(K1001,$B$6-1,0))*$B$9/(4*LN(2)))</f>
        <v>#DIV/0!</v>
      </c>
      <c r="N1001" s="3" t="e">
        <f ca="1">SQRT(AVERAGE(K1001:OFFSET(K1001,$B$7-1,0))*$B$9/(4*LN(2)))</f>
        <v>#DIV/0!</v>
      </c>
      <c r="O1001" s="3" t="e">
        <f ca="1">SQRT(AVERAGE(K1001:OFFSET(K1001,$B$8-1,0))*$B$9/(4*LN(2)))</f>
        <v>#DIV/0!</v>
      </c>
      <c r="Q1001" s="5" t="e">
        <f t="shared" si="83"/>
        <v>#DIV/0!</v>
      </c>
      <c r="R1001" s="5" t="e">
        <f ca="1">SQRT($B$9*AVERAGE((Q1001:OFFSET(Q1001,$B$5-1,0))))</f>
        <v>#DIV/0!</v>
      </c>
      <c r="S1001" s="5" t="e">
        <f ca="1">SQRT($B$9*AVERAGE((Q1001:OFFSET(Q1001,$B$6-1,0))))</f>
        <v>#DIV/0!</v>
      </c>
      <c r="T1001" s="5" t="e">
        <f ca="1">SQRT($B$9*AVERAGE((Q1001:OFFSET(Q1001,$B$7-1,0))))</f>
        <v>#DIV/0!</v>
      </c>
      <c r="U1001" s="5" t="e">
        <f ca="1">SQRT($B$9*AVERAGE((Q1001:OFFSET(Q1001,$B$8-1,0))))</f>
        <v>#DIV/0!</v>
      </c>
      <c r="W1001" s="6" t="e">
        <f t="shared" si="87"/>
        <v>#DIV/0!</v>
      </c>
      <c r="X1001" s="6" t="e">
        <f ca="1">SQRT($B$9*AVERAGE(W1001:OFFSET(W1001,$B$5-1,0)))</f>
        <v>#DIV/0!</v>
      </c>
      <c r="Y1001" s="6" t="e">
        <f ca="1">SQRT($B$9*AVERAGE(W1001:OFFSET(W1001,$B$6-1,0)))</f>
        <v>#DIV/0!</v>
      </c>
      <c r="Z1001" s="6" t="e">
        <f ca="1">SQRT($B$9*AVERAGE(W1001:OFFSET(W1001,$B$7-1,0)))</f>
        <v>#DIV/0!</v>
      </c>
      <c r="AA1001" s="6" t="e">
        <f ca="1">SQRT($B$9*AVERAGE(W1001:OFFSET(W1001,$B$8-1,0)))</f>
        <v>#DIV/0!</v>
      </c>
      <c r="AC1001" s="34" t="e">
        <f t="shared" si="85"/>
        <v>#DIV/0!</v>
      </c>
      <c r="AD1001" s="34" t="e">
        <f ca="1">SQRT($B$9*SUM(AC1001:OFFSET(AC1001,$B$5-1,0))/($B$5-1))</f>
        <v>#DIV/0!</v>
      </c>
      <c r="AE1001" s="34" t="e">
        <f ca="1">SQRT($B$9*SUM(AC1001:OFFSET(AC1001,$B$6-1,0))/($B$6-1))</f>
        <v>#DIV/0!</v>
      </c>
      <c r="AF1001" s="34" t="e">
        <f ca="1">SQRT($B$9*SUM(AC1001:OFFSET(AC1001,$B$7-1,0))/($B$7-1))</f>
        <v>#DIV/0!</v>
      </c>
      <c r="AG1001" s="34" t="e">
        <f ca="1">SQRT($B$9*SUM(AC1001:OFFSET(AC1001,$B$8-1,0))/($B$8-1))</f>
        <v>#DIV/0!</v>
      </c>
      <c r="AI1001" s="1" t="e">
        <f t="shared" si="86"/>
        <v>#DIV/0!</v>
      </c>
      <c r="AJ1001" s="4" t="e">
        <f ca="1">SQRT($B$9)*_xlfn.STDEV.S(AI1001:OFFSET(AI1001,$B$5-1,0))</f>
        <v>#DIV/0!</v>
      </c>
      <c r="AK1001" s="4" t="e">
        <f ca="1">SQRT($B$9)*_xlfn.STDEV.S(AI1001:OFFSET(AI1001,$B$6-1,0))</f>
        <v>#DIV/0!</v>
      </c>
      <c r="AL1001" s="4" t="e">
        <f ca="1">SQRT($B$9)*_xlfn.STDEV.S(AI1001:OFFSET(AI1001,$B$7-1,0))</f>
        <v>#DIV/0!</v>
      </c>
      <c r="AM1001" s="4" t="e">
        <f ca="1">SQRT($B$9)*_xlfn.STDEV.S(AI1001:OFFSET(AI1001,$B$8-1,0))</f>
        <v>#DIV/0!</v>
      </c>
    </row>
    <row r="1002" spans="5:39" x14ac:dyDescent="0.2">
      <c r="K1002" s="3" t="e">
        <f t="shared" si="84"/>
        <v>#DIV/0!</v>
      </c>
      <c r="L1002" s="3" t="e">
        <f ca="1">SQRT(AVERAGE(K1002:OFFSET(K1002,$B$5-1,0))*$B$9/(4*LN(2)))</f>
        <v>#DIV/0!</v>
      </c>
      <c r="M1002" s="3" t="e">
        <f ca="1">SQRT(AVERAGE(K1002:OFFSET(K1002,$B$6-1,0))*$B$9/(4*LN(2)))</f>
        <v>#DIV/0!</v>
      </c>
      <c r="N1002" s="3" t="e">
        <f ca="1">SQRT(AVERAGE(K1002:OFFSET(K1002,$B$7-1,0))*$B$9/(4*LN(2)))</f>
        <v>#DIV/0!</v>
      </c>
      <c r="O1002" s="3" t="e">
        <f ca="1">SQRT(AVERAGE(K1002:OFFSET(K1002,$B$8-1,0))*$B$9/(4*LN(2)))</f>
        <v>#DIV/0!</v>
      </c>
      <c r="Q1002" s="5" t="e">
        <f t="shared" si="83"/>
        <v>#DIV/0!</v>
      </c>
      <c r="R1002" s="5" t="e">
        <f ca="1">SQRT($B$9*AVERAGE((Q1002:OFFSET(Q1002,$B$5-1,0))))</f>
        <v>#DIV/0!</v>
      </c>
      <c r="S1002" s="5" t="e">
        <f ca="1">SQRT($B$9*AVERAGE((Q1002:OFFSET(Q1002,$B$6-1,0))))</f>
        <v>#DIV/0!</v>
      </c>
      <c r="T1002" s="5" t="e">
        <f ca="1">SQRT($B$9*AVERAGE((Q1002:OFFSET(Q1002,$B$7-1,0))))</f>
        <v>#DIV/0!</v>
      </c>
      <c r="U1002" s="5" t="e">
        <f ca="1">SQRT($B$9*AVERAGE((Q1002:OFFSET(Q1002,$B$8-1,0))))</f>
        <v>#DIV/0!</v>
      </c>
      <c r="W1002" s="6" t="e">
        <f t="shared" si="87"/>
        <v>#DIV/0!</v>
      </c>
      <c r="X1002" s="6" t="e">
        <f ca="1">SQRT($B$9*AVERAGE(W1002:OFFSET(W1002,$B$5-1,0)))</f>
        <v>#DIV/0!</v>
      </c>
      <c r="Y1002" s="6" t="e">
        <f ca="1">SQRT($B$9*AVERAGE(W1002:OFFSET(W1002,$B$6-1,0)))</f>
        <v>#DIV/0!</v>
      </c>
      <c r="Z1002" s="6" t="e">
        <f ca="1">SQRT($B$9*AVERAGE(W1002:OFFSET(W1002,$B$7-1,0)))</f>
        <v>#DIV/0!</v>
      </c>
      <c r="AA1002" s="6" t="e">
        <f ca="1">SQRT($B$9*AVERAGE(W1002:OFFSET(W1002,$B$8-1,0)))</f>
        <v>#DIV/0!</v>
      </c>
      <c r="AC1002" s="34" t="e">
        <f t="shared" si="85"/>
        <v>#DIV/0!</v>
      </c>
      <c r="AD1002" s="34" t="e">
        <f ca="1">SQRT($B$9*SUM(AC1002:OFFSET(AC1002,$B$5-1,0))/($B$5-1))</f>
        <v>#DIV/0!</v>
      </c>
      <c r="AE1002" s="34" t="e">
        <f ca="1">SQRT($B$9*SUM(AC1002:OFFSET(AC1002,$B$6-1,0))/($B$6-1))</f>
        <v>#DIV/0!</v>
      </c>
      <c r="AF1002" s="34" t="e">
        <f ca="1">SQRT($B$9*SUM(AC1002:OFFSET(AC1002,$B$7-1,0))/($B$7-1))</f>
        <v>#DIV/0!</v>
      </c>
      <c r="AG1002" s="34" t="e">
        <f ca="1">SQRT($B$9*SUM(AC1002:OFFSET(AC1002,$B$8-1,0))/($B$8-1))</f>
        <v>#DIV/0!</v>
      </c>
      <c r="AI1002" s="1" t="e">
        <f t="shared" si="86"/>
        <v>#DIV/0!</v>
      </c>
      <c r="AJ1002" s="4" t="e">
        <f ca="1">SQRT($B$9)*_xlfn.STDEV.S(AI1002:OFFSET(AI1002,$B$5-1,0))</f>
        <v>#DIV/0!</v>
      </c>
      <c r="AK1002" s="4" t="e">
        <f ca="1">SQRT($B$9)*_xlfn.STDEV.S(AI1002:OFFSET(AI1002,$B$6-1,0))</f>
        <v>#DIV/0!</v>
      </c>
      <c r="AL1002" s="4" t="e">
        <f ca="1">SQRT($B$9)*_xlfn.STDEV.S(AI1002:OFFSET(AI1002,$B$7-1,0))</f>
        <v>#DIV/0!</v>
      </c>
      <c r="AM1002" s="4" t="e">
        <f ca="1">SQRT($B$9)*_xlfn.STDEV.S(AI1002:OFFSET(AI1002,$B$8-1,0))</f>
        <v>#DIV/0!</v>
      </c>
    </row>
    <row r="1003" spans="5:39" x14ac:dyDescent="0.2">
      <c r="K1003" s="3" t="e">
        <f t="shared" si="84"/>
        <v>#DIV/0!</v>
      </c>
      <c r="L1003" s="3" t="e">
        <f ca="1">SQRT(AVERAGE(K1003:OFFSET(K1003,$B$5-1,0))*$B$9/(4*LN(2)))</f>
        <v>#DIV/0!</v>
      </c>
      <c r="M1003" s="3" t="e">
        <f ca="1">SQRT(AVERAGE(K1003:OFFSET(K1003,$B$6-1,0))*$B$9/(4*LN(2)))</f>
        <v>#DIV/0!</v>
      </c>
      <c r="N1003" s="3" t="e">
        <f ca="1">SQRT(AVERAGE(K1003:OFFSET(K1003,$B$7-1,0))*$B$9/(4*LN(2)))</f>
        <v>#DIV/0!</v>
      </c>
      <c r="O1003" s="3" t="e">
        <f ca="1">SQRT(AVERAGE(K1003:OFFSET(K1003,$B$8-1,0))*$B$9/(4*LN(2)))</f>
        <v>#DIV/0!</v>
      </c>
      <c r="Q1003" s="5" t="e">
        <f t="shared" si="83"/>
        <v>#DIV/0!</v>
      </c>
      <c r="R1003" s="5" t="e">
        <f ca="1">SQRT($B$9*AVERAGE((Q1003:OFFSET(Q1003,$B$5-1,0))))</f>
        <v>#DIV/0!</v>
      </c>
      <c r="S1003" s="5" t="e">
        <f ca="1">SQRT($B$9*AVERAGE((Q1003:OFFSET(Q1003,$B$6-1,0))))</f>
        <v>#DIV/0!</v>
      </c>
      <c r="T1003" s="5" t="e">
        <f ca="1">SQRT($B$9*AVERAGE((Q1003:OFFSET(Q1003,$B$7-1,0))))</f>
        <v>#DIV/0!</v>
      </c>
      <c r="U1003" s="5" t="e">
        <f ca="1">SQRT($B$9*AVERAGE((Q1003:OFFSET(Q1003,$B$8-1,0))))</f>
        <v>#DIV/0!</v>
      </c>
      <c r="W1003" s="6" t="e">
        <f t="shared" si="87"/>
        <v>#DIV/0!</v>
      </c>
      <c r="X1003" s="6" t="e">
        <f ca="1">SQRT($B$9*AVERAGE(W1003:OFFSET(W1003,$B$5-1,0)))</f>
        <v>#DIV/0!</v>
      </c>
      <c r="Y1003" s="6" t="e">
        <f ca="1">SQRT($B$9*AVERAGE(W1003:OFFSET(W1003,$B$6-1,0)))</f>
        <v>#DIV/0!</v>
      </c>
      <c r="Z1003" s="6" t="e">
        <f ca="1">SQRT($B$9*AVERAGE(W1003:OFFSET(W1003,$B$7-1,0)))</f>
        <v>#DIV/0!</v>
      </c>
      <c r="AA1003" s="6" t="e">
        <f ca="1">SQRT($B$9*AVERAGE(W1003:OFFSET(W1003,$B$8-1,0)))</f>
        <v>#DIV/0!</v>
      </c>
      <c r="AC1003" s="34" t="e">
        <f t="shared" si="85"/>
        <v>#DIV/0!</v>
      </c>
      <c r="AD1003" s="34" t="e">
        <f ca="1">SQRT($B$9*SUM(AC1003:OFFSET(AC1003,$B$5-1,0))/($B$5-1))</f>
        <v>#DIV/0!</v>
      </c>
      <c r="AE1003" s="34" t="e">
        <f ca="1">SQRT($B$9*SUM(AC1003:OFFSET(AC1003,$B$6-1,0))/($B$6-1))</f>
        <v>#DIV/0!</v>
      </c>
      <c r="AF1003" s="34" t="e">
        <f ca="1">SQRT($B$9*SUM(AC1003:OFFSET(AC1003,$B$7-1,0))/($B$7-1))</f>
        <v>#DIV/0!</v>
      </c>
      <c r="AG1003" s="34" t="e">
        <f ca="1">SQRT($B$9*SUM(AC1003:OFFSET(AC1003,$B$8-1,0))/($B$8-1))</f>
        <v>#DIV/0!</v>
      </c>
      <c r="AI1003" s="1" t="e">
        <f t="shared" si="86"/>
        <v>#DIV/0!</v>
      </c>
      <c r="AJ1003" s="4" t="e">
        <f ca="1">SQRT($B$9)*_xlfn.STDEV.S(AI1003:OFFSET(AI1003,$B$5-1,0))</f>
        <v>#DIV/0!</v>
      </c>
      <c r="AK1003" s="4" t="e">
        <f ca="1">SQRT($B$9)*_xlfn.STDEV.S(AI1003:OFFSET(AI1003,$B$6-1,0))</f>
        <v>#DIV/0!</v>
      </c>
      <c r="AL1003" s="4" t="e">
        <f ca="1">SQRT($B$9)*_xlfn.STDEV.S(AI1003:OFFSET(AI1003,$B$7-1,0))</f>
        <v>#DIV/0!</v>
      </c>
      <c r="AM1003" s="4" t="e">
        <f ca="1">SQRT($B$9)*_xlfn.STDEV.S(AI1003:OFFSET(AI1003,$B$8-1,0))</f>
        <v>#DIV/0!</v>
      </c>
    </row>
    <row r="1004" spans="5:39" x14ac:dyDescent="0.2">
      <c r="K1004" s="3" t="e">
        <f t="shared" si="84"/>
        <v>#DIV/0!</v>
      </c>
      <c r="L1004" s="3" t="e">
        <f ca="1">SQRT(AVERAGE(K1004:OFFSET(K1004,$B$5-1,0))*$B$9/(4*LN(2)))</f>
        <v>#DIV/0!</v>
      </c>
      <c r="M1004" s="3" t="e">
        <f ca="1">SQRT(AVERAGE(K1004:OFFSET(K1004,$B$6-1,0))*$B$9/(4*LN(2)))</f>
        <v>#DIV/0!</v>
      </c>
      <c r="N1004" s="3" t="e">
        <f ca="1">SQRT(AVERAGE(K1004:OFFSET(K1004,$B$7-1,0))*$B$9/(4*LN(2)))</f>
        <v>#DIV/0!</v>
      </c>
      <c r="O1004" s="3" t="e">
        <f ca="1">SQRT(AVERAGE(K1004:OFFSET(K1004,$B$8-1,0))*$B$9/(4*LN(2)))</f>
        <v>#DIV/0!</v>
      </c>
      <c r="Q1004" s="5" t="e">
        <f t="shared" si="83"/>
        <v>#DIV/0!</v>
      </c>
      <c r="R1004" s="5" t="e">
        <f ca="1">SQRT($B$9*AVERAGE((Q1004:OFFSET(Q1004,$B$5-1,0))))</f>
        <v>#DIV/0!</v>
      </c>
      <c r="S1004" s="5" t="e">
        <f ca="1">SQRT($B$9*AVERAGE((Q1004:OFFSET(Q1004,$B$6-1,0))))</f>
        <v>#DIV/0!</v>
      </c>
      <c r="T1004" s="5" t="e">
        <f ca="1">SQRT($B$9*AVERAGE((Q1004:OFFSET(Q1004,$B$7-1,0))))</f>
        <v>#DIV/0!</v>
      </c>
      <c r="U1004" s="5" t="e">
        <f ca="1">SQRT($B$9*AVERAGE((Q1004:OFFSET(Q1004,$B$8-1,0))))</f>
        <v>#DIV/0!</v>
      </c>
      <c r="W1004" s="6" t="e">
        <f t="shared" si="87"/>
        <v>#DIV/0!</v>
      </c>
      <c r="X1004" s="6" t="e">
        <f ca="1">SQRT($B$9*AVERAGE(W1004:OFFSET(W1004,$B$5-1,0)))</f>
        <v>#DIV/0!</v>
      </c>
      <c r="Y1004" s="6" t="e">
        <f ca="1">SQRT($B$9*AVERAGE(W1004:OFFSET(W1004,$B$6-1,0)))</f>
        <v>#DIV/0!</v>
      </c>
      <c r="Z1004" s="6" t="e">
        <f ca="1">SQRT($B$9*AVERAGE(W1004:OFFSET(W1004,$B$7-1,0)))</f>
        <v>#DIV/0!</v>
      </c>
      <c r="AA1004" s="6" t="e">
        <f ca="1">SQRT($B$9*AVERAGE(W1004:OFFSET(W1004,$B$8-1,0)))</f>
        <v>#DIV/0!</v>
      </c>
      <c r="AC1004" s="34" t="e">
        <f t="shared" si="85"/>
        <v>#DIV/0!</v>
      </c>
      <c r="AD1004" s="34" t="e">
        <f ca="1">SQRT($B$9*SUM(AC1004:OFFSET(AC1004,$B$5-1,0))/($B$5-1))</f>
        <v>#DIV/0!</v>
      </c>
      <c r="AE1004" s="34" t="e">
        <f ca="1">SQRT($B$9*SUM(AC1004:OFFSET(AC1004,$B$6-1,0))/($B$6-1))</f>
        <v>#DIV/0!</v>
      </c>
      <c r="AF1004" s="34" t="e">
        <f ca="1">SQRT($B$9*SUM(AC1004:OFFSET(AC1004,$B$7-1,0))/($B$7-1))</f>
        <v>#DIV/0!</v>
      </c>
      <c r="AG1004" s="34" t="e">
        <f ca="1">SQRT($B$9*SUM(AC1004:OFFSET(AC1004,$B$8-1,0))/($B$8-1))</f>
        <v>#DIV/0!</v>
      </c>
      <c r="AI1004" s="1" t="e">
        <f t="shared" si="86"/>
        <v>#DIV/0!</v>
      </c>
      <c r="AJ1004" s="4" t="e">
        <f ca="1">SQRT($B$9)*_xlfn.STDEV.S(AI1004:OFFSET(AI1004,$B$5-1,0))</f>
        <v>#DIV/0!</v>
      </c>
      <c r="AK1004" s="4" t="e">
        <f ca="1">SQRT($B$9)*_xlfn.STDEV.S(AI1004:OFFSET(AI1004,$B$6-1,0))</f>
        <v>#DIV/0!</v>
      </c>
      <c r="AL1004" s="4" t="e">
        <f ca="1">SQRT($B$9)*_xlfn.STDEV.S(AI1004:OFFSET(AI1004,$B$7-1,0))</f>
        <v>#DIV/0!</v>
      </c>
      <c r="AM1004" s="4" t="e">
        <f ca="1">SQRT($B$9)*_xlfn.STDEV.S(AI1004:OFFSET(AI1004,$B$8-1,0))</f>
        <v>#DIV/0!</v>
      </c>
    </row>
    <row r="1005" spans="5:39" x14ac:dyDescent="0.2">
      <c r="K1005" s="3" t="e">
        <f t="shared" si="84"/>
        <v>#DIV/0!</v>
      </c>
      <c r="L1005" s="3" t="e">
        <f ca="1">SQRT(AVERAGE(K1005:OFFSET(K1005,$B$5-1,0))*$B$9/(4*LN(2)))</f>
        <v>#DIV/0!</v>
      </c>
      <c r="M1005" s="3" t="e">
        <f ca="1">SQRT(AVERAGE(K1005:OFFSET(K1005,$B$6-1,0))*$B$9/(4*LN(2)))</f>
        <v>#DIV/0!</v>
      </c>
      <c r="N1005" s="3" t="e">
        <f ca="1">SQRT(AVERAGE(K1005:OFFSET(K1005,$B$7-1,0))*$B$9/(4*LN(2)))</f>
        <v>#DIV/0!</v>
      </c>
      <c r="O1005" s="3" t="e">
        <f ca="1">SQRT(AVERAGE(K1005:OFFSET(K1005,$B$8-1,0))*$B$9/(4*LN(2)))</f>
        <v>#DIV/0!</v>
      </c>
      <c r="Q1005" s="5" t="e">
        <f t="shared" si="83"/>
        <v>#DIV/0!</v>
      </c>
      <c r="R1005" s="5" t="e">
        <f ca="1">SQRT($B$9*AVERAGE((Q1005:OFFSET(Q1005,$B$5-1,0))))</f>
        <v>#DIV/0!</v>
      </c>
      <c r="S1005" s="5" t="e">
        <f ca="1">SQRT($B$9*AVERAGE((Q1005:OFFSET(Q1005,$B$6-1,0))))</f>
        <v>#DIV/0!</v>
      </c>
      <c r="T1005" s="5" t="e">
        <f ca="1">SQRT($B$9*AVERAGE((Q1005:OFFSET(Q1005,$B$7-1,0))))</f>
        <v>#DIV/0!</v>
      </c>
      <c r="U1005" s="5" t="e">
        <f ca="1">SQRT($B$9*AVERAGE((Q1005:OFFSET(Q1005,$B$8-1,0))))</f>
        <v>#DIV/0!</v>
      </c>
      <c r="W1005" s="6" t="e">
        <f t="shared" si="87"/>
        <v>#DIV/0!</v>
      </c>
      <c r="X1005" s="6" t="e">
        <f ca="1">SQRT($B$9*AVERAGE(W1005:OFFSET(W1005,$B$5-1,0)))</f>
        <v>#DIV/0!</v>
      </c>
      <c r="Y1005" s="6" t="e">
        <f ca="1">SQRT($B$9*AVERAGE(W1005:OFFSET(W1005,$B$6-1,0)))</f>
        <v>#DIV/0!</v>
      </c>
      <c r="Z1005" s="6" t="e">
        <f ca="1">SQRT($B$9*AVERAGE(W1005:OFFSET(W1005,$B$7-1,0)))</f>
        <v>#DIV/0!</v>
      </c>
      <c r="AA1005" s="6" t="e">
        <f ca="1">SQRT($B$9*AVERAGE(W1005:OFFSET(W1005,$B$8-1,0)))</f>
        <v>#DIV/0!</v>
      </c>
      <c r="AC1005" s="34" t="e">
        <f t="shared" si="85"/>
        <v>#DIV/0!</v>
      </c>
      <c r="AD1005" s="34" t="e">
        <f ca="1">SQRT($B$9*SUM(AC1005:OFFSET(AC1005,$B$5-1,0))/($B$5-1))</f>
        <v>#DIV/0!</v>
      </c>
      <c r="AE1005" s="34" t="e">
        <f ca="1">SQRT($B$9*SUM(AC1005:OFFSET(AC1005,$B$6-1,0))/($B$6-1))</f>
        <v>#DIV/0!</v>
      </c>
      <c r="AF1005" s="34" t="e">
        <f ca="1">SQRT($B$9*SUM(AC1005:OFFSET(AC1005,$B$7-1,0))/($B$7-1))</f>
        <v>#DIV/0!</v>
      </c>
      <c r="AG1005" s="34" t="e">
        <f ca="1">SQRT($B$9*SUM(AC1005:OFFSET(AC1005,$B$8-1,0))/($B$8-1))</f>
        <v>#DIV/0!</v>
      </c>
      <c r="AI1005" s="1" t="e">
        <f t="shared" si="86"/>
        <v>#DIV/0!</v>
      </c>
      <c r="AJ1005" s="4" t="e">
        <f ca="1">SQRT($B$9)*_xlfn.STDEV.S(AI1005:OFFSET(AI1005,$B$5-1,0))</f>
        <v>#DIV/0!</v>
      </c>
      <c r="AK1005" s="4" t="e">
        <f ca="1">SQRT($B$9)*_xlfn.STDEV.S(AI1005:OFFSET(AI1005,$B$6-1,0))</f>
        <v>#DIV/0!</v>
      </c>
      <c r="AL1005" s="4" t="e">
        <f ca="1">SQRT($B$9)*_xlfn.STDEV.S(AI1005:OFFSET(AI1005,$B$7-1,0))</f>
        <v>#DIV/0!</v>
      </c>
      <c r="AM1005" s="4" t="e">
        <f ca="1">SQRT($B$9)*_xlfn.STDEV.S(AI1005:OFFSET(AI1005,$B$8-1,0))</f>
        <v>#DIV/0!</v>
      </c>
    </row>
    <row r="1006" spans="5:39" x14ac:dyDescent="0.2">
      <c r="K1006" s="3" t="e">
        <f t="shared" si="84"/>
        <v>#DIV/0!</v>
      </c>
      <c r="L1006" s="3" t="e">
        <f ca="1">SQRT(AVERAGE(K1006:OFFSET(K1006,$B$5-1,0))*$B$9/(4*LN(2)))</f>
        <v>#DIV/0!</v>
      </c>
      <c r="M1006" s="3" t="e">
        <f ca="1">SQRT(AVERAGE(K1006:OFFSET(K1006,$B$6-1,0))*$B$9/(4*LN(2)))</f>
        <v>#DIV/0!</v>
      </c>
      <c r="N1006" s="3" t="e">
        <f ca="1">SQRT(AVERAGE(K1006:OFFSET(K1006,$B$7-1,0))*$B$9/(4*LN(2)))</f>
        <v>#DIV/0!</v>
      </c>
      <c r="O1006" s="3" t="e">
        <f ca="1">SQRT(AVERAGE(K1006:OFFSET(K1006,$B$8-1,0))*$B$9/(4*LN(2)))</f>
        <v>#DIV/0!</v>
      </c>
      <c r="Q1006" s="5" t="e">
        <f t="shared" si="83"/>
        <v>#DIV/0!</v>
      </c>
      <c r="R1006" s="5" t="e">
        <f ca="1">SQRT($B$9*AVERAGE((Q1006:OFFSET(Q1006,$B$5-1,0))))</f>
        <v>#DIV/0!</v>
      </c>
      <c r="S1006" s="5" t="e">
        <f ca="1">SQRT($B$9*AVERAGE((Q1006:OFFSET(Q1006,$B$6-1,0))))</f>
        <v>#DIV/0!</v>
      </c>
      <c r="T1006" s="5" t="e">
        <f ca="1">SQRT($B$9*AVERAGE((Q1006:OFFSET(Q1006,$B$7-1,0))))</f>
        <v>#DIV/0!</v>
      </c>
      <c r="U1006" s="5" t="e">
        <f ca="1">SQRT($B$9*AVERAGE((Q1006:OFFSET(Q1006,$B$8-1,0))))</f>
        <v>#DIV/0!</v>
      </c>
      <c r="W1006" s="6" t="e">
        <f t="shared" si="87"/>
        <v>#DIV/0!</v>
      </c>
      <c r="X1006" s="6" t="e">
        <f ca="1">SQRT($B$9*AVERAGE(W1006:OFFSET(W1006,$B$5-1,0)))</f>
        <v>#DIV/0!</v>
      </c>
      <c r="Y1006" s="6" t="e">
        <f ca="1">SQRT($B$9*AVERAGE(W1006:OFFSET(W1006,$B$6-1,0)))</f>
        <v>#DIV/0!</v>
      </c>
      <c r="Z1006" s="6" t="e">
        <f ca="1">SQRT($B$9*AVERAGE(W1006:OFFSET(W1006,$B$7-1,0)))</f>
        <v>#DIV/0!</v>
      </c>
      <c r="AA1006" s="6" t="e">
        <f ca="1">SQRT($B$9*AVERAGE(W1006:OFFSET(W1006,$B$8-1,0)))</f>
        <v>#DIV/0!</v>
      </c>
      <c r="AC1006" s="34" t="e">
        <f t="shared" si="85"/>
        <v>#DIV/0!</v>
      </c>
      <c r="AD1006" s="34" t="e">
        <f ca="1">SQRT($B$9*SUM(AC1006:OFFSET(AC1006,$B$5-1,0))/($B$5-1))</f>
        <v>#DIV/0!</v>
      </c>
      <c r="AE1006" s="34" t="e">
        <f ca="1">SQRT($B$9*SUM(AC1006:OFFSET(AC1006,$B$6-1,0))/($B$6-1))</f>
        <v>#DIV/0!</v>
      </c>
      <c r="AF1006" s="34" t="e">
        <f ca="1">SQRT($B$9*SUM(AC1006:OFFSET(AC1006,$B$7-1,0))/($B$7-1))</f>
        <v>#DIV/0!</v>
      </c>
      <c r="AG1006" s="34" t="e">
        <f ca="1">SQRT($B$9*SUM(AC1006:OFFSET(AC1006,$B$8-1,0))/($B$8-1))</f>
        <v>#DIV/0!</v>
      </c>
      <c r="AI1006" s="1" t="e">
        <f t="shared" si="86"/>
        <v>#DIV/0!</v>
      </c>
      <c r="AJ1006" s="4" t="e">
        <f ca="1">SQRT($B$9)*_xlfn.STDEV.S(AI1006:OFFSET(AI1006,$B$5-1,0))</f>
        <v>#DIV/0!</v>
      </c>
      <c r="AK1006" s="4" t="e">
        <f ca="1">SQRT($B$9)*_xlfn.STDEV.S(AI1006:OFFSET(AI1006,$B$6-1,0))</f>
        <v>#DIV/0!</v>
      </c>
      <c r="AL1006" s="4" t="e">
        <f ca="1">SQRT($B$9)*_xlfn.STDEV.S(AI1006:OFFSET(AI1006,$B$7-1,0))</f>
        <v>#DIV/0!</v>
      </c>
      <c r="AM1006" s="4" t="e">
        <f ca="1">SQRT($B$9)*_xlfn.STDEV.S(AI1006:OFFSET(AI1006,$B$8-1,0))</f>
        <v>#DIV/0!</v>
      </c>
    </row>
    <row r="1007" spans="5:39" x14ac:dyDescent="0.2">
      <c r="K1007" s="3" t="e">
        <f t="shared" si="84"/>
        <v>#DIV/0!</v>
      </c>
      <c r="L1007" s="3" t="e">
        <f ca="1">SQRT(AVERAGE(K1007:OFFSET(K1007,$B$5-1,0))*$B$9/(4*LN(2)))</f>
        <v>#DIV/0!</v>
      </c>
      <c r="M1007" s="3" t="e">
        <f ca="1">SQRT(AVERAGE(K1007:OFFSET(K1007,$B$6-1,0))*$B$9/(4*LN(2)))</f>
        <v>#DIV/0!</v>
      </c>
      <c r="N1007" s="3" t="e">
        <f ca="1">SQRT(AVERAGE(K1007:OFFSET(K1007,$B$7-1,0))*$B$9/(4*LN(2)))</f>
        <v>#DIV/0!</v>
      </c>
      <c r="O1007" s="3" t="e">
        <f ca="1">SQRT(AVERAGE(K1007:OFFSET(K1007,$B$8-1,0))*$B$9/(4*LN(2)))</f>
        <v>#DIV/0!</v>
      </c>
      <c r="Q1007" s="5" t="e">
        <f t="shared" si="83"/>
        <v>#DIV/0!</v>
      </c>
      <c r="R1007" s="5" t="e">
        <f ca="1">SQRT($B$9*AVERAGE((Q1007:OFFSET(Q1007,$B$5-1,0))))</f>
        <v>#DIV/0!</v>
      </c>
      <c r="S1007" s="5" t="e">
        <f ca="1">SQRT($B$9*AVERAGE((Q1007:OFFSET(Q1007,$B$6-1,0))))</f>
        <v>#DIV/0!</v>
      </c>
      <c r="T1007" s="5" t="e">
        <f ca="1">SQRT($B$9*AVERAGE((Q1007:OFFSET(Q1007,$B$7-1,0))))</f>
        <v>#DIV/0!</v>
      </c>
      <c r="U1007" s="5" t="e">
        <f ca="1">SQRT($B$9*AVERAGE((Q1007:OFFSET(Q1007,$B$8-1,0))))</f>
        <v>#DIV/0!</v>
      </c>
      <c r="W1007" s="6" t="e">
        <f t="shared" si="87"/>
        <v>#DIV/0!</v>
      </c>
      <c r="X1007" s="6" t="e">
        <f ca="1">SQRT($B$9*AVERAGE(W1007:OFFSET(W1007,$B$5-1,0)))</f>
        <v>#DIV/0!</v>
      </c>
      <c r="Y1007" s="6" t="e">
        <f ca="1">SQRT($B$9*AVERAGE(W1007:OFFSET(W1007,$B$6-1,0)))</f>
        <v>#DIV/0!</v>
      </c>
      <c r="Z1007" s="6" t="e">
        <f ca="1">SQRT($B$9*AVERAGE(W1007:OFFSET(W1007,$B$7-1,0)))</f>
        <v>#DIV/0!</v>
      </c>
      <c r="AA1007" s="6" t="e">
        <f ca="1">SQRT($B$9*AVERAGE(W1007:OFFSET(W1007,$B$8-1,0)))</f>
        <v>#DIV/0!</v>
      </c>
      <c r="AC1007" s="34" t="e">
        <f t="shared" si="85"/>
        <v>#DIV/0!</v>
      </c>
      <c r="AD1007" s="34" t="e">
        <f ca="1">SQRT($B$9*SUM(AC1007:OFFSET(AC1007,$B$5-1,0))/($B$5-1))</f>
        <v>#DIV/0!</v>
      </c>
      <c r="AE1007" s="34" t="e">
        <f ca="1">SQRT($B$9*SUM(AC1007:OFFSET(AC1007,$B$6-1,0))/($B$6-1))</f>
        <v>#DIV/0!</v>
      </c>
      <c r="AF1007" s="34" t="e">
        <f ca="1">SQRT($B$9*SUM(AC1007:OFFSET(AC1007,$B$7-1,0))/($B$7-1))</f>
        <v>#DIV/0!</v>
      </c>
      <c r="AG1007" s="34" t="e">
        <f ca="1">SQRT($B$9*SUM(AC1007:OFFSET(AC1007,$B$8-1,0))/($B$8-1))</f>
        <v>#DIV/0!</v>
      </c>
      <c r="AI1007" s="1" t="e">
        <f t="shared" si="86"/>
        <v>#DIV/0!</v>
      </c>
      <c r="AJ1007" s="4" t="e">
        <f ca="1">SQRT($B$9)*_xlfn.STDEV.S(AI1007:OFFSET(AI1007,$B$5-1,0))</f>
        <v>#DIV/0!</v>
      </c>
      <c r="AK1007" s="4" t="e">
        <f ca="1">SQRT($B$9)*_xlfn.STDEV.S(AI1007:OFFSET(AI1007,$B$6-1,0))</f>
        <v>#DIV/0!</v>
      </c>
      <c r="AL1007" s="4" t="e">
        <f ca="1">SQRT($B$9)*_xlfn.STDEV.S(AI1007:OFFSET(AI1007,$B$7-1,0))</f>
        <v>#DIV/0!</v>
      </c>
      <c r="AM1007" s="4" t="e">
        <f ca="1">SQRT($B$9)*_xlfn.STDEV.S(AI1007:OFFSET(AI1007,$B$8-1,0))</f>
        <v>#DIV/0!</v>
      </c>
    </row>
    <row r="1008" spans="5:39" x14ac:dyDescent="0.2">
      <c r="K1008" s="3" t="e">
        <f t="shared" si="84"/>
        <v>#DIV/0!</v>
      </c>
      <c r="L1008" s="3" t="e">
        <f ca="1">SQRT(AVERAGE(K1008:OFFSET(K1008,$B$5-1,0))*$B$9/(4*LN(2)))</f>
        <v>#DIV/0!</v>
      </c>
      <c r="M1008" s="3" t="e">
        <f ca="1">SQRT(AVERAGE(K1008:OFFSET(K1008,$B$6-1,0))*$B$9/(4*LN(2)))</f>
        <v>#DIV/0!</v>
      </c>
      <c r="N1008" s="3" t="e">
        <f ca="1">SQRT(AVERAGE(K1008:OFFSET(K1008,$B$7-1,0))*$B$9/(4*LN(2)))</f>
        <v>#DIV/0!</v>
      </c>
      <c r="O1008" s="3" t="e">
        <f ca="1">SQRT(AVERAGE(K1008:OFFSET(K1008,$B$8-1,0))*$B$9/(4*LN(2)))</f>
        <v>#DIV/0!</v>
      </c>
      <c r="Q1008" s="5" t="e">
        <f t="shared" si="83"/>
        <v>#DIV/0!</v>
      </c>
      <c r="R1008" s="5" t="e">
        <f ca="1">SQRT($B$9*AVERAGE((Q1008:OFFSET(Q1008,$B$5-1,0))))</f>
        <v>#DIV/0!</v>
      </c>
      <c r="S1008" s="5" t="e">
        <f ca="1">SQRT($B$9*AVERAGE((Q1008:OFFSET(Q1008,$B$6-1,0))))</f>
        <v>#DIV/0!</v>
      </c>
      <c r="T1008" s="5" t="e">
        <f ca="1">SQRT($B$9*AVERAGE((Q1008:OFFSET(Q1008,$B$7-1,0))))</f>
        <v>#DIV/0!</v>
      </c>
      <c r="U1008" s="5" t="e">
        <f ca="1">SQRT($B$9*AVERAGE((Q1008:OFFSET(Q1008,$B$8-1,0))))</f>
        <v>#DIV/0!</v>
      </c>
      <c r="W1008" s="6" t="e">
        <f t="shared" si="87"/>
        <v>#DIV/0!</v>
      </c>
      <c r="X1008" s="6" t="e">
        <f ca="1">SQRT($B$9*AVERAGE(W1008:OFFSET(W1008,$B$5-1,0)))</f>
        <v>#DIV/0!</v>
      </c>
      <c r="Y1008" s="6" t="e">
        <f ca="1">SQRT($B$9*AVERAGE(W1008:OFFSET(W1008,$B$6-1,0)))</f>
        <v>#DIV/0!</v>
      </c>
      <c r="Z1008" s="6" t="e">
        <f ca="1">SQRT($B$9*AVERAGE(W1008:OFFSET(W1008,$B$7-1,0)))</f>
        <v>#DIV/0!</v>
      </c>
      <c r="AA1008" s="6" t="e">
        <f ca="1">SQRT($B$9*AVERAGE(W1008:OFFSET(W1008,$B$8-1,0)))</f>
        <v>#DIV/0!</v>
      </c>
      <c r="AC1008" s="34" t="e">
        <f t="shared" si="85"/>
        <v>#DIV/0!</v>
      </c>
      <c r="AD1008" s="34" t="e">
        <f ca="1">SQRT($B$9*SUM(AC1008:OFFSET(AC1008,$B$5-1,0))/($B$5-1))</f>
        <v>#DIV/0!</v>
      </c>
      <c r="AE1008" s="34" t="e">
        <f ca="1">SQRT($B$9*SUM(AC1008:OFFSET(AC1008,$B$6-1,0))/($B$6-1))</f>
        <v>#DIV/0!</v>
      </c>
      <c r="AF1008" s="34" t="e">
        <f ca="1">SQRT($B$9*SUM(AC1008:OFFSET(AC1008,$B$7-1,0))/($B$7-1))</f>
        <v>#DIV/0!</v>
      </c>
      <c r="AG1008" s="34" t="e">
        <f ca="1">SQRT($B$9*SUM(AC1008:OFFSET(AC1008,$B$8-1,0))/($B$8-1))</f>
        <v>#DIV/0!</v>
      </c>
      <c r="AI1008" s="1" t="e">
        <f t="shared" si="86"/>
        <v>#DIV/0!</v>
      </c>
      <c r="AJ1008" s="4" t="e">
        <f ca="1">SQRT($B$9)*_xlfn.STDEV.S(AI1008:OFFSET(AI1008,$B$5-1,0))</f>
        <v>#DIV/0!</v>
      </c>
      <c r="AK1008" s="4" t="e">
        <f ca="1">SQRT($B$9)*_xlfn.STDEV.S(AI1008:OFFSET(AI1008,$B$6-1,0))</f>
        <v>#DIV/0!</v>
      </c>
      <c r="AL1008" s="4" t="e">
        <f ca="1">SQRT($B$9)*_xlfn.STDEV.S(AI1008:OFFSET(AI1008,$B$7-1,0))</f>
        <v>#DIV/0!</v>
      </c>
      <c r="AM1008" s="4" t="e">
        <f ca="1">SQRT($B$9)*_xlfn.STDEV.S(AI1008:OFFSET(AI1008,$B$8-1,0))</f>
        <v>#DIV/0!</v>
      </c>
    </row>
    <row r="1009" spans="11:39" x14ac:dyDescent="0.2">
      <c r="K1009" s="3" t="e">
        <f t="shared" si="84"/>
        <v>#DIV/0!</v>
      </c>
      <c r="L1009" s="3" t="e">
        <f ca="1">SQRT(AVERAGE(K1009:OFFSET(K1009,$B$5-1,0))*$B$9/(4*LN(2)))</f>
        <v>#DIV/0!</v>
      </c>
      <c r="M1009" s="3" t="e">
        <f ca="1">SQRT(AVERAGE(K1009:OFFSET(K1009,$B$6-1,0))*$B$9/(4*LN(2)))</f>
        <v>#DIV/0!</v>
      </c>
      <c r="N1009" s="3" t="e">
        <f ca="1">SQRT(AVERAGE(K1009:OFFSET(K1009,$B$7-1,0))*$B$9/(4*LN(2)))</f>
        <v>#DIV/0!</v>
      </c>
      <c r="O1009" s="3" t="e">
        <f ca="1">SQRT(AVERAGE(K1009:OFFSET(K1009,$B$8-1,0))*$B$9/(4*LN(2)))</f>
        <v>#DIV/0!</v>
      </c>
      <c r="Q1009" s="5" t="e">
        <f t="shared" si="83"/>
        <v>#DIV/0!</v>
      </c>
      <c r="R1009" s="5" t="e">
        <f ca="1">SQRT($B$9*AVERAGE((Q1009:OFFSET(Q1009,$B$5-1,0))))</f>
        <v>#DIV/0!</v>
      </c>
      <c r="S1009" s="5" t="e">
        <f ca="1">SQRT($B$9*AVERAGE((Q1009:OFFSET(Q1009,$B$6-1,0))))</f>
        <v>#DIV/0!</v>
      </c>
      <c r="T1009" s="5" t="e">
        <f ca="1">SQRT($B$9*AVERAGE((Q1009:OFFSET(Q1009,$B$7-1,0))))</f>
        <v>#DIV/0!</v>
      </c>
      <c r="U1009" s="5" t="e">
        <f ca="1">SQRT($B$9*AVERAGE((Q1009:OFFSET(Q1009,$B$8-1,0))))</f>
        <v>#DIV/0!</v>
      </c>
      <c r="W1009" s="6" t="e">
        <f t="shared" si="87"/>
        <v>#DIV/0!</v>
      </c>
      <c r="X1009" s="6" t="e">
        <f ca="1">SQRT($B$9*AVERAGE(W1009:OFFSET(W1009,$B$5-1,0)))</f>
        <v>#DIV/0!</v>
      </c>
      <c r="Y1009" s="6" t="e">
        <f ca="1">SQRT($B$9*AVERAGE(W1009:OFFSET(W1009,$B$6-1,0)))</f>
        <v>#DIV/0!</v>
      </c>
      <c r="Z1009" s="6" t="e">
        <f ca="1">SQRT($B$9*AVERAGE(W1009:OFFSET(W1009,$B$7-1,0)))</f>
        <v>#DIV/0!</v>
      </c>
      <c r="AA1009" s="6" t="e">
        <f ca="1">SQRT($B$9*AVERAGE(W1009:OFFSET(W1009,$B$8-1,0)))</f>
        <v>#DIV/0!</v>
      </c>
      <c r="AC1009" s="34" t="e">
        <f t="shared" si="85"/>
        <v>#DIV/0!</v>
      </c>
      <c r="AD1009" s="34" t="e">
        <f ca="1">SQRT($B$9*SUM(AC1009:OFFSET(AC1009,$B$5-1,0))/($B$5-1))</f>
        <v>#DIV/0!</v>
      </c>
      <c r="AE1009" s="34" t="e">
        <f ca="1">SQRT($B$9*SUM(AC1009:OFFSET(AC1009,$B$6-1,0))/($B$6-1))</f>
        <v>#DIV/0!</v>
      </c>
      <c r="AF1009" s="34" t="e">
        <f ca="1">SQRT($B$9*SUM(AC1009:OFFSET(AC1009,$B$7-1,0))/($B$7-1))</f>
        <v>#DIV/0!</v>
      </c>
      <c r="AG1009" s="34" t="e">
        <f ca="1">SQRT($B$9*SUM(AC1009:OFFSET(AC1009,$B$8-1,0))/($B$8-1))</f>
        <v>#DIV/0!</v>
      </c>
      <c r="AI1009" s="1" t="e">
        <f t="shared" si="86"/>
        <v>#DIV/0!</v>
      </c>
      <c r="AJ1009" s="4" t="e">
        <f ca="1">SQRT($B$9)*_xlfn.STDEV.S(AI1009:OFFSET(AI1009,$B$5-1,0))</f>
        <v>#DIV/0!</v>
      </c>
      <c r="AK1009" s="4" t="e">
        <f ca="1">SQRT($B$9)*_xlfn.STDEV.S(AI1009:OFFSET(AI1009,$B$6-1,0))</f>
        <v>#DIV/0!</v>
      </c>
      <c r="AL1009" s="4" t="e">
        <f ca="1">SQRT($B$9)*_xlfn.STDEV.S(AI1009:OFFSET(AI1009,$B$7-1,0))</f>
        <v>#DIV/0!</v>
      </c>
      <c r="AM1009" s="4" t="e">
        <f ca="1">SQRT($B$9)*_xlfn.STDEV.S(AI1009:OFFSET(AI1009,$B$8-1,0))</f>
        <v>#DIV/0!</v>
      </c>
    </row>
    <row r="1010" spans="11:39" x14ac:dyDescent="0.2">
      <c r="K1010" s="3" t="e">
        <f t="shared" si="84"/>
        <v>#DIV/0!</v>
      </c>
      <c r="L1010" s="3" t="e">
        <f ca="1">SQRT(AVERAGE(K1010:OFFSET(K1010,$B$5-1,0))*$B$9/(4*LN(2)))</f>
        <v>#DIV/0!</v>
      </c>
      <c r="M1010" s="3" t="e">
        <f ca="1">SQRT(AVERAGE(K1010:OFFSET(K1010,$B$6-1,0))*$B$9/(4*LN(2)))</f>
        <v>#DIV/0!</v>
      </c>
      <c r="N1010" s="3" t="e">
        <f ca="1">SQRT(AVERAGE(K1010:OFFSET(K1010,$B$7-1,0))*$B$9/(4*LN(2)))</f>
        <v>#DIV/0!</v>
      </c>
      <c r="O1010" s="3" t="e">
        <f ca="1">SQRT(AVERAGE(K1010:OFFSET(K1010,$B$8-1,0))*$B$9/(4*LN(2)))</f>
        <v>#DIV/0!</v>
      </c>
      <c r="Q1010" s="5" t="e">
        <f t="shared" si="83"/>
        <v>#DIV/0!</v>
      </c>
      <c r="R1010" s="5" t="e">
        <f ca="1">SQRT($B$9*AVERAGE((Q1010:OFFSET(Q1010,$B$5-1,0))))</f>
        <v>#DIV/0!</v>
      </c>
      <c r="S1010" s="5" t="e">
        <f ca="1">SQRT($B$9*AVERAGE((Q1010:OFFSET(Q1010,$B$6-1,0))))</f>
        <v>#DIV/0!</v>
      </c>
      <c r="T1010" s="5" t="e">
        <f ca="1">SQRT($B$9*AVERAGE((Q1010:OFFSET(Q1010,$B$7-1,0))))</f>
        <v>#DIV/0!</v>
      </c>
      <c r="U1010" s="5" t="e">
        <f ca="1">SQRT($B$9*AVERAGE((Q1010:OFFSET(Q1010,$B$8-1,0))))</f>
        <v>#DIV/0!</v>
      </c>
      <c r="W1010" s="6" t="e">
        <f t="shared" si="87"/>
        <v>#DIV/0!</v>
      </c>
      <c r="X1010" s="6" t="e">
        <f ca="1">SQRT($B$9*AVERAGE(W1010:OFFSET(W1010,$B$5-1,0)))</f>
        <v>#DIV/0!</v>
      </c>
      <c r="Y1010" s="6" t="e">
        <f ca="1">SQRT($B$9*AVERAGE(W1010:OFFSET(W1010,$B$6-1,0)))</f>
        <v>#DIV/0!</v>
      </c>
      <c r="Z1010" s="6" t="e">
        <f ca="1">SQRT($B$9*AVERAGE(W1010:OFFSET(W1010,$B$7-1,0)))</f>
        <v>#DIV/0!</v>
      </c>
      <c r="AA1010" s="6" t="e">
        <f ca="1">SQRT($B$9*AVERAGE(W1010:OFFSET(W1010,$B$8-1,0)))</f>
        <v>#DIV/0!</v>
      </c>
      <c r="AC1010" s="34" t="e">
        <f t="shared" si="85"/>
        <v>#DIV/0!</v>
      </c>
      <c r="AD1010" s="34" t="e">
        <f ca="1">SQRT($B$9*SUM(AC1010:OFFSET(AC1010,$B$5-1,0))/($B$5-1))</f>
        <v>#DIV/0!</v>
      </c>
      <c r="AE1010" s="34" t="e">
        <f ca="1">SQRT($B$9*SUM(AC1010:OFFSET(AC1010,$B$6-1,0))/($B$6-1))</f>
        <v>#DIV/0!</v>
      </c>
      <c r="AF1010" s="34" t="e">
        <f ca="1">SQRT($B$9*SUM(AC1010:OFFSET(AC1010,$B$7-1,0))/($B$7-1))</f>
        <v>#DIV/0!</v>
      </c>
      <c r="AG1010" s="34" t="e">
        <f ca="1">SQRT($B$9*SUM(AC1010:OFFSET(AC1010,$B$8-1,0))/($B$8-1))</f>
        <v>#DIV/0!</v>
      </c>
      <c r="AI1010" s="1" t="e">
        <f t="shared" si="86"/>
        <v>#DIV/0!</v>
      </c>
      <c r="AJ1010" s="4" t="e">
        <f ca="1">SQRT($B$9)*_xlfn.STDEV.S(AI1010:OFFSET(AI1010,$B$5-1,0))</f>
        <v>#DIV/0!</v>
      </c>
      <c r="AK1010" s="4" t="e">
        <f ca="1">SQRT($B$9)*_xlfn.STDEV.S(AI1010:OFFSET(AI1010,$B$6-1,0))</f>
        <v>#DIV/0!</v>
      </c>
      <c r="AL1010" s="4" t="e">
        <f ca="1">SQRT($B$9)*_xlfn.STDEV.S(AI1010:OFFSET(AI1010,$B$7-1,0))</f>
        <v>#DIV/0!</v>
      </c>
      <c r="AM1010" s="4" t="e">
        <f ca="1">SQRT($B$9)*_xlfn.STDEV.S(AI1010:OFFSET(AI1010,$B$8-1,0))</f>
        <v>#DIV/0!</v>
      </c>
    </row>
    <row r="1011" spans="11:39" x14ac:dyDescent="0.2">
      <c r="K1011" s="3" t="e">
        <f t="shared" si="84"/>
        <v>#DIV/0!</v>
      </c>
      <c r="L1011" s="3" t="e">
        <f ca="1">SQRT(AVERAGE(K1011:OFFSET(K1011,$B$5-1,0))*$B$9/(4*LN(2)))</f>
        <v>#DIV/0!</v>
      </c>
      <c r="M1011" s="3" t="e">
        <f ca="1">SQRT(AVERAGE(K1011:OFFSET(K1011,$B$6-1,0))*$B$9/(4*LN(2)))</f>
        <v>#DIV/0!</v>
      </c>
      <c r="N1011" s="3" t="e">
        <f ca="1">SQRT(AVERAGE(K1011:OFFSET(K1011,$B$7-1,0))*$B$9/(4*LN(2)))</f>
        <v>#DIV/0!</v>
      </c>
      <c r="O1011" s="3" t="e">
        <f ca="1">SQRT(AVERAGE(K1011:OFFSET(K1011,$B$8-1,0))*$B$9/(4*LN(2)))</f>
        <v>#DIV/0!</v>
      </c>
      <c r="Q1011" s="5" t="e">
        <f t="shared" si="83"/>
        <v>#DIV/0!</v>
      </c>
      <c r="R1011" s="5" t="e">
        <f ca="1">SQRT($B$9*AVERAGE((Q1011:OFFSET(Q1011,$B$5-1,0))))</f>
        <v>#DIV/0!</v>
      </c>
      <c r="S1011" s="5" t="e">
        <f ca="1">SQRT($B$9*AVERAGE((Q1011:OFFSET(Q1011,$B$6-1,0))))</f>
        <v>#DIV/0!</v>
      </c>
      <c r="T1011" s="5" t="e">
        <f ca="1">SQRT($B$9*AVERAGE((Q1011:OFFSET(Q1011,$B$7-1,0))))</f>
        <v>#DIV/0!</v>
      </c>
      <c r="U1011" s="5" t="e">
        <f ca="1">SQRT($B$9*AVERAGE((Q1011:OFFSET(Q1011,$B$8-1,0))))</f>
        <v>#DIV/0!</v>
      </c>
      <c r="W1011" s="6" t="e">
        <f t="shared" si="87"/>
        <v>#DIV/0!</v>
      </c>
      <c r="X1011" s="6" t="e">
        <f ca="1">SQRT($B$9*AVERAGE(W1011:OFFSET(W1011,$B$5-1,0)))</f>
        <v>#DIV/0!</v>
      </c>
      <c r="Y1011" s="6" t="e">
        <f ca="1">SQRT($B$9*AVERAGE(W1011:OFFSET(W1011,$B$6-1,0)))</f>
        <v>#DIV/0!</v>
      </c>
      <c r="Z1011" s="6" t="e">
        <f ca="1">SQRT($B$9*AVERAGE(W1011:OFFSET(W1011,$B$7-1,0)))</f>
        <v>#DIV/0!</v>
      </c>
      <c r="AA1011" s="6" t="e">
        <f ca="1">SQRT($B$9*AVERAGE(W1011:OFFSET(W1011,$B$8-1,0)))</f>
        <v>#DIV/0!</v>
      </c>
      <c r="AC1011" s="34" t="e">
        <f t="shared" si="85"/>
        <v>#DIV/0!</v>
      </c>
      <c r="AD1011" s="34" t="e">
        <f ca="1">SQRT($B$9*SUM(AC1011:OFFSET(AC1011,$B$5-1,0))/($B$5-1))</f>
        <v>#DIV/0!</v>
      </c>
      <c r="AE1011" s="34" t="e">
        <f ca="1">SQRT($B$9*SUM(AC1011:OFFSET(AC1011,$B$6-1,0))/($B$6-1))</f>
        <v>#DIV/0!</v>
      </c>
      <c r="AF1011" s="34" t="e">
        <f ca="1">SQRT($B$9*SUM(AC1011:OFFSET(AC1011,$B$7-1,0))/($B$7-1))</f>
        <v>#DIV/0!</v>
      </c>
      <c r="AG1011" s="34" t="e">
        <f ca="1">SQRT($B$9*SUM(AC1011:OFFSET(AC1011,$B$8-1,0))/($B$8-1))</f>
        <v>#DIV/0!</v>
      </c>
      <c r="AI1011" s="1" t="e">
        <f t="shared" si="86"/>
        <v>#DIV/0!</v>
      </c>
      <c r="AJ1011" s="4" t="e">
        <f ca="1">SQRT($B$9)*_xlfn.STDEV.S(AI1011:OFFSET(AI1011,$B$5-1,0))</f>
        <v>#DIV/0!</v>
      </c>
      <c r="AK1011" s="4" t="e">
        <f ca="1">SQRT($B$9)*_xlfn.STDEV.S(AI1011:OFFSET(AI1011,$B$6-1,0))</f>
        <v>#DIV/0!</v>
      </c>
      <c r="AL1011" s="4" t="e">
        <f ca="1">SQRT($B$9)*_xlfn.STDEV.S(AI1011:OFFSET(AI1011,$B$7-1,0))</f>
        <v>#DIV/0!</v>
      </c>
      <c r="AM1011" s="4" t="e">
        <f ca="1">SQRT($B$9)*_xlfn.STDEV.S(AI1011:OFFSET(AI1011,$B$8-1,0))</f>
        <v>#DIV/0!</v>
      </c>
    </row>
    <row r="1012" spans="11:39" x14ac:dyDescent="0.2">
      <c r="K1012" s="3" t="e">
        <f t="shared" si="84"/>
        <v>#DIV/0!</v>
      </c>
      <c r="L1012" s="3" t="e">
        <f ca="1">SQRT(AVERAGE(K1012:OFFSET(K1012,$B$5-1,0))*$B$9/(4*LN(2)))</f>
        <v>#DIV/0!</v>
      </c>
      <c r="M1012" s="3" t="e">
        <f ca="1">SQRT(AVERAGE(K1012:OFFSET(K1012,$B$6-1,0))*$B$9/(4*LN(2)))</f>
        <v>#DIV/0!</v>
      </c>
      <c r="N1012" s="3" t="e">
        <f ca="1">SQRT(AVERAGE(K1012:OFFSET(K1012,$B$7-1,0))*$B$9/(4*LN(2)))</f>
        <v>#DIV/0!</v>
      </c>
      <c r="O1012" s="3" t="e">
        <f ca="1">SQRT(AVERAGE(K1012:OFFSET(K1012,$B$8-1,0))*$B$9/(4*LN(2)))</f>
        <v>#DIV/0!</v>
      </c>
      <c r="Q1012" s="5" t="e">
        <f t="shared" si="83"/>
        <v>#DIV/0!</v>
      </c>
      <c r="R1012" s="5" t="e">
        <f ca="1">SQRT($B$9*AVERAGE((Q1012:OFFSET(Q1012,$B$5-1,0))))</f>
        <v>#DIV/0!</v>
      </c>
      <c r="S1012" s="5" t="e">
        <f ca="1">SQRT($B$9*AVERAGE((Q1012:OFFSET(Q1012,$B$6-1,0))))</f>
        <v>#DIV/0!</v>
      </c>
      <c r="T1012" s="5" t="e">
        <f ca="1">SQRT($B$9*AVERAGE((Q1012:OFFSET(Q1012,$B$7-1,0))))</f>
        <v>#DIV/0!</v>
      </c>
      <c r="U1012" s="5" t="e">
        <f ca="1">SQRT($B$9*AVERAGE((Q1012:OFFSET(Q1012,$B$8-1,0))))</f>
        <v>#DIV/0!</v>
      </c>
      <c r="W1012" s="6" t="e">
        <f t="shared" si="87"/>
        <v>#DIV/0!</v>
      </c>
      <c r="X1012" s="6" t="e">
        <f ca="1">SQRT($B$9*AVERAGE(W1012:OFFSET(W1012,$B$5-1,0)))</f>
        <v>#DIV/0!</v>
      </c>
      <c r="Y1012" s="6" t="e">
        <f ca="1">SQRT($B$9*AVERAGE(W1012:OFFSET(W1012,$B$6-1,0)))</f>
        <v>#DIV/0!</v>
      </c>
      <c r="Z1012" s="6" t="e">
        <f ca="1">SQRT($B$9*AVERAGE(W1012:OFFSET(W1012,$B$7-1,0)))</f>
        <v>#DIV/0!</v>
      </c>
      <c r="AA1012" s="6" t="e">
        <f ca="1">SQRT($B$9*AVERAGE(W1012:OFFSET(W1012,$B$8-1,0)))</f>
        <v>#DIV/0!</v>
      </c>
      <c r="AC1012" s="34" t="e">
        <f t="shared" si="85"/>
        <v>#DIV/0!</v>
      </c>
      <c r="AD1012" s="34" t="e">
        <f ca="1">SQRT($B$9*SUM(AC1012:OFFSET(AC1012,$B$5-1,0))/($B$5-1))</f>
        <v>#DIV/0!</v>
      </c>
      <c r="AE1012" s="34" t="e">
        <f ca="1">SQRT($B$9*SUM(AC1012:OFFSET(AC1012,$B$6-1,0))/($B$6-1))</f>
        <v>#DIV/0!</v>
      </c>
      <c r="AF1012" s="34" t="e">
        <f ca="1">SQRT($B$9*SUM(AC1012:OFFSET(AC1012,$B$7-1,0))/($B$7-1))</f>
        <v>#DIV/0!</v>
      </c>
      <c r="AG1012" s="34" t="e">
        <f ca="1">SQRT($B$9*SUM(AC1012:OFFSET(AC1012,$B$8-1,0))/($B$8-1))</f>
        <v>#DIV/0!</v>
      </c>
      <c r="AI1012" s="1" t="e">
        <f t="shared" si="86"/>
        <v>#DIV/0!</v>
      </c>
      <c r="AJ1012" s="4" t="e">
        <f ca="1">SQRT($B$9)*_xlfn.STDEV.S(AI1012:OFFSET(AI1012,$B$5-1,0))</f>
        <v>#DIV/0!</v>
      </c>
      <c r="AK1012" s="4" t="e">
        <f ca="1">SQRT($B$9)*_xlfn.STDEV.S(AI1012:OFFSET(AI1012,$B$6-1,0))</f>
        <v>#DIV/0!</v>
      </c>
      <c r="AL1012" s="4" t="e">
        <f ca="1">SQRT($B$9)*_xlfn.STDEV.S(AI1012:OFFSET(AI1012,$B$7-1,0))</f>
        <v>#DIV/0!</v>
      </c>
      <c r="AM1012" s="4" t="e">
        <f ca="1">SQRT($B$9)*_xlfn.STDEV.S(AI1012:OFFSET(AI1012,$B$8-1,0))</f>
        <v>#DIV/0!</v>
      </c>
    </row>
    <row r="1013" spans="11:39" x14ac:dyDescent="0.2">
      <c r="K1013" s="3" t="e">
        <f t="shared" si="84"/>
        <v>#DIV/0!</v>
      </c>
      <c r="L1013" s="3" t="e">
        <f ca="1">SQRT(AVERAGE(K1013:OFFSET(K1013,$B$5-1,0))*$B$9/(4*LN(2)))</f>
        <v>#DIV/0!</v>
      </c>
      <c r="M1013" s="3" t="e">
        <f ca="1">SQRT(AVERAGE(K1013:OFFSET(K1013,$B$6-1,0))*$B$9/(4*LN(2)))</f>
        <v>#DIV/0!</v>
      </c>
      <c r="N1013" s="3" t="e">
        <f ca="1">SQRT(AVERAGE(K1013:OFFSET(K1013,$B$7-1,0))*$B$9/(4*LN(2)))</f>
        <v>#DIV/0!</v>
      </c>
      <c r="O1013" s="3" t="e">
        <f ca="1">SQRT(AVERAGE(K1013:OFFSET(K1013,$B$8-1,0))*$B$9/(4*LN(2)))</f>
        <v>#DIV/0!</v>
      </c>
      <c r="Q1013" s="5" t="e">
        <f t="shared" si="83"/>
        <v>#DIV/0!</v>
      </c>
      <c r="R1013" s="5" t="e">
        <f ca="1">SQRT($B$9*AVERAGE((Q1013:OFFSET(Q1013,$B$5-1,0))))</f>
        <v>#DIV/0!</v>
      </c>
      <c r="S1013" s="5" t="e">
        <f ca="1">SQRT($B$9*AVERAGE((Q1013:OFFSET(Q1013,$B$6-1,0))))</f>
        <v>#DIV/0!</v>
      </c>
      <c r="T1013" s="5" t="e">
        <f ca="1">SQRT($B$9*AVERAGE((Q1013:OFFSET(Q1013,$B$7-1,0))))</f>
        <v>#DIV/0!</v>
      </c>
      <c r="U1013" s="5" t="e">
        <f ca="1">SQRT($B$9*AVERAGE((Q1013:OFFSET(Q1013,$B$8-1,0))))</f>
        <v>#DIV/0!</v>
      </c>
      <c r="W1013" s="6" t="e">
        <f t="shared" si="87"/>
        <v>#DIV/0!</v>
      </c>
      <c r="X1013" s="6" t="e">
        <f ca="1">SQRT($B$9*AVERAGE(W1013:OFFSET(W1013,$B$5-1,0)))</f>
        <v>#DIV/0!</v>
      </c>
      <c r="Y1013" s="6" t="e">
        <f ca="1">SQRT($B$9*AVERAGE(W1013:OFFSET(W1013,$B$6-1,0)))</f>
        <v>#DIV/0!</v>
      </c>
      <c r="Z1013" s="6" t="e">
        <f ca="1">SQRT($B$9*AVERAGE(W1013:OFFSET(W1013,$B$7-1,0)))</f>
        <v>#DIV/0!</v>
      </c>
      <c r="AA1013" s="6" t="e">
        <f ca="1">SQRT($B$9*AVERAGE(W1013:OFFSET(W1013,$B$8-1,0)))</f>
        <v>#DIV/0!</v>
      </c>
      <c r="AC1013" s="34" t="e">
        <f t="shared" si="85"/>
        <v>#DIV/0!</v>
      </c>
      <c r="AD1013" s="34" t="e">
        <f ca="1">SQRT($B$9*SUM(AC1013:OFFSET(AC1013,$B$5-1,0))/($B$5-1))</f>
        <v>#DIV/0!</v>
      </c>
      <c r="AE1013" s="34" t="e">
        <f ca="1">SQRT($B$9*SUM(AC1013:OFFSET(AC1013,$B$6-1,0))/($B$6-1))</f>
        <v>#DIV/0!</v>
      </c>
      <c r="AF1013" s="34" t="e">
        <f ca="1">SQRT($B$9*SUM(AC1013:OFFSET(AC1013,$B$7-1,0))/($B$7-1))</f>
        <v>#DIV/0!</v>
      </c>
      <c r="AG1013" s="34" t="e">
        <f ca="1">SQRT($B$9*SUM(AC1013:OFFSET(AC1013,$B$8-1,0))/($B$8-1))</f>
        <v>#DIV/0!</v>
      </c>
      <c r="AI1013" s="1" t="e">
        <f t="shared" si="86"/>
        <v>#DIV/0!</v>
      </c>
      <c r="AJ1013" s="4" t="e">
        <f ca="1">SQRT($B$9)*_xlfn.STDEV.S(AI1013:OFFSET(AI1013,$B$5-1,0))</f>
        <v>#DIV/0!</v>
      </c>
      <c r="AK1013" s="4" t="e">
        <f ca="1">SQRT($B$9)*_xlfn.STDEV.S(AI1013:OFFSET(AI1013,$B$6-1,0))</f>
        <v>#DIV/0!</v>
      </c>
      <c r="AL1013" s="4" t="e">
        <f ca="1">SQRT($B$9)*_xlfn.STDEV.S(AI1013:OFFSET(AI1013,$B$7-1,0))</f>
        <v>#DIV/0!</v>
      </c>
      <c r="AM1013" s="4" t="e">
        <f ca="1">SQRT($B$9)*_xlfn.STDEV.S(AI1013:OFFSET(AI1013,$B$8-1,0))</f>
        <v>#DIV/0!</v>
      </c>
    </row>
    <row r="1014" spans="11:39" x14ac:dyDescent="0.2">
      <c r="K1014" s="3" t="e">
        <f t="shared" si="84"/>
        <v>#DIV/0!</v>
      </c>
      <c r="L1014" s="3" t="e">
        <f ca="1">SQRT(AVERAGE(K1014:OFFSET(K1014,$B$5-1,0))*$B$9/(4*LN(2)))</f>
        <v>#DIV/0!</v>
      </c>
      <c r="M1014" s="3" t="e">
        <f ca="1">SQRT(AVERAGE(K1014:OFFSET(K1014,$B$6-1,0))*$B$9/(4*LN(2)))</f>
        <v>#DIV/0!</v>
      </c>
      <c r="N1014" s="3" t="e">
        <f ca="1">SQRT(AVERAGE(K1014:OFFSET(K1014,$B$7-1,0))*$B$9/(4*LN(2)))</f>
        <v>#DIV/0!</v>
      </c>
      <c r="O1014" s="3" t="e">
        <f ca="1">SQRT(AVERAGE(K1014:OFFSET(K1014,$B$8-1,0))*$B$9/(4*LN(2)))</f>
        <v>#DIV/0!</v>
      </c>
      <c r="Q1014" s="5" t="e">
        <f t="shared" si="83"/>
        <v>#DIV/0!</v>
      </c>
      <c r="R1014" s="5" t="e">
        <f ca="1">SQRT($B$9*AVERAGE((Q1014:OFFSET(Q1014,$B$5-1,0))))</f>
        <v>#DIV/0!</v>
      </c>
      <c r="S1014" s="5" t="e">
        <f ca="1">SQRT($B$9*AVERAGE((Q1014:OFFSET(Q1014,$B$6-1,0))))</f>
        <v>#DIV/0!</v>
      </c>
      <c r="T1014" s="5" t="e">
        <f ca="1">SQRT($B$9*AVERAGE((Q1014:OFFSET(Q1014,$B$7-1,0))))</f>
        <v>#DIV/0!</v>
      </c>
      <c r="U1014" s="5" t="e">
        <f ca="1">SQRT($B$9*AVERAGE((Q1014:OFFSET(Q1014,$B$8-1,0))))</f>
        <v>#DIV/0!</v>
      </c>
      <c r="W1014" s="6" t="e">
        <f t="shared" si="87"/>
        <v>#DIV/0!</v>
      </c>
      <c r="X1014" s="6" t="e">
        <f ca="1">SQRT($B$9*AVERAGE(W1014:OFFSET(W1014,$B$5-1,0)))</f>
        <v>#DIV/0!</v>
      </c>
      <c r="Y1014" s="6" t="e">
        <f ca="1">SQRT($B$9*AVERAGE(W1014:OFFSET(W1014,$B$6-1,0)))</f>
        <v>#DIV/0!</v>
      </c>
      <c r="Z1014" s="6" t="e">
        <f ca="1">SQRT($B$9*AVERAGE(W1014:OFFSET(W1014,$B$7-1,0)))</f>
        <v>#DIV/0!</v>
      </c>
      <c r="AA1014" s="6" t="e">
        <f ca="1">SQRT($B$9*AVERAGE(W1014:OFFSET(W1014,$B$8-1,0)))</f>
        <v>#DIV/0!</v>
      </c>
      <c r="AC1014" s="34" t="e">
        <f t="shared" si="85"/>
        <v>#DIV/0!</v>
      </c>
      <c r="AD1014" s="34" t="e">
        <f ca="1">SQRT($B$9*SUM(AC1014:OFFSET(AC1014,$B$5-1,0))/($B$5-1))</f>
        <v>#DIV/0!</v>
      </c>
      <c r="AE1014" s="34" t="e">
        <f ca="1">SQRT($B$9*SUM(AC1014:OFFSET(AC1014,$B$6-1,0))/($B$6-1))</f>
        <v>#DIV/0!</v>
      </c>
      <c r="AF1014" s="34" t="e">
        <f ca="1">SQRT($B$9*SUM(AC1014:OFFSET(AC1014,$B$7-1,0))/($B$7-1))</f>
        <v>#DIV/0!</v>
      </c>
      <c r="AG1014" s="34" t="e">
        <f ca="1">SQRT($B$9*SUM(AC1014:OFFSET(AC1014,$B$8-1,0))/($B$8-1))</f>
        <v>#DIV/0!</v>
      </c>
      <c r="AI1014" s="1" t="e">
        <f t="shared" si="86"/>
        <v>#DIV/0!</v>
      </c>
      <c r="AJ1014" s="4" t="e">
        <f ca="1">SQRT($B$9)*_xlfn.STDEV.S(AI1014:OFFSET(AI1014,$B$5-1,0))</f>
        <v>#DIV/0!</v>
      </c>
      <c r="AK1014" s="4" t="e">
        <f ca="1">SQRT($B$9)*_xlfn.STDEV.S(AI1014:OFFSET(AI1014,$B$6-1,0))</f>
        <v>#DIV/0!</v>
      </c>
      <c r="AL1014" s="4" t="e">
        <f ca="1">SQRT($B$9)*_xlfn.STDEV.S(AI1014:OFFSET(AI1014,$B$7-1,0))</f>
        <v>#DIV/0!</v>
      </c>
      <c r="AM1014" s="4" t="e">
        <f ca="1">SQRT($B$9)*_xlfn.STDEV.S(AI1014:OFFSET(AI1014,$B$8-1,0))</f>
        <v>#DIV/0!</v>
      </c>
    </row>
    <row r="1015" spans="11:39" x14ac:dyDescent="0.2">
      <c r="K1015" s="3" t="e">
        <f t="shared" si="84"/>
        <v>#DIV/0!</v>
      </c>
      <c r="L1015" s="3" t="e">
        <f ca="1">SQRT(AVERAGE(K1015:OFFSET(K1015,$B$5-1,0))*$B$9/(4*LN(2)))</f>
        <v>#DIV/0!</v>
      </c>
      <c r="M1015" s="3" t="e">
        <f ca="1">SQRT(AVERAGE(K1015:OFFSET(K1015,$B$6-1,0))*$B$9/(4*LN(2)))</f>
        <v>#DIV/0!</v>
      </c>
      <c r="N1015" s="3" t="e">
        <f ca="1">SQRT(AVERAGE(K1015:OFFSET(K1015,$B$7-1,0))*$B$9/(4*LN(2)))</f>
        <v>#DIV/0!</v>
      </c>
      <c r="O1015" s="3" t="e">
        <f ca="1">SQRT(AVERAGE(K1015:OFFSET(K1015,$B$8-1,0))*$B$9/(4*LN(2)))</f>
        <v>#DIV/0!</v>
      </c>
      <c r="Q1015" s="5" t="e">
        <f t="shared" si="83"/>
        <v>#DIV/0!</v>
      </c>
      <c r="R1015" s="5" t="e">
        <f ca="1">SQRT($B$9*AVERAGE((Q1015:OFFSET(Q1015,$B$5-1,0))))</f>
        <v>#DIV/0!</v>
      </c>
      <c r="S1015" s="5" t="e">
        <f ca="1">SQRT($B$9*AVERAGE((Q1015:OFFSET(Q1015,$B$6-1,0))))</f>
        <v>#DIV/0!</v>
      </c>
      <c r="T1015" s="5" t="e">
        <f ca="1">SQRT($B$9*AVERAGE((Q1015:OFFSET(Q1015,$B$7-1,0))))</f>
        <v>#DIV/0!</v>
      </c>
      <c r="U1015" s="5" t="e">
        <f ca="1">SQRT($B$9*AVERAGE((Q1015:OFFSET(Q1015,$B$8-1,0))))</f>
        <v>#DIV/0!</v>
      </c>
      <c r="W1015" s="6" t="e">
        <f t="shared" si="87"/>
        <v>#DIV/0!</v>
      </c>
      <c r="X1015" s="6" t="e">
        <f ca="1">SQRT($B$9*AVERAGE(W1015:OFFSET(W1015,$B$5-1,0)))</f>
        <v>#DIV/0!</v>
      </c>
      <c r="Y1015" s="6" t="e">
        <f ca="1">SQRT($B$9*AVERAGE(W1015:OFFSET(W1015,$B$6-1,0)))</f>
        <v>#DIV/0!</v>
      </c>
      <c r="Z1015" s="6" t="e">
        <f ca="1">SQRT($B$9*AVERAGE(W1015:OFFSET(W1015,$B$7-1,0)))</f>
        <v>#DIV/0!</v>
      </c>
      <c r="AA1015" s="6" t="e">
        <f ca="1">SQRT($B$9*AVERAGE(W1015:OFFSET(W1015,$B$8-1,0)))</f>
        <v>#DIV/0!</v>
      </c>
      <c r="AC1015" s="34" t="e">
        <f t="shared" si="85"/>
        <v>#DIV/0!</v>
      </c>
      <c r="AD1015" s="34" t="e">
        <f ca="1">SQRT($B$9*SUM(AC1015:OFFSET(AC1015,$B$5-1,0))/($B$5-1))</f>
        <v>#DIV/0!</v>
      </c>
      <c r="AE1015" s="34" t="e">
        <f ca="1">SQRT($B$9*SUM(AC1015:OFFSET(AC1015,$B$6-1,0))/($B$6-1))</f>
        <v>#DIV/0!</v>
      </c>
      <c r="AF1015" s="34" t="e">
        <f ca="1">SQRT($B$9*SUM(AC1015:OFFSET(AC1015,$B$7-1,0))/($B$7-1))</f>
        <v>#DIV/0!</v>
      </c>
      <c r="AG1015" s="34" t="e">
        <f ca="1">SQRT($B$9*SUM(AC1015:OFFSET(AC1015,$B$8-1,0))/($B$8-1))</f>
        <v>#DIV/0!</v>
      </c>
      <c r="AI1015" s="1" t="e">
        <f t="shared" si="86"/>
        <v>#DIV/0!</v>
      </c>
      <c r="AJ1015" s="4" t="e">
        <f ca="1">SQRT($B$9)*_xlfn.STDEV.S(AI1015:OFFSET(AI1015,$B$5-1,0))</f>
        <v>#DIV/0!</v>
      </c>
      <c r="AK1015" s="4" t="e">
        <f ca="1">SQRT($B$9)*_xlfn.STDEV.S(AI1015:OFFSET(AI1015,$B$6-1,0))</f>
        <v>#DIV/0!</v>
      </c>
      <c r="AL1015" s="4" t="e">
        <f ca="1">SQRT($B$9)*_xlfn.STDEV.S(AI1015:OFFSET(AI1015,$B$7-1,0))</f>
        <v>#DIV/0!</v>
      </c>
      <c r="AM1015" s="4" t="e">
        <f ca="1">SQRT($B$9)*_xlfn.STDEV.S(AI1015:OFFSET(AI1015,$B$8-1,0))</f>
        <v>#DIV/0!</v>
      </c>
    </row>
    <row r="1016" spans="11:39" x14ac:dyDescent="0.2">
      <c r="K1016" s="3" t="e">
        <f t="shared" si="84"/>
        <v>#DIV/0!</v>
      </c>
      <c r="L1016" s="3" t="e">
        <f ca="1">SQRT(AVERAGE(K1016:OFFSET(K1016,$B$5-1,0))*$B$9/(4*LN(2)))</f>
        <v>#DIV/0!</v>
      </c>
      <c r="M1016" s="3" t="e">
        <f ca="1">SQRT(AVERAGE(K1016:OFFSET(K1016,$B$6-1,0))*$B$9/(4*LN(2)))</f>
        <v>#DIV/0!</v>
      </c>
      <c r="N1016" s="3" t="e">
        <f ca="1">SQRT(AVERAGE(K1016:OFFSET(K1016,$B$7-1,0))*$B$9/(4*LN(2)))</f>
        <v>#DIV/0!</v>
      </c>
      <c r="O1016" s="3" t="e">
        <f ca="1">SQRT(AVERAGE(K1016:OFFSET(K1016,$B$8-1,0))*$B$9/(4*LN(2)))</f>
        <v>#DIV/0!</v>
      </c>
      <c r="Q1016" s="5" t="e">
        <f t="shared" si="83"/>
        <v>#DIV/0!</v>
      </c>
      <c r="R1016" s="5" t="e">
        <f ca="1">SQRT($B$9*AVERAGE((Q1016:OFFSET(Q1016,$B$5-1,0))))</f>
        <v>#DIV/0!</v>
      </c>
      <c r="S1016" s="5" t="e">
        <f ca="1">SQRT($B$9*AVERAGE((Q1016:OFFSET(Q1016,$B$6-1,0))))</f>
        <v>#DIV/0!</v>
      </c>
      <c r="T1016" s="5" t="e">
        <f ca="1">SQRT($B$9*AVERAGE((Q1016:OFFSET(Q1016,$B$7-1,0))))</f>
        <v>#DIV/0!</v>
      </c>
      <c r="U1016" s="5" t="e">
        <f ca="1">SQRT($B$9*AVERAGE((Q1016:OFFSET(Q1016,$B$8-1,0))))</f>
        <v>#DIV/0!</v>
      </c>
      <c r="W1016" s="6" t="e">
        <f t="shared" si="87"/>
        <v>#DIV/0!</v>
      </c>
      <c r="X1016" s="6" t="e">
        <f ca="1">SQRT($B$9*AVERAGE(W1016:OFFSET(W1016,$B$5-1,0)))</f>
        <v>#DIV/0!</v>
      </c>
      <c r="Y1016" s="6" t="e">
        <f ca="1">SQRT($B$9*AVERAGE(W1016:OFFSET(W1016,$B$6-1,0)))</f>
        <v>#DIV/0!</v>
      </c>
      <c r="Z1016" s="6" t="e">
        <f ca="1">SQRT($B$9*AVERAGE(W1016:OFFSET(W1016,$B$7-1,0)))</f>
        <v>#DIV/0!</v>
      </c>
      <c r="AA1016" s="6" t="e">
        <f ca="1">SQRT($B$9*AVERAGE(W1016:OFFSET(W1016,$B$8-1,0)))</f>
        <v>#DIV/0!</v>
      </c>
      <c r="AC1016" s="34" t="e">
        <f t="shared" si="85"/>
        <v>#DIV/0!</v>
      </c>
      <c r="AD1016" s="34" t="e">
        <f ca="1">SQRT($B$9*SUM(AC1016:OFFSET(AC1016,$B$5-1,0))/($B$5-1))</f>
        <v>#DIV/0!</v>
      </c>
      <c r="AE1016" s="34" t="e">
        <f ca="1">SQRT($B$9*SUM(AC1016:OFFSET(AC1016,$B$6-1,0))/($B$6-1))</f>
        <v>#DIV/0!</v>
      </c>
      <c r="AF1016" s="34" t="e">
        <f ca="1">SQRT($B$9*SUM(AC1016:OFFSET(AC1016,$B$7-1,0))/($B$7-1))</f>
        <v>#DIV/0!</v>
      </c>
      <c r="AG1016" s="34" t="e">
        <f ca="1">SQRT($B$9*SUM(AC1016:OFFSET(AC1016,$B$8-1,0))/($B$8-1))</f>
        <v>#DIV/0!</v>
      </c>
      <c r="AI1016" s="1" t="e">
        <f t="shared" si="86"/>
        <v>#DIV/0!</v>
      </c>
      <c r="AJ1016" s="4" t="e">
        <f ca="1">SQRT($B$9)*_xlfn.STDEV.S(AI1016:OFFSET(AI1016,$B$5-1,0))</f>
        <v>#DIV/0!</v>
      </c>
      <c r="AK1016" s="4" t="e">
        <f ca="1">SQRT($B$9)*_xlfn.STDEV.S(AI1016:OFFSET(AI1016,$B$6-1,0))</f>
        <v>#DIV/0!</v>
      </c>
      <c r="AL1016" s="4" t="e">
        <f ca="1">SQRT($B$9)*_xlfn.STDEV.S(AI1016:OFFSET(AI1016,$B$7-1,0))</f>
        <v>#DIV/0!</v>
      </c>
      <c r="AM1016" s="4" t="e">
        <f ca="1">SQRT($B$9)*_xlfn.STDEV.S(AI1016:OFFSET(AI1016,$B$8-1,0))</f>
        <v>#DIV/0!</v>
      </c>
    </row>
    <row r="1017" spans="11:39" x14ac:dyDescent="0.2">
      <c r="K1017" s="3" t="e">
        <f t="shared" si="84"/>
        <v>#DIV/0!</v>
      </c>
      <c r="L1017" s="3" t="e">
        <f ca="1">SQRT(AVERAGE(K1017:OFFSET(K1017,$B$5-1,0))*$B$9/(4*LN(2)))</f>
        <v>#DIV/0!</v>
      </c>
      <c r="M1017" s="3" t="e">
        <f ca="1">SQRT(AVERAGE(K1017:OFFSET(K1017,$B$6-1,0))*$B$9/(4*LN(2)))</f>
        <v>#DIV/0!</v>
      </c>
      <c r="N1017" s="3" t="e">
        <f ca="1">SQRT(AVERAGE(K1017:OFFSET(K1017,$B$7-1,0))*$B$9/(4*LN(2)))</f>
        <v>#DIV/0!</v>
      </c>
      <c r="O1017" s="3" t="e">
        <f ca="1">SQRT(AVERAGE(K1017:OFFSET(K1017,$B$8-1,0))*$B$9/(4*LN(2)))</f>
        <v>#DIV/0!</v>
      </c>
      <c r="Q1017" s="5" t="e">
        <f t="shared" si="83"/>
        <v>#DIV/0!</v>
      </c>
      <c r="R1017" s="5" t="e">
        <f ca="1">SQRT($B$9*AVERAGE((Q1017:OFFSET(Q1017,$B$5-1,0))))</f>
        <v>#DIV/0!</v>
      </c>
      <c r="S1017" s="5" t="e">
        <f ca="1">SQRT($B$9*AVERAGE((Q1017:OFFSET(Q1017,$B$6-1,0))))</f>
        <v>#DIV/0!</v>
      </c>
      <c r="T1017" s="5" t="e">
        <f ca="1">SQRT($B$9*AVERAGE((Q1017:OFFSET(Q1017,$B$7-1,0))))</f>
        <v>#DIV/0!</v>
      </c>
      <c r="U1017" s="5" t="e">
        <f ca="1">SQRT($B$9*AVERAGE((Q1017:OFFSET(Q1017,$B$8-1,0))))</f>
        <v>#DIV/0!</v>
      </c>
      <c r="W1017" s="6" t="e">
        <f t="shared" si="87"/>
        <v>#DIV/0!</v>
      </c>
      <c r="X1017" s="6" t="e">
        <f ca="1">SQRT($B$9*AVERAGE(W1017:OFFSET(W1017,$B$5-1,0)))</f>
        <v>#DIV/0!</v>
      </c>
      <c r="Y1017" s="6" t="e">
        <f ca="1">SQRT($B$9*AVERAGE(W1017:OFFSET(W1017,$B$6-1,0)))</f>
        <v>#DIV/0!</v>
      </c>
      <c r="Z1017" s="6" t="e">
        <f ca="1">SQRT($B$9*AVERAGE(W1017:OFFSET(W1017,$B$7-1,0)))</f>
        <v>#DIV/0!</v>
      </c>
      <c r="AA1017" s="6" t="e">
        <f ca="1">SQRT($B$9*AVERAGE(W1017:OFFSET(W1017,$B$8-1,0)))</f>
        <v>#DIV/0!</v>
      </c>
      <c r="AC1017" s="34" t="e">
        <f t="shared" si="85"/>
        <v>#DIV/0!</v>
      </c>
      <c r="AD1017" s="34" t="e">
        <f ca="1">SQRT($B$9*SUM(AC1017:OFFSET(AC1017,$B$5-1,0))/($B$5-1))</f>
        <v>#DIV/0!</v>
      </c>
      <c r="AE1017" s="34" t="e">
        <f ca="1">SQRT($B$9*SUM(AC1017:OFFSET(AC1017,$B$6-1,0))/($B$6-1))</f>
        <v>#DIV/0!</v>
      </c>
      <c r="AF1017" s="34" t="e">
        <f ca="1">SQRT($B$9*SUM(AC1017:OFFSET(AC1017,$B$7-1,0))/($B$7-1))</f>
        <v>#DIV/0!</v>
      </c>
      <c r="AG1017" s="34" t="e">
        <f ca="1">SQRT($B$9*SUM(AC1017:OFFSET(AC1017,$B$8-1,0))/($B$8-1))</f>
        <v>#DIV/0!</v>
      </c>
      <c r="AI1017" s="1" t="e">
        <f t="shared" si="86"/>
        <v>#DIV/0!</v>
      </c>
      <c r="AJ1017" s="4" t="e">
        <f ca="1">SQRT($B$9)*_xlfn.STDEV.S(AI1017:OFFSET(AI1017,$B$5-1,0))</f>
        <v>#DIV/0!</v>
      </c>
      <c r="AK1017" s="4" t="e">
        <f ca="1">SQRT($B$9)*_xlfn.STDEV.S(AI1017:OFFSET(AI1017,$B$6-1,0))</f>
        <v>#DIV/0!</v>
      </c>
      <c r="AL1017" s="4" t="e">
        <f ca="1">SQRT($B$9)*_xlfn.STDEV.S(AI1017:OFFSET(AI1017,$B$7-1,0))</f>
        <v>#DIV/0!</v>
      </c>
      <c r="AM1017" s="4" t="e">
        <f ca="1">SQRT($B$9)*_xlfn.STDEV.S(AI1017:OFFSET(AI1017,$B$8-1,0))</f>
        <v>#DIV/0!</v>
      </c>
    </row>
    <row r="1018" spans="11:39" x14ac:dyDescent="0.2">
      <c r="K1018" s="3" t="e">
        <f t="shared" si="84"/>
        <v>#DIV/0!</v>
      </c>
      <c r="L1018" s="3" t="e">
        <f ca="1">SQRT(AVERAGE(K1018:OFFSET(K1018,$B$5-1,0))*$B$9/(4*LN(2)))</f>
        <v>#DIV/0!</v>
      </c>
      <c r="M1018" s="3" t="e">
        <f ca="1">SQRT(AVERAGE(K1018:OFFSET(K1018,$B$6-1,0))*$B$9/(4*LN(2)))</f>
        <v>#DIV/0!</v>
      </c>
      <c r="N1018" s="3" t="e">
        <f ca="1">SQRT(AVERAGE(K1018:OFFSET(K1018,$B$7-1,0))*$B$9/(4*LN(2)))</f>
        <v>#DIV/0!</v>
      </c>
      <c r="O1018" s="3" t="e">
        <f ca="1">SQRT(AVERAGE(K1018:OFFSET(K1018,$B$8-1,0))*$B$9/(4*LN(2)))</f>
        <v>#DIV/0!</v>
      </c>
      <c r="Q1018" s="5" t="e">
        <f t="shared" si="83"/>
        <v>#DIV/0!</v>
      </c>
      <c r="R1018" s="5" t="e">
        <f ca="1">SQRT($B$9*AVERAGE((Q1018:OFFSET(Q1018,$B$5-1,0))))</f>
        <v>#DIV/0!</v>
      </c>
      <c r="S1018" s="5" t="e">
        <f ca="1">SQRT($B$9*AVERAGE((Q1018:OFFSET(Q1018,$B$6-1,0))))</f>
        <v>#DIV/0!</v>
      </c>
      <c r="T1018" s="5" t="e">
        <f ca="1">SQRT($B$9*AVERAGE((Q1018:OFFSET(Q1018,$B$7-1,0))))</f>
        <v>#DIV/0!</v>
      </c>
      <c r="U1018" s="5" t="e">
        <f ca="1">SQRT($B$9*AVERAGE((Q1018:OFFSET(Q1018,$B$8-1,0))))</f>
        <v>#DIV/0!</v>
      </c>
      <c r="W1018" s="6" t="e">
        <f t="shared" si="87"/>
        <v>#DIV/0!</v>
      </c>
      <c r="X1018" s="6" t="e">
        <f ca="1">SQRT($B$9*AVERAGE(W1018:OFFSET(W1018,$B$5-1,0)))</f>
        <v>#DIV/0!</v>
      </c>
      <c r="Y1018" s="6" t="e">
        <f ca="1">SQRT($B$9*AVERAGE(W1018:OFFSET(W1018,$B$6-1,0)))</f>
        <v>#DIV/0!</v>
      </c>
      <c r="Z1018" s="6" t="e">
        <f ca="1">SQRT($B$9*AVERAGE(W1018:OFFSET(W1018,$B$7-1,0)))</f>
        <v>#DIV/0!</v>
      </c>
      <c r="AA1018" s="6" t="e">
        <f ca="1">SQRT($B$9*AVERAGE(W1018:OFFSET(W1018,$B$8-1,0)))</f>
        <v>#DIV/0!</v>
      </c>
      <c r="AC1018" s="34" t="e">
        <f t="shared" si="85"/>
        <v>#DIV/0!</v>
      </c>
      <c r="AD1018" s="34" t="e">
        <f ca="1">SQRT($B$9*SUM(AC1018:OFFSET(AC1018,$B$5-1,0))/($B$5-1))</f>
        <v>#DIV/0!</v>
      </c>
      <c r="AE1018" s="34" t="e">
        <f ca="1">SQRT($B$9*SUM(AC1018:OFFSET(AC1018,$B$6-1,0))/($B$6-1))</f>
        <v>#DIV/0!</v>
      </c>
      <c r="AF1018" s="34" t="e">
        <f ca="1">SQRT($B$9*SUM(AC1018:OFFSET(AC1018,$B$7-1,0))/($B$7-1))</f>
        <v>#DIV/0!</v>
      </c>
      <c r="AG1018" s="34" t="e">
        <f ca="1">SQRT($B$9*SUM(AC1018:OFFSET(AC1018,$B$8-1,0))/($B$8-1))</f>
        <v>#DIV/0!</v>
      </c>
      <c r="AI1018" s="1" t="e">
        <f t="shared" si="86"/>
        <v>#DIV/0!</v>
      </c>
      <c r="AJ1018" s="4" t="e">
        <f ca="1">SQRT($B$9)*_xlfn.STDEV.S(AI1018:OFFSET(AI1018,$B$5-1,0))</f>
        <v>#DIV/0!</v>
      </c>
      <c r="AK1018" s="4" t="e">
        <f ca="1">SQRT($B$9)*_xlfn.STDEV.S(AI1018:OFFSET(AI1018,$B$6-1,0))</f>
        <v>#DIV/0!</v>
      </c>
      <c r="AL1018" s="4" t="e">
        <f ca="1">SQRT($B$9)*_xlfn.STDEV.S(AI1018:OFFSET(AI1018,$B$7-1,0))</f>
        <v>#DIV/0!</v>
      </c>
      <c r="AM1018" s="4" t="e">
        <f ca="1">SQRT($B$9)*_xlfn.STDEV.S(AI1018:OFFSET(AI1018,$B$8-1,0))</f>
        <v>#DIV/0!</v>
      </c>
    </row>
    <row r="1019" spans="11:39" x14ac:dyDescent="0.2">
      <c r="K1019" s="3" t="e">
        <f t="shared" si="84"/>
        <v>#DIV/0!</v>
      </c>
      <c r="L1019" s="3" t="e">
        <f ca="1">SQRT(AVERAGE(K1019:OFFSET(K1019,$B$5-1,0))*$B$9/(4*LN(2)))</f>
        <v>#DIV/0!</v>
      </c>
      <c r="M1019" s="3" t="e">
        <f ca="1">SQRT(AVERAGE(K1019:OFFSET(K1019,$B$6-1,0))*$B$9/(4*LN(2)))</f>
        <v>#DIV/0!</v>
      </c>
      <c r="N1019" s="3" t="e">
        <f ca="1">SQRT(AVERAGE(K1019:OFFSET(K1019,$B$7-1,0))*$B$9/(4*LN(2)))</f>
        <v>#DIV/0!</v>
      </c>
      <c r="O1019" s="3" t="e">
        <f ca="1">SQRT(AVERAGE(K1019:OFFSET(K1019,$B$8-1,0))*$B$9/(4*LN(2)))</f>
        <v>#DIV/0!</v>
      </c>
      <c r="Q1019" s="5" t="e">
        <f t="shared" si="83"/>
        <v>#DIV/0!</v>
      </c>
      <c r="R1019" s="5" t="e">
        <f ca="1">SQRT($B$9*AVERAGE((Q1019:OFFSET(Q1019,$B$5-1,0))))</f>
        <v>#DIV/0!</v>
      </c>
      <c r="S1019" s="5" t="e">
        <f ca="1">SQRT($B$9*AVERAGE((Q1019:OFFSET(Q1019,$B$6-1,0))))</f>
        <v>#DIV/0!</v>
      </c>
      <c r="T1019" s="5" t="e">
        <f ca="1">SQRT($B$9*AVERAGE((Q1019:OFFSET(Q1019,$B$7-1,0))))</f>
        <v>#DIV/0!</v>
      </c>
      <c r="U1019" s="5" t="e">
        <f ca="1">SQRT($B$9*AVERAGE((Q1019:OFFSET(Q1019,$B$8-1,0))))</f>
        <v>#DIV/0!</v>
      </c>
      <c r="W1019" s="6" t="e">
        <f t="shared" si="87"/>
        <v>#DIV/0!</v>
      </c>
      <c r="X1019" s="6" t="e">
        <f ca="1">SQRT($B$9*AVERAGE(W1019:OFFSET(W1019,$B$5-1,0)))</f>
        <v>#DIV/0!</v>
      </c>
      <c r="Y1019" s="6" t="e">
        <f ca="1">SQRT($B$9*AVERAGE(W1019:OFFSET(W1019,$B$6-1,0)))</f>
        <v>#DIV/0!</v>
      </c>
      <c r="Z1019" s="6" t="e">
        <f ca="1">SQRT($B$9*AVERAGE(W1019:OFFSET(W1019,$B$7-1,0)))</f>
        <v>#DIV/0!</v>
      </c>
      <c r="AA1019" s="6" t="e">
        <f ca="1">SQRT($B$9*AVERAGE(W1019:OFFSET(W1019,$B$8-1,0)))</f>
        <v>#DIV/0!</v>
      </c>
      <c r="AC1019" s="34" t="e">
        <f t="shared" si="85"/>
        <v>#DIV/0!</v>
      </c>
      <c r="AD1019" s="34" t="e">
        <f ca="1">SQRT($B$9*SUM(AC1019:OFFSET(AC1019,$B$5-1,0))/($B$5-1))</f>
        <v>#DIV/0!</v>
      </c>
      <c r="AE1019" s="34" t="e">
        <f ca="1">SQRT($B$9*SUM(AC1019:OFFSET(AC1019,$B$6-1,0))/($B$6-1))</f>
        <v>#DIV/0!</v>
      </c>
      <c r="AF1019" s="34" t="e">
        <f ca="1">SQRT($B$9*SUM(AC1019:OFFSET(AC1019,$B$7-1,0))/($B$7-1))</f>
        <v>#DIV/0!</v>
      </c>
      <c r="AG1019" s="34" t="e">
        <f ca="1">SQRT($B$9*SUM(AC1019:OFFSET(AC1019,$B$8-1,0))/($B$8-1))</f>
        <v>#DIV/0!</v>
      </c>
      <c r="AI1019" s="1" t="e">
        <f t="shared" si="86"/>
        <v>#DIV/0!</v>
      </c>
      <c r="AJ1019" s="4" t="e">
        <f ca="1">SQRT($B$9)*_xlfn.STDEV.S(AI1019:OFFSET(AI1019,$B$5-1,0))</f>
        <v>#DIV/0!</v>
      </c>
      <c r="AK1019" s="4" t="e">
        <f ca="1">SQRT($B$9)*_xlfn.STDEV.S(AI1019:OFFSET(AI1019,$B$6-1,0))</f>
        <v>#DIV/0!</v>
      </c>
      <c r="AL1019" s="4" t="e">
        <f ca="1">SQRT($B$9)*_xlfn.STDEV.S(AI1019:OFFSET(AI1019,$B$7-1,0))</f>
        <v>#DIV/0!</v>
      </c>
      <c r="AM1019" s="4" t="e">
        <f ca="1">SQRT($B$9)*_xlfn.STDEV.S(AI1019:OFFSET(AI1019,$B$8-1,0))</f>
        <v>#DIV/0!</v>
      </c>
    </row>
    <row r="1020" spans="11:39" x14ac:dyDescent="0.2">
      <c r="K1020" s="3" t="e">
        <f t="shared" si="84"/>
        <v>#DIV/0!</v>
      </c>
      <c r="L1020" s="3" t="e">
        <f ca="1">SQRT(AVERAGE(K1020:OFFSET(K1020,$B$5-1,0))*$B$9/(4*LN(2)))</f>
        <v>#DIV/0!</v>
      </c>
      <c r="M1020" s="3" t="e">
        <f ca="1">SQRT(AVERAGE(K1020:OFFSET(K1020,$B$6-1,0))*$B$9/(4*LN(2)))</f>
        <v>#DIV/0!</v>
      </c>
      <c r="N1020" s="3" t="e">
        <f ca="1">SQRT(AVERAGE(K1020:OFFSET(K1020,$B$7-1,0))*$B$9/(4*LN(2)))</f>
        <v>#DIV/0!</v>
      </c>
      <c r="O1020" s="3" t="e">
        <f ca="1">SQRT(AVERAGE(K1020:OFFSET(K1020,$B$8-1,0))*$B$9/(4*LN(2)))</f>
        <v>#DIV/0!</v>
      </c>
      <c r="Q1020" s="5" t="e">
        <f t="shared" si="83"/>
        <v>#DIV/0!</v>
      </c>
      <c r="R1020" s="5" t="e">
        <f ca="1">SQRT($B$9*AVERAGE((Q1020:OFFSET(Q1020,$B$5-1,0))))</f>
        <v>#DIV/0!</v>
      </c>
      <c r="S1020" s="5" t="e">
        <f ca="1">SQRT($B$9*AVERAGE((Q1020:OFFSET(Q1020,$B$6-1,0))))</f>
        <v>#DIV/0!</v>
      </c>
      <c r="T1020" s="5" t="e">
        <f ca="1">SQRT($B$9*AVERAGE((Q1020:OFFSET(Q1020,$B$7-1,0))))</f>
        <v>#DIV/0!</v>
      </c>
      <c r="U1020" s="5" t="e">
        <f ca="1">SQRT($B$9*AVERAGE((Q1020:OFFSET(Q1020,$B$8-1,0))))</f>
        <v>#DIV/0!</v>
      </c>
      <c r="W1020" s="6" t="e">
        <f t="shared" si="87"/>
        <v>#DIV/0!</v>
      </c>
      <c r="X1020" s="6" t="e">
        <f ca="1">SQRT($B$9*AVERAGE(W1020:OFFSET(W1020,$B$5-1,0)))</f>
        <v>#DIV/0!</v>
      </c>
      <c r="Y1020" s="6" t="e">
        <f ca="1">SQRT($B$9*AVERAGE(W1020:OFFSET(W1020,$B$6-1,0)))</f>
        <v>#DIV/0!</v>
      </c>
      <c r="Z1020" s="6" t="e">
        <f ca="1">SQRT($B$9*AVERAGE(W1020:OFFSET(W1020,$B$7-1,0)))</f>
        <v>#DIV/0!</v>
      </c>
      <c r="AA1020" s="6" t="e">
        <f ca="1">SQRT($B$9*AVERAGE(W1020:OFFSET(W1020,$B$8-1,0)))</f>
        <v>#DIV/0!</v>
      </c>
      <c r="AC1020" s="34" t="e">
        <f t="shared" si="85"/>
        <v>#DIV/0!</v>
      </c>
      <c r="AD1020" s="34" t="e">
        <f ca="1">SQRT($B$9*SUM(AC1020:OFFSET(AC1020,$B$5-1,0))/($B$5-1))</f>
        <v>#DIV/0!</v>
      </c>
      <c r="AE1020" s="34" t="e">
        <f ca="1">SQRT($B$9*SUM(AC1020:OFFSET(AC1020,$B$6-1,0))/($B$6-1))</f>
        <v>#DIV/0!</v>
      </c>
      <c r="AF1020" s="34" t="e">
        <f ca="1">SQRT($B$9*SUM(AC1020:OFFSET(AC1020,$B$7-1,0))/($B$7-1))</f>
        <v>#DIV/0!</v>
      </c>
      <c r="AG1020" s="34" t="e">
        <f ca="1">SQRT($B$9*SUM(AC1020:OFFSET(AC1020,$B$8-1,0))/($B$8-1))</f>
        <v>#DIV/0!</v>
      </c>
      <c r="AI1020" s="1" t="e">
        <f t="shared" si="86"/>
        <v>#DIV/0!</v>
      </c>
      <c r="AJ1020" s="4" t="e">
        <f ca="1">SQRT($B$9)*_xlfn.STDEV.S(AI1020:OFFSET(AI1020,$B$5-1,0))</f>
        <v>#DIV/0!</v>
      </c>
      <c r="AK1020" s="4" t="e">
        <f ca="1">SQRT($B$9)*_xlfn.STDEV.S(AI1020:OFFSET(AI1020,$B$6-1,0))</f>
        <v>#DIV/0!</v>
      </c>
      <c r="AL1020" s="4" t="e">
        <f ca="1">SQRT($B$9)*_xlfn.STDEV.S(AI1020:OFFSET(AI1020,$B$7-1,0))</f>
        <v>#DIV/0!</v>
      </c>
      <c r="AM1020" s="4" t="e">
        <f ca="1">SQRT($B$9)*_xlfn.STDEV.S(AI1020:OFFSET(AI1020,$B$8-1,0))</f>
        <v>#DIV/0!</v>
      </c>
    </row>
    <row r="1021" spans="11:39" x14ac:dyDescent="0.2">
      <c r="K1021" s="3" t="e">
        <f t="shared" si="84"/>
        <v>#DIV/0!</v>
      </c>
      <c r="L1021" s="3" t="e">
        <f ca="1">SQRT(AVERAGE(K1021:OFFSET(K1021,$B$5-1,0))*$B$9/(4*LN(2)))</f>
        <v>#DIV/0!</v>
      </c>
      <c r="M1021" s="3" t="e">
        <f ca="1">SQRT(AVERAGE(K1021:OFFSET(K1021,$B$6-1,0))*$B$9/(4*LN(2)))</f>
        <v>#DIV/0!</v>
      </c>
      <c r="N1021" s="3" t="e">
        <f ca="1">SQRT(AVERAGE(K1021:OFFSET(K1021,$B$7-1,0))*$B$9/(4*LN(2)))</f>
        <v>#DIV/0!</v>
      </c>
      <c r="O1021" s="3" t="e">
        <f ca="1">SQRT(AVERAGE(K1021:OFFSET(K1021,$B$8-1,0))*$B$9/(4*LN(2)))</f>
        <v>#DIV/0!</v>
      </c>
      <c r="Q1021" s="5" t="e">
        <f t="shared" si="83"/>
        <v>#DIV/0!</v>
      </c>
      <c r="R1021" s="5" t="e">
        <f ca="1">SQRT($B$9*AVERAGE((Q1021:OFFSET(Q1021,$B$5-1,0))))</f>
        <v>#DIV/0!</v>
      </c>
      <c r="S1021" s="5" t="e">
        <f ca="1">SQRT($B$9*AVERAGE((Q1021:OFFSET(Q1021,$B$6-1,0))))</f>
        <v>#DIV/0!</v>
      </c>
      <c r="T1021" s="5" t="e">
        <f ca="1">SQRT($B$9*AVERAGE((Q1021:OFFSET(Q1021,$B$7-1,0))))</f>
        <v>#DIV/0!</v>
      </c>
      <c r="U1021" s="5" t="e">
        <f ca="1">SQRT($B$9*AVERAGE((Q1021:OFFSET(Q1021,$B$8-1,0))))</f>
        <v>#DIV/0!</v>
      </c>
      <c r="W1021" s="6" t="e">
        <f t="shared" si="87"/>
        <v>#DIV/0!</v>
      </c>
      <c r="X1021" s="6" t="e">
        <f ca="1">SQRT($B$9*AVERAGE(W1021:OFFSET(W1021,$B$5-1,0)))</f>
        <v>#DIV/0!</v>
      </c>
      <c r="Y1021" s="6" t="e">
        <f ca="1">SQRT($B$9*AVERAGE(W1021:OFFSET(W1021,$B$6-1,0)))</f>
        <v>#DIV/0!</v>
      </c>
      <c r="Z1021" s="6" t="e">
        <f ca="1">SQRT($B$9*AVERAGE(W1021:OFFSET(W1021,$B$7-1,0)))</f>
        <v>#DIV/0!</v>
      </c>
      <c r="AA1021" s="6" t="e">
        <f ca="1">SQRT($B$9*AVERAGE(W1021:OFFSET(W1021,$B$8-1,0)))</f>
        <v>#DIV/0!</v>
      </c>
      <c r="AC1021" s="34" t="e">
        <f t="shared" si="85"/>
        <v>#DIV/0!</v>
      </c>
      <c r="AD1021" s="34" t="e">
        <f ca="1">SQRT($B$9*SUM(AC1021:OFFSET(AC1021,$B$5-1,0))/($B$5-1))</f>
        <v>#DIV/0!</v>
      </c>
      <c r="AE1021" s="34" t="e">
        <f ca="1">SQRT($B$9*SUM(AC1021:OFFSET(AC1021,$B$6-1,0))/($B$6-1))</f>
        <v>#DIV/0!</v>
      </c>
      <c r="AF1021" s="34" t="e">
        <f ca="1">SQRT($B$9*SUM(AC1021:OFFSET(AC1021,$B$7-1,0))/($B$7-1))</f>
        <v>#DIV/0!</v>
      </c>
      <c r="AG1021" s="34" t="e">
        <f ca="1">SQRT($B$9*SUM(AC1021:OFFSET(AC1021,$B$8-1,0))/($B$8-1))</f>
        <v>#DIV/0!</v>
      </c>
      <c r="AI1021" s="1" t="e">
        <f t="shared" si="86"/>
        <v>#DIV/0!</v>
      </c>
      <c r="AJ1021" s="4" t="e">
        <f ca="1">SQRT($B$9)*_xlfn.STDEV.S(AI1021:OFFSET(AI1021,$B$5-1,0))</f>
        <v>#DIV/0!</v>
      </c>
      <c r="AK1021" s="4" t="e">
        <f ca="1">SQRT($B$9)*_xlfn.STDEV.S(AI1021:OFFSET(AI1021,$B$6-1,0))</f>
        <v>#DIV/0!</v>
      </c>
      <c r="AL1021" s="4" t="e">
        <f ca="1">SQRT($B$9)*_xlfn.STDEV.S(AI1021:OFFSET(AI1021,$B$7-1,0))</f>
        <v>#DIV/0!</v>
      </c>
      <c r="AM1021" s="4" t="e">
        <f ca="1">SQRT($B$9)*_xlfn.STDEV.S(AI1021:OFFSET(AI1021,$B$8-1,0))</f>
        <v>#DIV/0!</v>
      </c>
    </row>
    <row r="1022" spans="11:39" x14ac:dyDescent="0.2">
      <c r="K1022" s="3" t="e">
        <f t="shared" si="84"/>
        <v>#DIV/0!</v>
      </c>
      <c r="L1022" s="3" t="e">
        <f ca="1">SQRT(AVERAGE(K1022:OFFSET(K1022,$B$5-1,0))*$B$9/(4*LN(2)))</f>
        <v>#DIV/0!</v>
      </c>
      <c r="M1022" s="3" t="e">
        <f ca="1">SQRT(AVERAGE(K1022:OFFSET(K1022,$B$6-1,0))*$B$9/(4*LN(2)))</f>
        <v>#DIV/0!</v>
      </c>
      <c r="N1022" s="3" t="e">
        <f ca="1">SQRT(AVERAGE(K1022:OFFSET(K1022,$B$7-1,0))*$B$9/(4*LN(2)))</f>
        <v>#DIV/0!</v>
      </c>
      <c r="O1022" s="3" t="e">
        <f ca="1">SQRT(AVERAGE(K1022:OFFSET(K1022,$B$8-1,0))*$B$9/(4*LN(2)))</f>
        <v>#DIV/0!</v>
      </c>
      <c r="Q1022" s="5" t="e">
        <f t="shared" si="83"/>
        <v>#DIV/0!</v>
      </c>
      <c r="R1022" s="5" t="e">
        <f ca="1">SQRT($B$9*AVERAGE((Q1022:OFFSET(Q1022,$B$5-1,0))))</f>
        <v>#DIV/0!</v>
      </c>
      <c r="S1022" s="5" t="e">
        <f ca="1">SQRT($B$9*AVERAGE((Q1022:OFFSET(Q1022,$B$6-1,0))))</f>
        <v>#DIV/0!</v>
      </c>
      <c r="T1022" s="5" t="e">
        <f ca="1">SQRT($B$9*AVERAGE((Q1022:OFFSET(Q1022,$B$7-1,0))))</f>
        <v>#DIV/0!</v>
      </c>
      <c r="U1022" s="5" t="e">
        <f ca="1">SQRT($B$9*AVERAGE((Q1022:OFFSET(Q1022,$B$8-1,0))))</f>
        <v>#DIV/0!</v>
      </c>
      <c r="W1022" s="6" t="e">
        <f t="shared" si="87"/>
        <v>#DIV/0!</v>
      </c>
      <c r="X1022" s="6" t="e">
        <f ca="1">SQRT($B$9*AVERAGE(W1022:OFFSET(W1022,$B$5-1,0)))</f>
        <v>#DIV/0!</v>
      </c>
      <c r="Y1022" s="6" t="e">
        <f ca="1">SQRT($B$9*AVERAGE(W1022:OFFSET(W1022,$B$6-1,0)))</f>
        <v>#DIV/0!</v>
      </c>
      <c r="Z1022" s="6" t="e">
        <f ca="1">SQRT($B$9*AVERAGE(W1022:OFFSET(W1022,$B$7-1,0)))</f>
        <v>#DIV/0!</v>
      </c>
      <c r="AA1022" s="6" t="e">
        <f ca="1">SQRT($B$9*AVERAGE(W1022:OFFSET(W1022,$B$8-1,0)))</f>
        <v>#DIV/0!</v>
      </c>
      <c r="AC1022" s="34" t="e">
        <f t="shared" si="85"/>
        <v>#DIV/0!</v>
      </c>
      <c r="AD1022" s="34" t="e">
        <f ca="1">SQRT($B$9*SUM(AC1022:OFFSET(AC1022,$B$5-1,0))/($B$5-1))</f>
        <v>#DIV/0!</v>
      </c>
      <c r="AE1022" s="34" t="e">
        <f ca="1">SQRT($B$9*SUM(AC1022:OFFSET(AC1022,$B$6-1,0))/($B$6-1))</f>
        <v>#DIV/0!</v>
      </c>
      <c r="AF1022" s="34" t="e">
        <f ca="1">SQRT($B$9*SUM(AC1022:OFFSET(AC1022,$B$7-1,0))/($B$7-1))</f>
        <v>#DIV/0!</v>
      </c>
      <c r="AG1022" s="34" t="e">
        <f ca="1">SQRT($B$9*SUM(AC1022:OFFSET(AC1022,$B$8-1,0))/($B$8-1))</f>
        <v>#DIV/0!</v>
      </c>
      <c r="AI1022" s="1" t="e">
        <f t="shared" si="86"/>
        <v>#DIV/0!</v>
      </c>
      <c r="AJ1022" s="4" t="e">
        <f ca="1">SQRT($B$9)*_xlfn.STDEV.S(AI1022:OFFSET(AI1022,$B$5-1,0))</f>
        <v>#DIV/0!</v>
      </c>
      <c r="AK1022" s="4" t="e">
        <f ca="1">SQRT($B$9)*_xlfn.STDEV.S(AI1022:OFFSET(AI1022,$B$6-1,0))</f>
        <v>#DIV/0!</v>
      </c>
      <c r="AL1022" s="4" t="e">
        <f ca="1">SQRT($B$9)*_xlfn.STDEV.S(AI1022:OFFSET(AI1022,$B$7-1,0))</f>
        <v>#DIV/0!</v>
      </c>
      <c r="AM1022" s="4" t="e">
        <f ca="1">SQRT($B$9)*_xlfn.STDEV.S(AI1022:OFFSET(AI1022,$B$8-1,0))</f>
        <v>#DIV/0!</v>
      </c>
    </row>
    <row r="1023" spans="11:39" x14ac:dyDescent="0.2">
      <c r="K1023" s="3" t="e">
        <f t="shared" si="84"/>
        <v>#DIV/0!</v>
      </c>
      <c r="L1023" s="3" t="e">
        <f ca="1">SQRT(AVERAGE(K1023:OFFSET(K1023,$B$5-1,0))*$B$9/(4*LN(2)))</f>
        <v>#DIV/0!</v>
      </c>
      <c r="M1023" s="3" t="e">
        <f ca="1">SQRT(AVERAGE(K1023:OFFSET(K1023,$B$6-1,0))*$B$9/(4*LN(2)))</f>
        <v>#DIV/0!</v>
      </c>
      <c r="N1023" s="3" t="e">
        <f ca="1">SQRT(AVERAGE(K1023:OFFSET(K1023,$B$7-1,0))*$B$9/(4*LN(2)))</f>
        <v>#DIV/0!</v>
      </c>
      <c r="O1023" s="3" t="e">
        <f ca="1">SQRT(AVERAGE(K1023:OFFSET(K1023,$B$8-1,0))*$B$9/(4*LN(2)))</f>
        <v>#DIV/0!</v>
      </c>
      <c r="Q1023" s="5" t="e">
        <f t="shared" si="83"/>
        <v>#DIV/0!</v>
      </c>
      <c r="R1023" s="5" t="e">
        <f ca="1">SQRT($B$9*AVERAGE((Q1023:OFFSET(Q1023,$B$5-1,0))))</f>
        <v>#DIV/0!</v>
      </c>
      <c r="S1023" s="5" t="e">
        <f ca="1">SQRT($B$9*AVERAGE((Q1023:OFFSET(Q1023,$B$6-1,0))))</f>
        <v>#DIV/0!</v>
      </c>
      <c r="T1023" s="5" t="e">
        <f ca="1">SQRT($B$9*AVERAGE((Q1023:OFFSET(Q1023,$B$7-1,0))))</f>
        <v>#DIV/0!</v>
      </c>
      <c r="U1023" s="5" t="e">
        <f ca="1">SQRT($B$9*AVERAGE((Q1023:OFFSET(Q1023,$B$8-1,0))))</f>
        <v>#DIV/0!</v>
      </c>
      <c r="W1023" s="6" t="e">
        <f t="shared" si="87"/>
        <v>#DIV/0!</v>
      </c>
      <c r="X1023" s="6" t="e">
        <f ca="1">SQRT($B$9*AVERAGE(W1023:OFFSET(W1023,$B$5-1,0)))</f>
        <v>#DIV/0!</v>
      </c>
      <c r="Y1023" s="6" t="e">
        <f ca="1">SQRT($B$9*AVERAGE(W1023:OFFSET(W1023,$B$6-1,0)))</f>
        <v>#DIV/0!</v>
      </c>
      <c r="Z1023" s="6" t="e">
        <f ca="1">SQRT($B$9*AVERAGE(W1023:OFFSET(W1023,$B$7-1,0)))</f>
        <v>#DIV/0!</v>
      </c>
      <c r="AA1023" s="6" t="e">
        <f ca="1">SQRT($B$9*AVERAGE(W1023:OFFSET(W1023,$B$8-1,0)))</f>
        <v>#DIV/0!</v>
      </c>
      <c r="AC1023" s="34" t="e">
        <f t="shared" si="85"/>
        <v>#DIV/0!</v>
      </c>
      <c r="AD1023" s="34" t="e">
        <f ca="1">SQRT($B$9*SUM(AC1023:OFFSET(AC1023,$B$5-1,0))/($B$5-1))</f>
        <v>#DIV/0!</v>
      </c>
      <c r="AE1023" s="34" t="e">
        <f ca="1">SQRT($B$9*SUM(AC1023:OFFSET(AC1023,$B$6-1,0))/($B$6-1))</f>
        <v>#DIV/0!</v>
      </c>
      <c r="AF1023" s="34" t="e">
        <f ca="1">SQRT($B$9*SUM(AC1023:OFFSET(AC1023,$B$7-1,0))/($B$7-1))</f>
        <v>#DIV/0!</v>
      </c>
      <c r="AG1023" s="34" t="e">
        <f ca="1">SQRT($B$9*SUM(AC1023:OFFSET(AC1023,$B$8-1,0))/($B$8-1))</f>
        <v>#DIV/0!</v>
      </c>
      <c r="AI1023" s="1" t="e">
        <f t="shared" si="86"/>
        <v>#DIV/0!</v>
      </c>
      <c r="AJ1023" s="4" t="e">
        <f ca="1">SQRT($B$9)*_xlfn.STDEV.S(AI1023:OFFSET(AI1023,$B$5-1,0))</f>
        <v>#DIV/0!</v>
      </c>
      <c r="AK1023" s="4" t="e">
        <f ca="1">SQRT($B$9)*_xlfn.STDEV.S(AI1023:OFFSET(AI1023,$B$6-1,0))</f>
        <v>#DIV/0!</v>
      </c>
      <c r="AL1023" s="4" t="e">
        <f ca="1">SQRT($B$9)*_xlfn.STDEV.S(AI1023:OFFSET(AI1023,$B$7-1,0))</f>
        <v>#DIV/0!</v>
      </c>
      <c r="AM1023" s="4" t="e">
        <f ca="1">SQRT($B$9)*_xlfn.STDEV.S(AI1023:OFFSET(AI1023,$B$8-1,0))</f>
        <v>#DIV/0!</v>
      </c>
    </row>
    <row r="1024" spans="11:39" x14ac:dyDescent="0.2">
      <c r="K1024" s="3" t="e">
        <f t="shared" si="84"/>
        <v>#DIV/0!</v>
      </c>
      <c r="L1024" s="3" t="e">
        <f ca="1">SQRT(AVERAGE(K1024:OFFSET(K1024,$B$5-1,0))*$B$9/(4*LN(2)))</f>
        <v>#DIV/0!</v>
      </c>
      <c r="M1024" s="3" t="e">
        <f ca="1">SQRT(AVERAGE(K1024:OFFSET(K1024,$B$6-1,0))*$B$9/(4*LN(2)))</f>
        <v>#DIV/0!</v>
      </c>
      <c r="N1024" s="3" t="e">
        <f ca="1">SQRT(AVERAGE(K1024:OFFSET(K1024,$B$7-1,0))*$B$9/(4*LN(2)))</f>
        <v>#DIV/0!</v>
      </c>
      <c r="O1024" s="3" t="e">
        <f ca="1">SQRT(AVERAGE(K1024:OFFSET(K1024,$B$8-1,0))*$B$9/(4*LN(2)))</f>
        <v>#DIV/0!</v>
      </c>
      <c r="Q1024" s="5" t="e">
        <f t="shared" si="83"/>
        <v>#DIV/0!</v>
      </c>
      <c r="R1024" s="5" t="e">
        <f ca="1">SQRT($B$9*AVERAGE((Q1024:OFFSET(Q1024,$B$5-1,0))))</f>
        <v>#DIV/0!</v>
      </c>
      <c r="S1024" s="5" t="e">
        <f ca="1">SQRT($B$9*AVERAGE((Q1024:OFFSET(Q1024,$B$6-1,0))))</f>
        <v>#DIV/0!</v>
      </c>
      <c r="T1024" s="5" t="e">
        <f ca="1">SQRT($B$9*AVERAGE((Q1024:OFFSET(Q1024,$B$7-1,0))))</f>
        <v>#DIV/0!</v>
      </c>
      <c r="U1024" s="5" t="e">
        <f ca="1">SQRT($B$9*AVERAGE((Q1024:OFFSET(Q1024,$B$8-1,0))))</f>
        <v>#DIV/0!</v>
      </c>
      <c r="W1024" s="6" t="e">
        <f t="shared" si="87"/>
        <v>#DIV/0!</v>
      </c>
      <c r="X1024" s="6" t="e">
        <f ca="1">SQRT($B$9*AVERAGE(W1024:OFFSET(W1024,$B$5-1,0)))</f>
        <v>#DIV/0!</v>
      </c>
      <c r="Y1024" s="6" t="e">
        <f ca="1">SQRT($B$9*AVERAGE(W1024:OFFSET(W1024,$B$6-1,0)))</f>
        <v>#DIV/0!</v>
      </c>
      <c r="Z1024" s="6" t="e">
        <f ca="1">SQRT($B$9*AVERAGE(W1024:OFFSET(W1024,$B$7-1,0)))</f>
        <v>#DIV/0!</v>
      </c>
      <c r="AA1024" s="6" t="e">
        <f ca="1">SQRT($B$9*AVERAGE(W1024:OFFSET(W1024,$B$8-1,0)))</f>
        <v>#DIV/0!</v>
      </c>
      <c r="AC1024" s="34" t="e">
        <f t="shared" si="85"/>
        <v>#DIV/0!</v>
      </c>
      <c r="AD1024" s="34" t="e">
        <f ca="1">SQRT($B$9*SUM(AC1024:OFFSET(AC1024,$B$5-1,0))/($B$5-1))</f>
        <v>#DIV/0!</v>
      </c>
      <c r="AE1024" s="34" t="e">
        <f ca="1">SQRT($B$9*SUM(AC1024:OFFSET(AC1024,$B$6-1,0))/($B$6-1))</f>
        <v>#DIV/0!</v>
      </c>
      <c r="AF1024" s="34" t="e">
        <f ca="1">SQRT($B$9*SUM(AC1024:OFFSET(AC1024,$B$7-1,0))/($B$7-1))</f>
        <v>#DIV/0!</v>
      </c>
      <c r="AG1024" s="34" t="e">
        <f ca="1">SQRT($B$9*SUM(AC1024:OFFSET(AC1024,$B$8-1,0))/($B$8-1))</f>
        <v>#DIV/0!</v>
      </c>
      <c r="AI1024" s="1" t="e">
        <f t="shared" si="86"/>
        <v>#DIV/0!</v>
      </c>
      <c r="AJ1024" s="4" t="e">
        <f ca="1">SQRT($B$9)*_xlfn.STDEV.S(AI1024:OFFSET(AI1024,$B$5-1,0))</f>
        <v>#DIV/0!</v>
      </c>
      <c r="AK1024" s="4" t="e">
        <f ca="1">SQRT($B$9)*_xlfn.STDEV.S(AI1024:OFFSET(AI1024,$B$6-1,0))</f>
        <v>#DIV/0!</v>
      </c>
      <c r="AL1024" s="4" t="e">
        <f ca="1">SQRT($B$9)*_xlfn.STDEV.S(AI1024:OFFSET(AI1024,$B$7-1,0))</f>
        <v>#DIV/0!</v>
      </c>
      <c r="AM1024" s="4" t="e">
        <f ca="1">SQRT($B$9)*_xlfn.STDEV.S(AI1024:OFFSET(AI1024,$B$8-1,0))</f>
        <v>#DIV/0!</v>
      </c>
    </row>
    <row r="1025" spans="11:39" x14ac:dyDescent="0.2">
      <c r="K1025" s="3" t="e">
        <f t="shared" si="84"/>
        <v>#DIV/0!</v>
      </c>
      <c r="L1025" s="3" t="e">
        <f ca="1">SQRT(AVERAGE(K1025:OFFSET(K1025,$B$5-1,0))*$B$9/(4*LN(2)))</f>
        <v>#DIV/0!</v>
      </c>
      <c r="M1025" s="3" t="e">
        <f ca="1">SQRT(AVERAGE(K1025:OFFSET(K1025,$B$6-1,0))*$B$9/(4*LN(2)))</f>
        <v>#DIV/0!</v>
      </c>
      <c r="N1025" s="3" t="e">
        <f ca="1">SQRT(AVERAGE(K1025:OFFSET(K1025,$B$7-1,0))*$B$9/(4*LN(2)))</f>
        <v>#DIV/0!</v>
      </c>
      <c r="O1025" s="3" t="e">
        <f ca="1">SQRT(AVERAGE(K1025:OFFSET(K1025,$B$8-1,0))*$B$9/(4*LN(2)))</f>
        <v>#DIV/0!</v>
      </c>
      <c r="Q1025" s="5" t="e">
        <f t="shared" si="83"/>
        <v>#DIV/0!</v>
      </c>
      <c r="R1025" s="5" t="e">
        <f ca="1">SQRT($B$9*AVERAGE((Q1025:OFFSET(Q1025,$B$5-1,0))))</f>
        <v>#DIV/0!</v>
      </c>
      <c r="S1025" s="5" t="e">
        <f ca="1">SQRT($B$9*AVERAGE((Q1025:OFFSET(Q1025,$B$6-1,0))))</f>
        <v>#DIV/0!</v>
      </c>
      <c r="T1025" s="5" t="e">
        <f ca="1">SQRT($B$9*AVERAGE((Q1025:OFFSET(Q1025,$B$7-1,0))))</f>
        <v>#DIV/0!</v>
      </c>
      <c r="U1025" s="5" t="e">
        <f ca="1">SQRT($B$9*AVERAGE((Q1025:OFFSET(Q1025,$B$8-1,0))))</f>
        <v>#DIV/0!</v>
      </c>
      <c r="W1025" s="6" t="e">
        <f t="shared" si="87"/>
        <v>#DIV/0!</v>
      </c>
      <c r="X1025" s="6" t="e">
        <f ca="1">SQRT($B$9*AVERAGE(W1025:OFFSET(W1025,$B$5-1,0)))</f>
        <v>#DIV/0!</v>
      </c>
      <c r="Y1025" s="6" t="e">
        <f ca="1">SQRT($B$9*AVERAGE(W1025:OFFSET(W1025,$B$6-1,0)))</f>
        <v>#DIV/0!</v>
      </c>
      <c r="Z1025" s="6" t="e">
        <f ca="1">SQRT($B$9*AVERAGE(W1025:OFFSET(W1025,$B$7-1,0)))</f>
        <v>#DIV/0!</v>
      </c>
      <c r="AA1025" s="6" t="e">
        <f ca="1">SQRT($B$9*AVERAGE(W1025:OFFSET(W1025,$B$8-1,0)))</f>
        <v>#DIV/0!</v>
      </c>
      <c r="AC1025" s="34" t="e">
        <f t="shared" si="85"/>
        <v>#DIV/0!</v>
      </c>
      <c r="AD1025" s="34" t="e">
        <f ca="1">SQRT($B$9*SUM(AC1025:OFFSET(AC1025,$B$5-1,0))/($B$5-1))</f>
        <v>#DIV/0!</v>
      </c>
      <c r="AE1025" s="34" t="e">
        <f ca="1">SQRT($B$9*SUM(AC1025:OFFSET(AC1025,$B$6-1,0))/($B$6-1))</f>
        <v>#DIV/0!</v>
      </c>
      <c r="AF1025" s="34" t="e">
        <f ca="1">SQRT($B$9*SUM(AC1025:OFFSET(AC1025,$B$7-1,0))/($B$7-1))</f>
        <v>#DIV/0!</v>
      </c>
      <c r="AG1025" s="34" t="e">
        <f ca="1">SQRT($B$9*SUM(AC1025:OFFSET(AC1025,$B$8-1,0))/($B$8-1))</f>
        <v>#DIV/0!</v>
      </c>
      <c r="AI1025" s="1" t="e">
        <f t="shared" si="86"/>
        <v>#DIV/0!</v>
      </c>
      <c r="AJ1025" s="4" t="e">
        <f ca="1">SQRT($B$9)*_xlfn.STDEV.S(AI1025:OFFSET(AI1025,$B$5-1,0))</f>
        <v>#DIV/0!</v>
      </c>
      <c r="AK1025" s="4" t="e">
        <f ca="1">SQRT($B$9)*_xlfn.STDEV.S(AI1025:OFFSET(AI1025,$B$6-1,0))</f>
        <v>#DIV/0!</v>
      </c>
      <c r="AL1025" s="4" t="e">
        <f ca="1">SQRT($B$9)*_xlfn.STDEV.S(AI1025:OFFSET(AI1025,$B$7-1,0))</f>
        <v>#DIV/0!</v>
      </c>
      <c r="AM1025" s="4" t="e">
        <f ca="1">SQRT($B$9)*_xlfn.STDEV.S(AI1025:OFFSET(AI1025,$B$8-1,0))</f>
        <v>#DIV/0!</v>
      </c>
    </row>
    <row r="1026" spans="11:39" x14ac:dyDescent="0.2">
      <c r="K1026" s="3" t="e">
        <f t="shared" si="84"/>
        <v>#DIV/0!</v>
      </c>
      <c r="L1026" s="3" t="e">
        <f ca="1">SQRT(AVERAGE(K1026:OFFSET(K1026,$B$5-1,0))*$B$9/(4*LN(2)))</f>
        <v>#DIV/0!</v>
      </c>
      <c r="M1026" s="3" t="e">
        <f ca="1">SQRT(AVERAGE(K1026:OFFSET(K1026,$B$6-1,0))*$B$9/(4*LN(2)))</f>
        <v>#DIV/0!</v>
      </c>
      <c r="N1026" s="3" t="e">
        <f ca="1">SQRT(AVERAGE(K1026:OFFSET(K1026,$B$7-1,0))*$B$9/(4*LN(2)))</f>
        <v>#DIV/0!</v>
      </c>
      <c r="O1026" s="3" t="e">
        <f ca="1">SQRT(AVERAGE(K1026:OFFSET(K1026,$B$8-1,0))*$B$9/(4*LN(2)))</f>
        <v>#DIV/0!</v>
      </c>
      <c r="Q1026" s="5" t="e">
        <f t="shared" si="83"/>
        <v>#DIV/0!</v>
      </c>
      <c r="R1026" s="5" t="e">
        <f ca="1">SQRT($B$9*AVERAGE((Q1026:OFFSET(Q1026,$B$5-1,0))))</f>
        <v>#DIV/0!</v>
      </c>
      <c r="S1026" s="5" t="e">
        <f ca="1">SQRT($B$9*AVERAGE((Q1026:OFFSET(Q1026,$B$6-1,0))))</f>
        <v>#DIV/0!</v>
      </c>
      <c r="T1026" s="5" t="e">
        <f ca="1">SQRT($B$9*AVERAGE((Q1026:OFFSET(Q1026,$B$7-1,0))))</f>
        <v>#DIV/0!</v>
      </c>
      <c r="U1026" s="5" t="e">
        <f ca="1">SQRT($B$9*AVERAGE((Q1026:OFFSET(Q1026,$B$8-1,0))))</f>
        <v>#DIV/0!</v>
      </c>
      <c r="W1026" s="6" t="e">
        <f t="shared" si="87"/>
        <v>#DIV/0!</v>
      </c>
      <c r="X1026" s="6" t="e">
        <f ca="1">SQRT($B$9*AVERAGE(W1026:OFFSET(W1026,$B$5-1,0)))</f>
        <v>#DIV/0!</v>
      </c>
      <c r="Y1026" s="6" t="e">
        <f ca="1">SQRT($B$9*AVERAGE(W1026:OFFSET(W1026,$B$6-1,0)))</f>
        <v>#DIV/0!</v>
      </c>
      <c r="Z1026" s="6" t="e">
        <f ca="1">SQRT($B$9*AVERAGE(W1026:OFFSET(W1026,$B$7-1,0)))</f>
        <v>#DIV/0!</v>
      </c>
      <c r="AA1026" s="6" t="e">
        <f ca="1">SQRT($B$9*AVERAGE(W1026:OFFSET(W1026,$B$8-1,0)))</f>
        <v>#DIV/0!</v>
      </c>
      <c r="AC1026" s="34" t="e">
        <f t="shared" si="85"/>
        <v>#DIV/0!</v>
      </c>
      <c r="AD1026" s="34" t="e">
        <f ca="1">SQRT($B$9*SUM(AC1026:OFFSET(AC1026,$B$5-1,0))/($B$5-1))</f>
        <v>#DIV/0!</v>
      </c>
      <c r="AE1026" s="34" t="e">
        <f ca="1">SQRT($B$9*SUM(AC1026:OFFSET(AC1026,$B$6-1,0))/($B$6-1))</f>
        <v>#DIV/0!</v>
      </c>
      <c r="AF1026" s="34" t="e">
        <f ca="1">SQRT($B$9*SUM(AC1026:OFFSET(AC1026,$B$7-1,0))/($B$7-1))</f>
        <v>#DIV/0!</v>
      </c>
      <c r="AG1026" s="34" t="e">
        <f ca="1">SQRT($B$9*SUM(AC1026:OFFSET(AC1026,$B$8-1,0))/($B$8-1))</f>
        <v>#DIV/0!</v>
      </c>
      <c r="AI1026" s="1" t="e">
        <f t="shared" si="86"/>
        <v>#DIV/0!</v>
      </c>
      <c r="AJ1026" s="4" t="e">
        <f ca="1">SQRT($B$9)*_xlfn.STDEV.S(AI1026:OFFSET(AI1026,$B$5-1,0))</f>
        <v>#DIV/0!</v>
      </c>
      <c r="AK1026" s="4" t="e">
        <f ca="1">SQRT($B$9)*_xlfn.STDEV.S(AI1026:OFFSET(AI1026,$B$6-1,0))</f>
        <v>#DIV/0!</v>
      </c>
      <c r="AL1026" s="4" t="e">
        <f ca="1">SQRT($B$9)*_xlfn.STDEV.S(AI1026:OFFSET(AI1026,$B$7-1,0))</f>
        <v>#DIV/0!</v>
      </c>
      <c r="AM1026" s="4" t="e">
        <f ca="1">SQRT($B$9)*_xlfn.STDEV.S(AI1026:OFFSET(AI1026,$B$8-1,0))</f>
        <v>#DIV/0!</v>
      </c>
    </row>
    <row r="1027" spans="11:39" x14ac:dyDescent="0.2">
      <c r="K1027" s="3" t="e">
        <f t="shared" si="84"/>
        <v>#DIV/0!</v>
      </c>
      <c r="L1027" s="3" t="e">
        <f ca="1">SQRT(AVERAGE(K1027:OFFSET(K1027,$B$5-1,0))*$B$9/(4*LN(2)))</f>
        <v>#DIV/0!</v>
      </c>
      <c r="M1027" s="3" t="e">
        <f ca="1">SQRT(AVERAGE(K1027:OFFSET(K1027,$B$6-1,0))*$B$9/(4*LN(2)))</f>
        <v>#DIV/0!</v>
      </c>
      <c r="N1027" s="3" t="e">
        <f ca="1">SQRT(AVERAGE(K1027:OFFSET(K1027,$B$7-1,0))*$B$9/(4*LN(2)))</f>
        <v>#DIV/0!</v>
      </c>
      <c r="O1027" s="3" t="e">
        <f ca="1">SQRT(AVERAGE(K1027:OFFSET(K1027,$B$8-1,0))*$B$9/(4*LN(2)))</f>
        <v>#DIV/0!</v>
      </c>
      <c r="Q1027" s="5" t="e">
        <f t="shared" si="83"/>
        <v>#DIV/0!</v>
      </c>
      <c r="R1027" s="5" t="e">
        <f ca="1">SQRT($B$9*AVERAGE((Q1027:OFFSET(Q1027,$B$5-1,0))))</f>
        <v>#DIV/0!</v>
      </c>
      <c r="S1027" s="5" t="e">
        <f ca="1">SQRT($B$9*AVERAGE((Q1027:OFFSET(Q1027,$B$6-1,0))))</f>
        <v>#DIV/0!</v>
      </c>
      <c r="T1027" s="5" t="e">
        <f ca="1">SQRT($B$9*AVERAGE((Q1027:OFFSET(Q1027,$B$7-1,0))))</f>
        <v>#DIV/0!</v>
      </c>
      <c r="U1027" s="5" t="e">
        <f ca="1">SQRT($B$9*AVERAGE((Q1027:OFFSET(Q1027,$B$8-1,0))))</f>
        <v>#DIV/0!</v>
      </c>
      <c r="W1027" s="6" t="e">
        <f t="shared" si="87"/>
        <v>#DIV/0!</v>
      </c>
      <c r="X1027" s="6" t="e">
        <f ca="1">SQRT($B$9*AVERAGE(W1027:OFFSET(W1027,$B$5-1,0)))</f>
        <v>#DIV/0!</v>
      </c>
      <c r="Y1027" s="6" t="e">
        <f ca="1">SQRT($B$9*AVERAGE(W1027:OFFSET(W1027,$B$6-1,0)))</f>
        <v>#DIV/0!</v>
      </c>
      <c r="Z1027" s="6" t="e">
        <f ca="1">SQRT($B$9*AVERAGE(W1027:OFFSET(W1027,$B$7-1,0)))</f>
        <v>#DIV/0!</v>
      </c>
      <c r="AA1027" s="6" t="e">
        <f ca="1">SQRT($B$9*AVERAGE(W1027:OFFSET(W1027,$B$8-1,0)))</f>
        <v>#DIV/0!</v>
      </c>
      <c r="AC1027" s="34" t="e">
        <f t="shared" si="85"/>
        <v>#DIV/0!</v>
      </c>
      <c r="AD1027" s="34" t="e">
        <f ca="1">SQRT($B$9*SUM(AC1027:OFFSET(AC1027,$B$5-1,0))/($B$5-1))</f>
        <v>#DIV/0!</v>
      </c>
      <c r="AE1027" s="34" t="e">
        <f ca="1">SQRT($B$9*SUM(AC1027:OFFSET(AC1027,$B$6-1,0))/($B$6-1))</f>
        <v>#DIV/0!</v>
      </c>
      <c r="AF1027" s="34" t="e">
        <f ca="1">SQRT($B$9*SUM(AC1027:OFFSET(AC1027,$B$7-1,0))/($B$7-1))</f>
        <v>#DIV/0!</v>
      </c>
      <c r="AG1027" s="34" t="e">
        <f ca="1">SQRT($B$9*SUM(AC1027:OFFSET(AC1027,$B$8-1,0))/($B$8-1))</f>
        <v>#DIV/0!</v>
      </c>
      <c r="AI1027" s="1" t="e">
        <f t="shared" si="86"/>
        <v>#DIV/0!</v>
      </c>
      <c r="AJ1027" s="4" t="e">
        <f ca="1">SQRT($B$9)*_xlfn.STDEV.S(AI1027:OFFSET(AI1027,$B$5-1,0))</f>
        <v>#DIV/0!</v>
      </c>
      <c r="AK1027" s="4" t="e">
        <f ca="1">SQRT($B$9)*_xlfn.STDEV.S(AI1027:OFFSET(AI1027,$B$6-1,0))</f>
        <v>#DIV/0!</v>
      </c>
      <c r="AL1027" s="4" t="e">
        <f ca="1">SQRT($B$9)*_xlfn.STDEV.S(AI1027:OFFSET(AI1027,$B$7-1,0))</f>
        <v>#DIV/0!</v>
      </c>
      <c r="AM1027" s="4" t="e">
        <f ca="1">SQRT($B$9)*_xlfn.STDEV.S(AI1027:OFFSET(AI1027,$B$8-1,0))</f>
        <v>#DIV/0!</v>
      </c>
    </row>
    <row r="1028" spans="11:39" x14ac:dyDescent="0.2">
      <c r="K1028" s="3" t="e">
        <f t="shared" si="84"/>
        <v>#DIV/0!</v>
      </c>
      <c r="L1028" s="3" t="e">
        <f ca="1">SQRT(AVERAGE(K1028:OFFSET(K1028,$B$5-1,0))*$B$9/(4*LN(2)))</f>
        <v>#DIV/0!</v>
      </c>
      <c r="M1028" s="3" t="e">
        <f ca="1">SQRT(AVERAGE(K1028:OFFSET(K1028,$B$6-1,0))*$B$9/(4*LN(2)))</f>
        <v>#DIV/0!</v>
      </c>
      <c r="N1028" s="3" t="e">
        <f ca="1">SQRT(AVERAGE(K1028:OFFSET(K1028,$B$7-1,0))*$B$9/(4*LN(2)))</f>
        <v>#DIV/0!</v>
      </c>
      <c r="O1028" s="3" t="e">
        <f ca="1">SQRT(AVERAGE(K1028:OFFSET(K1028,$B$8-1,0))*$B$9/(4*LN(2)))</f>
        <v>#DIV/0!</v>
      </c>
      <c r="Q1028" s="5" t="e">
        <f t="shared" si="83"/>
        <v>#DIV/0!</v>
      </c>
      <c r="R1028" s="5" t="e">
        <f ca="1">SQRT($B$9*AVERAGE((Q1028:OFFSET(Q1028,$B$5-1,0))))</f>
        <v>#DIV/0!</v>
      </c>
      <c r="S1028" s="5" t="e">
        <f ca="1">SQRT($B$9*AVERAGE((Q1028:OFFSET(Q1028,$B$6-1,0))))</f>
        <v>#DIV/0!</v>
      </c>
      <c r="T1028" s="5" t="e">
        <f ca="1">SQRT($B$9*AVERAGE((Q1028:OFFSET(Q1028,$B$7-1,0))))</f>
        <v>#DIV/0!</v>
      </c>
      <c r="U1028" s="5" t="e">
        <f ca="1">SQRT($B$9*AVERAGE((Q1028:OFFSET(Q1028,$B$8-1,0))))</f>
        <v>#DIV/0!</v>
      </c>
      <c r="W1028" s="6" t="e">
        <f t="shared" si="87"/>
        <v>#DIV/0!</v>
      </c>
      <c r="X1028" s="6" t="e">
        <f ca="1">SQRT($B$9*AVERAGE(W1028:OFFSET(W1028,$B$5-1,0)))</f>
        <v>#DIV/0!</v>
      </c>
      <c r="Y1028" s="6" t="e">
        <f ca="1">SQRT($B$9*AVERAGE(W1028:OFFSET(W1028,$B$6-1,0)))</f>
        <v>#DIV/0!</v>
      </c>
      <c r="Z1028" s="6" t="e">
        <f ca="1">SQRT($B$9*AVERAGE(W1028:OFFSET(W1028,$B$7-1,0)))</f>
        <v>#DIV/0!</v>
      </c>
      <c r="AA1028" s="6" t="e">
        <f ca="1">SQRT($B$9*AVERAGE(W1028:OFFSET(W1028,$B$8-1,0)))</f>
        <v>#DIV/0!</v>
      </c>
      <c r="AC1028" s="34" t="e">
        <f t="shared" si="85"/>
        <v>#DIV/0!</v>
      </c>
      <c r="AD1028" s="34" t="e">
        <f ca="1">SQRT($B$9*SUM(AC1028:OFFSET(AC1028,$B$5-1,0))/($B$5-1))</f>
        <v>#DIV/0!</v>
      </c>
      <c r="AE1028" s="34" t="e">
        <f ca="1">SQRT($B$9*SUM(AC1028:OFFSET(AC1028,$B$6-1,0))/($B$6-1))</f>
        <v>#DIV/0!</v>
      </c>
      <c r="AF1028" s="34" t="e">
        <f ca="1">SQRT($B$9*SUM(AC1028:OFFSET(AC1028,$B$7-1,0))/($B$7-1))</f>
        <v>#DIV/0!</v>
      </c>
      <c r="AG1028" s="34" t="e">
        <f ca="1">SQRT($B$9*SUM(AC1028:OFFSET(AC1028,$B$8-1,0))/($B$8-1))</f>
        <v>#DIV/0!</v>
      </c>
      <c r="AI1028" s="1" t="e">
        <f t="shared" si="86"/>
        <v>#DIV/0!</v>
      </c>
      <c r="AJ1028" s="4" t="e">
        <f ca="1">SQRT($B$9)*_xlfn.STDEV.S(AI1028:OFFSET(AI1028,$B$5-1,0))</f>
        <v>#DIV/0!</v>
      </c>
      <c r="AK1028" s="4" t="e">
        <f ca="1">SQRT($B$9)*_xlfn.STDEV.S(AI1028:OFFSET(AI1028,$B$6-1,0))</f>
        <v>#DIV/0!</v>
      </c>
      <c r="AL1028" s="4" t="e">
        <f ca="1">SQRT($B$9)*_xlfn.STDEV.S(AI1028:OFFSET(AI1028,$B$7-1,0))</f>
        <v>#DIV/0!</v>
      </c>
      <c r="AM1028" s="4" t="e">
        <f ca="1">SQRT($B$9)*_xlfn.STDEV.S(AI1028:OFFSET(AI1028,$B$8-1,0))</f>
        <v>#DIV/0!</v>
      </c>
    </row>
    <row r="1029" spans="11:39" x14ac:dyDescent="0.2">
      <c r="K1029" s="3" t="e">
        <f t="shared" si="84"/>
        <v>#DIV/0!</v>
      </c>
      <c r="L1029" s="3" t="e">
        <f ca="1">SQRT(AVERAGE(K1029:OFFSET(K1029,$B$5-1,0))*$B$9/(4*LN(2)))</f>
        <v>#DIV/0!</v>
      </c>
      <c r="M1029" s="3" t="e">
        <f ca="1">SQRT(AVERAGE(K1029:OFFSET(K1029,$B$6-1,0))*$B$9/(4*LN(2)))</f>
        <v>#DIV/0!</v>
      </c>
      <c r="N1029" s="3" t="e">
        <f ca="1">SQRT(AVERAGE(K1029:OFFSET(K1029,$B$7-1,0))*$B$9/(4*LN(2)))</f>
        <v>#DIV/0!</v>
      </c>
      <c r="O1029" s="3" t="e">
        <f ca="1">SQRT(AVERAGE(K1029:OFFSET(K1029,$B$8-1,0))*$B$9/(4*LN(2)))</f>
        <v>#DIV/0!</v>
      </c>
      <c r="Q1029" s="5" t="e">
        <f t="shared" ref="Q1029:Q1092" si="88">0.511*(LN(G1029/H1029))^2-0.019*(LN(I1029/F1029)*LN(G1029*H1029/F1029^2)-2*LN(G1029/F1029)*LN(H1029/F1029))-0.383*(LN(I1029/F1029))^2</f>
        <v>#DIV/0!</v>
      </c>
      <c r="R1029" s="5" t="e">
        <f ca="1">SQRT($B$9*AVERAGE((Q1029:OFFSET(Q1029,$B$5-1,0))))</f>
        <v>#DIV/0!</v>
      </c>
      <c r="S1029" s="5" t="e">
        <f ca="1">SQRT($B$9*AVERAGE((Q1029:OFFSET(Q1029,$B$6-1,0))))</f>
        <v>#DIV/0!</v>
      </c>
      <c r="T1029" s="5" t="e">
        <f ca="1">SQRT($B$9*AVERAGE((Q1029:OFFSET(Q1029,$B$7-1,0))))</f>
        <v>#DIV/0!</v>
      </c>
      <c r="U1029" s="5" t="e">
        <f ca="1">SQRT($B$9*AVERAGE((Q1029:OFFSET(Q1029,$B$8-1,0))))</f>
        <v>#DIV/0!</v>
      </c>
      <c r="W1029" s="6" t="e">
        <f t="shared" si="87"/>
        <v>#DIV/0!</v>
      </c>
      <c r="X1029" s="6" t="e">
        <f ca="1">SQRT($B$9*AVERAGE(W1029:OFFSET(W1029,$B$5-1,0)))</f>
        <v>#DIV/0!</v>
      </c>
      <c r="Y1029" s="6" t="e">
        <f ca="1">SQRT($B$9*AVERAGE(W1029:OFFSET(W1029,$B$6-1,0)))</f>
        <v>#DIV/0!</v>
      </c>
      <c r="Z1029" s="6" t="e">
        <f ca="1">SQRT($B$9*AVERAGE(W1029:OFFSET(W1029,$B$7-1,0)))</f>
        <v>#DIV/0!</v>
      </c>
      <c r="AA1029" s="6" t="e">
        <f ca="1">SQRT($B$9*AVERAGE(W1029:OFFSET(W1029,$B$8-1,0)))</f>
        <v>#DIV/0!</v>
      </c>
      <c r="AC1029" s="34" t="e">
        <f t="shared" si="85"/>
        <v>#DIV/0!</v>
      </c>
      <c r="AD1029" s="34" t="e">
        <f ca="1">SQRT($B$9*SUM(AC1029:OFFSET(AC1029,$B$5-1,0))/($B$5-1))</f>
        <v>#DIV/0!</v>
      </c>
      <c r="AE1029" s="34" t="e">
        <f ca="1">SQRT($B$9*SUM(AC1029:OFFSET(AC1029,$B$6-1,0))/($B$6-1))</f>
        <v>#DIV/0!</v>
      </c>
      <c r="AF1029" s="34" t="e">
        <f ca="1">SQRT($B$9*SUM(AC1029:OFFSET(AC1029,$B$7-1,0))/($B$7-1))</f>
        <v>#DIV/0!</v>
      </c>
      <c r="AG1029" s="34" t="e">
        <f ca="1">SQRT($B$9*SUM(AC1029:OFFSET(AC1029,$B$8-1,0))/($B$8-1))</f>
        <v>#DIV/0!</v>
      </c>
      <c r="AI1029" s="1" t="e">
        <f t="shared" si="86"/>
        <v>#DIV/0!</v>
      </c>
      <c r="AJ1029" s="4" t="e">
        <f ca="1">SQRT($B$9)*_xlfn.STDEV.S(AI1029:OFFSET(AI1029,$B$5-1,0))</f>
        <v>#DIV/0!</v>
      </c>
      <c r="AK1029" s="4" t="e">
        <f ca="1">SQRT($B$9)*_xlfn.STDEV.S(AI1029:OFFSET(AI1029,$B$6-1,0))</f>
        <v>#DIV/0!</v>
      </c>
      <c r="AL1029" s="4" t="e">
        <f ca="1">SQRT($B$9)*_xlfn.STDEV.S(AI1029:OFFSET(AI1029,$B$7-1,0))</f>
        <v>#DIV/0!</v>
      </c>
      <c r="AM1029" s="4" t="e">
        <f ca="1">SQRT($B$9)*_xlfn.STDEV.S(AI1029:OFFSET(AI1029,$B$8-1,0))</f>
        <v>#DIV/0!</v>
      </c>
    </row>
    <row r="1030" spans="11:39" x14ac:dyDescent="0.2">
      <c r="K1030" s="3" t="e">
        <f t="shared" ref="K1030:K1093" si="89">(LN(G1030/H1030))^2</f>
        <v>#DIV/0!</v>
      </c>
      <c r="L1030" s="3" t="e">
        <f ca="1">SQRT(AVERAGE(K1030:OFFSET(K1030,$B$5-1,0))*$B$9/(4*LN(2)))</f>
        <v>#DIV/0!</v>
      </c>
      <c r="M1030" s="3" t="e">
        <f ca="1">SQRT(AVERAGE(K1030:OFFSET(K1030,$B$6-1,0))*$B$9/(4*LN(2)))</f>
        <v>#DIV/0!</v>
      </c>
      <c r="N1030" s="3" t="e">
        <f ca="1">SQRT(AVERAGE(K1030:OFFSET(K1030,$B$7-1,0))*$B$9/(4*LN(2)))</f>
        <v>#DIV/0!</v>
      </c>
      <c r="O1030" s="3" t="e">
        <f ca="1">SQRT(AVERAGE(K1030:OFFSET(K1030,$B$8-1,0))*$B$9/(4*LN(2)))</f>
        <v>#DIV/0!</v>
      </c>
      <c r="Q1030" s="5" t="e">
        <f t="shared" si="88"/>
        <v>#DIV/0!</v>
      </c>
      <c r="R1030" s="5" t="e">
        <f ca="1">SQRT($B$9*AVERAGE((Q1030:OFFSET(Q1030,$B$5-1,0))))</f>
        <v>#DIV/0!</v>
      </c>
      <c r="S1030" s="5" t="e">
        <f ca="1">SQRT($B$9*AVERAGE((Q1030:OFFSET(Q1030,$B$6-1,0))))</f>
        <v>#DIV/0!</v>
      </c>
      <c r="T1030" s="5" t="e">
        <f ca="1">SQRT($B$9*AVERAGE((Q1030:OFFSET(Q1030,$B$7-1,0))))</f>
        <v>#DIV/0!</v>
      </c>
      <c r="U1030" s="5" t="e">
        <f ca="1">SQRT($B$9*AVERAGE((Q1030:OFFSET(Q1030,$B$8-1,0))))</f>
        <v>#DIV/0!</v>
      </c>
      <c r="W1030" s="6" t="e">
        <f t="shared" si="87"/>
        <v>#DIV/0!</v>
      </c>
      <c r="X1030" s="6" t="e">
        <f ca="1">SQRT($B$9*AVERAGE(W1030:OFFSET(W1030,$B$5-1,0)))</f>
        <v>#DIV/0!</v>
      </c>
      <c r="Y1030" s="6" t="e">
        <f ca="1">SQRT($B$9*AVERAGE(W1030:OFFSET(W1030,$B$6-1,0)))</f>
        <v>#DIV/0!</v>
      </c>
      <c r="Z1030" s="6" t="e">
        <f ca="1">SQRT($B$9*AVERAGE(W1030:OFFSET(W1030,$B$7-1,0)))</f>
        <v>#DIV/0!</v>
      </c>
      <c r="AA1030" s="6" t="e">
        <f ca="1">SQRT($B$9*AVERAGE(W1030:OFFSET(W1030,$B$8-1,0)))</f>
        <v>#DIV/0!</v>
      </c>
      <c r="AC1030" s="34" t="e">
        <f t="shared" si="85"/>
        <v>#DIV/0!</v>
      </c>
      <c r="AD1030" s="34" t="e">
        <f ca="1">SQRT($B$9*SUM(AC1030:OFFSET(AC1030,$B$5-1,0))/($B$5-1))</f>
        <v>#DIV/0!</v>
      </c>
      <c r="AE1030" s="34" t="e">
        <f ca="1">SQRT($B$9*SUM(AC1030:OFFSET(AC1030,$B$6-1,0))/($B$6-1))</f>
        <v>#DIV/0!</v>
      </c>
      <c r="AF1030" s="34" t="e">
        <f ca="1">SQRT($B$9*SUM(AC1030:OFFSET(AC1030,$B$7-1,0))/($B$7-1))</f>
        <v>#DIV/0!</v>
      </c>
      <c r="AG1030" s="34" t="e">
        <f ca="1">SQRT($B$9*SUM(AC1030:OFFSET(AC1030,$B$8-1,0))/($B$8-1))</f>
        <v>#DIV/0!</v>
      </c>
      <c r="AI1030" s="1" t="e">
        <f t="shared" si="86"/>
        <v>#DIV/0!</v>
      </c>
      <c r="AJ1030" s="4" t="e">
        <f ca="1">SQRT($B$9)*_xlfn.STDEV.S(AI1030:OFFSET(AI1030,$B$5-1,0))</f>
        <v>#DIV/0!</v>
      </c>
      <c r="AK1030" s="4" t="e">
        <f ca="1">SQRT($B$9)*_xlfn.STDEV.S(AI1030:OFFSET(AI1030,$B$6-1,0))</f>
        <v>#DIV/0!</v>
      </c>
      <c r="AL1030" s="4" t="e">
        <f ca="1">SQRT($B$9)*_xlfn.STDEV.S(AI1030:OFFSET(AI1030,$B$7-1,0))</f>
        <v>#DIV/0!</v>
      </c>
      <c r="AM1030" s="4" t="e">
        <f ca="1">SQRT($B$9)*_xlfn.STDEV.S(AI1030:OFFSET(AI1030,$B$8-1,0))</f>
        <v>#DIV/0!</v>
      </c>
    </row>
    <row r="1031" spans="11:39" x14ac:dyDescent="0.2">
      <c r="K1031" s="3" t="e">
        <f t="shared" si="89"/>
        <v>#DIV/0!</v>
      </c>
      <c r="L1031" s="3" t="e">
        <f ca="1">SQRT(AVERAGE(K1031:OFFSET(K1031,$B$5-1,0))*$B$9/(4*LN(2)))</f>
        <v>#DIV/0!</v>
      </c>
      <c r="M1031" s="3" t="e">
        <f ca="1">SQRT(AVERAGE(K1031:OFFSET(K1031,$B$6-1,0))*$B$9/(4*LN(2)))</f>
        <v>#DIV/0!</v>
      </c>
      <c r="N1031" s="3" t="e">
        <f ca="1">SQRT(AVERAGE(K1031:OFFSET(K1031,$B$7-1,0))*$B$9/(4*LN(2)))</f>
        <v>#DIV/0!</v>
      </c>
      <c r="O1031" s="3" t="e">
        <f ca="1">SQRT(AVERAGE(K1031:OFFSET(K1031,$B$8-1,0))*$B$9/(4*LN(2)))</f>
        <v>#DIV/0!</v>
      </c>
      <c r="Q1031" s="5" t="e">
        <f t="shared" si="88"/>
        <v>#DIV/0!</v>
      </c>
      <c r="R1031" s="5" t="e">
        <f ca="1">SQRT($B$9*AVERAGE((Q1031:OFFSET(Q1031,$B$5-1,0))))</f>
        <v>#DIV/0!</v>
      </c>
      <c r="S1031" s="5" t="e">
        <f ca="1">SQRT($B$9*AVERAGE((Q1031:OFFSET(Q1031,$B$6-1,0))))</f>
        <v>#DIV/0!</v>
      </c>
      <c r="T1031" s="5" t="e">
        <f ca="1">SQRT($B$9*AVERAGE((Q1031:OFFSET(Q1031,$B$7-1,0))))</f>
        <v>#DIV/0!</v>
      </c>
      <c r="U1031" s="5" t="e">
        <f ca="1">SQRT($B$9*AVERAGE((Q1031:OFFSET(Q1031,$B$8-1,0))))</f>
        <v>#DIV/0!</v>
      </c>
      <c r="W1031" s="6" t="e">
        <f t="shared" si="87"/>
        <v>#DIV/0!</v>
      </c>
      <c r="X1031" s="6" t="e">
        <f ca="1">SQRT($B$9*AVERAGE(W1031:OFFSET(W1031,$B$5-1,0)))</f>
        <v>#DIV/0!</v>
      </c>
      <c r="Y1031" s="6" t="e">
        <f ca="1">SQRT($B$9*AVERAGE(W1031:OFFSET(W1031,$B$6-1,0)))</f>
        <v>#DIV/0!</v>
      </c>
      <c r="Z1031" s="6" t="e">
        <f ca="1">SQRT($B$9*AVERAGE(W1031:OFFSET(W1031,$B$7-1,0)))</f>
        <v>#DIV/0!</v>
      </c>
      <c r="AA1031" s="6" t="e">
        <f ca="1">SQRT($B$9*AVERAGE(W1031:OFFSET(W1031,$B$8-1,0)))</f>
        <v>#DIV/0!</v>
      </c>
      <c r="AC1031" s="34" t="e">
        <f t="shared" si="85"/>
        <v>#DIV/0!</v>
      </c>
      <c r="AD1031" s="34" t="e">
        <f ca="1">SQRT($B$9*SUM(AC1031:OFFSET(AC1031,$B$5-1,0))/($B$5-1))</f>
        <v>#DIV/0!</v>
      </c>
      <c r="AE1031" s="34" t="e">
        <f ca="1">SQRT($B$9*SUM(AC1031:OFFSET(AC1031,$B$6-1,0))/($B$6-1))</f>
        <v>#DIV/0!</v>
      </c>
      <c r="AF1031" s="34" t="e">
        <f ca="1">SQRT($B$9*SUM(AC1031:OFFSET(AC1031,$B$7-1,0))/($B$7-1))</f>
        <v>#DIV/0!</v>
      </c>
      <c r="AG1031" s="34" t="e">
        <f ca="1">SQRT($B$9*SUM(AC1031:OFFSET(AC1031,$B$8-1,0))/($B$8-1))</f>
        <v>#DIV/0!</v>
      </c>
      <c r="AI1031" s="1" t="e">
        <f t="shared" si="86"/>
        <v>#DIV/0!</v>
      </c>
      <c r="AJ1031" s="4" t="e">
        <f ca="1">SQRT($B$9)*_xlfn.STDEV.S(AI1031:OFFSET(AI1031,$B$5-1,0))</f>
        <v>#DIV/0!</v>
      </c>
      <c r="AK1031" s="4" t="e">
        <f ca="1">SQRT($B$9)*_xlfn.STDEV.S(AI1031:OFFSET(AI1031,$B$6-1,0))</f>
        <v>#DIV/0!</v>
      </c>
      <c r="AL1031" s="4" t="e">
        <f ca="1">SQRT($B$9)*_xlfn.STDEV.S(AI1031:OFFSET(AI1031,$B$7-1,0))</f>
        <v>#DIV/0!</v>
      </c>
      <c r="AM1031" s="4" t="e">
        <f ca="1">SQRT($B$9)*_xlfn.STDEV.S(AI1031:OFFSET(AI1031,$B$8-1,0))</f>
        <v>#DIV/0!</v>
      </c>
    </row>
    <row r="1032" spans="11:39" x14ac:dyDescent="0.2">
      <c r="K1032" s="3" t="e">
        <f t="shared" si="89"/>
        <v>#DIV/0!</v>
      </c>
      <c r="L1032" s="3" t="e">
        <f ca="1">SQRT(AVERAGE(K1032:OFFSET(K1032,$B$5-1,0))*$B$9/(4*LN(2)))</f>
        <v>#DIV/0!</v>
      </c>
      <c r="M1032" s="3" t="e">
        <f ca="1">SQRT(AVERAGE(K1032:OFFSET(K1032,$B$6-1,0))*$B$9/(4*LN(2)))</f>
        <v>#DIV/0!</v>
      </c>
      <c r="N1032" s="3" t="e">
        <f ca="1">SQRT(AVERAGE(K1032:OFFSET(K1032,$B$7-1,0))*$B$9/(4*LN(2)))</f>
        <v>#DIV/0!</v>
      </c>
      <c r="O1032" s="3" t="e">
        <f ca="1">SQRT(AVERAGE(K1032:OFFSET(K1032,$B$8-1,0))*$B$9/(4*LN(2)))</f>
        <v>#DIV/0!</v>
      </c>
      <c r="Q1032" s="5" t="e">
        <f t="shared" si="88"/>
        <v>#DIV/0!</v>
      </c>
      <c r="R1032" s="5" t="e">
        <f ca="1">SQRT($B$9*AVERAGE((Q1032:OFFSET(Q1032,$B$5-1,0))))</f>
        <v>#DIV/0!</v>
      </c>
      <c r="S1032" s="5" t="e">
        <f ca="1">SQRT($B$9*AVERAGE((Q1032:OFFSET(Q1032,$B$6-1,0))))</f>
        <v>#DIV/0!</v>
      </c>
      <c r="T1032" s="5" t="e">
        <f ca="1">SQRT($B$9*AVERAGE((Q1032:OFFSET(Q1032,$B$7-1,0))))</f>
        <v>#DIV/0!</v>
      </c>
      <c r="U1032" s="5" t="e">
        <f ca="1">SQRT($B$9*AVERAGE((Q1032:OFFSET(Q1032,$B$8-1,0))))</f>
        <v>#DIV/0!</v>
      </c>
      <c r="W1032" s="6" t="e">
        <f t="shared" si="87"/>
        <v>#DIV/0!</v>
      </c>
      <c r="X1032" s="6" t="e">
        <f ca="1">SQRT($B$9*AVERAGE(W1032:OFFSET(W1032,$B$5-1,0)))</f>
        <v>#DIV/0!</v>
      </c>
      <c r="Y1032" s="6" t="e">
        <f ca="1">SQRT($B$9*AVERAGE(W1032:OFFSET(W1032,$B$6-1,0)))</f>
        <v>#DIV/0!</v>
      </c>
      <c r="Z1032" s="6" t="e">
        <f ca="1">SQRT($B$9*AVERAGE(W1032:OFFSET(W1032,$B$7-1,0)))</f>
        <v>#DIV/0!</v>
      </c>
      <c r="AA1032" s="6" t="e">
        <f ca="1">SQRT($B$9*AVERAGE(W1032:OFFSET(W1032,$B$8-1,0)))</f>
        <v>#DIV/0!</v>
      </c>
      <c r="AC1032" s="34" t="e">
        <f t="shared" si="85"/>
        <v>#DIV/0!</v>
      </c>
      <c r="AD1032" s="34" t="e">
        <f ca="1">SQRT($B$9*SUM(AC1032:OFFSET(AC1032,$B$5-1,0))/($B$5-1))</f>
        <v>#DIV/0!</v>
      </c>
      <c r="AE1032" s="34" t="e">
        <f ca="1">SQRT($B$9*SUM(AC1032:OFFSET(AC1032,$B$6-1,0))/($B$6-1))</f>
        <v>#DIV/0!</v>
      </c>
      <c r="AF1032" s="34" t="e">
        <f ca="1">SQRT($B$9*SUM(AC1032:OFFSET(AC1032,$B$7-1,0))/($B$7-1))</f>
        <v>#DIV/0!</v>
      </c>
      <c r="AG1032" s="34" t="e">
        <f ca="1">SQRT($B$9*SUM(AC1032:OFFSET(AC1032,$B$8-1,0))/($B$8-1))</f>
        <v>#DIV/0!</v>
      </c>
      <c r="AI1032" s="1" t="e">
        <f t="shared" si="86"/>
        <v>#DIV/0!</v>
      </c>
      <c r="AJ1032" s="4" t="e">
        <f ca="1">SQRT($B$9)*_xlfn.STDEV.S(AI1032:OFFSET(AI1032,$B$5-1,0))</f>
        <v>#DIV/0!</v>
      </c>
      <c r="AK1032" s="4" t="e">
        <f ca="1">SQRT($B$9)*_xlfn.STDEV.S(AI1032:OFFSET(AI1032,$B$6-1,0))</f>
        <v>#DIV/0!</v>
      </c>
      <c r="AL1032" s="4" t="e">
        <f ca="1">SQRT($B$9)*_xlfn.STDEV.S(AI1032:OFFSET(AI1032,$B$7-1,0))</f>
        <v>#DIV/0!</v>
      </c>
      <c r="AM1032" s="4" t="e">
        <f ca="1">SQRT($B$9)*_xlfn.STDEV.S(AI1032:OFFSET(AI1032,$B$8-1,0))</f>
        <v>#DIV/0!</v>
      </c>
    </row>
    <row r="1033" spans="11:39" x14ac:dyDescent="0.2">
      <c r="K1033" s="3" t="e">
        <f t="shared" si="89"/>
        <v>#DIV/0!</v>
      </c>
      <c r="L1033" s="3" t="e">
        <f ca="1">SQRT(AVERAGE(K1033:OFFSET(K1033,$B$5-1,0))*$B$9/(4*LN(2)))</f>
        <v>#DIV/0!</v>
      </c>
      <c r="M1033" s="3" t="e">
        <f ca="1">SQRT(AVERAGE(K1033:OFFSET(K1033,$B$6-1,0))*$B$9/(4*LN(2)))</f>
        <v>#DIV/0!</v>
      </c>
      <c r="N1033" s="3" t="e">
        <f ca="1">SQRT(AVERAGE(K1033:OFFSET(K1033,$B$7-1,0))*$B$9/(4*LN(2)))</f>
        <v>#DIV/0!</v>
      </c>
      <c r="O1033" s="3" t="e">
        <f ca="1">SQRT(AVERAGE(K1033:OFFSET(K1033,$B$8-1,0))*$B$9/(4*LN(2)))</f>
        <v>#DIV/0!</v>
      </c>
      <c r="Q1033" s="5" t="e">
        <f t="shared" si="88"/>
        <v>#DIV/0!</v>
      </c>
      <c r="R1033" s="5" t="e">
        <f ca="1">SQRT($B$9*AVERAGE((Q1033:OFFSET(Q1033,$B$5-1,0))))</f>
        <v>#DIV/0!</v>
      </c>
      <c r="S1033" s="5" t="e">
        <f ca="1">SQRT($B$9*AVERAGE((Q1033:OFFSET(Q1033,$B$6-1,0))))</f>
        <v>#DIV/0!</v>
      </c>
      <c r="T1033" s="5" t="e">
        <f ca="1">SQRT($B$9*AVERAGE((Q1033:OFFSET(Q1033,$B$7-1,0))))</f>
        <v>#DIV/0!</v>
      </c>
      <c r="U1033" s="5" t="e">
        <f ca="1">SQRT($B$9*AVERAGE((Q1033:OFFSET(Q1033,$B$8-1,0))))</f>
        <v>#DIV/0!</v>
      </c>
      <c r="W1033" s="6" t="e">
        <f t="shared" si="87"/>
        <v>#DIV/0!</v>
      </c>
      <c r="X1033" s="6" t="e">
        <f ca="1">SQRT($B$9*AVERAGE(W1033:OFFSET(W1033,$B$5-1,0)))</f>
        <v>#DIV/0!</v>
      </c>
      <c r="Y1033" s="6" t="e">
        <f ca="1">SQRT($B$9*AVERAGE(W1033:OFFSET(W1033,$B$6-1,0)))</f>
        <v>#DIV/0!</v>
      </c>
      <c r="Z1033" s="6" t="e">
        <f ca="1">SQRT($B$9*AVERAGE(W1033:OFFSET(W1033,$B$7-1,0)))</f>
        <v>#DIV/0!</v>
      </c>
      <c r="AA1033" s="6" t="e">
        <f ca="1">SQRT($B$9*AVERAGE(W1033:OFFSET(W1033,$B$8-1,0)))</f>
        <v>#DIV/0!</v>
      </c>
      <c r="AC1033" s="34" t="e">
        <f t="shared" si="85"/>
        <v>#DIV/0!</v>
      </c>
      <c r="AD1033" s="34" t="e">
        <f ca="1">SQRT($B$9*SUM(AC1033:OFFSET(AC1033,$B$5-1,0))/($B$5-1))</f>
        <v>#DIV/0!</v>
      </c>
      <c r="AE1033" s="34" t="e">
        <f ca="1">SQRT($B$9*SUM(AC1033:OFFSET(AC1033,$B$6-1,0))/($B$6-1))</f>
        <v>#DIV/0!</v>
      </c>
      <c r="AF1033" s="34" t="e">
        <f ca="1">SQRT($B$9*SUM(AC1033:OFFSET(AC1033,$B$7-1,0))/($B$7-1))</f>
        <v>#DIV/0!</v>
      </c>
      <c r="AG1033" s="34" t="e">
        <f ca="1">SQRT($B$9*SUM(AC1033:OFFSET(AC1033,$B$8-1,0))/($B$8-1))</f>
        <v>#DIV/0!</v>
      </c>
      <c r="AI1033" s="1" t="e">
        <f t="shared" si="86"/>
        <v>#DIV/0!</v>
      </c>
      <c r="AJ1033" s="4" t="e">
        <f ca="1">SQRT($B$9)*_xlfn.STDEV.S(AI1033:OFFSET(AI1033,$B$5-1,0))</f>
        <v>#DIV/0!</v>
      </c>
      <c r="AK1033" s="4" t="e">
        <f ca="1">SQRT($B$9)*_xlfn.STDEV.S(AI1033:OFFSET(AI1033,$B$6-1,0))</f>
        <v>#DIV/0!</v>
      </c>
      <c r="AL1033" s="4" t="e">
        <f ca="1">SQRT($B$9)*_xlfn.STDEV.S(AI1033:OFFSET(AI1033,$B$7-1,0))</f>
        <v>#DIV/0!</v>
      </c>
      <c r="AM1033" s="4" t="e">
        <f ca="1">SQRT($B$9)*_xlfn.STDEV.S(AI1033:OFFSET(AI1033,$B$8-1,0))</f>
        <v>#DIV/0!</v>
      </c>
    </row>
    <row r="1034" spans="11:39" x14ac:dyDescent="0.2">
      <c r="K1034" s="3" t="e">
        <f t="shared" si="89"/>
        <v>#DIV/0!</v>
      </c>
      <c r="L1034" s="3" t="e">
        <f ca="1">SQRT(AVERAGE(K1034:OFFSET(K1034,$B$5-1,0))*$B$9/(4*LN(2)))</f>
        <v>#DIV/0!</v>
      </c>
      <c r="M1034" s="3" t="e">
        <f ca="1">SQRT(AVERAGE(K1034:OFFSET(K1034,$B$6-1,0))*$B$9/(4*LN(2)))</f>
        <v>#DIV/0!</v>
      </c>
      <c r="N1034" s="3" t="e">
        <f ca="1">SQRT(AVERAGE(K1034:OFFSET(K1034,$B$7-1,0))*$B$9/(4*LN(2)))</f>
        <v>#DIV/0!</v>
      </c>
      <c r="O1034" s="3" t="e">
        <f ca="1">SQRT(AVERAGE(K1034:OFFSET(K1034,$B$8-1,0))*$B$9/(4*LN(2)))</f>
        <v>#DIV/0!</v>
      </c>
      <c r="Q1034" s="5" t="e">
        <f t="shared" si="88"/>
        <v>#DIV/0!</v>
      </c>
      <c r="R1034" s="5" t="e">
        <f ca="1">SQRT($B$9*AVERAGE((Q1034:OFFSET(Q1034,$B$5-1,0))))</f>
        <v>#DIV/0!</v>
      </c>
      <c r="S1034" s="5" t="e">
        <f ca="1">SQRT($B$9*AVERAGE((Q1034:OFFSET(Q1034,$B$6-1,0))))</f>
        <v>#DIV/0!</v>
      </c>
      <c r="T1034" s="5" t="e">
        <f ca="1">SQRT($B$9*AVERAGE((Q1034:OFFSET(Q1034,$B$7-1,0))))</f>
        <v>#DIV/0!</v>
      </c>
      <c r="U1034" s="5" t="e">
        <f ca="1">SQRT($B$9*AVERAGE((Q1034:OFFSET(Q1034,$B$8-1,0))))</f>
        <v>#DIV/0!</v>
      </c>
      <c r="W1034" s="6" t="e">
        <f t="shared" si="87"/>
        <v>#DIV/0!</v>
      </c>
      <c r="X1034" s="6" t="e">
        <f ca="1">SQRT($B$9*AVERAGE(W1034:OFFSET(W1034,$B$5-1,0)))</f>
        <v>#DIV/0!</v>
      </c>
      <c r="Y1034" s="6" t="e">
        <f ca="1">SQRT($B$9*AVERAGE(W1034:OFFSET(W1034,$B$6-1,0)))</f>
        <v>#DIV/0!</v>
      </c>
      <c r="Z1034" s="6" t="e">
        <f ca="1">SQRT($B$9*AVERAGE(W1034:OFFSET(W1034,$B$7-1,0)))</f>
        <v>#DIV/0!</v>
      </c>
      <c r="AA1034" s="6" t="e">
        <f ca="1">SQRT($B$9*AVERAGE(W1034:OFFSET(W1034,$B$8-1,0)))</f>
        <v>#DIV/0!</v>
      </c>
      <c r="AC1034" s="34" t="e">
        <f t="shared" si="85"/>
        <v>#DIV/0!</v>
      </c>
      <c r="AD1034" s="34" t="e">
        <f ca="1">SQRT($B$9*SUM(AC1034:OFFSET(AC1034,$B$5-1,0))/($B$5-1))</f>
        <v>#DIV/0!</v>
      </c>
      <c r="AE1034" s="34" t="e">
        <f ca="1">SQRT($B$9*SUM(AC1034:OFFSET(AC1034,$B$6-1,0))/($B$6-1))</f>
        <v>#DIV/0!</v>
      </c>
      <c r="AF1034" s="34" t="e">
        <f ca="1">SQRT($B$9*SUM(AC1034:OFFSET(AC1034,$B$7-1,0))/($B$7-1))</f>
        <v>#DIV/0!</v>
      </c>
      <c r="AG1034" s="34" t="e">
        <f ca="1">SQRT($B$9*SUM(AC1034:OFFSET(AC1034,$B$8-1,0))/($B$8-1))</f>
        <v>#DIV/0!</v>
      </c>
      <c r="AI1034" s="1" t="e">
        <f t="shared" si="86"/>
        <v>#DIV/0!</v>
      </c>
      <c r="AJ1034" s="4" t="e">
        <f ca="1">SQRT($B$9)*_xlfn.STDEV.S(AI1034:OFFSET(AI1034,$B$5-1,0))</f>
        <v>#DIV/0!</v>
      </c>
      <c r="AK1034" s="4" t="e">
        <f ca="1">SQRT($B$9)*_xlfn.STDEV.S(AI1034:OFFSET(AI1034,$B$6-1,0))</f>
        <v>#DIV/0!</v>
      </c>
      <c r="AL1034" s="4" t="e">
        <f ca="1">SQRT($B$9)*_xlfn.STDEV.S(AI1034:OFFSET(AI1034,$B$7-1,0))</f>
        <v>#DIV/0!</v>
      </c>
      <c r="AM1034" s="4" t="e">
        <f ca="1">SQRT($B$9)*_xlfn.STDEV.S(AI1034:OFFSET(AI1034,$B$8-1,0))</f>
        <v>#DIV/0!</v>
      </c>
    </row>
    <row r="1035" spans="11:39" x14ac:dyDescent="0.2">
      <c r="K1035" s="3" t="e">
        <f t="shared" si="89"/>
        <v>#DIV/0!</v>
      </c>
      <c r="L1035" s="3" t="e">
        <f ca="1">SQRT(AVERAGE(K1035:OFFSET(K1035,$B$5-1,0))*$B$9/(4*LN(2)))</f>
        <v>#DIV/0!</v>
      </c>
      <c r="M1035" s="3" t="e">
        <f ca="1">SQRT(AVERAGE(K1035:OFFSET(K1035,$B$6-1,0))*$B$9/(4*LN(2)))</f>
        <v>#DIV/0!</v>
      </c>
      <c r="N1035" s="3" t="e">
        <f ca="1">SQRT(AVERAGE(K1035:OFFSET(K1035,$B$7-1,0))*$B$9/(4*LN(2)))</f>
        <v>#DIV/0!</v>
      </c>
      <c r="O1035" s="3" t="e">
        <f ca="1">SQRT(AVERAGE(K1035:OFFSET(K1035,$B$8-1,0))*$B$9/(4*LN(2)))</f>
        <v>#DIV/0!</v>
      </c>
      <c r="Q1035" s="5" t="e">
        <f t="shared" si="88"/>
        <v>#DIV/0!</v>
      </c>
      <c r="R1035" s="5" t="e">
        <f ca="1">SQRT($B$9*AVERAGE((Q1035:OFFSET(Q1035,$B$5-1,0))))</f>
        <v>#DIV/0!</v>
      </c>
      <c r="S1035" s="5" t="e">
        <f ca="1">SQRT($B$9*AVERAGE((Q1035:OFFSET(Q1035,$B$6-1,0))))</f>
        <v>#DIV/0!</v>
      </c>
      <c r="T1035" s="5" t="e">
        <f ca="1">SQRT($B$9*AVERAGE((Q1035:OFFSET(Q1035,$B$7-1,0))))</f>
        <v>#DIV/0!</v>
      </c>
      <c r="U1035" s="5" t="e">
        <f ca="1">SQRT($B$9*AVERAGE((Q1035:OFFSET(Q1035,$B$8-1,0))))</f>
        <v>#DIV/0!</v>
      </c>
      <c r="W1035" s="6" t="e">
        <f t="shared" si="87"/>
        <v>#DIV/0!</v>
      </c>
      <c r="X1035" s="6" t="e">
        <f ca="1">SQRT($B$9*AVERAGE(W1035:OFFSET(W1035,$B$5-1,0)))</f>
        <v>#DIV/0!</v>
      </c>
      <c r="Y1035" s="6" t="e">
        <f ca="1">SQRT($B$9*AVERAGE(W1035:OFFSET(W1035,$B$6-1,0)))</f>
        <v>#DIV/0!</v>
      </c>
      <c r="Z1035" s="6" t="e">
        <f ca="1">SQRT($B$9*AVERAGE(W1035:OFFSET(W1035,$B$7-1,0)))</f>
        <v>#DIV/0!</v>
      </c>
      <c r="AA1035" s="6" t="e">
        <f ca="1">SQRT($B$9*AVERAGE(W1035:OFFSET(W1035,$B$8-1,0)))</f>
        <v>#DIV/0!</v>
      </c>
      <c r="AC1035" s="34" t="e">
        <f t="shared" si="85"/>
        <v>#DIV/0!</v>
      </c>
      <c r="AD1035" s="34" t="e">
        <f ca="1">SQRT($B$9*SUM(AC1035:OFFSET(AC1035,$B$5-1,0))/($B$5-1))</f>
        <v>#DIV/0!</v>
      </c>
      <c r="AE1035" s="34" t="e">
        <f ca="1">SQRT($B$9*SUM(AC1035:OFFSET(AC1035,$B$6-1,0))/($B$6-1))</f>
        <v>#DIV/0!</v>
      </c>
      <c r="AF1035" s="34" t="e">
        <f ca="1">SQRT($B$9*SUM(AC1035:OFFSET(AC1035,$B$7-1,0))/($B$7-1))</f>
        <v>#DIV/0!</v>
      </c>
      <c r="AG1035" s="34" t="e">
        <f ca="1">SQRT($B$9*SUM(AC1035:OFFSET(AC1035,$B$8-1,0))/($B$8-1))</f>
        <v>#DIV/0!</v>
      </c>
      <c r="AI1035" s="1" t="e">
        <f t="shared" si="86"/>
        <v>#DIV/0!</v>
      </c>
      <c r="AJ1035" s="4" t="e">
        <f ca="1">SQRT($B$9)*_xlfn.STDEV.S(AI1035:OFFSET(AI1035,$B$5-1,0))</f>
        <v>#DIV/0!</v>
      </c>
      <c r="AK1035" s="4" t="e">
        <f ca="1">SQRT($B$9)*_xlfn.STDEV.S(AI1035:OFFSET(AI1035,$B$6-1,0))</f>
        <v>#DIV/0!</v>
      </c>
      <c r="AL1035" s="4" t="e">
        <f ca="1">SQRT($B$9)*_xlfn.STDEV.S(AI1035:OFFSET(AI1035,$B$7-1,0))</f>
        <v>#DIV/0!</v>
      </c>
      <c r="AM1035" s="4" t="e">
        <f ca="1">SQRT($B$9)*_xlfn.STDEV.S(AI1035:OFFSET(AI1035,$B$8-1,0))</f>
        <v>#DIV/0!</v>
      </c>
    </row>
    <row r="1036" spans="11:39" x14ac:dyDescent="0.2">
      <c r="K1036" s="3" t="e">
        <f t="shared" si="89"/>
        <v>#DIV/0!</v>
      </c>
      <c r="L1036" s="3" t="e">
        <f ca="1">SQRT(AVERAGE(K1036:OFFSET(K1036,$B$5-1,0))*$B$9/(4*LN(2)))</f>
        <v>#DIV/0!</v>
      </c>
      <c r="M1036" s="3" t="e">
        <f ca="1">SQRT(AVERAGE(K1036:OFFSET(K1036,$B$6-1,0))*$B$9/(4*LN(2)))</f>
        <v>#DIV/0!</v>
      </c>
      <c r="N1036" s="3" t="e">
        <f ca="1">SQRT(AVERAGE(K1036:OFFSET(K1036,$B$7-1,0))*$B$9/(4*LN(2)))</f>
        <v>#DIV/0!</v>
      </c>
      <c r="O1036" s="3" t="e">
        <f ca="1">SQRT(AVERAGE(K1036:OFFSET(K1036,$B$8-1,0))*$B$9/(4*LN(2)))</f>
        <v>#DIV/0!</v>
      </c>
      <c r="Q1036" s="5" t="e">
        <f t="shared" si="88"/>
        <v>#DIV/0!</v>
      </c>
      <c r="R1036" s="5" t="e">
        <f ca="1">SQRT($B$9*AVERAGE((Q1036:OFFSET(Q1036,$B$5-1,0))))</f>
        <v>#DIV/0!</v>
      </c>
      <c r="S1036" s="5" t="e">
        <f ca="1">SQRT($B$9*AVERAGE((Q1036:OFFSET(Q1036,$B$6-1,0))))</f>
        <v>#DIV/0!</v>
      </c>
      <c r="T1036" s="5" t="e">
        <f ca="1">SQRT($B$9*AVERAGE((Q1036:OFFSET(Q1036,$B$7-1,0))))</f>
        <v>#DIV/0!</v>
      </c>
      <c r="U1036" s="5" t="e">
        <f ca="1">SQRT($B$9*AVERAGE((Q1036:OFFSET(Q1036,$B$8-1,0))))</f>
        <v>#DIV/0!</v>
      </c>
      <c r="W1036" s="6" t="e">
        <f t="shared" si="87"/>
        <v>#DIV/0!</v>
      </c>
      <c r="X1036" s="6" t="e">
        <f ca="1">SQRT($B$9*AVERAGE(W1036:OFFSET(W1036,$B$5-1,0)))</f>
        <v>#DIV/0!</v>
      </c>
      <c r="Y1036" s="6" t="e">
        <f ca="1">SQRT($B$9*AVERAGE(W1036:OFFSET(W1036,$B$6-1,0)))</f>
        <v>#DIV/0!</v>
      </c>
      <c r="Z1036" s="6" t="e">
        <f ca="1">SQRT($B$9*AVERAGE(W1036:OFFSET(W1036,$B$7-1,0)))</f>
        <v>#DIV/0!</v>
      </c>
      <c r="AA1036" s="6" t="e">
        <f ca="1">SQRT($B$9*AVERAGE(W1036:OFFSET(W1036,$B$8-1,0)))</f>
        <v>#DIV/0!</v>
      </c>
      <c r="AC1036" s="34" t="e">
        <f t="shared" si="85"/>
        <v>#DIV/0!</v>
      </c>
      <c r="AD1036" s="34" t="e">
        <f ca="1">SQRT($B$9*SUM(AC1036:OFFSET(AC1036,$B$5-1,0))/($B$5-1))</f>
        <v>#DIV/0!</v>
      </c>
      <c r="AE1036" s="34" t="e">
        <f ca="1">SQRT($B$9*SUM(AC1036:OFFSET(AC1036,$B$6-1,0))/($B$6-1))</f>
        <v>#DIV/0!</v>
      </c>
      <c r="AF1036" s="34" t="e">
        <f ca="1">SQRT($B$9*SUM(AC1036:OFFSET(AC1036,$B$7-1,0))/($B$7-1))</f>
        <v>#DIV/0!</v>
      </c>
      <c r="AG1036" s="34" t="e">
        <f ca="1">SQRT($B$9*SUM(AC1036:OFFSET(AC1036,$B$8-1,0))/($B$8-1))</f>
        <v>#DIV/0!</v>
      </c>
      <c r="AI1036" s="1" t="e">
        <f t="shared" si="86"/>
        <v>#DIV/0!</v>
      </c>
      <c r="AJ1036" s="4" t="e">
        <f ca="1">SQRT($B$9)*_xlfn.STDEV.S(AI1036:OFFSET(AI1036,$B$5-1,0))</f>
        <v>#DIV/0!</v>
      </c>
      <c r="AK1036" s="4" t="e">
        <f ca="1">SQRT($B$9)*_xlfn.STDEV.S(AI1036:OFFSET(AI1036,$B$6-1,0))</f>
        <v>#DIV/0!</v>
      </c>
      <c r="AL1036" s="4" t="e">
        <f ca="1">SQRT($B$9)*_xlfn.STDEV.S(AI1036:OFFSET(AI1036,$B$7-1,0))</f>
        <v>#DIV/0!</v>
      </c>
      <c r="AM1036" s="4" t="e">
        <f ca="1">SQRT($B$9)*_xlfn.STDEV.S(AI1036:OFFSET(AI1036,$B$8-1,0))</f>
        <v>#DIV/0!</v>
      </c>
    </row>
    <row r="1037" spans="11:39" x14ac:dyDescent="0.2">
      <c r="K1037" s="3" t="e">
        <f t="shared" si="89"/>
        <v>#DIV/0!</v>
      </c>
      <c r="L1037" s="3" t="e">
        <f ca="1">SQRT(AVERAGE(K1037:OFFSET(K1037,$B$5-1,0))*$B$9/(4*LN(2)))</f>
        <v>#DIV/0!</v>
      </c>
      <c r="M1037" s="3" t="e">
        <f ca="1">SQRT(AVERAGE(K1037:OFFSET(K1037,$B$6-1,0))*$B$9/(4*LN(2)))</f>
        <v>#DIV/0!</v>
      </c>
      <c r="N1037" s="3" t="e">
        <f ca="1">SQRT(AVERAGE(K1037:OFFSET(K1037,$B$7-1,0))*$B$9/(4*LN(2)))</f>
        <v>#DIV/0!</v>
      </c>
      <c r="O1037" s="3" t="e">
        <f ca="1">SQRT(AVERAGE(K1037:OFFSET(K1037,$B$8-1,0))*$B$9/(4*LN(2)))</f>
        <v>#DIV/0!</v>
      </c>
      <c r="Q1037" s="5" t="e">
        <f t="shared" si="88"/>
        <v>#DIV/0!</v>
      </c>
      <c r="R1037" s="5" t="e">
        <f ca="1">SQRT($B$9*AVERAGE((Q1037:OFFSET(Q1037,$B$5-1,0))))</f>
        <v>#DIV/0!</v>
      </c>
      <c r="S1037" s="5" t="e">
        <f ca="1">SQRT($B$9*AVERAGE((Q1037:OFFSET(Q1037,$B$6-1,0))))</f>
        <v>#DIV/0!</v>
      </c>
      <c r="T1037" s="5" t="e">
        <f ca="1">SQRT($B$9*AVERAGE((Q1037:OFFSET(Q1037,$B$7-1,0))))</f>
        <v>#DIV/0!</v>
      </c>
      <c r="U1037" s="5" t="e">
        <f ca="1">SQRT($B$9*AVERAGE((Q1037:OFFSET(Q1037,$B$8-1,0))))</f>
        <v>#DIV/0!</v>
      </c>
      <c r="W1037" s="6" t="e">
        <f t="shared" si="87"/>
        <v>#DIV/0!</v>
      </c>
      <c r="X1037" s="6" t="e">
        <f ca="1">SQRT($B$9*AVERAGE(W1037:OFFSET(W1037,$B$5-1,0)))</f>
        <v>#DIV/0!</v>
      </c>
      <c r="Y1037" s="6" t="e">
        <f ca="1">SQRT($B$9*AVERAGE(W1037:OFFSET(W1037,$B$6-1,0)))</f>
        <v>#DIV/0!</v>
      </c>
      <c r="Z1037" s="6" t="e">
        <f ca="1">SQRT($B$9*AVERAGE(W1037:OFFSET(W1037,$B$7-1,0)))</f>
        <v>#DIV/0!</v>
      </c>
      <c r="AA1037" s="6" t="e">
        <f ca="1">SQRT($B$9*AVERAGE(W1037:OFFSET(W1037,$B$8-1,0)))</f>
        <v>#DIV/0!</v>
      </c>
      <c r="AC1037" s="34" t="e">
        <f t="shared" si="85"/>
        <v>#DIV/0!</v>
      </c>
      <c r="AD1037" s="34" t="e">
        <f ca="1">SQRT($B$9*SUM(AC1037:OFFSET(AC1037,$B$5-1,0))/($B$5-1))</f>
        <v>#DIV/0!</v>
      </c>
      <c r="AE1037" s="34" t="e">
        <f ca="1">SQRT($B$9*SUM(AC1037:OFFSET(AC1037,$B$6-1,0))/($B$6-1))</f>
        <v>#DIV/0!</v>
      </c>
      <c r="AF1037" s="34" t="e">
        <f ca="1">SQRT($B$9*SUM(AC1037:OFFSET(AC1037,$B$7-1,0))/($B$7-1))</f>
        <v>#DIV/0!</v>
      </c>
      <c r="AG1037" s="34" t="e">
        <f ca="1">SQRT($B$9*SUM(AC1037:OFFSET(AC1037,$B$8-1,0))/($B$8-1))</f>
        <v>#DIV/0!</v>
      </c>
      <c r="AI1037" s="1" t="e">
        <f t="shared" si="86"/>
        <v>#DIV/0!</v>
      </c>
      <c r="AJ1037" s="4" t="e">
        <f ca="1">SQRT($B$9)*_xlfn.STDEV.S(AI1037:OFFSET(AI1037,$B$5-1,0))</f>
        <v>#DIV/0!</v>
      </c>
      <c r="AK1037" s="4" t="e">
        <f ca="1">SQRT($B$9)*_xlfn.STDEV.S(AI1037:OFFSET(AI1037,$B$6-1,0))</f>
        <v>#DIV/0!</v>
      </c>
      <c r="AL1037" s="4" t="e">
        <f ca="1">SQRT($B$9)*_xlfn.STDEV.S(AI1037:OFFSET(AI1037,$B$7-1,0))</f>
        <v>#DIV/0!</v>
      </c>
      <c r="AM1037" s="4" t="e">
        <f ca="1">SQRT($B$9)*_xlfn.STDEV.S(AI1037:OFFSET(AI1037,$B$8-1,0))</f>
        <v>#DIV/0!</v>
      </c>
    </row>
    <row r="1038" spans="11:39" x14ac:dyDescent="0.2">
      <c r="K1038" s="3" t="e">
        <f t="shared" si="89"/>
        <v>#DIV/0!</v>
      </c>
      <c r="L1038" s="3" t="e">
        <f ca="1">SQRT(AVERAGE(K1038:OFFSET(K1038,$B$5-1,0))*$B$9/(4*LN(2)))</f>
        <v>#DIV/0!</v>
      </c>
      <c r="M1038" s="3" t="e">
        <f ca="1">SQRT(AVERAGE(K1038:OFFSET(K1038,$B$6-1,0))*$B$9/(4*LN(2)))</f>
        <v>#DIV/0!</v>
      </c>
      <c r="N1038" s="3" t="e">
        <f ca="1">SQRT(AVERAGE(K1038:OFFSET(K1038,$B$7-1,0))*$B$9/(4*LN(2)))</f>
        <v>#DIV/0!</v>
      </c>
      <c r="O1038" s="3" t="e">
        <f ca="1">SQRT(AVERAGE(K1038:OFFSET(K1038,$B$8-1,0))*$B$9/(4*LN(2)))</f>
        <v>#DIV/0!</v>
      </c>
      <c r="Q1038" s="5" t="e">
        <f t="shared" si="88"/>
        <v>#DIV/0!</v>
      </c>
      <c r="R1038" s="5" t="e">
        <f ca="1">SQRT($B$9*AVERAGE((Q1038:OFFSET(Q1038,$B$5-1,0))))</f>
        <v>#DIV/0!</v>
      </c>
      <c r="S1038" s="5" t="e">
        <f ca="1">SQRT($B$9*AVERAGE((Q1038:OFFSET(Q1038,$B$6-1,0))))</f>
        <v>#DIV/0!</v>
      </c>
      <c r="T1038" s="5" t="e">
        <f ca="1">SQRT($B$9*AVERAGE((Q1038:OFFSET(Q1038,$B$7-1,0))))</f>
        <v>#DIV/0!</v>
      </c>
      <c r="U1038" s="5" t="e">
        <f ca="1">SQRT($B$9*AVERAGE((Q1038:OFFSET(Q1038,$B$8-1,0))))</f>
        <v>#DIV/0!</v>
      </c>
      <c r="W1038" s="6" t="e">
        <f t="shared" si="87"/>
        <v>#DIV/0!</v>
      </c>
      <c r="X1038" s="6" t="e">
        <f ca="1">SQRT($B$9*AVERAGE(W1038:OFFSET(W1038,$B$5-1,0)))</f>
        <v>#DIV/0!</v>
      </c>
      <c r="Y1038" s="6" t="e">
        <f ca="1">SQRT($B$9*AVERAGE(W1038:OFFSET(W1038,$B$6-1,0)))</f>
        <v>#DIV/0!</v>
      </c>
      <c r="Z1038" s="6" t="e">
        <f ca="1">SQRT($B$9*AVERAGE(W1038:OFFSET(W1038,$B$7-1,0)))</f>
        <v>#DIV/0!</v>
      </c>
      <c r="AA1038" s="6" t="e">
        <f ca="1">SQRT($B$9*AVERAGE(W1038:OFFSET(W1038,$B$8-1,0)))</f>
        <v>#DIV/0!</v>
      </c>
      <c r="AC1038" s="34" t="e">
        <f t="shared" si="85"/>
        <v>#DIV/0!</v>
      </c>
      <c r="AD1038" s="34" t="e">
        <f ca="1">SQRT($B$9*SUM(AC1038:OFFSET(AC1038,$B$5-1,0))/($B$5-1))</f>
        <v>#DIV/0!</v>
      </c>
      <c r="AE1038" s="34" t="e">
        <f ca="1">SQRT($B$9*SUM(AC1038:OFFSET(AC1038,$B$6-1,0))/($B$6-1))</f>
        <v>#DIV/0!</v>
      </c>
      <c r="AF1038" s="34" t="e">
        <f ca="1">SQRT($B$9*SUM(AC1038:OFFSET(AC1038,$B$7-1,0))/($B$7-1))</f>
        <v>#DIV/0!</v>
      </c>
      <c r="AG1038" s="34" t="e">
        <f ca="1">SQRT($B$9*SUM(AC1038:OFFSET(AC1038,$B$8-1,0))/($B$8-1))</f>
        <v>#DIV/0!</v>
      </c>
      <c r="AI1038" s="1" t="e">
        <f t="shared" si="86"/>
        <v>#DIV/0!</v>
      </c>
      <c r="AJ1038" s="4" t="e">
        <f ca="1">SQRT($B$9)*_xlfn.STDEV.S(AI1038:OFFSET(AI1038,$B$5-1,0))</f>
        <v>#DIV/0!</v>
      </c>
      <c r="AK1038" s="4" t="e">
        <f ca="1">SQRT($B$9)*_xlfn.STDEV.S(AI1038:OFFSET(AI1038,$B$6-1,0))</f>
        <v>#DIV/0!</v>
      </c>
      <c r="AL1038" s="4" t="e">
        <f ca="1">SQRT($B$9)*_xlfn.STDEV.S(AI1038:OFFSET(AI1038,$B$7-1,0))</f>
        <v>#DIV/0!</v>
      </c>
      <c r="AM1038" s="4" t="e">
        <f ca="1">SQRT($B$9)*_xlfn.STDEV.S(AI1038:OFFSET(AI1038,$B$8-1,0))</f>
        <v>#DIV/0!</v>
      </c>
    </row>
    <row r="1039" spans="11:39" x14ac:dyDescent="0.2">
      <c r="K1039" s="3" t="e">
        <f t="shared" si="89"/>
        <v>#DIV/0!</v>
      </c>
      <c r="L1039" s="3" t="e">
        <f ca="1">SQRT(AVERAGE(K1039:OFFSET(K1039,$B$5-1,0))*$B$9/(4*LN(2)))</f>
        <v>#DIV/0!</v>
      </c>
      <c r="M1039" s="3" t="e">
        <f ca="1">SQRT(AVERAGE(K1039:OFFSET(K1039,$B$6-1,0))*$B$9/(4*LN(2)))</f>
        <v>#DIV/0!</v>
      </c>
      <c r="N1039" s="3" t="e">
        <f ca="1">SQRT(AVERAGE(K1039:OFFSET(K1039,$B$7-1,0))*$B$9/(4*LN(2)))</f>
        <v>#DIV/0!</v>
      </c>
      <c r="O1039" s="3" t="e">
        <f ca="1">SQRT(AVERAGE(K1039:OFFSET(K1039,$B$8-1,0))*$B$9/(4*LN(2)))</f>
        <v>#DIV/0!</v>
      </c>
      <c r="Q1039" s="5" t="e">
        <f t="shared" si="88"/>
        <v>#DIV/0!</v>
      </c>
      <c r="R1039" s="5" t="e">
        <f ca="1">SQRT($B$9*AVERAGE((Q1039:OFFSET(Q1039,$B$5-1,0))))</f>
        <v>#DIV/0!</v>
      </c>
      <c r="S1039" s="5" t="e">
        <f ca="1">SQRT($B$9*AVERAGE((Q1039:OFFSET(Q1039,$B$6-1,0))))</f>
        <v>#DIV/0!</v>
      </c>
      <c r="T1039" s="5" t="e">
        <f ca="1">SQRT($B$9*AVERAGE((Q1039:OFFSET(Q1039,$B$7-1,0))))</f>
        <v>#DIV/0!</v>
      </c>
      <c r="U1039" s="5" t="e">
        <f ca="1">SQRT($B$9*AVERAGE((Q1039:OFFSET(Q1039,$B$8-1,0))))</f>
        <v>#DIV/0!</v>
      </c>
      <c r="W1039" s="6" t="e">
        <f t="shared" si="87"/>
        <v>#DIV/0!</v>
      </c>
      <c r="X1039" s="6" t="e">
        <f ca="1">SQRT($B$9*AVERAGE(W1039:OFFSET(W1039,$B$5-1,0)))</f>
        <v>#DIV/0!</v>
      </c>
      <c r="Y1039" s="6" t="e">
        <f ca="1">SQRT($B$9*AVERAGE(W1039:OFFSET(W1039,$B$6-1,0)))</f>
        <v>#DIV/0!</v>
      </c>
      <c r="Z1039" s="6" t="e">
        <f ca="1">SQRT($B$9*AVERAGE(W1039:OFFSET(W1039,$B$7-1,0)))</f>
        <v>#DIV/0!</v>
      </c>
      <c r="AA1039" s="6" t="e">
        <f ca="1">SQRT($B$9*AVERAGE(W1039:OFFSET(W1039,$B$8-1,0)))</f>
        <v>#DIV/0!</v>
      </c>
      <c r="AC1039" s="34" t="e">
        <f t="shared" si="85"/>
        <v>#DIV/0!</v>
      </c>
      <c r="AD1039" s="34" t="e">
        <f ca="1">SQRT($B$9*SUM(AC1039:OFFSET(AC1039,$B$5-1,0))/($B$5-1))</f>
        <v>#DIV/0!</v>
      </c>
      <c r="AE1039" s="34" t="e">
        <f ca="1">SQRT($B$9*SUM(AC1039:OFFSET(AC1039,$B$6-1,0))/($B$6-1))</f>
        <v>#DIV/0!</v>
      </c>
      <c r="AF1039" s="34" t="e">
        <f ca="1">SQRT($B$9*SUM(AC1039:OFFSET(AC1039,$B$7-1,0))/($B$7-1))</f>
        <v>#DIV/0!</v>
      </c>
      <c r="AG1039" s="34" t="e">
        <f ca="1">SQRT($B$9*SUM(AC1039:OFFSET(AC1039,$B$8-1,0))/($B$8-1))</f>
        <v>#DIV/0!</v>
      </c>
      <c r="AI1039" s="1" t="e">
        <f t="shared" si="86"/>
        <v>#DIV/0!</v>
      </c>
      <c r="AJ1039" s="4" t="e">
        <f ca="1">SQRT($B$9)*_xlfn.STDEV.S(AI1039:OFFSET(AI1039,$B$5-1,0))</f>
        <v>#DIV/0!</v>
      </c>
      <c r="AK1039" s="4" t="e">
        <f ca="1">SQRT($B$9)*_xlfn.STDEV.S(AI1039:OFFSET(AI1039,$B$6-1,0))</f>
        <v>#DIV/0!</v>
      </c>
      <c r="AL1039" s="4" t="e">
        <f ca="1">SQRT($B$9)*_xlfn.STDEV.S(AI1039:OFFSET(AI1039,$B$7-1,0))</f>
        <v>#DIV/0!</v>
      </c>
      <c r="AM1039" s="4" t="e">
        <f ca="1">SQRT($B$9)*_xlfn.STDEV.S(AI1039:OFFSET(AI1039,$B$8-1,0))</f>
        <v>#DIV/0!</v>
      </c>
    </row>
    <row r="1040" spans="11:39" x14ac:dyDescent="0.2">
      <c r="K1040" s="3" t="e">
        <f t="shared" si="89"/>
        <v>#DIV/0!</v>
      </c>
      <c r="L1040" s="3" t="e">
        <f ca="1">SQRT(AVERAGE(K1040:OFFSET(K1040,$B$5-1,0))*$B$9/(4*LN(2)))</f>
        <v>#DIV/0!</v>
      </c>
      <c r="M1040" s="3" t="e">
        <f ca="1">SQRT(AVERAGE(K1040:OFFSET(K1040,$B$6-1,0))*$B$9/(4*LN(2)))</f>
        <v>#DIV/0!</v>
      </c>
      <c r="N1040" s="3" t="e">
        <f ca="1">SQRT(AVERAGE(K1040:OFFSET(K1040,$B$7-1,0))*$B$9/(4*LN(2)))</f>
        <v>#DIV/0!</v>
      </c>
      <c r="O1040" s="3" t="e">
        <f ca="1">SQRT(AVERAGE(K1040:OFFSET(K1040,$B$8-1,0))*$B$9/(4*LN(2)))</f>
        <v>#DIV/0!</v>
      </c>
      <c r="Q1040" s="5" t="e">
        <f t="shared" si="88"/>
        <v>#DIV/0!</v>
      </c>
      <c r="R1040" s="5" t="e">
        <f ca="1">SQRT($B$9*AVERAGE((Q1040:OFFSET(Q1040,$B$5-1,0))))</f>
        <v>#DIV/0!</v>
      </c>
      <c r="S1040" s="5" t="e">
        <f ca="1">SQRT($B$9*AVERAGE((Q1040:OFFSET(Q1040,$B$6-1,0))))</f>
        <v>#DIV/0!</v>
      </c>
      <c r="T1040" s="5" t="e">
        <f ca="1">SQRT($B$9*AVERAGE((Q1040:OFFSET(Q1040,$B$7-1,0))))</f>
        <v>#DIV/0!</v>
      </c>
      <c r="U1040" s="5" t="e">
        <f ca="1">SQRT($B$9*AVERAGE((Q1040:OFFSET(Q1040,$B$8-1,0))))</f>
        <v>#DIV/0!</v>
      </c>
      <c r="W1040" s="6" t="e">
        <f t="shared" si="87"/>
        <v>#DIV/0!</v>
      </c>
      <c r="X1040" s="6" t="e">
        <f ca="1">SQRT($B$9*AVERAGE(W1040:OFFSET(W1040,$B$5-1,0)))</f>
        <v>#DIV/0!</v>
      </c>
      <c r="Y1040" s="6" t="e">
        <f ca="1">SQRT($B$9*AVERAGE(W1040:OFFSET(W1040,$B$6-1,0)))</f>
        <v>#DIV/0!</v>
      </c>
      <c r="Z1040" s="6" t="e">
        <f ca="1">SQRT($B$9*AVERAGE(W1040:OFFSET(W1040,$B$7-1,0)))</f>
        <v>#DIV/0!</v>
      </c>
      <c r="AA1040" s="6" t="e">
        <f ca="1">SQRT($B$9*AVERAGE(W1040:OFFSET(W1040,$B$8-1,0)))</f>
        <v>#DIV/0!</v>
      </c>
      <c r="AC1040" s="34" t="e">
        <f t="shared" si="85"/>
        <v>#DIV/0!</v>
      </c>
      <c r="AD1040" s="34" t="e">
        <f ca="1">SQRT($B$9*SUM(AC1040:OFFSET(AC1040,$B$5-1,0))/($B$5-1))</f>
        <v>#DIV/0!</v>
      </c>
      <c r="AE1040" s="34" t="e">
        <f ca="1">SQRT($B$9*SUM(AC1040:OFFSET(AC1040,$B$6-1,0))/($B$6-1))</f>
        <v>#DIV/0!</v>
      </c>
      <c r="AF1040" s="34" t="e">
        <f ca="1">SQRT($B$9*SUM(AC1040:OFFSET(AC1040,$B$7-1,0))/($B$7-1))</f>
        <v>#DIV/0!</v>
      </c>
      <c r="AG1040" s="34" t="e">
        <f ca="1">SQRT($B$9*SUM(AC1040:OFFSET(AC1040,$B$8-1,0))/($B$8-1))</f>
        <v>#DIV/0!</v>
      </c>
      <c r="AI1040" s="1" t="e">
        <f t="shared" si="86"/>
        <v>#DIV/0!</v>
      </c>
      <c r="AJ1040" s="4" t="e">
        <f ca="1">SQRT($B$9)*_xlfn.STDEV.S(AI1040:OFFSET(AI1040,$B$5-1,0))</f>
        <v>#DIV/0!</v>
      </c>
      <c r="AK1040" s="4" t="e">
        <f ca="1">SQRT($B$9)*_xlfn.STDEV.S(AI1040:OFFSET(AI1040,$B$6-1,0))</f>
        <v>#DIV/0!</v>
      </c>
      <c r="AL1040" s="4" t="e">
        <f ca="1">SQRT($B$9)*_xlfn.STDEV.S(AI1040:OFFSET(AI1040,$B$7-1,0))</f>
        <v>#DIV/0!</v>
      </c>
      <c r="AM1040" s="4" t="e">
        <f ca="1">SQRT($B$9)*_xlfn.STDEV.S(AI1040:OFFSET(AI1040,$B$8-1,0))</f>
        <v>#DIV/0!</v>
      </c>
    </row>
    <row r="1041" spans="11:39" x14ac:dyDescent="0.2">
      <c r="K1041" s="3" t="e">
        <f t="shared" si="89"/>
        <v>#DIV/0!</v>
      </c>
      <c r="L1041" s="3" t="e">
        <f ca="1">SQRT(AVERAGE(K1041:OFFSET(K1041,$B$5-1,0))*$B$9/(4*LN(2)))</f>
        <v>#DIV/0!</v>
      </c>
      <c r="M1041" s="3" t="e">
        <f ca="1">SQRT(AVERAGE(K1041:OFFSET(K1041,$B$6-1,0))*$B$9/(4*LN(2)))</f>
        <v>#DIV/0!</v>
      </c>
      <c r="N1041" s="3" t="e">
        <f ca="1">SQRT(AVERAGE(K1041:OFFSET(K1041,$B$7-1,0))*$B$9/(4*LN(2)))</f>
        <v>#DIV/0!</v>
      </c>
      <c r="O1041" s="3" t="e">
        <f ca="1">SQRT(AVERAGE(K1041:OFFSET(K1041,$B$8-1,0))*$B$9/(4*LN(2)))</f>
        <v>#DIV/0!</v>
      </c>
      <c r="Q1041" s="5" t="e">
        <f t="shared" si="88"/>
        <v>#DIV/0!</v>
      </c>
      <c r="R1041" s="5" t="e">
        <f ca="1">SQRT($B$9*AVERAGE((Q1041:OFFSET(Q1041,$B$5-1,0))))</f>
        <v>#DIV/0!</v>
      </c>
      <c r="S1041" s="5" t="e">
        <f ca="1">SQRT($B$9*AVERAGE((Q1041:OFFSET(Q1041,$B$6-1,0))))</f>
        <v>#DIV/0!</v>
      </c>
      <c r="T1041" s="5" t="e">
        <f ca="1">SQRT($B$9*AVERAGE((Q1041:OFFSET(Q1041,$B$7-1,0))))</f>
        <v>#DIV/0!</v>
      </c>
      <c r="U1041" s="5" t="e">
        <f ca="1">SQRT($B$9*AVERAGE((Q1041:OFFSET(Q1041,$B$8-1,0))))</f>
        <v>#DIV/0!</v>
      </c>
      <c r="W1041" s="6" t="e">
        <f t="shared" si="87"/>
        <v>#DIV/0!</v>
      </c>
      <c r="X1041" s="6" t="e">
        <f ca="1">SQRT($B$9*AVERAGE(W1041:OFFSET(W1041,$B$5-1,0)))</f>
        <v>#DIV/0!</v>
      </c>
      <c r="Y1041" s="6" t="e">
        <f ca="1">SQRT($B$9*AVERAGE(W1041:OFFSET(W1041,$B$6-1,0)))</f>
        <v>#DIV/0!</v>
      </c>
      <c r="Z1041" s="6" t="e">
        <f ca="1">SQRT($B$9*AVERAGE(W1041:OFFSET(W1041,$B$7-1,0)))</f>
        <v>#DIV/0!</v>
      </c>
      <c r="AA1041" s="6" t="e">
        <f ca="1">SQRT($B$9*AVERAGE(W1041:OFFSET(W1041,$B$8-1,0)))</f>
        <v>#DIV/0!</v>
      </c>
      <c r="AC1041" s="34" t="e">
        <f t="shared" ref="AC1041:AC1104" si="90">(LN(I1041/I1042))^2</f>
        <v>#DIV/0!</v>
      </c>
      <c r="AD1041" s="34" t="e">
        <f ca="1">SQRT($B$9*SUM(AC1041:OFFSET(AC1041,$B$5-1,0))/($B$5-1))</f>
        <v>#DIV/0!</v>
      </c>
      <c r="AE1041" s="34" t="e">
        <f ca="1">SQRT($B$9*SUM(AC1041:OFFSET(AC1041,$B$6-1,0))/($B$6-1))</f>
        <v>#DIV/0!</v>
      </c>
      <c r="AF1041" s="34" t="e">
        <f ca="1">SQRT($B$9*SUM(AC1041:OFFSET(AC1041,$B$7-1,0))/($B$7-1))</f>
        <v>#DIV/0!</v>
      </c>
      <c r="AG1041" s="34" t="e">
        <f ca="1">SQRT($B$9*SUM(AC1041:OFFSET(AC1041,$B$8-1,0))/($B$8-1))</f>
        <v>#DIV/0!</v>
      </c>
      <c r="AI1041" s="1" t="e">
        <f t="shared" si="86"/>
        <v>#DIV/0!</v>
      </c>
      <c r="AJ1041" s="4" t="e">
        <f ca="1">SQRT($B$9)*_xlfn.STDEV.S(AI1041:OFFSET(AI1041,$B$5-1,0))</f>
        <v>#DIV/0!</v>
      </c>
      <c r="AK1041" s="4" t="e">
        <f ca="1">SQRT($B$9)*_xlfn.STDEV.S(AI1041:OFFSET(AI1041,$B$6-1,0))</f>
        <v>#DIV/0!</v>
      </c>
      <c r="AL1041" s="4" t="e">
        <f ca="1">SQRT($B$9)*_xlfn.STDEV.S(AI1041:OFFSET(AI1041,$B$7-1,0))</f>
        <v>#DIV/0!</v>
      </c>
      <c r="AM1041" s="4" t="e">
        <f ca="1">SQRT($B$9)*_xlfn.STDEV.S(AI1041:OFFSET(AI1041,$B$8-1,0))</f>
        <v>#DIV/0!</v>
      </c>
    </row>
    <row r="1042" spans="11:39" x14ac:dyDescent="0.2">
      <c r="K1042" s="3" t="e">
        <f t="shared" si="89"/>
        <v>#DIV/0!</v>
      </c>
      <c r="L1042" s="3" t="e">
        <f ca="1">SQRT(AVERAGE(K1042:OFFSET(K1042,$B$5-1,0))*$B$9/(4*LN(2)))</f>
        <v>#DIV/0!</v>
      </c>
      <c r="M1042" s="3" t="e">
        <f ca="1">SQRT(AVERAGE(K1042:OFFSET(K1042,$B$6-1,0))*$B$9/(4*LN(2)))</f>
        <v>#DIV/0!</v>
      </c>
      <c r="N1042" s="3" t="e">
        <f ca="1">SQRT(AVERAGE(K1042:OFFSET(K1042,$B$7-1,0))*$B$9/(4*LN(2)))</f>
        <v>#DIV/0!</v>
      </c>
      <c r="O1042" s="3" t="e">
        <f ca="1">SQRT(AVERAGE(K1042:OFFSET(K1042,$B$8-1,0))*$B$9/(4*LN(2)))</f>
        <v>#DIV/0!</v>
      </c>
      <c r="Q1042" s="5" t="e">
        <f t="shared" si="88"/>
        <v>#DIV/0!</v>
      </c>
      <c r="R1042" s="5" t="e">
        <f ca="1">SQRT($B$9*AVERAGE((Q1042:OFFSET(Q1042,$B$5-1,0))))</f>
        <v>#DIV/0!</v>
      </c>
      <c r="S1042" s="5" t="e">
        <f ca="1">SQRT($B$9*AVERAGE((Q1042:OFFSET(Q1042,$B$6-1,0))))</f>
        <v>#DIV/0!</v>
      </c>
      <c r="T1042" s="5" t="e">
        <f ca="1">SQRT($B$9*AVERAGE((Q1042:OFFSET(Q1042,$B$7-1,0))))</f>
        <v>#DIV/0!</v>
      </c>
      <c r="U1042" s="5" t="e">
        <f ca="1">SQRT($B$9*AVERAGE((Q1042:OFFSET(Q1042,$B$8-1,0))))</f>
        <v>#DIV/0!</v>
      </c>
      <c r="W1042" s="6" t="e">
        <f t="shared" si="87"/>
        <v>#DIV/0!</v>
      </c>
      <c r="X1042" s="6" t="e">
        <f ca="1">SQRT($B$9*AVERAGE(W1042:OFFSET(W1042,$B$5-1,0)))</f>
        <v>#DIV/0!</v>
      </c>
      <c r="Y1042" s="6" t="e">
        <f ca="1">SQRT($B$9*AVERAGE(W1042:OFFSET(W1042,$B$6-1,0)))</f>
        <v>#DIV/0!</v>
      </c>
      <c r="Z1042" s="6" t="e">
        <f ca="1">SQRT($B$9*AVERAGE(W1042:OFFSET(W1042,$B$7-1,0)))</f>
        <v>#DIV/0!</v>
      </c>
      <c r="AA1042" s="6" t="e">
        <f ca="1">SQRT($B$9*AVERAGE(W1042:OFFSET(W1042,$B$8-1,0)))</f>
        <v>#DIV/0!</v>
      </c>
      <c r="AC1042" s="34" t="e">
        <f t="shared" si="90"/>
        <v>#DIV/0!</v>
      </c>
      <c r="AD1042" s="34" t="e">
        <f ca="1">SQRT($B$9*SUM(AC1042:OFFSET(AC1042,$B$5-1,0))/($B$5-1))</f>
        <v>#DIV/0!</v>
      </c>
      <c r="AE1042" s="34" t="e">
        <f ca="1">SQRT($B$9*SUM(AC1042:OFFSET(AC1042,$B$6-1,0))/($B$6-1))</f>
        <v>#DIV/0!</v>
      </c>
      <c r="AF1042" s="34" t="e">
        <f ca="1">SQRT($B$9*SUM(AC1042:OFFSET(AC1042,$B$7-1,0))/($B$7-1))</f>
        <v>#DIV/0!</v>
      </c>
      <c r="AG1042" s="34" t="e">
        <f ca="1">SQRT($B$9*SUM(AC1042:OFFSET(AC1042,$B$8-1,0))/($B$8-1))</f>
        <v>#DIV/0!</v>
      </c>
      <c r="AI1042" s="1" t="e">
        <f t="shared" si="86"/>
        <v>#DIV/0!</v>
      </c>
      <c r="AJ1042" s="4" t="e">
        <f ca="1">SQRT($B$9)*_xlfn.STDEV.S(AI1042:OFFSET(AI1042,$B$5-1,0))</f>
        <v>#DIV/0!</v>
      </c>
      <c r="AK1042" s="4" t="e">
        <f ca="1">SQRT($B$9)*_xlfn.STDEV.S(AI1042:OFFSET(AI1042,$B$6-1,0))</f>
        <v>#DIV/0!</v>
      </c>
      <c r="AL1042" s="4" t="e">
        <f ca="1">SQRT($B$9)*_xlfn.STDEV.S(AI1042:OFFSET(AI1042,$B$7-1,0))</f>
        <v>#DIV/0!</v>
      </c>
      <c r="AM1042" s="4" t="e">
        <f ca="1">SQRT($B$9)*_xlfn.STDEV.S(AI1042:OFFSET(AI1042,$B$8-1,0))</f>
        <v>#DIV/0!</v>
      </c>
    </row>
    <row r="1043" spans="11:39" x14ac:dyDescent="0.2">
      <c r="K1043" s="3" t="e">
        <f t="shared" si="89"/>
        <v>#DIV/0!</v>
      </c>
      <c r="L1043" s="3" t="e">
        <f ca="1">SQRT(AVERAGE(K1043:OFFSET(K1043,$B$5-1,0))*$B$9/(4*LN(2)))</f>
        <v>#DIV/0!</v>
      </c>
      <c r="M1043" s="3" t="e">
        <f ca="1">SQRT(AVERAGE(K1043:OFFSET(K1043,$B$6-1,0))*$B$9/(4*LN(2)))</f>
        <v>#DIV/0!</v>
      </c>
      <c r="N1043" s="3" t="e">
        <f ca="1">SQRT(AVERAGE(K1043:OFFSET(K1043,$B$7-1,0))*$B$9/(4*LN(2)))</f>
        <v>#DIV/0!</v>
      </c>
      <c r="O1043" s="3" t="e">
        <f ca="1">SQRT(AVERAGE(K1043:OFFSET(K1043,$B$8-1,0))*$B$9/(4*LN(2)))</f>
        <v>#DIV/0!</v>
      </c>
      <c r="Q1043" s="5" t="e">
        <f t="shared" si="88"/>
        <v>#DIV/0!</v>
      </c>
      <c r="R1043" s="5" t="e">
        <f ca="1">SQRT($B$9*AVERAGE((Q1043:OFFSET(Q1043,$B$5-1,0))))</f>
        <v>#DIV/0!</v>
      </c>
      <c r="S1043" s="5" t="e">
        <f ca="1">SQRT($B$9*AVERAGE((Q1043:OFFSET(Q1043,$B$6-1,0))))</f>
        <v>#DIV/0!</v>
      </c>
      <c r="T1043" s="5" t="e">
        <f ca="1">SQRT($B$9*AVERAGE((Q1043:OFFSET(Q1043,$B$7-1,0))))</f>
        <v>#DIV/0!</v>
      </c>
      <c r="U1043" s="5" t="e">
        <f ca="1">SQRT($B$9*AVERAGE((Q1043:OFFSET(Q1043,$B$8-1,0))))</f>
        <v>#DIV/0!</v>
      </c>
      <c r="W1043" s="6" t="e">
        <f t="shared" si="87"/>
        <v>#DIV/0!</v>
      </c>
      <c r="X1043" s="6" t="e">
        <f ca="1">SQRT($B$9*AVERAGE(W1043:OFFSET(W1043,$B$5-1,0)))</f>
        <v>#DIV/0!</v>
      </c>
      <c r="Y1043" s="6" t="e">
        <f ca="1">SQRT($B$9*AVERAGE(W1043:OFFSET(W1043,$B$6-1,0)))</f>
        <v>#DIV/0!</v>
      </c>
      <c r="Z1043" s="6" t="e">
        <f ca="1">SQRT($B$9*AVERAGE(W1043:OFFSET(W1043,$B$7-1,0)))</f>
        <v>#DIV/0!</v>
      </c>
      <c r="AA1043" s="6" t="e">
        <f ca="1">SQRT($B$9*AVERAGE(W1043:OFFSET(W1043,$B$8-1,0)))</f>
        <v>#DIV/0!</v>
      </c>
      <c r="AC1043" s="34" t="e">
        <f t="shared" si="90"/>
        <v>#DIV/0!</v>
      </c>
      <c r="AD1043" s="34" t="e">
        <f ca="1">SQRT($B$9*SUM(AC1043:OFFSET(AC1043,$B$5-1,0))/($B$5-1))</f>
        <v>#DIV/0!</v>
      </c>
      <c r="AE1043" s="34" t="e">
        <f ca="1">SQRT($B$9*SUM(AC1043:OFFSET(AC1043,$B$6-1,0))/($B$6-1))</f>
        <v>#DIV/0!</v>
      </c>
      <c r="AF1043" s="34" t="e">
        <f ca="1">SQRT($B$9*SUM(AC1043:OFFSET(AC1043,$B$7-1,0))/($B$7-1))</f>
        <v>#DIV/0!</v>
      </c>
      <c r="AG1043" s="34" t="e">
        <f ca="1">SQRT($B$9*SUM(AC1043:OFFSET(AC1043,$B$8-1,0))/($B$8-1))</f>
        <v>#DIV/0!</v>
      </c>
      <c r="AI1043" s="1" t="e">
        <f t="shared" ref="AI1043:AI1106" si="91">LN(I1043/I1044)</f>
        <v>#DIV/0!</v>
      </c>
      <c r="AJ1043" s="4" t="e">
        <f ca="1">SQRT($B$9)*_xlfn.STDEV.S(AI1043:OFFSET(AI1043,$B$5-1,0))</f>
        <v>#DIV/0!</v>
      </c>
      <c r="AK1043" s="4" t="e">
        <f ca="1">SQRT($B$9)*_xlfn.STDEV.S(AI1043:OFFSET(AI1043,$B$6-1,0))</f>
        <v>#DIV/0!</v>
      </c>
      <c r="AL1043" s="4" t="e">
        <f ca="1">SQRT($B$9)*_xlfn.STDEV.S(AI1043:OFFSET(AI1043,$B$7-1,0))</f>
        <v>#DIV/0!</v>
      </c>
      <c r="AM1043" s="4" t="e">
        <f ca="1">SQRT($B$9)*_xlfn.STDEV.S(AI1043:OFFSET(AI1043,$B$8-1,0))</f>
        <v>#DIV/0!</v>
      </c>
    </row>
    <row r="1044" spans="11:39" x14ac:dyDescent="0.2">
      <c r="K1044" s="3" t="e">
        <f t="shared" si="89"/>
        <v>#DIV/0!</v>
      </c>
      <c r="L1044" s="3" t="e">
        <f ca="1">SQRT(AVERAGE(K1044:OFFSET(K1044,$B$5-1,0))*$B$9/(4*LN(2)))</f>
        <v>#DIV/0!</v>
      </c>
      <c r="M1044" s="3" t="e">
        <f ca="1">SQRT(AVERAGE(K1044:OFFSET(K1044,$B$6-1,0))*$B$9/(4*LN(2)))</f>
        <v>#DIV/0!</v>
      </c>
      <c r="N1044" s="3" t="e">
        <f ca="1">SQRT(AVERAGE(K1044:OFFSET(K1044,$B$7-1,0))*$B$9/(4*LN(2)))</f>
        <v>#DIV/0!</v>
      </c>
      <c r="O1044" s="3" t="e">
        <f ca="1">SQRT(AVERAGE(K1044:OFFSET(K1044,$B$8-1,0))*$B$9/(4*LN(2)))</f>
        <v>#DIV/0!</v>
      </c>
      <c r="Q1044" s="5" t="e">
        <f t="shared" si="88"/>
        <v>#DIV/0!</v>
      </c>
      <c r="R1044" s="5" t="e">
        <f ca="1">SQRT($B$9*AVERAGE((Q1044:OFFSET(Q1044,$B$5-1,0))))</f>
        <v>#DIV/0!</v>
      </c>
      <c r="S1044" s="5" t="e">
        <f ca="1">SQRT($B$9*AVERAGE((Q1044:OFFSET(Q1044,$B$6-1,0))))</f>
        <v>#DIV/0!</v>
      </c>
      <c r="T1044" s="5" t="e">
        <f ca="1">SQRT($B$9*AVERAGE((Q1044:OFFSET(Q1044,$B$7-1,0))))</f>
        <v>#DIV/0!</v>
      </c>
      <c r="U1044" s="5" t="e">
        <f ca="1">SQRT($B$9*AVERAGE((Q1044:OFFSET(Q1044,$B$8-1,0))))</f>
        <v>#DIV/0!</v>
      </c>
      <c r="W1044" s="6" t="e">
        <f t="shared" si="87"/>
        <v>#DIV/0!</v>
      </c>
      <c r="X1044" s="6" t="e">
        <f ca="1">SQRT($B$9*AVERAGE(W1044:OFFSET(W1044,$B$5-1,0)))</f>
        <v>#DIV/0!</v>
      </c>
      <c r="Y1044" s="6" t="e">
        <f ca="1">SQRT($B$9*AVERAGE(W1044:OFFSET(W1044,$B$6-1,0)))</f>
        <v>#DIV/0!</v>
      </c>
      <c r="Z1044" s="6" t="e">
        <f ca="1">SQRT($B$9*AVERAGE(W1044:OFFSET(W1044,$B$7-1,0)))</f>
        <v>#DIV/0!</v>
      </c>
      <c r="AA1044" s="6" t="e">
        <f ca="1">SQRT($B$9*AVERAGE(W1044:OFFSET(W1044,$B$8-1,0)))</f>
        <v>#DIV/0!</v>
      </c>
      <c r="AC1044" s="34" t="e">
        <f t="shared" si="90"/>
        <v>#DIV/0!</v>
      </c>
      <c r="AD1044" s="34" t="e">
        <f ca="1">SQRT($B$9*SUM(AC1044:OFFSET(AC1044,$B$5-1,0))/($B$5-1))</f>
        <v>#DIV/0!</v>
      </c>
      <c r="AE1044" s="34" t="e">
        <f ca="1">SQRT($B$9*SUM(AC1044:OFFSET(AC1044,$B$6-1,0))/($B$6-1))</f>
        <v>#DIV/0!</v>
      </c>
      <c r="AF1044" s="34" t="e">
        <f ca="1">SQRT($B$9*SUM(AC1044:OFFSET(AC1044,$B$7-1,0))/($B$7-1))</f>
        <v>#DIV/0!</v>
      </c>
      <c r="AG1044" s="34" t="e">
        <f ca="1">SQRT($B$9*SUM(AC1044:OFFSET(AC1044,$B$8-1,0))/($B$8-1))</f>
        <v>#DIV/0!</v>
      </c>
      <c r="AI1044" s="1" t="e">
        <f t="shared" si="91"/>
        <v>#DIV/0!</v>
      </c>
      <c r="AJ1044" s="4" t="e">
        <f ca="1">SQRT($B$9)*_xlfn.STDEV.S(AI1044:OFFSET(AI1044,$B$5-1,0))</f>
        <v>#DIV/0!</v>
      </c>
      <c r="AK1044" s="4" t="e">
        <f ca="1">SQRT($B$9)*_xlfn.STDEV.S(AI1044:OFFSET(AI1044,$B$6-1,0))</f>
        <v>#DIV/0!</v>
      </c>
      <c r="AL1044" s="4" t="e">
        <f ca="1">SQRT($B$9)*_xlfn.STDEV.S(AI1044:OFFSET(AI1044,$B$7-1,0))</f>
        <v>#DIV/0!</v>
      </c>
      <c r="AM1044" s="4" t="e">
        <f ca="1">SQRT($B$9)*_xlfn.STDEV.S(AI1044:OFFSET(AI1044,$B$8-1,0))</f>
        <v>#DIV/0!</v>
      </c>
    </row>
    <row r="1045" spans="11:39" x14ac:dyDescent="0.2">
      <c r="K1045" s="3" t="e">
        <f t="shared" si="89"/>
        <v>#DIV/0!</v>
      </c>
      <c r="L1045" s="3" t="e">
        <f ca="1">SQRT(AVERAGE(K1045:OFFSET(K1045,$B$5-1,0))*$B$9/(4*LN(2)))</f>
        <v>#DIV/0!</v>
      </c>
      <c r="M1045" s="3" t="e">
        <f ca="1">SQRT(AVERAGE(K1045:OFFSET(K1045,$B$6-1,0))*$B$9/(4*LN(2)))</f>
        <v>#DIV/0!</v>
      </c>
      <c r="N1045" s="3" t="e">
        <f ca="1">SQRT(AVERAGE(K1045:OFFSET(K1045,$B$7-1,0))*$B$9/(4*LN(2)))</f>
        <v>#DIV/0!</v>
      </c>
      <c r="O1045" s="3" t="e">
        <f ca="1">SQRT(AVERAGE(K1045:OFFSET(K1045,$B$8-1,0))*$B$9/(4*LN(2)))</f>
        <v>#DIV/0!</v>
      </c>
      <c r="Q1045" s="5" t="e">
        <f t="shared" si="88"/>
        <v>#DIV/0!</v>
      </c>
      <c r="R1045" s="5" t="e">
        <f ca="1">SQRT($B$9*AVERAGE((Q1045:OFFSET(Q1045,$B$5-1,0))))</f>
        <v>#DIV/0!</v>
      </c>
      <c r="S1045" s="5" t="e">
        <f ca="1">SQRT($B$9*AVERAGE((Q1045:OFFSET(Q1045,$B$6-1,0))))</f>
        <v>#DIV/0!</v>
      </c>
      <c r="T1045" s="5" t="e">
        <f ca="1">SQRT($B$9*AVERAGE((Q1045:OFFSET(Q1045,$B$7-1,0))))</f>
        <v>#DIV/0!</v>
      </c>
      <c r="U1045" s="5" t="e">
        <f ca="1">SQRT($B$9*AVERAGE((Q1045:OFFSET(Q1045,$B$8-1,0))))</f>
        <v>#DIV/0!</v>
      </c>
      <c r="W1045" s="6" t="e">
        <f t="shared" si="87"/>
        <v>#DIV/0!</v>
      </c>
      <c r="X1045" s="6" t="e">
        <f ca="1">SQRT($B$9*AVERAGE(W1045:OFFSET(W1045,$B$5-1,0)))</f>
        <v>#DIV/0!</v>
      </c>
      <c r="Y1045" s="6" t="e">
        <f ca="1">SQRT($B$9*AVERAGE(W1045:OFFSET(W1045,$B$6-1,0)))</f>
        <v>#DIV/0!</v>
      </c>
      <c r="Z1045" s="6" t="e">
        <f ca="1">SQRT($B$9*AVERAGE(W1045:OFFSET(W1045,$B$7-1,0)))</f>
        <v>#DIV/0!</v>
      </c>
      <c r="AA1045" s="6" t="e">
        <f ca="1">SQRT($B$9*AVERAGE(W1045:OFFSET(W1045,$B$8-1,0)))</f>
        <v>#DIV/0!</v>
      </c>
      <c r="AC1045" s="34" t="e">
        <f t="shared" si="90"/>
        <v>#DIV/0!</v>
      </c>
      <c r="AD1045" s="34" t="e">
        <f ca="1">SQRT($B$9*SUM(AC1045:OFFSET(AC1045,$B$5-1,0))/($B$5-1))</f>
        <v>#DIV/0!</v>
      </c>
      <c r="AE1045" s="34" t="e">
        <f ca="1">SQRT($B$9*SUM(AC1045:OFFSET(AC1045,$B$6-1,0))/($B$6-1))</f>
        <v>#DIV/0!</v>
      </c>
      <c r="AF1045" s="34" t="e">
        <f ca="1">SQRT($B$9*SUM(AC1045:OFFSET(AC1045,$B$7-1,0))/($B$7-1))</f>
        <v>#DIV/0!</v>
      </c>
      <c r="AG1045" s="34" t="e">
        <f ca="1">SQRT($B$9*SUM(AC1045:OFFSET(AC1045,$B$8-1,0))/($B$8-1))</f>
        <v>#DIV/0!</v>
      </c>
      <c r="AI1045" s="1" t="e">
        <f t="shared" si="91"/>
        <v>#DIV/0!</v>
      </c>
      <c r="AJ1045" s="4" t="e">
        <f ca="1">SQRT($B$9)*_xlfn.STDEV.S(AI1045:OFFSET(AI1045,$B$5-1,0))</f>
        <v>#DIV/0!</v>
      </c>
      <c r="AK1045" s="4" t="e">
        <f ca="1">SQRT($B$9)*_xlfn.STDEV.S(AI1045:OFFSET(AI1045,$B$6-1,0))</f>
        <v>#DIV/0!</v>
      </c>
      <c r="AL1045" s="4" t="e">
        <f ca="1">SQRT($B$9)*_xlfn.STDEV.S(AI1045:OFFSET(AI1045,$B$7-1,0))</f>
        <v>#DIV/0!</v>
      </c>
      <c r="AM1045" s="4" t="e">
        <f ca="1">SQRT($B$9)*_xlfn.STDEV.S(AI1045:OFFSET(AI1045,$B$8-1,0))</f>
        <v>#DIV/0!</v>
      </c>
    </row>
    <row r="1046" spans="11:39" x14ac:dyDescent="0.2">
      <c r="K1046" s="3" t="e">
        <f t="shared" si="89"/>
        <v>#DIV/0!</v>
      </c>
      <c r="L1046" s="3" t="e">
        <f ca="1">SQRT(AVERAGE(K1046:OFFSET(K1046,$B$5-1,0))*$B$9/(4*LN(2)))</f>
        <v>#DIV/0!</v>
      </c>
      <c r="M1046" s="3" t="e">
        <f ca="1">SQRT(AVERAGE(K1046:OFFSET(K1046,$B$6-1,0))*$B$9/(4*LN(2)))</f>
        <v>#DIV/0!</v>
      </c>
      <c r="N1046" s="3" t="e">
        <f ca="1">SQRT(AVERAGE(K1046:OFFSET(K1046,$B$7-1,0))*$B$9/(4*LN(2)))</f>
        <v>#DIV/0!</v>
      </c>
      <c r="O1046" s="3" t="e">
        <f ca="1">SQRT(AVERAGE(K1046:OFFSET(K1046,$B$8-1,0))*$B$9/(4*LN(2)))</f>
        <v>#DIV/0!</v>
      </c>
      <c r="Q1046" s="5" t="e">
        <f t="shared" si="88"/>
        <v>#DIV/0!</v>
      </c>
      <c r="R1046" s="5" t="e">
        <f ca="1">SQRT($B$9*AVERAGE((Q1046:OFFSET(Q1046,$B$5-1,0))))</f>
        <v>#DIV/0!</v>
      </c>
      <c r="S1046" s="5" t="e">
        <f ca="1">SQRT($B$9*AVERAGE((Q1046:OFFSET(Q1046,$B$6-1,0))))</f>
        <v>#DIV/0!</v>
      </c>
      <c r="T1046" s="5" t="e">
        <f ca="1">SQRT($B$9*AVERAGE((Q1046:OFFSET(Q1046,$B$7-1,0))))</f>
        <v>#DIV/0!</v>
      </c>
      <c r="U1046" s="5" t="e">
        <f ca="1">SQRT($B$9*AVERAGE((Q1046:OFFSET(Q1046,$B$8-1,0))))</f>
        <v>#DIV/0!</v>
      </c>
      <c r="W1046" s="6" t="e">
        <f t="shared" si="87"/>
        <v>#DIV/0!</v>
      </c>
      <c r="X1046" s="6" t="e">
        <f ca="1">SQRT($B$9*AVERAGE(W1046:OFFSET(W1046,$B$5-1,0)))</f>
        <v>#DIV/0!</v>
      </c>
      <c r="Y1046" s="6" t="e">
        <f ca="1">SQRT($B$9*AVERAGE(W1046:OFFSET(W1046,$B$6-1,0)))</f>
        <v>#DIV/0!</v>
      </c>
      <c r="Z1046" s="6" t="e">
        <f ca="1">SQRT($B$9*AVERAGE(W1046:OFFSET(W1046,$B$7-1,0)))</f>
        <v>#DIV/0!</v>
      </c>
      <c r="AA1046" s="6" t="e">
        <f ca="1">SQRT($B$9*AVERAGE(W1046:OFFSET(W1046,$B$8-1,0)))</f>
        <v>#DIV/0!</v>
      </c>
      <c r="AC1046" s="34" t="e">
        <f t="shared" si="90"/>
        <v>#DIV/0!</v>
      </c>
      <c r="AD1046" s="34" t="e">
        <f ca="1">SQRT($B$9*SUM(AC1046:OFFSET(AC1046,$B$5-1,0))/($B$5-1))</f>
        <v>#DIV/0!</v>
      </c>
      <c r="AE1046" s="34" t="e">
        <f ca="1">SQRT($B$9*SUM(AC1046:OFFSET(AC1046,$B$6-1,0))/($B$6-1))</f>
        <v>#DIV/0!</v>
      </c>
      <c r="AF1046" s="34" t="e">
        <f ca="1">SQRT($B$9*SUM(AC1046:OFFSET(AC1046,$B$7-1,0))/($B$7-1))</f>
        <v>#DIV/0!</v>
      </c>
      <c r="AG1046" s="34" t="e">
        <f ca="1">SQRT($B$9*SUM(AC1046:OFFSET(AC1046,$B$8-1,0))/($B$8-1))</f>
        <v>#DIV/0!</v>
      </c>
      <c r="AI1046" s="1" t="e">
        <f t="shared" si="91"/>
        <v>#DIV/0!</v>
      </c>
      <c r="AJ1046" s="4" t="e">
        <f ca="1">SQRT($B$9)*_xlfn.STDEV.S(AI1046:OFFSET(AI1046,$B$5-1,0))</f>
        <v>#DIV/0!</v>
      </c>
      <c r="AK1046" s="4" t="e">
        <f ca="1">SQRT($B$9)*_xlfn.STDEV.S(AI1046:OFFSET(AI1046,$B$6-1,0))</f>
        <v>#DIV/0!</v>
      </c>
      <c r="AL1046" s="4" t="e">
        <f ca="1">SQRT($B$9)*_xlfn.STDEV.S(AI1046:OFFSET(AI1046,$B$7-1,0))</f>
        <v>#DIV/0!</v>
      </c>
      <c r="AM1046" s="4" t="e">
        <f ca="1">SQRT($B$9)*_xlfn.STDEV.S(AI1046:OFFSET(AI1046,$B$8-1,0))</f>
        <v>#DIV/0!</v>
      </c>
    </row>
    <row r="1047" spans="11:39" x14ac:dyDescent="0.2">
      <c r="K1047" s="3" t="e">
        <f t="shared" si="89"/>
        <v>#DIV/0!</v>
      </c>
      <c r="L1047" s="3" t="e">
        <f ca="1">SQRT(AVERAGE(K1047:OFFSET(K1047,$B$5-1,0))*$B$9/(4*LN(2)))</f>
        <v>#DIV/0!</v>
      </c>
      <c r="M1047" s="3" t="e">
        <f ca="1">SQRT(AVERAGE(K1047:OFFSET(K1047,$B$6-1,0))*$B$9/(4*LN(2)))</f>
        <v>#DIV/0!</v>
      </c>
      <c r="N1047" s="3" t="e">
        <f ca="1">SQRT(AVERAGE(K1047:OFFSET(K1047,$B$7-1,0))*$B$9/(4*LN(2)))</f>
        <v>#DIV/0!</v>
      </c>
      <c r="O1047" s="3" t="e">
        <f ca="1">SQRT(AVERAGE(K1047:OFFSET(K1047,$B$8-1,0))*$B$9/(4*LN(2)))</f>
        <v>#DIV/0!</v>
      </c>
      <c r="Q1047" s="5" t="e">
        <f t="shared" si="88"/>
        <v>#DIV/0!</v>
      </c>
      <c r="R1047" s="5" t="e">
        <f ca="1">SQRT($B$9*AVERAGE((Q1047:OFFSET(Q1047,$B$5-1,0))))</f>
        <v>#DIV/0!</v>
      </c>
      <c r="S1047" s="5" t="e">
        <f ca="1">SQRT($B$9*AVERAGE((Q1047:OFFSET(Q1047,$B$6-1,0))))</f>
        <v>#DIV/0!</v>
      </c>
      <c r="T1047" s="5" t="e">
        <f ca="1">SQRT($B$9*AVERAGE((Q1047:OFFSET(Q1047,$B$7-1,0))))</f>
        <v>#DIV/0!</v>
      </c>
      <c r="U1047" s="5" t="e">
        <f ca="1">SQRT($B$9*AVERAGE((Q1047:OFFSET(Q1047,$B$8-1,0))))</f>
        <v>#DIV/0!</v>
      </c>
      <c r="W1047" s="6" t="e">
        <f t="shared" si="87"/>
        <v>#DIV/0!</v>
      </c>
      <c r="X1047" s="6" t="e">
        <f ca="1">SQRT($B$9*AVERAGE(W1047:OFFSET(W1047,$B$5-1,0)))</f>
        <v>#DIV/0!</v>
      </c>
      <c r="Y1047" s="6" t="e">
        <f ca="1">SQRT($B$9*AVERAGE(W1047:OFFSET(W1047,$B$6-1,0)))</f>
        <v>#DIV/0!</v>
      </c>
      <c r="Z1047" s="6" t="e">
        <f ca="1">SQRT($B$9*AVERAGE(W1047:OFFSET(W1047,$B$7-1,0)))</f>
        <v>#DIV/0!</v>
      </c>
      <c r="AA1047" s="6" t="e">
        <f ca="1">SQRT($B$9*AVERAGE(W1047:OFFSET(W1047,$B$8-1,0)))</f>
        <v>#DIV/0!</v>
      </c>
      <c r="AC1047" s="34" t="e">
        <f t="shared" si="90"/>
        <v>#DIV/0!</v>
      </c>
      <c r="AD1047" s="34" t="e">
        <f ca="1">SQRT($B$9*SUM(AC1047:OFFSET(AC1047,$B$5-1,0))/($B$5-1))</f>
        <v>#DIV/0!</v>
      </c>
      <c r="AE1047" s="34" t="e">
        <f ca="1">SQRT($B$9*SUM(AC1047:OFFSET(AC1047,$B$6-1,0))/($B$6-1))</f>
        <v>#DIV/0!</v>
      </c>
      <c r="AF1047" s="34" t="e">
        <f ca="1">SQRT($B$9*SUM(AC1047:OFFSET(AC1047,$B$7-1,0))/($B$7-1))</f>
        <v>#DIV/0!</v>
      </c>
      <c r="AG1047" s="34" t="e">
        <f ca="1">SQRT($B$9*SUM(AC1047:OFFSET(AC1047,$B$8-1,0))/($B$8-1))</f>
        <v>#DIV/0!</v>
      </c>
      <c r="AI1047" s="1" t="e">
        <f t="shared" si="91"/>
        <v>#DIV/0!</v>
      </c>
      <c r="AJ1047" s="4" t="e">
        <f ca="1">SQRT($B$9)*_xlfn.STDEV.S(AI1047:OFFSET(AI1047,$B$5-1,0))</f>
        <v>#DIV/0!</v>
      </c>
      <c r="AK1047" s="4" t="e">
        <f ca="1">SQRT($B$9)*_xlfn.STDEV.S(AI1047:OFFSET(AI1047,$B$6-1,0))</f>
        <v>#DIV/0!</v>
      </c>
      <c r="AL1047" s="4" t="e">
        <f ca="1">SQRT($B$9)*_xlfn.STDEV.S(AI1047:OFFSET(AI1047,$B$7-1,0))</f>
        <v>#DIV/0!</v>
      </c>
      <c r="AM1047" s="4" t="e">
        <f ca="1">SQRT($B$9)*_xlfn.STDEV.S(AI1047:OFFSET(AI1047,$B$8-1,0))</f>
        <v>#DIV/0!</v>
      </c>
    </row>
    <row r="1048" spans="11:39" x14ac:dyDescent="0.2">
      <c r="K1048" s="3" t="e">
        <f t="shared" si="89"/>
        <v>#DIV/0!</v>
      </c>
      <c r="L1048" s="3" t="e">
        <f ca="1">SQRT(AVERAGE(K1048:OFFSET(K1048,$B$5-1,0))*$B$9/(4*LN(2)))</f>
        <v>#DIV/0!</v>
      </c>
      <c r="M1048" s="3" t="e">
        <f ca="1">SQRT(AVERAGE(K1048:OFFSET(K1048,$B$6-1,0))*$B$9/(4*LN(2)))</f>
        <v>#DIV/0!</v>
      </c>
      <c r="N1048" s="3" t="e">
        <f ca="1">SQRT(AVERAGE(K1048:OFFSET(K1048,$B$7-1,0))*$B$9/(4*LN(2)))</f>
        <v>#DIV/0!</v>
      </c>
      <c r="O1048" s="3" t="e">
        <f ca="1">SQRT(AVERAGE(K1048:OFFSET(K1048,$B$8-1,0))*$B$9/(4*LN(2)))</f>
        <v>#DIV/0!</v>
      </c>
      <c r="Q1048" s="5" t="e">
        <f t="shared" si="88"/>
        <v>#DIV/0!</v>
      </c>
      <c r="R1048" s="5" t="e">
        <f ca="1">SQRT($B$9*AVERAGE((Q1048:OFFSET(Q1048,$B$5-1,0))))</f>
        <v>#DIV/0!</v>
      </c>
      <c r="S1048" s="5" t="e">
        <f ca="1">SQRT($B$9*AVERAGE((Q1048:OFFSET(Q1048,$B$6-1,0))))</f>
        <v>#DIV/0!</v>
      </c>
      <c r="T1048" s="5" t="e">
        <f ca="1">SQRT($B$9*AVERAGE((Q1048:OFFSET(Q1048,$B$7-1,0))))</f>
        <v>#DIV/0!</v>
      </c>
      <c r="U1048" s="5" t="e">
        <f ca="1">SQRT($B$9*AVERAGE((Q1048:OFFSET(Q1048,$B$8-1,0))))</f>
        <v>#DIV/0!</v>
      </c>
      <c r="W1048" s="6" t="e">
        <f t="shared" si="87"/>
        <v>#DIV/0!</v>
      </c>
      <c r="X1048" s="6" t="e">
        <f ca="1">SQRT($B$9*AVERAGE(W1048:OFFSET(W1048,$B$5-1,0)))</f>
        <v>#DIV/0!</v>
      </c>
      <c r="Y1048" s="6" t="e">
        <f ca="1">SQRT($B$9*AVERAGE(W1048:OFFSET(W1048,$B$6-1,0)))</f>
        <v>#DIV/0!</v>
      </c>
      <c r="Z1048" s="6" t="e">
        <f ca="1">SQRT($B$9*AVERAGE(W1048:OFFSET(W1048,$B$7-1,0)))</f>
        <v>#DIV/0!</v>
      </c>
      <c r="AA1048" s="6" t="e">
        <f ca="1">SQRT($B$9*AVERAGE(W1048:OFFSET(W1048,$B$8-1,0)))</f>
        <v>#DIV/0!</v>
      </c>
      <c r="AC1048" s="34" t="e">
        <f t="shared" si="90"/>
        <v>#DIV/0!</v>
      </c>
      <c r="AD1048" s="34" t="e">
        <f ca="1">SQRT($B$9*SUM(AC1048:OFFSET(AC1048,$B$5-1,0))/($B$5-1))</f>
        <v>#DIV/0!</v>
      </c>
      <c r="AE1048" s="34" t="e">
        <f ca="1">SQRT($B$9*SUM(AC1048:OFFSET(AC1048,$B$6-1,0))/($B$6-1))</f>
        <v>#DIV/0!</v>
      </c>
      <c r="AF1048" s="34" t="e">
        <f ca="1">SQRT($B$9*SUM(AC1048:OFFSET(AC1048,$B$7-1,0))/($B$7-1))</f>
        <v>#DIV/0!</v>
      </c>
      <c r="AG1048" s="34" t="e">
        <f ca="1">SQRT($B$9*SUM(AC1048:OFFSET(AC1048,$B$8-1,0))/($B$8-1))</f>
        <v>#DIV/0!</v>
      </c>
      <c r="AI1048" s="1" t="e">
        <f t="shared" si="91"/>
        <v>#DIV/0!</v>
      </c>
      <c r="AJ1048" s="4" t="e">
        <f ca="1">SQRT($B$9)*_xlfn.STDEV.S(AI1048:OFFSET(AI1048,$B$5-1,0))</f>
        <v>#DIV/0!</v>
      </c>
      <c r="AK1048" s="4" t="e">
        <f ca="1">SQRT($B$9)*_xlfn.STDEV.S(AI1048:OFFSET(AI1048,$B$6-1,0))</f>
        <v>#DIV/0!</v>
      </c>
      <c r="AL1048" s="4" t="e">
        <f ca="1">SQRT($B$9)*_xlfn.STDEV.S(AI1048:OFFSET(AI1048,$B$7-1,0))</f>
        <v>#DIV/0!</v>
      </c>
      <c r="AM1048" s="4" t="e">
        <f ca="1">SQRT($B$9)*_xlfn.STDEV.S(AI1048:OFFSET(AI1048,$B$8-1,0))</f>
        <v>#DIV/0!</v>
      </c>
    </row>
    <row r="1049" spans="11:39" x14ac:dyDescent="0.2">
      <c r="K1049" s="3" t="e">
        <f t="shared" si="89"/>
        <v>#DIV/0!</v>
      </c>
      <c r="L1049" s="3" t="e">
        <f ca="1">SQRT(AVERAGE(K1049:OFFSET(K1049,$B$5-1,0))*$B$9/(4*LN(2)))</f>
        <v>#DIV/0!</v>
      </c>
      <c r="M1049" s="3" t="e">
        <f ca="1">SQRT(AVERAGE(K1049:OFFSET(K1049,$B$6-1,0))*$B$9/(4*LN(2)))</f>
        <v>#DIV/0!</v>
      </c>
      <c r="N1049" s="3" t="e">
        <f ca="1">SQRT(AVERAGE(K1049:OFFSET(K1049,$B$7-1,0))*$B$9/(4*LN(2)))</f>
        <v>#DIV/0!</v>
      </c>
      <c r="O1049" s="3" t="e">
        <f ca="1">SQRT(AVERAGE(K1049:OFFSET(K1049,$B$8-1,0))*$B$9/(4*LN(2)))</f>
        <v>#DIV/0!</v>
      </c>
      <c r="Q1049" s="5" t="e">
        <f t="shared" si="88"/>
        <v>#DIV/0!</v>
      </c>
      <c r="R1049" s="5" t="e">
        <f ca="1">SQRT($B$9*AVERAGE((Q1049:OFFSET(Q1049,$B$5-1,0))))</f>
        <v>#DIV/0!</v>
      </c>
      <c r="S1049" s="5" t="e">
        <f ca="1">SQRT($B$9*AVERAGE((Q1049:OFFSET(Q1049,$B$6-1,0))))</f>
        <v>#DIV/0!</v>
      </c>
      <c r="T1049" s="5" t="e">
        <f ca="1">SQRT($B$9*AVERAGE((Q1049:OFFSET(Q1049,$B$7-1,0))))</f>
        <v>#DIV/0!</v>
      </c>
      <c r="U1049" s="5" t="e">
        <f ca="1">SQRT($B$9*AVERAGE((Q1049:OFFSET(Q1049,$B$8-1,0))))</f>
        <v>#DIV/0!</v>
      </c>
      <c r="W1049" s="6" t="e">
        <f t="shared" si="87"/>
        <v>#DIV/0!</v>
      </c>
      <c r="X1049" s="6" t="e">
        <f ca="1">SQRT($B$9*AVERAGE(W1049:OFFSET(W1049,$B$5-1,0)))</f>
        <v>#DIV/0!</v>
      </c>
      <c r="Y1049" s="6" t="e">
        <f ca="1">SQRT($B$9*AVERAGE(W1049:OFFSET(W1049,$B$6-1,0)))</f>
        <v>#DIV/0!</v>
      </c>
      <c r="Z1049" s="6" t="e">
        <f ca="1">SQRT($B$9*AVERAGE(W1049:OFFSET(W1049,$B$7-1,0)))</f>
        <v>#DIV/0!</v>
      </c>
      <c r="AA1049" s="6" t="e">
        <f ca="1">SQRT($B$9*AVERAGE(W1049:OFFSET(W1049,$B$8-1,0)))</f>
        <v>#DIV/0!</v>
      </c>
      <c r="AC1049" s="34" t="e">
        <f t="shared" si="90"/>
        <v>#DIV/0!</v>
      </c>
      <c r="AD1049" s="34" t="e">
        <f ca="1">SQRT($B$9*SUM(AC1049:OFFSET(AC1049,$B$5-1,0))/($B$5-1))</f>
        <v>#DIV/0!</v>
      </c>
      <c r="AE1049" s="34" t="e">
        <f ca="1">SQRT($B$9*SUM(AC1049:OFFSET(AC1049,$B$6-1,0))/($B$6-1))</f>
        <v>#DIV/0!</v>
      </c>
      <c r="AF1049" s="34" t="e">
        <f ca="1">SQRT($B$9*SUM(AC1049:OFFSET(AC1049,$B$7-1,0))/($B$7-1))</f>
        <v>#DIV/0!</v>
      </c>
      <c r="AG1049" s="34" t="e">
        <f ca="1">SQRT($B$9*SUM(AC1049:OFFSET(AC1049,$B$8-1,0))/($B$8-1))</f>
        <v>#DIV/0!</v>
      </c>
      <c r="AI1049" s="1" t="e">
        <f t="shared" si="91"/>
        <v>#DIV/0!</v>
      </c>
      <c r="AJ1049" s="4" t="e">
        <f ca="1">SQRT($B$9)*_xlfn.STDEV.S(AI1049:OFFSET(AI1049,$B$5-1,0))</f>
        <v>#DIV/0!</v>
      </c>
      <c r="AK1049" s="4" t="e">
        <f ca="1">SQRT($B$9)*_xlfn.STDEV.S(AI1049:OFFSET(AI1049,$B$6-1,0))</f>
        <v>#DIV/0!</v>
      </c>
      <c r="AL1049" s="4" t="e">
        <f ca="1">SQRT($B$9)*_xlfn.STDEV.S(AI1049:OFFSET(AI1049,$B$7-1,0))</f>
        <v>#DIV/0!</v>
      </c>
      <c r="AM1049" s="4" t="e">
        <f ca="1">SQRT($B$9)*_xlfn.STDEV.S(AI1049:OFFSET(AI1049,$B$8-1,0))</f>
        <v>#DIV/0!</v>
      </c>
    </row>
    <row r="1050" spans="11:39" x14ac:dyDescent="0.2">
      <c r="K1050" s="3" t="e">
        <f t="shared" si="89"/>
        <v>#DIV/0!</v>
      </c>
      <c r="L1050" s="3" t="e">
        <f ca="1">SQRT(AVERAGE(K1050:OFFSET(K1050,$B$5-1,0))*$B$9/(4*LN(2)))</f>
        <v>#DIV/0!</v>
      </c>
      <c r="M1050" s="3" t="e">
        <f ca="1">SQRT(AVERAGE(K1050:OFFSET(K1050,$B$6-1,0))*$B$9/(4*LN(2)))</f>
        <v>#DIV/0!</v>
      </c>
      <c r="N1050" s="3" t="e">
        <f ca="1">SQRT(AVERAGE(K1050:OFFSET(K1050,$B$7-1,0))*$B$9/(4*LN(2)))</f>
        <v>#DIV/0!</v>
      </c>
      <c r="O1050" s="3" t="e">
        <f ca="1">SQRT(AVERAGE(K1050:OFFSET(K1050,$B$8-1,0))*$B$9/(4*LN(2)))</f>
        <v>#DIV/0!</v>
      </c>
      <c r="Q1050" s="5" t="e">
        <f t="shared" si="88"/>
        <v>#DIV/0!</v>
      </c>
      <c r="R1050" s="5" t="e">
        <f ca="1">SQRT($B$9*AVERAGE((Q1050:OFFSET(Q1050,$B$5-1,0))))</f>
        <v>#DIV/0!</v>
      </c>
      <c r="S1050" s="5" t="e">
        <f ca="1">SQRT($B$9*AVERAGE((Q1050:OFFSET(Q1050,$B$6-1,0))))</f>
        <v>#DIV/0!</v>
      </c>
      <c r="T1050" s="5" t="e">
        <f ca="1">SQRT($B$9*AVERAGE((Q1050:OFFSET(Q1050,$B$7-1,0))))</f>
        <v>#DIV/0!</v>
      </c>
      <c r="U1050" s="5" t="e">
        <f ca="1">SQRT($B$9*AVERAGE((Q1050:OFFSET(Q1050,$B$8-1,0))))</f>
        <v>#DIV/0!</v>
      </c>
      <c r="W1050" s="6" t="e">
        <f t="shared" si="87"/>
        <v>#DIV/0!</v>
      </c>
      <c r="X1050" s="6" t="e">
        <f ca="1">SQRT($B$9*AVERAGE(W1050:OFFSET(W1050,$B$5-1,0)))</f>
        <v>#DIV/0!</v>
      </c>
      <c r="Y1050" s="6" t="e">
        <f ca="1">SQRT($B$9*AVERAGE(W1050:OFFSET(W1050,$B$6-1,0)))</f>
        <v>#DIV/0!</v>
      </c>
      <c r="Z1050" s="6" t="e">
        <f ca="1">SQRT($B$9*AVERAGE(W1050:OFFSET(W1050,$B$7-1,0)))</f>
        <v>#DIV/0!</v>
      </c>
      <c r="AA1050" s="6" t="e">
        <f ca="1">SQRT($B$9*AVERAGE(W1050:OFFSET(W1050,$B$8-1,0)))</f>
        <v>#DIV/0!</v>
      </c>
      <c r="AC1050" s="34" t="e">
        <f t="shared" si="90"/>
        <v>#DIV/0!</v>
      </c>
      <c r="AD1050" s="34" t="e">
        <f ca="1">SQRT($B$9*SUM(AC1050:OFFSET(AC1050,$B$5-1,0))/($B$5-1))</f>
        <v>#DIV/0!</v>
      </c>
      <c r="AE1050" s="34" t="e">
        <f ca="1">SQRT($B$9*SUM(AC1050:OFFSET(AC1050,$B$6-1,0))/($B$6-1))</f>
        <v>#DIV/0!</v>
      </c>
      <c r="AF1050" s="34" t="e">
        <f ca="1">SQRT($B$9*SUM(AC1050:OFFSET(AC1050,$B$7-1,0))/($B$7-1))</f>
        <v>#DIV/0!</v>
      </c>
      <c r="AG1050" s="34" t="e">
        <f ca="1">SQRT($B$9*SUM(AC1050:OFFSET(AC1050,$B$8-1,0))/($B$8-1))</f>
        <v>#DIV/0!</v>
      </c>
      <c r="AI1050" s="1" t="e">
        <f t="shared" si="91"/>
        <v>#DIV/0!</v>
      </c>
      <c r="AJ1050" s="4" t="e">
        <f ca="1">SQRT($B$9)*_xlfn.STDEV.S(AI1050:OFFSET(AI1050,$B$5-1,0))</f>
        <v>#DIV/0!</v>
      </c>
      <c r="AK1050" s="4" t="e">
        <f ca="1">SQRT($B$9)*_xlfn.STDEV.S(AI1050:OFFSET(AI1050,$B$6-1,0))</f>
        <v>#DIV/0!</v>
      </c>
      <c r="AL1050" s="4" t="e">
        <f ca="1">SQRT($B$9)*_xlfn.STDEV.S(AI1050:OFFSET(AI1050,$B$7-1,0))</f>
        <v>#DIV/0!</v>
      </c>
      <c r="AM1050" s="4" t="e">
        <f ca="1">SQRT($B$9)*_xlfn.STDEV.S(AI1050:OFFSET(AI1050,$B$8-1,0))</f>
        <v>#DIV/0!</v>
      </c>
    </row>
    <row r="1051" spans="11:39" x14ac:dyDescent="0.2">
      <c r="K1051" s="3" t="e">
        <f t="shared" si="89"/>
        <v>#DIV/0!</v>
      </c>
      <c r="L1051" s="3" t="e">
        <f ca="1">SQRT(AVERAGE(K1051:OFFSET(K1051,$B$5-1,0))*$B$9/(4*LN(2)))</f>
        <v>#DIV/0!</v>
      </c>
      <c r="M1051" s="3" t="e">
        <f ca="1">SQRT(AVERAGE(K1051:OFFSET(K1051,$B$6-1,0))*$B$9/(4*LN(2)))</f>
        <v>#DIV/0!</v>
      </c>
      <c r="N1051" s="3" t="e">
        <f ca="1">SQRT(AVERAGE(K1051:OFFSET(K1051,$B$7-1,0))*$B$9/(4*LN(2)))</f>
        <v>#DIV/0!</v>
      </c>
      <c r="O1051" s="3" t="e">
        <f ca="1">SQRT(AVERAGE(K1051:OFFSET(K1051,$B$8-1,0))*$B$9/(4*LN(2)))</f>
        <v>#DIV/0!</v>
      </c>
      <c r="Q1051" s="5" t="e">
        <f t="shared" si="88"/>
        <v>#DIV/0!</v>
      </c>
      <c r="R1051" s="5" t="e">
        <f ca="1">SQRT($B$9*AVERAGE((Q1051:OFFSET(Q1051,$B$5-1,0))))</f>
        <v>#DIV/0!</v>
      </c>
      <c r="S1051" s="5" t="e">
        <f ca="1">SQRT($B$9*AVERAGE((Q1051:OFFSET(Q1051,$B$6-1,0))))</f>
        <v>#DIV/0!</v>
      </c>
      <c r="T1051" s="5" t="e">
        <f ca="1">SQRT($B$9*AVERAGE((Q1051:OFFSET(Q1051,$B$7-1,0))))</f>
        <v>#DIV/0!</v>
      </c>
      <c r="U1051" s="5" t="e">
        <f ca="1">SQRT($B$9*AVERAGE((Q1051:OFFSET(Q1051,$B$8-1,0))))</f>
        <v>#DIV/0!</v>
      </c>
      <c r="W1051" s="6" t="e">
        <f t="shared" si="87"/>
        <v>#DIV/0!</v>
      </c>
      <c r="X1051" s="6" t="e">
        <f ca="1">SQRT($B$9*AVERAGE(W1051:OFFSET(W1051,$B$5-1,0)))</f>
        <v>#DIV/0!</v>
      </c>
      <c r="Y1051" s="6" t="e">
        <f ca="1">SQRT($B$9*AVERAGE(W1051:OFFSET(W1051,$B$6-1,0)))</f>
        <v>#DIV/0!</v>
      </c>
      <c r="Z1051" s="6" t="e">
        <f ca="1">SQRT($B$9*AVERAGE(W1051:OFFSET(W1051,$B$7-1,0)))</f>
        <v>#DIV/0!</v>
      </c>
      <c r="AA1051" s="6" t="e">
        <f ca="1">SQRT($B$9*AVERAGE(W1051:OFFSET(W1051,$B$8-1,0)))</f>
        <v>#DIV/0!</v>
      </c>
      <c r="AC1051" s="34" t="e">
        <f t="shared" si="90"/>
        <v>#DIV/0!</v>
      </c>
      <c r="AD1051" s="34" t="e">
        <f ca="1">SQRT($B$9*SUM(AC1051:OFFSET(AC1051,$B$5-1,0))/($B$5-1))</f>
        <v>#DIV/0!</v>
      </c>
      <c r="AE1051" s="34" t="e">
        <f ca="1">SQRT($B$9*SUM(AC1051:OFFSET(AC1051,$B$6-1,0))/($B$6-1))</f>
        <v>#DIV/0!</v>
      </c>
      <c r="AF1051" s="34" t="e">
        <f ca="1">SQRT($B$9*SUM(AC1051:OFFSET(AC1051,$B$7-1,0))/($B$7-1))</f>
        <v>#DIV/0!</v>
      </c>
      <c r="AG1051" s="34" t="e">
        <f ca="1">SQRT($B$9*SUM(AC1051:OFFSET(AC1051,$B$8-1,0))/($B$8-1))</f>
        <v>#DIV/0!</v>
      </c>
      <c r="AI1051" s="1" t="e">
        <f t="shared" si="91"/>
        <v>#DIV/0!</v>
      </c>
      <c r="AJ1051" s="4" t="e">
        <f ca="1">SQRT($B$9)*_xlfn.STDEV.S(AI1051:OFFSET(AI1051,$B$5-1,0))</f>
        <v>#DIV/0!</v>
      </c>
      <c r="AK1051" s="4" t="e">
        <f ca="1">SQRT($B$9)*_xlfn.STDEV.S(AI1051:OFFSET(AI1051,$B$6-1,0))</f>
        <v>#DIV/0!</v>
      </c>
      <c r="AL1051" s="4" t="e">
        <f ca="1">SQRT($B$9)*_xlfn.STDEV.S(AI1051:OFFSET(AI1051,$B$7-1,0))</f>
        <v>#DIV/0!</v>
      </c>
      <c r="AM1051" s="4" t="e">
        <f ca="1">SQRT($B$9)*_xlfn.STDEV.S(AI1051:OFFSET(AI1051,$B$8-1,0))</f>
        <v>#DIV/0!</v>
      </c>
    </row>
    <row r="1052" spans="11:39" x14ac:dyDescent="0.2">
      <c r="K1052" s="3" t="e">
        <f t="shared" si="89"/>
        <v>#DIV/0!</v>
      </c>
      <c r="L1052" s="3" t="e">
        <f ca="1">SQRT(AVERAGE(K1052:OFFSET(K1052,$B$5-1,0))*$B$9/(4*LN(2)))</f>
        <v>#DIV/0!</v>
      </c>
      <c r="M1052" s="3" t="e">
        <f ca="1">SQRT(AVERAGE(K1052:OFFSET(K1052,$B$6-1,0))*$B$9/(4*LN(2)))</f>
        <v>#DIV/0!</v>
      </c>
      <c r="N1052" s="3" t="e">
        <f ca="1">SQRT(AVERAGE(K1052:OFFSET(K1052,$B$7-1,0))*$B$9/(4*LN(2)))</f>
        <v>#DIV/0!</v>
      </c>
      <c r="O1052" s="3" t="e">
        <f ca="1">SQRT(AVERAGE(K1052:OFFSET(K1052,$B$8-1,0))*$B$9/(4*LN(2)))</f>
        <v>#DIV/0!</v>
      </c>
      <c r="Q1052" s="5" t="e">
        <f t="shared" si="88"/>
        <v>#DIV/0!</v>
      </c>
      <c r="R1052" s="5" t="e">
        <f ca="1">SQRT($B$9*AVERAGE((Q1052:OFFSET(Q1052,$B$5-1,0))))</f>
        <v>#DIV/0!</v>
      </c>
      <c r="S1052" s="5" t="e">
        <f ca="1">SQRT($B$9*AVERAGE((Q1052:OFFSET(Q1052,$B$6-1,0))))</f>
        <v>#DIV/0!</v>
      </c>
      <c r="T1052" s="5" t="e">
        <f ca="1">SQRT($B$9*AVERAGE((Q1052:OFFSET(Q1052,$B$7-1,0))))</f>
        <v>#DIV/0!</v>
      </c>
      <c r="U1052" s="5" t="e">
        <f ca="1">SQRT($B$9*AVERAGE((Q1052:OFFSET(Q1052,$B$8-1,0))))</f>
        <v>#DIV/0!</v>
      </c>
      <c r="W1052" s="6" t="e">
        <f t="shared" si="87"/>
        <v>#DIV/0!</v>
      </c>
      <c r="X1052" s="6" t="e">
        <f ca="1">SQRT($B$9*AVERAGE(W1052:OFFSET(W1052,$B$5-1,0)))</f>
        <v>#DIV/0!</v>
      </c>
      <c r="Y1052" s="6" t="e">
        <f ca="1">SQRT($B$9*AVERAGE(W1052:OFFSET(W1052,$B$6-1,0)))</f>
        <v>#DIV/0!</v>
      </c>
      <c r="Z1052" s="6" t="e">
        <f ca="1">SQRT($B$9*AVERAGE(W1052:OFFSET(W1052,$B$7-1,0)))</f>
        <v>#DIV/0!</v>
      </c>
      <c r="AA1052" s="6" t="e">
        <f ca="1">SQRT($B$9*AVERAGE(W1052:OFFSET(W1052,$B$8-1,0)))</f>
        <v>#DIV/0!</v>
      </c>
      <c r="AC1052" s="34" t="e">
        <f t="shared" si="90"/>
        <v>#DIV/0!</v>
      </c>
      <c r="AD1052" s="34" t="e">
        <f ca="1">SQRT($B$9*SUM(AC1052:OFFSET(AC1052,$B$5-1,0))/($B$5-1))</f>
        <v>#DIV/0!</v>
      </c>
      <c r="AE1052" s="34" t="e">
        <f ca="1">SQRT($B$9*SUM(AC1052:OFFSET(AC1052,$B$6-1,0))/($B$6-1))</f>
        <v>#DIV/0!</v>
      </c>
      <c r="AF1052" s="34" t="e">
        <f ca="1">SQRT($B$9*SUM(AC1052:OFFSET(AC1052,$B$7-1,0))/($B$7-1))</f>
        <v>#DIV/0!</v>
      </c>
      <c r="AG1052" s="34" t="e">
        <f ca="1">SQRT($B$9*SUM(AC1052:OFFSET(AC1052,$B$8-1,0))/($B$8-1))</f>
        <v>#DIV/0!</v>
      </c>
      <c r="AI1052" s="1" t="e">
        <f t="shared" si="91"/>
        <v>#DIV/0!</v>
      </c>
      <c r="AJ1052" s="4" t="e">
        <f ca="1">SQRT($B$9)*_xlfn.STDEV.S(AI1052:OFFSET(AI1052,$B$5-1,0))</f>
        <v>#DIV/0!</v>
      </c>
      <c r="AK1052" s="4" t="e">
        <f ca="1">SQRT($B$9)*_xlfn.STDEV.S(AI1052:OFFSET(AI1052,$B$6-1,0))</f>
        <v>#DIV/0!</v>
      </c>
      <c r="AL1052" s="4" t="e">
        <f ca="1">SQRT($B$9)*_xlfn.STDEV.S(AI1052:OFFSET(AI1052,$B$7-1,0))</f>
        <v>#DIV/0!</v>
      </c>
      <c r="AM1052" s="4" t="e">
        <f ca="1">SQRT($B$9)*_xlfn.STDEV.S(AI1052:OFFSET(AI1052,$B$8-1,0))</f>
        <v>#DIV/0!</v>
      </c>
    </row>
    <row r="1053" spans="11:39" x14ac:dyDescent="0.2">
      <c r="K1053" s="3" t="e">
        <f t="shared" si="89"/>
        <v>#DIV/0!</v>
      </c>
      <c r="L1053" s="3" t="e">
        <f ca="1">SQRT(AVERAGE(K1053:OFFSET(K1053,$B$5-1,0))*$B$9/(4*LN(2)))</f>
        <v>#DIV/0!</v>
      </c>
      <c r="M1053" s="3" t="e">
        <f ca="1">SQRT(AVERAGE(K1053:OFFSET(K1053,$B$6-1,0))*$B$9/(4*LN(2)))</f>
        <v>#DIV/0!</v>
      </c>
      <c r="N1053" s="3" t="e">
        <f ca="1">SQRT(AVERAGE(K1053:OFFSET(K1053,$B$7-1,0))*$B$9/(4*LN(2)))</f>
        <v>#DIV/0!</v>
      </c>
      <c r="O1053" s="3" t="e">
        <f ca="1">SQRT(AVERAGE(K1053:OFFSET(K1053,$B$8-1,0))*$B$9/(4*LN(2)))</f>
        <v>#DIV/0!</v>
      </c>
      <c r="Q1053" s="5" t="e">
        <f t="shared" si="88"/>
        <v>#DIV/0!</v>
      </c>
      <c r="R1053" s="5" t="e">
        <f ca="1">SQRT($B$9*AVERAGE((Q1053:OFFSET(Q1053,$B$5-1,0))))</f>
        <v>#DIV/0!</v>
      </c>
      <c r="S1053" s="5" t="e">
        <f ca="1">SQRT($B$9*AVERAGE((Q1053:OFFSET(Q1053,$B$6-1,0))))</f>
        <v>#DIV/0!</v>
      </c>
      <c r="T1053" s="5" t="e">
        <f ca="1">SQRT($B$9*AVERAGE((Q1053:OFFSET(Q1053,$B$7-1,0))))</f>
        <v>#DIV/0!</v>
      </c>
      <c r="U1053" s="5" t="e">
        <f ca="1">SQRT($B$9*AVERAGE((Q1053:OFFSET(Q1053,$B$8-1,0))))</f>
        <v>#DIV/0!</v>
      </c>
      <c r="W1053" s="6" t="e">
        <f t="shared" si="87"/>
        <v>#DIV/0!</v>
      </c>
      <c r="X1053" s="6" t="e">
        <f ca="1">SQRT($B$9*AVERAGE(W1053:OFFSET(W1053,$B$5-1,0)))</f>
        <v>#DIV/0!</v>
      </c>
      <c r="Y1053" s="6" t="e">
        <f ca="1">SQRT($B$9*AVERAGE(W1053:OFFSET(W1053,$B$6-1,0)))</f>
        <v>#DIV/0!</v>
      </c>
      <c r="Z1053" s="6" t="e">
        <f ca="1">SQRT($B$9*AVERAGE(W1053:OFFSET(W1053,$B$7-1,0)))</f>
        <v>#DIV/0!</v>
      </c>
      <c r="AA1053" s="6" t="e">
        <f ca="1">SQRT($B$9*AVERAGE(W1053:OFFSET(W1053,$B$8-1,0)))</f>
        <v>#DIV/0!</v>
      </c>
      <c r="AC1053" s="34" t="e">
        <f t="shared" si="90"/>
        <v>#DIV/0!</v>
      </c>
      <c r="AD1053" s="34" t="e">
        <f ca="1">SQRT($B$9*SUM(AC1053:OFFSET(AC1053,$B$5-1,0))/($B$5-1))</f>
        <v>#DIV/0!</v>
      </c>
      <c r="AE1053" s="34" t="e">
        <f ca="1">SQRT($B$9*SUM(AC1053:OFFSET(AC1053,$B$6-1,0))/($B$6-1))</f>
        <v>#DIV/0!</v>
      </c>
      <c r="AF1053" s="34" t="e">
        <f ca="1">SQRT($B$9*SUM(AC1053:OFFSET(AC1053,$B$7-1,0))/($B$7-1))</f>
        <v>#DIV/0!</v>
      </c>
      <c r="AG1053" s="34" t="e">
        <f ca="1">SQRT($B$9*SUM(AC1053:OFFSET(AC1053,$B$8-1,0))/($B$8-1))</f>
        <v>#DIV/0!</v>
      </c>
      <c r="AI1053" s="1" t="e">
        <f t="shared" si="91"/>
        <v>#DIV/0!</v>
      </c>
      <c r="AJ1053" s="4" t="e">
        <f ca="1">SQRT($B$9)*_xlfn.STDEV.S(AI1053:OFFSET(AI1053,$B$5-1,0))</f>
        <v>#DIV/0!</v>
      </c>
      <c r="AK1053" s="4" t="e">
        <f ca="1">SQRT($B$9)*_xlfn.STDEV.S(AI1053:OFFSET(AI1053,$B$6-1,0))</f>
        <v>#DIV/0!</v>
      </c>
      <c r="AL1053" s="4" t="e">
        <f ca="1">SQRT($B$9)*_xlfn.STDEV.S(AI1053:OFFSET(AI1053,$B$7-1,0))</f>
        <v>#DIV/0!</v>
      </c>
      <c r="AM1053" s="4" t="e">
        <f ca="1">SQRT($B$9)*_xlfn.STDEV.S(AI1053:OFFSET(AI1053,$B$8-1,0))</f>
        <v>#DIV/0!</v>
      </c>
    </row>
    <row r="1054" spans="11:39" x14ac:dyDescent="0.2">
      <c r="K1054" s="3" t="e">
        <f t="shared" si="89"/>
        <v>#DIV/0!</v>
      </c>
      <c r="L1054" s="3" t="e">
        <f ca="1">SQRT(AVERAGE(K1054:OFFSET(K1054,$B$5-1,0))*$B$9/(4*LN(2)))</f>
        <v>#DIV/0!</v>
      </c>
      <c r="M1054" s="3" t="e">
        <f ca="1">SQRT(AVERAGE(K1054:OFFSET(K1054,$B$6-1,0))*$B$9/(4*LN(2)))</f>
        <v>#DIV/0!</v>
      </c>
      <c r="N1054" s="3" t="e">
        <f ca="1">SQRT(AVERAGE(K1054:OFFSET(K1054,$B$7-1,0))*$B$9/(4*LN(2)))</f>
        <v>#DIV/0!</v>
      </c>
      <c r="O1054" s="3" t="e">
        <f ca="1">SQRT(AVERAGE(K1054:OFFSET(K1054,$B$8-1,0))*$B$9/(4*LN(2)))</f>
        <v>#DIV/0!</v>
      </c>
      <c r="Q1054" s="5" t="e">
        <f t="shared" si="88"/>
        <v>#DIV/0!</v>
      </c>
      <c r="R1054" s="5" t="e">
        <f ca="1">SQRT($B$9*AVERAGE((Q1054:OFFSET(Q1054,$B$5-1,0))))</f>
        <v>#DIV/0!</v>
      </c>
      <c r="S1054" s="5" t="e">
        <f ca="1">SQRT($B$9*AVERAGE((Q1054:OFFSET(Q1054,$B$6-1,0))))</f>
        <v>#DIV/0!</v>
      </c>
      <c r="T1054" s="5" t="e">
        <f ca="1">SQRT($B$9*AVERAGE((Q1054:OFFSET(Q1054,$B$7-1,0))))</f>
        <v>#DIV/0!</v>
      </c>
      <c r="U1054" s="5" t="e">
        <f ca="1">SQRT($B$9*AVERAGE((Q1054:OFFSET(Q1054,$B$8-1,0))))</f>
        <v>#DIV/0!</v>
      </c>
      <c r="W1054" s="6" t="e">
        <f t="shared" si="87"/>
        <v>#DIV/0!</v>
      </c>
      <c r="X1054" s="6" t="e">
        <f ca="1">SQRT($B$9*AVERAGE(W1054:OFFSET(W1054,$B$5-1,0)))</f>
        <v>#DIV/0!</v>
      </c>
      <c r="Y1054" s="6" t="e">
        <f ca="1">SQRT($B$9*AVERAGE(W1054:OFFSET(W1054,$B$6-1,0)))</f>
        <v>#DIV/0!</v>
      </c>
      <c r="Z1054" s="6" t="e">
        <f ca="1">SQRT($B$9*AVERAGE(W1054:OFFSET(W1054,$B$7-1,0)))</f>
        <v>#DIV/0!</v>
      </c>
      <c r="AA1054" s="6" t="e">
        <f ca="1">SQRT($B$9*AVERAGE(W1054:OFFSET(W1054,$B$8-1,0)))</f>
        <v>#DIV/0!</v>
      </c>
      <c r="AC1054" s="34" t="e">
        <f t="shared" si="90"/>
        <v>#DIV/0!</v>
      </c>
      <c r="AD1054" s="34" t="e">
        <f ca="1">SQRT($B$9*SUM(AC1054:OFFSET(AC1054,$B$5-1,0))/($B$5-1))</f>
        <v>#DIV/0!</v>
      </c>
      <c r="AE1054" s="34" t="e">
        <f ca="1">SQRT($B$9*SUM(AC1054:OFFSET(AC1054,$B$6-1,0))/($B$6-1))</f>
        <v>#DIV/0!</v>
      </c>
      <c r="AF1054" s="34" t="e">
        <f ca="1">SQRT($B$9*SUM(AC1054:OFFSET(AC1054,$B$7-1,0))/($B$7-1))</f>
        <v>#DIV/0!</v>
      </c>
      <c r="AG1054" s="34" t="e">
        <f ca="1">SQRT($B$9*SUM(AC1054:OFFSET(AC1054,$B$8-1,0))/($B$8-1))</f>
        <v>#DIV/0!</v>
      </c>
      <c r="AI1054" s="1" t="e">
        <f t="shared" si="91"/>
        <v>#DIV/0!</v>
      </c>
      <c r="AJ1054" s="4" t="e">
        <f ca="1">SQRT($B$9)*_xlfn.STDEV.S(AI1054:OFFSET(AI1054,$B$5-1,0))</f>
        <v>#DIV/0!</v>
      </c>
      <c r="AK1054" s="4" t="e">
        <f ca="1">SQRT($B$9)*_xlfn.STDEV.S(AI1054:OFFSET(AI1054,$B$6-1,0))</f>
        <v>#DIV/0!</v>
      </c>
      <c r="AL1054" s="4" t="e">
        <f ca="1">SQRT($B$9)*_xlfn.STDEV.S(AI1054:OFFSET(AI1054,$B$7-1,0))</f>
        <v>#DIV/0!</v>
      </c>
      <c r="AM1054" s="4" t="e">
        <f ca="1">SQRT($B$9)*_xlfn.STDEV.S(AI1054:OFFSET(AI1054,$B$8-1,0))</f>
        <v>#DIV/0!</v>
      </c>
    </row>
    <row r="1055" spans="11:39" x14ac:dyDescent="0.2">
      <c r="K1055" s="3" t="e">
        <f t="shared" si="89"/>
        <v>#DIV/0!</v>
      </c>
      <c r="L1055" s="3" t="e">
        <f ca="1">SQRT(AVERAGE(K1055:OFFSET(K1055,$B$5-1,0))*$B$9/(4*LN(2)))</f>
        <v>#DIV/0!</v>
      </c>
      <c r="M1055" s="3" t="e">
        <f ca="1">SQRT(AVERAGE(K1055:OFFSET(K1055,$B$6-1,0))*$B$9/(4*LN(2)))</f>
        <v>#DIV/0!</v>
      </c>
      <c r="N1055" s="3" t="e">
        <f ca="1">SQRT(AVERAGE(K1055:OFFSET(K1055,$B$7-1,0))*$B$9/(4*LN(2)))</f>
        <v>#DIV/0!</v>
      </c>
      <c r="O1055" s="3" t="e">
        <f ca="1">SQRT(AVERAGE(K1055:OFFSET(K1055,$B$8-1,0))*$B$9/(4*LN(2)))</f>
        <v>#DIV/0!</v>
      </c>
      <c r="Q1055" s="5" t="e">
        <f t="shared" si="88"/>
        <v>#DIV/0!</v>
      </c>
      <c r="R1055" s="5" t="e">
        <f ca="1">SQRT($B$9*AVERAGE((Q1055:OFFSET(Q1055,$B$5-1,0))))</f>
        <v>#DIV/0!</v>
      </c>
      <c r="S1055" s="5" t="e">
        <f ca="1">SQRT($B$9*AVERAGE((Q1055:OFFSET(Q1055,$B$6-1,0))))</f>
        <v>#DIV/0!</v>
      </c>
      <c r="T1055" s="5" t="e">
        <f ca="1">SQRT($B$9*AVERAGE((Q1055:OFFSET(Q1055,$B$7-1,0))))</f>
        <v>#DIV/0!</v>
      </c>
      <c r="U1055" s="5" t="e">
        <f ca="1">SQRT($B$9*AVERAGE((Q1055:OFFSET(Q1055,$B$8-1,0))))</f>
        <v>#DIV/0!</v>
      </c>
      <c r="W1055" s="6" t="e">
        <f t="shared" si="87"/>
        <v>#DIV/0!</v>
      </c>
      <c r="X1055" s="6" t="e">
        <f ca="1">SQRT($B$9*AVERAGE(W1055:OFFSET(W1055,$B$5-1,0)))</f>
        <v>#DIV/0!</v>
      </c>
      <c r="Y1055" s="6" t="e">
        <f ca="1">SQRT($B$9*AVERAGE(W1055:OFFSET(W1055,$B$6-1,0)))</f>
        <v>#DIV/0!</v>
      </c>
      <c r="Z1055" s="6" t="e">
        <f ca="1">SQRT($B$9*AVERAGE(W1055:OFFSET(W1055,$B$7-1,0)))</f>
        <v>#DIV/0!</v>
      </c>
      <c r="AA1055" s="6" t="e">
        <f ca="1">SQRT($B$9*AVERAGE(W1055:OFFSET(W1055,$B$8-1,0)))</f>
        <v>#DIV/0!</v>
      </c>
      <c r="AC1055" s="34" t="e">
        <f t="shared" si="90"/>
        <v>#DIV/0!</v>
      </c>
      <c r="AD1055" s="34" t="e">
        <f ca="1">SQRT($B$9*SUM(AC1055:OFFSET(AC1055,$B$5-1,0))/($B$5-1))</f>
        <v>#DIV/0!</v>
      </c>
      <c r="AE1055" s="34" t="e">
        <f ca="1">SQRT($B$9*SUM(AC1055:OFFSET(AC1055,$B$6-1,0))/($B$6-1))</f>
        <v>#DIV/0!</v>
      </c>
      <c r="AF1055" s="34" t="e">
        <f ca="1">SQRT($B$9*SUM(AC1055:OFFSET(AC1055,$B$7-1,0))/($B$7-1))</f>
        <v>#DIV/0!</v>
      </c>
      <c r="AG1055" s="34" t="e">
        <f ca="1">SQRT($B$9*SUM(AC1055:OFFSET(AC1055,$B$8-1,0))/($B$8-1))</f>
        <v>#DIV/0!</v>
      </c>
      <c r="AI1055" s="1" t="e">
        <f t="shared" si="91"/>
        <v>#DIV/0!</v>
      </c>
      <c r="AJ1055" s="4" t="e">
        <f ca="1">SQRT($B$9)*_xlfn.STDEV.S(AI1055:OFFSET(AI1055,$B$5-1,0))</f>
        <v>#DIV/0!</v>
      </c>
      <c r="AK1055" s="4" t="e">
        <f ca="1">SQRT($B$9)*_xlfn.STDEV.S(AI1055:OFFSET(AI1055,$B$6-1,0))</f>
        <v>#DIV/0!</v>
      </c>
      <c r="AL1055" s="4" t="e">
        <f ca="1">SQRT($B$9)*_xlfn.STDEV.S(AI1055:OFFSET(AI1055,$B$7-1,0))</f>
        <v>#DIV/0!</v>
      </c>
      <c r="AM1055" s="4" t="e">
        <f ca="1">SQRT($B$9)*_xlfn.STDEV.S(AI1055:OFFSET(AI1055,$B$8-1,0))</f>
        <v>#DIV/0!</v>
      </c>
    </row>
    <row r="1056" spans="11:39" x14ac:dyDescent="0.2">
      <c r="K1056" s="3" t="e">
        <f t="shared" si="89"/>
        <v>#DIV/0!</v>
      </c>
      <c r="L1056" s="3" t="e">
        <f ca="1">SQRT(AVERAGE(K1056:OFFSET(K1056,$B$5-1,0))*$B$9/(4*LN(2)))</f>
        <v>#DIV/0!</v>
      </c>
      <c r="M1056" s="3" t="e">
        <f ca="1">SQRT(AVERAGE(K1056:OFFSET(K1056,$B$6-1,0))*$B$9/(4*LN(2)))</f>
        <v>#DIV/0!</v>
      </c>
      <c r="N1056" s="3" t="e">
        <f ca="1">SQRT(AVERAGE(K1056:OFFSET(K1056,$B$7-1,0))*$B$9/(4*LN(2)))</f>
        <v>#DIV/0!</v>
      </c>
      <c r="O1056" s="3" t="e">
        <f ca="1">SQRT(AVERAGE(K1056:OFFSET(K1056,$B$8-1,0))*$B$9/(4*LN(2)))</f>
        <v>#DIV/0!</v>
      </c>
      <c r="Q1056" s="5" t="e">
        <f t="shared" si="88"/>
        <v>#DIV/0!</v>
      </c>
      <c r="R1056" s="5" t="e">
        <f ca="1">SQRT($B$9*AVERAGE((Q1056:OFFSET(Q1056,$B$5-1,0))))</f>
        <v>#DIV/0!</v>
      </c>
      <c r="S1056" s="5" t="e">
        <f ca="1">SQRT($B$9*AVERAGE((Q1056:OFFSET(Q1056,$B$6-1,0))))</f>
        <v>#DIV/0!</v>
      </c>
      <c r="T1056" s="5" t="e">
        <f ca="1">SQRT($B$9*AVERAGE((Q1056:OFFSET(Q1056,$B$7-1,0))))</f>
        <v>#DIV/0!</v>
      </c>
      <c r="U1056" s="5" t="e">
        <f ca="1">SQRT($B$9*AVERAGE((Q1056:OFFSET(Q1056,$B$8-1,0))))</f>
        <v>#DIV/0!</v>
      </c>
      <c r="W1056" s="6" t="e">
        <f t="shared" si="87"/>
        <v>#DIV/0!</v>
      </c>
      <c r="X1056" s="6" t="e">
        <f ca="1">SQRT($B$9*AVERAGE(W1056:OFFSET(W1056,$B$5-1,0)))</f>
        <v>#DIV/0!</v>
      </c>
      <c r="Y1056" s="6" t="e">
        <f ca="1">SQRT($B$9*AVERAGE(W1056:OFFSET(W1056,$B$6-1,0)))</f>
        <v>#DIV/0!</v>
      </c>
      <c r="Z1056" s="6" t="e">
        <f ca="1">SQRT($B$9*AVERAGE(W1056:OFFSET(W1056,$B$7-1,0)))</f>
        <v>#DIV/0!</v>
      </c>
      <c r="AA1056" s="6" t="e">
        <f ca="1">SQRT($B$9*AVERAGE(W1056:OFFSET(W1056,$B$8-1,0)))</f>
        <v>#DIV/0!</v>
      </c>
      <c r="AC1056" s="34" t="e">
        <f t="shared" si="90"/>
        <v>#DIV/0!</v>
      </c>
      <c r="AD1056" s="34" t="e">
        <f ca="1">SQRT($B$9*SUM(AC1056:OFFSET(AC1056,$B$5-1,0))/($B$5-1))</f>
        <v>#DIV/0!</v>
      </c>
      <c r="AE1056" s="34" t="e">
        <f ca="1">SQRT($B$9*SUM(AC1056:OFFSET(AC1056,$B$6-1,0))/($B$6-1))</f>
        <v>#DIV/0!</v>
      </c>
      <c r="AF1056" s="34" t="e">
        <f ca="1">SQRT($B$9*SUM(AC1056:OFFSET(AC1056,$B$7-1,0))/($B$7-1))</f>
        <v>#DIV/0!</v>
      </c>
      <c r="AG1056" s="34" t="e">
        <f ca="1">SQRT($B$9*SUM(AC1056:OFFSET(AC1056,$B$8-1,0))/($B$8-1))</f>
        <v>#DIV/0!</v>
      </c>
      <c r="AI1056" s="1" t="e">
        <f t="shared" si="91"/>
        <v>#DIV/0!</v>
      </c>
      <c r="AJ1056" s="4" t="e">
        <f ca="1">SQRT($B$9)*_xlfn.STDEV.S(AI1056:OFFSET(AI1056,$B$5-1,0))</f>
        <v>#DIV/0!</v>
      </c>
      <c r="AK1056" s="4" t="e">
        <f ca="1">SQRT($B$9)*_xlfn.STDEV.S(AI1056:OFFSET(AI1056,$B$6-1,0))</f>
        <v>#DIV/0!</v>
      </c>
      <c r="AL1056" s="4" t="e">
        <f ca="1">SQRT($B$9)*_xlfn.STDEV.S(AI1056:OFFSET(AI1056,$B$7-1,0))</f>
        <v>#DIV/0!</v>
      </c>
      <c r="AM1056" s="4" t="e">
        <f ca="1">SQRT($B$9)*_xlfn.STDEV.S(AI1056:OFFSET(AI1056,$B$8-1,0))</f>
        <v>#DIV/0!</v>
      </c>
    </row>
    <row r="1057" spans="11:39" x14ac:dyDescent="0.2">
      <c r="K1057" s="3" t="e">
        <f t="shared" si="89"/>
        <v>#DIV/0!</v>
      </c>
      <c r="L1057" s="3" t="e">
        <f ca="1">SQRT(AVERAGE(K1057:OFFSET(K1057,$B$5-1,0))*$B$9/(4*LN(2)))</f>
        <v>#DIV/0!</v>
      </c>
      <c r="M1057" s="3" t="e">
        <f ca="1">SQRT(AVERAGE(K1057:OFFSET(K1057,$B$6-1,0))*$B$9/(4*LN(2)))</f>
        <v>#DIV/0!</v>
      </c>
      <c r="N1057" s="3" t="e">
        <f ca="1">SQRT(AVERAGE(K1057:OFFSET(K1057,$B$7-1,0))*$B$9/(4*LN(2)))</f>
        <v>#DIV/0!</v>
      </c>
      <c r="O1057" s="3" t="e">
        <f ca="1">SQRT(AVERAGE(K1057:OFFSET(K1057,$B$8-1,0))*$B$9/(4*LN(2)))</f>
        <v>#DIV/0!</v>
      </c>
      <c r="Q1057" s="5" t="e">
        <f t="shared" si="88"/>
        <v>#DIV/0!</v>
      </c>
      <c r="R1057" s="5" t="e">
        <f ca="1">SQRT($B$9*AVERAGE((Q1057:OFFSET(Q1057,$B$5-1,0))))</f>
        <v>#DIV/0!</v>
      </c>
      <c r="S1057" s="5" t="e">
        <f ca="1">SQRT($B$9*AVERAGE((Q1057:OFFSET(Q1057,$B$6-1,0))))</f>
        <v>#DIV/0!</v>
      </c>
      <c r="T1057" s="5" t="e">
        <f ca="1">SQRT($B$9*AVERAGE((Q1057:OFFSET(Q1057,$B$7-1,0))))</f>
        <v>#DIV/0!</v>
      </c>
      <c r="U1057" s="5" t="e">
        <f ca="1">SQRT($B$9*AVERAGE((Q1057:OFFSET(Q1057,$B$8-1,0))))</f>
        <v>#DIV/0!</v>
      </c>
      <c r="W1057" s="6" t="e">
        <f t="shared" si="87"/>
        <v>#DIV/0!</v>
      </c>
      <c r="X1057" s="6" t="e">
        <f ca="1">SQRT($B$9*AVERAGE(W1057:OFFSET(W1057,$B$5-1,0)))</f>
        <v>#DIV/0!</v>
      </c>
      <c r="Y1057" s="6" t="e">
        <f ca="1">SQRT($B$9*AVERAGE(W1057:OFFSET(W1057,$B$6-1,0)))</f>
        <v>#DIV/0!</v>
      </c>
      <c r="Z1057" s="6" t="e">
        <f ca="1">SQRT($B$9*AVERAGE(W1057:OFFSET(W1057,$B$7-1,0)))</f>
        <v>#DIV/0!</v>
      </c>
      <c r="AA1057" s="6" t="e">
        <f ca="1">SQRT($B$9*AVERAGE(W1057:OFFSET(W1057,$B$8-1,0)))</f>
        <v>#DIV/0!</v>
      </c>
      <c r="AC1057" s="34" t="e">
        <f t="shared" si="90"/>
        <v>#DIV/0!</v>
      </c>
      <c r="AD1057" s="34" t="e">
        <f ca="1">SQRT($B$9*SUM(AC1057:OFFSET(AC1057,$B$5-1,0))/($B$5-1))</f>
        <v>#DIV/0!</v>
      </c>
      <c r="AE1057" s="34" t="e">
        <f ca="1">SQRT($B$9*SUM(AC1057:OFFSET(AC1057,$B$6-1,0))/($B$6-1))</f>
        <v>#DIV/0!</v>
      </c>
      <c r="AF1057" s="34" t="e">
        <f ca="1">SQRT($B$9*SUM(AC1057:OFFSET(AC1057,$B$7-1,0))/($B$7-1))</f>
        <v>#DIV/0!</v>
      </c>
      <c r="AG1057" s="34" t="e">
        <f ca="1">SQRT($B$9*SUM(AC1057:OFFSET(AC1057,$B$8-1,0))/($B$8-1))</f>
        <v>#DIV/0!</v>
      </c>
      <c r="AI1057" s="1" t="e">
        <f t="shared" si="91"/>
        <v>#DIV/0!</v>
      </c>
      <c r="AJ1057" s="4" t="e">
        <f ca="1">SQRT($B$9)*_xlfn.STDEV.S(AI1057:OFFSET(AI1057,$B$5-1,0))</f>
        <v>#DIV/0!</v>
      </c>
      <c r="AK1057" s="4" t="e">
        <f ca="1">SQRT($B$9)*_xlfn.STDEV.S(AI1057:OFFSET(AI1057,$B$6-1,0))</f>
        <v>#DIV/0!</v>
      </c>
      <c r="AL1057" s="4" t="e">
        <f ca="1">SQRT($B$9)*_xlfn.STDEV.S(AI1057:OFFSET(AI1057,$B$7-1,0))</f>
        <v>#DIV/0!</v>
      </c>
      <c r="AM1057" s="4" t="e">
        <f ca="1">SQRT($B$9)*_xlfn.STDEV.S(AI1057:OFFSET(AI1057,$B$8-1,0))</f>
        <v>#DIV/0!</v>
      </c>
    </row>
    <row r="1058" spans="11:39" x14ac:dyDescent="0.2">
      <c r="K1058" s="3" t="e">
        <f t="shared" si="89"/>
        <v>#DIV/0!</v>
      </c>
      <c r="L1058" s="3" t="e">
        <f ca="1">SQRT(AVERAGE(K1058:OFFSET(K1058,$B$5-1,0))*$B$9/(4*LN(2)))</f>
        <v>#DIV/0!</v>
      </c>
      <c r="M1058" s="3" t="e">
        <f ca="1">SQRT(AVERAGE(K1058:OFFSET(K1058,$B$6-1,0))*$B$9/(4*LN(2)))</f>
        <v>#DIV/0!</v>
      </c>
      <c r="N1058" s="3" t="e">
        <f ca="1">SQRT(AVERAGE(K1058:OFFSET(K1058,$B$7-1,0))*$B$9/(4*LN(2)))</f>
        <v>#DIV/0!</v>
      </c>
      <c r="O1058" s="3" t="e">
        <f ca="1">SQRT(AVERAGE(K1058:OFFSET(K1058,$B$8-1,0))*$B$9/(4*LN(2)))</f>
        <v>#DIV/0!</v>
      </c>
      <c r="Q1058" s="5" t="e">
        <f t="shared" si="88"/>
        <v>#DIV/0!</v>
      </c>
      <c r="R1058" s="5" t="e">
        <f ca="1">SQRT($B$9*AVERAGE((Q1058:OFFSET(Q1058,$B$5-1,0))))</f>
        <v>#DIV/0!</v>
      </c>
      <c r="S1058" s="5" t="e">
        <f ca="1">SQRT($B$9*AVERAGE((Q1058:OFFSET(Q1058,$B$6-1,0))))</f>
        <v>#DIV/0!</v>
      </c>
      <c r="T1058" s="5" t="e">
        <f ca="1">SQRT($B$9*AVERAGE((Q1058:OFFSET(Q1058,$B$7-1,0))))</f>
        <v>#DIV/0!</v>
      </c>
      <c r="U1058" s="5" t="e">
        <f ca="1">SQRT($B$9*AVERAGE((Q1058:OFFSET(Q1058,$B$8-1,0))))</f>
        <v>#DIV/0!</v>
      </c>
      <c r="W1058" s="6" t="e">
        <f t="shared" si="87"/>
        <v>#DIV/0!</v>
      </c>
      <c r="X1058" s="6" t="e">
        <f ca="1">SQRT($B$9*AVERAGE(W1058:OFFSET(W1058,$B$5-1,0)))</f>
        <v>#DIV/0!</v>
      </c>
      <c r="Y1058" s="6" t="e">
        <f ca="1">SQRT($B$9*AVERAGE(W1058:OFFSET(W1058,$B$6-1,0)))</f>
        <v>#DIV/0!</v>
      </c>
      <c r="Z1058" s="6" t="e">
        <f ca="1">SQRT($B$9*AVERAGE(W1058:OFFSET(W1058,$B$7-1,0)))</f>
        <v>#DIV/0!</v>
      </c>
      <c r="AA1058" s="6" t="e">
        <f ca="1">SQRT($B$9*AVERAGE(W1058:OFFSET(W1058,$B$8-1,0)))</f>
        <v>#DIV/0!</v>
      </c>
      <c r="AC1058" s="34" t="e">
        <f t="shared" si="90"/>
        <v>#DIV/0!</v>
      </c>
      <c r="AD1058" s="34" t="e">
        <f ca="1">SQRT($B$9*SUM(AC1058:OFFSET(AC1058,$B$5-1,0))/($B$5-1))</f>
        <v>#DIV/0!</v>
      </c>
      <c r="AE1058" s="34" t="e">
        <f ca="1">SQRT($B$9*SUM(AC1058:OFFSET(AC1058,$B$6-1,0))/($B$6-1))</f>
        <v>#DIV/0!</v>
      </c>
      <c r="AF1058" s="34" t="e">
        <f ca="1">SQRT($B$9*SUM(AC1058:OFFSET(AC1058,$B$7-1,0))/($B$7-1))</f>
        <v>#DIV/0!</v>
      </c>
      <c r="AG1058" s="34" t="e">
        <f ca="1">SQRT($B$9*SUM(AC1058:OFFSET(AC1058,$B$8-1,0))/($B$8-1))</f>
        <v>#DIV/0!</v>
      </c>
      <c r="AI1058" s="1" t="e">
        <f t="shared" si="91"/>
        <v>#DIV/0!</v>
      </c>
      <c r="AJ1058" s="4" t="e">
        <f ca="1">SQRT($B$9)*_xlfn.STDEV.S(AI1058:OFFSET(AI1058,$B$5-1,0))</f>
        <v>#DIV/0!</v>
      </c>
      <c r="AK1058" s="4" t="e">
        <f ca="1">SQRT($B$9)*_xlfn.STDEV.S(AI1058:OFFSET(AI1058,$B$6-1,0))</f>
        <v>#DIV/0!</v>
      </c>
      <c r="AL1058" s="4" t="e">
        <f ca="1">SQRT($B$9)*_xlfn.STDEV.S(AI1058:OFFSET(AI1058,$B$7-1,0))</f>
        <v>#DIV/0!</v>
      </c>
      <c r="AM1058" s="4" t="e">
        <f ca="1">SQRT($B$9)*_xlfn.STDEV.S(AI1058:OFFSET(AI1058,$B$8-1,0))</f>
        <v>#DIV/0!</v>
      </c>
    </row>
    <row r="1059" spans="11:39" x14ac:dyDescent="0.2">
      <c r="K1059" s="3" t="e">
        <f t="shared" si="89"/>
        <v>#DIV/0!</v>
      </c>
      <c r="L1059" s="3" t="e">
        <f ca="1">SQRT(AVERAGE(K1059:OFFSET(K1059,$B$5-1,0))*$B$9/(4*LN(2)))</f>
        <v>#DIV/0!</v>
      </c>
      <c r="M1059" s="3" t="e">
        <f ca="1">SQRT(AVERAGE(K1059:OFFSET(K1059,$B$6-1,0))*$B$9/(4*LN(2)))</f>
        <v>#DIV/0!</v>
      </c>
      <c r="N1059" s="3" t="e">
        <f ca="1">SQRT(AVERAGE(K1059:OFFSET(K1059,$B$7-1,0))*$B$9/(4*LN(2)))</f>
        <v>#DIV/0!</v>
      </c>
      <c r="O1059" s="3" t="e">
        <f ca="1">SQRT(AVERAGE(K1059:OFFSET(K1059,$B$8-1,0))*$B$9/(4*LN(2)))</f>
        <v>#DIV/0!</v>
      </c>
      <c r="Q1059" s="5" t="e">
        <f t="shared" si="88"/>
        <v>#DIV/0!</v>
      </c>
      <c r="R1059" s="5" t="e">
        <f ca="1">SQRT($B$9*AVERAGE((Q1059:OFFSET(Q1059,$B$5-1,0))))</f>
        <v>#DIV/0!</v>
      </c>
      <c r="S1059" s="5" t="e">
        <f ca="1">SQRT($B$9*AVERAGE((Q1059:OFFSET(Q1059,$B$6-1,0))))</f>
        <v>#DIV/0!</v>
      </c>
      <c r="T1059" s="5" t="e">
        <f ca="1">SQRT($B$9*AVERAGE((Q1059:OFFSET(Q1059,$B$7-1,0))))</f>
        <v>#DIV/0!</v>
      </c>
      <c r="U1059" s="5" t="e">
        <f ca="1">SQRT($B$9*AVERAGE((Q1059:OFFSET(Q1059,$B$8-1,0))))</f>
        <v>#DIV/0!</v>
      </c>
      <c r="W1059" s="6" t="e">
        <f t="shared" si="87"/>
        <v>#DIV/0!</v>
      </c>
      <c r="X1059" s="6" t="e">
        <f ca="1">SQRT($B$9*AVERAGE(W1059:OFFSET(W1059,$B$5-1,0)))</f>
        <v>#DIV/0!</v>
      </c>
      <c r="Y1059" s="6" t="e">
        <f ca="1">SQRT($B$9*AVERAGE(W1059:OFFSET(W1059,$B$6-1,0)))</f>
        <v>#DIV/0!</v>
      </c>
      <c r="Z1059" s="6" t="e">
        <f ca="1">SQRT($B$9*AVERAGE(W1059:OFFSET(W1059,$B$7-1,0)))</f>
        <v>#DIV/0!</v>
      </c>
      <c r="AA1059" s="6" t="e">
        <f ca="1">SQRT($B$9*AVERAGE(W1059:OFFSET(W1059,$B$8-1,0)))</f>
        <v>#DIV/0!</v>
      </c>
      <c r="AC1059" s="34" t="e">
        <f t="shared" si="90"/>
        <v>#DIV/0!</v>
      </c>
      <c r="AD1059" s="34" t="e">
        <f ca="1">SQRT($B$9*SUM(AC1059:OFFSET(AC1059,$B$5-1,0))/($B$5-1))</f>
        <v>#DIV/0!</v>
      </c>
      <c r="AE1059" s="34" t="e">
        <f ca="1">SQRT($B$9*SUM(AC1059:OFFSET(AC1059,$B$6-1,0))/($B$6-1))</f>
        <v>#DIV/0!</v>
      </c>
      <c r="AF1059" s="34" t="e">
        <f ca="1">SQRT($B$9*SUM(AC1059:OFFSET(AC1059,$B$7-1,0))/($B$7-1))</f>
        <v>#DIV/0!</v>
      </c>
      <c r="AG1059" s="34" t="e">
        <f ca="1">SQRT($B$9*SUM(AC1059:OFFSET(AC1059,$B$8-1,0))/($B$8-1))</f>
        <v>#DIV/0!</v>
      </c>
      <c r="AI1059" s="1" t="e">
        <f t="shared" si="91"/>
        <v>#DIV/0!</v>
      </c>
      <c r="AJ1059" s="4" t="e">
        <f ca="1">SQRT($B$9)*_xlfn.STDEV.S(AI1059:OFFSET(AI1059,$B$5-1,0))</f>
        <v>#DIV/0!</v>
      </c>
      <c r="AK1059" s="4" t="e">
        <f ca="1">SQRT($B$9)*_xlfn.STDEV.S(AI1059:OFFSET(AI1059,$B$6-1,0))</f>
        <v>#DIV/0!</v>
      </c>
      <c r="AL1059" s="4" t="e">
        <f ca="1">SQRT($B$9)*_xlfn.STDEV.S(AI1059:OFFSET(AI1059,$B$7-1,0))</f>
        <v>#DIV/0!</v>
      </c>
      <c r="AM1059" s="4" t="e">
        <f ca="1">SQRT($B$9)*_xlfn.STDEV.S(AI1059:OFFSET(AI1059,$B$8-1,0))</f>
        <v>#DIV/0!</v>
      </c>
    </row>
    <row r="1060" spans="11:39" x14ac:dyDescent="0.2">
      <c r="K1060" s="3" t="e">
        <f t="shared" si="89"/>
        <v>#DIV/0!</v>
      </c>
      <c r="L1060" s="3" t="e">
        <f ca="1">SQRT(AVERAGE(K1060:OFFSET(K1060,$B$5-1,0))*$B$9/(4*LN(2)))</f>
        <v>#DIV/0!</v>
      </c>
      <c r="M1060" s="3" t="e">
        <f ca="1">SQRT(AVERAGE(K1060:OFFSET(K1060,$B$6-1,0))*$B$9/(4*LN(2)))</f>
        <v>#DIV/0!</v>
      </c>
      <c r="N1060" s="3" t="e">
        <f ca="1">SQRT(AVERAGE(K1060:OFFSET(K1060,$B$7-1,0))*$B$9/(4*LN(2)))</f>
        <v>#DIV/0!</v>
      </c>
      <c r="O1060" s="3" t="e">
        <f ca="1">SQRT(AVERAGE(K1060:OFFSET(K1060,$B$8-1,0))*$B$9/(4*LN(2)))</f>
        <v>#DIV/0!</v>
      </c>
      <c r="Q1060" s="5" t="e">
        <f t="shared" si="88"/>
        <v>#DIV/0!</v>
      </c>
      <c r="R1060" s="5" t="e">
        <f ca="1">SQRT($B$9*AVERAGE((Q1060:OFFSET(Q1060,$B$5-1,0))))</f>
        <v>#DIV/0!</v>
      </c>
      <c r="S1060" s="5" t="e">
        <f ca="1">SQRT($B$9*AVERAGE((Q1060:OFFSET(Q1060,$B$6-1,0))))</f>
        <v>#DIV/0!</v>
      </c>
      <c r="T1060" s="5" t="e">
        <f ca="1">SQRT($B$9*AVERAGE((Q1060:OFFSET(Q1060,$B$7-1,0))))</f>
        <v>#DIV/0!</v>
      </c>
      <c r="U1060" s="5" t="e">
        <f ca="1">SQRT($B$9*AVERAGE((Q1060:OFFSET(Q1060,$B$8-1,0))))</f>
        <v>#DIV/0!</v>
      </c>
      <c r="W1060" s="6" t="e">
        <f t="shared" si="87"/>
        <v>#DIV/0!</v>
      </c>
      <c r="X1060" s="6" t="e">
        <f ca="1">SQRT($B$9*AVERAGE(W1060:OFFSET(W1060,$B$5-1,0)))</f>
        <v>#DIV/0!</v>
      </c>
      <c r="Y1060" s="6" t="e">
        <f ca="1">SQRT($B$9*AVERAGE(W1060:OFFSET(W1060,$B$6-1,0)))</f>
        <v>#DIV/0!</v>
      </c>
      <c r="Z1060" s="6" t="e">
        <f ca="1">SQRT($B$9*AVERAGE(W1060:OFFSET(W1060,$B$7-1,0)))</f>
        <v>#DIV/0!</v>
      </c>
      <c r="AA1060" s="6" t="e">
        <f ca="1">SQRT($B$9*AVERAGE(W1060:OFFSET(W1060,$B$8-1,0)))</f>
        <v>#DIV/0!</v>
      </c>
      <c r="AC1060" s="34" t="e">
        <f t="shared" si="90"/>
        <v>#DIV/0!</v>
      </c>
      <c r="AD1060" s="34" t="e">
        <f ca="1">SQRT($B$9*SUM(AC1060:OFFSET(AC1060,$B$5-1,0))/($B$5-1))</f>
        <v>#DIV/0!</v>
      </c>
      <c r="AE1060" s="34" t="e">
        <f ca="1">SQRT($B$9*SUM(AC1060:OFFSET(AC1060,$B$6-1,0))/($B$6-1))</f>
        <v>#DIV/0!</v>
      </c>
      <c r="AF1060" s="34" t="e">
        <f ca="1">SQRT($B$9*SUM(AC1060:OFFSET(AC1060,$B$7-1,0))/($B$7-1))</f>
        <v>#DIV/0!</v>
      </c>
      <c r="AG1060" s="34" t="e">
        <f ca="1">SQRT($B$9*SUM(AC1060:OFFSET(AC1060,$B$8-1,0))/($B$8-1))</f>
        <v>#DIV/0!</v>
      </c>
      <c r="AI1060" s="1" t="e">
        <f t="shared" si="91"/>
        <v>#DIV/0!</v>
      </c>
      <c r="AJ1060" s="4" t="e">
        <f ca="1">SQRT($B$9)*_xlfn.STDEV.S(AI1060:OFFSET(AI1060,$B$5-1,0))</f>
        <v>#DIV/0!</v>
      </c>
      <c r="AK1060" s="4" t="e">
        <f ca="1">SQRT($B$9)*_xlfn.STDEV.S(AI1060:OFFSET(AI1060,$B$6-1,0))</f>
        <v>#DIV/0!</v>
      </c>
      <c r="AL1060" s="4" t="e">
        <f ca="1">SQRT($B$9)*_xlfn.STDEV.S(AI1060:OFFSET(AI1060,$B$7-1,0))</f>
        <v>#DIV/0!</v>
      </c>
      <c r="AM1060" s="4" t="e">
        <f ca="1">SQRT($B$9)*_xlfn.STDEV.S(AI1060:OFFSET(AI1060,$B$8-1,0))</f>
        <v>#DIV/0!</v>
      </c>
    </row>
    <row r="1061" spans="11:39" x14ac:dyDescent="0.2">
      <c r="K1061" s="3" t="e">
        <f t="shared" si="89"/>
        <v>#DIV/0!</v>
      </c>
      <c r="L1061" s="3" t="e">
        <f ca="1">SQRT(AVERAGE(K1061:OFFSET(K1061,$B$5-1,0))*$B$9/(4*LN(2)))</f>
        <v>#DIV/0!</v>
      </c>
      <c r="M1061" s="3" t="e">
        <f ca="1">SQRT(AVERAGE(K1061:OFFSET(K1061,$B$6-1,0))*$B$9/(4*LN(2)))</f>
        <v>#DIV/0!</v>
      </c>
      <c r="N1061" s="3" t="e">
        <f ca="1">SQRT(AVERAGE(K1061:OFFSET(K1061,$B$7-1,0))*$B$9/(4*LN(2)))</f>
        <v>#DIV/0!</v>
      </c>
      <c r="O1061" s="3" t="e">
        <f ca="1">SQRT(AVERAGE(K1061:OFFSET(K1061,$B$8-1,0))*$B$9/(4*LN(2)))</f>
        <v>#DIV/0!</v>
      </c>
      <c r="Q1061" s="5" t="e">
        <f t="shared" si="88"/>
        <v>#DIV/0!</v>
      </c>
      <c r="R1061" s="5" t="e">
        <f ca="1">SQRT($B$9*AVERAGE((Q1061:OFFSET(Q1061,$B$5-1,0))))</f>
        <v>#DIV/0!</v>
      </c>
      <c r="S1061" s="5" t="e">
        <f ca="1">SQRT($B$9*AVERAGE((Q1061:OFFSET(Q1061,$B$6-1,0))))</f>
        <v>#DIV/0!</v>
      </c>
      <c r="T1061" s="5" t="e">
        <f ca="1">SQRT($B$9*AVERAGE((Q1061:OFFSET(Q1061,$B$7-1,0))))</f>
        <v>#DIV/0!</v>
      </c>
      <c r="U1061" s="5" t="e">
        <f ca="1">SQRT($B$9*AVERAGE((Q1061:OFFSET(Q1061,$B$8-1,0))))</f>
        <v>#DIV/0!</v>
      </c>
      <c r="W1061" s="6" t="e">
        <f t="shared" si="87"/>
        <v>#DIV/0!</v>
      </c>
      <c r="X1061" s="6" t="e">
        <f ca="1">SQRT($B$9*AVERAGE(W1061:OFFSET(W1061,$B$5-1,0)))</f>
        <v>#DIV/0!</v>
      </c>
      <c r="Y1061" s="6" t="e">
        <f ca="1">SQRT($B$9*AVERAGE(W1061:OFFSET(W1061,$B$6-1,0)))</f>
        <v>#DIV/0!</v>
      </c>
      <c r="Z1061" s="6" t="e">
        <f ca="1">SQRT($B$9*AVERAGE(W1061:OFFSET(W1061,$B$7-1,0)))</f>
        <v>#DIV/0!</v>
      </c>
      <c r="AA1061" s="6" t="e">
        <f ca="1">SQRT($B$9*AVERAGE(W1061:OFFSET(W1061,$B$8-1,0)))</f>
        <v>#DIV/0!</v>
      </c>
      <c r="AC1061" s="34" t="e">
        <f t="shared" si="90"/>
        <v>#DIV/0!</v>
      </c>
      <c r="AD1061" s="34" t="e">
        <f ca="1">SQRT($B$9*SUM(AC1061:OFFSET(AC1061,$B$5-1,0))/($B$5-1))</f>
        <v>#DIV/0!</v>
      </c>
      <c r="AE1061" s="34" t="e">
        <f ca="1">SQRT($B$9*SUM(AC1061:OFFSET(AC1061,$B$6-1,0))/($B$6-1))</f>
        <v>#DIV/0!</v>
      </c>
      <c r="AF1061" s="34" t="e">
        <f ca="1">SQRT($B$9*SUM(AC1061:OFFSET(AC1061,$B$7-1,0))/($B$7-1))</f>
        <v>#DIV/0!</v>
      </c>
      <c r="AG1061" s="34" t="e">
        <f ca="1">SQRT($B$9*SUM(AC1061:OFFSET(AC1061,$B$8-1,0))/($B$8-1))</f>
        <v>#DIV/0!</v>
      </c>
      <c r="AI1061" s="1" t="e">
        <f t="shared" si="91"/>
        <v>#DIV/0!</v>
      </c>
      <c r="AJ1061" s="4" t="e">
        <f ca="1">SQRT($B$9)*_xlfn.STDEV.S(AI1061:OFFSET(AI1061,$B$5-1,0))</f>
        <v>#DIV/0!</v>
      </c>
      <c r="AK1061" s="4" t="e">
        <f ca="1">SQRT($B$9)*_xlfn.STDEV.S(AI1061:OFFSET(AI1061,$B$6-1,0))</f>
        <v>#DIV/0!</v>
      </c>
      <c r="AL1061" s="4" t="e">
        <f ca="1">SQRT($B$9)*_xlfn.STDEV.S(AI1061:OFFSET(AI1061,$B$7-1,0))</f>
        <v>#DIV/0!</v>
      </c>
      <c r="AM1061" s="4" t="e">
        <f ca="1">SQRT($B$9)*_xlfn.STDEV.S(AI1061:OFFSET(AI1061,$B$8-1,0))</f>
        <v>#DIV/0!</v>
      </c>
    </row>
    <row r="1062" spans="11:39" x14ac:dyDescent="0.2">
      <c r="K1062" s="3" t="e">
        <f t="shared" si="89"/>
        <v>#DIV/0!</v>
      </c>
      <c r="L1062" s="3" t="e">
        <f ca="1">SQRT(AVERAGE(K1062:OFFSET(K1062,$B$5-1,0))*$B$9/(4*LN(2)))</f>
        <v>#DIV/0!</v>
      </c>
      <c r="M1062" s="3" t="e">
        <f ca="1">SQRT(AVERAGE(K1062:OFFSET(K1062,$B$6-1,0))*$B$9/(4*LN(2)))</f>
        <v>#DIV/0!</v>
      </c>
      <c r="N1062" s="3" t="e">
        <f ca="1">SQRT(AVERAGE(K1062:OFFSET(K1062,$B$7-1,0))*$B$9/(4*LN(2)))</f>
        <v>#DIV/0!</v>
      </c>
      <c r="O1062" s="3" t="e">
        <f ca="1">SQRT(AVERAGE(K1062:OFFSET(K1062,$B$8-1,0))*$B$9/(4*LN(2)))</f>
        <v>#DIV/0!</v>
      </c>
      <c r="Q1062" s="5" t="e">
        <f t="shared" si="88"/>
        <v>#DIV/0!</v>
      </c>
      <c r="R1062" s="5" t="e">
        <f ca="1">SQRT($B$9*AVERAGE((Q1062:OFFSET(Q1062,$B$5-1,0))))</f>
        <v>#DIV/0!</v>
      </c>
      <c r="S1062" s="5" t="e">
        <f ca="1">SQRT($B$9*AVERAGE((Q1062:OFFSET(Q1062,$B$6-1,0))))</f>
        <v>#DIV/0!</v>
      </c>
      <c r="T1062" s="5" t="e">
        <f ca="1">SQRT($B$9*AVERAGE((Q1062:OFFSET(Q1062,$B$7-1,0))))</f>
        <v>#DIV/0!</v>
      </c>
      <c r="U1062" s="5" t="e">
        <f ca="1">SQRT($B$9*AVERAGE((Q1062:OFFSET(Q1062,$B$8-1,0))))</f>
        <v>#DIV/0!</v>
      </c>
      <c r="W1062" s="6" t="e">
        <f t="shared" si="87"/>
        <v>#DIV/0!</v>
      </c>
      <c r="X1062" s="6" t="e">
        <f ca="1">SQRT($B$9*AVERAGE(W1062:OFFSET(W1062,$B$5-1,0)))</f>
        <v>#DIV/0!</v>
      </c>
      <c r="Y1062" s="6" t="e">
        <f ca="1">SQRT($B$9*AVERAGE(W1062:OFFSET(W1062,$B$6-1,0)))</f>
        <v>#DIV/0!</v>
      </c>
      <c r="Z1062" s="6" t="e">
        <f ca="1">SQRT($B$9*AVERAGE(W1062:OFFSET(W1062,$B$7-1,0)))</f>
        <v>#DIV/0!</v>
      </c>
      <c r="AA1062" s="6" t="e">
        <f ca="1">SQRT($B$9*AVERAGE(W1062:OFFSET(W1062,$B$8-1,0)))</f>
        <v>#DIV/0!</v>
      </c>
      <c r="AC1062" s="34" t="e">
        <f t="shared" si="90"/>
        <v>#DIV/0!</v>
      </c>
      <c r="AD1062" s="34" t="e">
        <f ca="1">SQRT($B$9*SUM(AC1062:OFFSET(AC1062,$B$5-1,0))/($B$5-1))</f>
        <v>#DIV/0!</v>
      </c>
      <c r="AE1062" s="34" t="e">
        <f ca="1">SQRT($B$9*SUM(AC1062:OFFSET(AC1062,$B$6-1,0))/($B$6-1))</f>
        <v>#DIV/0!</v>
      </c>
      <c r="AF1062" s="34" t="e">
        <f ca="1">SQRT($B$9*SUM(AC1062:OFFSET(AC1062,$B$7-1,0))/($B$7-1))</f>
        <v>#DIV/0!</v>
      </c>
      <c r="AG1062" s="34" t="e">
        <f ca="1">SQRT($B$9*SUM(AC1062:OFFSET(AC1062,$B$8-1,0))/($B$8-1))</f>
        <v>#DIV/0!</v>
      </c>
      <c r="AI1062" s="1" t="e">
        <f t="shared" si="91"/>
        <v>#DIV/0!</v>
      </c>
      <c r="AJ1062" s="4" t="e">
        <f ca="1">SQRT($B$9)*_xlfn.STDEV.S(AI1062:OFFSET(AI1062,$B$5-1,0))</f>
        <v>#DIV/0!</v>
      </c>
      <c r="AK1062" s="4" t="e">
        <f ca="1">SQRT($B$9)*_xlfn.STDEV.S(AI1062:OFFSET(AI1062,$B$6-1,0))</f>
        <v>#DIV/0!</v>
      </c>
      <c r="AL1062" s="4" t="e">
        <f ca="1">SQRT($B$9)*_xlfn.STDEV.S(AI1062:OFFSET(AI1062,$B$7-1,0))</f>
        <v>#DIV/0!</v>
      </c>
      <c r="AM1062" s="4" t="e">
        <f ca="1">SQRT($B$9)*_xlfn.STDEV.S(AI1062:OFFSET(AI1062,$B$8-1,0))</f>
        <v>#DIV/0!</v>
      </c>
    </row>
    <row r="1063" spans="11:39" x14ac:dyDescent="0.2">
      <c r="K1063" s="3" t="e">
        <f t="shared" si="89"/>
        <v>#DIV/0!</v>
      </c>
      <c r="L1063" s="3" t="e">
        <f ca="1">SQRT(AVERAGE(K1063:OFFSET(K1063,$B$5-1,0))*$B$9/(4*LN(2)))</f>
        <v>#DIV/0!</v>
      </c>
      <c r="M1063" s="3" t="e">
        <f ca="1">SQRT(AVERAGE(K1063:OFFSET(K1063,$B$6-1,0))*$B$9/(4*LN(2)))</f>
        <v>#DIV/0!</v>
      </c>
      <c r="N1063" s="3" t="e">
        <f ca="1">SQRT(AVERAGE(K1063:OFFSET(K1063,$B$7-1,0))*$B$9/(4*LN(2)))</f>
        <v>#DIV/0!</v>
      </c>
      <c r="O1063" s="3" t="e">
        <f ca="1">SQRT(AVERAGE(K1063:OFFSET(K1063,$B$8-1,0))*$B$9/(4*LN(2)))</f>
        <v>#DIV/0!</v>
      </c>
      <c r="Q1063" s="5" t="e">
        <f t="shared" si="88"/>
        <v>#DIV/0!</v>
      </c>
      <c r="R1063" s="5" t="e">
        <f ca="1">SQRT($B$9*AVERAGE((Q1063:OFFSET(Q1063,$B$5-1,0))))</f>
        <v>#DIV/0!</v>
      </c>
      <c r="S1063" s="5" t="e">
        <f ca="1">SQRT($B$9*AVERAGE((Q1063:OFFSET(Q1063,$B$6-1,0))))</f>
        <v>#DIV/0!</v>
      </c>
      <c r="T1063" s="5" t="e">
        <f ca="1">SQRT($B$9*AVERAGE((Q1063:OFFSET(Q1063,$B$7-1,0))))</f>
        <v>#DIV/0!</v>
      </c>
      <c r="U1063" s="5" t="e">
        <f ca="1">SQRT($B$9*AVERAGE((Q1063:OFFSET(Q1063,$B$8-1,0))))</f>
        <v>#DIV/0!</v>
      </c>
      <c r="W1063" s="6" t="e">
        <f t="shared" ref="W1063:W1126" si="92">LN(G1063/I1063)*LN(G1063/F1063)+LN(H1063/I1063)*LN(H1063/F1063)</f>
        <v>#DIV/0!</v>
      </c>
      <c r="X1063" s="6" t="e">
        <f ca="1">SQRT($B$9*AVERAGE(W1063:OFFSET(W1063,$B$5-1,0)))</f>
        <v>#DIV/0!</v>
      </c>
      <c r="Y1063" s="6" t="e">
        <f ca="1">SQRT($B$9*AVERAGE(W1063:OFFSET(W1063,$B$6-1,0)))</f>
        <v>#DIV/0!</v>
      </c>
      <c r="Z1063" s="6" t="e">
        <f ca="1">SQRT($B$9*AVERAGE(W1063:OFFSET(W1063,$B$7-1,0)))</f>
        <v>#DIV/0!</v>
      </c>
      <c r="AA1063" s="6" t="e">
        <f ca="1">SQRT($B$9*AVERAGE(W1063:OFFSET(W1063,$B$8-1,0)))</f>
        <v>#DIV/0!</v>
      </c>
      <c r="AC1063" s="34" t="e">
        <f t="shared" si="90"/>
        <v>#DIV/0!</v>
      </c>
      <c r="AD1063" s="34" t="e">
        <f ca="1">SQRT($B$9*SUM(AC1063:OFFSET(AC1063,$B$5-1,0))/($B$5-1))</f>
        <v>#DIV/0!</v>
      </c>
      <c r="AE1063" s="34" t="e">
        <f ca="1">SQRT($B$9*SUM(AC1063:OFFSET(AC1063,$B$6-1,0))/($B$6-1))</f>
        <v>#DIV/0!</v>
      </c>
      <c r="AF1063" s="34" t="e">
        <f ca="1">SQRT($B$9*SUM(AC1063:OFFSET(AC1063,$B$7-1,0))/($B$7-1))</f>
        <v>#DIV/0!</v>
      </c>
      <c r="AG1063" s="34" t="e">
        <f ca="1">SQRT($B$9*SUM(AC1063:OFFSET(AC1063,$B$8-1,0))/($B$8-1))</f>
        <v>#DIV/0!</v>
      </c>
      <c r="AI1063" s="1" t="e">
        <f t="shared" si="91"/>
        <v>#DIV/0!</v>
      </c>
      <c r="AJ1063" s="4" t="e">
        <f ca="1">SQRT($B$9)*_xlfn.STDEV.S(AI1063:OFFSET(AI1063,$B$5-1,0))</f>
        <v>#DIV/0!</v>
      </c>
      <c r="AK1063" s="4" t="e">
        <f ca="1">SQRT($B$9)*_xlfn.STDEV.S(AI1063:OFFSET(AI1063,$B$6-1,0))</f>
        <v>#DIV/0!</v>
      </c>
      <c r="AL1063" s="4" t="e">
        <f ca="1">SQRT($B$9)*_xlfn.STDEV.S(AI1063:OFFSET(AI1063,$B$7-1,0))</f>
        <v>#DIV/0!</v>
      </c>
      <c r="AM1063" s="4" t="e">
        <f ca="1">SQRT($B$9)*_xlfn.STDEV.S(AI1063:OFFSET(AI1063,$B$8-1,0))</f>
        <v>#DIV/0!</v>
      </c>
    </row>
    <row r="1064" spans="11:39" x14ac:dyDescent="0.2">
      <c r="K1064" s="3" t="e">
        <f t="shared" si="89"/>
        <v>#DIV/0!</v>
      </c>
      <c r="L1064" s="3" t="e">
        <f ca="1">SQRT(AVERAGE(K1064:OFFSET(K1064,$B$5-1,0))*$B$9/(4*LN(2)))</f>
        <v>#DIV/0!</v>
      </c>
      <c r="M1064" s="3" t="e">
        <f ca="1">SQRT(AVERAGE(K1064:OFFSET(K1064,$B$6-1,0))*$B$9/(4*LN(2)))</f>
        <v>#DIV/0!</v>
      </c>
      <c r="N1064" s="3" t="e">
        <f ca="1">SQRT(AVERAGE(K1064:OFFSET(K1064,$B$7-1,0))*$B$9/(4*LN(2)))</f>
        <v>#DIV/0!</v>
      </c>
      <c r="O1064" s="3" t="e">
        <f ca="1">SQRT(AVERAGE(K1064:OFFSET(K1064,$B$8-1,0))*$B$9/(4*LN(2)))</f>
        <v>#DIV/0!</v>
      </c>
      <c r="Q1064" s="5" t="e">
        <f t="shared" si="88"/>
        <v>#DIV/0!</v>
      </c>
      <c r="R1064" s="5" t="e">
        <f ca="1">SQRT($B$9*AVERAGE((Q1064:OFFSET(Q1064,$B$5-1,0))))</f>
        <v>#DIV/0!</v>
      </c>
      <c r="S1064" s="5" t="e">
        <f ca="1">SQRT($B$9*AVERAGE((Q1064:OFFSET(Q1064,$B$6-1,0))))</f>
        <v>#DIV/0!</v>
      </c>
      <c r="T1064" s="5" t="e">
        <f ca="1">SQRT($B$9*AVERAGE((Q1064:OFFSET(Q1064,$B$7-1,0))))</f>
        <v>#DIV/0!</v>
      </c>
      <c r="U1064" s="5" t="e">
        <f ca="1">SQRT($B$9*AVERAGE((Q1064:OFFSET(Q1064,$B$8-1,0))))</f>
        <v>#DIV/0!</v>
      </c>
      <c r="W1064" s="6" t="e">
        <f t="shared" si="92"/>
        <v>#DIV/0!</v>
      </c>
      <c r="X1064" s="6" t="e">
        <f ca="1">SQRT($B$9*AVERAGE(W1064:OFFSET(W1064,$B$5-1,0)))</f>
        <v>#DIV/0!</v>
      </c>
      <c r="Y1064" s="6" t="e">
        <f ca="1">SQRT($B$9*AVERAGE(W1064:OFFSET(W1064,$B$6-1,0)))</f>
        <v>#DIV/0!</v>
      </c>
      <c r="Z1064" s="6" t="e">
        <f ca="1">SQRT($B$9*AVERAGE(W1064:OFFSET(W1064,$B$7-1,0)))</f>
        <v>#DIV/0!</v>
      </c>
      <c r="AA1064" s="6" t="e">
        <f ca="1">SQRT($B$9*AVERAGE(W1064:OFFSET(W1064,$B$8-1,0)))</f>
        <v>#DIV/0!</v>
      </c>
      <c r="AC1064" s="34" t="e">
        <f t="shared" si="90"/>
        <v>#DIV/0!</v>
      </c>
      <c r="AD1064" s="34" t="e">
        <f ca="1">SQRT($B$9*SUM(AC1064:OFFSET(AC1064,$B$5-1,0))/($B$5-1))</f>
        <v>#DIV/0!</v>
      </c>
      <c r="AE1064" s="34" t="e">
        <f ca="1">SQRT($B$9*SUM(AC1064:OFFSET(AC1064,$B$6-1,0))/($B$6-1))</f>
        <v>#DIV/0!</v>
      </c>
      <c r="AF1064" s="34" t="e">
        <f ca="1">SQRT($B$9*SUM(AC1064:OFFSET(AC1064,$B$7-1,0))/($B$7-1))</f>
        <v>#DIV/0!</v>
      </c>
      <c r="AG1064" s="34" t="e">
        <f ca="1">SQRT($B$9*SUM(AC1064:OFFSET(AC1064,$B$8-1,0))/($B$8-1))</f>
        <v>#DIV/0!</v>
      </c>
      <c r="AI1064" s="1" t="e">
        <f t="shared" si="91"/>
        <v>#DIV/0!</v>
      </c>
      <c r="AJ1064" s="4" t="e">
        <f ca="1">SQRT($B$9)*_xlfn.STDEV.S(AI1064:OFFSET(AI1064,$B$5-1,0))</f>
        <v>#DIV/0!</v>
      </c>
      <c r="AK1064" s="4" t="e">
        <f ca="1">SQRT($B$9)*_xlfn.STDEV.S(AI1064:OFFSET(AI1064,$B$6-1,0))</f>
        <v>#DIV/0!</v>
      </c>
      <c r="AL1064" s="4" t="e">
        <f ca="1">SQRT($B$9)*_xlfn.STDEV.S(AI1064:OFFSET(AI1064,$B$7-1,0))</f>
        <v>#DIV/0!</v>
      </c>
      <c r="AM1064" s="4" t="e">
        <f ca="1">SQRT($B$9)*_xlfn.STDEV.S(AI1064:OFFSET(AI1064,$B$8-1,0))</f>
        <v>#DIV/0!</v>
      </c>
    </row>
    <row r="1065" spans="11:39" x14ac:dyDescent="0.2">
      <c r="K1065" s="3" t="e">
        <f t="shared" si="89"/>
        <v>#DIV/0!</v>
      </c>
      <c r="L1065" s="3" t="e">
        <f ca="1">SQRT(AVERAGE(K1065:OFFSET(K1065,$B$5-1,0))*$B$9/(4*LN(2)))</f>
        <v>#DIV/0!</v>
      </c>
      <c r="M1065" s="3" t="e">
        <f ca="1">SQRT(AVERAGE(K1065:OFFSET(K1065,$B$6-1,0))*$B$9/(4*LN(2)))</f>
        <v>#DIV/0!</v>
      </c>
      <c r="N1065" s="3" t="e">
        <f ca="1">SQRT(AVERAGE(K1065:OFFSET(K1065,$B$7-1,0))*$B$9/(4*LN(2)))</f>
        <v>#DIV/0!</v>
      </c>
      <c r="O1065" s="3" t="e">
        <f ca="1">SQRT(AVERAGE(K1065:OFFSET(K1065,$B$8-1,0))*$B$9/(4*LN(2)))</f>
        <v>#DIV/0!</v>
      </c>
      <c r="Q1065" s="5" t="e">
        <f t="shared" si="88"/>
        <v>#DIV/0!</v>
      </c>
      <c r="R1065" s="5" t="e">
        <f ca="1">SQRT($B$9*AVERAGE((Q1065:OFFSET(Q1065,$B$5-1,0))))</f>
        <v>#DIV/0!</v>
      </c>
      <c r="S1065" s="5" t="e">
        <f ca="1">SQRT($B$9*AVERAGE((Q1065:OFFSET(Q1065,$B$6-1,0))))</f>
        <v>#DIV/0!</v>
      </c>
      <c r="T1065" s="5" t="e">
        <f ca="1">SQRT($B$9*AVERAGE((Q1065:OFFSET(Q1065,$B$7-1,0))))</f>
        <v>#DIV/0!</v>
      </c>
      <c r="U1065" s="5" t="e">
        <f ca="1">SQRT($B$9*AVERAGE((Q1065:OFFSET(Q1065,$B$8-1,0))))</f>
        <v>#DIV/0!</v>
      </c>
      <c r="W1065" s="6" t="e">
        <f t="shared" si="92"/>
        <v>#DIV/0!</v>
      </c>
      <c r="X1065" s="6" t="e">
        <f ca="1">SQRT($B$9*AVERAGE(W1065:OFFSET(W1065,$B$5-1,0)))</f>
        <v>#DIV/0!</v>
      </c>
      <c r="Y1065" s="6" t="e">
        <f ca="1">SQRT($B$9*AVERAGE(W1065:OFFSET(W1065,$B$6-1,0)))</f>
        <v>#DIV/0!</v>
      </c>
      <c r="Z1065" s="6" t="e">
        <f ca="1">SQRT($B$9*AVERAGE(W1065:OFFSET(W1065,$B$7-1,0)))</f>
        <v>#DIV/0!</v>
      </c>
      <c r="AA1065" s="6" t="e">
        <f ca="1">SQRT($B$9*AVERAGE(W1065:OFFSET(W1065,$B$8-1,0)))</f>
        <v>#DIV/0!</v>
      </c>
      <c r="AC1065" s="34" t="e">
        <f t="shared" si="90"/>
        <v>#DIV/0!</v>
      </c>
      <c r="AD1065" s="34" t="e">
        <f ca="1">SQRT($B$9*SUM(AC1065:OFFSET(AC1065,$B$5-1,0))/($B$5-1))</f>
        <v>#DIV/0!</v>
      </c>
      <c r="AE1065" s="34" t="e">
        <f ca="1">SQRT($B$9*SUM(AC1065:OFFSET(AC1065,$B$6-1,0))/($B$6-1))</f>
        <v>#DIV/0!</v>
      </c>
      <c r="AF1065" s="34" t="e">
        <f ca="1">SQRT($B$9*SUM(AC1065:OFFSET(AC1065,$B$7-1,0))/($B$7-1))</f>
        <v>#DIV/0!</v>
      </c>
      <c r="AG1065" s="34" t="e">
        <f ca="1">SQRT($B$9*SUM(AC1065:OFFSET(AC1065,$B$8-1,0))/($B$8-1))</f>
        <v>#DIV/0!</v>
      </c>
      <c r="AI1065" s="1" t="e">
        <f t="shared" si="91"/>
        <v>#DIV/0!</v>
      </c>
      <c r="AJ1065" s="4" t="e">
        <f ca="1">SQRT($B$9)*_xlfn.STDEV.S(AI1065:OFFSET(AI1065,$B$5-1,0))</f>
        <v>#DIV/0!</v>
      </c>
      <c r="AK1065" s="4" t="e">
        <f ca="1">SQRT($B$9)*_xlfn.STDEV.S(AI1065:OFFSET(AI1065,$B$6-1,0))</f>
        <v>#DIV/0!</v>
      </c>
      <c r="AL1065" s="4" t="e">
        <f ca="1">SQRT($B$9)*_xlfn.STDEV.S(AI1065:OFFSET(AI1065,$B$7-1,0))</f>
        <v>#DIV/0!</v>
      </c>
      <c r="AM1065" s="4" t="e">
        <f ca="1">SQRT($B$9)*_xlfn.STDEV.S(AI1065:OFFSET(AI1065,$B$8-1,0))</f>
        <v>#DIV/0!</v>
      </c>
    </row>
    <row r="1066" spans="11:39" x14ac:dyDescent="0.2">
      <c r="K1066" s="3" t="e">
        <f t="shared" si="89"/>
        <v>#DIV/0!</v>
      </c>
      <c r="L1066" s="3" t="e">
        <f ca="1">SQRT(AVERAGE(K1066:OFFSET(K1066,$B$5-1,0))*$B$9/(4*LN(2)))</f>
        <v>#DIV/0!</v>
      </c>
      <c r="M1066" s="3" t="e">
        <f ca="1">SQRT(AVERAGE(K1066:OFFSET(K1066,$B$6-1,0))*$B$9/(4*LN(2)))</f>
        <v>#DIV/0!</v>
      </c>
      <c r="N1066" s="3" t="e">
        <f ca="1">SQRT(AVERAGE(K1066:OFFSET(K1066,$B$7-1,0))*$B$9/(4*LN(2)))</f>
        <v>#DIV/0!</v>
      </c>
      <c r="O1066" s="3" t="e">
        <f ca="1">SQRT(AVERAGE(K1066:OFFSET(K1066,$B$8-1,0))*$B$9/(4*LN(2)))</f>
        <v>#DIV/0!</v>
      </c>
      <c r="Q1066" s="5" t="e">
        <f t="shared" si="88"/>
        <v>#DIV/0!</v>
      </c>
      <c r="R1066" s="5" t="e">
        <f ca="1">SQRT($B$9*AVERAGE((Q1066:OFFSET(Q1066,$B$5-1,0))))</f>
        <v>#DIV/0!</v>
      </c>
      <c r="S1066" s="5" t="e">
        <f ca="1">SQRT($B$9*AVERAGE((Q1066:OFFSET(Q1066,$B$6-1,0))))</f>
        <v>#DIV/0!</v>
      </c>
      <c r="T1066" s="5" t="e">
        <f ca="1">SQRT($B$9*AVERAGE((Q1066:OFFSET(Q1066,$B$7-1,0))))</f>
        <v>#DIV/0!</v>
      </c>
      <c r="U1066" s="5" t="e">
        <f ca="1">SQRT($B$9*AVERAGE((Q1066:OFFSET(Q1066,$B$8-1,0))))</f>
        <v>#DIV/0!</v>
      </c>
      <c r="W1066" s="6" t="e">
        <f t="shared" si="92"/>
        <v>#DIV/0!</v>
      </c>
      <c r="X1066" s="6" t="e">
        <f ca="1">SQRT($B$9*AVERAGE(W1066:OFFSET(W1066,$B$5-1,0)))</f>
        <v>#DIV/0!</v>
      </c>
      <c r="Y1066" s="6" t="e">
        <f ca="1">SQRT($B$9*AVERAGE(W1066:OFFSET(W1066,$B$6-1,0)))</f>
        <v>#DIV/0!</v>
      </c>
      <c r="Z1066" s="6" t="e">
        <f ca="1">SQRT($B$9*AVERAGE(W1066:OFFSET(W1066,$B$7-1,0)))</f>
        <v>#DIV/0!</v>
      </c>
      <c r="AA1066" s="6" t="e">
        <f ca="1">SQRT($B$9*AVERAGE(W1066:OFFSET(W1066,$B$8-1,0)))</f>
        <v>#DIV/0!</v>
      </c>
      <c r="AC1066" s="34" t="e">
        <f t="shared" si="90"/>
        <v>#DIV/0!</v>
      </c>
      <c r="AD1066" s="34" t="e">
        <f ca="1">SQRT($B$9*SUM(AC1066:OFFSET(AC1066,$B$5-1,0))/($B$5-1))</f>
        <v>#DIV/0!</v>
      </c>
      <c r="AE1066" s="34" t="e">
        <f ca="1">SQRT($B$9*SUM(AC1066:OFFSET(AC1066,$B$6-1,0))/($B$6-1))</f>
        <v>#DIV/0!</v>
      </c>
      <c r="AF1066" s="34" t="e">
        <f ca="1">SQRT($B$9*SUM(AC1066:OFFSET(AC1066,$B$7-1,0))/($B$7-1))</f>
        <v>#DIV/0!</v>
      </c>
      <c r="AG1066" s="34" t="e">
        <f ca="1">SQRT($B$9*SUM(AC1066:OFFSET(AC1066,$B$8-1,0))/($B$8-1))</f>
        <v>#DIV/0!</v>
      </c>
      <c r="AI1066" s="1" t="e">
        <f t="shared" si="91"/>
        <v>#DIV/0!</v>
      </c>
      <c r="AJ1066" s="4" t="e">
        <f ca="1">SQRT($B$9)*_xlfn.STDEV.S(AI1066:OFFSET(AI1066,$B$5-1,0))</f>
        <v>#DIV/0!</v>
      </c>
      <c r="AK1066" s="4" t="e">
        <f ca="1">SQRT($B$9)*_xlfn.STDEV.S(AI1066:OFFSET(AI1066,$B$6-1,0))</f>
        <v>#DIV/0!</v>
      </c>
      <c r="AL1066" s="4" t="e">
        <f ca="1">SQRT($B$9)*_xlfn.STDEV.S(AI1066:OFFSET(AI1066,$B$7-1,0))</f>
        <v>#DIV/0!</v>
      </c>
      <c r="AM1066" s="4" t="e">
        <f ca="1">SQRT($B$9)*_xlfn.STDEV.S(AI1066:OFFSET(AI1066,$B$8-1,0))</f>
        <v>#DIV/0!</v>
      </c>
    </row>
    <row r="1067" spans="11:39" x14ac:dyDescent="0.2">
      <c r="K1067" s="3" t="e">
        <f t="shared" si="89"/>
        <v>#DIV/0!</v>
      </c>
      <c r="L1067" s="3" t="e">
        <f ca="1">SQRT(AVERAGE(K1067:OFFSET(K1067,$B$5-1,0))*$B$9/(4*LN(2)))</f>
        <v>#DIV/0!</v>
      </c>
      <c r="M1067" s="3" t="e">
        <f ca="1">SQRT(AVERAGE(K1067:OFFSET(K1067,$B$6-1,0))*$B$9/(4*LN(2)))</f>
        <v>#DIV/0!</v>
      </c>
      <c r="N1067" s="3" t="e">
        <f ca="1">SQRT(AVERAGE(K1067:OFFSET(K1067,$B$7-1,0))*$B$9/(4*LN(2)))</f>
        <v>#DIV/0!</v>
      </c>
      <c r="O1067" s="3" t="e">
        <f ca="1">SQRT(AVERAGE(K1067:OFFSET(K1067,$B$8-1,0))*$B$9/(4*LN(2)))</f>
        <v>#DIV/0!</v>
      </c>
      <c r="Q1067" s="5" t="e">
        <f t="shared" si="88"/>
        <v>#DIV/0!</v>
      </c>
      <c r="R1067" s="5" t="e">
        <f ca="1">SQRT($B$9*AVERAGE((Q1067:OFFSET(Q1067,$B$5-1,0))))</f>
        <v>#DIV/0!</v>
      </c>
      <c r="S1067" s="5" t="e">
        <f ca="1">SQRT($B$9*AVERAGE((Q1067:OFFSET(Q1067,$B$6-1,0))))</f>
        <v>#DIV/0!</v>
      </c>
      <c r="T1067" s="5" t="e">
        <f ca="1">SQRT($B$9*AVERAGE((Q1067:OFFSET(Q1067,$B$7-1,0))))</f>
        <v>#DIV/0!</v>
      </c>
      <c r="U1067" s="5" t="e">
        <f ca="1">SQRT($B$9*AVERAGE((Q1067:OFFSET(Q1067,$B$8-1,0))))</f>
        <v>#DIV/0!</v>
      </c>
      <c r="W1067" s="6" t="e">
        <f t="shared" si="92"/>
        <v>#DIV/0!</v>
      </c>
      <c r="X1067" s="6" t="e">
        <f ca="1">SQRT($B$9*AVERAGE(W1067:OFFSET(W1067,$B$5-1,0)))</f>
        <v>#DIV/0!</v>
      </c>
      <c r="Y1067" s="6" t="e">
        <f ca="1">SQRT($B$9*AVERAGE(W1067:OFFSET(W1067,$B$6-1,0)))</f>
        <v>#DIV/0!</v>
      </c>
      <c r="Z1067" s="6" t="e">
        <f ca="1">SQRT($B$9*AVERAGE(W1067:OFFSET(W1067,$B$7-1,0)))</f>
        <v>#DIV/0!</v>
      </c>
      <c r="AA1067" s="6" t="e">
        <f ca="1">SQRT($B$9*AVERAGE(W1067:OFFSET(W1067,$B$8-1,0)))</f>
        <v>#DIV/0!</v>
      </c>
      <c r="AC1067" s="34" t="e">
        <f t="shared" si="90"/>
        <v>#DIV/0!</v>
      </c>
      <c r="AD1067" s="34" t="e">
        <f ca="1">SQRT($B$9*SUM(AC1067:OFFSET(AC1067,$B$5-1,0))/($B$5-1))</f>
        <v>#DIV/0!</v>
      </c>
      <c r="AE1067" s="34" t="e">
        <f ca="1">SQRT($B$9*SUM(AC1067:OFFSET(AC1067,$B$6-1,0))/($B$6-1))</f>
        <v>#DIV/0!</v>
      </c>
      <c r="AF1067" s="34" t="e">
        <f ca="1">SQRT($B$9*SUM(AC1067:OFFSET(AC1067,$B$7-1,0))/($B$7-1))</f>
        <v>#DIV/0!</v>
      </c>
      <c r="AG1067" s="34" t="e">
        <f ca="1">SQRT($B$9*SUM(AC1067:OFFSET(AC1067,$B$8-1,0))/($B$8-1))</f>
        <v>#DIV/0!</v>
      </c>
      <c r="AI1067" s="1" t="e">
        <f t="shared" si="91"/>
        <v>#DIV/0!</v>
      </c>
      <c r="AJ1067" s="4" t="e">
        <f ca="1">SQRT($B$9)*_xlfn.STDEV.S(AI1067:OFFSET(AI1067,$B$5-1,0))</f>
        <v>#DIV/0!</v>
      </c>
      <c r="AK1067" s="4" t="e">
        <f ca="1">SQRT($B$9)*_xlfn.STDEV.S(AI1067:OFFSET(AI1067,$B$6-1,0))</f>
        <v>#DIV/0!</v>
      </c>
      <c r="AL1067" s="4" t="e">
        <f ca="1">SQRT($B$9)*_xlfn.STDEV.S(AI1067:OFFSET(AI1067,$B$7-1,0))</f>
        <v>#DIV/0!</v>
      </c>
      <c r="AM1067" s="4" t="e">
        <f ca="1">SQRT($B$9)*_xlfn.STDEV.S(AI1067:OFFSET(AI1067,$B$8-1,0))</f>
        <v>#DIV/0!</v>
      </c>
    </row>
    <row r="1068" spans="11:39" x14ac:dyDescent="0.2">
      <c r="K1068" s="3" t="e">
        <f t="shared" si="89"/>
        <v>#DIV/0!</v>
      </c>
      <c r="L1068" s="3" t="e">
        <f ca="1">SQRT(AVERAGE(K1068:OFFSET(K1068,$B$5-1,0))*$B$9/(4*LN(2)))</f>
        <v>#DIV/0!</v>
      </c>
      <c r="M1068" s="3" t="e">
        <f ca="1">SQRT(AVERAGE(K1068:OFFSET(K1068,$B$6-1,0))*$B$9/(4*LN(2)))</f>
        <v>#DIV/0!</v>
      </c>
      <c r="N1068" s="3" t="e">
        <f ca="1">SQRT(AVERAGE(K1068:OFFSET(K1068,$B$7-1,0))*$B$9/(4*LN(2)))</f>
        <v>#DIV/0!</v>
      </c>
      <c r="O1068" s="3" t="e">
        <f ca="1">SQRT(AVERAGE(K1068:OFFSET(K1068,$B$8-1,0))*$B$9/(4*LN(2)))</f>
        <v>#DIV/0!</v>
      </c>
      <c r="Q1068" s="5" t="e">
        <f t="shared" si="88"/>
        <v>#DIV/0!</v>
      </c>
      <c r="R1068" s="5" t="e">
        <f ca="1">SQRT($B$9*AVERAGE((Q1068:OFFSET(Q1068,$B$5-1,0))))</f>
        <v>#DIV/0!</v>
      </c>
      <c r="S1068" s="5" t="e">
        <f ca="1">SQRT($B$9*AVERAGE((Q1068:OFFSET(Q1068,$B$6-1,0))))</f>
        <v>#DIV/0!</v>
      </c>
      <c r="T1068" s="5" t="e">
        <f ca="1">SQRT($B$9*AVERAGE((Q1068:OFFSET(Q1068,$B$7-1,0))))</f>
        <v>#DIV/0!</v>
      </c>
      <c r="U1068" s="5" t="e">
        <f ca="1">SQRT($B$9*AVERAGE((Q1068:OFFSET(Q1068,$B$8-1,0))))</f>
        <v>#DIV/0!</v>
      </c>
      <c r="W1068" s="6" t="e">
        <f t="shared" si="92"/>
        <v>#DIV/0!</v>
      </c>
      <c r="X1068" s="6" t="e">
        <f ca="1">SQRT($B$9*AVERAGE(W1068:OFFSET(W1068,$B$5-1,0)))</f>
        <v>#DIV/0!</v>
      </c>
      <c r="Y1068" s="6" t="e">
        <f ca="1">SQRT($B$9*AVERAGE(W1068:OFFSET(W1068,$B$6-1,0)))</f>
        <v>#DIV/0!</v>
      </c>
      <c r="Z1068" s="6" t="e">
        <f ca="1">SQRT($B$9*AVERAGE(W1068:OFFSET(W1068,$B$7-1,0)))</f>
        <v>#DIV/0!</v>
      </c>
      <c r="AA1068" s="6" t="e">
        <f ca="1">SQRT($B$9*AVERAGE(W1068:OFFSET(W1068,$B$8-1,0)))</f>
        <v>#DIV/0!</v>
      </c>
      <c r="AC1068" s="34" t="e">
        <f t="shared" si="90"/>
        <v>#DIV/0!</v>
      </c>
      <c r="AD1068" s="34" t="e">
        <f ca="1">SQRT($B$9*SUM(AC1068:OFFSET(AC1068,$B$5-1,0))/($B$5-1))</f>
        <v>#DIV/0!</v>
      </c>
      <c r="AE1068" s="34" t="e">
        <f ca="1">SQRT($B$9*SUM(AC1068:OFFSET(AC1068,$B$6-1,0))/($B$6-1))</f>
        <v>#DIV/0!</v>
      </c>
      <c r="AF1068" s="34" t="e">
        <f ca="1">SQRT($B$9*SUM(AC1068:OFFSET(AC1068,$B$7-1,0))/($B$7-1))</f>
        <v>#DIV/0!</v>
      </c>
      <c r="AG1068" s="34" t="e">
        <f ca="1">SQRT($B$9*SUM(AC1068:OFFSET(AC1068,$B$8-1,0))/($B$8-1))</f>
        <v>#DIV/0!</v>
      </c>
      <c r="AI1068" s="1" t="e">
        <f t="shared" si="91"/>
        <v>#DIV/0!</v>
      </c>
      <c r="AJ1068" s="4" t="e">
        <f ca="1">SQRT($B$9)*_xlfn.STDEV.S(AI1068:OFFSET(AI1068,$B$5-1,0))</f>
        <v>#DIV/0!</v>
      </c>
      <c r="AK1068" s="4" t="e">
        <f ca="1">SQRT($B$9)*_xlfn.STDEV.S(AI1068:OFFSET(AI1068,$B$6-1,0))</f>
        <v>#DIV/0!</v>
      </c>
      <c r="AL1068" s="4" t="e">
        <f ca="1">SQRT($B$9)*_xlfn.STDEV.S(AI1068:OFFSET(AI1068,$B$7-1,0))</f>
        <v>#DIV/0!</v>
      </c>
      <c r="AM1068" s="4" t="e">
        <f ca="1">SQRT($B$9)*_xlfn.STDEV.S(AI1068:OFFSET(AI1068,$B$8-1,0))</f>
        <v>#DIV/0!</v>
      </c>
    </row>
    <row r="1069" spans="11:39" x14ac:dyDescent="0.2">
      <c r="K1069" s="3" t="e">
        <f t="shared" si="89"/>
        <v>#DIV/0!</v>
      </c>
      <c r="L1069" s="3" t="e">
        <f ca="1">SQRT(AVERAGE(K1069:OFFSET(K1069,$B$5-1,0))*$B$9/(4*LN(2)))</f>
        <v>#DIV/0!</v>
      </c>
      <c r="M1069" s="3" t="e">
        <f ca="1">SQRT(AVERAGE(K1069:OFFSET(K1069,$B$6-1,0))*$B$9/(4*LN(2)))</f>
        <v>#DIV/0!</v>
      </c>
      <c r="N1069" s="3" t="e">
        <f ca="1">SQRT(AVERAGE(K1069:OFFSET(K1069,$B$7-1,0))*$B$9/(4*LN(2)))</f>
        <v>#DIV/0!</v>
      </c>
      <c r="O1069" s="3" t="e">
        <f ca="1">SQRT(AVERAGE(K1069:OFFSET(K1069,$B$8-1,0))*$B$9/(4*LN(2)))</f>
        <v>#DIV/0!</v>
      </c>
      <c r="Q1069" s="5" t="e">
        <f t="shared" si="88"/>
        <v>#DIV/0!</v>
      </c>
      <c r="R1069" s="5" t="e">
        <f ca="1">SQRT($B$9*AVERAGE((Q1069:OFFSET(Q1069,$B$5-1,0))))</f>
        <v>#DIV/0!</v>
      </c>
      <c r="S1069" s="5" t="e">
        <f ca="1">SQRT($B$9*AVERAGE((Q1069:OFFSET(Q1069,$B$6-1,0))))</f>
        <v>#DIV/0!</v>
      </c>
      <c r="T1069" s="5" t="e">
        <f ca="1">SQRT($B$9*AVERAGE((Q1069:OFFSET(Q1069,$B$7-1,0))))</f>
        <v>#DIV/0!</v>
      </c>
      <c r="U1069" s="5" t="e">
        <f ca="1">SQRT($B$9*AVERAGE((Q1069:OFFSET(Q1069,$B$8-1,0))))</f>
        <v>#DIV/0!</v>
      </c>
      <c r="W1069" s="6" t="e">
        <f t="shared" si="92"/>
        <v>#DIV/0!</v>
      </c>
      <c r="X1069" s="6" t="e">
        <f ca="1">SQRT($B$9*AVERAGE(W1069:OFFSET(W1069,$B$5-1,0)))</f>
        <v>#DIV/0!</v>
      </c>
      <c r="Y1069" s="6" t="e">
        <f ca="1">SQRT($B$9*AVERAGE(W1069:OFFSET(W1069,$B$6-1,0)))</f>
        <v>#DIV/0!</v>
      </c>
      <c r="Z1069" s="6" t="e">
        <f ca="1">SQRT($B$9*AVERAGE(W1069:OFFSET(W1069,$B$7-1,0)))</f>
        <v>#DIV/0!</v>
      </c>
      <c r="AA1069" s="6" t="e">
        <f ca="1">SQRT($B$9*AVERAGE(W1069:OFFSET(W1069,$B$8-1,0)))</f>
        <v>#DIV/0!</v>
      </c>
      <c r="AC1069" s="34" t="e">
        <f t="shared" si="90"/>
        <v>#DIV/0!</v>
      </c>
      <c r="AD1069" s="34" t="e">
        <f ca="1">SQRT($B$9*SUM(AC1069:OFFSET(AC1069,$B$5-1,0))/($B$5-1))</f>
        <v>#DIV/0!</v>
      </c>
      <c r="AE1069" s="34" t="e">
        <f ca="1">SQRT($B$9*SUM(AC1069:OFFSET(AC1069,$B$6-1,0))/($B$6-1))</f>
        <v>#DIV/0!</v>
      </c>
      <c r="AF1069" s="34" t="e">
        <f ca="1">SQRT($B$9*SUM(AC1069:OFFSET(AC1069,$B$7-1,0))/($B$7-1))</f>
        <v>#DIV/0!</v>
      </c>
      <c r="AG1069" s="34" t="e">
        <f ca="1">SQRT($B$9*SUM(AC1069:OFFSET(AC1069,$B$8-1,0))/($B$8-1))</f>
        <v>#DIV/0!</v>
      </c>
      <c r="AI1069" s="1" t="e">
        <f t="shared" si="91"/>
        <v>#DIV/0!</v>
      </c>
      <c r="AJ1069" s="4" t="e">
        <f ca="1">SQRT($B$9)*_xlfn.STDEV.S(AI1069:OFFSET(AI1069,$B$5-1,0))</f>
        <v>#DIV/0!</v>
      </c>
      <c r="AK1069" s="4" t="e">
        <f ca="1">SQRT($B$9)*_xlfn.STDEV.S(AI1069:OFFSET(AI1069,$B$6-1,0))</f>
        <v>#DIV/0!</v>
      </c>
      <c r="AL1069" s="4" t="e">
        <f ca="1">SQRT($B$9)*_xlfn.STDEV.S(AI1069:OFFSET(AI1069,$B$7-1,0))</f>
        <v>#DIV/0!</v>
      </c>
      <c r="AM1069" s="4" t="e">
        <f ca="1">SQRT($B$9)*_xlfn.STDEV.S(AI1069:OFFSET(AI1069,$B$8-1,0))</f>
        <v>#DIV/0!</v>
      </c>
    </row>
    <row r="1070" spans="11:39" x14ac:dyDescent="0.2">
      <c r="K1070" s="3" t="e">
        <f t="shared" si="89"/>
        <v>#DIV/0!</v>
      </c>
      <c r="L1070" s="3" t="e">
        <f ca="1">SQRT(AVERAGE(K1070:OFFSET(K1070,$B$5-1,0))*$B$9/(4*LN(2)))</f>
        <v>#DIV/0!</v>
      </c>
      <c r="M1070" s="3" t="e">
        <f ca="1">SQRT(AVERAGE(K1070:OFFSET(K1070,$B$6-1,0))*$B$9/(4*LN(2)))</f>
        <v>#DIV/0!</v>
      </c>
      <c r="N1070" s="3" t="e">
        <f ca="1">SQRT(AVERAGE(K1070:OFFSET(K1070,$B$7-1,0))*$B$9/(4*LN(2)))</f>
        <v>#DIV/0!</v>
      </c>
      <c r="O1070" s="3" t="e">
        <f ca="1">SQRT(AVERAGE(K1070:OFFSET(K1070,$B$8-1,0))*$B$9/(4*LN(2)))</f>
        <v>#DIV/0!</v>
      </c>
      <c r="Q1070" s="5" t="e">
        <f t="shared" si="88"/>
        <v>#DIV/0!</v>
      </c>
      <c r="R1070" s="5" t="e">
        <f ca="1">SQRT($B$9*AVERAGE((Q1070:OFFSET(Q1070,$B$5-1,0))))</f>
        <v>#DIV/0!</v>
      </c>
      <c r="S1070" s="5" t="e">
        <f ca="1">SQRT($B$9*AVERAGE((Q1070:OFFSET(Q1070,$B$6-1,0))))</f>
        <v>#DIV/0!</v>
      </c>
      <c r="T1070" s="5" t="e">
        <f ca="1">SQRT($B$9*AVERAGE((Q1070:OFFSET(Q1070,$B$7-1,0))))</f>
        <v>#DIV/0!</v>
      </c>
      <c r="U1070" s="5" t="e">
        <f ca="1">SQRT($B$9*AVERAGE((Q1070:OFFSET(Q1070,$B$8-1,0))))</f>
        <v>#DIV/0!</v>
      </c>
      <c r="W1070" s="6" t="e">
        <f t="shared" si="92"/>
        <v>#DIV/0!</v>
      </c>
      <c r="X1070" s="6" t="e">
        <f ca="1">SQRT($B$9*AVERAGE(W1070:OFFSET(W1070,$B$5-1,0)))</f>
        <v>#DIV/0!</v>
      </c>
      <c r="Y1070" s="6" t="e">
        <f ca="1">SQRT($B$9*AVERAGE(W1070:OFFSET(W1070,$B$6-1,0)))</f>
        <v>#DIV/0!</v>
      </c>
      <c r="Z1070" s="6" t="e">
        <f ca="1">SQRT($B$9*AVERAGE(W1070:OFFSET(W1070,$B$7-1,0)))</f>
        <v>#DIV/0!</v>
      </c>
      <c r="AA1070" s="6" t="e">
        <f ca="1">SQRT($B$9*AVERAGE(W1070:OFFSET(W1070,$B$8-1,0)))</f>
        <v>#DIV/0!</v>
      </c>
      <c r="AC1070" s="34" t="e">
        <f t="shared" si="90"/>
        <v>#DIV/0!</v>
      </c>
      <c r="AD1070" s="34" t="e">
        <f ca="1">SQRT($B$9*SUM(AC1070:OFFSET(AC1070,$B$5-1,0))/($B$5-1))</f>
        <v>#DIV/0!</v>
      </c>
      <c r="AE1070" s="34" t="e">
        <f ca="1">SQRT($B$9*SUM(AC1070:OFFSET(AC1070,$B$6-1,0))/($B$6-1))</f>
        <v>#DIV/0!</v>
      </c>
      <c r="AF1070" s="34" t="e">
        <f ca="1">SQRT($B$9*SUM(AC1070:OFFSET(AC1070,$B$7-1,0))/($B$7-1))</f>
        <v>#DIV/0!</v>
      </c>
      <c r="AG1070" s="34" t="e">
        <f ca="1">SQRT($B$9*SUM(AC1070:OFFSET(AC1070,$B$8-1,0))/($B$8-1))</f>
        <v>#DIV/0!</v>
      </c>
      <c r="AI1070" s="1" t="e">
        <f t="shared" si="91"/>
        <v>#DIV/0!</v>
      </c>
      <c r="AJ1070" s="4" t="e">
        <f ca="1">SQRT($B$9)*_xlfn.STDEV.S(AI1070:OFFSET(AI1070,$B$5-1,0))</f>
        <v>#DIV/0!</v>
      </c>
      <c r="AK1070" s="4" t="e">
        <f ca="1">SQRT($B$9)*_xlfn.STDEV.S(AI1070:OFFSET(AI1070,$B$6-1,0))</f>
        <v>#DIV/0!</v>
      </c>
      <c r="AL1070" s="4" t="e">
        <f ca="1">SQRT($B$9)*_xlfn.STDEV.S(AI1070:OFFSET(AI1070,$B$7-1,0))</f>
        <v>#DIV/0!</v>
      </c>
      <c r="AM1070" s="4" t="e">
        <f ca="1">SQRT($B$9)*_xlfn.STDEV.S(AI1070:OFFSET(AI1070,$B$8-1,0))</f>
        <v>#DIV/0!</v>
      </c>
    </row>
    <row r="1071" spans="11:39" x14ac:dyDescent="0.2">
      <c r="K1071" s="3" t="e">
        <f t="shared" si="89"/>
        <v>#DIV/0!</v>
      </c>
      <c r="L1071" s="3" t="e">
        <f ca="1">SQRT(AVERAGE(K1071:OFFSET(K1071,$B$5-1,0))*$B$9/(4*LN(2)))</f>
        <v>#DIV/0!</v>
      </c>
      <c r="M1071" s="3" t="e">
        <f ca="1">SQRT(AVERAGE(K1071:OFFSET(K1071,$B$6-1,0))*$B$9/(4*LN(2)))</f>
        <v>#DIV/0!</v>
      </c>
      <c r="N1071" s="3" t="e">
        <f ca="1">SQRT(AVERAGE(K1071:OFFSET(K1071,$B$7-1,0))*$B$9/(4*LN(2)))</f>
        <v>#DIV/0!</v>
      </c>
      <c r="O1071" s="3" t="e">
        <f ca="1">SQRT(AVERAGE(K1071:OFFSET(K1071,$B$8-1,0))*$B$9/(4*LN(2)))</f>
        <v>#DIV/0!</v>
      </c>
      <c r="Q1071" s="5" t="e">
        <f t="shared" si="88"/>
        <v>#DIV/0!</v>
      </c>
      <c r="R1071" s="5" t="e">
        <f ca="1">SQRT($B$9*AVERAGE((Q1071:OFFSET(Q1071,$B$5-1,0))))</f>
        <v>#DIV/0!</v>
      </c>
      <c r="S1071" s="5" t="e">
        <f ca="1">SQRT($B$9*AVERAGE((Q1071:OFFSET(Q1071,$B$6-1,0))))</f>
        <v>#DIV/0!</v>
      </c>
      <c r="T1071" s="5" t="e">
        <f ca="1">SQRT($B$9*AVERAGE((Q1071:OFFSET(Q1071,$B$7-1,0))))</f>
        <v>#DIV/0!</v>
      </c>
      <c r="U1071" s="5" t="e">
        <f ca="1">SQRT($B$9*AVERAGE((Q1071:OFFSET(Q1071,$B$8-1,0))))</f>
        <v>#DIV/0!</v>
      </c>
      <c r="W1071" s="6" t="e">
        <f t="shared" si="92"/>
        <v>#DIV/0!</v>
      </c>
      <c r="X1071" s="6" t="e">
        <f ca="1">SQRT($B$9*AVERAGE(W1071:OFFSET(W1071,$B$5-1,0)))</f>
        <v>#DIV/0!</v>
      </c>
      <c r="Y1071" s="6" t="e">
        <f ca="1">SQRT($B$9*AVERAGE(W1071:OFFSET(W1071,$B$6-1,0)))</f>
        <v>#DIV/0!</v>
      </c>
      <c r="Z1071" s="6" t="e">
        <f ca="1">SQRT($B$9*AVERAGE(W1071:OFFSET(W1071,$B$7-1,0)))</f>
        <v>#DIV/0!</v>
      </c>
      <c r="AA1071" s="6" t="e">
        <f ca="1">SQRT($B$9*AVERAGE(W1071:OFFSET(W1071,$B$8-1,0)))</f>
        <v>#DIV/0!</v>
      </c>
      <c r="AC1071" s="34" t="e">
        <f t="shared" si="90"/>
        <v>#DIV/0!</v>
      </c>
      <c r="AD1071" s="34" t="e">
        <f ca="1">SQRT($B$9*SUM(AC1071:OFFSET(AC1071,$B$5-1,0))/($B$5-1))</f>
        <v>#DIV/0!</v>
      </c>
      <c r="AE1071" s="34" t="e">
        <f ca="1">SQRT($B$9*SUM(AC1071:OFFSET(AC1071,$B$6-1,0))/($B$6-1))</f>
        <v>#DIV/0!</v>
      </c>
      <c r="AF1071" s="34" t="e">
        <f ca="1">SQRT($B$9*SUM(AC1071:OFFSET(AC1071,$B$7-1,0))/($B$7-1))</f>
        <v>#DIV/0!</v>
      </c>
      <c r="AG1071" s="34" t="e">
        <f ca="1">SQRT($B$9*SUM(AC1071:OFFSET(AC1071,$B$8-1,0))/($B$8-1))</f>
        <v>#DIV/0!</v>
      </c>
      <c r="AI1071" s="1" t="e">
        <f t="shared" si="91"/>
        <v>#DIV/0!</v>
      </c>
      <c r="AJ1071" s="4" t="e">
        <f ca="1">SQRT($B$9)*_xlfn.STDEV.S(AI1071:OFFSET(AI1071,$B$5-1,0))</f>
        <v>#DIV/0!</v>
      </c>
      <c r="AK1071" s="4" t="e">
        <f ca="1">SQRT($B$9)*_xlfn.STDEV.S(AI1071:OFFSET(AI1071,$B$6-1,0))</f>
        <v>#DIV/0!</v>
      </c>
      <c r="AL1071" s="4" t="e">
        <f ca="1">SQRT($B$9)*_xlfn.STDEV.S(AI1071:OFFSET(AI1071,$B$7-1,0))</f>
        <v>#DIV/0!</v>
      </c>
      <c r="AM1071" s="4" t="e">
        <f ca="1">SQRT($B$9)*_xlfn.STDEV.S(AI1071:OFFSET(AI1071,$B$8-1,0))</f>
        <v>#DIV/0!</v>
      </c>
    </row>
    <row r="1072" spans="11:39" x14ac:dyDescent="0.2">
      <c r="K1072" s="3" t="e">
        <f t="shared" si="89"/>
        <v>#DIV/0!</v>
      </c>
      <c r="L1072" s="3" t="e">
        <f ca="1">SQRT(AVERAGE(K1072:OFFSET(K1072,$B$5-1,0))*$B$9/(4*LN(2)))</f>
        <v>#DIV/0!</v>
      </c>
      <c r="M1072" s="3" t="e">
        <f ca="1">SQRT(AVERAGE(K1072:OFFSET(K1072,$B$6-1,0))*$B$9/(4*LN(2)))</f>
        <v>#DIV/0!</v>
      </c>
      <c r="N1072" s="3" t="e">
        <f ca="1">SQRT(AVERAGE(K1072:OFFSET(K1072,$B$7-1,0))*$B$9/(4*LN(2)))</f>
        <v>#DIV/0!</v>
      </c>
      <c r="O1072" s="3" t="e">
        <f ca="1">SQRT(AVERAGE(K1072:OFFSET(K1072,$B$8-1,0))*$B$9/(4*LN(2)))</f>
        <v>#DIV/0!</v>
      </c>
      <c r="Q1072" s="5" t="e">
        <f t="shared" si="88"/>
        <v>#DIV/0!</v>
      </c>
      <c r="R1072" s="5" t="e">
        <f ca="1">SQRT($B$9*AVERAGE((Q1072:OFFSET(Q1072,$B$5-1,0))))</f>
        <v>#DIV/0!</v>
      </c>
      <c r="S1072" s="5" t="e">
        <f ca="1">SQRT($B$9*AVERAGE((Q1072:OFFSET(Q1072,$B$6-1,0))))</f>
        <v>#DIV/0!</v>
      </c>
      <c r="T1072" s="5" t="e">
        <f ca="1">SQRT($B$9*AVERAGE((Q1072:OFFSET(Q1072,$B$7-1,0))))</f>
        <v>#DIV/0!</v>
      </c>
      <c r="U1072" s="5" t="e">
        <f ca="1">SQRT($B$9*AVERAGE((Q1072:OFFSET(Q1072,$B$8-1,0))))</f>
        <v>#DIV/0!</v>
      </c>
      <c r="W1072" s="6" t="e">
        <f t="shared" si="92"/>
        <v>#DIV/0!</v>
      </c>
      <c r="X1072" s="6" t="e">
        <f ca="1">SQRT($B$9*AVERAGE(W1072:OFFSET(W1072,$B$5-1,0)))</f>
        <v>#DIV/0!</v>
      </c>
      <c r="Y1072" s="6" t="e">
        <f ca="1">SQRT($B$9*AVERAGE(W1072:OFFSET(W1072,$B$6-1,0)))</f>
        <v>#DIV/0!</v>
      </c>
      <c r="Z1072" s="6" t="e">
        <f ca="1">SQRT($B$9*AVERAGE(W1072:OFFSET(W1072,$B$7-1,0)))</f>
        <v>#DIV/0!</v>
      </c>
      <c r="AA1072" s="6" t="e">
        <f ca="1">SQRT($B$9*AVERAGE(W1072:OFFSET(W1072,$B$8-1,0)))</f>
        <v>#DIV/0!</v>
      </c>
      <c r="AC1072" s="34" t="e">
        <f t="shared" si="90"/>
        <v>#DIV/0!</v>
      </c>
      <c r="AD1072" s="34" t="e">
        <f ca="1">SQRT($B$9*SUM(AC1072:OFFSET(AC1072,$B$5-1,0))/($B$5-1))</f>
        <v>#DIV/0!</v>
      </c>
      <c r="AE1072" s="34" t="e">
        <f ca="1">SQRT($B$9*SUM(AC1072:OFFSET(AC1072,$B$6-1,0))/($B$6-1))</f>
        <v>#DIV/0!</v>
      </c>
      <c r="AF1072" s="34" t="e">
        <f ca="1">SQRT($B$9*SUM(AC1072:OFFSET(AC1072,$B$7-1,0))/($B$7-1))</f>
        <v>#DIV/0!</v>
      </c>
      <c r="AG1072" s="34" t="e">
        <f ca="1">SQRT($B$9*SUM(AC1072:OFFSET(AC1072,$B$8-1,0))/($B$8-1))</f>
        <v>#DIV/0!</v>
      </c>
      <c r="AI1072" s="1" t="e">
        <f t="shared" si="91"/>
        <v>#DIV/0!</v>
      </c>
      <c r="AJ1072" s="4" t="e">
        <f ca="1">SQRT($B$9)*_xlfn.STDEV.S(AI1072:OFFSET(AI1072,$B$5-1,0))</f>
        <v>#DIV/0!</v>
      </c>
      <c r="AK1072" s="4" t="e">
        <f ca="1">SQRT($B$9)*_xlfn.STDEV.S(AI1072:OFFSET(AI1072,$B$6-1,0))</f>
        <v>#DIV/0!</v>
      </c>
      <c r="AL1072" s="4" t="e">
        <f ca="1">SQRT($B$9)*_xlfn.STDEV.S(AI1072:OFFSET(AI1072,$B$7-1,0))</f>
        <v>#DIV/0!</v>
      </c>
      <c r="AM1072" s="4" t="e">
        <f ca="1">SQRT($B$9)*_xlfn.STDEV.S(AI1072:OFFSET(AI1072,$B$8-1,0))</f>
        <v>#DIV/0!</v>
      </c>
    </row>
    <row r="1073" spans="11:39" x14ac:dyDescent="0.2">
      <c r="K1073" s="3" t="e">
        <f t="shared" si="89"/>
        <v>#DIV/0!</v>
      </c>
      <c r="L1073" s="3" t="e">
        <f ca="1">SQRT(AVERAGE(K1073:OFFSET(K1073,$B$5-1,0))*$B$9/(4*LN(2)))</f>
        <v>#DIV/0!</v>
      </c>
      <c r="M1073" s="3" t="e">
        <f ca="1">SQRT(AVERAGE(K1073:OFFSET(K1073,$B$6-1,0))*$B$9/(4*LN(2)))</f>
        <v>#DIV/0!</v>
      </c>
      <c r="N1073" s="3" t="e">
        <f ca="1">SQRT(AVERAGE(K1073:OFFSET(K1073,$B$7-1,0))*$B$9/(4*LN(2)))</f>
        <v>#DIV/0!</v>
      </c>
      <c r="O1073" s="3" t="e">
        <f ca="1">SQRT(AVERAGE(K1073:OFFSET(K1073,$B$8-1,0))*$B$9/(4*LN(2)))</f>
        <v>#DIV/0!</v>
      </c>
      <c r="Q1073" s="5" t="e">
        <f t="shared" si="88"/>
        <v>#DIV/0!</v>
      </c>
      <c r="R1073" s="5" t="e">
        <f ca="1">SQRT($B$9*AVERAGE((Q1073:OFFSET(Q1073,$B$5-1,0))))</f>
        <v>#DIV/0!</v>
      </c>
      <c r="S1073" s="5" t="e">
        <f ca="1">SQRT($B$9*AVERAGE((Q1073:OFFSET(Q1073,$B$6-1,0))))</f>
        <v>#DIV/0!</v>
      </c>
      <c r="T1073" s="5" t="e">
        <f ca="1">SQRT($B$9*AVERAGE((Q1073:OFFSET(Q1073,$B$7-1,0))))</f>
        <v>#DIV/0!</v>
      </c>
      <c r="U1073" s="5" t="e">
        <f ca="1">SQRT($B$9*AVERAGE((Q1073:OFFSET(Q1073,$B$8-1,0))))</f>
        <v>#DIV/0!</v>
      </c>
      <c r="W1073" s="6" t="e">
        <f t="shared" si="92"/>
        <v>#DIV/0!</v>
      </c>
      <c r="X1073" s="6" t="e">
        <f ca="1">SQRT($B$9*AVERAGE(W1073:OFFSET(W1073,$B$5-1,0)))</f>
        <v>#DIV/0!</v>
      </c>
      <c r="Y1073" s="6" t="e">
        <f ca="1">SQRT($B$9*AVERAGE(W1073:OFFSET(W1073,$B$6-1,0)))</f>
        <v>#DIV/0!</v>
      </c>
      <c r="Z1073" s="6" t="e">
        <f ca="1">SQRT($B$9*AVERAGE(W1073:OFFSET(W1073,$B$7-1,0)))</f>
        <v>#DIV/0!</v>
      </c>
      <c r="AA1073" s="6" t="e">
        <f ca="1">SQRT($B$9*AVERAGE(W1073:OFFSET(W1073,$B$8-1,0)))</f>
        <v>#DIV/0!</v>
      </c>
      <c r="AC1073" s="34" t="e">
        <f t="shared" si="90"/>
        <v>#DIV/0!</v>
      </c>
      <c r="AD1073" s="34" t="e">
        <f ca="1">SQRT($B$9*SUM(AC1073:OFFSET(AC1073,$B$5-1,0))/($B$5-1))</f>
        <v>#DIV/0!</v>
      </c>
      <c r="AE1073" s="34" t="e">
        <f ca="1">SQRT($B$9*SUM(AC1073:OFFSET(AC1073,$B$6-1,0))/($B$6-1))</f>
        <v>#DIV/0!</v>
      </c>
      <c r="AF1073" s="34" t="e">
        <f ca="1">SQRT($B$9*SUM(AC1073:OFFSET(AC1073,$B$7-1,0))/($B$7-1))</f>
        <v>#DIV/0!</v>
      </c>
      <c r="AG1073" s="34" t="e">
        <f ca="1">SQRT($B$9*SUM(AC1073:OFFSET(AC1073,$B$8-1,0))/($B$8-1))</f>
        <v>#DIV/0!</v>
      </c>
      <c r="AI1073" s="1" t="e">
        <f t="shared" si="91"/>
        <v>#DIV/0!</v>
      </c>
      <c r="AJ1073" s="4" t="e">
        <f ca="1">SQRT($B$9)*_xlfn.STDEV.S(AI1073:OFFSET(AI1073,$B$5-1,0))</f>
        <v>#DIV/0!</v>
      </c>
      <c r="AK1073" s="4" t="e">
        <f ca="1">SQRT($B$9)*_xlfn.STDEV.S(AI1073:OFFSET(AI1073,$B$6-1,0))</f>
        <v>#DIV/0!</v>
      </c>
      <c r="AL1073" s="4" t="e">
        <f ca="1">SQRT($B$9)*_xlfn.STDEV.S(AI1073:OFFSET(AI1073,$B$7-1,0))</f>
        <v>#DIV/0!</v>
      </c>
      <c r="AM1073" s="4" t="e">
        <f ca="1">SQRT($B$9)*_xlfn.STDEV.S(AI1073:OFFSET(AI1073,$B$8-1,0))</f>
        <v>#DIV/0!</v>
      </c>
    </row>
    <row r="1074" spans="11:39" x14ac:dyDescent="0.2">
      <c r="K1074" s="3" t="e">
        <f t="shared" si="89"/>
        <v>#DIV/0!</v>
      </c>
      <c r="L1074" s="3" t="e">
        <f ca="1">SQRT(AVERAGE(K1074:OFFSET(K1074,$B$5-1,0))*$B$9/(4*LN(2)))</f>
        <v>#DIV/0!</v>
      </c>
      <c r="M1074" s="3" t="e">
        <f ca="1">SQRT(AVERAGE(K1074:OFFSET(K1074,$B$6-1,0))*$B$9/(4*LN(2)))</f>
        <v>#DIV/0!</v>
      </c>
      <c r="N1074" s="3" t="e">
        <f ca="1">SQRT(AVERAGE(K1074:OFFSET(K1074,$B$7-1,0))*$B$9/(4*LN(2)))</f>
        <v>#DIV/0!</v>
      </c>
      <c r="O1074" s="3" t="e">
        <f ca="1">SQRT(AVERAGE(K1074:OFFSET(K1074,$B$8-1,0))*$B$9/(4*LN(2)))</f>
        <v>#DIV/0!</v>
      </c>
      <c r="Q1074" s="5" t="e">
        <f t="shared" si="88"/>
        <v>#DIV/0!</v>
      </c>
      <c r="R1074" s="5" t="e">
        <f ca="1">SQRT($B$9*AVERAGE((Q1074:OFFSET(Q1074,$B$5-1,0))))</f>
        <v>#DIV/0!</v>
      </c>
      <c r="S1074" s="5" t="e">
        <f ca="1">SQRT($B$9*AVERAGE((Q1074:OFFSET(Q1074,$B$6-1,0))))</f>
        <v>#DIV/0!</v>
      </c>
      <c r="T1074" s="5" t="e">
        <f ca="1">SQRT($B$9*AVERAGE((Q1074:OFFSET(Q1074,$B$7-1,0))))</f>
        <v>#DIV/0!</v>
      </c>
      <c r="U1074" s="5" t="e">
        <f ca="1">SQRT($B$9*AVERAGE((Q1074:OFFSET(Q1074,$B$8-1,0))))</f>
        <v>#DIV/0!</v>
      </c>
      <c r="W1074" s="6" t="e">
        <f t="shared" si="92"/>
        <v>#DIV/0!</v>
      </c>
      <c r="X1074" s="6" t="e">
        <f ca="1">SQRT($B$9*AVERAGE(W1074:OFFSET(W1074,$B$5-1,0)))</f>
        <v>#DIV/0!</v>
      </c>
      <c r="Y1074" s="6" t="e">
        <f ca="1">SQRT($B$9*AVERAGE(W1074:OFFSET(W1074,$B$6-1,0)))</f>
        <v>#DIV/0!</v>
      </c>
      <c r="Z1074" s="6" t="e">
        <f ca="1">SQRT($B$9*AVERAGE(W1074:OFFSET(W1074,$B$7-1,0)))</f>
        <v>#DIV/0!</v>
      </c>
      <c r="AA1074" s="6" t="e">
        <f ca="1">SQRT($B$9*AVERAGE(W1074:OFFSET(W1074,$B$8-1,0)))</f>
        <v>#DIV/0!</v>
      </c>
      <c r="AC1074" s="34" t="e">
        <f t="shared" si="90"/>
        <v>#DIV/0!</v>
      </c>
      <c r="AD1074" s="34" t="e">
        <f ca="1">SQRT($B$9*SUM(AC1074:OFFSET(AC1074,$B$5-1,0))/($B$5-1))</f>
        <v>#DIV/0!</v>
      </c>
      <c r="AE1074" s="34" t="e">
        <f ca="1">SQRT($B$9*SUM(AC1074:OFFSET(AC1074,$B$6-1,0))/($B$6-1))</f>
        <v>#DIV/0!</v>
      </c>
      <c r="AF1074" s="34" t="e">
        <f ca="1">SQRT($B$9*SUM(AC1074:OFFSET(AC1074,$B$7-1,0))/($B$7-1))</f>
        <v>#DIV/0!</v>
      </c>
      <c r="AG1074" s="34" t="e">
        <f ca="1">SQRT($B$9*SUM(AC1074:OFFSET(AC1074,$B$8-1,0))/($B$8-1))</f>
        <v>#DIV/0!</v>
      </c>
      <c r="AI1074" s="1" t="e">
        <f t="shared" si="91"/>
        <v>#DIV/0!</v>
      </c>
      <c r="AJ1074" s="4" t="e">
        <f ca="1">SQRT($B$9)*_xlfn.STDEV.S(AI1074:OFFSET(AI1074,$B$5-1,0))</f>
        <v>#DIV/0!</v>
      </c>
      <c r="AK1074" s="4" t="e">
        <f ca="1">SQRT($B$9)*_xlfn.STDEV.S(AI1074:OFFSET(AI1074,$B$6-1,0))</f>
        <v>#DIV/0!</v>
      </c>
      <c r="AL1074" s="4" t="e">
        <f ca="1">SQRT($B$9)*_xlfn.STDEV.S(AI1074:OFFSET(AI1074,$B$7-1,0))</f>
        <v>#DIV/0!</v>
      </c>
      <c r="AM1074" s="4" t="e">
        <f ca="1">SQRT($B$9)*_xlfn.STDEV.S(AI1074:OFFSET(AI1074,$B$8-1,0))</f>
        <v>#DIV/0!</v>
      </c>
    </row>
    <row r="1075" spans="11:39" x14ac:dyDescent="0.2">
      <c r="K1075" s="3" t="e">
        <f t="shared" si="89"/>
        <v>#DIV/0!</v>
      </c>
      <c r="L1075" s="3" t="e">
        <f ca="1">SQRT(AVERAGE(K1075:OFFSET(K1075,$B$5-1,0))*$B$9/(4*LN(2)))</f>
        <v>#DIV/0!</v>
      </c>
      <c r="M1075" s="3" t="e">
        <f ca="1">SQRT(AVERAGE(K1075:OFFSET(K1075,$B$6-1,0))*$B$9/(4*LN(2)))</f>
        <v>#DIV/0!</v>
      </c>
      <c r="N1075" s="3" t="e">
        <f ca="1">SQRT(AVERAGE(K1075:OFFSET(K1075,$B$7-1,0))*$B$9/(4*LN(2)))</f>
        <v>#DIV/0!</v>
      </c>
      <c r="O1075" s="3" t="e">
        <f ca="1">SQRT(AVERAGE(K1075:OFFSET(K1075,$B$8-1,0))*$B$9/(4*LN(2)))</f>
        <v>#DIV/0!</v>
      </c>
      <c r="Q1075" s="5" t="e">
        <f t="shared" si="88"/>
        <v>#DIV/0!</v>
      </c>
      <c r="R1075" s="5" t="e">
        <f ca="1">SQRT($B$9*AVERAGE((Q1075:OFFSET(Q1075,$B$5-1,0))))</f>
        <v>#DIV/0!</v>
      </c>
      <c r="S1075" s="5" t="e">
        <f ca="1">SQRT($B$9*AVERAGE((Q1075:OFFSET(Q1075,$B$6-1,0))))</f>
        <v>#DIV/0!</v>
      </c>
      <c r="T1075" s="5" t="e">
        <f ca="1">SQRT($B$9*AVERAGE((Q1075:OFFSET(Q1075,$B$7-1,0))))</f>
        <v>#DIV/0!</v>
      </c>
      <c r="U1075" s="5" t="e">
        <f ca="1">SQRT($B$9*AVERAGE((Q1075:OFFSET(Q1075,$B$8-1,0))))</f>
        <v>#DIV/0!</v>
      </c>
      <c r="W1075" s="6" t="e">
        <f t="shared" si="92"/>
        <v>#DIV/0!</v>
      </c>
      <c r="X1075" s="6" t="e">
        <f ca="1">SQRT($B$9*AVERAGE(W1075:OFFSET(W1075,$B$5-1,0)))</f>
        <v>#DIV/0!</v>
      </c>
      <c r="Y1075" s="6" t="e">
        <f ca="1">SQRT($B$9*AVERAGE(W1075:OFFSET(W1075,$B$6-1,0)))</f>
        <v>#DIV/0!</v>
      </c>
      <c r="Z1075" s="6" t="e">
        <f ca="1">SQRT($B$9*AVERAGE(W1075:OFFSET(W1075,$B$7-1,0)))</f>
        <v>#DIV/0!</v>
      </c>
      <c r="AA1075" s="6" t="e">
        <f ca="1">SQRT($B$9*AVERAGE(W1075:OFFSET(W1075,$B$8-1,0)))</f>
        <v>#DIV/0!</v>
      </c>
      <c r="AC1075" s="34" t="e">
        <f t="shared" si="90"/>
        <v>#DIV/0!</v>
      </c>
      <c r="AD1075" s="34" t="e">
        <f ca="1">SQRT($B$9*SUM(AC1075:OFFSET(AC1075,$B$5-1,0))/($B$5-1))</f>
        <v>#DIV/0!</v>
      </c>
      <c r="AE1075" s="34" t="e">
        <f ca="1">SQRT($B$9*SUM(AC1075:OFFSET(AC1075,$B$6-1,0))/($B$6-1))</f>
        <v>#DIV/0!</v>
      </c>
      <c r="AF1075" s="34" t="e">
        <f ca="1">SQRT($B$9*SUM(AC1075:OFFSET(AC1075,$B$7-1,0))/($B$7-1))</f>
        <v>#DIV/0!</v>
      </c>
      <c r="AG1075" s="34" t="e">
        <f ca="1">SQRT($B$9*SUM(AC1075:OFFSET(AC1075,$B$8-1,0))/($B$8-1))</f>
        <v>#DIV/0!</v>
      </c>
      <c r="AI1075" s="1" t="e">
        <f t="shared" si="91"/>
        <v>#DIV/0!</v>
      </c>
      <c r="AJ1075" s="4" t="e">
        <f ca="1">SQRT($B$9)*_xlfn.STDEV.S(AI1075:OFFSET(AI1075,$B$5-1,0))</f>
        <v>#DIV/0!</v>
      </c>
      <c r="AK1075" s="4" t="e">
        <f ca="1">SQRT($B$9)*_xlfn.STDEV.S(AI1075:OFFSET(AI1075,$B$6-1,0))</f>
        <v>#DIV/0!</v>
      </c>
      <c r="AL1075" s="4" t="e">
        <f ca="1">SQRT($B$9)*_xlfn.STDEV.S(AI1075:OFFSET(AI1075,$B$7-1,0))</f>
        <v>#DIV/0!</v>
      </c>
      <c r="AM1075" s="4" t="e">
        <f ca="1">SQRT($B$9)*_xlfn.STDEV.S(AI1075:OFFSET(AI1075,$B$8-1,0))</f>
        <v>#DIV/0!</v>
      </c>
    </row>
    <row r="1076" spans="11:39" x14ac:dyDescent="0.2">
      <c r="K1076" s="3" t="e">
        <f t="shared" si="89"/>
        <v>#DIV/0!</v>
      </c>
      <c r="L1076" s="3" t="e">
        <f ca="1">SQRT(AVERAGE(K1076:OFFSET(K1076,$B$5-1,0))*$B$9/(4*LN(2)))</f>
        <v>#DIV/0!</v>
      </c>
      <c r="M1076" s="3" t="e">
        <f ca="1">SQRT(AVERAGE(K1076:OFFSET(K1076,$B$6-1,0))*$B$9/(4*LN(2)))</f>
        <v>#DIV/0!</v>
      </c>
      <c r="N1076" s="3" t="e">
        <f ca="1">SQRT(AVERAGE(K1076:OFFSET(K1076,$B$7-1,0))*$B$9/(4*LN(2)))</f>
        <v>#DIV/0!</v>
      </c>
      <c r="O1076" s="3" t="e">
        <f ca="1">SQRT(AVERAGE(K1076:OFFSET(K1076,$B$8-1,0))*$B$9/(4*LN(2)))</f>
        <v>#DIV/0!</v>
      </c>
      <c r="Q1076" s="5" t="e">
        <f t="shared" si="88"/>
        <v>#DIV/0!</v>
      </c>
      <c r="R1076" s="5" t="e">
        <f ca="1">SQRT($B$9*AVERAGE((Q1076:OFFSET(Q1076,$B$5-1,0))))</f>
        <v>#DIV/0!</v>
      </c>
      <c r="S1076" s="5" t="e">
        <f ca="1">SQRT($B$9*AVERAGE((Q1076:OFFSET(Q1076,$B$6-1,0))))</f>
        <v>#DIV/0!</v>
      </c>
      <c r="T1076" s="5" t="e">
        <f ca="1">SQRT($B$9*AVERAGE((Q1076:OFFSET(Q1076,$B$7-1,0))))</f>
        <v>#DIV/0!</v>
      </c>
      <c r="U1076" s="5" t="e">
        <f ca="1">SQRT($B$9*AVERAGE((Q1076:OFFSET(Q1076,$B$8-1,0))))</f>
        <v>#DIV/0!</v>
      </c>
      <c r="W1076" s="6" t="e">
        <f t="shared" si="92"/>
        <v>#DIV/0!</v>
      </c>
      <c r="X1076" s="6" t="e">
        <f ca="1">SQRT($B$9*AVERAGE(W1076:OFFSET(W1076,$B$5-1,0)))</f>
        <v>#DIV/0!</v>
      </c>
      <c r="Y1076" s="6" t="e">
        <f ca="1">SQRT($B$9*AVERAGE(W1076:OFFSET(W1076,$B$6-1,0)))</f>
        <v>#DIV/0!</v>
      </c>
      <c r="Z1076" s="6" t="e">
        <f ca="1">SQRT($B$9*AVERAGE(W1076:OFFSET(W1076,$B$7-1,0)))</f>
        <v>#DIV/0!</v>
      </c>
      <c r="AA1076" s="6" t="e">
        <f ca="1">SQRT($B$9*AVERAGE(W1076:OFFSET(W1076,$B$8-1,0)))</f>
        <v>#DIV/0!</v>
      </c>
      <c r="AC1076" s="34" t="e">
        <f t="shared" si="90"/>
        <v>#DIV/0!</v>
      </c>
      <c r="AD1076" s="34" t="e">
        <f ca="1">SQRT($B$9*SUM(AC1076:OFFSET(AC1076,$B$5-1,0))/($B$5-1))</f>
        <v>#DIV/0!</v>
      </c>
      <c r="AE1076" s="34" t="e">
        <f ca="1">SQRT($B$9*SUM(AC1076:OFFSET(AC1076,$B$6-1,0))/($B$6-1))</f>
        <v>#DIV/0!</v>
      </c>
      <c r="AF1076" s="34" t="e">
        <f ca="1">SQRT($B$9*SUM(AC1076:OFFSET(AC1076,$B$7-1,0))/($B$7-1))</f>
        <v>#DIV/0!</v>
      </c>
      <c r="AG1076" s="34" t="e">
        <f ca="1">SQRT($B$9*SUM(AC1076:OFFSET(AC1076,$B$8-1,0))/($B$8-1))</f>
        <v>#DIV/0!</v>
      </c>
      <c r="AI1076" s="1" t="e">
        <f t="shared" si="91"/>
        <v>#DIV/0!</v>
      </c>
      <c r="AJ1076" s="4" t="e">
        <f ca="1">SQRT($B$9)*_xlfn.STDEV.S(AI1076:OFFSET(AI1076,$B$5-1,0))</f>
        <v>#DIV/0!</v>
      </c>
      <c r="AK1076" s="4" t="e">
        <f ca="1">SQRT($B$9)*_xlfn.STDEV.S(AI1076:OFFSET(AI1076,$B$6-1,0))</f>
        <v>#DIV/0!</v>
      </c>
      <c r="AL1076" s="4" t="e">
        <f ca="1">SQRT($B$9)*_xlfn.STDEV.S(AI1076:OFFSET(AI1076,$B$7-1,0))</f>
        <v>#DIV/0!</v>
      </c>
      <c r="AM1076" s="4" t="e">
        <f ca="1">SQRT($B$9)*_xlfn.STDEV.S(AI1076:OFFSET(AI1076,$B$8-1,0))</f>
        <v>#DIV/0!</v>
      </c>
    </row>
    <row r="1077" spans="11:39" x14ac:dyDescent="0.2">
      <c r="K1077" s="3" t="e">
        <f t="shared" si="89"/>
        <v>#DIV/0!</v>
      </c>
      <c r="L1077" s="3" t="e">
        <f ca="1">SQRT(AVERAGE(K1077:OFFSET(K1077,$B$5-1,0))*$B$9/(4*LN(2)))</f>
        <v>#DIV/0!</v>
      </c>
      <c r="M1077" s="3" t="e">
        <f ca="1">SQRT(AVERAGE(K1077:OFFSET(K1077,$B$6-1,0))*$B$9/(4*LN(2)))</f>
        <v>#DIV/0!</v>
      </c>
      <c r="N1077" s="3" t="e">
        <f ca="1">SQRT(AVERAGE(K1077:OFFSET(K1077,$B$7-1,0))*$B$9/(4*LN(2)))</f>
        <v>#DIV/0!</v>
      </c>
      <c r="O1077" s="3" t="e">
        <f ca="1">SQRT(AVERAGE(K1077:OFFSET(K1077,$B$8-1,0))*$B$9/(4*LN(2)))</f>
        <v>#DIV/0!</v>
      </c>
      <c r="Q1077" s="5" t="e">
        <f t="shared" si="88"/>
        <v>#DIV/0!</v>
      </c>
      <c r="R1077" s="5" t="e">
        <f ca="1">SQRT($B$9*AVERAGE((Q1077:OFFSET(Q1077,$B$5-1,0))))</f>
        <v>#DIV/0!</v>
      </c>
      <c r="S1077" s="5" t="e">
        <f ca="1">SQRT($B$9*AVERAGE((Q1077:OFFSET(Q1077,$B$6-1,0))))</f>
        <v>#DIV/0!</v>
      </c>
      <c r="T1077" s="5" t="e">
        <f ca="1">SQRT($B$9*AVERAGE((Q1077:OFFSET(Q1077,$B$7-1,0))))</f>
        <v>#DIV/0!</v>
      </c>
      <c r="U1077" s="5" t="e">
        <f ca="1">SQRT($B$9*AVERAGE((Q1077:OFFSET(Q1077,$B$8-1,0))))</f>
        <v>#DIV/0!</v>
      </c>
      <c r="W1077" s="6" t="e">
        <f t="shared" si="92"/>
        <v>#DIV/0!</v>
      </c>
      <c r="X1077" s="6" t="e">
        <f ca="1">SQRT($B$9*AVERAGE(W1077:OFFSET(W1077,$B$5-1,0)))</f>
        <v>#DIV/0!</v>
      </c>
      <c r="Y1077" s="6" t="e">
        <f ca="1">SQRT($B$9*AVERAGE(W1077:OFFSET(W1077,$B$6-1,0)))</f>
        <v>#DIV/0!</v>
      </c>
      <c r="Z1077" s="6" t="e">
        <f ca="1">SQRT($B$9*AVERAGE(W1077:OFFSET(W1077,$B$7-1,0)))</f>
        <v>#DIV/0!</v>
      </c>
      <c r="AA1077" s="6" t="e">
        <f ca="1">SQRT($B$9*AVERAGE(W1077:OFFSET(W1077,$B$8-1,0)))</f>
        <v>#DIV/0!</v>
      </c>
      <c r="AC1077" s="34" t="e">
        <f t="shared" si="90"/>
        <v>#DIV/0!</v>
      </c>
      <c r="AD1077" s="34" t="e">
        <f ca="1">SQRT($B$9*SUM(AC1077:OFFSET(AC1077,$B$5-1,0))/($B$5-1))</f>
        <v>#DIV/0!</v>
      </c>
      <c r="AE1077" s="34" t="e">
        <f ca="1">SQRT($B$9*SUM(AC1077:OFFSET(AC1077,$B$6-1,0))/($B$6-1))</f>
        <v>#DIV/0!</v>
      </c>
      <c r="AF1077" s="34" t="e">
        <f ca="1">SQRT($B$9*SUM(AC1077:OFFSET(AC1077,$B$7-1,0))/($B$7-1))</f>
        <v>#DIV/0!</v>
      </c>
      <c r="AG1077" s="34" t="e">
        <f ca="1">SQRT($B$9*SUM(AC1077:OFFSET(AC1077,$B$8-1,0))/($B$8-1))</f>
        <v>#DIV/0!</v>
      </c>
      <c r="AI1077" s="1" t="e">
        <f t="shared" si="91"/>
        <v>#DIV/0!</v>
      </c>
      <c r="AJ1077" s="4" t="e">
        <f ca="1">SQRT($B$9)*_xlfn.STDEV.S(AI1077:OFFSET(AI1077,$B$5-1,0))</f>
        <v>#DIV/0!</v>
      </c>
      <c r="AK1077" s="4" t="e">
        <f ca="1">SQRT($B$9)*_xlfn.STDEV.S(AI1077:OFFSET(AI1077,$B$6-1,0))</f>
        <v>#DIV/0!</v>
      </c>
      <c r="AL1077" s="4" t="e">
        <f ca="1">SQRT($B$9)*_xlfn.STDEV.S(AI1077:OFFSET(AI1077,$B$7-1,0))</f>
        <v>#DIV/0!</v>
      </c>
      <c r="AM1077" s="4" t="e">
        <f ca="1">SQRT($B$9)*_xlfn.STDEV.S(AI1077:OFFSET(AI1077,$B$8-1,0))</f>
        <v>#DIV/0!</v>
      </c>
    </row>
    <row r="1078" spans="11:39" x14ac:dyDescent="0.2">
      <c r="K1078" s="3" t="e">
        <f t="shared" si="89"/>
        <v>#DIV/0!</v>
      </c>
      <c r="L1078" s="3" t="e">
        <f ca="1">SQRT(AVERAGE(K1078:OFFSET(K1078,$B$5-1,0))*$B$9/(4*LN(2)))</f>
        <v>#DIV/0!</v>
      </c>
      <c r="M1078" s="3" t="e">
        <f ca="1">SQRT(AVERAGE(K1078:OFFSET(K1078,$B$6-1,0))*$B$9/(4*LN(2)))</f>
        <v>#DIV/0!</v>
      </c>
      <c r="N1078" s="3" t="e">
        <f ca="1">SQRT(AVERAGE(K1078:OFFSET(K1078,$B$7-1,0))*$B$9/(4*LN(2)))</f>
        <v>#DIV/0!</v>
      </c>
      <c r="O1078" s="3" t="e">
        <f ca="1">SQRT(AVERAGE(K1078:OFFSET(K1078,$B$8-1,0))*$B$9/(4*LN(2)))</f>
        <v>#DIV/0!</v>
      </c>
      <c r="Q1078" s="5" t="e">
        <f t="shared" si="88"/>
        <v>#DIV/0!</v>
      </c>
      <c r="R1078" s="5" t="e">
        <f ca="1">SQRT($B$9*AVERAGE((Q1078:OFFSET(Q1078,$B$5-1,0))))</f>
        <v>#DIV/0!</v>
      </c>
      <c r="S1078" s="5" t="e">
        <f ca="1">SQRT($B$9*AVERAGE((Q1078:OFFSET(Q1078,$B$6-1,0))))</f>
        <v>#DIV/0!</v>
      </c>
      <c r="T1078" s="5" t="e">
        <f ca="1">SQRT($B$9*AVERAGE((Q1078:OFFSET(Q1078,$B$7-1,0))))</f>
        <v>#DIV/0!</v>
      </c>
      <c r="U1078" s="5" t="e">
        <f ca="1">SQRT($B$9*AVERAGE((Q1078:OFFSET(Q1078,$B$8-1,0))))</f>
        <v>#DIV/0!</v>
      </c>
      <c r="W1078" s="6" t="e">
        <f t="shared" si="92"/>
        <v>#DIV/0!</v>
      </c>
      <c r="X1078" s="6" t="e">
        <f ca="1">SQRT($B$9*AVERAGE(W1078:OFFSET(W1078,$B$5-1,0)))</f>
        <v>#DIV/0!</v>
      </c>
      <c r="Y1078" s="6" t="e">
        <f ca="1">SQRT($B$9*AVERAGE(W1078:OFFSET(W1078,$B$6-1,0)))</f>
        <v>#DIV/0!</v>
      </c>
      <c r="Z1078" s="6" t="e">
        <f ca="1">SQRT($B$9*AVERAGE(W1078:OFFSET(W1078,$B$7-1,0)))</f>
        <v>#DIV/0!</v>
      </c>
      <c r="AA1078" s="6" t="e">
        <f ca="1">SQRT($B$9*AVERAGE(W1078:OFFSET(W1078,$B$8-1,0)))</f>
        <v>#DIV/0!</v>
      </c>
      <c r="AC1078" s="34" t="e">
        <f t="shared" si="90"/>
        <v>#DIV/0!</v>
      </c>
      <c r="AD1078" s="34" t="e">
        <f ca="1">SQRT($B$9*SUM(AC1078:OFFSET(AC1078,$B$5-1,0))/($B$5-1))</f>
        <v>#DIV/0!</v>
      </c>
      <c r="AE1078" s="34" t="e">
        <f ca="1">SQRT($B$9*SUM(AC1078:OFFSET(AC1078,$B$6-1,0))/($B$6-1))</f>
        <v>#DIV/0!</v>
      </c>
      <c r="AF1078" s="34" t="e">
        <f ca="1">SQRT($B$9*SUM(AC1078:OFFSET(AC1078,$B$7-1,0))/($B$7-1))</f>
        <v>#DIV/0!</v>
      </c>
      <c r="AG1078" s="34" t="e">
        <f ca="1">SQRT($B$9*SUM(AC1078:OFFSET(AC1078,$B$8-1,0))/($B$8-1))</f>
        <v>#DIV/0!</v>
      </c>
      <c r="AI1078" s="1" t="e">
        <f t="shared" si="91"/>
        <v>#DIV/0!</v>
      </c>
      <c r="AJ1078" s="4" t="e">
        <f ca="1">SQRT($B$9)*_xlfn.STDEV.S(AI1078:OFFSET(AI1078,$B$5-1,0))</f>
        <v>#DIV/0!</v>
      </c>
      <c r="AK1078" s="4" t="e">
        <f ca="1">SQRT($B$9)*_xlfn.STDEV.S(AI1078:OFFSET(AI1078,$B$6-1,0))</f>
        <v>#DIV/0!</v>
      </c>
      <c r="AL1078" s="4" t="e">
        <f ca="1">SQRT($B$9)*_xlfn.STDEV.S(AI1078:OFFSET(AI1078,$B$7-1,0))</f>
        <v>#DIV/0!</v>
      </c>
      <c r="AM1078" s="4" t="e">
        <f ca="1">SQRT($B$9)*_xlfn.STDEV.S(AI1078:OFFSET(AI1078,$B$8-1,0))</f>
        <v>#DIV/0!</v>
      </c>
    </row>
    <row r="1079" spans="11:39" x14ac:dyDescent="0.2">
      <c r="K1079" s="3" t="e">
        <f t="shared" si="89"/>
        <v>#DIV/0!</v>
      </c>
      <c r="L1079" s="3" t="e">
        <f ca="1">SQRT(AVERAGE(K1079:OFFSET(K1079,$B$5-1,0))*$B$9/(4*LN(2)))</f>
        <v>#DIV/0!</v>
      </c>
      <c r="M1079" s="3" t="e">
        <f ca="1">SQRT(AVERAGE(K1079:OFFSET(K1079,$B$6-1,0))*$B$9/(4*LN(2)))</f>
        <v>#DIV/0!</v>
      </c>
      <c r="N1079" s="3" t="e">
        <f ca="1">SQRT(AVERAGE(K1079:OFFSET(K1079,$B$7-1,0))*$B$9/(4*LN(2)))</f>
        <v>#DIV/0!</v>
      </c>
      <c r="O1079" s="3" t="e">
        <f ca="1">SQRT(AVERAGE(K1079:OFFSET(K1079,$B$8-1,0))*$B$9/(4*LN(2)))</f>
        <v>#DIV/0!</v>
      </c>
      <c r="Q1079" s="5" t="e">
        <f t="shared" si="88"/>
        <v>#DIV/0!</v>
      </c>
      <c r="R1079" s="5" t="e">
        <f ca="1">SQRT($B$9*AVERAGE((Q1079:OFFSET(Q1079,$B$5-1,0))))</f>
        <v>#DIV/0!</v>
      </c>
      <c r="S1079" s="5" t="e">
        <f ca="1">SQRT($B$9*AVERAGE((Q1079:OFFSET(Q1079,$B$6-1,0))))</f>
        <v>#DIV/0!</v>
      </c>
      <c r="T1079" s="5" t="e">
        <f ca="1">SQRT($B$9*AVERAGE((Q1079:OFFSET(Q1079,$B$7-1,0))))</f>
        <v>#DIV/0!</v>
      </c>
      <c r="U1079" s="5" t="e">
        <f ca="1">SQRT($B$9*AVERAGE((Q1079:OFFSET(Q1079,$B$8-1,0))))</f>
        <v>#DIV/0!</v>
      </c>
      <c r="W1079" s="6" t="e">
        <f t="shared" si="92"/>
        <v>#DIV/0!</v>
      </c>
      <c r="X1079" s="6" t="e">
        <f ca="1">SQRT($B$9*AVERAGE(W1079:OFFSET(W1079,$B$5-1,0)))</f>
        <v>#DIV/0!</v>
      </c>
      <c r="Y1079" s="6" t="e">
        <f ca="1">SQRT($B$9*AVERAGE(W1079:OFFSET(W1079,$B$6-1,0)))</f>
        <v>#DIV/0!</v>
      </c>
      <c r="Z1079" s="6" t="e">
        <f ca="1">SQRT($B$9*AVERAGE(W1079:OFFSET(W1079,$B$7-1,0)))</f>
        <v>#DIV/0!</v>
      </c>
      <c r="AA1079" s="6" t="e">
        <f ca="1">SQRT($B$9*AVERAGE(W1079:OFFSET(W1079,$B$8-1,0)))</f>
        <v>#DIV/0!</v>
      </c>
      <c r="AC1079" s="34" t="e">
        <f t="shared" si="90"/>
        <v>#DIV/0!</v>
      </c>
      <c r="AD1079" s="34" t="e">
        <f ca="1">SQRT($B$9*SUM(AC1079:OFFSET(AC1079,$B$5-1,0))/($B$5-1))</f>
        <v>#DIV/0!</v>
      </c>
      <c r="AE1079" s="34" t="e">
        <f ca="1">SQRT($B$9*SUM(AC1079:OFFSET(AC1079,$B$6-1,0))/($B$6-1))</f>
        <v>#DIV/0!</v>
      </c>
      <c r="AF1079" s="34" t="e">
        <f ca="1">SQRT($B$9*SUM(AC1079:OFFSET(AC1079,$B$7-1,0))/($B$7-1))</f>
        <v>#DIV/0!</v>
      </c>
      <c r="AG1079" s="34" t="e">
        <f ca="1">SQRT($B$9*SUM(AC1079:OFFSET(AC1079,$B$8-1,0))/($B$8-1))</f>
        <v>#DIV/0!</v>
      </c>
      <c r="AI1079" s="1" t="e">
        <f t="shared" si="91"/>
        <v>#DIV/0!</v>
      </c>
      <c r="AJ1079" s="4" t="e">
        <f ca="1">SQRT($B$9)*_xlfn.STDEV.S(AI1079:OFFSET(AI1079,$B$5-1,0))</f>
        <v>#DIV/0!</v>
      </c>
      <c r="AK1079" s="4" t="e">
        <f ca="1">SQRT($B$9)*_xlfn.STDEV.S(AI1079:OFFSET(AI1079,$B$6-1,0))</f>
        <v>#DIV/0!</v>
      </c>
      <c r="AL1079" s="4" t="e">
        <f ca="1">SQRT($B$9)*_xlfn.STDEV.S(AI1079:OFFSET(AI1079,$B$7-1,0))</f>
        <v>#DIV/0!</v>
      </c>
      <c r="AM1079" s="4" t="e">
        <f ca="1">SQRT($B$9)*_xlfn.STDEV.S(AI1079:OFFSET(AI1079,$B$8-1,0))</f>
        <v>#DIV/0!</v>
      </c>
    </row>
    <row r="1080" spans="11:39" x14ac:dyDescent="0.2">
      <c r="K1080" s="3" t="e">
        <f t="shared" si="89"/>
        <v>#DIV/0!</v>
      </c>
      <c r="L1080" s="3" t="e">
        <f ca="1">SQRT(AVERAGE(K1080:OFFSET(K1080,$B$5-1,0))*$B$9/(4*LN(2)))</f>
        <v>#DIV/0!</v>
      </c>
      <c r="M1080" s="3" t="e">
        <f ca="1">SQRT(AVERAGE(K1080:OFFSET(K1080,$B$6-1,0))*$B$9/(4*LN(2)))</f>
        <v>#DIV/0!</v>
      </c>
      <c r="N1080" s="3" t="e">
        <f ca="1">SQRT(AVERAGE(K1080:OFFSET(K1080,$B$7-1,0))*$B$9/(4*LN(2)))</f>
        <v>#DIV/0!</v>
      </c>
      <c r="O1080" s="3" t="e">
        <f ca="1">SQRT(AVERAGE(K1080:OFFSET(K1080,$B$8-1,0))*$B$9/(4*LN(2)))</f>
        <v>#DIV/0!</v>
      </c>
      <c r="Q1080" s="5" t="e">
        <f t="shared" si="88"/>
        <v>#DIV/0!</v>
      </c>
      <c r="R1080" s="5" t="e">
        <f ca="1">SQRT($B$9*AVERAGE((Q1080:OFFSET(Q1080,$B$5-1,0))))</f>
        <v>#DIV/0!</v>
      </c>
      <c r="S1080" s="5" t="e">
        <f ca="1">SQRT($B$9*AVERAGE((Q1080:OFFSET(Q1080,$B$6-1,0))))</f>
        <v>#DIV/0!</v>
      </c>
      <c r="T1080" s="5" t="e">
        <f ca="1">SQRT($B$9*AVERAGE((Q1080:OFFSET(Q1080,$B$7-1,0))))</f>
        <v>#DIV/0!</v>
      </c>
      <c r="U1080" s="5" t="e">
        <f ca="1">SQRT($B$9*AVERAGE((Q1080:OFFSET(Q1080,$B$8-1,0))))</f>
        <v>#DIV/0!</v>
      </c>
      <c r="W1080" s="6" t="e">
        <f t="shared" si="92"/>
        <v>#DIV/0!</v>
      </c>
      <c r="X1080" s="6" t="e">
        <f ca="1">SQRT($B$9*AVERAGE(W1080:OFFSET(W1080,$B$5-1,0)))</f>
        <v>#DIV/0!</v>
      </c>
      <c r="Y1080" s="6" t="e">
        <f ca="1">SQRT($B$9*AVERAGE(W1080:OFFSET(W1080,$B$6-1,0)))</f>
        <v>#DIV/0!</v>
      </c>
      <c r="Z1080" s="6" t="e">
        <f ca="1">SQRT($B$9*AVERAGE(W1080:OFFSET(W1080,$B$7-1,0)))</f>
        <v>#DIV/0!</v>
      </c>
      <c r="AA1080" s="6" t="e">
        <f ca="1">SQRT($B$9*AVERAGE(W1080:OFFSET(W1080,$B$8-1,0)))</f>
        <v>#DIV/0!</v>
      </c>
      <c r="AC1080" s="34" t="e">
        <f t="shared" si="90"/>
        <v>#DIV/0!</v>
      </c>
      <c r="AD1080" s="34" t="e">
        <f ca="1">SQRT($B$9*SUM(AC1080:OFFSET(AC1080,$B$5-1,0))/($B$5-1))</f>
        <v>#DIV/0!</v>
      </c>
      <c r="AE1080" s="34" t="e">
        <f ca="1">SQRT($B$9*SUM(AC1080:OFFSET(AC1080,$B$6-1,0))/($B$6-1))</f>
        <v>#DIV/0!</v>
      </c>
      <c r="AF1080" s="34" t="e">
        <f ca="1">SQRT($B$9*SUM(AC1080:OFFSET(AC1080,$B$7-1,0))/($B$7-1))</f>
        <v>#DIV/0!</v>
      </c>
      <c r="AG1080" s="34" t="e">
        <f ca="1">SQRT($B$9*SUM(AC1080:OFFSET(AC1080,$B$8-1,0))/($B$8-1))</f>
        <v>#DIV/0!</v>
      </c>
      <c r="AI1080" s="1" t="e">
        <f t="shared" si="91"/>
        <v>#DIV/0!</v>
      </c>
      <c r="AJ1080" s="4" t="e">
        <f ca="1">SQRT($B$9)*_xlfn.STDEV.S(AI1080:OFFSET(AI1080,$B$5-1,0))</f>
        <v>#DIV/0!</v>
      </c>
      <c r="AK1080" s="4" t="e">
        <f ca="1">SQRT($B$9)*_xlfn.STDEV.S(AI1080:OFFSET(AI1080,$B$6-1,0))</f>
        <v>#DIV/0!</v>
      </c>
      <c r="AL1080" s="4" t="e">
        <f ca="1">SQRT($B$9)*_xlfn.STDEV.S(AI1080:OFFSET(AI1080,$B$7-1,0))</f>
        <v>#DIV/0!</v>
      </c>
      <c r="AM1080" s="4" t="e">
        <f ca="1">SQRT($B$9)*_xlfn.STDEV.S(AI1080:OFFSET(AI1080,$B$8-1,0))</f>
        <v>#DIV/0!</v>
      </c>
    </row>
    <row r="1081" spans="11:39" x14ac:dyDescent="0.2">
      <c r="K1081" s="3" t="e">
        <f t="shared" si="89"/>
        <v>#DIV/0!</v>
      </c>
      <c r="L1081" s="3" t="e">
        <f ca="1">SQRT(AVERAGE(K1081:OFFSET(K1081,$B$5-1,0))*$B$9/(4*LN(2)))</f>
        <v>#DIV/0!</v>
      </c>
      <c r="M1081" s="3" t="e">
        <f ca="1">SQRT(AVERAGE(K1081:OFFSET(K1081,$B$6-1,0))*$B$9/(4*LN(2)))</f>
        <v>#DIV/0!</v>
      </c>
      <c r="N1081" s="3" t="e">
        <f ca="1">SQRT(AVERAGE(K1081:OFFSET(K1081,$B$7-1,0))*$B$9/(4*LN(2)))</f>
        <v>#DIV/0!</v>
      </c>
      <c r="O1081" s="3" t="e">
        <f ca="1">SQRT(AVERAGE(K1081:OFFSET(K1081,$B$8-1,0))*$B$9/(4*LN(2)))</f>
        <v>#DIV/0!</v>
      </c>
      <c r="Q1081" s="5" t="e">
        <f t="shared" si="88"/>
        <v>#DIV/0!</v>
      </c>
      <c r="R1081" s="5" t="e">
        <f ca="1">SQRT($B$9*AVERAGE((Q1081:OFFSET(Q1081,$B$5-1,0))))</f>
        <v>#DIV/0!</v>
      </c>
      <c r="S1081" s="5" t="e">
        <f ca="1">SQRT($B$9*AVERAGE((Q1081:OFFSET(Q1081,$B$6-1,0))))</f>
        <v>#DIV/0!</v>
      </c>
      <c r="T1081" s="5" t="e">
        <f ca="1">SQRT($B$9*AVERAGE((Q1081:OFFSET(Q1081,$B$7-1,0))))</f>
        <v>#DIV/0!</v>
      </c>
      <c r="U1081" s="5" t="e">
        <f ca="1">SQRT($B$9*AVERAGE((Q1081:OFFSET(Q1081,$B$8-1,0))))</f>
        <v>#DIV/0!</v>
      </c>
      <c r="W1081" s="6" t="e">
        <f t="shared" si="92"/>
        <v>#DIV/0!</v>
      </c>
      <c r="X1081" s="6" t="e">
        <f ca="1">SQRT($B$9*AVERAGE(W1081:OFFSET(W1081,$B$5-1,0)))</f>
        <v>#DIV/0!</v>
      </c>
      <c r="Y1081" s="6" t="e">
        <f ca="1">SQRT($B$9*AVERAGE(W1081:OFFSET(W1081,$B$6-1,0)))</f>
        <v>#DIV/0!</v>
      </c>
      <c r="Z1081" s="6" t="e">
        <f ca="1">SQRT($B$9*AVERAGE(W1081:OFFSET(W1081,$B$7-1,0)))</f>
        <v>#DIV/0!</v>
      </c>
      <c r="AA1081" s="6" t="e">
        <f ca="1">SQRT($B$9*AVERAGE(W1081:OFFSET(W1081,$B$8-1,0)))</f>
        <v>#DIV/0!</v>
      </c>
      <c r="AC1081" s="34" t="e">
        <f t="shared" si="90"/>
        <v>#DIV/0!</v>
      </c>
      <c r="AD1081" s="34" t="e">
        <f ca="1">SQRT($B$9*SUM(AC1081:OFFSET(AC1081,$B$5-1,0))/($B$5-1))</f>
        <v>#DIV/0!</v>
      </c>
      <c r="AE1081" s="34" t="e">
        <f ca="1">SQRT($B$9*SUM(AC1081:OFFSET(AC1081,$B$6-1,0))/($B$6-1))</f>
        <v>#DIV/0!</v>
      </c>
      <c r="AF1081" s="34" t="e">
        <f ca="1">SQRT($B$9*SUM(AC1081:OFFSET(AC1081,$B$7-1,0))/($B$7-1))</f>
        <v>#DIV/0!</v>
      </c>
      <c r="AG1081" s="34" t="e">
        <f ca="1">SQRT($B$9*SUM(AC1081:OFFSET(AC1081,$B$8-1,0))/($B$8-1))</f>
        <v>#DIV/0!</v>
      </c>
      <c r="AI1081" s="1" t="e">
        <f t="shared" si="91"/>
        <v>#DIV/0!</v>
      </c>
      <c r="AJ1081" s="4" t="e">
        <f ca="1">SQRT($B$9)*_xlfn.STDEV.S(AI1081:OFFSET(AI1081,$B$5-1,0))</f>
        <v>#DIV/0!</v>
      </c>
      <c r="AK1081" s="4" t="e">
        <f ca="1">SQRT($B$9)*_xlfn.STDEV.S(AI1081:OFFSET(AI1081,$B$6-1,0))</f>
        <v>#DIV/0!</v>
      </c>
      <c r="AL1081" s="4" t="e">
        <f ca="1">SQRT($B$9)*_xlfn.STDEV.S(AI1081:OFFSET(AI1081,$B$7-1,0))</f>
        <v>#DIV/0!</v>
      </c>
      <c r="AM1081" s="4" t="e">
        <f ca="1">SQRT($B$9)*_xlfn.STDEV.S(AI1081:OFFSET(AI1081,$B$8-1,0))</f>
        <v>#DIV/0!</v>
      </c>
    </row>
    <row r="1082" spans="11:39" x14ac:dyDescent="0.2">
      <c r="K1082" s="3" t="e">
        <f t="shared" si="89"/>
        <v>#DIV/0!</v>
      </c>
      <c r="L1082" s="3" t="e">
        <f ca="1">SQRT(AVERAGE(K1082:OFFSET(K1082,$B$5-1,0))*$B$9/(4*LN(2)))</f>
        <v>#DIV/0!</v>
      </c>
      <c r="M1082" s="3" t="e">
        <f ca="1">SQRT(AVERAGE(K1082:OFFSET(K1082,$B$6-1,0))*$B$9/(4*LN(2)))</f>
        <v>#DIV/0!</v>
      </c>
      <c r="N1082" s="3" t="e">
        <f ca="1">SQRT(AVERAGE(K1082:OFFSET(K1082,$B$7-1,0))*$B$9/(4*LN(2)))</f>
        <v>#DIV/0!</v>
      </c>
      <c r="O1082" s="3" t="e">
        <f ca="1">SQRT(AVERAGE(K1082:OFFSET(K1082,$B$8-1,0))*$B$9/(4*LN(2)))</f>
        <v>#DIV/0!</v>
      </c>
      <c r="Q1082" s="5" t="e">
        <f t="shared" si="88"/>
        <v>#DIV/0!</v>
      </c>
      <c r="R1082" s="5" t="e">
        <f ca="1">SQRT($B$9*AVERAGE((Q1082:OFFSET(Q1082,$B$5-1,0))))</f>
        <v>#DIV/0!</v>
      </c>
      <c r="S1082" s="5" t="e">
        <f ca="1">SQRT($B$9*AVERAGE((Q1082:OFFSET(Q1082,$B$6-1,0))))</f>
        <v>#DIV/0!</v>
      </c>
      <c r="T1082" s="5" t="e">
        <f ca="1">SQRT($B$9*AVERAGE((Q1082:OFFSET(Q1082,$B$7-1,0))))</f>
        <v>#DIV/0!</v>
      </c>
      <c r="U1082" s="5" t="e">
        <f ca="1">SQRT($B$9*AVERAGE((Q1082:OFFSET(Q1082,$B$8-1,0))))</f>
        <v>#DIV/0!</v>
      </c>
      <c r="W1082" s="6" t="e">
        <f t="shared" si="92"/>
        <v>#DIV/0!</v>
      </c>
      <c r="X1082" s="6" t="e">
        <f ca="1">SQRT($B$9*AVERAGE(W1082:OFFSET(W1082,$B$5-1,0)))</f>
        <v>#DIV/0!</v>
      </c>
      <c r="Y1082" s="6" t="e">
        <f ca="1">SQRT($B$9*AVERAGE(W1082:OFFSET(W1082,$B$6-1,0)))</f>
        <v>#DIV/0!</v>
      </c>
      <c r="Z1082" s="6" t="e">
        <f ca="1">SQRT($B$9*AVERAGE(W1082:OFFSET(W1082,$B$7-1,0)))</f>
        <v>#DIV/0!</v>
      </c>
      <c r="AA1082" s="6" t="e">
        <f ca="1">SQRT($B$9*AVERAGE(W1082:OFFSET(W1082,$B$8-1,0)))</f>
        <v>#DIV/0!</v>
      </c>
      <c r="AC1082" s="34" t="e">
        <f t="shared" si="90"/>
        <v>#DIV/0!</v>
      </c>
      <c r="AD1082" s="34" t="e">
        <f ca="1">SQRT($B$9*SUM(AC1082:OFFSET(AC1082,$B$5-1,0))/($B$5-1))</f>
        <v>#DIV/0!</v>
      </c>
      <c r="AE1082" s="34" t="e">
        <f ca="1">SQRT($B$9*SUM(AC1082:OFFSET(AC1082,$B$6-1,0))/($B$6-1))</f>
        <v>#DIV/0!</v>
      </c>
      <c r="AF1082" s="34" t="e">
        <f ca="1">SQRT($B$9*SUM(AC1082:OFFSET(AC1082,$B$7-1,0))/($B$7-1))</f>
        <v>#DIV/0!</v>
      </c>
      <c r="AG1082" s="34" t="e">
        <f ca="1">SQRT($B$9*SUM(AC1082:OFFSET(AC1082,$B$8-1,0))/($B$8-1))</f>
        <v>#DIV/0!</v>
      </c>
      <c r="AI1082" s="1" t="e">
        <f t="shared" si="91"/>
        <v>#DIV/0!</v>
      </c>
      <c r="AJ1082" s="4" t="e">
        <f ca="1">SQRT($B$9)*_xlfn.STDEV.S(AI1082:OFFSET(AI1082,$B$5-1,0))</f>
        <v>#DIV/0!</v>
      </c>
      <c r="AK1082" s="4" t="e">
        <f ca="1">SQRT($B$9)*_xlfn.STDEV.S(AI1082:OFFSET(AI1082,$B$6-1,0))</f>
        <v>#DIV/0!</v>
      </c>
      <c r="AL1082" s="4" t="e">
        <f ca="1">SQRT($B$9)*_xlfn.STDEV.S(AI1082:OFFSET(AI1082,$B$7-1,0))</f>
        <v>#DIV/0!</v>
      </c>
      <c r="AM1082" s="4" t="e">
        <f ca="1">SQRT($B$9)*_xlfn.STDEV.S(AI1082:OFFSET(AI1082,$B$8-1,0))</f>
        <v>#DIV/0!</v>
      </c>
    </row>
    <row r="1083" spans="11:39" x14ac:dyDescent="0.2">
      <c r="K1083" s="3" t="e">
        <f t="shared" si="89"/>
        <v>#DIV/0!</v>
      </c>
      <c r="L1083" s="3" t="e">
        <f ca="1">SQRT(AVERAGE(K1083:OFFSET(K1083,$B$5-1,0))*$B$9/(4*LN(2)))</f>
        <v>#DIV/0!</v>
      </c>
      <c r="M1083" s="3" t="e">
        <f ca="1">SQRT(AVERAGE(K1083:OFFSET(K1083,$B$6-1,0))*$B$9/(4*LN(2)))</f>
        <v>#DIV/0!</v>
      </c>
      <c r="N1083" s="3" t="e">
        <f ca="1">SQRT(AVERAGE(K1083:OFFSET(K1083,$B$7-1,0))*$B$9/(4*LN(2)))</f>
        <v>#DIV/0!</v>
      </c>
      <c r="O1083" s="3" t="e">
        <f ca="1">SQRT(AVERAGE(K1083:OFFSET(K1083,$B$8-1,0))*$B$9/(4*LN(2)))</f>
        <v>#DIV/0!</v>
      </c>
      <c r="Q1083" s="5" t="e">
        <f t="shared" si="88"/>
        <v>#DIV/0!</v>
      </c>
      <c r="R1083" s="5" t="e">
        <f ca="1">SQRT($B$9*AVERAGE((Q1083:OFFSET(Q1083,$B$5-1,0))))</f>
        <v>#DIV/0!</v>
      </c>
      <c r="S1083" s="5" t="e">
        <f ca="1">SQRT($B$9*AVERAGE((Q1083:OFFSET(Q1083,$B$6-1,0))))</f>
        <v>#DIV/0!</v>
      </c>
      <c r="T1083" s="5" t="e">
        <f ca="1">SQRT($B$9*AVERAGE((Q1083:OFFSET(Q1083,$B$7-1,0))))</f>
        <v>#DIV/0!</v>
      </c>
      <c r="U1083" s="5" t="e">
        <f ca="1">SQRT($B$9*AVERAGE((Q1083:OFFSET(Q1083,$B$8-1,0))))</f>
        <v>#DIV/0!</v>
      </c>
      <c r="W1083" s="6" t="e">
        <f t="shared" si="92"/>
        <v>#DIV/0!</v>
      </c>
      <c r="X1083" s="6" t="e">
        <f ca="1">SQRT($B$9*AVERAGE(W1083:OFFSET(W1083,$B$5-1,0)))</f>
        <v>#DIV/0!</v>
      </c>
      <c r="Y1083" s="6" t="e">
        <f ca="1">SQRT($B$9*AVERAGE(W1083:OFFSET(W1083,$B$6-1,0)))</f>
        <v>#DIV/0!</v>
      </c>
      <c r="Z1083" s="6" t="e">
        <f ca="1">SQRT($B$9*AVERAGE(W1083:OFFSET(W1083,$B$7-1,0)))</f>
        <v>#DIV/0!</v>
      </c>
      <c r="AA1083" s="6" t="e">
        <f ca="1">SQRT($B$9*AVERAGE(W1083:OFFSET(W1083,$B$8-1,0)))</f>
        <v>#DIV/0!</v>
      </c>
      <c r="AC1083" s="34" t="e">
        <f t="shared" si="90"/>
        <v>#DIV/0!</v>
      </c>
      <c r="AD1083" s="34" t="e">
        <f ca="1">SQRT($B$9*SUM(AC1083:OFFSET(AC1083,$B$5-1,0))/($B$5-1))</f>
        <v>#DIV/0!</v>
      </c>
      <c r="AE1083" s="34" t="e">
        <f ca="1">SQRT($B$9*SUM(AC1083:OFFSET(AC1083,$B$6-1,0))/($B$6-1))</f>
        <v>#DIV/0!</v>
      </c>
      <c r="AF1083" s="34" t="e">
        <f ca="1">SQRT($B$9*SUM(AC1083:OFFSET(AC1083,$B$7-1,0))/($B$7-1))</f>
        <v>#DIV/0!</v>
      </c>
      <c r="AG1083" s="34" t="e">
        <f ca="1">SQRT($B$9*SUM(AC1083:OFFSET(AC1083,$B$8-1,0))/($B$8-1))</f>
        <v>#DIV/0!</v>
      </c>
      <c r="AI1083" s="1" t="e">
        <f t="shared" si="91"/>
        <v>#DIV/0!</v>
      </c>
      <c r="AJ1083" s="4" t="e">
        <f ca="1">SQRT($B$9)*_xlfn.STDEV.S(AI1083:OFFSET(AI1083,$B$5-1,0))</f>
        <v>#DIV/0!</v>
      </c>
      <c r="AK1083" s="4" t="e">
        <f ca="1">SQRT($B$9)*_xlfn.STDEV.S(AI1083:OFFSET(AI1083,$B$6-1,0))</f>
        <v>#DIV/0!</v>
      </c>
      <c r="AL1083" s="4" t="e">
        <f ca="1">SQRT($B$9)*_xlfn.STDEV.S(AI1083:OFFSET(AI1083,$B$7-1,0))</f>
        <v>#DIV/0!</v>
      </c>
      <c r="AM1083" s="4" t="e">
        <f ca="1">SQRT($B$9)*_xlfn.STDEV.S(AI1083:OFFSET(AI1083,$B$8-1,0))</f>
        <v>#DIV/0!</v>
      </c>
    </row>
    <row r="1084" spans="11:39" x14ac:dyDescent="0.2">
      <c r="K1084" s="3" t="e">
        <f t="shared" si="89"/>
        <v>#DIV/0!</v>
      </c>
      <c r="L1084" s="3" t="e">
        <f ca="1">SQRT(AVERAGE(K1084:OFFSET(K1084,$B$5-1,0))*$B$9/(4*LN(2)))</f>
        <v>#DIV/0!</v>
      </c>
      <c r="M1084" s="3" t="e">
        <f ca="1">SQRT(AVERAGE(K1084:OFFSET(K1084,$B$6-1,0))*$B$9/(4*LN(2)))</f>
        <v>#DIV/0!</v>
      </c>
      <c r="N1084" s="3" t="e">
        <f ca="1">SQRT(AVERAGE(K1084:OFFSET(K1084,$B$7-1,0))*$B$9/(4*LN(2)))</f>
        <v>#DIV/0!</v>
      </c>
      <c r="O1084" s="3" t="e">
        <f ca="1">SQRT(AVERAGE(K1084:OFFSET(K1084,$B$8-1,0))*$B$9/(4*LN(2)))</f>
        <v>#DIV/0!</v>
      </c>
      <c r="Q1084" s="5" t="e">
        <f t="shared" si="88"/>
        <v>#DIV/0!</v>
      </c>
      <c r="R1084" s="5" t="e">
        <f ca="1">SQRT($B$9*AVERAGE((Q1084:OFFSET(Q1084,$B$5-1,0))))</f>
        <v>#DIV/0!</v>
      </c>
      <c r="S1084" s="5" t="e">
        <f ca="1">SQRT($B$9*AVERAGE((Q1084:OFFSET(Q1084,$B$6-1,0))))</f>
        <v>#DIV/0!</v>
      </c>
      <c r="T1084" s="5" t="e">
        <f ca="1">SQRT($B$9*AVERAGE((Q1084:OFFSET(Q1084,$B$7-1,0))))</f>
        <v>#DIV/0!</v>
      </c>
      <c r="U1084" s="5" t="e">
        <f ca="1">SQRT($B$9*AVERAGE((Q1084:OFFSET(Q1084,$B$8-1,0))))</f>
        <v>#DIV/0!</v>
      </c>
      <c r="W1084" s="6" t="e">
        <f t="shared" si="92"/>
        <v>#DIV/0!</v>
      </c>
      <c r="X1084" s="6" t="e">
        <f ca="1">SQRT($B$9*AVERAGE(W1084:OFFSET(W1084,$B$5-1,0)))</f>
        <v>#DIV/0!</v>
      </c>
      <c r="Y1084" s="6" t="e">
        <f ca="1">SQRT($B$9*AVERAGE(W1084:OFFSET(W1084,$B$6-1,0)))</f>
        <v>#DIV/0!</v>
      </c>
      <c r="Z1084" s="6" t="e">
        <f ca="1">SQRT($B$9*AVERAGE(W1084:OFFSET(W1084,$B$7-1,0)))</f>
        <v>#DIV/0!</v>
      </c>
      <c r="AA1084" s="6" t="e">
        <f ca="1">SQRT($B$9*AVERAGE(W1084:OFFSET(W1084,$B$8-1,0)))</f>
        <v>#DIV/0!</v>
      </c>
      <c r="AC1084" s="34" t="e">
        <f t="shared" si="90"/>
        <v>#DIV/0!</v>
      </c>
      <c r="AD1084" s="34" t="e">
        <f ca="1">SQRT($B$9*SUM(AC1084:OFFSET(AC1084,$B$5-1,0))/($B$5-1))</f>
        <v>#DIV/0!</v>
      </c>
      <c r="AE1084" s="34" t="e">
        <f ca="1">SQRT($B$9*SUM(AC1084:OFFSET(AC1084,$B$6-1,0))/($B$6-1))</f>
        <v>#DIV/0!</v>
      </c>
      <c r="AF1084" s="34" t="e">
        <f ca="1">SQRT($B$9*SUM(AC1084:OFFSET(AC1084,$B$7-1,0))/($B$7-1))</f>
        <v>#DIV/0!</v>
      </c>
      <c r="AG1084" s="34" t="e">
        <f ca="1">SQRT($B$9*SUM(AC1084:OFFSET(AC1084,$B$8-1,0))/($B$8-1))</f>
        <v>#DIV/0!</v>
      </c>
      <c r="AI1084" s="1" t="e">
        <f t="shared" si="91"/>
        <v>#DIV/0!</v>
      </c>
      <c r="AJ1084" s="4" t="e">
        <f ca="1">SQRT($B$9)*_xlfn.STDEV.S(AI1084:OFFSET(AI1084,$B$5-1,0))</f>
        <v>#DIV/0!</v>
      </c>
      <c r="AK1084" s="4" t="e">
        <f ca="1">SQRT($B$9)*_xlfn.STDEV.S(AI1084:OFFSET(AI1084,$B$6-1,0))</f>
        <v>#DIV/0!</v>
      </c>
      <c r="AL1084" s="4" t="e">
        <f ca="1">SQRT($B$9)*_xlfn.STDEV.S(AI1084:OFFSET(AI1084,$B$7-1,0))</f>
        <v>#DIV/0!</v>
      </c>
      <c r="AM1084" s="4" t="e">
        <f ca="1">SQRT($B$9)*_xlfn.STDEV.S(AI1084:OFFSET(AI1084,$B$8-1,0))</f>
        <v>#DIV/0!</v>
      </c>
    </row>
    <row r="1085" spans="11:39" x14ac:dyDescent="0.2">
      <c r="K1085" s="3" t="e">
        <f t="shared" si="89"/>
        <v>#DIV/0!</v>
      </c>
      <c r="L1085" s="3" t="e">
        <f ca="1">SQRT(AVERAGE(K1085:OFFSET(K1085,$B$5-1,0))*$B$9/(4*LN(2)))</f>
        <v>#DIV/0!</v>
      </c>
      <c r="M1085" s="3" t="e">
        <f ca="1">SQRT(AVERAGE(K1085:OFFSET(K1085,$B$6-1,0))*$B$9/(4*LN(2)))</f>
        <v>#DIV/0!</v>
      </c>
      <c r="N1085" s="3" t="e">
        <f ca="1">SQRT(AVERAGE(K1085:OFFSET(K1085,$B$7-1,0))*$B$9/(4*LN(2)))</f>
        <v>#DIV/0!</v>
      </c>
      <c r="O1085" s="3" t="e">
        <f ca="1">SQRT(AVERAGE(K1085:OFFSET(K1085,$B$8-1,0))*$B$9/(4*LN(2)))</f>
        <v>#DIV/0!</v>
      </c>
      <c r="Q1085" s="5" t="e">
        <f t="shared" si="88"/>
        <v>#DIV/0!</v>
      </c>
      <c r="R1085" s="5" t="e">
        <f ca="1">SQRT($B$9*AVERAGE((Q1085:OFFSET(Q1085,$B$5-1,0))))</f>
        <v>#DIV/0!</v>
      </c>
      <c r="S1085" s="5" t="e">
        <f ca="1">SQRT($B$9*AVERAGE((Q1085:OFFSET(Q1085,$B$6-1,0))))</f>
        <v>#DIV/0!</v>
      </c>
      <c r="T1085" s="5" t="e">
        <f ca="1">SQRT($B$9*AVERAGE((Q1085:OFFSET(Q1085,$B$7-1,0))))</f>
        <v>#DIV/0!</v>
      </c>
      <c r="U1085" s="5" t="e">
        <f ca="1">SQRT($B$9*AVERAGE((Q1085:OFFSET(Q1085,$B$8-1,0))))</f>
        <v>#DIV/0!</v>
      </c>
      <c r="W1085" s="6" t="e">
        <f t="shared" si="92"/>
        <v>#DIV/0!</v>
      </c>
      <c r="X1085" s="6" t="e">
        <f ca="1">SQRT($B$9*AVERAGE(W1085:OFFSET(W1085,$B$5-1,0)))</f>
        <v>#DIV/0!</v>
      </c>
      <c r="Y1085" s="6" t="e">
        <f ca="1">SQRT($B$9*AVERAGE(W1085:OFFSET(W1085,$B$6-1,0)))</f>
        <v>#DIV/0!</v>
      </c>
      <c r="Z1085" s="6" t="e">
        <f ca="1">SQRT($B$9*AVERAGE(W1085:OFFSET(W1085,$B$7-1,0)))</f>
        <v>#DIV/0!</v>
      </c>
      <c r="AA1085" s="6" t="e">
        <f ca="1">SQRT($B$9*AVERAGE(W1085:OFFSET(W1085,$B$8-1,0)))</f>
        <v>#DIV/0!</v>
      </c>
      <c r="AC1085" s="34" t="e">
        <f t="shared" si="90"/>
        <v>#DIV/0!</v>
      </c>
      <c r="AD1085" s="34" t="e">
        <f ca="1">SQRT($B$9*SUM(AC1085:OFFSET(AC1085,$B$5-1,0))/($B$5-1))</f>
        <v>#DIV/0!</v>
      </c>
      <c r="AE1085" s="34" t="e">
        <f ca="1">SQRT($B$9*SUM(AC1085:OFFSET(AC1085,$B$6-1,0))/($B$6-1))</f>
        <v>#DIV/0!</v>
      </c>
      <c r="AF1085" s="34" t="e">
        <f ca="1">SQRT($B$9*SUM(AC1085:OFFSET(AC1085,$B$7-1,0))/($B$7-1))</f>
        <v>#DIV/0!</v>
      </c>
      <c r="AG1085" s="34" t="e">
        <f ca="1">SQRT($B$9*SUM(AC1085:OFFSET(AC1085,$B$8-1,0))/($B$8-1))</f>
        <v>#DIV/0!</v>
      </c>
      <c r="AI1085" s="1" t="e">
        <f t="shared" si="91"/>
        <v>#DIV/0!</v>
      </c>
      <c r="AJ1085" s="4" t="e">
        <f ca="1">SQRT($B$9)*_xlfn.STDEV.S(AI1085:OFFSET(AI1085,$B$5-1,0))</f>
        <v>#DIV/0!</v>
      </c>
      <c r="AK1085" s="4" t="e">
        <f ca="1">SQRT($B$9)*_xlfn.STDEV.S(AI1085:OFFSET(AI1085,$B$6-1,0))</f>
        <v>#DIV/0!</v>
      </c>
      <c r="AL1085" s="4" t="e">
        <f ca="1">SQRT($B$9)*_xlfn.STDEV.S(AI1085:OFFSET(AI1085,$B$7-1,0))</f>
        <v>#DIV/0!</v>
      </c>
      <c r="AM1085" s="4" t="e">
        <f ca="1">SQRT($B$9)*_xlfn.STDEV.S(AI1085:OFFSET(AI1085,$B$8-1,0))</f>
        <v>#DIV/0!</v>
      </c>
    </row>
    <row r="1086" spans="11:39" x14ac:dyDescent="0.2">
      <c r="K1086" s="3" t="e">
        <f t="shared" si="89"/>
        <v>#DIV/0!</v>
      </c>
      <c r="L1086" s="3" t="e">
        <f ca="1">SQRT(AVERAGE(K1086:OFFSET(K1086,$B$5-1,0))*$B$9/(4*LN(2)))</f>
        <v>#DIV/0!</v>
      </c>
      <c r="M1086" s="3" t="e">
        <f ca="1">SQRT(AVERAGE(K1086:OFFSET(K1086,$B$6-1,0))*$B$9/(4*LN(2)))</f>
        <v>#DIV/0!</v>
      </c>
      <c r="N1086" s="3" t="e">
        <f ca="1">SQRT(AVERAGE(K1086:OFFSET(K1086,$B$7-1,0))*$B$9/(4*LN(2)))</f>
        <v>#DIV/0!</v>
      </c>
      <c r="O1086" s="3" t="e">
        <f ca="1">SQRT(AVERAGE(K1086:OFFSET(K1086,$B$8-1,0))*$B$9/(4*LN(2)))</f>
        <v>#DIV/0!</v>
      </c>
      <c r="Q1086" s="5" t="e">
        <f t="shared" si="88"/>
        <v>#DIV/0!</v>
      </c>
      <c r="R1086" s="5" t="e">
        <f ca="1">SQRT($B$9*AVERAGE((Q1086:OFFSET(Q1086,$B$5-1,0))))</f>
        <v>#DIV/0!</v>
      </c>
      <c r="S1086" s="5" t="e">
        <f ca="1">SQRT($B$9*AVERAGE((Q1086:OFFSET(Q1086,$B$6-1,0))))</f>
        <v>#DIV/0!</v>
      </c>
      <c r="T1086" s="5" t="e">
        <f ca="1">SQRT($B$9*AVERAGE((Q1086:OFFSET(Q1086,$B$7-1,0))))</f>
        <v>#DIV/0!</v>
      </c>
      <c r="U1086" s="5" t="e">
        <f ca="1">SQRT($B$9*AVERAGE((Q1086:OFFSET(Q1086,$B$8-1,0))))</f>
        <v>#DIV/0!</v>
      </c>
      <c r="W1086" s="6" t="e">
        <f t="shared" si="92"/>
        <v>#DIV/0!</v>
      </c>
      <c r="X1086" s="6" t="e">
        <f ca="1">SQRT($B$9*AVERAGE(W1086:OFFSET(W1086,$B$5-1,0)))</f>
        <v>#DIV/0!</v>
      </c>
      <c r="Y1086" s="6" t="e">
        <f ca="1">SQRT($B$9*AVERAGE(W1086:OFFSET(W1086,$B$6-1,0)))</f>
        <v>#DIV/0!</v>
      </c>
      <c r="Z1086" s="6" t="e">
        <f ca="1">SQRT($B$9*AVERAGE(W1086:OFFSET(W1086,$B$7-1,0)))</f>
        <v>#DIV/0!</v>
      </c>
      <c r="AA1086" s="6" t="e">
        <f ca="1">SQRT($B$9*AVERAGE(W1086:OFFSET(W1086,$B$8-1,0)))</f>
        <v>#DIV/0!</v>
      </c>
      <c r="AC1086" s="34" t="e">
        <f t="shared" si="90"/>
        <v>#DIV/0!</v>
      </c>
      <c r="AD1086" s="34" t="e">
        <f ca="1">SQRT($B$9*SUM(AC1086:OFFSET(AC1086,$B$5-1,0))/($B$5-1))</f>
        <v>#DIV/0!</v>
      </c>
      <c r="AE1086" s="34" t="e">
        <f ca="1">SQRT($B$9*SUM(AC1086:OFFSET(AC1086,$B$6-1,0))/($B$6-1))</f>
        <v>#DIV/0!</v>
      </c>
      <c r="AF1086" s="34" t="e">
        <f ca="1">SQRT($B$9*SUM(AC1086:OFFSET(AC1086,$B$7-1,0))/($B$7-1))</f>
        <v>#DIV/0!</v>
      </c>
      <c r="AG1086" s="34" t="e">
        <f ca="1">SQRT($B$9*SUM(AC1086:OFFSET(AC1086,$B$8-1,0))/($B$8-1))</f>
        <v>#DIV/0!</v>
      </c>
      <c r="AI1086" s="1" t="e">
        <f t="shared" si="91"/>
        <v>#DIV/0!</v>
      </c>
      <c r="AJ1086" s="4" t="e">
        <f ca="1">SQRT($B$9)*_xlfn.STDEV.S(AI1086:OFFSET(AI1086,$B$5-1,0))</f>
        <v>#DIV/0!</v>
      </c>
      <c r="AK1086" s="4" t="e">
        <f ca="1">SQRT($B$9)*_xlfn.STDEV.S(AI1086:OFFSET(AI1086,$B$6-1,0))</f>
        <v>#DIV/0!</v>
      </c>
      <c r="AL1086" s="4" t="e">
        <f ca="1">SQRT($B$9)*_xlfn.STDEV.S(AI1086:OFFSET(AI1086,$B$7-1,0))</f>
        <v>#DIV/0!</v>
      </c>
      <c r="AM1086" s="4" t="e">
        <f ca="1">SQRT($B$9)*_xlfn.STDEV.S(AI1086:OFFSET(AI1086,$B$8-1,0))</f>
        <v>#DIV/0!</v>
      </c>
    </row>
    <row r="1087" spans="11:39" x14ac:dyDescent="0.2">
      <c r="K1087" s="3" t="e">
        <f t="shared" si="89"/>
        <v>#DIV/0!</v>
      </c>
      <c r="L1087" s="3" t="e">
        <f ca="1">SQRT(AVERAGE(K1087:OFFSET(K1087,$B$5-1,0))*$B$9/(4*LN(2)))</f>
        <v>#DIV/0!</v>
      </c>
      <c r="M1087" s="3" t="e">
        <f ca="1">SQRT(AVERAGE(K1087:OFFSET(K1087,$B$6-1,0))*$B$9/(4*LN(2)))</f>
        <v>#DIV/0!</v>
      </c>
      <c r="N1087" s="3" t="e">
        <f ca="1">SQRT(AVERAGE(K1087:OFFSET(K1087,$B$7-1,0))*$B$9/(4*LN(2)))</f>
        <v>#DIV/0!</v>
      </c>
      <c r="O1087" s="3" t="e">
        <f ca="1">SQRT(AVERAGE(K1087:OFFSET(K1087,$B$8-1,0))*$B$9/(4*LN(2)))</f>
        <v>#DIV/0!</v>
      </c>
      <c r="Q1087" s="5" t="e">
        <f t="shared" si="88"/>
        <v>#DIV/0!</v>
      </c>
      <c r="R1087" s="5" t="e">
        <f ca="1">SQRT($B$9*AVERAGE((Q1087:OFFSET(Q1087,$B$5-1,0))))</f>
        <v>#DIV/0!</v>
      </c>
      <c r="S1087" s="5" t="e">
        <f ca="1">SQRT($B$9*AVERAGE((Q1087:OFFSET(Q1087,$B$6-1,0))))</f>
        <v>#DIV/0!</v>
      </c>
      <c r="T1087" s="5" t="e">
        <f ca="1">SQRT($B$9*AVERAGE((Q1087:OFFSET(Q1087,$B$7-1,0))))</f>
        <v>#DIV/0!</v>
      </c>
      <c r="U1087" s="5" t="e">
        <f ca="1">SQRT($B$9*AVERAGE((Q1087:OFFSET(Q1087,$B$8-1,0))))</f>
        <v>#DIV/0!</v>
      </c>
      <c r="W1087" s="6" t="e">
        <f t="shared" si="92"/>
        <v>#DIV/0!</v>
      </c>
      <c r="X1087" s="6" t="e">
        <f ca="1">SQRT($B$9*AVERAGE(W1087:OFFSET(W1087,$B$5-1,0)))</f>
        <v>#DIV/0!</v>
      </c>
      <c r="Y1087" s="6" t="e">
        <f ca="1">SQRT($B$9*AVERAGE(W1087:OFFSET(W1087,$B$6-1,0)))</f>
        <v>#DIV/0!</v>
      </c>
      <c r="Z1087" s="6" t="e">
        <f ca="1">SQRT($B$9*AVERAGE(W1087:OFFSET(W1087,$B$7-1,0)))</f>
        <v>#DIV/0!</v>
      </c>
      <c r="AA1087" s="6" t="e">
        <f ca="1">SQRT($B$9*AVERAGE(W1087:OFFSET(W1087,$B$8-1,0)))</f>
        <v>#DIV/0!</v>
      </c>
      <c r="AC1087" s="34" t="e">
        <f t="shared" si="90"/>
        <v>#DIV/0!</v>
      </c>
      <c r="AD1087" s="34" t="e">
        <f ca="1">SQRT($B$9*SUM(AC1087:OFFSET(AC1087,$B$5-1,0))/($B$5-1))</f>
        <v>#DIV/0!</v>
      </c>
      <c r="AE1087" s="34" t="e">
        <f ca="1">SQRT($B$9*SUM(AC1087:OFFSET(AC1087,$B$6-1,0))/($B$6-1))</f>
        <v>#DIV/0!</v>
      </c>
      <c r="AF1087" s="34" t="e">
        <f ca="1">SQRT($B$9*SUM(AC1087:OFFSET(AC1087,$B$7-1,0))/($B$7-1))</f>
        <v>#DIV/0!</v>
      </c>
      <c r="AG1087" s="34" t="e">
        <f ca="1">SQRT($B$9*SUM(AC1087:OFFSET(AC1087,$B$8-1,0))/($B$8-1))</f>
        <v>#DIV/0!</v>
      </c>
      <c r="AI1087" s="1" t="e">
        <f t="shared" si="91"/>
        <v>#DIV/0!</v>
      </c>
      <c r="AJ1087" s="4" t="e">
        <f ca="1">SQRT($B$9)*_xlfn.STDEV.S(AI1087:OFFSET(AI1087,$B$5-1,0))</f>
        <v>#DIV/0!</v>
      </c>
      <c r="AK1087" s="4" t="e">
        <f ca="1">SQRT($B$9)*_xlfn.STDEV.S(AI1087:OFFSET(AI1087,$B$6-1,0))</f>
        <v>#DIV/0!</v>
      </c>
      <c r="AL1087" s="4" t="e">
        <f ca="1">SQRT($B$9)*_xlfn.STDEV.S(AI1087:OFFSET(AI1087,$B$7-1,0))</f>
        <v>#DIV/0!</v>
      </c>
      <c r="AM1087" s="4" t="e">
        <f ca="1">SQRT($B$9)*_xlfn.STDEV.S(AI1087:OFFSET(AI1087,$B$8-1,0))</f>
        <v>#DIV/0!</v>
      </c>
    </row>
    <row r="1088" spans="11:39" x14ac:dyDescent="0.2">
      <c r="K1088" s="3" t="e">
        <f t="shared" si="89"/>
        <v>#DIV/0!</v>
      </c>
      <c r="L1088" s="3" t="e">
        <f ca="1">SQRT(AVERAGE(K1088:OFFSET(K1088,$B$5-1,0))*$B$9/(4*LN(2)))</f>
        <v>#DIV/0!</v>
      </c>
      <c r="M1088" s="3" t="e">
        <f ca="1">SQRT(AVERAGE(K1088:OFFSET(K1088,$B$6-1,0))*$B$9/(4*LN(2)))</f>
        <v>#DIV/0!</v>
      </c>
      <c r="N1088" s="3" t="e">
        <f ca="1">SQRT(AVERAGE(K1088:OFFSET(K1088,$B$7-1,0))*$B$9/(4*LN(2)))</f>
        <v>#DIV/0!</v>
      </c>
      <c r="O1088" s="3" t="e">
        <f ca="1">SQRT(AVERAGE(K1088:OFFSET(K1088,$B$8-1,0))*$B$9/(4*LN(2)))</f>
        <v>#DIV/0!</v>
      </c>
      <c r="Q1088" s="5" t="e">
        <f t="shared" si="88"/>
        <v>#DIV/0!</v>
      </c>
      <c r="R1088" s="5" t="e">
        <f ca="1">SQRT($B$9*AVERAGE((Q1088:OFFSET(Q1088,$B$5-1,0))))</f>
        <v>#DIV/0!</v>
      </c>
      <c r="S1088" s="5" t="e">
        <f ca="1">SQRT($B$9*AVERAGE((Q1088:OFFSET(Q1088,$B$6-1,0))))</f>
        <v>#DIV/0!</v>
      </c>
      <c r="T1088" s="5" t="e">
        <f ca="1">SQRT($B$9*AVERAGE((Q1088:OFFSET(Q1088,$B$7-1,0))))</f>
        <v>#DIV/0!</v>
      </c>
      <c r="U1088" s="5" t="e">
        <f ca="1">SQRT($B$9*AVERAGE((Q1088:OFFSET(Q1088,$B$8-1,0))))</f>
        <v>#DIV/0!</v>
      </c>
      <c r="W1088" s="6" t="e">
        <f t="shared" si="92"/>
        <v>#DIV/0!</v>
      </c>
      <c r="X1088" s="6" t="e">
        <f ca="1">SQRT($B$9*AVERAGE(W1088:OFFSET(W1088,$B$5-1,0)))</f>
        <v>#DIV/0!</v>
      </c>
      <c r="Y1088" s="6" t="e">
        <f ca="1">SQRT($B$9*AVERAGE(W1088:OFFSET(W1088,$B$6-1,0)))</f>
        <v>#DIV/0!</v>
      </c>
      <c r="Z1088" s="6" t="e">
        <f ca="1">SQRT($B$9*AVERAGE(W1088:OFFSET(W1088,$B$7-1,0)))</f>
        <v>#DIV/0!</v>
      </c>
      <c r="AA1088" s="6" t="e">
        <f ca="1">SQRT($B$9*AVERAGE(W1088:OFFSET(W1088,$B$8-1,0)))</f>
        <v>#DIV/0!</v>
      </c>
      <c r="AC1088" s="34" t="e">
        <f t="shared" si="90"/>
        <v>#DIV/0!</v>
      </c>
      <c r="AD1088" s="34" t="e">
        <f ca="1">SQRT($B$9*SUM(AC1088:OFFSET(AC1088,$B$5-1,0))/($B$5-1))</f>
        <v>#DIV/0!</v>
      </c>
      <c r="AE1088" s="34" t="e">
        <f ca="1">SQRT($B$9*SUM(AC1088:OFFSET(AC1088,$B$6-1,0))/($B$6-1))</f>
        <v>#DIV/0!</v>
      </c>
      <c r="AF1088" s="34" t="e">
        <f ca="1">SQRT($B$9*SUM(AC1088:OFFSET(AC1088,$B$7-1,0))/($B$7-1))</f>
        <v>#DIV/0!</v>
      </c>
      <c r="AG1088" s="34" t="e">
        <f ca="1">SQRT($B$9*SUM(AC1088:OFFSET(AC1088,$B$8-1,0))/($B$8-1))</f>
        <v>#DIV/0!</v>
      </c>
      <c r="AI1088" s="1" t="e">
        <f t="shared" si="91"/>
        <v>#DIV/0!</v>
      </c>
      <c r="AJ1088" s="4" t="e">
        <f ca="1">SQRT($B$9)*_xlfn.STDEV.S(AI1088:OFFSET(AI1088,$B$5-1,0))</f>
        <v>#DIV/0!</v>
      </c>
      <c r="AK1088" s="4" t="e">
        <f ca="1">SQRT($B$9)*_xlfn.STDEV.S(AI1088:OFFSET(AI1088,$B$6-1,0))</f>
        <v>#DIV/0!</v>
      </c>
      <c r="AL1088" s="4" t="e">
        <f ca="1">SQRT($B$9)*_xlfn.STDEV.S(AI1088:OFFSET(AI1088,$B$7-1,0))</f>
        <v>#DIV/0!</v>
      </c>
      <c r="AM1088" s="4" t="e">
        <f ca="1">SQRT($B$9)*_xlfn.STDEV.S(AI1088:OFFSET(AI1088,$B$8-1,0))</f>
        <v>#DIV/0!</v>
      </c>
    </row>
    <row r="1089" spans="11:39" x14ac:dyDescent="0.2">
      <c r="K1089" s="3" t="e">
        <f t="shared" si="89"/>
        <v>#DIV/0!</v>
      </c>
      <c r="L1089" s="3" t="e">
        <f ca="1">SQRT(AVERAGE(K1089:OFFSET(K1089,$B$5-1,0))*$B$9/(4*LN(2)))</f>
        <v>#DIV/0!</v>
      </c>
      <c r="M1089" s="3" t="e">
        <f ca="1">SQRT(AVERAGE(K1089:OFFSET(K1089,$B$6-1,0))*$B$9/(4*LN(2)))</f>
        <v>#DIV/0!</v>
      </c>
      <c r="N1089" s="3" t="e">
        <f ca="1">SQRT(AVERAGE(K1089:OFFSET(K1089,$B$7-1,0))*$B$9/(4*LN(2)))</f>
        <v>#DIV/0!</v>
      </c>
      <c r="O1089" s="3" t="e">
        <f ca="1">SQRT(AVERAGE(K1089:OFFSET(K1089,$B$8-1,0))*$B$9/(4*LN(2)))</f>
        <v>#DIV/0!</v>
      </c>
      <c r="Q1089" s="5" t="e">
        <f t="shared" si="88"/>
        <v>#DIV/0!</v>
      </c>
      <c r="R1089" s="5" t="e">
        <f ca="1">SQRT($B$9*AVERAGE((Q1089:OFFSET(Q1089,$B$5-1,0))))</f>
        <v>#DIV/0!</v>
      </c>
      <c r="S1089" s="5" t="e">
        <f ca="1">SQRT($B$9*AVERAGE((Q1089:OFFSET(Q1089,$B$6-1,0))))</f>
        <v>#DIV/0!</v>
      </c>
      <c r="T1089" s="5" t="e">
        <f ca="1">SQRT($B$9*AVERAGE((Q1089:OFFSET(Q1089,$B$7-1,0))))</f>
        <v>#DIV/0!</v>
      </c>
      <c r="U1089" s="5" t="e">
        <f ca="1">SQRT($B$9*AVERAGE((Q1089:OFFSET(Q1089,$B$8-1,0))))</f>
        <v>#DIV/0!</v>
      </c>
      <c r="W1089" s="6" t="e">
        <f t="shared" si="92"/>
        <v>#DIV/0!</v>
      </c>
      <c r="X1089" s="6" t="e">
        <f ca="1">SQRT($B$9*AVERAGE(W1089:OFFSET(W1089,$B$5-1,0)))</f>
        <v>#DIV/0!</v>
      </c>
      <c r="Y1089" s="6" t="e">
        <f ca="1">SQRT($B$9*AVERAGE(W1089:OFFSET(W1089,$B$6-1,0)))</f>
        <v>#DIV/0!</v>
      </c>
      <c r="Z1089" s="6" t="e">
        <f ca="1">SQRT($B$9*AVERAGE(W1089:OFFSET(W1089,$B$7-1,0)))</f>
        <v>#DIV/0!</v>
      </c>
      <c r="AA1089" s="6" t="e">
        <f ca="1">SQRT($B$9*AVERAGE(W1089:OFFSET(W1089,$B$8-1,0)))</f>
        <v>#DIV/0!</v>
      </c>
      <c r="AC1089" s="34" t="e">
        <f t="shared" si="90"/>
        <v>#DIV/0!</v>
      </c>
      <c r="AD1089" s="34" t="e">
        <f ca="1">SQRT($B$9*SUM(AC1089:OFFSET(AC1089,$B$5-1,0))/($B$5-1))</f>
        <v>#DIV/0!</v>
      </c>
      <c r="AE1089" s="34" t="e">
        <f ca="1">SQRT($B$9*SUM(AC1089:OFFSET(AC1089,$B$6-1,0))/($B$6-1))</f>
        <v>#DIV/0!</v>
      </c>
      <c r="AF1089" s="34" t="e">
        <f ca="1">SQRT($B$9*SUM(AC1089:OFFSET(AC1089,$B$7-1,0))/($B$7-1))</f>
        <v>#DIV/0!</v>
      </c>
      <c r="AG1089" s="34" t="e">
        <f ca="1">SQRT($B$9*SUM(AC1089:OFFSET(AC1089,$B$8-1,0))/($B$8-1))</f>
        <v>#DIV/0!</v>
      </c>
      <c r="AI1089" s="1" t="e">
        <f t="shared" si="91"/>
        <v>#DIV/0!</v>
      </c>
      <c r="AJ1089" s="4" t="e">
        <f ca="1">SQRT($B$9)*_xlfn.STDEV.S(AI1089:OFFSET(AI1089,$B$5-1,0))</f>
        <v>#DIV/0!</v>
      </c>
      <c r="AK1089" s="4" t="e">
        <f ca="1">SQRT($B$9)*_xlfn.STDEV.S(AI1089:OFFSET(AI1089,$B$6-1,0))</f>
        <v>#DIV/0!</v>
      </c>
      <c r="AL1089" s="4" t="e">
        <f ca="1">SQRT($B$9)*_xlfn.STDEV.S(AI1089:OFFSET(AI1089,$B$7-1,0))</f>
        <v>#DIV/0!</v>
      </c>
      <c r="AM1089" s="4" t="e">
        <f ca="1">SQRT($B$9)*_xlfn.STDEV.S(AI1089:OFFSET(AI1089,$B$8-1,0))</f>
        <v>#DIV/0!</v>
      </c>
    </row>
    <row r="1090" spans="11:39" x14ac:dyDescent="0.2">
      <c r="K1090" s="3" t="e">
        <f t="shared" si="89"/>
        <v>#DIV/0!</v>
      </c>
      <c r="L1090" s="3" t="e">
        <f ca="1">SQRT(AVERAGE(K1090:OFFSET(K1090,$B$5-1,0))*$B$9/(4*LN(2)))</f>
        <v>#DIV/0!</v>
      </c>
      <c r="M1090" s="3" t="e">
        <f ca="1">SQRT(AVERAGE(K1090:OFFSET(K1090,$B$6-1,0))*$B$9/(4*LN(2)))</f>
        <v>#DIV/0!</v>
      </c>
      <c r="N1090" s="3" t="e">
        <f ca="1">SQRT(AVERAGE(K1090:OFFSET(K1090,$B$7-1,0))*$B$9/(4*LN(2)))</f>
        <v>#DIV/0!</v>
      </c>
      <c r="O1090" s="3" t="e">
        <f ca="1">SQRT(AVERAGE(K1090:OFFSET(K1090,$B$8-1,0))*$B$9/(4*LN(2)))</f>
        <v>#DIV/0!</v>
      </c>
      <c r="Q1090" s="5" t="e">
        <f t="shared" si="88"/>
        <v>#DIV/0!</v>
      </c>
      <c r="R1090" s="5" t="e">
        <f ca="1">SQRT($B$9*AVERAGE((Q1090:OFFSET(Q1090,$B$5-1,0))))</f>
        <v>#DIV/0!</v>
      </c>
      <c r="S1090" s="5" t="e">
        <f ca="1">SQRT($B$9*AVERAGE((Q1090:OFFSET(Q1090,$B$6-1,0))))</f>
        <v>#DIV/0!</v>
      </c>
      <c r="T1090" s="5" t="e">
        <f ca="1">SQRT($B$9*AVERAGE((Q1090:OFFSET(Q1090,$B$7-1,0))))</f>
        <v>#DIV/0!</v>
      </c>
      <c r="U1090" s="5" t="e">
        <f ca="1">SQRT($B$9*AVERAGE((Q1090:OFFSET(Q1090,$B$8-1,0))))</f>
        <v>#DIV/0!</v>
      </c>
      <c r="W1090" s="6" t="e">
        <f t="shared" si="92"/>
        <v>#DIV/0!</v>
      </c>
      <c r="X1090" s="6" t="e">
        <f ca="1">SQRT($B$9*AVERAGE(W1090:OFFSET(W1090,$B$5-1,0)))</f>
        <v>#DIV/0!</v>
      </c>
      <c r="Y1090" s="6" t="e">
        <f ca="1">SQRT($B$9*AVERAGE(W1090:OFFSET(W1090,$B$6-1,0)))</f>
        <v>#DIV/0!</v>
      </c>
      <c r="Z1090" s="6" t="e">
        <f ca="1">SQRT($B$9*AVERAGE(W1090:OFFSET(W1090,$B$7-1,0)))</f>
        <v>#DIV/0!</v>
      </c>
      <c r="AA1090" s="6" t="e">
        <f ca="1">SQRT($B$9*AVERAGE(W1090:OFFSET(W1090,$B$8-1,0)))</f>
        <v>#DIV/0!</v>
      </c>
      <c r="AC1090" s="34" t="e">
        <f t="shared" si="90"/>
        <v>#DIV/0!</v>
      </c>
      <c r="AD1090" s="34" t="e">
        <f ca="1">SQRT($B$9*SUM(AC1090:OFFSET(AC1090,$B$5-1,0))/($B$5-1))</f>
        <v>#DIV/0!</v>
      </c>
      <c r="AE1090" s="34" t="e">
        <f ca="1">SQRT($B$9*SUM(AC1090:OFFSET(AC1090,$B$6-1,0))/($B$6-1))</f>
        <v>#DIV/0!</v>
      </c>
      <c r="AF1090" s="34" t="e">
        <f ca="1">SQRT($B$9*SUM(AC1090:OFFSET(AC1090,$B$7-1,0))/($B$7-1))</f>
        <v>#DIV/0!</v>
      </c>
      <c r="AG1090" s="34" t="e">
        <f ca="1">SQRT($B$9*SUM(AC1090:OFFSET(AC1090,$B$8-1,0))/($B$8-1))</f>
        <v>#DIV/0!</v>
      </c>
      <c r="AI1090" s="1" t="e">
        <f t="shared" si="91"/>
        <v>#DIV/0!</v>
      </c>
      <c r="AJ1090" s="4" t="e">
        <f ca="1">SQRT($B$9)*_xlfn.STDEV.S(AI1090:OFFSET(AI1090,$B$5-1,0))</f>
        <v>#DIV/0!</v>
      </c>
      <c r="AK1090" s="4" t="e">
        <f ca="1">SQRT($B$9)*_xlfn.STDEV.S(AI1090:OFFSET(AI1090,$B$6-1,0))</f>
        <v>#DIV/0!</v>
      </c>
      <c r="AL1090" s="4" t="e">
        <f ca="1">SQRT($B$9)*_xlfn.STDEV.S(AI1090:OFFSET(AI1090,$B$7-1,0))</f>
        <v>#DIV/0!</v>
      </c>
      <c r="AM1090" s="4" t="e">
        <f ca="1">SQRT($B$9)*_xlfn.STDEV.S(AI1090:OFFSET(AI1090,$B$8-1,0))</f>
        <v>#DIV/0!</v>
      </c>
    </row>
    <row r="1091" spans="11:39" x14ac:dyDescent="0.2">
      <c r="K1091" s="3" t="e">
        <f t="shared" si="89"/>
        <v>#DIV/0!</v>
      </c>
      <c r="L1091" s="3" t="e">
        <f ca="1">SQRT(AVERAGE(K1091:OFFSET(K1091,$B$5-1,0))*$B$9/(4*LN(2)))</f>
        <v>#DIV/0!</v>
      </c>
      <c r="M1091" s="3" t="e">
        <f ca="1">SQRT(AVERAGE(K1091:OFFSET(K1091,$B$6-1,0))*$B$9/(4*LN(2)))</f>
        <v>#DIV/0!</v>
      </c>
      <c r="N1091" s="3" t="e">
        <f ca="1">SQRT(AVERAGE(K1091:OFFSET(K1091,$B$7-1,0))*$B$9/(4*LN(2)))</f>
        <v>#DIV/0!</v>
      </c>
      <c r="O1091" s="3" t="e">
        <f ca="1">SQRT(AVERAGE(K1091:OFFSET(K1091,$B$8-1,0))*$B$9/(4*LN(2)))</f>
        <v>#DIV/0!</v>
      </c>
      <c r="Q1091" s="5" t="e">
        <f t="shared" si="88"/>
        <v>#DIV/0!</v>
      </c>
      <c r="R1091" s="5" t="e">
        <f ca="1">SQRT($B$9*AVERAGE((Q1091:OFFSET(Q1091,$B$5-1,0))))</f>
        <v>#DIV/0!</v>
      </c>
      <c r="S1091" s="5" t="e">
        <f ca="1">SQRT($B$9*AVERAGE((Q1091:OFFSET(Q1091,$B$6-1,0))))</f>
        <v>#DIV/0!</v>
      </c>
      <c r="T1091" s="5" t="e">
        <f ca="1">SQRT($B$9*AVERAGE((Q1091:OFFSET(Q1091,$B$7-1,0))))</f>
        <v>#DIV/0!</v>
      </c>
      <c r="U1091" s="5" t="e">
        <f ca="1">SQRT($B$9*AVERAGE((Q1091:OFFSET(Q1091,$B$8-1,0))))</f>
        <v>#DIV/0!</v>
      </c>
      <c r="W1091" s="6" t="e">
        <f t="shared" si="92"/>
        <v>#DIV/0!</v>
      </c>
      <c r="X1091" s="6" t="e">
        <f ca="1">SQRT($B$9*AVERAGE(W1091:OFFSET(W1091,$B$5-1,0)))</f>
        <v>#DIV/0!</v>
      </c>
      <c r="Y1091" s="6" t="e">
        <f ca="1">SQRT($B$9*AVERAGE(W1091:OFFSET(W1091,$B$6-1,0)))</f>
        <v>#DIV/0!</v>
      </c>
      <c r="Z1091" s="6" t="e">
        <f ca="1">SQRT($B$9*AVERAGE(W1091:OFFSET(W1091,$B$7-1,0)))</f>
        <v>#DIV/0!</v>
      </c>
      <c r="AA1091" s="6" t="e">
        <f ca="1">SQRT($B$9*AVERAGE(W1091:OFFSET(W1091,$B$8-1,0)))</f>
        <v>#DIV/0!</v>
      </c>
      <c r="AC1091" s="34" t="e">
        <f t="shared" si="90"/>
        <v>#DIV/0!</v>
      </c>
      <c r="AD1091" s="34" t="e">
        <f ca="1">SQRT($B$9*SUM(AC1091:OFFSET(AC1091,$B$5-1,0))/($B$5-1))</f>
        <v>#DIV/0!</v>
      </c>
      <c r="AE1091" s="34" t="e">
        <f ca="1">SQRT($B$9*SUM(AC1091:OFFSET(AC1091,$B$6-1,0))/($B$6-1))</f>
        <v>#DIV/0!</v>
      </c>
      <c r="AF1091" s="34" t="e">
        <f ca="1">SQRT($B$9*SUM(AC1091:OFFSET(AC1091,$B$7-1,0))/($B$7-1))</f>
        <v>#DIV/0!</v>
      </c>
      <c r="AG1091" s="34" t="e">
        <f ca="1">SQRT($B$9*SUM(AC1091:OFFSET(AC1091,$B$8-1,0))/($B$8-1))</f>
        <v>#DIV/0!</v>
      </c>
      <c r="AI1091" s="1" t="e">
        <f t="shared" si="91"/>
        <v>#DIV/0!</v>
      </c>
      <c r="AJ1091" s="4" t="e">
        <f ca="1">SQRT($B$9)*_xlfn.STDEV.S(AI1091:OFFSET(AI1091,$B$5-1,0))</f>
        <v>#DIV/0!</v>
      </c>
      <c r="AK1091" s="4" t="e">
        <f ca="1">SQRT($B$9)*_xlfn.STDEV.S(AI1091:OFFSET(AI1091,$B$6-1,0))</f>
        <v>#DIV/0!</v>
      </c>
      <c r="AL1091" s="4" t="e">
        <f ca="1">SQRT($B$9)*_xlfn.STDEV.S(AI1091:OFFSET(AI1091,$B$7-1,0))</f>
        <v>#DIV/0!</v>
      </c>
      <c r="AM1091" s="4" t="e">
        <f ca="1">SQRT($B$9)*_xlfn.STDEV.S(AI1091:OFFSET(AI1091,$B$8-1,0))</f>
        <v>#DIV/0!</v>
      </c>
    </row>
    <row r="1092" spans="11:39" x14ac:dyDescent="0.2">
      <c r="K1092" s="3" t="e">
        <f t="shared" si="89"/>
        <v>#DIV/0!</v>
      </c>
      <c r="L1092" s="3" t="e">
        <f ca="1">SQRT(AVERAGE(K1092:OFFSET(K1092,$B$5-1,0))*$B$9/(4*LN(2)))</f>
        <v>#DIV/0!</v>
      </c>
      <c r="M1092" s="3" t="e">
        <f ca="1">SQRT(AVERAGE(K1092:OFFSET(K1092,$B$6-1,0))*$B$9/(4*LN(2)))</f>
        <v>#DIV/0!</v>
      </c>
      <c r="N1092" s="3" t="e">
        <f ca="1">SQRT(AVERAGE(K1092:OFFSET(K1092,$B$7-1,0))*$B$9/(4*LN(2)))</f>
        <v>#DIV/0!</v>
      </c>
      <c r="O1092" s="3" t="e">
        <f ca="1">SQRT(AVERAGE(K1092:OFFSET(K1092,$B$8-1,0))*$B$9/(4*LN(2)))</f>
        <v>#DIV/0!</v>
      </c>
      <c r="Q1092" s="5" t="e">
        <f t="shared" si="88"/>
        <v>#DIV/0!</v>
      </c>
      <c r="R1092" s="5" t="e">
        <f ca="1">SQRT($B$9*AVERAGE((Q1092:OFFSET(Q1092,$B$5-1,0))))</f>
        <v>#DIV/0!</v>
      </c>
      <c r="S1092" s="5" t="e">
        <f ca="1">SQRT($B$9*AVERAGE((Q1092:OFFSET(Q1092,$B$6-1,0))))</f>
        <v>#DIV/0!</v>
      </c>
      <c r="T1092" s="5" t="e">
        <f ca="1">SQRT($B$9*AVERAGE((Q1092:OFFSET(Q1092,$B$7-1,0))))</f>
        <v>#DIV/0!</v>
      </c>
      <c r="U1092" s="5" t="e">
        <f ca="1">SQRT($B$9*AVERAGE((Q1092:OFFSET(Q1092,$B$8-1,0))))</f>
        <v>#DIV/0!</v>
      </c>
      <c r="W1092" s="6" t="e">
        <f t="shared" si="92"/>
        <v>#DIV/0!</v>
      </c>
      <c r="X1092" s="6" t="e">
        <f ca="1">SQRT($B$9*AVERAGE(W1092:OFFSET(W1092,$B$5-1,0)))</f>
        <v>#DIV/0!</v>
      </c>
      <c r="Y1092" s="6" t="e">
        <f ca="1">SQRT($B$9*AVERAGE(W1092:OFFSET(W1092,$B$6-1,0)))</f>
        <v>#DIV/0!</v>
      </c>
      <c r="Z1092" s="6" t="e">
        <f ca="1">SQRT($B$9*AVERAGE(W1092:OFFSET(W1092,$B$7-1,0)))</f>
        <v>#DIV/0!</v>
      </c>
      <c r="AA1092" s="6" t="e">
        <f ca="1">SQRT($B$9*AVERAGE(W1092:OFFSET(W1092,$B$8-1,0)))</f>
        <v>#DIV/0!</v>
      </c>
      <c r="AC1092" s="34" t="e">
        <f t="shared" si="90"/>
        <v>#DIV/0!</v>
      </c>
      <c r="AD1092" s="34" t="e">
        <f ca="1">SQRT($B$9*SUM(AC1092:OFFSET(AC1092,$B$5-1,0))/($B$5-1))</f>
        <v>#DIV/0!</v>
      </c>
      <c r="AE1092" s="34" t="e">
        <f ca="1">SQRT($B$9*SUM(AC1092:OFFSET(AC1092,$B$6-1,0))/($B$6-1))</f>
        <v>#DIV/0!</v>
      </c>
      <c r="AF1092" s="34" t="e">
        <f ca="1">SQRT($B$9*SUM(AC1092:OFFSET(AC1092,$B$7-1,0))/($B$7-1))</f>
        <v>#DIV/0!</v>
      </c>
      <c r="AG1092" s="34" t="e">
        <f ca="1">SQRT($B$9*SUM(AC1092:OFFSET(AC1092,$B$8-1,0))/($B$8-1))</f>
        <v>#DIV/0!</v>
      </c>
      <c r="AI1092" s="1" t="e">
        <f t="shared" si="91"/>
        <v>#DIV/0!</v>
      </c>
      <c r="AJ1092" s="4" t="e">
        <f ca="1">SQRT($B$9)*_xlfn.STDEV.S(AI1092:OFFSET(AI1092,$B$5-1,0))</f>
        <v>#DIV/0!</v>
      </c>
      <c r="AK1092" s="4" t="e">
        <f ca="1">SQRT($B$9)*_xlfn.STDEV.S(AI1092:OFFSET(AI1092,$B$6-1,0))</f>
        <v>#DIV/0!</v>
      </c>
      <c r="AL1092" s="4" t="e">
        <f ca="1">SQRT($B$9)*_xlfn.STDEV.S(AI1092:OFFSET(AI1092,$B$7-1,0))</f>
        <v>#DIV/0!</v>
      </c>
      <c r="AM1092" s="4" t="e">
        <f ca="1">SQRT($B$9)*_xlfn.STDEV.S(AI1092:OFFSET(AI1092,$B$8-1,0))</f>
        <v>#DIV/0!</v>
      </c>
    </row>
    <row r="1093" spans="11:39" x14ac:dyDescent="0.2">
      <c r="K1093" s="3" t="e">
        <f t="shared" si="89"/>
        <v>#DIV/0!</v>
      </c>
      <c r="L1093" s="3" t="e">
        <f ca="1">SQRT(AVERAGE(K1093:OFFSET(K1093,$B$5-1,0))*$B$9/(4*LN(2)))</f>
        <v>#DIV/0!</v>
      </c>
      <c r="M1093" s="3" t="e">
        <f ca="1">SQRT(AVERAGE(K1093:OFFSET(K1093,$B$6-1,0))*$B$9/(4*LN(2)))</f>
        <v>#DIV/0!</v>
      </c>
      <c r="N1093" s="3" t="e">
        <f ca="1">SQRT(AVERAGE(K1093:OFFSET(K1093,$B$7-1,0))*$B$9/(4*LN(2)))</f>
        <v>#DIV/0!</v>
      </c>
      <c r="O1093" s="3" t="e">
        <f ca="1">SQRT(AVERAGE(K1093:OFFSET(K1093,$B$8-1,0))*$B$9/(4*LN(2)))</f>
        <v>#DIV/0!</v>
      </c>
      <c r="Q1093" s="5" t="e">
        <f t="shared" ref="Q1093:Q1156" si="93">0.511*(LN(G1093/H1093))^2-0.019*(LN(I1093/F1093)*LN(G1093*H1093/F1093^2)-2*LN(G1093/F1093)*LN(H1093/F1093))-0.383*(LN(I1093/F1093))^2</f>
        <v>#DIV/0!</v>
      </c>
      <c r="R1093" s="5" t="e">
        <f ca="1">SQRT($B$9*AVERAGE((Q1093:OFFSET(Q1093,$B$5-1,0))))</f>
        <v>#DIV/0!</v>
      </c>
      <c r="S1093" s="5" t="e">
        <f ca="1">SQRT($B$9*AVERAGE((Q1093:OFFSET(Q1093,$B$6-1,0))))</f>
        <v>#DIV/0!</v>
      </c>
      <c r="T1093" s="5" t="e">
        <f ca="1">SQRT($B$9*AVERAGE((Q1093:OFFSET(Q1093,$B$7-1,0))))</f>
        <v>#DIV/0!</v>
      </c>
      <c r="U1093" s="5" t="e">
        <f ca="1">SQRT($B$9*AVERAGE((Q1093:OFFSET(Q1093,$B$8-1,0))))</f>
        <v>#DIV/0!</v>
      </c>
      <c r="W1093" s="6" t="e">
        <f t="shared" si="92"/>
        <v>#DIV/0!</v>
      </c>
      <c r="X1093" s="6" t="e">
        <f ca="1">SQRT($B$9*AVERAGE(W1093:OFFSET(W1093,$B$5-1,0)))</f>
        <v>#DIV/0!</v>
      </c>
      <c r="Y1093" s="6" t="e">
        <f ca="1">SQRT($B$9*AVERAGE(W1093:OFFSET(W1093,$B$6-1,0)))</f>
        <v>#DIV/0!</v>
      </c>
      <c r="Z1093" s="6" t="e">
        <f ca="1">SQRT($B$9*AVERAGE(W1093:OFFSET(W1093,$B$7-1,0)))</f>
        <v>#DIV/0!</v>
      </c>
      <c r="AA1093" s="6" t="e">
        <f ca="1">SQRT($B$9*AVERAGE(W1093:OFFSET(W1093,$B$8-1,0)))</f>
        <v>#DIV/0!</v>
      </c>
      <c r="AC1093" s="34" t="e">
        <f t="shared" si="90"/>
        <v>#DIV/0!</v>
      </c>
      <c r="AD1093" s="34" t="e">
        <f ca="1">SQRT($B$9*SUM(AC1093:OFFSET(AC1093,$B$5-1,0))/($B$5-1))</f>
        <v>#DIV/0!</v>
      </c>
      <c r="AE1093" s="34" t="e">
        <f ca="1">SQRT($B$9*SUM(AC1093:OFFSET(AC1093,$B$6-1,0))/($B$6-1))</f>
        <v>#DIV/0!</v>
      </c>
      <c r="AF1093" s="34" t="e">
        <f ca="1">SQRT($B$9*SUM(AC1093:OFFSET(AC1093,$B$7-1,0))/($B$7-1))</f>
        <v>#DIV/0!</v>
      </c>
      <c r="AG1093" s="34" t="e">
        <f ca="1">SQRT($B$9*SUM(AC1093:OFFSET(AC1093,$B$8-1,0))/($B$8-1))</f>
        <v>#DIV/0!</v>
      </c>
      <c r="AI1093" s="1" t="e">
        <f t="shared" si="91"/>
        <v>#DIV/0!</v>
      </c>
      <c r="AJ1093" s="4" t="e">
        <f ca="1">SQRT($B$9)*_xlfn.STDEV.S(AI1093:OFFSET(AI1093,$B$5-1,0))</f>
        <v>#DIV/0!</v>
      </c>
      <c r="AK1093" s="4" t="e">
        <f ca="1">SQRT($B$9)*_xlfn.STDEV.S(AI1093:OFFSET(AI1093,$B$6-1,0))</f>
        <v>#DIV/0!</v>
      </c>
      <c r="AL1093" s="4" t="e">
        <f ca="1">SQRT($B$9)*_xlfn.STDEV.S(AI1093:OFFSET(AI1093,$B$7-1,0))</f>
        <v>#DIV/0!</v>
      </c>
      <c r="AM1093" s="4" t="e">
        <f ca="1">SQRT($B$9)*_xlfn.STDEV.S(AI1093:OFFSET(AI1093,$B$8-1,0))</f>
        <v>#DIV/0!</v>
      </c>
    </row>
    <row r="1094" spans="11:39" x14ac:dyDescent="0.2">
      <c r="K1094" s="3" t="e">
        <f t="shared" ref="K1094:K1157" si="94">(LN(G1094/H1094))^2</f>
        <v>#DIV/0!</v>
      </c>
      <c r="L1094" s="3" t="e">
        <f ca="1">SQRT(AVERAGE(K1094:OFFSET(K1094,$B$5-1,0))*$B$9/(4*LN(2)))</f>
        <v>#DIV/0!</v>
      </c>
      <c r="M1094" s="3" t="e">
        <f ca="1">SQRT(AVERAGE(K1094:OFFSET(K1094,$B$6-1,0))*$B$9/(4*LN(2)))</f>
        <v>#DIV/0!</v>
      </c>
      <c r="N1094" s="3" t="e">
        <f ca="1">SQRT(AVERAGE(K1094:OFFSET(K1094,$B$7-1,0))*$B$9/(4*LN(2)))</f>
        <v>#DIV/0!</v>
      </c>
      <c r="O1094" s="3" t="e">
        <f ca="1">SQRT(AVERAGE(K1094:OFFSET(K1094,$B$8-1,0))*$B$9/(4*LN(2)))</f>
        <v>#DIV/0!</v>
      </c>
      <c r="Q1094" s="5" t="e">
        <f t="shared" si="93"/>
        <v>#DIV/0!</v>
      </c>
      <c r="R1094" s="5" t="e">
        <f ca="1">SQRT($B$9*AVERAGE((Q1094:OFFSET(Q1094,$B$5-1,0))))</f>
        <v>#DIV/0!</v>
      </c>
      <c r="S1094" s="5" t="e">
        <f ca="1">SQRT($B$9*AVERAGE((Q1094:OFFSET(Q1094,$B$6-1,0))))</f>
        <v>#DIV/0!</v>
      </c>
      <c r="T1094" s="5" t="e">
        <f ca="1">SQRT($B$9*AVERAGE((Q1094:OFFSET(Q1094,$B$7-1,0))))</f>
        <v>#DIV/0!</v>
      </c>
      <c r="U1094" s="5" t="e">
        <f ca="1">SQRT($B$9*AVERAGE((Q1094:OFFSET(Q1094,$B$8-1,0))))</f>
        <v>#DIV/0!</v>
      </c>
      <c r="W1094" s="6" t="e">
        <f t="shared" si="92"/>
        <v>#DIV/0!</v>
      </c>
      <c r="X1094" s="6" t="e">
        <f ca="1">SQRT($B$9*AVERAGE(W1094:OFFSET(W1094,$B$5-1,0)))</f>
        <v>#DIV/0!</v>
      </c>
      <c r="Y1094" s="6" t="e">
        <f ca="1">SQRT($B$9*AVERAGE(W1094:OFFSET(W1094,$B$6-1,0)))</f>
        <v>#DIV/0!</v>
      </c>
      <c r="Z1094" s="6" t="e">
        <f ca="1">SQRT($B$9*AVERAGE(W1094:OFFSET(W1094,$B$7-1,0)))</f>
        <v>#DIV/0!</v>
      </c>
      <c r="AA1094" s="6" t="e">
        <f ca="1">SQRT($B$9*AVERAGE(W1094:OFFSET(W1094,$B$8-1,0)))</f>
        <v>#DIV/0!</v>
      </c>
      <c r="AC1094" s="34" t="e">
        <f t="shared" si="90"/>
        <v>#DIV/0!</v>
      </c>
      <c r="AD1094" s="34" t="e">
        <f ca="1">SQRT($B$9*SUM(AC1094:OFFSET(AC1094,$B$5-1,0))/($B$5-1))</f>
        <v>#DIV/0!</v>
      </c>
      <c r="AE1094" s="34" t="e">
        <f ca="1">SQRT($B$9*SUM(AC1094:OFFSET(AC1094,$B$6-1,0))/($B$6-1))</f>
        <v>#DIV/0!</v>
      </c>
      <c r="AF1094" s="34" t="e">
        <f ca="1">SQRT($B$9*SUM(AC1094:OFFSET(AC1094,$B$7-1,0))/($B$7-1))</f>
        <v>#DIV/0!</v>
      </c>
      <c r="AG1094" s="34" t="e">
        <f ca="1">SQRT($B$9*SUM(AC1094:OFFSET(AC1094,$B$8-1,0))/($B$8-1))</f>
        <v>#DIV/0!</v>
      </c>
      <c r="AI1094" s="1" t="e">
        <f t="shared" si="91"/>
        <v>#DIV/0!</v>
      </c>
      <c r="AJ1094" s="4" t="e">
        <f ca="1">SQRT($B$9)*_xlfn.STDEV.S(AI1094:OFFSET(AI1094,$B$5-1,0))</f>
        <v>#DIV/0!</v>
      </c>
      <c r="AK1094" s="4" t="e">
        <f ca="1">SQRT($B$9)*_xlfn.STDEV.S(AI1094:OFFSET(AI1094,$B$6-1,0))</f>
        <v>#DIV/0!</v>
      </c>
      <c r="AL1094" s="4" t="e">
        <f ca="1">SQRT($B$9)*_xlfn.STDEV.S(AI1094:OFFSET(AI1094,$B$7-1,0))</f>
        <v>#DIV/0!</v>
      </c>
      <c r="AM1094" s="4" t="e">
        <f ca="1">SQRT($B$9)*_xlfn.STDEV.S(AI1094:OFFSET(AI1094,$B$8-1,0))</f>
        <v>#DIV/0!</v>
      </c>
    </row>
    <row r="1095" spans="11:39" x14ac:dyDescent="0.2">
      <c r="K1095" s="3" t="e">
        <f t="shared" si="94"/>
        <v>#DIV/0!</v>
      </c>
      <c r="L1095" s="3" t="e">
        <f ca="1">SQRT(AVERAGE(K1095:OFFSET(K1095,$B$5-1,0))*$B$9/(4*LN(2)))</f>
        <v>#DIV/0!</v>
      </c>
      <c r="M1095" s="3" t="e">
        <f ca="1">SQRT(AVERAGE(K1095:OFFSET(K1095,$B$6-1,0))*$B$9/(4*LN(2)))</f>
        <v>#DIV/0!</v>
      </c>
      <c r="N1095" s="3" t="e">
        <f ca="1">SQRT(AVERAGE(K1095:OFFSET(K1095,$B$7-1,0))*$B$9/(4*LN(2)))</f>
        <v>#DIV/0!</v>
      </c>
      <c r="O1095" s="3" t="e">
        <f ca="1">SQRT(AVERAGE(K1095:OFFSET(K1095,$B$8-1,0))*$B$9/(4*LN(2)))</f>
        <v>#DIV/0!</v>
      </c>
      <c r="Q1095" s="5" t="e">
        <f t="shared" si="93"/>
        <v>#DIV/0!</v>
      </c>
      <c r="R1095" s="5" t="e">
        <f ca="1">SQRT($B$9*AVERAGE((Q1095:OFFSET(Q1095,$B$5-1,0))))</f>
        <v>#DIV/0!</v>
      </c>
      <c r="S1095" s="5" t="e">
        <f ca="1">SQRT($B$9*AVERAGE((Q1095:OFFSET(Q1095,$B$6-1,0))))</f>
        <v>#DIV/0!</v>
      </c>
      <c r="T1095" s="5" t="e">
        <f ca="1">SQRT($B$9*AVERAGE((Q1095:OFFSET(Q1095,$B$7-1,0))))</f>
        <v>#DIV/0!</v>
      </c>
      <c r="U1095" s="5" t="e">
        <f ca="1">SQRT($B$9*AVERAGE((Q1095:OFFSET(Q1095,$B$8-1,0))))</f>
        <v>#DIV/0!</v>
      </c>
      <c r="W1095" s="6" t="e">
        <f t="shared" si="92"/>
        <v>#DIV/0!</v>
      </c>
      <c r="X1095" s="6" t="e">
        <f ca="1">SQRT($B$9*AVERAGE(W1095:OFFSET(W1095,$B$5-1,0)))</f>
        <v>#DIV/0!</v>
      </c>
      <c r="Y1095" s="6" t="e">
        <f ca="1">SQRT($B$9*AVERAGE(W1095:OFFSET(W1095,$B$6-1,0)))</f>
        <v>#DIV/0!</v>
      </c>
      <c r="Z1095" s="6" t="e">
        <f ca="1">SQRT($B$9*AVERAGE(W1095:OFFSET(W1095,$B$7-1,0)))</f>
        <v>#DIV/0!</v>
      </c>
      <c r="AA1095" s="6" t="e">
        <f ca="1">SQRT($B$9*AVERAGE(W1095:OFFSET(W1095,$B$8-1,0)))</f>
        <v>#DIV/0!</v>
      </c>
      <c r="AC1095" s="34" t="e">
        <f t="shared" si="90"/>
        <v>#DIV/0!</v>
      </c>
      <c r="AD1095" s="34" t="e">
        <f ca="1">SQRT($B$9*SUM(AC1095:OFFSET(AC1095,$B$5-1,0))/($B$5-1))</f>
        <v>#DIV/0!</v>
      </c>
      <c r="AE1095" s="34" t="e">
        <f ca="1">SQRT($B$9*SUM(AC1095:OFFSET(AC1095,$B$6-1,0))/($B$6-1))</f>
        <v>#DIV/0!</v>
      </c>
      <c r="AF1095" s="34" t="e">
        <f ca="1">SQRT($B$9*SUM(AC1095:OFFSET(AC1095,$B$7-1,0))/($B$7-1))</f>
        <v>#DIV/0!</v>
      </c>
      <c r="AG1095" s="34" t="e">
        <f ca="1">SQRT($B$9*SUM(AC1095:OFFSET(AC1095,$B$8-1,0))/($B$8-1))</f>
        <v>#DIV/0!</v>
      </c>
      <c r="AI1095" s="1" t="e">
        <f t="shared" si="91"/>
        <v>#DIV/0!</v>
      </c>
      <c r="AJ1095" s="4" t="e">
        <f ca="1">SQRT($B$9)*_xlfn.STDEV.S(AI1095:OFFSET(AI1095,$B$5-1,0))</f>
        <v>#DIV/0!</v>
      </c>
      <c r="AK1095" s="4" t="e">
        <f ca="1">SQRT($B$9)*_xlfn.STDEV.S(AI1095:OFFSET(AI1095,$B$6-1,0))</f>
        <v>#DIV/0!</v>
      </c>
      <c r="AL1095" s="4" t="e">
        <f ca="1">SQRT($B$9)*_xlfn.STDEV.S(AI1095:OFFSET(AI1095,$B$7-1,0))</f>
        <v>#DIV/0!</v>
      </c>
      <c r="AM1095" s="4" t="e">
        <f ca="1">SQRT($B$9)*_xlfn.STDEV.S(AI1095:OFFSET(AI1095,$B$8-1,0))</f>
        <v>#DIV/0!</v>
      </c>
    </row>
    <row r="1096" spans="11:39" x14ac:dyDescent="0.2">
      <c r="K1096" s="3" t="e">
        <f t="shared" si="94"/>
        <v>#DIV/0!</v>
      </c>
      <c r="L1096" s="3" t="e">
        <f ca="1">SQRT(AVERAGE(K1096:OFFSET(K1096,$B$5-1,0))*$B$9/(4*LN(2)))</f>
        <v>#DIV/0!</v>
      </c>
      <c r="M1096" s="3" t="e">
        <f ca="1">SQRT(AVERAGE(K1096:OFFSET(K1096,$B$6-1,0))*$B$9/(4*LN(2)))</f>
        <v>#DIV/0!</v>
      </c>
      <c r="N1096" s="3" t="e">
        <f ca="1">SQRT(AVERAGE(K1096:OFFSET(K1096,$B$7-1,0))*$B$9/(4*LN(2)))</f>
        <v>#DIV/0!</v>
      </c>
      <c r="O1096" s="3" t="e">
        <f ca="1">SQRT(AVERAGE(K1096:OFFSET(K1096,$B$8-1,0))*$B$9/(4*LN(2)))</f>
        <v>#DIV/0!</v>
      </c>
      <c r="Q1096" s="5" t="e">
        <f t="shared" si="93"/>
        <v>#DIV/0!</v>
      </c>
      <c r="R1096" s="5" t="e">
        <f ca="1">SQRT($B$9*AVERAGE((Q1096:OFFSET(Q1096,$B$5-1,0))))</f>
        <v>#DIV/0!</v>
      </c>
      <c r="S1096" s="5" t="e">
        <f ca="1">SQRT($B$9*AVERAGE((Q1096:OFFSET(Q1096,$B$6-1,0))))</f>
        <v>#DIV/0!</v>
      </c>
      <c r="T1096" s="5" t="e">
        <f ca="1">SQRT($B$9*AVERAGE((Q1096:OFFSET(Q1096,$B$7-1,0))))</f>
        <v>#DIV/0!</v>
      </c>
      <c r="U1096" s="5" t="e">
        <f ca="1">SQRT($B$9*AVERAGE((Q1096:OFFSET(Q1096,$B$8-1,0))))</f>
        <v>#DIV/0!</v>
      </c>
      <c r="W1096" s="6" t="e">
        <f t="shared" si="92"/>
        <v>#DIV/0!</v>
      </c>
      <c r="X1096" s="6" t="e">
        <f ca="1">SQRT($B$9*AVERAGE(W1096:OFFSET(W1096,$B$5-1,0)))</f>
        <v>#DIV/0!</v>
      </c>
      <c r="Y1096" s="6" t="e">
        <f ca="1">SQRT($B$9*AVERAGE(W1096:OFFSET(W1096,$B$6-1,0)))</f>
        <v>#DIV/0!</v>
      </c>
      <c r="Z1096" s="6" t="e">
        <f ca="1">SQRT($B$9*AVERAGE(W1096:OFFSET(W1096,$B$7-1,0)))</f>
        <v>#DIV/0!</v>
      </c>
      <c r="AA1096" s="6" t="e">
        <f ca="1">SQRT($B$9*AVERAGE(W1096:OFFSET(W1096,$B$8-1,0)))</f>
        <v>#DIV/0!</v>
      </c>
      <c r="AC1096" s="34" t="e">
        <f t="shared" si="90"/>
        <v>#DIV/0!</v>
      </c>
      <c r="AD1096" s="34" t="e">
        <f ca="1">SQRT($B$9*SUM(AC1096:OFFSET(AC1096,$B$5-1,0))/($B$5-1))</f>
        <v>#DIV/0!</v>
      </c>
      <c r="AE1096" s="34" t="e">
        <f ca="1">SQRT($B$9*SUM(AC1096:OFFSET(AC1096,$B$6-1,0))/($B$6-1))</f>
        <v>#DIV/0!</v>
      </c>
      <c r="AF1096" s="34" t="e">
        <f ca="1">SQRT($B$9*SUM(AC1096:OFFSET(AC1096,$B$7-1,0))/($B$7-1))</f>
        <v>#DIV/0!</v>
      </c>
      <c r="AG1096" s="34" t="e">
        <f ca="1">SQRT($B$9*SUM(AC1096:OFFSET(AC1096,$B$8-1,0))/($B$8-1))</f>
        <v>#DIV/0!</v>
      </c>
      <c r="AI1096" s="1" t="e">
        <f t="shared" si="91"/>
        <v>#DIV/0!</v>
      </c>
      <c r="AJ1096" s="4" t="e">
        <f ca="1">SQRT($B$9)*_xlfn.STDEV.S(AI1096:OFFSET(AI1096,$B$5-1,0))</f>
        <v>#DIV/0!</v>
      </c>
      <c r="AK1096" s="4" t="e">
        <f ca="1">SQRT($B$9)*_xlfn.STDEV.S(AI1096:OFFSET(AI1096,$B$6-1,0))</f>
        <v>#DIV/0!</v>
      </c>
      <c r="AL1096" s="4" t="e">
        <f ca="1">SQRT($B$9)*_xlfn.STDEV.S(AI1096:OFFSET(AI1096,$B$7-1,0))</f>
        <v>#DIV/0!</v>
      </c>
      <c r="AM1096" s="4" t="e">
        <f ca="1">SQRT($B$9)*_xlfn.STDEV.S(AI1096:OFFSET(AI1096,$B$8-1,0))</f>
        <v>#DIV/0!</v>
      </c>
    </row>
    <row r="1097" spans="11:39" x14ac:dyDescent="0.2">
      <c r="K1097" s="3" t="e">
        <f t="shared" si="94"/>
        <v>#DIV/0!</v>
      </c>
      <c r="L1097" s="3" t="e">
        <f ca="1">SQRT(AVERAGE(K1097:OFFSET(K1097,$B$5-1,0))*$B$9/(4*LN(2)))</f>
        <v>#DIV/0!</v>
      </c>
      <c r="M1097" s="3" t="e">
        <f ca="1">SQRT(AVERAGE(K1097:OFFSET(K1097,$B$6-1,0))*$B$9/(4*LN(2)))</f>
        <v>#DIV/0!</v>
      </c>
      <c r="N1097" s="3" t="e">
        <f ca="1">SQRT(AVERAGE(K1097:OFFSET(K1097,$B$7-1,0))*$B$9/(4*LN(2)))</f>
        <v>#DIV/0!</v>
      </c>
      <c r="O1097" s="3" t="e">
        <f ca="1">SQRT(AVERAGE(K1097:OFFSET(K1097,$B$8-1,0))*$B$9/(4*LN(2)))</f>
        <v>#DIV/0!</v>
      </c>
      <c r="Q1097" s="5" t="e">
        <f t="shared" si="93"/>
        <v>#DIV/0!</v>
      </c>
      <c r="R1097" s="5" t="e">
        <f ca="1">SQRT($B$9*AVERAGE((Q1097:OFFSET(Q1097,$B$5-1,0))))</f>
        <v>#DIV/0!</v>
      </c>
      <c r="S1097" s="5" t="e">
        <f ca="1">SQRT($B$9*AVERAGE((Q1097:OFFSET(Q1097,$B$6-1,0))))</f>
        <v>#DIV/0!</v>
      </c>
      <c r="T1097" s="5" t="e">
        <f ca="1">SQRT($B$9*AVERAGE((Q1097:OFFSET(Q1097,$B$7-1,0))))</f>
        <v>#DIV/0!</v>
      </c>
      <c r="U1097" s="5" t="e">
        <f ca="1">SQRT($B$9*AVERAGE((Q1097:OFFSET(Q1097,$B$8-1,0))))</f>
        <v>#DIV/0!</v>
      </c>
      <c r="W1097" s="6" t="e">
        <f t="shared" si="92"/>
        <v>#DIV/0!</v>
      </c>
      <c r="X1097" s="6" t="e">
        <f ca="1">SQRT($B$9*AVERAGE(W1097:OFFSET(W1097,$B$5-1,0)))</f>
        <v>#DIV/0!</v>
      </c>
      <c r="Y1097" s="6" t="e">
        <f ca="1">SQRT($B$9*AVERAGE(W1097:OFFSET(W1097,$B$6-1,0)))</f>
        <v>#DIV/0!</v>
      </c>
      <c r="Z1097" s="6" t="e">
        <f ca="1">SQRT($B$9*AVERAGE(W1097:OFFSET(W1097,$B$7-1,0)))</f>
        <v>#DIV/0!</v>
      </c>
      <c r="AA1097" s="6" t="e">
        <f ca="1">SQRT($B$9*AVERAGE(W1097:OFFSET(W1097,$B$8-1,0)))</f>
        <v>#DIV/0!</v>
      </c>
      <c r="AC1097" s="34" t="e">
        <f t="shared" si="90"/>
        <v>#DIV/0!</v>
      </c>
      <c r="AD1097" s="34" t="e">
        <f ca="1">SQRT($B$9*SUM(AC1097:OFFSET(AC1097,$B$5-1,0))/($B$5-1))</f>
        <v>#DIV/0!</v>
      </c>
      <c r="AE1097" s="34" t="e">
        <f ca="1">SQRT($B$9*SUM(AC1097:OFFSET(AC1097,$B$6-1,0))/($B$6-1))</f>
        <v>#DIV/0!</v>
      </c>
      <c r="AF1097" s="34" t="e">
        <f ca="1">SQRT($B$9*SUM(AC1097:OFFSET(AC1097,$B$7-1,0))/($B$7-1))</f>
        <v>#DIV/0!</v>
      </c>
      <c r="AG1097" s="34" t="e">
        <f ca="1">SQRT($B$9*SUM(AC1097:OFFSET(AC1097,$B$8-1,0))/($B$8-1))</f>
        <v>#DIV/0!</v>
      </c>
      <c r="AI1097" s="1" t="e">
        <f t="shared" si="91"/>
        <v>#DIV/0!</v>
      </c>
      <c r="AJ1097" s="4" t="e">
        <f ca="1">SQRT($B$9)*_xlfn.STDEV.S(AI1097:OFFSET(AI1097,$B$5-1,0))</f>
        <v>#DIV/0!</v>
      </c>
      <c r="AK1097" s="4" t="e">
        <f ca="1">SQRT($B$9)*_xlfn.STDEV.S(AI1097:OFFSET(AI1097,$B$6-1,0))</f>
        <v>#DIV/0!</v>
      </c>
      <c r="AL1097" s="4" t="e">
        <f ca="1">SQRT($B$9)*_xlfn.STDEV.S(AI1097:OFFSET(AI1097,$B$7-1,0))</f>
        <v>#DIV/0!</v>
      </c>
      <c r="AM1097" s="4" t="e">
        <f ca="1">SQRT($B$9)*_xlfn.STDEV.S(AI1097:OFFSET(AI1097,$B$8-1,0))</f>
        <v>#DIV/0!</v>
      </c>
    </row>
    <row r="1098" spans="11:39" x14ac:dyDescent="0.2">
      <c r="K1098" s="3" t="e">
        <f t="shared" si="94"/>
        <v>#DIV/0!</v>
      </c>
      <c r="L1098" s="3" t="e">
        <f ca="1">SQRT(AVERAGE(K1098:OFFSET(K1098,$B$5-1,0))*$B$9/(4*LN(2)))</f>
        <v>#DIV/0!</v>
      </c>
      <c r="M1098" s="3" t="e">
        <f ca="1">SQRT(AVERAGE(K1098:OFFSET(K1098,$B$6-1,0))*$B$9/(4*LN(2)))</f>
        <v>#DIV/0!</v>
      </c>
      <c r="N1098" s="3" t="e">
        <f ca="1">SQRT(AVERAGE(K1098:OFFSET(K1098,$B$7-1,0))*$B$9/(4*LN(2)))</f>
        <v>#DIV/0!</v>
      </c>
      <c r="O1098" s="3" t="e">
        <f ca="1">SQRT(AVERAGE(K1098:OFFSET(K1098,$B$8-1,0))*$B$9/(4*LN(2)))</f>
        <v>#DIV/0!</v>
      </c>
      <c r="Q1098" s="5" t="e">
        <f t="shared" si="93"/>
        <v>#DIV/0!</v>
      </c>
      <c r="R1098" s="5" t="e">
        <f ca="1">SQRT($B$9*AVERAGE((Q1098:OFFSET(Q1098,$B$5-1,0))))</f>
        <v>#DIV/0!</v>
      </c>
      <c r="S1098" s="5" t="e">
        <f ca="1">SQRT($B$9*AVERAGE((Q1098:OFFSET(Q1098,$B$6-1,0))))</f>
        <v>#DIV/0!</v>
      </c>
      <c r="T1098" s="5" t="e">
        <f ca="1">SQRT($B$9*AVERAGE((Q1098:OFFSET(Q1098,$B$7-1,0))))</f>
        <v>#DIV/0!</v>
      </c>
      <c r="U1098" s="5" t="e">
        <f ca="1">SQRT($B$9*AVERAGE((Q1098:OFFSET(Q1098,$B$8-1,0))))</f>
        <v>#DIV/0!</v>
      </c>
      <c r="W1098" s="6" t="e">
        <f t="shared" si="92"/>
        <v>#DIV/0!</v>
      </c>
      <c r="X1098" s="6" t="e">
        <f ca="1">SQRT($B$9*AVERAGE(W1098:OFFSET(W1098,$B$5-1,0)))</f>
        <v>#DIV/0!</v>
      </c>
      <c r="Y1098" s="6" t="e">
        <f ca="1">SQRT($B$9*AVERAGE(W1098:OFFSET(W1098,$B$6-1,0)))</f>
        <v>#DIV/0!</v>
      </c>
      <c r="Z1098" s="6" t="e">
        <f ca="1">SQRT($B$9*AVERAGE(W1098:OFFSET(W1098,$B$7-1,0)))</f>
        <v>#DIV/0!</v>
      </c>
      <c r="AA1098" s="6" t="e">
        <f ca="1">SQRT($B$9*AVERAGE(W1098:OFFSET(W1098,$B$8-1,0)))</f>
        <v>#DIV/0!</v>
      </c>
      <c r="AC1098" s="34" t="e">
        <f t="shared" si="90"/>
        <v>#DIV/0!</v>
      </c>
      <c r="AD1098" s="34" t="e">
        <f ca="1">SQRT($B$9*SUM(AC1098:OFFSET(AC1098,$B$5-1,0))/($B$5-1))</f>
        <v>#DIV/0!</v>
      </c>
      <c r="AE1098" s="34" t="e">
        <f ca="1">SQRT($B$9*SUM(AC1098:OFFSET(AC1098,$B$6-1,0))/($B$6-1))</f>
        <v>#DIV/0!</v>
      </c>
      <c r="AF1098" s="34" t="e">
        <f ca="1">SQRT($B$9*SUM(AC1098:OFFSET(AC1098,$B$7-1,0))/($B$7-1))</f>
        <v>#DIV/0!</v>
      </c>
      <c r="AG1098" s="34" t="e">
        <f ca="1">SQRT($B$9*SUM(AC1098:OFFSET(AC1098,$B$8-1,0))/($B$8-1))</f>
        <v>#DIV/0!</v>
      </c>
      <c r="AI1098" s="1" t="e">
        <f t="shared" si="91"/>
        <v>#DIV/0!</v>
      </c>
      <c r="AJ1098" s="4" t="e">
        <f ca="1">SQRT($B$9)*_xlfn.STDEV.S(AI1098:OFFSET(AI1098,$B$5-1,0))</f>
        <v>#DIV/0!</v>
      </c>
      <c r="AK1098" s="4" t="e">
        <f ca="1">SQRT($B$9)*_xlfn.STDEV.S(AI1098:OFFSET(AI1098,$B$6-1,0))</f>
        <v>#DIV/0!</v>
      </c>
      <c r="AL1098" s="4" t="e">
        <f ca="1">SQRT($B$9)*_xlfn.STDEV.S(AI1098:OFFSET(AI1098,$B$7-1,0))</f>
        <v>#DIV/0!</v>
      </c>
      <c r="AM1098" s="4" t="e">
        <f ca="1">SQRT($B$9)*_xlfn.STDEV.S(AI1098:OFFSET(AI1098,$B$8-1,0))</f>
        <v>#DIV/0!</v>
      </c>
    </row>
    <row r="1099" spans="11:39" x14ac:dyDescent="0.2">
      <c r="K1099" s="3" t="e">
        <f t="shared" si="94"/>
        <v>#DIV/0!</v>
      </c>
      <c r="L1099" s="3" t="e">
        <f ca="1">SQRT(AVERAGE(K1099:OFFSET(K1099,$B$5-1,0))*$B$9/(4*LN(2)))</f>
        <v>#DIV/0!</v>
      </c>
      <c r="M1099" s="3" t="e">
        <f ca="1">SQRT(AVERAGE(K1099:OFFSET(K1099,$B$6-1,0))*$B$9/(4*LN(2)))</f>
        <v>#DIV/0!</v>
      </c>
      <c r="N1099" s="3" t="e">
        <f ca="1">SQRT(AVERAGE(K1099:OFFSET(K1099,$B$7-1,0))*$B$9/(4*LN(2)))</f>
        <v>#DIV/0!</v>
      </c>
      <c r="O1099" s="3" t="e">
        <f ca="1">SQRT(AVERAGE(K1099:OFFSET(K1099,$B$8-1,0))*$B$9/(4*LN(2)))</f>
        <v>#DIV/0!</v>
      </c>
      <c r="Q1099" s="5" t="e">
        <f t="shared" si="93"/>
        <v>#DIV/0!</v>
      </c>
      <c r="R1099" s="5" t="e">
        <f ca="1">SQRT($B$9*AVERAGE((Q1099:OFFSET(Q1099,$B$5-1,0))))</f>
        <v>#DIV/0!</v>
      </c>
      <c r="S1099" s="5" t="e">
        <f ca="1">SQRT($B$9*AVERAGE((Q1099:OFFSET(Q1099,$B$6-1,0))))</f>
        <v>#DIV/0!</v>
      </c>
      <c r="T1099" s="5" t="e">
        <f ca="1">SQRT($B$9*AVERAGE((Q1099:OFFSET(Q1099,$B$7-1,0))))</f>
        <v>#DIV/0!</v>
      </c>
      <c r="U1099" s="5" t="e">
        <f ca="1">SQRT($B$9*AVERAGE((Q1099:OFFSET(Q1099,$B$8-1,0))))</f>
        <v>#DIV/0!</v>
      </c>
      <c r="W1099" s="6" t="e">
        <f t="shared" si="92"/>
        <v>#DIV/0!</v>
      </c>
      <c r="X1099" s="6" t="e">
        <f ca="1">SQRT($B$9*AVERAGE(W1099:OFFSET(W1099,$B$5-1,0)))</f>
        <v>#DIV/0!</v>
      </c>
      <c r="Y1099" s="6" t="e">
        <f ca="1">SQRT($B$9*AVERAGE(W1099:OFFSET(W1099,$B$6-1,0)))</f>
        <v>#DIV/0!</v>
      </c>
      <c r="Z1099" s="6" t="e">
        <f ca="1">SQRT($B$9*AVERAGE(W1099:OFFSET(W1099,$B$7-1,0)))</f>
        <v>#DIV/0!</v>
      </c>
      <c r="AA1099" s="6" t="e">
        <f ca="1">SQRT($B$9*AVERAGE(W1099:OFFSET(W1099,$B$8-1,0)))</f>
        <v>#DIV/0!</v>
      </c>
      <c r="AC1099" s="34" t="e">
        <f t="shared" si="90"/>
        <v>#DIV/0!</v>
      </c>
      <c r="AD1099" s="34" t="e">
        <f ca="1">SQRT($B$9*SUM(AC1099:OFFSET(AC1099,$B$5-1,0))/($B$5-1))</f>
        <v>#DIV/0!</v>
      </c>
      <c r="AE1099" s="34" t="e">
        <f ca="1">SQRT($B$9*SUM(AC1099:OFFSET(AC1099,$B$6-1,0))/($B$6-1))</f>
        <v>#DIV/0!</v>
      </c>
      <c r="AF1099" s="34" t="e">
        <f ca="1">SQRT($B$9*SUM(AC1099:OFFSET(AC1099,$B$7-1,0))/($B$7-1))</f>
        <v>#DIV/0!</v>
      </c>
      <c r="AG1099" s="34" t="e">
        <f ca="1">SQRT($B$9*SUM(AC1099:OFFSET(AC1099,$B$8-1,0))/($B$8-1))</f>
        <v>#DIV/0!</v>
      </c>
      <c r="AI1099" s="1" t="e">
        <f t="shared" si="91"/>
        <v>#DIV/0!</v>
      </c>
      <c r="AJ1099" s="4" t="e">
        <f ca="1">SQRT($B$9)*_xlfn.STDEV.S(AI1099:OFFSET(AI1099,$B$5-1,0))</f>
        <v>#DIV/0!</v>
      </c>
      <c r="AK1099" s="4" t="e">
        <f ca="1">SQRT($B$9)*_xlfn.STDEV.S(AI1099:OFFSET(AI1099,$B$6-1,0))</f>
        <v>#DIV/0!</v>
      </c>
      <c r="AL1099" s="4" t="e">
        <f ca="1">SQRT($B$9)*_xlfn.STDEV.S(AI1099:OFFSET(AI1099,$B$7-1,0))</f>
        <v>#DIV/0!</v>
      </c>
      <c r="AM1099" s="4" t="e">
        <f ca="1">SQRT($B$9)*_xlfn.STDEV.S(AI1099:OFFSET(AI1099,$B$8-1,0))</f>
        <v>#DIV/0!</v>
      </c>
    </row>
    <row r="1100" spans="11:39" x14ac:dyDescent="0.2">
      <c r="K1100" s="3" t="e">
        <f t="shared" si="94"/>
        <v>#DIV/0!</v>
      </c>
      <c r="L1100" s="3" t="e">
        <f ca="1">SQRT(AVERAGE(K1100:OFFSET(K1100,$B$5-1,0))*$B$9/(4*LN(2)))</f>
        <v>#DIV/0!</v>
      </c>
      <c r="M1100" s="3" t="e">
        <f ca="1">SQRT(AVERAGE(K1100:OFFSET(K1100,$B$6-1,0))*$B$9/(4*LN(2)))</f>
        <v>#DIV/0!</v>
      </c>
      <c r="N1100" s="3" t="e">
        <f ca="1">SQRT(AVERAGE(K1100:OFFSET(K1100,$B$7-1,0))*$B$9/(4*LN(2)))</f>
        <v>#DIV/0!</v>
      </c>
      <c r="O1100" s="3" t="e">
        <f ca="1">SQRT(AVERAGE(K1100:OFFSET(K1100,$B$8-1,0))*$B$9/(4*LN(2)))</f>
        <v>#DIV/0!</v>
      </c>
      <c r="Q1100" s="5" t="e">
        <f t="shared" si="93"/>
        <v>#DIV/0!</v>
      </c>
      <c r="R1100" s="5" t="e">
        <f ca="1">SQRT($B$9*AVERAGE((Q1100:OFFSET(Q1100,$B$5-1,0))))</f>
        <v>#DIV/0!</v>
      </c>
      <c r="S1100" s="5" t="e">
        <f ca="1">SQRT($B$9*AVERAGE((Q1100:OFFSET(Q1100,$B$6-1,0))))</f>
        <v>#DIV/0!</v>
      </c>
      <c r="T1100" s="5" t="e">
        <f ca="1">SQRT($B$9*AVERAGE((Q1100:OFFSET(Q1100,$B$7-1,0))))</f>
        <v>#DIV/0!</v>
      </c>
      <c r="U1100" s="5" t="e">
        <f ca="1">SQRT($B$9*AVERAGE((Q1100:OFFSET(Q1100,$B$8-1,0))))</f>
        <v>#DIV/0!</v>
      </c>
      <c r="W1100" s="6" t="e">
        <f t="shared" si="92"/>
        <v>#DIV/0!</v>
      </c>
      <c r="X1100" s="6" t="e">
        <f ca="1">SQRT($B$9*AVERAGE(W1100:OFFSET(W1100,$B$5-1,0)))</f>
        <v>#DIV/0!</v>
      </c>
      <c r="Y1100" s="6" t="e">
        <f ca="1">SQRT($B$9*AVERAGE(W1100:OFFSET(W1100,$B$6-1,0)))</f>
        <v>#DIV/0!</v>
      </c>
      <c r="Z1100" s="6" t="e">
        <f ca="1">SQRT($B$9*AVERAGE(W1100:OFFSET(W1100,$B$7-1,0)))</f>
        <v>#DIV/0!</v>
      </c>
      <c r="AA1100" s="6" t="e">
        <f ca="1">SQRT($B$9*AVERAGE(W1100:OFFSET(W1100,$B$8-1,0)))</f>
        <v>#DIV/0!</v>
      </c>
      <c r="AC1100" s="34" t="e">
        <f t="shared" si="90"/>
        <v>#DIV/0!</v>
      </c>
      <c r="AD1100" s="34" t="e">
        <f ca="1">SQRT($B$9*SUM(AC1100:OFFSET(AC1100,$B$5-1,0))/($B$5-1))</f>
        <v>#DIV/0!</v>
      </c>
      <c r="AE1100" s="34" t="e">
        <f ca="1">SQRT($B$9*SUM(AC1100:OFFSET(AC1100,$B$6-1,0))/($B$6-1))</f>
        <v>#DIV/0!</v>
      </c>
      <c r="AF1100" s="34" t="e">
        <f ca="1">SQRT($B$9*SUM(AC1100:OFFSET(AC1100,$B$7-1,0))/($B$7-1))</f>
        <v>#DIV/0!</v>
      </c>
      <c r="AG1100" s="34" t="e">
        <f ca="1">SQRT($B$9*SUM(AC1100:OFFSET(AC1100,$B$8-1,0))/($B$8-1))</f>
        <v>#DIV/0!</v>
      </c>
      <c r="AI1100" s="1" t="e">
        <f t="shared" si="91"/>
        <v>#DIV/0!</v>
      </c>
      <c r="AJ1100" s="4" t="e">
        <f ca="1">SQRT($B$9)*_xlfn.STDEV.S(AI1100:OFFSET(AI1100,$B$5-1,0))</f>
        <v>#DIV/0!</v>
      </c>
      <c r="AK1100" s="4" t="e">
        <f ca="1">SQRT($B$9)*_xlfn.STDEV.S(AI1100:OFFSET(AI1100,$B$6-1,0))</f>
        <v>#DIV/0!</v>
      </c>
      <c r="AL1100" s="4" t="e">
        <f ca="1">SQRT($B$9)*_xlfn.STDEV.S(AI1100:OFFSET(AI1100,$B$7-1,0))</f>
        <v>#DIV/0!</v>
      </c>
      <c r="AM1100" s="4" t="e">
        <f ca="1">SQRT($B$9)*_xlfn.STDEV.S(AI1100:OFFSET(AI1100,$B$8-1,0))</f>
        <v>#DIV/0!</v>
      </c>
    </row>
    <row r="1101" spans="11:39" x14ac:dyDescent="0.2">
      <c r="K1101" s="3" t="e">
        <f t="shared" si="94"/>
        <v>#DIV/0!</v>
      </c>
      <c r="L1101" s="3" t="e">
        <f ca="1">SQRT(AVERAGE(K1101:OFFSET(K1101,$B$5-1,0))*$B$9/(4*LN(2)))</f>
        <v>#DIV/0!</v>
      </c>
      <c r="M1101" s="3" t="e">
        <f ca="1">SQRT(AVERAGE(K1101:OFFSET(K1101,$B$6-1,0))*$B$9/(4*LN(2)))</f>
        <v>#DIV/0!</v>
      </c>
      <c r="N1101" s="3" t="e">
        <f ca="1">SQRT(AVERAGE(K1101:OFFSET(K1101,$B$7-1,0))*$B$9/(4*LN(2)))</f>
        <v>#DIV/0!</v>
      </c>
      <c r="O1101" s="3" t="e">
        <f ca="1">SQRT(AVERAGE(K1101:OFFSET(K1101,$B$8-1,0))*$B$9/(4*LN(2)))</f>
        <v>#DIV/0!</v>
      </c>
      <c r="Q1101" s="5" t="e">
        <f t="shared" si="93"/>
        <v>#DIV/0!</v>
      </c>
      <c r="R1101" s="5" t="e">
        <f ca="1">SQRT($B$9*AVERAGE((Q1101:OFFSET(Q1101,$B$5-1,0))))</f>
        <v>#DIV/0!</v>
      </c>
      <c r="S1101" s="5" t="e">
        <f ca="1">SQRT($B$9*AVERAGE((Q1101:OFFSET(Q1101,$B$6-1,0))))</f>
        <v>#DIV/0!</v>
      </c>
      <c r="T1101" s="5" t="e">
        <f ca="1">SQRT($B$9*AVERAGE((Q1101:OFFSET(Q1101,$B$7-1,0))))</f>
        <v>#DIV/0!</v>
      </c>
      <c r="U1101" s="5" t="e">
        <f ca="1">SQRT($B$9*AVERAGE((Q1101:OFFSET(Q1101,$B$8-1,0))))</f>
        <v>#DIV/0!</v>
      </c>
      <c r="W1101" s="6" t="e">
        <f t="shared" si="92"/>
        <v>#DIV/0!</v>
      </c>
      <c r="X1101" s="6" t="e">
        <f ca="1">SQRT($B$9*AVERAGE(W1101:OFFSET(W1101,$B$5-1,0)))</f>
        <v>#DIV/0!</v>
      </c>
      <c r="Y1101" s="6" t="e">
        <f ca="1">SQRT($B$9*AVERAGE(W1101:OFFSET(W1101,$B$6-1,0)))</f>
        <v>#DIV/0!</v>
      </c>
      <c r="Z1101" s="6" t="e">
        <f ca="1">SQRT($B$9*AVERAGE(W1101:OFFSET(W1101,$B$7-1,0)))</f>
        <v>#DIV/0!</v>
      </c>
      <c r="AA1101" s="6" t="e">
        <f ca="1">SQRT($B$9*AVERAGE(W1101:OFFSET(W1101,$B$8-1,0)))</f>
        <v>#DIV/0!</v>
      </c>
      <c r="AC1101" s="34" t="e">
        <f t="shared" si="90"/>
        <v>#DIV/0!</v>
      </c>
      <c r="AD1101" s="34" t="e">
        <f ca="1">SQRT($B$9*SUM(AC1101:OFFSET(AC1101,$B$5-1,0))/($B$5-1))</f>
        <v>#DIV/0!</v>
      </c>
      <c r="AE1101" s="34" t="e">
        <f ca="1">SQRT($B$9*SUM(AC1101:OFFSET(AC1101,$B$6-1,0))/($B$6-1))</f>
        <v>#DIV/0!</v>
      </c>
      <c r="AF1101" s="34" t="e">
        <f ca="1">SQRT($B$9*SUM(AC1101:OFFSET(AC1101,$B$7-1,0))/($B$7-1))</f>
        <v>#DIV/0!</v>
      </c>
      <c r="AG1101" s="34" t="e">
        <f ca="1">SQRT($B$9*SUM(AC1101:OFFSET(AC1101,$B$8-1,0))/($B$8-1))</f>
        <v>#DIV/0!</v>
      </c>
      <c r="AI1101" s="1" t="e">
        <f t="shared" si="91"/>
        <v>#DIV/0!</v>
      </c>
      <c r="AJ1101" s="4" t="e">
        <f ca="1">SQRT($B$9)*_xlfn.STDEV.S(AI1101:OFFSET(AI1101,$B$5-1,0))</f>
        <v>#DIV/0!</v>
      </c>
      <c r="AK1101" s="4" t="e">
        <f ca="1">SQRT($B$9)*_xlfn.STDEV.S(AI1101:OFFSET(AI1101,$B$6-1,0))</f>
        <v>#DIV/0!</v>
      </c>
      <c r="AL1101" s="4" t="e">
        <f ca="1">SQRT($B$9)*_xlfn.STDEV.S(AI1101:OFFSET(AI1101,$B$7-1,0))</f>
        <v>#DIV/0!</v>
      </c>
      <c r="AM1101" s="4" t="e">
        <f ca="1">SQRT($B$9)*_xlfn.STDEV.S(AI1101:OFFSET(AI1101,$B$8-1,0))</f>
        <v>#DIV/0!</v>
      </c>
    </row>
    <row r="1102" spans="11:39" x14ac:dyDescent="0.2">
      <c r="K1102" s="3" t="e">
        <f t="shared" si="94"/>
        <v>#DIV/0!</v>
      </c>
      <c r="L1102" s="3" t="e">
        <f ca="1">SQRT(AVERAGE(K1102:OFFSET(K1102,$B$5-1,0))*$B$9/(4*LN(2)))</f>
        <v>#DIV/0!</v>
      </c>
      <c r="M1102" s="3" t="e">
        <f ca="1">SQRT(AVERAGE(K1102:OFFSET(K1102,$B$6-1,0))*$B$9/(4*LN(2)))</f>
        <v>#DIV/0!</v>
      </c>
      <c r="N1102" s="3" t="e">
        <f ca="1">SQRT(AVERAGE(K1102:OFFSET(K1102,$B$7-1,0))*$B$9/(4*LN(2)))</f>
        <v>#DIV/0!</v>
      </c>
      <c r="O1102" s="3" t="e">
        <f ca="1">SQRT(AVERAGE(K1102:OFFSET(K1102,$B$8-1,0))*$B$9/(4*LN(2)))</f>
        <v>#DIV/0!</v>
      </c>
      <c r="Q1102" s="5" t="e">
        <f t="shared" si="93"/>
        <v>#DIV/0!</v>
      </c>
      <c r="R1102" s="5" t="e">
        <f ca="1">SQRT($B$9*AVERAGE((Q1102:OFFSET(Q1102,$B$5-1,0))))</f>
        <v>#DIV/0!</v>
      </c>
      <c r="S1102" s="5" t="e">
        <f ca="1">SQRT($B$9*AVERAGE((Q1102:OFFSET(Q1102,$B$6-1,0))))</f>
        <v>#DIV/0!</v>
      </c>
      <c r="T1102" s="5" t="e">
        <f ca="1">SQRT($B$9*AVERAGE((Q1102:OFFSET(Q1102,$B$7-1,0))))</f>
        <v>#DIV/0!</v>
      </c>
      <c r="U1102" s="5" t="e">
        <f ca="1">SQRT($B$9*AVERAGE((Q1102:OFFSET(Q1102,$B$8-1,0))))</f>
        <v>#DIV/0!</v>
      </c>
      <c r="W1102" s="6" t="e">
        <f t="shared" si="92"/>
        <v>#DIV/0!</v>
      </c>
      <c r="X1102" s="6" t="e">
        <f ca="1">SQRT($B$9*AVERAGE(W1102:OFFSET(W1102,$B$5-1,0)))</f>
        <v>#DIV/0!</v>
      </c>
      <c r="Y1102" s="6" t="e">
        <f ca="1">SQRT($B$9*AVERAGE(W1102:OFFSET(W1102,$B$6-1,0)))</f>
        <v>#DIV/0!</v>
      </c>
      <c r="Z1102" s="6" t="e">
        <f ca="1">SQRT($B$9*AVERAGE(W1102:OFFSET(W1102,$B$7-1,0)))</f>
        <v>#DIV/0!</v>
      </c>
      <c r="AA1102" s="6" t="e">
        <f ca="1">SQRT($B$9*AVERAGE(W1102:OFFSET(W1102,$B$8-1,0)))</f>
        <v>#DIV/0!</v>
      </c>
      <c r="AC1102" s="34" t="e">
        <f t="shared" si="90"/>
        <v>#DIV/0!</v>
      </c>
      <c r="AD1102" s="34" t="e">
        <f ca="1">SQRT($B$9*SUM(AC1102:OFFSET(AC1102,$B$5-1,0))/($B$5-1))</f>
        <v>#DIV/0!</v>
      </c>
      <c r="AE1102" s="34" t="e">
        <f ca="1">SQRT($B$9*SUM(AC1102:OFFSET(AC1102,$B$6-1,0))/($B$6-1))</f>
        <v>#DIV/0!</v>
      </c>
      <c r="AF1102" s="34" t="e">
        <f ca="1">SQRT($B$9*SUM(AC1102:OFFSET(AC1102,$B$7-1,0))/($B$7-1))</f>
        <v>#DIV/0!</v>
      </c>
      <c r="AG1102" s="34" t="e">
        <f ca="1">SQRT($B$9*SUM(AC1102:OFFSET(AC1102,$B$8-1,0))/($B$8-1))</f>
        <v>#DIV/0!</v>
      </c>
      <c r="AI1102" s="1" t="e">
        <f t="shared" si="91"/>
        <v>#DIV/0!</v>
      </c>
      <c r="AJ1102" s="4" t="e">
        <f ca="1">SQRT($B$9)*_xlfn.STDEV.S(AI1102:OFFSET(AI1102,$B$5-1,0))</f>
        <v>#DIV/0!</v>
      </c>
      <c r="AK1102" s="4" t="e">
        <f ca="1">SQRT($B$9)*_xlfn.STDEV.S(AI1102:OFFSET(AI1102,$B$6-1,0))</f>
        <v>#DIV/0!</v>
      </c>
      <c r="AL1102" s="4" t="e">
        <f ca="1">SQRT($B$9)*_xlfn.STDEV.S(AI1102:OFFSET(AI1102,$B$7-1,0))</f>
        <v>#DIV/0!</v>
      </c>
      <c r="AM1102" s="4" t="e">
        <f ca="1">SQRT($B$9)*_xlfn.STDEV.S(AI1102:OFFSET(AI1102,$B$8-1,0))</f>
        <v>#DIV/0!</v>
      </c>
    </row>
    <row r="1103" spans="11:39" x14ac:dyDescent="0.2">
      <c r="K1103" s="3" t="e">
        <f t="shared" si="94"/>
        <v>#DIV/0!</v>
      </c>
      <c r="L1103" s="3" t="e">
        <f ca="1">SQRT(AVERAGE(K1103:OFFSET(K1103,$B$5-1,0))*$B$9/(4*LN(2)))</f>
        <v>#DIV/0!</v>
      </c>
      <c r="M1103" s="3" t="e">
        <f ca="1">SQRT(AVERAGE(K1103:OFFSET(K1103,$B$6-1,0))*$B$9/(4*LN(2)))</f>
        <v>#DIV/0!</v>
      </c>
      <c r="N1103" s="3" t="e">
        <f ca="1">SQRT(AVERAGE(K1103:OFFSET(K1103,$B$7-1,0))*$B$9/(4*LN(2)))</f>
        <v>#DIV/0!</v>
      </c>
      <c r="O1103" s="3" t="e">
        <f ca="1">SQRT(AVERAGE(K1103:OFFSET(K1103,$B$8-1,0))*$B$9/(4*LN(2)))</f>
        <v>#DIV/0!</v>
      </c>
      <c r="Q1103" s="5" t="e">
        <f t="shared" si="93"/>
        <v>#DIV/0!</v>
      </c>
      <c r="R1103" s="5" t="e">
        <f ca="1">SQRT($B$9*AVERAGE((Q1103:OFFSET(Q1103,$B$5-1,0))))</f>
        <v>#DIV/0!</v>
      </c>
      <c r="S1103" s="5" t="e">
        <f ca="1">SQRT($B$9*AVERAGE((Q1103:OFFSET(Q1103,$B$6-1,0))))</f>
        <v>#DIV/0!</v>
      </c>
      <c r="T1103" s="5" t="e">
        <f ca="1">SQRT($B$9*AVERAGE((Q1103:OFFSET(Q1103,$B$7-1,0))))</f>
        <v>#DIV/0!</v>
      </c>
      <c r="U1103" s="5" t="e">
        <f ca="1">SQRT($B$9*AVERAGE((Q1103:OFFSET(Q1103,$B$8-1,0))))</f>
        <v>#DIV/0!</v>
      </c>
      <c r="W1103" s="6" t="e">
        <f t="shared" si="92"/>
        <v>#DIV/0!</v>
      </c>
      <c r="X1103" s="6" t="e">
        <f ca="1">SQRT($B$9*AVERAGE(W1103:OFFSET(W1103,$B$5-1,0)))</f>
        <v>#DIV/0!</v>
      </c>
      <c r="Y1103" s="6" t="e">
        <f ca="1">SQRT($B$9*AVERAGE(W1103:OFFSET(W1103,$B$6-1,0)))</f>
        <v>#DIV/0!</v>
      </c>
      <c r="Z1103" s="6" t="e">
        <f ca="1">SQRT($B$9*AVERAGE(W1103:OFFSET(W1103,$B$7-1,0)))</f>
        <v>#DIV/0!</v>
      </c>
      <c r="AA1103" s="6" t="e">
        <f ca="1">SQRT($B$9*AVERAGE(W1103:OFFSET(W1103,$B$8-1,0)))</f>
        <v>#DIV/0!</v>
      </c>
      <c r="AC1103" s="34" t="e">
        <f t="shared" si="90"/>
        <v>#DIV/0!</v>
      </c>
      <c r="AD1103" s="34" t="e">
        <f ca="1">SQRT($B$9*SUM(AC1103:OFFSET(AC1103,$B$5-1,0))/($B$5-1))</f>
        <v>#DIV/0!</v>
      </c>
      <c r="AE1103" s="34" t="e">
        <f ca="1">SQRT($B$9*SUM(AC1103:OFFSET(AC1103,$B$6-1,0))/($B$6-1))</f>
        <v>#DIV/0!</v>
      </c>
      <c r="AF1103" s="34" t="e">
        <f ca="1">SQRT($B$9*SUM(AC1103:OFFSET(AC1103,$B$7-1,0))/($B$7-1))</f>
        <v>#DIV/0!</v>
      </c>
      <c r="AG1103" s="34" t="e">
        <f ca="1">SQRT($B$9*SUM(AC1103:OFFSET(AC1103,$B$8-1,0))/($B$8-1))</f>
        <v>#DIV/0!</v>
      </c>
      <c r="AI1103" s="1" t="e">
        <f t="shared" si="91"/>
        <v>#DIV/0!</v>
      </c>
      <c r="AJ1103" s="4" t="e">
        <f ca="1">SQRT($B$9)*_xlfn.STDEV.S(AI1103:OFFSET(AI1103,$B$5-1,0))</f>
        <v>#DIV/0!</v>
      </c>
      <c r="AK1103" s="4" t="e">
        <f ca="1">SQRT($B$9)*_xlfn.STDEV.S(AI1103:OFFSET(AI1103,$B$6-1,0))</f>
        <v>#DIV/0!</v>
      </c>
      <c r="AL1103" s="4" t="e">
        <f ca="1">SQRT($B$9)*_xlfn.STDEV.S(AI1103:OFFSET(AI1103,$B$7-1,0))</f>
        <v>#DIV/0!</v>
      </c>
      <c r="AM1103" s="4" t="e">
        <f ca="1">SQRT($B$9)*_xlfn.STDEV.S(AI1103:OFFSET(AI1103,$B$8-1,0))</f>
        <v>#DIV/0!</v>
      </c>
    </row>
    <row r="1104" spans="11:39" x14ac:dyDescent="0.2">
      <c r="K1104" s="3" t="e">
        <f t="shared" si="94"/>
        <v>#DIV/0!</v>
      </c>
      <c r="L1104" s="3" t="e">
        <f ca="1">SQRT(AVERAGE(K1104:OFFSET(K1104,$B$5-1,0))*$B$9/(4*LN(2)))</f>
        <v>#DIV/0!</v>
      </c>
      <c r="M1104" s="3" t="e">
        <f ca="1">SQRT(AVERAGE(K1104:OFFSET(K1104,$B$6-1,0))*$B$9/(4*LN(2)))</f>
        <v>#DIV/0!</v>
      </c>
      <c r="N1104" s="3" t="e">
        <f ca="1">SQRT(AVERAGE(K1104:OFFSET(K1104,$B$7-1,0))*$B$9/(4*LN(2)))</f>
        <v>#DIV/0!</v>
      </c>
      <c r="O1104" s="3" t="e">
        <f ca="1">SQRT(AVERAGE(K1104:OFFSET(K1104,$B$8-1,0))*$B$9/(4*LN(2)))</f>
        <v>#DIV/0!</v>
      </c>
      <c r="Q1104" s="5" t="e">
        <f t="shared" si="93"/>
        <v>#DIV/0!</v>
      </c>
      <c r="R1104" s="5" t="e">
        <f ca="1">SQRT($B$9*AVERAGE((Q1104:OFFSET(Q1104,$B$5-1,0))))</f>
        <v>#DIV/0!</v>
      </c>
      <c r="S1104" s="5" t="e">
        <f ca="1">SQRT($B$9*AVERAGE((Q1104:OFFSET(Q1104,$B$6-1,0))))</f>
        <v>#DIV/0!</v>
      </c>
      <c r="T1104" s="5" t="e">
        <f ca="1">SQRT($B$9*AVERAGE((Q1104:OFFSET(Q1104,$B$7-1,0))))</f>
        <v>#DIV/0!</v>
      </c>
      <c r="U1104" s="5" t="e">
        <f ca="1">SQRT($B$9*AVERAGE((Q1104:OFFSET(Q1104,$B$8-1,0))))</f>
        <v>#DIV/0!</v>
      </c>
      <c r="W1104" s="6" t="e">
        <f t="shared" si="92"/>
        <v>#DIV/0!</v>
      </c>
      <c r="X1104" s="6" t="e">
        <f ca="1">SQRT($B$9*AVERAGE(W1104:OFFSET(W1104,$B$5-1,0)))</f>
        <v>#DIV/0!</v>
      </c>
      <c r="Y1104" s="6" t="e">
        <f ca="1">SQRT($B$9*AVERAGE(W1104:OFFSET(W1104,$B$6-1,0)))</f>
        <v>#DIV/0!</v>
      </c>
      <c r="Z1104" s="6" t="e">
        <f ca="1">SQRT($B$9*AVERAGE(W1104:OFFSET(W1104,$B$7-1,0)))</f>
        <v>#DIV/0!</v>
      </c>
      <c r="AA1104" s="6" t="e">
        <f ca="1">SQRT($B$9*AVERAGE(W1104:OFFSET(W1104,$B$8-1,0)))</f>
        <v>#DIV/0!</v>
      </c>
      <c r="AC1104" s="34" t="e">
        <f t="shared" si="90"/>
        <v>#DIV/0!</v>
      </c>
      <c r="AD1104" s="34" t="e">
        <f ca="1">SQRT($B$9*SUM(AC1104:OFFSET(AC1104,$B$5-1,0))/($B$5-1))</f>
        <v>#DIV/0!</v>
      </c>
      <c r="AE1104" s="34" t="e">
        <f ca="1">SQRT($B$9*SUM(AC1104:OFFSET(AC1104,$B$6-1,0))/($B$6-1))</f>
        <v>#DIV/0!</v>
      </c>
      <c r="AF1104" s="34" t="e">
        <f ca="1">SQRT($B$9*SUM(AC1104:OFFSET(AC1104,$B$7-1,0))/($B$7-1))</f>
        <v>#DIV/0!</v>
      </c>
      <c r="AG1104" s="34" t="e">
        <f ca="1">SQRT($B$9*SUM(AC1104:OFFSET(AC1104,$B$8-1,0))/($B$8-1))</f>
        <v>#DIV/0!</v>
      </c>
      <c r="AI1104" s="1" t="e">
        <f t="shared" si="91"/>
        <v>#DIV/0!</v>
      </c>
      <c r="AJ1104" s="4" t="e">
        <f ca="1">SQRT($B$9)*_xlfn.STDEV.S(AI1104:OFFSET(AI1104,$B$5-1,0))</f>
        <v>#DIV/0!</v>
      </c>
      <c r="AK1104" s="4" t="e">
        <f ca="1">SQRT($B$9)*_xlfn.STDEV.S(AI1104:OFFSET(AI1104,$B$6-1,0))</f>
        <v>#DIV/0!</v>
      </c>
      <c r="AL1104" s="4" t="e">
        <f ca="1">SQRT($B$9)*_xlfn.STDEV.S(AI1104:OFFSET(AI1104,$B$7-1,0))</f>
        <v>#DIV/0!</v>
      </c>
      <c r="AM1104" s="4" t="e">
        <f ca="1">SQRT($B$9)*_xlfn.STDEV.S(AI1104:OFFSET(AI1104,$B$8-1,0))</f>
        <v>#DIV/0!</v>
      </c>
    </row>
    <row r="1105" spans="11:39" x14ac:dyDescent="0.2">
      <c r="K1105" s="3" t="e">
        <f t="shared" si="94"/>
        <v>#DIV/0!</v>
      </c>
      <c r="L1105" s="3" t="e">
        <f ca="1">SQRT(AVERAGE(K1105:OFFSET(K1105,$B$5-1,0))*$B$9/(4*LN(2)))</f>
        <v>#DIV/0!</v>
      </c>
      <c r="M1105" s="3" t="e">
        <f ca="1">SQRT(AVERAGE(K1105:OFFSET(K1105,$B$6-1,0))*$B$9/(4*LN(2)))</f>
        <v>#DIV/0!</v>
      </c>
      <c r="N1105" s="3" t="e">
        <f ca="1">SQRT(AVERAGE(K1105:OFFSET(K1105,$B$7-1,0))*$B$9/(4*LN(2)))</f>
        <v>#DIV/0!</v>
      </c>
      <c r="O1105" s="3" t="e">
        <f ca="1">SQRT(AVERAGE(K1105:OFFSET(K1105,$B$8-1,0))*$B$9/(4*LN(2)))</f>
        <v>#DIV/0!</v>
      </c>
      <c r="Q1105" s="5" t="e">
        <f t="shared" si="93"/>
        <v>#DIV/0!</v>
      </c>
      <c r="R1105" s="5" t="e">
        <f ca="1">SQRT($B$9*AVERAGE((Q1105:OFFSET(Q1105,$B$5-1,0))))</f>
        <v>#DIV/0!</v>
      </c>
      <c r="S1105" s="5" t="e">
        <f ca="1">SQRT($B$9*AVERAGE((Q1105:OFFSET(Q1105,$B$6-1,0))))</f>
        <v>#DIV/0!</v>
      </c>
      <c r="T1105" s="5" t="e">
        <f ca="1">SQRT($B$9*AVERAGE((Q1105:OFFSET(Q1105,$B$7-1,0))))</f>
        <v>#DIV/0!</v>
      </c>
      <c r="U1105" s="5" t="e">
        <f ca="1">SQRT($B$9*AVERAGE((Q1105:OFFSET(Q1105,$B$8-1,0))))</f>
        <v>#DIV/0!</v>
      </c>
      <c r="W1105" s="6" t="e">
        <f t="shared" si="92"/>
        <v>#DIV/0!</v>
      </c>
      <c r="X1105" s="6" t="e">
        <f ca="1">SQRT($B$9*AVERAGE(W1105:OFFSET(W1105,$B$5-1,0)))</f>
        <v>#DIV/0!</v>
      </c>
      <c r="Y1105" s="6" t="e">
        <f ca="1">SQRT($B$9*AVERAGE(W1105:OFFSET(W1105,$B$6-1,0)))</f>
        <v>#DIV/0!</v>
      </c>
      <c r="Z1105" s="6" t="e">
        <f ca="1">SQRT($B$9*AVERAGE(W1105:OFFSET(W1105,$B$7-1,0)))</f>
        <v>#DIV/0!</v>
      </c>
      <c r="AA1105" s="6" t="e">
        <f ca="1">SQRT($B$9*AVERAGE(W1105:OFFSET(W1105,$B$8-1,0)))</f>
        <v>#DIV/0!</v>
      </c>
      <c r="AC1105" s="34" t="e">
        <f t="shared" ref="AC1105:AC1168" si="95">(LN(I1105/I1106))^2</f>
        <v>#DIV/0!</v>
      </c>
      <c r="AD1105" s="34" t="e">
        <f ca="1">SQRT($B$9*SUM(AC1105:OFFSET(AC1105,$B$5-1,0))/($B$5-1))</f>
        <v>#DIV/0!</v>
      </c>
      <c r="AE1105" s="34" t="e">
        <f ca="1">SQRT($B$9*SUM(AC1105:OFFSET(AC1105,$B$6-1,0))/($B$6-1))</f>
        <v>#DIV/0!</v>
      </c>
      <c r="AF1105" s="34" t="e">
        <f ca="1">SQRT($B$9*SUM(AC1105:OFFSET(AC1105,$B$7-1,0))/($B$7-1))</f>
        <v>#DIV/0!</v>
      </c>
      <c r="AG1105" s="34" t="e">
        <f ca="1">SQRT($B$9*SUM(AC1105:OFFSET(AC1105,$B$8-1,0))/($B$8-1))</f>
        <v>#DIV/0!</v>
      </c>
      <c r="AI1105" s="1" t="e">
        <f t="shared" si="91"/>
        <v>#DIV/0!</v>
      </c>
      <c r="AJ1105" s="4" t="e">
        <f ca="1">SQRT($B$9)*_xlfn.STDEV.S(AI1105:OFFSET(AI1105,$B$5-1,0))</f>
        <v>#DIV/0!</v>
      </c>
      <c r="AK1105" s="4" t="e">
        <f ca="1">SQRT($B$9)*_xlfn.STDEV.S(AI1105:OFFSET(AI1105,$B$6-1,0))</f>
        <v>#DIV/0!</v>
      </c>
      <c r="AL1105" s="4" t="e">
        <f ca="1">SQRT($B$9)*_xlfn.STDEV.S(AI1105:OFFSET(AI1105,$B$7-1,0))</f>
        <v>#DIV/0!</v>
      </c>
      <c r="AM1105" s="4" t="e">
        <f ca="1">SQRT($B$9)*_xlfn.STDEV.S(AI1105:OFFSET(AI1105,$B$8-1,0))</f>
        <v>#DIV/0!</v>
      </c>
    </row>
    <row r="1106" spans="11:39" x14ac:dyDescent="0.2">
      <c r="K1106" s="3" t="e">
        <f t="shared" si="94"/>
        <v>#DIV/0!</v>
      </c>
      <c r="L1106" s="3" t="e">
        <f ca="1">SQRT(AVERAGE(K1106:OFFSET(K1106,$B$5-1,0))*$B$9/(4*LN(2)))</f>
        <v>#DIV/0!</v>
      </c>
      <c r="M1106" s="3" t="e">
        <f ca="1">SQRT(AVERAGE(K1106:OFFSET(K1106,$B$6-1,0))*$B$9/(4*LN(2)))</f>
        <v>#DIV/0!</v>
      </c>
      <c r="N1106" s="3" t="e">
        <f ca="1">SQRT(AVERAGE(K1106:OFFSET(K1106,$B$7-1,0))*$B$9/(4*LN(2)))</f>
        <v>#DIV/0!</v>
      </c>
      <c r="O1106" s="3" t="e">
        <f ca="1">SQRT(AVERAGE(K1106:OFFSET(K1106,$B$8-1,0))*$B$9/(4*LN(2)))</f>
        <v>#DIV/0!</v>
      </c>
      <c r="Q1106" s="5" t="e">
        <f t="shared" si="93"/>
        <v>#DIV/0!</v>
      </c>
      <c r="R1106" s="5" t="e">
        <f ca="1">SQRT($B$9*AVERAGE((Q1106:OFFSET(Q1106,$B$5-1,0))))</f>
        <v>#DIV/0!</v>
      </c>
      <c r="S1106" s="5" t="e">
        <f ca="1">SQRT($B$9*AVERAGE((Q1106:OFFSET(Q1106,$B$6-1,0))))</f>
        <v>#DIV/0!</v>
      </c>
      <c r="T1106" s="5" t="e">
        <f ca="1">SQRT($B$9*AVERAGE((Q1106:OFFSET(Q1106,$B$7-1,0))))</f>
        <v>#DIV/0!</v>
      </c>
      <c r="U1106" s="5" t="e">
        <f ca="1">SQRT($B$9*AVERAGE((Q1106:OFFSET(Q1106,$B$8-1,0))))</f>
        <v>#DIV/0!</v>
      </c>
      <c r="W1106" s="6" t="e">
        <f t="shared" si="92"/>
        <v>#DIV/0!</v>
      </c>
      <c r="X1106" s="6" t="e">
        <f ca="1">SQRT($B$9*AVERAGE(W1106:OFFSET(W1106,$B$5-1,0)))</f>
        <v>#DIV/0!</v>
      </c>
      <c r="Y1106" s="6" t="e">
        <f ca="1">SQRT($B$9*AVERAGE(W1106:OFFSET(W1106,$B$6-1,0)))</f>
        <v>#DIV/0!</v>
      </c>
      <c r="Z1106" s="6" t="e">
        <f ca="1">SQRT($B$9*AVERAGE(W1106:OFFSET(W1106,$B$7-1,0)))</f>
        <v>#DIV/0!</v>
      </c>
      <c r="AA1106" s="6" t="e">
        <f ca="1">SQRT($B$9*AVERAGE(W1106:OFFSET(W1106,$B$8-1,0)))</f>
        <v>#DIV/0!</v>
      </c>
      <c r="AC1106" s="34" t="e">
        <f t="shared" si="95"/>
        <v>#DIV/0!</v>
      </c>
      <c r="AD1106" s="34" t="e">
        <f ca="1">SQRT($B$9*SUM(AC1106:OFFSET(AC1106,$B$5-1,0))/($B$5-1))</f>
        <v>#DIV/0!</v>
      </c>
      <c r="AE1106" s="34" t="e">
        <f ca="1">SQRT($B$9*SUM(AC1106:OFFSET(AC1106,$B$6-1,0))/($B$6-1))</f>
        <v>#DIV/0!</v>
      </c>
      <c r="AF1106" s="34" t="e">
        <f ca="1">SQRT($B$9*SUM(AC1106:OFFSET(AC1106,$B$7-1,0))/($B$7-1))</f>
        <v>#DIV/0!</v>
      </c>
      <c r="AG1106" s="34" t="e">
        <f ca="1">SQRT($B$9*SUM(AC1106:OFFSET(AC1106,$B$8-1,0))/($B$8-1))</f>
        <v>#DIV/0!</v>
      </c>
      <c r="AI1106" s="1" t="e">
        <f t="shared" si="91"/>
        <v>#DIV/0!</v>
      </c>
      <c r="AJ1106" s="4" t="e">
        <f ca="1">SQRT($B$9)*_xlfn.STDEV.S(AI1106:OFFSET(AI1106,$B$5-1,0))</f>
        <v>#DIV/0!</v>
      </c>
      <c r="AK1106" s="4" t="e">
        <f ca="1">SQRT($B$9)*_xlfn.STDEV.S(AI1106:OFFSET(AI1106,$B$6-1,0))</f>
        <v>#DIV/0!</v>
      </c>
      <c r="AL1106" s="4" t="e">
        <f ca="1">SQRT($B$9)*_xlfn.STDEV.S(AI1106:OFFSET(AI1106,$B$7-1,0))</f>
        <v>#DIV/0!</v>
      </c>
      <c r="AM1106" s="4" t="e">
        <f ca="1">SQRT($B$9)*_xlfn.STDEV.S(AI1106:OFFSET(AI1106,$B$8-1,0))</f>
        <v>#DIV/0!</v>
      </c>
    </row>
    <row r="1107" spans="11:39" x14ac:dyDescent="0.2">
      <c r="K1107" s="3" t="e">
        <f t="shared" si="94"/>
        <v>#DIV/0!</v>
      </c>
      <c r="L1107" s="3" t="e">
        <f ca="1">SQRT(AVERAGE(K1107:OFFSET(K1107,$B$5-1,0))*$B$9/(4*LN(2)))</f>
        <v>#DIV/0!</v>
      </c>
      <c r="M1107" s="3" t="e">
        <f ca="1">SQRT(AVERAGE(K1107:OFFSET(K1107,$B$6-1,0))*$B$9/(4*LN(2)))</f>
        <v>#DIV/0!</v>
      </c>
      <c r="N1107" s="3" t="e">
        <f ca="1">SQRT(AVERAGE(K1107:OFFSET(K1107,$B$7-1,0))*$B$9/(4*LN(2)))</f>
        <v>#DIV/0!</v>
      </c>
      <c r="O1107" s="3" t="e">
        <f ca="1">SQRT(AVERAGE(K1107:OFFSET(K1107,$B$8-1,0))*$B$9/(4*LN(2)))</f>
        <v>#DIV/0!</v>
      </c>
      <c r="Q1107" s="5" t="e">
        <f t="shared" si="93"/>
        <v>#DIV/0!</v>
      </c>
      <c r="R1107" s="5" t="e">
        <f ca="1">SQRT($B$9*AVERAGE((Q1107:OFFSET(Q1107,$B$5-1,0))))</f>
        <v>#DIV/0!</v>
      </c>
      <c r="S1107" s="5" t="e">
        <f ca="1">SQRT($B$9*AVERAGE((Q1107:OFFSET(Q1107,$B$6-1,0))))</f>
        <v>#DIV/0!</v>
      </c>
      <c r="T1107" s="5" t="e">
        <f ca="1">SQRT($B$9*AVERAGE((Q1107:OFFSET(Q1107,$B$7-1,0))))</f>
        <v>#DIV/0!</v>
      </c>
      <c r="U1107" s="5" t="e">
        <f ca="1">SQRT($B$9*AVERAGE((Q1107:OFFSET(Q1107,$B$8-1,0))))</f>
        <v>#DIV/0!</v>
      </c>
      <c r="W1107" s="6" t="e">
        <f t="shared" si="92"/>
        <v>#DIV/0!</v>
      </c>
      <c r="X1107" s="6" t="e">
        <f ca="1">SQRT($B$9*AVERAGE(W1107:OFFSET(W1107,$B$5-1,0)))</f>
        <v>#DIV/0!</v>
      </c>
      <c r="Y1107" s="6" t="e">
        <f ca="1">SQRT($B$9*AVERAGE(W1107:OFFSET(W1107,$B$6-1,0)))</f>
        <v>#DIV/0!</v>
      </c>
      <c r="Z1107" s="6" t="e">
        <f ca="1">SQRT($B$9*AVERAGE(W1107:OFFSET(W1107,$B$7-1,0)))</f>
        <v>#DIV/0!</v>
      </c>
      <c r="AA1107" s="6" t="e">
        <f ca="1">SQRT($B$9*AVERAGE(W1107:OFFSET(W1107,$B$8-1,0)))</f>
        <v>#DIV/0!</v>
      </c>
      <c r="AC1107" s="34" t="e">
        <f t="shared" si="95"/>
        <v>#DIV/0!</v>
      </c>
      <c r="AD1107" s="34" t="e">
        <f ca="1">SQRT($B$9*SUM(AC1107:OFFSET(AC1107,$B$5-1,0))/($B$5-1))</f>
        <v>#DIV/0!</v>
      </c>
      <c r="AE1107" s="34" t="e">
        <f ca="1">SQRT($B$9*SUM(AC1107:OFFSET(AC1107,$B$6-1,0))/($B$6-1))</f>
        <v>#DIV/0!</v>
      </c>
      <c r="AF1107" s="34" t="e">
        <f ca="1">SQRT($B$9*SUM(AC1107:OFFSET(AC1107,$B$7-1,0))/($B$7-1))</f>
        <v>#DIV/0!</v>
      </c>
      <c r="AG1107" s="34" t="e">
        <f ca="1">SQRT($B$9*SUM(AC1107:OFFSET(AC1107,$B$8-1,0))/($B$8-1))</f>
        <v>#DIV/0!</v>
      </c>
      <c r="AI1107" s="1" t="e">
        <f t="shared" ref="AI1107:AI1170" si="96">LN(I1107/I1108)</f>
        <v>#DIV/0!</v>
      </c>
      <c r="AJ1107" s="4" t="e">
        <f ca="1">SQRT($B$9)*_xlfn.STDEV.S(AI1107:OFFSET(AI1107,$B$5-1,0))</f>
        <v>#DIV/0!</v>
      </c>
      <c r="AK1107" s="4" t="e">
        <f ca="1">SQRT($B$9)*_xlfn.STDEV.S(AI1107:OFFSET(AI1107,$B$6-1,0))</f>
        <v>#DIV/0!</v>
      </c>
      <c r="AL1107" s="4" t="e">
        <f ca="1">SQRT($B$9)*_xlfn.STDEV.S(AI1107:OFFSET(AI1107,$B$7-1,0))</f>
        <v>#DIV/0!</v>
      </c>
      <c r="AM1107" s="4" t="e">
        <f ca="1">SQRT($B$9)*_xlfn.STDEV.S(AI1107:OFFSET(AI1107,$B$8-1,0))</f>
        <v>#DIV/0!</v>
      </c>
    </row>
    <row r="1108" spans="11:39" x14ac:dyDescent="0.2">
      <c r="K1108" s="3" t="e">
        <f t="shared" si="94"/>
        <v>#DIV/0!</v>
      </c>
      <c r="L1108" s="3" t="e">
        <f ca="1">SQRT(AVERAGE(K1108:OFFSET(K1108,$B$5-1,0))*$B$9/(4*LN(2)))</f>
        <v>#DIV/0!</v>
      </c>
      <c r="M1108" s="3" t="e">
        <f ca="1">SQRT(AVERAGE(K1108:OFFSET(K1108,$B$6-1,0))*$B$9/(4*LN(2)))</f>
        <v>#DIV/0!</v>
      </c>
      <c r="N1108" s="3" t="e">
        <f ca="1">SQRT(AVERAGE(K1108:OFFSET(K1108,$B$7-1,0))*$B$9/(4*LN(2)))</f>
        <v>#DIV/0!</v>
      </c>
      <c r="O1108" s="3" t="e">
        <f ca="1">SQRT(AVERAGE(K1108:OFFSET(K1108,$B$8-1,0))*$B$9/(4*LN(2)))</f>
        <v>#DIV/0!</v>
      </c>
      <c r="Q1108" s="5" t="e">
        <f t="shared" si="93"/>
        <v>#DIV/0!</v>
      </c>
      <c r="R1108" s="5" t="e">
        <f ca="1">SQRT($B$9*AVERAGE((Q1108:OFFSET(Q1108,$B$5-1,0))))</f>
        <v>#DIV/0!</v>
      </c>
      <c r="S1108" s="5" t="e">
        <f ca="1">SQRT($B$9*AVERAGE((Q1108:OFFSET(Q1108,$B$6-1,0))))</f>
        <v>#DIV/0!</v>
      </c>
      <c r="T1108" s="5" t="e">
        <f ca="1">SQRT($B$9*AVERAGE((Q1108:OFFSET(Q1108,$B$7-1,0))))</f>
        <v>#DIV/0!</v>
      </c>
      <c r="U1108" s="5" t="e">
        <f ca="1">SQRT($B$9*AVERAGE((Q1108:OFFSET(Q1108,$B$8-1,0))))</f>
        <v>#DIV/0!</v>
      </c>
      <c r="W1108" s="6" t="e">
        <f t="shared" si="92"/>
        <v>#DIV/0!</v>
      </c>
      <c r="X1108" s="6" t="e">
        <f ca="1">SQRT($B$9*AVERAGE(W1108:OFFSET(W1108,$B$5-1,0)))</f>
        <v>#DIV/0!</v>
      </c>
      <c r="Y1108" s="6" t="e">
        <f ca="1">SQRT($B$9*AVERAGE(W1108:OFFSET(W1108,$B$6-1,0)))</f>
        <v>#DIV/0!</v>
      </c>
      <c r="Z1108" s="6" t="e">
        <f ca="1">SQRT($B$9*AVERAGE(W1108:OFFSET(W1108,$B$7-1,0)))</f>
        <v>#DIV/0!</v>
      </c>
      <c r="AA1108" s="6" t="e">
        <f ca="1">SQRT($B$9*AVERAGE(W1108:OFFSET(W1108,$B$8-1,0)))</f>
        <v>#DIV/0!</v>
      </c>
      <c r="AC1108" s="34" t="e">
        <f t="shared" si="95"/>
        <v>#DIV/0!</v>
      </c>
      <c r="AD1108" s="34" t="e">
        <f ca="1">SQRT($B$9*SUM(AC1108:OFFSET(AC1108,$B$5-1,0))/($B$5-1))</f>
        <v>#DIV/0!</v>
      </c>
      <c r="AE1108" s="34" t="e">
        <f ca="1">SQRT($B$9*SUM(AC1108:OFFSET(AC1108,$B$6-1,0))/($B$6-1))</f>
        <v>#DIV/0!</v>
      </c>
      <c r="AF1108" s="34" t="e">
        <f ca="1">SQRT($B$9*SUM(AC1108:OFFSET(AC1108,$B$7-1,0))/($B$7-1))</f>
        <v>#DIV/0!</v>
      </c>
      <c r="AG1108" s="34" t="e">
        <f ca="1">SQRT($B$9*SUM(AC1108:OFFSET(AC1108,$B$8-1,0))/($B$8-1))</f>
        <v>#DIV/0!</v>
      </c>
      <c r="AI1108" s="1" t="e">
        <f t="shared" si="96"/>
        <v>#DIV/0!</v>
      </c>
      <c r="AJ1108" s="4" t="e">
        <f ca="1">SQRT($B$9)*_xlfn.STDEV.S(AI1108:OFFSET(AI1108,$B$5-1,0))</f>
        <v>#DIV/0!</v>
      </c>
      <c r="AK1108" s="4" t="e">
        <f ca="1">SQRT($B$9)*_xlfn.STDEV.S(AI1108:OFFSET(AI1108,$B$6-1,0))</f>
        <v>#DIV/0!</v>
      </c>
      <c r="AL1108" s="4" t="e">
        <f ca="1">SQRT($B$9)*_xlfn.STDEV.S(AI1108:OFFSET(AI1108,$B$7-1,0))</f>
        <v>#DIV/0!</v>
      </c>
      <c r="AM1108" s="4" t="e">
        <f ca="1">SQRT($B$9)*_xlfn.STDEV.S(AI1108:OFFSET(AI1108,$B$8-1,0))</f>
        <v>#DIV/0!</v>
      </c>
    </row>
    <row r="1109" spans="11:39" x14ac:dyDescent="0.2">
      <c r="K1109" s="3" t="e">
        <f t="shared" si="94"/>
        <v>#DIV/0!</v>
      </c>
      <c r="L1109" s="3" t="e">
        <f ca="1">SQRT(AVERAGE(K1109:OFFSET(K1109,$B$5-1,0))*$B$9/(4*LN(2)))</f>
        <v>#DIV/0!</v>
      </c>
      <c r="M1109" s="3" t="e">
        <f ca="1">SQRT(AVERAGE(K1109:OFFSET(K1109,$B$6-1,0))*$B$9/(4*LN(2)))</f>
        <v>#DIV/0!</v>
      </c>
      <c r="N1109" s="3" t="e">
        <f ca="1">SQRT(AVERAGE(K1109:OFFSET(K1109,$B$7-1,0))*$B$9/(4*LN(2)))</f>
        <v>#DIV/0!</v>
      </c>
      <c r="O1109" s="3" t="e">
        <f ca="1">SQRT(AVERAGE(K1109:OFFSET(K1109,$B$8-1,0))*$B$9/(4*LN(2)))</f>
        <v>#DIV/0!</v>
      </c>
      <c r="Q1109" s="5" t="e">
        <f t="shared" si="93"/>
        <v>#DIV/0!</v>
      </c>
      <c r="R1109" s="5" t="e">
        <f ca="1">SQRT($B$9*AVERAGE((Q1109:OFFSET(Q1109,$B$5-1,0))))</f>
        <v>#DIV/0!</v>
      </c>
      <c r="S1109" s="5" t="e">
        <f ca="1">SQRT($B$9*AVERAGE((Q1109:OFFSET(Q1109,$B$6-1,0))))</f>
        <v>#DIV/0!</v>
      </c>
      <c r="T1109" s="5" t="e">
        <f ca="1">SQRT($B$9*AVERAGE((Q1109:OFFSET(Q1109,$B$7-1,0))))</f>
        <v>#DIV/0!</v>
      </c>
      <c r="U1109" s="5" t="e">
        <f ca="1">SQRT($B$9*AVERAGE((Q1109:OFFSET(Q1109,$B$8-1,0))))</f>
        <v>#DIV/0!</v>
      </c>
      <c r="W1109" s="6" t="e">
        <f t="shared" si="92"/>
        <v>#DIV/0!</v>
      </c>
      <c r="X1109" s="6" t="e">
        <f ca="1">SQRT($B$9*AVERAGE(W1109:OFFSET(W1109,$B$5-1,0)))</f>
        <v>#DIV/0!</v>
      </c>
      <c r="Y1109" s="6" t="e">
        <f ca="1">SQRT($B$9*AVERAGE(W1109:OFFSET(W1109,$B$6-1,0)))</f>
        <v>#DIV/0!</v>
      </c>
      <c r="Z1109" s="6" t="e">
        <f ca="1">SQRT($B$9*AVERAGE(W1109:OFFSET(W1109,$B$7-1,0)))</f>
        <v>#DIV/0!</v>
      </c>
      <c r="AA1109" s="6" t="e">
        <f ca="1">SQRT($B$9*AVERAGE(W1109:OFFSET(W1109,$B$8-1,0)))</f>
        <v>#DIV/0!</v>
      </c>
      <c r="AC1109" s="34" t="e">
        <f t="shared" si="95"/>
        <v>#DIV/0!</v>
      </c>
      <c r="AD1109" s="34" t="e">
        <f ca="1">SQRT($B$9*SUM(AC1109:OFFSET(AC1109,$B$5-1,0))/($B$5-1))</f>
        <v>#DIV/0!</v>
      </c>
      <c r="AE1109" s="34" t="e">
        <f ca="1">SQRT($B$9*SUM(AC1109:OFFSET(AC1109,$B$6-1,0))/($B$6-1))</f>
        <v>#DIV/0!</v>
      </c>
      <c r="AF1109" s="34" t="e">
        <f ca="1">SQRT($B$9*SUM(AC1109:OFFSET(AC1109,$B$7-1,0))/($B$7-1))</f>
        <v>#DIV/0!</v>
      </c>
      <c r="AG1109" s="34" t="e">
        <f ca="1">SQRT($B$9*SUM(AC1109:OFFSET(AC1109,$B$8-1,0))/($B$8-1))</f>
        <v>#DIV/0!</v>
      </c>
      <c r="AI1109" s="1" t="e">
        <f t="shared" si="96"/>
        <v>#DIV/0!</v>
      </c>
      <c r="AJ1109" s="4" t="e">
        <f ca="1">SQRT($B$9)*_xlfn.STDEV.S(AI1109:OFFSET(AI1109,$B$5-1,0))</f>
        <v>#DIV/0!</v>
      </c>
      <c r="AK1109" s="4" t="e">
        <f ca="1">SQRT($B$9)*_xlfn.STDEV.S(AI1109:OFFSET(AI1109,$B$6-1,0))</f>
        <v>#DIV/0!</v>
      </c>
      <c r="AL1109" s="4" t="e">
        <f ca="1">SQRT($B$9)*_xlfn.STDEV.S(AI1109:OFFSET(AI1109,$B$7-1,0))</f>
        <v>#DIV/0!</v>
      </c>
      <c r="AM1109" s="4" t="e">
        <f ca="1">SQRT($B$9)*_xlfn.STDEV.S(AI1109:OFFSET(AI1109,$B$8-1,0))</f>
        <v>#DIV/0!</v>
      </c>
    </row>
    <row r="1110" spans="11:39" x14ac:dyDescent="0.2">
      <c r="K1110" s="3" t="e">
        <f t="shared" si="94"/>
        <v>#DIV/0!</v>
      </c>
      <c r="L1110" s="3" t="e">
        <f ca="1">SQRT(AVERAGE(K1110:OFFSET(K1110,$B$5-1,0))*$B$9/(4*LN(2)))</f>
        <v>#DIV/0!</v>
      </c>
      <c r="M1110" s="3" t="e">
        <f ca="1">SQRT(AVERAGE(K1110:OFFSET(K1110,$B$6-1,0))*$B$9/(4*LN(2)))</f>
        <v>#DIV/0!</v>
      </c>
      <c r="N1110" s="3" t="e">
        <f ca="1">SQRT(AVERAGE(K1110:OFFSET(K1110,$B$7-1,0))*$B$9/(4*LN(2)))</f>
        <v>#DIV/0!</v>
      </c>
      <c r="O1110" s="3" t="e">
        <f ca="1">SQRT(AVERAGE(K1110:OFFSET(K1110,$B$8-1,0))*$B$9/(4*LN(2)))</f>
        <v>#DIV/0!</v>
      </c>
      <c r="Q1110" s="5" t="e">
        <f t="shared" si="93"/>
        <v>#DIV/0!</v>
      </c>
      <c r="R1110" s="5" t="e">
        <f ca="1">SQRT($B$9*AVERAGE((Q1110:OFFSET(Q1110,$B$5-1,0))))</f>
        <v>#DIV/0!</v>
      </c>
      <c r="S1110" s="5" t="e">
        <f ca="1">SQRT($B$9*AVERAGE((Q1110:OFFSET(Q1110,$B$6-1,0))))</f>
        <v>#DIV/0!</v>
      </c>
      <c r="T1110" s="5" t="e">
        <f ca="1">SQRT($B$9*AVERAGE((Q1110:OFFSET(Q1110,$B$7-1,0))))</f>
        <v>#DIV/0!</v>
      </c>
      <c r="U1110" s="5" t="e">
        <f ca="1">SQRT($B$9*AVERAGE((Q1110:OFFSET(Q1110,$B$8-1,0))))</f>
        <v>#DIV/0!</v>
      </c>
      <c r="W1110" s="6" t="e">
        <f t="shared" si="92"/>
        <v>#DIV/0!</v>
      </c>
      <c r="X1110" s="6" t="e">
        <f ca="1">SQRT($B$9*AVERAGE(W1110:OFFSET(W1110,$B$5-1,0)))</f>
        <v>#DIV/0!</v>
      </c>
      <c r="Y1110" s="6" t="e">
        <f ca="1">SQRT($B$9*AVERAGE(W1110:OFFSET(W1110,$B$6-1,0)))</f>
        <v>#DIV/0!</v>
      </c>
      <c r="Z1110" s="6" t="e">
        <f ca="1">SQRT($B$9*AVERAGE(W1110:OFFSET(W1110,$B$7-1,0)))</f>
        <v>#DIV/0!</v>
      </c>
      <c r="AA1110" s="6" t="e">
        <f ca="1">SQRT($B$9*AVERAGE(W1110:OFFSET(W1110,$B$8-1,0)))</f>
        <v>#DIV/0!</v>
      </c>
      <c r="AC1110" s="34" t="e">
        <f t="shared" si="95"/>
        <v>#DIV/0!</v>
      </c>
      <c r="AD1110" s="34" t="e">
        <f ca="1">SQRT($B$9*SUM(AC1110:OFFSET(AC1110,$B$5-1,0))/($B$5-1))</f>
        <v>#DIV/0!</v>
      </c>
      <c r="AE1110" s="34" t="e">
        <f ca="1">SQRT($B$9*SUM(AC1110:OFFSET(AC1110,$B$6-1,0))/($B$6-1))</f>
        <v>#DIV/0!</v>
      </c>
      <c r="AF1110" s="34" t="e">
        <f ca="1">SQRT($B$9*SUM(AC1110:OFFSET(AC1110,$B$7-1,0))/($B$7-1))</f>
        <v>#DIV/0!</v>
      </c>
      <c r="AG1110" s="34" t="e">
        <f ca="1">SQRT($B$9*SUM(AC1110:OFFSET(AC1110,$B$8-1,0))/($B$8-1))</f>
        <v>#DIV/0!</v>
      </c>
      <c r="AI1110" s="1" t="e">
        <f t="shared" si="96"/>
        <v>#DIV/0!</v>
      </c>
      <c r="AJ1110" s="4" t="e">
        <f ca="1">SQRT($B$9)*_xlfn.STDEV.S(AI1110:OFFSET(AI1110,$B$5-1,0))</f>
        <v>#DIV/0!</v>
      </c>
      <c r="AK1110" s="4" t="e">
        <f ca="1">SQRT($B$9)*_xlfn.STDEV.S(AI1110:OFFSET(AI1110,$B$6-1,0))</f>
        <v>#DIV/0!</v>
      </c>
      <c r="AL1110" s="4" t="e">
        <f ca="1">SQRT($B$9)*_xlfn.STDEV.S(AI1110:OFFSET(AI1110,$B$7-1,0))</f>
        <v>#DIV/0!</v>
      </c>
      <c r="AM1110" s="4" t="e">
        <f ca="1">SQRT($B$9)*_xlfn.STDEV.S(AI1110:OFFSET(AI1110,$B$8-1,0))</f>
        <v>#DIV/0!</v>
      </c>
    </row>
    <row r="1111" spans="11:39" x14ac:dyDescent="0.2">
      <c r="K1111" s="3" t="e">
        <f t="shared" si="94"/>
        <v>#DIV/0!</v>
      </c>
      <c r="L1111" s="3" t="e">
        <f ca="1">SQRT(AVERAGE(K1111:OFFSET(K1111,$B$5-1,0))*$B$9/(4*LN(2)))</f>
        <v>#DIV/0!</v>
      </c>
      <c r="M1111" s="3" t="e">
        <f ca="1">SQRT(AVERAGE(K1111:OFFSET(K1111,$B$6-1,0))*$B$9/(4*LN(2)))</f>
        <v>#DIV/0!</v>
      </c>
      <c r="N1111" s="3" t="e">
        <f ca="1">SQRT(AVERAGE(K1111:OFFSET(K1111,$B$7-1,0))*$B$9/(4*LN(2)))</f>
        <v>#DIV/0!</v>
      </c>
      <c r="O1111" s="3" t="e">
        <f ca="1">SQRT(AVERAGE(K1111:OFFSET(K1111,$B$8-1,0))*$B$9/(4*LN(2)))</f>
        <v>#DIV/0!</v>
      </c>
      <c r="Q1111" s="5" t="e">
        <f t="shared" si="93"/>
        <v>#DIV/0!</v>
      </c>
      <c r="R1111" s="5" t="e">
        <f ca="1">SQRT($B$9*AVERAGE((Q1111:OFFSET(Q1111,$B$5-1,0))))</f>
        <v>#DIV/0!</v>
      </c>
      <c r="S1111" s="5" t="e">
        <f ca="1">SQRT($B$9*AVERAGE((Q1111:OFFSET(Q1111,$B$6-1,0))))</f>
        <v>#DIV/0!</v>
      </c>
      <c r="T1111" s="5" t="e">
        <f ca="1">SQRT($B$9*AVERAGE((Q1111:OFFSET(Q1111,$B$7-1,0))))</f>
        <v>#DIV/0!</v>
      </c>
      <c r="U1111" s="5" t="e">
        <f ca="1">SQRT($B$9*AVERAGE((Q1111:OFFSET(Q1111,$B$8-1,0))))</f>
        <v>#DIV/0!</v>
      </c>
      <c r="W1111" s="6" t="e">
        <f t="shared" si="92"/>
        <v>#DIV/0!</v>
      </c>
      <c r="X1111" s="6" t="e">
        <f ca="1">SQRT($B$9*AVERAGE(W1111:OFFSET(W1111,$B$5-1,0)))</f>
        <v>#DIV/0!</v>
      </c>
      <c r="Y1111" s="6" t="e">
        <f ca="1">SQRT($B$9*AVERAGE(W1111:OFFSET(W1111,$B$6-1,0)))</f>
        <v>#DIV/0!</v>
      </c>
      <c r="Z1111" s="6" t="e">
        <f ca="1">SQRT($B$9*AVERAGE(W1111:OFFSET(W1111,$B$7-1,0)))</f>
        <v>#DIV/0!</v>
      </c>
      <c r="AA1111" s="6" t="e">
        <f ca="1">SQRT($B$9*AVERAGE(W1111:OFFSET(W1111,$B$8-1,0)))</f>
        <v>#DIV/0!</v>
      </c>
      <c r="AC1111" s="34" t="e">
        <f t="shared" si="95"/>
        <v>#DIV/0!</v>
      </c>
      <c r="AD1111" s="34" t="e">
        <f ca="1">SQRT($B$9*SUM(AC1111:OFFSET(AC1111,$B$5-1,0))/($B$5-1))</f>
        <v>#DIV/0!</v>
      </c>
      <c r="AE1111" s="34" t="e">
        <f ca="1">SQRT($B$9*SUM(AC1111:OFFSET(AC1111,$B$6-1,0))/($B$6-1))</f>
        <v>#DIV/0!</v>
      </c>
      <c r="AF1111" s="34" t="e">
        <f ca="1">SQRT($B$9*SUM(AC1111:OFFSET(AC1111,$B$7-1,0))/($B$7-1))</f>
        <v>#DIV/0!</v>
      </c>
      <c r="AG1111" s="34" t="e">
        <f ca="1">SQRT($B$9*SUM(AC1111:OFFSET(AC1111,$B$8-1,0))/($B$8-1))</f>
        <v>#DIV/0!</v>
      </c>
      <c r="AI1111" s="1" t="e">
        <f t="shared" si="96"/>
        <v>#DIV/0!</v>
      </c>
      <c r="AJ1111" s="4" t="e">
        <f ca="1">SQRT($B$9)*_xlfn.STDEV.S(AI1111:OFFSET(AI1111,$B$5-1,0))</f>
        <v>#DIV/0!</v>
      </c>
      <c r="AK1111" s="4" t="e">
        <f ca="1">SQRT($B$9)*_xlfn.STDEV.S(AI1111:OFFSET(AI1111,$B$6-1,0))</f>
        <v>#DIV/0!</v>
      </c>
      <c r="AL1111" s="4" t="e">
        <f ca="1">SQRT($B$9)*_xlfn.STDEV.S(AI1111:OFFSET(AI1111,$B$7-1,0))</f>
        <v>#DIV/0!</v>
      </c>
      <c r="AM1111" s="4" t="e">
        <f ca="1">SQRT($B$9)*_xlfn.STDEV.S(AI1111:OFFSET(AI1111,$B$8-1,0))</f>
        <v>#DIV/0!</v>
      </c>
    </row>
    <row r="1112" spans="11:39" x14ac:dyDescent="0.2">
      <c r="K1112" s="3" t="e">
        <f t="shared" si="94"/>
        <v>#DIV/0!</v>
      </c>
      <c r="L1112" s="3" t="e">
        <f ca="1">SQRT(AVERAGE(K1112:OFFSET(K1112,$B$5-1,0))*$B$9/(4*LN(2)))</f>
        <v>#DIV/0!</v>
      </c>
      <c r="M1112" s="3" t="e">
        <f ca="1">SQRT(AVERAGE(K1112:OFFSET(K1112,$B$6-1,0))*$B$9/(4*LN(2)))</f>
        <v>#DIV/0!</v>
      </c>
      <c r="N1112" s="3" t="e">
        <f ca="1">SQRT(AVERAGE(K1112:OFFSET(K1112,$B$7-1,0))*$B$9/(4*LN(2)))</f>
        <v>#DIV/0!</v>
      </c>
      <c r="O1112" s="3" t="e">
        <f ca="1">SQRT(AVERAGE(K1112:OFFSET(K1112,$B$8-1,0))*$B$9/(4*LN(2)))</f>
        <v>#DIV/0!</v>
      </c>
      <c r="Q1112" s="5" t="e">
        <f t="shared" si="93"/>
        <v>#DIV/0!</v>
      </c>
      <c r="R1112" s="5" t="e">
        <f ca="1">SQRT($B$9*AVERAGE((Q1112:OFFSET(Q1112,$B$5-1,0))))</f>
        <v>#DIV/0!</v>
      </c>
      <c r="S1112" s="5" t="e">
        <f ca="1">SQRT($B$9*AVERAGE((Q1112:OFFSET(Q1112,$B$6-1,0))))</f>
        <v>#DIV/0!</v>
      </c>
      <c r="T1112" s="5" t="e">
        <f ca="1">SQRT($B$9*AVERAGE((Q1112:OFFSET(Q1112,$B$7-1,0))))</f>
        <v>#DIV/0!</v>
      </c>
      <c r="U1112" s="5" t="e">
        <f ca="1">SQRT($B$9*AVERAGE((Q1112:OFFSET(Q1112,$B$8-1,0))))</f>
        <v>#DIV/0!</v>
      </c>
      <c r="W1112" s="6" t="e">
        <f t="shared" si="92"/>
        <v>#DIV/0!</v>
      </c>
      <c r="X1112" s="6" t="e">
        <f ca="1">SQRT($B$9*AVERAGE(W1112:OFFSET(W1112,$B$5-1,0)))</f>
        <v>#DIV/0!</v>
      </c>
      <c r="Y1112" s="6" t="e">
        <f ca="1">SQRT($B$9*AVERAGE(W1112:OFFSET(W1112,$B$6-1,0)))</f>
        <v>#DIV/0!</v>
      </c>
      <c r="Z1112" s="6" t="e">
        <f ca="1">SQRT($B$9*AVERAGE(W1112:OFFSET(W1112,$B$7-1,0)))</f>
        <v>#DIV/0!</v>
      </c>
      <c r="AA1112" s="6" t="e">
        <f ca="1">SQRT($B$9*AVERAGE(W1112:OFFSET(W1112,$B$8-1,0)))</f>
        <v>#DIV/0!</v>
      </c>
      <c r="AC1112" s="34" t="e">
        <f t="shared" si="95"/>
        <v>#DIV/0!</v>
      </c>
      <c r="AD1112" s="34" t="e">
        <f ca="1">SQRT($B$9*SUM(AC1112:OFFSET(AC1112,$B$5-1,0))/($B$5-1))</f>
        <v>#DIV/0!</v>
      </c>
      <c r="AE1112" s="34" t="e">
        <f ca="1">SQRT($B$9*SUM(AC1112:OFFSET(AC1112,$B$6-1,0))/($B$6-1))</f>
        <v>#DIV/0!</v>
      </c>
      <c r="AF1112" s="34" t="e">
        <f ca="1">SQRT($B$9*SUM(AC1112:OFFSET(AC1112,$B$7-1,0))/($B$7-1))</f>
        <v>#DIV/0!</v>
      </c>
      <c r="AG1112" s="34" t="e">
        <f ca="1">SQRT($B$9*SUM(AC1112:OFFSET(AC1112,$B$8-1,0))/($B$8-1))</f>
        <v>#DIV/0!</v>
      </c>
      <c r="AI1112" s="1" t="e">
        <f t="shared" si="96"/>
        <v>#DIV/0!</v>
      </c>
      <c r="AJ1112" s="4" t="e">
        <f ca="1">SQRT($B$9)*_xlfn.STDEV.S(AI1112:OFFSET(AI1112,$B$5-1,0))</f>
        <v>#DIV/0!</v>
      </c>
      <c r="AK1112" s="4" t="e">
        <f ca="1">SQRT($B$9)*_xlfn.STDEV.S(AI1112:OFFSET(AI1112,$B$6-1,0))</f>
        <v>#DIV/0!</v>
      </c>
      <c r="AL1112" s="4" t="e">
        <f ca="1">SQRT($B$9)*_xlfn.STDEV.S(AI1112:OFFSET(AI1112,$B$7-1,0))</f>
        <v>#DIV/0!</v>
      </c>
      <c r="AM1112" s="4" t="e">
        <f ca="1">SQRT($B$9)*_xlfn.STDEV.S(AI1112:OFFSET(AI1112,$B$8-1,0))</f>
        <v>#DIV/0!</v>
      </c>
    </row>
    <row r="1113" spans="11:39" x14ac:dyDescent="0.2">
      <c r="K1113" s="3" t="e">
        <f t="shared" si="94"/>
        <v>#DIV/0!</v>
      </c>
      <c r="L1113" s="3" t="e">
        <f ca="1">SQRT(AVERAGE(K1113:OFFSET(K1113,$B$5-1,0))*$B$9/(4*LN(2)))</f>
        <v>#DIV/0!</v>
      </c>
      <c r="M1113" s="3" t="e">
        <f ca="1">SQRT(AVERAGE(K1113:OFFSET(K1113,$B$6-1,0))*$B$9/(4*LN(2)))</f>
        <v>#DIV/0!</v>
      </c>
      <c r="N1113" s="3" t="e">
        <f ca="1">SQRT(AVERAGE(K1113:OFFSET(K1113,$B$7-1,0))*$B$9/(4*LN(2)))</f>
        <v>#DIV/0!</v>
      </c>
      <c r="O1113" s="3" t="e">
        <f ca="1">SQRT(AVERAGE(K1113:OFFSET(K1113,$B$8-1,0))*$B$9/(4*LN(2)))</f>
        <v>#DIV/0!</v>
      </c>
      <c r="Q1113" s="5" t="e">
        <f t="shared" si="93"/>
        <v>#DIV/0!</v>
      </c>
      <c r="R1113" s="5" t="e">
        <f ca="1">SQRT($B$9*AVERAGE((Q1113:OFFSET(Q1113,$B$5-1,0))))</f>
        <v>#DIV/0!</v>
      </c>
      <c r="S1113" s="5" t="e">
        <f ca="1">SQRT($B$9*AVERAGE((Q1113:OFFSET(Q1113,$B$6-1,0))))</f>
        <v>#DIV/0!</v>
      </c>
      <c r="T1113" s="5" t="e">
        <f ca="1">SQRT($B$9*AVERAGE((Q1113:OFFSET(Q1113,$B$7-1,0))))</f>
        <v>#DIV/0!</v>
      </c>
      <c r="U1113" s="5" t="e">
        <f ca="1">SQRT($B$9*AVERAGE((Q1113:OFFSET(Q1113,$B$8-1,0))))</f>
        <v>#DIV/0!</v>
      </c>
      <c r="W1113" s="6" t="e">
        <f t="shared" si="92"/>
        <v>#DIV/0!</v>
      </c>
      <c r="X1113" s="6" t="e">
        <f ca="1">SQRT($B$9*AVERAGE(W1113:OFFSET(W1113,$B$5-1,0)))</f>
        <v>#DIV/0!</v>
      </c>
      <c r="Y1113" s="6" t="e">
        <f ca="1">SQRT($B$9*AVERAGE(W1113:OFFSET(W1113,$B$6-1,0)))</f>
        <v>#DIV/0!</v>
      </c>
      <c r="Z1113" s="6" t="e">
        <f ca="1">SQRT($B$9*AVERAGE(W1113:OFFSET(W1113,$B$7-1,0)))</f>
        <v>#DIV/0!</v>
      </c>
      <c r="AA1113" s="6" t="e">
        <f ca="1">SQRT($B$9*AVERAGE(W1113:OFFSET(W1113,$B$8-1,0)))</f>
        <v>#DIV/0!</v>
      </c>
      <c r="AC1113" s="34" t="e">
        <f t="shared" si="95"/>
        <v>#DIV/0!</v>
      </c>
      <c r="AD1113" s="34" t="e">
        <f ca="1">SQRT($B$9*SUM(AC1113:OFFSET(AC1113,$B$5-1,0))/($B$5-1))</f>
        <v>#DIV/0!</v>
      </c>
      <c r="AE1113" s="34" t="e">
        <f ca="1">SQRT($B$9*SUM(AC1113:OFFSET(AC1113,$B$6-1,0))/($B$6-1))</f>
        <v>#DIV/0!</v>
      </c>
      <c r="AF1113" s="34" t="e">
        <f ca="1">SQRT($B$9*SUM(AC1113:OFFSET(AC1113,$B$7-1,0))/($B$7-1))</f>
        <v>#DIV/0!</v>
      </c>
      <c r="AG1113" s="34" t="e">
        <f ca="1">SQRT($B$9*SUM(AC1113:OFFSET(AC1113,$B$8-1,0))/($B$8-1))</f>
        <v>#DIV/0!</v>
      </c>
      <c r="AI1113" s="1" t="e">
        <f t="shared" si="96"/>
        <v>#DIV/0!</v>
      </c>
      <c r="AJ1113" s="4" t="e">
        <f ca="1">SQRT($B$9)*_xlfn.STDEV.S(AI1113:OFFSET(AI1113,$B$5-1,0))</f>
        <v>#DIV/0!</v>
      </c>
      <c r="AK1113" s="4" t="e">
        <f ca="1">SQRT($B$9)*_xlfn.STDEV.S(AI1113:OFFSET(AI1113,$B$6-1,0))</f>
        <v>#DIV/0!</v>
      </c>
      <c r="AL1113" s="4" t="e">
        <f ca="1">SQRT($B$9)*_xlfn.STDEV.S(AI1113:OFFSET(AI1113,$B$7-1,0))</f>
        <v>#DIV/0!</v>
      </c>
      <c r="AM1113" s="4" t="e">
        <f ca="1">SQRT($B$9)*_xlfn.STDEV.S(AI1113:OFFSET(AI1113,$B$8-1,0))</f>
        <v>#DIV/0!</v>
      </c>
    </row>
    <row r="1114" spans="11:39" x14ac:dyDescent="0.2">
      <c r="K1114" s="3" t="e">
        <f t="shared" si="94"/>
        <v>#DIV/0!</v>
      </c>
      <c r="L1114" s="3" t="e">
        <f ca="1">SQRT(AVERAGE(K1114:OFFSET(K1114,$B$5-1,0))*$B$9/(4*LN(2)))</f>
        <v>#DIV/0!</v>
      </c>
      <c r="M1114" s="3" t="e">
        <f ca="1">SQRT(AVERAGE(K1114:OFFSET(K1114,$B$6-1,0))*$B$9/(4*LN(2)))</f>
        <v>#DIV/0!</v>
      </c>
      <c r="N1114" s="3" t="e">
        <f ca="1">SQRT(AVERAGE(K1114:OFFSET(K1114,$B$7-1,0))*$B$9/(4*LN(2)))</f>
        <v>#DIV/0!</v>
      </c>
      <c r="O1114" s="3" t="e">
        <f ca="1">SQRT(AVERAGE(K1114:OFFSET(K1114,$B$8-1,0))*$B$9/(4*LN(2)))</f>
        <v>#DIV/0!</v>
      </c>
      <c r="Q1114" s="5" t="e">
        <f t="shared" si="93"/>
        <v>#DIV/0!</v>
      </c>
      <c r="R1114" s="5" t="e">
        <f ca="1">SQRT($B$9*AVERAGE((Q1114:OFFSET(Q1114,$B$5-1,0))))</f>
        <v>#DIV/0!</v>
      </c>
      <c r="S1114" s="5" t="e">
        <f ca="1">SQRT($B$9*AVERAGE((Q1114:OFFSET(Q1114,$B$6-1,0))))</f>
        <v>#DIV/0!</v>
      </c>
      <c r="T1114" s="5" t="e">
        <f ca="1">SQRT($B$9*AVERAGE((Q1114:OFFSET(Q1114,$B$7-1,0))))</f>
        <v>#DIV/0!</v>
      </c>
      <c r="U1114" s="5" t="e">
        <f ca="1">SQRT($B$9*AVERAGE((Q1114:OFFSET(Q1114,$B$8-1,0))))</f>
        <v>#DIV/0!</v>
      </c>
      <c r="W1114" s="6" t="e">
        <f t="shared" si="92"/>
        <v>#DIV/0!</v>
      </c>
      <c r="X1114" s="6" t="e">
        <f ca="1">SQRT($B$9*AVERAGE(W1114:OFFSET(W1114,$B$5-1,0)))</f>
        <v>#DIV/0!</v>
      </c>
      <c r="Y1114" s="6" t="e">
        <f ca="1">SQRT($B$9*AVERAGE(W1114:OFFSET(W1114,$B$6-1,0)))</f>
        <v>#DIV/0!</v>
      </c>
      <c r="Z1114" s="6" t="e">
        <f ca="1">SQRT($B$9*AVERAGE(W1114:OFFSET(W1114,$B$7-1,0)))</f>
        <v>#DIV/0!</v>
      </c>
      <c r="AA1114" s="6" t="e">
        <f ca="1">SQRT($B$9*AVERAGE(W1114:OFFSET(W1114,$B$8-1,0)))</f>
        <v>#DIV/0!</v>
      </c>
      <c r="AC1114" s="34" t="e">
        <f t="shared" si="95"/>
        <v>#DIV/0!</v>
      </c>
      <c r="AD1114" s="34" t="e">
        <f ca="1">SQRT($B$9*SUM(AC1114:OFFSET(AC1114,$B$5-1,0))/($B$5-1))</f>
        <v>#DIV/0!</v>
      </c>
      <c r="AE1114" s="34" t="e">
        <f ca="1">SQRT($B$9*SUM(AC1114:OFFSET(AC1114,$B$6-1,0))/($B$6-1))</f>
        <v>#DIV/0!</v>
      </c>
      <c r="AF1114" s="34" t="e">
        <f ca="1">SQRT($B$9*SUM(AC1114:OFFSET(AC1114,$B$7-1,0))/($B$7-1))</f>
        <v>#DIV/0!</v>
      </c>
      <c r="AG1114" s="34" t="e">
        <f ca="1">SQRT($B$9*SUM(AC1114:OFFSET(AC1114,$B$8-1,0))/($B$8-1))</f>
        <v>#DIV/0!</v>
      </c>
      <c r="AI1114" s="1" t="e">
        <f t="shared" si="96"/>
        <v>#DIV/0!</v>
      </c>
      <c r="AJ1114" s="4" t="e">
        <f ca="1">SQRT($B$9)*_xlfn.STDEV.S(AI1114:OFFSET(AI1114,$B$5-1,0))</f>
        <v>#DIV/0!</v>
      </c>
      <c r="AK1114" s="4" t="e">
        <f ca="1">SQRT($B$9)*_xlfn.STDEV.S(AI1114:OFFSET(AI1114,$B$6-1,0))</f>
        <v>#DIV/0!</v>
      </c>
      <c r="AL1114" s="4" t="e">
        <f ca="1">SQRT($B$9)*_xlfn.STDEV.S(AI1114:OFFSET(AI1114,$B$7-1,0))</f>
        <v>#DIV/0!</v>
      </c>
      <c r="AM1114" s="4" t="e">
        <f ca="1">SQRT($B$9)*_xlfn.STDEV.S(AI1114:OFFSET(AI1114,$B$8-1,0))</f>
        <v>#DIV/0!</v>
      </c>
    </row>
    <row r="1115" spans="11:39" x14ac:dyDescent="0.2">
      <c r="K1115" s="3" t="e">
        <f t="shared" si="94"/>
        <v>#DIV/0!</v>
      </c>
      <c r="L1115" s="3" t="e">
        <f ca="1">SQRT(AVERAGE(K1115:OFFSET(K1115,$B$5-1,0))*$B$9/(4*LN(2)))</f>
        <v>#DIV/0!</v>
      </c>
      <c r="M1115" s="3" t="e">
        <f ca="1">SQRT(AVERAGE(K1115:OFFSET(K1115,$B$6-1,0))*$B$9/(4*LN(2)))</f>
        <v>#DIV/0!</v>
      </c>
      <c r="N1115" s="3" t="e">
        <f ca="1">SQRT(AVERAGE(K1115:OFFSET(K1115,$B$7-1,0))*$B$9/(4*LN(2)))</f>
        <v>#DIV/0!</v>
      </c>
      <c r="O1115" s="3" t="e">
        <f ca="1">SQRT(AVERAGE(K1115:OFFSET(K1115,$B$8-1,0))*$B$9/(4*LN(2)))</f>
        <v>#DIV/0!</v>
      </c>
      <c r="Q1115" s="5" t="e">
        <f t="shared" si="93"/>
        <v>#DIV/0!</v>
      </c>
      <c r="R1115" s="5" t="e">
        <f ca="1">SQRT($B$9*AVERAGE((Q1115:OFFSET(Q1115,$B$5-1,0))))</f>
        <v>#DIV/0!</v>
      </c>
      <c r="S1115" s="5" t="e">
        <f ca="1">SQRT($B$9*AVERAGE((Q1115:OFFSET(Q1115,$B$6-1,0))))</f>
        <v>#DIV/0!</v>
      </c>
      <c r="T1115" s="5" t="e">
        <f ca="1">SQRT($B$9*AVERAGE((Q1115:OFFSET(Q1115,$B$7-1,0))))</f>
        <v>#DIV/0!</v>
      </c>
      <c r="U1115" s="5" t="e">
        <f ca="1">SQRT($B$9*AVERAGE((Q1115:OFFSET(Q1115,$B$8-1,0))))</f>
        <v>#DIV/0!</v>
      </c>
      <c r="W1115" s="6" t="e">
        <f t="shared" si="92"/>
        <v>#DIV/0!</v>
      </c>
      <c r="X1115" s="6" t="e">
        <f ca="1">SQRT($B$9*AVERAGE(W1115:OFFSET(W1115,$B$5-1,0)))</f>
        <v>#DIV/0!</v>
      </c>
      <c r="Y1115" s="6" t="e">
        <f ca="1">SQRT($B$9*AVERAGE(W1115:OFFSET(W1115,$B$6-1,0)))</f>
        <v>#DIV/0!</v>
      </c>
      <c r="Z1115" s="6" t="e">
        <f ca="1">SQRT($B$9*AVERAGE(W1115:OFFSET(W1115,$B$7-1,0)))</f>
        <v>#DIV/0!</v>
      </c>
      <c r="AA1115" s="6" t="e">
        <f ca="1">SQRT($B$9*AVERAGE(W1115:OFFSET(W1115,$B$8-1,0)))</f>
        <v>#DIV/0!</v>
      </c>
      <c r="AC1115" s="34" t="e">
        <f t="shared" si="95"/>
        <v>#DIV/0!</v>
      </c>
      <c r="AD1115" s="34" t="e">
        <f ca="1">SQRT($B$9*SUM(AC1115:OFFSET(AC1115,$B$5-1,0))/($B$5-1))</f>
        <v>#DIV/0!</v>
      </c>
      <c r="AE1115" s="34" t="e">
        <f ca="1">SQRT($B$9*SUM(AC1115:OFFSET(AC1115,$B$6-1,0))/($B$6-1))</f>
        <v>#DIV/0!</v>
      </c>
      <c r="AF1115" s="34" t="e">
        <f ca="1">SQRT($B$9*SUM(AC1115:OFFSET(AC1115,$B$7-1,0))/($B$7-1))</f>
        <v>#DIV/0!</v>
      </c>
      <c r="AG1115" s="34" t="e">
        <f ca="1">SQRT($B$9*SUM(AC1115:OFFSET(AC1115,$B$8-1,0))/($B$8-1))</f>
        <v>#DIV/0!</v>
      </c>
      <c r="AI1115" s="1" t="e">
        <f t="shared" si="96"/>
        <v>#DIV/0!</v>
      </c>
      <c r="AJ1115" s="4" t="e">
        <f ca="1">SQRT($B$9)*_xlfn.STDEV.S(AI1115:OFFSET(AI1115,$B$5-1,0))</f>
        <v>#DIV/0!</v>
      </c>
      <c r="AK1115" s="4" t="e">
        <f ca="1">SQRT($B$9)*_xlfn.STDEV.S(AI1115:OFFSET(AI1115,$B$6-1,0))</f>
        <v>#DIV/0!</v>
      </c>
      <c r="AL1115" s="4" t="e">
        <f ca="1">SQRT($B$9)*_xlfn.STDEV.S(AI1115:OFFSET(AI1115,$B$7-1,0))</f>
        <v>#DIV/0!</v>
      </c>
      <c r="AM1115" s="4" t="e">
        <f ca="1">SQRT($B$9)*_xlfn.STDEV.S(AI1115:OFFSET(AI1115,$B$8-1,0))</f>
        <v>#DIV/0!</v>
      </c>
    </row>
    <row r="1116" spans="11:39" x14ac:dyDescent="0.2">
      <c r="K1116" s="3" t="e">
        <f t="shared" si="94"/>
        <v>#DIV/0!</v>
      </c>
      <c r="L1116" s="3" t="e">
        <f ca="1">SQRT(AVERAGE(K1116:OFFSET(K1116,$B$5-1,0))*$B$9/(4*LN(2)))</f>
        <v>#DIV/0!</v>
      </c>
      <c r="M1116" s="3" t="e">
        <f ca="1">SQRT(AVERAGE(K1116:OFFSET(K1116,$B$6-1,0))*$B$9/(4*LN(2)))</f>
        <v>#DIV/0!</v>
      </c>
      <c r="N1116" s="3" t="e">
        <f ca="1">SQRT(AVERAGE(K1116:OFFSET(K1116,$B$7-1,0))*$B$9/(4*LN(2)))</f>
        <v>#DIV/0!</v>
      </c>
      <c r="O1116" s="3" t="e">
        <f ca="1">SQRT(AVERAGE(K1116:OFFSET(K1116,$B$8-1,0))*$B$9/(4*LN(2)))</f>
        <v>#DIV/0!</v>
      </c>
      <c r="Q1116" s="5" t="e">
        <f t="shared" si="93"/>
        <v>#DIV/0!</v>
      </c>
      <c r="R1116" s="5" t="e">
        <f ca="1">SQRT($B$9*AVERAGE((Q1116:OFFSET(Q1116,$B$5-1,0))))</f>
        <v>#DIV/0!</v>
      </c>
      <c r="S1116" s="5" t="e">
        <f ca="1">SQRT($B$9*AVERAGE((Q1116:OFFSET(Q1116,$B$6-1,0))))</f>
        <v>#DIV/0!</v>
      </c>
      <c r="T1116" s="5" t="e">
        <f ca="1">SQRT($B$9*AVERAGE((Q1116:OFFSET(Q1116,$B$7-1,0))))</f>
        <v>#DIV/0!</v>
      </c>
      <c r="U1116" s="5" t="e">
        <f ca="1">SQRT($B$9*AVERAGE((Q1116:OFFSET(Q1116,$B$8-1,0))))</f>
        <v>#DIV/0!</v>
      </c>
      <c r="W1116" s="6" t="e">
        <f t="shared" si="92"/>
        <v>#DIV/0!</v>
      </c>
      <c r="X1116" s="6" t="e">
        <f ca="1">SQRT($B$9*AVERAGE(W1116:OFFSET(W1116,$B$5-1,0)))</f>
        <v>#DIV/0!</v>
      </c>
      <c r="Y1116" s="6" t="e">
        <f ca="1">SQRT($B$9*AVERAGE(W1116:OFFSET(W1116,$B$6-1,0)))</f>
        <v>#DIV/0!</v>
      </c>
      <c r="Z1116" s="6" t="e">
        <f ca="1">SQRT($B$9*AVERAGE(W1116:OFFSET(W1116,$B$7-1,0)))</f>
        <v>#DIV/0!</v>
      </c>
      <c r="AA1116" s="6" t="e">
        <f ca="1">SQRT($B$9*AVERAGE(W1116:OFFSET(W1116,$B$8-1,0)))</f>
        <v>#DIV/0!</v>
      </c>
      <c r="AC1116" s="34" t="e">
        <f t="shared" si="95"/>
        <v>#DIV/0!</v>
      </c>
      <c r="AD1116" s="34" t="e">
        <f ca="1">SQRT($B$9*SUM(AC1116:OFFSET(AC1116,$B$5-1,0))/($B$5-1))</f>
        <v>#DIV/0!</v>
      </c>
      <c r="AE1116" s="34" t="e">
        <f ca="1">SQRT($B$9*SUM(AC1116:OFFSET(AC1116,$B$6-1,0))/($B$6-1))</f>
        <v>#DIV/0!</v>
      </c>
      <c r="AF1116" s="34" t="e">
        <f ca="1">SQRT($B$9*SUM(AC1116:OFFSET(AC1116,$B$7-1,0))/($B$7-1))</f>
        <v>#DIV/0!</v>
      </c>
      <c r="AG1116" s="34" t="e">
        <f ca="1">SQRT($B$9*SUM(AC1116:OFFSET(AC1116,$B$8-1,0))/($B$8-1))</f>
        <v>#DIV/0!</v>
      </c>
      <c r="AI1116" s="1" t="e">
        <f t="shared" si="96"/>
        <v>#DIV/0!</v>
      </c>
      <c r="AJ1116" s="4" t="e">
        <f ca="1">SQRT($B$9)*_xlfn.STDEV.S(AI1116:OFFSET(AI1116,$B$5-1,0))</f>
        <v>#DIV/0!</v>
      </c>
      <c r="AK1116" s="4" t="e">
        <f ca="1">SQRT($B$9)*_xlfn.STDEV.S(AI1116:OFFSET(AI1116,$B$6-1,0))</f>
        <v>#DIV/0!</v>
      </c>
      <c r="AL1116" s="4" t="e">
        <f ca="1">SQRT($B$9)*_xlfn.STDEV.S(AI1116:OFFSET(AI1116,$B$7-1,0))</f>
        <v>#DIV/0!</v>
      </c>
      <c r="AM1116" s="4" t="e">
        <f ca="1">SQRT($B$9)*_xlfn.STDEV.S(AI1116:OFFSET(AI1116,$B$8-1,0))</f>
        <v>#DIV/0!</v>
      </c>
    </row>
    <row r="1117" spans="11:39" x14ac:dyDescent="0.2">
      <c r="K1117" s="3" t="e">
        <f t="shared" si="94"/>
        <v>#DIV/0!</v>
      </c>
      <c r="L1117" s="3" t="e">
        <f ca="1">SQRT(AVERAGE(K1117:OFFSET(K1117,$B$5-1,0))*$B$9/(4*LN(2)))</f>
        <v>#DIV/0!</v>
      </c>
      <c r="M1117" s="3" t="e">
        <f ca="1">SQRT(AVERAGE(K1117:OFFSET(K1117,$B$6-1,0))*$B$9/(4*LN(2)))</f>
        <v>#DIV/0!</v>
      </c>
      <c r="N1117" s="3" t="e">
        <f ca="1">SQRT(AVERAGE(K1117:OFFSET(K1117,$B$7-1,0))*$B$9/(4*LN(2)))</f>
        <v>#DIV/0!</v>
      </c>
      <c r="O1117" s="3" t="e">
        <f ca="1">SQRT(AVERAGE(K1117:OFFSET(K1117,$B$8-1,0))*$B$9/(4*LN(2)))</f>
        <v>#DIV/0!</v>
      </c>
      <c r="Q1117" s="5" t="e">
        <f t="shared" si="93"/>
        <v>#DIV/0!</v>
      </c>
      <c r="R1117" s="5" t="e">
        <f ca="1">SQRT($B$9*AVERAGE((Q1117:OFFSET(Q1117,$B$5-1,0))))</f>
        <v>#DIV/0!</v>
      </c>
      <c r="S1117" s="5" t="e">
        <f ca="1">SQRT($B$9*AVERAGE((Q1117:OFFSET(Q1117,$B$6-1,0))))</f>
        <v>#DIV/0!</v>
      </c>
      <c r="T1117" s="5" t="e">
        <f ca="1">SQRT($B$9*AVERAGE((Q1117:OFFSET(Q1117,$B$7-1,0))))</f>
        <v>#DIV/0!</v>
      </c>
      <c r="U1117" s="5" t="e">
        <f ca="1">SQRT($B$9*AVERAGE((Q1117:OFFSET(Q1117,$B$8-1,0))))</f>
        <v>#DIV/0!</v>
      </c>
      <c r="W1117" s="6" t="e">
        <f t="shared" si="92"/>
        <v>#DIV/0!</v>
      </c>
      <c r="X1117" s="6" t="e">
        <f ca="1">SQRT($B$9*AVERAGE(W1117:OFFSET(W1117,$B$5-1,0)))</f>
        <v>#DIV/0!</v>
      </c>
      <c r="Y1117" s="6" t="e">
        <f ca="1">SQRT($B$9*AVERAGE(W1117:OFFSET(W1117,$B$6-1,0)))</f>
        <v>#DIV/0!</v>
      </c>
      <c r="Z1117" s="6" t="e">
        <f ca="1">SQRT($B$9*AVERAGE(W1117:OFFSET(W1117,$B$7-1,0)))</f>
        <v>#DIV/0!</v>
      </c>
      <c r="AA1117" s="6" t="e">
        <f ca="1">SQRT($B$9*AVERAGE(W1117:OFFSET(W1117,$B$8-1,0)))</f>
        <v>#DIV/0!</v>
      </c>
      <c r="AC1117" s="34" t="e">
        <f t="shared" si="95"/>
        <v>#DIV/0!</v>
      </c>
      <c r="AD1117" s="34" t="e">
        <f ca="1">SQRT($B$9*SUM(AC1117:OFFSET(AC1117,$B$5-1,0))/($B$5-1))</f>
        <v>#DIV/0!</v>
      </c>
      <c r="AE1117" s="34" t="e">
        <f ca="1">SQRT($B$9*SUM(AC1117:OFFSET(AC1117,$B$6-1,0))/($B$6-1))</f>
        <v>#DIV/0!</v>
      </c>
      <c r="AF1117" s="34" t="e">
        <f ca="1">SQRT($B$9*SUM(AC1117:OFFSET(AC1117,$B$7-1,0))/($B$7-1))</f>
        <v>#DIV/0!</v>
      </c>
      <c r="AG1117" s="34" t="e">
        <f ca="1">SQRT($B$9*SUM(AC1117:OFFSET(AC1117,$B$8-1,0))/($B$8-1))</f>
        <v>#DIV/0!</v>
      </c>
      <c r="AI1117" s="1" t="e">
        <f t="shared" si="96"/>
        <v>#DIV/0!</v>
      </c>
      <c r="AJ1117" s="4" t="e">
        <f ca="1">SQRT($B$9)*_xlfn.STDEV.S(AI1117:OFFSET(AI1117,$B$5-1,0))</f>
        <v>#DIV/0!</v>
      </c>
      <c r="AK1117" s="4" t="e">
        <f ca="1">SQRT($B$9)*_xlfn.STDEV.S(AI1117:OFFSET(AI1117,$B$6-1,0))</f>
        <v>#DIV/0!</v>
      </c>
      <c r="AL1117" s="4" t="e">
        <f ca="1">SQRT($B$9)*_xlfn.STDEV.S(AI1117:OFFSET(AI1117,$B$7-1,0))</f>
        <v>#DIV/0!</v>
      </c>
      <c r="AM1117" s="4" t="e">
        <f ca="1">SQRT($B$9)*_xlfn.STDEV.S(AI1117:OFFSET(AI1117,$B$8-1,0))</f>
        <v>#DIV/0!</v>
      </c>
    </row>
    <row r="1118" spans="11:39" x14ac:dyDescent="0.2">
      <c r="K1118" s="3" t="e">
        <f t="shared" si="94"/>
        <v>#DIV/0!</v>
      </c>
      <c r="L1118" s="3" t="e">
        <f ca="1">SQRT(AVERAGE(K1118:OFFSET(K1118,$B$5-1,0))*$B$9/(4*LN(2)))</f>
        <v>#DIV/0!</v>
      </c>
      <c r="M1118" s="3" t="e">
        <f ca="1">SQRT(AVERAGE(K1118:OFFSET(K1118,$B$6-1,0))*$B$9/(4*LN(2)))</f>
        <v>#DIV/0!</v>
      </c>
      <c r="N1118" s="3" t="e">
        <f ca="1">SQRT(AVERAGE(K1118:OFFSET(K1118,$B$7-1,0))*$B$9/(4*LN(2)))</f>
        <v>#DIV/0!</v>
      </c>
      <c r="O1118" s="3" t="e">
        <f ca="1">SQRT(AVERAGE(K1118:OFFSET(K1118,$B$8-1,0))*$B$9/(4*LN(2)))</f>
        <v>#DIV/0!</v>
      </c>
      <c r="Q1118" s="5" t="e">
        <f t="shared" si="93"/>
        <v>#DIV/0!</v>
      </c>
      <c r="R1118" s="5" t="e">
        <f ca="1">SQRT($B$9*AVERAGE((Q1118:OFFSET(Q1118,$B$5-1,0))))</f>
        <v>#DIV/0!</v>
      </c>
      <c r="S1118" s="5" t="e">
        <f ca="1">SQRT($B$9*AVERAGE((Q1118:OFFSET(Q1118,$B$6-1,0))))</f>
        <v>#DIV/0!</v>
      </c>
      <c r="T1118" s="5" t="e">
        <f ca="1">SQRT($B$9*AVERAGE((Q1118:OFFSET(Q1118,$B$7-1,0))))</f>
        <v>#DIV/0!</v>
      </c>
      <c r="U1118" s="5" t="e">
        <f ca="1">SQRT($B$9*AVERAGE((Q1118:OFFSET(Q1118,$B$8-1,0))))</f>
        <v>#DIV/0!</v>
      </c>
      <c r="W1118" s="6" t="e">
        <f t="shared" si="92"/>
        <v>#DIV/0!</v>
      </c>
      <c r="X1118" s="6" t="e">
        <f ca="1">SQRT($B$9*AVERAGE(W1118:OFFSET(W1118,$B$5-1,0)))</f>
        <v>#DIV/0!</v>
      </c>
      <c r="Y1118" s="6" t="e">
        <f ca="1">SQRT($B$9*AVERAGE(W1118:OFFSET(W1118,$B$6-1,0)))</f>
        <v>#DIV/0!</v>
      </c>
      <c r="Z1118" s="6" t="e">
        <f ca="1">SQRT($B$9*AVERAGE(W1118:OFFSET(W1118,$B$7-1,0)))</f>
        <v>#DIV/0!</v>
      </c>
      <c r="AA1118" s="6" t="e">
        <f ca="1">SQRT($B$9*AVERAGE(W1118:OFFSET(W1118,$B$8-1,0)))</f>
        <v>#DIV/0!</v>
      </c>
      <c r="AC1118" s="34" t="e">
        <f t="shared" si="95"/>
        <v>#DIV/0!</v>
      </c>
      <c r="AD1118" s="34" t="e">
        <f ca="1">SQRT($B$9*SUM(AC1118:OFFSET(AC1118,$B$5-1,0))/($B$5-1))</f>
        <v>#DIV/0!</v>
      </c>
      <c r="AE1118" s="34" t="e">
        <f ca="1">SQRT($B$9*SUM(AC1118:OFFSET(AC1118,$B$6-1,0))/($B$6-1))</f>
        <v>#DIV/0!</v>
      </c>
      <c r="AF1118" s="34" t="e">
        <f ca="1">SQRT($B$9*SUM(AC1118:OFFSET(AC1118,$B$7-1,0))/($B$7-1))</f>
        <v>#DIV/0!</v>
      </c>
      <c r="AG1118" s="34" t="e">
        <f ca="1">SQRT($B$9*SUM(AC1118:OFFSET(AC1118,$B$8-1,0))/($B$8-1))</f>
        <v>#DIV/0!</v>
      </c>
      <c r="AI1118" s="1" t="e">
        <f t="shared" si="96"/>
        <v>#DIV/0!</v>
      </c>
      <c r="AJ1118" s="4" t="e">
        <f ca="1">SQRT($B$9)*_xlfn.STDEV.S(AI1118:OFFSET(AI1118,$B$5-1,0))</f>
        <v>#DIV/0!</v>
      </c>
      <c r="AK1118" s="4" t="e">
        <f ca="1">SQRT($B$9)*_xlfn.STDEV.S(AI1118:OFFSET(AI1118,$B$6-1,0))</f>
        <v>#DIV/0!</v>
      </c>
      <c r="AL1118" s="4" t="e">
        <f ca="1">SQRT($B$9)*_xlfn.STDEV.S(AI1118:OFFSET(AI1118,$B$7-1,0))</f>
        <v>#DIV/0!</v>
      </c>
      <c r="AM1118" s="4" t="e">
        <f ca="1">SQRT($B$9)*_xlfn.STDEV.S(AI1118:OFFSET(AI1118,$B$8-1,0))</f>
        <v>#DIV/0!</v>
      </c>
    </row>
    <row r="1119" spans="11:39" x14ac:dyDescent="0.2">
      <c r="K1119" s="3" t="e">
        <f t="shared" si="94"/>
        <v>#DIV/0!</v>
      </c>
      <c r="L1119" s="3" t="e">
        <f ca="1">SQRT(AVERAGE(K1119:OFFSET(K1119,$B$5-1,0))*$B$9/(4*LN(2)))</f>
        <v>#DIV/0!</v>
      </c>
      <c r="M1119" s="3" t="e">
        <f ca="1">SQRT(AVERAGE(K1119:OFFSET(K1119,$B$6-1,0))*$B$9/(4*LN(2)))</f>
        <v>#DIV/0!</v>
      </c>
      <c r="N1119" s="3" t="e">
        <f ca="1">SQRT(AVERAGE(K1119:OFFSET(K1119,$B$7-1,0))*$B$9/(4*LN(2)))</f>
        <v>#DIV/0!</v>
      </c>
      <c r="O1119" s="3" t="e">
        <f ca="1">SQRT(AVERAGE(K1119:OFFSET(K1119,$B$8-1,0))*$B$9/(4*LN(2)))</f>
        <v>#DIV/0!</v>
      </c>
      <c r="Q1119" s="5" t="e">
        <f t="shared" si="93"/>
        <v>#DIV/0!</v>
      </c>
      <c r="R1119" s="5" t="e">
        <f ca="1">SQRT($B$9*AVERAGE((Q1119:OFFSET(Q1119,$B$5-1,0))))</f>
        <v>#DIV/0!</v>
      </c>
      <c r="S1119" s="5" t="e">
        <f ca="1">SQRT($B$9*AVERAGE((Q1119:OFFSET(Q1119,$B$6-1,0))))</f>
        <v>#DIV/0!</v>
      </c>
      <c r="T1119" s="5" t="e">
        <f ca="1">SQRT($B$9*AVERAGE((Q1119:OFFSET(Q1119,$B$7-1,0))))</f>
        <v>#DIV/0!</v>
      </c>
      <c r="U1119" s="5" t="e">
        <f ca="1">SQRT($B$9*AVERAGE((Q1119:OFFSET(Q1119,$B$8-1,0))))</f>
        <v>#DIV/0!</v>
      </c>
      <c r="W1119" s="6" t="e">
        <f t="shared" si="92"/>
        <v>#DIV/0!</v>
      </c>
      <c r="X1119" s="6" t="e">
        <f ca="1">SQRT($B$9*AVERAGE(W1119:OFFSET(W1119,$B$5-1,0)))</f>
        <v>#DIV/0!</v>
      </c>
      <c r="Y1119" s="6" t="e">
        <f ca="1">SQRT($B$9*AVERAGE(W1119:OFFSET(W1119,$B$6-1,0)))</f>
        <v>#DIV/0!</v>
      </c>
      <c r="Z1119" s="6" t="e">
        <f ca="1">SQRT($B$9*AVERAGE(W1119:OFFSET(W1119,$B$7-1,0)))</f>
        <v>#DIV/0!</v>
      </c>
      <c r="AA1119" s="6" t="e">
        <f ca="1">SQRT($B$9*AVERAGE(W1119:OFFSET(W1119,$B$8-1,0)))</f>
        <v>#DIV/0!</v>
      </c>
      <c r="AC1119" s="34" t="e">
        <f t="shared" si="95"/>
        <v>#DIV/0!</v>
      </c>
      <c r="AD1119" s="34" t="e">
        <f ca="1">SQRT($B$9*SUM(AC1119:OFFSET(AC1119,$B$5-1,0))/($B$5-1))</f>
        <v>#DIV/0!</v>
      </c>
      <c r="AE1119" s="34" t="e">
        <f ca="1">SQRT($B$9*SUM(AC1119:OFFSET(AC1119,$B$6-1,0))/($B$6-1))</f>
        <v>#DIV/0!</v>
      </c>
      <c r="AF1119" s="34" t="e">
        <f ca="1">SQRT($B$9*SUM(AC1119:OFFSET(AC1119,$B$7-1,0))/($B$7-1))</f>
        <v>#DIV/0!</v>
      </c>
      <c r="AG1119" s="34" t="e">
        <f ca="1">SQRT($B$9*SUM(AC1119:OFFSET(AC1119,$B$8-1,0))/($B$8-1))</f>
        <v>#DIV/0!</v>
      </c>
      <c r="AI1119" s="1" t="e">
        <f t="shared" si="96"/>
        <v>#DIV/0!</v>
      </c>
      <c r="AJ1119" s="4" t="e">
        <f ca="1">SQRT($B$9)*_xlfn.STDEV.S(AI1119:OFFSET(AI1119,$B$5-1,0))</f>
        <v>#DIV/0!</v>
      </c>
      <c r="AK1119" s="4" t="e">
        <f ca="1">SQRT($B$9)*_xlfn.STDEV.S(AI1119:OFFSET(AI1119,$B$6-1,0))</f>
        <v>#DIV/0!</v>
      </c>
      <c r="AL1119" s="4" t="e">
        <f ca="1">SQRT($B$9)*_xlfn.STDEV.S(AI1119:OFFSET(AI1119,$B$7-1,0))</f>
        <v>#DIV/0!</v>
      </c>
      <c r="AM1119" s="4" t="e">
        <f ca="1">SQRT($B$9)*_xlfn.STDEV.S(AI1119:OFFSET(AI1119,$B$8-1,0))</f>
        <v>#DIV/0!</v>
      </c>
    </row>
    <row r="1120" spans="11:39" x14ac:dyDescent="0.2">
      <c r="K1120" s="3" t="e">
        <f t="shared" si="94"/>
        <v>#DIV/0!</v>
      </c>
      <c r="L1120" s="3" t="e">
        <f ca="1">SQRT(AVERAGE(K1120:OFFSET(K1120,$B$5-1,0))*$B$9/(4*LN(2)))</f>
        <v>#DIV/0!</v>
      </c>
      <c r="M1120" s="3" t="e">
        <f ca="1">SQRT(AVERAGE(K1120:OFFSET(K1120,$B$6-1,0))*$B$9/(4*LN(2)))</f>
        <v>#DIV/0!</v>
      </c>
      <c r="N1120" s="3" t="e">
        <f ca="1">SQRT(AVERAGE(K1120:OFFSET(K1120,$B$7-1,0))*$B$9/(4*LN(2)))</f>
        <v>#DIV/0!</v>
      </c>
      <c r="O1120" s="3" t="e">
        <f ca="1">SQRT(AVERAGE(K1120:OFFSET(K1120,$B$8-1,0))*$B$9/(4*LN(2)))</f>
        <v>#DIV/0!</v>
      </c>
      <c r="Q1120" s="5" t="e">
        <f t="shared" si="93"/>
        <v>#DIV/0!</v>
      </c>
      <c r="R1120" s="5" t="e">
        <f ca="1">SQRT($B$9*AVERAGE((Q1120:OFFSET(Q1120,$B$5-1,0))))</f>
        <v>#DIV/0!</v>
      </c>
      <c r="S1120" s="5" t="e">
        <f ca="1">SQRT($B$9*AVERAGE((Q1120:OFFSET(Q1120,$B$6-1,0))))</f>
        <v>#DIV/0!</v>
      </c>
      <c r="T1120" s="5" t="e">
        <f ca="1">SQRT($B$9*AVERAGE((Q1120:OFFSET(Q1120,$B$7-1,0))))</f>
        <v>#DIV/0!</v>
      </c>
      <c r="U1120" s="5" t="e">
        <f ca="1">SQRT($B$9*AVERAGE((Q1120:OFFSET(Q1120,$B$8-1,0))))</f>
        <v>#DIV/0!</v>
      </c>
      <c r="W1120" s="6" t="e">
        <f t="shared" si="92"/>
        <v>#DIV/0!</v>
      </c>
      <c r="X1120" s="6" t="e">
        <f ca="1">SQRT($B$9*AVERAGE(W1120:OFFSET(W1120,$B$5-1,0)))</f>
        <v>#DIV/0!</v>
      </c>
      <c r="Y1120" s="6" t="e">
        <f ca="1">SQRT($B$9*AVERAGE(W1120:OFFSET(W1120,$B$6-1,0)))</f>
        <v>#DIV/0!</v>
      </c>
      <c r="Z1120" s="6" t="e">
        <f ca="1">SQRT($B$9*AVERAGE(W1120:OFFSET(W1120,$B$7-1,0)))</f>
        <v>#DIV/0!</v>
      </c>
      <c r="AA1120" s="6" t="e">
        <f ca="1">SQRT($B$9*AVERAGE(W1120:OFFSET(W1120,$B$8-1,0)))</f>
        <v>#DIV/0!</v>
      </c>
      <c r="AC1120" s="34" t="e">
        <f t="shared" si="95"/>
        <v>#DIV/0!</v>
      </c>
      <c r="AD1120" s="34" t="e">
        <f ca="1">SQRT($B$9*SUM(AC1120:OFFSET(AC1120,$B$5-1,0))/($B$5-1))</f>
        <v>#DIV/0!</v>
      </c>
      <c r="AE1120" s="34" t="e">
        <f ca="1">SQRT($B$9*SUM(AC1120:OFFSET(AC1120,$B$6-1,0))/($B$6-1))</f>
        <v>#DIV/0!</v>
      </c>
      <c r="AF1120" s="34" t="e">
        <f ca="1">SQRT($B$9*SUM(AC1120:OFFSET(AC1120,$B$7-1,0))/($B$7-1))</f>
        <v>#DIV/0!</v>
      </c>
      <c r="AG1120" s="34" t="e">
        <f ca="1">SQRT($B$9*SUM(AC1120:OFFSET(AC1120,$B$8-1,0))/($B$8-1))</f>
        <v>#DIV/0!</v>
      </c>
      <c r="AI1120" s="1" t="e">
        <f t="shared" si="96"/>
        <v>#DIV/0!</v>
      </c>
      <c r="AJ1120" s="4" t="e">
        <f ca="1">SQRT($B$9)*_xlfn.STDEV.S(AI1120:OFFSET(AI1120,$B$5-1,0))</f>
        <v>#DIV/0!</v>
      </c>
      <c r="AK1120" s="4" t="e">
        <f ca="1">SQRT($B$9)*_xlfn.STDEV.S(AI1120:OFFSET(AI1120,$B$6-1,0))</f>
        <v>#DIV/0!</v>
      </c>
      <c r="AL1120" s="4" t="e">
        <f ca="1">SQRT($B$9)*_xlfn.STDEV.S(AI1120:OFFSET(AI1120,$B$7-1,0))</f>
        <v>#DIV/0!</v>
      </c>
      <c r="AM1120" s="4" t="e">
        <f ca="1">SQRT($B$9)*_xlfn.STDEV.S(AI1120:OFFSET(AI1120,$B$8-1,0))</f>
        <v>#DIV/0!</v>
      </c>
    </row>
    <row r="1121" spans="11:39" x14ac:dyDescent="0.2">
      <c r="K1121" s="3" t="e">
        <f t="shared" si="94"/>
        <v>#DIV/0!</v>
      </c>
      <c r="L1121" s="3" t="e">
        <f ca="1">SQRT(AVERAGE(K1121:OFFSET(K1121,$B$5-1,0))*$B$9/(4*LN(2)))</f>
        <v>#DIV/0!</v>
      </c>
      <c r="M1121" s="3" t="e">
        <f ca="1">SQRT(AVERAGE(K1121:OFFSET(K1121,$B$6-1,0))*$B$9/(4*LN(2)))</f>
        <v>#DIV/0!</v>
      </c>
      <c r="N1121" s="3" t="e">
        <f ca="1">SQRT(AVERAGE(K1121:OFFSET(K1121,$B$7-1,0))*$B$9/(4*LN(2)))</f>
        <v>#DIV/0!</v>
      </c>
      <c r="O1121" s="3" t="e">
        <f ca="1">SQRT(AVERAGE(K1121:OFFSET(K1121,$B$8-1,0))*$B$9/(4*LN(2)))</f>
        <v>#DIV/0!</v>
      </c>
      <c r="Q1121" s="5" t="e">
        <f t="shared" si="93"/>
        <v>#DIV/0!</v>
      </c>
      <c r="R1121" s="5" t="e">
        <f ca="1">SQRT($B$9*AVERAGE((Q1121:OFFSET(Q1121,$B$5-1,0))))</f>
        <v>#DIV/0!</v>
      </c>
      <c r="S1121" s="5" t="e">
        <f ca="1">SQRT($B$9*AVERAGE((Q1121:OFFSET(Q1121,$B$6-1,0))))</f>
        <v>#DIV/0!</v>
      </c>
      <c r="T1121" s="5" t="e">
        <f ca="1">SQRT($B$9*AVERAGE((Q1121:OFFSET(Q1121,$B$7-1,0))))</f>
        <v>#DIV/0!</v>
      </c>
      <c r="U1121" s="5" t="e">
        <f ca="1">SQRT($B$9*AVERAGE((Q1121:OFFSET(Q1121,$B$8-1,0))))</f>
        <v>#DIV/0!</v>
      </c>
      <c r="W1121" s="6" t="e">
        <f t="shared" si="92"/>
        <v>#DIV/0!</v>
      </c>
      <c r="X1121" s="6" t="e">
        <f ca="1">SQRT($B$9*AVERAGE(W1121:OFFSET(W1121,$B$5-1,0)))</f>
        <v>#DIV/0!</v>
      </c>
      <c r="Y1121" s="6" t="e">
        <f ca="1">SQRT($B$9*AVERAGE(W1121:OFFSET(W1121,$B$6-1,0)))</f>
        <v>#DIV/0!</v>
      </c>
      <c r="Z1121" s="6" t="e">
        <f ca="1">SQRT($B$9*AVERAGE(W1121:OFFSET(W1121,$B$7-1,0)))</f>
        <v>#DIV/0!</v>
      </c>
      <c r="AA1121" s="6" t="e">
        <f ca="1">SQRT($B$9*AVERAGE(W1121:OFFSET(W1121,$B$8-1,0)))</f>
        <v>#DIV/0!</v>
      </c>
      <c r="AC1121" s="34" t="e">
        <f t="shared" si="95"/>
        <v>#DIV/0!</v>
      </c>
      <c r="AD1121" s="34" t="e">
        <f ca="1">SQRT($B$9*SUM(AC1121:OFFSET(AC1121,$B$5-1,0))/($B$5-1))</f>
        <v>#DIV/0!</v>
      </c>
      <c r="AE1121" s="34" t="e">
        <f ca="1">SQRT($B$9*SUM(AC1121:OFFSET(AC1121,$B$6-1,0))/($B$6-1))</f>
        <v>#DIV/0!</v>
      </c>
      <c r="AF1121" s="34" t="e">
        <f ca="1">SQRT($B$9*SUM(AC1121:OFFSET(AC1121,$B$7-1,0))/($B$7-1))</f>
        <v>#DIV/0!</v>
      </c>
      <c r="AG1121" s="34" t="e">
        <f ca="1">SQRT($B$9*SUM(AC1121:OFFSET(AC1121,$B$8-1,0))/($B$8-1))</f>
        <v>#DIV/0!</v>
      </c>
      <c r="AI1121" s="1" t="e">
        <f t="shared" si="96"/>
        <v>#DIV/0!</v>
      </c>
      <c r="AJ1121" s="4" t="e">
        <f ca="1">SQRT($B$9)*_xlfn.STDEV.S(AI1121:OFFSET(AI1121,$B$5-1,0))</f>
        <v>#DIV/0!</v>
      </c>
      <c r="AK1121" s="4" t="e">
        <f ca="1">SQRT($B$9)*_xlfn.STDEV.S(AI1121:OFFSET(AI1121,$B$6-1,0))</f>
        <v>#DIV/0!</v>
      </c>
      <c r="AL1121" s="4" t="e">
        <f ca="1">SQRT($B$9)*_xlfn.STDEV.S(AI1121:OFFSET(AI1121,$B$7-1,0))</f>
        <v>#DIV/0!</v>
      </c>
      <c r="AM1121" s="4" t="e">
        <f ca="1">SQRT($B$9)*_xlfn.STDEV.S(AI1121:OFFSET(AI1121,$B$8-1,0))</f>
        <v>#DIV/0!</v>
      </c>
    </row>
    <row r="1122" spans="11:39" x14ac:dyDescent="0.2">
      <c r="K1122" s="3" t="e">
        <f t="shared" si="94"/>
        <v>#DIV/0!</v>
      </c>
      <c r="L1122" s="3" t="e">
        <f ca="1">SQRT(AVERAGE(K1122:OFFSET(K1122,$B$5-1,0))*$B$9/(4*LN(2)))</f>
        <v>#DIV/0!</v>
      </c>
      <c r="M1122" s="3" t="e">
        <f ca="1">SQRT(AVERAGE(K1122:OFFSET(K1122,$B$6-1,0))*$B$9/(4*LN(2)))</f>
        <v>#DIV/0!</v>
      </c>
      <c r="N1122" s="3" t="e">
        <f ca="1">SQRT(AVERAGE(K1122:OFFSET(K1122,$B$7-1,0))*$B$9/(4*LN(2)))</f>
        <v>#DIV/0!</v>
      </c>
      <c r="O1122" s="3" t="e">
        <f ca="1">SQRT(AVERAGE(K1122:OFFSET(K1122,$B$8-1,0))*$B$9/(4*LN(2)))</f>
        <v>#DIV/0!</v>
      </c>
      <c r="Q1122" s="5" t="e">
        <f t="shared" si="93"/>
        <v>#DIV/0!</v>
      </c>
      <c r="R1122" s="5" t="e">
        <f ca="1">SQRT($B$9*AVERAGE((Q1122:OFFSET(Q1122,$B$5-1,0))))</f>
        <v>#DIV/0!</v>
      </c>
      <c r="S1122" s="5" t="e">
        <f ca="1">SQRT($B$9*AVERAGE((Q1122:OFFSET(Q1122,$B$6-1,0))))</f>
        <v>#DIV/0!</v>
      </c>
      <c r="T1122" s="5" t="e">
        <f ca="1">SQRT($B$9*AVERAGE((Q1122:OFFSET(Q1122,$B$7-1,0))))</f>
        <v>#DIV/0!</v>
      </c>
      <c r="U1122" s="5" t="e">
        <f ca="1">SQRT($B$9*AVERAGE((Q1122:OFFSET(Q1122,$B$8-1,0))))</f>
        <v>#DIV/0!</v>
      </c>
      <c r="W1122" s="6" t="e">
        <f t="shared" si="92"/>
        <v>#DIV/0!</v>
      </c>
      <c r="X1122" s="6" t="e">
        <f ca="1">SQRT($B$9*AVERAGE(W1122:OFFSET(W1122,$B$5-1,0)))</f>
        <v>#DIV/0!</v>
      </c>
      <c r="Y1122" s="6" t="e">
        <f ca="1">SQRT($B$9*AVERAGE(W1122:OFFSET(W1122,$B$6-1,0)))</f>
        <v>#DIV/0!</v>
      </c>
      <c r="Z1122" s="6" t="e">
        <f ca="1">SQRT($B$9*AVERAGE(W1122:OFFSET(W1122,$B$7-1,0)))</f>
        <v>#DIV/0!</v>
      </c>
      <c r="AA1122" s="6" t="e">
        <f ca="1">SQRT($B$9*AVERAGE(W1122:OFFSET(W1122,$B$8-1,0)))</f>
        <v>#DIV/0!</v>
      </c>
      <c r="AC1122" s="34" t="e">
        <f t="shared" si="95"/>
        <v>#DIV/0!</v>
      </c>
      <c r="AD1122" s="34" t="e">
        <f ca="1">SQRT($B$9*SUM(AC1122:OFFSET(AC1122,$B$5-1,0))/($B$5-1))</f>
        <v>#DIV/0!</v>
      </c>
      <c r="AE1122" s="34" t="e">
        <f ca="1">SQRT($B$9*SUM(AC1122:OFFSET(AC1122,$B$6-1,0))/($B$6-1))</f>
        <v>#DIV/0!</v>
      </c>
      <c r="AF1122" s="34" t="e">
        <f ca="1">SQRT($B$9*SUM(AC1122:OFFSET(AC1122,$B$7-1,0))/($B$7-1))</f>
        <v>#DIV/0!</v>
      </c>
      <c r="AG1122" s="34" t="e">
        <f ca="1">SQRT($B$9*SUM(AC1122:OFFSET(AC1122,$B$8-1,0))/($B$8-1))</f>
        <v>#DIV/0!</v>
      </c>
      <c r="AI1122" s="1" t="e">
        <f t="shared" si="96"/>
        <v>#DIV/0!</v>
      </c>
      <c r="AJ1122" s="4" t="e">
        <f ca="1">SQRT($B$9)*_xlfn.STDEV.S(AI1122:OFFSET(AI1122,$B$5-1,0))</f>
        <v>#DIV/0!</v>
      </c>
      <c r="AK1122" s="4" t="e">
        <f ca="1">SQRT($B$9)*_xlfn.STDEV.S(AI1122:OFFSET(AI1122,$B$6-1,0))</f>
        <v>#DIV/0!</v>
      </c>
      <c r="AL1122" s="4" t="e">
        <f ca="1">SQRT($B$9)*_xlfn.STDEV.S(AI1122:OFFSET(AI1122,$B$7-1,0))</f>
        <v>#DIV/0!</v>
      </c>
      <c r="AM1122" s="4" t="e">
        <f ca="1">SQRT($B$9)*_xlfn.STDEV.S(AI1122:OFFSET(AI1122,$B$8-1,0))</f>
        <v>#DIV/0!</v>
      </c>
    </row>
    <row r="1123" spans="11:39" x14ac:dyDescent="0.2">
      <c r="K1123" s="3" t="e">
        <f t="shared" si="94"/>
        <v>#DIV/0!</v>
      </c>
      <c r="L1123" s="3" t="e">
        <f ca="1">SQRT(AVERAGE(K1123:OFFSET(K1123,$B$5-1,0))*$B$9/(4*LN(2)))</f>
        <v>#DIV/0!</v>
      </c>
      <c r="M1123" s="3" t="e">
        <f ca="1">SQRT(AVERAGE(K1123:OFFSET(K1123,$B$6-1,0))*$B$9/(4*LN(2)))</f>
        <v>#DIV/0!</v>
      </c>
      <c r="N1123" s="3" t="e">
        <f ca="1">SQRT(AVERAGE(K1123:OFFSET(K1123,$B$7-1,0))*$B$9/(4*LN(2)))</f>
        <v>#DIV/0!</v>
      </c>
      <c r="O1123" s="3" t="e">
        <f ca="1">SQRT(AVERAGE(K1123:OFFSET(K1123,$B$8-1,0))*$B$9/(4*LN(2)))</f>
        <v>#DIV/0!</v>
      </c>
      <c r="Q1123" s="5" t="e">
        <f t="shared" si="93"/>
        <v>#DIV/0!</v>
      </c>
      <c r="R1123" s="5" t="e">
        <f ca="1">SQRT($B$9*AVERAGE((Q1123:OFFSET(Q1123,$B$5-1,0))))</f>
        <v>#DIV/0!</v>
      </c>
      <c r="S1123" s="5" t="e">
        <f ca="1">SQRT($B$9*AVERAGE((Q1123:OFFSET(Q1123,$B$6-1,0))))</f>
        <v>#DIV/0!</v>
      </c>
      <c r="T1123" s="5" t="e">
        <f ca="1">SQRT($B$9*AVERAGE((Q1123:OFFSET(Q1123,$B$7-1,0))))</f>
        <v>#DIV/0!</v>
      </c>
      <c r="U1123" s="5" t="e">
        <f ca="1">SQRT($B$9*AVERAGE((Q1123:OFFSET(Q1123,$B$8-1,0))))</f>
        <v>#DIV/0!</v>
      </c>
      <c r="W1123" s="6" t="e">
        <f t="shared" si="92"/>
        <v>#DIV/0!</v>
      </c>
      <c r="X1123" s="6" t="e">
        <f ca="1">SQRT($B$9*AVERAGE(W1123:OFFSET(W1123,$B$5-1,0)))</f>
        <v>#DIV/0!</v>
      </c>
      <c r="Y1123" s="6" t="e">
        <f ca="1">SQRT($B$9*AVERAGE(W1123:OFFSET(W1123,$B$6-1,0)))</f>
        <v>#DIV/0!</v>
      </c>
      <c r="Z1123" s="6" t="e">
        <f ca="1">SQRT($B$9*AVERAGE(W1123:OFFSET(W1123,$B$7-1,0)))</f>
        <v>#DIV/0!</v>
      </c>
      <c r="AA1123" s="6" t="e">
        <f ca="1">SQRT($B$9*AVERAGE(W1123:OFFSET(W1123,$B$8-1,0)))</f>
        <v>#DIV/0!</v>
      </c>
      <c r="AC1123" s="34" t="e">
        <f t="shared" si="95"/>
        <v>#DIV/0!</v>
      </c>
      <c r="AD1123" s="34" t="e">
        <f ca="1">SQRT($B$9*SUM(AC1123:OFFSET(AC1123,$B$5-1,0))/($B$5-1))</f>
        <v>#DIV/0!</v>
      </c>
      <c r="AE1123" s="34" t="e">
        <f ca="1">SQRT($B$9*SUM(AC1123:OFFSET(AC1123,$B$6-1,0))/($B$6-1))</f>
        <v>#DIV/0!</v>
      </c>
      <c r="AF1123" s="34" t="e">
        <f ca="1">SQRT($B$9*SUM(AC1123:OFFSET(AC1123,$B$7-1,0))/($B$7-1))</f>
        <v>#DIV/0!</v>
      </c>
      <c r="AG1123" s="34" t="e">
        <f ca="1">SQRT($B$9*SUM(AC1123:OFFSET(AC1123,$B$8-1,0))/($B$8-1))</f>
        <v>#DIV/0!</v>
      </c>
      <c r="AI1123" s="1" t="e">
        <f t="shared" si="96"/>
        <v>#DIV/0!</v>
      </c>
      <c r="AJ1123" s="4" t="e">
        <f ca="1">SQRT($B$9)*_xlfn.STDEV.S(AI1123:OFFSET(AI1123,$B$5-1,0))</f>
        <v>#DIV/0!</v>
      </c>
      <c r="AK1123" s="4" t="e">
        <f ca="1">SQRT($B$9)*_xlfn.STDEV.S(AI1123:OFFSET(AI1123,$B$6-1,0))</f>
        <v>#DIV/0!</v>
      </c>
      <c r="AL1123" s="4" t="e">
        <f ca="1">SQRT($B$9)*_xlfn.STDEV.S(AI1123:OFFSET(AI1123,$B$7-1,0))</f>
        <v>#DIV/0!</v>
      </c>
      <c r="AM1123" s="4" t="e">
        <f ca="1">SQRT($B$9)*_xlfn.STDEV.S(AI1123:OFFSET(AI1123,$B$8-1,0))</f>
        <v>#DIV/0!</v>
      </c>
    </row>
    <row r="1124" spans="11:39" x14ac:dyDescent="0.2">
      <c r="K1124" s="3" t="e">
        <f t="shared" si="94"/>
        <v>#DIV/0!</v>
      </c>
      <c r="L1124" s="3" t="e">
        <f ca="1">SQRT(AVERAGE(K1124:OFFSET(K1124,$B$5-1,0))*$B$9/(4*LN(2)))</f>
        <v>#DIV/0!</v>
      </c>
      <c r="M1124" s="3" t="e">
        <f ca="1">SQRT(AVERAGE(K1124:OFFSET(K1124,$B$6-1,0))*$B$9/(4*LN(2)))</f>
        <v>#DIV/0!</v>
      </c>
      <c r="N1124" s="3" t="e">
        <f ca="1">SQRT(AVERAGE(K1124:OFFSET(K1124,$B$7-1,0))*$B$9/(4*LN(2)))</f>
        <v>#DIV/0!</v>
      </c>
      <c r="O1124" s="3" t="e">
        <f ca="1">SQRT(AVERAGE(K1124:OFFSET(K1124,$B$8-1,0))*$B$9/(4*LN(2)))</f>
        <v>#DIV/0!</v>
      </c>
      <c r="Q1124" s="5" t="e">
        <f t="shared" si="93"/>
        <v>#DIV/0!</v>
      </c>
      <c r="R1124" s="5" t="e">
        <f ca="1">SQRT($B$9*AVERAGE((Q1124:OFFSET(Q1124,$B$5-1,0))))</f>
        <v>#DIV/0!</v>
      </c>
      <c r="S1124" s="5" t="e">
        <f ca="1">SQRT($B$9*AVERAGE((Q1124:OFFSET(Q1124,$B$6-1,0))))</f>
        <v>#DIV/0!</v>
      </c>
      <c r="T1124" s="5" t="e">
        <f ca="1">SQRT($B$9*AVERAGE((Q1124:OFFSET(Q1124,$B$7-1,0))))</f>
        <v>#DIV/0!</v>
      </c>
      <c r="U1124" s="5" t="e">
        <f ca="1">SQRT($B$9*AVERAGE((Q1124:OFFSET(Q1124,$B$8-1,0))))</f>
        <v>#DIV/0!</v>
      </c>
      <c r="W1124" s="6" t="e">
        <f t="shared" si="92"/>
        <v>#DIV/0!</v>
      </c>
      <c r="X1124" s="6" t="e">
        <f ca="1">SQRT($B$9*AVERAGE(W1124:OFFSET(W1124,$B$5-1,0)))</f>
        <v>#DIV/0!</v>
      </c>
      <c r="Y1124" s="6" t="e">
        <f ca="1">SQRT($B$9*AVERAGE(W1124:OFFSET(W1124,$B$6-1,0)))</f>
        <v>#DIV/0!</v>
      </c>
      <c r="Z1124" s="6" t="e">
        <f ca="1">SQRT($B$9*AVERAGE(W1124:OFFSET(W1124,$B$7-1,0)))</f>
        <v>#DIV/0!</v>
      </c>
      <c r="AA1124" s="6" t="e">
        <f ca="1">SQRT($B$9*AVERAGE(W1124:OFFSET(W1124,$B$8-1,0)))</f>
        <v>#DIV/0!</v>
      </c>
      <c r="AC1124" s="34" t="e">
        <f t="shared" si="95"/>
        <v>#DIV/0!</v>
      </c>
      <c r="AD1124" s="34" t="e">
        <f ca="1">SQRT($B$9*SUM(AC1124:OFFSET(AC1124,$B$5-1,0))/($B$5-1))</f>
        <v>#DIV/0!</v>
      </c>
      <c r="AE1124" s="34" t="e">
        <f ca="1">SQRT($B$9*SUM(AC1124:OFFSET(AC1124,$B$6-1,0))/($B$6-1))</f>
        <v>#DIV/0!</v>
      </c>
      <c r="AF1124" s="34" t="e">
        <f ca="1">SQRT($B$9*SUM(AC1124:OFFSET(AC1124,$B$7-1,0))/($B$7-1))</f>
        <v>#DIV/0!</v>
      </c>
      <c r="AG1124" s="34" t="e">
        <f ca="1">SQRT($B$9*SUM(AC1124:OFFSET(AC1124,$B$8-1,0))/($B$8-1))</f>
        <v>#DIV/0!</v>
      </c>
      <c r="AI1124" s="1" t="e">
        <f t="shared" si="96"/>
        <v>#DIV/0!</v>
      </c>
      <c r="AJ1124" s="4" t="e">
        <f ca="1">SQRT($B$9)*_xlfn.STDEV.S(AI1124:OFFSET(AI1124,$B$5-1,0))</f>
        <v>#DIV/0!</v>
      </c>
      <c r="AK1124" s="4" t="e">
        <f ca="1">SQRT($B$9)*_xlfn.STDEV.S(AI1124:OFFSET(AI1124,$B$6-1,0))</f>
        <v>#DIV/0!</v>
      </c>
      <c r="AL1124" s="4" t="e">
        <f ca="1">SQRT($B$9)*_xlfn.STDEV.S(AI1124:OFFSET(AI1124,$B$7-1,0))</f>
        <v>#DIV/0!</v>
      </c>
      <c r="AM1124" s="4" t="e">
        <f ca="1">SQRT($B$9)*_xlfn.STDEV.S(AI1124:OFFSET(AI1124,$B$8-1,0))</f>
        <v>#DIV/0!</v>
      </c>
    </row>
    <row r="1125" spans="11:39" x14ac:dyDescent="0.2">
      <c r="K1125" s="3" t="e">
        <f t="shared" si="94"/>
        <v>#DIV/0!</v>
      </c>
      <c r="L1125" s="3" t="e">
        <f ca="1">SQRT(AVERAGE(K1125:OFFSET(K1125,$B$5-1,0))*$B$9/(4*LN(2)))</f>
        <v>#DIV/0!</v>
      </c>
      <c r="M1125" s="3" t="e">
        <f ca="1">SQRT(AVERAGE(K1125:OFFSET(K1125,$B$6-1,0))*$B$9/(4*LN(2)))</f>
        <v>#DIV/0!</v>
      </c>
      <c r="N1125" s="3" t="e">
        <f ca="1">SQRT(AVERAGE(K1125:OFFSET(K1125,$B$7-1,0))*$B$9/(4*LN(2)))</f>
        <v>#DIV/0!</v>
      </c>
      <c r="O1125" s="3" t="e">
        <f ca="1">SQRT(AVERAGE(K1125:OFFSET(K1125,$B$8-1,0))*$B$9/(4*LN(2)))</f>
        <v>#DIV/0!</v>
      </c>
      <c r="Q1125" s="5" t="e">
        <f t="shared" si="93"/>
        <v>#DIV/0!</v>
      </c>
      <c r="R1125" s="5" t="e">
        <f ca="1">SQRT($B$9*AVERAGE((Q1125:OFFSET(Q1125,$B$5-1,0))))</f>
        <v>#DIV/0!</v>
      </c>
      <c r="S1125" s="5" t="e">
        <f ca="1">SQRT($B$9*AVERAGE((Q1125:OFFSET(Q1125,$B$6-1,0))))</f>
        <v>#DIV/0!</v>
      </c>
      <c r="T1125" s="5" t="e">
        <f ca="1">SQRT($B$9*AVERAGE((Q1125:OFFSET(Q1125,$B$7-1,0))))</f>
        <v>#DIV/0!</v>
      </c>
      <c r="U1125" s="5" t="e">
        <f ca="1">SQRT($B$9*AVERAGE((Q1125:OFFSET(Q1125,$B$8-1,0))))</f>
        <v>#DIV/0!</v>
      </c>
      <c r="W1125" s="6" t="e">
        <f t="shared" si="92"/>
        <v>#DIV/0!</v>
      </c>
      <c r="X1125" s="6" t="e">
        <f ca="1">SQRT($B$9*AVERAGE(W1125:OFFSET(W1125,$B$5-1,0)))</f>
        <v>#DIV/0!</v>
      </c>
      <c r="Y1125" s="6" t="e">
        <f ca="1">SQRT($B$9*AVERAGE(W1125:OFFSET(W1125,$B$6-1,0)))</f>
        <v>#DIV/0!</v>
      </c>
      <c r="Z1125" s="6" t="e">
        <f ca="1">SQRT($B$9*AVERAGE(W1125:OFFSET(W1125,$B$7-1,0)))</f>
        <v>#DIV/0!</v>
      </c>
      <c r="AA1125" s="6" t="e">
        <f ca="1">SQRT($B$9*AVERAGE(W1125:OFFSET(W1125,$B$8-1,0)))</f>
        <v>#DIV/0!</v>
      </c>
      <c r="AC1125" s="34" t="e">
        <f t="shared" si="95"/>
        <v>#DIV/0!</v>
      </c>
      <c r="AD1125" s="34" t="e">
        <f ca="1">SQRT($B$9*SUM(AC1125:OFFSET(AC1125,$B$5-1,0))/($B$5-1))</f>
        <v>#DIV/0!</v>
      </c>
      <c r="AE1125" s="34" t="e">
        <f ca="1">SQRT($B$9*SUM(AC1125:OFFSET(AC1125,$B$6-1,0))/($B$6-1))</f>
        <v>#DIV/0!</v>
      </c>
      <c r="AF1125" s="34" t="e">
        <f ca="1">SQRT($B$9*SUM(AC1125:OFFSET(AC1125,$B$7-1,0))/($B$7-1))</f>
        <v>#DIV/0!</v>
      </c>
      <c r="AG1125" s="34" t="e">
        <f ca="1">SQRT($B$9*SUM(AC1125:OFFSET(AC1125,$B$8-1,0))/($B$8-1))</f>
        <v>#DIV/0!</v>
      </c>
      <c r="AI1125" s="1" t="e">
        <f t="shared" si="96"/>
        <v>#DIV/0!</v>
      </c>
      <c r="AJ1125" s="4" t="e">
        <f ca="1">SQRT($B$9)*_xlfn.STDEV.S(AI1125:OFFSET(AI1125,$B$5-1,0))</f>
        <v>#DIV/0!</v>
      </c>
      <c r="AK1125" s="4" t="e">
        <f ca="1">SQRT($B$9)*_xlfn.STDEV.S(AI1125:OFFSET(AI1125,$B$6-1,0))</f>
        <v>#DIV/0!</v>
      </c>
      <c r="AL1125" s="4" t="e">
        <f ca="1">SQRT($B$9)*_xlfn.STDEV.S(AI1125:OFFSET(AI1125,$B$7-1,0))</f>
        <v>#DIV/0!</v>
      </c>
      <c r="AM1125" s="4" t="e">
        <f ca="1">SQRT($B$9)*_xlfn.STDEV.S(AI1125:OFFSET(AI1125,$B$8-1,0))</f>
        <v>#DIV/0!</v>
      </c>
    </row>
    <row r="1126" spans="11:39" x14ac:dyDescent="0.2">
      <c r="K1126" s="3" t="e">
        <f t="shared" si="94"/>
        <v>#DIV/0!</v>
      </c>
      <c r="L1126" s="3" t="e">
        <f ca="1">SQRT(AVERAGE(K1126:OFFSET(K1126,$B$5-1,0))*$B$9/(4*LN(2)))</f>
        <v>#DIV/0!</v>
      </c>
      <c r="M1126" s="3" t="e">
        <f ca="1">SQRT(AVERAGE(K1126:OFFSET(K1126,$B$6-1,0))*$B$9/(4*LN(2)))</f>
        <v>#DIV/0!</v>
      </c>
      <c r="N1126" s="3" t="e">
        <f ca="1">SQRT(AVERAGE(K1126:OFFSET(K1126,$B$7-1,0))*$B$9/(4*LN(2)))</f>
        <v>#DIV/0!</v>
      </c>
      <c r="O1126" s="3" t="e">
        <f ca="1">SQRT(AVERAGE(K1126:OFFSET(K1126,$B$8-1,0))*$B$9/(4*LN(2)))</f>
        <v>#DIV/0!</v>
      </c>
      <c r="Q1126" s="5" t="e">
        <f t="shared" si="93"/>
        <v>#DIV/0!</v>
      </c>
      <c r="R1126" s="5" t="e">
        <f ca="1">SQRT($B$9*AVERAGE((Q1126:OFFSET(Q1126,$B$5-1,0))))</f>
        <v>#DIV/0!</v>
      </c>
      <c r="S1126" s="5" t="e">
        <f ca="1">SQRT($B$9*AVERAGE((Q1126:OFFSET(Q1126,$B$6-1,0))))</f>
        <v>#DIV/0!</v>
      </c>
      <c r="T1126" s="5" t="e">
        <f ca="1">SQRT($B$9*AVERAGE((Q1126:OFFSET(Q1126,$B$7-1,0))))</f>
        <v>#DIV/0!</v>
      </c>
      <c r="U1126" s="5" t="e">
        <f ca="1">SQRT($B$9*AVERAGE((Q1126:OFFSET(Q1126,$B$8-1,0))))</f>
        <v>#DIV/0!</v>
      </c>
      <c r="W1126" s="6" t="e">
        <f t="shared" si="92"/>
        <v>#DIV/0!</v>
      </c>
      <c r="X1126" s="6" t="e">
        <f ca="1">SQRT($B$9*AVERAGE(W1126:OFFSET(W1126,$B$5-1,0)))</f>
        <v>#DIV/0!</v>
      </c>
      <c r="Y1126" s="6" t="e">
        <f ca="1">SQRT($B$9*AVERAGE(W1126:OFFSET(W1126,$B$6-1,0)))</f>
        <v>#DIV/0!</v>
      </c>
      <c r="Z1126" s="6" t="e">
        <f ca="1">SQRT($B$9*AVERAGE(W1126:OFFSET(W1126,$B$7-1,0)))</f>
        <v>#DIV/0!</v>
      </c>
      <c r="AA1126" s="6" t="e">
        <f ca="1">SQRT($B$9*AVERAGE(W1126:OFFSET(W1126,$B$8-1,0)))</f>
        <v>#DIV/0!</v>
      </c>
      <c r="AC1126" s="34" t="e">
        <f t="shared" si="95"/>
        <v>#DIV/0!</v>
      </c>
      <c r="AD1126" s="34" t="e">
        <f ca="1">SQRT($B$9*SUM(AC1126:OFFSET(AC1126,$B$5-1,0))/($B$5-1))</f>
        <v>#DIV/0!</v>
      </c>
      <c r="AE1126" s="34" t="e">
        <f ca="1">SQRT($B$9*SUM(AC1126:OFFSET(AC1126,$B$6-1,0))/($B$6-1))</f>
        <v>#DIV/0!</v>
      </c>
      <c r="AF1126" s="34" t="e">
        <f ca="1">SQRT($B$9*SUM(AC1126:OFFSET(AC1126,$B$7-1,0))/($B$7-1))</f>
        <v>#DIV/0!</v>
      </c>
      <c r="AG1126" s="34" t="e">
        <f ca="1">SQRT($B$9*SUM(AC1126:OFFSET(AC1126,$B$8-1,0))/($B$8-1))</f>
        <v>#DIV/0!</v>
      </c>
      <c r="AI1126" s="1" t="e">
        <f t="shared" si="96"/>
        <v>#DIV/0!</v>
      </c>
      <c r="AJ1126" s="4" t="e">
        <f ca="1">SQRT($B$9)*_xlfn.STDEV.S(AI1126:OFFSET(AI1126,$B$5-1,0))</f>
        <v>#DIV/0!</v>
      </c>
      <c r="AK1126" s="4" t="e">
        <f ca="1">SQRT($B$9)*_xlfn.STDEV.S(AI1126:OFFSET(AI1126,$B$6-1,0))</f>
        <v>#DIV/0!</v>
      </c>
      <c r="AL1126" s="4" t="e">
        <f ca="1">SQRT($B$9)*_xlfn.STDEV.S(AI1126:OFFSET(AI1126,$B$7-1,0))</f>
        <v>#DIV/0!</v>
      </c>
      <c r="AM1126" s="4" t="e">
        <f ca="1">SQRT($B$9)*_xlfn.STDEV.S(AI1126:OFFSET(AI1126,$B$8-1,0))</f>
        <v>#DIV/0!</v>
      </c>
    </row>
    <row r="1127" spans="11:39" x14ac:dyDescent="0.2">
      <c r="K1127" s="3" t="e">
        <f t="shared" si="94"/>
        <v>#DIV/0!</v>
      </c>
      <c r="L1127" s="3" t="e">
        <f ca="1">SQRT(AVERAGE(K1127:OFFSET(K1127,$B$5-1,0))*$B$9/(4*LN(2)))</f>
        <v>#DIV/0!</v>
      </c>
      <c r="M1127" s="3" t="e">
        <f ca="1">SQRT(AVERAGE(K1127:OFFSET(K1127,$B$6-1,0))*$B$9/(4*LN(2)))</f>
        <v>#DIV/0!</v>
      </c>
      <c r="N1127" s="3" t="e">
        <f ca="1">SQRT(AVERAGE(K1127:OFFSET(K1127,$B$7-1,0))*$B$9/(4*LN(2)))</f>
        <v>#DIV/0!</v>
      </c>
      <c r="O1127" s="3" t="e">
        <f ca="1">SQRT(AVERAGE(K1127:OFFSET(K1127,$B$8-1,0))*$B$9/(4*LN(2)))</f>
        <v>#DIV/0!</v>
      </c>
      <c r="Q1127" s="5" t="e">
        <f t="shared" si="93"/>
        <v>#DIV/0!</v>
      </c>
      <c r="R1127" s="5" t="e">
        <f ca="1">SQRT($B$9*AVERAGE((Q1127:OFFSET(Q1127,$B$5-1,0))))</f>
        <v>#DIV/0!</v>
      </c>
      <c r="S1127" s="5" t="e">
        <f ca="1">SQRT($B$9*AVERAGE((Q1127:OFFSET(Q1127,$B$6-1,0))))</f>
        <v>#DIV/0!</v>
      </c>
      <c r="T1127" s="5" t="e">
        <f ca="1">SQRT($B$9*AVERAGE((Q1127:OFFSET(Q1127,$B$7-1,0))))</f>
        <v>#DIV/0!</v>
      </c>
      <c r="U1127" s="5" t="e">
        <f ca="1">SQRT($B$9*AVERAGE((Q1127:OFFSET(Q1127,$B$8-1,0))))</f>
        <v>#DIV/0!</v>
      </c>
      <c r="W1127" s="6" t="e">
        <f t="shared" ref="W1127:W1190" si="97">LN(G1127/I1127)*LN(G1127/F1127)+LN(H1127/I1127)*LN(H1127/F1127)</f>
        <v>#DIV/0!</v>
      </c>
      <c r="X1127" s="6" t="e">
        <f ca="1">SQRT($B$9*AVERAGE(W1127:OFFSET(W1127,$B$5-1,0)))</f>
        <v>#DIV/0!</v>
      </c>
      <c r="Y1127" s="6" t="e">
        <f ca="1">SQRT($B$9*AVERAGE(W1127:OFFSET(W1127,$B$6-1,0)))</f>
        <v>#DIV/0!</v>
      </c>
      <c r="Z1127" s="6" t="e">
        <f ca="1">SQRT($B$9*AVERAGE(W1127:OFFSET(W1127,$B$7-1,0)))</f>
        <v>#DIV/0!</v>
      </c>
      <c r="AA1127" s="6" t="e">
        <f ca="1">SQRT($B$9*AVERAGE(W1127:OFFSET(W1127,$B$8-1,0)))</f>
        <v>#DIV/0!</v>
      </c>
      <c r="AC1127" s="34" t="e">
        <f t="shared" si="95"/>
        <v>#DIV/0!</v>
      </c>
      <c r="AD1127" s="34" t="e">
        <f ca="1">SQRT($B$9*SUM(AC1127:OFFSET(AC1127,$B$5-1,0))/($B$5-1))</f>
        <v>#DIV/0!</v>
      </c>
      <c r="AE1127" s="34" t="e">
        <f ca="1">SQRT($B$9*SUM(AC1127:OFFSET(AC1127,$B$6-1,0))/($B$6-1))</f>
        <v>#DIV/0!</v>
      </c>
      <c r="AF1127" s="34" t="e">
        <f ca="1">SQRT($B$9*SUM(AC1127:OFFSET(AC1127,$B$7-1,0))/($B$7-1))</f>
        <v>#DIV/0!</v>
      </c>
      <c r="AG1127" s="34" t="e">
        <f ca="1">SQRT($B$9*SUM(AC1127:OFFSET(AC1127,$B$8-1,0))/($B$8-1))</f>
        <v>#DIV/0!</v>
      </c>
      <c r="AI1127" s="1" t="e">
        <f t="shared" si="96"/>
        <v>#DIV/0!</v>
      </c>
      <c r="AJ1127" s="4" t="e">
        <f ca="1">SQRT($B$9)*_xlfn.STDEV.S(AI1127:OFFSET(AI1127,$B$5-1,0))</f>
        <v>#DIV/0!</v>
      </c>
      <c r="AK1127" s="4" t="e">
        <f ca="1">SQRT($B$9)*_xlfn.STDEV.S(AI1127:OFFSET(AI1127,$B$6-1,0))</f>
        <v>#DIV/0!</v>
      </c>
      <c r="AL1127" s="4" t="e">
        <f ca="1">SQRT($B$9)*_xlfn.STDEV.S(AI1127:OFFSET(AI1127,$B$7-1,0))</f>
        <v>#DIV/0!</v>
      </c>
      <c r="AM1127" s="4" t="e">
        <f ca="1">SQRT($B$9)*_xlfn.STDEV.S(AI1127:OFFSET(AI1127,$B$8-1,0))</f>
        <v>#DIV/0!</v>
      </c>
    </row>
    <row r="1128" spans="11:39" x14ac:dyDescent="0.2">
      <c r="K1128" s="3" t="e">
        <f t="shared" si="94"/>
        <v>#DIV/0!</v>
      </c>
      <c r="L1128" s="3" t="e">
        <f ca="1">SQRT(AVERAGE(K1128:OFFSET(K1128,$B$5-1,0))*$B$9/(4*LN(2)))</f>
        <v>#DIV/0!</v>
      </c>
      <c r="M1128" s="3" t="e">
        <f ca="1">SQRT(AVERAGE(K1128:OFFSET(K1128,$B$6-1,0))*$B$9/(4*LN(2)))</f>
        <v>#DIV/0!</v>
      </c>
      <c r="N1128" s="3" t="e">
        <f ca="1">SQRT(AVERAGE(K1128:OFFSET(K1128,$B$7-1,0))*$B$9/(4*LN(2)))</f>
        <v>#DIV/0!</v>
      </c>
      <c r="O1128" s="3" t="e">
        <f ca="1">SQRT(AVERAGE(K1128:OFFSET(K1128,$B$8-1,0))*$B$9/(4*LN(2)))</f>
        <v>#DIV/0!</v>
      </c>
      <c r="Q1128" s="5" t="e">
        <f t="shared" si="93"/>
        <v>#DIV/0!</v>
      </c>
      <c r="R1128" s="5" t="e">
        <f ca="1">SQRT($B$9*AVERAGE((Q1128:OFFSET(Q1128,$B$5-1,0))))</f>
        <v>#DIV/0!</v>
      </c>
      <c r="S1128" s="5" t="e">
        <f ca="1">SQRT($B$9*AVERAGE((Q1128:OFFSET(Q1128,$B$6-1,0))))</f>
        <v>#DIV/0!</v>
      </c>
      <c r="T1128" s="5" t="e">
        <f ca="1">SQRT($B$9*AVERAGE((Q1128:OFFSET(Q1128,$B$7-1,0))))</f>
        <v>#DIV/0!</v>
      </c>
      <c r="U1128" s="5" t="e">
        <f ca="1">SQRT($B$9*AVERAGE((Q1128:OFFSET(Q1128,$B$8-1,0))))</f>
        <v>#DIV/0!</v>
      </c>
      <c r="W1128" s="6" t="e">
        <f t="shared" si="97"/>
        <v>#DIV/0!</v>
      </c>
      <c r="X1128" s="6" t="e">
        <f ca="1">SQRT($B$9*AVERAGE(W1128:OFFSET(W1128,$B$5-1,0)))</f>
        <v>#DIV/0!</v>
      </c>
      <c r="Y1128" s="6" t="e">
        <f ca="1">SQRT($B$9*AVERAGE(W1128:OFFSET(W1128,$B$6-1,0)))</f>
        <v>#DIV/0!</v>
      </c>
      <c r="Z1128" s="6" t="e">
        <f ca="1">SQRT($B$9*AVERAGE(W1128:OFFSET(W1128,$B$7-1,0)))</f>
        <v>#DIV/0!</v>
      </c>
      <c r="AA1128" s="6" t="e">
        <f ca="1">SQRT($B$9*AVERAGE(W1128:OFFSET(W1128,$B$8-1,0)))</f>
        <v>#DIV/0!</v>
      </c>
      <c r="AC1128" s="34" t="e">
        <f t="shared" si="95"/>
        <v>#DIV/0!</v>
      </c>
      <c r="AD1128" s="34" t="e">
        <f ca="1">SQRT($B$9*SUM(AC1128:OFFSET(AC1128,$B$5-1,0))/($B$5-1))</f>
        <v>#DIV/0!</v>
      </c>
      <c r="AE1128" s="34" t="e">
        <f ca="1">SQRT($B$9*SUM(AC1128:OFFSET(AC1128,$B$6-1,0))/($B$6-1))</f>
        <v>#DIV/0!</v>
      </c>
      <c r="AF1128" s="34" t="e">
        <f ca="1">SQRT($B$9*SUM(AC1128:OFFSET(AC1128,$B$7-1,0))/($B$7-1))</f>
        <v>#DIV/0!</v>
      </c>
      <c r="AG1128" s="34" t="e">
        <f ca="1">SQRT($B$9*SUM(AC1128:OFFSET(AC1128,$B$8-1,0))/($B$8-1))</f>
        <v>#DIV/0!</v>
      </c>
      <c r="AI1128" s="1" t="e">
        <f t="shared" si="96"/>
        <v>#DIV/0!</v>
      </c>
      <c r="AJ1128" s="4" t="e">
        <f ca="1">SQRT($B$9)*_xlfn.STDEV.S(AI1128:OFFSET(AI1128,$B$5-1,0))</f>
        <v>#DIV/0!</v>
      </c>
      <c r="AK1128" s="4" t="e">
        <f ca="1">SQRT($B$9)*_xlfn.STDEV.S(AI1128:OFFSET(AI1128,$B$6-1,0))</f>
        <v>#DIV/0!</v>
      </c>
      <c r="AL1128" s="4" t="e">
        <f ca="1">SQRT($B$9)*_xlfn.STDEV.S(AI1128:OFFSET(AI1128,$B$7-1,0))</f>
        <v>#DIV/0!</v>
      </c>
      <c r="AM1128" s="4" t="e">
        <f ca="1">SQRT($B$9)*_xlfn.STDEV.S(AI1128:OFFSET(AI1128,$B$8-1,0))</f>
        <v>#DIV/0!</v>
      </c>
    </row>
    <row r="1129" spans="11:39" x14ac:dyDescent="0.2">
      <c r="K1129" s="3" t="e">
        <f t="shared" si="94"/>
        <v>#DIV/0!</v>
      </c>
      <c r="L1129" s="3" t="e">
        <f ca="1">SQRT(AVERAGE(K1129:OFFSET(K1129,$B$5-1,0))*$B$9/(4*LN(2)))</f>
        <v>#DIV/0!</v>
      </c>
      <c r="M1129" s="3" t="e">
        <f ca="1">SQRT(AVERAGE(K1129:OFFSET(K1129,$B$6-1,0))*$B$9/(4*LN(2)))</f>
        <v>#DIV/0!</v>
      </c>
      <c r="N1129" s="3" t="e">
        <f ca="1">SQRT(AVERAGE(K1129:OFFSET(K1129,$B$7-1,0))*$B$9/(4*LN(2)))</f>
        <v>#DIV/0!</v>
      </c>
      <c r="O1129" s="3" t="e">
        <f ca="1">SQRT(AVERAGE(K1129:OFFSET(K1129,$B$8-1,0))*$B$9/(4*LN(2)))</f>
        <v>#DIV/0!</v>
      </c>
      <c r="Q1129" s="5" t="e">
        <f t="shared" si="93"/>
        <v>#DIV/0!</v>
      </c>
      <c r="R1129" s="5" t="e">
        <f ca="1">SQRT($B$9*AVERAGE((Q1129:OFFSET(Q1129,$B$5-1,0))))</f>
        <v>#DIV/0!</v>
      </c>
      <c r="S1129" s="5" t="e">
        <f ca="1">SQRT($B$9*AVERAGE((Q1129:OFFSET(Q1129,$B$6-1,0))))</f>
        <v>#DIV/0!</v>
      </c>
      <c r="T1129" s="5" t="e">
        <f ca="1">SQRT($B$9*AVERAGE((Q1129:OFFSET(Q1129,$B$7-1,0))))</f>
        <v>#DIV/0!</v>
      </c>
      <c r="U1129" s="5" t="e">
        <f ca="1">SQRT($B$9*AVERAGE((Q1129:OFFSET(Q1129,$B$8-1,0))))</f>
        <v>#DIV/0!</v>
      </c>
      <c r="W1129" s="6" t="e">
        <f t="shared" si="97"/>
        <v>#DIV/0!</v>
      </c>
      <c r="X1129" s="6" t="e">
        <f ca="1">SQRT($B$9*AVERAGE(W1129:OFFSET(W1129,$B$5-1,0)))</f>
        <v>#DIV/0!</v>
      </c>
      <c r="Y1129" s="6" t="e">
        <f ca="1">SQRT($B$9*AVERAGE(W1129:OFFSET(W1129,$B$6-1,0)))</f>
        <v>#DIV/0!</v>
      </c>
      <c r="Z1129" s="6" t="e">
        <f ca="1">SQRT($B$9*AVERAGE(W1129:OFFSET(W1129,$B$7-1,0)))</f>
        <v>#DIV/0!</v>
      </c>
      <c r="AA1129" s="6" t="e">
        <f ca="1">SQRT($B$9*AVERAGE(W1129:OFFSET(W1129,$B$8-1,0)))</f>
        <v>#DIV/0!</v>
      </c>
      <c r="AC1129" s="34" t="e">
        <f t="shared" si="95"/>
        <v>#DIV/0!</v>
      </c>
      <c r="AD1129" s="34" t="e">
        <f ca="1">SQRT($B$9*SUM(AC1129:OFFSET(AC1129,$B$5-1,0))/($B$5-1))</f>
        <v>#DIV/0!</v>
      </c>
      <c r="AE1129" s="34" t="e">
        <f ca="1">SQRT($B$9*SUM(AC1129:OFFSET(AC1129,$B$6-1,0))/($B$6-1))</f>
        <v>#DIV/0!</v>
      </c>
      <c r="AF1129" s="34" t="e">
        <f ca="1">SQRT($B$9*SUM(AC1129:OFFSET(AC1129,$B$7-1,0))/($B$7-1))</f>
        <v>#DIV/0!</v>
      </c>
      <c r="AG1129" s="34" t="e">
        <f ca="1">SQRT($B$9*SUM(AC1129:OFFSET(AC1129,$B$8-1,0))/($B$8-1))</f>
        <v>#DIV/0!</v>
      </c>
      <c r="AI1129" s="1" t="e">
        <f t="shared" si="96"/>
        <v>#DIV/0!</v>
      </c>
      <c r="AJ1129" s="4" t="e">
        <f ca="1">SQRT($B$9)*_xlfn.STDEV.S(AI1129:OFFSET(AI1129,$B$5-1,0))</f>
        <v>#DIV/0!</v>
      </c>
      <c r="AK1129" s="4" t="e">
        <f ca="1">SQRT($B$9)*_xlfn.STDEV.S(AI1129:OFFSET(AI1129,$B$6-1,0))</f>
        <v>#DIV/0!</v>
      </c>
      <c r="AL1129" s="4" t="e">
        <f ca="1">SQRT($B$9)*_xlfn.STDEV.S(AI1129:OFFSET(AI1129,$B$7-1,0))</f>
        <v>#DIV/0!</v>
      </c>
      <c r="AM1129" s="4" t="e">
        <f ca="1">SQRT($B$9)*_xlfn.STDEV.S(AI1129:OFFSET(AI1129,$B$8-1,0))</f>
        <v>#DIV/0!</v>
      </c>
    </row>
    <row r="1130" spans="11:39" x14ac:dyDescent="0.2">
      <c r="K1130" s="3" t="e">
        <f t="shared" si="94"/>
        <v>#DIV/0!</v>
      </c>
      <c r="L1130" s="3" t="e">
        <f ca="1">SQRT(AVERAGE(K1130:OFFSET(K1130,$B$5-1,0))*$B$9/(4*LN(2)))</f>
        <v>#DIV/0!</v>
      </c>
      <c r="M1130" s="3" t="e">
        <f ca="1">SQRT(AVERAGE(K1130:OFFSET(K1130,$B$6-1,0))*$B$9/(4*LN(2)))</f>
        <v>#DIV/0!</v>
      </c>
      <c r="N1130" s="3" t="e">
        <f ca="1">SQRT(AVERAGE(K1130:OFFSET(K1130,$B$7-1,0))*$B$9/(4*LN(2)))</f>
        <v>#DIV/0!</v>
      </c>
      <c r="O1130" s="3" t="e">
        <f ca="1">SQRT(AVERAGE(K1130:OFFSET(K1130,$B$8-1,0))*$B$9/(4*LN(2)))</f>
        <v>#DIV/0!</v>
      </c>
      <c r="Q1130" s="5" t="e">
        <f t="shared" si="93"/>
        <v>#DIV/0!</v>
      </c>
      <c r="R1130" s="5" t="e">
        <f ca="1">SQRT($B$9*AVERAGE((Q1130:OFFSET(Q1130,$B$5-1,0))))</f>
        <v>#DIV/0!</v>
      </c>
      <c r="S1130" s="5" t="e">
        <f ca="1">SQRT($B$9*AVERAGE((Q1130:OFFSET(Q1130,$B$6-1,0))))</f>
        <v>#DIV/0!</v>
      </c>
      <c r="T1130" s="5" t="e">
        <f ca="1">SQRT($B$9*AVERAGE((Q1130:OFFSET(Q1130,$B$7-1,0))))</f>
        <v>#DIV/0!</v>
      </c>
      <c r="U1130" s="5" t="e">
        <f ca="1">SQRT($B$9*AVERAGE((Q1130:OFFSET(Q1130,$B$8-1,0))))</f>
        <v>#DIV/0!</v>
      </c>
      <c r="W1130" s="6" t="e">
        <f t="shared" si="97"/>
        <v>#DIV/0!</v>
      </c>
      <c r="X1130" s="6" t="e">
        <f ca="1">SQRT($B$9*AVERAGE(W1130:OFFSET(W1130,$B$5-1,0)))</f>
        <v>#DIV/0!</v>
      </c>
      <c r="Y1130" s="6" t="e">
        <f ca="1">SQRT($B$9*AVERAGE(W1130:OFFSET(W1130,$B$6-1,0)))</f>
        <v>#DIV/0!</v>
      </c>
      <c r="Z1130" s="6" t="e">
        <f ca="1">SQRT($B$9*AVERAGE(W1130:OFFSET(W1130,$B$7-1,0)))</f>
        <v>#DIV/0!</v>
      </c>
      <c r="AA1130" s="6" t="e">
        <f ca="1">SQRT($B$9*AVERAGE(W1130:OFFSET(W1130,$B$8-1,0)))</f>
        <v>#DIV/0!</v>
      </c>
      <c r="AC1130" s="34" t="e">
        <f t="shared" si="95"/>
        <v>#DIV/0!</v>
      </c>
      <c r="AD1130" s="34" t="e">
        <f ca="1">SQRT($B$9*SUM(AC1130:OFFSET(AC1130,$B$5-1,0))/($B$5-1))</f>
        <v>#DIV/0!</v>
      </c>
      <c r="AE1130" s="34" t="e">
        <f ca="1">SQRT($B$9*SUM(AC1130:OFFSET(AC1130,$B$6-1,0))/($B$6-1))</f>
        <v>#DIV/0!</v>
      </c>
      <c r="AF1130" s="34" t="e">
        <f ca="1">SQRT($B$9*SUM(AC1130:OFFSET(AC1130,$B$7-1,0))/($B$7-1))</f>
        <v>#DIV/0!</v>
      </c>
      <c r="AG1130" s="34" t="e">
        <f ca="1">SQRT($B$9*SUM(AC1130:OFFSET(AC1130,$B$8-1,0))/($B$8-1))</f>
        <v>#DIV/0!</v>
      </c>
      <c r="AI1130" s="1" t="e">
        <f t="shared" si="96"/>
        <v>#DIV/0!</v>
      </c>
      <c r="AJ1130" s="4" t="e">
        <f ca="1">SQRT($B$9)*_xlfn.STDEV.S(AI1130:OFFSET(AI1130,$B$5-1,0))</f>
        <v>#DIV/0!</v>
      </c>
      <c r="AK1130" s="4" t="e">
        <f ca="1">SQRT($B$9)*_xlfn.STDEV.S(AI1130:OFFSET(AI1130,$B$6-1,0))</f>
        <v>#DIV/0!</v>
      </c>
      <c r="AL1130" s="4" t="e">
        <f ca="1">SQRT($B$9)*_xlfn.STDEV.S(AI1130:OFFSET(AI1130,$B$7-1,0))</f>
        <v>#DIV/0!</v>
      </c>
      <c r="AM1130" s="4" t="e">
        <f ca="1">SQRT($B$9)*_xlfn.STDEV.S(AI1130:OFFSET(AI1130,$B$8-1,0))</f>
        <v>#DIV/0!</v>
      </c>
    </row>
    <row r="1131" spans="11:39" x14ac:dyDescent="0.2">
      <c r="K1131" s="3" t="e">
        <f t="shared" si="94"/>
        <v>#DIV/0!</v>
      </c>
      <c r="L1131" s="3" t="e">
        <f ca="1">SQRT(AVERAGE(K1131:OFFSET(K1131,$B$5-1,0))*$B$9/(4*LN(2)))</f>
        <v>#DIV/0!</v>
      </c>
      <c r="M1131" s="3" t="e">
        <f ca="1">SQRT(AVERAGE(K1131:OFFSET(K1131,$B$6-1,0))*$B$9/(4*LN(2)))</f>
        <v>#DIV/0!</v>
      </c>
      <c r="N1131" s="3" t="e">
        <f ca="1">SQRT(AVERAGE(K1131:OFFSET(K1131,$B$7-1,0))*$B$9/(4*LN(2)))</f>
        <v>#DIV/0!</v>
      </c>
      <c r="O1131" s="3" t="e">
        <f ca="1">SQRT(AVERAGE(K1131:OFFSET(K1131,$B$8-1,0))*$B$9/(4*LN(2)))</f>
        <v>#DIV/0!</v>
      </c>
      <c r="Q1131" s="5" t="e">
        <f t="shared" si="93"/>
        <v>#DIV/0!</v>
      </c>
      <c r="R1131" s="5" t="e">
        <f ca="1">SQRT($B$9*AVERAGE((Q1131:OFFSET(Q1131,$B$5-1,0))))</f>
        <v>#DIV/0!</v>
      </c>
      <c r="S1131" s="5" t="e">
        <f ca="1">SQRT($B$9*AVERAGE((Q1131:OFFSET(Q1131,$B$6-1,0))))</f>
        <v>#DIV/0!</v>
      </c>
      <c r="T1131" s="5" t="e">
        <f ca="1">SQRT($B$9*AVERAGE((Q1131:OFFSET(Q1131,$B$7-1,0))))</f>
        <v>#DIV/0!</v>
      </c>
      <c r="U1131" s="5" t="e">
        <f ca="1">SQRT($B$9*AVERAGE((Q1131:OFFSET(Q1131,$B$8-1,0))))</f>
        <v>#DIV/0!</v>
      </c>
      <c r="W1131" s="6" t="e">
        <f t="shared" si="97"/>
        <v>#DIV/0!</v>
      </c>
      <c r="X1131" s="6" t="e">
        <f ca="1">SQRT($B$9*AVERAGE(W1131:OFFSET(W1131,$B$5-1,0)))</f>
        <v>#DIV/0!</v>
      </c>
      <c r="Y1131" s="6" t="e">
        <f ca="1">SQRT($B$9*AVERAGE(W1131:OFFSET(W1131,$B$6-1,0)))</f>
        <v>#DIV/0!</v>
      </c>
      <c r="Z1131" s="6" t="e">
        <f ca="1">SQRT($B$9*AVERAGE(W1131:OFFSET(W1131,$B$7-1,0)))</f>
        <v>#DIV/0!</v>
      </c>
      <c r="AA1131" s="6" t="e">
        <f ca="1">SQRT($B$9*AVERAGE(W1131:OFFSET(W1131,$B$8-1,0)))</f>
        <v>#DIV/0!</v>
      </c>
      <c r="AC1131" s="34" t="e">
        <f t="shared" si="95"/>
        <v>#DIV/0!</v>
      </c>
      <c r="AD1131" s="34" t="e">
        <f ca="1">SQRT($B$9*SUM(AC1131:OFFSET(AC1131,$B$5-1,0))/($B$5-1))</f>
        <v>#DIV/0!</v>
      </c>
      <c r="AE1131" s="34" t="e">
        <f ca="1">SQRT($B$9*SUM(AC1131:OFFSET(AC1131,$B$6-1,0))/($B$6-1))</f>
        <v>#DIV/0!</v>
      </c>
      <c r="AF1131" s="34" t="e">
        <f ca="1">SQRT($B$9*SUM(AC1131:OFFSET(AC1131,$B$7-1,0))/($B$7-1))</f>
        <v>#DIV/0!</v>
      </c>
      <c r="AG1131" s="34" t="e">
        <f ca="1">SQRT($B$9*SUM(AC1131:OFFSET(AC1131,$B$8-1,0))/($B$8-1))</f>
        <v>#DIV/0!</v>
      </c>
      <c r="AI1131" s="1" t="e">
        <f t="shared" si="96"/>
        <v>#DIV/0!</v>
      </c>
      <c r="AJ1131" s="4" t="e">
        <f ca="1">SQRT($B$9)*_xlfn.STDEV.S(AI1131:OFFSET(AI1131,$B$5-1,0))</f>
        <v>#DIV/0!</v>
      </c>
      <c r="AK1131" s="4" t="e">
        <f ca="1">SQRT($B$9)*_xlfn.STDEV.S(AI1131:OFFSET(AI1131,$B$6-1,0))</f>
        <v>#DIV/0!</v>
      </c>
      <c r="AL1131" s="4" t="e">
        <f ca="1">SQRT($B$9)*_xlfn.STDEV.S(AI1131:OFFSET(AI1131,$B$7-1,0))</f>
        <v>#DIV/0!</v>
      </c>
      <c r="AM1131" s="4" t="e">
        <f ca="1">SQRT($B$9)*_xlfn.STDEV.S(AI1131:OFFSET(AI1131,$B$8-1,0))</f>
        <v>#DIV/0!</v>
      </c>
    </row>
    <row r="1132" spans="11:39" x14ac:dyDescent="0.2">
      <c r="K1132" s="3" t="e">
        <f t="shared" si="94"/>
        <v>#DIV/0!</v>
      </c>
      <c r="L1132" s="3" t="e">
        <f ca="1">SQRT(AVERAGE(K1132:OFFSET(K1132,$B$5-1,0))*$B$9/(4*LN(2)))</f>
        <v>#DIV/0!</v>
      </c>
      <c r="M1132" s="3" t="e">
        <f ca="1">SQRT(AVERAGE(K1132:OFFSET(K1132,$B$6-1,0))*$B$9/(4*LN(2)))</f>
        <v>#DIV/0!</v>
      </c>
      <c r="N1132" s="3" t="e">
        <f ca="1">SQRT(AVERAGE(K1132:OFFSET(K1132,$B$7-1,0))*$B$9/(4*LN(2)))</f>
        <v>#DIV/0!</v>
      </c>
      <c r="O1132" s="3" t="e">
        <f ca="1">SQRT(AVERAGE(K1132:OFFSET(K1132,$B$8-1,0))*$B$9/(4*LN(2)))</f>
        <v>#DIV/0!</v>
      </c>
      <c r="Q1132" s="5" t="e">
        <f t="shared" si="93"/>
        <v>#DIV/0!</v>
      </c>
      <c r="R1132" s="5" t="e">
        <f ca="1">SQRT($B$9*AVERAGE((Q1132:OFFSET(Q1132,$B$5-1,0))))</f>
        <v>#DIV/0!</v>
      </c>
      <c r="S1132" s="5" t="e">
        <f ca="1">SQRT($B$9*AVERAGE((Q1132:OFFSET(Q1132,$B$6-1,0))))</f>
        <v>#DIV/0!</v>
      </c>
      <c r="T1132" s="5" t="e">
        <f ca="1">SQRT($B$9*AVERAGE((Q1132:OFFSET(Q1132,$B$7-1,0))))</f>
        <v>#DIV/0!</v>
      </c>
      <c r="U1132" s="5" t="e">
        <f ca="1">SQRT($B$9*AVERAGE((Q1132:OFFSET(Q1132,$B$8-1,0))))</f>
        <v>#DIV/0!</v>
      </c>
      <c r="W1132" s="6" t="e">
        <f t="shared" si="97"/>
        <v>#DIV/0!</v>
      </c>
      <c r="X1132" s="6" t="e">
        <f ca="1">SQRT($B$9*AVERAGE(W1132:OFFSET(W1132,$B$5-1,0)))</f>
        <v>#DIV/0!</v>
      </c>
      <c r="Y1132" s="6" t="e">
        <f ca="1">SQRT($B$9*AVERAGE(W1132:OFFSET(W1132,$B$6-1,0)))</f>
        <v>#DIV/0!</v>
      </c>
      <c r="Z1132" s="6" t="e">
        <f ca="1">SQRT($B$9*AVERAGE(W1132:OFFSET(W1132,$B$7-1,0)))</f>
        <v>#DIV/0!</v>
      </c>
      <c r="AA1132" s="6" t="e">
        <f ca="1">SQRT($B$9*AVERAGE(W1132:OFFSET(W1132,$B$8-1,0)))</f>
        <v>#DIV/0!</v>
      </c>
      <c r="AC1132" s="34" t="e">
        <f t="shared" si="95"/>
        <v>#DIV/0!</v>
      </c>
      <c r="AD1132" s="34" t="e">
        <f ca="1">SQRT($B$9*SUM(AC1132:OFFSET(AC1132,$B$5-1,0))/($B$5-1))</f>
        <v>#DIV/0!</v>
      </c>
      <c r="AE1132" s="34" t="e">
        <f ca="1">SQRT($B$9*SUM(AC1132:OFFSET(AC1132,$B$6-1,0))/($B$6-1))</f>
        <v>#DIV/0!</v>
      </c>
      <c r="AF1132" s="34" t="e">
        <f ca="1">SQRT($B$9*SUM(AC1132:OFFSET(AC1132,$B$7-1,0))/($B$7-1))</f>
        <v>#DIV/0!</v>
      </c>
      <c r="AG1132" s="34" t="e">
        <f ca="1">SQRT($B$9*SUM(AC1132:OFFSET(AC1132,$B$8-1,0))/($B$8-1))</f>
        <v>#DIV/0!</v>
      </c>
      <c r="AI1132" s="1" t="e">
        <f t="shared" si="96"/>
        <v>#DIV/0!</v>
      </c>
      <c r="AJ1132" s="4" t="e">
        <f ca="1">SQRT($B$9)*_xlfn.STDEV.S(AI1132:OFFSET(AI1132,$B$5-1,0))</f>
        <v>#DIV/0!</v>
      </c>
      <c r="AK1132" s="4" t="e">
        <f ca="1">SQRT($B$9)*_xlfn.STDEV.S(AI1132:OFFSET(AI1132,$B$6-1,0))</f>
        <v>#DIV/0!</v>
      </c>
      <c r="AL1132" s="4" t="e">
        <f ca="1">SQRT($B$9)*_xlfn.STDEV.S(AI1132:OFFSET(AI1132,$B$7-1,0))</f>
        <v>#DIV/0!</v>
      </c>
      <c r="AM1132" s="4" t="e">
        <f ca="1">SQRT($B$9)*_xlfn.STDEV.S(AI1132:OFFSET(AI1132,$B$8-1,0))</f>
        <v>#DIV/0!</v>
      </c>
    </row>
    <row r="1133" spans="11:39" x14ac:dyDescent="0.2">
      <c r="K1133" s="3" t="e">
        <f t="shared" si="94"/>
        <v>#DIV/0!</v>
      </c>
      <c r="L1133" s="3" t="e">
        <f ca="1">SQRT(AVERAGE(K1133:OFFSET(K1133,$B$5-1,0))*$B$9/(4*LN(2)))</f>
        <v>#DIV/0!</v>
      </c>
      <c r="M1133" s="3" t="e">
        <f ca="1">SQRT(AVERAGE(K1133:OFFSET(K1133,$B$6-1,0))*$B$9/(4*LN(2)))</f>
        <v>#DIV/0!</v>
      </c>
      <c r="N1133" s="3" t="e">
        <f ca="1">SQRT(AVERAGE(K1133:OFFSET(K1133,$B$7-1,0))*$B$9/(4*LN(2)))</f>
        <v>#DIV/0!</v>
      </c>
      <c r="O1133" s="3" t="e">
        <f ca="1">SQRT(AVERAGE(K1133:OFFSET(K1133,$B$8-1,0))*$B$9/(4*LN(2)))</f>
        <v>#DIV/0!</v>
      </c>
      <c r="Q1133" s="5" t="e">
        <f t="shared" si="93"/>
        <v>#DIV/0!</v>
      </c>
      <c r="R1133" s="5" t="e">
        <f ca="1">SQRT($B$9*AVERAGE((Q1133:OFFSET(Q1133,$B$5-1,0))))</f>
        <v>#DIV/0!</v>
      </c>
      <c r="S1133" s="5" t="e">
        <f ca="1">SQRT($B$9*AVERAGE((Q1133:OFFSET(Q1133,$B$6-1,0))))</f>
        <v>#DIV/0!</v>
      </c>
      <c r="T1133" s="5" t="e">
        <f ca="1">SQRT($B$9*AVERAGE((Q1133:OFFSET(Q1133,$B$7-1,0))))</f>
        <v>#DIV/0!</v>
      </c>
      <c r="U1133" s="5" t="e">
        <f ca="1">SQRT($B$9*AVERAGE((Q1133:OFFSET(Q1133,$B$8-1,0))))</f>
        <v>#DIV/0!</v>
      </c>
      <c r="W1133" s="6" t="e">
        <f t="shared" si="97"/>
        <v>#DIV/0!</v>
      </c>
      <c r="X1133" s="6" t="e">
        <f ca="1">SQRT($B$9*AVERAGE(W1133:OFFSET(W1133,$B$5-1,0)))</f>
        <v>#DIV/0!</v>
      </c>
      <c r="Y1133" s="6" t="e">
        <f ca="1">SQRT($B$9*AVERAGE(W1133:OFFSET(W1133,$B$6-1,0)))</f>
        <v>#DIV/0!</v>
      </c>
      <c r="Z1133" s="6" t="e">
        <f ca="1">SQRT($B$9*AVERAGE(W1133:OFFSET(W1133,$B$7-1,0)))</f>
        <v>#DIV/0!</v>
      </c>
      <c r="AA1133" s="6" t="e">
        <f ca="1">SQRT($B$9*AVERAGE(W1133:OFFSET(W1133,$B$8-1,0)))</f>
        <v>#DIV/0!</v>
      </c>
      <c r="AC1133" s="34" t="e">
        <f t="shared" si="95"/>
        <v>#DIV/0!</v>
      </c>
      <c r="AD1133" s="34" t="e">
        <f ca="1">SQRT($B$9*SUM(AC1133:OFFSET(AC1133,$B$5-1,0))/($B$5-1))</f>
        <v>#DIV/0!</v>
      </c>
      <c r="AE1133" s="34" t="e">
        <f ca="1">SQRT($B$9*SUM(AC1133:OFFSET(AC1133,$B$6-1,0))/($B$6-1))</f>
        <v>#DIV/0!</v>
      </c>
      <c r="AF1133" s="34" t="e">
        <f ca="1">SQRT($B$9*SUM(AC1133:OFFSET(AC1133,$B$7-1,0))/($B$7-1))</f>
        <v>#DIV/0!</v>
      </c>
      <c r="AG1133" s="34" t="e">
        <f ca="1">SQRT($B$9*SUM(AC1133:OFFSET(AC1133,$B$8-1,0))/($B$8-1))</f>
        <v>#DIV/0!</v>
      </c>
      <c r="AI1133" s="1" t="e">
        <f t="shared" si="96"/>
        <v>#DIV/0!</v>
      </c>
      <c r="AJ1133" s="4" t="e">
        <f ca="1">SQRT($B$9)*_xlfn.STDEV.S(AI1133:OFFSET(AI1133,$B$5-1,0))</f>
        <v>#DIV/0!</v>
      </c>
      <c r="AK1133" s="4" t="e">
        <f ca="1">SQRT($B$9)*_xlfn.STDEV.S(AI1133:OFFSET(AI1133,$B$6-1,0))</f>
        <v>#DIV/0!</v>
      </c>
      <c r="AL1133" s="4" t="e">
        <f ca="1">SQRT($B$9)*_xlfn.STDEV.S(AI1133:OFFSET(AI1133,$B$7-1,0))</f>
        <v>#DIV/0!</v>
      </c>
      <c r="AM1133" s="4" t="e">
        <f ca="1">SQRT($B$9)*_xlfn.STDEV.S(AI1133:OFFSET(AI1133,$B$8-1,0))</f>
        <v>#DIV/0!</v>
      </c>
    </row>
    <row r="1134" spans="11:39" x14ac:dyDescent="0.2">
      <c r="K1134" s="3" t="e">
        <f t="shared" si="94"/>
        <v>#DIV/0!</v>
      </c>
      <c r="L1134" s="3" t="e">
        <f ca="1">SQRT(AVERAGE(K1134:OFFSET(K1134,$B$5-1,0))*$B$9/(4*LN(2)))</f>
        <v>#DIV/0!</v>
      </c>
      <c r="M1134" s="3" t="e">
        <f ca="1">SQRT(AVERAGE(K1134:OFFSET(K1134,$B$6-1,0))*$B$9/(4*LN(2)))</f>
        <v>#DIV/0!</v>
      </c>
      <c r="N1134" s="3" t="e">
        <f ca="1">SQRT(AVERAGE(K1134:OFFSET(K1134,$B$7-1,0))*$B$9/(4*LN(2)))</f>
        <v>#DIV/0!</v>
      </c>
      <c r="O1134" s="3" t="e">
        <f ca="1">SQRT(AVERAGE(K1134:OFFSET(K1134,$B$8-1,0))*$B$9/(4*LN(2)))</f>
        <v>#DIV/0!</v>
      </c>
      <c r="Q1134" s="5" t="e">
        <f t="shared" si="93"/>
        <v>#DIV/0!</v>
      </c>
      <c r="R1134" s="5" t="e">
        <f ca="1">SQRT($B$9*AVERAGE((Q1134:OFFSET(Q1134,$B$5-1,0))))</f>
        <v>#DIV/0!</v>
      </c>
      <c r="S1134" s="5" t="e">
        <f ca="1">SQRT($B$9*AVERAGE((Q1134:OFFSET(Q1134,$B$6-1,0))))</f>
        <v>#DIV/0!</v>
      </c>
      <c r="T1134" s="5" t="e">
        <f ca="1">SQRT($B$9*AVERAGE((Q1134:OFFSET(Q1134,$B$7-1,0))))</f>
        <v>#DIV/0!</v>
      </c>
      <c r="U1134" s="5" t="e">
        <f ca="1">SQRT($B$9*AVERAGE((Q1134:OFFSET(Q1134,$B$8-1,0))))</f>
        <v>#DIV/0!</v>
      </c>
      <c r="W1134" s="6" t="e">
        <f t="shared" si="97"/>
        <v>#DIV/0!</v>
      </c>
      <c r="X1134" s="6" t="e">
        <f ca="1">SQRT($B$9*AVERAGE(W1134:OFFSET(W1134,$B$5-1,0)))</f>
        <v>#DIV/0!</v>
      </c>
      <c r="Y1134" s="6" t="e">
        <f ca="1">SQRT($B$9*AVERAGE(W1134:OFFSET(W1134,$B$6-1,0)))</f>
        <v>#DIV/0!</v>
      </c>
      <c r="Z1134" s="6" t="e">
        <f ca="1">SQRT($B$9*AVERAGE(W1134:OFFSET(W1134,$B$7-1,0)))</f>
        <v>#DIV/0!</v>
      </c>
      <c r="AA1134" s="6" t="e">
        <f ca="1">SQRT($B$9*AVERAGE(W1134:OFFSET(W1134,$B$8-1,0)))</f>
        <v>#DIV/0!</v>
      </c>
      <c r="AC1134" s="34" t="e">
        <f t="shared" si="95"/>
        <v>#DIV/0!</v>
      </c>
      <c r="AD1134" s="34" t="e">
        <f ca="1">SQRT($B$9*SUM(AC1134:OFFSET(AC1134,$B$5-1,0))/($B$5-1))</f>
        <v>#DIV/0!</v>
      </c>
      <c r="AE1134" s="34" t="e">
        <f ca="1">SQRT($B$9*SUM(AC1134:OFFSET(AC1134,$B$6-1,0))/($B$6-1))</f>
        <v>#DIV/0!</v>
      </c>
      <c r="AF1134" s="34" t="e">
        <f ca="1">SQRT($B$9*SUM(AC1134:OFFSET(AC1134,$B$7-1,0))/($B$7-1))</f>
        <v>#DIV/0!</v>
      </c>
      <c r="AG1134" s="34" t="e">
        <f ca="1">SQRT($B$9*SUM(AC1134:OFFSET(AC1134,$B$8-1,0))/($B$8-1))</f>
        <v>#DIV/0!</v>
      </c>
      <c r="AI1134" s="1" t="e">
        <f t="shared" si="96"/>
        <v>#DIV/0!</v>
      </c>
      <c r="AJ1134" s="4" t="e">
        <f ca="1">SQRT($B$9)*_xlfn.STDEV.S(AI1134:OFFSET(AI1134,$B$5-1,0))</f>
        <v>#DIV/0!</v>
      </c>
      <c r="AK1134" s="4" t="e">
        <f ca="1">SQRT($B$9)*_xlfn.STDEV.S(AI1134:OFFSET(AI1134,$B$6-1,0))</f>
        <v>#DIV/0!</v>
      </c>
      <c r="AL1134" s="4" t="e">
        <f ca="1">SQRT($B$9)*_xlfn.STDEV.S(AI1134:OFFSET(AI1134,$B$7-1,0))</f>
        <v>#DIV/0!</v>
      </c>
      <c r="AM1134" s="4" t="e">
        <f ca="1">SQRT($B$9)*_xlfn.STDEV.S(AI1134:OFFSET(AI1134,$B$8-1,0))</f>
        <v>#DIV/0!</v>
      </c>
    </row>
    <row r="1135" spans="11:39" x14ac:dyDescent="0.2">
      <c r="K1135" s="3" t="e">
        <f t="shared" si="94"/>
        <v>#DIV/0!</v>
      </c>
      <c r="L1135" s="3" t="e">
        <f ca="1">SQRT(AVERAGE(K1135:OFFSET(K1135,$B$5-1,0))*$B$9/(4*LN(2)))</f>
        <v>#DIV/0!</v>
      </c>
      <c r="M1135" s="3" t="e">
        <f ca="1">SQRT(AVERAGE(K1135:OFFSET(K1135,$B$6-1,0))*$B$9/(4*LN(2)))</f>
        <v>#DIV/0!</v>
      </c>
      <c r="N1135" s="3" t="e">
        <f ca="1">SQRT(AVERAGE(K1135:OFFSET(K1135,$B$7-1,0))*$B$9/(4*LN(2)))</f>
        <v>#DIV/0!</v>
      </c>
      <c r="O1135" s="3" t="e">
        <f ca="1">SQRT(AVERAGE(K1135:OFFSET(K1135,$B$8-1,0))*$B$9/(4*LN(2)))</f>
        <v>#DIV/0!</v>
      </c>
      <c r="Q1135" s="5" t="e">
        <f t="shared" si="93"/>
        <v>#DIV/0!</v>
      </c>
      <c r="R1135" s="5" t="e">
        <f ca="1">SQRT($B$9*AVERAGE((Q1135:OFFSET(Q1135,$B$5-1,0))))</f>
        <v>#DIV/0!</v>
      </c>
      <c r="S1135" s="5" t="e">
        <f ca="1">SQRT($B$9*AVERAGE((Q1135:OFFSET(Q1135,$B$6-1,0))))</f>
        <v>#DIV/0!</v>
      </c>
      <c r="T1135" s="5" t="e">
        <f ca="1">SQRT($B$9*AVERAGE((Q1135:OFFSET(Q1135,$B$7-1,0))))</f>
        <v>#DIV/0!</v>
      </c>
      <c r="U1135" s="5" t="e">
        <f ca="1">SQRT($B$9*AVERAGE((Q1135:OFFSET(Q1135,$B$8-1,0))))</f>
        <v>#DIV/0!</v>
      </c>
      <c r="W1135" s="6" t="e">
        <f t="shared" si="97"/>
        <v>#DIV/0!</v>
      </c>
      <c r="X1135" s="6" t="e">
        <f ca="1">SQRT($B$9*AVERAGE(W1135:OFFSET(W1135,$B$5-1,0)))</f>
        <v>#DIV/0!</v>
      </c>
      <c r="Y1135" s="6" t="e">
        <f ca="1">SQRT($B$9*AVERAGE(W1135:OFFSET(W1135,$B$6-1,0)))</f>
        <v>#DIV/0!</v>
      </c>
      <c r="Z1135" s="6" t="e">
        <f ca="1">SQRT($B$9*AVERAGE(W1135:OFFSET(W1135,$B$7-1,0)))</f>
        <v>#DIV/0!</v>
      </c>
      <c r="AA1135" s="6" t="e">
        <f ca="1">SQRT($B$9*AVERAGE(W1135:OFFSET(W1135,$B$8-1,0)))</f>
        <v>#DIV/0!</v>
      </c>
      <c r="AC1135" s="34" t="e">
        <f t="shared" si="95"/>
        <v>#DIV/0!</v>
      </c>
      <c r="AD1135" s="34" t="e">
        <f ca="1">SQRT($B$9*SUM(AC1135:OFFSET(AC1135,$B$5-1,0))/($B$5-1))</f>
        <v>#DIV/0!</v>
      </c>
      <c r="AE1135" s="34" t="e">
        <f ca="1">SQRT($B$9*SUM(AC1135:OFFSET(AC1135,$B$6-1,0))/($B$6-1))</f>
        <v>#DIV/0!</v>
      </c>
      <c r="AF1135" s="34" t="e">
        <f ca="1">SQRT($B$9*SUM(AC1135:OFFSET(AC1135,$B$7-1,0))/($B$7-1))</f>
        <v>#DIV/0!</v>
      </c>
      <c r="AG1135" s="34" t="e">
        <f ca="1">SQRT($B$9*SUM(AC1135:OFFSET(AC1135,$B$8-1,0))/($B$8-1))</f>
        <v>#DIV/0!</v>
      </c>
      <c r="AI1135" s="1" t="e">
        <f t="shared" si="96"/>
        <v>#DIV/0!</v>
      </c>
      <c r="AJ1135" s="4" t="e">
        <f ca="1">SQRT($B$9)*_xlfn.STDEV.S(AI1135:OFFSET(AI1135,$B$5-1,0))</f>
        <v>#DIV/0!</v>
      </c>
      <c r="AK1135" s="4" t="e">
        <f ca="1">SQRT($B$9)*_xlfn.STDEV.S(AI1135:OFFSET(AI1135,$B$6-1,0))</f>
        <v>#DIV/0!</v>
      </c>
      <c r="AL1135" s="4" t="e">
        <f ca="1">SQRT($B$9)*_xlfn.STDEV.S(AI1135:OFFSET(AI1135,$B$7-1,0))</f>
        <v>#DIV/0!</v>
      </c>
      <c r="AM1135" s="4" t="e">
        <f ca="1">SQRT($B$9)*_xlfn.STDEV.S(AI1135:OFFSET(AI1135,$B$8-1,0))</f>
        <v>#DIV/0!</v>
      </c>
    </row>
    <row r="1136" spans="11:39" x14ac:dyDescent="0.2">
      <c r="K1136" s="3" t="e">
        <f t="shared" si="94"/>
        <v>#DIV/0!</v>
      </c>
      <c r="L1136" s="3" t="e">
        <f ca="1">SQRT(AVERAGE(K1136:OFFSET(K1136,$B$5-1,0))*$B$9/(4*LN(2)))</f>
        <v>#DIV/0!</v>
      </c>
      <c r="M1136" s="3" t="e">
        <f ca="1">SQRT(AVERAGE(K1136:OFFSET(K1136,$B$6-1,0))*$B$9/(4*LN(2)))</f>
        <v>#DIV/0!</v>
      </c>
      <c r="N1136" s="3" t="e">
        <f ca="1">SQRT(AVERAGE(K1136:OFFSET(K1136,$B$7-1,0))*$B$9/(4*LN(2)))</f>
        <v>#DIV/0!</v>
      </c>
      <c r="O1136" s="3" t="e">
        <f ca="1">SQRT(AVERAGE(K1136:OFFSET(K1136,$B$8-1,0))*$B$9/(4*LN(2)))</f>
        <v>#DIV/0!</v>
      </c>
      <c r="Q1136" s="5" t="e">
        <f t="shared" si="93"/>
        <v>#DIV/0!</v>
      </c>
      <c r="R1136" s="5" t="e">
        <f ca="1">SQRT($B$9*AVERAGE((Q1136:OFFSET(Q1136,$B$5-1,0))))</f>
        <v>#DIV/0!</v>
      </c>
      <c r="S1136" s="5" t="e">
        <f ca="1">SQRT($B$9*AVERAGE((Q1136:OFFSET(Q1136,$B$6-1,0))))</f>
        <v>#DIV/0!</v>
      </c>
      <c r="T1136" s="5" t="e">
        <f ca="1">SQRT($B$9*AVERAGE((Q1136:OFFSET(Q1136,$B$7-1,0))))</f>
        <v>#DIV/0!</v>
      </c>
      <c r="U1136" s="5" t="e">
        <f ca="1">SQRT($B$9*AVERAGE((Q1136:OFFSET(Q1136,$B$8-1,0))))</f>
        <v>#DIV/0!</v>
      </c>
      <c r="W1136" s="6" t="e">
        <f t="shared" si="97"/>
        <v>#DIV/0!</v>
      </c>
      <c r="X1136" s="6" t="e">
        <f ca="1">SQRT($B$9*AVERAGE(W1136:OFFSET(W1136,$B$5-1,0)))</f>
        <v>#DIV/0!</v>
      </c>
      <c r="Y1136" s="6" t="e">
        <f ca="1">SQRT($B$9*AVERAGE(W1136:OFFSET(W1136,$B$6-1,0)))</f>
        <v>#DIV/0!</v>
      </c>
      <c r="Z1136" s="6" t="e">
        <f ca="1">SQRT($B$9*AVERAGE(W1136:OFFSET(W1136,$B$7-1,0)))</f>
        <v>#DIV/0!</v>
      </c>
      <c r="AA1136" s="6" t="e">
        <f ca="1">SQRT($B$9*AVERAGE(W1136:OFFSET(W1136,$B$8-1,0)))</f>
        <v>#DIV/0!</v>
      </c>
      <c r="AC1136" s="34" t="e">
        <f t="shared" si="95"/>
        <v>#DIV/0!</v>
      </c>
      <c r="AD1136" s="34" t="e">
        <f ca="1">SQRT($B$9*SUM(AC1136:OFFSET(AC1136,$B$5-1,0))/($B$5-1))</f>
        <v>#DIV/0!</v>
      </c>
      <c r="AE1136" s="34" t="e">
        <f ca="1">SQRT($B$9*SUM(AC1136:OFFSET(AC1136,$B$6-1,0))/($B$6-1))</f>
        <v>#DIV/0!</v>
      </c>
      <c r="AF1136" s="34" t="e">
        <f ca="1">SQRT($B$9*SUM(AC1136:OFFSET(AC1136,$B$7-1,0))/($B$7-1))</f>
        <v>#DIV/0!</v>
      </c>
      <c r="AG1136" s="34" t="e">
        <f ca="1">SQRT($B$9*SUM(AC1136:OFFSET(AC1136,$B$8-1,0))/($B$8-1))</f>
        <v>#DIV/0!</v>
      </c>
      <c r="AI1136" s="1" t="e">
        <f t="shared" si="96"/>
        <v>#DIV/0!</v>
      </c>
      <c r="AJ1136" s="4" t="e">
        <f ca="1">SQRT($B$9)*_xlfn.STDEV.S(AI1136:OFFSET(AI1136,$B$5-1,0))</f>
        <v>#DIV/0!</v>
      </c>
      <c r="AK1136" s="4" t="e">
        <f ca="1">SQRT($B$9)*_xlfn.STDEV.S(AI1136:OFFSET(AI1136,$B$6-1,0))</f>
        <v>#DIV/0!</v>
      </c>
      <c r="AL1136" s="4" t="e">
        <f ca="1">SQRT($B$9)*_xlfn.STDEV.S(AI1136:OFFSET(AI1136,$B$7-1,0))</f>
        <v>#DIV/0!</v>
      </c>
      <c r="AM1136" s="4" t="e">
        <f ca="1">SQRT($B$9)*_xlfn.STDEV.S(AI1136:OFFSET(AI1136,$B$8-1,0))</f>
        <v>#DIV/0!</v>
      </c>
    </row>
    <row r="1137" spans="11:39" x14ac:dyDescent="0.2">
      <c r="K1137" s="3" t="e">
        <f t="shared" si="94"/>
        <v>#DIV/0!</v>
      </c>
      <c r="L1137" s="3" t="e">
        <f ca="1">SQRT(AVERAGE(K1137:OFFSET(K1137,$B$5-1,0))*$B$9/(4*LN(2)))</f>
        <v>#DIV/0!</v>
      </c>
      <c r="M1137" s="3" t="e">
        <f ca="1">SQRT(AVERAGE(K1137:OFFSET(K1137,$B$6-1,0))*$B$9/(4*LN(2)))</f>
        <v>#DIV/0!</v>
      </c>
      <c r="N1137" s="3" t="e">
        <f ca="1">SQRT(AVERAGE(K1137:OFFSET(K1137,$B$7-1,0))*$B$9/(4*LN(2)))</f>
        <v>#DIV/0!</v>
      </c>
      <c r="O1137" s="3" t="e">
        <f ca="1">SQRT(AVERAGE(K1137:OFFSET(K1137,$B$8-1,0))*$B$9/(4*LN(2)))</f>
        <v>#DIV/0!</v>
      </c>
      <c r="Q1137" s="5" t="e">
        <f t="shared" si="93"/>
        <v>#DIV/0!</v>
      </c>
      <c r="R1137" s="5" t="e">
        <f ca="1">SQRT($B$9*AVERAGE((Q1137:OFFSET(Q1137,$B$5-1,0))))</f>
        <v>#DIV/0!</v>
      </c>
      <c r="S1137" s="5" t="e">
        <f ca="1">SQRT($B$9*AVERAGE((Q1137:OFFSET(Q1137,$B$6-1,0))))</f>
        <v>#DIV/0!</v>
      </c>
      <c r="T1137" s="5" t="e">
        <f ca="1">SQRT($B$9*AVERAGE((Q1137:OFFSET(Q1137,$B$7-1,0))))</f>
        <v>#DIV/0!</v>
      </c>
      <c r="U1137" s="5" t="e">
        <f ca="1">SQRT($B$9*AVERAGE((Q1137:OFFSET(Q1137,$B$8-1,0))))</f>
        <v>#DIV/0!</v>
      </c>
      <c r="W1137" s="6" t="e">
        <f t="shared" si="97"/>
        <v>#DIV/0!</v>
      </c>
      <c r="X1137" s="6" t="e">
        <f ca="1">SQRT($B$9*AVERAGE(W1137:OFFSET(W1137,$B$5-1,0)))</f>
        <v>#DIV/0!</v>
      </c>
      <c r="Y1137" s="6" t="e">
        <f ca="1">SQRT($B$9*AVERAGE(W1137:OFFSET(W1137,$B$6-1,0)))</f>
        <v>#DIV/0!</v>
      </c>
      <c r="Z1137" s="6" t="e">
        <f ca="1">SQRT($B$9*AVERAGE(W1137:OFFSET(W1137,$B$7-1,0)))</f>
        <v>#DIV/0!</v>
      </c>
      <c r="AA1137" s="6" t="e">
        <f ca="1">SQRT($B$9*AVERAGE(W1137:OFFSET(W1137,$B$8-1,0)))</f>
        <v>#DIV/0!</v>
      </c>
      <c r="AC1137" s="34" t="e">
        <f t="shared" si="95"/>
        <v>#DIV/0!</v>
      </c>
      <c r="AD1137" s="34" t="e">
        <f ca="1">SQRT($B$9*SUM(AC1137:OFFSET(AC1137,$B$5-1,0))/($B$5-1))</f>
        <v>#DIV/0!</v>
      </c>
      <c r="AE1137" s="34" t="e">
        <f ca="1">SQRT($B$9*SUM(AC1137:OFFSET(AC1137,$B$6-1,0))/($B$6-1))</f>
        <v>#DIV/0!</v>
      </c>
      <c r="AF1137" s="34" t="e">
        <f ca="1">SQRT($B$9*SUM(AC1137:OFFSET(AC1137,$B$7-1,0))/($B$7-1))</f>
        <v>#DIV/0!</v>
      </c>
      <c r="AG1137" s="34" t="e">
        <f ca="1">SQRT($B$9*SUM(AC1137:OFFSET(AC1137,$B$8-1,0))/($B$8-1))</f>
        <v>#DIV/0!</v>
      </c>
      <c r="AI1137" s="1" t="e">
        <f t="shared" si="96"/>
        <v>#DIV/0!</v>
      </c>
      <c r="AJ1137" s="4" t="e">
        <f ca="1">SQRT($B$9)*_xlfn.STDEV.S(AI1137:OFFSET(AI1137,$B$5-1,0))</f>
        <v>#DIV/0!</v>
      </c>
      <c r="AK1137" s="4" t="e">
        <f ca="1">SQRT($B$9)*_xlfn.STDEV.S(AI1137:OFFSET(AI1137,$B$6-1,0))</f>
        <v>#DIV/0!</v>
      </c>
      <c r="AL1137" s="4" t="e">
        <f ca="1">SQRT($B$9)*_xlfn.STDEV.S(AI1137:OFFSET(AI1137,$B$7-1,0))</f>
        <v>#DIV/0!</v>
      </c>
      <c r="AM1137" s="4" t="e">
        <f ca="1">SQRT($B$9)*_xlfn.STDEV.S(AI1137:OFFSET(AI1137,$B$8-1,0))</f>
        <v>#DIV/0!</v>
      </c>
    </row>
    <row r="1138" spans="11:39" x14ac:dyDescent="0.2">
      <c r="K1138" s="3" t="e">
        <f t="shared" si="94"/>
        <v>#DIV/0!</v>
      </c>
      <c r="L1138" s="3" t="e">
        <f ca="1">SQRT(AVERAGE(K1138:OFFSET(K1138,$B$5-1,0))*$B$9/(4*LN(2)))</f>
        <v>#DIV/0!</v>
      </c>
      <c r="M1138" s="3" t="e">
        <f ca="1">SQRT(AVERAGE(K1138:OFFSET(K1138,$B$6-1,0))*$B$9/(4*LN(2)))</f>
        <v>#DIV/0!</v>
      </c>
      <c r="N1138" s="3" t="e">
        <f ca="1">SQRT(AVERAGE(K1138:OFFSET(K1138,$B$7-1,0))*$B$9/(4*LN(2)))</f>
        <v>#DIV/0!</v>
      </c>
      <c r="O1138" s="3" t="e">
        <f ca="1">SQRT(AVERAGE(K1138:OFFSET(K1138,$B$8-1,0))*$B$9/(4*LN(2)))</f>
        <v>#DIV/0!</v>
      </c>
      <c r="Q1138" s="5" t="e">
        <f t="shared" si="93"/>
        <v>#DIV/0!</v>
      </c>
      <c r="R1138" s="5" t="e">
        <f ca="1">SQRT($B$9*AVERAGE((Q1138:OFFSET(Q1138,$B$5-1,0))))</f>
        <v>#DIV/0!</v>
      </c>
      <c r="S1138" s="5" t="e">
        <f ca="1">SQRT($B$9*AVERAGE((Q1138:OFFSET(Q1138,$B$6-1,0))))</f>
        <v>#DIV/0!</v>
      </c>
      <c r="T1138" s="5" t="e">
        <f ca="1">SQRT($B$9*AVERAGE((Q1138:OFFSET(Q1138,$B$7-1,0))))</f>
        <v>#DIV/0!</v>
      </c>
      <c r="U1138" s="5" t="e">
        <f ca="1">SQRT($B$9*AVERAGE((Q1138:OFFSET(Q1138,$B$8-1,0))))</f>
        <v>#DIV/0!</v>
      </c>
      <c r="W1138" s="6" t="e">
        <f t="shared" si="97"/>
        <v>#DIV/0!</v>
      </c>
      <c r="X1138" s="6" t="e">
        <f ca="1">SQRT($B$9*AVERAGE(W1138:OFFSET(W1138,$B$5-1,0)))</f>
        <v>#DIV/0!</v>
      </c>
      <c r="Y1138" s="6" t="e">
        <f ca="1">SQRT($B$9*AVERAGE(W1138:OFFSET(W1138,$B$6-1,0)))</f>
        <v>#DIV/0!</v>
      </c>
      <c r="Z1138" s="6" t="e">
        <f ca="1">SQRT($B$9*AVERAGE(W1138:OFFSET(W1138,$B$7-1,0)))</f>
        <v>#DIV/0!</v>
      </c>
      <c r="AA1138" s="6" t="e">
        <f ca="1">SQRT($B$9*AVERAGE(W1138:OFFSET(W1138,$B$8-1,0)))</f>
        <v>#DIV/0!</v>
      </c>
      <c r="AC1138" s="34" t="e">
        <f t="shared" si="95"/>
        <v>#DIV/0!</v>
      </c>
      <c r="AD1138" s="34" t="e">
        <f ca="1">SQRT($B$9*SUM(AC1138:OFFSET(AC1138,$B$5-1,0))/($B$5-1))</f>
        <v>#DIV/0!</v>
      </c>
      <c r="AE1138" s="34" t="e">
        <f ca="1">SQRT($B$9*SUM(AC1138:OFFSET(AC1138,$B$6-1,0))/($B$6-1))</f>
        <v>#DIV/0!</v>
      </c>
      <c r="AF1138" s="34" t="e">
        <f ca="1">SQRT($B$9*SUM(AC1138:OFFSET(AC1138,$B$7-1,0))/($B$7-1))</f>
        <v>#DIV/0!</v>
      </c>
      <c r="AG1138" s="34" t="e">
        <f ca="1">SQRT($B$9*SUM(AC1138:OFFSET(AC1138,$B$8-1,0))/($B$8-1))</f>
        <v>#DIV/0!</v>
      </c>
      <c r="AI1138" s="1" t="e">
        <f t="shared" si="96"/>
        <v>#DIV/0!</v>
      </c>
      <c r="AJ1138" s="4" t="e">
        <f ca="1">SQRT($B$9)*_xlfn.STDEV.S(AI1138:OFFSET(AI1138,$B$5-1,0))</f>
        <v>#DIV/0!</v>
      </c>
      <c r="AK1138" s="4" t="e">
        <f ca="1">SQRT($B$9)*_xlfn.STDEV.S(AI1138:OFFSET(AI1138,$B$6-1,0))</f>
        <v>#DIV/0!</v>
      </c>
      <c r="AL1138" s="4" t="e">
        <f ca="1">SQRT($B$9)*_xlfn.STDEV.S(AI1138:OFFSET(AI1138,$B$7-1,0))</f>
        <v>#DIV/0!</v>
      </c>
      <c r="AM1138" s="4" t="e">
        <f ca="1">SQRT($B$9)*_xlfn.STDEV.S(AI1138:OFFSET(AI1138,$B$8-1,0))</f>
        <v>#DIV/0!</v>
      </c>
    </row>
    <row r="1139" spans="11:39" x14ac:dyDescent="0.2">
      <c r="K1139" s="3" t="e">
        <f t="shared" si="94"/>
        <v>#DIV/0!</v>
      </c>
      <c r="L1139" s="3" t="e">
        <f ca="1">SQRT(AVERAGE(K1139:OFFSET(K1139,$B$5-1,0))*$B$9/(4*LN(2)))</f>
        <v>#DIV/0!</v>
      </c>
      <c r="M1139" s="3" t="e">
        <f ca="1">SQRT(AVERAGE(K1139:OFFSET(K1139,$B$6-1,0))*$B$9/(4*LN(2)))</f>
        <v>#DIV/0!</v>
      </c>
      <c r="N1139" s="3" t="e">
        <f ca="1">SQRT(AVERAGE(K1139:OFFSET(K1139,$B$7-1,0))*$B$9/(4*LN(2)))</f>
        <v>#DIV/0!</v>
      </c>
      <c r="O1139" s="3" t="e">
        <f ca="1">SQRT(AVERAGE(K1139:OFFSET(K1139,$B$8-1,0))*$B$9/(4*LN(2)))</f>
        <v>#DIV/0!</v>
      </c>
      <c r="Q1139" s="5" t="e">
        <f t="shared" si="93"/>
        <v>#DIV/0!</v>
      </c>
      <c r="R1139" s="5" t="e">
        <f ca="1">SQRT($B$9*AVERAGE((Q1139:OFFSET(Q1139,$B$5-1,0))))</f>
        <v>#DIV/0!</v>
      </c>
      <c r="S1139" s="5" t="e">
        <f ca="1">SQRT($B$9*AVERAGE((Q1139:OFFSET(Q1139,$B$6-1,0))))</f>
        <v>#DIV/0!</v>
      </c>
      <c r="T1139" s="5" t="e">
        <f ca="1">SQRT($B$9*AVERAGE((Q1139:OFFSET(Q1139,$B$7-1,0))))</f>
        <v>#DIV/0!</v>
      </c>
      <c r="U1139" s="5" t="e">
        <f ca="1">SQRT($B$9*AVERAGE((Q1139:OFFSET(Q1139,$B$8-1,0))))</f>
        <v>#DIV/0!</v>
      </c>
      <c r="W1139" s="6" t="e">
        <f t="shared" si="97"/>
        <v>#DIV/0!</v>
      </c>
      <c r="X1139" s="6" t="e">
        <f ca="1">SQRT($B$9*AVERAGE(W1139:OFFSET(W1139,$B$5-1,0)))</f>
        <v>#DIV/0!</v>
      </c>
      <c r="Y1139" s="6" t="e">
        <f ca="1">SQRT($B$9*AVERAGE(W1139:OFFSET(W1139,$B$6-1,0)))</f>
        <v>#DIV/0!</v>
      </c>
      <c r="Z1139" s="6" t="e">
        <f ca="1">SQRT($B$9*AVERAGE(W1139:OFFSET(W1139,$B$7-1,0)))</f>
        <v>#DIV/0!</v>
      </c>
      <c r="AA1139" s="6" t="e">
        <f ca="1">SQRT($B$9*AVERAGE(W1139:OFFSET(W1139,$B$8-1,0)))</f>
        <v>#DIV/0!</v>
      </c>
      <c r="AC1139" s="34" t="e">
        <f t="shared" si="95"/>
        <v>#DIV/0!</v>
      </c>
      <c r="AD1139" s="34" t="e">
        <f ca="1">SQRT($B$9*SUM(AC1139:OFFSET(AC1139,$B$5-1,0))/($B$5-1))</f>
        <v>#DIV/0!</v>
      </c>
      <c r="AE1139" s="34" t="e">
        <f ca="1">SQRT($B$9*SUM(AC1139:OFFSET(AC1139,$B$6-1,0))/($B$6-1))</f>
        <v>#DIV/0!</v>
      </c>
      <c r="AF1139" s="34" t="e">
        <f ca="1">SQRT($B$9*SUM(AC1139:OFFSET(AC1139,$B$7-1,0))/($B$7-1))</f>
        <v>#DIV/0!</v>
      </c>
      <c r="AG1139" s="34" t="e">
        <f ca="1">SQRT($B$9*SUM(AC1139:OFFSET(AC1139,$B$8-1,0))/($B$8-1))</f>
        <v>#DIV/0!</v>
      </c>
      <c r="AI1139" s="1" t="e">
        <f t="shared" si="96"/>
        <v>#DIV/0!</v>
      </c>
      <c r="AJ1139" s="4" t="e">
        <f ca="1">SQRT($B$9)*_xlfn.STDEV.S(AI1139:OFFSET(AI1139,$B$5-1,0))</f>
        <v>#DIV/0!</v>
      </c>
      <c r="AK1139" s="4" t="e">
        <f ca="1">SQRT($B$9)*_xlfn.STDEV.S(AI1139:OFFSET(AI1139,$B$6-1,0))</f>
        <v>#DIV/0!</v>
      </c>
      <c r="AL1139" s="4" t="e">
        <f ca="1">SQRT($B$9)*_xlfn.STDEV.S(AI1139:OFFSET(AI1139,$B$7-1,0))</f>
        <v>#DIV/0!</v>
      </c>
      <c r="AM1139" s="4" t="e">
        <f ca="1">SQRT($B$9)*_xlfn.STDEV.S(AI1139:OFFSET(AI1139,$B$8-1,0))</f>
        <v>#DIV/0!</v>
      </c>
    </row>
    <row r="1140" spans="11:39" x14ac:dyDescent="0.2">
      <c r="K1140" s="3" t="e">
        <f t="shared" si="94"/>
        <v>#DIV/0!</v>
      </c>
      <c r="L1140" s="3" t="e">
        <f ca="1">SQRT(AVERAGE(K1140:OFFSET(K1140,$B$5-1,0))*$B$9/(4*LN(2)))</f>
        <v>#DIV/0!</v>
      </c>
      <c r="M1140" s="3" t="e">
        <f ca="1">SQRT(AVERAGE(K1140:OFFSET(K1140,$B$6-1,0))*$B$9/(4*LN(2)))</f>
        <v>#DIV/0!</v>
      </c>
      <c r="N1140" s="3" t="e">
        <f ca="1">SQRT(AVERAGE(K1140:OFFSET(K1140,$B$7-1,0))*$B$9/(4*LN(2)))</f>
        <v>#DIV/0!</v>
      </c>
      <c r="O1140" s="3" t="e">
        <f ca="1">SQRT(AVERAGE(K1140:OFFSET(K1140,$B$8-1,0))*$B$9/(4*LN(2)))</f>
        <v>#DIV/0!</v>
      </c>
      <c r="Q1140" s="5" t="e">
        <f t="shared" si="93"/>
        <v>#DIV/0!</v>
      </c>
      <c r="R1140" s="5" t="e">
        <f ca="1">SQRT($B$9*AVERAGE((Q1140:OFFSET(Q1140,$B$5-1,0))))</f>
        <v>#DIV/0!</v>
      </c>
      <c r="S1140" s="5" t="e">
        <f ca="1">SQRT($B$9*AVERAGE((Q1140:OFFSET(Q1140,$B$6-1,0))))</f>
        <v>#DIV/0!</v>
      </c>
      <c r="T1140" s="5" t="e">
        <f ca="1">SQRT($B$9*AVERAGE((Q1140:OFFSET(Q1140,$B$7-1,0))))</f>
        <v>#DIV/0!</v>
      </c>
      <c r="U1140" s="5" t="e">
        <f ca="1">SQRT($B$9*AVERAGE((Q1140:OFFSET(Q1140,$B$8-1,0))))</f>
        <v>#DIV/0!</v>
      </c>
      <c r="W1140" s="6" t="e">
        <f t="shared" si="97"/>
        <v>#DIV/0!</v>
      </c>
      <c r="X1140" s="6" t="e">
        <f ca="1">SQRT($B$9*AVERAGE(W1140:OFFSET(W1140,$B$5-1,0)))</f>
        <v>#DIV/0!</v>
      </c>
      <c r="Y1140" s="6" t="e">
        <f ca="1">SQRT($B$9*AVERAGE(W1140:OFFSET(W1140,$B$6-1,0)))</f>
        <v>#DIV/0!</v>
      </c>
      <c r="Z1140" s="6" t="e">
        <f ca="1">SQRT($B$9*AVERAGE(W1140:OFFSET(W1140,$B$7-1,0)))</f>
        <v>#DIV/0!</v>
      </c>
      <c r="AA1140" s="6" t="e">
        <f ca="1">SQRT($B$9*AVERAGE(W1140:OFFSET(W1140,$B$8-1,0)))</f>
        <v>#DIV/0!</v>
      </c>
      <c r="AC1140" s="34" t="e">
        <f t="shared" si="95"/>
        <v>#DIV/0!</v>
      </c>
      <c r="AD1140" s="34" t="e">
        <f ca="1">SQRT($B$9*SUM(AC1140:OFFSET(AC1140,$B$5-1,0))/($B$5-1))</f>
        <v>#DIV/0!</v>
      </c>
      <c r="AE1140" s="34" t="e">
        <f ca="1">SQRT($B$9*SUM(AC1140:OFFSET(AC1140,$B$6-1,0))/($B$6-1))</f>
        <v>#DIV/0!</v>
      </c>
      <c r="AF1140" s="34" t="e">
        <f ca="1">SQRT($B$9*SUM(AC1140:OFFSET(AC1140,$B$7-1,0))/($B$7-1))</f>
        <v>#DIV/0!</v>
      </c>
      <c r="AG1140" s="34" t="e">
        <f ca="1">SQRT($B$9*SUM(AC1140:OFFSET(AC1140,$B$8-1,0))/($B$8-1))</f>
        <v>#DIV/0!</v>
      </c>
      <c r="AI1140" s="1" t="e">
        <f t="shared" si="96"/>
        <v>#DIV/0!</v>
      </c>
      <c r="AJ1140" s="4" t="e">
        <f ca="1">SQRT($B$9)*_xlfn.STDEV.S(AI1140:OFFSET(AI1140,$B$5-1,0))</f>
        <v>#DIV/0!</v>
      </c>
      <c r="AK1140" s="4" t="e">
        <f ca="1">SQRT($B$9)*_xlfn.STDEV.S(AI1140:OFFSET(AI1140,$B$6-1,0))</f>
        <v>#DIV/0!</v>
      </c>
      <c r="AL1140" s="4" t="e">
        <f ca="1">SQRT($B$9)*_xlfn.STDEV.S(AI1140:OFFSET(AI1140,$B$7-1,0))</f>
        <v>#DIV/0!</v>
      </c>
      <c r="AM1140" s="4" t="e">
        <f ca="1">SQRT($B$9)*_xlfn.STDEV.S(AI1140:OFFSET(AI1140,$B$8-1,0))</f>
        <v>#DIV/0!</v>
      </c>
    </row>
    <row r="1141" spans="11:39" x14ac:dyDescent="0.2">
      <c r="K1141" s="3" t="e">
        <f t="shared" si="94"/>
        <v>#DIV/0!</v>
      </c>
      <c r="L1141" s="3" t="e">
        <f ca="1">SQRT(AVERAGE(K1141:OFFSET(K1141,$B$5-1,0))*$B$9/(4*LN(2)))</f>
        <v>#DIV/0!</v>
      </c>
      <c r="M1141" s="3" t="e">
        <f ca="1">SQRT(AVERAGE(K1141:OFFSET(K1141,$B$6-1,0))*$B$9/(4*LN(2)))</f>
        <v>#DIV/0!</v>
      </c>
      <c r="N1141" s="3" t="e">
        <f ca="1">SQRT(AVERAGE(K1141:OFFSET(K1141,$B$7-1,0))*$B$9/(4*LN(2)))</f>
        <v>#DIV/0!</v>
      </c>
      <c r="O1141" s="3" t="e">
        <f ca="1">SQRT(AVERAGE(K1141:OFFSET(K1141,$B$8-1,0))*$B$9/(4*LN(2)))</f>
        <v>#DIV/0!</v>
      </c>
      <c r="Q1141" s="5" t="e">
        <f t="shared" si="93"/>
        <v>#DIV/0!</v>
      </c>
      <c r="R1141" s="5" t="e">
        <f ca="1">SQRT($B$9*AVERAGE((Q1141:OFFSET(Q1141,$B$5-1,0))))</f>
        <v>#DIV/0!</v>
      </c>
      <c r="S1141" s="5" t="e">
        <f ca="1">SQRT($B$9*AVERAGE((Q1141:OFFSET(Q1141,$B$6-1,0))))</f>
        <v>#DIV/0!</v>
      </c>
      <c r="T1141" s="5" t="e">
        <f ca="1">SQRT($B$9*AVERAGE((Q1141:OFFSET(Q1141,$B$7-1,0))))</f>
        <v>#DIV/0!</v>
      </c>
      <c r="U1141" s="5" t="e">
        <f ca="1">SQRT($B$9*AVERAGE((Q1141:OFFSET(Q1141,$B$8-1,0))))</f>
        <v>#DIV/0!</v>
      </c>
      <c r="W1141" s="6" t="e">
        <f t="shared" si="97"/>
        <v>#DIV/0!</v>
      </c>
      <c r="X1141" s="6" t="e">
        <f ca="1">SQRT($B$9*AVERAGE(W1141:OFFSET(W1141,$B$5-1,0)))</f>
        <v>#DIV/0!</v>
      </c>
      <c r="Y1141" s="6" t="e">
        <f ca="1">SQRT($B$9*AVERAGE(W1141:OFFSET(W1141,$B$6-1,0)))</f>
        <v>#DIV/0!</v>
      </c>
      <c r="Z1141" s="6" t="e">
        <f ca="1">SQRT($B$9*AVERAGE(W1141:OFFSET(W1141,$B$7-1,0)))</f>
        <v>#DIV/0!</v>
      </c>
      <c r="AA1141" s="6" t="e">
        <f ca="1">SQRT($B$9*AVERAGE(W1141:OFFSET(W1141,$B$8-1,0)))</f>
        <v>#DIV/0!</v>
      </c>
      <c r="AC1141" s="34" t="e">
        <f t="shared" si="95"/>
        <v>#DIV/0!</v>
      </c>
      <c r="AD1141" s="34" t="e">
        <f ca="1">SQRT($B$9*SUM(AC1141:OFFSET(AC1141,$B$5-1,0))/($B$5-1))</f>
        <v>#DIV/0!</v>
      </c>
      <c r="AE1141" s="34" t="e">
        <f ca="1">SQRT($B$9*SUM(AC1141:OFFSET(AC1141,$B$6-1,0))/($B$6-1))</f>
        <v>#DIV/0!</v>
      </c>
      <c r="AF1141" s="34" t="e">
        <f ca="1">SQRT($B$9*SUM(AC1141:OFFSET(AC1141,$B$7-1,0))/($B$7-1))</f>
        <v>#DIV/0!</v>
      </c>
      <c r="AG1141" s="34" t="e">
        <f ca="1">SQRT($B$9*SUM(AC1141:OFFSET(AC1141,$B$8-1,0))/($B$8-1))</f>
        <v>#DIV/0!</v>
      </c>
      <c r="AI1141" s="1" t="e">
        <f t="shared" si="96"/>
        <v>#DIV/0!</v>
      </c>
      <c r="AJ1141" s="4" t="e">
        <f ca="1">SQRT($B$9)*_xlfn.STDEV.S(AI1141:OFFSET(AI1141,$B$5-1,0))</f>
        <v>#DIV/0!</v>
      </c>
      <c r="AK1141" s="4" t="e">
        <f ca="1">SQRT($B$9)*_xlfn.STDEV.S(AI1141:OFFSET(AI1141,$B$6-1,0))</f>
        <v>#DIV/0!</v>
      </c>
      <c r="AL1141" s="4" t="e">
        <f ca="1">SQRT($B$9)*_xlfn.STDEV.S(AI1141:OFFSET(AI1141,$B$7-1,0))</f>
        <v>#DIV/0!</v>
      </c>
      <c r="AM1141" s="4" t="e">
        <f ca="1">SQRT($B$9)*_xlfn.STDEV.S(AI1141:OFFSET(AI1141,$B$8-1,0))</f>
        <v>#DIV/0!</v>
      </c>
    </row>
    <row r="1142" spans="11:39" x14ac:dyDescent="0.2">
      <c r="K1142" s="3" t="e">
        <f t="shared" si="94"/>
        <v>#DIV/0!</v>
      </c>
      <c r="L1142" s="3" t="e">
        <f ca="1">SQRT(AVERAGE(K1142:OFFSET(K1142,$B$5-1,0))*$B$9/(4*LN(2)))</f>
        <v>#DIV/0!</v>
      </c>
      <c r="M1142" s="3" t="e">
        <f ca="1">SQRT(AVERAGE(K1142:OFFSET(K1142,$B$6-1,0))*$B$9/(4*LN(2)))</f>
        <v>#DIV/0!</v>
      </c>
      <c r="N1142" s="3" t="e">
        <f ca="1">SQRT(AVERAGE(K1142:OFFSET(K1142,$B$7-1,0))*$B$9/(4*LN(2)))</f>
        <v>#DIV/0!</v>
      </c>
      <c r="O1142" s="3" t="e">
        <f ca="1">SQRT(AVERAGE(K1142:OFFSET(K1142,$B$8-1,0))*$B$9/(4*LN(2)))</f>
        <v>#DIV/0!</v>
      </c>
      <c r="Q1142" s="5" t="e">
        <f t="shared" si="93"/>
        <v>#DIV/0!</v>
      </c>
      <c r="R1142" s="5" t="e">
        <f ca="1">SQRT($B$9*AVERAGE((Q1142:OFFSET(Q1142,$B$5-1,0))))</f>
        <v>#DIV/0!</v>
      </c>
      <c r="S1142" s="5" t="e">
        <f ca="1">SQRT($B$9*AVERAGE((Q1142:OFFSET(Q1142,$B$6-1,0))))</f>
        <v>#DIV/0!</v>
      </c>
      <c r="T1142" s="5" t="e">
        <f ca="1">SQRT($B$9*AVERAGE((Q1142:OFFSET(Q1142,$B$7-1,0))))</f>
        <v>#DIV/0!</v>
      </c>
      <c r="U1142" s="5" t="e">
        <f ca="1">SQRT($B$9*AVERAGE((Q1142:OFFSET(Q1142,$B$8-1,0))))</f>
        <v>#DIV/0!</v>
      </c>
      <c r="W1142" s="6" t="e">
        <f t="shared" si="97"/>
        <v>#DIV/0!</v>
      </c>
      <c r="X1142" s="6" t="e">
        <f ca="1">SQRT($B$9*AVERAGE(W1142:OFFSET(W1142,$B$5-1,0)))</f>
        <v>#DIV/0!</v>
      </c>
      <c r="Y1142" s="6" t="e">
        <f ca="1">SQRT($B$9*AVERAGE(W1142:OFFSET(W1142,$B$6-1,0)))</f>
        <v>#DIV/0!</v>
      </c>
      <c r="Z1142" s="6" t="e">
        <f ca="1">SQRT($B$9*AVERAGE(W1142:OFFSET(W1142,$B$7-1,0)))</f>
        <v>#DIV/0!</v>
      </c>
      <c r="AA1142" s="6" t="e">
        <f ca="1">SQRT($B$9*AVERAGE(W1142:OFFSET(W1142,$B$8-1,0)))</f>
        <v>#DIV/0!</v>
      </c>
      <c r="AC1142" s="34" t="e">
        <f t="shared" si="95"/>
        <v>#DIV/0!</v>
      </c>
      <c r="AD1142" s="34" t="e">
        <f ca="1">SQRT($B$9*SUM(AC1142:OFFSET(AC1142,$B$5-1,0))/($B$5-1))</f>
        <v>#DIV/0!</v>
      </c>
      <c r="AE1142" s="34" t="e">
        <f ca="1">SQRT($B$9*SUM(AC1142:OFFSET(AC1142,$B$6-1,0))/($B$6-1))</f>
        <v>#DIV/0!</v>
      </c>
      <c r="AF1142" s="34" t="e">
        <f ca="1">SQRT($B$9*SUM(AC1142:OFFSET(AC1142,$B$7-1,0))/($B$7-1))</f>
        <v>#DIV/0!</v>
      </c>
      <c r="AG1142" s="34" t="e">
        <f ca="1">SQRT($B$9*SUM(AC1142:OFFSET(AC1142,$B$8-1,0))/($B$8-1))</f>
        <v>#DIV/0!</v>
      </c>
      <c r="AI1142" s="1" t="e">
        <f t="shared" si="96"/>
        <v>#DIV/0!</v>
      </c>
      <c r="AJ1142" s="4" t="e">
        <f ca="1">SQRT($B$9)*_xlfn.STDEV.S(AI1142:OFFSET(AI1142,$B$5-1,0))</f>
        <v>#DIV/0!</v>
      </c>
      <c r="AK1142" s="4" t="e">
        <f ca="1">SQRT($B$9)*_xlfn.STDEV.S(AI1142:OFFSET(AI1142,$B$6-1,0))</f>
        <v>#DIV/0!</v>
      </c>
      <c r="AL1142" s="4" t="e">
        <f ca="1">SQRT($B$9)*_xlfn.STDEV.S(AI1142:OFFSET(AI1142,$B$7-1,0))</f>
        <v>#DIV/0!</v>
      </c>
      <c r="AM1142" s="4" t="e">
        <f ca="1">SQRT($B$9)*_xlfn.STDEV.S(AI1142:OFFSET(AI1142,$B$8-1,0))</f>
        <v>#DIV/0!</v>
      </c>
    </row>
    <row r="1143" spans="11:39" x14ac:dyDescent="0.2">
      <c r="K1143" s="3" t="e">
        <f t="shared" si="94"/>
        <v>#DIV/0!</v>
      </c>
      <c r="L1143" s="3" t="e">
        <f ca="1">SQRT(AVERAGE(K1143:OFFSET(K1143,$B$5-1,0))*$B$9/(4*LN(2)))</f>
        <v>#DIV/0!</v>
      </c>
      <c r="M1143" s="3" t="e">
        <f ca="1">SQRT(AVERAGE(K1143:OFFSET(K1143,$B$6-1,0))*$B$9/(4*LN(2)))</f>
        <v>#DIV/0!</v>
      </c>
      <c r="N1143" s="3" t="e">
        <f ca="1">SQRT(AVERAGE(K1143:OFFSET(K1143,$B$7-1,0))*$B$9/(4*LN(2)))</f>
        <v>#DIV/0!</v>
      </c>
      <c r="O1143" s="3" t="e">
        <f ca="1">SQRT(AVERAGE(K1143:OFFSET(K1143,$B$8-1,0))*$B$9/(4*LN(2)))</f>
        <v>#DIV/0!</v>
      </c>
      <c r="Q1143" s="5" t="e">
        <f t="shared" si="93"/>
        <v>#DIV/0!</v>
      </c>
      <c r="R1143" s="5" t="e">
        <f ca="1">SQRT($B$9*AVERAGE((Q1143:OFFSET(Q1143,$B$5-1,0))))</f>
        <v>#DIV/0!</v>
      </c>
      <c r="S1143" s="5" t="e">
        <f ca="1">SQRT($B$9*AVERAGE((Q1143:OFFSET(Q1143,$B$6-1,0))))</f>
        <v>#DIV/0!</v>
      </c>
      <c r="T1143" s="5" t="e">
        <f ca="1">SQRT($B$9*AVERAGE((Q1143:OFFSET(Q1143,$B$7-1,0))))</f>
        <v>#DIV/0!</v>
      </c>
      <c r="U1143" s="5" t="e">
        <f ca="1">SQRT($B$9*AVERAGE((Q1143:OFFSET(Q1143,$B$8-1,0))))</f>
        <v>#DIV/0!</v>
      </c>
      <c r="W1143" s="6" t="e">
        <f t="shared" si="97"/>
        <v>#DIV/0!</v>
      </c>
      <c r="X1143" s="6" t="e">
        <f ca="1">SQRT($B$9*AVERAGE(W1143:OFFSET(W1143,$B$5-1,0)))</f>
        <v>#DIV/0!</v>
      </c>
      <c r="Y1143" s="6" t="e">
        <f ca="1">SQRT($B$9*AVERAGE(W1143:OFFSET(W1143,$B$6-1,0)))</f>
        <v>#DIV/0!</v>
      </c>
      <c r="Z1143" s="6" t="e">
        <f ca="1">SQRT($B$9*AVERAGE(W1143:OFFSET(W1143,$B$7-1,0)))</f>
        <v>#DIV/0!</v>
      </c>
      <c r="AA1143" s="6" t="e">
        <f ca="1">SQRT($B$9*AVERAGE(W1143:OFFSET(W1143,$B$8-1,0)))</f>
        <v>#DIV/0!</v>
      </c>
      <c r="AC1143" s="34" t="e">
        <f t="shared" si="95"/>
        <v>#DIV/0!</v>
      </c>
      <c r="AD1143" s="34" t="e">
        <f ca="1">SQRT($B$9*SUM(AC1143:OFFSET(AC1143,$B$5-1,0))/($B$5-1))</f>
        <v>#DIV/0!</v>
      </c>
      <c r="AE1143" s="34" t="e">
        <f ca="1">SQRT($B$9*SUM(AC1143:OFFSET(AC1143,$B$6-1,0))/($B$6-1))</f>
        <v>#DIV/0!</v>
      </c>
      <c r="AF1143" s="34" t="e">
        <f ca="1">SQRT($B$9*SUM(AC1143:OFFSET(AC1143,$B$7-1,0))/($B$7-1))</f>
        <v>#DIV/0!</v>
      </c>
      <c r="AG1143" s="34" t="e">
        <f ca="1">SQRT($B$9*SUM(AC1143:OFFSET(AC1143,$B$8-1,0))/($B$8-1))</f>
        <v>#DIV/0!</v>
      </c>
      <c r="AI1143" s="1" t="e">
        <f t="shared" si="96"/>
        <v>#DIV/0!</v>
      </c>
      <c r="AJ1143" s="4" t="e">
        <f ca="1">SQRT($B$9)*_xlfn.STDEV.S(AI1143:OFFSET(AI1143,$B$5-1,0))</f>
        <v>#DIV/0!</v>
      </c>
      <c r="AK1143" s="4" t="e">
        <f ca="1">SQRT($B$9)*_xlfn.STDEV.S(AI1143:OFFSET(AI1143,$B$6-1,0))</f>
        <v>#DIV/0!</v>
      </c>
      <c r="AL1143" s="4" t="e">
        <f ca="1">SQRT($B$9)*_xlfn.STDEV.S(AI1143:OFFSET(AI1143,$B$7-1,0))</f>
        <v>#DIV/0!</v>
      </c>
      <c r="AM1143" s="4" t="e">
        <f ca="1">SQRT($B$9)*_xlfn.STDEV.S(AI1143:OFFSET(AI1143,$B$8-1,0))</f>
        <v>#DIV/0!</v>
      </c>
    </row>
    <row r="1144" spans="11:39" x14ac:dyDescent="0.2">
      <c r="K1144" s="3" t="e">
        <f t="shared" si="94"/>
        <v>#DIV/0!</v>
      </c>
      <c r="L1144" s="3" t="e">
        <f ca="1">SQRT(AVERAGE(K1144:OFFSET(K1144,$B$5-1,0))*$B$9/(4*LN(2)))</f>
        <v>#DIV/0!</v>
      </c>
      <c r="M1144" s="3" t="e">
        <f ca="1">SQRT(AVERAGE(K1144:OFFSET(K1144,$B$6-1,0))*$B$9/(4*LN(2)))</f>
        <v>#DIV/0!</v>
      </c>
      <c r="N1144" s="3" t="e">
        <f ca="1">SQRT(AVERAGE(K1144:OFFSET(K1144,$B$7-1,0))*$B$9/(4*LN(2)))</f>
        <v>#DIV/0!</v>
      </c>
      <c r="O1144" s="3" t="e">
        <f ca="1">SQRT(AVERAGE(K1144:OFFSET(K1144,$B$8-1,0))*$B$9/(4*LN(2)))</f>
        <v>#DIV/0!</v>
      </c>
      <c r="Q1144" s="5" t="e">
        <f t="shared" si="93"/>
        <v>#DIV/0!</v>
      </c>
      <c r="R1144" s="5" t="e">
        <f ca="1">SQRT($B$9*AVERAGE((Q1144:OFFSET(Q1144,$B$5-1,0))))</f>
        <v>#DIV/0!</v>
      </c>
      <c r="S1144" s="5" t="e">
        <f ca="1">SQRT($B$9*AVERAGE((Q1144:OFFSET(Q1144,$B$6-1,0))))</f>
        <v>#DIV/0!</v>
      </c>
      <c r="T1144" s="5" t="e">
        <f ca="1">SQRT($B$9*AVERAGE((Q1144:OFFSET(Q1144,$B$7-1,0))))</f>
        <v>#DIV/0!</v>
      </c>
      <c r="U1144" s="5" t="e">
        <f ca="1">SQRT($B$9*AVERAGE((Q1144:OFFSET(Q1144,$B$8-1,0))))</f>
        <v>#DIV/0!</v>
      </c>
      <c r="W1144" s="6" t="e">
        <f t="shared" si="97"/>
        <v>#DIV/0!</v>
      </c>
      <c r="X1144" s="6" t="e">
        <f ca="1">SQRT($B$9*AVERAGE(W1144:OFFSET(W1144,$B$5-1,0)))</f>
        <v>#DIV/0!</v>
      </c>
      <c r="Y1144" s="6" t="e">
        <f ca="1">SQRT($B$9*AVERAGE(W1144:OFFSET(W1144,$B$6-1,0)))</f>
        <v>#DIV/0!</v>
      </c>
      <c r="Z1144" s="6" t="e">
        <f ca="1">SQRT($B$9*AVERAGE(W1144:OFFSET(W1144,$B$7-1,0)))</f>
        <v>#DIV/0!</v>
      </c>
      <c r="AA1144" s="6" t="e">
        <f ca="1">SQRT($B$9*AVERAGE(W1144:OFFSET(W1144,$B$8-1,0)))</f>
        <v>#DIV/0!</v>
      </c>
      <c r="AC1144" s="34" t="e">
        <f t="shared" si="95"/>
        <v>#DIV/0!</v>
      </c>
      <c r="AD1144" s="34" t="e">
        <f ca="1">SQRT($B$9*SUM(AC1144:OFFSET(AC1144,$B$5-1,0))/($B$5-1))</f>
        <v>#DIV/0!</v>
      </c>
      <c r="AE1144" s="34" t="e">
        <f ca="1">SQRT($B$9*SUM(AC1144:OFFSET(AC1144,$B$6-1,0))/($B$6-1))</f>
        <v>#DIV/0!</v>
      </c>
      <c r="AF1144" s="34" t="e">
        <f ca="1">SQRT($B$9*SUM(AC1144:OFFSET(AC1144,$B$7-1,0))/($B$7-1))</f>
        <v>#DIV/0!</v>
      </c>
      <c r="AG1144" s="34" t="e">
        <f ca="1">SQRT($B$9*SUM(AC1144:OFFSET(AC1144,$B$8-1,0))/($B$8-1))</f>
        <v>#DIV/0!</v>
      </c>
      <c r="AI1144" s="1" t="e">
        <f t="shared" si="96"/>
        <v>#DIV/0!</v>
      </c>
      <c r="AJ1144" s="4" t="e">
        <f ca="1">SQRT($B$9)*_xlfn.STDEV.S(AI1144:OFFSET(AI1144,$B$5-1,0))</f>
        <v>#DIV/0!</v>
      </c>
      <c r="AK1144" s="4" t="e">
        <f ca="1">SQRT($B$9)*_xlfn.STDEV.S(AI1144:OFFSET(AI1144,$B$6-1,0))</f>
        <v>#DIV/0!</v>
      </c>
      <c r="AL1144" s="4" t="e">
        <f ca="1">SQRT($B$9)*_xlfn.STDEV.S(AI1144:OFFSET(AI1144,$B$7-1,0))</f>
        <v>#DIV/0!</v>
      </c>
      <c r="AM1144" s="4" t="e">
        <f ca="1">SQRT($B$9)*_xlfn.STDEV.S(AI1144:OFFSET(AI1144,$B$8-1,0))</f>
        <v>#DIV/0!</v>
      </c>
    </row>
    <row r="1145" spans="11:39" x14ac:dyDescent="0.2">
      <c r="K1145" s="3" t="e">
        <f t="shared" si="94"/>
        <v>#DIV/0!</v>
      </c>
      <c r="L1145" s="3" t="e">
        <f ca="1">SQRT(AVERAGE(K1145:OFFSET(K1145,$B$5-1,0))*$B$9/(4*LN(2)))</f>
        <v>#DIV/0!</v>
      </c>
      <c r="M1145" s="3" t="e">
        <f ca="1">SQRT(AVERAGE(K1145:OFFSET(K1145,$B$6-1,0))*$B$9/(4*LN(2)))</f>
        <v>#DIV/0!</v>
      </c>
      <c r="N1145" s="3" t="e">
        <f ca="1">SQRT(AVERAGE(K1145:OFFSET(K1145,$B$7-1,0))*$B$9/(4*LN(2)))</f>
        <v>#DIV/0!</v>
      </c>
      <c r="O1145" s="3" t="e">
        <f ca="1">SQRT(AVERAGE(K1145:OFFSET(K1145,$B$8-1,0))*$B$9/(4*LN(2)))</f>
        <v>#DIV/0!</v>
      </c>
      <c r="Q1145" s="5" t="e">
        <f t="shared" si="93"/>
        <v>#DIV/0!</v>
      </c>
      <c r="R1145" s="5" t="e">
        <f ca="1">SQRT($B$9*AVERAGE((Q1145:OFFSET(Q1145,$B$5-1,0))))</f>
        <v>#DIV/0!</v>
      </c>
      <c r="S1145" s="5" t="e">
        <f ca="1">SQRT($B$9*AVERAGE((Q1145:OFFSET(Q1145,$B$6-1,0))))</f>
        <v>#DIV/0!</v>
      </c>
      <c r="T1145" s="5" t="e">
        <f ca="1">SQRT($B$9*AVERAGE((Q1145:OFFSET(Q1145,$B$7-1,0))))</f>
        <v>#DIV/0!</v>
      </c>
      <c r="U1145" s="5" t="e">
        <f ca="1">SQRT($B$9*AVERAGE((Q1145:OFFSET(Q1145,$B$8-1,0))))</f>
        <v>#DIV/0!</v>
      </c>
      <c r="W1145" s="6" t="e">
        <f t="shared" si="97"/>
        <v>#DIV/0!</v>
      </c>
      <c r="X1145" s="6" t="e">
        <f ca="1">SQRT($B$9*AVERAGE(W1145:OFFSET(W1145,$B$5-1,0)))</f>
        <v>#DIV/0!</v>
      </c>
      <c r="Y1145" s="6" t="e">
        <f ca="1">SQRT($B$9*AVERAGE(W1145:OFFSET(W1145,$B$6-1,0)))</f>
        <v>#DIV/0!</v>
      </c>
      <c r="Z1145" s="6" t="e">
        <f ca="1">SQRT($B$9*AVERAGE(W1145:OFFSET(W1145,$B$7-1,0)))</f>
        <v>#DIV/0!</v>
      </c>
      <c r="AA1145" s="6" t="e">
        <f ca="1">SQRT($B$9*AVERAGE(W1145:OFFSET(W1145,$B$8-1,0)))</f>
        <v>#DIV/0!</v>
      </c>
      <c r="AC1145" s="34" t="e">
        <f t="shared" si="95"/>
        <v>#DIV/0!</v>
      </c>
      <c r="AD1145" s="34" t="e">
        <f ca="1">SQRT($B$9*SUM(AC1145:OFFSET(AC1145,$B$5-1,0))/($B$5-1))</f>
        <v>#DIV/0!</v>
      </c>
      <c r="AE1145" s="34" t="e">
        <f ca="1">SQRT($B$9*SUM(AC1145:OFFSET(AC1145,$B$6-1,0))/($B$6-1))</f>
        <v>#DIV/0!</v>
      </c>
      <c r="AF1145" s="34" t="e">
        <f ca="1">SQRT($B$9*SUM(AC1145:OFFSET(AC1145,$B$7-1,0))/($B$7-1))</f>
        <v>#DIV/0!</v>
      </c>
      <c r="AG1145" s="34" t="e">
        <f ca="1">SQRT($B$9*SUM(AC1145:OFFSET(AC1145,$B$8-1,0))/($B$8-1))</f>
        <v>#DIV/0!</v>
      </c>
      <c r="AI1145" s="1" t="e">
        <f t="shared" si="96"/>
        <v>#DIV/0!</v>
      </c>
      <c r="AJ1145" s="4" t="e">
        <f ca="1">SQRT($B$9)*_xlfn.STDEV.S(AI1145:OFFSET(AI1145,$B$5-1,0))</f>
        <v>#DIV/0!</v>
      </c>
      <c r="AK1145" s="4" t="e">
        <f ca="1">SQRT($B$9)*_xlfn.STDEV.S(AI1145:OFFSET(AI1145,$B$6-1,0))</f>
        <v>#DIV/0!</v>
      </c>
      <c r="AL1145" s="4" t="e">
        <f ca="1">SQRT($B$9)*_xlfn.STDEV.S(AI1145:OFFSET(AI1145,$B$7-1,0))</f>
        <v>#DIV/0!</v>
      </c>
      <c r="AM1145" s="4" t="e">
        <f ca="1">SQRT($B$9)*_xlfn.STDEV.S(AI1145:OFFSET(AI1145,$B$8-1,0))</f>
        <v>#DIV/0!</v>
      </c>
    </row>
    <row r="1146" spans="11:39" x14ac:dyDescent="0.2">
      <c r="K1146" s="3" t="e">
        <f t="shared" si="94"/>
        <v>#DIV/0!</v>
      </c>
      <c r="L1146" s="3" t="e">
        <f ca="1">SQRT(AVERAGE(K1146:OFFSET(K1146,$B$5-1,0))*$B$9/(4*LN(2)))</f>
        <v>#DIV/0!</v>
      </c>
      <c r="M1146" s="3" t="e">
        <f ca="1">SQRT(AVERAGE(K1146:OFFSET(K1146,$B$6-1,0))*$B$9/(4*LN(2)))</f>
        <v>#DIV/0!</v>
      </c>
      <c r="N1146" s="3" t="e">
        <f ca="1">SQRT(AVERAGE(K1146:OFFSET(K1146,$B$7-1,0))*$B$9/(4*LN(2)))</f>
        <v>#DIV/0!</v>
      </c>
      <c r="O1146" s="3" t="e">
        <f ca="1">SQRT(AVERAGE(K1146:OFFSET(K1146,$B$8-1,0))*$B$9/(4*LN(2)))</f>
        <v>#DIV/0!</v>
      </c>
      <c r="Q1146" s="5" t="e">
        <f t="shared" si="93"/>
        <v>#DIV/0!</v>
      </c>
      <c r="R1146" s="5" t="e">
        <f ca="1">SQRT($B$9*AVERAGE((Q1146:OFFSET(Q1146,$B$5-1,0))))</f>
        <v>#DIV/0!</v>
      </c>
      <c r="S1146" s="5" t="e">
        <f ca="1">SQRT($B$9*AVERAGE((Q1146:OFFSET(Q1146,$B$6-1,0))))</f>
        <v>#DIV/0!</v>
      </c>
      <c r="T1146" s="5" t="e">
        <f ca="1">SQRT($B$9*AVERAGE((Q1146:OFFSET(Q1146,$B$7-1,0))))</f>
        <v>#DIV/0!</v>
      </c>
      <c r="U1146" s="5" t="e">
        <f ca="1">SQRT($B$9*AVERAGE((Q1146:OFFSET(Q1146,$B$8-1,0))))</f>
        <v>#DIV/0!</v>
      </c>
      <c r="W1146" s="6" t="e">
        <f t="shared" si="97"/>
        <v>#DIV/0!</v>
      </c>
      <c r="X1146" s="6" t="e">
        <f ca="1">SQRT($B$9*AVERAGE(W1146:OFFSET(W1146,$B$5-1,0)))</f>
        <v>#DIV/0!</v>
      </c>
      <c r="Y1146" s="6" t="e">
        <f ca="1">SQRT($B$9*AVERAGE(W1146:OFFSET(W1146,$B$6-1,0)))</f>
        <v>#DIV/0!</v>
      </c>
      <c r="Z1146" s="6" t="e">
        <f ca="1">SQRT($B$9*AVERAGE(W1146:OFFSET(W1146,$B$7-1,0)))</f>
        <v>#DIV/0!</v>
      </c>
      <c r="AA1146" s="6" t="e">
        <f ca="1">SQRT($B$9*AVERAGE(W1146:OFFSET(W1146,$B$8-1,0)))</f>
        <v>#DIV/0!</v>
      </c>
      <c r="AC1146" s="34" t="e">
        <f t="shared" si="95"/>
        <v>#DIV/0!</v>
      </c>
      <c r="AD1146" s="34" t="e">
        <f ca="1">SQRT($B$9*SUM(AC1146:OFFSET(AC1146,$B$5-1,0))/($B$5-1))</f>
        <v>#DIV/0!</v>
      </c>
      <c r="AE1146" s="34" t="e">
        <f ca="1">SQRT($B$9*SUM(AC1146:OFFSET(AC1146,$B$6-1,0))/($B$6-1))</f>
        <v>#DIV/0!</v>
      </c>
      <c r="AF1146" s="34" t="e">
        <f ca="1">SQRT($B$9*SUM(AC1146:OFFSET(AC1146,$B$7-1,0))/($B$7-1))</f>
        <v>#DIV/0!</v>
      </c>
      <c r="AG1146" s="34" t="e">
        <f ca="1">SQRT($B$9*SUM(AC1146:OFFSET(AC1146,$B$8-1,0))/($B$8-1))</f>
        <v>#DIV/0!</v>
      </c>
      <c r="AI1146" s="1" t="e">
        <f t="shared" si="96"/>
        <v>#DIV/0!</v>
      </c>
      <c r="AJ1146" s="4" t="e">
        <f ca="1">SQRT($B$9)*_xlfn.STDEV.S(AI1146:OFFSET(AI1146,$B$5-1,0))</f>
        <v>#DIV/0!</v>
      </c>
      <c r="AK1146" s="4" t="e">
        <f ca="1">SQRT($B$9)*_xlfn.STDEV.S(AI1146:OFFSET(AI1146,$B$6-1,0))</f>
        <v>#DIV/0!</v>
      </c>
      <c r="AL1146" s="4" t="e">
        <f ca="1">SQRT($B$9)*_xlfn.STDEV.S(AI1146:OFFSET(AI1146,$B$7-1,0))</f>
        <v>#DIV/0!</v>
      </c>
      <c r="AM1146" s="4" t="e">
        <f ca="1">SQRT($B$9)*_xlfn.STDEV.S(AI1146:OFFSET(AI1146,$B$8-1,0))</f>
        <v>#DIV/0!</v>
      </c>
    </row>
    <row r="1147" spans="11:39" x14ac:dyDescent="0.2">
      <c r="K1147" s="3" t="e">
        <f t="shared" si="94"/>
        <v>#DIV/0!</v>
      </c>
      <c r="L1147" s="3" t="e">
        <f ca="1">SQRT(AVERAGE(K1147:OFFSET(K1147,$B$5-1,0))*$B$9/(4*LN(2)))</f>
        <v>#DIV/0!</v>
      </c>
      <c r="M1147" s="3" t="e">
        <f ca="1">SQRT(AVERAGE(K1147:OFFSET(K1147,$B$6-1,0))*$B$9/(4*LN(2)))</f>
        <v>#DIV/0!</v>
      </c>
      <c r="N1147" s="3" t="e">
        <f ca="1">SQRT(AVERAGE(K1147:OFFSET(K1147,$B$7-1,0))*$B$9/(4*LN(2)))</f>
        <v>#DIV/0!</v>
      </c>
      <c r="O1147" s="3" t="e">
        <f ca="1">SQRT(AVERAGE(K1147:OFFSET(K1147,$B$8-1,0))*$B$9/(4*LN(2)))</f>
        <v>#DIV/0!</v>
      </c>
      <c r="Q1147" s="5" t="e">
        <f t="shared" si="93"/>
        <v>#DIV/0!</v>
      </c>
      <c r="R1147" s="5" t="e">
        <f ca="1">SQRT($B$9*AVERAGE((Q1147:OFFSET(Q1147,$B$5-1,0))))</f>
        <v>#DIV/0!</v>
      </c>
      <c r="S1147" s="5" t="e">
        <f ca="1">SQRT($B$9*AVERAGE((Q1147:OFFSET(Q1147,$B$6-1,0))))</f>
        <v>#DIV/0!</v>
      </c>
      <c r="T1147" s="5" t="e">
        <f ca="1">SQRT($B$9*AVERAGE((Q1147:OFFSET(Q1147,$B$7-1,0))))</f>
        <v>#DIV/0!</v>
      </c>
      <c r="U1147" s="5" t="e">
        <f ca="1">SQRT($B$9*AVERAGE((Q1147:OFFSET(Q1147,$B$8-1,0))))</f>
        <v>#DIV/0!</v>
      </c>
      <c r="W1147" s="6" t="e">
        <f t="shared" si="97"/>
        <v>#DIV/0!</v>
      </c>
      <c r="X1147" s="6" t="e">
        <f ca="1">SQRT($B$9*AVERAGE(W1147:OFFSET(W1147,$B$5-1,0)))</f>
        <v>#DIV/0!</v>
      </c>
      <c r="Y1147" s="6" t="e">
        <f ca="1">SQRT($B$9*AVERAGE(W1147:OFFSET(W1147,$B$6-1,0)))</f>
        <v>#DIV/0!</v>
      </c>
      <c r="Z1147" s="6" t="e">
        <f ca="1">SQRT($B$9*AVERAGE(W1147:OFFSET(W1147,$B$7-1,0)))</f>
        <v>#DIV/0!</v>
      </c>
      <c r="AA1147" s="6" t="e">
        <f ca="1">SQRT($B$9*AVERAGE(W1147:OFFSET(W1147,$B$8-1,0)))</f>
        <v>#DIV/0!</v>
      </c>
      <c r="AC1147" s="34" t="e">
        <f t="shared" si="95"/>
        <v>#DIV/0!</v>
      </c>
      <c r="AD1147" s="34" t="e">
        <f ca="1">SQRT($B$9*SUM(AC1147:OFFSET(AC1147,$B$5-1,0))/($B$5-1))</f>
        <v>#DIV/0!</v>
      </c>
      <c r="AE1147" s="34" t="e">
        <f ca="1">SQRT($B$9*SUM(AC1147:OFFSET(AC1147,$B$6-1,0))/($B$6-1))</f>
        <v>#DIV/0!</v>
      </c>
      <c r="AF1147" s="34" t="e">
        <f ca="1">SQRT($B$9*SUM(AC1147:OFFSET(AC1147,$B$7-1,0))/($B$7-1))</f>
        <v>#DIV/0!</v>
      </c>
      <c r="AG1147" s="34" t="e">
        <f ca="1">SQRT($B$9*SUM(AC1147:OFFSET(AC1147,$B$8-1,0))/($B$8-1))</f>
        <v>#DIV/0!</v>
      </c>
      <c r="AI1147" s="1" t="e">
        <f t="shared" si="96"/>
        <v>#DIV/0!</v>
      </c>
      <c r="AJ1147" s="4" t="e">
        <f ca="1">SQRT($B$9)*_xlfn.STDEV.S(AI1147:OFFSET(AI1147,$B$5-1,0))</f>
        <v>#DIV/0!</v>
      </c>
      <c r="AK1147" s="4" t="e">
        <f ca="1">SQRT($B$9)*_xlfn.STDEV.S(AI1147:OFFSET(AI1147,$B$6-1,0))</f>
        <v>#DIV/0!</v>
      </c>
      <c r="AL1147" s="4" t="e">
        <f ca="1">SQRT($B$9)*_xlfn.STDEV.S(AI1147:OFFSET(AI1147,$B$7-1,0))</f>
        <v>#DIV/0!</v>
      </c>
      <c r="AM1147" s="4" t="e">
        <f ca="1">SQRT($B$9)*_xlfn.STDEV.S(AI1147:OFFSET(AI1147,$B$8-1,0))</f>
        <v>#DIV/0!</v>
      </c>
    </row>
    <row r="1148" spans="11:39" x14ac:dyDescent="0.2">
      <c r="K1148" s="3" t="e">
        <f t="shared" si="94"/>
        <v>#DIV/0!</v>
      </c>
      <c r="L1148" s="3" t="e">
        <f ca="1">SQRT(AVERAGE(K1148:OFFSET(K1148,$B$5-1,0))*$B$9/(4*LN(2)))</f>
        <v>#DIV/0!</v>
      </c>
      <c r="M1148" s="3" t="e">
        <f ca="1">SQRT(AVERAGE(K1148:OFFSET(K1148,$B$6-1,0))*$B$9/(4*LN(2)))</f>
        <v>#DIV/0!</v>
      </c>
      <c r="N1148" s="3" t="e">
        <f ca="1">SQRT(AVERAGE(K1148:OFFSET(K1148,$B$7-1,0))*$B$9/(4*LN(2)))</f>
        <v>#DIV/0!</v>
      </c>
      <c r="O1148" s="3" t="e">
        <f ca="1">SQRT(AVERAGE(K1148:OFFSET(K1148,$B$8-1,0))*$B$9/(4*LN(2)))</f>
        <v>#DIV/0!</v>
      </c>
      <c r="Q1148" s="5" t="e">
        <f t="shared" si="93"/>
        <v>#DIV/0!</v>
      </c>
      <c r="R1148" s="5" t="e">
        <f ca="1">SQRT($B$9*AVERAGE((Q1148:OFFSET(Q1148,$B$5-1,0))))</f>
        <v>#DIV/0!</v>
      </c>
      <c r="S1148" s="5" t="e">
        <f ca="1">SQRT($B$9*AVERAGE((Q1148:OFFSET(Q1148,$B$6-1,0))))</f>
        <v>#DIV/0!</v>
      </c>
      <c r="T1148" s="5" t="e">
        <f ca="1">SQRT($B$9*AVERAGE((Q1148:OFFSET(Q1148,$B$7-1,0))))</f>
        <v>#DIV/0!</v>
      </c>
      <c r="U1148" s="5" t="e">
        <f ca="1">SQRT($B$9*AVERAGE((Q1148:OFFSET(Q1148,$B$8-1,0))))</f>
        <v>#DIV/0!</v>
      </c>
      <c r="W1148" s="6" t="e">
        <f t="shared" si="97"/>
        <v>#DIV/0!</v>
      </c>
      <c r="X1148" s="6" t="e">
        <f ca="1">SQRT($B$9*AVERAGE(W1148:OFFSET(W1148,$B$5-1,0)))</f>
        <v>#DIV/0!</v>
      </c>
      <c r="Y1148" s="6" t="e">
        <f ca="1">SQRT($B$9*AVERAGE(W1148:OFFSET(W1148,$B$6-1,0)))</f>
        <v>#DIV/0!</v>
      </c>
      <c r="Z1148" s="6" t="e">
        <f ca="1">SQRT($B$9*AVERAGE(W1148:OFFSET(W1148,$B$7-1,0)))</f>
        <v>#DIV/0!</v>
      </c>
      <c r="AA1148" s="6" t="e">
        <f ca="1">SQRT($B$9*AVERAGE(W1148:OFFSET(W1148,$B$8-1,0)))</f>
        <v>#DIV/0!</v>
      </c>
      <c r="AC1148" s="34" t="e">
        <f t="shared" si="95"/>
        <v>#DIV/0!</v>
      </c>
      <c r="AD1148" s="34" t="e">
        <f ca="1">SQRT($B$9*SUM(AC1148:OFFSET(AC1148,$B$5-1,0))/($B$5-1))</f>
        <v>#DIV/0!</v>
      </c>
      <c r="AE1148" s="34" t="e">
        <f ca="1">SQRT($B$9*SUM(AC1148:OFFSET(AC1148,$B$6-1,0))/($B$6-1))</f>
        <v>#DIV/0!</v>
      </c>
      <c r="AF1148" s="34" t="e">
        <f ca="1">SQRT($B$9*SUM(AC1148:OFFSET(AC1148,$B$7-1,0))/($B$7-1))</f>
        <v>#DIV/0!</v>
      </c>
      <c r="AG1148" s="34" t="e">
        <f ca="1">SQRT($B$9*SUM(AC1148:OFFSET(AC1148,$B$8-1,0))/($B$8-1))</f>
        <v>#DIV/0!</v>
      </c>
      <c r="AI1148" s="1" t="e">
        <f t="shared" si="96"/>
        <v>#DIV/0!</v>
      </c>
      <c r="AJ1148" s="4" t="e">
        <f ca="1">SQRT($B$9)*_xlfn.STDEV.S(AI1148:OFFSET(AI1148,$B$5-1,0))</f>
        <v>#DIV/0!</v>
      </c>
      <c r="AK1148" s="4" t="e">
        <f ca="1">SQRT($B$9)*_xlfn.STDEV.S(AI1148:OFFSET(AI1148,$B$6-1,0))</f>
        <v>#DIV/0!</v>
      </c>
      <c r="AL1148" s="4" t="e">
        <f ca="1">SQRT($B$9)*_xlfn.STDEV.S(AI1148:OFFSET(AI1148,$B$7-1,0))</f>
        <v>#DIV/0!</v>
      </c>
      <c r="AM1148" s="4" t="e">
        <f ca="1">SQRT($B$9)*_xlfn.STDEV.S(AI1148:OFFSET(AI1148,$B$8-1,0))</f>
        <v>#DIV/0!</v>
      </c>
    </row>
    <row r="1149" spans="11:39" x14ac:dyDescent="0.2">
      <c r="K1149" s="3" t="e">
        <f t="shared" si="94"/>
        <v>#DIV/0!</v>
      </c>
      <c r="L1149" s="3" t="e">
        <f ca="1">SQRT(AVERAGE(K1149:OFFSET(K1149,$B$5-1,0))*$B$9/(4*LN(2)))</f>
        <v>#DIV/0!</v>
      </c>
      <c r="M1149" s="3" t="e">
        <f ca="1">SQRT(AVERAGE(K1149:OFFSET(K1149,$B$6-1,0))*$B$9/(4*LN(2)))</f>
        <v>#DIV/0!</v>
      </c>
      <c r="N1149" s="3" t="e">
        <f ca="1">SQRT(AVERAGE(K1149:OFFSET(K1149,$B$7-1,0))*$B$9/(4*LN(2)))</f>
        <v>#DIV/0!</v>
      </c>
      <c r="O1149" s="3" t="e">
        <f ca="1">SQRT(AVERAGE(K1149:OFFSET(K1149,$B$8-1,0))*$B$9/(4*LN(2)))</f>
        <v>#DIV/0!</v>
      </c>
      <c r="Q1149" s="5" t="e">
        <f t="shared" si="93"/>
        <v>#DIV/0!</v>
      </c>
      <c r="R1149" s="5" t="e">
        <f ca="1">SQRT($B$9*AVERAGE((Q1149:OFFSET(Q1149,$B$5-1,0))))</f>
        <v>#DIV/0!</v>
      </c>
      <c r="S1149" s="5" t="e">
        <f ca="1">SQRT($B$9*AVERAGE((Q1149:OFFSET(Q1149,$B$6-1,0))))</f>
        <v>#DIV/0!</v>
      </c>
      <c r="T1149" s="5" t="e">
        <f ca="1">SQRT($B$9*AVERAGE((Q1149:OFFSET(Q1149,$B$7-1,0))))</f>
        <v>#DIV/0!</v>
      </c>
      <c r="U1149" s="5" t="e">
        <f ca="1">SQRT($B$9*AVERAGE((Q1149:OFFSET(Q1149,$B$8-1,0))))</f>
        <v>#DIV/0!</v>
      </c>
      <c r="W1149" s="6" t="e">
        <f t="shared" si="97"/>
        <v>#DIV/0!</v>
      </c>
      <c r="X1149" s="6" t="e">
        <f ca="1">SQRT($B$9*AVERAGE(W1149:OFFSET(W1149,$B$5-1,0)))</f>
        <v>#DIV/0!</v>
      </c>
      <c r="Y1149" s="6" t="e">
        <f ca="1">SQRT($B$9*AVERAGE(W1149:OFFSET(W1149,$B$6-1,0)))</f>
        <v>#DIV/0!</v>
      </c>
      <c r="Z1149" s="6" t="e">
        <f ca="1">SQRT($B$9*AVERAGE(W1149:OFFSET(W1149,$B$7-1,0)))</f>
        <v>#DIV/0!</v>
      </c>
      <c r="AA1149" s="6" t="e">
        <f ca="1">SQRT($B$9*AVERAGE(W1149:OFFSET(W1149,$B$8-1,0)))</f>
        <v>#DIV/0!</v>
      </c>
      <c r="AC1149" s="34" t="e">
        <f t="shared" si="95"/>
        <v>#DIV/0!</v>
      </c>
      <c r="AD1149" s="34" t="e">
        <f ca="1">SQRT($B$9*SUM(AC1149:OFFSET(AC1149,$B$5-1,0))/($B$5-1))</f>
        <v>#DIV/0!</v>
      </c>
      <c r="AE1149" s="34" t="e">
        <f ca="1">SQRT($B$9*SUM(AC1149:OFFSET(AC1149,$B$6-1,0))/($B$6-1))</f>
        <v>#DIV/0!</v>
      </c>
      <c r="AF1149" s="34" t="e">
        <f ca="1">SQRT($B$9*SUM(AC1149:OFFSET(AC1149,$B$7-1,0))/($B$7-1))</f>
        <v>#DIV/0!</v>
      </c>
      <c r="AG1149" s="34" t="e">
        <f ca="1">SQRT($B$9*SUM(AC1149:OFFSET(AC1149,$B$8-1,0))/($B$8-1))</f>
        <v>#DIV/0!</v>
      </c>
      <c r="AI1149" s="1" t="e">
        <f t="shared" si="96"/>
        <v>#DIV/0!</v>
      </c>
      <c r="AJ1149" s="4" t="e">
        <f ca="1">SQRT($B$9)*_xlfn.STDEV.S(AI1149:OFFSET(AI1149,$B$5-1,0))</f>
        <v>#DIV/0!</v>
      </c>
      <c r="AK1149" s="4" t="e">
        <f ca="1">SQRT($B$9)*_xlfn.STDEV.S(AI1149:OFFSET(AI1149,$B$6-1,0))</f>
        <v>#DIV/0!</v>
      </c>
      <c r="AL1149" s="4" t="e">
        <f ca="1">SQRT($B$9)*_xlfn.STDEV.S(AI1149:OFFSET(AI1149,$B$7-1,0))</f>
        <v>#DIV/0!</v>
      </c>
      <c r="AM1149" s="4" t="e">
        <f ca="1">SQRT($B$9)*_xlfn.STDEV.S(AI1149:OFFSET(AI1149,$B$8-1,0))</f>
        <v>#DIV/0!</v>
      </c>
    </row>
    <row r="1150" spans="11:39" x14ac:dyDescent="0.2">
      <c r="K1150" s="3" t="e">
        <f t="shared" si="94"/>
        <v>#DIV/0!</v>
      </c>
      <c r="L1150" s="3" t="e">
        <f ca="1">SQRT(AVERAGE(K1150:OFFSET(K1150,$B$5-1,0))*$B$9/(4*LN(2)))</f>
        <v>#DIV/0!</v>
      </c>
      <c r="M1150" s="3" t="e">
        <f ca="1">SQRT(AVERAGE(K1150:OFFSET(K1150,$B$6-1,0))*$B$9/(4*LN(2)))</f>
        <v>#DIV/0!</v>
      </c>
      <c r="N1150" s="3" t="e">
        <f ca="1">SQRT(AVERAGE(K1150:OFFSET(K1150,$B$7-1,0))*$B$9/(4*LN(2)))</f>
        <v>#DIV/0!</v>
      </c>
      <c r="O1150" s="3" t="e">
        <f ca="1">SQRT(AVERAGE(K1150:OFFSET(K1150,$B$8-1,0))*$B$9/(4*LN(2)))</f>
        <v>#DIV/0!</v>
      </c>
      <c r="Q1150" s="5" t="e">
        <f t="shared" si="93"/>
        <v>#DIV/0!</v>
      </c>
      <c r="R1150" s="5" t="e">
        <f ca="1">SQRT($B$9*AVERAGE((Q1150:OFFSET(Q1150,$B$5-1,0))))</f>
        <v>#DIV/0!</v>
      </c>
      <c r="S1150" s="5" t="e">
        <f ca="1">SQRT($B$9*AVERAGE((Q1150:OFFSET(Q1150,$B$6-1,0))))</f>
        <v>#DIV/0!</v>
      </c>
      <c r="T1150" s="5" t="e">
        <f ca="1">SQRT($B$9*AVERAGE((Q1150:OFFSET(Q1150,$B$7-1,0))))</f>
        <v>#DIV/0!</v>
      </c>
      <c r="U1150" s="5" t="e">
        <f ca="1">SQRT($B$9*AVERAGE((Q1150:OFFSET(Q1150,$B$8-1,0))))</f>
        <v>#DIV/0!</v>
      </c>
      <c r="W1150" s="6" t="e">
        <f t="shared" si="97"/>
        <v>#DIV/0!</v>
      </c>
      <c r="X1150" s="6" t="e">
        <f ca="1">SQRT($B$9*AVERAGE(W1150:OFFSET(W1150,$B$5-1,0)))</f>
        <v>#DIV/0!</v>
      </c>
      <c r="Y1150" s="6" t="e">
        <f ca="1">SQRT($B$9*AVERAGE(W1150:OFFSET(W1150,$B$6-1,0)))</f>
        <v>#DIV/0!</v>
      </c>
      <c r="Z1150" s="6" t="e">
        <f ca="1">SQRT($B$9*AVERAGE(W1150:OFFSET(W1150,$B$7-1,0)))</f>
        <v>#DIV/0!</v>
      </c>
      <c r="AA1150" s="6" t="e">
        <f ca="1">SQRT($B$9*AVERAGE(W1150:OFFSET(W1150,$B$8-1,0)))</f>
        <v>#DIV/0!</v>
      </c>
      <c r="AC1150" s="34" t="e">
        <f t="shared" si="95"/>
        <v>#DIV/0!</v>
      </c>
      <c r="AD1150" s="34" t="e">
        <f ca="1">SQRT($B$9*SUM(AC1150:OFFSET(AC1150,$B$5-1,0))/($B$5-1))</f>
        <v>#DIV/0!</v>
      </c>
      <c r="AE1150" s="34" t="e">
        <f ca="1">SQRT($B$9*SUM(AC1150:OFFSET(AC1150,$B$6-1,0))/($B$6-1))</f>
        <v>#DIV/0!</v>
      </c>
      <c r="AF1150" s="34" t="e">
        <f ca="1">SQRT($B$9*SUM(AC1150:OFFSET(AC1150,$B$7-1,0))/($B$7-1))</f>
        <v>#DIV/0!</v>
      </c>
      <c r="AG1150" s="34" t="e">
        <f ca="1">SQRT($B$9*SUM(AC1150:OFFSET(AC1150,$B$8-1,0))/($B$8-1))</f>
        <v>#DIV/0!</v>
      </c>
      <c r="AI1150" s="1" t="e">
        <f t="shared" si="96"/>
        <v>#DIV/0!</v>
      </c>
      <c r="AJ1150" s="4" t="e">
        <f ca="1">SQRT($B$9)*_xlfn.STDEV.S(AI1150:OFFSET(AI1150,$B$5-1,0))</f>
        <v>#DIV/0!</v>
      </c>
      <c r="AK1150" s="4" t="e">
        <f ca="1">SQRT($B$9)*_xlfn.STDEV.S(AI1150:OFFSET(AI1150,$B$6-1,0))</f>
        <v>#DIV/0!</v>
      </c>
      <c r="AL1150" s="4" t="e">
        <f ca="1">SQRT($B$9)*_xlfn.STDEV.S(AI1150:OFFSET(AI1150,$B$7-1,0))</f>
        <v>#DIV/0!</v>
      </c>
      <c r="AM1150" s="4" t="e">
        <f ca="1">SQRT($B$9)*_xlfn.STDEV.S(AI1150:OFFSET(AI1150,$B$8-1,0))</f>
        <v>#DIV/0!</v>
      </c>
    </row>
    <row r="1151" spans="11:39" x14ac:dyDescent="0.2">
      <c r="K1151" s="3" t="e">
        <f t="shared" si="94"/>
        <v>#DIV/0!</v>
      </c>
      <c r="L1151" s="3" t="e">
        <f ca="1">SQRT(AVERAGE(K1151:OFFSET(K1151,$B$5-1,0))*$B$9/(4*LN(2)))</f>
        <v>#DIV/0!</v>
      </c>
      <c r="M1151" s="3" t="e">
        <f ca="1">SQRT(AVERAGE(K1151:OFFSET(K1151,$B$6-1,0))*$B$9/(4*LN(2)))</f>
        <v>#DIV/0!</v>
      </c>
      <c r="N1151" s="3" t="e">
        <f ca="1">SQRT(AVERAGE(K1151:OFFSET(K1151,$B$7-1,0))*$B$9/(4*LN(2)))</f>
        <v>#DIV/0!</v>
      </c>
      <c r="O1151" s="3" t="e">
        <f ca="1">SQRT(AVERAGE(K1151:OFFSET(K1151,$B$8-1,0))*$B$9/(4*LN(2)))</f>
        <v>#DIV/0!</v>
      </c>
      <c r="Q1151" s="5" t="e">
        <f t="shared" si="93"/>
        <v>#DIV/0!</v>
      </c>
      <c r="R1151" s="5" t="e">
        <f ca="1">SQRT($B$9*AVERAGE((Q1151:OFFSET(Q1151,$B$5-1,0))))</f>
        <v>#DIV/0!</v>
      </c>
      <c r="S1151" s="5" t="e">
        <f ca="1">SQRT($B$9*AVERAGE((Q1151:OFFSET(Q1151,$B$6-1,0))))</f>
        <v>#DIV/0!</v>
      </c>
      <c r="T1151" s="5" t="e">
        <f ca="1">SQRT($B$9*AVERAGE((Q1151:OFFSET(Q1151,$B$7-1,0))))</f>
        <v>#DIV/0!</v>
      </c>
      <c r="U1151" s="5" t="e">
        <f ca="1">SQRT($B$9*AVERAGE((Q1151:OFFSET(Q1151,$B$8-1,0))))</f>
        <v>#DIV/0!</v>
      </c>
      <c r="W1151" s="6" t="e">
        <f t="shared" si="97"/>
        <v>#DIV/0!</v>
      </c>
      <c r="X1151" s="6" t="e">
        <f ca="1">SQRT($B$9*AVERAGE(W1151:OFFSET(W1151,$B$5-1,0)))</f>
        <v>#DIV/0!</v>
      </c>
      <c r="Y1151" s="6" t="e">
        <f ca="1">SQRT($B$9*AVERAGE(W1151:OFFSET(W1151,$B$6-1,0)))</f>
        <v>#DIV/0!</v>
      </c>
      <c r="Z1151" s="6" t="e">
        <f ca="1">SQRT($B$9*AVERAGE(W1151:OFFSET(W1151,$B$7-1,0)))</f>
        <v>#DIV/0!</v>
      </c>
      <c r="AA1151" s="6" t="e">
        <f ca="1">SQRT($B$9*AVERAGE(W1151:OFFSET(W1151,$B$8-1,0)))</f>
        <v>#DIV/0!</v>
      </c>
      <c r="AC1151" s="34" t="e">
        <f t="shared" si="95"/>
        <v>#DIV/0!</v>
      </c>
      <c r="AD1151" s="34" t="e">
        <f ca="1">SQRT($B$9*SUM(AC1151:OFFSET(AC1151,$B$5-1,0))/($B$5-1))</f>
        <v>#DIV/0!</v>
      </c>
      <c r="AE1151" s="34" t="e">
        <f ca="1">SQRT($B$9*SUM(AC1151:OFFSET(AC1151,$B$6-1,0))/($B$6-1))</f>
        <v>#DIV/0!</v>
      </c>
      <c r="AF1151" s="34" t="e">
        <f ca="1">SQRT($B$9*SUM(AC1151:OFFSET(AC1151,$B$7-1,0))/($B$7-1))</f>
        <v>#DIV/0!</v>
      </c>
      <c r="AG1151" s="34" t="e">
        <f ca="1">SQRT($B$9*SUM(AC1151:OFFSET(AC1151,$B$8-1,0))/($B$8-1))</f>
        <v>#DIV/0!</v>
      </c>
      <c r="AI1151" s="1" t="e">
        <f t="shared" si="96"/>
        <v>#DIV/0!</v>
      </c>
      <c r="AJ1151" s="4" t="e">
        <f ca="1">SQRT($B$9)*_xlfn.STDEV.S(AI1151:OFFSET(AI1151,$B$5-1,0))</f>
        <v>#DIV/0!</v>
      </c>
      <c r="AK1151" s="4" t="e">
        <f ca="1">SQRT($B$9)*_xlfn.STDEV.S(AI1151:OFFSET(AI1151,$B$6-1,0))</f>
        <v>#DIV/0!</v>
      </c>
      <c r="AL1151" s="4" t="e">
        <f ca="1">SQRT($B$9)*_xlfn.STDEV.S(AI1151:OFFSET(AI1151,$B$7-1,0))</f>
        <v>#DIV/0!</v>
      </c>
      <c r="AM1151" s="4" t="e">
        <f ca="1">SQRT($B$9)*_xlfn.STDEV.S(AI1151:OFFSET(AI1151,$B$8-1,0))</f>
        <v>#DIV/0!</v>
      </c>
    </row>
    <row r="1152" spans="11:39" x14ac:dyDescent="0.2">
      <c r="K1152" s="3" t="e">
        <f t="shared" si="94"/>
        <v>#DIV/0!</v>
      </c>
      <c r="L1152" s="3" t="e">
        <f ca="1">SQRT(AVERAGE(K1152:OFFSET(K1152,$B$5-1,0))*$B$9/(4*LN(2)))</f>
        <v>#DIV/0!</v>
      </c>
      <c r="M1152" s="3" t="e">
        <f ca="1">SQRT(AVERAGE(K1152:OFFSET(K1152,$B$6-1,0))*$B$9/(4*LN(2)))</f>
        <v>#DIV/0!</v>
      </c>
      <c r="N1152" s="3" t="e">
        <f ca="1">SQRT(AVERAGE(K1152:OFFSET(K1152,$B$7-1,0))*$B$9/(4*LN(2)))</f>
        <v>#DIV/0!</v>
      </c>
      <c r="O1152" s="3" t="e">
        <f ca="1">SQRT(AVERAGE(K1152:OFFSET(K1152,$B$8-1,0))*$B$9/(4*LN(2)))</f>
        <v>#DIV/0!</v>
      </c>
      <c r="Q1152" s="5" t="e">
        <f t="shared" si="93"/>
        <v>#DIV/0!</v>
      </c>
      <c r="R1152" s="5" t="e">
        <f ca="1">SQRT($B$9*AVERAGE((Q1152:OFFSET(Q1152,$B$5-1,0))))</f>
        <v>#DIV/0!</v>
      </c>
      <c r="S1152" s="5" t="e">
        <f ca="1">SQRT($B$9*AVERAGE((Q1152:OFFSET(Q1152,$B$6-1,0))))</f>
        <v>#DIV/0!</v>
      </c>
      <c r="T1152" s="5" t="e">
        <f ca="1">SQRT($B$9*AVERAGE((Q1152:OFFSET(Q1152,$B$7-1,0))))</f>
        <v>#DIV/0!</v>
      </c>
      <c r="U1152" s="5" t="e">
        <f ca="1">SQRT($B$9*AVERAGE((Q1152:OFFSET(Q1152,$B$8-1,0))))</f>
        <v>#DIV/0!</v>
      </c>
      <c r="W1152" s="6" t="e">
        <f t="shared" si="97"/>
        <v>#DIV/0!</v>
      </c>
      <c r="X1152" s="6" t="e">
        <f ca="1">SQRT($B$9*AVERAGE(W1152:OFFSET(W1152,$B$5-1,0)))</f>
        <v>#DIV/0!</v>
      </c>
      <c r="Y1152" s="6" t="e">
        <f ca="1">SQRT($B$9*AVERAGE(W1152:OFFSET(W1152,$B$6-1,0)))</f>
        <v>#DIV/0!</v>
      </c>
      <c r="Z1152" s="6" t="e">
        <f ca="1">SQRT($B$9*AVERAGE(W1152:OFFSET(W1152,$B$7-1,0)))</f>
        <v>#DIV/0!</v>
      </c>
      <c r="AA1152" s="6" t="e">
        <f ca="1">SQRT($B$9*AVERAGE(W1152:OFFSET(W1152,$B$8-1,0)))</f>
        <v>#DIV/0!</v>
      </c>
      <c r="AC1152" s="34" t="e">
        <f t="shared" si="95"/>
        <v>#DIV/0!</v>
      </c>
      <c r="AD1152" s="34" t="e">
        <f ca="1">SQRT($B$9*SUM(AC1152:OFFSET(AC1152,$B$5-1,0))/($B$5-1))</f>
        <v>#DIV/0!</v>
      </c>
      <c r="AE1152" s="34" t="e">
        <f ca="1">SQRT($B$9*SUM(AC1152:OFFSET(AC1152,$B$6-1,0))/($B$6-1))</f>
        <v>#DIV/0!</v>
      </c>
      <c r="AF1152" s="34" t="e">
        <f ca="1">SQRT($B$9*SUM(AC1152:OFFSET(AC1152,$B$7-1,0))/($B$7-1))</f>
        <v>#DIV/0!</v>
      </c>
      <c r="AG1152" s="34" t="e">
        <f ca="1">SQRT($B$9*SUM(AC1152:OFFSET(AC1152,$B$8-1,0))/($B$8-1))</f>
        <v>#DIV/0!</v>
      </c>
      <c r="AI1152" s="1" t="e">
        <f t="shared" si="96"/>
        <v>#DIV/0!</v>
      </c>
      <c r="AJ1152" s="4" t="e">
        <f ca="1">SQRT($B$9)*_xlfn.STDEV.S(AI1152:OFFSET(AI1152,$B$5-1,0))</f>
        <v>#DIV/0!</v>
      </c>
      <c r="AK1152" s="4" t="e">
        <f ca="1">SQRT($B$9)*_xlfn.STDEV.S(AI1152:OFFSET(AI1152,$B$6-1,0))</f>
        <v>#DIV/0!</v>
      </c>
      <c r="AL1152" s="4" t="e">
        <f ca="1">SQRT($B$9)*_xlfn.STDEV.S(AI1152:OFFSET(AI1152,$B$7-1,0))</f>
        <v>#DIV/0!</v>
      </c>
      <c r="AM1152" s="4" t="e">
        <f ca="1">SQRT($B$9)*_xlfn.STDEV.S(AI1152:OFFSET(AI1152,$B$8-1,0))</f>
        <v>#DIV/0!</v>
      </c>
    </row>
    <row r="1153" spans="11:39" x14ac:dyDescent="0.2">
      <c r="K1153" s="3" t="e">
        <f t="shared" si="94"/>
        <v>#DIV/0!</v>
      </c>
      <c r="L1153" s="3" t="e">
        <f ca="1">SQRT(AVERAGE(K1153:OFFSET(K1153,$B$5-1,0))*$B$9/(4*LN(2)))</f>
        <v>#DIV/0!</v>
      </c>
      <c r="M1153" s="3" t="e">
        <f ca="1">SQRT(AVERAGE(K1153:OFFSET(K1153,$B$6-1,0))*$B$9/(4*LN(2)))</f>
        <v>#DIV/0!</v>
      </c>
      <c r="N1153" s="3" t="e">
        <f ca="1">SQRT(AVERAGE(K1153:OFFSET(K1153,$B$7-1,0))*$B$9/(4*LN(2)))</f>
        <v>#DIV/0!</v>
      </c>
      <c r="O1153" s="3" t="e">
        <f ca="1">SQRT(AVERAGE(K1153:OFFSET(K1153,$B$8-1,0))*$B$9/(4*LN(2)))</f>
        <v>#DIV/0!</v>
      </c>
      <c r="Q1153" s="5" t="e">
        <f t="shared" si="93"/>
        <v>#DIV/0!</v>
      </c>
      <c r="R1153" s="5" t="e">
        <f ca="1">SQRT($B$9*AVERAGE((Q1153:OFFSET(Q1153,$B$5-1,0))))</f>
        <v>#DIV/0!</v>
      </c>
      <c r="S1153" s="5" t="e">
        <f ca="1">SQRT($B$9*AVERAGE((Q1153:OFFSET(Q1153,$B$6-1,0))))</f>
        <v>#DIV/0!</v>
      </c>
      <c r="T1153" s="5" t="e">
        <f ca="1">SQRT($B$9*AVERAGE((Q1153:OFFSET(Q1153,$B$7-1,0))))</f>
        <v>#DIV/0!</v>
      </c>
      <c r="U1153" s="5" t="e">
        <f ca="1">SQRT($B$9*AVERAGE((Q1153:OFFSET(Q1153,$B$8-1,0))))</f>
        <v>#DIV/0!</v>
      </c>
      <c r="W1153" s="6" t="e">
        <f t="shared" si="97"/>
        <v>#DIV/0!</v>
      </c>
      <c r="X1153" s="6" t="e">
        <f ca="1">SQRT($B$9*AVERAGE(W1153:OFFSET(W1153,$B$5-1,0)))</f>
        <v>#DIV/0!</v>
      </c>
      <c r="Y1153" s="6" t="e">
        <f ca="1">SQRT($B$9*AVERAGE(W1153:OFFSET(W1153,$B$6-1,0)))</f>
        <v>#DIV/0!</v>
      </c>
      <c r="Z1153" s="6" t="e">
        <f ca="1">SQRT($B$9*AVERAGE(W1153:OFFSET(W1153,$B$7-1,0)))</f>
        <v>#DIV/0!</v>
      </c>
      <c r="AA1153" s="6" t="e">
        <f ca="1">SQRT($B$9*AVERAGE(W1153:OFFSET(W1153,$B$8-1,0)))</f>
        <v>#DIV/0!</v>
      </c>
      <c r="AC1153" s="34" t="e">
        <f t="shared" si="95"/>
        <v>#DIV/0!</v>
      </c>
      <c r="AD1153" s="34" t="e">
        <f ca="1">SQRT($B$9*SUM(AC1153:OFFSET(AC1153,$B$5-1,0))/($B$5-1))</f>
        <v>#DIV/0!</v>
      </c>
      <c r="AE1153" s="34" t="e">
        <f ca="1">SQRT($B$9*SUM(AC1153:OFFSET(AC1153,$B$6-1,0))/($B$6-1))</f>
        <v>#DIV/0!</v>
      </c>
      <c r="AF1153" s="34" t="e">
        <f ca="1">SQRT($B$9*SUM(AC1153:OFFSET(AC1153,$B$7-1,0))/($B$7-1))</f>
        <v>#DIV/0!</v>
      </c>
      <c r="AG1153" s="34" t="e">
        <f ca="1">SQRT($B$9*SUM(AC1153:OFFSET(AC1153,$B$8-1,0))/($B$8-1))</f>
        <v>#DIV/0!</v>
      </c>
      <c r="AI1153" s="1" t="e">
        <f t="shared" si="96"/>
        <v>#DIV/0!</v>
      </c>
      <c r="AJ1153" s="4" t="e">
        <f ca="1">SQRT($B$9)*_xlfn.STDEV.S(AI1153:OFFSET(AI1153,$B$5-1,0))</f>
        <v>#DIV/0!</v>
      </c>
      <c r="AK1153" s="4" t="e">
        <f ca="1">SQRT($B$9)*_xlfn.STDEV.S(AI1153:OFFSET(AI1153,$B$6-1,0))</f>
        <v>#DIV/0!</v>
      </c>
      <c r="AL1153" s="4" t="e">
        <f ca="1">SQRT($B$9)*_xlfn.STDEV.S(AI1153:OFFSET(AI1153,$B$7-1,0))</f>
        <v>#DIV/0!</v>
      </c>
      <c r="AM1153" s="4" t="e">
        <f ca="1">SQRT($B$9)*_xlfn.STDEV.S(AI1153:OFFSET(AI1153,$B$8-1,0))</f>
        <v>#DIV/0!</v>
      </c>
    </row>
    <row r="1154" spans="11:39" x14ac:dyDescent="0.2">
      <c r="K1154" s="3" t="e">
        <f t="shared" si="94"/>
        <v>#DIV/0!</v>
      </c>
      <c r="L1154" s="3" t="e">
        <f ca="1">SQRT(AVERAGE(K1154:OFFSET(K1154,$B$5-1,0))*$B$9/(4*LN(2)))</f>
        <v>#DIV/0!</v>
      </c>
      <c r="M1154" s="3" t="e">
        <f ca="1">SQRT(AVERAGE(K1154:OFFSET(K1154,$B$6-1,0))*$B$9/(4*LN(2)))</f>
        <v>#DIV/0!</v>
      </c>
      <c r="N1154" s="3" t="e">
        <f ca="1">SQRT(AVERAGE(K1154:OFFSET(K1154,$B$7-1,0))*$B$9/(4*LN(2)))</f>
        <v>#DIV/0!</v>
      </c>
      <c r="O1154" s="3" t="e">
        <f ca="1">SQRT(AVERAGE(K1154:OFFSET(K1154,$B$8-1,0))*$B$9/(4*LN(2)))</f>
        <v>#DIV/0!</v>
      </c>
      <c r="Q1154" s="5" t="e">
        <f t="shared" si="93"/>
        <v>#DIV/0!</v>
      </c>
      <c r="R1154" s="5" t="e">
        <f ca="1">SQRT($B$9*AVERAGE((Q1154:OFFSET(Q1154,$B$5-1,0))))</f>
        <v>#DIV/0!</v>
      </c>
      <c r="S1154" s="5" t="e">
        <f ca="1">SQRT($B$9*AVERAGE((Q1154:OFFSET(Q1154,$B$6-1,0))))</f>
        <v>#DIV/0!</v>
      </c>
      <c r="T1154" s="5" t="e">
        <f ca="1">SQRT($B$9*AVERAGE((Q1154:OFFSET(Q1154,$B$7-1,0))))</f>
        <v>#DIV/0!</v>
      </c>
      <c r="U1154" s="5" t="e">
        <f ca="1">SQRT($B$9*AVERAGE((Q1154:OFFSET(Q1154,$B$8-1,0))))</f>
        <v>#DIV/0!</v>
      </c>
      <c r="W1154" s="6" t="e">
        <f t="shared" si="97"/>
        <v>#DIV/0!</v>
      </c>
      <c r="X1154" s="6" t="e">
        <f ca="1">SQRT($B$9*AVERAGE(W1154:OFFSET(W1154,$B$5-1,0)))</f>
        <v>#DIV/0!</v>
      </c>
      <c r="Y1154" s="6" t="e">
        <f ca="1">SQRT($B$9*AVERAGE(W1154:OFFSET(W1154,$B$6-1,0)))</f>
        <v>#DIV/0!</v>
      </c>
      <c r="Z1154" s="6" t="e">
        <f ca="1">SQRT($B$9*AVERAGE(W1154:OFFSET(W1154,$B$7-1,0)))</f>
        <v>#DIV/0!</v>
      </c>
      <c r="AA1154" s="6" t="e">
        <f ca="1">SQRT($B$9*AVERAGE(W1154:OFFSET(W1154,$B$8-1,0)))</f>
        <v>#DIV/0!</v>
      </c>
      <c r="AC1154" s="34" t="e">
        <f t="shared" si="95"/>
        <v>#DIV/0!</v>
      </c>
      <c r="AD1154" s="34" t="e">
        <f ca="1">SQRT($B$9*SUM(AC1154:OFFSET(AC1154,$B$5-1,0))/($B$5-1))</f>
        <v>#DIV/0!</v>
      </c>
      <c r="AE1154" s="34" t="e">
        <f ca="1">SQRT($B$9*SUM(AC1154:OFFSET(AC1154,$B$6-1,0))/($B$6-1))</f>
        <v>#DIV/0!</v>
      </c>
      <c r="AF1154" s="34" t="e">
        <f ca="1">SQRT($B$9*SUM(AC1154:OFFSET(AC1154,$B$7-1,0))/($B$7-1))</f>
        <v>#DIV/0!</v>
      </c>
      <c r="AG1154" s="34" t="e">
        <f ca="1">SQRT($B$9*SUM(AC1154:OFFSET(AC1154,$B$8-1,0))/($B$8-1))</f>
        <v>#DIV/0!</v>
      </c>
      <c r="AI1154" s="1" t="e">
        <f t="shared" si="96"/>
        <v>#DIV/0!</v>
      </c>
      <c r="AJ1154" s="4" t="e">
        <f ca="1">SQRT($B$9)*_xlfn.STDEV.S(AI1154:OFFSET(AI1154,$B$5-1,0))</f>
        <v>#DIV/0!</v>
      </c>
      <c r="AK1154" s="4" t="e">
        <f ca="1">SQRT($B$9)*_xlfn.STDEV.S(AI1154:OFFSET(AI1154,$B$6-1,0))</f>
        <v>#DIV/0!</v>
      </c>
      <c r="AL1154" s="4" t="e">
        <f ca="1">SQRT($B$9)*_xlfn.STDEV.S(AI1154:OFFSET(AI1154,$B$7-1,0))</f>
        <v>#DIV/0!</v>
      </c>
      <c r="AM1154" s="4" t="e">
        <f ca="1">SQRT($B$9)*_xlfn.STDEV.S(AI1154:OFFSET(AI1154,$B$8-1,0))</f>
        <v>#DIV/0!</v>
      </c>
    </row>
    <row r="1155" spans="11:39" x14ac:dyDescent="0.2">
      <c r="K1155" s="3" t="e">
        <f t="shared" si="94"/>
        <v>#DIV/0!</v>
      </c>
      <c r="L1155" s="3" t="e">
        <f ca="1">SQRT(AVERAGE(K1155:OFFSET(K1155,$B$5-1,0))*$B$9/(4*LN(2)))</f>
        <v>#DIV/0!</v>
      </c>
      <c r="M1155" s="3" t="e">
        <f ca="1">SQRT(AVERAGE(K1155:OFFSET(K1155,$B$6-1,0))*$B$9/(4*LN(2)))</f>
        <v>#DIV/0!</v>
      </c>
      <c r="N1155" s="3" t="e">
        <f ca="1">SQRT(AVERAGE(K1155:OFFSET(K1155,$B$7-1,0))*$B$9/(4*LN(2)))</f>
        <v>#DIV/0!</v>
      </c>
      <c r="O1155" s="3" t="e">
        <f ca="1">SQRT(AVERAGE(K1155:OFFSET(K1155,$B$8-1,0))*$B$9/(4*LN(2)))</f>
        <v>#DIV/0!</v>
      </c>
      <c r="Q1155" s="5" t="e">
        <f t="shared" si="93"/>
        <v>#DIV/0!</v>
      </c>
      <c r="R1155" s="5" t="e">
        <f ca="1">SQRT($B$9*AVERAGE((Q1155:OFFSET(Q1155,$B$5-1,0))))</f>
        <v>#DIV/0!</v>
      </c>
      <c r="S1155" s="5" t="e">
        <f ca="1">SQRT($B$9*AVERAGE((Q1155:OFFSET(Q1155,$B$6-1,0))))</f>
        <v>#DIV/0!</v>
      </c>
      <c r="T1155" s="5" t="e">
        <f ca="1">SQRT($B$9*AVERAGE((Q1155:OFFSET(Q1155,$B$7-1,0))))</f>
        <v>#DIV/0!</v>
      </c>
      <c r="U1155" s="5" t="e">
        <f ca="1">SQRT($B$9*AVERAGE((Q1155:OFFSET(Q1155,$B$8-1,0))))</f>
        <v>#DIV/0!</v>
      </c>
      <c r="W1155" s="6" t="e">
        <f t="shared" si="97"/>
        <v>#DIV/0!</v>
      </c>
      <c r="X1155" s="6" t="e">
        <f ca="1">SQRT($B$9*AVERAGE(W1155:OFFSET(W1155,$B$5-1,0)))</f>
        <v>#DIV/0!</v>
      </c>
      <c r="Y1155" s="6" t="e">
        <f ca="1">SQRT($B$9*AVERAGE(W1155:OFFSET(W1155,$B$6-1,0)))</f>
        <v>#DIV/0!</v>
      </c>
      <c r="Z1155" s="6" t="e">
        <f ca="1">SQRT($B$9*AVERAGE(W1155:OFFSET(W1155,$B$7-1,0)))</f>
        <v>#DIV/0!</v>
      </c>
      <c r="AA1155" s="6" t="e">
        <f ca="1">SQRT($B$9*AVERAGE(W1155:OFFSET(W1155,$B$8-1,0)))</f>
        <v>#DIV/0!</v>
      </c>
      <c r="AC1155" s="34" t="e">
        <f t="shared" si="95"/>
        <v>#DIV/0!</v>
      </c>
      <c r="AD1155" s="34" t="e">
        <f ca="1">SQRT($B$9*SUM(AC1155:OFFSET(AC1155,$B$5-1,0))/($B$5-1))</f>
        <v>#DIV/0!</v>
      </c>
      <c r="AE1155" s="34" t="e">
        <f ca="1">SQRT($B$9*SUM(AC1155:OFFSET(AC1155,$B$6-1,0))/($B$6-1))</f>
        <v>#DIV/0!</v>
      </c>
      <c r="AF1155" s="34" t="e">
        <f ca="1">SQRT($B$9*SUM(AC1155:OFFSET(AC1155,$B$7-1,0))/($B$7-1))</f>
        <v>#DIV/0!</v>
      </c>
      <c r="AG1155" s="34" t="e">
        <f ca="1">SQRT($B$9*SUM(AC1155:OFFSET(AC1155,$B$8-1,0))/($B$8-1))</f>
        <v>#DIV/0!</v>
      </c>
      <c r="AI1155" s="1" t="e">
        <f t="shared" si="96"/>
        <v>#DIV/0!</v>
      </c>
      <c r="AJ1155" s="4" t="e">
        <f ca="1">SQRT($B$9)*_xlfn.STDEV.S(AI1155:OFFSET(AI1155,$B$5-1,0))</f>
        <v>#DIV/0!</v>
      </c>
      <c r="AK1155" s="4" t="e">
        <f ca="1">SQRT($B$9)*_xlfn.STDEV.S(AI1155:OFFSET(AI1155,$B$6-1,0))</f>
        <v>#DIV/0!</v>
      </c>
      <c r="AL1155" s="4" t="e">
        <f ca="1">SQRT($B$9)*_xlfn.STDEV.S(AI1155:OFFSET(AI1155,$B$7-1,0))</f>
        <v>#DIV/0!</v>
      </c>
      <c r="AM1155" s="4" t="e">
        <f ca="1">SQRT($B$9)*_xlfn.STDEV.S(AI1155:OFFSET(AI1155,$B$8-1,0))</f>
        <v>#DIV/0!</v>
      </c>
    </row>
    <row r="1156" spans="11:39" x14ac:dyDescent="0.2">
      <c r="K1156" s="3" t="e">
        <f t="shared" si="94"/>
        <v>#DIV/0!</v>
      </c>
      <c r="L1156" s="3" t="e">
        <f ca="1">SQRT(AVERAGE(K1156:OFFSET(K1156,$B$5-1,0))*$B$9/(4*LN(2)))</f>
        <v>#DIV/0!</v>
      </c>
      <c r="M1156" s="3" t="e">
        <f ca="1">SQRT(AVERAGE(K1156:OFFSET(K1156,$B$6-1,0))*$B$9/(4*LN(2)))</f>
        <v>#DIV/0!</v>
      </c>
      <c r="N1156" s="3" t="e">
        <f ca="1">SQRT(AVERAGE(K1156:OFFSET(K1156,$B$7-1,0))*$B$9/(4*LN(2)))</f>
        <v>#DIV/0!</v>
      </c>
      <c r="O1156" s="3" t="e">
        <f ca="1">SQRT(AVERAGE(K1156:OFFSET(K1156,$B$8-1,0))*$B$9/(4*LN(2)))</f>
        <v>#DIV/0!</v>
      </c>
      <c r="Q1156" s="5" t="e">
        <f t="shared" si="93"/>
        <v>#DIV/0!</v>
      </c>
      <c r="R1156" s="5" t="e">
        <f ca="1">SQRT($B$9*AVERAGE((Q1156:OFFSET(Q1156,$B$5-1,0))))</f>
        <v>#DIV/0!</v>
      </c>
      <c r="S1156" s="5" t="e">
        <f ca="1">SQRT($B$9*AVERAGE((Q1156:OFFSET(Q1156,$B$6-1,0))))</f>
        <v>#DIV/0!</v>
      </c>
      <c r="T1156" s="5" t="e">
        <f ca="1">SQRT($B$9*AVERAGE((Q1156:OFFSET(Q1156,$B$7-1,0))))</f>
        <v>#DIV/0!</v>
      </c>
      <c r="U1156" s="5" t="e">
        <f ca="1">SQRT($B$9*AVERAGE((Q1156:OFFSET(Q1156,$B$8-1,0))))</f>
        <v>#DIV/0!</v>
      </c>
      <c r="W1156" s="6" t="e">
        <f t="shared" si="97"/>
        <v>#DIV/0!</v>
      </c>
      <c r="X1156" s="6" t="e">
        <f ca="1">SQRT($B$9*AVERAGE(W1156:OFFSET(W1156,$B$5-1,0)))</f>
        <v>#DIV/0!</v>
      </c>
      <c r="Y1156" s="6" t="e">
        <f ca="1">SQRT($B$9*AVERAGE(W1156:OFFSET(W1156,$B$6-1,0)))</f>
        <v>#DIV/0!</v>
      </c>
      <c r="Z1156" s="6" t="e">
        <f ca="1">SQRT($B$9*AVERAGE(W1156:OFFSET(W1156,$B$7-1,0)))</f>
        <v>#DIV/0!</v>
      </c>
      <c r="AA1156" s="6" t="e">
        <f ca="1">SQRT($B$9*AVERAGE(W1156:OFFSET(W1156,$B$8-1,0)))</f>
        <v>#DIV/0!</v>
      </c>
      <c r="AC1156" s="34" t="e">
        <f t="shared" si="95"/>
        <v>#DIV/0!</v>
      </c>
      <c r="AD1156" s="34" t="e">
        <f ca="1">SQRT($B$9*SUM(AC1156:OFFSET(AC1156,$B$5-1,0))/($B$5-1))</f>
        <v>#DIV/0!</v>
      </c>
      <c r="AE1156" s="34" t="e">
        <f ca="1">SQRT($B$9*SUM(AC1156:OFFSET(AC1156,$B$6-1,0))/($B$6-1))</f>
        <v>#DIV/0!</v>
      </c>
      <c r="AF1156" s="34" t="e">
        <f ca="1">SQRT($B$9*SUM(AC1156:OFFSET(AC1156,$B$7-1,0))/($B$7-1))</f>
        <v>#DIV/0!</v>
      </c>
      <c r="AG1156" s="34" t="e">
        <f ca="1">SQRT($B$9*SUM(AC1156:OFFSET(AC1156,$B$8-1,0))/($B$8-1))</f>
        <v>#DIV/0!</v>
      </c>
      <c r="AI1156" s="1" t="e">
        <f t="shared" si="96"/>
        <v>#DIV/0!</v>
      </c>
      <c r="AJ1156" s="4" t="e">
        <f ca="1">SQRT($B$9)*_xlfn.STDEV.S(AI1156:OFFSET(AI1156,$B$5-1,0))</f>
        <v>#DIV/0!</v>
      </c>
      <c r="AK1156" s="4" t="e">
        <f ca="1">SQRT($B$9)*_xlfn.STDEV.S(AI1156:OFFSET(AI1156,$B$6-1,0))</f>
        <v>#DIV/0!</v>
      </c>
      <c r="AL1156" s="4" t="e">
        <f ca="1">SQRT($B$9)*_xlfn.STDEV.S(AI1156:OFFSET(AI1156,$B$7-1,0))</f>
        <v>#DIV/0!</v>
      </c>
      <c r="AM1156" s="4" t="e">
        <f ca="1">SQRT($B$9)*_xlfn.STDEV.S(AI1156:OFFSET(AI1156,$B$8-1,0))</f>
        <v>#DIV/0!</v>
      </c>
    </row>
    <row r="1157" spans="11:39" x14ac:dyDescent="0.2">
      <c r="K1157" s="3" t="e">
        <f t="shared" si="94"/>
        <v>#DIV/0!</v>
      </c>
      <c r="L1157" s="3" t="e">
        <f ca="1">SQRT(AVERAGE(K1157:OFFSET(K1157,$B$5-1,0))*$B$9/(4*LN(2)))</f>
        <v>#DIV/0!</v>
      </c>
      <c r="M1157" s="3" t="e">
        <f ca="1">SQRT(AVERAGE(K1157:OFFSET(K1157,$B$6-1,0))*$B$9/(4*LN(2)))</f>
        <v>#DIV/0!</v>
      </c>
      <c r="N1157" s="3" t="e">
        <f ca="1">SQRT(AVERAGE(K1157:OFFSET(K1157,$B$7-1,0))*$B$9/(4*LN(2)))</f>
        <v>#DIV/0!</v>
      </c>
      <c r="O1157" s="3" t="e">
        <f ca="1">SQRT(AVERAGE(K1157:OFFSET(K1157,$B$8-1,0))*$B$9/(4*LN(2)))</f>
        <v>#DIV/0!</v>
      </c>
      <c r="Q1157" s="5" t="e">
        <f t="shared" ref="Q1157:Q1220" si="98">0.511*(LN(G1157/H1157))^2-0.019*(LN(I1157/F1157)*LN(G1157*H1157/F1157^2)-2*LN(G1157/F1157)*LN(H1157/F1157))-0.383*(LN(I1157/F1157))^2</f>
        <v>#DIV/0!</v>
      </c>
      <c r="R1157" s="5" t="e">
        <f ca="1">SQRT($B$9*AVERAGE((Q1157:OFFSET(Q1157,$B$5-1,0))))</f>
        <v>#DIV/0!</v>
      </c>
      <c r="S1157" s="5" t="e">
        <f ca="1">SQRT($B$9*AVERAGE((Q1157:OFFSET(Q1157,$B$6-1,0))))</f>
        <v>#DIV/0!</v>
      </c>
      <c r="T1157" s="5" t="e">
        <f ca="1">SQRT($B$9*AVERAGE((Q1157:OFFSET(Q1157,$B$7-1,0))))</f>
        <v>#DIV/0!</v>
      </c>
      <c r="U1157" s="5" t="e">
        <f ca="1">SQRT($B$9*AVERAGE((Q1157:OFFSET(Q1157,$B$8-1,0))))</f>
        <v>#DIV/0!</v>
      </c>
      <c r="W1157" s="6" t="e">
        <f t="shared" si="97"/>
        <v>#DIV/0!</v>
      </c>
      <c r="X1157" s="6" t="e">
        <f ca="1">SQRT($B$9*AVERAGE(W1157:OFFSET(W1157,$B$5-1,0)))</f>
        <v>#DIV/0!</v>
      </c>
      <c r="Y1157" s="6" t="e">
        <f ca="1">SQRT($B$9*AVERAGE(W1157:OFFSET(W1157,$B$6-1,0)))</f>
        <v>#DIV/0!</v>
      </c>
      <c r="Z1157" s="6" t="e">
        <f ca="1">SQRT($B$9*AVERAGE(W1157:OFFSET(W1157,$B$7-1,0)))</f>
        <v>#DIV/0!</v>
      </c>
      <c r="AA1157" s="6" t="e">
        <f ca="1">SQRT($B$9*AVERAGE(W1157:OFFSET(W1157,$B$8-1,0)))</f>
        <v>#DIV/0!</v>
      </c>
      <c r="AC1157" s="34" t="e">
        <f t="shared" si="95"/>
        <v>#DIV/0!</v>
      </c>
      <c r="AD1157" s="34" t="e">
        <f ca="1">SQRT($B$9*SUM(AC1157:OFFSET(AC1157,$B$5-1,0))/($B$5-1))</f>
        <v>#DIV/0!</v>
      </c>
      <c r="AE1157" s="34" t="e">
        <f ca="1">SQRT($B$9*SUM(AC1157:OFFSET(AC1157,$B$6-1,0))/($B$6-1))</f>
        <v>#DIV/0!</v>
      </c>
      <c r="AF1157" s="34" t="e">
        <f ca="1">SQRT($B$9*SUM(AC1157:OFFSET(AC1157,$B$7-1,0))/($B$7-1))</f>
        <v>#DIV/0!</v>
      </c>
      <c r="AG1157" s="34" t="e">
        <f ca="1">SQRT($B$9*SUM(AC1157:OFFSET(AC1157,$B$8-1,0))/($B$8-1))</f>
        <v>#DIV/0!</v>
      </c>
      <c r="AI1157" s="1" t="e">
        <f t="shared" si="96"/>
        <v>#DIV/0!</v>
      </c>
      <c r="AJ1157" s="4" t="e">
        <f ca="1">SQRT($B$9)*_xlfn.STDEV.S(AI1157:OFFSET(AI1157,$B$5-1,0))</f>
        <v>#DIV/0!</v>
      </c>
      <c r="AK1157" s="4" t="e">
        <f ca="1">SQRT($B$9)*_xlfn.STDEV.S(AI1157:OFFSET(AI1157,$B$6-1,0))</f>
        <v>#DIV/0!</v>
      </c>
      <c r="AL1157" s="4" t="e">
        <f ca="1">SQRT($B$9)*_xlfn.STDEV.S(AI1157:OFFSET(AI1157,$B$7-1,0))</f>
        <v>#DIV/0!</v>
      </c>
      <c r="AM1157" s="4" t="e">
        <f ca="1">SQRT($B$9)*_xlfn.STDEV.S(AI1157:OFFSET(AI1157,$B$8-1,0))</f>
        <v>#DIV/0!</v>
      </c>
    </row>
    <row r="1158" spans="11:39" x14ac:dyDescent="0.2">
      <c r="K1158" s="3" t="e">
        <f t="shared" ref="K1158:K1221" si="99">(LN(G1158/H1158))^2</f>
        <v>#DIV/0!</v>
      </c>
      <c r="L1158" s="3" t="e">
        <f ca="1">SQRT(AVERAGE(K1158:OFFSET(K1158,$B$5-1,0))*$B$9/(4*LN(2)))</f>
        <v>#DIV/0!</v>
      </c>
      <c r="M1158" s="3" t="e">
        <f ca="1">SQRT(AVERAGE(K1158:OFFSET(K1158,$B$6-1,0))*$B$9/(4*LN(2)))</f>
        <v>#DIV/0!</v>
      </c>
      <c r="N1158" s="3" t="e">
        <f ca="1">SQRT(AVERAGE(K1158:OFFSET(K1158,$B$7-1,0))*$B$9/(4*LN(2)))</f>
        <v>#DIV/0!</v>
      </c>
      <c r="O1158" s="3" t="e">
        <f ca="1">SQRT(AVERAGE(K1158:OFFSET(K1158,$B$8-1,0))*$B$9/(4*LN(2)))</f>
        <v>#DIV/0!</v>
      </c>
      <c r="Q1158" s="5" t="e">
        <f t="shared" si="98"/>
        <v>#DIV/0!</v>
      </c>
      <c r="R1158" s="5" t="e">
        <f ca="1">SQRT($B$9*AVERAGE((Q1158:OFFSET(Q1158,$B$5-1,0))))</f>
        <v>#DIV/0!</v>
      </c>
      <c r="S1158" s="5" t="e">
        <f ca="1">SQRT($B$9*AVERAGE((Q1158:OFFSET(Q1158,$B$6-1,0))))</f>
        <v>#DIV/0!</v>
      </c>
      <c r="T1158" s="5" t="e">
        <f ca="1">SQRT($B$9*AVERAGE((Q1158:OFFSET(Q1158,$B$7-1,0))))</f>
        <v>#DIV/0!</v>
      </c>
      <c r="U1158" s="5" t="e">
        <f ca="1">SQRT($B$9*AVERAGE((Q1158:OFFSET(Q1158,$B$8-1,0))))</f>
        <v>#DIV/0!</v>
      </c>
      <c r="W1158" s="6" t="e">
        <f t="shared" si="97"/>
        <v>#DIV/0!</v>
      </c>
      <c r="X1158" s="6" t="e">
        <f ca="1">SQRT($B$9*AVERAGE(W1158:OFFSET(W1158,$B$5-1,0)))</f>
        <v>#DIV/0!</v>
      </c>
      <c r="Y1158" s="6" t="e">
        <f ca="1">SQRT($B$9*AVERAGE(W1158:OFFSET(W1158,$B$6-1,0)))</f>
        <v>#DIV/0!</v>
      </c>
      <c r="Z1158" s="6" t="e">
        <f ca="1">SQRT($B$9*AVERAGE(W1158:OFFSET(W1158,$B$7-1,0)))</f>
        <v>#DIV/0!</v>
      </c>
      <c r="AA1158" s="6" t="e">
        <f ca="1">SQRT($B$9*AVERAGE(W1158:OFFSET(W1158,$B$8-1,0)))</f>
        <v>#DIV/0!</v>
      </c>
      <c r="AC1158" s="34" t="e">
        <f t="shared" si="95"/>
        <v>#DIV/0!</v>
      </c>
      <c r="AD1158" s="34" t="e">
        <f ca="1">SQRT($B$9*SUM(AC1158:OFFSET(AC1158,$B$5-1,0))/($B$5-1))</f>
        <v>#DIV/0!</v>
      </c>
      <c r="AE1158" s="34" t="e">
        <f ca="1">SQRT($B$9*SUM(AC1158:OFFSET(AC1158,$B$6-1,0))/($B$6-1))</f>
        <v>#DIV/0!</v>
      </c>
      <c r="AF1158" s="34" t="e">
        <f ca="1">SQRT($B$9*SUM(AC1158:OFFSET(AC1158,$B$7-1,0))/($B$7-1))</f>
        <v>#DIV/0!</v>
      </c>
      <c r="AG1158" s="34" t="e">
        <f ca="1">SQRT($B$9*SUM(AC1158:OFFSET(AC1158,$B$8-1,0))/($B$8-1))</f>
        <v>#DIV/0!</v>
      </c>
      <c r="AI1158" s="1" t="e">
        <f t="shared" si="96"/>
        <v>#DIV/0!</v>
      </c>
      <c r="AJ1158" s="4" t="e">
        <f ca="1">SQRT($B$9)*_xlfn.STDEV.S(AI1158:OFFSET(AI1158,$B$5-1,0))</f>
        <v>#DIV/0!</v>
      </c>
      <c r="AK1158" s="4" t="e">
        <f ca="1">SQRT($B$9)*_xlfn.STDEV.S(AI1158:OFFSET(AI1158,$B$6-1,0))</f>
        <v>#DIV/0!</v>
      </c>
      <c r="AL1158" s="4" t="e">
        <f ca="1">SQRT($B$9)*_xlfn.STDEV.S(AI1158:OFFSET(AI1158,$B$7-1,0))</f>
        <v>#DIV/0!</v>
      </c>
      <c r="AM1158" s="4" t="e">
        <f ca="1">SQRT($B$9)*_xlfn.STDEV.S(AI1158:OFFSET(AI1158,$B$8-1,0))</f>
        <v>#DIV/0!</v>
      </c>
    </row>
    <row r="1159" spans="11:39" x14ac:dyDescent="0.2">
      <c r="K1159" s="3" t="e">
        <f t="shared" si="99"/>
        <v>#DIV/0!</v>
      </c>
      <c r="L1159" s="3" t="e">
        <f ca="1">SQRT(AVERAGE(K1159:OFFSET(K1159,$B$5-1,0))*$B$9/(4*LN(2)))</f>
        <v>#DIV/0!</v>
      </c>
      <c r="M1159" s="3" t="e">
        <f ca="1">SQRT(AVERAGE(K1159:OFFSET(K1159,$B$6-1,0))*$B$9/(4*LN(2)))</f>
        <v>#DIV/0!</v>
      </c>
      <c r="N1159" s="3" t="e">
        <f ca="1">SQRT(AVERAGE(K1159:OFFSET(K1159,$B$7-1,0))*$B$9/(4*LN(2)))</f>
        <v>#DIV/0!</v>
      </c>
      <c r="O1159" s="3" t="e">
        <f ca="1">SQRT(AVERAGE(K1159:OFFSET(K1159,$B$8-1,0))*$B$9/(4*LN(2)))</f>
        <v>#DIV/0!</v>
      </c>
      <c r="Q1159" s="5" t="e">
        <f t="shared" si="98"/>
        <v>#DIV/0!</v>
      </c>
      <c r="R1159" s="5" t="e">
        <f ca="1">SQRT($B$9*AVERAGE((Q1159:OFFSET(Q1159,$B$5-1,0))))</f>
        <v>#DIV/0!</v>
      </c>
      <c r="S1159" s="5" t="e">
        <f ca="1">SQRT($B$9*AVERAGE((Q1159:OFFSET(Q1159,$B$6-1,0))))</f>
        <v>#DIV/0!</v>
      </c>
      <c r="T1159" s="5" t="e">
        <f ca="1">SQRT($B$9*AVERAGE((Q1159:OFFSET(Q1159,$B$7-1,0))))</f>
        <v>#DIV/0!</v>
      </c>
      <c r="U1159" s="5" t="e">
        <f ca="1">SQRT($B$9*AVERAGE((Q1159:OFFSET(Q1159,$B$8-1,0))))</f>
        <v>#DIV/0!</v>
      </c>
      <c r="W1159" s="6" t="e">
        <f t="shared" si="97"/>
        <v>#DIV/0!</v>
      </c>
      <c r="X1159" s="6" t="e">
        <f ca="1">SQRT($B$9*AVERAGE(W1159:OFFSET(W1159,$B$5-1,0)))</f>
        <v>#DIV/0!</v>
      </c>
      <c r="Y1159" s="6" t="e">
        <f ca="1">SQRT($B$9*AVERAGE(W1159:OFFSET(W1159,$B$6-1,0)))</f>
        <v>#DIV/0!</v>
      </c>
      <c r="Z1159" s="6" t="e">
        <f ca="1">SQRT($B$9*AVERAGE(W1159:OFFSET(W1159,$B$7-1,0)))</f>
        <v>#DIV/0!</v>
      </c>
      <c r="AA1159" s="6" t="e">
        <f ca="1">SQRT($B$9*AVERAGE(W1159:OFFSET(W1159,$B$8-1,0)))</f>
        <v>#DIV/0!</v>
      </c>
      <c r="AC1159" s="34" t="e">
        <f t="shared" si="95"/>
        <v>#DIV/0!</v>
      </c>
      <c r="AD1159" s="34" t="e">
        <f ca="1">SQRT($B$9*SUM(AC1159:OFFSET(AC1159,$B$5-1,0))/($B$5-1))</f>
        <v>#DIV/0!</v>
      </c>
      <c r="AE1159" s="34" t="e">
        <f ca="1">SQRT($B$9*SUM(AC1159:OFFSET(AC1159,$B$6-1,0))/($B$6-1))</f>
        <v>#DIV/0!</v>
      </c>
      <c r="AF1159" s="34" t="e">
        <f ca="1">SQRT($B$9*SUM(AC1159:OFFSET(AC1159,$B$7-1,0))/($B$7-1))</f>
        <v>#DIV/0!</v>
      </c>
      <c r="AG1159" s="34" t="e">
        <f ca="1">SQRT($B$9*SUM(AC1159:OFFSET(AC1159,$B$8-1,0))/($B$8-1))</f>
        <v>#DIV/0!</v>
      </c>
      <c r="AI1159" s="1" t="e">
        <f t="shared" si="96"/>
        <v>#DIV/0!</v>
      </c>
      <c r="AJ1159" s="4" t="e">
        <f ca="1">SQRT($B$9)*_xlfn.STDEV.S(AI1159:OFFSET(AI1159,$B$5-1,0))</f>
        <v>#DIV/0!</v>
      </c>
      <c r="AK1159" s="4" t="e">
        <f ca="1">SQRT($B$9)*_xlfn.STDEV.S(AI1159:OFFSET(AI1159,$B$6-1,0))</f>
        <v>#DIV/0!</v>
      </c>
      <c r="AL1159" s="4" t="e">
        <f ca="1">SQRT($B$9)*_xlfn.STDEV.S(AI1159:OFFSET(AI1159,$B$7-1,0))</f>
        <v>#DIV/0!</v>
      </c>
      <c r="AM1159" s="4" t="e">
        <f ca="1">SQRT($B$9)*_xlfn.STDEV.S(AI1159:OFFSET(AI1159,$B$8-1,0))</f>
        <v>#DIV/0!</v>
      </c>
    </row>
    <row r="1160" spans="11:39" x14ac:dyDescent="0.2">
      <c r="K1160" s="3" t="e">
        <f t="shared" si="99"/>
        <v>#DIV/0!</v>
      </c>
      <c r="L1160" s="3" t="e">
        <f ca="1">SQRT(AVERAGE(K1160:OFFSET(K1160,$B$5-1,0))*$B$9/(4*LN(2)))</f>
        <v>#DIV/0!</v>
      </c>
      <c r="M1160" s="3" t="e">
        <f ca="1">SQRT(AVERAGE(K1160:OFFSET(K1160,$B$6-1,0))*$B$9/(4*LN(2)))</f>
        <v>#DIV/0!</v>
      </c>
      <c r="N1160" s="3" t="e">
        <f ca="1">SQRT(AVERAGE(K1160:OFFSET(K1160,$B$7-1,0))*$B$9/(4*LN(2)))</f>
        <v>#DIV/0!</v>
      </c>
      <c r="O1160" s="3" t="e">
        <f ca="1">SQRT(AVERAGE(K1160:OFFSET(K1160,$B$8-1,0))*$B$9/(4*LN(2)))</f>
        <v>#DIV/0!</v>
      </c>
      <c r="Q1160" s="5" t="e">
        <f t="shared" si="98"/>
        <v>#DIV/0!</v>
      </c>
      <c r="R1160" s="5" t="e">
        <f ca="1">SQRT($B$9*AVERAGE((Q1160:OFFSET(Q1160,$B$5-1,0))))</f>
        <v>#DIV/0!</v>
      </c>
      <c r="S1160" s="5" t="e">
        <f ca="1">SQRT($B$9*AVERAGE((Q1160:OFFSET(Q1160,$B$6-1,0))))</f>
        <v>#DIV/0!</v>
      </c>
      <c r="T1160" s="5" t="e">
        <f ca="1">SQRT($B$9*AVERAGE((Q1160:OFFSET(Q1160,$B$7-1,0))))</f>
        <v>#DIV/0!</v>
      </c>
      <c r="U1160" s="5" t="e">
        <f ca="1">SQRT($B$9*AVERAGE((Q1160:OFFSET(Q1160,$B$8-1,0))))</f>
        <v>#DIV/0!</v>
      </c>
      <c r="W1160" s="6" t="e">
        <f t="shared" si="97"/>
        <v>#DIV/0!</v>
      </c>
      <c r="X1160" s="6" t="e">
        <f ca="1">SQRT($B$9*AVERAGE(W1160:OFFSET(W1160,$B$5-1,0)))</f>
        <v>#DIV/0!</v>
      </c>
      <c r="Y1160" s="6" t="e">
        <f ca="1">SQRT($B$9*AVERAGE(W1160:OFFSET(W1160,$B$6-1,0)))</f>
        <v>#DIV/0!</v>
      </c>
      <c r="Z1160" s="6" t="e">
        <f ca="1">SQRT($B$9*AVERAGE(W1160:OFFSET(W1160,$B$7-1,0)))</f>
        <v>#DIV/0!</v>
      </c>
      <c r="AA1160" s="6" t="e">
        <f ca="1">SQRT($B$9*AVERAGE(W1160:OFFSET(W1160,$B$8-1,0)))</f>
        <v>#DIV/0!</v>
      </c>
      <c r="AC1160" s="34" t="e">
        <f t="shared" si="95"/>
        <v>#DIV/0!</v>
      </c>
      <c r="AD1160" s="34" t="e">
        <f ca="1">SQRT($B$9*SUM(AC1160:OFFSET(AC1160,$B$5-1,0))/($B$5-1))</f>
        <v>#DIV/0!</v>
      </c>
      <c r="AE1160" s="34" t="e">
        <f ca="1">SQRT($B$9*SUM(AC1160:OFFSET(AC1160,$B$6-1,0))/($B$6-1))</f>
        <v>#DIV/0!</v>
      </c>
      <c r="AF1160" s="34" t="e">
        <f ca="1">SQRT($B$9*SUM(AC1160:OFFSET(AC1160,$B$7-1,0))/($B$7-1))</f>
        <v>#DIV/0!</v>
      </c>
      <c r="AG1160" s="34" t="e">
        <f ca="1">SQRT($B$9*SUM(AC1160:OFFSET(AC1160,$B$8-1,0))/($B$8-1))</f>
        <v>#DIV/0!</v>
      </c>
      <c r="AI1160" s="1" t="e">
        <f t="shared" si="96"/>
        <v>#DIV/0!</v>
      </c>
      <c r="AJ1160" s="4" t="e">
        <f ca="1">SQRT($B$9)*_xlfn.STDEV.S(AI1160:OFFSET(AI1160,$B$5-1,0))</f>
        <v>#DIV/0!</v>
      </c>
      <c r="AK1160" s="4" t="e">
        <f ca="1">SQRT($B$9)*_xlfn.STDEV.S(AI1160:OFFSET(AI1160,$B$6-1,0))</f>
        <v>#DIV/0!</v>
      </c>
      <c r="AL1160" s="4" t="e">
        <f ca="1">SQRT($B$9)*_xlfn.STDEV.S(AI1160:OFFSET(AI1160,$B$7-1,0))</f>
        <v>#DIV/0!</v>
      </c>
      <c r="AM1160" s="4" t="e">
        <f ca="1">SQRT($B$9)*_xlfn.STDEV.S(AI1160:OFFSET(AI1160,$B$8-1,0))</f>
        <v>#DIV/0!</v>
      </c>
    </row>
    <row r="1161" spans="11:39" x14ac:dyDescent="0.2">
      <c r="K1161" s="3" t="e">
        <f t="shared" si="99"/>
        <v>#DIV/0!</v>
      </c>
      <c r="L1161" s="3" t="e">
        <f ca="1">SQRT(AVERAGE(K1161:OFFSET(K1161,$B$5-1,0))*$B$9/(4*LN(2)))</f>
        <v>#DIV/0!</v>
      </c>
      <c r="M1161" s="3" t="e">
        <f ca="1">SQRT(AVERAGE(K1161:OFFSET(K1161,$B$6-1,0))*$B$9/(4*LN(2)))</f>
        <v>#DIV/0!</v>
      </c>
      <c r="N1161" s="3" t="e">
        <f ca="1">SQRT(AVERAGE(K1161:OFFSET(K1161,$B$7-1,0))*$B$9/(4*LN(2)))</f>
        <v>#DIV/0!</v>
      </c>
      <c r="O1161" s="3" t="e">
        <f ca="1">SQRT(AVERAGE(K1161:OFFSET(K1161,$B$8-1,0))*$B$9/(4*LN(2)))</f>
        <v>#DIV/0!</v>
      </c>
      <c r="Q1161" s="5" t="e">
        <f t="shared" si="98"/>
        <v>#DIV/0!</v>
      </c>
      <c r="R1161" s="5" t="e">
        <f ca="1">SQRT($B$9*AVERAGE((Q1161:OFFSET(Q1161,$B$5-1,0))))</f>
        <v>#DIV/0!</v>
      </c>
      <c r="S1161" s="5" t="e">
        <f ca="1">SQRT($B$9*AVERAGE((Q1161:OFFSET(Q1161,$B$6-1,0))))</f>
        <v>#DIV/0!</v>
      </c>
      <c r="T1161" s="5" t="e">
        <f ca="1">SQRT($B$9*AVERAGE((Q1161:OFFSET(Q1161,$B$7-1,0))))</f>
        <v>#DIV/0!</v>
      </c>
      <c r="U1161" s="5" t="e">
        <f ca="1">SQRT($B$9*AVERAGE((Q1161:OFFSET(Q1161,$B$8-1,0))))</f>
        <v>#DIV/0!</v>
      </c>
      <c r="W1161" s="6" t="e">
        <f t="shared" si="97"/>
        <v>#DIV/0!</v>
      </c>
      <c r="X1161" s="6" t="e">
        <f ca="1">SQRT($B$9*AVERAGE(W1161:OFFSET(W1161,$B$5-1,0)))</f>
        <v>#DIV/0!</v>
      </c>
      <c r="Y1161" s="6" t="e">
        <f ca="1">SQRT($B$9*AVERAGE(W1161:OFFSET(W1161,$B$6-1,0)))</f>
        <v>#DIV/0!</v>
      </c>
      <c r="Z1161" s="6" t="e">
        <f ca="1">SQRT($B$9*AVERAGE(W1161:OFFSET(W1161,$B$7-1,0)))</f>
        <v>#DIV/0!</v>
      </c>
      <c r="AA1161" s="6" t="e">
        <f ca="1">SQRT($B$9*AVERAGE(W1161:OFFSET(W1161,$B$8-1,0)))</f>
        <v>#DIV/0!</v>
      </c>
      <c r="AC1161" s="34" t="e">
        <f t="shared" si="95"/>
        <v>#DIV/0!</v>
      </c>
      <c r="AD1161" s="34" t="e">
        <f ca="1">SQRT($B$9*SUM(AC1161:OFFSET(AC1161,$B$5-1,0))/($B$5-1))</f>
        <v>#DIV/0!</v>
      </c>
      <c r="AE1161" s="34" t="e">
        <f ca="1">SQRT($B$9*SUM(AC1161:OFFSET(AC1161,$B$6-1,0))/($B$6-1))</f>
        <v>#DIV/0!</v>
      </c>
      <c r="AF1161" s="34" t="e">
        <f ca="1">SQRT($B$9*SUM(AC1161:OFFSET(AC1161,$B$7-1,0))/($B$7-1))</f>
        <v>#DIV/0!</v>
      </c>
      <c r="AG1161" s="34" t="e">
        <f ca="1">SQRT($B$9*SUM(AC1161:OFFSET(AC1161,$B$8-1,0))/($B$8-1))</f>
        <v>#DIV/0!</v>
      </c>
      <c r="AI1161" s="1" t="e">
        <f t="shared" si="96"/>
        <v>#DIV/0!</v>
      </c>
      <c r="AJ1161" s="4" t="e">
        <f ca="1">SQRT($B$9)*_xlfn.STDEV.S(AI1161:OFFSET(AI1161,$B$5-1,0))</f>
        <v>#DIV/0!</v>
      </c>
      <c r="AK1161" s="4" t="e">
        <f ca="1">SQRT($B$9)*_xlfn.STDEV.S(AI1161:OFFSET(AI1161,$B$6-1,0))</f>
        <v>#DIV/0!</v>
      </c>
      <c r="AL1161" s="4" t="e">
        <f ca="1">SQRT($B$9)*_xlfn.STDEV.S(AI1161:OFFSET(AI1161,$B$7-1,0))</f>
        <v>#DIV/0!</v>
      </c>
      <c r="AM1161" s="4" t="e">
        <f ca="1">SQRT($B$9)*_xlfn.STDEV.S(AI1161:OFFSET(AI1161,$B$8-1,0))</f>
        <v>#DIV/0!</v>
      </c>
    </row>
    <row r="1162" spans="11:39" x14ac:dyDescent="0.2">
      <c r="K1162" s="3" t="e">
        <f t="shared" si="99"/>
        <v>#DIV/0!</v>
      </c>
      <c r="L1162" s="3" t="e">
        <f ca="1">SQRT(AVERAGE(K1162:OFFSET(K1162,$B$5-1,0))*$B$9/(4*LN(2)))</f>
        <v>#DIV/0!</v>
      </c>
      <c r="M1162" s="3" t="e">
        <f ca="1">SQRT(AVERAGE(K1162:OFFSET(K1162,$B$6-1,0))*$B$9/(4*LN(2)))</f>
        <v>#DIV/0!</v>
      </c>
      <c r="N1162" s="3" t="e">
        <f ca="1">SQRT(AVERAGE(K1162:OFFSET(K1162,$B$7-1,0))*$B$9/(4*LN(2)))</f>
        <v>#DIV/0!</v>
      </c>
      <c r="O1162" s="3" t="e">
        <f ca="1">SQRT(AVERAGE(K1162:OFFSET(K1162,$B$8-1,0))*$B$9/(4*LN(2)))</f>
        <v>#DIV/0!</v>
      </c>
      <c r="Q1162" s="5" t="e">
        <f t="shared" si="98"/>
        <v>#DIV/0!</v>
      </c>
      <c r="R1162" s="5" t="e">
        <f ca="1">SQRT($B$9*AVERAGE((Q1162:OFFSET(Q1162,$B$5-1,0))))</f>
        <v>#DIV/0!</v>
      </c>
      <c r="S1162" s="5" t="e">
        <f ca="1">SQRT($B$9*AVERAGE((Q1162:OFFSET(Q1162,$B$6-1,0))))</f>
        <v>#DIV/0!</v>
      </c>
      <c r="T1162" s="5" t="e">
        <f ca="1">SQRT($B$9*AVERAGE((Q1162:OFFSET(Q1162,$B$7-1,0))))</f>
        <v>#DIV/0!</v>
      </c>
      <c r="U1162" s="5" t="e">
        <f ca="1">SQRT($B$9*AVERAGE((Q1162:OFFSET(Q1162,$B$8-1,0))))</f>
        <v>#DIV/0!</v>
      </c>
      <c r="W1162" s="6" t="e">
        <f t="shared" si="97"/>
        <v>#DIV/0!</v>
      </c>
      <c r="X1162" s="6" t="e">
        <f ca="1">SQRT($B$9*AVERAGE(W1162:OFFSET(W1162,$B$5-1,0)))</f>
        <v>#DIV/0!</v>
      </c>
      <c r="Y1162" s="6" t="e">
        <f ca="1">SQRT($B$9*AVERAGE(W1162:OFFSET(W1162,$B$6-1,0)))</f>
        <v>#DIV/0!</v>
      </c>
      <c r="Z1162" s="6" t="e">
        <f ca="1">SQRT($B$9*AVERAGE(W1162:OFFSET(W1162,$B$7-1,0)))</f>
        <v>#DIV/0!</v>
      </c>
      <c r="AA1162" s="6" t="e">
        <f ca="1">SQRT($B$9*AVERAGE(W1162:OFFSET(W1162,$B$8-1,0)))</f>
        <v>#DIV/0!</v>
      </c>
      <c r="AC1162" s="34" t="e">
        <f t="shared" si="95"/>
        <v>#DIV/0!</v>
      </c>
      <c r="AD1162" s="34" t="e">
        <f ca="1">SQRT($B$9*SUM(AC1162:OFFSET(AC1162,$B$5-1,0))/($B$5-1))</f>
        <v>#DIV/0!</v>
      </c>
      <c r="AE1162" s="34" t="e">
        <f ca="1">SQRT($B$9*SUM(AC1162:OFFSET(AC1162,$B$6-1,0))/($B$6-1))</f>
        <v>#DIV/0!</v>
      </c>
      <c r="AF1162" s="34" t="e">
        <f ca="1">SQRT($B$9*SUM(AC1162:OFFSET(AC1162,$B$7-1,0))/($B$7-1))</f>
        <v>#DIV/0!</v>
      </c>
      <c r="AG1162" s="34" t="e">
        <f ca="1">SQRT($B$9*SUM(AC1162:OFFSET(AC1162,$B$8-1,0))/($B$8-1))</f>
        <v>#DIV/0!</v>
      </c>
      <c r="AI1162" s="1" t="e">
        <f t="shared" si="96"/>
        <v>#DIV/0!</v>
      </c>
      <c r="AJ1162" s="4" t="e">
        <f ca="1">SQRT($B$9)*_xlfn.STDEV.S(AI1162:OFFSET(AI1162,$B$5-1,0))</f>
        <v>#DIV/0!</v>
      </c>
      <c r="AK1162" s="4" t="e">
        <f ca="1">SQRT($B$9)*_xlfn.STDEV.S(AI1162:OFFSET(AI1162,$B$6-1,0))</f>
        <v>#DIV/0!</v>
      </c>
      <c r="AL1162" s="4" t="e">
        <f ca="1">SQRT($B$9)*_xlfn.STDEV.S(AI1162:OFFSET(AI1162,$B$7-1,0))</f>
        <v>#DIV/0!</v>
      </c>
      <c r="AM1162" s="4" t="e">
        <f ca="1">SQRT($B$9)*_xlfn.STDEV.S(AI1162:OFFSET(AI1162,$B$8-1,0))</f>
        <v>#DIV/0!</v>
      </c>
    </row>
    <row r="1163" spans="11:39" x14ac:dyDescent="0.2">
      <c r="K1163" s="3" t="e">
        <f t="shared" si="99"/>
        <v>#DIV/0!</v>
      </c>
      <c r="L1163" s="3" t="e">
        <f ca="1">SQRT(AVERAGE(K1163:OFFSET(K1163,$B$5-1,0))*$B$9/(4*LN(2)))</f>
        <v>#DIV/0!</v>
      </c>
      <c r="M1163" s="3" t="e">
        <f ca="1">SQRT(AVERAGE(K1163:OFFSET(K1163,$B$6-1,0))*$B$9/(4*LN(2)))</f>
        <v>#DIV/0!</v>
      </c>
      <c r="N1163" s="3" t="e">
        <f ca="1">SQRT(AVERAGE(K1163:OFFSET(K1163,$B$7-1,0))*$B$9/(4*LN(2)))</f>
        <v>#DIV/0!</v>
      </c>
      <c r="O1163" s="3" t="e">
        <f ca="1">SQRT(AVERAGE(K1163:OFFSET(K1163,$B$8-1,0))*$B$9/(4*LN(2)))</f>
        <v>#DIV/0!</v>
      </c>
      <c r="Q1163" s="5" t="e">
        <f t="shared" si="98"/>
        <v>#DIV/0!</v>
      </c>
      <c r="R1163" s="5" t="e">
        <f ca="1">SQRT($B$9*AVERAGE((Q1163:OFFSET(Q1163,$B$5-1,0))))</f>
        <v>#DIV/0!</v>
      </c>
      <c r="S1163" s="5" t="e">
        <f ca="1">SQRT($B$9*AVERAGE((Q1163:OFFSET(Q1163,$B$6-1,0))))</f>
        <v>#DIV/0!</v>
      </c>
      <c r="T1163" s="5" t="e">
        <f ca="1">SQRT($B$9*AVERAGE((Q1163:OFFSET(Q1163,$B$7-1,0))))</f>
        <v>#DIV/0!</v>
      </c>
      <c r="U1163" s="5" t="e">
        <f ca="1">SQRT($B$9*AVERAGE((Q1163:OFFSET(Q1163,$B$8-1,0))))</f>
        <v>#DIV/0!</v>
      </c>
      <c r="W1163" s="6" t="e">
        <f t="shared" si="97"/>
        <v>#DIV/0!</v>
      </c>
      <c r="X1163" s="6" t="e">
        <f ca="1">SQRT($B$9*AVERAGE(W1163:OFFSET(W1163,$B$5-1,0)))</f>
        <v>#DIV/0!</v>
      </c>
      <c r="Y1163" s="6" t="e">
        <f ca="1">SQRT($B$9*AVERAGE(W1163:OFFSET(W1163,$B$6-1,0)))</f>
        <v>#DIV/0!</v>
      </c>
      <c r="Z1163" s="6" t="e">
        <f ca="1">SQRT($B$9*AVERAGE(W1163:OFFSET(W1163,$B$7-1,0)))</f>
        <v>#DIV/0!</v>
      </c>
      <c r="AA1163" s="6" t="e">
        <f ca="1">SQRT($B$9*AVERAGE(W1163:OFFSET(W1163,$B$8-1,0)))</f>
        <v>#DIV/0!</v>
      </c>
      <c r="AC1163" s="34" t="e">
        <f t="shared" si="95"/>
        <v>#DIV/0!</v>
      </c>
      <c r="AD1163" s="34" t="e">
        <f ca="1">SQRT($B$9*SUM(AC1163:OFFSET(AC1163,$B$5-1,0))/($B$5-1))</f>
        <v>#DIV/0!</v>
      </c>
      <c r="AE1163" s="34" t="e">
        <f ca="1">SQRT($B$9*SUM(AC1163:OFFSET(AC1163,$B$6-1,0))/($B$6-1))</f>
        <v>#DIV/0!</v>
      </c>
      <c r="AF1163" s="34" t="e">
        <f ca="1">SQRT($B$9*SUM(AC1163:OFFSET(AC1163,$B$7-1,0))/($B$7-1))</f>
        <v>#DIV/0!</v>
      </c>
      <c r="AG1163" s="34" t="e">
        <f ca="1">SQRT($B$9*SUM(AC1163:OFFSET(AC1163,$B$8-1,0))/($B$8-1))</f>
        <v>#DIV/0!</v>
      </c>
      <c r="AI1163" s="1" t="e">
        <f t="shared" si="96"/>
        <v>#DIV/0!</v>
      </c>
      <c r="AJ1163" s="4" t="e">
        <f ca="1">SQRT($B$9)*_xlfn.STDEV.S(AI1163:OFFSET(AI1163,$B$5-1,0))</f>
        <v>#DIV/0!</v>
      </c>
      <c r="AK1163" s="4" t="e">
        <f ca="1">SQRT($B$9)*_xlfn.STDEV.S(AI1163:OFFSET(AI1163,$B$6-1,0))</f>
        <v>#DIV/0!</v>
      </c>
      <c r="AL1163" s="4" t="e">
        <f ca="1">SQRT($B$9)*_xlfn.STDEV.S(AI1163:OFFSET(AI1163,$B$7-1,0))</f>
        <v>#DIV/0!</v>
      </c>
      <c r="AM1163" s="4" t="e">
        <f ca="1">SQRT($B$9)*_xlfn.STDEV.S(AI1163:OFFSET(AI1163,$B$8-1,0))</f>
        <v>#DIV/0!</v>
      </c>
    </row>
    <row r="1164" spans="11:39" x14ac:dyDescent="0.2">
      <c r="K1164" s="3" t="e">
        <f t="shared" si="99"/>
        <v>#DIV/0!</v>
      </c>
      <c r="L1164" s="3" t="e">
        <f ca="1">SQRT(AVERAGE(K1164:OFFSET(K1164,$B$5-1,0))*$B$9/(4*LN(2)))</f>
        <v>#DIV/0!</v>
      </c>
      <c r="M1164" s="3" t="e">
        <f ca="1">SQRT(AVERAGE(K1164:OFFSET(K1164,$B$6-1,0))*$B$9/(4*LN(2)))</f>
        <v>#DIV/0!</v>
      </c>
      <c r="N1164" s="3" t="e">
        <f ca="1">SQRT(AVERAGE(K1164:OFFSET(K1164,$B$7-1,0))*$B$9/(4*LN(2)))</f>
        <v>#DIV/0!</v>
      </c>
      <c r="O1164" s="3" t="e">
        <f ca="1">SQRT(AVERAGE(K1164:OFFSET(K1164,$B$8-1,0))*$B$9/(4*LN(2)))</f>
        <v>#DIV/0!</v>
      </c>
      <c r="Q1164" s="5" t="e">
        <f t="shared" si="98"/>
        <v>#DIV/0!</v>
      </c>
      <c r="R1164" s="5" t="e">
        <f ca="1">SQRT($B$9*AVERAGE((Q1164:OFFSET(Q1164,$B$5-1,0))))</f>
        <v>#DIV/0!</v>
      </c>
      <c r="S1164" s="5" t="e">
        <f ca="1">SQRT($B$9*AVERAGE((Q1164:OFFSET(Q1164,$B$6-1,0))))</f>
        <v>#DIV/0!</v>
      </c>
      <c r="T1164" s="5" t="e">
        <f ca="1">SQRT($B$9*AVERAGE((Q1164:OFFSET(Q1164,$B$7-1,0))))</f>
        <v>#DIV/0!</v>
      </c>
      <c r="U1164" s="5" t="e">
        <f ca="1">SQRT($B$9*AVERAGE((Q1164:OFFSET(Q1164,$B$8-1,0))))</f>
        <v>#DIV/0!</v>
      </c>
      <c r="W1164" s="6" t="e">
        <f t="shared" si="97"/>
        <v>#DIV/0!</v>
      </c>
      <c r="X1164" s="6" t="e">
        <f ca="1">SQRT($B$9*AVERAGE(W1164:OFFSET(W1164,$B$5-1,0)))</f>
        <v>#DIV/0!</v>
      </c>
      <c r="Y1164" s="6" t="e">
        <f ca="1">SQRT($B$9*AVERAGE(W1164:OFFSET(W1164,$B$6-1,0)))</f>
        <v>#DIV/0!</v>
      </c>
      <c r="Z1164" s="6" t="e">
        <f ca="1">SQRT($B$9*AVERAGE(W1164:OFFSET(W1164,$B$7-1,0)))</f>
        <v>#DIV/0!</v>
      </c>
      <c r="AA1164" s="6" t="e">
        <f ca="1">SQRT($B$9*AVERAGE(W1164:OFFSET(W1164,$B$8-1,0)))</f>
        <v>#DIV/0!</v>
      </c>
      <c r="AC1164" s="34" t="e">
        <f t="shared" si="95"/>
        <v>#DIV/0!</v>
      </c>
      <c r="AD1164" s="34" t="e">
        <f ca="1">SQRT($B$9*SUM(AC1164:OFFSET(AC1164,$B$5-1,0))/($B$5-1))</f>
        <v>#DIV/0!</v>
      </c>
      <c r="AE1164" s="34" t="e">
        <f ca="1">SQRT($B$9*SUM(AC1164:OFFSET(AC1164,$B$6-1,0))/($B$6-1))</f>
        <v>#DIV/0!</v>
      </c>
      <c r="AF1164" s="34" t="e">
        <f ca="1">SQRT($B$9*SUM(AC1164:OFFSET(AC1164,$B$7-1,0))/($B$7-1))</f>
        <v>#DIV/0!</v>
      </c>
      <c r="AG1164" s="34" t="e">
        <f ca="1">SQRT($B$9*SUM(AC1164:OFFSET(AC1164,$B$8-1,0))/($B$8-1))</f>
        <v>#DIV/0!</v>
      </c>
      <c r="AI1164" s="1" t="e">
        <f t="shared" si="96"/>
        <v>#DIV/0!</v>
      </c>
      <c r="AJ1164" s="4" t="e">
        <f ca="1">SQRT($B$9)*_xlfn.STDEV.S(AI1164:OFFSET(AI1164,$B$5-1,0))</f>
        <v>#DIV/0!</v>
      </c>
      <c r="AK1164" s="4" t="e">
        <f ca="1">SQRT($B$9)*_xlfn.STDEV.S(AI1164:OFFSET(AI1164,$B$6-1,0))</f>
        <v>#DIV/0!</v>
      </c>
      <c r="AL1164" s="4" t="e">
        <f ca="1">SQRT($B$9)*_xlfn.STDEV.S(AI1164:OFFSET(AI1164,$B$7-1,0))</f>
        <v>#DIV/0!</v>
      </c>
      <c r="AM1164" s="4" t="e">
        <f ca="1">SQRT($B$9)*_xlfn.STDEV.S(AI1164:OFFSET(AI1164,$B$8-1,0))</f>
        <v>#DIV/0!</v>
      </c>
    </row>
    <row r="1165" spans="11:39" x14ac:dyDescent="0.2">
      <c r="K1165" s="3" t="e">
        <f t="shared" si="99"/>
        <v>#DIV/0!</v>
      </c>
      <c r="L1165" s="3" t="e">
        <f ca="1">SQRT(AVERAGE(K1165:OFFSET(K1165,$B$5-1,0))*$B$9/(4*LN(2)))</f>
        <v>#DIV/0!</v>
      </c>
      <c r="M1165" s="3" t="e">
        <f ca="1">SQRT(AVERAGE(K1165:OFFSET(K1165,$B$6-1,0))*$B$9/(4*LN(2)))</f>
        <v>#DIV/0!</v>
      </c>
      <c r="N1165" s="3" t="e">
        <f ca="1">SQRT(AVERAGE(K1165:OFFSET(K1165,$B$7-1,0))*$B$9/(4*LN(2)))</f>
        <v>#DIV/0!</v>
      </c>
      <c r="O1165" s="3" t="e">
        <f ca="1">SQRT(AVERAGE(K1165:OFFSET(K1165,$B$8-1,0))*$B$9/(4*LN(2)))</f>
        <v>#DIV/0!</v>
      </c>
      <c r="Q1165" s="5" t="e">
        <f t="shared" si="98"/>
        <v>#DIV/0!</v>
      </c>
      <c r="R1165" s="5" t="e">
        <f ca="1">SQRT($B$9*AVERAGE((Q1165:OFFSET(Q1165,$B$5-1,0))))</f>
        <v>#DIV/0!</v>
      </c>
      <c r="S1165" s="5" t="e">
        <f ca="1">SQRT($B$9*AVERAGE((Q1165:OFFSET(Q1165,$B$6-1,0))))</f>
        <v>#DIV/0!</v>
      </c>
      <c r="T1165" s="5" t="e">
        <f ca="1">SQRT($B$9*AVERAGE((Q1165:OFFSET(Q1165,$B$7-1,0))))</f>
        <v>#DIV/0!</v>
      </c>
      <c r="U1165" s="5" t="e">
        <f ca="1">SQRT($B$9*AVERAGE((Q1165:OFFSET(Q1165,$B$8-1,0))))</f>
        <v>#DIV/0!</v>
      </c>
      <c r="W1165" s="6" t="e">
        <f t="shared" si="97"/>
        <v>#DIV/0!</v>
      </c>
      <c r="X1165" s="6" t="e">
        <f ca="1">SQRT($B$9*AVERAGE(W1165:OFFSET(W1165,$B$5-1,0)))</f>
        <v>#DIV/0!</v>
      </c>
      <c r="Y1165" s="6" t="e">
        <f ca="1">SQRT($B$9*AVERAGE(W1165:OFFSET(W1165,$B$6-1,0)))</f>
        <v>#DIV/0!</v>
      </c>
      <c r="Z1165" s="6" t="e">
        <f ca="1">SQRT($B$9*AVERAGE(W1165:OFFSET(W1165,$B$7-1,0)))</f>
        <v>#DIV/0!</v>
      </c>
      <c r="AA1165" s="6" t="e">
        <f ca="1">SQRT($B$9*AVERAGE(W1165:OFFSET(W1165,$B$8-1,0)))</f>
        <v>#DIV/0!</v>
      </c>
      <c r="AC1165" s="34" t="e">
        <f t="shared" si="95"/>
        <v>#DIV/0!</v>
      </c>
      <c r="AD1165" s="34" t="e">
        <f ca="1">SQRT($B$9*SUM(AC1165:OFFSET(AC1165,$B$5-1,0))/($B$5-1))</f>
        <v>#DIV/0!</v>
      </c>
      <c r="AE1165" s="34" t="e">
        <f ca="1">SQRT($B$9*SUM(AC1165:OFFSET(AC1165,$B$6-1,0))/($B$6-1))</f>
        <v>#DIV/0!</v>
      </c>
      <c r="AF1165" s="34" t="e">
        <f ca="1">SQRT($B$9*SUM(AC1165:OFFSET(AC1165,$B$7-1,0))/($B$7-1))</f>
        <v>#DIV/0!</v>
      </c>
      <c r="AG1165" s="34" t="e">
        <f ca="1">SQRT($B$9*SUM(AC1165:OFFSET(AC1165,$B$8-1,0))/($B$8-1))</f>
        <v>#DIV/0!</v>
      </c>
      <c r="AI1165" s="1" t="e">
        <f t="shared" si="96"/>
        <v>#DIV/0!</v>
      </c>
      <c r="AJ1165" s="4" t="e">
        <f ca="1">SQRT($B$9)*_xlfn.STDEV.S(AI1165:OFFSET(AI1165,$B$5-1,0))</f>
        <v>#DIV/0!</v>
      </c>
      <c r="AK1165" s="4" t="e">
        <f ca="1">SQRT($B$9)*_xlfn.STDEV.S(AI1165:OFFSET(AI1165,$B$6-1,0))</f>
        <v>#DIV/0!</v>
      </c>
      <c r="AL1165" s="4" t="e">
        <f ca="1">SQRT($B$9)*_xlfn.STDEV.S(AI1165:OFFSET(AI1165,$B$7-1,0))</f>
        <v>#DIV/0!</v>
      </c>
      <c r="AM1165" s="4" t="e">
        <f ca="1">SQRT($B$9)*_xlfn.STDEV.S(AI1165:OFFSET(AI1165,$B$8-1,0))</f>
        <v>#DIV/0!</v>
      </c>
    </row>
    <row r="1166" spans="11:39" x14ac:dyDescent="0.2">
      <c r="K1166" s="3" t="e">
        <f t="shared" si="99"/>
        <v>#DIV/0!</v>
      </c>
      <c r="L1166" s="3" t="e">
        <f ca="1">SQRT(AVERAGE(K1166:OFFSET(K1166,$B$5-1,0))*$B$9/(4*LN(2)))</f>
        <v>#DIV/0!</v>
      </c>
      <c r="M1166" s="3" t="e">
        <f ca="1">SQRT(AVERAGE(K1166:OFFSET(K1166,$B$6-1,0))*$B$9/(4*LN(2)))</f>
        <v>#DIV/0!</v>
      </c>
      <c r="N1166" s="3" t="e">
        <f ca="1">SQRT(AVERAGE(K1166:OFFSET(K1166,$B$7-1,0))*$B$9/(4*LN(2)))</f>
        <v>#DIV/0!</v>
      </c>
      <c r="O1166" s="3" t="e">
        <f ca="1">SQRT(AVERAGE(K1166:OFFSET(K1166,$B$8-1,0))*$B$9/(4*LN(2)))</f>
        <v>#DIV/0!</v>
      </c>
      <c r="Q1166" s="5" t="e">
        <f t="shared" si="98"/>
        <v>#DIV/0!</v>
      </c>
      <c r="R1166" s="5" t="e">
        <f ca="1">SQRT($B$9*AVERAGE((Q1166:OFFSET(Q1166,$B$5-1,0))))</f>
        <v>#DIV/0!</v>
      </c>
      <c r="S1166" s="5" t="e">
        <f ca="1">SQRT($B$9*AVERAGE((Q1166:OFFSET(Q1166,$B$6-1,0))))</f>
        <v>#DIV/0!</v>
      </c>
      <c r="T1166" s="5" t="e">
        <f ca="1">SQRT($B$9*AVERAGE((Q1166:OFFSET(Q1166,$B$7-1,0))))</f>
        <v>#DIV/0!</v>
      </c>
      <c r="U1166" s="5" t="e">
        <f ca="1">SQRT($B$9*AVERAGE((Q1166:OFFSET(Q1166,$B$8-1,0))))</f>
        <v>#DIV/0!</v>
      </c>
      <c r="W1166" s="6" t="e">
        <f t="shared" si="97"/>
        <v>#DIV/0!</v>
      </c>
      <c r="X1166" s="6" t="e">
        <f ca="1">SQRT($B$9*AVERAGE(W1166:OFFSET(W1166,$B$5-1,0)))</f>
        <v>#DIV/0!</v>
      </c>
      <c r="Y1166" s="6" t="e">
        <f ca="1">SQRT($B$9*AVERAGE(W1166:OFFSET(W1166,$B$6-1,0)))</f>
        <v>#DIV/0!</v>
      </c>
      <c r="Z1166" s="6" t="e">
        <f ca="1">SQRT($B$9*AVERAGE(W1166:OFFSET(W1166,$B$7-1,0)))</f>
        <v>#DIV/0!</v>
      </c>
      <c r="AA1166" s="6" t="e">
        <f ca="1">SQRT($B$9*AVERAGE(W1166:OFFSET(W1166,$B$8-1,0)))</f>
        <v>#DIV/0!</v>
      </c>
      <c r="AC1166" s="34" t="e">
        <f t="shared" si="95"/>
        <v>#DIV/0!</v>
      </c>
      <c r="AD1166" s="34" t="e">
        <f ca="1">SQRT($B$9*SUM(AC1166:OFFSET(AC1166,$B$5-1,0))/($B$5-1))</f>
        <v>#DIV/0!</v>
      </c>
      <c r="AE1166" s="34" t="e">
        <f ca="1">SQRT($B$9*SUM(AC1166:OFFSET(AC1166,$B$6-1,0))/($B$6-1))</f>
        <v>#DIV/0!</v>
      </c>
      <c r="AF1166" s="34" t="e">
        <f ca="1">SQRT($B$9*SUM(AC1166:OFFSET(AC1166,$B$7-1,0))/($B$7-1))</f>
        <v>#DIV/0!</v>
      </c>
      <c r="AG1166" s="34" t="e">
        <f ca="1">SQRT($B$9*SUM(AC1166:OFFSET(AC1166,$B$8-1,0))/($B$8-1))</f>
        <v>#DIV/0!</v>
      </c>
      <c r="AI1166" s="1" t="e">
        <f t="shared" si="96"/>
        <v>#DIV/0!</v>
      </c>
      <c r="AJ1166" s="4" t="e">
        <f ca="1">SQRT($B$9)*_xlfn.STDEV.S(AI1166:OFFSET(AI1166,$B$5-1,0))</f>
        <v>#DIV/0!</v>
      </c>
      <c r="AK1166" s="4" t="e">
        <f ca="1">SQRT($B$9)*_xlfn.STDEV.S(AI1166:OFFSET(AI1166,$B$6-1,0))</f>
        <v>#DIV/0!</v>
      </c>
      <c r="AL1166" s="4" t="e">
        <f ca="1">SQRT($B$9)*_xlfn.STDEV.S(AI1166:OFFSET(AI1166,$B$7-1,0))</f>
        <v>#DIV/0!</v>
      </c>
      <c r="AM1166" s="4" t="e">
        <f ca="1">SQRT($B$9)*_xlfn.STDEV.S(AI1166:OFFSET(AI1166,$B$8-1,0))</f>
        <v>#DIV/0!</v>
      </c>
    </row>
    <row r="1167" spans="11:39" x14ac:dyDescent="0.2">
      <c r="K1167" s="3" t="e">
        <f t="shared" si="99"/>
        <v>#DIV/0!</v>
      </c>
      <c r="L1167" s="3" t="e">
        <f ca="1">SQRT(AVERAGE(K1167:OFFSET(K1167,$B$5-1,0))*$B$9/(4*LN(2)))</f>
        <v>#DIV/0!</v>
      </c>
      <c r="M1167" s="3" t="e">
        <f ca="1">SQRT(AVERAGE(K1167:OFFSET(K1167,$B$6-1,0))*$B$9/(4*LN(2)))</f>
        <v>#DIV/0!</v>
      </c>
      <c r="N1167" s="3" t="e">
        <f ca="1">SQRT(AVERAGE(K1167:OFFSET(K1167,$B$7-1,0))*$B$9/(4*LN(2)))</f>
        <v>#DIV/0!</v>
      </c>
      <c r="O1167" s="3" t="e">
        <f ca="1">SQRT(AVERAGE(K1167:OFFSET(K1167,$B$8-1,0))*$B$9/(4*LN(2)))</f>
        <v>#DIV/0!</v>
      </c>
      <c r="Q1167" s="5" t="e">
        <f t="shared" si="98"/>
        <v>#DIV/0!</v>
      </c>
      <c r="R1167" s="5" t="e">
        <f ca="1">SQRT($B$9*AVERAGE((Q1167:OFFSET(Q1167,$B$5-1,0))))</f>
        <v>#DIV/0!</v>
      </c>
      <c r="S1167" s="5" t="e">
        <f ca="1">SQRT($B$9*AVERAGE((Q1167:OFFSET(Q1167,$B$6-1,0))))</f>
        <v>#DIV/0!</v>
      </c>
      <c r="T1167" s="5" t="e">
        <f ca="1">SQRT($B$9*AVERAGE((Q1167:OFFSET(Q1167,$B$7-1,0))))</f>
        <v>#DIV/0!</v>
      </c>
      <c r="U1167" s="5" t="e">
        <f ca="1">SQRT($B$9*AVERAGE((Q1167:OFFSET(Q1167,$B$8-1,0))))</f>
        <v>#DIV/0!</v>
      </c>
      <c r="W1167" s="6" t="e">
        <f t="shared" si="97"/>
        <v>#DIV/0!</v>
      </c>
      <c r="X1167" s="6" t="e">
        <f ca="1">SQRT($B$9*AVERAGE(W1167:OFFSET(W1167,$B$5-1,0)))</f>
        <v>#DIV/0!</v>
      </c>
      <c r="Y1167" s="6" t="e">
        <f ca="1">SQRT($B$9*AVERAGE(W1167:OFFSET(W1167,$B$6-1,0)))</f>
        <v>#DIV/0!</v>
      </c>
      <c r="Z1167" s="6" t="e">
        <f ca="1">SQRT($B$9*AVERAGE(W1167:OFFSET(W1167,$B$7-1,0)))</f>
        <v>#DIV/0!</v>
      </c>
      <c r="AA1167" s="6" t="e">
        <f ca="1">SQRT($B$9*AVERAGE(W1167:OFFSET(W1167,$B$8-1,0)))</f>
        <v>#DIV/0!</v>
      </c>
      <c r="AC1167" s="34" t="e">
        <f t="shared" si="95"/>
        <v>#DIV/0!</v>
      </c>
      <c r="AD1167" s="34" t="e">
        <f ca="1">SQRT($B$9*SUM(AC1167:OFFSET(AC1167,$B$5-1,0))/($B$5-1))</f>
        <v>#DIV/0!</v>
      </c>
      <c r="AE1167" s="34" t="e">
        <f ca="1">SQRT($B$9*SUM(AC1167:OFFSET(AC1167,$B$6-1,0))/($B$6-1))</f>
        <v>#DIV/0!</v>
      </c>
      <c r="AF1167" s="34" t="e">
        <f ca="1">SQRT($B$9*SUM(AC1167:OFFSET(AC1167,$B$7-1,0))/($B$7-1))</f>
        <v>#DIV/0!</v>
      </c>
      <c r="AG1167" s="34" t="e">
        <f ca="1">SQRT($B$9*SUM(AC1167:OFFSET(AC1167,$B$8-1,0))/($B$8-1))</f>
        <v>#DIV/0!</v>
      </c>
      <c r="AI1167" s="1" t="e">
        <f t="shared" si="96"/>
        <v>#DIV/0!</v>
      </c>
      <c r="AJ1167" s="4" t="e">
        <f ca="1">SQRT($B$9)*_xlfn.STDEV.S(AI1167:OFFSET(AI1167,$B$5-1,0))</f>
        <v>#DIV/0!</v>
      </c>
      <c r="AK1167" s="4" t="e">
        <f ca="1">SQRT($B$9)*_xlfn.STDEV.S(AI1167:OFFSET(AI1167,$B$6-1,0))</f>
        <v>#DIV/0!</v>
      </c>
      <c r="AL1167" s="4" t="e">
        <f ca="1">SQRT($B$9)*_xlfn.STDEV.S(AI1167:OFFSET(AI1167,$B$7-1,0))</f>
        <v>#DIV/0!</v>
      </c>
      <c r="AM1167" s="4" t="e">
        <f ca="1">SQRT($B$9)*_xlfn.STDEV.S(AI1167:OFFSET(AI1167,$B$8-1,0))</f>
        <v>#DIV/0!</v>
      </c>
    </row>
    <row r="1168" spans="11:39" x14ac:dyDescent="0.2">
      <c r="K1168" s="3" t="e">
        <f t="shared" si="99"/>
        <v>#DIV/0!</v>
      </c>
      <c r="L1168" s="3" t="e">
        <f ca="1">SQRT(AVERAGE(K1168:OFFSET(K1168,$B$5-1,0))*$B$9/(4*LN(2)))</f>
        <v>#DIV/0!</v>
      </c>
      <c r="M1168" s="3" t="e">
        <f ca="1">SQRT(AVERAGE(K1168:OFFSET(K1168,$B$6-1,0))*$B$9/(4*LN(2)))</f>
        <v>#DIV/0!</v>
      </c>
      <c r="N1168" s="3" t="e">
        <f ca="1">SQRT(AVERAGE(K1168:OFFSET(K1168,$B$7-1,0))*$B$9/(4*LN(2)))</f>
        <v>#DIV/0!</v>
      </c>
      <c r="O1168" s="3" t="e">
        <f ca="1">SQRT(AVERAGE(K1168:OFFSET(K1168,$B$8-1,0))*$B$9/(4*LN(2)))</f>
        <v>#DIV/0!</v>
      </c>
      <c r="Q1168" s="5" t="e">
        <f t="shared" si="98"/>
        <v>#DIV/0!</v>
      </c>
      <c r="R1168" s="5" t="e">
        <f ca="1">SQRT($B$9*AVERAGE((Q1168:OFFSET(Q1168,$B$5-1,0))))</f>
        <v>#DIV/0!</v>
      </c>
      <c r="S1168" s="5" t="e">
        <f ca="1">SQRT($B$9*AVERAGE((Q1168:OFFSET(Q1168,$B$6-1,0))))</f>
        <v>#DIV/0!</v>
      </c>
      <c r="T1168" s="5" t="e">
        <f ca="1">SQRT($B$9*AVERAGE((Q1168:OFFSET(Q1168,$B$7-1,0))))</f>
        <v>#DIV/0!</v>
      </c>
      <c r="U1168" s="5" t="e">
        <f ca="1">SQRT($B$9*AVERAGE((Q1168:OFFSET(Q1168,$B$8-1,0))))</f>
        <v>#DIV/0!</v>
      </c>
      <c r="W1168" s="6" t="e">
        <f t="shared" si="97"/>
        <v>#DIV/0!</v>
      </c>
      <c r="X1168" s="6" t="e">
        <f ca="1">SQRT($B$9*AVERAGE(W1168:OFFSET(W1168,$B$5-1,0)))</f>
        <v>#DIV/0!</v>
      </c>
      <c r="Y1168" s="6" t="e">
        <f ca="1">SQRT($B$9*AVERAGE(W1168:OFFSET(W1168,$B$6-1,0)))</f>
        <v>#DIV/0!</v>
      </c>
      <c r="Z1168" s="6" t="e">
        <f ca="1">SQRT($B$9*AVERAGE(W1168:OFFSET(W1168,$B$7-1,0)))</f>
        <v>#DIV/0!</v>
      </c>
      <c r="AA1168" s="6" t="e">
        <f ca="1">SQRT($B$9*AVERAGE(W1168:OFFSET(W1168,$B$8-1,0)))</f>
        <v>#DIV/0!</v>
      </c>
      <c r="AC1168" s="34" t="e">
        <f t="shared" si="95"/>
        <v>#DIV/0!</v>
      </c>
      <c r="AD1168" s="34" t="e">
        <f ca="1">SQRT($B$9*SUM(AC1168:OFFSET(AC1168,$B$5-1,0))/($B$5-1))</f>
        <v>#DIV/0!</v>
      </c>
      <c r="AE1168" s="34" t="e">
        <f ca="1">SQRT($B$9*SUM(AC1168:OFFSET(AC1168,$B$6-1,0))/($B$6-1))</f>
        <v>#DIV/0!</v>
      </c>
      <c r="AF1168" s="34" t="e">
        <f ca="1">SQRT($B$9*SUM(AC1168:OFFSET(AC1168,$B$7-1,0))/($B$7-1))</f>
        <v>#DIV/0!</v>
      </c>
      <c r="AG1168" s="34" t="e">
        <f ca="1">SQRT($B$9*SUM(AC1168:OFFSET(AC1168,$B$8-1,0))/($B$8-1))</f>
        <v>#DIV/0!</v>
      </c>
      <c r="AI1168" s="1" t="e">
        <f t="shared" si="96"/>
        <v>#DIV/0!</v>
      </c>
      <c r="AJ1168" s="4" t="e">
        <f ca="1">SQRT($B$9)*_xlfn.STDEV.S(AI1168:OFFSET(AI1168,$B$5-1,0))</f>
        <v>#DIV/0!</v>
      </c>
      <c r="AK1168" s="4" t="e">
        <f ca="1">SQRT($B$9)*_xlfn.STDEV.S(AI1168:OFFSET(AI1168,$B$6-1,0))</f>
        <v>#DIV/0!</v>
      </c>
      <c r="AL1168" s="4" t="e">
        <f ca="1">SQRT($B$9)*_xlfn.STDEV.S(AI1168:OFFSET(AI1168,$B$7-1,0))</f>
        <v>#DIV/0!</v>
      </c>
      <c r="AM1168" s="4" t="e">
        <f ca="1">SQRT($B$9)*_xlfn.STDEV.S(AI1168:OFFSET(AI1168,$B$8-1,0))</f>
        <v>#DIV/0!</v>
      </c>
    </row>
    <row r="1169" spans="11:39" x14ac:dyDescent="0.2">
      <c r="K1169" s="3" t="e">
        <f t="shared" si="99"/>
        <v>#DIV/0!</v>
      </c>
      <c r="L1169" s="3" t="e">
        <f ca="1">SQRT(AVERAGE(K1169:OFFSET(K1169,$B$5-1,0))*$B$9/(4*LN(2)))</f>
        <v>#DIV/0!</v>
      </c>
      <c r="M1169" s="3" t="e">
        <f ca="1">SQRT(AVERAGE(K1169:OFFSET(K1169,$B$6-1,0))*$B$9/(4*LN(2)))</f>
        <v>#DIV/0!</v>
      </c>
      <c r="N1169" s="3" t="e">
        <f ca="1">SQRT(AVERAGE(K1169:OFFSET(K1169,$B$7-1,0))*$B$9/(4*LN(2)))</f>
        <v>#DIV/0!</v>
      </c>
      <c r="O1169" s="3" t="e">
        <f ca="1">SQRT(AVERAGE(K1169:OFFSET(K1169,$B$8-1,0))*$B$9/(4*LN(2)))</f>
        <v>#DIV/0!</v>
      </c>
      <c r="Q1169" s="5" t="e">
        <f t="shared" si="98"/>
        <v>#DIV/0!</v>
      </c>
      <c r="R1169" s="5" t="e">
        <f ca="1">SQRT($B$9*AVERAGE((Q1169:OFFSET(Q1169,$B$5-1,0))))</f>
        <v>#DIV/0!</v>
      </c>
      <c r="S1169" s="5" t="e">
        <f ca="1">SQRT($B$9*AVERAGE((Q1169:OFFSET(Q1169,$B$6-1,0))))</f>
        <v>#DIV/0!</v>
      </c>
      <c r="T1169" s="5" t="e">
        <f ca="1">SQRT($B$9*AVERAGE((Q1169:OFFSET(Q1169,$B$7-1,0))))</f>
        <v>#DIV/0!</v>
      </c>
      <c r="U1169" s="5" t="e">
        <f ca="1">SQRT($B$9*AVERAGE((Q1169:OFFSET(Q1169,$B$8-1,0))))</f>
        <v>#DIV/0!</v>
      </c>
      <c r="W1169" s="6" t="e">
        <f t="shared" si="97"/>
        <v>#DIV/0!</v>
      </c>
      <c r="X1169" s="6" t="e">
        <f ca="1">SQRT($B$9*AVERAGE(W1169:OFFSET(W1169,$B$5-1,0)))</f>
        <v>#DIV/0!</v>
      </c>
      <c r="Y1169" s="6" t="e">
        <f ca="1">SQRT($B$9*AVERAGE(W1169:OFFSET(W1169,$B$6-1,0)))</f>
        <v>#DIV/0!</v>
      </c>
      <c r="Z1169" s="6" t="e">
        <f ca="1">SQRT($B$9*AVERAGE(W1169:OFFSET(W1169,$B$7-1,0)))</f>
        <v>#DIV/0!</v>
      </c>
      <c r="AA1169" s="6" t="e">
        <f ca="1">SQRT($B$9*AVERAGE(W1169:OFFSET(W1169,$B$8-1,0)))</f>
        <v>#DIV/0!</v>
      </c>
      <c r="AC1169" s="34" t="e">
        <f t="shared" ref="AC1169:AC1232" si="100">(LN(I1169/I1170))^2</f>
        <v>#DIV/0!</v>
      </c>
      <c r="AD1169" s="34" t="e">
        <f ca="1">SQRT($B$9*SUM(AC1169:OFFSET(AC1169,$B$5-1,0))/($B$5-1))</f>
        <v>#DIV/0!</v>
      </c>
      <c r="AE1169" s="34" t="e">
        <f ca="1">SQRT($B$9*SUM(AC1169:OFFSET(AC1169,$B$6-1,0))/($B$6-1))</f>
        <v>#DIV/0!</v>
      </c>
      <c r="AF1169" s="34" t="e">
        <f ca="1">SQRT($B$9*SUM(AC1169:OFFSET(AC1169,$B$7-1,0))/($B$7-1))</f>
        <v>#DIV/0!</v>
      </c>
      <c r="AG1169" s="34" t="e">
        <f ca="1">SQRT($B$9*SUM(AC1169:OFFSET(AC1169,$B$8-1,0))/($B$8-1))</f>
        <v>#DIV/0!</v>
      </c>
      <c r="AI1169" s="1" t="e">
        <f t="shared" si="96"/>
        <v>#DIV/0!</v>
      </c>
      <c r="AJ1169" s="4" t="e">
        <f ca="1">SQRT($B$9)*_xlfn.STDEV.S(AI1169:OFFSET(AI1169,$B$5-1,0))</f>
        <v>#DIV/0!</v>
      </c>
      <c r="AK1169" s="4" t="e">
        <f ca="1">SQRT($B$9)*_xlfn.STDEV.S(AI1169:OFFSET(AI1169,$B$6-1,0))</f>
        <v>#DIV/0!</v>
      </c>
      <c r="AL1169" s="4" t="e">
        <f ca="1">SQRT($B$9)*_xlfn.STDEV.S(AI1169:OFFSET(AI1169,$B$7-1,0))</f>
        <v>#DIV/0!</v>
      </c>
      <c r="AM1169" s="4" t="e">
        <f ca="1">SQRT($B$9)*_xlfn.STDEV.S(AI1169:OFFSET(AI1169,$B$8-1,0))</f>
        <v>#DIV/0!</v>
      </c>
    </row>
    <row r="1170" spans="11:39" x14ac:dyDescent="0.2">
      <c r="K1170" s="3" t="e">
        <f t="shared" si="99"/>
        <v>#DIV/0!</v>
      </c>
      <c r="L1170" s="3" t="e">
        <f ca="1">SQRT(AVERAGE(K1170:OFFSET(K1170,$B$5-1,0))*$B$9/(4*LN(2)))</f>
        <v>#DIV/0!</v>
      </c>
      <c r="M1170" s="3" t="e">
        <f ca="1">SQRT(AVERAGE(K1170:OFFSET(K1170,$B$6-1,0))*$B$9/(4*LN(2)))</f>
        <v>#DIV/0!</v>
      </c>
      <c r="N1170" s="3" t="e">
        <f ca="1">SQRT(AVERAGE(K1170:OFFSET(K1170,$B$7-1,0))*$B$9/(4*LN(2)))</f>
        <v>#DIV/0!</v>
      </c>
      <c r="O1170" s="3" t="e">
        <f ca="1">SQRT(AVERAGE(K1170:OFFSET(K1170,$B$8-1,0))*$B$9/(4*LN(2)))</f>
        <v>#DIV/0!</v>
      </c>
      <c r="Q1170" s="5" t="e">
        <f t="shared" si="98"/>
        <v>#DIV/0!</v>
      </c>
      <c r="R1170" s="5" t="e">
        <f ca="1">SQRT($B$9*AVERAGE((Q1170:OFFSET(Q1170,$B$5-1,0))))</f>
        <v>#DIV/0!</v>
      </c>
      <c r="S1170" s="5" t="e">
        <f ca="1">SQRT($B$9*AVERAGE((Q1170:OFFSET(Q1170,$B$6-1,0))))</f>
        <v>#DIV/0!</v>
      </c>
      <c r="T1170" s="5" t="e">
        <f ca="1">SQRT($B$9*AVERAGE((Q1170:OFFSET(Q1170,$B$7-1,0))))</f>
        <v>#DIV/0!</v>
      </c>
      <c r="U1170" s="5" t="e">
        <f ca="1">SQRT($B$9*AVERAGE((Q1170:OFFSET(Q1170,$B$8-1,0))))</f>
        <v>#DIV/0!</v>
      </c>
      <c r="W1170" s="6" t="e">
        <f t="shared" si="97"/>
        <v>#DIV/0!</v>
      </c>
      <c r="X1170" s="6" t="e">
        <f ca="1">SQRT($B$9*AVERAGE(W1170:OFFSET(W1170,$B$5-1,0)))</f>
        <v>#DIV/0!</v>
      </c>
      <c r="Y1170" s="6" t="e">
        <f ca="1">SQRT($B$9*AVERAGE(W1170:OFFSET(W1170,$B$6-1,0)))</f>
        <v>#DIV/0!</v>
      </c>
      <c r="Z1170" s="6" t="e">
        <f ca="1">SQRT($B$9*AVERAGE(W1170:OFFSET(W1170,$B$7-1,0)))</f>
        <v>#DIV/0!</v>
      </c>
      <c r="AA1170" s="6" t="e">
        <f ca="1">SQRT($B$9*AVERAGE(W1170:OFFSET(W1170,$B$8-1,0)))</f>
        <v>#DIV/0!</v>
      </c>
      <c r="AC1170" s="34" t="e">
        <f t="shared" si="100"/>
        <v>#DIV/0!</v>
      </c>
      <c r="AD1170" s="34" t="e">
        <f ca="1">SQRT($B$9*SUM(AC1170:OFFSET(AC1170,$B$5-1,0))/($B$5-1))</f>
        <v>#DIV/0!</v>
      </c>
      <c r="AE1170" s="34" t="e">
        <f ca="1">SQRT($B$9*SUM(AC1170:OFFSET(AC1170,$B$6-1,0))/($B$6-1))</f>
        <v>#DIV/0!</v>
      </c>
      <c r="AF1170" s="34" t="e">
        <f ca="1">SQRT($B$9*SUM(AC1170:OFFSET(AC1170,$B$7-1,0))/($B$7-1))</f>
        <v>#DIV/0!</v>
      </c>
      <c r="AG1170" s="34" t="e">
        <f ca="1">SQRT($B$9*SUM(AC1170:OFFSET(AC1170,$B$8-1,0))/($B$8-1))</f>
        <v>#DIV/0!</v>
      </c>
      <c r="AI1170" s="1" t="e">
        <f t="shared" si="96"/>
        <v>#DIV/0!</v>
      </c>
      <c r="AJ1170" s="4" t="e">
        <f ca="1">SQRT($B$9)*_xlfn.STDEV.S(AI1170:OFFSET(AI1170,$B$5-1,0))</f>
        <v>#DIV/0!</v>
      </c>
      <c r="AK1170" s="4" t="e">
        <f ca="1">SQRT($B$9)*_xlfn.STDEV.S(AI1170:OFFSET(AI1170,$B$6-1,0))</f>
        <v>#DIV/0!</v>
      </c>
      <c r="AL1170" s="4" t="e">
        <f ca="1">SQRT($B$9)*_xlfn.STDEV.S(AI1170:OFFSET(AI1170,$B$7-1,0))</f>
        <v>#DIV/0!</v>
      </c>
      <c r="AM1170" s="4" t="e">
        <f ca="1">SQRT($B$9)*_xlfn.STDEV.S(AI1170:OFFSET(AI1170,$B$8-1,0))</f>
        <v>#DIV/0!</v>
      </c>
    </row>
    <row r="1171" spans="11:39" x14ac:dyDescent="0.2">
      <c r="K1171" s="3" t="e">
        <f t="shared" si="99"/>
        <v>#DIV/0!</v>
      </c>
      <c r="L1171" s="3" t="e">
        <f ca="1">SQRT(AVERAGE(K1171:OFFSET(K1171,$B$5-1,0))*$B$9/(4*LN(2)))</f>
        <v>#DIV/0!</v>
      </c>
      <c r="M1171" s="3" t="e">
        <f ca="1">SQRT(AVERAGE(K1171:OFFSET(K1171,$B$6-1,0))*$B$9/(4*LN(2)))</f>
        <v>#DIV/0!</v>
      </c>
      <c r="N1171" s="3" t="e">
        <f ca="1">SQRT(AVERAGE(K1171:OFFSET(K1171,$B$7-1,0))*$B$9/(4*LN(2)))</f>
        <v>#DIV/0!</v>
      </c>
      <c r="O1171" s="3" t="e">
        <f ca="1">SQRT(AVERAGE(K1171:OFFSET(K1171,$B$8-1,0))*$B$9/(4*LN(2)))</f>
        <v>#DIV/0!</v>
      </c>
      <c r="Q1171" s="5" t="e">
        <f t="shared" si="98"/>
        <v>#DIV/0!</v>
      </c>
      <c r="R1171" s="5" t="e">
        <f ca="1">SQRT($B$9*AVERAGE((Q1171:OFFSET(Q1171,$B$5-1,0))))</f>
        <v>#DIV/0!</v>
      </c>
      <c r="S1171" s="5" t="e">
        <f ca="1">SQRT($B$9*AVERAGE((Q1171:OFFSET(Q1171,$B$6-1,0))))</f>
        <v>#DIV/0!</v>
      </c>
      <c r="T1171" s="5" t="e">
        <f ca="1">SQRT($B$9*AVERAGE((Q1171:OFFSET(Q1171,$B$7-1,0))))</f>
        <v>#DIV/0!</v>
      </c>
      <c r="U1171" s="5" t="e">
        <f ca="1">SQRT($B$9*AVERAGE((Q1171:OFFSET(Q1171,$B$8-1,0))))</f>
        <v>#DIV/0!</v>
      </c>
      <c r="W1171" s="6" t="e">
        <f t="shared" si="97"/>
        <v>#DIV/0!</v>
      </c>
      <c r="X1171" s="6" t="e">
        <f ca="1">SQRT($B$9*AVERAGE(W1171:OFFSET(W1171,$B$5-1,0)))</f>
        <v>#DIV/0!</v>
      </c>
      <c r="Y1171" s="6" t="e">
        <f ca="1">SQRT($B$9*AVERAGE(W1171:OFFSET(W1171,$B$6-1,0)))</f>
        <v>#DIV/0!</v>
      </c>
      <c r="Z1171" s="6" t="e">
        <f ca="1">SQRT($B$9*AVERAGE(W1171:OFFSET(W1171,$B$7-1,0)))</f>
        <v>#DIV/0!</v>
      </c>
      <c r="AA1171" s="6" t="e">
        <f ca="1">SQRT($B$9*AVERAGE(W1171:OFFSET(W1171,$B$8-1,0)))</f>
        <v>#DIV/0!</v>
      </c>
      <c r="AC1171" s="34" t="e">
        <f t="shared" si="100"/>
        <v>#DIV/0!</v>
      </c>
      <c r="AD1171" s="34" t="e">
        <f ca="1">SQRT($B$9*SUM(AC1171:OFFSET(AC1171,$B$5-1,0))/($B$5-1))</f>
        <v>#DIV/0!</v>
      </c>
      <c r="AE1171" s="34" t="e">
        <f ca="1">SQRT($B$9*SUM(AC1171:OFFSET(AC1171,$B$6-1,0))/($B$6-1))</f>
        <v>#DIV/0!</v>
      </c>
      <c r="AF1171" s="34" t="e">
        <f ca="1">SQRT($B$9*SUM(AC1171:OFFSET(AC1171,$B$7-1,0))/($B$7-1))</f>
        <v>#DIV/0!</v>
      </c>
      <c r="AG1171" s="34" t="e">
        <f ca="1">SQRT($B$9*SUM(AC1171:OFFSET(AC1171,$B$8-1,0))/($B$8-1))</f>
        <v>#DIV/0!</v>
      </c>
      <c r="AI1171" s="1" t="e">
        <f t="shared" ref="AI1171:AI1234" si="101">LN(I1171/I1172)</f>
        <v>#DIV/0!</v>
      </c>
      <c r="AJ1171" s="4" t="e">
        <f ca="1">SQRT($B$9)*_xlfn.STDEV.S(AI1171:OFFSET(AI1171,$B$5-1,0))</f>
        <v>#DIV/0!</v>
      </c>
      <c r="AK1171" s="4" t="e">
        <f ca="1">SQRT($B$9)*_xlfn.STDEV.S(AI1171:OFFSET(AI1171,$B$6-1,0))</f>
        <v>#DIV/0!</v>
      </c>
      <c r="AL1171" s="4" t="e">
        <f ca="1">SQRT($B$9)*_xlfn.STDEV.S(AI1171:OFFSET(AI1171,$B$7-1,0))</f>
        <v>#DIV/0!</v>
      </c>
      <c r="AM1171" s="4" t="e">
        <f ca="1">SQRT($B$9)*_xlfn.STDEV.S(AI1171:OFFSET(AI1171,$B$8-1,0))</f>
        <v>#DIV/0!</v>
      </c>
    </row>
    <row r="1172" spans="11:39" x14ac:dyDescent="0.2">
      <c r="K1172" s="3" t="e">
        <f t="shared" si="99"/>
        <v>#DIV/0!</v>
      </c>
      <c r="L1172" s="3" t="e">
        <f ca="1">SQRT(AVERAGE(K1172:OFFSET(K1172,$B$5-1,0))*$B$9/(4*LN(2)))</f>
        <v>#DIV/0!</v>
      </c>
      <c r="M1172" s="3" t="e">
        <f ca="1">SQRT(AVERAGE(K1172:OFFSET(K1172,$B$6-1,0))*$B$9/(4*LN(2)))</f>
        <v>#DIV/0!</v>
      </c>
      <c r="N1172" s="3" t="e">
        <f ca="1">SQRT(AVERAGE(K1172:OFFSET(K1172,$B$7-1,0))*$B$9/(4*LN(2)))</f>
        <v>#DIV/0!</v>
      </c>
      <c r="O1172" s="3" t="e">
        <f ca="1">SQRT(AVERAGE(K1172:OFFSET(K1172,$B$8-1,0))*$B$9/(4*LN(2)))</f>
        <v>#DIV/0!</v>
      </c>
      <c r="Q1172" s="5" t="e">
        <f t="shared" si="98"/>
        <v>#DIV/0!</v>
      </c>
      <c r="R1172" s="5" t="e">
        <f ca="1">SQRT($B$9*AVERAGE((Q1172:OFFSET(Q1172,$B$5-1,0))))</f>
        <v>#DIV/0!</v>
      </c>
      <c r="S1172" s="5" t="e">
        <f ca="1">SQRT($B$9*AVERAGE((Q1172:OFFSET(Q1172,$B$6-1,0))))</f>
        <v>#DIV/0!</v>
      </c>
      <c r="T1172" s="5" t="e">
        <f ca="1">SQRT($B$9*AVERAGE((Q1172:OFFSET(Q1172,$B$7-1,0))))</f>
        <v>#DIV/0!</v>
      </c>
      <c r="U1172" s="5" t="e">
        <f ca="1">SQRT($B$9*AVERAGE((Q1172:OFFSET(Q1172,$B$8-1,0))))</f>
        <v>#DIV/0!</v>
      </c>
      <c r="W1172" s="6" t="e">
        <f t="shared" si="97"/>
        <v>#DIV/0!</v>
      </c>
      <c r="X1172" s="6" t="e">
        <f ca="1">SQRT($B$9*AVERAGE(W1172:OFFSET(W1172,$B$5-1,0)))</f>
        <v>#DIV/0!</v>
      </c>
      <c r="Y1172" s="6" t="e">
        <f ca="1">SQRT($B$9*AVERAGE(W1172:OFFSET(W1172,$B$6-1,0)))</f>
        <v>#DIV/0!</v>
      </c>
      <c r="Z1172" s="6" t="e">
        <f ca="1">SQRT($B$9*AVERAGE(W1172:OFFSET(W1172,$B$7-1,0)))</f>
        <v>#DIV/0!</v>
      </c>
      <c r="AA1172" s="6" t="e">
        <f ca="1">SQRT($B$9*AVERAGE(W1172:OFFSET(W1172,$B$8-1,0)))</f>
        <v>#DIV/0!</v>
      </c>
      <c r="AC1172" s="34" t="e">
        <f t="shared" si="100"/>
        <v>#DIV/0!</v>
      </c>
      <c r="AD1172" s="34" t="e">
        <f ca="1">SQRT($B$9*SUM(AC1172:OFFSET(AC1172,$B$5-1,0))/($B$5-1))</f>
        <v>#DIV/0!</v>
      </c>
      <c r="AE1172" s="34" t="e">
        <f ca="1">SQRT($B$9*SUM(AC1172:OFFSET(AC1172,$B$6-1,0))/($B$6-1))</f>
        <v>#DIV/0!</v>
      </c>
      <c r="AF1172" s="34" t="e">
        <f ca="1">SQRT($B$9*SUM(AC1172:OFFSET(AC1172,$B$7-1,0))/($B$7-1))</f>
        <v>#DIV/0!</v>
      </c>
      <c r="AG1172" s="34" t="e">
        <f ca="1">SQRT($B$9*SUM(AC1172:OFFSET(AC1172,$B$8-1,0))/($B$8-1))</f>
        <v>#DIV/0!</v>
      </c>
      <c r="AI1172" s="1" t="e">
        <f t="shared" si="101"/>
        <v>#DIV/0!</v>
      </c>
      <c r="AJ1172" s="4" t="e">
        <f ca="1">SQRT($B$9)*_xlfn.STDEV.S(AI1172:OFFSET(AI1172,$B$5-1,0))</f>
        <v>#DIV/0!</v>
      </c>
      <c r="AK1172" s="4" t="e">
        <f ca="1">SQRT($B$9)*_xlfn.STDEV.S(AI1172:OFFSET(AI1172,$B$6-1,0))</f>
        <v>#DIV/0!</v>
      </c>
      <c r="AL1172" s="4" t="e">
        <f ca="1">SQRT($B$9)*_xlfn.STDEV.S(AI1172:OFFSET(AI1172,$B$7-1,0))</f>
        <v>#DIV/0!</v>
      </c>
      <c r="AM1172" s="4" t="e">
        <f ca="1">SQRT($B$9)*_xlfn.STDEV.S(AI1172:OFFSET(AI1172,$B$8-1,0))</f>
        <v>#DIV/0!</v>
      </c>
    </row>
    <row r="1173" spans="11:39" x14ac:dyDescent="0.2">
      <c r="K1173" s="3" t="e">
        <f t="shared" si="99"/>
        <v>#DIV/0!</v>
      </c>
      <c r="L1173" s="3" t="e">
        <f ca="1">SQRT(AVERAGE(K1173:OFFSET(K1173,$B$5-1,0))*$B$9/(4*LN(2)))</f>
        <v>#DIV/0!</v>
      </c>
      <c r="M1173" s="3" t="e">
        <f ca="1">SQRT(AVERAGE(K1173:OFFSET(K1173,$B$6-1,0))*$B$9/(4*LN(2)))</f>
        <v>#DIV/0!</v>
      </c>
      <c r="N1173" s="3" t="e">
        <f ca="1">SQRT(AVERAGE(K1173:OFFSET(K1173,$B$7-1,0))*$B$9/(4*LN(2)))</f>
        <v>#DIV/0!</v>
      </c>
      <c r="O1173" s="3" t="e">
        <f ca="1">SQRT(AVERAGE(K1173:OFFSET(K1173,$B$8-1,0))*$B$9/(4*LN(2)))</f>
        <v>#DIV/0!</v>
      </c>
      <c r="Q1173" s="5" t="e">
        <f t="shared" si="98"/>
        <v>#DIV/0!</v>
      </c>
      <c r="R1173" s="5" t="e">
        <f ca="1">SQRT($B$9*AVERAGE((Q1173:OFFSET(Q1173,$B$5-1,0))))</f>
        <v>#DIV/0!</v>
      </c>
      <c r="S1173" s="5" t="e">
        <f ca="1">SQRT($B$9*AVERAGE((Q1173:OFFSET(Q1173,$B$6-1,0))))</f>
        <v>#DIV/0!</v>
      </c>
      <c r="T1173" s="5" t="e">
        <f ca="1">SQRT($B$9*AVERAGE((Q1173:OFFSET(Q1173,$B$7-1,0))))</f>
        <v>#DIV/0!</v>
      </c>
      <c r="U1173" s="5" t="e">
        <f ca="1">SQRT($B$9*AVERAGE((Q1173:OFFSET(Q1173,$B$8-1,0))))</f>
        <v>#DIV/0!</v>
      </c>
      <c r="W1173" s="6" t="e">
        <f t="shared" si="97"/>
        <v>#DIV/0!</v>
      </c>
      <c r="X1173" s="6" t="e">
        <f ca="1">SQRT($B$9*AVERAGE(W1173:OFFSET(W1173,$B$5-1,0)))</f>
        <v>#DIV/0!</v>
      </c>
      <c r="Y1173" s="6" t="e">
        <f ca="1">SQRT($B$9*AVERAGE(W1173:OFFSET(W1173,$B$6-1,0)))</f>
        <v>#DIV/0!</v>
      </c>
      <c r="Z1173" s="6" t="e">
        <f ca="1">SQRT($B$9*AVERAGE(W1173:OFFSET(W1173,$B$7-1,0)))</f>
        <v>#DIV/0!</v>
      </c>
      <c r="AA1173" s="6" t="e">
        <f ca="1">SQRT($B$9*AVERAGE(W1173:OFFSET(W1173,$B$8-1,0)))</f>
        <v>#DIV/0!</v>
      </c>
      <c r="AC1173" s="34" t="e">
        <f t="shared" si="100"/>
        <v>#DIV/0!</v>
      </c>
      <c r="AD1173" s="34" t="e">
        <f ca="1">SQRT($B$9*SUM(AC1173:OFFSET(AC1173,$B$5-1,0))/($B$5-1))</f>
        <v>#DIV/0!</v>
      </c>
      <c r="AE1173" s="34" t="e">
        <f ca="1">SQRT($B$9*SUM(AC1173:OFFSET(AC1173,$B$6-1,0))/($B$6-1))</f>
        <v>#DIV/0!</v>
      </c>
      <c r="AF1173" s="34" t="e">
        <f ca="1">SQRT($B$9*SUM(AC1173:OFFSET(AC1173,$B$7-1,0))/($B$7-1))</f>
        <v>#DIV/0!</v>
      </c>
      <c r="AG1173" s="34" t="e">
        <f ca="1">SQRT($B$9*SUM(AC1173:OFFSET(AC1173,$B$8-1,0))/($B$8-1))</f>
        <v>#DIV/0!</v>
      </c>
      <c r="AI1173" s="1" t="e">
        <f t="shared" si="101"/>
        <v>#DIV/0!</v>
      </c>
      <c r="AJ1173" s="4" t="e">
        <f ca="1">SQRT($B$9)*_xlfn.STDEV.S(AI1173:OFFSET(AI1173,$B$5-1,0))</f>
        <v>#DIV/0!</v>
      </c>
      <c r="AK1173" s="4" t="e">
        <f ca="1">SQRT($B$9)*_xlfn.STDEV.S(AI1173:OFFSET(AI1173,$B$6-1,0))</f>
        <v>#DIV/0!</v>
      </c>
      <c r="AL1173" s="4" t="e">
        <f ca="1">SQRT($B$9)*_xlfn.STDEV.S(AI1173:OFFSET(AI1173,$B$7-1,0))</f>
        <v>#DIV/0!</v>
      </c>
      <c r="AM1173" s="4" t="e">
        <f ca="1">SQRT($B$9)*_xlfn.STDEV.S(AI1173:OFFSET(AI1173,$B$8-1,0))</f>
        <v>#DIV/0!</v>
      </c>
    </row>
    <row r="1174" spans="11:39" x14ac:dyDescent="0.2">
      <c r="K1174" s="3" t="e">
        <f t="shared" si="99"/>
        <v>#DIV/0!</v>
      </c>
      <c r="L1174" s="3" t="e">
        <f ca="1">SQRT(AVERAGE(K1174:OFFSET(K1174,$B$5-1,0))*$B$9/(4*LN(2)))</f>
        <v>#DIV/0!</v>
      </c>
      <c r="M1174" s="3" t="e">
        <f ca="1">SQRT(AVERAGE(K1174:OFFSET(K1174,$B$6-1,0))*$B$9/(4*LN(2)))</f>
        <v>#DIV/0!</v>
      </c>
      <c r="N1174" s="3" t="e">
        <f ca="1">SQRT(AVERAGE(K1174:OFFSET(K1174,$B$7-1,0))*$B$9/(4*LN(2)))</f>
        <v>#DIV/0!</v>
      </c>
      <c r="O1174" s="3" t="e">
        <f ca="1">SQRT(AVERAGE(K1174:OFFSET(K1174,$B$8-1,0))*$B$9/(4*LN(2)))</f>
        <v>#DIV/0!</v>
      </c>
      <c r="Q1174" s="5" t="e">
        <f t="shared" si="98"/>
        <v>#DIV/0!</v>
      </c>
      <c r="R1174" s="5" t="e">
        <f ca="1">SQRT($B$9*AVERAGE((Q1174:OFFSET(Q1174,$B$5-1,0))))</f>
        <v>#DIV/0!</v>
      </c>
      <c r="S1174" s="5" t="e">
        <f ca="1">SQRT($B$9*AVERAGE((Q1174:OFFSET(Q1174,$B$6-1,0))))</f>
        <v>#DIV/0!</v>
      </c>
      <c r="T1174" s="5" t="e">
        <f ca="1">SQRT($B$9*AVERAGE((Q1174:OFFSET(Q1174,$B$7-1,0))))</f>
        <v>#DIV/0!</v>
      </c>
      <c r="U1174" s="5" t="e">
        <f ca="1">SQRT($B$9*AVERAGE((Q1174:OFFSET(Q1174,$B$8-1,0))))</f>
        <v>#DIV/0!</v>
      </c>
      <c r="W1174" s="6" t="e">
        <f t="shared" si="97"/>
        <v>#DIV/0!</v>
      </c>
      <c r="X1174" s="6" t="e">
        <f ca="1">SQRT($B$9*AVERAGE(W1174:OFFSET(W1174,$B$5-1,0)))</f>
        <v>#DIV/0!</v>
      </c>
      <c r="Y1174" s="6" t="e">
        <f ca="1">SQRT($B$9*AVERAGE(W1174:OFFSET(W1174,$B$6-1,0)))</f>
        <v>#DIV/0!</v>
      </c>
      <c r="Z1174" s="6" t="e">
        <f ca="1">SQRT($B$9*AVERAGE(W1174:OFFSET(W1174,$B$7-1,0)))</f>
        <v>#DIV/0!</v>
      </c>
      <c r="AA1174" s="6" t="e">
        <f ca="1">SQRT($B$9*AVERAGE(W1174:OFFSET(W1174,$B$8-1,0)))</f>
        <v>#DIV/0!</v>
      </c>
      <c r="AC1174" s="34" t="e">
        <f t="shared" si="100"/>
        <v>#DIV/0!</v>
      </c>
      <c r="AD1174" s="34" t="e">
        <f ca="1">SQRT($B$9*SUM(AC1174:OFFSET(AC1174,$B$5-1,0))/($B$5-1))</f>
        <v>#DIV/0!</v>
      </c>
      <c r="AE1174" s="34" t="e">
        <f ca="1">SQRT($B$9*SUM(AC1174:OFFSET(AC1174,$B$6-1,0))/($B$6-1))</f>
        <v>#DIV/0!</v>
      </c>
      <c r="AF1174" s="34" t="e">
        <f ca="1">SQRT($B$9*SUM(AC1174:OFFSET(AC1174,$B$7-1,0))/($B$7-1))</f>
        <v>#DIV/0!</v>
      </c>
      <c r="AG1174" s="34" t="e">
        <f ca="1">SQRT($B$9*SUM(AC1174:OFFSET(AC1174,$B$8-1,0))/($B$8-1))</f>
        <v>#DIV/0!</v>
      </c>
      <c r="AI1174" s="1" t="e">
        <f t="shared" si="101"/>
        <v>#DIV/0!</v>
      </c>
      <c r="AJ1174" s="4" t="e">
        <f ca="1">SQRT($B$9)*_xlfn.STDEV.S(AI1174:OFFSET(AI1174,$B$5-1,0))</f>
        <v>#DIV/0!</v>
      </c>
      <c r="AK1174" s="4" t="e">
        <f ca="1">SQRT($B$9)*_xlfn.STDEV.S(AI1174:OFFSET(AI1174,$B$6-1,0))</f>
        <v>#DIV/0!</v>
      </c>
      <c r="AL1174" s="4" t="e">
        <f ca="1">SQRT($B$9)*_xlfn.STDEV.S(AI1174:OFFSET(AI1174,$B$7-1,0))</f>
        <v>#DIV/0!</v>
      </c>
      <c r="AM1174" s="4" t="e">
        <f ca="1">SQRT($B$9)*_xlfn.STDEV.S(AI1174:OFFSET(AI1174,$B$8-1,0))</f>
        <v>#DIV/0!</v>
      </c>
    </row>
    <row r="1175" spans="11:39" x14ac:dyDescent="0.2">
      <c r="K1175" s="3" t="e">
        <f t="shared" si="99"/>
        <v>#DIV/0!</v>
      </c>
      <c r="L1175" s="3" t="e">
        <f ca="1">SQRT(AVERAGE(K1175:OFFSET(K1175,$B$5-1,0))*$B$9/(4*LN(2)))</f>
        <v>#DIV/0!</v>
      </c>
      <c r="M1175" s="3" t="e">
        <f ca="1">SQRT(AVERAGE(K1175:OFFSET(K1175,$B$6-1,0))*$B$9/(4*LN(2)))</f>
        <v>#DIV/0!</v>
      </c>
      <c r="N1175" s="3" t="e">
        <f ca="1">SQRT(AVERAGE(K1175:OFFSET(K1175,$B$7-1,0))*$B$9/(4*LN(2)))</f>
        <v>#DIV/0!</v>
      </c>
      <c r="O1175" s="3" t="e">
        <f ca="1">SQRT(AVERAGE(K1175:OFFSET(K1175,$B$8-1,0))*$B$9/(4*LN(2)))</f>
        <v>#DIV/0!</v>
      </c>
      <c r="Q1175" s="5" t="e">
        <f t="shared" si="98"/>
        <v>#DIV/0!</v>
      </c>
      <c r="R1175" s="5" t="e">
        <f ca="1">SQRT($B$9*AVERAGE((Q1175:OFFSET(Q1175,$B$5-1,0))))</f>
        <v>#DIV/0!</v>
      </c>
      <c r="S1175" s="5" t="e">
        <f ca="1">SQRT($B$9*AVERAGE((Q1175:OFFSET(Q1175,$B$6-1,0))))</f>
        <v>#DIV/0!</v>
      </c>
      <c r="T1175" s="5" t="e">
        <f ca="1">SQRT($B$9*AVERAGE((Q1175:OFFSET(Q1175,$B$7-1,0))))</f>
        <v>#DIV/0!</v>
      </c>
      <c r="U1175" s="5" t="e">
        <f ca="1">SQRT($B$9*AVERAGE((Q1175:OFFSET(Q1175,$B$8-1,0))))</f>
        <v>#DIV/0!</v>
      </c>
      <c r="W1175" s="6" t="e">
        <f t="shared" si="97"/>
        <v>#DIV/0!</v>
      </c>
      <c r="X1175" s="6" t="e">
        <f ca="1">SQRT($B$9*AVERAGE(W1175:OFFSET(W1175,$B$5-1,0)))</f>
        <v>#DIV/0!</v>
      </c>
      <c r="Y1175" s="6" t="e">
        <f ca="1">SQRT($B$9*AVERAGE(W1175:OFFSET(W1175,$B$6-1,0)))</f>
        <v>#DIV/0!</v>
      </c>
      <c r="Z1175" s="6" t="e">
        <f ca="1">SQRT($B$9*AVERAGE(W1175:OFFSET(W1175,$B$7-1,0)))</f>
        <v>#DIV/0!</v>
      </c>
      <c r="AA1175" s="6" t="e">
        <f ca="1">SQRT($B$9*AVERAGE(W1175:OFFSET(W1175,$B$8-1,0)))</f>
        <v>#DIV/0!</v>
      </c>
      <c r="AC1175" s="34" t="e">
        <f t="shared" si="100"/>
        <v>#DIV/0!</v>
      </c>
      <c r="AD1175" s="34" t="e">
        <f ca="1">SQRT($B$9*SUM(AC1175:OFFSET(AC1175,$B$5-1,0))/($B$5-1))</f>
        <v>#DIV/0!</v>
      </c>
      <c r="AE1175" s="34" t="e">
        <f ca="1">SQRT($B$9*SUM(AC1175:OFFSET(AC1175,$B$6-1,0))/($B$6-1))</f>
        <v>#DIV/0!</v>
      </c>
      <c r="AF1175" s="34" t="e">
        <f ca="1">SQRT($B$9*SUM(AC1175:OFFSET(AC1175,$B$7-1,0))/($B$7-1))</f>
        <v>#DIV/0!</v>
      </c>
      <c r="AG1175" s="34" t="e">
        <f ca="1">SQRT($B$9*SUM(AC1175:OFFSET(AC1175,$B$8-1,0))/($B$8-1))</f>
        <v>#DIV/0!</v>
      </c>
      <c r="AI1175" s="1" t="e">
        <f t="shared" si="101"/>
        <v>#DIV/0!</v>
      </c>
      <c r="AJ1175" s="4" t="e">
        <f ca="1">SQRT($B$9)*_xlfn.STDEV.S(AI1175:OFFSET(AI1175,$B$5-1,0))</f>
        <v>#DIV/0!</v>
      </c>
      <c r="AK1175" s="4" t="e">
        <f ca="1">SQRT($B$9)*_xlfn.STDEV.S(AI1175:OFFSET(AI1175,$B$6-1,0))</f>
        <v>#DIV/0!</v>
      </c>
      <c r="AL1175" s="4" t="e">
        <f ca="1">SQRT($B$9)*_xlfn.STDEV.S(AI1175:OFFSET(AI1175,$B$7-1,0))</f>
        <v>#DIV/0!</v>
      </c>
      <c r="AM1175" s="4" t="e">
        <f ca="1">SQRT($B$9)*_xlfn.STDEV.S(AI1175:OFFSET(AI1175,$B$8-1,0))</f>
        <v>#DIV/0!</v>
      </c>
    </row>
    <row r="1176" spans="11:39" x14ac:dyDescent="0.2">
      <c r="K1176" s="3" t="e">
        <f t="shared" si="99"/>
        <v>#DIV/0!</v>
      </c>
      <c r="L1176" s="3" t="e">
        <f ca="1">SQRT(AVERAGE(K1176:OFFSET(K1176,$B$5-1,0))*$B$9/(4*LN(2)))</f>
        <v>#DIV/0!</v>
      </c>
      <c r="M1176" s="3" t="e">
        <f ca="1">SQRT(AVERAGE(K1176:OFFSET(K1176,$B$6-1,0))*$B$9/(4*LN(2)))</f>
        <v>#DIV/0!</v>
      </c>
      <c r="N1176" s="3" t="e">
        <f ca="1">SQRT(AVERAGE(K1176:OFFSET(K1176,$B$7-1,0))*$B$9/(4*LN(2)))</f>
        <v>#DIV/0!</v>
      </c>
      <c r="O1176" s="3" t="e">
        <f ca="1">SQRT(AVERAGE(K1176:OFFSET(K1176,$B$8-1,0))*$B$9/(4*LN(2)))</f>
        <v>#DIV/0!</v>
      </c>
      <c r="Q1176" s="5" t="e">
        <f t="shared" si="98"/>
        <v>#DIV/0!</v>
      </c>
      <c r="R1176" s="5" t="e">
        <f ca="1">SQRT($B$9*AVERAGE((Q1176:OFFSET(Q1176,$B$5-1,0))))</f>
        <v>#DIV/0!</v>
      </c>
      <c r="S1176" s="5" t="e">
        <f ca="1">SQRT($B$9*AVERAGE((Q1176:OFFSET(Q1176,$B$6-1,0))))</f>
        <v>#DIV/0!</v>
      </c>
      <c r="T1176" s="5" t="e">
        <f ca="1">SQRT($B$9*AVERAGE((Q1176:OFFSET(Q1176,$B$7-1,0))))</f>
        <v>#DIV/0!</v>
      </c>
      <c r="U1176" s="5" t="e">
        <f ca="1">SQRT($B$9*AVERAGE((Q1176:OFFSET(Q1176,$B$8-1,0))))</f>
        <v>#DIV/0!</v>
      </c>
      <c r="W1176" s="6" t="e">
        <f t="shared" si="97"/>
        <v>#DIV/0!</v>
      </c>
      <c r="X1176" s="6" t="e">
        <f ca="1">SQRT($B$9*AVERAGE(W1176:OFFSET(W1176,$B$5-1,0)))</f>
        <v>#DIV/0!</v>
      </c>
      <c r="Y1176" s="6" t="e">
        <f ca="1">SQRT($B$9*AVERAGE(W1176:OFFSET(W1176,$B$6-1,0)))</f>
        <v>#DIV/0!</v>
      </c>
      <c r="Z1176" s="6" t="e">
        <f ca="1">SQRT($B$9*AVERAGE(W1176:OFFSET(W1176,$B$7-1,0)))</f>
        <v>#DIV/0!</v>
      </c>
      <c r="AA1176" s="6" t="e">
        <f ca="1">SQRT($B$9*AVERAGE(W1176:OFFSET(W1176,$B$8-1,0)))</f>
        <v>#DIV/0!</v>
      </c>
      <c r="AC1176" s="34" t="e">
        <f t="shared" si="100"/>
        <v>#DIV/0!</v>
      </c>
      <c r="AD1176" s="34" t="e">
        <f ca="1">SQRT($B$9*SUM(AC1176:OFFSET(AC1176,$B$5-1,0))/($B$5-1))</f>
        <v>#DIV/0!</v>
      </c>
      <c r="AE1176" s="34" t="e">
        <f ca="1">SQRT($B$9*SUM(AC1176:OFFSET(AC1176,$B$6-1,0))/($B$6-1))</f>
        <v>#DIV/0!</v>
      </c>
      <c r="AF1176" s="34" t="e">
        <f ca="1">SQRT($B$9*SUM(AC1176:OFFSET(AC1176,$B$7-1,0))/($B$7-1))</f>
        <v>#DIV/0!</v>
      </c>
      <c r="AG1176" s="34" t="e">
        <f ca="1">SQRT($B$9*SUM(AC1176:OFFSET(AC1176,$B$8-1,0))/($B$8-1))</f>
        <v>#DIV/0!</v>
      </c>
      <c r="AI1176" s="1" t="e">
        <f t="shared" si="101"/>
        <v>#DIV/0!</v>
      </c>
      <c r="AJ1176" s="4" t="e">
        <f ca="1">SQRT($B$9)*_xlfn.STDEV.S(AI1176:OFFSET(AI1176,$B$5-1,0))</f>
        <v>#DIV/0!</v>
      </c>
      <c r="AK1176" s="4" t="e">
        <f ca="1">SQRT($B$9)*_xlfn.STDEV.S(AI1176:OFFSET(AI1176,$B$6-1,0))</f>
        <v>#DIV/0!</v>
      </c>
      <c r="AL1176" s="4" t="e">
        <f ca="1">SQRT($B$9)*_xlfn.STDEV.S(AI1176:OFFSET(AI1176,$B$7-1,0))</f>
        <v>#DIV/0!</v>
      </c>
      <c r="AM1176" s="4" t="e">
        <f ca="1">SQRT($B$9)*_xlfn.STDEV.S(AI1176:OFFSET(AI1176,$B$8-1,0))</f>
        <v>#DIV/0!</v>
      </c>
    </row>
    <row r="1177" spans="11:39" x14ac:dyDescent="0.2">
      <c r="K1177" s="3" t="e">
        <f t="shared" si="99"/>
        <v>#DIV/0!</v>
      </c>
      <c r="L1177" s="3" t="e">
        <f ca="1">SQRT(AVERAGE(K1177:OFFSET(K1177,$B$5-1,0))*$B$9/(4*LN(2)))</f>
        <v>#DIV/0!</v>
      </c>
      <c r="M1177" s="3" t="e">
        <f ca="1">SQRT(AVERAGE(K1177:OFFSET(K1177,$B$6-1,0))*$B$9/(4*LN(2)))</f>
        <v>#DIV/0!</v>
      </c>
      <c r="N1177" s="3" t="e">
        <f ca="1">SQRT(AVERAGE(K1177:OFFSET(K1177,$B$7-1,0))*$B$9/(4*LN(2)))</f>
        <v>#DIV/0!</v>
      </c>
      <c r="O1177" s="3" t="e">
        <f ca="1">SQRT(AVERAGE(K1177:OFFSET(K1177,$B$8-1,0))*$B$9/(4*LN(2)))</f>
        <v>#DIV/0!</v>
      </c>
      <c r="Q1177" s="5" t="e">
        <f t="shared" si="98"/>
        <v>#DIV/0!</v>
      </c>
      <c r="R1177" s="5" t="e">
        <f ca="1">SQRT($B$9*AVERAGE((Q1177:OFFSET(Q1177,$B$5-1,0))))</f>
        <v>#DIV/0!</v>
      </c>
      <c r="S1177" s="5" t="e">
        <f ca="1">SQRT($B$9*AVERAGE((Q1177:OFFSET(Q1177,$B$6-1,0))))</f>
        <v>#DIV/0!</v>
      </c>
      <c r="T1177" s="5" t="e">
        <f ca="1">SQRT($B$9*AVERAGE((Q1177:OFFSET(Q1177,$B$7-1,0))))</f>
        <v>#DIV/0!</v>
      </c>
      <c r="U1177" s="5" t="e">
        <f ca="1">SQRT($B$9*AVERAGE((Q1177:OFFSET(Q1177,$B$8-1,0))))</f>
        <v>#DIV/0!</v>
      </c>
      <c r="W1177" s="6" t="e">
        <f t="shared" si="97"/>
        <v>#DIV/0!</v>
      </c>
      <c r="X1177" s="6" t="e">
        <f ca="1">SQRT($B$9*AVERAGE(W1177:OFFSET(W1177,$B$5-1,0)))</f>
        <v>#DIV/0!</v>
      </c>
      <c r="Y1177" s="6" t="e">
        <f ca="1">SQRT($B$9*AVERAGE(W1177:OFFSET(W1177,$B$6-1,0)))</f>
        <v>#DIV/0!</v>
      </c>
      <c r="Z1177" s="6" t="e">
        <f ca="1">SQRT($B$9*AVERAGE(W1177:OFFSET(W1177,$B$7-1,0)))</f>
        <v>#DIV/0!</v>
      </c>
      <c r="AA1177" s="6" t="e">
        <f ca="1">SQRT($B$9*AVERAGE(W1177:OFFSET(W1177,$B$8-1,0)))</f>
        <v>#DIV/0!</v>
      </c>
      <c r="AC1177" s="34" t="e">
        <f t="shared" si="100"/>
        <v>#DIV/0!</v>
      </c>
      <c r="AD1177" s="34" t="e">
        <f ca="1">SQRT($B$9*SUM(AC1177:OFFSET(AC1177,$B$5-1,0))/($B$5-1))</f>
        <v>#DIV/0!</v>
      </c>
      <c r="AE1177" s="34" t="e">
        <f ca="1">SQRT($B$9*SUM(AC1177:OFFSET(AC1177,$B$6-1,0))/($B$6-1))</f>
        <v>#DIV/0!</v>
      </c>
      <c r="AF1177" s="34" t="e">
        <f ca="1">SQRT($B$9*SUM(AC1177:OFFSET(AC1177,$B$7-1,0))/($B$7-1))</f>
        <v>#DIV/0!</v>
      </c>
      <c r="AG1177" s="34" t="e">
        <f ca="1">SQRT($B$9*SUM(AC1177:OFFSET(AC1177,$B$8-1,0))/($B$8-1))</f>
        <v>#DIV/0!</v>
      </c>
      <c r="AI1177" s="1" t="e">
        <f t="shared" si="101"/>
        <v>#DIV/0!</v>
      </c>
      <c r="AJ1177" s="4" t="e">
        <f ca="1">SQRT($B$9)*_xlfn.STDEV.S(AI1177:OFFSET(AI1177,$B$5-1,0))</f>
        <v>#DIV/0!</v>
      </c>
      <c r="AK1177" s="4" t="e">
        <f ca="1">SQRT($B$9)*_xlfn.STDEV.S(AI1177:OFFSET(AI1177,$B$6-1,0))</f>
        <v>#DIV/0!</v>
      </c>
      <c r="AL1177" s="4" t="e">
        <f ca="1">SQRT($B$9)*_xlfn.STDEV.S(AI1177:OFFSET(AI1177,$B$7-1,0))</f>
        <v>#DIV/0!</v>
      </c>
      <c r="AM1177" s="4" t="e">
        <f ca="1">SQRT($B$9)*_xlfn.STDEV.S(AI1177:OFFSET(AI1177,$B$8-1,0))</f>
        <v>#DIV/0!</v>
      </c>
    </row>
    <row r="1178" spans="11:39" x14ac:dyDescent="0.2">
      <c r="K1178" s="3" t="e">
        <f t="shared" si="99"/>
        <v>#DIV/0!</v>
      </c>
      <c r="L1178" s="3" t="e">
        <f ca="1">SQRT(AVERAGE(K1178:OFFSET(K1178,$B$5-1,0))*$B$9/(4*LN(2)))</f>
        <v>#DIV/0!</v>
      </c>
      <c r="M1178" s="3" t="e">
        <f ca="1">SQRT(AVERAGE(K1178:OFFSET(K1178,$B$6-1,0))*$B$9/(4*LN(2)))</f>
        <v>#DIV/0!</v>
      </c>
      <c r="N1178" s="3" t="e">
        <f ca="1">SQRT(AVERAGE(K1178:OFFSET(K1178,$B$7-1,0))*$B$9/(4*LN(2)))</f>
        <v>#DIV/0!</v>
      </c>
      <c r="O1178" s="3" t="e">
        <f ca="1">SQRT(AVERAGE(K1178:OFFSET(K1178,$B$8-1,0))*$B$9/(4*LN(2)))</f>
        <v>#DIV/0!</v>
      </c>
      <c r="Q1178" s="5" t="e">
        <f t="shared" si="98"/>
        <v>#DIV/0!</v>
      </c>
      <c r="R1178" s="5" t="e">
        <f ca="1">SQRT($B$9*AVERAGE((Q1178:OFFSET(Q1178,$B$5-1,0))))</f>
        <v>#DIV/0!</v>
      </c>
      <c r="S1178" s="5" t="e">
        <f ca="1">SQRT($B$9*AVERAGE((Q1178:OFFSET(Q1178,$B$6-1,0))))</f>
        <v>#DIV/0!</v>
      </c>
      <c r="T1178" s="5" t="e">
        <f ca="1">SQRT($B$9*AVERAGE((Q1178:OFFSET(Q1178,$B$7-1,0))))</f>
        <v>#DIV/0!</v>
      </c>
      <c r="U1178" s="5" t="e">
        <f ca="1">SQRT($B$9*AVERAGE((Q1178:OFFSET(Q1178,$B$8-1,0))))</f>
        <v>#DIV/0!</v>
      </c>
      <c r="W1178" s="6" t="e">
        <f t="shared" si="97"/>
        <v>#DIV/0!</v>
      </c>
      <c r="X1178" s="6" t="e">
        <f ca="1">SQRT($B$9*AVERAGE(W1178:OFFSET(W1178,$B$5-1,0)))</f>
        <v>#DIV/0!</v>
      </c>
      <c r="Y1178" s="6" t="e">
        <f ca="1">SQRT($B$9*AVERAGE(W1178:OFFSET(W1178,$B$6-1,0)))</f>
        <v>#DIV/0!</v>
      </c>
      <c r="Z1178" s="6" t="e">
        <f ca="1">SQRT($B$9*AVERAGE(W1178:OFFSET(W1178,$B$7-1,0)))</f>
        <v>#DIV/0!</v>
      </c>
      <c r="AA1178" s="6" t="e">
        <f ca="1">SQRT($B$9*AVERAGE(W1178:OFFSET(W1178,$B$8-1,0)))</f>
        <v>#DIV/0!</v>
      </c>
      <c r="AC1178" s="34" t="e">
        <f t="shared" si="100"/>
        <v>#DIV/0!</v>
      </c>
      <c r="AD1178" s="34" t="e">
        <f ca="1">SQRT($B$9*SUM(AC1178:OFFSET(AC1178,$B$5-1,0))/($B$5-1))</f>
        <v>#DIV/0!</v>
      </c>
      <c r="AE1178" s="34" t="e">
        <f ca="1">SQRT($B$9*SUM(AC1178:OFFSET(AC1178,$B$6-1,0))/($B$6-1))</f>
        <v>#DIV/0!</v>
      </c>
      <c r="AF1178" s="34" t="e">
        <f ca="1">SQRT($B$9*SUM(AC1178:OFFSET(AC1178,$B$7-1,0))/($B$7-1))</f>
        <v>#DIV/0!</v>
      </c>
      <c r="AG1178" s="34" t="e">
        <f ca="1">SQRT($B$9*SUM(AC1178:OFFSET(AC1178,$B$8-1,0))/($B$8-1))</f>
        <v>#DIV/0!</v>
      </c>
      <c r="AI1178" s="1" t="e">
        <f t="shared" si="101"/>
        <v>#DIV/0!</v>
      </c>
      <c r="AJ1178" s="4" t="e">
        <f ca="1">SQRT($B$9)*_xlfn.STDEV.S(AI1178:OFFSET(AI1178,$B$5-1,0))</f>
        <v>#DIV/0!</v>
      </c>
      <c r="AK1178" s="4" t="e">
        <f ca="1">SQRT($B$9)*_xlfn.STDEV.S(AI1178:OFFSET(AI1178,$B$6-1,0))</f>
        <v>#DIV/0!</v>
      </c>
      <c r="AL1178" s="4" t="e">
        <f ca="1">SQRT($B$9)*_xlfn.STDEV.S(AI1178:OFFSET(AI1178,$B$7-1,0))</f>
        <v>#DIV/0!</v>
      </c>
      <c r="AM1178" s="4" t="e">
        <f ca="1">SQRT($B$9)*_xlfn.STDEV.S(AI1178:OFFSET(AI1178,$B$8-1,0))</f>
        <v>#DIV/0!</v>
      </c>
    </row>
    <row r="1179" spans="11:39" x14ac:dyDescent="0.2">
      <c r="K1179" s="3" t="e">
        <f t="shared" si="99"/>
        <v>#DIV/0!</v>
      </c>
      <c r="L1179" s="3" t="e">
        <f ca="1">SQRT(AVERAGE(K1179:OFFSET(K1179,$B$5-1,0))*$B$9/(4*LN(2)))</f>
        <v>#DIV/0!</v>
      </c>
      <c r="M1179" s="3" t="e">
        <f ca="1">SQRT(AVERAGE(K1179:OFFSET(K1179,$B$6-1,0))*$B$9/(4*LN(2)))</f>
        <v>#DIV/0!</v>
      </c>
      <c r="N1179" s="3" t="e">
        <f ca="1">SQRT(AVERAGE(K1179:OFFSET(K1179,$B$7-1,0))*$B$9/(4*LN(2)))</f>
        <v>#DIV/0!</v>
      </c>
      <c r="O1179" s="3" t="e">
        <f ca="1">SQRT(AVERAGE(K1179:OFFSET(K1179,$B$8-1,0))*$B$9/(4*LN(2)))</f>
        <v>#DIV/0!</v>
      </c>
      <c r="Q1179" s="5" t="e">
        <f t="shared" si="98"/>
        <v>#DIV/0!</v>
      </c>
      <c r="R1179" s="5" t="e">
        <f ca="1">SQRT($B$9*AVERAGE((Q1179:OFFSET(Q1179,$B$5-1,0))))</f>
        <v>#DIV/0!</v>
      </c>
      <c r="S1179" s="5" t="e">
        <f ca="1">SQRT($B$9*AVERAGE((Q1179:OFFSET(Q1179,$B$6-1,0))))</f>
        <v>#DIV/0!</v>
      </c>
      <c r="T1179" s="5" t="e">
        <f ca="1">SQRT($B$9*AVERAGE((Q1179:OFFSET(Q1179,$B$7-1,0))))</f>
        <v>#DIV/0!</v>
      </c>
      <c r="U1179" s="5" t="e">
        <f ca="1">SQRT($B$9*AVERAGE((Q1179:OFFSET(Q1179,$B$8-1,0))))</f>
        <v>#DIV/0!</v>
      </c>
      <c r="W1179" s="6" t="e">
        <f t="shared" si="97"/>
        <v>#DIV/0!</v>
      </c>
      <c r="X1179" s="6" t="e">
        <f ca="1">SQRT($B$9*AVERAGE(W1179:OFFSET(W1179,$B$5-1,0)))</f>
        <v>#DIV/0!</v>
      </c>
      <c r="Y1179" s="6" t="e">
        <f ca="1">SQRT($B$9*AVERAGE(W1179:OFFSET(W1179,$B$6-1,0)))</f>
        <v>#DIV/0!</v>
      </c>
      <c r="Z1179" s="6" t="e">
        <f ca="1">SQRT($B$9*AVERAGE(W1179:OFFSET(W1179,$B$7-1,0)))</f>
        <v>#DIV/0!</v>
      </c>
      <c r="AA1179" s="6" t="e">
        <f ca="1">SQRT($B$9*AVERAGE(W1179:OFFSET(W1179,$B$8-1,0)))</f>
        <v>#DIV/0!</v>
      </c>
      <c r="AC1179" s="34" t="e">
        <f t="shared" si="100"/>
        <v>#DIV/0!</v>
      </c>
      <c r="AD1179" s="34" t="e">
        <f ca="1">SQRT($B$9*SUM(AC1179:OFFSET(AC1179,$B$5-1,0))/($B$5-1))</f>
        <v>#DIV/0!</v>
      </c>
      <c r="AE1179" s="34" t="e">
        <f ca="1">SQRT($B$9*SUM(AC1179:OFFSET(AC1179,$B$6-1,0))/($B$6-1))</f>
        <v>#DIV/0!</v>
      </c>
      <c r="AF1179" s="34" t="e">
        <f ca="1">SQRT($B$9*SUM(AC1179:OFFSET(AC1179,$B$7-1,0))/($B$7-1))</f>
        <v>#DIV/0!</v>
      </c>
      <c r="AG1179" s="34" t="e">
        <f ca="1">SQRT($B$9*SUM(AC1179:OFFSET(AC1179,$B$8-1,0))/($B$8-1))</f>
        <v>#DIV/0!</v>
      </c>
      <c r="AI1179" s="1" t="e">
        <f t="shared" si="101"/>
        <v>#DIV/0!</v>
      </c>
      <c r="AJ1179" s="4" t="e">
        <f ca="1">SQRT($B$9)*_xlfn.STDEV.S(AI1179:OFFSET(AI1179,$B$5-1,0))</f>
        <v>#DIV/0!</v>
      </c>
      <c r="AK1179" s="4" t="e">
        <f ca="1">SQRT($B$9)*_xlfn.STDEV.S(AI1179:OFFSET(AI1179,$B$6-1,0))</f>
        <v>#DIV/0!</v>
      </c>
      <c r="AL1179" s="4" t="e">
        <f ca="1">SQRT($B$9)*_xlfn.STDEV.S(AI1179:OFFSET(AI1179,$B$7-1,0))</f>
        <v>#DIV/0!</v>
      </c>
      <c r="AM1179" s="4" t="e">
        <f ca="1">SQRT($B$9)*_xlfn.STDEV.S(AI1179:OFFSET(AI1179,$B$8-1,0))</f>
        <v>#DIV/0!</v>
      </c>
    </row>
    <row r="1180" spans="11:39" x14ac:dyDescent="0.2">
      <c r="K1180" s="3" t="e">
        <f t="shared" si="99"/>
        <v>#DIV/0!</v>
      </c>
      <c r="L1180" s="3" t="e">
        <f ca="1">SQRT(AVERAGE(K1180:OFFSET(K1180,$B$5-1,0))*$B$9/(4*LN(2)))</f>
        <v>#DIV/0!</v>
      </c>
      <c r="M1180" s="3" t="e">
        <f ca="1">SQRT(AVERAGE(K1180:OFFSET(K1180,$B$6-1,0))*$B$9/(4*LN(2)))</f>
        <v>#DIV/0!</v>
      </c>
      <c r="N1180" s="3" t="e">
        <f ca="1">SQRT(AVERAGE(K1180:OFFSET(K1180,$B$7-1,0))*$B$9/(4*LN(2)))</f>
        <v>#DIV/0!</v>
      </c>
      <c r="O1180" s="3" t="e">
        <f ca="1">SQRT(AVERAGE(K1180:OFFSET(K1180,$B$8-1,0))*$B$9/(4*LN(2)))</f>
        <v>#DIV/0!</v>
      </c>
      <c r="Q1180" s="5" t="e">
        <f t="shared" si="98"/>
        <v>#DIV/0!</v>
      </c>
      <c r="R1180" s="5" t="e">
        <f ca="1">SQRT($B$9*AVERAGE((Q1180:OFFSET(Q1180,$B$5-1,0))))</f>
        <v>#DIV/0!</v>
      </c>
      <c r="S1180" s="5" t="e">
        <f ca="1">SQRT($B$9*AVERAGE((Q1180:OFFSET(Q1180,$B$6-1,0))))</f>
        <v>#DIV/0!</v>
      </c>
      <c r="T1180" s="5" t="e">
        <f ca="1">SQRT($B$9*AVERAGE((Q1180:OFFSET(Q1180,$B$7-1,0))))</f>
        <v>#DIV/0!</v>
      </c>
      <c r="U1180" s="5" t="e">
        <f ca="1">SQRT($B$9*AVERAGE((Q1180:OFFSET(Q1180,$B$8-1,0))))</f>
        <v>#DIV/0!</v>
      </c>
      <c r="W1180" s="6" t="e">
        <f t="shared" si="97"/>
        <v>#DIV/0!</v>
      </c>
      <c r="X1180" s="6" t="e">
        <f ca="1">SQRT($B$9*AVERAGE(W1180:OFFSET(W1180,$B$5-1,0)))</f>
        <v>#DIV/0!</v>
      </c>
      <c r="Y1180" s="6" t="e">
        <f ca="1">SQRT($B$9*AVERAGE(W1180:OFFSET(W1180,$B$6-1,0)))</f>
        <v>#DIV/0!</v>
      </c>
      <c r="Z1180" s="6" t="e">
        <f ca="1">SQRT($B$9*AVERAGE(W1180:OFFSET(W1180,$B$7-1,0)))</f>
        <v>#DIV/0!</v>
      </c>
      <c r="AA1180" s="6" t="e">
        <f ca="1">SQRT($B$9*AVERAGE(W1180:OFFSET(W1180,$B$8-1,0)))</f>
        <v>#DIV/0!</v>
      </c>
      <c r="AC1180" s="34" t="e">
        <f t="shared" si="100"/>
        <v>#DIV/0!</v>
      </c>
      <c r="AD1180" s="34" t="e">
        <f ca="1">SQRT($B$9*SUM(AC1180:OFFSET(AC1180,$B$5-1,0))/($B$5-1))</f>
        <v>#DIV/0!</v>
      </c>
      <c r="AE1180" s="34" t="e">
        <f ca="1">SQRT($B$9*SUM(AC1180:OFFSET(AC1180,$B$6-1,0))/($B$6-1))</f>
        <v>#DIV/0!</v>
      </c>
      <c r="AF1180" s="34" t="e">
        <f ca="1">SQRT($B$9*SUM(AC1180:OFFSET(AC1180,$B$7-1,0))/($B$7-1))</f>
        <v>#DIV/0!</v>
      </c>
      <c r="AG1180" s="34" t="e">
        <f ca="1">SQRT($B$9*SUM(AC1180:OFFSET(AC1180,$B$8-1,0))/($B$8-1))</f>
        <v>#DIV/0!</v>
      </c>
      <c r="AI1180" s="1" t="e">
        <f t="shared" si="101"/>
        <v>#DIV/0!</v>
      </c>
      <c r="AJ1180" s="4" t="e">
        <f ca="1">SQRT($B$9)*_xlfn.STDEV.S(AI1180:OFFSET(AI1180,$B$5-1,0))</f>
        <v>#DIV/0!</v>
      </c>
      <c r="AK1180" s="4" t="e">
        <f ca="1">SQRT($B$9)*_xlfn.STDEV.S(AI1180:OFFSET(AI1180,$B$6-1,0))</f>
        <v>#DIV/0!</v>
      </c>
      <c r="AL1180" s="4" t="e">
        <f ca="1">SQRT($B$9)*_xlfn.STDEV.S(AI1180:OFFSET(AI1180,$B$7-1,0))</f>
        <v>#DIV/0!</v>
      </c>
      <c r="AM1180" s="4" t="e">
        <f ca="1">SQRT($B$9)*_xlfn.STDEV.S(AI1180:OFFSET(AI1180,$B$8-1,0))</f>
        <v>#DIV/0!</v>
      </c>
    </row>
    <row r="1181" spans="11:39" x14ac:dyDescent="0.2">
      <c r="K1181" s="3" t="e">
        <f t="shared" si="99"/>
        <v>#DIV/0!</v>
      </c>
      <c r="L1181" s="3" t="e">
        <f ca="1">SQRT(AVERAGE(K1181:OFFSET(K1181,$B$5-1,0))*$B$9/(4*LN(2)))</f>
        <v>#DIV/0!</v>
      </c>
      <c r="M1181" s="3" t="e">
        <f ca="1">SQRT(AVERAGE(K1181:OFFSET(K1181,$B$6-1,0))*$B$9/(4*LN(2)))</f>
        <v>#DIV/0!</v>
      </c>
      <c r="N1181" s="3" t="e">
        <f ca="1">SQRT(AVERAGE(K1181:OFFSET(K1181,$B$7-1,0))*$B$9/(4*LN(2)))</f>
        <v>#DIV/0!</v>
      </c>
      <c r="O1181" s="3" t="e">
        <f ca="1">SQRT(AVERAGE(K1181:OFFSET(K1181,$B$8-1,0))*$B$9/(4*LN(2)))</f>
        <v>#DIV/0!</v>
      </c>
      <c r="Q1181" s="5" t="e">
        <f t="shared" si="98"/>
        <v>#DIV/0!</v>
      </c>
      <c r="R1181" s="5" t="e">
        <f ca="1">SQRT($B$9*AVERAGE((Q1181:OFFSET(Q1181,$B$5-1,0))))</f>
        <v>#DIV/0!</v>
      </c>
      <c r="S1181" s="5" t="e">
        <f ca="1">SQRT($B$9*AVERAGE((Q1181:OFFSET(Q1181,$B$6-1,0))))</f>
        <v>#DIV/0!</v>
      </c>
      <c r="T1181" s="5" t="e">
        <f ca="1">SQRT($B$9*AVERAGE((Q1181:OFFSET(Q1181,$B$7-1,0))))</f>
        <v>#DIV/0!</v>
      </c>
      <c r="U1181" s="5" t="e">
        <f ca="1">SQRT($B$9*AVERAGE((Q1181:OFFSET(Q1181,$B$8-1,0))))</f>
        <v>#DIV/0!</v>
      </c>
      <c r="W1181" s="6" t="e">
        <f t="shared" si="97"/>
        <v>#DIV/0!</v>
      </c>
      <c r="X1181" s="6" t="e">
        <f ca="1">SQRT($B$9*AVERAGE(W1181:OFFSET(W1181,$B$5-1,0)))</f>
        <v>#DIV/0!</v>
      </c>
      <c r="Y1181" s="6" t="e">
        <f ca="1">SQRT($B$9*AVERAGE(W1181:OFFSET(W1181,$B$6-1,0)))</f>
        <v>#DIV/0!</v>
      </c>
      <c r="Z1181" s="6" t="e">
        <f ca="1">SQRT($B$9*AVERAGE(W1181:OFFSET(W1181,$B$7-1,0)))</f>
        <v>#DIV/0!</v>
      </c>
      <c r="AA1181" s="6" t="e">
        <f ca="1">SQRT($B$9*AVERAGE(W1181:OFFSET(W1181,$B$8-1,0)))</f>
        <v>#DIV/0!</v>
      </c>
      <c r="AC1181" s="34" t="e">
        <f t="shared" si="100"/>
        <v>#DIV/0!</v>
      </c>
      <c r="AD1181" s="34" t="e">
        <f ca="1">SQRT($B$9*SUM(AC1181:OFFSET(AC1181,$B$5-1,0))/($B$5-1))</f>
        <v>#DIV/0!</v>
      </c>
      <c r="AE1181" s="34" t="e">
        <f ca="1">SQRT($B$9*SUM(AC1181:OFFSET(AC1181,$B$6-1,0))/($B$6-1))</f>
        <v>#DIV/0!</v>
      </c>
      <c r="AF1181" s="34" t="e">
        <f ca="1">SQRT($B$9*SUM(AC1181:OFFSET(AC1181,$B$7-1,0))/($B$7-1))</f>
        <v>#DIV/0!</v>
      </c>
      <c r="AG1181" s="34" t="e">
        <f ca="1">SQRT($B$9*SUM(AC1181:OFFSET(AC1181,$B$8-1,0))/($B$8-1))</f>
        <v>#DIV/0!</v>
      </c>
      <c r="AI1181" s="1" t="e">
        <f t="shared" si="101"/>
        <v>#DIV/0!</v>
      </c>
      <c r="AJ1181" s="4" t="e">
        <f ca="1">SQRT($B$9)*_xlfn.STDEV.S(AI1181:OFFSET(AI1181,$B$5-1,0))</f>
        <v>#DIV/0!</v>
      </c>
      <c r="AK1181" s="4" t="e">
        <f ca="1">SQRT($B$9)*_xlfn.STDEV.S(AI1181:OFFSET(AI1181,$B$6-1,0))</f>
        <v>#DIV/0!</v>
      </c>
      <c r="AL1181" s="4" t="e">
        <f ca="1">SQRT($B$9)*_xlfn.STDEV.S(AI1181:OFFSET(AI1181,$B$7-1,0))</f>
        <v>#DIV/0!</v>
      </c>
      <c r="AM1181" s="4" t="e">
        <f ca="1">SQRT($B$9)*_xlfn.STDEV.S(AI1181:OFFSET(AI1181,$B$8-1,0))</f>
        <v>#DIV/0!</v>
      </c>
    </row>
    <row r="1182" spans="11:39" x14ac:dyDescent="0.2">
      <c r="K1182" s="3" t="e">
        <f t="shared" si="99"/>
        <v>#DIV/0!</v>
      </c>
      <c r="L1182" s="3" t="e">
        <f ca="1">SQRT(AVERAGE(K1182:OFFSET(K1182,$B$5-1,0))*$B$9/(4*LN(2)))</f>
        <v>#DIV/0!</v>
      </c>
      <c r="M1182" s="3" t="e">
        <f ca="1">SQRT(AVERAGE(K1182:OFFSET(K1182,$B$6-1,0))*$B$9/(4*LN(2)))</f>
        <v>#DIV/0!</v>
      </c>
      <c r="N1182" s="3" t="e">
        <f ca="1">SQRT(AVERAGE(K1182:OFFSET(K1182,$B$7-1,0))*$B$9/(4*LN(2)))</f>
        <v>#DIV/0!</v>
      </c>
      <c r="O1182" s="3" t="e">
        <f ca="1">SQRT(AVERAGE(K1182:OFFSET(K1182,$B$8-1,0))*$B$9/(4*LN(2)))</f>
        <v>#DIV/0!</v>
      </c>
      <c r="Q1182" s="5" t="e">
        <f t="shared" si="98"/>
        <v>#DIV/0!</v>
      </c>
      <c r="R1182" s="5" t="e">
        <f ca="1">SQRT($B$9*AVERAGE((Q1182:OFFSET(Q1182,$B$5-1,0))))</f>
        <v>#DIV/0!</v>
      </c>
      <c r="S1182" s="5" t="e">
        <f ca="1">SQRT($B$9*AVERAGE((Q1182:OFFSET(Q1182,$B$6-1,0))))</f>
        <v>#DIV/0!</v>
      </c>
      <c r="T1182" s="5" t="e">
        <f ca="1">SQRT($B$9*AVERAGE((Q1182:OFFSET(Q1182,$B$7-1,0))))</f>
        <v>#DIV/0!</v>
      </c>
      <c r="U1182" s="5" t="e">
        <f ca="1">SQRT($B$9*AVERAGE((Q1182:OFFSET(Q1182,$B$8-1,0))))</f>
        <v>#DIV/0!</v>
      </c>
      <c r="W1182" s="6" t="e">
        <f t="shared" si="97"/>
        <v>#DIV/0!</v>
      </c>
      <c r="X1182" s="6" t="e">
        <f ca="1">SQRT($B$9*AVERAGE(W1182:OFFSET(W1182,$B$5-1,0)))</f>
        <v>#DIV/0!</v>
      </c>
      <c r="Y1182" s="6" t="e">
        <f ca="1">SQRT($B$9*AVERAGE(W1182:OFFSET(W1182,$B$6-1,0)))</f>
        <v>#DIV/0!</v>
      </c>
      <c r="Z1182" s="6" t="e">
        <f ca="1">SQRT($B$9*AVERAGE(W1182:OFFSET(W1182,$B$7-1,0)))</f>
        <v>#DIV/0!</v>
      </c>
      <c r="AA1182" s="6" t="e">
        <f ca="1">SQRT($B$9*AVERAGE(W1182:OFFSET(W1182,$B$8-1,0)))</f>
        <v>#DIV/0!</v>
      </c>
      <c r="AC1182" s="34" t="e">
        <f t="shared" si="100"/>
        <v>#DIV/0!</v>
      </c>
      <c r="AD1182" s="34" t="e">
        <f ca="1">SQRT($B$9*SUM(AC1182:OFFSET(AC1182,$B$5-1,0))/($B$5-1))</f>
        <v>#DIV/0!</v>
      </c>
      <c r="AE1182" s="34" t="e">
        <f ca="1">SQRT($B$9*SUM(AC1182:OFFSET(AC1182,$B$6-1,0))/($B$6-1))</f>
        <v>#DIV/0!</v>
      </c>
      <c r="AF1182" s="34" t="e">
        <f ca="1">SQRT($B$9*SUM(AC1182:OFFSET(AC1182,$B$7-1,0))/($B$7-1))</f>
        <v>#DIV/0!</v>
      </c>
      <c r="AG1182" s="34" t="e">
        <f ca="1">SQRT($B$9*SUM(AC1182:OFFSET(AC1182,$B$8-1,0))/($B$8-1))</f>
        <v>#DIV/0!</v>
      </c>
      <c r="AI1182" s="1" t="e">
        <f t="shared" si="101"/>
        <v>#DIV/0!</v>
      </c>
      <c r="AJ1182" s="4" t="e">
        <f ca="1">SQRT($B$9)*_xlfn.STDEV.S(AI1182:OFFSET(AI1182,$B$5-1,0))</f>
        <v>#DIV/0!</v>
      </c>
      <c r="AK1182" s="4" t="e">
        <f ca="1">SQRT($B$9)*_xlfn.STDEV.S(AI1182:OFFSET(AI1182,$B$6-1,0))</f>
        <v>#DIV/0!</v>
      </c>
      <c r="AL1182" s="4" t="e">
        <f ca="1">SQRT($B$9)*_xlfn.STDEV.S(AI1182:OFFSET(AI1182,$B$7-1,0))</f>
        <v>#DIV/0!</v>
      </c>
      <c r="AM1182" s="4" t="e">
        <f ca="1">SQRT($B$9)*_xlfn.STDEV.S(AI1182:OFFSET(AI1182,$B$8-1,0))</f>
        <v>#DIV/0!</v>
      </c>
    </row>
    <row r="1183" spans="11:39" x14ac:dyDescent="0.2">
      <c r="K1183" s="3" t="e">
        <f t="shared" si="99"/>
        <v>#DIV/0!</v>
      </c>
      <c r="L1183" s="3" t="e">
        <f ca="1">SQRT(AVERAGE(K1183:OFFSET(K1183,$B$5-1,0))*$B$9/(4*LN(2)))</f>
        <v>#DIV/0!</v>
      </c>
      <c r="M1183" s="3" t="e">
        <f ca="1">SQRT(AVERAGE(K1183:OFFSET(K1183,$B$6-1,0))*$B$9/(4*LN(2)))</f>
        <v>#DIV/0!</v>
      </c>
      <c r="N1183" s="3" t="e">
        <f ca="1">SQRT(AVERAGE(K1183:OFFSET(K1183,$B$7-1,0))*$B$9/(4*LN(2)))</f>
        <v>#DIV/0!</v>
      </c>
      <c r="O1183" s="3" t="e">
        <f ca="1">SQRT(AVERAGE(K1183:OFFSET(K1183,$B$8-1,0))*$B$9/(4*LN(2)))</f>
        <v>#DIV/0!</v>
      </c>
      <c r="Q1183" s="5" t="e">
        <f t="shared" si="98"/>
        <v>#DIV/0!</v>
      </c>
      <c r="R1183" s="5" t="e">
        <f ca="1">SQRT($B$9*AVERAGE((Q1183:OFFSET(Q1183,$B$5-1,0))))</f>
        <v>#DIV/0!</v>
      </c>
      <c r="S1183" s="5" t="e">
        <f ca="1">SQRT($B$9*AVERAGE((Q1183:OFFSET(Q1183,$B$6-1,0))))</f>
        <v>#DIV/0!</v>
      </c>
      <c r="T1183" s="5" t="e">
        <f ca="1">SQRT($B$9*AVERAGE((Q1183:OFFSET(Q1183,$B$7-1,0))))</f>
        <v>#DIV/0!</v>
      </c>
      <c r="U1183" s="5" t="e">
        <f ca="1">SQRT($B$9*AVERAGE((Q1183:OFFSET(Q1183,$B$8-1,0))))</f>
        <v>#DIV/0!</v>
      </c>
      <c r="W1183" s="6" t="e">
        <f t="shared" si="97"/>
        <v>#DIV/0!</v>
      </c>
      <c r="X1183" s="6" t="e">
        <f ca="1">SQRT($B$9*AVERAGE(W1183:OFFSET(W1183,$B$5-1,0)))</f>
        <v>#DIV/0!</v>
      </c>
      <c r="Y1183" s="6" t="e">
        <f ca="1">SQRT($B$9*AVERAGE(W1183:OFFSET(W1183,$B$6-1,0)))</f>
        <v>#DIV/0!</v>
      </c>
      <c r="Z1183" s="6" t="e">
        <f ca="1">SQRT($B$9*AVERAGE(W1183:OFFSET(W1183,$B$7-1,0)))</f>
        <v>#DIV/0!</v>
      </c>
      <c r="AA1183" s="6" t="e">
        <f ca="1">SQRT($B$9*AVERAGE(W1183:OFFSET(W1183,$B$8-1,0)))</f>
        <v>#DIV/0!</v>
      </c>
      <c r="AC1183" s="34" t="e">
        <f t="shared" si="100"/>
        <v>#DIV/0!</v>
      </c>
      <c r="AD1183" s="34" t="e">
        <f ca="1">SQRT($B$9*SUM(AC1183:OFFSET(AC1183,$B$5-1,0))/($B$5-1))</f>
        <v>#DIV/0!</v>
      </c>
      <c r="AE1183" s="34" t="e">
        <f ca="1">SQRT($B$9*SUM(AC1183:OFFSET(AC1183,$B$6-1,0))/($B$6-1))</f>
        <v>#DIV/0!</v>
      </c>
      <c r="AF1183" s="34" t="e">
        <f ca="1">SQRT($B$9*SUM(AC1183:OFFSET(AC1183,$B$7-1,0))/($B$7-1))</f>
        <v>#DIV/0!</v>
      </c>
      <c r="AG1183" s="34" t="e">
        <f ca="1">SQRT($B$9*SUM(AC1183:OFFSET(AC1183,$B$8-1,0))/($B$8-1))</f>
        <v>#DIV/0!</v>
      </c>
      <c r="AI1183" s="1" t="e">
        <f t="shared" si="101"/>
        <v>#DIV/0!</v>
      </c>
      <c r="AJ1183" s="4" t="e">
        <f ca="1">SQRT($B$9)*_xlfn.STDEV.S(AI1183:OFFSET(AI1183,$B$5-1,0))</f>
        <v>#DIV/0!</v>
      </c>
      <c r="AK1183" s="4" t="e">
        <f ca="1">SQRT($B$9)*_xlfn.STDEV.S(AI1183:OFFSET(AI1183,$B$6-1,0))</f>
        <v>#DIV/0!</v>
      </c>
      <c r="AL1183" s="4" t="e">
        <f ca="1">SQRT($B$9)*_xlfn.STDEV.S(AI1183:OFFSET(AI1183,$B$7-1,0))</f>
        <v>#DIV/0!</v>
      </c>
      <c r="AM1183" s="4" t="e">
        <f ca="1">SQRT($B$9)*_xlfn.STDEV.S(AI1183:OFFSET(AI1183,$B$8-1,0))</f>
        <v>#DIV/0!</v>
      </c>
    </row>
    <row r="1184" spans="11:39" x14ac:dyDescent="0.2">
      <c r="K1184" s="3" t="e">
        <f t="shared" si="99"/>
        <v>#DIV/0!</v>
      </c>
      <c r="L1184" s="3" t="e">
        <f ca="1">SQRT(AVERAGE(K1184:OFFSET(K1184,$B$5-1,0))*$B$9/(4*LN(2)))</f>
        <v>#DIV/0!</v>
      </c>
      <c r="M1184" s="3" t="e">
        <f ca="1">SQRT(AVERAGE(K1184:OFFSET(K1184,$B$6-1,0))*$B$9/(4*LN(2)))</f>
        <v>#DIV/0!</v>
      </c>
      <c r="N1184" s="3" t="e">
        <f ca="1">SQRT(AVERAGE(K1184:OFFSET(K1184,$B$7-1,0))*$B$9/(4*LN(2)))</f>
        <v>#DIV/0!</v>
      </c>
      <c r="O1184" s="3" t="e">
        <f ca="1">SQRT(AVERAGE(K1184:OFFSET(K1184,$B$8-1,0))*$B$9/(4*LN(2)))</f>
        <v>#DIV/0!</v>
      </c>
      <c r="Q1184" s="5" t="e">
        <f t="shared" si="98"/>
        <v>#DIV/0!</v>
      </c>
      <c r="R1184" s="5" t="e">
        <f ca="1">SQRT($B$9*AVERAGE((Q1184:OFFSET(Q1184,$B$5-1,0))))</f>
        <v>#DIV/0!</v>
      </c>
      <c r="S1184" s="5" t="e">
        <f ca="1">SQRT($B$9*AVERAGE((Q1184:OFFSET(Q1184,$B$6-1,0))))</f>
        <v>#DIV/0!</v>
      </c>
      <c r="T1184" s="5" t="e">
        <f ca="1">SQRT($B$9*AVERAGE((Q1184:OFFSET(Q1184,$B$7-1,0))))</f>
        <v>#DIV/0!</v>
      </c>
      <c r="U1184" s="5" t="e">
        <f ca="1">SQRT($B$9*AVERAGE((Q1184:OFFSET(Q1184,$B$8-1,0))))</f>
        <v>#DIV/0!</v>
      </c>
      <c r="W1184" s="6" t="e">
        <f t="shared" si="97"/>
        <v>#DIV/0!</v>
      </c>
      <c r="X1184" s="6" t="e">
        <f ca="1">SQRT($B$9*AVERAGE(W1184:OFFSET(W1184,$B$5-1,0)))</f>
        <v>#DIV/0!</v>
      </c>
      <c r="Y1184" s="6" t="e">
        <f ca="1">SQRT($B$9*AVERAGE(W1184:OFFSET(W1184,$B$6-1,0)))</f>
        <v>#DIV/0!</v>
      </c>
      <c r="Z1184" s="6" t="e">
        <f ca="1">SQRT($B$9*AVERAGE(W1184:OFFSET(W1184,$B$7-1,0)))</f>
        <v>#DIV/0!</v>
      </c>
      <c r="AA1184" s="6" t="e">
        <f ca="1">SQRT($B$9*AVERAGE(W1184:OFFSET(W1184,$B$8-1,0)))</f>
        <v>#DIV/0!</v>
      </c>
      <c r="AC1184" s="34" t="e">
        <f t="shared" si="100"/>
        <v>#DIV/0!</v>
      </c>
      <c r="AD1184" s="34" t="e">
        <f ca="1">SQRT($B$9*SUM(AC1184:OFFSET(AC1184,$B$5-1,0))/($B$5-1))</f>
        <v>#DIV/0!</v>
      </c>
      <c r="AE1184" s="34" t="e">
        <f ca="1">SQRT($B$9*SUM(AC1184:OFFSET(AC1184,$B$6-1,0))/($B$6-1))</f>
        <v>#DIV/0!</v>
      </c>
      <c r="AF1184" s="34" t="e">
        <f ca="1">SQRT($B$9*SUM(AC1184:OFFSET(AC1184,$B$7-1,0))/($B$7-1))</f>
        <v>#DIV/0!</v>
      </c>
      <c r="AG1184" s="34" t="e">
        <f ca="1">SQRT($B$9*SUM(AC1184:OFFSET(AC1184,$B$8-1,0))/($B$8-1))</f>
        <v>#DIV/0!</v>
      </c>
      <c r="AI1184" s="1" t="e">
        <f t="shared" si="101"/>
        <v>#DIV/0!</v>
      </c>
      <c r="AJ1184" s="4" t="e">
        <f ca="1">SQRT($B$9)*_xlfn.STDEV.S(AI1184:OFFSET(AI1184,$B$5-1,0))</f>
        <v>#DIV/0!</v>
      </c>
      <c r="AK1184" s="4" t="e">
        <f ca="1">SQRT($B$9)*_xlfn.STDEV.S(AI1184:OFFSET(AI1184,$B$6-1,0))</f>
        <v>#DIV/0!</v>
      </c>
      <c r="AL1184" s="4" t="e">
        <f ca="1">SQRT($B$9)*_xlfn.STDEV.S(AI1184:OFFSET(AI1184,$B$7-1,0))</f>
        <v>#DIV/0!</v>
      </c>
      <c r="AM1184" s="4" t="e">
        <f ca="1">SQRT($B$9)*_xlfn.STDEV.S(AI1184:OFFSET(AI1184,$B$8-1,0))</f>
        <v>#DIV/0!</v>
      </c>
    </row>
    <row r="1185" spans="11:39" x14ac:dyDescent="0.2">
      <c r="K1185" s="3" t="e">
        <f t="shared" si="99"/>
        <v>#DIV/0!</v>
      </c>
      <c r="L1185" s="3" t="e">
        <f ca="1">SQRT(AVERAGE(K1185:OFFSET(K1185,$B$5-1,0))*$B$9/(4*LN(2)))</f>
        <v>#DIV/0!</v>
      </c>
      <c r="M1185" s="3" t="e">
        <f ca="1">SQRT(AVERAGE(K1185:OFFSET(K1185,$B$6-1,0))*$B$9/(4*LN(2)))</f>
        <v>#DIV/0!</v>
      </c>
      <c r="N1185" s="3" t="e">
        <f ca="1">SQRT(AVERAGE(K1185:OFFSET(K1185,$B$7-1,0))*$B$9/(4*LN(2)))</f>
        <v>#DIV/0!</v>
      </c>
      <c r="O1185" s="3" t="e">
        <f ca="1">SQRT(AVERAGE(K1185:OFFSET(K1185,$B$8-1,0))*$B$9/(4*LN(2)))</f>
        <v>#DIV/0!</v>
      </c>
      <c r="Q1185" s="5" t="e">
        <f t="shared" si="98"/>
        <v>#DIV/0!</v>
      </c>
      <c r="R1185" s="5" t="e">
        <f ca="1">SQRT($B$9*AVERAGE((Q1185:OFFSET(Q1185,$B$5-1,0))))</f>
        <v>#DIV/0!</v>
      </c>
      <c r="S1185" s="5" t="e">
        <f ca="1">SQRT($B$9*AVERAGE((Q1185:OFFSET(Q1185,$B$6-1,0))))</f>
        <v>#DIV/0!</v>
      </c>
      <c r="T1185" s="5" t="e">
        <f ca="1">SQRT($B$9*AVERAGE((Q1185:OFFSET(Q1185,$B$7-1,0))))</f>
        <v>#DIV/0!</v>
      </c>
      <c r="U1185" s="5" t="e">
        <f ca="1">SQRT($B$9*AVERAGE((Q1185:OFFSET(Q1185,$B$8-1,0))))</f>
        <v>#DIV/0!</v>
      </c>
      <c r="W1185" s="6" t="e">
        <f t="shared" si="97"/>
        <v>#DIV/0!</v>
      </c>
      <c r="X1185" s="6" t="e">
        <f ca="1">SQRT($B$9*AVERAGE(W1185:OFFSET(W1185,$B$5-1,0)))</f>
        <v>#DIV/0!</v>
      </c>
      <c r="Y1185" s="6" t="e">
        <f ca="1">SQRT($B$9*AVERAGE(W1185:OFFSET(W1185,$B$6-1,0)))</f>
        <v>#DIV/0!</v>
      </c>
      <c r="Z1185" s="6" t="e">
        <f ca="1">SQRT($B$9*AVERAGE(W1185:OFFSET(W1185,$B$7-1,0)))</f>
        <v>#DIV/0!</v>
      </c>
      <c r="AA1185" s="6" t="e">
        <f ca="1">SQRT($B$9*AVERAGE(W1185:OFFSET(W1185,$B$8-1,0)))</f>
        <v>#DIV/0!</v>
      </c>
      <c r="AC1185" s="34" t="e">
        <f t="shared" si="100"/>
        <v>#DIV/0!</v>
      </c>
      <c r="AD1185" s="34" t="e">
        <f ca="1">SQRT($B$9*SUM(AC1185:OFFSET(AC1185,$B$5-1,0))/($B$5-1))</f>
        <v>#DIV/0!</v>
      </c>
      <c r="AE1185" s="34" t="e">
        <f ca="1">SQRT($B$9*SUM(AC1185:OFFSET(AC1185,$B$6-1,0))/($B$6-1))</f>
        <v>#DIV/0!</v>
      </c>
      <c r="AF1185" s="34" t="e">
        <f ca="1">SQRT($B$9*SUM(AC1185:OFFSET(AC1185,$B$7-1,0))/($B$7-1))</f>
        <v>#DIV/0!</v>
      </c>
      <c r="AG1185" s="34" t="e">
        <f ca="1">SQRT($B$9*SUM(AC1185:OFFSET(AC1185,$B$8-1,0))/($B$8-1))</f>
        <v>#DIV/0!</v>
      </c>
      <c r="AI1185" s="1" t="e">
        <f t="shared" si="101"/>
        <v>#DIV/0!</v>
      </c>
      <c r="AJ1185" s="4" t="e">
        <f ca="1">SQRT($B$9)*_xlfn.STDEV.S(AI1185:OFFSET(AI1185,$B$5-1,0))</f>
        <v>#DIV/0!</v>
      </c>
      <c r="AK1185" s="4" t="e">
        <f ca="1">SQRT($B$9)*_xlfn.STDEV.S(AI1185:OFFSET(AI1185,$B$6-1,0))</f>
        <v>#DIV/0!</v>
      </c>
      <c r="AL1185" s="4" t="e">
        <f ca="1">SQRT($B$9)*_xlfn.STDEV.S(AI1185:OFFSET(AI1185,$B$7-1,0))</f>
        <v>#DIV/0!</v>
      </c>
      <c r="AM1185" s="4" t="e">
        <f ca="1">SQRT($B$9)*_xlfn.STDEV.S(AI1185:OFFSET(AI1185,$B$8-1,0))</f>
        <v>#DIV/0!</v>
      </c>
    </row>
    <row r="1186" spans="11:39" x14ac:dyDescent="0.2">
      <c r="K1186" s="3" t="e">
        <f t="shared" si="99"/>
        <v>#DIV/0!</v>
      </c>
      <c r="L1186" s="3" t="e">
        <f ca="1">SQRT(AVERAGE(K1186:OFFSET(K1186,$B$5-1,0))*$B$9/(4*LN(2)))</f>
        <v>#DIV/0!</v>
      </c>
      <c r="M1186" s="3" t="e">
        <f ca="1">SQRT(AVERAGE(K1186:OFFSET(K1186,$B$6-1,0))*$B$9/(4*LN(2)))</f>
        <v>#DIV/0!</v>
      </c>
      <c r="N1186" s="3" t="e">
        <f ca="1">SQRT(AVERAGE(K1186:OFFSET(K1186,$B$7-1,0))*$B$9/(4*LN(2)))</f>
        <v>#DIV/0!</v>
      </c>
      <c r="O1186" s="3" t="e">
        <f ca="1">SQRT(AVERAGE(K1186:OFFSET(K1186,$B$8-1,0))*$B$9/(4*LN(2)))</f>
        <v>#DIV/0!</v>
      </c>
      <c r="Q1186" s="5" t="e">
        <f t="shared" si="98"/>
        <v>#DIV/0!</v>
      </c>
      <c r="R1186" s="5" t="e">
        <f ca="1">SQRT($B$9*AVERAGE((Q1186:OFFSET(Q1186,$B$5-1,0))))</f>
        <v>#DIV/0!</v>
      </c>
      <c r="S1186" s="5" t="e">
        <f ca="1">SQRT($B$9*AVERAGE((Q1186:OFFSET(Q1186,$B$6-1,0))))</f>
        <v>#DIV/0!</v>
      </c>
      <c r="T1186" s="5" t="e">
        <f ca="1">SQRT($B$9*AVERAGE((Q1186:OFFSET(Q1186,$B$7-1,0))))</f>
        <v>#DIV/0!</v>
      </c>
      <c r="U1186" s="5" t="e">
        <f ca="1">SQRT($B$9*AVERAGE((Q1186:OFFSET(Q1186,$B$8-1,0))))</f>
        <v>#DIV/0!</v>
      </c>
      <c r="W1186" s="6" t="e">
        <f t="shared" si="97"/>
        <v>#DIV/0!</v>
      </c>
      <c r="X1186" s="6" t="e">
        <f ca="1">SQRT($B$9*AVERAGE(W1186:OFFSET(W1186,$B$5-1,0)))</f>
        <v>#DIV/0!</v>
      </c>
      <c r="Y1186" s="6" t="e">
        <f ca="1">SQRT($B$9*AVERAGE(W1186:OFFSET(W1186,$B$6-1,0)))</f>
        <v>#DIV/0!</v>
      </c>
      <c r="Z1186" s="6" t="e">
        <f ca="1">SQRT($B$9*AVERAGE(W1186:OFFSET(W1186,$B$7-1,0)))</f>
        <v>#DIV/0!</v>
      </c>
      <c r="AA1186" s="6" t="e">
        <f ca="1">SQRT($B$9*AVERAGE(W1186:OFFSET(W1186,$B$8-1,0)))</f>
        <v>#DIV/0!</v>
      </c>
      <c r="AC1186" s="34" t="e">
        <f t="shared" si="100"/>
        <v>#DIV/0!</v>
      </c>
      <c r="AD1186" s="34" t="e">
        <f ca="1">SQRT($B$9*SUM(AC1186:OFFSET(AC1186,$B$5-1,0))/($B$5-1))</f>
        <v>#DIV/0!</v>
      </c>
      <c r="AE1186" s="34" t="e">
        <f ca="1">SQRT($B$9*SUM(AC1186:OFFSET(AC1186,$B$6-1,0))/($B$6-1))</f>
        <v>#DIV/0!</v>
      </c>
      <c r="AF1186" s="34" t="e">
        <f ca="1">SQRT($B$9*SUM(AC1186:OFFSET(AC1186,$B$7-1,0))/($B$7-1))</f>
        <v>#DIV/0!</v>
      </c>
      <c r="AG1186" s="34" t="e">
        <f ca="1">SQRT($B$9*SUM(AC1186:OFFSET(AC1186,$B$8-1,0))/($B$8-1))</f>
        <v>#DIV/0!</v>
      </c>
      <c r="AI1186" s="1" t="e">
        <f t="shared" si="101"/>
        <v>#DIV/0!</v>
      </c>
      <c r="AJ1186" s="4" t="e">
        <f ca="1">SQRT($B$9)*_xlfn.STDEV.S(AI1186:OFFSET(AI1186,$B$5-1,0))</f>
        <v>#DIV/0!</v>
      </c>
      <c r="AK1186" s="4" t="e">
        <f ca="1">SQRT($B$9)*_xlfn.STDEV.S(AI1186:OFFSET(AI1186,$B$6-1,0))</f>
        <v>#DIV/0!</v>
      </c>
      <c r="AL1186" s="4" t="e">
        <f ca="1">SQRT($B$9)*_xlfn.STDEV.S(AI1186:OFFSET(AI1186,$B$7-1,0))</f>
        <v>#DIV/0!</v>
      </c>
      <c r="AM1186" s="4" t="e">
        <f ca="1">SQRT($B$9)*_xlfn.STDEV.S(AI1186:OFFSET(AI1186,$B$8-1,0))</f>
        <v>#DIV/0!</v>
      </c>
    </row>
    <row r="1187" spans="11:39" x14ac:dyDescent="0.2">
      <c r="K1187" s="3" t="e">
        <f t="shared" si="99"/>
        <v>#DIV/0!</v>
      </c>
      <c r="L1187" s="3" t="e">
        <f ca="1">SQRT(AVERAGE(K1187:OFFSET(K1187,$B$5-1,0))*$B$9/(4*LN(2)))</f>
        <v>#DIV/0!</v>
      </c>
      <c r="M1187" s="3" t="e">
        <f ca="1">SQRT(AVERAGE(K1187:OFFSET(K1187,$B$6-1,0))*$B$9/(4*LN(2)))</f>
        <v>#DIV/0!</v>
      </c>
      <c r="N1187" s="3" t="e">
        <f ca="1">SQRT(AVERAGE(K1187:OFFSET(K1187,$B$7-1,0))*$B$9/(4*LN(2)))</f>
        <v>#DIV/0!</v>
      </c>
      <c r="O1187" s="3" t="e">
        <f ca="1">SQRT(AVERAGE(K1187:OFFSET(K1187,$B$8-1,0))*$B$9/(4*LN(2)))</f>
        <v>#DIV/0!</v>
      </c>
      <c r="Q1187" s="5" t="e">
        <f t="shared" si="98"/>
        <v>#DIV/0!</v>
      </c>
      <c r="R1187" s="5" t="e">
        <f ca="1">SQRT($B$9*AVERAGE((Q1187:OFFSET(Q1187,$B$5-1,0))))</f>
        <v>#DIV/0!</v>
      </c>
      <c r="S1187" s="5" t="e">
        <f ca="1">SQRT($B$9*AVERAGE((Q1187:OFFSET(Q1187,$B$6-1,0))))</f>
        <v>#DIV/0!</v>
      </c>
      <c r="T1187" s="5" t="e">
        <f ca="1">SQRT($B$9*AVERAGE((Q1187:OFFSET(Q1187,$B$7-1,0))))</f>
        <v>#DIV/0!</v>
      </c>
      <c r="U1187" s="5" t="e">
        <f ca="1">SQRT($B$9*AVERAGE((Q1187:OFFSET(Q1187,$B$8-1,0))))</f>
        <v>#DIV/0!</v>
      </c>
      <c r="W1187" s="6" t="e">
        <f t="shared" si="97"/>
        <v>#DIV/0!</v>
      </c>
      <c r="X1187" s="6" t="e">
        <f ca="1">SQRT($B$9*AVERAGE(W1187:OFFSET(W1187,$B$5-1,0)))</f>
        <v>#DIV/0!</v>
      </c>
      <c r="Y1187" s="6" t="e">
        <f ca="1">SQRT($B$9*AVERAGE(W1187:OFFSET(W1187,$B$6-1,0)))</f>
        <v>#DIV/0!</v>
      </c>
      <c r="Z1187" s="6" t="e">
        <f ca="1">SQRT($B$9*AVERAGE(W1187:OFFSET(W1187,$B$7-1,0)))</f>
        <v>#DIV/0!</v>
      </c>
      <c r="AA1187" s="6" t="e">
        <f ca="1">SQRT($B$9*AVERAGE(W1187:OFFSET(W1187,$B$8-1,0)))</f>
        <v>#DIV/0!</v>
      </c>
      <c r="AC1187" s="34" t="e">
        <f t="shared" si="100"/>
        <v>#DIV/0!</v>
      </c>
      <c r="AD1187" s="34" t="e">
        <f ca="1">SQRT($B$9*SUM(AC1187:OFFSET(AC1187,$B$5-1,0))/($B$5-1))</f>
        <v>#DIV/0!</v>
      </c>
      <c r="AE1187" s="34" t="e">
        <f ca="1">SQRT($B$9*SUM(AC1187:OFFSET(AC1187,$B$6-1,0))/($B$6-1))</f>
        <v>#DIV/0!</v>
      </c>
      <c r="AF1187" s="34" t="e">
        <f ca="1">SQRT($B$9*SUM(AC1187:OFFSET(AC1187,$B$7-1,0))/($B$7-1))</f>
        <v>#DIV/0!</v>
      </c>
      <c r="AG1187" s="34" t="e">
        <f ca="1">SQRT($B$9*SUM(AC1187:OFFSET(AC1187,$B$8-1,0))/($B$8-1))</f>
        <v>#DIV/0!</v>
      </c>
      <c r="AI1187" s="1" t="e">
        <f t="shared" si="101"/>
        <v>#DIV/0!</v>
      </c>
      <c r="AJ1187" s="4" t="e">
        <f ca="1">SQRT($B$9)*_xlfn.STDEV.S(AI1187:OFFSET(AI1187,$B$5-1,0))</f>
        <v>#DIV/0!</v>
      </c>
      <c r="AK1187" s="4" t="e">
        <f ca="1">SQRT($B$9)*_xlfn.STDEV.S(AI1187:OFFSET(AI1187,$B$6-1,0))</f>
        <v>#DIV/0!</v>
      </c>
      <c r="AL1187" s="4" t="e">
        <f ca="1">SQRT($B$9)*_xlfn.STDEV.S(AI1187:OFFSET(AI1187,$B$7-1,0))</f>
        <v>#DIV/0!</v>
      </c>
      <c r="AM1187" s="4" t="e">
        <f ca="1">SQRT($B$9)*_xlfn.STDEV.S(AI1187:OFFSET(AI1187,$B$8-1,0))</f>
        <v>#DIV/0!</v>
      </c>
    </row>
    <row r="1188" spans="11:39" x14ac:dyDescent="0.2">
      <c r="K1188" s="3" t="e">
        <f t="shared" si="99"/>
        <v>#DIV/0!</v>
      </c>
      <c r="L1188" s="3" t="e">
        <f ca="1">SQRT(AVERAGE(K1188:OFFSET(K1188,$B$5-1,0))*$B$9/(4*LN(2)))</f>
        <v>#DIV/0!</v>
      </c>
      <c r="M1188" s="3" t="e">
        <f ca="1">SQRT(AVERAGE(K1188:OFFSET(K1188,$B$6-1,0))*$B$9/(4*LN(2)))</f>
        <v>#DIV/0!</v>
      </c>
      <c r="N1188" s="3" t="e">
        <f ca="1">SQRT(AVERAGE(K1188:OFFSET(K1188,$B$7-1,0))*$B$9/(4*LN(2)))</f>
        <v>#DIV/0!</v>
      </c>
      <c r="O1188" s="3" t="e">
        <f ca="1">SQRT(AVERAGE(K1188:OFFSET(K1188,$B$8-1,0))*$B$9/(4*LN(2)))</f>
        <v>#DIV/0!</v>
      </c>
      <c r="Q1188" s="5" t="e">
        <f t="shared" si="98"/>
        <v>#DIV/0!</v>
      </c>
      <c r="R1188" s="5" t="e">
        <f ca="1">SQRT($B$9*AVERAGE((Q1188:OFFSET(Q1188,$B$5-1,0))))</f>
        <v>#DIV/0!</v>
      </c>
      <c r="S1188" s="5" t="e">
        <f ca="1">SQRT($B$9*AVERAGE((Q1188:OFFSET(Q1188,$B$6-1,0))))</f>
        <v>#DIV/0!</v>
      </c>
      <c r="T1188" s="5" t="e">
        <f ca="1">SQRT($B$9*AVERAGE((Q1188:OFFSET(Q1188,$B$7-1,0))))</f>
        <v>#DIV/0!</v>
      </c>
      <c r="U1188" s="5" t="e">
        <f ca="1">SQRT($B$9*AVERAGE((Q1188:OFFSET(Q1188,$B$8-1,0))))</f>
        <v>#DIV/0!</v>
      </c>
      <c r="W1188" s="6" t="e">
        <f t="shared" si="97"/>
        <v>#DIV/0!</v>
      </c>
      <c r="X1188" s="6" t="e">
        <f ca="1">SQRT($B$9*AVERAGE(W1188:OFFSET(W1188,$B$5-1,0)))</f>
        <v>#DIV/0!</v>
      </c>
      <c r="Y1188" s="6" t="e">
        <f ca="1">SQRT($B$9*AVERAGE(W1188:OFFSET(W1188,$B$6-1,0)))</f>
        <v>#DIV/0!</v>
      </c>
      <c r="Z1188" s="6" t="e">
        <f ca="1">SQRT($B$9*AVERAGE(W1188:OFFSET(W1188,$B$7-1,0)))</f>
        <v>#DIV/0!</v>
      </c>
      <c r="AA1188" s="6" t="e">
        <f ca="1">SQRT($B$9*AVERAGE(W1188:OFFSET(W1188,$B$8-1,0)))</f>
        <v>#DIV/0!</v>
      </c>
      <c r="AC1188" s="34" t="e">
        <f t="shared" si="100"/>
        <v>#DIV/0!</v>
      </c>
      <c r="AD1188" s="34" t="e">
        <f ca="1">SQRT($B$9*SUM(AC1188:OFFSET(AC1188,$B$5-1,0))/($B$5-1))</f>
        <v>#DIV/0!</v>
      </c>
      <c r="AE1188" s="34" t="e">
        <f ca="1">SQRT($B$9*SUM(AC1188:OFFSET(AC1188,$B$6-1,0))/($B$6-1))</f>
        <v>#DIV/0!</v>
      </c>
      <c r="AF1188" s="34" t="e">
        <f ca="1">SQRT($B$9*SUM(AC1188:OFFSET(AC1188,$B$7-1,0))/($B$7-1))</f>
        <v>#DIV/0!</v>
      </c>
      <c r="AG1188" s="34" t="e">
        <f ca="1">SQRT($B$9*SUM(AC1188:OFFSET(AC1188,$B$8-1,0))/($B$8-1))</f>
        <v>#DIV/0!</v>
      </c>
      <c r="AI1188" s="1" t="e">
        <f t="shared" si="101"/>
        <v>#DIV/0!</v>
      </c>
      <c r="AJ1188" s="4" t="e">
        <f ca="1">SQRT($B$9)*_xlfn.STDEV.S(AI1188:OFFSET(AI1188,$B$5-1,0))</f>
        <v>#DIV/0!</v>
      </c>
      <c r="AK1188" s="4" t="e">
        <f ca="1">SQRT($B$9)*_xlfn.STDEV.S(AI1188:OFFSET(AI1188,$B$6-1,0))</f>
        <v>#DIV/0!</v>
      </c>
      <c r="AL1188" s="4" t="e">
        <f ca="1">SQRT($B$9)*_xlfn.STDEV.S(AI1188:OFFSET(AI1188,$B$7-1,0))</f>
        <v>#DIV/0!</v>
      </c>
      <c r="AM1188" s="4" t="e">
        <f ca="1">SQRT($B$9)*_xlfn.STDEV.S(AI1188:OFFSET(AI1188,$B$8-1,0))</f>
        <v>#DIV/0!</v>
      </c>
    </row>
    <row r="1189" spans="11:39" x14ac:dyDescent="0.2">
      <c r="K1189" s="3" t="e">
        <f t="shared" si="99"/>
        <v>#DIV/0!</v>
      </c>
      <c r="L1189" s="3" t="e">
        <f ca="1">SQRT(AVERAGE(K1189:OFFSET(K1189,$B$5-1,0))*$B$9/(4*LN(2)))</f>
        <v>#DIV/0!</v>
      </c>
      <c r="M1189" s="3" t="e">
        <f ca="1">SQRT(AVERAGE(K1189:OFFSET(K1189,$B$6-1,0))*$B$9/(4*LN(2)))</f>
        <v>#DIV/0!</v>
      </c>
      <c r="N1189" s="3" t="e">
        <f ca="1">SQRT(AVERAGE(K1189:OFFSET(K1189,$B$7-1,0))*$B$9/(4*LN(2)))</f>
        <v>#DIV/0!</v>
      </c>
      <c r="O1189" s="3" t="e">
        <f ca="1">SQRT(AVERAGE(K1189:OFFSET(K1189,$B$8-1,0))*$B$9/(4*LN(2)))</f>
        <v>#DIV/0!</v>
      </c>
      <c r="Q1189" s="5" t="e">
        <f t="shared" si="98"/>
        <v>#DIV/0!</v>
      </c>
      <c r="R1189" s="5" t="e">
        <f ca="1">SQRT($B$9*AVERAGE((Q1189:OFFSET(Q1189,$B$5-1,0))))</f>
        <v>#DIV/0!</v>
      </c>
      <c r="S1189" s="5" t="e">
        <f ca="1">SQRT($B$9*AVERAGE((Q1189:OFFSET(Q1189,$B$6-1,0))))</f>
        <v>#DIV/0!</v>
      </c>
      <c r="T1189" s="5" t="e">
        <f ca="1">SQRT($B$9*AVERAGE((Q1189:OFFSET(Q1189,$B$7-1,0))))</f>
        <v>#DIV/0!</v>
      </c>
      <c r="U1189" s="5" t="e">
        <f ca="1">SQRT($B$9*AVERAGE((Q1189:OFFSET(Q1189,$B$8-1,0))))</f>
        <v>#DIV/0!</v>
      </c>
      <c r="W1189" s="6" t="e">
        <f t="shared" si="97"/>
        <v>#DIV/0!</v>
      </c>
      <c r="X1189" s="6" t="e">
        <f ca="1">SQRT($B$9*AVERAGE(W1189:OFFSET(W1189,$B$5-1,0)))</f>
        <v>#DIV/0!</v>
      </c>
      <c r="Y1189" s="6" t="e">
        <f ca="1">SQRT($B$9*AVERAGE(W1189:OFFSET(W1189,$B$6-1,0)))</f>
        <v>#DIV/0!</v>
      </c>
      <c r="Z1189" s="6" t="e">
        <f ca="1">SQRT($B$9*AVERAGE(W1189:OFFSET(W1189,$B$7-1,0)))</f>
        <v>#DIV/0!</v>
      </c>
      <c r="AA1189" s="6" t="e">
        <f ca="1">SQRT($B$9*AVERAGE(W1189:OFFSET(W1189,$B$8-1,0)))</f>
        <v>#DIV/0!</v>
      </c>
      <c r="AC1189" s="34" t="e">
        <f t="shared" si="100"/>
        <v>#DIV/0!</v>
      </c>
      <c r="AD1189" s="34" t="e">
        <f ca="1">SQRT($B$9*SUM(AC1189:OFFSET(AC1189,$B$5-1,0))/($B$5-1))</f>
        <v>#DIV/0!</v>
      </c>
      <c r="AE1189" s="34" t="e">
        <f ca="1">SQRT($B$9*SUM(AC1189:OFFSET(AC1189,$B$6-1,0))/($B$6-1))</f>
        <v>#DIV/0!</v>
      </c>
      <c r="AF1189" s="34" t="e">
        <f ca="1">SQRT($B$9*SUM(AC1189:OFFSET(AC1189,$B$7-1,0))/($B$7-1))</f>
        <v>#DIV/0!</v>
      </c>
      <c r="AG1189" s="34" t="e">
        <f ca="1">SQRT($B$9*SUM(AC1189:OFFSET(AC1189,$B$8-1,0))/($B$8-1))</f>
        <v>#DIV/0!</v>
      </c>
      <c r="AI1189" s="1" t="e">
        <f t="shared" si="101"/>
        <v>#DIV/0!</v>
      </c>
      <c r="AJ1189" s="4" t="e">
        <f ca="1">SQRT($B$9)*_xlfn.STDEV.S(AI1189:OFFSET(AI1189,$B$5-1,0))</f>
        <v>#DIV/0!</v>
      </c>
      <c r="AK1189" s="4" t="e">
        <f ca="1">SQRT($B$9)*_xlfn.STDEV.S(AI1189:OFFSET(AI1189,$B$6-1,0))</f>
        <v>#DIV/0!</v>
      </c>
      <c r="AL1189" s="4" t="e">
        <f ca="1">SQRT($B$9)*_xlfn.STDEV.S(AI1189:OFFSET(AI1189,$B$7-1,0))</f>
        <v>#DIV/0!</v>
      </c>
      <c r="AM1189" s="4" t="e">
        <f ca="1">SQRT($B$9)*_xlfn.STDEV.S(AI1189:OFFSET(AI1189,$B$8-1,0))</f>
        <v>#DIV/0!</v>
      </c>
    </row>
    <row r="1190" spans="11:39" x14ac:dyDescent="0.2">
      <c r="K1190" s="3" t="e">
        <f t="shared" si="99"/>
        <v>#DIV/0!</v>
      </c>
      <c r="L1190" s="3" t="e">
        <f ca="1">SQRT(AVERAGE(K1190:OFFSET(K1190,$B$5-1,0))*$B$9/(4*LN(2)))</f>
        <v>#DIV/0!</v>
      </c>
      <c r="M1190" s="3" t="e">
        <f ca="1">SQRT(AVERAGE(K1190:OFFSET(K1190,$B$6-1,0))*$B$9/(4*LN(2)))</f>
        <v>#DIV/0!</v>
      </c>
      <c r="N1190" s="3" t="e">
        <f ca="1">SQRT(AVERAGE(K1190:OFFSET(K1190,$B$7-1,0))*$B$9/(4*LN(2)))</f>
        <v>#DIV/0!</v>
      </c>
      <c r="O1190" s="3" t="e">
        <f ca="1">SQRT(AVERAGE(K1190:OFFSET(K1190,$B$8-1,0))*$B$9/(4*LN(2)))</f>
        <v>#DIV/0!</v>
      </c>
      <c r="Q1190" s="5" t="e">
        <f t="shared" si="98"/>
        <v>#DIV/0!</v>
      </c>
      <c r="R1190" s="5" t="e">
        <f ca="1">SQRT($B$9*AVERAGE((Q1190:OFFSET(Q1190,$B$5-1,0))))</f>
        <v>#DIV/0!</v>
      </c>
      <c r="S1190" s="5" t="e">
        <f ca="1">SQRT($B$9*AVERAGE((Q1190:OFFSET(Q1190,$B$6-1,0))))</f>
        <v>#DIV/0!</v>
      </c>
      <c r="T1190" s="5" t="e">
        <f ca="1">SQRT($B$9*AVERAGE((Q1190:OFFSET(Q1190,$B$7-1,0))))</f>
        <v>#DIV/0!</v>
      </c>
      <c r="U1190" s="5" t="e">
        <f ca="1">SQRT($B$9*AVERAGE((Q1190:OFFSET(Q1190,$B$8-1,0))))</f>
        <v>#DIV/0!</v>
      </c>
      <c r="W1190" s="6" t="e">
        <f t="shared" si="97"/>
        <v>#DIV/0!</v>
      </c>
      <c r="X1190" s="6" t="e">
        <f ca="1">SQRT($B$9*AVERAGE(W1190:OFFSET(W1190,$B$5-1,0)))</f>
        <v>#DIV/0!</v>
      </c>
      <c r="Y1190" s="6" t="e">
        <f ca="1">SQRT($B$9*AVERAGE(W1190:OFFSET(W1190,$B$6-1,0)))</f>
        <v>#DIV/0!</v>
      </c>
      <c r="Z1190" s="6" t="e">
        <f ca="1">SQRT($B$9*AVERAGE(W1190:OFFSET(W1190,$B$7-1,0)))</f>
        <v>#DIV/0!</v>
      </c>
      <c r="AA1190" s="6" t="e">
        <f ca="1">SQRT($B$9*AVERAGE(W1190:OFFSET(W1190,$B$8-1,0)))</f>
        <v>#DIV/0!</v>
      </c>
      <c r="AC1190" s="34" t="e">
        <f t="shared" si="100"/>
        <v>#DIV/0!</v>
      </c>
      <c r="AD1190" s="34" t="e">
        <f ca="1">SQRT($B$9*SUM(AC1190:OFFSET(AC1190,$B$5-1,0))/($B$5-1))</f>
        <v>#DIV/0!</v>
      </c>
      <c r="AE1190" s="34" t="e">
        <f ca="1">SQRT($B$9*SUM(AC1190:OFFSET(AC1190,$B$6-1,0))/($B$6-1))</f>
        <v>#DIV/0!</v>
      </c>
      <c r="AF1190" s="34" t="e">
        <f ca="1">SQRT($B$9*SUM(AC1190:OFFSET(AC1190,$B$7-1,0))/($B$7-1))</f>
        <v>#DIV/0!</v>
      </c>
      <c r="AG1190" s="34" t="e">
        <f ca="1">SQRT($B$9*SUM(AC1190:OFFSET(AC1190,$B$8-1,0))/($B$8-1))</f>
        <v>#DIV/0!</v>
      </c>
      <c r="AI1190" s="1" t="e">
        <f t="shared" si="101"/>
        <v>#DIV/0!</v>
      </c>
      <c r="AJ1190" s="4" t="e">
        <f ca="1">SQRT($B$9)*_xlfn.STDEV.S(AI1190:OFFSET(AI1190,$B$5-1,0))</f>
        <v>#DIV/0!</v>
      </c>
      <c r="AK1190" s="4" t="e">
        <f ca="1">SQRT($B$9)*_xlfn.STDEV.S(AI1190:OFFSET(AI1190,$B$6-1,0))</f>
        <v>#DIV/0!</v>
      </c>
      <c r="AL1190" s="4" t="e">
        <f ca="1">SQRT($B$9)*_xlfn.STDEV.S(AI1190:OFFSET(AI1190,$B$7-1,0))</f>
        <v>#DIV/0!</v>
      </c>
      <c r="AM1190" s="4" t="e">
        <f ca="1">SQRT($B$9)*_xlfn.STDEV.S(AI1190:OFFSET(AI1190,$B$8-1,0))</f>
        <v>#DIV/0!</v>
      </c>
    </row>
    <row r="1191" spans="11:39" x14ac:dyDescent="0.2">
      <c r="K1191" s="3" t="e">
        <f t="shared" si="99"/>
        <v>#DIV/0!</v>
      </c>
      <c r="L1191" s="3" t="e">
        <f ca="1">SQRT(AVERAGE(K1191:OFFSET(K1191,$B$5-1,0))*$B$9/(4*LN(2)))</f>
        <v>#DIV/0!</v>
      </c>
      <c r="M1191" s="3" t="e">
        <f ca="1">SQRT(AVERAGE(K1191:OFFSET(K1191,$B$6-1,0))*$B$9/(4*LN(2)))</f>
        <v>#DIV/0!</v>
      </c>
      <c r="N1191" s="3" t="e">
        <f ca="1">SQRT(AVERAGE(K1191:OFFSET(K1191,$B$7-1,0))*$B$9/(4*LN(2)))</f>
        <v>#DIV/0!</v>
      </c>
      <c r="O1191" s="3" t="e">
        <f ca="1">SQRT(AVERAGE(K1191:OFFSET(K1191,$B$8-1,0))*$B$9/(4*LN(2)))</f>
        <v>#DIV/0!</v>
      </c>
      <c r="Q1191" s="5" t="e">
        <f t="shared" si="98"/>
        <v>#DIV/0!</v>
      </c>
      <c r="R1191" s="5" t="e">
        <f ca="1">SQRT($B$9*AVERAGE((Q1191:OFFSET(Q1191,$B$5-1,0))))</f>
        <v>#DIV/0!</v>
      </c>
      <c r="S1191" s="5" t="e">
        <f ca="1">SQRT($B$9*AVERAGE((Q1191:OFFSET(Q1191,$B$6-1,0))))</f>
        <v>#DIV/0!</v>
      </c>
      <c r="T1191" s="5" t="e">
        <f ca="1">SQRT($B$9*AVERAGE((Q1191:OFFSET(Q1191,$B$7-1,0))))</f>
        <v>#DIV/0!</v>
      </c>
      <c r="U1191" s="5" t="e">
        <f ca="1">SQRT($B$9*AVERAGE((Q1191:OFFSET(Q1191,$B$8-1,0))))</f>
        <v>#DIV/0!</v>
      </c>
      <c r="W1191" s="6" t="e">
        <f t="shared" ref="W1191:W1254" si="102">LN(G1191/I1191)*LN(G1191/F1191)+LN(H1191/I1191)*LN(H1191/F1191)</f>
        <v>#DIV/0!</v>
      </c>
      <c r="X1191" s="6" t="e">
        <f ca="1">SQRT($B$9*AVERAGE(W1191:OFFSET(W1191,$B$5-1,0)))</f>
        <v>#DIV/0!</v>
      </c>
      <c r="Y1191" s="6" t="e">
        <f ca="1">SQRT($B$9*AVERAGE(W1191:OFFSET(W1191,$B$6-1,0)))</f>
        <v>#DIV/0!</v>
      </c>
      <c r="Z1191" s="6" t="e">
        <f ca="1">SQRT($B$9*AVERAGE(W1191:OFFSET(W1191,$B$7-1,0)))</f>
        <v>#DIV/0!</v>
      </c>
      <c r="AA1191" s="6" t="e">
        <f ca="1">SQRT($B$9*AVERAGE(W1191:OFFSET(W1191,$B$8-1,0)))</f>
        <v>#DIV/0!</v>
      </c>
      <c r="AC1191" s="34" t="e">
        <f t="shared" si="100"/>
        <v>#DIV/0!</v>
      </c>
      <c r="AD1191" s="34" t="e">
        <f ca="1">SQRT($B$9*SUM(AC1191:OFFSET(AC1191,$B$5-1,0))/($B$5-1))</f>
        <v>#DIV/0!</v>
      </c>
      <c r="AE1191" s="34" t="e">
        <f ca="1">SQRT($B$9*SUM(AC1191:OFFSET(AC1191,$B$6-1,0))/($B$6-1))</f>
        <v>#DIV/0!</v>
      </c>
      <c r="AF1191" s="34" t="e">
        <f ca="1">SQRT($B$9*SUM(AC1191:OFFSET(AC1191,$B$7-1,0))/($B$7-1))</f>
        <v>#DIV/0!</v>
      </c>
      <c r="AG1191" s="34" t="e">
        <f ca="1">SQRT($B$9*SUM(AC1191:OFFSET(AC1191,$B$8-1,0))/($B$8-1))</f>
        <v>#DIV/0!</v>
      </c>
      <c r="AI1191" s="1" t="e">
        <f t="shared" si="101"/>
        <v>#DIV/0!</v>
      </c>
      <c r="AJ1191" s="4" t="e">
        <f ca="1">SQRT($B$9)*_xlfn.STDEV.S(AI1191:OFFSET(AI1191,$B$5-1,0))</f>
        <v>#DIV/0!</v>
      </c>
      <c r="AK1191" s="4" t="e">
        <f ca="1">SQRT($B$9)*_xlfn.STDEV.S(AI1191:OFFSET(AI1191,$B$6-1,0))</f>
        <v>#DIV/0!</v>
      </c>
      <c r="AL1191" s="4" t="e">
        <f ca="1">SQRT($B$9)*_xlfn.STDEV.S(AI1191:OFFSET(AI1191,$B$7-1,0))</f>
        <v>#DIV/0!</v>
      </c>
      <c r="AM1191" s="4" t="e">
        <f ca="1">SQRT($B$9)*_xlfn.STDEV.S(AI1191:OFFSET(AI1191,$B$8-1,0))</f>
        <v>#DIV/0!</v>
      </c>
    </row>
    <row r="1192" spans="11:39" x14ac:dyDescent="0.2">
      <c r="K1192" s="3" t="e">
        <f t="shared" si="99"/>
        <v>#DIV/0!</v>
      </c>
      <c r="L1192" s="3" t="e">
        <f ca="1">SQRT(AVERAGE(K1192:OFFSET(K1192,$B$5-1,0))*$B$9/(4*LN(2)))</f>
        <v>#DIV/0!</v>
      </c>
      <c r="M1192" s="3" t="e">
        <f ca="1">SQRT(AVERAGE(K1192:OFFSET(K1192,$B$6-1,0))*$B$9/(4*LN(2)))</f>
        <v>#DIV/0!</v>
      </c>
      <c r="N1192" s="3" t="e">
        <f ca="1">SQRT(AVERAGE(K1192:OFFSET(K1192,$B$7-1,0))*$B$9/(4*LN(2)))</f>
        <v>#DIV/0!</v>
      </c>
      <c r="O1192" s="3" t="e">
        <f ca="1">SQRT(AVERAGE(K1192:OFFSET(K1192,$B$8-1,0))*$B$9/(4*LN(2)))</f>
        <v>#DIV/0!</v>
      </c>
      <c r="Q1192" s="5" t="e">
        <f t="shared" si="98"/>
        <v>#DIV/0!</v>
      </c>
      <c r="R1192" s="5" t="e">
        <f ca="1">SQRT($B$9*AVERAGE((Q1192:OFFSET(Q1192,$B$5-1,0))))</f>
        <v>#DIV/0!</v>
      </c>
      <c r="S1192" s="5" t="e">
        <f ca="1">SQRT($B$9*AVERAGE((Q1192:OFFSET(Q1192,$B$6-1,0))))</f>
        <v>#DIV/0!</v>
      </c>
      <c r="T1192" s="5" t="e">
        <f ca="1">SQRT($B$9*AVERAGE((Q1192:OFFSET(Q1192,$B$7-1,0))))</f>
        <v>#DIV/0!</v>
      </c>
      <c r="U1192" s="5" t="e">
        <f ca="1">SQRT($B$9*AVERAGE((Q1192:OFFSET(Q1192,$B$8-1,0))))</f>
        <v>#DIV/0!</v>
      </c>
      <c r="W1192" s="6" t="e">
        <f t="shared" si="102"/>
        <v>#DIV/0!</v>
      </c>
      <c r="X1192" s="6" t="e">
        <f ca="1">SQRT($B$9*AVERAGE(W1192:OFFSET(W1192,$B$5-1,0)))</f>
        <v>#DIV/0!</v>
      </c>
      <c r="Y1192" s="6" t="e">
        <f ca="1">SQRT($B$9*AVERAGE(W1192:OFFSET(W1192,$B$6-1,0)))</f>
        <v>#DIV/0!</v>
      </c>
      <c r="Z1192" s="6" t="e">
        <f ca="1">SQRT($B$9*AVERAGE(W1192:OFFSET(W1192,$B$7-1,0)))</f>
        <v>#DIV/0!</v>
      </c>
      <c r="AA1192" s="6" t="e">
        <f ca="1">SQRT($B$9*AVERAGE(W1192:OFFSET(W1192,$B$8-1,0)))</f>
        <v>#DIV/0!</v>
      </c>
      <c r="AC1192" s="34" t="e">
        <f t="shared" si="100"/>
        <v>#DIV/0!</v>
      </c>
      <c r="AD1192" s="34" t="e">
        <f ca="1">SQRT($B$9*SUM(AC1192:OFFSET(AC1192,$B$5-1,0))/($B$5-1))</f>
        <v>#DIV/0!</v>
      </c>
      <c r="AE1192" s="34" t="e">
        <f ca="1">SQRT($B$9*SUM(AC1192:OFFSET(AC1192,$B$6-1,0))/($B$6-1))</f>
        <v>#DIV/0!</v>
      </c>
      <c r="AF1192" s="34" t="e">
        <f ca="1">SQRT($B$9*SUM(AC1192:OFFSET(AC1192,$B$7-1,0))/($B$7-1))</f>
        <v>#DIV/0!</v>
      </c>
      <c r="AG1192" s="34" t="e">
        <f ca="1">SQRT($B$9*SUM(AC1192:OFFSET(AC1192,$B$8-1,0))/($B$8-1))</f>
        <v>#DIV/0!</v>
      </c>
      <c r="AI1192" s="1" t="e">
        <f t="shared" si="101"/>
        <v>#DIV/0!</v>
      </c>
      <c r="AJ1192" s="4" t="e">
        <f ca="1">SQRT($B$9)*_xlfn.STDEV.S(AI1192:OFFSET(AI1192,$B$5-1,0))</f>
        <v>#DIV/0!</v>
      </c>
      <c r="AK1192" s="4" t="e">
        <f ca="1">SQRT($B$9)*_xlfn.STDEV.S(AI1192:OFFSET(AI1192,$B$6-1,0))</f>
        <v>#DIV/0!</v>
      </c>
      <c r="AL1192" s="4" t="e">
        <f ca="1">SQRT($B$9)*_xlfn.STDEV.S(AI1192:OFFSET(AI1192,$B$7-1,0))</f>
        <v>#DIV/0!</v>
      </c>
      <c r="AM1192" s="4" t="e">
        <f ca="1">SQRT($B$9)*_xlfn.STDEV.S(AI1192:OFFSET(AI1192,$B$8-1,0))</f>
        <v>#DIV/0!</v>
      </c>
    </row>
    <row r="1193" spans="11:39" x14ac:dyDescent="0.2">
      <c r="K1193" s="3" t="e">
        <f t="shared" si="99"/>
        <v>#DIV/0!</v>
      </c>
      <c r="L1193" s="3" t="e">
        <f ca="1">SQRT(AVERAGE(K1193:OFFSET(K1193,$B$5-1,0))*$B$9/(4*LN(2)))</f>
        <v>#DIV/0!</v>
      </c>
      <c r="M1193" s="3" t="e">
        <f ca="1">SQRT(AVERAGE(K1193:OFFSET(K1193,$B$6-1,0))*$B$9/(4*LN(2)))</f>
        <v>#DIV/0!</v>
      </c>
      <c r="N1193" s="3" t="e">
        <f ca="1">SQRT(AVERAGE(K1193:OFFSET(K1193,$B$7-1,0))*$B$9/(4*LN(2)))</f>
        <v>#DIV/0!</v>
      </c>
      <c r="O1193" s="3" t="e">
        <f ca="1">SQRT(AVERAGE(K1193:OFFSET(K1193,$B$8-1,0))*$B$9/(4*LN(2)))</f>
        <v>#DIV/0!</v>
      </c>
      <c r="Q1193" s="5" t="e">
        <f t="shared" si="98"/>
        <v>#DIV/0!</v>
      </c>
      <c r="R1193" s="5" t="e">
        <f ca="1">SQRT($B$9*AVERAGE((Q1193:OFFSET(Q1193,$B$5-1,0))))</f>
        <v>#DIV/0!</v>
      </c>
      <c r="S1193" s="5" t="e">
        <f ca="1">SQRT($B$9*AVERAGE((Q1193:OFFSET(Q1193,$B$6-1,0))))</f>
        <v>#DIV/0!</v>
      </c>
      <c r="T1193" s="5" t="e">
        <f ca="1">SQRT($B$9*AVERAGE((Q1193:OFFSET(Q1193,$B$7-1,0))))</f>
        <v>#DIV/0!</v>
      </c>
      <c r="U1193" s="5" t="e">
        <f ca="1">SQRT($B$9*AVERAGE((Q1193:OFFSET(Q1193,$B$8-1,0))))</f>
        <v>#DIV/0!</v>
      </c>
      <c r="W1193" s="6" t="e">
        <f t="shared" si="102"/>
        <v>#DIV/0!</v>
      </c>
      <c r="X1193" s="6" t="e">
        <f ca="1">SQRT($B$9*AVERAGE(W1193:OFFSET(W1193,$B$5-1,0)))</f>
        <v>#DIV/0!</v>
      </c>
      <c r="Y1193" s="6" t="e">
        <f ca="1">SQRT($B$9*AVERAGE(W1193:OFFSET(W1193,$B$6-1,0)))</f>
        <v>#DIV/0!</v>
      </c>
      <c r="Z1193" s="6" t="e">
        <f ca="1">SQRT($B$9*AVERAGE(W1193:OFFSET(W1193,$B$7-1,0)))</f>
        <v>#DIV/0!</v>
      </c>
      <c r="AA1193" s="6" t="e">
        <f ca="1">SQRT($B$9*AVERAGE(W1193:OFFSET(W1193,$B$8-1,0)))</f>
        <v>#DIV/0!</v>
      </c>
      <c r="AC1193" s="34" t="e">
        <f t="shared" si="100"/>
        <v>#DIV/0!</v>
      </c>
      <c r="AD1193" s="34" t="e">
        <f ca="1">SQRT($B$9*SUM(AC1193:OFFSET(AC1193,$B$5-1,0))/($B$5-1))</f>
        <v>#DIV/0!</v>
      </c>
      <c r="AE1193" s="34" t="e">
        <f ca="1">SQRT($B$9*SUM(AC1193:OFFSET(AC1193,$B$6-1,0))/($B$6-1))</f>
        <v>#DIV/0!</v>
      </c>
      <c r="AF1193" s="34" t="e">
        <f ca="1">SQRT($B$9*SUM(AC1193:OFFSET(AC1193,$B$7-1,0))/($B$7-1))</f>
        <v>#DIV/0!</v>
      </c>
      <c r="AG1193" s="34" t="e">
        <f ca="1">SQRT($B$9*SUM(AC1193:OFFSET(AC1193,$B$8-1,0))/($B$8-1))</f>
        <v>#DIV/0!</v>
      </c>
      <c r="AI1193" s="1" t="e">
        <f t="shared" si="101"/>
        <v>#DIV/0!</v>
      </c>
      <c r="AJ1193" s="4" t="e">
        <f ca="1">SQRT($B$9)*_xlfn.STDEV.S(AI1193:OFFSET(AI1193,$B$5-1,0))</f>
        <v>#DIV/0!</v>
      </c>
      <c r="AK1193" s="4" t="e">
        <f ca="1">SQRT($B$9)*_xlfn.STDEV.S(AI1193:OFFSET(AI1193,$B$6-1,0))</f>
        <v>#DIV/0!</v>
      </c>
      <c r="AL1193" s="4" t="e">
        <f ca="1">SQRT($B$9)*_xlfn.STDEV.S(AI1193:OFFSET(AI1193,$B$7-1,0))</f>
        <v>#DIV/0!</v>
      </c>
      <c r="AM1193" s="4" t="e">
        <f ca="1">SQRT($B$9)*_xlfn.STDEV.S(AI1193:OFFSET(AI1193,$B$8-1,0))</f>
        <v>#DIV/0!</v>
      </c>
    </row>
    <row r="1194" spans="11:39" x14ac:dyDescent="0.2">
      <c r="K1194" s="3" t="e">
        <f t="shared" si="99"/>
        <v>#DIV/0!</v>
      </c>
      <c r="L1194" s="3" t="e">
        <f ca="1">SQRT(AVERAGE(K1194:OFFSET(K1194,$B$5-1,0))*$B$9/(4*LN(2)))</f>
        <v>#DIV/0!</v>
      </c>
      <c r="M1194" s="3" t="e">
        <f ca="1">SQRT(AVERAGE(K1194:OFFSET(K1194,$B$6-1,0))*$B$9/(4*LN(2)))</f>
        <v>#DIV/0!</v>
      </c>
      <c r="N1194" s="3" t="e">
        <f ca="1">SQRT(AVERAGE(K1194:OFFSET(K1194,$B$7-1,0))*$B$9/(4*LN(2)))</f>
        <v>#DIV/0!</v>
      </c>
      <c r="O1194" s="3" t="e">
        <f ca="1">SQRT(AVERAGE(K1194:OFFSET(K1194,$B$8-1,0))*$B$9/(4*LN(2)))</f>
        <v>#DIV/0!</v>
      </c>
      <c r="Q1194" s="5" t="e">
        <f t="shared" si="98"/>
        <v>#DIV/0!</v>
      </c>
      <c r="R1194" s="5" t="e">
        <f ca="1">SQRT($B$9*AVERAGE((Q1194:OFFSET(Q1194,$B$5-1,0))))</f>
        <v>#DIV/0!</v>
      </c>
      <c r="S1194" s="5" t="e">
        <f ca="1">SQRT($B$9*AVERAGE((Q1194:OFFSET(Q1194,$B$6-1,0))))</f>
        <v>#DIV/0!</v>
      </c>
      <c r="T1194" s="5" t="e">
        <f ca="1">SQRT($B$9*AVERAGE((Q1194:OFFSET(Q1194,$B$7-1,0))))</f>
        <v>#DIV/0!</v>
      </c>
      <c r="U1194" s="5" t="e">
        <f ca="1">SQRT($B$9*AVERAGE((Q1194:OFFSET(Q1194,$B$8-1,0))))</f>
        <v>#DIV/0!</v>
      </c>
      <c r="W1194" s="6" t="e">
        <f t="shared" si="102"/>
        <v>#DIV/0!</v>
      </c>
      <c r="X1194" s="6" t="e">
        <f ca="1">SQRT($B$9*AVERAGE(W1194:OFFSET(W1194,$B$5-1,0)))</f>
        <v>#DIV/0!</v>
      </c>
      <c r="Y1194" s="6" t="e">
        <f ca="1">SQRT($B$9*AVERAGE(W1194:OFFSET(W1194,$B$6-1,0)))</f>
        <v>#DIV/0!</v>
      </c>
      <c r="Z1194" s="6" t="e">
        <f ca="1">SQRT($B$9*AVERAGE(W1194:OFFSET(W1194,$B$7-1,0)))</f>
        <v>#DIV/0!</v>
      </c>
      <c r="AA1194" s="6" t="e">
        <f ca="1">SQRT($B$9*AVERAGE(W1194:OFFSET(W1194,$B$8-1,0)))</f>
        <v>#DIV/0!</v>
      </c>
      <c r="AC1194" s="34" t="e">
        <f t="shared" si="100"/>
        <v>#DIV/0!</v>
      </c>
      <c r="AD1194" s="34" t="e">
        <f ca="1">SQRT($B$9*SUM(AC1194:OFFSET(AC1194,$B$5-1,0))/($B$5-1))</f>
        <v>#DIV/0!</v>
      </c>
      <c r="AE1194" s="34" t="e">
        <f ca="1">SQRT($B$9*SUM(AC1194:OFFSET(AC1194,$B$6-1,0))/($B$6-1))</f>
        <v>#DIV/0!</v>
      </c>
      <c r="AF1194" s="34" t="e">
        <f ca="1">SQRT($B$9*SUM(AC1194:OFFSET(AC1194,$B$7-1,0))/($B$7-1))</f>
        <v>#DIV/0!</v>
      </c>
      <c r="AG1194" s="34" t="e">
        <f ca="1">SQRT($B$9*SUM(AC1194:OFFSET(AC1194,$B$8-1,0))/($B$8-1))</f>
        <v>#DIV/0!</v>
      </c>
      <c r="AI1194" s="1" t="e">
        <f t="shared" si="101"/>
        <v>#DIV/0!</v>
      </c>
      <c r="AJ1194" s="4" t="e">
        <f ca="1">SQRT($B$9)*_xlfn.STDEV.S(AI1194:OFFSET(AI1194,$B$5-1,0))</f>
        <v>#DIV/0!</v>
      </c>
      <c r="AK1194" s="4" t="e">
        <f ca="1">SQRT($B$9)*_xlfn.STDEV.S(AI1194:OFFSET(AI1194,$B$6-1,0))</f>
        <v>#DIV/0!</v>
      </c>
      <c r="AL1194" s="4" t="e">
        <f ca="1">SQRT($B$9)*_xlfn.STDEV.S(AI1194:OFFSET(AI1194,$B$7-1,0))</f>
        <v>#DIV/0!</v>
      </c>
      <c r="AM1194" s="4" t="e">
        <f ca="1">SQRT($B$9)*_xlfn.STDEV.S(AI1194:OFFSET(AI1194,$B$8-1,0))</f>
        <v>#DIV/0!</v>
      </c>
    </row>
    <row r="1195" spans="11:39" x14ac:dyDescent="0.2">
      <c r="K1195" s="3" t="e">
        <f t="shared" si="99"/>
        <v>#DIV/0!</v>
      </c>
      <c r="L1195" s="3" t="e">
        <f ca="1">SQRT(AVERAGE(K1195:OFFSET(K1195,$B$5-1,0))*$B$9/(4*LN(2)))</f>
        <v>#DIV/0!</v>
      </c>
      <c r="M1195" s="3" t="e">
        <f ca="1">SQRT(AVERAGE(K1195:OFFSET(K1195,$B$6-1,0))*$B$9/(4*LN(2)))</f>
        <v>#DIV/0!</v>
      </c>
      <c r="N1195" s="3" t="e">
        <f ca="1">SQRT(AVERAGE(K1195:OFFSET(K1195,$B$7-1,0))*$B$9/(4*LN(2)))</f>
        <v>#DIV/0!</v>
      </c>
      <c r="O1195" s="3" t="e">
        <f ca="1">SQRT(AVERAGE(K1195:OFFSET(K1195,$B$8-1,0))*$B$9/(4*LN(2)))</f>
        <v>#DIV/0!</v>
      </c>
      <c r="Q1195" s="5" t="e">
        <f t="shared" si="98"/>
        <v>#DIV/0!</v>
      </c>
      <c r="R1195" s="5" t="e">
        <f ca="1">SQRT($B$9*AVERAGE((Q1195:OFFSET(Q1195,$B$5-1,0))))</f>
        <v>#DIV/0!</v>
      </c>
      <c r="S1195" s="5" t="e">
        <f ca="1">SQRT($B$9*AVERAGE((Q1195:OFFSET(Q1195,$B$6-1,0))))</f>
        <v>#DIV/0!</v>
      </c>
      <c r="T1195" s="5" t="e">
        <f ca="1">SQRT($B$9*AVERAGE((Q1195:OFFSET(Q1195,$B$7-1,0))))</f>
        <v>#DIV/0!</v>
      </c>
      <c r="U1195" s="5" t="e">
        <f ca="1">SQRT($B$9*AVERAGE((Q1195:OFFSET(Q1195,$B$8-1,0))))</f>
        <v>#DIV/0!</v>
      </c>
      <c r="W1195" s="6" t="e">
        <f t="shared" si="102"/>
        <v>#DIV/0!</v>
      </c>
      <c r="X1195" s="6" t="e">
        <f ca="1">SQRT($B$9*AVERAGE(W1195:OFFSET(W1195,$B$5-1,0)))</f>
        <v>#DIV/0!</v>
      </c>
      <c r="Y1195" s="6" t="e">
        <f ca="1">SQRT($B$9*AVERAGE(W1195:OFFSET(W1195,$B$6-1,0)))</f>
        <v>#DIV/0!</v>
      </c>
      <c r="Z1195" s="6" t="e">
        <f ca="1">SQRT($B$9*AVERAGE(W1195:OFFSET(W1195,$B$7-1,0)))</f>
        <v>#DIV/0!</v>
      </c>
      <c r="AA1195" s="6" t="e">
        <f ca="1">SQRT($B$9*AVERAGE(W1195:OFFSET(W1195,$B$8-1,0)))</f>
        <v>#DIV/0!</v>
      </c>
      <c r="AC1195" s="34" t="e">
        <f t="shared" si="100"/>
        <v>#DIV/0!</v>
      </c>
      <c r="AD1195" s="34" t="e">
        <f ca="1">SQRT($B$9*SUM(AC1195:OFFSET(AC1195,$B$5-1,0))/($B$5-1))</f>
        <v>#DIV/0!</v>
      </c>
      <c r="AE1195" s="34" t="e">
        <f ca="1">SQRT($B$9*SUM(AC1195:OFFSET(AC1195,$B$6-1,0))/($B$6-1))</f>
        <v>#DIV/0!</v>
      </c>
      <c r="AF1195" s="34" t="e">
        <f ca="1">SQRT($B$9*SUM(AC1195:OFFSET(AC1195,$B$7-1,0))/($B$7-1))</f>
        <v>#DIV/0!</v>
      </c>
      <c r="AG1195" s="34" t="e">
        <f ca="1">SQRT($B$9*SUM(AC1195:OFFSET(AC1195,$B$8-1,0))/($B$8-1))</f>
        <v>#DIV/0!</v>
      </c>
      <c r="AI1195" s="1" t="e">
        <f t="shared" si="101"/>
        <v>#DIV/0!</v>
      </c>
      <c r="AJ1195" s="4" t="e">
        <f ca="1">SQRT($B$9)*_xlfn.STDEV.S(AI1195:OFFSET(AI1195,$B$5-1,0))</f>
        <v>#DIV/0!</v>
      </c>
      <c r="AK1195" s="4" t="e">
        <f ca="1">SQRT($B$9)*_xlfn.STDEV.S(AI1195:OFFSET(AI1195,$B$6-1,0))</f>
        <v>#DIV/0!</v>
      </c>
      <c r="AL1195" s="4" t="e">
        <f ca="1">SQRT($B$9)*_xlfn.STDEV.S(AI1195:OFFSET(AI1195,$B$7-1,0))</f>
        <v>#DIV/0!</v>
      </c>
      <c r="AM1195" s="4" t="e">
        <f ca="1">SQRT($B$9)*_xlfn.STDEV.S(AI1195:OFFSET(AI1195,$B$8-1,0))</f>
        <v>#DIV/0!</v>
      </c>
    </row>
    <row r="1196" spans="11:39" x14ac:dyDescent="0.2">
      <c r="K1196" s="3" t="e">
        <f t="shared" si="99"/>
        <v>#DIV/0!</v>
      </c>
      <c r="L1196" s="3" t="e">
        <f ca="1">SQRT(AVERAGE(K1196:OFFSET(K1196,$B$5-1,0))*$B$9/(4*LN(2)))</f>
        <v>#DIV/0!</v>
      </c>
      <c r="M1196" s="3" t="e">
        <f ca="1">SQRT(AVERAGE(K1196:OFFSET(K1196,$B$6-1,0))*$B$9/(4*LN(2)))</f>
        <v>#DIV/0!</v>
      </c>
      <c r="N1196" s="3" t="e">
        <f ca="1">SQRT(AVERAGE(K1196:OFFSET(K1196,$B$7-1,0))*$B$9/(4*LN(2)))</f>
        <v>#DIV/0!</v>
      </c>
      <c r="O1196" s="3" t="e">
        <f ca="1">SQRT(AVERAGE(K1196:OFFSET(K1196,$B$8-1,0))*$B$9/(4*LN(2)))</f>
        <v>#DIV/0!</v>
      </c>
      <c r="Q1196" s="5" t="e">
        <f t="shared" si="98"/>
        <v>#DIV/0!</v>
      </c>
      <c r="R1196" s="5" t="e">
        <f ca="1">SQRT($B$9*AVERAGE((Q1196:OFFSET(Q1196,$B$5-1,0))))</f>
        <v>#DIV/0!</v>
      </c>
      <c r="S1196" s="5" t="e">
        <f ca="1">SQRT($B$9*AVERAGE((Q1196:OFFSET(Q1196,$B$6-1,0))))</f>
        <v>#DIV/0!</v>
      </c>
      <c r="T1196" s="5" t="e">
        <f ca="1">SQRT($B$9*AVERAGE((Q1196:OFFSET(Q1196,$B$7-1,0))))</f>
        <v>#DIV/0!</v>
      </c>
      <c r="U1196" s="5" t="e">
        <f ca="1">SQRT($B$9*AVERAGE((Q1196:OFFSET(Q1196,$B$8-1,0))))</f>
        <v>#DIV/0!</v>
      </c>
      <c r="W1196" s="6" t="e">
        <f t="shared" si="102"/>
        <v>#DIV/0!</v>
      </c>
      <c r="X1196" s="6" t="e">
        <f ca="1">SQRT($B$9*AVERAGE(W1196:OFFSET(W1196,$B$5-1,0)))</f>
        <v>#DIV/0!</v>
      </c>
      <c r="Y1196" s="6" t="e">
        <f ca="1">SQRT($B$9*AVERAGE(W1196:OFFSET(W1196,$B$6-1,0)))</f>
        <v>#DIV/0!</v>
      </c>
      <c r="Z1196" s="6" t="e">
        <f ca="1">SQRT($B$9*AVERAGE(W1196:OFFSET(W1196,$B$7-1,0)))</f>
        <v>#DIV/0!</v>
      </c>
      <c r="AA1196" s="6" t="e">
        <f ca="1">SQRT($B$9*AVERAGE(W1196:OFFSET(W1196,$B$8-1,0)))</f>
        <v>#DIV/0!</v>
      </c>
      <c r="AC1196" s="34" t="e">
        <f t="shared" si="100"/>
        <v>#DIV/0!</v>
      </c>
      <c r="AD1196" s="34" t="e">
        <f ca="1">SQRT($B$9*SUM(AC1196:OFFSET(AC1196,$B$5-1,0))/($B$5-1))</f>
        <v>#DIV/0!</v>
      </c>
      <c r="AE1196" s="34" t="e">
        <f ca="1">SQRT($B$9*SUM(AC1196:OFFSET(AC1196,$B$6-1,0))/($B$6-1))</f>
        <v>#DIV/0!</v>
      </c>
      <c r="AF1196" s="34" t="e">
        <f ca="1">SQRT($B$9*SUM(AC1196:OFFSET(AC1196,$B$7-1,0))/($B$7-1))</f>
        <v>#DIV/0!</v>
      </c>
      <c r="AG1196" s="34" t="e">
        <f ca="1">SQRT($B$9*SUM(AC1196:OFFSET(AC1196,$B$8-1,0))/($B$8-1))</f>
        <v>#DIV/0!</v>
      </c>
      <c r="AI1196" s="1" t="e">
        <f t="shared" si="101"/>
        <v>#DIV/0!</v>
      </c>
      <c r="AJ1196" s="4" t="e">
        <f ca="1">SQRT($B$9)*_xlfn.STDEV.S(AI1196:OFFSET(AI1196,$B$5-1,0))</f>
        <v>#DIV/0!</v>
      </c>
      <c r="AK1196" s="4" t="e">
        <f ca="1">SQRT($B$9)*_xlfn.STDEV.S(AI1196:OFFSET(AI1196,$B$6-1,0))</f>
        <v>#DIV/0!</v>
      </c>
      <c r="AL1196" s="4" t="e">
        <f ca="1">SQRT($B$9)*_xlfn.STDEV.S(AI1196:OFFSET(AI1196,$B$7-1,0))</f>
        <v>#DIV/0!</v>
      </c>
      <c r="AM1196" s="4" t="e">
        <f ca="1">SQRT($B$9)*_xlfn.STDEV.S(AI1196:OFFSET(AI1196,$B$8-1,0))</f>
        <v>#DIV/0!</v>
      </c>
    </row>
    <row r="1197" spans="11:39" x14ac:dyDescent="0.2">
      <c r="K1197" s="3" t="e">
        <f t="shared" si="99"/>
        <v>#DIV/0!</v>
      </c>
      <c r="L1197" s="3" t="e">
        <f ca="1">SQRT(AVERAGE(K1197:OFFSET(K1197,$B$5-1,0))*$B$9/(4*LN(2)))</f>
        <v>#DIV/0!</v>
      </c>
      <c r="M1197" s="3" t="e">
        <f ca="1">SQRT(AVERAGE(K1197:OFFSET(K1197,$B$6-1,0))*$B$9/(4*LN(2)))</f>
        <v>#DIV/0!</v>
      </c>
      <c r="N1197" s="3" t="e">
        <f ca="1">SQRT(AVERAGE(K1197:OFFSET(K1197,$B$7-1,0))*$B$9/(4*LN(2)))</f>
        <v>#DIV/0!</v>
      </c>
      <c r="O1197" s="3" t="e">
        <f ca="1">SQRT(AVERAGE(K1197:OFFSET(K1197,$B$8-1,0))*$B$9/(4*LN(2)))</f>
        <v>#DIV/0!</v>
      </c>
      <c r="Q1197" s="5" t="e">
        <f t="shared" si="98"/>
        <v>#DIV/0!</v>
      </c>
      <c r="R1197" s="5" t="e">
        <f ca="1">SQRT($B$9*AVERAGE((Q1197:OFFSET(Q1197,$B$5-1,0))))</f>
        <v>#DIV/0!</v>
      </c>
      <c r="S1197" s="5" t="e">
        <f ca="1">SQRT($B$9*AVERAGE((Q1197:OFFSET(Q1197,$B$6-1,0))))</f>
        <v>#DIV/0!</v>
      </c>
      <c r="T1197" s="5" t="e">
        <f ca="1">SQRT($B$9*AVERAGE((Q1197:OFFSET(Q1197,$B$7-1,0))))</f>
        <v>#DIV/0!</v>
      </c>
      <c r="U1197" s="5" t="e">
        <f ca="1">SQRT($B$9*AVERAGE((Q1197:OFFSET(Q1197,$B$8-1,0))))</f>
        <v>#DIV/0!</v>
      </c>
      <c r="W1197" s="6" t="e">
        <f t="shared" si="102"/>
        <v>#DIV/0!</v>
      </c>
      <c r="X1197" s="6" t="e">
        <f ca="1">SQRT($B$9*AVERAGE(W1197:OFFSET(W1197,$B$5-1,0)))</f>
        <v>#DIV/0!</v>
      </c>
      <c r="Y1197" s="6" t="e">
        <f ca="1">SQRT($B$9*AVERAGE(W1197:OFFSET(W1197,$B$6-1,0)))</f>
        <v>#DIV/0!</v>
      </c>
      <c r="Z1197" s="6" t="e">
        <f ca="1">SQRT($B$9*AVERAGE(W1197:OFFSET(W1197,$B$7-1,0)))</f>
        <v>#DIV/0!</v>
      </c>
      <c r="AA1197" s="6" t="e">
        <f ca="1">SQRT($B$9*AVERAGE(W1197:OFFSET(W1197,$B$8-1,0)))</f>
        <v>#DIV/0!</v>
      </c>
      <c r="AC1197" s="34" t="e">
        <f t="shared" si="100"/>
        <v>#DIV/0!</v>
      </c>
      <c r="AD1197" s="34" t="e">
        <f ca="1">SQRT($B$9*SUM(AC1197:OFFSET(AC1197,$B$5-1,0))/($B$5-1))</f>
        <v>#DIV/0!</v>
      </c>
      <c r="AE1197" s="34" t="e">
        <f ca="1">SQRT($B$9*SUM(AC1197:OFFSET(AC1197,$B$6-1,0))/($B$6-1))</f>
        <v>#DIV/0!</v>
      </c>
      <c r="AF1197" s="34" t="e">
        <f ca="1">SQRT($B$9*SUM(AC1197:OFFSET(AC1197,$B$7-1,0))/($B$7-1))</f>
        <v>#DIV/0!</v>
      </c>
      <c r="AG1197" s="34" t="e">
        <f ca="1">SQRT($B$9*SUM(AC1197:OFFSET(AC1197,$B$8-1,0))/($B$8-1))</f>
        <v>#DIV/0!</v>
      </c>
      <c r="AI1197" s="1" t="e">
        <f t="shared" si="101"/>
        <v>#DIV/0!</v>
      </c>
      <c r="AJ1197" s="4" t="e">
        <f ca="1">SQRT($B$9)*_xlfn.STDEV.S(AI1197:OFFSET(AI1197,$B$5-1,0))</f>
        <v>#DIV/0!</v>
      </c>
      <c r="AK1197" s="4" t="e">
        <f ca="1">SQRT($B$9)*_xlfn.STDEV.S(AI1197:OFFSET(AI1197,$B$6-1,0))</f>
        <v>#DIV/0!</v>
      </c>
      <c r="AL1197" s="4" t="e">
        <f ca="1">SQRT($B$9)*_xlfn.STDEV.S(AI1197:OFFSET(AI1197,$B$7-1,0))</f>
        <v>#DIV/0!</v>
      </c>
      <c r="AM1197" s="4" t="e">
        <f ca="1">SQRT($B$9)*_xlfn.STDEV.S(AI1197:OFFSET(AI1197,$B$8-1,0))</f>
        <v>#DIV/0!</v>
      </c>
    </row>
    <row r="1198" spans="11:39" x14ac:dyDescent="0.2">
      <c r="K1198" s="3" t="e">
        <f t="shared" si="99"/>
        <v>#DIV/0!</v>
      </c>
      <c r="L1198" s="3" t="e">
        <f ca="1">SQRT(AVERAGE(K1198:OFFSET(K1198,$B$5-1,0))*$B$9/(4*LN(2)))</f>
        <v>#DIV/0!</v>
      </c>
      <c r="M1198" s="3" t="e">
        <f ca="1">SQRT(AVERAGE(K1198:OFFSET(K1198,$B$6-1,0))*$B$9/(4*LN(2)))</f>
        <v>#DIV/0!</v>
      </c>
      <c r="N1198" s="3" t="e">
        <f ca="1">SQRT(AVERAGE(K1198:OFFSET(K1198,$B$7-1,0))*$B$9/(4*LN(2)))</f>
        <v>#DIV/0!</v>
      </c>
      <c r="O1198" s="3" t="e">
        <f ca="1">SQRT(AVERAGE(K1198:OFFSET(K1198,$B$8-1,0))*$B$9/(4*LN(2)))</f>
        <v>#DIV/0!</v>
      </c>
      <c r="Q1198" s="5" t="e">
        <f t="shared" si="98"/>
        <v>#DIV/0!</v>
      </c>
      <c r="R1198" s="5" t="e">
        <f ca="1">SQRT($B$9*AVERAGE((Q1198:OFFSET(Q1198,$B$5-1,0))))</f>
        <v>#DIV/0!</v>
      </c>
      <c r="S1198" s="5" t="e">
        <f ca="1">SQRT($B$9*AVERAGE((Q1198:OFFSET(Q1198,$B$6-1,0))))</f>
        <v>#DIV/0!</v>
      </c>
      <c r="T1198" s="5" t="e">
        <f ca="1">SQRT($B$9*AVERAGE((Q1198:OFFSET(Q1198,$B$7-1,0))))</f>
        <v>#DIV/0!</v>
      </c>
      <c r="U1198" s="5" t="e">
        <f ca="1">SQRT($B$9*AVERAGE((Q1198:OFFSET(Q1198,$B$8-1,0))))</f>
        <v>#DIV/0!</v>
      </c>
      <c r="W1198" s="6" t="e">
        <f t="shared" si="102"/>
        <v>#DIV/0!</v>
      </c>
      <c r="X1198" s="6" t="e">
        <f ca="1">SQRT($B$9*AVERAGE(W1198:OFFSET(W1198,$B$5-1,0)))</f>
        <v>#DIV/0!</v>
      </c>
      <c r="Y1198" s="6" t="e">
        <f ca="1">SQRT($B$9*AVERAGE(W1198:OFFSET(W1198,$B$6-1,0)))</f>
        <v>#DIV/0!</v>
      </c>
      <c r="Z1198" s="6" t="e">
        <f ca="1">SQRT($B$9*AVERAGE(W1198:OFFSET(W1198,$B$7-1,0)))</f>
        <v>#DIV/0!</v>
      </c>
      <c r="AA1198" s="6" t="e">
        <f ca="1">SQRT($B$9*AVERAGE(W1198:OFFSET(W1198,$B$8-1,0)))</f>
        <v>#DIV/0!</v>
      </c>
      <c r="AC1198" s="34" t="e">
        <f t="shared" si="100"/>
        <v>#DIV/0!</v>
      </c>
      <c r="AD1198" s="34" t="e">
        <f ca="1">SQRT($B$9*SUM(AC1198:OFFSET(AC1198,$B$5-1,0))/($B$5-1))</f>
        <v>#DIV/0!</v>
      </c>
      <c r="AE1198" s="34" t="e">
        <f ca="1">SQRT($B$9*SUM(AC1198:OFFSET(AC1198,$B$6-1,0))/($B$6-1))</f>
        <v>#DIV/0!</v>
      </c>
      <c r="AF1198" s="34" t="e">
        <f ca="1">SQRT($B$9*SUM(AC1198:OFFSET(AC1198,$B$7-1,0))/($B$7-1))</f>
        <v>#DIV/0!</v>
      </c>
      <c r="AG1198" s="34" t="e">
        <f ca="1">SQRT($B$9*SUM(AC1198:OFFSET(AC1198,$B$8-1,0))/($B$8-1))</f>
        <v>#DIV/0!</v>
      </c>
      <c r="AI1198" s="1" t="e">
        <f t="shared" si="101"/>
        <v>#DIV/0!</v>
      </c>
      <c r="AJ1198" s="4" t="e">
        <f ca="1">SQRT($B$9)*_xlfn.STDEV.S(AI1198:OFFSET(AI1198,$B$5-1,0))</f>
        <v>#DIV/0!</v>
      </c>
      <c r="AK1198" s="4" t="e">
        <f ca="1">SQRT($B$9)*_xlfn.STDEV.S(AI1198:OFFSET(AI1198,$B$6-1,0))</f>
        <v>#DIV/0!</v>
      </c>
      <c r="AL1198" s="4" t="e">
        <f ca="1">SQRT($B$9)*_xlfn.STDEV.S(AI1198:OFFSET(AI1198,$B$7-1,0))</f>
        <v>#DIV/0!</v>
      </c>
      <c r="AM1198" s="4" t="e">
        <f ca="1">SQRT($B$9)*_xlfn.STDEV.S(AI1198:OFFSET(AI1198,$B$8-1,0))</f>
        <v>#DIV/0!</v>
      </c>
    </row>
    <row r="1199" spans="11:39" x14ac:dyDescent="0.2">
      <c r="K1199" s="3" t="e">
        <f t="shared" si="99"/>
        <v>#DIV/0!</v>
      </c>
      <c r="L1199" s="3" t="e">
        <f ca="1">SQRT(AVERAGE(K1199:OFFSET(K1199,$B$5-1,0))*$B$9/(4*LN(2)))</f>
        <v>#DIV/0!</v>
      </c>
      <c r="M1199" s="3" t="e">
        <f ca="1">SQRT(AVERAGE(K1199:OFFSET(K1199,$B$6-1,0))*$B$9/(4*LN(2)))</f>
        <v>#DIV/0!</v>
      </c>
      <c r="N1199" s="3" t="e">
        <f ca="1">SQRT(AVERAGE(K1199:OFFSET(K1199,$B$7-1,0))*$B$9/(4*LN(2)))</f>
        <v>#DIV/0!</v>
      </c>
      <c r="O1199" s="3" t="e">
        <f ca="1">SQRT(AVERAGE(K1199:OFFSET(K1199,$B$8-1,0))*$B$9/(4*LN(2)))</f>
        <v>#DIV/0!</v>
      </c>
      <c r="Q1199" s="5" t="e">
        <f t="shared" si="98"/>
        <v>#DIV/0!</v>
      </c>
      <c r="R1199" s="5" t="e">
        <f ca="1">SQRT($B$9*AVERAGE((Q1199:OFFSET(Q1199,$B$5-1,0))))</f>
        <v>#DIV/0!</v>
      </c>
      <c r="S1199" s="5" t="e">
        <f ca="1">SQRT($B$9*AVERAGE((Q1199:OFFSET(Q1199,$B$6-1,0))))</f>
        <v>#DIV/0!</v>
      </c>
      <c r="T1199" s="5" t="e">
        <f ca="1">SQRT($B$9*AVERAGE((Q1199:OFFSET(Q1199,$B$7-1,0))))</f>
        <v>#DIV/0!</v>
      </c>
      <c r="U1199" s="5" t="e">
        <f ca="1">SQRT($B$9*AVERAGE((Q1199:OFFSET(Q1199,$B$8-1,0))))</f>
        <v>#DIV/0!</v>
      </c>
      <c r="W1199" s="6" t="e">
        <f t="shared" si="102"/>
        <v>#DIV/0!</v>
      </c>
      <c r="X1199" s="6" t="e">
        <f ca="1">SQRT($B$9*AVERAGE(W1199:OFFSET(W1199,$B$5-1,0)))</f>
        <v>#DIV/0!</v>
      </c>
      <c r="Y1199" s="6" t="e">
        <f ca="1">SQRT($B$9*AVERAGE(W1199:OFFSET(W1199,$B$6-1,0)))</f>
        <v>#DIV/0!</v>
      </c>
      <c r="Z1199" s="6" t="e">
        <f ca="1">SQRT($B$9*AVERAGE(W1199:OFFSET(W1199,$B$7-1,0)))</f>
        <v>#DIV/0!</v>
      </c>
      <c r="AA1199" s="6" t="e">
        <f ca="1">SQRT($B$9*AVERAGE(W1199:OFFSET(W1199,$B$8-1,0)))</f>
        <v>#DIV/0!</v>
      </c>
      <c r="AC1199" s="34" t="e">
        <f t="shared" si="100"/>
        <v>#DIV/0!</v>
      </c>
      <c r="AD1199" s="34" t="e">
        <f ca="1">SQRT($B$9*SUM(AC1199:OFFSET(AC1199,$B$5-1,0))/($B$5-1))</f>
        <v>#DIV/0!</v>
      </c>
      <c r="AE1199" s="34" t="e">
        <f ca="1">SQRT($B$9*SUM(AC1199:OFFSET(AC1199,$B$6-1,0))/($B$6-1))</f>
        <v>#DIV/0!</v>
      </c>
      <c r="AF1199" s="34" t="e">
        <f ca="1">SQRT($B$9*SUM(AC1199:OFFSET(AC1199,$B$7-1,0))/($B$7-1))</f>
        <v>#DIV/0!</v>
      </c>
      <c r="AG1199" s="34" t="e">
        <f ca="1">SQRT($B$9*SUM(AC1199:OFFSET(AC1199,$B$8-1,0))/($B$8-1))</f>
        <v>#DIV/0!</v>
      </c>
      <c r="AI1199" s="1" t="e">
        <f t="shared" si="101"/>
        <v>#DIV/0!</v>
      </c>
      <c r="AJ1199" s="4" t="e">
        <f ca="1">SQRT($B$9)*_xlfn.STDEV.S(AI1199:OFFSET(AI1199,$B$5-1,0))</f>
        <v>#DIV/0!</v>
      </c>
      <c r="AK1199" s="4" t="e">
        <f ca="1">SQRT($B$9)*_xlfn.STDEV.S(AI1199:OFFSET(AI1199,$B$6-1,0))</f>
        <v>#DIV/0!</v>
      </c>
      <c r="AL1199" s="4" t="e">
        <f ca="1">SQRT($B$9)*_xlfn.STDEV.S(AI1199:OFFSET(AI1199,$B$7-1,0))</f>
        <v>#DIV/0!</v>
      </c>
      <c r="AM1199" s="4" t="e">
        <f ca="1">SQRT($B$9)*_xlfn.STDEV.S(AI1199:OFFSET(AI1199,$B$8-1,0))</f>
        <v>#DIV/0!</v>
      </c>
    </row>
    <row r="1200" spans="11:39" x14ac:dyDescent="0.2">
      <c r="K1200" s="3" t="e">
        <f t="shared" si="99"/>
        <v>#DIV/0!</v>
      </c>
      <c r="L1200" s="3" t="e">
        <f ca="1">SQRT(AVERAGE(K1200:OFFSET(K1200,$B$5-1,0))*$B$9/(4*LN(2)))</f>
        <v>#DIV/0!</v>
      </c>
      <c r="M1200" s="3" t="e">
        <f ca="1">SQRT(AVERAGE(K1200:OFFSET(K1200,$B$6-1,0))*$B$9/(4*LN(2)))</f>
        <v>#DIV/0!</v>
      </c>
      <c r="N1200" s="3" t="e">
        <f ca="1">SQRT(AVERAGE(K1200:OFFSET(K1200,$B$7-1,0))*$B$9/(4*LN(2)))</f>
        <v>#DIV/0!</v>
      </c>
      <c r="O1200" s="3" t="e">
        <f ca="1">SQRT(AVERAGE(K1200:OFFSET(K1200,$B$8-1,0))*$B$9/(4*LN(2)))</f>
        <v>#DIV/0!</v>
      </c>
      <c r="Q1200" s="5" t="e">
        <f t="shared" si="98"/>
        <v>#DIV/0!</v>
      </c>
      <c r="R1200" s="5" t="e">
        <f ca="1">SQRT($B$9*AVERAGE((Q1200:OFFSET(Q1200,$B$5-1,0))))</f>
        <v>#DIV/0!</v>
      </c>
      <c r="S1200" s="5" t="e">
        <f ca="1">SQRT($B$9*AVERAGE((Q1200:OFFSET(Q1200,$B$6-1,0))))</f>
        <v>#DIV/0!</v>
      </c>
      <c r="T1200" s="5" t="e">
        <f ca="1">SQRT($B$9*AVERAGE((Q1200:OFFSET(Q1200,$B$7-1,0))))</f>
        <v>#DIV/0!</v>
      </c>
      <c r="U1200" s="5" t="e">
        <f ca="1">SQRT($B$9*AVERAGE((Q1200:OFFSET(Q1200,$B$8-1,0))))</f>
        <v>#DIV/0!</v>
      </c>
      <c r="W1200" s="6" t="e">
        <f t="shared" si="102"/>
        <v>#DIV/0!</v>
      </c>
      <c r="X1200" s="6" t="e">
        <f ca="1">SQRT($B$9*AVERAGE(W1200:OFFSET(W1200,$B$5-1,0)))</f>
        <v>#DIV/0!</v>
      </c>
      <c r="Y1200" s="6" t="e">
        <f ca="1">SQRT($B$9*AVERAGE(W1200:OFFSET(W1200,$B$6-1,0)))</f>
        <v>#DIV/0!</v>
      </c>
      <c r="Z1200" s="6" t="e">
        <f ca="1">SQRT($B$9*AVERAGE(W1200:OFFSET(W1200,$B$7-1,0)))</f>
        <v>#DIV/0!</v>
      </c>
      <c r="AA1200" s="6" t="e">
        <f ca="1">SQRT($B$9*AVERAGE(W1200:OFFSET(W1200,$B$8-1,0)))</f>
        <v>#DIV/0!</v>
      </c>
      <c r="AC1200" s="34" t="e">
        <f t="shared" si="100"/>
        <v>#DIV/0!</v>
      </c>
      <c r="AD1200" s="34" t="e">
        <f ca="1">SQRT($B$9*SUM(AC1200:OFFSET(AC1200,$B$5-1,0))/($B$5-1))</f>
        <v>#DIV/0!</v>
      </c>
      <c r="AE1200" s="34" t="e">
        <f ca="1">SQRT($B$9*SUM(AC1200:OFFSET(AC1200,$B$6-1,0))/($B$6-1))</f>
        <v>#DIV/0!</v>
      </c>
      <c r="AF1200" s="34" t="e">
        <f ca="1">SQRT($B$9*SUM(AC1200:OFFSET(AC1200,$B$7-1,0))/($B$7-1))</f>
        <v>#DIV/0!</v>
      </c>
      <c r="AG1200" s="34" t="e">
        <f ca="1">SQRT($B$9*SUM(AC1200:OFFSET(AC1200,$B$8-1,0))/($B$8-1))</f>
        <v>#DIV/0!</v>
      </c>
      <c r="AI1200" s="1" t="e">
        <f t="shared" si="101"/>
        <v>#DIV/0!</v>
      </c>
      <c r="AJ1200" s="4" t="e">
        <f ca="1">SQRT($B$9)*_xlfn.STDEV.S(AI1200:OFFSET(AI1200,$B$5-1,0))</f>
        <v>#DIV/0!</v>
      </c>
      <c r="AK1200" s="4" t="e">
        <f ca="1">SQRT($B$9)*_xlfn.STDEV.S(AI1200:OFFSET(AI1200,$B$6-1,0))</f>
        <v>#DIV/0!</v>
      </c>
      <c r="AL1200" s="4" t="e">
        <f ca="1">SQRT($B$9)*_xlfn.STDEV.S(AI1200:OFFSET(AI1200,$B$7-1,0))</f>
        <v>#DIV/0!</v>
      </c>
      <c r="AM1200" s="4" t="e">
        <f ca="1">SQRT($B$9)*_xlfn.STDEV.S(AI1200:OFFSET(AI1200,$B$8-1,0))</f>
        <v>#DIV/0!</v>
      </c>
    </row>
    <row r="1201" spans="11:39" x14ac:dyDescent="0.2">
      <c r="K1201" s="3" t="e">
        <f t="shared" si="99"/>
        <v>#DIV/0!</v>
      </c>
      <c r="L1201" s="3" t="e">
        <f ca="1">SQRT(AVERAGE(K1201:OFFSET(K1201,$B$5-1,0))*$B$9/(4*LN(2)))</f>
        <v>#DIV/0!</v>
      </c>
      <c r="M1201" s="3" t="e">
        <f ca="1">SQRT(AVERAGE(K1201:OFFSET(K1201,$B$6-1,0))*$B$9/(4*LN(2)))</f>
        <v>#DIV/0!</v>
      </c>
      <c r="N1201" s="3" t="e">
        <f ca="1">SQRT(AVERAGE(K1201:OFFSET(K1201,$B$7-1,0))*$B$9/(4*LN(2)))</f>
        <v>#DIV/0!</v>
      </c>
      <c r="O1201" s="3" t="e">
        <f ca="1">SQRT(AVERAGE(K1201:OFFSET(K1201,$B$8-1,0))*$B$9/(4*LN(2)))</f>
        <v>#DIV/0!</v>
      </c>
      <c r="Q1201" s="5" t="e">
        <f t="shared" si="98"/>
        <v>#DIV/0!</v>
      </c>
      <c r="R1201" s="5" t="e">
        <f ca="1">SQRT($B$9*AVERAGE((Q1201:OFFSET(Q1201,$B$5-1,0))))</f>
        <v>#DIV/0!</v>
      </c>
      <c r="S1201" s="5" t="e">
        <f ca="1">SQRT($B$9*AVERAGE((Q1201:OFFSET(Q1201,$B$6-1,0))))</f>
        <v>#DIV/0!</v>
      </c>
      <c r="T1201" s="5" t="e">
        <f ca="1">SQRT($B$9*AVERAGE((Q1201:OFFSET(Q1201,$B$7-1,0))))</f>
        <v>#DIV/0!</v>
      </c>
      <c r="U1201" s="5" t="e">
        <f ca="1">SQRT($B$9*AVERAGE((Q1201:OFFSET(Q1201,$B$8-1,0))))</f>
        <v>#DIV/0!</v>
      </c>
      <c r="W1201" s="6" t="e">
        <f t="shared" si="102"/>
        <v>#DIV/0!</v>
      </c>
      <c r="X1201" s="6" t="e">
        <f ca="1">SQRT($B$9*AVERAGE(W1201:OFFSET(W1201,$B$5-1,0)))</f>
        <v>#DIV/0!</v>
      </c>
      <c r="Y1201" s="6" t="e">
        <f ca="1">SQRT($B$9*AVERAGE(W1201:OFFSET(W1201,$B$6-1,0)))</f>
        <v>#DIV/0!</v>
      </c>
      <c r="Z1201" s="6" t="e">
        <f ca="1">SQRT($B$9*AVERAGE(W1201:OFFSET(W1201,$B$7-1,0)))</f>
        <v>#DIV/0!</v>
      </c>
      <c r="AA1201" s="6" t="e">
        <f ca="1">SQRT($B$9*AVERAGE(W1201:OFFSET(W1201,$B$8-1,0)))</f>
        <v>#DIV/0!</v>
      </c>
      <c r="AC1201" s="34" t="e">
        <f t="shared" si="100"/>
        <v>#DIV/0!</v>
      </c>
      <c r="AD1201" s="34" t="e">
        <f ca="1">SQRT($B$9*SUM(AC1201:OFFSET(AC1201,$B$5-1,0))/($B$5-1))</f>
        <v>#DIV/0!</v>
      </c>
      <c r="AE1201" s="34" t="e">
        <f ca="1">SQRT($B$9*SUM(AC1201:OFFSET(AC1201,$B$6-1,0))/($B$6-1))</f>
        <v>#DIV/0!</v>
      </c>
      <c r="AF1201" s="34" t="e">
        <f ca="1">SQRT($B$9*SUM(AC1201:OFFSET(AC1201,$B$7-1,0))/($B$7-1))</f>
        <v>#DIV/0!</v>
      </c>
      <c r="AG1201" s="34" t="e">
        <f ca="1">SQRT($B$9*SUM(AC1201:OFFSET(AC1201,$B$8-1,0))/($B$8-1))</f>
        <v>#DIV/0!</v>
      </c>
      <c r="AI1201" s="1" t="e">
        <f t="shared" si="101"/>
        <v>#DIV/0!</v>
      </c>
      <c r="AJ1201" s="4" t="e">
        <f ca="1">SQRT($B$9)*_xlfn.STDEV.S(AI1201:OFFSET(AI1201,$B$5-1,0))</f>
        <v>#DIV/0!</v>
      </c>
      <c r="AK1201" s="4" t="e">
        <f ca="1">SQRT($B$9)*_xlfn.STDEV.S(AI1201:OFFSET(AI1201,$B$6-1,0))</f>
        <v>#DIV/0!</v>
      </c>
      <c r="AL1201" s="4" t="e">
        <f ca="1">SQRT($B$9)*_xlfn.STDEV.S(AI1201:OFFSET(AI1201,$B$7-1,0))</f>
        <v>#DIV/0!</v>
      </c>
      <c r="AM1201" s="4" t="e">
        <f ca="1">SQRT($B$9)*_xlfn.STDEV.S(AI1201:OFFSET(AI1201,$B$8-1,0))</f>
        <v>#DIV/0!</v>
      </c>
    </row>
    <row r="1202" spans="11:39" x14ac:dyDescent="0.2">
      <c r="K1202" s="3" t="e">
        <f t="shared" si="99"/>
        <v>#DIV/0!</v>
      </c>
      <c r="L1202" s="3" t="e">
        <f ca="1">SQRT(AVERAGE(K1202:OFFSET(K1202,$B$5-1,0))*$B$9/(4*LN(2)))</f>
        <v>#DIV/0!</v>
      </c>
      <c r="M1202" s="3" t="e">
        <f ca="1">SQRT(AVERAGE(K1202:OFFSET(K1202,$B$6-1,0))*$B$9/(4*LN(2)))</f>
        <v>#DIV/0!</v>
      </c>
      <c r="N1202" s="3" t="e">
        <f ca="1">SQRT(AVERAGE(K1202:OFFSET(K1202,$B$7-1,0))*$B$9/(4*LN(2)))</f>
        <v>#DIV/0!</v>
      </c>
      <c r="O1202" s="3" t="e">
        <f ca="1">SQRT(AVERAGE(K1202:OFFSET(K1202,$B$8-1,0))*$B$9/(4*LN(2)))</f>
        <v>#DIV/0!</v>
      </c>
      <c r="Q1202" s="5" t="e">
        <f t="shared" si="98"/>
        <v>#DIV/0!</v>
      </c>
      <c r="R1202" s="5" t="e">
        <f ca="1">SQRT($B$9*AVERAGE((Q1202:OFFSET(Q1202,$B$5-1,0))))</f>
        <v>#DIV/0!</v>
      </c>
      <c r="S1202" s="5" t="e">
        <f ca="1">SQRT($B$9*AVERAGE((Q1202:OFFSET(Q1202,$B$6-1,0))))</f>
        <v>#DIV/0!</v>
      </c>
      <c r="T1202" s="5" t="e">
        <f ca="1">SQRT($B$9*AVERAGE((Q1202:OFFSET(Q1202,$B$7-1,0))))</f>
        <v>#DIV/0!</v>
      </c>
      <c r="U1202" s="5" t="e">
        <f ca="1">SQRT($B$9*AVERAGE((Q1202:OFFSET(Q1202,$B$8-1,0))))</f>
        <v>#DIV/0!</v>
      </c>
      <c r="W1202" s="6" t="e">
        <f t="shared" si="102"/>
        <v>#DIV/0!</v>
      </c>
      <c r="X1202" s="6" t="e">
        <f ca="1">SQRT($B$9*AVERAGE(W1202:OFFSET(W1202,$B$5-1,0)))</f>
        <v>#DIV/0!</v>
      </c>
      <c r="Y1202" s="6" t="e">
        <f ca="1">SQRT($B$9*AVERAGE(W1202:OFFSET(W1202,$B$6-1,0)))</f>
        <v>#DIV/0!</v>
      </c>
      <c r="Z1202" s="6" t="e">
        <f ca="1">SQRT($B$9*AVERAGE(W1202:OFFSET(W1202,$B$7-1,0)))</f>
        <v>#DIV/0!</v>
      </c>
      <c r="AA1202" s="6" t="e">
        <f ca="1">SQRT($B$9*AVERAGE(W1202:OFFSET(W1202,$B$8-1,0)))</f>
        <v>#DIV/0!</v>
      </c>
      <c r="AC1202" s="34" t="e">
        <f t="shared" si="100"/>
        <v>#DIV/0!</v>
      </c>
      <c r="AD1202" s="34" t="e">
        <f ca="1">SQRT($B$9*SUM(AC1202:OFFSET(AC1202,$B$5-1,0))/($B$5-1))</f>
        <v>#DIV/0!</v>
      </c>
      <c r="AE1202" s="34" t="e">
        <f ca="1">SQRT($B$9*SUM(AC1202:OFFSET(AC1202,$B$6-1,0))/($B$6-1))</f>
        <v>#DIV/0!</v>
      </c>
      <c r="AF1202" s="34" t="e">
        <f ca="1">SQRT($B$9*SUM(AC1202:OFFSET(AC1202,$B$7-1,0))/($B$7-1))</f>
        <v>#DIV/0!</v>
      </c>
      <c r="AG1202" s="34" t="e">
        <f ca="1">SQRT($B$9*SUM(AC1202:OFFSET(AC1202,$B$8-1,0))/($B$8-1))</f>
        <v>#DIV/0!</v>
      </c>
      <c r="AI1202" s="1" t="e">
        <f t="shared" si="101"/>
        <v>#DIV/0!</v>
      </c>
      <c r="AJ1202" s="4" t="e">
        <f ca="1">SQRT($B$9)*_xlfn.STDEV.S(AI1202:OFFSET(AI1202,$B$5-1,0))</f>
        <v>#DIV/0!</v>
      </c>
      <c r="AK1202" s="4" t="e">
        <f ca="1">SQRT($B$9)*_xlfn.STDEV.S(AI1202:OFFSET(AI1202,$B$6-1,0))</f>
        <v>#DIV/0!</v>
      </c>
      <c r="AL1202" s="4" t="e">
        <f ca="1">SQRT($B$9)*_xlfn.STDEV.S(AI1202:OFFSET(AI1202,$B$7-1,0))</f>
        <v>#DIV/0!</v>
      </c>
      <c r="AM1202" s="4" t="e">
        <f ca="1">SQRT($B$9)*_xlfn.STDEV.S(AI1202:OFFSET(AI1202,$B$8-1,0))</f>
        <v>#DIV/0!</v>
      </c>
    </row>
    <row r="1203" spans="11:39" x14ac:dyDescent="0.2">
      <c r="K1203" s="3" t="e">
        <f t="shared" si="99"/>
        <v>#DIV/0!</v>
      </c>
      <c r="L1203" s="3" t="e">
        <f ca="1">SQRT(AVERAGE(K1203:OFFSET(K1203,$B$5-1,0))*$B$9/(4*LN(2)))</f>
        <v>#DIV/0!</v>
      </c>
      <c r="M1203" s="3" t="e">
        <f ca="1">SQRT(AVERAGE(K1203:OFFSET(K1203,$B$6-1,0))*$B$9/(4*LN(2)))</f>
        <v>#DIV/0!</v>
      </c>
      <c r="N1203" s="3" t="e">
        <f ca="1">SQRT(AVERAGE(K1203:OFFSET(K1203,$B$7-1,0))*$B$9/(4*LN(2)))</f>
        <v>#DIV/0!</v>
      </c>
      <c r="O1203" s="3" t="e">
        <f ca="1">SQRT(AVERAGE(K1203:OFFSET(K1203,$B$8-1,0))*$B$9/(4*LN(2)))</f>
        <v>#DIV/0!</v>
      </c>
      <c r="Q1203" s="5" t="e">
        <f t="shared" si="98"/>
        <v>#DIV/0!</v>
      </c>
      <c r="R1203" s="5" t="e">
        <f ca="1">SQRT($B$9*AVERAGE((Q1203:OFFSET(Q1203,$B$5-1,0))))</f>
        <v>#DIV/0!</v>
      </c>
      <c r="S1203" s="5" t="e">
        <f ca="1">SQRT($B$9*AVERAGE((Q1203:OFFSET(Q1203,$B$6-1,0))))</f>
        <v>#DIV/0!</v>
      </c>
      <c r="T1203" s="5" t="e">
        <f ca="1">SQRT($B$9*AVERAGE((Q1203:OFFSET(Q1203,$B$7-1,0))))</f>
        <v>#DIV/0!</v>
      </c>
      <c r="U1203" s="5" t="e">
        <f ca="1">SQRT($B$9*AVERAGE((Q1203:OFFSET(Q1203,$B$8-1,0))))</f>
        <v>#DIV/0!</v>
      </c>
      <c r="W1203" s="6" t="e">
        <f t="shared" si="102"/>
        <v>#DIV/0!</v>
      </c>
      <c r="X1203" s="6" t="e">
        <f ca="1">SQRT($B$9*AVERAGE(W1203:OFFSET(W1203,$B$5-1,0)))</f>
        <v>#DIV/0!</v>
      </c>
      <c r="Y1203" s="6" t="e">
        <f ca="1">SQRT($B$9*AVERAGE(W1203:OFFSET(W1203,$B$6-1,0)))</f>
        <v>#DIV/0!</v>
      </c>
      <c r="Z1203" s="6" t="e">
        <f ca="1">SQRT($B$9*AVERAGE(W1203:OFFSET(W1203,$B$7-1,0)))</f>
        <v>#DIV/0!</v>
      </c>
      <c r="AA1203" s="6" t="e">
        <f ca="1">SQRT($B$9*AVERAGE(W1203:OFFSET(W1203,$B$8-1,0)))</f>
        <v>#DIV/0!</v>
      </c>
      <c r="AC1203" s="34" t="e">
        <f t="shared" si="100"/>
        <v>#DIV/0!</v>
      </c>
      <c r="AD1203" s="34" t="e">
        <f ca="1">SQRT($B$9*SUM(AC1203:OFFSET(AC1203,$B$5-1,0))/($B$5-1))</f>
        <v>#DIV/0!</v>
      </c>
      <c r="AE1203" s="34" t="e">
        <f ca="1">SQRT($B$9*SUM(AC1203:OFFSET(AC1203,$B$6-1,0))/($B$6-1))</f>
        <v>#DIV/0!</v>
      </c>
      <c r="AF1203" s="34" t="e">
        <f ca="1">SQRT($B$9*SUM(AC1203:OFFSET(AC1203,$B$7-1,0))/($B$7-1))</f>
        <v>#DIV/0!</v>
      </c>
      <c r="AG1203" s="34" t="e">
        <f ca="1">SQRT($B$9*SUM(AC1203:OFFSET(AC1203,$B$8-1,0))/($B$8-1))</f>
        <v>#DIV/0!</v>
      </c>
      <c r="AI1203" s="1" t="e">
        <f t="shared" si="101"/>
        <v>#DIV/0!</v>
      </c>
      <c r="AJ1203" s="4" t="e">
        <f ca="1">SQRT($B$9)*_xlfn.STDEV.S(AI1203:OFFSET(AI1203,$B$5-1,0))</f>
        <v>#DIV/0!</v>
      </c>
      <c r="AK1203" s="4" t="e">
        <f ca="1">SQRT($B$9)*_xlfn.STDEV.S(AI1203:OFFSET(AI1203,$B$6-1,0))</f>
        <v>#DIV/0!</v>
      </c>
      <c r="AL1203" s="4" t="e">
        <f ca="1">SQRT($B$9)*_xlfn.STDEV.S(AI1203:OFFSET(AI1203,$B$7-1,0))</f>
        <v>#DIV/0!</v>
      </c>
      <c r="AM1203" s="4" t="e">
        <f ca="1">SQRT($B$9)*_xlfn.STDEV.S(AI1203:OFFSET(AI1203,$B$8-1,0))</f>
        <v>#DIV/0!</v>
      </c>
    </row>
    <row r="1204" spans="11:39" x14ac:dyDescent="0.2">
      <c r="K1204" s="3" t="e">
        <f t="shared" si="99"/>
        <v>#DIV/0!</v>
      </c>
      <c r="L1204" s="3" t="e">
        <f ca="1">SQRT(AVERAGE(K1204:OFFSET(K1204,$B$5-1,0))*$B$9/(4*LN(2)))</f>
        <v>#DIV/0!</v>
      </c>
      <c r="M1204" s="3" t="e">
        <f ca="1">SQRT(AVERAGE(K1204:OFFSET(K1204,$B$6-1,0))*$B$9/(4*LN(2)))</f>
        <v>#DIV/0!</v>
      </c>
      <c r="N1204" s="3" t="e">
        <f ca="1">SQRT(AVERAGE(K1204:OFFSET(K1204,$B$7-1,0))*$B$9/(4*LN(2)))</f>
        <v>#DIV/0!</v>
      </c>
      <c r="O1204" s="3" t="e">
        <f ca="1">SQRT(AVERAGE(K1204:OFFSET(K1204,$B$8-1,0))*$B$9/(4*LN(2)))</f>
        <v>#DIV/0!</v>
      </c>
      <c r="Q1204" s="5" t="e">
        <f t="shared" si="98"/>
        <v>#DIV/0!</v>
      </c>
      <c r="R1204" s="5" t="e">
        <f ca="1">SQRT($B$9*AVERAGE((Q1204:OFFSET(Q1204,$B$5-1,0))))</f>
        <v>#DIV/0!</v>
      </c>
      <c r="S1204" s="5" t="e">
        <f ca="1">SQRT($B$9*AVERAGE((Q1204:OFFSET(Q1204,$B$6-1,0))))</f>
        <v>#DIV/0!</v>
      </c>
      <c r="T1204" s="5" t="e">
        <f ca="1">SQRT($B$9*AVERAGE((Q1204:OFFSET(Q1204,$B$7-1,0))))</f>
        <v>#DIV/0!</v>
      </c>
      <c r="U1204" s="5" t="e">
        <f ca="1">SQRT($B$9*AVERAGE((Q1204:OFFSET(Q1204,$B$8-1,0))))</f>
        <v>#DIV/0!</v>
      </c>
      <c r="W1204" s="6" t="e">
        <f t="shared" si="102"/>
        <v>#DIV/0!</v>
      </c>
      <c r="X1204" s="6" t="e">
        <f ca="1">SQRT($B$9*AVERAGE(W1204:OFFSET(W1204,$B$5-1,0)))</f>
        <v>#DIV/0!</v>
      </c>
      <c r="Y1204" s="6" t="e">
        <f ca="1">SQRT($B$9*AVERAGE(W1204:OFFSET(W1204,$B$6-1,0)))</f>
        <v>#DIV/0!</v>
      </c>
      <c r="Z1204" s="6" t="e">
        <f ca="1">SQRT($B$9*AVERAGE(W1204:OFFSET(W1204,$B$7-1,0)))</f>
        <v>#DIV/0!</v>
      </c>
      <c r="AA1204" s="6" t="e">
        <f ca="1">SQRT($B$9*AVERAGE(W1204:OFFSET(W1204,$B$8-1,0)))</f>
        <v>#DIV/0!</v>
      </c>
      <c r="AC1204" s="34" t="e">
        <f t="shared" si="100"/>
        <v>#DIV/0!</v>
      </c>
      <c r="AD1204" s="34" t="e">
        <f ca="1">SQRT($B$9*SUM(AC1204:OFFSET(AC1204,$B$5-1,0))/($B$5-1))</f>
        <v>#DIV/0!</v>
      </c>
      <c r="AE1204" s="34" t="e">
        <f ca="1">SQRT($B$9*SUM(AC1204:OFFSET(AC1204,$B$6-1,0))/($B$6-1))</f>
        <v>#DIV/0!</v>
      </c>
      <c r="AF1204" s="34" t="e">
        <f ca="1">SQRT($B$9*SUM(AC1204:OFFSET(AC1204,$B$7-1,0))/($B$7-1))</f>
        <v>#DIV/0!</v>
      </c>
      <c r="AG1204" s="34" t="e">
        <f ca="1">SQRT($B$9*SUM(AC1204:OFFSET(AC1204,$B$8-1,0))/($B$8-1))</f>
        <v>#DIV/0!</v>
      </c>
      <c r="AI1204" s="1" t="e">
        <f t="shared" si="101"/>
        <v>#DIV/0!</v>
      </c>
      <c r="AJ1204" s="4" t="e">
        <f ca="1">SQRT($B$9)*_xlfn.STDEV.S(AI1204:OFFSET(AI1204,$B$5-1,0))</f>
        <v>#DIV/0!</v>
      </c>
      <c r="AK1204" s="4" t="e">
        <f ca="1">SQRT($B$9)*_xlfn.STDEV.S(AI1204:OFFSET(AI1204,$B$6-1,0))</f>
        <v>#DIV/0!</v>
      </c>
      <c r="AL1204" s="4" t="e">
        <f ca="1">SQRT($B$9)*_xlfn.STDEV.S(AI1204:OFFSET(AI1204,$B$7-1,0))</f>
        <v>#DIV/0!</v>
      </c>
      <c r="AM1204" s="4" t="e">
        <f ca="1">SQRT($B$9)*_xlfn.STDEV.S(AI1204:OFFSET(AI1204,$B$8-1,0))</f>
        <v>#DIV/0!</v>
      </c>
    </row>
    <row r="1205" spans="11:39" x14ac:dyDescent="0.2">
      <c r="K1205" s="3" t="e">
        <f t="shared" si="99"/>
        <v>#DIV/0!</v>
      </c>
      <c r="L1205" s="3" t="e">
        <f ca="1">SQRT(AVERAGE(K1205:OFFSET(K1205,$B$5-1,0))*$B$9/(4*LN(2)))</f>
        <v>#DIV/0!</v>
      </c>
      <c r="M1205" s="3" t="e">
        <f ca="1">SQRT(AVERAGE(K1205:OFFSET(K1205,$B$6-1,0))*$B$9/(4*LN(2)))</f>
        <v>#DIV/0!</v>
      </c>
      <c r="N1205" s="3" t="e">
        <f ca="1">SQRT(AVERAGE(K1205:OFFSET(K1205,$B$7-1,0))*$B$9/(4*LN(2)))</f>
        <v>#DIV/0!</v>
      </c>
      <c r="O1205" s="3" t="e">
        <f ca="1">SQRT(AVERAGE(K1205:OFFSET(K1205,$B$8-1,0))*$B$9/(4*LN(2)))</f>
        <v>#DIV/0!</v>
      </c>
      <c r="Q1205" s="5" t="e">
        <f t="shared" si="98"/>
        <v>#DIV/0!</v>
      </c>
      <c r="R1205" s="5" t="e">
        <f ca="1">SQRT($B$9*AVERAGE((Q1205:OFFSET(Q1205,$B$5-1,0))))</f>
        <v>#DIV/0!</v>
      </c>
      <c r="S1205" s="5" t="e">
        <f ca="1">SQRT($B$9*AVERAGE((Q1205:OFFSET(Q1205,$B$6-1,0))))</f>
        <v>#DIV/0!</v>
      </c>
      <c r="T1205" s="5" t="e">
        <f ca="1">SQRT($B$9*AVERAGE((Q1205:OFFSET(Q1205,$B$7-1,0))))</f>
        <v>#DIV/0!</v>
      </c>
      <c r="U1205" s="5" t="e">
        <f ca="1">SQRT($B$9*AVERAGE((Q1205:OFFSET(Q1205,$B$8-1,0))))</f>
        <v>#DIV/0!</v>
      </c>
      <c r="W1205" s="6" t="e">
        <f t="shared" si="102"/>
        <v>#DIV/0!</v>
      </c>
      <c r="X1205" s="6" t="e">
        <f ca="1">SQRT($B$9*AVERAGE(W1205:OFFSET(W1205,$B$5-1,0)))</f>
        <v>#DIV/0!</v>
      </c>
      <c r="Y1205" s="6" t="e">
        <f ca="1">SQRT($B$9*AVERAGE(W1205:OFFSET(W1205,$B$6-1,0)))</f>
        <v>#DIV/0!</v>
      </c>
      <c r="Z1205" s="6" t="e">
        <f ca="1">SQRT($B$9*AVERAGE(W1205:OFFSET(W1205,$B$7-1,0)))</f>
        <v>#DIV/0!</v>
      </c>
      <c r="AA1205" s="6" t="e">
        <f ca="1">SQRT($B$9*AVERAGE(W1205:OFFSET(W1205,$B$8-1,0)))</f>
        <v>#DIV/0!</v>
      </c>
      <c r="AC1205" s="34" t="e">
        <f t="shared" si="100"/>
        <v>#DIV/0!</v>
      </c>
      <c r="AD1205" s="34" t="e">
        <f ca="1">SQRT($B$9*SUM(AC1205:OFFSET(AC1205,$B$5-1,0))/($B$5-1))</f>
        <v>#DIV/0!</v>
      </c>
      <c r="AE1205" s="34" t="e">
        <f ca="1">SQRT($B$9*SUM(AC1205:OFFSET(AC1205,$B$6-1,0))/($B$6-1))</f>
        <v>#DIV/0!</v>
      </c>
      <c r="AF1205" s="34" t="e">
        <f ca="1">SQRT($B$9*SUM(AC1205:OFFSET(AC1205,$B$7-1,0))/($B$7-1))</f>
        <v>#DIV/0!</v>
      </c>
      <c r="AG1205" s="34" t="e">
        <f ca="1">SQRT($B$9*SUM(AC1205:OFFSET(AC1205,$B$8-1,0))/($B$8-1))</f>
        <v>#DIV/0!</v>
      </c>
      <c r="AI1205" s="1" t="e">
        <f t="shared" si="101"/>
        <v>#DIV/0!</v>
      </c>
      <c r="AJ1205" s="4" t="e">
        <f ca="1">SQRT($B$9)*_xlfn.STDEV.S(AI1205:OFFSET(AI1205,$B$5-1,0))</f>
        <v>#DIV/0!</v>
      </c>
      <c r="AK1205" s="4" t="e">
        <f ca="1">SQRT($B$9)*_xlfn.STDEV.S(AI1205:OFFSET(AI1205,$B$6-1,0))</f>
        <v>#DIV/0!</v>
      </c>
      <c r="AL1205" s="4" t="e">
        <f ca="1">SQRT($B$9)*_xlfn.STDEV.S(AI1205:OFFSET(AI1205,$B$7-1,0))</f>
        <v>#DIV/0!</v>
      </c>
      <c r="AM1205" s="4" t="e">
        <f ca="1">SQRT($B$9)*_xlfn.STDEV.S(AI1205:OFFSET(AI1205,$B$8-1,0))</f>
        <v>#DIV/0!</v>
      </c>
    </row>
    <row r="1206" spans="11:39" x14ac:dyDescent="0.2">
      <c r="K1206" s="3" t="e">
        <f t="shared" si="99"/>
        <v>#DIV/0!</v>
      </c>
      <c r="L1206" s="3" t="e">
        <f ca="1">SQRT(AVERAGE(K1206:OFFSET(K1206,$B$5-1,0))*$B$9/(4*LN(2)))</f>
        <v>#DIV/0!</v>
      </c>
      <c r="M1206" s="3" t="e">
        <f ca="1">SQRT(AVERAGE(K1206:OFFSET(K1206,$B$6-1,0))*$B$9/(4*LN(2)))</f>
        <v>#DIV/0!</v>
      </c>
      <c r="N1206" s="3" t="e">
        <f ca="1">SQRT(AVERAGE(K1206:OFFSET(K1206,$B$7-1,0))*$B$9/(4*LN(2)))</f>
        <v>#DIV/0!</v>
      </c>
      <c r="O1206" s="3" t="e">
        <f ca="1">SQRT(AVERAGE(K1206:OFFSET(K1206,$B$8-1,0))*$B$9/(4*LN(2)))</f>
        <v>#DIV/0!</v>
      </c>
      <c r="Q1206" s="5" t="e">
        <f t="shared" si="98"/>
        <v>#DIV/0!</v>
      </c>
      <c r="R1206" s="5" t="e">
        <f ca="1">SQRT($B$9*AVERAGE((Q1206:OFFSET(Q1206,$B$5-1,0))))</f>
        <v>#DIV/0!</v>
      </c>
      <c r="S1206" s="5" t="e">
        <f ca="1">SQRT($B$9*AVERAGE((Q1206:OFFSET(Q1206,$B$6-1,0))))</f>
        <v>#DIV/0!</v>
      </c>
      <c r="T1206" s="5" t="e">
        <f ca="1">SQRT($B$9*AVERAGE((Q1206:OFFSET(Q1206,$B$7-1,0))))</f>
        <v>#DIV/0!</v>
      </c>
      <c r="U1206" s="5" t="e">
        <f ca="1">SQRT($B$9*AVERAGE((Q1206:OFFSET(Q1206,$B$8-1,0))))</f>
        <v>#DIV/0!</v>
      </c>
      <c r="W1206" s="6" t="e">
        <f t="shared" si="102"/>
        <v>#DIV/0!</v>
      </c>
      <c r="X1206" s="6" t="e">
        <f ca="1">SQRT($B$9*AVERAGE(W1206:OFFSET(W1206,$B$5-1,0)))</f>
        <v>#DIV/0!</v>
      </c>
      <c r="Y1206" s="6" t="e">
        <f ca="1">SQRT($B$9*AVERAGE(W1206:OFFSET(W1206,$B$6-1,0)))</f>
        <v>#DIV/0!</v>
      </c>
      <c r="Z1206" s="6" t="e">
        <f ca="1">SQRT($B$9*AVERAGE(W1206:OFFSET(W1206,$B$7-1,0)))</f>
        <v>#DIV/0!</v>
      </c>
      <c r="AA1206" s="6" t="e">
        <f ca="1">SQRT($B$9*AVERAGE(W1206:OFFSET(W1206,$B$8-1,0)))</f>
        <v>#DIV/0!</v>
      </c>
      <c r="AC1206" s="34" t="e">
        <f t="shared" si="100"/>
        <v>#DIV/0!</v>
      </c>
      <c r="AD1206" s="34" t="e">
        <f ca="1">SQRT($B$9*SUM(AC1206:OFFSET(AC1206,$B$5-1,0))/($B$5-1))</f>
        <v>#DIV/0!</v>
      </c>
      <c r="AE1206" s="34" t="e">
        <f ca="1">SQRT($B$9*SUM(AC1206:OFFSET(AC1206,$B$6-1,0))/($B$6-1))</f>
        <v>#DIV/0!</v>
      </c>
      <c r="AF1206" s="34" t="e">
        <f ca="1">SQRT($B$9*SUM(AC1206:OFFSET(AC1206,$B$7-1,0))/($B$7-1))</f>
        <v>#DIV/0!</v>
      </c>
      <c r="AG1206" s="34" t="e">
        <f ca="1">SQRT($B$9*SUM(AC1206:OFFSET(AC1206,$B$8-1,0))/($B$8-1))</f>
        <v>#DIV/0!</v>
      </c>
      <c r="AI1206" s="1" t="e">
        <f t="shared" si="101"/>
        <v>#DIV/0!</v>
      </c>
      <c r="AJ1206" s="4" t="e">
        <f ca="1">SQRT($B$9)*_xlfn.STDEV.S(AI1206:OFFSET(AI1206,$B$5-1,0))</f>
        <v>#DIV/0!</v>
      </c>
      <c r="AK1206" s="4" t="e">
        <f ca="1">SQRT($B$9)*_xlfn.STDEV.S(AI1206:OFFSET(AI1206,$B$6-1,0))</f>
        <v>#DIV/0!</v>
      </c>
      <c r="AL1206" s="4" t="e">
        <f ca="1">SQRT($B$9)*_xlfn.STDEV.S(AI1206:OFFSET(AI1206,$B$7-1,0))</f>
        <v>#DIV/0!</v>
      </c>
      <c r="AM1206" s="4" t="e">
        <f ca="1">SQRT($B$9)*_xlfn.STDEV.S(AI1206:OFFSET(AI1206,$B$8-1,0))</f>
        <v>#DIV/0!</v>
      </c>
    </row>
    <row r="1207" spans="11:39" x14ac:dyDescent="0.2">
      <c r="K1207" s="3" t="e">
        <f t="shared" si="99"/>
        <v>#DIV/0!</v>
      </c>
      <c r="L1207" s="3" t="e">
        <f ca="1">SQRT(AVERAGE(K1207:OFFSET(K1207,$B$5-1,0))*$B$9/(4*LN(2)))</f>
        <v>#DIV/0!</v>
      </c>
      <c r="M1207" s="3" t="e">
        <f ca="1">SQRT(AVERAGE(K1207:OFFSET(K1207,$B$6-1,0))*$B$9/(4*LN(2)))</f>
        <v>#DIV/0!</v>
      </c>
      <c r="N1207" s="3" t="e">
        <f ca="1">SQRT(AVERAGE(K1207:OFFSET(K1207,$B$7-1,0))*$B$9/(4*LN(2)))</f>
        <v>#DIV/0!</v>
      </c>
      <c r="O1207" s="3" t="e">
        <f ca="1">SQRT(AVERAGE(K1207:OFFSET(K1207,$B$8-1,0))*$B$9/(4*LN(2)))</f>
        <v>#DIV/0!</v>
      </c>
      <c r="Q1207" s="5" t="e">
        <f t="shared" si="98"/>
        <v>#DIV/0!</v>
      </c>
      <c r="R1207" s="5" t="e">
        <f ca="1">SQRT($B$9*AVERAGE((Q1207:OFFSET(Q1207,$B$5-1,0))))</f>
        <v>#DIV/0!</v>
      </c>
      <c r="S1207" s="5" t="e">
        <f ca="1">SQRT($B$9*AVERAGE((Q1207:OFFSET(Q1207,$B$6-1,0))))</f>
        <v>#DIV/0!</v>
      </c>
      <c r="T1207" s="5" t="e">
        <f ca="1">SQRT($B$9*AVERAGE((Q1207:OFFSET(Q1207,$B$7-1,0))))</f>
        <v>#DIV/0!</v>
      </c>
      <c r="U1207" s="5" t="e">
        <f ca="1">SQRT($B$9*AVERAGE((Q1207:OFFSET(Q1207,$B$8-1,0))))</f>
        <v>#DIV/0!</v>
      </c>
      <c r="W1207" s="6" t="e">
        <f t="shared" si="102"/>
        <v>#DIV/0!</v>
      </c>
      <c r="X1207" s="6" t="e">
        <f ca="1">SQRT($B$9*AVERAGE(W1207:OFFSET(W1207,$B$5-1,0)))</f>
        <v>#DIV/0!</v>
      </c>
      <c r="Y1207" s="6" t="e">
        <f ca="1">SQRT($B$9*AVERAGE(W1207:OFFSET(W1207,$B$6-1,0)))</f>
        <v>#DIV/0!</v>
      </c>
      <c r="Z1207" s="6" t="e">
        <f ca="1">SQRT($B$9*AVERAGE(W1207:OFFSET(W1207,$B$7-1,0)))</f>
        <v>#DIV/0!</v>
      </c>
      <c r="AA1207" s="6" t="e">
        <f ca="1">SQRT($B$9*AVERAGE(W1207:OFFSET(W1207,$B$8-1,0)))</f>
        <v>#DIV/0!</v>
      </c>
      <c r="AC1207" s="34" t="e">
        <f t="shared" si="100"/>
        <v>#DIV/0!</v>
      </c>
      <c r="AD1207" s="34" t="e">
        <f ca="1">SQRT($B$9*SUM(AC1207:OFFSET(AC1207,$B$5-1,0))/($B$5-1))</f>
        <v>#DIV/0!</v>
      </c>
      <c r="AE1207" s="34" t="e">
        <f ca="1">SQRT($B$9*SUM(AC1207:OFFSET(AC1207,$B$6-1,0))/($B$6-1))</f>
        <v>#DIV/0!</v>
      </c>
      <c r="AF1207" s="34" t="e">
        <f ca="1">SQRT($B$9*SUM(AC1207:OFFSET(AC1207,$B$7-1,0))/($B$7-1))</f>
        <v>#DIV/0!</v>
      </c>
      <c r="AG1207" s="34" t="e">
        <f ca="1">SQRT($B$9*SUM(AC1207:OFFSET(AC1207,$B$8-1,0))/($B$8-1))</f>
        <v>#DIV/0!</v>
      </c>
      <c r="AI1207" s="1" t="e">
        <f t="shared" si="101"/>
        <v>#DIV/0!</v>
      </c>
      <c r="AJ1207" s="4" t="e">
        <f ca="1">SQRT($B$9)*_xlfn.STDEV.S(AI1207:OFFSET(AI1207,$B$5-1,0))</f>
        <v>#DIV/0!</v>
      </c>
      <c r="AK1207" s="4" t="e">
        <f ca="1">SQRT($B$9)*_xlfn.STDEV.S(AI1207:OFFSET(AI1207,$B$6-1,0))</f>
        <v>#DIV/0!</v>
      </c>
      <c r="AL1207" s="4" t="e">
        <f ca="1">SQRT($B$9)*_xlfn.STDEV.S(AI1207:OFFSET(AI1207,$B$7-1,0))</f>
        <v>#DIV/0!</v>
      </c>
      <c r="AM1207" s="4" t="e">
        <f ca="1">SQRT($B$9)*_xlfn.STDEV.S(AI1207:OFFSET(AI1207,$B$8-1,0))</f>
        <v>#DIV/0!</v>
      </c>
    </row>
    <row r="1208" spans="11:39" x14ac:dyDescent="0.2">
      <c r="K1208" s="3" t="e">
        <f t="shared" si="99"/>
        <v>#DIV/0!</v>
      </c>
      <c r="L1208" s="3" t="e">
        <f ca="1">SQRT(AVERAGE(K1208:OFFSET(K1208,$B$5-1,0))*$B$9/(4*LN(2)))</f>
        <v>#DIV/0!</v>
      </c>
      <c r="M1208" s="3" t="e">
        <f ca="1">SQRT(AVERAGE(K1208:OFFSET(K1208,$B$6-1,0))*$B$9/(4*LN(2)))</f>
        <v>#DIV/0!</v>
      </c>
      <c r="N1208" s="3" t="e">
        <f ca="1">SQRT(AVERAGE(K1208:OFFSET(K1208,$B$7-1,0))*$B$9/(4*LN(2)))</f>
        <v>#DIV/0!</v>
      </c>
      <c r="O1208" s="3" t="e">
        <f ca="1">SQRT(AVERAGE(K1208:OFFSET(K1208,$B$8-1,0))*$B$9/(4*LN(2)))</f>
        <v>#DIV/0!</v>
      </c>
      <c r="Q1208" s="5" t="e">
        <f t="shared" si="98"/>
        <v>#DIV/0!</v>
      </c>
      <c r="R1208" s="5" t="e">
        <f ca="1">SQRT($B$9*AVERAGE((Q1208:OFFSET(Q1208,$B$5-1,0))))</f>
        <v>#DIV/0!</v>
      </c>
      <c r="S1208" s="5" t="e">
        <f ca="1">SQRT($B$9*AVERAGE((Q1208:OFFSET(Q1208,$B$6-1,0))))</f>
        <v>#DIV/0!</v>
      </c>
      <c r="T1208" s="5" t="e">
        <f ca="1">SQRT($B$9*AVERAGE((Q1208:OFFSET(Q1208,$B$7-1,0))))</f>
        <v>#DIV/0!</v>
      </c>
      <c r="U1208" s="5" t="e">
        <f ca="1">SQRT($B$9*AVERAGE((Q1208:OFFSET(Q1208,$B$8-1,0))))</f>
        <v>#DIV/0!</v>
      </c>
      <c r="W1208" s="6" t="e">
        <f t="shared" si="102"/>
        <v>#DIV/0!</v>
      </c>
      <c r="X1208" s="6" t="e">
        <f ca="1">SQRT($B$9*AVERAGE(W1208:OFFSET(W1208,$B$5-1,0)))</f>
        <v>#DIV/0!</v>
      </c>
      <c r="Y1208" s="6" t="e">
        <f ca="1">SQRT($B$9*AVERAGE(W1208:OFFSET(W1208,$B$6-1,0)))</f>
        <v>#DIV/0!</v>
      </c>
      <c r="Z1208" s="6" t="e">
        <f ca="1">SQRT($B$9*AVERAGE(W1208:OFFSET(W1208,$B$7-1,0)))</f>
        <v>#DIV/0!</v>
      </c>
      <c r="AA1208" s="6" t="e">
        <f ca="1">SQRT($B$9*AVERAGE(W1208:OFFSET(W1208,$B$8-1,0)))</f>
        <v>#DIV/0!</v>
      </c>
      <c r="AC1208" s="34" t="e">
        <f t="shared" si="100"/>
        <v>#DIV/0!</v>
      </c>
      <c r="AD1208" s="34" t="e">
        <f ca="1">SQRT($B$9*SUM(AC1208:OFFSET(AC1208,$B$5-1,0))/($B$5-1))</f>
        <v>#DIV/0!</v>
      </c>
      <c r="AE1208" s="34" t="e">
        <f ca="1">SQRT($B$9*SUM(AC1208:OFFSET(AC1208,$B$6-1,0))/($B$6-1))</f>
        <v>#DIV/0!</v>
      </c>
      <c r="AF1208" s="34" t="e">
        <f ca="1">SQRT($B$9*SUM(AC1208:OFFSET(AC1208,$B$7-1,0))/($B$7-1))</f>
        <v>#DIV/0!</v>
      </c>
      <c r="AG1208" s="34" t="e">
        <f ca="1">SQRT($B$9*SUM(AC1208:OFFSET(AC1208,$B$8-1,0))/($B$8-1))</f>
        <v>#DIV/0!</v>
      </c>
      <c r="AI1208" s="1" t="e">
        <f t="shared" si="101"/>
        <v>#DIV/0!</v>
      </c>
      <c r="AJ1208" s="4" t="e">
        <f ca="1">SQRT($B$9)*_xlfn.STDEV.S(AI1208:OFFSET(AI1208,$B$5-1,0))</f>
        <v>#DIV/0!</v>
      </c>
      <c r="AK1208" s="4" t="e">
        <f ca="1">SQRT($B$9)*_xlfn.STDEV.S(AI1208:OFFSET(AI1208,$B$6-1,0))</f>
        <v>#DIV/0!</v>
      </c>
      <c r="AL1208" s="4" t="e">
        <f ca="1">SQRT($B$9)*_xlfn.STDEV.S(AI1208:OFFSET(AI1208,$B$7-1,0))</f>
        <v>#DIV/0!</v>
      </c>
      <c r="AM1208" s="4" t="e">
        <f ca="1">SQRT($B$9)*_xlfn.STDEV.S(AI1208:OFFSET(AI1208,$B$8-1,0))</f>
        <v>#DIV/0!</v>
      </c>
    </row>
    <row r="1209" spans="11:39" x14ac:dyDescent="0.2">
      <c r="K1209" s="3" t="e">
        <f t="shared" si="99"/>
        <v>#DIV/0!</v>
      </c>
      <c r="L1209" s="3" t="e">
        <f ca="1">SQRT(AVERAGE(K1209:OFFSET(K1209,$B$5-1,0))*$B$9/(4*LN(2)))</f>
        <v>#DIV/0!</v>
      </c>
      <c r="M1209" s="3" t="e">
        <f ca="1">SQRT(AVERAGE(K1209:OFFSET(K1209,$B$6-1,0))*$B$9/(4*LN(2)))</f>
        <v>#DIV/0!</v>
      </c>
      <c r="N1209" s="3" t="e">
        <f ca="1">SQRT(AVERAGE(K1209:OFFSET(K1209,$B$7-1,0))*$B$9/(4*LN(2)))</f>
        <v>#DIV/0!</v>
      </c>
      <c r="O1209" s="3" t="e">
        <f ca="1">SQRT(AVERAGE(K1209:OFFSET(K1209,$B$8-1,0))*$B$9/(4*LN(2)))</f>
        <v>#DIV/0!</v>
      </c>
      <c r="Q1209" s="5" t="e">
        <f t="shared" si="98"/>
        <v>#DIV/0!</v>
      </c>
      <c r="R1209" s="5" t="e">
        <f ca="1">SQRT($B$9*AVERAGE((Q1209:OFFSET(Q1209,$B$5-1,0))))</f>
        <v>#DIV/0!</v>
      </c>
      <c r="S1209" s="5" t="e">
        <f ca="1">SQRT($B$9*AVERAGE((Q1209:OFFSET(Q1209,$B$6-1,0))))</f>
        <v>#DIV/0!</v>
      </c>
      <c r="T1209" s="5" t="e">
        <f ca="1">SQRT($B$9*AVERAGE((Q1209:OFFSET(Q1209,$B$7-1,0))))</f>
        <v>#DIV/0!</v>
      </c>
      <c r="U1209" s="5" t="e">
        <f ca="1">SQRT($B$9*AVERAGE((Q1209:OFFSET(Q1209,$B$8-1,0))))</f>
        <v>#DIV/0!</v>
      </c>
      <c r="W1209" s="6" t="e">
        <f t="shared" si="102"/>
        <v>#DIV/0!</v>
      </c>
      <c r="X1209" s="6" t="e">
        <f ca="1">SQRT($B$9*AVERAGE(W1209:OFFSET(W1209,$B$5-1,0)))</f>
        <v>#DIV/0!</v>
      </c>
      <c r="Y1209" s="6" t="e">
        <f ca="1">SQRT($B$9*AVERAGE(W1209:OFFSET(W1209,$B$6-1,0)))</f>
        <v>#DIV/0!</v>
      </c>
      <c r="Z1209" s="6" t="e">
        <f ca="1">SQRT($B$9*AVERAGE(W1209:OFFSET(W1209,$B$7-1,0)))</f>
        <v>#DIV/0!</v>
      </c>
      <c r="AA1209" s="6" t="e">
        <f ca="1">SQRT($B$9*AVERAGE(W1209:OFFSET(W1209,$B$8-1,0)))</f>
        <v>#DIV/0!</v>
      </c>
      <c r="AC1209" s="34" t="e">
        <f t="shared" si="100"/>
        <v>#DIV/0!</v>
      </c>
      <c r="AD1209" s="34" t="e">
        <f ca="1">SQRT($B$9*SUM(AC1209:OFFSET(AC1209,$B$5-1,0))/($B$5-1))</f>
        <v>#DIV/0!</v>
      </c>
      <c r="AE1209" s="34" t="e">
        <f ca="1">SQRT($B$9*SUM(AC1209:OFFSET(AC1209,$B$6-1,0))/($B$6-1))</f>
        <v>#DIV/0!</v>
      </c>
      <c r="AF1209" s="34" t="e">
        <f ca="1">SQRT($B$9*SUM(AC1209:OFFSET(AC1209,$B$7-1,0))/($B$7-1))</f>
        <v>#DIV/0!</v>
      </c>
      <c r="AG1209" s="34" t="e">
        <f ca="1">SQRT($B$9*SUM(AC1209:OFFSET(AC1209,$B$8-1,0))/($B$8-1))</f>
        <v>#DIV/0!</v>
      </c>
      <c r="AI1209" s="1" t="e">
        <f t="shared" si="101"/>
        <v>#DIV/0!</v>
      </c>
      <c r="AJ1209" s="4" t="e">
        <f ca="1">SQRT($B$9)*_xlfn.STDEV.S(AI1209:OFFSET(AI1209,$B$5-1,0))</f>
        <v>#DIV/0!</v>
      </c>
      <c r="AK1209" s="4" t="e">
        <f ca="1">SQRT($B$9)*_xlfn.STDEV.S(AI1209:OFFSET(AI1209,$B$6-1,0))</f>
        <v>#DIV/0!</v>
      </c>
      <c r="AL1209" s="4" t="e">
        <f ca="1">SQRT($B$9)*_xlfn.STDEV.S(AI1209:OFFSET(AI1209,$B$7-1,0))</f>
        <v>#DIV/0!</v>
      </c>
      <c r="AM1209" s="4" t="e">
        <f ca="1">SQRT($B$9)*_xlfn.STDEV.S(AI1209:OFFSET(AI1209,$B$8-1,0))</f>
        <v>#DIV/0!</v>
      </c>
    </row>
    <row r="1210" spans="11:39" x14ac:dyDescent="0.2">
      <c r="K1210" s="3" t="e">
        <f t="shared" si="99"/>
        <v>#DIV/0!</v>
      </c>
      <c r="L1210" s="3" t="e">
        <f ca="1">SQRT(AVERAGE(K1210:OFFSET(K1210,$B$5-1,0))*$B$9/(4*LN(2)))</f>
        <v>#DIV/0!</v>
      </c>
      <c r="M1210" s="3" t="e">
        <f ca="1">SQRT(AVERAGE(K1210:OFFSET(K1210,$B$6-1,0))*$B$9/(4*LN(2)))</f>
        <v>#DIV/0!</v>
      </c>
      <c r="N1210" s="3" t="e">
        <f ca="1">SQRT(AVERAGE(K1210:OFFSET(K1210,$B$7-1,0))*$B$9/(4*LN(2)))</f>
        <v>#DIV/0!</v>
      </c>
      <c r="O1210" s="3" t="e">
        <f ca="1">SQRT(AVERAGE(K1210:OFFSET(K1210,$B$8-1,0))*$B$9/(4*LN(2)))</f>
        <v>#DIV/0!</v>
      </c>
      <c r="Q1210" s="5" t="e">
        <f t="shared" si="98"/>
        <v>#DIV/0!</v>
      </c>
      <c r="R1210" s="5" t="e">
        <f ca="1">SQRT($B$9*AVERAGE((Q1210:OFFSET(Q1210,$B$5-1,0))))</f>
        <v>#DIV/0!</v>
      </c>
      <c r="S1210" s="5" t="e">
        <f ca="1">SQRT($B$9*AVERAGE((Q1210:OFFSET(Q1210,$B$6-1,0))))</f>
        <v>#DIV/0!</v>
      </c>
      <c r="T1210" s="5" t="e">
        <f ca="1">SQRT($B$9*AVERAGE((Q1210:OFFSET(Q1210,$B$7-1,0))))</f>
        <v>#DIV/0!</v>
      </c>
      <c r="U1210" s="5" t="e">
        <f ca="1">SQRT($B$9*AVERAGE((Q1210:OFFSET(Q1210,$B$8-1,0))))</f>
        <v>#DIV/0!</v>
      </c>
      <c r="W1210" s="6" t="e">
        <f t="shared" si="102"/>
        <v>#DIV/0!</v>
      </c>
      <c r="X1210" s="6" t="e">
        <f ca="1">SQRT($B$9*AVERAGE(W1210:OFFSET(W1210,$B$5-1,0)))</f>
        <v>#DIV/0!</v>
      </c>
      <c r="Y1210" s="6" t="e">
        <f ca="1">SQRT($B$9*AVERAGE(W1210:OFFSET(W1210,$B$6-1,0)))</f>
        <v>#DIV/0!</v>
      </c>
      <c r="Z1210" s="6" t="e">
        <f ca="1">SQRT($B$9*AVERAGE(W1210:OFFSET(W1210,$B$7-1,0)))</f>
        <v>#DIV/0!</v>
      </c>
      <c r="AA1210" s="6" t="e">
        <f ca="1">SQRT($B$9*AVERAGE(W1210:OFFSET(W1210,$B$8-1,0)))</f>
        <v>#DIV/0!</v>
      </c>
      <c r="AC1210" s="34" t="e">
        <f t="shared" si="100"/>
        <v>#DIV/0!</v>
      </c>
      <c r="AD1210" s="34" t="e">
        <f ca="1">SQRT($B$9*SUM(AC1210:OFFSET(AC1210,$B$5-1,0))/($B$5-1))</f>
        <v>#DIV/0!</v>
      </c>
      <c r="AE1210" s="34" t="e">
        <f ca="1">SQRT($B$9*SUM(AC1210:OFFSET(AC1210,$B$6-1,0))/($B$6-1))</f>
        <v>#DIV/0!</v>
      </c>
      <c r="AF1210" s="34" t="e">
        <f ca="1">SQRT($B$9*SUM(AC1210:OFFSET(AC1210,$B$7-1,0))/($B$7-1))</f>
        <v>#DIV/0!</v>
      </c>
      <c r="AG1210" s="34" t="e">
        <f ca="1">SQRT($B$9*SUM(AC1210:OFFSET(AC1210,$B$8-1,0))/($B$8-1))</f>
        <v>#DIV/0!</v>
      </c>
      <c r="AI1210" s="1" t="e">
        <f t="shared" si="101"/>
        <v>#DIV/0!</v>
      </c>
      <c r="AJ1210" s="4" t="e">
        <f ca="1">SQRT($B$9)*_xlfn.STDEV.S(AI1210:OFFSET(AI1210,$B$5-1,0))</f>
        <v>#DIV/0!</v>
      </c>
      <c r="AK1210" s="4" t="e">
        <f ca="1">SQRT($B$9)*_xlfn.STDEV.S(AI1210:OFFSET(AI1210,$B$6-1,0))</f>
        <v>#DIV/0!</v>
      </c>
      <c r="AL1210" s="4" t="e">
        <f ca="1">SQRT($B$9)*_xlfn.STDEV.S(AI1210:OFFSET(AI1210,$B$7-1,0))</f>
        <v>#DIV/0!</v>
      </c>
      <c r="AM1210" s="4" t="e">
        <f ca="1">SQRT($B$9)*_xlfn.STDEV.S(AI1210:OFFSET(AI1210,$B$8-1,0))</f>
        <v>#DIV/0!</v>
      </c>
    </row>
    <row r="1211" spans="11:39" x14ac:dyDescent="0.2">
      <c r="K1211" s="3" t="e">
        <f t="shared" si="99"/>
        <v>#DIV/0!</v>
      </c>
      <c r="L1211" s="3" t="e">
        <f ca="1">SQRT(AVERAGE(K1211:OFFSET(K1211,$B$5-1,0))*$B$9/(4*LN(2)))</f>
        <v>#DIV/0!</v>
      </c>
      <c r="M1211" s="3" t="e">
        <f ca="1">SQRT(AVERAGE(K1211:OFFSET(K1211,$B$6-1,0))*$B$9/(4*LN(2)))</f>
        <v>#DIV/0!</v>
      </c>
      <c r="N1211" s="3" t="e">
        <f ca="1">SQRT(AVERAGE(K1211:OFFSET(K1211,$B$7-1,0))*$B$9/(4*LN(2)))</f>
        <v>#DIV/0!</v>
      </c>
      <c r="O1211" s="3" t="e">
        <f ca="1">SQRT(AVERAGE(K1211:OFFSET(K1211,$B$8-1,0))*$B$9/(4*LN(2)))</f>
        <v>#DIV/0!</v>
      </c>
      <c r="Q1211" s="5" t="e">
        <f t="shared" si="98"/>
        <v>#DIV/0!</v>
      </c>
      <c r="R1211" s="5" t="e">
        <f ca="1">SQRT($B$9*AVERAGE((Q1211:OFFSET(Q1211,$B$5-1,0))))</f>
        <v>#DIV/0!</v>
      </c>
      <c r="S1211" s="5" t="e">
        <f ca="1">SQRT($B$9*AVERAGE((Q1211:OFFSET(Q1211,$B$6-1,0))))</f>
        <v>#DIV/0!</v>
      </c>
      <c r="T1211" s="5" t="e">
        <f ca="1">SQRT($B$9*AVERAGE((Q1211:OFFSET(Q1211,$B$7-1,0))))</f>
        <v>#DIV/0!</v>
      </c>
      <c r="U1211" s="5" t="e">
        <f ca="1">SQRT($B$9*AVERAGE((Q1211:OFFSET(Q1211,$B$8-1,0))))</f>
        <v>#DIV/0!</v>
      </c>
      <c r="W1211" s="6" t="e">
        <f t="shared" si="102"/>
        <v>#DIV/0!</v>
      </c>
      <c r="X1211" s="6" t="e">
        <f ca="1">SQRT($B$9*AVERAGE(W1211:OFFSET(W1211,$B$5-1,0)))</f>
        <v>#DIV/0!</v>
      </c>
      <c r="Y1211" s="6" t="e">
        <f ca="1">SQRT($B$9*AVERAGE(W1211:OFFSET(W1211,$B$6-1,0)))</f>
        <v>#DIV/0!</v>
      </c>
      <c r="Z1211" s="6" t="e">
        <f ca="1">SQRT($B$9*AVERAGE(W1211:OFFSET(W1211,$B$7-1,0)))</f>
        <v>#DIV/0!</v>
      </c>
      <c r="AA1211" s="6" t="e">
        <f ca="1">SQRT($B$9*AVERAGE(W1211:OFFSET(W1211,$B$8-1,0)))</f>
        <v>#DIV/0!</v>
      </c>
      <c r="AC1211" s="34" t="e">
        <f t="shared" si="100"/>
        <v>#DIV/0!</v>
      </c>
      <c r="AD1211" s="34" t="e">
        <f ca="1">SQRT($B$9*SUM(AC1211:OFFSET(AC1211,$B$5-1,0))/($B$5-1))</f>
        <v>#DIV/0!</v>
      </c>
      <c r="AE1211" s="34" t="e">
        <f ca="1">SQRT($B$9*SUM(AC1211:OFFSET(AC1211,$B$6-1,0))/($B$6-1))</f>
        <v>#DIV/0!</v>
      </c>
      <c r="AF1211" s="34" t="e">
        <f ca="1">SQRT($B$9*SUM(AC1211:OFFSET(AC1211,$B$7-1,0))/($B$7-1))</f>
        <v>#DIV/0!</v>
      </c>
      <c r="AG1211" s="34" t="e">
        <f ca="1">SQRT($B$9*SUM(AC1211:OFFSET(AC1211,$B$8-1,0))/($B$8-1))</f>
        <v>#DIV/0!</v>
      </c>
      <c r="AI1211" s="1" t="e">
        <f t="shared" si="101"/>
        <v>#DIV/0!</v>
      </c>
      <c r="AJ1211" s="4" t="e">
        <f ca="1">SQRT($B$9)*_xlfn.STDEV.S(AI1211:OFFSET(AI1211,$B$5-1,0))</f>
        <v>#DIV/0!</v>
      </c>
      <c r="AK1211" s="4" t="e">
        <f ca="1">SQRT($B$9)*_xlfn.STDEV.S(AI1211:OFFSET(AI1211,$B$6-1,0))</f>
        <v>#DIV/0!</v>
      </c>
      <c r="AL1211" s="4" t="e">
        <f ca="1">SQRT($B$9)*_xlfn.STDEV.S(AI1211:OFFSET(AI1211,$B$7-1,0))</f>
        <v>#DIV/0!</v>
      </c>
      <c r="AM1211" s="4" t="e">
        <f ca="1">SQRT($B$9)*_xlfn.STDEV.S(AI1211:OFFSET(AI1211,$B$8-1,0))</f>
        <v>#DIV/0!</v>
      </c>
    </row>
    <row r="1212" spans="11:39" x14ac:dyDescent="0.2">
      <c r="K1212" s="3" t="e">
        <f t="shared" si="99"/>
        <v>#DIV/0!</v>
      </c>
      <c r="L1212" s="3" t="e">
        <f ca="1">SQRT(AVERAGE(K1212:OFFSET(K1212,$B$5-1,0))*$B$9/(4*LN(2)))</f>
        <v>#DIV/0!</v>
      </c>
      <c r="M1212" s="3" t="e">
        <f ca="1">SQRT(AVERAGE(K1212:OFFSET(K1212,$B$6-1,0))*$B$9/(4*LN(2)))</f>
        <v>#DIV/0!</v>
      </c>
      <c r="N1212" s="3" t="e">
        <f ca="1">SQRT(AVERAGE(K1212:OFFSET(K1212,$B$7-1,0))*$B$9/(4*LN(2)))</f>
        <v>#DIV/0!</v>
      </c>
      <c r="O1212" s="3" t="e">
        <f ca="1">SQRT(AVERAGE(K1212:OFFSET(K1212,$B$8-1,0))*$B$9/(4*LN(2)))</f>
        <v>#DIV/0!</v>
      </c>
      <c r="Q1212" s="5" t="e">
        <f t="shared" si="98"/>
        <v>#DIV/0!</v>
      </c>
      <c r="R1212" s="5" t="e">
        <f ca="1">SQRT($B$9*AVERAGE((Q1212:OFFSET(Q1212,$B$5-1,0))))</f>
        <v>#DIV/0!</v>
      </c>
      <c r="S1212" s="5" t="e">
        <f ca="1">SQRT($B$9*AVERAGE((Q1212:OFFSET(Q1212,$B$6-1,0))))</f>
        <v>#DIV/0!</v>
      </c>
      <c r="T1212" s="5" t="e">
        <f ca="1">SQRT($B$9*AVERAGE((Q1212:OFFSET(Q1212,$B$7-1,0))))</f>
        <v>#DIV/0!</v>
      </c>
      <c r="U1212" s="5" t="e">
        <f ca="1">SQRT($B$9*AVERAGE((Q1212:OFFSET(Q1212,$B$8-1,0))))</f>
        <v>#DIV/0!</v>
      </c>
      <c r="W1212" s="6" t="e">
        <f t="shared" si="102"/>
        <v>#DIV/0!</v>
      </c>
      <c r="X1212" s="6" t="e">
        <f ca="1">SQRT($B$9*AVERAGE(W1212:OFFSET(W1212,$B$5-1,0)))</f>
        <v>#DIV/0!</v>
      </c>
      <c r="Y1212" s="6" t="e">
        <f ca="1">SQRT($B$9*AVERAGE(W1212:OFFSET(W1212,$B$6-1,0)))</f>
        <v>#DIV/0!</v>
      </c>
      <c r="Z1212" s="6" t="e">
        <f ca="1">SQRT($B$9*AVERAGE(W1212:OFFSET(W1212,$B$7-1,0)))</f>
        <v>#DIV/0!</v>
      </c>
      <c r="AA1212" s="6" t="e">
        <f ca="1">SQRT($B$9*AVERAGE(W1212:OFFSET(W1212,$B$8-1,0)))</f>
        <v>#DIV/0!</v>
      </c>
      <c r="AC1212" s="34" t="e">
        <f t="shared" si="100"/>
        <v>#DIV/0!</v>
      </c>
      <c r="AD1212" s="34" t="e">
        <f ca="1">SQRT($B$9*SUM(AC1212:OFFSET(AC1212,$B$5-1,0))/($B$5-1))</f>
        <v>#DIV/0!</v>
      </c>
      <c r="AE1212" s="34" t="e">
        <f ca="1">SQRT($B$9*SUM(AC1212:OFFSET(AC1212,$B$6-1,0))/($B$6-1))</f>
        <v>#DIV/0!</v>
      </c>
      <c r="AF1212" s="34" t="e">
        <f ca="1">SQRT($B$9*SUM(AC1212:OFFSET(AC1212,$B$7-1,0))/($B$7-1))</f>
        <v>#DIV/0!</v>
      </c>
      <c r="AG1212" s="34" t="e">
        <f ca="1">SQRT($B$9*SUM(AC1212:OFFSET(AC1212,$B$8-1,0))/($B$8-1))</f>
        <v>#DIV/0!</v>
      </c>
      <c r="AI1212" s="1" t="e">
        <f t="shared" si="101"/>
        <v>#DIV/0!</v>
      </c>
      <c r="AJ1212" s="4" t="e">
        <f ca="1">SQRT($B$9)*_xlfn.STDEV.S(AI1212:OFFSET(AI1212,$B$5-1,0))</f>
        <v>#DIV/0!</v>
      </c>
      <c r="AK1212" s="4" t="e">
        <f ca="1">SQRT($B$9)*_xlfn.STDEV.S(AI1212:OFFSET(AI1212,$B$6-1,0))</f>
        <v>#DIV/0!</v>
      </c>
      <c r="AL1212" s="4" t="e">
        <f ca="1">SQRT($B$9)*_xlfn.STDEV.S(AI1212:OFFSET(AI1212,$B$7-1,0))</f>
        <v>#DIV/0!</v>
      </c>
      <c r="AM1212" s="4" t="e">
        <f ca="1">SQRT($B$9)*_xlfn.STDEV.S(AI1212:OFFSET(AI1212,$B$8-1,0))</f>
        <v>#DIV/0!</v>
      </c>
    </row>
    <row r="1213" spans="11:39" x14ac:dyDescent="0.2">
      <c r="K1213" s="3" t="e">
        <f t="shared" si="99"/>
        <v>#DIV/0!</v>
      </c>
      <c r="L1213" s="3" t="e">
        <f ca="1">SQRT(AVERAGE(K1213:OFFSET(K1213,$B$5-1,0))*$B$9/(4*LN(2)))</f>
        <v>#DIV/0!</v>
      </c>
      <c r="M1213" s="3" t="e">
        <f ca="1">SQRT(AVERAGE(K1213:OFFSET(K1213,$B$6-1,0))*$B$9/(4*LN(2)))</f>
        <v>#DIV/0!</v>
      </c>
      <c r="N1213" s="3" t="e">
        <f ca="1">SQRT(AVERAGE(K1213:OFFSET(K1213,$B$7-1,0))*$B$9/(4*LN(2)))</f>
        <v>#DIV/0!</v>
      </c>
      <c r="O1213" s="3" t="e">
        <f ca="1">SQRT(AVERAGE(K1213:OFFSET(K1213,$B$8-1,0))*$B$9/(4*LN(2)))</f>
        <v>#DIV/0!</v>
      </c>
      <c r="Q1213" s="5" t="e">
        <f t="shared" si="98"/>
        <v>#DIV/0!</v>
      </c>
      <c r="R1213" s="5" t="e">
        <f ca="1">SQRT($B$9*AVERAGE((Q1213:OFFSET(Q1213,$B$5-1,0))))</f>
        <v>#DIV/0!</v>
      </c>
      <c r="S1213" s="5" t="e">
        <f ca="1">SQRT($B$9*AVERAGE((Q1213:OFFSET(Q1213,$B$6-1,0))))</f>
        <v>#DIV/0!</v>
      </c>
      <c r="T1213" s="5" t="e">
        <f ca="1">SQRT($B$9*AVERAGE((Q1213:OFFSET(Q1213,$B$7-1,0))))</f>
        <v>#DIV/0!</v>
      </c>
      <c r="U1213" s="5" t="e">
        <f ca="1">SQRT($B$9*AVERAGE((Q1213:OFFSET(Q1213,$B$8-1,0))))</f>
        <v>#DIV/0!</v>
      </c>
      <c r="W1213" s="6" t="e">
        <f t="shared" si="102"/>
        <v>#DIV/0!</v>
      </c>
      <c r="X1213" s="6" t="e">
        <f ca="1">SQRT($B$9*AVERAGE(W1213:OFFSET(W1213,$B$5-1,0)))</f>
        <v>#DIV/0!</v>
      </c>
      <c r="Y1213" s="6" t="e">
        <f ca="1">SQRT($B$9*AVERAGE(W1213:OFFSET(W1213,$B$6-1,0)))</f>
        <v>#DIV/0!</v>
      </c>
      <c r="Z1213" s="6" t="e">
        <f ca="1">SQRT($B$9*AVERAGE(W1213:OFFSET(W1213,$B$7-1,0)))</f>
        <v>#DIV/0!</v>
      </c>
      <c r="AA1213" s="6" t="e">
        <f ca="1">SQRT($B$9*AVERAGE(W1213:OFFSET(W1213,$B$8-1,0)))</f>
        <v>#DIV/0!</v>
      </c>
      <c r="AC1213" s="34" t="e">
        <f t="shared" si="100"/>
        <v>#DIV/0!</v>
      </c>
      <c r="AD1213" s="34" t="e">
        <f ca="1">SQRT($B$9*SUM(AC1213:OFFSET(AC1213,$B$5-1,0))/($B$5-1))</f>
        <v>#DIV/0!</v>
      </c>
      <c r="AE1213" s="34" t="e">
        <f ca="1">SQRT($B$9*SUM(AC1213:OFFSET(AC1213,$B$6-1,0))/($B$6-1))</f>
        <v>#DIV/0!</v>
      </c>
      <c r="AF1213" s="34" t="e">
        <f ca="1">SQRT($B$9*SUM(AC1213:OFFSET(AC1213,$B$7-1,0))/($B$7-1))</f>
        <v>#DIV/0!</v>
      </c>
      <c r="AG1213" s="34" t="e">
        <f ca="1">SQRT($B$9*SUM(AC1213:OFFSET(AC1213,$B$8-1,0))/($B$8-1))</f>
        <v>#DIV/0!</v>
      </c>
      <c r="AI1213" s="1" t="e">
        <f t="shared" si="101"/>
        <v>#DIV/0!</v>
      </c>
      <c r="AJ1213" s="4" t="e">
        <f ca="1">SQRT($B$9)*_xlfn.STDEV.S(AI1213:OFFSET(AI1213,$B$5-1,0))</f>
        <v>#DIV/0!</v>
      </c>
      <c r="AK1213" s="4" t="e">
        <f ca="1">SQRT($B$9)*_xlfn.STDEV.S(AI1213:OFFSET(AI1213,$B$6-1,0))</f>
        <v>#DIV/0!</v>
      </c>
      <c r="AL1213" s="4" t="e">
        <f ca="1">SQRT($B$9)*_xlfn.STDEV.S(AI1213:OFFSET(AI1213,$B$7-1,0))</f>
        <v>#DIV/0!</v>
      </c>
      <c r="AM1213" s="4" t="e">
        <f ca="1">SQRT($B$9)*_xlfn.STDEV.S(AI1213:OFFSET(AI1213,$B$8-1,0))</f>
        <v>#DIV/0!</v>
      </c>
    </row>
    <row r="1214" spans="11:39" x14ac:dyDescent="0.2">
      <c r="K1214" s="3" t="e">
        <f t="shared" si="99"/>
        <v>#DIV/0!</v>
      </c>
      <c r="L1214" s="3" t="e">
        <f ca="1">SQRT(AVERAGE(K1214:OFFSET(K1214,$B$5-1,0))*$B$9/(4*LN(2)))</f>
        <v>#DIV/0!</v>
      </c>
      <c r="M1214" s="3" t="e">
        <f ca="1">SQRT(AVERAGE(K1214:OFFSET(K1214,$B$6-1,0))*$B$9/(4*LN(2)))</f>
        <v>#DIV/0!</v>
      </c>
      <c r="N1214" s="3" t="e">
        <f ca="1">SQRT(AVERAGE(K1214:OFFSET(K1214,$B$7-1,0))*$B$9/(4*LN(2)))</f>
        <v>#DIV/0!</v>
      </c>
      <c r="O1214" s="3" t="e">
        <f ca="1">SQRT(AVERAGE(K1214:OFFSET(K1214,$B$8-1,0))*$B$9/(4*LN(2)))</f>
        <v>#DIV/0!</v>
      </c>
      <c r="Q1214" s="5" t="e">
        <f t="shared" si="98"/>
        <v>#DIV/0!</v>
      </c>
      <c r="R1214" s="5" t="e">
        <f ca="1">SQRT($B$9*AVERAGE((Q1214:OFFSET(Q1214,$B$5-1,0))))</f>
        <v>#DIV/0!</v>
      </c>
      <c r="S1214" s="5" t="e">
        <f ca="1">SQRT($B$9*AVERAGE((Q1214:OFFSET(Q1214,$B$6-1,0))))</f>
        <v>#DIV/0!</v>
      </c>
      <c r="T1214" s="5" t="e">
        <f ca="1">SQRT($B$9*AVERAGE((Q1214:OFFSET(Q1214,$B$7-1,0))))</f>
        <v>#DIV/0!</v>
      </c>
      <c r="U1214" s="5" t="e">
        <f ca="1">SQRT($B$9*AVERAGE((Q1214:OFFSET(Q1214,$B$8-1,0))))</f>
        <v>#DIV/0!</v>
      </c>
      <c r="W1214" s="6" t="e">
        <f t="shared" si="102"/>
        <v>#DIV/0!</v>
      </c>
      <c r="X1214" s="6" t="e">
        <f ca="1">SQRT($B$9*AVERAGE(W1214:OFFSET(W1214,$B$5-1,0)))</f>
        <v>#DIV/0!</v>
      </c>
      <c r="Y1214" s="6" t="e">
        <f ca="1">SQRT($B$9*AVERAGE(W1214:OFFSET(W1214,$B$6-1,0)))</f>
        <v>#DIV/0!</v>
      </c>
      <c r="Z1214" s="6" t="e">
        <f ca="1">SQRT($B$9*AVERAGE(W1214:OFFSET(W1214,$B$7-1,0)))</f>
        <v>#DIV/0!</v>
      </c>
      <c r="AA1214" s="6" t="e">
        <f ca="1">SQRT($B$9*AVERAGE(W1214:OFFSET(W1214,$B$8-1,0)))</f>
        <v>#DIV/0!</v>
      </c>
      <c r="AC1214" s="34" t="e">
        <f t="shared" si="100"/>
        <v>#DIV/0!</v>
      </c>
      <c r="AD1214" s="34" t="e">
        <f ca="1">SQRT($B$9*SUM(AC1214:OFFSET(AC1214,$B$5-1,0))/($B$5-1))</f>
        <v>#DIV/0!</v>
      </c>
      <c r="AE1214" s="34" t="e">
        <f ca="1">SQRT($B$9*SUM(AC1214:OFFSET(AC1214,$B$6-1,0))/($B$6-1))</f>
        <v>#DIV/0!</v>
      </c>
      <c r="AF1214" s="34" t="e">
        <f ca="1">SQRT($B$9*SUM(AC1214:OFFSET(AC1214,$B$7-1,0))/($B$7-1))</f>
        <v>#DIV/0!</v>
      </c>
      <c r="AG1214" s="34" t="e">
        <f ca="1">SQRT($B$9*SUM(AC1214:OFFSET(AC1214,$B$8-1,0))/($B$8-1))</f>
        <v>#DIV/0!</v>
      </c>
      <c r="AI1214" s="1" t="e">
        <f t="shared" si="101"/>
        <v>#DIV/0!</v>
      </c>
      <c r="AJ1214" s="4" t="e">
        <f ca="1">SQRT($B$9)*_xlfn.STDEV.S(AI1214:OFFSET(AI1214,$B$5-1,0))</f>
        <v>#DIV/0!</v>
      </c>
      <c r="AK1214" s="4" t="e">
        <f ca="1">SQRT($B$9)*_xlfn.STDEV.S(AI1214:OFFSET(AI1214,$B$6-1,0))</f>
        <v>#DIV/0!</v>
      </c>
      <c r="AL1214" s="4" t="e">
        <f ca="1">SQRT($B$9)*_xlfn.STDEV.S(AI1214:OFFSET(AI1214,$B$7-1,0))</f>
        <v>#DIV/0!</v>
      </c>
      <c r="AM1214" s="4" t="e">
        <f ca="1">SQRT($B$9)*_xlfn.STDEV.S(AI1214:OFFSET(AI1214,$B$8-1,0))</f>
        <v>#DIV/0!</v>
      </c>
    </row>
    <row r="1215" spans="11:39" x14ac:dyDescent="0.2">
      <c r="K1215" s="3" t="e">
        <f t="shared" si="99"/>
        <v>#DIV/0!</v>
      </c>
      <c r="L1215" s="3" t="e">
        <f ca="1">SQRT(AVERAGE(K1215:OFFSET(K1215,$B$5-1,0))*$B$9/(4*LN(2)))</f>
        <v>#DIV/0!</v>
      </c>
      <c r="M1215" s="3" t="e">
        <f ca="1">SQRT(AVERAGE(K1215:OFFSET(K1215,$B$6-1,0))*$B$9/(4*LN(2)))</f>
        <v>#DIV/0!</v>
      </c>
      <c r="N1215" s="3" t="e">
        <f ca="1">SQRT(AVERAGE(K1215:OFFSET(K1215,$B$7-1,0))*$B$9/(4*LN(2)))</f>
        <v>#DIV/0!</v>
      </c>
      <c r="O1215" s="3" t="e">
        <f ca="1">SQRT(AVERAGE(K1215:OFFSET(K1215,$B$8-1,0))*$B$9/(4*LN(2)))</f>
        <v>#DIV/0!</v>
      </c>
      <c r="Q1215" s="5" t="e">
        <f t="shared" si="98"/>
        <v>#DIV/0!</v>
      </c>
      <c r="R1215" s="5" t="e">
        <f ca="1">SQRT($B$9*AVERAGE((Q1215:OFFSET(Q1215,$B$5-1,0))))</f>
        <v>#DIV/0!</v>
      </c>
      <c r="S1215" s="5" t="e">
        <f ca="1">SQRT($B$9*AVERAGE((Q1215:OFFSET(Q1215,$B$6-1,0))))</f>
        <v>#DIV/0!</v>
      </c>
      <c r="T1215" s="5" t="e">
        <f ca="1">SQRT($B$9*AVERAGE((Q1215:OFFSET(Q1215,$B$7-1,0))))</f>
        <v>#DIV/0!</v>
      </c>
      <c r="U1215" s="5" t="e">
        <f ca="1">SQRT($B$9*AVERAGE((Q1215:OFFSET(Q1215,$B$8-1,0))))</f>
        <v>#DIV/0!</v>
      </c>
      <c r="W1215" s="6" t="e">
        <f t="shared" si="102"/>
        <v>#DIV/0!</v>
      </c>
      <c r="X1215" s="6" t="e">
        <f ca="1">SQRT($B$9*AVERAGE(W1215:OFFSET(W1215,$B$5-1,0)))</f>
        <v>#DIV/0!</v>
      </c>
      <c r="Y1215" s="6" t="e">
        <f ca="1">SQRT($B$9*AVERAGE(W1215:OFFSET(W1215,$B$6-1,0)))</f>
        <v>#DIV/0!</v>
      </c>
      <c r="Z1215" s="6" t="e">
        <f ca="1">SQRT($B$9*AVERAGE(W1215:OFFSET(W1215,$B$7-1,0)))</f>
        <v>#DIV/0!</v>
      </c>
      <c r="AA1215" s="6" t="e">
        <f ca="1">SQRT($B$9*AVERAGE(W1215:OFFSET(W1215,$B$8-1,0)))</f>
        <v>#DIV/0!</v>
      </c>
      <c r="AC1215" s="34" t="e">
        <f t="shared" si="100"/>
        <v>#DIV/0!</v>
      </c>
      <c r="AD1215" s="34" t="e">
        <f ca="1">SQRT($B$9*SUM(AC1215:OFFSET(AC1215,$B$5-1,0))/($B$5-1))</f>
        <v>#DIV/0!</v>
      </c>
      <c r="AE1215" s="34" t="e">
        <f ca="1">SQRT($B$9*SUM(AC1215:OFFSET(AC1215,$B$6-1,0))/($B$6-1))</f>
        <v>#DIV/0!</v>
      </c>
      <c r="AF1215" s="34" t="e">
        <f ca="1">SQRT($B$9*SUM(AC1215:OFFSET(AC1215,$B$7-1,0))/($B$7-1))</f>
        <v>#DIV/0!</v>
      </c>
      <c r="AG1215" s="34" t="e">
        <f ca="1">SQRT($B$9*SUM(AC1215:OFFSET(AC1215,$B$8-1,0))/($B$8-1))</f>
        <v>#DIV/0!</v>
      </c>
      <c r="AI1215" s="1" t="e">
        <f t="shared" si="101"/>
        <v>#DIV/0!</v>
      </c>
      <c r="AJ1215" s="4" t="e">
        <f ca="1">SQRT($B$9)*_xlfn.STDEV.S(AI1215:OFFSET(AI1215,$B$5-1,0))</f>
        <v>#DIV/0!</v>
      </c>
      <c r="AK1215" s="4" t="e">
        <f ca="1">SQRT($B$9)*_xlfn.STDEV.S(AI1215:OFFSET(AI1215,$B$6-1,0))</f>
        <v>#DIV/0!</v>
      </c>
      <c r="AL1215" s="4" t="e">
        <f ca="1">SQRT($B$9)*_xlfn.STDEV.S(AI1215:OFFSET(AI1215,$B$7-1,0))</f>
        <v>#DIV/0!</v>
      </c>
      <c r="AM1215" s="4" t="e">
        <f ca="1">SQRT($B$9)*_xlfn.STDEV.S(AI1215:OFFSET(AI1215,$B$8-1,0))</f>
        <v>#DIV/0!</v>
      </c>
    </row>
    <row r="1216" spans="11:39" x14ac:dyDescent="0.2">
      <c r="K1216" s="3" t="e">
        <f t="shared" si="99"/>
        <v>#DIV/0!</v>
      </c>
      <c r="L1216" s="3" t="e">
        <f ca="1">SQRT(AVERAGE(K1216:OFFSET(K1216,$B$5-1,0))*$B$9/(4*LN(2)))</f>
        <v>#DIV/0!</v>
      </c>
      <c r="M1216" s="3" t="e">
        <f ca="1">SQRT(AVERAGE(K1216:OFFSET(K1216,$B$6-1,0))*$B$9/(4*LN(2)))</f>
        <v>#DIV/0!</v>
      </c>
      <c r="N1216" s="3" t="e">
        <f ca="1">SQRT(AVERAGE(K1216:OFFSET(K1216,$B$7-1,0))*$B$9/(4*LN(2)))</f>
        <v>#DIV/0!</v>
      </c>
      <c r="O1216" s="3" t="e">
        <f ca="1">SQRT(AVERAGE(K1216:OFFSET(K1216,$B$8-1,0))*$B$9/(4*LN(2)))</f>
        <v>#DIV/0!</v>
      </c>
      <c r="Q1216" s="5" t="e">
        <f t="shared" si="98"/>
        <v>#DIV/0!</v>
      </c>
      <c r="R1216" s="5" t="e">
        <f ca="1">SQRT($B$9*AVERAGE((Q1216:OFFSET(Q1216,$B$5-1,0))))</f>
        <v>#DIV/0!</v>
      </c>
      <c r="S1216" s="5" t="e">
        <f ca="1">SQRT($B$9*AVERAGE((Q1216:OFFSET(Q1216,$B$6-1,0))))</f>
        <v>#DIV/0!</v>
      </c>
      <c r="T1216" s="5" t="e">
        <f ca="1">SQRT($B$9*AVERAGE((Q1216:OFFSET(Q1216,$B$7-1,0))))</f>
        <v>#DIV/0!</v>
      </c>
      <c r="U1216" s="5" t="e">
        <f ca="1">SQRT($B$9*AVERAGE((Q1216:OFFSET(Q1216,$B$8-1,0))))</f>
        <v>#DIV/0!</v>
      </c>
      <c r="W1216" s="6" t="e">
        <f t="shared" si="102"/>
        <v>#DIV/0!</v>
      </c>
      <c r="X1216" s="6" t="e">
        <f ca="1">SQRT($B$9*AVERAGE(W1216:OFFSET(W1216,$B$5-1,0)))</f>
        <v>#DIV/0!</v>
      </c>
      <c r="Y1216" s="6" t="e">
        <f ca="1">SQRT($B$9*AVERAGE(W1216:OFFSET(W1216,$B$6-1,0)))</f>
        <v>#DIV/0!</v>
      </c>
      <c r="Z1216" s="6" t="e">
        <f ca="1">SQRT($B$9*AVERAGE(W1216:OFFSET(W1216,$B$7-1,0)))</f>
        <v>#DIV/0!</v>
      </c>
      <c r="AA1216" s="6" t="e">
        <f ca="1">SQRT($B$9*AVERAGE(W1216:OFFSET(W1216,$B$8-1,0)))</f>
        <v>#DIV/0!</v>
      </c>
      <c r="AC1216" s="34" t="e">
        <f t="shared" si="100"/>
        <v>#DIV/0!</v>
      </c>
      <c r="AD1216" s="34" t="e">
        <f ca="1">SQRT($B$9*SUM(AC1216:OFFSET(AC1216,$B$5-1,0))/($B$5-1))</f>
        <v>#DIV/0!</v>
      </c>
      <c r="AE1216" s="34" t="e">
        <f ca="1">SQRT($B$9*SUM(AC1216:OFFSET(AC1216,$B$6-1,0))/($B$6-1))</f>
        <v>#DIV/0!</v>
      </c>
      <c r="AF1216" s="34" t="e">
        <f ca="1">SQRT($B$9*SUM(AC1216:OFFSET(AC1216,$B$7-1,0))/($B$7-1))</f>
        <v>#DIV/0!</v>
      </c>
      <c r="AG1216" s="34" t="e">
        <f ca="1">SQRT($B$9*SUM(AC1216:OFFSET(AC1216,$B$8-1,0))/($B$8-1))</f>
        <v>#DIV/0!</v>
      </c>
      <c r="AI1216" s="1" t="e">
        <f t="shared" si="101"/>
        <v>#DIV/0!</v>
      </c>
      <c r="AJ1216" s="4" t="e">
        <f ca="1">SQRT($B$9)*_xlfn.STDEV.S(AI1216:OFFSET(AI1216,$B$5-1,0))</f>
        <v>#DIV/0!</v>
      </c>
      <c r="AK1216" s="4" t="e">
        <f ca="1">SQRT($B$9)*_xlfn.STDEV.S(AI1216:OFFSET(AI1216,$B$6-1,0))</f>
        <v>#DIV/0!</v>
      </c>
      <c r="AL1216" s="4" t="e">
        <f ca="1">SQRT($B$9)*_xlfn.STDEV.S(AI1216:OFFSET(AI1216,$B$7-1,0))</f>
        <v>#DIV/0!</v>
      </c>
      <c r="AM1216" s="4" t="e">
        <f ca="1">SQRT($B$9)*_xlfn.STDEV.S(AI1216:OFFSET(AI1216,$B$8-1,0))</f>
        <v>#DIV/0!</v>
      </c>
    </row>
    <row r="1217" spans="11:39" x14ac:dyDescent="0.2">
      <c r="K1217" s="3" t="e">
        <f t="shared" si="99"/>
        <v>#DIV/0!</v>
      </c>
      <c r="L1217" s="3" t="e">
        <f ca="1">SQRT(AVERAGE(K1217:OFFSET(K1217,$B$5-1,0))*$B$9/(4*LN(2)))</f>
        <v>#DIV/0!</v>
      </c>
      <c r="M1217" s="3" t="e">
        <f ca="1">SQRT(AVERAGE(K1217:OFFSET(K1217,$B$6-1,0))*$B$9/(4*LN(2)))</f>
        <v>#DIV/0!</v>
      </c>
      <c r="N1217" s="3" t="e">
        <f ca="1">SQRT(AVERAGE(K1217:OFFSET(K1217,$B$7-1,0))*$B$9/(4*LN(2)))</f>
        <v>#DIV/0!</v>
      </c>
      <c r="O1217" s="3" t="e">
        <f ca="1">SQRT(AVERAGE(K1217:OFFSET(K1217,$B$8-1,0))*$B$9/(4*LN(2)))</f>
        <v>#DIV/0!</v>
      </c>
      <c r="Q1217" s="5" t="e">
        <f t="shared" si="98"/>
        <v>#DIV/0!</v>
      </c>
      <c r="R1217" s="5" t="e">
        <f ca="1">SQRT($B$9*AVERAGE((Q1217:OFFSET(Q1217,$B$5-1,0))))</f>
        <v>#DIV/0!</v>
      </c>
      <c r="S1217" s="5" t="e">
        <f ca="1">SQRT($B$9*AVERAGE((Q1217:OFFSET(Q1217,$B$6-1,0))))</f>
        <v>#DIV/0!</v>
      </c>
      <c r="T1217" s="5" t="e">
        <f ca="1">SQRT($B$9*AVERAGE((Q1217:OFFSET(Q1217,$B$7-1,0))))</f>
        <v>#DIV/0!</v>
      </c>
      <c r="U1217" s="5" t="e">
        <f ca="1">SQRT($B$9*AVERAGE((Q1217:OFFSET(Q1217,$B$8-1,0))))</f>
        <v>#DIV/0!</v>
      </c>
      <c r="W1217" s="6" t="e">
        <f t="shared" si="102"/>
        <v>#DIV/0!</v>
      </c>
      <c r="X1217" s="6" t="e">
        <f ca="1">SQRT($B$9*AVERAGE(W1217:OFFSET(W1217,$B$5-1,0)))</f>
        <v>#DIV/0!</v>
      </c>
      <c r="Y1217" s="6" t="e">
        <f ca="1">SQRT($B$9*AVERAGE(W1217:OFFSET(W1217,$B$6-1,0)))</f>
        <v>#DIV/0!</v>
      </c>
      <c r="Z1217" s="6" t="e">
        <f ca="1">SQRT($B$9*AVERAGE(W1217:OFFSET(W1217,$B$7-1,0)))</f>
        <v>#DIV/0!</v>
      </c>
      <c r="AA1217" s="6" t="e">
        <f ca="1">SQRT($B$9*AVERAGE(W1217:OFFSET(W1217,$B$8-1,0)))</f>
        <v>#DIV/0!</v>
      </c>
      <c r="AC1217" s="34" t="e">
        <f t="shared" si="100"/>
        <v>#DIV/0!</v>
      </c>
      <c r="AD1217" s="34" t="e">
        <f ca="1">SQRT($B$9*SUM(AC1217:OFFSET(AC1217,$B$5-1,0))/($B$5-1))</f>
        <v>#DIV/0!</v>
      </c>
      <c r="AE1217" s="34" t="e">
        <f ca="1">SQRT($B$9*SUM(AC1217:OFFSET(AC1217,$B$6-1,0))/($B$6-1))</f>
        <v>#DIV/0!</v>
      </c>
      <c r="AF1217" s="34" t="e">
        <f ca="1">SQRT($B$9*SUM(AC1217:OFFSET(AC1217,$B$7-1,0))/($B$7-1))</f>
        <v>#DIV/0!</v>
      </c>
      <c r="AG1217" s="34" t="e">
        <f ca="1">SQRT($B$9*SUM(AC1217:OFFSET(AC1217,$B$8-1,0))/($B$8-1))</f>
        <v>#DIV/0!</v>
      </c>
      <c r="AI1217" s="1" t="e">
        <f t="shared" si="101"/>
        <v>#DIV/0!</v>
      </c>
      <c r="AJ1217" s="4" t="e">
        <f ca="1">SQRT($B$9)*_xlfn.STDEV.S(AI1217:OFFSET(AI1217,$B$5-1,0))</f>
        <v>#DIV/0!</v>
      </c>
      <c r="AK1217" s="4" t="e">
        <f ca="1">SQRT($B$9)*_xlfn.STDEV.S(AI1217:OFFSET(AI1217,$B$6-1,0))</f>
        <v>#DIV/0!</v>
      </c>
      <c r="AL1217" s="4" t="e">
        <f ca="1">SQRT($B$9)*_xlfn.STDEV.S(AI1217:OFFSET(AI1217,$B$7-1,0))</f>
        <v>#DIV/0!</v>
      </c>
      <c r="AM1217" s="4" t="e">
        <f ca="1">SQRT($B$9)*_xlfn.STDEV.S(AI1217:OFFSET(AI1217,$B$8-1,0))</f>
        <v>#DIV/0!</v>
      </c>
    </row>
    <row r="1218" spans="11:39" x14ac:dyDescent="0.2">
      <c r="K1218" s="3" t="e">
        <f t="shared" si="99"/>
        <v>#DIV/0!</v>
      </c>
      <c r="L1218" s="3" t="e">
        <f ca="1">SQRT(AVERAGE(K1218:OFFSET(K1218,$B$5-1,0))*$B$9/(4*LN(2)))</f>
        <v>#DIV/0!</v>
      </c>
      <c r="M1218" s="3" t="e">
        <f ca="1">SQRT(AVERAGE(K1218:OFFSET(K1218,$B$6-1,0))*$B$9/(4*LN(2)))</f>
        <v>#DIV/0!</v>
      </c>
      <c r="N1218" s="3" t="e">
        <f ca="1">SQRT(AVERAGE(K1218:OFFSET(K1218,$B$7-1,0))*$B$9/(4*LN(2)))</f>
        <v>#DIV/0!</v>
      </c>
      <c r="O1218" s="3" t="e">
        <f ca="1">SQRT(AVERAGE(K1218:OFFSET(K1218,$B$8-1,0))*$B$9/(4*LN(2)))</f>
        <v>#DIV/0!</v>
      </c>
      <c r="Q1218" s="5" t="e">
        <f t="shared" si="98"/>
        <v>#DIV/0!</v>
      </c>
      <c r="R1218" s="5" t="e">
        <f ca="1">SQRT($B$9*AVERAGE((Q1218:OFFSET(Q1218,$B$5-1,0))))</f>
        <v>#DIV/0!</v>
      </c>
      <c r="S1218" s="5" t="e">
        <f ca="1">SQRT($B$9*AVERAGE((Q1218:OFFSET(Q1218,$B$6-1,0))))</f>
        <v>#DIV/0!</v>
      </c>
      <c r="T1218" s="5" t="e">
        <f ca="1">SQRT($B$9*AVERAGE((Q1218:OFFSET(Q1218,$B$7-1,0))))</f>
        <v>#DIV/0!</v>
      </c>
      <c r="U1218" s="5" t="e">
        <f ca="1">SQRT($B$9*AVERAGE((Q1218:OFFSET(Q1218,$B$8-1,0))))</f>
        <v>#DIV/0!</v>
      </c>
      <c r="W1218" s="6" t="e">
        <f t="shared" si="102"/>
        <v>#DIV/0!</v>
      </c>
      <c r="X1218" s="6" t="e">
        <f ca="1">SQRT($B$9*AVERAGE(W1218:OFFSET(W1218,$B$5-1,0)))</f>
        <v>#DIV/0!</v>
      </c>
      <c r="Y1218" s="6" t="e">
        <f ca="1">SQRT($B$9*AVERAGE(W1218:OFFSET(W1218,$B$6-1,0)))</f>
        <v>#DIV/0!</v>
      </c>
      <c r="Z1218" s="6" t="e">
        <f ca="1">SQRT($B$9*AVERAGE(W1218:OFFSET(W1218,$B$7-1,0)))</f>
        <v>#DIV/0!</v>
      </c>
      <c r="AA1218" s="6" t="e">
        <f ca="1">SQRT($B$9*AVERAGE(W1218:OFFSET(W1218,$B$8-1,0)))</f>
        <v>#DIV/0!</v>
      </c>
      <c r="AC1218" s="34" t="e">
        <f t="shared" si="100"/>
        <v>#DIV/0!</v>
      </c>
      <c r="AD1218" s="34" t="e">
        <f ca="1">SQRT($B$9*SUM(AC1218:OFFSET(AC1218,$B$5-1,0))/($B$5-1))</f>
        <v>#DIV/0!</v>
      </c>
      <c r="AE1218" s="34" t="e">
        <f ca="1">SQRT($B$9*SUM(AC1218:OFFSET(AC1218,$B$6-1,0))/($B$6-1))</f>
        <v>#DIV/0!</v>
      </c>
      <c r="AF1218" s="34" t="e">
        <f ca="1">SQRT($B$9*SUM(AC1218:OFFSET(AC1218,$B$7-1,0))/($B$7-1))</f>
        <v>#DIV/0!</v>
      </c>
      <c r="AG1218" s="34" t="e">
        <f ca="1">SQRT($B$9*SUM(AC1218:OFFSET(AC1218,$B$8-1,0))/($B$8-1))</f>
        <v>#DIV/0!</v>
      </c>
      <c r="AI1218" s="1" t="e">
        <f t="shared" si="101"/>
        <v>#DIV/0!</v>
      </c>
      <c r="AJ1218" s="4" t="e">
        <f ca="1">SQRT($B$9)*_xlfn.STDEV.S(AI1218:OFFSET(AI1218,$B$5-1,0))</f>
        <v>#DIV/0!</v>
      </c>
      <c r="AK1218" s="4" t="e">
        <f ca="1">SQRT($B$9)*_xlfn.STDEV.S(AI1218:OFFSET(AI1218,$B$6-1,0))</f>
        <v>#DIV/0!</v>
      </c>
      <c r="AL1218" s="4" t="e">
        <f ca="1">SQRT($B$9)*_xlfn.STDEV.S(AI1218:OFFSET(AI1218,$B$7-1,0))</f>
        <v>#DIV/0!</v>
      </c>
      <c r="AM1218" s="4" t="e">
        <f ca="1">SQRT($B$9)*_xlfn.STDEV.S(AI1218:OFFSET(AI1218,$B$8-1,0))</f>
        <v>#DIV/0!</v>
      </c>
    </row>
    <row r="1219" spans="11:39" x14ac:dyDescent="0.2">
      <c r="K1219" s="3" t="e">
        <f t="shared" si="99"/>
        <v>#DIV/0!</v>
      </c>
      <c r="L1219" s="3" t="e">
        <f ca="1">SQRT(AVERAGE(K1219:OFFSET(K1219,$B$5-1,0))*$B$9/(4*LN(2)))</f>
        <v>#DIV/0!</v>
      </c>
      <c r="M1219" s="3" t="e">
        <f ca="1">SQRT(AVERAGE(K1219:OFFSET(K1219,$B$6-1,0))*$B$9/(4*LN(2)))</f>
        <v>#DIV/0!</v>
      </c>
      <c r="N1219" s="3" t="e">
        <f ca="1">SQRT(AVERAGE(K1219:OFFSET(K1219,$B$7-1,0))*$B$9/(4*LN(2)))</f>
        <v>#DIV/0!</v>
      </c>
      <c r="O1219" s="3" t="e">
        <f ca="1">SQRT(AVERAGE(K1219:OFFSET(K1219,$B$8-1,0))*$B$9/(4*LN(2)))</f>
        <v>#DIV/0!</v>
      </c>
      <c r="Q1219" s="5" t="e">
        <f t="shared" si="98"/>
        <v>#DIV/0!</v>
      </c>
      <c r="R1219" s="5" t="e">
        <f ca="1">SQRT($B$9*AVERAGE((Q1219:OFFSET(Q1219,$B$5-1,0))))</f>
        <v>#DIV/0!</v>
      </c>
      <c r="S1219" s="5" t="e">
        <f ca="1">SQRT($B$9*AVERAGE((Q1219:OFFSET(Q1219,$B$6-1,0))))</f>
        <v>#DIV/0!</v>
      </c>
      <c r="T1219" s="5" t="e">
        <f ca="1">SQRT($B$9*AVERAGE((Q1219:OFFSET(Q1219,$B$7-1,0))))</f>
        <v>#DIV/0!</v>
      </c>
      <c r="U1219" s="5" t="e">
        <f ca="1">SQRT($B$9*AVERAGE((Q1219:OFFSET(Q1219,$B$8-1,0))))</f>
        <v>#DIV/0!</v>
      </c>
      <c r="W1219" s="6" t="e">
        <f t="shared" si="102"/>
        <v>#DIV/0!</v>
      </c>
      <c r="X1219" s="6" t="e">
        <f ca="1">SQRT($B$9*AVERAGE(W1219:OFFSET(W1219,$B$5-1,0)))</f>
        <v>#DIV/0!</v>
      </c>
      <c r="Y1219" s="6" t="e">
        <f ca="1">SQRT($B$9*AVERAGE(W1219:OFFSET(W1219,$B$6-1,0)))</f>
        <v>#DIV/0!</v>
      </c>
      <c r="Z1219" s="6" t="e">
        <f ca="1">SQRT($B$9*AVERAGE(W1219:OFFSET(W1219,$B$7-1,0)))</f>
        <v>#DIV/0!</v>
      </c>
      <c r="AA1219" s="6" t="e">
        <f ca="1">SQRT($B$9*AVERAGE(W1219:OFFSET(W1219,$B$8-1,0)))</f>
        <v>#DIV/0!</v>
      </c>
      <c r="AC1219" s="34" t="e">
        <f t="shared" si="100"/>
        <v>#DIV/0!</v>
      </c>
      <c r="AD1219" s="34" t="e">
        <f ca="1">SQRT($B$9*SUM(AC1219:OFFSET(AC1219,$B$5-1,0))/($B$5-1))</f>
        <v>#DIV/0!</v>
      </c>
      <c r="AE1219" s="34" t="e">
        <f ca="1">SQRT($B$9*SUM(AC1219:OFFSET(AC1219,$B$6-1,0))/($B$6-1))</f>
        <v>#DIV/0!</v>
      </c>
      <c r="AF1219" s="34" t="e">
        <f ca="1">SQRT($B$9*SUM(AC1219:OFFSET(AC1219,$B$7-1,0))/($B$7-1))</f>
        <v>#DIV/0!</v>
      </c>
      <c r="AG1219" s="34" t="e">
        <f ca="1">SQRT($B$9*SUM(AC1219:OFFSET(AC1219,$B$8-1,0))/($B$8-1))</f>
        <v>#DIV/0!</v>
      </c>
      <c r="AI1219" s="1" t="e">
        <f t="shared" si="101"/>
        <v>#DIV/0!</v>
      </c>
      <c r="AJ1219" s="4" t="e">
        <f ca="1">SQRT($B$9)*_xlfn.STDEV.S(AI1219:OFFSET(AI1219,$B$5-1,0))</f>
        <v>#DIV/0!</v>
      </c>
      <c r="AK1219" s="4" t="e">
        <f ca="1">SQRT($B$9)*_xlfn.STDEV.S(AI1219:OFFSET(AI1219,$B$6-1,0))</f>
        <v>#DIV/0!</v>
      </c>
      <c r="AL1219" s="4" t="e">
        <f ca="1">SQRT($B$9)*_xlfn.STDEV.S(AI1219:OFFSET(AI1219,$B$7-1,0))</f>
        <v>#DIV/0!</v>
      </c>
      <c r="AM1219" s="4" t="e">
        <f ca="1">SQRT($B$9)*_xlfn.STDEV.S(AI1219:OFFSET(AI1219,$B$8-1,0))</f>
        <v>#DIV/0!</v>
      </c>
    </row>
    <row r="1220" spans="11:39" x14ac:dyDescent="0.2">
      <c r="K1220" s="3" t="e">
        <f t="shared" si="99"/>
        <v>#DIV/0!</v>
      </c>
      <c r="L1220" s="3" t="e">
        <f ca="1">SQRT(AVERAGE(K1220:OFFSET(K1220,$B$5-1,0))*$B$9/(4*LN(2)))</f>
        <v>#DIV/0!</v>
      </c>
      <c r="M1220" s="3" t="e">
        <f ca="1">SQRT(AVERAGE(K1220:OFFSET(K1220,$B$6-1,0))*$B$9/(4*LN(2)))</f>
        <v>#DIV/0!</v>
      </c>
      <c r="N1220" s="3" t="e">
        <f ca="1">SQRT(AVERAGE(K1220:OFFSET(K1220,$B$7-1,0))*$B$9/(4*LN(2)))</f>
        <v>#DIV/0!</v>
      </c>
      <c r="O1220" s="3" t="e">
        <f ca="1">SQRT(AVERAGE(K1220:OFFSET(K1220,$B$8-1,0))*$B$9/(4*LN(2)))</f>
        <v>#DIV/0!</v>
      </c>
      <c r="Q1220" s="5" t="e">
        <f t="shared" si="98"/>
        <v>#DIV/0!</v>
      </c>
      <c r="R1220" s="5" t="e">
        <f ca="1">SQRT($B$9*AVERAGE((Q1220:OFFSET(Q1220,$B$5-1,0))))</f>
        <v>#DIV/0!</v>
      </c>
      <c r="S1220" s="5" t="e">
        <f ca="1">SQRT($B$9*AVERAGE((Q1220:OFFSET(Q1220,$B$6-1,0))))</f>
        <v>#DIV/0!</v>
      </c>
      <c r="T1220" s="5" t="e">
        <f ca="1">SQRT($B$9*AVERAGE((Q1220:OFFSET(Q1220,$B$7-1,0))))</f>
        <v>#DIV/0!</v>
      </c>
      <c r="U1220" s="5" t="e">
        <f ca="1">SQRT($B$9*AVERAGE((Q1220:OFFSET(Q1220,$B$8-1,0))))</f>
        <v>#DIV/0!</v>
      </c>
      <c r="W1220" s="6" t="e">
        <f t="shared" si="102"/>
        <v>#DIV/0!</v>
      </c>
      <c r="X1220" s="6" t="e">
        <f ca="1">SQRT($B$9*AVERAGE(W1220:OFFSET(W1220,$B$5-1,0)))</f>
        <v>#DIV/0!</v>
      </c>
      <c r="Y1220" s="6" t="e">
        <f ca="1">SQRT($B$9*AVERAGE(W1220:OFFSET(W1220,$B$6-1,0)))</f>
        <v>#DIV/0!</v>
      </c>
      <c r="Z1220" s="6" t="e">
        <f ca="1">SQRT($B$9*AVERAGE(W1220:OFFSET(W1220,$B$7-1,0)))</f>
        <v>#DIV/0!</v>
      </c>
      <c r="AA1220" s="6" t="e">
        <f ca="1">SQRT($B$9*AVERAGE(W1220:OFFSET(W1220,$B$8-1,0)))</f>
        <v>#DIV/0!</v>
      </c>
      <c r="AC1220" s="34" t="e">
        <f t="shared" si="100"/>
        <v>#DIV/0!</v>
      </c>
      <c r="AD1220" s="34" t="e">
        <f ca="1">SQRT($B$9*SUM(AC1220:OFFSET(AC1220,$B$5-1,0))/($B$5-1))</f>
        <v>#DIV/0!</v>
      </c>
      <c r="AE1220" s="34" t="e">
        <f ca="1">SQRT($B$9*SUM(AC1220:OFFSET(AC1220,$B$6-1,0))/($B$6-1))</f>
        <v>#DIV/0!</v>
      </c>
      <c r="AF1220" s="34" t="e">
        <f ca="1">SQRT($B$9*SUM(AC1220:OFFSET(AC1220,$B$7-1,0))/($B$7-1))</f>
        <v>#DIV/0!</v>
      </c>
      <c r="AG1220" s="34" t="e">
        <f ca="1">SQRT($B$9*SUM(AC1220:OFFSET(AC1220,$B$8-1,0))/($B$8-1))</f>
        <v>#DIV/0!</v>
      </c>
      <c r="AI1220" s="1" t="e">
        <f t="shared" si="101"/>
        <v>#DIV/0!</v>
      </c>
      <c r="AJ1220" s="4" t="e">
        <f ca="1">SQRT($B$9)*_xlfn.STDEV.S(AI1220:OFFSET(AI1220,$B$5-1,0))</f>
        <v>#DIV/0!</v>
      </c>
      <c r="AK1220" s="4" t="e">
        <f ca="1">SQRT($B$9)*_xlfn.STDEV.S(AI1220:OFFSET(AI1220,$B$6-1,0))</f>
        <v>#DIV/0!</v>
      </c>
      <c r="AL1220" s="4" t="e">
        <f ca="1">SQRT($B$9)*_xlfn.STDEV.S(AI1220:OFFSET(AI1220,$B$7-1,0))</f>
        <v>#DIV/0!</v>
      </c>
      <c r="AM1220" s="4" t="e">
        <f ca="1">SQRT($B$9)*_xlfn.STDEV.S(AI1220:OFFSET(AI1220,$B$8-1,0))</f>
        <v>#DIV/0!</v>
      </c>
    </row>
    <row r="1221" spans="11:39" x14ac:dyDescent="0.2">
      <c r="K1221" s="3" t="e">
        <f t="shared" si="99"/>
        <v>#DIV/0!</v>
      </c>
      <c r="L1221" s="3" t="e">
        <f ca="1">SQRT(AVERAGE(K1221:OFFSET(K1221,$B$5-1,0))*$B$9/(4*LN(2)))</f>
        <v>#DIV/0!</v>
      </c>
      <c r="M1221" s="3" t="e">
        <f ca="1">SQRT(AVERAGE(K1221:OFFSET(K1221,$B$6-1,0))*$B$9/(4*LN(2)))</f>
        <v>#DIV/0!</v>
      </c>
      <c r="N1221" s="3" t="e">
        <f ca="1">SQRT(AVERAGE(K1221:OFFSET(K1221,$B$7-1,0))*$B$9/(4*LN(2)))</f>
        <v>#DIV/0!</v>
      </c>
      <c r="O1221" s="3" t="e">
        <f ca="1">SQRT(AVERAGE(K1221:OFFSET(K1221,$B$8-1,0))*$B$9/(4*LN(2)))</f>
        <v>#DIV/0!</v>
      </c>
      <c r="Q1221" s="5" t="e">
        <f t="shared" ref="Q1221:Q1284" si="103">0.511*(LN(G1221/H1221))^2-0.019*(LN(I1221/F1221)*LN(G1221*H1221/F1221^2)-2*LN(G1221/F1221)*LN(H1221/F1221))-0.383*(LN(I1221/F1221))^2</f>
        <v>#DIV/0!</v>
      </c>
      <c r="R1221" s="5" t="e">
        <f ca="1">SQRT($B$9*AVERAGE((Q1221:OFFSET(Q1221,$B$5-1,0))))</f>
        <v>#DIV/0!</v>
      </c>
      <c r="S1221" s="5" t="e">
        <f ca="1">SQRT($B$9*AVERAGE((Q1221:OFFSET(Q1221,$B$6-1,0))))</f>
        <v>#DIV/0!</v>
      </c>
      <c r="T1221" s="5" t="e">
        <f ca="1">SQRT($B$9*AVERAGE((Q1221:OFFSET(Q1221,$B$7-1,0))))</f>
        <v>#DIV/0!</v>
      </c>
      <c r="U1221" s="5" t="e">
        <f ca="1">SQRT($B$9*AVERAGE((Q1221:OFFSET(Q1221,$B$8-1,0))))</f>
        <v>#DIV/0!</v>
      </c>
      <c r="W1221" s="6" t="e">
        <f t="shared" si="102"/>
        <v>#DIV/0!</v>
      </c>
      <c r="X1221" s="6" t="e">
        <f ca="1">SQRT($B$9*AVERAGE(W1221:OFFSET(W1221,$B$5-1,0)))</f>
        <v>#DIV/0!</v>
      </c>
      <c r="Y1221" s="6" t="e">
        <f ca="1">SQRT($B$9*AVERAGE(W1221:OFFSET(W1221,$B$6-1,0)))</f>
        <v>#DIV/0!</v>
      </c>
      <c r="Z1221" s="6" t="e">
        <f ca="1">SQRT($B$9*AVERAGE(W1221:OFFSET(W1221,$B$7-1,0)))</f>
        <v>#DIV/0!</v>
      </c>
      <c r="AA1221" s="6" t="e">
        <f ca="1">SQRT($B$9*AVERAGE(W1221:OFFSET(W1221,$B$8-1,0)))</f>
        <v>#DIV/0!</v>
      </c>
      <c r="AC1221" s="34" t="e">
        <f t="shared" si="100"/>
        <v>#DIV/0!</v>
      </c>
      <c r="AD1221" s="34" t="e">
        <f ca="1">SQRT($B$9*SUM(AC1221:OFFSET(AC1221,$B$5-1,0))/($B$5-1))</f>
        <v>#DIV/0!</v>
      </c>
      <c r="AE1221" s="34" t="e">
        <f ca="1">SQRT($B$9*SUM(AC1221:OFFSET(AC1221,$B$6-1,0))/($B$6-1))</f>
        <v>#DIV/0!</v>
      </c>
      <c r="AF1221" s="34" t="e">
        <f ca="1">SQRT($B$9*SUM(AC1221:OFFSET(AC1221,$B$7-1,0))/($B$7-1))</f>
        <v>#DIV/0!</v>
      </c>
      <c r="AG1221" s="34" t="e">
        <f ca="1">SQRT($B$9*SUM(AC1221:OFFSET(AC1221,$B$8-1,0))/($B$8-1))</f>
        <v>#DIV/0!</v>
      </c>
      <c r="AI1221" s="1" t="e">
        <f t="shared" si="101"/>
        <v>#DIV/0!</v>
      </c>
      <c r="AJ1221" s="4" t="e">
        <f ca="1">SQRT($B$9)*_xlfn.STDEV.S(AI1221:OFFSET(AI1221,$B$5-1,0))</f>
        <v>#DIV/0!</v>
      </c>
      <c r="AK1221" s="4" t="e">
        <f ca="1">SQRT($B$9)*_xlfn.STDEV.S(AI1221:OFFSET(AI1221,$B$6-1,0))</f>
        <v>#DIV/0!</v>
      </c>
      <c r="AL1221" s="4" t="e">
        <f ca="1">SQRT($B$9)*_xlfn.STDEV.S(AI1221:OFFSET(AI1221,$B$7-1,0))</f>
        <v>#DIV/0!</v>
      </c>
      <c r="AM1221" s="4" t="e">
        <f ca="1">SQRT($B$9)*_xlfn.STDEV.S(AI1221:OFFSET(AI1221,$B$8-1,0))</f>
        <v>#DIV/0!</v>
      </c>
    </row>
    <row r="1222" spans="11:39" x14ac:dyDescent="0.2">
      <c r="K1222" s="3" t="e">
        <f t="shared" ref="K1222:K1285" si="104">(LN(G1222/H1222))^2</f>
        <v>#DIV/0!</v>
      </c>
      <c r="L1222" s="3" t="e">
        <f ca="1">SQRT(AVERAGE(K1222:OFFSET(K1222,$B$5-1,0))*$B$9/(4*LN(2)))</f>
        <v>#DIV/0!</v>
      </c>
      <c r="M1222" s="3" t="e">
        <f ca="1">SQRT(AVERAGE(K1222:OFFSET(K1222,$B$6-1,0))*$B$9/(4*LN(2)))</f>
        <v>#DIV/0!</v>
      </c>
      <c r="N1222" s="3" t="e">
        <f ca="1">SQRT(AVERAGE(K1222:OFFSET(K1222,$B$7-1,0))*$B$9/(4*LN(2)))</f>
        <v>#DIV/0!</v>
      </c>
      <c r="O1222" s="3" t="e">
        <f ca="1">SQRT(AVERAGE(K1222:OFFSET(K1222,$B$8-1,0))*$B$9/(4*LN(2)))</f>
        <v>#DIV/0!</v>
      </c>
      <c r="Q1222" s="5" t="e">
        <f t="shared" si="103"/>
        <v>#DIV/0!</v>
      </c>
      <c r="R1222" s="5" t="e">
        <f ca="1">SQRT($B$9*AVERAGE((Q1222:OFFSET(Q1222,$B$5-1,0))))</f>
        <v>#DIV/0!</v>
      </c>
      <c r="S1222" s="5" t="e">
        <f ca="1">SQRT($B$9*AVERAGE((Q1222:OFFSET(Q1222,$B$6-1,0))))</f>
        <v>#DIV/0!</v>
      </c>
      <c r="T1222" s="5" t="e">
        <f ca="1">SQRT($B$9*AVERAGE((Q1222:OFFSET(Q1222,$B$7-1,0))))</f>
        <v>#DIV/0!</v>
      </c>
      <c r="U1222" s="5" t="e">
        <f ca="1">SQRT($B$9*AVERAGE((Q1222:OFFSET(Q1222,$B$8-1,0))))</f>
        <v>#DIV/0!</v>
      </c>
      <c r="W1222" s="6" t="e">
        <f t="shared" si="102"/>
        <v>#DIV/0!</v>
      </c>
      <c r="X1222" s="6" t="e">
        <f ca="1">SQRT($B$9*AVERAGE(W1222:OFFSET(W1222,$B$5-1,0)))</f>
        <v>#DIV/0!</v>
      </c>
      <c r="Y1222" s="6" t="e">
        <f ca="1">SQRT($B$9*AVERAGE(W1222:OFFSET(W1222,$B$6-1,0)))</f>
        <v>#DIV/0!</v>
      </c>
      <c r="Z1222" s="6" t="e">
        <f ca="1">SQRT($B$9*AVERAGE(W1222:OFFSET(W1222,$B$7-1,0)))</f>
        <v>#DIV/0!</v>
      </c>
      <c r="AA1222" s="6" t="e">
        <f ca="1">SQRT($B$9*AVERAGE(W1222:OFFSET(W1222,$B$8-1,0)))</f>
        <v>#DIV/0!</v>
      </c>
      <c r="AC1222" s="34" t="e">
        <f t="shared" si="100"/>
        <v>#DIV/0!</v>
      </c>
      <c r="AD1222" s="34" t="e">
        <f ca="1">SQRT($B$9*SUM(AC1222:OFFSET(AC1222,$B$5-1,0))/($B$5-1))</f>
        <v>#DIV/0!</v>
      </c>
      <c r="AE1222" s="34" t="e">
        <f ca="1">SQRT($B$9*SUM(AC1222:OFFSET(AC1222,$B$6-1,0))/($B$6-1))</f>
        <v>#DIV/0!</v>
      </c>
      <c r="AF1222" s="34" t="e">
        <f ca="1">SQRT($B$9*SUM(AC1222:OFFSET(AC1222,$B$7-1,0))/($B$7-1))</f>
        <v>#DIV/0!</v>
      </c>
      <c r="AG1222" s="34" t="e">
        <f ca="1">SQRT($B$9*SUM(AC1222:OFFSET(AC1222,$B$8-1,0))/($B$8-1))</f>
        <v>#DIV/0!</v>
      </c>
      <c r="AI1222" s="1" t="e">
        <f t="shared" si="101"/>
        <v>#DIV/0!</v>
      </c>
      <c r="AJ1222" s="4" t="e">
        <f ca="1">SQRT($B$9)*_xlfn.STDEV.S(AI1222:OFFSET(AI1222,$B$5-1,0))</f>
        <v>#DIV/0!</v>
      </c>
      <c r="AK1222" s="4" t="e">
        <f ca="1">SQRT($B$9)*_xlfn.STDEV.S(AI1222:OFFSET(AI1222,$B$6-1,0))</f>
        <v>#DIV/0!</v>
      </c>
      <c r="AL1222" s="4" t="e">
        <f ca="1">SQRT($B$9)*_xlfn.STDEV.S(AI1222:OFFSET(AI1222,$B$7-1,0))</f>
        <v>#DIV/0!</v>
      </c>
      <c r="AM1222" s="4" t="e">
        <f ca="1">SQRT($B$9)*_xlfn.STDEV.S(AI1222:OFFSET(AI1222,$B$8-1,0))</f>
        <v>#DIV/0!</v>
      </c>
    </row>
    <row r="1223" spans="11:39" x14ac:dyDescent="0.2">
      <c r="K1223" s="3" t="e">
        <f t="shared" si="104"/>
        <v>#DIV/0!</v>
      </c>
      <c r="L1223" s="3" t="e">
        <f ca="1">SQRT(AVERAGE(K1223:OFFSET(K1223,$B$5-1,0))*$B$9/(4*LN(2)))</f>
        <v>#DIV/0!</v>
      </c>
      <c r="M1223" s="3" t="e">
        <f ca="1">SQRT(AVERAGE(K1223:OFFSET(K1223,$B$6-1,0))*$B$9/(4*LN(2)))</f>
        <v>#DIV/0!</v>
      </c>
      <c r="N1223" s="3" t="e">
        <f ca="1">SQRT(AVERAGE(K1223:OFFSET(K1223,$B$7-1,0))*$B$9/(4*LN(2)))</f>
        <v>#DIV/0!</v>
      </c>
      <c r="O1223" s="3" t="e">
        <f ca="1">SQRT(AVERAGE(K1223:OFFSET(K1223,$B$8-1,0))*$B$9/(4*LN(2)))</f>
        <v>#DIV/0!</v>
      </c>
      <c r="Q1223" s="5" t="e">
        <f t="shared" si="103"/>
        <v>#DIV/0!</v>
      </c>
      <c r="R1223" s="5" t="e">
        <f ca="1">SQRT($B$9*AVERAGE((Q1223:OFFSET(Q1223,$B$5-1,0))))</f>
        <v>#DIV/0!</v>
      </c>
      <c r="S1223" s="5" t="e">
        <f ca="1">SQRT($B$9*AVERAGE((Q1223:OFFSET(Q1223,$B$6-1,0))))</f>
        <v>#DIV/0!</v>
      </c>
      <c r="T1223" s="5" t="e">
        <f ca="1">SQRT($B$9*AVERAGE((Q1223:OFFSET(Q1223,$B$7-1,0))))</f>
        <v>#DIV/0!</v>
      </c>
      <c r="U1223" s="5" t="e">
        <f ca="1">SQRT($B$9*AVERAGE((Q1223:OFFSET(Q1223,$B$8-1,0))))</f>
        <v>#DIV/0!</v>
      </c>
      <c r="W1223" s="6" t="e">
        <f t="shared" si="102"/>
        <v>#DIV/0!</v>
      </c>
      <c r="X1223" s="6" t="e">
        <f ca="1">SQRT($B$9*AVERAGE(W1223:OFFSET(W1223,$B$5-1,0)))</f>
        <v>#DIV/0!</v>
      </c>
      <c r="Y1223" s="6" t="e">
        <f ca="1">SQRT($B$9*AVERAGE(W1223:OFFSET(W1223,$B$6-1,0)))</f>
        <v>#DIV/0!</v>
      </c>
      <c r="Z1223" s="6" t="e">
        <f ca="1">SQRT($B$9*AVERAGE(W1223:OFFSET(W1223,$B$7-1,0)))</f>
        <v>#DIV/0!</v>
      </c>
      <c r="AA1223" s="6" t="e">
        <f ca="1">SQRT($B$9*AVERAGE(W1223:OFFSET(W1223,$B$8-1,0)))</f>
        <v>#DIV/0!</v>
      </c>
      <c r="AC1223" s="34" t="e">
        <f t="shared" si="100"/>
        <v>#DIV/0!</v>
      </c>
      <c r="AD1223" s="34" t="e">
        <f ca="1">SQRT($B$9*SUM(AC1223:OFFSET(AC1223,$B$5-1,0))/($B$5-1))</f>
        <v>#DIV/0!</v>
      </c>
      <c r="AE1223" s="34" t="e">
        <f ca="1">SQRT($B$9*SUM(AC1223:OFFSET(AC1223,$B$6-1,0))/($B$6-1))</f>
        <v>#DIV/0!</v>
      </c>
      <c r="AF1223" s="34" t="e">
        <f ca="1">SQRT($B$9*SUM(AC1223:OFFSET(AC1223,$B$7-1,0))/($B$7-1))</f>
        <v>#DIV/0!</v>
      </c>
      <c r="AG1223" s="34" t="e">
        <f ca="1">SQRT($B$9*SUM(AC1223:OFFSET(AC1223,$B$8-1,0))/($B$8-1))</f>
        <v>#DIV/0!</v>
      </c>
      <c r="AI1223" s="1" t="e">
        <f t="shared" si="101"/>
        <v>#DIV/0!</v>
      </c>
      <c r="AJ1223" s="4" t="e">
        <f ca="1">SQRT($B$9)*_xlfn.STDEV.S(AI1223:OFFSET(AI1223,$B$5-1,0))</f>
        <v>#DIV/0!</v>
      </c>
      <c r="AK1223" s="4" t="e">
        <f ca="1">SQRT($B$9)*_xlfn.STDEV.S(AI1223:OFFSET(AI1223,$B$6-1,0))</f>
        <v>#DIV/0!</v>
      </c>
      <c r="AL1223" s="4" t="e">
        <f ca="1">SQRT($B$9)*_xlfn.STDEV.S(AI1223:OFFSET(AI1223,$B$7-1,0))</f>
        <v>#DIV/0!</v>
      </c>
      <c r="AM1223" s="4" t="e">
        <f ca="1">SQRT($B$9)*_xlfn.STDEV.S(AI1223:OFFSET(AI1223,$B$8-1,0))</f>
        <v>#DIV/0!</v>
      </c>
    </row>
    <row r="1224" spans="11:39" x14ac:dyDescent="0.2">
      <c r="K1224" s="3" t="e">
        <f t="shared" si="104"/>
        <v>#DIV/0!</v>
      </c>
      <c r="L1224" s="3" t="e">
        <f ca="1">SQRT(AVERAGE(K1224:OFFSET(K1224,$B$5-1,0))*$B$9/(4*LN(2)))</f>
        <v>#DIV/0!</v>
      </c>
      <c r="M1224" s="3" t="e">
        <f ca="1">SQRT(AVERAGE(K1224:OFFSET(K1224,$B$6-1,0))*$B$9/(4*LN(2)))</f>
        <v>#DIV/0!</v>
      </c>
      <c r="N1224" s="3" t="e">
        <f ca="1">SQRT(AVERAGE(K1224:OFFSET(K1224,$B$7-1,0))*$B$9/(4*LN(2)))</f>
        <v>#DIV/0!</v>
      </c>
      <c r="O1224" s="3" t="e">
        <f ca="1">SQRT(AVERAGE(K1224:OFFSET(K1224,$B$8-1,0))*$B$9/(4*LN(2)))</f>
        <v>#DIV/0!</v>
      </c>
      <c r="Q1224" s="5" t="e">
        <f t="shared" si="103"/>
        <v>#DIV/0!</v>
      </c>
      <c r="R1224" s="5" t="e">
        <f ca="1">SQRT($B$9*AVERAGE((Q1224:OFFSET(Q1224,$B$5-1,0))))</f>
        <v>#DIV/0!</v>
      </c>
      <c r="S1224" s="5" t="e">
        <f ca="1">SQRT($B$9*AVERAGE((Q1224:OFFSET(Q1224,$B$6-1,0))))</f>
        <v>#DIV/0!</v>
      </c>
      <c r="T1224" s="5" t="e">
        <f ca="1">SQRT($B$9*AVERAGE((Q1224:OFFSET(Q1224,$B$7-1,0))))</f>
        <v>#DIV/0!</v>
      </c>
      <c r="U1224" s="5" t="e">
        <f ca="1">SQRT($B$9*AVERAGE((Q1224:OFFSET(Q1224,$B$8-1,0))))</f>
        <v>#DIV/0!</v>
      </c>
      <c r="W1224" s="6" t="e">
        <f t="shared" si="102"/>
        <v>#DIV/0!</v>
      </c>
      <c r="X1224" s="6" t="e">
        <f ca="1">SQRT($B$9*AVERAGE(W1224:OFFSET(W1224,$B$5-1,0)))</f>
        <v>#DIV/0!</v>
      </c>
      <c r="Y1224" s="6" t="e">
        <f ca="1">SQRT($B$9*AVERAGE(W1224:OFFSET(W1224,$B$6-1,0)))</f>
        <v>#DIV/0!</v>
      </c>
      <c r="Z1224" s="6" t="e">
        <f ca="1">SQRT($B$9*AVERAGE(W1224:OFFSET(W1224,$B$7-1,0)))</f>
        <v>#DIV/0!</v>
      </c>
      <c r="AA1224" s="6" t="e">
        <f ca="1">SQRT($B$9*AVERAGE(W1224:OFFSET(W1224,$B$8-1,0)))</f>
        <v>#DIV/0!</v>
      </c>
      <c r="AC1224" s="34" t="e">
        <f t="shared" si="100"/>
        <v>#DIV/0!</v>
      </c>
      <c r="AD1224" s="34" t="e">
        <f ca="1">SQRT($B$9*SUM(AC1224:OFFSET(AC1224,$B$5-1,0))/($B$5-1))</f>
        <v>#DIV/0!</v>
      </c>
      <c r="AE1224" s="34" t="e">
        <f ca="1">SQRT($B$9*SUM(AC1224:OFFSET(AC1224,$B$6-1,0))/($B$6-1))</f>
        <v>#DIV/0!</v>
      </c>
      <c r="AF1224" s="34" t="e">
        <f ca="1">SQRT($B$9*SUM(AC1224:OFFSET(AC1224,$B$7-1,0))/($B$7-1))</f>
        <v>#DIV/0!</v>
      </c>
      <c r="AG1224" s="34" t="e">
        <f ca="1">SQRT($B$9*SUM(AC1224:OFFSET(AC1224,$B$8-1,0))/($B$8-1))</f>
        <v>#DIV/0!</v>
      </c>
      <c r="AI1224" s="1" t="e">
        <f t="shared" si="101"/>
        <v>#DIV/0!</v>
      </c>
      <c r="AJ1224" s="4" t="e">
        <f ca="1">SQRT($B$9)*_xlfn.STDEV.S(AI1224:OFFSET(AI1224,$B$5-1,0))</f>
        <v>#DIV/0!</v>
      </c>
      <c r="AK1224" s="4" t="e">
        <f ca="1">SQRT($B$9)*_xlfn.STDEV.S(AI1224:OFFSET(AI1224,$B$6-1,0))</f>
        <v>#DIV/0!</v>
      </c>
      <c r="AL1224" s="4" t="e">
        <f ca="1">SQRT($B$9)*_xlfn.STDEV.S(AI1224:OFFSET(AI1224,$B$7-1,0))</f>
        <v>#DIV/0!</v>
      </c>
      <c r="AM1224" s="4" t="e">
        <f ca="1">SQRT($B$9)*_xlfn.STDEV.S(AI1224:OFFSET(AI1224,$B$8-1,0))</f>
        <v>#DIV/0!</v>
      </c>
    </row>
    <row r="1225" spans="11:39" x14ac:dyDescent="0.2">
      <c r="K1225" s="3" t="e">
        <f t="shared" si="104"/>
        <v>#DIV/0!</v>
      </c>
      <c r="L1225" s="3" t="e">
        <f ca="1">SQRT(AVERAGE(K1225:OFFSET(K1225,$B$5-1,0))*$B$9/(4*LN(2)))</f>
        <v>#DIV/0!</v>
      </c>
      <c r="M1225" s="3" t="e">
        <f ca="1">SQRT(AVERAGE(K1225:OFFSET(K1225,$B$6-1,0))*$B$9/(4*LN(2)))</f>
        <v>#DIV/0!</v>
      </c>
      <c r="N1225" s="3" t="e">
        <f ca="1">SQRT(AVERAGE(K1225:OFFSET(K1225,$B$7-1,0))*$B$9/(4*LN(2)))</f>
        <v>#DIV/0!</v>
      </c>
      <c r="O1225" s="3" t="e">
        <f ca="1">SQRT(AVERAGE(K1225:OFFSET(K1225,$B$8-1,0))*$B$9/(4*LN(2)))</f>
        <v>#DIV/0!</v>
      </c>
      <c r="Q1225" s="5" t="e">
        <f t="shared" si="103"/>
        <v>#DIV/0!</v>
      </c>
      <c r="R1225" s="5" t="e">
        <f ca="1">SQRT($B$9*AVERAGE((Q1225:OFFSET(Q1225,$B$5-1,0))))</f>
        <v>#DIV/0!</v>
      </c>
      <c r="S1225" s="5" t="e">
        <f ca="1">SQRT($B$9*AVERAGE((Q1225:OFFSET(Q1225,$B$6-1,0))))</f>
        <v>#DIV/0!</v>
      </c>
      <c r="T1225" s="5" t="e">
        <f ca="1">SQRT($B$9*AVERAGE((Q1225:OFFSET(Q1225,$B$7-1,0))))</f>
        <v>#DIV/0!</v>
      </c>
      <c r="U1225" s="5" t="e">
        <f ca="1">SQRT($B$9*AVERAGE((Q1225:OFFSET(Q1225,$B$8-1,0))))</f>
        <v>#DIV/0!</v>
      </c>
      <c r="W1225" s="6" t="e">
        <f t="shared" si="102"/>
        <v>#DIV/0!</v>
      </c>
      <c r="X1225" s="6" t="e">
        <f ca="1">SQRT($B$9*AVERAGE(W1225:OFFSET(W1225,$B$5-1,0)))</f>
        <v>#DIV/0!</v>
      </c>
      <c r="Y1225" s="6" t="e">
        <f ca="1">SQRT($B$9*AVERAGE(W1225:OFFSET(W1225,$B$6-1,0)))</f>
        <v>#DIV/0!</v>
      </c>
      <c r="Z1225" s="6" t="e">
        <f ca="1">SQRT($B$9*AVERAGE(W1225:OFFSET(W1225,$B$7-1,0)))</f>
        <v>#DIV/0!</v>
      </c>
      <c r="AA1225" s="6" t="e">
        <f ca="1">SQRT($B$9*AVERAGE(W1225:OFFSET(W1225,$B$8-1,0)))</f>
        <v>#DIV/0!</v>
      </c>
      <c r="AC1225" s="34" t="e">
        <f t="shared" si="100"/>
        <v>#DIV/0!</v>
      </c>
      <c r="AD1225" s="34" t="e">
        <f ca="1">SQRT($B$9*SUM(AC1225:OFFSET(AC1225,$B$5-1,0))/($B$5-1))</f>
        <v>#DIV/0!</v>
      </c>
      <c r="AE1225" s="34" t="e">
        <f ca="1">SQRT($B$9*SUM(AC1225:OFFSET(AC1225,$B$6-1,0))/($B$6-1))</f>
        <v>#DIV/0!</v>
      </c>
      <c r="AF1225" s="34" t="e">
        <f ca="1">SQRT($B$9*SUM(AC1225:OFFSET(AC1225,$B$7-1,0))/($B$7-1))</f>
        <v>#DIV/0!</v>
      </c>
      <c r="AG1225" s="34" t="e">
        <f ca="1">SQRT($B$9*SUM(AC1225:OFFSET(AC1225,$B$8-1,0))/($B$8-1))</f>
        <v>#DIV/0!</v>
      </c>
      <c r="AI1225" s="1" t="e">
        <f t="shared" si="101"/>
        <v>#DIV/0!</v>
      </c>
      <c r="AJ1225" s="4" t="e">
        <f ca="1">SQRT($B$9)*_xlfn.STDEV.S(AI1225:OFFSET(AI1225,$B$5-1,0))</f>
        <v>#DIV/0!</v>
      </c>
      <c r="AK1225" s="4" t="e">
        <f ca="1">SQRT($B$9)*_xlfn.STDEV.S(AI1225:OFFSET(AI1225,$B$6-1,0))</f>
        <v>#DIV/0!</v>
      </c>
      <c r="AL1225" s="4" t="e">
        <f ca="1">SQRT($B$9)*_xlfn.STDEV.S(AI1225:OFFSET(AI1225,$B$7-1,0))</f>
        <v>#DIV/0!</v>
      </c>
      <c r="AM1225" s="4" t="e">
        <f ca="1">SQRT($B$9)*_xlfn.STDEV.S(AI1225:OFFSET(AI1225,$B$8-1,0))</f>
        <v>#DIV/0!</v>
      </c>
    </row>
    <row r="1226" spans="11:39" x14ac:dyDescent="0.2">
      <c r="K1226" s="3" t="e">
        <f t="shared" si="104"/>
        <v>#DIV/0!</v>
      </c>
      <c r="L1226" s="3" t="e">
        <f ca="1">SQRT(AVERAGE(K1226:OFFSET(K1226,$B$5-1,0))*$B$9/(4*LN(2)))</f>
        <v>#DIV/0!</v>
      </c>
      <c r="M1226" s="3" t="e">
        <f ca="1">SQRT(AVERAGE(K1226:OFFSET(K1226,$B$6-1,0))*$B$9/(4*LN(2)))</f>
        <v>#DIV/0!</v>
      </c>
      <c r="N1226" s="3" t="e">
        <f ca="1">SQRT(AVERAGE(K1226:OFFSET(K1226,$B$7-1,0))*$B$9/(4*LN(2)))</f>
        <v>#DIV/0!</v>
      </c>
      <c r="O1226" s="3" t="e">
        <f ca="1">SQRT(AVERAGE(K1226:OFFSET(K1226,$B$8-1,0))*$B$9/(4*LN(2)))</f>
        <v>#DIV/0!</v>
      </c>
      <c r="Q1226" s="5" t="e">
        <f t="shared" si="103"/>
        <v>#DIV/0!</v>
      </c>
      <c r="R1226" s="5" t="e">
        <f ca="1">SQRT($B$9*AVERAGE((Q1226:OFFSET(Q1226,$B$5-1,0))))</f>
        <v>#DIV/0!</v>
      </c>
      <c r="S1226" s="5" t="e">
        <f ca="1">SQRT($B$9*AVERAGE((Q1226:OFFSET(Q1226,$B$6-1,0))))</f>
        <v>#DIV/0!</v>
      </c>
      <c r="T1226" s="5" t="e">
        <f ca="1">SQRT($B$9*AVERAGE((Q1226:OFFSET(Q1226,$B$7-1,0))))</f>
        <v>#DIV/0!</v>
      </c>
      <c r="U1226" s="5" t="e">
        <f ca="1">SQRT($B$9*AVERAGE((Q1226:OFFSET(Q1226,$B$8-1,0))))</f>
        <v>#DIV/0!</v>
      </c>
      <c r="W1226" s="6" t="e">
        <f t="shared" si="102"/>
        <v>#DIV/0!</v>
      </c>
      <c r="X1226" s="6" t="e">
        <f ca="1">SQRT($B$9*AVERAGE(W1226:OFFSET(W1226,$B$5-1,0)))</f>
        <v>#DIV/0!</v>
      </c>
      <c r="Y1226" s="6" t="e">
        <f ca="1">SQRT($B$9*AVERAGE(W1226:OFFSET(W1226,$B$6-1,0)))</f>
        <v>#DIV/0!</v>
      </c>
      <c r="Z1226" s="6" t="e">
        <f ca="1">SQRT($B$9*AVERAGE(W1226:OFFSET(W1226,$B$7-1,0)))</f>
        <v>#DIV/0!</v>
      </c>
      <c r="AA1226" s="6" t="e">
        <f ca="1">SQRT($B$9*AVERAGE(W1226:OFFSET(W1226,$B$8-1,0)))</f>
        <v>#DIV/0!</v>
      </c>
      <c r="AC1226" s="34" t="e">
        <f t="shared" si="100"/>
        <v>#DIV/0!</v>
      </c>
      <c r="AD1226" s="34" t="e">
        <f ca="1">SQRT($B$9*SUM(AC1226:OFFSET(AC1226,$B$5-1,0))/($B$5-1))</f>
        <v>#DIV/0!</v>
      </c>
      <c r="AE1226" s="34" t="e">
        <f ca="1">SQRT($B$9*SUM(AC1226:OFFSET(AC1226,$B$6-1,0))/($B$6-1))</f>
        <v>#DIV/0!</v>
      </c>
      <c r="AF1226" s="34" t="e">
        <f ca="1">SQRT($B$9*SUM(AC1226:OFFSET(AC1226,$B$7-1,0))/($B$7-1))</f>
        <v>#DIV/0!</v>
      </c>
      <c r="AG1226" s="34" t="e">
        <f ca="1">SQRT($B$9*SUM(AC1226:OFFSET(AC1226,$B$8-1,0))/($B$8-1))</f>
        <v>#DIV/0!</v>
      </c>
      <c r="AI1226" s="1" t="e">
        <f t="shared" si="101"/>
        <v>#DIV/0!</v>
      </c>
      <c r="AJ1226" s="4" t="e">
        <f ca="1">SQRT($B$9)*_xlfn.STDEV.S(AI1226:OFFSET(AI1226,$B$5-1,0))</f>
        <v>#DIV/0!</v>
      </c>
      <c r="AK1226" s="4" t="e">
        <f ca="1">SQRT($B$9)*_xlfn.STDEV.S(AI1226:OFFSET(AI1226,$B$6-1,0))</f>
        <v>#DIV/0!</v>
      </c>
      <c r="AL1226" s="4" t="e">
        <f ca="1">SQRT($B$9)*_xlfn.STDEV.S(AI1226:OFFSET(AI1226,$B$7-1,0))</f>
        <v>#DIV/0!</v>
      </c>
      <c r="AM1226" s="4" t="e">
        <f ca="1">SQRT($B$9)*_xlfn.STDEV.S(AI1226:OFFSET(AI1226,$B$8-1,0))</f>
        <v>#DIV/0!</v>
      </c>
    </row>
    <row r="1227" spans="11:39" x14ac:dyDescent="0.2">
      <c r="K1227" s="3" t="e">
        <f t="shared" si="104"/>
        <v>#DIV/0!</v>
      </c>
      <c r="L1227" s="3" t="e">
        <f ca="1">SQRT(AVERAGE(K1227:OFFSET(K1227,$B$5-1,0))*$B$9/(4*LN(2)))</f>
        <v>#DIV/0!</v>
      </c>
      <c r="M1227" s="3" t="e">
        <f ca="1">SQRT(AVERAGE(K1227:OFFSET(K1227,$B$6-1,0))*$B$9/(4*LN(2)))</f>
        <v>#DIV/0!</v>
      </c>
      <c r="N1227" s="3" t="e">
        <f ca="1">SQRT(AVERAGE(K1227:OFFSET(K1227,$B$7-1,0))*$B$9/(4*LN(2)))</f>
        <v>#DIV/0!</v>
      </c>
      <c r="O1227" s="3" t="e">
        <f ca="1">SQRT(AVERAGE(K1227:OFFSET(K1227,$B$8-1,0))*$B$9/(4*LN(2)))</f>
        <v>#DIV/0!</v>
      </c>
      <c r="Q1227" s="5" t="e">
        <f t="shared" si="103"/>
        <v>#DIV/0!</v>
      </c>
      <c r="R1227" s="5" t="e">
        <f ca="1">SQRT($B$9*AVERAGE((Q1227:OFFSET(Q1227,$B$5-1,0))))</f>
        <v>#DIV/0!</v>
      </c>
      <c r="S1227" s="5" t="e">
        <f ca="1">SQRT($B$9*AVERAGE((Q1227:OFFSET(Q1227,$B$6-1,0))))</f>
        <v>#DIV/0!</v>
      </c>
      <c r="T1227" s="5" t="e">
        <f ca="1">SQRT($B$9*AVERAGE((Q1227:OFFSET(Q1227,$B$7-1,0))))</f>
        <v>#DIV/0!</v>
      </c>
      <c r="U1227" s="5" t="e">
        <f ca="1">SQRT($B$9*AVERAGE((Q1227:OFFSET(Q1227,$B$8-1,0))))</f>
        <v>#DIV/0!</v>
      </c>
      <c r="W1227" s="6" t="e">
        <f t="shared" si="102"/>
        <v>#DIV/0!</v>
      </c>
      <c r="X1227" s="6" t="e">
        <f ca="1">SQRT($B$9*AVERAGE(W1227:OFFSET(W1227,$B$5-1,0)))</f>
        <v>#DIV/0!</v>
      </c>
      <c r="Y1227" s="6" t="e">
        <f ca="1">SQRT($B$9*AVERAGE(W1227:OFFSET(W1227,$B$6-1,0)))</f>
        <v>#DIV/0!</v>
      </c>
      <c r="Z1227" s="6" t="e">
        <f ca="1">SQRT($B$9*AVERAGE(W1227:OFFSET(W1227,$B$7-1,0)))</f>
        <v>#DIV/0!</v>
      </c>
      <c r="AA1227" s="6" t="e">
        <f ca="1">SQRT($B$9*AVERAGE(W1227:OFFSET(W1227,$B$8-1,0)))</f>
        <v>#DIV/0!</v>
      </c>
      <c r="AC1227" s="34" t="e">
        <f t="shared" si="100"/>
        <v>#DIV/0!</v>
      </c>
      <c r="AD1227" s="34" t="e">
        <f ca="1">SQRT($B$9*SUM(AC1227:OFFSET(AC1227,$B$5-1,0))/($B$5-1))</f>
        <v>#DIV/0!</v>
      </c>
      <c r="AE1227" s="34" t="e">
        <f ca="1">SQRT($B$9*SUM(AC1227:OFFSET(AC1227,$B$6-1,0))/($B$6-1))</f>
        <v>#DIV/0!</v>
      </c>
      <c r="AF1227" s="34" t="e">
        <f ca="1">SQRT($B$9*SUM(AC1227:OFFSET(AC1227,$B$7-1,0))/($B$7-1))</f>
        <v>#DIV/0!</v>
      </c>
      <c r="AG1227" s="34" t="e">
        <f ca="1">SQRT($B$9*SUM(AC1227:OFFSET(AC1227,$B$8-1,0))/($B$8-1))</f>
        <v>#DIV/0!</v>
      </c>
      <c r="AI1227" s="1" t="e">
        <f t="shared" si="101"/>
        <v>#DIV/0!</v>
      </c>
      <c r="AJ1227" s="4" t="e">
        <f ca="1">SQRT($B$9)*_xlfn.STDEV.S(AI1227:OFFSET(AI1227,$B$5-1,0))</f>
        <v>#DIV/0!</v>
      </c>
      <c r="AK1227" s="4" t="e">
        <f ca="1">SQRT($B$9)*_xlfn.STDEV.S(AI1227:OFFSET(AI1227,$B$6-1,0))</f>
        <v>#DIV/0!</v>
      </c>
      <c r="AL1227" s="4" t="e">
        <f ca="1">SQRT($B$9)*_xlfn.STDEV.S(AI1227:OFFSET(AI1227,$B$7-1,0))</f>
        <v>#DIV/0!</v>
      </c>
      <c r="AM1227" s="4" t="e">
        <f ca="1">SQRT($B$9)*_xlfn.STDEV.S(AI1227:OFFSET(AI1227,$B$8-1,0))</f>
        <v>#DIV/0!</v>
      </c>
    </row>
    <row r="1228" spans="11:39" x14ac:dyDescent="0.2">
      <c r="K1228" s="3" t="e">
        <f t="shared" si="104"/>
        <v>#DIV/0!</v>
      </c>
      <c r="L1228" s="3" t="e">
        <f ca="1">SQRT(AVERAGE(K1228:OFFSET(K1228,$B$5-1,0))*$B$9/(4*LN(2)))</f>
        <v>#DIV/0!</v>
      </c>
      <c r="M1228" s="3" t="e">
        <f ca="1">SQRT(AVERAGE(K1228:OFFSET(K1228,$B$6-1,0))*$B$9/(4*LN(2)))</f>
        <v>#DIV/0!</v>
      </c>
      <c r="N1228" s="3" t="e">
        <f ca="1">SQRT(AVERAGE(K1228:OFFSET(K1228,$B$7-1,0))*$B$9/(4*LN(2)))</f>
        <v>#DIV/0!</v>
      </c>
      <c r="O1228" s="3" t="e">
        <f ca="1">SQRT(AVERAGE(K1228:OFFSET(K1228,$B$8-1,0))*$B$9/(4*LN(2)))</f>
        <v>#DIV/0!</v>
      </c>
      <c r="Q1228" s="5" t="e">
        <f t="shared" si="103"/>
        <v>#DIV/0!</v>
      </c>
      <c r="R1228" s="5" t="e">
        <f ca="1">SQRT($B$9*AVERAGE((Q1228:OFFSET(Q1228,$B$5-1,0))))</f>
        <v>#DIV/0!</v>
      </c>
      <c r="S1228" s="5" t="e">
        <f ca="1">SQRT($B$9*AVERAGE((Q1228:OFFSET(Q1228,$B$6-1,0))))</f>
        <v>#DIV/0!</v>
      </c>
      <c r="T1228" s="5" t="e">
        <f ca="1">SQRT($B$9*AVERAGE((Q1228:OFFSET(Q1228,$B$7-1,0))))</f>
        <v>#DIV/0!</v>
      </c>
      <c r="U1228" s="5" t="e">
        <f ca="1">SQRT($B$9*AVERAGE((Q1228:OFFSET(Q1228,$B$8-1,0))))</f>
        <v>#DIV/0!</v>
      </c>
      <c r="W1228" s="6" t="e">
        <f t="shared" si="102"/>
        <v>#DIV/0!</v>
      </c>
      <c r="X1228" s="6" t="e">
        <f ca="1">SQRT($B$9*AVERAGE(W1228:OFFSET(W1228,$B$5-1,0)))</f>
        <v>#DIV/0!</v>
      </c>
      <c r="Y1228" s="6" t="e">
        <f ca="1">SQRT($B$9*AVERAGE(W1228:OFFSET(W1228,$B$6-1,0)))</f>
        <v>#DIV/0!</v>
      </c>
      <c r="Z1228" s="6" t="e">
        <f ca="1">SQRT($B$9*AVERAGE(W1228:OFFSET(W1228,$B$7-1,0)))</f>
        <v>#DIV/0!</v>
      </c>
      <c r="AA1228" s="6" t="e">
        <f ca="1">SQRT($B$9*AVERAGE(W1228:OFFSET(W1228,$B$8-1,0)))</f>
        <v>#DIV/0!</v>
      </c>
      <c r="AC1228" s="34" t="e">
        <f t="shared" si="100"/>
        <v>#DIV/0!</v>
      </c>
      <c r="AD1228" s="34" t="e">
        <f ca="1">SQRT($B$9*SUM(AC1228:OFFSET(AC1228,$B$5-1,0))/($B$5-1))</f>
        <v>#DIV/0!</v>
      </c>
      <c r="AE1228" s="34" t="e">
        <f ca="1">SQRT($B$9*SUM(AC1228:OFFSET(AC1228,$B$6-1,0))/($B$6-1))</f>
        <v>#DIV/0!</v>
      </c>
      <c r="AF1228" s="34" t="e">
        <f ca="1">SQRT($B$9*SUM(AC1228:OFFSET(AC1228,$B$7-1,0))/($B$7-1))</f>
        <v>#DIV/0!</v>
      </c>
      <c r="AG1228" s="34" t="e">
        <f ca="1">SQRT($B$9*SUM(AC1228:OFFSET(AC1228,$B$8-1,0))/($B$8-1))</f>
        <v>#DIV/0!</v>
      </c>
      <c r="AI1228" s="1" t="e">
        <f t="shared" si="101"/>
        <v>#DIV/0!</v>
      </c>
      <c r="AJ1228" s="4" t="e">
        <f ca="1">SQRT($B$9)*_xlfn.STDEV.S(AI1228:OFFSET(AI1228,$B$5-1,0))</f>
        <v>#DIV/0!</v>
      </c>
      <c r="AK1228" s="4" t="e">
        <f ca="1">SQRT($B$9)*_xlfn.STDEV.S(AI1228:OFFSET(AI1228,$B$6-1,0))</f>
        <v>#DIV/0!</v>
      </c>
      <c r="AL1228" s="4" t="e">
        <f ca="1">SQRT($B$9)*_xlfn.STDEV.S(AI1228:OFFSET(AI1228,$B$7-1,0))</f>
        <v>#DIV/0!</v>
      </c>
      <c r="AM1228" s="4" t="e">
        <f ca="1">SQRT($B$9)*_xlfn.STDEV.S(AI1228:OFFSET(AI1228,$B$8-1,0))</f>
        <v>#DIV/0!</v>
      </c>
    </row>
    <row r="1229" spans="11:39" x14ac:dyDescent="0.2">
      <c r="K1229" s="3" t="e">
        <f t="shared" si="104"/>
        <v>#DIV/0!</v>
      </c>
      <c r="L1229" s="3" t="e">
        <f ca="1">SQRT(AVERAGE(K1229:OFFSET(K1229,$B$5-1,0))*$B$9/(4*LN(2)))</f>
        <v>#DIV/0!</v>
      </c>
      <c r="M1229" s="3" t="e">
        <f ca="1">SQRT(AVERAGE(K1229:OFFSET(K1229,$B$6-1,0))*$B$9/(4*LN(2)))</f>
        <v>#DIV/0!</v>
      </c>
      <c r="N1229" s="3" t="e">
        <f ca="1">SQRT(AVERAGE(K1229:OFFSET(K1229,$B$7-1,0))*$B$9/(4*LN(2)))</f>
        <v>#DIV/0!</v>
      </c>
      <c r="O1229" s="3" t="e">
        <f ca="1">SQRT(AVERAGE(K1229:OFFSET(K1229,$B$8-1,0))*$B$9/(4*LN(2)))</f>
        <v>#DIV/0!</v>
      </c>
      <c r="Q1229" s="5" t="e">
        <f t="shared" si="103"/>
        <v>#DIV/0!</v>
      </c>
      <c r="R1229" s="5" t="e">
        <f ca="1">SQRT($B$9*AVERAGE((Q1229:OFFSET(Q1229,$B$5-1,0))))</f>
        <v>#DIV/0!</v>
      </c>
      <c r="S1229" s="5" t="e">
        <f ca="1">SQRT($B$9*AVERAGE((Q1229:OFFSET(Q1229,$B$6-1,0))))</f>
        <v>#DIV/0!</v>
      </c>
      <c r="T1229" s="5" t="e">
        <f ca="1">SQRT($B$9*AVERAGE((Q1229:OFFSET(Q1229,$B$7-1,0))))</f>
        <v>#DIV/0!</v>
      </c>
      <c r="U1229" s="5" t="e">
        <f ca="1">SQRT($B$9*AVERAGE((Q1229:OFFSET(Q1229,$B$8-1,0))))</f>
        <v>#DIV/0!</v>
      </c>
      <c r="W1229" s="6" t="e">
        <f t="shared" si="102"/>
        <v>#DIV/0!</v>
      </c>
      <c r="X1229" s="6" t="e">
        <f ca="1">SQRT($B$9*AVERAGE(W1229:OFFSET(W1229,$B$5-1,0)))</f>
        <v>#DIV/0!</v>
      </c>
      <c r="Y1229" s="6" t="e">
        <f ca="1">SQRT($B$9*AVERAGE(W1229:OFFSET(W1229,$B$6-1,0)))</f>
        <v>#DIV/0!</v>
      </c>
      <c r="Z1229" s="6" t="e">
        <f ca="1">SQRT($B$9*AVERAGE(W1229:OFFSET(W1229,$B$7-1,0)))</f>
        <v>#DIV/0!</v>
      </c>
      <c r="AA1229" s="6" t="e">
        <f ca="1">SQRT($B$9*AVERAGE(W1229:OFFSET(W1229,$B$8-1,0)))</f>
        <v>#DIV/0!</v>
      </c>
      <c r="AC1229" s="34" t="e">
        <f t="shared" si="100"/>
        <v>#DIV/0!</v>
      </c>
      <c r="AD1229" s="34" t="e">
        <f ca="1">SQRT($B$9*SUM(AC1229:OFFSET(AC1229,$B$5-1,0))/($B$5-1))</f>
        <v>#DIV/0!</v>
      </c>
      <c r="AE1229" s="34" t="e">
        <f ca="1">SQRT($B$9*SUM(AC1229:OFFSET(AC1229,$B$6-1,0))/($B$6-1))</f>
        <v>#DIV/0!</v>
      </c>
      <c r="AF1229" s="34" t="e">
        <f ca="1">SQRT($B$9*SUM(AC1229:OFFSET(AC1229,$B$7-1,0))/($B$7-1))</f>
        <v>#DIV/0!</v>
      </c>
      <c r="AG1229" s="34" t="e">
        <f ca="1">SQRT($B$9*SUM(AC1229:OFFSET(AC1229,$B$8-1,0))/($B$8-1))</f>
        <v>#DIV/0!</v>
      </c>
      <c r="AI1229" s="1" t="e">
        <f t="shared" si="101"/>
        <v>#DIV/0!</v>
      </c>
      <c r="AJ1229" s="4" t="e">
        <f ca="1">SQRT($B$9)*_xlfn.STDEV.S(AI1229:OFFSET(AI1229,$B$5-1,0))</f>
        <v>#DIV/0!</v>
      </c>
      <c r="AK1229" s="4" t="e">
        <f ca="1">SQRT($B$9)*_xlfn.STDEV.S(AI1229:OFFSET(AI1229,$B$6-1,0))</f>
        <v>#DIV/0!</v>
      </c>
      <c r="AL1229" s="4" t="e">
        <f ca="1">SQRT($B$9)*_xlfn.STDEV.S(AI1229:OFFSET(AI1229,$B$7-1,0))</f>
        <v>#DIV/0!</v>
      </c>
      <c r="AM1229" s="4" t="e">
        <f ca="1">SQRT($B$9)*_xlfn.STDEV.S(AI1229:OFFSET(AI1229,$B$8-1,0))</f>
        <v>#DIV/0!</v>
      </c>
    </row>
    <row r="1230" spans="11:39" x14ac:dyDescent="0.2">
      <c r="K1230" s="3" t="e">
        <f t="shared" si="104"/>
        <v>#DIV/0!</v>
      </c>
      <c r="L1230" s="3" t="e">
        <f ca="1">SQRT(AVERAGE(K1230:OFFSET(K1230,$B$5-1,0))*$B$9/(4*LN(2)))</f>
        <v>#DIV/0!</v>
      </c>
      <c r="M1230" s="3" t="e">
        <f ca="1">SQRT(AVERAGE(K1230:OFFSET(K1230,$B$6-1,0))*$B$9/(4*LN(2)))</f>
        <v>#DIV/0!</v>
      </c>
      <c r="N1230" s="3" t="e">
        <f ca="1">SQRT(AVERAGE(K1230:OFFSET(K1230,$B$7-1,0))*$B$9/(4*LN(2)))</f>
        <v>#DIV/0!</v>
      </c>
      <c r="O1230" s="3" t="e">
        <f ca="1">SQRT(AVERAGE(K1230:OFFSET(K1230,$B$8-1,0))*$B$9/(4*LN(2)))</f>
        <v>#DIV/0!</v>
      </c>
      <c r="Q1230" s="5" t="e">
        <f t="shared" si="103"/>
        <v>#DIV/0!</v>
      </c>
      <c r="R1230" s="5" t="e">
        <f ca="1">SQRT($B$9*AVERAGE((Q1230:OFFSET(Q1230,$B$5-1,0))))</f>
        <v>#DIV/0!</v>
      </c>
      <c r="S1230" s="5" t="e">
        <f ca="1">SQRT($B$9*AVERAGE((Q1230:OFFSET(Q1230,$B$6-1,0))))</f>
        <v>#DIV/0!</v>
      </c>
      <c r="T1230" s="5" t="e">
        <f ca="1">SQRT($B$9*AVERAGE((Q1230:OFFSET(Q1230,$B$7-1,0))))</f>
        <v>#DIV/0!</v>
      </c>
      <c r="U1230" s="5" t="e">
        <f ca="1">SQRT($B$9*AVERAGE((Q1230:OFFSET(Q1230,$B$8-1,0))))</f>
        <v>#DIV/0!</v>
      </c>
      <c r="W1230" s="6" t="e">
        <f t="shared" si="102"/>
        <v>#DIV/0!</v>
      </c>
      <c r="X1230" s="6" t="e">
        <f ca="1">SQRT($B$9*AVERAGE(W1230:OFFSET(W1230,$B$5-1,0)))</f>
        <v>#DIV/0!</v>
      </c>
      <c r="Y1230" s="6" t="e">
        <f ca="1">SQRT($B$9*AVERAGE(W1230:OFFSET(W1230,$B$6-1,0)))</f>
        <v>#DIV/0!</v>
      </c>
      <c r="Z1230" s="6" t="e">
        <f ca="1">SQRT($B$9*AVERAGE(W1230:OFFSET(W1230,$B$7-1,0)))</f>
        <v>#DIV/0!</v>
      </c>
      <c r="AA1230" s="6" t="e">
        <f ca="1">SQRT($B$9*AVERAGE(W1230:OFFSET(W1230,$B$8-1,0)))</f>
        <v>#DIV/0!</v>
      </c>
      <c r="AC1230" s="34" t="e">
        <f t="shared" si="100"/>
        <v>#DIV/0!</v>
      </c>
      <c r="AD1230" s="34" t="e">
        <f ca="1">SQRT($B$9*SUM(AC1230:OFFSET(AC1230,$B$5-1,0))/($B$5-1))</f>
        <v>#DIV/0!</v>
      </c>
      <c r="AE1230" s="34" t="e">
        <f ca="1">SQRT($B$9*SUM(AC1230:OFFSET(AC1230,$B$6-1,0))/($B$6-1))</f>
        <v>#DIV/0!</v>
      </c>
      <c r="AF1230" s="34" t="e">
        <f ca="1">SQRT($B$9*SUM(AC1230:OFFSET(AC1230,$B$7-1,0))/($B$7-1))</f>
        <v>#DIV/0!</v>
      </c>
      <c r="AG1230" s="34" t="e">
        <f ca="1">SQRT($B$9*SUM(AC1230:OFFSET(AC1230,$B$8-1,0))/($B$8-1))</f>
        <v>#DIV/0!</v>
      </c>
      <c r="AI1230" s="1" t="e">
        <f t="shared" si="101"/>
        <v>#DIV/0!</v>
      </c>
      <c r="AJ1230" s="4" t="e">
        <f ca="1">SQRT($B$9)*_xlfn.STDEV.S(AI1230:OFFSET(AI1230,$B$5-1,0))</f>
        <v>#DIV/0!</v>
      </c>
      <c r="AK1230" s="4" t="e">
        <f ca="1">SQRT($B$9)*_xlfn.STDEV.S(AI1230:OFFSET(AI1230,$B$6-1,0))</f>
        <v>#DIV/0!</v>
      </c>
      <c r="AL1230" s="4" t="e">
        <f ca="1">SQRT($B$9)*_xlfn.STDEV.S(AI1230:OFFSET(AI1230,$B$7-1,0))</f>
        <v>#DIV/0!</v>
      </c>
      <c r="AM1230" s="4" t="e">
        <f ca="1">SQRT($B$9)*_xlfn.STDEV.S(AI1230:OFFSET(AI1230,$B$8-1,0))</f>
        <v>#DIV/0!</v>
      </c>
    </row>
    <row r="1231" spans="11:39" x14ac:dyDescent="0.2">
      <c r="K1231" s="3" t="e">
        <f t="shared" si="104"/>
        <v>#DIV/0!</v>
      </c>
      <c r="L1231" s="3" t="e">
        <f ca="1">SQRT(AVERAGE(K1231:OFFSET(K1231,$B$5-1,0))*$B$9/(4*LN(2)))</f>
        <v>#DIV/0!</v>
      </c>
      <c r="M1231" s="3" t="e">
        <f ca="1">SQRT(AVERAGE(K1231:OFFSET(K1231,$B$6-1,0))*$B$9/(4*LN(2)))</f>
        <v>#DIV/0!</v>
      </c>
      <c r="N1231" s="3" t="e">
        <f ca="1">SQRT(AVERAGE(K1231:OFFSET(K1231,$B$7-1,0))*$B$9/(4*LN(2)))</f>
        <v>#DIV/0!</v>
      </c>
      <c r="O1231" s="3" t="e">
        <f ca="1">SQRT(AVERAGE(K1231:OFFSET(K1231,$B$8-1,0))*$B$9/(4*LN(2)))</f>
        <v>#DIV/0!</v>
      </c>
      <c r="Q1231" s="5" t="e">
        <f t="shared" si="103"/>
        <v>#DIV/0!</v>
      </c>
      <c r="R1231" s="5" t="e">
        <f ca="1">SQRT($B$9*AVERAGE((Q1231:OFFSET(Q1231,$B$5-1,0))))</f>
        <v>#DIV/0!</v>
      </c>
      <c r="S1231" s="5" t="e">
        <f ca="1">SQRT($B$9*AVERAGE((Q1231:OFFSET(Q1231,$B$6-1,0))))</f>
        <v>#DIV/0!</v>
      </c>
      <c r="T1231" s="5" t="e">
        <f ca="1">SQRT($B$9*AVERAGE((Q1231:OFFSET(Q1231,$B$7-1,0))))</f>
        <v>#DIV/0!</v>
      </c>
      <c r="U1231" s="5" t="e">
        <f ca="1">SQRT($B$9*AVERAGE((Q1231:OFFSET(Q1231,$B$8-1,0))))</f>
        <v>#DIV/0!</v>
      </c>
      <c r="W1231" s="6" t="e">
        <f t="shared" si="102"/>
        <v>#DIV/0!</v>
      </c>
      <c r="X1231" s="6" t="e">
        <f ca="1">SQRT($B$9*AVERAGE(W1231:OFFSET(W1231,$B$5-1,0)))</f>
        <v>#DIV/0!</v>
      </c>
      <c r="Y1231" s="6" t="e">
        <f ca="1">SQRT($B$9*AVERAGE(W1231:OFFSET(W1231,$B$6-1,0)))</f>
        <v>#DIV/0!</v>
      </c>
      <c r="Z1231" s="6" t="e">
        <f ca="1">SQRT($B$9*AVERAGE(W1231:OFFSET(W1231,$B$7-1,0)))</f>
        <v>#DIV/0!</v>
      </c>
      <c r="AA1231" s="6" t="e">
        <f ca="1">SQRT($B$9*AVERAGE(W1231:OFFSET(W1231,$B$8-1,0)))</f>
        <v>#DIV/0!</v>
      </c>
      <c r="AC1231" s="34" t="e">
        <f t="shared" si="100"/>
        <v>#DIV/0!</v>
      </c>
      <c r="AD1231" s="34" t="e">
        <f ca="1">SQRT($B$9*SUM(AC1231:OFFSET(AC1231,$B$5-1,0))/($B$5-1))</f>
        <v>#DIV/0!</v>
      </c>
      <c r="AE1231" s="34" t="e">
        <f ca="1">SQRT($B$9*SUM(AC1231:OFFSET(AC1231,$B$6-1,0))/($B$6-1))</f>
        <v>#DIV/0!</v>
      </c>
      <c r="AF1231" s="34" t="e">
        <f ca="1">SQRT($B$9*SUM(AC1231:OFFSET(AC1231,$B$7-1,0))/($B$7-1))</f>
        <v>#DIV/0!</v>
      </c>
      <c r="AG1231" s="34" t="e">
        <f ca="1">SQRT($B$9*SUM(AC1231:OFFSET(AC1231,$B$8-1,0))/($B$8-1))</f>
        <v>#DIV/0!</v>
      </c>
      <c r="AI1231" s="1" t="e">
        <f t="shared" si="101"/>
        <v>#DIV/0!</v>
      </c>
      <c r="AJ1231" s="4" t="e">
        <f ca="1">SQRT($B$9)*_xlfn.STDEV.S(AI1231:OFFSET(AI1231,$B$5-1,0))</f>
        <v>#DIV/0!</v>
      </c>
      <c r="AK1231" s="4" t="e">
        <f ca="1">SQRT($B$9)*_xlfn.STDEV.S(AI1231:OFFSET(AI1231,$B$6-1,0))</f>
        <v>#DIV/0!</v>
      </c>
      <c r="AL1231" s="4" t="e">
        <f ca="1">SQRT($B$9)*_xlfn.STDEV.S(AI1231:OFFSET(AI1231,$B$7-1,0))</f>
        <v>#DIV/0!</v>
      </c>
      <c r="AM1231" s="4" t="e">
        <f ca="1">SQRT($B$9)*_xlfn.STDEV.S(AI1231:OFFSET(AI1231,$B$8-1,0))</f>
        <v>#DIV/0!</v>
      </c>
    </row>
    <row r="1232" spans="11:39" x14ac:dyDescent="0.2">
      <c r="K1232" s="3" t="e">
        <f t="shared" si="104"/>
        <v>#DIV/0!</v>
      </c>
      <c r="L1232" s="3" t="e">
        <f ca="1">SQRT(AVERAGE(K1232:OFFSET(K1232,$B$5-1,0))*$B$9/(4*LN(2)))</f>
        <v>#DIV/0!</v>
      </c>
      <c r="M1232" s="3" t="e">
        <f ca="1">SQRT(AVERAGE(K1232:OFFSET(K1232,$B$6-1,0))*$B$9/(4*LN(2)))</f>
        <v>#DIV/0!</v>
      </c>
      <c r="N1232" s="3" t="e">
        <f ca="1">SQRT(AVERAGE(K1232:OFFSET(K1232,$B$7-1,0))*$B$9/(4*LN(2)))</f>
        <v>#DIV/0!</v>
      </c>
      <c r="O1232" s="3" t="e">
        <f ca="1">SQRT(AVERAGE(K1232:OFFSET(K1232,$B$8-1,0))*$B$9/(4*LN(2)))</f>
        <v>#DIV/0!</v>
      </c>
      <c r="Q1232" s="5" t="e">
        <f t="shared" si="103"/>
        <v>#DIV/0!</v>
      </c>
      <c r="R1232" s="5" t="e">
        <f ca="1">SQRT($B$9*AVERAGE((Q1232:OFFSET(Q1232,$B$5-1,0))))</f>
        <v>#DIV/0!</v>
      </c>
      <c r="S1232" s="5" t="e">
        <f ca="1">SQRT($B$9*AVERAGE((Q1232:OFFSET(Q1232,$B$6-1,0))))</f>
        <v>#DIV/0!</v>
      </c>
      <c r="T1232" s="5" t="e">
        <f ca="1">SQRT($B$9*AVERAGE((Q1232:OFFSET(Q1232,$B$7-1,0))))</f>
        <v>#DIV/0!</v>
      </c>
      <c r="U1232" s="5" t="e">
        <f ca="1">SQRT($B$9*AVERAGE((Q1232:OFFSET(Q1232,$B$8-1,0))))</f>
        <v>#DIV/0!</v>
      </c>
      <c r="W1232" s="6" t="e">
        <f t="shared" si="102"/>
        <v>#DIV/0!</v>
      </c>
      <c r="X1232" s="6" t="e">
        <f ca="1">SQRT($B$9*AVERAGE(W1232:OFFSET(W1232,$B$5-1,0)))</f>
        <v>#DIV/0!</v>
      </c>
      <c r="Y1232" s="6" t="e">
        <f ca="1">SQRT($B$9*AVERAGE(W1232:OFFSET(W1232,$B$6-1,0)))</f>
        <v>#DIV/0!</v>
      </c>
      <c r="Z1232" s="6" t="e">
        <f ca="1">SQRT($B$9*AVERAGE(W1232:OFFSET(W1232,$B$7-1,0)))</f>
        <v>#DIV/0!</v>
      </c>
      <c r="AA1232" s="6" t="e">
        <f ca="1">SQRT($B$9*AVERAGE(W1232:OFFSET(W1232,$B$8-1,0)))</f>
        <v>#DIV/0!</v>
      </c>
      <c r="AC1232" s="34" t="e">
        <f t="shared" si="100"/>
        <v>#DIV/0!</v>
      </c>
      <c r="AD1232" s="34" t="e">
        <f ca="1">SQRT($B$9*SUM(AC1232:OFFSET(AC1232,$B$5-1,0))/($B$5-1))</f>
        <v>#DIV/0!</v>
      </c>
      <c r="AE1232" s="34" t="e">
        <f ca="1">SQRT($B$9*SUM(AC1232:OFFSET(AC1232,$B$6-1,0))/($B$6-1))</f>
        <v>#DIV/0!</v>
      </c>
      <c r="AF1232" s="34" t="e">
        <f ca="1">SQRT($B$9*SUM(AC1232:OFFSET(AC1232,$B$7-1,0))/($B$7-1))</f>
        <v>#DIV/0!</v>
      </c>
      <c r="AG1232" s="34" t="e">
        <f ca="1">SQRT($B$9*SUM(AC1232:OFFSET(AC1232,$B$8-1,0))/($B$8-1))</f>
        <v>#DIV/0!</v>
      </c>
      <c r="AI1232" s="1" t="e">
        <f t="shared" si="101"/>
        <v>#DIV/0!</v>
      </c>
      <c r="AJ1232" s="4" t="e">
        <f ca="1">SQRT($B$9)*_xlfn.STDEV.S(AI1232:OFFSET(AI1232,$B$5-1,0))</f>
        <v>#DIV/0!</v>
      </c>
      <c r="AK1232" s="4" t="e">
        <f ca="1">SQRT($B$9)*_xlfn.STDEV.S(AI1232:OFFSET(AI1232,$B$6-1,0))</f>
        <v>#DIV/0!</v>
      </c>
      <c r="AL1232" s="4" t="e">
        <f ca="1">SQRT($B$9)*_xlfn.STDEV.S(AI1232:OFFSET(AI1232,$B$7-1,0))</f>
        <v>#DIV/0!</v>
      </c>
      <c r="AM1232" s="4" t="e">
        <f ca="1">SQRT($B$9)*_xlfn.STDEV.S(AI1232:OFFSET(AI1232,$B$8-1,0))</f>
        <v>#DIV/0!</v>
      </c>
    </row>
    <row r="1233" spans="11:39" x14ac:dyDescent="0.2">
      <c r="K1233" s="3" t="e">
        <f t="shared" si="104"/>
        <v>#DIV/0!</v>
      </c>
      <c r="L1233" s="3" t="e">
        <f ca="1">SQRT(AVERAGE(K1233:OFFSET(K1233,$B$5-1,0))*$B$9/(4*LN(2)))</f>
        <v>#DIV/0!</v>
      </c>
      <c r="M1233" s="3" t="e">
        <f ca="1">SQRT(AVERAGE(K1233:OFFSET(K1233,$B$6-1,0))*$B$9/(4*LN(2)))</f>
        <v>#DIV/0!</v>
      </c>
      <c r="N1233" s="3" t="e">
        <f ca="1">SQRT(AVERAGE(K1233:OFFSET(K1233,$B$7-1,0))*$B$9/(4*LN(2)))</f>
        <v>#DIV/0!</v>
      </c>
      <c r="O1233" s="3" t="e">
        <f ca="1">SQRT(AVERAGE(K1233:OFFSET(K1233,$B$8-1,0))*$B$9/(4*LN(2)))</f>
        <v>#DIV/0!</v>
      </c>
      <c r="Q1233" s="5" t="e">
        <f t="shared" si="103"/>
        <v>#DIV/0!</v>
      </c>
      <c r="R1233" s="5" t="e">
        <f ca="1">SQRT($B$9*AVERAGE((Q1233:OFFSET(Q1233,$B$5-1,0))))</f>
        <v>#DIV/0!</v>
      </c>
      <c r="S1233" s="5" t="e">
        <f ca="1">SQRT($B$9*AVERAGE((Q1233:OFFSET(Q1233,$B$6-1,0))))</f>
        <v>#DIV/0!</v>
      </c>
      <c r="T1233" s="5" t="e">
        <f ca="1">SQRT($B$9*AVERAGE((Q1233:OFFSET(Q1233,$B$7-1,0))))</f>
        <v>#DIV/0!</v>
      </c>
      <c r="U1233" s="5" t="e">
        <f ca="1">SQRT($B$9*AVERAGE((Q1233:OFFSET(Q1233,$B$8-1,0))))</f>
        <v>#DIV/0!</v>
      </c>
      <c r="W1233" s="6" t="e">
        <f t="shared" si="102"/>
        <v>#DIV/0!</v>
      </c>
      <c r="X1233" s="6" t="e">
        <f ca="1">SQRT($B$9*AVERAGE(W1233:OFFSET(W1233,$B$5-1,0)))</f>
        <v>#DIV/0!</v>
      </c>
      <c r="Y1233" s="6" t="e">
        <f ca="1">SQRT($B$9*AVERAGE(W1233:OFFSET(W1233,$B$6-1,0)))</f>
        <v>#DIV/0!</v>
      </c>
      <c r="Z1233" s="6" t="e">
        <f ca="1">SQRT($B$9*AVERAGE(W1233:OFFSET(W1233,$B$7-1,0)))</f>
        <v>#DIV/0!</v>
      </c>
      <c r="AA1233" s="6" t="e">
        <f ca="1">SQRT($B$9*AVERAGE(W1233:OFFSET(W1233,$B$8-1,0)))</f>
        <v>#DIV/0!</v>
      </c>
      <c r="AC1233" s="34" t="e">
        <f t="shared" ref="AC1233:AC1296" si="105">(LN(I1233/I1234))^2</f>
        <v>#DIV/0!</v>
      </c>
      <c r="AD1233" s="34" t="e">
        <f ca="1">SQRT($B$9*SUM(AC1233:OFFSET(AC1233,$B$5-1,0))/($B$5-1))</f>
        <v>#DIV/0!</v>
      </c>
      <c r="AE1233" s="34" t="e">
        <f ca="1">SQRT($B$9*SUM(AC1233:OFFSET(AC1233,$B$6-1,0))/($B$6-1))</f>
        <v>#DIV/0!</v>
      </c>
      <c r="AF1233" s="34" t="e">
        <f ca="1">SQRT($B$9*SUM(AC1233:OFFSET(AC1233,$B$7-1,0))/($B$7-1))</f>
        <v>#DIV/0!</v>
      </c>
      <c r="AG1233" s="34" t="e">
        <f ca="1">SQRT($B$9*SUM(AC1233:OFFSET(AC1233,$B$8-1,0))/($B$8-1))</f>
        <v>#DIV/0!</v>
      </c>
      <c r="AI1233" s="1" t="e">
        <f t="shared" si="101"/>
        <v>#DIV/0!</v>
      </c>
      <c r="AJ1233" s="4" t="e">
        <f ca="1">SQRT($B$9)*_xlfn.STDEV.S(AI1233:OFFSET(AI1233,$B$5-1,0))</f>
        <v>#DIV/0!</v>
      </c>
      <c r="AK1233" s="4" t="e">
        <f ca="1">SQRT($B$9)*_xlfn.STDEV.S(AI1233:OFFSET(AI1233,$B$6-1,0))</f>
        <v>#DIV/0!</v>
      </c>
      <c r="AL1233" s="4" t="e">
        <f ca="1">SQRT($B$9)*_xlfn.STDEV.S(AI1233:OFFSET(AI1233,$B$7-1,0))</f>
        <v>#DIV/0!</v>
      </c>
      <c r="AM1233" s="4" t="e">
        <f ca="1">SQRT($B$9)*_xlfn.STDEV.S(AI1233:OFFSET(AI1233,$B$8-1,0))</f>
        <v>#DIV/0!</v>
      </c>
    </row>
    <row r="1234" spans="11:39" x14ac:dyDescent="0.2">
      <c r="K1234" s="3" t="e">
        <f t="shared" si="104"/>
        <v>#DIV/0!</v>
      </c>
      <c r="L1234" s="3" t="e">
        <f ca="1">SQRT(AVERAGE(K1234:OFFSET(K1234,$B$5-1,0))*$B$9/(4*LN(2)))</f>
        <v>#DIV/0!</v>
      </c>
      <c r="M1234" s="3" t="e">
        <f ca="1">SQRT(AVERAGE(K1234:OFFSET(K1234,$B$6-1,0))*$B$9/(4*LN(2)))</f>
        <v>#DIV/0!</v>
      </c>
      <c r="N1234" s="3" t="e">
        <f ca="1">SQRT(AVERAGE(K1234:OFFSET(K1234,$B$7-1,0))*$B$9/(4*LN(2)))</f>
        <v>#DIV/0!</v>
      </c>
      <c r="O1234" s="3" t="e">
        <f ca="1">SQRT(AVERAGE(K1234:OFFSET(K1234,$B$8-1,0))*$B$9/(4*LN(2)))</f>
        <v>#DIV/0!</v>
      </c>
      <c r="Q1234" s="5" t="e">
        <f t="shared" si="103"/>
        <v>#DIV/0!</v>
      </c>
      <c r="R1234" s="5" t="e">
        <f ca="1">SQRT($B$9*AVERAGE((Q1234:OFFSET(Q1234,$B$5-1,0))))</f>
        <v>#DIV/0!</v>
      </c>
      <c r="S1234" s="5" t="e">
        <f ca="1">SQRT($B$9*AVERAGE((Q1234:OFFSET(Q1234,$B$6-1,0))))</f>
        <v>#DIV/0!</v>
      </c>
      <c r="T1234" s="5" t="e">
        <f ca="1">SQRT($B$9*AVERAGE((Q1234:OFFSET(Q1234,$B$7-1,0))))</f>
        <v>#DIV/0!</v>
      </c>
      <c r="U1234" s="5" t="e">
        <f ca="1">SQRT($B$9*AVERAGE((Q1234:OFFSET(Q1234,$B$8-1,0))))</f>
        <v>#DIV/0!</v>
      </c>
      <c r="W1234" s="6" t="e">
        <f t="shared" si="102"/>
        <v>#DIV/0!</v>
      </c>
      <c r="X1234" s="6" t="e">
        <f ca="1">SQRT($B$9*AVERAGE(W1234:OFFSET(W1234,$B$5-1,0)))</f>
        <v>#DIV/0!</v>
      </c>
      <c r="Y1234" s="6" t="e">
        <f ca="1">SQRT($B$9*AVERAGE(W1234:OFFSET(W1234,$B$6-1,0)))</f>
        <v>#DIV/0!</v>
      </c>
      <c r="Z1234" s="6" t="e">
        <f ca="1">SQRT($B$9*AVERAGE(W1234:OFFSET(W1234,$B$7-1,0)))</f>
        <v>#DIV/0!</v>
      </c>
      <c r="AA1234" s="6" t="e">
        <f ca="1">SQRT($B$9*AVERAGE(W1234:OFFSET(W1234,$B$8-1,0)))</f>
        <v>#DIV/0!</v>
      </c>
      <c r="AC1234" s="34" t="e">
        <f t="shared" si="105"/>
        <v>#DIV/0!</v>
      </c>
      <c r="AD1234" s="34" t="e">
        <f ca="1">SQRT($B$9*SUM(AC1234:OFFSET(AC1234,$B$5-1,0))/($B$5-1))</f>
        <v>#DIV/0!</v>
      </c>
      <c r="AE1234" s="34" t="e">
        <f ca="1">SQRT($B$9*SUM(AC1234:OFFSET(AC1234,$B$6-1,0))/($B$6-1))</f>
        <v>#DIV/0!</v>
      </c>
      <c r="AF1234" s="34" t="e">
        <f ca="1">SQRT($B$9*SUM(AC1234:OFFSET(AC1234,$B$7-1,0))/($B$7-1))</f>
        <v>#DIV/0!</v>
      </c>
      <c r="AG1234" s="34" t="e">
        <f ca="1">SQRT($B$9*SUM(AC1234:OFFSET(AC1234,$B$8-1,0))/($B$8-1))</f>
        <v>#DIV/0!</v>
      </c>
      <c r="AI1234" s="1" t="e">
        <f t="shared" si="101"/>
        <v>#DIV/0!</v>
      </c>
      <c r="AJ1234" s="4" t="e">
        <f ca="1">SQRT($B$9)*_xlfn.STDEV.S(AI1234:OFFSET(AI1234,$B$5-1,0))</f>
        <v>#DIV/0!</v>
      </c>
      <c r="AK1234" s="4" t="e">
        <f ca="1">SQRT($B$9)*_xlfn.STDEV.S(AI1234:OFFSET(AI1234,$B$6-1,0))</f>
        <v>#DIV/0!</v>
      </c>
      <c r="AL1234" s="4" t="e">
        <f ca="1">SQRT($B$9)*_xlfn.STDEV.S(AI1234:OFFSET(AI1234,$B$7-1,0))</f>
        <v>#DIV/0!</v>
      </c>
      <c r="AM1234" s="4" t="e">
        <f ca="1">SQRT($B$9)*_xlfn.STDEV.S(AI1234:OFFSET(AI1234,$B$8-1,0))</f>
        <v>#DIV/0!</v>
      </c>
    </row>
    <row r="1235" spans="11:39" x14ac:dyDescent="0.2">
      <c r="K1235" s="3" t="e">
        <f t="shared" si="104"/>
        <v>#DIV/0!</v>
      </c>
      <c r="L1235" s="3" t="e">
        <f ca="1">SQRT(AVERAGE(K1235:OFFSET(K1235,$B$5-1,0))*$B$9/(4*LN(2)))</f>
        <v>#DIV/0!</v>
      </c>
      <c r="M1235" s="3" t="e">
        <f ca="1">SQRT(AVERAGE(K1235:OFFSET(K1235,$B$6-1,0))*$B$9/(4*LN(2)))</f>
        <v>#DIV/0!</v>
      </c>
      <c r="N1235" s="3" t="e">
        <f ca="1">SQRT(AVERAGE(K1235:OFFSET(K1235,$B$7-1,0))*$B$9/(4*LN(2)))</f>
        <v>#DIV/0!</v>
      </c>
      <c r="O1235" s="3" t="e">
        <f ca="1">SQRT(AVERAGE(K1235:OFFSET(K1235,$B$8-1,0))*$B$9/(4*LN(2)))</f>
        <v>#DIV/0!</v>
      </c>
      <c r="Q1235" s="5" t="e">
        <f t="shared" si="103"/>
        <v>#DIV/0!</v>
      </c>
      <c r="R1235" s="5" t="e">
        <f ca="1">SQRT($B$9*AVERAGE((Q1235:OFFSET(Q1235,$B$5-1,0))))</f>
        <v>#DIV/0!</v>
      </c>
      <c r="S1235" s="5" t="e">
        <f ca="1">SQRT($B$9*AVERAGE((Q1235:OFFSET(Q1235,$B$6-1,0))))</f>
        <v>#DIV/0!</v>
      </c>
      <c r="T1235" s="5" t="e">
        <f ca="1">SQRT($B$9*AVERAGE((Q1235:OFFSET(Q1235,$B$7-1,0))))</f>
        <v>#DIV/0!</v>
      </c>
      <c r="U1235" s="5" t="e">
        <f ca="1">SQRT($B$9*AVERAGE((Q1235:OFFSET(Q1235,$B$8-1,0))))</f>
        <v>#DIV/0!</v>
      </c>
      <c r="W1235" s="6" t="e">
        <f t="shared" si="102"/>
        <v>#DIV/0!</v>
      </c>
      <c r="X1235" s="6" t="e">
        <f ca="1">SQRT($B$9*AVERAGE(W1235:OFFSET(W1235,$B$5-1,0)))</f>
        <v>#DIV/0!</v>
      </c>
      <c r="Y1235" s="6" t="e">
        <f ca="1">SQRT($B$9*AVERAGE(W1235:OFFSET(W1235,$B$6-1,0)))</f>
        <v>#DIV/0!</v>
      </c>
      <c r="Z1235" s="6" t="e">
        <f ca="1">SQRT($B$9*AVERAGE(W1235:OFFSET(W1235,$B$7-1,0)))</f>
        <v>#DIV/0!</v>
      </c>
      <c r="AA1235" s="6" t="e">
        <f ca="1">SQRT($B$9*AVERAGE(W1235:OFFSET(W1235,$B$8-1,0)))</f>
        <v>#DIV/0!</v>
      </c>
      <c r="AC1235" s="34" t="e">
        <f t="shared" si="105"/>
        <v>#DIV/0!</v>
      </c>
      <c r="AD1235" s="34" t="e">
        <f ca="1">SQRT($B$9*SUM(AC1235:OFFSET(AC1235,$B$5-1,0))/($B$5-1))</f>
        <v>#DIV/0!</v>
      </c>
      <c r="AE1235" s="34" t="e">
        <f ca="1">SQRT($B$9*SUM(AC1235:OFFSET(AC1235,$B$6-1,0))/($B$6-1))</f>
        <v>#DIV/0!</v>
      </c>
      <c r="AF1235" s="34" t="e">
        <f ca="1">SQRT($B$9*SUM(AC1235:OFFSET(AC1235,$B$7-1,0))/($B$7-1))</f>
        <v>#DIV/0!</v>
      </c>
      <c r="AG1235" s="34" t="e">
        <f ca="1">SQRT($B$9*SUM(AC1235:OFFSET(AC1235,$B$8-1,0))/($B$8-1))</f>
        <v>#DIV/0!</v>
      </c>
      <c r="AI1235" s="1" t="e">
        <f t="shared" ref="AI1235:AI1298" si="106">LN(I1235/I1236)</f>
        <v>#DIV/0!</v>
      </c>
      <c r="AJ1235" s="4" t="e">
        <f ca="1">SQRT($B$9)*_xlfn.STDEV.S(AI1235:OFFSET(AI1235,$B$5-1,0))</f>
        <v>#DIV/0!</v>
      </c>
      <c r="AK1235" s="4" t="e">
        <f ca="1">SQRT($B$9)*_xlfn.STDEV.S(AI1235:OFFSET(AI1235,$B$6-1,0))</f>
        <v>#DIV/0!</v>
      </c>
      <c r="AL1235" s="4" t="e">
        <f ca="1">SQRT($B$9)*_xlfn.STDEV.S(AI1235:OFFSET(AI1235,$B$7-1,0))</f>
        <v>#DIV/0!</v>
      </c>
      <c r="AM1235" s="4" t="e">
        <f ca="1">SQRT($B$9)*_xlfn.STDEV.S(AI1235:OFFSET(AI1235,$B$8-1,0))</f>
        <v>#DIV/0!</v>
      </c>
    </row>
    <row r="1236" spans="11:39" x14ac:dyDescent="0.2">
      <c r="K1236" s="3" t="e">
        <f t="shared" si="104"/>
        <v>#DIV/0!</v>
      </c>
      <c r="L1236" s="3" t="e">
        <f ca="1">SQRT(AVERAGE(K1236:OFFSET(K1236,$B$5-1,0))*$B$9/(4*LN(2)))</f>
        <v>#DIV/0!</v>
      </c>
      <c r="M1236" s="3" t="e">
        <f ca="1">SQRT(AVERAGE(K1236:OFFSET(K1236,$B$6-1,0))*$B$9/(4*LN(2)))</f>
        <v>#DIV/0!</v>
      </c>
      <c r="N1236" s="3" t="e">
        <f ca="1">SQRT(AVERAGE(K1236:OFFSET(K1236,$B$7-1,0))*$B$9/(4*LN(2)))</f>
        <v>#DIV/0!</v>
      </c>
      <c r="O1236" s="3" t="e">
        <f ca="1">SQRT(AVERAGE(K1236:OFFSET(K1236,$B$8-1,0))*$B$9/(4*LN(2)))</f>
        <v>#DIV/0!</v>
      </c>
      <c r="Q1236" s="5" t="e">
        <f t="shared" si="103"/>
        <v>#DIV/0!</v>
      </c>
      <c r="R1236" s="5" t="e">
        <f ca="1">SQRT($B$9*AVERAGE((Q1236:OFFSET(Q1236,$B$5-1,0))))</f>
        <v>#DIV/0!</v>
      </c>
      <c r="S1236" s="5" t="e">
        <f ca="1">SQRT($B$9*AVERAGE((Q1236:OFFSET(Q1236,$B$6-1,0))))</f>
        <v>#DIV/0!</v>
      </c>
      <c r="T1236" s="5" t="e">
        <f ca="1">SQRT($B$9*AVERAGE((Q1236:OFFSET(Q1236,$B$7-1,0))))</f>
        <v>#DIV/0!</v>
      </c>
      <c r="U1236" s="5" t="e">
        <f ca="1">SQRT($B$9*AVERAGE((Q1236:OFFSET(Q1236,$B$8-1,0))))</f>
        <v>#DIV/0!</v>
      </c>
      <c r="W1236" s="6" t="e">
        <f t="shared" si="102"/>
        <v>#DIV/0!</v>
      </c>
      <c r="X1236" s="6" t="e">
        <f ca="1">SQRT($B$9*AVERAGE(W1236:OFFSET(W1236,$B$5-1,0)))</f>
        <v>#DIV/0!</v>
      </c>
      <c r="Y1236" s="6" t="e">
        <f ca="1">SQRT($B$9*AVERAGE(W1236:OFFSET(W1236,$B$6-1,0)))</f>
        <v>#DIV/0!</v>
      </c>
      <c r="Z1236" s="6" t="e">
        <f ca="1">SQRT($B$9*AVERAGE(W1236:OFFSET(W1236,$B$7-1,0)))</f>
        <v>#DIV/0!</v>
      </c>
      <c r="AA1236" s="6" t="e">
        <f ca="1">SQRT($B$9*AVERAGE(W1236:OFFSET(W1236,$B$8-1,0)))</f>
        <v>#DIV/0!</v>
      </c>
      <c r="AC1236" s="34" t="e">
        <f t="shared" si="105"/>
        <v>#DIV/0!</v>
      </c>
      <c r="AD1236" s="34" t="e">
        <f ca="1">SQRT($B$9*SUM(AC1236:OFFSET(AC1236,$B$5-1,0))/($B$5-1))</f>
        <v>#DIV/0!</v>
      </c>
      <c r="AE1236" s="34" t="e">
        <f ca="1">SQRT($B$9*SUM(AC1236:OFFSET(AC1236,$B$6-1,0))/($B$6-1))</f>
        <v>#DIV/0!</v>
      </c>
      <c r="AF1236" s="34" t="e">
        <f ca="1">SQRT($B$9*SUM(AC1236:OFFSET(AC1236,$B$7-1,0))/($B$7-1))</f>
        <v>#DIV/0!</v>
      </c>
      <c r="AG1236" s="34" t="e">
        <f ca="1">SQRT($B$9*SUM(AC1236:OFFSET(AC1236,$B$8-1,0))/($B$8-1))</f>
        <v>#DIV/0!</v>
      </c>
      <c r="AI1236" s="1" t="e">
        <f t="shared" si="106"/>
        <v>#DIV/0!</v>
      </c>
      <c r="AJ1236" s="4" t="e">
        <f ca="1">SQRT($B$9)*_xlfn.STDEV.S(AI1236:OFFSET(AI1236,$B$5-1,0))</f>
        <v>#DIV/0!</v>
      </c>
      <c r="AK1236" s="4" t="e">
        <f ca="1">SQRT($B$9)*_xlfn.STDEV.S(AI1236:OFFSET(AI1236,$B$6-1,0))</f>
        <v>#DIV/0!</v>
      </c>
      <c r="AL1236" s="4" t="e">
        <f ca="1">SQRT($B$9)*_xlfn.STDEV.S(AI1236:OFFSET(AI1236,$B$7-1,0))</f>
        <v>#DIV/0!</v>
      </c>
      <c r="AM1236" s="4" t="e">
        <f ca="1">SQRT($B$9)*_xlfn.STDEV.S(AI1236:OFFSET(AI1236,$B$8-1,0))</f>
        <v>#DIV/0!</v>
      </c>
    </row>
    <row r="1237" spans="11:39" x14ac:dyDescent="0.2">
      <c r="K1237" s="3" t="e">
        <f t="shared" si="104"/>
        <v>#DIV/0!</v>
      </c>
      <c r="L1237" s="3" t="e">
        <f ca="1">SQRT(AVERAGE(K1237:OFFSET(K1237,$B$5-1,0))*$B$9/(4*LN(2)))</f>
        <v>#DIV/0!</v>
      </c>
      <c r="M1237" s="3" t="e">
        <f ca="1">SQRT(AVERAGE(K1237:OFFSET(K1237,$B$6-1,0))*$B$9/(4*LN(2)))</f>
        <v>#DIV/0!</v>
      </c>
      <c r="N1237" s="3" t="e">
        <f ca="1">SQRT(AVERAGE(K1237:OFFSET(K1237,$B$7-1,0))*$B$9/(4*LN(2)))</f>
        <v>#DIV/0!</v>
      </c>
      <c r="O1237" s="3" t="e">
        <f ca="1">SQRT(AVERAGE(K1237:OFFSET(K1237,$B$8-1,0))*$B$9/(4*LN(2)))</f>
        <v>#DIV/0!</v>
      </c>
      <c r="Q1237" s="5" t="e">
        <f t="shared" si="103"/>
        <v>#DIV/0!</v>
      </c>
      <c r="R1237" s="5" t="e">
        <f ca="1">SQRT($B$9*AVERAGE((Q1237:OFFSET(Q1237,$B$5-1,0))))</f>
        <v>#DIV/0!</v>
      </c>
      <c r="S1237" s="5" t="e">
        <f ca="1">SQRT($B$9*AVERAGE((Q1237:OFFSET(Q1237,$B$6-1,0))))</f>
        <v>#DIV/0!</v>
      </c>
      <c r="T1237" s="5" t="e">
        <f ca="1">SQRT($B$9*AVERAGE((Q1237:OFFSET(Q1237,$B$7-1,0))))</f>
        <v>#DIV/0!</v>
      </c>
      <c r="U1237" s="5" t="e">
        <f ca="1">SQRT($B$9*AVERAGE((Q1237:OFFSET(Q1237,$B$8-1,0))))</f>
        <v>#DIV/0!</v>
      </c>
      <c r="W1237" s="6" t="e">
        <f t="shared" si="102"/>
        <v>#DIV/0!</v>
      </c>
      <c r="X1237" s="6" t="e">
        <f ca="1">SQRT($B$9*AVERAGE(W1237:OFFSET(W1237,$B$5-1,0)))</f>
        <v>#DIV/0!</v>
      </c>
      <c r="Y1237" s="6" t="e">
        <f ca="1">SQRT($B$9*AVERAGE(W1237:OFFSET(W1237,$B$6-1,0)))</f>
        <v>#DIV/0!</v>
      </c>
      <c r="Z1237" s="6" t="e">
        <f ca="1">SQRT($B$9*AVERAGE(W1237:OFFSET(W1237,$B$7-1,0)))</f>
        <v>#DIV/0!</v>
      </c>
      <c r="AA1237" s="6" t="e">
        <f ca="1">SQRT($B$9*AVERAGE(W1237:OFFSET(W1237,$B$8-1,0)))</f>
        <v>#DIV/0!</v>
      </c>
      <c r="AC1237" s="34" t="e">
        <f t="shared" si="105"/>
        <v>#DIV/0!</v>
      </c>
      <c r="AD1237" s="34" t="e">
        <f ca="1">SQRT($B$9*SUM(AC1237:OFFSET(AC1237,$B$5-1,0))/($B$5-1))</f>
        <v>#DIV/0!</v>
      </c>
      <c r="AE1237" s="34" t="e">
        <f ca="1">SQRT($B$9*SUM(AC1237:OFFSET(AC1237,$B$6-1,0))/($B$6-1))</f>
        <v>#DIV/0!</v>
      </c>
      <c r="AF1237" s="34" t="e">
        <f ca="1">SQRT($B$9*SUM(AC1237:OFFSET(AC1237,$B$7-1,0))/($B$7-1))</f>
        <v>#DIV/0!</v>
      </c>
      <c r="AG1237" s="34" t="e">
        <f ca="1">SQRT($B$9*SUM(AC1237:OFFSET(AC1237,$B$8-1,0))/($B$8-1))</f>
        <v>#DIV/0!</v>
      </c>
      <c r="AI1237" s="1" t="e">
        <f t="shared" si="106"/>
        <v>#DIV/0!</v>
      </c>
      <c r="AJ1237" s="4" t="e">
        <f ca="1">SQRT($B$9)*_xlfn.STDEV.S(AI1237:OFFSET(AI1237,$B$5-1,0))</f>
        <v>#DIV/0!</v>
      </c>
      <c r="AK1237" s="4" t="e">
        <f ca="1">SQRT($B$9)*_xlfn.STDEV.S(AI1237:OFFSET(AI1237,$B$6-1,0))</f>
        <v>#DIV/0!</v>
      </c>
      <c r="AL1237" s="4" t="e">
        <f ca="1">SQRT($B$9)*_xlfn.STDEV.S(AI1237:OFFSET(AI1237,$B$7-1,0))</f>
        <v>#DIV/0!</v>
      </c>
      <c r="AM1237" s="4" t="e">
        <f ca="1">SQRT($B$9)*_xlfn.STDEV.S(AI1237:OFFSET(AI1237,$B$8-1,0))</f>
        <v>#DIV/0!</v>
      </c>
    </row>
    <row r="1238" spans="11:39" x14ac:dyDescent="0.2">
      <c r="K1238" s="3" t="e">
        <f t="shared" si="104"/>
        <v>#DIV/0!</v>
      </c>
      <c r="L1238" s="3" t="e">
        <f ca="1">SQRT(AVERAGE(K1238:OFFSET(K1238,$B$5-1,0))*$B$9/(4*LN(2)))</f>
        <v>#DIV/0!</v>
      </c>
      <c r="M1238" s="3" t="e">
        <f ca="1">SQRT(AVERAGE(K1238:OFFSET(K1238,$B$6-1,0))*$B$9/(4*LN(2)))</f>
        <v>#DIV/0!</v>
      </c>
      <c r="N1238" s="3" t="e">
        <f ca="1">SQRT(AVERAGE(K1238:OFFSET(K1238,$B$7-1,0))*$B$9/(4*LN(2)))</f>
        <v>#DIV/0!</v>
      </c>
      <c r="O1238" s="3" t="e">
        <f ca="1">SQRT(AVERAGE(K1238:OFFSET(K1238,$B$8-1,0))*$B$9/(4*LN(2)))</f>
        <v>#DIV/0!</v>
      </c>
      <c r="Q1238" s="5" t="e">
        <f t="shared" si="103"/>
        <v>#DIV/0!</v>
      </c>
      <c r="R1238" s="5" t="e">
        <f ca="1">SQRT($B$9*AVERAGE((Q1238:OFFSET(Q1238,$B$5-1,0))))</f>
        <v>#DIV/0!</v>
      </c>
      <c r="S1238" s="5" t="e">
        <f ca="1">SQRT($B$9*AVERAGE((Q1238:OFFSET(Q1238,$B$6-1,0))))</f>
        <v>#DIV/0!</v>
      </c>
      <c r="T1238" s="5" t="e">
        <f ca="1">SQRT($B$9*AVERAGE((Q1238:OFFSET(Q1238,$B$7-1,0))))</f>
        <v>#DIV/0!</v>
      </c>
      <c r="U1238" s="5" t="e">
        <f ca="1">SQRT($B$9*AVERAGE((Q1238:OFFSET(Q1238,$B$8-1,0))))</f>
        <v>#DIV/0!</v>
      </c>
      <c r="W1238" s="6" t="e">
        <f t="shared" si="102"/>
        <v>#DIV/0!</v>
      </c>
      <c r="X1238" s="6" t="e">
        <f ca="1">SQRT($B$9*AVERAGE(W1238:OFFSET(W1238,$B$5-1,0)))</f>
        <v>#DIV/0!</v>
      </c>
      <c r="Y1238" s="6" t="e">
        <f ca="1">SQRT($B$9*AVERAGE(W1238:OFFSET(W1238,$B$6-1,0)))</f>
        <v>#DIV/0!</v>
      </c>
      <c r="Z1238" s="6" t="e">
        <f ca="1">SQRT($B$9*AVERAGE(W1238:OFFSET(W1238,$B$7-1,0)))</f>
        <v>#DIV/0!</v>
      </c>
      <c r="AA1238" s="6" t="e">
        <f ca="1">SQRT($B$9*AVERAGE(W1238:OFFSET(W1238,$B$8-1,0)))</f>
        <v>#DIV/0!</v>
      </c>
      <c r="AC1238" s="34" t="e">
        <f t="shared" si="105"/>
        <v>#DIV/0!</v>
      </c>
      <c r="AD1238" s="34" t="e">
        <f ca="1">SQRT($B$9*SUM(AC1238:OFFSET(AC1238,$B$5-1,0))/($B$5-1))</f>
        <v>#DIV/0!</v>
      </c>
      <c r="AE1238" s="34" t="e">
        <f ca="1">SQRT($B$9*SUM(AC1238:OFFSET(AC1238,$B$6-1,0))/($B$6-1))</f>
        <v>#DIV/0!</v>
      </c>
      <c r="AF1238" s="34" t="e">
        <f ca="1">SQRT($B$9*SUM(AC1238:OFFSET(AC1238,$B$7-1,0))/($B$7-1))</f>
        <v>#DIV/0!</v>
      </c>
      <c r="AG1238" s="34" t="e">
        <f ca="1">SQRT($B$9*SUM(AC1238:OFFSET(AC1238,$B$8-1,0))/($B$8-1))</f>
        <v>#DIV/0!</v>
      </c>
      <c r="AI1238" s="1" t="e">
        <f t="shared" si="106"/>
        <v>#DIV/0!</v>
      </c>
      <c r="AJ1238" s="4" t="e">
        <f ca="1">SQRT($B$9)*_xlfn.STDEV.S(AI1238:OFFSET(AI1238,$B$5-1,0))</f>
        <v>#DIV/0!</v>
      </c>
      <c r="AK1238" s="4" t="e">
        <f ca="1">SQRT($B$9)*_xlfn.STDEV.S(AI1238:OFFSET(AI1238,$B$6-1,0))</f>
        <v>#DIV/0!</v>
      </c>
      <c r="AL1238" s="4" t="e">
        <f ca="1">SQRT($B$9)*_xlfn.STDEV.S(AI1238:OFFSET(AI1238,$B$7-1,0))</f>
        <v>#DIV/0!</v>
      </c>
      <c r="AM1238" s="4" t="e">
        <f ca="1">SQRT($B$9)*_xlfn.STDEV.S(AI1238:OFFSET(AI1238,$B$8-1,0))</f>
        <v>#DIV/0!</v>
      </c>
    </row>
    <row r="1239" spans="11:39" x14ac:dyDescent="0.2">
      <c r="K1239" s="3" t="e">
        <f t="shared" si="104"/>
        <v>#DIV/0!</v>
      </c>
      <c r="L1239" s="3" t="e">
        <f ca="1">SQRT(AVERAGE(K1239:OFFSET(K1239,$B$5-1,0))*$B$9/(4*LN(2)))</f>
        <v>#DIV/0!</v>
      </c>
      <c r="M1239" s="3" t="e">
        <f ca="1">SQRT(AVERAGE(K1239:OFFSET(K1239,$B$6-1,0))*$B$9/(4*LN(2)))</f>
        <v>#DIV/0!</v>
      </c>
      <c r="N1239" s="3" t="e">
        <f ca="1">SQRT(AVERAGE(K1239:OFFSET(K1239,$B$7-1,0))*$B$9/(4*LN(2)))</f>
        <v>#DIV/0!</v>
      </c>
      <c r="O1239" s="3" t="e">
        <f ca="1">SQRT(AVERAGE(K1239:OFFSET(K1239,$B$8-1,0))*$B$9/(4*LN(2)))</f>
        <v>#DIV/0!</v>
      </c>
      <c r="Q1239" s="5" t="e">
        <f t="shared" si="103"/>
        <v>#DIV/0!</v>
      </c>
      <c r="R1239" s="5" t="e">
        <f ca="1">SQRT($B$9*AVERAGE((Q1239:OFFSET(Q1239,$B$5-1,0))))</f>
        <v>#DIV/0!</v>
      </c>
      <c r="S1239" s="5" t="e">
        <f ca="1">SQRT($B$9*AVERAGE((Q1239:OFFSET(Q1239,$B$6-1,0))))</f>
        <v>#DIV/0!</v>
      </c>
      <c r="T1239" s="5" t="e">
        <f ca="1">SQRT($B$9*AVERAGE((Q1239:OFFSET(Q1239,$B$7-1,0))))</f>
        <v>#DIV/0!</v>
      </c>
      <c r="U1239" s="5" t="e">
        <f ca="1">SQRT($B$9*AVERAGE((Q1239:OFFSET(Q1239,$B$8-1,0))))</f>
        <v>#DIV/0!</v>
      </c>
      <c r="W1239" s="6" t="e">
        <f t="shared" si="102"/>
        <v>#DIV/0!</v>
      </c>
      <c r="X1239" s="6" t="e">
        <f ca="1">SQRT($B$9*AVERAGE(W1239:OFFSET(W1239,$B$5-1,0)))</f>
        <v>#DIV/0!</v>
      </c>
      <c r="Y1239" s="6" t="e">
        <f ca="1">SQRT($B$9*AVERAGE(W1239:OFFSET(W1239,$B$6-1,0)))</f>
        <v>#DIV/0!</v>
      </c>
      <c r="Z1239" s="6" t="e">
        <f ca="1">SQRT($B$9*AVERAGE(W1239:OFFSET(W1239,$B$7-1,0)))</f>
        <v>#DIV/0!</v>
      </c>
      <c r="AA1239" s="6" t="e">
        <f ca="1">SQRT($B$9*AVERAGE(W1239:OFFSET(W1239,$B$8-1,0)))</f>
        <v>#DIV/0!</v>
      </c>
      <c r="AC1239" s="34" t="e">
        <f t="shared" si="105"/>
        <v>#DIV/0!</v>
      </c>
      <c r="AD1239" s="34" t="e">
        <f ca="1">SQRT($B$9*SUM(AC1239:OFFSET(AC1239,$B$5-1,0))/($B$5-1))</f>
        <v>#DIV/0!</v>
      </c>
      <c r="AE1239" s="34" t="e">
        <f ca="1">SQRT($B$9*SUM(AC1239:OFFSET(AC1239,$B$6-1,0))/($B$6-1))</f>
        <v>#DIV/0!</v>
      </c>
      <c r="AF1239" s="34" t="e">
        <f ca="1">SQRT($B$9*SUM(AC1239:OFFSET(AC1239,$B$7-1,0))/($B$7-1))</f>
        <v>#DIV/0!</v>
      </c>
      <c r="AG1239" s="34" t="e">
        <f ca="1">SQRT($B$9*SUM(AC1239:OFFSET(AC1239,$B$8-1,0))/($B$8-1))</f>
        <v>#DIV/0!</v>
      </c>
      <c r="AI1239" s="1" t="e">
        <f t="shared" si="106"/>
        <v>#DIV/0!</v>
      </c>
      <c r="AJ1239" s="4" t="e">
        <f ca="1">SQRT($B$9)*_xlfn.STDEV.S(AI1239:OFFSET(AI1239,$B$5-1,0))</f>
        <v>#DIV/0!</v>
      </c>
      <c r="AK1239" s="4" t="e">
        <f ca="1">SQRT($B$9)*_xlfn.STDEV.S(AI1239:OFFSET(AI1239,$B$6-1,0))</f>
        <v>#DIV/0!</v>
      </c>
      <c r="AL1239" s="4" t="e">
        <f ca="1">SQRT($B$9)*_xlfn.STDEV.S(AI1239:OFFSET(AI1239,$B$7-1,0))</f>
        <v>#DIV/0!</v>
      </c>
      <c r="AM1239" s="4" t="e">
        <f ca="1">SQRT($B$9)*_xlfn.STDEV.S(AI1239:OFFSET(AI1239,$B$8-1,0))</f>
        <v>#DIV/0!</v>
      </c>
    </row>
    <row r="1240" spans="11:39" x14ac:dyDescent="0.2">
      <c r="K1240" s="3" t="e">
        <f t="shared" si="104"/>
        <v>#DIV/0!</v>
      </c>
      <c r="L1240" s="3" t="e">
        <f ca="1">SQRT(AVERAGE(K1240:OFFSET(K1240,$B$5-1,0))*$B$9/(4*LN(2)))</f>
        <v>#DIV/0!</v>
      </c>
      <c r="M1240" s="3" t="e">
        <f ca="1">SQRT(AVERAGE(K1240:OFFSET(K1240,$B$6-1,0))*$B$9/(4*LN(2)))</f>
        <v>#DIV/0!</v>
      </c>
      <c r="N1240" s="3" t="e">
        <f ca="1">SQRT(AVERAGE(K1240:OFFSET(K1240,$B$7-1,0))*$B$9/(4*LN(2)))</f>
        <v>#DIV/0!</v>
      </c>
      <c r="O1240" s="3" t="e">
        <f ca="1">SQRT(AVERAGE(K1240:OFFSET(K1240,$B$8-1,0))*$B$9/(4*LN(2)))</f>
        <v>#DIV/0!</v>
      </c>
      <c r="Q1240" s="5" t="e">
        <f t="shared" si="103"/>
        <v>#DIV/0!</v>
      </c>
      <c r="R1240" s="5" t="e">
        <f ca="1">SQRT($B$9*AVERAGE((Q1240:OFFSET(Q1240,$B$5-1,0))))</f>
        <v>#DIV/0!</v>
      </c>
      <c r="S1240" s="5" t="e">
        <f ca="1">SQRT($B$9*AVERAGE((Q1240:OFFSET(Q1240,$B$6-1,0))))</f>
        <v>#DIV/0!</v>
      </c>
      <c r="T1240" s="5" t="e">
        <f ca="1">SQRT($B$9*AVERAGE((Q1240:OFFSET(Q1240,$B$7-1,0))))</f>
        <v>#DIV/0!</v>
      </c>
      <c r="U1240" s="5" t="e">
        <f ca="1">SQRT($B$9*AVERAGE((Q1240:OFFSET(Q1240,$B$8-1,0))))</f>
        <v>#DIV/0!</v>
      </c>
      <c r="W1240" s="6" t="e">
        <f t="shared" si="102"/>
        <v>#DIV/0!</v>
      </c>
      <c r="X1240" s="6" t="e">
        <f ca="1">SQRT($B$9*AVERAGE(W1240:OFFSET(W1240,$B$5-1,0)))</f>
        <v>#DIV/0!</v>
      </c>
      <c r="Y1240" s="6" t="e">
        <f ca="1">SQRT($B$9*AVERAGE(W1240:OFFSET(W1240,$B$6-1,0)))</f>
        <v>#DIV/0!</v>
      </c>
      <c r="Z1240" s="6" t="e">
        <f ca="1">SQRT($B$9*AVERAGE(W1240:OFFSET(W1240,$B$7-1,0)))</f>
        <v>#DIV/0!</v>
      </c>
      <c r="AA1240" s="6" t="e">
        <f ca="1">SQRT($B$9*AVERAGE(W1240:OFFSET(W1240,$B$8-1,0)))</f>
        <v>#DIV/0!</v>
      </c>
      <c r="AC1240" s="34" t="e">
        <f t="shared" si="105"/>
        <v>#DIV/0!</v>
      </c>
      <c r="AD1240" s="34" t="e">
        <f ca="1">SQRT($B$9*SUM(AC1240:OFFSET(AC1240,$B$5-1,0))/($B$5-1))</f>
        <v>#DIV/0!</v>
      </c>
      <c r="AE1240" s="34" t="e">
        <f ca="1">SQRT($B$9*SUM(AC1240:OFFSET(AC1240,$B$6-1,0))/($B$6-1))</f>
        <v>#DIV/0!</v>
      </c>
      <c r="AF1240" s="34" t="e">
        <f ca="1">SQRT($B$9*SUM(AC1240:OFFSET(AC1240,$B$7-1,0))/($B$7-1))</f>
        <v>#DIV/0!</v>
      </c>
      <c r="AG1240" s="34" t="e">
        <f ca="1">SQRT($B$9*SUM(AC1240:OFFSET(AC1240,$B$8-1,0))/($B$8-1))</f>
        <v>#DIV/0!</v>
      </c>
      <c r="AI1240" s="1" t="e">
        <f t="shared" si="106"/>
        <v>#DIV/0!</v>
      </c>
      <c r="AJ1240" s="4" t="e">
        <f ca="1">SQRT($B$9)*_xlfn.STDEV.S(AI1240:OFFSET(AI1240,$B$5-1,0))</f>
        <v>#DIV/0!</v>
      </c>
      <c r="AK1240" s="4" t="e">
        <f ca="1">SQRT($B$9)*_xlfn.STDEV.S(AI1240:OFFSET(AI1240,$B$6-1,0))</f>
        <v>#DIV/0!</v>
      </c>
      <c r="AL1240" s="4" t="e">
        <f ca="1">SQRT($B$9)*_xlfn.STDEV.S(AI1240:OFFSET(AI1240,$B$7-1,0))</f>
        <v>#DIV/0!</v>
      </c>
      <c r="AM1240" s="4" t="e">
        <f ca="1">SQRT($B$9)*_xlfn.STDEV.S(AI1240:OFFSET(AI1240,$B$8-1,0))</f>
        <v>#DIV/0!</v>
      </c>
    </row>
    <row r="1241" spans="11:39" x14ac:dyDescent="0.2">
      <c r="K1241" s="3" t="e">
        <f t="shared" si="104"/>
        <v>#DIV/0!</v>
      </c>
      <c r="L1241" s="3" t="e">
        <f ca="1">SQRT(AVERAGE(K1241:OFFSET(K1241,$B$5-1,0))*$B$9/(4*LN(2)))</f>
        <v>#DIV/0!</v>
      </c>
      <c r="M1241" s="3" t="e">
        <f ca="1">SQRT(AVERAGE(K1241:OFFSET(K1241,$B$6-1,0))*$B$9/(4*LN(2)))</f>
        <v>#DIV/0!</v>
      </c>
      <c r="N1241" s="3" t="e">
        <f ca="1">SQRT(AVERAGE(K1241:OFFSET(K1241,$B$7-1,0))*$B$9/(4*LN(2)))</f>
        <v>#DIV/0!</v>
      </c>
      <c r="O1241" s="3" t="e">
        <f ca="1">SQRT(AVERAGE(K1241:OFFSET(K1241,$B$8-1,0))*$B$9/(4*LN(2)))</f>
        <v>#DIV/0!</v>
      </c>
      <c r="Q1241" s="5" t="e">
        <f t="shared" si="103"/>
        <v>#DIV/0!</v>
      </c>
      <c r="R1241" s="5" t="e">
        <f ca="1">SQRT($B$9*AVERAGE((Q1241:OFFSET(Q1241,$B$5-1,0))))</f>
        <v>#DIV/0!</v>
      </c>
      <c r="S1241" s="5" t="e">
        <f ca="1">SQRT($B$9*AVERAGE((Q1241:OFFSET(Q1241,$B$6-1,0))))</f>
        <v>#DIV/0!</v>
      </c>
      <c r="T1241" s="5" t="e">
        <f ca="1">SQRT($B$9*AVERAGE((Q1241:OFFSET(Q1241,$B$7-1,0))))</f>
        <v>#DIV/0!</v>
      </c>
      <c r="U1241" s="5" t="e">
        <f ca="1">SQRT($B$9*AVERAGE((Q1241:OFFSET(Q1241,$B$8-1,0))))</f>
        <v>#DIV/0!</v>
      </c>
      <c r="W1241" s="6" t="e">
        <f t="shared" si="102"/>
        <v>#DIV/0!</v>
      </c>
      <c r="X1241" s="6" t="e">
        <f ca="1">SQRT($B$9*AVERAGE(W1241:OFFSET(W1241,$B$5-1,0)))</f>
        <v>#DIV/0!</v>
      </c>
      <c r="Y1241" s="6" t="e">
        <f ca="1">SQRT($B$9*AVERAGE(W1241:OFFSET(W1241,$B$6-1,0)))</f>
        <v>#DIV/0!</v>
      </c>
      <c r="Z1241" s="6" t="e">
        <f ca="1">SQRT($B$9*AVERAGE(W1241:OFFSET(W1241,$B$7-1,0)))</f>
        <v>#DIV/0!</v>
      </c>
      <c r="AA1241" s="6" t="e">
        <f ca="1">SQRT($B$9*AVERAGE(W1241:OFFSET(W1241,$B$8-1,0)))</f>
        <v>#DIV/0!</v>
      </c>
      <c r="AC1241" s="34" t="e">
        <f t="shared" si="105"/>
        <v>#DIV/0!</v>
      </c>
      <c r="AD1241" s="34" t="e">
        <f ca="1">SQRT($B$9*SUM(AC1241:OFFSET(AC1241,$B$5-1,0))/($B$5-1))</f>
        <v>#DIV/0!</v>
      </c>
      <c r="AE1241" s="34" t="e">
        <f ca="1">SQRT($B$9*SUM(AC1241:OFFSET(AC1241,$B$6-1,0))/($B$6-1))</f>
        <v>#DIV/0!</v>
      </c>
      <c r="AF1241" s="34" t="e">
        <f ca="1">SQRT($B$9*SUM(AC1241:OFFSET(AC1241,$B$7-1,0))/($B$7-1))</f>
        <v>#DIV/0!</v>
      </c>
      <c r="AG1241" s="34" t="e">
        <f ca="1">SQRT($B$9*SUM(AC1241:OFFSET(AC1241,$B$8-1,0))/($B$8-1))</f>
        <v>#DIV/0!</v>
      </c>
      <c r="AI1241" s="1" t="e">
        <f t="shared" si="106"/>
        <v>#DIV/0!</v>
      </c>
      <c r="AJ1241" s="4" t="e">
        <f ca="1">SQRT($B$9)*_xlfn.STDEV.S(AI1241:OFFSET(AI1241,$B$5-1,0))</f>
        <v>#DIV/0!</v>
      </c>
      <c r="AK1241" s="4" t="e">
        <f ca="1">SQRT($B$9)*_xlfn.STDEV.S(AI1241:OFFSET(AI1241,$B$6-1,0))</f>
        <v>#DIV/0!</v>
      </c>
      <c r="AL1241" s="4" t="e">
        <f ca="1">SQRT($B$9)*_xlfn.STDEV.S(AI1241:OFFSET(AI1241,$B$7-1,0))</f>
        <v>#DIV/0!</v>
      </c>
      <c r="AM1241" s="4" t="e">
        <f ca="1">SQRT($B$9)*_xlfn.STDEV.S(AI1241:OFFSET(AI1241,$B$8-1,0))</f>
        <v>#DIV/0!</v>
      </c>
    </row>
    <row r="1242" spans="11:39" x14ac:dyDescent="0.2">
      <c r="K1242" s="3" t="e">
        <f t="shared" si="104"/>
        <v>#DIV/0!</v>
      </c>
      <c r="L1242" s="3" t="e">
        <f ca="1">SQRT(AVERAGE(K1242:OFFSET(K1242,$B$5-1,0))*$B$9/(4*LN(2)))</f>
        <v>#DIV/0!</v>
      </c>
      <c r="M1242" s="3" t="e">
        <f ca="1">SQRT(AVERAGE(K1242:OFFSET(K1242,$B$6-1,0))*$B$9/(4*LN(2)))</f>
        <v>#DIV/0!</v>
      </c>
      <c r="N1242" s="3" t="e">
        <f ca="1">SQRT(AVERAGE(K1242:OFFSET(K1242,$B$7-1,0))*$B$9/(4*LN(2)))</f>
        <v>#DIV/0!</v>
      </c>
      <c r="O1242" s="3" t="e">
        <f ca="1">SQRT(AVERAGE(K1242:OFFSET(K1242,$B$8-1,0))*$B$9/(4*LN(2)))</f>
        <v>#DIV/0!</v>
      </c>
      <c r="Q1242" s="5" t="e">
        <f t="shared" si="103"/>
        <v>#DIV/0!</v>
      </c>
      <c r="R1242" s="5" t="e">
        <f ca="1">SQRT($B$9*AVERAGE((Q1242:OFFSET(Q1242,$B$5-1,0))))</f>
        <v>#DIV/0!</v>
      </c>
      <c r="S1242" s="5" t="e">
        <f ca="1">SQRT($B$9*AVERAGE((Q1242:OFFSET(Q1242,$B$6-1,0))))</f>
        <v>#DIV/0!</v>
      </c>
      <c r="T1242" s="5" t="e">
        <f ca="1">SQRT($B$9*AVERAGE((Q1242:OFFSET(Q1242,$B$7-1,0))))</f>
        <v>#DIV/0!</v>
      </c>
      <c r="U1242" s="5" t="e">
        <f ca="1">SQRT($B$9*AVERAGE((Q1242:OFFSET(Q1242,$B$8-1,0))))</f>
        <v>#DIV/0!</v>
      </c>
      <c r="W1242" s="6" t="e">
        <f t="shared" si="102"/>
        <v>#DIV/0!</v>
      </c>
      <c r="X1242" s="6" t="e">
        <f ca="1">SQRT($B$9*AVERAGE(W1242:OFFSET(W1242,$B$5-1,0)))</f>
        <v>#DIV/0!</v>
      </c>
      <c r="Y1242" s="6" t="e">
        <f ca="1">SQRT($B$9*AVERAGE(W1242:OFFSET(W1242,$B$6-1,0)))</f>
        <v>#DIV/0!</v>
      </c>
      <c r="Z1242" s="6" t="e">
        <f ca="1">SQRT($B$9*AVERAGE(W1242:OFFSET(W1242,$B$7-1,0)))</f>
        <v>#DIV/0!</v>
      </c>
      <c r="AA1242" s="6" t="e">
        <f ca="1">SQRT($B$9*AVERAGE(W1242:OFFSET(W1242,$B$8-1,0)))</f>
        <v>#DIV/0!</v>
      </c>
      <c r="AC1242" s="34" t="e">
        <f t="shared" si="105"/>
        <v>#DIV/0!</v>
      </c>
      <c r="AD1242" s="34" t="e">
        <f ca="1">SQRT($B$9*SUM(AC1242:OFFSET(AC1242,$B$5-1,0))/($B$5-1))</f>
        <v>#DIV/0!</v>
      </c>
      <c r="AE1242" s="34" t="e">
        <f ca="1">SQRT($B$9*SUM(AC1242:OFFSET(AC1242,$B$6-1,0))/($B$6-1))</f>
        <v>#DIV/0!</v>
      </c>
      <c r="AF1242" s="34" t="e">
        <f ca="1">SQRT($B$9*SUM(AC1242:OFFSET(AC1242,$B$7-1,0))/($B$7-1))</f>
        <v>#DIV/0!</v>
      </c>
      <c r="AG1242" s="34" t="e">
        <f ca="1">SQRT($B$9*SUM(AC1242:OFFSET(AC1242,$B$8-1,0))/($B$8-1))</f>
        <v>#DIV/0!</v>
      </c>
      <c r="AI1242" s="1" t="e">
        <f t="shared" si="106"/>
        <v>#DIV/0!</v>
      </c>
      <c r="AJ1242" s="4" t="e">
        <f ca="1">SQRT($B$9)*_xlfn.STDEV.S(AI1242:OFFSET(AI1242,$B$5-1,0))</f>
        <v>#DIV/0!</v>
      </c>
      <c r="AK1242" s="4" t="e">
        <f ca="1">SQRT($B$9)*_xlfn.STDEV.S(AI1242:OFFSET(AI1242,$B$6-1,0))</f>
        <v>#DIV/0!</v>
      </c>
      <c r="AL1242" s="4" t="e">
        <f ca="1">SQRT($B$9)*_xlfn.STDEV.S(AI1242:OFFSET(AI1242,$B$7-1,0))</f>
        <v>#DIV/0!</v>
      </c>
      <c r="AM1242" s="4" t="e">
        <f ca="1">SQRT($B$9)*_xlfn.STDEV.S(AI1242:OFFSET(AI1242,$B$8-1,0))</f>
        <v>#DIV/0!</v>
      </c>
    </row>
    <row r="1243" spans="11:39" x14ac:dyDescent="0.2">
      <c r="K1243" s="3" t="e">
        <f t="shared" si="104"/>
        <v>#DIV/0!</v>
      </c>
      <c r="L1243" s="3" t="e">
        <f ca="1">SQRT(AVERAGE(K1243:OFFSET(K1243,$B$5-1,0))*$B$9/(4*LN(2)))</f>
        <v>#DIV/0!</v>
      </c>
      <c r="M1243" s="3" t="e">
        <f ca="1">SQRT(AVERAGE(K1243:OFFSET(K1243,$B$6-1,0))*$B$9/(4*LN(2)))</f>
        <v>#DIV/0!</v>
      </c>
      <c r="N1243" s="3" t="e">
        <f ca="1">SQRT(AVERAGE(K1243:OFFSET(K1243,$B$7-1,0))*$B$9/(4*LN(2)))</f>
        <v>#DIV/0!</v>
      </c>
      <c r="O1243" s="3" t="e">
        <f ca="1">SQRT(AVERAGE(K1243:OFFSET(K1243,$B$8-1,0))*$B$9/(4*LN(2)))</f>
        <v>#DIV/0!</v>
      </c>
      <c r="Q1243" s="5" t="e">
        <f t="shared" si="103"/>
        <v>#DIV/0!</v>
      </c>
      <c r="R1243" s="5" t="e">
        <f ca="1">SQRT($B$9*AVERAGE((Q1243:OFFSET(Q1243,$B$5-1,0))))</f>
        <v>#DIV/0!</v>
      </c>
      <c r="S1243" s="5" t="e">
        <f ca="1">SQRT($B$9*AVERAGE((Q1243:OFFSET(Q1243,$B$6-1,0))))</f>
        <v>#DIV/0!</v>
      </c>
      <c r="T1243" s="5" t="e">
        <f ca="1">SQRT($B$9*AVERAGE((Q1243:OFFSET(Q1243,$B$7-1,0))))</f>
        <v>#DIV/0!</v>
      </c>
      <c r="U1243" s="5" t="e">
        <f ca="1">SQRT($B$9*AVERAGE((Q1243:OFFSET(Q1243,$B$8-1,0))))</f>
        <v>#DIV/0!</v>
      </c>
      <c r="W1243" s="6" t="e">
        <f t="shared" si="102"/>
        <v>#DIV/0!</v>
      </c>
      <c r="X1243" s="6" t="e">
        <f ca="1">SQRT($B$9*AVERAGE(W1243:OFFSET(W1243,$B$5-1,0)))</f>
        <v>#DIV/0!</v>
      </c>
      <c r="Y1243" s="6" t="e">
        <f ca="1">SQRT($B$9*AVERAGE(W1243:OFFSET(W1243,$B$6-1,0)))</f>
        <v>#DIV/0!</v>
      </c>
      <c r="Z1243" s="6" t="e">
        <f ca="1">SQRT($B$9*AVERAGE(W1243:OFFSET(W1243,$B$7-1,0)))</f>
        <v>#DIV/0!</v>
      </c>
      <c r="AA1243" s="6" t="e">
        <f ca="1">SQRT($B$9*AVERAGE(W1243:OFFSET(W1243,$B$8-1,0)))</f>
        <v>#DIV/0!</v>
      </c>
      <c r="AC1243" s="34" t="e">
        <f t="shared" si="105"/>
        <v>#DIV/0!</v>
      </c>
      <c r="AD1243" s="34" t="e">
        <f ca="1">SQRT($B$9*SUM(AC1243:OFFSET(AC1243,$B$5-1,0))/($B$5-1))</f>
        <v>#DIV/0!</v>
      </c>
      <c r="AE1243" s="34" t="e">
        <f ca="1">SQRT($B$9*SUM(AC1243:OFFSET(AC1243,$B$6-1,0))/($B$6-1))</f>
        <v>#DIV/0!</v>
      </c>
      <c r="AF1243" s="34" t="e">
        <f ca="1">SQRT($B$9*SUM(AC1243:OFFSET(AC1243,$B$7-1,0))/($B$7-1))</f>
        <v>#DIV/0!</v>
      </c>
      <c r="AG1243" s="34" t="e">
        <f ca="1">SQRT($B$9*SUM(AC1243:OFFSET(AC1243,$B$8-1,0))/($B$8-1))</f>
        <v>#DIV/0!</v>
      </c>
      <c r="AI1243" s="1" t="e">
        <f t="shared" si="106"/>
        <v>#DIV/0!</v>
      </c>
      <c r="AJ1243" s="4" t="e">
        <f ca="1">SQRT($B$9)*_xlfn.STDEV.S(AI1243:OFFSET(AI1243,$B$5-1,0))</f>
        <v>#DIV/0!</v>
      </c>
      <c r="AK1243" s="4" t="e">
        <f ca="1">SQRT($B$9)*_xlfn.STDEV.S(AI1243:OFFSET(AI1243,$B$6-1,0))</f>
        <v>#DIV/0!</v>
      </c>
      <c r="AL1243" s="4" t="e">
        <f ca="1">SQRT($B$9)*_xlfn.STDEV.S(AI1243:OFFSET(AI1243,$B$7-1,0))</f>
        <v>#DIV/0!</v>
      </c>
      <c r="AM1243" s="4" t="e">
        <f ca="1">SQRT($B$9)*_xlfn.STDEV.S(AI1243:OFFSET(AI1243,$B$8-1,0))</f>
        <v>#DIV/0!</v>
      </c>
    </row>
    <row r="1244" spans="11:39" x14ac:dyDescent="0.2">
      <c r="K1244" s="3" t="e">
        <f t="shared" si="104"/>
        <v>#DIV/0!</v>
      </c>
      <c r="L1244" s="3" t="e">
        <f ca="1">SQRT(AVERAGE(K1244:OFFSET(K1244,$B$5-1,0))*$B$9/(4*LN(2)))</f>
        <v>#DIV/0!</v>
      </c>
      <c r="M1244" s="3" t="e">
        <f ca="1">SQRT(AVERAGE(K1244:OFFSET(K1244,$B$6-1,0))*$B$9/(4*LN(2)))</f>
        <v>#DIV/0!</v>
      </c>
      <c r="N1244" s="3" t="e">
        <f ca="1">SQRT(AVERAGE(K1244:OFFSET(K1244,$B$7-1,0))*$B$9/(4*LN(2)))</f>
        <v>#DIV/0!</v>
      </c>
      <c r="O1244" s="3" t="e">
        <f ca="1">SQRT(AVERAGE(K1244:OFFSET(K1244,$B$8-1,0))*$B$9/(4*LN(2)))</f>
        <v>#DIV/0!</v>
      </c>
      <c r="Q1244" s="5" t="e">
        <f t="shared" si="103"/>
        <v>#DIV/0!</v>
      </c>
      <c r="R1244" s="5" t="e">
        <f ca="1">SQRT($B$9*AVERAGE((Q1244:OFFSET(Q1244,$B$5-1,0))))</f>
        <v>#DIV/0!</v>
      </c>
      <c r="S1244" s="5" t="e">
        <f ca="1">SQRT($B$9*AVERAGE((Q1244:OFFSET(Q1244,$B$6-1,0))))</f>
        <v>#DIV/0!</v>
      </c>
      <c r="T1244" s="5" t="e">
        <f ca="1">SQRT($B$9*AVERAGE((Q1244:OFFSET(Q1244,$B$7-1,0))))</f>
        <v>#DIV/0!</v>
      </c>
      <c r="U1244" s="5" t="e">
        <f ca="1">SQRT($B$9*AVERAGE((Q1244:OFFSET(Q1244,$B$8-1,0))))</f>
        <v>#DIV/0!</v>
      </c>
      <c r="W1244" s="6" t="e">
        <f t="shared" si="102"/>
        <v>#DIV/0!</v>
      </c>
      <c r="X1244" s="6" t="e">
        <f ca="1">SQRT($B$9*AVERAGE(W1244:OFFSET(W1244,$B$5-1,0)))</f>
        <v>#DIV/0!</v>
      </c>
      <c r="Y1244" s="6" t="e">
        <f ca="1">SQRT($B$9*AVERAGE(W1244:OFFSET(W1244,$B$6-1,0)))</f>
        <v>#DIV/0!</v>
      </c>
      <c r="Z1244" s="6" t="e">
        <f ca="1">SQRT($B$9*AVERAGE(W1244:OFFSET(W1244,$B$7-1,0)))</f>
        <v>#DIV/0!</v>
      </c>
      <c r="AA1244" s="6" t="e">
        <f ca="1">SQRT($B$9*AVERAGE(W1244:OFFSET(W1244,$B$8-1,0)))</f>
        <v>#DIV/0!</v>
      </c>
      <c r="AC1244" s="34" t="e">
        <f t="shared" si="105"/>
        <v>#DIV/0!</v>
      </c>
      <c r="AD1244" s="34" t="e">
        <f ca="1">SQRT($B$9*SUM(AC1244:OFFSET(AC1244,$B$5-1,0))/($B$5-1))</f>
        <v>#DIV/0!</v>
      </c>
      <c r="AE1244" s="34" t="e">
        <f ca="1">SQRT($B$9*SUM(AC1244:OFFSET(AC1244,$B$6-1,0))/($B$6-1))</f>
        <v>#DIV/0!</v>
      </c>
      <c r="AF1244" s="34" t="e">
        <f ca="1">SQRT($B$9*SUM(AC1244:OFFSET(AC1244,$B$7-1,0))/($B$7-1))</f>
        <v>#DIV/0!</v>
      </c>
      <c r="AG1244" s="34" t="e">
        <f ca="1">SQRT($B$9*SUM(AC1244:OFFSET(AC1244,$B$8-1,0))/($B$8-1))</f>
        <v>#DIV/0!</v>
      </c>
      <c r="AI1244" s="1" t="e">
        <f t="shared" si="106"/>
        <v>#DIV/0!</v>
      </c>
      <c r="AJ1244" s="4" t="e">
        <f ca="1">SQRT($B$9)*_xlfn.STDEV.S(AI1244:OFFSET(AI1244,$B$5-1,0))</f>
        <v>#DIV/0!</v>
      </c>
      <c r="AK1244" s="4" t="e">
        <f ca="1">SQRT($B$9)*_xlfn.STDEV.S(AI1244:OFFSET(AI1244,$B$6-1,0))</f>
        <v>#DIV/0!</v>
      </c>
      <c r="AL1244" s="4" t="e">
        <f ca="1">SQRT($B$9)*_xlfn.STDEV.S(AI1244:OFFSET(AI1244,$B$7-1,0))</f>
        <v>#DIV/0!</v>
      </c>
      <c r="AM1244" s="4" t="e">
        <f ca="1">SQRT($B$9)*_xlfn.STDEV.S(AI1244:OFFSET(AI1244,$B$8-1,0))</f>
        <v>#DIV/0!</v>
      </c>
    </row>
    <row r="1245" spans="11:39" x14ac:dyDescent="0.2">
      <c r="K1245" s="3" t="e">
        <f t="shared" si="104"/>
        <v>#DIV/0!</v>
      </c>
      <c r="L1245" s="3" t="e">
        <f ca="1">SQRT(AVERAGE(K1245:OFFSET(K1245,$B$5-1,0))*$B$9/(4*LN(2)))</f>
        <v>#DIV/0!</v>
      </c>
      <c r="M1245" s="3" t="e">
        <f ca="1">SQRT(AVERAGE(K1245:OFFSET(K1245,$B$6-1,0))*$B$9/(4*LN(2)))</f>
        <v>#DIV/0!</v>
      </c>
      <c r="N1245" s="3" t="e">
        <f ca="1">SQRT(AVERAGE(K1245:OFFSET(K1245,$B$7-1,0))*$B$9/(4*LN(2)))</f>
        <v>#DIV/0!</v>
      </c>
      <c r="O1245" s="3" t="e">
        <f ca="1">SQRT(AVERAGE(K1245:OFFSET(K1245,$B$8-1,0))*$B$9/(4*LN(2)))</f>
        <v>#DIV/0!</v>
      </c>
      <c r="Q1245" s="5" t="e">
        <f t="shared" si="103"/>
        <v>#DIV/0!</v>
      </c>
      <c r="R1245" s="5" t="e">
        <f ca="1">SQRT($B$9*AVERAGE((Q1245:OFFSET(Q1245,$B$5-1,0))))</f>
        <v>#DIV/0!</v>
      </c>
      <c r="S1245" s="5" t="e">
        <f ca="1">SQRT($B$9*AVERAGE((Q1245:OFFSET(Q1245,$B$6-1,0))))</f>
        <v>#DIV/0!</v>
      </c>
      <c r="T1245" s="5" t="e">
        <f ca="1">SQRT($B$9*AVERAGE((Q1245:OFFSET(Q1245,$B$7-1,0))))</f>
        <v>#DIV/0!</v>
      </c>
      <c r="U1245" s="5" t="e">
        <f ca="1">SQRT($B$9*AVERAGE((Q1245:OFFSET(Q1245,$B$8-1,0))))</f>
        <v>#DIV/0!</v>
      </c>
      <c r="W1245" s="6" t="e">
        <f t="shared" si="102"/>
        <v>#DIV/0!</v>
      </c>
      <c r="X1245" s="6" t="e">
        <f ca="1">SQRT($B$9*AVERAGE(W1245:OFFSET(W1245,$B$5-1,0)))</f>
        <v>#DIV/0!</v>
      </c>
      <c r="Y1245" s="6" t="e">
        <f ca="1">SQRT($B$9*AVERAGE(W1245:OFFSET(W1245,$B$6-1,0)))</f>
        <v>#DIV/0!</v>
      </c>
      <c r="Z1245" s="6" t="e">
        <f ca="1">SQRT($B$9*AVERAGE(W1245:OFFSET(W1245,$B$7-1,0)))</f>
        <v>#DIV/0!</v>
      </c>
      <c r="AA1245" s="6" t="e">
        <f ca="1">SQRT($B$9*AVERAGE(W1245:OFFSET(W1245,$B$8-1,0)))</f>
        <v>#DIV/0!</v>
      </c>
      <c r="AC1245" s="34" t="e">
        <f t="shared" si="105"/>
        <v>#DIV/0!</v>
      </c>
      <c r="AD1245" s="34" t="e">
        <f ca="1">SQRT($B$9*SUM(AC1245:OFFSET(AC1245,$B$5-1,0))/($B$5-1))</f>
        <v>#DIV/0!</v>
      </c>
      <c r="AE1245" s="34" t="e">
        <f ca="1">SQRT($B$9*SUM(AC1245:OFFSET(AC1245,$B$6-1,0))/($B$6-1))</f>
        <v>#DIV/0!</v>
      </c>
      <c r="AF1245" s="34" t="e">
        <f ca="1">SQRT($B$9*SUM(AC1245:OFFSET(AC1245,$B$7-1,0))/($B$7-1))</f>
        <v>#DIV/0!</v>
      </c>
      <c r="AG1245" s="34" t="e">
        <f ca="1">SQRT($B$9*SUM(AC1245:OFFSET(AC1245,$B$8-1,0))/($B$8-1))</f>
        <v>#DIV/0!</v>
      </c>
      <c r="AI1245" s="1" t="e">
        <f t="shared" si="106"/>
        <v>#DIV/0!</v>
      </c>
      <c r="AJ1245" s="4" t="e">
        <f ca="1">SQRT($B$9)*_xlfn.STDEV.S(AI1245:OFFSET(AI1245,$B$5-1,0))</f>
        <v>#DIV/0!</v>
      </c>
      <c r="AK1245" s="4" t="e">
        <f ca="1">SQRT($B$9)*_xlfn.STDEV.S(AI1245:OFFSET(AI1245,$B$6-1,0))</f>
        <v>#DIV/0!</v>
      </c>
      <c r="AL1245" s="4" t="e">
        <f ca="1">SQRT($B$9)*_xlfn.STDEV.S(AI1245:OFFSET(AI1245,$B$7-1,0))</f>
        <v>#DIV/0!</v>
      </c>
      <c r="AM1245" s="4" t="e">
        <f ca="1">SQRT($B$9)*_xlfn.STDEV.S(AI1245:OFFSET(AI1245,$B$8-1,0))</f>
        <v>#DIV/0!</v>
      </c>
    </row>
    <row r="1246" spans="11:39" x14ac:dyDescent="0.2">
      <c r="K1246" s="3" t="e">
        <f t="shared" si="104"/>
        <v>#DIV/0!</v>
      </c>
      <c r="L1246" s="3" t="e">
        <f ca="1">SQRT(AVERAGE(K1246:OFFSET(K1246,$B$5-1,0))*$B$9/(4*LN(2)))</f>
        <v>#DIV/0!</v>
      </c>
      <c r="M1246" s="3" t="e">
        <f ca="1">SQRT(AVERAGE(K1246:OFFSET(K1246,$B$6-1,0))*$B$9/(4*LN(2)))</f>
        <v>#DIV/0!</v>
      </c>
      <c r="N1246" s="3" t="e">
        <f ca="1">SQRT(AVERAGE(K1246:OFFSET(K1246,$B$7-1,0))*$B$9/(4*LN(2)))</f>
        <v>#DIV/0!</v>
      </c>
      <c r="O1246" s="3" t="e">
        <f ca="1">SQRT(AVERAGE(K1246:OFFSET(K1246,$B$8-1,0))*$B$9/(4*LN(2)))</f>
        <v>#DIV/0!</v>
      </c>
      <c r="Q1246" s="5" t="e">
        <f t="shared" si="103"/>
        <v>#DIV/0!</v>
      </c>
      <c r="R1246" s="5" t="e">
        <f ca="1">SQRT($B$9*AVERAGE((Q1246:OFFSET(Q1246,$B$5-1,0))))</f>
        <v>#DIV/0!</v>
      </c>
      <c r="S1246" s="5" t="e">
        <f ca="1">SQRT($B$9*AVERAGE((Q1246:OFFSET(Q1246,$B$6-1,0))))</f>
        <v>#DIV/0!</v>
      </c>
      <c r="T1246" s="5" t="e">
        <f ca="1">SQRT($B$9*AVERAGE((Q1246:OFFSET(Q1246,$B$7-1,0))))</f>
        <v>#DIV/0!</v>
      </c>
      <c r="U1246" s="5" t="e">
        <f ca="1">SQRT($B$9*AVERAGE((Q1246:OFFSET(Q1246,$B$8-1,0))))</f>
        <v>#DIV/0!</v>
      </c>
      <c r="W1246" s="6" t="e">
        <f t="shared" si="102"/>
        <v>#DIV/0!</v>
      </c>
      <c r="X1246" s="6" t="e">
        <f ca="1">SQRT($B$9*AVERAGE(W1246:OFFSET(W1246,$B$5-1,0)))</f>
        <v>#DIV/0!</v>
      </c>
      <c r="Y1246" s="6" t="e">
        <f ca="1">SQRT($B$9*AVERAGE(W1246:OFFSET(W1246,$B$6-1,0)))</f>
        <v>#DIV/0!</v>
      </c>
      <c r="Z1246" s="6" t="e">
        <f ca="1">SQRT($B$9*AVERAGE(W1246:OFFSET(W1246,$B$7-1,0)))</f>
        <v>#DIV/0!</v>
      </c>
      <c r="AA1246" s="6" t="e">
        <f ca="1">SQRT($B$9*AVERAGE(W1246:OFFSET(W1246,$B$8-1,0)))</f>
        <v>#DIV/0!</v>
      </c>
      <c r="AC1246" s="34" t="e">
        <f t="shared" si="105"/>
        <v>#DIV/0!</v>
      </c>
      <c r="AD1246" s="34" t="e">
        <f ca="1">SQRT($B$9*SUM(AC1246:OFFSET(AC1246,$B$5-1,0))/($B$5-1))</f>
        <v>#DIV/0!</v>
      </c>
      <c r="AE1246" s="34" t="e">
        <f ca="1">SQRT($B$9*SUM(AC1246:OFFSET(AC1246,$B$6-1,0))/($B$6-1))</f>
        <v>#DIV/0!</v>
      </c>
      <c r="AF1246" s="34" t="e">
        <f ca="1">SQRT($B$9*SUM(AC1246:OFFSET(AC1246,$B$7-1,0))/($B$7-1))</f>
        <v>#DIV/0!</v>
      </c>
      <c r="AG1246" s="34" t="e">
        <f ca="1">SQRT($B$9*SUM(AC1246:OFFSET(AC1246,$B$8-1,0))/($B$8-1))</f>
        <v>#DIV/0!</v>
      </c>
      <c r="AI1246" s="1" t="e">
        <f t="shared" si="106"/>
        <v>#DIV/0!</v>
      </c>
      <c r="AJ1246" s="4" t="e">
        <f ca="1">SQRT($B$9)*_xlfn.STDEV.S(AI1246:OFFSET(AI1246,$B$5-1,0))</f>
        <v>#DIV/0!</v>
      </c>
      <c r="AK1246" s="4" t="e">
        <f ca="1">SQRT($B$9)*_xlfn.STDEV.S(AI1246:OFFSET(AI1246,$B$6-1,0))</f>
        <v>#DIV/0!</v>
      </c>
      <c r="AL1246" s="4" t="e">
        <f ca="1">SQRT($B$9)*_xlfn.STDEV.S(AI1246:OFFSET(AI1246,$B$7-1,0))</f>
        <v>#DIV/0!</v>
      </c>
      <c r="AM1246" s="4" t="e">
        <f ca="1">SQRT($B$9)*_xlfn.STDEV.S(AI1246:OFFSET(AI1246,$B$8-1,0))</f>
        <v>#DIV/0!</v>
      </c>
    </row>
    <row r="1247" spans="11:39" x14ac:dyDescent="0.2">
      <c r="K1247" s="3" t="e">
        <f t="shared" si="104"/>
        <v>#DIV/0!</v>
      </c>
      <c r="L1247" s="3" t="e">
        <f ca="1">SQRT(AVERAGE(K1247:OFFSET(K1247,$B$5-1,0))*$B$9/(4*LN(2)))</f>
        <v>#DIV/0!</v>
      </c>
      <c r="M1247" s="3" t="e">
        <f ca="1">SQRT(AVERAGE(K1247:OFFSET(K1247,$B$6-1,0))*$B$9/(4*LN(2)))</f>
        <v>#DIV/0!</v>
      </c>
      <c r="N1247" s="3" t="e">
        <f ca="1">SQRT(AVERAGE(K1247:OFFSET(K1247,$B$7-1,0))*$B$9/(4*LN(2)))</f>
        <v>#DIV/0!</v>
      </c>
      <c r="O1247" s="3" t="e">
        <f ca="1">SQRT(AVERAGE(K1247:OFFSET(K1247,$B$8-1,0))*$B$9/(4*LN(2)))</f>
        <v>#DIV/0!</v>
      </c>
      <c r="Q1247" s="5" t="e">
        <f t="shared" si="103"/>
        <v>#DIV/0!</v>
      </c>
      <c r="R1247" s="5" t="e">
        <f ca="1">SQRT($B$9*AVERAGE((Q1247:OFFSET(Q1247,$B$5-1,0))))</f>
        <v>#DIV/0!</v>
      </c>
      <c r="S1247" s="5" t="e">
        <f ca="1">SQRT($B$9*AVERAGE((Q1247:OFFSET(Q1247,$B$6-1,0))))</f>
        <v>#DIV/0!</v>
      </c>
      <c r="T1247" s="5" t="e">
        <f ca="1">SQRT($B$9*AVERAGE((Q1247:OFFSET(Q1247,$B$7-1,0))))</f>
        <v>#DIV/0!</v>
      </c>
      <c r="U1247" s="5" t="e">
        <f ca="1">SQRT($B$9*AVERAGE((Q1247:OFFSET(Q1247,$B$8-1,0))))</f>
        <v>#DIV/0!</v>
      </c>
      <c r="W1247" s="6" t="e">
        <f t="shared" si="102"/>
        <v>#DIV/0!</v>
      </c>
      <c r="X1247" s="6" t="e">
        <f ca="1">SQRT($B$9*AVERAGE(W1247:OFFSET(W1247,$B$5-1,0)))</f>
        <v>#DIV/0!</v>
      </c>
      <c r="Y1247" s="6" t="e">
        <f ca="1">SQRT($B$9*AVERAGE(W1247:OFFSET(W1247,$B$6-1,0)))</f>
        <v>#DIV/0!</v>
      </c>
      <c r="Z1247" s="6" t="e">
        <f ca="1">SQRT($B$9*AVERAGE(W1247:OFFSET(W1247,$B$7-1,0)))</f>
        <v>#DIV/0!</v>
      </c>
      <c r="AA1247" s="6" t="e">
        <f ca="1">SQRT($B$9*AVERAGE(W1247:OFFSET(W1247,$B$8-1,0)))</f>
        <v>#DIV/0!</v>
      </c>
      <c r="AC1247" s="34" t="e">
        <f t="shared" si="105"/>
        <v>#DIV/0!</v>
      </c>
      <c r="AD1247" s="34" t="e">
        <f ca="1">SQRT($B$9*SUM(AC1247:OFFSET(AC1247,$B$5-1,0))/($B$5-1))</f>
        <v>#DIV/0!</v>
      </c>
      <c r="AE1247" s="34" t="e">
        <f ca="1">SQRT($B$9*SUM(AC1247:OFFSET(AC1247,$B$6-1,0))/($B$6-1))</f>
        <v>#DIV/0!</v>
      </c>
      <c r="AF1247" s="34" t="e">
        <f ca="1">SQRT($B$9*SUM(AC1247:OFFSET(AC1247,$B$7-1,0))/($B$7-1))</f>
        <v>#DIV/0!</v>
      </c>
      <c r="AG1247" s="34" t="e">
        <f ca="1">SQRT($B$9*SUM(AC1247:OFFSET(AC1247,$B$8-1,0))/($B$8-1))</f>
        <v>#DIV/0!</v>
      </c>
      <c r="AI1247" s="1" t="e">
        <f t="shared" si="106"/>
        <v>#DIV/0!</v>
      </c>
      <c r="AJ1247" s="4" t="e">
        <f ca="1">SQRT($B$9)*_xlfn.STDEV.S(AI1247:OFFSET(AI1247,$B$5-1,0))</f>
        <v>#DIV/0!</v>
      </c>
      <c r="AK1247" s="4" t="e">
        <f ca="1">SQRT($B$9)*_xlfn.STDEV.S(AI1247:OFFSET(AI1247,$B$6-1,0))</f>
        <v>#DIV/0!</v>
      </c>
      <c r="AL1247" s="4" t="e">
        <f ca="1">SQRT($B$9)*_xlfn.STDEV.S(AI1247:OFFSET(AI1247,$B$7-1,0))</f>
        <v>#DIV/0!</v>
      </c>
      <c r="AM1247" s="4" t="e">
        <f ca="1">SQRT($B$9)*_xlfn.STDEV.S(AI1247:OFFSET(AI1247,$B$8-1,0))</f>
        <v>#DIV/0!</v>
      </c>
    </row>
    <row r="1248" spans="11:39" x14ac:dyDescent="0.2">
      <c r="K1248" s="3" t="e">
        <f t="shared" si="104"/>
        <v>#DIV/0!</v>
      </c>
      <c r="L1248" s="3" t="e">
        <f ca="1">SQRT(AVERAGE(K1248:OFFSET(K1248,$B$5-1,0))*$B$9/(4*LN(2)))</f>
        <v>#DIV/0!</v>
      </c>
      <c r="M1248" s="3" t="e">
        <f ca="1">SQRT(AVERAGE(K1248:OFFSET(K1248,$B$6-1,0))*$B$9/(4*LN(2)))</f>
        <v>#DIV/0!</v>
      </c>
      <c r="N1248" s="3" t="e">
        <f ca="1">SQRT(AVERAGE(K1248:OFFSET(K1248,$B$7-1,0))*$B$9/(4*LN(2)))</f>
        <v>#DIV/0!</v>
      </c>
      <c r="O1248" s="3" t="e">
        <f ca="1">SQRT(AVERAGE(K1248:OFFSET(K1248,$B$8-1,0))*$B$9/(4*LN(2)))</f>
        <v>#DIV/0!</v>
      </c>
      <c r="Q1248" s="5" t="e">
        <f t="shared" si="103"/>
        <v>#DIV/0!</v>
      </c>
      <c r="R1248" s="5" t="e">
        <f ca="1">SQRT($B$9*AVERAGE((Q1248:OFFSET(Q1248,$B$5-1,0))))</f>
        <v>#DIV/0!</v>
      </c>
      <c r="S1248" s="5" t="e">
        <f ca="1">SQRT($B$9*AVERAGE((Q1248:OFFSET(Q1248,$B$6-1,0))))</f>
        <v>#DIV/0!</v>
      </c>
      <c r="T1248" s="5" t="e">
        <f ca="1">SQRT($B$9*AVERAGE((Q1248:OFFSET(Q1248,$B$7-1,0))))</f>
        <v>#DIV/0!</v>
      </c>
      <c r="U1248" s="5" t="e">
        <f ca="1">SQRT($B$9*AVERAGE((Q1248:OFFSET(Q1248,$B$8-1,0))))</f>
        <v>#DIV/0!</v>
      </c>
      <c r="W1248" s="6" t="e">
        <f t="shared" si="102"/>
        <v>#DIV/0!</v>
      </c>
      <c r="X1248" s="6" t="e">
        <f ca="1">SQRT($B$9*AVERAGE(W1248:OFFSET(W1248,$B$5-1,0)))</f>
        <v>#DIV/0!</v>
      </c>
      <c r="Y1248" s="6" t="e">
        <f ca="1">SQRT($B$9*AVERAGE(W1248:OFFSET(W1248,$B$6-1,0)))</f>
        <v>#DIV/0!</v>
      </c>
      <c r="Z1248" s="6" t="e">
        <f ca="1">SQRT($B$9*AVERAGE(W1248:OFFSET(W1248,$B$7-1,0)))</f>
        <v>#DIV/0!</v>
      </c>
      <c r="AA1248" s="6" t="e">
        <f ca="1">SQRT($B$9*AVERAGE(W1248:OFFSET(W1248,$B$8-1,0)))</f>
        <v>#DIV/0!</v>
      </c>
      <c r="AC1248" s="34" t="e">
        <f t="shared" si="105"/>
        <v>#DIV/0!</v>
      </c>
      <c r="AD1248" s="34" t="e">
        <f ca="1">SQRT($B$9*SUM(AC1248:OFFSET(AC1248,$B$5-1,0))/($B$5-1))</f>
        <v>#DIV/0!</v>
      </c>
      <c r="AE1248" s="34" t="e">
        <f ca="1">SQRT($B$9*SUM(AC1248:OFFSET(AC1248,$B$6-1,0))/($B$6-1))</f>
        <v>#DIV/0!</v>
      </c>
      <c r="AF1248" s="34" t="e">
        <f ca="1">SQRT($B$9*SUM(AC1248:OFFSET(AC1248,$B$7-1,0))/($B$7-1))</f>
        <v>#DIV/0!</v>
      </c>
      <c r="AG1248" s="34" t="e">
        <f ca="1">SQRT($B$9*SUM(AC1248:OFFSET(AC1248,$B$8-1,0))/($B$8-1))</f>
        <v>#DIV/0!</v>
      </c>
      <c r="AI1248" s="1" t="e">
        <f t="shared" si="106"/>
        <v>#DIV/0!</v>
      </c>
      <c r="AJ1248" s="4" t="e">
        <f ca="1">SQRT($B$9)*_xlfn.STDEV.S(AI1248:OFFSET(AI1248,$B$5-1,0))</f>
        <v>#DIV/0!</v>
      </c>
      <c r="AK1248" s="4" t="e">
        <f ca="1">SQRT($B$9)*_xlfn.STDEV.S(AI1248:OFFSET(AI1248,$B$6-1,0))</f>
        <v>#DIV/0!</v>
      </c>
      <c r="AL1248" s="4" t="e">
        <f ca="1">SQRT($B$9)*_xlfn.STDEV.S(AI1248:OFFSET(AI1248,$B$7-1,0))</f>
        <v>#DIV/0!</v>
      </c>
      <c r="AM1248" s="4" t="e">
        <f ca="1">SQRT($B$9)*_xlfn.STDEV.S(AI1248:OFFSET(AI1248,$B$8-1,0))</f>
        <v>#DIV/0!</v>
      </c>
    </row>
    <row r="1249" spans="11:39" x14ac:dyDescent="0.2">
      <c r="K1249" s="3" t="e">
        <f t="shared" si="104"/>
        <v>#DIV/0!</v>
      </c>
      <c r="L1249" s="3" t="e">
        <f ca="1">SQRT(AVERAGE(K1249:OFFSET(K1249,$B$5-1,0))*$B$9/(4*LN(2)))</f>
        <v>#DIV/0!</v>
      </c>
      <c r="M1249" s="3" t="e">
        <f ca="1">SQRT(AVERAGE(K1249:OFFSET(K1249,$B$6-1,0))*$B$9/(4*LN(2)))</f>
        <v>#DIV/0!</v>
      </c>
      <c r="N1249" s="3" t="e">
        <f ca="1">SQRT(AVERAGE(K1249:OFFSET(K1249,$B$7-1,0))*$B$9/(4*LN(2)))</f>
        <v>#DIV/0!</v>
      </c>
      <c r="O1249" s="3" t="e">
        <f ca="1">SQRT(AVERAGE(K1249:OFFSET(K1249,$B$8-1,0))*$B$9/(4*LN(2)))</f>
        <v>#DIV/0!</v>
      </c>
      <c r="Q1249" s="5" t="e">
        <f t="shared" si="103"/>
        <v>#DIV/0!</v>
      </c>
      <c r="R1249" s="5" t="e">
        <f ca="1">SQRT($B$9*AVERAGE((Q1249:OFFSET(Q1249,$B$5-1,0))))</f>
        <v>#DIV/0!</v>
      </c>
      <c r="S1249" s="5" t="e">
        <f ca="1">SQRT($B$9*AVERAGE((Q1249:OFFSET(Q1249,$B$6-1,0))))</f>
        <v>#DIV/0!</v>
      </c>
      <c r="T1249" s="5" t="e">
        <f ca="1">SQRT($B$9*AVERAGE((Q1249:OFFSET(Q1249,$B$7-1,0))))</f>
        <v>#DIV/0!</v>
      </c>
      <c r="U1249" s="5" t="e">
        <f ca="1">SQRT($B$9*AVERAGE((Q1249:OFFSET(Q1249,$B$8-1,0))))</f>
        <v>#DIV/0!</v>
      </c>
      <c r="W1249" s="6" t="e">
        <f t="shared" si="102"/>
        <v>#DIV/0!</v>
      </c>
      <c r="X1249" s="6" t="e">
        <f ca="1">SQRT($B$9*AVERAGE(W1249:OFFSET(W1249,$B$5-1,0)))</f>
        <v>#DIV/0!</v>
      </c>
      <c r="Y1249" s="6" t="e">
        <f ca="1">SQRT($B$9*AVERAGE(W1249:OFFSET(W1249,$B$6-1,0)))</f>
        <v>#DIV/0!</v>
      </c>
      <c r="Z1249" s="6" t="e">
        <f ca="1">SQRT($B$9*AVERAGE(W1249:OFFSET(W1249,$B$7-1,0)))</f>
        <v>#DIV/0!</v>
      </c>
      <c r="AA1249" s="6" t="e">
        <f ca="1">SQRT($B$9*AVERAGE(W1249:OFFSET(W1249,$B$8-1,0)))</f>
        <v>#DIV/0!</v>
      </c>
      <c r="AC1249" s="34" t="e">
        <f t="shared" si="105"/>
        <v>#DIV/0!</v>
      </c>
      <c r="AD1249" s="34" t="e">
        <f ca="1">SQRT($B$9*SUM(AC1249:OFFSET(AC1249,$B$5-1,0))/($B$5-1))</f>
        <v>#DIV/0!</v>
      </c>
      <c r="AE1249" s="34" t="e">
        <f ca="1">SQRT($B$9*SUM(AC1249:OFFSET(AC1249,$B$6-1,0))/($B$6-1))</f>
        <v>#DIV/0!</v>
      </c>
      <c r="AF1249" s="34" t="e">
        <f ca="1">SQRT($B$9*SUM(AC1249:OFFSET(AC1249,$B$7-1,0))/($B$7-1))</f>
        <v>#DIV/0!</v>
      </c>
      <c r="AG1249" s="34" t="e">
        <f ca="1">SQRT($B$9*SUM(AC1249:OFFSET(AC1249,$B$8-1,0))/($B$8-1))</f>
        <v>#DIV/0!</v>
      </c>
      <c r="AI1249" s="1" t="e">
        <f t="shared" si="106"/>
        <v>#DIV/0!</v>
      </c>
      <c r="AJ1249" s="4" t="e">
        <f ca="1">SQRT($B$9)*_xlfn.STDEV.S(AI1249:OFFSET(AI1249,$B$5-1,0))</f>
        <v>#DIV/0!</v>
      </c>
      <c r="AK1249" s="4" t="e">
        <f ca="1">SQRT($B$9)*_xlfn.STDEV.S(AI1249:OFFSET(AI1249,$B$6-1,0))</f>
        <v>#DIV/0!</v>
      </c>
      <c r="AL1249" s="4" t="e">
        <f ca="1">SQRT($B$9)*_xlfn.STDEV.S(AI1249:OFFSET(AI1249,$B$7-1,0))</f>
        <v>#DIV/0!</v>
      </c>
      <c r="AM1249" s="4" t="e">
        <f ca="1">SQRT($B$9)*_xlfn.STDEV.S(AI1249:OFFSET(AI1249,$B$8-1,0))</f>
        <v>#DIV/0!</v>
      </c>
    </row>
    <row r="1250" spans="11:39" x14ac:dyDescent="0.2">
      <c r="K1250" s="3" t="e">
        <f t="shared" si="104"/>
        <v>#DIV/0!</v>
      </c>
      <c r="L1250" s="3" t="e">
        <f ca="1">SQRT(AVERAGE(K1250:OFFSET(K1250,$B$5-1,0))*$B$9/(4*LN(2)))</f>
        <v>#DIV/0!</v>
      </c>
      <c r="M1250" s="3" t="e">
        <f ca="1">SQRT(AVERAGE(K1250:OFFSET(K1250,$B$6-1,0))*$B$9/(4*LN(2)))</f>
        <v>#DIV/0!</v>
      </c>
      <c r="N1250" s="3" t="e">
        <f ca="1">SQRT(AVERAGE(K1250:OFFSET(K1250,$B$7-1,0))*$B$9/(4*LN(2)))</f>
        <v>#DIV/0!</v>
      </c>
      <c r="O1250" s="3" t="e">
        <f ca="1">SQRT(AVERAGE(K1250:OFFSET(K1250,$B$8-1,0))*$B$9/(4*LN(2)))</f>
        <v>#DIV/0!</v>
      </c>
      <c r="Q1250" s="5" t="e">
        <f t="shared" si="103"/>
        <v>#DIV/0!</v>
      </c>
      <c r="R1250" s="5" t="e">
        <f ca="1">SQRT($B$9*AVERAGE((Q1250:OFFSET(Q1250,$B$5-1,0))))</f>
        <v>#DIV/0!</v>
      </c>
      <c r="S1250" s="5" t="e">
        <f ca="1">SQRT($B$9*AVERAGE((Q1250:OFFSET(Q1250,$B$6-1,0))))</f>
        <v>#DIV/0!</v>
      </c>
      <c r="T1250" s="5" t="e">
        <f ca="1">SQRT($B$9*AVERAGE((Q1250:OFFSET(Q1250,$B$7-1,0))))</f>
        <v>#DIV/0!</v>
      </c>
      <c r="U1250" s="5" t="e">
        <f ca="1">SQRT($B$9*AVERAGE((Q1250:OFFSET(Q1250,$B$8-1,0))))</f>
        <v>#DIV/0!</v>
      </c>
      <c r="W1250" s="6" t="e">
        <f t="shared" si="102"/>
        <v>#DIV/0!</v>
      </c>
      <c r="X1250" s="6" t="e">
        <f ca="1">SQRT($B$9*AVERAGE(W1250:OFFSET(W1250,$B$5-1,0)))</f>
        <v>#DIV/0!</v>
      </c>
      <c r="Y1250" s="6" t="e">
        <f ca="1">SQRT($B$9*AVERAGE(W1250:OFFSET(W1250,$B$6-1,0)))</f>
        <v>#DIV/0!</v>
      </c>
      <c r="Z1250" s="6" t="e">
        <f ca="1">SQRT($B$9*AVERAGE(W1250:OFFSET(W1250,$B$7-1,0)))</f>
        <v>#DIV/0!</v>
      </c>
      <c r="AA1250" s="6" t="e">
        <f ca="1">SQRT($B$9*AVERAGE(W1250:OFFSET(W1250,$B$8-1,0)))</f>
        <v>#DIV/0!</v>
      </c>
      <c r="AC1250" s="34" t="e">
        <f t="shared" si="105"/>
        <v>#DIV/0!</v>
      </c>
      <c r="AD1250" s="34" t="e">
        <f ca="1">SQRT($B$9*SUM(AC1250:OFFSET(AC1250,$B$5-1,0))/($B$5-1))</f>
        <v>#DIV/0!</v>
      </c>
      <c r="AE1250" s="34" t="e">
        <f ca="1">SQRT($B$9*SUM(AC1250:OFFSET(AC1250,$B$6-1,0))/($B$6-1))</f>
        <v>#DIV/0!</v>
      </c>
      <c r="AF1250" s="34" t="e">
        <f ca="1">SQRT($B$9*SUM(AC1250:OFFSET(AC1250,$B$7-1,0))/($B$7-1))</f>
        <v>#DIV/0!</v>
      </c>
      <c r="AG1250" s="34" t="e">
        <f ca="1">SQRT($B$9*SUM(AC1250:OFFSET(AC1250,$B$8-1,0))/($B$8-1))</f>
        <v>#DIV/0!</v>
      </c>
      <c r="AI1250" s="1" t="e">
        <f t="shared" si="106"/>
        <v>#DIV/0!</v>
      </c>
      <c r="AJ1250" s="4" t="e">
        <f ca="1">SQRT($B$9)*_xlfn.STDEV.S(AI1250:OFFSET(AI1250,$B$5-1,0))</f>
        <v>#DIV/0!</v>
      </c>
      <c r="AK1250" s="4" t="e">
        <f ca="1">SQRT($B$9)*_xlfn.STDEV.S(AI1250:OFFSET(AI1250,$B$6-1,0))</f>
        <v>#DIV/0!</v>
      </c>
      <c r="AL1250" s="4" t="e">
        <f ca="1">SQRT($B$9)*_xlfn.STDEV.S(AI1250:OFFSET(AI1250,$B$7-1,0))</f>
        <v>#DIV/0!</v>
      </c>
      <c r="AM1250" s="4" t="e">
        <f ca="1">SQRT($B$9)*_xlfn.STDEV.S(AI1250:OFFSET(AI1250,$B$8-1,0))</f>
        <v>#DIV/0!</v>
      </c>
    </row>
    <row r="1251" spans="11:39" x14ac:dyDescent="0.2">
      <c r="K1251" s="3" t="e">
        <f t="shared" si="104"/>
        <v>#DIV/0!</v>
      </c>
      <c r="L1251" s="3" t="e">
        <f ca="1">SQRT(AVERAGE(K1251:OFFSET(K1251,$B$5-1,0))*$B$9/(4*LN(2)))</f>
        <v>#DIV/0!</v>
      </c>
      <c r="M1251" s="3" t="e">
        <f ca="1">SQRT(AVERAGE(K1251:OFFSET(K1251,$B$6-1,0))*$B$9/(4*LN(2)))</f>
        <v>#DIV/0!</v>
      </c>
      <c r="N1251" s="3" t="e">
        <f ca="1">SQRT(AVERAGE(K1251:OFFSET(K1251,$B$7-1,0))*$B$9/(4*LN(2)))</f>
        <v>#DIV/0!</v>
      </c>
      <c r="O1251" s="3" t="e">
        <f ca="1">SQRT(AVERAGE(K1251:OFFSET(K1251,$B$8-1,0))*$B$9/(4*LN(2)))</f>
        <v>#DIV/0!</v>
      </c>
      <c r="Q1251" s="5" t="e">
        <f t="shared" si="103"/>
        <v>#DIV/0!</v>
      </c>
      <c r="R1251" s="5" t="e">
        <f ca="1">SQRT($B$9*AVERAGE((Q1251:OFFSET(Q1251,$B$5-1,0))))</f>
        <v>#DIV/0!</v>
      </c>
      <c r="S1251" s="5" t="e">
        <f ca="1">SQRT($B$9*AVERAGE((Q1251:OFFSET(Q1251,$B$6-1,0))))</f>
        <v>#DIV/0!</v>
      </c>
      <c r="T1251" s="5" t="e">
        <f ca="1">SQRT($B$9*AVERAGE((Q1251:OFFSET(Q1251,$B$7-1,0))))</f>
        <v>#DIV/0!</v>
      </c>
      <c r="U1251" s="5" t="e">
        <f ca="1">SQRT($B$9*AVERAGE((Q1251:OFFSET(Q1251,$B$8-1,0))))</f>
        <v>#DIV/0!</v>
      </c>
      <c r="W1251" s="6" t="e">
        <f t="shared" si="102"/>
        <v>#DIV/0!</v>
      </c>
      <c r="X1251" s="6" t="e">
        <f ca="1">SQRT($B$9*AVERAGE(W1251:OFFSET(W1251,$B$5-1,0)))</f>
        <v>#DIV/0!</v>
      </c>
      <c r="Y1251" s="6" t="e">
        <f ca="1">SQRT($B$9*AVERAGE(W1251:OFFSET(W1251,$B$6-1,0)))</f>
        <v>#DIV/0!</v>
      </c>
      <c r="Z1251" s="6" t="e">
        <f ca="1">SQRT($B$9*AVERAGE(W1251:OFFSET(W1251,$B$7-1,0)))</f>
        <v>#DIV/0!</v>
      </c>
      <c r="AA1251" s="6" t="e">
        <f ca="1">SQRT($B$9*AVERAGE(W1251:OFFSET(W1251,$B$8-1,0)))</f>
        <v>#DIV/0!</v>
      </c>
      <c r="AC1251" s="34" t="e">
        <f t="shared" si="105"/>
        <v>#DIV/0!</v>
      </c>
      <c r="AD1251" s="34" t="e">
        <f ca="1">SQRT($B$9*SUM(AC1251:OFFSET(AC1251,$B$5-1,0))/($B$5-1))</f>
        <v>#DIV/0!</v>
      </c>
      <c r="AE1251" s="34" t="e">
        <f ca="1">SQRT($B$9*SUM(AC1251:OFFSET(AC1251,$B$6-1,0))/($B$6-1))</f>
        <v>#DIV/0!</v>
      </c>
      <c r="AF1251" s="34" t="e">
        <f ca="1">SQRT($B$9*SUM(AC1251:OFFSET(AC1251,$B$7-1,0))/($B$7-1))</f>
        <v>#DIV/0!</v>
      </c>
      <c r="AG1251" s="34" t="e">
        <f ca="1">SQRT($B$9*SUM(AC1251:OFFSET(AC1251,$B$8-1,0))/($B$8-1))</f>
        <v>#DIV/0!</v>
      </c>
      <c r="AI1251" s="1" t="e">
        <f t="shared" si="106"/>
        <v>#DIV/0!</v>
      </c>
      <c r="AJ1251" s="4" t="e">
        <f ca="1">SQRT($B$9)*_xlfn.STDEV.S(AI1251:OFFSET(AI1251,$B$5-1,0))</f>
        <v>#DIV/0!</v>
      </c>
      <c r="AK1251" s="4" t="e">
        <f ca="1">SQRT($B$9)*_xlfn.STDEV.S(AI1251:OFFSET(AI1251,$B$6-1,0))</f>
        <v>#DIV/0!</v>
      </c>
      <c r="AL1251" s="4" t="e">
        <f ca="1">SQRT($B$9)*_xlfn.STDEV.S(AI1251:OFFSET(AI1251,$B$7-1,0))</f>
        <v>#DIV/0!</v>
      </c>
      <c r="AM1251" s="4" t="e">
        <f ca="1">SQRT($B$9)*_xlfn.STDEV.S(AI1251:OFFSET(AI1251,$B$8-1,0))</f>
        <v>#DIV/0!</v>
      </c>
    </row>
    <row r="1252" spans="11:39" x14ac:dyDescent="0.2">
      <c r="K1252" s="3" t="e">
        <f t="shared" si="104"/>
        <v>#DIV/0!</v>
      </c>
      <c r="L1252" s="3" t="e">
        <f ca="1">SQRT(AVERAGE(K1252:OFFSET(K1252,$B$5-1,0))*$B$9/(4*LN(2)))</f>
        <v>#DIV/0!</v>
      </c>
      <c r="M1252" s="3" t="e">
        <f ca="1">SQRT(AVERAGE(K1252:OFFSET(K1252,$B$6-1,0))*$B$9/(4*LN(2)))</f>
        <v>#DIV/0!</v>
      </c>
      <c r="N1252" s="3" t="e">
        <f ca="1">SQRT(AVERAGE(K1252:OFFSET(K1252,$B$7-1,0))*$B$9/(4*LN(2)))</f>
        <v>#DIV/0!</v>
      </c>
      <c r="O1252" s="3" t="e">
        <f ca="1">SQRT(AVERAGE(K1252:OFFSET(K1252,$B$8-1,0))*$B$9/(4*LN(2)))</f>
        <v>#DIV/0!</v>
      </c>
      <c r="Q1252" s="5" t="e">
        <f t="shared" si="103"/>
        <v>#DIV/0!</v>
      </c>
      <c r="R1252" s="5" t="e">
        <f ca="1">SQRT($B$9*AVERAGE((Q1252:OFFSET(Q1252,$B$5-1,0))))</f>
        <v>#DIV/0!</v>
      </c>
      <c r="S1252" s="5" t="e">
        <f ca="1">SQRT($B$9*AVERAGE((Q1252:OFFSET(Q1252,$B$6-1,0))))</f>
        <v>#DIV/0!</v>
      </c>
      <c r="T1252" s="5" t="e">
        <f ca="1">SQRT($B$9*AVERAGE((Q1252:OFFSET(Q1252,$B$7-1,0))))</f>
        <v>#DIV/0!</v>
      </c>
      <c r="U1252" s="5" t="e">
        <f ca="1">SQRT($B$9*AVERAGE((Q1252:OFFSET(Q1252,$B$8-1,0))))</f>
        <v>#DIV/0!</v>
      </c>
      <c r="W1252" s="6" t="e">
        <f t="shared" si="102"/>
        <v>#DIV/0!</v>
      </c>
      <c r="X1252" s="6" t="e">
        <f ca="1">SQRT($B$9*AVERAGE(W1252:OFFSET(W1252,$B$5-1,0)))</f>
        <v>#DIV/0!</v>
      </c>
      <c r="Y1252" s="6" t="e">
        <f ca="1">SQRT($B$9*AVERAGE(W1252:OFFSET(W1252,$B$6-1,0)))</f>
        <v>#DIV/0!</v>
      </c>
      <c r="Z1252" s="6" t="e">
        <f ca="1">SQRT($B$9*AVERAGE(W1252:OFFSET(W1252,$B$7-1,0)))</f>
        <v>#DIV/0!</v>
      </c>
      <c r="AA1252" s="6" t="e">
        <f ca="1">SQRT($B$9*AVERAGE(W1252:OFFSET(W1252,$B$8-1,0)))</f>
        <v>#DIV/0!</v>
      </c>
      <c r="AC1252" s="34" t="e">
        <f t="shared" si="105"/>
        <v>#DIV/0!</v>
      </c>
      <c r="AD1252" s="34" t="e">
        <f ca="1">SQRT($B$9*SUM(AC1252:OFFSET(AC1252,$B$5-1,0))/($B$5-1))</f>
        <v>#DIV/0!</v>
      </c>
      <c r="AE1252" s="34" t="e">
        <f ca="1">SQRT($B$9*SUM(AC1252:OFFSET(AC1252,$B$6-1,0))/($B$6-1))</f>
        <v>#DIV/0!</v>
      </c>
      <c r="AF1252" s="34" t="e">
        <f ca="1">SQRT($B$9*SUM(AC1252:OFFSET(AC1252,$B$7-1,0))/($B$7-1))</f>
        <v>#DIV/0!</v>
      </c>
      <c r="AG1252" s="34" t="e">
        <f ca="1">SQRT($B$9*SUM(AC1252:OFFSET(AC1252,$B$8-1,0))/($B$8-1))</f>
        <v>#DIV/0!</v>
      </c>
      <c r="AI1252" s="1" t="e">
        <f t="shared" si="106"/>
        <v>#DIV/0!</v>
      </c>
      <c r="AJ1252" s="4" t="e">
        <f ca="1">SQRT($B$9)*_xlfn.STDEV.S(AI1252:OFFSET(AI1252,$B$5-1,0))</f>
        <v>#DIV/0!</v>
      </c>
      <c r="AK1252" s="4" t="e">
        <f ca="1">SQRT($B$9)*_xlfn.STDEV.S(AI1252:OFFSET(AI1252,$B$6-1,0))</f>
        <v>#DIV/0!</v>
      </c>
      <c r="AL1252" s="4" t="e">
        <f ca="1">SQRT($B$9)*_xlfn.STDEV.S(AI1252:OFFSET(AI1252,$B$7-1,0))</f>
        <v>#DIV/0!</v>
      </c>
      <c r="AM1252" s="4" t="e">
        <f ca="1">SQRT($B$9)*_xlfn.STDEV.S(AI1252:OFFSET(AI1252,$B$8-1,0))</f>
        <v>#DIV/0!</v>
      </c>
    </row>
    <row r="1253" spans="11:39" x14ac:dyDescent="0.2">
      <c r="K1253" s="3" t="e">
        <f t="shared" si="104"/>
        <v>#DIV/0!</v>
      </c>
      <c r="L1253" s="3" t="e">
        <f ca="1">SQRT(AVERAGE(K1253:OFFSET(K1253,$B$5-1,0))*$B$9/(4*LN(2)))</f>
        <v>#DIV/0!</v>
      </c>
      <c r="M1253" s="3" t="e">
        <f ca="1">SQRT(AVERAGE(K1253:OFFSET(K1253,$B$6-1,0))*$B$9/(4*LN(2)))</f>
        <v>#DIV/0!</v>
      </c>
      <c r="N1253" s="3" t="e">
        <f ca="1">SQRT(AVERAGE(K1253:OFFSET(K1253,$B$7-1,0))*$B$9/(4*LN(2)))</f>
        <v>#DIV/0!</v>
      </c>
      <c r="O1253" s="3" t="e">
        <f ca="1">SQRT(AVERAGE(K1253:OFFSET(K1253,$B$8-1,0))*$B$9/(4*LN(2)))</f>
        <v>#DIV/0!</v>
      </c>
      <c r="Q1253" s="5" t="e">
        <f t="shared" si="103"/>
        <v>#DIV/0!</v>
      </c>
      <c r="R1253" s="5" t="e">
        <f ca="1">SQRT($B$9*AVERAGE((Q1253:OFFSET(Q1253,$B$5-1,0))))</f>
        <v>#DIV/0!</v>
      </c>
      <c r="S1253" s="5" t="e">
        <f ca="1">SQRT($B$9*AVERAGE((Q1253:OFFSET(Q1253,$B$6-1,0))))</f>
        <v>#DIV/0!</v>
      </c>
      <c r="T1253" s="5" t="e">
        <f ca="1">SQRT($B$9*AVERAGE((Q1253:OFFSET(Q1253,$B$7-1,0))))</f>
        <v>#DIV/0!</v>
      </c>
      <c r="U1253" s="5" t="e">
        <f ca="1">SQRT($B$9*AVERAGE((Q1253:OFFSET(Q1253,$B$8-1,0))))</f>
        <v>#DIV/0!</v>
      </c>
      <c r="W1253" s="6" t="e">
        <f t="shared" si="102"/>
        <v>#DIV/0!</v>
      </c>
      <c r="X1253" s="6" t="e">
        <f ca="1">SQRT($B$9*AVERAGE(W1253:OFFSET(W1253,$B$5-1,0)))</f>
        <v>#DIV/0!</v>
      </c>
      <c r="Y1253" s="6" t="e">
        <f ca="1">SQRT($B$9*AVERAGE(W1253:OFFSET(W1253,$B$6-1,0)))</f>
        <v>#DIV/0!</v>
      </c>
      <c r="Z1253" s="6" t="e">
        <f ca="1">SQRT($B$9*AVERAGE(W1253:OFFSET(W1253,$B$7-1,0)))</f>
        <v>#DIV/0!</v>
      </c>
      <c r="AA1253" s="6" t="e">
        <f ca="1">SQRT($B$9*AVERAGE(W1253:OFFSET(W1253,$B$8-1,0)))</f>
        <v>#DIV/0!</v>
      </c>
      <c r="AC1253" s="34" t="e">
        <f t="shared" si="105"/>
        <v>#DIV/0!</v>
      </c>
      <c r="AD1253" s="34" t="e">
        <f ca="1">SQRT($B$9*SUM(AC1253:OFFSET(AC1253,$B$5-1,0))/($B$5-1))</f>
        <v>#DIV/0!</v>
      </c>
      <c r="AE1253" s="34" t="e">
        <f ca="1">SQRT($B$9*SUM(AC1253:OFFSET(AC1253,$B$6-1,0))/($B$6-1))</f>
        <v>#DIV/0!</v>
      </c>
      <c r="AF1253" s="34" t="e">
        <f ca="1">SQRT($B$9*SUM(AC1253:OFFSET(AC1253,$B$7-1,0))/($B$7-1))</f>
        <v>#DIV/0!</v>
      </c>
      <c r="AG1253" s="34" t="e">
        <f ca="1">SQRT($B$9*SUM(AC1253:OFFSET(AC1253,$B$8-1,0))/($B$8-1))</f>
        <v>#DIV/0!</v>
      </c>
      <c r="AI1253" s="1" t="e">
        <f t="shared" si="106"/>
        <v>#DIV/0!</v>
      </c>
      <c r="AJ1253" s="4" t="e">
        <f ca="1">SQRT($B$9)*_xlfn.STDEV.S(AI1253:OFFSET(AI1253,$B$5-1,0))</f>
        <v>#DIV/0!</v>
      </c>
      <c r="AK1253" s="4" t="e">
        <f ca="1">SQRT($B$9)*_xlfn.STDEV.S(AI1253:OFFSET(AI1253,$B$6-1,0))</f>
        <v>#DIV/0!</v>
      </c>
      <c r="AL1253" s="4" t="e">
        <f ca="1">SQRT($B$9)*_xlfn.STDEV.S(AI1253:OFFSET(AI1253,$B$7-1,0))</f>
        <v>#DIV/0!</v>
      </c>
      <c r="AM1253" s="4" t="e">
        <f ca="1">SQRT($B$9)*_xlfn.STDEV.S(AI1253:OFFSET(AI1253,$B$8-1,0))</f>
        <v>#DIV/0!</v>
      </c>
    </row>
    <row r="1254" spans="11:39" x14ac:dyDescent="0.2">
      <c r="K1254" s="3" t="e">
        <f t="shared" si="104"/>
        <v>#DIV/0!</v>
      </c>
      <c r="L1254" s="3" t="e">
        <f ca="1">SQRT(AVERAGE(K1254:OFFSET(K1254,$B$5-1,0))*$B$9/(4*LN(2)))</f>
        <v>#DIV/0!</v>
      </c>
      <c r="M1254" s="3" t="e">
        <f ca="1">SQRT(AVERAGE(K1254:OFFSET(K1254,$B$6-1,0))*$B$9/(4*LN(2)))</f>
        <v>#DIV/0!</v>
      </c>
      <c r="N1254" s="3" t="e">
        <f ca="1">SQRT(AVERAGE(K1254:OFFSET(K1254,$B$7-1,0))*$B$9/(4*LN(2)))</f>
        <v>#DIV/0!</v>
      </c>
      <c r="O1254" s="3" t="e">
        <f ca="1">SQRT(AVERAGE(K1254:OFFSET(K1254,$B$8-1,0))*$B$9/(4*LN(2)))</f>
        <v>#DIV/0!</v>
      </c>
      <c r="Q1254" s="5" t="e">
        <f t="shared" si="103"/>
        <v>#DIV/0!</v>
      </c>
      <c r="R1254" s="5" t="e">
        <f ca="1">SQRT($B$9*AVERAGE((Q1254:OFFSET(Q1254,$B$5-1,0))))</f>
        <v>#DIV/0!</v>
      </c>
      <c r="S1254" s="5" t="e">
        <f ca="1">SQRT($B$9*AVERAGE((Q1254:OFFSET(Q1254,$B$6-1,0))))</f>
        <v>#DIV/0!</v>
      </c>
      <c r="T1254" s="5" t="e">
        <f ca="1">SQRT($B$9*AVERAGE((Q1254:OFFSET(Q1254,$B$7-1,0))))</f>
        <v>#DIV/0!</v>
      </c>
      <c r="U1254" s="5" t="e">
        <f ca="1">SQRT($B$9*AVERAGE((Q1254:OFFSET(Q1254,$B$8-1,0))))</f>
        <v>#DIV/0!</v>
      </c>
      <c r="W1254" s="6" t="e">
        <f t="shared" si="102"/>
        <v>#DIV/0!</v>
      </c>
      <c r="X1254" s="6" t="e">
        <f ca="1">SQRT($B$9*AVERAGE(W1254:OFFSET(W1254,$B$5-1,0)))</f>
        <v>#DIV/0!</v>
      </c>
      <c r="Y1254" s="6" t="e">
        <f ca="1">SQRT($B$9*AVERAGE(W1254:OFFSET(W1254,$B$6-1,0)))</f>
        <v>#DIV/0!</v>
      </c>
      <c r="Z1254" s="6" t="e">
        <f ca="1">SQRT($B$9*AVERAGE(W1254:OFFSET(W1254,$B$7-1,0)))</f>
        <v>#DIV/0!</v>
      </c>
      <c r="AA1254" s="6" t="e">
        <f ca="1">SQRT($B$9*AVERAGE(W1254:OFFSET(W1254,$B$8-1,0)))</f>
        <v>#DIV/0!</v>
      </c>
      <c r="AC1254" s="34" t="e">
        <f t="shared" si="105"/>
        <v>#DIV/0!</v>
      </c>
      <c r="AD1254" s="34" t="e">
        <f ca="1">SQRT($B$9*SUM(AC1254:OFFSET(AC1254,$B$5-1,0))/($B$5-1))</f>
        <v>#DIV/0!</v>
      </c>
      <c r="AE1254" s="34" t="e">
        <f ca="1">SQRT($B$9*SUM(AC1254:OFFSET(AC1254,$B$6-1,0))/($B$6-1))</f>
        <v>#DIV/0!</v>
      </c>
      <c r="AF1254" s="34" t="e">
        <f ca="1">SQRT($B$9*SUM(AC1254:OFFSET(AC1254,$B$7-1,0))/($B$7-1))</f>
        <v>#DIV/0!</v>
      </c>
      <c r="AG1254" s="34" t="e">
        <f ca="1">SQRT($B$9*SUM(AC1254:OFFSET(AC1254,$B$8-1,0))/($B$8-1))</f>
        <v>#DIV/0!</v>
      </c>
      <c r="AI1254" s="1" t="e">
        <f t="shared" si="106"/>
        <v>#DIV/0!</v>
      </c>
      <c r="AJ1254" s="4" t="e">
        <f ca="1">SQRT($B$9)*_xlfn.STDEV.S(AI1254:OFFSET(AI1254,$B$5-1,0))</f>
        <v>#DIV/0!</v>
      </c>
      <c r="AK1254" s="4" t="e">
        <f ca="1">SQRT($B$9)*_xlfn.STDEV.S(AI1254:OFFSET(AI1254,$B$6-1,0))</f>
        <v>#DIV/0!</v>
      </c>
      <c r="AL1254" s="4" t="e">
        <f ca="1">SQRT($B$9)*_xlfn.STDEV.S(AI1254:OFFSET(AI1254,$B$7-1,0))</f>
        <v>#DIV/0!</v>
      </c>
      <c r="AM1254" s="4" t="e">
        <f ca="1">SQRT($B$9)*_xlfn.STDEV.S(AI1254:OFFSET(AI1254,$B$8-1,0))</f>
        <v>#DIV/0!</v>
      </c>
    </row>
    <row r="1255" spans="11:39" x14ac:dyDescent="0.2">
      <c r="K1255" s="3" t="e">
        <f t="shared" si="104"/>
        <v>#DIV/0!</v>
      </c>
      <c r="L1255" s="3" t="e">
        <f ca="1">SQRT(AVERAGE(K1255:OFFSET(K1255,$B$5-1,0))*$B$9/(4*LN(2)))</f>
        <v>#DIV/0!</v>
      </c>
      <c r="M1255" s="3" t="e">
        <f ca="1">SQRT(AVERAGE(K1255:OFFSET(K1255,$B$6-1,0))*$B$9/(4*LN(2)))</f>
        <v>#DIV/0!</v>
      </c>
      <c r="N1255" s="3" t="e">
        <f ca="1">SQRT(AVERAGE(K1255:OFFSET(K1255,$B$7-1,0))*$B$9/(4*LN(2)))</f>
        <v>#DIV/0!</v>
      </c>
      <c r="O1255" s="3" t="e">
        <f ca="1">SQRT(AVERAGE(K1255:OFFSET(K1255,$B$8-1,0))*$B$9/(4*LN(2)))</f>
        <v>#DIV/0!</v>
      </c>
      <c r="Q1255" s="5" t="e">
        <f t="shared" si="103"/>
        <v>#DIV/0!</v>
      </c>
      <c r="R1255" s="5" t="e">
        <f ca="1">SQRT($B$9*AVERAGE((Q1255:OFFSET(Q1255,$B$5-1,0))))</f>
        <v>#DIV/0!</v>
      </c>
      <c r="S1255" s="5" t="e">
        <f ca="1">SQRT($B$9*AVERAGE((Q1255:OFFSET(Q1255,$B$6-1,0))))</f>
        <v>#DIV/0!</v>
      </c>
      <c r="T1255" s="5" t="e">
        <f ca="1">SQRT($B$9*AVERAGE((Q1255:OFFSET(Q1255,$B$7-1,0))))</f>
        <v>#DIV/0!</v>
      </c>
      <c r="U1255" s="5" t="e">
        <f ca="1">SQRT($B$9*AVERAGE((Q1255:OFFSET(Q1255,$B$8-1,0))))</f>
        <v>#DIV/0!</v>
      </c>
      <c r="W1255" s="6" t="e">
        <f t="shared" ref="W1255:W1318" si="107">LN(G1255/I1255)*LN(G1255/F1255)+LN(H1255/I1255)*LN(H1255/F1255)</f>
        <v>#DIV/0!</v>
      </c>
      <c r="X1255" s="6" t="e">
        <f ca="1">SQRT($B$9*AVERAGE(W1255:OFFSET(W1255,$B$5-1,0)))</f>
        <v>#DIV/0!</v>
      </c>
      <c r="Y1255" s="6" t="e">
        <f ca="1">SQRT($B$9*AVERAGE(W1255:OFFSET(W1255,$B$6-1,0)))</f>
        <v>#DIV/0!</v>
      </c>
      <c r="Z1255" s="6" t="e">
        <f ca="1">SQRT($B$9*AVERAGE(W1255:OFFSET(W1255,$B$7-1,0)))</f>
        <v>#DIV/0!</v>
      </c>
      <c r="AA1255" s="6" t="e">
        <f ca="1">SQRT($B$9*AVERAGE(W1255:OFFSET(W1255,$B$8-1,0)))</f>
        <v>#DIV/0!</v>
      </c>
      <c r="AC1255" s="34" t="e">
        <f t="shared" si="105"/>
        <v>#DIV/0!</v>
      </c>
      <c r="AD1255" s="34" t="e">
        <f ca="1">SQRT($B$9*SUM(AC1255:OFFSET(AC1255,$B$5-1,0))/($B$5-1))</f>
        <v>#DIV/0!</v>
      </c>
      <c r="AE1255" s="34" t="e">
        <f ca="1">SQRT($B$9*SUM(AC1255:OFFSET(AC1255,$B$6-1,0))/($B$6-1))</f>
        <v>#DIV/0!</v>
      </c>
      <c r="AF1255" s="34" t="e">
        <f ca="1">SQRT($B$9*SUM(AC1255:OFFSET(AC1255,$B$7-1,0))/($B$7-1))</f>
        <v>#DIV/0!</v>
      </c>
      <c r="AG1255" s="34" t="e">
        <f ca="1">SQRT($B$9*SUM(AC1255:OFFSET(AC1255,$B$8-1,0))/($B$8-1))</f>
        <v>#DIV/0!</v>
      </c>
      <c r="AI1255" s="1" t="e">
        <f t="shared" si="106"/>
        <v>#DIV/0!</v>
      </c>
      <c r="AJ1255" s="4" t="e">
        <f ca="1">SQRT($B$9)*_xlfn.STDEV.S(AI1255:OFFSET(AI1255,$B$5-1,0))</f>
        <v>#DIV/0!</v>
      </c>
      <c r="AK1255" s="4" t="e">
        <f ca="1">SQRT($B$9)*_xlfn.STDEV.S(AI1255:OFFSET(AI1255,$B$6-1,0))</f>
        <v>#DIV/0!</v>
      </c>
      <c r="AL1255" s="4" t="e">
        <f ca="1">SQRT($B$9)*_xlfn.STDEV.S(AI1255:OFFSET(AI1255,$B$7-1,0))</f>
        <v>#DIV/0!</v>
      </c>
      <c r="AM1255" s="4" t="e">
        <f ca="1">SQRT($B$9)*_xlfn.STDEV.S(AI1255:OFFSET(AI1255,$B$8-1,0))</f>
        <v>#DIV/0!</v>
      </c>
    </row>
    <row r="1256" spans="11:39" x14ac:dyDescent="0.2">
      <c r="K1256" s="3" t="e">
        <f t="shared" si="104"/>
        <v>#DIV/0!</v>
      </c>
      <c r="L1256" s="3" t="e">
        <f ca="1">SQRT(AVERAGE(K1256:OFFSET(K1256,$B$5-1,0))*$B$9/(4*LN(2)))</f>
        <v>#DIV/0!</v>
      </c>
      <c r="M1256" s="3" t="e">
        <f ca="1">SQRT(AVERAGE(K1256:OFFSET(K1256,$B$6-1,0))*$B$9/(4*LN(2)))</f>
        <v>#DIV/0!</v>
      </c>
      <c r="N1256" s="3" t="e">
        <f ca="1">SQRT(AVERAGE(K1256:OFFSET(K1256,$B$7-1,0))*$B$9/(4*LN(2)))</f>
        <v>#DIV/0!</v>
      </c>
      <c r="O1256" s="3" t="e">
        <f ca="1">SQRT(AVERAGE(K1256:OFFSET(K1256,$B$8-1,0))*$B$9/(4*LN(2)))</f>
        <v>#DIV/0!</v>
      </c>
      <c r="Q1256" s="5" t="e">
        <f t="shared" si="103"/>
        <v>#DIV/0!</v>
      </c>
      <c r="R1256" s="5" t="e">
        <f ca="1">SQRT($B$9*AVERAGE((Q1256:OFFSET(Q1256,$B$5-1,0))))</f>
        <v>#DIV/0!</v>
      </c>
      <c r="S1256" s="5" t="e">
        <f ca="1">SQRT($B$9*AVERAGE((Q1256:OFFSET(Q1256,$B$6-1,0))))</f>
        <v>#DIV/0!</v>
      </c>
      <c r="T1256" s="5" t="e">
        <f ca="1">SQRT($B$9*AVERAGE((Q1256:OFFSET(Q1256,$B$7-1,0))))</f>
        <v>#DIV/0!</v>
      </c>
      <c r="U1256" s="5" t="e">
        <f ca="1">SQRT($B$9*AVERAGE((Q1256:OFFSET(Q1256,$B$8-1,0))))</f>
        <v>#DIV/0!</v>
      </c>
      <c r="W1256" s="6" t="e">
        <f t="shared" si="107"/>
        <v>#DIV/0!</v>
      </c>
      <c r="X1256" s="6" t="e">
        <f ca="1">SQRT($B$9*AVERAGE(W1256:OFFSET(W1256,$B$5-1,0)))</f>
        <v>#DIV/0!</v>
      </c>
      <c r="Y1256" s="6" t="e">
        <f ca="1">SQRT($B$9*AVERAGE(W1256:OFFSET(W1256,$B$6-1,0)))</f>
        <v>#DIV/0!</v>
      </c>
      <c r="Z1256" s="6" t="e">
        <f ca="1">SQRT($B$9*AVERAGE(W1256:OFFSET(W1256,$B$7-1,0)))</f>
        <v>#DIV/0!</v>
      </c>
      <c r="AA1256" s="6" t="e">
        <f ca="1">SQRT($B$9*AVERAGE(W1256:OFFSET(W1256,$B$8-1,0)))</f>
        <v>#DIV/0!</v>
      </c>
      <c r="AC1256" s="34" t="e">
        <f t="shared" si="105"/>
        <v>#DIV/0!</v>
      </c>
      <c r="AD1256" s="34" t="e">
        <f ca="1">SQRT($B$9*SUM(AC1256:OFFSET(AC1256,$B$5-1,0))/($B$5-1))</f>
        <v>#DIV/0!</v>
      </c>
      <c r="AE1256" s="34" t="e">
        <f ca="1">SQRT($B$9*SUM(AC1256:OFFSET(AC1256,$B$6-1,0))/($B$6-1))</f>
        <v>#DIV/0!</v>
      </c>
      <c r="AF1256" s="34" t="e">
        <f ca="1">SQRT($B$9*SUM(AC1256:OFFSET(AC1256,$B$7-1,0))/($B$7-1))</f>
        <v>#DIV/0!</v>
      </c>
      <c r="AG1256" s="34" t="e">
        <f ca="1">SQRT($B$9*SUM(AC1256:OFFSET(AC1256,$B$8-1,0))/($B$8-1))</f>
        <v>#DIV/0!</v>
      </c>
      <c r="AI1256" s="1" t="e">
        <f t="shared" si="106"/>
        <v>#DIV/0!</v>
      </c>
      <c r="AJ1256" s="4" t="e">
        <f ca="1">SQRT($B$9)*_xlfn.STDEV.S(AI1256:OFFSET(AI1256,$B$5-1,0))</f>
        <v>#DIV/0!</v>
      </c>
      <c r="AK1256" s="4" t="e">
        <f ca="1">SQRT($B$9)*_xlfn.STDEV.S(AI1256:OFFSET(AI1256,$B$6-1,0))</f>
        <v>#DIV/0!</v>
      </c>
      <c r="AL1256" s="4" t="e">
        <f ca="1">SQRT($B$9)*_xlfn.STDEV.S(AI1256:OFFSET(AI1256,$B$7-1,0))</f>
        <v>#DIV/0!</v>
      </c>
      <c r="AM1256" s="4" t="e">
        <f ca="1">SQRT($B$9)*_xlfn.STDEV.S(AI1256:OFFSET(AI1256,$B$8-1,0))</f>
        <v>#DIV/0!</v>
      </c>
    </row>
    <row r="1257" spans="11:39" x14ac:dyDescent="0.2">
      <c r="K1257" s="3" t="e">
        <f t="shared" si="104"/>
        <v>#DIV/0!</v>
      </c>
      <c r="L1257" s="3" t="e">
        <f ca="1">SQRT(AVERAGE(K1257:OFFSET(K1257,$B$5-1,0))*$B$9/(4*LN(2)))</f>
        <v>#DIV/0!</v>
      </c>
      <c r="M1257" s="3" t="e">
        <f ca="1">SQRT(AVERAGE(K1257:OFFSET(K1257,$B$6-1,0))*$B$9/(4*LN(2)))</f>
        <v>#DIV/0!</v>
      </c>
      <c r="N1257" s="3" t="e">
        <f ca="1">SQRT(AVERAGE(K1257:OFFSET(K1257,$B$7-1,0))*$B$9/(4*LN(2)))</f>
        <v>#DIV/0!</v>
      </c>
      <c r="O1257" s="3" t="e">
        <f ca="1">SQRT(AVERAGE(K1257:OFFSET(K1257,$B$8-1,0))*$B$9/(4*LN(2)))</f>
        <v>#DIV/0!</v>
      </c>
      <c r="Q1257" s="5" t="e">
        <f t="shared" si="103"/>
        <v>#DIV/0!</v>
      </c>
      <c r="R1257" s="5" t="e">
        <f ca="1">SQRT($B$9*AVERAGE((Q1257:OFFSET(Q1257,$B$5-1,0))))</f>
        <v>#DIV/0!</v>
      </c>
      <c r="S1257" s="5" t="e">
        <f ca="1">SQRT($B$9*AVERAGE((Q1257:OFFSET(Q1257,$B$6-1,0))))</f>
        <v>#DIV/0!</v>
      </c>
      <c r="T1257" s="5" t="e">
        <f ca="1">SQRT($B$9*AVERAGE((Q1257:OFFSET(Q1257,$B$7-1,0))))</f>
        <v>#DIV/0!</v>
      </c>
      <c r="U1257" s="5" t="e">
        <f ca="1">SQRT($B$9*AVERAGE((Q1257:OFFSET(Q1257,$B$8-1,0))))</f>
        <v>#DIV/0!</v>
      </c>
      <c r="W1257" s="6" t="e">
        <f t="shared" si="107"/>
        <v>#DIV/0!</v>
      </c>
      <c r="X1257" s="6" t="e">
        <f ca="1">SQRT($B$9*AVERAGE(W1257:OFFSET(W1257,$B$5-1,0)))</f>
        <v>#DIV/0!</v>
      </c>
      <c r="Y1257" s="6" t="e">
        <f ca="1">SQRT($B$9*AVERAGE(W1257:OFFSET(W1257,$B$6-1,0)))</f>
        <v>#DIV/0!</v>
      </c>
      <c r="Z1257" s="6" t="e">
        <f ca="1">SQRT($B$9*AVERAGE(W1257:OFFSET(W1257,$B$7-1,0)))</f>
        <v>#DIV/0!</v>
      </c>
      <c r="AA1257" s="6" t="e">
        <f ca="1">SQRT($B$9*AVERAGE(W1257:OFFSET(W1257,$B$8-1,0)))</f>
        <v>#DIV/0!</v>
      </c>
      <c r="AC1257" s="34" t="e">
        <f t="shared" si="105"/>
        <v>#DIV/0!</v>
      </c>
      <c r="AD1257" s="34" t="e">
        <f ca="1">SQRT($B$9*SUM(AC1257:OFFSET(AC1257,$B$5-1,0))/($B$5-1))</f>
        <v>#DIV/0!</v>
      </c>
      <c r="AE1257" s="34" t="e">
        <f ca="1">SQRT($B$9*SUM(AC1257:OFFSET(AC1257,$B$6-1,0))/($B$6-1))</f>
        <v>#DIV/0!</v>
      </c>
      <c r="AF1257" s="34" t="e">
        <f ca="1">SQRT($B$9*SUM(AC1257:OFFSET(AC1257,$B$7-1,0))/($B$7-1))</f>
        <v>#DIV/0!</v>
      </c>
      <c r="AG1257" s="34" t="e">
        <f ca="1">SQRT($B$9*SUM(AC1257:OFFSET(AC1257,$B$8-1,0))/($B$8-1))</f>
        <v>#DIV/0!</v>
      </c>
      <c r="AI1257" s="1" t="e">
        <f t="shared" si="106"/>
        <v>#DIV/0!</v>
      </c>
      <c r="AJ1257" s="4" t="e">
        <f ca="1">SQRT($B$9)*_xlfn.STDEV.S(AI1257:OFFSET(AI1257,$B$5-1,0))</f>
        <v>#DIV/0!</v>
      </c>
      <c r="AK1257" s="4" t="e">
        <f ca="1">SQRT($B$9)*_xlfn.STDEV.S(AI1257:OFFSET(AI1257,$B$6-1,0))</f>
        <v>#DIV/0!</v>
      </c>
      <c r="AL1257" s="4" t="e">
        <f ca="1">SQRT($B$9)*_xlfn.STDEV.S(AI1257:OFFSET(AI1257,$B$7-1,0))</f>
        <v>#DIV/0!</v>
      </c>
      <c r="AM1257" s="4" t="e">
        <f ca="1">SQRT($B$9)*_xlfn.STDEV.S(AI1257:OFFSET(AI1257,$B$8-1,0))</f>
        <v>#DIV/0!</v>
      </c>
    </row>
    <row r="1258" spans="11:39" x14ac:dyDescent="0.2">
      <c r="K1258" s="3" t="e">
        <f t="shared" si="104"/>
        <v>#DIV/0!</v>
      </c>
      <c r="L1258" s="3" t="e">
        <f ca="1">SQRT(AVERAGE(K1258:OFFSET(K1258,$B$5-1,0))*$B$9/(4*LN(2)))</f>
        <v>#DIV/0!</v>
      </c>
      <c r="M1258" s="3" t="e">
        <f ca="1">SQRT(AVERAGE(K1258:OFFSET(K1258,$B$6-1,0))*$B$9/(4*LN(2)))</f>
        <v>#DIV/0!</v>
      </c>
      <c r="N1258" s="3" t="e">
        <f ca="1">SQRT(AVERAGE(K1258:OFFSET(K1258,$B$7-1,0))*$B$9/(4*LN(2)))</f>
        <v>#DIV/0!</v>
      </c>
      <c r="O1258" s="3" t="e">
        <f ca="1">SQRT(AVERAGE(K1258:OFFSET(K1258,$B$8-1,0))*$B$9/(4*LN(2)))</f>
        <v>#DIV/0!</v>
      </c>
      <c r="Q1258" s="5" t="e">
        <f t="shared" si="103"/>
        <v>#DIV/0!</v>
      </c>
      <c r="R1258" s="5" t="e">
        <f ca="1">SQRT($B$9*AVERAGE((Q1258:OFFSET(Q1258,$B$5-1,0))))</f>
        <v>#DIV/0!</v>
      </c>
      <c r="S1258" s="5" t="e">
        <f ca="1">SQRT($B$9*AVERAGE((Q1258:OFFSET(Q1258,$B$6-1,0))))</f>
        <v>#DIV/0!</v>
      </c>
      <c r="T1258" s="5" t="e">
        <f ca="1">SQRT($B$9*AVERAGE((Q1258:OFFSET(Q1258,$B$7-1,0))))</f>
        <v>#DIV/0!</v>
      </c>
      <c r="U1258" s="5" t="e">
        <f ca="1">SQRT($B$9*AVERAGE((Q1258:OFFSET(Q1258,$B$8-1,0))))</f>
        <v>#DIV/0!</v>
      </c>
      <c r="W1258" s="6" t="e">
        <f t="shared" si="107"/>
        <v>#DIV/0!</v>
      </c>
      <c r="X1258" s="6" t="e">
        <f ca="1">SQRT($B$9*AVERAGE(W1258:OFFSET(W1258,$B$5-1,0)))</f>
        <v>#DIV/0!</v>
      </c>
      <c r="Y1258" s="6" t="e">
        <f ca="1">SQRT($B$9*AVERAGE(W1258:OFFSET(W1258,$B$6-1,0)))</f>
        <v>#DIV/0!</v>
      </c>
      <c r="Z1258" s="6" t="e">
        <f ca="1">SQRT($B$9*AVERAGE(W1258:OFFSET(W1258,$B$7-1,0)))</f>
        <v>#DIV/0!</v>
      </c>
      <c r="AA1258" s="6" t="e">
        <f ca="1">SQRT($B$9*AVERAGE(W1258:OFFSET(W1258,$B$8-1,0)))</f>
        <v>#DIV/0!</v>
      </c>
      <c r="AC1258" s="34" t="e">
        <f t="shared" si="105"/>
        <v>#DIV/0!</v>
      </c>
      <c r="AD1258" s="34" t="e">
        <f ca="1">SQRT($B$9*SUM(AC1258:OFFSET(AC1258,$B$5-1,0))/($B$5-1))</f>
        <v>#DIV/0!</v>
      </c>
      <c r="AE1258" s="34" t="e">
        <f ca="1">SQRT($B$9*SUM(AC1258:OFFSET(AC1258,$B$6-1,0))/($B$6-1))</f>
        <v>#DIV/0!</v>
      </c>
      <c r="AF1258" s="34" t="e">
        <f ca="1">SQRT($B$9*SUM(AC1258:OFFSET(AC1258,$B$7-1,0))/($B$7-1))</f>
        <v>#DIV/0!</v>
      </c>
      <c r="AG1258" s="34" t="e">
        <f ca="1">SQRT($B$9*SUM(AC1258:OFFSET(AC1258,$B$8-1,0))/($B$8-1))</f>
        <v>#DIV/0!</v>
      </c>
      <c r="AI1258" s="1" t="e">
        <f t="shared" si="106"/>
        <v>#DIV/0!</v>
      </c>
      <c r="AJ1258" s="4" t="e">
        <f ca="1">SQRT($B$9)*_xlfn.STDEV.S(AI1258:OFFSET(AI1258,$B$5-1,0))</f>
        <v>#DIV/0!</v>
      </c>
      <c r="AK1258" s="4" t="e">
        <f ca="1">SQRT($B$9)*_xlfn.STDEV.S(AI1258:OFFSET(AI1258,$B$6-1,0))</f>
        <v>#DIV/0!</v>
      </c>
      <c r="AL1258" s="4" t="e">
        <f ca="1">SQRT($B$9)*_xlfn.STDEV.S(AI1258:OFFSET(AI1258,$B$7-1,0))</f>
        <v>#DIV/0!</v>
      </c>
      <c r="AM1258" s="4" t="e">
        <f ca="1">SQRT($B$9)*_xlfn.STDEV.S(AI1258:OFFSET(AI1258,$B$8-1,0))</f>
        <v>#DIV/0!</v>
      </c>
    </row>
    <row r="1259" spans="11:39" x14ac:dyDescent="0.2">
      <c r="K1259" s="3" t="e">
        <f t="shared" si="104"/>
        <v>#DIV/0!</v>
      </c>
      <c r="L1259" s="3" t="e">
        <f ca="1">SQRT(AVERAGE(K1259:OFFSET(K1259,$B$5-1,0))*$B$9/(4*LN(2)))</f>
        <v>#DIV/0!</v>
      </c>
      <c r="M1259" s="3" t="e">
        <f ca="1">SQRT(AVERAGE(K1259:OFFSET(K1259,$B$6-1,0))*$B$9/(4*LN(2)))</f>
        <v>#DIV/0!</v>
      </c>
      <c r="N1259" s="3" t="e">
        <f ca="1">SQRT(AVERAGE(K1259:OFFSET(K1259,$B$7-1,0))*$B$9/(4*LN(2)))</f>
        <v>#DIV/0!</v>
      </c>
      <c r="O1259" s="3" t="e">
        <f ca="1">SQRT(AVERAGE(K1259:OFFSET(K1259,$B$8-1,0))*$B$9/(4*LN(2)))</f>
        <v>#DIV/0!</v>
      </c>
      <c r="Q1259" s="5" t="e">
        <f t="shared" si="103"/>
        <v>#DIV/0!</v>
      </c>
      <c r="R1259" s="5" t="e">
        <f ca="1">SQRT($B$9*AVERAGE((Q1259:OFFSET(Q1259,$B$5-1,0))))</f>
        <v>#DIV/0!</v>
      </c>
      <c r="S1259" s="5" t="e">
        <f ca="1">SQRT($B$9*AVERAGE((Q1259:OFFSET(Q1259,$B$6-1,0))))</f>
        <v>#DIV/0!</v>
      </c>
      <c r="T1259" s="5" t="e">
        <f ca="1">SQRT($B$9*AVERAGE((Q1259:OFFSET(Q1259,$B$7-1,0))))</f>
        <v>#DIV/0!</v>
      </c>
      <c r="U1259" s="5" t="e">
        <f ca="1">SQRT($B$9*AVERAGE((Q1259:OFFSET(Q1259,$B$8-1,0))))</f>
        <v>#DIV/0!</v>
      </c>
      <c r="W1259" s="6" t="e">
        <f t="shared" si="107"/>
        <v>#DIV/0!</v>
      </c>
      <c r="X1259" s="6" t="e">
        <f ca="1">SQRT($B$9*AVERAGE(W1259:OFFSET(W1259,$B$5-1,0)))</f>
        <v>#DIV/0!</v>
      </c>
      <c r="Y1259" s="6" t="e">
        <f ca="1">SQRT($B$9*AVERAGE(W1259:OFFSET(W1259,$B$6-1,0)))</f>
        <v>#DIV/0!</v>
      </c>
      <c r="Z1259" s="6" t="e">
        <f ca="1">SQRT($B$9*AVERAGE(W1259:OFFSET(W1259,$B$7-1,0)))</f>
        <v>#DIV/0!</v>
      </c>
      <c r="AA1259" s="6" t="e">
        <f ca="1">SQRT($B$9*AVERAGE(W1259:OFFSET(W1259,$B$8-1,0)))</f>
        <v>#DIV/0!</v>
      </c>
      <c r="AC1259" s="34" t="e">
        <f t="shared" si="105"/>
        <v>#DIV/0!</v>
      </c>
      <c r="AD1259" s="34" t="e">
        <f ca="1">SQRT($B$9*SUM(AC1259:OFFSET(AC1259,$B$5-1,0))/($B$5-1))</f>
        <v>#DIV/0!</v>
      </c>
      <c r="AE1259" s="34" t="e">
        <f ca="1">SQRT($B$9*SUM(AC1259:OFFSET(AC1259,$B$6-1,0))/($B$6-1))</f>
        <v>#DIV/0!</v>
      </c>
      <c r="AF1259" s="34" t="e">
        <f ca="1">SQRT($B$9*SUM(AC1259:OFFSET(AC1259,$B$7-1,0))/($B$7-1))</f>
        <v>#DIV/0!</v>
      </c>
      <c r="AG1259" s="34" t="e">
        <f ca="1">SQRT($B$9*SUM(AC1259:OFFSET(AC1259,$B$8-1,0))/($B$8-1))</f>
        <v>#DIV/0!</v>
      </c>
      <c r="AI1259" s="1" t="e">
        <f t="shared" si="106"/>
        <v>#DIV/0!</v>
      </c>
      <c r="AJ1259" s="4" t="e">
        <f ca="1">SQRT($B$9)*_xlfn.STDEV.S(AI1259:OFFSET(AI1259,$B$5-1,0))</f>
        <v>#DIV/0!</v>
      </c>
      <c r="AK1259" s="4" t="e">
        <f ca="1">SQRT($B$9)*_xlfn.STDEV.S(AI1259:OFFSET(AI1259,$B$6-1,0))</f>
        <v>#DIV/0!</v>
      </c>
      <c r="AL1259" s="4" t="e">
        <f ca="1">SQRT($B$9)*_xlfn.STDEV.S(AI1259:OFFSET(AI1259,$B$7-1,0))</f>
        <v>#DIV/0!</v>
      </c>
      <c r="AM1259" s="4" t="e">
        <f ca="1">SQRT($B$9)*_xlfn.STDEV.S(AI1259:OFFSET(AI1259,$B$8-1,0))</f>
        <v>#DIV/0!</v>
      </c>
    </row>
    <row r="1260" spans="11:39" x14ac:dyDescent="0.2">
      <c r="K1260" s="3" t="e">
        <f t="shared" si="104"/>
        <v>#DIV/0!</v>
      </c>
      <c r="L1260" s="3" t="e">
        <f ca="1">SQRT(AVERAGE(K1260:OFFSET(K1260,$B$5-1,0))*$B$9/(4*LN(2)))</f>
        <v>#DIV/0!</v>
      </c>
      <c r="M1260" s="3" t="e">
        <f ca="1">SQRT(AVERAGE(K1260:OFFSET(K1260,$B$6-1,0))*$B$9/(4*LN(2)))</f>
        <v>#DIV/0!</v>
      </c>
      <c r="N1260" s="3" t="e">
        <f ca="1">SQRT(AVERAGE(K1260:OFFSET(K1260,$B$7-1,0))*$B$9/(4*LN(2)))</f>
        <v>#DIV/0!</v>
      </c>
      <c r="O1260" s="3" t="e">
        <f ca="1">SQRT(AVERAGE(K1260:OFFSET(K1260,$B$8-1,0))*$B$9/(4*LN(2)))</f>
        <v>#DIV/0!</v>
      </c>
      <c r="Q1260" s="5" t="e">
        <f t="shared" si="103"/>
        <v>#DIV/0!</v>
      </c>
      <c r="R1260" s="5" t="e">
        <f ca="1">SQRT($B$9*AVERAGE((Q1260:OFFSET(Q1260,$B$5-1,0))))</f>
        <v>#DIV/0!</v>
      </c>
      <c r="S1260" s="5" t="e">
        <f ca="1">SQRT($B$9*AVERAGE((Q1260:OFFSET(Q1260,$B$6-1,0))))</f>
        <v>#DIV/0!</v>
      </c>
      <c r="T1260" s="5" t="e">
        <f ca="1">SQRT($B$9*AVERAGE((Q1260:OFFSET(Q1260,$B$7-1,0))))</f>
        <v>#DIV/0!</v>
      </c>
      <c r="U1260" s="5" t="e">
        <f ca="1">SQRT($B$9*AVERAGE((Q1260:OFFSET(Q1260,$B$8-1,0))))</f>
        <v>#DIV/0!</v>
      </c>
      <c r="W1260" s="6" t="e">
        <f t="shared" si="107"/>
        <v>#DIV/0!</v>
      </c>
      <c r="X1260" s="6" t="e">
        <f ca="1">SQRT($B$9*AVERAGE(W1260:OFFSET(W1260,$B$5-1,0)))</f>
        <v>#DIV/0!</v>
      </c>
      <c r="Y1260" s="6" t="e">
        <f ca="1">SQRT($B$9*AVERAGE(W1260:OFFSET(W1260,$B$6-1,0)))</f>
        <v>#DIV/0!</v>
      </c>
      <c r="Z1260" s="6" t="e">
        <f ca="1">SQRT($B$9*AVERAGE(W1260:OFFSET(W1260,$B$7-1,0)))</f>
        <v>#DIV/0!</v>
      </c>
      <c r="AA1260" s="6" t="e">
        <f ca="1">SQRT($B$9*AVERAGE(W1260:OFFSET(W1260,$B$8-1,0)))</f>
        <v>#DIV/0!</v>
      </c>
      <c r="AC1260" s="34" t="e">
        <f t="shared" si="105"/>
        <v>#DIV/0!</v>
      </c>
      <c r="AD1260" s="34" t="e">
        <f ca="1">SQRT($B$9*SUM(AC1260:OFFSET(AC1260,$B$5-1,0))/($B$5-1))</f>
        <v>#DIV/0!</v>
      </c>
      <c r="AE1260" s="34" t="e">
        <f ca="1">SQRT($B$9*SUM(AC1260:OFFSET(AC1260,$B$6-1,0))/($B$6-1))</f>
        <v>#DIV/0!</v>
      </c>
      <c r="AF1260" s="34" t="e">
        <f ca="1">SQRT($B$9*SUM(AC1260:OFFSET(AC1260,$B$7-1,0))/($B$7-1))</f>
        <v>#DIV/0!</v>
      </c>
      <c r="AG1260" s="34" t="e">
        <f ca="1">SQRT($B$9*SUM(AC1260:OFFSET(AC1260,$B$8-1,0))/($B$8-1))</f>
        <v>#DIV/0!</v>
      </c>
      <c r="AI1260" s="1" t="e">
        <f t="shared" si="106"/>
        <v>#DIV/0!</v>
      </c>
      <c r="AJ1260" s="4" t="e">
        <f ca="1">SQRT($B$9)*_xlfn.STDEV.S(AI1260:OFFSET(AI1260,$B$5-1,0))</f>
        <v>#DIV/0!</v>
      </c>
      <c r="AK1260" s="4" t="e">
        <f ca="1">SQRT($B$9)*_xlfn.STDEV.S(AI1260:OFFSET(AI1260,$B$6-1,0))</f>
        <v>#DIV/0!</v>
      </c>
      <c r="AL1260" s="4" t="e">
        <f ca="1">SQRT($B$9)*_xlfn.STDEV.S(AI1260:OFFSET(AI1260,$B$7-1,0))</f>
        <v>#DIV/0!</v>
      </c>
      <c r="AM1260" s="4" t="e">
        <f ca="1">SQRT($B$9)*_xlfn.STDEV.S(AI1260:OFFSET(AI1260,$B$8-1,0))</f>
        <v>#DIV/0!</v>
      </c>
    </row>
    <row r="1261" spans="11:39" x14ac:dyDescent="0.2">
      <c r="K1261" s="3" t="e">
        <f t="shared" si="104"/>
        <v>#DIV/0!</v>
      </c>
      <c r="L1261" s="3" t="e">
        <f ca="1">SQRT(AVERAGE(K1261:OFFSET(K1261,$B$5-1,0))*$B$9/(4*LN(2)))</f>
        <v>#DIV/0!</v>
      </c>
      <c r="M1261" s="3" t="e">
        <f ca="1">SQRT(AVERAGE(K1261:OFFSET(K1261,$B$6-1,0))*$B$9/(4*LN(2)))</f>
        <v>#DIV/0!</v>
      </c>
      <c r="N1261" s="3" t="e">
        <f ca="1">SQRT(AVERAGE(K1261:OFFSET(K1261,$B$7-1,0))*$B$9/(4*LN(2)))</f>
        <v>#DIV/0!</v>
      </c>
      <c r="O1261" s="3" t="e">
        <f ca="1">SQRT(AVERAGE(K1261:OFFSET(K1261,$B$8-1,0))*$B$9/(4*LN(2)))</f>
        <v>#DIV/0!</v>
      </c>
      <c r="Q1261" s="5" t="e">
        <f t="shared" si="103"/>
        <v>#DIV/0!</v>
      </c>
      <c r="R1261" s="5" t="e">
        <f ca="1">SQRT($B$9*AVERAGE((Q1261:OFFSET(Q1261,$B$5-1,0))))</f>
        <v>#DIV/0!</v>
      </c>
      <c r="S1261" s="5" t="e">
        <f ca="1">SQRT($B$9*AVERAGE((Q1261:OFFSET(Q1261,$B$6-1,0))))</f>
        <v>#DIV/0!</v>
      </c>
      <c r="T1261" s="5" t="e">
        <f ca="1">SQRT($B$9*AVERAGE((Q1261:OFFSET(Q1261,$B$7-1,0))))</f>
        <v>#DIV/0!</v>
      </c>
      <c r="U1261" s="5" t="e">
        <f ca="1">SQRT($B$9*AVERAGE((Q1261:OFFSET(Q1261,$B$8-1,0))))</f>
        <v>#DIV/0!</v>
      </c>
      <c r="W1261" s="6" t="e">
        <f t="shared" si="107"/>
        <v>#DIV/0!</v>
      </c>
      <c r="X1261" s="6" t="e">
        <f ca="1">SQRT($B$9*AVERAGE(W1261:OFFSET(W1261,$B$5-1,0)))</f>
        <v>#DIV/0!</v>
      </c>
      <c r="Y1261" s="6" t="e">
        <f ca="1">SQRT($B$9*AVERAGE(W1261:OFFSET(W1261,$B$6-1,0)))</f>
        <v>#DIV/0!</v>
      </c>
      <c r="Z1261" s="6" t="e">
        <f ca="1">SQRT($B$9*AVERAGE(W1261:OFFSET(W1261,$B$7-1,0)))</f>
        <v>#DIV/0!</v>
      </c>
      <c r="AA1261" s="6" t="e">
        <f ca="1">SQRT($B$9*AVERAGE(W1261:OFFSET(W1261,$B$8-1,0)))</f>
        <v>#DIV/0!</v>
      </c>
      <c r="AC1261" s="34" t="e">
        <f t="shared" si="105"/>
        <v>#DIV/0!</v>
      </c>
      <c r="AD1261" s="34" t="e">
        <f ca="1">SQRT($B$9*SUM(AC1261:OFFSET(AC1261,$B$5-1,0))/($B$5-1))</f>
        <v>#DIV/0!</v>
      </c>
      <c r="AE1261" s="34" t="e">
        <f ca="1">SQRT($B$9*SUM(AC1261:OFFSET(AC1261,$B$6-1,0))/($B$6-1))</f>
        <v>#DIV/0!</v>
      </c>
      <c r="AF1261" s="34" t="e">
        <f ca="1">SQRT($B$9*SUM(AC1261:OFFSET(AC1261,$B$7-1,0))/($B$7-1))</f>
        <v>#DIV/0!</v>
      </c>
      <c r="AG1261" s="34" t="e">
        <f ca="1">SQRT($B$9*SUM(AC1261:OFFSET(AC1261,$B$8-1,0))/($B$8-1))</f>
        <v>#DIV/0!</v>
      </c>
      <c r="AI1261" s="1" t="e">
        <f t="shared" si="106"/>
        <v>#DIV/0!</v>
      </c>
      <c r="AJ1261" s="4" t="e">
        <f ca="1">SQRT($B$9)*_xlfn.STDEV.S(AI1261:OFFSET(AI1261,$B$5-1,0))</f>
        <v>#DIV/0!</v>
      </c>
      <c r="AK1261" s="4" t="e">
        <f ca="1">SQRT($B$9)*_xlfn.STDEV.S(AI1261:OFFSET(AI1261,$B$6-1,0))</f>
        <v>#DIV/0!</v>
      </c>
      <c r="AL1261" s="4" t="e">
        <f ca="1">SQRT($B$9)*_xlfn.STDEV.S(AI1261:OFFSET(AI1261,$B$7-1,0))</f>
        <v>#DIV/0!</v>
      </c>
      <c r="AM1261" s="4" t="e">
        <f ca="1">SQRT($B$9)*_xlfn.STDEV.S(AI1261:OFFSET(AI1261,$B$8-1,0))</f>
        <v>#DIV/0!</v>
      </c>
    </row>
    <row r="1262" spans="11:39" x14ac:dyDescent="0.2">
      <c r="K1262" s="3" t="e">
        <f t="shared" si="104"/>
        <v>#DIV/0!</v>
      </c>
      <c r="L1262" s="3" t="e">
        <f ca="1">SQRT(AVERAGE(K1262:OFFSET(K1262,$B$5-1,0))*$B$9/(4*LN(2)))</f>
        <v>#DIV/0!</v>
      </c>
      <c r="M1262" s="3" t="e">
        <f ca="1">SQRT(AVERAGE(K1262:OFFSET(K1262,$B$6-1,0))*$B$9/(4*LN(2)))</f>
        <v>#DIV/0!</v>
      </c>
      <c r="N1262" s="3" t="e">
        <f ca="1">SQRT(AVERAGE(K1262:OFFSET(K1262,$B$7-1,0))*$B$9/(4*LN(2)))</f>
        <v>#DIV/0!</v>
      </c>
      <c r="O1262" s="3" t="e">
        <f ca="1">SQRT(AVERAGE(K1262:OFFSET(K1262,$B$8-1,0))*$B$9/(4*LN(2)))</f>
        <v>#DIV/0!</v>
      </c>
      <c r="Q1262" s="5" t="e">
        <f t="shared" si="103"/>
        <v>#DIV/0!</v>
      </c>
      <c r="R1262" s="5" t="e">
        <f ca="1">SQRT($B$9*AVERAGE((Q1262:OFFSET(Q1262,$B$5-1,0))))</f>
        <v>#DIV/0!</v>
      </c>
      <c r="S1262" s="5" t="e">
        <f ca="1">SQRT($B$9*AVERAGE((Q1262:OFFSET(Q1262,$B$6-1,0))))</f>
        <v>#DIV/0!</v>
      </c>
      <c r="T1262" s="5" t="e">
        <f ca="1">SQRT($B$9*AVERAGE((Q1262:OFFSET(Q1262,$B$7-1,0))))</f>
        <v>#DIV/0!</v>
      </c>
      <c r="U1262" s="5" t="e">
        <f ca="1">SQRT($B$9*AVERAGE((Q1262:OFFSET(Q1262,$B$8-1,0))))</f>
        <v>#DIV/0!</v>
      </c>
      <c r="W1262" s="6" t="e">
        <f t="shared" si="107"/>
        <v>#DIV/0!</v>
      </c>
      <c r="X1262" s="6" t="e">
        <f ca="1">SQRT($B$9*AVERAGE(W1262:OFFSET(W1262,$B$5-1,0)))</f>
        <v>#DIV/0!</v>
      </c>
      <c r="Y1262" s="6" t="e">
        <f ca="1">SQRT($B$9*AVERAGE(W1262:OFFSET(W1262,$B$6-1,0)))</f>
        <v>#DIV/0!</v>
      </c>
      <c r="Z1262" s="6" t="e">
        <f ca="1">SQRT($B$9*AVERAGE(W1262:OFFSET(W1262,$B$7-1,0)))</f>
        <v>#DIV/0!</v>
      </c>
      <c r="AA1262" s="6" t="e">
        <f ca="1">SQRT($B$9*AVERAGE(W1262:OFFSET(W1262,$B$8-1,0)))</f>
        <v>#DIV/0!</v>
      </c>
      <c r="AC1262" s="34" t="e">
        <f t="shared" si="105"/>
        <v>#DIV/0!</v>
      </c>
      <c r="AD1262" s="34" t="e">
        <f ca="1">SQRT($B$9*SUM(AC1262:OFFSET(AC1262,$B$5-1,0))/($B$5-1))</f>
        <v>#DIV/0!</v>
      </c>
      <c r="AE1262" s="34" t="e">
        <f ca="1">SQRT($B$9*SUM(AC1262:OFFSET(AC1262,$B$6-1,0))/($B$6-1))</f>
        <v>#DIV/0!</v>
      </c>
      <c r="AF1262" s="34" t="e">
        <f ca="1">SQRT($B$9*SUM(AC1262:OFFSET(AC1262,$B$7-1,0))/($B$7-1))</f>
        <v>#DIV/0!</v>
      </c>
      <c r="AG1262" s="34" t="e">
        <f ca="1">SQRT($B$9*SUM(AC1262:OFFSET(AC1262,$B$8-1,0))/($B$8-1))</f>
        <v>#DIV/0!</v>
      </c>
      <c r="AI1262" s="1" t="e">
        <f t="shared" si="106"/>
        <v>#DIV/0!</v>
      </c>
      <c r="AJ1262" s="4" t="e">
        <f ca="1">SQRT($B$9)*_xlfn.STDEV.S(AI1262:OFFSET(AI1262,$B$5-1,0))</f>
        <v>#DIV/0!</v>
      </c>
      <c r="AK1262" s="4" t="e">
        <f ca="1">SQRT($B$9)*_xlfn.STDEV.S(AI1262:OFFSET(AI1262,$B$6-1,0))</f>
        <v>#DIV/0!</v>
      </c>
      <c r="AL1262" s="4" t="e">
        <f ca="1">SQRT($B$9)*_xlfn.STDEV.S(AI1262:OFFSET(AI1262,$B$7-1,0))</f>
        <v>#DIV/0!</v>
      </c>
      <c r="AM1262" s="4" t="e">
        <f ca="1">SQRT($B$9)*_xlfn.STDEV.S(AI1262:OFFSET(AI1262,$B$8-1,0))</f>
        <v>#DIV/0!</v>
      </c>
    </row>
    <row r="1263" spans="11:39" x14ac:dyDescent="0.2">
      <c r="K1263" s="3" t="e">
        <f t="shared" si="104"/>
        <v>#DIV/0!</v>
      </c>
      <c r="L1263" s="3" t="e">
        <f ca="1">SQRT(AVERAGE(K1263:OFFSET(K1263,$B$5-1,0))*$B$9/(4*LN(2)))</f>
        <v>#DIV/0!</v>
      </c>
      <c r="M1263" s="3" t="e">
        <f ca="1">SQRT(AVERAGE(K1263:OFFSET(K1263,$B$6-1,0))*$B$9/(4*LN(2)))</f>
        <v>#DIV/0!</v>
      </c>
      <c r="N1263" s="3" t="e">
        <f ca="1">SQRT(AVERAGE(K1263:OFFSET(K1263,$B$7-1,0))*$B$9/(4*LN(2)))</f>
        <v>#DIV/0!</v>
      </c>
      <c r="O1263" s="3" t="e">
        <f ca="1">SQRT(AVERAGE(K1263:OFFSET(K1263,$B$8-1,0))*$B$9/(4*LN(2)))</f>
        <v>#DIV/0!</v>
      </c>
      <c r="Q1263" s="5" t="e">
        <f t="shared" si="103"/>
        <v>#DIV/0!</v>
      </c>
      <c r="R1263" s="5" t="e">
        <f ca="1">SQRT($B$9*AVERAGE((Q1263:OFFSET(Q1263,$B$5-1,0))))</f>
        <v>#DIV/0!</v>
      </c>
      <c r="S1263" s="5" t="e">
        <f ca="1">SQRT($B$9*AVERAGE((Q1263:OFFSET(Q1263,$B$6-1,0))))</f>
        <v>#DIV/0!</v>
      </c>
      <c r="T1263" s="5" t="e">
        <f ca="1">SQRT($B$9*AVERAGE((Q1263:OFFSET(Q1263,$B$7-1,0))))</f>
        <v>#DIV/0!</v>
      </c>
      <c r="U1263" s="5" t="e">
        <f ca="1">SQRT($B$9*AVERAGE((Q1263:OFFSET(Q1263,$B$8-1,0))))</f>
        <v>#DIV/0!</v>
      </c>
      <c r="W1263" s="6" t="e">
        <f t="shared" si="107"/>
        <v>#DIV/0!</v>
      </c>
      <c r="X1263" s="6" t="e">
        <f ca="1">SQRT($B$9*AVERAGE(W1263:OFFSET(W1263,$B$5-1,0)))</f>
        <v>#DIV/0!</v>
      </c>
      <c r="Y1263" s="6" t="e">
        <f ca="1">SQRT($B$9*AVERAGE(W1263:OFFSET(W1263,$B$6-1,0)))</f>
        <v>#DIV/0!</v>
      </c>
      <c r="Z1263" s="6" t="e">
        <f ca="1">SQRT($B$9*AVERAGE(W1263:OFFSET(W1263,$B$7-1,0)))</f>
        <v>#DIV/0!</v>
      </c>
      <c r="AA1263" s="6" t="e">
        <f ca="1">SQRT($B$9*AVERAGE(W1263:OFFSET(W1263,$B$8-1,0)))</f>
        <v>#DIV/0!</v>
      </c>
      <c r="AC1263" s="34" t="e">
        <f t="shared" si="105"/>
        <v>#DIV/0!</v>
      </c>
      <c r="AD1263" s="34" t="e">
        <f ca="1">SQRT($B$9*SUM(AC1263:OFFSET(AC1263,$B$5-1,0))/($B$5-1))</f>
        <v>#DIV/0!</v>
      </c>
      <c r="AE1263" s="34" t="e">
        <f ca="1">SQRT($B$9*SUM(AC1263:OFFSET(AC1263,$B$6-1,0))/($B$6-1))</f>
        <v>#DIV/0!</v>
      </c>
      <c r="AF1263" s="34" t="e">
        <f ca="1">SQRT($B$9*SUM(AC1263:OFFSET(AC1263,$B$7-1,0))/($B$7-1))</f>
        <v>#DIV/0!</v>
      </c>
      <c r="AG1263" s="34" t="e">
        <f ca="1">SQRT($B$9*SUM(AC1263:OFFSET(AC1263,$B$8-1,0))/($B$8-1))</f>
        <v>#DIV/0!</v>
      </c>
      <c r="AI1263" s="1" t="e">
        <f t="shared" si="106"/>
        <v>#DIV/0!</v>
      </c>
      <c r="AJ1263" s="4" t="e">
        <f ca="1">SQRT($B$9)*_xlfn.STDEV.S(AI1263:OFFSET(AI1263,$B$5-1,0))</f>
        <v>#DIV/0!</v>
      </c>
      <c r="AK1263" s="4" t="e">
        <f ca="1">SQRT($B$9)*_xlfn.STDEV.S(AI1263:OFFSET(AI1263,$B$6-1,0))</f>
        <v>#DIV/0!</v>
      </c>
      <c r="AL1263" s="4" t="e">
        <f ca="1">SQRT($B$9)*_xlfn.STDEV.S(AI1263:OFFSET(AI1263,$B$7-1,0))</f>
        <v>#DIV/0!</v>
      </c>
      <c r="AM1263" s="4" t="e">
        <f ca="1">SQRT($B$9)*_xlfn.STDEV.S(AI1263:OFFSET(AI1263,$B$8-1,0))</f>
        <v>#DIV/0!</v>
      </c>
    </row>
    <row r="1264" spans="11:39" x14ac:dyDescent="0.2">
      <c r="K1264" s="3" t="e">
        <f t="shared" si="104"/>
        <v>#DIV/0!</v>
      </c>
      <c r="L1264" s="3" t="e">
        <f ca="1">SQRT(AVERAGE(K1264:OFFSET(K1264,$B$5-1,0))*$B$9/(4*LN(2)))</f>
        <v>#DIV/0!</v>
      </c>
      <c r="M1264" s="3" t="e">
        <f ca="1">SQRT(AVERAGE(K1264:OFFSET(K1264,$B$6-1,0))*$B$9/(4*LN(2)))</f>
        <v>#DIV/0!</v>
      </c>
      <c r="N1264" s="3" t="e">
        <f ca="1">SQRT(AVERAGE(K1264:OFFSET(K1264,$B$7-1,0))*$B$9/(4*LN(2)))</f>
        <v>#DIV/0!</v>
      </c>
      <c r="O1264" s="3" t="e">
        <f ca="1">SQRT(AVERAGE(K1264:OFFSET(K1264,$B$8-1,0))*$B$9/(4*LN(2)))</f>
        <v>#DIV/0!</v>
      </c>
      <c r="Q1264" s="5" t="e">
        <f t="shared" si="103"/>
        <v>#DIV/0!</v>
      </c>
      <c r="R1264" s="5" t="e">
        <f ca="1">SQRT($B$9*AVERAGE((Q1264:OFFSET(Q1264,$B$5-1,0))))</f>
        <v>#DIV/0!</v>
      </c>
      <c r="S1264" s="5" t="e">
        <f ca="1">SQRT($B$9*AVERAGE((Q1264:OFFSET(Q1264,$B$6-1,0))))</f>
        <v>#DIV/0!</v>
      </c>
      <c r="T1264" s="5" t="e">
        <f ca="1">SQRT($B$9*AVERAGE((Q1264:OFFSET(Q1264,$B$7-1,0))))</f>
        <v>#DIV/0!</v>
      </c>
      <c r="U1264" s="5" t="e">
        <f ca="1">SQRT($B$9*AVERAGE((Q1264:OFFSET(Q1264,$B$8-1,0))))</f>
        <v>#DIV/0!</v>
      </c>
      <c r="W1264" s="6" t="e">
        <f t="shared" si="107"/>
        <v>#DIV/0!</v>
      </c>
      <c r="X1264" s="6" t="e">
        <f ca="1">SQRT($B$9*AVERAGE(W1264:OFFSET(W1264,$B$5-1,0)))</f>
        <v>#DIV/0!</v>
      </c>
      <c r="Y1264" s="6" t="e">
        <f ca="1">SQRT($B$9*AVERAGE(W1264:OFFSET(W1264,$B$6-1,0)))</f>
        <v>#DIV/0!</v>
      </c>
      <c r="Z1264" s="6" t="e">
        <f ca="1">SQRT($B$9*AVERAGE(W1264:OFFSET(W1264,$B$7-1,0)))</f>
        <v>#DIV/0!</v>
      </c>
      <c r="AA1264" s="6" t="e">
        <f ca="1">SQRT($B$9*AVERAGE(W1264:OFFSET(W1264,$B$8-1,0)))</f>
        <v>#DIV/0!</v>
      </c>
      <c r="AC1264" s="34" t="e">
        <f t="shared" si="105"/>
        <v>#DIV/0!</v>
      </c>
      <c r="AD1264" s="34" t="e">
        <f ca="1">SQRT($B$9*SUM(AC1264:OFFSET(AC1264,$B$5-1,0))/($B$5-1))</f>
        <v>#DIV/0!</v>
      </c>
      <c r="AE1264" s="34" t="e">
        <f ca="1">SQRT($B$9*SUM(AC1264:OFFSET(AC1264,$B$6-1,0))/($B$6-1))</f>
        <v>#DIV/0!</v>
      </c>
      <c r="AF1264" s="34" t="e">
        <f ca="1">SQRT($B$9*SUM(AC1264:OFFSET(AC1264,$B$7-1,0))/($B$7-1))</f>
        <v>#DIV/0!</v>
      </c>
      <c r="AG1264" s="34" t="e">
        <f ca="1">SQRT($B$9*SUM(AC1264:OFFSET(AC1264,$B$8-1,0))/($B$8-1))</f>
        <v>#DIV/0!</v>
      </c>
      <c r="AI1264" s="1" t="e">
        <f t="shared" si="106"/>
        <v>#DIV/0!</v>
      </c>
      <c r="AJ1264" s="4" t="e">
        <f ca="1">SQRT($B$9)*_xlfn.STDEV.S(AI1264:OFFSET(AI1264,$B$5-1,0))</f>
        <v>#DIV/0!</v>
      </c>
      <c r="AK1264" s="4" t="e">
        <f ca="1">SQRT($B$9)*_xlfn.STDEV.S(AI1264:OFFSET(AI1264,$B$6-1,0))</f>
        <v>#DIV/0!</v>
      </c>
      <c r="AL1264" s="4" t="e">
        <f ca="1">SQRT($B$9)*_xlfn.STDEV.S(AI1264:OFFSET(AI1264,$B$7-1,0))</f>
        <v>#DIV/0!</v>
      </c>
      <c r="AM1264" s="4" t="e">
        <f ca="1">SQRT($B$9)*_xlfn.STDEV.S(AI1264:OFFSET(AI1264,$B$8-1,0))</f>
        <v>#DIV/0!</v>
      </c>
    </row>
    <row r="1265" spans="11:39" x14ac:dyDescent="0.2">
      <c r="K1265" s="3" t="e">
        <f t="shared" si="104"/>
        <v>#DIV/0!</v>
      </c>
      <c r="L1265" s="3" t="e">
        <f ca="1">SQRT(AVERAGE(K1265:OFFSET(K1265,$B$5-1,0))*$B$9/(4*LN(2)))</f>
        <v>#DIV/0!</v>
      </c>
      <c r="M1265" s="3" t="e">
        <f ca="1">SQRT(AVERAGE(K1265:OFFSET(K1265,$B$6-1,0))*$B$9/(4*LN(2)))</f>
        <v>#DIV/0!</v>
      </c>
      <c r="N1265" s="3" t="e">
        <f ca="1">SQRT(AVERAGE(K1265:OFFSET(K1265,$B$7-1,0))*$B$9/(4*LN(2)))</f>
        <v>#DIV/0!</v>
      </c>
      <c r="O1265" s="3" t="e">
        <f ca="1">SQRT(AVERAGE(K1265:OFFSET(K1265,$B$8-1,0))*$B$9/(4*LN(2)))</f>
        <v>#DIV/0!</v>
      </c>
      <c r="Q1265" s="5" t="e">
        <f t="shared" si="103"/>
        <v>#DIV/0!</v>
      </c>
      <c r="R1265" s="5" t="e">
        <f ca="1">SQRT($B$9*AVERAGE((Q1265:OFFSET(Q1265,$B$5-1,0))))</f>
        <v>#DIV/0!</v>
      </c>
      <c r="S1265" s="5" t="e">
        <f ca="1">SQRT($B$9*AVERAGE((Q1265:OFFSET(Q1265,$B$6-1,0))))</f>
        <v>#DIV/0!</v>
      </c>
      <c r="T1265" s="5" t="e">
        <f ca="1">SQRT($B$9*AVERAGE((Q1265:OFFSET(Q1265,$B$7-1,0))))</f>
        <v>#DIV/0!</v>
      </c>
      <c r="U1265" s="5" t="e">
        <f ca="1">SQRT($B$9*AVERAGE((Q1265:OFFSET(Q1265,$B$8-1,0))))</f>
        <v>#DIV/0!</v>
      </c>
      <c r="W1265" s="6" t="e">
        <f t="shared" si="107"/>
        <v>#DIV/0!</v>
      </c>
      <c r="X1265" s="6" t="e">
        <f ca="1">SQRT($B$9*AVERAGE(W1265:OFFSET(W1265,$B$5-1,0)))</f>
        <v>#DIV/0!</v>
      </c>
      <c r="Y1265" s="6" t="e">
        <f ca="1">SQRT($B$9*AVERAGE(W1265:OFFSET(W1265,$B$6-1,0)))</f>
        <v>#DIV/0!</v>
      </c>
      <c r="Z1265" s="6" t="e">
        <f ca="1">SQRT($B$9*AVERAGE(W1265:OFFSET(W1265,$B$7-1,0)))</f>
        <v>#DIV/0!</v>
      </c>
      <c r="AA1265" s="6" t="e">
        <f ca="1">SQRT($B$9*AVERAGE(W1265:OFFSET(W1265,$B$8-1,0)))</f>
        <v>#DIV/0!</v>
      </c>
      <c r="AC1265" s="34" t="e">
        <f t="shared" si="105"/>
        <v>#DIV/0!</v>
      </c>
      <c r="AD1265" s="34" t="e">
        <f ca="1">SQRT($B$9*SUM(AC1265:OFFSET(AC1265,$B$5-1,0))/($B$5-1))</f>
        <v>#DIV/0!</v>
      </c>
      <c r="AE1265" s="34" t="e">
        <f ca="1">SQRT($B$9*SUM(AC1265:OFFSET(AC1265,$B$6-1,0))/($B$6-1))</f>
        <v>#DIV/0!</v>
      </c>
      <c r="AF1265" s="34" t="e">
        <f ca="1">SQRT($B$9*SUM(AC1265:OFFSET(AC1265,$B$7-1,0))/($B$7-1))</f>
        <v>#DIV/0!</v>
      </c>
      <c r="AG1265" s="34" t="e">
        <f ca="1">SQRT($B$9*SUM(AC1265:OFFSET(AC1265,$B$8-1,0))/($B$8-1))</f>
        <v>#DIV/0!</v>
      </c>
      <c r="AI1265" s="1" t="e">
        <f t="shared" si="106"/>
        <v>#DIV/0!</v>
      </c>
      <c r="AJ1265" s="4" t="e">
        <f ca="1">SQRT($B$9)*_xlfn.STDEV.S(AI1265:OFFSET(AI1265,$B$5-1,0))</f>
        <v>#DIV/0!</v>
      </c>
      <c r="AK1265" s="4" t="e">
        <f ca="1">SQRT($B$9)*_xlfn.STDEV.S(AI1265:OFFSET(AI1265,$B$6-1,0))</f>
        <v>#DIV/0!</v>
      </c>
      <c r="AL1265" s="4" t="e">
        <f ca="1">SQRT($B$9)*_xlfn.STDEV.S(AI1265:OFFSET(AI1265,$B$7-1,0))</f>
        <v>#DIV/0!</v>
      </c>
      <c r="AM1265" s="4" t="e">
        <f ca="1">SQRT($B$9)*_xlfn.STDEV.S(AI1265:OFFSET(AI1265,$B$8-1,0))</f>
        <v>#DIV/0!</v>
      </c>
    </row>
    <row r="1266" spans="11:39" x14ac:dyDescent="0.2">
      <c r="K1266" s="3" t="e">
        <f t="shared" si="104"/>
        <v>#DIV/0!</v>
      </c>
      <c r="L1266" s="3" t="e">
        <f ca="1">SQRT(AVERAGE(K1266:OFFSET(K1266,$B$5-1,0))*$B$9/(4*LN(2)))</f>
        <v>#DIV/0!</v>
      </c>
      <c r="M1266" s="3" t="e">
        <f ca="1">SQRT(AVERAGE(K1266:OFFSET(K1266,$B$6-1,0))*$B$9/(4*LN(2)))</f>
        <v>#DIV/0!</v>
      </c>
      <c r="N1266" s="3" t="e">
        <f ca="1">SQRT(AVERAGE(K1266:OFFSET(K1266,$B$7-1,0))*$B$9/(4*LN(2)))</f>
        <v>#DIV/0!</v>
      </c>
      <c r="O1266" s="3" t="e">
        <f ca="1">SQRT(AVERAGE(K1266:OFFSET(K1266,$B$8-1,0))*$B$9/(4*LN(2)))</f>
        <v>#DIV/0!</v>
      </c>
      <c r="Q1266" s="5" t="e">
        <f t="shared" si="103"/>
        <v>#DIV/0!</v>
      </c>
      <c r="R1266" s="5" t="e">
        <f ca="1">SQRT($B$9*AVERAGE((Q1266:OFFSET(Q1266,$B$5-1,0))))</f>
        <v>#DIV/0!</v>
      </c>
      <c r="S1266" s="5" t="e">
        <f ca="1">SQRT($B$9*AVERAGE((Q1266:OFFSET(Q1266,$B$6-1,0))))</f>
        <v>#DIV/0!</v>
      </c>
      <c r="T1266" s="5" t="e">
        <f ca="1">SQRT($B$9*AVERAGE((Q1266:OFFSET(Q1266,$B$7-1,0))))</f>
        <v>#DIV/0!</v>
      </c>
      <c r="U1266" s="5" t="e">
        <f ca="1">SQRT($B$9*AVERAGE((Q1266:OFFSET(Q1266,$B$8-1,0))))</f>
        <v>#DIV/0!</v>
      </c>
      <c r="W1266" s="6" t="e">
        <f t="shared" si="107"/>
        <v>#DIV/0!</v>
      </c>
      <c r="X1266" s="6" t="e">
        <f ca="1">SQRT($B$9*AVERAGE(W1266:OFFSET(W1266,$B$5-1,0)))</f>
        <v>#DIV/0!</v>
      </c>
      <c r="Y1266" s="6" t="e">
        <f ca="1">SQRT($B$9*AVERAGE(W1266:OFFSET(W1266,$B$6-1,0)))</f>
        <v>#DIV/0!</v>
      </c>
      <c r="Z1266" s="6" t="e">
        <f ca="1">SQRT($B$9*AVERAGE(W1266:OFFSET(W1266,$B$7-1,0)))</f>
        <v>#DIV/0!</v>
      </c>
      <c r="AA1266" s="6" t="e">
        <f ca="1">SQRT($B$9*AVERAGE(W1266:OFFSET(W1266,$B$8-1,0)))</f>
        <v>#DIV/0!</v>
      </c>
      <c r="AC1266" s="34" t="e">
        <f t="shared" si="105"/>
        <v>#DIV/0!</v>
      </c>
      <c r="AD1266" s="34" t="e">
        <f ca="1">SQRT($B$9*SUM(AC1266:OFFSET(AC1266,$B$5-1,0))/($B$5-1))</f>
        <v>#DIV/0!</v>
      </c>
      <c r="AE1266" s="34" t="e">
        <f ca="1">SQRT($B$9*SUM(AC1266:OFFSET(AC1266,$B$6-1,0))/($B$6-1))</f>
        <v>#DIV/0!</v>
      </c>
      <c r="AF1266" s="34" t="e">
        <f ca="1">SQRT($B$9*SUM(AC1266:OFFSET(AC1266,$B$7-1,0))/($B$7-1))</f>
        <v>#DIV/0!</v>
      </c>
      <c r="AG1266" s="34" t="e">
        <f ca="1">SQRT($B$9*SUM(AC1266:OFFSET(AC1266,$B$8-1,0))/($B$8-1))</f>
        <v>#DIV/0!</v>
      </c>
      <c r="AI1266" s="1" t="e">
        <f t="shared" si="106"/>
        <v>#DIV/0!</v>
      </c>
      <c r="AJ1266" s="4" t="e">
        <f ca="1">SQRT($B$9)*_xlfn.STDEV.S(AI1266:OFFSET(AI1266,$B$5-1,0))</f>
        <v>#DIV/0!</v>
      </c>
      <c r="AK1266" s="4" t="e">
        <f ca="1">SQRT($B$9)*_xlfn.STDEV.S(AI1266:OFFSET(AI1266,$B$6-1,0))</f>
        <v>#DIV/0!</v>
      </c>
      <c r="AL1266" s="4" t="e">
        <f ca="1">SQRT($B$9)*_xlfn.STDEV.S(AI1266:OFFSET(AI1266,$B$7-1,0))</f>
        <v>#DIV/0!</v>
      </c>
      <c r="AM1266" s="4" t="e">
        <f ca="1">SQRT($B$9)*_xlfn.STDEV.S(AI1266:OFFSET(AI1266,$B$8-1,0))</f>
        <v>#DIV/0!</v>
      </c>
    </row>
    <row r="1267" spans="11:39" x14ac:dyDescent="0.2">
      <c r="K1267" s="3" t="e">
        <f t="shared" si="104"/>
        <v>#DIV/0!</v>
      </c>
      <c r="L1267" s="3" t="e">
        <f ca="1">SQRT(AVERAGE(K1267:OFFSET(K1267,$B$5-1,0))*$B$9/(4*LN(2)))</f>
        <v>#DIV/0!</v>
      </c>
      <c r="M1267" s="3" t="e">
        <f ca="1">SQRT(AVERAGE(K1267:OFFSET(K1267,$B$6-1,0))*$B$9/(4*LN(2)))</f>
        <v>#DIV/0!</v>
      </c>
      <c r="N1267" s="3" t="e">
        <f ca="1">SQRT(AVERAGE(K1267:OFFSET(K1267,$B$7-1,0))*$B$9/(4*LN(2)))</f>
        <v>#DIV/0!</v>
      </c>
      <c r="O1267" s="3" t="e">
        <f ca="1">SQRT(AVERAGE(K1267:OFFSET(K1267,$B$8-1,0))*$B$9/(4*LN(2)))</f>
        <v>#DIV/0!</v>
      </c>
      <c r="Q1267" s="5" t="e">
        <f t="shared" si="103"/>
        <v>#DIV/0!</v>
      </c>
      <c r="R1267" s="5" t="e">
        <f ca="1">SQRT($B$9*AVERAGE((Q1267:OFFSET(Q1267,$B$5-1,0))))</f>
        <v>#DIV/0!</v>
      </c>
      <c r="S1267" s="5" t="e">
        <f ca="1">SQRT($B$9*AVERAGE((Q1267:OFFSET(Q1267,$B$6-1,0))))</f>
        <v>#DIV/0!</v>
      </c>
      <c r="T1267" s="5" t="e">
        <f ca="1">SQRT($B$9*AVERAGE((Q1267:OFFSET(Q1267,$B$7-1,0))))</f>
        <v>#DIV/0!</v>
      </c>
      <c r="U1267" s="5" t="e">
        <f ca="1">SQRT($B$9*AVERAGE((Q1267:OFFSET(Q1267,$B$8-1,0))))</f>
        <v>#DIV/0!</v>
      </c>
      <c r="W1267" s="6" t="e">
        <f t="shared" si="107"/>
        <v>#DIV/0!</v>
      </c>
      <c r="X1267" s="6" t="e">
        <f ca="1">SQRT($B$9*AVERAGE(W1267:OFFSET(W1267,$B$5-1,0)))</f>
        <v>#DIV/0!</v>
      </c>
      <c r="Y1267" s="6" t="e">
        <f ca="1">SQRT($B$9*AVERAGE(W1267:OFFSET(W1267,$B$6-1,0)))</f>
        <v>#DIV/0!</v>
      </c>
      <c r="Z1267" s="6" t="e">
        <f ca="1">SQRT($B$9*AVERAGE(W1267:OFFSET(W1267,$B$7-1,0)))</f>
        <v>#DIV/0!</v>
      </c>
      <c r="AA1267" s="6" t="e">
        <f ca="1">SQRT($B$9*AVERAGE(W1267:OFFSET(W1267,$B$8-1,0)))</f>
        <v>#DIV/0!</v>
      </c>
      <c r="AC1267" s="34" t="e">
        <f t="shared" si="105"/>
        <v>#DIV/0!</v>
      </c>
      <c r="AD1267" s="34" t="e">
        <f ca="1">SQRT($B$9*SUM(AC1267:OFFSET(AC1267,$B$5-1,0))/($B$5-1))</f>
        <v>#DIV/0!</v>
      </c>
      <c r="AE1267" s="34" t="e">
        <f ca="1">SQRT($B$9*SUM(AC1267:OFFSET(AC1267,$B$6-1,0))/($B$6-1))</f>
        <v>#DIV/0!</v>
      </c>
      <c r="AF1267" s="34" t="e">
        <f ca="1">SQRT($B$9*SUM(AC1267:OFFSET(AC1267,$B$7-1,0))/($B$7-1))</f>
        <v>#DIV/0!</v>
      </c>
      <c r="AG1267" s="34" t="e">
        <f ca="1">SQRT($B$9*SUM(AC1267:OFFSET(AC1267,$B$8-1,0))/($B$8-1))</f>
        <v>#DIV/0!</v>
      </c>
      <c r="AI1267" s="1" t="e">
        <f t="shared" si="106"/>
        <v>#DIV/0!</v>
      </c>
      <c r="AJ1267" s="4" t="e">
        <f ca="1">SQRT($B$9)*_xlfn.STDEV.S(AI1267:OFFSET(AI1267,$B$5-1,0))</f>
        <v>#DIV/0!</v>
      </c>
      <c r="AK1267" s="4" t="e">
        <f ca="1">SQRT($B$9)*_xlfn.STDEV.S(AI1267:OFFSET(AI1267,$B$6-1,0))</f>
        <v>#DIV/0!</v>
      </c>
      <c r="AL1267" s="4" t="e">
        <f ca="1">SQRT($B$9)*_xlfn.STDEV.S(AI1267:OFFSET(AI1267,$B$7-1,0))</f>
        <v>#DIV/0!</v>
      </c>
      <c r="AM1267" s="4" t="e">
        <f ca="1">SQRT($B$9)*_xlfn.STDEV.S(AI1267:OFFSET(AI1267,$B$8-1,0))</f>
        <v>#DIV/0!</v>
      </c>
    </row>
    <row r="1268" spans="11:39" x14ac:dyDescent="0.2">
      <c r="K1268" s="3" t="e">
        <f t="shared" si="104"/>
        <v>#DIV/0!</v>
      </c>
      <c r="L1268" s="3" t="e">
        <f ca="1">SQRT(AVERAGE(K1268:OFFSET(K1268,$B$5-1,0))*$B$9/(4*LN(2)))</f>
        <v>#DIV/0!</v>
      </c>
      <c r="M1268" s="3" t="e">
        <f ca="1">SQRT(AVERAGE(K1268:OFFSET(K1268,$B$6-1,0))*$B$9/(4*LN(2)))</f>
        <v>#DIV/0!</v>
      </c>
      <c r="N1268" s="3" t="e">
        <f ca="1">SQRT(AVERAGE(K1268:OFFSET(K1268,$B$7-1,0))*$B$9/(4*LN(2)))</f>
        <v>#DIV/0!</v>
      </c>
      <c r="O1268" s="3" t="e">
        <f ca="1">SQRT(AVERAGE(K1268:OFFSET(K1268,$B$8-1,0))*$B$9/(4*LN(2)))</f>
        <v>#DIV/0!</v>
      </c>
      <c r="Q1268" s="5" t="e">
        <f t="shared" si="103"/>
        <v>#DIV/0!</v>
      </c>
      <c r="R1268" s="5" t="e">
        <f ca="1">SQRT($B$9*AVERAGE((Q1268:OFFSET(Q1268,$B$5-1,0))))</f>
        <v>#DIV/0!</v>
      </c>
      <c r="S1268" s="5" t="e">
        <f ca="1">SQRT($B$9*AVERAGE((Q1268:OFFSET(Q1268,$B$6-1,0))))</f>
        <v>#DIV/0!</v>
      </c>
      <c r="T1268" s="5" t="e">
        <f ca="1">SQRT($B$9*AVERAGE((Q1268:OFFSET(Q1268,$B$7-1,0))))</f>
        <v>#DIV/0!</v>
      </c>
      <c r="U1268" s="5" t="e">
        <f ca="1">SQRT($B$9*AVERAGE((Q1268:OFFSET(Q1268,$B$8-1,0))))</f>
        <v>#DIV/0!</v>
      </c>
      <c r="W1268" s="6" t="e">
        <f t="shared" si="107"/>
        <v>#DIV/0!</v>
      </c>
      <c r="X1268" s="6" t="e">
        <f ca="1">SQRT($B$9*AVERAGE(W1268:OFFSET(W1268,$B$5-1,0)))</f>
        <v>#DIV/0!</v>
      </c>
      <c r="Y1268" s="6" t="e">
        <f ca="1">SQRT($B$9*AVERAGE(W1268:OFFSET(W1268,$B$6-1,0)))</f>
        <v>#DIV/0!</v>
      </c>
      <c r="Z1268" s="6" t="e">
        <f ca="1">SQRT($B$9*AVERAGE(W1268:OFFSET(W1268,$B$7-1,0)))</f>
        <v>#DIV/0!</v>
      </c>
      <c r="AA1268" s="6" t="e">
        <f ca="1">SQRT($B$9*AVERAGE(W1268:OFFSET(W1268,$B$8-1,0)))</f>
        <v>#DIV/0!</v>
      </c>
      <c r="AC1268" s="34" t="e">
        <f t="shared" si="105"/>
        <v>#DIV/0!</v>
      </c>
      <c r="AD1268" s="34" t="e">
        <f ca="1">SQRT($B$9*SUM(AC1268:OFFSET(AC1268,$B$5-1,0))/($B$5-1))</f>
        <v>#DIV/0!</v>
      </c>
      <c r="AE1268" s="34" t="e">
        <f ca="1">SQRT($B$9*SUM(AC1268:OFFSET(AC1268,$B$6-1,0))/($B$6-1))</f>
        <v>#DIV/0!</v>
      </c>
      <c r="AF1268" s="34" t="e">
        <f ca="1">SQRT($B$9*SUM(AC1268:OFFSET(AC1268,$B$7-1,0))/($B$7-1))</f>
        <v>#DIV/0!</v>
      </c>
      <c r="AG1268" s="34" t="e">
        <f ca="1">SQRT($B$9*SUM(AC1268:OFFSET(AC1268,$B$8-1,0))/($B$8-1))</f>
        <v>#DIV/0!</v>
      </c>
      <c r="AI1268" s="1" t="e">
        <f t="shared" si="106"/>
        <v>#DIV/0!</v>
      </c>
      <c r="AJ1268" s="4" t="e">
        <f ca="1">SQRT($B$9)*_xlfn.STDEV.S(AI1268:OFFSET(AI1268,$B$5-1,0))</f>
        <v>#DIV/0!</v>
      </c>
      <c r="AK1268" s="4" t="e">
        <f ca="1">SQRT($B$9)*_xlfn.STDEV.S(AI1268:OFFSET(AI1268,$B$6-1,0))</f>
        <v>#DIV/0!</v>
      </c>
      <c r="AL1268" s="4" t="e">
        <f ca="1">SQRT($B$9)*_xlfn.STDEV.S(AI1268:OFFSET(AI1268,$B$7-1,0))</f>
        <v>#DIV/0!</v>
      </c>
      <c r="AM1268" s="4" t="e">
        <f ca="1">SQRT($B$9)*_xlfn.STDEV.S(AI1268:OFFSET(AI1268,$B$8-1,0))</f>
        <v>#DIV/0!</v>
      </c>
    </row>
    <row r="1269" spans="11:39" x14ac:dyDescent="0.2">
      <c r="K1269" s="3" t="e">
        <f t="shared" si="104"/>
        <v>#DIV/0!</v>
      </c>
      <c r="L1269" s="3" t="e">
        <f ca="1">SQRT(AVERAGE(K1269:OFFSET(K1269,$B$5-1,0))*$B$9/(4*LN(2)))</f>
        <v>#DIV/0!</v>
      </c>
      <c r="M1269" s="3" t="e">
        <f ca="1">SQRT(AVERAGE(K1269:OFFSET(K1269,$B$6-1,0))*$B$9/(4*LN(2)))</f>
        <v>#DIV/0!</v>
      </c>
      <c r="N1269" s="3" t="e">
        <f ca="1">SQRT(AVERAGE(K1269:OFFSET(K1269,$B$7-1,0))*$B$9/(4*LN(2)))</f>
        <v>#DIV/0!</v>
      </c>
      <c r="O1269" s="3" t="e">
        <f ca="1">SQRT(AVERAGE(K1269:OFFSET(K1269,$B$8-1,0))*$B$9/(4*LN(2)))</f>
        <v>#DIV/0!</v>
      </c>
      <c r="Q1269" s="5" t="e">
        <f t="shared" si="103"/>
        <v>#DIV/0!</v>
      </c>
      <c r="R1269" s="5" t="e">
        <f ca="1">SQRT($B$9*AVERAGE((Q1269:OFFSET(Q1269,$B$5-1,0))))</f>
        <v>#DIV/0!</v>
      </c>
      <c r="S1269" s="5" t="e">
        <f ca="1">SQRT($B$9*AVERAGE((Q1269:OFFSET(Q1269,$B$6-1,0))))</f>
        <v>#DIV/0!</v>
      </c>
      <c r="T1269" s="5" t="e">
        <f ca="1">SQRT($B$9*AVERAGE((Q1269:OFFSET(Q1269,$B$7-1,0))))</f>
        <v>#DIV/0!</v>
      </c>
      <c r="U1269" s="5" t="e">
        <f ca="1">SQRT($B$9*AVERAGE((Q1269:OFFSET(Q1269,$B$8-1,0))))</f>
        <v>#DIV/0!</v>
      </c>
      <c r="W1269" s="6" t="e">
        <f t="shared" si="107"/>
        <v>#DIV/0!</v>
      </c>
      <c r="X1269" s="6" t="e">
        <f ca="1">SQRT($B$9*AVERAGE(W1269:OFFSET(W1269,$B$5-1,0)))</f>
        <v>#DIV/0!</v>
      </c>
      <c r="Y1269" s="6" t="e">
        <f ca="1">SQRT($B$9*AVERAGE(W1269:OFFSET(W1269,$B$6-1,0)))</f>
        <v>#DIV/0!</v>
      </c>
      <c r="Z1269" s="6" t="e">
        <f ca="1">SQRT($B$9*AVERAGE(W1269:OFFSET(W1269,$B$7-1,0)))</f>
        <v>#DIV/0!</v>
      </c>
      <c r="AA1269" s="6" t="e">
        <f ca="1">SQRT($B$9*AVERAGE(W1269:OFFSET(W1269,$B$8-1,0)))</f>
        <v>#DIV/0!</v>
      </c>
      <c r="AC1269" s="34" t="e">
        <f t="shared" si="105"/>
        <v>#DIV/0!</v>
      </c>
      <c r="AD1269" s="34" t="e">
        <f ca="1">SQRT($B$9*SUM(AC1269:OFFSET(AC1269,$B$5-1,0))/($B$5-1))</f>
        <v>#DIV/0!</v>
      </c>
      <c r="AE1269" s="34" t="e">
        <f ca="1">SQRT($B$9*SUM(AC1269:OFFSET(AC1269,$B$6-1,0))/($B$6-1))</f>
        <v>#DIV/0!</v>
      </c>
      <c r="AF1269" s="34" t="e">
        <f ca="1">SQRT($B$9*SUM(AC1269:OFFSET(AC1269,$B$7-1,0))/($B$7-1))</f>
        <v>#DIV/0!</v>
      </c>
      <c r="AG1269" s="34" t="e">
        <f ca="1">SQRT($B$9*SUM(AC1269:OFFSET(AC1269,$B$8-1,0))/($B$8-1))</f>
        <v>#DIV/0!</v>
      </c>
      <c r="AI1269" s="1" t="e">
        <f t="shared" si="106"/>
        <v>#DIV/0!</v>
      </c>
      <c r="AJ1269" s="4" t="e">
        <f ca="1">SQRT($B$9)*_xlfn.STDEV.S(AI1269:OFFSET(AI1269,$B$5-1,0))</f>
        <v>#DIV/0!</v>
      </c>
      <c r="AK1269" s="4" t="e">
        <f ca="1">SQRT($B$9)*_xlfn.STDEV.S(AI1269:OFFSET(AI1269,$B$6-1,0))</f>
        <v>#DIV/0!</v>
      </c>
      <c r="AL1269" s="4" t="e">
        <f ca="1">SQRT($B$9)*_xlfn.STDEV.S(AI1269:OFFSET(AI1269,$B$7-1,0))</f>
        <v>#DIV/0!</v>
      </c>
      <c r="AM1269" s="4" t="e">
        <f ca="1">SQRT($B$9)*_xlfn.STDEV.S(AI1269:OFFSET(AI1269,$B$8-1,0))</f>
        <v>#DIV/0!</v>
      </c>
    </row>
    <row r="1270" spans="11:39" x14ac:dyDescent="0.2">
      <c r="K1270" s="3" t="e">
        <f t="shared" si="104"/>
        <v>#DIV/0!</v>
      </c>
      <c r="L1270" s="3" t="e">
        <f ca="1">SQRT(AVERAGE(K1270:OFFSET(K1270,$B$5-1,0))*$B$9/(4*LN(2)))</f>
        <v>#DIV/0!</v>
      </c>
      <c r="M1270" s="3" t="e">
        <f ca="1">SQRT(AVERAGE(K1270:OFFSET(K1270,$B$6-1,0))*$B$9/(4*LN(2)))</f>
        <v>#DIV/0!</v>
      </c>
      <c r="N1270" s="3" t="e">
        <f ca="1">SQRT(AVERAGE(K1270:OFFSET(K1270,$B$7-1,0))*$B$9/(4*LN(2)))</f>
        <v>#DIV/0!</v>
      </c>
      <c r="O1270" s="3" t="e">
        <f ca="1">SQRT(AVERAGE(K1270:OFFSET(K1270,$B$8-1,0))*$B$9/(4*LN(2)))</f>
        <v>#DIV/0!</v>
      </c>
      <c r="Q1270" s="5" t="e">
        <f t="shared" si="103"/>
        <v>#DIV/0!</v>
      </c>
      <c r="R1270" s="5" t="e">
        <f ca="1">SQRT($B$9*AVERAGE((Q1270:OFFSET(Q1270,$B$5-1,0))))</f>
        <v>#DIV/0!</v>
      </c>
      <c r="S1270" s="5" t="e">
        <f ca="1">SQRT($B$9*AVERAGE((Q1270:OFFSET(Q1270,$B$6-1,0))))</f>
        <v>#DIV/0!</v>
      </c>
      <c r="T1270" s="5" t="e">
        <f ca="1">SQRT($B$9*AVERAGE((Q1270:OFFSET(Q1270,$B$7-1,0))))</f>
        <v>#DIV/0!</v>
      </c>
      <c r="U1270" s="5" t="e">
        <f ca="1">SQRT($B$9*AVERAGE((Q1270:OFFSET(Q1270,$B$8-1,0))))</f>
        <v>#DIV/0!</v>
      </c>
      <c r="W1270" s="6" t="e">
        <f t="shared" si="107"/>
        <v>#DIV/0!</v>
      </c>
      <c r="X1270" s="6" t="e">
        <f ca="1">SQRT($B$9*AVERAGE(W1270:OFFSET(W1270,$B$5-1,0)))</f>
        <v>#DIV/0!</v>
      </c>
      <c r="Y1270" s="6" t="e">
        <f ca="1">SQRT($B$9*AVERAGE(W1270:OFFSET(W1270,$B$6-1,0)))</f>
        <v>#DIV/0!</v>
      </c>
      <c r="Z1270" s="6" t="e">
        <f ca="1">SQRT($B$9*AVERAGE(W1270:OFFSET(W1270,$B$7-1,0)))</f>
        <v>#DIV/0!</v>
      </c>
      <c r="AA1270" s="6" t="e">
        <f ca="1">SQRT($B$9*AVERAGE(W1270:OFFSET(W1270,$B$8-1,0)))</f>
        <v>#DIV/0!</v>
      </c>
      <c r="AC1270" s="34" t="e">
        <f t="shared" si="105"/>
        <v>#DIV/0!</v>
      </c>
      <c r="AD1270" s="34" t="e">
        <f ca="1">SQRT($B$9*SUM(AC1270:OFFSET(AC1270,$B$5-1,0))/($B$5-1))</f>
        <v>#DIV/0!</v>
      </c>
      <c r="AE1270" s="34" t="e">
        <f ca="1">SQRT($B$9*SUM(AC1270:OFFSET(AC1270,$B$6-1,0))/($B$6-1))</f>
        <v>#DIV/0!</v>
      </c>
      <c r="AF1270" s="34" t="e">
        <f ca="1">SQRT($B$9*SUM(AC1270:OFFSET(AC1270,$B$7-1,0))/($B$7-1))</f>
        <v>#DIV/0!</v>
      </c>
      <c r="AG1270" s="34" t="e">
        <f ca="1">SQRT($B$9*SUM(AC1270:OFFSET(AC1270,$B$8-1,0))/($B$8-1))</f>
        <v>#DIV/0!</v>
      </c>
      <c r="AI1270" s="1" t="e">
        <f t="shared" si="106"/>
        <v>#DIV/0!</v>
      </c>
      <c r="AJ1270" s="4" t="e">
        <f ca="1">SQRT($B$9)*_xlfn.STDEV.S(AI1270:OFFSET(AI1270,$B$5-1,0))</f>
        <v>#DIV/0!</v>
      </c>
      <c r="AK1270" s="4" t="e">
        <f ca="1">SQRT($B$9)*_xlfn.STDEV.S(AI1270:OFFSET(AI1270,$B$6-1,0))</f>
        <v>#DIV/0!</v>
      </c>
      <c r="AL1270" s="4" t="e">
        <f ca="1">SQRT($B$9)*_xlfn.STDEV.S(AI1270:OFFSET(AI1270,$B$7-1,0))</f>
        <v>#DIV/0!</v>
      </c>
      <c r="AM1270" s="4" t="e">
        <f ca="1">SQRT($B$9)*_xlfn.STDEV.S(AI1270:OFFSET(AI1270,$B$8-1,0))</f>
        <v>#DIV/0!</v>
      </c>
    </row>
    <row r="1271" spans="11:39" x14ac:dyDescent="0.2">
      <c r="K1271" s="3" t="e">
        <f t="shared" si="104"/>
        <v>#DIV/0!</v>
      </c>
      <c r="L1271" s="3" t="e">
        <f ca="1">SQRT(AVERAGE(K1271:OFFSET(K1271,$B$5-1,0))*$B$9/(4*LN(2)))</f>
        <v>#DIV/0!</v>
      </c>
      <c r="M1271" s="3" t="e">
        <f ca="1">SQRT(AVERAGE(K1271:OFFSET(K1271,$B$6-1,0))*$B$9/(4*LN(2)))</f>
        <v>#DIV/0!</v>
      </c>
      <c r="N1271" s="3" t="e">
        <f ca="1">SQRT(AVERAGE(K1271:OFFSET(K1271,$B$7-1,0))*$B$9/(4*LN(2)))</f>
        <v>#DIV/0!</v>
      </c>
      <c r="O1271" s="3" t="e">
        <f ca="1">SQRT(AVERAGE(K1271:OFFSET(K1271,$B$8-1,0))*$B$9/(4*LN(2)))</f>
        <v>#DIV/0!</v>
      </c>
      <c r="Q1271" s="5" t="e">
        <f t="shared" si="103"/>
        <v>#DIV/0!</v>
      </c>
      <c r="R1271" s="5" t="e">
        <f ca="1">SQRT($B$9*AVERAGE((Q1271:OFFSET(Q1271,$B$5-1,0))))</f>
        <v>#DIV/0!</v>
      </c>
      <c r="S1271" s="5" t="e">
        <f ca="1">SQRT($B$9*AVERAGE((Q1271:OFFSET(Q1271,$B$6-1,0))))</f>
        <v>#DIV/0!</v>
      </c>
      <c r="T1271" s="5" t="e">
        <f ca="1">SQRT($B$9*AVERAGE((Q1271:OFFSET(Q1271,$B$7-1,0))))</f>
        <v>#DIV/0!</v>
      </c>
      <c r="U1271" s="5" t="e">
        <f ca="1">SQRT($B$9*AVERAGE((Q1271:OFFSET(Q1271,$B$8-1,0))))</f>
        <v>#DIV/0!</v>
      </c>
      <c r="W1271" s="6" t="e">
        <f t="shared" si="107"/>
        <v>#DIV/0!</v>
      </c>
      <c r="X1271" s="6" t="e">
        <f ca="1">SQRT($B$9*AVERAGE(W1271:OFFSET(W1271,$B$5-1,0)))</f>
        <v>#DIV/0!</v>
      </c>
      <c r="Y1271" s="6" t="e">
        <f ca="1">SQRT($B$9*AVERAGE(W1271:OFFSET(W1271,$B$6-1,0)))</f>
        <v>#DIV/0!</v>
      </c>
      <c r="Z1271" s="6" t="e">
        <f ca="1">SQRT($B$9*AVERAGE(W1271:OFFSET(W1271,$B$7-1,0)))</f>
        <v>#DIV/0!</v>
      </c>
      <c r="AA1271" s="6" t="e">
        <f ca="1">SQRT($B$9*AVERAGE(W1271:OFFSET(W1271,$B$8-1,0)))</f>
        <v>#DIV/0!</v>
      </c>
      <c r="AC1271" s="34" t="e">
        <f t="shared" si="105"/>
        <v>#DIV/0!</v>
      </c>
      <c r="AD1271" s="34" t="e">
        <f ca="1">SQRT($B$9*SUM(AC1271:OFFSET(AC1271,$B$5-1,0))/($B$5-1))</f>
        <v>#DIV/0!</v>
      </c>
      <c r="AE1271" s="34" t="e">
        <f ca="1">SQRT($B$9*SUM(AC1271:OFFSET(AC1271,$B$6-1,0))/($B$6-1))</f>
        <v>#DIV/0!</v>
      </c>
      <c r="AF1271" s="34" t="e">
        <f ca="1">SQRT($B$9*SUM(AC1271:OFFSET(AC1271,$B$7-1,0))/($B$7-1))</f>
        <v>#DIV/0!</v>
      </c>
      <c r="AG1271" s="34" t="e">
        <f ca="1">SQRT($B$9*SUM(AC1271:OFFSET(AC1271,$B$8-1,0))/($B$8-1))</f>
        <v>#DIV/0!</v>
      </c>
      <c r="AI1271" s="1" t="e">
        <f t="shared" si="106"/>
        <v>#DIV/0!</v>
      </c>
      <c r="AJ1271" s="4" t="e">
        <f ca="1">SQRT($B$9)*_xlfn.STDEV.S(AI1271:OFFSET(AI1271,$B$5-1,0))</f>
        <v>#DIV/0!</v>
      </c>
      <c r="AK1271" s="4" t="e">
        <f ca="1">SQRT($B$9)*_xlfn.STDEV.S(AI1271:OFFSET(AI1271,$B$6-1,0))</f>
        <v>#DIV/0!</v>
      </c>
      <c r="AL1271" s="4" t="e">
        <f ca="1">SQRT($B$9)*_xlfn.STDEV.S(AI1271:OFFSET(AI1271,$B$7-1,0))</f>
        <v>#DIV/0!</v>
      </c>
      <c r="AM1271" s="4" t="e">
        <f ca="1">SQRT($B$9)*_xlfn.STDEV.S(AI1271:OFFSET(AI1271,$B$8-1,0))</f>
        <v>#DIV/0!</v>
      </c>
    </row>
    <row r="1272" spans="11:39" x14ac:dyDescent="0.2">
      <c r="K1272" s="3" t="e">
        <f t="shared" si="104"/>
        <v>#DIV/0!</v>
      </c>
      <c r="L1272" s="3" t="e">
        <f ca="1">SQRT(AVERAGE(K1272:OFFSET(K1272,$B$5-1,0))*$B$9/(4*LN(2)))</f>
        <v>#DIV/0!</v>
      </c>
      <c r="M1272" s="3" t="e">
        <f ca="1">SQRT(AVERAGE(K1272:OFFSET(K1272,$B$6-1,0))*$B$9/(4*LN(2)))</f>
        <v>#DIV/0!</v>
      </c>
      <c r="N1272" s="3" t="e">
        <f ca="1">SQRT(AVERAGE(K1272:OFFSET(K1272,$B$7-1,0))*$B$9/(4*LN(2)))</f>
        <v>#DIV/0!</v>
      </c>
      <c r="O1272" s="3" t="e">
        <f ca="1">SQRT(AVERAGE(K1272:OFFSET(K1272,$B$8-1,0))*$B$9/(4*LN(2)))</f>
        <v>#DIV/0!</v>
      </c>
      <c r="Q1272" s="5" t="e">
        <f t="shared" si="103"/>
        <v>#DIV/0!</v>
      </c>
      <c r="R1272" s="5" t="e">
        <f ca="1">SQRT($B$9*AVERAGE((Q1272:OFFSET(Q1272,$B$5-1,0))))</f>
        <v>#DIV/0!</v>
      </c>
      <c r="S1272" s="5" t="e">
        <f ca="1">SQRT($B$9*AVERAGE((Q1272:OFFSET(Q1272,$B$6-1,0))))</f>
        <v>#DIV/0!</v>
      </c>
      <c r="T1272" s="5" t="e">
        <f ca="1">SQRT($B$9*AVERAGE((Q1272:OFFSET(Q1272,$B$7-1,0))))</f>
        <v>#DIV/0!</v>
      </c>
      <c r="U1272" s="5" t="e">
        <f ca="1">SQRT($B$9*AVERAGE((Q1272:OFFSET(Q1272,$B$8-1,0))))</f>
        <v>#DIV/0!</v>
      </c>
      <c r="W1272" s="6" t="e">
        <f t="shared" si="107"/>
        <v>#DIV/0!</v>
      </c>
      <c r="X1272" s="6" t="e">
        <f ca="1">SQRT($B$9*AVERAGE(W1272:OFFSET(W1272,$B$5-1,0)))</f>
        <v>#DIV/0!</v>
      </c>
      <c r="Y1272" s="6" t="e">
        <f ca="1">SQRT($B$9*AVERAGE(W1272:OFFSET(W1272,$B$6-1,0)))</f>
        <v>#DIV/0!</v>
      </c>
      <c r="Z1272" s="6" t="e">
        <f ca="1">SQRT($B$9*AVERAGE(W1272:OFFSET(W1272,$B$7-1,0)))</f>
        <v>#DIV/0!</v>
      </c>
      <c r="AA1272" s="6" t="e">
        <f ca="1">SQRT($B$9*AVERAGE(W1272:OFFSET(W1272,$B$8-1,0)))</f>
        <v>#DIV/0!</v>
      </c>
      <c r="AC1272" s="34" t="e">
        <f t="shared" si="105"/>
        <v>#DIV/0!</v>
      </c>
      <c r="AD1272" s="34" t="e">
        <f ca="1">SQRT($B$9*SUM(AC1272:OFFSET(AC1272,$B$5-1,0))/($B$5-1))</f>
        <v>#DIV/0!</v>
      </c>
      <c r="AE1272" s="34" t="e">
        <f ca="1">SQRT($B$9*SUM(AC1272:OFFSET(AC1272,$B$6-1,0))/($B$6-1))</f>
        <v>#DIV/0!</v>
      </c>
      <c r="AF1272" s="34" t="e">
        <f ca="1">SQRT($B$9*SUM(AC1272:OFFSET(AC1272,$B$7-1,0))/($B$7-1))</f>
        <v>#DIV/0!</v>
      </c>
      <c r="AG1272" s="34" t="e">
        <f ca="1">SQRT($B$9*SUM(AC1272:OFFSET(AC1272,$B$8-1,0))/($B$8-1))</f>
        <v>#DIV/0!</v>
      </c>
      <c r="AI1272" s="1" t="e">
        <f t="shared" si="106"/>
        <v>#DIV/0!</v>
      </c>
      <c r="AJ1272" s="4" t="e">
        <f ca="1">SQRT($B$9)*_xlfn.STDEV.S(AI1272:OFFSET(AI1272,$B$5-1,0))</f>
        <v>#DIV/0!</v>
      </c>
      <c r="AK1272" s="4" t="e">
        <f ca="1">SQRT($B$9)*_xlfn.STDEV.S(AI1272:OFFSET(AI1272,$B$6-1,0))</f>
        <v>#DIV/0!</v>
      </c>
      <c r="AL1272" s="4" t="e">
        <f ca="1">SQRT($B$9)*_xlfn.STDEV.S(AI1272:OFFSET(AI1272,$B$7-1,0))</f>
        <v>#DIV/0!</v>
      </c>
      <c r="AM1272" s="4" t="e">
        <f ca="1">SQRT($B$9)*_xlfn.STDEV.S(AI1272:OFFSET(AI1272,$B$8-1,0))</f>
        <v>#DIV/0!</v>
      </c>
    </row>
    <row r="1273" spans="11:39" x14ac:dyDescent="0.2">
      <c r="K1273" s="3" t="e">
        <f t="shared" si="104"/>
        <v>#DIV/0!</v>
      </c>
      <c r="L1273" s="3" t="e">
        <f ca="1">SQRT(AVERAGE(K1273:OFFSET(K1273,$B$5-1,0))*$B$9/(4*LN(2)))</f>
        <v>#DIV/0!</v>
      </c>
      <c r="M1273" s="3" t="e">
        <f ca="1">SQRT(AVERAGE(K1273:OFFSET(K1273,$B$6-1,0))*$B$9/(4*LN(2)))</f>
        <v>#DIV/0!</v>
      </c>
      <c r="N1273" s="3" t="e">
        <f ca="1">SQRT(AVERAGE(K1273:OFFSET(K1273,$B$7-1,0))*$B$9/(4*LN(2)))</f>
        <v>#DIV/0!</v>
      </c>
      <c r="O1273" s="3" t="e">
        <f ca="1">SQRT(AVERAGE(K1273:OFFSET(K1273,$B$8-1,0))*$B$9/(4*LN(2)))</f>
        <v>#DIV/0!</v>
      </c>
      <c r="Q1273" s="5" t="e">
        <f t="shared" si="103"/>
        <v>#DIV/0!</v>
      </c>
      <c r="R1273" s="5" t="e">
        <f ca="1">SQRT($B$9*AVERAGE((Q1273:OFFSET(Q1273,$B$5-1,0))))</f>
        <v>#DIV/0!</v>
      </c>
      <c r="S1273" s="5" t="e">
        <f ca="1">SQRT($B$9*AVERAGE((Q1273:OFFSET(Q1273,$B$6-1,0))))</f>
        <v>#DIV/0!</v>
      </c>
      <c r="T1273" s="5" t="e">
        <f ca="1">SQRT($B$9*AVERAGE((Q1273:OFFSET(Q1273,$B$7-1,0))))</f>
        <v>#DIV/0!</v>
      </c>
      <c r="U1273" s="5" t="e">
        <f ca="1">SQRT($B$9*AVERAGE((Q1273:OFFSET(Q1273,$B$8-1,0))))</f>
        <v>#DIV/0!</v>
      </c>
      <c r="W1273" s="6" t="e">
        <f t="shared" si="107"/>
        <v>#DIV/0!</v>
      </c>
      <c r="X1273" s="6" t="e">
        <f ca="1">SQRT($B$9*AVERAGE(W1273:OFFSET(W1273,$B$5-1,0)))</f>
        <v>#DIV/0!</v>
      </c>
      <c r="Y1273" s="6" t="e">
        <f ca="1">SQRT($B$9*AVERAGE(W1273:OFFSET(W1273,$B$6-1,0)))</f>
        <v>#DIV/0!</v>
      </c>
      <c r="Z1273" s="6" t="e">
        <f ca="1">SQRT($B$9*AVERAGE(W1273:OFFSET(W1273,$B$7-1,0)))</f>
        <v>#DIV/0!</v>
      </c>
      <c r="AA1273" s="6" t="e">
        <f ca="1">SQRT($B$9*AVERAGE(W1273:OFFSET(W1273,$B$8-1,0)))</f>
        <v>#DIV/0!</v>
      </c>
      <c r="AC1273" s="34" t="e">
        <f t="shared" si="105"/>
        <v>#DIV/0!</v>
      </c>
      <c r="AD1273" s="34" t="e">
        <f ca="1">SQRT($B$9*SUM(AC1273:OFFSET(AC1273,$B$5-1,0))/($B$5-1))</f>
        <v>#DIV/0!</v>
      </c>
      <c r="AE1273" s="34" t="e">
        <f ca="1">SQRT($B$9*SUM(AC1273:OFFSET(AC1273,$B$6-1,0))/($B$6-1))</f>
        <v>#DIV/0!</v>
      </c>
      <c r="AF1273" s="34" t="e">
        <f ca="1">SQRT($B$9*SUM(AC1273:OFFSET(AC1273,$B$7-1,0))/($B$7-1))</f>
        <v>#DIV/0!</v>
      </c>
      <c r="AG1273" s="34" t="e">
        <f ca="1">SQRT($B$9*SUM(AC1273:OFFSET(AC1273,$B$8-1,0))/($B$8-1))</f>
        <v>#DIV/0!</v>
      </c>
      <c r="AI1273" s="1" t="e">
        <f t="shared" si="106"/>
        <v>#DIV/0!</v>
      </c>
      <c r="AJ1273" s="4" t="e">
        <f ca="1">SQRT($B$9)*_xlfn.STDEV.S(AI1273:OFFSET(AI1273,$B$5-1,0))</f>
        <v>#DIV/0!</v>
      </c>
      <c r="AK1273" s="4" t="e">
        <f ca="1">SQRT($B$9)*_xlfn.STDEV.S(AI1273:OFFSET(AI1273,$B$6-1,0))</f>
        <v>#DIV/0!</v>
      </c>
      <c r="AL1273" s="4" t="e">
        <f ca="1">SQRT($B$9)*_xlfn.STDEV.S(AI1273:OFFSET(AI1273,$B$7-1,0))</f>
        <v>#DIV/0!</v>
      </c>
      <c r="AM1273" s="4" t="e">
        <f ca="1">SQRT($B$9)*_xlfn.STDEV.S(AI1273:OFFSET(AI1273,$B$8-1,0))</f>
        <v>#DIV/0!</v>
      </c>
    </row>
    <row r="1274" spans="11:39" x14ac:dyDescent="0.2">
      <c r="K1274" s="3" t="e">
        <f t="shared" si="104"/>
        <v>#DIV/0!</v>
      </c>
      <c r="L1274" s="3" t="e">
        <f ca="1">SQRT(AVERAGE(K1274:OFFSET(K1274,$B$5-1,0))*$B$9/(4*LN(2)))</f>
        <v>#DIV/0!</v>
      </c>
      <c r="M1274" s="3" t="e">
        <f ca="1">SQRT(AVERAGE(K1274:OFFSET(K1274,$B$6-1,0))*$B$9/(4*LN(2)))</f>
        <v>#DIV/0!</v>
      </c>
      <c r="N1274" s="3" t="e">
        <f ca="1">SQRT(AVERAGE(K1274:OFFSET(K1274,$B$7-1,0))*$B$9/(4*LN(2)))</f>
        <v>#DIV/0!</v>
      </c>
      <c r="O1274" s="3" t="e">
        <f ca="1">SQRT(AVERAGE(K1274:OFFSET(K1274,$B$8-1,0))*$B$9/(4*LN(2)))</f>
        <v>#DIV/0!</v>
      </c>
      <c r="Q1274" s="5" t="e">
        <f t="shared" si="103"/>
        <v>#DIV/0!</v>
      </c>
      <c r="R1274" s="5" t="e">
        <f ca="1">SQRT($B$9*AVERAGE((Q1274:OFFSET(Q1274,$B$5-1,0))))</f>
        <v>#DIV/0!</v>
      </c>
      <c r="S1274" s="5" t="e">
        <f ca="1">SQRT($B$9*AVERAGE((Q1274:OFFSET(Q1274,$B$6-1,0))))</f>
        <v>#DIV/0!</v>
      </c>
      <c r="T1274" s="5" t="e">
        <f ca="1">SQRT($B$9*AVERAGE((Q1274:OFFSET(Q1274,$B$7-1,0))))</f>
        <v>#DIV/0!</v>
      </c>
      <c r="U1274" s="5" t="e">
        <f ca="1">SQRT($B$9*AVERAGE((Q1274:OFFSET(Q1274,$B$8-1,0))))</f>
        <v>#DIV/0!</v>
      </c>
      <c r="W1274" s="6" t="e">
        <f t="shared" si="107"/>
        <v>#DIV/0!</v>
      </c>
      <c r="X1274" s="6" t="e">
        <f ca="1">SQRT($B$9*AVERAGE(W1274:OFFSET(W1274,$B$5-1,0)))</f>
        <v>#DIV/0!</v>
      </c>
      <c r="Y1274" s="6" t="e">
        <f ca="1">SQRT($B$9*AVERAGE(W1274:OFFSET(W1274,$B$6-1,0)))</f>
        <v>#DIV/0!</v>
      </c>
      <c r="Z1274" s="6" t="e">
        <f ca="1">SQRT($B$9*AVERAGE(W1274:OFFSET(W1274,$B$7-1,0)))</f>
        <v>#DIV/0!</v>
      </c>
      <c r="AA1274" s="6" t="e">
        <f ca="1">SQRT($B$9*AVERAGE(W1274:OFFSET(W1274,$B$8-1,0)))</f>
        <v>#DIV/0!</v>
      </c>
      <c r="AC1274" s="34" t="e">
        <f t="shared" si="105"/>
        <v>#DIV/0!</v>
      </c>
      <c r="AD1274" s="34" t="e">
        <f ca="1">SQRT($B$9*SUM(AC1274:OFFSET(AC1274,$B$5-1,0))/($B$5-1))</f>
        <v>#DIV/0!</v>
      </c>
      <c r="AE1274" s="34" t="e">
        <f ca="1">SQRT($B$9*SUM(AC1274:OFFSET(AC1274,$B$6-1,0))/($B$6-1))</f>
        <v>#DIV/0!</v>
      </c>
      <c r="AF1274" s="34" t="e">
        <f ca="1">SQRT($B$9*SUM(AC1274:OFFSET(AC1274,$B$7-1,0))/($B$7-1))</f>
        <v>#DIV/0!</v>
      </c>
      <c r="AG1274" s="34" t="e">
        <f ca="1">SQRT($B$9*SUM(AC1274:OFFSET(AC1274,$B$8-1,0))/($B$8-1))</f>
        <v>#DIV/0!</v>
      </c>
      <c r="AI1274" s="1" t="e">
        <f t="shared" si="106"/>
        <v>#DIV/0!</v>
      </c>
      <c r="AJ1274" s="4" t="e">
        <f ca="1">SQRT($B$9)*_xlfn.STDEV.S(AI1274:OFFSET(AI1274,$B$5-1,0))</f>
        <v>#DIV/0!</v>
      </c>
      <c r="AK1274" s="4" t="e">
        <f ca="1">SQRT($B$9)*_xlfn.STDEV.S(AI1274:OFFSET(AI1274,$B$6-1,0))</f>
        <v>#DIV/0!</v>
      </c>
      <c r="AL1274" s="4" t="e">
        <f ca="1">SQRT($B$9)*_xlfn.STDEV.S(AI1274:OFFSET(AI1274,$B$7-1,0))</f>
        <v>#DIV/0!</v>
      </c>
      <c r="AM1274" s="4" t="e">
        <f ca="1">SQRT($B$9)*_xlfn.STDEV.S(AI1274:OFFSET(AI1274,$B$8-1,0))</f>
        <v>#DIV/0!</v>
      </c>
    </row>
    <row r="1275" spans="11:39" x14ac:dyDescent="0.2">
      <c r="K1275" s="3" t="e">
        <f t="shared" si="104"/>
        <v>#DIV/0!</v>
      </c>
      <c r="L1275" s="3" t="e">
        <f ca="1">SQRT(AVERAGE(K1275:OFFSET(K1275,$B$5-1,0))*$B$9/(4*LN(2)))</f>
        <v>#DIV/0!</v>
      </c>
      <c r="M1275" s="3" t="e">
        <f ca="1">SQRT(AVERAGE(K1275:OFFSET(K1275,$B$6-1,0))*$B$9/(4*LN(2)))</f>
        <v>#DIV/0!</v>
      </c>
      <c r="N1275" s="3" t="e">
        <f ca="1">SQRT(AVERAGE(K1275:OFFSET(K1275,$B$7-1,0))*$B$9/(4*LN(2)))</f>
        <v>#DIV/0!</v>
      </c>
      <c r="O1275" s="3" t="e">
        <f ca="1">SQRT(AVERAGE(K1275:OFFSET(K1275,$B$8-1,0))*$B$9/(4*LN(2)))</f>
        <v>#DIV/0!</v>
      </c>
      <c r="Q1275" s="5" t="e">
        <f t="shared" si="103"/>
        <v>#DIV/0!</v>
      </c>
      <c r="R1275" s="5" t="e">
        <f ca="1">SQRT($B$9*AVERAGE((Q1275:OFFSET(Q1275,$B$5-1,0))))</f>
        <v>#DIV/0!</v>
      </c>
      <c r="S1275" s="5" t="e">
        <f ca="1">SQRT($B$9*AVERAGE((Q1275:OFFSET(Q1275,$B$6-1,0))))</f>
        <v>#DIV/0!</v>
      </c>
      <c r="T1275" s="5" t="e">
        <f ca="1">SQRT($B$9*AVERAGE((Q1275:OFFSET(Q1275,$B$7-1,0))))</f>
        <v>#DIV/0!</v>
      </c>
      <c r="U1275" s="5" t="e">
        <f ca="1">SQRT($B$9*AVERAGE((Q1275:OFFSET(Q1275,$B$8-1,0))))</f>
        <v>#DIV/0!</v>
      </c>
      <c r="W1275" s="6" t="e">
        <f t="shared" si="107"/>
        <v>#DIV/0!</v>
      </c>
      <c r="X1275" s="6" t="e">
        <f ca="1">SQRT($B$9*AVERAGE(W1275:OFFSET(W1275,$B$5-1,0)))</f>
        <v>#DIV/0!</v>
      </c>
      <c r="Y1275" s="6" t="e">
        <f ca="1">SQRT($B$9*AVERAGE(W1275:OFFSET(W1275,$B$6-1,0)))</f>
        <v>#DIV/0!</v>
      </c>
      <c r="Z1275" s="6" t="e">
        <f ca="1">SQRT($B$9*AVERAGE(W1275:OFFSET(W1275,$B$7-1,0)))</f>
        <v>#DIV/0!</v>
      </c>
      <c r="AA1275" s="6" t="e">
        <f ca="1">SQRT($B$9*AVERAGE(W1275:OFFSET(W1275,$B$8-1,0)))</f>
        <v>#DIV/0!</v>
      </c>
      <c r="AC1275" s="34" t="e">
        <f t="shared" si="105"/>
        <v>#DIV/0!</v>
      </c>
      <c r="AD1275" s="34" t="e">
        <f ca="1">SQRT($B$9*SUM(AC1275:OFFSET(AC1275,$B$5-1,0))/($B$5-1))</f>
        <v>#DIV/0!</v>
      </c>
      <c r="AE1275" s="34" t="e">
        <f ca="1">SQRT($B$9*SUM(AC1275:OFFSET(AC1275,$B$6-1,0))/($B$6-1))</f>
        <v>#DIV/0!</v>
      </c>
      <c r="AF1275" s="34" t="e">
        <f ca="1">SQRT($B$9*SUM(AC1275:OFFSET(AC1275,$B$7-1,0))/($B$7-1))</f>
        <v>#DIV/0!</v>
      </c>
      <c r="AG1275" s="34" t="e">
        <f ca="1">SQRT($B$9*SUM(AC1275:OFFSET(AC1275,$B$8-1,0))/($B$8-1))</f>
        <v>#DIV/0!</v>
      </c>
      <c r="AI1275" s="1" t="e">
        <f t="shared" si="106"/>
        <v>#DIV/0!</v>
      </c>
      <c r="AJ1275" s="4" t="e">
        <f ca="1">SQRT($B$9)*_xlfn.STDEV.S(AI1275:OFFSET(AI1275,$B$5-1,0))</f>
        <v>#DIV/0!</v>
      </c>
      <c r="AK1275" s="4" t="e">
        <f ca="1">SQRT($B$9)*_xlfn.STDEV.S(AI1275:OFFSET(AI1275,$B$6-1,0))</f>
        <v>#DIV/0!</v>
      </c>
      <c r="AL1275" s="4" t="e">
        <f ca="1">SQRT($B$9)*_xlfn.STDEV.S(AI1275:OFFSET(AI1275,$B$7-1,0))</f>
        <v>#DIV/0!</v>
      </c>
      <c r="AM1275" s="4" t="e">
        <f ca="1">SQRT($B$9)*_xlfn.STDEV.S(AI1275:OFFSET(AI1275,$B$8-1,0))</f>
        <v>#DIV/0!</v>
      </c>
    </row>
    <row r="1276" spans="11:39" x14ac:dyDescent="0.2">
      <c r="K1276" s="3" t="e">
        <f t="shared" si="104"/>
        <v>#DIV/0!</v>
      </c>
      <c r="L1276" s="3" t="e">
        <f ca="1">SQRT(AVERAGE(K1276:OFFSET(K1276,$B$5-1,0))*$B$9/(4*LN(2)))</f>
        <v>#DIV/0!</v>
      </c>
      <c r="M1276" s="3" t="e">
        <f ca="1">SQRT(AVERAGE(K1276:OFFSET(K1276,$B$6-1,0))*$B$9/(4*LN(2)))</f>
        <v>#DIV/0!</v>
      </c>
      <c r="N1276" s="3" t="e">
        <f ca="1">SQRT(AVERAGE(K1276:OFFSET(K1276,$B$7-1,0))*$B$9/(4*LN(2)))</f>
        <v>#DIV/0!</v>
      </c>
      <c r="O1276" s="3" t="e">
        <f ca="1">SQRT(AVERAGE(K1276:OFFSET(K1276,$B$8-1,0))*$B$9/(4*LN(2)))</f>
        <v>#DIV/0!</v>
      </c>
      <c r="Q1276" s="5" t="e">
        <f t="shared" si="103"/>
        <v>#DIV/0!</v>
      </c>
      <c r="R1276" s="5" t="e">
        <f ca="1">SQRT($B$9*AVERAGE((Q1276:OFFSET(Q1276,$B$5-1,0))))</f>
        <v>#DIV/0!</v>
      </c>
      <c r="S1276" s="5" t="e">
        <f ca="1">SQRT($B$9*AVERAGE((Q1276:OFFSET(Q1276,$B$6-1,0))))</f>
        <v>#DIV/0!</v>
      </c>
      <c r="T1276" s="5" t="e">
        <f ca="1">SQRT($B$9*AVERAGE((Q1276:OFFSET(Q1276,$B$7-1,0))))</f>
        <v>#DIV/0!</v>
      </c>
      <c r="U1276" s="5" t="e">
        <f ca="1">SQRT($B$9*AVERAGE((Q1276:OFFSET(Q1276,$B$8-1,0))))</f>
        <v>#DIV/0!</v>
      </c>
      <c r="W1276" s="6" t="e">
        <f t="shared" si="107"/>
        <v>#DIV/0!</v>
      </c>
      <c r="X1276" s="6" t="e">
        <f ca="1">SQRT($B$9*AVERAGE(W1276:OFFSET(W1276,$B$5-1,0)))</f>
        <v>#DIV/0!</v>
      </c>
      <c r="Y1276" s="6" t="e">
        <f ca="1">SQRT($B$9*AVERAGE(W1276:OFFSET(W1276,$B$6-1,0)))</f>
        <v>#DIV/0!</v>
      </c>
      <c r="Z1276" s="6" t="e">
        <f ca="1">SQRT($B$9*AVERAGE(W1276:OFFSET(W1276,$B$7-1,0)))</f>
        <v>#DIV/0!</v>
      </c>
      <c r="AA1276" s="6" t="e">
        <f ca="1">SQRT($B$9*AVERAGE(W1276:OFFSET(W1276,$B$8-1,0)))</f>
        <v>#DIV/0!</v>
      </c>
      <c r="AC1276" s="34" t="e">
        <f t="shared" si="105"/>
        <v>#DIV/0!</v>
      </c>
      <c r="AD1276" s="34" t="e">
        <f ca="1">SQRT($B$9*SUM(AC1276:OFFSET(AC1276,$B$5-1,0))/($B$5-1))</f>
        <v>#DIV/0!</v>
      </c>
      <c r="AE1276" s="34" t="e">
        <f ca="1">SQRT($B$9*SUM(AC1276:OFFSET(AC1276,$B$6-1,0))/($B$6-1))</f>
        <v>#DIV/0!</v>
      </c>
      <c r="AF1276" s="34" t="e">
        <f ca="1">SQRT($B$9*SUM(AC1276:OFFSET(AC1276,$B$7-1,0))/($B$7-1))</f>
        <v>#DIV/0!</v>
      </c>
      <c r="AG1276" s="34" t="e">
        <f ca="1">SQRT($B$9*SUM(AC1276:OFFSET(AC1276,$B$8-1,0))/($B$8-1))</f>
        <v>#DIV/0!</v>
      </c>
      <c r="AI1276" s="1" t="e">
        <f t="shared" si="106"/>
        <v>#DIV/0!</v>
      </c>
      <c r="AJ1276" s="4" t="e">
        <f ca="1">SQRT($B$9)*_xlfn.STDEV.S(AI1276:OFFSET(AI1276,$B$5-1,0))</f>
        <v>#DIV/0!</v>
      </c>
      <c r="AK1276" s="4" t="e">
        <f ca="1">SQRT($B$9)*_xlfn.STDEV.S(AI1276:OFFSET(AI1276,$B$6-1,0))</f>
        <v>#DIV/0!</v>
      </c>
      <c r="AL1276" s="4" t="e">
        <f ca="1">SQRT($B$9)*_xlfn.STDEV.S(AI1276:OFFSET(AI1276,$B$7-1,0))</f>
        <v>#DIV/0!</v>
      </c>
      <c r="AM1276" s="4" t="e">
        <f ca="1">SQRT($B$9)*_xlfn.STDEV.S(AI1276:OFFSET(AI1276,$B$8-1,0))</f>
        <v>#DIV/0!</v>
      </c>
    </row>
    <row r="1277" spans="11:39" x14ac:dyDescent="0.2">
      <c r="K1277" s="3" t="e">
        <f t="shared" si="104"/>
        <v>#DIV/0!</v>
      </c>
      <c r="L1277" s="3" t="e">
        <f ca="1">SQRT(AVERAGE(K1277:OFFSET(K1277,$B$5-1,0))*$B$9/(4*LN(2)))</f>
        <v>#DIV/0!</v>
      </c>
      <c r="M1277" s="3" t="e">
        <f ca="1">SQRT(AVERAGE(K1277:OFFSET(K1277,$B$6-1,0))*$B$9/(4*LN(2)))</f>
        <v>#DIV/0!</v>
      </c>
      <c r="N1277" s="3" t="e">
        <f ca="1">SQRT(AVERAGE(K1277:OFFSET(K1277,$B$7-1,0))*$B$9/(4*LN(2)))</f>
        <v>#DIV/0!</v>
      </c>
      <c r="O1277" s="3" t="e">
        <f ca="1">SQRT(AVERAGE(K1277:OFFSET(K1277,$B$8-1,0))*$B$9/(4*LN(2)))</f>
        <v>#DIV/0!</v>
      </c>
      <c r="Q1277" s="5" t="e">
        <f t="shared" si="103"/>
        <v>#DIV/0!</v>
      </c>
      <c r="R1277" s="5" t="e">
        <f ca="1">SQRT($B$9*AVERAGE((Q1277:OFFSET(Q1277,$B$5-1,0))))</f>
        <v>#DIV/0!</v>
      </c>
      <c r="S1277" s="5" t="e">
        <f ca="1">SQRT($B$9*AVERAGE((Q1277:OFFSET(Q1277,$B$6-1,0))))</f>
        <v>#DIV/0!</v>
      </c>
      <c r="T1277" s="5" t="e">
        <f ca="1">SQRT($B$9*AVERAGE((Q1277:OFFSET(Q1277,$B$7-1,0))))</f>
        <v>#DIV/0!</v>
      </c>
      <c r="U1277" s="5" t="e">
        <f ca="1">SQRT($B$9*AVERAGE((Q1277:OFFSET(Q1277,$B$8-1,0))))</f>
        <v>#DIV/0!</v>
      </c>
      <c r="W1277" s="6" t="e">
        <f t="shared" si="107"/>
        <v>#DIV/0!</v>
      </c>
      <c r="X1277" s="6" t="e">
        <f ca="1">SQRT($B$9*AVERAGE(W1277:OFFSET(W1277,$B$5-1,0)))</f>
        <v>#DIV/0!</v>
      </c>
      <c r="Y1277" s="6" t="e">
        <f ca="1">SQRT($B$9*AVERAGE(W1277:OFFSET(W1277,$B$6-1,0)))</f>
        <v>#DIV/0!</v>
      </c>
      <c r="Z1277" s="6" t="e">
        <f ca="1">SQRT($B$9*AVERAGE(W1277:OFFSET(W1277,$B$7-1,0)))</f>
        <v>#DIV/0!</v>
      </c>
      <c r="AA1277" s="6" t="e">
        <f ca="1">SQRT($B$9*AVERAGE(W1277:OFFSET(W1277,$B$8-1,0)))</f>
        <v>#DIV/0!</v>
      </c>
      <c r="AC1277" s="34" t="e">
        <f t="shared" si="105"/>
        <v>#DIV/0!</v>
      </c>
      <c r="AD1277" s="34" t="e">
        <f ca="1">SQRT($B$9*SUM(AC1277:OFFSET(AC1277,$B$5-1,0))/($B$5-1))</f>
        <v>#DIV/0!</v>
      </c>
      <c r="AE1277" s="34" t="e">
        <f ca="1">SQRT($B$9*SUM(AC1277:OFFSET(AC1277,$B$6-1,0))/($B$6-1))</f>
        <v>#DIV/0!</v>
      </c>
      <c r="AF1277" s="34" t="e">
        <f ca="1">SQRT($B$9*SUM(AC1277:OFFSET(AC1277,$B$7-1,0))/($B$7-1))</f>
        <v>#DIV/0!</v>
      </c>
      <c r="AG1277" s="34" t="e">
        <f ca="1">SQRT($B$9*SUM(AC1277:OFFSET(AC1277,$B$8-1,0))/($B$8-1))</f>
        <v>#DIV/0!</v>
      </c>
      <c r="AI1277" s="1" t="e">
        <f t="shared" si="106"/>
        <v>#DIV/0!</v>
      </c>
      <c r="AJ1277" s="4" t="e">
        <f ca="1">SQRT($B$9)*_xlfn.STDEV.S(AI1277:OFFSET(AI1277,$B$5-1,0))</f>
        <v>#DIV/0!</v>
      </c>
      <c r="AK1277" s="4" t="e">
        <f ca="1">SQRT($B$9)*_xlfn.STDEV.S(AI1277:OFFSET(AI1277,$B$6-1,0))</f>
        <v>#DIV/0!</v>
      </c>
      <c r="AL1277" s="4" t="e">
        <f ca="1">SQRT($B$9)*_xlfn.STDEV.S(AI1277:OFFSET(AI1277,$B$7-1,0))</f>
        <v>#DIV/0!</v>
      </c>
      <c r="AM1277" s="4" t="e">
        <f ca="1">SQRT($B$9)*_xlfn.STDEV.S(AI1277:OFFSET(AI1277,$B$8-1,0))</f>
        <v>#DIV/0!</v>
      </c>
    </row>
    <row r="1278" spans="11:39" x14ac:dyDescent="0.2">
      <c r="K1278" s="3" t="e">
        <f t="shared" si="104"/>
        <v>#DIV/0!</v>
      </c>
      <c r="L1278" s="3" t="e">
        <f ca="1">SQRT(AVERAGE(K1278:OFFSET(K1278,$B$5-1,0))*$B$9/(4*LN(2)))</f>
        <v>#DIV/0!</v>
      </c>
      <c r="M1278" s="3" t="e">
        <f ca="1">SQRT(AVERAGE(K1278:OFFSET(K1278,$B$6-1,0))*$B$9/(4*LN(2)))</f>
        <v>#DIV/0!</v>
      </c>
      <c r="N1278" s="3" t="e">
        <f ca="1">SQRT(AVERAGE(K1278:OFFSET(K1278,$B$7-1,0))*$B$9/(4*LN(2)))</f>
        <v>#DIV/0!</v>
      </c>
      <c r="O1278" s="3" t="e">
        <f ca="1">SQRT(AVERAGE(K1278:OFFSET(K1278,$B$8-1,0))*$B$9/(4*LN(2)))</f>
        <v>#DIV/0!</v>
      </c>
      <c r="Q1278" s="5" t="e">
        <f t="shared" si="103"/>
        <v>#DIV/0!</v>
      </c>
      <c r="R1278" s="5" t="e">
        <f ca="1">SQRT($B$9*AVERAGE((Q1278:OFFSET(Q1278,$B$5-1,0))))</f>
        <v>#DIV/0!</v>
      </c>
      <c r="S1278" s="5" t="e">
        <f ca="1">SQRT($B$9*AVERAGE((Q1278:OFFSET(Q1278,$B$6-1,0))))</f>
        <v>#DIV/0!</v>
      </c>
      <c r="T1278" s="5" t="e">
        <f ca="1">SQRT($B$9*AVERAGE((Q1278:OFFSET(Q1278,$B$7-1,0))))</f>
        <v>#DIV/0!</v>
      </c>
      <c r="U1278" s="5" t="e">
        <f ca="1">SQRT($B$9*AVERAGE((Q1278:OFFSET(Q1278,$B$8-1,0))))</f>
        <v>#DIV/0!</v>
      </c>
      <c r="W1278" s="6" t="e">
        <f t="shared" si="107"/>
        <v>#DIV/0!</v>
      </c>
      <c r="X1278" s="6" t="e">
        <f ca="1">SQRT($B$9*AVERAGE(W1278:OFFSET(W1278,$B$5-1,0)))</f>
        <v>#DIV/0!</v>
      </c>
      <c r="Y1278" s="6" t="e">
        <f ca="1">SQRT($B$9*AVERAGE(W1278:OFFSET(W1278,$B$6-1,0)))</f>
        <v>#DIV/0!</v>
      </c>
      <c r="Z1278" s="6" t="e">
        <f ca="1">SQRT($B$9*AVERAGE(W1278:OFFSET(W1278,$B$7-1,0)))</f>
        <v>#DIV/0!</v>
      </c>
      <c r="AA1278" s="6" t="e">
        <f ca="1">SQRT($B$9*AVERAGE(W1278:OFFSET(W1278,$B$8-1,0)))</f>
        <v>#DIV/0!</v>
      </c>
      <c r="AC1278" s="34" t="e">
        <f t="shared" si="105"/>
        <v>#DIV/0!</v>
      </c>
      <c r="AD1278" s="34" t="e">
        <f ca="1">SQRT($B$9*SUM(AC1278:OFFSET(AC1278,$B$5-1,0))/($B$5-1))</f>
        <v>#DIV/0!</v>
      </c>
      <c r="AE1278" s="34" t="e">
        <f ca="1">SQRT($B$9*SUM(AC1278:OFFSET(AC1278,$B$6-1,0))/($B$6-1))</f>
        <v>#DIV/0!</v>
      </c>
      <c r="AF1278" s="34" t="e">
        <f ca="1">SQRT($B$9*SUM(AC1278:OFFSET(AC1278,$B$7-1,0))/($B$7-1))</f>
        <v>#DIV/0!</v>
      </c>
      <c r="AG1278" s="34" t="e">
        <f ca="1">SQRT($B$9*SUM(AC1278:OFFSET(AC1278,$B$8-1,0))/($B$8-1))</f>
        <v>#DIV/0!</v>
      </c>
      <c r="AI1278" s="1" t="e">
        <f t="shared" si="106"/>
        <v>#DIV/0!</v>
      </c>
      <c r="AJ1278" s="4" t="e">
        <f ca="1">SQRT($B$9)*_xlfn.STDEV.S(AI1278:OFFSET(AI1278,$B$5-1,0))</f>
        <v>#DIV/0!</v>
      </c>
      <c r="AK1278" s="4" t="e">
        <f ca="1">SQRT($B$9)*_xlfn.STDEV.S(AI1278:OFFSET(AI1278,$B$6-1,0))</f>
        <v>#DIV/0!</v>
      </c>
      <c r="AL1278" s="4" t="e">
        <f ca="1">SQRT($B$9)*_xlfn.STDEV.S(AI1278:OFFSET(AI1278,$B$7-1,0))</f>
        <v>#DIV/0!</v>
      </c>
      <c r="AM1278" s="4" t="e">
        <f ca="1">SQRT($B$9)*_xlfn.STDEV.S(AI1278:OFFSET(AI1278,$B$8-1,0))</f>
        <v>#DIV/0!</v>
      </c>
    </row>
    <row r="1279" spans="11:39" x14ac:dyDescent="0.2">
      <c r="K1279" s="3" t="e">
        <f t="shared" si="104"/>
        <v>#DIV/0!</v>
      </c>
      <c r="L1279" s="3" t="e">
        <f ca="1">SQRT(AVERAGE(K1279:OFFSET(K1279,$B$5-1,0))*$B$9/(4*LN(2)))</f>
        <v>#DIV/0!</v>
      </c>
      <c r="M1279" s="3" t="e">
        <f ca="1">SQRT(AVERAGE(K1279:OFFSET(K1279,$B$6-1,0))*$B$9/(4*LN(2)))</f>
        <v>#DIV/0!</v>
      </c>
      <c r="N1279" s="3" t="e">
        <f ca="1">SQRT(AVERAGE(K1279:OFFSET(K1279,$B$7-1,0))*$B$9/(4*LN(2)))</f>
        <v>#DIV/0!</v>
      </c>
      <c r="O1279" s="3" t="e">
        <f ca="1">SQRT(AVERAGE(K1279:OFFSET(K1279,$B$8-1,0))*$B$9/(4*LN(2)))</f>
        <v>#DIV/0!</v>
      </c>
      <c r="Q1279" s="5" t="e">
        <f t="shared" si="103"/>
        <v>#DIV/0!</v>
      </c>
      <c r="R1279" s="5" t="e">
        <f ca="1">SQRT($B$9*AVERAGE((Q1279:OFFSET(Q1279,$B$5-1,0))))</f>
        <v>#DIV/0!</v>
      </c>
      <c r="S1279" s="5" t="e">
        <f ca="1">SQRT($B$9*AVERAGE((Q1279:OFFSET(Q1279,$B$6-1,0))))</f>
        <v>#DIV/0!</v>
      </c>
      <c r="T1279" s="5" t="e">
        <f ca="1">SQRT($B$9*AVERAGE((Q1279:OFFSET(Q1279,$B$7-1,0))))</f>
        <v>#DIV/0!</v>
      </c>
      <c r="U1279" s="5" t="e">
        <f ca="1">SQRT($B$9*AVERAGE((Q1279:OFFSET(Q1279,$B$8-1,0))))</f>
        <v>#DIV/0!</v>
      </c>
      <c r="W1279" s="6" t="e">
        <f t="shared" si="107"/>
        <v>#DIV/0!</v>
      </c>
      <c r="X1279" s="6" t="e">
        <f ca="1">SQRT($B$9*AVERAGE(W1279:OFFSET(W1279,$B$5-1,0)))</f>
        <v>#DIV/0!</v>
      </c>
      <c r="Y1279" s="6" t="e">
        <f ca="1">SQRT($B$9*AVERAGE(W1279:OFFSET(W1279,$B$6-1,0)))</f>
        <v>#DIV/0!</v>
      </c>
      <c r="Z1279" s="6" t="e">
        <f ca="1">SQRT($B$9*AVERAGE(W1279:OFFSET(W1279,$B$7-1,0)))</f>
        <v>#DIV/0!</v>
      </c>
      <c r="AA1279" s="6" t="e">
        <f ca="1">SQRT($B$9*AVERAGE(W1279:OFFSET(W1279,$B$8-1,0)))</f>
        <v>#DIV/0!</v>
      </c>
      <c r="AC1279" s="34" t="e">
        <f t="shared" si="105"/>
        <v>#DIV/0!</v>
      </c>
      <c r="AD1279" s="34" t="e">
        <f ca="1">SQRT($B$9*SUM(AC1279:OFFSET(AC1279,$B$5-1,0))/($B$5-1))</f>
        <v>#DIV/0!</v>
      </c>
      <c r="AE1279" s="34" t="e">
        <f ca="1">SQRT($B$9*SUM(AC1279:OFFSET(AC1279,$B$6-1,0))/($B$6-1))</f>
        <v>#DIV/0!</v>
      </c>
      <c r="AF1279" s="34" t="e">
        <f ca="1">SQRT($B$9*SUM(AC1279:OFFSET(AC1279,$B$7-1,0))/($B$7-1))</f>
        <v>#DIV/0!</v>
      </c>
      <c r="AG1279" s="34" t="e">
        <f ca="1">SQRT($B$9*SUM(AC1279:OFFSET(AC1279,$B$8-1,0))/($B$8-1))</f>
        <v>#DIV/0!</v>
      </c>
      <c r="AI1279" s="1" t="e">
        <f t="shared" si="106"/>
        <v>#DIV/0!</v>
      </c>
      <c r="AJ1279" s="4" t="e">
        <f ca="1">SQRT($B$9)*_xlfn.STDEV.S(AI1279:OFFSET(AI1279,$B$5-1,0))</f>
        <v>#DIV/0!</v>
      </c>
      <c r="AK1279" s="4" t="e">
        <f ca="1">SQRT($B$9)*_xlfn.STDEV.S(AI1279:OFFSET(AI1279,$B$6-1,0))</f>
        <v>#DIV/0!</v>
      </c>
      <c r="AL1279" s="4" t="e">
        <f ca="1">SQRT($B$9)*_xlfn.STDEV.S(AI1279:OFFSET(AI1279,$B$7-1,0))</f>
        <v>#DIV/0!</v>
      </c>
      <c r="AM1279" s="4" t="e">
        <f ca="1">SQRT($B$9)*_xlfn.STDEV.S(AI1279:OFFSET(AI1279,$B$8-1,0))</f>
        <v>#DIV/0!</v>
      </c>
    </row>
    <row r="1280" spans="11:39" x14ac:dyDescent="0.2">
      <c r="K1280" s="3" t="e">
        <f t="shared" si="104"/>
        <v>#DIV/0!</v>
      </c>
      <c r="L1280" s="3" t="e">
        <f ca="1">SQRT(AVERAGE(K1280:OFFSET(K1280,$B$5-1,0))*$B$9/(4*LN(2)))</f>
        <v>#DIV/0!</v>
      </c>
      <c r="M1280" s="3" t="e">
        <f ca="1">SQRT(AVERAGE(K1280:OFFSET(K1280,$B$6-1,0))*$B$9/(4*LN(2)))</f>
        <v>#DIV/0!</v>
      </c>
      <c r="N1280" s="3" t="e">
        <f ca="1">SQRT(AVERAGE(K1280:OFFSET(K1280,$B$7-1,0))*$B$9/(4*LN(2)))</f>
        <v>#DIV/0!</v>
      </c>
      <c r="O1280" s="3" t="e">
        <f ca="1">SQRT(AVERAGE(K1280:OFFSET(K1280,$B$8-1,0))*$B$9/(4*LN(2)))</f>
        <v>#DIV/0!</v>
      </c>
      <c r="Q1280" s="5" t="e">
        <f t="shared" si="103"/>
        <v>#DIV/0!</v>
      </c>
      <c r="R1280" s="5" t="e">
        <f ca="1">SQRT($B$9*AVERAGE((Q1280:OFFSET(Q1280,$B$5-1,0))))</f>
        <v>#DIV/0!</v>
      </c>
      <c r="S1280" s="5" t="e">
        <f ca="1">SQRT($B$9*AVERAGE((Q1280:OFFSET(Q1280,$B$6-1,0))))</f>
        <v>#DIV/0!</v>
      </c>
      <c r="T1280" s="5" t="e">
        <f ca="1">SQRT($B$9*AVERAGE((Q1280:OFFSET(Q1280,$B$7-1,0))))</f>
        <v>#DIV/0!</v>
      </c>
      <c r="U1280" s="5" t="e">
        <f ca="1">SQRT($B$9*AVERAGE((Q1280:OFFSET(Q1280,$B$8-1,0))))</f>
        <v>#DIV/0!</v>
      </c>
      <c r="W1280" s="6" t="e">
        <f t="shared" si="107"/>
        <v>#DIV/0!</v>
      </c>
      <c r="X1280" s="6" t="e">
        <f ca="1">SQRT($B$9*AVERAGE(W1280:OFFSET(W1280,$B$5-1,0)))</f>
        <v>#DIV/0!</v>
      </c>
      <c r="Y1280" s="6" t="e">
        <f ca="1">SQRT($B$9*AVERAGE(W1280:OFFSET(W1280,$B$6-1,0)))</f>
        <v>#DIV/0!</v>
      </c>
      <c r="Z1280" s="6" t="e">
        <f ca="1">SQRT($B$9*AVERAGE(W1280:OFFSET(W1280,$B$7-1,0)))</f>
        <v>#DIV/0!</v>
      </c>
      <c r="AA1280" s="6" t="e">
        <f ca="1">SQRT($B$9*AVERAGE(W1280:OFFSET(W1280,$B$8-1,0)))</f>
        <v>#DIV/0!</v>
      </c>
      <c r="AC1280" s="34" t="e">
        <f t="shared" si="105"/>
        <v>#DIV/0!</v>
      </c>
      <c r="AD1280" s="34" t="e">
        <f ca="1">SQRT($B$9*SUM(AC1280:OFFSET(AC1280,$B$5-1,0))/($B$5-1))</f>
        <v>#DIV/0!</v>
      </c>
      <c r="AE1280" s="34" t="e">
        <f ca="1">SQRT($B$9*SUM(AC1280:OFFSET(AC1280,$B$6-1,0))/($B$6-1))</f>
        <v>#DIV/0!</v>
      </c>
      <c r="AF1280" s="34" t="e">
        <f ca="1">SQRT($B$9*SUM(AC1280:OFFSET(AC1280,$B$7-1,0))/($B$7-1))</f>
        <v>#DIV/0!</v>
      </c>
      <c r="AG1280" s="34" t="e">
        <f ca="1">SQRT($B$9*SUM(AC1280:OFFSET(AC1280,$B$8-1,0))/($B$8-1))</f>
        <v>#DIV/0!</v>
      </c>
      <c r="AI1280" s="1" t="e">
        <f t="shared" si="106"/>
        <v>#DIV/0!</v>
      </c>
      <c r="AJ1280" s="4" t="e">
        <f ca="1">SQRT($B$9)*_xlfn.STDEV.S(AI1280:OFFSET(AI1280,$B$5-1,0))</f>
        <v>#DIV/0!</v>
      </c>
      <c r="AK1280" s="4" t="e">
        <f ca="1">SQRT($B$9)*_xlfn.STDEV.S(AI1280:OFFSET(AI1280,$B$6-1,0))</f>
        <v>#DIV/0!</v>
      </c>
      <c r="AL1280" s="4" t="e">
        <f ca="1">SQRT($B$9)*_xlfn.STDEV.S(AI1280:OFFSET(AI1280,$B$7-1,0))</f>
        <v>#DIV/0!</v>
      </c>
      <c r="AM1280" s="4" t="e">
        <f ca="1">SQRT($B$9)*_xlfn.STDEV.S(AI1280:OFFSET(AI1280,$B$8-1,0))</f>
        <v>#DIV/0!</v>
      </c>
    </row>
    <row r="1281" spans="11:39" x14ac:dyDescent="0.2">
      <c r="K1281" s="3" t="e">
        <f t="shared" si="104"/>
        <v>#DIV/0!</v>
      </c>
      <c r="L1281" s="3" t="e">
        <f ca="1">SQRT(AVERAGE(K1281:OFFSET(K1281,$B$5-1,0))*$B$9/(4*LN(2)))</f>
        <v>#DIV/0!</v>
      </c>
      <c r="M1281" s="3" t="e">
        <f ca="1">SQRT(AVERAGE(K1281:OFFSET(K1281,$B$6-1,0))*$B$9/(4*LN(2)))</f>
        <v>#DIV/0!</v>
      </c>
      <c r="N1281" s="3" t="e">
        <f ca="1">SQRT(AVERAGE(K1281:OFFSET(K1281,$B$7-1,0))*$B$9/(4*LN(2)))</f>
        <v>#DIV/0!</v>
      </c>
      <c r="O1281" s="3" t="e">
        <f ca="1">SQRT(AVERAGE(K1281:OFFSET(K1281,$B$8-1,0))*$B$9/(4*LN(2)))</f>
        <v>#DIV/0!</v>
      </c>
      <c r="Q1281" s="5" t="e">
        <f t="shared" si="103"/>
        <v>#DIV/0!</v>
      </c>
      <c r="R1281" s="5" t="e">
        <f ca="1">SQRT($B$9*AVERAGE((Q1281:OFFSET(Q1281,$B$5-1,0))))</f>
        <v>#DIV/0!</v>
      </c>
      <c r="S1281" s="5" t="e">
        <f ca="1">SQRT($B$9*AVERAGE((Q1281:OFFSET(Q1281,$B$6-1,0))))</f>
        <v>#DIV/0!</v>
      </c>
      <c r="T1281" s="5" t="e">
        <f ca="1">SQRT($B$9*AVERAGE((Q1281:OFFSET(Q1281,$B$7-1,0))))</f>
        <v>#DIV/0!</v>
      </c>
      <c r="U1281" s="5" t="e">
        <f ca="1">SQRT($B$9*AVERAGE((Q1281:OFFSET(Q1281,$B$8-1,0))))</f>
        <v>#DIV/0!</v>
      </c>
      <c r="W1281" s="6" t="e">
        <f t="shared" si="107"/>
        <v>#DIV/0!</v>
      </c>
      <c r="X1281" s="6" t="e">
        <f ca="1">SQRT($B$9*AVERAGE(W1281:OFFSET(W1281,$B$5-1,0)))</f>
        <v>#DIV/0!</v>
      </c>
      <c r="Y1281" s="6" t="e">
        <f ca="1">SQRT($B$9*AVERAGE(W1281:OFFSET(W1281,$B$6-1,0)))</f>
        <v>#DIV/0!</v>
      </c>
      <c r="Z1281" s="6" t="e">
        <f ca="1">SQRT($B$9*AVERAGE(W1281:OFFSET(W1281,$B$7-1,0)))</f>
        <v>#DIV/0!</v>
      </c>
      <c r="AA1281" s="6" t="e">
        <f ca="1">SQRT($B$9*AVERAGE(W1281:OFFSET(W1281,$B$8-1,0)))</f>
        <v>#DIV/0!</v>
      </c>
      <c r="AC1281" s="34" t="e">
        <f t="shared" si="105"/>
        <v>#DIV/0!</v>
      </c>
      <c r="AD1281" s="34" t="e">
        <f ca="1">SQRT($B$9*SUM(AC1281:OFFSET(AC1281,$B$5-1,0))/($B$5-1))</f>
        <v>#DIV/0!</v>
      </c>
      <c r="AE1281" s="34" t="e">
        <f ca="1">SQRT($B$9*SUM(AC1281:OFFSET(AC1281,$B$6-1,0))/($B$6-1))</f>
        <v>#DIV/0!</v>
      </c>
      <c r="AF1281" s="34" t="e">
        <f ca="1">SQRT($B$9*SUM(AC1281:OFFSET(AC1281,$B$7-1,0))/($B$7-1))</f>
        <v>#DIV/0!</v>
      </c>
      <c r="AG1281" s="34" t="e">
        <f ca="1">SQRT($B$9*SUM(AC1281:OFFSET(AC1281,$B$8-1,0))/($B$8-1))</f>
        <v>#DIV/0!</v>
      </c>
      <c r="AI1281" s="1" t="e">
        <f t="shared" si="106"/>
        <v>#DIV/0!</v>
      </c>
      <c r="AJ1281" s="4" t="e">
        <f ca="1">SQRT($B$9)*_xlfn.STDEV.S(AI1281:OFFSET(AI1281,$B$5-1,0))</f>
        <v>#DIV/0!</v>
      </c>
      <c r="AK1281" s="4" t="e">
        <f ca="1">SQRT($B$9)*_xlfn.STDEV.S(AI1281:OFFSET(AI1281,$B$6-1,0))</f>
        <v>#DIV/0!</v>
      </c>
      <c r="AL1281" s="4" t="e">
        <f ca="1">SQRT($B$9)*_xlfn.STDEV.S(AI1281:OFFSET(AI1281,$B$7-1,0))</f>
        <v>#DIV/0!</v>
      </c>
      <c r="AM1281" s="4" t="e">
        <f ca="1">SQRT($B$9)*_xlfn.STDEV.S(AI1281:OFFSET(AI1281,$B$8-1,0))</f>
        <v>#DIV/0!</v>
      </c>
    </row>
    <row r="1282" spans="11:39" x14ac:dyDescent="0.2">
      <c r="K1282" s="3" t="e">
        <f t="shared" si="104"/>
        <v>#DIV/0!</v>
      </c>
      <c r="L1282" s="3" t="e">
        <f ca="1">SQRT(AVERAGE(K1282:OFFSET(K1282,$B$5-1,0))*$B$9/(4*LN(2)))</f>
        <v>#DIV/0!</v>
      </c>
      <c r="M1282" s="3" t="e">
        <f ca="1">SQRT(AVERAGE(K1282:OFFSET(K1282,$B$6-1,0))*$B$9/(4*LN(2)))</f>
        <v>#DIV/0!</v>
      </c>
      <c r="N1282" s="3" t="e">
        <f ca="1">SQRT(AVERAGE(K1282:OFFSET(K1282,$B$7-1,0))*$B$9/(4*LN(2)))</f>
        <v>#DIV/0!</v>
      </c>
      <c r="O1282" s="3" t="e">
        <f ca="1">SQRT(AVERAGE(K1282:OFFSET(K1282,$B$8-1,0))*$B$9/(4*LN(2)))</f>
        <v>#DIV/0!</v>
      </c>
      <c r="Q1282" s="5" t="e">
        <f t="shared" si="103"/>
        <v>#DIV/0!</v>
      </c>
      <c r="R1282" s="5" t="e">
        <f ca="1">SQRT($B$9*AVERAGE((Q1282:OFFSET(Q1282,$B$5-1,0))))</f>
        <v>#DIV/0!</v>
      </c>
      <c r="S1282" s="5" t="e">
        <f ca="1">SQRT($B$9*AVERAGE((Q1282:OFFSET(Q1282,$B$6-1,0))))</f>
        <v>#DIV/0!</v>
      </c>
      <c r="T1282" s="5" t="e">
        <f ca="1">SQRT($B$9*AVERAGE((Q1282:OFFSET(Q1282,$B$7-1,0))))</f>
        <v>#DIV/0!</v>
      </c>
      <c r="U1282" s="5" t="e">
        <f ca="1">SQRT($B$9*AVERAGE((Q1282:OFFSET(Q1282,$B$8-1,0))))</f>
        <v>#DIV/0!</v>
      </c>
      <c r="W1282" s="6" t="e">
        <f t="shared" si="107"/>
        <v>#DIV/0!</v>
      </c>
      <c r="X1282" s="6" t="e">
        <f ca="1">SQRT($B$9*AVERAGE(W1282:OFFSET(W1282,$B$5-1,0)))</f>
        <v>#DIV/0!</v>
      </c>
      <c r="Y1282" s="6" t="e">
        <f ca="1">SQRT($B$9*AVERAGE(W1282:OFFSET(W1282,$B$6-1,0)))</f>
        <v>#DIV/0!</v>
      </c>
      <c r="Z1282" s="6" t="e">
        <f ca="1">SQRT($B$9*AVERAGE(W1282:OFFSET(W1282,$B$7-1,0)))</f>
        <v>#DIV/0!</v>
      </c>
      <c r="AA1282" s="6" t="e">
        <f ca="1">SQRT($B$9*AVERAGE(W1282:OFFSET(W1282,$B$8-1,0)))</f>
        <v>#DIV/0!</v>
      </c>
      <c r="AC1282" s="34" t="e">
        <f t="shared" si="105"/>
        <v>#DIV/0!</v>
      </c>
      <c r="AD1282" s="34" t="e">
        <f ca="1">SQRT($B$9*SUM(AC1282:OFFSET(AC1282,$B$5-1,0))/($B$5-1))</f>
        <v>#DIV/0!</v>
      </c>
      <c r="AE1282" s="34" t="e">
        <f ca="1">SQRT($B$9*SUM(AC1282:OFFSET(AC1282,$B$6-1,0))/($B$6-1))</f>
        <v>#DIV/0!</v>
      </c>
      <c r="AF1282" s="34" t="e">
        <f ca="1">SQRT($B$9*SUM(AC1282:OFFSET(AC1282,$B$7-1,0))/($B$7-1))</f>
        <v>#DIV/0!</v>
      </c>
      <c r="AG1282" s="34" t="e">
        <f ca="1">SQRT($B$9*SUM(AC1282:OFFSET(AC1282,$B$8-1,0))/($B$8-1))</f>
        <v>#DIV/0!</v>
      </c>
      <c r="AI1282" s="1" t="e">
        <f t="shared" si="106"/>
        <v>#DIV/0!</v>
      </c>
      <c r="AJ1282" s="4" t="e">
        <f ca="1">SQRT($B$9)*_xlfn.STDEV.S(AI1282:OFFSET(AI1282,$B$5-1,0))</f>
        <v>#DIV/0!</v>
      </c>
      <c r="AK1282" s="4" t="e">
        <f ca="1">SQRT($B$9)*_xlfn.STDEV.S(AI1282:OFFSET(AI1282,$B$6-1,0))</f>
        <v>#DIV/0!</v>
      </c>
      <c r="AL1282" s="4" t="e">
        <f ca="1">SQRT($B$9)*_xlfn.STDEV.S(AI1282:OFFSET(AI1282,$B$7-1,0))</f>
        <v>#DIV/0!</v>
      </c>
      <c r="AM1282" s="4" t="e">
        <f ca="1">SQRT($B$9)*_xlfn.STDEV.S(AI1282:OFFSET(AI1282,$B$8-1,0))</f>
        <v>#DIV/0!</v>
      </c>
    </row>
    <row r="1283" spans="11:39" x14ac:dyDescent="0.2">
      <c r="K1283" s="3" t="e">
        <f t="shared" si="104"/>
        <v>#DIV/0!</v>
      </c>
      <c r="L1283" s="3" t="e">
        <f ca="1">SQRT(AVERAGE(K1283:OFFSET(K1283,$B$5-1,0))*$B$9/(4*LN(2)))</f>
        <v>#DIV/0!</v>
      </c>
      <c r="M1283" s="3" t="e">
        <f ca="1">SQRT(AVERAGE(K1283:OFFSET(K1283,$B$6-1,0))*$B$9/(4*LN(2)))</f>
        <v>#DIV/0!</v>
      </c>
      <c r="N1283" s="3" t="e">
        <f ca="1">SQRT(AVERAGE(K1283:OFFSET(K1283,$B$7-1,0))*$B$9/(4*LN(2)))</f>
        <v>#DIV/0!</v>
      </c>
      <c r="O1283" s="3" t="e">
        <f ca="1">SQRT(AVERAGE(K1283:OFFSET(K1283,$B$8-1,0))*$B$9/(4*LN(2)))</f>
        <v>#DIV/0!</v>
      </c>
      <c r="Q1283" s="5" t="e">
        <f t="shared" si="103"/>
        <v>#DIV/0!</v>
      </c>
      <c r="R1283" s="5" t="e">
        <f ca="1">SQRT($B$9*AVERAGE((Q1283:OFFSET(Q1283,$B$5-1,0))))</f>
        <v>#DIV/0!</v>
      </c>
      <c r="S1283" s="5" t="e">
        <f ca="1">SQRT($B$9*AVERAGE((Q1283:OFFSET(Q1283,$B$6-1,0))))</f>
        <v>#DIV/0!</v>
      </c>
      <c r="T1283" s="5" t="e">
        <f ca="1">SQRT($B$9*AVERAGE((Q1283:OFFSET(Q1283,$B$7-1,0))))</f>
        <v>#DIV/0!</v>
      </c>
      <c r="U1283" s="5" t="e">
        <f ca="1">SQRT($B$9*AVERAGE((Q1283:OFFSET(Q1283,$B$8-1,0))))</f>
        <v>#DIV/0!</v>
      </c>
      <c r="W1283" s="6" t="e">
        <f t="shared" si="107"/>
        <v>#DIV/0!</v>
      </c>
      <c r="X1283" s="6" t="e">
        <f ca="1">SQRT($B$9*AVERAGE(W1283:OFFSET(W1283,$B$5-1,0)))</f>
        <v>#DIV/0!</v>
      </c>
      <c r="Y1283" s="6" t="e">
        <f ca="1">SQRT($B$9*AVERAGE(W1283:OFFSET(W1283,$B$6-1,0)))</f>
        <v>#DIV/0!</v>
      </c>
      <c r="Z1283" s="6" t="e">
        <f ca="1">SQRT($B$9*AVERAGE(W1283:OFFSET(W1283,$B$7-1,0)))</f>
        <v>#DIV/0!</v>
      </c>
      <c r="AA1283" s="6" t="e">
        <f ca="1">SQRT($B$9*AVERAGE(W1283:OFFSET(W1283,$B$8-1,0)))</f>
        <v>#DIV/0!</v>
      </c>
      <c r="AC1283" s="34" t="e">
        <f t="shared" si="105"/>
        <v>#DIV/0!</v>
      </c>
      <c r="AD1283" s="34" t="e">
        <f ca="1">SQRT($B$9*SUM(AC1283:OFFSET(AC1283,$B$5-1,0))/($B$5-1))</f>
        <v>#DIV/0!</v>
      </c>
      <c r="AE1283" s="34" t="e">
        <f ca="1">SQRT($B$9*SUM(AC1283:OFFSET(AC1283,$B$6-1,0))/($B$6-1))</f>
        <v>#DIV/0!</v>
      </c>
      <c r="AF1283" s="34" t="e">
        <f ca="1">SQRT($B$9*SUM(AC1283:OFFSET(AC1283,$B$7-1,0))/($B$7-1))</f>
        <v>#DIV/0!</v>
      </c>
      <c r="AG1283" s="34" t="e">
        <f ca="1">SQRT($B$9*SUM(AC1283:OFFSET(AC1283,$B$8-1,0))/($B$8-1))</f>
        <v>#DIV/0!</v>
      </c>
      <c r="AI1283" s="1" t="e">
        <f t="shared" si="106"/>
        <v>#DIV/0!</v>
      </c>
      <c r="AJ1283" s="4" t="e">
        <f ca="1">SQRT($B$9)*_xlfn.STDEV.S(AI1283:OFFSET(AI1283,$B$5-1,0))</f>
        <v>#DIV/0!</v>
      </c>
      <c r="AK1283" s="4" t="e">
        <f ca="1">SQRT($B$9)*_xlfn.STDEV.S(AI1283:OFFSET(AI1283,$B$6-1,0))</f>
        <v>#DIV/0!</v>
      </c>
      <c r="AL1283" s="4" t="e">
        <f ca="1">SQRT($B$9)*_xlfn.STDEV.S(AI1283:OFFSET(AI1283,$B$7-1,0))</f>
        <v>#DIV/0!</v>
      </c>
      <c r="AM1283" s="4" t="e">
        <f ca="1">SQRT($B$9)*_xlfn.STDEV.S(AI1283:OFFSET(AI1283,$B$8-1,0))</f>
        <v>#DIV/0!</v>
      </c>
    </row>
    <row r="1284" spans="11:39" x14ac:dyDescent="0.2">
      <c r="K1284" s="3" t="e">
        <f t="shared" si="104"/>
        <v>#DIV/0!</v>
      </c>
      <c r="L1284" s="3" t="e">
        <f ca="1">SQRT(AVERAGE(K1284:OFFSET(K1284,$B$5-1,0))*$B$9/(4*LN(2)))</f>
        <v>#DIV/0!</v>
      </c>
      <c r="M1284" s="3" t="e">
        <f ca="1">SQRT(AVERAGE(K1284:OFFSET(K1284,$B$6-1,0))*$B$9/(4*LN(2)))</f>
        <v>#DIV/0!</v>
      </c>
      <c r="N1284" s="3" t="e">
        <f ca="1">SQRT(AVERAGE(K1284:OFFSET(K1284,$B$7-1,0))*$B$9/(4*LN(2)))</f>
        <v>#DIV/0!</v>
      </c>
      <c r="O1284" s="3" t="e">
        <f ca="1">SQRT(AVERAGE(K1284:OFFSET(K1284,$B$8-1,0))*$B$9/(4*LN(2)))</f>
        <v>#DIV/0!</v>
      </c>
      <c r="Q1284" s="5" t="e">
        <f t="shared" si="103"/>
        <v>#DIV/0!</v>
      </c>
      <c r="R1284" s="5" t="e">
        <f ca="1">SQRT($B$9*AVERAGE((Q1284:OFFSET(Q1284,$B$5-1,0))))</f>
        <v>#DIV/0!</v>
      </c>
      <c r="S1284" s="5" t="e">
        <f ca="1">SQRT($B$9*AVERAGE((Q1284:OFFSET(Q1284,$B$6-1,0))))</f>
        <v>#DIV/0!</v>
      </c>
      <c r="T1284" s="5" t="e">
        <f ca="1">SQRT($B$9*AVERAGE((Q1284:OFFSET(Q1284,$B$7-1,0))))</f>
        <v>#DIV/0!</v>
      </c>
      <c r="U1284" s="5" t="e">
        <f ca="1">SQRT($B$9*AVERAGE((Q1284:OFFSET(Q1284,$B$8-1,0))))</f>
        <v>#DIV/0!</v>
      </c>
      <c r="W1284" s="6" t="e">
        <f t="shared" si="107"/>
        <v>#DIV/0!</v>
      </c>
      <c r="X1284" s="6" t="e">
        <f ca="1">SQRT($B$9*AVERAGE(W1284:OFFSET(W1284,$B$5-1,0)))</f>
        <v>#DIV/0!</v>
      </c>
      <c r="Y1284" s="6" t="e">
        <f ca="1">SQRT($B$9*AVERAGE(W1284:OFFSET(W1284,$B$6-1,0)))</f>
        <v>#DIV/0!</v>
      </c>
      <c r="Z1284" s="6" t="e">
        <f ca="1">SQRT($B$9*AVERAGE(W1284:OFFSET(W1284,$B$7-1,0)))</f>
        <v>#DIV/0!</v>
      </c>
      <c r="AA1284" s="6" t="e">
        <f ca="1">SQRT($B$9*AVERAGE(W1284:OFFSET(W1284,$B$8-1,0)))</f>
        <v>#DIV/0!</v>
      </c>
      <c r="AC1284" s="34" t="e">
        <f t="shared" si="105"/>
        <v>#DIV/0!</v>
      </c>
      <c r="AD1284" s="34" t="e">
        <f ca="1">SQRT($B$9*SUM(AC1284:OFFSET(AC1284,$B$5-1,0))/($B$5-1))</f>
        <v>#DIV/0!</v>
      </c>
      <c r="AE1284" s="34" t="e">
        <f ca="1">SQRT($B$9*SUM(AC1284:OFFSET(AC1284,$B$6-1,0))/($B$6-1))</f>
        <v>#DIV/0!</v>
      </c>
      <c r="AF1284" s="34" t="e">
        <f ca="1">SQRT($B$9*SUM(AC1284:OFFSET(AC1284,$B$7-1,0))/($B$7-1))</f>
        <v>#DIV/0!</v>
      </c>
      <c r="AG1284" s="34" t="e">
        <f ca="1">SQRT($B$9*SUM(AC1284:OFFSET(AC1284,$B$8-1,0))/($B$8-1))</f>
        <v>#DIV/0!</v>
      </c>
      <c r="AI1284" s="1" t="e">
        <f t="shared" si="106"/>
        <v>#DIV/0!</v>
      </c>
      <c r="AJ1284" s="4" t="e">
        <f ca="1">SQRT($B$9)*_xlfn.STDEV.S(AI1284:OFFSET(AI1284,$B$5-1,0))</f>
        <v>#DIV/0!</v>
      </c>
      <c r="AK1284" s="4" t="e">
        <f ca="1">SQRT($B$9)*_xlfn.STDEV.S(AI1284:OFFSET(AI1284,$B$6-1,0))</f>
        <v>#DIV/0!</v>
      </c>
      <c r="AL1284" s="4" t="e">
        <f ca="1">SQRT($B$9)*_xlfn.STDEV.S(AI1284:OFFSET(AI1284,$B$7-1,0))</f>
        <v>#DIV/0!</v>
      </c>
      <c r="AM1284" s="4" t="e">
        <f ca="1">SQRT($B$9)*_xlfn.STDEV.S(AI1284:OFFSET(AI1284,$B$8-1,0))</f>
        <v>#DIV/0!</v>
      </c>
    </row>
    <row r="1285" spans="11:39" x14ac:dyDescent="0.2">
      <c r="K1285" s="3" t="e">
        <f t="shared" si="104"/>
        <v>#DIV/0!</v>
      </c>
      <c r="L1285" s="3" t="e">
        <f ca="1">SQRT(AVERAGE(K1285:OFFSET(K1285,$B$5-1,0))*$B$9/(4*LN(2)))</f>
        <v>#DIV/0!</v>
      </c>
      <c r="M1285" s="3" t="e">
        <f ca="1">SQRT(AVERAGE(K1285:OFFSET(K1285,$B$6-1,0))*$B$9/(4*LN(2)))</f>
        <v>#DIV/0!</v>
      </c>
      <c r="N1285" s="3" t="e">
        <f ca="1">SQRT(AVERAGE(K1285:OFFSET(K1285,$B$7-1,0))*$B$9/(4*LN(2)))</f>
        <v>#DIV/0!</v>
      </c>
      <c r="O1285" s="3" t="e">
        <f ca="1">SQRT(AVERAGE(K1285:OFFSET(K1285,$B$8-1,0))*$B$9/(4*LN(2)))</f>
        <v>#DIV/0!</v>
      </c>
      <c r="Q1285" s="5" t="e">
        <f t="shared" ref="Q1285:Q1348" si="108">0.511*(LN(G1285/H1285))^2-0.019*(LN(I1285/F1285)*LN(G1285*H1285/F1285^2)-2*LN(G1285/F1285)*LN(H1285/F1285))-0.383*(LN(I1285/F1285))^2</f>
        <v>#DIV/0!</v>
      </c>
      <c r="R1285" s="5" t="e">
        <f ca="1">SQRT($B$9*AVERAGE((Q1285:OFFSET(Q1285,$B$5-1,0))))</f>
        <v>#DIV/0!</v>
      </c>
      <c r="S1285" s="5" t="e">
        <f ca="1">SQRT($B$9*AVERAGE((Q1285:OFFSET(Q1285,$B$6-1,0))))</f>
        <v>#DIV/0!</v>
      </c>
      <c r="T1285" s="5" t="e">
        <f ca="1">SQRT($B$9*AVERAGE((Q1285:OFFSET(Q1285,$B$7-1,0))))</f>
        <v>#DIV/0!</v>
      </c>
      <c r="U1285" s="5" t="e">
        <f ca="1">SQRT($B$9*AVERAGE((Q1285:OFFSET(Q1285,$B$8-1,0))))</f>
        <v>#DIV/0!</v>
      </c>
      <c r="W1285" s="6" t="e">
        <f t="shared" si="107"/>
        <v>#DIV/0!</v>
      </c>
      <c r="X1285" s="6" t="e">
        <f ca="1">SQRT($B$9*AVERAGE(W1285:OFFSET(W1285,$B$5-1,0)))</f>
        <v>#DIV/0!</v>
      </c>
      <c r="Y1285" s="6" t="e">
        <f ca="1">SQRT($B$9*AVERAGE(W1285:OFFSET(W1285,$B$6-1,0)))</f>
        <v>#DIV/0!</v>
      </c>
      <c r="Z1285" s="6" t="e">
        <f ca="1">SQRT($B$9*AVERAGE(W1285:OFFSET(W1285,$B$7-1,0)))</f>
        <v>#DIV/0!</v>
      </c>
      <c r="AA1285" s="6" t="e">
        <f ca="1">SQRT($B$9*AVERAGE(W1285:OFFSET(W1285,$B$8-1,0)))</f>
        <v>#DIV/0!</v>
      </c>
      <c r="AC1285" s="34" t="e">
        <f t="shared" si="105"/>
        <v>#DIV/0!</v>
      </c>
      <c r="AD1285" s="34" t="e">
        <f ca="1">SQRT($B$9*SUM(AC1285:OFFSET(AC1285,$B$5-1,0))/($B$5-1))</f>
        <v>#DIV/0!</v>
      </c>
      <c r="AE1285" s="34" t="e">
        <f ca="1">SQRT($B$9*SUM(AC1285:OFFSET(AC1285,$B$6-1,0))/($B$6-1))</f>
        <v>#DIV/0!</v>
      </c>
      <c r="AF1285" s="34" t="e">
        <f ca="1">SQRT($B$9*SUM(AC1285:OFFSET(AC1285,$B$7-1,0))/($B$7-1))</f>
        <v>#DIV/0!</v>
      </c>
      <c r="AG1285" s="34" t="e">
        <f ca="1">SQRT($B$9*SUM(AC1285:OFFSET(AC1285,$B$8-1,0))/($B$8-1))</f>
        <v>#DIV/0!</v>
      </c>
      <c r="AI1285" s="1" t="e">
        <f t="shared" si="106"/>
        <v>#DIV/0!</v>
      </c>
      <c r="AJ1285" s="4" t="e">
        <f ca="1">SQRT($B$9)*_xlfn.STDEV.S(AI1285:OFFSET(AI1285,$B$5-1,0))</f>
        <v>#DIV/0!</v>
      </c>
      <c r="AK1285" s="4" t="e">
        <f ca="1">SQRT($B$9)*_xlfn.STDEV.S(AI1285:OFFSET(AI1285,$B$6-1,0))</f>
        <v>#DIV/0!</v>
      </c>
      <c r="AL1285" s="4" t="e">
        <f ca="1">SQRT($B$9)*_xlfn.STDEV.S(AI1285:OFFSET(AI1285,$B$7-1,0))</f>
        <v>#DIV/0!</v>
      </c>
      <c r="AM1285" s="4" t="e">
        <f ca="1">SQRT($B$9)*_xlfn.STDEV.S(AI1285:OFFSET(AI1285,$B$8-1,0))</f>
        <v>#DIV/0!</v>
      </c>
    </row>
    <row r="1286" spans="11:39" x14ac:dyDescent="0.2">
      <c r="K1286" s="3" t="e">
        <f t="shared" ref="K1286:K1349" si="109">(LN(G1286/H1286))^2</f>
        <v>#DIV/0!</v>
      </c>
      <c r="L1286" s="3" t="e">
        <f ca="1">SQRT(AVERAGE(K1286:OFFSET(K1286,$B$5-1,0))*$B$9/(4*LN(2)))</f>
        <v>#DIV/0!</v>
      </c>
      <c r="M1286" s="3" t="e">
        <f ca="1">SQRT(AVERAGE(K1286:OFFSET(K1286,$B$6-1,0))*$B$9/(4*LN(2)))</f>
        <v>#DIV/0!</v>
      </c>
      <c r="N1286" s="3" t="e">
        <f ca="1">SQRT(AVERAGE(K1286:OFFSET(K1286,$B$7-1,0))*$B$9/(4*LN(2)))</f>
        <v>#DIV/0!</v>
      </c>
      <c r="O1286" s="3" t="e">
        <f ca="1">SQRT(AVERAGE(K1286:OFFSET(K1286,$B$8-1,0))*$B$9/(4*LN(2)))</f>
        <v>#DIV/0!</v>
      </c>
      <c r="Q1286" s="5" t="e">
        <f t="shared" si="108"/>
        <v>#DIV/0!</v>
      </c>
      <c r="R1286" s="5" t="e">
        <f ca="1">SQRT($B$9*AVERAGE((Q1286:OFFSET(Q1286,$B$5-1,0))))</f>
        <v>#DIV/0!</v>
      </c>
      <c r="S1286" s="5" t="e">
        <f ca="1">SQRT($B$9*AVERAGE((Q1286:OFFSET(Q1286,$B$6-1,0))))</f>
        <v>#DIV/0!</v>
      </c>
      <c r="T1286" s="5" t="e">
        <f ca="1">SQRT($B$9*AVERAGE((Q1286:OFFSET(Q1286,$B$7-1,0))))</f>
        <v>#DIV/0!</v>
      </c>
      <c r="U1286" s="5" t="e">
        <f ca="1">SQRT($B$9*AVERAGE((Q1286:OFFSET(Q1286,$B$8-1,0))))</f>
        <v>#DIV/0!</v>
      </c>
      <c r="W1286" s="6" t="e">
        <f t="shared" si="107"/>
        <v>#DIV/0!</v>
      </c>
      <c r="X1286" s="6" t="e">
        <f ca="1">SQRT($B$9*AVERAGE(W1286:OFFSET(W1286,$B$5-1,0)))</f>
        <v>#DIV/0!</v>
      </c>
      <c r="Y1286" s="6" t="e">
        <f ca="1">SQRT($B$9*AVERAGE(W1286:OFFSET(W1286,$B$6-1,0)))</f>
        <v>#DIV/0!</v>
      </c>
      <c r="Z1286" s="6" t="e">
        <f ca="1">SQRT($B$9*AVERAGE(W1286:OFFSET(W1286,$B$7-1,0)))</f>
        <v>#DIV/0!</v>
      </c>
      <c r="AA1286" s="6" t="e">
        <f ca="1">SQRT($B$9*AVERAGE(W1286:OFFSET(W1286,$B$8-1,0)))</f>
        <v>#DIV/0!</v>
      </c>
      <c r="AC1286" s="34" t="e">
        <f t="shared" si="105"/>
        <v>#DIV/0!</v>
      </c>
      <c r="AD1286" s="34" t="e">
        <f ca="1">SQRT($B$9*SUM(AC1286:OFFSET(AC1286,$B$5-1,0))/($B$5-1))</f>
        <v>#DIV/0!</v>
      </c>
      <c r="AE1286" s="34" t="e">
        <f ca="1">SQRT($B$9*SUM(AC1286:OFFSET(AC1286,$B$6-1,0))/($B$6-1))</f>
        <v>#DIV/0!</v>
      </c>
      <c r="AF1286" s="34" t="e">
        <f ca="1">SQRT($B$9*SUM(AC1286:OFFSET(AC1286,$B$7-1,0))/($B$7-1))</f>
        <v>#DIV/0!</v>
      </c>
      <c r="AG1286" s="34" t="e">
        <f ca="1">SQRT($B$9*SUM(AC1286:OFFSET(AC1286,$B$8-1,0))/($B$8-1))</f>
        <v>#DIV/0!</v>
      </c>
      <c r="AI1286" s="1" t="e">
        <f t="shared" si="106"/>
        <v>#DIV/0!</v>
      </c>
      <c r="AJ1286" s="4" t="e">
        <f ca="1">SQRT($B$9)*_xlfn.STDEV.S(AI1286:OFFSET(AI1286,$B$5-1,0))</f>
        <v>#DIV/0!</v>
      </c>
      <c r="AK1286" s="4" t="e">
        <f ca="1">SQRT($B$9)*_xlfn.STDEV.S(AI1286:OFFSET(AI1286,$B$6-1,0))</f>
        <v>#DIV/0!</v>
      </c>
      <c r="AL1286" s="4" t="e">
        <f ca="1">SQRT($B$9)*_xlfn.STDEV.S(AI1286:OFFSET(AI1286,$B$7-1,0))</f>
        <v>#DIV/0!</v>
      </c>
      <c r="AM1286" s="4" t="e">
        <f ca="1">SQRT($B$9)*_xlfn.STDEV.S(AI1286:OFFSET(AI1286,$B$8-1,0))</f>
        <v>#DIV/0!</v>
      </c>
    </row>
    <row r="1287" spans="11:39" x14ac:dyDescent="0.2">
      <c r="K1287" s="3" t="e">
        <f t="shared" si="109"/>
        <v>#DIV/0!</v>
      </c>
      <c r="L1287" s="3" t="e">
        <f ca="1">SQRT(AVERAGE(K1287:OFFSET(K1287,$B$5-1,0))*$B$9/(4*LN(2)))</f>
        <v>#DIV/0!</v>
      </c>
      <c r="M1287" s="3" t="e">
        <f ca="1">SQRT(AVERAGE(K1287:OFFSET(K1287,$B$6-1,0))*$B$9/(4*LN(2)))</f>
        <v>#DIV/0!</v>
      </c>
      <c r="N1287" s="3" t="e">
        <f ca="1">SQRT(AVERAGE(K1287:OFFSET(K1287,$B$7-1,0))*$B$9/(4*LN(2)))</f>
        <v>#DIV/0!</v>
      </c>
      <c r="O1287" s="3" t="e">
        <f ca="1">SQRT(AVERAGE(K1287:OFFSET(K1287,$B$8-1,0))*$B$9/(4*LN(2)))</f>
        <v>#DIV/0!</v>
      </c>
      <c r="Q1287" s="5" t="e">
        <f t="shared" si="108"/>
        <v>#DIV/0!</v>
      </c>
      <c r="R1287" s="5" t="e">
        <f ca="1">SQRT($B$9*AVERAGE((Q1287:OFFSET(Q1287,$B$5-1,0))))</f>
        <v>#DIV/0!</v>
      </c>
      <c r="S1287" s="5" t="e">
        <f ca="1">SQRT($B$9*AVERAGE((Q1287:OFFSET(Q1287,$B$6-1,0))))</f>
        <v>#DIV/0!</v>
      </c>
      <c r="T1287" s="5" t="e">
        <f ca="1">SQRT($B$9*AVERAGE((Q1287:OFFSET(Q1287,$B$7-1,0))))</f>
        <v>#DIV/0!</v>
      </c>
      <c r="U1287" s="5" t="e">
        <f ca="1">SQRT($B$9*AVERAGE((Q1287:OFFSET(Q1287,$B$8-1,0))))</f>
        <v>#DIV/0!</v>
      </c>
      <c r="W1287" s="6" t="e">
        <f t="shared" si="107"/>
        <v>#DIV/0!</v>
      </c>
      <c r="X1287" s="6" t="e">
        <f ca="1">SQRT($B$9*AVERAGE(W1287:OFFSET(W1287,$B$5-1,0)))</f>
        <v>#DIV/0!</v>
      </c>
      <c r="Y1287" s="6" t="e">
        <f ca="1">SQRT($B$9*AVERAGE(W1287:OFFSET(W1287,$B$6-1,0)))</f>
        <v>#DIV/0!</v>
      </c>
      <c r="Z1287" s="6" t="e">
        <f ca="1">SQRT($B$9*AVERAGE(W1287:OFFSET(W1287,$B$7-1,0)))</f>
        <v>#DIV/0!</v>
      </c>
      <c r="AA1287" s="6" t="e">
        <f ca="1">SQRT($B$9*AVERAGE(W1287:OFFSET(W1287,$B$8-1,0)))</f>
        <v>#DIV/0!</v>
      </c>
      <c r="AC1287" s="34" t="e">
        <f t="shared" si="105"/>
        <v>#DIV/0!</v>
      </c>
      <c r="AD1287" s="34" t="e">
        <f ca="1">SQRT($B$9*SUM(AC1287:OFFSET(AC1287,$B$5-1,0))/($B$5-1))</f>
        <v>#DIV/0!</v>
      </c>
      <c r="AE1287" s="34" t="e">
        <f ca="1">SQRT($B$9*SUM(AC1287:OFFSET(AC1287,$B$6-1,0))/($B$6-1))</f>
        <v>#DIV/0!</v>
      </c>
      <c r="AF1287" s="34" t="e">
        <f ca="1">SQRT($B$9*SUM(AC1287:OFFSET(AC1287,$B$7-1,0))/($B$7-1))</f>
        <v>#DIV/0!</v>
      </c>
      <c r="AG1287" s="34" t="e">
        <f ca="1">SQRT($B$9*SUM(AC1287:OFFSET(AC1287,$B$8-1,0))/($B$8-1))</f>
        <v>#DIV/0!</v>
      </c>
      <c r="AI1287" s="1" t="e">
        <f t="shared" si="106"/>
        <v>#DIV/0!</v>
      </c>
      <c r="AJ1287" s="4" t="e">
        <f ca="1">SQRT($B$9)*_xlfn.STDEV.S(AI1287:OFFSET(AI1287,$B$5-1,0))</f>
        <v>#DIV/0!</v>
      </c>
      <c r="AK1287" s="4" t="e">
        <f ca="1">SQRT($B$9)*_xlfn.STDEV.S(AI1287:OFFSET(AI1287,$B$6-1,0))</f>
        <v>#DIV/0!</v>
      </c>
      <c r="AL1287" s="4" t="e">
        <f ca="1">SQRT($B$9)*_xlfn.STDEV.S(AI1287:OFFSET(AI1287,$B$7-1,0))</f>
        <v>#DIV/0!</v>
      </c>
      <c r="AM1287" s="4" t="e">
        <f ca="1">SQRT($B$9)*_xlfn.STDEV.S(AI1287:OFFSET(AI1287,$B$8-1,0))</f>
        <v>#DIV/0!</v>
      </c>
    </row>
    <row r="1288" spans="11:39" x14ac:dyDescent="0.2">
      <c r="K1288" s="3" t="e">
        <f t="shared" si="109"/>
        <v>#DIV/0!</v>
      </c>
      <c r="L1288" s="3" t="e">
        <f ca="1">SQRT(AVERAGE(K1288:OFFSET(K1288,$B$5-1,0))*$B$9/(4*LN(2)))</f>
        <v>#DIV/0!</v>
      </c>
      <c r="M1288" s="3" t="e">
        <f ca="1">SQRT(AVERAGE(K1288:OFFSET(K1288,$B$6-1,0))*$B$9/(4*LN(2)))</f>
        <v>#DIV/0!</v>
      </c>
      <c r="N1288" s="3" t="e">
        <f ca="1">SQRT(AVERAGE(K1288:OFFSET(K1288,$B$7-1,0))*$B$9/(4*LN(2)))</f>
        <v>#DIV/0!</v>
      </c>
      <c r="O1288" s="3" t="e">
        <f ca="1">SQRT(AVERAGE(K1288:OFFSET(K1288,$B$8-1,0))*$B$9/(4*LN(2)))</f>
        <v>#DIV/0!</v>
      </c>
      <c r="Q1288" s="5" t="e">
        <f t="shared" si="108"/>
        <v>#DIV/0!</v>
      </c>
      <c r="R1288" s="5" t="e">
        <f ca="1">SQRT($B$9*AVERAGE((Q1288:OFFSET(Q1288,$B$5-1,0))))</f>
        <v>#DIV/0!</v>
      </c>
      <c r="S1288" s="5" t="e">
        <f ca="1">SQRT($B$9*AVERAGE((Q1288:OFFSET(Q1288,$B$6-1,0))))</f>
        <v>#DIV/0!</v>
      </c>
      <c r="T1288" s="5" t="e">
        <f ca="1">SQRT($B$9*AVERAGE((Q1288:OFFSET(Q1288,$B$7-1,0))))</f>
        <v>#DIV/0!</v>
      </c>
      <c r="U1288" s="5" t="e">
        <f ca="1">SQRT($B$9*AVERAGE((Q1288:OFFSET(Q1288,$B$8-1,0))))</f>
        <v>#DIV/0!</v>
      </c>
      <c r="W1288" s="6" t="e">
        <f t="shared" si="107"/>
        <v>#DIV/0!</v>
      </c>
      <c r="X1288" s="6" t="e">
        <f ca="1">SQRT($B$9*AVERAGE(W1288:OFFSET(W1288,$B$5-1,0)))</f>
        <v>#DIV/0!</v>
      </c>
      <c r="Y1288" s="6" t="e">
        <f ca="1">SQRT($B$9*AVERAGE(W1288:OFFSET(W1288,$B$6-1,0)))</f>
        <v>#DIV/0!</v>
      </c>
      <c r="Z1288" s="6" t="e">
        <f ca="1">SQRT($B$9*AVERAGE(W1288:OFFSET(W1288,$B$7-1,0)))</f>
        <v>#DIV/0!</v>
      </c>
      <c r="AA1288" s="6" t="e">
        <f ca="1">SQRT($B$9*AVERAGE(W1288:OFFSET(W1288,$B$8-1,0)))</f>
        <v>#DIV/0!</v>
      </c>
      <c r="AC1288" s="34" t="e">
        <f t="shared" si="105"/>
        <v>#DIV/0!</v>
      </c>
      <c r="AD1288" s="34" t="e">
        <f ca="1">SQRT($B$9*SUM(AC1288:OFFSET(AC1288,$B$5-1,0))/($B$5-1))</f>
        <v>#DIV/0!</v>
      </c>
      <c r="AE1288" s="34" t="e">
        <f ca="1">SQRT($B$9*SUM(AC1288:OFFSET(AC1288,$B$6-1,0))/($B$6-1))</f>
        <v>#DIV/0!</v>
      </c>
      <c r="AF1288" s="34" t="e">
        <f ca="1">SQRT($B$9*SUM(AC1288:OFFSET(AC1288,$B$7-1,0))/($B$7-1))</f>
        <v>#DIV/0!</v>
      </c>
      <c r="AG1288" s="34" t="e">
        <f ca="1">SQRT($B$9*SUM(AC1288:OFFSET(AC1288,$B$8-1,0))/($B$8-1))</f>
        <v>#DIV/0!</v>
      </c>
      <c r="AI1288" s="1" t="e">
        <f t="shared" si="106"/>
        <v>#DIV/0!</v>
      </c>
      <c r="AJ1288" s="4" t="e">
        <f ca="1">SQRT($B$9)*_xlfn.STDEV.S(AI1288:OFFSET(AI1288,$B$5-1,0))</f>
        <v>#DIV/0!</v>
      </c>
      <c r="AK1288" s="4" t="e">
        <f ca="1">SQRT($B$9)*_xlfn.STDEV.S(AI1288:OFFSET(AI1288,$B$6-1,0))</f>
        <v>#DIV/0!</v>
      </c>
      <c r="AL1288" s="4" t="e">
        <f ca="1">SQRT($B$9)*_xlfn.STDEV.S(AI1288:OFFSET(AI1288,$B$7-1,0))</f>
        <v>#DIV/0!</v>
      </c>
      <c r="AM1288" s="4" t="e">
        <f ca="1">SQRT($B$9)*_xlfn.STDEV.S(AI1288:OFFSET(AI1288,$B$8-1,0))</f>
        <v>#DIV/0!</v>
      </c>
    </row>
    <row r="1289" spans="11:39" x14ac:dyDescent="0.2">
      <c r="K1289" s="3" t="e">
        <f t="shared" si="109"/>
        <v>#DIV/0!</v>
      </c>
      <c r="L1289" s="3" t="e">
        <f ca="1">SQRT(AVERAGE(K1289:OFFSET(K1289,$B$5-1,0))*$B$9/(4*LN(2)))</f>
        <v>#DIV/0!</v>
      </c>
      <c r="M1289" s="3" t="e">
        <f ca="1">SQRT(AVERAGE(K1289:OFFSET(K1289,$B$6-1,0))*$B$9/(4*LN(2)))</f>
        <v>#DIV/0!</v>
      </c>
      <c r="N1289" s="3" t="e">
        <f ca="1">SQRT(AVERAGE(K1289:OFFSET(K1289,$B$7-1,0))*$B$9/(4*LN(2)))</f>
        <v>#DIV/0!</v>
      </c>
      <c r="O1289" s="3" t="e">
        <f ca="1">SQRT(AVERAGE(K1289:OFFSET(K1289,$B$8-1,0))*$B$9/(4*LN(2)))</f>
        <v>#DIV/0!</v>
      </c>
      <c r="Q1289" s="5" t="e">
        <f t="shared" si="108"/>
        <v>#DIV/0!</v>
      </c>
      <c r="R1289" s="5" t="e">
        <f ca="1">SQRT($B$9*AVERAGE((Q1289:OFFSET(Q1289,$B$5-1,0))))</f>
        <v>#DIV/0!</v>
      </c>
      <c r="S1289" s="5" t="e">
        <f ca="1">SQRT($B$9*AVERAGE((Q1289:OFFSET(Q1289,$B$6-1,0))))</f>
        <v>#DIV/0!</v>
      </c>
      <c r="T1289" s="5" t="e">
        <f ca="1">SQRT($B$9*AVERAGE((Q1289:OFFSET(Q1289,$B$7-1,0))))</f>
        <v>#DIV/0!</v>
      </c>
      <c r="U1289" s="5" t="e">
        <f ca="1">SQRT($B$9*AVERAGE((Q1289:OFFSET(Q1289,$B$8-1,0))))</f>
        <v>#DIV/0!</v>
      </c>
      <c r="W1289" s="6" t="e">
        <f t="shared" si="107"/>
        <v>#DIV/0!</v>
      </c>
      <c r="X1289" s="6" t="e">
        <f ca="1">SQRT($B$9*AVERAGE(W1289:OFFSET(W1289,$B$5-1,0)))</f>
        <v>#DIV/0!</v>
      </c>
      <c r="Y1289" s="6" t="e">
        <f ca="1">SQRT($B$9*AVERAGE(W1289:OFFSET(W1289,$B$6-1,0)))</f>
        <v>#DIV/0!</v>
      </c>
      <c r="Z1289" s="6" t="e">
        <f ca="1">SQRT($B$9*AVERAGE(W1289:OFFSET(W1289,$B$7-1,0)))</f>
        <v>#DIV/0!</v>
      </c>
      <c r="AA1289" s="6" t="e">
        <f ca="1">SQRT($B$9*AVERAGE(W1289:OFFSET(W1289,$B$8-1,0)))</f>
        <v>#DIV/0!</v>
      </c>
      <c r="AC1289" s="34" t="e">
        <f t="shared" si="105"/>
        <v>#DIV/0!</v>
      </c>
      <c r="AD1289" s="34" t="e">
        <f ca="1">SQRT($B$9*SUM(AC1289:OFFSET(AC1289,$B$5-1,0))/($B$5-1))</f>
        <v>#DIV/0!</v>
      </c>
      <c r="AE1289" s="34" t="e">
        <f ca="1">SQRT($B$9*SUM(AC1289:OFFSET(AC1289,$B$6-1,0))/($B$6-1))</f>
        <v>#DIV/0!</v>
      </c>
      <c r="AF1289" s="34" t="e">
        <f ca="1">SQRT($B$9*SUM(AC1289:OFFSET(AC1289,$B$7-1,0))/($B$7-1))</f>
        <v>#DIV/0!</v>
      </c>
      <c r="AG1289" s="34" t="e">
        <f ca="1">SQRT($B$9*SUM(AC1289:OFFSET(AC1289,$B$8-1,0))/($B$8-1))</f>
        <v>#DIV/0!</v>
      </c>
      <c r="AI1289" s="1" t="e">
        <f t="shared" si="106"/>
        <v>#DIV/0!</v>
      </c>
      <c r="AJ1289" s="4" t="e">
        <f ca="1">SQRT($B$9)*_xlfn.STDEV.S(AI1289:OFFSET(AI1289,$B$5-1,0))</f>
        <v>#DIV/0!</v>
      </c>
      <c r="AK1289" s="4" t="e">
        <f ca="1">SQRT($B$9)*_xlfn.STDEV.S(AI1289:OFFSET(AI1289,$B$6-1,0))</f>
        <v>#DIV/0!</v>
      </c>
      <c r="AL1289" s="4" t="e">
        <f ca="1">SQRT($B$9)*_xlfn.STDEV.S(AI1289:OFFSET(AI1289,$B$7-1,0))</f>
        <v>#DIV/0!</v>
      </c>
      <c r="AM1289" s="4" t="e">
        <f ca="1">SQRT($B$9)*_xlfn.STDEV.S(AI1289:OFFSET(AI1289,$B$8-1,0))</f>
        <v>#DIV/0!</v>
      </c>
    </row>
    <row r="1290" spans="11:39" x14ac:dyDescent="0.2">
      <c r="K1290" s="3" t="e">
        <f t="shared" si="109"/>
        <v>#DIV/0!</v>
      </c>
      <c r="L1290" s="3" t="e">
        <f ca="1">SQRT(AVERAGE(K1290:OFFSET(K1290,$B$5-1,0))*$B$9/(4*LN(2)))</f>
        <v>#DIV/0!</v>
      </c>
      <c r="M1290" s="3" t="e">
        <f ca="1">SQRT(AVERAGE(K1290:OFFSET(K1290,$B$6-1,0))*$B$9/(4*LN(2)))</f>
        <v>#DIV/0!</v>
      </c>
      <c r="N1290" s="3" t="e">
        <f ca="1">SQRT(AVERAGE(K1290:OFFSET(K1290,$B$7-1,0))*$B$9/(4*LN(2)))</f>
        <v>#DIV/0!</v>
      </c>
      <c r="O1290" s="3" t="e">
        <f ca="1">SQRT(AVERAGE(K1290:OFFSET(K1290,$B$8-1,0))*$B$9/(4*LN(2)))</f>
        <v>#DIV/0!</v>
      </c>
      <c r="Q1290" s="5" t="e">
        <f t="shared" si="108"/>
        <v>#DIV/0!</v>
      </c>
      <c r="R1290" s="5" t="e">
        <f ca="1">SQRT($B$9*AVERAGE((Q1290:OFFSET(Q1290,$B$5-1,0))))</f>
        <v>#DIV/0!</v>
      </c>
      <c r="S1290" s="5" t="e">
        <f ca="1">SQRT($B$9*AVERAGE((Q1290:OFFSET(Q1290,$B$6-1,0))))</f>
        <v>#DIV/0!</v>
      </c>
      <c r="T1290" s="5" t="e">
        <f ca="1">SQRT($B$9*AVERAGE((Q1290:OFFSET(Q1290,$B$7-1,0))))</f>
        <v>#DIV/0!</v>
      </c>
      <c r="U1290" s="5" t="e">
        <f ca="1">SQRT($B$9*AVERAGE((Q1290:OFFSET(Q1290,$B$8-1,0))))</f>
        <v>#DIV/0!</v>
      </c>
      <c r="W1290" s="6" t="e">
        <f t="shared" si="107"/>
        <v>#DIV/0!</v>
      </c>
      <c r="X1290" s="6" t="e">
        <f ca="1">SQRT($B$9*AVERAGE(W1290:OFFSET(W1290,$B$5-1,0)))</f>
        <v>#DIV/0!</v>
      </c>
      <c r="Y1290" s="6" t="e">
        <f ca="1">SQRT($B$9*AVERAGE(W1290:OFFSET(W1290,$B$6-1,0)))</f>
        <v>#DIV/0!</v>
      </c>
      <c r="Z1290" s="6" t="e">
        <f ca="1">SQRT($B$9*AVERAGE(W1290:OFFSET(W1290,$B$7-1,0)))</f>
        <v>#DIV/0!</v>
      </c>
      <c r="AA1290" s="6" t="e">
        <f ca="1">SQRT($B$9*AVERAGE(W1290:OFFSET(W1290,$B$8-1,0)))</f>
        <v>#DIV/0!</v>
      </c>
      <c r="AC1290" s="34" t="e">
        <f t="shared" si="105"/>
        <v>#DIV/0!</v>
      </c>
      <c r="AD1290" s="34" t="e">
        <f ca="1">SQRT($B$9*SUM(AC1290:OFFSET(AC1290,$B$5-1,0))/($B$5-1))</f>
        <v>#DIV/0!</v>
      </c>
      <c r="AE1290" s="34" t="e">
        <f ca="1">SQRT($B$9*SUM(AC1290:OFFSET(AC1290,$B$6-1,0))/($B$6-1))</f>
        <v>#DIV/0!</v>
      </c>
      <c r="AF1290" s="34" t="e">
        <f ca="1">SQRT($B$9*SUM(AC1290:OFFSET(AC1290,$B$7-1,0))/($B$7-1))</f>
        <v>#DIV/0!</v>
      </c>
      <c r="AG1290" s="34" t="e">
        <f ca="1">SQRT($B$9*SUM(AC1290:OFFSET(AC1290,$B$8-1,0))/($B$8-1))</f>
        <v>#DIV/0!</v>
      </c>
      <c r="AI1290" s="1" t="e">
        <f t="shared" si="106"/>
        <v>#DIV/0!</v>
      </c>
      <c r="AJ1290" s="4" t="e">
        <f ca="1">SQRT($B$9)*_xlfn.STDEV.S(AI1290:OFFSET(AI1290,$B$5-1,0))</f>
        <v>#DIV/0!</v>
      </c>
      <c r="AK1290" s="4" t="e">
        <f ca="1">SQRT($B$9)*_xlfn.STDEV.S(AI1290:OFFSET(AI1290,$B$6-1,0))</f>
        <v>#DIV/0!</v>
      </c>
      <c r="AL1290" s="4" t="e">
        <f ca="1">SQRT($B$9)*_xlfn.STDEV.S(AI1290:OFFSET(AI1290,$B$7-1,0))</f>
        <v>#DIV/0!</v>
      </c>
      <c r="AM1290" s="4" t="e">
        <f ca="1">SQRT($B$9)*_xlfn.STDEV.S(AI1290:OFFSET(AI1290,$B$8-1,0))</f>
        <v>#DIV/0!</v>
      </c>
    </row>
    <row r="1291" spans="11:39" x14ac:dyDescent="0.2">
      <c r="K1291" s="3" t="e">
        <f t="shared" si="109"/>
        <v>#DIV/0!</v>
      </c>
      <c r="L1291" s="3" t="e">
        <f ca="1">SQRT(AVERAGE(K1291:OFFSET(K1291,$B$5-1,0))*$B$9/(4*LN(2)))</f>
        <v>#DIV/0!</v>
      </c>
      <c r="M1291" s="3" t="e">
        <f ca="1">SQRT(AVERAGE(K1291:OFFSET(K1291,$B$6-1,0))*$B$9/(4*LN(2)))</f>
        <v>#DIV/0!</v>
      </c>
      <c r="N1291" s="3" t="e">
        <f ca="1">SQRT(AVERAGE(K1291:OFFSET(K1291,$B$7-1,0))*$B$9/(4*LN(2)))</f>
        <v>#DIV/0!</v>
      </c>
      <c r="O1291" s="3" t="e">
        <f ca="1">SQRT(AVERAGE(K1291:OFFSET(K1291,$B$8-1,0))*$B$9/(4*LN(2)))</f>
        <v>#DIV/0!</v>
      </c>
      <c r="Q1291" s="5" t="e">
        <f t="shared" si="108"/>
        <v>#DIV/0!</v>
      </c>
      <c r="R1291" s="5" t="e">
        <f ca="1">SQRT($B$9*AVERAGE((Q1291:OFFSET(Q1291,$B$5-1,0))))</f>
        <v>#DIV/0!</v>
      </c>
      <c r="S1291" s="5" t="e">
        <f ca="1">SQRT($B$9*AVERAGE((Q1291:OFFSET(Q1291,$B$6-1,0))))</f>
        <v>#DIV/0!</v>
      </c>
      <c r="T1291" s="5" t="e">
        <f ca="1">SQRT($B$9*AVERAGE((Q1291:OFFSET(Q1291,$B$7-1,0))))</f>
        <v>#DIV/0!</v>
      </c>
      <c r="U1291" s="5" t="e">
        <f ca="1">SQRT($B$9*AVERAGE((Q1291:OFFSET(Q1291,$B$8-1,0))))</f>
        <v>#DIV/0!</v>
      </c>
      <c r="W1291" s="6" t="e">
        <f t="shared" si="107"/>
        <v>#DIV/0!</v>
      </c>
      <c r="X1291" s="6" t="e">
        <f ca="1">SQRT($B$9*AVERAGE(W1291:OFFSET(W1291,$B$5-1,0)))</f>
        <v>#DIV/0!</v>
      </c>
      <c r="Y1291" s="6" t="e">
        <f ca="1">SQRT($B$9*AVERAGE(W1291:OFFSET(W1291,$B$6-1,0)))</f>
        <v>#DIV/0!</v>
      </c>
      <c r="Z1291" s="6" t="e">
        <f ca="1">SQRT($B$9*AVERAGE(W1291:OFFSET(W1291,$B$7-1,0)))</f>
        <v>#DIV/0!</v>
      </c>
      <c r="AA1291" s="6" t="e">
        <f ca="1">SQRT($B$9*AVERAGE(W1291:OFFSET(W1291,$B$8-1,0)))</f>
        <v>#DIV/0!</v>
      </c>
      <c r="AC1291" s="34" t="e">
        <f t="shared" si="105"/>
        <v>#DIV/0!</v>
      </c>
      <c r="AD1291" s="34" t="e">
        <f ca="1">SQRT($B$9*SUM(AC1291:OFFSET(AC1291,$B$5-1,0))/($B$5-1))</f>
        <v>#DIV/0!</v>
      </c>
      <c r="AE1291" s="34" t="e">
        <f ca="1">SQRT($B$9*SUM(AC1291:OFFSET(AC1291,$B$6-1,0))/($B$6-1))</f>
        <v>#DIV/0!</v>
      </c>
      <c r="AF1291" s="34" t="e">
        <f ca="1">SQRT($B$9*SUM(AC1291:OFFSET(AC1291,$B$7-1,0))/($B$7-1))</f>
        <v>#DIV/0!</v>
      </c>
      <c r="AG1291" s="34" t="e">
        <f ca="1">SQRT($B$9*SUM(AC1291:OFFSET(AC1291,$B$8-1,0))/($B$8-1))</f>
        <v>#DIV/0!</v>
      </c>
      <c r="AI1291" s="1" t="e">
        <f t="shared" si="106"/>
        <v>#DIV/0!</v>
      </c>
      <c r="AJ1291" s="4" t="e">
        <f ca="1">SQRT($B$9)*_xlfn.STDEV.S(AI1291:OFFSET(AI1291,$B$5-1,0))</f>
        <v>#DIV/0!</v>
      </c>
      <c r="AK1291" s="4" t="e">
        <f ca="1">SQRT($B$9)*_xlfn.STDEV.S(AI1291:OFFSET(AI1291,$B$6-1,0))</f>
        <v>#DIV/0!</v>
      </c>
      <c r="AL1291" s="4" t="e">
        <f ca="1">SQRT($B$9)*_xlfn.STDEV.S(AI1291:OFFSET(AI1291,$B$7-1,0))</f>
        <v>#DIV/0!</v>
      </c>
      <c r="AM1291" s="4" t="e">
        <f ca="1">SQRT($B$9)*_xlfn.STDEV.S(AI1291:OFFSET(AI1291,$B$8-1,0))</f>
        <v>#DIV/0!</v>
      </c>
    </row>
    <row r="1292" spans="11:39" x14ac:dyDescent="0.2">
      <c r="K1292" s="3" t="e">
        <f t="shared" si="109"/>
        <v>#DIV/0!</v>
      </c>
      <c r="L1292" s="3" t="e">
        <f ca="1">SQRT(AVERAGE(K1292:OFFSET(K1292,$B$5-1,0))*$B$9/(4*LN(2)))</f>
        <v>#DIV/0!</v>
      </c>
      <c r="M1292" s="3" t="e">
        <f ca="1">SQRT(AVERAGE(K1292:OFFSET(K1292,$B$6-1,0))*$B$9/(4*LN(2)))</f>
        <v>#DIV/0!</v>
      </c>
      <c r="N1292" s="3" t="e">
        <f ca="1">SQRT(AVERAGE(K1292:OFFSET(K1292,$B$7-1,0))*$B$9/(4*LN(2)))</f>
        <v>#DIV/0!</v>
      </c>
      <c r="O1292" s="3" t="e">
        <f ca="1">SQRT(AVERAGE(K1292:OFFSET(K1292,$B$8-1,0))*$B$9/(4*LN(2)))</f>
        <v>#DIV/0!</v>
      </c>
      <c r="Q1292" s="5" t="e">
        <f t="shared" si="108"/>
        <v>#DIV/0!</v>
      </c>
      <c r="R1292" s="5" t="e">
        <f ca="1">SQRT($B$9*AVERAGE((Q1292:OFFSET(Q1292,$B$5-1,0))))</f>
        <v>#DIV/0!</v>
      </c>
      <c r="S1292" s="5" t="e">
        <f ca="1">SQRT($B$9*AVERAGE((Q1292:OFFSET(Q1292,$B$6-1,0))))</f>
        <v>#DIV/0!</v>
      </c>
      <c r="T1292" s="5" t="e">
        <f ca="1">SQRT($B$9*AVERAGE((Q1292:OFFSET(Q1292,$B$7-1,0))))</f>
        <v>#DIV/0!</v>
      </c>
      <c r="U1292" s="5" t="e">
        <f ca="1">SQRT($B$9*AVERAGE((Q1292:OFFSET(Q1292,$B$8-1,0))))</f>
        <v>#DIV/0!</v>
      </c>
      <c r="W1292" s="6" t="e">
        <f t="shared" si="107"/>
        <v>#DIV/0!</v>
      </c>
      <c r="X1292" s="6" t="e">
        <f ca="1">SQRT($B$9*AVERAGE(W1292:OFFSET(W1292,$B$5-1,0)))</f>
        <v>#DIV/0!</v>
      </c>
      <c r="Y1292" s="6" t="e">
        <f ca="1">SQRT($B$9*AVERAGE(W1292:OFFSET(W1292,$B$6-1,0)))</f>
        <v>#DIV/0!</v>
      </c>
      <c r="Z1292" s="6" t="e">
        <f ca="1">SQRT($B$9*AVERAGE(W1292:OFFSET(W1292,$B$7-1,0)))</f>
        <v>#DIV/0!</v>
      </c>
      <c r="AA1292" s="6" t="e">
        <f ca="1">SQRT($B$9*AVERAGE(W1292:OFFSET(W1292,$B$8-1,0)))</f>
        <v>#DIV/0!</v>
      </c>
      <c r="AC1292" s="34" t="e">
        <f t="shared" si="105"/>
        <v>#DIV/0!</v>
      </c>
      <c r="AD1292" s="34" t="e">
        <f ca="1">SQRT($B$9*SUM(AC1292:OFFSET(AC1292,$B$5-1,0))/($B$5-1))</f>
        <v>#DIV/0!</v>
      </c>
      <c r="AE1292" s="34" t="e">
        <f ca="1">SQRT($B$9*SUM(AC1292:OFFSET(AC1292,$B$6-1,0))/($B$6-1))</f>
        <v>#DIV/0!</v>
      </c>
      <c r="AF1292" s="34" t="e">
        <f ca="1">SQRT($B$9*SUM(AC1292:OFFSET(AC1292,$B$7-1,0))/($B$7-1))</f>
        <v>#DIV/0!</v>
      </c>
      <c r="AG1292" s="34" t="e">
        <f ca="1">SQRT($B$9*SUM(AC1292:OFFSET(AC1292,$B$8-1,0))/($B$8-1))</f>
        <v>#DIV/0!</v>
      </c>
      <c r="AI1292" s="1" t="e">
        <f t="shared" si="106"/>
        <v>#DIV/0!</v>
      </c>
      <c r="AJ1292" s="4" t="e">
        <f ca="1">SQRT($B$9)*_xlfn.STDEV.S(AI1292:OFFSET(AI1292,$B$5-1,0))</f>
        <v>#DIV/0!</v>
      </c>
      <c r="AK1292" s="4" t="e">
        <f ca="1">SQRT($B$9)*_xlfn.STDEV.S(AI1292:OFFSET(AI1292,$B$6-1,0))</f>
        <v>#DIV/0!</v>
      </c>
      <c r="AL1292" s="4" t="e">
        <f ca="1">SQRT($B$9)*_xlfn.STDEV.S(AI1292:OFFSET(AI1292,$B$7-1,0))</f>
        <v>#DIV/0!</v>
      </c>
      <c r="AM1292" s="4" t="e">
        <f ca="1">SQRT($B$9)*_xlfn.STDEV.S(AI1292:OFFSET(AI1292,$B$8-1,0))</f>
        <v>#DIV/0!</v>
      </c>
    </row>
    <row r="1293" spans="11:39" x14ac:dyDescent="0.2">
      <c r="K1293" s="3" t="e">
        <f t="shared" si="109"/>
        <v>#DIV/0!</v>
      </c>
      <c r="L1293" s="3" t="e">
        <f ca="1">SQRT(AVERAGE(K1293:OFFSET(K1293,$B$5-1,0))*$B$9/(4*LN(2)))</f>
        <v>#DIV/0!</v>
      </c>
      <c r="M1293" s="3" t="e">
        <f ca="1">SQRT(AVERAGE(K1293:OFFSET(K1293,$B$6-1,0))*$B$9/(4*LN(2)))</f>
        <v>#DIV/0!</v>
      </c>
      <c r="N1293" s="3" t="e">
        <f ca="1">SQRT(AVERAGE(K1293:OFFSET(K1293,$B$7-1,0))*$B$9/(4*LN(2)))</f>
        <v>#DIV/0!</v>
      </c>
      <c r="O1293" s="3" t="e">
        <f ca="1">SQRT(AVERAGE(K1293:OFFSET(K1293,$B$8-1,0))*$B$9/(4*LN(2)))</f>
        <v>#DIV/0!</v>
      </c>
      <c r="Q1293" s="5" t="e">
        <f t="shared" si="108"/>
        <v>#DIV/0!</v>
      </c>
      <c r="R1293" s="5" t="e">
        <f ca="1">SQRT($B$9*AVERAGE((Q1293:OFFSET(Q1293,$B$5-1,0))))</f>
        <v>#DIV/0!</v>
      </c>
      <c r="S1293" s="5" t="e">
        <f ca="1">SQRT($B$9*AVERAGE((Q1293:OFFSET(Q1293,$B$6-1,0))))</f>
        <v>#DIV/0!</v>
      </c>
      <c r="T1293" s="5" t="e">
        <f ca="1">SQRT($B$9*AVERAGE((Q1293:OFFSET(Q1293,$B$7-1,0))))</f>
        <v>#DIV/0!</v>
      </c>
      <c r="U1293" s="5" t="e">
        <f ca="1">SQRT($B$9*AVERAGE((Q1293:OFFSET(Q1293,$B$8-1,0))))</f>
        <v>#DIV/0!</v>
      </c>
      <c r="W1293" s="6" t="e">
        <f t="shared" si="107"/>
        <v>#DIV/0!</v>
      </c>
      <c r="X1293" s="6" t="e">
        <f ca="1">SQRT($B$9*AVERAGE(W1293:OFFSET(W1293,$B$5-1,0)))</f>
        <v>#DIV/0!</v>
      </c>
      <c r="Y1293" s="6" t="e">
        <f ca="1">SQRT($B$9*AVERAGE(W1293:OFFSET(W1293,$B$6-1,0)))</f>
        <v>#DIV/0!</v>
      </c>
      <c r="Z1293" s="6" t="e">
        <f ca="1">SQRT($B$9*AVERAGE(W1293:OFFSET(W1293,$B$7-1,0)))</f>
        <v>#DIV/0!</v>
      </c>
      <c r="AA1293" s="6" t="e">
        <f ca="1">SQRT($B$9*AVERAGE(W1293:OFFSET(W1293,$B$8-1,0)))</f>
        <v>#DIV/0!</v>
      </c>
      <c r="AC1293" s="34" t="e">
        <f t="shared" si="105"/>
        <v>#DIV/0!</v>
      </c>
      <c r="AD1293" s="34" t="e">
        <f ca="1">SQRT($B$9*SUM(AC1293:OFFSET(AC1293,$B$5-1,0))/($B$5-1))</f>
        <v>#DIV/0!</v>
      </c>
      <c r="AE1293" s="34" t="e">
        <f ca="1">SQRT($B$9*SUM(AC1293:OFFSET(AC1293,$B$6-1,0))/($B$6-1))</f>
        <v>#DIV/0!</v>
      </c>
      <c r="AF1293" s="34" t="e">
        <f ca="1">SQRT($B$9*SUM(AC1293:OFFSET(AC1293,$B$7-1,0))/($B$7-1))</f>
        <v>#DIV/0!</v>
      </c>
      <c r="AG1293" s="34" t="e">
        <f ca="1">SQRT($B$9*SUM(AC1293:OFFSET(AC1293,$B$8-1,0))/($B$8-1))</f>
        <v>#DIV/0!</v>
      </c>
      <c r="AI1293" s="1" t="e">
        <f t="shared" si="106"/>
        <v>#DIV/0!</v>
      </c>
      <c r="AJ1293" s="4" t="e">
        <f ca="1">SQRT($B$9)*_xlfn.STDEV.S(AI1293:OFFSET(AI1293,$B$5-1,0))</f>
        <v>#DIV/0!</v>
      </c>
      <c r="AK1293" s="4" t="e">
        <f ca="1">SQRT($B$9)*_xlfn.STDEV.S(AI1293:OFFSET(AI1293,$B$6-1,0))</f>
        <v>#DIV/0!</v>
      </c>
      <c r="AL1293" s="4" t="e">
        <f ca="1">SQRT($B$9)*_xlfn.STDEV.S(AI1293:OFFSET(AI1293,$B$7-1,0))</f>
        <v>#DIV/0!</v>
      </c>
      <c r="AM1293" s="4" t="e">
        <f ca="1">SQRT($B$9)*_xlfn.STDEV.S(AI1293:OFFSET(AI1293,$B$8-1,0))</f>
        <v>#DIV/0!</v>
      </c>
    </row>
    <row r="1294" spans="11:39" x14ac:dyDescent="0.2">
      <c r="K1294" s="3" t="e">
        <f t="shared" si="109"/>
        <v>#DIV/0!</v>
      </c>
      <c r="L1294" s="3" t="e">
        <f ca="1">SQRT(AVERAGE(K1294:OFFSET(K1294,$B$5-1,0))*$B$9/(4*LN(2)))</f>
        <v>#DIV/0!</v>
      </c>
      <c r="M1294" s="3" t="e">
        <f ca="1">SQRT(AVERAGE(K1294:OFFSET(K1294,$B$6-1,0))*$B$9/(4*LN(2)))</f>
        <v>#DIV/0!</v>
      </c>
      <c r="N1294" s="3" t="e">
        <f ca="1">SQRT(AVERAGE(K1294:OFFSET(K1294,$B$7-1,0))*$B$9/(4*LN(2)))</f>
        <v>#DIV/0!</v>
      </c>
      <c r="O1294" s="3" t="e">
        <f ca="1">SQRT(AVERAGE(K1294:OFFSET(K1294,$B$8-1,0))*$B$9/(4*LN(2)))</f>
        <v>#DIV/0!</v>
      </c>
      <c r="Q1294" s="5" t="e">
        <f t="shared" si="108"/>
        <v>#DIV/0!</v>
      </c>
      <c r="R1294" s="5" t="e">
        <f ca="1">SQRT($B$9*AVERAGE((Q1294:OFFSET(Q1294,$B$5-1,0))))</f>
        <v>#DIV/0!</v>
      </c>
      <c r="S1294" s="5" t="e">
        <f ca="1">SQRT($B$9*AVERAGE((Q1294:OFFSET(Q1294,$B$6-1,0))))</f>
        <v>#DIV/0!</v>
      </c>
      <c r="T1294" s="5" t="e">
        <f ca="1">SQRT($B$9*AVERAGE((Q1294:OFFSET(Q1294,$B$7-1,0))))</f>
        <v>#DIV/0!</v>
      </c>
      <c r="U1294" s="5" t="e">
        <f ca="1">SQRT($B$9*AVERAGE((Q1294:OFFSET(Q1294,$B$8-1,0))))</f>
        <v>#DIV/0!</v>
      </c>
      <c r="W1294" s="6" t="e">
        <f t="shared" si="107"/>
        <v>#DIV/0!</v>
      </c>
      <c r="X1294" s="6" t="e">
        <f ca="1">SQRT($B$9*AVERAGE(W1294:OFFSET(W1294,$B$5-1,0)))</f>
        <v>#DIV/0!</v>
      </c>
      <c r="Y1294" s="6" t="e">
        <f ca="1">SQRT($B$9*AVERAGE(W1294:OFFSET(W1294,$B$6-1,0)))</f>
        <v>#DIV/0!</v>
      </c>
      <c r="Z1294" s="6" t="e">
        <f ca="1">SQRT($B$9*AVERAGE(W1294:OFFSET(W1294,$B$7-1,0)))</f>
        <v>#DIV/0!</v>
      </c>
      <c r="AA1294" s="6" t="e">
        <f ca="1">SQRT($B$9*AVERAGE(W1294:OFFSET(W1294,$B$8-1,0)))</f>
        <v>#DIV/0!</v>
      </c>
      <c r="AC1294" s="34" t="e">
        <f t="shared" si="105"/>
        <v>#DIV/0!</v>
      </c>
      <c r="AD1294" s="34" t="e">
        <f ca="1">SQRT($B$9*SUM(AC1294:OFFSET(AC1294,$B$5-1,0))/($B$5-1))</f>
        <v>#DIV/0!</v>
      </c>
      <c r="AE1294" s="34" t="e">
        <f ca="1">SQRT($B$9*SUM(AC1294:OFFSET(AC1294,$B$6-1,0))/($B$6-1))</f>
        <v>#DIV/0!</v>
      </c>
      <c r="AF1294" s="34" t="e">
        <f ca="1">SQRT($B$9*SUM(AC1294:OFFSET(AC1294,$B$7-1,0))/($B$7-1))</f>
        <v>#DIV/0!</v>
      </c>
      <c r="AG1294" s="34" t="e">
        <f ca="1">SQRT($B$9*SUM(AC1294:OFFSET(AC1294,$B$8-1,0))/($B$8-1))</f>
        <v>#DIV/0!</v>
      </c>
      <c r="AI1294" s="1" t="e">
        <f t="shared" si="106"/>
        <v>#DIV/0!</v>
      </c>
      <c r="AJ1294" s="4" t="e">
        <f ca="1">SQRT($B$9)*_xlfn.STDEV.S(AI1294:OFFSET(AI1294,$B$5-1,0))</f>
        <v>#DIV/0!</v>
      </c>
      <c r="AK1294" s="4" t="e">
        <f ca="1">SQRT($B$9)*_xlfn.STDEV.S(AI1294:OFFSET(AI1294,$B$6-1,0))</f>
        <v>#DIV/0!</v>
      </c>
      <c r="AL1294" s="4" t="e">
        <f ca="1">SQRT($B$9)*_xlfn.STDEV.S(AI1294:OFFSET(AI1294,$B$7-1,0))</f>
        <v>#DIV/0!</v>
      </c>
      <c r="AM1294" s="4" t="e">
        <f ca="1">SQRT($B$9)*_xlfn.STDEV.S(AI1294:OFFSET(AI1294,$B$8-1,0))</f>
        <v>#DIV/0!</v>
      </c>
    </row>
    <row r="1295" spans="11:39" x14ac:dyDescent="0.2">
      <c r="K1295" s="3" t="e">
        <f t="shared" si="109"/>
        <v>#DIV/0!</v>
      </c>
      <c r="L1295" s="3" t="e">
        <f ca="1">SQRT(AVERAGE(K1295:OFFSET(K1295,$B$5-1,0))*$B$9/(4*LN(2)))</f>
        <v>#DIV/0!</v>
      </c>
      <c r="M1295" s="3" t="e">
        <f ca="1">SQRT(AVERAGE(K1295:OFFSET(K1295,$B$6-1,0))*$B$9/(4*LN(2)))</f>
        <v>#DIV/0!</v>
      </c>
      <c r="N1295" s="3" t="e">
        <f ca="1">SQRT(AVERAGE(K1295:OFFSET(K1295,$B$7-1,0))*$B$9/(4*LN(2)))</f>
        <v>#DIV/0!</v>
      </c>
      <c r="O1295" s="3" t="e">
        <f ca="1">SQRT(AVERAGE(K1295:OFFSET(K1295,$B$8-1,0))*$B$9/(4*LN(2)))</f>
        <v>#DIV/0!</v>
      </c>
      <c r="Q1295" s="5" t="e">
        <f t="shared" si="108"/>
        <v>#DIV/0!</v>
      </c>
      <c r="R1295" s="5" t="e">
        <f ca="1">SQRT($B$9*AVERAGE((Q1295:OFFSET(Q1295,$B$5-1,0))))</f>
        <v>#DIV/0!</v>
      </c>
      <c r="S1295" s="5" t="e">
        <f ca="1">SQRT($B$9*AVERAGE((Q1295:OFFSET(Q1295,$B$6-1,0))))</f>
        <v>#DIV/0!</v>
      </c>
      <c r="T1295" s="5" t="e">
        <f ca="1">SQRT($B$9*AVERAGE((Q1295:OFFSET(Q1295,$B$7-1,0))))</f>
        <v>#DIV/0!</v>
      </c>
      <c r="U1295" s="5" t="e">
        <f ca="1">SQRT($B$9*AVERAGE((Q1295:OFFSET(Q1295,$B$8-1,0))))</f>
        <v>#DIV/0!</v>
      </c>
      <c r="W1295" s="6" t="e">
        <f t="shared" si="107"/>
        <v>#DIV/0!</v>
      </c>
      <c r="X1295" s="6" t="e">
        <f ca="1">SQRT($B$9*AVERAGE(W1295:OFFSET(W1295,$B$5-1,0)))</f>
        <v>#DIV/0!</v>
      </c>
      <c r="Y1295" s="6" t="e">
        <f ca="1">SQRT($B$9*AVERAGE(W1295:OFFSET(W1295,$B$6-1,0)))</f>
        <v>#DIV/0!</v>
      </c>
      <c r="Z1295" s="6" t="e">
        <f ca="1">SQRT($B$9*AVERAGE(W1295:OFFSET(W1295,$B$7-1,0)))</f>
        <v>#DIV/0!</v>
      </c>
      <c r="AA1295" s="6" t="e">
        <f ca="1">SQRT($B$9*AVERAGE(W1295:OFFSET(W1295,$B$8-1,0)))</f>
        <v>#DIV/0!</v>
      </c>
      <c r="AC1295" s="34" t="e">
        <f t="shared" si="105"/>
        <v>#DIV/0!</v>
      </c>
      <c r="AD1295" s="34" t="e">
        <f ca="1">SQRT($B$9*SUM(AC1295:OFFSET(AC1295,$B$5-1,0))/($B$5-1))</f>
        <v>#DIV/0!</v>
      </c>
      <c r="AE1295" s="34" t="e">
        <f ca="1">SQRT($B$9*SUM(AC1295:OFFSET(AC1295,$B$6-1,0))/($B$6-1))</f>
        <v>#DIV/0!</v>
      </c>
      <c r="AF1295" s="34" t="e">
        <f ca="1">SQRT($B$9*SUM(AC1295:OFFSET(AC1295,$B$7-1,0))/($B$7-1))</f>
        <v>#DIV/0!</v>
      </c>
      <c r="AG1295" s="34" t="e">
        <f ca="1">SQRT($B$9*SUM(AC1295:OFFSET(AC1295,$B$8-1,0))/($B$8-1))</f>
        <v>#DIV/0!</v>
      </c>
      <c r="AI1295" s="1" t="e">
        <f t="shared" si="106"/>
        <v>#DIV/0!</v>
      </c>
      <c r="AJ1295" s="4" t="e">
        <f ca="1">SQRT($B$9)*_xlfn.STDEV.S(AI1295:OFFSET(AI1295,$B$5-1,0))</f>
        <v>#DIV/0!</v>
      </c>
      <c r="AK1295" s="4" t="e">
        <f ca="1">SQRT($B$9)*_xlfn.STDEV.S(AI1295:OFFSET(AI1295,$B$6-1,0))</f>
        <v>#DIV/0!</v>
      </c>
      <c r="AL1295" s="4" t="e">
        <f ca="1">SQRT($B$9)*_xlfn.STDEV.S(AI1295:OFFSET(AI1295,$B$7-1,0))</f>
        <v>#DIV/0!</v>
      </c>
      <c r="AM1295" s="4" t="e">
        <f ca="1">SQRT($B$9)*_xlfn.STDEV.S(AI1295:OFFSET(AI1295,$B$8-1,0))</f>
        <v>#DIV/0!</v>
      </c>
    </row>
    <row r="1296" spans="11:39" x14ac:dyDescent="0.2">
      <c r="K1296" s="3" t="e">
        <f t="shared" si="109"/>
        <v>#DIV/0!</v>
      </c>
      <c r="L1296" s="3" t="e">
        <f ca="1">SQRT(AVERAGE(K1296:OFFSET(K1296,$B$5-1,0))*$B$9/(4*LN(2)))</f>
        <v>#DIV/0!</v>
      </c>
      <c r="M1296" s="3" t="e">
        <f ca="1">SQRT(AVERAGE(K1296:OFFSET(K1296,$B$6-1,0))*$B$9/(4*LN(2)))</f>
        <v>#DIV/0!</v>
      </c>
      <c r="N1296" s="3" t="e">
        <f ca="1">SQRT(AVERAGE(K1296:OFFSET(K1296,$B$7-1,0))*$B$9/(4*LN(2)))</f>
        <v>#DIV/0!</v>
      </c>
      <c r="O1296" s="3" t="e">
        <f ca="1">SQRT(AVERAGE(K1296:OFFSET(K1296,$B$8-1,0))*$B$9/(4*LN(2)))</f>
        <v>#DIV/0!</v>
      </c>
      <c r="Q1296" s="5" t="e">
        <f t="shared" si="108"/>
        <v>#DIV/0!</v>
      </c>
      <c r="R1296" s="5" t="e">
        <f ca="1">SQRT($B$9*AVERAGE((Q1296:OFFSET(Q1296,$B$5-1,0))))</f>
        <v>#DIV/0!</v>
      </c>
      <c r="S1296" s="5" t="e">
        <f ca="1">SQRT($B$9*AVERAGE((Q1296:OFFSET(Q1296,$B$6-1,0))))</f>
        <v>#DIV/0!</v>
      </c>
      <c r="T1296" s="5" t="e">
        <f ca="1">SQRT($B$9*AVERAGE((Q1296:OFFSET(Q1296,$B$7-1,0))))</f>
        <v>#DIV/0!</v>
      </c>
      <c r="U1296" s="5" t="e">
        <f ca="1">SQRT($B$9*AVERAGE((Q1296:OFFSET(Q1296,$B$8-1,0))))</f>
        <v>#DIV/0!</v>
      </c>
      <c r="W1296" s="6" t="e">
        <f t="shared" si="107"/>
        <v>#DIV/0!</v>
      </c>
      <c r="X1296" s="6" t="e">
        <f ca="1">SQRT($B$9*AVERAGE(W1296:OFFSET(W1296,$B$5-1,0)))</f>
        <v>#DIV/0!</v>
      </c>
      <c r="Y1296" s="6" t="e">
        <f ca="1">SQRT($B$9*AVERAGE(W1296:OFFSET(W1296,$B$6-1,0)))</f>
        <v>#DIV/0!</v>
      </c>
      <c r="Z1296" s="6" t="e">
        <f ca="1">SQRT($B$9*AVERAGE(W1296:OFFSET(W1296,$B$7-1,0)))</f>
        <v>#DIV/0!</v>
      </c>
      <c r="AA1296" s="6" t="e">
        <f ca="1">SQRT($B$9*AVERAGE(W1296:OFFSET(W1296,$B$8-1,0)))</f>
        <v>#DIV/0!</v>
      </c>
      <c r="AC1296" s="34" t="e">
        <f t="shared" si="105"/>
        <v>#DIV/0!</v>
      </c>
      <c r="AD1296" s="34" t="e">
        <f ca="1">SQRT($B$9*SUM(AC1296:OFFSET(AC1296,$B$5-1,0))/($B$5-1))</f>
        <v>#DIV/0!</v>
      </c>
      <c r="AE1296" s="34" t="e">
        <f ca="1">SQRT($B$9*SUM(AC1296:OFFSET(AC1296,$B$6-1,0))/($B$6-1))</f>
        <v>#DIV/0!</v>
      </c>
      <c r="AF1296" s="34" t="e">
        <f ca="1">SQRT($B$9*SUM(AC1296:OFFSET(AC1296,$B$7-1,0))/($B$7-1))</f>
        <v>#DIV/0!</v>
      </c>
      <c r="AG1296" s="34" t="e">
        <f ca="1">SQRT($B$9*SUM(AC1296:OFFSET(AC1296,$B$8-1,0))/($B$8-1))</f>
        <v>#DIV/0!</v>
      </c>
      <c r="AI1296" s="1" t="e">
        <f t="shared" si="106"/>
        <v>#DIV/0!</v>
      </c>
      <c r="AJ1296" s="4" t="e">
        <f ca="1">SQRT($B$9)*_xlfn.STDEV.S(AI1296:OFFSET(AI1296,$B$5-1,0))</f>
        <v>#DIV/0!</v>
      </c>
      <c r="AK1296" s="4" t="e">
        <f ca="1">SQRT($B$9)*_xlfn.STDEV.S(AI1296:OFFSET(AI1296,$B$6-1,0))</f>
        <v>#DIV/0!</v>
      </c>
      <c r="AL1296" s="4" t="e">
        <f ca="1">SQRT($B$9)*_xlfn.STDEV.S(AI1296:OFFSET(AI1296,$B$7-1,0))</f>
        <v>#DIV/0!</v>
      </c>
      <c r="AM1296" s="4" t="e">
        <f ca="1">SQRT($B$9)*_xlfn.STDEV.S(AI1296:OFFSET(AI1296,$B$8-1,0))</f>
        <v>#DIV/0!</v>
      </c>
    </row>
    <row r="1297" spans="11:39" x14ac:dyDescent="0.2">
      <c r="K1297" s="3" t="e">
        <f t="shared" si="109"/>
        <v>#DIV/0!</v>
      </c>
      <c r="L1297" s="3" t="e">
        <f ca="1">SQRT(AVERAGE(K1297:OFFSET(K1297,$B$5-1,0))*$B$9/(4*LN(2)))</f>
        <v>#DIV/0!</v>
      </c>
      <c r="M1297" s="3" t="e">
        <f ca="1">SQRT(AVERAGE(K1297:OFFSET(K1297,$B$6-1,0))*$B$9/(4*LN(2)))</f>
        <v>#DIV/0!</v>
      </c>
      <c r="N1297" s="3" t="e">
        <f ca="1">SQRT(AVERAGE(K1297:OFFSET(K1297,$B$7-1,0))*$B$9/(4*LN(2)))</f>
        <v>#DIV/0!</v>
      </c>
      <c r="O1297" s="3" t="e">
        <f ca="1">SQRT(AVERAGE(K1297:OFFSET(K1297,$B$8-1,0))*$B$9/(4*LN(2)))</f>
        <v>#DIV/0!</v>
      </c>
      <c r="Q1297" s="5" t="e">
        <f t="shared" si="108"/>
        <v>#DIV/0!</v>
      </c>
      <c r="R1297" s="5" t="e">
        <f ca="1">SQRT($B$9*AVERAGE((Q1297:OFFSET(Q1297,$B$5-1,0))))</f>
        <v>#DIV/0!</v>
      </c>
      <c r="S1297" s="5" t="e">
        <f ca="1">SQRT($B$9*AVERAGE((Q1297:OFFSET(Q1297,$B$6-1,0))))</f>
        <v>#DIV/0!</v>
      </c>
      <c r="T1297" s="5" t="e">
        <f ca="1">SQRT($B$9*AVERAGE((Q1297:OFFSET(Q1297,$B$7-1,0))))</f>
        <v>#DIV/0!</v>
      </c>
      <c r="U1297" s="5" t="e">
        <f ca="1">SQRT($B$9*AVERAGE((Q1297:OFFSET(Q1297,$B$8-1,0))))</f>
        <v>#DIV/0!</v>
      </c>
      <c r="W1297" s="6" t="e">
        <f t="shared" si="107"/>
        <v>#DIV/0!</v>
      </c>
      <c r="X1297" s="6" t="e">
        <f ca="1">SQRT($B$9*AVERAGE(W1297:OFFSET(W1297,$B$5-1,0)))</f>
        <v>#DIV/0!</v>
      </c>
      <c r="Y1297" s="6" t="e">
        <f ca="1">SQRT($B$9*AVERAGE(W1297:OFFSET(W1297,$B$6-1,0)))</f>
        <v>#DIV/0!</v>
      </c>
      <c r="Z1297" s="6" t="e">
        <f ca="1">SQRT($B$9*AVERAGE(W1297:OFFSET(W1297,$B$7-1,0)))</f>
        <v>#DIV/0!</v>
      </c>
      <c r="AA1297" s="6" t="e">
        <f ca="1">SQRT($B$9*AVERAGE(W1297:OFFSET(W1297,$B$8-1,0)))</f>
        <v>#DIV/0!</v>
      </c>
      <c r="AC1297" s="34" t="e">
        <f t="shared" ref="AC1297:AC1360" si="110">(LN(I1297/I1298))^2</f>
        <v>#DIV/0!</v>
      </c>
      <c r="AD1297" s="34" t="e">
        <f ca="1">SQRT($B$9*SUM(AC1297:OFFSET(AC1297,$B$5-1,0))/($B$5-1))</f>
        <v>#DIV/0!</v>
      </c>
      <c r="AE1297" s="34" t="e">
        <f ca="1">SQRT($B$9*SUM(AC1297:OFFSET(AC1297,$B$6-1,0))/($B$6-1))</f>
        <v>#DIV/0!</v>
      </c>
      <c r="AF1297" s="34" t="e">
        <f ca="1">SQRT($B$9*SUM(AC1297:OFFSET(AC1297,$B$7-1,0))/($B$7-1))</f>
        <v>#DIV/0!</v>
      </c>
      <c r="AG1297" s="34" t="e">
        <f ca="1">SQRT($B$9*SUM(AC1297:OFFSET(AC1297,$B$8-1,0))/($B$8-1))</f>
        <v>#DIV/0!</v>
      </c>
      <c r="AI1297" s="1" t="e">
        <f t="shared" si="106"/>
        <v>#DIV/0!</v>
      </c>
      <c r="AJ1297" s="4" t="e">
        <f ca="1">SQRT($B$9)*_xlfn.STDEV.S(AI1297:OFFSET(AI1297,$B$5-1,0))</f>
        <v>#DIV/0!</v>
      </c>
      <c r="AK1297" s="4" t="e">
        <f ca="1">SQRT($B$9)*_xlfn.STDEV.S(AI1297:OFFSET(AI1297,$B$6-1,0))</f>
        <v>#DIV/0!</v>
      </c>
      <c r="AL1297" s="4" t="e">
        <f ca="1">SQRT($B$9)*_xlfn.STDEV.S(AI1297:OFFSET(AI1297,$B$7-1,0))</f>
        <v>#DIV/0!</v>
      </c>
      <c r="AM1297" s="4" t="e">
        <f ca="1">SQRT($B$9)*_xlfn.STDEV.S(AI1297:OFFSET(AI1297,$B$8-1,0))</f>
        <v>#DIV/0!</v>
      </c>
    </row>
    <row r="1298" spans="11:39" x14ac:dyDescent="0.2">
      <c r="K1298" s="3" t="e">
        <f t="shared" si="109"/>
        <v>#DIV/0!</v>
      </c>
      <c r="L1298" s="3" t="e">
        <f ca="1">SQRT(AVERAGE(K1298:OFFSET(K1298,$B$5-1,0))*$B$9/(4*LN(2)))</f>
        <v>#DIV/0!</v>
      </c>
      <c r="M1298" s="3" t="e">
        <f ca="1">SQRT(AVERAGE(K1298:OFFSET(K1298,$B$6-1,0))*$B$9/(4*LN(2)))</f>
        <v>#DIV/0!</v>
      </c>
      <c r="N1298" s="3" t="e">
        <f ca="1">SQRT(AVERAGE(K1298:OFFSET(K1298,$B$7-1,0))*$B$9/(4*LN(2)))</f>
        <v>#DIV/0!</v>
      </c>
      <c r="O1298" s="3" t="e">
        <f ca="1">SQRT(AVERAGE(K1298:OFFSET(K1298,$B$8-1,0))*$B$9/(4*LN(2)))</f>
        <v>#DIV/0!</v>
      </c>
      <c r="Q1298" s="5" t="e">
        <f t="shared" si="108"/>
        <v>#DIV/0!</v>
      </c>
      <c r="R1298" s="5" t="e">
        <f ca="1">SQRT($B$9*AVERAGE((Q1298:OFFSET(Q1298,$B$5-1,0))))</f>
        <v>#DIV/0!</v>
      </c>
      <c r="S1298" s="5" t="e">
        <f ca="1">SQRT($B$9*AVERAGE((Q1298:OFFSET(Q1298,$B$6-1,0))))</f>
        <v>#DIV/0!</v>
      </c>
      <c r="T1298" s="5" t="e">
        <f ca="1">SQRT($B$9*AVERAGE((Q1298:OFFSET(Q1298,$B$7-1,0))))</f>
        <v>#DIV/0!</v>
      </c>
      <c r="U1298" s="5" t="e">
        <f ca="1">SQRT($B$9*AVERAGE((Q1298:OFFSET(Q1298,$B$8-1,0))))</f>
        <v>#DIV/0!</v>
      </c>
      <c r="W1298" s="6" t="e">
        <f t="shared" si="107"/>
        <v>#DIV/0!</v>
      </c>
      <c r="X1298" s="6" t="e">
        <f ca="1">SQRT($B$9*AVERAGE(W1298:OFFSET(W1298,$B$5-1,0)))</f>
        <v>#DIV/0!</v>
      </c>
      <c r="Y1298" s="6" t="e">
        <f ca="1">SQRT($B$9*AVERAGE(W1298:OFFSET(W1298,$B$6-1,0)))</f>
        <v>#DIV/0!</v>
      </c>
      <c r="Z1298" s="6" t="e">
        <f ca="1">SQRT($B$9*AVERAGE(W1298:OFFSET(W1298,$B$7-1,0)))</f>
        <v>#DIV/0!</v>
      </c>
      <c r="AA1298" s="6" t="e">
        <f ca="1">SQRT($B$9*AVERAGE(W1298:OFFSET(W1298,$B$8-1,0)))</f>
        <v>#DIV/0!</v>
      </c>
      <c r="AC1298" s="34" t="e">
        <f t="shared" si="110"/>
        <v>#DIV/0!</v>
      </c>
      <c r="AD1298" s="34" t="e">
        <f ca="1">SQRT($B$9*SUM(AC1298:OFFSET(AC1298,$B$5-1,0))/($B$5-1))</f>
        <v>#DIV/0!</v>
      </c>
      <c r="AE1298" s="34" t="e">
        <f ca="1">SQRT($B$9*SUM(AC1298:OFFSET(AC1298,$B$6-1,0))/($B$6-1))</f>
        <v>#DIV/0!</v>
      </c>
      <c r="AF1298" s="34" t="e">
        <f ca="1">SQRT($B$9*SUM(AC1298:OFFSET(AC1298,$B$7-1,0))/($B$7-1))</f>
        <v>#DIV/0!</v>
      </c>
      <c r="AG1298" s="34" t="e">
        <f ca="1">SQRT($B$9*SUM(AC1298:OFFSET(AC1298,$B$8-1,0))/($B$8-1))</f>
        <v>#DIV/0!</v>
      </c>
      <c r="AI1298" s="1" t="e">
        <f t="shared" si="106"/>
        <v>#DIV/0!</v>
      </c>
      <c r="AJ1298" s="4" t="e">
        <f ca="1">SQRT($B$9)*_xlfn.STDEV.S(AI1298:OFFSET(AI1298,$B$5-1,0))</f>
        <v>#DIV/0!</v>
      </c>
      <c r="AK1298" s="4" t="e">
        <f ca="1">SQRT($B$9)*_xlfn.STDEV.S(AI1298:OFFSET(AI1298,$B$6-1,0))</f>
        <v>#DIV/0!</v>
      </c>
      <c r="AL1298" s="4" t="e">
        <f ca="1">SQRT($B$9)*_xlfn.STDEV.S(AI1298:OFFSET(AI1298,$B$7-1,0))</f>
        <v>#DIV/0!</v>
      </c>
      <c r="AM1298" s="4" t="e">
        <f ca="1">SQRT($B$9)*_xlfn.STDEV.S(AI1298:OFFSET(AI1298,$B$8-1,0))</f>
        <v>#DIV/0!</v>
      </c>
    </row>
    <row r="1299" spans="11:39" x14ac:dyDescent="0.2">
      <c r="K1299" s="3" t="e">
        <f t="shared" si="109"/>
        <v>#DIV/0!</v>
      </c>
      <c r="L1299" s="3" t="e">
        <f ca="1">SQRT(AVERAGE(K1299:OFFSET(K1299,$B$5-1,0))*$B$9/(4*LN(2)))</f>
        <v>#DIV/0!</v>
      </c>
      <c r="M1299" s="3" t="e">
        <f ca="1">SQRT(AVERAGE(K1299:OFFSET(K1299,$B$6-1,0))*$B$9/(4*LN(2)))</f>
        <v>#DIV/0!</v>
      </c>
      <c r="N1299" s="3" t="e">
        <f ca="1">SQRT(AVERAGE(K1299:OFFSET(K1299,$B$7-1,0))*$B$9/(4*LN(2)))</f>
        <v>#DIV/0!</v>
      </c>
      <c r="O1299" s="3" t="e">
        <f ca="1">SQRT(AVERAGE(K1299:OFFSET(K1299,$B$8-1,0))*$B$9/(4*LN(2)))</f>
        <v>#DIV/0!</v>
      </c>
      <c r="Q1299" s="5" t="e">
        <f t="shared" si="108"/>
        <v>#DIV/0!</v>
      </c>
      <c r="R1299" s="5" t="e">
        <f ca="1">SQRT($B$9*AVERAGE((Q1299:OFFSET(Q1299,$B$5-1,0))))</f>
        <v>#DIV/0!</v>
      </c>
      <c r="S1299" s="5" t="e">
        <f ca="1">SQRT($B$9*AVERAGE((Q1299:OFFSET(Q1299,$B$6-1,0))))</f>
        <v>#DIV/0!</v>
      </c>
      <c r="T1299" s="5" t="e">
        <f ca="1">SQRT($B$9*AVERAGE((Q1299:OFFSET(Q1299,$B$7-1,0))))</f>
        <v>#DIV/0!</v>
      </c>
      <c r="U1299" s="5" t="e">
        <f ca="1">SQRT($B$9*AVERAGE((Q1299:OFFSET(Q1299,$B$8-1,0))))</f>
        <v>#DIV/0!</v>
      </c>
      <c r="W1299" s="6" t="e">
        <f t="shared" si="107"/>
        <v>#DIV/0!</v>
      </c>
      <c r="X1299" s="6" t="e">
        <f ca="1">SQRT($B$9*AVERAGE(W1299:OFFSET(W1299,$B$5-1,0)))</f>
        <v>#DIV/0!</v>
      </c>
      <c r="Y1299" s="6" t="e">
        <f ca="1">SQRT($B$9*AVERAGE(W1299:OFFSET(W1299,$B$6-1,0)))</f>
        <v>#DIV/0!</v>
      </c>
      <c r="Z1299" s="6" t="e">
        <f ca="1">SQRT($B$9*AVERAGE(W1299:OFFSET(W1299,$B$7-1,0)))</f>
        <v>#DIV/0!</v>
      </c>
      <c r="AA1299" s="6" t="e">
        <f ca="1">SQRT($B$9*AVERAGE(W1299:OFFSET(W1299,$B$8-1,0)))</f>
        <v>#DIV/0!</v>
      </c>
      <c r="AC1299" s="34" t="e">
        <f t="shared" si="110"/>
        <v>#DIV/0!</v>
      </c>
      <c r="AD1299" s="34" t="e">
        <f ca="1">SQRT($B$9*SUM(AC1299:OFFSET(AC1299,$B$5-1,0))/($B$5-1))</f>
        <v>#DIV/0!</v>
      </c>
      <c r="AE1299" s="34" t="e">
        <f ca="1">SQRT($B$9*SUM(AC1299:OFFSET(AC1299,$B$6-1,0))/($B$6-1))</f>
        <v>#DIV/0!</v>
      </c>
      <c r="AF1299" s="34" t="e">
        <f ca="1">SQRT($B$9*SUM(AC1299:OFFSET(AC1299,$B$7-1,0))/($B$7-1))</f>
        <v>#DIV/0!</v>
      </c>
      <c r="AG1299" s="34" t="e">
        <f ca="1">SQRT($B$9*SUM(AC1299:OFFSET(AC1299,$B$8-1,0))/($B$8-1))</f>
        <v>#DIV/0!</v>
      </c>
      <c r="AI1299" s="1" t="e">
        <f t="shared" ref="AI1299:AI1362" si="111">LN(I1299/I1300)</f>
        <v>#DIV/0!</v>
      </c>
      <c r="AJ1299" s="4" t="e">
        <f ca="1">SQRT($B$9)*_xlfn.STDEV.S(AI1299:OFFSET(AI1299,$B$5-1,0))</f>
        <v>#DIV/0!</v>
      </c>
      <c r="AK1299" s="4" t="e">
        <f ca="1">SQRT($B$9)*_xlfn.STDEV.S(AI1299:OFFSET(AI1299,$B$6-1,0))</f>
        <v>#DIV/0!</v>
      </c>
      <c r="AL1299" s="4" t="e">
        <f ca="1">SQRT($B$9)*_xlfn.STDEV.S(AI1299:OFFSET(AI1299,$B$7-1,0))</f>
        <v>#DIV/0!</v>
      </c>
      <c r="AM1299" s="4" t="e">
        <f ca="1">SQRT($B$9)*_xlfn.STDEV.S(AI1299:OFFSET(AI1299,$B$8-1,0))</f>
        <v>#DIV/0!</v>
      </c>
    </row>
    <row r="1300" spans="11:39" x14ac:dyDescent="0.2">
      <c r="K1300" s="3" t="e">
        <f t="shared" si="109"/>
        <v>#DIV/0!</v>
      </c>
      <c r="L1300" s="3" t="e">
        <f ca="1">SQRT(AVERAGE(K1300:OFFSET(K1300,$B$5-1,0))*$B$9/(4*LN(2)))</f>
        <v>#DIV/0!</v>
      </c>
      <c r="M1300" s="3" t="e">
        <f ca="1">SQRT(AVERAGE(K1300:OFFSET(K1300,$B$6-1,0))*$B$9/(4*LN(2)))</f>
        <v>#DIV/0!</v>
      </c>
      <c r="N1300" s="3" t="e">
        <f ca="1">SQRT(AVERAGE(K1300:OFFSET(K1300,$B$7-1,0))*$B$9/(4*LN(2)))</f>
        <v>#DIV/0!</v>
      </c>
      <c r="O1300" s="3" t="e">
        <f ca="1">SQRT(AVERAGE(K1300:OFFSET(K1300,$B$8-1,0))*$B$9/(4*LN(2)))</f>
        <v>#DIV/0!</v>
      </c>
      <c r="Q1300" s="5" t="e">
        <f t="shared" si="108"/>
        <v>#DIV/0!</v>
      </c>
      <c r="R1300" s="5" t="e">
        <f ca="1">SQRT($B$9*AVERAGE((Q1300:OFFSET(Q1300,$B$5-1,0))))</f>
        <v>#DIV/0!</v>
      </c>
      <c r="S1300" s="5" t="e">
        <f ca="1">SQRT($B$9*AVERAGE((Q1300:OFFSET(Q1300,$B$6-1,0))))</f>
        <v>#DIV/0!</v>
      </c>
      <c r="T1300" s="5" t="e">
        <f ca="1">SQRT($B$9*AVERAGE((Q1300:OFFSET(Q1300,$B$7-1,0))))</f>
        <v>#DIV/0!</v>
      </c>
      <c r="U1300" s="5" t="e">
        <f ca="1">SQRT($B$9*AVERAGE((Q1300:OFFSET(Q1300,$B$8-1,0))))</f>
        <v>#DIV/0!</v>
      </c>
      <c r="W1300" s="6" t="e">
        <f t="shared" si="107"/>
        <v>#DIV/0!</v>
      </c>
      <c r="X1300" s="6" t="e">
        <f ca="1">SQRT($B$9*AVERAGE(W1300:OFFSET(W1300,$B$5-1,0)))</f>
        <v>#DIV/0!</v>
      </c>
      <c r="Y1300" s="6" t="e">
        <f ca="1">SQRT($B$9*AVERAGE(W1300:OFFSET(W1300,$B$6-1,0)))</f>
        <v>#DIV/0!</v>
      </c>
      <c r="Z1300" s="6" t="e">
        <f ca="1">SQRT($B$9*AVERAGE(W1300:OFFSET(W1300,$B$7-1,0)))</f>
        <v>#DIV/0!</v>
      </c>
      <c r="AA1300" s="6" t="e">
        <f ca="1">SQRT($B$9*AVERAGE(W1300:OFFSET(W1300,$B$8-1,0)))</f>
        <v>#DIV/0!</v>
      </c>
      <c r="AC1300" s="34" t="e">
        <f t="shared" si="110"/>
        <v>#DIV/0!</v>
      </c>
      <c r="AD1300" s="34" t="e">
        <f ca="1">SQRT($B$9*SUM(AC1300:OFFSET(AC1300,$B$5-1,0))/($B$5-1))</f>
        <v>#DIV/0!</v>
      </c>
      <c r="AE1300" s="34" t="e">
        <f ca="1">SQRT($B$9*SUM(AC1300:OFFSET(AC1300,$B$6-1,0))/($B$6-1))</f>
        <v>#DIV/0!</v>
      </c>
      <c r="AF1300" s="34" t="e">
        <f ca="1">SQRT($B$9*SUM(AC1300:OFFSET(AC1300,$B$7-1,0))/($B$7-1))</f>
        <v>#DIV/0!</v>
      </c>
      <c r="AG1300" s="34" t="e">
        <f ca="1">SQRT($B$9*SUM(AC1300:OFFSET(AC1300,$B$8-1,0))/($B$8-1))</f>
        <v>#DIV/0!</v>
      </c>
      <c r="AI1300" s="1" t="e">
        <f t="shared" si="111"/>
        <v>#DIV/0!</v>
      </c>
      <c r="AJ1300" s="4" t="e">
        <f ca="1">SQRT($B$9)*_xlfn.STDEV.S(AI1300:OFFSET(AI1300,$B$5-1,0))</f>
        <v>#DIV/0!</v>
      </c>
      <c r="AK1300" s="4" t="e">
        <f ca="1">SQRT($B$9)*_xlfn.STDEV.S(AI1300:OFFSET(AI1300,$B$6-1,0))</f>
        <v>#DIV/0!</v>
      </c>
      <c r="AL1300" s="4" t="e">
        <f ca="1">SQRT($B$9)*_xlfn.STDEV.S(AI1300:OFFSET(AI1300,$B$7-1,0))</f>
        <v>#DIV/0!</v>
      </c>
      <c r="AM1300" s="4" t="e">
        <f ca="1">SQRT($B$9)*_xlfn.STDEV.S(AI1300:OFFSET(AI1300,$B$8-1,0))</f>
        <v>#DIV/0!</v>
      </c>
    </row>
    <row r="1301" spans="11:39" x14ac:dyDescent="0.2">
      <c r="K1301" s="3" t="e">
        <f t="shared" si="109"/>
        <v>#DIV/0!</v>
      </c>
      <c r="L1301" s="3" t="e">
        <f ca="1">SQRT(AVERAGE(K1301:OFFSET(K1301,$B$5-1,0))*$B$9/(4*LN(2)))</f>
        <v>#DIV/0!</v>
      </c>
      <c r="M1301" s="3" t="e">
        <f ca="1">SQRT(AVERAGE(K1301:OFFSET(K1301,$B$6-1,0))*$B$9/(4*LN(2)))</f>
        <v>#DIV/0!</v>
      </c>
      <c r="N1301" s="3" t="e">
        <f ca="1">SQRT(AVERAGE(K1301:OFFSET(K1301,$B$7-1,0))*$B$9/(4*LN(2)))</f>
        <v>#DIV/0!</v>
      </c>
      <c r="O1301" s="3" t="e">
        <f ca="1">SQRT(AVERAGE(K1301:OFFSET(K1301,$B$8-1,0))*$B$9/(4*LN(2)))</f>
        <v>#DIV/0!</v>
      </c>
      <c r="Q1301" s="5" t="e">
        <f t="shared" si="108"/>
        <v>#DIV/0!</v>
      </c>
      <c r="R1301" s="5" t="e">
        <f ca="1">SQRT($B$9*AVERAGE((Q1301:OFFSET(Q1301,$B$5-1,0))))</f>
        <v>#DIV/0!</v>
      </c>
      <c r="S1301" s="5" t="e">
        <f ca="1">SQRT($B$9*AVERAGE((Q1301:OFFSET(Q1301,$B$6-1,0))))</f>
        <v>#DIV/0!</v>
      </c>
      <c r="T1301" s="5" t="e">
        <f ca="1">SQRT($B$9*AVERAGE((Q1301:OFFSET(Q1301,$B$7-1,0))))</f>
        <v>#DIV/0!</v>
      </c>
      <c r="U1301" s="5" t="e">
        <f ca="1">SQRT($B$9*AVERAGE((Q1301:OFFSET(Q1301,$B$8-1,0))))</f>
        <v>#DIV/0!</v>
      </c>
      <c r="W1301" s="6" t="e">
        <f t="shared" si="107"/>
        <v>#DIV/0!</v>
      </c>
      <c r="X1301" s="6" t="e">
        <f ca="1">SQRT($B$9*AVERAGE(W1301:OFFSET(W1301,$B$5-1,0)))</f>
        <v>#DIV/0!</v>
      </c>
      <c r="Y1301" s="6" t="e">
        <f ca="1">SQRT($B$9*AVERAGE(W1301:OFFSET(W1301,$B$6-1,0)))</f>
        <v>#DIV/0!</v>
      </c>
      <c r="Z1301" s="6" t="e">
        <f ca="1">SQRT($B$9*AVERAGE(W1301:OFFSET(W1301,$B$7-1,0)))</f>
        <v>#DIV/0!</v>
      </c>
      <c r="AA1301" s="6" t="e">
        <f ca="1">SQRT($B$9*AVERAGE(W1301:OFFSET(W1301,$B$8-1,0)))</f>
        <v>#DIV/0!</v>
      </c>
      <c r="AC1301" s="34" t="e">
        <f t="shared" si="110"/>
        <v>#DIV/0!</v>
      </c>
      <c r="AD1301" s="34" t="e">
        <f ca="1">SQRT($B$9*SUM(AC1301:OFFSET(AC1301,$B$5-1,0))/($B$5-1))</f>
        <v>#DIV/0!</v>
      </c>
      <c r="AE1301" s="34" t="e">
        <f ca="1">SQRT($B$9*SUM(AC1301:OFFSET(AC1301,$B$6-1,0))/($B$6-1))</f>
        <v>#DIV/0!</v>
      </c>
      <c r="AF1301" s="34" t="e">
        <f ca="1">SQRT($B$9*SUM(AC1301:OFFSET(AC1301,$B$7-1,0))/($B$7-1))</f>
        <v>#DIV/0!</v>
      </c>
      <c r="AG1301" s="34" t="e">
        <f ca="1">SQRT($B$9*SUM(AC1301:OFFSET(AC1301,$B$8-1,0))/($B$8-1))</f>
        <v>#DIV/0!</v>
      </c>
      <c r="AI1301" s="1" t="e">
        <f t="shared" si="111"/>
        <v>#DIV/0!</v>
      </c>
      <c r="AJ1301" s="4" t="e">
        <f ca="1">SQRT($B$9)*_xlfn.STDEV.S(AI1301:OFFSET(AI1301,$B$5-1,0))</f>
        <v>#DIV/0!</v>
      </c>
      <c r="AK1301" s="4" t="e">
        <f ca="1">SQRT($B$9)*_xlfn.STDEV.S(AI1301:OFFSET(AI1301,$B$6-1,0))</f>
        <v>#DIV/0!</v>
      </c>
      <c r="AL1301" s="4" t="e">
        <f ca="1">SQRT($B$9)*_xlfn.STDEV.S(AI1301:OFFSET(AI1301,$B$7-1,0))</f>
        <v>#DIV/0!</v>
      </c>
      <c r="AM1301" s="4" t="e">
        <f ca="1">SQRT($B$9)*_xlfn.STDEV.S(AI1301:OFFSET(AI1301,$B$8-1,0))</f>
        <v>#DIV/0!</v>
      </c>
    </row>
    <row r="1302" spans="11:39" x14ac:dyDescent="0.2">
      <c r="K1302" s="3" t="e">
        <f t="shared" si="109"/>
        <v>#DIV/0!</v>
      </c>
      <c r="L1302" s="3" t="e">
        <f ca="1">SQRT(AVERAGE(K1302:OFFSET(K1302,$B$5-1,0))*$B$9/(4*LN(2)))</f>
        <v>#DIV/0!</v>
      </c>
      <c r="M1302" s="3" t="e">
        <f ca="1">SQRT(AVERAGE(K1302:OFFSET(K1302,$B$6-1,0))*$B$9/(4*LN(2)))</f>
        <v>#DIV/0!</v>
      </c>
      <c r="N1302" s="3" t="e">
        <f ca="1">SQRT(AVERAGE(K1302:OFFSET(K1302,$B$7-1,0))*$B$9/(4*LN(2)))</f>
        <v>#DIV/0!</v>
      </c>
      <c r="O1302" s="3" t="e">
        <f ca="1">SQRT(AVERAGE(K1302:OFFSET(K1302,$B$8-1,0))*$B$9/(4*LN(2)))</f>
        <v>#DIV/0!</v>
      </c>
      <c r="Q1302" s="5" t="e">
        <f t="shared" si="108"/>
        <v>#DIV/0!</v>
      </c>
      <c r="R1302" s="5" t="e">
        <f ca="1">SQRT($B$9*AVERAGE((Q1302:OFFSET(Q1302,$B$5-1,0))))</f>
        <v>#DIV/0!</v>
      </c>
      <c r="S1302" s="5" t="e">
        <f ca="1">SQRT($B$9*AVERAGE((Q1302:OFFSET(Q1302,$B$6-1,0))))</f>
        <v>#DIV/0!</v>
      </c>
      <c r="T1302" s="5" t="e">
        <f ca="1">SQRT($B$9*AVERAGE((Q1302:OFFSET(Q1302,$B$7-1,0))))</f>
        <v>#DIV/0!</v>
      </c>
      <c r="U1302" s="5" t="e">
        <f ca="1">SQRT($B$9*AVERAGE((Q1302:OFFSET(Q1302,$B$8-1,0))))</f>
        <v>#DIV/0!</v>
      </c>
      <c r="W1302" s="6" t="e">
        <f t="shared" si="107"/>
        <v>#DIV/0!</v>
      </c>
      <c r="X1302" s="6" t="e">
        <f ca="1">SQRT($B$9*AVERAGE(W1302:OFFSET(W1302,$B$5-1,0)))</f>
        <v>#DIV/0!</v>
      </c>
      <c r="Y1302" s="6" t="e">
        <f ca="1">SQRT($B$9*AVERAGE(W1302:OFFSET(W1302,$B$6-1,0)))</f>
        <v>#DIV/0!</v>
      </c>
      <c r="Z1302" s="6" t="e">
        <f ca="1">SQRT($B$9*AVERAGE(W1302:OFFSET(W1302,$B$7-1,0)))</f>
        <v>#DIV/0!</v>
      </c>
      <c r="AA1302" s="6" t="e">
        <f ca="1">SQRT($B$9*AVERAGE(W1302:OFFSET(W1302,$B$8-1,0)))</f>
        <v>#DIV/0!</v>
      </c>
      <c r="AC1302" s="34" t="e">
        <f t="shared" si="110"/>
        <v>#DIV/0!</v>
      </c>
      <c r="AD1302" s="34" t="e">
        <f ca="1">SQRT($B$9*SUM(AC1302:OFFSET(AC1302,$B$5-1,0))/($B$5-1))</f>
        <v>#DIV/0!</v>
      </c>
      <c r="AE1302" s="34" t="e">
        <f ca="1">SQRT($B$9*SUM(AC1302:OFFSET(AC1302,$B$6-1,0))/($B$6-1))</f>
        <v>#DIV/0!</v>
      </c>
      <c r="AF1302" s="34" t="e">
        <f ca="1">SQRT($B$9*SUM(AC1302:OFFSET(AC1302,$B$7-1,0))/($B$7-1))</f>
        <v>#DIV/0!</v>
      </c>
      <c r="AG1302" s="34" t="e">
        <f ca="1">SQRT($B$9*SUM(AC1302:OFFSET(AC1302,$B$8-1,0))/($B$8-1))</f>
        <v>#DIV/0!</v>
      </c>
      <c r="AI1302" s="1" t="e">
        <f t="shared" si="111"/>
        <v>#DIV/0!</v>
      </c>
      <c r="AJ1302" s="4" t="e">
        <f ca="1">SQRT($B$9)*_xlfn.STDEV.S(AI1302:OFFSET(AI1302,$B$5-1,0))</f>
        <v>#DIV/0!</v>
      </c>
      <c r="AK1302" s="4" t="e">
        <f ca="1">SQRT($B$9)*_xlfn.STDEV.S(AI1302:OFFSET(AI1302,$B$6-1,0))</f>
        <v>#DIV/0!</v>
      </c>
      <c r="AL1302" s="4" t="e">
        <f ca="1">SQRT($B$9)*_xlfn.STDEV.S(AI1302:OFFSET(AI1302,$B$7-1,0))</f>
        <v>#DIV/0!</v>
      </c>
      <c r="AM1302" s="4" t="e">
        <f ca="1">SQRT($B$9)*_xlfn.STDEV.S(AI1302:OFFSET(AI1302,$B$8-1,0))</f>
        <v>#DIV/0!</v>
      </c>
    </row>
    <row r="1303" spans="11:39" x14ac:dyDescent="0.2">
      <c r="K1303" s="3" t="e">
        <f t="shared" si="109"/>
        <v>#DIV/0!</v>
      </c>
      <c r="L1303" s="3" t="e">
        <f ca="1">SQRT(AVERAGE(K1303:OFFSET(K1303,$B$5-1,0))*$B$9/(4*LN(2)))</f>
        <v>#DIV/0!</v>
      </c>
      <c r="M1303" s="3" t="e">
        <f ca="1">SQRT(AVERAGE(K1303:OFFSET(K1303,$B$6-1,0))*$B$9/(4*LN(2)))</f>
        <v>#DIV/0!</v>
      </c>
      <c r="N1303" s="3" t="e">
        <f ca="1">SQRT(AVERAGE(K1303:OFFSET(K1303,$B$7-1,0))*$B$9/(4*LN(2)))</f>
        <v>#DIV/0!</v>
      </c>
      <c r="O1303" s="3" t="e">
        <f ca="1">SQRT(AVERAGE(K1303:OFFSET(K1303,$B$8-1,0))*$B$9/(4*LN(2)))</f>
        <v>#DIV/0!</v>
      </c>
      <c r="Q1303" s="5" t="e">
        <f t="shared" si="108"/>
        <v>#DIV/0!</v>
      </c>
      <c r="R1303" s="5" t="e">
        <f ca="1">SQRT($B$9*AVERAGE((Q1303:OFFSET(Q1303,$B$5-1,0))))</f>
        <v>#DIV/0!</v>
      </c>
      <c r="S1303" s="5" t="e">
        <f ca="1">SQRT($B$9*AVERAGE((Q1303:OFFSET(Q1303,$B$6-1,0))))</f>
        <v>#DIV/0!</v>
      </c>
      <c r="T1303" s="5" t="e">
        <f ca="1">SQRT($B$9*AVERAGE((Q1303:OFFSET(Q1303,$B$7-1,0))))</f>
        <v>#DIV/0!</v>
      </c>
      <c r="U1303" s="5" t="e">
        <f ca="1">SQRT($B$9*AVERAGE((Q1303:OFFSET(Q1303,$B$8-1,0))))</f>
        <v>#DIV/0!</v>
      </c>
      <c r="W1303" s="6" t="e">
        <f t="shared" si="107"/>
        <v>#DIV/0!</v>
      </c>
      <c r="X1303" s="6" t="e">
        <f ca="1">SQRT($B$9*AVERAGE(W1303:OFFSET(W1303,$B$5-1,0)))</f>
        <v>#DIV/0!</v>
      </c>
      <c r="Y1303" s="6" t="e">
        <f ca="1">SQRT($B$9*AVERAGE(W1303:OFFSET(W1303,$B$6-1,0)))</f>
        <v>#DIV/0!</v>
      </c>
      <c r="Z1303" s="6" t="e">
        <f ca="1">SQRT($B$9*AVERAGE(W1303:OFFSET(W1303,$B$7-1,0)))</f>
        <v>#DIV/0!</v>
      </c>
      <c r="AA1303" s="6" t="e">
        <f ca="1">SQRT($B$9*AVERAGE(W1303:OFFSET(W1303,$B$8-1,0)))</f>
        <v>#DIV/0!</v>
      </c>
      <c r="AC1303" s="34" t="e">
        <f t="shared" si="110"/>
        <v>#DIV/0!</v>
      </c>
      <c r="AD1303" s="34" t="e">
        <f ca="1">SQRT($B$9*SUM(AC1303:OFFSET(AC1303,$B$5-1,0))/($B$5-1))</f>
        <v>#DIV/0!</v>
      </c>
      <c r="AE1303" s="34" t="e">
        <f ca="1">SQRT($B$9*SUM(AC1303:OFFSET(AC1303,$B$6-1,0))/($B$6-1))</f>
        <v>#DIV/0!</v>
      </c>
      <c r="AF1303" s="34" t="e">
        <f ca="1">SQRT($B$9*SUM(AC1303:OFFSET(AC1303,$B$7-1,0))/($B$7-1))</f>
        <v>#DIV/0!</v>
      </c>
      <c r="AG1303" s="34" t="e">
        <f ca="1">SQRT($B$9*SUM(AC1303:OFFSET(AC1303,$B$8-1,0))/($B$8-1))</f>
        <v>#DIV/0!</v>
      </c>
      <c r="AI1303" s="1" t="e">
        <f t="shared" si="111"/>
        <v>#DIV/0!</v>
      </c>
      <c r="AJ1303" s="4" t="e">
        <f ca="1">SQRT($B$9)*_xlfn.STDEV.S(AI1303:OFFSET(AI1303,$B$5-1,0))</f>
        <v>#DIV/0!</v>
      </c>
      <c r="AK1303" s="4" t="e">
        <f ca="1">SQRT($B$9)*_xlfn.STDEV.S(AI1303:OFFSET(AI1303,$B$6-1,0))</f>
        <v>#DIV/0!</v>
      </c>
      <c r="AL1303" s="4" t="e">
        <f ca="1">SQRT($B$9)*_xlfn.STDEV.S(AI1303:OFFSET(AI1303,$B$7-1,0))</f>
        <v>#DIV/0!</v>
      </c>
      <c r="AM1303" s="4" t="e">
        <f ca="1">SQRT($B$9)*_xlfn.STDEV.S(AI1303:OFFSET(AI1303,$B$8-1,0))</f>
        <v>#DIV/0!</v>
      </c>
    </row>
    <row r="1304" spans="11:39" x14ac:dyDescent="0.2">
      <c r="K1304" s="3" t="e">
        <f t="shared" si="109"/>
        <v>#DIV/0!</v>
      </c>
      <c r="L1304" s="3" t="e">
        <f ca="1">SQRT(AVERAGE(K1304:OFFSET(K1304,$B$5-1,0))*$B$9/(4*LN(2)))</f>
        <v>#DIV/0!</v>
      </c>
      <c r="M1304" s="3" t="e">
        <f ca="1">SQRT(AVERAGE(K1304:OFFSET(K1304,$B$6-1,0))*$B$9/(4*LN(2)))</f>
        <v>#DIV/0!</v>
      </c>
      <c r="N1304" s="3" t="e">
        <f ca="1">SQRT(AVERAGE(K1304:OFFSET(K1304,$B$7-1,0))*$B$9/(4*LN(2)))</f>
        <v>#DIV/0!</v>
      </c>
      <c r="O1304" s="3" t="e">
        <f ca="1">SQRT(AVERAGE(K1304:OFFSET(K1304,$B$8-1,0))*$B$9/(4*LN(2)))</f>
        <v>#DIV/0!</v>
      </c>
      <c r="Q1304" s="5" t="e">
        <f t="shared" si="108"/>
        <v>#DIV/0!</v>
      </c>
      <c r="R1304" s="5" t="e">
        <f ca="1">SQRT($B$9*AVERAGE((Q1304:OFFSET(Q1304,$B$5-1,0))))</f>
        <v>#DIV/0!</v>
      </c>
      <c r="S1304" s="5" t="e">
        <f ca="1">SQRT($B$9*AVERAGE((Q1304:OFFSET(Q1304,$B$6-1,0))))</f>
        <v>#DIV/0!</v>
      </c>
      <c r="T1304" s="5" t="e">
        <f ca="1">SQRT($B$9*AVERAGE((Q1304:OFFSET(Q1304,$B$7-1,0))))</f>
        <v>#DIV/0!</v>
      </c>
      <c r="U1304" s="5" t="e">
        <f ca="1">SQRT($B$9*AVERAGE((Q1304:OFFSET(Q1304,$B$8-1,0))))</f>
        <v>#DIV/0!</v>
      </c>
      <c r="W1304" s="6" t="e">
        <f t="shared" si="107"/>
        <v>#DIV/0!</v>
      </c>
      <c r="X1304" s="6" t="e">
        <f ca="1">SQRT($B$9*AVERAGE(W1304:OFFSET(W1304,$B$5-1,0)))</f>
        <v>#DIV/0!</v>
      </c>
      <c r="Y1304" s="6" t="e">
        <f ca="1">SQRT($B$9*AVERAGE(W1304:OFFSET(W1304,$B$6-1,0)))</f>
        <v>#DIV/0!</v>
      </c>
      <c r="Z1304" s="6" t="e">
        <f ca="1">SQRT($B$9*AVERAGE(W1304:OFFSET(W1304,$B$7-1,0)))</f>
        <v>#DIV/0!</v>
      </c>
      <c r="AA1304" s="6" t="e">
        <f ca="1">SQRT($B$9*AVERAGE(W1304:OFFSET(W1304,$B$8-1,0)))</f>
        <v>#DIV/0!</v>
      </c>
      <c r="AC1304" s="34" t="e">
        <f t="shared" si="110"/>
        <v>#DIV/0!</v>
      </c>
      <c r="AD1304" s="34" t="e">
        <f ca="1">SQRT($B$9*SUM(AC1304:OFFSET(AC1304,$B$5-1,0))/($B$5-1))</f>
        <v>#DIV/0!</v>
      </c>
      <c r="AE1304" s="34" t="e">
        <f ca="1">SQRT($B$9*SUM(AC1304:OFFSET(AC1304,$B$6-1,0))/($B$6-1))</f>
        <v>#DIV/0!</v>
      </c>
      <c r="AF1304" s="34" t="e">
        <f ca="1">SQRT($B$9*SUM(AC1304:OFFSET(AC1304,$B$7-1,0))/($B$7-1))</f>
        <v>#DIV/0!</v>
      </c>
      <c r="AG1304" s="34" t="e">
        <f ca="1">SQRT($B$9*SUM(AC1304:OFFSET(AC1304,$B$8-1,0))/($B$8-1))</f>
        <v>#DIV/0!</v>
      </c>
      <c r="AI1304" s="1" t="e">
        <f t="shared" si="111"/>
        <v>#DIV/0!</v>
      </c>
      <c r="AJ1304" s="4" t="e">
        <f ca="1">SQRT($B$9)*_xlfn.STDEV.S(AI1304:OFFSET(AI1304,$B$5-1,0))</f>
        <v>#DIV/0!</v>
      </c>
      <c r="AK1304" s="4" t="e">
        <f ca="1">SQRT($B$9)*_xlfn.STDEV.S(AI1304:OFFSET(AI1304,$B$6-1,0))</f>
        <v>#DIV/0!</v>
      </c>
      <c r="AL1304" s="4" t="e">
        <f ca="1">SQRT($B$9)*_xlfn.STDEV.S(AI1304:OFFSET(AI1304,$B$7-1,0))</f>
        <v>#DIV/0!</v>
      </c>
      <c r="AM1304" s="4" t="e">
        <f ca="1">SQRT($B$9)*_xlfn.STDEV.S(AI1304:OFFSET(AI1304,$B$8-1,0))</f>
        <v>#DIV/0!</v>
      </c>
    </row>
    <row r="1305" spans="11:39" x14ac:dyDescent="0.2">
      <c r="K1305" s="3" t="e">
        <f t="shared" si="109"/>
        <v>#DIV/0!</v>
      </c>
      <c r="L1305" s="3" t="e">
        <f ca="1">SQRT(AVERAGE(K1305:OFFSET(K1305,$B$5-1,0))*$B$9/(4*LN(2)))</f>
        <v>#DIV/0!</v>
      </c>
      <c r="M1305" s="3" t="e">
        <f ca="1">SQRT(AVERAGE(K1305:OFFSET(K1305,$B$6-1,0))*$B$9/(4*LN(2)))</f>
        <v>#DIV/0!</v>
      </c>
      <c r="N1305" s="3" t="e">
        <f ca="1">SQRT(AVERAGE(K1305:OFFSET(K1305,$B$7-1,0))*$B$9/(4*LN(2)))</f>
        <v>#DIV/0!</v>
      </c>
      <c r="O1305" s="3" t="e">
        <f ca="1">SQRT(AVERAGE(K1305:OFFSET(K1305,$B$8-1,0))*$B$9/(4*LN(2)))</f>
        <v>#DIV/0!</v>
      </c>
      <c r="Q1305" s="5" t="e">
        <f t="shared" si="108"/>
        <v>#DIV/0!</v>
      </c>
      <c r="R1305" s="5" t="e">
        <f ca="1">SQRT($B$9*AVERAGE((Q1305:OFFSET(Q1305,$B$5-1,0))))</f>
        <v>#DIV/0!</v>
      </c>
      <c r="S1305" s="5" t="e">
        <f ca="1">SQRT($B$9*AVERAGE((Q1305:OFFSET(Q1305,$B$6-1,0))))</f>
        <v>#DIV/0!</v>
      </c>
      <c r="T1305" s="5" t="e">
        <f ca="1">SQRT($B$9*AVERAGE((Q1305:OFFSET(Q1305,$B$7-1,0))))</f>
        <v>#DIV/0!</v>
      </c>
      <c r="U1305" s="5" t="e">
        <f ca="1">SQRT($B$9*AVERAGE((Q1305:OFFSET(Q1305,$B$8-1,0))))</f>
        <v>#DIV/0!</v>
      </c>
      <c r="W1305" s="6" t="e">
        <f t="shared" si="107"/>
        <v>#DIV/0!</v>
      </c>
      <c r="X1305" s="6" t="e">
        <f ca="1">SQRT($B$9*AVERAGE(W1305:OFFSET(W1305,$B$5-1,0)))</f>
        <v>#DIV/0!</v>
      </c>
      <c r="Y1305" s="6" t="e">
        <f ca="1">SQRT($B$9*AVERAGE(W1305:OFFSET(W1305,$B$6-1,0)))</f>
        <v>#DIV/0!</v>
      </c>
      <c r="Z1305" s="6" t="e">
        <f ca="1">SQRT($B$9*AVERAGE(W1305:OFFSET(W1305,$B$7-1,0)))</f>
        <v>#DIV/0!</v>
      </c>
      <c r="AA1305" s="6" t="e">
        <f ca="1">SQRT($B$9*AVERAGE(W1305:OFFSET(W1305,$B$8-1,0)))</f>
        <v>#DIV/0!</v>
      </c>
      <c r="AC1305" s="34" t="e">
        <f t="shared" si="110"/>
        <v>#DIV/0!</v>
      </c>
      <c r="AD1305" s="34" t="e">
        <f ca="1">SQRT($B$9*SUM(AC1305:OFFSET(AC1305,$B$5-1,0))/($B$5-1))</f>
        <v>#DIV/0!</v>
      </c>
      <c r="AE1305" s="34" t="e">
        <f ca="1">SQRT($B$9*SUM(AC1305:OFFSET(AC1305,$B$6-1,0))/($B$6-1))</f>
        <v>#DIV/0!</v>
      </c>
      <c r="AF1305" s="34" t="e">
        <f ca="1">SQRT($B$9*SUM(AC1305:OFFSET(AC1305,$B$7-1,0))/($B$7-1))</f>
        <v>#DIV/0!</v>
      </c>
      <c r="AG1305" s="34" t="e">
        <f ca="1">SQRT($B$9*SUM(AC1305:OFFSET(AC1305,$B$8-1,0))/($B$8-1))</f>
        <v>#DIV/0!</v>
      </c>
      <c r="AI1305" s="1" t="e">
        <f t="shared" si="111"/>
        <v>#DIV/0!</v>
      </c>
      <c r="AJ1305" s="4" t="e">
        <f ca="1">SQRT($B$9)*_xlfn.STDEV.S(AI1305:OFFSET(AI1305,$B$5-1,0))</f>
        <v>#DIV/0!</v>
      </c>
      <c r="AK1305" s="4" t="e">
        <f ca="1">SQRT($B$9)*_xlfn.STDEV.S(AI1305:OFFSET(AI1305,$B$6-1,0))</f>
        <v>#DIV/0!</v>
      </c>
      <c r="AL1305" s="4" t="e">
        <f ca="1">SQRT($B$9)*_xlfn.STDEV.S(AI1305:OFFSET(AI1305,$B$7-1,0))</f>
        <v>#DIV/0!</v>
      </c>
      <c r="AM1305" s="4" t="e">
        <f ca="1">SQRT($B$9)*_xlfn.STDEV.S(AI1305:OFFSET(AI1305,$B$8-1,0))</f>
        <v>#DIV/0!</v>
      </c>
    </row>
    <row r="1306" spans="11:39" x14ac:dyDescent="0.2">
      <c r="K1306" s="3" t="e">
        <f t="shared" si="109"/>
        <v>#DIV/0!</v>
      </c>
      <c r="L1306" s="3" t="e">
        <f ca="1">SQRT(AVERAGE(K1306:OFFSET(K1306,$B$5-1,0))*$B$9/(4*LN(2)))</f>
        <v>#DIV/0!</v>
      </c>
      <c r="M1306" s="3" t="e">
        <f ca="1">SQRT(AVERAGE(K1306:OFFSET(K1306,$B$6-1,0))*$B$9/(4*LN(2)))</f>
        <v>#DIV/0!</v>
      </c>
      <c r="N1306" s="3" t="e">
        <f ca="1">SQRT(AVERAGE(K1306:OFFSET(K1306,$B$7-1,0))*$B$9/(4*LN(2)))</f>
        <v>#DIV/0!</v>
      </c>
      <c r="O1306" s="3" t="e">
        <f ca="1">SQRT(AVERAGE(K1306:OFFSET(K1306,$B$8-1,0))*$B$9/(4*LN(2)))</f>
        <v>#DIV/0!</v>
      </c>
      <c r="Q1306" s="5" t="e">
        <f t="shared" si="108"/>
        <v>#DIV/0!</v>
      </c>
      <c r="R1306" s="5" t="e">
        <f ca="1">SQRT($B$9*AVERAGE((Q1306:OFFSET(Q1306,$B$5-1,0))))</f>
        <v>#DIV/0!</v>
      </c>
      <c r="S1306" s="5" t="e">
        <f ca="1">SQRT($B$9*AVERAGE((Q1306:OFFSET(Q1306,$B$6-1,0))))</f>
        <v>#DIV/0!</v>
      </c>
      <c r="T1306" s="5" t="e">
        <f ca="1">SQRT($B$9*AVERAGE((Q1306:OFFSET(Q1306,$B$7-1,0))))</f>
        <v>#DIV/0!</v>
      </c>
      <c r="U1306" s="5" t="e">
        <f ca="1">SQRT($B$9*AVERAGE((Q1306:OFFSET(Q1306,$B$8-1,0))))</f>
        <v>#DIV/0!</v>
      </c>
      <c r="W1306" s="6" t="e">
        <f t="shared" si="107"/>
        <v>#DIV/0!</v>
      </c>
      <c r="X1306" s="6" t="e">
        <f ca="1">SQRT($B$9*AVERAGE(W1306:OFFSET(W1306,$B$5-1,0)))</f>
        <v>#DIV/0!</v>
      </c>
      <c r="Y1306" s="6" t="e">
        <f ca="1">SQRT($B$9*AVERAGE(W1306:OFFSET(W1306,$B$6-1,0)))</f>
        <v>#DIV/0!</v>
      </c>
      <c r="Z1306" s="6" t="e">
        <f ca="1">SQRT($B$9*AVERAGE(W1306:OFFSET(W1306,$B$7-1,0)))</f>
        <v>#DIV/0!</v>
      </c>
      <c r="AA1306" s="6" t="e">
        <f ca="1">SQRT($B$9*AVERAGE(W1306:OFFSET(W1306,$B$8-1,0)))</f>
        <v>#DIV/0!</v>
      </c>
      <c r="AC1306" s="34" t="e">
        <f t="shared" si="110"/>
        <v>#DIV/0!</v>
      </c>
      <c r="AD1306" s="34" t="e">
        <f ca="1">SQRT($B$9*SUM(AC1306:OFFSET(AC1306,$B$5-1,0))/($B$5-1))</f>
        <v>#DIV/0!</v>
      </c>
      <c r="AE1306" s="34" t="e">
        <f ca="1">SQRT($B$9*SUM(AC1306:OFFSET(AC1306,$B$6-1,0))/($B$6-1))</f>
        <v>#DIV/0!</v>
      </c>
      <c r="AF1306" s="34" t="e">
        <f ca="1">SQRT($B$9*SUM(AC1306:OFFSET(AC1306,$B$7-1,0))/($B$7-1))</f>
        <v>#DIV/0!</v>
      </c>
      <c r="AG1306" s="34" t="e">
        <f ca="1">SQRT($B$9*SUM(AC1306:OFFSET(AC1306,$B$8-1,0))/($B$8-1))</f>
        <v>#DIV/0!</v>
      </c>
      <c r="AI1306" s="1" t="e">
        <f t="shared" si="111"/>
        <v>#DIV/0!</v>
      </c>
      <c r="AJ1306" s="4" t="e">
        <f ca="1">SQRT($B$9)*_xlfn.STDEV.S(AI1306:OFFSET(AI1306,$B$5-1,0))</f>
        <v>#DIV/0!</v>
      </c>
      <c r="AK1306" s="4" t="e">
        <f ca="1">SQRT($B$9)*_xlfn.STDEV.S(AI1306:OFFSET(AI1306,$B$6-1,0))</f>
        <v>#DIV/0!</v>
      </c>
      <c r="AL1306" s="4" t="e">
        <f ca="1">SQRT($B$9)*_xlfn.STDEV.S(AI1306:OFFSET(AI1306,$B$7-1,0))</f>
        <v>#DIV/0!</v>
      </c>
      <c r="AM1306" s="4" t="e">
        <f ca="1">SQRT($B$9)*_xlfn.STDEV.S(AI1306:OFFSET(AI1306,$B$8-1,0))</f>
        <v>#DIV/0!</v>
      </c>
    </row>
    <row r="1307" spans="11:39" x14ac:dyDescent="0.2">
      <c r="K1307" s="3" t="e">
        <f t="shared" si="109"/>
        <v>#DIV/0!</v>
      </c>
      <c r="L1307" s="3" t="e">
        <f ca="1">SQRT(AVERAGE(K1307:OFFSET(K1307,$B$5-1,0))*$B$9/(4*LN(2)))</f>
        <v>#DIV/0!</v>
      </c>
      <c r="M1307" s="3" t="e">
        <f ca="1">SQRT(AVERAGE(K1307:OFFSET(K1307,$B$6-1,0))*$B$9/(4*LN(2)))</f>
        <v>#DIV/0!</v>
      </c>
      <c r="N1307" s="3" t="e">
        <f ca="1">SQRT(AVERAGE(K1307:OFFSET(K1307,$B$7-1,0))*$B$9/(4*LN(2)))</f>
        <v>#DIV/0!</v>
      </c>
      <c r="O1307" s="3" t="e">
        <f ca="1">SQRT(AVERAGE(K1307:OFFSET(K1307,$B$8-1,0))*$B$9/(4*LN(2)))</f>
        <v>#DIV/0!</v>
      </c>
      <c r="Q1307" s="5" t="e">
        <f t="shared" si="108"/>
        <v>#DIV/0!</v>
      </c>
      <c r="R1307" s="5" t="e">
        <f ca="1">SQRT($B$9*AVERAGE((Q1307:OFFSET(Q1307,$B$5-1,0))))</f>
        <v>#DIV/0!</v>
      </c>
      <c r="S1307" s="5" t="e">
        <f ca="1">SQRT($B$9*AVERAGE((Q1307:OFFSET(Q1307,$B$6-1,0))))</f>
        <v>#DIV/0!</v>
      </c>
      <c r="T1307" s="5" t="e">
        <f ca="1">SQRT($B$9*AVERAGE((Q1307:OFFSET(Q1307,$B$7-1,0))))</f>
        <v>#DIV/0!</v>
      </c>
      <c r="U1307" s="5" t="e">
        <f ca="1">SQRT($B$9*AVERAGE((Q1307:OFFSET(Q1307,$B$8-1,0))))</f>
        <v>#DIV/0!</v>
      </c>
      <c r="W1307" s="6" t="e">
        <f t="shared" si="107"/>
        <v>#DIV/0!</v>
      </c>
      <c r="X1307" s="6" t="e">
        <f ca="1">SQRT($B$9*AVERAGE(W1307:OFFSET(W1307,$B$5-1,0)))</f>
        <v>#DIV/0!</v>
      </c>
      <c r="Y1307" s="6" t="e">
        <f ca="1">SQRT($B$9*AVERAGE(W1307:OFFSET(W1307,$B$6-1,0)))</f>
        <v>#DIV/0!</v>
      </c>
      <c r="Z1307" s="6" t="e">
        <f ca="1">SQRT($B$9*AVERAGE(W1307:OFFSET(W1307,$B$7-1,0)))</f>
        <v>#DIV/0!</v>
      </c>
      <c r="AA1307" s="6" t="e">
        <f ca="1">SQRT($B$9*AVERAGE(W1307:OFFSET(W1307,$B$8-1,0)))</f>
        <v>#DIV/0!</v>
      </c>
      <c r="AC1307" s="34" t="e">
        <f t="shared" si="110"/>
        <v>#DIV/0!</v>
      </c>
      <c r="AD1307" s="34" t="e">
        <f ca="1">SQRT($B$9*SUM(AC1307:OFFSET(AC1307,$B$5-1,0))/($B$5-1))</f>
        <v>#DIV/0!</v>
      </c>
      <c r="AE1307" s="34" t="e">
        <f ca="1">SQRT($B$9*SUM(AC1307:OFFSET(AC1307,$B$6-1,0))/($B$6-1))</f>
        <v>#DIV/0!</v>
      </c>
      <c r="AF1307" s="34" t="e">
        <f ca="1">SQRT($B$9*SUM(AC1307:OFFSET(AC1307,$B$7-1,0))/($B$7-1))</f>
        <v>#DIV/0!</v>
      </c>
      <c r="AG1307" s="34" t="e">
        <f ca="1">SQRT($B$9*SUM(AC1307:OFFSET(AC1307,$B$8-1,0))/($B$8-1))</f>
        <v>#DIV/0!</v>
      </c>
      <c r="AI1307" s="1" t="e">
        <f t="shared" si="111"/>
        <v>#DIV/0!</v>
      </c>
      <c r="AJ1307" s="4" t="e">
        <f ca="1">SQRT($B$9)*_xlfn.STDEV.S(AI1307:OFFSET(AI1307,$B$5-1,0))</f>
        <v>#DIV/0!</v>
      </c>
      <c r="AK1307" s="4" t="e">
        <f ca="1">SQRT($B$9)*_xlfn.STDEV.S(AI1307:OFFSET(AI1307,$B$6-1,0))</f>
        <v>#DIV/0!</v>
      </c>
      <c r="AL1307" s="4" t="e">
        <f ca="1">SQRT($B$9)*_xlfn.STDEV.S(AI1307:OFFSET(AI1307,$B$7-1,0))</f>
        <v>#DIV/0!</v>
      </c>
      <c r="AM1307" s="4" t="e">
        <f ca="1">SQRT($B$9)*_xlfn.STDEV.S(AI1307:OFFSET(AI1307,$B$8-1,0))</f>
        <v>#DIV/0!</v>
      </c>
    </row>
    <row r="1308" spans="11:39" x14ac:dyDescent="0.2">
      <c r="K1308" s="3" t="e">
        <f t="shared" si="109"/>
        <v>#DIV/0!</v>
      </c>
      <c r="L1308" s="3" t="e">
        <f ca="1">SQRT(AVERAGE(K1308:OFFSET(K1308,$B$5-1,0))*$B$9/(4*LN(2)))</f>
        <v>#DIV/0!</v>
      </c>
      <c r="M1308" s="3" t="e">
        <f ca="1">SQRT(AVERAGE(K1308:OFFSET(K1308,$B$6-1,0))*$B$9/(4*LN(2)))</f>
        <v>#DIV/0!</v>
      </c>
      <c r="N1308" s="3" t="e">
        <f ca="1">SQRT(AVERAGE(K1308:OFFSET(K1308,$B$7-1,0))*$B$9/(4*LN(2)))</f>
        <v>#DIV/0!</v>
      </c>
      <c r="O1308" s="3" t="e">
        <f ca="1">SQRT(AVERAGE(K1308:OFFSET(K1308,$B$8-1,0))*$B$9/(4*LN(2)))</f>
        <v>#DIV/0!</v>
      </c>
      <c r="Q1308" s="5" t="e">
        <f t="shared" si="108"/>
        <v>#DIV/0!</v>
      </c>
      <c r="R1308" s="5" t="e">
        <f ca="1">SQRT($B$9*AVERAGE((Q1308:OFFSET(Q1308,$B$5-1,0))))</f>
        <v>#DIV/0!</v>
      </c>
      <c r="S1308" s="5" t="e">
        <f ca="1">SQRT($B$9*AVERAGE((Q1308:OFFSET(Q1308,$B$6-1,0))))</f>
        <v>#DIV/0!</v>
      </c>
      <c r="T1308" s="5" t="e">
        <f ca="1">SQRT($B$9*AVERAGE((Q1308:OFFSET(Q1308,$B$7-1,0))))</f>
        <v>#DIV/0!</v>
      </c>
      <c r="U1308" s="5" t="e">
        <f ca="1">SQRT($B$9*AVERAGE((Q1308:OFFSET(Q1308,$B$8-1,0))))</f>
        <v>#DIV/0!</v>
      </c>
      <c r="W1308" s="6" t="e">
        <f t="shared" si="107"/>
        <v>#DIV/0!</v>
      </c>
      <c r="X1308" s="6" t="e">
        <f ca="1">SQRT($B$9*AVERAGE(W1308:OFFSET(W1308,$B$5-1,0)))</f>
        <v>#DIV/0!</v>
      </c>
      <c r="Y1308" s="6" t="e">
        <f ca="1">SQRT($B$9*AVERAGE(W1308:OFFSET(W1308,$B$6-1,0)))</f>
        <v>#DIV/0!</v>
      </c>
      <c r="Z1308" s="6" t="e">
        <f ca="1">SQRT($B$9*AVERAGE(W1308:OFFSET(W1308,$B$7-1,0)))</f>
        <v>#DIV/0!</v>
      </c>
      <c r="AA1308" s="6" t="e">
        <f ca="1">SQRT($B$9*AVERAGE(W1308:OFFSET(W1308,$B$8-1,0)))</f>
        <v>#DIV/0!</v>
      </c>
      <c r="AC1308" s="34" t="e">
        <f t="shared" si="110"/>
        <v>#DIV/0!</v>
      </c>
      <c r="AD1308" s="34" t="e">
        <f ca="1">SQRT($B$9*SUM(AC1308:OFFSET(AC1308,$B$5-1,0))/($B$5-1))</f>
        <v>#DIV/0!</v>
      </c>
      <c r="AE1308" s="34" t="e">
        <f ca="1">SQRT($B$9*SUM(AC1308:OFFSET(AC1308,$B$6-1,0))/($B$6-1))</f>
        <v>#DIV/0!</v>
      </c>
      <c r="AF1308" s="34" t="e">
        <f ca="1">SQRT($B$9*SUM(AC1308:OFFSET(AC1308,$B$7-1,0))/($B$7-1))</f>
        <v>#DIV/0!</v>
      </c>
      <c r="AG1308" s="34" t="e">
        <f ca="1">SQRT($B$9*SUM(AC1308:OFFSET(AC1308,$B$8-1,0))/($B$8-1))</f>
        <v>#DIV/0!</v>
      </c>
      <c r="AI1308" s="1" t="e">
        <f t="shared" si="111"/>
        <v>#DIV/0!</v>
      </c>
      <c r="AJ1308" s="4" t="e">
        <f ca="1">SQRT($B$9)*_xlfn.STDEV.S(AI1308:OFFSET(AI1308,$B$5-1,0))</f>
        <v>#DIV/0!</v>
      </c>
      <c r="AK1308" s="4" t="e">
        <f ca="1">SQRT($B$9)*_xlfn.STDEV.S(AI1308:OFFSET(AI1308,$B$6-1,0))</f>
        <v>#DIV/0!</v>
      </c>
      <c r="AL1308" s="4" t="e">
        <f ca="1">SQRT($B$9)*_xlfn.STDEV.S(AI1308:OFFSET(AI1308,$B$7-1,0))</f>
        <v>#DIV/0!</v>
      </c>
      <c r="AM1308" s="4" t="e">
        <f ca="1">SQRT($B$9)*_xlfn.STDEV.S(AI1308:OFFSET(AI1308,$B$8-1,0))</f>
        <v>#DIV/0!</v>
      </c>
    </row>
    <row r="1309" spans="11:39" x14ac:dyDescent="0.2">
      <c r="K1309" s="3" t="e">
        <f t="shared" si="109"/>
        <v>#DIV/0!</v>
      </c>
      <c r="L1309" s="3" t="e">
        <f ca="1">SQRT(AVERAGE(K1309:OFFSET(K1309,$B$5-1,0))*$B$9/(4*LN(2)))</f>
        <v>#DIV/0!</v>
      </c>
      <c r="M1309" s="3" t="e">
        <f ca="1">SQRT(AVERAGE(K1309:OFFSET(K1309,$B$6-1,0))*$B$9/(4*LN(2)))</f>
        <v>#DIV/0!</v>
      </c>
      <c r="N1309" s="3" t="e">
        <f ca="1">SQRT(AVERAGE(K1309:OFFSET(K1309,$B$7-1,0))*$B$9/(4*LN(2)))</f>
        <v>#DIV/0!</v>
      </c>
      <c r="O1309" s="3" t="e">
        <f ca="1">SQRT(AVERAGE(K1309:OFFSET(K1309,$B$8-1,0))*$B$9/(4*LN(2)))</f>
        <v>#DIV/0!</v>
      </c>
      <c r="Q1309" s="5" t="e">
        <f t="shared" si="108"/>
        <v>#DIV/0!</v>
      </c>
      <c r="R1309" s="5" t="e">
        <f ca="1">SQRT($B$9*AVERAGE((Q1309:OFFSET(Q1309,$B$5-1,0))))</f>
        <v>#DIV/0!</v>
      </c>
      <c r="S1309" s="5" t="e">
        <f ca="1">SQRT($B$9*AVERAGE((Q1309:OFFSET(Q1309,$B$6-1,0))))</f>
        <v>#DIV/0!</v>
      </c>
      <c r="T1309" s="5" t="e">
        <f ca="1">SQRT($B$9*AVERAGE((Q1309:OFFSET(Q1309,$B$7-1,0))))</f>
        <v>#DIV/0!</v>
      </c>
      <c r="U1309" s="5" t="e">
        <f ca="1">SQRT($B$9*AVERAGE((Q1309:OFFSET(Q1309,$B$8-1,0))))</f>
        <v>#DIV/0!</v>
      </c>
      <c r="W1309" s="6" t="e">
        <f t="shared" si="107"/>
        <v>#DIV/0!</v>
      </c>
      <c r="X1309" s="6" t="e">
        <f ca="1">SQRT($B$9*AVERAGE(W1309:OFFSET(W1309,$B$5-1,0)))</f>
        <v>#DIV/0!</v>
      </c>
      <c r="Y1309" s="6" t="e">
        <f ca="1">SQRT($B$9*AVERAGE(W1309:OFFSET(W1309,$B$6-1,0)))</f>
        <v>#DIV/0!</v>
      </c>
      <c r="Z1309" s="6" t="e">
        <f ca="1">SQRT($B$9*AVERAGE(W1309:OFFSET(W1309,$B$7-1,0)))</f>
        <v>#DIV/0!</v>
      </c>
      <c r="AA1309" s="6" t="e">
        <f ca="1">SQRT($B$9*AVERAGE(W1309:OFFSET(W1309,$B$8-1,0)))</f>
        <v>#DIV/0!</v>
      </c>
      <c r="AC1309" s="34" t="e">
        <f t="shared" si="110"/>
        <v>#DIV/0!</v>
      </c>
      <c r="AD1309" s="34" t="e">
        <f ca="1">SQRT($B$9*SUM(AC1309:OFFSET(AC1309,$B$5-1,0))/($B$5-1))</f>
        <v>#DIV/0!</v>
      </c>
      <c r="AE1309" s="34" t="e">
        <f ca="1">SQRT($B$9*SUM(AC1309:OFFSET(AC1309,$B$6-1,0))/($B$6-1))</f>
        <v>#DIV/0!</v>
      </c>
      <c r="AF1309" s="34" t="e">
        <f ca="1">SQRT($B$9*SUM(AC1309:OFFSET(AC1309,$B$7-1,0))/($B$7-1))</f>
        <v>#DIV/0!</v>
      </c>
      <c r="AG1309" s="34" t="e">
        <f ca="1">SQRT($B$9*SUM(AC1309:OFFSET(AC1309,$B$8-1,0))/($B$8-1))</f>
        <v>#DIV/0!</v>
      </c>
      <c r="AI1309" s="1" t="e">
        <f t="shared" si="111"/>
        <v>#DIV/0!</v>
      </c>
      <c r="AJ1309" s="4" t="e">
        <f ca="1">SQRT($B$9)*_xlfn.STDEV.S(AI1309:OFFSET(AI1309,$B$5-1,0))</f>
        <v>#DIV/0!</v>
      </c>
      <c r="AK1309" s="4" t="e">
        <f ca="1">SQRT($B$9)*_xlfn.STDEV.S(AI1309:OFFSET(AI1309,$B$6-1,0))</f>
        <v>#DIV/0!</v>
      </c>
      <c r="AL1309" s="4" t="e">
        <f ca="1">SQRT($B$9)*_xlfn.STDEV.S(AI1309:OFFSET(AI1309,$B$7-1,0))</f>
        <v>#DIV/0!</v>
      </c>
      <c r="AM1309" s="4" t="e">
        <f ca="1">SQRT($B$9)*_xlfn.STDEV.S(AI1309:OFFSET(AI1309,$B$8-1,0))</f>
        <v>#DIV/0!</v>
      </c>
    </row>
    <row r="1310" spans="11:39" x14ac:dyDescent="0.2">
      <c r="K1310" s="3" t="e">
        <f t="shared" si="109"/>
        <v>#DIV/0!</v>
      </c>
      <c r="L1310" s="3" t="e">
        <f ca="1">SQRT(AVERAGE(K1310:OFFSET(K1310,$B$5-1,0))*$B$9/(4*LN(2)))</f>
        <v>#DIV/0!</v>
      </c>
      <c r="M1310" s="3" t="e">
        <f ca="1">SQRT(AVERAGE(K1310:OFFSET(K1310,$B$6-1,0))*$B$9/(4*LN(2)))</f>
        <v>#DIV/0!</v>
      </c>
      <c r="N1310" s="3" t="e">
        <f ca="1">SQRT(AVERAGE(K1310:OFFSET(K1310,$B$7-1,0))*$B$9/(4*LN(2)))</f>
        <v>#DIV/0!</v>
      </c>
      <c r="O1310" s="3" t="e">
        <f ca="1">SQRT(AVERAGE(K1310:OFFSET(K1310,$B$8-1,0))*$B$9/(4*LN(2)))</f>
        <v>#DIV/0!</v>
      </c>
      <c r="Q1310" s="5" t="e">
        <f t="shared" si="108"/>
        <v>#DIV/0!</v>
      </c>
      <c r="R1310" s="5" t="e">
        <f ca="1">SQRT($B$9*AVERAGE((Q1310:OFFSET(Q1310,$B$5-1,0))))</f>
        <v>#DIV/0!</v>
      </c>
      <c r="S1310" s="5" t="e">
        <f ca="1">SQRT($B$9*AVERAGE((Q1310:OFFSET(Q1310,$B$6-1,0))))</f>
        <v>#DIV/0!</v>
      </c>
      <c r="T1310" s="5" t="e">
        <f ca="1">SQRT($B$9*AVERAGE((Q1310:OFFSET(Q1310,$B$7-1,0))))</f>
        <v>#DIV/0!</v>
      </c>
      <c r="U1310" s="5" t="e">
        <f ca="1">SQRT($B$9*AVERAGE((Q1310:OFFSET(Q1310,$B$8-1,0))))</f>
        <v>#DIV/0!</v>
      </c>
      <c r="W1310" s="6" t="e">
        <f t="shared" si="107"/>
        <v>#DIV/0!</v>
      </c>
      <c r="X1310" s="6" t="e">
        <f ca="1">SQRT($B$9*AVERAGE(W1310:OFFSET(W1310,$B$5-1,0)))</f>
        <v>#DIV/0!</v>
      </c>
      <c r="Y1310" s="6" t="e">
        <f ca="1">SQRT($B$9*AVERAGE(W1310:OFFSET(W1310,$B$6-1,0)))</f>
        <v>#DIV/0!</v>
      </c>
      <c r="Z1310" s="6" t="e">
        <f ca="1">SQRT($B$9*AVERAGE(W1310:OFFSET(W1310,$B$7-1,0)))</f>
        <v>#DIV/0!</v>
      </c>
      <c r="AA1310" s="6" t="e">
        <f ca="1">SQRT($B$9*AVERAGE(W1310:OFFSET(W1310,$B$8-1,0)))</f>
        <v>#DIV/0!</v>
      </c>
      <c r="AC1310" s="34" t="e">
        <f t="shared" si="110"/>
        <v>#DIV/0!</v>
      </c>
      <c r="AD1310" s="34" t="e">
        <f ca="1">SQRT($B$9*SUM(AC1310:OFFSET(AC1310,$B$5-1,0))/($B$5-1))</f>
        <v>#DIV/0!</v>
      </c>
      <c r="AE1310" s="34" t="e">
        <f ca="1">SQRT($B$9*SUM(AC1310:OFFSET(AC1310,$B$6-1,0))/($B$6-1))</f>
        <v>#DIV/0!</v>
      </c>
      <c r="AF1310" s="34" t="e">
        <f ca="1">SQRT($B$9*SUM(AC1310:OFFSET(AC1310,$B$7-1,0))/($B$7-1))</f>
        <v>#DIV/0!</v>
      </c>
      <c r="AG1310" s="34" t="e">
        <f ca="1">SQRT($B$9*SUM(AC1310:OFFSET(AC1310,$B$8-1,0))/($B$8-1))</f>
        <v>#DIV/0!</v>
      </c>
      <c r="AI1310" s="1" t="e">
        <f t="shared" si="111"/>
        <v>#DIV/0!</v>
      </c>
      <c r="AJ1310" s="4" t="e">
        <f ca="1">SQRT($B$9)*_xlfn.STDEV.S(AI1310:OFFSET(AI1310,$B$5-1,0))</f>
        <v>#DIV/0!</v>
      </c>
      <c r="AK1310" s="4" t="e">
        <f ca="1">SQRT($B$9)*_xlfn.STDEV.S(AI1310:OFFSET(AI1310,$B$6-1,0))</f>
        <v>#DIV/0!</v>
      </c>
      <c r="AL1310" s="4" t="e">
        <f ca="1">SQRT($B$9)*_xlfn.STDEV.S(AI1310:OFFSET(AI1310,$B$7-1,0))</f>
        <v>#DIV/0!</v>
      </c>
      <c r="AM1310" s="4" t="e">
        <f ca="1">SQRT($B$9)*_xlfn.STDEV.S(AI1310:OFFSET(AI1310,$B$8-1,0))</f>
        <v>#DIV/0!</v>
      </c>
    </row>
    <row r="1311" spans="11:39" x14ac:dyDescent="0.2">
      <c r="K1311" s="3" t="e">
        <f t="shared" si="109"/>
        <v>#DIV/0!</v>
      </c>
      <c r="L1311" s="3" t="e">
        <f ca="1">SQRT(AVERAGE(K1311:OFFSET(K1311,$B$5-1,0))*$B$9/(4*LN(2)))</f>
        <v>#DIV/0!</v>
      </c>
      <c r="M1311" s="3" t="e">
        <f ca="1">SQRT(AVERAGE(K1311:OFFSET(K1311,$B$6-1,0))*$B$9/(4*LN(2)))</f>
        <v>#DIV/0!</v>
      </c>
      <c r="N1311" s="3" t="e">
        <f ca="1">SQRT(AVERAGE(K1311:OFFSET(K1311,$B$7-1,0))*$B$9/(4*LN(2)))</f>
        <v>#DIV/0!</v>
      </c>
      <c r="O1311" s="3" t="e">
        <f ca="1">SQRT(AVERAGE(K1311:OFFSET(K1311,$B$8-1,0))*$B$9/(4*LN(2)))</f>
        <v>#DIV/0!</v>
      </c>
      <c r="Q1311" s="5" t="e">
        <f t="shared" si="108"/>
        <v>#DIV/0!</v>
      </c>
      <c r="R1311" s="5" t="e">
        <f ca="1">SQRT($B$9*AVERAGE((Q1311:OFFSET(Q1311,$B$5-1,0))))</f>
        <v>#DIV/0!</v>
      </c>
      <c r="S1311" s="5" t="e">
        <f ca="1">SQRT($B$9*AVERAGE((Q1311:OFFSET(Q1311,$B$6-1,0))))</f>
        <v>#DIV/0!</v>
      </c>
      <c r="T1311" s="5" t="e">
        <f ca="1">SQRT($B$9*AVERAGE((Q1311:OFFSET(Q1311,$B$7-1,0))))</f>
        <v>#DIV/0!</v>
      </c>
      <c r="U1311" s="5" t="e">
        <f ca="1">SQRT($B$9*AVERAGE((Q1311:OFFSET(Q1311,$B$8-1,0))))</f>
        <v>#DIV/0!</v>
      </c>
      <c r="W1311" s="6" t="e">
        <f t="shared" si="107"/>
        <v>#DIV/0!</v>
      </c>
      <c r="X1311" s="6" t="e">
        <f ca="1">SQRT($B$9*AVERAGE(W1311:OFFSET(W1311,$B$5-1,0)))</f>
        <v>#DIV/0!</v>
      </c>
      <c r="Y1311" s="6" t="e">
        <f ca="1">SQRT($B$9*AVERAGE(W1311:OFFSET(W1311,$B$6-1,0)))</f>
        <v>#DIV/0!</v>
      </c>
      <c r="Z1311" s="6" t="e">
        <f ca="1">SQRT($B$9*AVERAGE(W1311:OFFSET(W1311,$B$7-1,0)))</f>
        <v>#DIV/0!</v>
      </c>
      <c r="AA1311" s="6" t="e">
        <f ca="1">SQRT($B$9*AVERAGE(W1311:OFFSET(W1311,$B$8-1,0)))</f>
        <v>#DIV/0!</v>
      </c>
      <c r="AC1311" s="34" t="e">
        <f t="shared" si="110"/>
        <v>#DIV/0!</v>
      </c>
      <c r="AD1311" s="34" t="e">
        <f ca="1">SQRT($B$9*SUM(AC1311:OFFSET(AC1311,$B$5-1,0))/($B$5-1))</f>
        <v>#DIV/0!</v>
      </c>
      <c r="AE1311" s="34" t="e">
        <f ca="1">SQRT($B$9*SUM(AC1311:OFFSET(AC1311,$B$6-1,0))/($B$6-1))</f>
        <v>#DIV/0!</v>
      </c>
      <c r="AF1311" s="34" t="e">
        <f ca="1">SQRT($B$9*SUM(AC1311:OFFSET(AC1311,$B$7-1,0))/($B$7-1))</f>
        <v>#DIV/0!</v>
      </c>
      <c r="AG1311" s="34" t="e">
        <f ca="1">SQRT($B$9*SUM(AC1311:OFFSET(AC1311,$B$8-1,0))/($B$8-1))</f>
        <v>#DIV/0!</v>
      </c>
      <c r="AI1311" s="1" t="e">
        <f t="shared" si="111"/>
        <v>#DIV/0!</v>
      </c>
      <c r="AJ1311" s="4" t="e">
        <f ca="1">SQRT($B$9)*_xlfn.STDEV.S(AI1311:OFFSET(AI1311,$B$5-1,0))</f>
        <v>#DIV/0!</v>
      </c>
      <c r="AK1311" s="4" t="e">
        <f ca="1">SQRT($B$9)*_xlfn.STDEV.S(AI1311:OFFSET(AI1311,$B$6-1,0))</f>
        <v>#DIV/0!</v>
      </c>
      <c r="AL1311" s="4" t="e">
        <f ca="1">SQRT($B$9)*_xlfn.STDEV.S(AI1311:OFFSET(AI1311,$B$7-1,0))</f>
        <v>#DIV/0!</v>
      </c>
      <c r="AM1311" s="4" t="e">
        <f ca="1">SQRT($B$9)*_xlfn.STDEV.S(AI1311:OFFSET(AI1311,$B$8-1,0))</f>
        <v>#DIV/0!</v>
      </c>
    </row>
    <row r="1312" spans="11:39" x14ac:dyDescent="0.2">
      <c r="K1312" s="3" t="e">
        <f t="shared" si="109"/>
        <v>#DIV/0!</v>
      </c>
      <c r="L1312" s="3" t="e">
        <f ca="1">SQRT(AVERAGE(K1312:OFFSET(K1312,$B$5-1,0))*$B$9/(4*LN(2)))</f>
        <v>#DIV/0!</v>
      </c>
      <c r="M1312" s="3" t="e">
        <f ca="1">SQRT(AVERAGE(K1312:OFFSET(K1312,$B$6-1,0))*$B$9/(4*LN(2)))</f>
        <v>#DIV/0!</v>
      </c>
      <c r="N1312" s="3" t="e">
        <f ca="1">SQRT(AVERAGE(K1312:OFFSET(K1312,$B$7-1,0))*$B$9/(4*LN(2)))</f>
        <v>#DIV/0!</v>
      </c>
      <c r="O1312" s="3" t="e">
        <f ca="1">SQRT(AVERAGE(K1312:OFFSET(K1312,$B$8-1,0))*$B$9/(4*LN(2)))</f>
        <v>#DIV/0!</v>
      </c>
      <c r="Q1312" s="5" t="e">
        <f t="shared" si="108"/>
        <v>#DIV/0!</v>
      </c>
      <c r="R1312" s="5" t="e">
        <f ca="1">SQRT($B$9*AVERAGE((Q1312:OFFSET(Q1312,$B$5-1,0))))</f>
        <v>#DIV/0!</v>
      </c>
      <c r="S1312" s="5" t="e">
        <f ca="1">SQRT($B$9*AVERAGE((Q1312:OFFSET(Q1312,$B$6-1,0))))</f>
        <v>#DIV/0!</v>
      </c>
      <c r="T1312" s="5" t="e">
        <f ca="1">SQRT($B$9*AVERAGE((Q1312:OFFSET(Q1312,$B$7-1,0))))</f>
        <v>#DIV/0!</v>
      </c>
      <c r="U1312" s="5" t="e">
        <f ca="1">SQRT($B$9*AVERAGE((Q1312:OFFSET(Q1312,$B$8-1,0))))</f>
        <v>#DIV/0!</v>
      </c>
      <c r="W1312" s="6" t="e">
        <f t="shared" si="107"/>
        <v>#DIV/0!</v>
      </c>
      <c r="X1312" s="6" t="e">
        <f ca="1">SQRT($B$9*AVERAGE(W1312:OFFSET(W1312,$B$5-1,0)))</f>
        <v>#DIV/0!</v>
      </c>
      <c r="Y1312" s="6" t="e">
        <f ca="1">SQRT($B$9*AVERAGE(W1312:OFFSET(W1312,$B$6-1,0)))</f>
        <v>#DIV/0!</v>
      </c>
      <c r="Z1312" s="6" t="e">
        <f ca="1">SQRT($B$9*AVERAGE(W1312:OFFSET(W1312,$B$7-1,0)))</f>
        <v>#DIV/0!</v>
      </c>
      <c r="AA1312" s="6" t="e">
        <f ca="1">SQRT($B$9*AVERAGE(W1312:OFFSET(W1312,$B$8-1,0)))</f>
        <v>#DIV/0!</v>
      </c>
      <c r="AC1312" s="34" t="e">
        <f t="shared" si="110"/>
        <v>#DIV/0!</v>
      </c>
      <c r="AD1312" s="34" t="e">
        <f ca="1">SQRT($B$9*SUM(AC1312:OFFSET(AC1312,$B$5-1,0))/($B$5-1))</f>
        <v>#DIV/0!</v>
      </c>
      <c r="AE1312" s="34" t="e">
        <f ca="1">SQRT($B$9*SUM(AC1312:OFFSET(AC1312,$B$6-1,0))/($B$6-1))</f>
        <v>#DIV/0!</v>
      </c>
      <c r="AF1312" s="34" t="e">
        <f ca="1">SQRT($B$9*SUM(AC1312:OFFSET(AC1312,$B$7-1,0))/($B$7-1))</f>
        <v>#DIV/0!</v>
      </c>
      <c r="AG1312" s="34" t="e">
        <f ca="1">SQRT($B$9*SUM(AC1312:OFFSET(AC1312,$B$8-1,0))/($B$8-1))</f>
        <v>#DIV/0!</v>
      </c>
      <c r="AI1312" s="1" t="e">
        <f t="shared" si="111"/>
        <v>#DIV/0!</v>
      </c>
      <c r="AJ1312" s="4" t="e">
        <f ca="1">SQRT($B$9)*_xlfn.STDEV.S(AI1312:OFFSET(AI1312,$B$5-1,0))</f>
        <v>#DIV/0!</v>
      </c>
      <c r="AK1312" s="4" t="e">
        <f ca="1">SQRT($B$9)*_xlfn.STDEV.S(AI1312:OFFSET(AI1312,$B$6-1,0))</f>
        <v>#DIV/0!</v>
      </c>
      <c r="AL1312" s="4" t="e">
        <f ca="1">SQRT($B$9)*_xlfn.STDEV.S(AI1312:OFFSET(AI1312,$B$7-1,0))</f>
        <v>#DIV/0!</v>
      </c>
      <c r="AM1312" s="4" t="e">
        <f ca="1">SQRT($B$9)*_xlfn.STDEV.S(AI1312:OFFSET(AI1312,$B$8-1,0))</f>
        <v>#DIV/0!</v>
      </c>
    </row>
    <row r="1313" spans="11:39" x14ac:dyDescent="0.2">
      <c r="K1313" s="3" t="e">
        <f t="shared" si="109"/>
        <v>#DIV/0!</v>
      </c>
      <c r="L1313" s="3" t="e">
        <f ca="1">SQRT(AVERAGE(K1313:OFFSET(K1313,$B$5-1,0))*$B$9/(4*LN(2)))</f>
        <v>#DIV/0!</v>
      </c>
      <c r="M1313" s="3" t="e">
        <f ca="1">SQRT(AVERAGE(K1313:OFFSET(K1313,$B$6-1,0))*$B$9/(4*LN(2)))</f>
        <v>#DIV/0!</v>
      </c>
      <c r="N1313" s="3" t="e">
        <f ca="1">SQRT(AVERAGE(K1313:OFFSET(K1313,$B$7-1,0))*$B$9/(4*LN(2)))</f>
        <v>#DIV/0!</v>
      </c>
      <c r="O1313" s="3" t="e">
        <f ca="1">SQRT(AVERAGE(K1313:OFFSET(K1313,$B$8-1,0))*$B$9/(4*LN(2)))</f>
        <v>#DIV/0!</v>
      </c>
      <c r="Q1313" s="5" t="e">
        <f t="shared" si="108"/>
        <v>#DIV/0!</v>
      </c>
      <c r="R1313" s="5" t="e">
        <f ca="1">SQRT($B$9*AVERAGE((Q1313:OFFSET(Q1313,$B$5-1,0))))</f>
        <v>#DIV/0!</v>
      </c>
      <c r="S1313" s="5" t="e">
        <f ca="1">SQRT($B$9*AVERAGE((Q1313:OFFSET(Q1313,$B$6-1,0))))</f>
        <v>#DIV/0!</v>
      </c>
      <c r="T1313" s="5" t="e">
        <f ca="1">SQRT($B$9*AVERAGE((Q1313:OFFSET(Q1313,$B$7-1,0))))</f>
        <v>#DIV/0!</v>
      </c>
      <c r="U1313" s="5" t="e">
        <f ca="1">SQRT($B$9*AVERAGE((Q1313:OFFSET(Q1313,$B$8-1,0))))</f>
        <v>#DIV/0!</v>
      </c>
      <c r="W1313" s="6" t="e">
        <f t="shared" si="107"/>
        <v>#DIV/0!</v>
      </c>
      <c r="X1313" s="6" t="e">
        <f ca="1">SQRT($B$9*AVERAGE(W1313:OFFSET(W1313,$B$5-1,0)))</f>
        <v>#DIV/0!</v>
      </c>
      <c r="Y1313" s="6" t="e">
        <f ca="1">SQRT($B$9*AVERAGE(W1313:OFFSET(W1313,$B$6-1,0)))</f>
        <v>#DIV/0!</v>
      </c>
      <c r="Z1313" s="6" t="e">
        <f ca="1">SQRT($B$9*AVERAGE(W1313:OFFSET(W1313,$B$7-1,0)))</f>
        <v>#DIV/0!</v>
      </c>
      <c r="AA1313" s="6" t="e">
        <f ca="1">SQRT($B$9*AVERAGE(W1313:OFFSET(W1313,$B$8-1,0)))</f>
        <v>#DIV/0!</v>
      </c>
      <c r="AC1313" s="34" t="e">
        <f t="shared" si="110"/>
        <v>#DIV/0!</v>
      </c>
      <c r="AD1313" s="34" t="e">
        <f ca="1">SQRT($B$9*SUM(AC1313:OFFSET(AC1313,$B$5-1,0))/($B$5-1))</f>
        <v>#DIV/0!</v>
      </c>
      <c r="AE1313" s="34" t="e">
        <f ca="1">SQRT($B$9*SUM(AC1313:OFFSET(AC1313,$B$6-1,0))/($B$6-1))</f>
        <v>#DIV/0!</v>
      </c>
      <c r="AF1313" s="34" t="e">
        <f ca="1">SQRT($B$9*SUM(AC1313:OFFSET(AC1313,$B$7-1,0))/($B$7-1))</f>
        <v>#DIV/0!</v>
      </c>
      <c r="AG1313" s="34" t="e">
        <f ca="1">SQRT($B$9*SUM(AC1313:OFFSET(AC1313,$B$8-1,0))/($B$8-1))</f>
        <v>#DIV/0!</v>
      </c>
      <c r="AI1313" s="1" t="e">
        <f t="shared" si="111"/>
        <v>#DIV/0!</v>
      </c>
      <c r="AJ1313" s="4" t="e">
        <f ca="1">SQRT($B$9)*_xlfn.STDEV.S(AI1313:OFFSET(AI1313,$B$5-1,0))</f>
        <v>#DIV/0!</v>
      </c>
      <c r="AK1313" s="4" t="e">
        <f ca="1">SQRT($B$9)*_xlfn.STDEV.S(AI1313:OFFSET(AI1313,$B$6-1,0))</f>
        <v>#DIV/0!</v>
      </c>
      <c r="AL1313" s="4" t="e">
        <f ca="1">SQRT($B$9)*_xlfn.STDEV.S(AI1313:OFFSET(AI1313,$B$7-1,0))</f>
        <v>#DIV/0!</v>
      </c>
      <c r="AM1313" s="4" t="e">
        <f ca="1">SQRT($B$9)*_xlfn.STDEV.S(AI1313:OFFSET(AI1313,$B$8-1,0))</f>
        <v>#DIV/0!</v>
      </c>
    </row>
    <row r="1314" spans="11:39" x14ac:dyDescent="0.2">
      <c r="K1314" s="3" t="e">
        <f t="shared" si="109"/>
        <v>#DIV/0!</v>
      </c>
      <c r="L1314" s="3" t="e">
        <f ca="1">SQRT(AVERAGE(K1314:OFFSET(K1314,$B$5-1,0))*$B$9/(4*LN(2)))</f>
        <v>#DIV/0!</v>
      </c>
      <c r="M1314" s="3" t="e">
        <f ca="1">SQRT(AVERAGE(K1314:OFFSET(K1314,$B$6-1,0))*$B$9/(4*LN(2)))</f>
        <v>#DIV/0!</v>
      </c>
      <c r="N1314" s="3" t="e">
        <f ca="1">SQRT(AVERAGE(K1314:OFFSET(K1314,$B$7-1,0))*$B$9/(4*LN(2)))</f>
        <v>#DIV/0!</v>
      </c>
      <c r="O1314" s="3" t="e">
        <f ca="1">SQRT(AVERAGE(K1314:OFFSET(K1314,$B$8-1,0))*$B$9/(4*LN(2)))</f>
        <v>#DIV/0!</v>
      </c>
      <c r="Q1314" s="5" t="e">
        <f t="shared" si="108"/>
        <v>#DIV/0!</v>
      </c>
      <c r="R1314" s="5" t="e">
        <f ca="1">SQRT($B$9*AVERAGE((Q1314:OFFSET(Q1314,$B$5-1,0))))</f>
        <v>#DIV/0!</v>
      </c>
      <c r="S1314" s="5" t="e">
        <f ca="1">SQRT($B$9*AVERAGE((Q1314:OFFSET(Q1314,$B$6-1,0))))</f>
        <v>#DIV/0!</v>
      </c>
      <c r="T1314" s="5" t="e">
        <f ca="1">SQRT($B$9*AVERAGE((Q1314:OFFSET(Q1314,$B$7-1,0))))</f>
        <v>#DIV/0!</v>
      </c>
      <c r="U1314" s="5" t="e">
        <f ca="1">SQRT($B$9*AVERAGE((Q1314:OFFSET(Q1314,$B$8-1,0))))</f>
        <v>#DIV/0!</v>
      </c>
      <c r="W1314" s="6" t="e">
        <f t="shared" si="107"/>
        <v>#DIV/0!</v>
      </c>
      <c r="X1314" s="6" t="e">
        <f ca="1">SQRT($B$9*AVERAGE(W1314:OFFSET(W1314,$B$5-1,0)))</f>
        <v>#DIV/0!</v>
      </c>
      <c r="Y1314" s="6" t="e">
        <f ca="1">SQRT($B$9*AVERAGE(W1314:OFFSET(W1314,$B$6-1,0)))</f>
        <v>#DIV/0!</v>
      </c>
      <c r="Z1314" s="6" t="e">
        <f ca="1">SQRT($B$9*AVERAGE(W1314:OFFSET(W1314,$B$7-1,0)))</f>
        <v>#DIV/0!</v>
      </c>
      <c r="AA1314" s="6" t="e">
        <f ca="1">SQRT($B$9*AVERAGE(W1314:OFFSET(W1314,$B$8-1,0)))</f>
        <v>#DIV/0!</v>
      </c>
      <c r="AC1314" s="34" t="e">
        <f t="shared" si="110"/>
        <v>#DIV/0!</v>
      </c>
      <c r="AD1314" s="34" t="e">
        <f ca="1">SQRT($B$9*SUM(AC1314:OFFSET(AC1314,$B$5-1,0))/($B$5-1))</f>
        <v>#DIV/0!</v>
      </c>
      <c r="AE1314" s="34" t="e">
        <f ca="1">SQRT($B$9*SUM(AC1314:OFFSET(AC1314,$B$6-1,0))/($B$6-1))</f>
        <v>#DIV/0!</v>
      </c>
      <c r="AF1314" s="34" t="e">
        <f ca="1">SQRT($B$9*SUM(AC1314:OFFSET(AC1314,$B$7-1,0))/($B$7-1))</f>
        <v>#DIV/0!</v>
      </c>
      <c r="AG1314" s="34" t="e">
        <f ca="1">SQRT($B$9*SUM(AC1314:OFFSET(AC1314,$B$8-1,0))/($B$8-1))</f>
        <v>#DIV/0!</v>
      </c>
      <c r="AI1314" s="1" t="e">
        <f t="shared" si="111"/>
        <v>#DIV/0!</v>
      </c>
      <c r="AJ1314" s="4" t="e">
        <f ca="1">SQRT($B$9)*_xlfn.STDEV.S(AI1314:OFFSET(AI1314,$B$5-1,0))</f>
        <v>#DIV/0!</v>
      </c>
      <c r="AK1314" s="4" t="e">
        <f ca="1">SQRT($B$9)*_xlfn.STDEV.S(AI1314:OFFSET(AI1314,$B$6-1,0))</f>
        <v>#DIV/0!</v>
      </c>
      <c r="AL1314" s="4" t="e">
        <f ca="1">SQRT($B$9)*_xlfn.STDEV.S(AI1314:OFFSET(AI1314,$B$7-1,0))</f>
        <v>#DIV/0!</v>
      </c>
      <c r="AM1314" s="4" t="e">
        <f ca="1">SQRT($B$9)*_xlfn.STDEV.S(AI1314:OFFSET(AI1314,$B$8-1,0))</f>
        <v>#DIV/0!</v>
      </c>
    </row>
    <row r="1315" spans="11:39" x14ac:dyDescent="0.2">
      <c r="K1315" s="3" t="e">
        <f t="shared" si="109"/>
        <v>#DIV/0!</v>
      </c>
      <c r="L1315" s="3" t="e">
        <f ca="1">SQRT(AVERAGE(K1315:OFFSET(K1315,$B$5-1,0))*$B$9/(4*LN(2)))</f>
        <v>#DIV/0!</v>
      </c>
      <c r="M1315" s="3" t="e">
        <f ca="1">SQRT(AVERAGE(K1315:OFFSET(K1315,$B$6-1,0))*$B$9/(4*LN(2)))</f>
        <v>#DIV/0!</v>
      </c>
      <c r="N1315" s="3" t="e">
        <f ca="1">SQRT(AVERAGE(K1315:OFFSET(K1315,$B$7-1,0))*$B$9/(4*LN(2)))</f>
        <v>#DIV/0!</v>
      </c>
      <c r="O1315" s="3" t="e">
        <f ca="1">SQRT(AVERAGE(K1315:OFFSET(K1315,$B$8-1,0))*$B$9/(4*LN(2)))</f>
        <v>#DIV/0!</v>
      </c>
      <c r="Q1315" s="5" t="e">
        <f t="shared" si="108"/>
        <v>#DIV/0!</v>
      </c>
      <c r="R1315" s="5" t="e">
        <f ca="1">SQRT($B$9*AVERAGE((Q1315:OFFSET(Q1315,$B$5-1,0))))</f>
        <v>#DIV/0!</v>
      </c>
      <c r="S1315" s="5" t="e">
        <f ca="1">SQRT($B$9*AVERAGE((Q1315:OFFSET(Q1315,$B$6-1,0))))</f>
        <v>#DIV/0!</v>
      </c>
      <c r="T1315" s="5" t="e">
        <f ca="1">SQRT($B$9*AVERAGE((Q1315:OFFSET(Q1315,$B$7-1,0))))</f>
        <v>#DIV/0!</v>
      </c>
      <c r="U1315" s="5" t="e">
        <f ca="1">SQRT($B$9*AVERAGE((Q1315:OFFSET(Q1315,$B$8-1,0))))</f>
        <v>#DIV/0!</v>
      </c>
      <c r="W1315" s="6" t="e">
        <f t="shared" si="107"/>
        <v>#DIV/0!</v>
      </c>
      <c r="X1315" s="6" t="e">
        <f ca="1">SQRT($B$9*AVERAGE(W1315:OFFSET(W1315,$B$5-1,0)))</f>
        <v>#DIV/0!</v>
      </c>
      <c r="Y1315" s="6" t="e">
        <f ca="1">SQRT($B$9*AVERAGE(W1315:OFFSET(W1315,$B$6-1,0)))</f>
        <v>#DIV/0!</v>
      </c>
      <c r="Z1315" s="6" t="e">
        <f ca="1">SQRT($B$9*AVERAGE(W1315:OFFSET(W1315,$B$7-1,0)))</f>
        <v>#DIV/0!</v>
      </c>
      <c r="AA1315" s="6" t="e">
        <f ca="1">SQRT($B$9*AVERAGE(W1315:OFFSET(W1315,$B$8-1,0)))</f>
        <v>#DIV/0!</v>
      </c>
      <c r="AC1315" s="34" t="e">
        <f t="shared" si="110"/>
        <v>#DIV/0!</v>
      </c>
      <c r="AD1315" s="34" t="e">
        <f ca="1">SQRT($B$9*SUM(AC1315:OFFSET(AC1315,$B$5-1,0))/($B$5-1))</f>
        <v>#DIV/0!</v>
      </c>
      <c r="AE1315" s="34" t="e">
        <f ca="1">SQRT($B$9*SUM(AC1315:OFFSET(AC1315,$B$6-1,0))/($B$6-1))</f>
        <v>#DIV/0!</v>
      </c>
      <c r="AF1315" s="34" t="e">
        <f ca="1">SQRT($B$9*SUM(AC1315:OFFSET(AC1315,$B$7-1,0))/($B$7-1))</f>
        <v>#DIV/0!</v>
      </c>
      <c r="AG1315" s="34" t="e">
        <f ca="1">SQRT($B$9*SUM(AC1315:OFFSET(AC1315,$B$8-1,0))/($B$8-1))</f>
        <v>#DIV/0!</v>
      </c>
      <c r="AI1315" s="1" t="e">
        <f t="shared" si="111"/>
        <v>#DIV/0!</v>
      </c>
      <c r="AJ1315" s="4" t="e">
        <f ca="1">SQRT($B$9)*_xlfn.STDEV.S(AI1315:OFFSET(AI1315,$B$5-1,0))</f>
        <v>#DIV/0!</v>
      </c>
      <c r="AK1315" s="4" t="e">
        <f ca="1">SQRT($B$9)*_xlfn.STDEV.S(AI1315:OFFSET(AI1315,$B$6-1,0))</f>
        <v>#DIV/0!</v>
      </c>
      <c r="AL1315" s="4" t="e">
        <f ca="1">SQRT($B$9)*_xlfn.STDEV.S(AI1315:OFFSET(AI1315,$B$7-1,0))</f>
        <v>#DIV/0!</v>
      </c>
      <c r="AM1315" s="4" t="e">
        <f ca="1">SQRT($B$9)*_xlfn.STDEV.S(AI1315:OFFSET(AI1315,$B$8-1,0))</f>
        <v>#DIV/0!</v>
      </c>
    </row>
    <row r="1316" spans="11:39" x14ac:dyDescent="0.2">
      <c r="K1316" s="3" t="e">
        <f t="shared" si="109"/>
        <v>#DIV/0!</v>
      </c>
      <c r="L1316" s="3" t="e">
        <f ca="1">SQRT(AVERAGE(K1316:OFFSET(K1316,$B$5-1,0))*$B$9/(4*LN(2)))</f>
        <v>#DIV/0!</v>
      </c>
      <c r="M1316" s="3" t="e">
        <f ca="1">SQRT(AVERAGE(K1316:OFFSET(K1316,$B$6-1,0))*$B$9/(4*LN(2)))</f>
        <v>#DIV/0!</v>
      </c>
      <c r="N1316" s="3" t="e">
        <f ca="1">SQRT(AVERAGE(K1316:OFFSET(K1316,$B$7-1,0))*$B$9/(4*LN(2)))</f>
        <v>#DIV/0!</v>
      </c>
      <c r="O1316" s="3" t="e">
        <f ca="1">SQRT(AVERAGE(K1316:OFFSET(K1316,$B$8-1,0))*$B$9/(4*LN(2)))</f>
        <v>#DIV/0!</v>
      </c>
      <c r="Q1316" s="5" t="e">
        <f t="shared" si="108"/>
        <v>#DIV/0!</v>
      </c>
      <c r="R1316" s="5" t="e">
        <f ca="1">SQRT($B$9*AVERAGE((Q1316:OFFSET(Q1316,$B$5-1,0))))</f>
        <v>#DIV/0!</v>
      </c>
      <c r="S1316" s="5" t="e">
        <f ca="1">SQRT($B$9*AVERAGE((Q1316:OFFSET(Q1316,$B$6-1,0))))</f>
        <v>#DIV/0!</v>
      </c>
      <c r="T1316" s="5" t="e">
        <f ca="1">SQRT($B$9*AVERAGE((Q1316:OFFSET(Q1316,$B$7-1,0))))</f>
        <v>#DIV/0!</v>
      </c>
      <c r="U1316" s="5" t="e">
        <f ca="1">SQRT($B$9*AVERAGE((Q1316:OFFSET(Q1316,$B$8-1,0))))</f>
        <v>#DIV/0!</v>
      </c>
      <c r="W1316" s="6" t="e">
        <f t="shared" si="107"/>
        <v>#DIV/0!</v>
      </c>
      <c r="X1316" s="6" t="e">
        <f ca="1">SQRT($B$9*AVERAGE(W1316:OFFSET(W1316,$B$5-1,0)))</f>
        <v>#DIV/0!</v>
      </c>
      <c r="Y1316" s="6" t="e">
        <f ca="1">SQRT($B$9*AVERAGE(W1316:OFFSET(W1316,$B$6-1,0)))</f>
        <v>#DIV/0!</v>
      </c>
      <c r="Z1316" s="6" t="e">
        <f ca="1">SQRT($B$9*AVERAGE(W1316:OFFSET(W1316,$B$7-1,0)))</f>
        <v>#DIV/0!</v>
      </c>
      <c r="AA1316" s="6" t="e">
        <f ca="1">SQRT($B$9*AVERAGE(W1316:OFFSET(W1316,$B$8-1,0)))</f>
        <v>#DIV/0!</v>
      </c>
      <c r="AC1316" s="34" t="e">
        <f t="shared" si="110"/>
        <v>#DIV/0!</v>
      </c>
      <c r="AD1316" s="34" t="e">
        <f ca="1">SQRT($B$9*SUM(AC1316:OFFSET(AC1316,$B$5-1,0))/($B$5-1))</f>
        <v>#DIV/0!</v>
      </c>
      <c r="AE1316" s="34" t="e">
        <f ca="1">SQRT($B$9*SUM(AC1316:OFFSET(AC1316,$B$6-1,0))/($B$6-1))</f>
        <v>#DIV/0!</v>
      </c>
      <c r="AF1316" s="34" t="e">
        <f ca="1">SQRT($B$9*SUM(AC1316:OFFSET(AC1316,$B$7-1,0))/($B$7-1))</f>
        <v>#DIV/0!</v>
      </c>
      <c r="AG1316" s="34" t="e">
        <f ca="1">SQRT($B$9*SUM(AC1316:OFFSET(AC1316,$B$8-1,0))/($B$8-1))</f>
        <v>#DIV/0!</v>
      </c>
      <c r="AI1316" s="1" t="e">
        <f t="shared" si="111"/>
        <v>#DIV/0!</v>
      </c>
      <c r="AJ1316" s="4" t="e">
        <f ca="1">SQRT($B$9)*_xlfn.STDEV.S(AI1316:OFFSET(AI1316,$B$5-1,0))</f>
        <v>#DIV/0!</v>
      </c>
      <c r="AK1316" s="4" t="e">
        <f ca="1">SQRT($B$9)*_xlfn.STDEV.S(AI1316:OFFSET(AI1316,$B$6-1,0))</f>
        <v>#DIV/0!</v>
      </c>
      <c r="AL1316" s="4" t="e">
        <f ca="1">SQRT($B$9)*_xlfn.STDEV.S(AI1316:OFFSET(AI1316,$B$7-1,0))</f>
        <v>#DIV/0!</v>
      </c>
      <c r="AM1316" s="4" t="e">
        <f ca="1">SQRT($B$9)*_xlfn.STDEV.S(AI1316:OFFSET(AI1316,$B$8-1,0))</f>
        <v>#DIV/0!</v>
      </c>
    </row>
    <row r="1317" spans="11:39" x14ac:dyDescent="0.2">
      <c r="K1317" s="3" t="e">
        <f t="shared" si="109"/>
        <v>#DIV/0!</v>
      </c>
      <c r="L1317" s="3" t="e">
        <f ca="1">SQRT(AVERAGE(K1317:OFFSET(K1317,$B$5-1,0))*$B$9/(4*LN(2)))</f>
        <v>#DIV/0!</v>
      </c>
      <c r="M1317" s="3" t="e">
        <f ca="1">SQRT(AVERAGE(K1317:OFFSET(K1317,$B$6-1,0))*$B$9/(4*LN(2)))</f>
        <v>#DIV/0!</v>
      </c>
      <c r="N1317" s="3" t="e">
        <f ca="1">SQRT(AVERAGE(K1317:OFFSET(K1317,$B$7-1,0))*$B$9/(4*LN(2)))</f>
        <v>#DIV/0!</v>
      </c>
      <c r="O1317" s="3" t="e">
        <f ca="1">SQRT(AVERAGE(K1317:OFFSET(K1317,$B$8-1,0))*$B$9/(4*LN(2)))</f>
        <v>#DIV/0!</v>
      </c>
      <c r="Q1317" s="5" t="e">
        <f t="shared" si="108"/>
        <v>#DIV/0!</v>
      </c>
      <c r="R1317" s="5" t="e">
        <f ca="1">SQRT($B$9*AVERAGE((Q1317:OFFSET(Q1317,$B$5-1,0))))</f>
        <v>#DIV/0!</v>
      </c>
      <c r="S1317" s="5" t="e">
        <f ca="1">SQRT($B$9*AVERAGE((Q1317:OFFSET(Q1317,$B$6-1,0))))</f>
        <v>#DIV/0!</v>
      </c>
      <c r="T1317" s="5" t="e">
        <f ca="1">SQRT($B$9*AVERAGE((Q1317:OFFSET(Q1317,$B$7-1,0))))</f>
        <v>#DIV/0!</v>
      </c>
      <c r="U1317" s="5" t="e">
        <f ca="1">SQRT($B$9*AVERAGE((Q1317:OFFSET(Q1317,$B$8-1,0))))</f>
        <v>#DIV/0!</v>
      </c>
      <c r="W1317" s="6" t="e">
        <f t="shared" si="107"/>
        <v>#DIV/0!</v>
      </c>
      <c r="X1317" s="6" t="e">
        <f ca="1">SQRT($B$9*AVERAGE(W1317:OFFSET(W1317,$B$5-1,0)))</f>
        <v>#DIV/0!</v>
      </c>
      <c r="Y1317" s="6" t="e">
        <f ca="1">SQRT($B$9*AVERAGE(W1317:OFFSET(W1317,$B$6-1,0)))</f>
        <v>#DIV/0!</v>
      </c>
      <c r="Z1317" s="6" t="e">
        <f ca="1">SQRT($B$9*AVERAGE(W1317:OFFSET(W1317,$B$7-1,0)))</f>
        <v>#DIV/0!</v>
      </c>
      <c r="AA1317" s="6" t="e">
        <f ca="1">SQRT($B$9*AVERAGE(W1317:OFFSET(W1317,$B$8-1,0)))</f>
        <v>#DIV/0!</v>
      </c>
      <c r="AC1317" s="34" t="e">
        <f t="shared" si="110"/>
        <v>#DIV/0!</v>
      </c>
      <c r="AD1317" s="34" t="e">
        <f ca="1">SQRT($B$9*SUM(AC1317:OFFSET(AC1317,$B$5-1,0))/($B$5-1))</f>
        <v>#DIV/0!</v>
      </c>
      <c r="AE1317" s="34" t="e">
        <f ca="1">SQRT($B$9*SUM(AC1317:OFFSET(AC1317,$B$6-1,0))/($B$6-1))</f>
        <v>#DIV/0!</v>
      </c>
      <c r="AF1317" s="34" t="e">
        <f ca="1">SQRT($B$9*SUM(AC1317:OFFSET(AC1317,$B$7-1,0))/($B$7-1))</f>
        <v>#DIV/0!</v>
      </c>
      <c r="AG1317" s="34" t="e">
        <f ca="1">SQRT($B$9*SUM(AC1317:OFFSET(AC1317,$B$8-1,0))/($B$8-1))</f>
        <v>#DIV/0!</v>
      </c>
      <c r="AI1317" s="1" t="e">
        <f t="shared" si="111"/>
        <v>#DIV/0!</v>
      </c>
      <c r="AJ1317" s="4" t="e">
        <f ca="1">SQRT($B$9)*_xlfn.STDEV.S(AI1317:OFFSET(AI1317,$B$5-1,0))</f>
        <v>#DIV/0!</v>
      </c>
      <c r="AK1317" s="4" t="e">
        <f ca="1">SQRT($B$9)*_xlfn.STDEV.S(AI1317:OFFSET(AI1317,$B$6-1,0))</f>
        <v>#DIV/0!</v>
      </c>
      <c r="AL1317" s="4" t="e">
        <f ca="1">SQRT($B$9)*_xlfn.STDEV.S(AI1317:OFFSET(AI1317,$B$7-1,0))</f>
        <v>#DIV/0!</v>
      </c>
      <c r="AM1317" s="4" t="e">
        <f ca="1">SQRT($B$9)*_xlfn.STDEV.S(AI1317:OFFSET(AI1317,$B$8-1,0))</f>
        <v>#DIV/0!</v>
      </c>
    </row>
    <row r="1318" spans="11:39" x14ac:dyDescent="0.2">
      <c r="K1318" s="3" t="e">
        <f t="shared" si="109"/>
        <v>#DIV/0!</v>
      </c>
      <c r="L1318" s="3" t="e">
        <f ca="1">SQRT(AVERAGE(K1318:OFFSET(K1318,$B$5-1,0))*$B$9/(4*LN(2)))</f>
        <v>#DIV/0!</v>
      </c>
      <c r="M1318" s="3" t="e">
        <f ca="1">SQRT(AVERAGE(K1318:OFFSET(K1318,$B$6-1,0))*$B$9/(4*LN(2)))</f>
        <v>#DIV/0!</v>
      </c>
      <c r="N1318" s="3" t="e">
        <f ca="1">SQRT(AVERAGE(K1318:OFFSET(K1318,$B$7-1,0))*$B$9/(4*LN(2)))</f>
        <v>#DIV/0!</v>
      </c>
      <c r="O1318" s="3" t="e">
        <f ca="1">SQRT(AVERAGE(K1318:OFFSET(K1318,$B$8-1,0))*$B$9/(4*LN(2)))</f>
        <v>#DIV/0!</v>
      </c>
      <c r="Q1318" s="5" t="e">
        <f t="shared" si="108"/>
        <v>#DIV/0!</v>
      </c>
      <c r="R1318" s="5" t="e">
        <f ca="1">SQRT($B$9*AVERAGE((Q1318:OFFSET(Q1318,$B$5-1,0))))</f>
        <v>#DIV/0!</v>
      </c>
      <c r="S1318" s="5" t="e">
        <f ca="1">SQRT($B$9*AVERAGE((Q1318:OFFSET(Q1318,$B$6-1,0))))</f>
        <v>#DIV/0!</v>
      </c>
      <c r="T1318" s="5" t="e">
        <f ca="1">SQRT($B$9*AVERAGE((Q1318:OFFSET(Q1318,$B$7-1,0))))</f>
        <v>#DIV/0!</v>
      </c>
      <c r="U1318" s="5" t="e">
        <f ca="1">SQRT($B$9*AVERAGE((Q1318:OFFSET(Q1318,$B$8-1,0))))</f>
        <v>#DIV/0!</v>
      </c>
      <c r="W1318" s="6" t="e">
        <f t="shared" si="107"/>
        <v>#DIV/0!</v>
      </c>
      <c r="X1318" s="6" t="e">
        <f ca="1">SQRT($B$9*AVERAGE(W1318:OFFSET(W1318,$B$5-1,0)))</f>
        <v>#DIV/0!</v>
      </c>
      <c r="Y1318" s="6" t="e">
        <f ca="1">SQRT($B$9*AVERAGE(W1318:OFFSET(W1318,$B$6-1,0)))</f>
        <v>#DIV/0!</v>
      </c>
      <c r="Z1318" s="6" t="e">
        <f ca="1">SQRT($B$9*AVERAGE(W1318:OFFSET(W1318,$B$7-1,0)))</f>
        <v>#DIV/0!</v>
      </c>
      <c r="AA1318" s="6" t="e">
        <f ca="1">SQRT($B$9*AVERAGE(W1318:OFFSET(W1318,$B$8-1,0)))</f>
        <v>#DIV/0!</v>
      </c>
      <c r="AC1318" s="34" t="e">
        <f t="shared" si="110"/>
        <v>#DIV/0!</v>
      </c>
      <c r="AD1318" s="34" t="e">
        <f ca="1">SQRT($B$9*SUM(AC1318:OFFSET(AC1318,$B$5-1,0))/($B$5-1))</f>
        <v>#DIV/0!</v>
      </c>
      <c r="AE1318" s="34" t="e">
        <f ca="1">SQRT($B$9*SUM(AC1318:OFFSET(AC1318,$B$6-1,0))/($B$6-1))</f>
        <v>#DIV/0!</v>
      </c>
      <c r="AF1318" s="34" t="e">
        <f ca="1">SQRT($B$9*SUM(AC1318:OFFSET(AC1318,$B$7-1,0))/($B$7-1))</f>
        <v>#DIV/0!</v>
      </c>
      <c r="AG1318" s="34" t="e">
        <f ca="1">SQRT($B$9*SUM(AC1318:OFFSET(AC1318,$B$8-1,0))/($B$8-1))</f>
        <v>#DIV/0!</v>
      </c>
      <c r="AI1318" s="1" t="e">
        <f t="shared" si="111"/>
        <v>#DIV/0!</v>
      </c>
      <c r="AJ1318" s="4" t="e">
        <f ca="1">SQRT($B$9)*_xlfn.STDEV.S(AI1318:OFFSET(AI1318,$B$5-1,0))</f>
        <v>#DIV/0!</v>
      </c>
      <c r="AK1318" s="4" t="e">
        <f ca="1">SQRT($B$9)*_xlfn.STDEV.S(AI1318:OFFSET(AI1318,$B$6-1,0))</f>
        <v>#DIV/0!</v>
      </c>
      <c r="AL1318" s="4" t="e">
        <f ca="1">SQRT($B$9)*_xlfn.STDEV.S(AI1318:OFFSET(AI1318,$B$7-1,0))</f>
        <v>#DIV/0!</v>
      </c>
      <c r="AM1318" s="4" t="e">
        <f ca="1">SQRT($B$9)*_xlfn.STDEV.S(AI1318:OFFSET(AI1318,$B$8-1,0))</f>
        <v>#DIV/0!</v>
      </c>
    </row>
    <row r="1319" spans="11:39" x14ac:dyDescent="0.2">
      <c r="K1319" s="3" t="e">
        <f t="shared" si="109"/>
        <v>#DIV/0!</v>
      </c>
      <c r="L1319" s="3" t="e">
        <f ca="1">SQRT(AVERAGE(K1319:OFFSET(K1319,$B$5-1,0))*$B$9/(4*LN(2)))</f>
        <v>#DIV/0!</v>
      </c>
      <c r="M1319" s="3" t="e">
        <f ca="1">SQRT(AVERAGE(K1319:OFFSET(K1319,$B$6-1,0))*$B$9/(4*LN(2)))</f>
        <v>#DIV/0!</v>
      </c>
      <c r="N1319" s="3" t="e">
        <f ca="1">SQRT(AVERAGE(K1319:OFFSET(K1319,$B$7-1,0))*$B$9/(4*LN(2)))</f>
        <v>#DIV/0!</v>
      </c>
      <c r="O1319" s="3" t="e">
        <f ca="1">SQRT(AVERAGE(K1319:OFFSET(K1319,$B$8-1,0))*$B$9/(4*LN(2)))</f>
        <v>#DIV/0!</v>
      </c>
      <c r="Q1319" s="5" t="e">
        <f t="shared" si="108"/>
        <v>#DIV/0!</v>
      </c>
      <c r="R1319" s="5" t="e">
        <f ca="1">SQRT($B$9*AVERAGE((Q1319:OFFSET(Q1319,$B$5-1,0))))</f>
        <v>#DIV/0!</v>
      </c>
      <c r="S1319" s="5" t="e">
        <f ca="1">SQRT($B$9*AVERAGE((Q1319:OFFSET(Q1319,$B$6-1,0))))</f>
        <v>#DIV/0!</v>
      </c>
      <c r="T1319" s="5" t="e">
        <f ca="1">SQRT($B$9*AVERAGE((Q1319:OFFSET(Q1319,$B$7-1,0))))</f>
        <v>#DIV/0!</v>
      </c>
      <c r="U1319" s="5" t="e">
        <f ca="1">SQRT($B$9*AVERAGE((Q1319:OFFSET(Q1319,$B$8-1,0))))</f>
        <v>#DIV/0!</v>
      </c>
      <c r="W1319" s="6" t="e">
        <f t="shared" ref="W1319:W1382" si="112">LN(G1319/I1319)*LN(G1319/F1319)+LN(H1319/I1319)*LN(H1319/F1319)</f>
        <v>#DIV/0!</v>
      </c>
      <c r="X1319" s="6" t="e">
        <f ca="1">SQRT($B$9*AVERAGE(W1319:OFFSET(W1319,$B$5-1,0)))</f>
        <v>#DIV/0!</v>
      </c>
      <c r="Y1319" s="6" t="e">
        <f ca="1">SQRT($B$9*AVERAGE(W1319:OFFSET(W1319,$B$6-1,0)))</f>
        <v>#DIV/0!</v>
      </c>
      <c r="Z1319" s="6" t="e">
        <f ca="1">SQRT($B$9*AVERAGE(W1319:OFFSET(W1319,$B$7-1,0)))</f>
        <v>#DIV/0!</v>
      </c>
      <c r="AA1319" s="6" t="e">
        <f ca="1">SQRT($B$9*AVERAGE(W1319:OFFSET(W1319,$B$8-1,0)))</f>
        <v>#DIV/0!</v>
      </c>
      <c r="AC1319" s="34" t="e">
        <f t="shared" si="110"/>
        <v>#DIV/0!</v>
      </c>
      <c r="AD1319" s="34" t="e">
        <f ca="1">SQRT($B$9*SUM(AC1319:OFFSET(AC1319,$B$5-1,0))/($B$5-1))</f>
        <v>#DIV/0!</v>
      </c>
      <c r="AE1319" s="34" t="e">
        <f ca="1">SQRT($B$9*SUM(AC1319:OFFSET(AC1319,$B$6-1,0))/($B$6-1))</f>
        <v>#DIV/0!</v>
      </c>
      <c r="AF1319" s="34" t="e">
        <f ca="1">SQRT($B$9*SUM(AC1319:OFFSET(AC1319,$B$7-1,0))/($B$7-1))</f>
        <v>#DIV/0!</v>
      </c>
      <c r="AG1319" s="34" t="e">
        <f ca="1">SQRT($B$9*SUM(AC1319:OFFSET(AC1319,$B$8-1,0))/($B$8-1))</f>
        <v>#DIV/0!</v>
      </c>
      <c r="AI1319" s="1" t="e">
        <f t="shared" si="111"/>
        <v>#DIV/0!</v>
      </c>
      <c r="AJ1319" s="4" t="e">
        <f ca="1">SQRT($B$9)*_xlfn.STDEV.S(AI1319:OFFSET(AI1319,$B$5-1,0))</f>
        <v>#DIV/0!</v>
      </c>
      <c r="AK1319" s="4" t="e">
        <f ca="1">SQRT($B$9)*_xlfn.STDEV.S(AI1319:OFFSET(AI1319,$B$6-1,0))</f>
        <v>#DIV/0!</v>
      </c>
      <c r="AL1319" s="4" t="e">
        <f ca="1">SQRT($B$9)*_xlfn.STDEV.S(AI1319:OFFSET(AI1319,$B$7-1,0))</f>
        <v>#DIV/0!</v>
      </c>
      <c r="AM1319" s="4" t="e">
        <f ca="1">SQRT($B$9)*_xlfn.STDEV.S(AI1319:OFFSET(AI1319,$B$8-1,0))</f>
        <v>#DIV/0!</v>
      </c>
    </row>
    <row r="1320" spans="11:39" x14ac:dyDescent="0.2">
      <c r="K1320" s="3" t="e">
        <f t="shared" si="109"/>
        <v>#DIV/0!</v>
      </c>
      <c r="L1320" s="3" t="e">
        <f ca="1">SQRT(AVERAGE(K1320:OFFSET(K1320,$B$5-1,0))*$B$9/(4*LN(2)))</f>
        <v>#DIV/0!</v>
      </c>
      <c r="M1320" s="3" t="e">
        <f ca="1">SQRT(AVERAGE(K1320:OFFSET(K1320,$B$6-1,0))*$B$9/(4*LN(2)))</f>
        <v>#DIV/0!</v>
      </c>
      <c r="N1320" s="3" t="e">
        <f ca="1">SQRT(AVERAGE(K1320:OFFSET(K1320,$B$7-1,0))*$B$9/(4*LN(2)))</f>
        <v>#DIV/0!</v>
      </c>
      <c r="O1320" s="3" t="e">
        <f ca="1">SQRT(AVERAGE(K1320:OFFSET(K1320,$B$8-1,0))*$B$9/(4*LN(2)))</f>
        <v>#DIV/0!</v>
      </c>
      <c r="Q1320" s="5" t="e">
        <f t="shared" si="108"/>
        <v>#DIV/0!</v>
      </c>
      <c r="R1320" s="5" t="e">
        <f ca="1">SQRT($B$9*AVERAGE((Q1320:OFFSET(Q1320,$B$5-1,0))))</f>
        <v>#DIV/0!</v>
      </c>
      <c r="S1320" s="5" t="e">
        <f ca="1">SQRT($B$9*AVERAGE((Q1320:OFFSET(Q1320,$B$6-1,0))))</f>
        <v>#DIV/0!</v>
      </c>
      <c r="T1320" s="5" t="e">
        <f ca="1">SQRT($B$9*AVERAGE((Q1320:OFFSET(Q1320,$B$7-1,0))))</f>
        <v>#DIV/0!</v>
      </c>
      <c r="U1320" s="5" t="e">
        <f ca="1">SQRT($B$9*AVERAGE((Q1320:OFFSET(Q1320,$B$8-1,0))))</f>
        <v>#DIV/0!</v>
      </c>
      <c r="W1320" s="6" t="e">
        <f t="shared" si="112"/>
        <v>#DIV/0!</v>
      </c>
      <c r="X1320" s="6" t="e">
        <f ca="1">SQRT($B$9*AVERAGE(W1320:OFFSET(W1320,$B$5-1,0)))</f>
        <v>#DIV/0!</v>
      </c>
      <c r="Y1320" s="6" t="e">
        <f ca="1">SQRT($B$9*AVERAGE(W1320:OFFSET(W1320,$B$6-1,0)))</f>
        <v>#DIV/0!</v>
      </c>
      <c r="Z1320" s="6" t="e">
        <f ca="1">SQRT($B$9*AVERAGE(W1320:OFFSET(W1320,$B$7-1,0)))</f>
        <v>#DIV/0!</v>
      </c>
      <c r="AA1320" s="6" t="e">
        <f ca="1">SQRT($B$9*AVERAGE(W1320:OFFSET(W1320,$B$8-1,0)))</f>
        <v>#DIV/0!</v>
      </c>
      <c r="AC1320" s="34" t="e">
        <f t="shared" si="110"/>
        <v>#DIV/0!</v>
      </c>
      <c r="AD1320" s="34" t="e">
        <f ca="1">SQRT($B$9*SUM(AC1320:OFFSET(AC1320,$B$5-1,0))/($B$5-1))</f>
        <v>#DIV/0!</v>
      </c>
      <c r="AE1320" s="34" t="e">
        <f ca="1">SQRT($B$9*SUM(AC1320:OFFSET(AC1320,$B$6-1,0))/($B$6-1))</f>
        <v>#DIV/0!</v>
      </c>
      <c r="AF1320" s="34" t="e">
        <f ca="1">SQRT($B$9*SUM(AC1320:OFFSET(AC1320,$B$7-1,0))/($B$7-1))</f>
        <v>#DIV/0!</v>
      </c>
      <c r="AG1320" s="34" t="e">
        <f ca="1">SQRT($B$9*SUM(AC1320:OFFSET(AC1320,$B$8-1,0))/($B$8-1))</f>
        <v>#DIV/0!</v>
      </c>
      <c r="AI1320" s="1" t="e">
        <f t="shared" si="111"/>
        <v>#DIV/0!</v>
      </c>
      <c r="AJ1320" s="4" t="e">
        <f ca="1">SQRT($B$9)*_xlfn.STDEV.S(AI1320:OFFSET(AI1320,$B$5-1,0))</f>
        <v>#DIV/0!</v>
      </c>
      <c r="AK1320" s="4" t="e">
        <f ca="1">SQRT($B$9)*_xlfn.STDEV.S(AI1320:OFFSET(AI1320,$B$6-1,0))</f>
        <v>#DIV/0!</v>
      </c>
      <c r="AL1320" s="4" t="e">
        <f ca="1">SQRT($B$9)*_xlfn.STDEV.S(AI1320:OFFSET(AI1320,$B$7-1,0))</f>
        <v>#DIV/0!</v>
      </c>
      <c r="AM1320" s="4" t="e">
        <f ca="1">SQRT($B$9)*_xlfn.STDEV.S(AI1320:OFFSET(AI1320,$B$8-1,0))</f>
        <v>#DIV/0!</v>
      </c>
    </row>
    <row r="1321" spans="11:39" x14ac:dyDescent="0.2">
      <c r="K1321" s="3" t="e">
        <f t="shared" si="109"/>
        <v>#DIV/0!</v>
      </c>
      <c r="L1321" s="3" t="e">
        <f ca="1">SQRT(AVERAGE(K1321:OFFSET(K1321,$B$5-1,0))*$B$9/(4*LN(2)))</f>
        <v>#DIV/0!</v>
      </c>
      <c r="M1321" s="3" t="e">
        <f ca="1">SQRT(AVERAGE(K1321:OFFSET(K1321,$B$6-1,0))*$B$9/(4*LN(2)))</f>
        <v>#DIV/0!</v>
      </c>
      <c r="N1321" s="3" t="e">
        <f ca="1">SQRT(AVERAGE(K1321:OFFSET(K1321,$B$7-1,0))*$B$9/(4*LN(2)))</f>
        <v>#DIV/0!</v>
      </c>
      <c r="O1321" s="3" t="e">
        <f ca="1">SQRT(AVERAGE(K1321:OFFSET(K1321,$B$8-1,0))*$B$9/(4*LN(2)))</f>
        <v>#DIV/0!</v>
      </c>
      <c r="Q1321" s="5" t="e">
        <f t="shared" si="108"/>
        <v>#DIV/0!</v>
      </c>
      <c r="R1321" s="5" t="e">
        <f ca="1">SQRT($B$9*AVERAGE((Q1321:OFFSET(Q1321,$B$5-1,0))))</f>
        <v>#DIV/0!</v>
      </c>
      <c r="S1321" s="5" t="e">
        <f ca="1">SQRT($B$9*AVERAGE((Q1321:OFFSET(Q1321,$B$6-1,0))))</f>
        <v>#DIV/0!</v>
      </c>
      <c r="T1321" s="5" t="e">
        <f ca="1">SQRT($B$9*AVERAGE((Q1321:OFFSET(Q1321,$B$7-1,0))))</f>
        <v>#DIV/0!</v>
      </c>
      <c r="U1321" s="5" t="e">
        <f ca="1">SQRT($B$9*AVERAGE((Q1321:OFFSET(Q1321,$B$8-1,0))))</f>
        <v>#DIV/0!</v>
      </c>
      <c r="W1321" s="6" t="e">
        <f t="shared" si="112"/>
        <v>#DIV/0!</v>
      </c>
      <c r="X1321" s="6" t="e">
        <f ca="1">SQRT($B$9*AVERAGE(W1321:OFFSET(W1321,$B$5-1,0)))</f>
        <v>#DIV/0!</v>
      </c>
      <c r="Y1321" s="6" t="e">
        <f ca="1">SQRT($B$9*AVERAGE(W1321:OFFSET(W1321,$B$6-1,0)))</f>
        <v>#DIV/0!</v>
      </c>
      <c r="Z1321" s="6" t="e">
        <f ca="1">SQRT($B$9*AVERAGE(W1321:OFFSET(W1321,$B$7-1,0)))</f>
        <v>#DIV/0!</v>
      </c>
      <c r="AA1321" s="6" t="e">
        <f ca="1">SQRT($B$9*AVERAGE(W1321:OFFSET(W1321,$B$8-1,0)))</f>
        <v>#DIV/0!</v>
      </c>
      <c r="AC1321" s="34" t="e">
        <f t="shared" si="110"/>
        <v>#DIV/0!</v>
      </c>
      <c r="AD1321" s="34" t="e">
        <f ca="1">SQRT($B$9*SUM(AC1321:OFFSET(AC1321,$B$5-1,0))/($B$5-1))</f>
        <v>#DIV/0!</v>
      </c>
      <c r="AE1321" s="34" t="e">
        <f ca="1">SQRT($B$9*SUM(AC1321:OFFSET(AC1321,$B$6-1,0))/($B$6-1))</f>
        <v>#DIV/0!</v>
      </c>
      <c r="AF1321" s="34" t="e">
        <f ca="1">SQRT($B$9*SUM(AC1321:OFFSET(AC1321,$B$7-1,0))/($B$7-1))</f>
        <v>#DIV/0!</v>
      </c>
      <c r="AG1321" s="34" t="e">
        <f ca="1">SQRT($B$9*SUM(AC1321:OFFSET(AC1321,$B$8-1,0))/($B$8-1))</f>
        <v>#DIV/0!</v>
      </c>
      <c r="AI1321" s="1" t="e">
        <f t="shared" si="111"/>
        <v>#DIV/0!</v>
      </c>
      <c r="AJ1321" s="4" t="e">
        <f ca="1">SQRT($B$9)*_xlfn.STDEV.S(AI1321:OFFSET(AI1321,$B$5-1,0))</f>
        <v>#DIV/0!</v>
      </c>
      <c r="AK1321" s="4" t="e">
        <f ca="1">SQRT($B$9)*_xlfn.STDEV.S(AI1321:OFFSET(AI1321,$B$6-1,0))</f>
        <v>#DIV/0!</v>
      </c>
      <c r="AL1321" s="4" t="e">
        <f ca="1">SQRT($B$9)*_xlfn.STDEV.S(AI1321:OFFSET(AI1321,$B$7-1,0))</f>
        <v>#DIV/0!</v>
      </c>
      <c r="AM1321" s="4" t="e">
        <f ca="1">SQRT($B$9)*_xlfn.STDEV.S(AI1321:OFFSET(AI1321,$B$8-1,0))</f>
        <v>#DIV/0!</v>
      </c>
    </row>
    <row r="1322" spans="11:39" x14ac:dyDescent="0.2">
      <c r="K1322" s="3" t="e">
        <f t="shared" si="109"/>
        <v>#DIV/0!</v>
      </c>
      <c r="L1322" s="3" t="e">
        <f ca="1">SQRT(AVERAGE(K1322:OFFSET(K1322,$B$5-1,0))*$B$9/(4*LN(2)))</f>
        <v>#DIV/0!</v>
      </c>
      <c r="M1322" s="3" t="e">
        <f ca="1">SQRT(AVERAGE(K1322:OFFSET(K1322,$B$6-1,0))*$B$9/(4*LN(2)))</f>
        <v>#DIV/0!</v>
      </c>
      <c r="N1322" s="3" t="e">
        <f ca="1">SQRT(AVERAGE(K1322:OFFSET(K1322,$B$7-1,0))*$B$9/(4*LN(2)))</f>
        <v>#DIV/0!</v>
      </c>
      <c r="O1322" s="3" t="e">
        <f ca="1">SQRT(AVERAGE(K1322:OFFSET(K1322,$B$8-1,0))*$B$9/(4*LN(2)))</f>
        <v>#DIV/0!</v>
      </c>
      <c r="Q1322" s="5" t="e">
        <f t="shared" si="108"/>
        <v>#DIV/0!</v>
      </c>
      <c r="R1322" s="5" t="e">
        <f ca="1">SQRT($B$9*AVERAGE((Q1322:OFFSET(Q1322,$B$5-1,0))))</f>
        <v>#DIV/0!</v>
      </c>
      <c r="S1322" s="5" t="e">
        <f ca="1">SQRT($B$9*AVERAGE((Q1322:OFFSET(Q1322,$B$6-1,0))))</f>
        <v>#DIV/0!</v>
      </c>
      <c r="T1322" s="5" t="e">
        <f ca="1">SQRT($B$9*AVERAGE((Q1322:OFFSET(Q1322,$B$7-1,0))))</f>
        <v>#DIV/0!</v>
      </c>
      <c r="U1322" s="5" t="e">
        <f ca="1">SQRT($B$9*AVERAGE((Q1322:OFFSET(Q1322,$B$8-1,0))))</f>
        <v>#DIV/0!</v>
      </c>
      <c r="W1322" s="6" t="e">
        <f t="shared" si="112"/>
        <v>#DIV/0!</v>
      </c>
      <c r="X1322" s="6" t="e">
        <f ca="1">SQRT($B$9*AVERAGE(W1322:OFFSET(W1322,$B$5-1,0)))</f>
        <v>#DIV/0!</v>
      </c>
      <c r="Y1322" s="6" t="e">
        <f ca="1">SQRT($B$9*AVERAGE(W1322:OFFSET(W1322,$B$6-1,0)))</f>
        <v>#DIV/0!</v>
      </c>
      <c r="Z1322" s="6" t="e">
        <f ca="1">SQRT($B$9*AVERAGE(W1322:OFFSET(W1322,$B$7-1,0)))</f>
        <v>#DIV/0!</v>
      </c>
      <c r="AA1322" s="6" t="e">
        <f ca="1">SQRT($B$9*AVERAGE(W1322:OFFSET(W1322,$B$8-1,0)))</f>
        <v>#DIV/0!</v>
      </c>
      <c r="AC1322" s="34" t="e">
        <f t="shared" si="110"/>
        <v>#DIV/0!</v>
      </c>
      <c r="AD1322" s="34" t="e">
        <f ca="1">SQRT($B$9*SUM(AC1322:OFFSET(AC1322,$B$5-1,0))/($B$5-1))</f>
        <v>#DIV/0!</v>
      </c>
      <c r="AE1322" s="34" t="e">
        <f ca="1">SQRT($B$9*SUM(AC1322:OFFSET(AC1322,$B$6-1,0))/($B$6-1))</f>
        <v>#DIV/0!</v>
      </c>
      <c r="AF1322" s="34" t="e">
        <f ca="1">SQRT($B$9*SUM(AC1322:OFFSET(AC1322,$B$7-1,0))/($B$7-1))</f>
        <v>#DIV/0!</v>
      </c>
      <c r="AG1322" s="34" t="e">
        <f ca="1">SQRT($B$9*SUM(AC1322:OFFSET(AC1322,$B$8-1,0))/($B$8-1))</f>
        <v>#DIV/0!</v>
      </c>
      <c r="AI1322" s="1" t="e">
        <f t="shared" si="111"/>
        <v>#DIV/0!</v>
      </c>
      <c r="AJ1322" s="4" t="e">
        <f ca="1">SQRT($B$9)*_xlfn.STDEV.S(AI1322:OFFSET(AI1322,$B$5-1,0))</f>
        <v>#DIV/0!</v>
      </c>
      <c r="AK1322" s="4" t="e">
        <f ca="1">SQRT($B$9)*_xlfn.STDEV.S(AI1322:OFFSET(AI1322,$B$6-1,0))</f>
        <v>#DIV/0!</v>
      </c>
      <c r="AL1322" s="4" t="e">
        <f ca="1">SQRT($B$9)*_xlfn.STDEV.S(AI1322:OFFSET(AI1322,$B$7-1,0))</f>
        <v>#DIV/0!</v>
      </c>
      <c r="AM1322" s="4" t="e">
        <f ca="1">SQRT($B$9)*_xlfn.STDEV.S(AI1322:OFFSET(AI1322,$B$8-1,0))</f>
        <v>#DIV/0!</v>
      </c>
    </row>
    <row r="1323" spans="11:39" x14ac:dyDescent="0.2">
      <c r="K1323" s="3" t="e">
        <f t="shared" si="109"/>
        <v>#DIV/0!</v>
      </c>
      <c r="L1323" s="3" t="e">
        <f ca="1">SQRT(AVERAGE(K1323:OFFSET(K1323,$B$5-1,0))*$B$9/(4*LN(2)))</f>
        <v>#DIV/0!</v>
      </c>
      <c r="M1323" s="3" t="e">
        <f ca="1">SQRT(AVERAGE(K1323:OFFSET(K1323,$B$6-1,0))*$B$9/(4*LN(2)))</f>
        <v>#DIV/0!</v>
      </c>
      <c r="N1323" s="3" t="e">
        <f ca="1">SQRT(AVERAGE(K1323:OFFSET(K1323,$B$7-1,0))*$B$9/(4*LN(2)))</f>
        <v>#DIV/0!</v>
      </c>
      <c r="O1323" s="3" t="e">
        <f ca="1">SQRT(AVERAGE(K1323:OFFSET(K1323,$B$8-1,0))*$B$9/(4*LN(2)))</f>
        <v>#DIV/0!</v>
      </c>
      <c r="Q1323" s="5" t="e">
        <f t="shared" si="108"/>
        <v>#DIV/0!</v>
      </c>
      <c r="R1323" s="5" t="e">
        <f ca="1">SQRT($B$9*AVERAGE((Q1323:OFFSET(Q1323,$B$5-1,0))))</f>
        <v>#DIV/0!</v>
      </c>
      <c r="S1323" s="5" t="e">
        <f ca="1">SQRT($B$9*AVERAGE((Q1323:OFFSET(Q1323,$B$6-1,0))))</f>
        <v>#DIV/0!</v>
      </c>
      <c r="T1323" s="5" t="e">
        <f ca="1">SQRT($B$9*AVERAGE((Q1323:OFFSET(Q1323,$B$7-1,0))))</f>
        <v>#DIV/0!</v>
      </c>
      <c r="U1323" s="5" t="e">
        <f ca="1">SQRT($B$9*AVERAGE((Q1323:OFFSET(Q1323,$B$8-1,0))))</f>
        <v>#DIV/0!</v>
      </c>
      <c r="W1323" s="6" t="e">
        <f t="shared" si="112"/>
        <v>#DIV/0!</v>
      </c>
      <c r="X1323" s="6" t="e">
        <f ca="1">SQRT($B$9*AVERAGE(W1323:OFFSET(W1323,$B$5-1,0)))</f>
        <v>#DIV/0!</v>
      </c>
      <c r="Y1323" s="6" t="e">
        <f ca="1">SQRT($B$9*AVERAGE(W1323:OFFSET(W1323,$B$6-1,0)))</f>
        <v>#DIV/0!</v>
      </c>
      <c r="Z1323" s="6" t="e">
        <f ca="1">SQRT($B$9*AVERAGE(W1323:OFFSET(W1323,$B$7-1,0)))</f>
        <v>#DIV/0!</v>
      </c>
      <c r="AA1323" s="6" t="e">
        <f ca="1">SQRT($B$9*AVERAGE(W1323:OFFSET(W1323,$B$8-1,0)))</f>
        <v>#DIV/0!</v>
      </c>
      <c r="AC1323" s="34" t="e">
        <f t="shared" si="110"/>
        <v>#DIV/0!</v>
      </c>
      <c r="AD1323" s="34" t="e">
        <f ca="1">SQRT($B$9*SUM(AC1323:OFFSET(AC1323,$B$5-1,0))/($B$5-1))</f>
        <v>#DIV/0!</v>
      </c>
      <c r="AE1323" s="34" t="e">
        <f ca="1">SQRT($B$9*SUM(AC1323:OFFSET(AC1323,$B$6-1,0))/($B$6-1))</f>
        <v>#DIV/0!</v>
      </c>
      <c r="AF1323" s="34" t="e">
        <f ca="1">SQRT($B$9*SUM(AC1323:OFFSET(AC1323,$B$7-1,0))/($B$7-1))</f>
        <v>#DIV/0!</v>
      </c>
      <c r="AG1323" s="34" t="e">
        <f ca="1">SQRT($B$9*SUM(AC1323:OFFSET(AC1323,$B$8-1,0))/($B$8-1))</f>
        <v>#DIV/0!</v>
      </c>
      <c r="AI1323" s="1" t="e">
        <f t="shared" si="111"/>
        <v>#DIV/0!</v>
      </c>
      <c r="AJ1323" s="4" t="e">
        <f ca="1">SQRT($B$9)*_xlfn.STDEV.S(AI1323:OFFSET(AI1323,$B$5-1,0))</f>
        <v>#DIV/0!</v>
      </c>
      <c r="AK1323" s="4" t="e">
        <f ca="1">SQRT($B$9)*_xlfn.STDEV.S(AI1323:OFFSET(AI1323,$B$6-1,0))</f>
        <v>#DIV/0!</v>
      </c>
      <c r="AL1323" s="4" t="e">
        <f ca="1">SQRT($B$9)*_xlfn.STDEV.S(AI1323:OFFSET(AI1323,$B$7-1,0))</f>
        <v>#DIV/0!</v>
      </c>
      <c r="AM1323" s="4" t="e">
        <f ca="1">SQRT($B$9)*_xlfn.STDEV.S(AI1323:OFFSET(AI1323,$B$8-1,0))</f>
        <v>#DIV/0!</v>
      </c>
    </row>
    <row r="1324" spans="11:39" x14ac:dyDescent="0.2">
      <c r="K1324" s="3" t="e">
        <f t="shared" si="109"/>
        <v>#DIV/0!</v>
      </c>
      <c r="L1324" s="3" t="e">
        <f ca="1">SQRT(AVERAGE(K1324:OFFSET(K1324,$B$5-1,0))*$B$9/(4*LN(2)))</f>
        <v>#DIV/0!</v>
      </c>
      <c r="M1324" s="3" t="e">
        <f ca="1">SQRT(AVERAGE(K1324:OFFSET(K1324,$B$6-1,0))*$B$9/(4*LN(2)))</f>
        <v>#DIV/0!</v>
      </c>
      <c r="N1324" s="3" t="e">
        <f ca="1">SQRT(AVERAGE(K1324:OFFSET(K1324,$B$7-1,0))*$B$9/(4*LN(2)))</f>
        <v>#DIV/0!</v>
      </c>
      <c r="O1324" s="3" t="e">
        <f ca="1">SQRT(AVERAGE(K1324:OFFSET(K1324,$B$8-1,0))*$B$9/(4*LN(2)))</f>
        <v>#DIV/0!</v>
      </c>
      <c r="Q1324" s="5" t="e">
        <f t="shared" si="108"/>
        <v>#DIV/0!</v>
      </c>
      <c r="R1324" s="5" t="e">
        <f ca="1">SQRT($B$9*AVERAGE((Q1324:OFFSET(Q1324,$B$5-1,0))))</f>
        <v>#DIV/0!</v>
      </c>
      <c r="S1324" s="5" t="e">
        <f ca="1">SQRT($B$9*AVERAGE((Q1324:OFFSET(Q1324,$B$6-1,0))))</f>
        <v>#DIV/0!</v>
      </c>
      <c r="T1324" s="5" t="e">
        <f ca="1">SQRT($B$9*AVERAGE((Q1324:OFFSET(Q1324,$B$7-1,0))))</f>
        <v>#DIV/0!</v>
      </c>
      <c r="U1324" s="5" t="e">
        <f ca="1">SQRT($B$9*AVERAGE((Q1324:OFFSET(Q1324,$B$8-1,0))))</f>
        <v>#DIV/0!</v>
      </c>
      <c r="W1324" s="6" t="e">
        <f t="shared" si="112"/>
        <v>#DIV/0!</v>
      </c>
      <c r="X1324" s="6" t="e">
        <f ca="1">SQRT($B$9*AVERAGE(W1324:OFFSET(W1324,$B$5-1,0)))</f>
        <v>#DIV/0!</v>
      </c>
      <c r="Y1324" s="6" t="e">
        <f ca="1">SQRT($B$9*AVERAGE(W1324:OFFSET(W1324,$B$6-1,0)))</f>
        <v>#DIV/0!</v>
      </c>
      <c r="Z1324" s="6" t="e">
        <f ca="1">SQRT($B$9*AVERAGE(W1324:OFFSET(W1324,$B$7-1,0)))</f>
        <v>#DIV/0!</v>
      </c>
      <c r="AA1324" s="6" t="e">
        <f ca="1">SQRT($B$9*AVERAGE(W1324:OFFSET(W1324,$B$8-1,0)))</f>
        <v>#DIV/0!</v>
      </c>
      <c r="AC1324" s="34" t="e">
        <f t="shared" si="110"/>
        <v>#DIV/0!</v>
      </c>
      <c r="AD1324" s="34" t="e">
        <f ca="1">SQRT($B$9*SUM(AC1324:OFFSET(AC1324,$B$5-1,0))/($B$5-1))</f>
        <v>#DIV/0!</v>
      </c>
      <c r="AE1324" s="34" t="e">
        <f ca="1">SQRT($B$9*SUM(AC1324:OFFSET(AC1324,$B$6-1,0))/($B$6-1))</f>
        <v>#DIV/0!</v>
      </c>
      <c r="AF1324" s="34" t="e">
        <f ca="1">SQRT($B$9*SUM(AC1324:OFFSET(AC1324,$B$7-1,0))/($B$7-1))</f>
        <v>#DIV/0!</v>
      </c>
      <c r="AG1324" s="34" t="e">
        <f ca="1">SQRT($B$9*SUM(AC1324:OFFSET(AC1324,$B$8-1,0))/($B$8-1))</f>
        <v>#DIV/0!</v>
      </c>
      <c r="AI1324" s="1" t="e">
        <f t="shared" si="111"/>
        <v>#DIV/0!</v>
      </c>
      <c r="AJ1324" s="4" t="e">
        <f ca="1">SQRT($B$9)*_xlfn.STDEV.S(AI1324:OFFSET(AI1324,$B$5-1,0))</f>
        <v>#DIV/0!</v>
      </c>
      <c r="AK1324" s="4" t="e">
        <f ca="1">SQRT($B$9)*_xlfn.STDEV.S(AI1324:OFFSET(AI1324,$B$6-1,0))</f>
        <v>#DIV/0!</v>
      </c>
      <c r="AL1324" s="4" t="e">
        <f ca="1">SQRT($B$9)*_xlfn.STDEV.S(AI1324:OFFSET(AI1324,$B$7-1,0))</f>
        <v>#DIV/0!</v>
      </c>
      <c r="AM1324" s="4" t="e">
        <f ca="1">SQRT($B$9)*_xlfn.STDEV.S(AI1324:OFFSET(AI1324,$B$8-1,0))</f>
        <v>#DIV/0!</v>
      </c>
    </row>
    <row r="1325" spans="11:39" x14ac:dyDescent="0.2">
      <c r="K1325" s="3" t="e">
        <f t="shared" si="109"/>
        <v>#DIV/0!</v>
      </c>
      <c r="L1325" s="3" t="e">
        <f ca="1">SQRT(AVERAGE(K1325:OFFSET(K1325,$B$5-1,0))*$B$9/(4*LN(2)))</f>
        <v>#DIV/0!</v>
      </c>
      <c r="M1325" s="3" t="e">
        <f ca="1">SQRT(AVERAGE(K1325:OFFSET(K1325,$B$6-1,0))*$B$9/(4*LN(2)))</f>
        <v>#DIV/0!</v>
      </c>
      <c r="N1325" s="3" t="e">
        <f ca="1">SQRT(AVERAGE(K1325:OFFSET(K1325,$B$7-1,0))*$B$9/(4*LN(2)))</f>
        <v>#DIV/0!</v>
      </c>
      <c r="O1325" s="3" t="e">
        <f ca="1">SQRT(AVERAGE(K1325:OFFSET(K1325,$B$8-1,0))*$B$9/(4*LN(2)))</f>
        <v>#DIV/0!</v>
      </c>
      <c r="Q1325" s="5" t="e">
        <f t="shared" si="108"/>
        <v>#DIV/0!</v>
      </c>
      <c r="R1325" s="5" t="e">
        <f ca="1">SQRT($B$9*AVERAGE((Q1325:OFFSET(Q1325,$B$5-1,0))))</f>
        <v>#DIV/0!</v>
      </c>
      <c r="S1325" s="5" t="e">
        <f ca="1">SQRT($B$9*AVERAGE((Q1325:OFFSET(Q1325,$B$6-1,0))))</f>
        <v>#DIV/0!</v>
      </c>
      <c r="T1325" s="5" t="e">
        <f ca="1">SQRT($B$9*AVERAGE((Q1325:OFFSET(Q1325,$B$7-1,0))))</f>
        <v>#DIV/0!</v>
      </c>
      <c r="U1325" s="5" t="e">
        <f ca="1">SQRT($B$9*AVERAGE((Q1325:OFFSET(Q1325,$B$8-1,0))))</f>
        <v>#DIV/0!</v>
      </c>
      <c r="W1325" s="6" t="e">
        <f t="shared" si="112"/>
        <v>#DIV/0!</v>
      </c>
      <c r="X1325" s="6" t="e">
        <f ca="1">SQRT($B$9*AVERAGE(W1325:OFFSET(W1325,$B$5-1,0)))</f>
        <v>#DIV/0!</v>
      </c>
      <c r="Y1325" s="6" t="e">
        <f ca="1">SQRT($B$9*AVERAGE(W1325:OFFSET(W1325,$B$6-1,0)))</f>
        <v>#DIV/0!</v>
      </c>
      <c r="Z1325" s="6" t="e">
        <f ca="1">SQRT($B$9*AVERAGE(W1325:OFFSET(W1325,$B$7-1,0)))</f>
        <v>#DIV/0!</v>
      </c>
      <c r="AA1325" s="6" t="e">
        <f ca="1">SQRT($B$9*AVERAGE(W1325:OFFSET(W1325,$B$8-1,0)))</f>
        <v>#DIV/0!</v>
      </c>
      <c r="AC1325" s="34" t="e">
        <f t="shared" si="110"/>
        <v>#DIV/0!</v>
      </c>
      <c r="AD1325" s="34" t="e">
        <f ca="1">SQRT($B$9*SUM(AC1325:OFFSET(AC1325,$B$5-1,0))/($B$5-1))</f>
        <v>#DIV/0!</v>
      </c>
      <c r="AE1325" s="34" t="e">
        <f ca="1">SQRT($B$9*SUM(AC1325:OFFSET(AC1325,$B$6-1,0))/($B$6-1))</f>
        <v>#DIV/0!</v>
      </c>
      <c r="AF1325" s="34" t="e">
        <f ca="1">SQRT($B$9*SUM(AC1325:OFFSET(AC1325,$B$7-1,0))/($B$7-1))</f>
        <v>#DIV/0!</v>
      </c>
      <c r="AG1325" s="34" t="e">
        <f ca="1">SQRT($B$9*SUM(AC1325:OFFSET(AC1325,$B$8-1,0))/($B$8-1))</f>
        <v>#DIV/0!</v>
      </c>
      <c r="AI1325" s="1" t="e">
        <f t="shared" si="111"/>
        <v>#DIV/0!</v>
      </c>
      <c r="AJ1325" s="4" t="e">
        <f ca="1">SQRT($B$9)*_xlfn.STDEV.S(AI1325:OFFSET(AI1325,$B$5-1,0))</f>
        <v>#DIV/0!</v>
      </c>
      <c r="AK1325" s="4" t="e">
        <f ca="1">SQRT($B$9)*_xlfn.STDEV.S(AI1325:OFFSET(AI1325,$B$6-1,0))</f>
        <v>#DIV/0!</v>
      </c>
      <c r="AL1325" s="4" t="e">
        <f ca="1">SQRT($B$9)*_xlfn.STDEV.S(AI1325:OFFSET(AI1325,$B$7-1,0))</f>
        <v>#DIV/0!</v>
      </c>
      <c r="AM1325" s="4" t="e">
        <f ca="1">SQRT($B$9)*_xlfn.STDEV.S(AI1325:OFFSET(AI1325,$B$8-1,0))</f>
        <v>#DIV/0!</v>
      </c>
    </row>
    <row r="1326" spans="11:39" x14ac:dyDescent="0.2">
      <c r="K1326" s="3" t="e">
        <f t="shared" si="109"/>
        <v>#DIV/0!</v>
      </c>
      <c r="L1326" s="3" t="e">
        <f ca="1">SQRT(AVERAGE(K1326:OFFSET(K1326,$B$5-1,0))*$B$9/(4*LN(2)))</f>
        <v>#DIV/0!</v>
      </c>
      <c r="M1326" s="3" t="e">
        <f ca="1">SQRT(AVERAGE(K1326:OFFSET(K1326,$B$6-1,0))*$B$9/(4*LN(2)))</f>
        <v>#DIV/0!</v>
      </c>
      <c r="N1326" s="3" t="e">
        <f ca="1">SQRT(AVERAGE(K1326:OFFSET(K1326,$B$7-1,0))*$B$9/(4*LN(2)))</f>
        <v>#DIV/0!</v>
      </c>
      <c r="O1326" s="3" t="e">
        <f ca="1">SQRT(AVERAGE(K1326:OFFSET(K1326,$B$8-1,0))*$B$9/(4*LN(2)))</f>
        <v>#DIV/0!</v>
      </c>
      <c r="Q1326" s="5" t="e">
        <f t="shared" si="108"/>
        <v>#DIV/0!</v>
      </c>
      <c r="R1326" s="5" t="e">
        <f ca="1">SQRT($B$9*AVERAGE((Q1326:OFFSET(Q1326,$B$5-1,0))))</f>
        <v>#DIV/0!</v>
      </c>
      <c r="S1326" s="5" t="e">
        <f ca="1">SQRT($B$9*AVERAGE((Q1326:OFFSET(Q1326,$B$6-1,0))))</f>
        <v>#DIV/0!</v>
      </c>
      <c r="T1326" s="5" t="e">
        <f ca="1">SQRT($B$9*AVERAGE((Q1326:OFFSET(Q1326,$B$7-1,0))))</f>
        <v>#DIV/0!</v>
      </c>
      <c r="U1326" s="5" t="e">
        <f ca="1">SQRT($B$9*AVERAGE((Q1326:OFFSET(Q1326,$B$8-1,0))))</f>
        <v>#DIV/0!</v>
      </c>
      <c r="W1326" s="6" t="e">
        <f t="shared" si="112"/>
        <v>#DIV/0!</v>
      </c>
      <c r="X1326" s="6" t="e">
        <f ca="1">SQRT($B$9*AVERAGE(W1326:OFFSET(W1326,$B$5-1,0)))</f>
        <v>#DIV/0!</v>
      </c>
      <c r="Y1326" s="6" t="e">
        <f ca="1">SQRT($B$9*AVERAGE(W1326:OFFSET(W1326,$B$6-1,0)))</f>
        <v>#DIV/0!</v>
      </c>
      <c r="Z1326" s="6" t="e">
        <f ca="1">SQRT($B$9*AVERAGE(W1326:OFFSET(W1326,$B$7-1,0)))</f>
        <v>#DIV/0!</v>
      </c>
      <c r="AA1326" s="6" t="e">
        <f ca="1">SQRT($B$9*AVERAGE(W1326:OFFSET(W1326,$B$8-1,0)))</f>
        <v>#DIV/0!</v>
      </c>
      <c r="AC1326" s="34" t="e">
        <f t="shared" si="110"/>
        <v>#DIV/0!</v>
      </c>
      <c r="AD1326" s="34" t="e">
        <f ca="1">SQRT($B$9*SUM(AC1326:OFFSET(AC1326,$B$5-1,0))/($B$5-1))</f>
        <v>#DIV/0!</v>
      </c>
      <c r="AE1326" s="34" t="e">
        <f ca="1">SQRT($B$9*SUM(AC1326:OFFSET(AC1326,$B$6-1,0))/($B$6-1))</f>
        <v>#DIV/0!</v>
      </c>
      <c r="AF1326" s="34" t="e">
        <f ca="1">SQRT($B$9*SUM(AC1326:OFFSET(AC1326,$B$7-1,0))/($B$7-1))</f>
        <v>#DIV/0!</v>
      </c>
      <c r="AG1326" s="34" t="e">
        <f ca="1">SQRT($B$9*SUM(AC1326:OFFSET(AC1326,$B$8-1,0))/($B$8-1))</f>
        <v>#DIV/0!</v>
      </c>
      <c r="AI1326" s="1" t="e">
        <f t="shared" si="111"/>
        <v>#DIV/0!</v>
      </c>
      <c r="AJ1326" s="4" t="e">
        <f ca="1">SQRT($B$9)*_xlfn.STDEV.S(AI1326:OFFSET(AI1326,$B$5-1,0))</f>
        <v>#DIV/0!</v>
      </c>
      <c r="AK1326" s="4" t="e">
        <f ca="1">SQRT($B$9)*_xlfn.STDEV.S(AI1326:OFFSET(AI1326,$B$6-1,0))</f>
        <v>#DIV/0!</v>
      </c>
      <c r="AL1326" s="4" t="e">
        <f ca="1">SQRT($B$9)*_xlfn.STDEV.S(AI1326:OFFSET(AI1326,$B$7-1,0))</f>
        <v>#DIV/0!</v>
      </c>
      <c r="AM1326" s="4" t="e">
        <f ca="1">SQRT($B$9)*_xlfn.STDEV.S(AI1326:OFFSET(AI1326,$B$8-1,0))</f>
        <v>#DIV/0!</v>
      </c>
    </row>
    <row r="1327" spans="11:39" x14ac:dyDescent="0.2">
      <c r="K1327" s="3" t="e">
        <f t="shared" si="109"/>
        <v>#DIV/0!</v>
      </c>
      <c r="L1327" s="3" t="e">
        <f ca="1">SQRT(AVERAGE(K1327:OFFSET(K1327,$B$5-1,0))*$B$9/(4*LN(2)))</f>
        <v>#DIV/0!</v>
      </c>
      <c r="M1327" s="3" t="e">
        <f ca="1">SQRT(AVERAGE(K1327:OFFSET(K1327,$B$6-1,0))*$B$9/(4*LN(2)))</f>
        <v>#DIV/0!</v>
      </c>
      <c r="N1327" s="3" t="e">
        <f ca="1">SQRT(AVERAGE(K1327:OFFSET(K1327,$B$7-1,0))*$B$9/(4*LN(2)))</f>
        <v>#DIV/0!</v>
      </c>
      <c r="O1327" s="3" t="e">
        <f ca="1">SQRT(AVERAGE(K1327:OFFSET(K1327,$B$8-1,0))*$B$9/(4*LN(2)))</f>
        <v>#DIV/0!</v>
      </c>
      <c r="Q1327" s="5" t="e">
        <f t="shared" si="108"/>
        <v>#DIV/0!</v>
      </c>
      <c r="R1327" s="5" t="e">
        <f ca="1">SQRT($B$9*AVERAGE((Q1327:OFFSET(Q1327,$B$5-1,0))))</f>
        <v>#DIV/0!</v>
      </c>
      <c r="S1327" s="5" t="e">
        <f ca="1">SQRT($B$9*AVERAGE((Q1327:OFFSET(Q1327,$B$6-1,0))))</f>
        <v>#DIV/0!</v>
      </c>
      <c r="T1327" s="5" t="e">
        <f ca="1">SQRT($B$9*AVERAGE((Q1327:OFFSET(Q1327,$B$7-1,0))))</f>
        <v>#DIV/0!</v>
      </c>
      <c r="U1327" s="5" t="e">
        <f ca="1">SQRT($B$9*AVERAGE((Q1327:OFFSET(Q1327,$B$8-1,0))))</f>
        <v>#DIV/0!</v>
      </c>
      <c r="W1327" s="6" t="e">
        <f t="shared" si="112"/>
        <v>#DIV/0!</v>
      </c>
      <c r="X1327" s="6" t="e">
        <f ca="1">SQRT($B$9*AVERAGE(W1327:OFFSET(W1327,$B$5-1,0)))</f>
        <v>#DIV/0!</v>
      </c>
      <c r="Y1327" s="6" t="e">
        <f ca="1">SQRT($B$9*AVERAGE(W1327:OFFSET(W1327,$B$6-1,0)))</f>
        <v>#DIV/0!</v>
      </c>
      <c r="Z1327" s="6" t="e">
        <f ca="1">SQRT($B$9*AVERAGE(W1327:OFFSET(W1327,$B$7-1,0)))</f>
        <v>#DIV/0!</v>
      </c>
      <c r="AA1327" s="6" t="e">
        <f ca="1">SQRT($B$9*AVERAGE(W1327:OFFSET(W1327,$B$8-1,0)))</f>
        <v>#DIV/0!</v>
      </c>
      <c r="AC1327" s="34" t="e">
        <f t="shared" si="110"/>
        <v>#DIV/0!</v>
      </c>
      <c r="AD1327" s="34" t="e">
        <f ca="1">SQRT($B$9*SUM(AC1327:OFFSET(AC1327,$B$5-1,0))/($B$5-1))</f>
        <v>#DIV/0!</v>
      </c>
      <c r="AE1327" s="34" t="e">
        <f ca="1">SQRT($B$9*SUM(AC1327:OFFSET(AC1327,$B$6-1,0))/($B$6-1))</f>
        <v>#DIV/0!</v>
      </c>
      <c r="AF1327" s="34" t="e">
        <f ca="1">SQRT($B$9*SUM(AC1327:OFFSET(AC1327,$B$7-1,0))/($B$7-1))</f>
        <v>#DIV/0!</v>
      </c>
      <c r="AG1327" s="34" t="e">
        <f ca="1">SQRT($B$9*SUM(AC1327:OFFSET(AC1327,$B$8-1,0))/($B$8-1))</f>
        <v>#DIV/0!</v>
      </c>
      <c r="AI1327" s="1" t="e">
        <f t="shared" si="111"/>
        <v>#DIV/0!</v>
      </c>
      <c r="AJ1327" s="4" t="e">
        <f ca="1">SQRT($B$9)*_xlfn.STDEV.S(AI1327:OFFSET(AI1327,$B$5-1,0))</f>
        <v>#DIV/0!</v>
      </c>
      <c r="AK1327" s="4" t="e">
        <f ca="1">SQRT($B$9)*_xlfn.STDEV.S(AI1327:OFFSET(AI1327,$B$6-1,0))</f>
        <v>#DIV/0!</v>
      </c>
      <c r="AL1327" s="4" t="e">
        <f ca="1">SQRT($B$9)*_xlfn.STDEV.S(AI1327:OFFSET(AI1327,$B$7-1,0))</f>
        <v>#DIV/0!</v>
      </c>
      <c r="AM1327" s="4" t="e">
        <f ca="1">SQRT($B$9)*_xlfn.STDEV.S(AI1327:OFFSET(AI1327,$B$8-1,0))</f>
        <v>#DIV/0!</v>
      </c>
    </row>
    <row r="1328" spans="11:39" x14ac:dyDescent="0.2">
      <c r="K1328" s="3" t="e">
        <f t="shared" si="109"/>
        <v>#DIV/0!</v>
      </c>
      <c r="L1328" s="3" t="e">
        <f ca="1">SQRT(AVERAGE(K1328:OFFSET(K1328,$B$5-1,0))*$B$9/(4*LN(2)))</f>
        <v>#DIV/0!</v>
      </c>
      <c r="M1328" s="3" t="e">
        <f ca="1">SQRT(AVERAGE(K1328:OFFSET(K1328,$B$6-1,0))*$B$9/(4*LN(2)))</f>
        <v>#DIV/0!</v>
      </c>
      <c r="N1328" s="3" t="e">
        <f ca="1">SQRT(AVERAGE(K1328:OFFSET(K1328,$B$7-1,0))*$B$9/(4*LN(2)))</f>
        <v>#DIV/0!</v>
      </c>
      <c r="O1328" s="3" t="e">
        <f ca="1">SQRT(AVERAGE(K1328:OFFSET(K1328,$B$8-1,0))*$B$9/(4*LN(2)))</f>
        <v>#DIV/0!</v>
      </c>
      <c r="Q1328" s="5" t="e">
        <f t="shared" si="108"/>
        <v>#DIV/0!</v>
      </c>
      <c r="R1328" s="5" t="e">
        <f ca="1">SQRT($B$9*AVERAGE((Q1328:OFFSET(Q1328,$B$5-1,0))))</f>
        <v>#DIV/0!</v>
      </c>
      <c r="S1328" s="5" t="e">
        <f ca="1">SQRT($B$9*AVERAGE((Q1328:OFFSET(Q1328,$B$6-1,0))))</f>
        <v>#DIV/0!</v>
      </c>
      <c r="T1328" s="5" t="e">
        <f ca="1">SQRT($B$9*AVERAGE((Q1328:OFFSET(Q1328,$B$7-1,0))))</f>
        <v>#DIV/0!</v>
      </c>
      <c r="U1328" s="5" t="e">
        <f ca="1">SQRT($B$9*AVERAGE((Q1328:OFFSET(Q1328,$B$8-1,0))))</f>
        <v>#DIV/0!</v>
      </c>
      <c r="W1328" s="6" t="e">
        <f t="shared" si="112"/>
        <v>#DIV/0!</v>
      </c>
      <c r="X1328" s="6" t="e">
        <f ca="1">SQRT($B$9*AVERAGE(W1328:OFFSET(W1328,$B$5-1,0)))</f>
        <v>#DIV/0!</v>
      </c>
      <c r="Y1328" s="6" t="e">
        <f ca="1">SQRT($B$9*AVERAGE(W1328:OFFSET(W1328,$B$6-1,0)))</f>
        <v>#DIV/0!</v>
      </c>
      <c r="Z1328" s="6" t="e">
        <f ca="1">SQRT($B$9*AVERAGE(W1328:OFFSET(W1328,$B$7-1,0)))</f>
        <v>#DIV/0!</v>
      </c>
      <c r="AA1328" s="6" t="e">
        <f ca="1">SQRT($B$9*AVERAGE(W1328:OFFSET(W1328,$B$8-1,0)))</f>
        <v>#DIV/0!</v>
      </c>
      <c r="AC1328" s="34" t="e">
        <f t="shared" si="110"/>
        <v>#DIV/0!</v>
      </c>
      <c r="AD1328" s="34" t="e">
        <f ca="1">SQRT($B$9*SUM(AC1328:OFFSET(AC1328,$B$5-1,0))/($B$5-1))</f>
        <v>#DIV/0!</v>
      </c>
      <c r="AE1328" s="34" t="e">
        <f ca="1">SQRT($B$9*SUM(AC1328:OFFSET(AC1328,$B$6-1,0))/($B$6-1))</f>
        <v>#DIV/0!</v>
      </c>
      <c r="AF1328" s="34" t="e">
        <f ca="1">SQRT($B$9*SUM(AC1328:OFFSET(AC1328,$B$7-1,0))/($B$7-1))</f>
        <v>#DIV/0!</v>
      </c>
      <c r="AG1328" s="34" t="e">
        <f ca="1">SQRT($B$9*SUM(AC1328:OFFSET(AC1328,$B$8-1,0))/($B$8-1))</f>
        <v>#DIV/0!</v>
      </c>
      <c r="AI1328" s="1" t="e">
        <f t="shared" si="111"/>
        <v>#DIV/0!</v>
      </c>
      <c r="AJ1328" s="4" t="e">
        <f ca="1">SQRT($B$9)*_xlfn.STDEV.S(AI1328:OFFSET(AI1328,$B$5-1,0))</f>
        <v>#DIV/0!</v>
      </c>
      <c r="AK1328" s="4" t="e">
        <f ca="1">SQRT($B$9)*_xlfn.STDEV.S(AI1328:OFFSET(AI1328,$B$6-1,0))</f>
        <v>#DIV/0!</v>
      </c>
      <c r="AL1328" s="4" t="e">
        <f ca="1">SQRT($B$9)*_xlfn.STDEV.S(AI1328:OFFSET(AI1328,$B$7-1,0))</f>
        <v>#DIV/0!</v>
      </c>
      <c r="AM1328" s="4" t="e">
        <f ca="1">SQRT($B$9)*_xlfn.STDEV.S(AI1328:OFFSET(AI1328,$B$8-1,0))</f>
        <v>#DIV/0!</v>
      </c>
    </row>
    <row r="1329" spans="11:39" x14ac:dyDescent="0.2">
      <c r="K1329" s="3" t="e">
        <f t="shared" si="109"/>
        <v>#DIV/0!</v>
      </c>
      <c r="L1329" s="3" t="e">
        <f ca="1">SQRT(AVERAGE(K1329:OFFSET(K1329,$B$5-1,0))*$B$9/(4*LN(2)))</f>
        <v>#DIV/0!</v>
      </c>
      <c r="M1329" s="3" t="e">
        <f ca="1">SQRT(AVERAGE(K1329:OFFSET(K1329,$B$6-1,0))*$B$9/(4*LN(2)))</f>
        <v>#DIV/0!</v>
      </c>
      <c r="N1329" s="3" t="e">
        <f ca="1">SQRT(AVERAGE(K1329:OFFSET(K1329,$B$7-1,0))*$B$9/(4*LN(2)))</f>
        <v>#DIV/0!</v>
      </c>
      <c r="O1329" s="3" t="e">
        <f ca="1">SQRT(AVERAGE(K1329:OFFSET(K1329,$B$8-1,0))*$B$9/(4*LN(2)))</f>
        <v>#DIV/0!</v>
      </c>
      <c r="Q1329" s="5" t="e">
        <f t="shared" si="108"/>
        <v>#DIV/0!</v>
      </c>
      <c r="R1329" s="5" t="e">
        <f ca="1">SQRT($B$9*AVERAGE((Q1329:OFFSET(Q1329,$B$5-1,0))))</f>
        <v>#DIV/0!</v>
      </c>
      <c r="S1329" s="5" t="e">
        <f ca="1">SQRT($B$9*AVERAGE((Q1329:OFFSET(Q1329,$B$6-1,0))))</f>
        <v>#DIV/0!</v>
      </c>
      <c r="T1329" s="5" t="e">
        <f ca="1">SQRT($B$9*AVERAGE((Q1329:OFFSET(Q1329,$B$7-1,0))))</f>
        <v>#DIV/0!</v>
      </c>
      <c r="U1329" s="5" t="e">
        <f ca="1">SQRT($B$9*AVERAGE((Q1329:OFFSET(Q1329,$B$8-1,0))))</f>
        <v>#DIV/0!</v>
      </c>
      <c r="W1329" s="6" t="e">
        <f t="shared" si="112"/>
        <v>#DIV/0!</v>
      </c>
      <c r="X1329" s="6" t="e">
        <f ca="1">SQRT($B$9*AVERAGE(W1329:OFFSET(W1329,$B$5-1,0)))</f>
        <v>#DIV/0!</v>
      </c>
      <c r="Y1329" s="6" t="e">
        <f ca="1">SQRT($B$9*AVERAGE(W1329:OFFSET(W1329,$B$6-1,0)))</f>
        <v>#DIV/0!</v>
      </c>
      <c r="Z1329" s="6" t="e">
        <f ca="1">SQRT($B$9*AVERAGE(W1329:OFFSET(W1329,$B$7-1,0)))</f>
        <v>#DIV/0!</v>
      </c>
      <c r="AA1329" s="6" t="e">
        <f ca="1">SQRT($B$9*AVERAGE(W1329:OFFSET(W1329,$B$8-1,0)))</f>
        <v>#DIV/0!</v>
      </c>
      <c r="AC1329" s="34" t="e">
        <f t="shared" si="110"/>
        <v>#DIV/0!</v>
      </c>
      <c r="AD1329" s="34" t="e">
        <f ca="1">SQRT($B$9*SUM(AC1329:OFFSET(AC1329,$B$5-1,0))/($B$5-1))</f>
        <v>#DIV/0!</v>
      </c>
      <c r="AE1329" s="34" t="e">
        <f ca="1">SQRT($B$9*SUM(AC1329:OFFSET(AC1329,$B$6-1,0))/($B$6-1))</f>
        <v>#DIV/0!</v>
      </c>
      <c r="AF1329" s="34" t="e">
        <f ca="1">SQRT($B$9*SUM(AC1329:OFFSET(AC1329,$B$7-1,0))/($B$7-1))</f>
        <v>#DIV/0!</v>
      </c>
      <c r="AG1329" s="34" t="e">
        <f ca="1">SQRT($B$9*SUM(AC1329:OFFSET(AC1329,$B$8-1,0))/($B$8-1))</f>
        <v>#DIV/0!</v>
      </c>
      <c r="AI1329" s="1" t="e">
        <f t="shared" si="111"/>
        <v>#DIV/0!</v>
      </c>
      <c r="AJ1329" s="4" t="e">
        <f ca="1">SQRT($B$9)*_xlfn.STDEV.S(AI1329:OFFSET(AI1329,$B$5-1,0))</f>
        <v>#DIV/0!</v>
      </c>
      <c r="AK1329" s="4" t="e">
        <f ca="1">SQRT($B$9)*_xlfn.STDEV.S(AI1329:OFFSET(AI1329,$B$6-1,0))</f>
        <v>#DIV/0!</v>
      </c>
      <c r="AL1329" s="4" t="e">
        <f ca="1">SQRT($B$9)*_xlfn.STDEV.S(AI1329:OFFSET(AI1329,$B$7-1,0))</f>
        <v>#DIV/0!</v>
      </c>
      <c r="AM1329" s="4" t="e">
        <f ca="1">SQRT($B$9)*_xlfn.STDEV.S(AI1329:OFFSET(AI1329,$B$8-1,0))</f>
        <v>#DIV/0!</v>
      </c>
    </row>
    <row r="1330" spans="11:39" x14ac:dyDescent="0.2">
      <c r="K1330" s="3" t="e">
        <f t="shared" si="109"/>
        <v>#DIV/0!</v>
      </c>
      <c r="L1330" s="3" t="e">
        <f ca="1">SQRT(AVERAGE(K1330:OFFSET(K1330,$B$5-1,0))*$B$9/(4*LN(2)))</f>
        <v>#DIV/0!</v>
      </c>
      <c r="M1330" s="3" t="e">
        <f ca="1">SQRT(AVERAGE(K1330:OFFSET(K1330,$B$6-1,0))*$B$9/(4*LN(2)))</f>
        <v>#DIV/0!</v>
      </c>
      <c r="N1330" s="3" t="e">
        <f ca="1">SQRT(AVERAGE(K1330:OFFSET(K1330,$B$7-1,0))*$B$9/(4*LN(2)))</f>
        <v>#DIV/0!</v>
      </c>
      <c r="O1330" s="3" t="e">
        <f ca="1">SQRT(AVERAGE(K1330:OFFSET(K1330,$B$8-1,0))*$B$9/(4*LN(2)))</f>
        <v>#DIV/0!</v>
      </c>
      <c r="Q1330" s="5" t="e">
        <f t="shared" si="108"/>
        <v>#DIV/0!</v>
      </c>
      <c r="R1330" s="5" t="e">
        <f ca="1">SQRT($B$9*AVERAGE((Q1330:OFFSET(Q1330,$B$5-1,0))))</f>
        <v>#DIV/0!</v>
      </c>
      <c r="S1330" s="5" t="e">
        <f ca="1">SQRT($B$9*AVERAGE((Q1330:OFFSET(Q1330,$B$6-1,0))))</f>
        <v>#DIV/0!</v>
      </c>
      <c r="T1330" s="5" t="e">
        <f ca="1">SQRT($B$9*AVERAGE((Q1330:OFFSET(Q1330,$B$7-1,0))))</f>
        <v>#DIV/0!</v>
      </c>
      <c r="U1330" s="5" t="e">
        <f ca="1">SQRT($B$9*AVERAGE((Q1330:OFFSET(Q1330,$B$8-1,0))))</f>
        <v>#DIV/0!</v>
      </c>
      <c r="W1330" s="6" t="e">
        <f t="shared" si="112"/>
        <v>#DIV/0!</v>
      </c>
      <c r="X1330" s="6" t="e">
        <f ca="1">SQRT($B$9*AVERAGE(W1330:OFFSET(W1330,$B$5-1,0)))</f>
        <v>#DIV/0!</v>
      </c>
      <c r="Y1330" s="6" t="e">
        <f ca="1">SQRT($B$9*AVERAGE(W1330:OFFSET(W1330,$B$6-1,0)))</f>
        <v>#DIV/0!</v>
      </c>
      <c r="Z1330" s="6" t="e">
        <f ca="1">SQRT($B$9*AVERAGE(W1330:OFFSET(W1330,$B$7-1,0)))</f>
        <v>#DIV/0!</v>
      </c>
      <c r="AA1330" s="6" t="e">
        <f ca="1">SQRT($B$9*AVERAGE(W1330:OFFSET(W1330,$B$8-1,0)))</f>
        <v>#DIV/0!</v>
      </c>
      <c r="AC1330" s="34" t="e">
        <f t="shared" si="110"/>
        <v>#DIV/0!</v>
      </c>
      <c r="AD1330" s="34" t="e">
        <f ca="1">SQRT($B$9*SUM(AC1330:OFFSET(AC1330,$B$5-1,0))/($B$5-1))</f>
        <v>#DIV/0!</v>
      </c>
      <c r="AE1330" s="34" t="e">
        <f ca="1">SQRT($B$9*SUM(AC1330:OFFSET(AC1330,$B$6-1,0))/($B$6-1))</f>
        <v>#DIV/0!</v>
      </c>
      <c r="AF1330" s="34" t="e">
        <f ca="1">SQRT($B$9*SUM(AC1330:OFFSET(AC1330,$B$7-1,0))/($B$7-1))</f>
        <v>#DIV/0!</v>
      </c>
      <c r="AG1330" s="34" t="e">
        <f ca="1">SQRT($B$9*SUM(AC1330:OFFSET(AC1330,$B$8-1,0))/($B$8-1))</f>
        <v>#DIV/0!</v>
      </c>
      <c r="AI1330" s="1" t="e">
        <f t="shared" si="111"/>
        <v>#DIV/0!</v>
      </c>
      <c r="AJ1330" s="4" t="e">
        <f ca="1">SQRT($B$9)*_xlfn.STDEV.S(AI1330:OFFSET(AI1330,$B$5-1,0))</f>
        <v>#DIV/0!</v>
      </c>
      <c r="AK1330" s="4" t="e">
        <f ca="1">SQRT($B$9)*_xlfn.STDEV.S(AI1330:OFFSET(AI1330,$B$6-1,0))</f>
        <v>#DIV/0!</v>
      </c>
      <c r="AL1330" s="4" t="e">
        <f ca="1">SQRT($B$9)*_xlfn.STDEV.S(AI1330:OFFSET(AI1330,$B$7-1,0))</f>
        <v>#DIV/0!</v>
      </c>
      <c r="AM1330" s="4" t="e">
        <f ca="1">SQRT($B$9)*_xlfn.STDEV.S(AI1330:OFFSET(AI1330,$B$8-1,0))</f>
        <v>#DIV/0!</v>
      </c>
    </row>
    <row r="1331" spans="11:39" x14ac:dyDescent="0.2">
      <c r="K1331" s="3" t="e">
        <f t="shared" si="109"/>
        <v>#DIV/0!</v>
      </c>
      <c r="L1331" s="3" t="e">
        <f ca="1">SQRT(AVERAGE(K1331:OFFSET(K1331,$B$5-1,0))*$B$9/(4*LN(2)))</f>
        <v>#DIV/0!</v>
      </c>
      <c r="M1331" s="3" t="e">
        <f ca="1">SQRT(AVERAGE(K1331:OFFSET(K1331,$B$6-1,0))*$B$9/(4*LN(2)))</f>
        <v>#DIV/0!</v>
      </c>
      <c r="N1331" s="3" t="e">
        <f ca="1">SQRT(AVERAGE(K1331:OFFSET(K1331,$B$7-1,0))*$B$9/(4*LN(2)))</f>
        <v>#DIV/0!</v>
      </c>
      <c r="O1331" s="3" t="e">
        <f ca="1">SQRT(AVERAGE(K1331:OFFSET(K1331,$B$8-1,0))*$B$9/(4*LN(2)))</f>
        <v>#DIV/0!</v>
      </c>
      <c r="Q1331" s="5" t="e">
        <f t="shared" si="108"/>
        <v>#DIV/0!</v>
      </c>
      <c r="R1331" s="5" t="e">
        <f ca="1">SQRT($B$9*AVERAGE((Q1331:OFFSET(Q1331,$B$5-1,0))))</f>
        <v>#DIV/0!</v>
      </c>
      <c r="S1331" s="5" t="e">
        <f ca="1">SQRT($B$9*AVERAGE((Q1331:OFFSET(Q1331,$B$6-1,0))))</f>
        <v>#DIV/0!</v>
      </c>
      <c r="T1331" s="5" t="e">
        <f ca="1">SQRT($B$9*AVERAGE((Q1331:OFFSET(Q1331,$B$7-1,0))))</f>
        <v>#DIV/0!</v>
      </c>
      <c r="U1331" s="5" t="e">
        <f ca="1">SQRT($B$9*AVERAGE((Q1331:OFFSET(Q1331,$B$8-1,0))))</f>
        <v>#DIV/0!</v>
      </c>
      <c r="W1331" s="6" t="e">
        <f t="shared" si="112"/>
        <v>#DIV/0!</v>
      </c>
      <c r="X1331" s="6" t="e">
        <f ca="1">SQRT($B$9*AVERAGE(W1331:OFFSET(W1331,$B$5-1,0)))</f>
        <v>#DIV/0!</v>
      </c>
      <c r="Y1331" s="6" t="e">
        <f ca="1">SQRT($B$9*AVERAGE(W1331:OFFSET(W1331,$B$6-1,0)))</f>
        <v>#DIV/0!</v>
      </c>
      <c r="Z1331" s="6" t="e">
        <f ca="1">SQRT($B$9*AVERAGE(W1331:OFFSET(W1331,$B$7-1,0)))</f>
        <v>#DIV/0!</v>
      </c>
      <c r="AA1331" s="6" t="e">
        <f ca="1">SQRT($B$9*AVERAGE(W1331:OFFSET(W1331,$B$8-1,0)))</f>
        <v>#DIV/0!</v>
      </c>
      <c r="AC1331" s="34" t="e">
        <f t="shared" si="110"/>
        <v>#DIV/0!</v>
      </c>
      <c r="AD1331" s="34" t="e">
        <f ca="1">SQRT($B$9*SUM(AC1331:OFFSET(AC1331,$B$5-1,0))/($B$5-1))</f>
        <v>#DIV/0!</v>
      </c>
      <c r="AE1331" s="34" t="e">
        <f ca="1">SQRT($B$9*SUM(AC1331:OFFSET(AC1331,$B$6-1,0))/($B$6-1))</f>
        <v>#DIV/0!</v>
      </c>
      <c r="AF1331" s="34" t="e">
        <f ca="1">SQRT($B$9*SUM(AC1331:OFFSET(AC1331,$B$7-1,0))/($B$7-1))</f>
        <v>#DIV/0!</v>
      </c>
      <c r="AG1331" s="34" t="e">
        <f ca="1">SQRT($B$9*SUM(AC1331:OFFSET(AC1331,$B$8-1,0))/($B$8-1))</f>
        <v>#DIV/0!</v>
      </c>
      <c r="AI1331" s="1" t="e">
        <f t="shared" si="111"/>
        <v>#DIV/0!</v>
      </c>
      <c r="AJ1331" s="4" t="e">
        <f ca="1">SQRT($B$9)*_xlfn.STDEV.S(AI1331:OFFSET(AI1331,$B$5-1,0))</f>
        <v>#DIV/0!</v>
      </c>
      <c r="AK1331" s="4" t="e">
        <f ca="1">SQRT($B$9)*_xlfn.STDEV.S(AI1331:OFFSET(AI1331,$B$6-1,0))</f>
        <v>#DIV/0!</v>
      </c>
      <c r="AL1331" s="4" t="e">
        <f ca="1">SQRT($B$9)*_xlfn.STDEV.S(AI1331:OFFSET(AI1331,$B$7-1,0))</f>
        <v>#DIV/0!</v>
      </c>
      <c r="AM1331" s="4" t="e">
        <f ca="1">SQRT($B$9)*_xlfn.STDEV.S(AI1331:OFFSET(AI1331,$B$8-1,0))</f>
        <v>#DIV/0!</v>
      </c>
    </row>
    <row r="1332" spans="11:39" x14ac:dyDescent="0.2">
      <c r="K1332" s="3" t="e">
        <f t="shared" si="109"/>
        <v>#DIV/0!</v>
      </c>
      <c r="L1332" s="3" t="e">
        <f ca="1">SQRT(AVERAGE(K1332:OFFSET(K1332,$B$5-1,0))*$B$9/(4*LN(2)))</f>
        <v>#DIV/0!</v>
      </c>
      <c r="M1332" s="3" t="e">
        <f ca="1">SQRT(AVERAGE(K1332:OFFSET(K1332,$B$6-1,0))*$B$9/(4*LN(2)))</f>
        <v>#DIV/0!</v>
      </c>
      <c r="N1332" s="3" t="e">
        <f ca="1">SQRT(AVERAGE(K1332:OFFSET(K1332,$B$7-1,0))*$B$9/(4*LN(2)))</f>
        <v>#DIV/0!</v>
      </c>
      <c r="O1332" s="3" t="e">
        <f ca="1">SQRT(AVERAGE(K1332:OFFSET(K1332,$B$8-1,0))*$B$9/(4*LN(2)))</f>
        <v>#DIV/0!</v>
      </c>
      <c r="Q1332" s="5" t="e">
        <f t="shared" si="108"/>
        <v>#DIV/0!</v>
      </c>
      <c r="R1332" s="5" t="e">
        <f ca="1">SQRT($B$9*AVERAGE((Q1332:OFFSET(Q1332,$B$5-1,0))))</f>
        <v>#DIV/0!</v>
      </c>
      <c r="S1332" s="5" t="e">
        <f ca="1">SQRT($B$9*AVERAGE((Q1332:OFFSET(Q1332,$B$6-1,0))))</f>
        <v>#DIV/0!</v>
      </c>
      <c r="T1332" s="5" t="e">
        <f ca="1">SQRT($B$9*AVERAGE((Q1332:OFFSET(Q1332,$B$7-1,0))))</f>
        <v>#DIV/0!</v>
      </c>
      <c r="U1332" s="5" t="e">
        <f ca="1">SQRT($B$9*AVERAGE((Q1332:OFFSET(Q1332,$B$8-1,0))))</f>
        <v>#DIV/0!</v>
      </c>
      <c r="W1332" s="6" t="e">
        <f t="shared" si="112"/>
        <v>#DIV/0!</v>
      </c>
      <c r="X1332" s="6" t="e">
        <f ca="1">SQRT($B$9*AVERAGE(W1332:OFFSET(W1332,$B$5-1,0)))</f>
        <v>#DIV/0!</v>
      </c>
      <c r="Y1332" s="6" t="e">
        <f ca="1">SQRT($B$9*AVERAGE(W1332:OFFSET(W1332,$B$6-1,0)))</f>
        <v>#DIV/0!</v>
      </c>
      <c r="Z1332" s="6" t="e">
        <f ca="1">SQRT($B$9*AVERAGE(W1332:OFFSET(W1332,$B$7-1,0)))</f>
        <v>#DIV/0!</v>
      </c>
      <c r="AA1332" s="6" t="e">
        <f ca="1">SQRT($B$9*AVERAGE(W1332:OFFSET(W1332,$B$8-1,0)))</f>
        <v>#DIV/0!</v>
      </c>
      <c r="AC1332" s="34" t="e">
        <f t="shared" si="110"/>
        <v>#DIV/0!</v>
      </c>
      <c r="AD1332" s="34" t="e">
        <f ca="1">SQRT($B$9*SUM(AC1332:OFFSET(AC1332,$B$5-1,0))/($B$5-1))</f>
        <v>#DIV/0!</v>
      </c>
      <c r="AE1332" s="34" t="e">
        <f ca="1">SQRT($B$9*SUM(AC1332:OFFSET(AC1332,$B$6-1,0))/($B$6-1))</f>
        <v>#DIV/0!</v>
      </c>
      <c r="AF1332" s="34" t="e">
        <f ca="1">SQRT($B$9*SUM(AC1332:OFFSET(AC1332,$B$7-1,0))/($B$7-1))</f>
        <v>#DIV/0!</v>
      </c>
      <c r="AG1332" s="34" t="e">
        <f ca="1">SQRT($B$9*SUM(AC1332:OFFSET(AC1332,$B$8-1,0))/($B$8-1))</f>
        <v>#DIV/0!</v>
      </c>
      <c r="AI1332" s="1" t="e">
        <f t="shared" si="111"/>
        <v>#DIV/0!</v>
      </c>
      <c r="AJ1332" s="4" t="e">
        <f ca="1">SQRT($B$9)*_xlfn.STDEV.S(AI1332:OFFSET(AI1332,$B$5-1,0))</f>
        <v>#DIV/0!</v>
      </c>
      <c r="AK1332" s="4" t="e">
        <f ca="1">SQRT($B$9)*_xlfn.STDEV.S(AI1332:OFFSET(AI1332,$B$6-1,0))</f>
        <v>#DIV/0!</v>
      </c>
      <c r="AL1332" s="4" t="e">
        <f ca="1">SQRT($B$9)*_xlfn.STDEV.S(AI1332:OFFSET(AI1332,$B$7-1,0))</f>
        <v>#DIV/0!</v>
      </c>
      <c r="AM1332" s="4" t="e">
        <f ca="1">SQRT($B$9)*_xlfn.STDEV.S(AI1332:OFFSET(AI1332,$B$8-1,0))</f>
        <v>#DIV/0!</v>
      </c>
    </row>
    <row r="1333" spans="11:39" x14ac:dyDescent="0.2">
      <c r="K1333" s="3" t="e">
        <f t="shared" si="109"/>
        <v>#DIV/0!</v>
      </c>
      <c r="L1333" s="3" t="e">
        <f ca="1">SQRT(AVERAGE(K1333:OFFSET(K1333,$B$5-1,0))*$B$9/(4*LN(2)))</f>
        <v>#DIV/0!</v>
      </c>
      <c r="M1333" s="3" t="e">
        <f ca="1">SQRT(AVERAGE(K1333:OFFSET(K1333,$B$6-1,0))*$B$9/(4*LN(2)))</f>
        <v>#DIV/0!</v>
      </c>
      <c r="N1333" s="3" t="e">
        <f ca="1">SQRT(AVERAGE(K1333:OFFSET(K1333,$B$7-1,0))*$B$9/(4*LN(2)))</f>
        <v>#DIV/0!</v>
      </c>
      <c r="O1333" s="3" t="e">
        <f ca="1">SQRT(AVERAGE(K1333:OFFSET(K1333,$B$8-1,0))*$B$9/(4*LN(2)))</f>
        <v>#DIV/0!</v>
      </c>
      <c r="Q1333" s="5" t="e">
        <f t="shared" si="108"/>
        <v>#DIV/0!</v>
      </c>
      <c r="R1333" s="5" t="e">
        <f ca="1">SQRT($B$9*AVERAGE((Q1333:OFFSET(Q1333,$B$5-1,0))))</f>
        <v>#DIV/0!</v>
      </c>
      <c r="S1333" s="5" t="e">
        <f ca="1">SQRT($B$9*AVERAGE((Q1333:OFFSET(Q1333,$B$6-1,0))))</f>
        <v>#DIV/0!</v>
      </c>
      <c r="T1333" s="5" t="e">
        <f ca="1">SQRT($B$9*AVERAGE((Q1333:OFFSET(Q1333,$B$7-1,0))))</f>
        <v>#DIV/0!</v>
      </c>
      <c r="U1333" s="5" t="e">
        <f ca="1">SQRT($B$9*AVERAGE((Q1333:OFFSET(Q1333,$B$8-1,0))))</f>
        <v>#DIV/0!</v>
      </c>
      <c r="W1333" s="6" t="e">
        <f t="shared" si="112"/>
        <v>#DIV/0!</v>
      </c>
      <c r="X1333" s="6" t="e">
        <f ca="1">SQRT($B$9*AVERAGE(W1333:OFFSET(W1333,$B$5-1,0)))</f>
        <v>#DIV/0!</v>
      </c>
      <c r="Y1333" s="6" t="e">
        <f ca="1">SQRT($B$9*AVERAGE(W1333:OFFSET(W1333,$B$6-1,0)))</f>
        <v>#DIV/0!</v>
      </c>
      <c r="Z1333" s="6" t="e">
        <f ca="1">SQRT($B$9*AVERAGE(W1333:OFFSET(W1333,$B$7-1,0)))</f>
        <v>#DIV/0!</v>
      </c>
      <c r="AA1333" s="6" t="e">
        <f ca="1">SQRT($B$9*AVERAGE(W1333:OFFSET(W1333,$B$8-1,0)))</f>
        <v>#DIV/0!</v>
      </c>
      <c r="AC1333" s="34" t="e">
        <f t="shared" si="110"/>
        <v>#DIV/0!</v>
      </c>
      <c r="AD1333" s="34" t="e">
        <f ca="1">SQRT($B$9*SUM(AC1333:OFFSET(AC1333,$B$5-1,0))/($B$5-1))</f>
        <v>#DIV/0!</v>
      </c>
      <c r="AE1333" s="34" t="e">
        <f ca="1">SQRT($B$9*SUM(AC1333:OFFSET(AC1333,$B$6-1,0))/($B$6-1))</f>
        <v>#DIV/0!</v>
      </c>
      <c r="AF1333" s="34" t="e">
        <f ca="1">SQRT($B$9*SUM(AC1333:OFFSET(AC1333,$B$7-1,0))/($B$7-1))</f>
        <v>#DIV/0!</v>
      </c>
      <c r="AG1333" s="34" t="e">
        <f ca="1">SQRT($B$9*SUM(AC1333:OFFSET(AC1333,$B$8-1,0))/($B$8-1))</f>
        <v>#DIV/0!</v>
      </c>
      <c r="AI1333" s="1" t="e">
        <f t="shared" si="111"/>
        <v>#DIV/0!</v>
      </c>
      <c r="AJ1333" s="4" t="e">
        <f ca="1">SQRT($B$9)*_xlfn.STDEV.S(AI1333:OFFSET(AI1333,$B$5-1,0))</f>
        <v>#DIV/0!</v>
      </c>
      <c r="AK1333" s="4" t="e">
        <f ca="1">SQRT($B$9)*_xlfn.STDEV.S(AI1333:OFFSET(AI1333,$B$6-1,0))</f>
        <v>#DIV/0!</v>
      </c>
      <c r="AL1333" s="4" t="e">
        <f ca="1">SQRT($B$9)*_xlfn.STDEV.S(AI1333:OFFSET(AI1333,$B$7-1,0))</f>
        <v>#DIV/0!</v>
      </c>
      <c r="AM1333" s="4" t="e">
        <f ca="1">SQRT($B$9)*_xlfn.STDEV.S(AI1333:OFFSET(AI1333,$B$8-1,0))</f>
        <v>#DIV/0!</v>
      </c>
    </row>
    <row r="1334" spans="11:39" x14ac:dyDescent="0.2">
      <c r="K1334" s="3" t="e">
        <f t="shared" si="109"/>
        <v>#DIV/0!</v>
      </c>
      <c r="L1334" s="3" t="e">
        <f ca="1">SQRT(AVERAGE(K1334:OFFSET(K1334,$B$5-1,0))*$B$9/(4*LN(2)))</f>
        <v>#DIV/0!</v>
      </c>
      <c r="M1334" s="3" t="e">
        <f ca="1">SQRT(AVERAGE(K1334:OFFSET(K1334,$B$6-1,0))*$B$9/(4*LN(2)))</f>
        <v>#DIV/0!</v>
      </c>
      <c r="N1334" s="3" t="e">
        <f ca="1">SQRT(AVERAGE(K1334:OFFSET(K1334,$B$7-1,0))*$B$9/(4*LN(2)))</f>
        <v>#DIV/0!</v>
      </c>
      <c r="O1334" s="3" t="e">
        <f ca="1">SQRT(AVERAGE(K1334:OFFSET(K1334,$B$8-1,0))*$B$9/(4*LN(2)))</f>
        <v>#DIV/0!</v>
      </c>
      <c r="Q1334" s="5" t="e">
        <f t="shared" si="108"/>
        <v>#DIV/0!</v>
      </c>
      <c r="R1334" s="5" t="e">
        <f ca="1">SQRT($B$9*AVERAGE((Q1334:OFFSET(Q1334,$B$5-1,0))))</f>
        <v>#DIV/0!</v>
      </c>
      <c r="S1334" s="5" t="e">
        <f ca="1">SQRT($B$9*AVERAGE((Q1334:OFFSET(Q1334,$B$6-1,0))))</f>
        <v>#DIV/0!</v>
      </c>
      <c r="T1334" s="5" t="e">
        <f ca="1">SQRT($B$9*AVERAGE((Q1334:OFFSET(Q1334,$B$7-1,0))))</f>
        <v>#DIV/0!</v>
      </c>
      <c r="U1334" s="5" t="e">
        <f ca="1">SQRT($B$9*AVERAGE((Q1334:OFFSET(Q1334,$B$8-1,0))))</f>
        <v>#DIV/0!</v>
      </c>
      <c r="W1334" s="6" t="e">
        <f t="shared" si="112"/>
        <v>#DIV/0!</v>
      </c>
      <c r="X1334" s="6" t="e">
        <f ca="1">SQRT($B$9*AVERAGE(W1334:OFFSET(W1334,$B$5-1,0)))</f>
        <v>#DIV/0!</v>
      </c>
      <c r="Y1334" s="6" t="e">
        <f ca="1">SQRT($B$9*AVERAGE(W1334:OFFSET(W1334,$B$6-1,0)))</f>
        <v>#DIV/0!</v>
      </c>
      <c r="Z1334" s="6" t="e">
        <f ca="1">SQRT($B$9*AVERAGE(W1334:OFFSET(W1334,$B$7-1,0)))</f>
        <v>#DIV/0!</v>
      </c>
      <c r="AA1334" s="6" t="e">
        <f ca="1">SQRT($B$9*AVERAGE(W1334:OFFSET(W1334,$B$8-1,0)))</f>
        <v>#DIV/0!</v>
      </c>
      <c r="AC1334" s="34" t="e">
        <f t="shared" si="110"/>
        <v>#DIV/0!</v>
      </c>
      <c r="AD1334" s="34" t="e">
        <f ca="1">SQRT($B$9*SUM(AC1334:OFFSET(AC1334,$B$5-1,0))/($B$5-1))</f>
        <v>#DIV/0!</v>
      </c>
      <c r="AE1334" s="34" t="e">
        <f ca="1">SQRT($B$9*SUM(AC1334:OFFSET(AC1334,$B$6-1,0))/($B$6-1))</f>
        <v>#DIV/0!</v>
      </c>
      <c r="AF1334" s="34" t="e">
        <f ca="1">SQRT($B$9*SUM(AC1334:OFFSET(AC1334,$B$7-1,0))/($B$7-1))</f>
        <v>#DIV/0!</v>
      </c>
      <c r="AG1334" s="34" t="e">
        <f ca="1">SQRT($B$9*SUM(AC1334:OFFSET(AC1334,$B$8-1,0))/($B$8-1))</f>
        <v>#DIV/0!</v>
      </c>
      <c r="AI1334" s="1" t="e">
        <f t="shared" si="111"/>
        <v>#DIV/0!</v>
      </c>
      <c r="AJ1334" s="4" t="e">
        <f ca="1">SQRT($B$9)*_xlfn.STDEV.S(AI1334:OFFSET(AI1334,$B$5-1,0))</f>
        <v>#DIV/0!</v>
      </c>
      <c r="AK1334" s="4" t="e">
        <f ca="1">SQRT($B$9)*_xlfn.STDEV.S(AI1334:OFFSET(AI1334,$B$6-1,0))</f>
        <v>#DIV/0!</v>
      </c>
      <c r="AL1334" s="4" t="e">
        <f ca="1">SQRT($B$9)*_xlfn.STDEV.S(AI1334:OFFSET(AI1334,$B$7-1,0))</f>
        <v>#DIV/0!</v>
      </c>
      <c r="AM1334" s="4" t="e">
        <f ca="1">SQRT($B$9)*_xlfn.STDEV.S(AI1334:OFFSET(AI1334,$B$8-1,0))</f>
        <v>#DIV/0!</v>
      </c>
    </row>
    <row r="1335" spans="11:39" x14ac:dyDescent="0.2">
      <c r="K1335" s="3" t="e">
        <f t="shared" si="109"/>
        <v>#DIV/0!</v>
      </c>
      <c r="L1335" s="3" t="e">
        <f ca="1">SQRT(AVERAGE(K1335:OFFSET(K1335,$B$5-1,0))*$B$9/(4*LN(2)))</f>
        <v>#DIV/0!</v>
      </c>
      <c r="M1335" s="3" t="e">
        <f ca="1">SQRT(AVERAGE(K1335:OFFSET(K1335,$B$6-1,0))*$B$9/(4*LN(2)))</f>
        <v>#DIV/0!</v>
      </c>
      <c r="N1335" s="3" t="e">
        <f ca="1">SQRT(AVERAGE(K1335:OFFSET(K1335,$B$7-1,0))*$B$9/(4*LN(2)))</f>
        <v>#DIV/0!</v>
      </c>
      <c r="O1335" s="3" t="e">
        <f ca="1">SQRT(AVERAGE(K1335:OFFSET(K1335,$B$8-1,0))*$B$9/(4*LN(2)))</f>
        <v>#DIV/0!</v>
      </c>
      <c r="Q1335" s="5" t="e">
        <f t="shared" si="108"/>
        <v>#DIV/0!</v>
      </c>
      <c r="R1335" s="5" t="e">
        <f ca="1">SQRT($B$9*AVERAGE((Q1335:OFFSET(Q1335,$B$5-1,0))))</f>
        <v>#DIV/0!</v>
      </c>
      <c r="S1335" s="5" t="e">
        <f ca="1">SQRT($B$9*AVERAGE((Q1335:OFFSET(Q1335,$B$6-1,0))))</f>
        <v>#DIV/0!</v>
      </c>
      <c r="T1335" s="5" t="e">
        <f ca="1">SQRT($B$9*AVERAGE((Q1335:OFFSET(Q1335,$B$7-1,0))))</f>
        <v>#DIV/0!</v>
      </c>
      <c r="U1335" s="5" t="e">
        <f ca="1">SQRT($B$9*AVERAGE((Q1335:OFFSET(Q1335,$B$8-1,0))))</f>
        <v>#DIV/0!</v>
      </c>
      <c r="W1335" s="6" t="e">
        <f t="shared" si="112"/>
        <v>#DIV/0!</v>
      </c>
      <c r="X1335" s="6" t="e">
        <f ca="1">SQRT($B$9*AVERAGE(W1335:OFFSET(W1335,$B$5-1,0)))</f>
        <v>#DIV/0!</v>
      </c>
      <c r="Y1335" s="6" t="e">
        <f ca="1">SQRT($B$9*AVERAGE(W1335:OFFSET(W1335,$B$6-1,0)))</f>
        <v>#DIV/0!</v>
      </c>
      <c r="Z1335" s="6" t="e">
        <f ca="1">SQRT($B$9*AVERAGE(W1335:OFFSET(W1335,$B$7-1,0)))</f>
        <v>#DIV/0!</v>
      </c>
      <c r="AA1335" s="6" t="e">
        <f ca="1">SQRT($B$9*AVERAGE(W1335:OFFSET(W1335,$B$8-1,0)))</f>
        <v>#DIV/0!</v>
      </c>
      <c r="AC1335" s="34" t="e">
        <f t="shared" si="110"/>
        <v>#DIV/0!</v>
      </c>
      <c r="AD1335" s="34" t="e">
        <f ca="1">SQRT($B$9*SUM(AC1335:OFFSET(AC1335,$B$5-1,0))/($B$5-1))</f>
        <v>#DIV/0!</v>
      </c>
      <c r="AE1335" s="34" t="e">
        <f ca="1">SQRT($B$9*SUM(AC1335:OFFSET(AC1335,$B$6-1,0))/($B$6-1))</f>
        <v>#DIV/0!</v>
      </c>
      <c r="AF1335" s="34" t="e">
        <f ca="1">SQRT($B$9*SUM(AC1335:OFFSET(AC1335,$B$7-1,0))/($B$7-1))</f>
        <v>#DIV/0!</v>
      </c>
      <c r="AG1335" s="34" t="e">
        <f ca="1">SQRT($B$9*SUM(AC1335:OFFSET(AC1335,$B$8-1,0))/($B$8-1))</f>
        <v>#DIV/0!</v>
      </c>
      <c r="AI1335" s="1" t="e">
        <f t="shared" si="111"/>
        <v>#DIV/0!</v>
      </c>
      <c r="AJ1335" s="4" t="e">
        <f ca="1">SQRT($B$9)*_xlfn.STDEV.S(AI1335:OFFSET(AI1335,$B$5-1,0))</f>
        <v>#DIV/0!</v>
      </c>
      <c r="AK1335" s="4" t="e">
        <f ca="1">SQRT($B$9)*_xlfn.STDEV.S(AI1335:OFFSET(AI1335,$B$6-1,0))</f>
        <v>#DIV/0!</v>
      </c>
      <c r="AL1335" s="4" t="e">
        <f ca="1">SQRT($B$9)*_xlfn.STDEV.S(AI1335:OFFSET(AI1335,$B$7-1,0))</f>
        <v>#DIV/0!</v>
      </c>
      <c r="AM1335" s="4" t="e">
        <f ca="1">SQRT($B$9)*_xlfn.STDEV.S(AI1335:OFFSET(AI1335,$B$8-1,0))</f>
        <v>#DIV/0!</v>
      </c>
    </row>
    <row r="1336" spans="11:39" x14ac:dyDescent="0.2">
      <c r="K1336" s="3" t="e">
        <f t="shared" si="109"/>
        <v>#DIV/0!</v>
      </c>
      <c r="L1336" s="3" t="e">
        <f ca="1">SQRT(AVERAGE(K1336:OFFSET(K1336,$B$5-1,0))*$B$9/(4*LN(2)))</f>
        <v>#DIV/0!</v>
      </c>
      <c r="M1336" s="3" t="e">
        <f ca="1">SQRT(AVERAGE(K1336:OFFSET(K1336,$B$6-1,0))*$B$9/(4*LN(2)))</f>
        <v>#DIV/0!</v>
      </c>
      <c r="N1336" s="3" t="e">
        <f ca="1">SQRT(AVERAGE(K1336:OFFSET(K1336,$B$7-1,0))*$B$9/(4*LN(2)))</f>
        <v>#DIV/0!</v>
      </c>
      <c r="O1336" s="3" t="e">
        <f ca="1">SQRT(AVERAGE(K1336:OFFSET(K1336,$B$8-1,0))*$B$9/(4*LN(2)))</f>
        <v>#DIV/0!</v>
      </c>
      <c r="Q1336" s="5" t="e">
        <f t="shared" si="108"/>
        <v>#DIV/0!</v>
      </c>
      <c r="R1336" s="5" t="e">
        <f ca="1">SQRT($B$9*AVERAGE((Q1336:OFFSET(Q1336,$B$5-1,0))))</f>
        <v>#DIV/0!</v>
      </c>
      <c r="S1336" s="5" t="e">
        <f ca="1">SQRT($B$9*AVERAGE((Q1336:OFFSET(Q1336,$B$6-1,0))))</f>
        <v>#DIV/0!</v>
      </c>
      <c r="T1336" s="5" t="e">
        <f ca="1">SQRT($B$9*AVERAGE((Q1336:OFFSET(Q1336,$B$7-1,0))))</f>
        <v>#DIV/0!</v>
      </c>
      <c r="U1336" s="5" t="e">
        <f ca="1">SQRT($B$9*AVERAGE((Q1336:OFFSET(Q1336,$B$8-1,0))))</f>
        <v>#DIV/0!</v>
      </c>
      <c r="W1336" s="6" t="e">
        <f t="shared" si="112"/>
        <v>#DIV/0!</v>
      </c>
      <c r="X1336" s="6" t="e">
        <f ca="1">SQRT($B$9*AVERAGE(W1336:OFFSET(W1336,$B$5-1,0)))</f>
        <v>#DIV/0!</v>
      </c>
      <c r="Y1336" s="6" t="e">
        <f ca="1">SQRT($B$9*AVERAGE(W1336:OFFSET(W1336,$B$6-1,0)))</f>
        <v>#DIV/0!</v>
      </c>
      <c r="Z1336" s="6" t="e">
        <f ca="1">SQRT($B$9*AVERAGE(W1336:OFFSET(W1336,$B$7-1,0)))</f>
        <v>#DIV/0!</v>
      </c>
      <c r="AA1336" s="6" t="e">
        <f ca="1">SQRT($B$9*AVERAGE(W1336:OFFSET(W1336,$B$8-1,0)))</f>
        <v>#DIV/0!</v>
      </c>
      <c r="AC1336" s="34" t="e">
        <f t="shared" si="110"/>
        <v>#DIV/0!</v>
      </c>
      <c r="AD1336" s="34" t="e">
        <f ca="1">SQRT($B$9*SUM(AC1336:OFFSET(AC1336,$B$5-1,0))/($B$5-1))</f>
        <v>#DIV/0!</v>
      </c>
      <c r="AE1336" s="34" t="e">
        <f ca="1">SQRT($B$9*SUM(AC1336:OFFSET(AC1336,$B$6-1,0))/($B$6-1))</f>
        <v>#DIV/0!</v>
      </c>
      <c r="AF1336" s="34" t="e">
        <f ca="1">SQRT($B$9*SUM(AC1336:OFFSET(AC1336,$B$7-1,0))/($B$7-1))</f>
        <v>#DIV/0!</v>
      </c>
      <c r="AG1336" s="34" t="e">
        <f ca="1">SQRT($B$9*SUM(AC1336:OFFSET(AC1336,$B$8-1,0))/($B$8-1))</f>
        <v>#DIV/0!</v>
      </c>
      <c r="AI1336" s="1" t="e">
        <f t="shared" si="111"/>
        <v>#DIV/0!</v>
      </c>
      <c r="AJ1336" s="4" t="e">
        <f ca="1">SQRT($B$9)*_xlfn.STDEV.S(AI1336:OFFSET(AI1336,$B$5-1,0))</f>
        <v>#DIV/0!</v>
      </c>
      <c r="AK1336" s="4" t="e">
        <f ca="1">SQRT($B$9)*_xlfn.STDEV.S(AI1336:OFFSET(AI1336,$B$6-1,0))</f>
        <v>#DIV/0!</v>
      </c>
      <c r="AL1336" s="4" t="e">
        <f ca="1">SQRT($B$9)*_xlfn.STDEV.S(AI1336:OFFSET(AI1336,$B$7-1,0))</f>
        <v>#DIV/0!</v>
      </c>
      <c r="AM1336" s="4" t="e">
        <f ca="1">SQRT($B$9)*_xlfn.STDEV.S(AI1336:OFFSET(AI1336,$B$8-1,0))</f>
        <v>#DIV/0!</v>
      </c>
    </row>
    <row r="1337" spans="11:39" x14ac:dyDescent="0.2">
      <c r="K1337" s="3" t="e">
        <f t="shared" si="109"/>
        <v>#DIV/0!</v>
      </c>
      <c r="L1337" s="3" t="e">
        <f ca="1">SQRT(AVERAGE(K1337:OFFSET(K1337,$B$5-1,0))*$B$9/(4*LN(2)))</f>
        <v>#DIV/0!</v>
      </c>
      <c r="M1337" s="3" t="e">
        <f ca="1">SQRT(AVERAGE(K1337:OFFSET(K1337,$B$6-1,0))*$B$9/(4*LN(2)))</f>
        <v>#DIV/0!</v>
      </c>
      <c r="N1337" s="3" t="e">
        <f ca="1">SQRT(AVERAGE(K1337:OFFSET(K1337,$B$7-1,0))*$B$9/(4*LN(2)))</f>
        <v>#DIV/0!</v>
      </c>
      <c r="O1337" s="3" t="e">
        <f ca="1">SQRT(AVERAGE(K1337:OFFSET(K1337,$B$8-1,0))*$B$9/(4*LN(2)))</f>
        <v>#DIV/0!</v>
      </c>
      <c r="Q1337" s="5" t="e">
        <f t="shared" si="108"/>
        <v>#DIV/0!</v>
      </c>
      <c r="R1337" s="5" t="e">
        <f ca="1">SQRT($B$9*AVERAGE((Q1337:OFFSET(Q1337,$B$5-1,0))))</f>
        <v>#DIV/0!</v>
      </c>
      <c r="S1337" s="5" t="e">
        <f ca="1">SQRT($B$9*AVERAGE((Q1337:OFFSET(Q1337,$B$6-1,0))))</f>
        <v>#DIV/0!</v>
      </c>
      <c r="T1337" s="5" t="e">
        <f ca="1">SQRT($B$9*AVERAGE((Q1337:OFFSET(Q1337,$B$7-1,0))))</f>
        <v>#DIV/0!</v>
      </c>
      <c r="U1337" s="5" t="e">
        <f ca="1">SQRT($B$9*AVERAGE((Q1337:OFFSET(Q1337,$B$8-1,0))))</f>
        <v>#DIV/0!</v>
      </c>
      <c r="W1337" s="6" t="e">
        <f t="shared" si="112"/>
        <v>#DIV/0!</v>
      </c>
      <c r="X1337" s="6" t="e">
        <f ca="1">SQRT($B$9*AVERAGE(W1337:OFFSET(W1337,$B$5-1,0)))</f>
        <v>#DIV/0!</v>
      </c>
      <c r="Y1337" s="6" t="e">
        <f ca="1">SQRT($B$9*AVERAGE(W1337:OFFSET(W1337,$B$6-1,0)))</f>
        <v>#DIV/0!</v>
      </c>
      <c r="Z1337" s="6" t="e">
        <f ca="1">SQRT($B$9*AVERAGE(W1337:OFFSET(W1337,$B$7-1,0)))</f>
        <v>#DIV/0!</v>
      </c>
      <c r="AA1337" s="6" t="e">
        <f ca="1">SQRT($B$9*AVERAGE(W1337:OFFSET(W1337,$B$8-1,0)))</f>
        <v>#DIV/0!</v>
      </c>
      <c r="AC1337" s="34" t="e">
        <f t="shared" si="110"/>
        <v>#DIV/0!</v>
      </c>
      <c r="AD1337" s="34" t="e">
        <f ca="1">SQRT($B$9*SUM(AC1337:OFFSET(AC1337,$B$5-1,0))/($B$5-1))</f>
        <v>#DIV/0!</v>
      </c>
      <c r="AE1337" s="34" t="e">
        <f ca="1">SQRT($B$9*SUM(AC1337:OFFSET(AC1337,$B$6-1,0))/($B$6-1))</f>
        <v>#DIV/0!</v>
      </c>
      <c r="AF1337" s="34" t="e">
        <f ca="1">SQRT($B$9*SUM(AC1337:OFFSET(AC1337,$B$7-1,0))/($B$7-1))</f>
        <v>#DIV/0!</v>
      </c>
      <c r="AG1337" s="34" t="e">
        <f ca="1">SQRT($B$9*SUM(AC1337:OFFSET(AC1337,$B$8-1,0))/($B$8-1))</f>
        <v>#DIV/0!</v>
      </c>
      <c r="AI1337" s="1" t="e">
        <f t="shared" si="111"/>
        <v>#DIV/0!</v>
      </c>
      <c r="AJ1337" s="4" t="e">
        <f ca="1">SQRT($B$9)*_xlfn.STDEV.S(AI1337:OFFSET(AI1337,$B$5-1,0))</f>
        <v>#DIV/0!</v>
      </c>
      <c r="AK1337" s="4" t="e">
        <f ca="1">SQRT($B$9)*_xlfn.STDEV.S(AI1337:OFFSET(AI1337,$B$6-1,0))</f>
        <v>#DIV/0!</v>
      </c>
      <c r="AL1337" s="4" t="e">
        <f ca="1">SQRT($B$9)*_xlfn.STDEV.S(AI1337:OFFSET(AI1337,$B$7-1,0))</f>
        <v>#DIV/0!</v>
      </c>
      <c r="AM1337" s="4" t="e">
        <f ca="1">SQRT($B$9)*_xlfn.STDEV.S(AI1337:OFFSET(AI1337,$B$8-1,0))</f>
        <v>#DIV/0!</v>
      </c>
    </row>
    <row r="1338" spans="11:39" x14ac:dyDescent="0.2">
      <c r="K1338" s="3" t="e">
        <f t="shared" si="109"/>
        <v>#DIV/0!</v>
      </c>
      <c r="L1338" s="3" t="e">
        <f ca="1">SQRT(AVERAGE(K1338:OFFSET(K1338,$B$5-1,0))*$B$9/(4*LN(2)))</f>
        <v>#DIV/0!</v>
      </c>
      <c r="M1338" s="3" t="e">
        <f ca="1">SQRT(AVERAGE(K1338:OFFSET(K1338,$B$6-1,0))*$B$9/(4*LN(2)))</f>
        <v>#DIV/0!</v>
      </c>
      <c r="N1338" s="3" t="e">
        <f ca="1">SQRT(AVERAGE(K1338:OFFSET(K1338,$B$7-1,0))*$B$9/(4*LN(2)))</f>
        <v>#DIV/0!</v>
      </c>
      <c r="O1338" s="3" t="e">
        <f ca="1">SQRT(AVERAGE(K1338:OFFSET(K1338,$B$8-1,0))*$B$9/(4*LN(2)))</f>
        <v>#DIV/0!</v>
      </c>
      <c r="Q1338" s="5" t="e">
        <f t="shared" si="108"/>
        <v>#DIV/0!</v>
      </c>
      <c r="R1338" s="5" t="e">
        <f ca="1">SQRT($B$9*AVERAGE((Q1338:OFFSET(Q1338,$B$5-1,0))))</f>
        <v>#DIV/0!</v>
      </c>
      <c r="S1338" s="5" t="e">
        <f ca="1">SQRT($B$9*AVERAGE((Q1338:OFFSET(Q1338,$B$6-1,0))))</f>
        <v>#DIV/0!</v>
      </c>
      <c r="T1338" s="5" t="e">
        <f ca="1">SQRT($B$9*AVERAGE((Q1338:OFFSET(Q1338,$B$7-1,0))))</f>
        <v>#DIV/0!</v>
      </c>
      <c r="U1338" s="5" t="e">
        <f ca="1">SQRT($B$9*AVERAGE((Q1338:OFFSET(Q1338,$B$8-1,0))))</f>
        <v>#DIV/0!</v>
      </c>
      <c r="W1338" s="6" t="e">
        <f t="shared" si="112"/>
        <v>#DIV/0!</v>
      </c>
      <c r="X1338" s="6" t="e">
        <f ca="1">SQRT($B$9*AVERAGE(W1338:OFFSET(W1338,$B$5-1,0)))</f>
        <v>#DIV/0!</v>
      </c>
      <c r="Y1338" s="6" t="e">
        <f ca="1">SQRT($B$9*AVERAGE(W1338:OFFSET(W1338,$B$6-1,0)))</f>
        <v>#DIV/0!</v>
      </c>
      <c r="Z1338" s="6" t="e">
        <f ca="1">SQRT($B$9*AVERAGE(W1338:OFFSET(W1338,$B$7-1,0)))</f>
        <v>#DIV/0!</v>
      </c>
      <c r="AA1338" s="6" t="e">
        <f ca="1">SQRT($B$9*AVERAGE(W1338:OFFSET(W1338,$B$8-1,0)))</f>
        <v>#DIV/0!</v>
      </c>
      <c r="AC1338" s="34" t="e">
        <f t="shared" si="110"/>
        <v>#DIV/0!</v>
      </c>
      <c r="AD1338" s="34" t="e">
        <f ca="1">SQRT($B$9*SUM(AC1338:OFFSET(AC1338,$B$5-1,0))/($B$5-1))</f>
        <v>#DIV/0!</v>
      </c>
      <c r="AE1338" s="34" t="e">
        <f ca="1">SQRT($B$9*SUM(AC1338:OFFSET(AC1338,$B$6-1,0))/($B$6-1))</f>
        <v>#DIV/0!</v>
      </c>
      <c r="AF1338" s="34" t="e">
        <f ca="1">SQRT($B$9*SUM(AC1338:OFFSET(AC1338,$B$7-1,0))/($B$7-1))</f>
        <v>#DIV/0!</v>
      </c>
      <c r="AG1338" s="34" t="e">
        <f ca="1">SQRT($B$9*SUM(AC1338:OFFSET(AC1338,$B$8-1,0))/($B$8-1))</f>
        <v>#DIV/0!</v>
      </c>
      <c r="AI1338" s="1" t="e">
        <f t="shared" si="111"/>
        <v>#DIV/0!</v>
      </c>
      <c r="AJ1338" s="4" t="e">
        <f ca="1">SQRT($B$9)*_xlfn.STDEV.S(AI1338:OFFSET(AI1338,$B$5-1,0))</f>
        <v>#DIV/0!</v>
      </c>
      <c r="AK1338" s="4" t="e">
        <f ca="1">SQRT($B$9)*_xlfn.STDEV.S(AI1338:OFFSET(AI1338,$B$6-1,0))</f>
        <v>#DIV/0!</v>
      </c>
      <c r="AL1338" s="4" t="e">
        <f ca="1">SQRT($B$9)*_xlfn.STDEV.S(AI1338:OFFSET(AI1338,$B$7-1,0))</f>
        <v>#DIV/0!</v>
      </c>
      <c r="AM1338" s="4" t="e">
        <f ca="1">SQRT($B$9)*_xlfn.STDEV.S(AI1338:OFFSET(AI1338,$B$8-1,0))</f>
        <v>#DIV/0!</v>
      </c>
    </row>
    <row r="1339" spans="11:39" x14ac:dyDescent="0.2">
      <c r="K1339" s="3" t="e">
        <f t="shared" si="109"/>
        <v>#DIV/0!</v>
      </c>
      <c r="L1339" s="3" t="e">
        <f ca="1">SQRT(AVERAGE(K1339:OFFSET(K1339,$B$5-1,0))*$B$9/(4*LN(2)))</f>
        <v>#DIV/0!</v>
      </c>
      <c r="M1339" s="3" t="e">
        <f ca="1">SQRT(AVERAGE(K1339:OFFSET(K1339,$B$6-1,0))*$B$9/(4*LN(2)))</f>
        <v>#DIV/0!</v>
      </c>
      <c r="N1339" s="3" t="e">
        <f ca="1">SQRT(AVERAGE(K1339:OFFSET(K1339,$B$7-1,0))*$B$9/(4*LN(2)))</f>
        <v>#DIV/0!</v>
      </c>
      <c r="O1339" s="3" t="e">
        <f ca="1">SQRT(AVERAGE(K1339:OFFSET(K1339,$B$8-1,0))*$B$9/(4*LN(2)))</f>
        <v>#DIV/0!</v>
      </c>
      <c r="Q1339" s="5" t="e">
        <f t="shared" si="108"/>
        <v>#DIV/0!</v>
      </c>
      <c r="R1339" s="5" t="e">
        <f ca="1">SQRT($B$9*AVERAGE((Q1339:OFFSET(Q1339,$B$5-1,0))))</f>
        <v>#DIV/0!</v>
      </c>
      <c r="S1339" s="5" t="e">
        <f ca="1">SQRT($B$9*AVERAGE((Q1339:OFFSET(Q1339,$B$6-1,0))))</f>
        <v>#DIV/0!</v>
      </c>
      <c r="T1339" s="5" t="e">
        <f ca="1">SQRT($B$9*AVERAGE((Q1339:OFFSET(Q1339,$B$7-1,0))))</f>
        <v>#DIV/0!</v>
      </c>
      <c r="U1339" s="5" t="e">
        <f ca="1">SQRT($B$9*AVERAGE((Q1339:OFFSET(Q1339,$B$8-1,0))))</f>
        <v>#DIV/0!</v>
      </c>
      <c r="W1339" s="6" t="e">
        <f t="shared" si="112"/>
        <v>#DIV/0!</v>
      </c>
      <c r="X1339" s="6" t="e">
        <f ca="1">SQRT($B$9*AVERAGE(W1339:OFFSET(W1339,$B$5-1,0)))</f>
        <v>#DIV/0!</v>
      </c>
      <c r="Y1339" s="6" t="e">
        <f ca="1">SQRT($B$9*AVERAGE(W1339:OFFSET(W1339,$B$6-1,0)))</f>
        <v>#DIV/0!</v>
      </c>
      <c r="Z1339" s="6" t="e">
        <f ca="1">SQRT($B$9*AVERAGE(W1339:OFFSET(W1339,$B$7-1,0)))</f>
        <v>#DIV/0!</v>
      </c>
      <c r="AA1339" s="6" t="e">
        <f ca="1">SQRT($B$9*AVERAGE(W1339:OFFSET(W1339,$B$8-1,0)))</f>
        <v>#DIV/0!</v>
      </c>
      <c r="AC1339" s="34" t="e">
        <f t="shared" si="110"/>
        <v>#DIV/0!</v>
      </c>
      <c r="AD1339" s="34" t="e">
        <f ca="1">SQRT($B$9*SUM(AC1339:OFFSET(AC1339,$B$5-1,0))/($B$5-1))</f>
        <v>#DIV/0!</v>
      </c>
      <c r="AE1339" s="34" t="e">
        <f ca="1">SQRT($B$9*SUM(AC1339:OFFSET(AC1339,$B$6-1,0))/($B$6-1))</f>
        <v>#DIV/0!</v>
      </c>
      <c r="AF1339" s="34" t="e">
        <f ca="1">SQRT($B$9*SUM(AC1339:OFFSET(AC1339,$B$7-1,0))/($B$7-1))</f>
        <v>#DIV/0!</v>
      </c>
      <c r="AG1339" s="34" t="e">
        <f ca="1">SQRT($B$9*SUM(AC1339:OFFSET(AC1339,$B$8-1,0))/($B$8-1))</f>
        <v>#DIV/0!</v>
      </c>
      <c r="AI1339" s="1" t="e">
        <f t="shared" si="111"/>
        <v>#DIV/0!</v>
      </c>
      <c r="AJ1339" s="4" t="e">
        <f ca="1">SQRT($B$9)*_xlfn.STDEV.S(AI1339:OFFSET(AI1339,$B$5-1,0))</f>
        <v>#DIV/0!</v>
      </c>
      <c r="AK1339" s="4" t="e">
        <f ca="1">SQRT($B$9)*_xlfn.STDEV.S(AI1339:OFFSET(AI1339,$B$6-1,0))</f>
        <v>#DIV/0!</v>
      </c>
      <c r="AL1339" s="4" t="e">
        <f ca="1">SQRT($B$9)*_xlfn.STDEV.S(AI1339:OFFSET(AI1339,$B$7-1,0))</f>
        <v>#DIV/0!</v>
      </c>
      <c r="AM1339" s="4" t="e">
        <f ca="1">SQRT($B$9)*_xlfn.STDEV.S(AI1339:OFFSET(AI1339,$B$8-1,0))</f>
        <v>#DIV/0!</v>
      </c>
    </row>
    <row r="1340" spans="11:39" x14ac:dyDescent="0.2">
      <c r="K1340" s="3" t="e">
        <f t="shared" si="109"/>
        <v>#DIV/0!</v>
      </c>
      <c r="L1340" s="3" t="e">
        <f ca="1">SQRT(AVERAGE(K1340:OFFSET(K1340,$B$5-1,0))*$B$9/(4*LN(2)))</f>
        <v>#DIV/0!</v>
      </c>
      <c r="M1340" s="3" t="e">
        <f ca="1">SQRT(AVERAGE(K1340:OFFSET(K1340,$B$6-1,0))*$B$9/(4*LN(2)))</f>
        <v>#DIV/0!</v>
      </c>
      <c r="N1340" s="3" t="e">
        <f ca="1">SQRT(AVERAGE(K1340:OFFSET(K1340,$B$7-1,0))*$B$9/(4*LN(2)))</f>
        <v>#DIV/0!</v>
      </c>
      <c r="O1340" s="3" t="e">
        <f ca="1">SQRT(AVERAGE(K1340:OFFSET(K1340,$B$8-1,0))*$B$9/(4*LN(2)))</f>
        <v>#DIV/0!</v>
      </c>
      <c r="Q1340" s="5" t="e">
        <f t="shared" si="108"/>
        <v>#DIV/0!</v>
      </c>
      <c r="R1340" s="5" t="e">
        <f ca="1">SQRT($B$9*AVERAGE((Q1340:OFFSET(Q1340,$B$5-1,0))))</f>
        <v>#DIV/0!</v>
      </c>
      <c r="S1340" s="5" t="e">
        <f ca="1">SQRT($B$9*AVERAGE((Q1340:OFFSET(Q1340,$B$6-1,0))))</f>
        <v>#DIV/0!</v>
      </c>
      <c r="T1340" s="5" t="e">
        <f ca="1">SQRT($B$9*AVERAGE((Q1340:OFFSET(Q1340,$B$7-1,0))))</f>
        <v>#DIV/0!</v>
      </c>
      <c r="U1340" s="5" t="e">
        <f ca="1">SQRT($B$9*AVERAGE((Q1340:OFFSET(Q1340,$B$8-1,0))))</f>
        <v>#DIV/0!</v>
      </c>
      <c r="W1340" s="6" t="e">
        <f t="shared" si="112"/>
        <v>#DIV/0!</v>
      </c>
      <c r="X1340" s="6" t="e">
        <f ca="1">SQRT($B$9*AVERAGE(W1340:OFFSET(W1340,$B$5-1,0)))</f>
        <v>#DIV/0!</v>
      </c>
      <c r="Y1340" s="6" t="e">
        <f ca="1">SQRT($B$9*AVERAGE(W1340:OFFSET(W1340,$B$6-1,0)))</f>
        <v>#DIV/0!</v>
      </c>
      <c r="Z1340" s="6" t="e">
        <f ca="1">SQRT($B$9*AVERAGE(W1340:OFFSET(W1340,$B$7-1,0)))</f>
        <v>#DIV/0!</v>
      </c>
      <c r="AA1340" s="6" t="e">
        <f ca="1">SQRT($B$9*AVERAGE(W1340:OFFSET(W1340,$B$8-1,0)))</f>
        <v>#DIV/0!</v>
      </c>
      <c r="AC1340" s="34" t="e">
        <f t="shared" si="110"/>
        <v>#DIV/0!</v>
      </c>
      <c r="AD1340" s="34" t="e">
        <f ca="1">SQRT($B$9*SUM(AC1340:OFFSET(AC1340,$B$5-1,0))/($B$5-1))</f>
        <v>#DIV/0!</v>
      </c>
      <c r="AE1340" s="34" t="e">
        <f ca="1">SQRT($B$9*SUM(AC1340:OFFSET(AC1340,$B$6-1,0))/($B$6-1))</f>
        <v>#DIV/0!</v>
      </c>
      <c r="AF1340" s="34" t="e">
        <f ca="1">SQRT($B$9*SUM(AC1340:OFFSET(AC1340,$B$7-1,0))/($B$7-1))</f>
        <v>#DIV/0!</v>
      </c>
      <c r="AG1340" s="34" t="e">
        <f ca="1">SQRT($B$9*SUM(AC1340:OFFSET(AC1340,$B$8-1,0))/($B$8-1))</f>
        <v>#DIV/0!</v>
      </c>
      <c r="AI1340" s="1" t="e">
        <f t="shared" si="111"/>
        <v>#DIV/0!</v>
      </c>
      <c r="AJ1340" s="4" t="e">
        <f ca="1">SQRT($B$9)*_xlfn.STDEV.S(AI1340:OFFSET(AI1340,$B$5-1,0))</f>
        <v>#DIV/0!</v>
      </c>
      <c r="AK1340" s="4" t="e">
        <f ca="1">SQRT($B$9)*_xlfn.STDEV.S(AI1340:OFFSET(AI1340,$B$6-1,0))</f>
        <v>#DIV/0!</v>
      </c>
      <c r="AL1340" s="4" t="e">
        <f ca="1">SQRT($B$9)*_xlfn.STDEV.S(AI1340:OFFSET(AI1340,$B$7-1,0))</f>
        <v>#DIV/0!</v>
      </c>
      <c r="AM1340" s="4" t="e">
        <f ca="1">SQRT($B$9)*_xlfn.STDEV.S(AI1340:OFFSET(AI1340,$B$8-1,0))</f>
        <v>#DIV/0!</v>
      </c>
    </row>
    <row r="1341" spans="11:39" x14ac:dyDescent="0.2">
      <c r="K1341" s="3" t="e">
        <f t="shared" si="109"/>
        <v>#DIV/0!</v>
      </c>
      <c r="L1341" s="3" t="e">
        <f ca="1">SQRT(AVERAGE(K1341:OFFSET(K1341,$B$5-1,0))*$B$9/(4*LN(2)))</f>
        <v>#DIV/0!</v>
      </c>
      <c r="M1341" s="3" t="e">
        <f ca="1">SQRT(AVERAGE(K1341:OFFSET(K1341,$B$6-1,0))*$B$9/(4*LN(2)))</f>
        <v>#DIV/0!</v>
      </c>
      <c r="N1341" s="3" t="e">
        <f ca="1">SQRT(AVERAGE(K1341:OFFSET(K1341,$B$7-1,0))*$B$9/(4*LN(2)))</f>
        <v>#DIV/0!</v>
      </c>
      <c r="O1341" s="3" t="e">
        <f ca="1">SQRT(AVERAGE(K1341:OFFSET(K1341,$B$8-1,0))*$B$9/(4*LN(2)))</f>
        <v>#DIV/0!</v>
      </c>
      <c r="Q1341" s="5" t="e">
        <f t="shared" si="108"/>
        <v>#DIV/0!</v>
      </c>
      <c r="R1341" s="5" t="e">
        <f ca="1">SQRT($B$9*AVERAGE((Q1341:OFFSET(Q1341,$B$5-1,0))))</f>
        <v>#DIV/0!</v>
      </c>
      <c r="S1341" s="5" t="e">
        <f ca="1">SQRT($B$9*AVERAGE((Q1341:OFFSET(Q1341,$B$6-1,0))))</f>
        <v>#DIV/0!</v>
      </c>
      <c r="T1341" s="5" t="e">
        <f ca="1">SQRT($B$9*AVERAGE((Q1341:OFFSET(Q1341,$B$7-1,0))))</f>
        <v>#DIV/0!</v>
      </c>
      <c r="U1341" s="5" t="e">
        <f ca="1">SQRT($B$9*AVERAGE((Q1341:OFFSET(Q1341,$B$8-1,0))))</f>
        <v>#DIV/0!</v>
      </c>
      <c r="W1341" s="6" t="e">
        <f t="shared" si="112"/>
        <v>#DIV/0!</v>
      </c>
      <c r="X1341" s="6" t="e">
        <f ca="1">SQRT($B$9*AVERAGE(W1341:OFFSET(W1341,$B$5-1,0)))</f>
        <v>#DIV/0!</v>
      </c>
      <c r="Y1341" s="6" t="e">
        <f ca="1">SQRT($B$9*AVERAGE(W1341:OFFSET(W1341,$B$6-1,0)))</f>
        <v>#DIV/0!</v>
      </c>
      <c r="Z1341" s="6" t="e">
        <f ca="1">SQRT($B$9*AVERAGE(W1341:OFFSET(W1341,$B$7-1,0)))</f>
        <v>#DIV/0!</v>
      </c>
      <c r="AA1341" s="6" t="e">
        <f ca="1">SQRT($B$9*AVERAGE(W1341:OFFSET(W1341,$B$8-1,0)))</f>
        <v>#DIV/0!</v>
      </c>
      <c r="AC1341" s="34" t="e">
        <f t="shared" si="110"/>
        <v>#DIV/0!</v>
      </c>
      <c r="AD1341" s="34" t="e">
        <f ca="1">SQRT($B$9*SUM(AC1341:OFFSET(AC1341,$B$5-1,0))/($B$5-1))</f>
        <v>#DIV/0!</v>
      </c>
      <c r="AE1341" s="34" t="e">
        <f ca="1">SQRT($B$9*SUM(AC1341:OFFSET(AC1341,$B$6-1,0))/($B$6-1))</f>
        <v>#DIV/0!</v>
      </c>
      <c r="AF1341" s="34" t="e">
        <f ca="1">SQRT($B$9*SUM(AC1341:OFFSET(AC1341,$B$7-1,0))/($B$7-1))</f>
        <v>#DIV/0!</v>
      </c>
      <c r="AG1341" s="34" t="e">
        <f ca="1">SQRT($B$9*SUM(AC1341:OFFSET(AC1341,$B$8-1,0))/($B$8-1))</f>
        <v>#DIV/0!</v>
      </c>
      <c r="AI1341" s="1" t="e">
        <f t="shared" si="111"/>
        <v>#DIV/0!</v>
      </c>
      <c r="AJ1341" s="4" t="e">
        <f ca="1">SQRT($B$9)*_xlfn.STDEV.S(AI1341:OFFSET(AI1341,$B$5-1,0))</f>
        <v>#DIV/0!</v>
      </c>
      <c r="AK1341" s="4" t="e">
        <f ca="1">SQRT($B$9)*_xlfn.STDEV.S(AI1341:OFFSET(AI1341,$B$6-1,0))</f>
        <v>#DIV/0!</v>
      </c>
      <c r="AL1341" s="4" t="e">
        <f ca="1">SQRT($B$9)*_xlfn.STDEV.S(AI1341:OFFSET(AI1341,$B$7-1,0))</f>
        <v>#DIV/0!</v>
      </c>
      <c r="AM1341" s="4" t="e">
        <f ca="1">SQRT($B$9)*_xlfn.STDEV.S(AI1341:OFFSET(AI1341,$B$8-1,0))</f>
        <v>#DIV/0!</v>
      </c>
    </row>
    <row r="1342" spans="11:39" x14ac:dyDescent="0.2">
      <c r="K1342" s="3" t="e">
        <f t="shared" si="109"/>
        <v>#DIV/0!</v>
      </c>
      <c r="L1342" s="3" t="e">
        <f ca="1">SQRT(AVERAGE(K1342:OFFSET(K1342,$B$5-1,0))*$B$9/(4*LN(2)))</f>
        <v>#DIV/0!</v>
      </c>
      <c r="M1342" s="3" t="e">
        <f ca="1">SQRT(AVERAGE(K1342:OFFSET(K1342,$B$6-1,0))*$B$9/(4*LN(2)))</f>
        <v>#DIV/0!</v>
      </c>
      <c r="N1342" s="3" t="e">
        <f ca="1">SQRT(AVERAGE(K1342:OFFSET(K1342,$B$7-1,0))*$B$9/(4*LN(2)))</f>
        <v>#DIV/0!</v>
      </c>
      <c r="O1342" s="3" t="e">
        <f ca="1">SQRT(AVERAGE(K1342:OFFSET(K1342,$B$8-1,0))*$B$9/(4*LN(2)))</f>
        <v>#DIV/0!</v>
      </c>
      <c r="Q1342" s="5" t="e">
        <f t="shared" si="108"/>
        <v>#DIV/0!</v>
      </c>
      <c r="R1342" s="5" t="e">
        <f ca="1">SQRT($B$9*AVERAGE((Q1342:OFFSET(Q1342,$B$5-1,0))))</f>
        <v>#DIV/0!</v>
      </c>
      <c r="S1342" s="5" t="e">
        <f ca="1">SQRT($B$9*AVERAGE((Q1342:OFFSET(Q1342,$B$6-1,0))))</f>
        <v>#DIV/0!</v>
      </c>
      <c r="T1342" s="5" t="e">
        <f ca="1">SQRT($B$9*AVERAGE((Q1342:OFFSET(Q1342,$B$7-1,0))))</f>
        <v>#DIV/0!</v>
      </c>
      <c r="U1342" s="5" t="e">
        <f ca="1">SQRT($B$9*AVERAGE((Q1342:OFFSET(Q1342,$B$8-1,0))))</f>
        <v>#DIV/0!</v>
      </c>
      <c r="W1342" s="6" t="e">
        <f t="shared" si="112"/>
        <v>#DIV/0!</v>
      </c>
      <c r="X1342" s="6" t="e">
        <f ca="1">SQRT($B$9*AVERAGE(W1342:OFFSET(W1342,$B$5-1,0)))</f>
        <v>#DIV/0!</v>
      </c>
      <c r="Y1342" s="6" t="e">
        <f ca="1">SQRT($B$9*AVERAGE(W1342:OFFSET(W1342,$B$6-1,0)))</f>
        <v>#DIV/0!</v>
      </c>
      <c r="Z1342" s="6" t="e">
        <f ca="1">SQRT($B$9*AVERAGE(W1342:OFFSET(W1342,$B$7-1,0)))</f>
        <v>#DIV/0!</v>
      </c>
      <c r="AA1342" s="6" t="e">
        <f ca="1">SQRT($B$9*AVERAGE(W1342:OFFSET(W1342,$B$8-1,0)))</f>
        <v>#DIV/0!</v>
      </c>
      <c r="AC1342" s="34" t="e">
        <f t="shared" si="110"/>
        <v>#DIV/0!</v>
      </c>
      <c r="AD1342" s="34" t="e">
        <f ca="1">SQRT($B$9*SUM(AC1342:OFFSET(AC1342,$B$5-1,0))/($B$5-1))</f>
        <v>#DIV/0!</v>
      </c>
      <c r="AE1342" s="34" t="e">
        <f ca="1">SQRT($B$9*SUM(AC1342:OFFSET(AC1342,$B$6-1,0))/($B$6-1))</f>
        <v>#DIV/0!</v>
      </c>
      <c r="AF1342" s="34" t="e">
        <f ca="1">SQRT($B$9*SUM(AC1342:OFFSET(AC1342,$B$7-1,0))/($B$7-1))</f>
        <v>#DIV/0!</v>
      </c>
      <c r="AG1342" s="34" t="e">
        <f ca="1">SQRT($B$9*SUM(AC1342:OFFSET(AC1342,$B$8-1,0))/($B$8-1))</f>
        <v>#DIV/0!</v>
      </c>
      <c r="AI1342" s="1" t="e">
        <f t="shared" si="111"/>
        <v>#DIV/0!</v>
      </c>
      <c r="AJ1342" s="4" t="e">
        <f ca="1">SQRT($B$9)*_xlfn.STDEV.S(AI1342:OFFSET(AI1342,$B$5-1,0))</f>
        <v>#DIV/0!</v>
      </c>
      <c r="AK1342" s="4" t="e">
        <f ca="1">SQRT($B$9)*_xlfn.STDEV.S(AI1342:OFFSET(AI1342,$B$6-1,0))</f>
        <v>#DIV/0!</v>
      </c>
      <c r="AL1342" s="4" t="e">
        <f ca="1">SQRT($B$9)*_xlfn.STDEV.S(AI1342:OFFSET(AI1342,$B$7-1,0))</f>
        <v>#DIV/0!</v>
      </c>
      <c r="AM1342" s="4" t="e">
        <f ca="1">SQRT($B$9)*_xlfn.STDEV.S(AI1342:OFFSET(AI1342,$B$8-1,0))</f>
        <v>#DIV/0!</v>
      </c>
    </row>
    <row r="1343" spans="11:39" x14ac:dyDescent="0.2">
      <c r="K1343" s="3" t="e">
        <f t="shared" si="109"/>
        <v>#DIV/0!</v>
      </c>
      <c r="L1343" s="3" t="e">
        <f ca="1">SQRT(AVERAGE(K1343:OFFSET(K1343,$B$5-1,0))*$B$9/(4*LN(2)))</f>
        <v>#DIV/0!</v>
      </c>
      <c r="M1343" s="3" t="e">
        <f ca="1">SQRT(AVERAGE(K1343:OFFSET(K1343,$B$6-1,0))*$B$9/(4*LN(2)))</f>
        <v>#DIV/0!</v>
      </c>
      <c r="N1343" s="3" t="e">
        <f ca="1">SQRT(AVERAGE(K1343:OFFSET(K1343,$B$7-1,0))*$B$9/(4*LN(2)))</f>
        <v>#DIV/0!</v>
      </c>
      <c r="O1343" s="3" t="e">
        <f ca="1">SQRT(AVERAGE(K1343:OFFSET(K1343,$B$8-1,0))*$B$9/(4*LN(2)))</f>
        <v>#DIV/0!</v>
      </c>
      <c r="Q1343" s="5" t="e">
        <f t="shared" si="108"/>
        <v>#DIV/0!</v>
      </c>
      <c r="R1343" s="5" t="e">
        <f ca="1">SQRT($B$9*AVERAGE((Q1343:OFFSET(Q1343,$B$5-1,0))))</f>
        <v>#DIV/0!</v>
      </c>
      <c r="S1343" s="5" t="e">
        <f ca="1">SQRT($B$9*AVERAGE((Q1343:OFFSET(Q1343,$B$6-1,0))))</f>
        <v>#DIV/0!</v>
      </c>
      <c r="T1343" s="5" t="e">
        <f ca="1">SQRT($B$9*AVERAGE((Q1343:OFFSET(Q1343,$B$7-1,0))))</f>
        <v>#DIV/0!</v>
      </c>
      <c r="U1343" s="5" t="e">
        <f ca="1">SQRT($B$9*AVERAGE((Q1343:OFFSET(Q1343,$B$8-1,0))))</f>
        <v>#DIV/0!</v>
      </c>
      <c r="W1343" s="6" t="e">
        <f t="shared" si="112"/>
        <v>#DIV/0!</v>
      </c>
      <c r="X1343" s="6" t="e">
        <f ca="1">SQRT($B$9*AVERAGE(W1343:OFFSET(W1343,$B$5-1,0)))</f>
        <v>#DIV/0!</v>
      </c>
      <c r="Y1343" s="6" t="e">
        <f ca="1">SQRT($B$9*AVERAGE(W1343:OFFSET(W1343,$B$6-1,0)))</f>
        <v>#DIV/0!</v>
      </c>
      <c r="Z1343" s="6" t="e">
        <f ca="1">SQRT($B$9*AVERAGE(W1343:OFFSET(W1343,$B$7-1,0)))</f>
        <v>#DIV/0!</v>
      </c>
      <c r="AA1343" s="6" t="e">
        <f ca="1">SQRT($B$9*AVERAGE(W1343:OFFSET(W1343,$B$8-1,0)))</f>
        <v>#DIV/0!</v>
      </c>
      <c r="AC1343" s="34" t="e">
        <f t="shared" si="110"/>
        <v>#DIV/0!</v>
      </c>
      <c r="AD1343" s="34" t="e">
        <f ca="1">SQRT($B$9*SUM(AC1343:OFFSET(AC1343,$B$5-1,0))/($B$5-1))</f>
        <v>#DIV/0!</v>
      </c>
      <c r="AE1343" s="34" t="e">
        <f ca="1">SQRT($B$9*SUM(AC1343:OFFSET(AC1343,$B$6-1,0))/($B$6-1))</f>
        <v>#DIV/0!</v>
      </c>
      <c r="AF1343" s="34" t="e">
        <f ca="1">SQRT($B$9*SUM(AC1343:OFFSET(AC1343,$B$7-1,0))/($B$7-1))</f>
        <v>#DIV/0!</v>
      </c>
      <c r="AG1343" s="34" t="e">
        <f ca="1">SQRT($B$9*SUM(AC1343:OFFSET(AC1343,$B$8-1,0))/($B$8-1))</f>
        <v>#DIV/0!</v>
      </c>
      <c r="AI1343" s="1" t="e">
        <f t="shared" si="111"/>
        <v>#DIV/0!</v>
      </c>
      <c r="AJ1343" s="4" t="e">
        <f ca="1">SQRT($B$9)*_xlfn.STDEV.S(AI1343:OFFSET(AI1343,$B$5-1,0))</f>
        <v>#DIV/0!</v>
      </c>
      <c r="AK1343" s="4" t="e">
        <f ca="1">SQRT($B$9)*_xlfn.STDEV.S(AI1343:OFFSET(AI1343,$B$6-1,0))</f>
        <v>#DIV/0!</v>
      </c>
      <c r="AL1343" s="4" t="e">
        <f ca="1">SQRT($B$9)*_xlfn.STDEV.S(AI1343:OFFSET(AI1343,$B$7-1,0))</f>
        <v>#DIV/0!</v>
      </c>
      <c r="AM1343" s="4" t="e">
        <f ca="1">SQRT($B$9)*_xlfn.STDEV.S(AI1343:OFFSET(AI1343,$B$8-1,0))</f>
        <v>#DIV/0!</v>
      </c>
    </row>
    <row r="1344" spans="11:39" x14ac:dyDescent="0.2">
      <c r="K1344" s="3" t="e">
        <f t="shared" si="109"/>
        <v>#DIV/0!</v>
      </c>
      <c r="L1344" s="3" t="e">
        <f ca="1">SQRT(AVERAGE(K1344:OFFSET(K1344,$B$5-1,0))*$B$9/(4*LN(2)))</f>
        <v>#DIV/0!</v>
      </c>
      <c r="M1344" s="3" t="e">
        <f ca="1">SQRT(AVERAGE(K1344:OFFSET(K1344,$B$6-1,0))*$B$9/(4*LN(2)))</f>
        <v>#DIV/0!</v>
      </c>
      <c r="N1344" s="3" t="e">
        <f ca="1">SQRT(AVERAGE(K1344:OFFSET(K1344,$B$7-1,0))*$B$9/(4*LN(2)))</f>
        <v>#DIV/0!</v>
      </c>
      <c r="O1344" s="3" t="e">
        <f ca="1">SQRT(AVERAGE(K1344:OFFSET(K1344,$B$8-1,0))*$B$9/(4*LN(2)))</f>
        <v>#DIV/0!</v>
      </c>
      <c r="Q1344" s="5" t="e">
        <f t="shared" si="108"/>
        <v>#DIV/0!</v>
      </c>
      <c r="R1344" s="5" t="e">
        <f ca="1">SQRT($B$9*AVERAGE((Q1344:OFFSET(Q1344,$B$5-1,0))))</f>
        <v>#DIV/0!</v>
      </c>
      <c r="S1344" s="5" t="e">
        <f ca="1">SQRT($B$9*AVERAGE((Q1344:OFFSET(Q1344,$B$6-1,0))))</f>
        <v>#DIV/0!</v>
      </c>
      <c r="T1344" s="5" t="e">
        <f ca="1">SQRT($B$9*AVERAGE((Q1344:OFFSET(Q1344,$B$7-1,0))))</f>
        <v>#DIV/0!</v>
      </c>
      <c r="U1344" s="5" t="e">
        <f ca="1">SQRT($B$9*AVERAGE((Q1344:OFFSET(Q1344,$B$8-1,0))))</f>
        <v>#DIV/0!</v>
      </c>
      <c r="W1344" s="6" t="e">
        <f t="shared" si="112"/>
        <v>#DIV/0!</v>
      </c>
      <c r="X1344" s="6" t="e">
        <f ca="1">SQRT($B$9*AVERAGE(W1344:OFFSET(W1344,$B$5-1,0)))</f>
        <v>#DIV/0!</v>
      </c>
      <c r="Y1344" s="6" t="e">
        <f ca="1">SQRT($B$9*AVERAGE(W1344:OFFSET(W1344,$B$6-1,0)))</f>
        <v>#DIV/0!</v>
      </c>
      <c r="Z1344" s="6" t="e">
        <f ca="1">SQRT($B$9*AVERAGE(W1344:OFFSET(W1344,$B$7-1,0)))</f>
        <v>#DIV/0!</v>
      </c>
      <c r="AA1344" s="6" t="e">
        <f ca="1">SQRT($B$9*AVERAGE(W1344:OFFSET(W1344,$B$8-1,0)))</f>
        <v>#DIV/0!</v>
      </c>
      <c r="AC1344" s="34" t="e">
        <f t="shared" si="110"/>
        <v>#DIV/0!</v>
      </c>
      <c r="AD1344" s="34" t="e">
        <f ca="1">SQRT($B$9*SUM(AC1344:OFFSET(AC1344,$B$5-1,0))/($B$5-1))</f>
        <v>#DIV/0!</v>
      </c>
      <c r="AE1344" s="34" t="e">
        <f ca="1">SQRT($B$9*SUM(AC1344:OFFSET(AC1344,$B$6-1,0))/($B$6-1))</f>
        <v>#DIV/0!</v>
      </c>
      <c r="AF1344" s="34" t="e">
        <f ca="1">SQRT($B$9*SUM(AC1344:OFFSET(AC1344,$B$7-1,0))/($B$7-1))</f>
        <v>#DIV/0!</v>
      </c>
      <c r="AG1344" s="34" t="e">
        <f ca="1">SQRT($B$9*SUM(AC1344:OFFSET(AC1344,$B$8-1,0))/($B$8-1))</f>
        <v>#DIV/0!</v>
      </c>
      <c r="AI1344" s="1" t="e">
        <f t="shared" si="111"/>
        <v>#DIV/0!</v>
      </c>
      <c r="AJ1344" s="4" t="e">
        <f ca="1">SQRT($B$9)*_xlfn.STDEV.S(AI1344:OFFSET(AI1344,$B$5-1,0))</f>
        <v>#DIV/0!</v>
      </c>
      <c r="AK1344" s="4" t="e">
        <f ca="1">SQRT($B$9)*_xlfn.STDEV.S(AI1344:OFFSET(AI1344,$B$6-1,0))</f>
        <v>#DIV/0!</v>
      </c>
      <c r="AL1344" s="4" t="e">
        <f ca="1">SQRT($B$9)*_xlfn.STDEV.S(AI1344:OFFSET(AI1344,$B$7-1,0))</f>
        <v>#DIV/0!</v>
      </c>
      <c r="AM1344" s="4" t="e">
        <f ca="1">SQRT($B$9)*_xlfn.STDEV.S(AI1344:OFFSET(AI1344,$B$8-1,0))</f>
        <v>#DIV/0!</v>
      </c>
    </row>
    <row r="1345" spans="11:39" x14ac:dyDescent="0.2">
      <c r="K1345" s="3" t="e">
        <f t="shared" si="109"/>
        <v>#DIV/0!</v>
      </c>
      <c r="L1345" s="3" t="e">
        <f ca="1">SQRT(AVERAGE(K1345:OFFSET(K1345,$B$5-1,0))*$B$9/(4*LN(2)))</f>
        <v>#DIV/0!</v>
      </c>
      <c r="M1345" s="3" t="e">
        <f ca="1">SQRT(AVERAGE(K1345:OFFSET(K1345,$B$6-1,0))*$B$9/(4*LN(2)))</f>
        <v>#DIV/0!</v>
      </c>
      <c r="N1345" s="3" t="e">
        <f ca="1">SQRT(AVERAGE(K1345:OFFSET(K1345,$B$7-1,0))*$B$9/(4*LN(2)))</f>
        <v>#DIV/0!</v>
      </c>
      <c r="O1345" s="3" t="e">
        <f ca="1">SQRT(AVERAGE(K1345:OFFSET(K1345,$B$8-1,0))*$B$9/(4*LN(2)))</f>
        <v>#DIV/0!</v>
      </c>
      <c r="Q1345" s="5" t="e">
        <f t="shared" si="108"/>
        <v>#DIV/0!</v>
      </c>
      <c r="R1345" s="5" t="e">
        <f ca="1">SQRT($B$9*AVERAGE((Q1345:OFFSET(Q1345,$B$5-1,0))))</f>
        <v>#DIV/0!</v>
      </c>
      <c r="S1345" s="5" t="e">
        <f ca="1">SQRT($B$9*AVERAGE((Q1345:OFFSET(Q1345,$B$6-1,0))))</f>
        <v>#DIV/0!</v>
      </c>
      <c r="T1345" s="5" t="e">
        <f ca="1">SQRT($B$9*AVERAGE((Q1345:OFFSET(Q1345,$B$7-1,0))))</f>
        <v>#DIV/0!</v>
      </c>
      <c r="U1345" s="5" t="e">
        <f ca="1">SQRT($B$9*AVERAGE((Q1345:OFFSET(Q1345,$B$8-1,0))))</f>
        <v>#DIV/0!</v>
      </c>
      <c r="W1345" s="6" t="e">
        <f t="shared" si="112"/>
        <v>#DIV/0!</v>
      </c>
      <c r="X1345" s="6" t="e">
        <f ca="1">SQRT($B$9*AVERAGE(W1345:OFFSET(W1345,$B$5-1,0)))</f>
        <v>#DIV/0!</v>
      </c>
      <c r="Y1345" s="6" t="e">
        <f ca="1">SQRT($B$9*AVERAGE(W1345:OFFSET(W1345,$B$6-1,0)))</f>
        <v>#DIV/0!</v>
      </c>
      <c r="Z1345" s="6" t="e">
        <f ca="1">SQRT($B$9*AVERAGE(W1345:OFFSET(W1345,$B$7-1,0)))</f>
        <v>#DIV/0!</v>
      </c>
      <c r="AA1345" s="6" t="e">
        <f ca="1">SQRT($B$9*AVERAGE(W1345:OFFSET(W1345,$B$8-1,0)))</f>
        <v>#DIV/0!</v>
      </c>
      <c r="AC1345" s="34" t="e">
        <f t="shared" si="110"/>
        <v>#DIV/0!</v>
      </c>
      <c r="AD1345" s="34" t="e">
        <f ca="1">SQRT($B$9*SUM(AC1345:OFFSET(AC1345,$B$5-1,0))/($B$5-1))</f>
        <v>#DIV/0!</v>
      </c>
      <c r="AE1345" s="34" t="e">
        <f ca="1">SQRT($B$9*SUM(AC1345:OFFSET(AC1345,$B$6-1,0))/($B$6-1))</f>
        <v>#DIV/0!</v>
      </c>
      <c r="AF1345" s="34" t="e">
        <f ca="1">SQRT($B$9*SUM(AC1345:OFFSET(AC1345,$B$7-1,0))/($B$7-1))</f>
        <v>#DIV/0!</v>
      </c>
      <c r="AG1345" s="34" t="e">
        <f ca="1">SQRT($B$9*SUM(AC1345:OFFSET(AC1345,$B$8-1,0))/($B$8-1))</f>
        <v>#DIV/0!</v>
      </c>
      <c r="AI1345" s="1" t="e">
        <f t="shared" si="111"/>
        <v>#DIV/0!</v>
      </c>
      <c r="AJ1345" s="4" t="e">
        <f ca="1">SQRT($B$9)*_xlfn.STDEV.S(AI1345:OFFSET(AI1345,$B$5-1,0))</f>
        <v>#DIV/0!</v>
      </c>
      <c r="AK1345" s="4" t="e">
        <f ca="1">SQRT($B$9)*_xlfn.STDEV.S(AI1345:OFFSET(AI1345,$B$6-1,0))</f>
        <v>#DIV/0!</v>
      </c>
      <c r="AL1345" s="4" t="e">
        <f ca="1">SQRT($B$9)*_xlfn.STDEV.S(AI1345:OFFSET(AI1345,$B$7-1,0))</f>
        <v>#DIV/0!</v>
      </c>
      <c r="AM1345" s="4" t="e">
        <f ca="1">SQRT($B$9)*_xlfn.STDEV.S(AI1345:OFFSET(AI1345,$B$8-1,0))</f>
        <v>#DIV/0!</v>
      </c>
    </row>
    <row r="1346" spans="11:39" x14ac:dyDescent="0.2">
      <c r="K1346" s="3" t="e">
        <f t="shared" si="109"/>
        <v>#DIV/0!</v>
      </c>
      <c r="L1346" s="3" t="e">
        <f ca="1">SQRT(AVERAGE(K1346:OFFSET(K1346,$B$5-1,0))*$B$9/(4*LN(2)))</f>
        <v>#DIV/0!</v>
      </c>
      <c r="M1346" s="3" t="e">
        <f ca="1">SQRT(AVERAGE(K1346:OFFSET(K1346,$B$6-1,0))*$B$9/(4*LN(2)))</f>
        <v>#DIV/0!</v>
      </c>
      <c r="N1346" s="3" t="e">
        <f ca="1">SQRT(AVERAGE(K1346:OFFSET(K1346,$B$7-1,0))*$B$9/(4*LN(2)))</f>
        <v>#DIV/0!</v>
      </c>
      <c r="O1346" s="3" t="e">
        <f ca="1">SQRT(AVERAGE(K1346:OFFSET(K1346,$B$8-1,0))*$B$9/(4*LN(2)))</f>
        <v>#DIV/0!</v>
      </c>
      <c r="Q1346" s="5" t="e">
        <f t="shared" si="108"/>
        <v>#DIV/0!</v>
      </c>
      <c r="R1346" s="5" t="e">
        <f ca="1">SQRT($B$9*AVERAGE((Q1346:OFFSET(Q1346,$B$5-1,0))))</f>
        <v>#DIV/0!</v>
      </c>
      <c r="S1346" s="5" t="e">
        <f ca="1">SQRT($B$9*AVERAGE((Q1346:OFFSET(Q1346,$B$6-1,0))))</f>
        <v>#DIV/0!</v>
      </c>
      <c r="T1346" s="5" t="e">
        <f ca="1">SQRT($B$9*AVERAGE((Q1346:OFFSET(Q1346,$B$7-1,0))))</f>
        <v>#DIV/0!</v>
      </c>
      <c r="U1346" s="5" t="e">
        <f ca="1">SQRT($B$9*AVERAGE((Q1346:OFFSET(Q1346,$B$8-1,0))))</f>
        <v>#DIV/0!</v>
      </c>
      <c r="W1346" s="6" t="e">
        <f t="shared" si="112"/>
        <v>#DIV/0!</v>
      </c>
      <c r="X1346" s="6" t="e">
        <f ca="1">SQRT($B$9*AVERAGE(W1346:OFFSET(W1346,$B$5-1,0)))</f>
        <v>#DIV/0!</v>
      </c>
      <c r="Y1346" s="6" t="e">
        <f ca="1">SQRT($B$9*AVERAGE(W1346:OFFSET(W1346,$B$6-1,0)))</f>
        <v>#DIV/0!</v>
      </c>
      <c r="Z1346" s="6" t="e">
        <f ca="1">SQRT($B$9*AVERAGE(W1346:OFFSET(W1346,$B$7-1,0)))</f>
        <v>#DIV/0!</v>
      </c>
      <c r="AA1346" s="6" t="e">
        <f ca="1">SQRT($B$9*AVERAGE(W1346:OFFSET(W1346,$B$8-1,0)))</f>
        <v>#DIV/0!</v>
      </c>
      <c r="AC1346" s="34" t="e">
        <f t="shared" si="110"/>
        <v>#DIV/0!</v>
      </c>
      <c r="AD1346" s="34" t="e">
        <f ca="1">SQRT($B$9*SUM(AC1346:OFFSET(AC1346,$B$5-1,0))/($B$5-1))</f>
        <v>#DIV/0!</v>
      </c>
      <c r="AE1346" s="34" t="e">
        <f ca="1">SQRT($B$9*SUM(AC1346:OFFSET(AC1346,$B$6-1,0))/($B$6-1))</f>
        <v>#DIV/0!</v>
      </c>
      <c r="AF1346" s="34" t="e">
        <f ca="1">SQRT($B$9*SUM(AC1346:OFFSET(AC1346,$B$7-1,0))/($B$7-1))</f>
        <v>#DIV/0!</v>
      </c>
      <c r="AG1346" s="34" t="e">
        <f ca="1">SQRT($B$9*SUM(AC1346:OFFSET(AC1346,$B$8-1,0))/($B$8-1))</f>
        <v>#DIV/0!</v>
      </c>
      <c r="AI1346" s="1" t="e">
        <f t="shared" si="111"/>
        <v>#DIV/0!</v>
      </c>
      <c r="AJ1346" s="4" t="e">
        <f ca="1">SQRT($B$9)*_xlfn.STDEV.S(AI1346:OFFSET(AI1346,$B$5-1,0))</f>
        <v>#DIV/0!</v>
      </c>
      <c r="AK1346" s="4" t="e">
        <f ca="1">SQRT($B$9)*_xlfn.STDEV.S(AI1346:OFFSET(AI1346,$B$6-1,0))</f>
        <v>#DIV/0!</v>
      </c>
      <c r="AL1346" s="4" t="e">
        <f ca="1">SQRT($B$9)*_xlfn.STDEV.S(AI1346:OFFSET(AI1346,$B$7-1,0))</f>
        <v>#DIV/0!</v>
      </c>
      <c r="AM1346" s="4" t="e">
        <f ca="1">SQRT($B$9)*_xlfn.STDEV.S(AI1346:OFFSET(AI1346,$B$8-1,0))</f>
        <v>#DIV/0!</v>
      </c>
    </row>
    <row r="1347" spans="11:39" x14ac:dyDescent="0.2">
      <c r="K1347" s="3" t="e">
        <f t="shared" si="109"/>
        <v>#DIV/0!</v>
      </c>
      <c r="L1347" s="3" t="e">
        <f ca="1">SQRT(AVERAGE(K1347:OFFSET(K1347,$B$5-1,0))*$B$9/(4*LN(2)))</f>
        <v>#DIV/0!</v>
      </c>
      <c r="M1347" s="3" t="e">
        <f ca="1">SQRT(AVERAGE(K1347:OFFSET(K1347,$B$6-1,0))*$B$9/(4*LN(2)))</f>
        <v>#DIV/0!</v>
      </c>
      <c r="N1347" s="3" t="e">
        <f ca="1">SQRT(AVERAGE(K1347:OFFSET(K1347,$B$7-1,0))*$B$9/(4*LN(2)))</f>
        <v>#DIV/0!</v>
      </c>
      <c r="O1347" s="3" t="e">
        <f ca="1">SQRT(AVERAGE(K1347:OFFSET(K1347,$B$8-1,0))*$B$9/(4*LN(2)))</f>
        <v>#DIV/0!</v>
      </c>
      <c r="Q1347" s="5" t="e">
        <f t="shared" si="108"/>
        <v>#DIV/0!</v>
      </c>
      <c r="R1347" s="5" t="e">
        <f ca="1">SQRT($B$9*AVERAGE((Q1347:OFFSET(Q1347,$B$5-1,0))))</f>
        <v>#DIV/0!</v>
      </c>
      <c r="S1347" s="5" t="e">
        <f ca="1">SQRT($B$9*AVERAGE((Q1347:OFFSET(Q1347,$B$6-1,0))))</f>
        <v>#DIV/0!</v>
      </c>
      <c r="T1347" s="5" t="e">
        <f ca="1">SQRT($B$9*AVERAGE((Q1347:OFFSET(Q1347,$B$7-1,0))))</f>
        <v>#DIV/0!</v>
      </c>
      <c r="U1347" s="5" t="e">
        <f ca="1">SQRT($B$9*AVERAGE((Q1347:OFFSET(Q1347,$B$8-1,0))))</f>
        <v>#DIV/0!</v>
      </c>
      <c r="W1347" s="6" t="e">
        <f t="shared" si="112"/>
        <v>#DIV/0!</v>
      </c>
      <c r="X1347" s="6" t="e">
        <f ca="1">SQRT($B$9*AVERAGE(W1347:OFFSET(W1347,$B$5-1,0)))</f>
        <v>#DIV/0!</v>
      </c>
      <c r="Y1347" s="6" t="e">
        <f ca="1">SQRT($B$9*AVERAGE(W1347:OFFSET(W1347,$B$6-1,0)))</f>
        <v>#DIV/0!</v>
      </c>
      <c r="Z1347" s="6" t="e">
        <f ca="1">SQRT($B$9*AVERAGE(W1347:OFFSET(W1347,$B$7-1,0)))</f>
        <v>#DIV/0!</v>
      </c>
      <c r="AA1347" s="6" t="e">
        <f ca="1">SQRT($B$9*AVERAGE(W1347:OFFSET(W1347,$B$8-1,0)))</f>
        <v>#DIV/0!</v>
      </c>
      <c r="AC1347" s="34" t="e">
        <f t="shared" si="110"/>
        <v>#DIV/0!</v>
      </c>
      <c r="AD1347" s="34" t="e">
        <f ca="1">SQRT($B$9*SUM(AC1347:OFFSET(AC1347,$B$5-1,0))/($B$5-1))</f>
        <v>#DIV/0!</v>
      </c>
      <c r="AE1347" s="34" t="e">
        <f ca="1">SQRT($B$9*SUM(AC1347:OFFSET(AC1347,$B$6-1,0))/($B$6-1))</f>
        <v>#DIV/0!</v>
      </c>
      <c r="AF1347" s="34" t="e">
        <f ca="1">SQRT($B$9*SUM(AC1347:OFFSET(AC1347,$B$7-1,0))/($B$7-1))</f>
        <v>#DIV/0!</v>
      </c>
      <c r="AG1347" s="34" t="e">
        <f ca="1">SQRT($B$9*SUM(AC1347:OFFSET(AC1347,$B$8-1,0))/($B$8-1))</f>
        <v>#DIV/0!</v>
      </c>
      <c r="AI1347" s="1" t="e">
        <f t="shared" si="111"/>
        <v>#DIV/0!</v>
      </c>
      <c r="AJ1347" s="4" t="e">
        <f ca="1">SQRT($B$9)*_xlfn.STDEV.S(AI1347:OFFSET(AI1347,$B$5-1,0))</f>
        <v>#DIV/0!</v>
      </c>
      <c r="AK1347" s="4" t="e">
        <f ca="1">SQRT($B$9)*_xlfn.STDEV.S(AI1347:OFFSET(AI1347,$B$6-1,0))</f>
        <v>#DIV/0!</v>
      </c>
      <c r="AL1347" s="4" t="e">
        <f ca="1">SQRT($B$9)*_xlfn.STDEV.S(AI1347:OFFSET(AI1347,$B$7-1,0))</f>
        <v>#DIV/0!</v>
      </c>
      <c r="AM1347" s="4" t="e">
        <f ca="1">SQRT($B$9)*_xlfn.STDEV.S(AI1347:OFFSET(AI1347,$B$8-1,0))</f>
        <v>#DIV/0!</v>
      </c>
    </row>
    <row r="1348" spans="11:39" x14ac:dyDescent="0.2">
      <c r="K1348" s="3" t="e">
        <f t="shared" si="109"/>
        <v>#DIV/0!</v>
      </c>
      <c r="L1348" s="3" t="e">
        <f ca="1">SQRT(AVERAGE(K1348:OFFSET(K1348,$B$5-1,0))*$B$9/(4*LN(2)))</f>
        <v>#DIV/0!</v>
      </c>
      <c r="M1348" s="3" t="e">
        <f ca="1">SQRT(AVERAGE(K1348:OFFSET(K1348,$B$6-1,0))*$B$9/(4*LN(2)))</f>
        <v>#DIV/0!</v>
      </c>
      <c r="N1348" s="3" t="e">
        <f ca="1">SQRT(AVERAGE(K1348:OFFSET(K1348,$B$7-1,0))*$B$9/(4*LN(2)))</f>
        <v>#DIV/0!</v>
      </c>
      <c r="O1348" s="3" t="e">
        <f ca="1">SQRT(AVERAGE(K1348:OFFSET(K1348,$B$8-1,0))*$B$9/(4*LN(2)))</f>
        <v>#DIV/0!</v>
      </c>
      <c r="Q1348" s="5" t="e">
        <f t="shared" si="108"/>
        <v>#DIV/0!</v>
      </c>
      <c r="R1348" s="5" t="e">
        <f ca="1">SQRT($B$9*AVERAGE((Q1348:OFFSET(Q1348,$B$5-1,0))))</f>
        <v>#DIV/0!</v>
      </c>
      <c r="S1348" s="5" t="e">
        <f ca="1">SQRT($B$9*AVERAGE((Q1348:OFFSET(Q1348,$B$6-1,0))))</f>
        <v>#DIV/0!</v>
      </c>
      <c r="T1348" s="5" t="e">
        <f ca="1">SQRT($B$9*AVERAGE((Q1348:OFFSET(Q1348,$B$7-1,0))))</f>
        <v>#DIV/0!</v>
      </c>
      <c r="U1348" s="5" t="e">
        <f ca="1">SQRT($B$9*AVERAGE((Q1348:OFFSET(Q1348,$B$8-1,0))))</f>
        <v>#DIV/0!</v>
      </c>
      <c r="W1348" s="6" t="e">
        <f t="shared" si="112"/>
        <v>#DIV/0!</v>
      </c>
      <c r="X1348" s="6" t="e">
        <f ca="1">SQRT($B$9*AVERAGE(W1348:OFFSET(W1348,$B$5-1,0)))</f>
        <v>#DIV/0!</v>
      </c>
      <c r="Y1348" s="6" t="e">
        <f ca="1">SQRT($B$9*AVERAGE(W1348:OFFSET(W1348,$B$6-1,0)))</f>
        <v>#DIV/0!</v>
      </c>
      <c r="Z1348" s="6" t="e">
        <f ca="1">SQRT($B$9*AVERAGE(W1348:OFFSET(W1348,$B$7-1,0)))</f>
        <v>#DIV/0!</v>
      </c>
      <c r="AA1348" s="6" t="e">
        <f ca="1">SQRT($B$9*AVERAGE(W1348:OFFSET(W1348,$B$8-1,0)))</f>
        <v>#DIV/0!</v>
      </c>
      <c r="AC1348" s="34" t="e">
        <f t="shared" si="110"/>
        <v>#DIV/0!</v>
      </c>
      <c r="AD1348" s="34" t="e">
        <f ca="1">SQRT($B$9*SUM(AC1348:OFFSET(AC1348,$B$5-1,0))/($B$5-1))</f>
        <v>#DIV/0!</v>
      </c>
      <c r="AE1348" s="34" t="e">
        <f ca="1">SQRT($B$9*SUM(AC1348:OFFSET(AC1348,$B$6-1,0))/($B$6-1))</f>
        <v>#DIV/0!</v>
      </c>
      <c r="AF1348" s="34" t="e">
        <f ca="1">SQRT($B$9*SUM(AC1348:OFFSET(AC1348,$B$7-1,0))/($B$7-1))</f>
        <v>#DIV/0!</v>
      </c>
      <c r="AG1348" s="34" t="e">
        <f ca="1">SQRT($B$9*SUM(AC1348:OFFSET(AC1348,$B$8-1,0))/($B$8-1))</f>
        <v>#DIV/0!</v>
      </c>
      <c r="AI1348" s="1" t="e">
        <f t="shared" si="111"/>
        <v>#DIV/0!</v>
      </c>
      <c r="AJ1348" s="4" t="e">
        <f ca="1">SQRT($B$9)*_xlfn.STDEV.S(AI1348:OFFSET(AI1348,$B$5-1,0))</f>
        <v>#DIV/0!</v>
      </c>
      <c r="AK1348" s="4" t="e">
        <f ca="1">SQRT($B$9)*_xlfn.STDEV.S(AI1348:OFFSET(AI1348,$B$6-1,0))</f>
        <v>#DIV/0!</v>
      </c>
      <c r="AL1348" s="4" t="e">
        <f ca="1">SQRT($B$9)*_xlfn.STDEV.S(AI1348:OFFSET(AI1348,$B$7-1,0))</f>
        <v>#DIV/0!</v>
      </c>
      <c r="AM1348" s="4" t="e">
        <f ca="1">SQRT($B$9)*_xlfn.STDEV.S(AI1348:OFFSET(AI1348,$B$8-1,0))</f>
        <v>#DIV/0!</v>
      </c>
    </row>
    <row r="1349" spans="11:39" x14ac:dyDescent="0.2">
      <c r="K1349" s="3" t="e">
        <f t="shared" si="109"/>
        <v>#DIV/0!</v>
      </c>
      <c r="L1349" s="3" t="e">
        <f ca="1">SQRT(AVERAGE(K1349:OFFSET(K1349,$B$5-1,0))*$B$9/(4*LN(2)))</f>
        <v>#DIV/0!</v>
      </c>
      <c r="M1349" s="3" t="e">
        <f ca="1">SQRT(AVERAGE(K1349:OFFSET(K1349,$B$6-1,0))*$B$9/(4*LN(2)))</f>
        <v>#DIV/0!</v>
      </c>
      <c r="N1349" s="3" t="e">
        <f ca="1">SQRT(AVERAGE(K1349:OFFSET(K1349,$B$7-1,0))*$B$9/(4*LN(2)))</f>
        <v>#DIV/0!</v>
      </c>
      <c r="O1349" s="3" t="e">
        <f ca="1">SQRT(AVERAGE(K1349:OFFSET(K1349,$B$8-1,0))*$B$9/(4*LN(2)))</f>
        <v>#DIV/0!</v>
      </c>
      <c r="Q1349" s="5" t="e">
        <f t="shared" ref="Q1349:Q1412" si="113">0.511*(LN(G1349/H1349))^2-0.019*(LN(I1349/F1349)*LN(G1349*H1349/F1349^2)-2*LN(G1349/F1349)*LN(H1349/F1349))-0.383*(LN(I1349/F1349))^2</f>
        <v>#DIV/0!</v>
      </c>
      <c r="R1349" s="5" t="e">
        <f ca="1">SQRT($B$9*AVERAGE((Q1349:OFFSET(Q1349,$B$5-1,0))))</f>
        <v>#DIV/0!</v>
      </c>
      <c r="S1349" s="5" t="e">
        <f ca="1">SQRT($B$9*AVERAGE((Q1349:OFFSET(Q1349,$B$6-1,0))))</f>
        <v>#DIV/0!</v>
      </c>
      <c r="T1349" s="5" t="e">
        <f ca="1">SQRT($B$9*AVERAGE((Q1349:OFFSET(Q1349,$B$7-1,0))))</f>
        <v>#DIV/0!</v>
      </c>
      <c r="U1349" s="5" t="e">
        <f ca="1">SQRT($B$9*AVERAGE((Q1349:OFFSET(Q1349,$B$8-1,0))))</f>
        <v>#DIV/0!</v>
      </c>
      <c r="W1349" s="6" t="e">
        <f t="shared" si="112"/>
        <v>#DIV/0!</v>
      </c>
      <c r="X1349" s="6" t="e">
        <f ca="1">SQRT($B$9*AVERAGE(W1349:OFFSET(W1349,$B$5-1,0)))</f>
        <v>#DIV/0!</v>
      </c>
      <c r="Y1349" s="6" t="e">
        <f ca="1">SQRT($B$9*AVERAGE(W1349:OFFSET(W1349,$B$6-1,0)))</f>
        <v>#DIV/0!</v>
      </c>
      <c r="Z1349" s="6" t="e">
        <f ca="1">SQRT($B$9*AVERAGE(W1349:OFFSET(W1349,$B$7-1,0)))</f>
        <v>#DIV/0!</v>
      </c>
      <c r="AA1349" s="6" t="e">
        <f ca="1">SQRT($B$9*AVERAGE(W1349:OFFSET(W1349,$B$8-1,0)))</f>
        <v>#DIV/0!</v>
      </c>
      <c r="AC1349" s="34" t="e">
        <f t="shared" si="110"/>
        <v>#DIV/0!</v>
      </c>
      <c r="AD1349" s="34" t="e">
        <f ca="1">SQRT($B$9*SUM(AC1349:OFFSET(AC1349,$B$5-1,0))/($B$5-1))</f>
        <v>#DIV/0!</v>
      </c>
      <c r="AE1349" s="34" t="e">
        <f ca="1">SQRT($B$9*SUM(AC1349:OFFSET(AC1349,$B$6-1,0))/($B$6-1))</f>
        <v>#DIV/0!</v>
      </c>
      <c r="AF1349" s="34" t="e">
        <f ca="1">SQRT($B$9*SUM(AC1349:OFFSET(AC1349,$B$7-1,0))/($B$7-1))</f>
        <v>#DIV/0!</v>
      </c>
      <c r="AG1349" s="34" t="e">
        <f ca="1">SQRT($B$9*SUM(AC1349:OFFSET(AC1349,$B$8-1,0))/($B$8-1))</f>
        <v>#DIV/0!</v>
      </c>
      <c r="AI1349" s="1" t="e">
        <f t="shared" si="111"/>
        <v>#DIV/0!</v>
      </c>
      <c r="AJ1349" s="4" t="e">
        <f ca="1">SQRT($B$9)*_xlfn.STDEV.S(AI1349:OFFSET(AI1349,$B$5-1,0))</f>
        <v>#DIV/0!</v>
      </c>
      <c r="AK1349" s="4" t="e">
        <f ca="1">SQRT($B$9)*_xlfn.STDEV.S(AI1349:OFFSET(AI1349,$B$6-1,0))</f>
        <v>#DIV/0!</v>
      </c>
      <c r="AL1349" s="4" t="e">
        <f ca="1">SQRT($B$9)*_xlfn.STDEV.S(AI1349:OFFSET(AI1349,$B$7-1,0))</f>
        <v>#DIV/0!</v>
      </c>
      <c r="AM1349" s="4" t="e">
        <f ca="1">SQRT($B$9)*_xlfn.STDEV.S(AI1349:OFFSET(AI1349,$B$8-1,0))</f>
        <v>#DIV/0!</v>
      </c>
    </row>
    <row r="1350" spans="11:39" x14ac:dyDescent="0.2">
      <c r="K1350" s="3" t="e">
        <f t="shared" ref="K1350:K1413" si="114">(LN(G1350/H1350))^2</f>
        <v>#DIV/0!</v>
      </c>
      <c r="L1350" s="3" t="e">
        <f ca="1">SQRT(AVERAGE(K1350:OFFSET(K1350,$B$5-1,0))*$B$9/(4*LN(2)))</f>
        <v>#DIV/0!</v>
      </c>
      <c r="M1350" s="3" t="e">
        <f ca="1">SQRT(AVERAGE(K1350:OFFSET(K1350,$B$6-1,0))*$B$9/(4*LN(2)))</f>
        <v>#DIV/0!</v>
      </c>
      <c r="N1350" s="3" t="e">
        <f ca="1">SQRT(AVERAGE(K1350:OFFSET(K1350,$B$7-1,0))*$B$9/(4*LN(2)))</f>
        <v>#DIV/0!</v>
      </c>
      <c r="O1350" s="3" t="e">
        <f ca="1">SQRT(AVERAGE(K1350:OFFSET(K1350,$B$8-1,0))*$B$9/(4*LN(2)))</f>
        <v>#DIV/0!</v>
      </c>
      <c r="Q1350" s="5" t="e">
        <f t="shared" si="113"/>
        <v>#DIV/0!</v>
      </c>
      <c r="R1350" s="5" t="e">
        <f ca="1">SQRT($B$9*AVERAGE((Q1350:OFFSET(Q1350,$B$5-1,0))))</f>
        <v>#DIV/0!</v>
      </c>
      <c r="S1350" s="5" t="e">
        <f ca="1">SQRT($B$9*AVERAGE((Q1350:OFFSET(Q1350,$B$6-1,0))))</f>
        <v>#DIV/0!</v>
      </c>
      <c r="T1350" s="5" t="e">
        <f ca="1">SQRT($B$9*AVERAGE((Q1350:OFFSET(Q1350,$B$7-1,0))))</f>
        <v>#DIV/0!</v>
      </c>
      <c r="U1350" s="5" t="e">
        <f ca="1">SQRT($B$9*AVERAGE((Q1350:OFFSET(Q1350,$B$8-1,0))))</f>
        <v>#DIV/0!</v>
      </c>
      <c r="W1350" s="6" t="e">
        <f t="shared" si="112"/>
        <v>#DIV/0!</v>
      </c>
      <c r="X1350" s="6" t="e">
        <f ca="1">SQRT($B$9*AVERAGE(W1350:OFFSET(W1350,$B$5-1,0)))</f>
        <v>#DIV/0!</v>
      </c>
      <c r="Y1350" s="6" t="e">
        <f ca="1">SQRT($B$9*AVERAGE(W1350:OFFSET(W1350,$B$6-1,0)))</f>
        <v>#DIV/0!</v>
      </c>
      <c r="Z1350" s="6" t="e">
        <f ca="1">SQRT($B$9*AVERAGE(W1350:OFFSET(W1350,$B$7-1,0)))</f>
        <v>#DIV/0!</v>
      </c>
      <c r="AA1350" s="6" t="e">
        <f ca="1">SQRT($B$9*AVERAGE(W1350:OFFSET(W1350,$B$8-1,0)))</f>
        <v>#DIV/0!</v>
      </c>
      <c r="AC1350" s="34" t="e">
        <f t="shared" si="110"/>
        <v>#DIV/0!</v>
      </c>
      <c r="AD1350" s="34" t="e">
        <f ca="1">SQRT($B$9*SUM(AC1350:OFFSET(AC1350,$B$5-1,0))/($B$5-1))</f>
        <v>#DIV/0!</v>
      </c>
      <c r="AE1350" s="34" t="e">
        <f ca="1">SQRT($B$9*SUM(AC1350:OFFSET(AC1350,$B$6-1,0))/($B$6-1))</f>
        <v>#DIV/0!</v>
      </c>
      <c r="AF1350" s="34" t="e">
        <f ca="1">SQRT($B$9*SUM(AC1350:OFFSET(AC1350,$B$7-1,0))/($B$7-1))</f>
        <v>#DIV/0!</v>
      </c>
      <c r="AG1350" s="34" t="e">
        <f ca="1">SQRT($B$9*SUM(AC1350:OFFSET(AC1350,$B$8-1,0))/($B$8-1))</f>
        <v>#DIV/0!</v>
      </c>
      <c r="AI1350" s="1" t="e">
        <f t="shared" si="111"/>
        <v>#DIV/0!</v>
      </c>
      <c r="AJ1350" s="4" t="e">
        <f ca="1">SQRT($B$9)*_xlfn.STDEV.S(AI1350:OFFSET(AI1350,$B$5-1,0))</f>
        <v>#DIV/0!</v>
      </c>
      <c r="AK1350" s="4" t="e">
        <f ca="1">SQRT($B$9)*_xlfn.STDEV.S(AI1350:OFFSET(AI1350,$B$6-1,0))</f>
        <v>#DIV/0!</v>
      </c>
      <c r="AL1350" s="4" t="e">
        <f ca="1">SQRT($B$9)*_xlfn.STDEV.S(AI1350:OFFSET(AI1350,$B$7-1,0))</f>
        <v>#DIV/0!</v>
      </c>
      <c r="AM1350" s="4" t="e">
        <f ca="1">SQRT($B$9)*_xlfn.STDEV.S(AI1350:OFFSET(AI1350,$B$8-1,0))</f>
        <v>#DIV/0!</v>
      </c>
    </row>
    <row r="1351" spans="11:39" x14ac:dyDescent="0.2">
      <c r="K1351" s="3" t="e">
        <f t="shared" si="114"/>
        <v>#DIV/0!</v>
      </c>
      <c r="L1351" s="3" t="e">
        <f ca="1">SQRT(AVERAGE(K1351:OFFSET(K1351,$B$5-1,0))*$B$9/(4*LN(2)))</f>
        <v>#DIV/0!</v>
      </c>
      <c r="M1351" s="3" t="e">
        <f ca="1">SQRT(AVERAGE(K1351:OFFSET(K1351,$B$6-1,0))*$B$9/(4*LN(2)))</f>
        <v>#DIV/0!</v>
      </c>
      <c r="N1351" s="3" t="e">
        <f ca="1">SQRT(AVERAGE(K1351:OFFSET(K1351,$B$7-1,0))*$B$9/(4*LN(2)))</f>
        <v>#DIV/0!</v>
      </c>
      <c r="O1351" s="3" t="e">
        <f ca="1">SQRT(AVERAGE(K1351:OFFSET(K1351,$B$8-1,0))*$B$9/(4*LN(2)))</f>
        <v>#DIV/0!</v>
      </c>
      <c r="Q1351" s="5" t="e">
        <f t="shared" si="113"/>
        <v>#DIV/0!</v>
      </c>
      <c r="R1351" s="5" t="e">
        <f ca="1">SQRT($B$9*AVERAGE((Q1351:OFFSET(Q1351,$B$5-1,0))))</f>
        <v>#DIV/0!</v>
      </c>
      <c r="S1351" s="5" t="e">
        <f ca="1">SQRT($B$9*AVERAGE((Q1351:OFFSET(Q1351,$B$6-1,0))))</f>
        <v>#DIV/0!</v>
      </c>
      <c r="T1351" s="5" t="e">
        <f ca="1">SQRT($B$9*AVERAGE((Q1351:OFFSET(Q1351,$B$7-1,0))))</f>
        <v>#DIV/0!</v>
      </c>
      <c r="U1351" s="5" t="e">
        <f ca="1">SQRT($B$9*AVERAGE((Q1351:OFFSET(Q1351,$B$8-1,0))))</f>
        <v>#DIV/0!</v>
      </c>
      <c r="W1351" s="6" t="e">
        <f t="shared" si="112"/>
        <v>#DIV/0!</v>
      </c>
      <c r="X1351" s="6" t="e">
        <f ca="1">SQRT($B$9*AVERAGE(W1351:OFFSET(W1351,$B$5-1,0)))</f>
        <v>#DIV/0!</v>
      </c>
      <c r="Y1351" s="6" t="e">
        <f ca="1">SQRT($B$9*AVERAGE(W1351:OFFSET(W1351,$B$6-1,0)))</f>
        <v>#DIV/0!</v>
      </c>
      <c r="Z1351" s="6" t="e">
        <f ca="1">SQRT($B$9*AVERAGE(W1351:OFFSET(W1351,$B$7-1,0)))</f>
        <v>#DIV/0!</v>
      </c>
      <c r="AA1351" s="6" t="e">
        <f ca="1">SQRT($B$9*AVERAGE(W1351:OFFSET(W1351,$B$8-1,0)))</f>
        <v>#DIV/0!</v>
      </c>
      <c r="AC1351" s="34" t="e">
        <f t="shared" si="110"/>
        <v>#DIV/0!</v>
      </c>
      <c r="AD1351" s="34" t="e">
        <f ca="1">SQRT($B$9*SUM(AC1351:OFFSET(AC1351,$B$5-1,0))/($B$5-1))</f>
        <v>#DIV/0!</v>
      </c>
      <c r="AE1351" s="34" t="e">
        <f ca="1">SQRT($B$9*SUM(AC1351:OFFSET(AC1351,$B$6-1,0))/($B$6-1))</f>
        <v>#DIV/0!</v>
      </c>
      <c r="AF1351" s="34" t="e">
        <f ca="1">SQRT($B$9*SUM(AC1351:OFFSET(AC1351,$B$7-1,0))/($B$7-1))</f>
        <v>#DIV/0!</v>
      </c>
      <c r="AG1351" s="34" t="e">
        <f ca="1">SQRT($B$9*SUM(AC1351:OFFSET(AC1351,$B$8-1,0))/($B$8-1))</f>
        <v>#DIV/0!</v>
      </c>
      <c r="AI1351" s="1" t="e">
        <f t="shared" si="111"/>
        <v>#DIV/0!</v>
      </c>
      <c r="AJ1351" s="4" t="e">
        <f ca="1">SQRT($B$9)*_xlfn.STDEV.S(AI1351:OFFSET(AI1351,$B$5-1,0))</f>
        <v>#DIV/0!</v>
      </c>
      <c r="AK1351" s="4" t="e">
        <f ca="1">SQRT($B$9)*_xlfn.STDEV.S(AI1351:OFFSET(AI1351,$B$6-1,0))</f>
        <v>#DIV/0!</v>
      </c>
      <c r="AL1351" s="4" t="e">
        <f ca="1">SQRT($B$9)*_xlfn.STDEV.S(AI1351:OFFSET(AI1351,$B$7-1,0))</f>
        <v>#DIV/0!</v>
      </c>
      <c r="AM1351" s="4" t="e">
        <f ca="1">SQRT($B$9)*_xlfn.STDEV.S(AI1351:OFFSET(AI1351,$B$8-1,0))</f>
        <v>#DIV/0!</v>
      </c>
    </row>
    <row r="1352" spans="11:39" x14ac:dyDescent="0.2">
      <c r="K1352" s="3" t="e">
        <f t="shared" si="114"/>
        <v>#DIV/0!</v>
      </c>
      <c r="L1352" s="3" t="e">
        <f ca="1">SQRT(AVERAGE(K1352:OFFSET(K1352,$B$5-1,0))*$B$9/(4*LN(2)))</f>
        <v>#DIV/0!</v>
      </c>
      <c r="M1352" s="3" t="e">
        <f ca="1">SQRT(AVERAGE(K1352:OFFSET(K1352,$B$6-1,0))*$B$9/(4*LN(2)))</f>
        <v>#DIV/0!</v>
      </c>
      <c r="N1352" s="3" t="e">
        <f ca="1">SQRT(AVERAGE(K1352:OFFSET(K1352,$B$7-1,0))*$B$9/(4*LN(2)))</f>
        <v>#DIV/0!</v>
      </c>
      <c r="O1352" s="3" t="e">
        <f ca="1">SQRT(AVERAGE(K1352:OFFSET(K1352,$B$8-1,0))*$B$9/(4*LN(2)))</f>
        <v>#DIV/0!</v>
      </c>
      <c r="Q1352" s="5" t="e">
        <f t="shared" si="113"/>
        <v>#DIV/0!</v>
      </c>
      <c r="R1352" s="5" t="e">
        <f ca="1">SQRT($B$9*AVERAGE((Q1352:OFFSET(Q1352,$B$5-1,0))))</f>
        <v>#DIV/0!</v>
      </c>
      <c r="S1352" s="5" t="e">
        <f ca="1">SQRT($B$9*AVERAGE((Q1352:OFFSET(Q1352,$B$6-1,0))))</f>
        <v>#DIV/0!</v>
      </c>
      <c r="T1352" s="5" t="e">
        <f ca="1">SQRT($B$9*AVERAGE((Q1352:OFFSET(Q1352,$B$7-1,0))))</f>
        <v>#DIV/0!</v>
      </c>
      <c r="U1352" s="5" t="e">
        <f ca="1">SQRT($B$9*AVERAGE((Q1352:OFFSET(Q1352,$B$8-1,0))))</f>
        <v>#DIV/0!</v>
      </c>
      <c r="W1352" s="6" t="e">
        <f t="shared" si="112"/>
        <v>#DIV/0!</v>
      </c>
      <c r="X1352" s="6" t="e">
        <f ca="1">SQRT($B$9*AVERAGE(W1352:OFFSET(W1352,$B$5-1,0)))</f>
        <v>#DIV/0!</v>
      </c>
      <c r="Y1352" s="6" t="e">
        <f ca="1">SQRT($B$9*AVERAGE(W1352:OFFSET(W1352,$B$6-1,0)))</f>
        <v>#DIV/0!</v>
      </c>
      <c r="Z1352" s="6" t="e">
        <f ca="1">SQRT($B$9*AVERAGE(W1352:OFFSET(W1352,$B$7-1,0)))</f>
        <v>#DIV/0!</v>
      </c>
      <c r="AA1352" s="6" t="e">
        <f ca="1">SQRT($B$9*AVERAGE(W1352:OFFSET(W1352,$B$8-1,0)))</f>
        <v>#DIV/0!</v>
      </c>
      <c r="AC1352" s="34" t="e">
        <f t="shared" si="110"/>
        <v>#DIV/0!</v>
      </c>
      <c r="AD1352" s="34" t="e">
        <f ca="1">SQRT($B$9*SUM(AC1352:OFFSET(AC1352,$B$5-1,0))/($B$5-1))</f>
        <v>#DIV/0!</v>
      </c>
      <c r="AE1352" s="34" t="e">
        <f ca="1">SQRT($B$9*SUM(AC1352:OFFSET(AC1352,$B$6-1,0))/($B$6-1))</f>
        <v>#DIV/0!</v>
      </c>
      <c r="AF1352" s="34" t="e">
        <f ca="1">SQRT($B$9*SUM(AC1352:OFFSET(AC1352,$B$7-1,0))/($B$7-1))</f>
        <v>#DIV/0!</v>
      </c>
      <c r="AG1352" s="34" t="e">
        <f ca="1">SQRT($B$9*SUM(AC1352:OFFSET(AC1352,$B$8-1,0))/($B$8-1))</f>
        <v>#DIV/0!</v>
      </c>
      <c r="AI1352" s="1" t="e">
        <f t="shared" si="111"/>
        <v>#DIV/0!</v>
      </c>
      <c r="AJ1352" s="4" t="e">
        <f ca="1">SQRT($B$9)*_xlfn.STDEV.S(AI1352:OFFSET(AI1352,$B$5-1,0))</f>
        <v>#DIV/0!</v>
      </c>
      <c r="AK1352" s="4" t="e">
        <f ca="1">SQRT($B$9)*_xlfn.STDEV.S(AI1352:OFFSET(AI1352,$B$6-1,0))</f>
        <v>#DIV/0!</v>
      </c>
      <c r="AL1352" s="4" t="e">
        <f ca="1">SQRT($B$9)*_xlfn.STDEV.S(AI1352:OFFSET(AI1352,$B$7-1,0))</f>
        <v>#DIV/0!</v>
      </c>
      <c r="AM1352" s="4" t="e">
        <f ca="1">SQRT($B$9)*_xlfn.STDEV.S(AI1352:OFFSET(AI1352,$B$8-1,0))</f>
        <v>#DIV/0!</v>
      </c>
    </row>
    <row r="1353" spans="11:39" x14ac:dyDescent="0.2">
      <c r="K1353" s="3" t="e">
        <f t="shared" si="114"/>
        <v>#DIV/0!</v>
      </c>
      <c r="L1353" s="3" t="e">
        <f ca="1">SQRT(AVERAGE(K1353:OFFSET(K1353,$B$5-1,0))*$B$9/(4*LN(2)))</f>
        <v>#DIV/0!</v>
      </c>
      <c r="M1353" s="3" t="e">
        <f ca="1">SQRT(AVERAGE(K1353:OFFSET(K1353,$B$6-1,0))*$B$9/(4*LN(2)))</f>
        <v>#DIV/0!</v>
      </c>
      <c r="N1353" s="3" t="e">
        <f ca="1">SQRT(AVERAGE(K1353:OFFSET(K1353,$B$7-1,0))*$B$9/(4*LN(2)))</f>
        <v>#DIV/0!</v>
      </c>
      <c r="O1353" s="3" t="e">
        <f ca="1">SQRT(AVERAGE(K1353:OFFSET(K1353,$B$8-1,0))*$B$9/(4*LN(2)))</f>
        <v>#DIV/0!</v>
      </c>
      <c r="Q1353" s="5" t="e">
        <f t="shared" si="113"/>
        <v>#DIV/0!</v>
      </c>
      <c r="R1353" s="5" t="e">
        <f ca="1">SQRT($B$9*AVERAGE((Q1353:OFFSET(Q1353,$B$5-1,0))))</f>
        <v>#DIV/0!</v>
      </c>
      <c r="S1353" s="5" t="e">
        <f ca="1">SQRT($B$9*AVERAGE((Q1353:OFFSET(Q1353,$B$6-1,0))))</f>
        <v>#DIV/0!</v>
      </c>
      <c r="T1353" s="5" t="e">
        <f ca="1">SQRT($B$9*AVERAGE((Q1353:OFFSET(Q1353,$B$7-1,0))))</f>
        <v>#DIV/0!</v>
      </c>
      <c r="U1353" s="5" t="e">
        <f ca="1">SQRT($B$9*AVERAGE((Q1353:OFFSET(Q1353,$B$8-1,0))))</f>
        <v>#DIV/0!</v>
      </c>
      <c r="W1353" s="6" t="e">
        <f t="shared" si="112"/>
        <v>#DIV/0!</v>
      </c>
      <c r="X1353" s="6" t="e">
        <f ca="1">SQRT($B$9*AVERAGE(W1353:OFFSET(W1353,$B$5-1,0)))</f>
        <v>#DIV/0!</v>
      </c>
      <c r="Y1353" s="6" t="e">
        <f ca="1">SQRT($B$9*AVERAGE(W1353:OFFSET(W1353,$B$6-1,0)))</f>
        <v>#DIV/0!</v>
      </c>
      <c r="Z1353" s="6" t="e">
        <f ca="1">SQRT($B$9*AVERAGE(W1353:OFFSET(W1353,$B$7-1,0)))</f>
        <v>#DIV/0!</v>
      </c>
      <c r="AA1353" s="6" t="e">
        <f ca="1">SQRT($B$9*AVERAGE(W1353:OFFSET(W1353,$B$8-1,0)))</f>
        <v>#DIV/0!</v>
      </c>
      <c r="AC1353" s="34" t="e">
        <f t="shared" si="110"/>
        <v>#DIV/0!</v>
      </c>
      <c r="AD1353" s="34" t="e">
        <f ca="1">SQRT($B$9*SUM(AC1353:OFFSET(AC1353,$B$5-1,0))/($B$5-1))</f>
        <v>#DIV/0!</v>
      </c>
      <c r="AE1353" s="34" t="e">
        <f ca="1">SQRT($B$9*SUM(AC1353:OFFSET(AC1353,$B$6-1,0))/($B$6-1))</f>
        <v>#DIV/0!</v>
      </c>
      <c r="AF1353" s="34" t="e">
        <f ca="1">SQRT($B$9*SUM(AC1353:OFFSET(AC1353,$B$7-1,0))/($B$7-1))</f>
        <v>#DIV/0!</v>
      </c>
      <c r="AG1353" s="34" t="e">
        <f ca="1">SQRT($B$9*SUM(AC1353:OFFSET(AC1353,$B$8-1,0))/($B$8-1))</f>
        <v>#DIV/0!</v>
      </c>
      <c r="AI1353" s="1" t="e">
        <f t="shared" si="111"/>
        <v>#DIV/0!</v>
      </c>
      <c r="AJ1353" s="4" t="e">
        <f ca="1">SQRT($B$9)*_xlfn.STDEV.S(AI1353:OFFSET(AI1353,$B$5-1,0))</f>
        <v>#DIV/0!</v>
      </c>
      <c r="AK1353" s="4" t="e">
        <f ca="1">SQRT($B$9)*_xlfn.STDEV.S(AI1353:OFFSET(AI1353,$B$6-1,0))</f>
        <v>#DIV/0!</v>
      </c>
      <c r="AL1353" s="4" t="e">
        <f ca="1">SQRT($B$9)*_xlfn.STDEV.S(AI1353:OFFSET(AI1353,$B$7-1,0))</f>
        <v>#DIV/0!</v>
      </c>
      <c r="AM1353" s="4" t="e">
        <f ca="1">SQRT($B$9)*_xlfn.STDEV.S(AI1353:OFFSET(AI1353,$B$8-1,0))</f>
        <v>#DIV/0!</v>
      </c>
    </row>
    <row r="1354" spans="11:39" x14ac:dyDescent="0.2">
      <c r="K1354" s="3" t="e">
        <f t="shared" si="114"/>
        <v>#DIV/0!</v>
      </c>
      <c r="L1354" s="3" t="e">
        <f ca="1">SQRT(AVERAGE(K1354:OFFSET(K1354,$B$5-1,0))*$B$9/(4*LN(2)))</f>
        <v>#DIV/0!</v>
      </c>
      <c r="M1354" s="3" t="e">
        <f ca="1">SQRT(AVERAGE(K1354:OFFSET(K1354,$B$6-1,0))*$B$9/(4*LN(2)))</f>
        <v>#DIV/0!</v>
      </c>
      <c r="N1354" s="3" t="e">
        <f ca="1">SQRT(AVERAGE(K1354:OFFSET(K1354,$B$7-1,0))*$B$9/(4*LN(2)))</f>
        <v>#DIV/0!</v>
      </c>
      <c r="O1354" s="3" t="e">
        <f ca="1">SQRT(AVERAGE(K1354:OFFSET(K1354,$B$8-1,0))*$B$9/(4*LN(2)))</f>
        <v>#DIV/0!</v>
      </c>
      <c r="Q1354" s="5" t="e">
        <f t="shared" si="113"/>
        <v>#DIV/0!</v>
      </c>
      <c r="R1354" s="5" t="e">
        <f ca="1">SQRT($B$9*AVERAGE((Q1354:OFFSET(Q1354,$B$5-1,0))))</f>
        <v>#DIV/0!</v>
      </c>
      <c r="S1354" s="5" t="e">
        <f ca="1">SQRT($B$9*AVERAGE((Q1354:OFFSET(Q1354,$B$6-1,0))))</f>
        <v>#DIV/0!</v>
      </c>
      <c r="T1354" s="5" t="e">
        <f ca="1">SQRT($B$9*AVERAGE((Q1354:OFFSET(Q1354,$B$7-1,0))))</f>
        <v>#DIV/0!</v>
      </c>
      <c r="U1354" s="5" t="e">
        <f ca="1">SQRT($B$9*AVERAGE((Q1354:OFFSET(Q1354,$B$8-1,0))))</f>
        <v>#DIV/0!</v>
      </c>
      <c r="W1354" s="6" t="e">
        <f t="shared" si="112"/>
        <v>#DIV/0!</v>
      </c>
      <c r="X1354" s="6" t="e">
        <f ca="1">SQRT($B$9*AVERAGE(W1354:OFFSET(W1354,$B$5-1,0)))</f>
        <v>#DIV/0!</v>
      </c>
      <c r="Y1354" s="6" t="e">
        <f ca="1">SQRT($B$9*AVERAGE(W1354:OFFSET(W1354,$B$6-1,0)))</f>
        <v>#DIV/0!</v>
      </c>
      <c r="Z1354" s="6" t="e">
        <f ca="1">SQRT($B$9*AVERAGE(W1354:OFFSET(W1354,$B$7-1,0)))</f>
        <v>#DIV/0!</v>
      </c>
      <c r="AA1354" s="6" t="e">
        <f ca="1">SQRT($B$9*AVERAGE(W1354:OFFSET(W1354,$B$8-1,0)))</f>
        <v>#DIV/0!</v>
      </c>
      <c r="AC1354" s="34" t="e">
        <f t="shared" si="110"/>
        <v>#DIV/0!</v>
      </c>
      <c r="AD1354" s="34" t="e">
        <f ca="1">SQRT($B$9*SUM(AC1354:OFFSET(AC1354,$B$5-1,0))/($B$5-1))</f>
        <v>#DIV/0!</v>
      </c>
      <c r="AE1354" s="34" t="e">
        <f ca="1">SQRT($B$9*SUM(AC1354:OFFSET(AC1354,$B$6-1,0))/($B$6-1))</f>
        <v>#DIV/0!</v>
      </c>
      <c r="AF1354" s="34" t="e">
        <f ca="1">SQRT($B$9*SUM(AC1354:OFFSET(AC1354,$B$7-1,0))/($B$7-1))</f>
        <v>#DIV/0!</v>
      </c>
      <c r="AG1354" s="34" t="e">
        <f ca="1">SQRT($B$9*SUM(AC1354:OFFSET(AC1354,$B$8-1,0))/($B$8-1))</f>
        <v>#DIV/0!</v>
      </c>
      <c r="AI1354" s="1" t="e">
        <f t="shared" si="111"/>
        <v>#DIV/0!</v>
      </c>
      <c r="AJ1354" s="4" t="e">
        <f ca="1">SQRT($B$9)*_xlfn.STDEV.S(AI1354:OFFSET(AI1354,$B$5-1,0))</f>
        <v>#DIV/0!</v>
      </c>
      <c r="AK1354" s="4" t="e">
        <f ca="1">SQRT($B$9)*_xlfn.STDEV.S(AI1354:OFFSET(AI1354,$B$6-1,0))</f>
        <v>#DIV/0!</v>
      </c>
      <c r="AL1354" s="4" t="e">
        <f ca="1">SQRT($B$9)*_xlfn.STDEV.S(AI1354:OFFSET(AI1354,$B$7-1,0))</f>
        <v>#DIV/0!</v>
      </c>
      <c r="AM1354" s="4" t="e">
        <f ca="1">SQRT($B$9)*_xlfn.STDEV.S(AI1354:OFFSET(AI1354,$B$8-1,0))</f>
        <v>#DIV/0!</v>
      </c>
    </row>
    <row r="1355" spans="11:39" x14ac:dyDescent="0.2">
      <c r="K1355" s="3" t="e">
        <f t="shared" si="114"/>
        <v>#DIV/0!</v>
      </c>
      <c r="L1355" s="3" t="e">
        <f ca="1">SQRT(AVERAGE(K1355:OFFSET(K1355,$B$5-1,0))*$B$9/(4*LN(2)))</f>
        <v>#DIV/0!</v>
      </c>
      <c r="M1355" s="3" t="e">
        <f ca="1">SQRT(AVERAGE(K1355:OFFSET(K1355,$B$6-1,0))*$B$9/(4*LN(2)))</f>
        <v>#DIV/0!</v>
      </c>
      <c r="N1355" s="3" t="e">
        <f ca="1">SQRT(AVERAGE(K1355:OFFSET(K1355,$B$7-1,0))*$B$9/(4*LN(2)))</f>
        <v>#DIV/0!</v>
      </c>
      <c r="O1355" s="3" t="e">
        <f ca="1">SQRT(AVERAGE(K1355:OFFSET(K1355,$B$8-1,0))*$B$9/(4*LN(2)))</f>
        <v>#DIV/0!</v>
      </c>
      <c r="Q1355" s="5" t="e">
        <f t="shared" si="113"/>
        <v>#DIV/0!</v>
      </c>
      <c r="R1355" s="5" t="e">
        <f ca="1">SQRT($B$9*AVERAGE((Q1355:OFFSET(Q1355,$B$5-1,0))))</f>
        <v>#DIV/0!</v>
      </c>
      <c r="S1355" s="5" t="e">
        <f ca="1">SQRT($B$9*AVERAGE((Q1355:OFFSET(Q1355,$B$6-1,0))))</f>
        <v>#DIV/0!</v>
      </c>
      <c r="T1355" s="5" t="e">
        <f ca="1">SQRT($B$9*AVERAGE((Q1355:OFFSET(Q1355,$B$7-1,0))))</f>
        <v>#DIV/0!</v>
      </c>
      <c r="U1355" s="5" t="e">
        <f ca="1">SQRT($B$9*AVERAGE((Q1355:OFFSET(Q1355,$B$8-1,0))))</f>
        <v>#DIV/0!</v>
      </c>
      <c r="W1355" s="6" t="e">
        <f t="shared" si="112"/>
        <v>#DIV/0!</v>
      </c>
      <c r="X1355" s="6" t="e">
        <f ca="1">SQRT($B$9*AVERAGE(W1355:OFFSET(W1355,$B$5-1,0)))</f>
        <v>#DIV/0!</v>
      </c>
      <c r="Y1355" s="6" t="e">
        <f ca="1">SQRT($B$9*AVERAGE(W1355:OFFSET(W1355,$B$6-1,0)))</f>
        <v>#DIV/0!</v>
      </c>
      <c r="Z1355" s="6" t="e">
        <f ca="1">SQRT($B$9*AVERAGE(W1355:OFFSET(W1355,$B$7-1,0)))</f>
        <v>#DIV/0!</v>
      </c>
      <c r="AA1355" s="6" t="e">
        <f ca="1">SQRT($B$9*AVERAGE(W1355:OFFSET(W1355,$B$8-1,0)))</f>
        <v>#DIV/0!</v>
      </c>
      <c r="AC1355" s="34" t="e">
        <f t="shared" si="110"/>
        <v>#DIV/0!</v>
      </c>
      <c r="AD1355" s="34" t="e">
        <f ca="1">SQRT($B$9*SUM(AC1355:OFFSET(AC1355,$B$5-1,0))/($B$5-1))</f>
        <v>#DIV/0!</v>
      </c>
      <c r="AE1355" s="34" t="e">
        <f ca="1">SQRT($B$9*SUM(AC1355:OFFSET(AC1355,$B$6-1,0))/($B$6-1))</f>
        <v>#DIV/0!</v>
      </c>
      <c r="AF1355" s="34" t="e">
        <f ca="1">SQRT($B$9*SUM(AC1355:OFFSET(AC1355,$B$7-1,0))/($B$7-1))</f>
        <v>#DIV/0!</v>
      </c>
      <c r="AG1355" s="34" t="e">
        <f ca="1">SQRT($B$9*SUM(AC1355:OFFSET(AC1355,$B$8-1,0))/($B$8-1))</f>
        <v>#DIV/0!</v>
      </c>
      <c r="AI1355" s="1" t="e">
        <f t="shared" si="111"/>
        <v>#DIV/0!</v>
      </c>
      <c r="AJ1355" s="4" t="e">
        <f ca="1">SQRT($B$9)*_xlfn.STDEV.S(AI1355:OFFSET(AI1355,$B$5-1,0))</f>
        <v>#DIV/0!</v>
      </c>
      <c r="AK1355" s="4" t="e">
        <f ca="1">SQRT($B$9)*_xlfn.STDEV.S(AI1355:OFFSET(AI1355,$B$6-1,0))</f>
        <v>#DIV/0!</v>
      </c>
      <c r="AL1355" s="4" t="e">
        <f ca="1">SQRT($B$9)*_xlfn.STDEV.S(AI1355:OFFSET(AI1355,$B$7-1,0))</f>
        <v>#DIV/0!</v>
      </c>
      <c r="AM1355" s="4" t="e">
        <f ca="1">SQRT($B$9)*_xlfn.STDEV.S(AI1355:OFFSET(AI1355,$B$8-1,0))</f>
        <v>#DIV/0!</v>
      </c>
    </row>
    <row r="1356" spans="11:39" x14ac:dyDescent="0.2">
      <c r="K1356" s="3" t="e">
        <f t="shared" si="114"/>
        <v>#DIV/0!</v>
      </c>
      <c r="L1356" s="3" t="e">
        <f ca="1">SQRT(AVERAGE(K1356:OFFSET(K1356,$B$5-1,0))*$B$9/(4*LN(2)))</f>
        <v>#DIV/0!</v>
      </c>
      <c r="M1356" s="3" t="e">
        <f ca="1">SQRT(AVERAGE(K1356:OFFSET(K1356,$B$6-1,0))*$B$9/(4*LN(2)))</f>
        <v>#DIV/0!</v>
      </c>
      <c r="N1356" s="3" t="e">
        <f ca="1">SQRT(AVERAGE(K1356:OFFSET(K1356,$B$7-1,0))*$B$9/(4*LN(2)))</f>
        <v>#DIV/0!</v>
      </c>
      <c r="O1356" s="3" t="e">
        <f ca="1">SQRT(AVERAGE(K1356:OFFSET(K1356,$B$8-1,0))*$B$9/(4*LN(2)))</f>
        <v>#DIV/0!</v>
      </c>
      <c r="Q1356" s="5" t="e">
        <f t="shared" si="113"/>
        <v>#DIV/0!</v>
      </c>
      <c r="R1356" s="5" t="e">
        <f ca="1">SQRT($B$9*AVERAGE((Q1356:OFFSET(Q1356,$B$5-1,0))))</f>
        <v>#DIV/0!</v>
      </c>
      <c r="S1356" s="5" t="e">
        <f ca="1">SQRT($B$9*AVERAGE((Q1356:OFFSET(Q1356,$B$6-1,0))))</f>
        <v>#DIV/0!</v>
      </c>
      <c r="T1356" s="5" t="e">
        <f ca="1">SQRT($B$9*AVERAGE((Q1356:OFFSET(Q1356,$B$7-1,0))))</f>
        <v>#DIV/0!</v>
      </c>
      <c r="U1356" s="5" t="e">
        <f ca="1">SQRT($B$9*AVERAGE((Q1356:OFFSET(Q1356,$B$8-1,0))))</f>
        <v>#DIV/0!</v>
      </c>
      <c r="W1356" s="6" t="e">
        <f t="shared" si="112"/>
        <v>#DIV/0!</v>
      </c>
      <c r="X1356" s="6" t="e">
        <f ca="1">SQRT($B$9*AVERAGE(W1356:OFFSET(W1356,$B$5-1,0)))</f>
        <v>#DIV/0!</v>
      </c>
      <c r="Y1356" s="6" t="e">
        <f ca="1">SQRT($B$9*AVERAGE(W1356:OFFSET(W1356,$B$6-1,0)))</f>
        <v>#DIV/0!</v>
      </c>
      <c r="Z1356" s="6" t="e">
        <f ca="1">SQRT($B$9*AVERAGE(W1356:OFFSET(W1356,$B$7-1,0)))</f>
        <v>#DIV/0!</v>
      </c>
      <c r="AA1356" s="6" t="e">
        <f ca="1">SQRT($B$9*AVERAGE(W1356:OFFSET(W1356,$B$8-1,0)))</f>
        <v>#DIV/0!</v>
      </c>
      <c r="AC1356" s="34" t="e">
        <f t="shared" si="110"/>
        <v>#DIV/0!</v>
      </c>
      <c r="AD1356" s="34" t="e">
        <f ca="1">SQRT($B$9*SUM(AC1356:OFFSET(AC1356,$B$5-1,0))/($B$5-1))</f>
        <v>#DIV/0!</v>
      </c>
      <c r="AE1356" s="34" t="e">
        <f ca="1">SQRT($B$9*SUM(AC1356:OFFSET(AC1356,$B$6-1,0))/($B$6-1))</f>
        <v>#DIV/0!</v>
      </c>
      <c r="AF1356" s="34" t="e">
        <f ca="1">SQRT($B$9*SUM(AC1356:OFFSET(AC1356,$B$7-1,0))/($B$7-1))</f>
        <v>#DIV/0!</v>
      </c>
      <c r="AG1356" s="34" t="e">
        <f ca="1">SQRT($B$9*SUM(AC1356:OFFSET(AC1356,$B$8-1,0))/($B$8-1))</f>
        <v>#DIV/0!</v>
      </c>
      <c r="AI1356" s="1" t="e">
        <f t="shared" si="111"/>
        <v>#DIV/0!</v>
      </c>
      <c r="AJ1356" s="4" t="e">
        <f ca="1">SQRT($B$9)*_xlfn.STDEV.S(AI1356:OFFSET(AI1356,$B$5-1,0))</f>
        <v>#DIV/0!</v>
      </c>
      <c r="AK1356" s="4" t="e">
        <f ca="1">SQRT($B$9)*_xlfn.STDEV.S(AI1356:OFFSET(AI1356,$B$6-1,0))</f>
        <v>#DIV/0!</v>
      </c>
      <c r="AL1356" s="4" t="e">
        <f ca="1">SQRT($B$9)*_xlfn.STDEV.S(AI1356:OFFSET(AI1356,$B$7-1,0))</f>
        <v>#DIV/0!</v>
      </c>
      <c r="AM1356" s="4" t="e">
        <f ca="1">SQRT($B$9)*_xlfn.STDEV.S(AI1356:OFFSET(AI1356,$B$8-1,0))</f>
        <v>#DIV/0!</v>
      </c>
    </row>
    <row r="1357" spans="11:39" x14ac:dyDescent="0.2">
      <c r="K1357" s="3" t="e">
        <f t="shared" si="114"/>
        <v>#DIV/0!</v>
      </c>
      <c r="L1357" s="3" t="e">
        <f ca="1">SQRT(AVERAGE(K1357:OFFSET(K1357,$B$5-1,0))*$B$9/(4*LN(2)))</f>
        <v>#DIV/0!</v>
      </c>
      <c r="M1357" s="3" t="e">
        <f ca="1">SQRT(AVERAGE(K1357:OFFSET(K1357,$B$6-1,0))*$B$9/(4*LN(2)))</f>
        <v>#DIV/0!</v>
      </c>
      <c r="N1357" s="3" t="e">
        <f ca="1">SQRT(AVERAGE(K1357:OFFSET(K1357,$B$7-1,0))*$B$9/(4*LN(2)))</f>
        <v>#DIV/0!</v>
      </c>
      <c r="O1357" s="3" t="e">
        <f ca="1">SQRT(AVERAGE(K1357:OFFSET(K1357,$B$8-1,0))*$B$9/(4*LN(2)))</f>
        <v>#DIV/0!</v>
      </c>
      <c r="Q1357" s="5" t="e">
        <f t="shared" si="113"/>
        <v>#DIV/0!</v>
      </c>
      <c r="R1357" s="5" t="e">
        <f ca="1">SQRT($B$9*AVERAGE((Q1357:OFFSET(Q1357,$B$5-1,0))))</f>
        <v>#DIV/0!</v>
      </c>
      <c r="S1357" s="5" t="e">
        <f ca="1">SQRT($B$9*AVERAGE((Q1357:OFFSET(Q1357,$B$6-1,0))))</f>
        <v>#DIV/0!</v>
      </c>
      <c r="T1357" s="5" t="e">
        <f ca="1">SQRT($B$9*AVERAGE((Q1357:OFFSET(Q1357,$B$7-1,0))))</f>
        <v>#DIV/0!</v>
      </c>
      <c r="U1357" s="5" t="e">
        <f ca="1">SQRT($B$9*AVERAGE((Q1357:OFFSET(Q1357,$B$8-1,0))))</f>
        <v>#DIV/0!</v>
      </c>
      <c r="W1357" s="6" t="e">
        <f t="shared" si="112"/>
        <v>#DIV/0!</v>
      </c>
      <c r="X1357" s="6" t="e">
        <f ca="1">SQRT($B$9*AVERAGE(W1357:OFFSET(W1357,$B$5-1,0)))</f>
        <v>#DIV/0!</v>
      </c>
      <c r="Y1357" s="6" t="e">
        <f ca="1">SQRT($B$9*AVERAGE(W1357:OFFSET(W1357,$B$6-1,0)))</f>
        <v>#DIV/0!</v>
      </c>
      <c r="Z1357" s="6" t="e">
        <f ca="1">SQRT($B$9*AVERAGE(W1357:OFFSET(W1357,$B$7-1,0)))</f>
        <v>#DIV/0!</v>
      </c>
      <c r="AA1357" s="6" t="e">
        <f ca="1">SQRT($B$9*AVERAGE(W1357:OFFSET(W1357,$B$8-1,0)))</f>
        <v>#DIV/0!</v>
      </c>
      <c r="AC1357" s="34" t="e">
        <f t="shared" si="110"/>
        <v>#DIV/0!</v>
      </c>
      <c r="AD1357" s="34" t="e">
        <f ca="1">SQRT($B$9*SUM(AC1357:OFFSET(AC1357,$B$5-1,0))/($B$5-1))</f>
        <v>#DIV/0!</v>
      </c>
      <c r="AE1357" s="34" t="e">
        <f ca="1">SQRT($B$9*SUM(AC1357:OFFSET(AC1357,$B$6-1,0))/($B$6-1))</f>
        <v>#DIV/0!</v>
      </c>
      <c r="AF1357" s="34" t="e">
        <f ca="1">SQRT($B$9*SUM(AC1357:OFFSET(AC1357,$B$7-1,0))/($B$7-1))</f>
        <v>#DIV/0!</v>
      </c>
      <c r="AG1357" s="34" t="e">
        <f ca="1">SQRT($B$9*SUM(AC1357:OFFSET(AC1357,$B$8-1,0))/($B$8-1))</f>
        <v>#DIV/0!</v>
      </c>
      <c r="AI1357" s="1" t="e">
        <f t="shared" si="111"/>
        <v>#DIV/0!</v>
      </c>
      <c r="AJ1357" s="4" t="e">
        <f ca="1">SQRT($B$9)*_xlfn.STDEV.S(AI1357:OFFSET(AI1357,$B$5-1,0))</f>
        <v>#DIV/0!</v>
      </c>
      <c r="AK1357" s="4" t="e">
        <f ca="1">SQRT($B$9)*_xlfn.STDEV.S(AI1357:OFFSET(AI1357,$B$6-1,0))</f>
        <v>#DIV/0!</v>
      </c>
      <c r="AL1357" s="4" t="e">
        <f ca="1">SQRT($B$9)*_xlfn.STDEV.S(AI1357:OFFSET(AI1357,$B$7-1,0))</f>
        <v>#DIV/0!</v>
      </c>
      <c r="AM1357" s="4" t="e">
        <f ca="1">SQRT($B$9)*_xlfn.STDEV.S(AI1357:OFFSET(AI1357,$B$8-1,0))</f>
        <v>#DIV/0!</v>
      </c>
    </row>
    <row r="1358" spans="11:39" x14ac:dyDescent="0.2">
      <c r="K1358" s="3" t="e">
        <f t="shared" si="114"/>
        <v>#DIV/0!</v>
      </c>
      <c r="L1358" s="3" t="e">
        <f ca="1">SQRT(AVERAGE(K1358:OFFSET(K1358,$B$5-1,0))*$B$9/(4*LN(2)))</f>
        <v>#DIV/0!</v>
      </c>
      <c r="M1358" s="3" t="e">
        <f ca="1">SQRT(AVERAGE(K1358:OFFSET(K1358,$B$6-1,0))*$B$9/(4*LN(2)))</f>
        <v>#DIV/0!</v>
      </c>
      <c r="N1358" s="3" t="e">
        <f ca="1">SQRT(AVERAGE(K1358:OFFSET(K1358,$B$7-1,0))*$B$9/(4*LN(2)))</f>
        <v>#DIV/0!</v>
      </c>
      <c r="O1358" s="3" t="e">
        <f ca="1">SQRT(AVERAGE(K1358:OFFSET(K1358,$B$8-1,0))*$B$9/(4*LN(2)))</f>
        <v>#DIV/0!</v>
      </c>
      <c r="Q1358" s="5" t="e">
        <f t="shared" si="113"/>
        <v>#DIV/0!</v>
      </c>
      <c r="R1358" s="5" t="e">
        <f ca="1">SQRT($B$9*AVERAGE((Q1358:OFFSET(Q1358,$B$5-1,0))))</f>
        <v>#DIV/0!</v>
      </c>
      <c r="S1358" s="5" t="e">
        <f ca="1">SQRT($B$9*AVERAGE((Q1358:OFFSET(Q1358,$B$6-1,0))))</f>
        <v>#DIV/0!</v>
      </c>
      <c r="T1358" s="5" t="e">
        <f ca="1">SQRT($B$9*AVERAGE((Q1358:OFFSET(Q1358,$B$7-1,0))))</f>
        <v>#DIV/0!</v>
      </c>
      <c r="U1358" s="5" t="e">
        <f ca="1">SQRT($B$9*AVERAGE((Q1358:OFFSET(Q1358,$B$8-1,0))))</f>
        <v>#DIV/0!</v>
      </c>
      <c r="W1358" s="6" t="e">
        <f t="shared" si="112"/>
        <v>#DIV/0!</v>
      </c>
      <c r="X1358" s="6" t="e">
        <f ca="1">SQRT($B$9*AVERAGE(W1358:OFFSET(W1358,$B$5-1,0)))</f>
        <v>#DIV/0!</v>
      </c>
      <c r="Y1358" s="6" t="e">
        <f ca="1">SQRT($B$9*AVERAGE(W1358:OFFSET(W1358,$B$6-1,0)))</f>
        <v>#DIV/0!</v>
      </c>
      <c r="Z1358" s="6" t="e">
        <f ca="1">SQRT($B$9*AVERAGE(W1358:OFFSET(W1358,$B$7-1,0)))</f>
        <v>#DIV/0!</v>
      </c>
      <c r="AA1358" s="6" t="e">
        <f ca="1">SQRT($B$9*AVERAGE(W1358:OFFSET(W1358,$B$8-1,0)))</f>
        <v>#DIV/0!</v>
      </c>
      <c r="AC1358" s="34" t="e">
        <f t="shared" si="110"/>
        <v>#DIV/0!</v>
      </c>
      <c r="AD1358" s="34" t="e">
        <f ca="1">SQRT($B$9*SUM(AC1358:OFFSET(AC1358,$B$5-1,0))/($B$5-1))</f>
        <v>#DIV/0!</v>
      </c>
      <c r="AE1358" s="34" t="e">
        <f ca="1">SQRT($B$9*SUM(AC1358:OFFSET(AC1358,$B$6-1,0))/($B$6-1))</f>
        <v>#DIV/0!</v>
      </c>
      <c r="AF1358" s="34" t="e">
        <f ca="1">SQRT($B$9*SUM(AC1358:OFFSET(AC1358,$B$7-1,0))/($B$7-1))</f>
        <v>#DIV/0!</v>
      </c>
      <c r="AG1358" s="34" t="e">
        <f ca="1">SQRT($B$9*SUM(AC1358:OFFSET(AC1358,$B$8-1,0))/($B$8-1))</f>
        <v>#DIV/0!</v>
      </c>
      <c r="AI1358" s="1" t="e">
        <f t="shared" si="111"/>
        <v>#DIV/0!</v>
      </c>
      <c r="AJ1358" s="4" t="e">
        <f ca="1">SQRT($B$9)*_xlfn.STDEV.S(AI1358:OFFSET(AI1358,$B$5-1,0))</f>
        <v>#DIV/0!</v>
      </c>
      <c r="AK1358" s="4" t="e">
        <f ca="1">SQRT($B$9)*_xlfn.STDEV.S(AI1358:OFFSET(AI1358,$B$6-1,0))</f>
        <v>#DIV/0!</v>
      </c>
      <c r="AL1358" s="4" t="e">
        <f ca="1">SQRT($B$9)*_xlfn.STDEV.S(AI1358:OFFSET(AI1358,$B$7-1,0))</f>
        <v>#DIV/0!</v>
      </c>
      <c r="AM1358" s="4" t="e">
        <f ca="1">SQRT($B$9)*_xlfn.STDEV.S(AI1358:OFFSET(AI1358,$B$8-1,0))</f>
        <v>#DIV/0!</v>
      </c>
    </row>
    <row r="1359" spans="11:39" x14ac:dyDescent="0.2">
      <c r="K1359" s="3" t="e">
        <f t="shared" si="114"/>
        <v>#DIV/0!</v>
      </c>
      <c r="L1359" s="3" t="e">
        <f ca="1">SQRT(AVERAGE(K1359:OFFSET(K1359,$B$5-1,0))*$B$9/(4*LN(2)))</f>
        <v>#DIV/0!</v>
      </c>
      <c r="M1359" s="3" t="e">
        <f ca="1">SQRT(AVERAGE(K1359:OFFSET(K1359,$B$6-1,0))*$B$9/(4*LN(2)))</f>
        <v>#DIV/0!</v>
      </c>
      <c r="N1359" s="3" t="e">
        <f ca="1">SQRT(AVERAGE(K1359:OFFSET(K1359,$B$7-1,0))*$B$9/(4*LN(2)))</f>
        <v>#DIV/0!</v>
      </c>
      <c r="O1359" s="3" t="e">
        <f ca="1">SQRT(AVERAGE(K1359:OFFSET(K1359,$B$8-1,0))*$B$9/(4*LN(2)))</f>
        <v>#DIV/0!</v>
      </c>
      <c r="Q1359" s="5" t="e">
        <f t="shared" si="113"/>
        <v>#DIV/0!</v>
      </c>
      <c r="R1359" s="5" t="e">
        <f ca="1">SQRT($B$9*AVERAGE((Q1359:OFFSET(Q1359,$B$5-1,0))))</f>
        <v>#DIV/0!</v>
      </c>
      <c r="S1359" s="5" t="e">
        <f ca="1">SQRT($B$9*AVERAGE((Q1359:OFFSET(Q1359,$B$6-1,0))))</f>
        <v>#DIV/0!</v>
      </c>
      <c r="T1359" s="5" t="e">
        <f ca="1">SQRT($B$9*AVERAGE((Q1359:OFFSET(Q1359,$B$7-1,0))))</f>
        <v>#DIV/0!</v>
      </c>
      <c r="U1359" s="5" t="e">
        <f ca="1">SQRT($B$9*AVERAGE((Q1359:OFFSET(Q1359,$B$8-1,0))))</f>
        <v>#DIV/0!</v>
      </c>
      <c r="W1359" s="6" t="e">
        <f t="shared" si="112"/>
        <v>#DIV/0!</v>
      </c>
      <c r="X1359" s="6" t="e">
        <f ca="1">SQRT($B$9*AVERAGE(W1359:OFFSET(W1359,$B$5-1,0)))</f>
        <v>#DIV/0!</v>
      </c>
      <c r="Y1359" s="6" t="e">
        <f ca="1">SQRT($B$9*AVERAGE(W1359:OFFSET(W1359,$B$6-1,0)))</f>
        <v>#DIV/0!</v>
      </c>
      <c r="Z1359" s="6" t="e">
        <f ca="1">SQRT($B$9*AVERAGE(W1359:OFFSET(W1359,$B$7-1,0)))</f>
        <v>#DIV/0!</v>
      </c>
      <c r="AA1359" s="6" t="e">
        <f ca="1">SQRT($B$9*AVERAGE(W1359:OFFSET(W1359,$B$8-1,0)))</f>
        <v>#DIV/0!</v>
      </c>
      <c r="AC1359" s="34" t="e">
        <f t="shared" si="110"/>
        <v>#DIV/0!</v>
      </c>
      <c r="AD1359" s="34" t="e">
        <f ca="1">SQRT($B$9*SUM(AC1359:OFFSET(AC1359,$B$5-1,0))/($B$5-1))</f>
        <v>#DIV/0!</v>
      </c>
      <c r="AE1359" s="34" t="e">
        <f ca="1">SQRT($B$9*SUM(AC1359:OFFSET(AC1359,$B$6-1,0))/($B$6-1))</f>
        <v>#DIV/0!</v>
      </c>
      <c r="AF1359" s="34" t="e">
        <f ca="1">SQRT($B$9*SUM(AC1359:OFFSET(AC1359,$B$7-1,0))/($B$7-1))</f>
        <v>#DIV/0!</v>
      </c>
      <c r="AG1359" s="34" t="e">
        <f ca="1">SQRT($B$9*SUM(AC1359:OFFSET(AC1359,$B$8-1,0))/($B$8-1))</f>
        <v>#DIV/0!</v>
      </c>
      <c r="AI1359" s="1" t="e">
        <f t="shared" si="111"/>
        <v>#DIV/0!</v>
      </c>
      <c r="AJ1359" s="4" t="e">
        <f ca="1">SQRT($B$9)*_xlfn.STDEV.S(AI1359:OFFSET(AI1359,$B$5-1,0))</f>
        <v>#DIV/0!</v>
      </c>
      <c r="AK1359" s="4" t="e">
        <f ca="1">SQRT($B$9)*_xlfn.STDEV.S(AI1359:OFFSET(AI1359,$B$6-1,0))</f>
        <v>#DIV/0!</v>
      </c>
      <c r="AL1359" s="4" t="e">
        <f ca="1">SQRT($B$9)*_xlfn.STDEV.S(AI1359:OFFSET(AI1359,$B$7-1,0))</f>
        <v>#DIV/0!</v>
      </c>
      <c r="AM1359" s="4" t="e">
        <f ca="1">SQRT($B$9)*_xlfn.STDEV.S(AI1359:OFFSET(AI1359,$B$8-1,0))</f>
        <v>#DIV/0!</v>
      </c>
    </row>
    <row r="1360" spans="11:39" x14ac:dyDescent="0.2">
      <c r="K1360" s="3" t="e">
        <f t="shared" si="114"/>
        <v>#DIV/0!</v>
      </c>
      <c r="L1360" s="3" t="e">
        <f ca="1">SQRT(AVERAGE(K1360:OFFSET(K1360,$B$5-1,0))*$B$9/(4*LN(2)))</f>
        <v>#DIV/0!</v>
      </c>
      <c r="M1360" s="3" t="e">
        <f ca="1">SQRT(AVERAGE(K1360:OFFSET(K1360,$B$6-1,0))*$B$9/(4*LN(2)))</f>
        <v>#DIV/0!</v>
      </c>
      <c r="N1360" s="3" t="e">
        <f ca="1">SQRT(AVERAGE(K1360:OFFSET(K1360,$B$7-1,0))*$B$9/(4*LN(2)))</f>
        <v>#DIV/0!</v>
      </c>
      <c r="O1360" s="3" t="e">
        <f ca="1">SQRT(AVERAGE(K1360:OFFSET(K1360,$B$8-1,0))*$B$9/(4*LN(2)))</f>
        <v>#DIV/0!</v>
      </c>
      <c r="Q1360" s="5" t="e">
        <f t="shared" si="113"/>
        <v>#DIV/0!</v>
      </c>
      <c r="R1360" s="5" t="e">
        <f ca="1">SQRT($B$9*AVERAGE((Q1360:OFFSET(Q1360,$B$5-1,0))))</f>
        <v>#DIV/0!</v>
      </c>
      <c r="S1360" s="5" t="e">
        <f ca="1">SQRT($B$9*AVERAGE((Q1360:OFFSET(Q1360,$B$6-1,0))))</f>
        <v>#DIV/0!</v>
      </c>
      <c r="T1360" s="5" t="e">
        <f ca="1">SQRT($B$9*AVERAGE((Q1360:OFFSET(Q1360,$B$7-1,0))))</f>
        <v>#DIV/0!</v>
      </c>
      <c r="U1360" s="5" t="e">
        <f ca="1">SQRT($B$9*AVERAGE((Q1360:OFFSET(Q1360,$B$8-1,0))))</f>
        <v>#DIV/0!</v>
      </c>
      <c r="W1360" s="6" t="e">
        <f t="shared" si="112"/>
        <v>#DIV/0!</v>
      </c>
      <c r="X1360" s="6" t="e">
        <f ca="1">SQRT($B$9*AVERAGE(W1360:OFFSET(W1360,$B$5-1,0)))</f>
        <v>#DIV/0!</v>
      </c>
      <c r="Y1360" s="6" t="e">
        <f ca="1">SQRT($B$9*AVERAGE(W1360:OFFSET(W1360,$B$6-1,0)))</f>
        <v>#DIV/0!</v>
      </c>
      <c r="Z1360" s="6" t="e">
        <f ca="1">SQRT($B$9*AVERAGE(W1360:OFFSET(W1360,$B$7-1,0)))</f>
        <v>#DIV/0!</v>
      </c>
      <c r="AA1360" s="6" t="e">
        <f ca="1">SQRT($B$9*AVERAGE(W1360:OFFSET(W1360,$B$8-1,0)))</f>
        <v>#DIV/0!</v>
      </c>
      <c r="AC1360" s="34" t="e">
        <f t="shared" si="110"/>
        <v>#DIV/0!</v>
      </c>
      <c r="AD1360" s="34" t="e">
        <f ca="1">SQRT($B$9*SUM(AC1360:OFFSET(AC1360,$B$5-1,0))/($B$5-1))</f>
        <v>#DIV/0!</v>
      </c>
      <c r="AE1360" s="34" t="e">
        <f ca="1">SQRT($B$9*SUM(AC1360:OFFSET(AC1360,$B$6-1,0))/($B$6-1))</f>
        <v>#DIV/0!</v>
      </c>
      <c r="AF1360" s="34" t="e">
        <f ca="1">SQRT($B$9*SUM(AC1360:OFFSET(AC1360,$B$7-1,0))/($B$7-1))</f>
        <v>#DIV/0!</v>
      </c>
      <c r="AG1360" s="34" t="e">
        <f ca="1">SQRT($B$9*SUM(AC1360:OFFSET(AC1360,$B$8-1,0))/($B$8-1))</f>
        <v>#DIV/0!</v>
      </c>
      <c r="AI1360" s="1" t="e">
        <f t="shared" si="111"/>
        <v>#DIV/0!</v>
      </c>
      <c r="AJ1360" s="4" t="e">
        <f ca="1">SQRT($B$9)*_xlfn.STDEV.S(AI1360:OFFSET(AI1360,$B$5-1,0))</f>
        <v>#DIV/0!</v>
      </c>
      <c r="AK1360" s="4" t="e">
        <f ca="1">SQRT($B$9)*_xlfn.STDEV.S(AI1360:OFFSET(AI1360,$B$6-1,0))</f>
        <v>#DIV/0!</v>
      </c>
      <c r="AL1360" s="4" t="e">
        <f ca="1">SQRT($B$9)*_xlfn.STDEV.S(AI1360:OFFSET(AI1360,$B$7-1,0))</f>
        <v>#DIV/0!</v>
      </c>
      <c r="AM1360" s="4" t="e">
        <f ca="1">SQRT($B$9)*_xlfn.STDEV.S(AI1360:OFFSET(AI1360,$B$8-1,0))</f>
        <v>#DIV/0!</v>
      </c>
    </row>
    <row r="1361" spans="11:39" x14ac:dyDescent="0.2">
      <c r="K1361" s="3" t="e">
        <f t="shared" si="114"/>
        <v>#DIV/0!</v>
      </c>
      <c r="L1361" s="3" t="e">
        <f ca="1">SQRT(AVERAGE(K1361:OFFSET(K1361,$B$5-1,0))*$B$9/(4*LN(2)))</f>
        <v>#DIV/0!</v>
      </c>
      <c r="M1361" s="3" t="e">
        <f ca="1">SQRT(AVERAGE(K1361:OFFSET(K1361,$B$6-1,0))*$B$9/(4*LN(2)))</f>
        <v>#DIV/0!</v>
      </c>
      <c r="N1361" s="3" t="e">
        <f ca="1">SQRT(AVERAGE(K1361:OFFSET(K1361,$B$7-1,0))*$B$9/(4*LN(2)))</f>
        <v>#DIV/0!</v>
      </c>
      <c r="O1361" s="3" t="e">
        <f ca="1">SQRT(AVERAGE(K1361:OFFSET(K1361,$B$8-1,0))*$B$9/(4*LN(2)))</f>
        <v>#DIV/0!</v>
      </c>
      <c r="Q1361" s="5" t="e">
        <f t="shared" si="113"/>
        <v>#DIV/0!</v>
      </c>
      <c r="R1361" s="5" t="e">
        <f ca="1">SQRT($B$9*AVERAGE((Q1361:OFFSET(Q1361,$B$5-1,0))))</f>
        <v>#DIV/0!</v>
      </c>
      <c r="S1361" s="5" t="e">
        <f ca="1">SQRT($B$9*AVERAGE((Q1361:OFFSET(Q1361,$B$6-1,0))))</f>
        <v>#DIV/0!</v>
      </c>
      <c r="T1361" s="5" t="e">
        <f ca="1">SQRT($B$9*AVERAGE((Q1361:OFFSET(Q1361,$B$7-1,0))))</f>
        <v>#DIV/0!</v>
      </c>
      <c r="U1361" s="5" t="e">
        <f ca="1">SQRT($B$9*AVERAGE((Q1361:OFFSET(Q1361,$B$8-1,0))))</f>
        <v>#DIV/0!</v>
      </c>
      <c r="W1361" s="6" t="e">
        <f t="shared" si="112"/>
        <v>#DIV/0!</v>
      </c>
      <c r="X1361" s="6" t="e">
        <f ca="1">SQRT($B$9*AVERAGE(W1361:OFFSET(W1361,$B$5-1,0)))</f>
        <v>#DIV/0!</v>
      </c>
      <c r="Y1361" s="6" t="e">
        <f ca="1">SQRT($B$9*AVERAGE(W1361:OFFSET(W1361,$B$6-1,0)))</f>
        <v>#DIV/0!</v>
      </c>
      <c r="Z1361" s="6" t="e">
        <f ca="1">SQRT($B$9*AVERAGE(W1361:OFFSET(W1361,$B$7-1,0)))</f>
        <v>#DIV/0!</v>
      </c>
      <c r="AA1361" s="6" t="e">
        <f ca="1">SQRT($B$9*AVERAGE(W1361:OFFSET(W1361,$B$8-1,0)))</f>
        <v>#DIV/0!</v>
      </c>
      <c r="AC1361" s="34" t="e">
        <f t="shared" ref="AC1361:AC1424" si="115">(LN(I1361/I1362))^2</f>
        <v>#DIV/0!</v>
      </c>
      <c r="AD1361" s="34" t="e">
        <f ca="1">SQRT($B$9*SUM(AC1361:OFFSET(AC1361,$B$5-1,0))/($B$5-1))</f>
        <v>#DIV/0!</v>
      </c>
      <c r="AE1361" s="34" t="e">
        <f ca="1">SQRT($B$9*SUM(AC1361:OFFSET(AC1361,$B$6-1,0))/($B$6-1))</f>
        <v>#DIV/0!</v>
      </c>
      <c r="AF1361" s="34" t="e">
        <f ca="1">SQRT($B$9*SUM(AC1361:OFFSET(AC1361,$B$7-1,0))/($B$7-1))</f>
        <v>#DIV/0!</v>
      </c>
      <c r="AG1361" s="34" t="e">
        <f ca="1">SQRT($B$9*SUM(AC1361:OFFSET(AC1361,$B$8-1,0))/($B$8-1))</f>
        <v>#DIV/0!</v>
      </c>
      <c r="AI1361" s="1" t="e">
        <f t="shared" si="111"/>
        <v>#DIV/0!</v>
      </c>
      <c r="AJ1361" s="4" t="e">
        <f ca="1">SQRT($B$9)*_xlfn.STDEV.S(AI1361:OFFSET(AI1361,$B$5-1,0))</f>
        <v>#DIV/0!</v>
      </c>
      <c r="AK1361" s="4" t="e">
        <f ca="1">SQRT($B$9)*_xlfn.STDEV.S(AI1361:OFFSET(AI1361,$B$6-1,0))</f>
        <v>#DIV/0!</v>
      </c>
      <c r="AL1361" s="4" t="e">
        <f ca="1">SQRT($B$9)*_xlfn.STDEV.S(AI1361:OFFSET(AI1361,$B$7-1,0))</f>
        <v>#DIV/0!</v>
      </c>
      <c r="AM1361" s="4" t="e">
        <f ca="1">SQRT($B$9)*_xlfn.STDEV.S(AI1361:OFFSET(AI1361,$B$8-1,0))</f>
        <v>#DIV/0!</v>
      </c>
    </row>
    <row r="1362" spans="11:39" x14ac:dyDescent="0.2">
      <c r="K1362" s="3" t="e">
        <f t="shared" si="114"/>
        <v>#DIV/0!</v>
      </c>
      <c r="L1362" s="3" t="e">
        <f ca="1">SQRT(AVERAGE(K1362:OFFSET(K1362,$B$5-1,0))*$B$9/(4*LN(2)))</f>
        <v>#DIV/0!</v>
      </c>
      <c r="M1362" s="3" t="e">
        <f ca="1">SQRT(AVERAGE(K1362:OFFSET(K1362,$B$6-1,0))*$B$9/(4*LN(2)))</f>
        <v>#DIV/0!</v>
      </c>
      <c r="N1362" s="3" t="e">
        <f ca="1">SQRT(AVERAGE(K1362:OFFSET(K1362,$B$7-1,0))*$B$9/(4*LN(2)))</f>
        <v>#DIV/0!</v>
      </c>
      <c r="O1362" s="3" t="e">
        <f ca="1">SQRT(AVERAGE(K1362:OFFSET(K1362,$B$8-1,0))*$B$9/(4*LN(2)))</f>
        <v>#DIV/0!</v>
      </c>
      <c r="Q1362" s="5" t="e">
        <f t="shared" si="113"/>
        <v>#DIV/0!</v>
      </c>
      <c r="R1362" s="5" t="e">
        <f ca="1">SQRT($B$9*AVERAGE((Q1362:OFFSET(Q1362,$B$5-1,0))))</f>
        <v>#DIV/0!</v>
      </c>
      <c r="S1362" s="5" t="e">
        <f ca="1">SQRT($B$9*AVERAGE((Q1362:OFFSET(Q1362,$B$6-1,0))))</f>
        <v>#DIV/0!</v>
      </c>
      <c r="T1362" s="5" t="e">
        <f ca="1">SQRT($B$9*AVERAGE((Q1362:OFFSET(Q1362,$B$7-1,0))))</f>
        <v>#DIV/0!</v>
      </c>
      <c r="U1362" s="5" t="e">
        <f ca="1">SQRT($B$9*AVERAGE((Q1362:OFFSET(Q1362,$B$8-1,0))))</f>
        <v>#DIV/0!</v>
      </c>
      <c r="W1362" s="6" t="e">
        <f t="shared" si="112"/>
        <v>#DIV/0!</v>
      </c>
      <c r="X1362" s="6" t="e">
        <f ca="1">SQRT($B$9*AVERAGE(W1362:OFFSET(W1362,$B$5-1,0)))</f>
        <v>#DIV/0!</v>
      </c>
      <c r="Y1362" s="6" t="e">
        <f ca="1">SQRT($B$9*AVERAGE(W1362:OFFSET(W1362,$B$6-1,0)))</f>
        <v>#DIV/0!</v>
      </c>
      <c r="Z1362" s="6" t="e">
        <f ca="1">SQRT($B$9*AVERAGE(W1362:OFFSET(W1362,$B$7-1,0)))</f>
        <v>#DIV/0!</v>
      </c>
      <c r="AA1362" s="6" t="e">
        <f ca="1">SQRT($B$9*AVERAGE(W1362:OFFSET(W1362,$B$8-1,0)))</f>
        <v>#DIV/0!</v>
      </c>
      <c r="AC1362" s="34" t="e">
        <f t="shared" si="115"/>
        <v>#DIV/0!</v>
      </c>
      <c r="AD1362" s="34" t="e">
        <f ca="1">SQRT($B$9*SUM(AC1362:OFFSET(AC1362,$B$5-1,0))/($B$5-1))</f>
        <v>#DIV/0!</v>
      </c>
      <c r="AE1362" s="34" t="e">
        <f ca="1">SQRT($B$9*SUM(AC1362:OFFSET(AC1362,$B$6-1,0))/($B$6-1))</f>
        <v>#DIV/0!</v>
      </c>
      <c r="AF1362" s="34" t="e">
        <f ca="1">SQRT($B$9*SUM(AC1362:OFFSET(AC1362,$B$7-1,0))/($B$7-1))</f>
        <v>#DIV/0!</v>
      </c>
      <c r="AG1362" s="34" t="e">
        <f ca="1">SQRT($B$9*SUM(AC1362:OFFSET(AC1362,$B$8-1,0))/($B$8-1))</f>
        <v>#DIV/0!</v>
      </c>
      <c r="AI1362" s="1" t="e">
        <f t="shared" si="111"/>
        <v>#DIV/0!</v>
      </c>
      <c r="AJ1362" s="4" t="e">
        <f ca="1">SQRT($B$9)*_xlfn.STDEV.S(AI1362:OFFSET(AI1362,$B$5-1,0))</f>
        <v>#DIV/0!</v>
      </c>
      <c r="AK1362" s="4" t="e">
        <f ca="1">SQRT($B$9)*_xlfn.STDEV.S(AI1362:OFFSET(AI1362,$B$6-1,0))</f>
        <v>#DIV/0!</v>
      </c>
      <c r="AL1362" s="4" t="e">
        <f ca="1">SQRT($B$9)*_xlfn.STDEV.S(AI1362:OFFSET(AI1362,$B$7-1,0))</f>
        <v>#DIV/0!</v>
      </c>
      <c r="AM1362" s="4" t="e">
        <f ca="1">SQRT($B$9)*_xlfn.STDEV.S(AI1362:OFFSET(AI1362,$B$8-1,0))</f>
        <v>#DIV/0!</v>
      </c>
    </row>
    <row r="1363" spans="11:39" x14ac:dyDescent="0.2">
      <c r="K1363" s="3" t="e">
        <f t="shared" si="114"/>
        <v>#DIV/0!</v>
      </c>
      <c r="L1363" s="3" t="e">
        <f ca="1">SQRT(AVERAGE(K1363:OFFSET(K1363,$B$5-1,0))*$B$9/(4*LN(2)))</f>
        <v>#DIV/0!</v>
      </c>
      <c r="M1363" s="3" t="e">
        <f ca="1">SQRT(AVERAGE(K1363:OFFSET(K1363,$B$6-1,0))*$B$9/(4*LN(2)))</f>
        <v>#DIV/0!</v>
      </c>
      <c r="N1363" s="3" t="e">
        <f ca="1">SQRT(AVERAGE(K1363:OFFSET(K1363,$B$7-1,0))*$B$9/(4*LN(2)))</f>
        <v>#DIV/0!</v>
      </c>
      <c r="O1363" s="3" t="e">
        <f ca="1">SQRT(AVERAGE(K1363:OFFSET(K1363,$B$8-1,0))*$B$9/(4*LN(2)))</f>
        <v>#DIV/0!</v>
      </c>
      <c r="Q1363" s="5" t="e">
        <f t="shared" si="113"/>
        <v>#DIV/0!</v>
      </c>
      <c r="R1363" s="5" t="e">
        <f ca="1">SQRT($B$9*AVERAGE((Q1363:OFFSET(Q1363,$B$5-1,0))))</f>
        <v>#DIV/0!</v>
      </c>
      <c r="S1363" s="5" t="e">
        <f ca="1">SQRT($B$9*AVERAGE((Q1363:OFFSET(Q1363,$B$6-1,0))))</f>
        <v>#DIV/0!</v>
      </c>
      <c r="T1363" s="5" t="e">
        <f ca="1">SQRT($B$9*AVERAGE((Q1363:OFFSET(Q1363,$B$7-1,0))))</f>
        <v>#DIV/0!</v>
      </c>
      <c r="U1363" s="5" t="e">
        <f ca="1">SQRT($B$9*AVERAGE((Q1363:OFFSET(Q1363,$B$8-1,0))))</f>
        <v>#DIV/0!</v>
      </c>
      <c r="W1363" s="6" t="e">
        <f t="shared" si="112"/>
        <v>#DIV/0!</v>
      </c>
      <c r="X1363" s="6" t="e">
        <f ca="1">SQRT($B$9*AVERAGE(W1363:OFFSET(W1363,$B$5-1,0)))</f>
        <v>#DIV/0!</v>
      </c>
      <c r="Y1363" s="6" t="e">
        <f ca="1">SQRT($B$9*AVERAGE(W1363:OFFSET(W1363,$B$6-1,0)))</f>
        <v>#DIV/0!</v>
      </c>
      <c r="Z1363" s="6" t="e">
        <f ca="1">SQRT($B$9*AVERAGE(W1363:OFFSET(W1363,$B$7-1,0)))</f>
        <v>#DIV/0!</v>
      </c>
      <c r="AA1363" s="6" t="e">
        <f ca="1">SQRT($B$9*AVERAGE(W1363:OFFSET(W1363,$B$8-1,0)))</f>
        <v>#DIV/0!</v>
      </c>
      <c r="AC1363" s="34" t="e">
        <f t="shared" si="115"/>
        <v>#DIV/0!</v>
      </c>
      <c r="AD1363" s="34" t="e">
        <f ca="1">SQRT($B$9*SUM(AC1363:OFFSET(AC1363,$B$5-1,0))/($B$5-1))</f>
        <v>#DIV/0!</v>
      </c>
      <c r="AE1363" s="34" t="e">
        <f ca="1">SQRT($B$9*SUM(AC1363:OFFSET(AC1363,$B$6-1,0))/($B$6-1))</f>
        <v>#DIV/0!</v>
      </c>
      <c r="AF1363" s="34" t="e">
        <f ca="1">SQRT($B$9*SUM(AC1363:OFFSET(AC1363,$B$7-1,0))/($B$7-1))</f>
        <v>#DIV/0!</v>
      </c>
      <c r="AG1363" s="34" t="e">
        <f ca="1">SQRT($B$9*SUM(AC1363:OFFSET(AC1363,$B$8-1,0))/($B$8-1))</f>
        <v>#DIV/0!</v>
      </c>
      <c r="AI1363" s="1" t="e">
        <f t="shared" ref="AI1363:AI1426" si="116">LN(I1363/I1364)</f>
        <v>#DIV/0!</v>
      </c>
      <c r="AJ1363" s="4" t="e">
        <f ca="1">SQRT($B$9)*_xlfn.STDEV.S(AI1363:OFFSET(AI1363,$B$5-1,0))</f>
        <v>#DIV/0!</v>
      </c>
      <c r="AK1363" s="4" t="e">
        <f ca="1">SQRT($B$9)*_xlfn.STDEV.S(AI1363:OFFSET(AI1363,$B$6-1,0))</f>
        <v>#DIV/0!</v>
      </c>
      <c r="AL1363" s="4" t="e">
        <f ca="1">SQRT($B$9)*_xlfn.STDEV.S(AI1363:OFFSET(AI1363,$B$7-1,0))</f>
        <v>#DIV/0!</v>
      </c>
      <c r="AM1363" s="4" t="e">
        <f ca="1">SQRT($B$9)*_xlfn.STDEV.S(AI1363:OFFSET(AI1363,$B$8-1,0))</f>
        <v>#DIV/0!</v>
      </c>
    </row>
    <row r="1364" spans="11:39" x14ac:dyDescent="0.2">
      <c r="K1364" s="3" t="e">
        <f t="shared" si="114"/>
        <v>#DIV/0!</v>
      </c>
      <c r="L1364" s="3" t="e">
        <f ca="1">SQRT(AVERAGE(K1364:OFFSET(K1364,$B$5-1,0))*$B$9/(4*LN(2)))</f>
        <v>#DIV/0!</v>
      </c>
      <c r="M1364" s="3" t="e">
        <f ca="1">SQRT(AVERAGE(K1364:OFFSET(K1364,$B$6-1,0))*$B$9/(4*LN(2)))</f>
        <v>#DIV/0!</v>
      </c>
      <c r="N1364" s="3" t="e">
        <f ca="1">SQRT(AVERAGE(K1364:OFFSET(K1364,$B$7-1,0))*$B$9/(4*LN(2)))</f>
        <v>#DIV/0!</v>
      </c>
      <c r="O1364" s="3" t="e">
        <f ca="1">SQRT(AVERAGE(K1364:OFFSET(K1364,$B$8-1,0))*$B$9/(4*LN(2)))</f>
        <v>#DIV/0!</v>
      </c>
      <c r="Q1364" s="5" t="e">
        <f t="shared" si="113"/>
        <v>#DIV/0!</v>
      </c>
      <c r="R1364" s="5" t="e">
        <f ca="1">SQRT($B$9*AVERAGE((Q1364:OFFSET(Q1364,$B$5-1,0))))</f>
        <v>#DIV/0!</v>
      </c>
      <c r="S1364" s="5" t="e">
        <f ca="1">SQRT($B$9*AVERAGE((Q1364:OFFSET(Q1364,$B$6-1,0))))</f>
        <v>#DIV/0!</v>
      </c>
      <c r="T1364" s="5" t="e">
        <f ca="1">SQRT($B$9*AVERAGE((Q1364:OFFSET(Q1364,$B$7-1,0))))</f>
        <v>#DIV/0!</v>
      </c>
      <c r="U1364" s="5" t="e">
        <f ca="1">SQRT($B$9*AVERAGE((Q1364:OFFSET(Q1364,$B$8-1,0))))</f>
        <v>#DIV/0!</v>
      </c>
      <c r="W1364" s="6" t="e">
        <f t="shared" si="112"/>
        <v>#DIV/0!</v>
      </c>
      <c r="X1364" s="6" t="e">
        <f ca="1">SQRT($B$9*AVERAGE(W1364:OFFSET(W1364,$B$5-1,0)))</f>
        <v>#DIV/0!</v>
      </c>
      <c r="Y1364" s="6" t="e">
        <f ca="1">SQRT($B$9*AVERAGE(W1364:OFFSET(W1364,$B$6-1,0)))</f>
        <v>#DIV/0!</v>
      </c>
      <c r="Z1364" s="6" t="e">
        <f ca="1">SQRT($B$9*AVERAGE(W1364:OFFSET(W1364,$B$7-1,0)))</f>
        <v>#DIV/0!</v>
      </c>
      <c r="AA1364" s="6" t="e">
        <f ca="1">SQRT($B$9*AVERAGE(W1364:OFFSET(W1364,$B$8-1,0)))</f>
        <v>#DIV/0!</v>
      </c>
      <c r="AC1364" s="34" t="e">
        <f t="shared" si="115"/>
        <v>#DIV/0!</v>
      </c>
      <c r="AD1364" s="34" t="e">
        <f ca="1">SQRT($B$9*SUM(AC1364:OFFSET(AC1364,$B$5-1,0))/($B$5-1))</f>
        <v>#DIV/0!</v>
      </c>
      <c r="AE1364" s="34" t="e">
        <f ca="1">SQRT($B$9*SUM(AC1364:OFFSET(AC1364,$B$6-1,0))/($B$6-1))</f>
        <v>#DIV/0!</v>
      </c>
      <c r="AF1364" s="34" t="e">
        <f ca="1">SQRT($B$9*SUM(AC1364:OFFSET(AC1364,$B$7-1,0))/($B$7-1))</f>
        <v>#DIV/0!</v>
      </c>
      <c r="AG1364" s="34" t="e">
        <f ca="1">SQRT($B$9*SUM(AC1364:OFFSET(AC1364,$B$8-1,0))/($B$8-1))</f>
        <v>#DIV/0!</v>
      </c>
      <c r="AI1364" s="1" t="e">
        <f t="shared" si="116"/>
        <v>#DIV/0!</v>
      </c>
      <c r="AJ1364" s="4" t="e">
        <f ca="1">SQRT($B$9)*_xlfn.STDEV.S(AI1364:OFFSET(AI1364,$B$5-1,0))</f>
        <v>#DIV/0!</v>
      </c>
      <c r="AK1364" s="4" t="e">
        <f ca="1">SQRT($B$9)*_xlfn.STDEV.S(AI1364:OFFSET(AI1364,$B$6-1,0))</f>
        <v>#DIV/0!</v>
      </c>
      <c r="AL1364" s="4" t="e">
        <f ca="1">SQRT($B$9)*_xlfn.STDEV.S(AI1364:OFFSET(AI1364,$B$7-1,0))</f>
        <v>#DIV/0!</v>
      </c>
      <c r="AM1364" s="4" t="e">
        <f ca="1">SQRT($B$9)*_xlfn.STDEV.S(AI1364:OFFSET(AI1364,$B$8-1,0))</f>
        <v>#DIV/0!</v>
      </c>
    </row>
    <row r="1365" spans="11:39" x14ac:dyDescent="0.2">
      <c r="K1365" s="3" t="e">
        <f t="shared" si="114"/>
        <v>#DIV/0!</v>
      </c>
      <c r="L1365" s="3" t="e">
        <f ca="1">SQRT(AVERAGE(K1365:OFFSET(K1365,$B$5-1,0))*$B$9/(4*LN(2)))</f>
        <v>#DIV/0!</v>
      </c>
      <c r="M1365" s="3" t="e">
        <f ca="1">SQRT(AVERAGE(K1365:OFFSET(K1365,$B$6-1,0))*$B$9/(4*LN(2)))</f>
        <v>#DIV/0!</v>
      </c>
      <c r="N1365" s="3" t="e">
        <f ca="1">SQRT(AVERAGE(K1365:OFFSET(K1365,$B$7-1,0))*$B$9/(4*LN(2)))</f>
        <v>#DIV/0!</v>
      </c>
      <c r="O1365" s="3" t="e">
        <f ca="1">SQRT(AVERAGE(K1365:OFFSET(K1365,$B$8-1,0))*$B$9/(4*LN(2)))</f>
        <v>#DIV/0!</v>
      </c>
      <c r="Q1365" s="5" t="e">
        <f t="shared" si="113"/>
        <v>#DIV/0!</v>
      </c>
      <c r="R1365" s="5" t="e">
        <f ca="1">SQRT($B$9*AVERAGE((Q1365:OFFSET(Q1365,$B$5-1,0))))</f>
        <v>#DIV/0!</v>
      </c>
      <c r="S1365" s="5" t="e">
        <f ca="1">SQRT($B$9*AVERAGE((Q1365:OFFSET(Q1365,$B$6-1,0))))</f>
        <v>#DIV/0!</v>
      </c>
      <c r="T1365" s="5" t="e">
        <f ca="1">SQRT($B$9*AVERAGE((Q1365:OFFSET(Q1365,$B$7-1,0))))</f>
        <v>#DIV/0!</v>
      </c>
      <c r="U1365" s="5" t="e">
        <f ca="1">SQRT($B$9*AVERAGE((Q1365:OFFSET(Q1365,$B$8-1,0))))</f>
        <v>#DIV/0!</v>
      </c>
      <c r="W1365" s="6" t="e">
        <f t="shared" si="112"/>
        <v>#DIV/0!</v>
      </c>
      <c r="X1365" s="6" t="e">
        <f ca="1">SQRT($B$9*AVERAGE(W1365:OFFSET(W1365,$B$5-1,0)))</f>
        <v>#DIV/0!</v>
      </c>
      <c r="Y1365" s="6" t="e">
        <f ca="1">SQRT($B$9*AVERAGE(W1365:OFFSET(W1365,$B$6-1,0)))</f>
        <v>#DIV/0!</v>
      </c>
      <c r="Z1365" s="6" t="e">
        <f ca="1">SQRT($B$9*AVERAGE(W1365:OFFSET(W1365,$B$7-1,0)))</f>
        <v>#DIV/0!</v>
      </c>
      <c r="AA1365" s="6" t="e">
        <f ca="1">SQRT($B$9*AVERAGE(W1365:OFFSET(W1365,$B$8-1,0)))</f>
        <v>#DIV/0!</v>
      </c>
      <c r="AC1365" s="34" t="e">
        <f t="shared" si="115"/>
        <v>#DIV/0!</v>
      </c>
      <c r="AD1365" s="34" t="e">
        <f ca="1">SQRT($B$9*SUM(AC1365:OFFSET(AC1365,$B$5-1,0))/($B$5-1))</f>
        <v>#DIV/0!</v>
      </c>
      <c r="AE1365" s="34" t="e">
        <f ca="1">SQRT($B$9*SUM(AC1365:OFFSET(AC1365,$B$6-1,0))/($B$6-1))</f>
        <v>#DIV/0!</v>
      </c>
      <c r="AF1365" s="34" t="e">
        <f ca="1">SQRT($B$9*SUM(AC1365:OFFSET(AC1365,$B$7-1,0))/($B$7-1))</f>
        <v>#DIV/0!</v>
      </c>
      <c r="AG1365" s="34" t="e">
        <f ca="1">SQRT($B$9*SUM(AC1365:OFFSET(AC1365,$B$8-1,0))/($B$8-1))</f>
        <v>#DIV/0!</v>
      </c>
      <c r="AI1365" s="1" t="e">
        <f t="shared" si="116"/>
        <v>#DIV/0!</v>
      </c>
      <c r="AJ1365" s="4" t="e">
        <f ca="1">SQRT($B$9)*_xlfn.STDEV.S(AI1365:OFFSET(AI1365,$B$5-1,0))</f>
        <v>#DIV/0!</v>
      </c>
      <c r="AK1365" s="4" t="e">
        <f ca="1">SQRT($B$9)*_xlfn.STDEV.S(AI1365:OFFSET(AI1365,$B$6-1,0))</f>
        <v>#DIV/0!</v>
      </c>
      <c r="AL1365" s="4" t="e">
        <f ca="1">SQRT($B$9)*_xlfn.STDEV.S(AI1365:OFFSET(AI1365,$B$7-1,0))</f>
        <v>#DIV/0!</v>
      </c>
      <c r="AM1365" s="4" t="e">
        <f ca="1">SQRT($B$9)*_xlfn.STDEV.S(AI1365:OFFSET(AI1365,$B$8-1,0))</f>
        <v>#DIV/0!</v>
      </c>
    </row>
    <row r="1366" spans="11:39" x14ac:dyDescent="0.2">
      <c r="K1366" s="3" t="e">
        <f t="shared" si="114"/>
        <v>#DIV/0!</v>
      </c>
      <c r="L1366" s="3" t="e">
        <f ca="1">SQRT(AVERAGE(K1366:OFFSET(K1366,$B$5-1,0))*$B$9/(4*LN(2)))</f>
        <v>#DIV/0!</v>
      </c>
      <c r="M1366" s="3" t="e">
        <f ca="1">SQRT(AVERAGE(K1366:OFFSET(K1366,$B$6-1,0))*$B$9/(4*LN(2)))</f>
        <v>#DIV/0!</v>
      </c>
      <c r="N1366" s="3" t="e">
        <f ca="1">SQRT(AVERAGE(K1366:OFFSET(K1366,$B$7-1,0))*$B$9/(4*LN(2)))</f>
        <v>#DIV/0!</v>
      </c>
      <c r="O1366" s="3" t="e">
        <f ca="1">SQRT(AVERAGE(K1366:OFFSET(K1366,$B$8-1,0))*$B$9/(4*LN(2)))</f>
        <v>#DIV/0!</v>
      </c>
      <c r="Q1366" s="5" t="e">
        <f t="shared" si="113"/>
        <v>#DIV/0!</v>
      </c>
      <c r="R1366" s="5" t="e">
        <f ca="1">SQRT($B$9*AVERAGE((Q1366:OFFSET(Q1366,$B$5-1,0))))</f>
        <v>#DIV/0!</v>
      </c>
      <c r="S1366" s="5" t="e">
        <f ca="1">SQRT($B$9*AVERAGE((Q1366:OFFSET(Q1366,$B$6-1,0))))</f>
        <v>#DIV/0!</v>
      </c>
      <c r="T1366" s="5" t="e">
        <f ca="1">SQRT($B$9*AVERAGE((Q1366:OFFSET(Q1366,$B$7-1,0))))</f>
        <v>#DIV/0!</v>
      </c>
      <c r="U1366" s="5" t="e">
        <f ca="1">SQRT($B$9*AVERAGE((Q1366:OFFSET(Q1366,$B$8-1,0))))</f>
        <v>#DIV/0!</v>
      </c>
      <c r="W1366" s="6" t="e">
        <f t="shared" si="112"/>
        <v>#DIV/0!</v>
      </c>
      <c r="X1366" s="6" t="e">
        <f ca="1">SQRT($B$9*AVERAGE(W1366:OFFSET(W1366,$B$5-1,0)))</f>
        <v>#DIV/0!</v>
      </c>
      <c r="Y1366" s="6" t="e">
        <f ca="1">SQRT($B$9*AVERAGE(W1366:OFFSET(W1366,$B$6-1,0)))</f>
        <v>#DIV/0!</v>
      </c>
      <c r="Z1366" s="6" t="e">
        <f ca="1">SQRT($B$9*AVERAGE(W1366:OFFSET(W1366,$B$7-1,0)))</f>
        <v>#DIV/0!</v>
      </c>
      <c r="AA1366" s="6" t="e">
        <f ca="1">SQRT($B$9*AVERAGE(W1366:OFFSET(W1366,$B$8-1,0)))</f>
        <v>#DIV/0!</v>
      </c>
      <c r="AC1366" s="34" t="e">
        <f t="shared" si="115"/>
        <v>#DIV/0!</v>
      </c>
      <c r="AD1366" s="34" t="e">
        <f ca="1">SQRT($B$9*SUM(AC1366:OFFSET(AC1366,$B$5-1,0))/($B$5-1))</f>
        <v>#DIV/0!</v>
      </c>
      <c r="AE1366" s="34" t="e">
        <f ca="1">SQRT($B$9*SUM(AC1366:OFFSET(AC1366,$B$6-1,0))/($B$6-1))</f>
        <v>#DIV/0!</v>
      </c>
      <c r="AF1366" s="34" t="e">
        <f ca="1">SQRT($B$9*SUM(AC1366:OFFSET(AC1366,$B$7-1,0))/($B$7-1))</f>
        <v>#DIV/0!</v>
      </c>
      <c r="AG1366" s="34" t="e">
        <f ca="1">SQRT($B$9*SUM(AC1366:OFFSET(AC1366,$B$8-1,0))/($B$8-1))</f>
        <v>#DIV/0!</v>
      </c>
      <c r="AI1366" s="1" t="e">
        <f t="shared" si="116"/>
        <v>#DIV/0!</v>
      </c>
      <c r="AJ1366" s="4" t="e">
        <f ca="1">SQRT($B$9)*_xlfn.STDEV.S(AI1366:OFFSET(AI1366,$B$5-1,0))</f>
        <v>#DIV/0!</v>
      </c>
      <c r="AK1366" s="4" t="e">
        <f ca="1">SQRT($B$9)*_xlfn.STDEV.S(AI1366:OFFSET(AI1366,$B$6-1,0))</f>
        <v>#DIV/0!</v>
      </c>
      <c r="AL1366" s="4" t="e">
        <f ca="1">SQRT($B$9)*_xlfn.STDEV.S(AI1366:OFFSET(AI1366,$B$7-1,0))</f>
        <v>#DIV/0!</v>
      </c>
      <c r="AM1366" s="4" t="e">
        <f ca="1">SQRT($B$9)*_xlfn.STDEV.S(AI1366:OFFSET(AI1366,$B$8-1,0))</f>
        <v>#DIV/0!</v>
      </c>
    </row>
    <row r="1367" spans="11:39" x14ac:dyDescent="0.2">
      <c r="K1367" s="3" t="e">
        <f t="shared" si="114"/>
        <v>#DIV/0!</v>
      </c>
      <c r="L1367" s="3" t="e">
        <f ca="1">SQRT(AVERAGE(K1367:OFFSET(K1367,$B$5-1,0))*$B$9/(4*LN(2)))</f>
        <v>#DIV/0!</v>
      </c>
      <c r="M1367" s="3" t="e">
        <f ca="1">SQRT(AVERAGE(K1367:OFFSET(K1367,$B$6-1,0))*$B$9/(4*LN(2)))</f>
        <v>#DIV/0!</v>
      </c>
      <c r="N1367" s="3" t="e">
        <f ca="1">SQRT(AVERAGE(K1367:OFFSET(K1367,$B$7-1,0))*$B$9/(4*LN(2)))</f>
        <v>#DIV/0!</v>
      </c>
      <c r="O1367" s="3" t="e">
        <f ca="1">SQRT(AVERAGE(K1367:OFFSET(K1367,$B$8-1,0))*$B$9/(4*LN(2)))</f>
        <v>#DIV/0!</v>
      </c>
      <c r="Q1367" s="5" t="e">
        <f t="shared" si="113"/>
        <v>#DIV/0!</v>
      </c>
      <c r="R1367" s="5" t="e">
        <f ca="1">SQRT($B$9*AVERAGE((Q1367:OFFSET(Q1367,$B$5-1,0))))</f>
        <v>#DIV/0!</v>
      </c>
      <c r="S1367" s="5" t="e">
        <f ca="1">SQRT($B$9*AVERAGE((Q1367:OFFSET(Q1367,$B$6-1,0))))</f>
        <v>#DIV/0!</v>
      </c>
      <c r="T1367" s="5" t="e">
        <f ca="1">SQRT($B$9*AVERAGE((Q1367:OFFSET(Q1367,$B$7-1,0))))</f>
        <v>#DIV/0!</v>
      </c>
      <c r="U1367" s="5" t="e">
        <f ca="1">SQRT($B$9*AVERAGE((Q1367:OFFSET(Q1367,$B$8-1,0))))</f>
        <v>#DIV/0!</v>
      </c>
      <c r="W1367" s="6" t="e">
        <f t="shared" si="112"/>
        <v>#DIV/0!</v>
      </c>
      <c r="X1367" s="6" t="e">
        <f ca="1">SQRT($B$9*AVERAGE(W1367:OFFSET(W1367,$B$5-1,0)))</f>
        <v>#DIV/0!</v>
      </c>
      <c r="Y1367" s="6" t="e">
        <f ca="1">SQRT($B$9*AVERAGE(W1367:OFFSET(W1367,$B$6-1,0)))</f>
        <v>#DIV/0!</v>
      </c>
      <c r="Z1367" s="6" t="e">
        <f ca="1">SQRT($B$9*AVERAGE(W1367:OFFSET(W1367,$B$7-1,0)))</f>
        <v>#DIV/0!</v>
      </c>
      <c r="AA1367" s="6" t="e">
        <f ca="1">SQRT($B$9*AVERAGE(W1367:OFFSET(W1367,$B$8-1,0)))</f>
        <v>#DIV/0!</v>
      </c>
      <c r="AC1367" s="34" t="e">
        <f t="shared" si="115"/>
        <v>#DIV/0!</v>
      </c>
      <c r="AD1367" s="34" t="e">
        <f ca="1">SQRT($B$9*SUM(AC1367:OFFSET(AC1367,$B$5-1,0))/($B$5-1))</f>
        <v>#DIV/0!</v>
      </c>
      <c r="AE1367" s="34" t="e">
        <f ca="1">SQRT($B$9*SUM(AC1367:OFFSET(AC1367,$B$6-1,0))/($B$6-1))</f>
        <v>#DIV/0!</v>
      </c>
      <c r="AF1367" s="34" t="e">
        <f ca="1">SQRT($B$9*SUM(AC1367:OFFSET(AC1367,$B$7-1,0))/($B$7-1))</f>
        <v>#DIV/0!</v>
      </c>
      <c r="AG1367" s="34" t="e">
        <f ca="1">SQRT($B$9*SUM(AC1367:OFFSET(AC1367,$B$8-1,0))/($B$8-1))</f>
        <v>#DIV/0!</v>
      </c>
      <c r="AI1367" s="1" t="e">
        <f t="shared" si="116"/>
        <v>#DIV/0!</v>
      </c>
      <c r="AJ1367" s="4" t="e">
        <f ca="1">SQRT($B$9)*_xlfn.STDEV.S(AI1367:OFFSET(AI1367,$B$5-1,0))</f>
        <v>#DIV/0!</v>
      </c>
      <c r="AK1367" s="4" t="e">
        <f ca="1">SQRT($B$9)*_xlfn.STDEV.S(AI1367:OFFSET(AI1367,$B$6-1,0))</f>
        <v>#DIV/0!</v>
      </c>
      <c r="AL1367" s="4" t="e">
        <f ca="1">SQRT($B$9)*_xlfn.STDEV.S(AI1367:OFFSET(AI1367,$B$7-1,0))</f>
        <v>#DIV/0!</v>
      </c>
      <c r="AM1367" s="4" t="e">
        <f ca="1">SQRT($B$9)*_xlfn.STDEV.S(AI1367:OFFSET(AI1367,$B$8-1,0))</f>
        <v>#DIV/0!</v>
      </c>
    </row>
    <row r="1368" spans="11:39" x14ac:dyDescent="0.2">
      <c r="K1368" s="3" t="e">
        <f t="shared" si="114"/>
        <v>#DIV/0!</v>
      </c>
      <c r="L1368" s="3" t="e">
        <f ca="1">SQRT(AVERAGE(K1368:OFFSET(K1368,$B$5-1,0))*$B$9/(4*LN(2)))</f>
        <v>#DIV/0!</v>
      </c>
      <c r="M1368" s="3" t="e">
        <f ca="1">SQRT(AVERAGE(K1368:OFFSET(K1368,$B$6-1,0))*$B$9/(4*LN(2)))</f>
        <v>#DIV/0!</v>
      </c>
      <c r="N1368" s="3" t="e">
        <f ca="1">SQRT(AVERAGE(K1368:OFFSET(K1368,$B$7-1,0))*$B$9/(4*LN(2)))</f>
        <v>#DIV/0!</v>
      </c>
      <c r="O1368" s="3" t="e">
        <f ca="1">SQRT(AVERAGE(K1368:OFFSET(K1368,$B$8-1,0))*$B$9/(4*LN(2)))</f>
        <v>#DIV/0!</v>
      </c>
      <c r="Q1368" s="5" t="e">
        <f t="shared" si="113"/>
        <v>#DIV/0!</v>
      </c>
      <c r="R1368" s="5" t="e">
        <f ca="1">SQRT($B$9*AVERAGE((Q1368:OFFSET(Q1368,$B$5-1,0))))</f>
        <v>#DIV/0!</v>
      </c>
      <c r="S1368" s="5" t="e">
        <f ca="1">SQRT($B$9*AVERAGE((Q1368:OFFSET(Q1368,$B$6-1,0))))</f>
        <v>#DIV/0!</v>
      </c>
      <c r="T1368" s="5" t="e">
        <f ca="1">SQRT($B$9*AVERAGE((Q1368:OFFSET(Q1368,$B$7-1,0))))</f>
        <v>#DIV/0!</v>
      </c>
      <c r="U1368" s="5" t="e">
        <f ca="1">SQRT($B$9*AVERAGE((Q1368:OFFSET(Q1368,$B$8-1,0))))</f>
        <v>#DIV/0!</v>
      </c>
      <c r="W1368" s="6" t="e">
        <f t="shared" si="112"/>
        <v>#DIV/0!</v>
      </c>
      <c r="X1368" s="6" t="e">
        <f ca="1">SQRT($B$9*AVERAGE(W1368:OFFSET(W1368,$B$5-1,0)))</f>
        <v>#DIV/0!</v>
      </c>
      <c r="Y1368" s="6" t="e">
        <f ca="1">SQRT($B$9*AVERAGE(W1368:OFFSET(W1368,$B$6-1,0)))</f>
        <v>#DIV/0!</v>
      </c>
      <c r="Z1368" s="6" t="e">
        <f ca="1">SQRT($B$9*AVERAGE(W1368:OFFSET(W1368,$B$7-1,0)))</f>
        <v>#DIV/0!</v>
      </c>
      <c r="AA1368" s="6" t="e">
        <f ca="1">SQRT($B$9*AVERAGE(W1368:OFFSET(W1368,$B$8-1,0)))</f>
        <v>#DIV/0!</v>
      </c>
      <c r="AC1368" s="34" t="e">
        <f t="shared" si="115"/>
        <v>#DIV/0!</v>
      </c>
      <c r="AD1368" s="34" t="e">
        <f ca="1">SQRT($B$9*SUM(AC1368:OFFSET(AC1368,$B$5-1,0))/($B$5-1))</f>
        <v>#DIV/0!</v>
      </c>
      <c r="AE1368" s="34" t="e">
        <f ca="1">SQRT($B$9*SUM(AC1368:OFFSET(AC1368,$B$6-1,0))/($B$6-1))</f>
        <v>#DIV/0!</v>
      </c>
      <c r="AF1368" s="34" t="e">
        <f ca="1">SQRT($B$9*SUM(AC1368:OFFSET(AC1368,$B$7-1,0))/($B$7-1))</f>
        <v>#DIV/0!</v>
      </c>
      <c r="AG1368" s="34" t="e">
        <f ca="1">SQRT($B$9*SUM(AC1368:OFFSET(AC1368,$B$8-1,0))/($B$8-1))</f>
        <v>#DIV/0!</v>
      </c>
      <c r="AI1368" s="1" t="e">
        <f t="shared" si="116"/>
        <v>#DIV/0!</v>
      </c>
      <c r="AJ1368" s="4" t="e">
        <f ca="1">SQRT($B$9)*_xlfn.STDEV.S(AI1368:OFFSET(AI1368,$B$5-1,0))</f>
        <v>#DIV/0!</v>
      </c>
      <c r="AK1368" s="4" t="e">
        <f ca="1">SQRT($B$9)*_xlfn.STDEV.S(AI1368:OFFSET(AI1368,$B$6-1,0))</f>
        <v>#DIV/0!</v>
      </c>
      <c r="AL1368" s="4" t="e">
        <f ca="1">SQRT($B$9)*_xlfn.STDEV.S(AI1368:OFFSET(AI1368,$B$7-1,0))</f>
        <v>#DIV/0!</v>
      </c>
      <c r="AM1368" s="4" t="e">
        <f ca="1">SQRT($B$9)*_xlfn.STDEV.S(AI1368:OFFSET(AI1368,$B$8-1,0))</f>
        <v>#DIV/0!</v>
      </c>
    </row>
    <row r="1369" spans="11:39" x14ac:dyDescent="0.2">
      <c r="K1369" s="3" t="e">
        <f t="shared" si="114"/>
        <v>#DIV/0!</v>
      </c>
      <c r="L1369" s="3" t="e">
        <f ca="1">SQRT(AVERAGE(K1369:OFFSET(K1369,$B$5-1,0))*$B$9/(4*LN(2)))</f>
        <v>#DIV/0!</v>
      </c>
      <c r="M1369" s="3" t="e">
        <f ca="1">SQRT(AVERAGE(K1369:OFFSET(K1369,$B$6-1,0))*$B$9/(4*LN(2)))</f>
        <v>#DIV/0!</v>
      </c>
      <c r="N1369" s="3" t="e">
        <f ca="1">SQRT(AVERAGE(K1369:OFFSET(K1369,$B$7-1,0))*$B$9/(4*LN(2)))</f>
        <v>#DIV/0!</v>
      </c>
      <c r="O1369" s="3" t="e">
        <f ca="1">SQRT(AVERAGE(K1369:OFFSET(K1369,$B$8-1,0))*$B$9/(4*LN(2)))</f>
        <v>#DIV/0!</v>
      </c>
      <c r="Q1369" s="5" t="e">
        <f t="shared" si="113"/>
        <v>#DIV/0!</v>
      </c>
      <c r="R1369" s="5" t="e">
        <f ca="1">SQRT($B$9*AVERAGE((Q1369:OFFSET(Q1369,$B$5-1,0))))</f>
        <v>#DIV/0!</v>
      </c>
      <c r="S1369" s="5" t="e">
        <f ca="1">SQRT($B$9*AVERAGE((Q1369:OFFSET(Q1369,$B$6-1,0))))</f>
        <v>#DIV/0!</v>
      </c>
      <c r="T1369" s="5" t="e">
        <f ca="1">SQRT($B$9*AVERAGE((Q1369:OFFSET(Q1369,$B$7-1,0))))</f>
        <v>#DIV/0!</v>
      </c>
      <c r="U1369" s="5" t="e">
        <f ca="1">SQRT($B$9*AVERAGE((Q1369:OFFSET(Q1369,$B$8-1,0))))</f>
        <v>#DIV/0!</v>
      </c>
      <c r="W1369" s="6" t="e">
        <f t="shared" si="112"/>
        <v>#DIV/0!</v>
      </c>
      <c r="X1369" s="6" t="e">
        <f ca="1">SQRT($B$9*AVERAGE(W1369:OFFSET(W1369,$B$5-1,0)))</f>
        <v>#DIV/0!</v>
      </c>
      <c r="Y1369" s="6" t="e">
        <f ca="1">SQRT($B$9*AVERAGE(W1369:OFFSET(W1369,$B$6-1,0)))</f>
        <v>#DIV/0!</v>
      </c>
      <c r="Z1369" s="6" t="e">
        <f ca="1">SQRT($B$9*AVERAGE(W1369:OFFSET(W1369,$B$7-1,0)))</f>
        <v>#DIV/0!</v>
      </c>
      <c r="AA1369" s="6" t="e">
        <f ca="1">SQRT($B$9*AVERAGE(W1369:OFFSET(W1369,$B$8-1,0)))</f>
        <v>#DIV/0!</v>
      </c>
      <c r="AC1369" s="34" t="e">
        <f t="shared" si="115"/>
        <v>#DIV/0!</v>
      </c>
      <c r="AD1369" s="34" t="e">
        <f ca="1">SQRT($B$9*SUM(AC1369:OFFSET(AC1369,$B$5-1,0))/($B$5-1))</f>
        <v>#DIV/0!</v>
      </c>
      <c r="AE1369" s="34" t="e">
        <f ca="1">SQRT($B$9*SUM(AC1369:OFFSET(AC1369,$B$6-1,0))/($B$6-1))</f>
        <v>#DIV/0!</v>
      </c>
      <c r="AF1369" s="34" t="e">
        <f ca="1">SQRT($B$9*SUM(AC1369:OFFSET(AC1369,$B$7-1,0))/($B$7-1))</f>
        <v>#DIV/0!</v>
      </c>
      <c r="AG1369" s="34" t="e">
        <f ca="1">SQRT($B$9*SUM(AC1369:OFFSET(AC1369,$B$8-1,0))/($B$8-1))</f>
        <v>#DIV/0!</v>
      </c>
      <c r="AI1369" s="1" t="e">
        <f t="shared" si="116"/>
        <v>#DIV/0!</v>
      </c>
      <c r="AJ1369" s="4" t="e">
        <f ca="1">SQRT($B$9)*_xlfn.STDEV.S(AI1369:OFFSET(AI1369,$B$5-1,0))</f>
        <v>#DIV/0!</v>
      </c>
      <c r="AK1369" s="4" t="e">
        <f ca="1">SQRT($B$9)*_xlfn.STDEV.S(AI1369:OFFSET(AI1369,$B$6-1,0))</f>
        <v>#DIV/0!</v>
      </c>
      <c r="AL1369" s="4" t="e">
        <f ca="1">SQRT($B$9)*_xlfn.STDEV.S(AI1369:OFFSET(AI1369,$B$7-1,0))</f>
        <v>#DIV/0!</v>
      </c>
      <c r="AM1369" s="4" t="e">
        <f ca="1">SQRT($B$9)*_xlfn.STDEV.S(AI1369:OFFSET(AI1369,$B$8-1,0))</f>
        <v>#DIV/0!</v>
      </c>
    </row>
    <row r="1370" spans="11:39" x14ac:dyDescent="0.2">
      <c r="K1370" s="3" t="e">
        <f t="shared" si="114"/>
        <v>#DIV/0!</v>
      </c>
      <c r="L1370" s="3" t="e">
        <f ca="1">SQRT(AVERAGE(K1370:OFFSET(K1370,$B$5-1,0))*$B$9/(4*LN(2)))</f>
        <v>#DIV/0!</v>
      </c>
      <c r="M1370" s="3" t="e">
        <f ca="1">SQRT(AVERAGE(K1370:OFFSET(K1370,$B$6-1,0))*$B$9/(4*LN(2)))</f>
        <v>#DIV/0!</v>
      </c>
      <c r="N1370" s="3" t="e">
        <f ca="1">SQRT(AVERAGE(K1370:OFFSET(K1370,$B$7-1,0))*$B$9/(4*LN(2)))</f>
        <v>#DIV/0!</v>
      </c>
      <c r="O1370" s="3" t="e">
        <f ca="1">SQRT(AVERAGE(K1370:OFFSET(K1370,$B$8-1,0))*$B$9/(4*LN(2)))</f>
        <v>#DIV/0!</v>
      </c>
      <c r="Q1370" s="5" t="e">
        <f t="shared" si="113"/>
        <v>#DIV/0!</v>
      </c>
      <c r="R1370" s="5" t="e">
        <f ca="1">SQRT($B$9*AVERAGE((Q1370:OFFSET(Q1370,$B$5-1,0))))</f>
        <v>#DIV/0!</v>
      </c>
      <c r="S1370" s="5" t="e">
        <f ca="1">SQRT($B$9*AVERAGE((Q1370:OFFSET(Q1370,$B$6-1,0))))</f>
        <v>#DIV/0!</v>
      </c>
      <c r="T1370" s="5" t="e">
        <f ca="1">SQRT($B$9*AVERAGE((Q1370:OFFSET(Q1370,$B$7-1,0))))</f>
        <v>#DIV/0!</v>
      </c>
      <c r="U1370" s="5" t="e">
        <f ca="1">SQRT($B$9*AVERAGE((Q1370:OFFSET(Q1370,$B$8-1,0))))</f>
        <v>#DIV/0!</v>
      </c>
      <c r="W1370" s="6" t="e">
        <f t="shared" si="112"/>
        <v>#DIV/0!</v>
      </c>
      <c r="X1370" s="6" t="e">
        <f ca="1">SQRT($B$9*AVERAGE(W1370:OFFSET(W1370,$B$5-1,0)))</f>
        <v>#DIV/0!</v>
      </c>
      <c r="Y1370" s="6" t="e">
        <f ca="1">SQRT($B$9*AVERAGE(W1370:OFFSET(W1370,$B$6-1,0)))</f>
        <v>#DIV/0!</v>
      </c>
      <c r="Z1370" s="6" t="e">
        <f ca="1">SQRT($B$9*AVERAGE(W1370:OFFSET(W1370,$B$7-1,0)))</f>
        <v>#DIV/0!</v>
      </c>
      <c r="AA1370" s="6" t="e">
        <f ca="1">SQRT($B$9*AVERAGE(W1370:OFFSET(W1370,$B$8-1,0)))</f>
        <v>#DIV/0!</v>
      </c>
      <c r="AC1370" s="34" t="e">
        <f t="shared" si="115"/>
        <v>#DIV/0!</v>
      </c>
      <c r="AD1370" s="34" t="e">
        <f ca="1">SQRT($B$9*SUM(AC1370:OFFSET(AC1370,$B$5-1,0))/($B$5-1))</f>
        <v>#DIV/0!</v>
      </c>
      <c r="AE1370" s="34" t="e">
        <f ca="1">SQRT($B$9*SUM(AC1370:OFFSET(AC1370,$B$6-1,0))/($B$6-1))</f>
        <v>#DIV/0!</v>
      </c>
      <c r="AF1370" s="34" t="e">
        <f ca="1">SQRT($B$9*SUM(AC1370:OFFSET(AC1370,$B$7-1,0))/($B$7-1))</f>
        <v>#DIV/0!</v>
      </c>
      <c r="AG1370" s="34" t="e">
        <f ca="1">SQRT($B$9*SUM(AC1370:OFFSET(AC1370,$B$8-1,0))/($B$8-1))</f>
        <v>#DIV/0!</v>
      </c>
      <c r="AI1370" s="1" t="e">
        <f t="shared" si="116"/>
        <v>#DIV/0!</v>
      </c>
      <c r="AJ1370" s="4" t="e">
        <f ca="1">SQRT($B$9)*_xlfn.STDEV.S(AI1370:OFFSET(AI1370,$B$5-1,0))</f>
        <v>#DIV/0!</v>
      </c>
      <c r="AK1370" s="4" t="e">
        <f ca="1">SQRT($B$9)*_xlfn.STDEV.S(AI1370:OFFSET(AI1370,$B$6-1,0))</f>
        <v>#DIV/0!</v>
      </c>
      <c r="AL1370" s="4" t="e">
        <f ca="1">SQRT($B$9)*_xlfn.STDEV.S(AI1370:OFFSET(AI1370,$B$7-1,0))</f>
        <v>#DIV/0!</v>
      </c>
      <c r="AM1370" s="4" t="e">
        <f ca="1">SQRT($B$9)*_xlfn.STDEV.S(AI1370:OFFSET(AI1370,$B$8-1,0))</f>
        <v>#DIV/0!</v>
      </c>
    </row>
    <row r="1371" spans="11:39" x14ac:dyDescent="0.2">
      <c r="K1371" s="3" t="e">
        <f t="shared" si="114"/>
        <v>#DIV/0!</v>
      </c>
      <c r="L1371" s="3" t="e">
        <f ca="1">SQRT(AVERAGE(K1371:OFFSET(K1371,$B$5-1,0))*$B$9/(4*LN(2)))</f>
        <v>#DIV/0!</v>
      </c>
      <c r="M1371" s="3" t="e">
        <f ca="1">SQRT(AVERAGE(K1371:OFFSET(K1371,$B$6-1,0))*$B$9/(4*LN(2)))</f>
        <v>#DIV/0!</v>
      </c>
      <c r="N1371" s="3" t="e">
        <f ca="1">SQRT(AVERAGE(K1371:OFFSET(K1371,$B$7-1,0))*$B$9/(4*LN(2)))</f>
        <v>#DIV/0!</v>
      </c>
      <c r="O1371" s="3" t="e">
        <f ca="1">SQRT(AVERAGE(K1371:OFFSET(K1371,$B$8-1,0))*$B$9/(4*LN(2)))</f>
        <v>#DIV/0!</v>
      </c>
      <c r="Q1371" s="5" t="e">
        <f t="shared" si="113"/>
        <v>#DIV/0!</v>
      </c>
      <c r="R1371" s="5" t="e">
        <f ca="1">SQRT($B$9*AVERAGE((Q1371:OFFSET(Q1371,$B$5-1,0))))</f>
        <v>#DIV/0!</v>
      </c>
      <c r="S1371" s="5" t="e">
        <f ca="1">SQRT($B$9*AVERAGE((Q1371:OFFSET(Q1371,$B$6-1,0))))</f>
        <v>#DIV/0!</v>
      </c>
      <c r="T1371" s="5" t="e">
        <f ca="1">SQRT($B$9*AVERAGE((Q1371:OFFSET(Q1371,$B$7-1,0))))</f>
        <v>#DIV/0!</v>
      </c>
      <c r="U1371" s="5" t="e">
        <f ca="1">SQRT($B$9*AVERAGE((Q1371:OFFSET(Q1371,$B$8-1,0))))</f>
        <v>#DIV/0!</v>
      </c>
      <c r="W1371" s="6" t="e">
        <f t="shared" si="112"/>
        <v>#DIV/0!</v>
      </c>
      <c r="X1371" s="6" t="e">
        <f ca="1">SQRT($B$9*AVERAGE(W1371:OFFSET(W1371,$B$5-1,0)))</f>
        <v>#DIV/0!</v>
      </c>
      <c r="Y1371" s="6" t="e">
        <f ca="1">SQRT($B$9*AVERAGE(W1371:OFFSET(W1371,$B$6-1,0)))</f>
        <v>#DIV/0!</v>
      </c>
      <c r="Z1371" s="6" t="e">
        <f ca="1">SQRT($B$9*AVERAGE(W1371:OFFSET(W1371,$B$7-1,0)))</f>
        <v>#DIV/0!</v>
      </c>
      <c r="AA1371" s="6" t="e">
        <f ca="1">SQRT($B$9*AVERAGE(W1371:OFFSET(W1371,$B$8-1,0)))</f>
        <v>#DIV/0!</v>
      </c>
      <c r="AC1371" s="34" t="e">
        <f t="shared" si="115"/>
        <v>#DIV/0!</v>
      </c>
      <c r="AD1371" s="34" t="e">
        <f ca="1">SQRT($B$9*SUM(AC1371:OFFSET(AC1371,$B$5-1,0))/($B$5-1))</f>
        <v>#DIV/0!</v>
      </c>
      <c r="AE1371" s="34" t="e">
        <f ca="1">SQRT($B$9*SUM(AC1371:OFFSET(AC1371,$B$6-1,0))/($B$6-1))</f>
        <v>#DIV/0!</v>
      </c>
      <c r="AF1371" s="34" t="e">
        <f ca="1">SQRT($B$9*SUM(AC1371:OFFSET(AC1371,$B$7-1,0))/($B$7-1))</f>
        <v>#DIV/0!</v>
      </c>
      <c r="AG1371" s="34" t="e">
        <f ca="1">SQRT($B$9*SUM(AC1371:OFFSET(AC1371,$B$8-1,0))/($B$8-1))</f>
        <v>#DIV/0!</v>
      </c>
      <c r="AI1371" s="1" t="e">
        <f t="shared" si="116"/>
        <v>#DIV/0!</v>
      </c>
      <c r="AJ1371" s="4" t="e">
        <f ca="1">SQRT($B$9)*_xlfn.STDEV.S(AI1371:OFFSET(AI1371,$B$5-1,0))</f>
        <v>#DIV/0!</v>
      </c>
      <c r="AK1371" s="4" t="e">
        <f ca="1">SQRT($B$9)*_xlfn.STDEV.S(AI1371:OFFSET(AI1371,$B$6-1,0))</f>
        <v>#DIV/0!</v>
      </c>
      <c r="AL1371" s="4" t="e">
        <f ca="1">SQRT($B$9)*_xlfn.STDEV.S(AI1371:OFFSET(AI1371,$B$7-1,0))</f>
        <v>#DIV/0!</v>
      </c>
      <c r="AM1371" s="4" t="e">
        <f ca="1">SQRT($B$9)*_xlfn.STDEV.S(AI1371:OFFSET(AI1371,$B$8-1,0))</f>
        <v>#DIV/0!</v>
      </c>
    </row>
    <row r="1372" spans="11:39" x14ac:dyDescent="0.2">
      <c r="K1372" s="3" t="e">
        <f t="shared" si="114"/>
        <v>#DIV/0!</v>
      </c>
      <c r="L1372" s="3" t="e">
        <f ca="1">SQRT(AVERAGE(K1372:OFFSET(K1372,$B$5-1,0))*$B$9/(4*LN(2)))</f>
        <v>#DIV/0!</v>
      </c>
      <c r="M1372" s="3" t="e">
        <f ca="1">SQRT(AVERAGE(K1372:OFFSET(K1372,$B$6-1,0))*$B$9/(4*LN(2)))</f>
        <v>#DIV/0!</v>
      </c>
      <c r="N1372" s="3" t="e">
        <f ca="1">SQRT(AVERAGE(K1372:OFFSET(K1372,$B$7-1,0))*$B$9/(4*LN(2)))</f>
        <v>#DIV/0!</v>
      </c>
      <c r="O1372" s="3" t="e">
        <f ca="1">SQRT(AVERAGE(K1372:OFFSET(K1372,$B$8-1,0))*$B$9/(4*LN(2)))</f>
        <v>#DIV/0!</v>
      </c>
      <c r="Q1372" s="5" t="e">
        <f t="shared" si="113"/>
        <v>#DIV/0!</v>
      </c>
      <c r="R1372" s="5" t="e">
        <f ca="1">SQRT($B$9*AVERAGE((Q1372:OFFSET(Q1372,$B$5-1,0))))</f>
        <v>#DIV/0!</v>
      </c>
      <c r="S1372" s="5" t="e">
        <f ca="1">SQRT($B$9*AVERAGE((Q1372:OFFSET(Q1372,$B$6-1,0))))</f>
        <v>#DIV/0!</v>
      </c>
      <c r="T1372" s="5" t="e">
        <f ca="1">SQRT($B$9*AVERAGE((Q1372:OFFSET(Q1372,$B$7-1,0))))</f>
        <v>#DIV/0!</v>
      </c>
      <c r="U1372" s="5" t="e">
        <f ca="1">SQRT($B$9*AVERAGE((Q1372:OFFSET(Q1372,$B$8-1,0))))</f>
        <v>#DIV/0!</v>
      </c>
      <c r="W1372" s="6" t="e">
        <f t="shared" si="112"/>
        <v>#DIV/0!</v>
      </c>
      <c r="X1372" s="6" t="e">
        <f ca="1">SQRT($B$9*AVERAGE(W1372:OFFSET(W1372,$B$5-1,0)))</f>
        <v>#DIV/0!</v>
      </c>
      <c r="Y1372" s="6" t="e">
        <f ca="1">SQRT($B$9*AVERAGE(W1372:OFFSET(W1372,$B$6-1,0)))</f>
        <v>#DIV/0!</v>
      </c>
      <c r="Z1372" s="6" t="e">
        <f ca="1">SQRT($B$9*AVERAGE(W1372:OFFSET(W1372,$B$7-1,0)))</f>
        <v>#DIV/0!</v>
      </c>
      <c r="AA1372" s="6" t="e">
        <f ca="1">SQRT($B$9*AVERAGE(W1372:OFFSET(W1372,$B$8-1,0)))</f>
        <v>#DIV/0!</v>
      </c>
      <c r="AC1372" s="34" t="e">
        <f t="shared" si="115"/>
        <v>#DIV/0!</v>
      </c>
      <c r="AD1372" s="34" t="e">
        <f ca="1">SQRT($B$9*SUM(AC1372:OFFSET(AC1372,$B$5-1,0))/($B$5-1))</f>
        <v>#DIV/0!</v>
      </c>
      <c r="AE1372" s="34" t="e">
        <f ca="1">SQRT($B$9*SUM(AC1372:OFFSET(AC1372,$B$6-1,0))/($B$6-1))</f>
        <v>#DIV/0!</v>
      </c>
      <c r="AF1372" s="34" t="e">
        <f ca="1">SQRT($B$9*SUM(AC1372:OFFSET(AC1372,$B$7-1,0))/($B$7-1))</f>
        <v>#DIV/0!</v>
      </c>
      <c r="AG1372" s="34" t="e">
        <f ca="1">SQRT($B$9*SUM(AC1372:OFFSET(AC1372,$B$8-1,0))/($B$8-1))</f>
        <v>#DIV/0!</v>
      </c>
      <c r="AI1372" s="1" t="e">
        <f t="shared" si="116"/>
        <v>#DIV/0!</v>
      </c>
      <c r="AJ1372" s="4" t="e">
        <f ca="1">SQRT($B$9)*_xlfn.STDEV.S(AI1372:OFFSET(AI1372,$B$5-1,0))</f>
        <v>#DIV/0!</v>
      </c>
      <c r="AK1372" s="4" t="e">
        <f ca="1">SQRT($B$9)*_xlfn.STDEV.S(AI1372:OFFSET(AI1372,$B$6-1,0))</f>
        <v>#DIV/0!</v>
      </c>
      <c r="AL1372" s="4" t="e">
        <f ca="1">SQRT($B$9)*_xlfn.STDEV.S(AI1372:OFFSET(AI1372,$B$7-1,0))</f>
        <v>#DIV/0!</v>
      </c>
      <c r="AM1372" s="4" t="e">
        <f ca="1">SQRT($B$9)*_xlfn.STDEV.S(AI1372:OFFSET(AI1372,$B$8-1,0))</f>
        <v>#DIV/0!</v>
      </c>
    </row>
    <row r="1373" spans="11:39" x14ac:dyDescent="0.2">
      <c r="K1373" s="3" t="e">
        <f t="shared" si="114"/>
        <v>#DIV/0!</v>
      </c>
      <c r="L1373" s="3" t="e">
        <f ca="1">SQRT(AVERAGE(K1373:OFFSET(K1373,$B$5-1,0))*$B$9/(4*LN(2)))</f>
        <v>#DIV/0!</v>
      </c>
      <c r="M1373" s="3" t="e">
        <f ca="1">SQRT(AVERAGE(K1373:OFFSET(K1373,$B$6-1,0))*$B$9/(4*LN(2)))</f>
        <v>#DIV/0!</v>
      </c>
      <c r="N1373" s="3" t="e">
        <f ca="1">SQRT(AVERAGE(K1373:OFFSET(K1373,$B$7-1,0))*$B$9/(4*LN(2)))</f>
        <v>#DIV/0!</v>
      </c>
      <c r="O1373" s="3" t="e">
        <f ca="1">SQRT(AVERAGE(K1373:OFFSET(K1373,$B$8-1,0))*$B$9/(4*LN(2)))</f>
        <v>#DIV/0!</v>
      </c>
      <c r="Q1373" s="5" t="e">
        <f t="shared" si="113"/>
        <v>#DIV/0!</v>
      </c>
      <c r="R1373" s="5" t="e">
        <f ca="1">SQRT($B$9*AVERAGE((Q1373:OFFSET(Q1373,$B$5-1,0))))</f>
        <v>#DIV/0!</v>
      </c>
      <c r="S1373" s="5" t="e">
        <f ca="1">SQRT($B$9*AVERAGE((Q1373:OFFSET(Q1373,$B$6-1,0))))</f>
        <v>#DIV/0!</v>
      </c>
      <c r="T1373" s="5" t="e">
        <f ca="1">SQRT($B$9*AVERAGE((Q1373:OFFSET(Q1373,$B$7-1,0))))</f>
        <v>#DIV/0!</v>
      </c>
      <c r="U1373" s="5" t="e">
        <f ca="1">SQRT($B$9*AVERAGE((Q1373:OFFSET(Q1373,$B$8-1,0))))</f>
        <v>#DIV/0!</v>
      </c>
      <c r="W1373" s="6" t="e">
        <f t="shared" si="112"/>
        <v>#DIV/0!</v>
      </c>
      <c r="X1373" s="6" t="e">
        <f ca="1">SQRT($B$9*AVERAGE(W1373:OFFSET(W1373,$B$5-1,0)))</f>
        <v>#DIV/0!</v>
      </c>
      <c r="Y1373" s="6" t="e">
        <f ca="1">SQRT($B$9*AVERAGE(W1373:OFFSET(W1373,$B$6-1,0)))</f>
        <v>#DIV/0!</v>
      </c>
      <c r="Z1373" s="6" t="e">
        <f ca="1">SQRT($B$9*AVERAGE(W1373:OFFSET(W1373,$B$7-1,0)))</f>
        <v>#DIV/0!</v>
      </c>
      <c r="AA1373" s="6" t="e">
        <f ca="1">SQRT($B$9*AVERAGE(W1373:OFFSET(W1373,$B$8-1,0)))</f>
        <v>#DIV/0!</v>
      </c>
      <c r="AC1373" s="34" t="e">
        <f t="shared" si="115"/>
        <v>#DIV/0!</v>
      </c>
      <c r="AD1373" s="34" t="e">
        <f ca="1">SQRT($B$9*SUM(AC1373:OFFSET(AC1373,$B$5-1,0))/($B$5-1))</f>
        <v>#DIV/0!</v>
      </c>
      <c r="AE1373" s="34" t="e">
        <f ca="1">SQRT($B$9*SUM(AC1373:OFFSET(AC1373,$B$6-1,0))/($B$6-1))</f>
        <v>#DIV/0!</v>
      </c>
      <c r="AF1373" s="34" t="e">
        <f ca="1">SQRT($B$9*SUM(AC1373:OFFSET(AC1373,$B$7-1,0))/($B$7-1))</f>
        <v>#DIV/0!</v>
      </c>
      <c r="AG1373" s="34" t="e">
        <f ca="1">SQRT($B$9*SUM(AC1373:OFFSET(AC1373,$B$8-1,0))/($B$8-1))</f>
        <v>#DIV/0!</v>
      </c>
      <c r="AI1373" s="1" t="e">
        <f t="shared" si="116"/>
        <v>#DIV/0!</v>
      </c>
      <c r="AJ1373" s="4" t="e">
        <f ca="1">SQRT($B$9)*_xlfn.STDEV.S(AI1373:OFFSET(AI1373,$B$5-1,0))</f>
        <v>#DIV/0!</v>
      </c>
      <c r="AK1373" s="4" t="e">
        <f ca="1">SQRT($B$9)*_xlfn.STDEV.S(AI1373:OFFSET(AI1373,$B$6-1,0))</f>
        <v>#DIV/0!</v>
      </c>
      <c r="AL1373" s="4" t="e">
        <f ca="1">SQRT($B$9)*_xlfn.STDEV.S(AI1373:OFFSET(AI1373,$B$7-1,0))</f>
        <v>#DIV/0!</v>
      </c>
      <c r="AM1373" s="4" t="e">
        <f ca="1">SQRT($B$9)*_xlfn.STDEV.S(AI1373:OFFSET(AI1373,$B$8-1,0))</f>
        <v>#DIV/0!</v>
      </c>
    </row>
    <row r="1374" spans="11:39" x14ac:dyDescent="0.2">
      <c r="K1374" s="3" t="e">
        <f t="shared" si="114"/>
        <v>#DIV/0!</v>
      </c>
      <c r="L1374" s="3" t="e">
        <f ca="1">SQRT(AVERAGE(K1374:OFFSET(K1374,$B$5-1,0))*$B$9/(4*LN(2)))</f>
        <v>#DIV/0!</v>
      </c>
      <c r="M1374" s="3" t="e">
        <f ca="1">SQRT(AVERAGE(K1374:OFFSET(K1374,$B$6-1,0))*$B$9/(4*LN(2)))</f>
        <v>#DIV/0!</v>
      </c>
      <c r="N1374" s="3" t="e">
        <f ca="1">SQRT(AVERAGE(K1374:OFFSET(K1374,$B$7-1,0))*$B$9/(4*LN(2)))</f>
        <v>#DIV/0!</v>
      </c>
      <c r="O1374" s="3" t="e">
        <f ca="1">SQRT(AVERAGE(K1374:OFFSET(K1374,$B$8-1,0))*$B$9/(4*LN(2)))</f>
        <v>#DIV/0!</v>
      </c>
      <c r="Q1374" s="5" t="e">
        <f t="shared" si="113"/>
        <v>#DIV/0!</v>
      </c>
      <c r="R1374" s="5" t="e">
        <f ca="1">SQRT($B$9*AVERAGE((Q1374:OFFSET(Q1374,$B$5-1,0))))</f>
        <v>#DIV/0!</v>
      </c>
      <c r="S1374" s="5" t="e">
        <f ca="1">SQRT($B$9*AVERAGE((Q1374:OFFSET(Q1374,$B$6-1,0))))</f>
        <v>#DIV/0!</v>
      </c>
      <c r="T1374" s="5" t="e">
        <f ca="1">SQRT($B$9*AVERAGE((Q1374:OFFSET(Q1374,$B$7-1,0))))</f>
        <v>#DIV/0!</v>
      </c>
      <c r="U1374" s="5" t="e">
        <f ca="1">SQRT($B$9*AVERAGE((Q1374:OFFSET(Q1374,$B$8-1,0))))</f>
        <v>#DIV/0!</v>
      </c>
      <c r="W1374" s="6" t="e">
        <f t="shared" si="112"/>
        <v>#DIV/0!</v>
      </c>
      <c r="X1374" s="6" t="e">
        <f ca="1">SQRT($B$9*AVERAGE(W1374:OFFSET(W1374,$B$5-1,0)))</f>
        <v>#DIV/0!</v>
      </c>
      <c r="Y1374" s="6" t="e">
        <f ca="1">SQRT($B$9*AVERAGE(W1374:OFFSET(W1374,$B$6-1,0)))</f>
        <v>#DIV/0!</v>
      </c>
      <c r="Z1374" s="6" t="e">
        <f ca="1">SQRT($B$9*AVERAGE(W1374:OFFSET(W1374,$B$7-1,0)))</f>
        <v>#DIV/0!</v>
      </c>
      <c r="AA1374" s="6" t="e">
        <f ca="1">SQRT($B$9*AVERAGE(W1374:OFFSET(W1374,$B$8-1,0)))</f>
        <v>#DIV/0!</v>
      </c>
      <c r="AC1374" s="34" t="e">
        <f t="shared" si="115"/>
        <v>#DIV/0!</v>
      </c>
      <c r="AD1374" s="34" t="e">
        <f ca="1">SQRT($B$9*SUM(AC1374:OFFSET(AC1374,$B$5-1,0))/($B$5-1))</f>
        <v>#DIV/0!</v>
      </c>
      <c r="AE1374" s="34" t="e">
        <f ca="1">SQRT($B$9*SUM(AC1374:OFFSET(AC1374,$B$6-1,0))/($B$6-1))</f>
        <v>#DIV/0!</v>
      </c>
      <c r="AF1374" s="34" t="e">
        <f ca="1">SQRT($B$9*SUM(AC1374:OFFSET(AC1374,$B$7-1,0))/($B$7-1))</f>
        <v>#DIV/0!</v>
      </c>
      <c r="AG1374" s="34" t="e">
        <f ca="1">SQRT($B$9*SUM(AC1374:OFFSET(AC1374,$B$8-1,0))/($B$8-1))</f>
        <v>#DIV/0!</v>
      </c>
      <c r="AI1374" s="1" t="e">
        <f t="shared" si="116"/>
        <v>#DIV/0!</v>
      </c>
      <c r="AJ1374" s="4" t="e">
        <f ca="1">SQRT($B$9)*_xlfn.STDEV.S(AI1374:OFFSET(AI1374,$B$5-1,0))</f>
        <v>#DIV/0!</v>
      </c>
      <c r="AK1374" s="4" t="e">
        <f ca="1">SQRT($B$9)*_xlfn.STDEV.S(AI1374:OFFSET(AI1374,$B$6-1,0))</f>
        <v>#DIV/0!</v>
      </c>
      <c r="AL1374" s="4" t="e">
        <f ca="1">SQRT($B$9)*_xlfn.STDEV.S(AI1374:OFFSET(AI1374,$B$7-1,0))</f>
        <v>#DIV/0!</v>
      </c>
      <c r="AM1374" s="4" t="e">
        <f ca="1">SQRT($B$9)*_xlfn.STDEV.S(AI1374:OFFSET(AI1374,$B$8-1,0))</f>
        <v>#DIV/0!</v>
      </c>
    </row>
    <row r="1375" spans="11:39" x14ac:dyDescent="0.2">
      <c r="K1375" s="3" t="e">
        <f t="shared" si="114"/>
        <v>#DIV/0!</v>
      </c>
      <c r="L1375" s="3" t="e">
        <f ca="1">SQRT(AVERAGE(K1375:OFFSET(K1375,$B$5-1,0))*$B$9/(4*LN(2)))</f>
        <v>#DIV/0!</v>
      </c>
      <c r="M1375" s="3" t="e">
        <f ca="1">SQRT(AVERAGE(K1375:OFFSET(K1375,$B$6-1,0))*$B$9/(4*LN(2)))</f>
        <v>#DIV/0!</v>
      </c>
      <c r="N1375" s="3" t="e">
        <f ca="1">SQRT(AVERAGE(K1375:OFFSET(K1375,$B$7-1,0))*$B$9/(4*LN(2)))</f>
        <v>#DIV/0!</v>
      </c>
      <c r="O1375" s="3" t="e">
        <f ca="1">SQRT(AVERAGE(K1375:OFFSET(K1375,$B$8-1,0))*$B$9/(4*LN(2)))</f>
        <v>#DIV/0!</v>
      </c>
      <c r="Q1375" s="5" t="e">
        <f t="shared" si="113"/>
        <v>#DIV/0!</v>
      </c>
      <c r="R1375" s="5" t="e">
        <f ca="1">SQRT($B$9*AVERAGE((Q1375:OFFSET(Q1375,$B$5-1,0))))</f>
        <v>#DIV/0!</v>
      </c>
      <c r="S1375" s="5" t="e">
        <f ca="1">SQRT($B$9*AVERAGE((Q1375:OFFSET(Q1375,$B$6-1,0))))</f>
        <v>#DIV/0!</v>
      </c>
      <c r="T1375" s="5" t="e">
        <f ca="1">SQRT($B$9*AVERAGE((Q1375:OFFSET(Q1375,$B$7-1,0))))</f>
        <v>#DIV/0!</v>
      </c>
      <c r="U1375" s="5" t="e">
        <f ca="1">SQRT($B$9*AVERAGE((Q1375:OFFSET(Q1375,$B$8-1,0))))</f>
        <v>#DIV/0!</v>
      </c>
      <c r="W1375" s="6" t="e">
        <f t="shared" si="112"/>
        <v>#DIV/0!</v>
      </c>
      <c r="X1375" s="6" t="e">
        <f ca="1">SQRT($B$9*AVERAGE(W1375:OFFSET(W1375,$B$5-1,0)))</f>
        <v>#DIV/0!</v>
      </c>
      <c r="Y1375" s="6" t="e">
        <f ca="1">SQRT($B$9*AVERAGE(W1375:OFFSET(W1375,$B$6-1,0)))</f>
        <v>#DIV/0!</v>
      </c>
      <c r="Z1375" s="6" t="e">
        <f ca="1">SQRT($B$9*AVERAGE(W1375:OFFSET(W1375,$B$7-1,0)))</f>
        <v>#DIV/0!</v>
      </c>
      <c r="AA1375" s="6" t="e">
        <f ca="1">SQRT($B$9*AVERAGE(W1375:OFFSET(W1375,$B$8-1,0)))</f>
        <v>#DIV/0!</v>
      </c>
      <c r="AC1375" s="34" t="e">
        <f t="shared" si="115"/>
        <v>#DIV/0!</v>
      </c>
      <c r="AD1375" s="34" t="e">
        <f ca="1">SQRT($B$9*SUM(AC1375:OFFSET(AC1375,$B$5-1,0))/($B$5-1))</f>
        <v>#DIV/0!</v>
      </c>
      <c r="AE1375" s="34" t="e">
        <f ca="1">SQRT($B$9*SUM(AC1375:OFFSET(AC1375,$B$6-1,0))/($B$6-1))</f>
        <v>#DIV/0!</v>
      </c>
      <c r="AF1375" s="34" t="e">
        <f ca="1">SQRT($B$9*SUM(AC1375:OFFSET(AC1375,$B$7-1,0))/($B$7-1))</f>
        <v>#DIV/0!</v>
      </c>
      <c r="AG1375" s="34" t="e">
        <f ca="1">SQRT($B$9*SUM(AC1375:OFFSET(AC1375,$B$8-1,0))/($B$8-1))</f>
        <v>#DIV/0!</v>
      </c>
      <c r="AI1375" s="1" t="e">
        <f t="shared" si="116"/>
        <v>#DIV/0!</v>
      </c>
      <c r="AJ1375" s="4" t="e">
        <f ca="1">SQRT($B$9)*_xlfn.STDEV.S(AI1375:OFFSET(AI1375,$B$5-1,0))</f>
        <v>#DIV/0!</v>
      </c>
      <c r="AK1375" s="4" t="e">
        <f ca="1">SQRT($B$9)*_xlfn.STDEV.S(AI1375:OFFSET(AI1375,$B$6-1,0))</f>
        <v>#DIV/0!</v>
      </c>
      <c r="AL1375" s="4" t="e">
        <f ca="1">SQRT($B$9)*_xlfn.STDEV.S(AI1375:OFFSET(AI1375,$B$7-1,0))</f>
        <v>#DIV/0!</v>
      </c>
      <c r="AM1375" s="4" t="e">
        <f ca="1">SQRT($B$9)*_xlfn.STDEV.S(AI1375:OFFSET(AI1375,$B$8-1,0))</f>
        <v>#DIV/0!</v>
      </c>
    </row>
    <row r="1376" spans="11:39" x14ac:dyDescent="0.2">
      <c r="K1376" s="3" t="e">
        <f t="shared" si="114"/>
        <v>#DIV/0!</v>
      </c>
      <c r="L1376" s="3" t="e">
        <f ca="1">SQRT(AVERAGE(K1376:OFFSET(K1376,$B$5-1,0))*$B$9/(4*LN(2)))</f>
        <v>#DIV/0!</v>
      </c>
      <c r="M1376" s="3" t="e">
        <f ca="1">SQRT(AVERAGE(K1376:OFFSET(K1376,$B$6-1,0))*$B$9/(4*LN(2)))</f>
        <v>#DIV/0!</v>
      </c>
      <c r="N1376" s="3" t="e">
        <f ca="1">SQRT(AVERAGE(K1376:OFFSET(K1376,$B$7-1,0))*$B$9/(4*LN(2)))</f>
        <v>#DIV/0!</v>
      </c>
      <c r="O1376" s="3" t="e">
        <f ca="1">SQRT(AVERAGE(K1376:OFFSET(K1376,$B$8-1,0))*$B$9/(4*LN(2)))</f>
        <v>#DIV/0!</v>
      </c>
      <c r="Q1376" s="5" t="e">
        <f t="shared" si="113"/>
        <v>#DIV/0!</v>
      </c>
      <c r="R1376" s="5" t="e">
        <f ca="1">SQRT($B$9*AVERAGE((Q1376:OFFSET(Q1376,$B$5-1,0))))</f>
        <v>#DIV/0!</v>
      </c>
      <c r="S1376" s="5" t="e">
        <f ca="1">SQRT($B$9*AVERAGE((Q1376:OFFSET(Q1376,$B$6-1,0))))</f>
        <v>#DIV/0!</v>
      </c>
      <c r="T1376" s="5" t="e">
        <f ca="1">SQRT($B$9*AVERAGE((Q1376:OFFSET(Q1376,$B$7-1,0))))</f>
        <v>#DIV/0!</v>
      </c>
      <c r="U1376" s="5" t="e">
        <f ca="1">SQRT($B$9*AVERAGE((Q1376:OFFSET(Q1376,$B$8-1,0))))</f>
        <v>#DIV/0!</v>
      </c>
      <c r="W1376" s="6" t="e">
        <f t="shared" si="112"/>
        <v>#DIV/0!</v>
      </c>
      <c r="X1376" s="6" t="e">
        <f ca="1">SQRT($B$9*AVERAGE(W1376:OFFSET(W1376,$B$5-1,0)))</f>
        <v>#DIV/0!</v>
      </c>
      <c r="Y1376" s="6" t="e">
        <f ca="1">SQRT($B$9*AVERAGE(W1376:OFFSET(W1376,$B$6-1,0)))</f>
        <v>#DIV/0!</v>
      </c>
      <c r="Z1376" s="6" t="e">
        <f ca="1">SQRT($B$9*AVERAGE(W1376:OFFSET(W1376,$B$7-1,0)))</f>
        <v>#DIV/0!</v>
      </c>
      <c r="AA1376" s="6" t="e">
        <f ca="1">SQRT($B$9*AVERAGE(W1376:OFFSET(W1376,$B$8-1,0)))</f>
        <v>#DIV/0!</v>
      </c>
      <c r="AC1376" s="34" t="e">
        <f t="shared" si="115"/>
        <v>#DIV/0!</v>
      </c>
      <c r="AD1376" s="34" t="e">
        <f ca="1">SQRT($B$9*SUM(AC1376:OFFSET(AC1376,$B$5-1,0))/($B$5-1))</f>
        <v>#DIV/0!</v>
      </c>
      <c r="AE1376" s="34" t="e">
        <f ca="1">SQRT($B$9*SUM(AC1376:OFFSET(AC1376,$B$6-1,0))/($B$6-1))</f>
        <v>#DIV/0!</v>
      </c>
      <c r="AF1376" s="34" t="e">
        <f ca="1">SQRT($B$9*SUM(AC1376:OFFSET(AC1376,$B$7-1,0))/($B$7-1))</f>
        <v>#DIV/0!</v>
      </c>
      <c r="AG1376" s="34" t="e">
        <f ca="1">SQRT($B$9*SUM(AC1376:OFFSET(AC1376,$B$8-1,0))/($B$8-1))</f>
        <v>#DIV/0!</v>
      </c>
      <c r="AI1376" s="1" t="e">
        <f t="shared" si="116"/>
        <v>#DIV/0!</v>
      </c>
      <c r="AJ1376" s="4" t="e">
        <f ca="1">SQRT($B$9)*_xlfn.STDEV.S(AI1376:OFFSET(AI1376,$B$5-1,0))</f>
        <v>#DIV/0!</v>
      </c>
      <c r="AK1376" s="4" t="e">
        <f ca="1">SQRT($B$9)*_xlfn.STDEV.S(AI1376:OFFSET(AI1376,$B$6-1,0))</f>
        <v>#DIV/0!</v>
      </c>
      <c r="AL1376" s="4" t="e">
        <f ca="1">SQRT($B$9)*_xlfn.STDEV.S(AI1376:OFFSET(AI1376,$B$7-1,0))</f>
        <v>#DIV/0!</v>
      </c>
      <c r="AM1376" s="4" t="e">
        <f ca="1">SQRT($B$9)*_xlfn.STDEV.S(AI1376:OFFSET(AI1376,$B$8-1,0))</f>
        <v>#DIV/0!</v>
      </c>
    </row>
    <row r="1377" spans="11:39" x14ac:dyDescent="0.2">
      <c r="K1377" s="3" t="e">
        <f t="shared" si="114"/>
        <v>#DIV/0!</v>
      </c>
      <c r="L1377" s="3" t="e">
        <f ca="1">SQRT(AVERAGE(K1377:OFFSET(K1377,$B$5-1,0))*$B$9/(4*LN(2)))</f>
        <v>#DIV/0!</v>
      </c>
      <c r="M1377" s="3" t="e">
        <f ca="1">SQRT(AVERAGE(K1377:OFFSET(K1377,$B$6-1,0))*$B$9/(4*LN(2)))</f>
        <v>#DIV/0!</v>
      </c>
      <c r="N1377" s="3" t="e">
        <f ca="1">SQRT(AVERAGE(K1377:OFFSET(K1377,$B$7-1,0))*$B$9/(4*LN(2)))</f>
        <v>#DIV/0!</v>
      </c>
      <c r="O1377" s="3" t="e">
        <f ca="1">SQRT(AVERAGE(K1377:OFFSET(K1377,$B$8-1,0))*$B$9/(4*LN(2)))</f>
        <v>#DIV/0!</v>
      </c>
      <c r="Q1377" s="5" t="e">
        <f t="shared" si="113"/>
        <v>#DIV/0!</v>
      </c>
      <c r="R1377" s="5" t="e">
        <f ca="1">SQRT($B$9*AVERAGE((Q1377:OFFSET(Q1377,$B$5-1,0))))</f>
        <v>#DIV/0!</v>
      </c>
      <c r="S1377" s="5" t="e">
        <f ca="1">SQRT($B$9*AVERAGE((Q1377:OFFSET(Q1377,$B$6-1,0))))</f>
        <v>#DIV/0!</v>
      </c>
      <c r="T1377" s="5" t="e">
        <f ca="1">SQRT($B$9*AVERAGE((Q1377:OFFSET(Q1377,$B$7-1,0))))</f>
        <v>#DIV/0!</v>
      </c>
      <c r="U1377" s="5" t="e">
        <f ca="1">SQRT($B$9*AVERAGE((Q1377:OFFSET(Q1377,$B$8-1,0))))</f>
        <v>#DIV/0!</v>
      </c>
      <c r="W1377" s="6" t="e">
        <f t="shared" si="112"/>
        <v>#DIV/0!</v>
      </c>
      <c r="X1377" s="6" t="e">
        <f ca="1">SQRT($B$9*AVERAGE(W1377:OFFSET(W1377,$B$5-1,0)))</f>
        <v>#DIV/0!</v>
      </c>
      <c r="Y1377" s="6" t="e">
        <f ca="1">SQRT($B$9*AVERAGE(W1377:OFFSET(W1377,$B$6-1,0)))</f>
        <v>#DIV/0!</v>
      </c>
      <c r="Z1377" s="6" t="e">
        <f ca="1">SQRT($B$9*AVERAGE(W1377:OFFSET(W1377,$B$7-1,0)))</f>
        <v>#DIV/0!</v>
      </c>
      <c r="AA1377" s="6" t="e">
        <f ca="1">SQRT($B$9*AVERAGE(W1377:OFFSET(W1377,$B$8-1,0)))</f>
        <v>#DIV/0!</v>
      </c>
      <c r="AC1377" s="34" t="e">
        <f t="shared" si="115"/>
        <v>#DIV/0!</v>
      </c>
      <c r="AD1377" s="34" t="e">
        <f ca="1">SQRT($B$9*SUM(AC1377:OFFSET(AC1377,$B$5-1,0))/($B$5-1))</f>
        <v>#DIV/0!</v>
      </c>
      <c r="AE1377" s="34" t="e">
        <f ca="1">SQRT($B$9*SUM(AC1377:OFFSET(AC1377,$B$6-1,0))/($B$6-1))</f>
        <v>#DIV/0!</v>
      </c>
      <c r="AF1377" s="34" t="e">
        <f ca="1">SQRT($B$9*SUM(AC1377:OFFSET(AC1377,$B$7-1,0))/($B$7-1))</f>
        <v>#DIV/0!</v>
      </c>
      <c r="AG1377" s="34" t="e">
        <f ca="1">SQRT($B$9*SUM(AC1377:OFFSET(AC1377,$B$8-1,0))/($B$8-1))</f>
        <v>#DIV/0!</v>
      </c>
      <c r="AI1377" s="1" t="e">
        <f t="shared" si="116"/>
        <v>#DIV/0!</v>
      </c>
      <c r="AJ1377" s="4" t="e">
        <f ca="1">SQRT($B$9)*_xlfn.STDEV.S(AI1377:OFFSET(AI1377,$B$5-1,0))</f>
        <v>#DIV/0!</v>
      </c>
      <c r="AK1377" s="4" t="e">
        <f ca="1">SQRT($B$9)*_xlfn.STDEV.S(AI1377:OFFSET(AI1377,$B$6-1,0))</f>
        <v>#DIV/0!</v>
      </c>
      <c r="AL1377" s="4" t="e">
        <f ca="1">SQRT($B$9)*_xlfn.STDEV.S(AI1377:OFFSET(AI1377,$B$7-1,0))</f>
        <v>#DIV/0!</v>
      </c>
      <c r="AM1377" s="4" t="e">
        <f ca="1">SQRT($B$9)*_xlfn.STDEV.S(AI1377:OFFSET(AI1377,$B$8-1,0))</f>
        <v>#DIV/0!</v>
      </c>
    </row>
    <row r="1378" spans="11:39" x14ac:dyDescent="0.2">
      <c r="K1378" s="3" t="e">
        <f t="shared" si="114"/>
        <v>#DIV/0!</v>
      </c>
      <c r="L1378" s="3" t="e">
        <f ca="1">SQRT(AVERAGE(K1378:OFFSET(K1378,$B$5-1,0))*$B$9/(4*LN(2)))</f>
        <v>#DIV/0!</v>
      </c>
      <c r="M1378" s="3" t="e">
        <f ca="1">SQRT(AVERAGE(K1378:OFFSET(K1378,$B$6-1,0))*$B$9/(4*LN(2)))</f>
        <v>#DIV/0!</v>
      </c>
      <c r="N1378" s="3" t="e">
        <f ca="1">SQRT(AVERAGE(K1378:OFFSET(K1378,$B$7-1,0))*$B$9/(4*LN(2)))</f>
        <v>#DIV/0!</v>
      </c>
      <c r="O1378" s="3" t="e">
        <f ca="1">SQRT(AVERAGE(K1378:OFFSET(K1378,$B$8-1,0))*$B$9/(4*LN(2)))</f>
        <v>#DIV/0!</v>
      </c>
      <c r="Q1378" s="5" t="e">
        <f t="shared" si="113"/>
        <v>#DIV/0!</v>
      </c>
      <c r="R1378" s="5" t="e">
        <f ca="1">SQRT($B$9*AVERAGE((Q1378:OFFSET(Q1378,$B$5-1,0))))</f>
        <v>#DIV/0!</v>
      </c>
      <c r="S1378" s="5" t="e">
        <f ca="1">SQRT($B$9*AVERAGE((Q1378:OFFSET(Q1378,$B$6-1,0))))</f>
        <v>#DIV/0!</v>
      </c>
      <c r="T1378" s="5" t="e">
        <f ca="1">SQRT($B$9*AVERAGE((Q1378:OFFSET(Q1378,$B$7-1,0))))</f>
        <v>#DIV/0!</v>
      </c>
      <c r="U1378" s="5" t="e">
        <f ca="1">SQRT($B$9*AVERAGE((Q1378:OFFSET(Q1378,$B$8-1,0))))</f>
        <v>#DIV/0!</v>
      </c>
      <c r="W1378" s="6" t="e">
        <f t="shared" si="112"/>
        <v>#DIV/0!</v>
      </c>
      <c r="X1378" s="6" t="e">
        <f ca="1">SQRT($B$9*AVERAGE(W1378:OFFSET(W1378,$B$5-1,0)))</f>
        <v>#DIV/0!</v>
      </c>
      <c r="Y1378" s="6" t="e">
        <f ca="1">SQRT($B$9*AVERAGE(W1378:OFFSET(W1378,$B$6-1,0)))</f>
        <v>#DIV/0!</v>
      </c>
      <c r="Z1378" s="6" t="e">
        <f ca="1">SQRT($B$9*AVERAGE(W1378:OFFSET(W1378,$B$7-1,0)))</f>
        <v>#DIV/0!</v>
      </c>
      <c r="AA1378" s="6" t="e">
        <f ca="1">SQRT($B$9*AVERAGE(W1378:OFFSET(W1378,$B$8-1,0)))</f>
        <v>#DIV/0!</v>
      </c>
      <c r="AC1378" s="34" t="e">
        <f t="shared" si="115"/>
        <v>#DIV/0!</v>
      </c>
      <c r="AD1378" s="34" t="e">
        <f ca="1">SQRT($B$9*SUM(AC1378:OFFSET(AC1378,$B$5-1,0))/($B$5-1))</f>
        <v>#DIV/0!</v>
      </c>
      <c r="AE1378" s="34" t="e">
        <f ca="1">SQRT($B$9*SUM(AC1378:OFFSET(AC1378,$B$6-1,0))/($B$6-1))</f>
        <v>#DIV/0!</v>
      </c>
      <c r="AF1378" s="34" t="e">
        <f ca="1">SQRT($B$9*SUM(AC1378:OFFSET(AC1378,$B$7-1,0))/($B$7-1))</f>
        <v>#DIV/0!</v>
      </c>
      <c r="AG1378" s="34" t="e">
        <f ca="1">SQRT($B$9*SUM(AC1378:OFFSET(AC1378,$B$8-1,0))/($B$8-1))</f>
        <v>#DIV/0!</v>
      </c>
      <c r="AI1378" s="1" t="e">
        <f t="shared" si="116"/>
        <v>#DIV/0!</v>
      </c>
      <c r="AJ1378" s="4" t="e">
        <f ca="1">SQRT($B$9)*_xlfn.STDEV.S(AI1378:OFFSET(AI1378,$B$5-1,0))</f>
        <v>#DIV/0!</v>
      </c>
      <c r="AK1378" s="4" t="e">
        <f ca="1">SQRT($B$9)*_xlfn.STDEV.S(AI1378:OFFSET(AI1378,$B$6-1,0))</f>
        <v>#DIV/0!</v>
      </c>
      <c r="AL1378" s="4" t="e">
        <f ca="1">SQRT($B$9)*_xlfn.STDEV.S(AI1378:OFFSET(AI1378,$B$7-1,0))</f>
        <v>#DIV/0!</v>
      </c>
      <c r="AM1378" s="4" t="e">
        <f ca="1">SQRT($B$9)*_xlfn.STDEV.S(AI1378:OFFSET(AI1378,$B$8-1,0))</f>
        <v>#DIV/0!</v>
      </c>
    </row>
    <row r="1379" spans="11:39" x14ac:dyDescent="0.2">
      <c r="K1379" s="3" t="e">
        <f t="shared" si="114"/>
        <v>#DIV/0!</v>
      </c>
      <c r="L1379" s="3" t="e">
        <f ca="1">SQRT(AVERAGE(K1379:OFFSET(K1379,$B$5-1,0))*$B$9/(4*LN(2)))</f>
        <v>#DIV/0!</v>
      </c>
      <c r="M1379" s="3" t="e">
        <f ca="1">SQRT(AVERAGE(K1379:OFFSET(K1379,$B$6-1,0))*$B$9/(4*LN(2)))</f>
        <v>#DIV/0!</v>
      </c>
      <c r="N1379" s="3" t="e">
        <f ca="1">SQRT(AVERAGE(K1379:OFFSET(K1379,$B$7-1,0))*$B$9/(4*LN(2)))</f>
        <v>#DIV/0!</v>
      </c>
      <c r="O1379" s="3" t="e">
        <f ca="1">SQRT(AVERAGE(K1379:OFFSET(K1379,$B$8-1,0))*$B$9/(4*LN(2)))</f>
        <v>#DIV/0!</v>
      </c>
      <c r="Q1379" s="5" t="e">
        <f t="shared" si="113"/>
        <v>#DIV/0!</v>
      </c>
      <c r="R1379" s="5" t="e">
        <f ca="1">SQRT($B$9*AVERAGE((Q1379:OFFSET(Q1379,$B$5-1,0))))</f>
        <v>#DIV/0!</v>
      </c>
      <c r="S1379" s="5" t="e">
        <f ca="1">SQRT($B$9*AVERAGE((Q1379:OFFSET(Q1379,$B$6-1,0))))</f>
        <v>#DIV/0!</v>
      </c>
      <c r="T1379" s="5" t="e">
        <f ca="1">SQRT($B$9*AVERAGE((Q1379:OFFSET(Q1379,$B$7-1,0))))</f>
        <v>#DIV/0!</v>
      </c>
      <c r="U1379" s="5" t="e">
        <f ca="1">SQRT($B$9*AVERAGE((Q1379:OFFSET(Q1379,$B$8-1,0))))</f>
        <v>#DIV/0!</v>
      </c>
      <c r="W1379" s="6" t="e">
        <f t="shared" si="112"/>
        <v>#DIV/0!</v>
      </c>
      <c r="X1379" s="6" t="e">
        <f ca="1">SQRT($B$9*AVERAGE(W1379:OFFSET(W1379,$B$5-1,0)))</f>
        <v>#DIV/0!</v>
      </c>
      <c r="Y1379" s="6" t="e">
        <f ca="1">SQRT($B$9*AVERAGE(W1379:OFFSET(W1379,$B$6-1,0)))</f>
        <v>#DIV/0!</v>
      </c>
      <c r="Z1379" s="6" t="e">
        <f ca="1">SQRT($B$9*AVERAGE(W1379:OFFSET(W1379,$B$7-1,0)))</f>
        <v>#DIV/0!</v>
      </c>
      <c r="AA1379" s="6" t="e">
        <f ca="1">SQRT($B$9*AVERAGE(W1379:OFFSET(W1379,$B$8-1,0)))</f>
        <v>#DIV/0!</v>
      </c>
      <c r="AC1379" s="34" t="e">
        <f t="shared" si="115"/>
        <v>#DIV/0!</v>
      </c>
      <c r="AD1379" s="34" t="e">
        <f ca="1">SQRT($B$9*SUM(AC1379:OFFSET(AC1379,$B$5-1,0))/($B$5-1))</f>
        <v>#DIV/0!</v>
      </c>
      <c r="AE1379" s="34" t="e">
        <f ca="1">SQRT($B$9*SUM(AC1379:OFFSET(AC1379,$B$6-1,0))/($B$6-1))</f>
        <v>#DIV/0!</v>
      </c>
      <c r="AF1379" s="34" t="e">
        <f ca="1">SQRT($B$9*SUM(AC1379:OFFSET(AC1379,$B$7-1,0))/($B$7-1))</f>
        <v>#DIV/0!</v>
      </c>
      <c r="AG1379" s="34" t="e">
        <f ca="1">SQRT($B$9*SUM(AC1379:OFFSET(AC1379,$B$8-1,0))/($B$8-1))</f>
        <v>#DIV/0!</v>
      </c>
      <c r="AI1379" s="1" t="e">
        <f t="shared" si="116"/>
        <v>#DIV/0!</v>
      </c>
      <c r="AJ1379" s="4" t="e">
        <f ca="1">SQRT($B$9)*_xlfn.STDEV.S(AI1379:OFFSET(AI1379,$B$5-1,0))</f>
        <v>#DIV/0!</v>
      </c>
      <c r="AK1379" s="4" t="e">
        <f ca="1">SQRT($B$9)*_xlfn.STDEV.S(AI1379:OFFSET(AI1379,$B$6-1,0))</f>
        <v>#DIV/0!</v>
      </c>
      <c r="AL1379" s="4" t="e">
        <f ca="1">SQRT($B$9)*_xlfn.STDEV.S(AI1379:OFFSET(AI1379,$B$7-1,0))</f>
        <v>#DIV/0!</v>
      </c>
      <c r="AM1379" s="4" t="e">
        <f ca="1">SQRT($B$9)*_xlfn.STDEV.S(AI1379:OFFSET(AI1379,$B$8-1,0))</f>
        <v>#DIV/0!</v>
      </c>
    </row>
    <row r="1380" spans="11:39" x14ac:dyDescent="0.2">
      <c r="K1380" s="3" t="e">
        <f t="shared" si="114"/>
        <v>#DIV/0!</v>
      </c>
      <c r="L1380" s="3" t="e">
        <f ca="1">SQRT(AVERAGE(K1380:OFFSET(K1380,$B$5-1,0))*$B$9/(4*LN(2)))</f>
        <v>#DIV/0!</v>
      </c>
      <c r="M1380" s="3" t="e">
        <f ca="1">SQRT(AVERAGE(K1380:OFFSET(K1380,$B$6-1,0))*$B$9/(4*LN(2)))</f>
        <v>#DIV/0!</v>
      </c>
      <c r="N1380" s="3" t="e">
        <f ca="1">SQRT(AVERAGE(K1380:OFFSET(K1380,$B$7-1,0))*$B$9/(4*LN(2)))</f>
        <v>#DIV/0!</v>
      </c>
      <c r="O1380" s="3" t="e">
        <f ca="1">SQRT(AVERAGE(K1380:OFFSET(K1380,$B$8-1,0))*$B$9/(4*LN(2)))</f>
        <v>#DIV/0!</v>
      </c>
      <c r="Q1380" s="5" t="e">
        <f t="shared" si="113"/>
        <v>#DIV/0!</v>
      </c>
      <c r="R1380" s="5" t="e">
        <f ca="1">SQRT($B$9*AVERAGE((Q1380:OFFSET(Q1380,$B$5-1,0))))</f>
        <v>#DIV/0!</v>
      </c>
      <c r="S1380" s="5" t="e">
        <f ca="1">SQRT($B$9*AVERAGE((Q1380:OFFSET(Q1380,$B$6-1,0))))</f>
        <v>#DIV/0!</v>
      </c>
      <c r="T1380" s="5" t="e">
        <f ca="1">SQRT($B$9*AVERAGE((Q1380:OFFSET(Q1380,$B$7-1,0))))</f>
        <v>#DIV/0!</v>
      </c>
      <c r="U1380" s="5" t="e">
        <f ca="1">SQRT($B$9*AVERAGE((Q1380:OFFSET(Q1380,$B$8-1,0))))</f>
        <v>#DIV/0!</v>
      </c>
      <c r="W1380" s="6" t="e">
        <f t="shared" si="112"/>
        <v>#DIV/0!</v>
      </c>
      <c r="X1380" s="6" t="e">
        <f ca="1">SQRT($B$9*AVERAGE(W1380:OFFSET(W1380,$B$5-1,0)))</f>
        <v>#DIV/0!</v>
      </c>
      <c r="Y1380" s="6" t="e">
        <f ca="1">SQRT($B$9*AVERAGE(W1380:OFFSET(W1380,$B$6-1,0)))</f>
        <v>#DIV/0!</v>
      </c>
      <c r="Z1380" s="6" t="e">
        <f ca="1">SQRT($B$9*AVERAGE(W1380:OFFSET(W1380,$B$7-1,0)))</f>
        <v>#DIV/0!</v>
      </c>
      <c r="AA1380" s="6" t="e">
        <f ca="1">SQRT($B$9*AVERAGE(W1380:OFFSET(W1380,$B$8-1,0)))</f>
        <v>#DIV/0!</v>
      </c>
      <c r="AC1380" s="34" t="e">
        <f t="shared" si="115"/>
        <v>#DIV/0!</v>
      </c>
      <c r="AD1380" s="34" t="e">
        <f ca="1">SQRT($B$9*SUM(AC1380:OFFSET(AC1380,$B$5-1,0))/($B$5-1))</f>
        <v>#DIV/0!</v>
      </c>
      <c r="AE1380" s="34" t="e">
        <f ca="1">SQRT($B$9*SUM(AC1380:OFFSET(AC1380,$B$6-1,0))/($B$6-1))</f>
        <v>#DIV/0!</v>
      </c>
      <c r="AF1380" s="34" t="e">
        <f ca="1">SQRT($B$9*SUM(AC1380:OFFSET(AC1380,$B$7-1,0))/($B$7-1))</f>
        <v>#DIV/0!</v>
      </c>
      <c r="AG1380" s="34" t="e">
        <f ca="1">SQRT($B$9*SUM(AC1380:OFFSET(AC1380,$B$8-1,0))/($B$8-1))</f>
        <v>#DIV/0!</v>
      </c>
      <c r="AI1380" s="1" t="e">
        <f t="shared" si="116"/>
        <v>#DIV/0!</v>
      </c>
      <c r="AJ1380" s="4" t="e">
        <f ca="1">SQRT($B$9)*_xlfn.STDEV.S(AI1380:OFFSET(AI1380,$B$5-1,0))</f>
        <v>#DIV/0!</v>
      </c>
      <c r="AK1380" s="4" t="e">
        <f ca="1">SQRT($B$9)*_xlfn.STDEV.S(AI1380:OFFSET(AI1380,$B$6-1,0))</f>
        <v>#DIV/0!</v>
      </c>
      <c r="AL1380" s="4" t="e">
        <f ca="1">SQRT($B$9)*_xlfn.STDEV.S(AI1380:OFFSET(AI1380,$B$7-1,0))</f>
        <v>#DIV/0!</v>
      </c>
      <c r="AM1380" s="4" t="e">
        <f ca="1">SQRT($B$9)*_xlfn.STDEV.S(AI1380:OFFSET(AI1380,$B$8-1,0))</f>
        <v>#DIV/0!</v>
      </c>
    </row>
    <row r="1381" spans="11:39" x14ac:dyDescent="0.2">
      <c r="K1381" s="3" t="e">
        <f t="shared" si="114"/>
        <v>#DIV/0!</v>
      </c>
      <c r="L1381" s="3" t="e">
        <f ca="1">SQRT(AVERAGE(K1381:OFFSET(K1381,$B$5-1,0))*$B$9/(4*LN(2)))</f>
        <v>#DIV/0!</v>
      </c>
      <c r="M1381" s="3" t="e">
        <f ca="1">SQRT(AVERAGE(K1381:OFFSET(K1381,$B$6-1,0))*$B$9/(4*LN(2)))</f>
        <v>#DIV/0!</v>
      </c>
      <c r="N1381" s="3" t="e">
        <f ca="1">SQRT(AVERAGE(K1381:OFFSET(K1381,$B$7-1,0))*$B$9/(4*LN(2)))</f>
        <v>#DIV/0!</v>
      </c>
      <c r="O1381" s="3" t="e">
        <f ca="1">SQRT(AVERAGE(K1381:OFFSET(K1381,$B$8-1,0))*$B$9/(4*LN(2)))</f>
        <v>#DIV/0!</v>
      </c>
      <c r="Q1381" s="5" t="e">
        <f t="shared" si="113"/>
        <v>#DIV/0!</v>
      </c>
      <c r="R1381" s="5" t="e">
        <f ca="1">SQRT($B$9*AVERAGE((Q1381:OFFSET(Q1381,$B$5-1,0))))</f>
        <v>#DIV/0!</v>
      </c>
      <c r="S1381" s="5" t="e">
        <f ca="1">SQRT($B$9*AVERAGE((Q1381:OFFSET(Q1381,$B$6-1,0))))</f>
        <v>#DIV/0!</v>
      </c>
      <c r="T1381" s="5" t="e">
        <f ca="1">SQRT($B$9*AVERAGE((Q1381:OFFSET(Q1381,$B$7-1,0))))</f>
        <v>#DIV/0!</v>
      </c>
      <c r="U1381" s="5" t="e">
        <f ca="1">SQRT($B$9*AVERAGE((Q1381:OFFSET(Q1381,$B$8-1,0))))</f>
        <v>#DIV/0!</v>
      </c>
      <c r="W1381" s="6" t="e">
        <f t="shared" si="112"/>
        <v>#DIV/0!</v>
      </c>
      <c r="X1381" s="6" t="e">
        <f ca="1">SQRT($B$9*AVERAGE(W1381:OFFSET(W1381,$B$5-1,0)))</f>
        <v>#DIV/0!</v>
      </c>
      <c r="Y1381" s="6" t="e">
        <f ca="1">SQRT($B$9*AVERAGE(W1381:OFFSET(W1381,$B$6-1,0)))</f>
        <v>#DIV/0!</v>
      </c>
      <c r="Z1381" s="6" t="e">
        <f ca="1">SQRT($B$9*AVERAGE(W1381:OFFSET(W1381,$B$7-1,0)))</f>
        <v>#DIV/0!</v>
      </c>
      <c r="AA1381" s="6" t="e">
        <f ca="1">SQRT($B$9*AVERAGE(W1381:OFFSET(W1381,$B$8-1,0)))</f>
        <v>#DIV/0!</v>
      </c>
      <c r="AC1381" s="34" t="e">
        <f t="shared" si="115"/>
        <v>#DIV/0!</v>
      </c>
      <c r="AD1381" s="34" t="e">
        <f ca="1">SQRT($B$9*SUM(AC1381:OFFSET(AC1381,$B$5-1,0))/($B$5-1))</f>
        <v>#DIV/0!</v>
      </c>
      <c r="AE1381" s="34" t="e">
        <f ca="1">SQRT($B$9*SUM(AC1381:OFFSET(AC1381,$B$6-1,0))/($B$6-1))</f>
        <v>#DIV/0!</v>
      </c>
      <c r="AF1381" s="34" t="e">
        <f ca="1">SQRT($B$9*SUM(AC1381:OFFSET(AC1381,$B$7-1,0))/($B$7-1))</f>
        <v>#DIV/0!</v>
      </c>
      <c r="AG1381" s="34" t="e">
        <f ca="1">SQRT($B$9*SUM(AC1381:OFFSET(AC1381,$B$8-1,0))/($B$8-1))</f>
        <v>#DIV/0!</v>
      </c>
      <c r="AI1381" s="1" t="e">
        <f t="shared" si="116"/>
        <v>#DIV/0!</v>
      </c>
      <c r="AJ1381" s="4" t="e">
        <f ca="1">SQRT($B$9)*_xlfn.STDEV.S(AI1381:OFFSET(AI1381,$B$5-1,0))</f>
        <v>#DIV/0!</v>
      </c>
      <c r="AK1381" s="4" t="e">
        <f ca="1">SQRT($B$9)*_xlfn.STDEV.S(AI1381:OFFSET(AI1381,$B$6-1,0))</f>
        <v>#DIV/0!</v>
      </c>
      <c r="AL1381" s="4" t="e">
        <f ca="1">SQRT($B$9)*_xlfn.STDEV.S(AI1381:OFFSET(AI1381,$B$7-1,0))</f>
        <v>#DIV/0!</v>
      </c>
      <c r="AM1381" s="4" t="e">
        <f ca="1">SQRT($B$9)*_xlfn.STDEV.S(AI1381:OFFSET(AI1381,$B$8-1,0))</f>
        <v>#DIV/0!</v>
      </c>
    </row>
    <row r="1382" spans="11:39" x14ac:dyDescent="0.2">
      <c r="K1382" s="3" t="e">
        <f t="shared" si="114"/>
        <v>#DIV/0!</v>
      </c>
      <c r="L1382" s="3" t="e">
        <f ca="1">SQRT(AVERAGE(K1382:OFFSET(K1382,$B$5-1,0))*$B$9/(4*LN(2)))</f>
        <v>#DIV/0!</v>
      </c>
      <c r="M1382" s="3" t="e">
        <f ca="1">SQRT(AVERAGE(K1382:OFFSET(K1382,$B$6-1,0))*$B$9/(4*LN(2)))</f>
        <v>#DIV/0!</v>
      </c>
      <c r="N1382" s="3" t="e">
        <f ca="1">SQRT(AVERAGE(K1382:OFFSET(K1382,$B$7-1,0))*$B$9/(4*LN(2)))</f>
        <v>#DIV/0!</v>
      </c>
      <c r="O1382" s="3" t="e">
        <f ca="1">SQRT(AVERAGE(K1382:OFFSET(K1382,$B$8-1,0))*$B$9/(4*LN(2)))</f>
        <v>#DIV/0!</v>
      </c>
      <c r="Q1382" s="5" t="e">
        <f t="shared" si="113"/>
        <v>#DIV/0!</v>
      </c>
      <c r="R1382" s="5" t="e">
        <f ca="1">SQRT($B$9*AVERAGE((Q1382:OFFSET(Q1382,$B$5-1,0))))</f>
        <v>#DIV/0!</v>
      </c>
      <c r="S1382" s="5" t="e">
        <f ca="1">SQRT($B$9*AVERAGE((Q1382:OFFSET(Q1382,$B$6-1,0))))</f>
        <v>#DIV/0!</v>
      </c>
      <c r="T1382" s="5" t="e">
        <f ca="1">SQRT($B$9*AVERAGE((Q1382:OFFSET(Q1382,$B$7-1,0))))</f>
        <v>#DIV/0!</v>
      </c>
      <c r="U1382" s="5" t="e">
        <f ca="1">SQRT($B$9*AVERAGE((Q1382:OFFSET(Q1382,$B$8-1,0))))</f>
        <v>#DIV/0!</v>
      </c>
      <c r="W1382" s="6" t="e">
        <f t="shared" si="112"/>
        <v>#DIV/0!</v>
      </c>
      <c r="X1382" s="6" t="e">
        <f ca="1">SQRT($B$9*AVERAGE(W1382:OFFSET(W1382,$B$5-1,0)))</f>
        <v>#DIV/0!</v>
      </c>
      <c r="Y1382" s="6" t="e">
        <f ca="1">SQRT($B$9*AVERAGE(W1382:OFFSET(W1382,$B$6-1,0)))</f>
        <v>#DIV/0!</v>
      </c>
      <c r="Z1382" s="6" t="e">
        <f ca="1">SQRT($B$9*AVERAGE(W1382:OFFSET(W1382,$B$7-1,0)))</f>
        <v>#DIV/0!</v>
      </c>
      <c r="AA1382" s="6" t="e">
        <f ca="1">SQRT($B$9*AVERAGE(W1382:OFFSET(W1382,$B$8-1,0)))</f>
        <v>#DIV/0!</v>
      </c>
      <c r="AC1382" s="34" t="e">
        <f t="shared" si="115"/>
        <v>#DIV/0!</v>
      </c>
      <c r="AD1382" s="34" t="e">
        <f ca="1">SQRT($B$9*SUM(AC1382:OFFSET(AC1382,$B$5-1,0))/($B$5-1))</f>
        <v>#DIV/0!</v>
      </c>
      <c r="AE1382" s="34" t="e">
        <f ca="1">SQRT($B$9*SUM(AC1382:OFFSET(AC1382,$B$6-1,0))/($B$6-1))</f>
        <v>#DIV/0!</v>
      </c>
      <c r="AF1382" s="34" t="e">
        <f ca="1">SQRT($B$9*SUM(AC1382:OFFSET(AC1382,$B$7-1,0))/($B$7-1))</f>
        <v>#DIV/0!</v>
      </c>
      <c r="AG1382" s="34" t="e">
        <f ca="1">SQRT($B$9*SUM(AC1382:OFFSET(AC1382,$B$8-1,0))/($B$8-1))</f>
        <v>#DIV/0!</v>
      </c>
      <c r="AI1382" s="1" t="e">
        <f t="shared" si="116"/>
        <v>#DIV/0!</v>
      </c>
      <c r="AJ1382" s="4" t="e">
        <f ca="1">SQRT($B$9)*_xlfn.STDEV.S(AI1382:OFFSET(AI1382,$B$5-1,0))</f>
        <v>#DIV/0!</v>
      </c>
      <c r="AK1382" s="4" t="e">
        <f ca="1">SQRT($B$9)*_xlfn.STDEV.S(AI1382:OFFSET(AI1382,$B$6-1,0))</f>
        <v>#DIV/0!</v>
      </c>
      <c r="AL1382" s="4" t="e">
        <f ca="1">SQRT($B$9)*_xlfn.STDEV.S(AI1382:OFFSET(AI1382,$B$7-1,0))</f>
        <v>#DIV/0!</v>
      </c>
      <c r="AM1382" s="4" t="e">
        <f ca="1">SQRT($B$9)*_xlfn.STDEV.S(AI1382:OFFSET(AI1382,$B$8-1,0))</f>
        <v>#DIV/0!</v>
      </c>
    </row>
    <row r="1383" spans="11:39" x14ac:dyDescent="0.2">
      <c r="K1383" s="3" t="e">
        <f t="shared" si="114"/>
        <v>#DIV/0!</v>
      </c>
      <c r="L1383" s="3" t="e">
        <f ca="1">SQRT(AVERAGE(K1383:OFFSET(K1383,$B$5-1,0))*$B$9/(4*LN(2)))</f>
        <v>#DIV/0!</v>
      </c>
      <c r="M1383" s="3" t="e">
        <f ca="1">SQRT(AVERAGE(K1383:OFFSET(K1383,$B$6-1,0))*$B$9/(4*LN(2)))</f>
        <v>#DIV/0!</v>
      </c>
      <c r="N1383" s="3" t="e">
        <f ca="1">SQRT(AVERAGE(K1383:OFFSET(K1383,$B$7-1,0))*$B$9/(4*LN(2)))</f>
        <v>#DIV/0!</v>
      </c>
      <c r="O1383" s="3" t="e">
        <f ca="1">SQRT(AVERAGE(K1383:OFFSET(K1383,$B$8-1,0))*$B$9/(4*LN(2)))</f>
        <v>#DIV/0!</v>
      </c>
      <c r="Q1383" s="5" t="e">
        <f t="shared" si="113"/>
        <v>#DIV/0!</v>
      </c>
      <c r="R1383" s="5" t="e">
        <f ca="1">SQRT($B$9*AVERAGE((Q1383:OFFSET(Q1383,$B$5-1,0))))</f>
        <v>#DIV/0!</v>
      </c>
      <c r="S1383" s="5" t="e">
        <f ca="1">SQRT($B$9*AVERAGE((Q1383:OFFSET(Q1383,$B$6-1,0))))</f>
        <v>#DIV/0!</v>
      </c>
      <c r="T1383" s="5" t="e">
        <f ca="1">SQRT($B$9*AVERAGE((Q1383:OFFSET(Q1383,$B$7-1,0))))</f>
        <v>#DIV/0!</v>
      </c>
      <c r="U1383" s="5" t="e">
        <f ca="1">SQRT($B$9*AVERAGE((Q1383:OFFSET(Q1383,$B$8-1,0))))</f>
        <v>#DIV/0!</v>
      </c>
      <c r="W1383" s="6" t="e">
        <f t="shared" ref="W1383:W1446" si="117">LN(G1383/I1383)*LN(G1383/F1383)+LN(H1383/I1383)*LN(H1383/F1383)</f>
        <v>#DIV/0!</v>
      </c>
      <c r="X1383" s="6" t="e">
        <f ca="1">SQRT($B$9*AVERAGE(W1383:OFFSET(W1383,$B$5-1,0)))</f>
        <v>#DIV/0!</v>
      </c>
      <c r="Y1383" s="6" t="e">
        <f ca="1">SQRT($B$9*AVERAGE(W1383:OFFSET(W1383,$B$6-1,0)))</f>
        <v>#DIV/0!</v>
      </c>
      <c r="Z1383" s="6" t="e">
        <f ca="1">SQRT($B$9*AVERAGE(W1383:OFFSET(W1383,$B$7-1,0)))</f>
        <v>#DIV/0!</v>
      </c>
      <c r="AA1383" s="6" t="e">
        <f ca="1">SQRT($B$9*AVERAGE(W1383:OFFSET(W1383,$B$8-1,0)))</f>
        <v>#DIV/0!</v>
      </c>
      <c r="AC1383" s="34" t="e">
        <f t="shared" si="115"/>
        <v>#DIV/0!</v>
      </c>
      <c r="AD1383" s="34" t="e">
        <f ca="1">SQRT($B$9*SUM(AC1383:OFFSET(AC1383,$B$5-1,0))/($B$5-1))</f>
        <v>#DIV/0!</v>
      </c>
      <c r="AE1383" s="34" t="e">
        <f ca="1">SQRT($B$9*SUM(AC1383:OFFSET(AC1383,$B$6-1,0))/($B$6-1))</f>
        <v>#DIV/0!</v>
      </c>
      <c r="AF1383" s="34" t="e">
        <f ca="1">SQRT($B$9*SUM(AC1383:OFFSET(AC1383,$B$7-1,0))/($B$7-1))</f>
        <v>#DIV/0!</v>
      </c>
      <c r="AG1383" s="34" t="e">
        <f ca="1">SQRT($B$9*SUM(AC1383:OFFSET(AC1383,$B$8-1,0))/($B$8-1))</f>
        <v>#DIV/0!</v>
      </c>
      <c r="AI1383" s="1" t="e">
        <f t="shared" si="116"/>
        <v>#DIV/0!</v>
      </c>
      <c r="AJ1383" s="4" t="e">
        <f ca="1">SQRT($B$9)*_xlfn.STDEV.S(AI1383:OFFSET(AI1383,$B$5-1,0))</f>
        <v>#DIV/0!</v>
      </c>
      <c r="AK1383" s="4" t="e">
        <f ca="1">SQRT($B$9)*_xlfn.STDEV.S(AI1383:OFFSET(AI1383,$B$6-1,0))</f>
        <v>#DIV/0!</v>
      </c>
      <c r="AL1383" s="4" t="e">
        <f ca="1">SQRT($B$9)*_xlfn.STDEV.S(AI1383:OFFSET(AI1383,$B$7-1,0))</f>
        <v>#DIV/0!</v>
      </c>
      <c r="AM1383" s="4" t="e">
        <f ca="1">SQRT($B$9)*_xlfn.STDEV.S(AI1383:OFFSET(AI1383,$B$8-1,0))</f>
        <v>#DIV/0!</v>
      </c>
    </row>
    <row r="1384" spans="11:39" x14ac:dyDescent="0.2">
      <c r="K1384" s="3" t="e">
        <f t="shared" si="114"/>
        <v>#DIV/0!</v>
      </c>
      <c r="L1384" s="3" t="e">
        <f ca="1">SQRT(AVERAGE(K1384:OFFSET(K1384,$B$5-1,0))*$B$9/(4*LN(2)))</f>
        <v>#DIV/0!</v>
      </c>
      <c r="M1384" s="3" t="e">
        <f ca="1">SQRT(AVERAGE(K1384:OFFSET(K1384,$B$6-1,0))*$B$9/(4*LN(2)))</f>
        <v>#DIV/0!</v>
      </c>
      <c r="N1384" s="3" t="e">
        <f ca="1">SQRT(AVERAGE(K1384:OFFSET(K1384,$B$7-1,0))*$B$9/(4*LN(2)))</f>
        <v>#DIV/0!</v>
      </c>
      <c r="O1384" s="3" t="e">
        <f ca="1">SQRT(AVERAGE(K1384:OFFSET(K1384,$B$8-1,0))*$B$9/(4*LN(2)))</f>
        <v>#DIV/0!</v>
      </c>
      <c r="Q1384" s="5" t="e">
        <f t="shared" si="113"/>
        <v>#DIV/0!</v>
      </c>
      <c r="R1384" s="5" t="e">
        <f ca="1">SQRT($B$9*AVERAGE((Q1384:OFFSET(Q1384,$B$5-1,0))))</f>
        <v>#DIV/0!</v>
      </c>
      <c r="S1384" s="5" t="e">
        <f ca="1">SQRT($B$9*AVERAGE((Q1384:OFFSET(Q1384,$B$6-1,0))))</f>
        <v>#DIV/0!</v>
      </c>
      <c r="T1384" s="5" t="e">
        <f ca="1">SQRT($B$9*AVERAGE((Q1384:OFFSET(Q1384,$B$7-1,0))))</f>
        <v>#DIV/0!</v>
      </c>
      <c r="U1384" s="5" t="e">
        <f ca="1">SQRT($B$9*AVERAGE((Q1384:OFFSET(Q1384,$B$8-1,0))))</f>
        <v>#DIV/0!</v>
      </c>
      <c r="W1384" s="6" t="e">
        <f t="shared" si="117"/>
        <v>#DIV/0!</v>
      </c>
      <c r="X1384" s="6" t="e">
        <f ca="1">SQRT($B$9*AVERAGE(W1384:OFFSET(W1384,$B$5-1,0)))</f>
        <v>#DIV/0!</v>
      </c>
      <c r="Y1384" s="6" t="e">
        <f ca="1">SQRT($B$9*AVERAGE(W1384:OFFSET(W1384,$B$6-1,0)))</f>
        <v>#DIV/0!</v>
      </c>
      <c r="Z1384" s="6" t="e">
        <f ca="1">SQRT($B$9*AVERAGE(W1384:OFFSET(W1384,$B$7-1,0)))</f>
        <v>#DIV/0!</v>
      </c>
      <c r="AA1384" s="6" t="e">
        <f ca="1">SQRT($B$9*AVERAGE(W1384:OFFSET(W1384,$B$8-1,0)))</f>
        <v>#DIV/0!</v>
      </c>
      <c r="AC1384" s="34" t="e">
        <f t="shared" si="115"/>
        <v>#DIV/0!</v>
      </c>
      <c r="AD1384" s="34" t="e">
        <f ca="1">SQRT($B$9*SUM(AC1384:OFFSET(AC1384,$B$5-1,0))/($B$5-1))</f>
        <v>#DIV/0!</v>
      </c>
      <c r="AE1384" s="34" t="e">
        <f ca="1">SQRT($B$9*SUM(AC1384:OFFSET(AC1384,$B$6-1,0))/($B$6-1))</f>
        <v>#DIV/0!</v>
      </c>
      <c r="AF1384" s="34" t="e">
        <f ca="1">SQRT($B$9*SUM(AC1384:OFFSET(AC1384,$B$7-1,0))/($B$7-1))</f>
        <v>#DIV/0!</v>
      </c>
      <c r="AG1384" s="34" t="e">
        <f ca="1">SQRT($B$9*SUM(AC1384:OFFSET(AC1384,$B$8-1,0))/($B$8-1))</f>
        <v>#DIV/0!</v>
      </c>
      <c r="AI1384" s="1" t="e">
        <f t="shared" si="116"/>
        <v>#DIV/0!</v>
      </c>
      <c r="AJ1384" s="4" t="e">
        <f ca="1">SQRT($B$9)*_xlfn.STDEV.S(AI1384:OFFSET(AI1384,$B$5-1,0))</f>
        <v>#DIV/0!</v>
      </c>
      <c r="AK1384" s="4" t="e">
        <f ca="1">SQRT($B$9)*_xlfn.STDEV.S(AI1384:OFFSET(AI1384,$B$6-1,0))</f>
        <v>#DIV/0!</v>
      </c>
      <c r="AL1384" s="4" t="e">
        <f ca="1">SQRT($B$9)*_xlfn.STDEV.S(AI1384:OFFSET(AI1384,$B$7-1,0))</f>
        <v>#DIV/0!</v>
      </c>
      <c r="AM1384" s="4" t="e">
        <f ca="1">SQRT($B$9)*_xlfn.STDEV.S(AI1384:OFFSET(AI1384,$B$8-1,0))</f>
        <v>#DIV/0!</v>
      </c>
    </row>
    <row r="1385" spans="11:39" x14ac:dyDescent="0.2">
      <c r="K1385" s="3" t="e">
        <f t="shared" si="114"/>
        <v>#DIV/0!</v>
      </c>
      <c r="L1385" s="3" t="e">
        <f ca="1">SQRT(AVERAGE(K1385:OFFSET(K1385,$B$5-1,0))*$B$9/(4*LN(2)))</f>
        <v>#DIV/0!</v>
      </c>
      <c r="M1385" s="3" t="e">
        <f ca="1">SQRT(AVERAGE(K1385:OFFSET(K1385,$B$6-1,0))*$B$9/(4*LN(2)))</f>
        <v>#DIV/0!</v>
      </c>
      <c r="N1385" s="3" t="e">
        <f ca="1">SQRT(AVERAGE(K1385:OFFSET(K1385,$B$7-1,0))*$B$9/(4*LN(2)))</f>
        <v>#DIV/0!</v>
      </c>
      <c r="O1385" s="3" t="e">
        <f ca="1">SQRT(AVERAGE(K1385:OFFSET(K1385,$B$8-1,0))*$B$9/(4*LN(2)))</f>
        <v>#DIV/0!</v>
      </c>
      <c r="Q1385" s="5" t="e">
        <f t="shared" si="113"/>
        <v>#DIV/0!</v>
      </c>
      <c r="R1385" s="5" t="e">
        <f ca="1">SQRT($B$9*AVERAGE((Q1385:OFFSET(Q1385,$B$5-1,0))))</f>
        <v>#DIV/0!</v>
      </c>
      <c r="S1385" s="5" t="e">
        <f ca="1">SQRT($B$9*AVERAGE((Q1385:OFFSET(Q1385,$B$6-1,0))))</f>
        <v>#DIV/0!</v>
      </c>
      <c r="T1385" s="5" t="e">
        <f ca="1">SQRT($B$9*AVERAGE((Q1385:OFFSET(Q1385,$B$7-1,0))))</f>
        <v>#DIV/0!</v>
      </c>
      <c r="U1385" s="5" t="e">
        <f ca="1">SQRT($B$9*AVERAGE((Q1385:OFFSET(Q1385,$B$8-1,0))))</f>
        <v>#DIV/0!</v>
      </c>
      <c r="W1385" s="6" t="e">
        <f t="shared" si="117"/>
        <v>#DIV/0!</v>
      </c>
      <c r="X1385" s="6" t="e">
        <f ca="1">SQRT($B$9*AVERAGE(W1385:OFFSET(W1385,$B$5-1,0)))</f>
        <v>#DIV/0!</v>
      </c>
      <c r="Y1385" s="6" t="e">
        <f ca="1">SQRT($B$9*AVERAGE(W1385:OFFSET(W1385,$B$6-1,0)))</f>
        <v>#DIV/0!</v>
      </c>
      <c r="Z1385" s="6" t="e">
        <f ca="1">SQRT($B$9*AVERAGE(W1385:OFFSET(W1385,$B$7-1,0)))</f>
        <v>#DIV/0!</v>
      </c>
      <c r="AA1385" s="6" t="e">
        <f ca="1">SQRT($B$9*AVERAGE(W1385:OFFSET(W1385,$B$8-1,0)))</f>
        <v>#DIV/0!</v>
      </c>
      <c r="AC1385" s="34" t="e">
        <f t="shared" si="115"/>
        <v>#DIV/0!</v>
      </c>
      <c r="AD1385" s="34" t="e">
        <f ca="1">SQRT($B$9*SUM(AC1385:OFFSET(AC1385,$B$5-1,0))/($B$5-1))</f>
        <v>#DIV/0!</v>
      </c>
      <c r="AE1385" s="34" t="e">
        <f ca="1">SQRT($B$9*SUM(AC1385:OFFSET(AC1385,$B$6-1,0))/($B$6-1))</f>
        <v>#DIV/0!</v>
      </c>
      <c r="AF1385" s="34" t="e">
        <f ca="1">SQRT($B$9*SUM(AC1385:OFFSET(AC1385,$B$7-1,0))/($B$7-1))</f>
        <v>#DIV/0!</v>
      </c>
      <c r="AG1385" s="34" t="e">
        <f ca="1">SQRT($B$9*SUM(AC1385:OFFSET(AC1385,$B$8-1,0))/($B$8-1))</f>
        <v>#DIV/0!</v>
      </c>
      <c r="AI1385" s="1" t="e">
        <f t="shared" si="116"/>
        <v>#DIV/0!</v>
      </c>
      <c r="AJ1385" s="4" t="e">
        <f ca="1">SQRT($B$9)*_xlfn.STDEV.S(AI1385:OFFSET(AI1385,$B$5-1,0))</f>
        <v>#DIV/0!</v>
      </c>
      <c r="AK1385" s="4" t="e">
        <f ca="1">SQRT($B$9)*_xlfn.STDEV.S(AI1385:OFFSET(AI1385,$B$6-1,0))</f>
        <v>#DIV/0!</v>
      </c>
      <c r="AL1385" s="4" t="e">
        <f ca="1">SQRT($B$9)*_xlfn.STDEV.S(AI1385:OFFSET(AI1385,$B$7-1,0))</f>
        <v>#DIV/0!</v>
      </c>
      <c r="AM1385" s="4" t="e">
        <f ca="1">SQRT($B$9)*_xlfn.STDEV.S(AI1385:OFFSET(AI1385,$B$8-1,0))</f>
        <v>#DIV/0!</v>
      </c>
    </row>
    <row r="1386" spans="11:39" x14ac:dyDescent="0.2">
      <c r="K1386" s="3" t="e">
        <f t="shared" si="114"/>
        <v>#DIV/0!</v>
      </c>
      <c r="L1386" s="3" t="e">
        <f ca="1">SQRT(AVERAGE(K1386:OFFSET(K1386,$B$5-1,0))*$B$9/(4*LN(2)))</f>
        <v>#DIV/0!</v>
      </c>
      <c r="M1386" s="3" t="e">
        <f ca="1">SQRT(AVERAGE(K1386:OFFSET(K1386,$B$6-1,0))*$B$9/(4*LN(2)))</f>
        <v>#DIV/0!</v>
      </c>
      <c r="N1386" s="3" t="e">
        <f ca="1">SQRT(AVERAGE(K1386:OFFSET(K1386,$B$7-1,0))*$B$9/(4*LN(2)))</f>
        <v>#DIV/0!</v>
      </c>
      <c r="O1386" s="3" t="e">
        <f ca="1">SQRT(AVERAGE(K1386:OFFSET(K1386,$B$8-1,0))*$B$9/(4*LN(2)))</f>
        <v>#DIV/0!</v>
      </c>
      <c r="Q1386" s="5" t="e">
        <f t="shared" si="113"/>
        <v>#DIV/0!</v>
      </c>
      <c r="R1386" s="5" t="e">
        <f ca="1">SQRT($B$9*AVERAGE((Q1386:OFFSET(Q1386,$B$5-1,0))))</f>
        <v>#DIV/0!</v>
      </c>
      <c r="S1386" s="5" t="e">
        <f ca="1">SQRT($B$9*AVERAGE((Q1386:OFFSET(Q1386,$B$6-1,0))))</f>
        <v>#DIV/0!</v>
      </c>
      <c r="T1386" s="5" t="e">
        <f ca="1">SQRT($B$9*AVERAGE((Q1386:OFFSET(Q1386,$B$7-1,0))))</f>
        <v>#DIV/0!</v>
      </c>
      <c r="U1386" s="5" t="e">
        <f ca="1">SQRT($B$9*AVERAGE((Q1386:OFFSET(Q1386,$B$8-1,0))))</f>
        <v>#DIV/0!</v>
      </c>
      <c r="W1386" s="6" t="e">
        <f t="shared" si="117"/>
        <v>#DIV/0!</v>
      </c>
      <c r="X1386" s="6" t="e">
        <f ca="1">SQRT($B$9*AVERAGE(W1386:OFFSET(W1386,$B$5-1,0)))</f>
        <v>#DIV/0!</v>
      </c>
      <c r="Y1386" s="6" t="e">
        <f ca="1">SQRT($B$9*AVERAGE(W1386:OFFSET(W1386,$B$6-1,0)))</f>
        <v>#DIV/0!</v>
      </c>
      <c r="Z1386" s="6" t="e">
        <f ca="1">SQRT($B$9*AVERAGE(W1386:OFFSET(W1386,$B$7-1,0)))</f>
        <v>#DIV/0!</v>
      </c>
      <c r="AA1386" s="6" t="e">
        <f ca="1">SQRT($B$9*AVERAGE(W1386:OFFSET(W1386,$B$8-1,0)))</f>
        <v>#DIV/0!</v>
      </c>
      <c r="AC1386" s="34" t="e">
        <f t="shared" si="115"/>
        <v>#DIV/0!</v>
      </c>
      <c r="AD1386" s="34" t="e">
        <f ca="1">SQRT($B$9*SUM(AC1386:OFFSET(AC1386,$B$5-1,0))/($B$5-1))</f>
        <v>#DIV/0!</v>
      </c>
      <c r="AE1386" s="34" t="e">
        <f ca="1">SQRT($B$9*SUM(AC1386:OFFSET(AC1386,$B$6-1,0))/($B$6-1))</f>
        <v>#DIV/0!</v>
      </c>
      <c r="AF1386" s="34" t="e">
        <f ca="1">SQRT($B$9*SUM(AC1386:OFFSET(AC1386,$B$7-1,0))/($B$7-1))</f>
        <v>#DIV/0!</v>
      </c>
      <c r="AG1386" s="34" t="e">
        <f ca="1">SQRT($B$9*SUM(AC1386:OFFSET(AC1386,$B$8-1,0))/($B$8-1))</f>
        <v>#DIV/0!</v>
      </c>
      <c r="AI1386" s="1" t="e">
        <f t="shared" si="116"/>
        <v>#DIV/0!</v>
      </c>
      <c r="AJ1386" s="4" t="e">
        <f ca="1">SQRT($B$9)*_xlfn.STDEV.S(AI1386:OFFSET(AI1386,$B$5-1,0))</f>
        <v>#DIV/0!</v>
      </c>
      <c r="AK1386" s="4" t="e">
        <f ca="1">SQRT($B$9)*_xlfn.STDEV.S(AI1386:OFFSET(AI1386,$B$6-1,0))</f>
        <v>#DIV/0!</v>
      </c>
      <c r="AL1386" s="4" t="e">
        <f ca="1">SQRT($B$9)*_xlfn.STDEV.S(AI1386:OFFSET(AI1386,$B$7-1,0))</f>
        <v>#DIV/0!</v>
      </c>
      <c r="AM1386" s="4" t="e">
        <f ca="1">SQRT($B$9)*_xlfn.STDEV.S(AI1386:OFFSET(AI1386,$B$8-1,0))</f>
        <v>#DIV/0!</v>
      </c>
    </row>
    <row r="1387" spans="11:39" x14ac:dyDescent="0.2">
      <c r="K1387" s="3" t="e">
        <f t="shared" si="114"/>
        <v>#DIV/0!</v>
      </c>
      <c r="L1387" s="3" t="e">
        <f ca="1">SQRT(AVERAGE(K1387:OFFSET(K1387,$B$5-1,0))*$B$9/(4*LN(2)))</f>
        <v>#DIV/0!</v>
      </c>
      <c r="M1387" s="3" t="e">
        <f ca="1">SQRT(AVERAGE(K1387:OFFSET(K1387,$B$6-1,0))*$B$9/(4*LN(2)))</f>
        <v>#DIV/0!</v>
      </c>
      <c r="N1387" s="3" t="e">
        <f ca="1">SQRT(AVERAGE(K1387:OFFSET(K1387,$B$7-1,0))*$B$9/(4*LN(2)))</f>
        <v>#DIV/0!</v>
      </c>
      <c r="O1387" s="3" t="e">
        <f ca="1">SQRT(AVERAGE(K1387:OFFSET(K1387,$B$8-1,0))*$B$9/(4*LN(2)))</f>
        <v>#DIV/0!</v>
      </c>
      <c r="Q1387" s="5" t="e">
        <f t="shared" si="113"/>
        <v>#DIV/0!</v>
      </c>
      <c r="R1387" s="5" t="e">
        <f ca="1">SQRT($B$9*AVERAGE((Q1387:OFFSET(Q1387,$B$5-1,0))))</f>
        <v>#DIV/0!</v>
      </c>
      <c r="S1387" s="5" t="e">
        <f ca="1">SQRT($B$9*AVERAGE((Q1387:OFFSET(Q1387,$B$6-1,0))))</f>
        <v>#DIV/0!</v>
      </c>
      <c r="T1387" s="5" t="e">
        <f ca="1">SQRT($B$9*AVERAGE((Q1387:OFFSET(Q1387,$B$7-1,0))))</f>
        <v>#DIV/0!</v>
      </c>
      <c r="U1387" s="5" t="e">
        <f ca="1">SQRT($B$9*AVERAGE((Q1387:OFFSET(Q1387,$B$8-1,0))))</f>
        <v>#DIV/0!</v>
      </c>
      <c r="W1387" s="6" t="e">
        <f t="shared" si="117"/>
        <v>#DIV/0!</v>
      </c>
      <c r="X1387" s="6" t="e">
        <f ca="1">SQRT($B$9*AVERAGE(W1387:OFFSET(W1387,$B$5-1,0)))</f>
        <v>#DIV/0!</v>
      </c>
      <c r="Y1387" s="6" t="e">
        <f ca="1">SQRT($B$9*AVERAGE(W1387:OFFSET(W1387,$B$6-1,0)))</f>
        <v>#DIV/0!</v>
      </c>
      <c r="Z1387" s="6" t="e">
        <f ca="1">SQRT($B$9*AVERAGE(W1387:OFFSET(W1387,$B$7-1,0)))</f>
        <v>#DIV/0!</v>
      </c>
      <c r="AA1387" s="6" t="e">
        <f ca="1">SQRT($B$9*AVERAGE(W1387:OFFSET(W1387,$B$8-1,0)))</f>
        <v>#DIV/0!</v>
      </c>
      <c r="AC1387" s="34" t="e">
        <f t="shared" si="115"/>
        <v>#DIV/0!</v>
      </c>
      <c r="AD1387" s="34" t="e">
        <f ca="1">SQRT($B$9*SUM(AC1387:OFFSET(AC1387,$B$5-1,0))/($B$5-1))</f>
        <v>#DIV/0!</v>
      </c>
      <c r="AE1387" s="34" t="e">
        <f ca="1">SQRT($B$9*SUM(AC1387:OFFSET(AC1387,$B$6-1,0))/($B$6-1))</f>
        <v>#DIV/0!</v>
      </c>
      <c r="AF1387" s="34" t="e">
        <f ca="1">SQRT($B$9*SUM(AC1387:OFFSET(AC1387,$B$7-1,0))/($B$7-1))</f>
        <v>#DIV/0!</v>
      </c>
      <c r="AG1387" s="34" t="e">
        <f ca="1">SQRT($B$9*SUM(AC1387:OFFSET(AC1387,$B$8-1,0))/($B$8-1))</f>
        <v>#DIV/0!</v>
      </c>
      <c r="AI1387" s="1" t="e">
        <f t="shared" si="116"/>
        <v>#DIV/0!</v>
      </c>
      <c r="AJ1387" s="4" t="e">
        <f ca="1">SQRT($B$9)*_xlfn.STDEV.S(AI1387:OFFSET(AI1387,$B$5-1,0))</f>
        <v>#DIV/0!</v>
      </c>
      <c r="AK1387" s="4" t="e">
        <f ca="1">SQRT($B$9)*_xlfn.STDEV.S(AI1387:OFFSET(AI1387,$B$6-1,0))</f>
        <v>#DIV/0!</v>
      </c>
      <c r="AL1387" s="4" t="e">
        <f ca="1">SQRT($B$9)*_xlfn.STDEV.S(AI1387:OFFSET(AI1387,$B$7-1,0))</f>
        <v>#DIV/0!</v>
      </c>
      <c r="AM1387" s="4" t="e">
        <f ca="1">SQRT($B$9)*_xlfn.STDEV.S(AI1387:OFFSET(AI1387,$B$8-1,0))</f>
        <v>#DIV/0!</v>
      </c>
    </row>
    <row r="1388" spans="11:39" x14ac:dyDescent="0.2">
      <c r="K1388" s="3" t="e">
        <f t="shared" si="114"/>
        <v>#DIV/0!</v>
      </c>
      <c r="L1388" s="3" t="e">
        <f ca="1">SQRT(AVERAGE(K1388:OFFSET(K1388,$B$5-1,0))*$B$9/(4*LN(2)))</f>
        <v>#DIV/0!</v>
      </c>
      <c r="M1388" s="3" t="e">
        <f ca="1">SQRT(AVERAGE(K1388:OFFSET(K1388,$B$6-1,0))*$B$9/(4*LN(2)))</f>
        <v>#DIV/0!</v>
      </c>
      <c r="N1388" s="3" t="e">
        <f ca="1">SQRT(AVERAGE(K1388:OFFSET(K1388,$B$7-1,0))*$B$9/(4*LN(2)))</f>
        <v>#DIV/0!</v>
      </c>
      <c r="O1388" s="3" t="e">
        <f ca="1">SQRT(AVERAGE(K1388:OFFSET(K1388,$B$8-1,0))*$B$9/(4*LN(2)))</f>
        <v>#DIV/0!</v>
      </c>
      <c r="Q1388" s="5" t="e">
        <f t="shared" si="113"/>
        <v>#DIV/0!</v>
      </c>
      <c r="R1388" s="5" t="e">
        <f ca="1">SQRT($B$9*AVERAGE((Q1388:OFFSET(Q1388,$B$5-1,0))))</f>
        <v>#DIV/0!</v>
      </c>
      <c r="S1388" s="5" t="e">
        <f ca="1">SQRT($B$9*AVERAGE((Q1388:OFFSET(Q1388,$B$6-1,0))))</f>
        <v>#DIV/0!</v>
      </c>
      <c r="T1388" s="5" t="e">
        <f ca="1">SQRT($B$9*AVERAGE((Q1388:OFFSET(Q1388,$B$7-1,0))))</f>
        <v>#DIV/0!</v>
      </c>
      <c r="U1388" s="5" t="e">
        <f ca="1">SQRT($B$9*AVERAGE((Q1388:OFFSET(Q1388,$B$8-1,0))))</f>
        <v>#DIV/0!</v>
      </c>
      <c r="W1388" s="6" t="e">
        <f t="shared" si="117"/>
        <v>#DIV/0!</v>
      </c>
      <c r="X1388" s="6" t="e">
        <f ca="1">SQRT($B$9*AVERAGE(W1388:OFFSET(W1388,$B$5-1,0)))</f>
        <v>#DIV/0!</v>
      </c>
      <c r="Y1388" s="6" t="e">
        <f ca="1">SQRT($B$9*AVERAGE(W1388:OFFSET(W1388,$B$6-1,0)))</f>
        <v>#DIV/0!</v>
      </c>
      <c r="Z1388" s="6" t="e">
        <f ca="1">SQRT($B$9*AVERAGE(W1388:OFFSET(W1388,$B$7-1,0)))</f>
        <v>#DIV/0!</v>
      </c>
      <c r="AA1388" s="6" t="e">
        <f ca="1">SQRT($B$9*AVERAGE(W1388:OFFSET(W1388,$B$8-1,0)))</f>
        <v>#DIV/0!</v>
      </c>
      <c r="AC1388" s="34" t="e">
        <f t="shared" si="115"/>
        <v>#DIV/0!</v>
      </c>
      <c r="AD1388" s="34" t="e">
        <f ca="1">SQRT($B$9*SUM(AC1388:OFFSET(AC1388,$B$5-1,0))/($B$5-1))</f>
        <v>#DIV/0!</v>
      </c>
      <c r="AE1388" s="34" t="e">
        <f ca="1">SQRT($B$9*SUM(AC1388:OFFSET(AC1388,$B$6-1,0))/($B$6-1))</f>
        <v>#DIV/0!</v>
      </c>
      <c r="AF1388" s="34" t="e">
        <f ca="1">SQRT($B$9*SUM(AC1388:OFFSET(AC1388,$B$7-1,0))/($B$7-1))</f>
        <v>#DIV/0!</v>
      </c>
      <c r="AG1388" s="34" t="e">
        <f ca="1">SQRT($B$9*SUM(AC1388:OFFSET(AC1388,$B$8-1,0))/($B$8-1))</f>
        <v>#DIV/0!</v>
      </c>
      <c r="AI1388" s="1" t="e">
        <f t="shared" si="116"/>
        <v>#DIV/0!</v>
      </c>
      <c r="AJ1388" s="4" t="e">
        <f ca="1">SQRT($B$9)*_xlfn.STDEV.S(AI1388:OFFSET(AI1388,$B$5-1,0))</f>
        <v>#DIV/0!</v>
      </c>
      <c r="AK1388" s="4" t="e">
        <f ca="1">SQRT($B$9)*_xlfn.STDEV.S(AI1388:OFFSET(AI1388,$B$6-1,0))</f>
        <v>#DIV/0!</v>
      </c>
      <c r="AL1388" s="4" t="e">
        <f ca="1">SQRT($B$9)*_xlfn.STDEV.S(AI1388:OFFSET(AI1388,$B$7-1,0))</f>
        <v>#DIV/0!</v>
      </c>
      <c r="AM1388" s="4" t="e">
        <f ca="1">SQRT($B$9)*_xlfn.STDEV.S(AI1388:OFFSET(AI1388,$B$8-1,0))</f>
        <v>#DIV/0!</v>
      </c>
    </row>
    <row r="1389" spans="11:39" x14ac:dyDescent="0.2">
      <c r="K1389" s="3" t="e">
        <f t="shared" si="114"/>
        <v>#DIV/0!</v>
      </c>
      <c r="L1389" s="3" t="e">
        <f ca="1">SQRT(AVERAGE(K1389:OFFSET(K1389,$B$5-1,0))*$B$9/(4*LN(2)))</f>
        <v>#DIV/0!</v>
      </c>
      <c r="M1389" s="3" t="e">
        <f ca="1">SQRT(AVERAGE(K1389:OFFSET(K1389,$B$6-1,0))*$B$9/(4*LN(2)))</f>
        <v>#DIV/0!</v>
      </c>
      <c r="N1389" s="3" t="e">
        <f ca="1">SQRT(AVERAGE(K1389:OFFSET(K1389,$B$7-1,0))*$B$9/(4*LN(2)))</f>
        <v>#DIV/0!</v>
      </c>
      <c r="O1389" s="3" t="e">
        <f ca="1">SQRT(AVERAGE(K1389:OFFSET(K1389,$B$8-1,0))*$B$9/(4*LN(2)))</f>
        <v>#DIV/0!</v>
      </c>
      <c r="Q1389" s="5" t="e">
        <f t="shared" si="113"/>
        <v>#DIV/0!</v>
      </c>
      <c r="R1389" s="5" t="e">
        <f ca="1">SQRT($B$9*AVERAGE((Q1389:OFFSET(Q1389,$B$5-1,0))))</f>
        <v>#DIV/0!</v>
      </c>
      <c r="S1389" s="5" t="e">
        <f ca="1">SQRT($B$9*AVERAGE((Q1389:OFFSET(Q1389,$B$6-1,0))))</f>
        <v>#DIV/0!</v>
      </c>
      <c r="T1389" s="5" t="e">
        <f ca="1">SQRT($B$9*AVERAGE((Q1389:OFFSET(Q1389,$B$7-1,0))))</f>
        <v>#DIV/0!</v>
      </c>
      <c r="U1389" s="5" t="e">
        <f ca="1">SQRT($B$9*AVERAGE((Q1389:OFFSET(Q1389,$B$8-1,0))))</f>
        <v>#DIV/0!</v>
      </c>
      <c r="W1389" s="6" t="e">
        <f t="shared" si="117"/>
        <v>#DIV/0!</v>
      </c>
      <c r="X1389" s="6" t="e">
        <f ca="1">SQRT($B$9*AVERAGE(W1389:OFFSET(W1389,$B$5-1,0)))</f>
        <v>#DIV/0!</v>
      </c>
      <c r="Y1389" s="6" t="e">
        <f ca="1">SQRT($B$9*AVERAGE(W1389:OFFSET(W1389,$B$6-1,0)))</f>
        <v>#DIV/0!</v>
      </c>
      <c r="Z1389" s="6" t="e">
        <f ca="1">SQRT($B$9*AVERAGE(W1389:OFFSET(W1389,$B$7-1,0)))</f>
        <v>#DIV/0!</v>
      </c>
      <c r="AA1389" s="6" t="e">
        <f ca="1">SQRT($B$9*AVERAGE(W1389:OFFSET(W1389,$B$8-1,0)))</f>
        <v>#DIV/0!</v>
      </c>
      <c r="AC1389" s="34" t="e">
        <f t="shared" si="115"/>
        <v>#DIV/0!</v>
      </c>
      <c r="AD1389" s="34" t="e">
        <f ca="1">SQRT($B$9*SUM(AC1389:OFFSET(AC1389,$B$5-1,0))/($B$5-1))</f>
        <v>#DIV/0!</v>
      </c>
      <c r="AE1389" s="34" t="e">
        <f ca="1">SQRT($B$9*SUM(AC1389:OFFSET(AC1389,$B$6-1,0))/($B$6-1))</f>
        <v>#DIV/0!</v>
      </c>
      <c r="AF1389" s="34" t="e">
        <f ca="1">SQRT($B$9*SUM(AC1389:OFFSET(AC1389,$B$7-1,0))/($B$7-1))</f>
        <v>#DIV/0!</v>
      </c>
      <c r="AG1389" s="34" t="e">
        <f ca="1">SQRT($B$9*SUM(AC1389:OFFSET(AC1389,$B$8-1,0))/($B$8-1))</f>
        <v>#DIV/0!</v>
      </c>
      <c r="AI1389" s="1" t="e">
        <f t="shared" si="116"/>
        <v>#DIV/0!</v>
      </c>
      <c r="AJ1389" s="4" t="e">
        <f ca="1">SQRT($B$9)*_xlfn.STDEV.S(AI1389:OFFSET(AI1389,$B$5-1,0))</f>
        <v>#DIV/0!</v>
      </c>
      <c r="AK1389" s="4" t="e">
        <f ca="1">SQRT($B$9)*_xlfn.STDEV.S(AI1389:OFFSET(AI1389,$B$6-1,0))</f>
        <v>#DIV/0!</v>
      </c>
      <c r="AL1389" s="4" t="e">
        <f ca="1">SQRT($B$9)*_xlfn.STDEV.S(AI1389:OFFSET(AI1389,$B$7-1,0))</f>
        <v>#DIV/0!</v>
      </c>
      <c r="AM1389" s="4" t="e">
        <f ca="1">SQRT($B$9)*_xlfn.STDEV.S(AI1389:OFFSET(AI1389,$B$8-1,0))</f>
        <v>#DIV/0!</v>
      </c>
    </row>
    <row r="1390" spans="11:39" x14ac:dyDescent="0.2">
      <c r="K1390" s="3" t="e">
        <f t="shared" si="114"/>
        <v>#DIV/0!</v>
      </c>
      <c r="L1390" s="3" t="e">
        <f ca="1">SQRT(AVERAGE(K1390:OFFSET(K1390,$B$5-1,0))*$B$9/(4*LN(2)))</f>
        <v>#DIV/0!</v>
      </c>
      <c r="M1390" s="3" t="e">
        <f ca="1">SQRT(AVERAGE(K1390:OFFSET(K1390,$B$6-1,0))*$B$9/(4*LN(2)))</f>
        <v>#DIV/0!</v>
      </c>
      <c r="N1390" s="3" t="e">
        <f ca="1">SQRT(AVERAGE(K1390:OFFSET(K1390,$B$7-1,0))*$B$9/(4*LN(2)))</f>
        <v>#DIV/0!</v>
      </c>
      <c r="O1390" s="3" t="e">
        <f ca="1">SQRT(AVERAGE(K1390:OFFSET(K1390,$B$8-1,0))*$B$9/(4*LN(2)))</f>
        <v>#DIV/0!</v>
      </c>
      <c r="Q1390" s="5" t="e">
        <f t="shared" si="113"/>
        <v>#DIV/0!</v>
      </c>
      <c r="R1390" s="5" t="e">
        <f ca="1">SQRT($B$9*AVERAGE((Q1390:OFFSET(Q1390,$B$5-1,0))))</f>
        <v>#DIV/0!</v>
      </c>
      <c r="S1390" s="5" t="e">
        <f ca="1">SQRT($B$9*AVERAGE((Q1390:OFFSET(Q1390,$B$6-1,0))))</f>
        <v>#DIV/0!</v>
      </c>
      <c r="T1390" s="5" t="e">
        <f ca="1">SQRT($B$9*AVERAGE((Q1390:OFFSET(Q1390,$B$7-1,0))))</f>
        <v>#DIV/0!</v>
      </c>
      <c r="U1390" s="5" t="e">
        <f ca="1">SQRT($B$9*AVERAGE((Q1390:OFFSET(Q1390,$B$8-1,0))))</f>
        <v>#DIV/0!</v>
      </c>
      <c r="W1390" s="6" t="e">
        <f t="shared" si="117"/>
        <v>#DIV/0!</v>
      </c>
      <c r="X1390" s="6" t="e">
        <f ca="1">SQRT($B$9*AVERAGE(W1390:OFFSET(W1390,$B$5-1,0)))</f>
        <v>#DIV/0!</v>
      </c>
      <c r="Y1390" s="6" t="e">
        <f ca="1">SQRT($B$9*AVERAGE(W1390:OFFSET(W1390,$B$6-1,0)))</f>
        <v>#DIV/0!</v>
      </c>
      <c r="Z1390" s="6" t="e">
        <f ca="1">SQRT($B$9*AVERAGE(W1390:OFFSET(W1390,$B$7-1,0)))</f>
        <v>#DIV/0!</v>
      </c>
      <c r="AA1390" s="6" t="e">
        <f ca="1">SQRT($B$9*AVERAGE(W1390:OFFSET(W1390,$B$8-1,0)))</f>
        <v>#DIV/0!</v>
      </c>
      <c r="AC1390" s="34" t="e">
        <f t="shared" si="115"/>
        <v>#DIV/0!</v>
      </c>
      <c r="AD1390" s="34" t="e">
        <f ca="1">SQRT($B$9*SUM(AC1390:OFFSET(AC1390,$B$5-1,0))/($B$5-1))</f>
        <v>#DIV/0!</v>
      </c>
      <c r="AE1390" s="34" t="e">
        <f ca="1">SQRT($B$9*SUM(AC1390:OFFSET(AC1390,$B$6-1,0))/($B$6-1))</f>
        <v>#DIV/0!</v>
      </c>
      <c r="AF1390" s="34" t="e">
        <f ca="1">SQRT($B$9*SUM(AC1390:OFFSET(AC1390,$B$7-1,0))/($B$7-1))</f>
        <v>#DIV/0!</v>
      </c>
      <c r="AG1390" s="34" t="e">
        <f ca="1">SQRT($B$9*SUM(AC1390:OFFSET(AC1390,$B$8-1,0))/($B$8-1))</f>
        <v>#DIV/0!</v>
      </c>
      <c r="AI1390" s="1" t="e">
        <f t="shared" si="116"/>
        <v>#DIV/0!</v>
      </c>
      <c r="AJ1390" s="4" t="e">
        <f ca="1">SQRT($B$9)*_xlfn.STDEV.S(AI1390:OFFSET(AI1390,$B$5-1,0))</f>
        <v>#DIV/0!</v>
      </c>
      <c r="AK1390" s="4" t="e">
        <f ca="1">SQRT($B$9)*_xlfn.STDEV.S(AI1390:OFFSET(AI1390,$B$6-1,0))</f>
        <v>#DIV/0!</v>
      </c>
      <c r="AL1390" s="4" t="e">
        <f ca="1">SQRT($B$9)*_xlfn.STDEV.S(AI1390:OFFSET(AI1390,$B$7-1,0))</f>
        <v>#DIV/0!</v>
      </c>
      <c r="AM1390" s="4" t="e">
        <f ca="1">SQRT($B$9)*_xlfn.STDEV.S(AI1390:OFFSET(AI1390,$B$8-1,0))</f>
        <v>#DIV/0!</v>
      </c>
    </row>
    <row r="1391" spans="11:39" x14ac:dyDescent="0.2">
      <c r="K1391" s="3" t="e">
        <f t="shared" si="114"/>
        <v>#DIV/0!</v>
      </c>
      <c r="L1391" s="3" t="e">
        <f ca="1">SQRT(AVERAGE(K1391:OFFSET(K1391,$B$5-1,0))*$B$9/(4*LN(2)))</f>
        <v>#DIV/0!</v>
      </c>
      <c r="M1391" s="3" t="e">
        <f ca="1">SQRT(AVERAGE(K1391:OFFSET(K1391,$B$6-1,0))*$B$9/(4*LN(2)))</f>
        <v>#DIV/0!</v>
      </c>
      <c r="N1391" s="3" t="e">
        <f ca="1">SQRT(AVERAGE(K1391:OFFSET(K1391,$B$7-1,0))*$B$9/(4*LN(2)))</f>
        <v>#DIV/0!</v>
      </c>
      <c r="O1391" s="3" t="e">
        <f ca="1">SQRT(AVERAGE(K1391:OFFSET(K1391,$B$8-1,0))*$B$9/(4*LN(2)))</f>
        <v>#DIV/0!</v>
      </c>
      <c r="Q1391" s="5" t="e">
        <f t="shared" si="113"/>
        <v>#DIV/0!</v>
      </c>
      <c r="R1391" s="5" t="e">
        <f ca="1">SQRT($B$9*AVERAGE((Q1391:OFFSET(Q1391,$B$5-1,0))))</f>
        <v>#DIV/0!</v>
      </c>
      <c r="S1391" s="5" t="e">
        <f ca="1">SQRT($B$9*AVERAGE((Q1391:OFFSET(Q1391,$B$6-1,0))))</f>
        <v>#DIV/0!</v>
      </c>
      <c r="T1391" s="5" t="e">
        <f ca="1">SQRT($B$9*AVERAGE((Q1391:OFFSET(Q1391,$B$7-1,0))))</f>
        <v>#DIV/0!</v>
      </c>
      <c r="U1391" s="5" t="e">
        <f ca="1">SQRT($B$9*AVERAGE((Q1391:OFFSET(Q1391,$B$8-1,0))))</f>
        <v>#DIV/0!</v>
      </c>
      <c r="W1391" s="6" t="e">
        <f t="shared" si="117"/>
        <v>#DIV/0!</v>
      </c>
      <c r="X1391" s="6" t="e">
        <f ca="1">SQRT($B$9*AVERAGE(W1391:OFFSET(W1391,$B$5-1,0)))</f>
        <v>#DIV/0!</v>
      </c>
      <c r="Y1391" s="6" t="e">
        <f ca="1">SQRT($B$9*AVERAGE(W1391:OFFSET(W1391,$B$6-1,0)))</f>
        <v>#DIV/0!</v>
      </c>
      <c r="Z1391" s="6" t="e">
        <f ca="1">SQRT($B$9*AVERAGE(W1391:OFFSET(W1391,$B$7-1,0)))</f>
        <v>#DIV/0!</v>
      </c>
      <c r="AA1391" s="6" t="e">
        <f ca="1">SQRT($B$9*AVERAGE(W1391:OFFSET(W1391,$B$8-1,0)))</f>
        <v>#DIV/0!</v>
      </c>
      <c r="AC1391" s="34" t="e">
        <f t="shared" si="115"/>
        <v>#DIV/0!</v>
      </c>
      <c r="AD1391" s="34" t="e">
        <f ca="1">SQRT($B$9*SUM(AC1391:OFFSET(AC1391,$B$5-1,0))/($B$5-1))</f>
        <v>#DIV/0!</v>
      </c>
      <c r="AE1391" s="34" t="e">
        <f ca="1">SQRT($B$9*SUM(AC1391:OFFSET(AC1391,$B$6-1,0))/($B$6-1))</f>
        <v>#DIV/0!</v>
      </c>
      <c r="AF1391" s="34" t="e">
        <f ca="1">SQRT($B$9*SUM(AC1391:OFFSET(AC1391,$B$7-1,0))/($B$7-1))</f>
        <v>#DIV/0!</v>
      </c>
      <c r="AG1391" s="34" t="e">
        <f ca="1">SQRT($B$9*SUM(AC1391:OFFSET(AC1391,$B$8-1,0))/($B$8-1))</f>
        <v>#DIV/0!</v>
      </c>
      <c r="AI1391" s="1" t="e">
        <f t="shared" si="116"/>
        <v>#DIV/0!</v>
      </c>
      <c r="AJ1391" s="4" t="e">
        <f ca="1">SQRT($B$9)*_xlfn.STDEV.S(AI1391:OFFSET(AI1391,$B$5-1,0))</f>
        <v>#DIV/0!</v>
      </c>
      <c r="AK1391" s="4" t="e">
        <f ca="1">SQRT($B$9)*_xlfn.STDEV.S(AI1391:OFFSET(AI1391,$B$6-1,0))</f>
        <v>#DIV/0!</v>
      </c>
      <c r="AL1391" s="4" t="e">
        <f ca="1">SQRT($B$9)*_xlfn.STDEV.S(AI1391:OFFSET(AI1391,$B$7-1,0))</f>
        <v>#DIV/0!</v>
      </c>
      <c r="AM1391" s="4" t="e">
        <f ca="1">SQRT($B$9)*_xlfn.STDEV.S(AI1391:OFFSET(AI1391,$B$8-1,0))</f>
        <v>#DIV/0!</v>
      </c>
    </row>
    <row r="1392" spans="11:39" x14ac:dyDescent="0.2">
      <c r="K1392" s="3" t="e">
        <f t="shared" si="114"/>
        <v>#DIV/0!</v>
      </c>
      <c r="L1392" s="3" t="e">
        <f ca="1">SQRT(AVERAGE(K1392:OFFSET(K1392,$B$5-1,0))*$B$9/(4*LN(2)))</f>
        <v>#DIV/0!</v>
      </c>
      <c r="M1392" s="3" t="e">
        <f ca="1">SQRT(AVERAGE(K1392:OFFSET(K1392,$B$6-1,0))*$B$9/(4*LN(2)))</f>
        <v>#DIV/0!</v>
      </c>
      <c r="N1392" s="3" t="e">
        <f ca="1">SQRT(AVERAGE(K1392:OFFSET(K1392,$B$7-1,0))*$B$9/(4*LN(2)))</f>
        <v>#DIV/0!</v>
      </c>
      <c r="O1392" s="3" t="e">
        <f ca="1">SQRT(AVERAGE(K1392:OFFSET(K1392,$B$8-1,0))*$B$9/(4*LN(2)))</f>
        <v>#DIV/0!</v>
      </c>
      <c r="Q1392" s="5" t="e">
        <f t="shared" si="113"/>
        <v>#DIV/0!</v>
      </c>
      <c r="R1392" s="5" t="e">
        <f ca="1">SQRT($B$9*AVERAGE((Q1392:OFFSET(Q1392,$B$5-1,0))))</f>
        <v>#DIV/0!</v>
      </c>
      <c r="S1392" s="5" t="e">
        <f ca="1">SQRT($B$9*AVERAGE((Q1392:OFFSET(Q1392,$B$6-1,0))))</f>
        <v>#DIV/0!</v>
      </c>
      <c r="T1392" s="5" t="e">
        <f ca="1">SQRT($B$9*AVERAGE((Q1392:OFFSET(Q1392,$B$7-1,0))))</f>
        <v>#DIV/0!</v>
      </c>
      <c r="U1392" s="5" t="e">
        <f ca="1">SQRT($B$9*AVERAGE((Q1392:OFFSET(Q1392,$B$8-1,0))))</f>
        <v>#DIV/0!</v>
      </c>
      <c r="W1392" s="6" t="e">
        <f t="shared" si="117"/>
        <v>#DIV/0!</v>
      </c>
      <c r="X1392" s="6" t="e">
        <f ca="1">SQRT($B$9*AVERAGE(W1392:OFFSET(W1392,$B$5-1,0)))</f>
        <v>#DIV/0!</v>
      </c>
      <c r="Y1392" s="6" t="e">
        <f ca="1">SQRT($B$9*AVERAGE(W1392:OFFSET(W1392,$B$6-1,0)))</f>
        <v>#DIV/0!</v>
      </c>
      <c r="Z1392" s="6" t="e">
        <f ca="1">SQRT($B$9*AVERAGE(W1392:OFFSET(W1392,$B$7-1,0)))</f>
        <v>#DIV/0!</v>
      </c>
      <c r="AA1392" s="6" t="e">
        <f ca="1">SQRT($B$9*AVERAGE(W1392:OFFSET(W1392,$B$8-1,0)))</f>
        <v>#DIV/0!</v>
      </c>
      <c r="AC1392" s="34" t="e">
        <f t="shared" si="115"/>
        <v>#DIV/0!</v>
      </c>
      <c r="AD1392" s="34" t="e">
        <f ca="1">SQRT($B$9*SUM(AC1392:OFFSET(AC1392,$B$5-1,0))/($B$5-1))</f>
        <v>#DIV/0!</v>
      </c>
      <c r="AE1392" s="34" t="e">
        <f ca="1">SQRT($B$9*SUM(AC1392:OFFSET(AC1392,$B$6-1,0))/($B$6-1))</f>
        <v>#DIV/0!</v>
      </c>
      <c r="AF1392" s="34" t="e">
        <f ca="1">SQRT($B$9*SUM(AC1392:OFFSET(AC1392,$B$7-1,0))/($B$7-1))</f>
        <v>#DIV/0!</v>
      </c>
      <c r="AG1392" s="34" t="e">
        <f ca="1">SQRT($B$9*SUM(AC1392:OFFSET(AC1392,$B$8-1,0))/($B$8-1))</f>
        <v>#DIV/0!</v>
      </c>
      <c r="AI1392" s="1" t="e">
        <f t="shared" si="116"/>
        <v>#DIV/0!</v>
      </c>
      <c r="AJ1392" s="4" t="e">
        <f ca="1">SQRT($B$9)*_xlfn.STDEV.S(AI1392:OFFSET(AI1392,$B$5-1,0))</f>
        <v>#DIV/0!</v>
      </c>
      <c r="AK1392" s="4" t="e">
        <f ca="1">SQRT($B$9)*_xlfn.STDEV.S(AI1392:OFFSET(AI1392,$B$6-1,0))</f>
        <v>#DIV/0!</v>
      </c>
      <c r="AL1392" s="4" t="e">
        <f ca="1">SQRT($B$9)*_xlfn.STDEV.S(AI1392:OFFSET(AI1392,$B$7-1,0))</f>
        <v>#DIV/0!</v>
      </c>
      <c r="AM1392" s="4" t="e">
        <f ca="1">SQRT($B$9)*_xlfn.STDEV.S(AI1392:OFFSET(AI1392,$B$8-1,0))</f>
        <v>#DIV/0!</v>
      </c>
    </row>
    <row r="1393" spans="11:39" x14ac:dyDescent="0.2">
      <c r="K1393" s="3" t="e">
        <f t="shared" si="114"/>
        <v>#DIV/0!</v>
      </c>
      <c r="L1393" s="3" t="e">
        <f ca="1">SQRT(AVERAGE(K1393:OFFSET(K1393,$B$5-1,0))*$B$9/(4*LN(2)))</f>
        <v>#DIV/0!</v>
      </c>
      <c r="M1393" s="3" t="e">
        <f ca="1">SQRT(AVERAGE(K1393:OFFSET(K1393,$B$6-1,0))*$B$9/(4*LN(2)))</f>
        <v>#DIV/0!</v>
      </c>
      <c r="N1393" s="3" t="e">
        <f ca="1">SQRT(AVERAGE(K1393:OFFSET(K1393,$B$7-1,0))*$B$9/(4*LN(2)))</f>
        <v>#DIV/0!</v>
      </c>
      <c r="O1393" s="3" t="e">
        <f ca="1">SQRT(AVERAGE(K1393:OFFSET(K1393,$B$8-1,0))*$B$9/(4*LN(2)))</f>
        <v>#DIV/0!</v>
      </c>
      <c r="Q1393" s="5" t="e">
        <f t="shared" si="113"/>
        <v>#DIV/0!</v>
      </c>
      <c r="R1393" s="5" t="e">
        <f ca="1">SQRT($B$9*AVERAGE((Q1393:OFFSET(Q1393,$B$5-1,0))))</f>
        <v>#DIV/0!</v>
      </c>
      <c r="S1393" s="5" t="e">
        <f ca="1">SQRT($B$9*AVERAGE((Q1393:OFFSET(Q1393,$B$6-1,0))))</f>
        <v>#DIV/0!</v>
      </c>
      <c r="T1393" s="5" t="e">
        <f ca="1">SQRT($B$9*AVERAGE((Q1393:OFFSET(Q1393,$B$7-1,0))))</f>
        <v>#DIV/0!</v>
      </c>
      <c r="U1393" s="5" t="e">
        <f ca="1">SQRT($B$9*AVERAGE((Q1393:OFFSET(Q1393,$B$8-1,0))))</f>
        <v>#DIV/0!</v>
      </c>
      <c r="W1393" s="6" t="e">
        <f t="shared" si="117"/>
        <v>#DIV/0!</v>
      </c>
      <c r="X1393" s="6" t="e">
        <f ca="1">SQRT($B$9*AVERAGE(W1393:OFFSET(W1393,$B$5-1,0)))</f>
        <v>#DIV/0!</v>
      </c>
      <c r="Y1393" s="6" t="e">
        <f ca="1">SQRT($B$9*AVERAGE(W1393:OFFSET(W1393,$B$6-1,0)))</f>
        <v>#DIV/0!</v>
      </c>
      <c r="Z1393" s="6" t="e">
        <f ca="1">SQRT($B$9*AVERAGE(W1393:OFFSET(W1393,$B$7-1,0)))</f>
        <v>#DIV/0!</v>
      </c>
      <c r="AA1393" s="6" t="e">
        <f ca="1">SQRT($B$9*AVERAGE(W1393:OFFSET(W1393,$B$8-1,0)))</f>
        <v>#DIV/0!</v>
      </c>
      <c r="AC1393" s="34" t="e">
        <f t="shared" si="115"/>
        <v>#DIV/0!</v>
      </c>
      <c r="AD1393" s="34" t="e">
        <f ca="1">SQRT($B$9*SUM(AC1393:OFFSET(AC1393,$B$5-1,0))/($B$5-1))</f>
        <v>#DIV/0!</v>
      </c>
      <c r="AE1393" s="34" t="e">
        <f ca="1">SQRT($B$9*SUM(AC1393:OFFSET(AC1393,$B$6-1,0))/($B$6-1))</f>
        <v>#DIV/0!</v>
      </c>
      <c r="AF1393" s="34" t="e">
        <f ca="1">SQRT($B$9*SUM(AC1393:OFFSET(AC1393,$B$7-1,0))/($B$7-1))</f>
        <v>#DIV/0!</v>
      </c>
      <c r="AG1393" s="34" t="e">
        <f ca="1">SQRT($B$9*SUM(AC1393:OFFSET(AC1393,$B$8-1,0))/($B$8-1))</f>
        <v>#DIV/0!</v>
      </c>
      <c r="AI1393" s="1" t="e">
        <f t="shared" si="116"/>
        <v>#DIV/0!</v>
      </c>
      <c r="AJ1393" s="4" t="e">
        <f ca="1">SQRT($B$9)*_xlfn.STDEV.S(AI1393:OFFSET(AI1393,$B$5-1,0))</f>
        <v>#DIV/0!</v>
      </c>
      <c r="AK1393" s="4" t="e">
        <f ca="1">SQRT($B$9)*_xlfn.STDEV.S(AI1393:OFFSET(AI1393,$B$6-1,0))</f>
        <v>#DIV/0!</v>
      </c>
      <c r="AL1393" s="4" t="e">
        <f ca="1">SQRT($B$9)*_xlfn.STDEV.S(AI1393:OFFSET(AI1393,$B$7-1,0))</f>
        <v>#DIV/0!</v>
      </c>
      <c r="AM1393" s="4" t="e">
        <f ca="1">SQRT($B$9)*_xlfn.STDEV.S(AI1393:OFFSET(AI1393,$B$8-1,0))</f>
        <v>#DIV/0!</v>
      </c>
    </row>
    <row r="1394" spans="11:39" x14ac:dyDescent="0.2">
      <c r="K1394" s="3" t="e">
        <f t="shared" si="114"/>
        <v>#DIV/0!</v>
      </c>
      <c r="L1394" s="3" t="e">
        <f ca="1">SQRT(AVERAGE(K1394:OFFSET(K1394,$B$5-1,0))*$B$9/(4*LN(2)))</f>
        <v>#DIV/0!</v>
      </c>
      <c r="M1394" s="3" t="e">
        <f ca="1">SQRT(AVERAGE(K1394:OFFSET(K1394,$B$6-1,0))*$B$9/(4*LN(2)))</f>
        <v>#DIV/0!</v>
      </c>
      <c r="N1394" s="3" t="e">
        <f ca="1">SQRT(AVERAGE(K1394:OFFSET(K1394,$B$7-1,0))*$B$9/(4*LN(2)))</f>
        <v>#DIV/0!</v>
      </c>
      <c r="O1394" s="3" t="e">
        <f ca="1">SQRT(AVERAGE(K1394:OFFSET(K1394,$B$8-1,0))*$B$9/(4*LN(2)))</f>
        <v>#DIV/0!</v>
      </c>
      <c r="Q1394" s="5" t="e">
        <f t="shared" si="113"/>
        <v>#DIV/0!</v>
      </c>
      <c r="R1394" s="5" t="e">
        <f ca="1">SQRT($B$9*AVERAGE((Q1394:OFFSET(Q1394,$B$5-1,0))))</f>
        <v>#DIV/0!</v>
      </c>
      <c r="S1394" s="5" t="e">
        <f ca="1">SQRT($B$9*AVERAGE((Q1394:OFFSET(Q1394,$B$6-1,0))))</f>
        <v>#DIV/0!</v>
      </c>
      <c r="T1394" s="5" t="e">
        <f ca="1">SQRT($B$9*AVERAGE((Q1394:OFFSET(Q1394,$B$7-1,0))))</f>
        <v>#DIV/0!</v>
      </c>
      <c r="U1394" s="5" t="e">
        <f ca="1">SQRT($B$9*AVERAGE((Q1394:OFFSET(Q1394,$B$8-1,0))))</f>
        <v>#DIV/0!</v>
      </c>
      <c r="W1394" s="6" t="e">
        <f t="shared" si="117"/>
        <v>#DIV/0!</v>
      </c>
      <c r="X1394" s="6" t="e">
        <f ca="1">SQRT($B$9*AVERAGE(W1394:OFFSET(W1394,$B$5-1,0)))</f>
        <v>#DIV/0!</v>
      </c>
      <c r="Y1394" s="6" t="e">
        <f ca="1">SQRT($B$9*AVERAGE(W1394:OFFSET(W1394,$B$6-1,0)))</f>
        <v>#DIV/0!</v>
      </c>
      <c r="Z1394" s="6" t="e">
        <f ca="1">SQRT($B$9*AVERAGE(W1394:OFFSET(W1394,$B$7-1,0)))</f>
        <v>#DIV/0!</v>
      </c>
      <c r="AA1394" s="6" t="e">
        <f ca="1">SQRT($B$9*AVERAGE(W1394:OFFSET(W1394,$B$8-1,0)))</f>
        <v>#DIV/0!</v>
      </c>
      <c r="AC1394" s="34" t="e">
        <f t="shared" si="115"/>
        <v>#DIV/0!</v>
      </c>
      <c r="AD1394" s="34" t="e">
        <f ca="1">SQRT($B$9*SUM(AC1394:OFFSET(AC1394,$B$5-1,0))/($B$5-1))</f>
        <v>#DIV/0!</v>
      </c>
      <c r="AE1394" s="34" t="e">
        <f ca="1">SQRT($B$9*SUM(AC1394:OFFSET(AC1394,$B$6-1,0))/($B$6-1))</f>
        <v>#DIV/0!</v>
      </c>
      <c r="AF1394" s="34" t="e">
        <f ca="1">SQRT($B$9*SUM(AC1394:OFFSET(AC1394,$B$7-1,0))/($B$7-1))</f>
        <v>#DIV/0!</v>
      </c>
      <c r="AG1394" s="34" t="e">
        <f ca="1">SQRT($B$9*SUM(AC1394:OFFSET(AC1394,$B$8-1,0))/($B$8-1))</f>
        <v>#DIV/0!</v>
      </c>
      <c r="AI1394" s="1" t="e">
        <f t="shared" si="116"/>
        <v>#DIV/0!</v>
      </c>
      <c r="AJ1394" s="4" t="e">
        <f ca="1">SQRT($B$9)*_xlfn.STDEV.S(AI1394:OFFSET(AI1394,$B$5-1,0))</f>
        <v>#DIV/0!</v>
      </c>
      <c r="AK1394" s="4" t="e">
        <f ca="1">SQRT($B$9)*_xlfn.STDEV.S(AI1394:OFFSET(AI1394,$B$6-1,0))</f>
        <v>#DIV/0!</v>
      </c>
      <c r="AL1394" s="4" t="e">
        <f ca="1">SQRT($B$9)*_xlfn.STDEV.S(AI1394:OFFSET(AI1394,$B$7-1,0))</f>
        <v>#DIV/0!</v>
      </c>
      <c r="AM1394" s="4" t="e">
        <f ca="1">SQRT($B$9)*_xlfn.STDEV.S(AI1394:OFFSET(AI1394,$B$8-1,0))</f>
        <v>#DIV/0!</v>
      </c>
    </row>
    <row r="1395" spans="11:39" x14ac:dyDescent="0.2">
      <c r="K1395" s="3" t="e">
        <f t="shared" si="114"/>
        <v>#DIV/0!</v>
      </c>
      <c r="L1395" s="3" t="e">
        <f ca="1">SQRT(AVERAGE(K1395:OFFSET(K1395,$B$5-1,0))*$B$9/(4*LN(2)))</f>
        <v>#DIV/0!</v>
      </c>
      <c r="M1395" s="3" t="e">
        <f ca="1">SQRT(AVERAGE(K1395:OFFSET(K1395,$B$6-1,0))*$B$9/(4*LN(2)))</f>
        <v>#DIV/0!</v>
      </c>
      <c r="N1395" s="3" t="e">
        <f ca="1">SQRT(AVERAGE(K1395:OFFSET(K1395,$B$7-1,0))*$B$9/(4*LN(2)))</f>
        <v>#DIV/0!</v>
      </c>
      <c r="O1395" s="3" t="e">
        <f ca="1">SQRT(AVERAGE(K1395:OFFSET(K1395,$B$8-1,0))*$B$9/(4*LN(2)))</f>
        <v>#DIV/0!</v>
      </c>
      <c r="Q1395" s="5" t="e">
        <f t="shared" si="113"/>
        <v>#DIV/0!</v>
      </c>
      <c r="R1395" s="5" t="e">
        <f ca="1">SQRT($B$9*AVERAGE((Q1395:OFFSET(Q1395,$B$5-1,0))))</f>
        <v>#DIV/0!</v>
      </c>
      <c r="S1395" s="5" t="e">
        <f ca="1">SQRT($B$9*AVERAGE((Q1395:OFFSET(Q1395,$B$6-1,0))))</f>
        <v>#DIV/0!</v>
      </c>
      <c r="T1395" s="5" t="e">
        <f ca="1">SQRT($B$9*AVERAGE((Q1395:OFFSET(Q1395,$B$7-1,0))))</f>
        <v>#DIV/0!</v>
      </c>
      <c r="U1395" s="5" t="e">
        <f ca="1">SQRT($B$9*AVERAGE((Q1395:OFFSET(Q1395,$B$8-1,0))))</f>
        <v>#DIV/0!</v>
      </c>
      <c r="W1395" s="6" t="e">
        <f t="shared" si="117"/>
        <v>#DIV/0!</v>
      </c>
      <c r="X1395" s="6" t="e">
        <f ca="1">SQRT($B$9*AVERAGE(W1395:OFFSET(W1395,$B$5-1,0)))</f>
        <v>#DIV/0!</v>
      </c>
      <c r="Y1395" s="6" t="e">
        <f ca="1">SQRT($B$9*AVERAGE(W1395:OFFSET(W1395,$B$6-1,0)))</f>
        <v>#DIV/0!</v>
      </c>
      <c r="Z1395" s="6" t="e">
        <f ca="1">SQRT($B$9*AVERAGE(W1395:OFFSET(W1395,$B$7-1,0)))</f>
        <v>#DIV/0!</v>
      </c>
      <c r="AA1395" s="6" t="e">
        <f ca="1">SQRT($B$9*AVERAGE(W1395:OFFSET(W1395,$B$8-1,0)))</f>
        <v>#DIV/0!</v>
      </c>
      <c r="AC1395" s="34" t="e">
        <f t="shared" si="115"/>
        <v>#DIV/0!</v>
      </c>
      <c r="AD1395" s="34" t="e">
        <f ca="1">SQRT($B$9*SUM(AC1395:OFFSET(AC1395,$B$5-1,0))/($B$5-1))</f>
        <v>#DIV/0!</v>
      </c>
      <c r="AE1395" s="34" t="e">
        <f ca="1">SQRT($B$9*SUM(AC1395:OFFSET(AC1395,$B$6-1,0))/($B$6-1))</f>
        <v>#DIV/0!</v>
      </c>
      <c r="AF1395" s="34" t="e">
        <f ca="1">SQRT($B$9*SUM(AC1395:OFFSET(AC1395,$B$7-1,0))/($B$7-1))</f>
        <v>#DIV/0!</v>
      </c>
      <c r="AG1395" s="34" t="e">
        <f ca="1">SQRT($B$9*SUM(AC1395:OFFSET(AC1395,$B$8-1,0))/($B$8-1))</f>
        <v>#DIV/0!</v>
      </c>
      <c r="AI1395" s="1" t="e">
        <f t="shared" si="116"/>
        <v>#DIV/0!</v>
      </c>
      <c r="AJ1395" s="4" t="e">
        <f ca="1">SQRT($B$9)*_xlfn.STDEV.S(AI1395:OFFSET(AI1395,$B$5-1,0))</f>
        <v>#DIV/0!</v>
      </c>
      <c r="AK1395" s="4" t="e">
        <f ca="1">SQRT($B$9)*_xlfn.STDEV.S(AI1395:OFFSET(AI1395,$B$6-1,0))</f>
        <v>#DIV/0!</v>
      </c>
      <c r="AL1395" s="4" t="e">
        <f ca="1">SQRT($B$9)*_xlfn.STDEV.S(AI1395:OFFSET(AI1395,$B$7-1,0))</f>
        <v>#DIV/0!</v>
      </c>
      <c r="AM1395" s="4" t="e">
        <f ca="1">SQRT($B$9)*_xlfn.STDEV.S(AI1395:OFFSET(AI1395,$B$8-1,0))</f>
        <v>#DIV/0!</v>
      </c>
    </row>
    <row r="1396" spans="11:39" x14ac:dyDescent="0.2">
      <c r="K1396" s="3" t="e">
        <f t="shared" si="114"/>
        <v>#DIV/0!</v>
      </c>
      <c r="L1396" s="3" t="e">
        <f ca="1">SQRT(AVERAGE(K1396:OFFSET(K1396,$B$5-1,0))*$B$9/(4*LN(2)))</f>
        <v>#DIV/0!</v>
      </c>
      <c r="M1396" s="3" t="e">
        <f ca="1">SQRT(AVERAGE(K1396:OFFSET(K1396,$B$6-1,0))*$B$9/(4*LN(2)))</f>
        <v>#DIV/0!</v>
      </c>
      <c r="N1396" s="3" t="e">
        <f ca="1">SQRT(AVERAGE(K1396:OFFSET(K1396,$B$7-1,0))*$B$9/(4*LN(2)))</f>
        <v>#DIV/0!</v>
      </c>
      <c r="O1396" s="3" t="e">
        <f ca="1">SQRT(AVERAGE(K1396:OFFSET(K1396,$B$8-1,0))*$B$9/(4*LN(2)))</f>
        <v>#DIV/0!</v>
      </c>
      <c r="Q1396" s="5" t="e">
        <f t="shared" si="113"/>
        <v>#DIV/0!</v>
      </c>
      <c r="R1396" s="5" t="e">
        <f ca="1">SQRT($B$9*AVERAGE((Q1396:OFFSET(Q1396,$B$5-1,0))))</f>
        <v>#DIV/0!</v>
      </c>
      <c r="S1396" s="5" t="e">
        <f ca="1">SQRT($B$9*AVERAGE((Q1396:OFFSET(Q1396,$B$6-1,0))))</f>
        <v>#DIV/0!</v>
      </c>
      <c r="T1396" s="5" t="e">
        <f ca="1">SQRT($B$9*AVERAGE((Q1396:OFFSET(Q1396,$B$7-1,0))))</f>
        <v>#DIV/0!</v>
      </c>
      <c r="U1396" s="5" t="e">
        <f ca="1">SQRT($B$9*AVERAGE((Q1396:OFFSET(Q1396,$B$8-1,0))))</f>
        <v>#DIV/0!</v>
      </c>
      <c r="W1396" s="6" t="e">
        <f t="shared" si="117"/>
        <v>#DIV/0!</v>
      </c>
      <c r="X1396" s="6" t="e">
        <f ca="1">SQRT($B$9*AVERAGE(W1396:OFFSET(W1396,$B$5-1,0)))</f>
        <v>#DIV/0!</v>
      </c>
      <c r="Y1396" s="6" t="e">
        <f ca="1">SQRT($B$9*AVERAGE(W1396:OFFSET(W1396,$B$6-1,0)))</f>
        <v>#DIV/0!</v>
      </c>
      <c r="Z1396" s="6" t="e">
        <f ca="1">SQRT($B$9*AVERAGE(W1396:OFFSET(W1396,$B$7-1,0)))</f>
        <v>#DIV/0!</v>
      </c>
      <c r="AA1396" s="6" t="e">
        <f ca="1">SQRT($B$9*AVERAGE(W1396:OFFSET(W1396,$B$8-1,0)))</f>
        <v>#DIV/0!</v>
      </c>
      <c r="AC1396" s="34" t="e">
        <f t="shared" si="115"/>
        <v>#DIV/0!</v>
      </c>
      <c r="AD1396" s="34" t="e">
        <f ca="1">SQRT($B$9*SUM(AC1396:OFFSET(AC1396,$B$5-1,0))/($B$5-1))</f>
        <v>#DIV/0!</v>
      </c>
      <c r="AE1396" s="34" t="e">
        <f ca="1">SQRT($B$9*SUM(AC1396:OFFSET(AC1396,$B$6-1,0))/($B$6-1))</f>
        <v>#DIV/0!</v>
      </c>
      <c r="AF1396" s="34" t="e">
        <f ca="1">SQRT($B$9*SUM(AC1396:OFFSET(AC1396,$B$7-1,0))/($B$7-1))</f>
        <v>#DIV/0!</v>
      </c>
      <c r="AG1396" s="34" t="e">
        <f ca="1">SQRT($B$9*SUM(AC1396:OFFSET(AC1396,$B$8-1,0))/($B$8-1))</f>
        <v>#DIV/0!</v>
      </c>
      <c r="AI1396" s="1" t="e">
        <f t="shared" si="116"/>
        <v>#DIV/0!</v>
      </c>
      <c r="AJ1396" s="4" t="e">
        <f ca="1">SQRT($B$9)*_xlfn.STDEV.S(AI1396:OFFSET(AI1396,$B$5-1,0))</f>
        <v>#DIV/0!</v>
      </c>
      <c r="AK1396" s="4" t="e">
        <f ca="1">SQRT($B$9)*_xlfn.STDEV.S(AI1396:OFFSET(AI1396,$B$6-1,0))</f>
        <v>#DIV/0!</v>
      </c>
      <c r="AL1396" s="4" t="e">
        <f ca="1">SQRT($B$9)*_xlfn.STDEV.S(AI1396:OFFSET(AI1396,$B$7-1,0))</f>
        <v>#DIV/0!</v>
      </c>
      <c r="AM1396" s="4" t="e">
        <f ca="1">SQRT($B$9)*_xlfn.STDEV.S(AI1396:OFFSET(AI1396,$B$8-1,0))</f>
        <v>#DIV/0!</v>
      </c>
    </row>
    <row r="1397" spans="11:39" x14ac:dyDescent="0.2">
      <c r="K1397" s="3" t="e">
        <f t="shared" si="114"/>
        <v>#DIV/0!</v>
      </c>
      <c r="L1397" s="3" t="e">
        <f ca="1">SQRT(AVERAGE(K1397:OFFSET(K1397,$B$5-1,0))*$B$9/(4*LN(2)))</f>
        <v>#DIV/0!</v>
      </c>
      <c r="M1397" s="3" t="e">
        <f ca="1">SQRT(AVERAGE(K1397:OFFSET(K1397,$B$6-1,0))*$B$9/(4*LN(2)))</f>
        <v>#DIV/0!</v>
      </c>
      <c r="N1397" s="3" t="e">
        <f ca="1">SQRT(AVERAGE(K1397:OFFSET(K1397,$B$7-1,0))*$B$9/(4*LN(2)))</f>
        <v>#DIV/0!</v>
      </c>
      <c r="O1397" s="3" t="e">
        <f ca="1">SQRT(AVERAGE(K1397:OFFSET(K1397,$B$8-1,0))*$B$9/(4*LN(2)))</f>
        <v>#DIV/0!</v>
      </c>
      <c r="Q1397" s="5" t="e">
        <f t="shared" si="113"/>
        <v>#DIV/0!</v>
      </c>
      <c r="R1397" s="5" t="e">
        <f ca="1">SQRT($B$9*AVERAGE((Q1397:OFFSET(Q1397,$B$5-1,0))))</f>
        <v>#DIV/0!</v>
      </c>
      <c r="S1397" s="5" t="e">
        <f ca="1">SQRT($B$9*AVERAGE((Q1397:OFFSET(Q1397,$B$6-1,0))))</f>
        <v>#DIV/0!</v>
      </c>
      <c r="T1397" s="5" t="e">
        <f ca="1">SQRT($B$9*AVERAGE((Q1397:OFFSET(Q1397,$B$7-1,0))))</f>
        <v>#DIV/0!</v>
      </c>
      <c r="U1397" s="5" t="e">
        <f ca="1">SQRT($B$9*AVERAGE((Q1397:OFFSET(Q1397,$B$8-1,0))))</f>
        <v>#DIV/0!</v>
      </c>
      <c r="W1397" s="6" t="e">
        <f t="shared" si="117"/>
        <v>#DIV/0!</v>
      </c>
      <c r="X1397" s="6" t="e">
        <f ca="1">SQRT($B$9*AVERAGE(W1397:OFFSET(W1397,$B$5-1,0)))</f>
        <v>#DIV/0!</v>
      </c>
      <c r="Y1397" s="6" t="e">
        <f ca="1">SQRT($B$9*AVERAGE(W1397:OFFSET(W1397,$B$6-1,0)))</f>
        <v>#DIV/0!</v>
      </c>
      <c r="Z1397" s="6" t="e">
        <f ca="1">SQRT($B$9*AVERAGE(W1397:OFFSET(W1397,$B$7-1,0)))</f>
        <v>#DIV/0!</v>
      </c>
      <c r="AA1397" s="6" t="e">
        <f ca="1">SQRT($B$9*AVERAGE(W1397:OFFSET(W1397,$B$8-1,0)))</f>
        <v>#DIV/0!</v>
      </c>
      <c r="AC1397" s="34" t="e">
        <f t="shared" si="115"/>
        <v>#DIV/0!</v>
      </c>
      <c r="AD1397" s="34" t="e">
        <f ca="1">SQRT($B$9*SUM(AC1397:OFFSET(AC1397,$B$5-1,0))/($B$5-1))</f>
        <v>#DIV/0!</v>
      </c>
      <c r="AE1397" s="34" t="e">
        <f ca="1">SQRT($B$9*SUM(AC1397:OFFSET(AC1397,$B$6-1,0))/($B$6-1))</f>
        <v>#DIV/0!</v>
      </c>
      <c r="AF1397" s="34" t="e">
        <f ca="1">SQRT($B$9*SUM(AC1397:OFFSET(AC1397,$B$7-1,0))/($B$7-1))</f>
        <v>#DIV/0!</v>
      </c>
      <c r="AG1397" s="34" t="e">
        <f ca="1">SQRT($B$9*SUM(AC1397:OFFSET(AC1397,$B$8-1,0))/($B$8-1))</f>
        <v>#DIV/0!</v>
      </c>
      <c r="AI1397" s="1" t="e">
        <f t="shared" si="116"/>
        <v>#DIV/0!</v>
      </c>
      <c r="AJ1397" s="4" t="e">
        <f ca="1">SQRT($B$9)*_xlfn.STDEV.S(AI1397:OFFSET(AI1397,$B$5-1,0))</f>
        <v>#DIV/0!</v>
      </c>
      <c r="AK1397" s="4" t="e">
        <f ca="1">SQRT($B$9)*_xlfn.STDEV.S(AI1397:OFFSET(AI1397,$B$6-1,0))</f>
        <v>#DIV/0!</v>
      </c>
      <c r="AL1397" s="4" t="e">
        <f ca="1">SQRT($B$9)*_xlfn.STDEV.S(AI1397:OFFSET(AI1397,$B$7-1,0))</f>
        <v>#DIV/0!</v>
      </c>
      <c r="AM1397" s="4" t="e">
        <f ca="1">SQRT($B$9)*_xlfn.STDEV.S(AI1397:OFFSET(AI1397,$B$8-1,0))</f>
        <v>#DIV/0!</v>
      </c>
    </row>
    <row r="1398" spans="11:39" x14ac:dyDescent="0.2">
      <c r="K1398" s="3" t="e">
        <f t="shared" si="114"/>
        <v>#DIV/0!</v>
      </c>
      <c r="L1398" s="3" t="e">
        <f ca="1">SQRT(AVERAGE(K1398:OFFSET(K1398,$B$5-1,0))*$B$9/(4*LN(2)))</f>
        <v>#DIV/0!</v>
      </c>
      <c r="M1398" s="3" t="e">
        <f ca="1">SQRT(AVERAGE(K1398:OFFSET(K1398,$B$6-1,0))*$B$9/(4*LN(2)))</f>
        <v>#DIV/0!</v>
      </c>
      <c r="N1398" s="3" t="e">
        <f ca="1">SQRT(AVERAGE(K1398:OFFSET(K1398,$B$7-1,0))*$B$9/(4*LN(2)))</f>
        <v>#DIV/0!</v>
      </c>
      <c r="O1398" s="3" t="e">
        <f ca="1">SQRT(AVERAGE(K1398:OFFSET(K1398,$B$8-1,0))*$B$9/(4*LN(2)))</f>
        <v>#DIV/0!</v>
      </c>
      <c r="Q1398" s="5" t="e">
        <f t="shared" si="113"/>
        <v>#DIV/0!</v>
      </c>
      <c r="R1398" s="5" t="e">
        <f ca="1">SQRT($B$9*AVERAGE((Q1398:OFFSET(Q1398,$B$5-1,0))))</f>
        <v>#DIV/0!</v>
      </c>
      <c r="S1398" s="5" t="e">
        <f ca="1">SQRT($B$9*AVERAGE((Q1398:OFFSET(Q1398,$B$6-1,0))))</f>
        <v>#DIV/0!</v>
      </c>
      <c r="T1398" s="5" t="e">
        <f ca="1">SQRT($B$9*AVERAGE((Q1398:OFFSET(Q1398,$B$7-1,0))))</f>
        <v>#DIV/0!</v>
      </c>
      <c r="U1398" s="5" t="e">
        <f ca="1">SQRT($B$9*AVERAGE((Q1398:OFFSET(Q1398,$B$8-1,0))))</f>
        <v>#DIV/0!</v>
      </c>
      <c r="W1398" s="6" t="e">
        <f t="shared" si="117"/>
        <v>#DIV/0!</v>
      </c>
      <c r="X1398" s="6" t="e">
        <f ca="1">SQRT($B$9*AVERAGE(W1398:OFFSET(W1398,$B$5-1,0)))</f>
        <v>#DIV/0!</v>
      </c>
      <c r="Y1398" s="6" t="e">
        <f ca="1">SQRT($B$9*AVERAGE(W1398:OFFSET(W1398,$B$6-1,0)))</f>
        <v>#DIV/0!</v>
      </c>
      <c r="Z1398" s="6" t="e">
        <f ca="1">SQRT($B$9*AVERAGE(W1398:OFFSET(W1398,$B$7-1,0)))</f>
        <v>#DIV/0!</v>
      </c>
      <c r="AA1398" s="6" t="e">
        <f ca="1">SQRT($B$9*AVERAGE(W1398:OFFSET(W1398,$B$8-1,0)))</f>
        <v>#DIV/0!</v>
      </c>
      <c r="AC1398" s="34" t="e">
        <f t="shared" si="115"/>
        <v>#DIV/0!</v>
      </c>
      <c r="AD1398" s="34" t="e">
        <f ca="1">SQRT($B$9*SUM(AC1398:OFFSET(AC1398,$B$5-1,0))/($B$5-1))</f>
        <v>#DIV/0!</v>
      </c>
      <c r="AE1398" s="34" t="e">
        <f ca="1">SQRT($B$9*SUM(AC1398:OFFSET(AC1398,$B$6-1,0))/($B$6-1))</f>
        <v>#DIV/0!</v>
      </c>
      <c r="AF1398" s="34" t="e">
        <f ca="1">SQRT($B$9*SUM(AC1398:OFFSET(AC1398,$B$7-1,0))/($B$7-1))</f>
        <v>#DIV/0!</v>
      </c>
      <c r="AG1398" s="34" t="e">
        <f ca="1">SQRT($B$9*SUM(AC1398:OFFSET(AC1398,$B$8-1,0))/($B$8-1))</f>
        <v>#DIV/0!</v>
      </c>
      <c r="AI1398" s="1" t="e">
        <f t="shared" si="116"/>
        <v>#DIV/0!</v>
      </c>
      <c r="AJ1398" s="4" t="e">
        <f ca="1">SQRT($B$9)*_xlfn.STDEV.S(AI1398:OFFSET(AI1398,$B$5-1,0))</f>
        <v>#DIV/0!</v>
      </c>
      <c r="AK1398" s="4" t="e">
        <f ca="1">SQRT($B$9)*_xlfn.STDEV.S(AI1398:OFFSET(AI1398,$B$6-1,0))</f>
        <v>#DIV/0!</v>
      </c>
      <c r="AL1398" s="4" t="e">
        <f ca="1">SQRT($B$9)*_xlfn.STDEV.S(AI1398:OFFSET(AI1398,$B$7-1,0))</f>
        <v>#DIV/0!</v>
      </c>
      <c r="AM1398" s="4" t="e">
        <f ca="1">SQRT($B$9)*_xlfn.STDEV.S(AI1398:OFFSET(AI1398,$B$8-1,0))</f>
        <v>#DIV/0!</v>
      </c>
    </row>
    <row r="1399" spans="11:39" x14ac:dyDescent="0.2">
      <c r="K1399" s="3" t="e">
        <f t="shared" si="114"/>
        <v>#DIV/0!</v>
      </c>
      <c r="L1399" s="3" t="e">
        <f ca="1">SQRT(AVERAGE(K1399:OFFSET(K1399,$B$5-1,0))*$B$9/(4*LN(2)))</f>
        <v>#DIV/0!</v>
      </c>
      <c r="M1399" s="3" t="e">
        <f ca="1">SQRT(AVERAGE(K1399:OFFSET(K1399,$B$6-1,0))*$B$9/(4*LN(2)))</f>
        <v>#DIV/0!</v>
      </c>
      <c r="N1399" s="3" t="e">
        <f ca="1">SQRT(AVERAGE(K1399:OFFSET(K1399,$B$7-1,0))*$B$9/(4*LN(2)))</f>
        <v>#DIV/0!</v>
      </c>
      <c r="O1399" s="3" t="e">
        <f ca="1">SQRT(AVERAGE(K1399:OFFSET(K1399,$B$8-1,0))*$B$9/(4*LN(2)))</f>
        <v>#DIV/0!</v>
      </c>
      <c r="Q1399" s="5" t="e">
        <f t="shared" si="113"/>
        <v>#DIV/0!</v>
      </c>
      <c r="R1399" s="5" t="e">
        <f ca="1">SQRT($B$9*AVERAGE((Q1399:OFFSET(Q1399,$B$5-1,0))))</f>
        <v>#DIV/0!</v>
      </c>
      <c r="S1399" s="5" t="e">
        <f ca="1">SQRT($B$9*AVERAGE((Q1399:OFFSET(Q1399,$B$6-1,0))))</f>
        <v>#DIV/0!</v>
      </c>
      <c r="T1399" s="5" t="e">
        <f ca="1">SQRT($B$9*AVERAGE((Q1399:OFFSET(Q1399,$B$7-1,0))))</f>
        <v>#DIV/0!</v>
      </c>
      <c r="U1399" s="5" t="e">
        <f ca="1">SQRT($B$9*AVERAGE((Q1399:OFFSET(Q1399,$B$8-1,0))))</f>
        <v>#DIV/0!</v>
      </c>
      <c r="W1399" s="6" t="e">
        <f t="shared" si="117"/>
        <v>#DIV/0!</v>
      </c>
      <c r="X1399" s="6" t="e">
        <f ca="1">SQRT($B$9*AVERAGE(W1399:OFFSET(W1399,$B$5-1,0)))</f>
        <v>#DIV/0!</v>
      </c>
      <c r="Y1399" s="6" t="e">
        <f ca="1">SQRT($B$9*AVERAGE(W1399:OFFSET(W1399,$B$6-1,0)))</f>
        <v>#DIV/0!</v>
      </c>
      <c r="Z1399" s="6" t="e">
        <f ca="1">SQRT($B$9*AVERAGE(W1399:OFFSET(W1399,$B$7-1,0)))</f>
        <v>#DIV/0!</v>
      </c>
      <c r="AA1399" s="6" t="e">
        <f ca="1">SQRT($B$9*AVERAGE(W1399:OFFSET(W1399,$B$8-1,0)))</f>
        <v>#DIV/0!</v>
      </c>
      <c r="AC1399" s="34" t="e">
        <f t="shared" si="115"/>
        <v>#DIV/0!</v>
      </c>
      <c r="AD1399" s="34" t="e">
        <f ca="1">SQRT($B$9*SUM(AC1399:OFFSET(AC1399,$B$5-1,0))/($B$5-1))</f>
        <v>#DIV/0!</v>
      </c>
      <c r="AE1399" s="34" t="e">
        <f ca="1">SQRT($B$9*SUM(AC1399:OFFSET(AC1399,$B$6-1,0))/($B$6-1))</f>
        <v>#DIV/0!</v>
      </c>
      <c r="AF1399" s="34" t="e">
        <f ca="1">SQRT($B$9*SUM(AC1399:OFFSET(AC1399,$B$7-1,0))/($B$7-1))</f>
        <v>#DIV/0!</v>
      </c>
      <c r="AG1399" s="34" t="e">
        <f ca="1">SQRT($B$9*SUM(AC1399:OFFSET(AC1399,$B$8-1,0))/($B$8-1))</f>
        <v>#DIV/0!</v>
      </c>
      <c r="AI1399" s="1" t="e">
        <f t="shared" si="116"/>
        <v>#DIV/0!</v>
      </c>
      <c r="AJ1399" s="4" t="e">
        <f ca="1">SQRT($B$9)*_xlfn.STDEV.S(AI1399:OFFSET(AI1399,$B$5-1,0))</f>
        <v>#DIV/0!</v>
      </c>
      <c r="AK1399" s="4" t="e">
        <f ca="1">SQRT($B$9)*_xlfn.STDEV.S(AI1399:OFFSET(AI1399,$B$6-1,0))</f>
        <v>#DIV/0!</v>
      </c>
      <c r="AL1399" s="4" t="e">
        <f ca="1">SQRT($B$9)*_xlfn.STDEV.S(AI1399:OFFSET(AI1399,$B$7-1,0))</f>
        <v>#DIV/0!</v>
      </c>
      <c r="AM1399" s="4" t="e">
        <f ca="1">SQRT($B$9)*_xlfn.STDEV.S(AI1399:OFFSET(AI1399,$B$8-1,0))</f>
        <v>#DIV/0!</v>
      </c>
    </row>
    <row r="1400" spans="11:39" x14ac:dyDescent="0.2">
      <c r="K1400" s="3" t="e">
        <f t="shared" si="114"/>
        <v>#DIV/0!</v>
      </c>
      <c r="L1400" s="3" t="e">
        <f ca="1">SQRT(AVERAGE(K1400:OFFSET(K1400,$B$5-1,0))*$B$9/(4*LN(2)))</f>
        <v>#DIV/0!</v>
      </c>
      <c r="M1400" s="3" t="e">
        <f ca="1">SQRT(AVERAGE(K1400:OFFSET(K1400,$B$6-1,0))*$B$9/(4*LN(2)))</f>
        <v>#DIV/0!</v>
      </c>
      <c r="N1400" s="3" t="e">
        <f ca="1">SQRT(AVERAGE(K1400:OFFSET(K1400,$B$7-1,0))*$B$9/(4*LN(2)))</f>
        <v>#DIV/0!</v>
      </c>
      <c r="O1400" s="3" t="e">
        <f ca="1">SQRT(AVERAGE(K1400:OFFSET(K1400,$B$8-1,0))*$B$9/(4*LN(2)))</f>
        <v>#DIV/0!</v>
      </c>
      <c r="Q1400" s="5" t="e">
        <f t="shared" si="113"/>
        <v>#DIV/0!</v>
      </c>
      <c r="R1400" s="5" t="e">
        <f ca="1">SQRT($B$9*AVERAGE((Q1400:OFFSET(Q1400,$B$5-1,0))))</f>
        <v>#DIV/0!</v>
      </c>
      <c r="S1400" s="5" t="e">
        <f ca="1">SQRT($B$9*AVERAGE((Q1400:OFFSET(Q1400,$B$6-1,0))))</f>
        <v>#DIV/0!</v>
      </c>
      <c r="T1400" s="5" t="e">
        <f ca="1">SQRT($B$9*AVERAGE((Q1400:OFFSET(Q1400,$B$7-1,0))))</f>
        <v>#DIV/0!</v>
      </c>
      <c r="U1400" s="5" t="e">
        <f ca="1">SQRT($B$9*AVERAGE((Q1400:OFFSET(Q1400,$B$8-1,0))))</f>
        <v>#DIV/0!</v>
      </c>
      <c r="W1400" s="6" t="e">
        <f t="shared" si="117"/>
        <v>#DIV/0!</v>
      </c>
      <c r="X1400" s="6" t="e">
        <f ca="1">SQRT($B$9*AVERAGE(W1400:OFFSET(W1400,$B$5-1,0)))</f>
        <v>#DIV/0!</v>
      </c>
      <c r="Y1400" s="6" t="e">
        <f ca="1">SQRT($B$9*AVERAGE(W1400:OFFSET(W1400,$B$6-1,0)))</f>
        <v>#DIV/0!</v>
      </c>
      <c r="Z1400" s="6" t="e">
        <f ca="1">SQRT($B$9*AVERAGE(W1400:OFFSET(W1400,$B$7-1,0)))</f>
        <v>#DIV/0!</v>
      </c>
      <c r="AA1400" s="6" t="e">
        <f ca="1">SQRT($B$9*AVERAGE(W1400:OFFSET(W1400,$B$8-1,0)))</f>
        <v>#DIV/0!</v>
      </c>
      <c r="AC1400" s="34" t="e">
        <f t="shared" si="115"/>
        <v>#DIV/0!</v>
      </c>
      <c r="AD1400" s="34" t="e">
        <f ca="1">SQRT($B$9*SUM(AC1400:OFFSET(AC1400,$B$5-1,0))/($B$5-1))</f>
        <v>#DIV/0!</v>
      </c>
      <c r="AE1400" s="34" t="e">
        <f ca="1">SQRT($B$9*SUM(AC1400:OFFSET(AC1400,$B$6-1,0))/($B$6-1))</f>
        <v>#DIV/0!</v>
      </c>
      <c r="AF1400" s="34" t="e">
        <f ca="1">SQRT($B$9*SUM(AC1400:OFFSET(AC1400,$B$7-1,0))/($B$7-1))</f>
        <v>#DIV/0!</v>
      </c>
      <c r="AG1400" s="34" t="e">
        <f ca="1">SQRT($B$9*SUM(AC1400:OFFSET(AC1400,$B$8-1,0))/($B$8-1))</f>
        <v>#DIV/0!</v>
      </c>
      <c r="AI1400" s="1" t="e">
        <f t="shared" si="116"/>
        <v>#DIV/0!</v>
      </c>
      <c r="AJ1400" s="4" t="e">
        <f ca="1">SQRT($B$9)*_xlfn.STDEV.S(AI1400:OFFSET(AI1400,$B$5-1,0))</f>
        <v>#DIV/0!</v>
      </c>
      <c r="AK1400" s="4" t="e">
        <f ca="1">SQRT($B$9)*_xlfn.STDEV.S(AI1400:OFFSET(AI1400,$B$6-1,0))</f>
        <v>#DIV/0!</v>
      </c>
      <c r="AL1400" s="4" t="e">
        <f ca="1">SQRT($B$9)*_xlfn.STDEV.S(AI1400:OFFSET(AI1400,$B$7-1,0))</f>
        <v>#DIV/0!</v>
      </c>
      <c r="AM1400" s="4" t="e">
        <f ca="1">SQRT($B$9)*_xlfn.STDEV.S(AI1400:OFFSET(AI1400,$B$8-1,0))</f>
        <v>#DIV/0!</v>
      </c>
    </row>
    <row r="1401" spans="11:39" x14ac:dyDescent="0.2">
      <c r="K1401" s="3" t="e">
        <f t="shared" si="114"/>
        <v>#DIV/0!</v>
      </c>
      <c r="L1401" s="3" t="e">
        <f ca="1">SQRT(AVERAGE(K1401:OFFSET(K1401,$B$5-1,0))*$B$9/(4*LN(2)))</f>
        <v>#DIV/0!</v>
      </c>
      <c r="M1401" s="3" t="e">
        <f ca="1">SQRT(AVERAGE(K1401:OFFSET(K1401,$B$6-1,0))*$B$9/(4*LN(2)))</f>
        <v>#DIV/0!</v>
      </c>
      <c r="N1401" s="3" t="e">
        <f ca="1">SQRT(AVERAGE(K1401:OFFSET(K1401,$B$7-1,0))*$B$9/(4*LN(2)))</f>
        <v>#DIV/0!</v>
      </c>
      <c r="O1401" s="3" t="e">
        <f ca="1">SQRT(AVERAGE(K1401:OFFSET(K1401,$B$8-1,0))*$B$9/(4*LN(2)))</f>
        <v>#DIV/0!</v>
      </c>
      <c r="Q1401" s="5" t="e">
        <f t="shared" si="113"/>
        <v>#DIV/0!</v>
      </c>
      <c r="R1401" s="5" t="e">
        <f ca="1">SQRT($B$9*AVERAGE((Q1401:OFFSET(Q1401,$B$5-1,0))))</f>
        <v>#DIV/0!</v>
      </c>
      <c r="S1401" s="5" t="e">
        <f ca="1">SQRT($B$9*AVERAGE((Q1401:OFFSET(Q1401,$B$6-1,0))))</f>
        <v>#DIV/0!</v>
      </c>
      <c r="T1401" s="5" t="e">
        <f ca="1">SQRT($B$9*AVERAGE((Q1401:OFFSET(Q1401,$B$7-1,0))))</f>
        <v>#DIV/0!</v>
      </c>
      <c r="U1401" s="5" t="e">
        <f ca="1">SQRT($B$9*AVERAGE((Q1401:OFFSET(Q1401,$B$8-1,0))))</f>
        <v>#DIV/0!</v>
      </c>
      <c r="W1401" s="6" t="e">
        <f t="shared" si="117"/>
        <v>#DIV/0!</v>
      </c>
      <c r="X1401" s="6" t="e">
        <f ca="1">SQRT($B$9*AVERAGE(W1401:OFFSET(W1401,$B$5-1,0)))</f>
        <v>#DIV/0!</v>
      </c>
      <c r="Y1401" s="6" t="e">
        <f ca="1">SQRT($B$9*AVERAGE(W1401:OFFSET(W1401,$B$6-1,0)))</f>
        <v>#DIV/0!</v>
      </c>
      <c r="Z1401" s="6" t="e">
        <f ca="1">SQRT($B$9*AVERAGE(W1401:OFFSET(W1401,$B$7-1,0)))</f>
        <v>#DIV/0!</v>
      </c>
      <c r="AA1401" s="6" t="e">
        <f ca="1">SQRT($B$9*AVERAGE(W1401:OFFSET(W1401,$B$8-1,0)))</f>
        <v>#DIV/0!</v>
      </c>
      <c r="AC1401" s="34" t="e">
        <f t="shared" si="115"/>
        <v>#DIV/0!</v>
      </c>
      <c r="AD1401" s="34" t="e">
        <f ca="1">SQRT($B$9*SUM(AC1401:OFFSET(AC1401,$B$5-1,0))/($B$5-1))</f>
        <v>#DIV/0!</v>
      </c>
      <c r="AE1401" s="34" t="e">
        <f ca="1">SQRT($B$9*SUM(AC1401:OFFSET(AC1401,$B$6-1,0))/($B$6-1))</f>
        <v>#DIV/0!</v>
      </c>
      <c r="AF1401" s="34" t="e">
        <f ca="1">SQRT($B$9*SUM(AC1401:OFFSET(AC1401,$B$7-1,0))/($B$7-1))</f>
        <v>#DIV/0!</v>
      </c>
      <c r="AG1401" s="34" t="e">
        <f ca="1">SQRT($B$9*SUM(AC1401:OFFSET(AC1401,$B$8-1,0))/($B$8-1))</f>
        <v>#DIV/0!</v>
      </c>
      <c r="AI1401" s="1" t="e">
        <f t="shared" si="116"/>
        <v>#DIV/0!</v>
      </c>
      <c r="AJ1401" s="4" t="e">
        <f ca="1">SQRT($B$9)*_xlfn.STDEV.S(AI1401:OFFSET(AI1401,$B$5-1,0))</f>
        <v>#DIV/0!</v>
      </c>
      <c r="AK1401" s="4" t="e">
        <f ca="1">SQRT($B$9)*_xlfn.STDEV.S(AI1401:OFFSET(AI1401,$B$6-1,0))</f>
        <v>#DIV/0!</v>
      </c>
      <c r="AL1401" s="4" t="e">
        <f ca="1">SQRT($B$9)*_xlfn.STDEV.S(AI1401:OFFSET(AI1401,$B$7-1,0))</f>
        <v>#DIV/0!</v>
      </c>
      <c r="AM1401" s="4" t="e">
        <f ca="1">SQRT($B$9)*_xlfn.STDEV.S(AI1401:OFFSET(AI1401,$B$8-1,0))</f>
        <v>#DIV/0!</v>
      </c>
    </row>
    <row r="1402" spans="11:39" x14ac:dyDescent="0.2">
      <c r="K1402" s="3" t="e">
        <f t="shared" si="114"/>
        <v>#DIV/0!</v>
      </c>
      <c r="L1402" s="3" t="e">
        <f ca="1">SQRT(AVERAGE(K1402:OFFSET(K1402,$B$5-1,0))*$B$9/(4*LN(2)))</f>
        <v>#DIV/0!</v>
      </c>
      <c r="M1402" s="3" t="e">
        <f ca="1">SQRT(AVERAGE(K1402:OFFSET(K1402,$B$6-1,0))*$B$9/(4*LN(2)))</f>
        <v>#DIV/0!</v>
      </c>
      <c r="N1402" s="3" t="e">
        <f ca="1">SQRT(AVERAGE(K1402:OFFSET(K1402,$B$7-1,0))*$B$9/(4*LN(2)))</f>
        <v>#DIV/0!</v>
      </c>
      <c r="O1402" s="3" t="e">
        <f ca="1">SQRT(AVERAGE(K1402:OFFSET(K1402,$B$8-1,0))*$B$9/(4*LN(2)))</f>
        <v>#DIV/0!</v>
      </c>
      <c r="Q1402" s="5" t="e">
        <f t="shared" si="113"/>
        <v>#DIV/0!</v>
      </c>
      <c r="R1402" s="5" t="e">
        <f ca="1">SQRT($B$9*AVERAGE((Q1402:OFFSET(Q1402,$B$5-1,0))))</f>
        <v>#DIV/0!</v>
      </c>
      <c r="S1402" s="5" t="e">
        <f ca="1">SQRT($B$9*AVERAGE((Q1402:OFFSET(Q1402,$B$6-1,0))))</f>
        <v>#DIV/0!</v>
      </c>
      <c r="T1402" s="5" t="e">
        <f ca="1">SQRT($B$9*AVERAGE((Q1402:OFFSET(Q1402,$B$7-1,0))))</f>
        <v>#DIV/0!</v>
      </c>
      <c r="U1402" s="5" t="e">
        <f ca="1">SQRT($B$9*AVERAGE((Q1402:OFFSET(Q1402,$B$8-1,0))))</f>
        <v>#DIV/0!</v>
      </c>
      <c r="W1402" s="6" t="e">
        <f t="shared" si="117"/>
        <v>#DIV/0!</v>
      </c>
      <c r="X1402" s="6" t="e">
        <f ca="1">SQRT($B$9*AVERAGE(W1402:OFFSET(W1402,$B$5-1,0)))</f>
        <v>#DIV/0!</v>
      </c>
      <c r="Y1402" s="6" t="e">
        <f ca="1">SQRT($B$9*AVERAGE(W1402:OFFSET(W1402,$B$6-1,0)))</f>
        <v>#DIV/0!</v>
      </c>
      <c r="Z1402" s="6" t="e">
        <f ca="1">SQRT($B$9*AVERAGE(W1402:OFFSET(W1402,$B$7-1,0)))</f>
        <v>#DIV/0!</v>
      </c>
      <c r="AA1402" s="6" t="e">
        <f ca="1">SQRT($B$9*AVERAGE(W1402:OFFSET(W1402,$B$8-1,0)))</f>
        <v>#DIV/0!</v>
      </c>
      <c r="AC1402" s="34" t="e">
        <f t="shared" si="115"/>
        <v>#DIV/0!</v>
      </c>
      <c r="AD1402" s="34" t="e">
        <f ca="1">SQRT($B$9*SUM(AC1402:OFFSET(AC1402,$B$5-1,0))/($B$5-1))</f>
        <v>#DIV/0!</v>
      </c>
      <c r="AE1402" s="34" t="e">
        <f ca="1">SQRT($B$9*SUM(AC1402:OFFSET(AC1402,$B$6-1,0))/($B$6-1))</f>
        <v>#DIV/0!</v>
      </c>
      <c r="AF1402" s="34" t="e">
        <f ca="1">SQRT($B$9*SUM(AC1402:OFFSET(AC1402,$B$7-1,0))/($B$7-1))</f>
        <v>#DIV/0!</v>
      </c>
      <c r="AG1402" s="34" t="e">
        <f ca="1">SQRT($B$9*SUM(AC1402:OFFSET(AC1402,$B$8-1,0))/($B$8-1))</f>
        <v>#DIV/0!</v>
      </c>
      <c r="AI1402" s="1" t="e">
        <f t="shared" si="116"/>
        <v>#DIV/0!</v>
      </c>
      <c r="AJ1402" s="4" t="e">
        <f ca="1">SQRT($B$9)*_xlfn.STDEV.S(AI1402:OFFSET(AI1402,$B$5-1,0))</f>
        <v>#DIV/0!</v>
      </c>
      <c r="AK1402" s="4" t="e">
        <f ca="1">SQRT($B$9)*_xlfn.STDEV.S(AI1402:OFFSET(AI1402,$B$6-1,0))</f>
        <v>#DIV/0!</v>
      </c>
      <c r="AL1402" s="4" t="e">
        <f ca="1">SQRT($B$9)*_xlfn.STDEV.S(AI1402:OFFSET(AI1402,$B$7-1,0))</f>
        <v>#DIV/0!</v>
      </c>
      <c r="AM1402" s="4" t="e">
        <f ca="1">SQRT($B$9)*_xlfn.STDEV.S(AI1402:OFFSET(AI1402,$B$8-1,0))</f>
        <v>#DIV/0!</v>
      </c>
    </row>
    <row r="1403" spans="11:39" x14ac:dyDescent="0.2">
      <c r="K1403" s="3" t="e">
        <f t="shared" si="114"/>
        <v>#DIV/0!</v>
      </c>
      <c r="L1403" s="3" t="e">
        <f ca="1">SQRT(AVERAGE(K1403:OFFSET(K1403,$B$5-1,0))*$B$9/(4*LN(2)))</f>
        <v>#DIV/0!</v>
      </c>
      <c r="M1403" s="3" t="e">
        <f ca="1">SQRT(AVERAGE(K1403:OFFSET(K1403,$B$6-1,0))*$B$9/(4*LN(2)))</f>
        <v>#DIV/0!</v>
      </c>
      <c r="N1403" s="3" t="e">
        <f ca="1">SQRT(AVERAGE(K1403:OFFSET(K1403,$B$7-1,0))*$B$9/(4*LN(2)))</f>
        <v>#DIV/0!</v>
      </c>
      <c r="O1403" s="3" t="e">
        <f ca="1">SQRT(AVERAGE(K1403:OFFSET(K1403,$B$8-1,0))*$B$9/(4*LN(2)))</f>
        <v>#DIV/0!</v>
      </c>
      <c r="Q1403" s="5" t="e">
        <f t="shared" si="113"/>
        <v>#DIV/0!</v>
      </c>
      <c r="R1403" s="5" t="e">
        <f ca="1">SQRT($B$9*AVERAGE((Q1403:OFFSET(Q1403,$B$5-1,0))))</f>
        <v>#DIV/0!</v>
      </c>
      <c r="S1403" s="5" t="e">
        <f ca="1">SQRT($B$9*AVERAGE((Q1403:OFFSET(Q1403,$B$6-1,0))))</f>
        <v>#DIV/0!</v>
      </c>
      <c r="T1403" s="5" t="e">
        <f ca="1">SQRT($B$9*AVERAGE((Q1403:OFFSET(Q1403,$B$7-1,0))))</f>
        <v>#DIV/0!</v>
      </c>
      <c r="U1403" s="5" t="e">
        <f ca="1">SQRT($B$9*AVERAGE((Q1403:OFFSET(Q1403,$B$8-1,0))))</f>
        <v>#DIV/0!</v>
      </c>
      <c r="W1403" s="6" t="e">
        <f t="shared" si="117"/>
        <v>#DIV/0!</v>
      </c>
      <c r="X1403" s="6" t="e">
        <f ca="1">SQRT($B$9*AVERAGE(W1403:OFFSET(W1403,$B$5-1,0)))</f>
        <v>#DIV/0!</v>
      </c>
      <c r="Y1403" s="6" t="e">
        <f ca="1">SQRT($B$9*AVERAGE(W1403:OFFSET(W1403,$B$6-1,0)))</f>
        <v>#DIV/0!</v>
      </c>
      <c r="Z1403" s="6" t="e">
        <f ca="1">SQRT($B$9*AVERAGE(W1403:OFFSET(W1403,$B$7-1,0)))</f>
        <v>#DIV/0!</v>
      </c>
      <c r="AA1403" s="6" t="e">
        <f ca="1">SQRT($B$9*AVERAGE(W1403:OFFSET(W1403,$B$8-1,0)))</f>
        <v>#DIV/0!</v>
      </c>
      <c r="AC1403" s="34" t="e">
        <f t="shared" si="115"/>
        <v>#DIV/0!</v>
      </c>
      <c r="AD1403" s="34" t="e">
        <f ca="1">SQRT($B$9*SUM(AC1403:OFFSET(AC1403,$B$5-1,0))/($B$5-1))</f>
        <v>#DIV/0!</v>
      </c>
      <c r="AE1403" s="34" t="e">
        <f ca="1">SQRT($B$9*SUM(AC1403:OFFSET(AC1403,$B$6-1,0))/($B$6-1))</f>
        <v>#DIV/0!</v>
      </c>
      <c r="AF1403" s="34" t="e">
        <f ca="1">SQRT($B$9*SUM(AC1403:OFFSET(AC1403,$B$7-1,0))/($B$7-1))</f>
        <v>#DIV/0!</v>
      </c>
      <c r="AG1403" s="34" t="e">
        <f ca="1">SQRT($B$9*SUM(AC1403:OFFSET(AC1403,$B$8-1,0))/($B$8-1))</f>
        <v>#DIV/0!</v>
      </c>
      <c r="AI1403" s="1" t="e">
        <f t="shared" si="116"/>
        <v>#DIV/0!</v>
      </c>
      <c r="AJ1403" s="4" t="e">
        <f ca="1">SQRT($B$9)*_xlfn.STDEV.S(AI1403:OFFSET(AI1403,$B$5-1,0))</f>
        <v>#DIV/0!</v>
      </c>
      <c r="AK1403" s="4" t="e">
        <f ca="1">SQRT($B$9)*_xlfn.STDEV.S(AI1403:OFFSET(AI1403,$B$6-1,0))</f>
        <v>#DIV/0!</v>
      </c>
      <c r="AL1403" s="4" t="e">
        <f ca="1">SQRT($B$9)*_xlfn.STDEV.S(AI1403:OFFSET(AI1403,$B$7-1,0))</f>
        <v>#DIV/0!</v>
      </c>
      <c r="AM1403" s="4" t="e">
        <f ca="1">SQRT($B$9)*_xlfn.STDEV.S(AI1403:OFFSET(AI1403,$B$8-1,0))</f>
        <v>#DIV/0!</v>
      </c>
    </row>
    <row r="1404" spans="11:39" x14ac:dyDescent="0.2">
      <c r="K1404" s="3" t="e">
        <f t="shared" si="114"/>
        <v>#DIV/0!</v>
      </c>
      <c r="L1404" s="3" t="e">
        <f ca="1">SQRT(AVERAGE(K1404:OFFSET(K1404,$B$5-1,0))*$B$9/(4*LN(2)))</f>
        <v>#DIV/0!</v>
      </c>
      <c r="M1404" s="3" t="e">
        <f ca="1">SQRT(AVERAGE(K1404:OFFSET(K1404,$B$6-1,0))*$B$9/(4*LN(2)))</f>
        <v>#DIV/0!</v>
      </c>
      <c r="N1404" s="3" t="e">
        <f ca="1">SQRT(AVERAGE(K1404:OFFSET(K1404,$B$7-1,0))*$B$9/(4*LN(2)))</f>
        <v>#DIV/0!</v>
      </c>
      <c r="O1404" s="3" t="e">
        <f ca="1">SQRT(AVERAGE(K1404:OFFSET(K1404,$B$8-1,0))*$B$9/(4*LN(2)))</f>
        <v>#DIV/0!</v>
      </c>
      <c r="Q1404" s="5" t="e">
        <f t="shared" si="113"/>
        <v>#DIV/0!</v>
      </c>
      <c r="R1404" s="5" t="e">
        <f ca="1">SQRT($B$9*AVERAGE((Q1404:OFFSET(Q1404,$B$5-1,0))))</f>
        <v>#DIV/0!</v>
      </c>
      <c r="S1404" s="5" t="e">
        <f ca="1">SQRT($B$9*AVERAGE((Q1404:OFFSET(Q1404,$B$6-1,0))))</f>
        <v>#DIV/0!</v>
      </c>
      <c r="T1404" s="5" t="e">
        <f ca="1">SQRT($B$9*AVERAGE((Q1404:OFFSET(Q1404,$B$7-1,0))))</f>
        <v>#DIV/0!</v>
      </c>
      <c r="U1404" s="5" t="e">
        <f ca="1">SQRT($B$9*AVERAGE((Q1404:OFFSET(Q1404,$B$8-1,0))))</f>
        <v>#DIV/0!</v>
      </c>
      <c r="W1404" s="6" t="e">
        <f t="shared" si="117"/>
        <v>#DIV/0!</v>
      </c>
      <c r="X1404" s="6" t="e">
        <f ca="1">SQRT($B$9*AVERAGE(W1404:OFFSET(W1404,$B$5-1,0)))</f>
        <v>#DIV/0!</v>
      </c>
      <c r="Y1404" s="6" t="e">
        <f ca="1">SQRT($B$9*AVERAGE(W1404:OFFSET(W1404,$B$6-1,0)))</f>
        <v>#DIV/0!</v>
      </c>
      <c r="Z1404" s="6" t="e">
        <f ca="1">SQRT($B$9*AVERAGE(W1404:OFFSET(W1404,$B$7-1,0)))</f>
        <v>#DIV/0!</v>
      </c>
      <c r="AA1404" s="6" t="e">
        <f ca="1">SQRT($B$9*AVERAGE(W1404:OFFSET(W1404,$B$8-1,0)))</f>
        <v>#DIV/0!</v>
      </c>
      <c r="AC1404" s="34" t="e">
        <f t="shared" si="115"/>
        <v>#DIV/0!</v>
      </c>
      <c r="AD1404" s="34" t="e">
        <f ca="1">SQRT($B$9*SUM(AC1404:OFFSET(AC1404,$B$5-1,0))/($B$5-1))</f>
        <v>#DIV/0!</v>
      </c>
      <c r="AE1404" s="34" t="e">
        <f ca="1">SQRT($B$9*SUM(AC1404:OFFSET(AC1404,$B$6-1,0))/($B$6-1))</f>
        <v>#DIV/0!</v>
      </c>
      <c r="AF1404" s="34" t="e">
        <f ca="1">SQRT($B$9*SUM(AC1404:OFFSET(AC1404,$B$7-1,0))/($B$7-1))</f>
        <v>#DIV/0!</v>
      </c>
      <c r="AG1404" s="34" t="e">
        <f ca="1">SQRT($B$9*SUM(AC1404:OFFSET(AC1404,$B$8-1,0))/($B$8-1))</f>
        <v>#DIV/0!</v>
      </c>
      <c r="AI1404" s="1" t="e">
        <f t="shared" si="116"/>
        <v>#DIV/0!</v>
      </c>
      <c r="AJ1404" s="4" t="e">
        <f ca="1">SQRT($B$9)*_xlfn.STDEV.S(AI1404:OFFSET(AI1404,$B$5-1,0))</f>
        <v>#DIV/0!</v>
      </c>
      <c r="AK1404" s="4" t="e">
        <f ca="1">SQRT($B$9)*_xlfn.STDEV.S(AI1404:OFFSET(AI1404,$B$6-1,0))</f>
        <v>#DIV/0!</v>
      </c>
      <c r="AL1404" s="4" t="e">
        <f ca="1">SQRT($B$9)*_xlfn.STDEV.S(AI1404:OFFSET(AI1404,$B$7-1,0))</f>
        <v>#DIV/0!</v>
      </c>
      <c r="AM1404" s="4" t="e">
        <f ca="1">SQRT($B$9)*_xlfn.STDEV.S(AI1404:OFFSET(AI1404,$B$8-1,0))</f>
        <v>#DIV/0!</v>
      </c>
    </row>
    <row r="1405" spans="11:39" x14ac:dyDescent="0.2">
      <c r="K1405" s="3" t="e">
        <f t="shared" si="114"/>
        <v>#DIV/0!</v>
      </c>
      <c r="L1405" s="3" t="e">
        <f ca="1">SQRT(AVERAGE(K1405:OFFSET(K1405,$B$5-1,0))*$B$9/(4*LN(2)))</f>
        <v>#DIV/0!</v>
      </c>
      <c r="M1405" s="3" t="e">
        <f ca="1">SQRT(AVERAGE(K1405:OFFSET(K1405,$B$6-1,0))*$B$9/(4*LN(2)))</f>
        <v>#DIV/0!</v>
      </c>
      <c r="N1405" s="3" t="e">
        <f ca="1">SQRT(AVERAGE(K1405:OFFSET(K1405,$B$7-1,0))*$B$9/(4*LN(2)))</f>
        <v>#DIV/0!</v>
      </c>
      <c r="O1405" s="3" t="e">
        <f ca="1">SQRT(AVERAGE(K1405:OFFSET(K1405,$B$8-1,0))*$B$9/(4*LN(2)))</f>
        <v>#DIV/0!</v>
      </c>
      <c r="Q1405" s="5" t="e">
        <f t="shared" si="113"/>
        <v>#DIV/0!</v>
      </c>
      <c r="R1405" s="5" t="e">
        <f ca="1">SQRT($B$9*AVERAGE((Q1405:OFFSET(Q1405,$B$5-1,0))))</f>
        <v>#DIV/0!</v>
      </c>
      <c r="S1405" s="5" t="e">
        <f ca="1">SQRT($B$9*AVERAGE((Q1405:OFFSET(Q1405,$B$6-1,0))))</f>
        <v>#DIV/0!</v>
      </c>
      <c r="T1405" s="5" t="e">
        <f ca="1">SQRT($B$9*AVERAGE((Q1405:OFFSET(Q1405,$B$7-1,0))))</f>
        <v>#DIV/0!</v>
      </c>
      <c r="U1405" s="5" t="e">
        <f ca="1">SQRT($B$9*AVERAGE((Q1405:OFFSET(Q1405,$B$8-1,0))))</f>
        <v>#DIV/0!</v>
      </c>
      <c r="W1405" s="6" t="e">
        <f t="shared" si="117"/>
        <v>#DIV/0!</v>
      </c>
      <c r="X1405" s="6" t="e">
        <f ca="1">SQRT($B$9*AVERAGE(W1405:OFFSET(W1405,$B$5-1,0)))</f>
        <v>#DIV/0!</v>
      </c>
      <c r="Y1405" s="6" t="e">
        <f ca="1">SQRT($B$9*AVERAGE(W1405:OFFSET(W1405,$B$6-1,0)))</f>
        <v>#DIV/0!</v>
      </c>
      <c r="Z1405" s="6" t="e">
        <f ca="1">SQRT($B$9*AVERAGE(W1405:OFFSET(W1405,$B$7-1,0)))</f>
        <v>#DIV/0!</v>
      </c>
      <c r="AA1405" s="6" t="e">
        <f ca="1">SQRT($B$9*AVERAGE(W1405:OFFSET(W1405,$B$8-1,0)))</f>
        <v>#DIV/0!</v>
      </c>
      <c r="AC1405" s="34" t="e">
        <f t="shared" si="115"/>
        <v>#DIV/0!</v>
      </c>
      <c r="AD1405" s="34" t="e">
        <f ca="1">SQRT($B$9*SUM(AC1405:OFFSET(AC1405,$B$5-1,0))/($B$5-1))</f>
        <v>#DIV/0!</v>
      </c>
      <c r="AE1405" s="34" t="e">
        <f ca="1">SQRT($B$9*SUM(AC1405:OFFSET(AC1405,$B$6-1,0))/($B$6-1))</f>
        <v>#DIV/0!</v>
      </c>
      <c r="AF1405" s="34" t="e">
        <f ca="1">SQRT($B$9*SUM(AC1405:OFFSET(AC1405,$B$7-1,0))/($B$7-1))</f>
        <v>#DIV/0!</v>
      </c>
      <c r="AG1405" s="34" t="e">
        <f ca="1">SQRT($B$9*SUM(AC1405:OFFSET(AC1405,$B$8-1,0))/($B$8-1))</f>
        <v>#DIV/0!</v>
      </c>
      <c r="AI1405" s="1" t="e">
        <f t="shared" si="116"/>
        <v>#DIV/0!</v>
      </c>
      <c r="AJ1405" s="4" t="e">
        <f ca="1">SQRT($B$9)*_xlfn.STDEV.S(AI1405:OFFSET(AI1405,$B$5-1,0))</f>
        <v>#DIV/0!</v>
      </c>
      <c r="AK1405" s="4" t="e">
        <f ca="1">SQRT($B$9)*_xlfn.STDEV.S(AI1405:OFFSET(AI1405,$B$6-1,0))</f>
        <v>#DIV/0!</v>
      </c>
      <c r="AL1405" s="4" t="e">
        <f ca="1">SQRT($B$9)*_xlfn.STDEV.S(AI1405:OFFSET(AI1405,$B$7-1,0))</f>
        <v>#DIV/0!</v>
      </c>
      <c r="AM1405" s="4" t="e">
        <f ca="1">SQRT($B$9)*_xlfn.STDEV.S(AI1405:OFFSET(AI1405,$B$8-1,0))</f>
        <v>#DIV/0!</v>
      </c>
    </row>
    <row r="1406" spans="11:39" x14ac:dyDescent="0.2">
      <c r="K1406" s="3" t="e">
        <f t="shared" si="114"/>
        <v>#DIV/0!</v>
      </c>
      <c r="L1406" s="3" t="e">
        <f ca="1">SQRT(AVERAGE(K1406:OFFSET(K1406,$B$5-1,0))*$B$9/(4*LN(2)))</f>
        <v>#DIV/0!</v>
      </c>
      <c r="M1406" s="3" t="e">
        <f ca="1">SQRT(AVERAGE(K1406:OFFSET(K1406,$B$6-1,0))*$B$9/(4*LN(2)))</f>
        <v>#DIV/0!</v>
      </c>
      <c r="N1406" s="3" t="e">
        <f ca="1">SQRT(AVERAGE(K1406:OFFSET(K1406,$B$7-1,0))*$B$9/(4*LN(2)))</f>
        <v>#DIV/0!</v>
      </c>
      <c r="O1406" s="3" t="e">
        <f ca="1">SQRT(AVERAGE(K1406:OFFSET(K1406,$B$8-1,0))*$B$9/(4*LN(2)))</f>
        <v>#DIV/0!</v>
      </c>
      <c r="Q1406" s="5" t="e">
        <f t="shared" si="113"/>
        <v>#DIV/0!</v>
      </c>
      <c r="R1406" s="5" t="e">
        <f ca="1">SQRT($B$9*AVERAGE((Q1406:OFFSET(Q1406,$B$5-1,0))))</f>
        <v>#DIV/0!</v>
      </c>
      <c r="S1406" s="5" t="e">
        <f ca="1">SQRT($B$9*AVERAGE((Q1406:OFFSET(Q1406,$B$6-1,0))))</f>
        <v>#DIV/0!</v>
      </c>
      <c r="T1406" s="5" t="e">
        <f ca="1">SQRT($B$9*AVERAGE((Q1406:OFFSET(Q1406,$B$7-1,0))))</f>
        <v>#DIV/0!</v>
      </c>
      <c r="U1406" s="5" t="e">
        <f ca="1">SQRT($B$9*AVERAGE((Q1406:OFFSET(Q1406,$B$8-1,0))))</f>
        <v>#DIV/0!</v>
      </c>
      <c r="W1406" s="6" t="e">
        <f t="shared" si="117"/>
        <v>#DIV/0!</v>
      </c>
      <c r="X1406" s="6" t="e">
        <f ca="1">SQRT($B$9*AVERAGE(W1406:OFFSET(W1406,$B$5-1,0)))</f>
        <v>#DIV/0!</v>
      </c>
      <c r="Y1406" s="6" t="e">
        <f ca="1">SQRT($B$9*AVERAGE(W1406:OFFSET(W1406,$B$6-1,0)))</f>
        <v>#DIV/0!</v>
      </c>
      <c r="Z1406" s="6" t="e">
        <f ca="1">SQRT($B$9*AVERAGE(W1406:OFFSET(W1406,$B$7-1,0)))</f>
        <v>#DIV/0!</v>
      </c>
      <c r="AA1406" s="6" t="e">
        <f ca="1">SQRT($B$9*AVERAGE(W1406:OFFSET(W1406,$B$8-1,0)))</f>
        <v>#DIV/0!</v>
      </c>
      <c r="AC1406" s="34" t="e">
        <f t="shared" si="115"/>
        <v>#DIV/0!</v>
      </c>
      <c r="AD1406" s="34" t="e">
        <f ca="1">SQRT($B$9*SUM(AC1406:OFFSET(AC1406,$B$5-1,0))/($B$5-1))</f>
        <v>#DIV/0!</v>
      </c>
      <c r="AE1406" s="34" t="e">
        <f ca="1">SQRT($B$9*SUM(AC1406:OFFSET(AC1406,$B$6-1,0))/($B$6-1))</f>
        <v>#DIV/0!</v>
      </c>
      <c r="AF1406" s="34" t="e">
        <f ca="1">SQRT($B$9*SUM(AC1406:OFFSET(AC1406,$B$7-1,0))/($B$7-1))</f>
        <v>#DIV/0!</v>
      </c>
      <c r="AG1406" s="34" t="e">
        <f ca="1">SQRT($B$9*SUM(AC1406:OFFSET(AC1406,$B$8-1,0))/($B$8-1))</f>
        <v>#DIV/0!</v>
      </c>
      <c r="AI1406" s="1" t="e">
        <f t="shared" si="116"/>
        <v>#DIV/0!</v>
      </c>
      <c r="AJ1406" s="4" t="e">
        <f ca="1">SQRT($B$9)*_xlfn.STDEV.S(AI1406:OFFSET(AI1406,$B$5-1,0))</f>
        <v>#DIV/0!</v>
      </c>
      <c r="AK1406" s="4" t="e">
        <f ca="1">SQRT($B$9)*_xlfn.STDEV.S(AI1406:OFFSET(AI1406,$B$6-1,0))</f>
        <v>#DIV/0!</v>
      </c>
      <c r="AL1406" s="4" t="e">
        <f ca="1">SQRT($B$9)*_xlfn.STDEV.S(AI1406:OFFSET(AI1406,$B$7-1,0))</f>
        <v>#DIV/0!</v>
      </c>
      <c r="AM1406" s="4" t="e">
        <f ca="1">SQRT($B$9)*_xlfn.STDEV.S(AI1406:OFFSET(AI1406,$B$8-1,0))</f>
        <v>#DIV/0!</v>
      </c>
    </row>
    <row r="1407" spans="11:39" x14ac:dyDescent="0.2">
      <c r="K1407" s="3" t="e">
        <f t="shared" si="114"/>
        <v>#DIV/0!</v>
      </c>
      <c r="L1407" s="3" t="e">
        <f ca="1">SQRT(AVERAGE(K1407:OFFSET(K1407,$B$5-1,0))*$B$9/(4*LN(2)))</f>
        <v>#DIV/0!</v>
      </c>
      <c r="M1407" s="3" t="e">
        <f ca="1">SQRT(AVERAGE(K1407:OFFSET(K1407,$B$6-1,0))*$B$9/(4*LN(2)))</f>
        <v>#DIV/0!</v>
      </c>
      <c r="N1407" s="3" t="e">
        <f ca="1">SQRT(AVERAGE(K1407:OFFSET(K1407,$B$7-1,0))*$B$9/(4*LN(2)))</f>
        <v>#DIV/0!</v>
      </c>
      <c r="O1407" s="3" t="e">
        <f ca="1">SQRT(AVERAGE(K1407:OFFSET(K1407,$B$8-1,0))*$B$9/(4*LN(2)))</f>
        <v>#DIV/0!</v>
      </c>
      <c r="Q1407" s="5" t="e">
        <f t="shared" si="113"/>
        <v>#DIV/0!</v>
      </c>
      <c r="R1407" s="5" t="e">
        <f ca="1">SQRT($B$9*AVERAGE((Q1407:OFFSET(Q1407,$B$5-1,0))))</f>
        <v>#DIV/0!</v>
      </c>
      <c r="S1407" s="5" t="e">
        <f ca="1">SQRT($B$9*AVERAGE((Q1407:OFFSET(Q1407,$B$6-1,0))))</f>
        <v>#DIV/0!</v>
      </c>
      <c r="T1407" s="5" t="e">
        <f ca="1">SQRT($B$9*AVERAGE((Q1407:OFFSET(Q1407,$B$7-1,0))))</f>
        <v>#DIV/0!</v>
      </c>
      <c r="U1407" s="5" t="e">
        <f ca="1">SQRT($B$9*AVERAGE((Q1407:OFFSET(Q1407,$B$8-1,0))))</f>
        <v>#DIV/0!</v>
      </c>
      <c r="W1407" s="6" t="e">
        <f t="shared" si="117"/>
        <v>#DIV/0!</v>
      </c>
      <c r="X1407" s="6" t="e">
        <f ca="1">SQRT($B$9*AVERAGE(W1407:OFFSET(W1407,$B$5-1,0)))</f>
        <v>#DIV/0!</v>
      </c>
      <c r="Y1407" s="6" t="e">
        <f ca="1">SQRT($B$9*AVERAGE(W1407:OFFSET(W1407,$B$6-1,0)))</f>
        <v>#DIV/0!</v>
      </c>
      <c r="Z1407" s="6" t="e">
        <f ca="1">SQRT($B$9*AVERAGE(W1407:OFFSET(W1407,$B$7-1,0)))</f>
        <v>#DIV/0!</v>
      </c>
      <c r="AA1407" s="6" t="e">
        <f ca="1">SQRT($B$9*AVERAGE(W1407:OFFSET(W1407,$B$8-1,0)))</f>
        <v>#DIV/0!</v>
      </c>
      <c r="AC1407" s="34" t="e">
        <f t="shared" si="115"/>
        <v>#DIV/0!</v>
      </c>
      <c r="AD1407" s="34" t="e">
        <f ca="1">SQRT($B$9*SUM(AC1407:OFFSET(AC1407,$B$5-1,0))/($B$5-1))</f>
        <v>#DIV/0!</v>
      </c>
      <c r="AE1407" s="34" t="e">
        <f ca="1">SQRT($B$9*SUM(AC1407:OFFSET(AC1407,$B$6-1,0))/($B$6-1))</f>
        <v>#DIV/0!</v>
      </c>
      <c r="AF1407" s="34" t="e">
        <f ca="1">SQRT($B$9*SUM(AC1407:OFFSET(AC1407,$B$7-1,0))/($B$7-1))</f>
        <v>#DIV/0!</v>
      </c>
      <c r="AG1407" s="34" t="e">
        <f ca="1">SQRT($B$9*SUM(AC1407:OFFSET(AC1407,$B$8-1,0))/($B$8-1))</f>
        <v>#DIV/0!</v>
      </c>
      <c r="AI1407" s="1" t="e">
        <f t="shared" si="116"/>
        <v>#DIV/0!</v>
      </c>
      <c r="AJ1407" s="4" t="e">
        <f ca="1">SQRT($B$9)*_xlfn.STDEV.S(AI1407:OFFSET(AI1407,$B$5-1,0))</f>
        <v>#DIV/0!</v>
      </c>
      <c r="AK1407" s="4" t="e">
        <f ca="1">SQRT($B$9)*_xlfn.STDEV.S(AI1407:OFFSET(AI1407,$B$6-1,0))</f>
        <v>#DIV/0!</v>
      </c>
      <c r="AL1407" s="4" t="e">
        <f ca="1">SQRT($B$9)*_xlfn.STDEV.S(AI1407:OFFSET(AI1407,$B$7-1,0))</f>
        <v>#DIV/0!</v>
      </c>
      <c r="AM1407" s="4" t="e">
        <f ca="1">SQRT($B$9)*_xlfn.STDEV.S(AI1407:OFFSET(AI1407,$B$8-1,0))</f>
        <v>#DIV/0!</v>
      </c>
    </row>
    <row r="1408" spans="11:39" x14ac:dyDescent="0.2">
      <c r="K1408" s="3" t="e">
        <f t="shared" si="114"/>
        <v>#DIV/0!</v>
      </c>
      <c r="L1408" s="3" t="e">
        <f ca="1">SQRT(AVERAGE(K1408:OFFSET(K1408,$B$5-1,0))*$B$9/(4*LN(2)))</f>
        <v>#DIV/0!</v>
      </c>
      <c r="M1408" s="3" t="e">
        <f ca="1">SQRT(AVERAGE(K1408:OFFSET(K1408,$B$6-1,0))*$B$9/(4*LN(2)))</f>
        <v>#DIV/0!</v>
      </c>
      <c r="N1408" s="3" t="e">
        <f ca="1">SQRT(AVERAGE(K1408:OFFSET(K1408,$B$7-1,0))*$B$9/(4*LN(2)))</f>
        <v>#DIV/0!</v>
      </c>
      <c r="O1408" s="3" t="e">
        <f ca="1">SQRT(AVERAGE(K1408:OFFSET(K1408,$B$8-1,0))*$B$9/(4*LN(2)))</f>
        <v>#DIV/0!</v>
      </c>
      <c r="Q1408" s="5" t="e">
        <f t="shared" si="113"/>
        <v>#DIV/0!</v>
      </c>
      <c r="R1408" s="5" t="e">
        <f ca="1">SQRT($B$9*AVERAGE((Q1408:OFFSET(Q1408,$B$5-1,0))))</f>
        <v>#DIV/0!</v>
      </c>
      <c r="S1408" s="5" t="e">
        <f ca="1">SQRT($B$9*AVERAGE((Q1408:OFFSET(Q1408,$B$6-1,0))))</f>
        <v>#DIV/0!</v>
      </c>
      <c r="T1408" s="5" t="e">
        <f ca="1">SQRT($B$9*AVERAGE((Q1408:OFFSET(Q1408,$B$7-1,0))))</f>
        <v>#DIV/0!</v>
      </c>
      <c r="U1408" s="5" t="e">
        <f ca="1">SQRT($B$9*AVERAGE((Q1408:OFFSET(Q1408,$B$8-1,0))))</f>
        <v>#DIV/0!</v>
      </c>
      <c r="W1408" s="6" t="e">
        <f t="shared" si="117"/>
        <v>#DIV/0!</v>
      </c>
      <c r="X1408" s="6" t="e">
        <f ca="1">SQRT($B$9*AVERAGE(W1408:OFFSET(W1408,$B$5-1,0)))</f>
        <v>#DIV/0!</v>
      </c>
      <c r="Y1408" s="6" t="e">
        <f ca="1">SQRT($B$9*AVERAGE(W1408:OFFSET(W1408,$B$6-1,0)))</f>
        <v>#DIV/0!</v>
      </c>
      <c r="Z1408" s="6" t="e">
        <f ca="1">SQRT($B$9*AVERAGE(W1408:OFFSET(W1408,$B$7-1,0)))</f>
        <v>#DIV/0!</v>
      </c>
      <c r="AA1408" s="6" t="e">
        <f ca="1">SQRT($B$9*AVERAGE(W1408:OFFSET(W1408,$B$8-1,0)))</f>
        <v>#DIV/0!</v>
      </c>
      <c r="AC1408" s="34" t="e">
        <f t="shared" si="115"/>
        <v>#DIV/0!</v>
      </c>
      <c r="AD1408" s="34" t="e">
        <f ca="1">SQRT($B$9*SUM(AC1408:OFFSET(AC1408,$B$5-1,0))/($B$5-1))</f>
        <v>#DIV/0!</v>
      </c>
      <c r="AE1408" s="34" t="e">
        <f ca="1">SQRT($B$9*SUM(AC1408:OFFSET(AC1408,$B$6-1,0))/($B$6-1))</f>
        <v>#DIV/0!</v>
      </c>
      <c r="AF1408" s="34" t="e">
        <f ca="1">SQRT($B$9*SUM(AC1408:OFFSET(AC1408,$B$7-1,0))/($B$7-1))</f>
        <v>#DIV/0!</v>
      </c>
      <c r="AG1408" s="34" t="e">
        <f ca="1">SQRT($B$9*SUM(AC1408:OFFSET(AC1408,$B$8-1,0))/($B$8-1))</f>
        <v>#DIV/0!</v>
      </c>
      <c r="AI1408" s="1" t="e">
        <f t="shared" si="116"/>
        <v>#DIV/0!</v>
      </c>
      <c r="AJ1408" s="4" t="e">
        <f ca="1">SQRT($B$9)*_xlfn.STDEV.S(AI1408:OFFSET(AI1408,$B$5-1,0))</f>
        <v>#DIV/0!</v>
      </c>
      <c r="AK1408" s="4" t="e">
        <f ca="1">SQRT($B$9)*_xlfn.STDEV.S(AI1408:OFFSET(AI1408,$B$6-1,0))</f>
        <v>#DIV/0!</v>
      </c>
      <c r="AL1408" s="4" t="e">
        <f ca="1">SQRT($B$9)*_xlfn.STDEV.S(AI1408:OFFSET(AI1408,$B$7-1,0))</f>
        <v>#DIV/0!</v>
      </c>
      <c r="AM1408" s="4" t="e">
        <f ca="1">SQRT($B$9)*_xlfn.STDEV.S(AI1408:OFFSET(AI1408,$B$8-1,0))</f>
        <v>#DIV/0!</v>
      </c>
    </row>
    <row r="1409" spans="11:39" x14ac:dyDescent="0.2">
      <c r="K1409" s="3" t="e">
        <f t="shared" si="114"/>
        <v>#DIV/0!</v>
      </c>
      <c r="L1409" s="3" t="e">
        <f ca="1">SQRT(AVERAGE(K1409:OFFSET(K1409,$B$5-1,0))*$B$9/(4*LN(2)))</f>
        <v>#DIV/0!</v>
      </c>
      <c r="M1409" s="3" t="e">
        <f ca="1">SQRT(AVERAGE(K1409:OFFSET(K1409,$B$6-1,0))*$B$9/(4*LN(2)))</f>
        <v>#DIV/0!</v>
      </c>
      <c r="N1409" s="3" t="e">
        <f ca="1">SQRT(AVERAGE(K1409:OFFSET(K1409,$B$7-1,0))*$B$9/(4*LN(2)))</f>
        <v>#DIV/0!</v>
      </c>
      <c r="O1409" s="3" t="e">
        <f ca="1">SQRT(AVERAGE(K1409:OFFSET(K1409,$B$8-1,0))*$B$9/(4*LN(2)))</f>
        <v>#DIV/0!</v>
      </c>
      <c r="Q1409" s="5" t="e">
        <f t="shared" si="113"/>
        <v>#DIV/0!</v>
      </c>
      <c r="R1409" s="5" t="e">
        <f ca="1">SQRT($B$9*AVERAGE((Q1409:OFFSET(Q1409,$B$5-1,0))))</f>
        <v>#DIV/0!</v>
      </c>
      <c r="S1409" s="5" t="e">
        <f ca="1">SQRT($B$9*AVERAGE((Q1409:OFFSET(Q1409,$B$6-1,0))))</f>
        <v>#DIV/0!</v>
      </c>
      <c r="T1409" s="5" t="e">
        <f ca="1">SQRT($B$9*AVERAGE((Q1409:OFFSET(Q1409,$B$7-1,0))))</f>
        <v>#DIV/0!</v>
      </c>
      <c r="U1409" s="5" t="e">
        <f ca="1">SQRT($B$9*AVERAGE((Q1409:OFFSET(Q1409,$B$8-1,0))))</f>
        <v>#DIV/0!</v>
      </c>
      <c r="W1409" s="6" t="e">
        <f t="shared" si="117"/>
        <v>#DIV/0!</v>
      </c>
      <c r="X1409" s="6" t="e">
        <f ca="1">SQRT($B$9*AVERAGE(W1409:OFFSET(W1409,$B$5-1,0)))</f>
        <v>#DIV/0!</v>
      </c>
      <c r="Y1409" s="6" t="e">
        <f ca="1">SQRT($B$9*AVERAGE(W1409:OFFSET(W1409,$B$6-1,0)))</f>
        <v>#DIV/0!</v>
      </c>
      <c r="Z1409" s="6" t="e">
        <f ca="1">SQRT($B$9*AVERAGE(W1409:OFFSET(W1409,$B$7-1,0)))</f>
        <v>#DIV/0!</v>
      </c>
      <c r="AA1409" s="6" t="e">
        <f ca="1">SQRT($B$9*AVERAGE(W1409:OFFSET(W1409,$B$8-1,0)))</f>
        <v>#DIV/0!</v>
      </c>
      <c r="AC1409" s="34" t="e">
        <f t="shared" si="115"/>
        <v>#DIV/0!</v>
      </c>
      <c r="AD1409" s="34" t="e">
        <f ca="1">SQRT($B$9*SUM(AC1409:OFFSET(AC1409,$B$5-1,0))/($B$5-1))</f>
        <v>#DIV/0!</v>
      </c>
      <c r="AE1409" s="34" t="e">
        <f ca="1">SQRT($B$9*SUM(AC1409:OFFSET(AC1409,$B$6-1,0))/($B$6-1))</f>
        <v>#DIV/0!</v>
      </c>
      <c r="AF1409" s="34" t="e">
        <f ca="1">SQRT($B$9*SUM(AC1409:OFFSET(AC1409,$B$7-1,0))/($B$7-1))</f>
        <v>#DIV/0!</v>
      </c>
      <c r="AG1409" s="34" t="e">
        <f ca="1">SQRT($B$9*SUM(AC1409:OFFSET(AC1409,$B$8-1,0))/($B$8-1))</f>
        <v>#DIV/0!</v>
      </c>
      <c r="AI1409" s="1" t="e">
        <f t="shared" si="116"/>
        <v>#DIV/0!</v>
      </c>
      <c r="AJ1409" s="4" t="e">
        <f ca="1">SQRT($B$9)*_xlfn.STDEV.S(AI1409:OFFSET(AI1409,$B$5-1,0))</f>
        <v>#DIV/0!</v>
      </c>
      <c r="AK1409" s="4" t="e">
        <f ca="1">SQRT($B$9)*_xlfn.STDEV.S(AI1409:OFFSET(AI1409,$B$6-1,0))</f>
        <v>#DIV/0!</v>
      </c>
      <c r="AL1409" s="4" t="e">
        <f ca="1">SQRT($B$9)*_xlfn.STDEV.S(AI1409:OFFSET(AI1409,$B$7-1,0))</f>
        <v>#DIV/0!</v>
      </c>
      <c r="AM1409" s="4" t="e">
        <f ca="1">SQRT($B$9)*_xlfn.STDEV.S(AI1409:OFFSET(AI1409,$B$8-1,0))</f>
        <v>#DIV/0!</v>
      </c>
    </row>
    <row r="1410" spans="11:39" x14ac:dyDescent="0.2">
      <c r="K1410" s="3" t="e">
        <f t="shared" si="114"/>
        <v>#DIV/0!</v>
      </c>
      <c r="L1410" s="3" t="e">
        <f ca="1">SQRT(AVERAGE(K1410:OFFSET(K1410,$B$5-1,0))*$B$9/(4*LN(2)))</f>
        <v>#DIV/0!</v>
      </c>
      <c r="M1410" s="3" t="e">
        <f ca="1">SQRT(AVERAGE(K1410:OFFSET(K1410,$B$6-1,0))*$B$9/(4*LN(2)))</f>
        <v>#DIV/0!</v>
      </c>
      <c r="N1410" s="3" t="e">
        <f ca="1">SQRT(AVERAGE(K1410:OFFSET(K1410,$B$7-1,0))*$B$9/(4*LN(2)))</f>
        <v>#DIV/0!</v>
      </c>
      <c r="O1410" s="3" t="e">
        <f ca="1">SQRT(AVERAGE(K1410:OFFSET(K1410,$B$8-1,0))*$B$9/(4*LN(2)))</f>
        <v>#DIV/0!</v>
      </c>
      <c r="Q1410" s="5" t="e">
        <f t="shared" si="113"/>
        <v>#DIV/0!</v>
      </c>
      <c r="R1410" s="5" t="e">
        <f ca="1">SQRT($B$9*AVERAGE((Q1410:OFFSET(Q1410,$B$5-1,0))))</f>
        <v>#DIV/0!</v>
      </c>
      <c r="S1410" s="5" t="e">
        <f ca="1">SQRT($B$9*AVERAGE((Q1410:OFFSET(Q1410,$B$6-1,0))))</f>
        <v>#DIV/0!</v>
      </c>
      <c r="T1410" s="5" t="e">
        <f ca="1">SQRT($B$9*AVERAGE((Q1410:OFFSET(Q1410,$B$7-1,0))))</f>
        <v>#DIV/0!</v>
      </c>
      <c r="U1410" s="5" t="e">
        <f ca="1">SQRT($B$9*AVERAGE((Q1410:OFFSET(Q1410,$B$8-1,0))))</f>
        <v>#DIV/0!</v>
      </c>
      <c r="W1410" s="6" t="e">
        <f t="shared" si="117"/>
        <v>#DIV/0!</v>
      </c>
      <c r="X1410" s="6" t="e">
        <f ca="1">SQRT($B$9*AVERAGE(W1410:OFFSET(W1410,$B$5-1,0)))</f>
        <v>#DIV/0!</v>
      </c>
      <c r="Y1410" s="6" t="e">
        <f ca="1">SQRT($B$9*AVERAGE(W1410:OFFSET(W1410,$B$6-1,0)))</f>
        <v>#DIV/0!</v>
      </c>
      <c r="Z1410" s="6" t="e">
        <f ca="1">SQRT($B$9*AVERAGE(W1410:OFFSET(W1410,$B$7-1,0)))</f>
        <v>#DIV/0!</v>
      </c>
      <c r="AA1410" s="6" t="e">
        <f ca="1">SQRT($B$9*AVERAGE(W1410:OFFSET(W1410,$B$8-1,0)))</f>
        <v>#DIV/0!</v>
      </c>
      <c r="AC1410" s="34" t="e">
        <f t="shared" si="115"/>
        <v>#DIV/0!</v>
      </c>
      <c r="AD1410" s="34" t="e">
        <f ca="1">SQRT($B$9*SUM(AC1410:OFFSET(AC1410,$B$5-1,0))/($B$5-1))</f>
        <v>#DIV/0!</v>
      </c>
      <c r="AE1410" s="34" t="e">
        <f ca="1">SQRT($B$9*SUM(AC1410:OFFSET(AC1410,$B$6-1,0))/($B$6-1))</f>
        <v>#DIV/0!</v>
      </c>
      <c r="AF1410" s="34" t="e">
        <f ca="1">SQRT($B$9*SUM(AC1410:OFFSET(AC1410,$B$7-1,0))/($B$7-1))</f>
        <v>#DIV/0!</v>
      </c>
      <c r="AG1410" s="34" t="e">
        <f ca="1">SQRT($B$9*SUM(AC1410:OFFSET(AC1410,$B$8-1,0))/($B$8-1))</f>
        <v>#DIV/0!</v>
      </c>
      <c r="AI1410" s="1" t="e">
        <f t="shared" si="116"/>
        <v>#DIV/0!</v>
      </c>
      <c r="AJ1410" s="4" t="e">
        <f ca="1">SQRT($B$9)*_xlfn.STDEV.S(AI1410:OFFSET(AI1410,$B$5-1,0))</f>
        <v>#DIV/0!</v>
      </c>
      <c r="AK1410" s="4" t="e">
        <f ca="1">SQRT($B$9)*_xlfn.STDEV.S(AI1410:OFFSET(AI1410,$B$6-1,0))</f>
        <v>#DIV/0!</v>
      </c>
      <c r="AL1410" s="4" t="e">
        <f ca="1">SQRT($B$9)*_xlfn.STDEV.S(AI1410:OFFSET(AI1410,$B$7-1,0))</f>
        <v>#DIV/0!</v>
      </c>
      <c r="AM1410" s="4" t="e">
        <f ca="1">SQRT($B$9)*_xlfn.STDEV.S(AI1410:OFFSET(AI1410,$B$8-1,0))</f>
        <v>#DIV/0!</v>
      </c>
    </row>
    <row r="1411" spans="11:39" x14ac:dyDescent="0.2">
      <c r="K1411" s="3" t="e">
        <f t="shared" si="114"/>
        <v>#DIV/0!</v>
      </c>
      <c r="L1411" s="3" t="e">
        <f ca="1">SQRT(AVERAGE(K1411:OFFSET(K1411,$B$5-1,0))*$B$9/(4*LN(2)))</f>
        <v>#DIV/0!</v>
      </c>
      <c r="M1411" s="3" t="e">
        <f ca="1">SQRT(AVERAGE(K1411:OFFSET(K1411,$B$6-1,0))*$B$9/(4*LN(2)))</f>
        <v>#DIV/0!</v>
      </c>
      <c r="N1411" s="3" t="e">
        <f ca="1">SQRT(AVERAGE(K1411:OFFSET(K1411,$B$7-1,0))*$B$9/(4*LN(2)))</f>
        <v>#DIV/0!</v>
      </c>
      <c r="O1411" s="3" t="e">
        <f ca="1">SQRT(AVERAGE(K1411:OFFSET(K1411,$B$8-1,0))*$B$9/(4*LN(2)))</f>
        <v>#DIV/0!</v>
      </c>
      <c r="Q1411" s="5" t="e">
        <f t="shared" si="113"/>
        <v>#DIV/0!</v>
      </c>
      <c r="R1411" s="5" t="e">
        <f ca="1">SQRT($B$9*AVERAGE((Q1411:OFFSET(Q1411,$B$5-1,0))))</f>
        <v>#DIV/0!</v>
      </c>
      <c r="S1411" s="5" t="e">
        <f ca="1">SQRT($B$9*AVERAGE((Q1411:OFFSET(Q1411,$B$6-1,0))))</f>
        <v>#DIV/0!</v>
      </c>
      <c r="T1411" s="5" t="e">
        <f ca="1">SQRT($B$9*AVERAGE((Q1411:OFFSET(Q1411,$B$7-1,0))))</f>
        <v>#DIV/0!</v>
      </c>
      <c r="U1411" s="5" t="e">
        <f ca="1">SQRT($B$9*AVERAGE((Q1411:OFFSET(Q1411,$B$8-1,0))))</f>
        <v>#DIV/0!</v>
      </c>
      <c r="W1411" s="6" t="e">
        <f t="shared" si="117"/>
        <v>#DIV/0!</v>
      </c>
      <c r="X1411" s="6" t="e">
        <f ca="1">SQRT($B$9*AVERAGE(W1411:OFFSET(W1411,$B$5-1,0)))</f>
        <v>#DIV/0!</v>
      </c>
      <c r="Y1411" s="6" t="e">
        <f ca="1">SQRT($B$9*AVERAGE(W1411:OFFSET(W1411,$B$6-1,0)))</f>
        <v>#DIV/0!</v>
      </c>
      <c r="Z1411" s="6" t="e">
        <f ca="1">SQRT($B$9*AVERAGE(W1411:OFFSET(W1411,$B$7-1,0)))</f>
        <v>#DIV/0!</v>
      </c>
      <c r="AA1411" s="6" t="e">
        <f ca="1">SQRT($B$9*AVERAGE(W1411:OFFSET(W1411,$B$8-1,0)))</f>
        <v>#DIV/0!</v>
      </c>
      <c r="AC1411" s="34" t="e">
        <f t="shared" si="115"/>
        <v>#DIV/0!</v>
      </c>
      <c r="AD1411" s="34" t="e">
        <f ca="1">SQRT($B$9*SUM(AC1411:OFFSET(AC1411,$B$5-1,0))/($B$5-1))</f>
        <v>#DIV/0!</v>
      </c>
      <c r="AE1411" s="34" t="e">
        <f ca="1">SQRT($B$9*SUM(AC1411:OFFSET(AC1411,$B$6-1,0))/($B$6-1))</f>
        <v>#DIV/0!</v>
      </c>
      <c r="AF1411" s="34" t="e">
        <f ca="1">SQRT($B$9*SUM(AC1411:OFFSET(AC1411,$B$7-1,0))/($B$7-1))</f>
        <v>#DIV/0!</v>
      </c>
      <c r="AG1411" s="34" t="e">
        <f ca="1">SQRT($B$9*SUM(AC1411:OFFSET(AC1411,$B$8-1,0))/($B$8-1))</f>
        <v>#DIV/0!</v>
      </c>
      <c r="AI1411" s="1" t="e">
        <f t="shared" si="116"/>
        <v>#DIV/0!</v>
      </c>
      <c r="AJ1411" s="4" t="e">
        <f ca="1">SQRT($B$9)*_xlfn.STDEV.S(AI1411:OFFSET(AI1411,$B$5-1,0))</f>
        <v>#DIV/0!</v>
      </c>
      <c r="AK1411" s="4" t="e">
        <f ca="1">SQRT($B$9)*_xlfn.STDEV.S(AI1411:OFFSET(AI1411,$B$6-1,0))</f>
        <v>#DIV/0!</v>
      </c>
      <c r="AL1411" s="4" t="e">
        <f ca="1">SQRT($B$9)*_xlfn.STDEV.S(AI1411:OFFSET(AI1411,$B$7-1,0))</f>
        <v>#DIV/0!</v>
      </c>
      <c r="AM1411" s="4" t="e">
        <f ca="1">SQRT($B$9)*_xlfn.STDEV.S(AI1411:OFFSET(AI1411,$B$8-1,0))</f>
        <v>#DIV/0!</v>
      </c>
    </row>
    <row r="1412" spans="11:39" x14ac:dyDescent="0.2">
      <c r="K1412" s="3" t="e">
        <f t="shared" si="114"/>
        <v>#DIV/0!</v>
      </c>
      <c r="L1412" s="3" t="e">
        <f ca="1">SQRT(AVERAGE(K1412:OFFSET(K1412,$B$5-1,0))*$B$9/(4*LN(2)))</f>
        <v>#DIV/0!</v>
      </c>
      <c r="M1412" s="3" t="e">
        <f ca="1">SQRT(AVERAGE(K1412:OFFSET(K1412,$B$6-1,0))*$B$9/(4*LN(2)))</f>
        <v>#DIV/0!</v>
      </c>
      <c r="N1412" s="3" t="e">
        <f ca="1">SQRT(AVERAGE(K1412:OFFSET(K1412,$B$7-1,0))*$B$9/(4*LN(2)))</f>
        <v>#DIV/0!</v>
      </c>
      <c r="O1412" s="3" t="e">
        <f ca="1">SQRT(AVERAGE(K1412:OFFSET(K1412,$B$8-1,0))*$B$9/(4*LN(2)))</f>
        <v>#DIV/0!</v>
      </c>
      <c r="Q1412" s="5" t="e">
        <f t="shared" si="113"/>
        <v>#DIV/0!</v>
      </c>
      <c r="R1412" s="5" t="e">
        <f ca="1">SQRT($B$9*AVERAGE((Q1412:OFFSET(Q1412,$B$5-1,0))))</f>
        <v>#DIV/0!</v>
      </c>
      <c r="S1412" s="5" t="e">
        <f ca="1">SQRT($B$9*AVERAGE((Q1412:OFFSET(Q1412,$B$6-1,0))))</f>
        <v>#DIV/0!</v>
      </c>
      <c r="T1412" s="5" t="e">
        <f ca="1">SQRT($B$9*AVERAGE((Q1412:OFFSET(Q1412,$B$7-1,0))))</f>
        <v>#DIV/0!</v>
      </c>
      <c r="U1412" s="5" t="e">
        <f ca="1">SQRT($B$9*AVERAGE((Q1412:OFFSET(Q1412,$B$8-1,0))))</f>
        <v>#DIV/0!</v>
      </c>
      <c r="W1412" s="6" t="e">
        <f t="shared" si="117"/>
        <v>#DIV/0!</v>
      </c>
      <c r="X1412" s="6" t="e">
        <f ca="1">SQRT($B$9*AVERAGE(W1412:OFFSET(W1412,$B$5-1,0)))</f>
        <v>#DIV/0!</v>
      </c>
      <c r="Y1412" s="6" t="e">
        <f ca="1">SQRT($B$9*AVERAGE(W1412:OFFSET(W1412,$B$6-1,0)))</f>
        <v>#DIV/0!</v>
      </c>
      <c r="Z1412" s="6" t="e">
        <f ca="1">SQRT($B$9*AVERAGE(W1412:OFFSET(W1412,$B$7-1,0)))</f>
        <v>#DIV/0!</v>
      </c>
      <c r="AA1412" s="6" t="e">
        <f ca="1">SQRT($B$9*AVERAGE(W1412:OFFSET(W1412,$B$8-1,0)))</f>
        <v>#DIV/0!</v>
      </c>
      <c r="AC1412" s="34" t="e">
        <f t="shared" si="115"/>
        <v>#DIV/0!</v>
      </c>
      <c r="AD1412" s="34" t="e">
        <f ca="1">SQRT($B$9*SUM(AC1412:OFFSET(AC1412,$B$5-1,0))/($B$5-1))</f>
        <v>#DIV/0!</v>
      </c>
      <c r="AE1412" s="34" t="e">
        <f ca="1">SQRT($B$9*SUM(AC1412:OFFSET(AC1412,$B$6-1,0))/($B$6-1))</f>
        <v>#DIV/0!</v>
      </c>
      <c r="AF1412" s="34" t="e">
        <f ca="1">SQRT($B$9*SUM(AC1412:OFFSET(AC1412,$B$7-1,0))/($B$7-1))</f>
        <v>#DIV/0!</v>
      </c>
      <c r="AG1412" s="34" t="e">
        <f ca="1">SQRT($B$9*SUM(AC1412:OFFSET(AC1412,$B$8-1,0))/($B$8-1))</f>
        <v>#DIV/0!</v>
      </c>
      <c r="AI1412" s="1" t="e">
        <f t="shared" si="116"/>
        <v>#DIV/0!</v>
      </c>
      <c r="AJ1412" s="4" t="e">
        <f ca="1">SQRT($B$9)*_xlfn.STDEV.S(AI1412:OFFSET(AI1412,$B$5-1,0))</f>
        <v>#DIV/0!</v>
      </c>
      <c r="AK1412" s="4" t="e">
        <f ca="1">SQRT($B$9)*_xlfn.STDEV.S(AI1412:OFFSET(AI1412,$B$6-1,0))</f>
        <v>#DIV/0!</v>
      </c>
      <c r="AL1412" s="4" t="e">
        <f ca="1">SQRT($B$9)*_xlfn.STDEV.S(AI1412:OFFSET(AI1412,$B$7-1,0))</f>
        <v>#DIV/0!</v>
      </c>
      <c r="AM1412" s="4" t="e">
        <f ca="1">SQRT($B$9)*_xlfn.STDEV.S(AI1412:OFFSET(AI1412,$B$8-1,0))</f>
        <v>#DIV/0!</v>
      </c>
    </row>
    <row r="1413" spans="11:39" x14ac:dyDescent="0.2">
      <c r="K1413" s="3" t="e">
        <f t="shared" si="114"/>
        <v>#DIV/0!</v>
      </c>
      <c r="L1413" s="3" t="e">
        <f ca="1">SQRT(AVERAGE(K1413:OFFSET(K1413,$B$5-1,0))*$B$9/(4*LN(2)))</f>
        <v>#DIV/0!</v>
      </c>
      <c r="M1413" s="3" t="e">
        <f ca="1">SQRT(AVERAGE(K1413:OFFSET(K1413,$B$6-1,0))*$B$9/(4*LN(2)))</f>
        <v>#DIV/0!</v>
      </c>
      <c r="N1413" s="3" t="e">
        <f ca="1">SQRT(AVERAGE(K1413:OFFSET(K1413,$B$7-1,0))*$B$9/(4*LN(2)))</f>
        <v>#DIV/0!</v>
      </c>
      <c r="O1413" s="3" t="e">
        <f ca="1">SQRT(AVERAGE(K1413:OFFSET(K1413,$B$8-1,0))*$B$9/(4*LN(2)))</f>
        <v>#DIV/0!</v>
      </c>
      <c r="Q1413" s="5" t="e">
        <f t="shared" ref="Q1413:Q1476" si="118">0.511*(LN(G1413/H1413))^2-0.019*(LN(I1413/F1413)*LN(G1413*H1413/F1413^2)-2*LN(G1413/F1413)*LN(H1413/F1413))-0.383*(LN(I1413/F1413))^2</f>
        <v>#DIV/0!</v>
      </c>
      <c r="R1413" s="5" t="e">
        <f ca="1">SQRT($B$9*AVERAGE((Q1413:OFFSET(Q1413,$B$5-1,0))))</f>
        <v>#DIV/0!</v>
      </c>
      <c r="S1413" s="5" t="e">
        <f ca="1">SQRT($B$9*AVERAGE((Q1413:OFFSET(Q1413,$B$6-1,0))))</f>
        <v>#DIV/0!</v>
      </c>
      <c r="T1413" s="5" t="e">
        <f ca="1">SQRT($B$9*AVERAGE((Q1413:OFFSET(Q1413,$B$7-1,0))))</f>
        <v>#DIV/0!</v>
      </c>
      <c r="U1413" s="5" t="e">
        <f ca="1">SQRT($B$9*AVERAGE((Q1413:OFFSET(Q1413,$B$8-1,0))))</f>
        <v>#DIV/0!</v>
      </c>
      <c r="W1413" s="6" t="e">
        <f t="shared" si="117"/>
        <v>#DIV/0!</v>
      </c>
      <c r="X1413" s="6" t="e">
        <f ca="1">SQRT($B$9*AVERAGE(W1413:OFFSET(W1413,$B$5-1,0)))</f>
        <v>#DIV/0!</v>
      </c>
      <c r="Y1413" s="6" t="e">
        <f ca="1">SQRT($B$9*AVERAGE(W1413:OFFSET(W1413,$B$6-1,0)))</f>
        <v>#DIV/0!</v>
      </c>
      <c r="Z1413" s="6" t="e">
        <f ca="1">SQRT($B$9*AVERAGE(W1413:OFFSET(W1413,$B$7-1,0)))</f>
        <v>#DIV/0!</v>
      </c>
      <c r="AA1413" s="6" t="e">
        <f ca="1">SQRT($B$9*AVERAGE(W1413:OFFSET(W1413,$B$8-1,0)))</f>
        <v>#DIV/0!</v>
      </c>
      <c r="AC1413" s="34" t="e">
        <f t="shared" si="115"/>
        <v>#DIV/0!</v>
      </c>
      <c r="AD1413" s="34" t="e">
        <f ca="1">SQRT($B$9*SUM(AC1413:OFFSET(AC1413,$B$5-1,0))/($B$5-1))</f>
        <v>#DIV/0!</v>
      </c>
      <c r="AE1413" s="34" t="e">
        <f ca="1">SQRT($B$9*SUM(AC1413:OFFSET(AC1413,$B$6-1,0))/($B$6-1))</f>
        <v>#DIV/0!</v>
      </c>
      <c r="AF1413" s="34" t="e">
        <f ca="1">SQRT($B$9*SUM(AC1413:OFFSET(AC1413,$B$7-1,0))/($B$7-1))</f>
        <v>#DIV/0!</v>
      </c>
      <c r="AG1413" s="34" t="e">
        <f ca="1">SQRT($B$9*SUM(AC1413:OFFSET(AC1413,$B$8-1,0))/($B$8-1))</f>
        <v>#DIV/0!</v>
      </c>
      <c r="AI1413" s="1" t="e">
        <f t="shared" si="116"/>
        <v>#DIV/0!</v>
      </c>
      <c r="AJ1413" s="4" t="e">
        <f ca="1">SQRT($B$9)*_xlfn.STDEV.S(AI1413:OFFSET(AI1413,$B$5-1,0))</f>
        <v>#DIV/0!</v>
      </c>
      <c r="AK1413" s="4" t="e">
        <f ca="1">SQRT($B$9)*_xlfn.STDEV.S(AI1413:OFFSET(AI1413,$B$6-1,0))</f>
        <v>#DIV/0!</v>
      </c>
      <c r="AL1413" s="4" t="e">
        <f ca="1">SQRT($B$9)*_xlfn.STDEV.S(AI1413:OFFSET(AI1413,$B$7-1,0))</f>
        <v>#DIV/0!</v>
      </c>
      <c r="AM1413" s="4" t="e">
        <f ca="1">SQRT($B$9)*_xlfn.STDEV.S(AI1413:OFFSET(AI1413,$B$8-1,0))</f>
        <v>#DIV/0!</v>
      </c>
    </row>
    <row r="1414" spans="11:39" x14ac:dyDescent="0.2">
      <c r="K1414" s="3" t="e">
        <f t="shared" ref="K1414:K1477" si="119">(LN(G1414/H1414))^2</f>
        <v>#DIV/0!</v>
      </c>
      <c r="L1414" s="3" t="e">
        <f ca="1">SQRT(AVERAGE(K1414:OFFSET(K1414,$B$5-1,0))*$B$9/(4*LN(2)))</f>
        <v>#DIV/0!</v>
      </c>
      <c r="M1414" s="3" t="e">
        <f ca="1">SQRT(AVERAGE(K1414:OFFSET(K1414,$B$6-1,0))*$B$9/(4*LN(2)))</f>
        <v>#DIV/0!</v>
      </c>
      <c r="N1414" s="3" t="e">
        <f ca="1">SQRT(AVERAGE(K1414:OFFSET(K1414,$B$7-1,0))*$B$9/(4*LN(2)))</f>
        <v>#DIV/0!</v>
      </c>
      <c r="O1414" s="3" t="e">
        <f ca="1">SQRT(AVERAGE(K1414:OFFSET(K1414,$B$8-1,0))*$B$9/(4*LN(2)))</f>
        <v>#DIV/0!</v>
      </c>
      <c r="Q1414" s="5" t="e">
        <f t="shared" si="118"/>
        <v>#DIV/0!</v>
      </c>
      <c r="R1414" s="5" t="e">
        <f ca="1">SQRT($B$9*AVERAGE((Q1414:OFFSET(Q1414,$B$5-1,0))))</f>
        <v>#DIV/0!</v>
      </c>
      <c r="S1414" s="5" t="e">
        <f ca="1">SQRT($B$9*AVERAGE((Q1414:OFFSET(Q1414,$B$6-1,0))))</f>
        <v>#DIV/0!</v>
      </c>
      <c r="T1414" s="5" t="e">
        <f ca="1">SQRT($B$9*AVERAGE((Q1414:OFFSET(Q1414,$B$7-1,0))))</f>
        <v>#DIV/0!</v>
      </c>
      <c r="U1414" s="5" t="e">
        <f ca="1">SQRT($B$9*AVERAGE((Q1414:OFFSET(Q1414,$B$8-1,0))))</f>
        <v>#DIV/0!</v>
      </c>
      <c r="W1414" s="6" t="e">
        <f t="shared" si="117"/>
        <v>#DIV/0!</v>
      </c>
      <c r="X1414" s="6" t="e">
        <f ca="1">SQRT($B$9*AVERAGE(W1414:OFFSET(W1414,$B$5-1,0)))</f>
        <v>#DIV/0!</v>
      </c>
      <c r="Y1414" s="6" t="e">
        <f ca="1">SQRT($B$9*AVERAGE(W1414:OFFSET(W1414,$B$6-1,0)))</f>
        <v>#DIV/0!</v>
      </c>
      <c r="Z1414" s="6" t="e">
        <f ca="1">SQRT($B$9*AVERAGE(W1414:OFFSET(W1414,$B$7-1,0)))</f>
        <v>#DIV/0!</v>
      </c>
      <c r="AA1414" s="6" t="e">
        <f ca="1">SQRT($B$9*AVERAGE(W1414:OFFSET(W1414,$B$8-1,0)))</f>
        <v>#DIV/0!</v>
      </c>
      <c r="AC1414" s="34" t="e">
        <f t="shared" si="115"/>
        <v>#DIV/0!</v>
      </c>
      <c r="AD1414" s="34" t="e">
        <f ca="1">SQRT($B$9*SUM(AC1414:OFFSET(AC1414,$B$5-1,0))/($B$5-1))</f>
        <v>#DIV/0!</v>
      </c>
      <c r="AE1414" s="34" t="e">
        <f ca="1">SQRT($B$9*SUM(AC1414:OFFSET(AC1414,$B$6-1,0))/($B$6-1))</f>
        <v>#DIV/0!</v>
      </c>
      <c r="AF1414" s="34" t="e">
        <f ca="1">SQRT($B$9*SUM(AC1414:OFFSET(AC1414,$B$7-1,0))/($B$7-1))</f>
        <v>#DIV/0!</v>
      </c>
      <c r="AG1414" s="34" t="e">
        <f ca="1">SQRT($B$9*SUM(AC1414:OFFSET(AC1414,$B$8-1,0))/($B$8-1))</f>
        <v>#DIV/0!</v>
      </c>
      <c r="AI1414" s="1" t="e">
        <f t="shared" si="116"/>
        <v>#DIV/0!</v>
      </c>
      <c r="AJ1414" s="4" t="e">
        <f ca="1">SQRT($B$9)*_xlfn.STDEV.S(AI1414:OFFSET(AI1414,$B$5-1,0))</f>
        <v>#DIV/0!</v>
      </c>
      <c r="AK1414" s="4" t="e">
        <f ca="1">SQRT($B$9)*_xlfn.STDEV.S(AI1414:OFFSET(AI1414,$B$6-1,0))</f>
        <v>#DIV/0!</v>
      </c>
      <c r="AL1414" s="4" t="e">
        <f ca="1">SQRT($B$9)*_xlfn.STDEV.S(AI1414:OFFSET(AI1414,$B$7-1,0))</f>
        <v>#DIV/0!</v>
      </c>
      <c r="AM1414" s="4" t="e">
        <f ca="1">SQRT($B$9)*_xlfn.STDEV.S(AI1414:OFFSET(AI1414,$B$8-1,0))</f>
        <v>#DIV/0!</v>
      </c>
    </row>
    <row r="1415" spans="11:39" x14ac:dyDescent="0.2">
      <c r="K1415" s="3" t="e">
        <f t="shared" si="119"/>
        <v>#DIV/0!</v>
      </c>
      <c r="L1415" s="3" t="e">
        <f ca="1">SQRT(AVERAGE(K1415:OFFSET(K1415,$B$5-1,0))*$B$9/(4*LN(2)))</f>
        <v>#DIV/0!</v>
      </c>
      <c r="M1415" s="3" t="e">
        <f ca="1">SQRT(AVERAGE(K1415:OFFSET(K1415,$B$6-1,0))*$B$9/(4*LN(2)))</f>
        <v>#DIV/0!</v>
      </c>
      <c r="N1415" s="3" t="e">
        <f ca="1">SQRT(AVERAGE(K1415:OFFSET(K1415,$B$7-1,0))*$B$9/(4*LN(2)))</f>
        <v>#DIV/0!</v>
      </c>
      <c r="O1415" s="3" t="e">
        <f ca="1">SQRT(AVERAGE(K1415:OFFSET(K1415,$B$8-1,0))*$B$9/(4*LN(2)))</f>
        <v>#DIV/0!</v>
      </c>
      <c r="Q1415" s="5" t="e">
        <f t="shared" si="118"/>
        <v>#DIV/0!</v>
      </c>
      <c r="R1415" s="5" t="e">
        <f ca="1">SQRT($B$9*AVERAGE((Q1415:OFFSET(Q1415,$B$5-1,0))))</f>
        <v>#DIV/0!</v>
      </c>
      <c r="S1415" s="5" t="e">
        <f ca="1">SQRT($B$9*AVERAGE((Q1415:OFFSET(Q1415,$B$6-1,0))))</f>
        <v>#DIV/0!</v>
      </c>
      <c r="T1415" s="5" t="e">
        <f ca="1">SQRT($B$9*AVERAGE((Q1415:OFFSET(Q1415,$B$7-1,0))))</f>
        <v>#DIV/0!</v>
      </c>
      <c r="U1415" s="5" t="e">
        <f ca="1">SQRT($B$9*AVERAGE((Q1415:OFFSET(Q1415,$B$8-1,0))))</f>
        <v>#DIV/0!</v>
      </c>
      <c r="W1415" s="6" t="e">
        <f t="shared" si="117"/>
        <v>#DIV/0!</v>
      </c>
      <c r="X1415" s="6" t="e">
        <f ca="1">SQRT($B$9*AVERAGE(W1415:OFFSET(W1415,$B$5-1,0)))</f>
        <v>#DIV/0!</v>
      </c>
      <c r="Y1415" s="6" t="e">
        <f ca="1">SQRT($B$9*AVERAGE(W1415:OFFSET(W1415,$B$6-1,0)))</f>
        <v>#DIV/0!</v>
      </c>
      <c r="Z1415" s="6" t="e">
        <f ca="1">SQRT($B$9*AVERAGE(W1415:OFFSET(W1415,$B$7-1,0)))</f>
        <v>#DIV/0!</v>
      </c>
      <c r="AA1415" s="6" t="e">
        <f ca="1">SQRT($B$9*AVERAGE(W1415:OFFSET(W1415,$B$8-1,0)))</f>
        <v>#DIV/0!</v>
      </c>
      <c r="AC1415" s="34" t="e">
        <f t="shared" si="115"/>
        <v>#DIV/0!</v>
      </c>
      <c r="AD1415" s="34" t="e">
        <f ca="1">SQRT($B$9*SUM(AC1415:OFFSET(AC1415,$B$5-1,0))/($B$5-1))</f>
        <v>#DIV/0!</v>
      </c>
      <c r="AE1415" s="34" t="e">
        <f ca="1">SQRT($B$9*SUM(AC1415:OFFSET(AC1415,$B$6-1,0))/($B$6-1))</f>
        <v>#DIV/0!</v>
      </c>
      <c r="AF1415" s="34" t="e">
        <f ca="1">SQRT($B$9*SUM(AC1415:OFFSET(AC1415,$B$7-1,0))/($B$7-1))</f>
        <v>#DIV/0!</v>
      </c>
      <c r="AG1415" s="34" t="e">
        <f ca="1">SQRT($B$9*SUM(AC1415:OFFSET(AC1415,$B$8-1,0))/($B$8-1))</f>
        <v>#DIV/0!</v>
      </c>
      <c r="AI1415" s="1" t="e">
        <f t="shared" si="116"/>
        <v>#DIV/0!</v>
      </c>
      <c r="AJ1415" s="4" t="e">
        <f ca="1">SQRT($B$9)*_xlfn.STDEV.S(AI1415:OFFSET(AI1415,$B$5-1,0))</f>
        <v>#DIV/0!</v>
      </c>
      <c r="AK1415" s="4" t="e">
        <f ca="1">SQRT($B$9)*_xlfn.STDEV.S(AI1415:OFFSET(AI1415,$B$6-1,0))</f>
        <v>#DIV/0!</v>
      </c>
      <c r="AL1415" s="4" t="e">
        <f ca="1">SQRT($B$9)*_xlfn.STDEV.S(AI1415:OFFSET(AI1415,$B$7-1,0))</f>
        <v>#DIV/0!</v>
      </c>
      <c r="AM1415" s="4" t="e">
        <f ca="1">SQRT($B$9)*_xlfn.STDEV.S(AI1415:OFFSET(AI1415,$B$8-1,0))</f>
        <v>#DIV/0!</v>
      </c>
    </row>
    <row r="1416" spans="11:39" x14ac:dyDescent="0.2">
      <c r="K1416" s="3" t="e">
        <f t="shared" si="119"/>
        <v>#DIV/0!</v>
      </c>
      <c r="L1416" s="3" t="e">
        <f ca="1">SQRT(AVERAGE(K1416:OFFSET(K1416,$B$5-1,0))*$B$9/(4*LN(2)))</f>
        <v>#DIV/0!</v>
      </c>
      <c r="M1416" s="3" t="e">
        <f ca="1">SQRT(AVERAGE(K1416:OFFSET(K1416,$B$6-1,0))*$B$9/(4*LN(2)))</f>
        <v>#DIV/0!</v>
      </c>
      <c r="N1416" s="3" t="e">
        <f ca="1">SQRT(AVERAGE(K1416:OFFSET(K1416,$B$7-1,0))*$B$9/(4*LN(2)))</f>
        <v>#DIV/0!</v>
      </c>
      <c r="O1416" s="3" t="e">
        <f ca="1">SQRT(AVERAGE(K1416:OFFSET(K1416,$B$8-1,0))*$B$9/(4*LN(2)))</f>
        <v>#DIV/0!</v>
      </c>
      <c r="Q1416" s="5" t="e">
        <f t="shared" si="118"/>
        <v>#DIV/0!</v>
      </c>
      <c r="R1416" s="5" t="e">
        <f ca="1">SQRT($B$9*AVERAGE((Q1416:OFFSET(Q1416,$B$5-1,0))))</f>
        <v>#DIV/0!</v>
      </c>
      <c r="S1416" s="5" t="e">
        <f ca="1">SQRT($B$9*AVERAGE((Q1416:OFFSET(Q1416,$B$6-1,0))))</f>
        <v>#DIV/0!</v>
      </c>
      <c r="T1416" s="5" t="e">
        <f ca="1">SQRT($B$9*AVERAGE((Q1416:OFFSET(Q1416,$B$7-1,0))))</f>
        <v>#DIV/0!</v>
      </c>
      <c r="U1416" s="5" t="e">
        <f ca="1">SQRT($B$9*AVERAGE((Q1416:OFFSET(Q1416,$B$8-1,0))))</f>
        <v>#DIV/0!</v>
      </c>
      <c r="W1416" s="6" t="e">
        <f t="shared" si="117"/>
        <v>#DIV/0!</v>
      </c>
      <c r="X1416" s="6" t="e">
        <f ca="1">SQRT($B$9*AVERAGE(W1416:OFFSET(W1416,$B$5-1,0)))</f>
        <v>#DIV/0!</v>
      </c>
      <c r="Y1416" s="6" t="e">
        <f ca="1">SQRT($B$9*AVERAGE(W1416:OFFSET(W1416,$B$6-1,0)))</f>
        <v>#DIV/0!</v>
      </c>
      <c r="Z1416" s="6" t="e">
        <f ca="1">SQRT($B$9*AVERAGE(W1416:OFFSET(W1416,$B$7-1,0)))</f>
        <v>#DIV/0!</v>
      </c>
      <c r="AA1416" s="6" t="e">
        <f ca="1">SQRT($B$9*AVERAGE(W1416:OFFSET(W1416,$B$8-1,0)))</f>
        <v>#DIV/0!</v>
      </c>
      <c r="AC1416" s="34" t="e">
        <f t="shared" si="115"/>
        <v>#DIV/0!</v>
      </c>
      <c r="AD1416" s="34" t="e">
        <f ca="1">SQRT($B$9*SUM(AC1416:OFFSET(AC1416,$B$5-1,0))/($B$5-1))</f>
        <v>#DIV/0!</v>
      </c>
      <c r="AE1416" s="34" t="e">
        <f ca="1">SQRT($B$9*SUM(AC1416:OFFSET(AC1416,$B$6-1,0))/($B$6-1))</f>
        <v>#DIV/0!</v>
      </c>
      <c r="AF1416" s="34" t="e">
        <f ca="1">SQRT($B$9*SUM(AC1416:OFFSET(AC1416,$B$7-1,0))/($B$7-1))</f>
        <v>#DIV/0!</v>
      </c>
      <c r="AG1416" s="34" t="e">
        <f ca="1">SQRT($B$9*SUM(AC1416:OFFSET(AC1416,$B$8-1,0))/($B$8-1))</f>
        <v>#DIV/0!</v>
      </c>
      <c r="AI1416" s="1" t="e">
        <f t="shared" si="116"/>
        <v>#DIV/0!</v>
      </c>
      <c r="AJ1416" s="4" t="e">
        <f ca="1">SQRT($B$9)*_xlfn.STDEV.S(AI1416:OFFSET(AI1416,$B$5-1,0))</f>
        <v>#DIV/0!</v>
      </c>
      <c r="AK1416" s="4" t="e">
        <f ca="1">SQRT($B$9)*_xlfn.STDEV.S(AI1416:OFFSET(AI1416,$B$6-1,0))</f>
        <v>#DIV/0!</v>
      </c>
      <c r="AL1416" s="4" t="e">
        <f ca="1">SQRT($B$9)*_xlfn.STDEV.S(AI1416:OFFSET(AI1416,$B$7-1,0))</f>
        <v>#DIV/0!</v>
      </c>
      <c r="AM1416" s="4" t="e">
        <f ca="1">SQRT($B$9)*_xlfn.STDEV.S(AI1416:OFFSET(AI1416,$B$8-1,0))</f>
        <v>#DIV/0!</v>
      </c>
    </row>
    <row r="1417" spans="11:39" x14ac:dyDescent="0.2">
      <c r="K1417" s="3" t="e">
        <f t="shared" si="119"/>
        <v>#DIV/0!</v>
      </c>
      <c r="L1417" s="3" t="e">
        <f ca="1">SQRT(AVERAGE(K1417:OFFSET(K1417,$B$5-1,0))*$B$9/(4*LN(2)))</f>
        <v>#DIV/0!</v>
      </c>
      <c r="M1417" s="3" t="e">
        <f ca="1">SQRT(AVERAGE(K1417:OFFSET(K1417,$B$6-1,0))*$B$9/(4*LN(2)))</f>
        <v>#DIV/0!</v>
      </c>
      <c r="N1417" s="3" t="e">
        <f ca="1">SQRT(AVERAGE(K1417:OFFSET(K1417,$B$7-1,0))*$B$9/(4*LN(2)))</f>
        <v>#DIV/0!</v>
      </c>
      <c r="O1417" s="3" t="e">
        <f ca="1">SQRT(AVERAGE(K1417:OFFSET(K1417,$B$8-1,0))*$B$9/(4*LN(2)))</f>
        <v>#DIV/0!</v>
      </c>
      <c r="Q1417" s="5" t="e">
        <f t="shared" si="118"/>
        <v>#DIV/0!</v>
      </c>
      <c r="R1417" s="5" t="e">
        <f ca="1">SQRT($B$9*AVERAGE((Q1417:OFFSET(Q1417,$B$5-1,0))))</f>
        <v>#DIV/0!</v>
      </c>
      <c r="S1417" s="5" t="e">
        <f ca="1">SQRT($B$9*AVERAGE((Q1417:OFFSET(Q1417,$B$6-1,0))))</f>
        <v>#DIV/0!</v>
      </c>
      <c r="T1417" s="5" t="e">
        <f ca="1">SQRT($B$9*AVERAGE((Q1417:OFFSET(Q1417,$B$7-1,0))))</f>
        <v>#DIV/0!</v>
      </c>
      <c r="U1417" s="5" t="e">
        <f ca="1">SQRT($B$9*AVERAGE((Q1417:OFFSET(Q1417,$B$8-1,0))))</f>
        <v>#DIV/0!</v>
      </c>
      <c r="W1417" s="6" t="e">
        <f t="shared" si="117"/>
        <v>#DIV/0!</v>
      </c>
      <c r="X1417" s="6" t="e">
        <f ca="1">SQRT($B$9*AVERAGE(W1417:OFFSET(W1417,$B$5-1,0)))</f>
        <v>#DIV/0!</v>
      </c>
      <c r="Y1417" s="6" t="e">
        <f ca="1">SQRT($B$9*AVERAGE(W1417:OFFSET(W1417,$B$6-1,0)))</f>
        <v>#DIV/0!</v>
      </c>
      <c r="Z1417" s="6" t="e">
        <f ca="1">SQRT($B$9*AVERAGE(W1417:OFFSET(W1417,$B$7-1,0)))</f>
        <v>#DIV/0!</v>
      </c>
      <c r="AA1417" s="6" t="e">
        <f ca="1">SQRT($B$9*AVERAGE(W1417:OFFSET(W1417,$B$8-1,0)))</f>
        <v>#DIV/0!</v>
      </c>
      <c r="AC1417" s="34" t="e">
        <f t="shared" si="115"/>
        <v>#DIV/0!</v>
      </c>
      <c r="AD1417" s="34" t="e">
        <f ca="1">SQRT($B$9*SUM(AC1417:OFFSET(AC1417,$B$5-1,0))/($B$5-1))</f>
        <v>#DIV/0!</v>
      </c>
      <c r="AE1417" s="34" t="e">
        <f ca="1">SQRT($B$9*SUM(AC1417:OFFSET(AC1417,$B$6-1,0))/($B$6-1))</f>
        <v>#DIV/0!</v>
      </c>
      <c r="AF1417" s="34" t="e">
        <f ca="1">SQRT($B$9*SUM(AC1417:OFFSET(AC1417,$B$7-1,0))/($B$7-1))</f>
        <v>#DIV/0!</v>
      </c>
      <c r="AG1417" s="34" t="e">
        <f ca="1">SQRT($B$9*SUM(AC1417:OFFSET(AC1417,$B$8-1,0))/($B$8-1))</f>
        <v>#DIV/0!</v>
      </c>
      <c r="AI1417" s="1" t="e">
        <f t="shared" si="116"/>
        <v>#DIV/0!</v>
      </c>
      <c r="AJ1417" s="4" t="e">
        <f ca="1">SQRT($B$9)*_xlfn.STDEV.S(AI1417:OFFSET(AI1417,$B$5-1,0))</f>
        <v>#DIV/0!</v>
      </c>
      <c r="AK1417" s="4" t="e">
        <f ca="1">SQRT($B$9)*_xlfn.STDEV.S(AI1417:OFFSET(AI1417,$B$6-1,0))</f>
        <v>#DIV/0!</v>
      </c>
      <c r="AL1417" s="4" t="e">
        <f ca="1">SQRT($B$9)*_xlfn.STDEV.S(AI1417:OFFSET(AI1417,$B$7-1,0))</f>
        <v>#DIV/0!</v>
      </c>
      <c r="AM1417" s="4" t="e">
        <f ca="1">SQRT($B$9)*_xlfn.STDEV.S(AI1417:OFFSET(AI1417,$B$8-1,0))</f>
        <v>#DIV/0!</v>
      </c>
    </row>
    <row r="1418" spans="11:39" x14ac:dyDescent="0.2">
      <c r="K1418" s="3" t="e">
        <f t="shared" si="119"/>
        <v>#DIV/0!</v>
      </c>
      <c r="L1418" s="3" t="e">
        <f ca="1">SQRT(AVERAGE(K1418:OFFSET(K1418,$B$5-1,0))*$B$9/(4*LN(2)))</f>
        <v>#DIV/0!</v>
      </c>
      <c r="M1418" s="3" t="e">
        <f ca="1">SQRT(AVERAGE(K1418:OFFSET(K1418,$B$6-1,0))*$B$9/(4*LN(2)))</f>
        <v>#DIV/0!</v>
      </c>
      <c r="N1418" s="3" t="e">
        <f ca="1">SQRT(AVERAGE(K1418:OFFSET(K1418,$B$7-1,0))*$B$9/(4*LN(2)))</f>
        <v>#DIV/0!</v>
      </c>
      <c r="O1418" s="3" t="e">
        <f ca="1">SQRT(AVERAGE(K1418:OFFSET(K1418,$B$8-1,0))*$B$9/(4*LN(2)))</f>
        <v>#DIV/0!</v>
      </c>
      <c r="Q1418" s="5" t="e">
        <f t="shared" si="118"/>
        <v>#DIV/0!</v>
      </c>
      <c r="R1418" s="5" t="e">
        <f ca="1">SQRT($B$9*AVERAGE((Q1418:OFFSET(Q1418,$B$5-1,0))))</f>
        <v>#DIV/0!</v>
      </c>
      <c r="S1418" s="5" t="e">
        <f ca="1">SQRT($B$9*AVERAGE((Q1418:OFFSET(Q1418,$B$6-1,0))))</f>
        <v>#DIV/0!</v>
      </c>
      <c r="T1418" s="5" t="e">
        <f ca="1">SQRT($B$9*AVERAGE((Q1418:OFFSET(Q1418,$B$7-1,0))))</f>
        <v>#DIV/0!</v>
      </c>
      <c r="U1418" s="5" t="e">
        <f ca="1">SQRT($B$9*AVERAGE((Q1418:OFFSET(Q1418,$B$8-1,0))))</f>
        <v>#DIV/0!</v>
      </c>
      <c r="W1418" s="6" t="e">
        <f t="shared" si="117"/>
        <v>#DIV/0!</v>
      </c>
      <c r="X1418" s="6" t="e">
        <f ca="1">SQRT($B$9*AVERAGE(W1418:OFFSET(W1418,$B$5-1,0)))</f>
        <v>#DIV/0!</v>
      </c>
      <c r="Y1418" s="6" t="e">
        <f ca="1">SQRT($B$9*AVERAGE(W1418:OFFSET(W1418,$B$6-1,0)))</f>
        <v>#DIV/0!</v>
      </c>
      <c r="Z1418" s="6" t="e">
        <f ca="1">SQRT($B$9*AVERAGE(W1418:OFFSET(W1418,$B$7-1,0)))</f>
        <v>#DIV/0!</v>
      </c>
      <c r="AA1418" s="6" t="e">
        <f ca="1">SQRT($B$9*AVERAGE(W1418:OFFSET(W1418,$B$8-1,0)))</f>
        <v>#DIV/0!</v>
      </c>
      <c r="AC1418" s="34" t="e">
        <f t="shared" si="115"/>
        <v>#DIV/0!</v>
      </c>
      <c r="AD1418" s="34" t="e">
        <f ca="1">SQRT($B$9*SUM(AC1418:OFFSET(AC1418,$B$5-1,0))/($B$5-1))</f>
        <v>#DIV/0!</v>
      </c>
      <c r="AE1418" s="34" t="e">
        <f ca="1">SQRT($B$9*SUM(AC1418:OFFSET(AC1418,$B$6-1,0))/($B$6-1))</f>
        <v>#DIV/0!</v>
      </c>
      <c r="AF1418" s="34" t="e">
        <f ca="1">SQRT($B$9*SUM(AC1418:OFFSET(AC1418,$B$7-1,0))/($B$7-1))</f>
        <v>#DIV/0!</v>
      </c>
      <c r="AG1418" s="34" t="e">
        <f ca="1">SQRT($B$9*SUM(AC1418:OFFSET(AC1418,$B$8-1,0))/($B$8-1))</f>
        <v>#DIV/0!</v>
      </c>
      <c r="AI1418" s="1" t="e">
        <f t="shared" si="116"/>
        <v>#DIV/0!</v>
      </c>
      <c r="AJ1418" s="4" t="e">
        <f ca="1">SQRT($B$9)*_xlfn.STDEV.S(AI1418:OFFSET(AI1418,$B$5-1,0))</f>
        <v>#DIV/0!</v>
      </c>
      <c r="AK1418" s="4" t="e">
        <f ca="1">SQRT($B$9)*_xlfn.STDEV.S(AI1418:OFFSET(AI1418,$B$6-1,0))</f>
        <v>#DIV/0!</v>
      </c>
      <c r="AL1418" s="4" t="e">
        <f ca="1">SQRT($B$9)*_xlfn.STDEV.S(AI1418:OFFSET(AI1418,$B$7-1,0))</f>
        <v>#DIV/0!</v>
      </c>
      <c r="AM1418" s="4" t="e">
        <f ca="1">SQRT($B$9)*_xlfn.STDEV.S(AI1418:OFFSET(AI1418,$B$8-1,0))</f>
        <v>#DIV/0!</v>
      </c>
    </row>
    <row r="1419" spans="11:39" x14ac:dyDescent="0.2">
      <c r="K1419" s="3" t="e">
        <f t="shared" si="119"/>
        <v>#DIV/0!</v>
      </c>
      <c r="L1419" s="3" t="e">
        <f ca="1">SQRT(AVERAGE(K1419:OFFSET(K1419,$B$5-1,0))*$B$9/(4*LN(2)))</f>
        <v>#DIV/0!</v>
      </c>
      <c r="M1419" s="3" t="e">
        <f ca="1">SQRT(AVERAGE(K1419:OFFSET(K1419,$B$6-1,0))*$B$9/(4*LN(2)))</f>
        <v>#DIV/0!</v>
      </c>
      <c r="N1419" s="3" t="e">
        <f ca="1">SQRT(AVERAGE(K1419:OFFSET(K1419,$B$7-1,0))*$B$9/(4*LN(2)))</f>
        <v>#DIV/0!</v>
      </c>
      <c r="O1419" s="3" t="e">
        <f ca="1">SQRT(AVERAGE(K1419:OFFSET(K1419,$B$8-1,0))*$B$9/(4*LN(2)))</f>
        <v>#DIV/0!</v>
      </c>
      <c r="Q1419" s="5" t="e">
        <f t="shared" si="118"/>
        <v>#DIV/0!</v>
      </c>
      <c r="R1419" s="5" t="e">
        <f ca="1">SQRT($B$9*AVERAGE((Q1419:OFFSET(Q1419,$B$5-1,0))))</f>
        <v>#DIV/0!</v>
      </c>
      <c r="S1419" s="5" t="e">
        <f ca="1">SQRT($B$9*AVERAGE((Q1419:OFFSET(Q1419,$B$6-1,0))))</f>
        <v>#DIV/0!</v>
      </c>
      <c r="T1419" s="5" t="e">
        <f ca="1">SQRT($B$9*AVERAGE((Q1419:OFFSET(Q1419,$B$7-1,0))))</f>
        <v>#DIV/0!</v>
      </c>
      <c r="U1419" s="5" t="e">
        <f ca="1">SQRT($B$9*AVERAGE((Q1419:OFFSET(Q1419,$B$8-1,0))))</f>
        <v>#DIV/0!</v>
      </c>
      <c r="W1419" s="6" t="e">
        <f t="shared" si="117"/>
        <v>#DIV/0!</v>
      </c>
      <c r="X1419" s="6" t="e">
        <f ca="1">SQRT($B$9*AVERAGE(W1419:OFFSET(W1419,$B$5-1,0)))</f>
        <v>#DIV/0!</v>
      </c>
      <c r="Y1419" s="6" t="e">
        <f ca="1">SQRT($B$9*AVERAGE(W1419:OFFSET(W1419,$B$6-1,0)))</f>
        <v>#DIV/0!</v>
      </c>
      <c r="Z1419" s="6" t="e">
        <f ca="1">SQRT($B$9*AVERAGE(W1419:OFFSET(W1419,$B$7-1,0)))</f>
        <v>#DIV/0!</v>
      </c>
      <c r="AA1419" s="6" t="e">
        <f ca="1">SQRT($B$9*AVERAGE(W1419:OFFSET(W1419,$B$8-1,0)))</f>
        <v>#DIV/0!</v>
      </c>
      <c r="AC1419" s="34" t="e">
        <f t="shared" si="115"/>
        <v>#DIV/0!</v>
      </c>
      <c r="AD1419" s="34" t="e">
        <f ca="1">SQRT($B$9*SUM(AC1419:OFFSET(AC1419,$B$5-1,0))/($B$5-1))</f>
        <v>#DIV/0!</v>
      </c>
      <c r="AE1419" s="34" t="e">
        <f ca="1">SQRT($B$9*SUM(AC1419:OFFSET(AC1419,$B$6-1,0))/($B$6-1))</f>
        <v>#DIV/0!</v>
      </c>
      <c r="AF1419" s="34" t="e">
        <f ca="1">SQRT($B$9*SUM(AC1419:OFFSET(AC1419,$B$7-1,0))/($B$7-1))</f>
        <v>#DIV/0!</v>
      </c>
      <c r="AG1419" s="34" t="e">
        <f ca="1">SQRT($B$9*SUM(AC1419:OFFSET(AC1419,$B$8-1,0))/($B$8-1))</f>
        <v>#DIV/0!</v>
      </c>
      <c r="AI1419" s="1" t="e">
        <f t="shared" si="116"/>
        <v>#DIV/0!</v>
      </c>
      <c r="AJ1419" s="4" t="e">
        <f ca="1">SQRT($B$9)*_xlfn.STDEV.S(AI1419:OFFSET(AI1419,$B$5-1,0))</f>
        <v>#DIV/0!</v>
      </c>
      <c r="AK1419" s="4" t="e">
        <f ca="1">SQRT($B$9)*_xlfn.STDEV.S(AI1419:OFFSET(AI1419,$B$6-1,0))</f>
        <v>#DIV/0!</v>
      </c>
      <c r="AL1419" s="4" t="e">
        <f ca="1">SQRT($B$9)*_xlfn.STDEV.S(AI1419:OFFSET(AI1419,$B$7-1,0))</f>
        <v>#DIV/0!</v>
      </c>
      <c r="AM1419" s="4" t="e">
        <f ca="1">SQRT($B$9)*_xlfn.STDEV.S(AI1419:OFFSET(AI1419,$B$8-1,0))</f>
        <v>#DIV/0!</v>
      </c>
    </row>
    <row r="1420" spans="11:39" x14ac:dyDescent="0.2">
      <c r="K1420" s="3" t="e">
        <f t="shared" si="119"/>
        <v>#DIV/0!</v>
      </c>
      <c r="L1420" s="3" t="e">
        <f ca="1">SQRT(AVERAGE(K1420:OFFSET(K1420,$B$5-1,0))*$B$9/(4*LN(2)))</f>
        <v>#DIV/0!</v>
      </c>
      <c r="M1420" s="3" t="e">
        <f ca="1">SQRT(AVERAGE(K1420:OFFSET(K1420,$B$6-1,0))*$B$9/(4*LN(2)))</f>
        <v>#DIV/0!</v>
      </c>
      <c r="N1420" s="3" t="e">
        <f ca="1">SQRT(AVERAGE(K1420:OFFSET(K1420,$B$7-1,0))*$B$9/(4*LN(2)))</f>
        <v>#DIV/0!</v>
      </c>
      <c r="O1420" s="3" t="e">
        <f ca="1">SQRT(AVERAGE(K1420:OFFSET(K1420,$B$8-1,0))*$B$9/(4*LN(2)))</f>
        <v>#DIV/0!</v>
      </c>
      <c r="Q1420" s="5" t="e">
        <f t="shared" si="118"/>
        <v>#DIV/0!</v>
      </c>
      <c r="R1420" s="5" t="e">
        <f ca="1">SQRT($B$9*AVERAGE((Q1420:OFFSET(Q1420,$B$5-1,0))))</f>
        <v>#DIV/0!</v>
      </c>
      <c r="S1420" s="5" t="e">
        <f ca="1">SQRT($B$9*AVERAGE((Q1420:OFFSET(Q1420,$B$6-1,0))))</f>
        <v>#DIV/0!</v>
      </c>
      <c r="T1420" s="5" t="e">
        <f ca="1">SQRT($B$9*AVERAGE((Q1420:OFFSET(Q1420,$B$7-1,0))))</f>
        <v>#DIV/0!</v>
      </c>
      <c r="U1420" s="5" t="e">
        <f ca="1">SQRT($B$9*AVERAGE((Q1420:OFFSET(Q1420,$B$8-1,0))))</f>
        <v>#DIV/0!</v>
      </c>
      <c r="W1420" s="6" t="e">
        <f t="shared" si="117"/>
        <v>#DIV/0!</v>
      </c>
      <c r="X1420" s="6" t="e">
        <f ca="1">SQRT($B$9*AVERAGE(W1420:OFFSET(W1420,$B$5-1,0)))</f>
        <v>#DIV/0!</v>
      </c>
      <c r="Y1420" s="6" t="e">
        <f ca="1">SQRT($B$9*AVERAGE(W1420:OFFSET(W1420,$B$6-1,0)))</f>
        <v>#DIV/0!</v>
      </c>
      <c r="Z1420" s="6" t="e">
        <f ca="1">SQRT($B$9*AVERAGE(W1420:OFFSET(W1420,$B$7-1,0)))</f>
        <v>#DIV/0!</v>
      </c>
      <c r="AA1420" s="6" t="e">
        <f ca="1">SQRT($B$9*AVERAGE(W1420:OFFSET(W1420,$B$8-1,0)))</f>
        <v>#DIV/0!</v>
      </c>
      <c r="AC1420" s="34" t="e">
        <f t="shared" si="115"/>
        <v>#DIV/0!</v>
      </c>
      <c r="AD1420" s="34" t="e">
        <f ca="1">SQRT($B$9*SUM(AC1420:OFFSET(AC1420,$B$5-1,0))/($B$5-1))</f>
        <v>#DIV/0!</v>
      </c>
      <c r="AE1420" s="34" t="e">
        <f ca="1">SQRT($B$9*SUM(AC1420:OFFSET(AC1420,$B$6-1,0))/($B$6-1))</f>
        <v>#DIV/0!</v>
      </c>
      <c r="AF1420" s="34" t="e">
        <f ca="1">SQRT($B$9*SUM(AC1420:OFFSET(AC1420,$B$7-1,0))/($B$7-1))</f>
        <v>#DIV/0!</v>
      </c>
      <c r="AG1420" s="34" t="e">
        <f ca="1">SQRT($B$9*SUM(AC1420:OFFSET(AC1420,$B$8-1,0))/($B$8-1))</f>
        <v>#DIV/0!</v>
      </c>
      <c r="AI1420" s="1" t="e">
        <f t="shared" si="116"/>
        <v>#DIV/0!</v>
      </c>
      <c r="AJ1420" s="4" t="e">
        <f ca="1">SQRT($B$9)*_xlfn.STDEV.S(AI1420:OFFSET(AI1420,$B$5-1,0))</f>
        <v>#DIV/0!</v>
      </c>
      <c r="AK1420" s="4" t="e">
        <f ca="1">SQRT($B$9)*_xlfn.STDEV.S(AI1420:OFFSET(AI1420,$B$6-1,0))</f>
        <v>#DIV/0!</v>
      </c>
      <c r="AL1420" s="4" t="e">
        <f ca="1">SQRT($B$9)*_xlfn.STDEV.S(AI1420:OFFSET(AI1420,$B$7-1,0))</f>
        <v>#DIV/0!</v>
      </c>
      <c r="AM1420" s="4" t="e">
        <f ca="1">SQRT($B$9)*_xlfn.STDEV.S(AI1420:OFFSET(AI1420,$B$8-1,0))</f>
        <v>#DIV/0!</v>
      </c>
    </row>
    <row r="1421" spans="11:39" x14ac:dyDescent="0.2">
      <c r="K1421" s="3" t="e">
        <f t="shared" si="119"/>
        <v>#DIV/0!</v>
      </c>
      <c r="L1421" s="3" t="e">
        <f ca="1">SQRT(AVERAGE(K1421:OFFSET(K1421,$B$5-1,0))*$B$9/(4*LN(2)))</f>
        <v>#DIV/0!</v>
      </c>
      <c r="M1421" s="3" t="e">
        <f ca="1">SQRT(AVERAGE(K1421:OFFSET(K1421,$B$6-1,0))*$B$9/(4*LN(2)))</f>
        <v>#DIV/0!</v>
      </c>
      <c r="N1421" s="3" t="e">
        <f ca="1">SQRT(AVERAGE(K1421:OFFSET(K1421,$B$7-1,0))*$B$9/(4*LN(2)))</f>
        <v>#DIV/0!</v>
      </c>
      <c r="O1421" s="3" t="e">
        <f ca="1">SQRT(AVERAGE(K1421:OFFSET(K1421,$B$8-1,0))*$B$9/(4*LN(2)))</f>
        <v>#DIV/0!</v>
      </c>
      <c r="Q1421" s="5" t="e">
        <f t="shared" si="118"/>
        <v>#DIV/0!</v>
      </c>
      <c r="R1421" s="5" t="e">
        <f ca="1">SQRT($B$9*AVERAGE((Q1421:OFFSET(Q1421,$B$5-1,0))))</f>
        <v>#DIV/0!</v>
      </c>
      <c r="S1421" s="5" t="e">
        <f ca="1">SQRT($B$9*AVERAGE((Q1421:OFFSET(Q1421,$B$6-1,0))))</f>
        <v>#DIV/0!</v>
      </c>
      <c r="T1421" s="5" t="e">
        <f ca="1">SQRT($B$9*AVERAGE((Q1421:OFFSET(Q1421,$B$7-1,0))))</f>
        <v>#DIV/0!</v>
      </c>
      <c r="U1421" s="5" t="e">
        <f ca="1">SQRT($B$9*AVERAGE((Q1421:OFFSET(Q1421,$B$8-1,0))))</f>
        <v>#DIV/0!</v>
      </c>
      <c r="W1421" s="6" t="e">
        <f t="shared" si="117"/>
        <v>#DIV/0!</v>
      </c>
      <c r="X1421" s="6" t="e">
        <f ca="1">SQRT($B$9*AVERAGE(W1421:OFFSET(W1421,$B$5-1,0)))</f>
        <v>#DIV/0!</v>
      </c>
      <c r="Y1421" s="6" t="e">
        <f ca="1">SQRT($B$9*AVERAGE(W1421:OFFSET(W1421,$B$6-1,0)))</f>
        <v>#DIV/0!</v>
      </c>
      <c r="Z1421" s="6" t="e">
        <f ca="1">SQRT($B$9*AVERAGE(W1421:OFFSET(W1421,$B$7-1,0)))</f>
        <v>#DIV/0!</v>
      </c>
      <c r="AA1421" s="6" t="e">
        <f ca="1">SQRT($B$9*AVERAGE(W1421:OFFSET(W1421,$B$8-1,0)))</f>
        <v>#DIV/0!</v>
      </c>
      <c r="AC1421" s="34" t="e">
        <f t="shared" si="115"/>
        <v>#DIV/0!</v>
      </c>
      <c r="AD1421" s="34" t="e">
        <f ca="1">SQRT($B$9*SUM(AC1421:OFFSET(AC1421,$B$5-1,0))/($B$5-1))</f>
        <v>#DIV/0!</v>
      </c>
      <c r="AE1421" s="34" t="e">
        <f ca="1">SQRT($B$9*SUM(AC1421:OFFSET(AC1421,$B$6-1,0))/($B$6-1))</f>
        <v>#DIV/0!</v>
      </c>
      <c r="AF1421" s="34" t="e">
        <f ca="1">SQRT($B$9*SUM(AC1421:OFFSET(AC1421,$B$7-1,0))/($B$7-1))</f>
        <v>#DIV/0!</v>
      </c>
      <c r="AG1421" s="34" t="e">
        <f ca="1">SQRT($B$9*SUM(AC1421:OFFSET(AC1421,$B$8-1,0))/($B$8-1))</f>
        <v>#DIV/0!</v>
      </c>
      <c r="AI1421" s="1" t="e">
        <f t="shared" si="116"/>
        <v>#DIV/0!</v>
      </c>
      <c r="AJ1421" s="4" t="e">
        <f ca="1">SQRT($B$9)*_xlfn.STDEV.S(AI1421:OFFSET(AI1421,$B$5-1,0))</f>
        <v>#DIV/0!</v>
      </c>
      <c r="AK1421" s="4" t="e">
        <f ca="1">SQRT($B$9)*_xlfn.STDEV.S(AI1421:OFFSET(AI1421,$B$6-1,0))</f>
        <v>#DIV/0!</v>
      </c>
      <c r="AL1421" s="4" t="e">
        <f ca="1">SQRT($B$9)*_xlfn.STDEV.S(AI1421:OFFSET(AI1421,$B$7-1,0))</f>
        <v>#DIV/0!</v>
      </c>
      <c r="AM1421" s="4" t="e">
        <f ca="1">SQRT($B$9)*_xlfn.STDEV.S(AI1421:OFFSET(AI1421,$B$8-1,0))</f>
        <v>#DIV/0!</v>
      </c>
    </row>
    <row r="1422" spans="11:39" x14ac:dyDescent="0.2">
      <c r="K1422" s="3" t="e">
        <f t="shared" si="119"/>
        <v>#DIV/0!</v>
      </c>
      <c r="L1422" s="3" t="e">
        <f ca="1">SQRT(AVERAGE(K1422:OFFSET(K1422,$B$5-1,0))*$B$9/(4*LN(2)))</f>
        <v>#DIV/0!</v>
      </c>
      <c r="M1422" s="3" t="e">
        <f ca="1">SQRT(AVERAGE(K1422:OFFSET(K1422,$B$6-1,0))*$B$9/(4*LN(2)))</f>
        <v>#DIV/0!</v>
      </c>
      <c r="N1422" s="3" t="e">
        <f ca="1">SQRT(AVERAGE(K1422:OFFSET(K1422,$B$7-1,0))*$B$9/(4*LN(2)))</f>
        <v>#DIV/0!</v>
      </c>
      <c r="O1422" s="3" t="e">
        <f ca="1">SQRT(AVERAGE(K1422:OFFSET(K1422,$B$8-1,0))*$B$9/(4*LN(2)))</f>
        <v>#DIV/0!</v>
      </c>
      <c r="Q1422" s="5" t="e">
        <f t="shared" si="118"/>
        <v>#DIV/0!</v>
      </c>
      <c r="R1422" s="5" t="e">
        <f ca="1">SQRT($B$9*AVERAGE((Q1422:OFFSET(Q1422,$B$5-1,0))))</f>
        <v>#DIV/0!</v>
      </c>
      <c r="S1422" s="5" t="e">
        <f ca="1">SQRT($B$9*AVERAGE((Q1422:OFFSET(Q1422,$B$6-1,0))))</f>
        <v>#DIV/0!</v>
      </c>
      <c r="T1422" s="5" t="e">
        <f ca="1">SQRT($B$9*AVERAGE((Q1422:OFFSET(Q1422,$B$7-1,0))))</f>
        <v>#DIV/0!</v>
      </c>
      <c r="U1422" s="5" t="e">
        <f ca="1">SQRT($B$9*AVERAGE((Q1422:OFFSET(Q1422,$B$8-1,0))))</f>
        <v>#DIV/0!</v>
      </c>
      <c r="W1422" s="6" t="e">
        <f t="shared" si="117"/>
        <v>#DIV/0!</v>
      </c>
      <c r="X1422" s="6" t="e">
        <f ca="1">SQRT($B$9*AVERAGE(W1422:OFFSET(W1422,$B$5-1,0)))</f>
        <v>#DIV/0!</v>
      </c>
      <c r="Y1422" s="6" t="e">
        <f ca="1">SQRT($B$9*AVERAGE(W1422:OFFSET(W1422,$B$6-1,0)))</f>
        <v>#DIV/0!</v>
      </c>
      <c r="Z1422" s="6" t="e">
        <f ca="1">SQRT($B$9*AVERAGE(W1422:OFFSET(W1422,$B$7-1,0)))</f>
        <v>#DIV/0!</v>
      </c>
      <c r="AA1422" s="6" t="e">
        <f ca="1">SQRT($B$9*AVERAGE(W1422:OFFSET(W1422,$B$8-1,0)))</f>
        <v>#DIV/0!</v>
      </c>
      <c r="AC1422" s="34" t="e">
        <f t="shared" si="115"/>
        <v>#DIV/0!</v>
      </c>
      <c r="AD1422" s="34" t="e">
        <f ca="1">SQRT($B$9*SUM(AC1422:OFFSET(AC1422,$B$5-1,0))/($B$5-1))</f>
        <v>#DIV/0!</v>
      </c>
      <c r="AE1422" s="34" t="e">
        <f ca="1">SQRT($B$9*SUM(AC1422:OFFSET(AC1422,$B$6-1,0))/($B$6-1))</f>
        <v>#DIV/0!</v>
      </c>
      <c r="AF1422" s="34" t="e">
        <f ca="1">SQRT($B$9*SUM(AC1422:OFFSET(AC1422,$B$7-1,0))/($B$7-1))</f>
        <v>#DIV/0!</v>
      </c>
      <c r="AG1422" s="34" t="e">
        <f ca="1">SQRT($B$9*SUM(AC1422:OFFSET(AC1422,$B$8-1,0))/($B$8-1))</f>
        <v>#DIV/0!</v>
      </c>
      <c r="AI1422" s="1" t="e">
        <f t="shared" si="116"/>
        <v>#DIV/0!</v>
      </c>
      <c r="AJ1422" s="4" t="e">
        <f ca="1">SQRT($B$9)*_xlfn.STDEV.S(AI1422:OFFSET(AI1422,$B$5-1,0))</f>
        <v>#DIV/0!</v>
      </c>
      <c r="AK1422" s="4" t="e">
        <f ca="1">SQRT($B$9)*_xlfn.STDEV.S(AI1422:OFFSET(AI1422,$B$6-1,0))</f>
        <v>#DIV/0!</v>
      </c>
      <c r="AL1422" s="4" t="e">
        <f ca="1">SQRT($B$9)*_xlfn.STDEV.S(AI1422:OFFSET(AI1422,$B$7-1,0))</f>
        <v>#DIV/0!</v>
      </c>
      <c r="AM1422" s="4" t="e">
        <f ca="1">SQRT($B$9)*_xlfn.STDEV.S(AI1422:OFFSET(AI1422,$B$8-1,0))</f>
        <v>#DIV/0!</v>
      </c>
    </row>
    <row r="1423" spans="11:39" x14ac:dyDescent="0.2">
      <c r="K1423" s="3" t="e">
        <f t="shared" si="119"/>
        <v>#DIV/0!</v>
      </c>
      <c r="L1423" s="3" t="e">
        <f ca="1">SQRT(AVERAGE(K1423:OFFSET(K1423,$B$5-1,0))*$B$9/(4*LN(2)))</f>
        <v>#DIV/0!</v>
      </c>
      <c r="M1423" s="3" t="e">
        <f ca="1">SQRT(AVERAGE(K1423:OFFSET(K1423,$B$6-1,0))*$B$9/(4*LN(2)))</f>
        <v>#DIV/0!</v>
      </c>
      <c r="N1423" s="3" t="e">
        <f ca="1">SQRT(AVERAGE(K1423:OFFSET(K1423,$B$7-1,0))*$B$9/(4*LN(2)))</f>
        <v>#DIV/0!</v>
      </c>
      <c r="O1423" s="3" t="e">
        <f ca="1">SQRT(AVERAGE(K1423:OFFSET(K1423,$B$8-1,0))*$B$9/(4*LN(2)))</f>
        <v>#DIV/0!</v>
      </c>
      <c r="Q1423" s="5" t="e">
        <f t="shared" si="118"/>
        <v>#DIV/0!</v>
      </c>
      <c r="R1423" s="5" t="e">
        <f ca="1">SQRT($B$9*AVERAGE((Q1423:OFFSET(Q1423,$B$5-1,0))))</f>
        <v>#DIV/0!</v>
      </c>
      <c r="S1423" s="5" t="e">
        <f ca="1">SQRT($B$9*AVERAGE((Q1423:OFFSET(Q1423,$B$6-1,0))))</f>
        <v>#DIV/0!</v>
      </c>
      <c r="T1423" s="5" t="e">
        <f ca="1">SQRT($B$9*AVERAGE((Q1423:OFFSET(Q1423,$B$7-1,0))))</f>
        <v>#DIV/0!</v>
      </c>
      <c r="U1423" s="5" t="e">
        <f ca="1">SQRT($B$9*AVERAGE((Q1423:OFFSET(Q1423,$B$8-1,0))))</f>
        <v>#DIV/0!</v>
      </c>
      <c r="W1423" s="6" t="e">
        <f t="shared" si="117"/>
        <v>#DIV/0!</v>
      </c>
      <c r="X1423" s="6" t="e">
        <f ca="1">SQRT($B$9*AVERAGE(W1423:OFFSET(W1423,$B$5-1,0)))</f>
        <v>#DIV/0!</v>
      </c>
      <c r="Y1423" s="6" t="e">
        <f ca="1">SQRT($B$9*AVERAGE(W1423:OFFSET(W1423,$B$6-1,0)))</f>
        <v>#DIV/0!</v>
      </c>
      <c r="Z1423" s="6" t="e">
        <f ca="1">SQRT($B$9*AVERAGE(W1423:OFFSET(W1423,$B$7-1,0)))</f>
        <v>#DIV/0!</v>
      </c>
      <c r="AA1423" s="6" t="e">
        <f ca="1">SQRT($B$9*AVERAGE(W1423:OFFSET(W1423,$B$8-1,0)))</f>
        <v>#DIV/0!</v>
      </c>
      <c r="AC1423" s="34" t="e">
        <f t="shared" si="115"/>
        <v>#DIV/0!</v>
      </c>
      <c r="AD1423" s="34" t="e">
        <f ca="1">SQRT($B$9*SUM(AC1423:OFFSET(AC1423,$B$5-1,0))/($B$5-1))</f>
        <v>#DIV/0!</v>
      </c>
      <c r="AE1423" s="34" t="e">
        <f ca="1">SQRT($B$9*SUM(AC1423:OFFSET(AC1423,$B$6-1,0))/($B$6-1))</f>
        <v>#DIV/0!</v>
      </c>
      <c r="AF1423" s="34" t="e">
        <f ca="1">SQRT($B$9*SUM(AC1423:OFFSET(AC1423,$B$7-1,0))/($B$7-1))</f>
        <v>#DIV/0!</v>
      </c>
      <c r="AG1423" s="34" t="e">
        <f ca="1">SQRT($B$9*SUM(AC1423:OFFSET(AC1423,$B$8-1,0))/($B$8-1))</f>
        <v>#DIV/0!</v>
      </c>
      <c r="AI1423" s="1" t="e">
        <f t="shared" si="116"/>
        <v>#DIV/0!</v>
      </c>
      <c r="AJ1423" s="4" t="e">
        <f ca="1">SQRT($B$9)*_xlfn.STDEV.S(AI1423:OFFSET(AI1423,$B$5-1,0))</f>
        <v>#DIV/0!</v>
      </c>
      <c r="AK1423" s="4" t="e">
        <f ca="1">SQRT($B$9)*_xlfn.STDEV.S(AI1423:OFFSET(AI1423,$B$6-1,0))</f>
        <v>#DIV/0!</v>
      </c>
      <c r="AL1423" s="4" t="e">
        <f ca="1">SQRT($B$9)*_xlfn.STDEV.S(AI1423:OFFSET(AI1423,$B$7-1,0))</f>
        <v>#DIV/0!</v>
      </c>
      <c r="AM1423" s="4" t="e">
        <f ca="1">SQRT($B$9)*_xlfn.STDEV.S(AI1423:OFFSET(AI1423,$B$8-1,0))</f>
        <v>#DIV/0!</v>
      </c>
    </row>
    <row r="1424" spans="11:39" x14ac:dyDescent="0.2">
      <c r="K1424" s="3" t="e">
        <f t="shared" si="119"/>
        <v>#DIV/0!</v>
      </c>
      <c r="L1424" s="3" t="e">
        <f ca="1">SQRT(AVERAGE(K1424:OFFSET(K1424,$B$5-1,0))*$B$9/(4*LN(2)))</f>
        <v>#DIV/0!</v>
      </c>
      <c r="M1424" s="3" t="e">
        <f ca="1">SQRT(AVERAGE(K1424:OFFSET(K1424,$B$6-1,0))*$B$9/(4*LN(2)))</f>
        <v>#DIV/0!</v>
      </c>
      <c r="N1424" s="3" t="e">
        <f ca="1">SQRT(AVERAGE(K1424:OFFSET(K1424,$B$7-1,0))*$B$9/(4*LN(2)))</f>
        <v>#DIV/0!</v>
      </c>
      <c r="O1424" s="3" t="e">
        <f ca="1">SQRT(AVERAGE(K1424:OFFSET(K1424,$B$8-1,0))*$B$9/(4*LN(2)))</f>
        <v>#DIV/0!</v>
      </c>
      <c r="Q1424" s="5" t="e">
        <f t="shared" si="118"/>
        <v>#DIV/0!</v>
      </c>
      <c r="R1424" s="5" t="e">
        <f ca="1">SQRT($B$9*AVERAGE((Q1424:OFFSET(Q1424,$B$5-1,0))))</f>
        <v>#DIV/0!</v>
      </c>
      <c r="S1424" s="5" t="e">
        <f ca="1">SQRT($B$9*AVERAGE((Q1424:OFFSET(Q1424,$B$6-1,0))))</f>
        <v>#DIV/0!</v>
      </c>
      <c r="T1424" s="5" t="e">
        <f ca="1">SQRT($B$9*AVERAGE((Q1424:OFFSET(Q1424,$B$7-1,0))))</f>
        <v>#DIV/0!</v>
      </c>
      <c r="U1424" s="5" t="e">
        <f ca="1">SQRT($B$9*AVERAGE((Q1424:OFFSET(Q1424,$B$8-1,0))))</f>
        <v>#DIV/0!</v>
      </c>
      <c r="W1424" s="6" t="e">
        <f t="shared" si="117"/>
        <v>#DIV/0!</v>
      </c>
      <c r="X1424" s="6" t="e">
        <f ca="1">SQRT($B$9*AVERAGE(W1424:OFFSET(W1424,$B$5-1,0)))</f>
        <v>#DIV/0!</v>
      </c>
      <c r="Y1424" s="6" t="e">
        <f ca="1">SQRT($B$9*AVERAGE(W1424:OFFSET(W1424,$B$6-1,0)))</f>
        <v>#DIV/0!</v>
      </c>
      <c r="Z1424" s="6" t="e">
        <f ca="1">SQRT($B$9*AVERAGE(W1424:OFFSET(W1424,$B$7-1,0)))</f>
        <v>#DIV/0!</v>
      </c>
      <c r="AA1424" s="6" t="e">
        <f ca="1">SQRT($B$9*AVERAGE(W1424:OFFSET(W1424,$B$8-1,0)))</f>
        <v>#DIV/0!</v>
      </c>
      <c r="AC1424" s="34" t="e">
        <f t="shared" si="115"/>
        <v>#DIV/0!</v>
      </c>
      <c r="AD1424" s="34" t="e">
        <f ca="1">SQRT($B$9*SUM(AC1424:OFFSET(AC1424,$B$5-1,0))/($B$5-1))</f>
        <v>#DIV/0!</v>
      </c>
      <c r="AE1424" s="34" t="e">
        <f ca="1">SQRT($B$9*SUM(AC1424:OFFSET(AC1424,$B$6-1,0))/($B$6-1))</f>
        <v>#DIV/0!</v>
      </c>
      <c r="AF1424" s="34" t="e">
        <f ca="1">SQRT($B$9*SUM(AC1424:OFFSET(AC1424,$B$7-1,0))/($B$7-1))</f>
        <v>#DIV/0!</v>
      </c>
      <c r="AG1424" s="34" t="e">
        <f ca="1">SQRT($B$9*SUM(AC1424:OFFSET(AC1424,$B$8-1,0))/($B$8-1))</f>
        <v>#DIV/0!</v>
      </c>
      <c r="AI1424" s="1" t="e">
        <f t="shared" si="116"/>
        <v>#DIV/0!</v>
      </c>
      <c r="AJ1424" s="4" t="e">
        <f ca="1">SQRT($B$9)*_xlfn.STDEV.S(AI1424:OFFSET(AI1424,$B$5-1,0))</f>
        <v>#DIV/0!</v>
      </c>
      <c r="AK1424" s="4" t="e">
        <f ca="1">SQRT($B$9)*_xlfn.STDEV.S(AI1424:OFFSET(AI1424,$B$6-1,0))</f>
        <v>#DIV/0!</v>
      </c>
      <c r="AL1424" s="4" t="e">
        <f ca="1">SQRT($B$9)*_xlfn.STDEV.S(AI1424:OFFSET(AI1424,$B$7-1,0))</f>
        <v>#DIV/0!</v>
      </c>
      <c r="AM1424" s="4" t="e">
        <f ca="1">SQRT($B$9)*_xlfn.STDEV.S(AI1424:OFFSET(AI1424,$B$8-1,0))</f>
        <v>#DIV/0!</v>
      </c>
    </row>
    <row r="1425" spans="11:39" x14ac:dyDescent="0.2">
      <c r="K1425" s="3" t="e">
        <f t="shared" si="119"/>
        <v>#DIV/0!</v>
      </c>
      <c r="L1425" s="3" t="e">
        <f ca="1">SQRT(AVERAGE(K1425:OFFSET(K1425,$B$5-1,0))*$B$9/(4*LN(2)))</f>
        <v>#DIV/0!</v>
      </c>
      <c r="M1425" s="3" t="e">
        <f ca="1">SQRT(AVERAGE(K1425:OFFSET(K1425,$B$6-1,0))*$B$9/(4*LN(2)))</f>
        <v>#DIV/0!</v>
      </c>
      <c r="N1425" s="3" t="e">
        <f ca="1">SQRT(AVERAGE(K1425:OFFSET(K1425,$B$7-1,0))*$B$9/(4*LN(2)))</f>
        <v>#DIV/0!</v>
      </c>
      <c r="O1425" s="3" t="e">
        <f ca="1">SQRT(AVERAGE(K1425:OFFSET(K1425,$B$8-1,0))*$B$9/(4*LN(2)))</f>
        <v>#DIV/0!</v>
      </c>
      <c r="Q1425" s="5" t="e">
        <f t="shared" si="118"/>
        <v>#DIV/0!</v>
      </c>
      <c r="R1425" s="5" t="e">
        <f ca="1">SQRT($B$9*AVERAGE((Q1425:OFFSET(Q1425,$B$5-1,0))))</f>
        <v>#DIV/0!</v>
      </c>
      <c r="S1425" s="5" t="e">
        <f ca="1">SQRT($B$9*AVERAGE((Q1425:OFFSET(Q1425,$B$6-1,0))))</f>
        <v>#DIV/0!</v>
      </c>
      <c r="T1425" s="5" t="e">
        <f ca="1">SQRT($B$9*AVERAGE((Q1425:OFFSET(Q1425,$B$7-1,0))))</f>
        <v>#DIV/0!</v>
      </c>
      <c r="U1425" s="5" t="e">
        <f ca="1">SQRT($B$9*AVERAGE((Q1425:OFFSET(Q1425,$B$8-1,0))))</f>
        <v>#DIV/0!</v>
      </c>
      <c r="W1425" s="6" t="e">
        <f t="shared" si="117"/>
        <v>#DIV/0!</v>
      </c>
      <c r="X1425" s="6" t="e">
        <f ca="1">SQRT($B$9*AVERAGE(W1425:OFFSET(W1425,$B$5-1,0)))</f>
        <v>#DIV/0!</v>
      </c>
      <c r="Y1425" s="6" t="e">
        <f ca="1">SQRT($B$9*AVERAGE(W1425:OFFSET(W1425,$B$6-1,0)))</f>
        <v>#DIV/0!</v>
      </c>
      <c r="Z1425" s="6" t="e">
        <f ca="1">SQRT($B$9*AVERAGE(W1425:OFFSET(W1425,$B$7-1,0)))</f>
        <v>#DIV/0!</v>
      </c>
      <c r="AA1425" s="6" t="e">
        <f ca="1">SQRT($B$9*AVERAGE(W1425:OFFSET(W1425,$B$8-1,0)))</f>
        <v>#DIV/0!</v>
      </c>
      <c r="AC1425" s="34" t="e">
        <f t="shared" ref="AC1425:AC1488" si="120">(LN(I1425/I1426))^2</f>
        <v>#DIV/0!</v>
      </c>
      <c r="AD1425" s="34" t="e">
        <f ca="1">SQRT($B$9*SUM(AC1425:OFFSET(AC1425,$B$5-1,0))/($B$5-1))</f>
        <v>#DIV/0!</v>
      </c>
      <c r="AE1425" s="34" t="e">
        <f ca="1">SQRT($B$9*SUM(AC1425:OFFSET(AC1425,$B$6-1,0))/($B$6-1))</f>
        <v>#DIV/0!</v>
      </c>
      <c r="AF1425" s="34" t="e">
        <f ca="1">SQRT($B$9*SUM(AC1425:OFFSET(AC1425,$B$7-1,0))/($B$7-1))</f>
        <v>#DIV/0!</v>
      </c>
      <c r="AG1425" s="34" t="e">
        <f ca="1">SQRT($B$9*SUM(AC1425:OFFSET(AC1425,$B$8-1,0))/($B$8-1))</f>
        <v>#DIV/0!</v>
      </c>
      <c r="AI1425" s="1" t="e">
        <f t="shared" si="116"/>
        <v>#DIV/0!</v>
      </c>
      <c r="AJ1425" s="4" t="e">
        <f ca="1">SQRT($B$9)*_xlfn.STDEV.S(AI1425:OFFSET(AI1425,$B$5-1,0))</f>
        <v>#DIV/0!</v>
      </c>
      <c r="AK1425" s="4" t="e">
        <f ca="1">SQRT($B$9)*_xlfn.STDEV.S(AI1425:OFFSET(AI1425,$B$6-1,0))</f>
        <v>#DIV/0!</v>
      </c>
      <c r="AL1425" s="4" t="e">
        <f ca="1">SQRT($B$9)*_xlfn.STDEV.S(AI1425:OFFSET(AI1425,$B$7-1,0))</f>
        <v>#DIV/0!</v>
      </c>
      <c r="AM1425" s="4" t="e">
        <f ca="1">SQRT($B$9)*_xlfn.STDEV.S(AI1425:OFFSET(AI1425,$B$8-1,0))</f>
        <v>#DIV/0!</v>
      </c>
    </row>
    <row r="1426" spans="11:39" x14ac:dyDescent="0.2">
      <c r="K1426" s="3" t="e">
        <f t="shared" si="119"/>
        <v>#DIV/0!</v>
      </c>
      <c r="L1426" s="3" t="e">
        <f ca="1">SQRT(AVERAGE(K1426:OFFSET(K1426,$B$5-1,0))*$B$9/(4*LN(2)))</f>
        <v>#DIV/0!</v>
      </c>
      <c r="M1426" s="3" t="e">
        <f ca="1">SQRT(AVERAGE(K1426:OFFSET(K1426,$B$6-1,0))*$B$9/(4*LN(2)))</f>
        <v>#DIV/0!</v>
      </c>
      <c r="N1426" s="3" t="e">
        <f ca="1">SQRT(AVERAGE(K1426:OFFSET(K1426,$B$7-1,0))*$B$9/(4*LN(2)))</f>
        <v>#DIV/0!</v>
      </c>
      <c r="O1426" s="3" t="e">
        <f ca="1">SQRT(AVERAGE(K1426:OFFSET(K1426,$B$8-1,0))*$B$9/(4*LN(2)))</f>
        <v>#DIV/0!</v>
      </c>
      <c r="Q1426" s="5" t="e">
        <f t="shared" si="118"/>
        <v>#DIV/0!</v>
      </c>
      <c r="R1426" s="5" t="e">
        <f ca="1">SQRT($B$9*AVERAGE((Q1426:OFFSET(Q1426,$B$5-1,0))))</f>
        <v>#DIV/0!</v>
      </c>
      <c r="S1426" s="5" t="e">
        <f ca="1">SQRT($B$9*AVERAGE((Q1426:OFFSET(Q1426,$B$6-1,0))))</f>
        <v>#DIV/0!</v>
      </c>
      <c r="T1426" s="5" t="e">
        <f ca="1">SQRT($B$9*AVERAGE((Q1426:OFFSET(Q1426,$B$7-1,0))))</f>
        <v>#DIV/0!</v>
      </c>
      <c r="U1426" s="5" t="e">
        <f ca="1">SQRT($B$9*AVERAGE((Q1426:OFFSET(Q1426,$B$8-1,0))))</f>
        <v>#DIV/0!</v>
      </c>
      <c r="W1426" s="6" t="e">
        <f t="shared" si="117"/>
        <v>#DIV/0!</v>
      </c>
      <c r="X1426" s="6" t="e">
        <f ca="1">SQRT($B$9*AVERAGE(W1426:OFFSET(W1426,$B$5-1,0)))</f>
        <v>#DIV/0!</v>
      </c>
      <c r="Y1426" s="6" t="e">
        <f ca="1">SQRT($B$9*AVERAGE(W1426:OFFSET(W1426,$B$6-1,0)))</f>
        <v>#DIV/0!</v>
      </c>
      <c r="Z1426" s="6" t="e">
        <f ca="1">SQRT($B$9*AVERAGE(W1426:OFFSET(W1426,$B$7-1,0)))</f>
        <v>#DIV/0!</v>
      </c>
      <c r="AA1426" s="6" t="e">
        <f ca="1">SQRT($B$9*AVERAGE(W1426:OFFSET(W1426,$B$8-1,0)))</f>
        <v>#DIV/0!</v>
      </c>
      <c r="AC1426" s="34" t="e">
        <f t="shared" si="120"/>
        <v>#DIV/0!</v>
      </c>
      <c r="AD1426" s="34" t="e">
        <f ca="1">SQRT($B$9*SUM(AC1426:OFFSET(AC1426,$B$5-1,0))/($B$5-1))</f>
        <v>#DIV/0!</v>
      </c>
      <c r="AE1426" s="34" t="e">
        <f ca="1">SQRT($B$9*SUM(AC1426:OFFSET(AC1426,$B$6-1,0))/($B$6-1))</f>
        <v>#DIV/0!</v>
      </c>
      <c r="AF1426" s="34" t="e">
        <f ca="1">SQRT($B$9*SUM(AC1426:OFFSET(AC1426,$B$7-1,0))/($B$7-1))</f>
        <v>#DIV/0!</v>
      </c>
      <c r="AG1426" s="34" t="e">
        <f ca="1">SQRT($B$9*SUM(AC1426:OFFSET(AC1426,$B$8-1,0))/($B$8-1))</f>
        <v>#DIV/0!</v>
      </c>
      <c r="AI1426" s="1" t="e">
        <f t="shared" si="116"/>
        <v>#DIV/0!</v>
      </c>
      <c r="AJ1426" s="4" t="e">
        <f ca="1">SQRT($B$9)*_xlfn.STDEV.S(AI1426:OFFSET(AI1426,$B$5-1,0))</f>
        <v>#DIV/0!</v>
      </c>
      <c r="AK1426" s="4" t="e">
        <f ca="1">SQRT($B$9)*_xlfn.STDEV.S(AI1426:OFFSET(AI1426,$B$6-1,0))</f>
        <v>#DIV/0!</v>
      </c>
      <c r="AL1426" s="4" t="e">
        <f ca="1">SQRT($B$9)*_xlfn.STDEV.S(AI1426:OFFSET(AI1426,$B$7-1,0))</f>
        <v>#DIV/0!</v>
      </c>
      <c r="AM1426" s="4" t="e">
        <f ca="1">SQRT($B$9)*_xlfn.STDEV.S(AI1426:OFFSET(AI1426,$B$8-1,0))</f>
        <v>#DIV/0!</v>
      </c>
    </row>
    <row r="1427" spans="11:39" x14ac:dyDescent="0.2">
      <c r="K1427" s="3" t="e">
        <f t="shared" si="119"/>
        <v>#DIV/0!</v>
      </c>
      <c r="L1427" s="3" t="e">
        <f ca="1">SQRT(AVERAGE(K1427:OFFSET(K1427,$B$5-1,0))*$B$9/(4*LN(2)))</f>
        <v>#DIV/0!</v>
      </c>
      <c r="M1427" s="3" t="e">
        <f ca="1">SQRT(AVERAGE(K1427:OFFSET(K1427,$B$6-1,0))*$B$9/(4*LN(2)))</f>
        <v>#DIV/0!</v>
      </c>
      <c r="N1427" s="3" t="e">
        <f ca="1">SQRT(AVERAGE(K1427:OFFSET(K1427,$B$7-1,0))*$B$9/(4*LN(2)))</f>
        <v>#DIV/0!</v>
      </c>
      <c r="O1427" s="3" t="e">
        <f ca="1">SQRT(AVERAGE(K1427:OFFSET(K1427,$B$8-1,0))*$B$9/(4*LN(2)))</f>
        <v>#DIV/0!</v>
      </c>
      <c r="Q1427" s="5" t="e">
        <f t="shared" si="118"/>
        <v>#DIV/0!</v>
      </c>
      <c r="R1427" s="5" t="e">
        <f ca="1">SQRT($B$9*AVERAGE((Q1427:OFFSET(Q1427,$B$5-1,0))))</f>
        <v>#DIV/0!</v>
      </c>
      <c r="S1427" s="5" t="e">
        <f ca="1">SQRT($B$9*AVERAGE((Q1427:OFFSET(Q1427,$B$6-1,0))))</f>
        <v>#DIV/0!</v>
      </c>
      <c r="T1427" s="5" t="e">
        <f ca="1">SQRT($B$9*AVERAGE((Q1427:OFFSET(Q1427,$B$7-1,0))))</f>
        <v>#DIV/0!</v>
      </c>
      <c r="U1427" s="5" t="e">
        <f ca="1">SQRT($B$9*AVERAGE((Q1427:OFFSET(Q1427,$B$8-1,0))))</f>
        <v>#DIV/0!</v>
      </c>
      <c r="W1427" s="6" t="e">
        <f t="shared" si="117"/>
        <v>#DIV/0!</v>
      </c>
      <c r="X1427" s="6" t="e">
        <f ca="1">SQRT($B$9*AVERAGE(W1427:OFFSET(W1427,$B$5-1,0)))</f>
        <v>#DIV/0!</v>
      </c>
      <c r="Y1427" s="6" t="e">
        <f ca="1">SQRT($B$9*AVERAGE(W1427:OFFSET(W1427,$B$6-1,0)))</f>
        <v>#DIV/0!</v>
      </c>
      <c r="Z1427" s="6" t="e">
        <f ca="1">SQRT($B$9*AVERAGE(W1427:OFFSET(W1427,$B$7-1,0)))</f>
        <v>#DIV/0!</v>
      </c>
      <c r="AA1427" s="6" t="e">
        <f ca="1">SQRT($B$9*AVERAGE(W1427:OFFSET(W1427,$B$8-1,0)))</f>
        <v>#DIV/0!</v>
      </c>
      <c r="AC1427" s="34" t="e">
        <f t="shared" si="120"/>
        <v>#DIV/0!</v>
      </c>
      <c r="AD1427" s="34" t="e">
        <f ca="1">SQRT($B$9*SUM(AC1427:OFFSET(AC1427,$B$5-1,0))/($B$5-1))</f>
        <v>#DIV/0!</v>
      </c>
      <c r="AE1427" s="34" t="e">
        <f ca="1">SQRT($B$9*SUM(AC1427:OFFSET(AC1427,$B$6-1,0))/($B$6-1))</f>
        <v>#DIV/0!</v>
      </c>
      <c r="AF1427" s="34" t="e">
        <f ca="1">SQRT($B$9*SUM(AC1427:OFFSET(AC1427,$B$7-1,0))/($B$7-1))</f>
        <v>#DIV/0!</v>
      </c>
      <c r="AG1427" s="34" t="e">
        <f ca="1">SQRT($B$9*SUM(AC1427:OFFSET(AC1427,$B$8-1,0))/($B$8-1))</f>
        <v>#DIV/0!</v>
      </c>
      <c r="AI1427" s="1" t="e">
        <f t="shared" ref="AI1427:AI1490" si="121">LN(I1427/I1428)</f>
        <v>#DIV/0!</v>
      </c>
      <c r="AJ1427" s="4" t="e">
        <f ca="1">SQRT($B$9)*_xlfn.STDEV.S(AI1427:OFFSET(AI1427,$B$5-1,0))</f>
        <v>#DIV/0!</v>
      </c>
      <c r="AK1427" s="4" t="e">
        <f ca="1">SQRT($B$9)*_xlfn.STDEV.S(AI1427:OFFSET(AI1427,$B$6-1,0))</f>
        <v>#DIV/0!</v>
      </c>
      <c r="AL1427" s="4" t="e">
        <f ca="1">SQRT($B$9)*_xlfn.STDEV.S(AI1427:OFFSET(AI1427,$B$7-1,0))</f>
        <v>#DIV/0!</v>
      </c>
      <c r="AM1427" s="4" t="e">
        <f ca="1">SQRT($B$9)*_xlfn.STDEV.S(AI1427:OFFSET(AI1427,$B$8-1,0))</f>
        <v>#DIV/0!</v>
      </c>
    </row>
    <row r="1428" spans="11:39" x14ac:dyDescent="0.2">
      <c r="K1428" s="3" t="e">
        <f t="shared" si="119"/>
        <v>#DIV/0!</v>
      </c>
      <c r="L1428" s="3" t="e">
        <f ca="1">SQRT(AVERAGE(K1428:OFFSET(K1428,$B$5-1,0))*$B$9/(4*LN(2)))</f>
        <v>#DIV/0!</v>
      </c>
      <c r="M1428" s="3" t="e">
        <f ca="1">SQRT(AVERAGE(K1428:OFFSET(K1428,$B$6-1,0))*$B$9/(4*LN(2)))</f>
        <v>#DIV/0!</v>
      </c>
      <c r="N1428" s="3" t="e">
        <f ca="1">SQRT(AVERAGE(K1428:OFFSET(K1428,$B$7-1,0))*$B$9/(4*LN(2)))</f>
        <v>#DIV/0!</v>
      </c>
      <c r="O1428" s="3" t="e">
        <f ca="1">SQRT(AVERAGE(K1428:OFFSET(K1428,$B$8-1,0))*$B$9/(4*LN(2)))</f>
        <v>#DIV/0!</v>
      </c>
      <c r="Q1428" s="5" t="e">
        <f t="shared" si="118"/>
        <v>#DIV/0!</v>
      </c>
      <c r="R1428" s="5" t="e">
        <f ca="1">SQRT($B$9*AVERAGE((Q1428:OFFSET(Q1428,$B$5-1,0))))</f>
        <v>#DIV/0!</v>
      </c>
      <c r="S1428" s="5" t="e">
        <f ca="1">SQRT($B$9*AVERAGE((Q1428:OFFSET(Q1428,$B$6-1,0))))</f>
        <v>#DIV/0!</v>
      </c>
      <c r="T1428" s="5" t="e">
        <f ca="1">SQRT($B$9*AVERAGE((Q1428:OFFSET(Q1428,$B$7-1,0))))</f>
        <v>#DIV/0!</v>
      </c>
      <c r="U1428" s="5" t="e">
        <f ca="1">SQRT($B$9*AVERAGE((Q1428:OFFSET(Q1428,$B$8-1,0))))</f>
        <v>#DIV/0!</v>
      </c>
      <c r="W1428" s="6" t="e">
        <f t="shared" si="117"/>
        <v>#DIV/0!</v>
      </c>
      <c r="X1428" s="6" t="e">
        <f ca="1">SQRT($B$9*AVERAGE(W1428:OFFSET(W1428,$B$5-1,0)))</f>
        <v>#DIV/0!</v>
      </c>
      <c r="Y1428" s="6" t="e">
        <f ca="1">SQRT($B$9*AVERAGE(W1428:OFFSET(W1428,$B$6-1,0)))</f>
        <v>#DIV/0!</v>
      </c>
      <c r="Z1428" s="6" t="e">
        <f ca="1">SQRT($B$9*AVERAGE(W1428:OFFSET(W1428,$B$7-1,0)))</f>
        <v>#DIV/0!</v>
      </c>
      <c r="AA1428" s="6" t="e">
        <f ca="1">SQRT($B$9*AVERAGE(W1428:OFFSET(W1428,$B$8-1,0)))</f>
        <v>#DIV/0!</v>
      </c>
      <c r="AC1428" s="34" t="e">
        <f t="shared" si="120"/>
        <v>#DIV/0!</v>
      </c>
      <c r="AD1428" s="34" t="e">
        <f ca="1">SQRT($B$9*SUM(AC1428:OFFSET(AC1428,$B$5-1,0))/($B$5-1))</f>
        <v>#DIV/0!</v>
      </c>
      <c r="AE1428" s="34" t="e">
        <f ca="1">SQRT($B$9*SUM(AC1428:OFFSET(AC1428,$B$6-1,0))/($B$6-1))</f>
        <v>#DIV/0!</v>
      </c>
      <c r="AF1428" s="34" t="e">
        <f ca="1">SQRT($B$9*SUM(AC1428:OFFSET(AC1428,$B$7-1,0))/($B$7-1))</f>
        <v>#DIV/0!</v>
      </c>
      <c r="AG1428" s="34" t="e">
        <f ca="1">SQRT($B$9*SUM(AC1428:OFFSET(AC1428,$B$8-1,0))/($B$8-1))</f>
        <v>#DIV/0!</v>
      </c>
      <c r="AI1428" s="1" t="e">
        <f t="shared" si="121"/>
        <v>#DIV/0!</v>
      </c>
      <c r="AJ1428" s="4" t="e">
        <f ca="1">SQRT($B$9)*_xlfn.STDEV.S(AI1428:OFFSET(AI1428,$B$5-1,0))</f>
        <v>#DIV/0!</v>
      </c>
      <c r="AK1428" s="4" t="e">
        <f ca="1">SQRT($B$9)*_xlfn.STDEV.S(AI1428:OFFSET(AI1428,$B$6-1,0))</f>
        <v>#DIV/0!</v>
      </c>
      <c r="AL1428" s="4" t="e">
        <f ca="1">SQRT($B$9)*_xlfn.STDEV.S(AI1428:OFFSET(AI1428,$B$7-1,0))</f>
        <v>#DIV/0!</v>
      </c>
      <c r="AM1428" s="4" t="e">
        <f ca="1">SQRT($B$9)*_xlfn.STDEV.S(AI1428:OFFSET(AI1428,$B$8-1,0))</f>
        <v>#DIV/0!</v>
      </c>
    </row>
    <row r="1429" spans="11:39" x14ac:dyDescent="0.2">
      <c r="K1429" s="3" t="e">
        <f t="shared" si="119"/>
        <v>#DIV/0!</v>
      </c>
      <c r="L1429" s="3" t="e">
        <f ca="1">SQRT(AVERAGE(K1429:OFFSET(K1429,$B$5-1,0))*$B$9/(4*LN(2)))</f>
        <v>#DIV/0!</v>
      </c>
      <c r="M1429" s="3" t="e">
        <f ca="1">SQRT(AVERAGE(K1429:OFFSET(K1429,$B$6-1,0))*$B$9/(4*LN(2)))</f>
        <v>#DIV/0!</v>
      </c>
      <c r="N1429" s="3" t="e">
        <f ca="1">SQRT(AVERAGE(K1429:OFFSET(K1429,$B$7-1,0))*$B$9/(4*LN(2)))</f>
        <v>#DIV/0!</v>
      </c>
      <c r="O1429" s="3" t="e">
        <f ca="1">SQRT(AVERAGE(K1429:OFFSET(K1429,$B$8-1,0))*$B$9/(4*LN(2)))</f>
        <v>#DIV/0!</v>
      </c>
      <c r="Q1429" s="5" t="e">
        <f t="shared" si="118"/>
        <v>#DIV/0!</v>
      </c>
      <c r="R1429" s="5" t="e">
        <f ca="1">SQRT($B$9*AVERAGE((Q1429:OFFSET(Q1429,$B$5-1,0))))</f>
        <v>#DIV/0!</v>
      </c>
      <c r="S1429" s="5" t="e">
        <f ca="1">SQRT($B$9*AVERAGE((Q1429:OFFSET(Q1429,$B$6-1,0))))</f>
        <v>#DIV/0!</v>
      </c>
      <c r="T1429" s="5" t="e">
        <f ca="1">SQRT($B$9*AVERAGE((Q1429:OFFSET(Q1429,$B$7-1,0))))</f>
        <v>#DIV/0!</v>
      </c>
      <c r="U1429" s="5" t="e">
        <f ca="1">SQRT($B$9*AVERAGE((Q1429:OFFSET(Q1429,$B$8-1,0))))</f>
        <v>#DIV/0!</v>
      </c>
      <c r="W1429" s="6" t="e">
        <f t="shared" si="117"/>
        <v>#DIV/0!</v>
      </c>
      <c r="X1429" s="6" t="e">
        <f ca="1">SQRT($B$9*AVERAGE(W1429:OFFSET(W1429,$B$5-1,0)))</f>
        <v>#DIV/0!</v>
      </c>
      <c r="Y1429" s="6" t="e">
        <f ca="1">SQRT($B$9*AVERAGE(W1429:OFFSET(W1429,$B$6-1,0)))</f>
        <v>#DIV/0!</v>
      </c>
      <c r="Z1429" s="6" t="e">
        <f ca="1">SQRT($B$9*AVERAGE(W1429:OFFSET(W1429,$B$7-1,0)))</f>
        <v>#DIV/0!</v>
      </c>
      <c r="AA1429" s="6" t="e">
        <f ca="1">SQRT($B$9*AVERAGE(W1429:OFFSET(W1429,$B$8-1,0)))</f>
        <v>#DIV/0!</v>
      </c>
      <c r="AC1429" s="34" t="e">
        <f t="shared" si="120"/>
        <v>#DIV/0!</v>
      </c>
      <c r="AD1429" s="34" t="e">
        <f ca="1">SQRT($B$9*SUM(AC1429:OFFSET(AC1429,$B$5-1,0))/($B$5-1))</f>
        <v>#DIV/0!</v>
      </c>
      <c r="AE1429" s="34" t="e">
        <f ca="1">SQRT($B$9*SUM(AC1429:OFFSET(AC1429,$B$6-1,0))/($B$6-1))</f>
        <v>#DIV/0!</v>
      </c>
      <c r="AF1429" s="34" t="e">
        <f ca="1">SQRT($B$9*SUM(AC1429:OFFSET(AC1429,$B$7-1,0))/($B$7-1))</f>
        <v>#DIV/0!</v>
      </c>
      <c r="AG1429" s="34" t="e">
        <f ca="1">SQRT($B$9*SUM(AC1429:OFFSET(AC1429,$B$8-1,0))/($B$8-1))</f>
        <v>#DIV/0!</v>
      </c>
      <c r="AI1429" s="1" t="e">
        <f t="shared" si="121"/>
        <v>#DIV/0!</v>
      </c>
      <c r="AJ1429" s="4" t="e">
        <f ca="1">SQRT($B$9)*_xlfn.STDEV.S(AI1429:OFFSET(AI1429,$B$5-1,0))</f>
        <v>#DIV/0!</v>
      </c>
      <c r="AK1429" s="4" t="e">
        <f ca="1">SQRT($B$9)*_xlfn.STDEV.S(AI1429:OFFSET(AI1429,$B$6-1,0))</f>
        <v>#DIV/0!</v>
      </c>
      <c r="AL1429" s="4" t="e">
        <f ca="1">SQRT($B$9)*_xlfn.STDEV.S(AI1429:OFFSET(AI1429,$B$7-1,0))</f>
        <v>#DIV/0!</v>
      </c>
      <c r="AM1429" s="4" t="e">
        <f ca="1">SQRT($B$9)*_xlfn.STDEV.S(AI1429:OFFSET(AI1429,$B$8-1,0))</f>
        <v>#DIV/0!</v>
      </c>
    </row>
    <row r="1430" spans="11:39" x14ac:dyDescent="0.2">
      <c r="K1430" s="3" t="e">
        <f t="shared" si="119"/>
        <v>#DIV/0!</v>
      </c>
      <c r="L1430" s="3" t="e">
        <f ca="1">SQRT(AVERAGE(K1430:OFFSET(K1430,$B$5-1,0))*$B$9/(4*LN(2)))</f>
        <v>#DIV/0!</v>
      </c>
      <c r="M1430" s="3" t="e">
        <f ca="1">SQRT(AVERAGE(K1430:OFFSET(K1430,$B$6-1,0))*$B$9/(4*LN(2)))</f>
        <v>#DIV/0!</v>
      </c>
      <c r="N1430" s="3" t="e">
        <f ca="1">SQRT(AVERAGE(K1430:OFFSET(K1430,$B$7-1,0))*$B$9/(4*LN(2)))</f>
        <v>#DIV/0!</v>
      </c>
      <c r="O1430" s="3" t="e">
        <f ca="1">SQRT(AVERAGE(K1430:OFFSET(K1430,$B$8-1,0))*$B$9/(4*LN(2)))</f>
        <v>#DIV/0!</v>
      </c>
      <c r="Q1430" s="5" t="e">
        <f t="shared" si="118"/>
        <v>#DIV/0!</v>
      </c>
      <c r="R1430" s="5" t="e">
        <f ca="1">SQRT($B$9*AVERAGE((Q1430:OFFSET(Q1430,$B$5-1,0))))</f>
        <v>#DIV/0!</v>
      </c>
      <c r="S1430" s="5" t="e">
        <f ca="1">SQRT($B$9*AVERAGE((Q1430:OFFSET(Q1430,$B$6-1,0))))</f>
        <v>#DIV/0!</v>
      </c>
      <c r="T1430" s="5" t="e">
        <f ca="1">SQRT($B$9*AVERAGE((Q1430:OFFSET(Q1430,$B$7-1,0))))</f>
        <v>#DIV/0!</v>
      </c>
      <c r="U1430" s="5" t="e">
        <f ca="1">SQRT($B$9*AVERAGE((Q1430:OFFSET(Q1430,$B$8-1,0))))</f>
        <v>#DIV/0!</v>
      </c>
      <c r="W1430" s="6" t="e">
        <f t="shared" si="117"/>
        <v>#DIV/0!</v>
      </c>
      <c r="X1430" s="6" t="e">
        <f ca="1">SQRT($B$9*AVERAGE(W1430:OFFSET(W1430,$B$5-1,0)))</f>
        <v>#DIV/0!</v>
      </c>
      <c r="Y1430" s="6" t="e">
        <f ca="1">SQRT($B$9*AVERAGE(W1430:OFFSET(W1430,$B$6-1,0)))</f>
        <v>#DIV/0!</v>
      </c>
      <c r="Z1430" s="6" t="e">
        <f ca="1">SQRT($B$9*AVERAGE(W1430:OFFSET(W1430,$B$7-1,0)))</f>
        <v>#DIV/0!</v>
      </c>
      <c r="AA1430" s="6" t="e">
        <f ca="1">SQRT($B$9*AVERAGE(W1430:OFFSET(W1430,$B$8-1,0)))</f>
        <v>#DIV/0!</v>
      </c>
      <c r="AC1430" s="34" t="e">
        <f t="shared" si="120"/>
        <v>#DIV/0!</v>
      </c>
      <c r="AD1430" s="34" t="e">
        <f ca="1">SQRT($B$9*SUM(AC1430:OFFSET(AC1430,$B$5-1,0))/($B$5-1))</f>
        <v>#DIV/0!</v>
      </c>
      <c r="AE1430" s="34" t="e">
        <f ca="1">SQRT($B$9*SUM(AC1430:OFFSET(AC1430,$B$6-1,0))/($B$6-1))</f>
        <v>#DIV/0!</v>
      </c>
      <c r="AF1430" s="34" t="e">
        <f ca="1">SQRT($B$9*SUM(AC1430:OFFSET(AC1430,$B$7-1,0))/($B$7-1))</f>
        <v>#DIV/0!</v>
      </c>
      <c r="AG1430" s="34" t="e">
        <f ca="1">SQRT($B$9*SUM(AC1430:OFFSET(AC1430,$B$8-1,0))/($B$8-1))</f>
        <v>#DIV/0!</v>
      </c>
      <c r="AI1430" s="1" t="e">
        <f t="shared" si="121"/>
        <v>#DIV/0!</v>
      </c>
      <c r="AJ1430" s="4" t="e">
        <f ca="1">SQRT($B$9)*_xlfn.STDEV.S(AI1430:OFFSET(AI1430,$B$5-1,0))</f>
        <v>#DIV/0!</v>
      </c>
      <c r="AK1430" s="4" t="e">
        <f ca="1">SQRT($B$9)*_xlfn.STDEV.S(AI1430:OFFSET(AI1430,$B$6-1,0))</f>
        <v>#DIV/0!</v>
      </c>
      <c r="AL1430" s="4" t="e">
        <f ca="1">SQRT($B$9)*_xlfn.STDEV.S(AI1430:OFFSET(AI1430,$B$7-1,0))</f>
        <v>#DIV/0!</v>
      </c>
      <c r="AM1430" s="4" t="e">
        <f ca="1">SQRT($B$9)*_xlfn.STDEV.S(AI1430:OFFSET(AI1430,$B$8-1,0))</f>
        <v>#DIV/0!</v>
      </c>
    </row>
    <row r="1431" spans="11:39" x14ac:dyDescent="0.2">
      <c r="K1431" s="3" t="e">
        <f t="shared" si="119"/>
        <v>#DIV/0!</v>
      </c>
      <c r="L1431" s="3" t="e">
        <f ca="1">SQRT(AVERAGE(K1431:OFFSET(K1431,$B$5-1,0))*$B$9/(4*LN(2)))</f>
        <v>#DIV/0!</v>
      </c>
      <c r="M1431" s="3" t="e">
        <f ca="1">SQRT(AVERAGE(K1431:OFFSET(K1431,$B$6-1,0))*$B$9/(4*LN(2)))</f>
        <v>#DIV/0!</v>
      </c>
      <c r="N1431" s="3" t="e">
        <f ca="1">SQRT(AVERAGE(K1431:OFFSET(K1431,$B$7-1,0))*$B$9/(4*LN(2)))</f>
        <v>#DIV/0!</v>
      </c>
      <c r="O1431" s="3" t="e">
        <f ca="1">SQRT(AVERAGE(K1431:OFFSET(K1431,$B$8-1,0))*$B$9/(4*LN(2)))</f>
        <v>#DIV/0!</v>
      </c>
      <c r="Q1431" s="5" t="e">
        <f t="shared" si="118"/>
        <v>#DIV/0!</v>
      </c>
      <c r="R1431" s="5" t="e">
        <f ca="1">SQRT($B$9*AVERAGE((Q1431:OFFSET(Q1431,$B$5-1,0))))</f>
        <v>#DIV/0!</v>
      </c>
      <c r="S1431" s="5" t="e">
        <f ca="1">SQRT($B$9*AVERAGE((Q1431:OFFSET(Q1431,$B$6-1,0))))</f>
        <v>#DIV/0!</v>
      </c>
      <c r="T1431" s="5" t="e">
        <f ca="1">SQRT($B$9*AVERAGE((Q1431:OFFSET(Q1431,$B$7-1,0))))</f>
        <v>#DIV/0!</v>
      </c>
      <c r="U1431" s="5" t="e">
        <f ca="1">SQRT($B$9*AVERAGE((Q1431:OFFSET(Q1431,$B$8-1,0))))</f>
        <v>#DIV/0!</v>
      </c>
      <c r="W1431" s="6" t="e">
        <f t="shared" si="117"/>
        <v>#DIV/0!</v>
      </c>
      <c r="X1431" s="6" t="e">
        <f ca="1">SQRT($B$9*AVERAGE(W1431:OFFSET(W1431,$B$5-1,0)))</f>
        <v>#DIV/0!</v>
      </c>
      <c r="Y1431" s="6" t="e">
        <f ca="1">SQRT($B$9*AVERAGE(W1431:OFFSET(W1431,$B$6-1,0)))</f>
        <v>#DIV/0!</v>
      </c>
      <c r="Z1431" s="6" t="e">
        <f ca="1">SQRT($B$9*AVERAGE(W1431:OFFSET(W1431,$B$7-1,0)))</f>
        <v>#DIV/0!</v>
      </c>
      <c r="AA1431" s="6" t="e">
        <f ca="1">SQRT($B$9*AVERAGE(W1431:OFFSET(W1431,$B$8-1,0)))</f>
        <v>#DIV/0!</v>
      </c>
      <c r="AC1431" s="34" t="e">
        <f t="shared" si="120"/>
        <v>#DIV/0!</v>
      </c>
      <c r="AD1431" s="34" t="e">
        <f ca="1">SQRT($B$9*SUM(AC1431:OFFSET(AC1431,$B$5-1,0))/($B$5-1))</f>
        <v>#DIV/0!</v>
      </c>
      <c r="AE1431" s="34" t="e">
        <f ca="1">SQRT($B$9*SUM(AC1431:OFFSET(AC1431,$B$6-1,0))/($B$6-1))</f>
        <v>#DIV/0!</v>
      </c>
      <c r="AF1431" s="34" t="e">
        <f ca="1">SQRT($B$9*SUM(AC1431:OFFSET(AC1431,$B$7-1,0))/($B$7-1))</f>
        <v>#DIV/0!</v>
      </c>
      <c r="AG1431" s="34" t="e">
        <f ca="1">SQRT($B$9*SUM(AC1431:OFFSET(AC1431,$B$8-1,0))/($B$8-1))</f>
        <v>#DIV/0!</v>
      </c>
      <c r="AI1431" s="1" t="e">
        <f t="shared" si="121"/>
        <v>#DIV/0!</v>
      </c>
      <c r="AJ1431" s="4" t="e">
        <f ca="1">SQRT($B$9)*_xlfn.STDEV.S(AI1431:OFFSET(AI1431,$B$5-1,0))</f>
        <v>#DIV/0!</v>
      </c>
      <c r="AK1431" s="4" t="e">
        <f ca="1">SQRT($B$9)*_xlfn.STDEV.S(AI1431:OFFSET(AI1431,$B$6-1,0))</f>
        <v>#DIV/0!</v>
      </c>
      <c r="AL1431" s="4" t="e">
        <f ca="1">SQRT($B$9)*_xlfn.STDEV.S(AI1431:OFFSET(AI1431,$B$7-1,0))</f>
        <v>#DIV/0!</v>
      </c>
      <c r="AM1431" s="4" t="e">
        <f ca="1">SQRT($B$9)*_xlfn.STDEV.S(AI1431:OFFSET(AI1431,$B$8-1,0))</f>
        <v>#DIV/0!</v>
      </c>
    </row>
    <row r="1432" spans="11:39" x14ac:dyDescent="0.2">
      <c r="K1432" s="3" t="e">
        <f t="shared" si="119"/>
        <v>#DIV/0!</v>
      </c>
      <c r="L1432" s="3" t="e">
        <f ca="1">SQRT(AVERAGE(K1432:OFFSET(K1432,$B$5-1,0))*$B$9/(4*LN(2)))</f>
        <v>#DIV/0!</v>
      </c>
      <c r="M1432" s="3" t="e">
        <f ca="1">SQRT(AVERAGE(K1432:OFFSET(K1432,$B$6-1,0))*$B$9/(4*LN(2)))</f>
        <v>#DIV/0!</v>
      </c>
      <c r="N1432" s="3" t="e">
        <f ca="1">SQRT(AVERAGE(K1432:OFFSET(K1432,$B$7-1,0))*$B$9/(4*LN(2)))</f>
        <v>#DIV/0!</v>
      </c>
      <c r="O1432" s="3" t="e">
        <f ca="1">SQRT(AVERAGE(K1432:OFFSET(K1432,$B$8-1,0))*$B$9/(4*LN(2)))</f>
        <v>#DIV/0!</v>
      </c>
      <c r="Q1432" s="5" t="e">
        <f t="shared" si="118"/>
        <v>#DIV/0!</v>
      </c>
      <c r="R1432" s="5" t="e">
        <f ca="1">SQRT($B$9*AVERAGE((Q1432:OFFSET(Q1432,$B$5-1,0))))</f>
        <v>#DIV/0!</v>
      </c>
      <c r="S1432" s="5" t="e">
        <f ca="1">SQRT($B$9*AVERAGE((Q1432:OFFSET(Q1432,$B$6-1,0))))</f>
        <v>#DIV/0!</v>
      </c>
      <c r="T1432" s="5" t="e">
        <f ca="1">SQRT($B$9*AVERAGE((Q1432:OFFSET(Q1432,$B$7-1,0))))</f>
        <v>#DIV/0!</v>
      </c>
      <c r="U1432" s="5" t="e">
        <f ca="1">SQRT($B$9*AVERAGE((Q1432:OFFSET(Q1432,$B$8-1,0))))</f>
        <v>#DIV/0!</v>
      </c>
      <c r="W1432" s="6" t="e">
        <f t="shared" si="117"/>
        <v>#DIV/0!</v>
      </c>
      <c r="X1432" s="6" t="e">
        <f ca="1">SQRT($B$9*AVERAGE(W1432:OFFSET(W1432,$B$5-1,0)))</f>
        <v>#DIV/0!</v>
      </c>
      <c r="Y1432" s="6" t="e">
        <f ca="1">SQRT($B$9*AVERAGE(W1432:OFFSET(W1432,$B$6-1,0)))</f>
        <v>#DIV/0!</v>
      </c>
      <c r="Z1432" s="6" t="e">
        <f ca="1">SQRT($B$9*AVERAGE(W1432:OFFSET(W1432,$B$7-1,0)))</f>
        <v>#DIV/0!</v>
      </c>
      <c r="AA1432" s="6" t="e">
        <f ca="1">SQRT($B$9*AVERAGE(W1432:OFFSET(W1432,$B$8-1,0)))</f>
        <v>#DIV/0!</v>
      </c>
      <c r="AC1432" s="34" t="e">
        <f t="shared" si="120"/>
        <v>#DIV/0!</v>
      </c>
      <c r="AD1432" s="34" t="e">
        <f ca="1">SQRT($B$9*SUM(AC1432:OFFSET(AC1432,$B$5-1,0))/($B$5-1))</f>
        <v>#DIV/0!</v>
      </c>
      <c r="AE1432" s="34" t="e">
        <f ca="1">SQRT($B$9*SUM(AC1432:OFFSET(AC1432,$B$6-1,0))/($B$6-1))</f>
        <v>#DIV/0!</v>
      </c>
      <c r="AF1432" s="34" t="e">
        <f ca="1">SQRT($B$9*SUM(AC1432:OFFSET(AC1432,$B$7-1,0))/($B$7-1))</f>
        <v>#DIV/0!</v>
      </c>
      <c r="AG1432" s="34" t="e">
        <f ca="1">SQRT($B$9*SUM(AC1432:OFFSET(AC1432,$B$8-1,0))/($B$8-1))</f>
        <v>#DIV/0!</v>
      </c>
      <c r="AI1432" s="1" t="e">
        <f t="shared" si="121"/>
        <v>#DIV/0!</v>
      </c>
      <c r="AJ1432" s="4" t="e">
        <f ca="1">SQRT($B$9)*_xlfn.STDEV.S(AI1432:OFFSET(AI1432,$B$5-1,0))</f>
        <v>#DIV/0!</v>
      </c>
      <c r="AK1432" s="4" t="e">
        <f ca="1">SQRT($B$9)*_xlfn.STDEV.S(AI1432:OFFSET(AI1432,$B$6-1,0))</f>
        <v>#DIV/0!</v>
      </c>
      <c r="AL1432" s="4" t="e">
        <f ca="1">SQRT($B$9)*_xlfn.STDEV.S(AI1432:OFFSET(AI1432,$B$7-1,0))</f>
        <v>#DIV/0!</v>
      </c>
      <c r="AM1432" s="4" t="e">
        <f ca="1">SQRT($B$9)*_xlfn.STDEV.S(AI1432:OFFSET(AI1432,$B$8-1,0))</f>
        <v>#DIV/0!</v>
      </c>
    </row>
    <row r="1433" spans="11:39" x14ac:dyDescent="0.2">
      <c r="K1433" s="3" t="e">
        <f t="shared" si="119"/>
        <v>#DIV/0!</v>
      </c>
      <c r="L1433" s="3" t="e">
        <f ca="1">SQRT(AVERAGE(K1433:OFFSET(K1433,$B$5-1,0))*$B$9/(4*LN(2)))</f>
        <v>#DIV/0!</v>
      </c>
      <c r="M1433" s="3" t="e">
        <f ca="1">SQRT(AVERAGE(K1433:OFFSET(K1433,$B$6-1,0))*$B$9/(4*LN(2)))</f>
        <v>#DIV/0!</v>
      </c>
      <c r="N1433" s="3" t="e">
        <f ca="1">SQRT(AVERAGE(K1433:OFFSET(K1433,$B$7-1,0))*$B$9/(4*LN(2)))</f>
        <v>#DIV/0!</v>
      </c>
      <c r="O1433" s="3" t="e">
        <f ca="1">SQRT(AVERAGE(K1433:OFFSET(K1433,$B$8-1,0))*$B$9/(4*LN(2)))</f>
        <v>#DIV/0!</v>
      </c>
      <c r="Q1433" s="5" t="e">
        <f t="shared" si="118"/>
        <v>#DIV/0!</v>
      </c>
      <c r="R1433" s="5" t="e">
        <f ca="1">SQRT($B$9*AVERAGE((Q1433:OFFSET(Q1433,$B$5-1,0))))</f>
        <v>#DIV/0!</v>
      </c>
      <c r="S1433" s="5" t="e">
        <f ca="1">SQRT($B$9*AVERAGE((Q1433:OFFSET(Q1433,$B$6-1,0))))</f>
        <v>#DIV/0!</v>
      </c>
      <c r="T1433" s="5" t="e">
        <f ca="1">SQRT($B$9*AVERAGE((Q1433:OFFSET(Q1433,$B$7-1,0))))</f>
        <v>#DIV/0!</v>
      </c>
      <c r="U1433" s="5" t="e">
        <f ca="1">SQRT($B$9*AVERAGE((Q1433:OFFSET(Q1433,$B$8-1,0))))</f>
        <v>#DIV/0!</v>
      </c>
      <c r="W1433" s="6" t="e">
        <f t="shared" si="117"/>
        <v>#DIV/0!</v>
      </c>
      <c r="X1433" s="6" t="e">
        <f ca="1">SQRT($B$9*AVERAGE(W1433:OFFSET(W1433,$B$5-1,0)))</f>
        <v>#DIV/0!</v>
      </c>
      <c r="Y1433" s="6" t="e">
        <f ca="1">SQRT($B$9*AVERAGE(W1433:OFFSET(W1433,$B$6-1,0)))</f>
        <v>#DIV/0!</v>
      </c>
      <c r="Z1433" s="6" t="e">
        <f ca="1">SQRT($B$9*AVERAGE(W1433:OFFSET(W1433,$B$7-1,0)))</f>
        <v>#DIV/0!</v>
      </c>
      <c r="AA1433" s="6" t="e">
        <f ca="1">SQRT($B$9*AVERAGE(W1433:OFFSET(W1433,$B$8-1,0)))</f>
        <v>#DIV/0!</v>
      </c>
      <c r="AC1433" s="34" t="e">
        <f t="shared" si="120"/>
        <v>#DIV/0!</v>
      </c>
      <c r="AD1433" s="34" t="e">
        <f ca="1">SQRT($B$9*SUM(AC1433:OFFSET(AC1433,$B$5-1,0))/($B$5-1))</f>
        <v>#DIV/0!</v>
      </c>
      <c r="AE1433" s="34" t="e">
        <f ca="1">SQRT($B$9*SUM(AC1433:OFFSET(AC1433,$B$6-1,0))/($B$6-1))</f>
        <v>#DIV/0!</v>
      </c>
      <c r="AF1433" s="34" t="e">
        <f ca="1">SQRT($B$9*SUM(AC1433:OFFSET(AC1433,$B$7-1,0))/($B$7-1))</f>
        <v>#DIV/0!</v>
      </c>
      <c r="AG1433" s="34" t="e">
        <f ca="1">SQRT($B$9*SUM(AC1433:OFFSET(AC1433,$B$8-1,0))/($B$8-1))</f>
        <v>#DIV/0!</v>
      </c>
      <c r="AI1433" s="1" t="e">
        <f t="shared" si="121"/>
        <v>#DIV/0!</v>
      </c>
      <c r="AJ1433" s="4" t="e">
        <f ca="1">SQRT($B$9)*_xlfn.STDEV.S(AI1433:OFFSET(AI1433,$B$5-1,0))</f>
        <v>#DIV/0!</v>
      </c>
      <c r="AK1433" s="4" t="e">
        <f ca="1">SQRT($B$9)*_xlfn.STDEV.S(AI1433:OFFSET(AI1433,$B$6-1,0))</f>
        <v>#DIV/0!</v>
      </c>
      <c r="AL1433" s="4" t="e">
        <f ca="1">SQRT($B$9)*_xlfn.STDEV.S(AI1433:OFFSET(AI1433,$B$7-1,0))</f>
        <v>#DIV/0!</v>
      </c>
      <c r="AM1433" s="4" t="e">
        <f ca="1">SQRT($B$9)*_xlfn.STDEV.S(AI1433:OFFSET(AI1433,$B$8-1,0))</f>
        <v>#DIV/0!</v>
      </c>
    </row>
    <row r="1434" spans="11:39" x14ac:dyDescent="0.2">
      <c r="K1434" s="3" t="e">
        <f t="shared" si="119"/>
        <v>#DIV/0!</v>
      </c>
      <c r="L1434" s="3" t="e">
        <f ca="1">SQRT(AVERAGE(K1434:OFFSET(K1434,$B$5-1,0))*$B$9/(4*LN(2)))</f>
        <v>#DIV/0!</v>
      </c>
      <c r="M1434" s="3" t="e">
        <f ca="1">SQRT(AVERAGE(K1434:OFFSET(K1434,$B$6-1,0))*$B$9/(4*LN(2)))</f>
        <v>#DIV/0!</v>
      </c>
      <c r="N1434" s="3" t="e">
        <f ca="1">SQRT(AVERAGE(K1434:OFFSET(K1434,$B$7-1,0))*$B$9/(4*LN(2)))</f>
        <v>#DIV/0!</v>
      </c>
      <c r="O1434" s="3" t="e">
        <f ca="1">SQRT(AVERAGE(K1434:OFFSET(K1434,$B$8-1,0))*$B$9/(4*LN(2)))</f>
        <v>#DIV/0!</v>
      </c>
      <c r="Q1434" s="5" t="e">
        <f t="shared" si="118"/>
        <v>#DIV/0!</v>
      </c>
      <c r="R1434" s="5" t="e">
        <f ca="1">SQRT($B$9*AVERAGE((Q1434:OFFSET(Q1434,$B$5-1,0))))</f>
        <v>#DIV/0!</v>
      </c>
      <c r="S1434" s="5" t="e">
        <f ca="1">SQRT($B$9*AVERAGE((Q1434:OFFSET(Q1434,$B$6-1,0))))</f>
        <v>#DIV/0!</v>
      </c>
      <c r="T1434" s="5" t="e">
        <f ca="1">SQRT($B$9*AVERAGE((Q1434:OFFSET(Q1434,$B$7-1,0))))</f>
        <v>#DIV/0!</v>
      </c>
      <c r="U1434" s="5" t="e">
        <f ca="1">SQRT($B$9*AVERAGE((Q1434:OFFSET(Q1434,$B$8-1,0))))</f>
        <v>#DIV/0!</v>
      </c>
      <c r="W1434" s="6" t="e">
        <f t="shared" si="117"/>
        <v>#DIV/0!</v>
      </c>
      <c r="X1434" s="6" t="e">
        <f ca="1">SQRT($B$9*AVERAGE(W1434:OFFSET(W1434,$B$5-1,0)))</f>
        <v>#DIV/0!</v>
      </c>
      <c r="Y1434" s="6" t="e">
        <f ca="1">SQRT($B$9*AVERAGE(W1434:OFFSET(W1434,$B$6-1,0)))</f>
        <v>#DIV/0!</v>
      </c>
      <c r="Z1434" s="6" t="e">
        <f ca="1">SQRT($B$9*AVERAGE(W1434:OFFSET(W1434,$B$7-1,0)))</f>
        <v>#DIV/0!</v>
      </c>
      <c r="AA1434" s="6" t="e">
        <f ca="1">SQRT($B$9*AVERAGE(W1434:OFFSET(W1434,$B$8-1,0)))</f>
        <v>#DIV/0!</v>
      </c>
      <c r="AC1434" s="34" t="e">
        <f t="shared" si="120"/>
        <v>#DIV/0!</v>
      </c>
      <c r="AD1434" s="34" t="e">
        <f ca="1">SQRT($B$9*SUM(AC1434:OFFSET(AC1434,$B$5-1,0))/($B$5-1))</f>
        <v>#DIV/0!</v>
      </c>
      <c r="AE1434" s="34" t="e">
        <f ca="1">SQRT($B$9*SUM(AC1434:OFFSET(AC1434,$B$6-1,0))/($B$6-1))</f>
        <v>#DIV/0!</v>
      </c>
      <c r="AF1434" s="34" t="e">
        <f ca="1">SQRT($B$9*SUM(AC1434:OFFSET(AC1434,$B$7-1,0))/($B$7-1))</f>
        <v>#DIV/0!</v>
      </c>
      <c r="AG1434" s="34" t="e">
        <f ca="1">SQRT($B$9*SUM(AC1434:OFFSET(AC1434,$B$8-1,0))/($B$8-1))</f>
        <v>#DIV/0!</v>
      </c>
      <c r="AI1434" s="1" t="e">
        <f t="shared" si="121"/>
        <v>#DIV/0!</v>
      </c>
      <c r="AJ1434" s="4" t="e">
        <f ca="1">SQRT($B$9)*_xlfn.STDEV.S(AI1434:OFFSET(AI1434,$B$5-1,0))</f>
        <v>#DIV/0!</v>
      </c>
      <c r="AK1434" s="4" t="e">
        <f ca="1">SQRT($B$9)*_xlfn.STDEV.S(AI1434:OFFSET(AI1434,$B$6-1,0))</f>
        <v>#DIV/0!</v>
      </c>
      <c r="AL1434" s="4" t="e">
        <f ca="1">SQRT($B$9)*_xlfn.STDEV.S(AI1434:OFFSET(AI1434,$B$7-1,0))</f>
        <v>#DIV/0!</v>
      </c>
      <c r="AM1434" s="4" t="e">
        <f ca="1">SQRT($B$9)*_xlfn.STDEV.S(AI1434:OFFSET(AI1434,$B$8-1,0))</f>
        <v>#DIV/0!</v>
      </c>
    </row>
    <row r="1435" spans="11:39" x14ac:dyDescent="0.2">
      <c r="K1435" s="3" t="e">
        <f t="shared" si="119"/>
        <v>#DIV/0!</v>
      </c>
      <c r="L1435" s="3" t="e">
        <f ca="1">SQRT(AVERAGE(K1435:OFFSET(K1435,$B$5-1,0))*$B$9/(4*LN(2)))</f>
        <v>#DIV/0!</v>
      </c>
      <c r="M1435" s="3" t="e">
        <f ca="1">SQRT(AVERAGE(K1435:OFFSET(K1435,$B$6-1,0))*$B$9/(4*LN(2)))</f>
        <v>#DIV/0!</v>
      </c>
      <c r="N1435" s="3" t="e">
        <f ca="1">SQRT(AVERAGE(K1435:OFFSET(K1435,$B$7-1,0))*$B$9/(4*LN(2)))</f>
        <v>#DIV/0!</v>
      </c>
      <c r="O1435" s="3" t="e">
        <f ca="1">SQRT(AVERAGE(K1435:OFFSET(K1435,$B$8-1,0))*$B$9/(4*LN(2)))</f>
        <v>#DIV/0!</v>
      </c>
      <c r="Q1435" s="5" t="e">
        <f t="shared" si="118"/>
        <v>#DIV/0!</v>
      </c>
      <c r="R1435" s="5" t="e">
        <f ca="1">SQRT($B$9*AVERAGE((Q1435:OFFSET(Q1435,$B$5-1,0))))</f>
        <v>#DIV/0!</v>
      </c>
      <c r="S1435" s="5" t="e">
        <f ca="1">SQRT($B$9*AVERAGE((Q1435:OFFSET(Q1435,$B$6-1,0))))</f>
        <v>#DIV/0!</v>
      </c>
      <c r="T1435" s="5" t="e">
        <f ca="1">SQRT($B$9*AVERAGE((Q1435:OFFSET(Q1435,$B$7-1,0))))</f>
        <v>#DIV/0!</v>
      </c>
      <c r="U1435" s="5" t="e">
        <f ca="1">SQRT($B$9*AVERAGE((Q1435:OFFSET(Q1435,$B$8-1,0))))</f>
        <v>#DIV/0!</v>
      </c>
      <c r="W1435" s="6" t="e">
        <f t="shared" si="117"/>
        <v>#DIV/0!</v>
      </c>
      <c r="X1435" s="6" t="e">
        <f ca="1">SQRT($B$9*AVERAGE(W1435:OFFSET(W1435,$B$5-1,0)))</f>
        <v>#DIV/0!</v>
      </c>
      <c r="Y1435" s="6" t="e">
        <f ca="1">SQRT($B$9*AVERAGE(W1435:OFFSET(W1435,$B$6-1,0)))</f>
        <v>#DIV/0!</v>
      </c>
      <c r="Z1435" s="6" t="e">
        <f ca="1">SQRT($B$9*AVERAGE(W1435:OFFSET(W1435,$B$7-1,0)))</f>
        <v>#DIV/0!</v>
      </c>
      <c r="AA1435" s="6" t="e">
        <f ca="1">SQRT($B$9*AVERAGE(W1435:OFFSET(W1435,$B$8-1,0)))</f>
        <v>#DIV/0!</v>
      </c>
      <c r="AC1435" s="34" t="e">
        <f t="shared" si="120"/>
        <v>#DIV/0!</v>
      </c>
      <c r="AD1435" s="34" t="e">
        <f ca="1">SQRT($B$9*SUM(AC1435:OFFSET(AC1435,$B$5-1,0))/($B$5-1))</f>
        <v>#DIV/0!</v>
      </c>
      <c r="AE1435" s="34" t="e">
        <f ca="1">SQRT($B$9*SUM(AC1435:OFFSET(AC1435,$B$6-1,0))/($B$6-1))</f>
        <v>#DIV/0!</v>
      </c>
      <c r="AF1435" s="34" t="e">
        <f ca="1">SQRT($B$9*SUM(AC1435:OFFSET(AC1435,$B$7-1,0))/($B$7-1))</f>
        <v>#DIV/0!</v>
      </c>
      <c r="AG1435" s="34" t="e">
        <f ca="1">SQRT($B$9*SUM(AC1435:OFFSET(AC1435,$B$8-1,0))/($B$8-1))</f>
        <v>#DIV/0!</v>
      </c>
      <c r="AI1435" s="1" t="e">
        <f t="shared" si="121"/>
        <v>#DIV/0!</v>
      </c>
      <c r="AJ1435" s="4" t="e">
        <f ca="1">SQRT($B$9)*_xlfn.STDEV.S(AI1435:OFFSET(AI1435,$B$5-1,0))</f>
        <v>#DIV/0!</v>
      </c>
      <c r="AK1435" s="4" t="e">
        <f ca="1">SQRT($B$9)*_xlfn.STDEV.S(AI1435:OFFSET(AI1435,$B$6-1,0))</f>
        <v>#DIV/0!</v>
      </c>
      <c r="AL1435" s="4" t="e">
        <f ca="1">SQRT($B$9)*_xlfn.STDEV.S(AI1435:OFFSET(AI1435,$B$7-1,0))</f>
        <v>#DIV/0!</v>
      </c>
      <c r="AM1435" s="4" t="e">
        <f ca="1">SQRT($B$9)*_xlfn.STDEV.S(AI1435:OFFSET(AI1435,$B$8-1,0))</f>
        <v>#DIV/0!</v>
      </c>
    </row>
    <row r="1436" spans="11:39" x14ac:dyDescent="0.2">
      <c r="K1436" s="3" t="e">
        <f t="shared" si="119"/>
        <v>#DIV/0!</v>
      </c>
      <c r="L1436" s="3" t="e">
        <f ca="1">SQRT(AVERAGE(K1436:OFFSET(K1436,$B$5-1,0))*$B$9/(4*LN(2)))</f>
        <v>#DIV/0!</v>
      </c>
      <c r="M1436" s="3" t="e">
        <f ca="1">SQRT(AVERAGE(K1436:OFFSET(K1436,$B$6-1,0))*$B$9/(4*LN(2)))</f>
        <v>#DIV/0!</v>
      </c>
      <c r="N1436" s="3" t="e">
        <f ca="1">SQRT(AVERAGE(K1436:OFFSET(K1436,$B$7-1,0))*$B$9/(4*LN(2)))</f>
        <v>#DIV/0!</v>
      </c>
      <c r="O1436" s="3" t="e">
        <f ca="1">SQRT(AVERAGE(K1436:OFFSET(K1436,$B$8-1,0))*$B$9/(4*LN(2)))</f>
        <v>#DIV/0!</v>
      </c>
      <c r="Q1436" s="5" t="e">
        <f t="shared" si="118"/>
        <v>#DIV/0!</v>
      </c>
      <c r="R1436" s="5" t="e">
        <f ca="1">SQRT($B$9*AVERAGE((Q1436:OFFSET(Q1436,$B$5-1,0))))</f>
        <v>#DIV/0!</v>
      </c>
      <c r="S1436" s="5" t="e">
        <f ca="1">SQRT($B$9*AVERAGE((Q1436:OFFSET(Q1436,$B$6-1,0))))</f>
        <v>#DIV/0!</v>
      </c>
      <c r="T1436" s="5" t="e">
        <f ca="1">SQRT($B$9*AVERAGE((Q1436:OFFSET(Q1436,$B$7-1,0))))</f>
        <v>#DIV/0!</v>
      </c>
      <c r="U1436" s="5" t="e">
        <f ca="1">SQRT($B$9*AVERAGE((Q1436:OFFSET(Q1436,$B$8-1,0))))</f>
        <v>#DIV/0!</v>
      </c>
      <c r="W1436" s="6" t="e">
        <f t="shared" si="117"/>
        <v>#DIV/0!</v>
      </c>
      <c r="X1436" s="6" t="e">
        <f ca="1">SQRT($B$9*AVERAGE(W1436:OFFSET(W1436,$B$5-1,0)))</f>
        <v>#DIV/0!</v>
      </c>
      <c r="Y1436" s="6" t="e">
        <f ca="1">SQRT($B$9*AVERAGE(W1436:OFFSET(W1436,$B$6-1,0)))</f>
        <v>#DIV/0!</v>
      </c>
      <c r="Z1436" s="6" t="e">
        <f ca="1">SQRT($B$9*AVERAGE(W1436:OFFSET(W1436,$B$7-1,0)))</f>
        <v>#DIV/0!</v>
      </c>
      <c r="AA1436" s="6" t="e">
        <f ca="1">SQRT($B$9*AVERAGE(W1436:OFFSET(W1436,$B$8-1,0)))</f>
        <v>#DIV/0!</v>
      </c>
      <c r="AC1436" s="34" t="e">
        <f t="shared" si="120"/>
        <v>#DIV/0!</v>
      </c>
      <c r="AD1436" s="34" t="e">
        <f ca="1">SQRT($B$9*SUM(AC1436:OFFSET(AC1436,$B$5-1,0))/($B$5-1))</f>
        <v>#DIV/0!</v>
      </c>
      <c r="AE1436" s="34" t="e">
        <f ca="1">SQRT($B$9*SUM(AC1436:OFFSET(AC1436,$B$6-1,0))/($B$6-1))</f>
        <v>#DIV/0!</v>
      </c>
      <c r="AF1436" s="34" t="e">
        <f ca="1">SQRT($B$9*SUM(AC1436:OFFSET(AC1436,$B$7-1,0))/($B$7-1))</f>
        <v>#DIV/0!</v>
      </c>
      <c r="AG1436" s="34" t="e">
        <f ca="1">SQRT($B$9*SUM(AC1436:OFFSET(AC1436,$B$8-1,0))/($B$8-1))</f>
        <v>#DIV/0!</v>
      </c>
      <c r="AI1436" s="1" t="e">
        <f t="shared" si="121"/>
        <v>#DIV/0!</v>
      </c>
      <c r="AJ1436" s="4" t="e">
        <f ca="1">SQRT($B$9)*_xlfn.STDEV.S(AI1436:OFFSET(AI1436,$B$5-1,0))</f>
        <v>#DIV/0!</v>
      </c>
      <c r="AK1436" s="4" t="e">
        <f ca="1">SQRT($B$9)*_xlfn.STDEV.S(AI1436:OFFSET(AI1436,$B$6-1,0))</f>
        <v>#DIV/0!</v>
      </c>
      <c r="AL1436" s="4" t="e">
        <f ca="1">SQRT($B$9)*_xlfn.STDEV.S(AI1436:OFFSET(AI1436,$B$7-1,0))</f>
        <v>#DIV/0!</v>
      </c>
      <c r="AM1436" s="4" t="e">
        <f ca="1">SQRT($B$9)*_xlfn.STDEV.S(AI1436:OFFSET(AI1436,$B$8-1,0))</f>
        <v>#DIV/0!</v>
      </c>
    </row>
    <row r="1437" spans="11:39" x14ac:dyDescent="0.2">
      <c r="K1437" s="3" t="e">
        <f t="shared" si="119"/>
        <v>#DIV/0!</v>
      </c>
      <c r="L1437" s="3" t="e">
        <f ca="1">SQRT(AVERAGE(K1437:OFFSET(K1437,$B$5-1,0))*$B$9/(4*LN(2)))</f>
        <v>#DIV/0!</v>
      </c>
      <c r="M1437" s="3" t="e">
        <f ca="1">SQRT(AVERAGE(K1437:OFFSET(K1437,$B$6-1,0))*$B$9/(4*LN(2)))</f>
        <v>#DIV/0!</v>
      </c>
      <c r="N1437" s="3" t="e">
        <f ca="1">SQRT(AVERAGE(K1437:OFFSET(K1437,$B$7-1,0))*$B$9/(4*LN(2)))</f>
        <v>#DIV/0!</v>
      </c>
      <c r="O1437" s="3" t="e">
        <f ca="1">SQRT(AVERAGE(K1437:OFFSET(K1437,$B$8-1,0))*$B$9/(4*LN(2)))</f>
        <v>#DIV/0!</v>
      </c>
      <c r="Q1437" s="5" t="e">
        <f t="shared" si="118"/>
        <v>#DIV/0!</v>
      </c>
      <c r="R1437" s="5" t="e">
        <f ca="1">SQRT($B$9*AVERAGE((Q1437:OFFSET(Q1437,$B$5-1,0))))</f>
        <v>#DIV/0!</v>
      </c>
      <c r="S1437" s="5" t="e">
        <f ca="1">SQRT($B$9*AVERAGE((Q1437:OFFSET(Q1437,$B$6-1,0))))</f>
        <v>#DIV/0!</v>
      </c>
      <c r="T1437" s="5" t="e">
        <f ca="1">SQRT($B$9*AVERAGE((Q1437:OFFSET(Q1437,$B$7-1,0))))</f>
        <v>#DIV/0!</v>
      </c>
      <c r="U1437" s="5" t="e">
        <f ca="1">SQRT($B$9*AVERAGE((Q1437:OFFSET(Q1437,$B$8-1,0))))</f>
        <v>#DIV/0!</v>
      </c>
      <c r="W1437" s="6" t="e">
        <f t="shared" si="117"/>
        <v>#DIV/0!</v>
      </c>
      <c r="X1437" s="6" t="e">
        <f ca="1">SQRT($B$9*AVERAGE(W1437:OFFSET(W1437,$B$5-1,0)))</f>
        <v>#DIV/0!</v>
      </c>
      <c r="Y1437" s="6" t="e">
        <f ca="1">SQRT($B$9*AVERAGE(W1437:OFFSET(W1437,$B$6-1,0)))</f>
        <v>#DIV/0!</v>
      </c>
      <c r="Z1437" s="6" t="e">
        <f ca="1">SQRT($B$9*AVERAGE(W1437:OFFSET(W1437,$B$7-1,0)))</f>
        <v>#DIV/0!</v>
      </c>
      <c r="AA1437" s="6" t="e">
        <f ca="1">SQRT($B$9*AVERAGE(W1437:OFFSET(W1437,$B$8-1,0)))</f>
        <v>#DIV/0!</v>
      </c>
      <c r="AC1437" s="34" t="e">
        <f t="shared" si="120"/>
        <v>#DIV/0!</v>
      </c>
      <c r="AD1437" s="34" t="e">
        <f ca="1">SQRT($B$9*SUM(AC1437:OFFSET(AC1437,$B$5-1,0))/($B$5-1))</f>
        <v>#DIV/0!</v>
      </c>
      <c r="AE1437" s="34" t="e">
        <f ca="1">SQRT($B$9*SUM(AC1437:OFFSET(AC1437,$B$6-1,0))/($B$6-1))</f>
        <v>#DIV/0!</v>
      </c>
      <c r="AF1437" s="34" t="e">
        <f ca="1">SQRT($B$9*SUM(AC1437:OFFSET(AC1437,$B$7-1,0))/($B$7-1))</f>
        <v>#DIV/0!</v>
      </c>
      <c r="AG1437" s="34" t="e">
        <f ca="1">SQRT($B$9*SUM(AC1437:OFFSET(AC1437,$B$8-1,0))/($B$8-1))</f>
        <v>#DIV/0!</v>
      </c>
      <c r="AI1437" s="1" t="e">
        <f t="shared" si="121"/>
        <v>#DIV/0!</v>
      </c>
      <c r="AJ1437" s="4" t="e">
        <f ca="1">SQRT($B$9)*_xlfn.STDEV.S(AI1437:OFFSET(AI1437,$B$5-1,0))</f>
        <v>#DIV/0!</v>
      </c>
      <c r="AK1437" s="4" t="e">
        <f ca="1">SQRT($B$9)*_xlfn.STDEV.S(AI1437:OFFSET(AI1437,$B$6-1,0))</f>
        <v>#DIV/0!</v>
      </c>
      <c r="AL1437" s="4" t="e">
        <f ca="1">SQRT($B$9)*_xlfn.STDEV.S(AI1437:OFFSET(AI1437,$B$7-1,0))</f>
        <v>#DIV/0!</v>
      </c>
      <c r="AM1437" s="4" t="e">
        <f ca="1">SQRT($B$9)*_xlfn.STDEV.S(AI1437:OFFSET(AI1437,$B$8-1,0))</f>
        <v>#DIV/0!</v>
      </c>
    </row>
    <row r="1438" spans="11:39" x14ac:dyDescent="0.2">
      <c r="K1438" s="3" t="e">
        <f t="shared" si="119"/>
        <v>#DIV/0!</v>
      </c>
      <c r="L1438" s="3" t="e">
        <f ca="1">SQRT(AVERAGE(K1438:OFFSET(K1438,$B$5-1,0))*$B$9/(4*LN(2)))</f>
        <v>#DIV/0!</v>
      </c>
      <c r="M1438" s="3" t="e">
        <f ca="1">SQRT(AVERAGE(K1438:OFFSET(K1438,$B$6-1,0))*$B$9/(4*LN(2)))</f>
        <v>#DIV/0!</v>
      </c>
      <c r="N1438" s="3" t="e">
        <f ca="1">SQRT(AVERAGE(K1438:OFFSET(K1438,$B$7-1,0))*$B$9/(4*LN(2)))</f>
        <v>#DIV/0!</v>
      </c>
      <c r="O1438" s="3" t="e">
        <f ca="1">SQRT(AVERAGE(K1438:OFFSET(K1438,$B$8-1,0))*$B$9/(4*LN(2)))</f>
        <v>#DIV/0!</v>
      </c>
      <c r="Q1438" s="5" t="e">
        <f t="shared" si="118"/>
        <v>#DIV/0!</v>
      </c>
      <c r="R1438" s="5" t="e">
        <f ca="1">SQRT($B$9*AVERAGE((Q1438:OFFSET(Q1438,$B$5-1,0))))</f>
        <v>#DIV/0!</v>
      </c>
      <c r="S1438" s="5" t="e">
        <f ca="1">SQRT($B$9*AVERAGE((Q1438:OFFSET(Q1438,$B$6-1,0))))</f>
        <v>#DIV/0!</v>
      </c>
      <c r="T1438" s="5" t="e">
        <f ca="1">SQRT($B$9*AVERAGE((Q1438:OFFSET(Q1438,$B$7-1,0))))</f>
        <v>#DIV/0!</v>
      </c>
      <c r="U1438" s="5" t="e">
        <f ca="1">SQRT($B$9*AVERAGE((Q1438:OFFSET(Q1438,$B$8-1,0))))</f>
        <v>#DIV/0!</v>
      </c>
      <c r="W1438" s="6" t="e">
        <f t="shared" si="117"/>
        <v>#DIV/0!</v>
      </c>
      <c r="X1438" s="6" t="e">
        <f ca="1">SQRT($B$9*AVERAGE(W1438:OFFSET(W1438,$B$5-1,0)))</f>
        <v>#DIV/0!</v>
      </c>
      <c r="Y1438" s="6" t="e">
        <f ca="1">SQRT($B$9*AVERAGE(W1438:OFFSET(W1438,$B$6-1,0)))</f>
        <v>#DIV/0!</v>
      </c>
      <c r="Z1438" s="6" t="e">
        <f ca="1">SQRT($B$9*AVERAGE(W1438:OFFSET(W1438,$B$7-1,0)))</f>
        <v>#DIV/0!</v>
      </c>
      <c r="AA1438" s="6" t="e">
        <f ca="1">SQRT($B$9*AVERAGE(W1438:OFFSET(W1438,$B$8-1,0)))</f>
        <v>#DIV/0!</v>
      </c>
      <c r="AC1438" s="34" t="e">
        <f t="shared" si="120"/>
        <v>#DIV/0!</v>
      </c>
      <c r="AD1438" s="34" t="e">
        <f ca="1">SQRT($B$9*SUM(AC1438:OFFSET(AC1438,$B$5-1,0))/($B$5-1))</f>
        <v>#DIV/0!</v>
      </c>
      <c r="AE1438" s="34" t="e">
        <f ca="1">SQRT($B$9*SUM(AC1438:OFFSET(AC1438,$B$6-1,0))/($B$6-1))</f>
        <v>#DIV/0!</v>
      </c>
      <c r="AF1438" s="34" t="e">
        <f ca="1">SQRT($B$9*SUM(AC1438:OFFSET(AC1438,$B$7-1,0))/($B$7-1))</f>
        <v>#DIV/0!</v>
      </c>
      <c r="AG1438" s="34" t="e">
        <f ca="1">SQRT($B$9*SUM(AC1438:OFFSET(AC1438,$B$8-1,0))/($B$8-1))</f>
        <v>#DIV/0!</v>
      </c>
      <c r="AI1438" s="1" t="e">
        <f t="shared" si="121"/>
        <v>#DIV/0!</v>
      </c>
      <c r="AJ1438" s="4" t="e">
        <f ca="1">SQRT($B$9)*_xlfn.STDEV.S(AI1438:OFFSET(AI1438,$B$5-1,0))</f>
        <v>#DIV/0!</v>
      </c>
      <c r="AK1438" s="4" t="e">
        <f ca="1">SQRT($B$9)*_xlfn.STDEV.S(AI1438:OFFSET(AI1438,$B$6-1,0))</f>
        <v>#DIV/0!</v>
      </c>
      <c r="AL1438" s="4" t="e">
        <f ca="1">SQRT($B$9)*_xlfn.STDEV.S(AI1438:OFFSET(AI1438,$B$7-1,0))</f>
        <v>#DIV/0!</v>
      </c>
      <c r="AM1438" s="4" t="e">
        <f ca="1">SQRT($B$9)*_xlfn.STDEV.S(AI1438:OFFSET(AI1438,$B$8-1,0))</f>
        <v>#DIV/0!</v>
      </c>
    </row>
    <row r="1439" spans="11:39" x14ac:dyDescent="0.2">
      <c r="K1439" s="3" t="e">
        <f t="shared" si="119"/>
        <v>#DIV/0!</v>
      </c>
      <c r="L1439" s="3" t="e">
        <f ca="1">SQRT(AVERAGE(K1439:OFFSET(K1439,$B$5-1,0))*$B$9/(4*LN(2)))</f>
        <v>#DIV/0!</v>
      </c>
      <c r="M1439" s="3" t="e">
        <f ca="1">SQRT(AVERAGE(K1439:OFFSET(K1439,$B$6-1,0))*$B$9/(4*LN(2)))</f>
        <v>#DIV/0!</v>
      </c>
      <c r="N1439" s="3" t="e">
        <f ca="1">SQRT(AVERAGE(K1439:OFFSET(K1439,$B$7-1,0))*$B$9/(4*LN(2)))</f>
        <v>#DIV/0!</v>
      </c>
      <c r="O1439" s="3" t="e">
        <f ca="1">SQRT(AVERAGE(K1439:OFFSET(K1439,$B$8-1,0))*$B$9/(4*LN(2)))</f>
        <v>#DIV/0!</v>
      </c>
      <c r="Q1439" s="5" t="e">
        <f t="shared" si="118"/>
        <v>#DIV/0!</v>
      </c>
      <c r="R1439" s="5" t="e">
        <f ca="1">SQRT($B$9*AVERAGE((Q1439:OFFSET(Q1439,$B$5-1,0))))</f>
        <v>#DIV/0!</v>
      </c>
      <c r="S1439" s="5" t="e">
        <f ca="1">SQRT($B$9*AVERAGE((Q1439:OFFSET(Q1439,$B$6-1,0))))</f>
        <v>#DIV/0!</v>
      </c>
      <c r="T1439" s="5" t="e">
        <f ca="1">SQRT($B$9*AVERAGE((Q1439:OFFSET(Q1439,$B$7-1,0))))</f>
        <v>#DIV/0!</v>
      </c>
      <c r="U1439" s="5" t="e">
        <f ca="1">SQRT($B$9*AVERAGE((Q1439:OFFSET(Q1439,$B$8-1,0))))</f>
        <v>#DIV/0!</v>
      </c>
      <c r="W1439" s="6" t="e">
        <f t="shared" si="117"/>
        <v>#DIV/0!</v>
      </c>
      <c r="X1439" s="6" t="e">
        <f ca="1">SQRT($B$9*AVERAGE(W1439:OFFSET(W1439,$B$5-1,0)))</f>
        <v>#DIV/0!</v>
      </c>
      <c r="Y1439" s="6" t="e">
        <f ca="1">SQRT($B$9*AVERAGE(W1439:OFFSET(W1439,$B$6-1,0)))</f>
        <v>#DIV/0!</v>
      </c>
      <c r="Z1439" s="6" t="e">
        <f ca="1">SQRT($B$9*AVERAGE(W1439:OFFSET(W1439,$B$7-1,0)))</f>
        <v>#DIV/0!</v>
      </c>
      <c r="AA1439" s="6" t="e">
        <f ca="1">SQRT($B$9*AVERAGE(W1439:OFFSET(W1439,$B$8-1,0)))</f>
        <v>#DIV/0!</v>
      </c>
      <c r="AC1439" s="34" t="e">
        <f t="shared" si="120"/>
        <v>#DIV/0!</v>
      </c>
      <c r="AD1439" s="34" t="e">
        <f ca="1">SQRT($B$9*SUM(AC1439:OFFSET(AC1439,$B$5-1,0))/($B$5-1))</f>
        <v>#DIV/0!</v>
      </c>
      <c r="AE1439" s="34" t="e">
        <f ca="1">SQRT($B$9*SUM(AC1439:OFFSET(AC1439,$B$6-1,0))/($B$6-1))</f>
        <v>#DIV/0!</v>
      </c>
      <c r="AF1439" s="34" t="e">
        <f ca="1">SQRT($B$9*SUM(AC1439:OFFSET(AC1439,$B$7-1,0))/($B$7-1))</f>
        <v>#DIV/0!</v>
      </c>
      <c r="AG1439" s="34" t="e">
        <f ca="1">SQRT($B$9*SUM(AC1439:OFFSET(AC1439,$B$8-1,0))/($B$8-1))</f>
        <v>#DIV/0!</v>
      </c>
      <c r="AI1439" s="1" t="e">
        <f t="shared" si="121"/>
        <v>#DIV/0!</v>
      </c>
      <c r="AJ1439" s="4" t="e">
        <f ca="1">SQRT($B$9)*_xlfn.STDEV.S(AI1439:OFFSET(AI1439,$B$5-1,0))</f>
        <v>#DIV/0!</v>
      </c>
      <c r="AK1439" s="4" t="e">
        <f ca="1">SQRT($B$9)*_xlfn.STDEV.S(AI1439:OFFSET(AI1439,$B$6-1,0))</f>
        <v>#DIV/0!</v>
      </c>
      <c r="AL1439" s="4" t="e">
        <f ca="1">SQRT($B$9)*_xlfn.STDEV.S(AI1439:OFFSET(AI1439,$B$7-1,0))</f>
        <v>#DIV/0!</v>
      </c>
      <c r="AM1439" s="4" t="e">
        <f ca="1">SQRT($B$9)*_xlfn.STDEV.S(AI1439:OFFSET(AI1439,$B$8-1,0))</f>
        <v>#DIV/0!</v>
      </c>
    </row>
    <row r="1440" spans="11:39" x14ac:dyDescent="0.2">
      <c r="K1440" s="3" t="e">
        <f t="shared" si="119"/>
        <v>#DIV/0!</v>
      </c>
      <c r="L1440" s="3" t="e">
        <f ca="1">SQRT(AVERAGE(K1440:OFFSET(K1440,$B$5-1,0))*$B$9/(4*LN(2)))</f>
        <v>#DIV/0!</v>
      </c>
      <c r="M1440" s="3" t="e">
        <f ca="1">SQRT(AVERAGE(K1440:OFFSET(K1440,$B$6-1,0))*$B$9/(4*LN(2)))</f>
        <v>#DIV/0!</v>
      </c>
      <c r="N1440" s="3" t="e">
        <f ca="1">SQRT(AVERAGE(K1440:OFFSET(K1440,$B$7-1,0))*$B$9/(4*LN(2)))</f>
        <v>#DIV/0!</v>
      </c>
      <c r="O1440" s="3" t="e">
        <f ca="1">SQRT(AVERAGE(K1440:OFFSET(K1440,$B$8-1,0))*$B$9/(4*LN(2)))</f>
        <v>#DIV/0!</v>
      </c>
      <c r="Q1440" s="5" t="e">
        <f t="shared" si="118"/>
        <v>#DIV/0!</v>
      </c>
      <c r="R1440" s="5" t="e">
        <f ca="1">SQRT($B$9*AVERAGE((Q1440:OFFSET(Q1440,$B$5-1,0))))</f>
        <v>#DIV/0!</v>
      </c>
      <c r="S1440" s="5" t="e">
        <f ca="1">SQRT($B$9*AVERAGE((Q1440:OFFSET(Q1440,$B$6-1,0))))</f>
        <v>#DIV/0!</v>
      </c>
      <c r="T1440" s="5" t="e">
        <f ca="1">SQRT($B$9*AVERAGE((Q1440:OFFSET(Q1440,$B$7-1,0))))</f>
        <v>#DIV/0!</v>
      </c>
      <c r="U1440" s="5" t="e">
        <f ca="1">SQRT($B$9*AVERAGE((Q1440:OFFSET(Q1440,$B$8-1,0))))</f>
        <v>#DIV/0!</v>
      </c>
      <c r="W1440" s="6" t="e">
        <f t="shared" si="117"/>
        <v>#DIV/0!</v>
      </c>
      <c r="X1440" s="6" t="e">
        <f ca="1">SQRT($B$9*AVERAGE(W1440:OFFSET(W1440,$B$5-1,0)))</f>
        <v>#DIV/0!</v>
      </c>
      <c r="Y1440" s="6" t="e">
        <f ca="1">SQRT($B$9*AVERAGE(W1440:OFFSET(W1440,$B$6-1,0)))</f>
        <v>#DIV/0!</v>
      </c>
      <c r="Z1440" s="6" t="e">
        <f ca="1">SQRT($B$9*AVERAGE(W1440:OFFSET(W1440,$B$7-1,0)))</f>
        <v>#DIV/0!</v>
      </c>
      <c r="AA1440" s="6" t="e">
        <f ca="1">SQRT($B$9*AVERAGE(W1440:OFFSET(W1440,$B$8-1,0)))</f>
        <v>#DIV/0!</v>
      </c>
      <c r="AC1440" s="34" t="e">
        <f t="shared" si="120"/>
        <v>#DIV/0!</v>
      </c>
      <c r="AD1440" s="34" t="e">
        <f ca="1">SQRT($B$9*SUM(AC1440:OFFSET(AC1440,$B$5-1,0))/($B$5-1))</f>
        <v>#DIV/0!</v>
      </c>
      <c r="AE1440" s="34" t="e">
        <f ca="1">SQRT($B$9*SUM(AC1440:OFFSET(AC1440,$B$6-1,0))/($B$6-1))</f>
        <v>#DIV/0!</v>
      </c>
      <c r="AF1440" s="34" t="e">
        <f ca="1">SQRT($B$9*SUM(AC1440:OFFSET(AC1440,$B$7-1,0))/($B$7-1))</f>
        <v>#DIV/0!</v>
      </c>
      <c r="AG1440" s="34" t="e">
        <f ca="1">SQRT($B$9*SUM(AC1440:OFFSET(AC1440,$B$8-1,0))/($B$8-1))</f>
        <v>#DIV/0!</v>
      </c>
      <c r="AI1440" s="1" t="e">
        <f t="shared" si="121"/>
        <v>#DIV/0!</v>
      </c>
      <c r="AJ1440" s="4" t="e">
        <f ca="1">SQRT($B$9)*_xlfn.STDEV.S(AI1440:OFFSET(AI1440,$B$5-1,0))</f>
        <v>#DIV/0!</v>
      </c>
      <c r="AK1440" s="4" t="e">
        <f ca="1">SQRT($B$9)*_xlfn.STDEV.S(AI1440:OFFSET(AI1440,$B$6-1,0))</f>
        <v>#DIV/0!</v>
      </c>
      <c r="AL1440" s="4" t="e">
        <f ca="1">SQRT($B$9)*_xlfn.STDEV.S(AI1440:OFFSET(AI1440,$B$7-1,0))</f>
        <v>#DIV/0!</v>
      </c>
      <c r="AM1440" s="4" t="e">
        <f ca="1">SQRT($B$9)*_xlfn.STDEV.S(AI1440:OFFSET(AI1440,$B$8-1,0))</f>
        <v>#DIV/0!</v>
      </c>
    </row>
    <row r="1441" spans="11:39" x14ac:dyDescent="0.2">
      <c r="K1441" s="3" t="e">
        <f t="shared" si="119"/>
        <v>#DIV/0!</v>
      </c>
      <c r="L1441" s="3" t="e">
        <f ca="1">SQRT(AVERAGE(K1441:OFFSET(K1441,$B$5-1,0))*$B$9/(4*LN(2)))</f>
        <v>#DIV/0!</v>
      </c>
      <c r="M1441" s="3" t="e">
        <f ca="1">SQRT(AVERAGE(K1441:OFFSET(K1441,$B$6-1,0))*$B$9/(4*LN(2)))</f>
        <v>#DIV/0!</v>
      </c>
      <c r="N1441" s="3" t="e">
        <f ca="1">SQRT(AVERAGE(K1441:OFFSET(K1441,$B$7-1,0))*$B$9/(4*LN(2)))</f>
        <v>#DIV/0!</v>
      </c>
      <c r="O1441" s="3" t="e">
        <f ca="1">SQRT(AVERAGE(K1441:OFFSET(K1441,$B$8-1,0))*$B$9/(4*LN(2)))</f>
        <v>#DIV/0!</v>
      </c>
      <c r="Q1441" s="5" t="e">
        <f t="shared" si="118"/>
        <v>#DIV/0!</v>
      </c>
      <c r="R1441" s="5" t="e">
        <f ca="1">SQRT($B$9*AVERAGE((Q1441:OFFSET(Q1441,$B$5-1,0))))</f>
        <v>#DIV/0!</v>
      </c>
      <c r="S1441" s="5" t="e">
        <f ca="1">SQRT($B$9*AVERAGE((Q1441:OFFSET(Q1441,$B$6-1,0))))</f>
        <v>#DIV/0!</v>
      </c>
      <c r="T1441" s="5" t="e">
        <f ca="1">SQRT($B$9*AVERAGE((Q1441:OFFSET(Q1441,$B$7-1,0))))</f>
        <v>#DIV/0!</v>
      </c>
      <c r="U1441" s="5" t="e">
        <f ca="1">SQRT($B$9*AVERAGE((Q1441:OFFSET(Q1441,$B$8-1,0))))</f>
        <v>#DIV/0!</v>
      </c>
      <c r="W1441" s="6" t="e">
        <f t="shared" si="117"/>
        <v>#DIV/0!</v>
      </c>
      <c r="X1441" s="6" t="e">
        <f ca="1">SQRT($B$9*AVERAGE(W1441:OFFSET(W1441,$B$5-1,0)))</f>
        <v>#DIV/0!</v>
      </c>
      <c r="Y1441" s="6" t="e">
        <f ca="1">SQRT($B$9*AVERAGE(W1441:OFFSET(W1441,$B$6-1,0)))</f>
        <v>#DIV/0!</v>
      </c>
      <c r="Z1441" s="6" t="e">
        <f ca="1">SQRT($B$9*AVERAGE(W1441:OFFSET(W1441,$B$7-1,0)))</f>
        <v>#DIV/0!</v>
      </c>
      <c r="AA1441" s="6" t="e">
        <f ca="1">SQRT($B$9*AVERAGE(W1441:OFFSET(W1441,$B$8-1,0)))</f>
        <v>#DIV/0!</v>
      </c>
      <c r="AC1441" s="34" t="e">
        <f t="shared" si="120"/>
        <v>#DIV/0!</v>
      </c>
      <c r="AD1441" s="34" t="e">
        <f ca="1">SQRT($B$9*SUM(AC1441:OFFSET(AC1441,$B$5-1,0))/($B$5-1))</f>
        <v>#DIV/0!</v>
      </c>
      <c r="AE1441" s="34" t="e">
        <f ca="1">SQRT($B$9*SUM(AC1441:OFFSET(AC1441,$B$6-1,0))/($B$6-1))</f>
        <v>#DIV/0!</v>
      </c>
      <c r="AF1441" s="34" t="e">
        <f ca="1">SQRT($B$9*SUM(AC1441:OFFSET(AC1441,$B$7-1,0))/($B$7-1))</f>
        <v>#DIV/0!</v>
      </c>
      <c r="AG1441" s="34" t="e">
        <f ca="1">SQRT($B$9*SUM(AC1441:OFFSET(AC1441,$B$8-1,0))/($B$8-1))</f>
        <v>#DIV/0!</v>
      </c>
      <c r="AI1441" s="1" t="e">
        <f t="shared" si="121"/>
        <v>#DIV/0!</v>
      </c>
      <c r="AJ1441" s="4" t="e">
        <f ca="1">SQRT($B$9)*_xlfn.STDEV.S(AI1441:OFFSET(AI1441,$B$5-1,0))</f>
        <v>#DIV/0!</v>
      </c>
      <c r="AK1441" s="4" t="e">
        <f ca="1">SQRT($B$9)*_xlfn.STDEV.S(AI1441:OFFSET(AI1441,$B$6-1,0))</f>
        <v>#DIV/0!</v>
      </c>
      <c r="AL1441" s="4" t="e">
        <f ca="1">SQRT($B$9)*_xlfn.STDEV.S(AI1441:OFFSET(AI1441,$B$7-1,0))</f>
        <v>#DIV/0!</v>
      </c>
      <c r="AM1441" s="4" t="e">
        <f ca="1">SQRT($B$9)*_xlfn.STDEV.S(AI1441:OFFSET(AI1441,$B$8-1,0))</f>
        <v>#DIV/0!</v>
      </c>
    </row>
    <row r="1442" spans="11:39" x14ac:dyDescent="0.2">
      <c r="K1442" s="3" t="e">
        <f t="shared" si="119"/>
        <v>#DIV/0!</v>
      </c>
      <c r="L1442" s="3" t="e">
        <f ca="1">SQRT(AVERAGE(K1442:OFFSET(K1442,$B$5-1,0))*$B$9/(4*LN(2)))</f>
        <v>#DIV/0!</v>
      </c>
      <c r="M1442" s="3" t="e">
        <f ca="1">SQRT(AVERAGE(K1442:OFFSET(K1442,$B$6-1,0))*$B$9/(4*LN(2)))</f>
        <v>#DIV/0!</v>
      </c>
      <c r="N1442" s="3" t="e">
        <f ca="1">SQRT(AVERAGE(K1442:OFFSET(K1442,$B$7-1,0))*$B$9/(4*LN(2)))</f>
        <v>#DIV/0!</v>
      </c>
      <c r="O1442" s="3" t="e">
        <f ca="1">SQRT(AVERAGE(K1442:OFFSET(K1442,$B$8-1,0))*$B$9/(4*LN(2)))</f>
        <v>#DIV/0!</v>
      </c>
      <c r="Q1442" s="5" t="e">
        <f t="shared" si="118"/>
        <v>#DIV/0!</v>
      </c>
      <c r="R1442" s="5" t="e">
        <f ca="1">SQRT($B$9*AVERAGE((Q1442:OFFSET(Q1442,$B$5-1,0))))</f>
        <v>#DIV/0!</v>
      </c>
      <c r="S1442" s="5" t="e">
        <f ca="1">SQRT($B$9*AVERAGE((Q1442:OFFSET(Q1442,$B$6-1,0))))</f>
        <v>#DIV/0!</v>
      </c>
      <c r="T1442" s="5" t="e">
        <f ca="1">SQRT($B$9*AVERAGE((Q1442:OFFSET(Q1442,$B$7-1,0))))</f>
        <v>#DIV/0!</v>
      </c>
      <c r="U1442" s="5" t="e">
        <f ca="1">SQRT($B$9*AVERAGE((Q1442:OFFSET(Q1442,$B$8-1,0))))</f>
        <v>#DIV/0!</v>
      </c>
      <c r="W1442" s="6" t="e">
        <f t="shared" si="117"/>
        <v>#DIV/0!</v>
      </c>
      <c r="X1442" s="6" t="e">
        <f ca="1">SQRT($B$9*AVERAGE(W1442:OFFSET(W1442,$B$5-1,0)))</f>
        <v>#DIV/0!</v>
      </c>
      <c r="Y1442" s="6" t="e">
        <f ca="1">SQRT($B$9*AVERAGE(W1442:OFFSET(W1442,$B$6-1,0)))</f>
        <v>#DIV/0!</v>
      </c>
      <c r="Z1442" s="6" t="e">
        <f ca="1">SQRT($B$9*AVERAGE(W1442:OFFSET(W1442,$B$7-1,0)))</f>
        <v>#DIV/0!</v>
      </c>
      <c r="AA1442" s="6" t="e">
        <f ca="1">SQRT($B$9*AVERAGE(W1442:OFFSET(W1442,$B$8-1,0)))</f>
        <v>#DIV/0!</v>
      </c>
      <c r="AC1442" s="34" t="e">
        <f t="shared" si="120"/>
        <v>#DIV/0!</v>
      </c>
      <c r="AD1442" s="34" t="e">
        <f ca="1">SQRT($B$9*SUM(AC1442:OFFSET(AC1442,$B$5-1,0))/($B$5-1))</f>
        <v>#DIV/0!</v>
      </c>
      <c r="AE1442" s="34" t="e">
        <f ca="1">SQRT($B$9*SUM(AC1442:OFFSET(AC1442,$B$6-1,0))/($B$6-1))</f>
        <v>#DIV/0!</v>
      </c>
      <c r="AF1442" s="34" t="e">
        <f ca="1">SQRT($B$9*SUM(AC1442:OFFSET(AC1442,$B$7-1,0))/($B$7-1))</f>
        <v>#DIV/0!</v>
      </c>
      <c r="AG1442" s="34" t="e">
        <f ca="1">SQRT($B$9*SUM(AC1442:OFFSET(AC1442,$B$8-1,0))/($B$8-1))</f>
        <v>#DIV/0!</v>
      </c>
      <c r="AI1442" s="1" t="e">
        <f t="shared" si="121"/>
        <v>#DIV/0!</v>
      </c>
      <c r="AJ1442" s="4" t="e">
        <f ca="1">SQRT($B$9)*_xlfn.STDEV.S(AI1442:OFFSET(AI1442,$B$5-1,0))</f>
        <v>#DIV/0!</v>
      </c>
      <c r="AK1442" s="4" t="e">
        <f ca="1">SQRT($B$9)*_xlfn.STDEV.S(AI1442:OFFSET(AI1442,$B$6-1,0))</f>
        <v>#DIV/0!</v>
      </c>
      <c r="AL1442" s="4" t="e">
        <f ca="1">SQRT($B$9)*_xlfn.STDEV.S(AI1442:OFFSET(AI1442,$B$7-1,0))</f>
        <v>#DIV/0!</v>
      </c>
      <c r="AM1442" s="4" t="e">
        <f ca="1">SQRT($B$9)*_xlfn.STDEV.S(AI1442:OFFSET(AI1442,$B$8-1,0))</f>
        <v>#DIV/0!</v>
      </c>
    </row>
    <row r="1443" spans="11:39" x14ac:dyDescent="0.2">
      <c r="K1443" s="3" t="e">
        <f t="shared" si="119"/>
        <v>#DIV/0!</v>
      </c>
      <c r="L1443" s="3" t="e">
        <f ca="1">SQRT(AVERAGE(K1443:OFFSET(K1443,$B$5-1,0))*$B$9/(4*LN(2)))</f>
        <v>#DIV/0!</v>
      </c>
      <c r="M1443" s="3" t="e">
        <f ca="1">SQRT(AVERAGE(K1443:OFFSET(K1443,$B$6-1,0))*$B$9/(4*LN(2)))</f>
        <v>#DIV/0!</v>
      </c>
      <c r="N1443" s="3" t="e">
        <f ca="1">SQRT(AVERAGE(K1443:OFFSET(K1443,$B$7-1,0))*$B$9/(4*LN(2)))</f>
        <v>#DIV/0!</v>
      </c>
      <c r="O1443" s="3" t="e">
        <f ca="1">SQRT(AVERAGE(K1443:OFFSET(K1443,$B$8-1,0))*$B$9/(4*LN(2)))</f>
        <v>#DIV/0!</v>
      </c>
      <c r="Q1443" s="5" t="e">
        <f t="shared" si="118"/>
        <v>#DIV/0!</v>
      </c>
      <c r="R1443" s="5" t="e">
        <f ca="1">SQRT($B$9*AVERAGE((Q1443:OFFSET(Q1443,$B$5-1,0))))</f>
        <v>#DIV/0!</v>
      </c>
      <c r="S1443" s="5" t="e">
        <f ca="1">SQRT($B$9*AVERAGE((Q1443:OFFSET(Q1443,$B$6-1,0))))</f>
        <v>#DIV/0!</v>
      </c>
      <c r="T1443" s="5" t="e">
        <f ca="1">SQRT($B$9*AVERAGE((Q1443:OFFSET(Q1443,$B$7-1,0))))</f>
        <v>#DIV/0!</v>
      </c>
      <c r="U1443" s="5" t="e">
        <f ca="1">SQRT($B$9*AVERAGE((Q1443:OFFSET(Q1443,$B$8-1,0))))</f>
        <v>#DIV/0!</v>
      </c>
      <c r="W1443" s="6" t="e">
        <f t="shared" si="117"/>
        <v>#DIV/0!</v>
      </c>
      <c r="X1443" s="6" t="e">
        <f ca="1">SQRT($B$9*AVERAGE(W1443:OFFSET(W1443,$B$5-1,0)))</f>
        <v>#DIV/0!</v>
      </c>
      <c r="Y1443" s="6" t="e">
        <f ca="1">SQRT($B$9*AVERAGE(W1443:OFFSET(W1443,$B$6-1,0)))</f>
        <v>#DIV/0!</v>
      </c>
      <c r="Z1443" s="6" t="e">
        <f ca="1">SQRT($B$9*AVERAGE(W1443:OFFSET(W1443,$B$7-1,0)))</f>
        <v>#DIV/0!</v>
      </c>
      <c r="AA1443" s="6" t="e">
        <f ca="1">SQRT($B$9*AVERAGE(W1443:OFFSET(W1443,$B$8-1,0)))</f>
        <v>#DIV/0!</v>
      </c>
      <c r="AC1443" s="34" t="e">
        <f t="shared" si="120"/>
        <v>#DIV/0!</v>
      </c>
      <c r="AD1443" s="34" t="e">
        <f ca="1">SQRT($B$9*SUM(AC1443:OFFSET(AC1443,$B$5-1,0))/($B$5-1))</f>
        <v>#DIV/0!</v>
      </c>
      <c r="AE1443" s="34" t="e">
        <f ca="1">SQRT($B$9*SUM(AC1443:OFFSET(AC1443,$B$6-1,0))/($B$6-1))</f>
        <v>#DIV/0!</v>
      </c>
      <c r="AF1443" s="34" t="e">
        <f ca="1">SQRT($B$9*SUM(AC1443:OFFSET(AC1443,$B$7-1,0))/($B$7-1))</f>
        <v>#DIV/0!</v>
      </c>
      <c r="AG1443" s="34" t="e">
        <f ca="1">SQRT($B$9*SUM(AC1443:OFFSET(AC1443,$B$8-1,0))/($B$8-1))</f>
        <v>#DIV/0!</v>
      </c>
      <c r="AI1443" s="1" t="e">
        <f t="shared" si="121"/>
        <v>#DIV/0!</v>
      </c>
      <c r="AJ1443" s="4" t="e">
        <f ca="1">SQRT($B$9)*_xlfn.STDEV.S(AI1443:OFFSET(AI1443,$B$5-1,0))</f>
        <v>#DIV/0!</v>
      </c>
      <c r="AK1443" s="4" t="e">
        <f ca="1">SQRT($B$9)*_xlfn.STDEV.S(AI1443:OFFSET(AI1443,$B$6-1,0))</f>
        <v>#DIV/0!</v>
      </c>
      <c r="AL1443" s="4" t="e">
        <f ca="1">SQRT($B$9)*_xlfn.STDEV.S(AI1443:OFFSET(AI1443,$B$7-1,0))</f>
        <v>#DIV/0!</v>
      </c>
      <c r="AM1443" s="4" t="e">
        <f ca="1">SQRT($B$9)*_xlfn.STDEV.S(AI1443:OFFSET(AI1443,$B$8-1,0))</f>
        <v>#DIV/0!</v>
      </c>
    </row>
    <row r="1444" spans="11:39" x14ac:dyDescent="0.2">
      <c r="K1444" s="3" t="e">
        <f t="shared" si="119"/>
        <v>#DIV/0!</v>
      </c>
      <c r="L1444" s="3" t="e">
        <f ca="1">SQRT(AVERAGE(K1444:OFFSET(K1444,$B$5-1,0))*$B$9/(4*LN(2)))</f>
        <v>#DIV/0!</v>
      </c>
      <c r="M1444" s="3" t="e">
        <f ca="1">SQRT(AVERAGE(K1444:OFFSET(K1444,$B$6-1,0))*$B$9/(4*LN(2)))</f>
        <v>#DIV/0!</v>
      </c>
      <c r="N1444" s="3" t="e">
        <f ca="1">SQRT(AVERAGE(K1444:OFFSET(K1444,$B$7-1,0))*$B$9/(4*LN(2)))</f>
        <v>#DIV/0!</v>
      </c>
      <c r="O1444" s="3" t="e">
        <f ca="1">SQRT(AVERAGE(K1444:OFFSET(K1444,$B$8-1,0))*$B$9/(4*LN(2)))</f>
        <v>#DIV/0!</v>
      </c>
      <c r="Q1444" s="5" t="e">
        <f t="shared" si="118"/>
        <v>#DIV/0!</v>
      </c>
      <c r="R1444" s="5" t="e">
        <f ca="1">SQRT($B$9*AVERAGE((Q1444:OFFSET(Q1444,$B$5-1,0))))</f>
        <v>#DIV/0!</v>
      </c>
      <c r="S1444" s="5" t="e">
        <f ca="1">SQRT($B$9*AVERAGE((Q1444:OFFSET(Q1444,$B$6-1,0))))</f>
        <v>#DIV/0!</v>
      </c>
      <c r="T1444" s="5" t="e">
        <f ca="1">SQRT($B$9*AVERAGE((Q1444:OFFSET(Q1444,$B$7-1,0))))</f>
        <v>#DIV/0!</v>
      </c>
      <c r="U1444" s="5" t="e">
        <f ca="1">SQRT($B$9*AVERAGE((Q1444:OFFSET(Q1444,$B$8-1,0))))</f>
        <v>#DIV/0!</v>
      </c>
      <c r="W1444" s="6" t="e">
        <f t="shared" si="117"/>
        <v>#DIV/0!</v>
      </c>
      <c r="X1444" s="6" t="e">
        <f ca="1">SQRT($B$9*AVERAGE(W1444:OFFSET(W1444,$B$5-1,0)))</f>
        <v>#DIV/0!</v>
      </c>
      <c r="Y1444" s="6" t="e">
        <f ca="1">SQRT($B$9*AVERAGE(W1444:OFFSET(W1444,$B$6-1,0)))</f>
        <v>#DIV/0!</v>
      </c>
      <c r="Z1444" s="6" t="e">
        <f ca="1">SQRT($B$9*AVERAGE(W1444:OFFSET(W1444,$B$7-1,0)))</f>
        <v>#DIV/0!</v>
      </c>
      <c r="AA1444" s="6" t="e">
        <f ca="1">SQRT($B$9*AVERAGE(W1444:OFFSET(W1444,$B$8-1,0)))</f>
        <v>#DIV/0!</v>
      </c>
      <c r="AC1444" s="34" t="e">
        <f t="shared" si="120"/>
        <v>#DIV/0!</v>
      </c>
      <c r="AD1444" s="34" t="e">
        <f ca="1">SQRT($B$9*SUM(AC1444:OFFSET(AC1444,$B$5-1,0))/($B$5-1))</f>
        <v>#DIV/0!</v>
      </c>
      <c r="AE1444" s="34" t="e">
        <f ca="1">SQRT($B$9*SUM(AC1444:OFFSET(AC1444,$B$6-1,0))/($B$6-1))</f>
        <v>#DIV/0!</v>
      </c>
      <c r="AF1444" s="34" t="e">
        <f ca="1">SQRT($B$9*SUM(AC1444:OFFSET(AC1444,$B$7-1,0))/($B$7-1))</f>
        <v>#DIV/0!</v>
      </c>
      <c r="AG1444" s="34" t="e">
        <f ca="1">SQRT($B$9*SUM(AC1444:OFFSET(AC1444,$B$8-1,0))/($B$8-1))</f>
        <v>#DIV/0!</v>
      </c>
      <c r="AI1444" s="1" t="e">
        <f t="shared" si="121"/>
        <v>#DIV/0!</v>
      </c>
      <c r="AJ1444" s="4" t="e">
        <f ca="1">SQRT($B$9)*_xlfn.STDEV.S(AI1444:OFFSET(AI1444,$B$5-1,0))</f>
        <v>#DIV/0!</v>
      </c>
      <c r="AK1444" s="4" t="e">
        <f ca="1">SQRT($B$9)*_xlfn.STDEV.S(AI1444:OFFSET(AI1444,$B$6-1,0))</f>
        <v>#DIV/0!</v>
      </c>
      <c r="AL1444" s="4" t="e">
        <f ca="1">SQRT($B$9)*_xlfn.STDEV.S(AI1444:OFFSET(AI1444,$B$7-1,0))</f>
        <v>#DIV/0!</v>
      </c>
      <c r="AM1444" s="4" t="e">
        <f ca="1">SQRT($B$9)*_xlfn.STDEV.S(AI1444:OFFSET(AI1444,$B$8-1,0))</f>
        <v>#DIV/0!</v>
      </c>
    </row>
    <row r="1445" spans="11:39" x14ac:dyDescent="0.2">
      <c r="K1445" s="3" t="e">
        <f t="shared" si="119"/>
        <v>#DIV/0!</v>
      </c>
      <c r="L1445" s="3" t="e">
        <f ca="1">SQRT(AVERAGE(K1445:OFFSET(K1445,$B$5-1,0))*$B$9/(4*LN(2)))</f>
        <v>#DIV/0!</v>
      </c>
      <c r="M1445" s="3" t="e">
        <f ca="1">SQRT(AVERAGE(K1445:OFFSET(K1445,$B$6-1,0))*$B$9/(4*LN(2)))</f>
        <v>#DIV/0!</v>
      </c>
      <c r="N1445" s="3" t="e">
        <f ca="1">SQRT(AVERAGE(K1445:OFFSET(K1445,$B$7-1,0))*$B$9/(4*LN(2)))</f>
        <v>#DIV/0!</v>
      </c>
      <c r="O1445" s="3" t="e">
        <f ca="1">SQRT(AVERAGE(K1445:OFFSET(K1445,$B$8-1,0))*$B$9/(4*LN(2)))</f>
        <v>#DIV/0!</v>
      </c>
      <c r="Q1445" s="5" t="e">
        <f t="shared" si="118"/>
        <v>#DIV/0!</v>
      </c>
      <c r="R1445" s="5" t="e">
        <f ca="1">SQRT($B$9*AVERAGE((Q1445:OFFSET(Q1445,$B$5-1,0))))</f>
        <v>#DIV/0!</v>
      </c>
      <c r="S1445" s="5" t="e">
        <f ca="1">SQRT($B$9*AVERAGE((Q1445:OFFSET(Q1445,$B$6-1,0))))</f>
        <v>#DIV/0!</v>
      </c>
      <c r="T1445" s="5" t="e">
        <f ca="1">SQRT($B$9*AVERAGE((Q1445:OFFSET(Q1445,$B$7-1,0))))</f>
        <v>#DIV/0!</v>
      </c>
      <c r="U1445" s="5" t="e">
        <f ca="1">SQRT($B$9*AVERAGE((Q1445:OFFSET(Q1445,$B$8-1,0))))</f>
        <v>#DIV/0!</v>
      </c>
      <c r="W1445" s="6" t="e">
        <f t="shared" si="117"/>
        <v>#DIV/0!</v>
      </c>
      <c r="X1445" s="6" t="e">
        <f ca="1">SQRT($B$9*AVERAGE(W1445:OFFSET(W1445,$B$5-1,0)))</f>
        <v>#DIV/0!</v>
      </c>
      <c r="Y1445" s="6" t="e">
        <f ca="1">SQRT($B$9*AVERAGE(W1445:OFFSET(W1445,$B$6-1,0)))</f>
        <v>#DIV/0!</v>
      </c>
      <c r="Z1445" s="6" t="e">
        <f ca="1">SQRT($B$9*AVERAGE(W1445:OFFSET(W1445,$B$7-1,0)))</f>
        <v>#DIV/0!</v>
      </c>
      <c r="AA1445" s="6" t="e">
        <f ca="1">SQRT($B$9*AVERAGE(W1445:OFFSET(W1445,$B$8-1,0)))</f>
        <v>#DIV/0!</v>
      </c>
      <c r="AC1445" s="34" t="e">
        <f t="shared" si="120"/>
        <v>#DIV/0!</v>
      </c>
      <c r="AD1445" s="34" t="e">
        <f ca="1">SQRT($B$9*SUM(AC1445:OFFSET(AC1445,$B$5-1,0))/($B$5-1))</f>
        <v>#DIV/0!</v>
      </c>
      <c r="AE1445" s="34" t="e">
        <f ca="1">SQRT($B$9*SUM(AC1445:OFFSET(AC1445,$B$6-1,0))/($B$6-1))</f>
        <v>#DIV/0!</v>
      </c>
      <c r="AF1445" s="34" t="e">
        <f ca="1">SQRT($B$9*SUM(AC1445:OFFSET(AC1445,$B$7-1,0))/($B$7-1))</f>
        <v>#DIV/0!</v>
      </c>
      <c r="AG1445" s="34" t="e">
        <f ca="1">SQRT($B$9*SUM(AC1445:OFFSET(AC1445,$B$8-1,0))/($B$8-1))</f>
        <v>#DIV/0!</v>
      </c>
      <c r="AI1445" s="1" t="e">
        <f t="shared" si="121"/>
        <v>#DIV/0!</v>
      </c>
      <c r="AJ1445" s="4" t="e">
        <f ca="1">SQRT($B$9)*_xlfn.STDEV.S(AI1445:OFFSET(AI1445,$B$5-1,0))</f>
        <v>#DIV/0!</v>
      </c>
      <c r="AK1445" s="4" t="e">
        <f ca="1">SQRT($B$9)*_xlfn.STDEV.S(AI1445:OFFSET(AI1445,$B$6-1,0))</f>
        <v>#DIV/0!</v>
      </c>
      <c r="AL1445" s="4" t="e">
        <f ca="1">SQRT($B$9)*_xlfn.STDEV.S(AI1445:OFFSET(AI1445,$B$7-1,0))</f>
        <v>#DIV/0!</v>
      </c>
      <c r="AM1445" s="4" t="e">
        <f ca="1">SQRT($B$9)*_xlfn.STDEV.S(AI1445:OFFSET(AI1445,$B$8-1,0))</f>
        <v>#DIV/0!</v>
      </c>
    </row>
    <row r="1446" spans="11:39" x14ac:dyDescent="0.2">
      <c r="K1446" s="3" t="e">
        <f t="shared" si="119"/>
        <v>#DIV/0!</v>
      </c>
      <c r="L1446" s="3" t="e">
        <f ca="1">SQRT(AVERAGE(K1446:OFFSET(K1446,$B$5-1,0))*$B$9/(4*LN(2)))</f>
        <v>#DIV/0!</v>
      </c>
      <c r="M1446" s="3" t="e">
        <f ca="1">SQRT(AVERAGE(K1446:OFFSET(K1446,$B$6-1,0))*$B$9/(4*LN(2)))</f>
        <v>#DIV/0!</v>
      </c>
      <c r="N1446" s="3" t="e">
        <f ca="1">SQRT(AVERAGE(K1446:OFFSET(K1446,$B$7-1,0))*$B$9/(4*LN(2)))</f>
        <v>#DIV/0!</v>
      </c>
      <c r="O1446" s="3" t="e">
        <f ca="1">SQRT(AVERAGE(K1446:OFFSET(K1446,$B$8-1,0))*$B$9/(4*LN(2)))</f>
        <v>#DIV/0!</v>
      </c>
      <c r="Q1446" s="5" t="e">
        <f t="shared" si="118"/>
        <v>#DIV/0!</v>
      </c>
      <c r="R1446" s="5" t="e">
        <f ca="1">SQRT($B$9*AVERAGE((Q1446:OFFSET(Q1446,$B$5-1,0))))</f>
        <v>#DIV/0!</v>
      </c>
      <c r="S1446" s="5" t="e">
        <f ca="1">SQRT($B$9*AVERAGE((Q1446:OFFSET(Q1446,$B$6-1,0))))</f>
        <v>#DIV/0!</v>
      </c>
      <c r="T1446" s="5" t="e">
        <f ca="1">SQRT($B$9*AVERAGE((Q1446:OFFSET(Q1446,$B$7-1,0))))</f>
        <v>#DIV/0!</v>
      </c>
      <c r="U1446" s="5" t="e">
        <f ca="1">SQRT($B$9*AVERAGE((Q1446:OFFSET(Q1446,$B$8-1,0))))</f>
        <v>#DIV/0!</v>
      </c>
      <c r="W1446" s="6" t="e">
        <f t="shared" si="117"/>
        <v>#DIV/0!</v>
      </c>
      <c r="X1446" s="6" t="e">
        <f ca="1">SQRT($B$9*AVERAGE(W1446:OFFSET(W1446,$B$5-1,0)))</f>
        <v>#DIV/0!</v>
      </c>
      <c r="Y1446" s="6" t="e">
        <f ca="1">SQRT($B$9*AVERAGE(W1446:OFFSET(W1446,$B$6-1,0)))</f>
        <v>#DIV/0!</v>
      </c>
      <c r="Z1446" s="6" t="e">
        <f ca="1">SQRT($B$9*AVERAGE(W1446:OFFSET(W1446,$B$7-1,0)))</f>
        <v>#DIV/0!</v>
      </c>
      <c r="AA1446" s="6" t="e">
        <f ca="1">SQRT($B$9*AVERAGE(W1446:OFFSET(W1446,$B$8-1,0)))</f>
        <v>#DIV/0!</v>
      </c>
      <c r="AC1446" s="34" t="e">
        <f t="shared" si="120"/>
        <v>#DIV/0!</v>
      </c>
      <c r="AD1446" s="34" t="e">
        <f ca="1">SQRT($B$9*SUM(AC1446:OFFSET(AC1446,$B$5-1,0))/($B$5-1))</f>
        <v>#DIV/0!</v>
      </c>
      <c r="AE1446" s="34" t="e">
        <f ca="1">SQRT($B$9*SUM(AC1446:OFFSET(AC1446,$B$6-1,0))/($B$6-1))</f>
        <v>#DIV/0!</v>
      </c>
      <c r="AF1446" s="34" t="e">
        <f ca="1">SQRT($B$9*SUM(AC1446:OFFSET(AC1446,$B$7-1,0))/($B$7-1))</f>
        <v>#DIV/0!</v>
      </c>
      <c r="AG1446" s="34" t="e">
        <f ca="1">SQRT($B$9*SUM(AC1446:OFFSET(AC1446,$B$8-1,0))/($B$8-1))</f>
        <v>#DIV/0!</v>
      </c>
      <c r="AI1446" s="1" t="e">
        <f t="shared" si="121"/>
        <v>#DIV/0!</v>
      </c>
      <c r="AJ1446" s="4" t="e">
        <f ca="1">SQRT($B$9)*_xlfn.STDEV.S(AI1446:OFFSET(AI1446,$B$5-1,0))</f>
        <v>#DIV/0!</v>
      </c>
      <c r="AK1446" s="4" t="e">
        <f ca="1">SQRT($B$9)*_xlfn.STDEV.S(AI1446:OFFSET(AI1446,$B$6-1,0))</f>
        <v>#DIV/0!</v>
      </c>
      <c r="AL1446" s="4" t="e">
        <f ca="1">SQRT($B$9)*_xlfn.STDEV.S(AI1446:OFFSET(AI1446,$B$7-1,0))</f>
        <v>#DIV/0!</v>
      </c>
      <c r="AM1446" s="4" t="e">
        <f ca="1">SQRT($B$9)*_xlfn.STDEV.S(AI1446:OFFSET(AI1446,$B$8-1,0))</f>
        <v>#DIV/0!</v>
      </c>
    </row>
    <row r="1447" spans="11:39" x14ac:dyDescent="0.2">
      <c r="K1447" s="3" t="e">
        <f t="shared" si="119"/>
        <v>#DIV/0!</v>
      </c>
      <c r="L1447" s="3" t="e">
        <f ca="1">SQRT(AVERAGE(K1447:OFFSET(K1447,$B$5-1,0))*$B$9/(4*LN(2)))</f>
        <v>#DIV/0!</v>
      </c>
      <c r="M1447" s="3" t="e">
        <f ca="1">SQRT(AVERAGE(K1447:OFFSET(K1447,$B$6-1,0))*$B$9/(4*LN(2)))</f>
        <v>#DIV/0!</v>
      </c>
      <c r="N1447" s="3" t="e">
        <f ca="1">SQRT(AVERAGE(K1447:OFFSET(K1447,$B$7-1,0))*$B$9/(4*LN(2)))</f>
        <v>#DIV/0!</v>
      </c>
      <c r="O1447" s="3" t="e">
        <f ca="1">SQRT(AVERAGE(K1447:OFFSET(K1447,$B$8-1,0))*$B$9/(4*LN(2)))</f>
        <v>#DIV/0!</v>
      </c>
      <c r="Q1447" s="5" t="e">
        <f t="shared" si="118"/>
        <v>#DIV/0!</v>
      </c>
      <c r="R1447" s="5" t="e">
        <f ca="1">SQRT($B$9*AVERAGE((Q1447:OFFSET(Q1447,$B$5-1,0))))</f>
        <v>#DIV/0!</v>
      </c>
      <c r="S1447" s="5" t="e">
        <f ca="1">SQRT($B$9*AVERAGE((Q1447:OFFSET(Q1447,$B$6-1,0))))</f>
        <v>#DIV/0!</v>
      </c>
      <c r="T1447" s="5" t="e">
        <f ca="1">SQRT($B$9*AVERAGE((Q1447:OFFSET(Q1447,$B$7-1,0))))</f>
        <v>#DIV/0!</v>
      </c>
      <c r="U1447" s="5" t="e">
        <f ca="1">SQRT($B$9*AVERAGE((Q1447:OFFSET(Q1447,$B$8-1,0))))</f>
        <v>#DIV/0!</v>
      </c>
      <c r="W1447" s="6" t="e">
        <f t="shared" ref="W1447:W1510" si="122">LN(G1447/I1447)*LN(G1447/F1447)+LN(H1447/I1447)*LN(H1447/F1447)</f>
        <v>#DIV/0!</v>
      </c>
      <c r="X1447" s="6" t="e">
        <f ca="1">SQRT($B$9*AVERAGE(W1447:OFFSET(W1447,$B$5-1,0)))</f>
        <v>#DIV/0!</v>
      </c>
      <c r="Y1447" s="6" t="e">
        <f ca="1">SQRT($B$9*AVERAGE(W1447:OFFSET(W1447,$B$6-1,0)))</f>
        <v>#DIV/0!</v>
      </c>
      <c r="Z1447" s="6" t="e">
        <f ca="1">SQRT($B$9*AVERAGE(W1447:OFFSET(W1447,$B$7-1,0)))</f>
        <v>#DIV/0!</v>
      </c>
      <c r="AA1447" s="6" t="e">
        <f ca="1">SQRT($B$9*AVERAGE(W1447:OFFSET(W1447,$B$8-1,0)))</f>
        <v>#DIV/0!</v>
      </c>
      <c r="AC1447" s="34" t="e">
        <f t="shared" si="120"/>
        <v>#DIV/0!</v>
      </c>
      <c r="AD1447" s="34" t="e">
        <f ca="1">SQRT($B$9*SUM(AC1447:OFFSET(AC1447,$B$5-1,0))/($B$5-1))</f>
        <v>#DIV/0!</v>
      </c>
      <c r="AE1447" s="34" t="e">
        <f ca="1">SQRT($B$9*SUM(AC1447:OFFSET(AC1447,$B$6-1,0))/($B$6-1))</f>
        <v>#DIV/0!</v>
      </c>
      <c r="AF1447" s="34" t="e">
        <f ca="1">SQRT($B$9*SUM(AC1447:OFFSET(AC1447,$B$7-1,0))/($B$7-1))</f>
        <v>#DIV/0!</v>
      </c>
      <c r="AG1447" s="34" t="e">
        <f ca="1">SQRT($B$9*SUM(AC1447:OFFSET(AC1447,$B$8-1,0))/($B$8-1))</f>
        <v>#DIV/0!</v>
      </c>
      <c r="AI1447" s="1" t="e">
        <f t="shared" si="121"/>
        <v>#DIV/0!</v>
      </c>
      <c r="AJ1447" s="4" t="e">
        <f ca="1">SQRT($B$9)*_xlfn.STDEV.S(AI1447:OFFSET(AI1447,$B$5-1,0))</f>
        <v>#DIV/0!</v>
      </c>
      <c r="AK1447" s="4" t="e">
        <f ca="1">SQRT($B$9)*_xlfn.STDEV.S(AI1447:OFFSET(AI1447,$B$6-1,0))</f>
        <v>#DIV/0!</v>
      </c>
      <c r="AL1447" s="4" t="e">
        <f ca="1">SQRT($B$9)*_xlfn.STDEV.S(AI1447:OFFSET(AI1447,$B$7-1,0))</f>
        <v>#DIV/0!</v>
      </c>
      <c r="AM1447" s="4" t="e">
        <f ca="1">SQRT($B$9)*_xlfn.STDEV.S(AI1447:OFFSET(AI1447,$B$8-1,0))</f>
        <v>#DIV/0!</v>
      </c>
    </row>
    <row r="1448" spans="11:39" x14ac:dyDescent="0.2">
      <c r="K1448" s="3" t="e">
        <f t="shared" si="119"/>
        <v>#DIV/0!</v>
      </c>
      <c r="L1448" s="3" t="e">
        <f ca="1">SQRT(AVERAGE(K1448:OFFSET(K1448,$B$5-1,0))*$B$9/(4*LN(2)))</f>
        <v>#DIV/0!</v>
      </c>
      <c r="M1448" s="3" t="e">
        <f ca="1">SQRT(AVERAGE(K1448:OFFSET(K1448,$B$6-1,0))*$B$9/(4*LN(2)))</f>
        <v>#DIV/0!</v>
      </c>
      <c r="N1448" s="3" t="e">
        <f ca="1">SQRT(AVERAGE(K1448:OFFSET(K1448,$B$7-1,0))*$B$9/(4*LN(2)))</f>
        <v>#DIV/0!</v>
      </c>
      <c r="O1448" s="3" t="e">
        <f ca="1">SQRT(AVERAGE(K1448:OFFSET(K1448,$B$8-1,0))*$B$9/(4*LN(2)))</f>
        <v>#DIV/0!</v>
      </c>
      <c r="Q1448" s="5" t="e">
        <f t="shared" si="118"/>
        <v>#DIV/0!</v>
      </c>
      <c r="R1448" s="5" t="e">
        <f ca="1">SQRT($B$9*AVERAGE((Q1448:OFFSET(Q1448,$B$5-1,0))))</f>
        <v>#DIV/0!</v>
      </c>
      <c r="S1448" s="5" t="e">
        <f ca="1">SQRT($B$9*AVERAGE((Q1448:OFFSET(Q1448,$B$6-1,0))))</f>
        <v>#DIV/0!</v>
      </c>
      <c r="T1448" s="5" t="e">
        <f ca="1">SQRT($B$9*AVERAGE((Q1448:OFFSET(Q1448,$B$7-1,0))))</f>
        <v>#DIV/0!</v>
      </c>
      <c r="U1448" s="5" t="e">
        <f ca="1">SQRT($B$9*AVERAGE((Q1448:OFFSET(Q1448,$B$8-1,0))))</f>
        <v>#DIV/0!</v>
      </c>
      <c r="W1448" s="6" t="e">
        <f t="shared" si="122"/>
        <v>#DIV/0!</v>
      </c>
      <c r="X1448" s="6" t="e">
        <f ca="1">SQRT($B$9*AVERAGE(W1448:OFFSET(W1448,$B$5-1,0)))</f>
        <v>#DIV/0!</v>
      </c>
      <c r="Y1448" s="6" t="e">
        <f ca="1">SQRT($B$9*AVERAGE(W1448:OFFSET(W1448,$B$6-1,0)))</f>
        <v>#DIV/0!</v>
      </c>
      <c r="Z1448" s="6" t="e">
        <f ca="1">SQRT($B$9*AVERAGE(W1448:OFFSET(W1448,$B$7-1,0)))</f>
        <v>#DIV/0!</v>
      </c>
      <c r="AA1448" s="6" t="e">
        <f ca="1">SQRT($B$9*AVERAGE(W1448:OFFSET(W1448,$B$8-1,0)))</f>
        <v>#DIV/0!</v>
      </c>
      <c r="AC1448" s="34" t="e">
        <f t="shared" si="120"/>
        <v>#DIV/0!</v>
      </c>
      <c r="AD1448" s="34" t="e">
        <f ca="1">SQRT($B$9*SUM(AC1448:OFFSET(AC1448,$B$5-1,0))/($B$5-1))</f>
        <v>#DIV/0!</v>
      </c>
      <c r="AE1448" s="34" t="e">
        <f ca="1">SQRT($B$9*SUM(AC1448:OFFSET(AC1448,$B$6-1,0))/($B$6-1))</f>
        <v>#DIV/0!</v>
      </c>
      <c r="AF1448" s="34" t="e">
        <f ca="1">SQRT($B$9*SUM(AC1448:OFFSET(AC1448,$B$7-1,0))/($B$7-1))</f>
        <v>#DIV/0!</v>
      </c>
      <c r="AG1448" s="34" t="e">
        <f ca="1">SQRT($B$9*SUM(AC1448:OFFSET(AC1448,$B$8-1,0))/($B$8-1))</f>
        <v>#DIV/0!</v>
      </c>
      <c r="AI1448" s="1" t="e">
        <f t="shared" si="121"/>
        <v>#DIV/0!</v>
      </c>
      <c r="AJ1448" s="4" t="e">
        <f ca="1">SQRT($B$9)*_xlfn.STDEV.S(AI1448:OFFSET(AI1448,$B$5-1,0))</f>
        <v>#DIV/0!</v>
      </c>
      <c r="AK1448" s="4" t="e">
        <f ca="1">SQRT($B$9)*_xlfn.STDEV.S(AI1448:OFFSET(AI1448,$B$6-1,0))</f>
        <v>#DIV/0!</v>
      </c>
      <c r="AL1448" s="4" t="e">
        <f ca="1">SQRT($B$9)*_xlfn.STDEV.S(AI1448:OFFSET(AI1448,$B$7-1,0))</f>
        <v>#DIV/0!</v>
      </c>
      <c r="AM1448" s="4" t="e">
        <f ca="1">SQRT($B$9)*_xlfn.STDEV.S(AI1448:OFFSET(AI1448,$B$8-1,0))</f>
        <v>#DIV/0!</v>
      </c>
    </row>
    <row r="1449" spans="11:39" x14ac:dyDescent="0.2">
      <c r="K1449" s="3" t="e">
        <f t="shared" si="119"/>
        <v>#DIV/0!</v>
      </c>
      <c r="L1449" s="3" t="e">
        <f ca="1">SQRT(AVERAGE(K1449:OFFSET(K1449,$B$5-1,0))*$B$9/(4*LN(2)))</f>
        <v>#DIV/0!</v>
      </c>
      <c r="M1449" s="3" t="e">
        <f ca="1">SQRT(AVERAGE(K1449:OFFSET(K1449,$B$6-1,0))*$B$9/(4*LN(2)))</f>
        <v>#DIV/0!</v>
      </c>
      <c r="N1449" s="3" t="e">
        <f ca="1">SQRT(AVERAGE(K1449:OFFSET(K1449,$B$7-1,0))*$B$9/(4*LN(2)))</f>
        <v>#DIV/0!</v>
      </c>
      <c r="O1449" s="3" t="e">
        <f ca="1">SQRT(AVERAGE(K1449:OFFSET(K1449,$B$8-1,0))*$B$9/(4*LN(2)))</f>
        <v>#DIV/0!</v>
      </c>
      <c r="Q1449" s="5" t="e">
        <f t="shared" si="118"/>
        <v>#DIV/0!</v>
      </c>
      <c r="R1449" s="5" t="e">
        <f ca="1">SQRT($B$9*AVERAGE((Q1449:OFFSET(Q1449,$B$5-1,0))))</f>
        <v>#DIV/0!</v>
      </c>
      <c r="S1449" s="5" t="e">
        <f ca="1">SQRT($B$9*AVERAGE((Q1449:OFFSET(Q1449,$B$6-1,0))))</f>
        <v>#DIV/0!</v>
      </c>
      <c r="T1449" s="5" t="e">
        <f ca="1">SQRT($B$9*AVERAGE((Q1449:OFFSET(Q1449,$B$7-1,0))))</f>
        <v>#DIV/0!</v>
      </c>
      <c r="U1449" s="5" t="e">
        <f ca="1">SQRT($B$9*AVERAGE((Q1449:OFFSET(Q1449,$B$8-1,0))))</f>
        <v>#DIV/0!</v>
      </c>
      <c r="W1449" s="6" t="e">
        <f t="shared" si="122"/>
        <v>#DIV/0!</v>
      </c>
      <c r="X1449" s="6" t="e">
        <f ca="1">SQRT($B$9*AVERAGE(W1449:OFFSET(W1449,$B$5-1,0)))</f>
        <v>#DIV/0!</v>
      </c>
      <c r="Y1449" s="6" t="e">
        <f ca="1">SQRT($B$9*AVERAGE(W1449:OFFSET(W1449,$B$6-1,0)))</f>
        <v>#DIV/0!</v>
      </c>
      <c r="Z1449" s="6" t="e">
        <f ca="1">SQRT($B$9*AVERAGE(W1449:OFFSET(W1449,$B$7-1,0)))</f>
        <v>#DIV/0!</v>
      </c>
      <c r="AA1449" s="6" t="e">
        <f ca="1">SQRT($B$9*AVERAGE(W1449:OFFSET(W1449,$B$8-1,0)))</f>
        <v>#DIV/0!</v>
      </c>
      <c r="AC1449" s="34" t="e">
        <f t="shared" si="120"/>
        <v>#DIV/0!</v>
      </c>
      <c r="AD1449" s="34" t="e">
        <f ca="1">SQRT($B$9*SUM(AC1449:OFFSET(AC1449,$B$5-1,0))/($B$5-1))</f>
        <v>#DIV/0!</v>
      </c>
      <c r="AE1449" s="34" t="e">
        <f ca="1">SQRT($B$9*SUM(AC1449:OFFSET(AC1449,$B$6-1,0))/($B$6-1))</f>
        <v>#DIV/0!</v>
      </c>
      <c r="AF1449" s="34" t="e">
        <f ca="1">SQRT($B$9*SUM(AC1449:OFFSET(AC1449,$B$7-1,0))/($B$7-1))</f>
        <v>#DIV/0!</v>
      </c>
      <c r="AG1449" s="34" t="e">
        <f ca="1">SQRT($B$9*SUM(AC1449:OFFSET(AC1449,$B$8-1,0))/($B$8-1))</f>
        <v>#DIV/0!</v>
      </c>
      <c r="AI1449" s="1" t="e">
        <f t="shared" si="121"/>
        <v>#DIV/0!</v>
      </c>
      <c r="AJ1449" s="4" t="e">
        <f ca="1">SQRT($B$9)*_xlfn.STDEV.S(AI1449:OFFSET(AI1449,$B$5-1,0))</f>
        <v>#DIV/0!</v>
      </c>
      <c r="AK1449" s="4" t="e">
        <f ca="1">SQRT($B$9)*_xlfn.STDEV.S(AI1449:OFFSET(AI1449,$B$6-1,0))</f>
        <v>#DIV/0!</v>
      </c>
      <c r="AL1449" s="4" t="e">
        <f ca="1">SQRT($B$9)*_xlfn.STDEV.S(AI1449:OFFSET(AI1449,$B$7-1,0))</f>
        <v>#DIV/0!</v>
      </c>
      <c r="AM1449" s="4" t="e">
        <f ca="1">SQRT($B$9)*_xlfn.STDEV.S(AI1449:OFFSET(AI1449,$B$8-1,0))</f>
        <v>#DIV/0!</v>
      </c>
    </row>
    <row r="1450" spans="11:39" x14ac:dyDescent="0.2">
      <c r="K1450" s="3" t="e">
        <f t="shared" si="119"/>
        <v>#DIV/0!</v>
      </c>
      <c r="L1450" s="3" t="e">
        <f ca="1">SQRT(AVERAGE(K1450:OFFSET(K1450,$B$5-1,0))*$B$9/(4*LN(2)))</f>
        <v>#DIV/0!</v>
      </c>
      <c r="M1450" s="3" t="e">
        <f ca="1">SQRT(AVERAGE(K1450:OFFSET(K1450,$B$6-1,0))*$B$9/(4*LN(2)))</f>
        <v>#DIV/0!</v>
      </c>
      <c r="N1450" s="3" t="e">
        <f ca="1">SQRT(AVERAGE(K1450:OFFSET(K1450,$B$7-1,0))*$B$9/(4*LN(2)))</f>
        <v>#DIV/0!</v>
      </c>
      <c r="O1450" s="3" t="e">
        <f ca="1">SQRT(AVERAGE(K1450:OFFSET(K1450,$B$8-1,0))*$B$9/(4*LN(2)))</f>
        <v>#DIV/0!</v>
      </c>
      <c r="Q1450" s="5" t="e">
        <f t="shared" si="118"/>
        <v>#DIV/0!</v>
      </c>
      <c r="R1450" s="5" t="e">
        <f ca="1">SQRT($B$9*AVERAGE((Q1450:OFFSET(Q1450,$B$5-1,0))))</f>
        <v>#DIV/0!</v>
      </c>
      <c r="S1450" s="5" t="e">
        <f ca="1">SQRT($B$9*AVERAGE((Q1450:OFFSET(Q1450,$B$6-1,0))))</f>
        <v>#DIV/0!</v>
      </c>
      <c r="T1450" s="5" t="e">
        <f ca="1">SQRT($B$9*AVERAGE((Q1450:OFFSET(Q1450,$B$7-1,0))))</f>
        <v>#DIV/0!</v>
      </c>
      <c r="U1450" s="5" t="e">
        <f ca="1">SQRT($B$9*AVERAGE((Q1450:OFFSET(Q1450,$B$8-1,0))))</f>
        <v>#DIV/0!</v>
      </c>
      <c r="W1450" s="6" t="e">
        <f t="shared" si="122"/>
        <v>#DIV/0!</v>
      </c>
      <c r="X1450" s="6" t="e">
        <f ca="1">SQRT($B$9*AVERAGE(W1450:OFFSET(W1450,$B$5-1,0)))</f>
        <v>#DIV/0!</v>
      </c>
      <c r="Y1450" s="6" t="e">
        <f ca="1">SQRT($B$9*AVERAGE(W1450:OFFSET(W1450,$B$6-1,0)))</f>
        <v>#DIV/0!</v>
      </c>
      <c r="Z1450" s="6" t="e">
        <f ca="1">SQRT($B$9*AVERAGE(W1450:OFFSET(W1450,$B$7-1,0)))</f>
        <v>#DIV/0!</v>
      </c>
      <c r="AA1450" s="6" t="e">
        <f ca="1">SQRT($B$9*AVERAGE(W1450:OFFSET(W1450,$B$8-1,0)))</f>
        <v>#DIV/0!</v>
      </c>
      <c r="AC1450" s="34" t="e">
        <f t="shared" si="120"/>
        <v>#DIV/0!</v>
      </c>
      <c r="AD1450" s="34" t="e">
        <f ca="1">SQRT($B$9*SUM(AC1450:OFFSET(AC1450,$B$5-1,0))/($B$5-1))</f>
        <v>#DIV/0!</v>
      </c>
      <c r="AE1450" s="34" t="e">
        <f ca="1">SQRT($B$9*SUM(AC1450:OFFSET(AC1450,$B$6-1,0))/($B$6-1))</f>
        <v>#DIV/0!</v>
      </c>
      <c r="AF1450" s="34" t="e">
        <f ca="1">SQRT($B$9*SUM(AC1450:OFFSET(AC1450,$B$7-1,0))/($B$7-1))</f>
        <v>#DIV/0!</v>
      </c>
      <c r="AG1450" s="34" t="e">
        <f ca="1">SQRT($B$9*SUM(AC1450:OFFSET(AC1450,$B$8-1,0))/($B$8-1))</f>
        <v>#DIV/0!</v>
      </c>
      <c r="AI1450" s="1" t="e">
        <f t="shared" si="121"/>
        <v>#DIV/0!</v>
      </c>
      <c r="AJ1450" s="4" t="e">
        <f ca="1">SQRT($B$9)*_xlfn.STDEV.S(AI1450:OFFSET(AI1450,$B$5-1,0))</f>
        <v>#DIV/0!</v>
      </c>
      <c r="AK1450" s="4" t="e">
        <f ca="1">SQRT($B$9)*_xlfn.STDEV.S(AI1450:OFFSET(AI1450,$B$6-1,0))</f>
        <v>#DIV/0!</v>
      </c>
      <c r="AL1450" s="4" t="e">
        <f ca="1">SQRT($B$9)*_xlfn.STDEV.S(AI1450:OFFSET(AI1450,$B$7-1,0))</f>
        <v>#DIV/0!</v>
      </c>
      <c r="AM1450" s="4" t="e">
        <f ca="1">SQRT($B$9)*_xlfn.STDEV.S(AI1450:OFFSET(AI1450,$B$8-1,0))</f>
        <v>#DIV/0!</v>
      </c>
    </row>
    <row r="1451" spans="11:39" x14ac:dyDescent="0.2">
      <c r="K1451" s="3" t="e">
        <f t="shared" si="119"/>
        <v>#DIV/0!</v>
      </c>
      <c r="L1451" s="3" t="e">
        <f ca="1">SQRT(AVERAGE(K1451:OFFSET(K1451,$B$5-1,0))*$B$9/(4*LN(2)))</f>
        <v>#DIV/0!</v>
      </c>
      <c r="M1451" s="3" t="e">
        <f ca="1">SQRT(AVERAGE(K1451:OFFSET(K1451,$B$6-1,0))*$B$9/(4*LN(2)))</f>
        <v>#DIV/0!</v>
      </c>
      <c r="N1451" s="3" t="e">
        <f ca="1">SQRT(AVERAGE(K1451:OFFSET(K1451,$B$7-1,0))*$B$9/(4*LN(2)))</f>
        <v>#DIV/0!</v>
      </c>
      <c r="O1451" s="3" t="e">
        <f ca="1">SQRT(AVERAGE(K1451:OFFSET(K1451,$B$8-1,0))*$B$9/(4*LN(2)))</f>
        <v>#DIV/0!</v>
      </c>
      <c r="Q1451" s="5" t="e">
        <f t="shared" si="118"/>
        <v>#DIV/0!</v>
      </c>
      <c r="R1451" s="5" t="e">
        <f ca="1">SQRT($B$9*AVERAGE((Q1451:OFFSET(Q1451,$B$5-1,0))))</f>
        <v>#DIV/0!</v>
      </c>
      <c r="S1451" s="5" t="e">
        <f ca="1">SQRT($B$9*AVERAGE((Q1451:OFFSET(Q1451,$B$6-1,0))))</f>
        <v>#DIV/0!</v>
      </c>
      <c r="T1451" s="5" t="e">
        <f ca="1">SQRT($B$9*AVERAGE((Q1451:OFFSET(Q1451,$B$7-1,0))))</f>
        <v>#DIV/0!</v>
      </c>
      <c r="U1451" s="5" t="e">
        <f ca="1">SQRT($B$9*AVERAGE((Q1451:OFFSET(Q1451,$B$8-1,0))))</f>
        <v>#DIV/0!</v>
      </c>
      <c r="W1451" s="6" t="e">
        <f t="shared" si="122"/>
        <v>#DIV/0!</v>
      </c>
      <c r="X1451" s="6" t="e">
        <f ca="1">SQRT($B$9*AVERAGE(W1451:OFFSET(W1451,$B$5-1,0)))</f>
        <v>#DIV/0!</v>
      </c>
      <c r="Y1451" s="6" t="e">
        <f ca="1">SQRT($B$9*AVERAGE(W1451:OFFSET(W1451,$B$6-1,0)))</f>
        <v>#DIV/0!</v>
      </c>
      <c r="Z1451" s="6" t="e">
        <f ca="1">SQRT($B$9*AVERAGE(W1451:OFFSET(W1451,$B$7-1,0)))</f>
        <v>#DIV/0!</v>
      </c>
      <c r="AA1451" s="6" t="e">
        <f ca="1">SQRT($B$9*AVERAGE(W1451:OFFSET(W1451,$B$8-1,0)))</f>
        <v>#DIV/0!</v>
      </c>
      <c r="AC1451" s="34" t="e">
        <f t="shared" si="120"/>
        <v>#DIV/0!</v>
      </c>
      <c r="AD1451" s="34" t="e">
        <f ca="1">SQRT($B$9*SUM(AC1451:OFFSET(AC1451,$B$5-1,0))/($B$5-1))</f>
        <v>#DIV/0!</v>
      </c>
      <c r="AE1451" s="34" t="e">
        <f ca="1">SQRT($B$9*SUM(AC1451:OFFSET(AC1451,$B$6-1,0))/($B$6-1))</f>
        <v>#DIV/0!</v>
      </c>
      <c r="AF1451" s="34" t="e">
        <f ca="1">SQRT($B$9*SUM(AC1451:OFFSET(AC1451,$B$7-1,0))/($B$7-1))</f>
        <v>#DIV/0!</v>
      </c>
      <c r="AG1451" s="34" t="e">
        <f ca="1">SQRT($B$9*SUM(AC1451:OFFSET(AC1451,$B$8-1,0))/($B$8-1))</f>
        <v>#DIV/0!</v>
      </c>
      <c r="AI1451" s="1" t="e">
        <f t="shared" si="121"/>
        <v>#DIV/0!</v>
      </c>
      <c r="AJ1451" s="4" t="e">
        <f ca="1">SQRT($B$9)*_xlfn.STDEV.S(AI1451:OFFSET(AI1451,$B$5-1,0))</f>
        <v>#DIV/0!</v>
      </c>
      <c r="AK1451" s="4" t="e">
        <f ca="1">SQRT($B$9)*_xlfn.STDEV.S(AI1451:OFFSET(AI1451,$B$6-1,0))</f>
        <v>#DIV/0!</v>
      </c>
      <c r="AL1451" s="4" t="e">
        <f ca="1">SQRT($B$9)*_xlfn.STDEV.S(AI1451:OFFSET(AI1451,$B$7-1,0))</f>
        <v>#DIV/0!</v>
      </c>
      <c r="AM1451" s="4" t="e">
        <f ca="1">SQRT($B$9)*_xlfn.STDEV.S(AI1451:OFFSET(AI1451,$B$8-1,0))</f>
        <v>#DIV/0!</v>
      </c>
    </row>
    <row r="1452" spans="11:39" x14ac:dyDescent="0.2">
      <c r="K1452" s="3" t="e">
        <f t="shared" si="119"/>
        <v>#DIV/0!</v>
      </c>
      <c r="L1452" s="3" t="e">
        <f ca="1">SQRT(AVERAGE(K1452:OFFSET(K1452,$B$5-1,0))*$B$9/(4*LN(2)))</f>
        <v>#DIV/0!</v>
      </c>
      <c r="M1452" s="3" t="e">
        <f ca="1">SQRT(AVERAGE(K1452:OFFSET(K1452,$B$6-1,0))*$B$9/(4*LN(2)))</f>
        <v>#DIV/0!</v>
      </c>
      <c r="N1452" s="3" t="e">
        <f ca="1">SQRT(AVERAGE(K1452:OFFSET(K1452,$B$7-1,0))*$B$9/(4*LN(2)))</f>
        <v>#DIV/0!</v>
      </c>
      <c r="O1452" s="3" t="e">
        <f ca="1">SQRT(AVERAGE(K1452:OFFSET(K1452,$B$8-1,0))*$B$9/(4*LN(2)))</f>
        <v>#DIV/0!</v>
      </c>
      <c r="Q1452" s="5" t="e">
        <f t="shared" si="118"/>
        <v>#DIV/0!</v>
      </c>
      <c r="R1452" s="5" t="e">
        <f ca="1">SQRT($B$9*AVERAGE((Q1452:OFFSET(Q1452,$B$5-1,0))))</f>
        <v>#DIV/0!</v>
      </c>
      <c r="S1452" s="5" t="e">
        <f ca="1">SQRT($B$9*AVERAGE((Q1452:OFFSET(Q1452,$B$6-1,0))))</f>
        <v>#DIV/0!</v>
      </c>
      <c r="T1452" s="5" t="e">
        <f ca="1">SQRT($B$9*AVERAGE((Q1452:OFFSET(Q1452,$B$7-1,0))))</f>
        <v>#DIV/0!</v>
      </c>
      <c r="U1452" s="5" t="e">
        <f ca="1">SQRT($B$9*AVERAGE((Q1452:OFFSET(Q1452,$B$8-1,0))))</f>
        <v>#DIV/0!</v>
      </c>
      <c r="W1452" s="6" t="e">
        <f t="shared" si="122"/>
        <v>#DIV/0!</v>
      </c>
      <c r="X1452" s="6" t="e">
        <f ca="1">SQRT($B$9*AVERAGE(W1452:OFFSET(W1452,$B$5-1,0)))</f>
        <v>#DIV/0!</v>
      </c>
      <c r="Y1452" s="6" t="e">
        <f ca="1">SQRT($B$9*AVERAGE(W1452:OFFSET(W1452,$B$6-1,0)))</f>
        <v>#DIV/0!</v>
      </c>
      <c r="Z1452" s="6" t="e">
        <f ca="1">SQRT($B$9*AVERAGE(W1452:OFFSET(W1452,$B$7-1,0)))</f>
        <v>#DIV/0!</v>
      </c>
      <c r="AA1452" s="6" t="e">
        <f ca="1">SQRT($B$9*AVERAGE(W1452:OFFSET(W1452,$B$8-1,0)))</f>
        <v>#DIV/0!</v>
      </c>
      <c r="AC1452" s="34" t="e">
        <f t="shared" si="120"/>
        <v>#DIV/0!</v>
      </c>
      <c r="AD1452" s="34" t="e">
        <f ca="1">SQRT($B$9*SUM(AC1452:OFFSET(AC1452,$B$5-1,0))/($B$5-1))</f>
        <v>#DIV/0!</v>
      </c>
      <c r="AE1452" s="34" t="e">
        <f ca="1">SQRT($B$9*SUM(AC1452:OFFSET(AC1452,$B$6-1,0))/($B$6-1))</f>
        <v>#DIV/0!</v>
      </c>
      <c r="AF1452" s="34" t="e">
        <f ca="1">SQRT($B$9*SUM(AC1452:OFFSET(AC1452,$B$7-1,0))/($B$7-1))</f>
        <v>#DIV/0!</v>
      </c>
      <c r="AG1452" s="34" t="e">
        <f ca="1">SQRT($B$9*SUM(AC1452:OFFSET(AC1452,$B$8-1,0))/($B$8-1))</f>
        <v>#DIV/0!</v>
      </c>
      <c r="AI1452" s="1" t="e">
        <f t="shared" si="121"/>
        <v>#DIV/0!</v>
      </c>
      <c r="AJ1452" s="4" t="e">
        <f ca="1">SQRT($B$9)*_xlfn.STDEV.S(AI1452:OFFSET(AI1452,$B$5-1,0))</f>
        <v>#DIV/0!</v>
      </c>
      <c r="AK1452" s="4" t="e">
        <f ca="1">SQRT($B$9)*_xlfn.STDEV.S(AI1452:OFFSET(AI1452,$B$6-1,0))</f>
        <v>#DIV/0!</v>
      </c>
      <c r="AL1452" s="4" t="e">
        <f ca="1">SQRT($B$9)*_xlfn.STDEV.S(AI1452:OFFSET(AI1452,$B$7-1,0))</f>
        <v>#DIV/0!</v>
      </c>
      <c r="AM1452" s="4" t="e">
        <f ca="1">SQRT($B$9)*_xlfn.STDEV.S(AI1452:OFFSET(AI1452,$B$8-1,0))</f>
        <v>#DIV/0!</v>
      </c>
    </row>
    <row r="1453" spans="11:39" x14ac:dyDescent="0.2">
      <c r="K1453" s="3" t="e">
        <f t="shared" si="119"/>
        <v>#DIV/0!</v>
      </c>
      <c r="L1453" s="3" t="e">
        <f ca="1">SQRT(AVERAGE(K1453:OFFSET(K1453,$B$5-1,0))*$B$9/(4*LN(2)))</f>
        <v>#DIV/0!</v>
      </c>
      <c r="M1453" s="3" t="e">
        <f ca="1">SQRT(AVERAGE(K1453:OFFSET(K1453,$B$6-1,0))*$B$9/(4*LN(2)))</f>
        <v>#DIV/0!</v>
      </c>
      <c r="N1453" s="3" t="e">
        <f ca="1">SQRT(AVERAGE(K1453:OFFSET(K1453,$B$7-1,0))*$B$9/(4*LN(2)))</f>
        <v>#DIV/0!</v>
      </c>
      <c r="O1453" s="3" t="e">
        <f ca="1">SQRT(AVERAGE(K1453:OFFSET(K1453,$B$8-1,0))*$B$9/(4*LN(2)))</f>
        <v>#DIV/0!</v>
      </c>
      <c r="Q1453" s="5" t="e">
        <f t="shared" si="118"/>
        <v>#DIV/0!</v>
      </c>
      <c r="R1453" s="5" t="e">
        <f ca="1">SQRT($B$9*AVERAGE((Q1453:OFFSET(Q1453,$B$5-1,0))))</f>
        <v>#DIV/0!</v>
      </c>
      <c r="S1453" s="5" t="e">
        <f ca="1">SQRT($B$9*AVERAGE((Q1453:OFFSET(Q1453,$B$6-1,0))))</f>
        <v>#DIV/0!</v>
      </c>
      <c r="T1453" s="5" t="e">
        <f ca="1">SQRT($B$9*AVERAGE((Q1453:OFFSET(Q1453,$B$7-1,0))))</f>
        <v>#DIV/0!</v>
      </c>
      <c r="U1453" s="5" t="e">
        <f ca="1">SQRT($B$9*AVERAGE((Q1453:OFFSET(Q1453,$B$8-1,0))))</f>
        <v>#DIV/0!</v>
      </c>
      <c r="W1453" s="6" t="e">
        <f t="shared" si="122"/>
        <v>#DIV/0!</v>
      </c>
      <c r="X1453" s="6" t="e">
        <f ca="1">SQRT($B$9*AVERAGE(W1453:OFFSET(W1453,$B$5-1,0)))</f>
        <v>#DIV/0!</v>
      </c>
      <c r="Y1453" s="6" t="e">
        <f ca="1">SQRT($B$9*AVERAGE(W1453:OFFSET(W1453,$B$6-1,0)))</f>
        <v>#DIV/0!</v>
      </c>
      <c r="Z1453" s="6" t="e">
        <f ca="1">SQRT($B$9*AVERAGE(W1453:OFFSET(W1453,$B$7-1,0)))</f>
        <v>#DIV/0!</v>
      </c>
      <c r="AA1453" s="6" t="e">
        <f ca="1">SQRT($B$9*AVERAGE(W1453:OFFSET(W1453,$B$8-1,0)))</f>
        <v>#DIV/0!</v>
      </c>
      <c r="AC1453" s="34" t="e">
        <f t="shared" si="120"/>
        <v>#DIV/0!</v>
      </c>
      <c r="AD1453" s="34" t="e">
        <f ca="1">SQRT($B$9*SUM(AC1453:OFFSET(AC1453,$B$5-1,0))/($B$5-1))</f>
        <v>#DIV/0!</v>
      </c>
      <c r="AE1453" s="34" t="e">
        <f ca="1">SQRT($B$9*SUM(AC1453:OFFSET(AC1453,$B$6-1,0))/($B$6-1))</f>
        <v>#DIV/0!</v>
      </c>
      <c r="AF1453" s="34" t="e">
        <f ca="1">SQRT($B$9*SUM(AC1453:OFFSET(AC1453,$B$7-1,0))/($B$7-1))</f>
        <v>#DIV/0!</v>
      </c>
      <c r="AG1453" s="34" t="e">
        <f ca="1">SQRT($B$9*SUM(AC1453:OFFSET(AC1453,$B$8-1,0))/($B$8-1))</f>
        <v>#DIV/0!</v>
      </c>
      <c r="AI1453" s="1" t="e">
        <f t="shared" si="121"/>
        <v>#DIV/0!</v>
      </c>
      <c r="AJ1453" s="4" t="e">
        <f ca="1">SQRT($B$9)*_xlfn.STDEV.S(AI1453:OFFSET(AI1453,$B$5-1,0))</f>
        <v>#DIV/0!</v>
      </c>
      <c r="AK1453" s="4" t="e">
        <f ca="1">SQRT($B$9)*_xlfn.STDEV.S(AI1453:OFFSET(AI1453,$B$6-1,0))</f>
        <v>#DIV/0!</v>
      </c>
      <c r="AL1453" s="4" t="e">
        <f ca="1">SQRT($B$9)*_xlfn.STDEV.S(AI1453:OFFSET(AI1453,$B$7-1,0))</f>
        <v>#DIV/0!</v>
      </c>
      <c r="AM1453" s="4" t="e">
        <f ca="1">SQRT($B$9)*_xlfn.STDEV.S(AI1453:OFFSET(AI1453,$B$8-1,0))</f>
        <v>#DIV/0!</v>
      </c>
    </row>
    <row r="1454" spans="11:39" x14ac:dyDescent="0.2">
      <c r="K1454" s="3" t="e">
        <f t="shared" si="119"/>
        <v>#DIV/0!</v>
      </c>
      <c r="L1454" s="3" t="e">
        <f ca="1">SQRT(AVERAGE(K1454:OFFSET(K1454,$B$5-1,0))*$B$9/(4*LN(2)))</f>
        <v>#DIV/0!</v>
      </c>
      <c r="M1454" s="3" t="e">
        <f ca="1">SQRT(AVERAGE(K1454:OFFSET(K1454,$B$6-1,0))*$B$9/(4*LN(2)))</f>
        <v>#DIV/0!</v>
      </c>
      <c r="N1454" s="3" t="e">
        <f ca="1">SQRT(AVERAGE(K1454:OFFSET(K1454,$B$7-1,0))*$B$9/(4*LN(2)))</f>
        <v>#DIV/0!</v>
      </c>
      <c r="O1454" s="3" t="e">
        <f ca="1">SQRT(AVERAGE(K1454:OFFSET(K1454,$B$8-1,0))*$B$9/(4*LN(2)))</f>
        <v>#DIV/0!</v>
      </c>
      <c r="Q1454" s="5" t="e">
        <f t="shared" si="118"/>
        <v>#DIV/0!</v>
      </c>
      <c r="R1454" s="5" t="e">
        <f ca="1">SQRT($B$9*AVERAGE((Q1454:OFFSET(Q1454,$B$5-1,0))))</f>
        <v>#DIV/0!</v>
      </c>
      <c r="S1454" s="5" t="e">
        <f ca="1">SQRT($B$9*AVERAGE((Q1454:OFFSET(Q1454,$B$6-1,0))))</f>
        <v>#DIV/0!</v>
      </c>
      <c r="T1454" s="5" t="e">
        <f ca="1">SQRT($B$9*AVERAGE((Q1454:OFFSET(Q1454,$B$7-1,0))))</f>
        <v>#DIV/0!</v>
      </c>
      <c r="U1454" s="5" t="e">
        <f ca="1">SQRT($B$9*AVERAGE((Q1454:OFFSET(Q1454,$B$8-1,0))))</f>
        <v>#DIV/0!</v>
      </c>
      <c r="W1454" s="6" t="e">
        <f t="shared" si="122"/>
        <v>#DIV/0!</v>
      </c>
      <c r="X1454" s="6" t="e">
        <f ca="1">SQRT($B$9*AVERAGE(W1454:OFFSET(W1454,$B$5-1,0)))</f>
        <v>#DIV/0!</v>
      </c>
      <c r="Y1454" s="6" t="e">
        <f ca="1">SQRT($B$9*AVERAGE(W1454:OFFSET(W1454,$B$6-1,0)))</f>
        <v>#DIV/0!</v>
      </c>
      <c r="Z1454" s="6" t="e">
        <f ca="1">SQRT($B$9*AVERAGE(W1454:OFFSET(W1454,$B$7-1,0)))</f>
        <v>#DIV/0!</v>
      </c>
      <c r="AA1454" s="6" t="e">
        <f ca="1">SQRT($B$9*AVERAGE(W1454:OFFSET(W1454,$B$8-1,0)))</f>
        <v>#DIV/0!</v>
      </c>
      <c r="AC1454" s="34" t="e">
        <f t="shared" si="120"/>
        <v>#DIV/0!</v>
      </c>
      <c r="AD1454" s="34" t="e">
        <f ca="1">SQRT($B$9*SUM(AC1454:OFFSET(AC1454,$B$5-1,0))/($B$5-1))</f>
        <v>#DIV/0!</v>
      </c>
      <c r="AE1454" s="34" t="e">
        <f ca="1">SQRT($B$9*SUM(AC1454:OFFSET(AC1454,$B$6-1,0))/($B$6-1))</f>
        <v>#DIV/0!</v>
      </c>
      <c r="AF1454" s="34" t="e">
        <f ca="1">SQRT($B$9*SUM(AC1454:OFFSET(AC1454,$B$7-1,0))/($B$7-1))</f>
        <v>#DIV/0!</v>
      </c>
      <c r="AG1454" s="34" t="e">
        <f ca="1">SQRT($B$9*SUM(AC1454:OFFSET(AC1454,$B$8-1,0))/($B$8-1))</f>
        <v>#DIV/0!</v>
      </c>
      <c r="AI1454" s="1" t="e">
        <f t="shared" si="121"/>
        <v>#DIV/0!</v>
      </c>
      <c r="AJ1454" s="4" t="e">
        <f ca="1">SQRT($B$9)*_xlfn.STDEV.S(AI1454:OFFSET(AI1454,$B$5-1,0))</f>
        <v>#DIV/0!</v>
      </c>
      <c r="AK1454" s="4" t="e">
        <f ca="1">SQRT($B$9)*_xlfn.STDEV.S(AI1454:OFFSET(AI1454,$B$6-1,0))</f>
        <v>#DIV/0!</v>
      </c>
      <c r="AL1454" s="4" t="e">
        <f ca="1">SQRT($B$9)*_xlfn.STDEV.S(AI1454:OFFSET(AI1454,$B$7-1,0))</f>
        <v>#DIV/0!</v>
      </c>
      <c r="AM1454" s="4" t="e">
        <f ca="1">SQRT($B$9)*_xlfn.STDEV.S(AI1454:OFFSET(AI1454,$B$8-1,0))</f>
        <v>#DIV/0!</v>
      </c>
    </row>
    <row r="1455" spans="11:39" x14ac:dyDescent="0.2">
      <c r="K1455" s="3" t="e">
        <f t="shared" si="119"/>
        <v>#DIV/0!</v>
      </c>
      <c r="L1455" s="3" t="e">
        <f ca="1">SQRT(AVERAGE(K1455:OFFSET(K1455,$B$5-1,0))*$B$9/(4*LN(2)))</f>
        <v>#DIV/0!</v>
      </c>
      <c r="M1455" s="3" t="e">
        <f ca="1">SQRT(AVERAGE(K1455:OFFSET(K1455,$B$6-1,0))*$B$9/(4*LN(2)))</f>
        <v>#DIV/0!</v>
      </c>
      <c r="N1455" s="3" t="e">
        <f ca="1">SQRT(AVERAGE(K1455:OFFSET(K1455,$B$7-1,0))*$B$9/(4*LN(2)))</f>
        <v>#DIV/0!</v>
      </c>
      <c r="O1455" s="3" t="e">
        <f ca="1">SQRT(AVERAGE(K1455:OFFSET(K1455,$B$8-1,0))*$B$9/(4*LN(2)))</f>
        <v>#DIV/0!</v>
      </c>
      <c r="Q1455" s="5" t="e">
        <f t="shared" si="118"/>
        <v>#DIV/0!</v>
      </c>
      <c r="R1455" s="5" t="e">
        <f ca="1">SQRT($B$9*AVERAGE((Q1455:OFFSET(Q1455,$B$5-1,0))))</f>
        <v>#DIV/0!</v>
      </c>
      <c r="S1455" s="5" t="e">
        <f ca="1">SQRT($B$9*AVERAGE((Q1455:OFFSET(Q1455,$B$6-1,0))))</f>
        <v>#DIV/0!</v>
      </c>
      <c r="T1455" s="5" t="e">
        <f ca="1">SQRT($B$9*AVERAGE((Q1455:OFFSET(Q1455,$B$7-1,0))))</f>
        <v>#DIV/0!</v>
      </c>
      <c r="U1455" s="5" t="e">
        <f ca="1">SQRT($B$9*AVERAGE((Q1455:OFFSET(Q1455,$B$8-1,0))))</f>
        <v>#DIV/0!</v>
      </c>
      <c r="W1455" s="6" t="e">
        <f t="shared" si="122"/>
        <v>#DIV/0!</v>
      </c>
      <c r="X1455" s="6" t="e">
        <f ca="1">SQRT($B$9*AVERAGE(W1455:OFFSET(W1455,$B$5-1,0)))</f>
        <v>#DIV/0!</v>
      </c>
      <c r="Y1455" s="6" t="e">
        <f ca="1">SQRT($B$9*AVERAGE(W1455:OFFSET(W1455,$B$6-1,0)))</f>
        <v>#DIV/0!</v>
      </c>
      <c r="Z1455" s="6" t="e">
        <f ca="1">SQRT($B$9*AVERAGE(W1455:OFFSET(W1455,$B$7-1,0)))</f>
        <v>#DIV/0!</v>
      </c>
      <c r="AA1455" s="6" t="e">
        <f ca="1">SQRT($B$9*AVERAGE(W1455:OFFSET(W1455,$B$8-1,0)))</f>
        <v>#DIV/0!</v>
      </c>
      <c r="AC1455" s="34" t="e">
        <f t="shared" si="120"/>
        <v>#DIV/0!</v>
      </c>
      <c r="AD1455" s="34" t="e">
        <f ca="1">SQRT($B$9*SUM(AC1455:OFFSET(AC1455,$B$5-1,0))/($B$5-1))</f>
        <v>#DIV/0!</v>
      </c>
      <c r="AE1455" s="34" t="e">
        <f ca="1">SQRT($B$9*SUM(AC1455:OFFSET(AC1455,$B$6-1,0))/($B$6-1))</f>
        <v>#DIV/0!</v>
      </c>
      <c r="AF1455" s="34" t="e">
        <f ca="1">SQRT($B$9*SUM(AC1455:OFFSET(AC1455,$B$7-1,0))/($B$7-1))</f>
        <v>#DIV/0!</v>
      </c>
      <c r="AG1455" s="34" t="e">
        <f ca="1">SQRT($B$9*SUM(AC1455:OFFSET(AC1455,$B$8-1,0))/($B$8-1))</f>
        <v>#DIV/0!</v>
      </c>
      <c r="AI1455" s="1" t="e">
        <f t="shared" si="121"/>
        <v>#DIV/0!</v>
      </c>
      <c r="AJ1455" s="4" t="e">
        <f ca="1">SQRT($B$9)*_xlfn.STDEV.S(AI1455:OFFSET(AI1455,$B$5-1,0))</f>
        <v>#DIV/0!</v>
      </c>
      <c r="AK1455" s="4" t="e">
        <f ca="1">SQRT($B$9)*_xlfn.STDEV.S(AI1455:OFFSET(AI1455,$B$6-1,0))</f>
        <v>#DIV/0!</v>
      </c>
      <c r="AL1455" s="4" t="e">
        <f ca="1">SQRT($B$9)*_xlfn.STDEV.S(AI1455:OFFSET(AI1455,$B$7-1,0))</f>
        <v>#DIV/0!</v>
      </c>
      <c r="AM1455" s="4" t="e">
        <f ca="1">SQRT($B$9)*_xlfn.STDEV.S(AI1455:OFFSET(AI1455,$B$8-1,0))</f>
        <v>#DIV/0!</v>
      </c>
    </row>
    <row r="1456" spans="11:39" x14ac:dyDescent="0.2">
      <c r="K1456" s="3" t="e">
        <f t="shared" si="119"/>
        <v>#DIV/0!</v>
      </c>
      <c r="L1456" s="3" t="e">
        <f ca="1">SQRT(AVERAGE(K1456:OFFSET(K1456,$B$5-1,0))*$B$9/(4*LN(2)))</f>
        <v>#DIV/0!</v>
      </c>
      <c r="M1456" s="3" t="e">
        <f ca="1">SQRT(AVERAGE(K1456:OFFSET(K1456,$B$6-1,0))*$B$9/(4*LN(2)))</f>
        <v>#DIV/0!</v>
      </c>
      <c r="N1456" s="3" t="e">
        <f ca="1">SQRT(AVERAGE(K1456:OFFSET(K1456,$B$7-1,0))*$B$9/(4*LN(2)))</f>
        <v>#DIV/0!</v>
      </c>
      <c r="O1456" s="3" t="e">
        <f ca="1">SQRT(AVERAGE(K1456:OFFSET(K1456,$B$8-1,0))*$B$9/(4*LN(2)))</f>
        <v>#DIV/0!</v>
      </c>
      <c r="Q1456" s="5" t="e">
        <f t="shared" si="118"/>
        <v>#DIV/0!</v>
      </c>
      <c r="R1456" s="5" t="e">
        <f ca="1">SQRT($B$9*AVERAGE((Q1456:OFFSET(Q1456,$B$5-1,0))))</f>
        <v>#DIV/0!</v>
      </c>
      <c r="S1456" s="5" t="e">
        <f ca="1">SQRT($B$9*AVERAGE((Q1456:OFFSET(Q1456,$B$6-1,0))))</f>
        <v>#DIV/0!</v>
      </c>
      <c r="T1456" s="5" t="e">
        <f ca="1">SQRT($B$9*AVERAGE((Q1456:OFFSET(Q1456,$B$7-1,0))))</f>
        <v>#DIV/0!</v>
      </c>
      <c r="U1456" s="5" t="e">
        <f ca="1">SQRT($B$9*AVERAGE((Q1456:OFFSET(Q1456,$B$8-1,0))))</f>
        <v>#DIV/0!</v>
      </c>
      <c r="W1456" s="6" t="e">
        <f t="shared" si="122"/>
        <v>#DIV/0!</v>
      </c>
      <c r="X1456" s="6" t="e">
        <f ca="1">SQRT($B$9*AVERAGE(W1456:OFFSET(W1456,$B$5-1,0)))</f>
        <v>#DIV/0!</v>
      </c>
      <c r="Y1456" s="6" t="e">
        <f ca="1">SQRT($B$9*AVERAGE(W1456:OFFSET(W1456,$B$6-1,0)))</f>
        <v>#DIV/0!</v>
      </c>
      <c r="Z1456" s="6" t="e">
        <f ca="1">SQRT($B$9*AVERAGE(W1456:OFFSET(W1456,$B$7-1,0)))</f>
        <v>#DIV/0!</v>
      </c>
      <c r="AA1456" s="6" t="e">
        <f ca="1">SQRT($B$9*AVERAGE(W1456:OFFSET(W1456,$B$8-1,0)))</f>
        <v>#DIV/0!</v>
      </c>
      <c r="AC1456" s="34" t="e">
        <f t="shared" si="120"/>
        <v>#DIV/0!</v>
      </c>
      <c r="AD1456" s="34" t="e">
        <f ca="1">SQRT($B$9*SUM(AC1456:OFFSET(AC1456,$B$5-1,0))/($B$5-1))</f>
        <v>#DIV/0!</v>
      </c>
      <c r="AE1456" s="34" t="e">
        <f ca="1">SQRT($B$9*SUM(AC1456:OFFSET(AC1456,$B$6-1,0))/($B$6-1))</f>
        <v>#DIV/0!</v>
      </c>
      <c r="AF1456" s="34" t="e">
        <f ca="1">SQRT($B$9*SUM(AC1456:OFFSET(AC1456,$B$7-1,0))/($B$7-1))</f>
        <v>#DIV/0!</v>
      </c>
      <c r="AG1456" s="34" t="e">
        <f ca="1">SQRT($B$9*SUM(AC1456:OFFSET(AC1456,$B$8-1,0))/($B$8-1))</f>
        <v>#DIV/0!</v>
      </c>
      <c r="AI1456" s="1" t="e">
        <f t="shared" si="121"/>
        <v>#DIV/0!</v>
      </c>
      <c r="AJ1456" s="4" t="e">
        <f ca="1">SQRT($B$9)*_xlfn.STDEV.S(AI1456:OFFSET(AI1456,$B$5-1,0))</f>
        <v>#DIV/0!</v>
      </c>
      <c r="AK1456" s="4" t="e">
        <f ca="1">SQRT($B$9)*_xlfn.STDEV.S(AI1456:OFFSET(AI1456,$B$6-1,0))</f>
        <v>#DIV/0!</v>
      </c>
      <c r="AL1456" s="4" t="e">
        <f ca="1">SQRT($B$9)*_xlfn.STDEV.S(AI1456:OFFSET(AI1456,$B$7-1,0))</f>
        <v>#DIV/0!</v>
      </c>
      <c r="AM1456" s="4" t="e">
        <f ca="1">SQRT($B$9)*_xlfn.STDEV.S(AI1456:OFFSET(AI1456,$B$8-1,0))</f>
        <v>#DIV/0!</v>
      </c>
    </row>
    <row r="1457" spans="11:39" x14ac:dyDescent="0.2">
      <c r="K1457" s="3" t="e">
        <f t="shared" si="119"/>
        <v>#DIV/0!</v>
      </c>
      <c r="L1457" s="3" t="e">
        <f ca="1">SQRT(AVERAGE(K1457:OFFSET(K1457,$B$5-1,0))*$B$9/(4*LN(2)))</f>
        <v>#DIV/0!</v>
      </c>
      <c r="M1457" s="3" t="e">
        <f ca="1">SQRT(AVERAGE(K1457:OFFSET(K1457,$B$6-1,0))*$B$9/(4*LN(2)))</f>
        <v>#DIV/0!</v>
      </c>
      <c r="N1457" s="3" t="e">
        <f ca="1">SQRT(AVERAGE(K1457:OFFSET(K1457,$B$7-1,0))*$B$9/(4*LN(2)))</f>
        <v>#DIV/0!</v>
      </c>
      <c r="O1457" s="3" t="e">
        <f ca="1">SQRT(AVERAGE(K1457:OFFSET(K1457,$B$8-1,0))*$B$9/(4*LN(2)))</f>
        <v>#DIV/0!</v>
      </c>
      <c r="Q1457" s="5" t="e">
        <f t="shared" si="118"/>
        <v>#DIV/0!</v>
      </c>
      <c r="R1457" s="5" t="e">
        <f ca="1">SQRT($B$9*AVERAGE((Q1457:OFFSET(Q1457,$B$5-1,0))))</f>
        <v>#DIV/0!</v>
      </c>
      <c r="S1457" s="5" t="e">
        <f ca="1">SQRT($B$9*AVERAGE((Q1457:OFFSET(Q1457,$B$6-1,0))))</f>
        <v>#DIV/0!</v>
      </c>
      <c r="T1457" s="5" t="e">
        <f ca="1">SQRT($B$9*AVERAGE((Q1457:OFFSET(Q1457,$B$7-1,0))))</f>
        <v>#DIV/0!</v>
      </c>
      <c r="U1457" s="5" t="e">
        <f ca="1">SQRT($B$9*AVERAGE((Q1457:OFFSET(Q1457,$B$8-1,0))))</f>
        <v>#DIV/0!</v>
      </c>
      <c r="W1457" s="6" t="e">
        <f t="shared" si="122"/>
        <v>#DIV/0!</v>
      </c>
      <c r="X1457" s="6" t="e">
        <f ca="1">SQRT($B$9*AVERAGE(W1457:OFFSET(W1457,$B$5-1,0)))</f>
        <v>#DIV/0!</v>
      </c>
      <c r="Y1457" s="6" t="e">
        <f ca="1">SQRT($B$9*AVERAGE(W1457:OFFSET(W1457,$B$6-1,0)))</f>
        <v>#DIV/0!</v>
      </c>
      <c r="Z1457" s="6" t="e">
        <f ca="1">SQRT($B$9*AVERAGE(W1457:OFFSET(W1457,$B$7-1,0)))</f>
        <v>#DIV/0!</v>
      </c>
      <c r="AA1457" s="6" t="e">
        <f ca="1">SQRT($B$9*AVERAGE(W1457:OFFSET(W1457,$B$8-1,0)))</f>
        <v>#DIV/0!</v>
      </c>
      <c r="AC1457" s="34" t="e">
        <f t="shared" si="120"/>
        <v>#DIV/0!</v>
      </c>
      <c r="AD1457" s="34" t="e">
        <f ca="1">SQRT($B$9*SUM(AC1457:OFFSET(AC1457,$B$5-1,0))/($B$5-1))</f>
        <v>#DIV/0!</v>
      </c>
      <c r="AE1457" s="34" t="e">
        <f ca="1">SQRT($B$9*SUM(AC1457:OFFSET(AC1457,$B$6-1,0))/($B$6-1))</f>
        <v>#DIV/0!</v>
      </c>
      <c r="AF1457" s="34" t="e">
        <f ca="1">SQRT($B$9*SUM(AC1457:OFFSET(AC1457,$B$7-1,0))/($B$7-1))</f>
        <v>#DIV/0!</v>
      </c>
      <c r="AG1457" s="34" t="e">
        <f ca="1">SQRT($B$9*SUM(AC1457:OFFSET(AC1457,$B$8-1,0))/($B$8-1))</f>
        <v>#DIV/0!</v>
      </c>
      <c r="AI1457" s="1" t="e">
        <f t="shared" si="121"/>
        <v>#DIV/0!</v>
      </c>
      <c r="AJ1457" s="4" t="e">
        <f ca="1">SQRT($B$9)*_xlfn.STDEV.S(AI1457:OFFSET(AI1457,$B$5-1,0))</f>
        <v>#DIV/0!</v>
      </c>
      <c r="AK1457" s="4" t="e">
        <f ca="1">SQRT($B$9)*_xlfn.STDEV.S(AI1457:OFFSET(AI1457,$B$6-1,0))</f>
        <v>#DIV/0!</v>
      </c>
      <c r="AL1457" s="4" t="e">
        <f ca="1">SQRT($B$9)*_xlfn.STDEV.S(AI1457:OFFSET(AI1457,$B$7-1,0))</f>
        <v>#DIV/0!</v>
      </c>
      <c r="AM1457" s="4" t="e">
        <f ca="1">SQRT($B$9)*_xlfn.STDEV.S(AI1457:OFFSET(AI1457,$B$8-1,0))</f>
        <v>#DIV/0!</v>
      </c>
    </row>
    <row r="1458" spans="11:39" x14ac:dyDescent="0.2">
      <c r="K1458" s="3" t="e">
        <f t="shared" si="119"/>
        <v>#DIV/0!</v>
      </c>
      <c r="L1458" s="3" t="e">
        <f ca="1">SQRT(AVERAGE(K1458:OFFSET(K1458,$B$5-1,0))*$B$9/(4*LN(2)))</f>
        <v>#DIV/0!</v>
      </c>
      <c r="M1458" s="3" t="e">
        <f ca="1">SQRT(AVERAGE(K1458:OFFSET(K1458,$B$6-1,0))*$B$9/(4*LN(2)))</f>
        <v>#DIV/0!</v>
      </c>
      <c r="N1458" s="3" t="e">
        <f ca="1">SQRT(AVERAGE(K1458:OFFSET(K1458,$B$7-1,0))*$B$9/(4*LN(2)))</f>
        <v>#DIV/0!</v>
      </c>
      <c r="O1458" s="3" t="e">
        <f ca="1">SQRT(AVERAGE(K1458:OFFSET(K1458,$B$8-1,0))*$B$9/(4*LN(2)))</f>
        <v>#DIV/0!</v>
      </c>
      <c r="Q1458" s="5" t="e">
        <f t="shared" si="118"/>
        <v>#DIV/0!</v>
      </c>
      <c r="R1458" s="5" t="e">
        <f ca="1">SQRT($B$9*AVERAGE((Q1458:OFFSET(Q1458,$B$5-1,0))))</f>
        <v>#DIV/0!</v>
      </c>
      <c r="S1458" s="5" t="e">
        <f ca="1">SQRT($B$9*AVERAGE((Q1458:OFFSET(Q1458,$B$6-1,0))))</f>
        <v>#DIV/0!</v>
      </c>
      <c r="T1458" s="5" t="e">
        <f ca="1">SQRT($B$9*AVERAGE((Q1458:OFFSET(Q1458,$B$7-1,0))))</f>
        <v>#DIV/0!</v>
      </c>
      <c r="U1458" s="5" t="e">
        <f ca="1">SQRT($B$9*AVERAGE((Q1458:OFFSET(Q1458,$B$8-1,0))))</f>
        <v>#DIV/0!</v>
      </c>
      <c r="W1458" s="6" t="e">
        <f t="shared" si="122"/>
        <v>#DIV/0!</v>
      </c>
      <c r="X1458" s="6" t="e">
        <f ca="1">SQRT($B$9*AVERAGE(W1458:OFFSET(W1458,$B$5-1,0)))</f>
        <v>#DIV/0!</v>
      </c>
      <c r="Y1458" s="6" t="e">
        <f ca="1">SQRT($B$9*AVERAGE(W1458:OFFSET(W1458,$B$6-1,0)))</f>
        <v>#DIV/0!</v>
      </c>
      <c r="Z1458" s="6" t="e">
        <f ca="1">SQRT($B$9*AVERAGE(W1458:OFFSET(W1458,$B$7-1,0)))</f>
        <v>#DIV/0!</v>
      </c>
      <c r="AA1458" s="6" t="e">
        <f ca="1">SQRT($B$9*AVERAGE(W1458:OFFSET(W1458,$B$8-1,0)))</f>
        <v>#DIV/0!</v>
      </c>
      <c r="AC1458" s="34" t="e">
        <f t="shared" si="120"/>
        <v>#DIV/0!</v>
      </c>
      <c r="AD1458" s="34" t="e">
        <f ca="1">SQRT($B$9*SUM(AC1458:OFFSET(AC1458,$B$5-1,0))/($B$5-1))</f>
        <v>#DIV/0!</v>
      </c>
      <c r="AE1458" s="34" t="e">
        <f ca="1">SQRT($B$9*SUM(AC1458:OFFSET(AC1458,$B$6-1,0))/($B$6-1))</f>
        <v>#DIV/0!</v>
      </c>
      <c r="AF1458" s="34" t="e">
        <f ca="1">SQRT($B$9*SUM(AC1458:OFFSET(AC1458,$B$7-1,0))/($B$7-1))</f>
        <v>#DIV/0!</v>
      </c>
      <c r="AG1458" s="34" t="e">
        <f ca="1">SQRT($B$9*SUM(AC1458:OFFSET(AC1458,$B$8-1,0))/($B$8-1))</f>
        <v>#DIV/0!</v>
      </c>
      <c r="AI1458" s="1" t="e">
        <f t="shared" si="121"/>
        <v>#DIV/0!</v>
      </c>
      <c r="AJ1458" s="4" t="e">
        <f ca="1">SQRT($B$9)*_xlfn.STDEV.S(AI1458:OFFSET(AI1458,$B$5-1,0))</f>
        <v>#DIV/0!</v>
      </c>
      <c r="AK1458" s="4" t="e">
        <f ca="1">SQRT($B$9)*_xlfn.STDEV.S(AI1458:OFFSET(AI1458,$B$6-1,0))</f>
        <v>#DIV/0!</v>
      </c>
      <c r="AL1458" s="4" t="e">
        <f ca="1">SQRT($B$9)*_xlfn.STDEV.S(AI1458:OFFSET(AI1458,$B$7-1,0))</f>
        <v>#DIV/0!</v>
      </c>
      <c r="AM1458" s="4" t="e">
        <f ca="1">SQRT($B$9)*_xlfn.STDEV.S(AI1458:OFFSET(AI1458,$B$8-1,0))</f>
        <v>#DIV/0!</v>
      </c>
    </row>
    <row r="1459" spans="11:39" x14ac:dyDescent="0.2">
      <c r="K1459" s="3" t="e">
        <f t="shared" si="119"/>
        <v>#DIV/0!</v>
      </c>
      <c r="L1459" s="3" t="e">
        <f ca="1">SQRT(AVERAGE(K1459:OFFSET(K1459,$B$5-1,0))*$B$9/(4*LN(2)))</f>
        <v>#DIV/0!</v>
      </c>
      <c r="M1459" s="3" t="e">
        <f ca="1">SQRT(AVERAGE(K1459:OFFSET(K1459,$B$6-1,0))*$B$9/(4*LN(2)))</f>
        <v>#DIV/0!</v>
      </c>
      <c r="N1459" s="3" t="e">
        <f ca="1">SQRT(AVERAGE(K1459:OFFSET(K1459,$B$7-1,0))*$B$9/(4*LN(2)))</f>
        <v>#DIV/0!</v>
      </c>
      <c r="O1459" s="3" t="e">
        <f ca="1">SQRT(AVERAGE(K1459:OFFSET(K1459,$B$8-1,0))*$B$9/(4*LN(2)))</f>
        <v>#DIV/0!</v>
      </c>
      <c r="Q1459" s="5" t="e">
        <f t="shared" si="118"/>
        <v>#DIV/0!</v>
      </c>
      <c r="R1459" s="5" t="e">
        <f ca="1">SQRT($B$9*AVERAGE((Q1459:OFFSET(Q1459,$B$5-1,0))))</f>
        <v>#DIV/0!</v>
      </c>
      <c r="S1459" s="5" t="e">
        <f ca="1">SQRT($B$9*AVERAGE((Q1459:OFFSET(Q1459,$B$6-1,0))))</f>
        <v>#DIV/0!</v>
      </c>
      <c r="T1459" s="5" t="e">
        <f ca="1">SQRT($B$9*AVERAGE((Q1459:OFFSET(Q1459,$B$7-1,0))))</f>
        <v>#DIV/0!</v>
      </c>
      <c r="U1459" s="5" t="e">
        <f ca="1">SQRT($B$9*AVERAGE((Q1459:OFFSET(Q1459,$B$8-1,0))))</f>
        <v>#DIV/0!</v>
      </c>
      <c r="W1459" s="6" t="e">
        <f t="shared" si="122"/>
        <v>#DIV/0!</v>
      </c>
      <c r="X1459" s="6" t="e">
        <f ca="1">SQRT($B$9*AVERAGE(W1459:OFFSET(W1459,$B$5-1,0)))</f>
        <v>#DIV/0!</v>
      </c>
      <c r="Y1459" s="6" t="e">
        <f ca="1">SQRT($B$9*AVERAGE(W1459:OFFSET(W1459,$B$6-1,0)))</f>
        <v>#DIV/0!</v>
      </c>
      <c r="Z1459" s="6" t="e">
        <f ca="1">SQRT($B$9*AVERAGE(W1459:OFFSET(W1459,$B$7-1,0)))</f>
        <v>#DIV/0!</v>
      </c>
      <c r="AA1459" s="6" t="e">
        <f ca="1">SQRT($B$9*AVERAGE(W1459:OFFSET(W1459,$B$8-1,0)))</f>
        <v>#DIV/0!</v>
      </c>
      <c r="AC1459" s="34" t="e">
        <f t="shared" si="120"/>
        <v>#DIV/0!</v>
      </c>
      <c r="AD1459" s="34" t="e">
        <f ca="1">SQRT($B$9*SUM(AC1459:OFFSET(AC1459,$B$5-1,0))/($B$5-1))</f>
        <v>#DIV/0!</v>
      </c>
      <c r="AE1459" s="34" t="e">
        <f ca="1">SQRT($B$9*SUM(AC1459:OFFSET(AC1459,$B$6-1,0))/($B$6-1))</f>
        <v>#DIV/0!</v>
      </c>
      <c r="AF1459" s="34" t="e">
        <f ca="1">SQRT($B$9*SUM(AC1459:OFFSET(AC1459,$B$7-1,0))/($B$7-1))</f>
        <v>#DIV/0!</v>
      </c>
      <c r="AG1459" s="34" t="e">
        <f ca="1">SQRT($B$9*SUM(AC1459:OFFSET(AC1459,$B$8-1,0))/($B$8-1))</f>
        <v>#DIV/0!</v>
      </c>
      <c r="AI1459" s="1" t="e">
        <f t="shared" si="121"/>
        <v>#DIV/0!</v>
      </c>
      <c r="AJ1459" s="4" t="e">
        <f ca="1">SQRT($B$9)*_xlfn.STDEV.S(AI1459:OFFSET(AI1459,$B$5-1,0))</f>
        <v>#DIV/0!</v>
      </c>
      <c r="AK1459" s="4" t="e">
        <f ca="1">SQRT($B$9)*_xlfn.STDEV.S(AI1459:OFFSET(AI1459,$B$6-1,0))</f>
        <v>#DIV/0!</v>
      </c>
      <c r="AL1459" s="4" t="e">
        <f ca="1">SQRT($B$9)*_xlfn.STDEV.S(AI1459:OFFSET(AI1459,$B$7-1,0))</f>
        <v>#DIV/0!</v>
      </c>
      <c r="AM1459" s="4" t="e">
        <f ca="1">SQRT($B$9)*_xlfn.STDEV.S(AI1459:OFFSET(AI1459,$B$8-1,0))</f>
        <v>#DIV/0!</v>
      </c>
    </row>
    <row r="1460" spans="11:39" x14ac:dyDescent="0.2">
      <c r="K1460" s="3" t="e">
        <f t="shared" si="119"/>
        <v>#DIV/0!</v>
      </c>
      <c r="L1460" s="3" t="e">
        <f ca="1">SQRT(AVERAGE(K1460:OFFSET(K1460,$B$5-1,0))*$B$9/(4*LN(2)))</f>
        <v>#DIV/0!</v>
      </c>
      <c r="M1460" s="3" t="e">
        <f ca="1">SQRT(AVERAGE(K1460:OFFSET(K1460,$B$6-1,0))*$B$9/(4*LN(2)))</f>
        <v>#DIV/0!</v>
      </c>
      <c r="N1460" s="3" t="e">
        <f ca="1">SQRT(AVERAGE(K1460:OFFSET(K1460,$B$7-1,0))*$B$9/(4*LN(2)))</f>
        <v>#DIV/0!</v>
      </c>
      <c r="O1460" s="3" t="e">
        <f ca="1">SQRT(AVERAGE(K1460:OFFSET(K1460,$B$8-1,0))*$B$9/(4*LN(2)))</f>
        <v>#DIV/0!</v>
      </c>
      <c r="Q1460" s="5" t="e">
        <f t="shared" si="118"/>
        <v>#DIV/0!</v>
      </c>
      <c r="R1460" s="5" t="e">
        <f ca="1">SQRT($B$9*AVERAGE((Q1460:OFFSET(Q1460,$B$5-1,0))))</f>
        <v>#DIV/0!</v>
      </c>
      <c r="S1460" s="5" t="e">
        <f ca="1">SQRT($B$9*AVERAGE((Q1460:OFFSET(Q1460,$B$6-1,0))))</f>
        <v>#DIV/0!</v>
      </c>
      <c r="T1460" s="5" t="e">
        <f ca="1">SQRT($B$9*AVERAGE((Q1460:OFFSET(Q1460,$B$7-1,0))))</f>
        <v>#DIV/0!</v>
      </c>
      <c r="U1460" s="5" t="e">
        <f ca="1">SQRT($B$9*AVERAGE((Q1460:OFFSET(Q1460,$B$8-1,0))))</f>
        <v>#DIV/0!</v>
      </c>
      <c r="W1460" s="6" t="e">
        <f t="shared" si="122"/>
        <v>#DIV/0!</v>
      </c>
      <c r="X1460" s="6" t="e">
        <f ca="1">SQRT($B$9*AVERAGE(W1460:OFFSET(W1460,$B$5-1,0)))</f>
        <v>#DIV/0!</v>
      </c>
      <c r="Y1460" s="6" t="e">
        <f ca="1">SQRT($B$9*AVERAGE(W1460:OFFSET(W1460,$B$6-1,0)))</f>
        <v>#DIV/0!</v>
      </c>
      <c r="Z1460" s="6" t="e">
        <f ca="1">SQRT($B$9*AVERAGE(W1460:OFFSET(W1460,$B$7-1,0)))</f>
        <v>#DIV/0!</v>
      </c>
      <c r="AA1460" s="6" t="e">
        <f ca="1">SQRT($B$9*AVERAGE(W1460:OFFSET(W1460,$B$8-1,0)))</f>
        <v>#DIV/0!</v>
      </c>
      <c r="AC1460" s="34" t="e">
        <f t="shared" si="120"/>
        <v>#DIV/0!</v>
      </c>
      <c r="AD1460" s="34" t="e">
        <f ca="1">SQRT($B$9*SUM(AC1460:OFFSET(AC1460,$B$5-1,0))/($B$5-1))</f>
        <v>#DIV/0!</v>
      </c>
      <c r="AE1460" s="34" t="e">
        <f ca="1">SQRT($B$9*SUM(AC1460:OFFSET(AC1460,$B$6-1,0))/($B$6-1))</f>
        <v>#DIV/0!</v>
      </c>
      <c r="AF1460" s="34" t="e">
        <f ca="1">SQRT($B$9*SUM(AC1460:OFFSET(AC1460,$B$7-1,0))/($B$7-1))</f>
        <v>#DIV/0!</v>
      </c>
      <c r="AG1460" s="34" t="e">
        <f ca="1">SQRT($B$9*SUM(AC1460:OFFSET(AC1460,$B$8-1,0))/($B$8-1))</f>
        <v>#DIV/0!</v>
      </c>
      <c r="AI1460" s="1" t="e">
        <f t="shared" si="121"/>
        <v>#DIV/0!</v>
      </c>
      <c r="AJ1460" s="4" t="e">
        <f ca="1">SQRT($B$9)*_xlfn.STDEV.S(AI1460:OFFSET(AI1460,$B$5-1,0))</f>
        <v>#DIV/0!</v>
      </c>
      <c r="AK1460" s="4" t="e">
        <f ca="1">SQRT($B$9)*_xlfn.STDEV.S(AI1460:OFFSET(AI1460,$B$6-1,0))</f>
        <v>#DIV/0!</v>
      </c>
      <c r="AL1460" s="4" t="e">
        <f ca="1">SQRT($B$9)*_xlfn.STDEV.S(AI1460:OFFSET(AI1460,$B$7-1,0))</f>
        <v>#DIV/0!</v>
      </c>
      <c r="AM1460" s="4" t="e">
        <f ca="1">SQRT($B$9)*_xlfn.STDEV.S(AI1460:OFFSET(AI1460,$B$8-1,0))</f>
        <v>#DIV/0!</v>
      </c>
    </row>
    <row r="1461" spans="11:39" x14ac:dyDescent="0.2">
      <c r="K1461" s="3" t="e">
        <f t="shared" si="119"/>
        <v>#DIV/0!</v>
      </c>
      <c r="L1461" s="3" t="e">
        <f ca="1">SQRT(AVERAGE(K1461:OFFSET(K1461,$B$5-1,0))*$B$9/(4*LN(2)))</f>
        <v>#DIV/0!</v>
      </c>
      <c r="M1461" s="3" t="e">
        <f ca="1">SQRT(AVERAGE(K1461:OFFSET(K1461,$B$6-1,0))*$B$9/(4*LN(2)))</f>
        <v>#DIV/0!</v>
      </c>
      <c r="N1461" s="3" t="e">
        <f ca="1">SQRT(AVERAGE(K1461:OFFSET(K1461,$B$7-1,0))*$B$9/(4*LN(2)))</f>
        <v>#DIV/0!</v>
      </c>
      <c r="O1461" s="3" t="e">
        <f ca="1">SQRT(AVERAGE(K1461:OFFSET(K1461,$B$8-1,0))*$B$9/(4*LN(2)))</f>
        <v>#DIV/0!</v>
      </c>
      <c r="Q1461" s="5" t="e">
        <f t="shared" si="118"/>
        <v>#DIV/0!</v>
      </c>
      <c r="R1461" s="5" t="e">
        <f ca="1">SQRT($B$9*AVERAGE((Q1461:OFFSET(Q1461,$B$5-1,0))))</f>
        <v>#DIV/0!</v>
      </c>
      <c r="S1461" s="5" t="e">
        <f ca="1">SQRT($B$9*AVERAGE((Q1461:OFFSET(Q1461,$B$6-1,0))))</f>
        <v>#DIV/0!</v>
      </c>
      <c r="T1461" s="5" t="e">
        <f ca="1">SQRT($B$9*AVERAGE((Q1461:OFFSET(Q1461,$B$7-1,0))))</f>
        <v>#DIV/0!</v>
      </c>
      <c r="U1461" s="5" t="e">
        <f ca="1">SQRT($B$9*AVERAGE((Q1461:OFFSET(Q1461,$B$8-1,0))))</f>
        <v>#DIV/0!</v>
      </c>
      <c r="W1461" s="6" t="e">
        <f t="shared" si="122"/>
        <v>#DIV/0!</v>
      </c>
      <c r="X1461" s="6" t="e">
        <f ca="1">SQRT($B$9*AVERAGE(W1461:OFFSET(W1461,$B$5-1,0)))</f>
        <v>#DIV/0!</v>
      </c>
      <c r="Y1461" s="6" t="e">
        <f ca="1">SQRT($B$9*AVERAGE(W1461:OFFSET(W1461,$B$6-1,0)))</f>
        <v>#DIV/0!</v>
      </c>
      <c r="Z1461" s="6" t="e">
        <f ca="1">SQRT($B$9*AVERAGE(W1461:OFFSET(W1461,$B$7-1,0)))</f>
        <v>#DIV/0!</v>
      </c>
      <c r="AA1461" s="6" t="e">
        <f ca="1">SQRT($B$9*AVERAGE(W1461:OFFSET(W1461,$B$8-1,0)))</f>
        <v>#DIV/0!</v>
      </c>
      <c r="AC1461" s="34" t="e">
        <f t="shared" si="120"/>
        <v>#DIV/0!</v>
      </c>
      <c r="AD1461" s="34" t="e">
        <f ca="1">SQRT($B$9*SUM(AC1461:OFFSET(AC1461,$B$5-1,0))/($B$5-1))</f>
        <v>#DIV/0!</v>
      </c>
      <c r="AE1461" s="34" t="e">
        <f ca="1">SQRT($B$9*SUM(AC1461:OFFSET(AC1461,$B$6-1,0))/($B$6-1))</f>
        <v>#DIV/0!</v>
      </c>
      <c r="AF1461" s="34" t="e">
        <f ca="1">SQRT($B$9*SUM(AC1461:OFFSET(AC1461,$B$7-1,0))/($B$7-1))</f>
        <v>#DIV/0!</v>
      </c>
      <c r="AG1461" s="34" t="e">
        <f ca="1">SQRT($B$9*SUM(AC1461:OFFSET(AC1461,$B$8-1,0))/($B$8-1))</f>
        <v>#DIV/0!</v>
      </c>
      <c r="AI1461" s="1" t="e">
        <f t="shared" si="121"/>
        <v>#DIV/0!</v>
      </c>
      <c r="AJ1461" s="4" t="e">
        <f ca="1">SQRT($B$9)*_xlfn.STDEV.S(AI1461:OFFSET(AI1461,$B$5-1,0))</f>
        <v>#DIV/0!</v>
      </c>
      <c r="AK1461" s="4" t="e">
        <f ca="1">SQRT($B$9)*_xlfn.STDEV.S(AI1461:OFFSET(AI1461,$B$6-1,0))</f>
        <v>#DIV/0!</v>
      </c>
      <c r="AL1461" s="4" t="e">
        <f ca="1">SQRT($B$9)*_xlfn.STDEV.S(AI1461:OFFSET(AI1461,$B$7-1,0))</f>
        <v>#DIV/0!</v>
      </c>
      <c r="AM1461" s="4" t="e">
        <f ca="1">SQRT($B$9)*_xlfn.STDEV.S(AI1461:OFFSET(AI1461,$B$8-1,0))</f>
        <v>#DIV/0!</v>
      </c>
    </row>
    <row r="1462" spans="11:39" x14ac:dyDescent="0.2">
      <c r="K1462" s="3" t="e">
        <f t="shared" si="119"/>
        <v>#DIV/0!</v>
      </c>
      <c r="L1462" s="3" t="e">
        <f ca="1">SQRT(AVERAGE(K1462:OFFSET(K1462,$B$5-1,0))*$B$9/(4*LN(2)))</f>
        <v>#DIV/0!</v>
      </c>
      <c r="M1462" s="3" t="e">
        <f ca="1">SQRT(AVERAGE(K1462:OFFSET(K1462,$B$6-1,0))*$B$9/(4*LN(2)))</f>
        <v>#DIV/0!</v>
      </c>
      <c r="N1462" s="3" t="e">
        <f ca="1">SQRT(AVERAGE(K1462:OFFSET(K1462,$B$7-1,0))*$B$9/(4*LN(2)))</f>
        <v>#DIV/0!</v>
      </c>
      <c r="O1462" s="3" t="e">
        <f ca="1">SQRT(AVERAGE(K1462:OFFSET(K1462,$B$8-1,0))*$B$9/(4*LN(2)))</f>
        <v>#DIV/0!</v>
      </c>
      <c r="Q1462" s="5" t="e">
        <f t="shared" si="118"/>
        <v>#DIV/0!</v>
      </c>
      <c r="R1462" s="5" t="e">
        <f ca="1">SQRT($B$9*AVERAGE((Q1462:OFFSET(Q1462,$B$5-1,0))))</f>
        <v>#DIV/0!</v>
      </c>
      <c r="S1462" s="5" t="e">
        <f ca="1">SQRT($B$9*AVERAGE((Q1462:OFFSET(Q1462,$B$6-1,0))))</f>
        <v>#DIV/0!</v>
      </c>
      <c r="T1462" s="5" t="e">
        <f ca="1">SQRT($B$9*AVERAGE((Q1462:OFFSET(Q1462,$B$7-1,0))))</f>
        <v>#DIV/0!</v>
      </c>
      <c r="U1462" s="5" t="e">
        <f ca="1">SQRT($B$9*AVERAGE((Q1462:OFFSET(Q1462,$B$8-1,0))))</f>
        <v>#DIV/0!</v>
      </c>
      <c r="W1462" s="6" t="e">
        <f t="shared" si="122"/>
        <v>#DIV/0!</v>
      </c>
      <c r="X1462" s="6" t="e">
        <f ca="1">SQRT($B$9*AVERAGE(W1462:OFFSET(W1462,$B$5-1,0)))</f>
        <v>#DIV/0!</v>
      </c>
      <c r="Y1462" s="6" t="e">
        <f ca="1">SQRT($B$9*AVERAGE(W1462:OFFSET(W1462,$B$6-1,0)))</f>
        <v>#DIV/0!</v>
      </c>
      <c r="Z1462" s="6" t="e">
        <f ca="1">SQRT($B$9*AVERAGE(W1462:OFFSET(W1462,$B$7-1,0)))</f>
        <v>#DIV/0!</v>
      </c>
      <c r="AA1462" s="6" t="e">
        <f ca="1">SQRT($B$9*AVERAGE(W1462:OFFSET(W1462,$B$8-1,0)))</f>
        <v>#DIV/0!</v>
      </c>
      <c r="AC1462" s="34" t="e">
        <f t="shared" si="120"/>
        <v>#DIV/0!</v>
      </c>
      <c r="AD1462" s="34" t="e">
        <f ca="1">SQRT($B$9*SUM(AC1462:OFFSET(AC1462,$B$5-1,0))/($B$5-1))</f>
        <v>#DIV/0!</v>
      </c>
      <c r="AE1462" s="34" t="e">
        <f ca="1">SQRT($B$9*SUM(AC1462:OFFSET(AC1462,$B$6-1,0))/($B$6-1))</f>
        <v>#DIV/0!</v>
      </c>
      <c r="AF1462" s="34" t="e">
        <f ca="1">SQRT($B$9*SUM(AC1462:OFFSET(AC1462,$B$7-1,0))/($B$7-1))</f>
        <v>#DIV/0!</v>
      </c>
      <c r="AG1462" s="34" t="e">
        <f ca="1">SQRT($B$9*SUM(AC1462:OFFSET(AC1462,$B$8-1,0))/($B$8-1))</f>
        <v>#DIV/0!</v>
      </c>
      <c r="AI1462" s="1" t="e">
        <f t="shared" si="121"/>
        <v>#DIV/0!</v>
      </c>
      <c r="AJ1462" s="4" t="e">
        <f ca="1">SQRT($B$9)*_xlfn.STDEV.S(AI1462:OFFSET(AI1462,$B$5-1,0))</f>
        <v>#DIV/0!</v>
      </c>
      <c r="AK1462" s="4" t="e">
        <f ca="1">SQRT($B$9)*_xlfn.STDEV.S(AI1462:OFFSET(AI1462,$B$6-1,0))</f>
        <v>#DIV/0!</v>
      </c>
      <c r="AL1462" s="4" t="e">
        <f ca="1">SQRT($B$9)*_xlfn.STDEV.S(AI1462:OFFSET(AI1462,$B$7-1,0))</f>
        <v>#DIV/0!</v>
      </c>
      <c r="AM1462" s="4" t="e">
        <f ca="1">SQRT($B$9)*_xlfn.STDEV.S(AI1462:OFFSET(AI1462,$B$8-1,0))</f>
        <v>#DIV/0!</v>
      </c>
    </row>
    <row r="1463" spans="11:39" x14ac:dyDescent="0.2">
      <c r="K1463" s="3" t="e">
        <f t="shared" si="119"/>
        <v>#DIV/0!</v>
      </c>
      <c r="L1463" s="3" t="e">
        <f ca="1">SQRT(AVERAGE(K1463:OFFSET(K1463,$B$5-1,0))*$B$9/(4*LN(2)))</f>
        <v>#DIV/0!</v>
      </c>
      <c r="M1463" s="3" t="e">
        <f ca="1">SQRT(AVERAGE(K1463:OFFSET(K1463,$B$6-1,0))*$B$9/(4*LN(2)))</f>
        <v>#DIV/0!</v>
      </c>
      <c r="N1463" s="3" t="e">
        <f ca="1">SQRT(AVERAGE(K1463:OFFSET(K1463,$B$7-1,0))*$B$9/(4*LN(2)))</f>
        <v>#DIV/0!</v>
      </c>
      <c r="O1463" s="3" t="e">
        <f ca="1">SQRT(AVERAGE(K1463:OFFSET(K1463,$B$8-1,0))*$B$9/(4*LN(2)))</f>
        <v>#DIV/0!</v>
      </c>
      <c r="Q1463" s="5" t="e">
        <f t="shared" si="118"/>
        <v>#DIV/0!</v>
      </c>
      <c r="R1463" s="5" t="e">
        <f ca="1">SQRT($B$9*AVERAGE((Q1463:OFFSET(Q1463,$B$5-1,0))))</f>
        <v>#DIV/0!</v>
      </c>
      <c r="S1463" s="5" t="e">
        <f ca="1">SQRT($B$9*AVERAGE((Q1463:OFFSET(Q1463,$B$6-1,0))))</f>
        <v>#DIV/0!</v>
      </c>
      <c r="T1463" s="5" t="e">
        <f ca="1">SQRT($B$9*AVERAGE((Q1463:OFFSET(Q1463,$B$7-1,0))))</f>
        <v>#DIV/0!</v>
      </c>
      <c r="U1463" s="5" t="e">
        <f ca="1">SQRT($B$9*AVERAGE((Q1463:OFFSET(Q1463,$B$8-1,0))))</f>
        <v>#DIV/0!</v>
      </c>
      <c r="W1463" s="6" t="e">
        <f t="shared" si="122"/>
        <v>#DIV/0!</v>
      </c>
      <c r="X1463" s="6" t="e">
        <f ca="1">SQRT($B$9*AVERAGE(W1463:OFFSET(W1463,$B$5-1,0)))</f>
        <v>#DIV/0!</v>
      </c>
      <c r="Y1463" s="6" t="e">
        <f ca="1">SQRT($B$9*AVERAGE(W1463:OFFSET(W1463,$B$6-1,0)))</f>
        <v>#DIV/0!</v>
      </c>
      <c r="Z1463" s="6" t="e">
        <f ca="1">SQRT($B$9*AVERAGE(W1463:OFFSET(W1463,$B$7-1,0)))</f>
        <v>#DIV/0!</v>
      </c>
      <c r="AA1463" s="6" t="e">
        <f ca="1">SQRT($B$9*AVERAGE(W1463:OFFSET(W1463,$B$8-1,0)))</f>
        <v>#DIV/0!</v>
      </c>
      <c r="AC1463" s="34" t="e">
        <f t="shared" si="120"/>
        <v>#DIV/0!</v>
      </c>
      <c r="AD1463" s="34" t="e">
        <f ca="1">SQRT($B$9*SUM(AC1463:OFFSET(AC1463,$B$5-1,0))/($B$5-1))</f>
        <v>#DIV/0!</v>
      </c>
      <c r="AE1463" s="34" t="e">
        <f ca="1">SQRT($B$9*SUM(AC1463:OFFSET(AC1463,$B$6-1,0))/($B$6-1))</f>
        <v>#DIV/0!</v>
      </c>
      <c r="AF1463" s="34" t="e">
        <f ca="1">SQRT($B$9*SUM(AC1463:OFFSET(AC1463,$B$7-1,0))/($B$7-1))</f>
        <v>#DIV/0!</v>
      </c>
      <c r="AG1463" s="34" t="e">
        <f ca="1">SQRT($B$9*SUM(AC1463:OFFSET(AC1463,$B$8-1,0))/($B$8-1))</f>
        <v>#DIV/0!</v>
      </c>
      <c r="AI1463" s="1" t="e">
        <f t="shared" si="121"/>
        <v>#DIV/0!</v>
      </c>
      <c r="AJ1463" s="4" t="e">
        <f ca="1">SQRT($B$9)*_xlfn.STDEV.S(AI1463:OFFSET(AI1463,$B$5-1,0))</f>
        <v>#DIV/0!</v>
      </c>
      <c r="AK1463" s="4" t="e">
        <f ca="1">SQRT($B$9)*_xlfn.STDEV.S(AI1463:OFFSET(AI1463,$B$6-1,0))</f>
        <v>#DIV/0!</v>
      </c>
      <c r="AL1463" s="4" t="e">
        <f ca="1">SQRT($B$9)*_xlfn.STDEV.S(AI1463:OFFSET(AI1463,$B$7-1,0))</f>
        <v>#DIV/0!</v>
      </c>
      <c r="AM1463" s="4" t="e">
        <f ca="1">SQRT($B$9)*_xlfn.STDEV.S(AI1463:OFFSET(AI1463,$B$8-1,0))</f>
        <v>#DIV/0!</v>
      </c>
    </row>
    <row r="1464" spans="11:39" x14ac:dyDescent="0.2">
      <c r="K1464" s="3" t="e">
        <f t="shared" si="119"/>
        <v>#DIV/0!</v>
      </c>
      <c r="L1464" s="3" t="e">
        <f ca="1">SQRT(AVERAGE(K1464:OFFSET(K1464,$B$5-1,0))*$B$9/(4*LN(2)))</f>
        <v>#DIV/0!</v>
      </c>
      <c r="M1464" s="3" t="e">
        <f ca="1">SQRT(AVERAGE(K1464:OFFSET(K1464,$B$6-1,0))*$B$9/(4*LN(2)))</f>
        <v>#DIV/0!</v>
      </c>
      <c r="N1464" s="3" t="e">
        <f ca="1">SQRT(AVERAGE(K1464:OFFSET(K1464,$B$7-1,0))*$B$9/(4*LN(2)))</f>
        <v>#DIV/0!</v>
      </c>
      <c r="O1464" s="3" t="e">
        <f ca="1">SQRT(AVERAGE(K1464:OFFSET(K1464,$B$8-1,0))*$B$9/(4*LN(2)))</f>
        <v>#DIV/0!</v>
      </c>
      <c r="Q1464" s="5" t="e">
        <f t="shared" si="118"/>
        <v>#DIV/0!</v>
      </c>
      <c r="R1464" s="5" t="e">
        <f ca="1">SQRT($B$9*AVERAGE((Q1464:OFFSET(Q1464,$B$5-1,0))))</f>
        <v>#DIV/0!</v>
      </c>
      <c r="S1464" s="5" t="e">
        <f ca="1">SQRT($B$9*AVERAGE((Q1464:OFFSET(Q1464,$B$6-1,0))))</f>
        <v>#DIV/0!</v>
      </c>
      <c r="T1464" s="5" t="e">
        <f ca="1">SQRT($B$9*AVERAGE((Q1464:OFFSET(Q1464,$B$7-1,0))))</f>
        <v>#DIV/0!</v>
      </c>
      <c r="U1464" s="5" t="e">
        <f ca="1">SQRT($B$9*AVERAGE((Q1464:OFFSET(Q1464,$B$8-1,0))))</f>
        <v>#DIV/0!</v>
      </c>
      <c r="W1464" s="6" t="e">
        <f t="shared" si="122"/>
        <v>#DIV/0!</v>
      </c>
      <c r="X1464" s="6" t="e">
        <f ca="1">SQRT($B$9*AVERAGE(W1464:OFFSET(W1464,$B$5-1,0)))</f>
        <v>#DIV/0!</v>
      </c>
      <c r="Y1464" s="6" t="e">
        <f ca="1">SQRT($B$9*AVERAGE(W1464:OFFSET(W1464,$B$6-1,0)))</f>
        <v>#DIV/0!</v>
      </c>
      <c r="Z1464" s="6" t="e">
        <f ca="1">SQRT($B$9*AVERAGE(W1464:OFFSET(W1464,$B$7-1,0)))</f>
        <v>#DIV/0!</v>
      </c>
      <c r="AA1464" s="6" t="e">
        <f ca="1">SQRT($B$9*AVERAGE(W1464:OFFSET(W1464,$B$8-1,0)))</f>
        <v>#DIV/0!</v>
      </c>
      <c r="AC1464" s="34" t="e">
        <f t="shared" si="120"/>
        <v>#DIV/0!</v>
      </c>
      <c r="AD1464" s="34" t="e">
        <f ca="1">SQRT($B$9*SUM(AC1464:OFFSET(AC1464,$B$5-1,0))/($B$5-1))</f>
        <v>#DIV/0!</v>
      </c>
      <c r="AE1464" s="34" t="e">
        <f ca="1">SQRT($B$9*SUM(AC1464:OFFSET(AC1464,$B$6-1,0))/($B$6-1))</f>
        <v>#DIV/0!</v>
      </c>
      <c r="AF1464" s="34" t="e">
        <f ca="1">SQRT($B$9*SUM(AC1464:OFFSET(AC1464,$B$7-1,0))/($B$7-1))</f>
        <v>#DIV/0!</v>
      </c>
      <c r="AG1464" s="34" t="e">
        <f ca="1">SQRT($B$9*SUM(AC1464:OFFSET(AC1464,$B$8-1,0))/($B$8-1))</f>
        <v>#DIV/0!</v>
      </c>
      <c r="AI1464" s="1" t="e">
        <f t="shared" si="121"/>
        <v>#DIV/0!</v>
      </c>
      <c r="AJ1464" s="4" t="e">
        <f ca="1">SQRT($B$9)*_xlfn.STDEV.S(AI1464:OFFSET(AI1464,$B$5-1,0))</f>
        <v>#DIV/0!</v>
      </c>
      <c r="AK1464" s="4" t="e">
        <f ca="1">SQRT($B$9)*_xlfn.STDEV.S(AI1464:OFFSET(AI1464,$B$6-1,0))</f>
        <v>#DIV/0!</v>
      </c>
      <c r="AL1464" s="4" t="e">
        <f ca="1">SQRT($B$9)*_xlfn.STDEV.S(AI1464:OFFSET(AI1464,$B$7-1,0))</f>
        <v>#DIV/0!</v>
      </c>
      <c r="AM1464" s="4" t="e">
        <f ca="1">SQRT($B$9)*_xlfn.STDEV.S(AI1464:OFFSET(AI1464,$B$8-1,0))</f>
        <v>#DIV/0!</v>
      </c>
    </row>
    <row r="1465" spans="11:39" x14ac:dyDescent="0.2">
      <c r="K1465" s="3" t="e">
        <f t="shared" si="119"/>
        <v>#DIV/0!</v>
      </c>
      <c r="L1465" s="3" t="e">
        <f ca="1">SQRT(AVERAGE(K1465:OFFSET(K1465,$B$5-1,0))*$B$9/(4*LN(2)))</f>
        <v>#DIV/0!</v>
      </c>
      <c r="M1465" s="3" t="e">
        <f ca="1">SQRT(AVERAGE(K1465:OFFSET(K1465,$B$6-1,0))*$B$9/(4*LN(2)))</f>
        <v>#DIV/0!</v>
      </c>
      <c r="N1465" s="3" t="e">
        <f ca="1">SQRT(AVERAGE(K1465:OFFSET(K1465,$B$7-1,0))*$B$9/(4*LN(2)))</f>
        <v>#DIV/0!</v>
      </c>
      <c r="O1465" s="3" t="e">
        <f ca="1">SQRT(AVERAGE(K1465:OFFSET(K1465,$B$8-1,0))*$B$9/(4*LN(2)))</f>
        <v>#DIV/0!</v>
      </c>
      <c r="Q1465" s="5" t="e">
        <f t="shared" si="118"/>
        <v>#DIV/0!</v>
      </c>
      <c r="R1465" s="5" t="e">
        <f ca="1">SQRT($B$9*AVERAGE((Q1465:OFFSET(Q1465,$B$5-1,0))))</f>
        <v>#DIV/0!</v>
      </c>
      <c r="S1465" s="5" t="e">
        <f ca="1">SQRT($B$9*AVERAGE((Q1465:OFFSET(Q1465,$B$6-1,0))))</f>
        <v>#DIV/0!</v>
      </c>
      <c r="T1465" s="5" t="e">
        <f ca="1">SQRT($B$9*AVERAGE((Q1465:OFFSET(Q1465,$B$7-1,0))))</f>
        <v>#DIV/0!</v>
      </c>
      <c r="U1465" s="5" t="e">
        <f ca="1">SQRT($B$9*AVERAGE((Q1465:OFFSET(Q1465,$B$8-1,0))))</f>
        <v>#DIV/0!</v>
      </c>
      <c r="W1465" s="6" t="e">
        <f t="shared" si="122"/>
        <v>#DIV/0!</v>
      </c>
      <c r="X1465" s="6" t="e">
        <f ca="1">SQRT($B$9*AVERAGE(W1465:OFFSET(W1465,$B$5-1,0)))</f>
        <v>#DIV/0!</v>
      </c>
      <c r="Y1465" s="6" t="e">
        <f ca="1">SQRT($B$9*AVERAGE(W1465:OFFSET(W1465,$B$6-1,0)))</f>
        <v>#DIV/0!</v>
      </c>
      <c r="Z1465" s="6" t="e">
        <f ca="1">SQRT($B$9*AVERAGE(W1465:OFFSET(W1465,$B$7-1,0)))</f>
        <v>#DIV/0!</v>
      </c>
      <c r="AA1465" s="6" t="e">
        <f ca="1">SQRT($B$9*AVERAGE(W1465:OFFSET(W1465,$B$8-1,0)))</f>
        <v>#DIV/0!</v>
      </c>
      <c r="AC1465" s="34" t="e">
        <f t="shared" si="120"/>
        <v>#DIV/0!</v>
      </c>
      <c r="AD1465" s="34" t="e">
        <f ca="1">SQRT($B$9*SUM(AC1465:OFFSET(AC1465,$B$5-1,0))/($B$5-1))</f>
        <v>#DIV/0!</v>
      </c>
      <c r="AE1465" s="34" t="e">
        <f ca="1">SQRT($B$9*SUM(AC1465:OFFSET(AC1465,$B$6-1,0))/($B$6-1))</f>
        <v>#DIV/0!</v>
      </c>
      <c r="AF1465" s="34" t="e">
        <f ca="1">SQRT($B$9*SUM(AC1465:OFFSET(AC1465,$B$7-1,0))/($B$7-1))</f>
        <v>#DIV/0!</v>
      </c>
      <c r="AG1465" s="34" t="e">
        <f ca="1">SQRT($B$9*SUM(AC1465:OFFSET(AC1465,$B$8-1,0))/($B$8-1))</f>
        <v>#DIV/0!</v>
      </c>
      <c r="AI1465" s="1" t="e">
        <f t="shared" si="121"/>
        <v>#DIV/0!</v>
      </c>
      <c r="AJ1465" s="4" t="e">
        <f ca="1">SQRT($B$9)*_xlfn.STDEV.S(AI1465:OFFSET(AI1465,$B$5-1,0))</f>
        <v>#DIV/0!</v>
      </c>
      <c r="AK1465" s="4" t="e">
        <f ca="1">SQRT($B$9)*_xlfn.STDEV.S(AI1465:OFFSET(AI1465,$B$6-1,0))</f>
        <v>#DIV/0!</v>
      </c>
      <c r="AL1465" s="4" t="e">
        <f ca="1">SQRT($B$9)*_xlfn.STDEV.S(AI1465:OFFSET(AI1465,$B$7-1,0))</f>
        <v>#DIV/0!</v>
      </c>
      <c r="AM1465" s="4" t="e">
        <f ca="1">SQRT($B$9)*_xlfn.STDEV.S(AI1465:OFFSET(AI1465,$B$8-1,0))</f>
        <v>#DIV/0!</v>
      </c>
    </row>
    <row r="1466" spans="11:39" x14ac:dyDescent="0.2">
      <c r="K1466" s="3" t="e">
        <f t="shared" si="119"/>
        <v>#DIV/0!</v>
      </c>
      <c r="L1466" s="3" t="e">
        <f ca="1">SQRT(AVERAGE(K1466:OFFSET(K1466,$B$5-1,0))*$B$9/(4*LN(2)))</f>
        <v>#DIV/0!</v>
      </c>
      <c r="M1466" s="3" t="e">
        <f ca="1">SQRT(AVERAGE(K1466:OFFSET(K1466,$B$6-1,0))*$B$9/(4*LN(2)))</f>
        <v>#DIV/0!</v>
      </c>
      <c r="N1466" s="3" t="e">
        <f ca="1">SQRT(AVERAGE(K1466:OFFSET(K1466,$B$7-1,0))*$B$9/(4*LN(2)))</f>
        <v>#DIV/0!</v>
      </c>
      <c r="O1466" s="3" t="e">
        <f ca="1">SQRT(AVERAGE(K1466:OFFSET(K1466,$B$8-1,0))*$B$9/(4*LN(2)))</f>
        <v>#DIV/0!</v>
      </c>
      <c r="Q1466" s="5" t="e">
        <f t="shared" si="118"/>
        <v>#DIV/0!</v>
      </c>
      <c r="R1466" s="5" t="e">
        <f ca="1">SQRT($B$9*AVERAGE((Q1466:OFFSET(Q1466,$B$5-1,0))))</f>
        <v>#DIV/0!</v>
      </c>
      <c r="S1466" s="5" t="e">
        <f ca="1">SQRT($B$9*AVERAGE((Q1466:OFFSET(Q1466,$B$6-1,0))))</f>
        <v>#DIV/0!</v>
      </c>
      <c r="T1466" s="5" t="e">
        <f ca="1">SQRT($B$9*AVERAGE((Q1466:OFFSET(Q1466,$B$7-1,0))))</f>
        <v>#DIV/0!</v>
      </c>
      <c r="U1466" s="5" t="e">
        <f ca="1">SQRT($B$9*AVERAGE((Q1466:OFFSET(Q1466,$B$8-1,0))))</f>
        <v>#DIV/0!</v>
      </c>
      <c r="W1466" s="6" t="e">
        <f t="shared" si="122"/>
        <v>#DIV/0!</v>
      </c>
      <c r="X1466" s="6" t="e">
        <f ca="1">SQRT($B$9*AVERAGE(W1466:OFFSET(W1466,$B$5-1,0)))</f>
        <v>#DIV/0!</v>
      </c>
      <c r="Y1466" s="6" t="e">
        <f ca="1">SQRT($B$9*AVERAGE(W1466:OFFSET(W1466,$B$6-1,0)))</f>
        <v>#DIV/0!</v>
      </c>
      <c r="Z1466" s="6" t="e">
        <f ca="1">SQRT($B$9*AVERAGE(W1466:OFFSET(W1466,$B$7-1,0)))</f>
        <v>#DIV/0!</v>
      </c>
      <c r="AA1466" s="6" t="e">
        <f ca="1">SQRT($B$9*AVERAGE(W1466:OFFSET(W1466,$B$8-1,0)))</f>
        <v>#DIV/0!</v>
      </c>
      <c r="AC1466" s="34" t="e">
        <f t="shared" si="120"/>
        <v>#DIV/0!</v>
      </c>
      <c r="AD1466" s="34" t="e">
        <f ca="1">SQRT($B$9*SUM(AC1466:OFFSET(AC1466,$B$5-1,0))/($B$5-1))</f>
        <v>#DIV/0!</v>
      </c>
      <c r="AE1466" s="34" t="e">
        <f ca="1">SQRT($B$9*SUM(AC1466:OFFSET(AC1466,$B$6-1,0))/($B$6-1))</f>
        <v>#DIV/0!</v>
      </c>
      <c r="AF1466" s="34" t="e">
        <f ca="1">SQRT($B$9*SUM(AC1466:OFFSET(AC1466,$B$7-1,0))/($B$7-1))</f>
        <v>#DIV/0!</v>
      </c>
      <c r="AG1466" s="34" t="e">
        <f ca="1">SQRT($B$9*SUM(AC1466:OFFSET(AC1466,$B$8-1,0))/($B$8-1))</f>
        <v>#DIV/0!</v>
      </c>
      <c r="AI1466" s="1" t="e">
        <f t="shared" si="121"/>
        <v>#DIV/0!</v>
      </c>
      <c r="AJ1466" s="4" t="e">
        <f ca="1">SQRT($B$9)*_xlfn.STDEV.S(AI1466:OFFSET(AI1466,$B$5-1,0))</f>
        <v>#DIV/0!</v>
      </c>
      <c r="AK1466" s="4" t="e">
        <f ca="1">SQRT($B$9)*_xlfn.STDEV.S(AI1466:OFFSET(AI1466,$B$6-1,0))</f>
        <v>#DIV/0!</v>
      </c>
      <c r="AL1466" s="4" t="e">
        <f ca="1">SQRT($B$9)*_xlfn.STDEV.S(AI1466:OFFSET(AI1466,$B$7-1,0))</f>
        <v>#DIV/0!</v>
      </c>
      <c r="AM1466" s="4" t="e">
        <f ca="1">SQRT($B$9)*_xlfn.STDEV.S(AI1466:OFFSET(AI1466,$B$8-1,0))</f>
        <v>#DIV/0!</v>
      </c>
    </row>
    <row r="1467" spans="11:39" x14ac:dyDescent="0.2">
      <c r="K1467" s="3" t="e">
        <f t="shared" si="119"/>
        <v>#DIV/0!</v>
      </c>
      <c r="L1467" s="3" t="e">
        <f ca="1">SQRT(AVERAGE(K1467:OFFSET(K1467,$B$5-1,0))*$B$9/(4*LN(2)))</f>
        <v>#DIV/0!</v>
      </c>
      <c r="M1467" s="3" t="e">
        <f ca="1">SQRT(AVERAGE(K1467:OFFSET(K1467,$B$6-1,0))*$B$9/(4*LN(2)))</f>
        <v>#DIV/0!</v>
      </c>
      <c r="N1467" s="3" t="e">
        <f ca="1">SQRT(AVERAGE(K1467:OFFSET(K1467,$B$7-1,0))*$B$9/(4*LN(2)))</f>
        <v>#DIV/0!</v>
      </c>
      <c r="O1467" s="3" t="e">
        <f ca="1">SQRT(AVERAGE(K1467:OFFSET(K1467,$B$8-1,0))*$B$9/(4*LN(2)))</f>
        <v>#DIV/0!</v>
      </c>
      <c r="Q1467" s="5" t="e">
        <f t="shared" si="118"/>
        <v>#DIV/0!</v>
      </c>
      <c r="R1467" s="5" t="e">
        <f ca="1">SQRT($B$9*AVERAGE((Q1467:OFFSET(Q1467,$B$5-1,0))))</f>
        <v>#DIV/0!</v>
      </c>
      <c r="S1467" s="5" t="e">
        <f ca="1">SQRT($B$9*AVERAGE((Q1467:OFFSET(Q1467,$B$6-1,0))))</f>
        <v>#DIV/0!</v>
      </c>
      <c r="T1467" s="5" t="e">
        <f ca="1">SQRT($B$9*AVERAGE((Q1467:OFFSET(Q1467,$B$7-1,0))))</f>
        <v>#DIV/0!</v>
      </c>
      <c r="U1467" s="5" t="e">
        <f ca="1">SQRT($B$9*AVERAGE((Q1467:OFFSET(Q1467,$B$8-1,0))))</f>
        <v>#DIV/0!</v>
      </c>
      <c r="W1467" s="6" t="e">
        <f t="shared" si="122"/>
        <v>#DIV/0!</v>
      </c>
      <c r="X1467" s="6" t="e">
        <f ca="1">SQRT($B$9*AVERAGE(W1467:OFFSET(W1467,$B$5-1,0)))</f>
        <v>#DIV/0!</v>
      </c>
      <c r="Y1467" s="6" t="e">
        <f ca="1">SQRT($B$9*AVERAGE(W1467:OFFSET(W1467,$B$6-1,0)))</f>
        <v>#DIV/0!</v>
      </c>
      <c r="Z1467" s="6" t="e">
        <f ca="1">SQRT($B$9*AVERAGE(W1467:OFFSET(W1467,$B$7-1,0)))</f>
        <v>#DIV/0!</v>
      </c>
      <c r="AA1467" s="6" t="e">
        <f ca="1">SQRT($B$9*AVERAGE(W1467:OFFSET(W1467,$B$8-1,0)))</f>
        <v>#DIV/0!</v>
      </c>
      <c r="AC1467" s="34" t="e">
        <f t="shared" si="120"/>
        <v>#DIV/0!</v>
      </c>
      <c r="AD1467" s="34" t="e">
        <f ca="1">SQRT($B$9*SUM(AC1467:OFFSET(AC1467,$B$5-1,0))/($B$5-1))</f>
        <v>#DIV/0!</v>
      </c>
      <c r="AE1467" s="34" t="e">
        <f ca="1">SQRT($B$9*SUM(AC1467:OFFSET(AC1467,$B$6-1,0))/($B$6-1))</f>
        <v>#DIV/0!</v>
      </c>
      <c r="AF1467" s="34" t="e">
        <f ca="1">SQRT($B$9*SUM(AC1467:OFFSET(AC1467,$B$7-1,0))/($B$7-1))</f>
        <v>#DIV/0!</v>
      </c>
      <c r="AG1467" s="34" t="e">
        <f ca="1">SQRT($B$9*SUM(AC1467:OFFSET(AC1467,$B$8-1,0))/($B$8-1))</f>
        <v>#DIV/0!</v>
      </c>
      <c r="AI1467" s="1" t="e">
        <f t="shared" si="121"/>
        <v>#DIV/0!</v>
      </c>
      <c r="AJ1467" s="4" t="e">
        <f ca="1">SQRT($B$9)*_xlfn.STDEV.S(AI1467:OFFSET(AI1467,$B$5-1,0))</f>
        <v>#DIV/0!</v>
      </c>
      <c r="AK1467" s="4" t="e">
        <f ca="1">SQRT($B$9)*_xlfn.STDEV.S(AI1467:OFFSET(AI1467,$B$6-1,0))</f>
        <v>#DIV/0!</v>
      </c>
      <c r="AL1467" s="4" t="e">
        <f ca="1">SQRT($B$9)*_xlfn.STDEV.S(AI1467:OFFSET(AI1467,$B$7-1,0))</f>
        <v>#DIV/0!</v>
      </c>
      <c r="AM1467" s="4" t="e">
        <f ca="1">SQRT($B$9)*_xlfn.STDEV.S(AI1467:OFFSET(AI1467,$B$8-1,0))</f>
        <v>#DIV/0!</v>
      </c>
    </row>
    <row r="1468" spans="11:39" x14ac:dyDescent="0.2">
      <c r="K1468" s="3" t="e">
        <f t="shared" si="119"/>
        <v>#DIV/0!</v>
      </c>
      <c r="L1468" s="3" t="e">
        <f ca="1">SQRT(AVERAGE(K1468:OFFSET(K1468,$B$5-1,0))*$B$9/(4*LN(2)))</f>
        <v>#DIV/0!</v>
      </c>
      <c r="M1468" s="3" t="e">
        <f ca="1">SQRT(AVERAGE(K1468:OFFSET(K1468,$B$6-1,0))*$B$9/(4*LN(2)))</f>
        <v>#DIV/0!</v>
      </c>
      <c r="N1468" s="3" t="e">
        <f ca="1">SQRT(AVERAGE(K1468:OFFSET(K1468,$B$7-1,0))*$B$9/(4*LN(2)))</f>
        <v>#DIV/0!</v>
      </c>
      <c r="O1468" s="3" t="e">
        <f ca="1">SQRT(AVERAGE(K1468:OFFSET(K1468,$B$8-1,0))*$B$9/(4*LN(2)))</f>
        <v>#DIV/0!</v>
      </c>
      <c r="Q1468" s="5" t="e">
        <f t="shared" si="118"/>
        <v>#DIV/0!</v>
      </c>
      <c r="R1468" s="5" t="e">
        <f ca="1">SQRT($B$9*AVERAGE((Q1468:OFFSET(Q1468,$B$5-1,0))))</f>
        <v>#DIV/0!</v>
      </c>
      <c r="S1468" s="5" t="e">
        <f ca="1">SQRT($B$9*AVERAGE((Q1468:OFFSET(Q1468,$B$6-1,0))))</f>
        <v>#DIV/0!</v>
      </c>
      <c r="T1468" s="5" t="e">
        <f ca="1">SQRT($B$9*AVERAGE((Q1468:OFFSET(Q1468,$B$7-1,0))))</f>
        <v>#DIV/0!</v>
      </c>
      <c r="U1468" s="5" t="e">
        <f ca="1">SQRT($B$9*AVERAGE((Q1468:OFFSET(Q1468,$B$8-1,0))))</f>
        <v>#DIV/0!</v>
      </c>
      <c r="W1468" s="6" t="e">
        <f t="shared" si="122"/>
        <v>#DIV/0!</v>
      </c>
      <c r="X1468" s="6" t="e">
        <f ca="1">SQRT($B$9*AVERAGE(W1468:OFFSET(W1468,$B$5-1,0)))</f>
        <v>#DIV/0!</v>
      </c>
      <c r="Y1468" s="6" t="e">
        <f ca="1">SQRT($B$9*AVERAGE(W1468:OFFSET(W1468,$B$6-1,0)))</f>
        <v>#DIV/0!</v>
      </c>
      <c r="Z1468" s="6" t="e">
        <f ca="1">SQRT($B$9*AVERAGE(W1468:OFFSET(W1468,$B$7-1,0)))</f>
        <v>#DIV/0!</v>
      </c>
      <c r="AA1468" s="6" t="e">
        <f ca="1">SQRT($B$9*AVERAGE(W1468:OFFSET(W1468,$B$8-1,0)))</f>
        <v>#DIV/0!</v>
      </c>
      <c r="AC1468" s="34" t="e">
        <f t="shared" si="120"/>
        <v>#DIV/0!</v>
      </c>
      <c r="AD1468" s="34" t="e">
        <f ca="1">SQRT($B$9*SUM(AC1468:OFFSET(AC1468,$B$5-1,0))/($B$5-1))</f>
        <v>#DIV/0!</v>
      </c>
      <c r="AE1468" s="34" t="e">
        <f ca="1">SQRT($B$9*SUM(AC1468:OFFSET(AC1468,$B$6-1,0))/($B$6-1))</f>
        <v>#DIV/0!</v>
      </c>
      <c r="AF1468" s="34" t="e">
        <f ca="1">SQRT($B$9*SUM(AC1468:OFFSET(AC1468,$B$7-1,0))/($B$7-1))</f>
        <v>#DIV/0!</v>
      </c>
      <c r="AG1468" s="34" t="e">
        <f ca="1">SQRT($B$9*SUM(AC1468:OFFSET(AC1468,$B$8-1,0))/($B$8-1))</f>
        <v>#DIV/0!</v>
      </c>
      <c r="AI1468" s="1" t="e">
        <f t="shared" si="121"/>
        <v>#DIV/0!</v>
      </c>
      <c r="AJ1468" s="4" t="e">
        <f ca="1">SQRT($B$9)*_xlfn.STDEV.S(AI1468:OFFSET(AI1468,$B$5-1,0))</f>
        <v>#DIV/0!</v>
      </c>
      <c r="AK1468" s="4" t="e">
        <f ca="1">SQRT($B$9)*_xlfn.STDEV.S(AI1468:OFFSET(AI1468,$B$6-1,0))</f>
        <v>#DIV/0!</v>
      </c>
      <c r="AL1468" s="4" t="e">
        <f ca="1">SQRT($B$9)*_xlfn.STDEV.S(AI1468:OFFSET(AI1468,$B$7-1,0))</f>
        <v>#DIV/0!</v>
      </c>
      <c r="AM1468" s="4" t="e">
        <f ca="1">SQRT($B$9)*_xlfn.STDEV.S(AI1468:OFFSET(AI1468,$B$8-1,0))</f>
        <v>#DIV/0!</v>
      </c>
    </row>
    <row r="1469" spans="11:39" x14ac:dyDescent="0.2">
      <c r="K1469" s="3" t="e">
        <f t="shared" si="119"/>
        <v>#DIV/0!</v>
      </c>
      <c r="L1469" s="3" t="e">
        <f ca="1">SQRT(AVERAGE(K1469:OFFSET(K1469,$B$5-1,0))*$B$9/(4*LN(2)))</f>
        <v>#DIV/0!</v>
      </c>
      <c r="M1469" s="3" t="e">
        <f ca="1">SQRT(AVERAGE(K1469:OFFSET(K1469,$B$6-1,0))*$B$9/(4*LN(2)))</f>
        <v>#DIV/0!</v>
      </c>
      <c r="N1469" s="3" t="e">
        <f ca="1">SQRT(AVERAGE(K1469:OFFSET(K1469,$B$7-1,0))*$B$9/(4*LN(2)))</f>
        <v>#DIV/0!</v>
      </c>
      <c r="O1469" s="3" t="e">
        <f ca="1">SQRT(AVERAGE(K1469:OFFSET(K1469,$B$8-1,0))*$B$9/(4*LN(2)))</f>
        <v>#DIV/0!</v>
      </c>
      <c r="Q1469" s="5" t="e">
        <f t="shared" si="118"/>
        <v>#DIV/0!</v>
      </c>
      <c r="R1469" s="5" t="e">
        <f ca="1">SQRT($B$9*AVERAGE((Q1469:OFFSET(Q1469,$B$5-1,0))))</f>
        <v>#DIV/0!</v>
      </c>
      <c r="S1469" s="5" t="e">
        <f ca="1">SQRT($B$9*AVERAGE((Q1469:OFFSET(Q1469,$B$6-1,0))))</f>
        <v>#DIV/0!</v>
      </c>
      <c r="T1469" s="5" t="e">
        <f ca="1">SQRT($B$9*AVERAGE((Q1469:OFFSET(Q1469,$B$7-1,0))))</f>
        <v>#DIV/0!</v>
      </c>
      <c r="U1469" s="5" t="e">
        <f ca="1">SQRT($B$9*AVERAGE((Q1469:OFFSET(Q1469,$B$8-1,0))))</f>
        <v>#DIV/0!</v>
      </c>
      <c r="W1469" s="6" t="e">
        <f t="shared" si="122"/>
        <v>#DIV/0!</v>
      </c>
      <c r="X1469" s="6" t="e">
        <f ca="1">SQRT($B$9*AVERAGE(W1469:OFFSET(W1469,$B$5-1,0)))</f>
        <v>#DIV/0!</v>
      </c>
      <c r="Y1469" s="6" t="e">
        <f ca="1">SQRT($B$9*AVERAGE(W1469:OFFSET(W1469,$B$6-1,0)))</f>
        <v>#DIV/0!</v>
      </c>
      <c r="Z1469" s="6" t="e">
        <f ca="1">SQRT($B$9*AVERAGE(W1469:OFFSET(W1469,$B$7-1,0)))</f>
        <v>#DIV/0!</v>
      </c>
      <c r="AA1469" s="6" t="e">
        <f ca="1">SQRT($B$9*AVERAGE(W1469:OFFSET(W1469,$B$8-1,0)))</f>
        <v>#DIV/0!</v>
      </c>
      <c r="AC1469" s="34" t="e">
        <f t="shared" si="120"/>
        <v>#DIV/0!</v>
      </c>
      <c r="AD1469" s="34" t="e">
        <f ca="1">SQRT($B$9*SUM(AC1469:OFFSET(AC1469,$B$5-1,0))/($B$5-1))</f>
        <v>#DIV/0!</v>
      </c>
      <c r="AE1469" s="34" t="e">
        <f ca="1">SQRT($B$9*SUM(AC1469:OFFSET(AC1469,$B$6-1,0))/($B$6-1))</f>
        <v>#DIV/0!</v>
      </c>
      <c r="AF1469" s="34" t="e">
        <f ca="1">SQRT($B$9*SUM(AC1469:OFFSET(AC1469,$B$7-1,0))/($B$7-1))</f>
        <v>#DIV/0!</v>
      </c>
      <c r="AG1469" s="34" t="e">
        <f ca="1">SQRT($B$9*SUM(AC1469:OFFSET(AC1469,$B$8-1,0))/($B$8-1))</f>
        <v>#DIV/0!</v>
      </c>
      <c r="AI1469" s="1" t="e">
        <f t="shared" si="121"/>
        <v>#DIV/0!</v>
      </c>
      <c r="AJ1469" s="4" t="e">
        <f ca="1">SQRT($B$9)*_xlfn.STDEV.S(AI1469:OFFSET(AI1469,$B$5-1,0))</f>
        <v>#DIV/0!</v>
      </c>
      <c r="AK1469" s="4" t="e">
        <f ca="1">SQRT($B$9)*_xlfn.STDEV.S(AI1469:OFFSET(AI1469,$B$6-1,0))</f>
        <v>#DIV/0!</v>
      </c>
      <c r="AL1469" s="4" t="e">
        <f ca="1">SQRT($B$9)*_xlfn.STDEV.S(AI1469:OFFSET(AI1469,$B$7-1,0))</f>
        <v>#DIV/0!</v>
      </c>
      <c r="AM1469" s="4" t="e">
        <f ca="1">SQRT($B$9)*_xlfn.STDEV.S(AI1469:OFFSET(AI1469,$B$8-1,0))</f>
        <v>#DIV/0!</v>
      </c>
    </row>
    <row r="1470" spans="11:39" x14ac:dyDescent="0.2">
      <c r="K1470" s="3" t="e">
        <f t="shared" si="119"/>
        <v>#DIV/0!</v>
      </c>
      <c r="L1470" s="3" t="e">
        <f ca="1">SQRT(AVERAGE(K1470:OFFSET(K1470,$B$5-1,0))*$B$9/(4*LN(2)))</f>
        <v>#DIV/0!</v>
      </c>
      <c r="M1470" s="3" t="e">
        <f ca="1">SQRT(AVERAGE(K1470:OFFSET(K1470,$B$6-1,0))*$B$9/(4*LN(2)))</f>
        <v>#DIV/0!</v>
      </c>
      <c r="N1470" s="3" t="e">
        <f ca="1">SQRT(AVERAGE(K1470:OFFSET(K1470,$B$7-1,0))*$B$9/(4*LN(2)))</f>
        <v>#DIV/0!</v>
      </c>
      <c r="O1470" s="3" t="e">
        <f ca="1">SQRT(AVERAGE(K1470:OFFSET(K1470,$B$8-1,0))*$B$9/(4*LN(2)))</f>
        <v>#DIV/0!</v>
      </c>
      <c r="Q1470" s="5" t="e">
        <f t="shared" si="118"/>
        <v>#DIV/0!</v>
      </c>
      <c r="R1470" s="5" t="e">
        <f ca="1">SQRT($B$9*AVERAGE((Q1470:OFFSET(Q1470,$B$5-1,0))))</f>
        <v>#DIV/0!</v>
      </c>
      <c r="S1470" s="5" t="e">
        <f ca="1">SQRT($B$9*AVERAGE((Q1470:OFFSET(Q1470,$B$6-1,0))))</f>
        <v>#DIV/0!</v>
      </c>
      <c r="T1470" s="5" t="e">
        <f ca="1">SQRT($B$9*AVERAGE((Q1470:OFFSET(Q1470,$B$7-1,0))))</f>
        <v>#DIV/0!</v>
      </c>
      <c r="U1470" s="5" t="e">
        <f ca="1">SQRT($B$9*AVERAGE((Q1470:OFFSET(Q1470,$B$8-1,0))))</f>
        <v>#DIV/0!</v>
      </c>
      <c r="W1470" s="6" t="e">
        <f t="shared" si="122"/>
        <v>#DIV/0!</v>
      </c>
      <c r="X1470" s="6" t="e">
        <f ca="1">SQRT($B$9*AVERAGE(W1470:OFFSET(W1470,$B$5-1,0)))</f>
        <v>#DIV/0!</v>
      </c>
      <c r="Y1470" s="6" t="e">
        <f ca="1">SQRT($B$9*AVERAGE(W1470:OFFSET(W1470,$B$6-1,0)))</f>
        <v>#DIV/0!</v>
      </c>
      <c r="Z1470" s="6" t="e">
        <f ca="1">SQRT($B$9*AVERAGE(W1470:OFFSET(W1470,$B$7-1,0)))</f>
        <v>#DIV/0!</v>
      </c>
      <c r="AA1470" s="6" t="e">
        <f ca="1">SQRT($B$9*AVERAGE(W1470:OFFSET(W1470,$B$8-1,0)))</f>
        <v>#DIV/0!</v>
      </c>
      <c r="AC1470" s="34" t="e">
        <f t="shared" si="120"/>
        <v>#DIV/0!</v>
      </c>
      <c r="AD1470" s="34" t="e">
        <f ca="1">SQRT($B$9*SUM(AC1470:OFFSET(AC1470,$B$5-1,0))/($B$5-1))</f>
        <v>#DIV/0!</v>
      </c>
      <c r="AE1470" s="34" t="e">
        <f ca="1">SQRT($B$9*SUM(AC1470:OFFSET(AC1470,$B$6-1,0))/($B$6-1))</f>
        <v>#DIV/0!</v>
      </c>
      <c r="AF1470" s="34" t="e">
        <f ca="1">SQRT($B$9*SUM(AC1470:OFFSET(AC1470,$B$7-1,0))/($B$7-1))</f>
        <v>#DIV/0!</v>
      </c>
      <c r="AG1470" s="34" t="e">
        <f ca="1">SQRT($B$9*SUM(AC1470:OFFSET(AC1470,$B$8-1,0))/($B$8-1))</f>
        <v>#DIV/0!</v>
      </c>
      <c r="AI1470" s="1" t="e">
        <f t="shared" si="121"/>
        <v>#DIV/0!</v>
      </c>
      <c r="AJ1470" s="4" t="e">
        <f ca="1">SQRT($B$9)*_xlfn.STDEV.S(AI1470:OFFSET(AI1470,$B$5-1,0))</f>
        <v>#DIV/0!</v>
      </c>
      <c r="AK1470" s="4" t="e">
        <f ca="1">SQRT($B$9)*_xlfn.STDEV.S(AI1470:OFFSET(AI1470,$B$6-1,0))</f>
        <v>#DIV/0!</v>
      </c>
      <c r="AL1470" s="4" t="e">
        <f ca="1">SQRT($B$9)*_xlfn.STDEV.S(AI1470:OFFSET(AI1470,$B$7-1,0))</f>
        <v>#DIV/0!</v>
      </c>
      <c r="AM1470" s="4" t="e">
        <f ca="1">SQRT($B$9)*_xlfn.STDEV.S(AI1470:OFFSET(AI1470,$B$8-1,0))</f>
        <v>#DIV/0!</v>
      </c>
    </row>
    <row r="1471" spans="11:39" x14ac:dyDescent="0.2">
      <c r="K1471" s="3" t="e">
        <f t="shared" si="119"/>
        <v>#DIV/0!</v>
      </c>
      <c r="L1471" s="3" t="e">
        <f ca="1">SQRT(AVERAGE(K1471:OFFSET(K1471,$B$5-1,0))*$B$9/(4*LN(2)))</f>
        <v>#DIV/0!</v>
      </c>
      <c r="M1471" s="3" t="e">
        <f ca="1">SQRT(AVERAGE(K1471:OFFSET(K1471,$B$6-1,0))*$B$9/(4*LN(2)))</f>
        <v>#DIV/0!</v>
      </c>
      <c r="N1471" s="3" t="e">
        <f ca="1">SQRT(AVERAGE(K1471:OFFSET(K1471,$B$7-1,0))*$B$9/(4*LN(2)))</f>
        <v>#DIV/0!</v>
      </c>
      <c r="O1471" s="3" t="e">
        <f ca="1">SQRT(AVERAGE(K1471:OFFSET(K1471,$B$8-1,0))*$B$9/(4*LN(2)))</f>
        <v>#DIV/0!</v>
      </c>
      <c r="Q1471" s="5" t="e">
        <f t="shared" si="118"/>
        <v>#DIV/0!</v>
      </c>
      <c r="R1471" s="5" t="e">
        <f ca="1">SQRT($B$9*AVERAGE((Q1471:OFFSET(Q1471,$B$5-1,0))))</f>
        <v>#DIV/0!</v>
      </c>
      <c r="S1471" s="5" t="e">
        <f ca="1">SQRT($B$9*AVERAGE((Q1471:OFFSET(Q1471,$B$6-1,0))))</f>
        <v>#DIV/0!</v>
      </c>
      <c r="T1471" s="5" t="e">
        <f ca="1">SQRT($B$9*AVERAGE((Q1471:OFFSET(Q1471,$B$7-1,0))))</f>
        <v>#DIV/0!</v>
      </c>
      <c r="U1471" s="5" t="e">
        <f ca="1">SQRT($B$9*AVERAGE((Q1471:OFFSET(Q1471,$B$8-1,0))))</f>
        <v>#DIV/0!</v>
      </c>
      <c r="W1471" s="6" t="e">
        <f t="shared" si="122"/>
        <v>#DIV/0!</v>
      </c>
      <c r="X1471" s="6" t="e">
        <f ca="1">SQRT($B$9*AVERAGE(W1471:OFFSET(W1471,$B$5-1,0)))</f>
        <v>#DIV/0!</v>
      </c>
      <c r="Y1471" s="6" t="e">
        <f ca="1">SQRT($B$9*AVERAGE(W1471:OFFSET(W1471,$B$6-1,0)))</f>
        <v>#DIV/0!</v>
      </c>
      <c r="Z1471" s="6" t="e">
        <f ca="1">SQRT($B$9*AVERAGE(W1471:OFFSET(W1471,$B$7-1,0)))</f>
        <v>#DIV/0!</v>
      </c>
      <c r="AA1471" s="6" t="e">
        <f ca="1">SQRT($B$9*AVERAGE(W1471:OFFSET(W1471,$B$8-1,0)))</f>
        <v>#DIV/0!</v>
      </c>
      <c r="AC1471" s="34" t="e">
        <f t="shared" si="120"/>
        <v>#DIV/0!</v>
      </c>
      <c r="AD1471" s="34" t="e">
        <f ca="1">SQRT($B$9*SUM(AC1471:OFFSET(AC1471,$B$5-1,0))/($B$5-1))</f>
        <v>#DIV/0!</v>
      </c>
      <c r="AE1471" s="34" t="e">
        <f ca="1">SQRT($B$9*SUM(AC1471:OFFSET(AC1471,$B$6-1,0))/($B$6-1))</f>
        <v>#DIV/0!</v>
      </c>
      <c r="AF1471" s="34" t="e">
        <f ca="1">SQRT($B$9*SUM(AC1471:OFFSET(AC1471,$B$7-1,0))/($B$7-1))</f>
        <v>#DIV/0!</v>
      </c>
      <c r="AG1471" s="34" t="e">
        <f ca="1">SQRT($B$9*SUM(AC1471:OFFSET(AC1471,$B$8-1,0))/($B$8-1))</f>
        <v>#DIV/0!</v>
      </c>
      <c r="AI1471" s="1" t="e">
        <f t="shared" si="121"/>
        <v>#DIV/0!</v>
      </c>
      <c r="AJ1471" s="4" t="e">
        <f ca="1">SQRT($B$9)*_xlfn.STDEV.S(AI1471:OFFSET(AI1471,$B$5-1,0))</f>
        <v>#DIV/0!</v>
      </c>
      <c r="AK1471" s="4" t="e">
        <f ca="1">SQRT($B$9)*_xlfn.STDEV.S(AI1471:OFFSET(AI1471,$B$6-1,0))</f>
        <v>#DIV/0!</v>
      </c>
      <c r="AL1471" s="4" t="e">
        <f ca="1">SQRT($B$9)*_xlfn.STDEV.S(AI1471:OFFSET(AI1471,$B$7-1,0))</f>
        <v>#DIV/0!</v>
      </c>
      <c r="AM1471" s="4" t="e">
        <f ca="1">SQRT($B$9)*_xlfn.STDEV.S(AI1471:OFFSET(AI1471,$B$8-1,0))</f>
        <v>#DIV/0!</v>
      </c>
    </row>
    <row r="1472" spans="11:39" x14ac:dyDescent="0.2">
      <c r="K1472" s="3" t="e">
        <f t="shared" si="119"/>
        <v>#DIV/0!</v>
      </c>
      <c r="L1472" s="3" t="e">
        <f ca="1">SQRT(AVERAGE(K1472:OFFSET(K1472,$B$5-1,0))*$B$9/(4*LN(2)))</f>
        <v>#DIV/0!</v>
      </c>
      <c r="M1472" s="3" t="e">
        <f ca="1">SQRT(AVERAGE(K1472:OFFSET(K1472,$B$6-1,0))*$B$9/(4*LN(2)))</f>
        <v>#DIV/0!</v>
      </c>
      <c r="N1472" s="3" t="e">
        <f ca="1">SQRT(AVERAGE(K1472:OFFSET(K1472,$B$7-1,0))*$B$9/(4*LN(2)))</f>
        <v>#DIV/0!</v>
      </c>
      <c r="O1472" s="3" t="e">
        <f ca="1">SQRT(AVERAGE(K1472:OFFSET(K1472,$B$8-1,0))*$B$9/(4*LN(2)))</f>
        <v>#DIV/0!</v>
      </c>
      <c r="Q1472" s="5" t="e">
        <f t="shared" si="118"/>
        <v>#DIV/0!</v>
      </c>
      <c r="R1472" s="5" t="e">
        <f ca="1">SQRT($B$9*AVERAGE((Q1472:OFFSET(Q1472,$B$5-1,0))))</f>
        <v>#DIV/0!</v>
      </c>
      <c r="S1472" s="5" t="e">
        <f ca="1">SQRT($B$9*AVERAGE((Q1472:OFFSET(Q1472,$B$6-1,0))))</f>
        <v>#DIV/0!</v>
      </c>
      <c r="T1472" s="5" t="e">
        <f ca="1">SQRT($B$9*AVERAGE((Q1472:OFFSET(Q1472,$B$7-1,0))))</f>
        <v>#DIV/0!</v>
      </c>
      <c r="U1472" s="5" t="e">
        <f ca="1">SQRT($B$9*AVERAGE((Q1472:OFFSET(Q1472,$B$8-1,0))))</f>
        <v>#DIV/0!</v>
      </c>
      <c r="W1472" s="6" t="e">
        <f t="shared" si="122"/>
        <v>#DIV/0!</v>
      </c>
      <c r="X1472" s="6" t="e">
        <f ca="1">SQRT($B$9*AVERAGE(W1472:OFFSET(W1472,$B$5-1,0)))</f>
        <v>#DIV/0!</v>
      </c>
      <c r="Y1472" s="6" t="e">
        <f ca="1">SQRT($B$9*AVERAGE(W1472:OFFSET(W1472,$B$6-1,0)))</f>
        <v>#DIV/0!</v>
      </c>
      <c r="Z1472" s="6" t="e">
        <f ca="1">SQRT($B$9*AVERAGE(W1472:OFFSET(W1472,$B$7-1,0)))</f>
        <v>#DIV/0!</v>
      </c>
      <c r="AA1472" s="6" t="e">
        <f ca="1">SQRT($B$9*AVERAGE(W1472:OFFSET(W1472,$B$8-1,0)))</f>
        <v>#DIV/0!</v>
      </c>
      <c r="AC1472" s="34" t="e">
        <f t="shared" si="120"/>
        <v>#DIV/0!</v>
      </c>
      <c r="AD1472" s="34" t="e">
        <f ca="1">SQRT($B$9*SUM(AC1472:OFFSET(AC1472,$B$5-1,0))/($B$5-1))</f>
        <v>#DIV/0!</v>
      </c>
      <c r="AE1472" s="34" t="e">
        <f ca="1">SQRT($B$9*SUM(AC1472:OFFSET(AC1472,$B$6-1,0))/($B$6-1))</f>
        <v>#DIV/0!</v>
      </c>
      <c r="AF1472" s="34" t="e">
        <f ca="1">SQRT($B$9*SUM(AC1472:OFFSET(AC1472,$B$7-1,0))/($B$7-1))</f>
        <v>#DIV/0!</v>
      </c>
      <c r="AG1472" s="34" t="e">
        <f ca="1">SQRT($B$9*SUM(AC1472:OFFSET(AC1472,$B$8-1,0))/($B$8-1))</f>
        <v>#DIV/0!</v>
      </c>
      <c r="AI1472" s="1" t="e">
        <f t="shared" si="121"/>
        <v>#DIV/0!</v>
      </c>
      <c r="AJ1472" s="4" t="e">
        <f ca="1">SQRT($B$9)*_xlfn.STDEV.S(AI1472:OFFSET(AI1472,$B$5-1,0))</f>
        <v>#DIV/0!</v>
      </c>
      <c r="AK1472" s="4" t="e">
        <f ca="1">SQRT($B$9)*_xlfn.STDEV.S(AI1472:OFFSET(AI1472,$B$6-1,0))</f>
        <v>#DIV/0!</v>
      </c>
      <c r="AL1472" s="4" t="e">
        <f ca="1">SQRT($B$9)*_xlfn.STDEV.S(AI1472:OFFSET(AI1472,$B$7-1,0))</f>
        <v>#DIV/0!</v>
      </c>
      <c r="AM1472" s="4" t="e">
        <f ca="1">SQRT($B$9)*_xlfn.STDEV.S(AI1472:OFFSET(AI1472,$B$8-1,0))</f>
        <v>#DIV/0!</v>
      </c>
    </row>
    <row r="1473" spans="11:39" x14ac:dyDescent="0.2">
      <c r="K1473" s="3" t="e">
        <f t="shared" si="119"/>
        <v>#DIV/0!</v>
      </c>
      <c r="L1473" s="3" t="e">
        <f ca="1">SQRT(AVERAGE(K1473:OFFSET(K1473,$B$5-1,0))*$B$9/(4*LN(2)))</f>
        <v>#DIV/0!</v>
      </c>
      <c r="M1473" s="3" t="e">
        <f ca="1">SQRT(AVERAGE(K1473:OFFSET(K1473,$B$6-1,0))*$B$9/(4*LN(2)))</f>
        <v>#DIV/0!</v>
      </c>
      <c r="N1473" s="3" t="e">
        <f ca="1">SQRT(AVERAGE(K1473:OFFSET(K1473,$B$7-1,0))*$B$9/(4*LN(2)))</f>
        <v>#DIV/0!</v>
      </c>
      <c r="O1473" s="3" t="e">
        <f ca="1">SQRT(AVERAGE(K1473:OFFSET(K1473,$B$8-1,0))*$B$9/(4*LN(2)))</f>
        <v>#DIV/0!</v>
      </c>
      <c r="Q1473" s="5" t="e">
        <f t="shared" si="118"/>
        <v>#DIV/0!</v>
      </c>
      <c r="R1473" s="5" t="e">
        <f ca="1">SQRT($B$9*AVERAGE((Q1473:OFFSET(Q1473,$B$5-1,0))))</f>
        <v>#DIV/0!</v>
      </c>
      <c r="S1473" s="5" t="e">
        <f ca="1">SQRT($B$9*AVERAGE((Q1473:OFFSET(Q1473,$B$6-1,0))))</f>
        <v>#DIV/0!</v>
      </c>
      <c r="T1473" s="5" t="e">
        <f ca="1">SQRT($B$9*AVERAGE((Q1473:OFFSET(Q1473,$B$7-1,0))))</f>
        <v>#DIV/0!</v>
      </c>
      <c r="U1473" s="5" t="e">
        <f ca="1">SQRT($B$9*AVERAGE((Q1473:OFFSET(Q1473,$B$8-1,0))))</f>
        <v>#DIV/0!</v>
      </c>
      <c r="W1473" s="6" t="e">
        <f t="shared" si="122"/>
        <v>#DIV/0!</v>
      </c>
      <c r="X1473" s="6" t="e">
        <f ca="1">SQRT($B$9*AVERAGE(W1473:OFFSET(W1473,$B$5-1,0)))</f>
        <v>#DIV/0!</v>
      </c>
      <c r="Y1473" s="6" t="e">
        <f ca="1">SQRT($B$9*AVERAGE(W1473:OFFSET(W1473,$B$6-1,0)))</f>
        <v>#DIV/0!</v>
      </c>
      <c r="Z1473" s="6" t="e">
        <f ca="1">SQRT($B$9*AVERAGE(W1473:OFFSET(W1473,$B$7-1,0)))</f>
        <v>#DIV/0!</v>
      </c>
      <c r="AA1473" s="6" t="e">
        <f ca="1">SQRT($B$9*AVERAGE(W1473:OFFSET(W1473,$B$8-1,0)))</f>
        <v>#DIV/0!</v>
      </c>
      <c r="AC1473" s="34" t="e">
        <f t="shared" si="120"/>
        <v>#DIV/0!</v>
      </c>
      <c r="AD1473" s="34" t="e">
        <f ca="1">SQRT($B$9*SUM(AC1473:OFFSET(AC1473,$B$5-1,0))/($B$5-1))</f>
        <v>#DIV/0!</v>
      </c>
      <c r="AE1473" s="34" t="e">
        <f ca="1">SQRT($B$9*SUM(AC1473:OFFSET(AC1473,$B$6-1,0))/($B$6-1))</f>
        <v>#DIV/0!</v>
      </c>
      <c r="AF1473" s="34" t="e">
        <f ca="1">SQRT($B$9*SUM(AC1473:OFFSET(AC1473,$B$7-1,0))/($B$7-1))</f>
        <v>#DIV/0!</v>
      </c>
      <c r="AG1473" s="34" t="e">
        <f ca="1">SQRT($B$9*SUM(AC1473:OFFSET(AC1473,$B$8-1,0))/($B$8-1))</f>
        <v>#DIV/0!</v>
      </c>
      <c r="AI1473" s="1" t="e">
        <f t="shared" si="121"/>
        <v>#DIV/0!</v>
      </c>
      <c r="AJ1473" s="4" t="e">
        <f ca="1">SQRT($B$9)*_xlfn.STDEV.S(AI1473:OFFSET(AI1473,$B$5-1,0))</f>
        <v>#DIV/0!</v>
      </c>
      <c r="AK1473" s="4" t="e">
        <f ca="1">SQRT($B$9)*_xlfn.STDEV.S(AI1473:OFFSET(AI1473,$B$6-1,0))</f>
        <v>#DIV/0!</v>
      </c>
      <c r="AL1473" s="4" t="e">
        <f ca="1">SQRT($B$9)*_xlfn.STDEV.S(AI1473:OFFSET(AI1473,$B$7-1,0))</f>
        <v>#DIV/0!</v>
      </c>
      <c r="AM1473" s="4" t="e">
        <f ca="1">SQRT($B$9)*_xlfn.STDEV.S(AI1473:OFFSET(AI1473,$B$8-1,0))</f>
        <v>#DIV/0!</v>
      </c>
    </row>
    <row r="1474" spans="11:39" x14ac:dyDescent="0.2">
      <c r="K1474" s="3" t="e">
        <f t="shared" si="119"/>
        <v>#DIV/0!</v>
      </c>
      <c r="L1474" s="3" t="e">
        <f ca="1">SQRT(AVERAGE(K1474:OFFSET(K1474,$B$5-1,0))*$B$9/(4*LN(2)))</f>
        <v>#DIV/0!</v>
      </c>
      <c r="M1474" s="3" t="e">
        <f ca="1">SQRT(AVERAGE(K1474:OFFSET(K1474,$B$6-1,0))*$B$9/(4*LN(2)))</f>
        <v>#DIV/0!</v>
      </c>
      <c r="N1474" s="3" t="e">
        <f ca="1">SQRT(AVERAGE(K1474:OFFSET(K1474,$B$7-1,0))*$B$9/(4*LN(2)))</f>
        <v>#DIV/0!</v>
      </c>
      <c r="O1474" s="3" t="e">
        <f ca="1">SQRT(AVERAGE(K1474:OFFSET(K1474,$B$8-1,0))*$B$9/(4*LN(2)))</f>
        <v>#DIV/0!</v>
      </c>
      <c r="Q1474" s="5" t="e">
        <f t="shared" si="118"/>
        <v>#DIV/0!</v>
      </c>
      <c r="R1474" s="5" t="e">
        <f ca="1">SQRT($B$9*AVERAGE((Q1474:OFFSET(Q1474,$B$5-1,0))))</f>
        <v>#DIV/0!</v>
      </c>
      <c r="S1474" s="5" t="e">
        <f ca="1">SQRT($B$9*AVERAGE((Q1474:OFFSET(Q1474,$B$6-1,0))))</f>
        <v>#DIV/0!</v>
      </c>
      <c r="T1474" s="5" t="e">
        <f ca="1">SQRT($B$9*AVERAGE((Q1474:OFFSET(Q1474,$B$7-1,0))))</f>
        <v>#DIV/0!</v>
      </c>
      <c r="U1474" s="5" t="e">
        <f ca="1">SQRT($B$9*AVERAGE((Q1474:OFFSET(Q1474,$B$8-1,0))))</f>
        <v>#DIV/0!</v>
      </c>
      <c r="W1474" s="6" t="e">
        <f t="shared" si="122"/>
        <v>#DIV/0!</v>
      </c>
      <c r="X1474" s="6" t="e">
        <f ca="1">SQRT($B$9*AVERAGE(W1474:OFFSET(W1474,$B$5-1,0)))</f>
        <v>#DIV/0!</v>
      </c>
      <c r="Y1474" s="6" t="e">
        <f ca="1">SQRT($B$9*AVERAGE(W1474:OFFSET(W1474,$B$6-1,0)))</f>
        <v>#DIV/0!</v>
      </c>
      <c r="Z1474" s="6" t="e">
        <f ca="1">SQRT($B$9*AVERAGE(W1474:OFFSET(W1474,$B$7-1,0)))</f>
        <v>#DIV/0!</v>
      </c>
      <c r="AA1474" s="6" t="e">
        <f ca="1">SQRT($B$9*AVERAGE(W1474:OFFSET(W1474,$B$8-1,0)))</f>
        <v>#DIV/0!</v>
      </c>
      <c r="AC1474" s="34" t="e">
        <f t="shared" si="120"/>
        <v>#DIV/0!</v>
      </c>
      <c r="AD1474" s="34" t="e">
        <f ca="1">SQRT($B$9*SUM(AC1474:OFFSET(AC1474,$B$5-1,0))/($B$5-1))</f>
        <v>#DIV/0!</v>
      </c>
      <c r="AE1474" s="34" t="e">
        <f ca="1">SQRT($B$9*SUM(AC1474:OFFSET(AC1474,$B$6-1,0))/($B$6-1))</f>
        <v>#DIV/0!</v>
      </c>
      <c r="AF1474" s="34" t="e">
        <f ca="1">SQRT($B$9*SUM(AC1474:OFFSET(AC1474,$B$7-1,0))/($B$7-1))</f>
        <v>#DIV/0!</v>
      </c>
      <c r="AG1474" s="34" t="e">
        <f ca="1">SQRT($B$9*SUM(AC1474:OFFSET(AC1474,$B$8-1,0))/($B$8-1))</f>
        <v>#DIV/0!</v>
      </c>
      <c r="AI1474" s="1" t="e">
        <f t="shared" si="121"/>
        <v>#DIV/0!</v>
      </c>
      <c r="AJ1474" s="4" t="e">
        <f ca="1">SQRT($B$9)*_xlfn.STDEV.S(AI1474:OFFSET(AI1474,$B$5-1,0))</f>
        <v>#DIV/0!</v>
      </c>
      <c r="AK1474" s="4" t="e">
        <f ca="1">SQRT($B$9)*_xlfn.STDEV.S(AI1474:OFFSET(AI1474,$B$6-1,0))</f>
        <v>#DIV/0!</v>
      </c>
      <c r="AL1474" s="4" t="e">
        <f ca="1">SQRT($B$9)*_xlfn.STDEV.S(AI1474:OFFSET(AI1474,$B$7-1,0))</f>
        <v>#DIV/0!</v>
      </c>
      <c r="AM1474" s="4" t="e">
        <f ca="1">SQRT($B$9)*_xlfn.STDEV.S(AI1474:OFFSET(AI1474,$B$8-1,0))</f>
        <v>#DIV/0!</v>
      </c>
    </row>
    <row r="1475" spans="11:39" x14ac:dyDescent="0.2">
      <c r="K1475" s="3" t="e">
        <f t="shared" si="119"/>
        <v>#DIV/0!</v>
      </c>
      <c r="L1475" s="3" t="e">
        <f ca="1">SQRT(AVERAGE(K1475:OFFSET(K1475,$B$5-1,0))*$B$9/(4*LN(2)))</f>
        <v>#DIV/0!</v>
      </c>
      <c r="M1475" s="3" t="e">
        <f ca="1">SQRT(AVERAGE(K1475:OFFSET(K1475,$B$6-1,0))*$B$9/(4*LN(2)))</f>
        <v>#DIV/0!</v>
      </c>
      <c r="N1475" s="3" t="e">
        <f ca="1">SQRT(AVERAGE(K1475:OFFSET(K1475,$B$7-1,0))*$B$9/(4*LN(2)))</f>
        <v>#DIV/0!</v>
      </c>
      <c r="O1475" s="3" t="e">
        <f ca="1">SQRT(AVERAGE(K1475:OFFSET(K1475,$B$8-1,0))*$B$9/(4*LN(2)))</f>
        <v>#DIV/0!</v>
      </c>
      <c r="Q1475" s="5" t="e">
        <f t="shared" si="118"/>
        <v>#DIV/0!</v>
      </c>
      <c r="R1475" s="5" t="e">
        <f ca="1">SQRT($B$9*AVERAGE((Q1475:OFFSET(Q1475,$B$5-1,0))))</f>
        <v>#DIV/0!</v>
      </c>
      <c r="S1475" s="5" t="e">
        <f ca="1">SQRT($B$9*AVERAGE((Q1475:OFFSET(Q1475,$B$6-1,0))))</f>
        <v>#DIV/0!</v>
      </c>
      <c r="T1475" s="5" t="e">
        <f ca="1">SQRT($B$9*AVERAGE((Q1475:OFFSET(Q1475,$B$7-1,0))))</f>
        <v>#DIV/0!</v>
      </c>
      <c r="U1475" s="5" t="e">
        <f ca="1">SQRT($B$9*AVERAGE((Q1475:OFFSET(Q1475,$B$8-1,0))))</f>
        <v>#DIV/0!</v>
      </c>
      <c r="W1475" s="6" t="e">
        <f t="shared" si="122"/>
        <v>#DIV/0!</v>
      </c>
      <c r="X1475" s="6" t="e">
        <f ca="1">SQRT($B$9*AVERAGE(W1475:OFFSET(W1475,$B$5-1,0)))</f>
        <v>#DIV/0!</v>
      </c>
      <c r="Y1475" s="6" t="e">
        <f ca="1">SQRT($B$9*AVERAGE(W1475:OFFSET(W1475,$B$6-1,0)))</f>
        <v>#DIV/0!</v>
      </c>
      <c r="Z1475" s="6" t="e">
        <f ca="1">SQRT($B$9*AVERAGE(W1475:OFFSET(W1475,$B$7-1,0)))</f>
        <v>#DIV/0!</v>
      </c>
      <c r="AA1475" s="6" t="e">
        <f ca="1">SQRT($B$9*AVERAGE(W1475:OFFSET(W1475,$B$8-1,0)))</f>
        <v>#DIV/0!</v>
      </c>
      <c r="AC1475" s="34" t="e">
        <f t="shared" si="120"/>
        <v>#DIV/0!</v>
      </c>
      <c r="AD1475" s="34" t="e">
        <f ca="1">SQRT($B$9*SUM(AC1475:OFFSET(AC1475,$B$5-1,0))/($B$5-1))</f>
        <v>#DIV/0!</v>
      </c>
      <c r="AE1475" s="34" t="e">
        <f ca="1">SQRT($B$9*SUM(AC1475:OFFSET(AC1475,$B$6-1,0))/($B$6-1))</f>
        <v>#DIV/0!</v>
      </c>
      <c r="AF1475" s="34" t="e">
        <f ca="1">SQRT($B$9*SUM(AC1475:OFFSET(AC1475,$B$7-1,0))/($B$7-1))</f>
        <v>#DIV/0!</v>
      </c>
      <c r="AG1475" s="34" t="e">
        <f ca="1">SQRT($B$9*SUM(AC1475:OFFSET(AC1475,$B$8-1,0))/($B$8-1))</f>
        <v>#DIV/0!</v>
      </c>
      <c r="AI1475" s="1" t="e">
        <f t="shared" si="121"/>
        <v>#DIV/0!</v>
      </c>
      <c r="AJ1475" s="4" t="e">
        <f ca="1">SQRT($B$9)*_xlfn.STDEV.S(AI1475:OFFSET(AI1475,$B$5-1,0))</f>
        <v>#DIV/0!</v>
      </c>
      <c r="AK1475" s="4" t="e">
        <f ca="1">SQRT($B$9)*_xlfn.STDEV.S(AI1475:OFFSET(AI1475,$B$6-1,0))</f>
        <v>#DIV/0!</v>
      </c>
      <c r="AL1475" s="4" t="e">
        <f ca="1">SQRT($B$9)*_xlfn.STDEV.S(AI1475:OFFSET(AI1475,$B$7-1,0))</f>
        <v>#DIV/0!</v>
      </c>
      <c r="AM1475" s="4" t="e">
        <f ca="1">SQRT($B$9)*_xlfn.STDEV.S(AI1475:OFFSET(AI1475,$B$8-1,0))</f>
        <v>#DIV/0!</v>
      </c>
    </row>
    <row r="1476" spans="11:39" x14ac:dyDescent="0.2">
      <c r="K1476" s="3" t="e">
        <f t="shared" si="119"/>
        <v>#DIV/0!</v>
      </c>
      <c r="L1476" s="3" t="e">
        <f ca="1">SQRT(AVERAGE(K1476:OFFSET(K1476,$B$5-1,0))*$B$9/(4*LN(2)))</f>
        <v>#DIV/0!</v>
      </c>
      <c r="M1476" s="3" t="e">
        <f ca="1">SQRT(AVERAGE(K1476:OFFSET(K1476,$B$6-1,0))*$B$9/(4*LN(2)))</f>
        <v>#DIV/0!</v>
      </c>
      <c r="N1476" s="3" t="e">
        <f ca="1">SQRT(AVERAGE(K1476:OFFSET(K1476,$B$7-1,0))*$B$9/(4*LN(2)))</f>
        <v>#DIV/0!</v>
      </c>
      <c r="O1476" s="3" t="e">
        <f ca="1">SQRT(AVERAGE(K1476:OFFSET(K1476,$B$8-1,0))*$B$9/(4*LN(2)))</f>
        <v>#DIV/0!</v>
      </c>
      <c r="Q1476" s="5" t="e">
        <f t="shared" si="118"/>
        <v>#DIV/0!</v>
      </c>
      <c r="R1476" s="5" t="e">
        <f ca="1">SQRT($B$9*AVERAGE((Q1476:OFFSET(Q1476,$B$5-1,0))))</f>
        <v>#DIV/0!</v>
      </c>
      <c r="S1476" s="5" t="e">
        <f ca="1">SQRT($B$9*AVERAGE((Q1476:OFFSET(Q1476,$B$6-1,0))))</f>
        <v>#DIV/0!</v>
      </c>
      <c r="T1476" s="5" t="e">
        <f ca="1">SQRT($B$9*AVERAGE((Q1476:OFFSET(Q1476,$B$7-1,0))))</f>
        <v>#DIV/0!</v>
      </c>
      <c r="U1476" s="5" t="e">
        <f ca="1">SQRT($B$9*AVERAGE((Q1476:OFFSET(Q1476,$B$8-1,0))))</f>
        <v>#DIV/0!</v>
      </c>
      <c r="W1476" s="6" t="e">
        <f t="shared" si="122"/>
        <v>#DIV/0!</v>
      </c>
      <c r="X1476" s="6" t="e">
        <f ca="1">SQRT($B$9*AVERAGE(W1476:OFFSET(W1476,$B$5-1,0)))</f>
        <v>#DIV/0!</v>
      </c>
      <c r="Y1476" s="6" t="e">
        <f ca="1">SQRT($B$9*AVERAGE(W1476:OFFSET(W1476,$B$6-1,0)))</f>
        <v>#DIV/0!</v>
      </c>
      <c r="Z1476" s="6" t="e">
        <f ca="1">SQRT($B$9*AVERAGE(W1476:OFFSET(W1476,$B$7-1,0)))</f>
        <v>#DIV/0!</v>
      </c>
      <c r="AA1476" s="6" t="e">
        <f ca="1">SQRT($B$9*AVERAGE(W1476:OFFSET(W1476,$B$8-1,0)))</f>
        <v>#DIV/0!</v>
      </c>
      <c r="AC1476" s="34" t="e">
        <f t="shared" si="120"/>
        <v>#DIV/0!</v>
      </c>
      <c r="AD1476" s="34" t="e">
        <f ca="1">SQRT($B$9*SUM(AC1476:OFFSET(AC1476,$B$5-1,0))/($B$5-1))</f>
        <v>#DIV/0!</v>
      </c>
      <c r="AE1476" s="34" t="e">
        <f ca="1">SQRT($B$9*SUM(AC1476:OFFSET(AC1476,$B$6-1,0))/($B$6-1))</f>
        <v>#DIV/0!</v>
      </c>
      <c r="AF1476" s="34" t="e">
        <f ca="1">SQRT($B$9*SUM(AC1476:OFFSET(AC1476,$B$7-1,0))/($B$7-1))</f>
        <v>#DIV/0!</v>
      </c>
      <c r="AG1476" s="34" t="e">
        <f ca="1">SQRT($B$9*SUM(AC1476:OFFSET(AC1476,$B$8-1,0))/($B$8-1))</f>
        <v>#DIV/0!</v>
      </c>
      <c r="AI1476" s="1" t="e">
        <f t="shared" si="121"/>
        <v>#DIV/0!</v>
      </c>
      <c r="AJ1476" s="4" t="e">
        <f ca="1">SQRT($B$9)*_xlfn.STDEV.S(AI1476:OFFSET(AI1476,$B$5-1,0))</f>
        <v>#DIV/0!</v>
      </c>
      <c r="AK1476" s="4" t="e">
        <f ca="1">SQRT($B$9)*_xlfn.STDEV.S(AI1476:OFFSET(AI1476,$B$6-1,0))</f>
        <v>#DIV/0!</v>
      </c>
      <c r="AL1476" s="4" t="e">
        <f ca="1">SQRT($B$9)*_xlfn.STDEV.S(AI1476:OFFSET(AI1476,$B$7-1,0))</f>
        <v>#DIV/0!</v>
      </c>
      <c r="AM1476" s="4" t="e">
        <f ca="1">SQRT($B$9)*_xlfn.STDEV.S(AI1476:OFFSET(AI1476,$B$8-1,0))</f>
        <v>#DIV/0!</v>
      </c>
    </row>
    <row r="1477" spans="11:39" x14ac:dyDescent="0.2">
      <c r="K1477" s="3" t="e">
        <f t="shared" si="119"/>
        <v>#DIV/0!</v>
      </c>
      <c r="L1477" s="3" t="e">
        <f ca="1">SQRT(AVERAGE(K1477:OFFSET(K1477,$B$5-1,0))*$B$9/(4*LN(2)))</f>
        <v>#DIV/0!</v>
      </c>
      <c r="M1477" s="3" t="e">
        <f ca="1">SQRT(AVERAGE(K1477:OFFSET(K1477,$B$6-1,0))*$B$9/(4*LN(2)))</f>
        <v>#DIV/0!</v>
      </c>
      <c r="N1477" s="3" t="e">
        <f ca="1">SQRT(AVERAGE(K1477:OFFSET(K1477,$B$7-1,0))*$B$9/(4*LN(2)))</f>
        <v>#DIV/0!</v>
      </c>
      <c r="O1477" s="3" t="e">
        <f ca="1">SQRT(AVERAGE(K1477:OFFSET(K1477,$B$8-1,0))*$B$9/(4*LN(2)))</f>
        <v>#DIV/0!</v>
      </c>
      <c r="Q1477" s="5" t="e">
        <f t="shared" ref="Q1477:Q1540" si="123">0.511*(LN(G1477/H1477))^2-0.019*(LN(I1477/F1477)*LN(G1477*H1477/F1477^2)-2*LN(G1477/F1477)*LN(H1477/F1477))-0.383*(LN(I1477/F1477))^2</f>
        <v>#DIV/0!</v>
      </c>
      <c r="R1477" s="5" t="e">
        <f ca="1">SQRT($B$9*AVERAGE((Q1477:OFFSET(Q1477,$B$5-1,0))))</f>
        <v>#DIV/0!</v>
      </c>
      <c r="S1477" s="5" t="e">
        <f ca="1">SQRT($B$9*AVERAGE((Q1477:OFFSET(Q1477,$B$6-1,0))))</f>
        <v>#DIV/0!</v>
      </c>
      <c r="T1477" s="5" t="e">
        <f ca="1">SQRT($B$9*AVERAGE((Q1477:OFFSET(Q1477,$B$7-1,0))))</f>
        <v>#DIV/0!</v>
      </c>
      <c r="U1477" s="5" t="e">
        <f ca="1">SQRT($B$9*AVERAGE((Q1477:OFFSET(Q1477,$B$8-1,0))))</f>
        <v>#DIV/0!</v>
      </c>
      <c r="W1477" s="6" t="e">
        <f t="shared" si="122"/>
        <v>#DIV/0!</v>
      </c>
      <c r="X1477" s="6" t="e">
        <f ca="1">SQRT($B$9*AVERAGE(W1477:OFFSET(W1477,$B$5-1,0)))</f>
        <v>#DIV/0!</v>
      </c>
      <c r="Y1477" s="6" t="e">
        <f ca="1">SQRT($B$9*AVERAGE(W1477:OFFSET(W1477,$B$6-1,0)))</f>
        <v>#DIV/0!</v>
      </c>
      <c r="Z1477" s="6" t="e">
        <f ca="1">SQRT($B$9*AVERAGE(W1477:OFFSET(W1477,$B$7-1,0)))</f>
        <v>#DIV/0!</v>
      </c>
      <c r="AA1477" s="6" t="e">
        <f ca="1">SQRT($B$9*AVERAGE(W1477:OFFSET(W1477,$B$8-1,0)))</f>
        <v>#DIV/0!</v>
      </c>
      <c r="AC1477" s="34" t="e">
        <f t="shared" si="120"/>
        <v>#DIV/0!</v>
      </c>
      <c r="AD1477" s="34" t="e">
        <f ca="1">SQRT($B$9*SUM(AC1477:OFFSET(AC1477,$B$5-1,0))/($B$5-1))</f>
        <v>#DIV/0!</v>
      </c>
      <c r="AE1477" s="34" t="e">
        <f ca="1">SQRT($B$9*SUM(AC1477:OFFSET(AC1477,$B$6-1,0))/($B$6-1))</f>
        <v>#DIV/0!</v>
      </c>
      <c r="AF1477" s="34" t="e">
        <f ca="1">SQRT($B$9*SUM(AC1477:OFFSET(AC1477,$B$7-1,0))/($B$7-1))</f>
        <v>#DIV/0!</v>
      </c>
      <c r="AG1477" s="34" t="e">
        <f ca="1">SQRT($B$9*SUM(AC1477:OFFSET(AC1477,$B$8-1,0))/($B$8-1))</f>
        <v>#DIV/0!</v>
      </c>
      <c r="AI1477" s="1" t="e">
        <f t="shared" si="121"/>
        <v>#DIV/0!</v>
      </c>
      <c r="AJ1477" s="4" t="e">
        <f ca="1">SQRT($B$9)*_xlfn.STDEV.S(AI1477:OFFSET(AI1477,$B$5-1,0))</f>
        <v>#DIV/0!</v>
      </c>
      <c r="AK1477" s="4" t="e">
        <f ca="1">SQRT($B$9)*_xlfn.STDEV.S(AI1477:OFFSET(AI1477,$B$6-1,0))</f>
        <v>#DIV/0!</v>
      </c>
      <c r="AL1477" s="4" t="e">
        <f ca="1">SQRT($B$9)*_xlfn.STDEV.S(AI1477:OFFSET(AI1477,$B$7-1,0))</f>
        <v>#DIV/0!</v>
      </c>
      <c r="AM1477" s="4" t="e">
        <f ca="1">SQRT($B$9)*_xlfn.STDEV.S(AI1477:OFFSET(AI1477,$B$8-1,0))</f>
        <v>#DIV/0!</v>
      </c>
    </row>
    <row r="1478" spans="11:39" x14ac:dyDescent="0.2">
      <c r="K1478" s="3" t="e">
        <f t="shared" ref="K1478:K1541" si="124">(LN(G1478/H1478))^2</f>
        <v>#DIV/0!</v>
      </c>
      <c r="L1478" s="3" t="e">
        <f ca="1">SQRT(AVERAGE(K1478:OFFSET(K1478,$B$5-1,0))*$B$9/(4*LN(2)))</f>
        <v>#DIV/0!</v>
      </c>
      <c r="M1478" s="3" t="e">
        <f ca="1">SQRT(AVERAGE(K1478:OFFSET(K1478,$B$6-1,0))*$B$9/(4*LN(2)))</f>
        <v>#DIV/0!</v>
      </c>
      <c r="N1478" s="3" t="e">
        <f ca="1">SQRT(AVERAGE(K1478:OFFSET(K1478,$B$7-1,0))*$B$9/(4*LN(2)))</f>
        <v>#DIV/0!</v>
      </c>
      <c r="O1478" s="3" t="e">
        <f ca="1">SQRT(AVERAGE(K1478:OFFSET(K1478,$B$8-1,0))*$B$9/(4*LN(2)))</f>
        <v>#DIV/0!</v>
      </c>
      <c r="Q1478" s="5" t="e">
        <f t="shared" si="123"/>
        <v>#DIV/0!</v>
      </c>
      <c r="R1478" s="5" t="e">
        <f ca="1">SQRT($B$9*AVERAGE((Q1478:OFFSET(Q1478,$B$5-1,0))))</f>
        <v>#DIV/0!</v>
      </c>
      <c r="S1478" s="5" t="e">
        <f ca="1">SQRT($B$9*AVERAGE((Q1478:OFFSET(Q1478,$B$6-1,0))))</f>
        <v>#DIV/0!</v>
      </c>
      <c r="T1478" s="5" t="e">
        <f ca="1">SQRT($B$9*AVERAGE((Q1478:OFFSET(Q1478,$B$7-1,0))))</f>
        <v>#DIV/0!</v>
      </c>
      <c r="U1478" s="5" t="e">
        <f ca="1">SQRT($B$9*AVERAGE((Q1478:OFFSET(Q1478,$B$8-1,0))))</f>
        <v>#DIV/0!</v>
      </c>
      <c r="W1478" s="6" t="e">
        <f t="shared" si="122"/>
        <v>#DIV/0!</v>
      </c>
      <c r="X1478" s="6" t="e">
        <f ca="1">SQRT($B$9*AVERAGE(W1478:OFFSET(W1478,$B$5-1,0)))</f>
        <v>#DIV/0!</v>
      </c>
      <c r="Y1478" s="6" t="e">
        <f ca="1">SQRT($B$9*AVERAGE(W1478:OFFSET(W1478,$B$6-1,0)))</f>
        <v>#DIV/0!</v>
      </c>
      <c r="Z1478" s="6" t="e">
        <f ca="1">SQRT($B$9*AVERAGE(W1478:OFFSET(W1478,$B$7-1,0)))</f>
        <v>#DIV/0!</v>
      </c>
      <c r="AA1478" s="6" t="e">
        <f ca="1">SQRT($B$9*AVERAGE(W1478:OFFSET(W1478,$B$8-1,0)))</f>
        <v>#DIV/0!</v>
      </c>
      <c r="AC1478" s="34" t="e">
        <f t="shared" si="120"/>
        <v>#DIV/0!</v>
      </c>
      <c r="AD1478" s="34" t="e">
        <f ca="1">SQRT($B$9*SUM(AC1478:OFFSET(AC1478,$B$5-1,0))/($B$5-1))</f>
        <v>#DIV/0!</v>
      </c>
      <c r="AE1478" s="34" t="e">
        <f ca="1">SQRT($B$9*SUM(AC1478:OFFSET(AC1478,$B$6-1,0))/($B$6-1))</f>
        <v>#DIV/0!</v>
      </c>
      <c r="AF1478" s="34" t="e">
        <f ca="1">SQRT($B$9*SUM(AC1478:OFFSET(AC1478,$B$7-1,0))/($B$7-1))</f>
        <v>#DIV/0!</v>
      </c>
      <c r="AG1478" s="34" t="e">
        <f ca="1">SQRT($B$9*SUM(AC1478:OFFSET(AC1478,$B$8-1,0))/($B$8-1))</f>
        <v>#DIV/0!</v>
      </c>
      <c r="AI1478" s="1" t="e">
        <f t="shared" si="121"/>
        <v>#DIV/0!</v>
      </c>
      <c r="AJ1478" s="4" t="e">
        <f ca="1">SQRT($B$9)*_xlfn.STDEV.S(AI1478:OFFSET(AI1478,$B$5-1,0))</f>
        <v>#DIV/0!</v>
      </c>
      <c r="AK1478" s="4" t="e">
        <f ca="1">SQRT($B$9)*_xlfn.STDEV.S(AI1478:OFFSET(AI1478,$B$6-1,0))</f>
        <v>#DIV/0!</v>
      </c>
      <c r="AL1478" s="4" t="e">
        <f ca="1">SQRT($B$9)*_xlfn.STDEV.S(AI1478:OFFSET(AI1478,$B$7-1,0))</f>
        <v>#DIV/0!</v>
      </c>
      <c r="AM1478" s="4" t="e">
        <f ca="1">SQRT($B$9)*_xlfn.STDEV.S(AI1478:OFFSET(AI1478,$B$8-1,0))</f>
        <v>#DIV/0!</v>
      </c>
    </row>
    <row r="1479" spans="11:39" x14ac:dyDescent="0.2">
      <c r="K1479" s="3" t="e">
        <f t="shared" si="124"/>
        <v>#DIV/0!</v>
      </c>
      <c r="L1479" s="3" t="e">
        <f ca="1">SQRT(AVERAGE(K1479:OFFSET(K1479,$B$5-1,0))*$B$9/(4*LN(2)))</f>
        <v>#DIV/0!</v>
      </c>
      <c r="M1479" s="3" t="e">
        <f ca="1">SQRT(AVERAGE(K1479:OFFSET(K1479,$B$6-1,0))*$B$9/(4*LN(2)))</f>
        <v>#DIV/0!</v>
      </c>
      <c r="N1479" s="3" t="e">
        <f ca="1">SQRT(AVERAGE(K1479:OFFSET(K1479,$B$7-1,0))*$B$9/(4*LN(2)))</f>
        <v>#DIV/0!</v>
      </c>
      <c r="O1479" s="3" t="e">
        <f ca="1">SQRT(AVERAGE(K1479:OFFSET(K1479,$B$8-1,0))*$B$9/(4*LN(2)))</f>
        <v>#DIV/0!</v>
      </c>
      <c r="Q1479" s="5" t="e">
        <f t="shared" si="123"/>
        <v>#DIV/0!</v>
      </c>
      <c r="R1479" s="5" t="e">
        <f ca="1">SQRT($B$9*AVERAGE((Q1479:OFFSET(Q1479,$B$5-1,0))))</f>
        <v>#DIV/0!</v>
      </c>
      <c r="S1479" s="5" t="e">
        <f ca="1">SQRT($B$9*AVERAGE((Q1479:OFFSET(Q1479,$B$6-1,0))))</f>
        <v>#DIV/0!</v>
      </c>
      <c r="T1479" s="5" t="e">
        <f ca="1">SQRT($B$9*AVERAGE((Q1479:OFFSET(Q1479,$B$7-1,0))))</f>
        <v>#DIV/0!</v>
      </c>
      <c r="U1479" s="5" t="e">
        <f ca="1">SQRT($B$9*AVERAGE((Q1479:OFFSET(Q1479,$B$8-1,0))))</f>
        <v>#DIV/0!</v>
      </c>
      <c r="W1479" s="6" t="e">
        <f t="shared" si="122"/>
        <v>#DIV/0!</v>
      </c>
      <c r="X1479" s="6" t="e">
        <f ca="1">SQRT($B$9*AVERAGE(W1479:OFFSET(W1479,$B$5-1,0)))</f>
        <v>#DIV/0!</v>
      </c>
      <c r="Y1479" s="6" t="e">
        <f ca="1">SQRT($B$9*AVERAGE(W1479:OFFSET(W1479,$B$6-1,0)))</f>
        <v>#DIV/0!</v>
      </c>
      <c r="Z1479" s="6" t="e">
        <f ca="1">SQRT($B$9*AVERAGE(W1479:OFFSET(W1479,$B$7-1,0)))</f>
        <v>#DIV/0!</v>
      </c>
      <c r="AA1479" s="6" t="e">
        <f ca="1">SQRT($B$9*AVERAGE(W1479:OFFSET(W1479,$B$8-1,0)))</f>
        <v>#DIV/0!</v>
      </c>
      <c r="AC1479" s="34" t="e">
        <f t="shared" si="120"/>
        <v>#DIV/0!</v>
      </c>
      <c r="AD1479" s="34" t="e">
        <f ca="1">SQRT($B$9*SUM(AC1479:OFFSET(AC1479,$B$5-1,0))/($B$5-1))</f>
        <v>#DIV/0!</v>
      </c>
      <c r="AE1479" s="34" t="e">
        <f ca="1">SQRT($B$9*SUM(AC1479:OFFSET(AC1479,$B$6-1,0))/($B$6-1))</f>
        <v>#DIV/0!</v>
      </c>
      <c r="AF1479" s="34" t="e">
        <f ca="1">SQRT($B$9*SUM(AC1479:OFFSET(AC1479,$B$7-1,0))/($B$7-1))</f>
        <v>#DIV/0!</v>
      </c>
      <c r="AG1479" s="34" t="e">
        <f ca="1">SQRT($B$9*SUM(AC1479:OFFSET(AC1479,$B$8-1,0))/($B$8-1))</f>
        <v>#DIV/0!</v>
      </c>
      <c r="AI1479" s="1" t="e">
        <f t="shared" si="121"/>
        <v>#DIV/0!</v>
      </c>
      <c r="AJ1479" s="4" t="e">
        <f ca="1">SQRT($B$9)*_xlfn.STDEV.S(AI1479:OFFSET(AI1479,$B$5-1,0))</f>
        <v>#DIV/0!</v>
      </c>
      <c r="AK1479" s="4" t="e">
        <f ca="1">SQRT($B$9)*_xlfn.STDEV.S(AI1479:OFFSET(AI1479,$B$6-1,0))</f>
        <v>#DIV/0!</v>
      </c>
      <c r="AL1479" s="4" t="e">
        <f ca="1">SQRT($B$9)*_xlfn.STDEV.S(AI1479:OFFSET(AI1479,$B$7-1,0))</f>
        <v>#DIV/0!</v>
      </c>
      <c r="AM1479" s="4" t="e">
        <f ca="1">SQRT($B$9)*_xlfn.STDEV.S(AI1479:OFFSET(AI1479,$B$8-1,0))</f>
        <v>#DIV/0!</v>
      </c>
    </row>
    <row r="1480" spans="11:39" x14ac:dyDescent="0.2">
      <c r="K1480" s="3" t="e">
        <f t="shared" si="124"/>
        <v>#DIV/0!</v>
      </c>
      <c r="L1480" s="3" t="e">
        <f ca="1">SQRT(AVERAGE(K1480:OFFSET(K1480,$B$5-1,0))*$B$9/(4*LN(2)))</f>
        <v>#DIV/0!</v>
      </c>
      <c r="M1480" s="3" t="e">
        <f ca="1">SQRT(AVERAGE(K1480:OFFSET(K1480,$B$6-1,0))*$B$9/(4*LN(2)))</f>
        <v>#DIV/0!</v>
      </c>
      <c r="N1480" s="3" t="e">
        <f ca="1">SQRT(AVERAGE(K1480:OFFSET(K1480,$B$7-1,0))*$B$9/(4*LN(2)))</f>
        <v>#DIV/0!</v>
      </c>
      <c r="O1480" s="3" t="e">
        <f ca="1">SQRT(AVERAGE(K1480:OFFSET(K1480,$B$8-1,0))*$B$9/(4*LN(2)))</f>
        <v>#DIV/0!</v>
      </c>
      <c r="Q1480" s="5" t="e">
        <f t="shared" si="123"/>
        <v>#DIV/0!</v>
      </c>
      <c r="R1480" s="5" t="e">
        <f ca="1">SQRT($B$9*AVERAGE((Q1480:OFFSET(Q1480,$B$5-1,0))))</f>
        <v>#DIV/0!</v>
      </c>
      <c r="S1480" s="5" t="e">
        <f ca="1">SQRT($B$9*AVERAGE((Q1480:OFFSET(Q1480,$B$6-1,0))))</f>
        <v>#DIV/0!</v>
      </c>
      <c r="T1480" s="5" t="e">
        <f ca="1">SQRT($B$9*AVERAGE((Q1480:OFFSET(Q1480,$B$7-1,0))))</f>
        <v>#DIV/0!</v>
      </c>
      <c r="U1480" s="5" t="e">
        <f ca="1">SQRT($B$9*AVERAGE((Q1480:OFFSET(Q1480,$B$8-1,0))))</f>
        <v>#DIV/0!</v>
      </c>
      <c r="W1480" s="6" t="e">
        <f t="shared" si="122"/>
        <v>#DIV/0!</v>
      </c>
      <c r="X1480" s="6" t="e">
        <f ca="1">SQRT($B$9*AVERAGE(W1480:OFFSET(W1480,$B$5-1,0)))</f>
        <v>#DIV/0!</v>
      </c>
      <c r="Y1480" s="6" t="e">
        <f ca="1">SQRT($B$9*AVERAGE(W1480:OFFSET(W1480,$B$6-1,0)))</f>
        <v>#DIV/0!</v>
      </c>
      <c r="Z1480" s="6" t="e">
        <f ca="1">SQRT($B$9*AVERAGE(W1480:OFFSET(W1480,$B$7-1,0)))</f>
        <v>#DIV/0!</v>
      </c>
      <c r="AA1480" s="6" t="e">
        <f ca="1">SQRT($B$9*AVERAGE(W1480:OFFSET(W1480,$B$8-1,0)))</f>
        <v>#DIV/0!</v>
      </c>
      <c r="AC1480" s="34" t="e">
        <f t="shared" si="120"/>
        <v>#DIV/0!</v>
      </c>
      <c r="AD1480" s="34" t="e">
        <f ca="1">SQRT($B$9*SUM(AC1480:OFFSET(AC1480,$B$5-1,0))/($B$5-1))</f>
        <v>#DIV/0!</v>
      </c>
      <c r="AE1480" s="34" t="e">
        <f ca="1">SQRT($B$9*SUM(AC1480:OFFSET(AC1480,$B$6-1,0))/($B$6-1))</f>
        <v>#DIV/0!</v>
      </c>
      <c r="AF1480" s="34" t="e">
        <f ca="1">SQRT($B$9*SUM(AC1480:OFFSET(AC1480,$B$7-1,0))/($B$7-1))</f>
        <v>#DIV/0!</v>
      </c>
      <c r="AG1480" s="34" t="e">
        <f ca="1">SQRT($B$9*SUM(AC1480:OFFSET(AC1480,$B$8-1,0))/($B$8-1))</f>
        <v>#DIV/0!</v>
      </c>
      <c r="AI1480" s="1" t="e">
        <f t="shared" si="121"/>
        <v>#DIV/0!</v>
      </c>
      <c r="AJ1480" s="4" t="e">
        <f ca="1">SQRT($B$9)*_xlfn.STDEV.S(AI1480:OFFSET(AI1480,$B$5-1,0))</f>
        <v>#DIV/0!</v>
      </c>
      <c r="AK1480" s="4" t="e">
        <f ca="1">SQRT($B$9)*_xlfn.STDEV.S(AI1480:OFFSET(AI1480,$B$6-1,0))</f>
        <v>#DIV/0!</v>
      </c>
      <c r="AL1480" s="4" t="e">
        <f ca="1">SQRT($B$9)*_xlfn.STDEV.S(AI1480:OFFSET(AI1480,$B$7-1,0))</f>
        <v>#DIV/0!</v>
      </c>
      <c r="AM1480" s="4" t="e">
        <f ca="1">SQRT($B$9)*_xlfn.STDEV.S(AI1480:OFFSET(AI1480,$B$8-1,0))</f>
        <v>#DIV/0!</v>
      </c>
    </row>
    <row r="1481" spans="11:39" x14ac:dyDescent="0.2">
      <c r="K1481" s="3" t="e">
        <f t="shared" si="124"/>
        <v>#DIV/0!</v>
      </c>
      <c r="L1481" s="3" t="e">
        <f ca="1">SQRT(AVERAGE(K1481:OFFSET(K1481,$B$5-1,0))*$B$9/(4*LN(2)))</f>
        <v>#DIV/0!</v>
      </c>
      <c r="M1481" s="3" t="e">
        <f ca="1">SQRT(AVERAGE(K1481:OFFSET(K1481,$B$6-1,0))*$B$9/(4*LN(2)))</f>
        <v>#DIV/0!</v>
      </c>
      <c r="N1481" s="3" t="e">
        <f ca="1">SQRT(AVERAGE(K1481:OFFSET(K1481,$B$7-1,0))*$B$9/(4*LN(2)))</f>
        <v>#DIV/0!</v>
      </c>
      <c r="O1481" s="3" t="e">
        <f ca="1">SQRT(AVERAGE(K1481:OFFSET(K1481,$B$8-1,0))*$B$9/(4*LN(2)))</f>
        <v>#DIV/0!</v>
      </c>
      <c r="Q1481" s="5" t="e">
        <f t="shared" si="123"/>
        <v>#DIV/0!</v>
      </c>
      <c r="R1481" s="5" t="e">
        <f ca="1">SQRT($B$9*AVERAGE((Q1481:OFFSET(Q1481,$B$5-1,0))))</f>
        <v>#DIV/0!</v>
      </c>
      <c r="S1481" s="5" t="e">
        <f ca="1">SQRT($B$9*AVERAGE((Q1481:OFFSET(Q1481,$B$6-1,0))))</f>
        <v>#DIV/0!</v>
      </c>
      <c r="T1481" s="5" t="e">
        <f ca="1">SQRT($B$9*AVERAGE((Q1481:OFFSET(Q1481,$B$7-1,0))))</f>
        <v>#DIV/0!</v>
      </c>
      <c r="U1481" s="5" t="e">
        <f ca="1">SQRT($B$9*AVERAGE((Q1481:OFFSET(Q1481,$B$8-1,0))))</f>
        <v>#DIV/0!</v>
      </c>
      <c r="W1481" s="6" t="e">
        <f t="shared" si="122"/>
        <v>#DIV/0!</v>
      </c>
      <c r="X1481" s="6" t="e">
        <f ca="1">SQRT($B$9*AVERAGE(W1481:OFFSET(W1481,$B$5-1,0)))</f>
        <v>#DIV/0!</v>
      </c>
      <c r="Y1481" s="6" t="e">
        <f ca="1">SQRT($B$9*AVERAGE(W1481:OFFSET(W1481,$B$6-1,0)))</f>
        <v>#DIV/0!</v>
      </c>
      <c r="Z1481" s="6" t="e">
        <f ca="1">SQRT($B$9*AVERAGE(W1481:OFFSET(W1481,$B$7-1,0)))</f>
        <v>#DIV/0!</v>
      </c>
      <c r="AA1481" s="6" t="e">
        <f ca="1">SQRT($B$9*AVERAGE(W1481:OFFSET(W1481,$B$8-1,0)))</f>
        <v>#DIV/0!</v>
      </c>
      <c r="AC1481" s="34" t="e">
        <f t="shared" si="120"/>
        <v>#DIV/0!</v>
      </c>
      <c r="AD1481" s="34" t="e">
        <f ca="1">SQRT($B$9*SUM(AC1481:OFFSET(AC1481,$B$5-1,0))/($B$5-1))</f>
        <v>#DIV/0!</v>
      </c>
      <c r="AE1481" s="34" t="e">
        <f ca="1">SQRT($B$9*SUM(AC1481:OFFSET(AC1481,$B$6-1,0))/($B$6-1))</f>
        <v>#DIV/0!</v>
      </c>
      <c r="AF1481" s="34" t="e">
        <f ca="1">SQRT($B$9*SUM(AC1481:OFFSET(AC1481,$B$7-1,0))/($B$7-1))</f>
        <v>#DIV/0!</v>
      </c>
      <c r="AG1481" s="34" t="e">
        <f ca="1">SQRT($B$9*SUM(AC1481:OFFSET(AC1481,$B$8-1,0))/($B$8-1))</f>
        <v>#DIV/0!</v>
      </c>
      <c r="AI1481" s="1" t="e">
        <f t="shared" si="121"/>
        <v>#DIV/0!</v>
      </c>
      <c r="AJ1481" s="4" t="e">
        <f ca="1">SQRT($B$9)*_xlfn.STDEV.S(AI1481:OFFSET(AI1481,$B$5-1,0))</f>
        <v>#DIV/0!</v>
      </c>
      <c r="AK1481" s="4" t="e">
        <f ca="1">SQRT($B$9)*_xlfn.STDEV.S(AI1481:OFFSET(AI1481,$B$6-1,0))</f>
        <v>#DIV/0!</v>
      </c>
      <c r="AL1481" s="4" t="e">
        <f ca="1">SQRT($B$9)*_xlfn.STDEV.S(AI1481:OFFSET(AI1481,$B$7-1,0))</f>
        <v>#DIV/0!</v>
      </c>
      <c r="AM1481" s="4" t="e">
        <f ca="1">SQRT($B$9)*_xlfn.STDEV.S(AI1481:OFFSET(AI1481,$B$8-1,0))</f>
        <v>#DIV/0!</v>
      </c>
    </row>
    <row r="1482" spans="11:39" x14ac:dyDescent="0.2">
      <c r="K1482" s="3" t="e">
        <f t="shared" si="124"/>
        <v>#DIV/0!</v>
      </c>
      <c r="L1482" s="3" t="e">
        <f ca="1">SQRT(AVERAGE(K1482:OFFSET(K1482,$B$5-1,0))*$B$9/(4*LN(2)))</f>
        <v>#DIV/0!</v>
      </c>
      <c r="M1482" s="3" t="e">
        <f ca="1">SQRT(AVERAGE(K1482:OFFSET(K1482,$B$6-1,0))*$B$9/(4*LN(2)))</f>
        <v>#DIV/0!</v>
      </c>
      <c r="N1482" s="3" t="e">
        <f ca="1">SQRT(AVERAGE(K1482:OFFSET(K1482,$B$7-1,0))*$B$9/(4*LN(2)))</f>
        <v>#DIV/0!</v>
      </c>
      <c r="O1482" s="3" t="e">
        <f ca="1">SQRT(AVERAGE(K1482:OFFSET(K1482,$B$8-1,0))*$B$9/(4*LN(2)))</f>
        <v>#DIV/0!</v>
      </c>
      <c r="Q1482" s="5" t="e">
        <f t="shared" si="123"/>
        <v>#DIV/0!</v>
      </c>
      <c r="R1482" s="5" t="e">
        <f ca="1">SQRT($B$9*AVERAGE((Q1482:OFFSET(Q1482,$B$5-1,0))))</f>
        <v>#DIV/0!</v>
      </c>
      <c r="S1482" s="5" t="e">
        <f ca="1">SQRT($B$9*AVERAGE((Q1482:OFFSET(Q1482,$B$6-1,0))))</f>
        <v>#DIV/0!</v>
      </c>
      <c r="T1482" s="5" t="e">
        <f ca="1">SQRT($B$9*AVERAGE((Q1482:OFFSET(Q1482,$B$7-1,0))))</f>
        <v>#DIV/0!</v>
      </c>
      <c r="U1482" s="5" t="e">
        <f ca="1">SQRT($B$9*AVERAGE((Q1482:OFFSET(Q1482,$B$8-1,0))))</f>
        <v>#DIV/0!</v>
      </c>
      <c r="W1482" s="6" t="e">
        <f t="shared" si="122"/>
        <v>#DIV/0!</v>
      </c>
      <c r="X1482" s="6" t="e">
        <f ca="1">SQRT($B$9*AVERAGE(W1482:OFFSET(W1482,$B$5-1,0)))</f>
        <v>#DIV/0!</v>
      </c>
      <c r="Y1482" s="6" t="e">
        <f ca="1">SQRT($B$9*AVERAGE(W1482:OFFSET(W1482,$B$6-1,0)))</f>
        <v>#DIV/0!</v>
      </c>
      <c r="Z1482" s="6" t="e">
        <f ca="1">SQRT($B$9*AVERAGE(W1482:OFFSET(W1482,$B$7-1,0)))</f>
        <v>#DIV/0!</v>
      </c>
      <c r="AA1482" s="6" t="e">
        <f ca="1">SQRT($B$9*AVERAGE(W1482:OFFSET(W1482,$B$8-1,0)))</f>
        <v>#DIV/0!</v>
      </c>
      <c r="AC1482" s="34" t="e">
        <f t="shared" si="120"/>
        <v>#DIV/0!</v>
      </c>
      <c r="AD1482" s="34" t="e">
        <f ca="1">SQRT($B$9*SUM(AC1482:OFFSET(AC1482,$B$5-1,0))/($B$5-1))</f>
        <v>#DIV/0!</v>
      </c>
      <c r="AE1482" s="34" t="e">
        <f ca="1">SQRT($B$9*SUM(AC1482:OFFSET(AC1482,$B$6-1,0))/($B$6-1))</f>
        <v>#DIV/0!</v>
      </c>
      <c r="AF1482" s="34" t="e">
        <f ca="1">SQRT($B$9*SUM(AC1482:OFFSET(AC1482,$B$7-1,0))/($B$7-1))</f>
        <v>#DIV/0!</v>
      </c>
      <c r="AG1482" s="34" t="e">
        <f ca="1">SQRT($B$9*SUM(AC1482:OFFSET(AC1482,$B$8-1,0))/($B$8-1))</f>
        <v>#DIV/0!</v>
      </c>
      <c r="AI1482" s="1" t="e">
        <f t="shared" si="121"/>
        <v>#DIV/0!</v>
      </c>
      <c r="AJ1482" s="4" t="e">
        <f ca="1">SQRT($B$9)*_xlfn.STDEV.S(AI1482:OFFSET(AI1482,$B$5-1,0))</f>
        <v>#DIV/0!</v>
      </c>
      <c r="AK1482" s="4" t="e">
        <f ca="1">SQRT($B$9)*_xlfn.STDEV.S(AI1482:OFFSET(AI1482,$B$6-1,0))</f>
        <v>#DIV/0!</v>
      </c>
      <c r="AL1482" s="4" t="e">
        <f ca="1">SQRT($B$9)*_xlfn.STDEV.S(AI1482:OFFSET(AI1482,$B$7-1,0))</f>
        <v>#DIV/0!</v>
      </c>
      <c r="AM1482" s="4" t="e">
        <f ca="1">SQRT($B$9)*_xlfn.STDEV.S(AI1482:OFFSET(AI1482,$B$8-1,0))</f>
        <v>#DIV/0!</v>
      </c>
    </row>
    <row r="1483" spans="11:39" x14ac:dyDescent="0.2">
      <c r="K1483" s="3" t="e">
        <f t="shared" si="124"/>
        <v>#DIV/0!</v>
      </c>
      <c r="L1483" s="3" t="e">
        <f ca="1">SQRT(AVERAGE(K1483:OFFSET(K1483,$B$5-1,0))*$B$9/(4*LN(2)))</f>
        <v>#DIV/0!</v>
      </c>
      <c r="M1483" s="3" t="e">
        <f ca="1">SQRT(AVERAGE(K1483:OFFSET(K1483,$B$6-1,0))*$B$9/(4*LN(2)))</f>
        <v>#DIV/0!</v>
      </c>
      <c r="N1483" s="3" t="e">
        <f ca="1">SQRT(AVERAGE(K1483:OFFSET(K1483,$B$7-1,0))*$B$9/(4*LN(2)))</f>
        <v>#DIV/0!</v>
      </c>
      <c r="O1483" s="3" t="e">
        <f ca="1">SQRT(AVERAGE(K1483:OFFSET(K1483,$B$8-1,0))*$B$9/(4*LN(2)))</f>
        <v>#DIV/0!</v>
      </c>
      <c r="Q1483" s="5" t="e">
        <f t="shared" si="123"/>
        <v>#DIV/0!</v>
      </c>
      <c r="R1483" s="5" t="e">
        <f ca="1">SQRT($B$9*AVERAGE((Q1483:OFFSET(Q1483,$B$5-1,0))))</f>
        <v>#DIV/0!</v>
      </c>
      <c r="S1483" s="5" t="e">
        <f ca="1">SQRT($B$9*AVERAGE((Q1483:OFFSET(Q1483,$B$6-1,0))))</f>
        <v>#DIV/0!</v>
      </c>
      <c r="T1483" s="5" t="e">
        <f ca="1">SQRT($B$9*AVERAGE((Q1483:OFFSET(Q1483,$B$7-1,0))))</f>
        <v>#DIV/0!</v>
      </c>
      <c r="U1483" s="5" t="e">
        <f ca="1">SQRT($B$9*AVERAGE((Q1483:OFFSET(Q1483,$B$8-1,0))))</f>
        <v>#DIV/0!</v>
      </c>
      <c r="W1483" s="6" t="e">
        <f t="shared" si="122"/>
        <v>#DIV/0!</v>
      </c>
      <c r="X1483" s="6" t="e">
        <f ca="1">SQRT($B$9*AVERAGE(W1483:OFFSET(W1483,$B$5-1,0)))</f>
        <v>#DIV/0!</v>
      </c>
      <c r="Y1483" s="6" t="e">
        <f ca="1">SQRT($B$9*AVERAGE(W1483:OFFSET(W1483,$B$6-1,0)))</f>
        <v>#DIV/0!</v>
      </c>
      <c r="Z1483" s="6" t="e">
        <f ca="1">SQRT($B$9*AVERAGE(W1483:OFFSET(W1483,$B$7-1,0)))</f>
        <v>#DIV/0!</v>
      </c>
      <c r="AA1483" s="6" t="e">
        <f ca="1">SQRT($B$9*AVERAGE(W1483:OFFSET(W1483,$B$8-1,0)))</f>
        <v>#DIV/0!</v>
      </c>
      <c r="AC1483" s="34" t="e">
        <f t="shared" si="120"/>
        <v>#DIV/0!</v>
      </c>
      <c r="AD1483" s="34" t="e">
        <f ca="1">SQRT($B$9*SUM(AC1483:OFFSET(AC1483,$B$5-1,0))/($B$5-1))</f>
        <v>#DIV/0!</v>
      </c>
      <c r="AE1483" s="34" t="e">
        <f ca="1">SQRT($B$9*SUM(AC1483:OFFSET(AC1483,$B$6-1,0))/($B$6-1))</f>
        <v>#DIV/0!</v>
      </c>
      <c r="AF1483" s="34" t="e">
        <f ca="1">SQRT($B$9*SUM(AC1483:OFFSET(AC1483,$B$7-1,0))/($B$7-1))</f>
        <v>#DIV/0!</v>
      </c>
      <c r="AG1483" s="34" t="e">
        <f ca="1">SQRT($B$9*SUM(AC1483:OFFSET(AC1483,$B$8-1,0))/($B$8-1))</f>
        <v>#DIV/0!</v>
      </c>
      <c r="AI1483" s="1" t="e">
        <f t="shared" si="121"/>
        <v>#DIV/0!</v>
      </c>
      <c r="AJ1483" s="4" t="e">
        <f ca="1">SQRT($B$9)*_xlfn.STDEV.S(AI1483:OFFSET(AI1483,$B$5-1,0))</f>
        <v>#DIV/0!</v>
      </c>
      <c r="AK1483" s="4" t="e">
        <f ca="1">SQRT($B$9)*_xlfn.STDEV.S(AI1483:OFFSET(AI1483,$B$6-1,0))</f>
        <v>#DIV/0!</v>
      </c>
      <c r="AL1483" s="4" t="e">
        <f ca="1">SQRT($B$9)*_xlfn.STDEV.S(AI1483:OFFSET(AI1483,$B$7-1,0))</f>
        <v>#DIV/0!</v>
      </c>
      <c r="AM1483" s="4" t="e">
        <f ca="1">SQRT($B$9)*_xlfn.STDEV.S(AI1483:OFFSET(AI1483,$B$8-1,0))</f>
        <v>#DIV/0!</v>
      </c>
    </row>
    <row r="1484" spans="11:39" x14ac:dyDescent="0.2">
      <c r="K1484" s="3" t="e">
        <f t="shared" si="124"/>
        <v>#DIV/0!</v>
      </c>
      <c r="L1484" s="3" t="e">
        <f ca="1">SQRT(AVERAGE(K1484:OFFSET(K1484,$B$5-1,0))*$B$9/(4*LN(2)))</f>
        <v>#DIV/0!</v>
      </c>
      <c r="M1484" s="3" t="e">
        <f ca="1">SQRT(AVERAGE(K1484:OFFSET(K1484,$B$6-1,0))*$B$9/(4*LN(2)))</f>
        <v>#DIV/0!</v>
      </c>
      <c r="N1484" s="3" t="e">
        <f ca="1">SQRT(AVERAGE(K1484:OFFSET(K1484,$B$7-1,0))*$B$9/(4*LN(2)))</f>
        <v>#DIV/0!</v>
      </c>
      <c r="O1484" s="3" t="e">
        <f ca="1">SQRT(AVERAGE(K1484:OFFSET(K1484,$B$8-1,0))*$B$9/(4*LN(2)))</f>
        <v>#DIV/0!</v>
      </c>
      <c r="Q1484" s="5" t="e">
        <f t="shared" si="123"/>
        <v>#DIV/0!</v>
      </c>
      <c r="R1484" s="5" t="e">
        <f ca="1">SQRT($B$9*AVERAGE((Q1484:OFFSET(Q1484,$B$5-1,0))))</f>
        <v>#DIV/0!</v>
      </c>
      <c r="S1484" s="5" t="e">
        <f ca="1">SQRT($B$9*AVERAGE((Q1484:OFFSET(Q1484,$B$6-1,0))))</f>
        <v>#DIV/0!</v>
      </c>
      <c r="T1484" s="5" t="e">
        <f ca="1">SQRT($B$9*AVERAGE((Q1484:OFFSET(Q1484,$B$7-1,0))))</f>
        <v>#DIV/0!</v>
      </c>
      <c r="U1484" s="5" t="e">
        <f ca="1">SQRT($B$9*AVERAGE((Q1484:OFFSET(Q1484,$B$8-1,0))))</f>
        <v>#DIV/0!</v>
      </c>
      <c r="W1484" s="6" t="e">
        <f t="shared" si="122"/>
        <v>#DIV/0!</v>
      </c>
      <c r="X1484" s="6" t="e">
        <f ca="1">SQRT($B$9*AVERAGE(W1484:OFFSET(W1484,$B$5-1,0)))</f>
        <v>#DIV/0!</v>
      </c>
      <c r="Y1484" s="6" t="e">
        <f ca="1">SQRT($B$9*AVERAGE(W1484:OFFSET(W1484,$B$6-1,0)))</f>
        <v>#DIV/0!</v>
      </c>
      <c r="Z1484" s="6" t="e">
        <f ca="1">SQRT($B$9*AVERAGE(W1484:OFFSET(W1484,$B$7-1,0)))</f>
        <v>#DIV/0!</v>
      </c>
      <c r="AA1484" s="6" t="e">
        <f ca="1">SQRT($B$9*AVERAGE(W1484:OFFSET(W1484,$B$8-1,0)))</f>
        <v>#DIV/0!</v>
      </c>
      <c r="AC1484" s="34" t="e">
        <f t="shared" si="120"/>
        <v>#DIV/0!</v>
      </c>
      <c r="AD1484" s="34" t="e">
        <f ca="1">SQRT($B$9*SUM(AC1484:OFFSET(AC1484,$B$5-1,0))/($B$5-1))</f>
        <v>#DIV/0!</v>
      </c>
      <c r="AE1484" s="34" t="e">
        <f ca="1">SQRT($B$9*SUM(AC1484:OFFSET(AC1484,$B$6-1,0))/($B$6-1))</f>
        <v>#DIV/0!</v>
      </c>
      <c r="AF1484" s="34" t="e">
        <f ca="1">SQRT($B$9*SUM(AC1484:OFFSET(AC1484,$B$7-1,0))/($B$7-1))</f>
        <v>#DIV/0!</v>
      </c>
      <c r="AG1484" s="34" t="e">
        <f ca="1">SQRT($B$9*SUM(AC1484:OFFSET(AC1484,$B$8-1,0))/($B$8-1))</f>
        <v>#DIV/0!</v>
      </c>
      <c r="AI1484" s="1" t="e">
        <f t="shared" si="121"/>
        <v>#DIV/0!</v>
      </c>
      <c r="AJ1484" s="4" t="e">
        <f ca="1">SQRT($B$9)*_xlfn.STDEV.S(AI1484:OFFSET(AI1484,$B$5-1,0))</f>
        <v>#DIV/0!</v>
      </c>
      <c r="AK1484" s="4" t="e">
        <f ca="1">SQRT($B$9)*_xlfn.STDEV.S(AI1484:OFFSET(AI1484,$B$6-1,0))</f>
        <v>#DIV/0!</v>
      </c>
      <c r="AL1484" s="4" t="e">
        <f ca="1">SQRT($B$9)*_xlfn.STDEV.S(AI1484:OFFSET(AI1484,$B$7-1,0))</f>
        <v>#DIV/0!</v>
      </c>
      <c r="AM1484" s="4" t="e">
        <f ca="1">SQRT($B$9)*_xlfn.STDEV.S(AI1484:OFFSET(AI1484,$B$8-1,0))</f>
        <v>#DIV/0!</v>
      </c>
    </row>
    <row r="1485" spans="11:39" x14ac:dyDescent="0.2">
      <c r="K1485" s="3" t="e">
        <f t="shared" si="124"/>
        <v>#DIV/0!</v>
      </c>
      <c r="L1485" s="3" t="e">
        <f ca="1">SQRT(AVERAGE(K1485:OFFSET(K1485,$B$5-1,0))*$B$9/(4*LN(2)))</f>
        <v>#DIV/0!</v>
      </c>
      <c r="M1485" s="3" t="e">
        <f ca="1">SQRT(AVERAGE(K1485:OFFSET(K1485,$B$6-1,0))*$B$9/(4*LN(2)))</f>
        <v>#DIV/0!</v>
      </c>
      <c r="N1485" s="3" t="e">
        <f ca="1">SQRT(AVERAGE(K1485:OFFSET(K1485,$B$7-1,0))*$B$9/(4*LN(2)))</f>
        <v>#DIV/0!</v>
      </c>
      <c r="O1485" s="3" t="e">
        <f ca="1">SQRT(AVERAGE(K1485:OFFSET(K1485,$B$8-1,0))*$B$9/(4*LN(2)))</f>
        <v>#DIV/0!</v>
      </c>
      <c r="Q1485" s="5" t="e">
        <f t="shared" si="123"/>
        <v>#DIV/0!</v>
      </c>
      <c r="R1485" s="5" t="e">
        <f ca="1">SQRT($B$9*AVERAGE((Q1485:OFFSET(Q1485,$B$5-1,0))))</f>
        <v>#DIV/0!</v>
      </c>
      <c r="S1485" s="5" t="e">
        <f ca="1">SQRT($B$9*AVERAGE((Q1485:OFFSET(Q1485,$B$6-1,0))))</f>
        <v>#DIV/0!</v>
      </c>
      <c r="T1485" s="5" t="e">
        <f ca="1">SQRT($B$9*AVERAGE((Q1485:OFFSET(Q1485,$B$7-1,0))))</f>
        <v>#DIV/0!</v>
      </c>
      <c r="U1485" s="5" t="e">
        <f ca="1">SQRT($B$9*AVERAGE((Q1485:OFFSET(Q1485,$B$8-1,0))))</f>
        <v>#DIV/0!</v>
      </c>
      <c r="W1485" s="6" t="e">
        <f t="shared" si="122"/>
        <v>#DIV/0!</v>
      </c>
      <c r="X1485" s="6" t="e">
        <f ca="1">SQRT($B$9*AVERAGE(W1485:OFFSET(W1485,$B$5-1,0)))</f>
        <v>#DIV/0!</v>
      </c>
      <c r="Y1485" s="6" t="e">
        <f ca="1">SQRT($B$9*AVERAGE(W1485:OFFSET(W1485,$B$6-1,0)))</f>
        <v>#DIV/0!</v>
      </c>
      <c r="Z1485" s="6" t="e">
        <f ca="1">SQRT($B$9*AVERAGE(W1485:OFFSET(W1485,$B$7-1,0)))</f>
        <v>#DIV/0!</v>
      </c>
      <c r="AA1485" s="6" t="e">
        <f ca="1">SQRT($B$9*AVERAGE(W1485:OFFSET(W1485,$B$8-1,0)))</f>
        <v>#DIV/0!</v>
      </c>
      <c r="AC1485" s="34" t="e">
        <f t="shared" si="120"/>
        <v>#DIV/0!</v>
      </c>
      <c r="AD1485" s="34" t="e">
        <f ca="1">SQRT($B$9*SUM(AC1485:OFFSET(AC1485,$B$5-1,0))/($B$5-1))</f>
        <v>#DIV/0!</v>
      </c>
      <c r="AE1485" s="34" t="e">
        <f ca="1">SQRT($B$9*SUM(AC1485:OFFSET(AC1485,$B$6-1,0))/($B$6-1))</f>
        <v>#DIV/0!</v>
      </c>
      <c r="AF1485" s="34" t="e">
        <f ca="1">SQRT($B$9*SUM(AC1485:OFFSET(AC1485,$B$7-1,0))/($B$7-1))</f>
        <v>#DIV/0!</v>
      </c>
      <c r="AG1485" s="34" t="e">
        <f ca="1">SQRT($B$9*SUM(AC1485:OFFSET(AC1485,$B$8-1,0))/($B$8-1))</f>
        <v>#DIV/0!</v>
      </c>
      <c r="AI1485" s="1" t="e">
        <f t="shared" si="121"/>
        <v>#DIV/0!</v>
      </c>
      <c r="AJ1485" s="4" t="e">
        <f ca="1">SQRT($B$9)*_xlfn.STDEV.S(AI1485:OFFSET(AI1485,$B$5-1,0))</f>
        <v>#DIV/0!</v>
      </c>
      <c r="AK1485" s="4" t="e">
        <f ca="1">SQRT($B$9)*_xlfn.STDEV.S(AI1485:OFFSET(AI1485,$B$6-1,0))</f>
        <v>#DIV/0!</v>
      </c>
      <c r="AL1485" s="4" t="e">
        <f ca="1">SQRT($B$9)*_xlfn.STDEV.S(AI1485:OFFSET(AI1485,$B$7-1,0))</f>
        <v>#DIV/0!</v>
      </c>
      <c r="AM1485" s="4" t="e">
        <f ca="1">SQRT($B$9)*_xlfn.STDEV.S(AI1485:OFFSET(AI1485,$B$8-1,0))</f>
        <v>#DIV/0!</v>
      </c>
    </row>
    <row r="1486" spans="11:39" x14ac:dyDescent="0.2">
      <c r="K1486" s="3" t="e">
        <f t="shared" si="124"/>
        <v>#DIV/0!</v>
      </c>
      <c r="L1486" s="3" t="e">
        <f ca="1">SQRT(AVERAGE(K1486:OFFSET(K1486,$B$5-1,0))*$B$9/(4*LN(2)))</f>
        <v>#DIV/0!</v>
      </c>
      <c r="M1486" s="3" t="e">
        <f ca="1">SQRT(AVERAGE(K1486:OFFSET(K1486,$B$6-1,0))*$B$9/(4*LN(2)))</f>
        <v>#DIV/0!</v>
      </c>
      <c r="N1486" s="3" t="e">
        <f ca="1">SQRT(AVERAGE(K1486:OFFSET(K1486,$B$7-1,0))*$B$9/(4*LN(2)))</f>
        <v>#DIV/0!</v>
      </c>
      <c r="O1486" s="3" t="e">
        <f ca="1">SQRT(AVERAGE(K1486:OFFSET(K1486,$B$8-1,0))*$B$9/(4*LN(2)))</f>
        <v>#DIV/0!</v>
      </c>
      <c r="Q1486" s="5" t="e">
        <f t="shared" si="123"/>
        <v>#DIV/0!</v>
      </c>
      <c r="R1486" s="5" t="e">
        <f ca="1">SQRT($B$9*AVERAGE((Q1486:OFFSET(Q1486,$B$5-1,0))))</f>
        <v>#DIV/0!</v>
      </c>
      <c r="S1486" s="5" t="e">
        <f ca="1">SQRT($B$9*AVERAGE((Q1486:OFFSET(Q1486,$B$6-1,0))))</f>
        <v>#DIV/0!</v>
      </c>
      <c r="T1486" s="5" t="e">
        <f ca="1">SQRT($B$9*AVERAGE((Q1486:OFFSET(Q1486,$B$7-1,0))))</f>
        <v>#DIV/0!</v>
      </c>
      <c r="U1486" s="5" t="e">
        <f ca="1">SQRT($B$9*AVERAGE((Q1486:OFFSET(Q1486,$B$8-1,0))))</f>
        <v>#DIV/0!</v>
      </c>
      <c r="W1486" s="6" t="e">
        <f t="shared" si="122"/>
        <v>#DIV/0!</v>
      </c>
      <c r="X1486" s="6" t="e">
        <f ca="1">SQRT($B$9*AVERAGE(W1486:OFFSET(W1486,$B$5-1,0)))</f>
        <v>#DIV/0!</v>
      </c>
      <c r="Y1486" s="6" t="e">
        <f ca="1">SQRT($B$9*AVERAGE(W1486:OFFSET(W1486,$B$6-1,0)))</f>
        <v>#DIV/0!</v>
      </c>
      <c r="Z1486" s="6" t="e">
        <f ca="1">SQRT($B$9*AVERAGE(W1486:OFFSET(W1486,$B$7-1,0)))</f>
        <v>#DIV/0!</v>
      </c>
      <c r="AA1486" s="6" t="e">
        <f ca="1">SQRT($B$9*AVERAGE(W1486:OFFSET(W1486,$B$8-1,0)))</f>
        <v>#DIV/0!</v>
      </c>
      <c r="AC1486" s="34" t="e">
        <f t="shared" si="120"/>
        <v>#DIV/0!</v>
      </c>
      <c r="AD1486" s="34" t="e">
        <f ca="1">SQRT($B$9*SUM(AC1486:OFFSET(AC1486,$B$5-1,0))/($B$5-1))</f>
        <v>#DIV/0!</v>
      </c>
      <c r="AE1486" s="34" t="e">
        <f ca="1">SQRT($B$9*SUM(AC1486:OFFSET(AC1486,$B$6-1,0))/($B$6-1))</f>
        <v>#DIV/0!</v>
      </c>
      <c r="AF1486" s="34" t="e">
        <f ca="1">SQRT($B$9*SUM(AC1486:OFFSET(AC1486,$B$7-1,0))/($B$7-1))</f>
        <v>#DIV/0!</v>
      </c>
      <c r="AG1486" s="34" t="e">
        <f ca="1">SQRT($B$9*SUM(AC1486:OFFSET(AC1486,$B$8-1,0))/($B$8-1))</f>
        <v>#DIV/0!</v>
      </c>
      <c r="AI1486" s="1" t="e">
        <f t="shared" si="121"/>
        <v>#DIV/0!</v>
      </c>
      <c r="AJ1486" s="4" t="e">
        <f ca="1">SQRT($B$9)*_xlfn.STDEV.S(AI1486:OFFSET(AI1486,$B$5-1,0))</f>
        <v>#DIV/0!</v>
      </c>
      <c r="AK1486" s="4" t="e">
        <f ca="1">SQRT($B$9)*_xlfn.STDEV.S(AI1486:OFFSET(AI1486,$B$6-1,0))</f>
        <v>#DIV/0!</v>
      </c>
      <c r="AL1486" s="4" t="e">
        <f ca="1">SQRT($B$9)*_xlfn.STDEV.S(AI1486:OFFSET(AI1486,$B$7-1,0))</f>
        <v>#DIV/0!</v>
      </c>
      <c r="AM1486" s="4" t="e">
        <f ca="1">SQRT($B$9)*_xlfn.STDEV.S(AI1486:OFFSET(AI1486,$B$8-1,0))</f>
        <v>#DIV/0!</v>
      </c>
    </row>
    <row r="1487" spans="11:39" x14ac:dyDescent="0.2">
      <c r="K1487" s="3" t="e">
        <f t="shared" si="124"/>
        <v>#DIV/0!</v>
      </c>
      <c r="L1487" s="3" t="e">
        <f ca="1">SQRT(AVERAGE(K1487:OFFSET(K1487,$B$5-1,0))*$B$9/(4*LN(2)))</f>
        <v>#DIV/0!</v>
      </c>
      <c r="M1487" s="3" t="e">
        <f ca="1">SQRT(AVERAGE(K1487:OFFSET(K1487,$B$6-1,0))*$B$9/(4*LN(2)))</f>
        <v>#DIV/0!</v>
      </c>
      <c r="N1487" s="3" t="e">
        <f ca="1">SQRT(AVERAGE(K1487:OFFSET(K1487,$B$7-1,0))*$B$9/(4*LN(2)))</f>
        <v>#DIV/0!</v>
      </c>
      <c r="O1487" s="3" t="e">
        <f ca="1">SQRT(AVERAGE(K1487:OFFSET(K1487,$B$8-1,0))*$B$9/(4*LN(2)))</f>
        <v>#DIV/0!</v>
      </c>
      <c r="Q1487" s="5" t="e">
        <f t="shared" si="123"/>
        <v>#DIV/0!</v>
      </c>
      <c r="R1487" s="5" t="e">
        <f ca="1">SQRT($B$9*AVERAGE((Q1487:OFFSET(Q1487,$B$5-1,0))))</f>
        <v>#DIV/0!</v>
      </c>
      <c r="S1487" s="5" t="e">
        <f ca="1">SQRT($B$9*AVERAGE((Q1487:OFFSET(Q1487,$B$6-1,0))))</f>
        <v>#DIV/0!</v>
      </c>
      <c r="T1487" s="5" t="e">
        <f ca="1">SQRT($B$9*AVERAGE((Q1487:OFFSET(Q1487,$B$7-1,0))))</f>
        <v>#DIV/0!</v>
      </c>
      <c r="U1487" s="5" t="e">
        <f ca="1">SQRT($B$9*AVERAGE((Q1487:OFFSET(Q1487,$B$8-1,0))))</f>
        <v>#DIV/0!</v>
      </c>
      <c r="W1487" s="6" t="e">
        <f t="shared" si="122"/>
        <v>#DIV/0!</v>
      </c>
      <c r="X1487" s="6" t="e">
        <f ca="1">SQRT($B$9*AVERAGE(W1487:OFFSET(W1487,$B$5-1,0)))</f>
        <v>#DIV/0!</v>
      </c>
      <c r="Y1487" s="6" t="e">
        <f ca="1">SQRT($B$9*AVERAGE(W1487:OFFSET(W1487,$B$6-1,0)))</f>
        <v>#DIV/0!</v>
      </c>
      <c r="Z1487" s="6" t="e">
        <f ca="1">SQRT($B$9*AVERAGE(W1487:OFFSET(W1487,$B$7-1,0)))</f>
        <v>#DIV/0!</v>
      </c>
      <c r="AA1487" s="6" t="e">
        <f ca="1">SQRT($B$9*AVERAGE(W1487:OFFSET(W1487,$B$8-1,0)))</f>
        <v>#DIV/0!</v>
      </c>
      <c r="AC1487" s="34" t="e">
        <f t="shared" si="120"/>
        <v>#DIV/0!</v>
      </c>
      <c r="AD1487" s="34" t="e">
        <f ca="1">SQRT($B$9*SUM(AC1487:OFFSET(AC1487,$B$5-1,0))/($B$5-1))</f>
        <v>#DIV/0!</v>
      </c>
      <c r="AE1487" s="34" t="e">
        <f ca="1">SQRT($B$9*SUM(AC1487:OFFSET(AC1487,$B$6-1,0))/($B$6-1))</f>
        <v>#DIV/0!</v>
      </c>
      <c r="AF1487" s="34" t="e">
        <f ca="1">SQRT($B$9*SUM(AC1487:OFFSET(AC1487,$B$7-1,0))/($B$7-1))</f>
        <v>#DIV/0!</v>
      </c>
      <c r="AG1487" s="34" t="e">
        <f ca="1">SQRT($B$9*SUM(AC1487:OFFSET(AC1487,$B$8-1,0))/($B$8-1))</f>
        <v>#DIV/0!</v>
      </c>
      <c r="AI1487" s="1" t="e">
        <f t="shared" si="121"/>
        <v>#DIV/0!</v>
      </c>
      <c r="AJ1487" s="4" t="e">
        <f ca="1">SQRT($B$9)*_xlfn.STDEV.S(AI1487:OFFSET(AI1487,$B$5-1,0))</f>
        <v>#DIV/0!</v>
      </c>
      <c r="AK1487" s="4" t="e">
        <f ca="1">SQRT($B$9)*_xlfn.STDEV.S(AI1487:OFFSET(AI1487,$B$6-1,0))</f>
        <v>#DIV/0!</v>
      </c>
      <c r="AL1487" s="4" t="e">
        <f ca="1">SQRT($B$9)*_xlfn.STDEV.S(AI1487:OFFSET(AI1487,$B$7-1,0))</f>
        <v>#DIV/0!</v>
      </c>
      <c r="AM1487" s="4" t="e">
        <f ca="1">SQRT($B$9)*_xlfn.STDEV.S(AI1487:OFFSET(AI1487,$B$8-1,0))</f>
        <v>#DIV/0!</v>
      </c>
    </row>
    <row r="1488" spans="11:39" x14ac:dyDescent="0.2">
      <c r="K1488" s="3" t="e">
        <f t="shared" si="124"/>
        <v>#DIV/0!</v>
      </c>
      <c r="L1488" s="3" t="e">
        <f ca="1">SQRT(AVERAGE(K1488:OFFSET(K1488,$B$5-1,0))*$B$9/(4*LN(2)))</f>
        <v>#DIV/0!</v>
      </c>
      <c r="M1488" s="3" t="e">
        <f ca="1">SQRT(AVERAGE(K1488:OFFSET(K1488,$B$6-1,0))*$B$9/(4*LN(2)))</f>
        <v>#DIV/0!</v>
      </c>
      <c r="N1488" s="3" t="e">
        <f ca="1">SQRT(AVERAGE(K1488:OFFSET(K1488,$B$7-1,0))*$B$9/(4*LN(2)))</f>
        <v>#DIV/0!</v>
      </c>
      <c r="O1488" s="3" t="e">
        <f ca="1">SQRT(AVERAGE(K1488:OFFSET(K1488,$B$8-1,0))*$B$9/(4*LN(2)))</f>
        <v>#DIV/0!</v>
      </c>
      <c r="Q1488" s="5" t="e">
        <f t="shared" si="123"/>
        <v>#DIV/0!</v>
      </c>
      <c r="R1488" s="5" t="e">
        <f ca="1">SQRT($B$9*AVERAGE((Q1488:OFFSET(Q1488,$B$5-1,0))))</f>
        <v>#DIV/0!</v>
      </c>
      <c r="S1488" s="5" t="e">
        <f ca="1">SQRT($B$9*AVERAGE((Q1488:OFFSET(Q1488,$B$6-1,0))))</f>
        <v>#DIV/0!</v>
      </c>
      <c r="T1488" s="5" t="e">
        <f ca="1">SQRT($B$9*AVERAGE((Q1488:OFFSET(Q1488,$B$7-1,0))))</f>
        <v>#DIV/0!</v>
      </c>
      <c r="U1488" s="5" t="e">
        <f ca="1">SQRT($B$9*AVERAGE((Q1488:OFFSET(Q1488,$B$8-1,0))))</f>
        <v>#DIV/0!</v>
      </c>
      <c r="W1488" s="6" t="e">
        <f t="shared" si="122"/>
        <v>#DIV/0!</v>
      </c>
      <c r="X1488" s="6" t="e">
        <f ca="1">SQRT($B$9*AVERAGE(W1488:OFFSET(W1488,$B$5-1,0)))</f>
        <v>#DIV/0!</v>
      </c>
      <c r="Y1488" s="6" t="e">
        <f ca="1">SQRT($B$9*AVERAGE(W1488:OFFSET(W1488,$B$6-1,0)))</f>
        <v>#DIV/0!</v>
      </c>
      <c r="Z1488" s="6" t="e">
        <f ca="1">SQRT($B$9*AVERAGE(W1488:OFFSET(W1488,$B$7-1,0)))</f>
        <v>#DIV/0!</v>
      </c>
      <c r="AA1488" s="6" t="e">
        <f ca="1">SQRT($B$9*AVERAGE(W1488:OFFSET(W1488,$B$8-1,0)))</f>
        <v>#DIV/0!</v>
      </c>
      <c r="AC1488" s="34" t="e">
        <f t="shared" si="120"/>
        <v>#DIV/0!</v>
      </c>
      <c r="AD1488" s="34" t="e">
        <f ca="1">SQRT($B$9*SUM(AC1488:OFFSET(AC1488,$B$5-1,0))/($B$5-1))</f>
        <v>#DIV/0!</v>
      </c>
      <c r="AE1488" s="34" t="e">
        <f ca="1">SQRT($B$9*SUM(AC1488:OFFSET(AC1488,$B$6-1,0))/($B$6-1))</f>
        <v>#DIV/0!</v>
      </c>
      <c r="AF1488" s="34" t="e">
        <f ca="1">SQRT($B$9*SUM(AC1488:OFFSET(AC1488,$B$7-1,0))/($B$7-1))</f>
        <v>#DIV/0!</v>
      </c>
      <c r="AG1488" s="34" t="e">
        <f ca="1">SQRT($B$9*SUM(AC1488:OFFSET(AC1488,$B$8-1,0))/($B$8-1))</f>
        <v>#DIV/0!</v>
      </c>
      <c r="AI1488" s="1" t="e">
        <f t="shared" si="121"/>
        <v>#DIV/0!</v>
      </c>
      <c r="AJ1488" s="4" t="e">
        <f ca="1">SQRT($B$9)*_xlfn.STDEV.S(AI1488:OFFSET(AI1488,$B$5-1,0))</f>
        <v>#DIV/0!</v>
      </c>
      <c r="AK1488" s="4" t="e">
        <f ca="1">SQRT($B$9)*_xlfn.STDEV.S(AI1488:OFFSET(AI1488,$B$6-1,0))</f>
        <v>#DIV/0!</v>
      </c>
      <c r="AL1488" s="4" t="e">
        <f ca="1">SQRT($B$9)*_xlfn.STDEV.S(AI1488:OFFSET(AI1488,$B$7-1,0))</f>
        <v>#DIV/0!</v>
      </c>
      <c r="AM1488" s="4" t="e">
        <f ca="1">SQRT($B$9)*_xlfn.STDEV.S(AI1488:OFFSET(AI1488,$B$8-1,0))</f>
        <v>#DIV/0!</v>
      </c>
    </row>
    <row r="1489" spans="11:39" x14ac:dyDescent="0.2">
      <c r="K1489" s="3" t="e">
        <f t="shared" si="124"/>
        <v>#DIV/0!</v>
      </c>
      <c r="L1489" s="3" t="e">
        <f ca="1">SQRT(AVERAGE(K1489:OFFSET(K1489,$B$5-1,0))*$B$9/(4*LN(2)))</f>
        <v>#DIV/0!</v>
      </c>
      <c r="M1489" s="3" t="e">
        <f ca="1">SQRT(AVERAGE(K1489:OFFSET(K1489,$B$6-1,0))*$B$9/(4*LN(2)))</f>
        <v>#DIV/0!</v>
      </c>
      <c r="N1489" s="3" t="e">
        <f ca="1">SQRT(AVERAGE(K1489:OFFSET(K1489,$B$7-1,0))*$B$9/(4*LN(2)))</f>
        <v>#DIV/0!</v>
      </c>
      <c r="O1489" s="3" t="e">
        <f ca="1">SQRT(AVERAGE(K1489:OFFSET(K1489,$B$8-1,0))*$B$9/(4*LN(2)))</f>
        <v>#DIV/0!</v>
      </c>
      <c r="Q1489" s="5" t="e">
        <f t="shared" si="123"/>
        <v>#DIV/0!</v>
      </c>
      <c r="R1489" s="5" t="e">
        <f ca="1">SQRT($B$9*AVERAGE((Q1489:OFFSET(Q1489,$B$5-1,0))))</f>
        <v>#DIV/0!</v>
      </c>
      <c r="S1489" s="5" t="e">
        <f ca="1">SQRT($B$9*AVERAGE((Q1489:OFFSET(Q1489,$B$6-1,0))))</f>
        <v>#DIV/0!</v>
      </c>
      <c r="T1489" s="5" t="e">
        <f ca="1">SQRT($B$9*AVERAGE((Q1489:OFFSET(Q1489,$B$7-1,0))))</f>
        <v>#DIV/0!</v>
      </c>
      <c r="U1489" s="5" t="e">
        <f ca="1">SQRT($B$9*AVERAGE((Q1489:OFFSET(Q1489,$B$8-1,0))))</f>
        <v>#DIV/0!</v>
      </c>
      <c r="W1489" s="6" t="e">
        <f t="shared" si="122"/>
        <v>#DIV/0!</v>
      </c>
      <c r="X1489" s="6" t="e">
        <f ca="1">SQRT($B$9*AVERAGE(W1489:OFFSET(W1489,$B$5-1,0)))</f>
        <v>#DIV/0!</v>
      </c>
      <c r="Y1489" s="6" t="e">
        <f ca="1">SQRT($B$9*AVERAGE(W1489:OFFSET(W1489,$B$6-1,0)))</f>
        <v>#DIV/0!</v>
      </c>
      <c r="Z1489" s="6" t="e">
        <f ca="1">SQRT($B$9*AVERAGE(W1489:OFFSET(W1489,$B$7-1,0)))</f>
        <v>#DIV/0!</v>
      </c>
      <c r="AA1489" s="6" t="e">
        <f ca="1">SQRT($B$9*AVERAGE(W1489:OFFSET(W1489,$B$8-1,0)))</f>
        <v>#DIV/0!</v>
      </c>
      <c r="AC1489" s="34" t="e">
        <f t="shared" ref="AC1489:AC1552" si="125">(LN(I1489/I1490))^2</f>
        <v>#DIV/0!</v>
      </c>
      <c r="AD1489" s="34" t="e">
        <f ca="1">SQRT($B$9*SUM(AC1489:OFFSET(AC1489,$B$5-1,0))/($B$5-1))</f>
        <v>#DIV/0!</v>
      </c>
      <c r="AE1489" s="34" t="e">
        <f ca="1">SQRT($B$9*SUM(AC1489:OFFSET(AC1489,$B$6-1,0))/($B$6-1))</f>
        <v>#DIV/0!</v>
      </c>
      <c r="AF1489" s="34" t="e">
        <f ca="1">SQRT($B$9*SUM(AC1489:OFFSET(AC1489,$B$7-1,0))/($B$7-1))</f>
        <v>#DIV/0!</v>
      </c>
      <c r="AG1489" s="34" t="e">
        <f ca="1">SQRT($B$9*SUM(AC1489:OFFSET(AC1489,$B$8-1,0))/($B$8-1))</f>
        <v>#DIV/0!</v>
      </c>
      <c r="AI1489" s="1" t="e">
        <f t="shared" si="121"/>
        <v>#DIV/0!</v>
      </c>
      <c r="AJ1489" s="4" t="e">
        <f ca="1">SQRT($B$9)*_xlfn.STDEV.S(AI1489:OFFSET(AI1489,$B$5-1,0))</f>
        <v>#DIV/0!</v>
      </c>
      <c r="AK1489" s="4" t="e">
        <f ca="1">SQRT($B$9)*_xlfn.STDEV.S(AI1489:OFFSET(AI1489,$B$6-1,0))</f>
        <v>#DIV/0!</v>
      </c>
      <c r="AL1489" s="4" t="e">
        <f ca="1">SQRT($B$9)*_xlfn.STDEV.S(AI1489:OFFSET(AI1489,$B$7-1,0))</f>
        <v>#DIV/0!</v>
      </c>
      <c r="AM1489" s="4" t="e">
        <f ca="1">SQRT($B$9)*_xlfn.STDEV.S(AI1489:OFFSET(AI1489,$B$8-1,0))</f>
        <v>#DIV/0!</v>
      </c>
    </row>
    <row r="1490" spans="11:39" x14ac:dyDescent="0.2">
      <c r="K1490" s="3" t="e">
        <f t="shared" si="124"/>
        <v>#DIV/0!</v>
      </c>
      <c r="L1490" s="3" t="e">
        <f ca="1">SQRT(AVERAGE(K1490:OFFSET(K1490,$B$5-1,0))*$B$9/(4*LN(2)))</f>
        <v>#DIV/0!</v>
      </c>
      <c r="M1490" s="3" t="e">
        <f ca="1">SQRT(AVERAGE(K1490:OFFSET(K1490,$B$6-1,0))*$B$9/(4*LN(2)))</f>
        <v>#DIV/0!</v>
      </c>
      <c r="N1490" s="3" t="e">
        <f ca="1">SQRT(AVERAGE(K1490:OFFSET(K1490,$B$7-1,0))*$B$9/(4*LN(2)))</f>
        <v>#DIV/0!</v>
      </c>
      <c r="O1490" s="3" t="e">
        <f ca="1">SQRT(AVERAGE(K1490:OFFSET(K1490,$B$8-1,0))*$B$9/(4*LN(2)))</f>
        <v>#DIV/0!</v>
      </c>
      <c r="Q1490" s="5" t="e">
        <f t="shared" si="123"/>
        <v>#DIV/0!</v>
      </c>
      <c r="R1490" s="5" t="e">
        <f ca="1">SQRT($B$9*AVERAGE((Q1490:OFFSET(Q1490,$B$5-1,0))))</f>
        <v>#DIV/0!</v>
      </c>
      <c r="S1490" s="5" t="e">
        <f ca="1">SQRT($B$9*AVERAGE((Q1490:OFFSET(Q1490,$B$6-1,0))))</f>
        <v>#DIV/0!</v>
      </c>
      <c r="T1490" s="5" t="e">
        <f ca="1">SQRT($B$9*AVERAGE((Q1490:OFFSET(Q1490,$B$7-1,0))))</f>
        <v>#DIV/0!</v>
      </c>
      <c r="U1490" s="5" t="e">
        <f ca="1">SQRT($B$9*AVERAGE((Q1490:OFFSET(Q1490,$B$8-1,0))))</f>
        <v>#DIV/0!</v>
      </c>
      <c r="W1490" s="6" t="e">
        <f t="shared" si="122"/>
        <v>#DIV/0!</v>
      </c>
      <c r="X1490" s="6" t="e">
        <f ca="1">SQRT($B$9*AVERAGE(W1490:OFFSET(W1490,$B$5-1,0)))</f>
        <v>#DIV/0!</v>
      </c>
      <c r="Y1490" s="6" t="e">
        <f ca="1">SQRT($B$9*AVERAGE(W1490:OFFSET(W1490,$B$6-1,0)))</f>
        <v>#DIV/0!</v>
      </c>
      <c r="Z1490" s="6" t="e">
        <f ca="1">SQRT($B$9*AVERAGE(W1490:OFFSET(W1490,$B$7-1,0)))</f>
        <v>#DIV/0!</v>
      </c>
      <c r="AA1490" s="6" t="e">
        <f ca="1">SQRT($B$9*AVERAGE(W1490:OFFSET(W1490,$B$8-1,0)))</f>
        <v>#DIV/0!</v>
      </c>
      <c r="AC1490" s="34" t="e">
        <f t="shared" si="125"/>
        <v>#DIV/0!</v>
      </c>
      <c r="AD1490" s="34" t="e">
        <f ca="1">SQRT($B$9*SUM(AC1490:OFFSET(AC1490,$B$5-1,0))/($B$5-1))</f>
        <v>#DIV/0!</v>
      </c>
      <c r="AE1490" s="34" t="e">
        <f ca="1">SQRT($B$9*SUM(AC1490:OFFSET(AC1490,$B$6-1,0))/($B$6-1))</f>
        <v>#DIV/0!</v>
      </c>
      <c r="AF1490" s="34" t="e">
        <f ca="1">SQRT($B$9*SUM(AC1490:OFFSET(AC1490,$B$7-1,0))/($B$7-1))</f>
        <v>#DIV/0!</v>
      </c>
      <c r="AG1490" s="34" t="e">
        <f ca="1">SQRT($B$9*SUM(AC1490:OFFSET(AC1490,$B$8-1,0))/($B$8-1))</f>
        <v>#DIV/0!</v>
      </c>
      <c r="AI1490" s="1" t="e">
        <f t="shared" si="121"/>
        <v>#DIV/0!</v>
      </c>
      <c r="AJ1490" s="4" t="e">
        <f ca="1">SQRT($B$9)*_xlfn.STDEV.S(AI1490:OFFSET(AI1490,$B$5-1,0))</f>
        <v>#DIV/0!</v>
      </c>
      <c r="AK1490" s="4" t="e">
        <f ca="1">SQRT($B$9)*_xlfn.STDEV.S(AI1490:OFFSET(AI1490,$B$6-1,0))</f>
        <v>#DIV/0!</v>
      </c>
      <c r="AL1490" s="4" t="e">
        <f ca="1">SQRT($B$9)*_xlfn.STDEV.S(AI1490:OFFSET(AI1490,$B$7-1,0))</f>
        <v>#DIV/0!</v>
      </c>
      <c r="AM1490" s="4" t="e">
        <f ca="1">SQRT($B$9)*_xlfn.STDEV.S(AI1490:OFFSET(AI1490,$B$8-1,0))</f>
        <v>#DIV/0!</v>
      </c>
    </row>
    <row r="1491" spans="11:39" x14ac:dyDescent="0.2">
      <c r="K1491" s="3" t="e">
        <f t="shared" si="124"/>
        <v>#DIV/0!</v>
      </c>
      <c r="L1491" s="3" t="e">
        <f ca="1">SQRT(AVERAGE(K1491:OFFSET(K1491,$B$5-1,0))*$B$9/(4*LN(2)))</f>
        <v>#DIV/0!</v>
      </c>
      <c r="M1491" s="3" t="e">
        <f ca="1">SQRT(AVERAGE(K1491:OFFSET(K1491,$B$6-1,0))*$B$9/(4*LN(2)))</f>
        <v>#DIV/0!</v>
      </c>
      <c r="N1491" s="3" t="e">
        <f ca="1">SQRT(AVERAGE(K1491:OFFSET(K1491,$B$7-1,0))*$B$9/(4*LN(2)))</f>
        <v>#DIV/0!</v>
      </c>
      <c r="O1491" s="3" t="e">
        <f ca="1">SQRT(AVERAGE(K1491:OFFSET(K1491,$B$8-1,0))*$B$9/(4*LN(2)))</f>
        <v>#DIV/0!</v>
      </c>
      <c r="Q1491" s="5" t="e">
        <f t="shared" si="123"/>
        <v>#DIV/0!</v>
      </c>
      <c r="R1491" s="5" t="e">
        <f ca="1">SQRT($B$9*AVERAGE((Q1491:OFFSET(Q1491,$B$5-1,0))))</f>
        <v>#DIV/0!</v>
      </c>
      <c r="S1491" s="5" t="e">
        <f ca="1">SQRT($B$9*AVERAGE((Q1491:OFFSET(Q1491,$B$6-1,0))))</f>
        <v>#DIV/0!</v>
      </c>
      <c r="T1491" s="5" t="e">
        <f ca="1">SQRT($B$9*AVERAGE((Q1491:OFFSET(Q1491,$B$7-1,0))))</f>
        <v>#DIV/0!</v>
      </c>
      <c r="U1491" s="5" t="e">
        <f ca="1">SQRT($B$9*AVERAGE((Q1491:OFFSET(Q1491,$B$8-1,0))))</f>
        <v>#DIV/0!</v>
      </c>
      <c r="W1491" s="6" t="e">
        <f t="shared" si="122"/>
        <v>#DIV/0!</v>
      </c>
      <c r="X1491" s="6" t="e">
        <f ca="1">SQRT($B$9*AVERAGE(W1491:OFFSET(W1491,$B$5-1,0)))</f>
        <v>#DIV/0!</v>
      </c>
      <c r="Y1491" s="6" t="e">
        <f ca="1">SQRT($B$9*AVERAGE(W1491:OFFSET(W1491,$B$6-1,0)))</f>
        <v>#DIV/0!</v>
      </c>
      <c r="Z1491" s="6" t="e">
        <f ca="1">SQRT($B$9*AVERAGE(W1491:OFFSET(W1491,$B$7-1,0)))</f>
        <v>#DIV/0!</v>
      </c>
      <c r="AA1491" s="6" t="e">
        <f ca="1">SQRT($B$9*AVERAGE(W1491:OFFSET(W1491,$B$8-1,0)))</f>
        <v>#DIV/0!</v>
      </c>
      <c r="AC1491" s="34" t="e">
        <f t="shared" si="125"/>
        <v>#DIV/0!</v>
      </c>
      <c r="AD1491" s="34" t="e">
        <f ca="1">SQRT($B$9*SUM(AC1491:OFFSET(AC1491,$B$5-1,0))/($B$5-1))</f>
        <v>#DIV/0!</v>
      </c>
      <c r="AE1491" s="34" t="e">
        <f ca="1">SQRT($B$9*SUM(AC1491:OFFSET(AC1491,$B$6-1,0))/($B$6-1))</f>
        <v>#DIV/0!</v>
      </c>
      <c r="AF1491" s="34" t="e">
        <f ca="1">SQRT($B$9*SUM(AC1491:OFFSET(AC1491,$B$7-1,0))/($B$7-1))</f>
        <v>#DIV/0!</v>
      </c>
      <c r="AG1491" s="34" t="e">
        <f ca="1">SQRT($B$9*SUM(AC1491:OFFSET(AC1491,$B$8-1,0))/($B$8-1))</f>
        <v>#DIV/0!</v>
      </c>
      <c r="AI1491" s="1" t="e">
        <f t="shared" ref="AI1491:AI1554" si="126">LN(I1491/I1492)</f>
        <v>#DIV/0!</v>
      </c>
      <c r="AJ1491" s="4" t="e">
        <f ca="1">SQRT($B$9)*_xlfn.STDEV.S(AI1491:OFFSET(AI1491,$B$5-1,0))</f>
        <v>#DIV/0!</v>
      </c>
      <c r="AK1491" s="4" t="e">
        <f ca="1">SQRT($B$9)*_xlfn.STDEV.S(AI1491:OFFSET(AI1491,$B$6-1,0))</f>
        <v>#DIV/0!</v>
      </c>
      <c r="AL1491" s="4" t="e">
        <f ca="1">SQRT($B$9)*_xlfn.STDEV.S(AI1491:OFFSET(AI1491,$B$7-1,0))</f>
        <v>#DIV/0!</v>
      </c>
      <c r="AM1491" s="4" t="e">
        <f ca="1">SQRT($B$9)*_xlfn.STDEV.S(AI1491:OFFSET(AI1491,$B$8-1,0))</f>
        <v>#DIV/0!</v>
      </c>
    </row>
    <row r="1492" spans="11:39" x14ac:dyDescent="0.2">
      <c r="K1492" s="3" t="e">
        <f t="shared" si="124"/>
        <v>#DIV/0!</v>
      </c>
      <c r="L1492" s="3" t="e">
        <f ca="1">SQRT(AVERAGE(K1492:OFFSET(K1492,$B$5-1,0))*$B$9/(4*LN(2)))</f>
        <v>#DIV/0!</v>
      </c>
      <c r="M1492" s="3" t="e">
        <f ca="1">SQRT(AVERAGE(K1492:OFFSET(K1492,$B$6-1,0))*$B$9/(4*LN(2)))</f>
        <v>#DIV/0!</v>
      </c>
      <c r="N1492" s="3" t="e">
        <f ca="1">SQRT(AVERAGE(K1492:OFFSET(K1492,$B$7-1,0))*$B$9/(4*LN(2)))</f>
        <v>#DIV/0!</v>
      </c>
      <c r="O1492" s="3" t="e">
        <f ca="1">SQRT(AVERAGE(K1492:OFFSET(K1492,$B$8-1,0))*$B$9/(4*LN(2)))</f>
        <v>#DIV/0!</v>
      </c>
      <c r="Q1492" s="5" t="e">
        <f t="shared" si="123"/>
        <v>#DIV/0!</v>
      </c>
      <c r="R1492" s="5" t="e">
        <f ca="1">SQRT($B$9*AVERAGE((Q1492:OFFSET(Q1492,$B$5-1,0))))</f>
        <v>#DIV/0!</v>
      </c>
      <c r="S1492" s="5" t="e">
        <f ca="1">SQRT($B$9*AVERAGE((Q1492:OFFSET(Q1492,$B$6-1,0))))</f>
        <v>#DIV/0!</v>
      </c>
      <c r="T1492" s="5" t="e">
        <f ca="1">SQRT($B$9*AVERAGE((Q1492:OFFSET(Q1492,$B$7-1,0))))</f>
        <v>#DIV/0!</v>
      </c>
      <c r="U1492" s="5" t="e">
        <f ca="1">SQRT($B$9*AVERAGE((Q1492:OFFSET(Q1492,$B$8-1,0))))</f>
        <v>#DIV/0!</v>
      </c>
      <c r="W1492" s="6" t="e">
        <f t="shared" si="122"/>
        <v>#DIV/0!</v>
      </c>
      <c r="X1492" s="6" t="e">
        <f ca="1">SQRT($B$9*AVERAGE(W1492:OFFSET(W1492,$B$5-1,0)))</f>
        <v>#DIV/0!</v>
      </c>
      <c r="Y1492" s="6" t="e">
        <f ca="1">SQRT($B$9*AVERAGE(W1492:OFFSET(W1492,$B$6-1,0)))</f>
        <v>#DIV/0!</v>
      </c>
      <c r="Z1492" s="6" t="e">
        <f ca="1">SQRT($B$9*AVERAGE(W1492:OFFSET(W1492,$B$7-1,0)))</f>
        <v>#DIV/0!</v>
      </c>
      <c r="AA1492" s="6" t="e">
        <f ca="1">SQRT($B$9*AVERAGE(W1492:OFFSET(W1492,$B$8-1,0)))</f>
        <v>#DIV/0!</v>
      </c>
      <c r="AC1492" s="34" t="e">
        <f t="shared" si="125"/>
        <v>#DIV/0!</v>
      </c>
      <c r="AD1492" s="34" t="e">
        <f ca="1">SQRT($B$9*SUM(AC1492:OFFSET(AC1492,$B$5-1,0))/($B$5-1))</f>
        <v>#DIV/0!</v>
      </c>
      <c r="AE1492" s="34" t="e">
        <f ca="1">SQRT($B$9*SUM(AC1492:OFFSET(AC1492,$B$6-1,0))/($B$6-1))</f>
        <v>#DIV/0!</v>
      </c>
      <c r="AF1492" s="34" t="e">
        <f ca="1">SQRT($B$9*SUM(AC1492:OFFSET(AC1492,$B$7-1,0))/($B$7-1))</f>
        <v>#DIV/0!</v>
      </c>
      <c r="AG1492" s="34" t="e">
        <f ca="1">SQRT($B$9*SUM(AC1492:OFFSET(AC1492,$B$8-1,0))/($B$8-1))</f>
        <v>#DIV/0!</v>
      </c>
      <c r="AI1492" s="1" t="e">
        <f t="shared" si="126"/>
        <v>#DIV/0!</v>
      </c>
      <c r="AJ1492" s="4" t="e">
        <f ca="1">SQRT($B$9)*_xlfn.STDEV.S(AI1492:OFFSET(AI1492,$B$5-1,0))</f>
        <v>#DIV/0!</v>
      </c>
      <c r="AK1492" s="4" t="e">
        <f ca="1">SQRT($B$9)*_xlfn.STDEV.S(AI1492:OFFSET(AI1492,$B$6-1,0))</f>
        <v>#DIV/0!</v>
      </c>
      <c r="AL1492" s="4" t="e">
        <f ca="1">SQRT($B$9)*_xlfn.STDEV.S(AI1492:OFFSET(AI1492,$B$7-1,0))</f>
        <v>#DIV/0!</v>
      </c>
      <c r="AM1492" s="4" t="e">
        <f ca="1">SQRT($B$9)*_xlfn.STDEV.S(AI1492:OFFSET(AI1492,$B$8-1,0))</f>
        <v>#DIV/0!</v>
      </c>
    </row>
    <row r="1493" spans="11:39" x14ac:dyDescent="0.2">
      <c r="K1493" s="3" t="e">
        <f t="shared" si="124"/>
        <v>#DIV/0!</v>
      </c>
      <c r="L1493" s="3" t="e">
        <f ca="1">SQRT(AVERAGE(K1493:OFFSET(K1493,$B$5-1,0))*$B$9/(4*LN(2)))</f>
        <v>#DIV/0!</v>
      </c>
      <c r="M1493" s="3" t="e">
        <f ca="1">SQRT(AVERAGE(K1493:OFFSET(K1493,$B$6-1,0))*$B$9/(4*LN(2)))</f>
        <v>#DIV/0!</v>
      </c>
      <c r="N1493" s="3" t="e">
        <f ca="1">SQRT(AVERAGE(K1493:OFFSET(K1493,$B$7-1,0))*$B$9/(4*LN(2)))</f>
        <v>#DIV/0!</v>
      </c>
      <c r="O1493" s="3" t="e">
        <f ca="1">SQRT(AVERAGE(K1493:OFFSET(K1493,$B$8-1,0))*$B$9/(4*LN(2)))</f>
        <v>#DIV/0!</v>
      </c>
      <c r="Q1493" s="5" t="e">
        <f t="shared" si="123"/>
        <v>#DIV/0!</v>
      </c>
      <c r="R1493" s="5" t="e">
        <f ca="1">SQRT($B$9*AVERAGE((Q1493:OFFSET(Q1493,$B$5-1,0))))</f>
        <v>#DIV/0!</v>
      </c>
      <c r="S1493" s="5" t="e">
        <f ca="1">SQRT($B$9*AVERAGE((Q1493:OFFSET(Q1493,$B$6-1,0))))</f>
        <v>#DIV/0!</v>
      </c>
      <c r="T1493" s="5" t="e">
        <f ca="1">SQRT($B$9*AVERAGE((Q1493:OFFSET(Q1493,$B$7-1,0))))</f>
        <v>#DIV/0!</v>
      </c>
      <c r="U1493" s="5" t="e">
        <f ca="1">SQRT($B$9*AVERAGE((Q1493:OFFSET(Q1493,$B$8-1,0))))</f>
        <v>#DIV/0!</v>
      </c>
      <c r="W1493" s="6" t="e">
        <f t="shared" si="122"/>
        <v>#DIV/0!</v>
      </c>
      <c r="X1493" s="6" t="e">
        <f ca="1">SQRT($B$9*AVERAGE(W1493:OFFSET(W1493,$B$5-1,0)))</f>
        <v>#DIV/0!</v>
      </c>
      <c r="Y1493" s="6" t="e">
        <f ca="1">SQRT($B$9*AVERAGE(W1493:OFFSET(W1493,$B$6-1,0)))</f>
        <v>#DIV/0!</v>
      </c>
      <c r="Z1493" s="6" t="e">
        <f ca="1">SQRT($B$9*AVERAGE(W1493:OFFSET(W1493,$B$7-1,0)))</f>
        <v>#DIV/0!</v>
      </c>
      <c r="AA1493" s="6" t="e">
        <f ca="1">SQRT($B$9*AVERAGE(W1493:OFFSET(W1493,$B$8-1,0)))</f>
        <v>#DIV/0!</v>
      </c>
      <c r="AC1493" s="34" t="e">
        <f t="shared" si="125"/>
        <v>#DIV/0!</v>
      </c>
      <c r="AD1493" s="34" t="e">
        <f ca="1">SQRT($B$9*SUM(AC1493:OFFSET(AC1493,$B$5-1,0))/($B$5-1))</f>
        <v>#DIV/0!</v>
      </c>
      <c r="AE1493" s="34" t="e">
        <f ca="1">SQRT($B$9*SUM(AC1493:OFFSET(AC1493,$B$6-1,0))/($B$6-1))</f>
        <v>#DIV/0!</v>
      </c>
      <c r="AF1493" s="34" t="e">
        <f ca="1">SQRT($B$9*SUM(AC1493:OFFSET(AC1493,$B$7-1,0))/($B$7-1))</f>
        <v>#DIV/0!</v>
      </c>
      <c r="AG1493" s="34" t="e">
        <f ca="1">SQRT($B$9*SUM(AC1493:OFFSET(AC1493,$B$8-1,0))/($B$8-1))</f>
        <v>#DIV/0!</v>
      </c>
      <c r="AI1493" s="1" t="e">
        <f t="shared" si="126"/>
        <v>#DIV/0!</v>
      </c>
      <c r="AJ1493" s="4" t="e">
        <f ca="1">SQRT($B$9)*_xlfn.STDEV.S(AI1493:OFFSET(AI1493,$B$5-1,0))</f>
        <v>#DIV/0!</v>
      </c>
      <c r="AK1493" s="4" t="e">
        <f ca="1">SQRT($B$9)*_xlfn.STDEV.S(AI1493:OFFSET(AI1493,$B$6-1,0))</f>
        <v>#DIV/0!</v>
      </c>
      <c r="AL1493" s="4" t="e">
        <f ca="1">SQRT($B$9)*_xlfn.STDEV.S(AI1493:OFFSET(AI1493,$B$7-1,0))</f>
        <v>#DIV/0!</v>
      </c>
      <c r="AM1493" s="4" t="e">
        <f ca="1">SQRT($B$9)*_xlfn.STDEV.S(AI1493:OFFSET(AI1493,$B$8-1,0))</f>
        <v>#DIV/0!</v>
      </c>
    </row>
    <row r="1494" spans="11:39" x14ac:dyDescent="0.2">
      <c r="K1494" s="3" t="e">
        <f t="shared" si="124"/>
        <v>#DIV/0!</v>
      </c>
      <c r="L1494" s="3" t="e">
        <f ca="1">SQRT(AVERAGE(K1494:OFFSET(K1494,$B$5-1,0))*$B$9/(4*LN(2)))</f>
        <v>#DIV/0!</v>
      </c>
      <c r="M1494" s="3" t="e">
        <f ca="1">SQRT(AVERAGE(K1494:OFFSET(K1494,$B$6-1,0))*$B$9/(4*LN(2)))</f>
        <v>#DIV/0!</v>
      </c>
      <c r="N1494" s="3" t="e">
        <f ca="1">SQRT(AVERAGE(K1494:OFFSET(K1494,$B$7-1,0))*$B$9/(4*LN(2)))</f>
        <v>#DIV/0!</v>
      </c>
      <c r="O1494" s="3" t="e">
        <f ca="1">SQRT(AVERAGE(K1494:OFFSET(K1494,$B$8-1,0))*$B$9/(4*LN(2)))</f>
        <v>#DIV/0!</v>
      </c>
      <c r="Q1494" s="5" t="e">
        <f t="shared" si="123"/>
        <v>#DIV/0!</v>
      </c>
      <c r="R1494" s="5" t="e">
        <f ca="1">SQRT($B$9*AVERAGE((Q1494:OFFSET(Q1494,$B$5-1,0))))</f>
        <v>#DIV/0!</v>
      </c>
      <c r="S1494" s="5" t="e">
        <f ca="1">SQRT($B$9*AVERAGE((Q1494:OFFSET(Q1494,$B$6-1,0))))</f>
        <v>#DIV/0!</v>
      </c>
      <c r="T1494" s="5" t="e">
        <f ca="1">SQRT($B$9*AVERAGE((Q1494:OFFSET(Q1494,$B$7-1,0))))</f>
        <v>#DIV/0!</v>
      </c>
      <c r="U1494" s="5" t="e">
        <f ca="1">SQRT($B$9*AVERAGE((Q1494:OFFSET(Q1494,$B$8-1,0))))</f>
        <v>#DIV/0!</v>
      </c>
      <c r="W1494" s="6" t="e">
        <f t="shared" si="122"/>
        <v>#DIV/0!</v>
      </c>
      <c r="X1494" s="6" t="e">
        <f ca="1">SQRT($B$9*AVERAGE(W1494:OFFSET(W1494,$B$5-1,0)))</f>
        <v>#DIV/0!</v>
      </c>
      <c r="Y1494" s="6" t="e">
        <f ca="1">SQRT($B$9*AVERAGE(W1494:OFFSET(W1494,$B$6-1,0)))</f>
        <v>#DIV/0!</v>
      </c>
      <c r="Z1494" s="6" t="e">
        <f ca="1">SQRT($B$9*AVERAGE(W1494:OFFSET(W1494,$B$7-1,0)))</f>
        <v>#DIV/0!</v>
      </c>
      <c r="AA1494" s="6" t="e">
        <f ca="1">SQRT($B$9*AVERAGE(W1494:OFFSET(W1494,$B$8-1,0)))</f>
        <v>#DIV/0!</v>
      </c>
      <c r="AC1494" s="34" t="e">
        <f t="shared" si="125"/>
        <v>#DIV/0!</v>
      </c>
      <c r="AD1494" s="34" t="e">
        <f ca="1">SQRT($B$9*SUM(AC1494:OFFSET(AC1494,$B$5-1,0))/($B$5-1))</f>
        <v>#DIV/0!</v>
      </c>
      <c r="AE1494" s="34" t="e">
        <f ca="1">SQRT($B$9*SUM(AC1494:OFFSET(AC1494,$B$6-1,0))/($B$6-1))</f>
        <v>#DIV/0!</v>
      </c>
      <c r="AF1494" s="34" t="e">
        <f ca="1">SQRT($B$9*SUM(AC1494:OFFSET(AC1494,$B$7-1,0))/($B$7-1))</f>
        <v>#DIV/0!</v>
      </c>
      <c r="AG1494" s="34" t="e">
        <f ca="1">SQRT($B$9*SUM(AC1494:OFFSET(AC1494,$B$8-1,0))/($B$8-1))</f>
        <v>#DIV/0!</v>
      </c>
      <c r="AI1494" s="1" t="e">
        <f t="shared" si="126"/>
        <v>#DIV/0!</v>
      </c>
      <c r="AJ1494" s="4" t="e">
        <f ca="1">SQRT($B$9)*_xlfn.STDEV.S(AI1494:OFFSET(AI1494,$B$5-1,0))</f>
        <v>#DIV/0!</v>
      </c>
      <c r="AK1494" s="4" t="e">
        <f ca="1">SQRT($B$9)*_xlfn.STDEV.S(AI1494:OFFSET(AI1494,$B$6-1,0))</f>
        <v>#DIV/0!</v>
      </c>
      <c r="AL1494" s="4" t="e">
        <f ca="1">SQRT($B$9)*_xlfn.STDEV.S(AI1494:OFFSET(AI1494,$B$7-1,0))</f>
        <v>#DIV/0!</v>
      </c>
      <c r="AM1494" s="4" t="e">
        <f ca="1">SQRT($B$9)*_xlfn.STDEV.S(AI1494:OFFSET(AI1494,$B$8-1,0))</f>
        <v>#DIV/0!</v>
      </c>
    </row>
    <row r="1495" spans="11:39" x14ac:dyDescent="0.2">
      <c r="K1495" s="3" t="e">
        <f t="shared" si="124"/>
        <v>#DIV/0!</v>
      </c>
      <c r="L1495" s="3" t="e">
        <f ca="1">SQRT(AVERAGE(K1495:OFFSET(K1495,$B$5-1,0))*$B$9/(4*LN(2)))</f>
        <v>#DIV/0!</v>
      </c>
      <c r="M1495" s="3" t="e">
        <f ca="1">SQRT(AVERAGE(K1495:OFFSET(K1495,$B$6-1,0))*$B$9/(4*LN(2)))</f>
        <v>#DIV/0!</v>
      </c>
      <c r="N1495" s="3" t="e">
        <f ca="1">SQRT(AVERAGE(K1495:OFFSET(K1495,$B$7-1,0))*$B$9/(4*LN(2)))</f>
        <v>#DIV/0!</v>
      </c>
      <c r="O1495" s="3" t="e">
        <f ca="1">SQRT(AVERAGE(K1495:OFFSET(K1495,$B$8-1,0))*$B$9/(4*LN(2)))</f>
        <v>#DIV/0!</v>
      </c>
      <c r="Q1495" s="5" t="e">
        <f t="shared" si="123"/>
        <v>#DIV/0!</v>
      </c>
      <c r="R1495" s="5" t="e">
        <f ca="1">SQRT($B$9*AVERAGE((Q1495:OFFSET(Q1495,$B$5-1,0))))</f>
        <v>#DIV/0!</v>
      </c>
      <c r="S1495" s="5" t="e">
        <f ca="1">SQRT($B$9*AVERAGE((Q1495:OFFSET(Q1495,$B$6-1,0))))</f>
        <v>#DIV/0!</v>
      </c>
      <c r="T1495" s="5" t="e">
        <f ca="1">SQRT($B$9*AVERAGE((Q1495:OFFSET(Q1495,$B$7-1,0))))</f>
        <v>#DIV/0!</v>
      </c>
      <c r="U1495" s="5" t="e">
        <f ca="1">SQRT($B$9*AVERAGE((Q1495:OFFSET(Q1495,$B$8-1,0))))</f>
        <v>#DIV/0!</v>
      </c>
      <c r="W1495" s="6" t="e">
        <f t="shared" si="122"/>
        <v>#DIV/0!</v>
      </c>
      <c r="X1495" s="6" t="e">
        <f ca="1">SQRT($B$9*AVERAGE(W1495:OFFSET(W1495,$B$5-1,0)))</f>
        <v>#DIV/0!</v>
      </c>
      <c r="Y1495" s="6" t="e">
        <f ca="1">SQRT($B$9*AVERAGE(W1495:OFFSET(W1495,$B$6-1,0)))</f>
        <v>#DIV/0!</v>
      </c>
      <c r="Z1495" s="6" t="e">
        <f ca="1">SQRT($B$9*AVERAGE(W1495:OFFSET(W1495,$B$7-1,0)))</f>
        <v>#DIV/0!</v>
      </c>
      <c r="AA1495" s="6" t="e">
        <f ca="1">SQRT($B$9*AVERAGE(W1495:OFFSET(W1495,$B$8-1,0)))</f>
        <v>#DIV/0!</v>
      </c>
      <c r="AC1495" s="34" t="e">
        <f t="shared" si="125"/>
        <v>#DIV/0!</v>
      </c>
      <c r="AD1495" s="34" t="e">
        <f ca="1">SQRT($B$9*SUM(AC1495:OFFSET(AC1495,$B$5-1,0))/($B$5-1))</f>
        <v>#DIV/0!</v>
      </c>
      <c r="AE1495" s="34" t="e">
        <f ca="1">SQRT($B$9*SUM(AC1495:OFFSET(AC1495,$B$6-1,0))/($B$6-1))</f>
        <v>#DIV/0!</v>
      </c>
      <c r="AF1495" s="34" t="e">
        <f ca="1">SQRT($B$9*SUM(AC1495:OFFSET(AC1495,$B$7-1,0))/($B$7-1))</f>
        <v>#DIV/0!</v>
      </c>
      <c r="AG1495" s="34" t="e">
        <f ca="1">SQRT($B$9*SUM(AC1495:OFFSET(AC1495,$B$8-1,0))/($B$8-1))</f>
        <v>#DIV/0!</v>
      </c>
      <c r="AI1495" s="1" t="e">
        <f t="shared" si="126"/>
        <v>#DIV/0!</v>
      </c>
      <c r="AJ1495" s="4" t="e">
        <f ca="1">SQRT($B$9)*_xlfn.STDEV.S(AI1495:OFFSET(AI1495,$B$5-1,0))</f>
        <v>#DIV/0!</v>
      </c>
      <c r="AK1495" s="4" t="e">
        <f ca="1">SQRT($B$9)*_xlfn.STDEV.S(AI1495:OFFSET(AI1495,$B$6-1,0))</f>
        <v>#DIV/0!</v>
      </c>
      <c r="AL1495" s="4" t="e">
        <f ca="1">SQRT($B$9)*_xlfn.STDEV.S(AI1495:OFFSET(AI1495,$B$7-1,0))</f>
        <v>#DIV/0!</v>
      </c>
      <c r="AM1495" s="4" t="e">
        <f ca="1">SQRT($B$9)*_xlfn.STDEV.S(AI1495:OFFSET(AI1495,$B$8-1,0))</f>
        <v>#DIV/0!</v>
      </c>
    </row>
    <row r="1496" spans="11:39" x14ac:dyDescent="0.2">
      <c r="K1496" s="3" t="e">
        <f t="shared" si="124"/>
        <v>#DIV/0!</v>
      </c>
      <c r="L1496" s="3" t="e">
        <f ca="1">SQRT(AVERAGE(K1496:OFFSET(K1496,$B$5-1,0))*$B$9/(4*LN(2)))</f>
        <v>#DIV/0!</v>
      </c>
      <c r="M1496" s="3" t="e">
        <f ca="1">SQRT(AVERAGE(K1496:OFFSET(K1496,$B$6-1,0))*$B$9/(4*LN(2)))</f>
        <v>#DIV/0!</v>
      </c>
      <c r="N1496" s="3" t="e">
        <f ca="1">SQRT(AVERAGE(K1496:OFFSET(K1496,$B$7-1,0))*$B$9/(4*LN(2)))</f>
        <v>#DIV/0!</v>
      </c>
      <c r="O1496" s="3" t="e">
        <f ca="1">SQRT(AVERAGE(K1496:OFFSET(K1496,$B$8-1,0))*$B$9/(4*LN(2)))</f>
        <v>#DIV/0!</v>
      </c>
      <c r="Q1496" s="5" t="e">
        <f t="shared" si="123"/>
        <v>#DIV/0!</v>
      </c>
      <c r="R1496" s="5" t="e">
        <f ca="1">SQRT($B$9*AVERAGE((Q1496:OFFSET(Q1496,$B$5-1,0))))</f>
        <v>#DIV/0!</v>
      </c>
      <c r="S1496" s="5" t="e">
        <f ca="1">SQRT($B$9*AVERAGE((Q1496:OFFSET(Q1496,$B$6-1,0))))</f>
        <v>#DIV/0!</v>
      </c>
      <c r="T1496" s="5" t="e">
        <f ca="1">SQRT($B$9*AVERAGE((Q1496:OFFSET(Q1496,$B$7-1,0))))</f>
        <v>#DIV/0!</v>
      </c>
      <c r="U1496" s="5" t="e">
        <f ca="1">SQRT($B$9*AVERAGE((Q1496:OFFSET(Q1496,$B$8-1,0))))</f>
        <v>#DIV/0!</v>
      </c>
      <c r="W1496" s="6" t="e">
        <f t="shared" si="122"/>
        <v>#DIV/0!</v>
      </c>
      <c r="X1496" s="6" t="e">
        <f ca="1">SQRT($B$9*AVERAGE(W1496:OFFSET(W1496,$B$5-1,0)))</f>
        <v>#DIV/0!</v>
      </c>
      <c r="Y1496" s="6" t="e">
        <f ca="1">SQRT($B$9*AVERAGE(W1496:OFFSET(W1496,$B$6-1,0)))</f>
        <v>#DIV/0!</v>
      </c>
      <c r="Z1496" s="6" t="e">
        <f ca="1">SQRT($B$9*AVERAGE(W1496:OFFSET(W1496,$B$7-1,0)))</f>
        <v>#DIV/0!</v>
      </c>
      <c r="AA1496" s="6" t="e">
        <f ca="1">SQRT($B$9*AVERAGE(W1496:OFFSET(W1496,$B$8-1,0)))</f>
        <v>#DIV/0!</v>
      </c>
      <c r="AC1496" s="34" t="e">
        <f t="shared" si="125"/>
        <v>#DIV/0!</v>
      </c>
      <c r="AD1496" s="34" t="e">
        <f ca="1">SQRT($B$9*SUM(AC1496:OFFSET(AC1496,$B$5-1,0))/($B$5-1))</f>
        <v>#DIV/0!</v>
      </c>
      <c r="AE1496" s="34" t="e">
        <f ca="1">SQRT($B$9*SUM(AC1496:OFFSET(AC1496,$B$6-1,0))/($B$6-1))</f>
        <v>#DIV/0!</v>
      </c>
      <c r="AF1496" s="34" t="e">
        <f ca="1">SQRT($B$9*SUM(AC1496:OFFSET(AC1496,$B$7-1,0))/($B$7-1))</f>
        <v>#DIV/0!</v>
      </c>
      <c r="AG1496" s="34" t="e">
        <f ca="1">SQRT($B$9*SUM(AC1496:OFFSET(AC1496,$B$8-1,0))/($B$8-1))</f>
        <v>#DIV/0!</v>
      </c>
      <c r="AI1496" s="1" t="e">
        <f t="shared" si="126"/>
        <v>#DIV/0!</v>
      </c>
      <c r="AJ1496" s="4" t="e">
        <f ca="1">SQRT($B$9)*_xlfn.STDEV.S(AI1496:OFFSET(AI1496,$B$5-1,0))</f>
        <v>#DIV/0!</v>
      </c>
      <c r="AK1496" s="4" t="e">
        <f ca="1">SQRT($B$9)*_xlfn.STDEV.S(AI1496:OFFSET(AI1496,$B$6-1,0))</f>
        <v>#DIV/0!</v>
      </c>
      <c r="AL1496" s="4" t="e">
        <f ca="1">SQRT($B$9)*_xlfn.STDEV.S(AI1496:OFFSET(AI1496,$B$7-1,0))</f>
        <v>#DIV/0!</v>
      </c>
      <c r="AM1496" s="4" t="e">
        <f ca="1">SQRT($B$9)*_xlfn.STDEV.S(AI1496:OFFSET(AI1496,$B$8-1,0))</f>
        <v>#DIV/0!</v>
      </c>
    </row>
    <row r="1497" spans="11:39" x14ac:dyDescent="0.2">
      <c r="K1497" s="3" t="e">
        <f t="shared" si="124"/>
        <v>#DIV/0!</v>
      </c>
      <c r="L1497" s="3" t="e">
        <f ca="1">SQRT(AVERAGE(K1497:OFFSET(K1497,$B$5-1,0))*$B$9/(4*LN(2)))</f>
        <v>#DIV/0!</v>
      </c>
      <c r="M1497" s="3" t="e">
        <f ca="1">SQRT(AVERAGE(K1497:OFFSET(K1497,$B$6-1,0))*$B$9/(4*LN(2)))</f>
        <v>#DIV/0!</v>
      </c>
      <c r="N1497" s="3" t="e">
        <f ca="1">SQRT(AVERAGE(K1497:OFFSET(K1497,$B$7-1,0))*$B$9/(4*LN(2)))</f>
        <v>#DIV/0!</v>
      </c>
      <c r="O1497" s="3" t="e">
        <f ca="1">SQRT(AVERAGE(K1497:OFFSET(K1497,$B$8-1,0))*$B$9/(4*LN(2)))</f>
        <v>#DIV/0!</v>
      </c>
      <c r="Q1497" s="5" t="e">
        <f t="shared" si="123"/>
        <v>#DIV/0!</v>
      </c>
      <c r="R1497" s="5" t="e">
        <f ca="1">SQRT($B$9*AVERAGE((Q1497:OFFSET(Q1497,$B$5-1,0))))</f>
        <v>#DIV/0!</v>
      </c>
      <c r="S1497" s="5" t="e">
        <f ca="1">SQRT($B$9*AVERAGE((Q1497:OFFSET(Q1497,$B$6-1,0))))</f>
        <v>#DIV/0!</v>
      </c>
      <c r="T1497" s="5" t="e">
        <f ca="1">SQRT($B$9*AVERAGE((Q1497:OFFSET(Q1497,$B$7-1,0))))</f>
        <v>#DIV/0!</v>
      </c>
      <c r="U1497" s="5" t="e">
        <f ca="1">SQRT($B$9*AVERAGE((Q1497:OFFSET(Q1497,$B$8-1,0))))</f>
        <v>#DIV/0!</v>
      </c>
      <c r="W1497" s="6" t="e">
        <f t="shared" si="122"/>
        <v>#DIV/0!</v>
      </c>
      <c r="X1497" s="6" t="e">
        <f ca="1">SQRT($B$9*AVERAGE(W1497:OFFSET(W1497,$B$5-1,0)))</f>
        <v>#DIV/0!</v>
      </c>
      <c r="Y1497" s="6" t="e">
        <f ca="1">SQRT($B$9*AVERAGE(W1497:OFFSET(W1497,$B$6-1,0)))</f>
        <v>#DIV/0!</v>
      </c>
      <c r="Z1497" s="6" t="e">
        <f ca="1">SQRT($B$9*AVERAGE(W1497:OFFSET(W1497,$B$7-1,0)))</f>
        <v>#DIV/0!</v>
      </c>
      <c r="AA1497" s="6" t="e">
        <f ca="1">SQRT($B$9*AVERAGE(W1497:OFFSET(W1497,$B$8-1,0)))</f>
        <v>#DIV/0!</v>
      </c>
      <c r="AC1497" s="34" t="e">
        <f t="shared" si="125"/>
        <v>#DIV/0!</v>
      </c>
      <c r="AD1497" s="34" t="e">
        <f ca="1">SQRT($B$9*SUM(AC1497:OFFSET(AC1497,$B$5-1,0))/($B$5-1))</f>
        <v>#DIV/0!</v>
      </c>
      <c r="AE1497" s="34" t="e">
        <f ca="1">SQRT($B$9*SUM(AC1497:OFFSET(AC1497,$B$6-1,0))/($B$6-1))</f>
        <v>#DIV/0!</v>
      </c>
      <c r="AF1497" s="34" t="e">
        <f ca="1">SQRT($B$9*SUM(AC1497:OFFSET(AC1497,$B$7-1,0))/($B$7-1))</f>
        <v>#DIV/0!</v>
      </c>
      <c r="AG1497" s="34" t="e">
        <f ca="1">SQRT($B$9*SUM(AC1497:OFFSET(AC1497,$B$8-1,0))/($B$8-1))</f>
        <v>#DIV/0!</v>
      </c>
      <c r="AI1497" s="1" t="e">
        <f t="shared" si="126"/>
        <v>#DIV/0!</v>
      </c>
      <c r="AJ1497" s="4" t="e">
        <f ca="1">SQRT($B$9)*_xlfn.STDEV.S(AI1497:OFFSET(AI1497,$B$5-1,0))</f>
        <v>#DIV/0!</v>
      </c>
      <c r="AK1497" s="4" t="e">
        <f ca="1">SQRT($B$9)*_xlfn.STDEV.S(AI1497:OFFSET(AI1497,$B$6-1,0))</f>
        <v>#DIV/0!</v>
      </c>
      <c r="AL1497" s="4" t="e">
        <f ca="1">SQRT($B$9)*_xlfn.STDEV.S(AI1497:OFFSET(AI1497,$B$7-1,0))</f>
        <v>#DIV/0!</v>
      </c>
      <c r="AM1497" s="4" t="e">
        <f ca="1">SQRT($B$9)*_xlfn.STDEV.S(AI1497:OFFSET(AI1497,$B$8-1,0))</f>
        <v>#DIV/0!</v>
      </c>
    </row>
    <row r="1498" spans="11:39" x14ac:dyDescent="0.2">
      <c r="K1498" s="3" t="e">
        <f t="shared" si="124"/>
        <v>#DIV/0!</v>
      </c>
      <c r="L1498" s="3" t="e">
        <f ca="1">SQRT(AVERAGE(K1498:OFFSET(K1498,$B$5-1,0))*$B$9/(4*LN(2)))</f>
        <v>#DIV/0!</v>
      </c>
      <c r="M1498" s="3" t="e">
        <f ca="1">SQRT(AVERAGE(K1498:OFFSET(K1498,$B$6-1,0))*$B$9/(4*LN(2)))</f>
        <v>#DIV/0!</v>
      </c>
      <c r="N1498" s="3" t="e">
        <f ca="1">SQRT(AVERAGE(K1498:OFFSET(K1498,$B$7-1,0))*$B$9/(4*LN(2)))</f>
        <v>#DIV/0!</v>
      </c>
      <c r="O1498" s="3" t="e">
        <f ca="1">SQRT(AVERAGE(K1498:OFFSET(K1498,$B$8-1,0))*$B$9/(4*LN(2)))</f>
        <v>#DIV/0!</v>
      </c>
      <c r="Q1498" s="5" t="e">
        <f t="shared" si="123"/>
        <v>#DIV/0!</v>
      </c>
      <c r="R1498" s="5" t="e">
        <f ca="1">SQRT($B$9*AVERAGE((Q1498:OFFSET(Q1498,$B$5-1,0))))</f>
        <v>#DIV/0!</v>
      </c>
      <c r="S1498" s="5" t="e">
        <f ca="1">SQRT($B$9*AVERAGE((Q1498:OFFSET(Q1498,$B$6-1,0))))</f>
        <v>#DIV/0!</v>
      </c>
      <c r="T1498" s="5" t="e">
        <f ca="1">SQRT($B$9*AVERAGE((Q1498:OFFSET(Q1498,$B$7-1,0))))</f>
        <v>#DIV/0!</v>
      </c>
      <c r="U1498" s="5" t="e">
        <f ca="1">SQRT($B$9*AVERAGE((Q1498:OFFSET(Q1498,$B$8-1,0))))</f>
        <v>#DIV/0!</v>
      </c>
      <c r="W1498" s="6" t="e">
        <f t="shared" si="122"/>
        <v>#DIV/0!</v>
      </c>
      <c r="X1498" s="6" t="e">
        <f ca="1">SQRT($B$9*AVERAGE(W1498:OFFSET(W1498,$B$5-1,0)))</f>
        <v>#DIV/0!</v>
      </c>
      <c r="Y1498" s="6" t="e">
        <f ca="1">SQRT($B$9*AVERAGE(W1498:OFFSET(W1498,$B$6-1,0)))</f>
        <v>#DIV/0!</v>
      </c>
      <c r="Z1498" s="6" t="e">
        <f ca="1">SQRT($B$9*AVERAGE(W1498:OFFSET(W1498,$B$7-1,0)))</f>
        <v>#DIV/0!</v>
      </c>
      <c r="AA1498" s="6" t="e">
        <f ca="1">SQRT($B$9*AVERAGE(W1498:OFFSET(W1498,$B$8-1,0)))</f>
        <v>#DIV/0!</v>
      </c>
      <c r="AC1498" s="34" t="e">
        <f t="shared" si="125"/>
        <v>#DIV/0!</v>
      </c>
      <c r="AD1498" s="34" t="e">
        <f ca="1">SQRT($B$9*SUM(AC1498:OFFSET(AC1498,$B$5-1,0))/($B$5-1))</f>
        <v>#DIV/0!</v>
      </c>
      <c r="AE1498" s="34" t="e">
        <f ca="1">SQRT($B$9*SUM(AC1498:OFFSET(AC1498,$B$6-1,0))/($B$6-1))</f>
        <v>#DIV/0!</v>
      </c>
      <c r="AF1498" s="34" t="e">
        <f ca="1">SQRT($B$9*SUM(AC1498:OFFSET(AC1498,$B$7-1,0))/($B$7-1))</f>
        <v>#DIV/0!</v>
      </c>
      <c r="AG1498" s="34" t="e">
        <f ca="1">SQRT($B$9*SUM(AC1498:OFFSET(AC1498,$B$8-1,0))/($B$8-1))</f>
        <v>#DIV/0!</v>
      </c>
      <c r="AI1498" s="1" t="e">
        <f t="shared" si="126"/>
        <v>#DIV/0!</v>
      </c>
      <c r="AJ1498" s="4" t="e">
        <f ca="1">SQRT($B$9)*_xlfn.STDEV.S(AI1498:OFFSET(AI1498,$B$5-1,0))</f>
        <v>#DIV/0!</v>
      </c>
      <c r="AK1498" s="4" t="e">
        <f ca="1">SQRT($B$9)*_xlfn.STDEV.S(AI1498:OFFSET(AI1498,$B$6-1,0))</f>
        <v>#DIV/0!</v>
      </c>
      <c r="AL1498" s="4" t="e">
        <f ca="1">SQRT($B$9)*_xlfn.STDEV.S(AI1498:OFFSET(AI1498,$B$7-1,0))</f>
        <v>#DIV/0!</v>
      </c>
      <c r="AM1498" s="4" t="e">
        <f ca="1">SQRT($B$9)*_xlfn.STDEV.S(AI1498:OFFSET(AI1498,$B$8-1,0))</f>
        <v>#DIV/0!</v>
      </c>
    </row>
    <row r="1499" spans="11:39" x14ac:dyDescent="0.2">
      <c r="K1499" s="3" t="e">
        <f t="shared" si="124"/>
        <v>#DIV/0!</v>
      </c>
      <c r="L1499" s="3" t="e">
        <f ca="1">SQRT(AVERAGE(K1499:OFFSET(K1499,$B$5-1,0))*$B$9/(4*LN(2)))</f>
        <v>#DIV/0!</v>
      </c>
      <c r="M1499" s="3" t="e">
        <f ca="1">SQRT(AVERAGE(K1499:OFFSET(K1499,$B$6-1,0))*$B$9/(4*LN(2)))</f>
        <v>#DIV/0!</v>
      </c>
      <c r="N1499" s="3" t="e">
        <f ca="1">SQRT(AVERAGE(K1499:OFFSET(K1499,$B$7-1,0))*$B$9/(4*LN(2)))</f>
        <v>#DIV/0!</v>
      </c>
      <c r="O1499" s="3" t="e">
        <f ca="1">SQRT(AVERAGE(K1499:OFFSET(K1499,$B$8-1,0))*$B$9/(4*LN(2)))</f>
        <v>#DIV/0!</v>
      </c>
      <c r="Q1499" s="5" t="e">
        <f t="shared" si="123"/>
        <v>#DIV/0!</v>
      </c>
      <c r="R1499" s="5" t="e">
        <f ca="1">SQRT($B$9*AVERAGE((Q1499:OFFSET(Q1499,$B$5-1,0))))</f>
        <v>#DIV/0!</v>
      </c>
      <c r="S1499" s="5" t="e">
        <f ca="1">SQRT($B$9*AVERAGE((Q1499:OFFSET(Q1499,$B$6-1,0))))</f>
        <v>#DIV/0!</v>
      </c>
      <c r="T1499" s="5" t="e">
        <f ca="1">SQRT($B$9*AVERAGE((Q1499:OFFSET(Q1499,$B$7-1,0))))</f>
        <v>#DIV/0!</v>
      </c>
      <c r="U1499" s="5" t="e">
        <f ca="1">SQRT($B$9*AVERAGE((Q1499:OFFSET(Q1499,$B$8-1,0))))</f>
        <v>#DIV/0!</v>
      </c>
      <c r="W1499" s="6" t="e">
        <f t="shared" si="122"/>
        <v>#DIV/0!</v>
      </c>
      <c r="X1499" s="6" t="e">
        <f ca="1">SQRT($B$9*AVERAGE(W1499:OFFSET(W1499,$B$5-1,0)))</f>
        <v>#DIV/0!</v>
      </c>
      <c r="Y1499" s="6" t="e">
        <f ca="1">SQRT($B$9*AVERAGE(W1499:OFFSET(W1499,$B$6-1,0)))</f>
        <v>#DIV/0!</v>
      </c>
      <c r="Z1499" s="6" t="e">
        <f ca="1">SQRT($B$9*AVERAGE(W1499:OFFSET(W1499,$B$7-1,0)))</f>
        <v>#DIV/0!</v>
      </c>
      <c r="AA1499" s="6" t="e">
        <f ca="1">SQRT($B$9*AVERAGE(W1499:OFFSET(W1499,$B$8-1,0)))</f>
        <v>#DIV/0!</v>
      </c>
      <c r="AC1499" s="34" t="e">
        <f t="shared" si="125"/>
        <v>#DIV/0!</v>
      </c>
      <c r="AD1499" s="34" t="e">
        <f ca="1">SQRT($B$9*SUM(AC1499:OFFSET(AC1499,$B$5-1,0))/($B$5-1))</f>
        <v>#DIV/0!</v>
      </c>
      <c r="AE1499" s="34" t="e">
        <f ca="1">SQRT($B$9*SUM(AC1499:OFFSET(AC1499,$B$6-1,0))/($B$6-1))</f>
        <v>#DIV/0!</v>
      </c>
      <c r="AF1499" s="34" t="e">
        <f ca="1">SQRT($B$9*SUM(AC1499:OFFSET(AC1499,$B$7-1,0))/($B$7-1))</f>
        <v>#DIV/0!</v>
      </c>
      <c r="AG1499" s="34" t="e">
        <f ca="1">SQRT($B$9*SUM(AC1499:OFFSET(AC1499,$B$8-1,0))/($B$8-1))</f>
        <v>#DIV/0!</v>
      </c>
      <c r="AI1499" s="1" t="e">
        <f t="shared" si="126"/>
        <v>#DIV/0!</v>
      </c>
      <c r="AJ1499" s="4" t="e">
        <f ca="1">SQRT($B$9)*_xlfn.STDEV.S(AI1499:OFFSET(AI1499,$B$5-1,0))</f>
        <v>#DIV/0!</v>
      </c>
      <c r="AK1499" s="4" t="e">
        <f ca="1">SQRT($B$9)*_xlfn.STDEV.S(AI1499:OFFSET(AI1499,$B$6-1,0))</f>
        <v>#DIV/0!</v>
      </c>
      <c r="AL1499" s="4" t="e">
        <f ca="1">SQRT($B$9)*_xlfn.STDEV.S(AI1499:OFFSET(AI1499,$B$7-1,0))</f>
        <v>#DIV/0!</v>
      </c>
      <c r="AM1499" s="4" t="e">
        <f ca="1">SQRT($B$9)*_xlfn.STDEV.S(AI1499:OFFSET(AI1499,$B$8-1,0))</f>
        <v>#DIV/0!</v>
      </c>
    </row>
    <row r="1500" spans="11:39" x14ac:dyDescent="0.2">
      <c r="K1500" s="3" t="e">
        <f t="shared" si="124"/>
        <v>#DIV/0!</v>
      </c>
      <c r="L1500" s="3" t="e">
        <f ca="1">SQRT(AVERAGE(K1500:OFFSET(K1500,$B$5-1,0))*$B$9/(4*LN(2)))</f>
        <v>#DIV/0!</v>
      </c>
      <c r="M1500" s="3" t="e">
        <f ca="1">SQRT(AVERAGE(K1500:OFFSET(K1500,$B$6-1,0))*$B$9/(4*LN(2)))</f>
        <v>#DIV/0!</v>
      </c>
      <c r="N1500" s="3" t="e">
        <f ca="1">SQRT(AVERAGE(K1500:OFFSET(K1500,$B$7-1,0))*$B$9/(4*LN(2)))</f>
        <v>#DIV/0!</v>
      </c>
      <c r="O1500" s="3" t="e">
        <f ca="1">SQRT(AVERAGE(K1500:OFFSET(K1500,$B$8-1,0))*$B$9/(4*LN(2)))</f>
        <v>#DIV/0!</v>
      </c>
      <c r="Q1500" s="5" t="e">
        <f t="shared" si="123"/>
        <v>#DIV/0!</v>
      </c>
      <c r="R1500" s="5" t="e">
        <f ca="1">SQRT($B$9*AVERAGE((Q1500:OFFSET(Q1500,$B$5-1,0))))</f>
        <v>#DIV/0!</v>
      </c>
      <c r="S1500" s="5" t="e">
        <f ca="1">SQRT($B$9*AVERAGE((Q1500:OFFSET(Q1500,$B$6-1,0))))</f>
        <v>#DIV/0!</v>
      </c>
      <c r="T1500" s="5" t="e">
        <f ca="1">SQRT($B$9*AVERAGE((Q1500:OFFSET(Q1500,$B$7-1,0))))</f>
        <v>#DIV/0!</v>
      </c>
      <c r="U1500" s="5" t="e">
        <f ca="1">SQRT($B$9*AVERAGE((Q1500:OFFSET(Q1500,$B$8-1,0))))</f>
        <v>#DIV/0!</v>
      </c>
      <c r="W1500" s="6" t="e">
        <f t="shared" si="122"/>
        <v>#DIV/0!</v>
      </c>
      <c r="X1500" s="6" t="e">
        <f ca="1">SQRT($B$9*AVERAGE(W1500:OFFSET(W1500,$B$5-1,0)))</f>
        <v>#DIV/0!</v>
      </c>
      <c r="Y1500" s="6" t="e">
        <f ca="1">SQRT($B$9*AVERAGE(W1500:OFFSET(W1500,$B$6-1,0)))</f>
        <v>#DIV/0!</v>
      </c>
      <c r="Z1500" s="6" t="e">
        <f ca="1">SQRT($B$9*AVERAGE(W1500:OFFSET(W1500,$B$7-1,0)))</f>
        <v>#DIV/0!</v>
      </c>
      <c r="AA1500" s="6" t="e">
        <f ca="1">SQRT($B$9*AVERAGE(W1500:OFFSET(W1500,$B$8-1,0)))</f>
        <v>#DIV/0!</v>
      </c>
      <c r="AC1500" s="34" t="e">
        <f t="shared" si="125"/>
        <v>#DIV/0!</v>
      </c>
      <c r="AD1500" s="34" t="e">
        <f ca="1">SQRT($B$9*SUM(AC1500:OFFSET(AC1500,$B$5-1,0))/($B$5-1))</f>
        <v>#DIV/0!</v>
      </c>
      <c r="AE1500" s="34" t="e">
        <f ca="1">SQRT($B$9*SUM(AC1500:OFFSET(AC1500,$B$6-1,0))/($B$6-1))</f>
        <v>#DIV/0!</v>
      </c>
      <c r="AF1500" s="34" t="e">
        <f ca="1">SQRT($B$9*SUM(AC1500:OFFSET(AC1500,$B$7-1,0))/($B$7-1))</f>
        <v>#DIV/0!</v>
      </c>
      <c r="AG1500" s="34" t="e">
        <f ca="1">SQRT($B$9*SUM(AC1500:OFFSET(AC1500,$B$8-1,0))/($B$8-1))</f>
        <v>#DIV/0!</v>
      </c>
      <c r="AI1500" s="1" t="e">
        <f t="shared" si="126"/>
        <v>#DIV/0!</v>
      </c>
      <c r="AJ1500" s="4" t="e">
        <f ca="1">SQRT($B$9)*_xlfn.STDEV.S(AI1500:OFFSET(AI1500,$B$5-1,0))</f>
        <v>#DIV/0!</v>
      </c>
      <c r="AK1500" s="4" t="e">
        <f ca="1">SQRT($B$9)*_xlfn.STDEV.S(AI1500:OFFSET(AI1500,$B$6-1,0))</f>
        <v>#DIV/0!</v>
      </c>
      <c r="AL1500" s="4" t="e">
        <f ca="1">SQRT($B$9)*_xlfn.STDEV.S(AI1500:OFFSET(AI1500,$B$7-1,0))</f>
        <v>#DIV/0!</v>
      </c>
      <c r="AM1500" s="4" t="e">
        <f ca="1">SQRT($B$9)*_xlfn.STDEV.S(AI1500:OFFSET(AI1500,$B$8-1,0))</f>
        <v>#DIV/0!</v>
      </c>
    </row>
    <row r="1501" spans="11:39" x14ac:dyDescent="0.2">
      <c r="K1501" s="3" t="e">
        <f t="shared" si="124"/>
        <v>#DIV/0!</v>
      </c>
      <c r="L1501" s="3" t="e">
        <f ca="1">SQRT(AVERAGE(K1501:OFFSET(K1501,$B$5-1,0))*$B$9/(4*LN(2)))</f>
        <v>#DIV/0!</v>
      </c>
      <c r="M1501" s="3" t="e">
        <f ca="1">SQRT(AVERAGE(K1501:OFFSET(K1501,$B$6-1,0))*$B$9/(4*LN(2)))</f>
        <v>#DIV/0!</v>
      </c>
      <c r="N1501" s="3" t="e">
        <f ca="1">SQRT(AVERAGE(K1501:OFFSET(K1501,$B$7-1,0))*$B$9/(4*LN(2)))</f>
        <v>#DIV/0!</v>
      </c>
      <c r="O1501" s="3" t="e">
        <f ca="1">SQRT(AVERAGE(K1501:OFFSET(K1501,$B$8-1,0))*$B$9/(4*LN(2)))</f>
        <v>#DIV/0!</v>
      </c>
      <c r="Q1501" s="5" t="e">
        <f t="shared" si="123"/>
        <v>#DIV/0!</v>
      </c>
      <c r="R1501" s="5" t="e">
        <f ca="1">SQRT($B$9*AVERAGE((Q1501:OFFSET(Q1501,$B$5-1,0))))</f>
        <v>#DIV/0!</v>
      </c>
      <c r="S1501" s="5" t="e">
        <f ca="1">SQRT($B$9*AVERAGE((Q1501:OFFSET(Q1501,$B$6-1,0))))</f>
        <v>#DIV/0!</v>
      </c>
      <c r="T1501" s="5" t="e">
        <f ca="1">SQRT($B$9*AVERAGE((Q1501:OFFSET(Q1501,$B$7-1,0))))</f>
        <v>#DIV/0!</v>
      </c>
      <c r="U1501" s="5" t="e">
        <f ca="1">SQRT($B$9*AVERAGE((Q1501:OFFSET(Q1501,$B$8-1,0))))</f>
        <v>#DIV/0!</v>
      </c>
      <c r="W1501" s="6" t="e">
        <f t="shared" si="122"/>
        <v>#DIV/0!</v>
      </c>
      <c r="X1501" s="6" t="e">
        <f ca="1">SQRT($B$9*AVERAGE(W1501:OFFSET(W1501,$B$5-1,0)))</f>
        <v>#DIV/0!</v>
      </c>
      <c r="Y1501" s="6" t="e">
        <f ca="1">SQRT($B$9*AVERAGE(W1501:OFFSET(W1501,$B$6-1,0)))</f>
        <v>#DIV/0!</v>
      </c>
      <c r="Z1501" s="6" t="e">
        <f ca="1">SQRT($B$9*AVERAGE(W1501:OFFSET(W1501,$B$7-1,0)))</f>
        <v>#DIV/0!</v>
      </c>
      <c r="AA1501" s="6" t="e">
        <f ca="1">SQRT($B$9*AVERAGE(W1501:OFFSET(W1501,$B$8-1,0)))</f>
        <v>#DIV/0!</v>
      </c>
      <c r="AC1501" s="34" t="e">
        <f t="shared" si="125"/>
        <v>#DIV/0!</v>
      </c>
      <c r="AD1501" s="34" t="e">
        <f ca="1">SQRT($B$9*SUM(AC1501:OFFSET(AC1501,$B$5-1,0))/($B$5-1))</f>
        <v>#DIV/0!</v>
      </c>
      <c r="AE1501" s="34" t="e">
        <f ca="1">SQRT($B$9*SUM(AC1501:OFFSET(AC1501,$B$6-1,0))/($B$6-1))</f>
        <v>#DIV/0!</v>
      </c>
      <c r="AF1501" s="34" t="e">
        <f ca="1">SQRT($B$9*SUM(AC1501:OFFSET(AC1501,$B$7-1,0))/($B$7-1))</f>
        <v>#DIV/0!</v>
      </c>
      <c r="AG1501" s="34" t="e">
        <f ca="1">SQRT($B$9*SUM(AC1501:OFFSET(AC1501,$B$8-1,0))/($B$8-1))</f>
        <v>#DIV/0!</v>
      </c>
      <c r="AI1501" s="1" t="e">
        <f t="shared" si="126"/>
        <v>#DIV/0!</v>
      </c>
      <c r="AJ1501" s="4" t="e">
        <f ca="1">SQRT($B$9)*_xlfn.STDEV.S(AI1501:OFFSET(AI1501,$B$5-1,0))</f>
        <v>#DIV/0!</v>
      </c>
      <c r="AK1501" s="4" t="e">
        <f ca="1">SQRT($B$9)*_xlfn.STDEV.S(AI1501:OFFSET(AI1501,$B$6-1,0))</f>
        <v>#DIV/0!</v>
      </c>
      <c r="AL1501" s="4" t="e">
        <f ca="1">SQRT($B$9)*_xlfn.STDEV.S(AI1501:OFFSET(AI1501,$B$7-1,0))</f>
        <v>#DIV/0!</v>
      </c>
      <c r="AM1501" s="4" t="e">
        <f ca="1">SQRT($B$9)*_xlfn.STDEV.S(AI1501:OFFSET(AI1501,$B$8-1,0))</f>
        <v>#DIV/0!</v>
      </c>
    </row>
    <row r="1502" spans="11:39" x14ac:dyDescent="0.2">
      <c r="K1502" s="3" t="e">
        <f t="shared" si="124"/>
        <v>#DIV/0!</v>
      </c>
      <c r="L1502" s="3" t="e">
        <f ca="1">SQRT(AVERAGE(K1502:OFFSET(K1502,$B$5-1,0))*$B$9/(4*LN(2)))</f>
        <v>#DIV/0!</v>
      </c>
      <c r="M1502" s="3" t="e">
        <f ca="1">SQRT(AVERAGE(K1502:OFFSET(K1502,$B$6-1,0))*$B$9/(4*LN(2)))</f>
        <v>#DIV/0!</v>
      </c>
      <c r="N1502" s="3" t="e">
        <f ca="1">SQRT(AVERAGE(K1502:OFFSET(K1502,$B$7-1,0))*$B$9/(4*LN(2)))</f>
        <v>#DIV/0!</v>
      </c>
      <c r="O1502" s="3" t="e">
        <f ca="1">SQRT(AVERAGE(K1502:OFFSET(K1502,$B$8-1,0))*$B$9/(4*LN(2)))</f>
        <v>#DIV/0!</v>
      </c>
      <c r="Q1502" s="5" t="e">
        <f t="shared" si="123"/>
        <v>#DIV/0!</v>
      </c>
      <c r="R1502" s="5" t="e">
        <f ca="1">SQRT($B$9*AVERAGE((Q1502:OFFSET(Q1502,$B$5-1,0))))</f>
        <v>#DIV/0!</v>
      </c>
      <c r="S1502" s="5" t="e">
        <f ca="1">SQRT($B$9*AVERAGE((Q1502:OFFSET(Q1502,$B$6-1,0))))</f>
        <v>#DIV/0!</v>
      </c>
      <c r="T1502" s="5" t="e">
        <f ca="1">SQRT($B$9*AVERAGE((Q1502:OFFSET(Q1502,$B$7-1,0))))</f>
        <v>#DIV/0!</v>
      </c>
      <c r="U1502" s="5" t="e">
        <f ca="1">SQRT($B$9*AVERAGE((Q1502:OFFSET(Q1502,$B$8-1,0))))</f>
        <v>#DIV/0!</v>
      </c>
      <c r="W1502" s="6" t="e">
        <f t="shared" si="122"/>
        <v>#DIV/0!</v>
      </c>
      <c r="X1502" s="6" t="e">
        <f ca="1">SQRT($B$9*AVERAGE(W1502:OFFSET(W1502,$B$5-1,0)))</f>
        <v>#DIV/0!</v>
      </c>
      <c r="Y1502" s="6" t="e">
        <f ca="1">SQRT($B$9*AVERAGE(W1502:OFFSET(W1502,$B$6-1,0)))</f>
        <v>#DIV/0!</v>
      </c>
      <c r="Z1502" s="6" t="e">
        <f ca="1">SQRT($B$9*AVERAGE(W1502:OFFSET(W1502,$B$7-1,0)))</f>
        <v>#DIV/0!</v>
      </c>
      <c r="AA1502" s="6" t="e">
        <f ca="1">SQRT($B$9*AVERAGE(W1502:OFFSET(W1502,$B$8-1,0)))</f>
        <v>#DIV/0!</v>
      </c>
      <c r="AC1502" s="34" t="e">
        <f t="shared" si="125"/>
        <v>#DIV/0!</v>
      </c>
      <c r="AD1502" s="34" t="e">
        <f ca="1">SQRT($B$9*SUM(AC1502:OFFSET(AC1502,$B$5-1,0))/($B$5-1))</f>
        <v>#DIV/0!</v>
      </c>
      <c r="AE1502" s="34" t="e">
        <f ca="1">SQRT($B$9*SUM(AC1502:OFFSET(AC1502,$B$6-1,0))/($B$6-1))</f>
        <v>#DIV/0!</v>
      </c>
      <c r="AF1502" s="34" t="e">
        <f ca="1">SQRT($B$9*SUM(AC1502:OFFSET(AC1502,$B$7-1,0))/($B$7-1))</f>
        <v>#DIV/0!</v>
      </c>
      <c r="AG1502" s="34" t="e">
        <f ca="1">SQRT($B$9*SUM(AC1502:OFFSET(AC1502,$B$8-1,0))/($B$8-1))</f>
        <v>#DIV/0!</v>
      </c>
      <c r="AI1502" s="1" t="e">
        <f t="shared" si="126"/>
        <v>#DIV/0!</v>
      </c>
      <c r="AJ1502" s="4" t="e">
        <f ca="1">SQRT($B$9)*_xlfn.STDEV.S(AI1502:OFFSET(AI1502,$B$5-1,0))</f>
        <v>#DIV/0!</v>
      </c>
      <c r="AK1502" s="4" t="e">
        <f ca="1">SQRT($B$9)*_xlfn.STDEV.S(AI1502:OFFSET(AI1502,$B$6-1,0))</f>
        <v>#DIV/0!</v>
      </c>
      <c r="AL1502" s="4" t="e">
        <f ca="1">SQRT($B$9)*_xlfn.STDEV.S(AI1502:OFFSET(AI1502,$B$7-1,0))</f>
        <v>#DIV/0!</v>
      </c>
      <c r="AM1502" s="4" t="e">
        <f ca="1">SQRT($B$9)*_xlfn.STDEV.S(AI1502:OFFSET(AI1502,$B$8-1,0))</f>
        <v>#DIV/0!</v>
      </c>
    </row>
    <row r="1503" spans="11:39" x14ac:dyDescent="0.2">
      <c r="K1503" s="3" t="e">
        <f t="shared" si="124"/>
        <v>#DIV/0!</v>
      </c>
      <c r="L1503" s="3" t="e">
        <f ca="1">SQRT(AVERAGE(K1503:OFFSET(K1503,$B$5-1,0))*$B$9/(4*LN(2)))</f>
        <v>#DIV/0!</v>
      </c>
      <c r="M1503" s="3" t="e">
        <f ca="1">SQRT(AVERAGE(K1503:OFFSET(K1503,$B$6-1,0))*$B$9/(4*LN(2)))</f>
        <v>#DIV/0!</v>
      </c>
      <c r="N1503" s="3" t="e">
        <f ca="1">SQRT(AVERAGE(K1503:OFFSET(K1503,$B$7-1,0))*$B$9/(4*LN(2)))</f>
        <v>#DIV/0!</v>
      </c>
      <c r="O1503" s="3" t="e">
        <f ca="1">SQRT(AVERAGE(K1503:OFFSET(K1503,$B$8-1,0))*$B$9/(4*LN(2)))</f>
        <v>#DIV/0!</v>
      </c>
      <c r="Q1503" s="5" t="e">
        <f t="shared" si="123"/>
        <v>#DIV/0!</v>
      </c>
      <c r="R1503" s="5" t="e">
        <f ca="1">SQRT($B$9*AVERAGE((Q1503:OFFSET(Q1503,$B$5-1,0))))</f>
        <v>#DIV/0!</v>
      </c>
      <c r="S1503" s="5" t="e">
        <f ca="1">SQRT($B$9*AVERAGE((Q1503:OFFSET(Q1503,$B$6-1,0))))</f>
        <v>#DIV/0!</v>
      </c>
      <c r="T1503" s="5" t="e">
        <f ca="1">SQRT($B$9*AVERAGE((Q1503:OFFSET(Q1503,$B$7-1,0))))</f>
        <v>#DIV/0!</v>
      </c>
      <c r="U1503" s="5" t="e">
        <f ca="1">SQRT($B$9*AVERAGE((Q1503:OFFSET(Q1503,$B$8-1,0))))</f>
        <v>#DIV/0!</v>
      </c>
      <c r="W1503" s="6" t="e">
        <f t="shared" si="122"/>
        <v>#DIV/0!</v>
      </c>
      <c r="X1503" s="6" t="e">
        <f ca="1">SQRT($B$9*AVERAGE(W1503:OFFSET(W1503,$B$5-1,0)))</f>
        <v>#DIV/0!</v>
      </c>
      <c r="Y1503" s="6" t="e">
        <f ca="1">SQRT($B$9*AVERAGE(W1503:OFFSET(W1503,$B$6-1,0)))</f>
        <v>#DIV/0!</v>
      </c>
      <c r="Z1503" s="6" t="e">
        <f ca="1">SQRT($B$9*AVERAGE(W1503:OFFSET(W1503,$B$7-1,0)))</f>
        <v>#DIV/0!</v>
      </c>
      <c r="AA1503" s="6" t="e">
        <f ca="1">SQRT($B$9*AVERAGE(W1503:OFFSET(W1503,$B$8-1,0)))</f>
        <v>#DIV/0!</v>
      </c>
      <c r="AC1503" s="34" t="e">
        <f t="shared" si="125"/>
        <v>#DIV/0!</v>
      </c>
      <c r="AD1503" s="34" t="e">
        <f ca="1">SQRT($B$9*SUM(AC1503:OFFSET(AC1503,$B$5-1,0))/($B$5-1))</f>
        <v>#DIV/0!</v>
      </c>
      <c r="AE1503" s="34" t="e">
        <f ca="1">SQRT($B$9*SUM(AC1503:OFFSET(AC1503,$B$6-1,0))/($B$6-1))</f>
        <v>#DIV/0!</v>
      </c>
      <c r="AF1503" s="34" t="e">
        <f ca="1">SQRT($B$9*SUM(AC1503:OFFSET(AC1503,$B$7-1,0))/($B$7-1))</f>
        <v>#DIV/0!</v>
      </c>
      <c r="AG1503" s="34" t="e">
        <f ca="1">SQRT($B$9*SUM(AC1503:OFFSET(AC1503,$B$8-1,0))/($B$8-1))</f>
        <v>#DIV/0!</v>
      </c>
      <c r="AI1503" s="1" t="e">
        <f t="shared" si="126"/>
        <v>#DIV/0!</v>
      </c>
      <c r="AJ1503" s="4" t="e">
        <f ca="1">SQRT($B$9)*_xlfn.STDEV.S(AI1503:OFFSET(AI1503,$B$5-1,0))</f>
        <v>#DIV/0!</v>
      </c>
      <c r="AK1503" s="4" t="e">
        <f ca="1">SQRT($B$9)*_xlfn.STDEV.S(AI1503:OFFSET(AI1503,$B$6-1,0))</f>
        <v>#DIV/0!</v>
      </c>
      <c r="AL1503" s="4" t="e">
        <f ca="1">SQRT($B$9)*_xlfn.STDEV.S(AI1503:OFFSET(AI1503,$B$7-1,0))</f>
        <v>#DIV/0!</v>
      </c>
      <c r="AM1503" s="4" t="e">
        <f ca="1">SQRT($B$9)*_xlfn.STDEV.S(AI1503:OFFSET(AI1503,$B$8-1,0))</f>
        <v>#DIV/0!</v>
      </c>
    </row>
    <row r="1504" spans="11:39" x14ac:dyDescent="0.2">
      <c r="K1504" s="3" t="e">
        <f t="shared" si="124"/>
        <v>#DIV/0!</v>
      </c>
      <c r="L1504" s="3" t="e">
        <f ca="1">SQRT(AVERAGE(K1504:OFFSET(K1504,$B$5-1,0))*$B$9/(4*LN(2)))</f>
        <v>#DIV/0!</v>
      </c>
      <c r="M1504" s="3" t="e">
        <f ca="1">SQRT(AVERAGE(K1504:OFFSET(K1504,$B$6-1,0))*$B$9/(4*LN(2)))</f>
        <v>#DIV/0!</v>
      </c>
      <c r="N1504" s="3" t="e">
        <f ca="1">SQRT(AVERAGE(K1504:OFFSET(K1504,$B$7-1,0))*$B$9/(4*LN(2)))</f>
        <v>#DIV/0!</v>
      </c>
      <c r="O1504" s="3" t="e">
        <f ca="1">SQRT(AVERAGE(K1504:OFFSET(K1504,$B$8-1,0))*$B$9/(4*LN(2)))</f>
        <v>#DIV/0!</v>
      </c>
      <c r="Q1504" s="5" t="e">
        <f t="shared" si="123"/>
        <v>#DIV/0!</v>
      </c>
      <c r="R1504" s="5" t="e">
        <f ca="1">SQRT($B$9*AVERAGE((Q1504:OFFSET(Q1504,$B$5-1,0))))</f>
        <v>#DIV/0!</v>
      </c>
      <c r="S1504" s="5" t="e">
        <f ca="1">SQRT($B$9*AVERAGE((Q1504:OFFSET(Q1504,$B$6-1,0))))</f>
        <v>#DIV/0!</v>
      </c>
      <c r="T1504" s="5" t="e">
        <f ca="1">SQRT($B$9*AVERAGE((Q1504:OFFSET(Q1504,$B$7-1,0))))</f>
        <v>#DIV/0!</v>
      </c>
      <c r="U1504" s="5" t="e">
        <f ca="1">SQRT($B$9*AVERAGE((Q1504:OFFSET(Q1504,$B$8-1,0))))</f>
        <v>#DIV/0!</v>
      </c>
      <c r="W1504" s="6" t="e">
        <f t="shared" si="122"/>
        <v>#DIV/0!</v>
      </c>
      <c r="X1504" s="6" t="e">
        <f ca="1">SQRT($B$9*AVERAGE(W1504:OFFSET(W1504,$B$5-1,0)))</f>
        <v>#DIV/0!</v>
      </c>
      <c r="Y1504" s="6" t="e">
        <f ca="1">SQRT($B$9*AVERAGE(W1504:OFFSET(W1504,$B$6-1,0)))</f>
        <v>#DIV/0!</v>
      </c>
      <c r="Z1504" s="6" t="e">
        <f ca="1">SQRT($B$9*AVERAGE(W1504:OFFSET(W1504,$B$7-1,0)))</f>
        <v>#DIV/0!</v>
      </c>
      <c r="AA1504" s="6" t="e">
        <f ca="1">SQRT($B$9*AVERAGE(W1504:OFFSET(W1504,$B$8-1,0)))</f>
        <v>#DIV/0!</v>
      </c>
      <c r="AC1504" s="34" t="e">
        <f t="shared" si="125"/>
        <v>#DIV/0!</v>
      </c>
      <c r="AD1504" s="34" t="e">
        <f ca="1">SQRT($B$9*SUM(AC1504:OFFSET(AC1504,$B$5-1,0))/($B$5-1))</f>
        <v>#DIV/0!</v>
      </c>
      <c r="AE1504" s="34" t="e">
        <f ca="1">SQRT($B$9*SUM(AC1504:OFFSET(AC1504,$B$6-1,0))/($B$6-1))</f>
        <v>#DIV/0!</v>
      </c>
      <c r="AF1504" s="34" t="e">
        <f ca="1">SQRT($B$9*SUM(AC1504:OFFSET(AC1504,$B$7-1,0))/($B$7-1))</f>
        <v>#DIV/0!</v>
      </c>
      <c r="AG1504" s="34" t="e">
        <f ca="1">SQRT($B$9*SUM(AC1504:OFFSET(AC1504,$B$8-1,0))/($B$8-1))</f>
        <v>#DIV/0!</v>
      </c>
      <c r="AI1504" s="1" t="e">
        <f t="shared" si="126"/>
        <v>#DIV/0!</v>
      </c>
      <c r="AJ1504" s="4" t="e">
        <f ca="1">SQRT($B$9)*_xlfn.STDEV.S(AI1504:OFFSET(AI1504,$B$5-1,0))</f>
        <v>#DIV/0!</v>
      </c>
      <c r="AK1504" s="4" t="e">
        <f ca="1">SQRT($B$9)*_xlfn.STDEV.S(AI1504:OFFSET(AI1504,$B$6-1,0))</f>
        <v>#DIV/0!</v>
      </c>
      <c r="AL1504" s="4" t="e">
        <f ca="1">SQRT($B$9)*_xlfn.STDEV.S(AI1504:OFFSET(AI1504,$B$7-1,0))</f>
        <v>#DIV/0!</v>
      </c>
      <c r="AM1504" s="4" t="e">
        <f ca="1">SQRT($B$9)*_xlfn.STDEV.S(AI1504:OFFSET(AI1504,$B$8-1,0))</f>
        <v>#DIV/0!</v>
      </c>
    </row>
    <row r="1505" spans="11:39" x14ac:dyDescent="0.2">
      <c r="K1505" s="3" t="e">
        <f t="shared" si="124"/>
        <v>#DIV/0!</v>
      </c>
      <c r="L1505" s="3" t="e">
        <f ca="1">SQRT(AVERAGE(K1505:OFFSET(K1505,$B$5-1,0))*$B$9/(4*LN(2)))</f>
        <v>#DIV/0!</v>
      </c>
      <c r="M1505" s="3" t="e">
        <f ca="1">SQRT(AVERAGE(K1505:OFFSET(K1505,$B$6-1,0))*$B$9/(4*LN(2)))</f>
        <v>#DIV/0!</v>
      </c>
      <c r="N1505" s="3" t="e">
        <f ca="1">SQRT(AVERAGE(K1505:OFFSET(K1505,$B$7-1,0))*$B$9/(4*LN(2)))</f>
        <v>#DIV/0!</v>
      </c>
      <c r="O1505" s="3" t="e">
        <f ca="1">SQRT(AVERAGE(K1505:OFFSET(K1505,$B$8-1,0))*$B$9/(4*LN(2)))</f>
        <v>#DIV/0!</v>
      </c>
      <c r="Q1505" s="5" t="e">
        <f t="shared" si="123"/>
        <v>#DIV/0!</v>
      </c>
      <c r="R1505" s="5" t="e">
        <f ca="1">SQRT($B$9*AVERAGE((Q1505:OFFSET(Q1505,$B$5-1,0))))</f>
        <v>#DIV/0!</v>
      </c>
      <c r="S1505" s="5" t="e">
        <f ca="1">SQRT($B$9*AVERAGE((Q1505:OFFSET(Q1505,$B$6-1,0))))</f>
        <v>#DIV/0!</v>
      </c>
      <c r="T1505" s="5" t="e">
        <f ca="1">SQRT($B$9*AVERAGE((Q1505:OFFSET(Q1505,$B$7-1,0))))</f>
        <v>#DIV/0!</v>
      </c>
      <c r="U1505" s="5" t="e">
        <f ca="1">SQRT($B$9*AVERAGE((Q1505:OFFSET(Q1505,$B$8-1,0))))</f>
        <v>#DIV/0!</v>
      </c>
      <c r="W1505" s="6" t="e">
        <f t="shared" si="122"/>
        <v>#DIV/0!</v>
      </c>
      <c r="X1505" s="6" t="e">
        <f ca="1">SQRT($B$9*AVERAGE(W1505:OFFSET(W1505,$B$5-1,0)))</f>
        <v>#DIV/0!</v>
      </c>
      <c r="Y1505" s="6" t="e">
        <f ca="1">SQRT($B$9*AVERAGE(W1505:OFFSET(W1505,$B$6-1,0)))</f>
        <v>#DIV/0!</v>
      </c>
      <c r="Z1505" s="6" t="e">
        <f ca="1">SQRT($B$9*AVERAGE(W1505:OFFSET(W1505,$B$7-1,0)))</f>
        <v>#DIV/0!</v>
      </c>
      <c r="AA1505" s="6" t="e">
        <f ca="1">SQRT($B$9*AVERAGE(W1505:OFFSET(W1505,$B$8-1,0)))</f>
        <v>#DIV/0!</v>
      </c>
      <c r="AC1505" s="34" t="e">
        <f t="shared" si="125"/>
        <v>#DIV/0!</v>
      </c>
      <c r="AD1505" s="34" t="e">
        <f ca="1">SQRT($B$9*SUM(AC1505:OFFSET(AC1505,$B$5-1,0))/($B$5-1))</f>
        <v>#DIV/0!</v>
      </c>
      <c r="AE1505" s="34" t="e">
        <f ca="1">SQRT($B$9*SUM(AC1505:OFFSET(AC1505,$B$6-1,0))/($B$6-1))</f>
        <v>#DIV/0!</v>
      </c>
      <c r="AF1505" s="34" t="e">
        <f ca="1">SQRT($B$9*SUM(AC1505:OFFSET(AC1505,$B$7-1,0))/($B$7-1))</f>
        <v>#DIV/0!</v>
      </c>
      <c r="AG1505" s="34" t="e">
        <f ca="1">SQRT($B$9*SUM(AC1505:OFFSET(AC1505,$B$8-1,0))/($B$8-1))</f>
        <v>#DIV/0!</v>
      </c>
      <c r="AI1505" s="1" t="e">
        <f t="shared" si="126"/>
        <v>#DIV/0!</v>
      </c>
      <c r="AJ1505" s="4" t="e">
        <f ca="1">SQRT($B$9)*_xlfn.STDEV.S(AI1505:OFFSET(AI1505,$B$5-1,0))</f>
        <v>#DIV/0!</v>
      </c>
      <c r="AK1505" s="4" t="e">
        <f ca="1">SQRT($B$9)*_xlfn.STDEV.S(AI1505:OFFSET(AI1505,$B$6-1,0))</f>
        <v>#DIV/0!</v>
      </c>
      <c r="AL1505" s="4" t="e">
        <f ca="1">SQRT($B$9)*_xlfn.STDEV.S(AI1505:OFFSET(AI1505,$B$7-1,0))</f>
        <v>#DIV/0!</v>
      </c>
      <c r="AM1505" s="4" t="e">
        <f ca="1">SQRT($B$9)*_xlfn.STDEV.S(AI1505:OFFSET(AI1505,$B$8-1,0))</f>
        <v>#DIV/0!</v>
      </c>
    </row>
    <row r="1506" spans="11:39" x14ac:dyDescent="0.2">
      <c r="K1506" s="3" t="e">
        <f t="shared" si="124"/>
        <v>#DIV/0!</v>
      </c>
      <c r="L1506" s="3" t="e">
        <f ca="1">SQRT(AVERAGE(K1506:OFFSET(K1506,$B$5-1,0))*$B$9/(4*LN(2)))</f>
        <v>#DIV/0!</v>
      </c>
      <c r="M1506" s="3" t="e">
        <f ca="1">SQRT(AVERAGE(K1506:OFFSET(K1506,$B$6-1,0))*$B$9/(4*LN(2)))</f>
        <v>#DIV/0!</v>
      </c>
      <c r="N1506" s="3" t="e">
        <f ca="1">SQRT(AVERAGE(K1506:OFFSET(K1506,$B$7-1,0))*$B$9/(4*LN(2)))</f>
        <v>#DIV/0!</v>
      </c>
      <c r="O1506" s="3" t="e">
        <f ca="1">SQRT(AVERAGE(K1506:OFFSET(K1506,$B$8-1,0))*$B$9/(4*LN(2)))</f>
        <v>#DIV/0!</v>
      </c>
      <c r="Q1506" s="5" t="e">
        <f t="shared" si="123"/>
        <v>#DIV/0!</v>
      </c>
      <c r="R1506" s="5" t="e">
        <f ca="1">SQRT($B$9*AVERAGE((Q1506:OFFSET(Q1506,$B$5-1,0))))</f>
        <v>#DIV/0!</v>
      </c>
      <c r="S1506" s="5" t="e">
        <f ca="1">SQRT($B$9*AVERAGE((Q1506:OFFSET(Q1506,$B$6-1,0))))</f>
        <v>#DIV/0!</v>
      </c>
      <c r="T1506" s="5" t="e">
        <f ca="1">SQRT($B$9*AVERAGE((Q1506:OFFSET(Q1506,$B$7-1,0))))</f>
        <v>#DIV/0!</v>
      </c>
      <c r="U1506" s="5" t="e">
        <f ca="1">SQRT($B$9*AVERAGE((Q1506:OFFSET(Q1506,$B$8-1,0))))</f>
        <v>#DIV/0!</v>
      </c>
      <c r="W1506" s="6" t="e">
        <f t="shared" si="122"/>
        <v>#DIV/0!</v>
      </c>
      <c r="X1506" s="6" t="e">
        <f ca="1">SQRT($B$9*AVERAGE(W1506:OFFSET(W1506,$B$5-1,0)))</f>
        <v>#DIV/0!</v>
      </c>
      <c r="Y1506" s="6" t="e">
        <f ca="1">SQRT($B$9*AVERAGE(W1506:OFFSET(W1506,$B$6-1,0)))</f>
        <v>#DIV/0!</v>
      </c>
      <c r="Z1506" s="6" t="e">
        <f ca="1">SQRT($B$9*AVERAGE(W1506:OFFSET(W1506,$B$7-1,0)))</f>
        <v>#DIV/0!</v>
      </c>
      <c r="AA1506" s="6" t="e">
        <f ca="1">SQRT($B$9*AVERAGE(W1506:OFFSET(W1506,$B$8-1,0)))</f>
        <v>#DIV/0!</v>
      </c>
      <c r="AC1506" s="34" t="e">
        <f t="shared" si="125"/>
        <v>#DIV/0!</v>
      </c>
      <c r="AD1506" s="34" t="e">
        <f ca="1">SQRT($B$9*SUM(AC1506:OFFSET(AC1506,$B$5-1,0))/($B$5-1))</f>
        <v>#DIV/0!</v>
      </c>
      <c r="AE1506" s="34" t="e">
        <f ca="1">SQRT($B$9*SUM(AC1506:OFFSET(AC1506,$B$6-1,0))/($B$6-1))</f>
        <v>#DIV/0!</v>
      </c>
      <c r="AF1506" s="34" t="e">
        <f ca="1">SQRT($B$9*SUM(AC1506:OFFSET(AC1506,$B$7-1,0))/($B$7-1))</f>
        <v>#DIV/0!</v>
      </c>
      <c r="AG1506" s="34" t="e">
        <f ca="1">SQRT($B$9*SUM(AC1506:OFFSET(AC1506,$B$8-1,0))/($B$8-1))</f>
        <v>#DIV/0!</v>
      </c>
      <c r="AI1506" s="1" t="e">
        <f t="shared" si="126"/>
        <v>#DIV/0!</v>
      </c>
      <c r="AJ1506" s="4" t="e">
        <f ca="1">SQRT($B$9)*_xlfn.STDEV.S(AI1506:OFFSET(AI1506,$B$5-1,0))</f>
        <v>#DIV/0!</v>
      </c>
      <c r="AK1506" s="4" t="e">
        <f ca="1">SQRT($B$9)*_xlfn.STDEV.S(AI1506:OFFSET(AI1506,$B$6-1,0))</f>
        <v>#DIV/0!</v>
      </c>
      <c r="AL1506" s="4" t="e">
        <f ca="1">SQRT($B$9)*_xlfn.STDEV.S(AI1506:OFFSET(AI1506,$B$7-1,0))</f>
        <v>#DIV/0!</v>
      </c>
      <c r="AM1506" s="4" t="e">
        <f ca="1">SQRT($B$9)*_xlfn.STDEV.S(AI1506:OFFSET(AI1506,$B$8-1,0))</f>
        <v>#DIV/0!</v>
      </c>
    </row>
    <row r="1507" spans="11:39" x14ac:dyDescent="0.2">
      <c r="K1507" s="3" t="e">
        <f t="shared" si="124"/>
        <v>#DIV/0!</v>
      </c>
      <c r="L1507" s="3" t="e">
        <f ca="1">SQRT(AVERAGE(K1507:OFFSET(K1507,$B$5-1,0))*$B$9/(4*LN(2)))</f>
        <v>#DIV/0!</v>
      </c>
      <c r="M1507" s="3" t="e">
        <f ca="1">SQRT(AVERAGE(K1507:OFFSET(K1507,$B$6-1,0))*$B$9/(4*LN(2)))</f>
        <v>#DIV/0!</v>
      </c>
      <c r="N1507" s="3" t="e">
        <f ca="1">SQRT(AVERAGE(K1507:OFFSET(K1507,$B$7-1,0))*$B$9/(4*LN(2)))</f>
        <v>#DIV/0!</v>
      </c>
      <c r="O1507" s="3" t="e">
        <f ca="1">SQRT(AVERAGE(K1507:OFFSET(K1507,$B$8-1,0))*$B$9/(4*LN(2)))</f>
        <v>#DIV/0!</v>
      </c>
      <c r="Q1507" s="5" t="e">
        <f t="shared" si="123"/>
        <v>#DIV/0!</v>
      </c>
      <c r="R1507" s="5" t="e">
        <f ca="1">SQRT($B$9*AVERAGE((Q1507:OFFSET(Q1507,$B$5-1,0))))</f>
        <v>#DIV/0!</v>
      </c>
      <c r="S1507" s="5" t="e">
        <f ca="1">SQRT($B$9*AVERAGE((Q1507:OFFSET(Q1507,$B$6-1,0))))</f>
        <v>#DIV/0!</v>
      </c>
      <c r="T1507" s="5" t="e">
        <f ca="1">SQRT($B$9*AVERAGE((Q1507:OFFSET(Q1507,$B$7-1,0))))</f>
        <v>#DIV/0!</v>
      </c>
      <c r="U1507" s="5" t="e">
        <f ca="1">SQRT($B$9*AVERAGE((Q1507:OFFSET(Q1507,$B$8-1,0))))</f>
        <v>#DIV/0!</v>
      </c>
      <c r="W1507" s="6" t="e">
        <f t="shared" si="122"/>
        <v>#DIV/0!</v>
      </c>
      <c r="X1507" s="6" t="e">
        <f ca="1">SQRT($B$9*AVERAGE(W1507:OFFSET(W1507,$B$5-1,0)))</f>
        <v>#DIV/0!</v>
      </c>
      <c r="Y1507" s="6" t="e">
        <f ca="1">SQRT($B$9*AVERAGE(W1507:OFFSET(W1507,$B$6-1,0)))</f>
        <v>#DIV/0!</v>
      </c>
      <c r="Z1507" s="6" t="e">
        <f ca="1">SQRT($B$9*AVERAGE(W1507:OFFSET(W1507,$B$7-1,0)))</f>
        <v>#DIV/0!</v>
      </c>
      <c r="AA1507" s="6" t="e">
        <f ca="1">SQRT($B$9*AVERAGE(W1507:OFFSET(W1507,$B$8-1,0)))</f>
        <v>#DIV/0!</v>
      </c>
      <c r="AC1507" s="34" t="e">
        <f t="shared" si="125"/>
        <v>#DIV/0!</v>
      </c>
      <c r="AD1507" s="34" t="e">
        <f ca="1">SQRT($B$9*SUM(AC1507:OFFSET(AC1507,$B$5-1,0))/($B$5-1))</f>
        <v>#DIV/0!</v>
      </c>
      <c r="AE1507" s="34" t="e">
        <f ca="1">SQRT($B$9*SUM(AC1507:OFFSET(AC1507,$B$6-1,0))/($B$6-1))</f>
        <v>#DIV/0!</v>
      </c>
      <c r="AF1507" s="34" t="e">
        <f ca="1">SQRT($B$9*SUM(AC1507:OFFSET(AC1507,$B$7-1,0))/($B$7-1))</f>
        <v>#DIV/0!</v>
      </c>
      <c r="AG1507" s="34" t="e">
        <f ca="1">SQRT($B$9*SUM(AC1507:OFFSET(AC1507,$B$8-1,0))/($B$8-1))</f>
        <v>#DIV/0!</v>
      </c>
      <c r="AI1507" s="1" t="e">
        <f t="shared" si="126"/>
        <v>#DIV/0!</v>
      </c>
      <c r="AJ1507" s="4" t="e">
        <f ca="1">SQRT($B$9)*_xlfn.STDEV.S(AI1507:OFFSET(AI1507,$B$5-1,0))</f>
        <v>#DIV/0!</v>
      </c>
      <c r="AK1507" s="4" t="e">
        <f ca="1">SQRT($B$9)*_xlfn.STDEV.S(AI1507:OFFSET(AI1507,$B$6-1,0))</f>
        <v>#DIV/0!</v>
      </c>
      <c r="AL1507" s="4" t="e">
        <f ca="1">SQRT($B$9)*_xlfn.STDEV.S(AI1507:OFFSET(AI1507,$B$7-1,0))</f>
        <v>#DIV/0!</v>
      </c>
      <c r="AM1507" s="4" t="e">
        <f ca="1">SQRT($B$9)*_xlfn.STDEV.S(AI1507:OFFSET(AI1507,$B$8-1,0))</f>
        <v>#DIV/0!</v>
      </c>
    </row>
    <row r="1508" spans="11:39" x14ac:dyDescent="0.2">
      <c r="K1508" s="3" t="e">
        <f t="shared" si="124"/>
        <v>#DIV/0!</v>
      </c>
      <c r="L1508" s="3" t="e">
        <f ca="1">SQRT(AVERAGE(K1508:OFFSET(K1508,$B$5-1,0))*$B$9/(4*LN(2)))</f>
        <v>#DIV/0!</v>
      </c>
      <c r="M1508" s="3" t="e">
        <f ca="1">SQRT(AVERAGE(K1508:OFFSET(K1508,$B$6-1,0))*$B$9/(4*LN(2)))</f>
        <v>#DIV/0!</v>
      </c>
      <c r="N1508" s="3" t="e">
        <f ca="1">SQRT(AVERAGE(K1508:OFFSET(K1508,$B$7-1,0))*$B$9/(4*LN(2)))</f>
        <v>#DIV/0!</v>
      </c>
      <c r="O1508" s="3" t="e">
        <f ca="1">SQRT(AVERAGE(K1508:OFFSET(K1508,$B$8-1,0))*$B$9/(4*LN(2)))</f>
        <v>#DIV/0!</v>
      </c>
      <c r="Q1508" s="5" t="e">
        <f t="shared" si="123"/>
        <v>#DIV/0!</v>
      </c>
      <c r="R1508" s="5" t="e">
        <f ca="1">SQRT($B$9*AVERAGE((Q1508:OFFSET(Q1508,$B$5-1,0))))</f>
        <v>#DIV/0!</v>
      </c>
      <c r="S1508" s="5" t="e">
        <f ca="1">SQRT($B$9*AVERAGE((Q1508:OFFSET(Q1508,$B$6-1,0))))</f>
        <v>#DIV/0!</v>
      </c>
      <c r="T1508" s="5" t="e">
        <f ca="1">SQRT($B$9*AVERAGE((Q1508:OFFSET(Q1508,$B$7-1,0))))</f>
        <v>#DIV/0!</v>
      </c>
      <c r="U1508" s="5" t="e">
        <f ca="1">SQRT($B$9*AVERAGE((Q1508:OFFSET(Q1508,$B$8-1,0))))</f>
        <v>#DIV/0!</v>
      </c>
      <c r="W1508" s="6" t="e">
        <f t="shared" si="122"/>
        <v>#DIV/0!</v>
      </c>
      <c r="X1508" s="6" t="e">
        <f ca="1">SQRT($B$9*AVERAGE(W1508:OFFSET(W1508,$B$5-1,0)))</f>
        <v>#DIV/0!</v>
      </c>
      <c r="Y1508" s="6" t="e">
        <f ca="1">SQRT($B$9*AVERAGE(W1508:OFFSET(W1508,$B$6-1,0)))</f>
        <v>#DIV/0!</v>
      </c>
      <c r="Z1508" s="6" t="e">
        <f ca="1">SQRT($B$9*AVERAGE(W1508:OFFSET(W1508,$B$7-1,0)))</f>
        <v>#DIV/0!</v>
      </c>
      <c r="AA1508" s="6" t="e">
        <f ca="1">SQRT($B$9*AVERAGE(W1508:OFFSET(W1508,$B$8-1,0)))</f>
        <v>#DIV/0!</v>
      </c>
      <c r="AC1508" s="34" t="e">
        <f t="shared" si="125"/>
        <v>#DIV/0!</v>
      </c>
      <c r="AD1508" s="34" t="e">
        <f ca="1">SQRT($B$9*SUM(AC1508:OFFSET(AC1508,$B$5-1,0))/($B$5-1))</f>
        <v>#DIV/0!</v>
      </c>
      <c r="AE1508" s="34" t="e">
        <f ca="1">SQRT($B$9*SUM(AC1508:OFFSET(AC1508,$B$6-1,0))/($B$6-1))</f>
        <v>#DIV/0!</v>
      </c>
      <c r="AF1508" s="34" t="e">
        <f ca="1">SQRT($B$9*SUM(AC1508:OFFSET(AC1508,$B$7-1,0))/($B$7-1))</f>
        <v>#DIV/0!</v>
      </c>
      <c r="AG1508" s="34" t="e">
        <f ca="1">SQRT($B$9*SUM(AC1508:OFFSET(AC1508,$B$8-1,0))/($B$8-1))</f>
        <v>#DIV/0!</v>
      </c>
      <c r="AI1508" s="1" t="e">
        <f t="shared" si="126"/>
        <v>#DIV/0!</v>
      </c>
      <c r="AJ1508" s="4" t="e">
        <f ca="1">SQRT($B$9)*_xlfn.STDEV.S(AI1508:OFFSET(AI1508,$B$5-1,0))</f>
        <v>#DIV/0!</v>
      </c>
      <c r="AK1508" s="4" t="e">
        <f ca="1">SQRT($B$9)*_xlfn.STDEV.S(AI1508:OFFSET(AI1508,$B$6-1,0))</f>
        <v>#DIV/0!</v>
      </c>
      <c r="AL1508" s="4" t="e">
        <f ca="1">SQRT($B$9)*_xlfn.STDEV.S(AI1508:OFFSET(AI1508,$B$7-1,0))</f>
        <v>#DIV/0!</v>
      </c>
      <c r="AM1508" s="4" t="e">
        <f ca="1">SQRT($B$9)*_xlfn.STDEV.S(AI1508:OFFSET(AI1508,$B$8-1,0))</f>
        <v>#DIV/0!</v>
      </c>
    </row>
    <row r="1509" spans="11:39" x14ac:dyDescent="0.2">
      <c r="K1509" s="3" t="e">
        <f t="shared" si="124"/>
        <v>#DIV/0!</v>
      </c>
      <c r="L1509" s="3" t="e">
        <f ca="1">SQRT(AVERAGE(K1509:OFFSET(K1509,$B$5-1,0))*$B$9/(4*LN(2)))</f>
        <v>#DIV/0!</v>
      </c>
      <c r="M1509" s="3" t="e">
        <f ca="1">SQRT(AVERAGE(K1509:OFFSET(K1509,$B$6-1,0))*$B$9/(4*LN(2)))</f>
        <v>#DIV/0!</v>
      </c>
      <c r="N1509" s="3" t="e">
        <f ca="1">SQRT(AVERAGE(K1509:OFFSET(K1509,$B$7-1,0))*$B$9/(4*LN(2)))</f>
        <v>#DIV/0!</v>
      </c>
      <c r="O1509" s="3" t="e">
        <f ca="1">SQRT(AVERAGE(K1509:OFFSET(K1509,$B$8-1,0))*$B$9/(4*LN(2)))</f>
        <v>#DIV/0!</v>
      </c>
      <c r="Q1509" s="5" t="e">
        <f t="shared" si="123"/>
        <v>#DIV/0!</v>
      </c>
      <c r="R1509" s="5" t="e">
        <f ca="1">SQRT($B$9*AVERAGE((Q1509:OFFSET(Q1509,$B$5-1,0))))</f>
        <v>#DIV/0!</v>
      </c>
      <c r="S1509" s="5" t="e">
        <f ca="1">SQRT($B$9*AVERAGE((Q1509:OFFSET(Q1509,$B$6-1,0))))</f>
        <v>#DIV/0!</v>
      </c>
      <c r="T1509" s="5" t="e">
        <f ca="1">SQRT($B$9*AVERAGE((Q1509:OFFSET(Q1509,$B$7-1,0))))</f>
        <v>#DIV/0!</v>
      </c>
      <c r="U1509" s="5" t="e">
        <f ca="1">SQRT($B$9*AVERAGE((Q1509:OFFSET(Q1509,$B$8-1,0))))</f>
        <v>#DIV/0!</v>
      </c>
      <c r="W1509" s="6" t="e">
        <f t="shared" si="122"/>
        <v>#DIV/0!</v>
      </c>
      <c r="X1509" s="6" t="e">
        <f ca="1">SQRT($B$9*AVERAGE(W1509:OFFSET(W1509,$B$5-1,0)))</f>
        <v>#DIV/0!</v>
      </c>
      <c r="Y1509" s="6" t="e">
        <f ca="1">SQRT($B$9*AVERAGE(W1509:OFFSET(W1509,$B$6-1,0)))</f>
        <v>#DIV/0!</v>
      </c>
      <c r="Z1509" s="6" t="e">
        <f ca="1">SQRT($B$9*AVERAGE(W1509:OFFSET(W1509,$B$7-1,0)))</f>
        <v>#DIV/0!</v>
      </c>
      <c r="AA1509" s="6" t="e">
        <f ca="1">SQRT($B$9*AVERAGE(W1509:OFFSET(W1509,$B$8-1,0)))</f>
        <v>#DIV/0!</v>
      </c>
      <c r="AC1509" s="34" t="e">
        <f t="shared" si="125"/>
        <v>#DIV/0!</v>
      </c>
      <c r="AD1509" s="34" t="e">
        <f ca="1">SQRT($B$9*SUM(AC1509:OFFSET(AC1509,$B$5-1,0))/($B$5-1))</f>
        <v>#DIV/0!</v>
      </c>
      <c r="AE1509" s="34" t="e">
        <f ca="1">SQRT($B$9*SUM(AC1509:OFFSET(AC1509,$B$6-1,0))/($B$6-1))</f>
        <v>#DIV/0!</v>
      </c>
      <c r="AF1509" s="34" t="e">
        <f ca="1">SQRT($B$9*SUM(AC1509:OFFSET(AC1509,$B$7-1,0))/($B$7-1))</f>
        <v>#DIV/0!</v>
      </c>
      <c r="AG1509" s="34" t="e">
        <f ca="1">SQRT($B$9*SUM(AC1509:OFFSET(AC1509,$B$8-1,0))/($B$8-1))</f>
        <v>#DIV/0!</v>
      </c>
      <c r="AI1509" s="1" t="e">
        <f t="shared" si="126"/>
        <v>#DIV/0!</v>
      </c>
      <c r="AJ1509" s="4" t="e">
        <f ca="1">SQRT($B$9)*_xlfn.STDEV.S(AI1509:OFFSET(AI1509,$B$5-1,0))</f>
        <v>#DIV/0!</v>
      </c>
      <c r="AK1509" s="4" t="e">
        <f ca="1">SQRT($B$9)*_xlfn.STDEV.S(AI1509:OFFSET(AI1509,$B$6-1,0))</f>
        <v>#DIV/0!</v>
      </c>
      <c r="AL1509" s="4" t="e">
        <f ca="1">SQRT($B$9)*_xlfn.STDEV.S(AI1509:OFFSET(AI1509,$B$7-1,0))</f>
        <v>#DIV/0!</v>
      </c>
      <c r="AM1509" s="4" t="e">
        <f ca="1">SQRT($B$9)*_xlfn.STDEV.S(AI1509:OFFSET(AI1509,$B$8-1,0))</f>
        <v>#DIV/0!</v>
      </c>
    </row>
    <row r="1510" spans="11:39" x14ac:dyDescent="0.2">
      <c r="K1510" s="3" t="e">
        <f t="shared" si="124"/>
        <v>#DIV/0!</v>
      </c>
      <c r="L1510" s="3" t="e">
        <f ca="1">SQRT(AVERAGE(K1510:OFFSET(K1510,$B$5-1,0))*$B$9/(4*LN(2)))</f>
        <v>#DIV/0!</v>
      </c>
      <c r="M1510" s="3" t="e">
        <f ca="1">SQRT(AVERAGE(K1510:OFFSET(K1510,$B$6-1,0))*$B$9/(4*LN(2)))</f>
        <v>#DIV/0!</v>
      </c>
      <c r="N1510" s="3" t="e">
        <f ca="1">SQRT(AVERAGE(K1510:OFFSET(K1510,$B$7-1,0))*$B$9/(4*LN(2)))</f>
        <v>#DIV/0!</v>
      </c>
      <c r="O1510" s="3" t="e">
        <f ca="1">SQRT(AVERAGE(K1510:OFFSET(K1510,$B$8-1,0))*$B$9/(4*LN(2)))</f>
        <v>#DIV/0!</v>
      </c>
      <c r="Q1510" s="5" t="e">
        <f t="shared" si="123"/>
        <v>#DIV/0!</v>
      </c>
      <c r="R1510" s="5" t="e">
        <f ca="1">SQRT($B$9*AVERAGE((Q1510:OFFSET(Q1510,$B$5-1,0))))</f>
        <v>#DIV/0!</v>
      </c>
      <c r="S1510" s="5" t="e">
        <f ca="1">SQRT($B$9*AVERAGE((Q1510:OFFSET(Q1510,$B$6-1,0))))</f>
        <v>#DIV/0!</v>
      </c>
      <c r="T1510" s="5" t="e">
        <f ca="1">SQRT($B$9*AVERAGE((Q1510:OFFSET(Q1510,$B$7-1,0))))</f>
        <v>#DIV/0!</v>
      </c>
      <c r="U1510" s="5" t="e">
        <f ca="1">SQRT($B$9*AVERAGE((Q1510:OFFSET(Q1510,$B$8-1,0))))</f>
        <v>#DIV/0!</v>
      </c>
      <c r="W1510" s="6" t="e">
        <f t="shared" si="122"/>
        <v>#DIV/0!</v>
      </c>
      <c r="X1510" s="6" t="e">
        <f ca="1">SQRT($B$9*AVERAGE(W1510:OFFSET(W1510,$B$5-1,0)))</f>
        <v>#DIV/0!</v>
      </c>
      <c r="Y1510" s="6" t="e">
        <f ca="1">SQRT($B$9*AVERAGE(W1510:OFFSET(W1510,$B$6-1,0)))</f>
        <v>#DIV/0!</v>
      </c>
      <c r="Z1510" s="6" t="e">
        <f ca="1">SQRT($B$9*AVERAGE(W1510:OFFSET(W1510,$B$7-1,0)))</f>
        <v>#DIV/0!</v>
      </c>
      <c r="AA1510" s="6" t="e">
        <f ca="1">SQRT($B$9*AVERAGE(W1510:OFFSET(W1510,$B$8-1,0)))</f>
        <v>#DIV/0!</v>
      </c>
      <c r="AC1510" s="34" t="e">
        <f t="shared" si="125"/>
        <v>#DIV/0!</v>
      </c>
      <c r="AD1510" s="34" t="e">
        <f ca="1">SQRT($B$9*SUM(AC1510:OFFSET(AC1510,$B$5-1,0))/($B$5-1))</f>
        <v>#DIV/0!</v>
      </c>
      <c r="AE1510" s="34" t="e">
        <f ca="1">SQRT($B$9*SUM(AC1510:OFFSET(AC1510,$B$6-1,0))/($B$6-1))</f>
        <v>#DIV/0!</v>
      </c>
      <c r="AF1510" s="34" t="e">
        <f ca="1">SQRT($B$9*SUM(AC1510:OFFSET(AC1510,$B$7-1,0))/($B$7-1))</f>
        <v>#DIV/0!</v>
      </c>
      <c r="AG1510" s="34" t="e">
        <f ca="1">SQRT($B$9*SUM(AC1510:OFFSET(AC1510,$B$8-1,0))/($B$8-1))</f>
        <v>#DIV/0!</v>
      </c>
      <c r="AI1510" s="1" t="e">
        <f t="shared" si="126"/>
        <v>#DIV/0!</v>
      </c>
      <c r="AJ1510" s="4" t="e">
        <f ca="1">SQRT($B$9)*_xlfn.STDEV.S(AI1510:OFFSET(AI1510,$B$5-1,0))</f>
        <v>#DIV/0!</v>
      </c>
      <c r="AK1510" s="4" t="e">
        <f ca="1">SQRT($B$9)*_xlfn.STDEV.S(AI1510:OFFSET(AI1510,$B$6-1,0))</f>
        <v>#DIV/0!</v>
      </c>
      <c r="AL1510" s="4" t="e">
        <f ca="1">SQRT($B$9)*_xlfn.STDEV.S(AI1510:OFFSET(AI1510,$B$7-1,0))</f>
        <v>#DIV/0!</v>
      </c>
      <c r="AM1510" s="4" t="e">
        <f ca="1">SQRT($B$9)*_xlfn.STDEV.S(AI1510:OFFSET(AI1510,$B$8-1,0))</f>
        <v>#DIV/0!</v>
      </c>
    </row>
    <row r="1511" spans="11:39" x14ac:dyDescent="0.2">
      <c r="K1511" s="3" t="e">
        <f t="shared" si="124"/>
        <v>#DIV/0!</v>
      </c>
      <c r="L1511" s="3" t="e">
        <f ca="1">SQRT(AVERAGE(K1511:OFFSET(K1511,$B$5-1,0))*$B$9/(4*LN(2)))</f>
        <v>#DIV/0!</v>
      </c>
      <c r="M1511" s="3" t="e">
        <f ca="1">SQRT(AVERAGE(K1511:OFFSET(K1511,$B$6-1,0))*$B$9/(4*LN(2)))</f>
        <v>#DIV/0!</v>
      </c>
      <c r="N1511" s="3" t="e">
        <f ca="1">SQRT(AVERAGE(K1511:OFFSET(K1511,$B$7-1,0))*$B$9/(4*LN(2)))</f>
        <v>#DIV/0!</v>
      </c>
      <c r="O1511" s="3" t="e">
        <f ca="1">SQRT(AVERAGE(K1511:OFFSET(K1511,$B$8-1,0))*$B$9/(4*LN(2)))</f>
        <v>#DIV/0!</v>
      </c>
      <c r="Q1511" s="5" t="e">
        <f t="shared" si="123"/>
        <v>#DIV/0!</v>
      </c>
      <c r="R1511" s="5" t="e">
        <f ca="1">SQRT($B$9*AVERAGE((Q1511:OFFSET(Q1511,$B$5-1,0))))</f>
        <v>#DIV/0!</v>
      </c>
      <c r="S1511" s="5" t="e">
        <f ca="1">SQRT($B$9*AVERAGE((Q1511:OFFSET(Q1511,$B$6-1,0))))</f>
        <v>#DIV/0!</v>
      </c>
      <c r="T1511" s="5" t="e">
        <f ca="1">SQRT($B$9*AVERAGE((Q1511:OFFSET(Q1511,$B$7-1,0))))</f>
        <v>#DIV/0!</v>
      </c>
      <c r="U1511" s="5" t="e">
        <f ca="1">SQRT($B$9*AVERAGE((Q1511:OFFSET(Q1511,$B$8-1,0))))</f>
        <v>#DIV/0!</v>
      </c>
      <c r="W1511" s="6" t="e">
        <f t="shared" ref="W1511:W1574" si="127">LN(G1511/I1511)*LN(G1511/F1511)+LN(H1511/I1511)*LN(H1511/F1511)</f>
        <v>#DIV/0!</v>
      </c>
      <c r="X1511" s="6" t="e">
        <f ca="1">SQRT($B$9*AVERAGE(W1511:OFFSET(W1511,$B$5-1,0)))</f>
        <v>#DIV/0!</v>
      </c>
      <c r="Y1511" s="6" t="e">
        <f ca="1">SQRT($B$9*AVERAGE(W1511:OFFSET(W1511,$B$6-1,0)))</f>
        <v>#DIV/0!</v>
      </c>
      <c r="Z1511" s="6" t="e">
        <f ca="1">SQRT($B$9*AVERAGE(W1511:OFFSET(W1511,$B$7-1,0)))</f>
        <v>#DIV/0!</v>
      </c>
      <c r="AA1511" s="6" t="e">
        <f ca="1">SQRT($B$9*AVERAGE(W1511:OFFSET(W1511,$B$8-1,0)))</f>
        <v>#DIV/0!</v>
      </c>
      <c r="AC1511" s="34" t="e">
        <f t="shared" si="125"/>
        <v>#DIV/0!</v>
      </c>
      <c r="AD1511" s="34" t="e">
        <f ca="1">SQRT($B$9*SUM(AC1511:OFFSET(AC1511,$B$5-1,0))/($B$5-1))</f>
        <v>#DIV/0!</v>
      </c>
      <c r="AE1511" s="34" t="e">
        <f ca="1">SQRT($B$9*SUM(AC1511:OFFSET(AC1511,$B$6-1,0))/($B$6-1))</f>
        <v>#DIV/0!</v>
      </c>
      <c r="AF1511" s="34" t="e">
        <f ca="1">SQRT($B$9*SUM(AC1511:OFFSET(AC1511,$B$7-1,0))/($B$7-1))</f>
        <v>#DIV/0!</v>
      </c>
      <c r="AG1511" s="34" t="e">
        <f ca="1">SQRT($B$9*SUM(AC1511:OFFSET(AC1511,$B$8-1,0))/($B$8-1))</f>
        <v>#DIV/0!</v>
      </c>
      <c r="AI1511" s="1" t="e">
        <f t="shared" si="126"/>
        <v>#DIV/0!</v>
      </c>
      <c r="AJ1511" s="4" t="e">
        <f ca="1">SQRT($B$9)*_xlfn.STDEV.S(AI1511:OFFSET(AI1511,$B$5-1,0))</f>
        <v>#DIV/0!</v>
      </c>
      <c r="AK1511" s="4" t="e">
        <f ca="1">SQRT($B$9)*_xlfn.STDEV.S(AI1511:OFFSET(AI1511,$B$6-1,0))</f>
        <v>#DIV/0!</v>
      </c>
      <c r="AL1511" s="4" t="e">
        <f ca="1">SQRT($B$9)*_xlfn.STDEV.S(AI1511:OFFSET(AI1511,$B$7-1,0))</f>
        <v>#DIV/0!</v>
      </c>
      <c r="AM1511" s="4" t="e">
        <f ca="1">SQRT($B$9)*_xlfn.STDEV.S(AI1511:OFFSET(AI1511,$B$8-1,0))</f>
        <v>#DIV/0!</v>
      </c>
    </row>
    <row r="1512" spans="11:39" x14ac:dyDescent="0.2">
      <c r="K1512" s="3" t="e">
        <f t="shared" si="124"/>
        <v>#DIV/0!</v>
      </c>
      <c r="L1512" s="3" t="e">
        <f ca="1">SQRT(AVERAGE(K1512:OFFSET(K1512,$B$5-1,0))*$B$9/(4*LN(2)))</f>
        <v>#DIV/0!</v>
      </c>
      <c r="M1512" s="3" t="e">
        <f ca="1">SQRT(AVERAGE(K1512:OFFSET(K1512,$B$6-1,0))*$B$9/(4*LN(2)))</f>
        <v>#DIV/0!</v>
      </c>
      <c r="N1512" s="3" t="e">
        <f ca="1">SQRT(AVERAGE(K1512:OFFSET(K1512,$B$7-1,0))*$B$9/(4*LN(2)))</f>
        <v>#DIV/0!</v>
      </c>
      <c r="O1512" s="3" t="e">
        <f ca="1">SQRT(AVERAGE(K1512:OFFSET(K1512,$B$8-1,0))*$B$9/(4*LN(2)))</f>
        <v>#DIV/0!</v>
      </c>
      <c r="Q1512" s="5" t="e">
        <f t="shared" si="123"/>
        <v>#DIV/0!</v>
      </c>
      <c r="R1512" s="5" t="e">
        <f ca="1">SQRT($B$9*AVERAGE((Q1512:OFFSET(Q1512,$B$5-1,0))))</f>
        <v>#DIV/0!</v>
      </c>
      <c r="S1512" s="5" t="e">
        <f ca="1">SQRT($B$9*AVERAGE((Q1512:OFFSET(Q1512,$B$6-1,0))))</f>
        <v>#DIV/0!</v>
      </c>
      <c r="T1512" s="5" t="e">
        <f ca="1">SQRT($B$9*AVERAGE((Q1512:OFFSET(Q1512,$B$7-1,0))))</f>
        <v>#DIV/0!</v>
      </c>
      <c r="U1512" s="5" t="e">
        <f ca="1">SQRT($B$9*AVERAGE((Q1512:OFFSET(Q1512,$B$8-1,0))))</f>
        <v>#DIV/0!</v>
      </c>
      <c r="W1512" s="6" t="e">
        <f t="shared" si="127"/>
        <v>#DIV/0!</v>
      </c>
      <c r="X1512" s="6" t="e">
        <f ca="1">SQRT($B$9*AVERAGE(W1512:OFFSET(W1512,$B$5-1,0)))</f>
        <v>#DIV/0!</v>
      </c>
      <c r="Y1512" s="6" t="e">
        <f ca="1">SQRT($B$9*AVERAGE(W1512:OFFSET(W1512,$B$6-1,0)))</f>
        <v>#DIV/0!</v>
      </c>
      <c r="Z1512" s="6" t="e">
        <f ca="1">SQRT($B$9*AVERAGE(W1512:OFFSET(W1512,$B$7-1,0)))</f>
        <v>#DIV/0!</v>
      </c>
      <c r="AA1512" s="6" t="e">
        <f ca="1">SQRT($B$9*AVERAGE(W1512:OFFSET(W1512,$B$8-1,0)))</f>
        <v>#DIV/0!</v>
      </c>
      <c r="AC1512" s="34" t="e">
        <f t="shared" si="125"/>
        <v>#DIV/0!</v>
      </c>
      <c r="AD1512" s="34" t="e">
        <f ca="1">SQRT($B$9*SUM(AC1512:OFFSET(AC1512,$B$5-1,0))/($B$5-1))</f>
        <v>#DIV/0!</v>
      </c>
      <c r="AE1512" s="34" t="e">
        <f ca="1">SQRT($B$9*SUM(AC1512:OFFSET(AC1512,$B$6-1,0))/($B$6-1))</f>
        <v>#DIV/0!</v>
      </c>
      <c r="AF1512" s="34" t="e">
        <f ca="1">SQRT($B$9*SUM(AC1512:OFFSET(AC1512,$B$7-1,0))/($B$7-1))</f>
        <v>#DIV/0!</v>
      </c>
      <c r="AG1512" s="34" t="e">
        <f ca="1">SQRT($B$9*SUM(AC1512:OFFSET(AC1512,$B$8-1,0))/($B$8-1))</f>
        <v>#DIV/0!</v>
      </c>
      <c r="AI1512" s="1" t="e">
        <f t="shared" si="126"/>
        <v>#DIV/0!</v>
      </c>
      <c r="AJ1512" s="4" t="e">
        <f ca="1">SQRT($B$9)*_xlfn.STDEV.S(AI1512:OFFSET(AI1512,$B$5-1,0))</f>
        <v>#DIV/0!</v>
      </c>
      <c r="AK1512" s="4" t="e">
        <f ca="1">SQRT($B$9)*_xlfn.STDEV.S(AI1512:OFFSET(AI1512,$B$6-1,0))</f>
        <v>#DIV/0!</v>
      </c>
      <c r="AL1512" s="4" t="e">
        <f ca="1">SQRT($B$9)*_xlfn.STDEV.S(AI1512:OFFSET(AI1512,$B$7-1,0))</f>
        <v>#DIV/0!</v>
      </c>
      <c r="AM1512" s="4" t="e">
        <f ca="1">SQRT($B$9)*_xlfn.STDEV.S(AI1512:OFFSET(AI1512,$B$8-1,0))</f>
        <v>#DIV/0!</v>
      </c>
    </row>
    <row r="1513" spans="11:39" x14ac:dyDescent="0.2">
      <c r="K1513" s="3" t="e">
        <f t="shared" si="124"/>
        <v>#DIV/0!</v>
      </c>
      <c r="L1513" s="3" t="e">
        <f ca="1">SQRT(AVERAGE(K1513:OFFSET(K1513,$B$5-1,0))*$B$9/(4*LN(2)))</f>
        <v>#DIV/0!</v>
      </c>
      <c r="M1513" s="3" t="e">
        <f ca="1">SQRT(AVERAGE(K1513:OFFSET(K1513,$B$6-1,0))*$B$9/(4*LN(2)))</f>
        <v>#DIV/0!</v>
      </c>
      <c r="N1513" s="3" t="e">
        <f ca="1">SQRT(AVERAGE(K1513:OFFSET(K1513,$B$7-1,0))*$B$9/(4*LN(2)))</f>
        <v>#DIV/0!</v>
      </c>
      <c r="O1513" s="3" t="e">
        <f ca="1">SQRT(AVERAGE(K1513:OFFSET(K1513,$B$8-1,0))*$B$9/(4*LN(2)))</f>
        <v>#DIV/0!</v>
      </c>
      <c r="Q1513" s="5" t="e">
        <f t="shared" si="123"/>
        <v>#DIV/0!</v>
      </c>
      <c r="R1513" s="5" t="e">
        <f ca="1">SQRT($B$9*AVERAGE((Q1513:OFFSET(Q1513,$B$5-1,0))))</f>
        <v>#DIV/0!</v>
      </c>
      <c r="S1513" s="5" t="e">
        <f ca="1">SQRT($B$9*AVERAGE((Q1513:OFFSET(Q1513,$B$6-1,0))))</f>
        <v>#DIV/0!</v>
      </c>
      <c r="T1513" s="5" t="e">
        <f ca="1">SQRT($B$9*AVERAGE((Q1513:OFFSET(Q1513,$B$7-1,0))))</f>
        <v>#DIV/0!</v>
      </c>
      <c r="U1513" s="5" t="e">
        <f ca="1">SQRT($B$9*AVERAGE((Q1513:OFFSET(Q1513,$B$8-1,0))))</f>
        <v>#DIV/0!</v>
      </c>
      <c r="W1513" s="6" t="e">
        <f t="shared" si="127"/>
        <v>#DIV/0!</v>
      </c>
      <c r="X1513" s="6" t="e">
        <f ca="1">SQRT($B$9*AVERAGE(W1513:OFFSET(W1513,$B$5-1,0)))</f>
        <v>#DIV/0!</v>
      </c>
      <c r="Y1513" s="6" t="e">
        <f ca="1">SQRT($B$9*AVERAGE(W1513:OFFSET(W1513,$B$6-1,0)))</f>
        <v>#DIV/0!</v>
      </c>
      <c r="Z1513" s="6" t="e">
        <f ca="1">SQRT($B$9*AVERAGE(W1513:OFFSET(W1513,$B$7-1,0)))</f>
        <v>#DIV/0!</v>
      </c>
      <c r="AA1513" s="6" t="e">
        <f ca="1">SQRT($B$9*AVERAGE(W1513:OFFSET(W1513,$B$8-1,0)))</f>
        <v>#DIV/0!</v>
      </c>
      <c r="AC1513" s="34" t="e">
        <f t="shared" si="125"/>
        <v>#DIV/0!</v>
      </c>
      <c r="AD1513" s="34" t="e">
        <f ca="1">SQRT($B$9*SUM(AC1513:OFFSET(AC1513,$B$5-1,0))/($B$5-1))</f>
        <v>#DIV/0!</v>
      </c>
      <c r="AE1513" s="34" t="e">
        <f ca="1">SQRT($B$9*SUM(AC1513:OFFSET(AC1513,$B$6-1,0))/($B$6-1))</f>
        <v>#DIV/0!</v>
      </c>
      <c r="AF1513" s="34" t="e">
        <f ca="1">SQRT($B$9*SUM(AC1513:OFFSET(AC1513,$B$7-1,0))/($B$7-1))</f>
        <v>#DIV/0!</v>
      </c>
      <c r="AG1513" s="34" t="e">
        <f ca="1">SQRT($B$9*SUM(AC1513:OFFSET(AC1513,$B$8-1,0))/($B$8-1))</f>
        <v>#DIV/0!</v>
      </c>
      <c r="AI1513" s="1" t="e">
        <f t="shared" si="126"/>
        <v>#DIV/0!</v>
      </c>
      <c r="AJ1513" s="4" t="e">
        <f ca="1">SQRT($B$9)*_xlfn.STDEV.S(AI1513:OFFSET(AI1513,$B$5-1,0))</f>
        <v>#DIV/0!</v>
      </c>
      <c r="AK1513" s="4" t="e">
        <f ca="1">SQRT($B$9)*_xlfn.STDEV.S(AI1513:OFFSET(AI1513,$B$6-1,0))</f>
        <v>#DIV/0!</v>
      </c>
      <c r="AL1513" s="4" t="e">
        <f ca="1">SQRT($B$9)*_xlfn.STDEV.S(AI1513:OFFSET(AI1513,$B$7-1,0))</f>
        <v>#DIV/0!</v>
      </c>
      <c r="AM1513" s="4" t="e">
        <f ca="1">SQRT($B$9)*_xlfn.STDEV.S(AI1513:OFFSET(AI1513,$B$8-1,0))</f>
        <v>#DIV/0!</v>
      </c>
    </row>
    <row r="1514" spans="11:39" x14ac:dyDescent="0.2">
      <c r="K1514" s="3" t="e">
        <f t="shared" si="124"/>
        <v>#DIV/0!</v>
      </c>
      <c r="L1514" s="3" t="e">
        <f ca="1">SQRT(AVERAGE(K1514:OFFSET(K1514,$B$5-1,0))*$B$9/(4*LN(2)))</f>
        <v>#DIV/0!</v>
      </c>
      <c r="M1514" s="3" t="e">
        <f ca="1">SQRT(AVERAGE(K1514:OFFSET(K1514,$B$6-1,0))*$B$9/(4*LN(2)))</f>
        <v>#DIV/0!</v>
      </c>
      <c r="N1514" s="3" t="e">
        <f ca="1">SQRT(AVERAGE(K1514:OFFSET(K1514,$B$7-1,0))*$B$9/(4*LN(2)))</f>
        <v>#DIV/0!</v>
      </c>
      <c r="O1514" s="3" t="e">
        <f ca="1">SQRT(AVERAGE(K1514:OFFSET(K1514,$B$8-1,0))*$B$9/(4*LN(2)))</f>
        <v>#DIV/0!</v>
      </c>
      <c r="Q1514" s="5" t="e">
        <f t="shared" si="123"/>
        <v>#DIV/0!</v>
      </c>
      <c r="R1514" s="5" t="e">
        <f ca="1">SQRT($B$9*AVERAGE((Q1514:OFFSET(Q1514,$B$5-1,0))))</f>
        <v>#DIV/0!</v>
      </c>
      <c r="S1514" s="5" t="e">
        <f ca="1">SQRT($B$9*AVERAGE((Q1514:OFFSET(Q1514,$B$6-1,0))))</f>
        <v>#DIV/0!</v>
      </c>
      <c r="T1514" s="5" t="e">
        <f ca="1">SQRT($B$9*AVERAGE((Q1514:OFFSET(Q1514,$B$7-1,0))))</f>
        <v>#DIV/0!</v>
      </c>
      <c r="U1514" s="5" t="e">
        <f ca="1">SQRT($B$9*AVERAGE((Q1514:OFFSET(Q1514,$B$8-1,0))))</f>
        <v>#DIV/0!</v>
      </c>
      <c r="W1514" s="6" t="e">
        <f t="shared" si="127"/>
        <v>#DIV/0!</v>
      </c>
      <c r="X1514" s="6" t="e">
        <f ca="1">SQRT($B$9*AVERAGE(W1514:OFFSET(W1514,$B$5-1,0)))</f>
        <v>#DIV/0!</v>
      </c>
      <c r="Y1514" s="6" t="e">
        <f ca="1">SQRT($B$9*AVERAGE(W1514:OFFSET(W1514,$B$6-1,0)))</f>
        <v>#DIV/0!</v>
      </c>
      <c r="Z1514" s="6" t="e">
        <f ca="1">SQRT($B$9*AVERAGE(W1514:OFFSET(W1514,$B$7-1,0)))</f>
        <v>#DIV/0!</v>
      </c>
      <c r="AA1514" s="6" t="e">
        <f ca="1">SQRT($B$9*AVERAGE(W1514:OFFSET(W1514,$B$8-1,0)))</f>
        <v>#DIV/0!</v>
      </c>
      <c r="AC1514" s="34" t="e">
        <f t="shared" si="125"/>
        <v>#DIV/0!</v>
      </c>
      <c r="AD1514" s="34" t="e">
        <f ca="1">SQRT($B$9*SUM(AC1514:OFFSET(AC1514,$B$5-1,0))/($B$5-1))</f>
        <v>#DIV/0!</v>
      </c>
      <c r="AE1514" s="34" t="e">
        <f ca="1">SQRT($B$9*SUM(AC1514:OFFSET(AC1514,$B$6-1,0))/($B$6-1))</f>
        <v>#DIV/0!</v>
      </c>
      <c r="AF1514" s="34" t="e">
        <f ca="1">SQRT($B$9*SUM(AC1514:OFFSET(AC1514,$B$7-1,0))/($B$7-1))</f>
        <v>#DIV/0!</v>
      </c>
      <c r="AG1514" s="34" t="e">
        <f ca="1">SQRT($B$9*SUM(AC1514:OFFSET(AC1514,$B$8-1,0))/($B$8-1))</f>
        <v>#DIV/0!</v>
      </c>
      <c r="AI1514" s="1" t="e">
        <f t="shared" si="126"/>
        <v>#DIV/0!</v>
      </c>
      <c r="AJ1514" s="4" t="e">
        <f ca="1">SQRT($B$9)*_xlfn.STDEV.S(AI1514:OFFSET(AI1514,$B$5-1,0))</f>
        <v>#DIV/0!</v>
      </c>
      <c r="AK1514" s="4" t="e">
        <f ca="1">SQRT($B$9)*_xlfn.STDEV.S(AI1514:OFFSET(AI1514,$B$6-1,0))</f>
        <v>#DIV/0!</v>
      </c>
      <c r="AL1514" s="4" t="e">
        <f ca="1">SQRT($B$9)*_xlfn.STDEV.S(AI1514:OFFSET(AI1514,$B$7-1,0))</f>
        <v>#DIV/0!</v>
      </c>
      <c r="AM1514" s="4" t="e">
        <f ca="1">SQRT($B$9)*_xlfn.STDEV.S(AI1514:OFFSET(AI1514,$B$8-1,0))</f>
        <v>#DIV/0!</v>
      </c>
    </row>
    <row r="1515" spans="11:39" x14ac:dyDescent="0.2">
      <c r="K1515" s="3" t="e">
        <f t="shared" si="124"/>
        <v>#DIV/0!</v>
      </c>
      <c r="L1515" s="3" t="e">
        <f ca="1">SQRT(AVERAGE(K1515:OFFSET(K1515,$B$5-1,0))*$B$9/(4*LN(2)))</f>
        <v>#DIV/0!</v>
      </c>
      <c r="M1515" s="3" t="e">
        <f ca="1">SQRT(AVERAGE(K1515:OFFSET(K1515,$B$6-1,0))*$B$9/(4*LN(2)))</f>
        <v>#DIV/0!</v>
      </c>
      <c r="N1515" s="3" t="e">
        <f ca="1">SQRT(AVERAGE(K1515:OFFSET(K1515,$B$7-1,0))*$B$9/(4*LN(2)))</f>
        <v>#DIV/0!</v>
      </c>
      <c r="O1515" s="3" t="e">
        <f ca="1">SQRT(AVERAGE(K1515:OFFSET(K1515,$B$8-1,0))*$B$9/(4*LN(2)))</f>
        <v>#DIV/0!</v>
      </c>
      <c r="Q1515" s="5" t="e">
        <f t="shared" si="123"/>
        <v>#DIV/0!</v>
      </c>
      <c r="R1515" s="5" t="e">
        <f ca="1">SQRT($B$9*AVERAGE((Q1515:OFFSET(Q1515,$B$5-1,0))))</f>
        <v>#DIV/0!</v>
      </c>
      <c r="S1515" s="5" t="e">
        <f ca="1">SQRT($B$9*AVERAGE((Q1515:OFFSET(Q1515,$B$6-1,0))))</f>
        <v>#DIV/0!</v>
      </c>
      <c r="T1515" s="5" t="e">
        <f ca="1">SQRT($B$9*AVERAGE((Q1515:OFFSET(Q1515,$B$7-1,0))))</f>
        <v>#DIV/0!</v>
      </c>
      <c r="U1515" s="5" t="e">
        <f ca="1">SQRT($B$9*AVERAGE((Q1515:OFFSET(Q1515,$B$8-1,0))))</f>
        <v>#DIV/0!</v>
      </c>
      <c r="W1515" s="6" t="e">
        <f t="shared" si="127"/>
        <v>#DIV/0!</v>
      </c>
      <c r="X1515" s="6" t="e">
        <f ca="1">SQRT($B$9*AVERAGE(W1515:OFFSET(W1515,$B$5-1,0)))</f>
        <v>#DIV/0!</v>
      </c>
      <c r="Y1515" s="6" t="e">
        <f ca="1">SQRT($B$9*AVERAGE(W1515:OFFSET(W1515,$B$6-1,0)))</f>
        <v>#DIV/0!</v>
      </c>
      <c r="Z1515" s="6" t="e">
        <f ca="1">SQRT($B$9*AVERAGE(W1515:OFFSET(W1515,$B$7-1,0)))</f>
        <v>#DIV/0!</v>
      </c>
      <c r="AA1515" s="6" t="e">
        <f ca="1">SQRT($B$9*AVERAGE(W1515:OFFSET(W1515,$B$8-1,0)))</f>
        <v>#DIV/0!</v>
      </c>
      <c r="AC1515" s="34" t="e">
        <f t="shared" si="125"/>
        <v>#DIV/0!</v>
      </c>
      <c r="AD1515" s="34" t="e">
        <f ca="1">SQRT($B$9*SUM(AC1515:OFFSET(AC1515,$B$5-1,0))/($B$5-1))</f>
        <v>#DIV/0!</v>
      </c>
      <c r="AE1515" s="34" t="e">
        <f ca="1">SQRT($B$9*SUM(AC1515:OFFSET(AC1515,$B$6-1,0))/($B$6-1))</f>
        <v>#DIV/0!</v>
      </c>
      <c r="AF1515" s="34" t="e">
        <f ca="1">SQRT($B$9*SUM(AC1515:OFFSET(AC1515,$B$7-1,0))/($B$7-1))</f>
        <v>#DIV/0!</v>
      </c>
      <c r="AG1515" s="34" t="e">
        <f ca="1">SQRT($B$9*SUM(AC1515:OFFSET(AC1515,$B$8-1,0))/($B$8-1))</f>
        <v>#DIV/0!</v>
      </c>
      <c r="AI1515" s="1" t="e">
        <f t="shared" si="126"/>
        <v>#DIV/0!</v>
      </c>
      <c r="AJ1515" s="4" t="e">
        <f ca="1">SQRT($B$9)*_xlfn.STDEV.S(AI1515:OFFSET(AI1515,$B$5-1,0))</f>
        <v>#DIV/0!</v>
      </c>
      <c r="AK1515" s="4" t="e">
        <f ca="1">SQRT($B$9)*_xlfn.STDEV.S(AI1515:OFFSET(AI1515,$B$6-1,0))</f>
        <v>#DIV/0!</v>
      </c>
      <c r="AL1515" s="4" t="e">
        <f ca="1">SQRT($B$9)*_xlfn.STDEV.S(AI1515:OFFSET(AI1515,$B$7-1,0))</f>
        <v>#DIV/0!</v>
      </c>
      <c r="AM1515" s="4" t="e">
        <f ca="1">SQRT($B$9)*_xlfn.STDEV.S(AI1515:OFFSET(AI1515,$B$8-1,0))</f>
        <v>#DIV/0!</v>
      </c>
    </row>
    <row r="1516" spans="11:39" x14ac:dyDescent="0.2">
      <c r="K1516" s="3" t="e">
        <f t="shared" si="124"/>
        <v>#DIV/0!</v>
      </c>
      <c r="L1516" s="3" t="e">
        <f ca="1">SQRT(AVERAGE(K1516:OFFSET(K1516,$B$5-1,0))*$B$9/(4*LN(2)))</f>
        <v>#DIV/0!</v>
      </c>
      <c r="M1516" s="3" t="e">
        <f ca="1">SQRT(AVERAGE(K1516:OFFSET(K1516,$B$6-1,0))*$B$9/(4*LN(2)))</f>
        <v>#DIV/0!</v>
      </c>
      <c r="N1516" s="3" t="e">
        <f ca="1">SQRT(AVERAGE(K1516:OFFSET(K1516,$B$7-1,0))*$B$9/(4*LN(2)))</f>
        <v>#DIV/0!</v>
      </c>
      <c r="O1516" s="3" t="e">
        <f ca="1">SQRT(AVERAGE(K1516:OFFSET(K1516,$B$8-1,0))*$B$9/(4*LN(2)))</f>
        <v>#DIV/0!</v>
      </c>
      <c r="Q1516" s="5" t="e">
        <f t="shared" si="123"/>
        <v>#DIV/0!</v>
      </c>
      <c r="R1516" s="5" t="e">
        <f ca="1">SQRT($B$9*AVERAGE((Q1516:OFFSET(Q1516,$B$5-1,0))))</f>
        <v>#DIV/0!</v>
      </c>
      <c r="S1516" s="5" t="e">
        <f ca="1">SQRT($B$9*AVERAGE((Q1516:OFFSET(Q1516,$B$6-1,0))))</f>
        <v>#DIV/0!</v>
      </c>
      <c r="T1516" s="5" t="e">
        <f ca="1">SQRT($B$9*AVERAGE((Q1516:OFFSET(Q1516,$B$7-1,0))))</f>
        <v>#DIV/0!</v>
      </c>
      <c r="U1516" s="5" t="e">
        <f ca="1">SQRT($B$9*AVERAGE((Q1516:OFFSET(Q1516,$B$8-1,0))))</f>
        <v>#DIV/0!</v>
      </c>
      <c r="W1516" s="6" t="e">
        <f t="shared" si="127"/>
        <v>#DIV/0!</v>
      </c>
      <c r="X1516" s="6" t="e">
        <f ca="1">SQRT($B$9*AVERAGE(W1516:OFFSET(W1516,$B$5-1,0)))</f>
        <v>#DIV/0!</v>
      </c>
      <c r="Y1516" s="6" t="e">
        <f ca="1">SQRT($B$9*AVERAGE(W1516:OFFSET(W1516,$B$6-1,0)))</f>
        <v>#DIV/0!</v>
      </c>
      <c r="Z1516" s="6" t="e">
        <f ca="1">SQRT($B$9*AVERAGE(W1516:OFFSET(W1516,$B$7-1,0)))</f>
        <v>#DIV/0!</v>
      </c>
      <c r="AA1516" s="6" t="e">
        <f ca="1">SQRT($B$9*AVERAGE(W1516:OFFSET(W1516,$B$8-1,0)))</f>
        <v>#DIV/0!</v>
      </c>
      <c r="AC1516" s="34" t="e">
        <f t="shared" si="125"/>
        <v>#DIV/0!</v>
      </c>
      <c r="AD1516" s="34" t="e">
        <f ca="1">SQRT($B$9*SUM(AC1516:OFFSET(AC1516,$B$5-1,0))/($B$5-1))</f>
        <v>#DIV/0!</v>
      </c>
      <c r="AE1516" s="34" t="e">
        <f ca="1">SQRT($B$9*SUM(AC1516:OFFSET(AC1516,$B$6-1,0))/($B$6-1))</f>
        <v>#DIV/0!</v>
      </c>
      <c r="AF1516" s="34" t="e">
        <f ca="1">SQRT($B$9*SUM(AC1516:OFFSET(AC1516,$B$7-1,0))/($B$7-1))</f>
        <v>#DIV/0!</v>
      </c>
      <c r="AG1516" s="34" t="e">
        <f ca="1">SQRT($B$9*SUM(AC1516:OFFSET(AC1516,$B$8-1,0))/($B$8-1))</f>
        <v>#DIV/0!</v>
      </c>
      <c r="AI1516" s="1" t="e">
        <f t="shared" si="126"/>
        <v>#DIV/0!</v>
      </c>
      <c r="AJ1516" s="4" t="e">
        <f ca="1">SQRT($B$9)*_xlfn.STDEV.S(AI1516:OFFSET(AI1516,$B$5-1,0))</f>
        <v>#DIV/0!</v>
      </c>
      <c r="AK1516" s="4" t="e">
        <f ca="1">SQRT($B$9)*_xlfn.STDEV.S(AI1516:OFFSET(AI1516,$B$6-1,0))</f>
        <v>#DIV/0!</v>
      </c>
      <c r="AL1516" s="4" t="e">
        <f ca="1">SQRT($B$9)*_xlfn.STDEV.S(AI1516:OFFSET(AI1516,$B$7-1,0))</f>
        <v>#DIV/0!</v>
      </c>
      <c r="AM1516" s="4" t="e">
        <f ca="1">SQRT($B$9)*_xlfn.STDEV.S(AI1516:OFFSET(AI1516,$B$8-1,0))</f>
        <v>#DIV/0!</v>
      </c>
    </row>
    <row r="1517" spans="11:39" x14ac:dyDescent="0.2">
      <c r="K1517" s="3" t="e">
        <f t="shared" si="124"/>
        <v>#DIV/0!</v>
      </c>
      <c r="L1517" s="3" t="e">
        <f ca="1">SQRT(AVERAGE(K1517:OFFSET(K1517,$B$5-1,0))*$B$9/(4*LN(2)))</f>
        <v>#DIV/0!</v>
      </c>
      <c r="M1517" s="3" t="e">
        <f ca="1">SQRT(AVERAGE(K1517:OFFSET(K1517,$B$6-1,0))*$B$9/(4*LN(2)))</f>
        <v>#DIV/0!</v>
      </c>
      <c r="N1517" s="3" t="e">
        <f ca="1">SQRT(AVERAGE(K1517:OFFSET(K1517,$B$7-1,0))*$B$9/(4*LN(2)))</f>
        <v>#DIV/0!</v>
      </c>
      <c r="O1517" s="3" t="e">
        <f ca="1">SQRT(AVERAGE(K1517:OFFSET(K1517,$B$8-1,0))*$B$9/(4*LN(2)))</f>
        <v>#DIV/0!</v>
      </c>
      <c r="Q1517" s="5" t="e">
        <f t="shared" si="123"/>
        <v>#DIV/0!</v>
      </c>
      <c r="R1517" s="5" t="e">
        <f ca="1">SQRT($B$9*AVERAGE((Q1517:OFFSET(Q1517,$B$5-1,0))))</f>
        <v>#DIV/0!</v>
      </c>
      <c r="S1517" s="5" t="e">
        <f ca="1">SQRT($B$9*AVERAGE((Q1517:OFFSET(Q1517,$B$6-1,0))))</f>
        <v>#DIV/0!</v>
      </c>
      <c r="T1517" s="5" t="e">
        <f ca="1">SQRT($B$9*AVERAGE((Q1517:OFFSET(Q1517,$B$7-1,0))))</f>
        <v>#DIV/0!</v>
      </c>
      <c r="U1517" s="5" t="e">
        <f ca="1">SQRT($B$9*AVERAGE((Q1517:OFFSET(Q1517,$B$8-1,0))))</f>
        <v>#DIV/0!</v>
      </c>
      <c r="W1517" s="6" t="e">
        <f t="shared" si="127"/>
        <v>#DIV/0!</v>
      </c>
      <c r="X1517" s="6" t="e">
        <f ca="1">SQRT($B$9*AVERAGE(W1517:OFFSET(W1517,$B$5-1,0)))</f>
        <v>#DIV/0!</v>
      </c>
      <c r="Y1517" s="6" t="e">
        <f ca="1">SQRT($B$9*AVERAGE(W1517:OFFSET(W1517,$B$6-1,0)))</f>
        <v>#DIV/0!</v>
      </c>
      <c r="Z1517" s="6" t="e">
        <f ca="1">SQRT($B$9*AVERAGE(W1517:OFFSET(W1517,$B$7-1,0)))</f>
        <v>#DIV/0!</v>
      </c>
      <c r="AA1517" s="6" t="e">
        <f ca="1">SQRT($B$9*AVERAGE(W1517:OFFSET(W1517,$B$8-1,0)))</f>
        <v>#DIV/0!</v>
      </c>
      <c r="AC1517" s="34" t="e">
        <f t="shared" si="125"/>
        <v>#DIV/0!</v>
      </c>
      <c r="AD1517" s="34" t="e">
        <f ca="1">SQRT($B$9*SUM(AC1517:OFFSET(AC1517,$B$5-1,0))/($B$5-1))</f>
        <v>#DIV/0!</v>
      </c>
      <c r="AE1517" s="34" t="e">
        <f ca="1">SQRT($B$9*SUM(AC1517:OFFSET(AC1517,$B$6-1,0))/($B$6-1))</f>
        <v>#DIV/0!</v>
      </c>
      <c r="AF1517" s="34" t="e">
        <f ca="1">SQRT($B$9*SUM(AC1517:OFFSET(AC1517,$B$7-1,0))/($B$7-1))</f>
        <v>#DIV/0!</v>
      </c>
      <c r="AG1517" s="34" t="e">
        <f ca="1">SQRT($B$9*SUM(AC1517:OFFSET(AC1517,$B$8-1,0))/($B$8-1))</f>
        <v>#DIV/0!</v>
      </c>
      <c r="AI1517" s="1" t="e">
        <f t="shared" si="126"/>
        <v>#DIV/0!</v>
      </c>
      <c r="AJ1517" s="4" t="e">
        <f ca="1">SQRT($B$9)*_xlfn.STDEV.S(AI1517:OFFSET(AI1517,$B$5-1,0))</f>
        <v>#DIV/0!</v>
      </c>
      <c r="AK1517" s="4" t="e">
        <f ca="1">SQRT($B$9)*_xlfn.STDEV.S(AI1517:OFFSET(AI1517,$B$6-1,0))</f>
        <v>#DIV/0!</v>
      </c>
      <c r="AL1517" s="4" t="e">
        <f ca="1">SQRT($B$9)*_xlfn.STDEV.S(AI1517:OFFSET(AI1517,$B$7-1,0))</f>
        <v>#DIV/0!</v>
      </c>
      <c r="AM1517" s="4" t="e">
        <f ca="1">SQRT($B$9)*_xlfn.STDEV.S(AI1517:OFFSET(AI1517,$B$8-1,0))</f>
        <v>#DIV/0!</v>
      </c>
    </row>
    <row r="1518" spans="11:39" x14ac:dyDescent="0.2">
      <c r="K1518" s="3" t="e">
        <f t="shared" si="124"/>
        <v>#DIV/0!</v>
      </c>
      <c r="L1518" s="3" t="e">
        <f ca="1">SQRT(AVERAGE(K1518:OFFSET(K1518,$B$5-1,0))*$B$9/(4*LN(2)))</f>
        <v>#DIV/0!</v>
      </c>
      <c r="M1518" s="3" t="e">
        <f ca="1">SQRT(AVERAGE(K1518:OFFSET(K1518,$B$6-1,0))*$B$9/(4*LN(2)))</f>
        <v>#DIV/0!</v>
      </c>
      <c r="N1518" s="3" t="e">
        <f ca="1">SQRT(AVERAGE(K1518:OFFSET(K1518,$B$7-1,0))*$B$9/(4*LN(2)))</f>
        <v>#DIV/0!</v>
      </c>
      <c r="O1518" s="3" t="e">
        <f ca="1">SQRT(AVERAGE(K1518:OFFSET(K1518,$B$8-1,0))*$B$9/(4*LN(2)))</f>
        <v>#DIV/0!</v>
      </c>
      <c r="Q1518" s="5" t="e">
        <f t="shared" si="123"/>
        <v>#DIV/0!</v>
      </c>
      <c r="R1518" s="5" t="e">
        <f ca="1">SQRT($B$9*AVERAGE((Q1518:OFFSET(Q1518,$B$5-1,0))))</f>
        <v>#DIV/0!</v>
      </c>
      <c r="S1518" s="5" t="e">
        <f ca="1">SQRT($B$9*AVERAGE((Q1518:OFFSET(Q1518,$B$6-1,0))))</f>
        <v>#DIV/0!</v>
      </c>
      <c r="T1518" s="5" t="e">
        <f ca="1">SQRT($B$9*AVERAGE((Q1518:OFFSET(Q1518,$B$7-1,0))))</f>
        <v>#DIV/0!</v>
      </c>
      <c r="U1518" s="5" t="e">
        <f ca="1">SQRT($B$9*AVERAGE((Q1518:OFFSET(Q1518,$B$8-1,0))))</f>
        <v>#DIV/0!</v>
      </c>
      <c r="W1518" s="6" t="e">
        <f t="shared" si="127"/>
        <v>#DIV/0!</v>
      </c>
      <c r="X1518" s="6" t="e">
        <f ca="1">SQRT($B$9*AVERAGE(W1518:OFFSET(W1518,$B$5-1,0)))</f>
        <v>#DIV/0!</v>
      </c>
      <c r="Y1518" s="6" t="e">
        <f ca="1">SQRT($B$9*AVERAGE(W1518:OFFSET(W1518,$B$6-1,0)))</f>
        <v>#DIV/0!</v>
      </c>
      <c r="Z1518" s="6" t="e">
        <f ca="1">SQRT($B$9*AVERAGE(W1518:OFFSET(W1518,$B$7-1,0)))</f>
        <v>#DIV/0!</v>
      </c>
      <c r="AA1518" s="6" t="e">
        <f ca="1">SQRT($B$9*AVERAGE(W1518:OFFSET(W1518,$B$8-1,0)))</f>
        <v>#DIV/0!</v>
      </c>
      <c r="AC1518" s="34" t="e">
        <f t="shared" si="125"/>
        <v>#DIV/0!</v>
      </c>
      <c r="AD1518" s="34" t="e">
        <f ca="1">SQRT($B$9*SUM(AC1518:OFFSET(AC1518,$B$5-1,0))/($B$5-1))</f>
        <v>#DIV/0!</v>
      </c>
      <c r="AE1518" s="34" t="e">
        <f ca="1">SQRT($B$9*SUM(AC1518:OFFSET(AC1518,$B$6-1,0))/($B$6-1))</f>
        <v>#DIV/0!</v>
      </c>
      <c r="AF1518" s="34" t="e">
        <f ca="1">SQRT($B$9*SUM(AC1518:OFFSET(AC1518,$B$7-1,0))/($B$7-1))</f>
        <v>#DIV/0!</v>
      </c>
      <c r="AG1518" s="34" t="e">
        <f ca="1">SQRT($B$9*SUM(AC1518:OFFSET(AC1518,$B$8-1,0))/($B$8-1))</f>
        <v>#DIV/0!</v>
      </c>
      <c r="AI1518" s="1" t="e">
        <f t="shared" si="126"/>
        <v>#DIV/0!</v>
      </c>
      <c r="AJ1518" s="4" t="e">
        <f ca="1">SQRT($B$9)*_xlfn.STDEV.S(AI1518:OFFSET(AI1518,$B$5-1,0))</f>
        <v>#DIV/0!</v>
      </c>
      <c r="AK1518" s="4" t="e">
        <f ca="1">SQRT($B$9)*_xlfn.STDEV.S(AI1518:OFFSET(AI1518,$B$6-1,0))</f>
        <v>#DIV/0!</v>
      </c>
      <c r="AL1518" s="4" t="e">
        <f ca="1">SQRT($B$9)*_xlfn.STDEV.S(AI1518:OFFSET(AI1518,$B$7-1,0))</f>
        <v>#DIV/0!</v>
      </c>
      <c r="AM1518" s="4" t="e">
        <f ca="1">SQRT($B$9)*_xlfn.STDEV.S(AI1518:OFFSET(AI1518,$B$8-1,0))</f>
        <v>#DIV/0!</v>
      </c>
    </row>
    <row r="1519" spans="11:39" x14ac:dyDescent="0.2">
      <c r="K1519" s="3" t="e">
        <f t="shared" si="124"/>
        <v>#DIV/0!</v>
      </c>
      <c r="L1519" s="3" t="e">
        <f ca="1">SQRT(AVERAGE(K1519:OFFSET(K1519,$B$5-1,0))*$B$9/(4*LN(2)))</f>
        <v>#DIV/0!</v>
      </c>
      <c r="M1519" s="3" t="e">
        <f ca="1">SQRT(AVERAGE(K1519:OFFSET(K1519,$B$6-1,0))*$B$9/(4*LN(2)))</f>
        <v>#DIV/0!</v>
      </c>
      <c r="N1519" s="3" t="e">
        <f ca="1">SQRT(AVERAGE(K1519:OFFSET(K1519,$B$7-1,0))*$B$9/(4*LN(2)))</f>
        <v>#DIV/0!</v>
      </c>
      <c r="O1519" s="3" t="e">
        <f ca="1">SQRT(AVERAGE(K1519:OFFSET(K1519,$B$8-1,0))*$B$9/(4*LN(2)))</f>
        <v>#DIV/0!</v>
      </c>
      <c r="Q1519" s="5" t="e">
        <f t="shared" si="123"/>
        <v>#DIV/0!</v>
      </c>
      <c r="R1519" s="5" t="e">
        <f ca="1">SQRT($B$9*AVERAGE((Q1519:OFFSET(Q1519,$B$5-1,0))))</f>
        <v>#DIV/0!</v>
      </c>
      <c r="S1519" s="5" t="e">
        <f ca="1">SQRT($B$9*AVERAGE((Q1519:OFFSET(Q1519,$B$6-1,0))))</f>
        <v>#DIV/0!</v>
      </c>
      <c r="T1519" s="5" t="e">
        <f ca="1">SQRT($B$9*AVERAGE((Q1519:OFFSET(Q1519,$B$7-1,0))))</f>
        <v>#DIV/0!</v>
      </c>
      <c r="U1519" s="5" t="e">
        <f ca="1">SQRT($B$9*AVERAGE((Q1519:OFFSET(Q1519,$B$8-1,0))))</f>
        <v>#DIV/0!</v>
      </c>
      <c r="W1519" s="6" t="e">
        <f t="shared" si="127"/>
        <v>#DIV/0!</v>
      </c>
      <c r="X1519" s="6" t="e">
        <f ca="1">SQRT($B$9*AVERAGE(W1519:OFFSET(W1519,$B$5-1,0)))</f>
        <v>#DIV/0!</v>
      </c>
      <c r="Y1519" s="6" t="e">
        <f ca="1">SQRT($B$9*AVERAGE(W1519:OFFSET(W1519,$B$6-1,0)))</f>
        <v>#DIV/0!</v>
      </c>
      <c r="Z1519" s="6" t="e">
        <f ca="1">SQRT($B$9*AVERAGE(W1519:OFFSET(W1519,$B$7-1,0)))</f>
        <v>#DIV/0!</v>
      </c>
      <c r="AA1519" s="6" t="e">
        <f ca="1">SQRT($B$9*AVERAGE(W1519:OFFSET(W1519,$B$8-1,0)))</f>
        <v>#DIV/0!</v>
      </c>
      <c r="AC1519" s="34" t="e">
        <f t="shared" si="125"/>
        <v>#DIV/0!</v>
      </c>
      <c r="AD1519" s="34" t="e">
        <f ca="1">SQRT($B$9*SUM(AC1519:OFFSET(AC1519,$B$5-1,0))/($B$5-1))</f>
        <v>#DIV/0!</v>
      </c>
      <c r="AE1519" s="34" t="e">
        <f ca="1">SQRT($B$9*SUM(AC1519:OFFSET(AC1519,$B$6-1,0))/($B$6-1))</f>
        <v>#DIV/0!</v>
      </c>
      <c r="AF1519" s="34" t="e">
        <f ca="1">SQRT($B$9*SUM(AC1519:OFFSET(AC1519,$B$7-1,0))/($B$7-1))</f>
        <v>#DIV/0!</v>
      </c>
      <c r="AG1519" s="34" t="e">
        <f ca="1">SQRT($B$9*SUM(AC1519:OFFSET(AC1519,$B$8-1,0))/($B$8-1))</f>
        <v>#DIV/0!</v>
      </c>
      <c r="AI1519" s="1" t="e">
        <f t="shared" si="126"/>
        <v>#DIV/0!</v>
      </c>
      <c r="AJ1519" s="4" t="e">
        <f ca="1">SQRT($B$9)*_xlfn.STDEV.S(AI1519:OFFSET(AI1519,$B$5-1,0))</f>
        <v>#DIV/0!</v>
      </c>
      <c r="AK1519" s="4" t="e">
        <f ca="1">SQRT($B$9)*_xlfn.STDEV.S(AI1519:OFFSET(AI1519,$B$6-1,0))</f>
        <v>#DIV/0!</v>
      </c>
      <c r="AL1519" s="4" t="e">
        <f ca="1">SQRT($B$9)*_xlfn.STDEV.S(AI1519:OFFSET(AI1519,$B$7-1,0))</f>
        <v>#DIV/0!</v>
      </c>
      <c r="AM1519" s="4" t="e">
        <f ca="1">SQRT($B$9)*_xlfn.STDEV.S(AI1519:OFFSET(AI1519,$B$8-1,0))</f>
        <v>#DIV/0!</v>
      </c>
    </row>
    <row r="1520" spans="11:39" x14ac:dyDescent="0.2">
      <c r="K1520" s="3" t="e">
        <f t="shared" si="124"/>
        <v>#DIV/0!</v>
      </c>
      <c r="L1520" s="3" t="e">
        <f ca="1">SQRT(AVERAGE(K1520:OFFSET(K1520,$B$5-1,0))*$B$9/(4*LN(2)))</f>
        <v>#DIV/0!</v>
      </c>
      <c r="M1520" s="3" t="e">
        <f ca="1">SQRT(AVERAGE(K1520:OFFSET(K1520,$B$6-1,0))*$B$9/(4*LN(2)))</f>
        <v>#DIV/0!</v>
      </c>
      <c r="N1520" s="3" t="e">
        <f ca="1">SQRT(AVERAGE(K1520:OFFSET(K1520,$B$7-1,0))*$B$9/(4*LN(2)))</f>
        <v>#DIV/0!</v>
      </c>
      <c r="O1520" s="3" t="e">
        <f ca="1">SQRT(AVERAGE(K1520:OFFSET(K1520,$B$8-1,0))*$B$9/(4*LN(2)))</f>
        <v>#DIV/0!</v>
      </c>
      <c r="Q1520" s="5" t="e">
        <f t="shared" si="123"/>
        <v>#DIV/0!</v>
      </c>
      <c r="R1520" s="5" t="e">
        <f ca="1">SQRT($B$9*AVERAGE((Q1520:OFFSET(Q1520,$B$5-1,0))))</f>
        <v>#DIV/0!</v>
      </c>
      <c r="S1520" s="5" t="e">
        <f ca="1">SQRT($B$9*AVERAGE((Q1520:OFFSET(Q1520,$B$6-1,0))))</f>
        <v>#DIV/0!</v>
      </c>
      <c r="T1520" s="5" t="e">
        <f ca="1">SQRT($B$9*AVERAGE((Q1520:OFFSET(Q1520,$B$7-1,0))))</f>
        <v>#DIV/0!</v>
      </c>
      <c r="U1520" s="5" t="e">
        <f ca="1">SQRT($B$9*AVERAGE((Q1520:OFFSET(Q1520,$B$8-1,0))))</f>
        <v>#DIV/0!</v>
      </c>
      <c r="W1520" s="6" t="e">
        <f t="shared" si="127"/>
        <v>#DIV/0!</v>
      </c>
      <c r="X1520" s="6" t="e">
        <f ca="1">SQRT($B$9*AVERAGE(W1520:OFFSET(W1520,$B$5-1,0)))</f>
        <v>#DIV/0!</v>
      </c>
      <c r="Y1520" s="6" t="e">
        <f ca="1">SQRT($B$9*AVERAGE(W1520:OFFSET(W1520,$B$6-1,0)))</f>
        <v>#DIV/0!</v>
      </c>
      <c r="Z1520" s="6" t="e">
        <f ca="1">SQRT($B$9*AVERAGE(W1520:OFFSET(W1520,$B$7-1,0)))</f>
        <v>#DIV/0!</v>
      </c>
      <c r="AA1520" s="6" t="e">
        <f ca="1">SQRT($B$9*AVERAGE(W1520:OFFSET(W1520,$B$8-1,0)))</f>
        <v>#DIV/0!</v>
      </c>
      <c r="AC1520" s="34" t="e">
        <f t="shared" si="125"/>
        <v>#DIV/0!</v>
      </c>
      <c r="AD1520" s="34" t="e">
        <f ca="1">SQRT($B$9*SUM(AC1520:OFFSET(AC1520,$B$5-1,0))/($B$5-1))</f>
        <v>#DIV/0!</v>
      </c>
      <c r="AE1520" s="34" t="e">
        <f ca="1">SQRT($B$9*SUM(AC1520:OFFSET(AC1520,$B$6-1,0))/($B$6-1))</f>
        <v>#DIV/0!</v>
      </c>
      <c r="AF1520" s="34" t="e">
        <f ca="1">SQRT($B$9*SUM(AC1520:OFFSET(AC1520,$B$7-1,0))/($B$7-1))</f>
        <v>#DIV/0!</v>
      </c>
      <c r="AG1520" s="34" t="e">
        <f ca="1">SQRT($B$9*SUM(AC1520:OFFSET(AC1520,$B$8-1,0))/($B$8-1))</f>
        <v>#DIV/0!</v>
      </c>
      <c r="AI1520" s="1" t="e">
        <f t="shared" si="126"/>
        <v>#DIV/0!</v>
      </c>
      <c r="AJ1520" s="4" t="e">
        <f ca="1">SQRT($B$9)*_xlfn.STDEV.S(AI1520:OFFSET(AI1520,$B$5-1,0))</f>
        <v>#DIV/0!</v>
      </c>
      <c r="AK1520" s="4" t="e">
        <f ca="1">SQRT($B$9)*_xlfn.STDEV.S(AI1520:OFFSET(AI1520,$B$6-1,0))</f>
        <v>#DIV/0!</v>
      </c>
      <c r="AL1520" s="4" t="e">
        <f ca="1">SQRT($B$9)*_xlfn.STDEV.S(AI1520:OFFSET(AI1520,$B$7-1,0))</f>
        <v>#DIV/0!</v>
      </c>
      <c r="AM1520" s="4" t="e">
        <f ca="1">SQRT($B$9)*_xlfn.STDEV.S(AI1520:OFFSET(AI1520,$B$8-1,0))</f>
        <v>#DIV/0!</v>
      </c>
    </row>
    <row r="1521" spans="11:39" x14ac:dyDescent="0.2">
      <c r="K1521" s="3" t="e">
        <f t="shared" si="124"/>
        <v>#DIV/0!</v>
      </c>
      <c r="L1521" s="3" t="e">
        <f ca="1">SQRT(AVERAGE(K1521:OFFSET(K1521,$B$5-1,0))*$B$9/(4*LN(2)))</f>
        <v>#DIV/0!</v>
      </c>
      <c r="M1521" s="3" t="e">
        <f ca="1">SQRT(AVERAGE(K1521:OFFSET(K1521,$B$6-1,0))*$B$9/(4*LN(2)))</f>
        <v>#DIV/0!</v>
      </c>
      <c r="N1521" s="3" t="e">
        <f ca="1">SQRT(AVERAGE(K1521:OFFSET(K1521,$B$7-1,0))*$B$9/(4*LN(2)))</f>
        <v>#DIV/0!</v>
      </c>
      <c r="O1521" s="3" t="e">
        <f ca="1">SQRT(AVERAGE(K1521:OFFSET(K1521,$B$8-1,0))*$B$9/(4*LN(2)))</f>
        <v>#DIV/0!</v>
      </c>
      <c r="Q1521" s="5" t="e">
        <f t="shared" si="123"/>
        <v>#DIV/0!</v>
      </c>
      <c r="R1521" s="5" t="e">
        <f ca="1">SQRT($B$9*AVERAGE((Q1521:OFFSET(Q1521,$B$5-1,0))))</f>
        <v>#DIV/0!</v>
      </c>
      <c r="S1521" s="5" t="e">
        <f ca="1">SQRT($B$9*AVERAGE((Q1521:OFFSET(Q1521,$B$6-1,0))))</f>
        <v>#DIV/0!</v>
      </c>
      <c r="T1521" s="5" t="e">
        <f ca="1">SQRT($B$9*AVERAGE((Q1521:OFFSET(Q1521,$B$7-1,0))))</f>
        <v>#DIV/0!</v>
      </c>
      <c r="U1521" s="5" t="e">
        <f ca="1">SQRT($B$9*AVERAGE((Q1521:OFFSET(Q1521,$B$8-1,0))))</f>
        <v>#DIV/0!</v>
      </c>
      <c r="W1521" s="6" t="e">
        <f t="shared" si="127"/>
        <v>#DIV/0!</v>
      </c>
      <c r="X1521" s="6" t="e">
        <f ca="1">SQRT($B$9*AVERAGE(W1521:OFFSET(W1521,$B$5-1,0)))</f>
        <v>#DIV/0!</v>
      </c>
      <c r="Y1521" s="6" t="e">
        <f ca="1">SQRT($B$9*AVERAGE(W1521:OFFSET(W1521,$B$6-1,0)))</f>
        <v>#DIV/0!</v>
      </c>
      <c r="Z1521" s="6" t="e">
        <f ca="1">SQRT($B$9*AVERAGE(W1521:OFFSET(W1521,$B$7-1,0)))</f>
        <v>#DIV/0!</v>
      </c>
      <c r="AA1521" s="6" t="e">
        <f ca="1">SQRT($B$9*AVERAGE(W1521:OFFSET(W1521,$B$8-1,0)))</f>
        <v>#DIV/0!</v>
      </c>
      <c r="AC1521" s="34" t="e">
        <f t="shared" si="125"/>
        <v>#DIV/0!</v>
      </c>
      <c r="AD1521" s="34" t="e">
        <f ca="1">SQRT($B$9*SUM(AC1521:OFFSET(AC1521,$B$5-1,0))/($B$5-1))</f>
        <v>#DIV/0!</v>
      </c>
      <c r="AE1521" s="34" t="e">
        <f ca="1">SQRT($B$9*SUM(AC1521:OFFSET(AC1521,$B$6-1,0))/($B$6-1))</f>
        <v>#DIV/0!</v>
      </c>
      <c r="AF1521" s="34" t="e">
        <f ca="1">SQRT($B$9*SUM(AC1521:OFFSET(AC1521,$B$7-1,0))/($B$7-1))</f>
        <v>#DIV/0!</v>
      </c>
      <c r="AG1521" s="34" t="e">
        <f ca="1">SQRT($B$9*SUM(AC1521:OFFSET(AC1521,$B$8-1,0))/($B$8-1))</f>
        <v>#DIV/0!</v>
      </c>
      <c r="AI1521" s="1" t="e">
        <f t="shared" si="126"/>
        <v>#DIV/0!</v>
      </c>
      <c r="AJ1521" s="4" t="e">
        <f ca="1">SQRT($B$9)*_xlfn.STDEV.S(AI1521:OFFSET(AI1521,$B$5-1,0))</f>
        <v>#DIV/0!</v>
      </c>
      <c r="AK1521" s="4" t="e">
        <f ca="1">SQRT($B$9)*_xlfn.STDEV.S(AI1521:OFFSET(AI1521,$B$6-1,0))</f>
        <v>#DIV/0!</v>
      </c>
      <c r="AL1521" s="4" t="e">
        <f ca="1">SQRT($B$9)*_xlfn.STDEV.S(AI1521:OFFSET(AI1521,$B$7-1,0))</f>
        <v>#DIV/0!</v>
      </c>
      <c r="AM1521" s="4" t="e">
        <f ca="1">SQRT($B$9)*_xlfn.STDEV.S(AI1521:OFFSET(AI1521,$B$8-1,0))</f>
        <v>#DIV/0!</v>
      </c>
    </row>
    <row r="1522" spans="11:39" x14ac:dyDescent="0.2">
      <c r="K1522" s="3" t="e">
        <f t="shared" si="124"/>
        <v>#DIV/0!</v>
      </c>
      <c r="L1522" s="3" t="e">
        <f ca="1">SQRT(AVERAGE(K1522:OFFSET(K1522,$B$5-1,0))*$B$9/(4*LN(2)))</f>
        <v>#DIV/0!</v>
      </c>
      <c r="M1522" s="3" t="e">
        <f ca="1">SQRT(AVERAGE(K1522:OFFSET(K1522,$B$6-1,0))*$B$9/(4*LN(2)))</f>
        <v>#DIV/0!</v>
      </c>
      <c r="N1522" s="3" t="e">
        <f ca="1">SQRT(AVERAGE(K1522:OFFSET(K1522,$B$7-1,0))*$B$9/(4*LN(2)))</f>
        <v>#DIV/0!</v>
      </c>
      <c r="O1522" s="3" t="e">
        <f ca="1">SQRT(AVERAGE(K1522:OFFSET(K1522,$B$8-1,0))*$B$9/(4*LN(2)))</f>
        <v>#DIV/0!</v>
      </c>
      <c r="Q1522" s="5" t="e">
        <f t="shared" si="123"/>
        <v>#DIV/0!</v>
      </c>
      <c r="R1522" s="5" t="e">
        <f ca="1">SQRT($B$9*AVERAGE((Q1522:OFFSET(Q1522,$B$5-1,0))))</f>
        <v>#DIV/0!</v>
      </c>
      <c r="S1522" s="5" t="e">
        <f ca="1">SQRT($B$9*AVERAGE((Q1522:OFFSET(Q1522,$B$6-1,0))))</f>
        <v>#DIV/0!</v>
      </c>
      <c r="T1522" s="5" t="e">
        <f ca="1">SQRT($B$9*AVERAGE((Q1522:OFFSET(Q1522,$B$7-1,0))))</f>
        <v>#DIV/0!</v>
      </c>
      <c r="U1522" s="5" t="e">
        <f ca="1">SQRT($B$9*AVERAGE((Q1522:OFFSET(Q1522,$B$8-1,0))))</f>
        <v>#DIV/0!</v>
      </c>
      <c r="W1522" s="6" t="e">
        <f t="shared" si="127"/>
        <v>#DIV/0!</v>
      </c>
      <c r="X1522" s="6" t="e">
        <f ca="1">SQRT($B$9*AVERAGE(W1522:OFFSET(W1522,$B$5-1,0)))</f>
        <v>#DIV/0!</v>
      </c>
      <c r="Y1522" s="6" t="e">
        <f ca="1">SQRT($B$9*AVERAGE(W1522:OFFSET(W1522,$B$6-1,0)))</f>
        <v>#DIV/0!</v>
      </c>
      <c r="Z1522" s="6" t="e">
        <f ca="1">SQRT($B$9*AVERAGE(W1522:OFFSET(W1522,$B$7-1,0)))</f>
        <v>#DIV/0!</v>
      </c>
      <c r="AA1522" s="6" t="e">
        <f ca="1">SQRT($B$9*AVERAGE(W1522:OFFSET(W1522,$B$8-1,0)))</f>
        <v>#DIV/0!</v>
      </c>
      <c r="AC1522" s="34" t="e">
        <f t="shared" si="125"/>
        <v>#DIV/0!</v>
      </c>
      <c r="AD1522" s="34" t="e">
        <f ca="1">SQRT($B$9*SUM(AC1522:OFFSET(AC1522,$B$5-1,0))/($B$5-1))</f>
        <v>#DIV/0!</v>
      </c>
      <c r="AE1522" s="34" t="e">
        <f ca="1">SQRT($B$9*SUM(AC1522:OFFSET(AC1522,$B$6-1,0))/($B$6-1))</f>
        <v>#DIV/0!</v>
      </c>
      <c r="AF1522" s="34" t="e">
        <f ca="1">SQRT($B$9*SUM(AC1522:OFFSET(AC1522,$B$7-1,0))/($B$7-1))</f>
        <v>#DIV/0!</v>
      </c>
      <c r="AG1522" s="34" t="e">
        <f ca="1">SQRT($B$9*SUM(AC1522:OFFSET(AC1522,$B$8-1,0))/($B$8-1))</f>
        <v>#DIV/0!</v>
      </c>
      <c r="AI1522" s="1" t="e">
        <f t="shared" si="126"/>
        <v>#DIV/0!</v>
      </c>
      <c r="AJ1522" s="4" t="e">
        <f ca="1">SQRT($B$9)*_xlfn.STDEV.S(AI1522:OFFSET(AI1522,$B$5-1,0))</f>
        <v>#DIV/0!</v>
      </c>
      <c r="AK1522" s="4" t="e">
        <f ca="1">SQRT($B$9)*_xlfn.STDEV.S(AI1522:OFFSET(AI1522,$B$6-1,0))</f>
        <v>#DIV/0!</v>
      </c>
      <c r="AL1522" s="4" t="e">
        <f ca="1">SQRT($B$9)*_xlfn.STDEV.S(AI1522:OFFSET(AI1522,$B$7-1,0))</f>
        <v>#DIV/0!</v>
      </c>
      <c r="AM1522" s="4" t="e">
        <f ca="1">SQRT($B$9)*_xlfn.STDEV.S(AI1522:OFFSET(AI1522,$B$8-1,0))</f>
        <v>#DIV/0!</v>
      </c>
    </row>
    <row r="1523" spans="11:39" x14ac:dyDescent="0.2">
      <c r="K1523" s="3" t="e">
        <f t="shared" si="124"/>
        <v>#DIV/0!</v>
      </c>
      <c r="L1523" s="3" t="e">
        <f ca="1">SQRT(AVERAGE(K1523:OFFSET(K1523,$B$5-1,0))*$B$9/(4*LN(2)))</f>
        <v>#DIV/0!</v>
      </c>
      <c r="M1523" s="3" t="e">
        <f ca="1">SQRT(AVERAGE(K1523:OFFSET(K1523,$B$6-1,0))*$B$9/(4*LN(2)))</f>
        <v>#DIV/0!</v>
      </c>
      <c r="N1523" s="3" t="e">
        <f ca="1">SQRT(AVERAGE(K1523:OFFSET(K1523,$B$7-1,0))*$B$9/(4*LN(2)))</f>
        <v>#DIV/0!</v>
      </c>
      <c r="O1523" s="3" t="e">
        <f ca="1">SQRT(AVERAGE(K1523:OFFSET(K1523,$B$8-1,0))*$B$9/(4*LN(2)))</f>
        <v>#DIV/0!</v>
      </c>
      <c r="Q1523" s="5" t="e">
        <f t="shared" si="123"/>
        <v>#DIV/0!</v>
      </c>
      <c r="R1523" s="5" t="e">
        <f ca="1">SQRT($B$9*AVERAGE((Q1523:OFFSET(Q1523,$B$5-1,0))))</f>
        <v>#DIV/0!</v>
      </c>
      <c r="S1523" s="5" t="e">
        <f ca="1">SQRT($B$9*AVERAGE((Q1523:OFFSET(Q1523,$B$6-1,0))))</f>
        <v>#DIV/0!</v>
      </c>
      <c r="T1523" s="5" t="e">
        <f ca="1">SQRT($B$9*AVERAGE((Q1523:OFFSET(Q1523,$B$7-1,0))))</f>
        <v>#DIV/0!</v>
      </c>
      <c r="U1523" s="5" t="e">
        <f ca="1">SQRT($B$9*AVERAGE((Q1523:OFFSET(Q1523,$B$8-1,0))))</f>
        <v>#DIV/0!</v>
      </c>
      <c r="W1523" s="6" t="e">
        <f t="shared" si="127"/>
        <v>#DIV/0!</v>
      </c>
      <c r="X1523" s="6" t="e">
        <f ca="1">SQRT($B$9*AVERAGE(W1523:OFFSET(W1523,$B$5-1,0)))</f>
        <v>#DIV/0!</v>
      </c>
      <c r="Y1523" s="6" t="e">
        <f ca="1">SQRT($B$9*AVERAGE(W1523:OFFSET(W1523,$B$6-1,0)))</f>
        <v>#DIV/0!</v>
      </c>
      <c r="Z1523" s="6" t="e">
        <f ca="1">SQRT($B$9*AVERAGE(W1523:OFFSET(W1523,$B$7-1,0)))</f>
        <v>#DIV/0!</v>
      </c>
      <c r="AA1523" s="6" t="e">
        <f ca="1">SQRT($B$9*AVERAGE(W1523:OFFSET(W1523,$B$8-1,0)))</f>
        <v>#DIV/0!</v>
      </c>
      <c r="AC1523" s="34" t="e">
        <f t="shared" si="125"/>
        <v>#DIV/0!</v>
      </c>
      <c r="AD1523" s="34" t="e">
        <f ca="1">SQRT($B$9*SUM(AC1523:OFFSET(AC1523,$B$5-1,0))/($B$5-1))</f>
        <v>#DIV/0!</v>
      </c>
      <c r="AE1523" s="34" t="e">
        <f ca="1">SQRT($B$9*SUM(AC1523:OFFSET(AC1523,$B$6-1,0))/($B$6-1))</f>
        <v>#DIV/0!</v>
      </c>
      <c r="AF1523" s="34" t="e">
        <f ca="1">SQRT($B$9*SUM(AC1523:OFFSET(AC1523,$B$7-1,0))/($B$7-1))</f>
        <v>#DIV/0!</v>
      </c>
      <c r="AG1523" s="34" t="e">
        <f ca="1">SQRT($B$9*SUM(AC1523:OFFSET(AC1523,$B$8-1,0))/($B$8-1))</f>
        <v>#DIV/0!</v>
      </c>
      <c r="AI1523" s="1" t="e">
        <f t="shared" si="126"/>
        <v>#DIV/0!</v>
      </c>
      <c r="AJ1523" s="4" t="e">
        <f ca="1">SQRT($B$9)*_xlfn.STDEV.S(AI1523:OFFSET(AI1523,$B$5-1,0))</f>
        <v>#DIV/0!</v>
      </c>
      <c r="AK1523" s="4" t="e">
        <f ca="1">SQRT($B$9)*_xlfn.STDEV.S(AI1523:OFFSET(AI1523,$B$6-1,0))</f>
        <v>#DIV/0!</v>
      </c>
      <c r="AL1523" s="4" t="e">
        <f ca="1">SQRT($B$9)*_xlfn.STDEV.S(AI1523:OFFSET(AI1523,$B$7-1,0))</f>
        <v>#DIV/0!</v>
      </c>
      <c r="AM1523" s="4" t="e">
        <f ca="1">SQRT($B$9)*_xlfn.STDEV.S(AI1523:OFFSET(AI1523,$B$8-1,0))</f>
        <v>#DIV/0!</v>
      </c>
    </row>
    <row r="1524" spans="11:39" x14ac:dyDescent="0.2">
      <c r="K1524" s="3" t="e">
        <f t="shared" si="124"/>
        <v>#DIV/0!</v>
      </c>
      <c r="L1524" s="3" t="e">
        <f ca="1">SQRT(AVERAGE(K1524:OFFSET(K1524,$B$5-1,0))*$B$9/(4*LN(2)))</f>
        <v>#DIV/0!</v>
      </c>
      <c r="M1524" s="3" t="e">
        <f ca="1">SQRT(AVERAGE(K1524:OFFSET(K1524,$B$6-1,0))*$B$9/(4*LN(2)))</f>
        <v>#DIV/0!</v>
      </c>
      <c r="N1524" s="3" t="e">
        <f ca="1">SQRT(AVERAGE(K1524:OFFSET(K1524,$B$7-1,0))*$B$9/(4*LN(2)))</f>
        <v>#DIV/0!</v>
      </c>
      <c r="O1524" s="3" t="e">
        <f ca="1">SQRT(AVERAGE(K1524:OFFSET(K1524,$B$8-1,0))*$B$9/(4*LN(2)))</f>
        <v>#DIV/0!</v>
      </c>
      <c r="Q1524" s="5" t="e">
        <f t="shared" si="123"/>
        <v>#DIV/0!</v>
      </c>
      <c r="R1524" s="5" t="e">
        <f ca="1">SQRT($B$9*AVERAGE((Q1524:OFFSET(Q1524,$B$5-1,0))))</f>
        <v>#DIV/0!</v>
      </c>
      <c r="S1524" s="5" t="e">
        <f ca="1">SQRT($B$9*AVERAGE((Q1524:OFFSET(Q1524,$B$6-1,0))))</f>
        <v>#DIV/0!</v>
      </c>
      <c r="T1524" s="5" t="e">
        <f ca="1">SQRT($B$9*AVERAGE((Q1524:OFFSET(Q1524,$B$7-1,0))))</f>
        <v>#DIV/0!</v>
      </c>
      <c r="U1524" s="5" t="e">
        <f ca="1">SQRT($B$9*AVERAGE((Q1524:OFFSET(Q1524,$B$8-1,0))))</f>
        <v>#DIV/0!</v>
      </c>
      <c r="W1524" s="6" t="e">
        <f t="shared" si="127"/>
        <v>#DIV/0!</v>
      </c>
      <c r="X1524" s="6" t="e">
        <f ca="1">SQRT($B$9*AVERAGE(W1524:OFFSET(W1524,$B$5-1,0)))</f>
        <v>#DIV/0!</v>
      </c>
      <c r="Y1524" s="6" t="e">
        <f ca="1">SQRT($B$9*AVERAGE(W1524:OFFSET(W1524,$B$6-1,0)))</f>
        <v>#DIV/0!</v>
      </c>
      <c r="Z1524" s="6" t="e">
        <f ca="1">SQRT($B$9*AVERAGE(W1524:OFFSET(W1524,$B$7-1,0)))</f>
        <v>#DIV/0!</v>
      </c>
      <c r="AA1524" s="6" t="e">
        <f ca="1">SQRT($B$9*AVERAGE(W1524:OFFSET(W1524,$B$8-1,0)))</f>
        <v>#DIV/0!</v>
      </c>
      <c r="AC1524" s="34" t="e">
        <f t="shared" si="125"/>
        <v>#DIV/0!</v>
      </c>
      <c r="AD1524" s="34" t="e">
        <f ca="1">SQRT($B$9*SUM(AC1524:OFFSET(AC1524,$B$5-1,0))/($B$5-1))</f>
        <v>#DIV/0!</v>
      </c>
      <c r="AE1524" s="34" t="e">
        <f ca="1">SQRT($B$9*SUM(AC1524:OFFSET(AC1524,$B$6-1,0))/($B$6-1))</f>
        <v>#DIV/0!</v>
      </c>
      <c r="AF1524" s="34" t="e">
        <f ca="1">SQRT($B$9*SUM(AC1524:OFFSET(AC1524,$B$7-1,0))/($B$7-1))</f>
        <v>#DIV/0!</v>
      </c>
      <c r="AG1524" s="34" t="e">
        <f ca="1">SQRT($B$9*SUM(AC1524:OFFSET(AC1524,$B$8-1,0))/($B$8-1))</f>
        <v>#DIV/0!</v>
      </c>
      <c r="AI1524" s="1" t="e">
        <f t="shared" si="126"/>
        <v>#DIV/0!</v>
      </c>
      <c r="AJ1524" s="4" t="e">
        <f ca="1">SQRT($B$9)*_xlfn.STDEV.S(AI1524:OFFSET(AI1524,$B$5-1,0))</f>
        <v>#DIV/0!</v>
      </c>
      <c r="AK1524" s="4" t="e">
        <f ca="1">SQRT($B$9)*_xlfn.STDEV.S(AI1524:OFFSET(AI1524,$B$6-1,0))</f>
        <v>#DIV/0!</v>
      </c>
      <c r="AL1524" s="4" t="e">
        <f ca="1">SQRT($B$9)*_xlfn.STDEV.S(AI1524:OFFSET(AI1524,$B$7-1,0))</f>
        <v>#DIV/0!</v>
      </c>
      <c r="AM1524" s="4" t="e">
        <f ca="1">SQRT($B$9)*_xlfn.STDEV.S(AI1524:OFFSET(AI1524,$B$8-1,0))</f>
        <v>#DIV/0!</v>
      </c>
    </row>
    <row r="1525" spans="11:39" x14ac:dyDescent="0.2">
      <c r="K1525" s="3" t="e">
        <f t="shared" si="124"/>
        <v>#DIV/0!</v>
      </c>
      <c r="L1525" s="3" t="e">
        <f ca="1">SQRT(AVERAGE(K1525:OFFSET(K1525,$B$5-1,0))*$B$9/(4*LN(2)))</f>
        <v>#DIV/0!</v>
      </c>
      <c r="M1525" s="3" t="e">
        <f ca="1">SQRT(AVERAGE(K1525:OFFSET(K1525,$B$6-1,0))*$B$9/(4*LN(2)))</f>
        <v>#DIV/0!</v>
      </c>
      <c r="N1525" s="3" t="e">
        <f ca="1">SQRT(AVERAGE(K1525:OFFSET(K1525,$B$7-1,0))*$B$9/(4*LN(2)))</f>
        <v>#DIV/0!</v>
      </c>
      <c r="O1525" s="3" t="e">
        <f ca="1">SQRT(AVERAGE(K1525:OFFSET(K1525,$B$8-1,0))*$B$9/(4*LN(2)))</f>
        <v>#DIV/0!</v>
      </c>
      <c r="Q1525" s="5" t="e">
        <f t="shared" si="123"/>
        <v>#DIV/0!</v>
      </c>
      <c r="R1525" s="5" t="e">
        <f ca="1">SQRT($B$9*AVERAGE((Q1525:OFFSET(Q1525,$B$5-1,0))))</f>
        <v>#DIV/0!</v>
      </c>
      <c r="S1525" s="5" t="e">
        <f ca="1">SQRT($B$9*AVERAGE((Q1525:OFFSET(Q1525,$B$6-1,0))))</f>
        <v>#DIV/0!</v>
      </c>
      <c r="T1525" s="5" t="e">
        <f ca="1">SQRT($B$9*AVERAGE((Q1525:OFFSET(Q1525,$B$7-1,0))))</f>
        <v>#DIV/0!</v>
      </c>
      <c r="U1525" s="5" t="e">
        <f ca="1">SQRT($B$9*AVERAGE((Q1525:OFFSET(Q1525,$B$8-1,0))))</f>
        <v>#DIV/0!</v>
      </c>
      <c r="W1525" s="6" t="e">
        <f t="shared" si="127"/>
        <v>#DIV/0!</v>
      </c>
      <c r="X1525" s="6" t="e">
        <f ca="1">SQRT($B$9*AVERAGE(W1525:OFFSET(W1525,$B$5-1,0)))</f>
        <v>#DIV/0!</v>
      </c>
      <c r="Y1525" s="6" t="e">
        <f ca="1">SQRT($B$9*AVERAGE(W1525:OFFSET(W1525,$B$6-1,0)))</f>
        <v>#DIV/0!</v>
      </c>
      <c r="Z1525" s="6" t="e">
        <f ca="1">SQRT($B$9*AVERAGE(W1525:OFFSET(W1525,$B$7-1,0)))</f>
        <v>#DIV/0!</v>
      </c>
      <c r="AA1525" s="6" t="e">
        <f ca="1">SQRT($B$9*AVERAGE(W1525:OFFSET(W1525,$B$8-1,0)))</f>
        <v>#DIV/0!</v>
      </c>
      <c r="AC1525" s="34" t="e">
        <f t="shared" si="125"/>
        <v>#DIV/0!</v>
      </c>
      <c r="AD1525" s="34" t="e">
        <f ca="1">SQRT($B$9*SUM(AC1525:OFFSET(AC1525,$B$5-1,0))/($B$5-1))</f>
        <v>#DIV/0!</v>
      </c>
      <c r="AE1525" s="34" t="e">
        <f ca="1">SQRT($B$9*SUM(AC1525:OFFSET(AC1525,$B$6-1,0))/($B$6-1))</f>
        <v>#DIV/0!</v>
      </c>
      <c r="AF1525" s="34" t="e">
        <f ca="1">SQRT($B$9*SUM(AC1525:OFFSET(AC1525,$B$7-1,0))/($B$7-1))</f>
        <v>#DIV/0!</v>
      </c>
      <c r="AG1525" s="34" t="e">
        <f ca="1">SQRT($B$9*SUM(AC1525:OFFSET(AC1525,$B$8-1,0))/($B$8-1))</f>
        <v>#DIV/0!</v>
      </c>
      <c r="AI1525" s="1" t="e">
        <f t="shared" si="126"/>
        <v>#DIV/0!</v>
      </c>
      <c r="AJ1525" s="4" t="e">
        <f ca="1">SQRT($B$9)*_xlfn.STDEV.S(AI1525:OFFSET(AI1525,$B$5-1,0))</f>
        <v>#DIV/0!</v>
      </c>
      <c r="AK1525" s="4" t="e">
        <f ca="1">SQRT($B$9)*_xlfn.STDEV.S(AI1525:OFFSET(AI1525,$B$6-1,0))</f>
        <v>#DIV/0!</v>
      </c>
      <c r="AL1525" s="4" t="e">
        <f ca="1">SQRT($B$9)*_xlfn.STDEV.S(AI1525:OFFSET(AI1525,$B$7-1,0))</f>
        <v>#DIV/0!</v>
      </c>
      <c r="AM1525" s="4" t="e">
        <f ca="1">SQRT($B$9)*_xlfn.STDEV.S(AI1525:OFFSET(AI1525,$B$8-1,0))</f>
        <v>#DIV/0!</v>
      </c>
    </row>
    <row r="1526" spans="11:39" x14ac:dyDescent="0.2">
      <c r="K1526" s="3" t="e">
        <f t="shared" si="124"/>
        <v>#DIV/0!</v>
      </c>
      <c r="L1526" s="3" t="e">
        <f ca="1">SQRT(AVERAGE(K1526:OFFSET(K1526,$B$5-1,0))*$B$9/(4*LN(2)))</f>
        <v>#DIV/0!</v>
      </c>
      <c r="M1526" s="3" t="e">
        <f ca="1">SQRT(AVERAGE(K1526:OFFSET(K1526,$B$6-1,0))*$B$9/(4*LN(2)))</f>
        <v>#DIV/0!</v>
      </c>
      <c r="N1526" s="3" t="e">
        <f ca="1">SQRT(AVERAGE(K1526:OFFSET(K1526,$B$7-1,0))*$B$9/(4*LN(2)))</f>
        <v>#DIV/0!</v>
      </c>
      <c r="O1526" s="3" t="e">
        <f ca="1">SQRT(AVERAGE(K1526:OFFSET(K1526,$B$8-1,0))*$B$9/(4*LN(2)))</f>
        <v>#DIV/0!</v>
      </c>
      <c r="Q1526" s="5" t="e">
        <f t="shared" si="123"/>
        <v>#DIV/0!</v>
      </c>
      <c r="R1526" s="5" t="e">
        <f ca="1">SQRT($B$9*AVERAGE((Q1526:OFFSET(Q1526,$B$5-1,0))))</f>
        <v>#DIV/0!</v>
      </c>
      <c r="S1526" s="5" t="e">
        <f ca="1">SQRT($B$9*AVERAGE((Q1526:OFFSET(Q1526,$B$6-1,0))))</f>
        <v>#DIV/0!</v>
      </c>
      <c r="T1526" s="5" t="e">
        <f ca="1">SQRT($B$9*AVERAGE((Q1526:OFFSET(Q1526,$B$7-1,0))))</f>
        <v>#DIV/0!</v>
      </c>
      <c r="U1526" s="5" t="e">
        <f ca="1">SQRT($B$9*AVERAGE((Q1526:OFFSET(Q1526,$B$8-1,0))))</f>
        <v>#DIV/0!</v>
      </c>
      <c r="W1526" s="6" t="e">
        <f t="shared" si="127"/>
        <v>#DIV/0!</v>
      </c>
      <c r="X1526" s="6" t="e">
        <f ca="1">SQRT($B$9*AVERAGE(W1526:OFFSET(W1526,$B$5-1,0)))</f>
        <v>#DIV/0!</v>
      </c>
      <c r="Y1526" s="6" t="e">
        <f ca="1">SQRT($B$9*AVERAGE(W1526:OFFSET(W1526,$B$6-1,0)))</f>
        <v>#DIV/0!</v>
      </c>
      <c r="Z1526" s="6" t="e">
        <f ca="1">SQRT($B$9*AVERAGE(W1526:OFFSET(W1526,$B$7-1,0)))</f>
        <v>#DIV/0!</v>
      </c>
      <c r="AA1526" s="6" t="e">
        <f ca="1">SQRT($B$9*AVERAGE(W1526:OFFSET(W1526,$B$8-1,0)))</f>
        <v>#DIV/0!</v>
      </c>
      <c r="AC1526" s="34" t="e">
        <f t="shared" si="125"/>
        <v>#DIV/0!</v>
      </c>
      <c r="AD1526" s="34" t="e">
        <f ca="1">SQRT($B$9*SUM(AC1526:OFFSET(AC1526,$B$5-1,0))/($B$5-1))</f>
        <v>#DIV/0!</v>
      </c>
      <c r="AE1526" s="34" t="e">
        <f ca="1">SQRT($B$9*SUM(AC1526:OFFSET(AC1526,$B$6-1,0))/($B$6-1))</f>
        <v>#DIV/0!</v>
      </c>
      <c r="AF1526" s="34" t="e">
        <f ca="1">SQRT($B$9*SUM(AC1526:OFFSET(AC1526,$B$7-1,0))/($B$7-1))</f>
        <v>#DIV/0!</v>
      </c>
      <c r="AG1526" s="34" t="e">
        <f ca="1">SQRT($B$9*SUM(AC1526:OFFSET(AC1526,$B$8-1,0))/($B$8-1))</f>
        <v>#DIV/0!</v>
      </c>
      <c r="AI1526" s="1" t="e">
        <f t="shared" si="126"/>
        <v>#DIV/0!</v>
      </c>
      <c r="AJ1526" s="4" t="e">
        <f ca="1">SQRT($B$9)*_xlfn.STDEV.S(AI1526:OFFSET(AI1526,$B$5-1,0))</f>
        <v>#DIV/0!</v>
      </c>
      <c r="AK1526" s="4" t="e">
        <f ca="1">SQRT($B$9)*_xlfn.STDEV.S(AI1526:OFFSET(AI1526,$B$6-1,0))</f>
        <v>#DIV/0!</v>
      </c>
      <c r="AL1526" s="4" t="e">
        <f ca="1">SQRT($B$9)*_xlfn.STDEV.S(AI1526:OFFSET(AI1526,$B$7-1,0))</f>
        <v>#DIV/0!</v>
      </c>
      <c r="AM1526" s="4" t="e">
        <f ca="1">SQRT($B$9)*_xlfn.STDEV.S(AI1526:OFFSET(AI1526,$B$8-1,0))</f>
        <v>#DIV/0!</v>
      </c>
    </row>
    <row r="1527" spans="11:39" x14ac:dyDescent="0.2">
      <c r="K1527" s="3" t="e">
        <f t="shared" si="124"/>
        <v>#DIV/0!</v>
      </c>
      <c r="L1527" s="3" t="e">
        <f ca="1">SQRT(AVERAGE(K1527:OFFSET(K1527,$B$5-1,0))*$B$9/(4*LN(2)))</f>
        <v>#DIV/0!</v>
      </c>
      <c r="M1527" s="3" t="e">
        <f ca="1">SQRT(AVERAGE(K1527:OFFSET(K1527,$B$6-1,0))*$B$9/(4*LN(2)))</f>
        <v>#DIV/0!</v>
      </c>
      <c r="N1527" s="3" t="e">
        <f ca="1">SQRT(AVERAGE(K1527:OFFSET(K1527,$B$7-1,0))*$B$9/(4*LN(2)))</f>
        <v>#DIV/0!</v>
      </c>
      <c r="O1527" s="3" t="e">
        <f ca="1">SQRT(AVERAGE(K1527:OFFSET(K1527,$B$8-1,0))*$B$9/(4*LN(2)))</f>
        <v>#DIV/0!</v>
      </c>
      <c r="Q1527" s="5" t="e">
        <f t="shared" si="123"/>
        <v>#DIV/0!</v>
      </c>
      <c r="R1527" s="5" t="e">
        <f ca="1">SQRT($B$9*AVERAGE((Q1527:OFFSET(Q1527,$B$5-1,0))))</f>
        <v>#DIV/0!</v>
      </c>
      <c r="S1527" s="5" t="e">
        <f ca="1">SQRT($B$9*AVERAGE((Q1527:OFFSET(Q1527,$B$6-1,0))))</f>
        <v>#DIV/0!</v>
      </c>
      <c r="T1527" s="5" t="e">
        <f ca="1">SQRT($B$9*AVERAGE((Q1527:OFFSET(Q1527,$B$7-1,0))))</f>
        <v>#DIV/0!</v>
      </c>
      <c r="U1527" s="5" t="e">
        <f ca="1">SQRT($B$9*AVERAGE((Q1527:OFFSET(Q1527,$B$8-1,0))))</f>
        <v>#DIV/0!</v>
      </c>
      <c r="W1527" s="6" t="e">
        <f t="shared" si="127"/>
        <v>#DIV/0!</v>
      </c>
      <c r="X1527" s="6" t="e">
        <f ca="1">SQRT($B$9*AVERAGE(W1527:OFFSET(W1527,$B$5-1,0)))</f>
        <v>#DIV/0!</v>
      </c>
      <c r="Y1527" s="6" t="e">
        <f ca="1">SQRT($B$9*AVERAGE(W1527:OFFSET(W1527,$B$6-1,0)))</f>
        <v>#DIV/0!</v>
      </c>
      <c r="Z1527" s="6" t="e">
        <f ca="1">SQRT($B$9*AVERAGE(W1527:OFFSET(W1527,$B$7-1,0)))</f>
        <v>#DIV/0!</v>
      </c>
      <c r="AA1527" s="6" t="e">
        <f ca="1">SQRT($B$9*AVERAGE(W1527:OFFSET(W1527,$B$8-1,0)))</f>
        <v>#DIV/0!</v>
      </c>
      <c r="AC1527" s="34" t="e">
        <f t="shared" si="125"/>
        <v>#DIV/0!</v>
      </c>
      <c r="AD1527" s="34" t="e">
        <f ca="1">SQRT($B$9*SUM(AC1527:OFFSET(AC1527,$B$5-1,0))/($B$5-1))</f>
        <v>#DIV/0!</v>
      </c>
      <c r="AE1527" s="34" t="e">
        <f ca="1">SQRT($B$9*SUM(AC1527:OFFSET(AC1527,$B$6-1,0))/($B$6-1))</f>
        <v>#DIV/0!</v>
      </c>
      <c r="AF1527" s="34" t="e">
        <f ca="1">SQRT($B$9*SUM(AC1527:OFFSET(AC1527,$B$7-1,0))/($B$7-1))</f>
        <v>#DIV/0!</v>
      </c>
      <c r="AG1527" s="34" t="e">
        <f ca="1">SQRT($B$9*SUM(AC1527:OFFSET(AC1527,$B$8-1,0))/($B$8-1))</f>
        <v>#DIV/0!</v>
      </c>
      <c r="AI1527" s="1" t="e">
        <f t="shared" si="126"/>
        <v>#DIV/0!</v>
      </c>
      <c r="AJ1527" s="4" t="e">
        <f ca="1">SQRT($B$9)*_xlfn.STDEV.S(AI1527:OFFSET(AI1527,$B$5-1,0))</f>
        <v>#DIV/0!</v>
      </c>
      <c r="AK1527" s="4" t="e">
        <f ca="1">SQRT($B$9)*_xlfn.STDEV.S(AI1527:OFFSET(AI1527,$B$6-1,0))</f>
        <v>#DIV/0!</v>
      </c>
      <c r="AL1527" s="4" t="e">
        <f ca="1">SQRT($B$9)*_xlfn.STDEV.S(AI1527:OFFSET(AI1527,$B$7-1,0))</f>
        <v>#DIV/0!</v>
      </c>
      <c r="AM1527" s="4" t="e">
        <f ca="1">SQRT($B$9)*_xlfn.STDEV.S(AI1527:OFFSET(AI1527,$B$8-1,0))</f>
        <v>#DIV/0!</v>
      </c>
    </row>
    <row r="1528" spans="11:39" x14ac:dyDescent="0.2">
      <c r="K1528" s="3" t="e">
        <f t="shared" si="124"/>
        <v>#DIV/0!</v>
      </c>
      <c r="L1528" s="3" t="e">
        <f ca="1">SQRT(AVERAGE(K1528:OFFSET(K1528,$B$5-1,0))*$B$9/(4*LN(2)))</f>
        <v>#DIV/0!</v>
      </c>
      <c r="M1528" s="3" t="e">
        <f ca="1">SQRT(AVERAGE(K1528:OFFSET(K1528,$B$6-1,0))*$B$9/(4*LN(2)))</f>
        <v>#DIV/0!</v>
      </c>
      <c r="N1528" s="3" t="e">
        <f ca="1">SQRT(AVERAGE(K1528:OFFSET(K1528,$B$7-1,0))*$B$9/(4*LN(2)))</f>
        <v>#DIV/0!</v>
      </c>
      <c r="O1528" s="3" t="e">
        <f ca="1">SQRT(AVERAGE(K1528:OFFSET(K1528,$B$8-1,0))*$B$9/(4*LN(2)))</f>
        <v>#DIV/0!</v>
      </c>
      <c r="Q1528" s="5" t="e">
        <f t="shared" si="123"/>
        <v>#DIV/0!</v>
      </c>
      <c r="R1528" s="5" t="e">
        <f ca="1">SQRT($B$9*AVERAGE((Q1528:OFFSET(Q1528,$B$5-1,0))))</f>
        <v>#DIV/0!</v>
      </c>
      <c r="S1528" s="5" t="e">
        <f ca="1">SQRT($B$9*AVERAGE((Q1528:OFFSET(Q1528,$B$6-1,0))))</f>
        <v>#DIV/0!</v>
      </c>
      <c r="T1528" s="5" t="e">
        <f ca="1">SQRT($B$9*AVERAGE((Q1528:OFFSET(Q1528,$B$7-1,0))))</f>
        <v>#DIV/0!</v>
      </c>
      <c r="U1528" s="5" t="e">
        <f ca="1">SQRT($B$9*AVERAGE((Q1528:OFFSET(Q1528,$B$8-1,0))))</f>
        <v>#DIV/0!</v>
      </c>
      <c r="W1528" s="6" t="e">
        <f t="shared" si="127"/>
        <v>#DIV/0!</v>
      </c>
      <c r="X1528" s="6" t="e">
        <f ca="1">SQRT($B$9*AVERAGE(W1528:OFFSET(W1528,$B$5-1,0)))</f>
        <v>#DIV/0!</v>
      </c>
      <c r="Y1528" s="6" t="e">
        <f ca="1">SQRT($B$9*AVERAGE(W1528:OFFSET(W1528,$B$6-1,0)))</f>
        <v>#DIV/0!</v>
      </c>
      <c r="Z1528" s="6" t="e">
        <f ca="1">SQRT($B$9*AVERAGE(W1528:OFFSET(W1528,$B$7-1,0)))</f>
        <v>#DIV/0!</v>
      </c>
      <c r="AA1528" s="6" t="e">
        <f ca="1">SQRT($B$9*AVERAGE(W1528:OFFSET(W1528,$B$8-1,0)))</f>
        <v>#DIV/0!</v>
      </c>
      <c r="AC1528" s="34" t="e">
        <f t="shared" si="125"/>
        <v>#DIV/0!</v>
      </c>
      <c r="AD1528" s="34" t="e">
        <f ca="1">SQRT($B$9*SUM(AC1528:OFFSET(AC1528,$B$5-1,0))/($B$5-1))</f>
        <v>#DIV/0!</v>
      </c>
      <c r="AE1528" s="34" t="e">
        <f ca="1">SQRT($B$9*SUM(AC1528:OFFSET(AC1528,$B$6-1,0))/($B$6-1))</f>
        <v>#DIV/0!</v>
      </c>
      <c r="AF1528" s="34" t="e">
        <f ca="1">SQRT($B$9*SUM(AC1528:OFFSET(AC1528,$B$7-1,0))/($B$7-1))</f>
        <v>#DIV/0!</v>
      </c>
      <c r="AG1528" s="34" t="e">
        <f ca="1">SQRT($B$9*SUM(AC1528:OFFSET(AC1528,$B$8-1,0))/($B$8-1))</f>
        <v>#DIV/0!</v>
      </c>
      <c r="AI1528" s="1" t="e">
        <f t="shared" si="126"/>
        <v>#DIV/0!</v>
      </c>
      <c r="AJ1528" s="4" t="e">
        <f ca="1">SQRT($B$9)*_xlfn.STDEV.S(AI1528:OFFSET(AI1528,$B$5-1,0))</f>
        <v>#DIV/0!</v>
      </c>
      <c r="AK1528" s="4" t="e">
        <f ca="1">SQRT($B$9)*_xlfn.STDEV.S(AI1528:OFFSET(AI1528,$B$6-1,0))</f>
        <v>#DIV/0!</v>
      </c>
      <c r="AL1528" s="4" t="e">
        <f ca="1">SQRT($B$9)*_xlfn.STDEV.S(AI1528:OFFSET(AI1528,$B$7-1,0))</f>
        <v>#DIV/0!</v>
      </c>
      <c r="AM1528" s="4" t="e">
        <f ca="1">SQRT($B$9)*_xlfn.STDEV.S(AI1528:OFFSET(AI1528,$B$8-1,0))</f>
        <v>#DIV/0!</v>
      </c>
    </row>
    <row r="1529" spans="11:39" x14ac:dyDescent="0.2">
      <c r="K1529" s="3" t="e">
        <f t="shared" si="124"/>
        <v>#DIV/0!</v>
      </c>
      <c r="L1529" s="3" t="e">
        <f ca="1">SQRT(AVERAGE(K1529:OFFSET(K1529,$B$5-1,0))*$B$9/(4*LN(2)))</f>
        <v>#DIV/0!</v>
      </c>
      <c r="M1529" s="3" t="e">
        <f ca="1">SQRT(AVERAGE(K1529:OFFSET(K1529,$B$6-1,0))*$B$9/(4*LN(2)))</f>
        <v>#DIV/0!</v>
      </c>
      <c r="N1529" s="3" t="e">
        <f ca="1">SQRT(AVERAGE(K1529:OFFSET(K1529,$B$7-1,0))*$B$9/(4*LN(2)))</f>
        <v>#DIV/0!</v>
      </c>
      <c r="O1529" s="3" t="e">
        <f ca="1">SQRT(AVERAGE(K1529:OFFSET(K1529,$B$8-1,0))*$B$9/(4*LN(2)))</f>
        <v>#DIV/0!</v>
      </c>
      <c r="Q1529" s="5" t="e">
        <f t="shared" si="123"/>
        <v>#DIV/0!</v>
      </c>
      <c r="R1529" s="5" t="e">
        <f ca="1">SQRT($B$9*AVERAGE((Q1529:OFFSET(Q1529,$B$5-1,0))))</f>
        <v>#DIV/0!</v>
      </c>
      <c r="S1529" s="5" t="e">
        <f ca="1">SQRT($B$9*AVERAGE((Q1529:OFFSET(Q1529,$B$6-1,0))))</f>
        <v>#DIV/0!</v>
      </c>
      <c r="T1529" s="5" t="e">
        <f ca="1">SQRT($B$9*AVERAGE((Q1529:OFFSET(Q1529,$B$7-1,0))))</f>
        <v>#DIV/0!</v>
      </c>
      <c r="U1529" s="5" t="e">
        <f ca="1">SQRT($B$9*AVERAGE((Q1529:OFFSET(Q1529,$B$8-1,0))))</f>
        <v>#DIV/0!</v>
      </c>
      <c r="W1529" s="6" t="e">
        <f t="shared" si="127"/>
        <v>#DIV/0!</v>
      </c>
      <c r="X1529" s="6" t="e">
        <f ca="1">SQRT($B$9*AVERAGE(W1529:OFFSET(W1529,$B$5-1,0)))</f>
        <v>#DIV/0!</v>
      </c>
      <c r="Y1529" s="6" t="e">
        <f ca="1">SQRT($B$9*AVERAGE(W1529:OFFSET(W1529,$B$6-1,0)))</f>
        <v>#DIV/0!</v>
      </c>
      <c r="Z1529" s="6" t="e">
        <f ca="1">SQRT($B$9*AVERAGE(W1529:OFFSET(W1529,$B$7-1,0)))</f>
        <v>#DIV/0!</v>
      </c>
      <c r="AA1529" s="6" t="e">
        <f ca="1">SQRT($B$9*AVERAGE(W1529:OFFSET(W1529,$B$8-1,0)))</f>
        <v>#DIV/0!</v>
      </c>
      <c r="AC1529" s="34" t="e">
        <f t="shared" si="125"/>
        <v>#DIV/0!</v>
      </c>
      <c r="AD1529" s="34" t="e">
        <f ca="1">SQRT($B$9*SUM(AC1529:OFFSET(AC1529,$B$5-1,0))/($B$5-1))</f>
        <v>#DIV/0!</v>
      </c>
      <c r="AE1529" s="34" t="e">
        <f ca="1">SQRT($B$9*SUM(AC1529:OFFSET(AC1529,$B$6-1,0))/($B$6-1))</f>
        <v>#DIV/0!</v>
      </c>
      <c r="AF1529" s="34" t="e">
        <f ca="1">SQRT($B$9*SUM(AC1529:OFFSET(AC1529,$B$7-1,0))/($B$7-1))</f>
        <v>#DIV/0!</v>
      </c>
      <c r="AG1529" s="34" t="e">
        <f ca="1">SQRT($B$9*SUM(AC1529:OFFSET(AC1529,$B$8-1,0))/($B$8-1))</f>
        <v>#DIV/0!</v>
      </c>
      <c r="AI1529" s="1" t="e">
        <f t="shared" si="126"/>
        <v>#DIV/0!</v>
      </c>
      <c r="AJ1529" s="4" t="e">
        <f ca="1">SQRT($B$9)*_xlfn.STDEV.S(AI1529:OFFSET(AI1529,$B$5-1,0))</f>
        <v>#DIV/0!</v>
      </c>
      <c r="AK1529" s="4" t="e">
        <f ca="1">SQRT($B$9)*_xlfn.STDEV.S(AI1529:OFFSET(AI1529,$B$6-1,0))</f>
        <v>#DIV/0!</v>
      </c>
      <c r="AL1529" s="4" t="e">
        <f ca="1">SQRT($B$9)*_xlfn.STDEV.S(AI1529:OFFSET(AI1529,$B$7-1,0))</f>
        <v>#DIV/0!</v>
      </c>
      <c r="AM1529" s="4" t="e">
        <f ca="1">SQRT($B$9)*_xlfn.STDEV.S(AI1529:OFFSET(AI1529,$B$8-1,0))</f>
        <v>#DIV/0!</v>
      </c>
    </row>
    <row r="1530" spans="11:39" x14ac:dyDescent="0.2">
      <c r="K1530" s="3" t="e">
        <f t="shared" si="124"/>
        <v>#DIV/0!</v>
      </c>
      <c r="L1530" s="3" t="e">
        <f ca="1">SQRT(AVERAGE(K1530:OFFSET(K1530,$B$5-1,0))*$B$9/(4*LN(2)))</f>
        <v>#DIV/0!</v>
      </c>
      <c r="M1530" s="3" t="e">
        <f ca="1">SQRT(AVERAGE(K1530:OFFSET(K1530,$B$6-1,0))*$B$9/(4*LN(2)))</f>
        <v>#DIV/0!</v>
      </c>
      <c r="N1530" s="3" t="e">
        <f ca="1">SQRT(AVERAGE(K1530:OFFSET(K1530,$B$7-1,0))*$B$9/(4*LN(2)))</f>
        <v>#DIV/0!</v>
      </c>
      <c r="O1530" s="3" t="e">
        <f ca="1">SQRT(AVERAGE(K1530:OFFSET(K1530,$B$8-1,0))*$B$9/(4*LN(2)))</f>
        <v>#DIV/0!</v>
      </c>
      <c r="Q1530" s="5" t="e">
        <f t="shared" si="123"/>
        <v>#DIV/0!</v>
      </c>
      <c r="R1530" s="5" t="e">
        <f ca="1">SQRT($B$9*AVERAGE((Q1530:OFFSET(Q1530,$B$5-1,0))))</f>
        <v>#DIV/0!</v>
      </c>
      <c r="S1530" s="5" t="e">
        <f ca="1">SQRT($B$9*AVERAGE((Q1530:OFFSET(Q1530,$B$6-1,0))))</f>
        <v>#DIV/0!</v>
      </c>
      <c r="T1530" s="5" t="e">
        <f ca="1">SQRT($B$9*AVERAGE((Q1530:OFFSET(Q1530,$B$7-1,0))))</f>
        <v>#DIV/0!</v>
      </c>
      <c r="U1530" s="5" t="e">
        <f ca="1">SQRT($B$9*AVERAGE((Q1530:OFFSET(Q1530,$B$8-1,0))))</f>
        <v>#DIV/0!</v>
      </c>
      <c r="W1530" s="6" t="e">
        <f t="shared" si="127"/>
        <v>#DIV/0!</v>
      </c>
      <c r="X1530" s="6" t="e">
        <f ca="1">SQRT($B$9*AVERAGE(W1530:OFFSET(W1530,$B$5-1,0)))</f>
        <v>#DIV/0!</v>
      </c>
      <c r="Y1530" s="6" t="e">
        <f ca="1">SQRT($B$9*AVERAGE(W1530:OFFSET(W1530,$B$6-1,0)))</f>
        <v>#DIV/0!</v>
      </c>
      <c r="Z1530" s="6" t="e">
        <f ca="1">SQRT($B$9*AVERAGE(W1530:OFFSET(W1530,$B$7-1,0)))</f>
        <v>#DIV/0!</v>
      </c>
      <c r="AA1530" s="6" t="e">
        <f ca="1">SQRT($B$9*AVERAGE(W1530:OFFSET(W1530,$B$8-1,0)))</f>
        <v>#DIV/0!</v>
      </c>
      <c r="AC1530" s="34" t="e">
        <f t="shared" si="125"/>
        <v>#DIV/0!</v>
      </c>
      <c r="AD1530" s="34" t="e">
        <f ca="1">SQRT($B$9*SUM(AC1530:OFFSET(AC1530,$B$5-1,0))/($B$5-1))</f>
        <v>#DIV/0!</v>
      </c>
      <c r="AE1530" s="34" t="e">
        <f ca="1">SQRT($B$9*SUM(AC1530:OFFSET(AC1530,$B$6-1,0))/($B$6-1))</f>
        <v>#DIV/0!</v>
      </c>
      <c r="AF1530" s="34" t="e">
        <f ca="1">SQRT($B$9*SUM(AC1530:OFFSET(AC1530,$B$7-1,0))/($B$7-1))</f>
        <v>#DIV/0!</v>
      </c>
      <c r="AG1530" s="34" t="e">
        <f ca="1">SQRT($B$9*SUM(AC1530:OFFSET(AC1530,$B$8-1,0))/($B$8-1))</f>
        <v>#DIV/0!</v>
      </c>
      <c r="AI1530" s="1" t="e">
        <f t="shared" si="126"/>
        <v>#DIV/0!</v>
      </c>
      <c r="AJ1530" s="4" t="e">
        <f ca="1">SQRT($B$9)*_xlfn.STDEV.S(AI1530:OFFSET(AI1530,$B$5-1,0))</f>
        <v>#DIV/0!</v>
      </c>
      <c r="AK1530" s="4" t="e">
        <f ca="1">SQRT($B$9)*_xlfn.STDEV.S(AI1530:OFFSET(AI1530,$B$6-1,0))</f>
        <v>#DIV/0!</v>
      </c>
      <c r="AL1530" s="4" t="e">
        <f ca="1">SQRT($B$9)*_xlfn.STDEV.S(AI1530:OFFSET(AI1530,$B$7-1,0))</f>
        <v>#DIV/0!</v>
      </c>
      <c r="AM1530" s="4" t="e">
        <f ca="1">SQRT($B$9)*_xlfn.STDEV.S(AI1530:OFFSET(AI1530,$B$8-1,0))</f>
        <v>#DIV/0!</v>
      </c>
    </row>
    <row r="1531" spans="11:39" x14ac:dyDescent="0.2">
      <c r="K1531" s="3" t="e">
        <f t="shared" si="124"/>
        <v>#DIV/0!</v>
      </c>
      <c r="L1531" s="3" t="e">
        <f ca="1">SQRT(AVERAGE(K1531:OFFSET(K1531,$B$5-1,0))*$B$9/(4*LN(2)))</f>
        <v>#DIV/0!</v>
      </c>
      <c r="M1531" s="3" t="e">
        <f ca="1">SQRT(AVERAGE(K1531:OFFSET(K1531,$B$6-1,0))*$B$9/(4*LN(2)))</f>
        <v>#DIV/0!</v>
      </c>
      <c r="N1531" s="3" t="e">
        <f ca="1">SQRT(AVERAGE(K1531:OFFSET(K1531,$B$7-1,0))*$B$9/(4*LN(2)))</f>
        <v>#DIV/0!</v>
      </c>
      <c r="O1531" s="3" t="e">
        <f ca="1">SQRT(AVERAGE(K1531:OFFSET(K1531,$B$8-1,0))*$B$9/(4*LN(2)))</f>
        <v>#DIV/0!</v>
      </c>
      <c r="Q1531" s="5" t="e">
        <f t="shared" si="123"/>
        <v>#DIV/0!</v>
      </c>
      <c r="R1531" s="5" t="e">
        <f ca="1">SQRT($B$9*AVERAGE((Q1531:OFFSET(Q1531,$B$5-1,0))))</f>
        <v>#DIV/0!</v>
      </c>
      <c r="S1531" s="5" t="e">
        <f ca="1">SQRT($B$9*AVERAGE((Q1531:OFFSET(Q1531,$B$6-1,0))))</f>
        <v>#DIV/0!</v>
      </c>
      <c r="T1531" s="5" t="e">
        <f ca="1">SQRT($B$9*AVERAGE((Q1531:OFFSET(Q1531,$B$7-1,0))))</f>
        <v>#DIV/0!</v>
      </c>
      <c r="U1531" s="5" t="e">
        <f ca="1">SQRT($B$9*AVERAGE((Q1531:OFFSET(Q1531,$B$8-1,0))))</f>
        <v>#DIV/0!</v>
      </c>
      <c r="W1531" s="6" t="e">
        <f t="shared" si="127"/>
        <v>#DIV/0!</v>
      </c>
      <c r="X1531" s="6" t="e">
        <f ca="1">SQRT($B$9*AVERAGE(W1531:OFFSET(W1531,$B$5-1,0)))</f>
        <v>#DIV/0!</v>
      </c>
      <c r="Y1531" s="6" t="e">
        <f ca="1">SQRT($B$9*AVERAGE(W1531:OFFSET(W1531,$B$6-1,0)))</f>
        <v>#DIV/0!</v>
      </c>
      <c r="Z1531" s="6" t="e">
        <f ca="1">SQRT($B$9*AVERAGE(W1531:OFFSET(W1531,$B$7-1,0)))</f>
        <v>#DIV/0!</v>
      </c>
      <c r="AA1531" s="6" t="e">
        <f ca="1">SQRT($B$9*AVERAGE(W1531:OFFSET(W1531,$B$8-1,0)))</f>
        <v>#DIV/0!</v>
      </c>
      <c r="AC1531" s="34" t="e">
        <f t="shared" si="125"/>
        <v>#DIV/0!</v>
      </c>
      <c r="AD1531" s="34" t="e">
        <f ca="1">SQRT($B$9*SUM(AC1531:OFFSET(AC1531,$B$5-1,0))/($B$5-1))</f>
        <v>#DIV/0!</v>
      </c>
      <c r="AE1531" s="34" t="e">
        <f ca="1">SQRT($B$9*SUM(AC1531:OFFSET(AC1531,$B$6-1,0))/($B$6-1))</f>
        <v>#DIV/0!</v>
      </c>
      <c r="AF1531" s="34" t="e">
        <f ca="1">SQRT($B$9*SUM(AC1531:OFFSET(AC1531,$B$7-1,0))/($B$7-1))</f>
        <v>#DIV/0!</v>
      </c>
      <c r="AG1531" s="34" t="e">
        <f ca="1">SQRT($B$9*SUM(AC1531:OFFSET(AC1531,$B$8-1,0))/($B$8-1))</f>
        <v>#DIV/0!</v>
      </c>
      <c r="AI1531" s="1" t="e">
        <f t="shared" si="126"/>
        <v>#DIV/0!</v>
      </c>
      <c r="AJ1531" s="4" t="e">
        <f ca="1">SQRT($B$9)*_xlfn.STDEV.S(AI1531:OFFSET(AI1531,$B$5-1,0))</f>
        <v>#DIV/0!</v>
      </c>
      <c r="AK1531" s="4" t="e">
        <f ca="1">SQRT($B$9)*_xlfn.STDEV.S(AI1531:OFFSET(AI1531,$B$6-1,0))</f>
        <v>#DIV/0!</v>
      </c>
      <c r="AL1531" s="4" t="e">
        <f ca="1">SQRT($B$9)*_xlfn.STDEV.S(AI1531:OFFSET(AI1531,$B$7-1,0))</f>
        <v>#DIV/0!</v>
      </c>
      <c r="AM1531" s="4" t="e">
        <f ca="1">SQRT($B$9)*_xlfn.STDEV.S(AI1531:OFFSET(AI1531,$B$8-1,0))</f>
        <v>#DIV/0!</v>
      </c>
    </row>
    <row r="1532" spans="11:39" x14ac:dyDescent="0.2">
      <c r="K1532" s="3" t="e">
        <f t="shared" si="124"/>
        <v>#DIV/0!</v>
      </c>
      <c r="L1532" s="3" t="e">
        <f ca="1">SQRT(AVERAGE(K1532:OFFSET(K1532,$B$5-1,0))*$B$9/(4*LN(2)))</f>
        <v>#DIV/0!</v>
      </c>
      <c r="M1532" s="3" t="e">
        <f ca="1">SQRT(AVERAGE(K1532:OFFSET(K1532,$B$6-1,0))*$B$9/(4*LN(2)))</f>
        <v>#DIV/0!</v>
      </c>
      <c r="N1532" s="3" t="e">
        <f ca="1">SQRT(AVERAGE(K1532:OFFSET(K1532,$B$7-1,0))*$B$9/(4*LN(2)))</f>
        <v>#DIV/0!</v>
      </c>
      <c r="O1532" s="3" t="e">
        <f ca="1">SQRT(AVERAGE(K1532:OFFSET(K1532,$B$8-1,0))*$B$9/(4*LN(2)))</f>
        <v>#DIV/0!</v>
      </c>
      <c r="Q1532" s="5" t="e">
        <f t="shared" si="123"/>
        <v>#DIV/0!</v>
      </c>
      <c r="R1532" s="5" t="e">
        <f ca="1">SQRT($B$9*AVERAGE((Q1532:OFFSET(Q1532,$B$5-1,0))))</f>
        <v>#DIV/0!</v>
      </c>
      <c r="S1532" s="5" t="e">
        <f ca="1">SQRT($B$9*AVERAGE((Q1532:OFFSET(Q1532,$B$6-1,0))))</f>
        <v>#DIV/0!</v>
      </c>
      <c r="T1532" s="5" t="e">
        <f ca="1">SQRT($B$9*AVERAGE((Q1532:OFFSET(Q1532,$B$7-1,0))))</f>
        <v>#DIV/0!</v>
      </c>
      <c r="U1532" s="5" t="e">
        <f ca="1">SQRT($B$9*AVERAGE((Q1532:OFFSET(Q1532,$B$8-1,0))))</f>
        <v>#DIV/0!</v>
      </c>
      <c r="W1532" s="6" t="e">
        <f t="shared" si="127"/>
        <v>#DIV/0!</v>
      </c>
      <c r="X1532" s="6" t="e">
        <f ca="1">SQRT($B$9*AVERAGE(W1532:OFFSET(W1532,$B$5-1,0)))</f>
        <v>#DIV/0!</v>
      </c>
      <c r="Y1532" s="6" t="e">
        <f ca="1">SQRT($B$9*AVERAGE(W1532:OFFSET(W1532,$B$6-1,0)))</f>
        <v>#DIV/0!</v>
      </c>
      <c r="Z1532" s="6" t="e">
        <f ca="1">SQRT($B$9*AVERAGE(W1532:OFFSET(W1532,$B$7-1,0)))</f>
        <v>#DIV/0!</v>
      </c>
      <c r="AA1532" s="6" t="e">
        <f ca="1">SQRT($B$9*AVERAGE(W1532:OFFSET(W1532,$B$8-1,0)))</f>
        <v>#DIV/0!</v>
      </c>
      <c r="AC1532" s="34" t="e">
        <f t="shared" si="125"/>
        <v>#DIV/0!</v>
      </c>
      <c r="AD1532" s="34" t="e">
        <f ca="1">SQRT($B$9*SUM(AC1532:OFFSET(AC1532,$B$5-1,0))/($B$5-1))</f>
        <v>#DIV/0!</v>
      </c>
      <c r="AE1532" s="34" t="e">
        <f ca="1">SQRT($B$9*SUM(AC1532:OFFSET(AC1532,$B$6-1,0))/($B$6-1))</f>
        <v>#DIV/0!</v>
      </c>
      <c r="AF1532" s="34" t="e">
        <f ca="1">SQRT($B$9*SUM(AC1532:OFFSET(AC1532,$B$7-1,0))/($B$7-1))</f>
        <v>#DIV/0!</v>
      </c>
      <c r="AG1532" s="34" t="e">
        <f ca="1">SQRT($B$9*SUM(AC1532:OFFSET(AC1532,$B$8-1,0))/($B$8-1))</f>
        <v>#DIV/0!</v>
      </c>
      <c r="AI1532" s="1" t="e">
        <f t="shared" si="126"/>
        <v>#DIV/0!</v>
      </c>
      <c r="AJ1532" s="4" t="e">
        <f ca="1">SQRT($B$9)*_xlfn.STDEV.S(AI1532:OFFSET(AI1532,$B$5-1,0))</f>
        <v>#DIV/0!</v>
      </c>
      <c r="AK1532" s="4" t="e">
        <f ca="1">SQRT($B$9)*_xlfn.STDEV.S(AI1532:OFFSET(AI1532,$B$6-1,0))</f>
        <v>#DIV/0!</v>
      </c>
      <c r="AL1532" s="4" t="e">
        <f ca="1">SQRT($B$9)*_xlfn.STDEV.S(AI1532:OFFSET(AI1532,$B$7-1,0))</f>
        <v>#DIV/0!</v>
      </c>
      <c r="AM1532" s="4" t="e">
        <f ca="1">SQRT($B$9)*_xlfn.STDEV.S(AI1532:OFFSET(AI1532,$B$8-1,0))</f>
        <v>#DIV/0!</v>
      </c>
    </row>
    <row r="1533" spans="11:39" x14ac:dyDescent="0.2">
      <c r="K1533" s="3" t="e">
        <f t="shared" si="124"/>
        <v>#DIV/0!</v>
      </c>
      <c r="L1533" s="3" t="e">
        <f ca="1">SQRT(AVERAGE(K1533:OFFSET(K1533,$B$5-1,0))*$B$9/(4*LN(2)))</f>
        <v>#DIV/0!</v>
      </c>
      <c r="M1533" s="3" t="e">
        <f ca="1">SQRT(AVERAGE(K1533:OFFSET(K1533,$B$6-1,0))*$B$9/(4*LN(2)))</f>
        <v>#DIV/0!</v>
      </c>
      <c r="N1533" s="3" t="e">
        <f ca="1">SQRT(AVERAGE(K1533:OFFSET(K1533,$B$7-1,0))*$B$9/(4*LN(2)))</f>
        <v>#DIV/0!</v>
      </c>
      <c r="O1533" s="3" t="e">
        <f ca="1">SQRT(AVERAGE(K1533:OFFSET(K1533,$B$8-1,0))*$B$9/(4*LN(2)))</f>
        <v>#DIV/0!</v>
      </c>
      <c r="Q1533" s="5" t="e">
        <f t="shared" si="123"/>
        <v>#DIV/0!</v>
      </c>
      <c r="R1533" s="5" t="e">
        <f ca="1">SQRT($B$9*AVERAGE((Q1533:OFFSET(Q1533,$B$5-1,0))))</f>
        <v>#DIV/0!</v>
      </c>
      <c r="S1533" s="5" t="e">
        <f ca="1">SQRT($B$9*AVERAGE((Q1533:OFFSET(Q1533,$B$6-1,0))))</f>
        <v>#DIV/0!</v>
      </c>
      <c r="T1533" s="5" t="e">
        <f ca="1">SQRT($B$9*AVERAGE((Q1533:OFFSET(Q1533,$B$7-1,0))))</f>
        <v>#DIV/0!</v>
      </c>
      <c r="U1533" s="5" t="e">
        <f ca="1">SQRT($B$9*AVERAGE((Q1533:OFFSET(Q1533,$B$8-1,0))))</f>
        <v>#DIV/0!</v>
      </c>
      <c r="W1533" s="6" t="e">
        <f t="shared" si="127"/>
        <v>#DIV/0!</v>
      </c>
      <c r="X1533" s="6" t="e">
        <f ca="1">SQRT($B$9*AVERAGE(W1533:OFFSET(W1533,$B$5-1,0)))</f>
        <v>#DIV/0!</v>
      </c>
      <c r="Y1533" s="6" t="e">
        <f ca="1">SQRT($B$9*AVERAGE(W1533:OFFSET(W1533,$B$6-1,0)))</f>
        <v>#DIV/0!</v>
      </c>
      <c r="Z1533" s="6" t="e">
        <f ca="1">SQRT($B$9*AVERAGE(W1533:OFFSET(W1533,$B$7-1,0)))</f>
        <v>#DIV/0!</v>
      </c>
      <c r="AA1533" s="6" t="e">
        <f ca="1">SQRT($B$9*AVERAGE(W1533:OFFSET(W1533,$B$8-1,0)))</f>
        <v>#DIV/0!</v>
      </c>
      <c r="AC1533" s="34" t="e">
        <f t="shared" si="125"/>
        <v>#DIV/0!</v>
      </c>
      <c r="AD1533" s="34" t="e">
        <f ca="1">SQRT($B$9*SUM(AC1533:OFFSET(AC1533,$B$5-1,0))/($B$5-1))</f>
        <v>#DIV/0!</v>
      </c>
      <c r="AE1533" s="34" t="e">
        <f ca="1">SQRT($B$9*SUM(AC1533:OFFSET(AC1533,$B$6-1,0))/($B$6-1))</f>
        <v>#DIV/0!</v>
      </c>
      <c r="AF1533" s="34" t="e">
        <f ca="1">SQRT($B$9*SUM(AC1533:OFFSET(AC1533,$B$7-1,0))/($B$7-1))</f>
        <v>#DIV/0!</v>
      </c>
      <c r="AG1533" s="34" t="e">
        <f ca="1">SQRT($B$9*SUM(AC1533:OFFSET(AC1533,$B$8-1,0))/($B$8-1))</f>
        <v>#DIV/0!</v>
      </c>
      <c r="AI1533" s="1" t="e">
        <f t="shared" si="126"/>
        <v>#DIV/0!</v>
      </c>
      <c r="AJ1533" s="4" t="e">
        <f ca="1">SQRT($B$9)*_xlfn.STDEV.S(AI1533:OFFSET(AI1533,$B$5-1,0))</f>
        <v>#DIV/0!</v>
      </c>
      <c r="AK1533" s="4" t="e">
        <f ca="1">SQRT($B$9)*_xlfn.STDEV.S(AI1533:OFFSET(AI1533,$B$6-1,0))</f>
        <v>#DIV/0!</v>
      </c>
      <c r="AL1533" s="4" t="e">
        <f ca="1">SQRT($B$9)*_xlfn.STDEV.S(AI1533:OFFSET(AI1533,$B$7-1,0))</f>
        <v>#DIV/0!</v>
      </c>
      <c r="AM1533" s="4" t="e">
        <f ca="1">SQRT($B$9)*_xlfn.STDEV.S(AI1533:OFFSET(AI1533,$B$8-1,0))</f>
        <v>#DIV/0!</v>
      </c>
    </row>
    <row r="1534" spans="11:39" x14ac:dyDescent="0.2">
      <c r="K1534" s="3" t="e">
        <f t="shared" si="124"/>
        <v>#DIV/0!</v>
      </c>
      <c r="L1534" s="3" t="e">
        <f ca="1">SQRT(AVERAGE(K1534:OFFSET(K1534,$B$5-1,0))*$B$9/(4*LN(2)))</f>
        <v>#DIV/0!</v>
      </c>
      <c r="M1534" s="3" t="e">
        <f ca="1">SQRT(AVERAGE(K1534:OFFSET(K1534,$B$6-1,0))*$B$9/(4*LN(2)))</f>
        <v>#DIV/0!</v>
      </c>
      <c r="N1534" s="3" t="e">
        <f ca="1">SQRT(AVERAGE(K1534:OFFSET(K1534,$B$7-1,0))*$B$9/(4*LN(2)))</f>
        <v>#DIV/0!</v>
      </c>
      <c r="O1534" s="3" t="e">
        <f ca="1">SQRT(AVERAGE(K1534:OFFSET(K1534,$B$8-1,0))*$B$9/(4*LN(2)))</f>
        <v>#DIV/0!</v>
      </c>
      <c r="Q1534" s="5" t="e">
        <f t="shared" si="123"/>
        <v>#DIV/0!</v>
      </c>
      <c r="R1534" s="5" t="e">
        <f ca="1">SQRT($B$9*AVERAGE((Q1534:OFFSET(Q1534,$B$5-1,0))))</f>
        <v>#DIV/0!</v>
      </c>
      <c r="S1534" s="5" t="e">
        <f ca="1">SQRT($B$9*AVERAGE((Q1534:OFFSET(Q1534,$B$6-1,0))))</f>
        <v>#DIV/0!</v>
      </c>
      <c r="T1534" s="5" t="e">
        <f ca="1">SQRT($B$9*AVERAGE((Q1534:OFFSET(Q1534,$B$7-1,0))))</f>
        <v>#DIV/0!</v>
      </c>
      <c r="U1534" s="5" t="e">
        <f ca="1">SQRT($B$9*AVERAGE((Q1534:OFFSET(Q1534,$B$8-1,0))))</f>
        <v>#DIV/0!</v>
      </c>
      <c r="W1534" s="6" t="e">
        <f t="shared" si="127"/>
        <v>#DIV/0!</v>
      </c>
      <c r="X1534" s="6" t="e">
        <f ca="1">SQRT($B$9*AVERAGE(W1534:OFFSET(W1534,$B$5-1,0)))</f>
        <v>#DIV/0!</v>
      </c>
      <c r="Y1534" s="6" t="e">
        <f ca="1">SQRT($B$9*AVERAGE(W1534:OFFSET(W1534,$B$6-1,0)))</f>
        <v>#DIV/0!</v>
      </c>
      <c r="Z1534" s="6" t="e">
        <f ca="1">SQRT($B$9*AVERAGE(W1534:OFFSET(W1534,$B$7-1,0)))</f>
        <v>#DIV/0!</v>
      </c>
      <c r="AA1534" s="6" t="e">
        <f ca="1">SQRT($B$9*AVERAGE(W1534:OFFSET(W1534,$B$8-1,0)))</f>
        <v>#DIV/0!</v>
      </c>
      <c r="AC1534" s="34" t="e">
        <f t="shared" si="125"/>
        <v>#DIV/0!</v>
      </c>
      <c r="AD1534" s="34" t="e">
        <f ca="1">SQRT($B$9*SUM(AC1534:OFFSET(AC1534,$B$5-1,0))/($B$5-1))</f>
        <v>#DIV/0!</v>
      </c>
      <c r="AE1534" s="34" t="e">
        <f ca="1">SQRT($B$9*SUM(AC1534:OFFSET(AC1534,$B$6-1,0))/($B$6-1))</f>
        <v>#DIV/0!</v>
      </c>
      <c r="AF1534" s="34" t="e">
        <f ca="1">SQRT($B$9*SUM(AC1534:OFFSET(AC1534,$B$7-1,0))/($B$7-1))</f>
        <v>#DIV/0!</v>
      </c>
      <c r="AG1534" s="34" t="e">
        <f ca="1">SQRT($B$9*SUM(AC1534:OFFSET(AC1534,$B$8-1,0))/($B$8-1))</f>
        <v>#DIV/0!</v>
      </c>
      <c r="AI1534" s="1" t="e">
        <f t="shared" si="126"/>
        <v>#DIV/0!</v>
      </c>
      <c r="AJ1534" s="4" t="e">
        <f ca="1">SQRT($B$9)*_xlfn.STDEV.S(AI1534:OFFSET(AI1534,$B$5-1,0))</f>
        <v>#DIV/0!</v>
      </c>
      <c r="AK1534" s="4" t="e">
        <f ca="1">SQRT($B$9)*_xlfn.STDEV.S(AI1534:OFFSET(AI1534,$B$6-1,0))</f>
        <v>#DIV/0!</v>
      </c>
      <c r="AL1534" s="4" t="e">
        <f ca="1">SQRT($B$9)*_xlfn.STDEV.S(AI1534:OFFSET(AI1534,$B$7-1,0))</f>
        <v>#DIV/0!</v>
      </c>
      <c r="AM1534" s="4" t="e">
        <f ca="1">SQRT($B$9)*_xlfn.STDEV.S(AI1534:OFFSET(AI1534,$B$8-1,0))</f>
        <v>#DIV/0!</v>
      </c>
    </row>
    <row r="1535" spans="11:39" x14ac:dyDescent="0.2">
      <c r="K1535" s="3" t="e">
        <f t="shared" si="124"/>
        <v>#DIV/0!</v>
      </c>
      <c r="L1535" s="3" t="e">
        <f ca="1">SQRT(AVERAGE(K1535:OFFSET(K1535,$B$5-1,0))*$B$9/(4*LN(2)))</f>
        <v>#DIV/0!</v>
      </c>
      <c r="M1535" s="3" t="e">
        <f ca="1">SQRT(AVERAGE(K1535:OFFSET(K1535,$B$6-1,0))*$B$9/(4*LN(2)))</f>
        <v>#DIV/0!</v>
      </c>
      <c r="N1535" s="3" t="e">
        <f ca="1">SQRT(AVERAGE(K1535:OFFSET(K1535,$B$7-1,0))*$B$9/(4*LN(2)))</f>
        <v>#DIV/0!</v>
      </c>
      <c r="O1535" s="3" t="e">
        <f ca="1">SQRT(AVERAGE(K1535:OFFSET(K1535,$B$8-1,0))*$B$9/(4*LN(2)))</f>
        <v>#DIV/0!</v>
      </c>
      <c r="Q1535" s="5" t="e">
        <f t="shared" si="123"/>
        <v>#DIV/0!</v>
      </c>
      <c r="R1535" s="5" t="e">
        <f ca="1">SQRT($B$9*AVERAGE((Q1535:OFFSET(Q1535,$B$5-1,0))))</f>
        <v>#DIV/0!</v>
      </c>
      <c r="S1535" s="5" t="e">
        <f ca="1">SQRT($B$9*AVERAGE((Q1535:OFFSET(Q1535,$B$6-1,0))))</f>
        <v>#DIV/0!</v>
      </c>
      <c r="T1535" s="5" t="e">
        <f ca="1">SQRT($B$9*AVERAGE((Q1535:OFFSET(Q1535,$B$7-1,0))))</f>
        <v>#DIV/0!</v>
      </c>
      <c r="U1535" s="5" t="e">
        <f ca="1">SQRT($B$9*AVERAGE((Q1535:OFFSET(Q1535,$B$8-1,0))))</f>
        <v>#DIV/0!</v>
      </c>
      <c r="W1535" s="6" t="e">
        <f t="shared" si="127"/>
        <v>#DIV/0!</v>
      </c>
      <c r="X1535" s="6" t="e">
        <f ca="1">SQRT($B$9*AVERAGE(W1535:OFFSET(W1535,$B$5-1,0)))</f>
        <v>#DIV/0!</v>
      </c>
      <c r="Y1535" s="6" t="e">
        <f ca="1">SQRT($B$9*AVERAGE(W1535:OFFSET(W1535,$B$6-1,0)))</f>
        <v>#DIV/0!</v>
      </c>
      <c r="Z1535" s="6" t="e">
        <f ca="1">SQRT($B$9*AVERAGE(W1535:OFFSET(W1535,$B$7-1,0)))</f>
        <v>#DIV/0!</v>
      </c>
      <c r="AA1535" s="6" t="e">
        <f ca="1">SQRT($B$9*AVERAGE(W1535:OFFSET(W1535,$B$8-1,0)))</f>
        <v>#DIV/0!</v>
      </c>
      <c r="AC1535" s="34" t="e">
        <f t="shared" si="125"/>
        <v>#DIV/0!</v>
      </c>
      <c r="AD1535" s="34" t="e">
        <f ca="1">SQRT($B$9*SUM(AC1535:OFFSET(AC1535,$B$5-1,0))/($B$5-1))</f>
        <v>#DIV/0!</v>
      </c>
      <c r="AE1535" s="34" t="e">
        <f ca="1">SQRT($B$9*SUM(AC1535:OFFSET(AC1535,$B$6-1,0))/($B$6-1))</f>
        <v>#DIV/0!</v>
      </c>
      <c r="AF1535" s="34" t="e">
        <f ca="1">SQRT($B$9*SUM(AC1535:OFFSET(AC1535,$B$7-1,0))/($B$7-1))</f>
        <v>#DIV/0!</v>
      </c>
      <c r="AG1535" s="34" t="e">
        <f ca="1">SQRT($B$9*SUM(AC1535:OFFSET(AC1535,$B$8-1,0))/($B$8-1))</f>
        <v>#DIV/0!</v>
      </c>
      <c r="AI1535" s="1" t="e">
        <f t="shared" si="126"/>
        <v>#DIV/0!</v>
      </c>
      <c r="AJ1535" s="4" t="e">
        <f ca="1">SQRT($B$9)*_xlfn.STDEV.S(AI1535:OFFSET(AI1535,$B$5-1,0))</f>
        <v>#DIV/0!</v>
      </c>
      <c r="AK1535" s="4" t="e">
        <f ca="1">SQRT($B$9)*_xlfn.STDEV.S(AI1535:OFFSET(AI1535,$B$6-1,0))</f>
        <v>#DIV/0!</v>
      </c>
      <c r="AL1535" s="4" t="e">
        <f ca="1">SQRT($B$9)*_xlfn.STDEV.S(AI1535:OFFSET(AI1535,$B$7-1,0))</f>
        <v>#DIV/0!</v>
      </c>
      <c r="AM1535" s="4" t="e">
        <f ca="1">SQRT($B$9)*_xlfn.STDEV.S(AI1535:OFFSET(AI1535,$B$8-1,0))</f>
        <v>#DIV/0!</v>
      </c>
    </row>
    <row r="1536" spans="11:39" x14ac:dyDescent="0.2">
      <c r="K1536" s="3" t="e">
        <f t="shared" si="124"/>
        <v>#DIV/0!</v>
      </c>
      <c r="L1536" s="3" t="e">
        <f ca="1">SQRT(AVERAGE(K1536:OFFSET(K1536,$B$5-1,0))*$B$9/(4*LN(2)))</f>
        <v>#DIV/0!</v>
      </c>
      <c r="M1536" s="3" t="e">
        <f ca="1">SQRT(AVERAGE(K1536:OFFSET(K1536,$B$6-1,0))*$B$9/(4*LN(2)))</f>
        <v>#DIV/0!</v>
      </c>
      <c r="N1536" s="3" t="e">
        <f ca="1">SQRT(AVERAGE(K1536:OFFSET(K1536,$B$7-1,0))*$B$9/(4*LN(2)))</f>
        <v>#DIV/0!</v>
      </c>
      <c r="O1536" s="3" t="e">
        <f ca="1">SQRT(AVERAGE(K1536:OFFSET(K1536,$B$8-1,0))*$B$9/(4*LN(2)))</f>
        <v>#DIV/0!</v>
      </c>
      <c r="Q1536" s="5" t="e">
        <f t="shared" si="123"/>
        <v>#DIV/0!</v>
      </c>
      <c r="R1536" s="5" t="e">
        <f ca="1">SQRT($B$9*AVERAGE((Q1536:OFFSET(Q1536,$B$5-1,0))))</f>
        <v>#DIV/0!</v>
      </c>
      <c r="S1536" s="5" t="e">
        <f ca="1">SQRT($B$9*AVERAGE((Q1536:OFFSET(Q1536,$B$6-1,0))))</f>
        <v>#DIV/0!</v>
      </c>
      <c r="T1536" s="5" t="e">
        <f ca="1">SQRT($B$9*AVERAGE((Q1536:OFFSET(Q1536,$B$7-1,0))))</f>
        <v>#DIV/0!</v>
      </c>
      <c r="U1536" s="5" t="e">
        <f ca="1">SQRT($B$9*AVERAGE((Q1536:OFFSET(Q1536,$B$8-1,0))))</f>
        <v>#DIV/0!</v>
      </c>
      <c r="W1536" s="6" t="e">
        <f t="shared" si="127"/>
        <v>#DIV/0!</v>
      </c>
      <c r="X1536" s="6" t="e">
        <f ca="1">SQRT($B$9*AVERAGE(W1536:OFFSET(W1536,$B$5-1,0)))</f>
        <v>#DIV/0!</v>
      </c>
      <c r="Y1536" s="6" t="e">
        <f ca="1">SQRT($B$9*AVERAGE(W1536:OFFSET(W1536,$B$6-1,0)))</f>
        <v>#DIV/0!</v>
      </c>
      <c r="Z1536" s="6" t="e">
        <f ca="1">SQRT($B$9*AVERAGE(W1536:OFFSET(W1536,$B$7-1,0)))</f>
        <v>#DIV/0!</v>
      </c>
      <c r="AA1536" s="6" t="e">
        <f ca="1">SQRT($B$9*AVERAGE(W1536:OFFSET(W1536,$B$8-1,0)))</f>
        <v>#DIV/0!</v>
      </c>
      <c r="AC1536" s="34" t="e">
        <f t="shared" si="125"/>
        <v>#DIV/0!</v>
      </c>
      <c r="AD1536" s="34" t="e">
        <f ca="1">SQRT($B$9*SUM(AC1536:OFFSET(AC1536,$B$5-1,0))/($B$5-1))</f>
        <v>#DIV/0!</v>
      </c>
      <c r="AE1536" s="34" t="e">
        <f ca="1">SQRT($B$9*SUM(AC1536:OFFSET(AC1536,$B$6-1,0))/($B$6-1))</f>
        <v>#DIV/0!</v>
      </c>
      <c r="AF1536" s="34" t="e">
        <f ca="1">SQRT($B$9*SUM(AC1536:OFFSET(AC1536,$B$7-1,0))/($B$7-1))</f>
        <v>#DIV/0!</v>
      </c>
      <c r="AG1536" s="34" t="e">
        <f ca="1">SQRT($B$9*SUM(AC1536:OFFSET(AC1536,$B$8-1,0))/($B$8-1))</f>
        <v>#DIV/0!</v>
      </c>
      <c r="AI1536" s="1" t="e">
        <f t="shared" si="126"/>
        <v>#DIV/0!</v>
      </c>
      <c r="AJ1536" s="4" t="e">
        <f ca="1">SQRT($B$9)*_xlfn.STDEV.S(AI1536:OFFSET(AI1536,$B$5-1,0))</f>
        <v>#DIV/0!</v>
      </c>
      <c r="AK1536" s="4" t="e">
        <f ca="1">SQRT($B$9)*_xlfn.STDEV.S(AI1536:OFFSET(AI1536,$B$6-1,0))</f>
        <v>#DIV/0!</v>
      </c>
      <c r="AL1536" s="4" t="e">
        <f ca="1">SQRT($B$9)*_xlfn.STDEV.S(AI1536:OFFSET(AI1536,$B$7-1,0))</f>
        <v>#DIV/0!</v>
      </c>
      <c r="AM1536" s="4" t="e">
        <f ca="1">SQRT($B$9)*_xlfn.STDEV.S(AI1536:OFFSET(AI1536,$B$8-1,0))</f>
        <v>#DIV/0!</v>
      </c>
    </row>
    <row r="1537" spans="11:39" x14ac:dyDescent="0.2">
      <c r="K1537" s="3" t="e">
        <f t="shared" si="124"/>
        <v>#DIV/0!</v>
      </c>
      <c r="L1537" s="3" t="e">
        <f ca="1">SQRT(AVERAGE(K1537:OFFSET(K1537,$B$5-1,0))*$B$9/(4*LN(2)))</f>
        <v>#DIV/0!</v>
      </c>
      <c r="M1537" s="3" t="e">
        <f ca="1">SQRT(AVERAGE(K1537:OFFSET(K1537,$B$6-1,0))*$B$9/(4*LN(2)))</f>
        <v>#DIV/0!</v>
      </c>
      <c r="N1537" s="3" t="e">
        <f ca="1">SQRT(AVERAGE(K1537:OFFSET(K1537,$B$7-1,0))*$B$9/(4*LN(2)))</f>
        <v>#DIV/0!</v>
      </c>
      <c r="O1537" s="3" t="e">
        <f ca="1">SQRT(AVERAGE(K1537:OFFSET(K1537,$B$8-1,0))*$B$9/(4*LN(2)))</f>
        <v>#DIV/0!</v>
      </c>
      <c r="Q1537" s="5" t="e">
        <f t="shared" si="123"/>
        <v>#DIV/0!</v>
      </c>
      <c r="R1537" s="5" t="e">
        <f ca="1">SQRT($B$9*AVERAGE((Q1537:OFFSET(Q1537,$B$5-1,0))))</f>
        <v>#DIV/0!</v>
      </c>
      <c r="S1537" s="5" t="e">
        <f ca="1">SQRT($B$9*AVERAGE((Q1537:OFFSET(Q1537,$B$6-1,0))))</f>
        <v>#DIV/0!</v>
      </c>
      <c r="T1537" s="5" t="e">
        <f ca="1">SQRT($B$9*AVERAGE((Q1537:OFFSET(Q1537,$B$7-1,0))))</f>
        <v>#DIV/0!</v>
      </c>
      <c r="U1537" s="5" t="e">
        <f ca="1">SQRT($B$9*AVERAGE((Q1537:OFFSET(Q1537,$B$8-1,0))))</f>
        <v>#DIV/0!</v>
      </c>
      <c r="W1537" s="6" t="e">
        <f t="shared" si="127"/>
        <v>#DIV/0!</v>
      </c>
      <c r="X1537" s="6" t="e">
        <f ca="1">SQRT($B$9*AVERAGE(W1537:OFFSET(W1537,$B$5-1,0)))</f>
        <v>#DIV/0!</v>
      </c>
      <c r="Y1537" s="6" t="e">
        <f ca="1">SQRT($B$9*AVERAGE(W1537:OFFSET(W1537,$B$6-1,0)))</f>
        <v>#DIV/0!</v>
      </c>
      <c r="Z1537" s="6" t="e">
        <f ca="1">SQRT($B$9*AVERAGE(W1537:OFFSET(W1537,$B$7-1,0)))</f>
        <v>#DIV/0!</v>
      </c>
      <c r="AA1537" s="6" t="e">
        <f ca="1">SQRT($B$9*AVERAGE(W1537:OFFSET(W1537,$B$8-1,0)))</f>
        <v>#DIV/0!</v>
      </c>
      <c r="AC1537" s="34" t="e">
        <f t="shared" si="125"/>
        <v>#DIV/0!</v>
      </c>
      <c r="AD1537" s="34" t="e">
        <f ca="1">SQRT($B$9*SUM(AC1537:OFFSET(AC1537,$B$5-1,0))/($B$5-1))</f>
        <v>#DIV/0!</v>
      </c>
      <c r="AE1537" s="34" t="e">
        <f ca="1">SQRT($B$9*SUM(AC1537:OFFSET(AC1537,$B$6-1,0))/($B$6-1))</f>
        <v>#DIV/0!</v>
      </c>
      <c r="AF1537" s="34" t="e">
        <f ca="1">SQRT($B$9*SUM(AC1537:OFFSET(AC1537,$B$7-1,0))/($B$7-1))</f>
        <v>#DIV/0!</v>
      </c>
      <c r="AG1537" s="34" t="e">
        <f ca="1">SQRT($B$9*SUM(AC1537:OFFSET(AC1537,$B$8-1,0))/($B$8-1))</f>
        <v>#DIV/0!</v>
      </c>
      <c r="AI1537" s="1" t="e">
        <f t="shared" si="126"/>
        <v>#DIV/0!</v>
      </c>
      <c r="AJ1537" s="4" t="e">
        <f ca="1">SQRT($B$9)*_xlfn.STDEV.S(AI1537:OFFSET(AI1537,$B$5-1,0))</f>
        <v>#DIV/0!</v>
      </c>
      <c r="AK1537" s="4" t="e">
        <f ca="1">SQRT($B$9)*_xlfn.STDEV.S(AI1537:OFFSET(AI1537,$B$6-1,0))</f>
        <v>#DIV/0!</v>
      </c>
      <c r="AL1537" s="4" t="e">
        <f ca="1">SQRT($B$9)*_xlfn.STDEV.S(AI1537:OFFSET(AI1537,$B$7-1,0))</f>
        <v>#DIV/0!</v>
      </c>
      <c r="AM1537" s="4" t="e">
        <f ca="1">SQRT($B$9)*_xlfn.STDEV.S(AI1537:OFFSET(AI1537,$B$8-1,0))</f>
        <v>#DIV/0!</v>
      </c>
    </row>
    <row r="1538" spans="11:39" x14ac:dyDescent="0.2">
      <c r="K1538" s="3" t="e">
        <f t="shared" si="124"/>
        <v>#DIV/0!</v>
      </c>
      <c r="L1538" s="3" t="e">
        <f ca="1">SQRT(AVERAGE(K1538:OFFSET(K1538,$B$5-1,0))*$B$9/(4*LN(2)))</f>
        <v>#DIV/0!</v>
      </c>
      <c r="M1538" s="3" t="e">
        <f ca="1">SQRT(AVERAGE(K1538:OFFSET(K1538,$B$6-1,0))*$B$9/(4*LN(2)))</f>
        <v>#DIV/0!</v>
      </c>
      <c r="N1538" s="3" t="e">
        <f ca="1">SQRT(AVERAGE(K1538:OFFSET(K1538,$B$7-1,0))*$B$9/(4*LN(2)))</f>
        <v>#DIV/0!</v>
      </c>
      <c r="O1538" s="3" t="e">
        <f ca="1">SQRT(AVERAGE(K1538:OFFSET(K1538,$B$8-1,0))*$B$9/(4*LN(2)))</f>
        <v>#DIV/0!</v>
      </c>
      <c r="Q1538" s="5" t="e">
        <f t="shared" si="123"/>
        <v>#DIV/0!</v>
      </c>
      <c r="R1538" s="5" t="e">
        <f ca="1">SQRT($B$9*AVERAGE((Q1538:OFFSET(Q1538,$B$5-1,0))))</f>
        <v>#DIV/0!</v>
      </c>
      <c r="S1538" s="5" t="e">
        <f ca="1">SQRT($B$9*AVERAGE((Q1538:OFFSET(Q1538,$B$6-1,0))))</f>
        <v>#DIV/0!</v>
      </c>
      <c r="T1538" s="5" t="e">
        <f ca="1">SQRT($B$9*AVERAGE((Q1538:OFFSET(Q1538,$B$7-1,0))))</f>
        <v>#DIV/0!</v>
      </c>
      <c r="U1538" s="5" t="e">
        <f ca="1">SQRT($B$9*AVERAGE((Q1538:OFFSET(Q1538,$B$8-1,0))))</f>
        <v>#DIV/0!</v>
      </c>
      <c r="W1538" s="6" t="e">
        <f t="shared" si="127"/>
        <v>#DIV/0!</v>
      </c>
      <c r="X1538" s="6" t="e">
        <f ca="1">SQRT($B$9*AVERAGE(W1538:OFFSET(W1538,$B$5-1,0)))</f>
        <v>#DIV/0!</v>
      </c>
      <c r="Y1538" s="6" t="e">
        <f ca="1">SQRT($B$9*AVERAGE(W1538:OFFSET(W1538,$B$6-1,0)))</f>
        <v>#DIV/0!</v>
      </c>
      <c r="Z1538" s="6" t="e">
        <f ca="1">SQRT($B$9*AVERAGE(W1538:OFFSET(W1538,$B$7-1,0)))</f>
        <v>#DIV/0!</v>
      </c>
      <c r="AA1538" s="6" t="e">
        <f ca="1">SQRT($B$9*AVERAGE(W1538:OFFSET(W1538,$B$8-1,0)))</f>
        <v>#DIV/0!</v>
      </c>
      <c r="AC1538" s="34" t="e">
        <f t="shared" si="125"/>
        <v>#DIV/0!</v>
      </c>
      <c r="AD1538" s="34" t="e">
        <f ca="1">SQRT($B$9*SUM(AC1538:OFFSET(AC1538,$B$5-1,0))/($B$5-1))</f>
        <v>#DIV/0!</v>
      </c>
      <c r="AE1538" s="34" t="e">
        <f ca="1">SQRT($B$9*SUM(AC1538:OFFSET(AC1538,$B$6-1,0))/($B$6-1))</f>
        <v>#DIV/0!</v>
      </c>
      <c r="AF1538" s="34" t="e">
        <f ca="1">SQRT($B$9*SUM(AC1538:OFFSET(AC1538,$B$7-1,0))/($B$7-1))</f>
        <v>#DIV/0!</v>
      </c>
      <c r="AG1538" s="34" t="e">
        <f ca="1">SQRT($B$9*SUM(AC1538:OFFSET(AC1538,$B$8-1,0))/($B$8-1))</f>
        <v>#DIV/0!</v>
      </c>
      <c r="AI1538" s="1" t="e">
        <f t="shared" si="126"/>
        <v>#DIV/0!</v>
      </c>
      <c r="AJ1538" s="4" t="e">
        <f ca="1">SQRT($B$9)*_xlfn.STDEV.S(AI1538:OFFSET(AI1538,$B$5-1,0))</f>
        <v>#DIV/0!</v>
      </c>
      <c r="AK1538" s="4" t="e">
        <f ca="1">SQRT($B$9)*_xlfn.STDEV.S(AI1538:OFFSET(AI1538,$B$6-1,0))</f>
        <v>#DIV/0!</v>
      </c>
      <c r="AL1538" s="4" t="e">
        <f ca="1">SQRT($B$9)*_xlfn.STDEV.S(AI1538:OFFSET(AI1538,$B$7-1,0))</f>
        <v>#DIV/0!</v>
      </c>
      <c r="AM1538" s="4" t="e">
        <f ca="1">SQRT($B$9)*_xlfn.STDEV.S(AI1538:OFFSET(AI1538,$B$8-1,0))</f>
        <v>#DIV/0!</v>
      </c>
    </row>
    <row r="1539" spans="11:39" x14ac:dyDescent="0.2">
      <c r="K1539" s="3" t="e">
        <f t="shared" si="124"/>
        <v>#DIV/0!</v>
      </c>
      <c r="L1539" s="3" t="e">
        <f ca="1">SQRT(AVERAGE(K1539:OFFSET(K1539,$B$5-1,0))*$B$9/(4*LN(2)))</f>
        <v>#DIV/0!</v>
      </c>
      <c r="M1539" s="3" t="e">
        <f ca="1">SQRT(AVERAGE(K1539:OFFSET(K1539,$B$6-1,0))*$B$9/(4*LN(2)))</f>
        <v>#DIV/0!</v>
      </c>
      <c r="N1539" s="3" t="e">
        <f ca="1">SQRT(AVERAGE(K1539:OFFSET(K1539,$B$7-1,0))*$B$9/(4*LN(2)))</f>
        <v>#DIV/0!</v>
      </c>
      <c r="O1539" s="3" t="e">
        <f ca="1">SQRT(AVERAGE(K1539:OFFSET(K1539,$B$8-1,0))*$B$9/(4*LN(2)))</f>
        <v>#DIV/0!</v>
      </c>
      <c r="Q1539" s="5" t="e">
        <f t="shared" si="123"/>
        <v>#DIV/0!</v>
      </c>
      <c r="R1539" s="5" t="e">
        <f ca="1">SQRT($B$9*AVERAGE((Q1539:OFFSET(Q1539,$B$5-1,0))))</f>
        <v>#DIV/0!</v>
      </c>
      <c r="S1539" s="5" t="e">
        <f ca="1">SQRT($B$9*AVERAGE((Q1539:OFFSET(Q1539,$B$6-1,0))))</f>
        <v>#DIV/0!</v>
      </c>
      <c r="T1539" s="5" t="e">
        <f ca="1">SQRT($B$9*AVERAGE((Q1539:OFFSET(Q1539,$B$7-1,0))))</f>
        <v>#DIV/0!</v>
      </c>
      <c r="U1539" s="5" t="e">
        <f ca="1">SQRT($B$9*AVERAGE((Q1539:OFFSET(Q1539,$B$8-1,0))))</f>
        <v>#DIV/0!</v>
      </c>
      <c r="W1539" s="6" t="e">
        <f t="shared" si="127"/>
        <v>#DIV/0!</v>
      </c>
      <c r="X1539" s="6" t="e">
        <f ca="1">SQRT($B$9*AVERAGE(W1539:OFFSET(W1539,$B$5-1,0)))</f>
        <v>#DIV/0!</v>
      </c>
      <c r="Y1539" s="6" t="e">
        <f ca="1">SQRT($B$9*AVERAGE(W1539:OFFSET(W1539,$B$6-1,0)))</f>
        <v>#DIV/0!</v>
      </c>
      <c r="Z1539" s="6" t="e">
        <f ca="1">SQRT($B$9*AVERAGE(W1539:OFFSET(W1539,$B$7-1,0)))</f>
        <v>#DIV/0!</v>
      </c>
      <c r="AA1539" s="6" t="e">
        <f ca="1">SQRT($B$9*AVERAGE(W1539:OFFSET(W1539,$B$8-1,0)))</f>
        <v>#DIV/0!</v>
      </c>
      <c r="AC1539" s="34" t="e">
        <f t="shared" si="125"/>
        <v>#DIV/0!</v>
      </c>
      <c r="AD1539" s="34" t="e">
        <f ca="1">SQRT($B$9*SUM(AC1539:OFFSET(AC1539,$B$5-1,0))/($B$5-1))</f>
        <v>#DIV/0!</v>
      </c>
      <c r="AE1539" s="34" t="e">
        <f ca="1">SQRT($B$9*SUM(AC1539:OFFSET(AC1539,$B$6-1,0))/($B$6-1))</f>
        <v>#DIV/0!</v>
      </c>
      <c r="AF1539" s="34" t="e">
        <f ca="1">SQRT($B$9*SUM(AC1539:OFFSET(AC1539,$B$7-1,0))/($B$7-1))</f>
        <v>#DIV/0!</v>
      </c>
      <c r="AG1539" s="34" t="e">
        <f ca="1">SQRT($B$9*SUM(AC1539:OFFSET(AC1539,$B$8-1,0))/($B$8-1))</f>
        <v>#DIV/0!</v>
      </c>
      <c r="AI1539" s="1" t="e">
        <f t="shared" si="126"/>
        <v>#DIV/0!</v>
      </c>
      <c r="AJ1539" s="4" t="e">
        <f ca="1">SQRT($B$9)*_xlfn.STDEV.S(AI1539:OFFSET(AI1539,$B$5-1,0))</f>
        <v>#DIV/0!</v>
      </c>
      <c r="AK1539" s="4" t="e">
        <f ca="1">SQRT($B$9)*_xlfn.STDEV.S(AI1539:OFFSET(AI1539,$B$6-1,0))</f>
        <v>#DIV/0!</v>
      </c>
      <c r="AL1539" s="4" t="e">
        <f ca="1">SQRT($B$9)*_xlfn.STDEV.S(AI1539:OFFSET(AI1539,$B$7-1,0))</f>
        <v>#DIV/0!</v>
      </c>
      <c r="AM1539" s="4" t="e">
        <f ca="1">SQRT($B$9)*_xlfn.STDEV.S(AI1539:OFFSET(AI1539,$B$8-1,0))</f>
        <v>#DIV/0!</v>
      </c>
    </row>
    <row r="1540" spans="11:39" x14ac:dyDescent="0.2">
      <c r="K1540" s="3" t="e">
        <f t="shared" si="124"/>
        <v>#DIV/0!</v>
      </c>
      <c r="L1540" s="3" t="e">
        <f ca="1">SQRT(AVERAGE(K1540:OFFSET(K1540,$B$5-1,0))*$B$9/(4*LN(2)))</f>
        <v>#DIV/0!</v>
      </c>
      <c r="M1540" s="3" t="e">
        <f ca="1">SQRT(AVERAGE(K1540:OFFSET(K1540,$B$6-1,0))*$B$9/(4*LN(2)))</f>
        <v>#DIV/0!</v>
      </c>
      <c r="N1540" s="3" t="e">
        <f ca="1">SQRT(AVERAGE(K1540:OFFSET(K1540,$B$7-1,0))*$B$9/(4*LN(2)))</f>
        <v>#DIV/0!</v>
      </c>
      <c r="O1540" s="3" t="e">
        <f ca="1">SQRT(AVERAGE(K1540:OFFSET(K1540,$B$8-1,0))*$B$9/(4*LN(2)))</f>
        <v>#DIV/0!</v>
      </c>
      <c r="Q1540" s="5" t="e">
        <f t="shared" si="123"/>
        <v>#DIV/0!</v>
      </c>
      <c r="R1540" s="5" t="e">
        <f ca="1">SQRT($B$9*AVERAGE((Q1540:OFFSET(Q1540,$B$5-1,0))))</f>
        <v>#DIV/0!</v>
      </c>
      <c r="S1540" s="5" t="e">
        <f ca="1">SQRT($B$9*AVERAGE((Q1540:OFFSET(Q1540,$B$6-1,0))))</f>
        <v>#DIV/0!</v>
      </c>
      <c r="T1540" s="5" t="e">
        <f ca="1">SQRT($B$9*AVERAGE((Q1540:OFFSET(Q1540,$B$7-1,0))))</f>
        <v>#DIV/0!</v>
      </c>
      <c r="U1540" s="5" t="e">
        <f ca="1">SQRT($B$9*AVERAGE((Q1540:OFFSET(Q1540,$B$8-1,0))))</f>
        <v>#DIV/0!</v>
      </c>
      <c r="W1540" s="6" t="e">
        <f t="shared" si="127"/>
        <v>#DIV/0!</v>
      </c>
      <c r="X1540" s="6" t="e">
        <f ca="1">SQRT($B$9*AVERAGE(W1540:OFFSET(W1540,$B$5-1,0)))</f>
        <v>#DIV/0!</v>
      </c>
      <c r="Y1540" s="6" t="e">
        <f ca="1">SQRT($B$9*AVERAGE(W1540:OFFSET(W1540,$B$6-1,0)))</f>
        <v>#DIV/0!</v>
      </c>
      <c r="Z1540" s="6" t="e">
        <f ca="1">SQRT($B$9*AVERAGE(W1540:OFFSET(W1540,$B$7-1,0)))</f>
        <v>#DIV/0!</v>
      </c>
      <c r="AA1540" s="6" t="e">
        <f ca="1">SQRT($B$9*AVERAGE(W1540:OFFSET(W1540,$B$8-1,0)))</f>
        <v>#DIV/0!</v>
      </c>
      <c r="AC1540" s="34" t="e">
        <f t="shared" si="125"/>
        <v>#DIV/0!</v>
      </c>
      <c r="AD1540" s="34" t="e">
        <f ca="1">SQRT($B$9*SUM(AC1540:OFFSET(AC1540,$B$5-1,0))/($B$5-1))</f>
        <v>#DIV/0!</v>
      </c>
      <c r="AE1540" s="34" t="e">
        <f ca="1">SQRT($B$9*SUM(AC1540:OFFSET(AC1540,$B$6-1,0))/($B$6-1))</f>
        <v>#DIV/0!</v>
      </c>
      <c r="AF1540" s="34" t="e">
        <f ca="1">SQRT($B$9*SUM(AC1540:OFFSET(AC1540,$B$7-1,0))/($B$7-1))</f>
        <v>#DIV/0!</v>
      </c>
      <c r="AG1540" s="34" t="e">
        <f ca="1">SQRT($B$9*SUM(AC1540:OFFSET(AC1540,$B$8-1,0))/($B$8-1))</f>
        <v>#DIV/0!</v>
      </c>
      <c r="AI1540" s="1" t="e">
        <f t="shared" si="126"/>
        <v>#DIV/0!</v>
      </c>
      <c r="AJ1540" s="4" t="e">
        <f ca="1">SQRT($B$9)*_xlfn.STDEV.S(AI1540:OFFSET(AI1540,$B$5-1,0))</f>
        <v>#DIV/0!</v>
      </c>
      <c r="AK1540" s="4" t="e">
        <f ca="1">SQRT($B$9)*_xlfn.STDEV.S(AI1540:OFFSET(AI1540,$B$6-1,0))</f>
        <v>#DIV/0!</v>
      </c>
      <c r="AL1540" s="4" t="e">
        <f ca="1">SQRT($B$9)*_xlfn.STDEV.S(AI1540:OFFSET(AI1540,$B$7-1,0))</f>
        <v>#DIV/0!</v>
      </c>
      <c r="AM1540" s="4" t="e">
        <f ca="1">SQRT($B$9)*_xlfn.STDEV.S(AI1540:OFFSET(AI1540,$B$8-1,0))</f>
        <v>#DIV/0!</v>
      </c>
    </row>
    <row r="1541" spans="11:39" x14ac:dyDescent="0.2">
      <c r="K1541" s="3" t="e">
        <f t="shared" si="124"/>
        <v>#DIV/0!</v>
      </c>
      <c r="L1541" s="3" t="e">
        <f ca="1">SQRT(AVERAGE(K1541:OFFSET(K1541,$B$5-1,0))*$B$9/(4*LN(2)))</f>
        <v>#DIV/0!</v>
      </c>
      <c r="M1541" s="3" t="e">
        <f ca="1">SQRT(AVERAGE(K1541:OFFSET(K1541,$B$6-1,0))*$B$9/(4*LN(2)))</f>
        <v>#DIV/0!</v>
      </c>
      <c r="N1541" s="3" t="e">
        <f ca="1">SQRT(AVERAGE(K1541:OFFSET(K1541,$B$7-1,0))*$B$9/(4*LN(2)))</f>
        <v>#DIV/0!</v>
      </c>
      <c r="O1541" s="3" t="e">
        <f ca="1">SQRT(AVERAGE(K1541:OFFSET(K1541,$B$8-1,0))*$B$9/(4*LN(2)))</f>
        <v>#DIV/0!</v>
      </c>
      <c r="Q1541" s="5" t="e">
        <f t="shared" ref="Q1541:Q1604" si="128">0.511*(LN(G1541/H1541))^2-0.019*(LN(I1541/F1541)*LN(G1541*H1541/F1541^2)-2*LN(G1541/F1541)*LN(H1541/F1541))-0.383*(LN(I1541/F1541))^2</f>
        <v>#DIV/0!</v>
      </c>
      <c r="R1541" s="5" t="e">
        <f ca="1">SQRT($B$9*AVERAGE((Q1541:OFFSET(Q1541,$B$5-1,0))))</f>
        <v>#DIV/0!</v>
      </c>
      <c r="S1541" s="5" t="e">
        <f ca="1">SQRT($B$9*AVERAGE((Q1541:OFFSET(Q1541,$B$6-1,0))))</f>
        <v>#DIV/0!</v>
      </c>
      <c r="T1541" s="5" t="e">
        <f ca="1">SQRT($B$9*AVERAGE((Q1541:OFFSET(Q1541,$B$7-1,0))))</f>
        <v>#DIV/0!</v>
      </c>
      <c r="U1541" s="5" t="e">
        <f ca="1">SQRT($B$9*AVERAGE((Q1541:OFFSET(Q1541,$B$8-1,0))))</f>
        <v>#DIV/0!</v>
      </c>
      <c r="W1541" s="6" t="e">
        <f t="shared" si="127"/>
        <v>#DIV/0!</v>
      </c>
      <c r="X1541" s="6" t="e">
        <f ca="1">SQRT($B$9*AVERAGE(W1541:OFFSET(W1541,$B$5-1,0)))</f>
        <v>#DIV/0!</v>
      </c>
      <c r="Y1541" s="6" t="e">
        <f ca="1">SQRT($B$9*AVERAGE(W1541:OFFSET(W1541,$B$6-1,0)))</f>
        <v>#DIV/0!</v>
      </c>
      <c r="Z1541" s="6" t="e">
        <f ca="1">SQRT($B$9*AVERAGE(W1541:OFFSET(W1541,$B$7-1,0)))</f>
        <v>#DIV/0!</v>
      </c>
      <c r="AA1541" s="6" t="e">
        <f ca="1">SQRT($B$9*AVERAGE(W1541:OFFSET(W1541,$B$8-1,0)))</f>
        <v>#DIV/0!</v>
      </c>
      <c r="AC1541" s="34" t="e">
        <f t="shared" si="125"/>
        <v>#DIV/0!</v>
      </c>
      <c r="AD1541" s="34" t="e">
        <f ca="1">SQRT($B$9*SUM(AC1541:OFFSET(AC1541,$B$5-1,0))/($B$5-1))</f>
        <v>#DIV/0!</v>
      </c>
      <c r="AE1541" s="34" t="e">
        <f ca="1">SQRT($B$9*SUM(AC1541:OFFSET(AC1541,$B$6-1,0))/($B$6-1))</f>
        <v>#DIV/0!</v>
      </c>
      <c r="AF1541" s="34" t="e">
        <f ca="1">SQRT($B$9*SUM(AC1541:OFFSET(AC1541,$B$7-1,0))/($B$7-1))</f>
        <v>#DIV/0!</v>
      </c>
      <c r="AG1541" s="34" t="e">
        <f ca="1">SQRT($B$9*SUM(AC1541:OFFSET(AC1541,$B$8-1,0))/($B$8-1))</f>
        <v>#DIV/0!</v>
      </c>
      <c r="AI1541" s="1" t="e">
        <f t="shared" si="126"/>
        <v>#DIV/0!</v>
      </c>
      <c r="AJ1541" s="4" t="e">
        <f ca="1">SQRT($B$9)*_xlfn.STDEV.S(AI1541:OFFSET(AI1541,$B$5-1,0))</f>
        <v>#DIV/0!</v>
      </c>
      <c r="AK1541" s="4" t="e">
        <f ca="1">SQRT($B$9)*_xlfn.STDEV.S(AI1541:OFFSET(AI1541,$B$6-1,0))</f>
        <v>#DIV/0!</v>
      </c>
      <c r="AL1541" s="4" t="e">
        <f ca="1">SQRT($B$9)*_xlfn.STDEV.S(AI1541:OFFSET(AI1541,$B$7-1,0))</f>
        <v>#DIV/0!</v>
      </c>
      <c r="AM1541" s="4" t="e">
        <f ca="1">SQRT($B$9)*_xlfn.STDEV.S(AI1541:OFFSET(AI1541,$B$8-1,0))</f>
        <v>#DIV/0!</v>
      </c>
    </row>
    <row r="1542" spans="11:39" x14ac:dyDescent="0.2">
      <c r="K1542" s="3" t="e">
        <f t="shared" ref="K1542:K1605" si="129">(LN(G1542/H1542))^2</f>
        <v>#DIV/0!</v>
      </c>
      <c r="L1542" s="3" t="e">
        <f ca="1">SQRT(AVERAGE(K1542:OFFSET(K1542,$B$5-1,0))*$B$9/(4*LN(2)))</f>
        <v>#DIV/0!</v>
      </c>
      <c r="M1542" s="3" t="e">
        <f ca="1">SQRT(AVERAGE(K1542:OFFSET(K1542,$B$6-1,0))*$B$9/(4*LN(2)))</f>
        <v>#DIV/0!</v>
      </c>
      <c r="N1542" s="3" t="e">
        <f ca="1">SQRT(AVERAGE(K1542:OFFSET(K1542,$B$7-1,0))*$B$9/(4*LN(2)))</f>
        <v>#DIV/0!</v>
      </c>
      <c r="O1542" s="3" t="e">
        <f ca="1">SQRT(AVERAGE(K1542:OFFSET(K1542,$B$8-1,0))*$B$9/(4*LN(2)))</f>
        <v>#DIV/0!</v>
      </c>
      <c r="Q1542" s="5" t="e">
        <f t="shared" si="128"/>
        <v>#DIV/0!</v>
      </c>
      <c r="R1542" s="5" t="e">
        <f ca="1">SQRT($B$9*AVERAGE((Q1542:OFFSET(Q1542,$B$5-1,0))))</f>
        <v>#DIV/0!</v>
      </c>
      <c r="S1542" s="5" t="e">
        <f ca="1">SQRT($B$9*AVERAGE((Q1542:OFFSET(Q1542,$B$6-1,0))))</f>
        <v>#DIV/0!</v>
      </c>
      <c r="T1542" s="5" t="e">
        <f ca="1">SQRT($B$9*AVERAGE((Q1542:OFFSET(Q1542,$B$7-1,0))))</f>
        <v>#DIV/0!</v>
      </c>
      <c r="U1542" s="5" t="e">
        <f ca="1">SQRT($B$9*AVERAGE((Q1542:OFFSET(Q1542,$B$8-1,0))))</f>
        <v>#DIV/0!</v>
      </c>
      <c r="W1542" s="6" t="e">
        <f t="shared" si="127"/>
        <v>#DIV/0!</v>
      </c>
      <c r="X1542" s="6" t="e">
        <f ca="1">SQRT($B$9*AVERAGE(W1542:OFFSET(W1542,$B$5-1,0)))</f>
        <v>#DIV/0!</v>
      </c>
      <c r="Y1542" s="6" t="e">
        <f ca="1">SQRT($B$9*AVERAGE(W1542:OFFSET(W1542,$B$6-1,0)))</f>
        <v>#DIV/0!</v>
      </c>
      <c r="Z1542" s="6" t="e">
        <f ca="1">SQRT($B$9*AVERAGE(W1542:OFFSET(W1542,$B$7-1,0)))</f>
        <v>#DIV/0!</v>
      </c>
      <c r="AA1542" s="6" t="e">
        <f ca="1">SQRT($B$9*AVERAGE(W1542:OFFSET(W1542,$B$8-1,0)))</f>
        <v>#DIV/0!</v>
      </c>
      <c r="AC1542" s="34" t="e">
        <f t="shared" si="125"/>
        <v>#DIV/0!</v>
      </c>
      <c r="AD1542" s="34" t="e">
        <f ca="1">SQRT($B$9*SUM(AC1542:OFFSET(AC1542,$B$5-1,0))/($B$5-1))</f>
        <v>#DIV/0!</v>
      </c>
      <c r="AE1542" s="34" t="e">
        <f ca="1">SQRT($B$9*SUM(AC1542:OFFSET(AC1542,$B$6-1,0))/($B$6-1))</f>
        <v>#DIV/0!</v>
      </c>
      <c r="AF1542" s="34" t="e">
        <f ca="1">SQRT($B$9*SUM(AC1542:OFFSET(AC1542,$B$7-1,0))/($B$7-1))</f>
        <v>#DIV/0!</v>
      </c>
      <c r="AG1542" s="34" t="e">
        <f ca="1">SQRT($B$9*SUM(AC1542:OFFSET(AC1542,$B$8-1,0))/($B$8-1))</f>
        <v>#DIV/0!</v>
      </c>
      <c r="AI1542" s="1" t="e">
        <f t="shared" si="126"/>
        <v>#DIV/0!</v>
      </c>
      <c r="AJ1542" s="4" t="e">
        <f ca="1">SQRT($B$9)*_xlfn.STDEV.S(AI1542:OFFSET(AI1542,$B$5-1,0))</f>
        <v>#DIV/0!</v>
      </c>
      <c r="AK1542" s="4" t="e">
        <f ca="1">SQRT($B$9)*_xlfn.STDEV.S(AI1542:OFFSET(AI1542,$B$6-1,0))</f>
        <v>#DIV/0!</v>
      </c>
      <c r="AL1542" s="4" t="e">
        <f ca="1">SQRT($B$9)*_xlfn.STDEV.S(AI1542:OFFSET(AI1542,$B$7-1,0))</f>
        <v>#DIV/0!</v>
      </c>
      <c r="AM1542" s="4" t="e">
        <f ca="1">SQRT($B$9)*_xlfn.STDEV.S(AI1542:OFFSET(AI1542,$B$8-1,0))</f>
        <v>#DIV/0!</v>
      </c>
    </row>
    <row r="1543" spans="11:39" x14ac:dyDescent="0.2">
      <c r="K1543" s="3" t="e">
        <f t="shared" si="129"/>
        <v>#DIV/0!</v>
      </c>
      <c r="L1543" s="3" t="e">
        <f ca="1">SQRT(AVERAGE(K1543:OFFSET(K1543,$B$5-1,0))*$B$9/(4*LN(2)))</f>
        <v>#DIV/0!</v>
      </c>
      <c r="M1543" s="3" t="e">
        <f ca="1">SQRT(AVERAGE(K1543:OFFSET(K1543,$B$6-1,0))*$B$9/(4*LN(2)))</f>
        <v>#DIV/0!</v>
      </c>
      <c r="N1543" s="3" t="e">
        <f ca="1">SQRT(AVERAGE(K1543:OFFSET(K1543,$B$7-1,0))*$B$9/(4*LN(2)))</f>
        <v>#DIV/0!</v>
      </c>
      <c r="O1543" s="3" t="e">
        <f ca="1">SQRT(AVERAGE(K1543:OFFSET(K1543,$B$8-1,0))*$B$9/(4*LN(2)))</f>
        <v>#DIV/0!</v>
      </c>
      <c r="Q1543" s="5" t="e">
        <f t="shared" si="128"/>
        <v>#DIV/0!</v>
      </c>
      <c r="R1543" s="5" t="e">
        <f ca="1">SQRT($B$9*AVERAGE((Q1543:OFFSET(Q1543,$B$5-1,0))))</f>
        <v>#DIV/0!</v>
      </c>
      <c r="S1543" s="5" t="e">
        <f ca="1">SQRT($B$9*AVERAGE((Q1543:OFFSET(Q1543,$B$6-1,0))))</f>
        <v>#DIV/0!</v>
      </c>
      <c r="T1543" s="5" t="e">
        <f ca="1">SQRT($B$9*AVERAGE((Q1543:OFFSET(Q1543,$B$7-1,0))))</f>
        <v>#DIV/0!</v>
      </c>
      <c r="U1543" s="5" t="e">
        <f ca="1">SQRT($B$9*AVERAGE((Q1543:OFFSET(Q1543,$B$8-1,0))))</f>
        <v>#DIV/0!</v>
      </c>
      <c r="W1543" s="6" t="e">
        <f t="shared" si="127"/>
        <v>#DIV/0!</v>
      </c>
      <c r="X1543" s="6" t="e">
        <f ca="1">SQRT($B$9*AVERAGE(W1543:OFFSET(W1543,$B$5-1,0)))</f>
        <v>#DIV/0!</v>
      </c>
      <c r="Y1543" s="6" t="e">
        <f ca="1">SQRT($B$9*AVERAGE(W1543:OFFSET(W1543,$B$6-1,0)))</f>
        <v>#DIV/0!</v>
      </c>
      <c r="Z1543" s="6" t="e">
        <f ca="1">SQRT($B$9*AVERAGE(W1543:OFFSET(W1543,$B$7-1,0)))</f>
        <v>#DIV/0!</v>
      </c>
      <c r="AA1543" s="6" t="e">
        <f ca="1">SQRT($B$9*AVERAGE(W1543:OFFSET(W1543,$B$8-1,0)))</f>
        <v>#DIV/0!</v>
      </c>
      <c r="AC1543" s="34" t="e">
        <f t="shared" si="125"/>
        <v>#DIV/0!</v>
      </c>
      <c r="AD1543" s="34" t="e">
        <f ca="1">SQRT($B$9*SUM(AC1543:OFFSET(AC1543,$B$5-1,0))/($B$5-1))</f>
        <v>#DIV/0!</v>
      </c>
      <c r="AE1543" s="34" t="e">
        <f ca="1">SQRT($B$9*SUM(AC1543:OFFSET(AC1543,$B$6-1,0))/($B$6-1))</f>
        <v>#DIV/0!</v>
      </c>
      <c r="AF1543" s="34" t="e">
        <f ca="1">SQRT($B$9*SUM(AC1543:OFFSET(AC1543,$B$7-1,0))/($B$7-1))</f>
        <v>#DIV/0!</v>
      </c>
      <c r="AG1543" s="34" t="e">
        <f ca="1">SQRT($B$9*SUM(AC1543:OFFSET(AC1543,$B$8-1,0))/($B$8-1))</f>
        <v>#DIV/0!</v>
      </c>
      <c r="AI1543" s="1" t="e">
        <f t="shared" si="126"/>
        <v>#DIV/0!</v>
      </c>
      <c r="AJ1543" s="4" t="e">
        <f ca="1">SQRT($B$9)*_xlfn.STDEV.S(AI1543:OFFSET(AI1543,$B$5-1,0))</f>
        <v>#DIV/0!</v>
      </c>
      <c r="AK1543" s="4" t="e">
        <f ca="1">SQRT($B$9)*_xlfn.STDEV.S(AI1543:OFFSET(AI1543,$B$6-1,0))</f>
        <v>#DIV/0!</v>
      </c>
      <c r="AL1543" s="4" t="e">
        <f ca="1">SQRT($B$9)*_xlfn.STDEV.S(AI1543:OFFSET(AI1543,$B$7-1,0))</f>
        <v>#DIV/0!</v>
      </c>
      <c r="AM1543" s="4" t="e">
        <f ca="1">SQRT($B$9)*_xlfn.STDEV.S(AI1543:OFFSET(AI1543,$B$8-1,0))</f>
        <v>#DIV/0!</v>
      </c>
    </row>
    <row r="1544" spans="11:39" x14ac:dyDescent="0.2">
      <c r="K1544" s="3" t="e">
        <f t="shared" si="129"/>
        <v>#DIV/0!</v>
      </c>
      <c r="L1544" s="3" t="e">
        <f ca="1">SQRT(AVERAGE(K1544:OFFSET(K1544,$B$5-1,0))*$B$9/(4*LN(2)))</f>
        <v>#DIV/0!</v>
      </c>
      <c r="M1544" s="3" t="e">
        <f ca="1">SQRT(AVERAGE(K1544:OFFSET(K1544,$B$6-1,0))*$B$9/(4*LN(2)))</f>
        <v>#DIV/0!</v>
      </c>
      <c r="N1544" s="3" t="e">
        <f ca="1">SQRT(AVERAGE(K1544:OFFSET(K1544,$B$7-1,0))*$B$9/(4*LN(2)))</f>
        <v>#DIV/0!</v>
      </c>
      <c r="O1544" s="3" t="e">
        <f ca="1">SQRT(AVERAGE(K1544:OFFSET(K1544,$B$8-1,0))*$B$9/(4*LN(2)))</f>
        <v>#DIV/0!</v>
      </c>
      <c r="Q1544" s="5" t="e">
        <f t="shared" si="128"/>
        <v>#DIV/0!</v>
      </c>
      <c r="R1544" s="5" t="e">
        <f ca="1">SQRT($B$9*AVERAGE((Q1544:OFFSET(Q1544,$B$5-1,0))))</f>
        <v>#DIV/0!</v>
      </c>
      <c r="S1544" s="5" t="e">
        <f ca="1">SQRT($B$9*AVERAGE((Q1544:OFFSET(Q1544,$B$6-1,0))))</f>
        <v>#DIV/0!</v>
      </c>
      <c r="T1544" s="5" t="e">
        <f ca="1">SQRT($B$9*AVERAGE((Q1544:OFFSET(Q1544,$B$7-1,0))))</f>
        <v>#DIV/0!</v>
      </c>
      <c r="U1544" s="5" t="e">
        <f ca="1">SQRT($B$9*AVERAGE((Q1544:OFFSET(Q1544,$B$8-1,0))))</f>
        <v>#DIV/0!</v>
      </c>
      <c r="W1544" s="6" t="e">
        <f t="shared" si="127"/>
        <v>#DIV/0!</v>
      </c>
      <c r="X1544" s="6" t="e">
        <f ca="1">SQRT($B$9*AVERAGE(W1544:OFFSET(W1544,$B$5-1,0)))</f>
        <v>#DIV/0!</v>
      </c>
      <c r="Y1544" s="6" t="e">
        <f ca="1">SQRT($B$9*AVERAGE(W1544:OFFSET(W1544,$B$6-1,0)))</f>
        <v>#DIV/0!</v>
      </c>
      <c r="Z1544" s="6" t="e">
        <f ca="1">SQRT($B$9*AVERAGE(W1544:OFFSET(W1544,$B$7-1,0)))</f>
        <v>#DIV/0!</v>
      </c>
      <c r="AA1544" s="6" t="e">
        <f ca="1">SQRT($B$9*AVERAGE(W1544:OFFSET(W1544,$B$8-1,0)))</f>
        <v>#DIV/0!</v>
      </c>
      <c r="AC1544" s="34" t="e">
        <f t="shared" si="125"/>
        <v>#DIV/0!</v>
      </c>
      <c r="AD1544" s="34" t="e">
        <f ca="1">SQRT($B$9*SUM(AC1544:OFFSET(AC1544,$B$5-1,0))/($B$5-1))</f>
        <v>#DIV/0!</v>
      </c>
      <c r="AE1544" s="34" t="e">
        <f ca="1">SQRT($B$9*SUM(AC1544:OFFSET(AC1544,$B$6-1,0))/($B$6-1))</f>
        <v>#DIV/0!</v>
      </c>
      <c r="AF1544" s="34" t="e">
        <f ca="1">SQRT($B$9*SUM(AC1544:OFFSET(AC1544,$B$7-1,0))/($B$7-1))</f>
        <v>#DIV/0!</v>
      </c>
      <c r="AG1544" s="34" t="e">
        <f ca="1">SQRT($B$9*SUM(AC1544:OFFSET(AC1544,$B$8-1,0))/($B$8-1))</f>
        <v>#DIV/0!</v>
      </c>
      <c r="AI1544" s="1" t="e">
        <f t="shared" si="126"/>
        <v>#DIV/0!</v>
      </c>
      <c r="AJ1544" s="4" t="e">
        <f ca="1">SQRT($B$9)*_xlfn.STDEV.S(AI1544:OFFSET(AI1544,$B$5-1,0))</f>
        <v>#DIV/0!</v>
      </c>
      <c r="AK1544" s="4" t="e">
        <f ca="1">SQRT($B$9)*_xlfn.STDEV.S(AI1544:OFFSET(AI1544,$B$6-1,0))</f>
        <v>#DIV/0!</v>
      </c>
      <c r="AL1544" s="4" t="e">
        <f ca="1">SQRT($B$9)*_xlfn.STDEV.S(AI1544:OFFSET(AI1544,$B$7-1,0))</f>
        <v>#DIV/0!</v>
      </c>
      <c r="AM1544" s="4" t="e">
        <f ca="1">SQRT($B$9)*_xlfn.STDEV.S(AI1544:OFFSET(AI1544,$B$8-1,0))</f>
        <v>#DIV/0!</v>
      </c>
    </row>
    <row r="1545" spans="11:39" x14ac:dyDescent="0.2">
      <c r="K1545" s="3" t="e">
        <f t="shared" si="129"/>
        <v>#DIV/0!</v>
      </c>
      <c r="L1545" s="3" t="e">
        <f ca="1">SQRT(AVERAGE(K1545:OFFSET(K1545,$B$5-1,0))*$B$9/(4*LN(2)))</f>
        <v>#DIV/0!</v>
      </c>
      <c r="M1545" s="3" t="e">
        <f ca="1">SQRT(AVERAGE(K1545:OFFSET(K1545,$B$6-1,0))*$B$9/(4*LN(2)))</f>
        <v>#DIV/0!</v>
      </c>
      <c r="N1545" s="3" t="e">
        <f ca="1">SQRT(AVERAGE(K1545:OFFSET(K1545,$B$7-1,0))*$B$9/(4*LN(2)))</f>
        <v>#DIV/0!</v>
      </c>
      <c r="O1545" s="3" t="e">
        <f ca="1">SQRT(AVERAGE(K1545:OFFSET(K1545,$B$8-1,0))*$B$9/(4*LN(2)))</f>
        <v>#DIV/0!</v>
      </c>
      <c r="Q1545" s="5" t="e">
        <f t="shared" si="128"/>
        <v>#DIV/0!</v>
      </c>
      <c r="R1545" s="5" t="e">
        <f ca="1">SQRT($B$9*AVERAGE((Q1545:OFFSET(Q1545,$B$5-1,0))))</f>
        <v>#DIV/0!</v>
      </c>
      <c r="S1545" s="5" t="e">
        <f ca="1">SQRT($B$9*AVERAGE((Q1545:OFFSET(Q1545,$B$6-1,0))))</f>
        <v>#DIV/0!</v>
      </c>
      <c r="T1545" s="5" t="e">
        <f ca="1">SQRT($B$9*AVERAGE((Q1545:OFFSET(Q1545,$B$7-1,0))))</f>
        <v>#DIV/0!</v>
      </c>
      <c r="U1545" s="5" t="e">
        <f ca="1">SQRT($B$9*AVERAGE((Q1545:OFFSET(Q1545,$B$8-1,0))))</f>
        <v>#DIV/0!</v>
      </c>
      <c r="W1545" s="6" t="e">
        <f t="shared" si="127"/>
        <v>#DIV/0!</v>
      </c>
      <c r="X1545" s="6" t="e">
        <f ca="1">SQRT($B$9*AVERAGE(W1545:OFFSET(W1545,$B$5-1,0)))</f>
        <v>#DIV/0!</v>
      </c>
      <c r="Y1545" s="6" t="e">
        <f ca="1">SQRT($B$9*AVERAGE(W1545:OFFSET(W1545,$B$6-1,0)))</f>
        <v>#DIV/0!</v>
      </c>
      <c r="Z1545" s="6" t="e">
        <f ca="1">SQRT($B$9*AVERAGE(W1545:OFFSET(W1545,$B$7-1,0)))</f>
        <v>#DIV/0!</v>
      </c>
      <c r="AA1545" s="6" t="e">
        <f ca="1">SQRT($B$9*AVERAGE(W1545:OFFSET(W1545,$B$8-1,0)))</f>
        <v>#DIV/0!</v>
      </c>
      <c r="AC1545" s="34" t="e">
        <f t="shared" si="125"/>
        <v>#DIV/0!</v>
      </c>
      <c r="AD1545" s="34" t="e">
        <f ca="1">SQRT($B$9*SUM(AC1545:OFFSET(AC1545,$B$5-1,0))/($B$5-1))</f>
        <v>#DIV/0!</v>
      </c>
      <c r="AE1545" s="34" t="e">
        <f ca="1">SQRT($B$9*SUM(AC1545:OFFSET(AC1545,$B$6-1,0))/($B$6-1))</f>
        <v>#DIV/0!</v>
      </c>
      <c r="AF1545" s="34" t="e">
        <f ca="1">SQRT($B$9*SUM(AC1545:OFFSET(AC1545,$B$7-1,0))/($B$7-1))</f>
        <v>#DIV/0!</v>
      </c>
      <c r="AG1545" s="34" t="e">
        <f ca="1">SQRT($B$9*SUM(AC1545:OFFSET(AC1545,$B$8-1,0))/($B$8-1))</f>
        <v>#DIV/0!</v>
      </c>
      <c r="AI1545" s="1" t="e">
        <f t="shared" si="126"/>
        <v>#DIV/0!</v>
      </c>
      <c r="AJ1545" s="4" t="e">
        <f ca="1">SQRT($B$9)*_xlfn.STDEV.S(AI1545:OFFSET(AI1545,$B$5-1,0))</f>
        <v>#DIV/0!</v>
      </c>
      <c r="AK1545" s="4" t="e">
        <f ca="1">SQRT($B$9)*_xlfn.STDEV.S(AI1545:OFFSET(AI1545,$B$6-1,0))</f>
        <v>#DIV/0!</v>
      </c>
      <c r="AL1545" s="4" t="e">
        <f ca="1">SQRT($B$9)*_xlfn.STDEV.S(AI1545:OFFSET(AI1545,$B$7-1,0))</f>
        <v>#DIV/0!</v>
      </c>
      <c r="AM1545" s="4" t="e">
        <f ca="1">SQRT($B$9)*_xlfn.STDEV.S(AI1545:OFFSET(AI1545,$B$8-1,0))</f>
        <v>#DIV/0!</v>
      </c>
    </row>
    <row r="1546" spans="11:39" x14ac:dyDescent="0.2">
      <c r="K1546" s="3" t="e">
        <f t="shared" si="129"/>
        <v>#DIV/0!</v>
      </c>
      <c r="L1546" s="3" t="e">
        <f ca="1">SQRT(AVERAGE(K1546:OFFSET(K1546,$B$5-1,0))*$B$9/(4*LN(2)))</f>
        <v>#DIV/0!</v>
      </c>
      <c r="M1546" s="3" t="e">
        <f ca="1">SQRT(AVERAGE(K1546:OFFSET(K1546,$B$6-1,0))*$B$9/(4*LN(2)))</f>
        <v>#DIV/0!</v>
      </c>
      <c r="N1546" s="3" t="e">
        <f ca="1">SQRT(AVERAGE(K1546:OFFSET(K1546,$B$7-1,0))*$B$9/(4*LN(2)))</f>
        <v>#DIV/0!</v>
      </c>
      <c r="O1546" s="3" t="e">
        <f ca="1">SQRT(AVERAGE(K1546:OFFSET(K1546,$B$8-1,0))*$B$9/(4*LN(2)))</f>
        <v>#DIV/0!</v>
      </c>
      <c r="Q1546" s="5" t="e">
        <f t="shared" si="128"/>
        <v>#DIV/0!</v>
      </c>
      <c r="R1546" s="5" t="e">
        <f ca="1">SQRT($B$9*AVERAGE((Q1546:OFFSET(Q1546,$B$5-1,0))))</f>
        <v>#DIV/0!</v>
      </c>
      <c r="S1546" s="5" t="e">
        <f ca="1">SQRT($B$9*AVERAGE((Q1546:OFFSET(Q1546,$B$6-1,0))))</f>
        <v>#DIV/0!</v>
      </c>
      <c r="T1546" s="5" t="e">
        <f ca="1">SQRT($B$9*AVERAGE((Q1546:OFFSET(Q1546,$B$7-1,0))))</f>
        <v>#DIV/0!</v>
      </c>
      <c r="U1546" s="5" t="e">
        <f ca="1">SQRT($B$9*AVERAGE((Q1546:OFFSET(Q1546,$B$8-1,0))))</f>
        <v>#DIV/0!</v>
      </c>
      <c r="W1546" s="6" t="e">
        <f t="shared" si="127"/>
        <v>#DIV/0!</v>
      </c>
      <c r="X1546" s="6" t="e">
        <f ca="1">SQRT($B$9*AVERAGE(W1546:OFFSET(W1546,$B$5-1,0)))</f>
        <v>#DIV/0!</v>
      </c>
      <c r="Y1546" s="6" t="e">
        <f ca="1">SQRT($B$9*AVERAGE(W1546:OFFSET(W1546,$B$6-1,0)))</f>
        <v>#DIV/0!</v>
      </c>
      <c r="Z1546" s="6" t="e">
        <f ca="1">SQRT($B$9*AVERAGE(W1546:OFFSET(W1546,$B$7-1,0)))</f>
        <v>#DIV/0!</v>
      </c>
      <c r="AA1546" s="6" t="e">
        <f ca="1">SQRT($B$9*AVERAGE(W1546:OFFSET(W1546,$B$8-1,0)))</f>
        <v>#DIV/0!</v>
      </c>
      <c r="AC1546" s="34" t="e">
        <f t="shared" si="125"/>
        <v>#DIV/0!</v>
      </c>
      <c r="AD1546" s="34" t="e">
        <f ca="1">SQRT($B$9*SUM(AC1546:OFFSET(AC1546,$B$5-1,0))/($B$5-1))</f>
        <v>#DIV/0!</v>
      </c>
      <c r="AE1546" s="34" t="e">
        <f ca="1">SQRT($B$9*SUM(AC1546:OFFSET(AC1546,$B$6-1,0))/($B$6-1))</f>
        <v>#DIV/0!</v>
      </c>
      <c r="AF1546" s="34" t="e">
        <f ca="1">SQRT($B$9*SUM(AC1546:OFFSET(AC1546,$B$7-1,0))/($B$7-1))</f>
        <v>#DIV/0!</v>
      </c>
      <c r="AG1546" s="34" t="e">
        <f ca="1">SQRT($B$9*SUM(AC1546:OFFSET(AC1546,$B$8-1,0))/($B$8-1))</f>
        <v>#DIV/0!</v>
      </c>
      <c r="AI1546" s="1" t="e">
        <f t="shared" si="126"/>
        <v>#DIV/0!</v>
      </c>
      <c r="AJ1546" s="4" t="e">
        <f ca="1">SQRT($B$9)*_xlfn.STDEV.S(AI1546:OFFSET(AI1546,$B$5-1,0))</f>
        <v>#DIV/0!</v>
      </c>
      <c r="AK1546" s="4" t="e">
        <f ca="1">SQRT($B$9)*_xlfn.STDEV.S(AI1546:OFFSET(AI1546,$B$6-1,0))</f>
        <v>#DIV/0!</v>
      </c>
      <c r="AL1546" s="4" t="e">
        <f ca="1">SQRT($B$9)*_xlfn.STDEV.S(AI1546:OFFSET(AI1546,$B$7-1,0))</f>
        <v>#DIV/0!</v>
      </c>
      <c r="AM1546" s="4" t="e">
        <f ca="1">SQRT($B$9)*_xlfn.STDEV.S(AI1546:OFFSET(AI1546,$B$8-1,0))</f>
        <v>#DIV/0!</v>
      </c>
    </row>
    <row r="1547" spans="11:39" x14ac:dyDescent="0.2">
      <c r="K1547" s="3" t="e">
        <f t="shared" si="129"/>
        <v>#DIV/0!</v>
      </c>
      <c r="L1547" s="3" t="e">
        <f ca="1">SQRT(AVERAGE(K1547:OFFSET(K1547,$B$5-1,0))*$B$9/(4*LN(2)))</f>
        <v>#DIV/0!</v>
      </c>
      <c r="M1547" s="3" t="e">
        <f ca="1">SQRT(AVERAGE(K1547:OFFSET(K1547,$B$6-1,0))*$B$9/(4*LN(2)))</f>
        <v>#DIV/0!</v>
      </c>
      <c r="N1547" s="3" t="e">
        <f ca="1">SQRT(AVERAGE(K1547:OFFSET(K1547,$B$7-1,0))*$B$9/(4*LN(2)))</f>
        <v>#DIV/0!</v>
      </c>
      <c r="O1547" s="3" t="e">
        <f ca="1">SQRT(AVERAGE(K1547:OFFSET(K1547,$B$8-1,0))*$B$9/(4*LN(2)))</f>
        <v>#DIV/0!</v>
      </c>
      <c r="Q1547" s="5" t="e">
        <f t="shared" si="128"/>
        <v>#DIV/0!</v>
      </c>
      <c r="R1547" s="5" t="e">
        <f ca="1">SQRT($B$9*AVERAGE((Q1547:OFFSET(Q1547,$B$5-1,0))))</f>
        <v>#DIV/0!</v>
      </c>
      <c r="S1547" s="5" t="e">
        <f ca="1">SQRT($B$9*AVERAGE((Q1547:OFFSET(Q1547,$B$6-1,0))))</f>
        <v>#DIV/0!</v>
      </c>
      <c r="T1547" s="5" t="e">
        <f ca="1">SQRT($B$9*AVERAGE((Q1547:OFFSET(Q1547,$B$7-1,0))))</f>
        <v>#DIV/0!</v>
      </c>
      <c r="U1547" s="5" t="e">
        <f ca="1">SQRT($B$9*AVERAGE((Q1547:OFFSET(Q1547,$B$8-1,0))))</f>
        <v>#DIV/0!</v>
      </c>
      <c r="W1547" s="6" t="e">
        <f t="shared" si="127"/>
        <v>#DIV/0!</v>
      </c>
      <c r="X1547" s="6" t="e">
        <f ca="1">SQRT($B$9*AVERAGE(W1547:OFFSET(W1547,$B$5-1,0)))</f>
        <v>#DIV/0!</v>
      </c>
      <c r="Y1547" s="6" t="e">
        <f ca="1">SQRT($B$9*AVERAGE(W1547:OFFSET(W1547,$B$6-1,0)))</f>
        <v>#DIV/0!</v>
      </c>
      <c r="Z1547" s="6" t="e">
        <f ca="1">SQRT($B$9*AVERAGE(W1547:OFFSET(W1547,$B$7-1,0)))</f>
        <v>#DIV/0!</v>
      </c>
      <c r="AA1547" s="6" t="e">
        <f ca="1">SQRT($B$9*AVERAGE(W1547:OFFSET(W1547,$B$8-1,0)))</f>
        <v>#DIV/0!</v>
      </c>
      <c r="AC1547" s="34" t="e">
        <f t="shared" si="125"/>
        <v>#DIV/0!</v>
      </c>
      <c r="AD1547" s="34" t="e">
        <f ca="1">SQRT($B$9*SUM(AC1547:OFFSET(AC1547,$B$5-1,0))/($B$5-1))</f>
        <v>#DIV/0!</v>
      </c>
      <c r="AE1547" s="34" t="e">
        <f ca="1">SQRT($B$9*SUM(AC1547:OFFSET(AC1547,$B$6-1,0))/($B$6-1))</f>
        <v>#DIV/0!</v>
      </c>
      <c r="AF1547" s="34" t="e">
        <f ca="1">SQRT($B$9*SUM(AC1547:OFFSET(AC1547,$B$7-1,0))/($B$7-1))</f>
        <v>#DIV/0!</v>
      </c>
      <c r="AG1547" s="34" t="e">
        <f ca="1">SQRT($B$9*SUM(AC1547:OFFSET(AC1547,$B$8-1,0))/($B$8-1))</f>
        <v>#DIV/0!</v>
      </c>
      <c r="AI1547" s="1" t="e">
        <f t="shared" si="126"/>
        <v>#DIV/0!</v>
      </c>
      <c r="AJ1547" s="4" t="e">
        <f ca="1">SQRT($B$9)*_xlfn.STDEV.S(AI1547:OFFSET(AI1547,$B$5-1,0))</f>
        <v>#DIV/0!</v>
      </c>
      <c r="AK1547" s="4" t="e">
        <f ca="1">SQRT($B$9)*_xlfn.STDEV.S(AI1547:OFFSET(AI1547,$B$6-1,0))</f>
        <v>#DIV/0!</v>
      </c>
      <c r="AL1547" s="4" t="e">
        <f ca="1">SQRT($B$9)*_xlfn.STDEV.S(AI1547:OFFSET(AI1547,$B$7-1,0))</f>
        <v>#DIV/0!</v>
      </c>
      <c r="AM1547" s="4" t="e">
        <f ca="1">SQRT($B$9)*_xlfn.STDEV.S(AI1547:OFFSET(AI1547,$B$8-1,0))</f>
        <v>#DIV/0!</v>
      </c>
    </row>
    <row r="1548" spans="11:39" x14ac:dyDescent="0.2">
      <c r="K1548" s="3" t="e">
        <f t="shared" si="129"/>
        <v>#DIV/0!</v>
      </c>
      <c r="L1548" s="3" t="e">
        <f ca="1">SQRT(AVERAGE(K1548:OFFSET(K1548,$B$5-1,0))*$B$9/(4*LN(2)))</f>
        <v>#DIV/0!</v>
      </c>
      <c r="M1548" s="3" t="e">
        <f ca="1">SQRT(AVERAGE(K1548:OFFSET(K1548,$B$6-1,0))*$B$9/(4*LN(2)))</f>
        <v>#DIV/0!</v>
      </c>
      <c r="N1548" s="3" t="e">
        <f ca="1">SQRT(AVERAGE(K1548:OFFSET(K1548,$B$7-1,0))*$B$9/(4*LN(2)))</f>
        <v>#DIV/0!</v>
      </c>
      <c r="O1548" s="3" t="e">
        <f ca="1">SQRT(AVERAGE(K1548:OFFSET(K1548,$B$8-1,0))*$B$9/(4*LN(2)))</f>
        <v>#DIV/0!</v>
      </c>
      <c r="Q1548" s="5" t="e">
        <f t="shared" si="128"/>
        <v>#DIV/0!</v>
      </c>
      <c r="R1548" s="5" t="e">
        <f ca="1">SQRT($B$9*AVERAGE((Q1548:OFFSET(Q1548,$B$5-1,0))))</f>
        <v>#DIV/0!</v>
      </c>
      <c r="S1548" s="5" t="e">
        <f ca="1">SQRT($B$9*AVERAGE((Q1548:OFFSET(Q1548,$B$6-1,0))))</f>
        <v>#DIV/0!</v>
      </c>
      <c r="T1548" s="5" t="e">
        <f ca="1">SQRT($B$9*AVERAGE((Q1548:OFFSET(Q1548,$B$7-1,0))))</f>
        <v>#DIV/0!</v>
      </c>
      <c r="U1548" s="5" t="e">
        <f ca="1">SQRT($B$9*AVERAGE((Q1548:OFFSET(Q1548,$B$8-1,0))))</f>
        <v>#DIV/0!</v>
      </c>
      <c r="W1548" s="6" t="e">
        <f t="shared" si="127"/>
        <v>#DIV/0!</v>
      </c>
      <c r="X1548" s="6" t="e">
        <f ca="1">SQRT($B$9*AVERAGE(W1548:OFFSET(W1548,$B$5-1,0)))</f>
        <v>#DIV/0!</v>
      </c>
      <c r="Y1548" s="6" t="e">
        <f ca="1">SQRT($B$9*AVERAGE(W1548:OFFSET(W1548,$B$6-1,0)))</f>
        <v>#DIV/0!</v>
      </c>
      <c r="Z1548" s="6" t="e">
        <f ca="1">SQRT($B$9*AVERAGE(W1548:OFFSET(W1548,$B$7-1,0)))</f>
        <v>#DIV/0!</v>
      </c>
      <c r="AA1548" s="6" t="e">
        <f ca="1">SQRT($B$9*AVERAGE(W1548:OFFSET(W1548,$B$8-1,0)))</f>
        <v>#DIV/0!</v>
      </c>
      <c r="AC1548" s="34" t="e">
        <f t="shared" si="125"/>
        <v>#DIV/0!</v>
      </c>
      <c r="AD1548" s="34" t="e">
        <f ca="1">SQRT($B$9*SUM(AC1548:OFFSET(AC1548,$B$5-1,0))/($B$5-1))</f>
        <v>#DIV/0!</v>
      </c>
      <c r="AE1548" s="34" t="e">
        <f ca="1">SQRT($B$9*SUM(AC1548:OFFSET(AC1548,$B$6-1,0))/($B$6-1))</f>
        <v>#DIV/0!</v>
      </c>
      <c r="AF1548" s="34" t="e">
        <f ca="1">SQRT($B$9*SUM(AC1548:OFFSET(AC1548,$B$7-1,0))/($B$7-1))</f>
        <v>#DIV/0!</v>
      </c>
      <c r="AG1548" s="34" t="e">
        <f ca="1">SQRT($B$9*SUM(AC1548:OFFSET(AC1548,$B$8-1,0))/($B$8-1))</f>
        <v>#DIV/0!</v>
      </c>
      <c r="AI1548" s="1" t="e">
        <f t="shared" si="126"/>
        <v>#DIV/0!</v>
      </c>
      <c r="AJ1548" s="4" t="e">
        <f ca="1">SQRT($B$9)*_xlfn.STDEV.S(AI1548:OFFSET(AI1548,$B$5-1,0))</f>
        <v>#DIV/0!</v>
      </c>
      <c r="AK1548" s="4" t="e">
        <f ca="1">SQRT($B$9)*_xlfn.STDEV.S(AI1548:OFFSET(AI1548,$B$6-1,0))</f>
        <v>#DIV/0!</v>
      </c>
      <c r="AL1548" s="4" t="e">
        <f ca="1">SQRT($B$9)*_xlfn.STDEV.S(AI1548:OFFSET(AI1548,$B$7-1,0))</f>
        <v>#DIV/0!</v>
      </c>
      <c r="AM1548" s="4" t="e">
        <f ca="1">SQRT($B$9)*_xlfn.STDEV.S(AI1548:OFFSET(AI1548,$B$8-1,0))</f>
        <v>#DIV/0!</v>
      </c>
    </row>
    <row r="1549" spans="11:39" x14ac:dyDescent="0.2">
      <c r="K1549" s="3" t="e">
        <f t="shared" si="129"/>
        <v>#DIV/0!</v>
      </c>
      <c r="L1549" s="3" t="e">
        <f ca="1">SQRT(AVERAGE(K1549:OFFSET(K1549,$B$5-1,0))*$B$9/(4*LN(2)))</f>
        <v>#DIV/0!</v>
      </c>
      <c r="M1549" s="3" t="e">
        <f ca="1">SQRT(AVERAGE(K1549:OFFSET(K1549,$B$6-1,0))*$B$9/(4*LN(2)))</f>
        <v>#DIV/0!</v>
      </c>
      <c r="N1549" s="3" t="e">
        <f ca="1">SQRT(AVERAGE(K1549:OFFSET(K1549,$B$7-1,0))*$B$9/(4*LN(2)))</f>
        <v>#DIV/0!</v>
      </c>
      <c r="O1549" s="3" t="e">
        <f ca="1">SQRT(AVERAGE(K1549:OFFSET(K1549,$B$8-1,0))*$B$9/(4*LN(2)))</f>
        <v>#DIV/0!</v>
      </c>
      <c r="Q1549" s="5" t="e">
        <f t="shared" si="128"/>
        <v>#DIV/0!</v>
      </c>
      <c r="R1549" s="5" t="e">
        <f ca="1">SQRT($B$9*AVERAGE((Q1549:OFFSET(Q1549,$B$5-1,0))))</f>
        <v>#DIV/0!</v>
      </c>
      <c r="S1549" s="5" t="e">
        <f ca="1">SQRT($B$9*AVERAGE((Q1549:OFFSET(Q1549,$B$6-1,0))))</f>
        <v>#DIV/0!</v>
      </c>
      <c r="T1549" s="5" t="e">
        <f ca="1">SQRT($B$9*AVERAGE((Q1549:OFFSET(Q1549,$B$7-1,0))))</f>
        <v>#DIV/0!</v>
      </c>
      <c r="U1549" s="5" t="e">
        <f ca="1">SQRT($B$9*AVERAGE((Q1549:OFFSET(Q1549,$B$8-1,0))))</f>
        <v>#DIV/0!</v>
      </c>
      <c r="W1549" s="6" t="e">
        <f t="shared" si="127"/>
        <v>#DIV/0!</v>
      </c>
      <c r="X1549" s="6" t="e">
        <f ca="1">SQRT($B$9*AVERAGE(W1549:OFFSET(W1549,$B$5-1,0)))</f>
        <v>#DIV/0!</v>
      </c>
      <c r="Y1549" s="6" t="e">
        <f ca="1">SQRT($B$9*AVERAGE(W1549:OFFSET(W1549,$B$6-1,0)))</f>
        <v>#DIV/0!</v>
      </c>
      <c r="Z1549" s="6" t="e">
        <f ca="1">SQRT($B$9*AVERAGE(W1549:OFFSET(W1549,$B$7-1,0)))</f>
        <v>#DIV/0!</v>
      </c>
      <c r="AA1549" s="6" t="e">
        <f ca="1">SQRT($B$9*AVERAGE(W1549:OFFSET(W1549,$B$8-1,0)))</f>
        <v>#DIV/0!</v>
      </c>
      <c r="AC1549" s="34" t="e">
        <f t="shared" si="125"/>
        <v>#DIV/0!</v>
      </c>
      <c r="AD1549" s="34" t="e">
        <f ca="1">SQRT($B$9*SUM(AC1549:OFFSET(AC1549,$B$5-1,0))/($B$5-1))</f>
        <v>#DIV/0!</v>
      </c>
      <c r="AE1549" s="34" t="e">
        <f ca="1">SQRT($B$9*SUM(AC1549:OFFSET(AC1549,$B$6-1,0))/($B$6-1))</f>
        <v>#DIV/0!</v>
      </c>
      <c r="AF1549" s="34" t="e">
        <f ca="1">SQRT($B$9*SUM(AC1549:OFFSET(AC1549,$B$7-1,0))/($B$7-1))</f>
        <v>#DIV/0!</v>
      </c>
      <c r="AG1549" s="34" t="e">
        <f ca="1">SQRT($B$9*SUM(AC1549:OFFSET(AC1549,$B$8-1,0))/($B$8-1))</f>
        <v>#DIV/0!</v>
      </c>
      <c r="AI1549" s="1" t="e">
        <f t="shared" si="126"/>
        <v>#DIV/0!</v>
      </c>
      <c r="AJ1549" s="4" t="e">
        <f ca="1">SQRT($B$9)*_xlfn.STDEV.S(AI1549:OFFSET(AI1549,$B$5-1,0))</f>
        <v>#DIV/0!</v>
      </c>
      <c r="AK1549" s="4" t="e">
        <f ca="1">SQRT($B$9)*_xlfn.STDEV.S(AI1549:OFFSET(AI1549,$B$6-1,0))</f>
        <v>#DIV/0!</v>
      </c>
      <c r="AL1549" s="4" t="e">
        <f ca="1">SQRT($B$9)*_xlfn.STDEV.S(AI1549:OFFSET(AI1549,$B$7-1,0))</f>
        <v>#DIV/0!</v>
      </c>
      <c r="AM1549" s="4" t="e">
        <f ca="1">SQRT($B$9)*_xlfn.STDEV.S(AI1549:OFFSET(AI1549,$B$8-1,0))</f>
        <v>#DIV/0!</v>
      </c>
    </row>
    <row r="1550" spans="11:39" x14ac:dyDescent="0.2">
      <c r="K1550" s="3" t="e">
        <f t="shared" si="129"/>
        <v>#DIV/0!</v>
      </c>
      <c r="L1550" s="3" t="e">
        <f ca="1">SQRT(AVERAGE(K1550:OFFSET(K1550,$B$5-1,0))*$B$9/(4*LN(2)))</f>
        <v>#DIV/0!</v>
      </c>
      <c r="M1550" s="3" t="e">
        <f ca="1">SQRT(AVERAGE(K1550:OFFSET(K1550,$B$6-1,0))*$B$9/(4*LN(2)))</f>
        <v>#DIV/0!</v>
      </c>
      <c r="N1550" s="3" t="e">
        <f ca="1">SQRT(AVERAGE(K1550:OFFSET(K1550,$B$7-1,0))*$B$9/(4*LN(2)))</f>
        <v>#DIV/0!</v>
      </c>
      <c r="O1550" s="3" t="e">
        <f ca="1">SQRT(AVERAGE(K1550:OFFSET(K1550,$B$8-1,0))*$B$9/(4*LN(2)))</f>
        <v>#DIV/0!</v>
      </c>
      <c r="Q1550" s="5" t="e">
        <f t="shared" si="128"/>
        <v>#DIV/0!</v>
      </c>
      <c r="R1550" s="5" t="e">
        <f ca="1">SQRT($B$9*AVERAGE((Q1550:OFFSET(Q1550,$B$5-1,0))))</f>
        <v>#DIV/0!</v>
      </c>
      <c r="S1550" s="5" t="e">
        <f ca="1">SQRT($B$9*AVERAGE((Q1550:OFFSET(Q1550,$B$6-1,0))))</f>
        <v>#DIV/0!</v>
      </c>
      <c r="T1550" s="5" t="e">
        <f ca="1">SQRT($B$9*AVERAGE((Q1550:OFFSET(Q1550,$B$7-1,0))))</f>
        <v>#DIV/0!</v>
      </c>
      <c r="U1550" s="5" t="e">
        <f ca="1">SQRT($B$9*AVERAGE((Q1550:OFFSET(Q1550,$B$8-1,0))))</f>
        <v>#DIV/0!</v>
      </c>
      <c r="W1550" s="6" t="e">
        <f t="shared" si="127"/>
        <v>#DIV/0!</v>
      </c>
      <c r="X1550" s="6" t="e">
        <f ca="1">SQRT($B$9*AVERAGE(W1550:OFFSET(W1550,$B$5-1,0)))</f>
        <v>#DIV/0!</v>
      </c>
      <c r="Y1550" s="6" t="e">
        <f ca="1">SQRT($B$9*AVERAGE(W1550:OFFSET(W1550,$B$6-1,0)))</f>
        <v>#DIV/0!</v>
      </c>
      <c r="Z1550" s="6" t="e">
        <f ca="1">SQRT($B$9*AVERAGE(W1550:OFFSET(W1550,$B$7-1,0)))</f>
        <v>#DIV/0!</v>
      </c>
      <c r="AA1550" s="6" t="e">
        <f ca="1">SQRT($B$9*AVERAGE(W1550:OFFSET(W1550,$B$8-1,0)))</f>
        <v>#DIV/0!</v>
      </c>
      <c r="AC1550" s="34" t="e">
        <f t="shared" si="125"/>
        <v>#DIV/0!</v>
      </c>
      <c r="AD1550" s="34" t="e">
        <f ca="1">SQRT($B$9*SUM(AC1550:OFFSET(AC1550,$B$5-1,0))/($B$5-1))</f>
        <v>#DIV/0!</v>
      </c>
      <c r="AE1550" s="34" t="e">
        <f ca="1">SQRT($B$9*SUM(AC1550:OFFSET(AC1550,$B$6-1,0))/($B$6-1))</f>
        <v>#DIV/0!</v>
      </c>
      <c r="AF1550" s="34" t="e">
        <f ca="1">SQRT($B$9*SUM(AC1550:OFFSET(AC1550,$B$7-1,0))/($B$7-1))</f>
        <v>#DIV/0!</v>
      </c>
      <c r="AG1550" s="34" t="e">
        <f ca="1">SQRT($B$9*SUM(AC1550:OFFSET(AC1550,$B$8-1,0))/($B$8-1))</f>
        <v>#DIV/0!</v>
      </c>
      <c r="AI1550" s="1" t="e">
        <f t="shared" si="126"/>
        <v>#DIV/0!</v>
      </c>
      <c r="AJ1550" s="4" t="e">
        <f ca="1">SQRT($B$9)*_xlfn.STDEV.S(AI1550:OFFSET(AI1550,$B$5-1,0))</f>
        <v>#DIV/0!</v>
      </c>
      <c r="AK1550" s="4" t="e">
        <f ca="1">SQRT($B$9)*_xlfn.STDEV.S(AI1550:OFFSET(AI1550,$B$6-1,0))</f>
        <v>#DIV/0!</v>
      </c>
      <c r="AL1550" s="4" t="e">
        <f ca="1">SQRT($B$9)*_xlfn.STDEV.S(AI1550:OFFSET(AI1550,$B$7-1,0))</f>
        <v>#DIV/0!</v>
      </c>
      <c r="AM1550" s="4" t="e">
        <f ca="1">SQRT($B$9)*_xlfn.STDEV.S(AI1550:OFFSET(AI1550,$B$8-1,0))</f>
        <v>#DIV/0!</v>
      </c>
    </row>
    <row r="1551" spans="11:39" x14ac:dyDescent="0.2">
      <c r="K1551" s="3" t="e">
        <f t="shared" si="129"/>
        <v>#DIV/0!</v>
      </c>
      <c r="L1551" s="3" t="e">
        <f ca="1">SQRT(AVERAGE(K1551:OFFSET(K1551,$B$5-1,0))*$B$9/(4*LN(2)))</f>
        <v>#DIV/0!</v>
      </c>
      <c r="M1551" s="3" t="e">
        <f ca="1">SQRT(AVERAGE(K1551:OFFSET(K1551,$B$6-1,0))*$B$9/(4*LN(2)))</f>
        <v>#DIV/0!</v>
      </c>
      <c r="N1551" s="3" t="e">
        <f ca="1">SQRT(AVERAGE(K1551:OFFSET(K1551,$B$7-1,0))*$B$9/(4*LN(2)))</f>
        <v>#DIV/0!</v>
      </c>
      <c r="O1551" s="3" t="e">
        <f ca="1">SQRT(AVERAGE(K1551:OFFSET(K1551,$B$8-1,0))*$B$9/(4*LN(2)))</f>
        <v>#DIV/0!</v>
      </c>
      <c r="Q1551" s="5" t="e">
        <f t="shared" si="128"/>
        <v>#DIV/0!</v>
      </c>
      <c r="R1551" s="5" t="e">
        <f ca="1">SQRT($B$9*AVERAGE((Q1551:OFFSET(Q1551,$B$5-1,0))))</f>
        <v>#DIV/0!</v>
      </c>
      <c r="S1551" s="5" t="e">
        <f ca="1">SQRT($B$9*AVERAGE((Q1551:OFFSET(Q1551,$B$6-1,0))))</f>
        <v>#DIV/0!</v>
      </c>
      <c r="T1551" s="5" t="e">
        <f ca="1">SQRT($B$9*AVERAGE((Q1551:OFFSET(Q1551,$B$7-1,0))))</f>
        <v>#DIV/0!</v>
      </c>
      <c r="U1551" s="5" t="e">
        <f ca="1">SQRT($B$9*AVERAGE((Q1551:OFFSET(Q1551,$B$8-1,0))))</f>
        <v>#DIV/0!</v>
      </c>
      <c r="W1551" s="6" t="e">
        <f t="shared" si="127"/>
        <v>#DIV/0!</v>
      </c>
      <c r="X1551" s="6" t="e">
        <f ca="1">SQRT($B$9*AVERAGE(W1551:OFFSET(W1551,$B$5-1,0)))</f>
        <v>#DIV/0!</v>
      </c>
      <c r="Y1551" s="6" t="e">
        <f ca="1">SQRT($B$9*AVERAGE(W1551:OFFSET(W1551,$B$6-1,0)))</f>
        <v>#DIV/0!</v>
      </c>
      <c r="Z1551" s="6" t="e">
        <f ca="1">SQRT($B$9*AVERAGE(W1551:OFFSET(W1551,$B$7-1,0)))</f>
        <v>#DIV/0!</v>
      </c>
      <c r="AA1551" s="6" t="e">
        <f ca="1">SQRT($B$9*AVERAGE(W1551:OFFSET(W1551,$B$8-1,0)))</f>
        <v>#DIV/0!</v>
      </c>
      <c r="AC1551" s="34" t="e">
        <f t="shared" si="125"/>
        <v>#DIV/0!</v>
      </c>
      <c r="AD1551" s="34" t="e">
        <f ca="1">SQRT($B$9*SUM(AC1551:OFFSET(AC1551,$B$5-1,0))/($B$5-1))</f>
        <v>#DIV/0!</v>
      </c>
      <c r="AE1551" s="34" t="e">
        <f ca="1">SQRT($B$9*SUM(AC1551:OFFSET(AC1551,$B$6-1,0))/($B$6-1))</f>
        <v>#DIV/0!</v>
      </c>
      <c r="AF1551" s="34" t="e">
        <f ca="1">SQRT($B$9*SUM(AC1551:OFFSET(AC1551,$B$7-1,0))/($B$7-1))</f>
        <v>#DIV/0!</v>
      </c>
      <c r="AG1551" s="34" t="e">
        <f ca="1">SQRT($B$9*SUM(AC1551:OFFSET(AC1551,$B$8-1,0))/($B$8-1))</f>
        <v>#DIV/0!</v>
      </c>
      <c r="AI1551" s="1" t="e">
        <f t="shared" si="126"/>
        <v>#DIV/0!</v>
      </c>
      <c r="AJ1551" s="4" t="e">
        <f ca="1">SQRT($B$9)*_xlfn.STDEV.S(AI1551:OFFSET(AI1551,$B$5-1,0))</f>
        <v>#DIV/0!</v>
      </c>
      <c r="AK1551" s="4" t="e">
        <f ca="1">SQRT($B$9)*_xlfn.STDEV.S(AI1551:OFFSET(AI1551,$B$6-1,0))</f>
        <v>#DIV/0!</v>
      </c>
      <c r="AL1551" s="4" t="e">
        <f ca="1">SQRT($B$9)*_xlfn.STDEV.S(AI1551:OFFSET(AI1551,$B$7-1,0))</f>
        <v>#DIV/0!</v>
      </c>
      <c r="AM1551" s="4" t="e">
        <f ca="1">SQRT($B$9)*_xlfn.STDEV.S(AI1551:OFFSET(AI1551,$B$8-1,0))</f>
        <v>#DIV/0!</v>
      </c>
    </row>
    <row r="1552" spans="11:39" x14ac:dyDescent="0.2">
      <c r="K1552" s="3" t="e">
        <f t="shared" si="129"/>
        <v>#DIV/0!</v>
      </c>
      <c r="L1552" s="3" t="e">
        <f ca="1">SQRT(AVERAGE(K1552:OFFSET(K1552,$B$5-1,0))*$B$9/(4*LN(2)))</f>
        <v>#DIV/0!</v>
      </c>
      <c r="M1552" s="3" t="e">
        <f ca="1">SQRT(AVERAGE(K1552:OFFSET(K1552,$B$6-1,0))*$B$9/(4*LN(2)))</f>
        <v>#DIV/0!</v>
      </c>
      <c r="N1552" s="3" t="e">
        <f ca="1">SQRT(AVERAGE(K1552:OFFSET(K1552,$B$7-1,0))*$B$9/(4*LN(2)))</f>
        <v>#DIV/0!</v>
      </c>
      <c r="O1552" s="3" t="e">
        <f ca="1">SQRT(AVERAGE(K1552:OFFSET(K1552,$B$8-1,0))*$B$9/(4*LN(2)))</f>
        <v>#DIV/0!</v>
      </c>
      <c r="Q1552" s="5" t="e">
        <f t="shared" si="128"/>
        <v>#DIV/0!</v>
      </c>
      <c r="R1552" s="5" t="e">
        <f ca="1">SQRT($B$9*AVERAGE((Q1552:OFFSET(Q1552,$B$5-1,0))))</f>
        <v>#DIV/0!</v>
      </c>
      <c r="S1552" s="5" t="e">
        <f ca="1">SQRT($B$9*AVERAGE((Q1552:OFFSET(Q1552,$B$6-1,0))))</f>
        <v>#DIV/0!</v>
      </c>
      <c r="T1552" s="5" t="e">
        <f ca="1">SQRT($B$9*AVERAGE((Q1552:OFFSET(Q1552,$B$7-1,0))))</f>
        <v>#DIV/0!</v>
      </c>
      <c r="U1552" s="5" t="e">
        <f ca="1">SQRT($B$9*AVERAGE((Q1552:OFFSET(Q1552,$B$8-1,0))))</f>
        <v>#DIV/0!</v>
      </c>
      <c r="W1552" s="6" t="e">
        <f t="shared" si="127"/>
        <v>#DIV/0!</v>
      </c>
      <c r="X1552" s="6" t="e">
        <f ca="1">SQRT($B$9*AVERAGE(W1552:OFFSET(W1552,$B$5-1,0)))</f>
        <v>#DIV/0!</v>
      </c>
      <c r="Y1552" s="6" t="e">
        <f ca="1">SQRT($B$9*AVERAGE(W1552:OFFSET(W1552,$B$6-1,0)))</f>
        <v>#DIV/0!</v>
      </c>
      <c r="Z1552" s="6" t="e">
        <f ca="1">SQRT($B$9*AVERAGE(W1552:OFFSET(W1552,$B$7-1,0)))</f>
        <v>#DIV/0!</v>
      </c>
      <c r="AA1552" s="6" t="e">
        <f ca="1">SQRT($B$9*AVERAGE(W1552:OFFSET(W1552,$B$8-1,0)))</f>
        <v>#DIV/0!</v>
      </c>
      <c r="AC1552" s="34" t="e">
        <f t="shared" si="125"/>
        <v>#DIV/0!</v>
      </c>
      <c r="AD1552" s="34" t="e">
        <f ca="1">SQRT($B$9*SUM(AC1552:OFFSET(AC1552,$B$5-1,0))/($B$5-1))</f>
        <v>#DIV/0!</v>
      </c>
      <c r="AE1552" s="34" t="e">
        <f ca="1">SQRT($B$9*SUM(AC1552:OFFSET(AC1552,$B$6-1,0))/($B$6-1))</f>
        <v>#DIV/0!</v>
      </c>
      <c r="AF1552" s="34" t="e">
        <f ca="1">SQRT($B$9*SUM(AC1552:OFFSET(AC1552,$B$7-1,0))/($B$7-1))</f>
        <v>#DIV/0!</v>
      </c>
      <c r="AG1552" s="34" t="e">
        <f ca="1">SQRT($B$9*SUM(AC1552:OFFSET(AC1552,$B$8-1,0))/($B$8-1))</f>
        <v>#DIV/0!</v>
      </c>
      <c r="AI1552" s="1" t="e">
        <f t="shared" si="126"/>
        <v>#DIV/0!</v>
      </c>
      <c r="AJ1552" s="4" t="e">
        <f ca="1">SQRT($B$9)*_xlfn.STDEV.S(AI1552:OFFSET(AI1552,$B$5-1,0))</f>
        <v>#DIV/0!</v>
      </c>
      <c r="AK1552" s="4" t="e">
        <f ca="1">SQRT($B$9)*_xlfn.STDEV.S(AI1552:OFFSET(AI1552,$B$6-1,0))</f>
        <v>#DIV/0!</v>
      </c>
      <c r="AL1552" s="4" t="e">
        <f ca="1">SQRT($B$9)*_xlfn.STDEV.S(AI1552:OFFSET(AI1552,$B$7-1,0))</f>
        <v>#DIV/0!</v>
      </c>
      <c r="AM1552" s="4" t="e">
        <f ca="1">SQRT($B$9)*_xlfn.STDEV.S(AI1552:OFFSET(AI1552,$B$8-1,0))</f>
        <v>#DIV/0!</v>
      </c>
    </row>
    <row r="1553" spans="11:39" x14ac:dyDescent="0.2">
      <c r="K1553" s="3" t="e">
        <f t="shared" si="129"/>
        <v>#DIV/0!</v>
      </c>
      <c r="L1553" s="3" t="e">
        <f ca="1">SQRT(AVERAGE(K1553:OFFSET(K1553,$B$5-1,0))*$B$9/(4*LN(2)))</f>
        <v>#DIV/0!</v>
      </c>
      <c r="M1553" s="3" t="e">
        <f ca="1">SQRT(AVERAGE(K1553:OFFSET(K1553,$B$6-1,0))*$B$9/(4*LN(2)))</f>
        <v>#DIV/0!</v>
      </c>
      <c r="N1553" s="3" t="e">
        <f ca="1">SQRT(AVERAGE(K1553:OFFSET(K1553,$B$7-1,0))*$B$9/(4*LN(2)))</f>
        <v>#DIV/0!</v>
      </c>
      <c r="O1553" s="3" t="e">
        <f ca="1">SQRT(AVERAGE(K1553:OFFSET(K1553,$B$8-1,0))*$B$9/(4*LN(2)))</f>
        <v>#DIV/0!</v>
      </c>
      <c r="Q1553" s="5" t="e">
        <f t="shared" si="128"/>
        <v>#DIV/0!</v>
      </c>
      <c r="R1553" s="5" t="e">
        <f ca="1">SQRT($B$9*AVERAGE((Q1553:OFFSET(Q1553,$B$5-1,0))))</f>
        <v>#DIV/0!</v>
      </c>
      <c r="S1553" s="5" t="e">
        <f ca="1">SQRT($B$9*AVERAGE((Q1553:OFFSET(Q1553,$B$6-1,0))))</f>
        <v>#DIV/0!</v>
      </c>
      <c r="T1553" s="5" t="e">
        <f ca="1">SQRT($B$9*AVERAGE((Q1553:OFFSET(Q1553,$B$7-1,0))))</f>
        <v>#DIV/0!</v>
      </c>
      <c r="U1553" s="5" t="e">
        <f ca="1">SQRT($B$9*AVERAGE((Q1553:OFFSET(Q1553,$B$8-1,0))))</f>
        <v>#DIV/0!</v>
      </c>
      <c r="W1553" s="6" t="e">
        <f t="shared" si="127"/>
        <v>#DIV/0!</v>
      </c>
      <c r="X1553" s="6" t="e">
        <f ca="1">SQRT($B$9*AVERAGE(W1553:OFFSET(W1553,$B$5-1,0)))</f>
        <v>#DIV/0!</v>
      </c>
      <c r="Y1553" s="6" t="e">
        <f ca="1">SQRT($B$9*AVERAGE(W1553:OFFSET(W1553,$B$6-1,0)))</f>
        <v>#DIV/0!</v>
      </c>
      <c r="Z1553" s="6" t="e">
        <f ca="1">SQRT($B$9*AVERAGE(W1553:OFFSET(W1553,$B$7-1,0)))</f>
        <v>#DIV/0!</v>
      </c>
      <c r="AA1553" s="6" t="e">
        <f ca="1">SQRT($B$9*AVERAGE(W1553:OFFSET(W1553,$B$8-1,0)))</f>
        <v>#DIV/0!</v>
      </c>
      <c r="AC1553" s="34" t="e">
        <f t="shared" ref="AC1553:AC1616" si="130">(LN(I1553/I1554))^2</f>
        <v>#DIV/0!</v>
      </c>
      <c r="AD1553" s="34" t="e">
        <f ca="1">SQRT($B$9*SUM(AC1553:OFFSET(AC1553,$B$5-1,0))/($B$5-1))</f>
        <v>#DIV/0!</v>
      </c>
      <c r="AE1553" s="34" t="e">
        <f ca="1">SQRT($B$9*SUM(AC1553:OFFSET(AC1553,$B$6-1,0))/($B$6-1))</f>
        <v>#DIV/0!</v>
      </c>
      <c r="AF1553" s="34" t="e">
        <f ca="1">SQRT($B$9*SUM(AC1553:OFFSET(AC1553,$B$7-1,0))/($B$7-1))</f>
        <v>#DIV/0!</v>
      </c>
      <c r="AG1553" s="34" t="e">
        <f ca="1">SQRT($B$9*SUM(AC1553:OFFSET(AC1553,$B$8-1,0))/($B$8-1))</f>
        <v>#DIV/0!</v>
      </c>
      <c r="AI1553" s="1" t="e">
        <f t="shared" si="126"/>
        <v>#DIV/0!</v>
      </c>
      <c r="AJ1553" s="4" t="e">
        <f ca="1">SQRT($B$9)*_xlfn.STDEV.S(AI1553:OFFSET(AI1553,$B$5-1,0))</f>
        <v>#DIV/0!</v>
      </c>
      <c r="AK1553" s="4" t="e">
        <f ca="1">SQRT($B$9)*_xlfn.STDEV.S(AI1553:OFFSET(AI1553,$B$6-1,0))</f>
        <v>#DIV/0!</v>
      </c>
      <c r="AL1553" s="4" t="e">
        <f ca="1">SQRT($B$9)*_xlfn.STDEV.S(AI1553:OFFSET(AI1553,$B$7-1,0))</f>
        <v>#DIV/0!</v>
      </c>
      <c r="AM1553" s="4" t="e">
        <f ca="1">SQRT($B$9)*_xlfn.STDEV.S(AI1553:OFFSET(AI1553,$B$8-1,0))</f>
        <v>#DIV/0!</v>
      </c>
    </row>
    <row r="1554" spans="11:39" x14ac:dyDescent="0.2">
      <c r="K1554" s="3" t="e">
        <f t="shared" si="129"/>
        <v>#DIV/0!</v>
      </c>
      <c r="L1554" s="3" t="e">
        <f ca="1">SQRT(AVERAGE(K1554:OFFSET(K1554,$B$5-1,0))*$B$9/(4*LN(2)))</f>
        <v>#DIV/0!</v>
      </c>
      <c r="M1554" s="3" t="e">
        <f ca="1">SQRT(AVERAGE(K1554:OFFSET(K1554,$B$6-1,0))*$B$9/(4*LN(2)))</f>
        <v>#DIV/0!</v>
      </c>
      <c r="N1554" s="3" t="e">
        <f ca="1">SQRT(AVERAGE(K1554:OFFSET(K1554,$B$7-1,0))*$B$9/(4*LN(2)))</f>
        <v>#DIV/0!</v>
      </c>
      <c r="O1554" s="3" t="e">
        <f ca="1">SQRT(AVERAGE(K1554:OFFSET(K1554,$B$8-1,0))*$B$9/(4*LN(2)))</f>
        <v>#DIV/0!</v>
      </c>
      <c r="Q1554" s="5" t="e">
        <f t="shared" si="128"/>
        <v>#DIV/0!</v>
      </c>
      <c r="R1554" s="5" t="e">
        <f ca="1">SQRT($B$9*AVERAGE((Q1554:OFFSET(Q1554,$B$5-1,0))))</f>
        <v>#DIV/0!</v>
      </c>
      <c r="S1554" s="5" t="e">
        <f ca="1">SQRT($B$9*AVERAGE((Q1554:OFFSET(Q1554,$B$6-1,0))))</f>
        <v>#DIV/0!</v>
      </c>
      <c r="T1554" s="5" t="e">
        <f ca="1">SQRT($B$9*AVERAGE((Q1554:OFFSET(Q1554,$B$7-1,0))))</f>
        <v>#DIV/0!</v>
      </c>
      <c r="U1554" s="5" t="e">
        <f ca="1">SQRT($B$9*AVERAGE((Q1554:OFFSET(Q1554,$B$8-1,0))))</f>
        <v>#DIV/0!</v>
      </c>
      <c r="W1554" s="6" t="e">
        <f t="shared" si="127"/>
        <v>#DIV/0!</v>
      </c>
      <c r="X1554" s="6" t="e">
        <f ca="1">SQRT($B$9*AVERAGE(W1554:OFFSET(W1554,$B$5-1,0)))</f>
        <v>#DIV/0!</v>
      </c>
      <c r="Y1554" s="6" t="e">
        <f ca="1">SQRT($B$9*AVERAGE(W1554:OFFSET(W1554,$B$6-1,0)))</f>
        <v>#DIV/0!</v>
      </c>
      <c r="Z1554" s="6" t="e">
        <f ca="1">SQRT($B$9*AVERAGE(W1554:OFFSET(W1554,$B$7-1,0)))</f>
        <v>#DIV/0!</v>
      </c>
      <c r="AA1554" s="6" t="e">
        <f ca="1">SQRT($B$9*AVERAGE(W1554:OFFSET(W1554,$B$8-1,0)))</f>
        <v>#DIV/0!</v>
      </c>
      <c r="AC1554" s="34" t="e">
        <f t="shared" si="130"/>
        <v>#DIV/0!</v>
      </c>
      <c r="AD1554" s="34" t="e">
        <f ca="1">SQRT($B$9*SUM(AC1554:OFFSET(AC1554,$B$5-1,0))/($B$5-1))</f>
        <v>#DIV/0!</v>
      </c>
      <c r="AE1554" s="34" t="e">
        <f ca="1">SQRT($B$9*SUM(AC1554:OFFSET(AC1554,$B$6-1,0))/($B$6-1))</f>
        <v>#DIV/0!</v>
      </c>
      <c r="AF1554" s="34" t="e">
        <f ca="1">SQRT($B$9*SUM(AC1554:OFFSET(AC1554,$B$7-1,0))/($B$7-1))</f>
        <v>#DIV/0!</v>
      </c>
      <c r="AG1554" s="34" t="e">
        <f ca="1">SQRT($B$9*SUM(AC1554:OFFSET(AC1554,$B$8-1,0))/($B$8-1))</f>
        <v>#DIV/0!</v>
      </c>
      <c r="AI1554" s="1" t="e">
        <f t="shared" si="126"/>
        <v>#DIV/0!</v>
      </c>
      <c r="AJ1554" s="4" t="e">
        <f ca="1">SQRT($B$9)*_xlfn.STDEV.S(AI1554:OFFSET(AI1554,$B$5-1,0))</f>
        <v>#DIV/0!</v>
      </c>
      <c r="AK1554" s="4" t="e">
        <f ca="1">SQRT($B$9)*_xlfn.STDEV.S(AI1554:OFFSET(AI1554,$B$6-1,0))</f>
        <v>#DIV/0!</v>
      </c>
      <c r="AL1554" s="4" t="e">
        <f ca="1">SQRT($B$9)*_xlfn.STDEV.S(AI1554:OFFSET(AI1554,$B$7-1,0))</f>
        <v>#DIV/0!</v>
      </c>
      <c r="AM1554" s="4" t="e">
        <f ca="1">SQRT($B$9)*_xlfn.STDEV.S(AI1554:OFFSET(AI1554,$B$8-1,0))</f>
        <v>#DIV/0!</v>
      </c>
    </row>
    <row r="1555" spans="11:39" x14ac:dyDescent="0.2">
      <c r="K1555" s="3" t="e">
        <f t="shared" si="129"/>
        <v>#DIV/0!</v>
      </c>
      <c r="L1555" s="3" t="e">
        <f ca="1">SQRT(AVERAGE(K1555:OFFSET(K1555,$B$5-1,0))*$B$9/(4*LN(2)))</f>
        <v>#DIV/0!</v>
      </c>
      <c r="M1555" s="3" t="e">
        <f ca="1">SQRT(AVERAGE(K1555:OFFSET(K1555,$B$6-1,0))*$B$9/(4*LN(2)))</f>
        <v>#DIV/0!</v>
      </c>
      <c r="N1555" s="3" t="e">
        <f ca="1">SQRT(AVERAGE(K1555:OFFSET(K1555,$B$7-1,0))*$B$9/(4*LN(2)))</f>
        <v>#DIV/0!</v>
      </c>
      <c r="O1555" s="3" t="e">
        <f ca="1">SQRT(AVERAGE(K1555:OFFSET(K1555,$B$8-1,0))*$B$9/(4*LN(2)))</f>
        <v>#DIV/0!</v>
      </c>
      <c r="Q1555" s="5" t="e">
        <f t="shared" si="128"/>
        <v>#DIV/0!</v>
      </c>
      <c r="R1555" s="5" t="e">
        <f ca="1">SQRT($B$9*AVERAGE((Q1555:OFFSET(Q1555,$B$5-1,0))))</f>
        <v>#DIV/0!</v>
      </c>
      <c r="S1555" s="5" t="e">
        <f ca="1">SQRT($B$9*AVERAGE((Q1555:OFFSET(Q1555,$B$6-1,0))))</f>
        <v>#DIV/0!</v>
      </c>
      <c r="T1555" s="5" t="e">
        <f ca="1">SQRT($B$9*AVERAGE((Q1555:OFFSET(Q1555,$B$7-1,0))))</f>
        <v>#DIV/0!</v>
      </c>
      <c r="U1555" s="5" t="e">
        <f ca="1">SQRT($B$9*AVERAGE((Q1555:OFFSET(Q1555,$B$8-1,0))))</f>
        <v>#DIV/0!</v>
      </c>
      <c r="W1555" s="6" t="e">
        <f t="shared" si="127"/>
        <v>#DIV/0!</v>
      </c>
      <c r="X1555" s="6" t="e">
        <f ca="1">SQRT($B$9*AVERAGE(W1555:OFFSET(W1555,$B$5-1,0)))</f>
        <v>#DIV/0!</v>
      </c>
      <c r="Y1555" s="6" t="e">
        <f ca="1">SQRT($B$9*AVERAGE(W1555:OFFSET(W1555,$B$6-1,0)))</f>
        <v>#DIV/0!</v>
      </c>
      <c r="Z1555" s="6" t="e">
        <f ca="1">SQRT($B$9*AVERAGE(W1555:OFFSET(W1555,$B$7-1,0)))</f>
        <v>#DIV/0!</v>
      </c>
      <c r="AA1555" s="6" t="e">
        <f ca="1">SQRT($B$9*AVERAGE(W1555:OFFSET(W1555,$B$8-1,0)))</f>
        <v>#DIV/0!</v>
      </c>
      <c r="AC1555" s="34" t="e">
        <f t="shared" si="130"/>
        <v>#DIV/0!</v>
      </c>
      <c r="AD1555" s="34" t="e">
        <f ca="1">SQRT($B$9*SUM(AC1555:OFFSET(AC1555,$B$5-1,0))/($B$5-1))</f>
        <v>#DIV/0!</v>
      </c>
      <c r="AE1555" s="34" t="e">
        <f ca="1">SQRT($B$9*SUM(AC1555:OFFSET(AC1555,$B$6-1,0))/($B$6-1))</f>
        <v>#DIV/0!</v>
      </c>
      <c r="AF1555" s="34" t="e">
        <f ca="1">SQRT($B$9*SUM(AC1555:OFFSET(AC1555,$B$7-1,0))/($B$7-1))</f>
        <v>#DIV/0!</v>
      </c>
      <c r="AG1555" s="34" t="e">
        <f ca="1">SQRT($B$9*SUM(AC1555:OFFSET(AC1555,$B$8-1,0))/($B$8-1))</f>
        <v>#DIV/0!</v>
      </c>
      <c r="AI1555" s="1" t="e">
        <f t="shared" ref="AI1555:AI1618" si="131">LN(I1555/I1556)</f>
        <v>#DIV/0!</v>
      </c>
      <c r="AJ1555" s="4" t="e">
        <f ca="1">SQRT($B$9)*_xlfn.STDEV.S(AI1555:OFFSET(AI1555,$B$5-1,0))</f>
        <v>#DIV/0!</v>
      </c>
      <c r="AK1555" s="4" t="e">
        <f ca="1">SQRT($B$9)*_xlfn.STDEV.S(AI1555:OFFSET(AI1555,$B$6-1,0))</f>
        <v>#DIV/0!</v>
      </c>
      <c r="AL1555" s="4" t="e">
        <f ca="1">SQRT($B$9)*_xlfn.STDEV.S(AI1555:OFFSET(AI1555,$B$7-1,0))</f>
        <v>#DIV/0!</v>
      </c>
      <c r="AM1555" s="4" t="e">
        <f ca="1">SQRT($B$9)*_xlfn.STDEV.S(AI1555:OFFSET(AI1555,$B$8-1,0))</f>
        <v>#DIV/0!</v>
      </c>
    </row>
    <row r="1556" spans="11:39" x14ac:dyDescent="0.2">
      <c r="K1556" s="3" t="e">
        <f t="shared" si="129"/>
        <v>#DIV/0!</v>
      </c>
      <c r="L1556" s="3" t="e">
        <f ca="1">SQRT(AVERAGE(K1556:OFFSET(K1556,$B$5-1,0))*$B$9/(4*LN(2)))</f>
        <v>#DIV/0!</v>
      </c>
      <c r="M1556" s="3" t="e">
        <f ca="1">SQRT(AVERAGE(K1556:OFFSET(K1556,$B$6-1,0))*$B$9/(4*LN(2)))</f>
        <v>#DIV/0!</v>
      </c>
      <c r="N1556" s="3" t="e">
        <f ca="1">SQRT(AVERAGE(K1556:OFFSET(K1556,$B$7-1,0))*$B$9/(4*LN(2)))</f>
        <v>#DIV/0!</v>
      </c>
      <c r="O1556" s="3" t="e">
        <f ca="1">SQRT(AVERAGE(K1556:OFFSET(K1556,$B$8-1,0))*$B$9/(4*LN(2)))</f>
        <v>#DIV/0!</v>
      </c>
      <c r="Q1556" s="5" t="e">
        <f t="shared" si="128"/>
        <v>#DIV/0!</v>
      </c>
      <c r="R1556" s="5" t="e">
        <f ca="1">SQRT($B$9*AVERAGE((Q1556:OFFSET(Q1556,$B$5-1,0))))</f>
        <v>#DIV/0!</v>
      </c>
      <c r="S1556" s="5" t="e">
        <f ca="1">SQRT($B$9*AVERAGE((Q1556:OFFSET(Q1556,$B$6-1,0))))</f>
        <v>#DIV/0!</v>
      </c>
      <c r="T1556" s="5" t="e">
        <f ca="1">SQRT($B$9*AVERAGE((Q1556:OFFSET(Q1556,$B$7-1,0))))</f>
        <v>#DIV/0!</v>
      </c>
      <c r="U1556" s="5" t="e">
        <f ca="1">SQRT($B$9*AVERAGE((Q1556:OFFSET(Q1556,$B$8-1,0))))</f>
        <v>#DIV/0!</v>
      </c>
      <c r="W1556" s="6" t="e">
        <f t="shared" si="127"/>
        <v>#DIV/0!</v>
      </c>
      <c r="X1556" s="6" t="e">
        <f ca="1">SQRT($B$9*AVERAGE(W1556:OFFSET(W1556,$B$5-1,0)))</f>
        <v>#DIV/0!</v>
      </c>
      <c r="Y1556" s="6" t="e">
        <f ca="1">SQRT($B$9*AVERAGE(W1556:OFFSET(W1556,$B$6-1,0)))</f>
        <v>#DIV/0!</v>
      </c>
      <c r="Z1556" s="6" t="e">
        <f ca="1">SQRT($B$9*AVERAGE(W1556:OFFSET(W1556,$B$7-1,0)))</f>
        <v>#DIV/0!</v>
      </c>
      <c r="AA1556" s="6" t="e">
        <f ca="1">SQRT($B$9*AVERAGE(W1556:OFFSET(W1556,$B$8-1,0)))</f>
        <v>#DIV/0!</v>
      </c>
      <c r="AC1556" s="34" t="e">
        <f t="shared" si="130"/>
        <v>#DIV/0!</v>
      </c>
      <c r="AD1556" s="34" t="e">
        <f ca="1">SQRT($B$9*SUM(AC1556:OFFSET(AC1556,$B$5-1,0))/($B$5-1))</f>
        <v>#DIV/0!</v>
      </c>
      <c r="AE1556" s="34" t="e">
        <f ca="1">SQRT($B$9*SUM(AC1556:OFFSET(AC1556,$B$6-1,0))/($B$6-1))</f>
        <v>#DIV/0!</v>
      </c>
      <c r="AF1556" s="34" t="e">
        <f ca="1">SQRT($B$9*SUM(AC1556:OFFSET(AC1556,$B$7-1,0))/($B$7-1))</f>
        <v>#DIV/0!</v>
      </c>
      <c r="AG1556" s="34" t="e">
        <f ca="1">SQRT($B$9*SUM(AC1556:OFFSET(AC1556,$B$8-1,0))/($B$8-1))</f>
        <v>#DIV/0!</v>
      </c>
      <c r="AI1556" s="1" t="e">
        <f t="shared" si="131"/>
        <v>#DIV/0!</v>
      </c>
      <c r="AJ1556" s="4" t="e">
        <f ca="1">SQRT($B$9)*_xlfn.STDEV.S(AI1556:OFFSET(AI1556,$B$5-1,0))</f>
        <v>#DIV/0!</v>
      </c>
      <c r="AK1556" s="4" t="e">
        <f ca="1">SQRT($B$9)*_xlfn.STDEV.S(AI1556:OFFSET(AI1556,$B$6-1,0))</f>
        <v>#DIV/0!</v>
      </c>
      <c r="AL1556" s="4" t="e">
        <f ca="1">SQRT($B$9)*_xlfn.STDEV.S(AI1556:OFFSET(AI1556,$B$7-1,0))</f>
        <v>#DIV/0!</v>
      </c>
      <c r="AM1556" s="4" t="e">
        <f ca="1">SQRT($B$9)*_xlfn.STDEV.S(AI1556:OFFSET(AI1556,$B$8-1,0))</f>
        <v>#DIV/0!</v>
      </c>
    </row>
    <row r="1557" spans="11:39" x14ac:dyDescent="0.2">
      <c r="K1557" s="3" t="e">
        <f t="shared" si="129"/>
        <v>#DIV/0!</v>
      </c>
      <c r="L1557" s="3" t="e">
        <f ca="1">SQRT(AVERAGE(K1557:OFFSET(K1557,$B$5-1,0))*$B$9/(4*LN(2)))</f>
        <v>#DIV/0!</v>
      </c>
      <c r="M1557" s="3" t="e">
        <f ca="1">SQRT(AVERAGE(K1557:OFFSET(K1557,$B$6-1,0))*$B$9/(4*LN(2)))</f>
        <v>#DIV/0!</v>
      </c>
      <c r="N1557" s="3" t="e">
        <f ca="1">SQRT(AVERAGE(K1557:OFFSET(K1557,$B$7-1,0))*$B$9/(4*LN(2)))</f>
        <v>#DIV/0!</v>
      </c>
      <c r="O1557" s="3" t="e">
        <f ca="1">SQRT(AVERAGE(K1557:OFFSET(K1557,$B$8-1,0))*$B$9/(4*LN(2)))</f>
        <v>#DIV/0!</v>
      </c>
      <c r="Q1557" s="5" t="e">
        <f t="shared" si="128"/>
        <v>#DIV/0!</v>
      </c>
      <c r="R1557" s="5" t="e">
        <f ca="1">SQRT($B$9*AVERAGE((Q1557:OFFSET(Q1557,$B$5-1,0))))</f>
        <v>#DIV/0!</v>
      </c>
      <c r="S1557" s="5" t="e">
        <f ca="1">SQRT($B$9*AVERAGE((Q1557:OFFSET(Q1557,$B$6-1,0))))</f>
        <v>#DIV/0!</v>
      </c>
      <c r="T1557" s="5" t="e">
        <f ca="1">SQRT($B$9*AVERAGE((Q1557:OFFSET(Q1557,$B$7-1,0))))</f>
        <v>#DIV/0!</v>
      </c>
      <c r="U1557" s="5" t="e">
        <f ca="1">SQRT($B$9*AVERAGE((Q1557:OFFSET(Q1557,$B$8-1,0))))</f>
        <v>#DIV/0!</v>
      </c>
      <c r="W1557" s="6" t="e">
        <f t="shared" si="127"/>
        <v>#DIV/0!</v>
      </c>
      <c r="X1557" s="6" t="e">
        <f ca="1">SQRT($B$9*AVERAGE(W1557:OFFSET(W1557,$B$5-1,0)))</f>
        <v>#DIV/0!</v>
      </c>
      <c r="Y1557" s="6" t="e">
        <f ca="1">SQRT($B$9*AVERAGE(W1557:OFFSET(W1557,$B$6-1,0)))</f>
        <v>#DIV/0!</v>
      </c>
      <c r="Z1557" s="6" t="e">
        <f ca="1">SQRT($B$9*AVERAGE(W1557:OFFSET(W1557,$B$7-1,0)))</f>
        <v>#DIV/0!</v>
      </c>
      <c r="AA1557" s="6" t="e">
        <f ca="1">SQRT($B$9*AVERAGE(W1557:OFFSET(W1557,$B$8-1,0)))</f>
        <v>#DIV/0!</v>
      </c>
      <c r="AC1557" s="34" t="e">
        <f t="shared" si="130"/>
        <v>#DIV/0!</v>
      </c>
      <c r="AD1557" s="34" t="e">
        <f ca="1">SQRT($B$9*SUM(AC1557:OFFSET(AC1557,$B$5-1,0))/($B$5-1))</f>
        <v>#DIV/0!</v>
      </c>
      <c r="AE1557" s="34" t="e">
        <f ca="1">SQRT($B$9*SUM(AC1557:OFFSET(AC1557,$B$6-1,0))/($B$6-1))</f>
        <v>#DIV/0!</v>
      </c>
      <c r="AF1557" s="34" t="e">
        <f ca="1">SQRT($B$9*SUM(AC1557:OFFSET(AC1557,$B$7-1,0))/($B$7-1))</f>
        <v>#DIV/0!</v>
      </c>
      <c r="AG1557" s="34" t="e">
        <f ca="1">SQRT($B$9*SUM(AC1557:OFFSET(AC1557,$B$8-1,0))/($B$8-1))</f>
        <v>#DIV/0!</v>
      </c>
      <c r="AI1557" s="1" t="e">
        <f t="shared" si="131"/>
        <v>#DIV/0!</v>
      </c>
      <c r="AJ1557" s="4" t="e">
        <f ca="1">SQRT($B$9)*_xlfn.STDEV.S(AI1557:OFFSET(AI1557,$B$5-1,0))</f>
        <v>#DIV/0!</v>
      </c>
      <c r="AK1557" s="4" t="e">
        <f ca="1">SQRT($B$9)*_xlfn.STDEV.S(AI1557:OFFSET(AI1557,$B$6-1,0))</f>
        <v>#DIV/0!</v>
      </c>
      <c r="AL1557" s="4" t="e">
        <f ca="1">SQRT($B$9)*_xlfn.STDEV.S(AI1557:OFFSET(AI1557,$B$7-1,0))</f>
        <v>#DIV/0!</v>
      </c>
      <c r="AM1557" s="4" t="e">
        <f ca="1">SQRT($B$9)*_xlfn.STDEV.S(AI1557:OFFSET(AI1557,$B$8-1,0))</f>
        <v>#DIV/0!</v>
      </c>
    </row>
    <row r="1558" spans="11:39" x14ac:dyDescent="0.2">
      <c r="K1558" s="3" t="e">
        <f t="shared" si="129"/>
        <v>#DIV/0!</v>
      </c>
      <c r="L1558" s="3" t="e">
        <f ca="1">SQRT(AVERAGE(K1558:OFFSET(K1558,$B$5-1,0))*$B$9/(4*LN(2)))</f>
        <v>#DIV/0!</v>
      </c>
      <c r="M1558" s="3" t="e">
        <f ca="1">SQRT(AVERAGE(K1558:OFFSET(K1558,$B$6-1,0))*$B$9/(4*LN(2)))</f>
        <v>#DIV/0!</v>
      </c>
      <c r="N1558" s="3" t="e">
        <f ca="1">SQRT(AVERAGE(K1558:OFFSET(K1558,$B$7-1,0))*$B$9/(4*LN(2)))</f>
        <v>#DIV/0!</v>
      </c>
      <c r="O1558" s="3" t="e">
        <f ca="1">SQRT(AVERAGE(K1558:OFFSET(K1558,$B$8-1,0))*$B$9/(4*LN(2)))</f>
        <v>#DIV/0!</v>
      </c>
      <c r="Q1558" s="5" t="e">
        <f t="shared" si="128"/>
        <v>#DIV/0!</v>
      </c>
      <c r="R1558" s="5" t="e">
        <f ca="1">SQRT($B$9*AVERAGE((Q1558:OFFSET(Q1558,$B$5-1,0))))</f>
        <v>#DIV/0!</v>
      </c>
      <c r="S1558" s="5" t="e">
        <f ca="1">SQRT($B$9*AVERAGE((Q1558:OFFSET(Q1558,$B$6-1,0))))</f>
        <v>#DIV/0!</v>
      </c>
      <c r="T1558" s="5" t="e">
        <f ca="1">SQRT($B$9*AVERAGE((Q1558:OFFSET(Q1558,$B$7-1,0))))</f>
        <v>#DIV/0!</v>
      </c>
      <c r="U1558" s="5" t="e">
        <f ca="1">SQRT($B$9*AVERAGE((Q1558:OFFSET(Q1558,$B$8-1,0))))</f>
        <v>#DIV/0!</v>
      </c>
      <c r="W1558" s="6" t="e">
        <f t="shared" si="127"/>
        <v>#DIV/0!</v>
      </c>
      <c r="X1558" s="6" t="e">
        <f ca="1">SQRT($B$9*AVERAGE(W1558:OFFSET(W1558,$B$5-1,0)))</f>
        <v>#DIV/0!</v>
      </c>
      <c r="Y1558" s="6" t="e">
        <f ca="1">SQRT($B$9*AVERAGE(W1558:OFFSET(W1558,$B$6-1,0)))</f>
        <v>#DIV/0!</v>
      </c>
      <c r="Z1558" s="6" t="e">
        <f ca="1">SQRT($B$9*AVERAGE(W1558:OFFSET(W1558,$B$7-1,0)))</f>
        <v>#DIV/0!</v>
      </c>
      <c r="AA1558" s="6" t="e">
        <f ca="1">SQRT($B$9*AVERAGE(W1558:OFFSET(W1558,$B$8-1,0)))</f>
        <v>#DIV/0!</v>
      </c>
      <c r="AC1558" s="34" t="e">
        <f t="shared" si="130"/>
        <v>#DIV/0!</v>
      </c>
      <c r="AD1558" s="34" t="e">
        <f ca="1">SQRT($B$9*SUM(AC1558:OFFSET(AC1558,$B$5-1,0))/($B$5-1))</f>
        <v>#DIV/0!</v>
      </c>
      <c r="AE1558" s="34" t="e">
        <f ca="1">SQRT($B$9*SUM(AC1558:OFFSET(AC1558,$B$6-1,0))/($B$6-1))</f>
        <v>#DIV/0!</v>
      </c>
      <c r="AF1558" s="34" t="e">
        <f ca="1">SQRT($B$9*SUM(AC1558:OFFSET(AC1558,$B$7-1,0))/($B$7-1))</f>
        <v>#DIV/0!</v>
      </c>
      <c r="AG1558" s="34" t="e">
        <f ca="1">SQRT($B$9*SUM(AC1558:OFFSET(AC1558,$B$8-1,0))/($B$8-1))</f>
        <v>#DIV/0!</v>
      </c>
      <c r="AI1558" s="1" t="e">
        <f t="shared" si="131"/>
        <v>#DIV/0!</v>
      </c>
      <c r="AJ1558" s="4" t="e">
        <f ca="1">SQRT($B$9)*_xlfn.STDEV.S(AI1558:OFFSET(AI1558,$B$5-1,0))</f>
        <v>#DIV/0!</v>
      </c>
      <c r="AK1558" s="4" t="e">
        <f ca="1">SQRT($B$9)*_xlfn.STDEV.S(AI1558:OFFSET(AI1558,$B$6-1,0))</f>
        <v>#DIV/0!</v>
      </c>
      <c r="AL1558" s="4" t="e">
        <f ca="1">SQRT($B$9)*_xlfn.STDEV.S(AI1558:OFFSET(AI1558,$B$7-1,0))</f>
        <v>#DIV/0!</v>
      </c>
      <c r="AM1558" s="4" t="e">
        <f ca="1">SQRT($B$9)*_xlfn.STDEV.S(AI1558:OFFSET(AI1558,$B$8-1,0))</f>
        <v>#DIV/0!</v>
      </c>
    </row>
    <row r="1559" spans="11:39" x14ac:dyDescent="0.2">
      <c r="K1559" s="3" t="e">
        <f t="shared" si="129"/>
        <v>#DIV/0!</v>
      </c>
      <c r="L1559" s="3" t="e">
        <f ca="1">SQRT(AVERAGE(K1559:OFFSET(K1559,$B$5-1,0))*$B$9/(4*LN(2)))</f>
        <v>#DIV/0!</v>
      </c>
      <c r="M1559" s="3" t="e">
        <f ca="1">SQRT(AVERAGE(K1559:OFFSET(K1559,$B$6-1,0))*$B$9/(4*LN(2)))</f>
        <v>#DIV/0!</v>
      </c>
      <c r="N1559" s="3" t="e">
        <f ca="1">SQRT(AVERAGE(K1559:OFFSET(K1559,$B$7-1,0))*$B$9/(4*LN(2)))</f>
        <v>#DIV/0!</v>
      </c>
      <c r="O1559" s="3" t="e">
        <f ca="1">SQRT(AVERAGE(K1559:OFFSET(K1559,$B$8-1,0))*$B$9/(4*LN(2)))</f>
        <v>#DIV/0!</v>
      </c>
      <c r="Q1559" s="5" t="e">
        <f t="shared" si="128"/>
        <v>#DIV/0!</v>
      </c>
      <c r="R1559" s="5" t="e">
        <f ca="1">SQRT($B$9*AVERAGE((Q1559:OFFSET(Q1559,$B$5-1,0))))</f>
        <v>#DIV/0!</v>
      </c>
      <c r="S1559" s="5" t="e">
        <f ca="1">SQRT($B$9*AVERAGE((Q1559:OFFSET(Q1559,$B$6-1,0))))</f>
        <v>#DIV/0!</v>
      </c>
      <c r="T1559" s="5" t="e">
        <f ca="1">SQRT($B$9*AVERAGE((Q1559:OFFSET(Q1559,$B$7-1,0))))</f>
        <v>#DIV/0!</v>
      </c>
      <c r="U1559" s="5" t="e">
        <f ca="1">SQRT($B$9*AVERAGE((Q1559:OFFSET(Q1559,$B$8-1,0))))</f>
        <v>#DIV/0!</v>
      </c>
      <c r="W1559" s="6" t="e">
        <f t="shared" si="127"/>
        <v>#DIV/0!</v>
      </c>
      <c r="X1559" s="6" t="e">
        <f ca="1">SQRT($B$9*AVERAGE(W1559:OFFSET(W1559,$B$5-1,0)))</f>
        <v>#DIV/0!</v>
      </c>
      <c r="Y1559" s="6" t="e">
        <f ca="1">SQRT($B$9*AVERAGE(W1559:OFFSET(W1559,$B$6-1,0)))</f>
        <v>#DIV/0!</v>
      </c>
      <c r="Z1559" s="6" t="e">
        <f ca="1">SQRT($B$9*AVERAGE(W1559:OFFSET(W1559,$B$7-1,0)))</f>
        <v>#DIV/0!</v>
      </c>
      <c r="AA1559" s="6" t="e">
        <f ca="1">SQRT($B$9*AVERAGE(W1559:OFFSET(W1559,$B$8-1,0)))</f>
        <v>#DIV/0!</v>
      </c>
      <c r="AC1559" s="34" t="e">
        <f t="shared" si="130"/>
        <v>#DIV/0!</v>
      </c>
      <c r="AD1559" s="34" t="e">
        <f ca="1">SQRT($B$9*SUM(AC1559:OFFSET(AC1559,$B$5-1,0))/($B$5-1))</f>
        <v>#DIV/0!</v>
      </c>
      <c r="AE1559" s="34" t="e">
        <f ca="1">SQRT($B$9*SUM(AC1559:OFFSET(AC1559,$B$6-1,0))/($B$6-1))</f>
        <v>#DIV/0!</v>
      </c>
      <c r="AF1559" s="34" t="e">
        <f ca="1">SQRT($B$9*SUM(AC1559:OFFSET(AC1559,$B$7-1,0))/($B$7-1))</f>
        <v>#DIV/0!</v>
      </c>
      <c r="AG1559" s="34" t="e">
        <f ca="1">SQRT($B$9*SUM(AC1559:OFFSET(AC1559,$B$8-1,0))/($B$8-1))</f>
        <v>#DIV/0!</v>
      </c>
      <c r="AI1559" s="1" t="e">
        <f t="shared" si="131"/>
        <v>#DIV/0!</v>
      </c>
      <c r="AJ1559" s="4" t="e">
        <f ca="1">SQRT($B$9)*_xlfn.STDEV.S(AI1559:OFFSET(AI1559,$B$5-1,0))</f>
        <v>#DIV/0!</v>
      </c>
      <c r="AK1559" s="4" t="e">
        <f ca="1">SQRT($B$9)*_xlfn.STDEV.S(AI1559:OFFSET(AI1559,$B$6-1,0))</f>
        <v>#DIV/0!</v>
      </c>
      <c r="AL1559" s="4" t="e">
        <f ca="1">SQRT($B$9)*_xlfn.STDEV.S(AI1559:OFFSET(AI1559,$B$7-1,0))</f>
        <v>#DIV/0!</v>
      </c>
      <c r="AM1559" s="4" t="e">
        <f ca="1">SQRT($B$9)*_xlfn.STDEV.S(AI1559:OFFSET(AI1559,$B$8-1,0))</f>
        <v>#DIV/0!</v>
      </c>
    </row>
    <row r="1560" spans="11:39" x14ac:dyDescent="0.2">
      <c r="K1560" s="3" t="e">
        <f t="shared" si="129"/>
        <v>#DIV/0!</v>
      </c>
      <c r="L1560" s="3" t="e">
        <f ca="1">SQRT(AVERAGE(K1560:OFFSET(K1560,$B$5-1,0))*$B$9/(4*LN(2)))</f>
        <v>#DIV/0!</v>
      </c>
      <c r="M1560" s="3" t="e">
        <f ca="1">SQRT(AVERAGE(K1560:OFFSET(K1560,$B$6-1,0))*$B$9/(4*LN(2)))</f>
        <v>#DIV/0!</v>
      </c>
      <c r="N1560" s="3" t="e">
        <f ca="1">SQRT(AVERAGE(K1560:OFFSET(K1560,$B$7-1,0))*$B$9/(4*LN(2)))</f>
        <v>#DIV/0!</v>
      </c>
      <c r="O1560" s="3" t="e">
        <f ca="1">SQRT(AVERAGE(K1560:OFFSET(K1560,$B$8-1,0))*$B$9/(4*LN(2)))</f>
        <v>#DIV/0!</v>
      </c>
      <c r="Q1560" s="5" t="e">
        <f t="shared" si="128"/>
        <v>#DIV/0!</v>
      </c>
      <c r="R1560" s="5" t="e">
        <f ca="1">SQRT($B$9*AVERAGE((Q1560:OFFSET(Q1560,$B$5-1,0))))</f>
        <v>#DIV/0!</v>
      </c>
      <c r="S1560" s="5" t="e">
        <f ca="1">SQRT($B$9*AVERAGE((Q1560:OFFSET(Q1560,$B$6-1,0))))</f>
        <v>#DIV/0!</v>
      </c>
      <c r="T1560" s="5" t="e">
        <f ca="1">SQRT($B$9*AVERAGE((Q1560:OFFSET(Q1560,$B$7-1,0))))</f>
        <v>#DIV/0!</v>
      </c>
      <c r="U1560" s="5" t="e">
        <f ca="1">SQRT($B$9*AVERAGE((Q1560:OFFSET(Q1560,$B$8-1,0))))</f>
        <v>#DIV/0!</v>
      </c>
      <c r="W1560" s="6" t="e">
        <f t="shared" si="127"/>
        <v>#DIV/0!</v>
      </c>
      <c r="X1560" s="6" t="e">
        <f ca="1">SQRT($B$9*AVERAGE(W1560:OFFSET(W1560,$B$5-1,0)))</f>
        <v>#DIV/0!</v>
      </c>
      <c r="Y1560" s="6" t="e">
        <f ca="1">SQRT($B$9*AVERAGE(W1560:OFFSET(W1560,$B$6-1,0)))</f>
        <v>#DIV/0!</v>
      </c>
      <c r="Z1560" s="6" t="e">
        <f ca="1">SQRT($B$9*AVERAGE(W1560:OFFSET(W1560,$B$7-1,0)))</f>
        <v>#DIV/0!</v>
      </c>
      <c r="AA1560" s="6" t="e">
        <f ca="1">SQRT($B$9*AVERAGE(W1560:OFFSET(W1560,$B$8-1,0)))</f>
        <v>#DIV/0!</v>
      </c>
      <c r="AC1560" s="34" t="e">
        <f t="shared" si="130"/>
        <v>#DIV/0!</v>
      </c>
      <c r="AD1560" s="34" t="e">
        <f ca="1">SQRT($B$9*SUM(AC1560:OFFSET(AC1560,$B$5-1,0))/($B$5-1))</f>
        <v>#DIV/0!</v>
      </c>
      <c r="AE1560" s="34" t="e">
        <f ca="1">SQRT($B$9*SUM(AC1560:OFFSET(AC1560,$B$6-1,0))/($B$6-1))</f>
        <v>#DIV/0!</v>
      </c>
      <c r="AF1560" s="34" t="e">
        <f ca="1">SQRT($B$9*SUM(AC1560:OFFSET(AC1560,$B$7-1,0))/($B$7-1))</f>
        <v>#DIV/0!</v>
      </c>
      <c r="AG1560" s="34" t="e">
        <f ca="1">SQRT($B$9*SUM(AC1560:OFFSET(AC1560,$B$8-1,0))/($B$8-1))</f>
        <v>#DIV/0!</v>
      </c>
      <c r="AI1560" s="1" t="e">
        <f t="shared" si="131"/>
        <v>#DIV/0!</v>
      </c>
      <c r="AJ1560" s="4" t="e">
        <f ca="1">SQRT($B$9)*_xlfn.STDEV.S(AI1560:OFFSET(AI1560,$B$5-1,0))</f>
        <v>#DIV/0!</v>
      </c>
      <c r="AK1560" s="4" t="e">
        <f ca="1">SQRT($B$9)*_xlfn.STDEV.S(AI1560:OFFSET(AI1560,$B$6-1,0))</f>
        <v>#DIV/0!</v>
      </c>
      <c r="AL1560" s="4" t="e">
        <f ca="1">SQRT($B$9)*_xlfn.STDEV.S(AI1560:OFFSET(AI1560,$B$7-1,0))</f>
        <v>#DIV/0!</v>
      </c>
      <c r="AM1560" s="4" t="e">
        <f ca="1">SQRT($B$9)*_xlfn.STDEV.S(AI1560:OFFSET(AI1560,$B$8-1,0))</f>
        <v>#DIV/0!</v>
      </c>
    </row>
    <row r="1561" spans="11:39" x14ac:dyDescent="0.2">
      <c r="K1561" s="3" t="e">
        <f t="shared" si="129"/>
        <v>#DIV/0!</v>
      </c>
      <c r="L1561" s="3" t="e">
        <f ca="1">SQRT(AVERAGE(K1561:OFFSET(K1561,$B$5-1,0))*$B$9/(4*LN(2)))</f>
        <v>#DIV/0!</v>
      </c>
      <c r="M1561" s="3" t="e">
        <f ca="1">SQRT(AVERAGE(K1561:OFFSET(K1561,$B$6-1,0))*$B$9/(4*LN(2)))</f>
        <v>#DIV/0!</v>
      </c>
      <c r="N1561" s="3" t="e">
        <f ca="1">SQRT(AVERAGE(K1561:OFFSET(K1561,$B$7-1,0))*$B$9/(4*LN(2)))</f>
        <v>#DIV/0!</v>
      </c>
      <c r="O1561" s="3" t="e">
        <f ca="1">SQRT(AVERAGE(K1561:OFFSET(K1561,$B$8-1,0))*$B$9/(4*LN(2)))</f>
        <v>#DIV/0!</v>
      </c>
      <c r="Q1561" s="5" t="e">
        <f t="shared" si="128"/>
        <v>#DIV/0!</v>
      </c>
      <c r="R1561" s="5" t="e">
        <f ca="1">SQRT($B$9*AVERAGE((Q1561:OFFSET(Q1561,$B$5-1,0))))</f>
        <v>#DIV/0!</v>
      </c>
      <c r="S1561" s="5" t="e">
        <f ca="1">SQRT($B$9*AVERAGE((Q1561:OFFSET(Q1561,$B$6-1,0))))</f>
        <v>#DIV/0!</v>
      </c>
      <c r="T1561" s="5" t="e">
        <f ca="1">SQRT($B$9*AVERAGE((Q1561:OFFSET(Q1561,$B$7-1,0))))</f>
        <v>#DIV/0!</v>
      </c>
      <c r="U1561" s="5" t="e">
        <f ca="1">SQRT($B$9*AVERAGE((Q1561:OFFSET(Q1561,$B$8-1,0))))</f>
        <v>#DIV/0!</v>
      </c>
      <c r="W1561" s="6" t="e">
        <f t="shared" si="127"/>
        <v>#DIV/0!</v>
      </c>
      <c r="X1561" s="6" t="e">
        <f ca="1">SQRT($B$9*AVERAGE(W1561:OFFSET(W1561,$B$5-1,0)))</f>
        <v>#DIV/0!</v>
      </c>
      <c r="Y1561" s="6" t="e">
        <f ca="1">SQRT($B$9*AVERAGE(W1561:OFFSET(W1561,$B$6-1,0)))</f>
        <v>#DIV/0!</v>
      </c>
      <c r="Z1561" s="6" t="e">
        <f ca="1">SQRT($B$9*AVERAGE(W1561:OFFSET(W1561,$B$7-1,0)))</f>
        <v>#DIV/0!</v>
      </c>
      <c r="AA1561" s="6" t="e">
        <f ca="1">SQRT($B$9*AVERAGE(W1561:OFFSET(W1561,$B$8-1,0)))</f>
        <v>#DIV/0!</v>
      </c>
      <c r="AC1561" s="34" t="e">
        <f t="shared" si="130"/>
        <v>#DIV/0!</v>
      </c>
      <c r="AD1561" s="34" t="e">
        <f ca="1">SQRT($B$9*SUM(AC1561:OFFSET(AC1561,$B$5-1,0))/($B$5-1))</f>
        <v>#DIV/0!</v>
      </c>
      <c r="AE1561" s="34" t="e">
        <f ca="1">SQRT($B$9*SUM(AC1561:OFFSET(AC1561,$B$6-1,0))/($B$6-1))</f>
        <v>#DIV/0!</v>
      </c>
      <c r="AF1561" s="34" t="e">
        <f ca="1">SQRT($B$9*SUM(AC1561:OFFSET(AC1561,$B$7-1,0))/($B$7-1))</f>
        <v>#DIV/0!</v>
      </c>
      <c r="AG1561" s="34" t="e">
        <f ca="1">SQRT($B$9*SUM(AC1561:OFFSET(AC1561,$B$8-1,0))/($B$8-1))</f>
        <v>#DIV/0!</v>
      </c>
      <c r="AI1561" s="1" t="e">
        <f t="shared" si="131"/>
        <v>#DIV/0!</v>
      </c>
      <c r="AJ1561" s="4" t="e">
        <f ca="1">SQRT($B$9)*_xlfn.STDEV.S(AI1561:OFFSET(AI1561,$B$5-1,0))</f>
        <v>#DIV/0!</v>
      </c>
      <c r="AK1561" s="4" t="e">
        <f ca="1">SQRT($B$9)*_xlfn.STDEV.S(AI1561:OFFSET(AI1561,$B$6-1,0))</f>
        <v>#DIV/0!</v>
      </c>
      <c r="AL1561" s="4" t="e">
        <f ca="1">SQRT($B$9)*_xlfn.STDEV.S(AI1561:OFFSET(AI1561,$B$7-1,0))</f>
        <v>#DIV/0!</v>
      </c>
      <c r="AM1561" s="4" t="e">
        <f ca="1">SQRT($B$9)*_xlfn.STDEV.S(AI1561:OFFSET(AI1561,$B$8-1,0))</f>
        <v>#DIV/0!</v>
      </c>
    </row>
    <row r="1562" spans="11:39" x14ac:dyDescent="0.2">
      <c r="K1562" s="3" t="e">
        <f t="shared" si="129"/>
        <v>#DIV/0!</v>
      </c>
      <c r="L1562" s="3" t="e">
        <f ca="1">SQRT(AVERAGE(K1562:OFFSET(K1562,$B$5-1,0))*$B$9/(4*LN(2)))</f>
        <v>#DIV/0!</v>
      </c>
      <c r="M1562" s="3" t="e">
        <f ca="1">SQRT(AVERAGE(K1562:OFFSET(K1562,$B$6-1,0))*$B$9/(4*LN(2)))</f>
        <v>#DIV/0!</v>
      </c>
      <c r="N1562" s="3" t="e">
        <f ca="1">SQRT(AVERAGE(K1562:OFFSET(K1562,$B$7-1,0))*$B$9/(4*LN(2)))</f>
        <v>#DIV/0!</v>
      </c>
      <c r="O1562" s="3" t="e">
        <f ca="1">SQRT(AVERAGE(K1562:OFFSET(K1562,$B$8-1,0))*$B$9/(4*LN(2)))</f>
        <v>#DIV/0!</v>
      </c>
      <c r="Q1562" s="5" t="e">
        <f t="shared" si="128"/>
        <v>#DIV/0!</v>
      </c>
      <c r="R1562" s="5" t="e">
        <f ca="1">SQRT($B$9*AVERAGE((Q1562:OFFSET(Q1562,$B$5-1,0))))</f>
        <v>#DIV/0!</v>
      </c>
      <c r="S1562" s="5" t="e">
        <f ca="1">SQRT($B$9*AVERAGE((Q1562:OFFSET(Q1562,$B$6-1,0))))</f>
        <v>#DIV/0!</v>
      </c>
      <c r="T1562" s="5" t="e">
        <f ca="1">SQRT($B$9*AVERAGE((Q1562:OFFSET(Q1562,$B$7-1,0))))</f>
        <v>#DIV/0!</v>
      </c>
      <c r="U1562" s="5" t="e">
        <f ca="1">SQRT($B$9*AVERAGE((Q1562:OFFSET(Q1562,$B$8-1,0))))</f>
        <v>#DIV/0!</v>
      </c>
      <c r="W1562" s="6" t="e">
        <f t="shared" si="127"/>
        <v>#DIV/0!</v>
      </c>
      <c r="X1562" s="6" t="e">
        <f ca="1">SQRT($B$9*AVERAGE(W1562:OFFSET(W1562,$B$5-1,0)))</f>
        <v>#DIV/0!</v>
      </c>
      <c r="Y1562" s="6" t="e">
        <f ca="1">SQRT($B$9*AVERAGE(W1562:OFFSET(W1562,$B$6-1,0)))</f>
        <v>#DIV/0!</v>
      </c>
      <c r="Z1562" s="6" t="e">
        <f ca="1">SQRT($B$9*AVERAGE(W1562:OFFSET(W1562,$B$7-1,0)))</f>
        <v>#DIV/0!</v>
      </c>
      <c r="AA1562" s="6" t="e">
        <f ca="1">SQRT($B$9*AVERAGE(W1562:OFFSET(W1562,$B$8-1,0)))</f>
        <v>#DIV/0!</v>
      </c>
      <c r="AC1562" s="34" t="e">
        <f t="shared" si="130"/>
        <v>#DIV/0!</v>
      </c>
      <c r="AD1562" s="34" t="e">
        <f ca="1">SQRT($B$9*SUM(AC1562:OFFSET(AC1562,$B$5-1,0))/($B$5-1))</f>
        <v>#DIV/0!</v>
      </c>
      <c r="AE1562" s="34" t="e">
        <f ca="1">SQRT($B$9*SUM(AC1562:OFFSET(AC1562,$B$6-1,0))/($B$6-1))</f>
        <v>#DIV/0!</v>
      </c>
      <c r="AF1562" s="34" t="e">
        <f ca="1">SQRT($B$9*SUM(AC1562:OFFSET(AC1562,$B$7-1,0))/($B$7-1))</f>
        <v>#DIV/0!</v>
      </c>
      <c r="AG1562" s="34" t="e">
        <f ca="1">SQRT($B$9*SUM(AC1562:OFFSET(AC1562,$B$8-1,0))/($B$8-1))</f>
        <v>#DIV/0!</v>
      </c>
      <c r="AI1562" s="1" t="e">
        <f t="shared" si="131"/>
        <v>#DIV/0!</v>
      </c>
      <c r="AJ1562" s="4" t="e">
        <f ca="1">SQRT($B$9)*_xlfn.STDEV.S(AI1562:OFFSET(AI1562,$B$5-1,0))</f>
        <v>#DIV/0!</v>
      </c>
      <c r="AK1562" s="4" t="e">
        <f ca="1">SQRT($B$9)*_xlfn.STDEV.S(AI1562:OFFSET(AI1562,$B$6-1,0))</f>
        <v>#DIV/0!</v>
      </c>
      <c r="AL1562" s="4" t="e">
        <f ca="1">SQRT($B$9)*_xlfn.STDEV.S(AI1562:OFFSET(AI1562,$B$7-1,0))</f>
        <v>#DIV/0!</v>
      </c>
      <c r="AM1562" s="4" t="e">
        <f ca="1">SQRT($B$9)*_xlfn.STDEV.S(AI1562:OFFSET(AI1562,$B$8-1,0))</f>
        <v>#DIV/0!</v>
      </c>
    </row>
    <row r="1563" spans="11:39" x14ac:dyDescent="0.2">
      <c r="K1563" s="3" t="e">
        <f t="shared" si="129"/>
        <v>#DIV/0!</v>
      </c>
      <c r="L1563" s="3" t="e">
        <f ca="1">SQRT(AVERAGE(K1563:OFFSET(K1563,$B$5-1,0))*$B$9/(4*LN(2)))</f>
        <v>#DIV/0!</v>
      </c>
      <c r="M1563" s="3" t="e">
        <f ca="1">SQRT(AVERAGE(K1563:OFFSET(K1563,$B$6-1,0))*$B$9/(4*LN(2)))</f>
        <v>#DIV/0!</v>
      </c>
      <c r="N1563" s="3" t="e">
        <f ca="1">SQRT(AVERAGE(K1563:OFFSET(K1563,$B$7-1,0))*$B$9/(4*LN(2)))</f>
        <v>#DIV/0!</v>
      </c>
      <c r="O1563" s="3" t="e">
        <f ca="1">SQRT(AVERAGE(K1563:OFFSET(K1563,$B$8-1,0))*$B$9/(4*LN(2)))</f>
        <v>#DIV/0!</v>
      </c>
      <c r="Q1563" s="5" t="e">
        <f t="shared" si="128"/>
        <v>#DIV/0!</v>
      </c>
      <c r="R1563" s="5" t="e">
        <f ca="1">SQRT($B$9*AVERAGE((Q1563:OFFSET(Q1563,$B$5-1,0))))</f>
        <v>#DIV/0!</v>
      </c>
      <c r="S1563" s="5" t="e">
        <f ca="1">SQRT($B$9*AVERAGE((Q1563:OFFSET(Q1563,$B$6-1,0))))</f>
        <v>#DIV/0!</v>
      </c>
      <c r="T1563" s="5" t="e">
        <f ca="1">SQRT($B$9*AVERAGE((Q1563:OFFSET(Q1563,$B$7-1,0))))</f>
        <v>#DIV/0!</v>
      </c>
      <c r="U1563" s="5" t="e">
        <f ca="1">SQRT($B$9*AVERAGE((Q1563:OFFSET(Q1563,$B$8-1,0))))</f>
        <v>#DIV/0!</v>
      </c>
      <c r="W1563" s="6" t="e">
        <f t="shared" si="127"/>
        <v>#DIV/0!</v>
      </c>
      <c r="X1563" s="6" t="e">
        <f ca="1">SQRT($B$9*AVERAGE(W1563:OFFSET(W1563,$B$5-1,0)))</f>
        <v>#DIV/0!</v>
      </c>
      <c r="Y1563" s="6" t="e">
        <f ca="1">SQRT($B$9*AVERAGE(W1563:OFFSET(W1563,$B$6-1,0)))</f>
        <v>#DIV/0!</v>
      </c>
      <c r="Z1563" s="6" t="e">
        <f ca="1">SQRT($B$9*AVERAGE(W1563:OFFSET(W1563,$B$7-1,0)))</f>
        <v>#DIV/0!</v>
      </c>
      <c r="AA1563" s="6" t="e">
        <f ca="1">SQRT($B$9*AVERAGE(W1563:OFFSET(W1563,$B$8-1,0)))</f>
        <v>#DIV/0!</v>
      </c>
      <c r="AC1563" s="34" t="e">
        <f t="shared" si="130"/>
        <v>#DIV/0!</v>
      </c>
      <c r="AD1563" s="34" t="e">
        <f ca="1">SQRT($B$9*SUM(AC1563:OFFSET(AC1563,$B$5-1,0))/($B$5-1))</f>
        <v>#DIV/0!</v>
      </c>
      <c r="AE1563" s="34" t="e">
        <f ca="1">SQRT($B$9*SUM(AC1563:OFFSET(AC1563,$B$6-1,0))/($B$6-1))</f>
        <v>#DIV/0!</v>
      </c>
      <c r="AF1563" s="34" t="e">
        <f ca="1">SQRT($B$9*SUM(AC1563:OFFSET(AC1563,$B$7-1,0))/($B$7-1))</f>
        <v>#DIV/0!</v>
      </c>
      <c r="AG1563" s="34" t="e">
        <f ca="1">SQRT($B$9*SUM(AC1563:OFFSET(AC1563,$B$8-1,0))/($B$8-1))</f>
        <v>#DIV/0!</v>
      </c>
      <c r="AI1563" s="1" t="e">
        <f t="shared" si="131"/>
        <v>#DIV/0!</v>
      </c>
      <c r="AJ1563" s="4" t="e">
        <f ca="1">SQRT($B$9)*_xlfn.STDEV.S(AI1563:OFFSET(AI1563,$B$5-1,0))</f>
        <v>#DIV/0!</v>
      </c>
      <c r="AK1563" s="4" t="e">
        <f ca="1">SQRT($B$9)*_xlfn.STDEV.S(AI1563:OFFSET(AI1563,$B$6-1,0))</f>
        <v>#DIV/0!</v>
      </c>
      <c r="AL1563" s="4" t="e">
        <f ca="1">SQRT($B$9)*_xlfn.STDEV.S(AI1563:OFFSET(AI1563,$B$7-1,0))</f>
        <v>#DIV/0!</v>
      </c>
      <c r="AM1563" s="4" t="e">
        <f ca="1">SQRT($B$9)*_xlfn.STDEV.S(AI1563:OFFSET(AI1563,$B$8-1,0))</f>
        <v>#DIV/0!</v>
      </c>
    </row>
    <row r="1564" spans="11:39" x14ac:dyDescent="0.2">
      <c r="K1564" s="3" t="e">
        <f t="shared" si="129"/>
        <v>#DIV/0!</v>
      </c>
      <c r="L1564" s="3" t="e">
        <f ca="1">SQRT(AVERAGE(K1564:OFFSET(K1564,$B$5-1,0))*$B$9/(4*LN(2)))</f>
        <v>#DIV/0!</v>
      </c>
      <c r="M1564" s="3" t="e">
        <f ca="1">SQRT(AVERAGE(K1564:OFFSET(K1564,$B$6-1,0))*$B$9/(4*LN(2)))</f>
        <v>#DIV/0!</v>
      </c>
      <c r="N1564" s="3" t="e">
        <f ca="1">SQRT(AVERAGE(K1564:OFFSET(K1564,$B$7-1,0))*$B$9/(4*LN(2)))</f>
        <v>#DIV/0!</v>
      </c>
      <c r="O1564" s="3" t="e">
        <f ca="1">SQRT(AVERAGE(K1564:OFFSET(K1564,$B$8-1,0))*$B$9/(4*LN(2)))</f>
        <v>#DIV/0!</v>
      </c>
      <c r="Q1564" s="5" t="e">
        <f t="shared" si="128"/>
        <v>#DIV/0!</v>
      </c>
      <c r="R1564" s="5" t="e">
        <f ca="1">SQRT($B$9*AVERAGE((Q1564:OFFSET(Q1564,$B$5-1,0))))</f>
        <v>#DIV/0!</v>
      </c>
      <c r="S1564" s="5" t="e">
        <f ca="1">SQRT($B$9*AVERAGE((Q1564:OFFSET(Q1564,$B$6-1,0))))</f>
        <v>#DIV/0!</v>
      </c>
      <c r="T1564" s="5" t="e">
        <f ca="1">SQRT($B$9*AVERAGE((Q1564:OFFSET(Q1564,$B$7-1,0))))</f>
        <v>#DIV/0!</v>
      </c>
      <c r="U1564" s="5" t="e">
        <f ca="1">SQRT($B$9*AVERAGE((Q1564:OFFSET(Q1564,$B$8-1,0))))</f>
        <v>#DIV/0!</v>
      </c>
      <c r="W1564" s="6" t="e">
        <f t="shared" si="127"/>
        <v>#DIV/0!</v>
      </c>
      <c r="X1564" s="6" t="e">
        <f ca="1">SQRT($B$9*AVERAGE(W1564:OFFSET(W1564,$B$5-1,0)))</f>
        <v>#DIV/0!</v>
      </c>
      <c r="Y1564" s="6" t="e">
        <f ca="1">SQRT($B$9*AVERAGE(W1564:OFFSET(W1564,$B$6-1,0)))</f>
        <v>#DIV/0!</v>
      </c>
      <c r="Z1564" s="6" t="e">
        <f ca="1">SQRT($B$9*AVERAGE(W1564:OFFSET(W1564,$B$7-1,0)))</f>
        <v>#DIV/0!</v>
      </c>
      <c r="AA1564" s="6" t="e">
        <f ca="1">SQRT($B$9*AVERAGE(W1564:OFFSET(W1564,$B$8-1,0)))</f>
        <v>#DIV/0!</v>
      </c>
      <c r="AC1564" s="34" t="e">
        <f t="shared" si="130"/>
        <v>#DIV/0!</v>
      </c>
      <c r="AD1564" s="34" t="e">
        <f ca="1">SQRT($B$9*SUM(AC1564:OFFSET(AC1564,$B$5-1,0))/($B$5-1))</f>
        <v>#DIV/0!</v>
      </c>
      <c r="AE1564" s="34" t="e">
        <f ca="1">SQRT($B$9*SUM(AC1564:OFFSET(AC1564,$B$6-1,0))/($B$6-1))</f>
        <v>#DIV/0!</v>
      </c>
      <c r="AF1564" s="34" t="e">
        <f ca="1">SQRT($B$9*SUM(AC1564:OFFSET(AC1564,$B$7-1,0))/($B$7-1))</f>
        <v>#DIV/0!</v>
      </c>
      <c r="AG1564" s="34" t="e">
        <f ca="1">SQRT($B$9*SUM(AC1564:OFFSET(AC1564,$B$8-1,0))/($B$8-1))</f>
        <v>#DIV/0!</v>
      </c>
      <c r="AI1564" s="1" t="e">
        <f t="shared" si="131"/>
        <v>#DIV/0!</v>
      </c>
      <c r="AJ1564" s="4" t="e">
        <f ca="1">SQRT($B$9)*_xlfn.STDEV.S(AI1564:OFFSET(AI1564,$B$5-1,0))</f>
        <v>#DIV/0!</v>
      </c>
      <c r="AK1564" s="4" t="e">
        <f ca="1">SQRT($B$9)*_xlfn.STDEV.S(AI1564:OFFSET(AI1564,$B$6-1,0))</f>
        <v>#DIV/0!</v>
      </c>
      <c r="AL1564" s="4" t="e">
        <f ca="1">SQRT($B$9)*_xlfn.STDEV.S(AI1564:OFFSET(AI1564,$B$7-1,0))</f>
        <v>#DIV/0!</v>
      </c>
      <c r="AM1564" s="4" t="e">
        <f ca="1">SQRT($B$9)*_xlfn.STDEV.S(AI1564:OFFSET(AI1564,$B$8-1,0))</f>
        <v>#DIV/0!</v>
      </c>
    </row>
    <row r="1565" spans="11:39" x14ac:dyDescent="0.2">
      <c r="K1565" s="3" t="e">
        <f t="shared" si="129"/>
        <v>#DIV/0!</v>
      </c>
      <c r="L1565" s="3" t="e">
        <f ca="1">SQRT(AVERAGE(K1565:OFFSET(K1565,$B$5-1,0))*$B$9/(4*LN(2)))</f>
        <v>#DIV/0!</v>
      </c>
      <c r="M1565" s="3" t="e">
        <f ca="1">SQRT(AVERAGE(K1565:OFFSET(K1565,$B$6-1,0))*$B$9/(4*LN(2)))</f>
        <v>#DIV/0!</v>
      </c>
      <c r="N1565" s="3" t="e">
        <f ca="1">SQRT(AVERAGE(K1565:OFFSET(K1565,$B$7-1,0))*$B$9/(4*LN(2)))</f>
        <v>#DIV/0!</v>
      </c>
      <c r="O1565" s="3" t="e">
        <f ca="1">SQRT(AVERAGE(K1565:OFFSET(K1565,$B$8-1,0))*$B$9/(4*LN(2)))</f>
        <v>#DIV/0!</v>
      </c>
      <c r="Q1565" s="5" t="e">
        <f t="shared" si="128"/>
        <v>#DIV/0!</v>
      </c>
      <c r="R1565" s="5" t="e">
        <f ca="1">SQRT($B$9*AVERAGE((Q1565:OFFSET(Q1565,$B$5-1,0))))</f>
        <v>#DIV/0!</v>
      </c>
      <c r="S1565" s="5" t="e">
        <f ca="1">SQRT($B$9*AVERAGE((Q1565:OFFSET(Q1565,$B$6-1,0))))</f>
        <v>#DIV/0!</v>
      </c>
      <c r="T1565" s="5" t="e">
        <f ca="1">SQRT($B$9*AVERAGE((Q1565:OFFSET(Q1565,$B$7-1,0))))</f>
        <v>#DIV/0!</v>
      </c>
      <c r="U1565" s="5" t="e">
        <f ca="1">SQRT($B$9*AVERAGE((Q1565:OFFSET(Q1565,$B$8-1,0))))</f>
        <v>#DIV/0!</v>
      </c>
      <c r="W1565" s="6" t="e">
        <f t="shared" si="127"/>
        <v>#DIV/0!</v>
      </c>
      <c r="X1565" s="6" t="e">
        <f ca="1">SQRT($B$9*AVERAGE(W1565:OFFSET(W1565,$B$5-1,0)))</f>
        <v>#DIV/0!</v>
      </c>
      <c r="Y1565" s="6" t="e">
        <f ca="1">SQRT($B$9*AVERAGE(W1565:OFFSET(W1565,$B$6-1,0)))</f>
        <v>#DIV/0!</v>
      </c>
      <c r="Z1565" s="6" t="e">
        <f ca="1">SQRT($B$9*AVERAGE(W1565:OFFSET(W1565,$B$7-1,0)))</f>
        <v>#DIV/0!</v>
      </c>
      <c r="AA1565" s="6" t="e">
        <f ca="1">SQRT($B$9*AVERAGE(W1565:OFFSET(W1565,$B$8-1,0)))</f>
        <v>#DIV/0!</v>
      </c>
      <c r="AC1565" s="34" t="e">
        <f t="shared" si="130"/>
        <v>#DIV/0!</v>
      </c>
      <c r="AD1565" s="34" t="e">
        <f ca="1">SQRT($B$9*SUM(AC1565:OFFSET(AC1565,$B$5-1,0))/($B$5-1))</f>
        <v>#DIV/0!</v>
      </c>
      <c r="AE1565" s="34" t="e">
        <f ca="1">SQRT($B$9*SUM(AC1565:OFFSET(AC1565,$B$6-1,0))/($B$6-1))</f>
        <v>#DIV/0!</v>
      </c>
      <c r="AF1565" s="34" t="e">
        <f ca="1">SQRT($B$9*SUM(AC1565:OFFSET(AC1565,$B$7-1,0))/($B$7-1))</f>
        <v>#DIV/0!</v>
      </c>
      <c r="AG1565" s="34" t="e">
        <f ca="1">SQRT($B$9*SUM(AC1565:OFFSET(AC1565,$B$8-1,0))/($B$8-1))</f>
        <v>#DIV/0!</v>
      </c>
      <c r="AI1565" s="1" t="e">
        <f t="shared" si="131"/>
        <v>#DIV/0!</v>
      </c>
      <c r="AJ1565" s="4" t="e">
        <f ca="1">SQRT($B$9)*_xlfn.STDEV.S(AI1565:OFFSET(AI1565,$B$5-1,0))</f>
        <v>#DIV/0!</v>
      </c>
      <c r="AK1565" s="4" t="e">
        <f ca="1">SQRT($B$9)*_xlfn.STDEV.S(AI1565:OFFSET(AI1565,$B$6-1,0))</f>
        <v>#DIV/0!</v>
      </c>
      <c r="AL1565" s="4" t="e">
        <f ca="1">SQRT($B$9)*_xlfn.STDEV.S(AI1565:OFFSET(AI1565,$B$7-1,0))</f>
        <v>#DIV/0!</v>
      </c>
      <c r="AM1565" s="4" t="e">
        <f ca="1">SQRT($B$9)*_xlfn.STDEV.S(AI1565:OFFSET(AI1565,$B$8-1,0))</f>
        <v>#DIV/0!</v>
      </c>
    </row>
    <row r="1566" spans="11:39" x14ac:dyDescent="0.2">
      <c r="K1566" s="3" t="e">
        <f t="shared" si="129"/>
        <v>#DIV/0!</v>
      </c>
      <c r="L1566" s="3" t="e">
        <f ca="1">SQRT(AVERAGE(K1566:OFFSET(K1566,$B$5-1,0))*$B$9/(4*LN(2)))</f>
        <v>#DIV/0!</v>
      </c>
      <c r="M1566" s="3" t="e">
        <f ca="1">SQRT(AVERAGE(K1566:OFFSET(K1566,$B$6-1,0))*$B$9/(4*LN(2)))</f>
        <v>#DIV/0!</v>
      </c>
      <c r="N1566" s="3" t="e">
        <f ca="1">SQRT(AVERAGE(K1566:OFFSET(K1566,$B$7-1,0))*$B$9/(4*LN(2)))</f>
        <v>#DIV/0!</v>
      </c>
      <c r="O1566" s="3" t="e">
        <f ca="1">SQRT(AVERAGE(K1566:OFFSET(K1566,$B$8-1,0))*$B$9/(4*LN(2)))</f>
        <v>#DIV/0!</v>
      </c>
      <c r="Q1566" s="5" t="e">
        <f t="shared" si="128"/>
        <v>#DIV/0!</v>
      </c>
      <c r="R1566" s="5" t="e">
        <f ca="1">SQRT($B$9*AVERAGE((Q1566:OFFSET(Q1566,$B$5-1,0))))</f>
        <v>#DIV/0!</v>
      </c>
      <c r="S1566" s="5" t="e">
        <f ca="1">SQRT($B$9*AVERAGE((Q1566:OFFSET(Q1566,$B$6-1,0))))</f>
        <v>#DIV/0!</v>
      </c>
      <c r="T1566" s="5" t="e">
        <f ca="1">SQRT($B$9*AVERAGE((Q1566:OFFSET(Q1566,$B$7-1,0))))</f>
        <v>#DIV/0!</v>
      </c>
      <c r="U1566" s="5" t="e">
        <f ca="1">SQRT($B$9*AVERAGE((Q1566:OFFSET(Q1566,$B$8-1,0))))</f>
        <v>#DIV/0!</v>
      </c>
      <c r="W1566" s="6" t="e">
        <f t="shared" si="127"/>
        <v>#DIV/0!</v>
      </c>
      <c r="X1566" s="6" t="e">
        <f ca="1">SQRT($B$9*AVERAGE(W1566:OFFSET(W1566,$B$5-1,0)))</f>
        <v>#DIV/0!</v>
      </c>
      <c r="Y1566" s="6" t="e">
        <f ca="1">SQRT($B$9*AVERAGE(W1566:OFFSET(W1566,$B$6-1,0)))</f>
        <v>#DIV/0!</v>
      </c>
      <c r="Z1566" s="6" t="e">
        <f ca="1">SQRT($B$9*AVERAGE(W1566:OFFSET(W1566,$B$7-1,0)))</f>
        <v>#DIV/0!</v>
      </c>
      <c r="AA1566" s="6" t="e">
        <f ca="1">SQRT($B$9*AVERAGE(W1566:OFFSET(W1566,$B$8-1,0)))</f>
        <v>#DIV/0!</v>
      </c>
      <c r="AC1566" s="34" t="e">
        <f t="shared" si="130"/>
        <v>#DIV/0!</v>
      </c>
      <c r="AD1566" s="34" t="e">
        <f ca="1">SQRT($B$9*SUM(AC1566:OFFSET(AC1566,$B$5-1,0))/($B$5-1))</f>
        <v>#DIV/0!</v>
      </c>
      <c r="AE1566" s="34" t="e">
        <f ca="1">SQRT($B$9*SUM(AC1566:OFFSET(AC1566,$B$6-1,0))/($B$6-1))</f>
        <v>#DIV/0!</v>
      </c>
      <c r="AF1566" s="34" t="e">
        <f ca="1">SQRT($B$9*SUM(AC1566:OFFSET(AC1566,$B$7-1,0))/($B$7-1))</f>
        <v>#DIV/0!</v>
      </c>
      <c r="AG1566" s="34" t="e">
        <f ca="1">SQRT($B$9*SUM(AC1566:OFFSET(AC1566,$B$8-1,0))/($B$8-1))</f>
        <v>#DIV/0!</v>
      </c>
      <c r="AI1566" s="1" t="e">
        <f t="shared" si="131"/>
        <v>#DIV/0!</v>
      </c>
      <c r="AJ1566" s="4" t="e">
        <f ca="1">SQRT($B$9)*_xlfn.STDEV.S(AI1566:OFFSET(AI1566,$B$5-1,0))</f>
        <v>#DIV/0!</v>
      </c>
      <c r="AK1566" s="4" t="e">
        <f ca="1">SQRT($B$9)*_xlfn.STDEV.S(AI1566:OFFSET(AI1566,$B$6-1,0))</f>
        <v>#DIV/0!</v>
      </c>
      <c r="AL1566" s="4" t="e">
        <f ca="1">SQRT($B$9)*_xlfn.STDEV.S(AI1566:OFFSET(AI1566,$B$7-1,0))</f>
        <v>#DIV/0!</v>
      </c>
      <c r="AM1566" s="4" t="e">
        <f ca="1">SQRT($B$9)*_xlfn.STDEV.S(AI1566:OFFSET(AI1566,$B$8-1,0))</f>
        <v>#DIV/0!</v>
      </c>
    </row>
    <row r="1567" spans="11:39" x14ac:dyDescent="0.2">
      <c r="K1567" s="3" t="e">
        <f t="shared" si="129"/>
        <v>#DIV/0!</v>
      </c>
      <c r="L1567" s="3" t="e">
        <f ca="1">SQRT(AVERAGE(K1567:OFFSET(K1567,$B$5-1,0))*$B$9/(4*LN(2)))</f>
        <v>#DIV/0!</v>
      </c>
      <c r="M1567" s="3" t="e">
        <f ca="1">SQRT(AVERAGE(K1567:OFFSET(K1567,$B$6-1,0))*$B$9/(4*LN(2)))</f>
        <v>#DIV/0!</v>
      </c>
      <c r="N1567" s="3" t="e">
        <f ca="1">SQRT(AVERAGE(K1567:OFFSET(K1567,$B$7-1,0))*$B$9/(4*LN(2)))</f>
        <v>#DIV/0!</v>
      </c>
      <c r="O1567" s="3" t="e">
        <f ca="1">SQRT(AVERAGE(K1567:OFFSET(K1567,$B$8-1,0))*$B$9/(4*LN(2)))</f>
        <v>#DIV/0!</v>
      </c>
      <c r="Q1567" s="5" t="e">
        <f t="shared" si="128"/>
        <v>#DIV/0!</v>
      </c>
      <c r="R1567" s="5" t="e">
        <f ca="1">SQRT($B$9*AVERAGE((Q1567:OFFSET(Q1567,$B$5-1,0))))</f>
        <v>#DIV/0!</v>
      </c>
      <c r="S1567" s="5" t="e">
        <f ca="1">SQRT($B$9*AVERAGE((Q1567:OFFSET(Q1567,$B$6-1,0))))</f>
        <v>#DIV/0!</v>
      </c>
      <c r="T1567" s="5" t="e">
        <f ca="1">SQRT($B$9*AVERAGE((Q1567:OFFSET(Q1567,$B$7-1,0))))</f>
        <v>#DIV/0!</v>
      </c>
      <c r="U1567" s="5" t="e">
        <f ca="1">SQRT($B$9*AVERAGE((Q1567:OFFSET(Q1567,$B$8-1,0))))</f>
        <v>#DIV/0!</v>
      </c>
      <c r="W1567" s="6" t="e">
        <f t="shared" si="127"/>
        <v>#DIV/0!</v>
      </c>
      <c r="X1567" s="6" t="e">
        <f ca="1">SQRT($B$9*AVERAGE(W1567:OFFSET(W1567,$B$5-1,0)))</f>
        <v>#DIV/0!</v>
      </c>
      <c r="Y1567" s="6" t="e">
        <f ca="1">SQRT($B$9*AVERAGE(W1567:OFFSET(W1567,$B$6-1,0)))</f>
        <v>#DIV/0!</v>
      </c>
      <c r="Z1567" s="6" t="e">
        <f ca="1">SQRT($B$9*AVERAGE(W1567:OFFSET(W1567,$B$7-1,0)))</f>
        <v>#DIV/0!</v>
      </c>
      <c r="AA1567" s="6" t="e">
        <f ca="1">SQRT($B$9*AVERAGE(W1567:OFFSET(W1567,$B$8-1,0)))</f>
        <v>#DIV/0!</v>
      </c>
      <c r="AC1567" s="34" t="e">
        <f t="shared" si="130"/>
        <v>#DIV/0!</v>
      </c>
      <c r="AD1567" s="34" t="e">
        <f ca="1">SQRT($B$9*SUM(AC1567:OFFSET(AC1567,$B$5-1,0))/($B$5-1))</f>
        <v>#DIV/0!</v>
      </c>
      <c r="AE1567" s="34" t="e">
        <f ca="1">SQRT($B$9*SUM(AC1567:OFFSET(AC1567,$B$6-1,0))/($B$6-1))</f>
        <v>#DIV/0!</v>
      </c>
      <c r="AF1567" s="34" t="e">
        <f ca="1">SQRT($B$9*SUM(AC1567:OFFSET(AC1567,$B$7-1,0))/($B$7-1))</f>
        <v>#DIV/0!</v>
      </c>
      <c r="AG1567" s="34" t="e">
        <f ca="1">SQRT($B$9*SUM(AC1567:OFFSET(AC1567,$B$8-1,0))/($B$8-1))</f>
        <v>#DIV/0!</v>
      </c>
      <c r="AI1567" s="1" t="e">
        <f t="shared" si="131"/>
        <v>#DIV/0!</v>
      </c>
      <c r="AJ1567" s="4" t="e">
        <f ca="1">SQRT($B$9)*_xlfn.STDEV.S(AI1567:OFFSET(AI1567,$B$5-1,0))</f>
        <v>#DIV/0!</v>
      </c>
      <c r="AK1567" s="4" t="e">
        <f ca="1">SQRT($B$9)*_xlfn.STDEV.S(AI1567:OFFSET(AI1567,$B$6-1,0))</f>
        <v>#DIV/0!</v>
      </c>
      <c r="AL1567" s="4" t="e">
        <f ca="1">SQRT($B$9)*_xlfn.STDEV.S(AI1567:OFFSET(AI1567,$B$7-1,0))</f>
        <v>#DIV/0!</v>
      </c>
      <c r="AM1567" s="4" t="e">
        <f ca="1">SQRT($B$9)*_xlfn.STDEV.S(AI1567:OFFSET(AI1567,$B$8-1,0))</f>
        <v>#DIV/0!</v>
      </c>
    </row>
    <row r="1568" spans="11:39" x14ac:dyDescent="0.2">
      <c r="K1568" s="3" t="e">
        <f t="shared" si="129"/>
        <v>#DIV/0!</v>
      </c>
      <c r="L1568" s="3" t="e">
        <f ca="1">SQRT(AVERAGE(K1568:OFFSET(K1568,$B$5-1,0))*$B$9/(4*LN(2)))</f>
        <v>#DIV/0!</v>
      </c>
      <c r="M1568" s="3" t="e">
        <f ca="1">SQRT(AVERAGE(K1568:OFFSET(K1568,$B$6-1,0))*$B$9/(4*LN(2)))</f>
        <v>#DIV/0!</v>
      </c>
      <c r="N1568" s="3" t="e">
        <f ca="1">SQRT(AVERAGE(K1568:OFFSET(K1568,$B$7-1,0))*$B$9/(4*LN(2)))</f>
        <v>#DIV/0!</v>
      </c>
      <c r="O1568" s="3" t="e">
        <f ca="1">SQRT(AVERAGE(K1568:OFFSET(K1568,$B$8-1,0))*$B$9/(4*LN(2)))</f>
        <v>#DIV/0!</v>
      </c>
      <c r="Q1568" s="5" t="e">
        <f t="shared" si="128"/>
        <v>#DIV/0!</v>
      </c>
      <c r="R1568" s="5" t="e">
        <f ca="1">SQRT($B$9*AVERAGE((Q1568:OFFSET(Q1568,$B$5-1,0))))</f>
        <v>#DIV/0!</v>
      </c>
      <c r="S1568" s="5" t="e">
        <f ca="1">SQRT($B$9*AVERAGE((Q1568:OFFSET(Q1568,$B$6-1,0))))</f>
        <v>#DIV/0!</v>
      </c>
      <c r="T1568" s="5" t="e">
        <f ca="1">SQRT($B$9*AVERAGE((Q1568:OFFSET(Q1568,$B$7-1,0))))</f>
        <v>#DIV/0!</v>
      </c>
      <c r="U1568" s="5" t="e">
        <f ca="1">SQRT($B$9*AVERAGE((Q1568:OFFSET(Q1568,$B$8-1,0))))</f>
        <v>#DIV/0!</v>
      </c>
      <c r="W1568" s="6" t="e">
        <f t="shared" si="127"/>
        <v>#DIV/0!</v>
      </c>
      <c r="X1568" s="6" t="e">
        <f ca="1">SQRT($B$9*AVERAGE(W1568:OFFSET(W1568,$B$5-1,0)))</f>
        <v>#DIV/0!</v>
      </c>
      <c r="Y1568" s="6" t="e">
        <f ca="1">SQRT($B$9*AVERAGE(W1568:OFFSET(W1568,$B$6-1,0)))</f>
        <v>#DIV/0!</v>
      </c>
      <c r="Z1568" s="6" t="e">
        <f ca="1">SQRT($B$9*AVERAGE(W1568:OFFSET(W1568,$B$7-1,0)))</f>
        <v>#DIV/0!</v>
      </c>
      <c r="AA1568" s="6" t="e">
        <f ca="1">SQRT($B$9*AVERAGE(W1568:OFFSET(W1568,$B$8-1,0)))</f>
        <v>#DIV/0!</v>
      </c>
      <c r="AC1568" s="34" t="e">
        <f t="shared" si="130"/>
        <v>#DIV/0!</v>
      </c>
      <c r="AD1568" s="34" t="e">
        <f ca="1">SQRT($B$9*SUM(AC1568:OFFSET(AC1568,$B$5-1,0))/($B$5-1))</f>
        <v>#DIV/0!</v>
      </c>
      <c r="AE1568" s="34" t="e">
        <f ca="1">SQRT($B$9*SUM(AC1568:OFFSET(AC1568,$B$6-1,0))/($B$6-1))</f>
        <v>#DIV/0!</v>
      </c>
      <c r="AF1568" s="34" t="e">
        <f ca="1">SQRT($B$9*SUM(AC1568:OFFSET(AC1568,$B$7-1,0))/($B$7-1))</f>
        <v>#DIV/0!</v>
      </c>
      <c r="AG1568" s="34" t="e">
        <f ca="1">SQRT($B$9*SUM(AC1568:OFFSET(AC1568,$B$8-1,0))/($B$8-1))</f>
        <v>#DIV/0!</v>
      </c>
      <c r="AI1568" s="1" t="e">
        <f t="shared" si="131"/>
        <v>#DIV/0!</v>
      </c>
      <c r="AJ1568" s="4" t="e">
        <f ca="1">SQRT($B$9)*_xlfn.STDEV.S(AI1568:OFFSET(AI1568,$B$5-1,0))</f>
        <v>#DIV/0!</v>
      </c>
      <c r="AK1568" s="4" t="e">
        <f ca="1">SQRT($B$9)*_xlfn.STDEV.S(AI1568:OFFSET(AI1568,$B$6-1,0))</f>
        <v>#DIV/0!</v>
      </c>
      <c r="AL1568" s="4" t="e">
        <f ca="1">SQRT($B$9)*_xlfn.STDEV.S(AI1568:OFFSET(AI1568,$B$7-1,0))</f>
        <v>#DIV/0!</v>
      </c>
      <c r="AM1568" s="4" t="e">
        <f ca="1">SQRT($B$9)*_xlfn.STDEV.S(AI1568:OFFSET(AI1568,$B$8-1,0))</f>
        <v>#DIV/0!</v>
      </c>
    </row>
    <row r="1569" spans="11:39" x14ac:dyDescent="0.2">
      <c r="K1569" s="3" t="e">
        <f t="shared" si="129"/>
        <v>#DIV/0!</v>
      </c>
      <c r="L1569" s="3" t="e">
        <f ca="1">SQRT(AVERAGE(K1569:OFFSET(K1569,$B$5-1,0))*$B$9/(4*LN(2)))</f>
        <v>#DIV/0!</v>
      </c>
      <c r="M1569" s="3" t="e">
        <f ca="1">SQRT(AVERAGE(K1569:OFFSET(K1569,$B$6-1,0))*$B$9/(4*LN(2)))</f>
        <v>#DIV/0!</v>
      </c>
      <c r="N1569" s="3" t="e">
        <f ca="1">SQRT(AVERAGE(K1569:OFFSET(K1569,$B$7-1,0))*$B$9/(4*LN(2)))</f>
        <v>#DIV/0!</v>
      </c>
      <c r="O1569" s="3" t="e">
        <f ca="1">SQRT(AVERAGE(K1569:OFFSET(K1569,$B$8-1,0))*$B$9/(4*LN(2)))</f>
        <v>#DIV/0!</v>
      </c>
      <c r="Q1569" s="5" t="e">
        <f t="shared" si="128"/>
        <v>#DIV/0!</v>
      </c>
      <c r="R1569" s="5" t="e">
        <f ca="1">SQRT($B$9*AVERAGE((Q1569:OFFSET(Q1569,$B$5-1,0))))</f>
        <v>#DIV/0!</v>
      </c>
      <c r="S1569" s="5" t="e">
        <f ca="1">SQRT($B$9*AVERAGE((Q1569:OFFSET(Q1569,$B$6-1,0))))</f>
        <v>#DIV/0!</v>
      </c>
      <c r="T1569" s="5" t="e">
        <f ca="1">SQRT($B$9*AVERAGE((Q1569:OFFSET(Q1569,$B$7-1,0))))</f>
        <v>#DIV/0!</v>
      </c>
      <c r="U1569" s="5" t="e">
        <f ca="1">SQRT($B$9*AVERAGE((Q1569:OFFSET(Q1569,$B$8-1,0))))</f>
        <v>#DIV/0!</v>
      </c>
      <c r="W1569" s="6" t="e">
        <f t="shared" si="127"/>
        <v>#DIV/0!</v>
      </c>
      <c r="X1569" s="6" t="e">
        <f ca="1">SQRT($B$9*AVERAGE(W1569:OFFSET(W1569,$B$5-1,0)))</f>
        <v>#DIV/0!</v>
      </c>
      <c r="Y1569" s="6" t="e">
        <f ca="1">SQRT($B$9*AVERAGE(W1569:OFFSET(W1569,$B$6-1,0)))</f>
        <v>#DIV/0!</v>
      </c>
      <c r="Z1569" s="6" t="e">
        <f ca="1">SQRT($B$9*AVERAGE(W1569:OFFSET(W1569,$B$7-1,0)))</f>
        <v>#DIV/0!</v>
      </c>
      <c r="AA1569" s="6" t="e">
        <f ca="1">SQRT($B$9*AVERAGE(W1569:OFFSET(W1569,$B$8-1,0)))</f>
        <v>#DIV/0!</v>
      </c>
      <c r="AC1569" s="34" t="e">
        <f t="shared" si="130"/>
        <v>#DIV/0!</v>
      </c>
      <c r="AD1569" s="34" t="e">
        <f ca="1">SQRT($B$9*SUM(AC1569:OFFSET(AC1569,$B$5-1,0))/($B$5-1))</f>
        <v>#DIV/0!</v>
      </c>
      <c r="AE1569" s="34" t="e">
        <f ca="1">SQRT($B$9*SUM(AC1569:OFFSET(AC1569,$B$6-1,0))/($B$6-1))</f>
        <v>#DIV/0!</v>
      </c>
      <c r="AF1569" s="34" t="e">
        <f ca="1">SQRT($B$9*SUM(AC1569:OFFSET(AC1569,$B$7-1,0))/($B$7-1))</f>
        <v>#DIV/0!</v>
      </c>
      <c r="AG1569" s="34" t="e">
        <f ca="1">SQRT($B$9*SUM(AC1569:OFFSET(AC1569,$B$8-1,0))/($B$8-1))</f>
        <v>#DIV/0!</v>
      </c>
      <c r="AI1569" s="1" t="e">
        <f t="shared" si="131"/>
        <v>#DIV/0!</v>
      </c>
      <c r="AJ1569" s="4" t="e">
        <f ca="1">SQRT($B$9)*_xlfn.STDEV.S(AI1569:OFFSET(AI1569,$B$5-1,0))</f>
        <v>#DIV/0!</v>
      </c>
      <c r="AK1569" s="4" t="e">
        <f ca="1">SQRT($B$9)*_xlfn.STDEV.S(AI1569:OFFSET(AI1569,$B$6-1,0))</f>
        <v>#DIV/0!</v>
      </c>
      <c r="AL1569" s="4" t="e">
        <f ca="1">SQRT($B$9)*_xlfn.STDEV.S(AI1569:OFFSET(AI1569,$B$7-1,0))</f>
        <v>#DIV/0!</v>
      </c>
      <c r="AM1569" s="4" t="e">
        <f ca="1">SQRT($B$9)*_xlfn.STDEV.S(AI1569:OFFSET(AI1569,$B$8-1,0))</f>
        <v>#DIV/0!</v>
      </c>
    </row>
    <row r="1570" spans="11:39" x14ac:dyDescent="0.2">
      <c r="K1570" s="3" t="e">
        <f t="shared" si="129"/>
        <v>#DIV/0!</v>
      </c>
      <c r="L1570" s="3" t="e">
        <f ca="1">SQRT(AVERAGE(K1570:OFFSET(K1570,$B$5-1,0))*$B$9/(4*LN(2)))</f>
        <v>#DIV/0!</v>
      </c>
      <c r="M1570" s="3" t="e">
        <f ca="1">SQRT(AVERAGE(K1570:OFFSET(K1570,$B$6-1,0))*$B$9/(4*LN(2)))</f>
        <v>#DIV/0!</v>
      </c>
      <c r="N1570" s="3" t="e">
        <f ca="1">SQRT(AVERAGE(K1570:OFFSET(K1570,$B$7-1,0))*$B$9/(4*LN(2)))</f>
        <v>#DIV/0!</v>
      </c>
      <c r="O1570" s="3" t="e">
        <f ca="1">SQRT(AVERAGE(K1570:OFFSET(K1570,$B$8-1,0))*$B$9/(4*LN(2)))</f>
        <v>#DIV/0!</v>
      </c>
      <c r="Q1570" s="5" t="e">
        <f t="shared" si="128"/>
        <v>#DIV/0!</v>
      </c>
      <c r="R1570" s="5" t="e">
        <f ca="1">SQRT($B$9*AVERAGE((Q1570:OFFSET(Q1570,$B$5-1,0))))</f>
        <v>#DIV/0!</v>
      </c>
      <c r="S1570" s="5" t="e">
        <f ca="1">SQRT($B$9*AVERAGE((Q1570:OFFSET(Q1570,$B$6-1,0))))</f>
        <v>#DIV/0!</v>
      </c>
      <c r="T1570" s="5" t="e">
        <f ca="1">SQRT($B$9*AVERAGE((Q1570:OFFSET(Q1570,$B$7-1,0))))</f>
        <v>#DIV/0!</v>
      </c>
      <c r="U1570" s="5" t="e">
        <f ca="1">SQRT($B$9*AVERAGE((Q1570:OFFSET(Q1570,$B$8-1,0))))</f>
        <v>#DIV/0!</v>
      </c>
      <c r="W1570" s="6" t="e">
        <f t="shared" si="127"/>
        <v>#DIV/0!</v>
      </c>
      <c r="X1570" s="6" t="e">
        <f ca="1">SQRT($B$9*AVERAGE(W1570:OFFSET(W1570,$B$5-1,0)))</f>
        <v>#DIV/0!</v>
      </c>
      <c r="Y1570" s="6" t="e">
        <f ca="1">SQRT($B$9*AVERAGE(W1570:OFFSET(W1570,$B$6-1,0)))</f>
        <v>#DIV/0!</v>
      </c>
      <c r="Z1570" s="6" t="e">
        <f ca="1">SQRT($B$9*AVERAGE(W1570:OFFSET(W1570,$B$7-1,0)))</f>
        <v>#DIV/0!</v>
      </c>
      <c r="AA1570" s="6" t="e">
        <f ca="1">SQRT($B$9*AVERAGE(W1570:OFFSET(W1570,$B$8-1,0)))</f>
        <v>#DIV/0!</v>
      </c>
      <c r="AC1570" s="34" t="e">
        <f t="shared" si="130"/>
        <v>#DIV/0!</v>
      </c>
      <c r="AD1570" s="34" t="e">
        <f ca="1">SQRT($B$9*SUM(AC1570:OFFSET(AC1570,$B$5-1,0))/($B$5-1))</f>
        <v>#DIV/0!</v>
      </c>
      <c r="AE1570" s="34" t="e">
        <f ca="1">SQRT($B$9*SUM(AC1570:OFFSET(AC1570,$B$6-1,0))/($B$6-1))</f>
        <v>#DIV/0!</v>
      </c>
      <c r="AF1570" s="34" t="e">
        <f ca="1">SQRT($B$9*SUM(AC1570:OFFSET(AC1570,$B$7-1,0))/($B$7-1))</f>
        <v>#DIV/0!</v>
      </c>
      <c r="AG1570" s="34" t="e">
        <f ca="1">SQRT($B$9*SUM(AC1570:OFFSET(AC1570,$B$8-1,0))/($B$8-1))</f>
        <v>#DIV/0!</v>
      </c>
      <c r="AI1570" s="1" t="e">
        <f t="shared" si="131"/>
        <v>#DIV/0!</v>
      </c>
      <c r="AJ1570" s="4" t="e">
        <f ca="1">SQRT($B$9)*_xlfn.STDEV.S(AI1570:OFFSET(AI1570,$B$5-1,0))</f>
        <v>#DIV/0!</v>
      </c>
      <c r="AK1570" s="4" t="e">
        <f ca="1">SQRT($B$9)*_xlfn.STDEV.S(AI1570:OFFSET(AI1570,$B$6-1,0))</f>
        <v>#DIV/0!</v>
      </c>
      <c r="AL1570" s="4" t="e">
        <f ca="1">SQRT($B$9)*_xlfn.STDEV.S(AI1570:OFFSET(AI1570,$B$7-1,0))</f>
        <v>#DIV/0!</v>
      </c>
      <c r="AM1570" s="4" t="e">
        <f ca="1">SQRT($B$9)*_xlfn.STDEV.S(AI1570:OFFSET(AI1570,$B$8-1,0))</f>
        <v>#DIV/0!</v>
      </c>
    </row>
    <row r="1571" spans="11:39" x14ac:dyDescent="0.2">
      <c r="K1571" s="3" t="e">
        <f t="shared" si="129"/>
        <v>#DIV/0!</v>
      </c>
      <c r="L1571" s="3" t="e">
        <f ca="1">SQRT(AVERAGE(K1571:OFFSET(K1571,$B$5-1,0))*$B$9/(4*LN(2)))</f>
        <v>#DIV/0!</v>
      </c>
      <c r="M1571" s="3" t="e">
        <f ca="1">SQRT(AVERAGE(K1571:OFFSET(K1571,$B$6-1,0))*$B$9/(4*LN(2)))</f>
        <v>#DIV/0!</v>
      </c>
      <c r="N1571" s="3" t="e">
        <f ca="1">SQRT(AVERAGE(K1571:OFFSET(K1571,$B$7-1,0))*$B$9/(4*LN(2)))</f>
        <v>#DIV/0!</v>
      </c>
      <c r="O1571" s="3" t="e">
        <f ca="1">SQRT(AVERAGE(K1571:OFFSET(K1571,$B$8-1,0))*$B$9/(4*LN(2)))</f>
        <v>#DIV/0!</v>
      </c>
      <c r="Q1571" s="5" t="e">
        <f t="shared" si="128"/>
        <v>#DIV/0!</v>
      </c>
      <c r="R1571" s="5" t="e">
        <f ca="1">SQRT($B$9*AVERAGE((Q1571:OFFSET(Q1571,$B$5-1,0))))</f>
        <v>#DIV/0!</v>
      </c>
      <c r="S1571" s="5" t="e">
        <f ca="1">SQRT($B$9*AVERAGE((Q1571:OFFSET(Q1571,$B$6-1,0))))</f>
        <v>#DIV/0!</v>
      </c>
      <c r="T1571" s="5" t="e">
        <f ca="1">SQRT($B$9*AVERAGE((Q1571:OFFSET(Q1571,$B$7-1,0))))</f>
        <v>#DIV/0!</v>
      </c>
      <c r="U1571" s="5" t="e">
        <f ca="1">SQRT($B$9*AVERAGE((Q1571:OFFSET(Q1571,$B$8-1,0))))</f>
        <v>#DIV/0!</v>
      </c>
      <c r="W1571" s="6" t="e">
        <f t="shared" si="127"/>
        <v>#DIV/0!</v>
      </c>
      <c r="X1571" s="6" t="e">
        <f ca="1">SQRT($B$9*AVERAGE(W1571:OFFSET(W1571,$B$5-1,0)))</f>
        <v>#DIV/0!</v>
      </c>
      <c r="Y1571" s="6" t="e">
        <f ca="1">SQRT($B$9*AVERAGE(W1571:OFFSET(W1571,$B$6-1,0)))</f>
        <v>#DIV/0!</v>
      </c>
      <c r="Z1571" s="6" t="e">
        <f ca="1">SQRT($B$9*AVERAGE(W1571:OFFSET(W1571,$B$7-1,0)))</f>
        <v>#DIV/0!</v>
      </c>
      <c r="AA1571" s="6" t="e">
        <f ca="1">SQRT($B$9*AVERAGE(W1571:OFFSET(W1571,$B$8-1,0)))</f>
        <v>#DIV/0!</v>
      </c>
      <c r="AC1571" s="34" t="e">
        <f t="shared" si="130"/>
        <v>#DIV/0!</v>
      </c>
      <c r="AD1571" s="34" t="e">
        <f ca="1">SQRT($B$9*SUM(AC1571:OFFSET(AC1571,$B$5-1,0))/($B$5-1))</f>
        <v>#DIV/0!</v>
      </c>
      <c r="AE1571" s="34" t="e">
        <f ca="1">SQRT($B$9*SUM(AC1571:OFFSET(AC1571,$B$6-1,0))/($B$6-1))</f>
        <v>#DIV/0!</v>
      </c>
      <c r="AF1571" s="34" t="e">
        <f ca="1">SQRT($B$9*SUM(AC1571:OFFSET(AC1571,$B$7-1,0))/($B$7-1))</f>
        <v>#DIV/0!</v>
      </c>
      <c r="AG1571" s="34" t="e">
        <f ca="1">SQRT($B$9*SUM(AC1571:OFFSET(AC1571,$B$8-1,0))/($B$8-1))</f>
        <v>#DIV/0!</v>
      </c>
      <c r="AI1571" s="1" t="e">
        <f t="shared" si="131"/>
        <v>#DIV/0!</v>
      </c>
      <c r="AJ1571" s="4" t="e">
        <f ca="1">SQRT($B$9)*_xlfn.STDEV.S(AI1571:OFFSET(AI1571,$B$5-1,0))</f>
        <v>#DIV/0!</v>
      </c>
      <c r="AK1571" s="4" t="e">
        <f ca="1">SQRT($B$9)*_xlfn.STDEV.S(AI1571:OFFSET(AI1571,$B$6-1,0))</f>
        <v>#DIV/0!</v>
      </c>
      <c r="AL1571" s="4" t="e">
        <f ca="1">SQRT($B$9)*_xlfn.STDEV.S(AI1571:OFFSET(AI1571,$B$7-1,0))</f>
        <v>#DIV/0!</v>
      </c>
      <c r="AM1571" s="4" t="e">
        <f ca="1">SQRT($B$9)*_xlfn.STDEV.S(AI1571:OFFSET(AI1571,$B$8-1,0))</f>
        <v>#DIV/0!</v>
      </c>
    </row>
    <row r="1572" spans="11:39" x14ac:dyDescent="0.2">
      <c r="K1572" s="3" t="e">
        <f t="shared" si="129"/>
        <v>#DIV/0!</v>
      </c>
      <c r="L1572" s="3" t="e">
        <f ca="1">SQRT(AVERAGE(K1572:OFFSET(K1572,$B$5-1,0))*$B$9/(4*LN(2)))</f>
        <v>#DIV/0!</v>
      </c>
      <c r="M1572" s="3" t="e">
        <f ca="1">SQRT(AVERAGE(K1572:OFFSET(K1572,$B$6-1,0))*$B$9/(4*LN(2)))</f>
        <v>#DIV/0!</v>
      </c>
      <c r="N1572" s="3" t="e">
        <f ca="1">SQRT(AVERAGE(K1572:OFFSET(K1572,$B$7-1,0))*$B$9/(4*LN(2)))</f>
        <v>#DIV/0!</v>
      </c>
      <c r="O1572" s="3" t="e">
        <f ca="1">SQRT(AVERAGE(K1572:OFFSET(K1572,$B$8-1,0))*$B$9/(4*LN(2)))</f>
        <v>#DIV/0!</v>
      </c>
      <c r="Q1572" s="5" t="e">
        <f t="shared" si="128"/>
        <v>#DIV/0!</v>
      </c>
      <c r="R1572" s="5" t="e">
        <f ca="1">SQRT($B$9*AVERAGE((Q1572:OFFSET(Q1572,$B$5-1,0))))</f>
        <v>#DIV/0!</v>
      </c>
      <c r="S1572" s="5" t="e">
        <f ca="1">SQRT($B$9*AVERAGE((Q1572:OFFSET(Q1572,$B$6-1,0))))</f>
        <v>#DIV/0!</v>
      </c>
      <c r="T1572" s="5" t="e">
        <f ca="1">SQRT($B$9*AVERAGE((Q1572:OFFSET(Q1572,$B$7-1,0))))</f>
        <v>#DIV/0!</v>
      </c>
      <c r="U1572" s="5" t="e">
        <f ca="1">SQRT($B$9*AVERAGE((Q1572:OFFSET(Q1572,$B$8-1,0))))</f>
        <v>#DIV/0!</v>
      </c>
      <c r="W1572" s="6" t="e">
        <f t="shared" si="127"/>
        <v>#DIV/0!</v>
      </c>
      <c r="X1572" s="6" t="e">
        <f ca="1">SQRT($B$9*AVERAGE(W1572:OFFSET(W1572,$B$5-1,0)))</f>
        <v>#DIV/0!</v>
      </c>
      <c r="Y1572" s="6" t="e">
        <f ca="1">SQRT($B$9*AVERAGE(W1572:OFFSET(W1572,$B$6-1,0)))</f>
        <v>#DIV/0!</v>
      </c>
      <c r="Z1572" s="6" t="e">
        <f ca="1">SQRT($B$9*AVERAGE(W1572:OFFSET(W1572,$B$7-1,0)))</f>
        <v>#DIV/0!</v>
      </c>
      <c r="AA1572" s="6" t="e">
        <f ca="1">SQRT($B$9*AVERAGE(W1572:OFFSET(W1572,$B$8-1,0)))</f>
        <v>#DIV/0!</v>
      </c>
      <c r="AC1572" s="34" t="e">
        <f t="shared" si="130"/>
        <v>#DIV/0!</v>
      </c>
      <c r="AD1572" s="34" t="e">
        <f ca="1">SQRT($B$9*SUM(AC1572:OFFSET(AC1572,$B$5-1,0))/($B$5-1))</f>
        <v>#DIV/0!</v>
      </c>
      <c r="AE1572" s="34" t="e">
        <f ca="1">SQRT($B$9*SUM(AC1572:OFFSET(AC1572,$B$6-1,0))/($B$6-1))</f>
        <v>#DIV/0!</v>
      </c>
      <c r="AF1572" s="34" t="e">
        <f ca="1">SQRT($B$9*SUM(AC1572:OFFSET(AC1572,$B$7-1,0))/($B$7-1))</f>
        <v>#DIV/0!</v>
      </c>
      <c r="AG1572" s="34" t="e">
        <f ca="1">SQRT($B$9*SUM(AC1572:OFFSET(AC1572,$B$8-1,0))/($B$8-1))</f>
        <v>#DIV/0!</v>
      </c>
      <c r="AI1572" s="1" t="e">
        <f t="shared" si="131"/>
        <v>#DIV/0!</v>
      </c>
      <c r="AJ1572" s="4" t="e">
        <f ca="1">SQRT($B$9)*_xlfn.STDEV.S(AI1572:OFFSET(AI1572,$B$5-1,0))</f>
        <v>#DIV/0!</v>
      </c>
      <c r="AK1572" s="4" t="e">
        <f ca="1">SQRT($B$9)*_xlfn.STDEV.S(AI1572:OFFSET(AI1572,$B$6-1,0))</f>
        <v>#DIV/0!</v>
      </c>
      <c r="AL1572" s="4" t="e">
        <f ca="1">SQRT($B$9)*_xlfn.STDEV.S(AI1572:OFFSET(AI1572,$B$7-1,0))</f>
        <v>#DIV/0!</v>
      </c>
      <c r="AM1572" s="4" t="e">
        <f ca="1">SQRT($B$9)*_xlfn.STDEV.S(AI1572:OFFSET(AI1572,$B$8-1,0))</f>
        <v>#DIV/0!</v>
      </c>
    </row>
    <row r="1573" spans="11:39" x14ac:dyDescent="0.2">
      <c r="K1573" s="3" t="e">
        <f t="shared" si="129"/>
        <v>#DIV/0!</v>
      </c>
      <c r="L1573" s="3" t="e">
        <f ca="1">SQRT(AVERAGE(K1573:OFFSET(K1573,$B$5-1,0))*$B$9/(4*LN(2)))</f>
        <v>#DIV/0!</v>
      </c>
      <c r="M1573" s="3" t="e">
        <f ca="1">SQRT(AVERAGE(K1573:OFFSET(K1573,$B$6-1,0))*$B$9/(4*LN(2)))</f>
        <v>#DIV/0!</v>
      </c>
      <c r="N1573" s="3" t="e">
        <f ca="1">SQRT(AVERAGE(K1573:OFFSET(K1573,$B$7-1,0))*$B$9/(4*LN(2)))</f>
        <v>#DIV/0!</v>
      </c>
      <c r="O1573" s="3" t="e">
        <f ca="1">SQRT(AVERAGE(K1573:OFFSET(K1573,$B$8-1,0))*$B$9/(4*LN(2)))</f>
        <v>#DIV/0!</v>
      </c>
      <c r="Q1573" s="5" t="e">
        <f t="shared" si="128"/>
        <v>#DIV/0!</v>
      </c>
      <c r="R1573" s="5" t="e">
        <f ca="1">SQRT($B$9*AVERAGE((Q1573:OFFSET(Q1573,$B$5-1,0))))</f>
        <v>#DIV/0!</v>
      </c>
      <c r="S1573" s="5" t="e">
        <f ca="1">SQRT($B$9*AVERAGE((Q1573:OFFSET(Q1573,$B$6-1,0))))</f>
        <v>#DIV/0!</v>
      </c>
      <c r="T1573" s="5" t="e">
        <f ca="1">SQRT($B$9*AVERAGE((Q1573:OFFSET(Q1573,$B$7-1,0))))</f>
        <v>#DIV/0!</v>
      </c>
      <c r="U1573" s="5" t="e">
        <f ca="1">SQRT($B$9*AVERAGE((Q1573:OFFSET(Q1573,$B$8-1,0))))</f>
        <v>#DIV/0!</v>
      </c>
      <c r="W1573" s="6" t="e">
        <f t="shared" si="127"/>
        <v>#DIV/0!</v>
      </c>
      <c r="X1573" s="6" t="e">
        <f ca="1">SQRT($B$9*AVERAGE(W1573:OFFSET(W1573,$B$5-1,0)))</f>
        <v>#DIV/0!</v>
      </c>
      <c r="Y1573" s="6" t="e">
        <f ca="1">SQRT($B$9*AVERAGE(W1573:OFFSET(W1573,$B$6-1,0)))</f>
        <v>#DIV/0!</v>
      </c>
      <c r="Z1573" s="6" t="e">
        <f ca="1">SQRT($B$9*AVERAGE(W1573:OFFSET(W1573,$B$7-1,0)))</f>
        <v>#DIV/0!</v>
      </c>
      <c r="AA1573" s="6" t="e">
        <f ca="1">SQRT($B$9*AVERAGE(W1573:OFFSET(W1573,$B$8-1,0)))</f>
        <v>#DIV/0!</v>
      </c>
      <c r="AC1573" s="34" t="e">
        <f t="shared" si="130"/>
        <v>#DIV/0!</v>
      </c>
      <c r="AD1573" s="34" t="e">
        <f ca="1">SQRT($B$9*SUM(AC1573:OFFSET(AC1573,$B$5-1,0))/($B$5-1))</f>
        <v>#DIV/0!</v>
      </c>
      <c r="AE1573" s="34" t="e">
        <f ca="1">SQRT($B$9*SUM(AC1573:OFFSET(AC1573,$B$6-1,0))/($B$6-1))</f>
        <v>#DIV/0!</v>
      </c>
      <c r="AF1573" s="34" t="e">
        <f ca="1">SQRT($B$9*SUM(AC1573:OFFSET(AC1573,$B$7-1,0))/($B$7-1))</f>
        <v>#DIV/0!</v>
      </c>
      <c r="AG1573" s="34" t="e">
        <f ca="1">SQRT($B$9*SUM(AC1573:OFFSET(AC1573,$B$8-1,0))/($B$8-1))</f>
        <v>#DIV/0!</v>
      </c>
      <c r="AI1573" s="1" t="e">
        <f t="shared" si="131"/>
        <v>#DIV/0!</v>
      </c>
      <c r="AJ1573" s="4" t="e">
        <f ca="1">SQRT($B$9)*_xlfn.STDEV.S(AI1573:OFFSET(AI1573,$B$5-1,0))</f>
        <v>#DIV/0!</v>
      </c>
      <c r="AK1573" s="4" t="e">
        <f ca="1">SQRT($B$9)*_xlfn.STDEV.S(AI1573:OFFSET(AI1573,$B$6-1,0))</f>
        <v>#DIV/0!</v>
      </c>
      <c r="AL1573" s="4" t="e">
        <f ca="1">SQRT($B$9)*_xlfn.STDEV.S(AI1573:OFFSET(AI1573,$B$7-1,0))</f>
        <v>#DIV/0!</v>
      </c>
      <c r="AM1573" s="4" t="e">
        <f ca="1">SQRT($B$9)*_xlfn.STDEV.S(AI1573:OFFSET(AI1573,$B$8-1,0))</f>
        <v>#DIV/0!</v>
      </c>
    </row>
    <row r="1574" spans="11:39" x14ac:dyDescent="0.2">
      <c r="K1574" s="3" t="e">
        <f t="shared" si="129"/>
        <v>#DIV/0!</v>
      </c>
      <c r="L1574" s="3" t="e">
        <f ca="1">SQRT(AVERAGE(K1574:OFFSET(K1574,$B$5-1,0))*$B$9/(4*LN(2)))</f>
        <v>#DIV/0!</v>
      </c>
      <c r="M1574" s="3" t="e">
        <f ca="1">SQRT(AVERAGE(K1574:OFFSET(K1574,$B$6-1,0))*$B$9/(4*LN(2)))</f>
        <v>#DIV/0!</v>
      </c>
      <c r="N1574" s="3" t="e">
        <f ca="1">SQRT(AVERAGE(K1574:OFFSET(K1574,$B$7-1,0))*$B$9/(4*LN(2)))</f>
        <v>#DIV/0!</v>
      </c>
      <c r="O1574" s="3" t="e">
        <f ca="1">SQRT(AVERAGE(K1574:OFFSET(K1574,$B$8-1,0))*$B$9/(4*LN(2)))</f>
        <v>#DIV/0!</v>
      </c>
      <c r="Q1574" s="5" t="e">
        <f t="shared" si="128"/>
        <v>#DIV/0!</v>
      </c>
      <c r="R1574" s="5" t="e">
        <f ca="1">SQRT($B$9*AVERAGE((Q1574:OFFSET(Q1574,$B$5-1,0))))</f>
        <v>#DIV/0!</v>
      </c>
      <c r="S1574" s="5" t="e">
        <f ca="1">SQRT($B$9*AVERAGE((Q1574:OFFSET(Q1574,$B$6-1,0))))</f>
        <v>#DIV/0!</v>
      </c>
      <c r="T1574" s="5" t="e">
        <f ca="1">SQRT($B$9*AVERAGE((Q1574:OFFSET(Q1574,$B$7-1,0))))</f>
        <v>#DIV/0!</v>
      </c>
      <c r="U1574" s="5" t="e">
        <f ca="1">SQRT($B$9*AVERAGE((Q1574:OFFSET(Q1574,$B$8-1,0))))</f>
        <v>#DIV/0!</v>
      </c>
      <c r="W1574" s="6" t="e">
        <f t="shared" si="127"/>
        <v>#DIV/0!</v>
      </c>
      <c r="X1574" s="6" t="e">
        <f ca="1">SQRT($B$9*AVERAGE(W1574:OFFSET(W1574,$B$5-1,0)))</f>
        <v>#DIV/0!</v>
      </c>
      <c r="Y1574" s="6" t="e">
        <f ca="1">SQRT($B$9*AVERAGE(W1574:OFFSET(W1574,$B$6-1,0)))</f>
        <v>#DIV/0!</v>
      </c>
      <c r="Z1574" s="6" t="e">
        <f ca="1">SQRT($B$9*AVERAGE(W1574:OFFSET(W1574,$B$7-1,0)))</f>
        <v>#DIV/0!</v>
      </c>
      <c r="AA1574" s="6" t="e">
        <f ca="1">SQRT($B$9*AVERAGE(W1574:OFFSET(W1574,$B$8-1,0)))</f>
        <v>#DIV/0!</v>
      </c>
      <c r="AC1574" s="34" t="e">
        <f t="shared" si="130"/>
        <v>#DIV/0!</v>
      </c>
      <c r="AD1574" s="34" t="e">
        <f ca="1">SQRT($B$9*SUM(AC1574:OFFSET(AC1574,$B$5-1,0))/($B$5-1))</f>
        <v>#DIV/0!</v>
      </c>
      <c r="AE1574" s="34" t="e">
        <f ca="1">SQRT($B$9*SUM(AC1574:OFFSET(AC1574,$B$6-1,0))/($B$6-1))</f>
        <v>#DIV/0!</v>
      </c>
      <c r="AF1574" s="34" t="e">
        <f ca="1">SQRT($B$9*SUM(AC1574:OFFSET(AC1574,$B$7-1,0))/($B$7-1))</f>
        <v>#DIV/0!</v>
      </c>
      <c r="AG1574" s="34" t="e">
        <f ca="1">SQRT($B$9*SUM(AC1574:OFFSET(AC1574,$B$8-1,0))/($B$8-1))</f>
        <v>#DIV/0!</v>
      </c>
      <c r="AI1574" s="1" t="e">
        <f t="shared" si="131"/>
        <v>#DIV/0!</v>
      </c>
      <c r="AJ1574" s="4" t="e">
        <f ca="1">SQRT($B$9)*_xlfn.STDEV.S(AI1574:OFFSET(AI1574,$B$5-1,0))</f>
        <v>#DIV/0!</v>
      </c>
      <c r="AK1574" s="4" t="e">
        <f ca="1">SQRT($B$9)*_xlfn.STDEV.S(AI1574:OFFSET(AI1574,$B$6-1,0))</f>
        <v>#DIV/0!</v>
      </c>
      <c r="AL1574" s="4" t="e">
        <f ca="1">SQRT($B$9)*_xlfn.STDEV.S(AI1574:OFFSET(AI1574,$B$7-1,0))</f>
        <v>#DIV/0!</v>
      </c>
      <c r="AM1574" s="4" t="e">
        <f ca="1">SQRT($B$9)*_xlfn.STDEV.S(AI1574:OFFSET(AI1574,$B$8-1,0))</f>
        <v>#DIV/0!</v>
      </c>
    </row>
    <row r="1575" spans="11:39" x14ac:dyDescent="0.2">
      <c r="K1575" s="3" t="e">
        <f t="shared" si="129"/>
        <v>#DIV/0!</v>
      </c>
      <c r="L1575" s="3" t="e">
        <f ca="1">SQRT(AVERAGE(K1575:OFFSET(K1575,$B$5-1,0))*$B$9/(4*LN(2)))</f>
        <v>#DIV/0!</v>
      </c>
      <c r="M1575" s="3" t="e">
        <f ca="1">SQRT(AVERAGE(K1575:OFFSET(K1575,$B$6-1,0))*$B$9/(4*LN(2)))</f>
        <v>#DIV/0!</v>
      </c>
      <c r="N1575" s="3" t="e">
        <f ca="1">SQRT(AVERAGE(K1575:OFFSET(K1575,$B$7-1,0))*$B$9/(4*LN(2)))</f>
        <v>#DIV/0!</v>
      </c>
      <c r="O1575" s="3" t="e">
        <f ca="1">SQRT(AVERAGE(K1575:OFFSET(K1575,$B$8-1,0))*$B$9/(4*LN(2)))</f>
        <v>#DIV/0!</v>
      </c>
      <c r="Q1575" s="5" t="e">
        <f t="shared" si="128"/>
        <v>#DIV/0!</v>
      </c>
      <c r="R1575" s="5" t="e">
        <f ca="1">SQRT($B$9*AVERAGE((Q1575:OFFSET(Q1575,$B$5-1,0))))</f>
        <v>#DIV/0!</v>
      </c>
      <c r="S1575" s="5" t="e">
        <f ca="1">SQRT($B$9*AVERAGE((Q1575:OFFSET(Q1575,$B$6-1,0))))</f>
        <v>#DIV/0!</v>
      </c>
      <c r="T1575" s="5" t="e">
        <f ca="1">SQRT($B$9*AVERAGE((Q1575:OFFSET(Q1575,$B$7-1,0))))</f>
        <v>#DIV/0!</v>
      </c>
      <c r="U1575" s="5" t="e">
        <f ca="1">SQRT($B$9*AVERAGE((Q1575:OFFSET(Q1575,$B$8-1,0))))</f>
        <v>#DIV/0!</v>
      </c>
      <c r="W1575" s="6" t="e">
        <f t="shared" ref="W1575:W1638" si="132">LN(G1575/I1575)*LN(G1575/F1575)+LN(H1575/I1575)*LN(H1575/F1575)</f>
        <v>#DIV/0!</v>
      </c>
      <c r="X1575" s="6" t="e">
        <f ca="1">SQRT($B$9*AVERAGE(W1575:OFFSET(W1575,$B$5-1,0)))</f>
        <v>#DIV/0!</v>
      </c>
      <c r="Y1575" s="6" t="e">
        <f ca="1">SQRT($B$9*AVERAGE(W1575:OFFSET(W1575,$B$6-1,0)))</f>
        <v>#DIV/0!</v>
      </c>
      <c r="Z1575" s="6" t="e">
        <f ca="1">SQRT($B$9*AVERAGE(W1575:OFFSET(W1575,$B$7-1,0)))</f>
        <v>#DIV/0!</v>
      </c>
      <c r="AA1575" s="6" t="e">
        <f ca="1">SQRT($B$9*AVERAGE(W1575:OFFSET(W1575,$B$8-1,0)))</f>
        <v>#DIV/0!</v>
      </c>
      <c r="AC1575" s="34" t="e">
        <f t="shared" si="130"/>
        <v>#DIV/0!</v>
      </c>
      <c r="AD1575" s="34" t="e">
        <f ca="1">SQRT($B$9*SUM(AC1575:OFFSET(AC1575,$B$5-1,0))/($B$5-1))</f>
        <v>#DIV/0!</v>
      </c>
      <c r="AE1575" s="34" t="e">
        <f ca="1">SQRT($B$9*SUM(AC1575:OFFSET(AC1575,$B$6-1,0))/($B$6-1))</f>
        <v>#DIV/0!</v>
      </c>
      <c r="AF1575" s="34" t="e">
        <f ca="1">SQRT($B$9*SUM(AC1575:OFFSET(AC1575,$B$7-1,0))/($B$7-1))</f>
        <v>#DIV/0!</v>
      </c>
      <c r="AG1575" s="34" t="e">
        <f ca="1">SQRT($B$9*SUM(AC1575:OFFSET(AC1575,$B$8-1,0))/($B$8-1))</f>
        <v>#DIV/0!</v>
      </c>
      <c r="AI1575" s="1" t="e">
        <f t="shared" si="131"/>
        <v>#DIV/0!</v>
      </c>
      <c r="AJ1575" s="4" t="e">
        <f ca="1">SQRT($B$9)*_xlfn.STDEV.S(AI1575:OFFSET(AI1575,$B$5-1,0))</f>
        <v>#DIV/0!</v>
      </c>
      <c r="AK1575" s="4" t="e">
        <f ca="1">SQRT($B$9)*_xlfn.STDEV.S(AI1575:OFFSET(AI1575,$B$6-1,0))</f>
        <v>#DIV/0!</v>
      </c>
      <c r="AL1575" s="4" t="e">
        <f ca="1">SQRT($B$9)*_xlfn.STDEV.S(AI1575:OFFSET(AI1575,$B$7-1,0))</f>
        <v>#DIV/0!</v>
      </c>
      <c r="AM1575" s="4" t="e">
        <f ca="1">SQRT($B$9)*_xlfn.STDEV.S(AI1575:OFFSET(AI1575,$B$8-1,0))</f>
        <v>#DIV/0!</v>
      </c>
    </row>
    <row r="1576" spans="11:39" x14ac:dyDescent="0.2">
      <c r="K1576" s="3" t="e">
        <f t="shared" si="129"/>
        <v>#DIV/0!</v>
      </c>
      <c r="L1576" s="3" t="e">
        <f ca="1">SQRT(AVERAGE(K1576:OFFSET(K1576,$B$5-1,0))*$B$9/(4*LN(2)))</f>
        <v>#DIV/0!</v>
      </c>
      <c r="M1576" s="3" t="e">
        <f ca="1">SQRT(AVERAGE(K1576:OFFSET(K1576,$B$6-1,0))*$B$9/(4*LN(2)))</f>
        <v>#DIV/0!</v>
      </c>
      <c r="N1576" s="3" t="e">
        <f ca="1">SQRT(AVERAGE(K1576:OFFSET(K1576,$B$7-1,0))*$B$9/(4*LN(2)))</f>
        <v>#DIV/0!</v>
      </c>
      <c r="O1576" s="3" t="e">
        <f ca="1">SQRT(AVERAGE(K1576:OFFSET(K1576,$B$8-1,0))*$B$9/(4*LN(2)))</f>
        <v>#DIV/0!</v>
      </c>
      <c r="Q1576" s="5" t="e">
        <f t="shared" si="128"/>
        <v>#DIV/0!</v>
      </c>
      <c r="R1576" s="5" t="e">
        <f ca="1">SQRT($B$9*AVERAGE((Q1576:OFFSET(Q1576,$B$5-1,0))))</f>
        <v>#DIV/0!</v>
      </c>
      <c r="S1576" s="5" t="e">
        <f ca="1">SQRT($B$9*AVERAGE((Q1576:OFFSET(Q1576,$B$6-1,0))))</f>
        <v>#DIV/0!</v>
      </c>
      <c r="T1576" s="5" t="e">
        <f ca="1">SQRT($B$9*AVERAGE((Q1576:OFFSET(Q1576,$B$7-1,0))))</f>
        <v>#DIV/0!</v>
      </c>
      <c r="U1576" s="5" t="e">
        <f ca="1">SQRT($B$9*AVERAGE((Q1576:OFFSET(Q1576,$B$8-1,0))))</f>
        <v>#DIV/0!</v>
      </c>
      <c r="W1576" s="6" t="e">
        <f t="shared" si="132"/>
        <v>#DIV/0!</v>
      </c>
      <c r="X1576" s="6" t="e">
        <f ca="1">SQRT($B$9*AVERAGE(W1576:OFFSET(W1576,$B$5-1,0)))</f>
        <v>#DIV/0!</v>
      </c>
      <c r="Y1576" s="6" t="e">
        <f ca="1">SQRT($B$9*AVERAGE(W1576:OFFSET(W1576,$B$6-1,0)))</f>
        <v>#DIV/0!</v>
      </c>
      <c r="Z1576" s="6" t="e">
        <f ca="1">SQRT($B$9*AVERAGE(W1576:OFFSET(W1576,$B$7-1,0)))</f>
        <v>#DIV/0!</v>
      </c>
      <c r="AA1576" s="6" t="e">
        <f ca="1">SQRT($B$9*AVERAGE(W1576:OFFSET(W1576,$B$8-1,0)))</f>
        <v>#DIV/0!</v>
      </c>
      <c r="AC1576" s="34" t="e">
        <f t="shared" si="130"/>
        <v>#DIV/0!</v>
      </c>
      <c r="AD1576" s="34" t="e">
        <f ca="1">SQRT($B$9*SUM(AC1576:OFFSET(AC1576,$B$5-1,0))/($B$5-1))</f>
        <v>#DIV/0!</v>
      </c>
      <c r="AE1576" s="34" t="e">
        <f ca="1">SQRT($B$9*SUM(AC1576:OFFSET(AC1576,$B$6-1,0))/($B$6-1))</f>
        <v>#DIV/0!</v>
      </c>
      <c r="AF1576" s="34" t="e">
        <f ca="1">SQRT($B$9*SUM(AC1576:OFFSET(AC1576,$B$7-1,0))/($B$7-1))</f>
        <v>#DIV/0!</v>
      </c>
      <c r="AG1576" s="34" t="e">
        <f ca="1">SQRT($B$9*SUM(AC1576:OFFSET(AC1576,$B$8-1,0))/($B$8-1))</f>
        <v>#DIV/0!</v>
      </c>
      <c r="AI1576" s="1" t="e">
        <f t="shared" si="131"/>
        <v>#DIV/0!</v>
      </c>
      <c r="AJ1576" s="4" t="e">
        <f ca="1">SQRT($B$9)*_xlfn.STDEV.S(AI1576:OFFSET(AI1576,$B$5-1,0))</f>
        <v>#DIV/0!</v>
      </c>
      <c r="AK1576" s="4" t="e">
        <f ca="1">SQRT($B$9)*_xlfn.STDEV.S(AI1576:OFFSET(AI1576,$B$6-1,0))</f>
        <v>#DIV/0!</v>
      </c>
      <c r="AL1576" s="4" t="e">
        <f ca="1">SQRT($B$9)*_xlfn.STDEV.S(AI1576:OFFSET(AI1576,$B$7-1,0))</f>
        <v>#DIV/0!</v>
      </c>
      <c r="AM1576" s="4" t="e">
        <f ca="1">SQRT($B$9)*_xlfn.STDEV.S(AI1576:OFFSET(AI1576,$B$8-1,0))</f>
        <v>#DIV/0!</v>
      </c>
    </row>
    <row r="1577" spans="11:39" x14ac:dyDescent="0.2">
      <c r="K1577" s="3" t="e">
        <f t="shared" si="129"/>
        <v>#DIV/0!</v>
      </c>
      <c r="L1577" s="3" t="e">
        <f ca="1">SQRT(AVERAGE(K1577:OFFSET(K1577,$B$5-1,0))*$B$9/(4*LN(2)))</f>
        <v>#DIV/0!</v>
      </c>
      <c r="M1577" s="3" t="e">
        <f ca="1">SQRT(AVERAGE(K1577:OFFSET(K1577,$B$6-1,0))*$B$9/(4*LN(2)))</f>
        <v>#DIV/0!</v>
      </c>
      <c r="N1577" s="3" t="e">
        <f ca="1">SQRT(AVERAGE(K1577:OFFSET(K1577,$B$7-1,0))*$B$9/(4*LN(2)))</f>
        <v>#DIV/0!</v>
      </c>
      <c r="O1577" s="3" t="e">
        <f ca="1">SQRT(AVERAGE(K1577:OFFSET(K1577,$B$8-1,0))*$B$9/(4*LN(2)))</f>
        <v>#DIV/0!</v>
      </c>
      <c r="Q1577" s="5" t="e">
        <f t="shared" si="128"/>
        <v>#DIV/0!</v>
      </c>
      <c r="R1577" s="5" t="e">
        <f ca="1">SQRT($B$9*AVERAGE((Q1577:OFFSET(Q1577,$B$5-1,0))))</f>
        <v>#DIV/0!</v>
      </c>
      <c r="S1577" s="5" t="e">
        <f ca="1">SQRT($B$9*AVERAGE((Q1577:OFFSET(Q1577,$B$6-1,0))))</f>
        <v>#DIV/0!</v>
      </c>
      <c r="T1577" s="5" t="e">
        <f ca="1">SQRT($B$9*AVERAGE((Q1577:OFFSET(Q1577,$B$7-1,0))))</f>
        <v>#DIV/0!</v>
      </c>
      <c r="U1577" s="5" t="e">
        <f ca="1">SQRT($B$9*AVERAGE((Q1577:OFFSET(Q1577,$B$8-1,0))))</f>
        <v>#DIV/0!</v>
      </c>
      <c r="W1577" s="6" t="e">
        <f t="shared" si="132"/>
        <v>#DIV/0!</v>
      </c>
      <c r="X1577" s="6" t="e">
        <f ca="1">SQRT($B$9*AVERAGE(W1577:OFFSET(W1577,$B$5-1,0)))</f>
        <v>#DIV/0!</v>
      </c>
      <c r="Y1577" s="6" t="e">
        <f ca="1">SQRT($B$9*AVERAGE(W1577:OFFSET(W1577,$B$6-1,0)))</f>
        <v>#DIV/0!</v>
      </c>
      <c r="Z1577" s="6" t="e">
        <f ca="1">SQRT($B$9*AVERAGE(W1577:OFFSET(W1577,$B$7-1,0)))</f>
        <v>#DIV/0!</v>
      </c>
      <c r="AA1577" s="6" t="e">
        <f ca="1">SQRT($B$9*AVERAGE(W1577:OFFSET(W1577,$B$8-1,0)))</f>
        <v>#DIV/0!</v>
      </c>
      <c r="AC1577" s="34" t="e">
        <f t="shared" si="130"/>
        <v>#DIV/0!</v>
      </c>
      <c r="AD1577" s="34" t="e">
        <f ca="1">SQRT($B$9*SUM(AC1577:OFFSET(AC1577,$B$5-1,0))/($B$5-1))</f>
        <v>#DIV/0!</v>
      </c>
      <c r="AE1577" s="34" t="e">
        <f ca="1">SQRT($B$9*SUM(AC1577:OFFSET(AC1577,$B$6-1,0))/($B$6-1))</f>
        <v>#DIV/0!</v>
      </c>
      <c r="AF1577" s="34" t="e">
        <f ca="1">SQRT($B$9*SUM(AC1577:OFFSET(AC1577,$B$7-1,0))/($B$7-1))</f>
        <v>#DIV/0!</v>
      </c>
      <c r="AG1577" s="34" t="e">
        <f ca="1">SQRT($B$9*SUM(AC1577:OFFSET(AC1577,$B$8-1,0))/($B$8-1))</f>
        <v>#DIV/0!</v>
      </c>
      <c r="AI1577" s="1" t="e">
        <f t="shared" si="131"/>
        <v>#DIV/0!</v>
      </c>
      <c r="AJ1577" s="4" t="e">
        <f ca="1">SQRT($B$9)*_xlfn.STDEV.S(AI1577:OFFSET(AI1577,$B$5-1,0))</f>
        <v>#DIV/0!</v>
      </c>
      <c r="AK1577" s="4" t="e">
        <f ca="1">SQRT($B$9)*_xlfn.STDEV.S(AI1577:OFFSET(AI1577,$B$6-1,0))</f>
        <v>#DIV/0!</v>
      </c>
      <c r="AL1577" s="4" t="e">
        <f ca="1">SQRT($B$9)*_xlfn.STDEV.S(AI1577:OFFSET(AI1577,$B$7-1,0))</f>
        <v>#DIV/0!</v>
      </c>
      <c r="AM1577" s="4" t="e">
        <f ca="1">SQRT($B$9)*_xlfn.STDEV.S(AI1577:OFFSET(AI1577,$B$8-1,0))</f>
        <v>#DIV/0!</v>
      </c>
    </row>
    <row r="1578" spans="11:39" x14ac:dyDescent="0.2">
      <c r="K1578" s="3" t="e">
        <f t="shared" si="129"/>
        <v>#DIV/0!</v>
      </c>
      <c r="L1578" s="3" t="e">
        <f ca="1">SQRT(AVERAGE(K1578:OFFSET(K1578,$B$5-1,0))*$B$9/(4*LN(2)))</f>
        <v>#DIV/0!</v>
      </c>
      <c r="M1578" s="3" t="e">
        <f ca="1">SQRT(AVERAGE(K1578:OFFSET(K1578,$B$6-1,0))*$B$9/(4*LN(2)))</f>
        <v>#DIV/0!</v>
      </c>
      <c r="N1578" s="3" t="e">
        <f ca="1">SQRT(AVERAGE(K1578:OFFSET(K1578,$B$7-1,0))*$B$9/(4*LN(2)))</f>
        <v>#DIV/0!</v>
      </c>
      <c r="O1578" s="3" t="e">
        <f ca="1">SQRT(AVERAGE(K1578:OFFSET(K1578,$B$8-1,0))*$B$9/(4*LN(2)))</f>
        <v>#DIV/0!</v>
      </c>
      <c r="Q1578" s="5" t="e">
        <f t="shared" si="128"/>
        <v>#DIV/0!</v>
      </c>
      <c r="R1578" s="5" t="e">
        <f ca="1">SQRT($B$9*AVERAGE((Q1578:OFFSET(Q1578,$B$5-1,0))))</f>
        <v>#DIV/0!</v>
      </c>
      <c r="S1578" s="5" t="e">
        <f ca="1">SQRT($B$9*AVERAGE((Q1578:OFFSET(Q1578,$B$6-1,0))))</f>
        <v>#DIV/0!</v>
      </c>
      <c r="T1578" s="5" t="e">
        <f ca="1">SQRT($B$9*AVERAGE((Q1578:OFFSET(Q1578,$B$7-1,0))))</f>
        <v>#DIV/0!</v>
      </c>
      <c r="U1578" s="5" t="e">
        <f ca="1">SQRT($B$9*AVERAGE((Q1578:OFFSET(Q1578,$B$8-1,0))))</f>
        <v>#DIV/0!</v>
      </c>
      <c r="W1578" s="6" t="e">
        <f t="shared" si="132"/>
        <v>#DIV/0!</v>
      </c>
      <c r="X1578" s="6" t="e">
        <f ca="1">SQRT($B$9*AVERAGE(W1578:OFFSET(W1578,$B$5-1,0)))</f>
        <v>#DIV/0!</v>
      </c>
      <c r="Y1578" s="6" t="e">
        <f ca="1">SQRT($B$9*AVERAGE(W1578:OFFSET(W1578,$B$6-1,0)))</f>
        <v>#DIV/0!</v>
      </c>
      <c r="Z1578" s="6" t="e">
        <f ca="1">SQRT($B$9*AVERAGE(W1578:OFFSET(W1578,$B$7-1,0)))</f>
        <v>#DIV/0!</v>
      </c>
      <c r="AA1578" s="6" t="e">
        <f ca="1">SQRT($B$9*AVERAGE(W1578:OFFSET(W1578,$B$8-1,0)))</f>
        <v>#DIV/0!</v>
      </c>
      <c r="AC1578" s="34" t="e">
        <f t="shared" si="130"/>
        <v>#DIV/0!</v>
      </c>
      <c r="AD1578" s="34" t="e">
        <f ca="1">SQRT($B$9*SUM(AC1578:OFFSET(AC1578,$B$5-1,0))/($B$5-1))</f>
        <v>#DIV/0!</v>
      </c>
      <c r="AE1578" s="34" t="e">
        <f ca="1">SQRT($B$9*SUM(AC1578:OFFSET(AC1578,$B$6-1,0))/($B$6-1))</f>
        <v>#DIV/0!</v>
      </c>
      <c r="AF1578" s="34" t="e">
        <f ca="1">SQRT($B$9*SUM(AC1578:OFFSET(AC1578,$B$7-1,0))/($B$7-1))</f>
        <v>#DIV/0!</v>
      </c>
      <c r="AG1578" s="34" t="e">
        <f ca="1">SQRT($B$9*SUM(AC1578:OFFSET(AC1578,$B$8-1,0))/($B$8-1))</f>
        <v>#DIV/0!</v>
      </c>
      <c r="AI1578" s="1" t="e">
        <f t="shared" si="131"/>
        <v>#DIV/0!</v>
      </c>
      <c r="AJ1578" s="4" t="e">
        <f ca="1">SQRT($B$9)*_xlfn.STDEV.S(AI1578:OFFSET(AI1578,$B$5-1,0))</f>
        <v>#DIV/0!</v>
      </c>
      <c r="AK1578" s="4" t="e">
        <f ca="1">SQRT($B$9)*_xlfn.STDEV.S(AI1578:OFFSET(AI1578,$B$6-1,0))</f>
        <v>#DIV/0!</v>
      </c>
      <c r="AL1578" s="4" t="e">
        <f ca="1">SQRT($B$9)*_xlfn.STDEV.S(AI1578:OFFSET(AI1578,$B$7-1,0))</f>
        <v>#DIV/0!</v>
      </c>
      <c r="AM1578" s="4" t="e">
        <f ca="1">SQRT($B$9)*_xlfn.STDEV.S(AI1578:OFFSET(AI1578,$B$8-1,0))</f>
        <v>#DIV/0!</v>
      </c>
    </row>
    <row r="1579" spans="11:39" x14ac:dyDescent="0.2">
      <c r="K1579" s="3" t="e">
        <f t="shared" si="129"/>
        <v>#DIV/0!</v>
      </c>
      <c r="L1579" s="3" t="e">
        <f ca="1">SQRT(AVERAGE(K1579:OFFSET(K1579,$B$5-1,0))*$B$9/(4*LN(2)))</f>
        <v>#DIV/0!</v>
      </c>
      <c r="M1579" s="3" t="e">
        <f ca="1">SQRT(AVERAGE(K1579:OFFSET(K1579,$B$6-1,0))*$B$9/(4*LN(2)))</f>
        <v>#DIV/0!</v>
      </c>
      <c r="N1579" s="3" t="e">
        <f ca="1">SQRT(AVERAGE(K1579:OFFSET(K1579,$B$7-1,0))*$B$9/(4*LN(2)))</f>
        <v>#DIV/0!</v>
      </c>
      <c r="O1579" s="3" t="e">
        <f ca="1">SQRT(AVERAGE(K1579:OFFSET(K1579,$B$8-1,0))*$B$9/(4*LN(2)))</f>
        <v>#DIV/0!</v>
      </c>
      <c r="Q1579" s="5" t="e">
        <f t="shared" si="128"/>
        <v>#DIV/0!</v>
      </c>
      <c r="R1579" s="5" t="e">
        <f ca="1">SQRT($B$9*AVERAGE((Q1579:OFFSET(Q1579,$B$5-1,0))))</f>
        <v>#DIV/0!</v>
      </c>
      <c r="S1579" s="5" t="e">
        <f ca="1">SQRT($B$9*AVERAGE((Q1579:OFFSET(Q1579,$B$6-1,0))))</f>
        <v>#DIV/0!</v>
      </c>
      <c r="T1579" s="5" t="e">
        <f ca="1">SQRT($B$9*AVERAGE((Q1579:OFFSET(Q1579,$B$7-1,0))))</f>
        <v>#DIV/0!</v>
      </c>
      <c r="U1579" s="5" t="e">
        <f ca="1">SQRT($B$9*AVERAGE((Q1579:OFFSET(Q1579,$B$8-1,0))))</f>
        <v>#DIV/0!</v>
      </c>
      <c r="W1579" s="6" t="e">
        <f t="shared" si="132"/>
        <v>#DIV/0!</v>
      </c>
      <c r="X1579" s="6" t="e">
        <f ca="1">SQRT($B$9*AVERAGE(W1579:OFFSET(W1579,$B$5-1,0)))</f>
        <v>#DIV/0!</v>
      </c>
      <c r="Y1579" s="6" t="e">
        <f ca="1">SQRT($B$9*AVERAGE(W1579:OFFSET(W1579,$B$6-1,0)))</f>
        <v>#DIV/0!</v>
      </c>
      <c r="Z1579" s="6" t="e">
        <f ca="1">SQRT($B$9*AVERAGE(W1579:OFFSET(W1579,$B$7-1,0)))</f>
        <v>#DIV/0!</v>
      </c>
      <c r="AA1579" s="6" t="e">
        <f ca="1">SQRT($B$9*AVERAGE(W1579:OFFSET(W1579,$B$8-1,0)))</f>
        <v>#DIV/0!</v>
      </c>
      <c r="AC1579" s="34" t="e">
        <f t="shared" si="130"/>
        <v>#DIV/0!</v>
      </c>
      <c r="AD1579" s="34" t="e">
        <f ca="1">SQRT($B$9*SUM(AC1579:OFFSET(AC1579,$B$5-1,0))/($B$5-1))</f>
        <v>#DIV/0!</v>
      </c>
      <c r="AE1579" s="34" t="e">
        <f ca="1">SQRT($B$9*SUM(AC1579:OFFSET(AC1579,$B$6-1,0))/($B$6-1))</f>
        <v>#DIV/0!</v>
      </c>
      <c r="AF1579" s="34" t="e">
        <f ca="1">SQRT($B$9*SUM(AC1579:OFFSET(AC1579,$B$7-1,0))/($B$7-1))</f>
        <v>#DIV/0!</v>
      </c>
      <c r="AG1579" s="34" t="e">
        <f ca="1">SQRT($B$9*SUM(AC1579:OFFSET(AC1579,$B$8-1,0))/($B$8-1))</f>
        <v>#DIV/0!</v>
      </c>
      <c r="AI1579" s="1" t="e">
        <f t="shared" si="131"/>
        <v>#DIV/0!</v>
      </c>
      <c r="AJ1579" s="4" t="e">
        <f ca="1">SQRT($B$9)*_xlfn.STDEV.S(AI1579:OFFSET(AI1579,$B$5-1,0))</f>
        <v>#DIV/0!</v>
      </c>
      <c r="AK1579" s="4" t="e">
        <f ca="1">SQRT($B$9)*_xlfn.STDEV.S(AI1579:OFFSET(AI1579,$B$6-1,0))</f>
        <v>#DIV/0!</v>
      </c>
      <c r="AL1579" s="4" t="e">
        <f ca="1">SQRT($B$9)*_xlfn.STDEV.S(AI1579:OFFSET(AI1579,$B$7-1,0))</f>
        <v>#DIV/0!</v>
      </c>
      <c r="AM1579" s="4" t="e">
        <f ca="1">SQRT($B$9)*_xlfn.STDEV.S(AI1579:OFFSET(AI1579,$B$8-1,0))</f>
        <v>#DIV/0!</v>
      </c>
    </row>
    <row r="1580" spans="11:39" x14ac:dyDescent="0.2">
      <c r="K1580" s="3" t="e">
        <f t="shared" si="129"/>
        <v>#DIV/0!</v>
      </c>
      <c r="L1580" s="3" t="e">
        <f ca="1">SQRT(AVERAGE(K1580:OFFSET(K1580,$B$5-1,0))*$B$9/(4*LN(2)))</f>
        <v>#DIV/0!</v>
      </c>
      <c r="M1580" s="3" t="e">
        <f ca="1">SQRT(AVERAGE(K1580:OFFSET(K1580,$B$6-1,0))*$B$9/(4*LN(2)))</f>
        <v>#DIV/0!</v>
      </c>
      <c r="N1580" s="3" t="e">
        <f ca="1">SQRT(AVERAGE(K1580:OFFSET(K1580,$B$7-1,0))*$B$9/(4*LN(2)))</f>
        <v>#DIV/0!</v>
      </c>
      <c r="O1580" s="3" t="e">
        <f ca="1">SQRT(AVERAGE(K1580:OFFSET(K1580,$B$8-1,0))*$B$9/(4*LN(2)))</f>
        <v>#DIV/0!</v>
      </c>
      <c r="Q1580" s="5" t="e">
        <f t="shared" si="128"/>
        <v>#DIV/0!</v>
      </c>
      <c r="R1580" s="5" t="e">
        <f ca="1">SQRT($B$9*AVERAGE((Q1580:OFFSET(Q1580,$B$5-1,0))))</f>
        <v>#DIV/0!</v>
      </c>
      <c r="S1580" s="5" t="e">
        <f ca="1">SQRT($B$9*AVERAGE((Q1580:OFFSET(Q1580,$B$6-1,0))))</f>
        <v>#DIV/0!</v>
      </c>
      <c r="T1580" s="5" t="e">
        <f ca="1">SQRT($B$9*AVERAGE((Q1580:OFFSET(Q1580,$B$7-1,0))))</f>
        <v>#DIV/0!</v>
      </c>
      <c r="U1580" s="5" t="e">
        <f ca="1">SQRT($B$9*AVERAGE((Q1580:OFFSET(Q1580,$B$8-1,0))))</f>
        <v>#DIV/0!</v>
      </c>
      <c r="W1580" s="6" t="e">
        <f t="shared" si="132"/>
        <v>#DIV/0!</v>
      </c>
      <c r="X1580" s="6" t="e">
        <f ca="1">SQRT($B$9*AVERAGE(W1580:OFFSET(W1580,$B$5-1,0)))</f>
        <v>#DIV/0!</v>
      </c>
      <c r="Y1580" s="6" t="e">
        <f ca="1">SQRT($B$9*AVERAGE(W1580:OFFSET(W1580,$B$6-1,0)))</f>
        <v>#DIV/0!</v>
      </c>
      <c r="Z1580" s="6" t="e">
        <f ca="1">SQRT($B$9*AVERAGE(W1580:OFFSET(W1580,$B$7-1,0)))</f>
        <v>#DIV/0!</v>
      </c>
      <c r="AA1580" s="6" t="e">
        <f ca="1">SQRT($B$9*AVERAGE(W1580:OFFSET(W1580,$B$8-1,0)))</f>
        <v>#DIV/0!</v>
      </c>
      <c r="AC1580" s="34" t="e">
        <f t="shared" si="130"/>
        <v>#DIV/0!</v>
      </c>
      <c r="AD1580" s="34" t="e">
        <f ca="1">SQRT($B$9*SUM(AC1580:OFFSET(AC1580,$B$5-1,0))/($B$5-1))</f>
        <v>#DIV/0!</v>
      </c>
      <c r="AE1580" s="34" t="e">
        <f ca="1">SQRT($B$9*SUM(AC1580:OFFSET(AC1580,$B$6-1,0))/($B$6-1))</f>
        <v>#DIV/0!</v>
      </c>
      <c r="AF1580" s="34" t="e">
        <f ca="1">SQRT($B$9*SUM(AC1580:OFFSET(AC1580,$B$7-1,0))/($B$7-1))</f>
        <v>#DIV/0!</v>
      </c>
      <c r="AG1580" s="34" t="e">
        <f ca="1">SQRT($B$9*SUM(AC1580:OFFSET(AC1580,$B$8-1,0))/($B$8-1))</f>
        <v>#DIV/0!</v>
      </c>
      <c r="AI1580" s="1" t="e">
        <f t="shared" si="131"/>
        <v>#DIV/0!</v>
      </c>
      <c r="AJ1580" s="4" t="e">
        <f ca="1">SQRT($B$9)*_xlfn.STDEV.S(AI1580:OFFSET(AI1580,$B$5-1,0))</f>
        <v>#DIV/0!</v>
      </c>
      <c r="AK1580" s="4" t="e">
        <f ca="1">SQRT($B$9)*_xlfn.STDEV.S(AI1580:OFFSET(AI1580,$B$6-1,0))</f>
        <v>#DIV/0!</v>
      </c>
      <c r="AL1580" s="4" t="e">
        <f ca="1">SQRT($B$9)*_xlfn.STDEV.S(AI1580:OFFSET(AI1580,$B$7-1,0))</f>
        <v>#DIV/0!</v>
      </c>
      <c r="AM1580" s="4" t="e">
        <f ca="1">SQRT($B$9)*_xlfn.STDEV.S(AI1580:OFFSET(AI1580,$B$8-1,0))</f>
        <v>#DIV/0!</v>
      </c>
    </row>
    <row r="1581" spans="11:39" x14ac:dyDescent="0.2">
      <c r="K1581" s="3" t="e">
        <f t="shared" si="129"/>
        <v>#DIV/0!</v>
      </c>
      <c r="L1581" s="3" t="e">
        <f ca="1">SQRT(AVERAGE(K1581:OFFSET(K1581,$B$5-1,0))*$B$9/(4*LN(2)))</f>
        <v>#DIV/0!</v>
      </c>
      <c r="M1581" s="3" t="e">
        <f ca="1">SQRT(AVERAGE(K1581:OFFSET(K1581,$B$6-1,0))*$B$9/(4*LN(2)))</f>
        <v>#DIV/0!</v>
      </c>
      <c r="N1581" s="3" t="e">
        <f ca="1">SQRT(AVERAGE(K1581:OFFSET(K1581,$B$7-1,0))*$B$9/(4*LN(2)))</f>
        <v>#DIV/0!</v>
      </c>
      <c r="O1581" s="3" t="e">
        <f ca="1">SQRT(AVERAGE(K1581:OFFSET(K1581,$B$8-1,0))*$B$9/(4*LN(2)))</f>
        <v>#DIV/0!</v>
      </c>
      <c r="Q1581" s="5" t="e">
        <f t="shared" si="128"/>
        <v>#DIV/0!</v>
      </c>
      <c r="R1581" s="5" t="e">
        <f ca="1">SQRT($B$9*AVERAGE((Q1581:OFFSET(Q1581,$B$5-1,0))))</f>
        <v>#DIV/0!</v>
      </c>
      <c r="S1581" s="5" t="e">
        <f ca="1">SQRT($B$9*AVERAGE((Q1581:OFFSET(Q1581,$B$6-1,0))))</f>
        <v>#DIV/0!</v>
      </c>
      <c r="T1581" s="5" t="e">
        <f ca="1">SQRT($B$9*AVERAGE((Q1581:OFFSET(Q1581,$B$7-1,0))))</f>
        <v>#DIV/0!</v>
      </c>
      <c r="U1581" s="5" t="e">
        <f ca="1">SQRT($B$9*AVERAGE((Q1581:OFFSET(Q1581,$B$8-1,0))))</f>
        <v>#DIV/0!</v>
      </c>
      <c r="W1581" s="6" t="e">
        <f t="shared" si="132"/>
        <v>#DIV/0!</v>
      </c>
      <c r="X1581" s="6" t="e">
        <f ca="1">SQRT($B$9*AVERAGE(W1581:OFFSET(W1581,$B$5-1,0)))</f>
        <v>#DIV/0!</v>
      </c>
      <c r="Y1581" s="6" t="e">
        <f ca="1">SQRT($B$9*AVERAGE(W1581:OFFSET(W1581,$B$6-1,0)))</f>
        <v>#DIV/0!</v>
      </c>
      <c r="Z1581" s="6" t="e">
        <f ca="1">SQRT($B$9*AVERAGE(W1581:OFFSET(W1581,$B$7-1,0)))</f>
        <v>#DIV/0!</v>
      </c>
      <c r="AA1581" s="6" t="e">
        <f ca="1">SQRT($B$9*AVERAGE(W1581:OFFSET(W1581,$B$8-1,0)))</f>
        <v>#DIV/0!</v>
      </c>
      <c r="AC1581" s="34" t="e">
        <f t="shared" si="130"/>
        <v>#DIV/0!</v>
      </c>
      <c r="AD1581" s="34" t="e">
        <f ca="1">SQRT($B$9*SUM(AC1581:OFFSET(AC1581,$B$5-1,0))/($B$5-1))</f>
        <v>#DIV/0!</v>
      </c>
      <c r="AE1581" s="34" t="e">
        <f ca="1">SQRT($B$9*SUM(AC1581:OFFSET(AC1581,$B$6-1,0))/($B$6-1))</f>
        <v>#DIV/0!</v>
      </c>
      <c r="AF1581" s="34" t="e">
        <f ca="1">SQRT($B$9*SUM(AC1581:OFFSET(AC1581,$B$7-1,0))/($B$7-1))</f>
        <v>#DIV/0!</v>
      </c>
      <c r="AG1581" s="34" t="e">
        <f ca="1">SQRT($B$9*SUM(AC1581:OFFSET(AC1581,$B$8-1,0))/($B$8-1))</f>
        <v>#DIV/0!</v>
      </c>
      <c r="AI1581" s="1" t="e">
        <f t="shared" si="131"/>
        <v>#DIV/0!</v>
      </c>
      <c r="AJ1581" s="4" t="e">
        <f ca="1">SQRT($B$9)*_xlfn.STDEV.S(AI1581:OFFSET(AI1581,$B$5-1,0))</f>
        <v>#DIV/0!</v>
      </c>
      <c r="AK1581" s="4" t="e">
        <f ca="1">SQRT($B$9)*_xlfn.STDEV.S(AI1581:OFFSET(AI1581,$B$6-1,0))</f>
        <v>#DIV/0!</v>
      </c>
      <c r="AL1581" s="4" t="e">
        <f ca="1">SQRT($B$9)*_xlfn.STDEV.S(AI1581:OFFSET(AI1581,$B$7-1,0))</f>
        <v>#DIV/0!</v>
      </c>
      <c r="AM1581" s="4" t="e">
        <f ca="1">SQRT($B$9)*_xlfn.STDEV.S(AI1581:OFFSET(AI1581,$B$8-1,0))</f>
        <v>#DIV/0!</v>
      </c>
    </row>
    <row r="1582" spans="11:39" x14ac:dyDescent="0.2">
      <c r="K1582" s="3" t="e">
        <f t="shared" si="129"/>
        <v>#DIV/0!</v>
      </c>
      <c r="L1582" s="3" t="e">
        <f ca="1">SQRT(AVERAGE(K1582:OFFSET(K1582,$B$5-1,0))*$B$9/(4*LN(2)))</f>
        <v>#DIV/0!</v>
      </c>
      <c r="M1582" s="3" t="e">
        <f ca="1">SQRT(AVERAGE(K1582:OFFSET(K1582,$B$6-1,0))*$B$9/(4*LN(2)))</f>
        <v>#DIV/0!</v>
      </c>
      <c r="N1582" s="3" t="e">
        <f ca="1">SQRT(AVERAGE(K1582:OFFSET(K1582,$B$7-1,0))*$B$9/(4*LN(2)))</f>
        <v>#DIV/0!</v>
      </c>
      <c r="O1582" s="3" t="e">
        <f ca="1">SQRT(AVERAGE(K1582:OFFSET(K1582,$B$8-1,0))*$B$9/(4*LN(2)))</f>
        <v>#DIV/0!</v>
      </c>
      <c r="Q1582" s="5" t="e">
        <f t="shared" si="128"/>
        <v>#DIV/0!</v>
      </c>
      <c r="R1582" s="5" t="e">
        <f ca="1">SQRT($B$9*AVERAGE((Q1582:OFFSET(Q1582,$B$5-1,0))))</f>
        <v>#DIV/0!</v>
      </c>
      <c r="S1582" s="5" t="e">
        <f ca="1">SQRT($B$9*AVERAGE((Q1582:OFFSET(Q1582,$B$6-1,0))))</f>
        <v>#DIV/0!</v>
      </c>
      <c r="T1582" s="5" t="e">
        <f ca="1">SQRT($B$9*AVERAGE((Q1582:OFFSET(Q1582,$B$7-1,0))))</f>
        <v>#DIV/0!</v>
      </c>
      <c r="U1582" s="5" t="e">
        <f ca="1">SQRT($B$9*AVERAGE((Q1582:OFFSET(Q1582,$B$8-1,0))))</f>
        <v>#DIV/0!</v>
      </c>
      <c r="W1582" s="6" t="e">
        <f t="shared" si="132"/>
        <v>#DIV/0!</v>
      </c>
      <c r="X1582" s="6" t="e">
        <f ca="1">SQRT($B$9*AVERAGE(W1582:OFFSET(W1582,$B$5-1,0)))</f>
        <v>#DIV/0!</v>
      </c>
      <c r="Y1582" s="6" t="e">
        <f ca="1">SQRT($B$9*AVERAGE(W1582:OFFSET(W1582,$B$6-1,0)))</f>
        <v>#DIV/0!</v>
      </c>
      <c r="Z1582" s="6" t="e">
        <f ca="1">SQRT($B$9*AVERAGE(W1582:OFFSET(W1582,$B$7-1,0)))</f>
        <v>#DIV/0!</v>
      </c>
      <c r="AA1582" s="6" t="e">
        <f ca="1">SQRT($B$9*AVERAGE(W1582:OFFSET(W1582,$B$8-1,0)))</f>
        <v>#DIV/0!</v>
      </c>
      <c r="AC1582" s="34" t="e">
        <f t="shared" si="130"/>
        <v>#DIV/0!</v>
      </c>
      <c r="AD1582" s="34" t="e">
        <f ca="1">SQRT($B$9*SUM(AC1582:OFFSET(AC1582,$B$5-1,0))/($B$5-1))</f>
        <v>#DIV/0!</v>
      </c>
      <c r="AE1582" s="34" t="e">
        <f ca="1">SQRT($B$9*SUM(AC1582:OFFSET(AC1582,$B$6-1,0))/($B$6-1))</f>
        <v>#DIV/0!</v>
      </c>
      <c r="AF1582" s="34" t="e">
        <f ca="1">SQRT($B$9*SUM(AC1582:OFFSET(AC1582,$B$7-1,0))/($B$7-1))</f>
        <v>#DIV/0!</v>
      </c>
      <c r="AG1582" s="34" t="e">
        <f ca="1">SQRT($B$9*SUM(AC1582:OFFSET(AC1582,$B$8-1,0))/($B$8-1))</f>
        <v>#DIV/0!</v>
      </c>
      <c r="AI1582" s="1" t="e">
        <f t="shared" si="131"/>
        <v>#DIV/0!</v>
      </c>
      <c r="AJ1582" s="4" t="e">
        <f ca="1">SQRT($B$9)*_xlfn.STDEV.S(AI1582:OFFSET(AI1582,$B$5-1,0))</f>
        <v>#DIV/0!</v>
      </c>
      <c r="AK1582" s="4" t="e">
        <f ca="1">SQRT($B$9)*_xlfn.STDEV.S(AI1582:OFFSET(AI1582,$B$6-1,0))</f>
        <v>#DIV/0!</v>
      </c>
      <c r="AL1582" s="4" t="e">
        <f ca="1">SQRT($B$9)*_xlfn.STDEV.S(AI1582:OFFSET(AI1582,$B$7-1,0))</f>
        <v>#DIV/0!</v>
      </c>
      <c r="AM1582" s="4" t="e">
        <f ca="1">SQRT($B$9)*_xlfn.STDEV.S(AI1582:OFFSET(AI1582,$B$8-1,0))</f>
        <v>#DIV/0!</v>
      </c>
    </row>
    <row r="1583" spans="11:39" x14ac:dyDescent="0.2">
      <c r="K1583" s="3" t="e">
        <f t="shared" si="129"/>
        <v>#DIV/0!</v>
      </c>
      <c r="L1583" s="3" t="e">
        <f ca="1">SQRT(AVERAGE(K1583:OFFSET(K1583,$B$5-1,0))*$B$9/(4*LN(2)))</f>
        <v>#DIV/0!</v>
      </c>
      <c r="M1583" s="3" t="e">
        <f ca="1">SQRT(AVERAGE(K1583:OFFSET(K1583,$B$6-1,0))*$B$9/(4*LN(2)))</f>
        <v>#DIV/0!</v>
      </c>
      <c r="N1583" s="3" t="e">
        <f ca="1">SQRT(AVERAGE(K1583:OFFSET(K1583,$B$7-1,0))*$B$9/(4*LN(2)))</f>
        <v>#DIV/0!</v>
      </c>
      <c r="O1583" s="3" t="e">
        <f ca="1">SQRT(AVERAGE(K1583:OFFSET(K1583,$B$8-1,0))*$B$9/(4*LN(2)))</f>
        <v>#DIV/0!</v>
      </c>
      <c r="Q1583" s="5" t="e">
        <f t="shared" si="128"/>
        <v>#DIV/0!</v>
      </c>
      <c r="R1583" s="5" t="e">
        <f ca="1">SQRT($B$9*AVERAGE((Q1583:OFFSET(Q1583,$B$5-1,0))))</f>
        <v>#DIV/0!</v>
      </c>
      <c r="S1583" s="5" t="e">
        <f ca="1">SQRT($B$9*AVERAGE((Q1583:OFFSET(Q1583,$B$6-1,0))))</f>
        <v>#DIV/0!</v>
      </c>
      <c r="T1583" s="5" t="e">
        <f ca="1">SQRT($B$9*AVERAGE((Q1583:OFFSET(Q1583,$B$7-1,0))))</f>
        <v>#DIV/0!</v>
      </c>
      <c r="U1583" s="5" t="e">
        <f ca="1">SQRT($B$9*AVERAGE((Q1583:OFFSET(Q1583,$B$8-1,0))))</f>
        <v>#DIV/0!</v>
      </c>
      <c r="W1583" s="6" t="e">
        <f t="shared" si="132"/>
        <v>#DIV/0!</v>
      </c>
      <c r="X1583" s="6" t="e">
        <f ca="1">SQRT($B$9*AVERAGE(W1583:OFFSET(W1583,$B$5-1,0)))</f>
        <v>#DIV/0!</v>
      </c>
      <c r="Y1583" s="6" t="e">
        <f ca="1">SQRT($B$9*AVERAGE(W1583:OFFSET(W1583,$B$6-1,0)))</f>
        <v>#DIV/0!</v>
      </c>
      <c r="Z1583" s="6" t="e">
        <f ca="1">SQRT($B$9*AVERAGE(W1583:OFFSET(W1583,$B$7-1,0)))</f>
        <v>#DIV/0!</v>
      </c>
      <c r="AA1583" s="6" t="e">
        <f ca="1">SQRT($B$9*AVERAGE(W1583:OFFSET(W1583,$B$8-1,0)))</f>
        <v>#DIV/0!</v>
      </c>
      <c r="AC1583" s="34" t="e">
        <f t="shared" si="130"/>
        <v>#DIV/0!</v>
      </c>
      <c r="AD1583" s="34" t="e">
        <f ca="1">SQRT($B$9*SUM(AC1583:OFFSET(AC1583,$B$5-1,0))/($B$5-1))</f>
        <v>#DIV/0!</v>
      </c>
      <c r="AE1583" s="34" t="e">
        <f ca="1">SQRT($B$9*SUM(AC1583:OFFSET(AC1583,$B$6-1,0))/($B$6-1))</f>
        <v>#DIV/0!</v>
      </c>
      <c r="AF1583" s="34" t="e">
        <f ca="1">SQRT($B$9*SUM(AC1583:OFFSET(AC1583,$B$7-1,0))/($B$7-1))</f>
        <v>#DIV/0!</v>
      </c>
      <c r="AG1583" s="34" t="e">
        <f ca="1">SQRT($B$9*SUM(AC1583:OFFSET(AC1583,$B$8-1,0))/($B$8-1))</f>
        <v>#DIV/0!</v>
      </c>
      <c r="AI1583" s="1" t="e">
        <f t="shared" si="131"/>
        <v>#DIV/0!</v>
      </c>
      <c r="AJ1583" s="4" t="e">
        <f ca="1">SQRT($B$9)*_xlfn.STDEV.S(AI1583:OFFSET(AI1583,$B$5-1,0))</f>
        <v>#DIV/0!</v>
      </c>
      <c r="AK1583" s="4" t="e">
        <f ca="1">SQRT($B$9)*_xlfn.STDEV.S(AI1583:OFFSET(AI1583,$B$6-1,0))</f>
        <v>#DIV/0!</v>
      </c>
      <c r="AL1583" s="4" t="e">
        <f ca="1">SQRT($B$9)*_xlfn.STDEV.S(AI1583:OFFSET(AI1583,$B$7-1,0))</f>
        <v>#DIV/0!</v>
      </c>
      <c r="AM1583" s="4" t="e">
        <f ca="1">SQRT($B$9)*_xlfn.STDEV.S(AI1583:OFFSET(AI1583,$B$8-1,0))</f>
        <v>#DIV/0!</v>
      </c>
    </row>
    <row r="1584" spans="11:39" x14ac:dyDescent="0.2">
      <c r="K1584" s="3" t="e">
        <f t="shared" si="129"/>
        <v>#DIV/0!</v>
      </c>
      <c r="L1584" s="3" t="e">
        <f ca="1">SQRT(AVERAGE(K1584:OFFSET(K1584,$B$5-1,0))*$B$9/(4*LN(2)))</f>
        <v>#DIV/0!</v>
      </c>
      <c r="M1584" s="3" t="e">
        <f ca="1">SQRT(AVERAGE(K1584:OFFSET(K1584,$B$6-1,0))*$B$9/(4*LN(2)))</f>
        <v>#DIV/0!</v>
      </c>
      <c r="N1584" s="3" t="e">
        <f ca="1">SQRT(AVERAGE(K1584:OFFSET(K1584,$B$7-1,0))*$B$9/(4*LN(2)))</f>
        <v>#DIV/0!</v>
      </c>
      <c r="O1584" s="3" t="e">
        <f ca="1">SQRT(AVERAGE(K1584:OFFSET(K1584,$B$8-1,0))*$B$9/(4*LN(2)))</f>
        <v>#DIV/0!</v>
      </c>
      <c r="Q1584" s="5" t="e">
        <f t="shared" si="128"/>
        <v>#DIV/0!</v>
      </c>
      <c r="R1584" s="5" t="e">
        <f ca="1">SQRT($B$9*AVERAGE((Q1584:OFFSET(Q1584,$B$5-1,0))))</f>
        <v>#DIV/0!</v>
      </c>
      <c r="S1584" s="5" t="e">
        <f ca="1">SQRT($B$9*AVERAGE((Q1584:OFFSET(Q1584,$B$6-1,0))))</f>
        <v>#DIV/0!</v>
      </c>
      <c r="T1584" s="5" t="e">
        <f ca="1">SQRT($B$9*AVERAGE((Q1584:OFFSET(Q1584,$B$7-1,0))))</f>
        <v>#DIV/0!</v>
      </c>
      <c r="U1584" s="5" t="e">
        <f ca="1">SQRT($B$9*AVERAGE((Q1584:OFFSET(Q1584,$B$8-1,0))))</f>
        <v>#DIV/0!</v>
      </c>
      <c r="W1584" s="6" t="e">
        <f t="shared" si="132"/>
        <v>#DIV/0!</v>
      </c>
      <c r="X1584" s="6" t="e">
        <f ca="1">SQRT($B$9*AVERAGE(W1584:OFFSET(W1584,$B$5-1,0)))</f>
        <v>#DIV/0!</v>
      </c>
      <c r="Y1584" s="6" t="e">
        <f ca="1">SQRT($B$9*AVERAGE(W1584:OFFSET(W1584,$B$6-1,0)))</f>
        <v>#DIV/0!</v>
      </c>
      <c r="Z1584" s="6" t="e">
        <f ca="1">SQRT($B$9*AVERAGE(W1584:OFFSET(W1584,$B$7-1,0)))</f>
        <v>#DIV/0!</v>
      </c>
      <c r="AA1584" s="6" t="e">
        <f ca="1">SQRT($B$9*AVERAGE(W1584:OFFSET(W1584,$B$8-1,0)))</f>
        <v>#DIV/0!</v>
      </c>
      <c r="AC1584" s="34" t="e">
        <f t="shared" si="130"/>
        <v>#DIV/0!</v>
      </c>
      <c r="AD1584" s="34" t="e">
        <f ca="1">SQRT($B$9*SUM(AC1584:OFFSET(AC1584,$B$5-1,0))/($B$5-1))</f>
        <v>#DIV/0!</v>
      </c>
      <c r="AE1584" s="34" t="e">
        <f ca="1">SQRT($B$9*SUM(AC1584:OFFSET(AC1584,$B$6-1,0))/($B$6-1))</f>
        <v>#DIV/0!</v>
      </c>
      <c r="AF1584" s="34" t="e">
        <f ca="1">SQRT($B$9*SUM(AC1584:OFFSET(AC1584,$B$7-1,0))/($B$7-1))</f>
        <v>#DIV/0!</v>
      </c>
      <c r="AG1584" s="34" t="e">
        <f ca="1">SQRT($B$9*SUM(AC1584:OFFSET(AC1584,$B$8-1,0))/($B$8-1))</f>
        <v>#DIV/0!</v>
      </c>
      <c r="AI1584" s="1" t="e">
        <f t="shared" si="131"/>
        <v>#DIV/0!</v>
      </c>
      <c r="AJ1584" s="4" t="e">
        <f ca="1">SQRT($B$9)*_xlfn.STDEV.S(AI1584:OFFSET(AI1584,$B$5-1,0))</f>
        <v>#DIV/0!</v>
      </c>
      <c r="AK1584" s="4" t="e">
        <f ca="1">SQRT($B$9)*_xlfn.STDEV.S(AI1584:OFFSET(AI1584,$B$6-1,0))</f>
        <v>#DIV/0!</v>
      </c>
      <c r="AL1584" s="4" t="e">
        <f ca="1">SQRT($B$9)*_xlfn.STDEV.S(AI1584:OFFSET(AI1584,$B$7-1,0))</f>
        <v>#DIV/0!</v>
      </c>
      <c r="AM1584" s="4" t="e">
        <f ca="1">SQRT($B$9)*_xlfn.STDEV.S(AI1584:OFFSET(AI1584,$B$8-1,0))</f>
        <v>#DIV/0!</v>
      </c>
    </row>
    <row r="1585" spans="11:39" x14ac:dyDescent="0.2">
      <c r="K1585" s="3" t="e">
        <f t="shared" si="129"/>
        <v>#DIV/0!</v>
      </c>
      <c r="L1585" s="3" t="e">
        <f ca="1">SQRT(AVERAGE(K1585:OFFSET(K1585,$B$5-1,0))*$B$9/(4*LN(2)))</f>
        <v>#DIV/0!</v>
      </c>
      <c r="M1585" s="3" t="e">
        <f ca="1">SQRT(AVERAGE(K1585:OFFSET(K1585,$B$6-1,0))*$B$9/(4*LN(2)))</f>
        <v>#DIV/0!</v>
      </c>
      <c r="N1585" s="3" t="e">
        <f ca="1">SQRT(AVERAGE(K1585:OFFSET(K1585,$B$7-1,0))*$B$9/(4*LN(2)))</f>
        <v>#DIV/0!</v>
      </c>
      <c r="O1585" s="3" t="e">
        <f ca="1">SQRT(AVERAGE(K1585:OFFSET(K1585,$B$8-1,0))*$B$9/(4*LN(2)))</f>
        <v>#DIV/0!</v>
      </c>
      <c r="Q1585" s="5" t="e">
        <f t="shared" si="128"/>
        <v>#DIV/0!</v>
      </c>
      <c r="R1585" s="5" t="e">
        <f ca="1">SQRT($B$9*AVERAGE((Q1585:OFFSET(Q1585,$B$5-1,0))))</f>
        <v>#DIV/0!</v>
      </c>
      <c r="S1585" s="5" t="e">
        <f ca="1">SQRT($B$9*AVERAGE((Q1585:OFFSET(Q1585,$B$6-1,0))))</f>
        <v>#DIV/0!</v>
      </c>
      <c r="T1585" s="5" t="e">
        <f ca="1">SQRT($B$9*AVERAGE((Q1585:OFFSET(Q1585,$B$7-1,0))))</f>
        <v>#DIV/0!</v>
      </c>
      <c r="U1585" s="5" t="e">
        <f ca="1">SQRT($B$9*AVERAGE((Q1585:OFFSET(Q1585,$B$8-1,0))))</f>
        <v>#DIV/0!</v>
      </c>
      <c r="W1585" s="6" t="e">
        <f t="shared" si="132"/>
        <v>#DIV/0!</v>
      </c>
      <c r="X1585" s="6" t="e">
        <f ca="1">SQRT($B$9*AVERAGE(W1585:OFFSET(W1585,$B$5-1,0)))</f>
        <v>#DIV/0!</v>
      </c>
      <c r="Y1585" s="6" t="e">
        <f ca="1">SQRT($B$9*AVERAGE(W1585:OFFSET(W1585,$B$6-1,0)))</f>
        <v>#DIV/0!</v>
      </c>
      <c r="Z1585" s="6" t="e">
        <f ca="1">SQRT($B$9*AVERAGE(W1585:OFFSET(W1585,$B$7-1,0)))</f>
        <v>#DIV/0!</v>
      </c>
      <c r="AA1585" s="6" t="e">
        <f ca="1">SQRT($B$9*AVERAGE(W1585:OFFSET(W1585,$B$8-1,0)))</f>
        <v>#DIV/0!</v>
      </c>
      <c r="AC1585" s="34" t="e">
        <f t="shared" si="130"/>
        <v>#DIV/0!</v>
      </c>
      <c r="AD1585" s="34" t="e">
        <f ca="1">SQRT($B$9*SUM(AC1585:OFFSET(AC1585,$B$5-1,0))/($B$5-1))</f>
        <v>#DIV/0!</v>
      </c>
      <c r="AE1585" s="34" t="e">
        <f ca="1">SQRT($B$9*SUM(AC1585:OFFSET(AC1585,$B$6-1,0))/($B$6-1))</f>
        <v>#DIV/0!</v>
      </c>
      <c r="AF1585" s="34" t="e">
        <f ca="1">SQRT($B$9*SUM(AC1585:OFFSET(AC1585,$B$7-1,0))/($B$7-1))</f>
        <v>#DIV/0!</v>
      </c>
      <c r="AG1585" s="34" t="e">
        <f ca="1">SQRT($B$9*SUM(AC1585:OFFSET(AC1585,$B$8-1,0))/($B$8-1))</f>
        <v>#DIV/0!</v>
      </c>
      <c r="AI1585" s="1" t="e">
        <f t="shared" si="131"/>
        <v>#DIV/0!</v>
      </c>
      <c r="AJ1585" s="4" t="e">
        <f ca="1">SQRT($B$9)*_xlfn.STDEV.S(AI1585:OFFSET(AI1585,$B$5-1,0))</f>
        <v>#DIV/0!</v>
      </c>
      <c r="AK1585" s="4" t="e">
        <f ca="1">SQRT($B$9)*_xlfn.STDEV.S(AI1585:OFFSET(AI1585,$B$6-1,0))</f>
        <v>#DIV/0!</v>
      </c>
      <c r="AL1585" s="4" t="e">
        <f ca="1">SQRT($B$9)*_xlfn.STDEV.S(AI1585:OFFSET(AI1585,$B$7-1,0))</f>
        <v>#DIV/0!</v>
      </c>
      <c r="AM1585" s="4" t="e">
        <f ca="1">SQRT($B$9)*_xlfn.STDEV.S(AI1585:OFFSET(AI1585,$B$8-1,0))</f>
        <v>#DIV/0!</v>
      </c>
    </row>
    <row r="1586" spans="11:39" x14ac:dyDescent="0.2">
      <c r="K1586" s="3" t="e">
        <f t="shared" si="129"/>
        <v>#DIV/0!</v>
      </c>
      <c r="L1586" s="3" t="e">
        <f ca="1">SQRT(AVERAGE(K1586:OFFSET(K1586,$B$5-1,0))*$B$9/(4*LN(2)))</f>
        <v>#DIV/0!</v>
      </c>
      <c r="M1586" s="3" t="e">
        <f ca="1">SQRT(AVERAGE(K1586:OFFSET(K1586,$B$6-1,0))*$B$9/(4*LN(2)))</f>
        <v>#DIV/0!</v>
      </c>
      <c r="N1586" s="3" t="e">
        <f ca="1">SQRT(AVERAGE(K1586:OFFSET(K1586,$B$7-1,0))*$B$9/(4*LN(2)))</f>
        <v>#DIV/0!</v>
      </c>
      <c r="O1586" s="3" t="e">
        <f ca="1">SQRT(AVERAGE(K1586:OFFSET(K1586,$B$8-1,0))*$B$9/(4*LN(2)))</f>
        <v>#DIV/0!</v>
      </c>
      <c r="Q1586" s="5" t="e">
        <f t="shared" si="128"/>
        <v>#DIV/0!</v>
      </c>
      <c r="R1586" s="5" t="e">
        <f ca="1">SQRT($B$9*AVERAGE((Q1586:OFFSET(Q1586,$B$5-1,0))))</f>
        <v>#DIV/0!</v>
      </c>
      <c r="S1586" s="5" t="e">
        <f ca="1">SQRT($B$9*AVERAGE((Q1586:OFFSET(Q1586,$B$6-1,0))))</f>
        <v>#DIV/0!</v>
      </c>
      <c r="T1586" s="5" t="e">
        <f ca="1">SQRT($B$9*AVERAGE((Q1586:OFFSET(Q1586,$B$7-1,0))))</f>
        <v>#DIV/0!</v>
      </c>
      <c r="U1586" s="5" t="e">
        <f ca="1">SQRT($B$9*AVERAGE((Q1586:OFFSET(Q1586,$B$8-1,0))))</f>
        <v>#DIV/0!</v>
      </c>
      <c r="W1586" s="6" t="e">
        <f t="shared" si="132"/>
        <v>#DIV/0!</v>
      </c>
      <c r="X1586" s="6" t="e">
        <f ca="1">SQRT($B$9*AVERAGE(W1586:OFFSET(W1586,$B$5-1,0)))</f>
        <v>#DIV/0!</v>
      </c>
      <c r="Y1586" s="6" t="e">
        <f ca="1">SQRT($B$9*AVERAGE(W1586:OFFSET(W1586,$B$6-1,0)))</f>
        <v>#DIV/0!</v>
      </c>
      <c r="Z1586" s="6" t="e">
        <f ca="1">SQRT($B$9*AVERAGE(W1586:OFFSET(W1586,$B$7-1,0)))</f>
        <v>#DIV/0!</v>
      </c>
      <c r="AA1586" s="6" t="e">
        <f ca="1">SQRT($B$9*AVERAGE(W1586:OFFSET(W1586,$B$8-1,0)))</f>
        <v>#DIV/0!</v>
      </c>
      <c r="AC1586" s="34" t="e">
        <f t="shared" si="130"/>
        <v>#DIV/0!</v>
      </c>
      <c r="AD1586" s="34" t="e">
        <f ca="1">SQRT($B$9*SUM(AC1586:OFFSET(AC1586,$B$5-1,0))/($B$5-1))</f>
        <v>#DIV/0!</v>
      </c>
      <c r="AE1586" s="34" t="e">
        <f ca="1">SQRT($B$9*SUM(AC1586:OFFSET(AC1586,$B$6-1,0))/($B$6-1))</f>
        <v>#DIV/0!</v>
      </c>
      <c r="AF1586" s="34" t="e">
        <f ca="1">SQRT($B$9*SUM(AC1586:OFFSET(AC1586,$B$7-1,0))/($B$7-1))</f>
        <v>#DIV/0!</v>
      </c>
      <c r="AG1586" s="34" t="e">
        <f ca="1">SQRT($B$9*SUM(AC1586:OFFSET(AC1586,$B$8-1,0))/($B$8-1))</f>
        <v>#DIV/0!</v>
      </c>
      <c r="AI1586" s="1" t="e">
        <f t="shared" si="131"/>
        <v>#DIV/0!</v>
      </c>
      <c r="AJ1586" s="4" t="e">
        <f ca="1">SQRT($B$9)*_xlfn.STDEV.S(AI1586:OFFSET(AI1586,$B$5-1,0))</f>
        <v>#DIV/0!</v>
      </c>
      <c r="AK1586" s="4" t="e">
        <f ca="1">SQRT($B$9)*_xlfn.STDEV.S(AI1586:OFFSET(AI1586,$B$6-1,0))</f>
        <v>#DIV/0!</v>
      </c>
      <c r="AL1586" s="4" t="e">
        <f ca="1">SQRT($B$9)*_xlfn.STDEV.S(AI1586:OFFSET(AI1586,$B$7-1,0))</f>
        <v>#DIV/0!</v>
      </c>
      <c r="AM1586" s="4" t="e">
        <f ca="1">SQRT($B$9)*_xlfn.STDEV.S(AI1586:OFFSET(AI1586,$B$8-1,0))</f>
        <v>#DIV/0!</v>
      </c>
    </row>
    <row r="1587" spans="11:39" x14ac:dyDescent="0.2">
      <c r="K1587" s="3" t="e">
        <f t="shared" si="129"/>
        <v>#DIV/0!</v>
      </c>
      <c r="L1587" s="3" t="e">
        <f ca="1">SQRT(AVERAGE(K1587:OFFSET(K1587,$B$5-1,0))*$B$9/(4*LN(2)))</f>
        <v>#DIV/0!</v>
      </c>
      <c r="M1587" s="3" t="e">
        <f ca="1">SQRT(AVERAGE(K1587:OFFSET(K1587,$B$6-1,0))*$B$9/(4*LN(2)))</f>
        <v>#DIV/0!</v>
      </c>
      <c r="N1587" s="3" t="e">
        <f ca="1">SQRT(AVERAGE(K1587:OFFSET(K1587,$B$7-1,0))*$B$9/(4*LN(2)))</f>
        <v>#DIV/0!</v>
      </c>
      <c r="O1587" s="3" t="e">
        <f ca="1">SQRT(AVERAGE(K1587:OFFSET(K1587,$B$8-1,0))*$B$9/(4*LN(2)))</f>
        <v>#DIV/0!</v>
      </c>
      <c r="Q1587" s="5" t="e">
        <f t="shared" si="128"/>
        <v>#DIV/0!</v>
      </c>
      <c r="R1587" s="5" t="e">
        <f ca="1">SQRT($B$9*AVERAGE((Q1587:OFFSET(Q1587,$B$5-1,0))))</f>
        <v>#DIV/0!</v>
      </c>
      <c r="S1587" s="5" t="e">
        <f ca="1">SQRT($B$9*AVERAGE((Q1587:OFFSET(Q1587,$B$6-1,0))))</f>
        <v>#DIV/0!</v>
      </c>
      <c r="T1587" s="5" t="e">
        <f ca="1">SQRT($B$9*AVERAGE((Q1587:OFFSET(Q1587,$B$7-1,0))))</f>
        <v>#DIV/0!</v>
      </c>
      <c r="U1587" s="5" t="e">
        <f ca="1">SQRT($B$9*AVERAGE((Q1587:OFFSET(Q1587,$B$8-1,0))))</f>
        <v>#DIV/0!</v>
      </c>
      <c r="W1587" s="6" t="e">
        <f t="shared" si="132"/>
        <v>#DIV/0!</v>
      </c>
      <c r="X1587" s="6" t="e">
        <f ca="1">SQRT($B$9*AVERAGE(W1587:OFFSET(W1587,$B$5-1,0)))</f>
        <v>#DIV/0!</v>
      </c>
      <c r="Y1587" s="6" t="e">
        <f ca="1">SQRT($B$9*AVERAGE(W1587:OFFSET(W1587,$B$6-1,0)))</f>
        <v>#DIV/0!</v>
      </c>
      <c r="Z1587" s="6" t="e">
        <f ca="1">SQRT($B$9*AVERAGE(W1587:OFFSET(W1587,$B$7-1,0)))</f>
        <v>#DIV/0!</v>
      </c>
      <c r="AA1587" s="6" t="e">
        <f ca="1">SQRT($B$9*AVERAGE(W1587:OFFSET(W1587,$B$8-1,0)))</f>
        <v>#DIV/0!</v>
      </c>
      <c r="AC1587" s="34" t="e">
        <f t="shared" si="130"/>
        <v>#DIV/0!</v>
      </c>
      <c r="AD1587" s="34" t="e">
        <f ca="1">SQRT($B$9*SUM(AC1587:OFFSET(AC1587,$B$5-1,0))/($B$5-1))</f>
        <v>#DIV/0!</v>
      </c>
      <c r="AE1587" s="34" t="e">
        <f ca="1">SQRT($B$9*SUM(AC1587:OFFSET(AC1587,$B$6-1,0))/($B$6-1))</f>
        <v>#DIV/0!</v>
      </c>
      <c r="AF1587" s="34" t="e">
        <f ca="1">SQRT($B$9*SUM(AC1587:OFFSET(AC1587,$B$7-1,0))/($B$7-1))</f>
        <v>#DIV/0!</v>
      </c>
      <c r="AG1587" s="34" t="e">
        <f ca="1">SQRT($B$9*SUM(AC1587:OFFSET(AC1587,$B$8-1,0))/($B$8-1))</f>
        <v>#DIV/0!</v>
      </c>
      <c r="AI1587" s="1" t="e">
        <f t="shared" si="131"/>
        <v>#DIV/0!</v>
      </c>
      <c r="AJ1587" s="4" t="e">
        <f ca="1">SQRT($B$9)*_xlfn.STDEV.S(AI1587:OFFSET(AI1587,$B$5-1,0))</f>
        <v>#DIV/0!</v>
      </c>
      <c r="AK1587" s="4" t="e">
        <f ca="1">SQRT($B$9)*_xlfn.STDEV.S(AI1587:OFFSET(AI1587,$B$6-1,0))</f>
        <v>#DIV/0!</v>
      </c>
      <c r="AL1587" s="4" t="e">
        <f ca="1">SQRT($B$9)*_xlfn.STDEV.S(AI1587:OFFSET(AI1587,$B$7-1,0))</f>
        <v>#DIV/0!</v>
      </c>
      <c r="AM1587" s="4" t="e">
        <f ca="1">SQRT($B$9)*_xlfn.STDEV.S(AI1587:OFFSET(AI1587,$B$8-1,0))</f>
        <v>#DIV/0!</v>
      </c>
    </row>
    <row r="1588" spans="11:39" x14ac:dyDescent="0.2">
      <c r="K1588" s="3" t="e">
        <f t="shared" si="129"/>
        <v>#DIV/0!</v>
      </c>
      <c r="L1588" s="3" t="e">
        <f ca="1">SQRT(AVERAGE(K1588:OFFSET(K1588,$B$5-1,0))*$B$9/(4*LN(2)))</f>
        <v>#DIV/0!</v>
      </c>
      <c r="M1588" s="3" t="e">
        <f ca="1">SQRT(AVERAGE(K1588:OFFSET(K1588,$B$6-1,0))*$B$9/(4*LN(2)))</f>
        <v>#DIV/0!</v>
      </c>
      <c r="N1588" s="3" t="e">
        <f ca="1">SQRT(AVERAGE(K1588:OFFSET(K1588,$B$7-1,0))*$B$9/(4*LN(2)))</f>
        <v>#DIV/0!</v>
      </c>
      <c r="O1588" s="3" t="e">
        <f ca="1">SQRT(AVERAGE(K1588:OFFSET(K1588,$B$8-1,0))*$B$9/(4*LN(2)))</f>
        <v>#DIV/0!</v>
      </c>
      <c r="Q1588" s="5" t="e">
        <f t="shared" si="128"/>
        <v>#DIV/0!</v>
      </c>
      <c r="R1588" s="5" t="e">
        <f ca="1">SQRT($B$9*AVERAGE((Q1588:OFFSET(Q1588,$B$5-1,0))))</f>
        <v>#DIV/0!</v>
      </c>
      <c r="S1588" s="5" t="e">
        <f ca="1">SQRT($B$9*AVERAGE((Q1588:OFFSET(Q1588,$B$6-1,0))))</f>
        <v>#DIV/0!</v>
      </c>
      <c r="T1588" s="5" t="e">
        <f ca="1">SQRT($B$9*AVERAGE((Q1588:OFFSET(Q1588,$B$7-1,0))))</f>
        <v>#DIV/0!</v>
      </c>
      <c r="U1588" s="5" t="e">
        <f ca="1">SQRT($B$9*AVERAGE((Q1588:OFFSET(Q1588,$B$8-1,0))))</f>
        <v>#DIV/0!</v>
      </c>
      <c r="W1588" s="6" t="e">
        <f t="shared" si="132"/>
        <v>#DIV/0!</v>
      </c>
      <c r="X1588" s="6" t="e">
        <f ca="1">SQRT($B$9*AVERAGE(W1588:OFFSET(W1588,$B$5-1,0)))</f>
        <v>#DIV/0!</v>
      </c>
      <c r="Y1588" s="6" t="e">
        <f ca="1">SQRT($B$9*AVERAGE(W1588:OFFSET(W1588,$B$6-1,0)))</f>
        <v>#DIV/0!</v>
      </c>
      <c r="Z1588" s="6" t="e">
        <f ca="1">SQRT($B$9*AVERAGE(W1588:OFFSET(W1588,$B$7-1,0)))</f>
        <v>#DIV/0!</v>
      </c>
      <c r="AA1588" s="6" t="e">
        <f ca="1">SQRT($B$9*AVERAGE(W1588:OFFSET(W1588,$B$8-1,0)))</f>
        <v>#DIV/0!</v>
      </c>
      <c r="AC1588" s="34" t="e">
        <f t="shared" si="130"/>
        <v>#DIV/0!</v>
      </c>
      <c r="AD1588" s="34" t="e">
        <f ca="1">SQRT($B$9*SUM(AC1588:OFFSET(AC1588,$B$5-1,0))/($B$5-1))</f>
        <v>#DIV/0!</v>
      </c>
      <c r="AE1588" s="34" t="e">
        <f ca="1">SQRT($B$9*SUM(AC1588:OFFSET(AC1588,$B$6-1,0))/($B$6-1))</f>
        <v>#DIV/0!</v>
      </c>
      <c r="AF1588" s="34" t="e">
        <f ca="1">SQRT($B$9*SUM(AC1588:OFFSET(AC1588,$B$7-1,0))/($B$7-1))</f>
        <v>#DIV/0!</v>
      </c>
      <c r="AG1588" s="34" t="e">
        <f ca="1">SQRT($B$9*SUM(AC1588:OFFSET(AC1588,$B$8-1,0))/($B$8-1))</f>
        <v>#DIV/0!</v>
      </c>
      <c r="AI1588" s="1" t="e">
        <f t="shared" si="131"/>
        <v>#DIV/0!</v>
      </c>
      <c r="AJ1588" s="4" t="e">
        <f ca="1">SQRT($B$9)*_xlfn.STDEV.S(AI1588:OFFSET(AI1588,$B$5-1,0))</f>
        <v>#DIV/0!</v>
      </c>
      <c r="AK1588" s="4" t="e">
        <f ca="1">SQRT($B$9)*_xlfn.STDEV.S(AI1588:OFFSET(AI1588,$B$6-1,0))</f>
        <v>#DIV/0!</v>
      </c>
      <c r="AL1588" s="4" t="e">
        <f ca="1">SQRT($B$9)*_xlfn.STDEV.S(AI1588:OFFSET(AI1588,$B$7-1,0))</f>
        <v>#DIV/0!</v>
      </c>
      <c r="AM1588" s="4" t="e">
        <f ca="1">SQRT($B$9)*_xlfn.STDEV.S(AI1588:OFFSET(AI1588,$B$8-1,0))</f>
        <v>#DIV/0!</v>
      </c>
    </row>
    <row r="1589" spans="11:39" x14ac:dyDescent="0.2">
      <c r="K1589" s="3" t="e">
        <f t="shared" si="129"/>
        <v>#DIV/0!</v>
      </c>
      <c r="L1589" s="3" t="e">
        <f ca="1">SQRT(AVERAGE(K1589:OFFSET(K1589,$B$5-1,0))*$B$9/(4*LN(2)))</f>
        <v>#DIV/0!</v>
      </c>
      <c r="M1589" s="3" t="e">
        <f ca="1">SQRT(AVERAGE(K1589:OFFSET(K1589,$B$6-1,0))*$B$9/(4*LN(2)))</f>
        <v>#DIV/0!</v>
      </c>
      <c r="N1589" s="3" t="e">
        <f ca="1">SQRT(AVERAGE(K1589:OFFSET(K1589,$B$7-1,0))*$B$9/(4*LN(2)))</f>
        <v>#DIV/0!</v>
      </c>
      <c r="O1589" s="3" t="e">
        <f ca="1">SQRT(AVERAGE(K1589:OFFSET(K1589,$B$8-1,0))*$B$9/(4*LN(2)))</f>
        <v>#DIV/0!</v>
      </c>
      <c r="Q1589" s="5" t="e">
        <f t="shared" si="128"/>
        <v>#DIV/0!</v>
      </c>
      <c r="R1589" s="5" t="e">
        <f ca="1">SQRT($B$9*AVERAGE((Q1589:OFFSET(Q1589,$B$5-1,0))))</f>
        <v>#DIV/0!</v>
      </c>
      <c r="S1589" s="5" t="e">
        <f ca="1">SQRT($B$9*AVERAGE((Q1589:OFFSET(Q1589,$B$6-1,0))))</f>
        <v>#DIV/0!</v>
      </c>
      <c r="T1589" s="5" t="e">
        <f ca="1">SQRT($B$9*AVERAGE((Q1589:OFFSET(Q1589,$B$7-1,0))))</f>
        <v>#DIV/0!</v>
      </c>
      <c r="U1589" s="5" t="e">
        <f ca="1">SQRT($B$9*AVERAGE((Q1589:OFFSET(Q1589,$B$8-1,0))))</f>
        <v>#DIV/0!</v>
      </c>
      <c r="W1589" s="6" t="e">
        <f t="shared" si="132"/>
        <v>#DIV/0!</v>
      </c>
      <c r="X1589" s="6" t="e">
        <f ca="1">SQRT($B$9*AVERAGE(W1589:OFFSET(W1589,$B$5-1,0)))</f>
        <v>#DIV/0!</v>
      </c>
      <c r="Y1589" s="6" t="e">
        <f ca="1">SQRT($B$9*AVERAGE(W1589:OFFSET(W1589,$B$6-1,0)))</f>
        <v>#DIV/0!</v>
      </c>
      <c r="Z1589" s="6" t="e">
        <f ca="1">SQRT($B$9*AVERAGE(W1589:OFFSET(W1589,$B$7-1,0)))</f>
        <v>#DIV/0!</v>
      </c>
      <c r="AA1589" s="6" t="e">
        <f ca="1">SQRT($B$9*AVERAGE(W1589:OFFSET(W1589,$B$8-1,0)))</f>
        <v>#DIV/0!</v>
      </c>
      <c r="AC1589" s="34" t="e">
        <f t="shared" si="130"/>
        <v>#DIV/0!</v>
      </c>
      <c r="AD1589" s="34" t="e">
        <f ca="1">SQRT($B$9*SUM(AC1589:OFFSET(AC1589,$B$5-1,0))/($B$5-1))</f>
        <v>#DIV/0!</v>
      </c>
      <c r="AE1589" s="34" t="e">
        <f ca="1">SQRT($B$9*SUM(AC1589:OFFSET(AC1589,$B$6-1,0))/($B$6-1))</f>
        <v>#DIV/0!</v>
      </c>
      <c r="AF1589" s="34" t="e">
        <f ca="1">SQRT($B$9*SUM(AC1589:OFFSET(AC1589,$B$7-1,0))/($B$7-1))</f>
        <v>#DIV/0!</v>
      </c>
      <c r="AG1589" s="34" t="e">
        <f ca="1">SQRT($B$9*SUM(AC1589:OFFSET(AC1589,$B$8-1,0))/($B$8-1))</f>
        <v>#DIV/0!</v>
      </c>
      <c r="AI1589" s="1" t="e">
        <f t="shared" si="131"/>
        <v>#DIV/0!</v>
      </c>
      <c r="AJ1589" s="4" t="e">
        <f ca="1">SQRT($B$9)*_xlfn.STDEV.S(AI1589:OFFSET(AI1589,$B$5-1,0))</f>
        <v>#DIV/0!</v>
      </c>
      <c r="AK1589" s="4" t="e">
        <f ca="1">SQRT($B$9)*_xlfn.STDEV.S(AI1589:OFFSET(AI1589,$B$6-1,0))</f>
        <v>#DIV/0!</v>
      </c>
      <c r="AL1589" s="4" t="e">
        <f ca="1">SQRT($B$9)*_xlfn.STDEV.S(AI1589:OFFSET(AI1589,$B$7-1,0))</f>
        <v>#DIV/0!</v>
      </c>
      <c r="AM1589" s="4" t="e">
        <f ca="1">SQRT($B$9)*_xlfn.STDEV.S(AI1589:OFFSET(AI1589,$B$8-1,0))</f>
        <v>#DIV/0!</v>
      </c>
    </row>
    <row r="1590" spans="11:39" x14ac:dyDescent="0.2">
      <c r="K1590" s="3" t="e">
        <f t="shared" si="129"/>
        <v>#DIV/0!</v>
      </c>
      <c r="L1590" s="3" t="e">
        <f ca="1">SQRT(AVERAGE(K1590:OFFSET(K1590,$B$5-1,0))*$B$9/(4*LN(2)))</f>
        <v>#DIV/0!</v>
      </c>
      <c r="M1590" s="3" t="e">
        <f ca="1">SQRT(AVERAGE(K1590:OFFSET(K1590,$B$6-1,0))*$B$9/(4*LN(2)))</f>
        <v>#DIV/0!</v>
      </c>
      <c r="N1590" s="3" t="e">
        <f ca="1">SQRT(AVERAGE(K1590:OFFSET(K1590,$B$7-1,0))*$B$9/(4*LN(2)))</f>
        <v>#DIV/0!</v>
      </c>
      <c r="O1590" s="3" t="e">
        <f ca="1">SQRT(AVERAGE(K1590:OFFSET(K1590,$B$8-1,0))*$B$9/(4*LN(2)))</f>
        <v>#DIV/0!</v>
      </c>
      <c r="Q1590" s="5" t="e">
        <f t="shared" si="128"/>
        <v>#DIV/0!</v>
      </c>
      <c r="R1590" s="5" t="e">
        <f ca="1">SQRT($B$9*AVERAGE((Q1590:OFFSET(Q1590,$B$5-1,0))))</f>
        <v>#DIV/0!</v>
      </c>
      <c r="S1590" s="5" t="e">
        <f ca="1">SQRT($B$9*AVERAGE((Q1590:OFFSET(Q1590,$B$6-1,0))))</f>
        <v>#DIV/0!</v>
      </c>
      <c r="T1590" s="5" t="e">
        <f ca="1">SQRT($B$9*AVERAGE((Q1590:OFFSET(Q1590,$B$7-1,0))))</f>
        <v>#DIV/0!</v>
      </c>
      <c r="U1590" s="5" t="e">
        <f ca="1">SQRT($B$9*AVERAGE((Q1590:OFFSET(Q1590,$B$8-1,0))))</f>
        <v>#DIV/0!</v>
      </c>
      <c r="W1590" s="6" t="e">
        <f t="shared" si="132"/>
        <v>#DIV/0!</v>
      </c>
      <c r="X1590" s="6" t="e">
        <f ca="1">SQRT($B$9*AVERAGE(W1590:OFFSET(W1590,$B$5-1,0)))</f>
        <v>#DIV/0!</v>
      </c>
      <c r="Y1590" s="6" t="e">
        <f ca="1">SQRT($B$9*AVERAGE(W1590:OFFSET(W1590,$B$6-1,0)))</f>
        <v>#DIV/0!</v>
      </c>
      <c r="Z1590" s="6" t="e">
        <f ca="1">SQRT($B$9*AVERAGE(W1590:OFFSET(W1590,$B$7-1,0)))</f>
        <v>#DIV/0!</v>
      </c>
      <c r="AA1590" s="6" t="e">
        <f ca="1">SQRT($B$9*AVERAGE(W1590:OFFSET(W1590,$B$8-1,0)))</f>
        <v>#DIV/0!</v>
      </c>
      <c r="AC1590" s="34" t="e">
        <f t="shared" si="130"/>
        <v>#DIV/0!</v>
      </c>
      <c r="AD1590" s="34" t="e">
        <f ca="1">SQRT($B$9*SUM(AC1590:OFFSET(AC1590,$B$5-1,0))/($B$5-1))</f>
        <v>#DIV/0!</v>
      </c>
      <c r="AE1590" s="34" t="e">
        <f ca="1">SQRT($B$9*SUM(AC1590:OFFSET(AC1590,$B$6-1,0))/($B$6-1))</f>
        <v>#DIV/0!</v>
      </c>
      <c r="AF1590" s="34" t="e">
        <f ca="1">SQRT($B$9*SUM(AC1590:OFFSET(AC1590,$B$7-1,0))/($B$7-1))</f>
        <v>#DIV/0!</v>
      </c>
      <c r="AG1590" s="34" t="e">
        <f ca="1">SQRT($B$9*SUM(AC1590:OFFSET(AC1590,$B$8-1,0))/($B$8-1))</f>
        <v>#DIV/0!</v>
      </c>
      <c r="AI1590" s="1" t="e">
        <f t="shared" si="131"/>
        <v>#DIV/0!</v>
      </c>
      <c r="AJ1590" s="4" t="e">
        <f ca="1">SQRT($B$9)*_xlfn.STDEV.S(AI1590:OFFSET(AI1590,$B$5-1,0))</f>
        <v>#DIV/0!</v>
      </c>
      <c r="AK1590" s="4" t="e">
        <f ca="1">SQRT($B$9)*_xlfn.STDEV.S(AI1590:OFFSET(AI1590,$B$6-1,0))</f>
        <v>#DIV/0!</v>
      </c>
      <c r="AL1590" s="4" t="e">
        <f ca="1">SQRT($B$9)*_xlfn.STDEV.S(AI1590:OFFSET(AI1590,$B$7-1,0))</f>
        <v>#DIV/0!</v>
      </c>
      <c r="AM1590" s="4" t="e">
        <f ca="1">SQRT($B$9)*_xlfn.STDEV.S(AI1590:OFFSET(AI1590,$B$8-1,0))</f>
        <v>#DIV/0!</v>
      </c>
    </row>
    <row r="1591" spans="11:39" x14ac:dyDescent="0.2">
      <c r="K1591" s="3" t="e">
        <f t="shared" si="129"/>
        <v>#DIV/0!</v>
      </c>
      <c r="L1591" s="3" t="e">
        <f ca="1">SQRT(AVERAGE(K1591:OFFSET(K1591,$B$5-1,0))*$B$9/(4*LN(2)))</f>
        <v>#DIV/0!</v>
      </c>
      <c r="M1591" s="3" t="e">
        <f ca="1">SQRT(AVERAGE(K1591:OFFSET(K1591,$B$6-1,0))*$B$9/(4*LN(2)))</f>
        <v>#DIV/0!</v>
      </c>
      <c r="N1591" s="3" t="e">
        <f ca="1">SQRT(AVERAGE(K1591:OFFSET(K1591,$B$7-1,0))*$B$9/(4*LN(2)))</f>
        <v>#DIV/0!</v>
      </c>
      <c r="O1591" s="3" t="e">
        <f ca="1">SQRT(AVERAGE(K1591:OFFSET(K1591,$B$8-1,0))*$B$9/(4*LN(2)))</f>
        <v>#DIV/0!</v>
      </c>
      <c r="Q1591" s="5" t="e">
        <f t="shared" si="128"/>
        <v>#DIV/0!</v>
      </c>
      <c r="R1591" s="5" t="e">
        <f ca="1">SQRT($B$9*AVERAGE((Q1591:OFFSET(Q1591,$B$5-1,0))))</f>
        <v>#DIV/0!</v>
      </c>
      <c r="S1591" s="5" t="e">
        <f ca="1">SQRT($B$9*AVERAGE((Q1591:OFFSET(Q1591,$B$6-1,0))))</f>
        <v>#DIV/0!</v>
      </c>
      <c r="T1591" s="5" t="e">
        <f ca="1">SQRT($B$9*AVERAGE((Q1591:OFFSET(Q1591,$B$7-1,0))))</f>
        <v>#DIV/0!</v>
      </c>
      <c r="U1591" s="5" t="e">
        <f ca="1">SQRT($B$9*AVERAGE((Q1591:OFFSET(Q1591,$B$8-1,0))))</f>
        <v>#DIV/0!</v>
      </c>
      <c r="W1591" s="6" t="e">
        <f t="shared" si="132"/>
        <v>#DIV/0!</v>
      </c>
      <c r="X1591" s="6" t="e">
        <f ca="1">SQRT($B$9*AVERAGE(W1591:OFFSET(W1591,$B$5-1,0)))</f>
        <v>#DIV/0!</v>
      </c>
      <c r="Y1591" s="6" t="e">
        <f ca="1">SQRT($B$9*AVERAGE(W1591:OFFSET(W1591,$B$6-1,0)))</f>
        <v>#DIV/0!</v>
      </c>
      <c r="Z1591" s="6" t="e">
        <f ca="1">SQRT($B$9*AVERAGE(W1591:OFFSET(W1591,$B$7-1,0)))</f>
        <v>#DIV/0!</v>
      </c>
      <c r="AA1591" s="6" t="e">
        <f ca="1">SQRT($B$9*AVERAGE(W1591:OFFSET(W1591,$B$8-1,0)))</f>
        <v>#DIV/0!</v>
      </c>
      <c r="AC1591" s="34" t="e">
        <f t="shared" si="130"/>
        <v>#DIV/0!</v>
      </c>
      <c r="AD1591" s="34" t="e">
        <f ca="1">SQRT($B$9*SUM(AC1591:OFFSET(AC1591,$B$5-1,0))/($B$5-1))</f>
        <v>#DIV/0!</v>
      </c>
      <c r="AE1591" s="34" t="e">
        <f ca="1">SQRT($B$9*SUM(AC1591:OFFSET(AC1591,$B$6-1,0))/($B$6-1))</f>
        <v>#DIV/0!</v>
      </c>
      <c r="AF1591" s="34" t="e">
        <f ca="1">SQRT($B$9*SUM(AC1591:OFFSET(AC1591,$B$7-1,0))/($B$7-1))</f>
        <v>#DIV/0!</v>
      </c>
      <c r="AG1591" s="34" t="e">
        <f ca="1">SQRT($B$9*SUM(AC1591:OFFSET(AC1591,$B$8-1,0))/($B$8-1))</f>
        <v>#DIV/0!</v>
      </c>
      <c r="AI1591" s="1" t="e">
        <f t="shared" si="131"/>
        <v>#DIV/0!</v>
      </c>
      <c r="AJ1591" s="4" t="e">
        <f ca="1">SQRT($B$9)*_xlfn.STDEV.S(AI1591:OFFSET(AI1591,$B$5-1,0))</f>
        <v>#DIV/0!</v>
      </c>
      <c r="AK1591" s="4" t="e">
        <f ca="1">SQRT($B$9)*_xlfn.STDEV.S(AI1591:OFFSET(AI1591,$B$6-1,0))</f>
        <v>#DIV/0!</v>
      </c>
      <c r="AL1591" s="4" t="e">
        <f ca="1">SQRT($B$9)*_xlfn.STDEV.S(AI1591:OFFSET(AI1591,$B$7-1,0))</f>
        <v>#DIV/0!</v>
      </c>
      <c r="AM1591" s="4" t="e">
        <f ca="1">SQRT($B$9)*_xlfn.STDEV.S(AI1591:OFFSET(AI1591,$B$8-1,0))</f>
        <v>#DIV/0!</v>
      </c>
    </row>
    <row r="1592" spans="11:39" x14ac:dyDescent="0.2">
      <c r="K1592" s="3" t="e">
        <f t="shared" si="129"/>
        <v>#DIV/0!</v>
      </c>
      <c r="L1592" s="3" t="e">
        <f ca="1">SQRT(AVERAGE(K1592:OFFSET(K1592,$B$5-1,0))*$B$9/(4*LN(2)))</f>
        <v>#DIV/0!</v>
      </c>
      <c r="M1592" s="3" t="e">
        <f ca="1">SQRT(AVERAGE(K1592:OFFSET(K1592,$B$6-1,0))*$B$9/(4*LN(2)))</f>
        <v>#DIV/0!</v>
      </c>
      <c r="N1592" s="3" t="e">
        <f ca="1">SQRT(AVERAGE(K1592:OFFSET(K1592,$B$7-1,0))*$B$9/(4*LN(2)))</f>
        <v>#DIV/0!</v>
      </c>
      <c r="O1592" s="3" t="e">
        <f ca="1">SQRT(AVERAGE(K1592:OFFSET(K1592,$B$8-1,0))*$B$9/(4*LN(2)))</f>
        <v>#DIV/0!</v>
      </c>
      <c r="Q1592" s="5" t="e">
        <f t="shared" si="128"/>
        <v>#DIV/0!</v>
      </c>
      <c r="R1592" s="5" t="e">
        <f ca="1">SQRT($B$9*AVERAGE((Q1592:OFFSET(Q1592,$B$5-1,0))))</f>
        <v>#DIV/0!</v>
      </c>
      <c r="S1592" s="5" t="e">
        <f ca="1">SQRT($B$9*AVERAGE((Q1592:OFFSET(Q1592,$B$6-1,0))))</f>
        <v>#DIV/0!</v>
      </c>
      <c r="T1592" s="5" t="e">
        <f ca="1">SQRT($B$9*AVERAGE((Q1592:OFFSET(Q1592,$B$7-1,0))))</f>
        <v>#DIV/0!</v>
      </c>
      <c r="U1592" s="5" t="e">
        <f ca="1">SQRT($B$9*AVERAGE((Q1592:OFFSET(Q1592,$B$8-1,0))))</f>
        <v>#DIV/0!</v>
      </c>
      <c r="W1592" s="6" t="e">
        <f t="shared" si="132"/>
        <v>#DIV/0!</v>
      </c>
      <c r="X1592" s="6" t="e">
        <f ca="1">SQRT($B$9*AVERAGE(W1592:OFFSET(W1592,$B$5-1,0)))</f>
        <v>#DIV/0!</v>
      </c>
      <c r="Y1592" s="6" t="e">
        <f ca="1">SQRT($B$9*AVERAGE(W1592:OFFSET(W1592,$B$6-1,0)))</f>
        <v>#DIV/0!</v>
      </c>
      <c r="Z1592" s="6" t="e">
        <f ca="1">SQRT($B$9*AVERAGE(W1592:OFFSET(W1592,$B$7-1,0)))</f>
        <v>#DIV/0!</v>
      </c>
      <c r="AA1592" s="6" t="e">
        <f ca="1">SQRT($B$9*AVERAGE(W1592:OFFSET(W1592,$B$8-1,0)))</f>
        <v>#DIV/0!</v>
      </c>
      <c r="AC1592" s="34" t="e">
        <f t="shared" si="130"/>
        <v>#DIV/0!</v>
      </c>
      <c r="AD1592" s="34" t="e">
        <f ca="1">SQRT($B$9*SUM(AC1592:OFFSET(AC1592,$B$5-1,0))/($B$5-1))</f>
        <v>#DIV/0!</v>
      </c>
      <c r="AE1592" s="34" t="e">
        <f ca="1">SQRT($B$9*SUM(AC1592:OFFSET(AC1592,$B$6-1,0))/($B$6-1))</f>
        <v>#DIV/0!</v>
      </c>
      <c r="AF1592" s="34" t="e">
        <f ca="1">SQRT($B$9*SUM(AC1592:OFFSET(AC1592,$B$7-1,0))/($B$7-1))</f>
        <v>#DIV/0!</v>
      </c>
      <c r="AG1592" s="34" t="e">
        <f ca="1">SQRT($B$9*SUM(AC1592:OFFSET(AC1592,$B$8-1,0))/($B$8-1))</f>
        <v>#DIV/0!</v>
      </c>
      <c r="AI1592" s="1" t="e">
        <f t="shared" si="131"/>
        <v>#DIV/0!</v>
      </c>
      <c r="AJ1592" s="4" t="e">
        <f ca="1">SQRT($B$9)*_xlfn.STDEV.S(AI1592:OFFSET(AI1592,$B$5-1,0))</f>
        <v>#DIV/0!</v>
      </c>
      <c r="AK1592" s="4" t="e">
        <f ca="1">SQRT($B$9)*_xlfn.STDEV.S(AI1592:OFFSET(AI1592,$B$6-1,0))</f>
        <v>#DIV/0!</v>
      </c>
      <c r="AL1592" s="4" t="e">
        <f ca="1">SQRT($B$9)*_xlfn.STDEV.S(AI1592:OFFSET(AI1592,$B$7-1,0))</f>
        <v>#DIV/0!</v>
      </c>
      <c r="AM1592" s="4" t="e">
        <f ca="1">SQRT($B$9)*_xlfn.STDEV.S(AI1592:OFFSET(AI1592,$B$8-1,0))</f>
        <v>#DIV/0!</v>
      </c>
    </row>
    <row r="1593" spans="11:39" x14ac:dyDescent="0.2">
      <c r="K1593" s="3" t="e">
        <f t="shared" si="129"/>
        <v>#DIV/0!</v>
      </c>
      <c r="L1593" s="3" t="e">
        <f ca="1">SQRT(AVERAGE(K1593:OFFSET(K1593,$B$5-1,0))*$B$9/(4*LN(2)))</f>
        <v>#DIV/0!</v>
      </c>
      <c r="M1593" s="3" t="e">
        <f ca="1">SQRT(AVERAGE(K1593:OFFSET(K1593,$B$6-1,0))*$B$9/(4*LN(2)))</f>
        <v>#DIV/0!</v>
      </c>
      <c r="N1593" s="3" t="e">
        <f ca="1">SQRT(AVERAGE(K1593:OFFSET(K1593,$B$7-1,0))*$B$9/(4*LN(2)))</f>
        <v>#DIV/0!</v>
      </c>
      <c r="O1593" s="3" t="e">
        <f ca="1">SQRT(AVERAGE(K1593:OFFSET(K1593,$B$8-1,0))*$B$9/(4*LN(2)))</f>
        <v>#DIV/0!</v>
      </c>
      <c r="Q1593" s="5" t="e">
        <f t="shared" si="128"/>
        <v>#DIV/0!</v>
      </c>
      <c r="R1593" s="5" t="e">
        <f ca="1">SQRT($B$9*AVERAGE((Q1593:OFFSET(Q1593,$B$5-1,0))))</f>
        <v>#DIV/0!</v>
      </c>
      <c r="S1593" s="5" t="e">
        <f ca="1">SQRT($B$9*AVERAGE((Q1593:OFFSET(Q1593,$B$6-1,0))))</f>
        <v>#DIV/0!</v>
      </c>
      <c r="T1593" s="5" t="e">
        <f ca="1">SQRT($B$9*AVERAGE((Q1593:OFFSET(Q1593,$B$7-1,0))))</f>
        <v>#DIV/0!</v>
      </c>
      <c r="U1593" s="5" t="e">
        <f ca="1">SQRT($B$9*AVERAGE((Q1593:OFFSET(Q1593,$B$8-1,0))))</f>
        <v>#DIV/0!</v>
      </c>
      <c r="W1593" s="6" t="e">
        <f t="shared" si="132"/>
        <v>#DIV/0!</v>
      </c>
      <c r="X1593" s="6" t="e">
        <f ca="1">SQRT($B$9*AVERAGE(W1593:OFFSET(W1593,$B$5-1,0)))</f>
        <v>#DIV/0!</v>
      </c>
      <c r="Y1593" s="6" t="e">
        <f ca="1">SQRT($B$9*AVERAGE(W1593:OFFSET(W1593,$B$6-1,0)))</f>
        <v>#DIV/0!</v>
      </c>
      <c r="Z1593" s="6" t="e">
        <f ca="1">SQRT($B$9*AVERAGE(W1593:OFFSET(W1593,$B$7-1,0)))</f>
        <v>#DIV/0!</v>
      </c>
      <c r="AA1593" s="6" t="e">
        <f ca="1">SQRT($B$9*AVERAGE(W1593:OFFSET(W1593,$B$8-1,0)))</f>
        <v>#DIV/0!</v>
      </c>
      <c r="AC1593" s="34" t="e">
        <f t="shared" si="130"/>
        <v>#DIV/0!</v>
      </c>
      <c r="AD1593" s="34" t="e">
        <f ca="1">SQRT($B$9*SUM(AC1593:OFFSET(AC1593,$B$5-1,0))/($B$5-1))</f>
        <v>#DIV/0!</v>
      </c>
      <c r="AE1593" s="34" t="e">
        <f ca="1">SQRT($B$9*SUM(AC1593:OFFSET(AC1593,$B$6-1,0))/($B$6-1))</f>
        <v>#DIV/0!</v>
      </c>
      <c r="AF1593" s="34" t="e">
        <f ca="1">SQRT($B$9*SUM(AC1593:OFFSET(AC1593,$B$7-1,0))/($B$7-1))</f>
        <v>#DIV/0!</v>
      </c>
      <c r="AG1593" s="34" t="e">
        <f ca="1">SQRT($B$9*SUM(AC1593:OFFSET(AC1593,$B$8-1,0))/($B$8-1))</f>
        <v>#DIV/0!</v>
      </c>
      <c r="AI1593" s="1" t="e">
        <f t="shared" si="131"/>
        <v>#DIV/0!</v>
      </c>
      <c r="AJ1593" s="4" t="e">
        <f ca="1">SQRT($B$9)*_xlfn.STDEV.S(AI1593:OFFSET(AI1593,$B$5-1,0))</f>
        <v>#DIV/0!</v>
      </c>
      <c r="AK1593" s="4" t="e">
        <f ca="1">SQRT($B$9)*_xlfn.STDEV.S(AI1593:OFFSET(AI1593,$B$6-1,0))</f>
        <v>#DIV/0!</v>
      </c>
      <c r="AL1593" s="4" t="e">
        <f ca="1">SQRT($B$9)*_xlfn.STDEV.S(AI1593:OFFSET(AI1593,$B$7-1,0))</f>
        <v>#DIV/0!</v>
      </c>
      <c r="AM1593" s="4" t="e">
        <f ca="1">SQRT($B$9)*_xlfn.STDEV.S(AI1593:OFFSET(AI1593,$B$8-1,0))</f>
        <v>#DIV/0!</v>
      </c>
    </row>
    <row r="1594" spans="11:39" x14ac:dyDescent="0.2">
      <c r="K1594" s="3" t="e">
        <f t="shared" si="129"/>
        <v>#DIV/0!</v>
      </c>
      <c r="L1594" s="3" t="e">
        <f ca="1">SQRT(AVERAGE(K1594:OFFSET(K1594,$B$5-1,0))*$B$9/(4*LN(2)))</f>
        <v>#DIV/0!</v>
      </c>
      <c r="M1594" s="3" t="e">
        <f ca="1">SQRT(AVERAGE(K1594:OFFSET(K1594,$B$6-1,0))*$B$9/(4*LN(2)))</f>
        <v>#DIV/0!</v>
      </c>
      <c r="N1594" s="3" t="e">
        <f ca="1">SQRT(AVERAGE(K1594:OFFSET(K1594,$B$7-1,0))*$B$9/(4*LN(2)))</f>
        <v>#DIV/0!</v>
      </c>
      <c r="O1594" s="3" t="e">
        <f ca="1">SQRT(AVERAGE(K1594:OFFSET(K1594,$B$8-1,0))*$B$9/(4*LN(2)))</f>
        <v>#DIV/0!</v>
      </c>
      <c r="Q1594" s="5" t="e">
        <f t="shared" si="128"/>
        <v>#DIV/0!</v>
      </c>
      <c r="R1594" s="5" t="e">
        <f ca="1">SQRT($B$9*AVERAGE((Q1594:OFFSET(Q1594,$B$5-1,0))))</f>
        <v>#DIV/0!</v>
      </c>
      <c r="S1594" s="5" t="e">
        <f ca="1">SQRT($B$9*AVERAGE((Q1594:OFFSET(Q1594,$B$6-1,0))))</f>
        <v>#DIV/0!</v>
      </c>
      <c r="T1594" s="5" t="e">
        <f ca="1">SQRT($B$9*AVERAGE((Q1594:OFFSET(Q1594,$B$7-1,0))))</f>
        <v>#DIV/0!</v>
      </c>
      <c r="U1594" s="5" t="e">
        <f ca="1">SQRT($B$9*AVERAGE((Q1594:OFFSET(Q1594,$B$8-1,0))))</f>
        <v>#DIV/0!</v>
      </c>
      <c r="W1594" s="6" t="e">
        <f t="shared" si="132"/>
        <v>#DIV/0!</v>
      </c>
      <c r="X1594" s="6" t="e">
        <f ca="1">SQRT($B$9*AVERAGE(W1594:OFFSET(W1594,$B$5-1,0)))</f>
        <v>#DIV/0!</v>
      </c>
      <c r="Y1594" s="6" t="e">
        <f ca="1">SQRT($B$9*AVERAGE(W1594:OFFSET(W1594,$B$6-1,0)))</f>
        <v>#DIV/0!</v>
      </c>
      <c r="Z1594" s="6" t="e">
        <f ca="1">SQRT($B$9*AVERAGE(W1594:OFFSET(W1594,$B$7-1,0)))</f>
        <v>#DIV/0!</v>
      </c>
      <c r="AA1594" s="6" t="e">
        <f ca="1">SQRT($B$9*AVERAGE(W1594:OFFSET(W1594,$B$8-1,0)))</f>
        <v>#DIV/0!</v>
      </c>
      <c r="AC1594" s="34" t="e">
        <f t="shared" si="130"/>
        <v>#DIV/0!</v>
      </c>
      <c r="AD1594" s="34" t="e">
        <f ca="1">SQRT($B$9*SUM(AC1594:OFFSET(AC1594,$B$5-1,0))/($B$5-1))</f>
        <v>#DIV/0!</v>
      </c>
      <c r="AE1594" s="34" t="e">
        <f ca="1">SQRT($B$9*SUM(AC1594:OFFSET(AC1594,$B$6-1,0))/($B$6-1))</f>
        <v>#DIV/0!</v>
      </c>
      <c r="AF1594" s="34" t="e">
        <f ca="1">SQRT($B$9*SUM(AC1594:OFFSET(AC1594,$B$7-1,0))/($B$7-1))</f>
        <v>#DIV/0!</v>
      </c>
      <c r="AG1594" s="34" t="e">
        <f ca="1">SQRT($B$9*SUM(AC1594:OFFSET(AC1594,$B$8-1,0))/($B$8-1))</f>
        <v>#DIV/0!</v>
      </c>
      <c r="AI1594" s="1" t="e">
        <f t="shared" si="131"/>
        <v>#DIV/0!</v>
      </c>
      <c r="AJ1594" s="4" t="e">
        <f ca="1">SQRT($B$9)*_xlfn.STDEV.S(AI1594:OFFSET(AI1594,$B$5-1,0))</f>
        <v>#DIV/0!</v>
      </c>
      <c r="AK1594" s="4" t="e">
        <f ca="1">SQRT($B$9)*_xlfn.STDEV.S(AI1594:OFFSET(AI1594,$B$6-1,0))</f>
        <v>#DIV/0!</v>
      </c>
      <c r="AL1594" s="4" t="e">
        <f ca="1">SQRT($B$9)*_xlfn.STDEV.S(AI1594:OFFSET(AI1594,$B$7-1,0))</f>
        <v>#DIV/0!</v>
      </c>
      <c r="AM1594" s="4" t="e">
        <f ca="1">SQRT($B$9)*_xlfn.STDEV.S(AI1594:OFFSET(AI1594,$B$8-1,0))</f>
        <v>#DIV/0!</v>
      </c>
    </row>
    <row r="1595" spans="11:39" x14ac:dyDescent="0.2">
      <c r="K1595" s="3" t="e">
        <f t="shared" si="129"/>
        <v>#DIV/0!</v>
      </c>
      <c r="L1595" s="3" t="e">
        <f ca="1">SQRT(AVERAGE(K1595:OFFSET(K1595,$B$5-1,0))*$B$9/(4*LN(2)))</f>
        <v>#DIV/0!</v>
      </c>
      <c r="M1595" s="3" t="e">
        <f ca="1">SQRT(AVERAGE(K1595:OFFSET(K1595,$B$6-1,0))*$B$9/(4*LN(2)))</f>
        <v>#DIV/0!</v>
      </c>
      <c r="N1595" s="3" t="e">
        <f ca="1">SQRT(AVERAGE(K1595:OFFSET(K1595,$B$7-1,0))*$B$9/(4*LN(2)))</f>
        <v>#DIV/0!</v>
      </c>
      <c r="O1595" s="3" t="e">
        <f ca="1">SQRT(AVERAGE(K1595:OFFSET(K1595,$B$8-1,0))*$B$9/(4*LN(2)))</f>
        <v>#DIV/0!</v>
      </c>
      <c r="Q1595" s="5" t="e">
        <f t="shared" si="128"/>
        <v>#DIV/0!</v>
      </c>
      <c r="R1595" s="5" t="e">
        <f ca="1">SQRT($B$9*AVERAGE((Q1595:OFFSET(Q1595,$B$5-1,0))))</f>
        <v>#DIV/0!</v>
      </c>
      <c r="S1595" s="5" t="e">
        <f ca="1">SQRT($B$9*AVERAGE((Q1595:OFFSET(Q1595,$B$6-1,0))))</f>
        <v>#DIV/0!</v>
      </c>
      <c r="T1595" s="5" t="e">
        <f ca="1">SQRT($B$9*AVERAGE((Q1595:OFFSET(Q1595,$B$7-1,0))))</f>
        <v>#DIV/0!</v>
      </c>
      <c r="U1595" s="5" t="e">
        <f ca="1">SQRT($B$9*AVERAGE((Q1595:OFFSET(Q1595,$B$8-1,0))))</f>
        <v>#DIV/0!</v>
      </c>
      <c r="W1595" s="6" t="e">
        <f t="shared" si="132"/>
        <v>#DIV/0!</v>
      </c>
      <c r="X1595" s="6" t="e">
        <f ca="1">SQRT($B$9*AVERAGE(W1595:OFFSET(W1595,$B$5-1,0)))</f>
        <v>#DIV/0!</v>
      </c>
      <c r="Y1595" s="6" t="e">
        <f ca="1">SQRT($B$9*AVERAGE(W1595:OFFSET(W1595,$B$6-1,0)))</f>
        <v>#DIV/0!</v>
      </c>
      <c r="Z1595" s="6" t="e">
        <f ca="1">SQRT($B$9*AVERAGE(W1595:OFFSET(W1595,$B$7-1,0)))</f>
        <v>#DIV/0!</v>
      </c>
      <c r="AA1595" s="6" t="e">
        <f ca="1">SQRT($B$9*AVERAGE(W1595:OFFSET(W1595,$B$8-1,0)))</f>
        <v>#DIV/0!</v>
      </c>
      <c r="AC1595" s="34" t="e">
        <f t="shared" si="130"/>
        <v>#DIV/0!</v>
      </c>
      <c r="AD1595" s="34" t="e">
        <f ca="1">SQRT($B$9*SUM(AC1595:OFFSET(AC1595,$B$5-1,0))/($B$5-1))</f>
        <v>#DIV/0!</v>
      </c>
      <c r="AE1595" s="34" t="e">
        <f ca="1">SQRT($B$9*SUM(AC1595:OFFSET(AC1595,$B$6-1,0))/($B$6-1))</f>
        <v>#DIV/0!</v>
      </c>
      <c r="AF1595" s="34" t="e">
        <f ca="1">SQRT($B$9*SUM(AC1595:OFFSET(AC1595,$B$7-1,0))/($B$7-1))</f>
        <v>#DIV/0!</v>
      </c>
      <c r="AG1595" s="34" t="e">
        <f ca="1">SQRT($B$9*SUM(AC1595:OFFSET(AC1595,$B$8-1,0))/($B$8-1))</f>
        <v>#DIV/0!</v>
      </c>
      <c r="AI1595" s="1" t="e">
        <f t="shared" si="131"/>
        <v>#DIV/0!</v>
      </c>
      <c r="AJ1595" s="4" t="e">
        <f ca="1">SQRT($B$9)*_xlfn.STDEV.S(AI1595:OFFSET(AI1595,$B$5-1,0))</f>
        <v>#DIV/0!</v>
      </c>
      <c r="AK1595" s="4" t="e">
        <f ca="1">SQRT($B$9)*_xlfn.STDEV.S(AI1595:OFFSET(AI1595,$B$6-1,0))</f>
        <v>#DIV/0!</v>
      </c>
      <c r="AL1595" s="4" t="e">
        <f ca="1">SQRT($B$9)*_xlfn.STDEV.S(AI1595:OFFSET(AI1595,$B$7-1,0))</f>
        <v>#DIV/0!</v>
      </c>
      <c r="AM1595" s="4" t="e">
        <f ca="1">SQRT($B$9)*_xlfn.STDEV.S(AI1595:OFFSET(AI1595,$B$8-1,0))</f>
        <v>#DIV/0!</v>
      </c>
    </row>
    <row r="1596" spans="11:39" x14ac:dyDescent="0.2">
      <c r="K1596" s="3" t="e">
        <f t="shared" si="129"/>
        <v>#DIV/0!</v>
      </c>
      <c r="L1596" s="3" t="e">
        <f ca="1">SQRT(AVERAGE(K1596:OFFSET(K1596,$B$5-1,0))*$B$9/(4*LN(2)))</f>
        <v>#DIV/0!</v>
      </c>
      <c r="M1596" s="3" t="e">
        <f ca="1">SQRT(AVERAGE(K1596:OFFSET(K1596,$B$6-1,0))*$B$9/(4*LN(2)))</f>
        <v>#DIV/0!</v>
      </c>
      <c r="N1596" s="3" t="e">
        <f ca="1">SQRT(AVERAGE(K1596:OFFSET(K1596,$B$7-1,0))*$B$9/(4*LN(2)))</f>
        <v>#DIV/0!</v>
      </c>
      <c r="O1596" s="3" t="e">
        <f ca="1">SQRT(AVERAGE(K1596:OFFSET(K1596,$B$8-1,0))*$B$9/(4*LN(2)))</f>
        <v>#DIV/0!</v>
      </c>
      <c r="Q1596" s="5" t="e">
        <f t="shared" si="128"/>
        <v>#DIV/0!</v>
      </c>
      <c r="R1596" s="5" t="e">
        <f ca="1">SQRT($B$9*AVERAGE((Q1596:OFFSET(Q1596,$B$5-1,0))))</f>
        <v>#DIV/0!</v>
      </c>
      <c r="S1596" s="5" t="e">
        <f ca="1">SQRT($B$9*AVERAGE((Q1596:OFFSET(Q1596,$B$6-1,0))))</f>
        <v>#DIV/0!</v>
      </c>
      <c r="T1596" s="5" t="e">
        <f ca="1">SQRT($B$9*AVERAGE((Q1596:OFFSET(Q1596,$B$7-1,0))))</f>
        <v>#DIV/0!</v>
      </c>
      <c r="U1596" s="5" t="e">
        <f ca="1">SQRT($B$9*AVERAGE((Q1596:OFFSET(Q1596,$B$8-1,0))))</f>
        <v>#DIV/0!</v>
      </c>
      <c r="W1596" s="6" t="e">
        <f t="shared" si="132"/>
        <v>#DIV/0!</v>
      </c>
      <c r="X1596" s="6" t="e">
        <f ca="1">SQRT($B$9*AVERAGE(W1596:OFFSET(W1596,$B$5-1,0)))</f>
        <v>#DIV/0!</v>
      </c>
      <c r="Y1596" s="6" t="e">
        <f ca="1">SQRT($B$9*AVERAGE(W1596:OFFSET(W1596,$B$6-1,0)))</f>
        <v>#DIV/0!</v>
      </c>
      <c r="Z1596" s="6" t="e">
        <f ca="1">SQRT($B$9*AVERAGE(W1596:OFFSET(W1596,$B$7-1,0)))</f>
        <v>#DIV/0!</v>
      </c>
      <c r="AA1596" s="6" t="e">
        <f ca="1">SQRT($B$9*AVERAGE(W1596:OFFSET(W1596,$B$8-1,0)))</f>
        <v>#DIV/0!</v>
      </c>
      <c r="AC1596" s="34" t="e">
        <f t="shared" si="130"/>
        <v>#DIV/0!</v>
      </c>
      <c r="AD1596" s="34" t="e">
        <f ca="1">SQRT($B$9*SUM(AC1596:OFFSET(AC1596,$B$5-1,0))/($B$5-1))</f>
        <v>#DIV/0!</v>
      </c>
      <c r="AE1596" s="34" t="e">
        <f ca="1">SQRT($B$9*SUM(AC1596:OFFSET(AC1596,$B$6-1,0))/($B$6-1))</f>
        <v>#DIV/0!</v>
      </c>
      <c r="AF1596" s="34" t="e">
        <f ca="1">SQRT($B$9*SUM(AC1596:OFFSET(AC1596,$B$7-1,0))/($B$7-1))</f>
        <v>#DIV/0!</v>
      </c>
      <c r="AG1596" s="34" t="e">
        <f ca="1">SQRT($B$9*SUM(AC1596:OFFSET(AC1596,$B$8-1,0))/($B$8-1))</f>
        <v>#DIV/0!</v>
      </c>
      <c r="AI1596" s="1" t="e">
        <f t="shared" si="131"/>
        <v>#DIV/0!</v>
      </c>
      <c r="AJ1596" s="4" t="e">
        <f ca="1">SQRT($B$9)*_xlfn.STDEV.S(AI1596:OFFSET(AI1596,$B$5-1,0))</f>
        <v>#DIV/0!</v>
      </c>
      <c r="AK1596" s="4" t="e">
        <f ca="1">SQRT($B$9)*_xlfn.STDEV.S(AI1596:OFFSET(AI1596,$B$6-1,0))</f>
        <v>#DIV/0!</v>
      </c>
      <c r="AL1596" s="4" t="e">
        <f ca="1">SQRT($B$9)*_xlfn.STDEV.S(AI1596:OFFSET(AI1596,$B$7-1,0))</f>
        <v>#DIV/0!</v>
      </c>
      <c r="AM1596" s="4" t="e">
        <f ca="1">SQRT($B$9)*_xlfn.STDEV.S(AI1596:OFFSET(AI1596,$B$8-1,0))</f>
        <v>#DIV/0!</v>
      </c>
    </row>
    <row r="1597" spans="11:39" x14ac:dyDescent="0.2">
      <c r="K1597" s="3" t="e">
        <f t="shared" si="129"/>
        <v>#DIV/0!</v>
      </c>
      <c r="L1597" s="3" t="e">
        <f ca="1">SQRT(AVERAGE(K1597:OFFSET(K1597,$B$5-1,0))*$B$9/(4*LN(2)))</f>
        <v>#DIV/0!</v>
      </c>
      <c r="M1597" s="3" t="e">
        <f ca="1">SQRT(AVERAGE(K1597:OFFSET(K1597,$B$6-1,0))*$B$9/(4*LN(2)))</f>
        <v>#DIV/0!</v>
      </c>
      <c r="N1597" s="3" t="e">
        <f ca="1">SQRT(AVERAGE(K1597:OFFSET(K1597,$B$7-1,0))*$B$9/(4*LN(2)))</f>
        <v>#DIV/0!</v>
      </c>
      <c r="O1597" s="3" t="e">
        <f ca="1">SQRT(AVERAGE(K1597:OFFSET(K1597,$B$8-1,0))*$B$9/(4*LN(2)))</f>
        <v>#DIV/0!</v>
      </c>
      <c r="Q1597" s="5" t="e">
        <f t="shared" si="128"/>
        <v>#DIV/0!</v>
      </c>
      <c r="R1597" s="5" t="e">
        <f ca="1">SQRT($B$9*AVERAGE((Q1597:OFFSET(Q1597,$B$5-1,0))))</f>
        <v>#DIV/0!</v>
      </c>
      <c r="S1597" s="5" t="e">
        <f ca="1">SQRT($B$9*AVERAGE((Q1597:OFFSET(Q1597,$B$6-1,0))))</f>
        <v>#DIV/0!</v>
      </c>
      <c r="T1597" s="5" t="e">
        <f ca="1">SQRT($B$9*AVERAGE((Q1597:OFFSET(Q1597,$B$7-1,0))))</f>
        <v>#DIV/0!</v>
      </c>
      <c r="U1597" s="5" t="e">
        <f ca="1">SQRT($B$9*AVERAGE((Q1597:OFFSET(Q1597,$B$8-1,0))))</f>
        <v>#DIV/0!</v>
      </c>
      <c r="W1597" s="6" t="e">
        <f t="shared" si="132"/>
        <v>#DIV/0!</v>
      </c>
      <c r="X1597" s="6" t="e">
        <f ca="1">SQRT($B$9*AVERAGE(W1597:OFFSET(W1597,$B$5-1,0)))</f>
        <v>#DIV/0!</v>
      </c>
      <c r="Y1597" s="6" t="e">
        <f ca="1">SQRT($B$9*AVERAGE(W1597:OFFSET(W1597,$B$6-1,0)))</f>
        <v>#DIV/0!</v>
      </c>
      <c r="Z1597" s="6" t="e">
        <f ca="1">SQRT($B$9*AVERAGE(W1597:OFFSET(W1597,$B$7-1,0)))</f>
        <v>#DIV/0!</v>
      </c>
      <c r="AA1597" s="6" t="e">
        <f ca="1">SQRT($B$9*AVERAGE(W1597:OFFSET(W1597,$B$8-1,0)))</f>
        <v>#DIV/0!</v>
      </c>
      <c r="AC1597" s="34" t="e">
        <f t="shared" si="130"/>
        <v>#DIV/0!</v>
      </c>
      <c r="AD1597" s="34" t="e">
        <f ca="1">SQRT($B$9*SUM(AC1597:OFFSET(AC1597,$B$5-1,0))/($B$5-1))</f>
        <v>#DIV/0!</v>
      </c>
      <c r="AE1597" s="34" t="e">
        <f ca="1">SQRT($B$9*SUM(AC1597:OFFSET(AC1597,$B$6-1,0))/($B$6-1))</f>
        <v>#DIV/0!</v>
      </c>
      <c r="AF1597" s="34" t="e">
        <f ca="1">SQRT($B$9*SUM(AC1597:OFFSET(AC1597,$B$7-1,0))/($B$7-1))</f>
        <v>#DIV/0!</v>
      </c>
      <c r="AG1597" s="34" t="e">
        <f ca="1">SQRT($B$9*SUM(AC1597:OFFSET(AC1597,$B$8-1,0))/($B$8-1))</f>
        <v>#DIV/0!</v>
      </c>
      <c r="AI1597" s="1" t="e">
        <f t="shared" si="131"/>
        <v>#DIV/0!</v>
      </c>
      <c r="AJ1597" s="4" t="e">
        <f ca="1">SQRT($B$9)*_xlfn.STDEV.S(AI1597:OFFSET(AI1597,$B$5-1,0))</f>
        <v>#DIV/0!</v>
      </c>
      <c r="AK1597" s="4" t="e">
        <f ca="1">SQRT($B$9)*_xlfn.STDEV.S(AI1597:OFFSET(AI1597,$B$6-1,0))</f>
        <v>#DIV/0!</v>
      </c>
      <c r="AL1597" s="4" t="e">
        <f ca="1">SQRT($B$9)*_xlfn.STDEV.S(AI1597:OFFSET(AI1597,$B$7-1,0))</f>
        <v>#DIV/0!</v>
      </c>
      <c r="AM1597" s="4" t="e">
        <f ca="1">SQRT($B$9)*_xlfn.STDEV.S(AI1597:OFFSET(AI1597,$B$8-1,0))</f>
        <v>#DIV/0!</v>
      </c>
    </row>
    <row r="1598" spans="11:39" x14ac:dyDescent="0.2">
      <c r="K1598" s="3" t="e">
        <f t="shared" si="129"/>
        <v>#DIV/0!</v>
      </c>
      <c r="L1598" s="3" t="e">
        <f ca="1">SQRT(AVERAGE(K1598:OFFSET(K1598,$B$5-1,0))*$B$9/(4*LN(2)))</f>
        <v>#DIV/0!</v>
      </c>
      <c r="M1598" s="3" t="e">
        <f ca="1">SQRT(AVERAGE(K1598:OFFSET(K1598,$B$6-1,0))*$B$9/(4*LN(2)))</f>
        <v>#DIV/0!</v>
      </c>
      <c r="N1598" s="3" t="e">
        <f ca="1">SQRT(AVERAGE(K1598:OFFSET(K1598,$B$7-1,0))*$B$9/(4*LN(2)))</f>
        <v>#DIV/0!</v>
      </c>
      <c r="O1598" s="3" t="e">
        <f ca="1">SQRT(AVERAGE(K1598:OFFSET(K1598,$B$8-1,0))*$B$9/(4*LN(2)))</f>
        <v>#DIV/0!</v>
      </c>
      <c r="Q1598" s="5" t="e">
        <f t="shared" si="128"/>
        <v>#DIV/0!</v>
      </c>
      <c r="R1598" s="5" t="e">
        <f ca="1">SQRT($B$9*AVERAGE((Q1598:OFFSET(Q1598,$B$5-1,0))))</f>
        <v>#DIV/0!</v>
      </c>
      <c r="S1598" s="5" t="e">
        <f ca="1">SQRT($B$9*AVERAGE((Q1598:OFFSET(Q1598,$B$6-1,0))))</f>
        <v>#DIV/0!</v>
      </c>
      <c r="T1598" s="5" t="e">
        <f ca="1">SQRT($B$9*AVERAGE((Q1598:OFFSET(Q1598,$B$7-1,0))))</f>
        <v>#DIV/0!</v>
      </c>
      <c r="U1598" s="5" t="e">
        <f ca="1">SQRT($B$9*AVERAGE((Q1598:OFFSET(Q1598,$B$8-1,0))))</f>
        <v>#DIV/0!</v>
      </c>
      <c r="W1598" s="6" t="e">
        <f t="shared" si="132"/>
        <v>#DIV/0!</v>
      </c>
      <c r="X1598" s="6" t="e">
        <f ca="1">SQRT($B$9*AVERAGE(W1598:OFFSET(W1598,$B$5-1,0)))</f>
        <v>#DIV/0!</v>
      </c>
      <c r="Y1598" s="6" t="e">
        <f ca="1">SQRT($B$9*AVERAGE(W1598:OFFSET(W1598,$B$6-1,0)))</f>
        <v>#DIV/0!</v>
      </c>
      <c r="Z1598" s="6" t="e">
        <f ca="1">SQRT($B$9*AVERAGE(W1598:OFFSET(W1598,$B$7-1,0)))</f>
        <v>#DIV/0!</v>
      </c>
      <c r="AA1598" s="6" t="e">
        <f ca="1">SQRT($B$9*AVERAGE(W1598:OFFSET(W1598,$B$8-1,0)))</f>
        <v>#DIV/0!</v>
      </c>
      <c r="AC1598" s="34" t="e">
        <f t="shared" si="130"/>
        <v>#DIV/0!</v>
      </c>
      <c r="AD1598" s="34" t="e">
        <f ca="1">SQRT($B$9*SUM(AC1598:OFFSET(AC1598,$B$5-1,0))/($B$5-1))</f>
        <v>#DIV/0!</v>
      </c>
      <c r="AE1598" s="34" t="e">
        <f ca="1">SQRT($B$9*SUM(AC1598:OFFSET(AC1598,$B$6-1,0))/($B$6-1))</f>
        <v>#DIV/0!</v>
      </c>
      <c r="AF1598" s="34" t="e">
        <f ca="1">SQRT($B$9*SUM(AC1598:OFFSET(AC1598,$B$7-1,0))/($B$7-1))</f>
        <v>#DIV/0!</v>
      </c>
      <c r="AG1598" s="34" t="e">
        <f ca="1">SQRT($B$9*SUM(AC1598:OFFSET(AC1598,$B$8-1,0))/($B$8-1))</f>
        <v>#DIV/0!</v>
      </c>
      <c r="AI1598" s="1" t="e">
        <f t="shared" si="131"/>
        <v>#DIV/0!</v>
      </c>
      <c r="AJ1598" s="4" t="e">
        <f ca="1">SQRT($B$9)*_xlfn.STDEV.S(AI1598:OFFSET(AI1598,$B$5-1,0))</f>
        <v>#DIV/0!</v>
      </c>
      <c r="AK1598" s="4" t="e">
        <f ca="1">SQRT($B$9)*_xlfn.STDEV.S(AI1598:OFFSET(AI1598,$B$6-1,0))</f>
        <v>#DIV/0!</v>
      </c>
      <c r="AL1598" s="4" t="e">
        <f ca="1">SQRT($B$9)*_xlfn.STDEV.S(AI1598:OFFSET(AI1598,$B$7-1,0))</f>
        <v>#DIV/0!</v>
      </c>
      <c r="AM1598" s="4" t="e">
        <f ca="1">SQRT($B$9)*_xlfn.STDEV.S(AI1598:OFFSET(AI1598,$B$8-1,0))</f>
        <v>#DIV/0!</v>
      </c>
    </row>
    <row r="1599" spans="11:39" x14ac:dyDescent="0.2">
      <c r="K1599" s="3" t="e">
        <f t="shared" si="129"/>
        <v>#DIV/0!</v>
      </c>
      <c r="L1599" s="3" t="e">
        <f ca="1">SQRT(AVERAGE(K1599:OFFSET(K1599,$B$5-1,0))*$B$9/(4*LN(2)))</f>
        <v>#DIV/0!</v>
      </c>
      <c r="M1599" s="3" t="e">
        <f ca="1">SQRT(AVERAGE(K1599:OFFSET(K1599,$B$6-1,0))*$B$9/(4*LN(2)))</f>
        <v>#DIV/0!</v>
      </c>
      <c r="N1599" s="3" t="e">
        <f ca="1">SQRT(AVERAGE(K1599:OFFSET(K1599,$B$7-1,0))*$B$9/(4*LN(2)))</f>
        <v>#DIV/0!</v>
      </c>
      <c r="O1599" s="3" t="e">
        <f ca="1">SQRT(AVERAGE(K1599:OFFSET(K1599,$B$8-1,0))*$B$9/(4*LN(2)))</f>
        <v>#DIV/0!</v>
      </c>
      <c r="Q1599" s="5" t="e">
        <f t="shared" si="128"/>
        <v>#DIV/0!</v>
      </c>
      <c r="R1599" s="5" t="e">
        <f ca="1">SQRT($B$9*AVERAGE((Q1599:OFFSET(Q1599,$B$5-1,0))))</f>
        <v>#DIV/0!</v>
      </c>
      <c r="S1599" s="5" t="e">
        <f ca="1">SQRT($B$9*AVERAGE((Q1599:OFFSET(Q1599,$B$6-1,0))))</f>
        <v>#DIV/0!</v>
      </c>
      <c r="T1599" s="5" t="e">
        <f ca="1">SQRT($B$9*AVERAGE((Q1599:OFFSET(Q1599,$B$7-1,0))))</f>
        <v>#DIV/0!</v>
      </c>
      <c r="U1599" s="5" t="e">
        <f ca="1">SQRT($B$9*AVERAGE((Q1599:OFFSET(Q1599,$B$8-1,0))))</f>
        <v>#DIV/0!</v>
      </c>
      <c r="W1599" s="6" t="e">
        <f t="shared" si="132"/>
        <v>#DIV/0!</v>
      </c>
      <c r="X1599" s="6" t="e">
        <f ca="1">SQRT($B$9*AVERAGE(W1599:OFFSET(W1599,$B$5-1,0)))</f>
        <v>#DIV/0!</v>
      </c>
      <c r="Y1599" s="6" t="e">
        <f ca="1">SQRT($B$9*AVERAGE(W1599:OFFSET(W1599,$B$6-1,0)))</f>
        <v>#DIV/0!</v>
      </c>
      <c r="Z1599" s="6" t="e">
        <f ca="1">SQRT($B$9*AVERAGE(W1599:OFFSET(W1599,$B$7-1,0)))</f>
        <v>#DIV/0!</v>
      </c>
      <c r="AA1599" s="6" t="e">
        <f ca="1">SQRT($B$9*AVERAGE(W1599:OFFSET(W1599,$B$8-1,0)))</f>
        <v>#DIV/0!</v>
      </c>
      <c r="AC1599" s="34" t="e">
        <f t="shared" si="130"/>
        <v>#DIV/0!</v>
      </c>
      <c r="AD1599" s="34" t="e">
        <f ca="1">SQRT($B$9*SUM(AC1599:OFFSET(AC1599,$B$5-1,0))/($B$5-1))</f>
        <v>#DIV/0!</v>
      </c>
      <c r="AE1599" s="34" t="e">
        <f ca="1">SQRT($B$9*SUM(AC1599:OFFSET(AC1599,$B$6-1,0))/($B$6-1))</f>
        <v>#DIV/0!</v>
      </c>
      <c r="AF1599" s="34" t="e">
        <f ca="1">SQRT($B$9*SUM(AC1599:OFFSET(AC1599,$B$7-1,0))/($B$7-1))</f>
        <v>#DIV/0!</v>
      </c>
      <c r="AG1599" s="34" t="e">
        <f ca="1">SQRT($B$9*SUM(AC1599:OFFSET(AC1599,$B$8-1,0))/($B$8-1))</f>
        <v>#DIV/0!</v>
      </c>
      <c r="AI1599" s="1" t="e">
        <f t="shared" si="131"/>
        <v>#DIV/0!</v>
      </c>
      <c r="AJ1599" s="4" t="e">
        <f ca="1">SQRT($B$9)*_xlfn.STDEV.S(AI1599:OFFSET(AI1599,$B$5-1,0))</f>
        <v>#DIV/0!</v>
      </c>
      <c r="AK1599" s="4" t="e">
        <f ca="1">SQRT($B$9)*_xlfn.STDEV.S(AI1599:OFFSET(AI1599,$B$6-1,0))</f>
        <v>#DIV/0!</v>
      </c>
      <c r="AL1599" s="4" t="e">
        <f ca="1">SQRT($B$9)*_xlfn.STDEV.S(AI1599:OFFSET(AI1599,$B$7-1,0))</f>
        <v>#DIV/0!</v>
      </c>
      <c r="AM1599" s="4" t="e">
        <f ca="1">SQRT($B$9)*_xlfn.STDEV.S(AI1599:OFFSET(AI1599,$B$8-1,0))</f>
        <v>#DIV/0!</v>
      </c>
    </row>
    <row r="1600" spans="11:39" x14ac:dyDescent="0.2">
      <c r="K1600" s="3" t="e">
        <f t="shared" si="129"/>
        <v>#DIV/0!</v>
      </c>
      <c r="L1600" s="3" t="e">
        <f ca="1">SQRT(AVERAGE(K1600:OFFSET(K1600,$B$5-1,0))*$B$9/(4*LN(2)))</f>
        <v>#DIV/0!</v>
      </c>
      <c r="M1600" s="3" t="e">
        <f ca="1">SQRT(AVERAGE(K1600:OFFSET(K1600,$B$6-1,0))*$B$9/(4*LN(2)))</f>
        <v>#DIV/0!</v>
      </c>
      <c r="N1600" s="3" t="e">
        <f ca="1">SQRT(AVERAGE(K1600:OFFSET(K1600,$B$7-1,0))*$B$9/(4*LN(2)))</f>
        <v>#DIV/0!</v>
      </c>
      <c r="O1600" s="3" t="e">
        <f ca="1">SQRT(AVERAGE(K1600:OFFSET(K1600,$B$8-1,0))*$B$9/(4*LN(2)))</f>
        <v>#DIV/0!</v>
      </c>
      <c r="Q1600" s="5" t="e">
        <f t="shared" si="128"/>
        <v>#DIV/0!</v>
      </c>
      <c r="R1600" s="5" t="e">
        <f ca="1">SQRT($B$9*AVERAGE((Q1600:OFFSET(Q1600,$B$5-1,0))))</f>
        <v>#DIV/0!</v>
      </c>
      <c r="S1600" s="5" t="e">
        <f ca="1">SQRT($B$9*AVERAGE((Q1600:OFFSET(Q1600,$B$6-1,0))))</f>
        <v>#DIV/0!</v>
      </c>
      <c r="T1600" s="5" t="e">
        <f ca="1">SQRT($B$9*AVERAGE((Q1600:OFFSET(Q1600,$B$7-1,0))))</f>
        <v>#DIV/0!</v>
      </c>
      <c r="U1600" s="5" t="e">
        <f ca="1">SQRT($B$9*AVERAGE((Q1600:OFFSET(Q1600,$B$8-1,0))))</f>
        <v>#DIV/0!</v>
      </c>
      <c r="W1600" s="6" t="e">
        <f t="shared" si="132"/>
        <v>#DIV/0!</v>
      </c>
      <c r="X1600" s="6" t="e">
        <f ca="1">SQRT($B$9*AVERAGE(W1600:OFFSET(W1600,$B$5-1,0)))</f>
        <v>#DIV/0!</v>
      </c>
      <c r="Y1600" s="6" t="e">
        <f ca="1">SQRT($B$9*AVERAGE(W1600:OFFSET(W1600,$B$6-1,0)))</f>
        <v>#DIV/0!</v>
      </c>
      <c r="Z1600" s="6" t="e">
        <f ca="1">SQRT($B$9*AVERAGE(W1600:OFFSET(W1600,$B$7-1,0)))</f>
        <v>#DIV/0!</v>
      </c>
      <c r="AA1600" s="6" t="e">
        <f ca="1">SQRT($B$9*AVERAGE(W1600:OFFSET(W1600,$B$8-1,0)))</f>
        <v>#DIV/0!</v>
      </c>
      <c r="AC1600" s="34" t="e">
        <f t="shared" si="130"/>
        <v>#DIV/0!</v>
      </c>
      <c r="AD1600" s="34" t="e">
        <f ca="1">SQRT($B$9*SUM(AC1600:OFFSET(AC1600,$B$5-1,0))/($B$5-1))</f>
        <v>#DIV/0!</v>
      </c>
      <c r="AE1600" s="34" t="e">
        <f ca="1">SQRT($B$9*SUM(AC1600:OFFSET(AC1600,$B$6-1,0))/($B$6-1))</f>
        <v>#DIV/0!</v>
      </c>
      <c r="AF1600" s="34" t="e">
        <f ca="1">SQRT($B$9*SUM(AC1600:OFFSET(AC1600,$B$7-1,0))/($B$7-1))</f>
        <v>#DIV/0!</v>
      </c>
      <c r="AG1600" s="34" t="e">
        <f ca="1">SQRT($B$9*SUM(AC1600:OFFSET(AC1600,$B$8-1,0))/($B$8-1))</f>
        <v>#DIV/0!</v>
      </c>
      <c r="AI1600" s="1" t="e">
        <f t="shared" si="131"/>
        <v>#DIV/0!</v>
      </c>
      <c r="AJ1600" s="4" t="e">
        <f ca="1">SQRT($B$9)*_xlfn.STDEV.S(AI1600:OFFSET(AI1600,$B$5-1,0))</f>
        <v>#DIV/0!</v>
      </c>
      <c r="AK1600" s="4" t="e">
        <f ca="1">SQRT($B$9)*_xlfn.STDEV.S(AI1600:OFFSET(AI1600,$B$6-1,0))</f>
        <v>#DIV/0!</v>
      </c>
      <c r="AL1600" s="4" t="e">
        <f ca="1">SQRT($B$9)*_xlfn.STDEV.S(AI1600:OFFSET(AI1600,$B$7-1,0))</f>
        <v>#DIV/0!</v>
      </c>
      <c r="AM1600" s="4" t="e">
        <f ca="1">SQRT($B$9)*_xlfn.STDEV.S(AI1600:OFFSET(AI1600,$B$8-1,0))</f>
        <v>#DIV/0!</v>
      </c>
    </row>
    <row r="1601" spans="11:39" x14ac:dyDescent="0.2">
      <c r="K1601" s="3" t="e">
        <f t="shared" si="129"/>
        <v>#DIV/0!</v>
      </c>
      <c r="L1601" s="3" t="e">
        <f ca="1">SQRT(AVERAGE(K1601:OFFSET(K1601,$B$5-1,0))*$B$9/(4*LN(2)))</f>
        <v>#DIV/0!</v>
      </c>
      <c r="M1601" s="3" t="e">
        <f ca="1">SQRT(AVERAGE(K1601:OFFSET(K1601,$B$6-1,0))*$B$9/(4*LN(2)))</f>
        <v>#DIV/0!</v>
      </c>
      <c r="N1601" s="3" t="e">
        <f ca="1">SQRT(AVERAGE(K1601:OFFSET(K1601,$B$7-1,0))*$B$9/(4*LN(2)))</f>
        <v>#DIV/0!</v>
      </c>
      <c r="O1601" s="3" t="e">
        <f ca="1">SQRT(AVERAGE(K1601:OFFSET(K1601,$B$8-1,0))*$B$9/(4*LN(2)))</f>
        <v>#DIV/0!</v>
      </c>
      <c r="Q1601" s="5" t="e">
        <f t="shared" si="128"/>
        <v>#DIV/0!</v>
      </c>
      <c r="R1601" s="5" t="e">
        <f ca="1">SQRT($B$9*AVERAGE((Q1601:OFFSET(Q1601,$B$5-1,0))))</f>
        <v>#DIV/0!</v>
      </c>
      <c r="S1601" s="5" t="e">
        <f ca="1">SQRT($B$9*AVERAGE((Q1601:OFFSET(Q1601,$B$6-1,0))))</f>
        <v>#DIV/0!</v>
      </c>
      <c r="T1601" s="5" t="e">
        <f ca="1">SQRT($B$9*AVERAGE((Q1601:OFFSET(Q1601,$B$7-1,0))))</f>
        <v>#DIV/0!</v>
      </c>
      <c r="U1601" s="5" t="e">
        <f ca="1">SQRT($B$9*AVERAGE((Q1601:OFFSET(Q1601,$B$8-1,0))))</f>
        <v>#DIV/0!</v>
      </c>
      <c r="W1601" s="6" t="e">
        <f t="shared" si="132"/>
        <v>#DIV/0!</v>
      </c>
      <c r="X1601" s="6" t="e">
        <f ca="1">SQRT($B$9*AVERAGE(W1601:OFFSET(W1601,$B$5-1,0)))</f>
        <v>#DIV/0!</v>
      </c>
      <c r="Y1601" s="6" t="e">
        <f ca="1">SQRT($B$9*AVERAGE(W1601:OFFSET(W1601,$B$6-1,0)))</f>
        <v>#DIV/0!</v>
      </c>
      <c r="Z1601" s="6" t="e">
        <f ca="1">SQRT($B$9*AVERAGE(W1601:OFFSET(W1601,$B$7-1,0)))</f>
        <v>#DIV/0!</v>
      </c>
      <c r="AA1601" s="6" t="e">
        <f ca="1">SQRT($B$9*AVERAGE(W1601:OFFSET(W1601,$B$8-1,0)))</f>
        <v>#DIV/0!</v>
      </c>
      <c r="AC1601" s="34" t="e">
        <f t="shared" si="130"/>
        <v>#DIV/0!</v>
      </c>
      <c r="AD1601" s="34" t="e">
        <f ca="1">SQRT($B$9*SUM(AC1601:OFFSET(AC1601,$B$5-1,0))/($B$5-1))</f>
        <v>#DIV/0!</v>
      </c>
      <c r="AE1601" s="34" t="e">
        <f ca="1">SQRT($B$9*SUM(AC1601:OFFSET(AC1601,$B$6-1,0))/($B$6-1))</f>
        <v>#DIV/0!</v>
      </c>
      <c r="AF1601" s="34" t="e">
        <f ca="1">SQRT($B$9*SUM(AC1601:OFFSET(AC1601,$B$7-1,0))/($B$7-1))</f>
        <v>#DIV/0!</v>
      </c>
      <c r="AG1601" s="34" t="e">
        <f ca="1">SQRT($B$9*SUM(AC1601:OFFSET(AC1601,$B$8-1,0))/($B$8-1))</f>
        <v>#DIV/0!</v>
      </c>
      <c r="AI1601" s="1" t="e">
        <f t="shared" si="131"/>
        <v>#DIV/0!</v>
      </c>
      <c r="AJ1601" s="4" t="e">
        <f ca="1">SQRT($B$9)*_xlfn.STDEV.S(AI1601:OFFSET(AI1601,$B$5-1,0))</f>
        <v>#DIV/0!</v>
      </c>
      <c r="AK1601" s="4" t="e">
        <f ca="1">SQRT($B$9)*_xlfn.STDEV.S(AI1601:OFFSET(AI1601,$B$6-1,0))</f>
        <v>#DIV/0!</v>
      </c>
      <c r="AL1601" s="4" t="e">
        <f ca="1">SQRT($B$9)*_xlfn.STDEV.S(AI1601:OFFSET(AI1601,$B$7-1,0))</f>
        <v>#DIV/0!</v>
      </c>
      <c r="AM1601" s="4" t="e">
        <f ca="1">SQRT($B$9)*_xlfn.STDEV.S(AI1601:OFFSET(AI1601,$B$8-1,0))</f>
        <v>#DIV/0!</v>
      </c>
    </row>
    <row r="1602" spans="11:39" x14ac:dyDescent="0.2">
      <c r="K1602" s="3" t="e">
        <f t="shared" si="129"/>
        <v>#DIV/0!</v>
      </c>
      <c r="L1602" s="3" t="e">
        <f ca="1">SQRT(AVERAGE(K1602:OFFSET(K1602,$B$5-1,0))*$B$9/(4*LN(2)))</f>
        <v>#DIV/0!</v>
      </c>
      <c r="M1602" s="3" t="e">
        <f ca="1">SQRT(AVERAGE(K1602:OFFSET(K1602,$B$6-1,0))*$B$9/(4*LN(2)))</f>
        <v>#DIV/0!</v>
      </c>
      <c r="N1602" s="3" t="e">
        <f ca="1">SQRT(AVERAGE(K1602:OFFSET(K1602,$B$7-1,0))*$B$9/(4*LN(2)))</f>
        <v>#DIV/0!</v>
      </c>
      <c r="O1602" s="3" t="e">
        <f ca="1">SQRT(AVERAGE(K1602:OFFSET(K1602,$B$8-1,0))*$B$9/(4*LN(2)))</f>
        <v>#DIV/0!</v>
      </c>
      <c r="Q1602" s="5" t="e">
        <f t="shared" si="128"/>
        <v>#DIV/0!</v>
      </c>
      <c r="R1602" s="5" t="e">
        <f ca="1">SQRT($B$9*AVERAGE((Q1602:OFFSET(Q1602,$B$5-1,0))))</f>
        <v>#DIV/0!</v>
      </c>
      <c r="S1602" s="5" t="e">
        <f ca="1">SQRT($B$9*AVERAGE((Q1602:OFFSET(Q1602,$B$6-1,0))))</f>
        <v>#DIV/0!</v>
      </c>
      <c r="T1602" s="5" t="e">
        <f ca="1">SQRT($B$9*AVERAGE((Q1602:OFFSET(Q1602,$B$7-1,0))))</f>
        <v>#DIV/0!</v>
      </c>
      <c r="U1602" s="5" t="e">
        <f ca="1">SQRT($B$9*AVERAGE((Q1602:OFFSET(Q1602,$B$8-1,0))))</f>
        <v>#DIV/0!</v>
      </c>
      <c r="W1602" s="6" t="e">
        <f t="shared" si="132"/>
        <v>#DIV/0!</v>
      </c>
      <c r="X1602" s="6" t="e">
        <f ca="1">SQRT($B$9*AVERAGE(W1602:OFFSET(W1602,$B$5-1,0)))</f>
        <v>#DIV/0!</v>
      </c>
      <c r="Y1602" s="6" t="e">
        <f ca="1">SQRT($B$9*AVERAGE(W1602:OFFSET(W1602,$B$6-1,0)))</f>
        <v>#DIV/0!</v>
      </c>
      <c r="Z1602" s="6" t="e">
        <f ca="1">SQRT($B$9*AVERAGE(W1602:OFFSET(W1602,$B$7-1,0)))</f>
        <v>#DIV/0!</v>
      </c>
      <c r="AA1602" s="6" t="e">
        <f ca="1">SQRT($B$9*AVERAGE(W1602:OFFSET(W1602,$B$8-1,0)))</f>
        <v>#DIV/0!</v>
      </c>
      <c r="AC1602" s="34" t="e">
        <f t="shared" si="130"/>
        <v>#DIV/0!</v>
      </c>
      <c r="AD1602" s="34" t="e">
        <f ca="1">SQRT($B$9*SUM(AC1602:OFFSET(AC1602,$B$5-1,0))/($B$5-1))</f>
        <v>#DIV/0!</v>
      </c>
      <c r="AE1602" s="34" t="e">
        <f ca="1">SQRT($B$9*SUM(AC1602:OFFSET(AC1602,$B$6-1,0))/($B$6-1))</f>
        <v>#DIV/0!</v>
      </c>
      <c r="AF1602" s="34" t="e">
        <f ca="1">SQRT($B$9*SUM(AC1602:OFFSET(AC1602,$B$7-1,0))/($B$7-1))</f>
        <v>#DIV/0!</v>
      </c>
      <c r="AG1602" s="34" t="e">
        <f ca="1">SQRT($B$9*SUM(AC1602:OFFSET(AC1602,$B$8-1,0))/($B$8-1))</f>
        <v>#DIV/0!</v>
      </c>
      <c r="AI1602" s="1" t="e">
        <f t="shared" si="131"/>
        <v>#DIV/0!</v>
      </c>
      <c r="AJ1602" s="4" t="e">
        <f ca="1">SQRT($B$9)*_xlfn.STDEV.S(AI1602:OFFSET(AI1602,$B$5-1,0))</f>
        <v>#DIV/0!</v>
      </c>
      <c r="AK1602" s="4" t="e">
        <f ca="1">SQRT($B$9)*_xlfn.STDEV.S(AI1602:OFFSET(AI1602,$B$6-1,0))</f>
        <v>#DIV/0!</v>
      </c>
      <c r="AL1602" s="4" t="e">
        <f ca="1">SQRT($B$9)*_xlfn.STDEV.S(AI1602:OFFSET(AI1602,$B$7-1,0))</f>
        <v>#DIV/0!</v>
      </c>
      <c r="AM1602" s="4" t="e">
        <f ca="1">SQRT($B$9)*_xlfn.STDEV.S(AI1602:OFFSET(AI1602,$B$8-1,0))</f>
        <v>#DIV/0!</v>
      </c>
    </row>
    <row r="1603" spans="11:39" x14ac:dyDescent="0.2">
      <c r="K1603" s="3" t="e">
        <f t="shared" si="129"/>
        <v>#DIV/0!</v>
      </c>
      <c r="L1603" s="3" t="e">
        <f ca="1">SQRT(AVERAGE(K1603:OFFSET(K1603,$B$5-1,0))*$B$9/(4*LN(2)))</f>
        <v>#DIV/0!</v>
      </c>
      <c r="M1603" s="3" t="e">
        <f ca="1">SQRT(AVERAGE(K1603:OFFSET(K1603,$B$6-1,0))*$B$9/(4*LN(2)))</f>
        <v>#DIV/0!</v>
      </c>
      <c r="N1603" s="3" t="e">
        <f ca="1">SQRT(AVERAGE(K1603:OFFSET(K1603,$B$7-1,0))*$B$9/(4*LN(2)))</f>
        <v>#DIV/0!</v>
      </c>
      <c r="O1603" s="3" t="e">
        <f ca="1">SQRT(AVERAGE(K1603:OFFSET(K1603,$B$8-1,0))*$B$9/(4*LN(2)))</f>
        <v>#DIV/0!</v>
      </c>
      <c r="Q1603" s="5" t="e">
        <f t="shared" si="128"/>
        <v>#DIV/0!</v>
      </c>
      <c r="R1603" s="5" t="e">
        <f ca="1">SQRT($B$9*AVERAGE((Q1603:OFFSET(Q1603,$B$5-1,0))))</f>
        <v>#DIV/0!</v>
      </c>
      <c r="S1603" s="5" t="e">
        <f ca="1">SQRT($B$9*AVERAGE((Q1603:OFFSET(Q1603,$B$6-1,0))))</f>
        <v>#DIV/0!</v>
      </c>
      <c r="T1603" s="5" t="e">
        <f ca="1">SQRT($B$9*AVERAGE((Q1603:OFFSET(Q1603,$B$7-1,0))))</f>
        <v>#DIV/0!</v>
      </c>
      <c r="U1603" s="5" t="e">
        <f ca="1">SQRT($B$9*AVERAGE((Q1603:OFFSET(Q1603,$B$8-1,0))))</f>
        <v>#DIV/0!</v>
      </c>
      <c r="W1603" s="6" t="e">
        <f t="shared" si="132"/>
        <v>#DIV/0!</v>
      </c>
      <c r="X1603" s="6" t="e">
        <f ca="1">SQRT($B$9*AVERAGE(W1603:OFFSET(W1603,$B$5-1,0)))</f>
        <v>#DIV/0!</v>
      </c>
      <c r="Y1603" s="6" t="e">
        <f ca="1">SQRT($B$9*AVERAGE(W1603:OFFSET(W1603,$B$6-1,0)))</f>
        <v>#DIV/0!</v>
      </c>
      <c r="Z1603" s="6" t="e">
        <f ca="1">SQRT($B$9*AVERAGE(W1603:OFFSET(W1603,$B$7-1,0)))</f>
        <v>#DIV/0!</v>
      </c>
      <c r="AA1603" s="6" t="e">
        <f ca="1">SQRT($B$9*AVERAGE(W1603:OFFSET(W1603,$B$8-1,0)))</f>
        <v>#DIV/0!</v>
      </c>
      <c r="AC1603" s="34" t="e">
        <f t="shared" si="130"/>
        <v>#DIV/0!</v>
      </c>
      <c r="AD1603" s="34" t="e">
        <f ca="1">SQRT($B$9*SUM(AC1603:OFFSET(AC1603,$B$5-1,0))/($B$5-1))</f>
        <v>#DIV/0!</v>
      </c>
      <c r="AE1603" s="34" t="e">
        <f ca="1">SQRT($B$9*SUM(AC1603:OFFSET(AC1603,$B$6-1,0))/($B$6-1))</f>
        <v>#DIV/0!</v>
      </c>
      <c r="AF1603" s="34" t="e">
        <f ca="1">SQRT($B$9*SUM(AC1603:OFFSET(AC1603,$B$7-1,0))/($B$7-1))</f>
        <v>#DIV/0!</v>
      </c>
      <c r="AG1603" s="34" t="e">
        <f ca="1">SQRT($B$9*SUM(AC1603:OFFSET(AC1603,$B$8-1,0))/($B$8-1))</f>
        <v>#DIV/0!</v>
      </c>
      <c r="AI1603" s="1" t="e">
        <f t="shared" si="131"/>
        <v>#DIV/0!</v>
      </c>
      <c r="AJ1603" s="4" t="e">
        <f ca="1">SQRT($B$9)*_xlfn.STDEV.S(AI1603:OFFSET(AI1603,$B$5-1,0))</f>
        <v>#DIV/0!</v>
      </c>
      <c r="AK1603" s="4" t="e">
        <f ca="1">SQRT($B$9)*_xlfn.STDEV.S(AI1603:OFFSET(AI1603,$B$6-1,0))</f>
        <v>#DIV/0!</v>
      </c>
      <c r="AL1603" s="4" t="e">
        <f ca="1">SQRT($B$9)*_xlfn.STDEV.S(AI1603:OFFSET(AI1603,$B$7-1,0))</f>
        <v>#DIV/0!</v>
      </c>
      <c r="AM1603" s="4" t="e">
        <f ca="1">SQRT($B$9)*_xlfn.STDEV.S(AI1603:OFFSET(AI1603,$B$8-1,0))</f>
        <v>#DIV/0!</v>
      </c>
    </row>
    <row r="1604" spans="11:39" x14ac:dyDescent="0.2">
      <c r="K1604" s="3" t="e">
        <f t="shared" si="129"/>
        <v>#DIV/0!</v>
      </c>
      <c r="L1604" s="3" t="e">
        <f ca="1">SQRT(AVERAGE(K1604:OFFSET(K1604,$B$5-1,0))*$B$9/(4*LN(2)))</f>
        <v>#DIV/0!</v>
      </c>
      <c r="M1604" s="3" t="e">
        <f ca="1">SQRT(AVERAGE(K1604:OFFSET(K1604,$B$6-1,0))*$B$9/(4*LN(2)))</f>
        <v>#DIV/0!</v>
      </c>
      <c r="N1604" s="3" t="e">
        <f ca="1">SQRT(AVERAGE(K1604:OFFSET(K1604,$B$7-1,0))*$B$9/(4*LN(2)))</f>
        <v>#DIV/0!</v>
      </c>
      <c r="O1604" s="3" t="e">
        <f ca="1">SQRT(AVERAGE(K1604:OFFSET(K1604,$B$8-1,0))*$B$9/(4*LN(2)))</f>
        <v>#DIV/0!</v>
      </c>
      <c r="Q1604" s="5" t="e">
        <f t="shared" si="128"/>
        <v>#DIV/0!</v>
      </c>
      <c r="R1604" s="5" t="e">
        <f ca="1">SQRT($B$9*AVERAGE((Q1604:OFFSET(Q1604,$B$5-1,0))))</f>
        <v>#DIV/0!</v>
      </c>
      <c r="S1604" s="5" t="e">
        <f ca="1">SQRT($B$9*AVERAGE((Q1604:OFFSET(Q1604,$B$6-1,0))))</f>
        <v>#DIV/0!</v>
      </c>
      <c r="T1604" s="5" t="e">
        <f ca="1">SQRT($B$9*AVERAGE((Q1604:OFFSET(Q1604,$B$7-1,0))))</f>
        <v>#DIV/0!</v>
      </c>
      <c r="U1604" s="5" t="e">
        <f ca="1">SQRT($B$9*AVERAGE((Q1604:OFFSET(Q1604,$B$8-1,0))))</f>
        <v>#DIV/0!</v>
      </c>
      <c r="W1604" s="6" t="e">
        <f t="shared" si="132"/>
        <v>#DIV/0!</v>
      </c>
      <c r="X1604" s="6" t="e">
        <f ca="1">SQRT($B$9*AVERAGE(W1604:OFFSET(W1604,$B$5-1,0)))</f>
        <v>#DIV/0!</v>
      </c>
      <c r="Y1604" s="6" t="e">
        <f ca="1">SQRT($B$9*AVERAGE(W1604:OFFSET(W1604,$B$6-1,0)))</f>
        <v>#DIV/0!</v>
      </c>
      <c r="Z1604" s="6" t="e">
        <f ca="1">SQRT($B$9*AVERAGE(W1604:OFFSET(W1604,$B$7-1,0)))</f>
        <v>#DIV/0!</v>
      </c>
      <c r="AA1604" s="6" t="e">
        <f ca="1">SQRT($B$9*AVERAGE(W1604:OFFSET(W1604,$B$8-1,0)))</f>
        <v>#DIV/0!</v>
      </c>
      <c r="AC1604" s="34" t="e">
        <f t="shared" si="130"/>
        <v>#DIV/0!</v>
      </c>
      <c r="AD1604" s="34" t="e">
        <f ca="1">SQRT($B$9*SUM(AC1604:OFFSET(AC1604,$B$5-1,0))/($B$5-1))</f>
        <v>#DIV/0!</v>
      </c>
      <c r="AE1604" s="34" t="e">
        <f ca="1">SQRT($B$9*SUM(AC1604:OFFSET(AC1604,$B$6-1,0))/($B$6-1))</f>
        <v>#DIV/0!</v>
      </c>
      <c r="AF1604" s="34" t="e">
        <f ca="1">SQRT($B$9*SUM(AC1604:OFFSET(AC1604,$B$7-1,0))/($B$7-1))</f>
        <v>#DIV/0!</v>
      </c>
      <c r="AG1604" s="34" t="e">
        <f ca="1">SQRT($B$9*SUM(AC1604:OFFSET(AC1604,$B$8-1,0))/($B$8-1))</f>
        <v>#DIV/0!</v>
      </c>
      <c r="AI1604" s="1" t="e">
        <f t="shared" si="131"/>
        <v>#DIV/0!</v>
      </c>
      <c r="AJ1604" s="4" t="e">
        <f ca="1">SQRT($B$9)*_xlfn.STDEV.S(AI1604:OFFSET(AI1604,$B$5-1,0))</f>
        <v>#DIV/0!</v>
      </c>
      <c r="AK1604" s="4" t="e">
        <f ca="1">SQRT($B$9)*_xlfn.STDEV.S(AI1604:OFFSET(AI1604,$B$6-1,0))</f>
        <v>#DIV/0!</v>
      </c>
      <c r="AL1604" s="4" t="e">
        <f ca="1">SQRT($B$9)*_xlfn.STDEV.S(AI1604:OFFSET(AI1604,$B$7-1,0))</f>
        <v>#DIV/0!</v>
      </c>
      <c r="AM1604" s="4" t="e">
        <f ca="1">SQRT($B$9)*_xlfn.STDEV.S(AI1604:OFFSET(AI1604,$B$8-1,0))</f>
        <v>#DIV/0!</v>
      </c>
    </row>
    <row r="1605" spans="11:39" x14ac:dyDescent="0.2">
      <c r="K1605" s="3" t="e">
        <f t="shared" si="129"/>
        <v>#DIV/0!</v>
      </c>
      <c r="L1605" s="3" t="e">
        <f ca="1">SQRT(AVERAGE(K1605:OFFSET(K1605,$B$5-1,0))*$B$9/(4*LN(2)))</f>
        <v>#DIV/0!</v>
      </c>
      <c r="M1605" s="3" t="e">
        <f ca="1">SQRT(AVERAGE(K1605:OFFSET(K1605,$B$6-1,0))*$B$9/(4*LN(2)))</f>
        <v>#DIV/0!</v>
      </c>
      <c r="N1605" s="3" t="e">
        <f ca="1">SQRT(AVERAGE(K1605:OFFSET(K1605,$B$7-1,0))*$B$9/(4*LN(2)))</f>
        <v>#DIV/0!</v>
      </c>
      <c r="O1605" s="3" t="e">
        <f ca="1">SQRT(AVERAGE(K1605:OFFSET(K1605,$B$8-1,0))*$B$9/(4*LN(2)))</f>
        <v>#DIV/0!</v>
      </c>
      <c r="Q1605" s="5" t="e">
        <f t="shared" ref="Q1605:Q1668" si="133">0.511*(LN(G1605/H1605))^2-0.019*(LN(I1605/F1605)*LN(G1605*H1605/F1605^2)-2*LN(G1605/F1605)*LN(H1605/F1605))-0.383*(LN(I1605/F1605))^2</f>
        <v>#DIV/0!</v>
      </c>
      <c r="R1605" s="5" t="e">
        <f ca="1">SQRT($B$9*AVERAGE((Q1605:OFFSET(Q1605,$B$5-1,0))))</f>
        <v>#DIV/0!</v>
      </c>
      <c r="S1605" s="5" t="e">
        <f ca="1">SQRT($B$9*AVERAGE((Q1605:OFFSET(Q1605,$B$6-1,0))))</f>
        <v>#DIV/0!</v>
      </c>
      <c r="T1605" s="5" t="e">
        <f ca="1">SQRT($B$9*AVERAGE((Q1605:OFFSET(Q1605,$B$7-1,0))))</f>
        <v>#DIV/0!</v>
      </c>
      <c r="U1605" s="5" t="e">
        <f ca="1">SQRT($B$9*AVERAGE((Q1605:OFFSET(Q1605,$B$8-1,0))))</f>
        <v>#DIV/0!</v>
      </c>
      <c r="W1605" s="6" t="e">
        <f t="shared" si="132"/>
        <v>#DIV/0!</v>
      </c>
      <c r="X1605" s="6" t="e">
        <f ca="1">SQRT($B$9*AVERAGE(W1605:OFFSET(W1605,$B$5-1,0)))</f>
        <v>#DIV/0!</v>
      </c>
      <c r="Y1605" s="6" t="e">
        <f ca="1">SQRT($B$9*AVERAGE(W1605:OFFSET(W1605,$B$6-1,0)))</f>
        <v>#DIV/0!</v>
      </c>
      <c r="Z1605" s="6" t="e">
        <f ca="1">SQRT($B$9*AVERAGE(W1605:OFFSET(W1605,$B$7-1,0)))</f>
        <v>#DIV/0!</v>
      </c>
      <c r="AA1605" s="6" t="e">
        <f ca="1">SQRT($B$9*AVERAGE(W1605:OFFSET(W1605,$B$8-1,0)))</f>
        <v>#DIV/0!</v>
      </c>
      <c r="AC1605" s="34" t="e">
        <f t="shared" si="130"/>
        <v>#DIV/0!</v>
      </c>
      <c r="AD1605" s="34" t="e">
        <f ca="1">SQRT($B$9*SUM(AC1605:OFFSET(AC1605,$B$5-1,0))/($B$5-1))</f>
        <v>#DIV/0!</v>
      </c>
      <c r="AE1605" s="34" t="e">
        <f ca="1">SQRT($B$9*SUM(AC1605:OFFSET(AC1605,$B$6-1,0))/($B$6-1))</f>
        <v>#DIV/0!</v>
      </c>
      <c r="AF1605" s="34" t="e">
        <f ca="1">SQRT($B$9*SUM(AC1605:OFFSET(AC1605,$B$7-1,0))/($B$7-1))</f>
        <v>#DIV/0!</v>
      </c>
      <c r="AG1605" s="34" t="e">
        <f ca="1">SQRT($B$9*SUM(AC1605:OFFSET(AC1605,$B$8-1,0))/($B$8-1))</f>
        <v>#DIV/0!</v>
      </c>
      <c r="AI1605" s="1" t="e">
        <f t="shared" si="131"/>
        <v>#DIV/0!</v>
      </c>
      <c r="AJ1605" s="4" t="e">
        <f ca="1">SQRT($B$9)*_xlfn.STDEV.S(AI1605:OFFSET(AI1605,$B$5-1,0))</f>
        <v>#DIV/0!</v>
      </c>
      <c r="AK1605" s="4" t="e">
        <f ca="1">SQRT($B$9)*_xlfn.STDEV.S(AI1605:OFFSET(AI1605,$B$6-1,0))</f>
        <v>#DIV/0!</v>
      </c>
      <c r="AL1605" s="4" t="e">
        <f ca="1">SQRT($B$9)*_xlfn.STDEV.S(AI1605:OFFSET(AI1605,$B$7-1,0))</f>
        <v>#DIV/0!</v>
      </c>
      <c r="AM1605" s="4" t="e">
        <f ca="1">SQRT($B$9)*_xlfn.STDEV.S(AI1605:OFFSET(AI1605,$B$8-1,0))</f>
        <v>#DIV/0!</v>
      </c>
    </row>
    <row r="1606" spans="11:39" x14ac:dyDescent="0.2">
      <c r="K1606" s="3" t="e">
        <f t="shared" ref="K1606:K1669" si="134">(LN(G1606/H1606))^2</f>
        <v>#DIV/0!</v>
      </c>
      <c r="L1606" s="3" t="e">
        <f ca="1">SQRT(AVERAGE(K1606:OFFSET(K1606,$B$5-1,0))*$B$9/(4*LN(2)))</f>
        <v>#DIV/0!</v>
      </c>
      <c r="M1606" s="3" t="e">
        <f ca="1">SQRT(AVERAGE(K1606:OFFSET(K1606,$B$6-1,0))*$B$9/(4*LN(2)))</f>
        <v>#DIV/0!</v>
      </c>
      <c r="N1606" s="3" t="e">
        <f ca="1">SQRT(AVERAGE(K1606:OFFSET(K1606,$B$7-1,0))*$B$9/(4*LN(2)))</f>
        <v>#DIV/0!</v>
      </c>
      <c r="O1606" s="3" t="e">
        <f ca="1">SQRT(AVERAGE(K1606:OFFSET(K1606,$B$8-1,0))*$B$9/(4*LN(2)))</f>
        <v>#DIV/0!</v>
      </c>
      <c r="Q1606" s="5" t="e">
        <f t="shared" si="133"/>
        <v>#DIV/0!</v>
      </c>
      <c r="R1606" s="5" t="e">
        <f ca="1">SQRT($B$9*AVERAGE((Q1606:OFFSET(Q1606,$B$5-1,0))))</f>
        <v>#DIV/0!</v>
      </c>
      <c r="S1606" s="5" t="e">
        <f ca="1">SQRT($B$9*AVERAGE((Q1606:OFFSET(Q1606,$B$6-1,0))))</f>
        <v>#DIV/0!</v>
      </c>
      <c r="T1606" s="5" t="e">
        <f ca="1">SQRT($B$9*AVERAGE((Q1606:OFFSET(Q1606,$B$7-1,0))))</f>
        <v>#DIV/0!</v>
      </c>
      <c r="U1606" s="5" t="e">
        <f ca="1">SQRT($B$9*AVERAGE((Q1606:OFFSET(Q1606,$B$8-1,0))))</f>
        <v>#DIV/0!</v>
      </c>
      <c r="W1606" s="6" t="e">
        <f t="shared" si="132"/>
        <v>#DIV/0!</v>
      </c>
      <c r="X1606" s="6" t="e">
        <f ca="1">SQRT($B$9*AVERAGE(W1606:OFFSET(W1606,$B$5-1,0)))</f>
        <v>#DIV/0!</v>
      </c>
      <c r="Y1606" s="6" t="e">
        <f ca="1">SQRT($B$9*AVERAGE(W1606:OFFSET(W1606,$B$6-1,0)))</f>
        <v>#DIV/0!</v>
      </c>
      <c r="Z1606" s="6" t="e">
        <f ca="1">SQRT($B$9*AVERAGE(W1606:OFFSET(W1606,$B$7-1,0)))</f>
        <v>#DIV/0!</v>
      </c>
      <c r="AA1606" s="6" t="e">
        <f ca="1">SQRT($B$9*AVERAGE(W1606:OFFSET(W1606,$B$8-1,0)))</f>
        <v>#DIV/0!</v>
      </c>
      <c r="AC1606" s="34" t="e">
        <f t="shared" si="130"/>
        <v>#DIV/0!</v>
      </c>
      <c r="AD1606" s="34" t="e">
        <f ca="1">SQRT($B$9*SUM(AC1606:OFFSET(AC1606,$B$5-1,0))/($B$5-1))</f>
        <v>#DIV/0!</v>
      </c>
      <c r="AE1606" s="34" t="e">
        <f ca="1">SQRT($B$9*SUM(AC1606:OFFSET(AC1606,$B$6-1,0))/($B$6-1))</f>
        <v>#DIV/0!</v>
      </c>
      <c r="AF1606" s="34" t="e">
        <f ca="1">SQRT($B$9*SUM(AC1606:OFFSET(AC1606,$B$7-1,0))/($B$7-1))</f>
        <v>#DIV/0!</v>
      </c>
      <c r="AG1606" s="34" t="e">
        <f ca="1">SQRT($B$9*SUM(AC1606:OFFSET(AC1606,$B$8-1,0))/($B$8-1))</f>
        <v>#DIV/0!</v>
      </c>
      <c r="AI1606" s="1" t="e">
        <f t="shared" si="131"/>
        <v>#DIV/0!</v>
      </c>
      <c r="AJ1606" s="4" t="e">
        <f ca="1">SQRT($B$9)*_xlfn.STDEV.S(AI1606:OFFSET(AI1606,$B$5-1,0))</f>
        <v>#DIV/0!</v>
      </c>
      <c r="AK1606" s="4" t="e">
        <f ca="1">SQRT($B$9)*_xlfn.STDEV.S(AI1606:OFFSET(AI1606,$B$6-1,0))</f>
        <v>#DIV/0!</v>
      </c>
      <c r="AL1606" s="4" t="e">
        <f ca="1">SQRT($B$9)*_xlfn.STDEV.S(AI1606:OFFSET(AI1606,$B$7-1,0))</f>
        <v>#DIV/0!</v>
      </c>
      <c r="AM1606" s="4" t="e">
        <f ca="1">SQRT($B$9)*_xlfn.STDEV.S(AI1606:OFFSET(AI1606,$B$8-1,0))</f>
        <v>#DIV/0!</v>
      </c>
    </row>
    <row r="1607" spans="11:39" x14ac:dyDescent="0.2">
      <c r="K1607" s="3" t="e">
        <f t="shared" si="134"/>
        <v>#DIV/0!</v>
      </c>
      <c r="L1607" s="3" t="e">
        <f ca="1">SQRT(AVERAGE(K1607:OFFSET(K1607,$B$5-1,0))*$B$9/(4*LN(2)))</f>
        <v>#DIV/0!</v>
      </c>
      <c r="M1607" s="3" t="e">
        <f ca="1">SQRT(AVERAGE(K1607:OFFSET(K1607,$B$6-1,0))*$B$9/(4*LN(2)))</f>
        <v>#DIV/0!</v>
      </c>
      <c r="N1607" s="3" t="e">
        <f ca="1">SQRT(AVERAGE(K1607:OFFSET(K1607,$B$7-1,0))*$B$9/(4*LN(2)))</f>
        <v>#DIV/0!</v>
      </c>
      <c r="O1607" s="3" t="e">
        <f ca="1">SQRT(AVERAGE(K1607:OFFSET(K1607,$B$8-1,0))*$B$9/(4*LN(2)))</f>
        <v>#DIV/0!</v>
      </c>
      <c r="Q1607" s="5" t="e">
        <f t="shared" si="133"/>
        <v>#DIV/0!</v>
      </c>
      <c r="R1607" s="5" t="e">
        <f ca="1">SQRT($B$9*AVERAGE((Q1607:OFFSET(Q1607,$B$5-1,0))))</f>
        <v>#DIV/0!</v>
      </c>
      <c r="S1607" s="5" t="e">
        <f ca="1">SQRT($B$9*AVERAGE((Q1607:OFFSET(Q1607,$B$6-1,0))))</f>
        <v>#DIV/0!</v>
      </c>
      <c r="T1607" s="5" t="e">
        <f ca="1">SQRT($B$9*AVERAGE((Q1607:OFFSET(Q1607,$B$7-1,0))))</f>
        <v>#DIV/0!</v>
      </c>
      <c r="U1607" s="5" t="e">
        <f ca="1">SQRT($B$9*AVERAGE((Q1607:OFFSET(Q1607,$B$8-1,0))))</f>
        <v>#DIV/0!</v>
      </c>
      <c r="W1607" s="6" t="e">
        <f t="shared" si="132"/>
        <v>#DIV/0!</v>
      </c>
      <c r="X1607" s="6" t="e">
        <f ca="1">SQRT($B$9*AVERAGE(W1607:OFFSET(W1607,$B$5-1,0)))</f>
        <v>#DIV/0!</v>
      </c>
      <c r="Y1607" s="6" t="e">
        <f ca="1">SQRT($B$9*AVERAGE(W1607:OFFSET(W1607,$B$6-1,0)))</f>
        <v>#DIV/0!</v>
      </c>
      <c r="Z1607" s="6" t="e">
        <f ca="1">SQRT($B$9*AVERAGE(W1607:OFFSET(W1607,$B$7-1,0)))</f>
        <v>#DIV/0!</v>
      </c>
      <c r="AA1607" s="6" t="e">
        <f ca="1">SQRT($B$9*AVERAGE(W1607:OFFSET(W1607,$B$8-1,0)))</f>
        <v>#DIV/0!</v>
      </c>
      <c r="AC1607" s="34" t="e">
        <f t="shared" si="130"/>
        <v>#DIV/0!</v>
      </c>
      <c r="AD1607" s="34" t="e">
        <f ca="1">SQRT($B$9*SUM(AC1607:OFFSET(AC1607,$B$5-1,0))/($B$5-1))</f>
        <v>#DIV/0!</v>
      </c>
      <c r="AE1607" s="34" t="e">
        <f ca="1">SQRT($B$9*SUM(AC1607:OFFSET(AC1607,$B$6-1,0))/($B$6-1))</f>
        <v>#DIV/0!</v>
      </c>
      <c r="AF1607" s="34" t="e">
        <f ca="1">SQRT($B$9*SUM(AC1607:OFFSET(AC1607,$B$7-1,0))/($B$7-1))</f>
        <v>#DIV/0!</v>
      </c>
      <c r="AG1607" s="34" t="e">
        <f ca="1">SQRT($B$9*SUM(AC1607:OFFSET(AC1607,$B$8-1,0))/($B$8-1))</f>
        <v>#DIV/0!</v>
      </c>
      <c r="AI1607" s="1" t="e">
        <f t="shared" si="131"/>
        <v>#DIV/0!</v>
      </c>
      <c r="AJ1607" s="4" t="e">
        <f ca="1">SQRT($B$9)*_xlfn.STDEV.S(AI1607:OFFSET(AI1607,$B$5-1,0))</f>
        <v>#DIV/0!</v>
      </c>
      <c r="AK1607" s="4" t="e">
        <f ca="1">SQRT($B$9)*_xlfn.STDEV.S(AI1607:OFFSET(AI1607,$B$6-1,0))</f>
        <v>#DIV/0!</v>
      </c>
      <c r="AL1607" s="4" t="e">
        <f ca="1">SQRT($B$9)*_xlfn.STDEV.S(AI1607:OFFSET(AI1607,$B$7-1,0))</f>
        <v>#DIV/0!</v>
      </c>
      <c r="AM1607" s="4" t="e">
        <f ca="1">SQRT($B$9)*_xlfn.STDEV.S(AI1607:OFFSET(AI1607,$B$8-1,0))</f>
        <v>#DIV/0!</v>
      </c>
    </row>
    <row r="1608" spans="11:39" x14ac:dyDescent="0.2">
      <c r="K1608" s="3" t="e">
        <f t="shared" si="134"/>
        <v>#DIV/0!</v>
      </c>
      <c r="L1608" s="3" t="e">
        <f ca="1">SQRT(AVERAGE(K1608:OFFSET(K1608,$B$5-1,0))*$B$9/(4*LN(2)))</f>
        <v>#DIV/0!</v>
      </c>
      <c r="M1608" s="3" t="e">
        <f ca="1">SQRT(AVERAGE(K1608:OFFSET(K1608,$B$6-1,0))*$B$9/(4*LN(2)))</f>
        <v>#DIV/0!</v>
      </c>
      <c r="N1608" s="3" t="e">
        <f ca="1">SQRT(AVERAGE(K1608:OFFSET(K1608,$B$7-1,0))*$B$9/(4*LN(2)))</f>
        <v>#DIV/0!</v>
      </c>
      <c r="O1608" s="3" t="e">
        <f ca="1">SQRT(AVERAGE(K1608:OFFSET(K1608,$B$8-1,0))*$B$9/(4*LN(2)))</f>
        <v>#DIV/0!</v>
      </c>
      <c r="Q1608" s="5" t="e">
        <f t="shared" si="133"/>
        <v>#DIV/0!</v>
      </c>
      <c r="R1608" s="5" t="e">
        <f ca="1">SQRT($B$9*AVERAGE((Q1608:OFFSET(Q1608,$B$5-1,0))))</f>
        <v>#DIV/0!</v>
      </c>
      <c r="S1608" s="5" t="e">
        <f ca="1">SQRT($B$9*AVERAGE((Q1608:OFFSET(Q1608,$B$6-1,0))))</f>
        <v>#DIV/0!</v>
      </c>
      <c r="T1608" s="5" t="e">
        <f ca="1">SQRT($B$9*AVERAGE((Q1608:OFFSET(Q1608,$B$7-1,0))))</f>
        <v>#DIV/0!</v>
      </c>
      <c r="U1608" s="5" t="e">
        <f ca="1">SQRT($B$9*AVERAGE((Q1608:OFFSET(Q1608,$B$8-1,0))))</f>
        <v>#DIV/0!</v>
      </c>
      <c r="W1608" s="6" t="e">
        <f t="shared" si="132"/>
        <v>#DIV/0!</v>
      </c>
      <c r="X1608" s="6" t="e">
        <f ca="1">SQRT($B$9*AVERAGE(W1608:OFFSET(W1608,$B$5-1,0)))</f>
        <v>#DIV/0!</v>
      </c>
      <c r="Y1608" s="6" t="e">
        <f ca="1">SQRT($B$9*AVERAGE(W1608:OFFSET(W1608,$B$6-1,0)))</f>
        <v>#DIV/0!</v>
      </c>
      <c r="Z1608" s="6" t="e">
        <f ca="1">SQRT($B$9*AVERAGE(W1608:OFFSET(W1608,$B$7-1,0)))</f>
        <v>#DIV/0!</v>
      </c>
      <c r="AA1608" s="6" t="e">
        <f ca="1">SQRT($B$9*AVERAGE(W1608:OFFSET(W1608,$B$8-1,0)))</f>
        <v>#DIV/0!</v>
      </c>
      <c r="AC1608" s="34" t="e">
        <f t="shared" si="130"/>
        <v>#DIV/0!</v>
      </c>
      <c r="AD1608" s="34" t="e">
        <f ca="1">SQRT($B$9*SUM(AC1608:OFFSET(AC1608,$B$5-1,0))/($B$5-1))</f>
        <v>#DIV/0!</v>
      </c>
      <c r="AE1608" s="34" t="e">
        <f ca="1">SQRT($B$9*SUM(AC1608:OFFSET(AC1608,$B$6-1,0))/($B$6-1))</f>
        <v>#DIV/0!</v>
      </c>
      <c r="AF1608" s="34" t="e">
        <f ca="1">SQRT($B$9*SUM(AC1608:OFFSET(AC1608,$B$7-1,0))/($B$7-1))</f>
        <v>#DIV/0!</v>
      </c>
      <c r="AG1608" s="34" t="e">
        <f ca="1">SQRT($B$9*SUM(AC1608:OFFSET(AC1608,$B$8-1,0))/($B$8-1))</f>
        <v>#DIV/0!</v>
      </c>
      <c r="AI1608" s="1" t="e">
        <f t="shared" si="131"/>
        <v>#DIV/0!</v>
      </c>
      <c r="AJ1608" s="4" t="e">
        <f ca="1">SQRT($B$9)*_xlfn.STDEV.S(AI1608:OFFSET(AI1608,$B$5-1,0))</f>
        <v>#DIV/0!</v>
      </c>
      <c r="AK1608" s="4" t="e">
        <f ca="1">SQRT($B$9)*_xlfn.STDEV.S(AI1608:OFFSET(AI1608,$B$6-1,0))</f>
        <v>#DIV/0!</v>
      </c>
      <c r="AL1608" s="4" t="e">
        <f ca="1">SQRT($B$9)*_xlfn.STDEV.S(AI1608:OFFSET(AI1608,$B$7-1,0))</f>
        <v>#DIV/0!</v>
      </c>
      <c r="AM1608" s="4" t="e">
        <f ca="1">SQRT($B$9)*_xlfn.STDEV.S(AI1608:OFFSET(AI1608,$B$8-1,0))</f>
        <v>#DIV/0!</v>
      </c>
    </row>
    <row r="1609" spans="11:39" x14ac:dyDescent="0.2">
      <c r="K1609" s="3" t="e">
        <f t="shared" si="134"/>
        <v>#DIV/0!</v>
      </c>
      <c r="L1609" s="3" t="e">
        <f ca="1">SQRT(AVERAGE(K1609:OFFSET(K1609,$B$5-1,0))*$B$9/(4*LN(2)))</f>
        <v>#DIV/0!</v>
      </c>
      <c r="M1609" s="3" t="e">
        <f ca="1">SQRT(AVERAGE(K1609:OFFSET(K1609,$B$6-1,0))*$B$9/(4*LN(2)))</f>
        <v>#DIV/0!</v>
      </c>
      <c r="N1609" s="3" t="e">
        <f ca="1">SQRT(AVERAGE(K1609:OFFSET(K1609,$B$7-1,0))*$B$9/(4*LN(2)))</f>
        <v>#DIV/0!</v>
      </c>
      <c r="O1609" s="3" t="e">
        <f ca="1">SQRT(AVERAGE(K1609:OFFSET(K1609,$B$8-1,0))*$B$9/(4*LN(2)))</f>
        <v>#DIV/0!</v>
      </c>
      <c r="Q1609" s="5" t="e">
        <f t="shared" si="133"/>
        <v>#DIV/0!</v>
      </c>
      <c r="R1609" s="5" t="e">
        <f ca="1">SQRT($B$9*AVERAGE((Q1609:OFFSET(Q1609,$B$5-1,0))))</f>
        <v>#DIV/0!</v>
      </c>
      <c r="S1609" s="5" t="e">
        <f ca="1">SQRT($B$9*AVERAGE((Q1609:OFFSET(Q1609,$B$6-1,0))))</f>
        <v>#DIV/0!</v>
      </c>
      <c r="T1609" s="5" t="e">
        <f ca="1">SQRT($B$9*AVERAGE((Q1609:OFFSET(Q1609,$B$7-1,0))))</f>
        <v>#DIV/0!</v>
      </c>
      <c r="U1609" s="5" t="e">
        <f ca="1">SQRT($B$9*AVERAGE((Q1609:OFFSET(Q1609,$B$8-1,0))))</f>
        <v>#DIV/0!</v>
      </c>
      <c r="W1609" s="6" t="e">
        <f t="shared" si="132"/>
        <v>#DIV/0!</v>
      </c>
      <c r="X1609" s="6" t="e">
        <f ca="1">SQRT($B$9*AVERAGE(W1609:OFFSET(W1609,$B$5-1,0)))</f>
        <v>#DIV/0!</v>
      </c>
      <c r="Y1609" s="6" t="e">
        <f ca="1">SQRT($B$9*AVERAGE(W1609:OFFSET(W1609,$B$6-1,0)))</f>
        <v>#DIV/0!</v>
      </c>
      <c r="Z1609" s="6" t="e">
        <f ca="1">SQRT($B$9*AVERAGE(W1609:OFFSET(W1609,$B$7-1,0)))</f>
        <v>#DIV/0!</v>
      </c>
      <c r="AA1609" s="6" t="e">
        <f ca="1">SQRT($B$9*AVERAGE(W1609:OFFSET(W1609,$B$8-1,0)))</f>
        <v>#DIV/0!</v>
      </c>
      <c r="AC1609" s="34" t="e">
        <f t="shared" si="130"/>
        <v>#DIV/0!</v>
      </c>
      <c r="AD1609" s="34" t="e">
        <f ca="1">SQRT($B$9*SUM(AC1609:OFFSET(AC1609,$B$5-1,0))/($B$5-1))</f>
        <v>#DIV/0!</v>
      </c>
      <c r="AE1609" s="34" t="e">
        <f ca="1">SQRT($B$9*SUM(AC1609:OFFSET(AC1609,$B$6-1,0))/($B$6-1))</f>
        <v>#DIV/0!</v>
      </c>
      <c r="AF1609" s="34" t="e">
        <f ca="1">SQRT($B$9*SUM(AC1609:OFFSET(AC1609,$B$7-1,0))/($B$7-1))</f>
        <v>#DIV/0!</v>
      </c>
      <c r="AG1609" s="34" t="e">
        <f ca="1">SQRT($B$9*SUM(AC1609:OFFSET(AC1609,$B$8-1,0))/($B$8-1))</f>
        <v>#DIV/0!</v>
      </c>
      <c r="AI1609" s="1" t="e">
        <f t="shared" si="131"/>
        <v>#DIV/0!</v>
      </c>
      <c r="AJ1609" s="4" t="e">
        <f ca="1">SQRT($B$9)*_xlfn.STDEV.S(AI1609:OFFSET(AI1609,$B$5-1,0))</f>
        <v>#DIV/0!</v>
      </c>
      <c r="AK1609" s="4" t="e">
        <f ca="1">SQRT($B$9)*_xlfn.STDEV.S(AI1609:OFFSET(AI1609,$B$6-1,0))</f>
        <v>#DIV/0!</v>
      </c>
      <c r="AL1609" s="4" t="e">
        <f ca="1">SQRT($B$9)*_xlfn.STDEV.S(AI1609:OFFSET(AI1609,$B$7-1,0))</f>
        <v>#DIV/0!</v>
      </c>
      <c r="AM1609" s="4" t="e">
        <f ca="1">SQRT($B$9)*_xlfn.STDEV.S(AI1609:OFFSET(AI1609,$B$8-1,0))</f>
        <v>#DIV/0!</v>
      </c>
    </row>
    <row r="1610" spans="11:39" x14ac:dyDescent="0.2">
      <c r="K1610" s="3" t="e">
        <f t="shared" si="134"/>
        <v>#DIV/0!</v>
      </c>
      <c r="L1610" s="3" t="e">
        <f ca="1">SQRT(AVERAGE(K1610:OFFSET(K1610,$B$5-1,0))*$B$9/(4*LN(2)))</f>
        <v>#DIV/0!</v>
      </c>
      <c r="M1610" s="3" t="e">
        <f ca="1">SQRT(AVERAGE(K1610:OFFSET(K1610,$B$6-1,0))*$B$9/(4*LN(2)))</f>
        <v>#DIV/0!</v>
      </c>
      <c r="N1610" s="3" t="e">
        <f ca="1">SQRT(AVERAGE(K1610:OFFSET(K1610,$B$7-1,0))*$B$9/(4*LN(2)))</f>
        <v>#DIV/0!</v>
      </c>
      <c r="O1610" s="3" t="e">
        <f ca="1">SQRT(AVERAGE(K1610:OFFSET(K1610,$B$8-1,0))*$B$9/(4*LN(2)))</f>
        <v>#DIV/0!</v>
      </c>
      <c r="Q1610" s="5" t="e">
        <f t="shared" si="133"/>
        <v>#DIV/0!</v>
      </c>
      <c r="R1610" s="5" t="e">
        <f ca="1">SQRT($B$9*AVERAGE((Q1610:OFFSET(Q1610,$B$5-1,0))))</f>
        <v>#DIV/0!</v>
      </c>
      <c r="S1610" s="5" t="e">
        <f ca="1">SQRT($B$9*AVERAGE((Q1610:OFFSET(Q1610,$B$6-1,0))))</f>
        <v>#DIV/0!</v>
      </c>
      <c r="T1610" s="5" t="e">
        <f ca="1">SQRT($B$9*AVERAGE((Q1610:OFFSET(Q1610,$B$7-1,0))))</f>
        <v>#DIV/0!</v>
      </c>
      <c r="U1610" s="5" t="e">
        <f ca="1">SQRT($B$9*AVERAGE((Q1610:OFFSET(Q1610,$B$8-1,0))))</f>
        <v>#DIV/0!</v>
      </c>
      <c r="W1610" s="6" t="e">
        <f t="shared" si="132"/>
        <v>#DIV/0!</v>
      </c>
      <c r="X1610" s="6" t="e">
        <f ca="1">SQRT($B$9*AVERAGE(W1610:OFFSET(W1610,$B$5-1,0)))</f>
        <v>#DIV/0!</v>
      </c>
      <c r="Y1610" s="6" t="e">
        <f ca="1">SQRT($B$9*AVERAGE(W1610:OFFSET(W1610,$B$6-1,0)))</f>
        <v>#DIV/0!</v>
      </c>
      <c r="Z1610" s="6" t="e">
        <f ca="1">SQRT($B$9*AVERAGE(W1610:OFFSET(W1610,$B$7-1,0)))</f>
        <v>#DIV/0!</v>
      </c>
      <c r="AA1610" s="6" t="e">
        <f ca="1">SQRT($B$9*AVERAGE(W1610:OFFSET(W1610,$B$8-1,0)))</f>
        <v>#DIV/0!</v>
      </c>
      <c r="AC1610" s="34" t="e">
        <f t="shared" si="130"/>
        <v>#DIV/0!</v>
      </c>
      <c r="AD1610" s="34" t="e">
        <f ca="1">SQRT($B$9*SUM(AC1610:OFFSET(AC1610,$B$5-1,0))/($B$5-1))</f>
        <v>#DIV/0!</v>
      </c>
      <c r="AE1610" s="34" t="e">
        <f ca="1">SQRT($B$9*SUM(AC1610:OFFSET(AC1610,$B$6-1,0))/($B$6-1))</f>
        <v>#DIV/0!</v>
      </c>
      <c r="AF1610" s="34" t="e">
        <f ca="1">SQRT($B$9*SUM(AC1610:OFFSET(AC1610,$B$7-1,0))/($B$7-1))</f>
        <v>#DIV/0!</v>
      </c>
      <c r="AG1610" s="34" t="e">
        <f ca="1">SQRT($B$9*SUM(AC1610:OFFSET(AC1610,$B$8-1,0))/($B$8-1))</f>
        <v>#DIV/0!</v>
      </c>
      <c r="AI1610" s="1" t="e">
        <f t="shared" si="131"/>
        <v>#DIV/0!</v>
      </c>
      <c r="AJ1610" s="4" t="e">
        <f ca="1">SQRT($B$9)*_xlfn.STDEV.S(AI1610:OFFSET(AI1610,$B$5-1,0))</f>
        <v>#DIV/0!</v>
      </c>
      <c r="AK1610" s="4" t="e">
        <f ca="1">SQRT($B$9)*_xlfn.STDEV.S(AI1610:OFFSET(AI1610,$B$6-1,0))</f>
        <v>#DIV/0!</v>
      </c>
      <c r="AL1610" s="4" t="e">
        <f ca="1">SQRT($B$9)*_xlfn.STDEV.S(AI1610:OFFSET(AI1610,$B$7-1,0))</f>
        <v>#DIV/0!</v>
      </c>
      <c r="AM1610" s="4" t="e">
        <f ca="1">SQRT($B$9)*_xlfn.STDEV.S(AI1610:OFFSET(AI1610,$B$8-1,0))</f>
        <v>#DIV/0!</v>
      </c>
    </row>
    <row r="1611" spans="11:39" x14ac:dyDescent="0.2">
      <c r="K1611" s="3" t="e">
        <f t="shared" si="134"/>
        <v>#DIV/0!</v>
      </c>
      <c r="L1611" s="3" t="e">
        <f ca="1">SQRT(AVERAGE(K1611:OFFSET(K1611,$B$5-1,0))*$B$9/(4*LN(2)))</f>
        <v>#DIV/0!</v>
      </c>
      <c r="M1611" s="3" t="e">
        <f ca="1">SQRT(AVERAGE(K1611:OFFSET(K1611,$B$6-1,0))*$B$9/(4*LN(2)))</f>
        <v>#DIV/0!</v>
      </c>
      <c r="N1611" s="3" t="e">
        <f ca="1">SQRT(AVERAGE(K1611:OFFSET(K1611,$B$7-1,0))*$B$9/(4*LN(2)))</f>
        <v>#DIV/0!</v>
      </c>
      <c r="O1611" s="3" t="e">
        <f ca="1">SQRT(AVERAGE(K1611:OFFSET(K1611,$B$8-1,0))*$B$9/(4*LN(2)))</f>
        <v>#DIV/0!</v>
      </c>
      <c r="Q1611" s="5" t="e">
        <f t="shared" si="133"/>
        <v>#DIV/0!</v>
      </c>
      <c r="R1611" s="5" t="e">
        <f ca="1">SQRT($B$9*AVERAGE((Q1611:OFFSET(Q1611,$B$5-1,0))))</f>
        <v>#DIV/0!</v>
      </c>
      <c r="S1611" s="5" t="e">
        <f ca="1">SQRT($B$9*AVERAGE((Q1611:OFFSET(Q1611,$B$6-1,0))))</f>
        <v>#DIV/0!</v>
      </c>
      <c r="T1611" s="5" t="e">
        <f ca="1">SQRT($B$9*AVERAGE((Q1611:OFFSET(Q1611,$B$7-1,0))))</f>
        <v>#DIV/0!</v>
      </c>
      <c r="U1611" s="5" t="e">
        <f ca="1">SQRT($B$9*AVERAGE((Q1611:OFFSET(Q1611,$B$8-1,0))))</f>
        <v>#DIV/0!</v>
      </c>
      <c r="W1611" s="6" t="e">
        <f t="shared" si="132"/>
        <v>#DIV/0!</v>
      </c>
      <c r="X1611" s="6" t="e">
        <f ca="1">SQRT($B$9*AVERAGE(W1611:OFFSET(W1611,$B$5-1,0)))</f>
        <v>#DIV/0!</v>
      </c>
      <c r="Y1611" s="6" t="e">
        <f ca="1">SQRT($B$9*AVERAGE(W1611:OFFSET(W1611,$B$6-1,0)))</f>
        <v>#DIV/0!</v>
      </c>
      <c r="Z1611" s="6" t="e">
        <f ca="1">SQRT($B$9*AVERAGE(W1611:OFFSET(W1611,$B$7-1,0)))</f>
        <v>#DIV/0!</v>
      </c>
      <c r="AA1611" s="6" t="e">
        <f ca="1">SQRT($B$9*AVERAGE(W1611:OFFSET(W1611,$B$8-1,0)))</f>
        <v>#DIV/0!</v>
      </c>
      <c r="AC1611" s="34" t="e">
        <f t="shared" si="130"/>
        <v>#DIV/0!</v>
      </c>
      <c r="AD1611" s="34" t="e">
        <f ca="1">SQRT($B$9*SUM(AC1611:OFFSET(AC1611,$B$5-1,0))/($B$5-1))</f>
        <v>#DIV/0!</v>
      </c>
      <c r="AE1611" s="34" t="e">
        <f ca="1">SQRT($B$9*SUM(AC1611:OFFSET(AC1611,$B$6-1,0))/($B$6-1))</f>
        <v>#DIV/0!</v>
      </c>
      <c r="AF1611" s="34" t="e">
        <f ca="1">SQRT($B$9*SUM(AC1611:OFFSET(AC1611,$B$7-1,0))/($B$7-1))</f>
        <v>#DIV/0!</v>
      </c>
      <c r="AG1611" s="34" t="e">
        <f ca="1">SQRT($B$9*SUM(AC1611:OFFSET(AC1611,$B$8-1,0))/($B$8-1))</f>
        <v>#DIV/0!</v>
      </c>
      <c r="AI1611" s="1" t="e">
        <f t="shared" si="131"/>
        <v>#DIV/0!</v>
      </c>
      <c r="AJ1611" s="4" t="e">
        <f ca="1">SQRT($B$9)*_xlfn.STDEV.S(AI1611:OFFSET(AI1611,$B$5-1,0))</f>
        <v>#DIV/0!</v>
      </c>
      <c r="AK1611" s="4" t="e">
        <f ca="1">SQRT($B$9)*_xlfn.STDEV.S(AI1611:OFFSET(AI1611,$B$6-1,0))</f>
        <v>#DIV/0!</v>
      </c>
      <c r="AL1611" s="4" t="e">
        <f ca="1">SQRT($B$9)*_xlfn.STDEV.S(AI1611:OFFSET(AI1611,$B$7-1,0))</f>
        <v>#DIV/0!</v>
      </c>
      <c r="AM1611" s="4" t="e">
        <f ca="1">SQRT($B$9)*_xlfn.STDEV.S(AI1611:OFFSET(AI1611,$B$8-1,0))</f>
        <v>#DIV/0!</v>
      </c>
    </row>
    <row r="1612" spans="11:39" x14ac:dyDescent="0.2">
      <c r="K1612" s="3" t="e">
        <f t="shared" si="134"/>
        <v>#DIV/0!</v>
      </c>
      <c r="L1612" s="3" t="e">
        <f ca="1">SQRT(AVERAGE(K1612:OFFSET(K1612,$B$5-1,0))*$B$9/(4*LN(2)))</f>
        <v>#DIV/0!</v>
      </c>
      <c r="M1612" s="3" t="e">
        <f ca="1">SQRT(AVERAGE(K1612:OFFSET(K1612,$B$6-1,0))*$B$9/(4*LN(2)))</f>
        <v>#DIV/0!</v>
      </c>
      <c r="N1612" s="3" t="e">
        <f ca="1">SQRT(AVERAGE(K1612:OFFSET(K1612,$B$7-1,0))*$B$9/(4*LN(2)))</f>
        <v>#DIV/0!</v>
      </c>
      <c r="O1612" s="3" t="e">
        <f ca="1">SQRT(AVERAGE(K1612:OFFSET(K1612,$B$8-1,0))*$B$9/(4*LN(2)))</f>
        <v>#DIV/0!</v>
      </c>
      <c r="Q1612" s="5" t="e">
        <f t="shared" si="133"/>
        <v>#DIV/0!</v>
      </c>
      <c r="R1612" s="5" t="e">
        <f ca="1">SQRT($B$9*AVERAGE((Q1612:OFFSET(Q1612,$B$5-1,0))))</f>
        <v>#DIV/0!</v>
      </c>
      <c r="S1612" s="5" t="e">
        <f ca="1">SQRT($B$9*AVERAGE((Q1612:OFFSET(Q1612,$B$6-1,0))))</f>
        <v>#DIV/0!</v>
      </c>
      <c r="T1612" s="5" t="e">
        <f ca="1">SQRT($B$9*AVERAGE((Q1612:OFFSET(Q1612,$B$7-1,0))))</f>
        <v>#DIV/0!</v>
      </c>
      <c r="U1612" s="5" t="e">
        <f ca="1">SQRT($B$9*AVERAGE((Q1612:OFFSET(Q1612,$B$8-1,0))))</f>
        <v>#DIV/0!</v>
      </c>
      <c r="W1612" s="6" t="e">
        <f t="shared" si="132"/>
        <v>#DIV/0!</v>
      </c>
      <c r="X1612" s="6" t="e">
        <f ca="1">SQRT($B$9*AVERAGE(W1612:OFFSET(W1612,$B$5-1,0)))</f>
        <v>#DIV/0!</v>
      </c>
      <c r="Y1612" s="6" t="e">
        <f ca="1">SQRT($B$9*AVERAGE(W1612:OFFSET(W1612,$B$6-1,0)))</f>
        <v>#DIV/0!</v>
      </c>
      <c r="Z1612" s="6" t="e">
        <f ca="1">SQRT($B$9*AVERAGE(W1612:OFFSET(W1612,$B$7-1,0)))</f>
        <v>#DIV/0!</v>
      </c>
      <c r="AA1612" s="6" t="e">
        <f ca="1">SQRT($B$9*AVERAGE(W1612:OFFSET(W1612,$B$8-1,0)))</f>
        <v>#DIV/0!</v>
      </c>
      <c r="AC1612" s="34" t="e">
        <f t="shared" si="130"/>
        <v>#DIV/0!</v>
      </c>
      <c r="AD1612" s="34" t="e">
        <f ca="1">SQRT($B$9*SUM(AC1612:OFFSET(AC1612,$B$5-1,0))/($B$5-1))</f>
        <v>#DIV/0!</v>
      </c>
      <c r="AE1612" s="34" t="e">
        <f ca="1">SQRT($B$9*SUM(AC1612:OFFSET(AC1612,$B$6-1,0))/($B$6-1))</f>
        <v>#DIV/0!</v>
      </c>
      <c r="AF1612" s="34" t="e">
        <f ca="1">SQRT($B$9*SUM(AC1612:OFFSET(AC1612,$B$7-1,0))/($B$7-1))</f>
        <v>#DIV/0!</v>
      </c>
      <c r="AG1612" s="34" t="e">
        <f ca="1">SQRT($B$9*SUM(AC1612:OFFSET(AC1612,$B$8-1,0))/($B$8-1))</f>
        <v>#DIV/0!</v>
      </c>
      <c r="AI1612" s="1" t="e">
        <f t="shared" si="131"/>
        <v>#DIV/0!</v>
      </c>
      <c r="AJ1612" s="4" t="e">
        <f ca="1">SQRT($B$9)*_xlfn.STDEV.S(AI1612:OFFSET(AI1612,$B$5-1,0))</f>
        <v>#DIV/0!</v>
      </c>
      <c r="AK1612" s="4" t="e">
        <f ca="1">SQRT($B$9)*_xlfn.STDEV.S(AI1612:OFFSET(AI1612,$B$6-1,0))</f>
        <v>#DIV/0!</v>
      </c>
      <c r="AL1612" s="4" t="e">
        <f ca="1">SQRT($B$9)*_xlfn.STDEV.S(AI1612:OFFSET(AI1612,$B$7-1,0))</f>
        <v>#DIV/0!</v>
      </c>
      <c r="AM1612" s="4" t="e">
        <f ca="1">SQRT($B$9)*_xlfn.STDEV.S(AI1612:OFFSET(AI1612,$B$8-1,0))</f>
        <v>#DIV/0!</v>
      </c>
    </row>
    <row r="1613" spans="11:39" x14ac:dyDescent="0.2">
      <c r="K1613" s="3" t="e">
        <f t="shared" si="134"/>
        <v>#DIV/0!</v>
      </c>
      <c r="L1613" s="3" t="e">
        <f ca="1">SQRT(AVERAGE(K1613:OFFSET(K1613,$B$5-1,0))*$B$9/(4*LN(2)))</f>
        <v>#DIV/0!</v>
      </c>
      <c r="M1613" s="3" t="e">
        <f ca="1">SQRT(AVERAGE(K1613:OFFSET(K1613,$B$6-1,0))*$B$9/(4*LN(2)))</f>
        <v>#DIV/0!</v>
      </c>
      <c r="N1613" s="3" t="e">
        <f ca="1">SQRT(AVERAGE(K1613:OFFSET(K1613,$B$7-1,0))*$B$9/(4*LN(2)))</f>
        <v>#DIV/0!</v>
      </c>
      <c r="O1613" s="3" t="e">
        <f ca="1">SQRT(AVERAGE(K1613:OFFSET(K1613,$B$8-1,0))*$B$9/(4*LN(2)))</f>
        <v>#DIV/0!</v>
      </c>
      <c r="Q1613" s="5" t="e">
        <f t="shared" si="133"/>
        <v>#DIV/0!</v>
      </c>
      <c r="R1613" s="5" t="e">
        <f ca="1">SQRT($B$9*AVERAGE((Q1613:OFFSET(Q1613,$B$5-1,0))))</f>
        <v>#DIV/0!</v>
      </c>
      <c r="S1613" s="5" t="e">
        <f ca="1">SQRT($B$9*AVERAGE((Q1613:OFFSET(Q1613,$B$6-1,0))))</f>
        <v>#DIV/0!</v>
      </c>
      <c r="T1613" s="5" t="e">
        <f ca="1">SQRT($B$9*AVERAGE((Q1613:OFFSET(Q1613,$B$7-1,0))))</f>
        <v>#DIV/0!</v>
      </c>
      <c r="U1613" s="5" t="e">
        <f ca="1">SQRT($B$9*AVERAGE((Q1613:OFFSET(Q1613,$B$8-1,0))))</f>
        <v>#DIV/0!</v>
      </c>
      <c r="W1613" s="6" t="e">
        <f t="shared" si="132"/>
        <v>#DIV/0!</v>
      </c>
      <c r="X1613" s="6" t="e">
        <f ca="1">SQRT($B$9*AVERAGE(W1613:OFFSET(W1613,$B$5-1,0)))</f>
        <v>#DIV/0!</v>
      </c>
      <c r="Y1613" s="6" t="e">
        <f ca="1">SQRT($B$9*AVERAGE(W1613:OFFSET(W1613,$B$6-1,0)))</f>
        <v>#DIV/0!</v>
      </c>
      <c r="Z1613" s="6" t="e">
        <f ca="1">SQRT($B$9*AVERAGE(W1613:OFFSET(W1613,$B$7-1,0)))</f>
        <v>#DIV/0!</v>
      </c>
      <c r="AA1613" s="6" t="e">
        <f ca="1">SQRT($B$9*AVERAGE(W1613:OFFSET(W1613,$B$8-1,0)))</f>
        <v>#DIV/0!</v>
      </c>
      <c r="AC1613" s="34" t="e">
        <f t="shared" si="130"/>
        <v>#DIV/0!</v>
      </c>
      <c r="AD1613" s="34" t="e">
        <f ca="1">SQRT($B$9*SUM(AC1613:OFFSET(AC1613,$B$5-1,0))/($B$5-1))</f>
        <v>#DIV/0!</v>
      </c>
      <c r="AE1613" s="34" t="e">
        <f ca="1">SQRT($B$9*SUM(AC1613:OFFSET(AC1613,$B$6-1,0))/($B$6-1))</f>
        <v>#DIV/0!</v>
      </c>
      <c r="AF1613" s="34" t="e">
        <f ca="1">SQRT($B$9*SUM(AC1613:OFFSET(AC1613,$B$7-1,0))/($B$7-1))</f>
        <v>#DIV/0!</v>
      </c>
      <c r="AG1613" s="34" t="e">
        <f ca="1">SQRT($B$9*SUM(AC1613:OFFSET(AC1613,$B$8-1,0))/($B$8-1))</f>
        <v>#DIV/0!</v>
      </c>
      <c r="AI1613" s="1" t="e">
        <f t="shared" si="131"/>
        <v>#DIV/0!</v>
      </c>
      <c r="AJ1613" s="4" t="e">
        <f ca="1">SQRT($B$9)*_xlfn.STDEV.S(AI1613:OFFSET(AI1613,$B$5-1,0))</f>
        <v>#DIV/0!</v>
      </c>
      <c r="AK1613" s="4" t="e">
        <f ca="1">SQRT($B$9)*_xlfn.STDEV.S(AI1613:OFFSET(AI1613,$B$6-1,0))</f>
        <v>#DIV/0!</v>
      </c>
      <c r="AL1613" s="4" t="e">
        <f ca="1">SQRT($B$9)*_xlfn.STDEV.S(AI1613:OFFSET(AI1613,$B$7-1,0))</f>
        <v>#DIV/0!</v>
      </c>
      <c r="AM1613" s="4" t="e">
        <f ca="1">SQRT($B$9)*_xlfn.STDEV.S(AI1613:OFFSET(AI1613,$B$8-1,0))</f>
        <v>#DIV/0!</v>
      </c>
    </row>
    <row r="1614" spans="11:39" x14ac:dyDescent="0.2">
      <c r="K1614" s="3" t="e">
        <f t="shared" si="134"/>
        <v>#DIV/0!</v>
      </c>
      <c r="L1614" s="3" t="e">
        <f ca="1">SQRT(AVERAGE(K1614:OFFSET(K1614,$B$5-1,0))*$B$9/(4*LN(2)))</f>
        <v>#DIV/0!</v>
      </c>
      <c r="M1614" s="3" t="e">
        <f ca="1">SQRT(AVERAGE(K1614:OFFSET(K1614,$B$6-1,0))*$B$9/(4*LN(2)))</f>
        <v>#DIV/0!</v>
      </c>
      <c r="N1614" s="3" t="e">
        <f ca="1">SQRT(AVERAGE(K1614:OFFSET(K1614,$B$7-1,0))*$B$9/(4*LN(2)))</f>
        <v>#DIV/0!</v>
      </c>
      <c r="O1614" s="3" t="e">
        <f ca="1">SQRT(AVERAGE(K1614:OFFSET(K1614,$B$8-1,0))*$B$9/(4*LN(2)))</f>
        <v>#DIV/0!</v>
      </c>
      <c r="Q1614" s="5" t="e">
        <f t="shared" si="133"/>
        <v>#DIV/0!</v>
      </c>
      <c r="R1614" s="5" t="e">
        <f ca="1">SQRT($B$9*AVERAGE((Q1614:OFFSET(Q1614,$B$5-1,0))))</f>
        <v>#DIV/0!</v>
      </c>
      <c r="S1614" s="5" t="e">
        <f ca="1">SQRT($B$9*AVERAGE((Q1614:OFFSET(Q1614,$B$6-1,0))))</f>
        <v>#DIV/0!</v>
      </c>
      <c r="T1614" s="5" t="e">
        <f ca="1">SQRT($B$9*AVERAGE((Q1614:OFFSET(Q1614,$B$7-1,0))))</f>
        <v>#DIV/0!</v>
      </c>
      <c r="U1614" s="5" t="e">
        <f ca="1">SQRT($B$9*AVERAGE((Q1614:OFFSET(Q1614,$B$8-1,0))))</f>
        <v>#DIV/0!</v>
      </c>
      <c r="W1614" s="6" t="e">
        <f t="shared" si="132"/>
        <v>#DIV/0!</v>
      </c>
      <c r="X1614" s="6" t="e">
        <f ca="1">SQRT($B$9*AVERAGE(W1614:OFFSET(W1614,$B$5-1,0)))</f>
        <v>#DIV/0!</v>
      </c>
      <c r="Y1614" s="6" t="e">
        <f ca="1">SQRT($B$9*AVERAGE(W1614:OFFSET(W1614,$B$6-1,0)))</f>
        <v>#DIV/0!</v>
      </c>
      <c r="Z1614" s="6" t="e">
        <f ca="1">SQRT($B$9*AVERAGE(W1614:OFFSET(W1614,$B$7-1,0)))</f>
        <v>#DIV/0!</v>
      </c>
      <c r="AA1614" s="6" t="e">
        <f ca="1">SQRT($B$9*AVERAGE(W1614:OFFSET(W1614,$B$8-1,0)))</f>
        <v>#DIV/0!</v>
      </c>
      <c r="AC1614" s="34" t="e">
        <f t="shared" si="130"/>
        <v>#DIV/0!</v>
      </c>
      <c r="AD1614" s="34" t="e">
        <f ca="1">SQRT($B$9*SUM(AC1614:OFFSET(AC1614,$B$5-1,0))/($B$5-1))</f>
        <v>#DIV/0!</v>
      </c>
      <c r="AE1614" s="34" t="e">
        <f ca="1">SQRT($B$9*SUM(AC1614:OFFSET(AC1614,$B$6-1,0))/($B$6-1))</f>
        <v>#DIV/0!</v>
      </c>
      <c r="AF1614" s="34" t="e">
        <f ca="1">SQRT($B$9*SUM(AC1614:OFFSET(AC1614,$B$7-1,0))/($B$7-1))</f>
        <v>#DIV/0!</v>
      </c>
      <c r="AG1614" s="34" t="e">
        <f ca="1">SQRT($B$9*SUM(AC1614:OFFSET(AC1614,$B$8-1,0))/($B$8-1))</f>
        <v>#DIV/0!</v>
      </c>
      <c r="AI1614" s="1" t="e">
        <f t="shared" si="131"/>
        <v>#DIV/0!</v>
      </c>
      <c r="AJ1614" s="4" t="e">
        <f ca="1">SQRT($B$9)*_xlfn.STDEV.S(AI1614:OFFSET(AI1614,$B$5-1,0))</f>
        <v>#DIV/0!</v>
      </c>
      <c r="AK1614" s="4" t="e">
        <f ca="1">SQRT($B$9)*_xlfn.STDEV.S(AI1614:OFFSET(AI1614,$B$6-1,0))</f>
        <v>#DIV/0!</v>
      </c>
      <c r="AL1614" s="4" t="e">
        <f ca="1">SQRT($B$9)*_xlfn.STDEV.S(AI1614:OFFSET(AI1614,$B$7-1,0))</f>
        <v>#DIV/0!</v>
      </c>
      <c r="AM1614" s="4" t="e">
        <f ca="1">SQRT($B$9)*_xlfn.STDEV.S(AI1614:OFFSET(AI1614,$B$8-1,0))</f>
        <v>#DIV/0!</v>
      </c>
    </row>
    <row r="1615" spans="11:39" x14ac:dyDescent="0.2">
      <c r="K1615" s="3" t="e">
        <f t="shared" si="134"/>
        <v>#DIV/0!</v>
      </c>
      <c r="L1615" s="3" t="e">
        <f ca="1">SQRT(AVERAGE(K1615:OFFSET(K1615,$B$5-1,0))*$B$9/(4*LN(2)))</f>
        <v>#DIV/0!</v>
      </c>
      <c r="M1615" s="3" t="e">
        <f ca="1">SQRT(AVERAGE(K1615:OFFSET(K1615,$B$6-1,0))*$B$9/(4*LN(2)))</f>
        <v>#DIV/0!</v>
      </c>
      <c r="N1615" s="3" t="e">
        <f ca="1">SQRT(AVERAGE(K1615:OFFSET(K1615,$B$7-1,0))*$B$9/(4*LN(2)))</f>
        <v>#DIV/0!</v>
      </c>
      <c r="O1615" s="3" t="e">
        <f ca="1">SQRT(AVERAGE(K1615:OFFSET(K1615,$B$8-1,0))*$B$9/(4*LN(2)))</f>
        <v>#DIV/0!</v>
      </c>
      <c r="Q1615" s="5" t="e">
        <f t="shared" si="133"/>
        <v>#DIV/0!</v>
      </c>
      <c r="R1615" s="5" t="e">
        <f ca="1">SQRT($B$9*AVERAGE((Q1615:OFFSET(Q1615,$B$5-1,0))))</f>
        <v>#DIV/0!</v>
      </c>
      <c r="S1615" s="5" t="e">
        <f ca="1">SQRT($B$9*AVERAGE((Q1615:OFFSET(Q1615,$B$6-1,0))))</f>
        <v>#DIV/0!</v>
      </c>
      <c r="T1615" s="5" t="e">
        <f ca="1">SQRT($B$9*AVERAGE((Q1615:OFFSET(Q1615,$B$7-1,0))))</f>
        <v>#DIV/0!</v>
      </c>
      <c r="U1615" s="5" t="e">
        <f ca="1">SQRT($B$9*AVERAGE((Q1615:OFFSET(Q1615,$B$8-1,0))))</f>
        <v>#DIV/0!</v>
      </c>
      <c r="W1615" s="6" t="e">
        <f t="shared" si="132"/>
        <v>#DIV/0!</v>
      </c>
      <c r="X1615" s="6" t="e">
        <f ca="1">SQRT($B$9*AVERAGE(W1615:OFFSET(W1615,$B$5-1,0)))</f>
        <v>#DIV/0!</v>
      </c>
      <c r="Y1615" s="6" t="e">
        <f ca="1">SQRT($B$9*AVERAGE(W1615:OFFSET(W1615,$B$6-1,0)))</f>
        <v>#DIV/0!</v>
      </c>
      <c r="Z1615" s="6" t="e">
        <f ca="1">SQRT($B$9*AVERAGE(W1615:OFFSET(W1615,$B$7-1,0)))</f>
        <v>#DIV/0!</v>
      </c>
      <c r="AA1615" s="6" t="e">
        <f ca="1">SQRT($B$9*AVERAGE(W1615:OFFSET(W1615,$B$8-1,0)))</f>
        <v>#DIV/0!</v>
      </c>
      <c r="AC1615" s="34" t="e">
        <f t="shared" si="130"/>
        <v>#DIV/0!</v>
      </c>
      <c r="AD1615" s="34" t="e">
        <f ca="1">SQRT($B$9*SUM(AC1615:OFFSET(AC1615,$B$5-1,0))/($B$5-1))</f>
        <v>#DIV/0!</v>
      </c>
      <c r="AE1615" s="34" t="e">
        <f ca="1">SQRT($B$9*SUM(AC1615:OFFSET(AC1615,$B$6-1,0))/($B$6-1))</f>
        <v>#DIV/0!</v>
      </c>
      <c r="AF1615" s="34" t="e">
        <f ca="1">SQRT($B$9*SUM(AC1615:OFFSET(AC1615,$B$7-1,0))/($B$7-1))</f>
        <v>#DIV/0!</v>
      </c>
      <c r="AG1615" s="34" t="e">
        <f ca="1">SQRT($B$9*SUM(AC1615:OFFSET(AC1615,$B$8-1,0))/($B$8-1))</f>
        <v>#DIV/0!</v>
      </c>
      <c r="AI1615" s="1" t="e">
        <f t="shared" si="131"/>
        <v>#DIV/0!</v>
      </c>
      <c r="AJ1615" s="4" t="e">
        <f ca="1">SQRT($B$9)*_xlfn.STDEV.S(AI1615:OFFSET(AI1615,$B$5-1,0))</f>
        <v>#DIV/0!</v>
      </c>
      <c r="AK1615" s="4" t="e">
        <f ca="1">SQRT($B$9)*_xlfn.STDEV.S(AI1615:OFFSET(AI1615,$B$6-1,0))</f>
        <v>#DIV/0!</v>
      </c>
      <c r="AL1615" s="4" t="e">
        <f ca="1">SQRT($B$9)*_xlfn.STDEV.S(AI1615:OFFSET(AI1615,$B$7-1,0))</f>
        <v>#DIV/0!</v>
      </c>
      <c r="AM1615" s="4" t="e">
        <f ca="1">SQRT($B$9)*_xlfn.STDEV.S(AI1615:OFFSET(AI1615,$B$8-1,0))</f>
        <v>#DIV/0!</v>
      </c>
    </row>
    <row r="1616" spans="11:39" x14ac:dyDescent="0.2">
      <c r="K1616" s="3" t="e">
        <f t="shared" si="134"/>
        <v>#DIV/0!</v>
      </c>
      <c r="L1616" s="3" t="e">
        <f ca="1">SQRT(AVERAGE(K1616:OFFSET(K1616,$B$5-1,0))*$B$9/(4*LN(2)))</f>
        <v>#DIV/0!</v>
      </c>
      <c r="M1616" s="3" t="e">
        <f ca="1">SQRT(AVERAGE(K1616:OFFSET(K1616,$B$6-1,0))*$B$9/(4*LN(2)))</f>
        <v>#DIV/0!</v>
      </c>
      <c r="N1616" s="3" t="e">
        <f ca="1">SQRT(AVERAGE(K1616:OFFSET(K1616,$B$7-1,0))*$B$9/(4*LN(2)))</f>
        <v>#DIV/0!</v>
      </c>
      <c r="O1616" s="3" t="e">
        <f ca="1">SQRT(AVERAGE(K1616:OFFSET(K1616,$B$8-1,0))*$B$9/(4*LN(2)))</f>
        <v>#DIV/0!</v>
      </c>
      <c r="Q1616" s="5" t="e">
        <f t="shared" si="133"/>
        <v>#DIV/0!</v>
      </c>
      <c r="R1616" s="5" t="e">
        <f ca="1">SQRT($B$9*AVERAGE((Q1616:OFFSET(Q1616,$B$5-1,0))))</f>
        <v>#DIV/0!</v>
      </c>
      <c r="S1616" s="5" t="e">
        <f ca="1">SQRT($B$9*AVERAGE((Q1616:OFFSET(Q1616,$B$6-1,0))))</f>
        <v>#DIV/0!</v>
      </c>
      <c r="T1616" s="5" t="e">
        <f ca="1">SQRT($B$9*AVERAGE((Q1616:OFFSET(Q1616,$B$7-1,0))))</f>
        <v>#DIV/0!</v>
      </c>
      <c r="U1616" s="5" t="e">
        <f ca="1">SQRT($B$9*AVERAGE((Q1616:OFFSET(Q1616,$B$8-1,0))))</f>
        <v>#DIV/0!</v>
      </c>
      <c r="W1616" s="6" t="e">
        <f t="shared" si="132"/>
        <v>#DIV/0!</v>
      </c>
      <c r="X1616" s="6" t="e">
        <f ca="1">SQRT($B$9*AVERAGE(W1616:OFFSET(W1616,$B$5-1,0)))</f>
        <v>#DIV/0!</v>
      </c>
      <c r="Y1616" s="6" t="e">
        <f ca="1">SQRT($B$9*AVERAGE(W1616:OFFSET(W1616,$B$6-1,0)))</f>
        <v>#DIV/0!</v>
      </c>
      <c r="Z1616" s="6" t="e">
        <f ca="1">SQRT($B$9*AVERAGE(W1616:OFFSET(W1616,$B$7-1,0)))</f>
        <v>#DIV/0!</v>
      </c>
      <c r="AA1616" s="6" t="e">
        <f ca="1">SQRT($B$9*AVERAGE(W1616:OFFSET(W1616,$B$8-1,0)))</f>
        <v>#DIV/0!</v>
      </c>
      <c r="AC1616" s="34" t="e">
        <f t="shared" si="130"/>
        <v>#DIV/0!</v>
      </c>
      <c r="AD1616" s="34" t="e">
        <f ca="1">SQRT($B$9*SUM(AC1616:OFFSET(AC1616,$B$5-1,0))/($B$5-1))</f>
        <v>#DIV/0!</v>
      </c>
      <c r="AE1616" s="34" t="e">
        <f ca="1">SQRT($B$9*SUM(AC1616:OFFSET(AC1616,$B$6-1,0))/($B$6-1))</f>
        <v>#DIV/0!</v>
      </c>
      <c r="AF1616" s="34" t="e">
        <f ca="1">SQRT($B$9*SUM(AC1616:OFFSET(AC1616,$B$7-1,0))/($B$7-1))</f>
        <v>#DIV/0!</v>
      </c>
      <c r="AG1616" s="34" t="e">
        <f ca="1">SQRT($B$9*SUM(AC1616:OFFSET(AC1616,$B$8-1,0))/($B$8-1))</f>
        <v>#DIV/0!</v>
      </c>
      <c r="AI1616" s="1" t="e">
        <f t="shared" si="131"/>
        <v>#DIV/0!</v>
      </c>
      <c r="AJ1616" s="4" t="e">
        <f ca="1">SQRT($B$9)*_xlfn.STDEV.S(AI1616:OFFSET(AI1616,$B$5-1,0))</f>
        <v>#DIV/0!</v>
      </c>
      <c r="AK1616" s="4" t="e">
        <f ca="1">SQRT($B$9)*_xlfn.STDEV.S(AI1616:OFFSET(AI1616,$B$6-1,0))</f>
        <v>#DIV/0!</v>
      </c>
      <c r="AL1616" s="4" t="e">
        <f ca="1">SQRT($B$9)*_xlfn.STDEV.S(AI1616:OFFSET(AI1616,$B$7-1,0))</f>
        <v>#DIV/0!</v>
      </c>
      <c r="AM1616" s="4" t="e">
        <f ca="1">SQRT($B$9)*_xlfn.STDEV.S(AI1616:OFFSET(AI1616,$B$8-1,0))</f>
        <v>#DIV/0!</v>
      </c>
    </row>
    <row r="1617" spans="11:39" x14ac:dyDescent="0.2">
      <c r="K1617" s="3" t="e">
        <f t="shared" si="134"/>
        <v>#DIV/0!</v>
      </c>
      <c r="L1617" s="3" t="e">
        <f ca="1">SQRT(AVERAGE(K1617:OFFSET(K1617,$B$5-1,0))*$B$9/(4*LN(2)))</f>
        <v>#DIV/0!</v>
      </c>
      <c r="M1617" s="3" t="e">
        <f ca="1">SQRT(AVERAGE(K1617:OFFSET(K1617,$B$6-1,0))*$B$9/(4*LN(2)))</f>
        <v>#DIV/0!</v>
      </c>
      <c r="N1617" s="3" t="e">
        <f ca="1">SQRT(AVERAGE(K1617:OFFSET(K1617,$B$7-1,0))*$B$9/(4*LN(2)))</f>
        <v>#DIV/0!</v>
      </c>
      <c r="O1617" s="3" t="e">
        <f ca="1">SQRT(AVERAGE(K1617:OFFSET(K1617,$B$8-1,0))*$B$9/(4*LN(2)))</f>
        <v>#DIV/0!</v>
      </c>
      <c r="Q1617" s="5" t="e">
        <f t="shared" si="133"/>
        <v>#DIV/0!</v>
      </c>
      <c r="R1617" s="5" t="e">
        <f ca="1">SQRT($B$9*AVERAGE((Q1617:OFFSET(Q1617,$B$5-1,0))))</f>
        <v>#DIV/0!</v>
      </c>
      <c r="S1617" s="5" t="e">
        <f ca="1">SQRT($B$9*AVERAGE((Q1617:OFFSET(Q1617,$B$6-1,0))))</f>
        <v>#DIV/0!</v>
      </c>
      <c r="T1617" s="5" t="e">
        <f ca="1">SQRT($B$9*AVERAGE((Q1617:OFFSET(Q1617,$B$7-1,0))))</f>
        <v>#DIV/0!</v>
      </c>
      <c r="U1617" s="5" t="e">
        <f ca="1">SQRT($B$9*AVERAGE((Q1617:OFFSET(Q1617,$B$8-1,0))))</f>
        <v>#DIV/0!</v>
      </c>
      <c r="W1617" s="6" t="e">
        <f t="shared" si="132"/>
        <v>#DIV/0!</v>
      </c>
      <c r="X1617" s="6" t="e">
        <f ca="1">SQRT($B$9*AVERAGE(W1617:OFFSET(W1617,$B$5-1,0)))</f>
        <v>#DIV/0!</v>
      </c>
      <c r="Y1617" s="6" t="e">
        <f ca="1">SQRT($B$9*AVERAGE(W1617:OFFSET(W1617,$B$6-1,0)))</f>
        <v>#DIV/0!</v>
      </c>
      <c r="Z1617" s="6" t="e">
        <f ca="1">SQRT($B$9*AVERAGE(W1617:OFFSET(W1617,$B$7-1,0)))</f>
        <v>#DIV/0!</v>
      </c>
      <c r="AA1617" s="6" t="e">
        <f ca="1">SQRT($B$9*AVERAGE(W1617:OFFSET(W1617,$B$8-1,0)))</f>
        <v>#DIV/0!</v>
      </c>
      <c r="AC1617" s="34" t="e">
        <f t="shared" ref="AC1617:AC1680" si="135">(LN(I1617/I1618))^2</f>
        <v>#DIV/0!</v>
      </c>
      <c r="AD1617" s="34" t="e">
        <f ca="1">SQRT($B$9*SUM(AC1617:OFFSET(AC1617,$B$5-1,0))/($B$5-1))</f>
        <v>#DIV/0!</v>
      </c>
      <c r="AE1617" s="34" t="e">
        <f ca="1">SQRT($B$9*SUM(AC1617:OFFSET(AC1617,$B$6-1,0))/($B$6-1))</f>
        <v>#DIV/0!</v>
      </c>
      <c r="AF1617" s="34" t="e">
        <f ca="1">SQRT($B$9*SUM(AC1617:OFFSET(AC1617,$B$7-1,0))/($B$7-1))</f>
        <v>#DIV/0!</v>
      </c>
      <c r="AG1617" s="34" t="e">
        <f ca="1">SQRT($B$9*SUM(AC1617:OFFSET(AC1617,$B$8-1,0))/($B$8-1))</f>
        <v>#DIV/0!</v>
      </c>
      <c r="AI1617" s="1" t="e">
        <f t="shared" si="131"/>
        <v>#DIV/0!</v>
      </c>
      <c r="AJ1617" s="4" t="e">
        <f ca="1">SQRT($B$9)*_xlfn.STDEV.S(AI1617:OFFSET(AI1617,$B$5-1,0))</f>
        <v>#DIV/0!</v>
      </c>
      <c r="AK1617" s="4" t="e">
        <f ca="1">SQRT($B$9)*_xlfn.STDEV.S(AI1617:OFFSET(AI1617,$B$6-1,0))</f>
        <v>#DIV/0!</v>
      </c>
      <c r="AL1617" s="4" t="e">
        <f ca="1">SQRT($B$9)*_xlfn.STDEV.S(AI1617:OFFSET(AI1617,$B$7-1,0))</f>
        <v>#DIV/0!</v>
      </c>
      <c r="AM1617" s="4" t="e">
        <f ca="1">SQRT($B$9)*_xlfn.STDEV.S(AI1617:OFFSET(AI1617,$B$8-1,0))</f>
        <v>#DIV/0!</v>
      </c>
    </row>
    <row r="1618" spans="11:39" x14ac:dyDescent="0.2">
      <c r="K1618" s="3" t="e">
        <f t="shared" si="134"/>
        <v>#DIV/0!</v>
      </c>
      <c r="L1618" s="3" t="e">
        <f ca="1">SQRT(AVERAGE(K1618:OFFSET(K1618,$B$5-1,0))*$B$9/(4*LN(2)))</f>
        <v>#DIV/0!</v>
      </c>
      <c r="M1618" s="3" t="e">
        <f ca="1">SQRT(AVERAGE(K1618:OFFSET(K1618,$B$6-1,0))*$B$9/(4*LN(2)))</f>
        <v>#DIV/0!</v>
      </c>
      <c r="N1618" s="3" t="e">
        <f ca="1">SQRT(AVERAGE(K1618:OFFSET(K1618,$B$7-1,0))*$B$9/(4*LN(2)))</f>
        <v>#DIV/0!</v>
      </c>
      <c r="O1618" s="3" t="e">
        <f ca="1">SQRT(AVERAGE(K1618:OFFSET(K1618,$B$8-1,0))*$B$9/(4*LN(2)))</f>
        <v>#DIV/0!</v>
      </c>
      <c r="Q1618" s="5" t="e">
        <f t="shared" si="133"/>
        <v>#DIV/0!</v>
      </c>
      <c r="R1618" s="5" t="e">
        <f ca="1">SQRT($B$9*AVERAGE((Q1618:OFFSET(Q1618,$B$5-1,0))))</f>
        <v>#DIV/0!</v>
      </c>
      <c r="S1618" s="5" t="e">
        <f ca="1">SQRT($B$9*AVERAGE((Q1618:OFFSET(Q1618,$B$6-1,0))))</f>
        <v>#DIV/0!</v>
      </c>
      <c r="T1618" s="5" t="e">
        <f ca="1">SQRT($B$9*AVERAGE((Q1618:OFFSET(Q1618,$B$7-1,0))))</f>
        <v>#DIV/0!</v>
      </c>
      <c r="U1618" s="5" t="e">
        <f ca="1">SQRT($B$9*AVERAGE((Q1618:OFFSET(Q1618,$B$8-1,0))))</f>
        <v>#DIV/0!</v>
      </c>
      <c r="W1618" s="6" t="e">
        <f t="shared" si="132"/>
        <v>#DIV/0!</v>
      </c>
      <c r="X1618" s="6" t="e">
        <f ca="1">SQRT($B$9*AVERAGE(W1618:OFFSET(W1618,$B$5-1,0)))</f>
        <v>#DIV/0!</v>
      </c>
      <c r="Y1618" s="6" t="e">
        <f ca="1">SQRT($B$9*AVERAGE(W1618:OFFSET(W1618,$B$6-1,0)))</f>
        <v>#DIV/0!</v>
      </c>
      <c r="Z1618" s="6" t="e">
        <f ca="1">SQRT($B$9*AVERAGE(W1618:OFFSET(W1618,$B$7-1,0)))</f>
        <v>#DIV/0!</v>
      </c>
      <c r="AA1618" s="6" t="e">
        <f ca="1">SQRT($B$9*AVERAGE(W1618:OFFSET(W1618,$B$8-1,0)))</f>
        <v>#DIV/0!</v>
      </c>
      <c r="AC1618" s="34" t="e">
        <f t="shared" si="135"/>
        <v>#DIV/0!</v>
      </c>
      <c r="AD1618" s="34" t="e">
        <f ca="1">SQRT($B$9*SUM(AC1618:OFFSET(AC1618,$B$5-1,0))/($B$5-1))</f>
        <v>#DIV/0!</v>
      </c>
      <c r="AE1618" s="34" t="e">
        <f ca="1">SQRT($B$9*SUM(AC1618:OFFSET(AC1618,$B$6-1,0))/($B$6-1))</f>
        <v>#DIV/0!</v>
      </c>
      <c r="AF1618" s="34" t="e">
        <f ca="1">SQRT($B$9*SUM(AC1618:OFFSET(AC1618,$B$7-1,0))/($B$7-1))</f>
        <v>#DIV/0!</v>
      </c>
      <c r="AG1618" s="34" t="e">
        <f ca="1">SQRT($B$9*SUM(AC1618:OFFSET(AC1618,$B$8-1,0))/($B$8-1))</f>
        <v>#DIV/0!</v>
      </c>
      <c r="AI1618" s="1" t="e">
        <f t="shared" si="131"/>
        <v>#DIV/0!</v>
      </c>
      <c r="AJ1618" s="4" t="e">
        <f ca="1">SQRT($B$9)*_xlfn.STDEV.S(AI1618:OFFSET(AI1618,$B$5-1,0))</f>
        <v>#DIV/0!</v>
      </c>
      <c r="AK1618" s="4" t="e">
        <f ca="1">SQRT($B$9)*_xlfn.STDEV.S(AI1618:OFFSET(AI1618,$B$6-1,0))</f>
        <v>#DIV/0!</v>
      </c>
      <c r="AL1618" s="4" t="e">
        <f ca="1">SQRT($B$9)*_xlfn.STDEV.S(AI1618:OFFSET(AI1618,$B$7-1,0))</f>
        <v>#DIV/0!</v>
      </c>
      <c r="AM1618" s="4" t="e">
        <f ca="1">SQRT($B$9)*_xlfn.STDEV.S(AI1618:OFFSET(AI1618,$B$8-1,0))</f>
        <v>#DIV/0!</v>
      </c>
    </row>
    <row r="1619" spans="11:39" x14ac:dyDescent="0.2">
      <c r="K1619" s="3" t="e">
        <f t="shared" si="134"/>
        <v>#DIV/0!</v>
      </c>
      <c r="L1619" s="3" t="e">
        <f ca="1">SQRT(AVERAGE(K1619:OFFSET(K1619,$B$5-1,0))*$B$9/(4*LN(2)))</f>
        <v>#DIV/0!</v>
      </c>
      <c r="M1619" s="3" t="e">
        <f ca="1">SQRT(AVERAGE(K1619:OFFSET(K1619,$B$6-1,0))*$B$9/(4*LN(2)))</f>
        <v>#DIV/0!</v>
      </c>
      <c r="N1619" s="3" t="e">
        <f ca="1">SQRT(AVERAGE(K1619:OFFSET(K1619,$B$7-1,0))*$B$9/(4*LN(2)))</f>
        <v>#DIV/0!</v>
      </c>
      <c r="O1619" s="3" t="e">
        <f ca="1">SQRT(AVERAGE(K1619:OFFSET(K1619,$B$8-1,0))*$B$9/(4*LN(2)))</f>
        <v>#DIV/0!</v>
      </c>
      <c r="Q1619" s="5" t="e">
        <f t="shared" si="133"/>
        <v>#DIV/0!</v>
      </c>
      <c r="R1619" s="5" t="e">
        <f ca="1">SQRT($B$9*AVERAGE((Q1619:OFFSET(Q1619,$B$5-1,0))))</f>
        <v>#DIV/0!</v>
      </c>
      <c r="S1619" s="5" t="e">
        <f ca="1">SQRT($B$9*AVERAGE((Q1619:OFFSET(Q1619,$B$6-1,0))))</f>
        <v>#DIV/0!</v>
      </c>
      <c r="T1619" s="5" t="e">
        <f ca="1">SQRT($B$9*AVERAGE((Q1619:OFFSET(Q1619,$B$7-1,0))))</f>
        <v>#DIV/0!</v>
      </c>
      <c r="U1619" s="5" t="e">
        <f ca="1">SQRT($B$9*AVERAGE((Q1619:OFFSET(Q1619,$B$8-1,0))))</f>
        <v>#DIV/0!</v>
      </c>
      <c r="W1619" s="6" t="e">
        <f t="shared" si="132"/>
        <v>#DIV/0!</v>
      </c>
      <c r="X1619" s="6" t="e">
        <f ca="1">SQRT($B$9*AVERAGE(W1619:OFFSET(W1619,$B$5-1,0)))</f>
        <v>#DIV/0!</v>
      </c>
      <c r="Y1619" s="6" t="e">
        <f ca="1">SQRT($B$9*AVERAGE(W1619:OFFSET(W1619,$B$6-1,0)))</f>
        <v>#DIV/0!</v>
      </c>
      <c r="Z1619" s="6" t="e">
        <f ca="1">SQRT($B$9*AVERAGE(W1619:OFFSET(W1619,$B$7-1,0)))</f>
        <v>#DIV/0!</v>
      </c>
      <c r="AA1619" s="6" t="e">
        <f ca="1">SQRT($B$9*AVERAGE(W1619:OFFSET(W1619,$B$8-1,0)))</f>
        <v>#DIV/0!</v>
      </c>
      <c r="AC1619" s="34" t="e">
        <f t="shared" si="135"/>
        <v>#DIV/0!</v>
      </c>
      <c r="AD1619" s="34" t="e">
        <f ca="1">SQRT($B$9*SUM(AC1619:OFFSET(AC1619,$B$5-1,0))/($B$5-1))</f>
        <v>#DIV/0!</v>
      </c>
      <c r="AE1619" s="34" t="e">
        <f ca="1">SQRT($B$9*SUM(AC1619:OFFSET(AC1619,$B$6-1,0))/($B$6-1))</f>
        <v>#DIV/0!</v>
      </c>
      <c r="AF1619" s="34" t="e">
        <f ca="1">SQRT($B$9*SUM(AC1619:OFFSET(AC1619,$B$7-1,0))/($B$7-1))</f>
        <v>#DIV/0!</v>
      </c>
      <c r="AG1619" s="34" t="e">
        <f ca="1">SQRT($B$9*SUM(AC1619:OFFSET(AC1619,$B$8-1,0))/($B$8-1))</f>
        <v>#DIV/0!</v>
      </c>
      <c r="AI1619" s="1" t="e">
        <f t="shared" ref="AI1619:AI1682" si="136">LN(I1619/I1620)</f>
        <v>#DIV/0!</v>
      </c>
      <c r="AJ1619" s="4" t="e">
        <f ca="1">SQRT($B$9)*_xlfn.STDEV.S(AI1619:OFFSET(AI1619,$B$5-1,0))</f>
        <v>#DIV/0!</v>
      </c>
      <c r="AK1619" s="4" t="e">
        <f ca="1">SQRT($B$9)*_xlfn.STDEV.S(AI1619:OFFSET(AI1619,$B$6-1,0))</f>
        <v>#DIV/0!</v>
      </c>
      <c r="AL1619" s="4" t="e">
        <f ca="1">SQRT($B$9)*_xlfn.STDEV.S(AI1619:OFFSET(AI1619,$B$7-1,0))</f>
        <v>#DIV/0!</v>
      </c>
      <c r="AM1619" s="4" t="e">
        <f ca="1">SQRT($B$9)*_xlfn.STDEV.S(AI1619:OFFSET(AI1619,$B$8-1,0))</f>
        <v>#DIV/0!</v>
      </c>
    </row>
    <row r="1620" spans="11:39" x14ac:dyDescent="0.2">
      <c r="K1620" s="3" t="e">
        <f t="shared" si="134"/>
        <v>#DIV/0!</v>
      </c>
      <c r="L1620" s="3" t="e">
        <f ca="1">SQRT(AVERAGE(K1620:OFFSET(K1620,$B$5-1,0))*$B$9/(4*LN(2)))</f>
        <v>#DIV/0!</v>
      </c>
      <c r="M1620" s="3" t="e">
        <f ca="1">SQRT(AVERAGE(K1620:OFFSET(K1620,$B$6-1,0))*$B$9/(4*LN(2)))</f>
        <v>#DIV/0!</v>
      </c>
      <c r="N1620" s="3" t="e">
        <f ca="1">SQRT(AVERAGE(K1620:OFFSET(K1620,$B$7-1,0))*$B$9/(4*LN(2)))</f>
        <v>#DIV/0!</v>
      </c>
      <c r="O1620" s="3" t="e">
        <f ca="1">SQRT(AVERAGE(K1620:OFFSET(K1620,$B$8-1,0))*$B$9/(4*LN(2)))</f>
        <v>#DIV/0!</v>
      </c>
      <c r="Q1620" s="5" t="e">
        <f t="shared" si="133"/>
        <v>#DIV/0!</v>
      </c>
      <c r="R1620" s="5" t="e">
        <f ca="1">SQRT($B$9*AVERAGE((Q1620:OFFSET(Q1620,$B$5-1,0))))</f>
        <v>#DIV/0!</v>
      </c>
      <c r="S1620" s="5" t="e">
        <f ca="1">SQRT($B$9*AVERAGE((Q1620:OFFSET(Q1620,$B$6-1,0))))</f>
        <v>#DIV/0!</v>
      </c>
      <c r="T1620" s="5" t="e">
        <f ca="1">SQRT($B$9*AVERAGE((Q1620:OFFSET(Q1620,$B$7-1,0))))</f>
        <v>#DIV/0!</v>
      </c>
      <c r="U1620" s="5" t="e">
        <f ca="1">SQRT($B$9*AVERAGE((Q1620:OFFSET(Q1620,$B$8-1,0))))</f>
        <v>#DIV/0!</v>
      </c>
      <c r="W1620" s="6" t="e">
        <f t="shared" si="132"/>
        <v>#DIV/0!</v>
      </c>
      <c r="X1620" s="6" t="e">
        <f ca="1">SQRT($B$9*AVERAGE(W1620:OFFSET(W1620,$B$5-1,0)))</f>
        <v>#DIV/0!</v>
      </c>
      <c r="Y1620" s="6" t="e">
        <f ca="1">SQRT($B$9*AVERAGE(W1620:OFFSET(W1620,$B$6-1,0)))</f>
        <v>#DIV/0!</v>
      </c>
      <c r="Z1620" s="6" t="e">
        <f ca="1">SQRT($B$9*AVERAGE(W1620:OFFSET(W1620,$B$7-1,0)))</f>
        <v>#DIV/0!</v>
      </c>
      <c r="AA1620" s="6" t="e">
        <f ca="1">SQRT($B$9*AVERAGE(W1620:OFFSET(W1620,$B$8-1,0)))</f>
        <v>#DIV/0!</v>
      </c>
      <c r="AC1620" s="34" t="e">
        <f t="shared" si="135"/>
        <v>#DIV/0!</v>
      </c>
      <c r="AD1620" s="34" t="e">
        <f ca="1">SQRT($B$9*SUM(AC1620:OFFSET(AC1620,$B$5-1,0))/($B$5-1))</f>
        <v>#DIV/0!</v>
      </c>
      <c r="AE1620" s="34" t="e">
        <f ca="1">SQRT($B$9*SUM(AC1620:OFFSET(AC1620,$B$6-1,0))/($B$6-1))</f>
        <v>#DIV/0!</v>
      </c>
      <c r="AF1620" s="34" t="e">
        <f ca="1">SQRT($B$9*SUM(AC1620:OFFSET(AC1620,$B$7-1,0))/($B$7-1))</f>
        <v>#DIV/0!</v>
      </c>
      <c r="AG1620" s="34" t="e">
        <f ca="1">SQRT($B$9*SUM(AC1620:OFFSET(AC1620,$B$8-1,0))/($B$8-1))</f>
        <v>#DIV/0!</v>
      </c>
      <c r="AI1620" s="1" t="e">
        <f t="shared" si="136"/>
        <v>#DIV/0!</v>
      </c>
      <c r="AJ1620" s="4" t="e">
        <f ca="1">SQRT($B$9)*_xlfn.STDEV.S(AI1620:OFFSET(AI1620,$B$5-1,0))</f>
        <v>#DIV/0!</v>
      </c>
      <c r="AK1620" s="4" t="e">
        <f ca="1">SQRT($B$9)*_xlfn.STDEV.S(AI1620:OFFSET(AI1620,$B$6-1,0))</f>
        <v>#DIV/0!</v>
      </c>
      <c r="AL1620" s="4" t="e">
        <f ca="1">SQRT($B$9)*_xlfn.STDEV.S(AI1620:OFFSET(AI1620,$B$7-1,0))</f>
        <v>#DIV/0!</v>
      </c>
      <c r="AM1620" s="4" t="e">
        <f ca="1">SQRT($B$9)*_xlfn.STDEV.S(AI1620:OFFSET(AI1620,$B$8-1,0))</f>
        <v>#DIV/0!</v>
      </c>
    </row>
    <row r="1621" spans="11:39" x14ac:dyDescent="0.2">
      <c r="K1621" s="3" t="e">
        <f t="shared" si="134"/>
        <v>#DIV/0!</v>
      </c>
      <c r="L1621" s="3" t="e">
        <f ca="1">SQRT(AVERAGE(K1621:OFFSET(K1621,$B$5-1,0))*$B$9/(4*LN(2)))</f>
        <v>#DIV/0!</v>
      </c>
      <c r="M1621" s="3" t="e">
        <f ca="1">SQRT(AVERAGE(K1621:OFFSET(K1621,$B$6-1,0))*$B$9/(4*LN(2)))</f>
        <v>#DIV/0!</v>
      </c>
      <c r="N1621" s="3" t="e">
        <f ca="1">SQRT(AVERAGE(K1621:OFFSET(K1621,$B$7-1,0))*$B$9/(4*LN(2)))</f>
        <v>#DIV/0!</v>
      </c>
      <c r="O1621" s="3" t="e">
        <f ca="1">SQRT(AVERAGE(K1621:OFFSET(K1621,$B$8-1,0))*$B$9/(4*LN(2)))</f>
        <v>#DIV/0!</v>
      </c>
      <c r="Q1621" s="5" t="e">
        <f t="shared" si="133"/>
        <v>#DIV/0!</v>
      </c>
      <c r="R1621" s="5" t="e">
        <f ca="1">SQRT($B$9*AVERAGE((Q1621:OFFSET(Q1621,$B$5-1,0))))</f>
        <v>#DIV/0!</v>
      </c>
      <c r="S1621" s="5" t="e">
        <f ca="1">SQRT($B$9*AVERAGE((Q1621:OFFSET(Q1621,$B$6-1,0))))</f>
        <v>#DIV/0!</v>
      </c>
      <c r="T1621" s="5" t="e">
        <f ca="1">SQRT($B$9*AVERAGE((Q1621:OFFSET(Q1621,$B$7-1,0))))</f>
        <v>#DIV/0!</v>
      </c>
      <c r="U1621" s="5" t="e">
        <f ca="1">SQRT($B$9*AVERAGE((Q1621:OFFSET(Q1621,$B$8-1,0))))</f>
        <v>#DIV/0!</v>
      </c>
      <c r="W1621" s="6" t="e">
        <f t="shared" si="132"/>
        <v>#DIV/0!</v>
      </c>
      <c r="X1621" s="6" t="e">
        <f ca="1">SQRT($B$9*AVERAGE(W1621:OFFSET(W1621,$B$5-1,0)))</f>
        <v>#DIV/0!</v>
      </c>
      <c r="Y1621" s="6" t="e">
        <f ca="1">SQRT($B$9*AVERAGE(W1621:OFFSET(W1621,$B$6-1,0)))</f>
        <v>#DIV/0!</v>
      </c>
      <c r="Z1621" s="6" t="e">
        <f ca="1">SQRT($B$9*AVERAGE(W1621:OFFSET(W1621,$B$7-1,0)))</f>
        <v>#DIV/0!</v>
      </c>
      <c r="AA1621" s="6" t="e">
        <f ca="1">SQRT($B$9*AVERAGE(W1621:OFFSET(W1621,$B$8-1,0)))</f>
        <v>#DIV/0!</v>
      </c>
      <c r="AC1621" s="34" t="e">
        <f t="shared" si="135"/>
        <v>#DIV/0!</v>
      </c>
      <c r="AD1621" s="34" t="e">
        <f ca="1">SQRT($B$9*SUM(AC1621:OFFSET(AC1621,$B$5-1,0))/($B$5-1))</f>
        <v>#DIV/0!</v>
      </c>
      <c r="AE1621" s="34" t="e">
        <f ca="1">SQRT($B$9*SUM(AC1621:OFFSET(AC1621,$B$6-1,0))/($B$6-1))</f>
        <v>#DIV/0!</v>
      </c>
      <c r="AF1621" s="34" t="e">
        <f ca="1">SQRT($B$9*SUM(AC1621:OFFSET(AC1621,$B$7-1,0))/($B$7-1))</f>
        <v>#DIV/0!</v>
      </c>
      <c r="AG1621" s="34" t="e">
        <f ca="1">SQRT($B$9*SUM(AC1621:OFFSET(AC1621,$B$8-1,0))/($B$8-1))</f>
        <v>#DIV/0!</v>
      </c>
      <c r="AI1621" s="1" t="e">
        <f t="shared" si="136"/>
        <v>#DIV/0!</v>
      </c>
      <c r="AJ1621" s="4" t="e">
        <f ca="1">SQRT($B$9)*_xlfn.STDEV.S(AI1621:OFFSET(AI1621,$B$5-1,0))</f>
        <v>#DIV/0!</v>
      </c>
      <c r="AK1621" s="4" t="e">
        <f ca="1">SQRT($B$9)*_xlfn.STDEV.S(AI1621:OFFSET(AI1621,$B$6-1,0))</f>
        <v>#DIV/0!</v>
      </c>
      <c r="AL1621" s="4" t="e">
        <f ca="1">SQRT($B$9)*_xlfn.STDEV.S(AI1621:OFFSET(AI1621,$B$7-1,0))</f>
        <v>#DIV/0!</v>
      </c>
      <c r="AM1621" s="4" t="e">
        <f ca="1">SQRT($B$9)*_xlfn.STDEV.S(AI1621:OFFSET(AI1621,$B$8-1,0))</f>
        <v>#DIV/0!</v>
      </c>
    </row>
    <row r="1622" spans="11:39" x14ac:dyDescent="0.2">
      <c r="K1622" s="3" t="e">
        <f t="shared" si="134"/>
        <v>#DIV/0!</v>
      </c>
      <c r="L1622" s="3" t="e">
        <f ca="1">SQRT(AVERAGE(K1622:OFFSET(K1622,$B$5-1,0))*$B$9/(4*LN(2)))</f>
        <v>#DIV/0!</v>
      </c>
      <c r="M1622" s="3" t="e">
        <f ca="1">SQRT(AVERAGE(K1622:OFFSET(K1622,$B$6-1,0))*$B$9/(4*LN(2)))</f>
        <v>#DIV/0!</v>
      </c>
      <c r="N1622" s="3" t="e">
        <f ca="1">SQRT(AVERAGE(K1622:OFFSET(K1622,$B$7-1,0))*$B$9/(4*LN(2)))</f>
        <v>#DIV/0!</v>
      </c>
      <c r="O1622" s="3" t="e">
        <f ca="1">SQRT(AVERAGE(K1622:OFFSET(K1622,$B$8-1,0))*$B$9/(4*LN(2)))</f>
        <v>#DIV/0!</v>
      </c>
      <c r="Q1622" s="5" t="e">
        <f t="shared" si="133"/>
        <v>#DIV/0!</v>
      </c>
      <c r="R1622" s="5" t="e">
        <f ca="1">SQRT($B$9*AVERAGE((Q1622:OFFSET(Q1622,$B$5-1,0))))</f>
        <v>#DIV/0!</v>
      </c>
      <c r="S1622" s="5" t="e">
        <f ca="1">SQRT($B$9*AVERAGE((Q1622:OFFSET(Q1622,$B$6-1,0))))</f>
        <v>#DIV/0!</v>
      </c>
      <c r="T1622" s="5" t="e">
        <f ca="1">SQRT($B$9*AVERAGE((Q1622:OFFSET(Q1622,$B$7-1,0))))</f>
        <v>#DIV/0!</v>
      </c>
      <c r="U1622" s="5" t="e">
        <f ca="1">SQRT($B$9*AVERAGE((Q1622:OFFSET(Q1622,$B$8-1,0))))</f>
        <v>#DIV/0!</v>
      </c>
      <c r="W1622" s="6" t="e">
        <f t="shared" si="132"/>
        <v>#DIV/0!</v>
      </c>
      <c r="X1622" s="6" t="e">
        <f ca="1">SQRT($B$9*AVERAGE(W1622:OFFSET(W1622,$B$5-1,0)))</f>
        <v>#DIV/0!</v>
      </c>
      <c r="Y1622" s="6" t="e">
        <f ca="1">SQRT($B$9*AVERAGE(W1622:OFFSET(W1622,$B$6-1,0)))</f>
        <v>#DIV/0!</v>
      </c>
      <c r="Z1622" s="6" t="e">
        <f ca="1">SQRT($B$9*AVERAGE(W1622:OFFSET(W1622,$B$7-1,0)))</f>
        <v>#DIV/0!</v>
      </c>
      <c r="AA1622" s="6" t="e">
        <f ca="1">SQRT($B$9*AVERAGE(W1622:OFFSET(W1622,$B$8-1,0)))</f>
        <v>#DIV/0!</v>
      </c>
      <c r="AC1622" s="34" t="e">
        <f t="shared" si="135"/>
        <v>#DIV/0!</v>
      </c>
      <c r="AD1622" s="34" t="e">
        <f ca="1">SQRT($B$9*SUM(AC1622:OFFSET(AC1622,$B$5-1,0))/($B$5-1))</f>
        <v>#DIV/0!</v>
      </c>
      <c r="AE1622" s="34" t="e">
        <f ca="1">SQRT($B$9*SUM(AC1622:OFFSET(AC1622,$B$6-1,0))/($B$6-1))</f>
        <v>#DIV/0!</v>
      </c>
      <c r="AF1622" s="34" t="e">
        <f ca="1">SQRT($B$9*SUM(AC1622:OFFSET(AC1622,$B$7-1,0))/($B$7-1))</f>
        <v>#DIV/0!</v>
      </c>
      <c r="AG1622" s="34" t="e">
        <f ca="1">SQRT($B$9*SUM(AC1622:OFFSET(AC1622,$B$8-1,0))/($B$8-1))</f>
        <v>#DIV/0!</v>
      </c>
      <c r="AI1622" s="1" t="e">
        <f t="shared" si="136"/>
        <v>#DIV/0!</v>
      </c>
      <c r="AJ1622" s="4" t="e">
        <f ca="1">SQRT($B$9)*_xlfn.STDEV.S(AI1622:OFFSET(AI1622,$B$5-1,0))</f>
        <v>#DIV/0!</v>
      </c>
      <c r="AK1622" s="4" t="e">
        <f ca="1">SQRT($B$9)*_xlfn.STDEV.S(AI1622:OFFSET(AI1622,$B$6-1,0))</f>
        <v>#DIV/0!</v>
      </c>
      <c r="AL1622" s="4" t="e">
        <f ca="1">SQRT($B$9)*_xlfn.STDEV.S(AI1622:OFFSET(AI1622,$B$7-1,0))</f>
        <v>#DIV/0!</v>
      </c>
      <c r="AM1622" s="4" t="e">
        <f ca="1">SQRT($B$9)*_xlfn.STDEV.S(AI1622:OFFSET(AI1622,$B$8-1,0))</f>
        <v>#DIV/0!</v>
      </c>
    </row>
    <row r="1623" spans="11:39" x14ac:dyDescent="0.2">
      <c r="K1623" s="3" t="e">
        <f t="shared" si="134"/>
        <v>#DIV/0!</v>
      </c>
      <c r="L1623" s="3" t="e">
        <f ca="1">SQRT(AVERAGE(K1623:OFFSET(K1623,$B$5-1,0))*$B$9/(4*LN(2)))</f>
        <v>#DIV/0!</v>
      </c>
      <c r="M1623" s="3" t="e">
        <f ca="1">SQRT(AVERAGE(K1623:OFFSET(K1623,$B$6-1,0))*$B$9/(4*LN(2)))</f>
        <v>#DIV/0!</v>
      </c>
      <c r="N1623" s="3" t="e">
        <f ca="1">SQRT(AVERAGE(K1623:OFFSET(K1623,$B$7-1,0))*$B$9/(4*LN(2)))</f>
        <v>#DIV/0!</v>
      </c>
      <c r="O1623" s="3" t="e">
        <f ca="1">SQRT(AVERAGE(K1623:OFFSET(K1623,$B$8-1,0))*$B$9/(4*LN(2)))</f>
        <v>#DIV/0!</v>
      </c>
      <c r="Q1623" s="5" t="e">
        <f t="shared" si="133"/>
        <v>#DIV/0!</v>
      </c>
      <c r="R1623" s="5" t="e">
        <f ca="1">SQRT($B$9*AVERAGE((Q1623:OFFSET(Q1623,$B$5-1,0))))</f>
        <v>#DIV/0!</v>
      </c>
      <c r="S1623" s="5" t="e">
        <f ca="1">SQRT($B$9*AVERAGE((Q1623:OFFSET(Q1623,$B$6-1,0))))</f>
        <v>#DIV/0!</v>
      </c>
      <c r="T1623" s="5" t="e">
        <f ca="1">SQRT($B$9*AVERAGE((Q1623:OFFSET(Q1623,$B$7-1,0))))</f>
        <v>#DIV/0!</v>
      </c>
      <c r="U1623" s="5" t="e">
        <f ca="1">SQRT($B$9*AVERAGE((Q1623:OFFSET(Q1623,$B$8-1,0))))</f>
        <v>#DIV/0!</v>
      </c>
      <c r="W1623" s="6" t="e">
        <f t="shared" si="132"/>
        <v>#DIV/0!</v>
      </c>
      <c r="X1623" s="6" t="e">
        <f ca="1">SQRT($B$9*AVERAGE(W1623:OFFSET(W1623,$B$5-1,0)))</f>
        <v>#DIV/0!</v>
      </c>
      <c r="Y1623" s="6" t="e">
        <f ca="1">SQRT($B$9*AVERAGE(W1623:OFFSET(W1623,$B$6-1,0)))</f>
        <v>#DIV/0!</v>
      </c>
      <c r="Z1623" s="6" t="e">
        <f ca="1">SQRT($B$9*AVERAGE(W1623:OFFSET(W1623,$B$7-1,0)))</f>
        <v>#DIV/0!</v>
      </c>
      <c r="AA1623" s="6" t="e">
        <f ca="1">SQRT($B$9*AVERAGE(W1623:OFFSET(W1623,$B$8-1,0)))</f>
        <v>#DIV/0!</v>
      </c>
      <c r="AC1623" s="34" t="e">
        <f t="shared" si="135"/>
        <v>#DIV/0!</v>
      </c>
      <c r="AD1623" s="34" t="e">
        <f ca="1">SQRT($B$9*SUM(AC1623:OFFSET(AC1623,$B$5-1,0))/($B$5-1))</f>
        <v>#DIV/0!</v>
      </c>
      <c r="AE1623" s="34" t="e">
        <f ca="1">SQRT($B$9*SUM(AC1623:OFFSET(AC1623,$B$6-1,0))/($B$6-1))</f>
        <v>#DIV/0!</v>
      </c>
      <c r="AF1623" s="34" t="e">
        <f ca="1">SQRT($B$9*SUM(AC1623:OFFSET(AC1623,$B$7-1,0))/($B$7-1))</f>
        <v>#DIV/0!</v>
      </c>
      <c r="AG1623" s="34" t="e">
        <f ca="1">SQRT($B$9*SUM(AC1623:OFFSET(AC1623,$B$8-1,0))/($B$8-1))</f>
        <v>#DIV/0!</v>
      </c>
      <c r="AI1623" s="1" t="e">
        <f t="shared" si="136"/>
        <v>#DIV/0!</v>
      </c>
      <c r="AJ1623" s="4" t="e">
        <f ca="1">SQRT($B$9)*_xlfn.STDEV.S(AI1623:OFFSET(AI1623,$B$5-1,0))</f>
        <v>#DIV/0!</v>
      </c>
      <c r="AK1623" s="4" t="e">
        <f ca="1">SQRT($B$9)*_xlfn.STDEV.S(AI1623:OFFSET(AI1623,$B$6-1,0))</f>
        <v>#DIV/0!</v>
      </c>
      <c r="AL1623" s="4" t="e">
        <f ca="1">SQRT($B$9)*_xlfn.STDEV.S(AI1623:OFFSET(AI1623,$B$7-1,0))</f>
        <v>#DIV/0!</v>
      </c>
      <c r="AM1623" s="4" t="e">
        <f ca="1">SQRT($B$9)*_xlfn.STDEV.S(AI1623:OFFSET(AI1623,$B$8-1,0))</f>
        <v>#DIV/0!</v>
      </c>
    </row>
    <row r="1624" spans="11:39" x14ac:dyDescent="0.2">
      <c r="K1624" s="3" t="e">
        <f t="shared" si="134"/>
        <v>#DIV/0!</v>
      </c>
      <c r="L1624" s="3" t="e">
        <f ca="1">SQRT(AVERAGE(K1624:OFFSET(K1624,$B$5-1,0))*$B$9/(4*LN(2)))</f>
        <v>#DIV/0!</v>
      </c>
      <c r="M1624" s="3" t="e">
        <f ca="1">SQRT(AVERAGE(K1624:OFFSET(K1624,$B$6-1,0))*$B$9/(4*LN(2)))</f>
        <v>#DIV/0!</v>
      </c>
      <c r="N1624" s="3" t="e">
        <f ca="1">SQRT(AVERAGE(K1624:OFFSET(K1624,$B$7-1,0))*$B$9/(4*LN(2)))</f>
        <v>#DIV/0!</v>
      </c>
      <c r="O1624" s="3" t="e">
        <f ca="1">SQRT(AVERAGE(K1624:OFFSET(K1624,$B$8-1,0))*$B$9/(4*LN(2)))</f>
        <v>#DIV/0!</v>
      </c>
      <c r="Q1624" s="5" t="e">
        <f t="shared" si="133"/>
        <v>#DIV/0!</v>
      </c>
      <c r="R1624" s="5" t="e">
        <f ca="1">SQRT($B$9*AVERAGE((Q1624:OFFSET(Q1624,$B$5-1,0))))</f>
        <v>#DIV/0!</v>
      </c>
      <c r="S1624" s="5" t="e">
        <f ca="1">SQRT($B$9*AVERAGE((Q1624:OFFSET(Q1624,$B$6-1,0))))</f>
        <v>#DIV/0!</v>
      </c>
      <c r="T1624" s="5" t="e">
        <f ca="1">SQRT($B$9*AVERAGE((Q1624:OFFSET(Q1624,$B$7-1,0))))</f>
        <v>#DIV/0!</v>
      </c>
      <c r="U1624" s="5" t="e">
        <f ca="1">SQRT($B$9*AVERAGE((Q1624:OFFSET(Q1624,$B$8-1,0))))</f>
        <v>#DIV/0!</v>
      </c>
      <c r="W1624" s="6" t="e">
        <f t="shared" si="132"/>
        <v>#DIV/0!</v>
      </c>
      <c r="X1624" s="6" t="e">
        <f ca="1">SQRT($B$9*AVERAGE(W1624:OFFSET(W1624,$B$5-1,0)))</f>
        <v>#DIV/0!</v>
      </c>
      <c r="Y1624" s="6" t="e">
        <f ca="1">SQRT($B$9*AVERAGE(W1624:OFFSET(W1624,$B$6-1,0)))</f>
        <v>#DIV/0!</v>
      </c>
      <c r="Z1624" s="6" t="e">
        <f ca="1">SQRT($B$9*AVERAGE(W1624:OFFSET(W1624,$B$7-1,0)))</f>
        <v>#DIV/0!</v>
      </c>
      <c r="AA1624" s="6" t="e">
        <f ca="1">SQRT($B$9*AVERAGE(W1624:OFFSET(W1624,$B$8-1,0)))</f>
        <v>#DIV/0!</v>
      </c>
      <c r="AC1624" s="34" t="e">
        <f t="shared" si="135"/>
        <v>#DIV/0!</v>
      </c>
      <c r="AD1624" s="34" t="e">
        <f ca="1">SQRT($B$9*SUM(AC1624:OFFSET(AC1624,$B$5-1,0))/($B$5-1))</f>
        <v>#DIV/0!</v>
      </c>
      <c r="AE1624" s="34" t="e">
        <f ca="1">SQRT($B$9*SUM(AC1624:OFFSET(AC1624,$B$6-1,0))/($B$6-1))</f>
        <v>#DIV/0!</v>
      </c>
      <c r="AF1624" s="34" t="e">
        <f ca="1">SQRT($B$9*SUM(AC1624:OFFSET(AC1624,$B$7-1,0))/($B$7-1))</f>
        <v>#DIV/0!</v>
      </c>
      <c r="AG1624" s="34" t="e">
        <f ca="1">SQRT($B$9*SUM(AC1624:OFFSET(AC1624,$B$8-1,0))/($B$8-1))</f>
        <v>#DIV/0!</v>
      </c>
      <c r="AI1624" s="1" t="e">
        <f t="shared" si="136"/>
        <v>#DIV/0!</v>
      </c>
      <c r="AJ1624" s="4" t="e">
        <f ca="1">SQRT($B$9)*_xlfn.STDEV.S(AI1624:OFFSET(AI1624,$B$5-1,0))</f>
        <v>#DIV/0!</v>
      </c>
      <c r="AK1624" s="4" t="e">
        <f ca="1">SQRT($B$9)*_xlfn.STDEV.S(AI1624:OFFSET(AI1624,$B$6-1,0))</f>
        <v>#DIV/0!</v>
      </c>
      <c r="AL1624" s="4" t="e">
        <f ca="1">SQRT($B$9)*_xlfn.STDEV.S(AI1624:OFFSET(AI1624,$B$7-1,0))</f>
        <v>#DIV/0!</v>
      </c>
      <c r="AM1624" s="4" t="e">
        <f ca="1">SQRT($B$9)*_xlfn.STDEV.S(AI1624:OFFSET(AI1624,$B$8-1,0))</f>
        <v>#DIV/0!</v>
      </c>
    </row>
    <row r="1625" spans="11:39" x14ac:dyDescent="0.2">
      <c r="K1625" s="3" t="e">
        <f t="shared" si="134"/>
        <v>#DIV/0!</v>
      </c>
      <c r="L1625" s="3" t="e">
        <f ca="1">SQRT(AVERAGE(K1625:OFFSET(K1625,$B$5-1,0))*$B$9/(4*LN(2)))</f>
        <v>#DIV/0!</v>
      </c>
      <c r="M1625" s="3" t="e">
        <f ca="1">SQRT(AVERAGE(K1625:OFFSET(K1625,$B$6-1,0))*$B$9/(4*LN(2)))</f>
        <v>#DIV/0!</v>
      </c>
      <c r="N1625" s="3" t="e">
        <f ca="1">SQRT(AVERAGE(K1625:OFFSET(K1625,$B$7-1,0))*$B$9/(4*LN(2)))</f>
        <v>#DIV/0!</v>
      </c>
      <c r="O1625" s="3" t="e">
        <f ca="1">SQRT(AVERAGE(K1625:OFFSET(K1625,$B$8-1,0))*$B$9/(4*LN(2)))</f>
        <v>#DIV/0!</v>
      </c>
      <c r="Q1625" s="5" t="e">
        <f t="shared" si="133"/>
        <v>#DIV/0!</v>
      </c>
      <c r="R1625" s="5" t="e">
        <f ca="1">SQRT($B$9*AVERAGE((Q1625:OFFSET(Q1625,$B$5-1,0))))</f>
        <v>#DIV/0!</v>
      </c>
      <c r="S1625" s="5" t="e">
        <f ca="1">SQRT($B$9*AVERAGE((Q1625:OFFSET(Q1625,$B$6-1,0))))</f>
        <v>#DIV/0!</v>
      </c>
      <c r="T1625" s="5" t="e">
        <f ca="1">SQRT($B$9*AVERAGE((Q1625:OFFSET(Q1625,$B$7-1,0))))</f>
        <v>#DIV/0!</v>
      </c>
      <c r="U1625" s="5" t="e">
        <f ca="1">SQRT($B$9*AVERAGE((Q1625:OFFSET(Q1625,$B$8-1,0))))</f>
        <v>#DIV/0!</v>
      </c>
      <c r="W1625" s="6" t="e">
        <f t="shared" si="132"/>
        <v>#DIV/0!</v>
      </c>
      <c r="X1625" s="6" t="e">
        <f ca="1">SQRT($B$9*AVERAGE(W1625:OFFSET(W1625,$B$5-1,0)))</f>
        <v>#DIV/0!</v>
      </c>
      <c r="Y1625" s="6" t="e">
        <f ca="1">SQRT($B$9*AVERAGE(W1625:OFFSET(W1625,$B$6-1,0)))</f>
        <v>#DIV/0!</v>
      </c>
      <c r="Z1625" s="6" t="e">
        <f ca="1">SQRT($B$9*AVERAGE(W1625:OFFSET(W1625,$B$7-1,0)))</f>
        <v>#DIV/0!</v>
      </c>
      <c r="AA1625" s="6" t="e">
        <f ca="1">SQRT($B$9*AVERAGE(W1625:OFFSET(W1625,$B$8-1,0)))</f>
        <v>#DIV/0!</v>
      </c>
      <c r="AC1625" s="34" t="e">
        <f t="shared" si="135"/>
        <v>#DIV/0!</v>
      </c>
      <c r="AD1625" s="34" t="e">
        <f ca="1">SQRT($B$9*SUM(AC1625:OFFSET(AC1625,$B$5-1,0))/($B$5-1))</f>
        <v>#DIV/0!</v>
      </c>
      <c r="AE1625" s="34" t="e">
        <f ca="1">SQRT($B$9*SUM(AC1625:OFFSET(AC1625,$B$6-1,0))/($B$6-1))</f>
        <v>#DIV/0!</v>
      </c>
      <c r="AF1625" s="34" t="e">
        <f ca="1">SQRT($B$9*SUM(AC1625:OFFSET(AC1625,$B$7-1,0))/($B$7-1))</f>
        <v>#DIV/0!</v>
      </c>
      <c r="AG1625" s="34" t="e">
        <f ca="1">SQRT($B$9*SUM(AC1625:OFFSET(AC1625,$B$8-1,0))/($B$8-1))</f>
        <v>#DIV/0!</v>
      </c>
      <c r="AI1625" s="1" t="e">
        <f t="shared" si="136"/>
        <v>#DIV/0!</v>
      </c>
      <c r="AJ1625" s="4" t="e">
        <f ca="1">SQRT($B$9)*_xlfn.STDEV.S(AI1625:OFFSET(AI1625,$B$5-1,0))</f>
        <v>#DIV/0!</v>
      </c>
      <c r="AK1625" s="4" t="e">
        <f ca="1">SQRT($B$9)*_xlfn.STDEV.S(AI1625:OFFSET(AI1625,$B$6-1,0))</f>
        <v>#DIV/0!</v>
      </c>
      <c r="AL1625" s="4" t="e">
        <f ca="1">SQRT($B$9)*_xlfn.STDEV.S(AI1625:OFFSET(AI1625,$B$7-1,0))</f>
        <v>#DIV/0!</v>
      </c>
      <c r="AM1625" s="4" t="e">
        <f ca="1">SQRT($B$9)*_xlfn.STDEV.S(AI1625:OFFSET(AI1625,$B$8-1,0))</f>
        <v>#DIV/0!</v>
      </c>
    </row>
    <row r="1626" spans="11:39" x14ac:dyDescent="0.2">
      <c r="K1626" s="3" t="e">
        <f t="shared" si="134"/>
        <v>#DIV/0!</v>
      </c>
      <c r="L1626" s="3" t="e">
        <f ca="1">SQRT(AVERAGE(K1626:OFFSET(K1626,$B$5-1,0))*$B$9/(4*LN(2)))</f>
        <v>#DIV/0!</v>
      </c>
      <c r="M1626" s="3" t="e">
        <f ca="1">SQRT(AVERAGE(K1626:OFFSET(K1626,$B$6-1,0))*$B$9/(4*LN(2)))</f>
        <v>#DIV/0!</v>
      </c>
      <c r="N1626" s="3" t="e">
        <f ca="1">SQRT(AVERAGE(K1626:OFFSET(K1626,$B$7-1,0))*$B$9/(4*LN(2)))</f>
        <v>#DIV/0!</v>
      </c>
      <c r="O1626" s="3" t="e">
        <f ca="1">SQRT(AVERAGE(K1626:OFFSET(K1626,$B$8-1,0))*$B$9/(4*LN(2)))</f>
        <v>#DIV/0!</v>
      </c>
      <c r="Q1626" s="5" t="e">
        <f t="shared" si="133"/>
        <v>#DIV/0!</v>
      </c>
      <c r="R1626" s="5" t="e">
        <f ca="1">SQRT($B$9*AVERAGE((Q1626:OFFSET(Q1626,$B$5-1,0))))</f>
        <v>#DIV/0!</v>
      </c>
      <c r="S1626" s="5" t="e">
        <f ca="1">SQRT($B$9*AVERAGE((Q1626:OFFSET(Q1626,$B$6-1,0))))</f>
        <v>#DIV/0!</v>
      </c>
      <c r="T1626" s="5" t="e">
        <f ca="1">SQRT($B$9*AVERAGE((Q1626:OFFSET(Q1626,$B$7-1,0))))</f>
        <v>#DIV/0!</v>
      </c>
      <c r="U1626" s="5" t="e">
        <f ca="1">SQRT($B$9*AVERAGE((Q1626:OFFSET(Q1626,$B$8-1,0))))</f>
        <v>#DIV/0!</v>
      </c>
      <c r="W1626" s="6" t="e">
        <f t="shared" si="132"/>
        <v>#DIV/0!</v>
      </c>
      <c r="X1626" s="6" t="e">
        <f ca="1">SQRT($B$9*AVERAGE(W1626:OFFSET(W1626,$B$5-1,0)))</f>
        <v>#DIV/0!</v>
      </c>
      <c r="Y1626" s="6" t="e">
        <f ca="1">SQRT($B$9*AVERAGE(W1626:OFFSET(W1626,$B$6-1,0)))</f>
        <v>#DIV/0!</v>
      </c>
      <c r="Z1626" s="6" t="e">
        <f ca="1">SQRT($B$9*AVERAGE(W1626:OFFSET(W1626,$B$7-1,0)))</f>
        <v>#DIV/0!</v>
      </c>
      <c r="AA1626" s="6" t="e">
        <f ca="1">SQRT($B$9*AVERAGE(W1626:OFFSET(W1626,$B$8-1,0)))</f>
        <v>#DIV/0!</v>
      </c>
      <c r="AC1626" s="34" t="e">
        <f t="shared" si="135"/>
        <v>#DIV/0!</v>
      </c>
      <c r="AD1626" s="34" t="e">
        <f ca="1">SQRT($B$9*SUM(AC1626:OFFSET(AC1626,$B$5-1,0))/($B$5-1))</f>
        <v>#DIV/0!</v>
      </c>
      <c r="AE1626" s="34" t="e">
        <f ca="1">SQRT($B$9*SUM(AC1626:OFFSET(AC1626,$B$6-1,0))/($B$6-1))</f>
        <v>#DIV/0!</v>
      </c>
      <c r="AF1626" s="34" t="e">
        <f ca="1">SQRT($B$9*SUM(AC1626:OFFSET(AC1626,$B$7-1,0))/($B$7-1))</f>
        <v>#DIV/0!</v>
      </c>
      <c r="AG1626" s="34" t="e">
        <f ca="1">SQRT($B$9*SUM(AC1626:OFFSET(AC1626,$B$8-1,0))/($B$8-1))</f>
        <v>#DIV/0!</v>
      </c>
      <c r="AI1626" s="1" t="e">
        <f t="shared" si="136"/>
        <v>#DIV/0!</v>
      </c>
      <c r="AJ1626" s="4" t="e">
        <f ca="1">SQRT($B$9)*_xlfn.STDEV.S(AI1626:OFFSET(AI1626,$B$5-1,0))</f>
        <v>#DIV/0!</v>
      </c>
      <c r="AK1626" s="4" t="e">
        <f ca="1">SQRT($B$9)*_xlfn.STDEV.S(AI1626:OFFSET(AI1626,$B$6-1,0))</f>
        <v>#DIV/0!</v>
      </c>
      <c r="AL1626" s="4" t="e">
        <f ca="1">SQRT($B$9)*_xlfn.STDEV.S(AI1626:OFFSET(AI1626,$B$7-1,0))</f>
        <v>#DIV/0!</v>
      </c>
      <c r="AM1626" s="4" t="e">
        <f ca="1">SQRT($B$9)*_xlfn.STDEV.S(AI1626:OFFSET(AI1626,$B$8-1,0))</f>
        <v>#DIV/0!</v>
      </c>
    </row>
    <row r="1627" spans="11:39" x14ac:dyDescent="0.2">
      <c r="K1627" s="3" t="e">
        <f t="shared" si="134"/>
        <v>#DIV/0!</v>
      </c>
      <c r="L1627" s="3" t="e">
        <f ca="1">SQRT(AVERAGE(K1627:OFFSET(K1627,$B$5-1,0))*$B$9/(4*LN(2)))</f>
        <v>#DIV/0!</v>
      </c>
      <c r="M1627" s="3" t="e">
        <f ca="1">SQRT(AVERAGE(K1627:OFFSET(K1627,$B$6-1,0))*$B$9/(4*LN(2)))</f>
        <v>#DIV/0!</v>
      </c>
      <c r="N1627" s="3" t="e">
        <f ca="1">SQRT(AVERAGE(K1627:OFFSET(K1627,$B$7-1,0))*$B$9/(4*LN(2)))</f>
        <v>#DIV/0!</v>
      </c>
      <c r="O1627" s="3" t="e">
        <f ca="1">SQRT(AVERAGE(K1627:OFFSET(K1627,$B$8-1,0))*$B$9/(4*LN(2)))</f>
        <v>#DIV/0!</v>
      </c>
      <c r="Q1627" s="5" t="e">
        <f t="shared" si="133"/>
        <v>#DIV/0!</v>
      </c>
      <c r="R1627" s="5" t="e">
        <f ca="1">SQRT($B$9*AVERAGE((Q1627:OFFSET(Q1627,$B$5-1,0))))</f>
        <v>#DIV/0!</v>
      </c>
      <c r="S1627" s="5" t="e">
        <f ca="1">SQRT($B$9*AVERAGE((Q1627:OFFSET(Q1627,$B$6-1,0))))</f>
        <v>#DIV/0!</v>
      </c>
      <c r="T1627" s="5" t="e">
        <f ca="1">SQRT($B$9*AVERAGE((Q1627:OFFSET(Q1627,$B$7-1,0))))</f>
        <v>#DIV/0!</v>
      </c>
      <c r="U1627" s="5" t="e">
        <f ca="1">SQRT($B$9*AVERAGE((Q1627:OFFSET(Q1627,$B$8-1,0))))</f>
        <v>#DIV/0!</v>
      </c>
      <c r="W1627" s="6" t="e">
        <f t="shared" si="132"/>
        <v>#DIV/0!</v>
      </c>
      <c r="X1627" s="6" t="e">
        <f ca="1">SQRT($B$9*AVERAGE(W1627:OFFSET(W1627,$B$5-1,0)))</f>
        <v>#DIV/0!</v>
      </c>
      <c r="Y1627" s="6" t="e">
        <f ca="1">SQRT($B$9*AVERAGE(W1627:OFFSET(W1627,$B$6-1,0)))</f>
        <v>#DIV/0!</v>
      </c>
      <c r="Z1627" s="6" t="e">
        <f ca="1">SQRT($B$9*AVERAGE(W1627:OFFSET(W1627,$B$7-1,0)))</f>
        <v>#DIV/0!</v>
      </c>
      <c r="AA1627" s="6" t="e">
        <f ca="1">SQRT($B$9*AVERAGE(W1627:OFFSET(W1627,$B$8-1,0)))</f>
        <v>#DIV/0!</v>
      </c>
      <c r="AC1627" s="34" t="e">
        <f t="shared" si="135"/>
        <v>#DIV/0!</v>
      </c>
      <c r="AD1627" s="34" t="e">
        <f ca="1">SQRT($B$9*SUM(AC1627:OFFSET(AC1627,$B$5-1,0))/($B$5-1))</f>
        <v>#DIV/0!</v>
      </c>
      <c r="AE1627" s="34" t="e">
        <f ca="1">SQRT($B$9*SUM(AC1627:OFFSET(AC1627,$B$6-1,0))/($B$6-1))</f>
        <v>#DIV/0!</v>
      </c>
      <c r="AF1627" s="34" t="e">
        <f ca="1">SQRT($B$9*SUM(AC1627:OFFSET(AC1627,$B$7-1,0))/($B$7-1))</f>
        <v>#DIV/0!</v>
      </c>
      <c r="AG1627" s="34" t="e">
        <f ca="1">SQRT($B$9*SUM(AC1627:OFFSET(AC1627,$B$8-1,0))/($B$8-1))</f>
        <v>#DIV/0!</v>
      </c>
      <c r="AI1627" s="1" t="e">
        <f t="shared" si="136"/>
        <v>#DIV/0!</v>
      </c>
      <c r="AJ1627" s="4" t="e">
        <f ca="1">SQRT($B$9)*_xlfn.STDEV.S(AI1627:OFFSET(AI1627,$B$5-1,0))</f>
        <v>#DIV/0!</v>
      </c>
      <c r="AK1627" s="4" t="e">
        <f ca="1">SQRT($B$9)*_xlfn.STDEV.S(AI1627:OFFSET(AI1627,$B$6-1,0))</f>
        <v>#DIV/0!</v>
      </c>
      <c r="AL1627" s="4" t="e">
        <f ca="1">SQRT($B$9)*_xlfn.STDEV.S(AI1627:OFFSET(AI1627,$B$7-1,0))</f>
        <v>#DIV/0!</v>
      </c>
      <c r="AM1627" s="4" t="e">
        <f ca="1">SQRT($B$9)*_xlfn.STDEV.S(AI1627:OFFSET(AI1627,$B$8-1,0))</f>
        <v>#DIV/0!</v>
      </c>
    </row>
    <row r="1628" spans="11:39" x14ac:dyDescent="0.2">
      <c r="K1628" s="3" t="e">
        <f t="shared" si="134"/>
        <v>#DIV/0!</v>
      </c>
      <c r="L1628" s="3" t="e">
        <f ca="1">SQRT(AVERAGE(K1628:OFFSET(K1628,$B$5-1,0))*$B$9/(4*LN(2)))</f>
        <v>#DIV/0!</v>
      </c>
      <c r="M1628" s="3" t="e">
        <f ca="1">SQRT(AVERAGE(K1628:OFFSET(K1628,$B$6-1,0))*$B$9/(4*LN(2)))</f>
        <v>#DIV/0!</v>
      </c>
      <c r="N1628" s="3" t="e">
        <f ca="1">SQRT(AVERAGE(K1628:OFFSET(K1628,$B$7-1,0))*$B$9/(4*LN(2)))</f>
        <v>#DIV/0!</v>
      </c>
      <c r="O1628" s="3" t="e">
        <f ca="1">SQRT(AVERAGE(K1628:OFFSET(K1628,$B$8-1,0))*$B$9/(4*LN(2)))</f>
        <v>#DIV/0!</v>
      </c>
      <c r="Q1628" s="5" t="e">
        <f t="shared" si="133"/>
        <v>#DIV/0!</v>
      </c>
      <c r="R1628" s="5" t="e">
        <f ca="1">SQRT($B$9*AVERAGE((Q1628:OFFSET(Q1628,$B$5-1,0))))</f>
        <v>#DIV/0!</v>
      </c>
      <c r="S1628" s="5" t="e">
        <f ca="1">SQRT($B$9*AVERAGE((Q1628:OFFSET(Q1628,$B$6-1,0))))</f>
        <v>#DIV/0!</v>
      </c>
      <c r="T1628" s="5" t="e">
        <f ca="1">SQRT($B$9*AVERAGE((Q1628:OFFSET(Q1628,$B$7-1,0))))</f>
        <v>#DIV/0!</v>
      </c>
      <c r="U1628" s="5" t="e">
        <f ca="1">SQRT($B$9*AVERAGE((Q1628:OFFSET(Q1628,$B$8-1,0))))</f>
        <v>#DIV/0!</v>
      </c>
      <c r="W1628" s="6" t="e">
        <f t="shared" si="132"/>
        <v>#DIV/0!</v>
      </c>
      <c r="X1628" s="6" t="e">
        <f ca="1">SQRT($B$9*AVERAGE(W1628:OFFSET(W1628,$B$5-1,0)))</f>
        <v>#DIV/0!</v>
      </c>
      <c r="Y1628" s="6" t="e">
        <f ca="1">SQRT($B$9*AVERAGE(W1628:OFFSET(W1628,$B$6-1,0)))</f>
        <v>#DIV/0!</v>
      </c>
      <c r="Z1628" s="6" t="e">
        <f ca="1">SQRT($B$9*AVERAGE(W1628:OFFSET(W1628,$B$7-1,0)))</f>
        <v>#DIV/0!</v>
      </c>
      <c r="AA1628" s="6" t="e">
        <f ca="1">SQRT($B$9*AVERAGE(W1628:OFFSET(W1628,$B$8-1,0)))</f>
        <v>#DIV/0!</v>
      </c>
      <c r="AC1628" s="34" t="e">
        <f t="shared" si="135"/>
        <v>#DIV/0!</v>
      </c>
      <c r="AD1628" s="34" t="e">
        <f ca="1">SQRT($B$9*SUM(AC1628:OFFSET(AC1628,$B$5-1,0))/($B$5-1))</f>
        <v>#DIV/0!</v>
      </c>
      <c r="AE1628" s="34" t="e">
        <f ca="1">SQRT($B$9*SUM(AC1628:OFFSET(AC1628,$B$6-1,0))/($B$6-1))</f>
        <v>#DIV/0!</v>
      </c>
      <c r="AF1628" s="34" t="e">
        <f ca="1">SQRT($B$9*SUM(AC1628:OFFSET(AC1628,$B$7-1,0))/($B$7-1))</f>
        <v>#DIV/0!</v>
      </c>
      <c r="AG1628" s="34" t="e">
        <f ca="1">SQRT($B$9*SUM(AC1628:OFFSET(AC1628,$B$8-1,0))/($B$8-1))</f>
        <v>#DIV/0!</v>
      </c>
      <c r="AI1628" s="1" t="e">
        <f t="shared" si="136"/>
        <v>#DIV/0!</v>
      </c>
      <c r="AJ1628" s="4" t="e">
        <f ca="1">SQRT($B$9)*_xlfn.STDEV.S(AI1628:OFFSET(AI1628,$B$5-1,0))</f>
        <v>#DIV/0!</v>
      </c>
      <c r="AK1628" s="4" t="e">
        <f ca="1">SQRT($B$9)*_xlfn.STDEV.S(AI1628:OFFSET(AI1628,$B$6-1,0))</f>
        <v>#DIV/0!</v>
      </c>
      <c r="AL1628" s="4" t="e">
        <f ca="1">SQRT($B$9)*_xlfn.STDEV.S(AI1628:OFFSET(AI1628,$B$7-1,0))</f>
        <v>#DIV/0!</v>
      </c>
      <c r="AM1628" s="4" t="e">
        <f ca="1">SQRT($B$9)*_xlfn.STDEV.S(AI1628:OFFSET(AI1628,$B$8-1,0))</f>
        <v>#DIV/0!</v>
      </c>
    </row>
    <row r="1629" spans="11:39" x14ac:dyDescent="0.2">
      <c r="K1629" s="3" t="e">
        <f t="shared" si="134"/>
        <v>#DIV/0!</v>
      </c>
      <c r="L1629" s="3" t="e">
        <f ca="1">SQRT(AVERAGE(K1629:OFFSET(K1629,$B$5-1,0))*$B$9/(4*LN(2)))</f>
        <v>#DIV/0!</v>
      </c>
      <c r="M1629" s="3" t="e">
        <f ca="1">SQRT(AVERAGE(K1629:OFFSET(K1629,$B$6-1,0))*$B$9/(4*LN(2)))</f>
        <v>#DIV/0!</v>
      </c>
      <c r="N1629" s="3" t="e">
        <f ca="1">SQRT(AVERAGE(K1629:OFFSET(K1629,$B$7-1,0))*$B$9/(4*LN(2)))</f>
        <v>#DIV/0!</v>
      </c>
      <c r="O1629" s="3" t="e">
        <f ca="1">SQRT(AVERAGE(K1629:OFFSET(K1629,$B$8-1,0))*$B$9/(4*LN(2)))</f>
        <v>#DIV/0!</v>
      </c>
      <c r="Q1629" s="5" t="e">
        <f t="shared" si="133"/>
        <v>#DIV/0!</v>
      </c>
      <c r="R1629" s="5" t="e">
        <f ca="1">SQRT($B$9*AVERAGE((Q1629:OFFSET(Q1629,$B$5-1,0))))</f>
        <v>#DIV/0!</v>
      </c>
      <c r="S1629" s="5" t="e">
        <f ca="1">SQRT($B$9*AVERAGE((Q1629:OFFSET(Q1629,$B$6-1,0))))</f>
        <v>#DIV/0!</v>
      </c>
      <c r="T1629" s="5" t="e">
        <f ca="1">SQRT($B$9*AVERAGE((Q1629:OFFSET(Q1629,$B$7-1,0))))</f>
        <v>#DIV/0!</v>
      </c>
      <c r="U1629" s="5" t="e">
        <f ca="1">SQRT($B$9*AVERAGE((Q1629:OFFSET(Q1629,$B$8-1,0))))</f>
        <v>#DIV/0!</v>
      </c>
      <c r="W1629" s="6" t="e">
        <f t="shared" si="132"/>
        <v>#DIV/0!</v>
      </c>
      <c r="X1629" s="6" t="e">
        <f ca="1">SQRT($B$9*AVERAGE(W1629:OFFSET(W1629,$B$5-1,0)))</f>
        <v>#DIV/0!</v>
      </c>
      <c r="Y1629" s="6" t="e">
        <f ca="1">SQRT($B$9*AVERAGE(W1629:OFFSET(W1629,$B$6-1,0)))</f>
        <v>#DIV/0!</v>
      </c>
      <c r="Z1629" s="6" t="e">
        <f ca="1">SQRT($B$9*AVERAGE(W1629:OFFSET(W1629,$B$7-1,0)))</f>
        <v>#DIV/0!</v>
      </c>
      <c r="AA1629" s="6" t="e">
        <f ca="1">SQRT($B$9*AVERAGE(W1629:OFFSET(W1629,$B$8-1,0)))</f>
        <v>#DIV/0!</v>
      </c>
      <c r="AC1629" s="34" t="e">
        <f t="shared" si="135"/>
        <v>#DIV/0!</v>
      </c>
      <c r="AD1629" s="34" t="e">
        <f ca="1">SQRT($B$9*SUM(AC1629:OFFSET(AC1629,$B$5-1,0))/($B$5-1))</f>
        <v>#DIV/0!</v>
      </c>
      <c r="AE1629" s="34" t="e">
        <f ca="1">SQRT($B$9*SUM(AC1629:OFFSET(AC1629,$B$6-1,0))/($B$6-1))</f>
        <v>#DIV/0!</v>
      </c>
      <c r="AF1629" s="34" t="e">
        <f ca="1">SQRT($B$9*SUM(AC1629:OFFSET(AC1629,$B$7-1,0))/($B$7-1))</f>
        <v>#DIV/0!</v>
      </c>
      <c r="AG1629" s="34" t="e">
        <f ca="1">SQRT($B$9*SUM(AC1629:OFFSET(AC1629,$B$8-1,0))/($B$8-1))</f>
        <v>#DIV/0!</v>
      </c>
      <c r="AI1629" s="1" t="e">
        <f t="shared" si="136"/>
        <v>#DIV/0!</v>
      </c>
      <c r="AJ1629" s="4" t="e">
        <f ca="1">SQRT($B$9)*_xlfn.STDEV.S(AI1629:OFFSET(AI1629,$B$5-1,0))</f>
        <v>#DIV/0!</v>
      </c>
      <c r="AK1629" s="4" t="e">
        <f ca="1">SQRT($B$9)*_xlfn.STDEV.S(AI1629:OFFSET(AI1629,$B$6-1,0))</f>
        <v>#DIV/0!</v>
      </c>
      <c r="AL1629" s="4" t="e">
        <f ca="1">SQRT($B$9)*_xlfn.STDEV.S(AI1629:OFFSET(AI1629,$B$7-1,0))</f>
        <v>#DIV/0!</v>
      </c>
      <c r="AM1629" s="4" t="e">
        <f ca="1">SQRT($B$9)*_xlfn.STDEV.S(AI1629:OFFSET(AI1629,$B$8-1,0))</f>
        <v>#DIV/0!</v>
      </c>
    </row>
    <row r="1630" spans="11:39" x14ac:dyDescent="0.2">
      <c r="K1630" s="3" t="e">
        <f t="shared" si="134"/>
        <v>#DIV/0!</v>
      </c>
      <c r="L1630" s="3" t="e">
        <f ca="1">SQRT(AVERAGE(K1630:OFFSET(K1630,$B$5-1,0))*$B$9/(4*LN(2)))</f>
        <v>#DIV/0!</v>
      </c>
      <c r="M1630" s="3" t="e">
        <f ca="1">SQRT(AVERAGE(K1630:OFFSET(K1630,$B$6-1,0))*$B$9/(4*LN(2)))</f>
        <v>#DIV/0!</v>
      </c>
      <c r="N1630" s="3" t="e">
        <f ca="1">SQRT(AVERAGE(K1630:OFFSET(K1630,$B$7-1,0))*$B$9/(4*LN(2)))</f>
        <v>#DIV/0!</v>
      </c>
      <c r="O1630" s="3" t="e">
        <f ca="1">SQRT(AVERAGE(K1630:OFFSET(K1630,$B$8-1,0))*$B$9/(4*LN(2)))</f>
        <v>#DIV/0!</v>
      </c>
      <c r="Q1630" s="5" t="e">
        <f t="shared" si="133"/>
        <v>#DIV/0!</v>
      </c>
      <c r="R1630" s="5" t="e">
        <f ca="1">SQRT($B$9*AVERAGE((Q1630:OFFSET(Q1630,$B$5-1,0))))</f>
        <v>#DIV/0!</v>
      </c>
      <c r="S1630" s="5" t="e">
        <f ca="1">SQRT($B$9*AVERAGE((Q1630:OFFSET(Q1630,$B$6-1,0))))</f>
        <v>#DIV/0!</v>
      </c>
      <c r="T1630" s="5" t="e">
        <f ca="1">SQRT($B$9*AVERAGE((Q1630:OFFSET(Q1630,$B$7-1,0))))</f>
        <v>#DIV/0!</v>
      </c>
      <c r="U1630" s="5" t="e">
        <f ca="1">SQRT($B$9*AVERAGE((Q1630:OFFSET(Q1630,$B$8-1,0))))</f>
        <v>#DIV/0!</v>
      </c>
      <c r="W1630" s="6" t="e">
        <f t="shared" si="132"/>
        <v>#DIV/0!</v>
      </c>
      <c r="X1630" s="6" t="e">
        <f ca="1">SQRT($B$9*AVERAGE(W1630:OFFSET(W1630,$B$5-1,0)))</f>
        <v>#DIV/0!</v>
      </c>
      <c r="Y1630" s="6" t="e">
        <f ca="1">SQRT($B$9*AVERAGE(W1630:OFFSET(W1630,$B$6-1,0)))</f>
        <v>#DIV/0!</v>
      </c>
      <c r="Z1630" s="6" t="e">
        <f ca="1">SQRT($B$9*AVERAGE(W1630:OFFSET(W1630,$B$7-1,0)))</f>
        <v>#DIV/0!</v>
      </c>
      <c r="AA1630" s="6" t="e">
        <f ca="1">SQRT($B$9*AVERAGE(W1630:OFFSET(W1630,$B$8-1,0)))</f>
        <v>#DIV/0!</v>
      </c>
      <c r="AC1630" s="34" t="e">
        <f t="shared" si="135"/>
        <v>#DIV/0!</v>
      </c>
      <c r="AD1630" s="34" t="e">
        <f ca="1">SQRT($B$9*SUM(AC1630:OFFSET(AC1630,$B$5-1,0))/($B$5-1))</f>
        <v>#DIV/0!</v>
      </c>
      <c r="AE1630" s="34" t="e">
        <f ca="1">SQRT($B$9*SUM(AC1630:OFFSET(AC1630,$B$6-1,0))/($B$6-1))</f>
        <v>#DIV/0!</v>
      </c>
      <c r="AF1630" s="34" t="e">
        <f ca="1">SQRT($B$9*SUM(AC1630:OFFSET(AC1630,$B$7-1,0))/($B$7-1))</f>
        <v>#DIV/0!</v>
      </c>
      <c r="AG1630" s="34" t="e">
        <f ca="1">SQRT($B$9*SUM(AC1630:OFFSET(AC1630,$B$8-1,0))/($B$8-1))</f>
        <v>#DIV/0!</v>
      </c>
      <c r="AI1630" s="1" t="e">
        <f t="shared" si="136"/>
        <v>#DIV/0!</v>
      </c>
      <c r="AJ1630" s="4" t="e">
        <f ca="1">SQRT($B$9)*_xlfn.STDEV.S(AI1630:OFFSET(AI1630,$B$5-1,0))</f>
        <v>#DIV/0!</v>
      </c>
      <c r="AK1630" s="4" t="e">
        <f ca="1">SQRT($B$9)*_xlfn.STDEV.S(AI1630:OFFSET(AI1630,$B$6-1,0))</f>
        <v>#DIV/0!</v>
      </c>
      <c r="AL1630" s="4" t="e">
        <f ca="1">SQRT($B$9)*_xlfn.STDEV.S(AI1630:OFFSET(AI1630,$B$7-1,0))</f>
        <v>#DIV/0!</v>
      </c>
      <c r="AM1630" s="4" t="e">
        <f ca="1">SQRT($B$9)*_xlfn.STDEV.S(AI1630:OFFSET(AI1630,$B$8-1,0))</f>
        <v>#DIV/0!</v>
      </c>
    </row>
    <row r="1631" spans="11:39" x14ac:dyDescent="0.2">
      <c r="K1631" s="3" t="e">
        <f t="shared" si="134"/>
        <v>#DIV/0!</v>
      </c>
      <c r="L1631" s="3" t="e">
        <f ca="1">SQRT(AVERAGE(K1631:OFFSET(K1631,$B$5-1,0))*$B$9/(4*LN(2)))</f>
        <v>#DIV/0!</v>
      </c>
      <c r="M1631" s="3" t="e">
        <f ca="1">SQRT(AVERAGE(K1631:OFFSET(K1631,$B$6-1,0))*$B$9/(4*LN(2)))</f>
        <v>#DIV/0!</v>
      </c>
      <c r="N1631" s="3" t="e">
        <f ca="1">SQRT(AVERAGE(K1631:OFFSET(K1631,$B$7-1,0))*$B$9/(4*LN(2)))</f>
        <v>#DIV/0!</v>
      </c>
      <c r="O1631" s="3" t="e">
        <f ca="1">SQRT(AVERAGE(K1631:OFFSET(K1631,$B$8-1,0))*$B$9/(4*LN(2)))</f>
        <v>#DIV/0!</v>
      </c>
      <c r="Q1631" s="5" t="e">
        <f t="shared" si="133"/>
        <v>#DIV/0!</v>
      </c>
      <c r="R1631" s="5" t="e">
        <f ca="1">SQRT($B$9*AVERAGE((Q1631:OFFSET(Q1631,$B$5-1,0))))</f>
        <v>#DIV/0!</v>
      </c>
      <c r="S1631" s="5" t="e">
        <f ca="1">SQRT($B$9*AVERAGE((Q1631:OFFSET(Q1631,$B$6-1,0))))</f>
        <v>#DIV/0!</v>
      </c>
      <c r="T1631" s="5" t="e">
        <f ca="1">SQRT($B$9*AVERAGE((Q1631:OFFSET(Q1631,$B$7-1,0))))</f>
        <v>#DIV/0!</v>
      </c>
      <c r="U1631" s="5" t="e">
        <f ca="1">SQRT($B$9*AVERAGE((Q1631:OFFSET(Q1631,$B$8-1,0))))</f>
        <v>#DIV/0!</v>
      </c>
      <c r="W1631" s="6" t="e">
        <f t="shared" si="132"/>
        <v>#DIV/0!</v>
      </c>
      <c r="X1631" s="6" t="e">
        <f ca="1">SQRT($B$9*AVERAGE(W1631:OFFSET(W1631,$B$5-1,0)))</f>
        <v>#DIV/0!</v>
      </c>
      <c r="Y1631" s="6" t="e">
        <f ca="1">SQRT($B$9*AVERAGE(W1631:OFFSET(W1631,$B$6-1,0)))</f>
        <v>#DIV/0!</v>
      </c>
      <c r="Z1631" s="6" t="e">
        <f ca="1">SQRT($B$9*AVERAGE(W1631:OFFSET(W1631,$B$7-1,0)))</f>
        <v>#DIV/0!</v>
      </c>
      <c r="AA1631" s="6" t="e">
        <f ca="1">SQRT($B$9*AVERAGE(W1631:OFFSET(W1631,$B$8-1,0)))</f>
        <v>#DIV/0!</v>
      </c>
      <c r="AC1631" s="34" t="e">
        <f t="shared" si="135"/>
        <v>#DIV/0!</v>
      </c>
      <c r="AD1631" s="34" t="e">
        <f ca="1">SQRT($B$9*SUM(AC1631:OFFSET(AC1631,$B$5-1,0))/($B$5-1))</f>
        <v>#DIV/0!</v>
      </c>
      <c r="AE1631" s="34" t="e">
        <f ca="1">SQRT($B$9*SUM(AC1631:OFFSET(AC1631,$B$6-1,0))/($B$6-1))</f>
        <v>#DIV/0!</v>
      </c>
      <c r="AF1631" s="34" t="e">
        <f ca="1">SQRT($B$9*SUM(AC1631:OFFSET(AC1631,$B$7-1,0))/($B$7-1))</f>
        <v>#DIV/0!</v>
      </c>
      <c r="AG1631" s="34" t="e">
        <f ca="1">SQRT($B$9*SUM(AC1631:OFFSET(AC1631,$B$8-1,0))/($B$8-1))</f>
        <v>#DIV/0!</v>
      </c>
      <c r="AI1631" s="1" t="e">
        <f t="shared" si="136"/>
        <v>#DIV/0!</v>
      </c>
      <c r="AJ1631" s="4" t="e">
        <f ca="1">SQRT($B$9)*_xlfn.STDEV.S(AI1631:OFFSET(AI1631,$B$5-1,0))</f>
        <v>#DIV/0!</v>
      </c>
      <c r="AK1631" s="4" t="e">
        <f ca="1">SQRT($B$9)*_xlfn.STDEV.S(AI1631:OFFSET(AI1631,$B$6-1,0))</f>
        <v>#DIV/0!</v>
      </c>
      <c r="AL1631" s="4" t="e">
        <f ca="1">SQRT($B$9)*_xlfn.STDEV.S(AI1631:OFFSET(AI1631,$B$7-1,0))</f>
        <v>#DIV/0!</v>
      </c>
      <c r="AM1631" s="4" t="e">
        <f ca="1">SQRT($B$9)*_xlfn.STDEV.S(AI1631:OFFSET(AI1631,$B$8-1,0))</f>
        <v>#DIV/0!</v>
      </c>
    </row>
    <row r="1632" spans="11:39" x14ac:dyDescent="0.2">
      <c r="K1632" s="3" t="e">
        <f t="shared" si="134"/>
        <v>#DIV/0!</v>
      </c>
      <c r="L1632" s="3" t="e">
        <f ca="1">SQRT(AVERAGE(K1632:OFFSET(K1632,$B$5-1,0))*$B$9/(4*LN(2)))</f>
        <v>#DIV/0!</v>
      </c>
      <c r="M1632" s="3" t="e">
        <f ca="1">SQRT(AVERAGE(K1632:OFFSET(K1632,$B$6-1,0))*$B$9/(4*LN(2)))</f>
        <v>#DIV/0!</v>
      </c>
      <c r="N1632" s="3" t="e">
        <f ca="1">SQRT(AVERAGE(K1632:OFFSET(K1632,$B$7-1,0))*$B$9/(4*LN(2)))</f>
        <v>#DIV/0!</v>
      </c>
      <c r="O1632" s="3" t="e">
        <f ca="1">SQRT(AVERAGE(K1632:OFFSET(K1632,$B$8-1,0))*$B$9/(4*LN(2)))</f>
        <v>#DIV/0!</v>
      </c>
      <c r="Q1632" s="5" t="e">
        <f t="shared" si="133"/>
        <v>#DIV/0!</v>
      </c>
      <c r="R1632" s="5" t="e">
        <f ca="1">SQRT($B$9*AVERAGE((Q1632:OFFSET(Q1632,$B$5-1,0))))</f>
        <v>#DIV/0!</v>
      </c>
      <c r="S1632" s="5" t="e">
        <f ca="1">SQRT($B$9*AVERAGE((Q1632:OFFSET(Q1632,$B$6-1,0))))</f>
        <v>#DIV/0!</v>
      </c>
      <c r="T1632" s="5" t="e">
        <f ca="1">SQRT($B$9*AVERAGE((Q1632:OFFSET(Q1632,$B$7-1,0))))</f>
        <v>#DIV/0!</v>
      </c>
      <c r="U1632" s="5" t="e">
        <f ca="1">SQRT($B$9*AVERAGE((Q1632:OFFSET(Q1632,$B$8-1,0))))</f>
        <v>#DIV/0!</v>
      </c>
      <c r="W1632" s="6" t="e">
        <f t="shared" si="132"/>
        <v>#DIV/0!</v>
      </c>
      <c r="X1632" s="6" t="e">
        <f ca="1">SQRT($B$9*AVERAGE(W1632:OFFSET(W1632,$B$5-1,0)))</f>
        <v>#DIV/0!</v>
      </c>
      <c r="Y1632" s="6" t="e">
        <f ca="1">SQRT($B$9*AVERAGE(W1632:OFFSET(W1632,$B$6-1,0)))</f>
        <v>#DIV/0!</v>
      </c>
      <c r="Z1632" s="6" t="e">
        <f ca="1">SQRT($B$9*AVERAGE(W1632:OFFSET(W1632,$B$7-1,0)))</f>
        <v>#DIV/0!</v>
      </c>
      <c r="AA1632" s="6" t="e">
        <f ca="1">SQRT($B$9*AVERAGE(W1632:OFFSET(W1632,$B$8-1,0)))</f>
        <v>#DIV/0!</v>
      </c>
      <c r="AC1632" s="34" t="e">
        <f t="shared" si="135"/>
        <v>#DIV/0!</v>
      </c>
      <c r="AD1632" s="34" t="e">
        <f ca="1">SQRT($B$9*SUM(AC1632:OFFSET(AC1632,$B$5-1,0))/($B$5-1))</f>
        <v>#DIV/0!</v>
      </c>
      <c r="AE1632" s="34" t="e">
        <f ca="1">SQRT($B$9*SUM(AC1632:OFFSET(AC1632,$B$6-1,0))/($B$6-1))</f>
        <v>#DIV/0!</v>
      </c>
      <c r="AF1632" s="34" t="e">
        <f ca="1">SQRT($B$9*SUM(AC1632:OFFSET(AC1632,$B$7-1,0))/($B$7-1))</f>
        <v>#DIV/0!</v>
      </c>
      <c r="AG1632" s="34" t="e">
        <f ca="1">SQRT($B$9*SUM(AC1632:OFFSET(AC1632,$B$8-1,0))/($B$8-1))</f>
        <v>#DIV/0!</v>
      </c>
      <c r="AI1632" s="1" t="e">
        <f t="shared" si="136"/>
        <v>#DIV/0!</v>
      </c>
      <c r="AJ1632" s="4" t="e">
        <f ca="1">SQRT($B$9)*_xlfn.STDEV.S(AI1632:OFFSET(AI1632,$B$5-1,0))</f>
        <v>#DIV/0!</v>
      </c>
      <c r="AK1632" s="4" t="e">
        <f ca="1">SQRT($B$9)*_xlfn.STDEV.S(AI1632:OFFSET(AI1632,$B$6-1,0))</f>
        <v>#DIV/0!</v>
      </c>
      <c r="AL1632" s="4" t="e">
        <f ca="1">SQRT($B$9)*_xlfn.STDEV.S(AI1632:OFFSET(AI1632,$B$7-1,0))</f>
        <v>#DIV/0!</v>
      </c>
      <c r="AM1632" s="4" t="e">
        <f ca="1">SQRT($B$9)*_xlfn.STDEV.S(AI1632:OFFSET(AI1632,$B$8-1,0))</f>
        <v>#DIV/0!</v>
      </c>
    </row>
    <row r="1633" spans="11:39" x14ac:dyDescent="0.2">
      <c r="K1633" s="3" t="e">
        <f t="shared" si="134"/>
        <v>#DIV/0!</v>
      </c>
      <c r="L1633" s="3" t="e">
        <f ca="1">SQRT(AVERAGE(K1633:OFFSET(K1633,$B$5-1,0))*$B$9/(4*LN(2)))</f>
        <v>#DIV/0!</v>
      </c>
      <c r="M1633" s="3" t="e">
        <f ca="1">SQRT(AVERAGE(K1633:OFFSET(K1633,$B$6-1,0))*$B$9/(4*LN(2)))</f>
        <v>#DIV/0!</v>
      </c>
      <c r="N1633" s="3" t="e">
        <f ca="1">SQRT(AVERAGE(K1633:OFFSET(K1633,$B$7-1,0))*$B$9/(4*LN(2)))</f>
        <v>#DIV/0!</v>
      </c>
      <c r="O1633" s="3" t="e">
        <f ca="1">SQRT(AVERAGE(K1633:OFFSET(K1633,$B$8-1,0))*$B$9/(4*LN(2)))</f>
        <v>#DIV/0!</v>
      </c>
      <c r="Q1633" s="5" t="e">
        <f t="shared" si="133"/>
        <v>#DIV/0!</v>
      </c>
      <c r="R1633" s="5" t="e">
        <f ca="1">SQRT($B$9*AVERAGE((Q1633:OFFSET(Q1633,$B$5-1,0))))</f>
        <v>#DIV/0!</v>
      </c>
      <c r="S1633" s="5" t="e">
        <f ca="1">SQRT($B$9*AVERAGE((Q1633:OFFSET(Q1633,$B$6-1,0))))</f>
        <v>#DIV/0!</v>
      </c>
      <c r="T1633" s="5" t="e">
        <f ca="1">SQRT($B$9*AVERAGE((Q1633:OFFSET(Q1633,$B$7-1,0))))</f>
        <v>#DIV/0!</v>
      </c>
      <c r="U1633" s="5" t="e">
        <f ca="1">SQRT($B$9*AVERAGE((Q1633:OFFSET(Q1633,$B$8-1,0))))</f>
        <v>#DIV/0!</v>
      </c>
      <c r="W1633" s="6" t="e">
        <f t="shared" si="132"/>
        <v>#DIV/0!</v>
      </c>
      <c r="X1633" s="6" t="e">
        <f ca="1">SQRT($B$9*AVERAGE(W1633:OFFSET(W1633,$B$5-1,0)))</f>
        <v>#DIV/0!</v>
      </c>
      <c r="Y1633" s="6" t="e">
        <f ca="1">SQRT($B$9*AVERAGE(W1633:OFFSET(W1633,$B$6-1,0)))</f>
        <v>#DIV/0!</v>
      </c>
      <c r="Z1633" s="6" t="e">
        <f ca="1">SQRT($B$9*AVERAGE(W1633:OFFSET(W1633,$B$7-1,0)))</f>
        <v>#DIV/0!</v>
      </c>
      <c r="AA1633" s="6" t="e">
        <f ca="1">SQRT($B$9*AVERAGE(W1633:OFFSET(W1633,$B$8-1,0)))</f>
        <v>#DIV/0!</v>
      </c>
      <c r="AC1633" s="34" t="e">
        <f t="shared" si="135"/>
        <v>#DIV/0!</v>
      </c>
      <c r="AD1633" s="34" t="e">
        <f ca="1">SQRT($B$9*SUM(AC1633:OFFSET(AC1633,$B$5-1,0))/($B$5-1))</f>
        <v>#DIV/0!</v>
      </c>
      <c r="AE1633" s="34" t="e">
        <f ca="1">SQRT($B$9*SUM(AC1633:OFFSET(AC1633,$B$6-1,0))/($B$6-1))</f>
        <v>#DIV/0!</v>
      </c>
      <c r="AF1633" s="34" t="e">
        <f ca="1">SQRT($B$9*SUM(AC1633:OFFSET(AC1633,$B$7-1,0))/($B$7-1))</f>
        <v>#DIV/0!</v>
      </c>
      <c r="AG1633" s="34" t="e">
        <f ca="1">SQRT($B$9*SUM(AC1633:OFFSET(AC1633,$B$8-1,0))/($B$8-1))</f>
        <v>#DIV/0!</v>
      </c>
      <c r="AI1633" s="1" t="e">
        <f t="shared" si="136"/>
        <v>#DIV/0!</v>
      </c>
      <c r="AJ1633" s="4" t="e">
        <f ca="1">SQRT($B$9)*_xlfn.STDEV.S(AI1633:OFFSET(AI1633,$B$5-1,0))</f>
        <v>#DIV/0!</v>
      </c>
      <c r="AK1633" s="4" t="e">
        <f ca="1">SQRT($B$9)*_xlfn.STDEV.S(AI1633:OFFSET(AI1633,$B$6-1,0))</f>
        <v>#DIV/0!</v>
      </c>
      <c r="AL1633" s="4" t="e">
        <f ca="1">SQRT($B$9)*_xlfn.STDEV.S(AI1633:OFFSET(AI1633,$B$7-1,0))</f>
        <v>#DIV/0!</v>
      </c>
      <c r="AM1633" s="4" t="e">
        <f ca="1">SQRT($B$9)*_xlfn.STDEV.S(AI1633:OFFSET(AI1633,$B$8-1,0))</f>
        <v>#DIV/0!</v>
      </c>
    </row>
    <row r="1634" spans="11:39" x14ac:dyDescent="0.2">
      <c r="K1634" s="3" t="e">
        <f t="shared" si="134"/>
        <v>#DIV/0!</v>
      </c>
      <c r="L1634" s="3" t="e">
        <f ca="1">SQRT(AVERAGE(K1634:OFFSET(K1634,$B$5-1,0))*$B$9/(4*LN(2)))</f>
        <v>#DIV/0!</v>
      </c>
      <c r="M1634" s="3" t="e">
        <f ca="1">SQRT(AVERAGE(K1634:OFFSET(K1634,$B$6-1,0))*$B$9/(4*LN(2)))</f>
        <v>#DIV/0!</v>
      </c>
      <c r="N1634" s="3" t="e">
        <f ca="1">SQRT(AVERAGE(K1634:OFFSET(K1634,$B$7-1,0))*$B$9/(4*LN(2)))</f>
        <v>#DIV/0!</v>
      </c>
      <c r="O1634" s="3" t="e">
        <f ca="1">SQRT(AVERAGE(K1634:OFFSET(K1634,$B$8-1,0))*$B$9/(4*LN(2)))</f>
        <v>#DIV/0!</v>
      </c>
      <c r="Q1634" s="5" t="e">
        <f t="shared" si="133"/>
        <v>#DIV/0!</v>
      </c>
      <c r="R1634" s="5" t="e">
        <f ca="1">SQRT($B$9*AVERAGE((Q1634:OFFSET(Q1634,$B$5-1,0))))</f>
        <v>#DIV/0!</v>
      </c>
      <c r="S1634" s="5" t="e">
        <f ca="1">SQRT($B$9*AVERAGE((Q1634:OFFSET(Q1634,$B$6-1,0))))</f>
        <v>#DIV/0!</v>
      </c>
      <c r="T1634" s="5" t="e">
        <f ca="1">SQRT($B$9*AVERAGE((Q1634:OFFSET(Q1634,$B$7-1,0))))</f>
        <v>#DIV/0!</v>
      </c>
      <c r="U1634" s="5" t="e">
        <f ca="1">SQRT($B$9*AVERAGE((Q1634:OFFSET(Q1634,$B$8-1,0))))</f>
        <v>#DIV/0!</v>
      </c>
      <c r="W1634" s="6" t="e">
        <f t="shared" si="132"/>
        <v>#DIV/0!</v>
      </c>
      <c r="X1634" s="6" t="e">
        <f ca="1">SQRT($B$9*AVERAGE(W1634:OFFSET(W1634,$B$5-1,0)))</f>
        <v>#DIV/0!</v>
      </c>
      <c r="Y1634" s="6" t="e">
        <f ca="1">SQRT($B$9*AVERAGE(W1634:OFFSET(W1634,$B$6-1,0)))</f>
        <v>#DIV/0!</v>
      </c>
      <c r="Z1634" s="6" t="e">
        <f ca="1">SQRT($B$9*AVERAGE(W1634:OFFSET(W1634,$B$7-1,0)))</f>
        <v>#DIV/0!</v>
      </c>
      <c r="AA1634" s="6" t="e">
        <f ca="1">SQRT($B$9*AVERAGE(W1634:OFFSET(W1634,$B$8-1,0)))</f>
        <v>#DIV/0!</v>
      </c>
      <c r="AC1634" s="34" t="e">
        <f t="shared" si="135"/>
        <v>#DIV/0!</v>
      </c>
      <c r="AD1634" s="34" t="e">
        <f ca="1">SQRT($B$9*SUM(AC1634:OFFSET(AC1634,$B$5-1,0))/($B$5-1))</f>
        <v>#DIV/0!</v>
      </c>
      <c r="AE1634" s="34" t="e">
        <f ca="1">SQRT($B$9*SUM(AC1634:OFFSET(AC1634,$B$6-1,0))/($B$6-1))</f>
        <v>#DIV/0!</v>
      </c>
      <c r="AF1634" s="34" t="e">
        <f ca="1">SQRT($B$9*SUM(AC1634:OFFSET(AC1634,$B$7-1,0))/($B$7-1))</f>
        <v>#DIV/0!</v>
      </c>
      <c r="AG1634" s="34" t="e">
        <f ca="1">SQRT($B$9*SUM(AC1634:OFFSET(AC1634,$B$8-1,0))/($B$8-1))</f>
        <v>#DIV/0!</v>
      </c>
      <c r="AI1634" s="1" t="e">
        <f t="shared" si="136"/>
        <v>#DIV/0!</v>
      </c>
      <c r="AJ1634" s="4" t="e">
        <f ca="1">SQRT($B$9)*_xlfn.STDEV.S(AI1634:OFFSET(AI1634,$B$5-1,0))</f>
        <v>#DIV/0!</v>
      </c>
      <c r="AK1634" s="4" t="e">
        <f ca="1">SQRT($B$9)*_xlfn.STDEV.S(AI1634:OFFSET(AI1634,$B$6-1,0))</f>
        <v>#DIV/0!</v>
      </c>
      <c r="AL1634" s="4" t="e">
        <f ca="1">SQRT($B$9)*_xlfn.STDEV.S(AI1634:OFFSET(AI1634,$B$7-1,0))</f>
        <v>#DIV/0!</v>
      </c>
      <c r="AM1634" s="4" t="e">
        <f ca="1">SQRT($B$9)*_xlfn.STDEV.S(AI1634:OFFSET(AI1634,$B$8-1,0))</f>
        <v>#DIV/0!</v>
      </c>
    </row>
    <row r="1635" spans="11:39" x14ac:dyDescent="0.2">
      <c r="K1635" s="3" t="e">
        <f t="shared" si="134"/>
        <v>#DIV/0!</v>
      </c>
      <c r="L1635" s="3" t="e">
        <f ca="1">SQRT(AVERAGE(K1635:OFFSET(K1635,$B$5-1,0))*$B$9/(4*LN(2)))</f>
        <v>#DIV/0!</v>
      </c>
      <c r="M1635" s="3" t="e">
        <f ca="1">SQRT(AVERAGE(K1635:OFFSET(K1635,$B$6-1,0))*$B$9/(4*LN(2)))</f>
        <v>#DIV/0!</v>
      </c>
      <c r="N1635" s="3" t="e">
        <f ca="1">SQRT(AVERAGE(K1635:OFFSET(K1635,$B$7-1,0))*$B$9/(4*LN(2)))</f>
        <v>#DIV/0!</v>
      </c>
      <c r="O1635" s="3" t="e">
        <f ca="1">SQRT(AVERAGE(K1635:OFFSET(K1635,$B$8-1,0))*$B$9/(4*LN(2)))</f>
        <v>#DIV/0!</v>
      </c>
      <c r="Q1635" s="5" t="e">
        <f t="shared" si="133"/>
        <v>#DIV/0!</v>
      </c>
      <c r="R1635" s="5" t="e">
        <f ca="1">SQRT($B$9*AVERAGE((Q1635:OFFSET(Q1635,$B$5-1,0))))</f>
        <v>#DIV/0!</v>
      </c>
      <c r="S1635" s="5" t="e">
        <f ca="1">SQRT($B$9*AVERAGE((Q1635:OFFSET(Q1635,$B$6-1,0))))</f>
        <v>#DIV/0!</v>
      </c>
      <c r="T1635" s="5" t="e">
        <f ca="1">SQRT($B$9*AVERAGE((Q1635:OFFSET(Q1635,$B$7-1,0))))</f>
        <v>#DIV/0!</v>
      </c>
      <c r="U1635" s="5" t="e">
        <f ca="1">SQRT($B$9*AVERAGE((Q1635:OFFSET(Q1635,$B$8-1,0))))</f>
        <v>#DIV/0!</v>
      </c>
      <c r="W1635" s="6" t="e">
        <f t="shared" si="132"/>
        <v>#DIV/0!</v>
      </c>
      <c r="X1635" s="6" t="e">
        <f ca="1">SQRT($B$9*AVERAGE(W1635:OFFSET(W1635,$B$5-1,0)))</f>
        <v>#DIV/0!</v>
      </c>
      <c r="Y1635" s="6" t="e">
        <f ca="1">SQRT($B$9*AVERAGE(W1635:OFFSET(W1635,$B$6-1,0)))</f>
        <v>#DIV/0!</v>
      </c>
      <c r="Z1635" s="6" t="e">
        <f ca="1">SQRT($B$9*AVERAGE(W1635:OFFSET(W1635,$B$7-1,0)))</f>
        <v>#DIV/0!</v>
      </c>
      <c r="AA1635" s="6" t="e">
        <f ca="1">SQRT($B$9*AVERAGE(W1635:OFFSET(W1635,$B$8-1,0)))</f>
        <v>#DIV/0!</v>
      </c>
      <c r="AC1635" s="34" t="e">
        <f t="shared" si="135"/>
        <v>#DIV/0!</v>
      </c>
      <c r="AD1635" s="34" t="e">
        <f ca="1">SQRT($B$9*SUM(AC1635:OFFSET(AC1635,$B$5-1,0))/($B$5-1))</f>
        <v>#DIV/0!</v>
      </c>
      <c r="AE1635" s="34" t="e">
        <f ca="1">SQRT($B$9*SUM(AC1635:OFFSET(AC1635,$B$6-1,0))/($B$6-1))</f>
        <v>#DIV/0!</v>
      </c>
      <c r="AF1635" s="34" t="e">
        <f ca="1">SQRT($B$9*SUM(AC1635:OFFSET(AC1635,$B$7-1,0))/($B$7-1))</f>
        <v>#DIV/0!</v>
      </c>
      <c r="AG1635" s="34" t="e">
        <f ca="1">SQRT($B$9*SUM(AC1635:OFFSET(AC1635,$B$8-1,0))/($B$8-1))</f>
        <v>#DIV/0!</v>
      </c>
      <c r="AI1635" s="1" t="e">
        <f t="shared" si="136"/>
        <v>#DIV/0!</v>
      </c>
      <c r="AJ1635" s="4" t="e">
        <f ca="1">SQRT($B$9)*_xlfn.STDEV.S(AI1635:OFFSET(AI1635,$B$5-1,0))</f>
        <v>#DIV/0!</v>
      </c>
      <c r="AK1635" s="4" t="e">
        <f ca="1">SQRT($B$9)*_xlfn.STDEV.S(AI1635:OFFSET(AI1635,$B$6-1,0))</f>
        <v>#DIV/0!</v>
      </c>
      <c r="AL1635" s="4" t="e">
        <f ca="1">SQRT($B$9)*_xlfn.STDEV.S(AI1635:OFFSET(AI1635,$B$7-1,0))</f>
        <v>#DIV/0!</v>
      </c>
      <c r="AM1635" s="4" t="e">
        <f ca="1">SQRT($B$9)*_xlfn.STDEV.S(AI1635:OFFSET(AI1635,$B$8-1,0))</f>
        <v>#DIV/0!</v>
      </c>
    </row>
    <row r="1636" spans="11:39" x14ac:dyDescent="0.2">
      <c r="K1636" s="3" t="e">
        <f t="shared" si="134"/>
        <v>#DIV/0!</v>
      </c>
      <c r="L1636" s="3" t="e">
        <f ca="1">SQRT(AVERAGE(K1636:OFFSET(K1636,$B$5-1,0))*$B$9/(4*LN(2)))</f>
        <v>#DIV/0!</v>
      </c>
      <c r="M1636" s="3" t="e">
        <f ca="1">SQRT(AVERAGE(K1636:OFFSET(K1636,$B$6-1,0))*$B$9/(4*LN(2)))</f>
        <v>#DIV/0!</v>
      </c>
      <c r="N1636" s="3" t="e">
        <f ca="1">SQRT(AVERAGE(K1636:OFFSET(K1636,$B$7-1,0))*$B$9/(4*LN(2)))</f>
        <v>#DIV/0!</v>
      </c>
      <c r="O1636" s="3" t="e">
        <f ca="1">SQRT(AVERAGE(K1636:OFFSET(K1636,$B$8-1,0))*$B$9/(4*LN(2)))</f>
        <v>#DIV/0!</v>
      </c>
      <c r="Q1636" s="5" t="e">
        <f t="shared" si="133"/>
        <v>#DIV/0!</v>
      </c>
      <c r="R1636" s="5" t="e">
        <f ca="1">SQRT($B$9*AVERAGE((Q1636:OFFSET(Q1636,$B$5-1,0))))</f>
        <v>#DIV/0!</v>
      </c>
      <c r="S1636" s="5" t="e">
        <f ca="1">SQRT($B$9*AVERAGE((Q1636:OFFSET(Q1636,$B$6-1,0))))</f>
        <v>#DIV/0!</v>
      </c>
      <c r="T1636" s="5" t="e">
        <f ca="1">SQRT($B$9*AVERAGE((Q1636:OFFSET(Q1636,$B$7-1,0))))</f>
        <v>#DIV/0!</v>
      </c>
      <c r="U1636" s="5" t="e">
        <f ca="1">SQRT($B$9*AVERAGE((Q1636:OFFSET(Q1636,$B$8-1,0))))</f>
        <v>#DIV/0!</v>
      </c>
      <c r="W1636" s="6" t="e">
        <f t="shared" si="132"/>
        <v>#DIV/0!</v>
      </c>
      <c r="X1636" s="6" t="e">
        <f ca="1">SQRT($B$9*AVERAGE(W1636:OFFSET(W1636,$B$5-1,0)))</f>
        <v>#DIV/0!</v>
      </c>
      <c r="Y1636" s="6" t="e">
        <f ca="1">SQRT($B$9*AVERAGE(W1636:OFFSET(W1636,$B$6-1,0)))</f>
        <v>#DIV/0!</v>
      </c>
      <c r="Z1636" s="6" t="e">
        <f ca="1">SQRT($B$9*AVERAGE(W1636:OFFSET(W1636,$B$7-1,0)))</f>
        <v>#DIV/0!</v>
      </c>
      <c r="AA1636" s="6" t="e">
        <f ca="1">SQRT($B$9*AVERAGE(W1636:OFFSET(W1636,$B$8-1,0)))</f>
        <v>#DIV/0!</v>
      </c>
      <c r="AC1636" s="34" t="e">
        <f t="shared" si="135"/>
        <v>#DIV/0!</v>
      </c>
      <c r="AD1636" s="34" t="e">
        <f ca="1">SQRT($B$9*SUM(AC1636:OFFSET(AC1636,$B$5-1,0))/($B$5-1))</f>
        <v>#DIV/0!</v>
      </c>
      <c r="AE1636" s="34" t="e">
        <f ca="1">SQRT($B$9*SUM(AC1636:OFFSET(AC1636,$B$6-1,0))/($B$6-1))</f>
        <v>#DIV/0!</v>
      </c>
      <c r="AF1636" s="34" t="e">
        <f ca="1">SQRT($B$9*SUM(AC1636:OFFSET(AC1636,$B$7-1,0))/($B$7-1))</f>
        <v>#DIV/0!</v>
      </c>
      <c r="AG1636" s="34" t="e">
        <f ca="1">SQRT($B$9*SUM(AC1636:OFFSET(AC1636,$B$8-1,0))/($B$8-1))</f>
        <v>#DIV/0!</v>
      </c>
      <c r="AI1636" s="1" t="e">
        <f t="shared" si="136"/>
        <v>#DIV/0!</v>
      </c>
      <c r="AJ1636" s="4" t="e">
        <f ca="1">SQRT($B$9)*_xlfn.STDEV.S(AI1636:OFFSET(AI1636,$B$5-1,0))</f>
        <v>#DIV/0!</v>
      </c>
      <c r="AK1636" s="4" t="e">
        <f ca="1">SQRT($B$9)*_xlfn.STDEV.S(AI1636:OFFSET(AI1636,$B$6-1,0))</f>
        <v>#DIV/0!</v>
      </c>
      <c r="AL1636" s="4" t="e">
        <f ca="1">SQRT($B$9)*_xlfn.STDEV.S(AI1636:OFFSET(AI1636,$B$7-1,0))</f>
        <v>#DIV/0!</v>
      </c>
      <c r="AM1636" s="4" t="e">
        <f ca="1">SQRT($B$9)*_xlfn.STDEV.S(AI1636:OFFSET(AI1636,$B$8-1,0))</f>
        <v>#DIV/0!</v>
      </c>
    </row>
    <row r="1637" spans="11:39" x14ac:dyDescent="0.2">
      <c r="K1637" s="3" t="e">
        <f t="shared" si="134"/>
        <v>#DIV/0!</v>
      </c>
      <c r="L1637" s="3" t="e">
        <f ca="1">SQRT(AVERAGE(K1637:OFFSET(K1637,$B$5-1,0))*$B$9/(4*LN(2)))</f>
        <v>#DIV/0!</v>
      </c>
      <c r="M1637" s="3" t="e">
        <f ca="1">SQRT(AVERAGE(K1637:OFFSET(K1637,$B$6-1,0))*$B$9/(4*LN(2)))</f>
        <v>#DIV/0!</v>
      </c>
      <c r="N1637" s="3" t="e">
        <f ca="1">SQRT(AVERAGE(K1637:OFFSET(K1637,$B$7-1,0))*$B$9/(4*LN(2)))</f>
        <v>#DIV/0!</v>
      </c>
      <c r="O1637" s="3" t="e">
        <f ca="1">SQRT(AVERAGE(K1637:OFFSET(K1637,$B$8-1,0))*$B$9/(4*LN(2)))</f>
        <v>#DIV/0!</v>
      </c>
      <c r="Q1637" s="5" t="e">
        <f t="shared" si="133"/>
        <v>#DIV/0!</v>
      </c>
      <c r="R1637" s="5" t="e">
        <f ca="1">SQRT($B$9*AVERAGE((Q1637:OFFSET(Q1637,$B$5-1,0))))</f>
        <v>#DIV/0!</v>
      </c>
      <c r="S1637" s="5" t="e">
        <f ca="1">SQRT($B$9*AVERAGE((Q1637:OFFSET(Q1637,$B$6-1,0))))</f>
        <v>#DIV/0!</v>
      </c>
      <c r="T1637" s="5" t="e">
        <f ca="1">SQRT($B$9*AVERAGE((Q1637:OFFSET(Q1637,$B$7-1,0))))</f>
        <v>#DIV/0!</v>
      </c>
      <c r="U1637" s="5" t="e">
        <f ca="1">SQRT($B$9*AVERAGE((Q1637:OFFSET(Q1637,$B$8-1,0))))</f>
        <v>#DIV/0!</v>
      </c>
      <c r="W1637" s="6" t="e">
        <f t="shared" si="132"/>
        <v>#DIV/0!</v>
      </c>
      <c r="X1637" s="6" t="e">
        <f ca="1">SQRT($B$9*AVERAGE(W1637:OFFSET(W1637,$B$5-1,0)))</f>
        <v>#DIV/0!</v>
      </c>
      <c r="Y1637" s="6" t="e">
        <f ca="1">SQRT($B$9*AVERAGE(W1637:OFFSET(W1637,$B$6-1,0)))</f>
        <v>#DIV/0!</v>
      </c>
      <c r="Z1637" s="6" t="e">
        <f ca="1">SQRT($B$9*AVERAGE(W1637:OFFSET(W1637,$B$7-1,0)))</f>
        <v>#DIV/0!</v>
      </c>
      <c r="AA1637" s="6" t="e">
        <f ca="1">SQRT($B$9*AVERAGE(W1637:OFFSET(W1637,$B$8-1,0)))</f>
        <v>#DIV/0!</v>
      </c>
      <c r="AC1637" s="34" t="e">
        <f t="shared" si="135"/>
        <v>#DIV/0!</v>
      </c>
      <c r="AD1637" s="34" t="e">
        <f ca="1">SQRT($B$9*SUM(AC1637:OFFSET(AC1637,$B$5-1,0))/($B$5-1))</f>
        <v>#DIV/0!</v>
      </c>
      <c r="AE1637" s="34" t="e">
        <f ca="1">SQRT($B$9*SUM(AC1637:OFFSET(AC1637,$B$6-1,0))/($B$6-1))</f>
        <v>#DIV/0!</v>
      </c>
      <c r="AF1637" s="34" t="e">
        <f ca="1">SQRT($B$9*SUM(AC1637:OFFSET(AC1637,$B$7-1,0))/($B$7-1))</f>
        <v>#DIV/0!</v>
      </c>
      <c r="AG1637" s="34" t="e">
        <f ca="1">SQRT($B$9*SUM(AC1637:OFFSET(AC1637,$B$8-1,0))/($B$8-1))</f>
        <v>#DIV/0!</v>
      </c>
      <c r="AI1637" s="1" t="e">
        <f t="shared" si="136"/>
        <v>#DIV/0!</v>
      </c>
      <c r="AJ1637" s="4" t="e">
        <f ca="1">SQRT($B$9)*_xlfn.STDEV.S(AI1637:OFFSET(AI1637,$B$5-1,0))</f>
        <v>#DIV/0!</v>
      </c>
      <c r="AK1637" s="4" t="e">
        <f ca="1">SQRT($B$9)*_xlfn.STDEV.S(AI1637:OFFSET(AI1637,$B$6-1,0))</f>
        <v>#DIV/0!</v>
      </c>
      <c r="AL1637" s="4" t="e">
        <f ca="1">SQRT($B$9)*_xlfn.STDEV.S(AI1637:OFFSET(AI1637,$B$7-1,0))</f>
        <v>#DIV/0!</v>
      </c>
      <c r="AM1637" s="4" t="e">
        <f ca="1">SQRT($B$9)*_xlfn.STDEV.S(AI1637:OFFSET(AI1637,$B$8-1,0))</f>
        <v>#DIV/0!</v>
      </c>
    </row>
    <row r="1638" spans="11:39" x14ac:dyDescent="0.2">
      <c r="K1638" s="3" t="e">
        <f t="shared" si="134"/>
        <v>#DIV/0!</v>
      </c>
      <c r="L1638" s="3" t="e">
        <f ca="1">SQRT(AVERAGE(K1638:OFFSET(K1638,$B$5-1,0))*$B$9/(4*LN(2)))</f>
        <v>#DIV/0!</v>
      </c>
      <c r="M1638" s="3" t="e">
        <f ca="1">SQRT(AVERAGE(K1638:OFFSET(K1638,$B$6-1,0))*$B$9/(4*LN(2)))</f>
        <v>#DIV/0!</v>
      </c>
      <c r="N1638" s="3" t="e">
        <f ca="1">SQRT(AVERAGE(K1638:OFFSET(K1638,$B$7-1,0))*$B$9/(4*LN(2)))</f>
        <v>#DIV/0!</v>
      </c>
      <c r="O1638" s="3" t="e">
        <f ca="1">SQRT(AVERAGE(K1638:OFFSET(K1638,$B$8-1,0))*$B$9/(4*LN(2)))</f>
        <v>#DIV/0!</v>
      </c>
      <c r="Q1638" s="5" t="e">
        <f t="shared" si="133"/>
        <v>#DIV/0!</v>
      </c>
      <c r="R1638" s="5" t="e">
        <f ca="1">SQRT($B$9*AVERAGE((Q1638:OFFSET(Q1638,$B$5-1,0))))</f>
        <v>#DIV/0!</v>
      </c>
      <c r="S1638" s="5" t="e">
        <f ca="1">SQRT($B$9*AVERAGE((Q1638:OFFSET(Q1638,$B$6-1,0))))</f>
        <v>#DIV/0!</v>
      </c>
      <c r="T1638" s="5" t="e">
        <f ca="1">SQRT($B$9*AVERAGE((Q1638:OFFSET(Q1638,$B$7-1,0))))</f>
        <v>#DIV/0!</v>
      </c>
      <c r="U1638" s="5" t="e">
        <f ca="1">SQRT($B$9*AVERAGE((Q1638:OFFSET(Q1638,$B$8-1,0))))</f>
        <v>#DIV/0!</v>
      </c>
      <c r="W1638" s="6" t="e">
        <f t="shared" si="132"/>
        <v>#DIV/0!</v>
      </c>
      <c r="X1638" s="6" t="e">
        <f ca="1">SQRT($B$9*AVERAGE(W1638:OFFSET(W1638,$B$5-1,0)))</f>
        <v>#DIV/0!</v>
      </c>
      <c r="Y1638" s="6" t="e">
        <f ca="1">SQRT($B$9*AVERAGE(W1638:OFFSET(W1638,$B$6-1,0)))</f>
        <v>#DIV/0!</v>
      </c>
      <c r="Z1638" s="6" t="e">
        <f ca="1">SQRT($B$9*AVERAGE(W1638:OFFSET(W1638,$B$7-1,0)))</f>
        <v>#DIV/0!</v>
      </c>
      <c r="AA1638" s="6" t="e">
        <f ca="1">SQRT($B$9*AVERAGE(W1638:OFFSET(W1638,$B$8-1,0)))</f>
        <v>#DIV/0!</v>
      </c>
      <c r="AC1638" s="34" t="e">
        <f t="shared" si="135"/>
        <v>#DIV/0!</v>
      </c>
      <c r="AD1638" s="34" t="e">
        <f ca="1">SQRT($B$9*SUM(AC1638:OFFSET(AC1638,$B$5-1,0))/($B$5-1))</f>
        <v>#DIV/0!</v>
      </c>
      <c r="AE1638" s="34" t="e">
        <f ca="1">SQRT($B$9*SUM(AC1638:OFFSET(AC1638,$B$6-1,0))/($B$6-1))</f>
        <v>#DIV/0!</v>
      </c>
      <c r="AF1638" s="34" t="e">
        <f ca="1">SQRT($B$9*SUM(AC1638:OFFSET(AC1638,$B$7-1,0))/($B$7-1))</f>
        <v>#DIV/0!</v>
      </c>
      <c r="AG1638" s="34" t="e">
        <f ca="1">SQRT($B$9*SUM(AC1638:OFFSET(AC1638,$B$8-1,0))/($B$8-1))</f>
        <v>#DIV/0!</v>
      </c>
      <c r="AI1638" s="1" t="e">
        <f t="shared" si="136"/>
        <v>#DIV/0!</v>
      </c>
      <c r="AJ1638" s="4" t="e">
        <f ca="1">SQRT($B$9)*_xlfn.STDEV.S(AI1638:OFFSET(AI1638,$B$5-1,0))</f>
        <v>#DIV/0!</v>
      </c>
      <c r="AK1638" s="4" t="e">
        <f ca="1">SQRT($B$9)*_xlfn.STDEV.S(AI1638:OFFSET(AI1638,$B$6-1,0))</f>
        <v>#DIV/0!</v>
      </c>
      <c r="AL1638" s="4" t="e">
        <f ca="1">SQRT($B$9)*_xlfn.STDEV.S(AI1638:OFFSET(AI1638,$B$7-1,0))</f>
        <v>#DIV/0!</v>
      </c>
      <c r="AM1638" s="4" t="e">
        <f ca="1">SQRT($B$9)*_xlfn.STDEV.S(AI1638:OFFSET(AI1638,$B$8-1,0))</f>
        <v>#DIV/0!</v>
      </c>
    </row>
    <row r="1639" spans="11:39" x14ac:dyDescent="0.2">
      <c r="K1639" s="3" t="e">
        <f t="shared" si="134"/>
        <v>#DIV/0!</v>
      </c>
      <c r="L1639" s="3" t="e">
        <f ca="1">SQRT(AVERAGE(K1639:OFFSET(K1639,$B$5-1,0))*$B$9/(4*LN(2)))</f>
        <v>#DIV/0!</v>
      </c>
      <c r="M1639" s="3" t="e">
        <f ca="1">SQRT(AVERAGE(K1639:OFFSET(K1639,$B$6-1,0))*$B$9/(4*LN(2)))</f>
        <v>#DIV/0!</v>
      </c>
      <c r="N1639" s="3" t="e">
        <f ca="1">SQRT(AVERAGE(K1639:OFFSET(K1639,$B$7-1,0))*$B$9/(4*LN(2)))</f>
        <v>#DIV/0!</v>
      </c>
      <c r="O1639" s="3" t="e">
        <f ca="1">SQRT(AVERAGE(K1639:OFFSET(K1639,$B$8-1,0))*$B$9/(4*LN(2)))</f>
        <v>#DIV/0!</v>
      </c>
      <c r="Q1639" s="5" t="e">
        <f t="shared" si="133"/>
        <v>#DIV/0!</v>
      </c>
      <c r="R1639" s="5" t="e">
        <f ca="1">SQRT($B$9*AVERAGE((Q1639:OFFSET(Q1639,$B$5-1,0))))</f>
        <v>#DIV/0!</v>
      </c>
      <c r="S1639" s="5" t="e">
        <f ca="1">SQRT($B$9*AVERAGE((Q1639:OFFSET(Q1639,$B$6-1,0))))</f>
        <v>#DIV/0!</v>
      </c>
      <c r="T1639" s="5" t="e">
        <f ca="1">SQRT($B$9*AVERAGE((Q1639:OFFSET(Q1639,$B$7-1,0))))</f>
        <v>#DIV/0!</v>
      </c>
      <c r="U1639" s="5" t="e">
        <f ca="1">SQRT($B$9*AVERAGE((Q1639:OFFSET(Q1639,$B$8-1,0))))</f>
        <v>#DIV/0!</v>
      </c>
      <c r="W1639" s="6" t="e">
        <f t="shared" ref="W1639:W1702" si="137">LN(G1639/I1639)*LN(G1639/F1639)+LN(H1639/I1639)*LN(H1639/F1639)</f>
        <v>#DIV/0!</v>
      </c>
      <c r="X1639" s="6" t="e">
        <f ca="1">SQRT($B$9*AVERAGE(W1639:OFFSET(W1639,$B$5-1,0)))</f>
        <v>#DIV/0!</v>
      </c>
      <c r="Y1639" s="6" t="e">
        <f ca="1">SQRT($B$9*AVERAGE(W1639:OFFSET(W1639,$B$6-1,0)))</f>
        <v>#DIV/0!</v>
      </c>
      <c r="Z1639" s="6" t="e">
        <f ca="1">SQRT($B$9*AVERAGE(W1639:OFFSET(W1639,$B$7-1,0)))</f>
        <v>#DIV/0!</v>
      </c>
      <c r="AA1639" s="6" t="e">
        <f ca="1">SQRT($B$9*AVERAGE(W1639:OFFSET(W1639,$B$8-1,0)))</f>
        <v>#DIV/0!</v>
      </c>
      <c r="AC1639" s="34" t="e">
        <f t="shared" si="135"/>
        <v>#DIV/0!</v>
      </c>
      <c r="AD1639" s="34" t="e">
        <f ca="1">SQRT($B$9*SUM(AC1639:OFFSET(AC1639,$B$5-1,0))/($B$5-1))</f>
        <v>#DIV/0!</v>
      </c>
      <c r="AE1639" s="34" t="e">
        <f ca="1">SQRT($B$9*SUM(AC1639:OFFSET(AC1639,$B$6-1,0))/($B$6-1))</f>
        <v>#DIV/0!</v>
      </c>
      <c r="AF1639" s="34" t="e">
        <f ca="1">SQRT($B$9*SUM(AC1639:OFFSET(AC1639,$B$7-1,0))/($B$7-1))</f>
        <v>#DIV/0!</v>
      </c>
      <c r="AG1639" s="34" t="e">
        <f ca="1">SQRT($B$9*SUM(AC1639:OFFSET(AC1639,$B$8-1,0))/($B$8-1))</f>
        <v>#DIV/0!</v>
      </c>
      <c r="AI1639" s="1" t="e">
        <f t="shared" si="136"/>
        <v>#DIV/0!</v>
      </c>
      <c r="AJ1639" s="4" t="e">
        <f ca="1">SQRT($B$9)*_xlfn.STDEV.S(AI1639:OFFSET(AI1639,$B$5-1,0))</f>
        <v>#DIV/0!</v>
      </c>
      <c r="AK1639" s="4" t="e">
        <f ca="1">SQRT($B$9)*_xlfn.STDEV.S(AI1639:OFFSET(AI1639,$B$6-1,0))</f>
        <v>#DIV/0!</v>
      </c>
      <c r="AL1639" s="4" t="e">
        <f ca="1">SQRT($B$9)*_xlfn.STDEV.S(AI1639:OFFSET(AI1639,$B$7-1,0))</f>
        <v>#DIV/0!</v>
      </c>
      <c r="AM1639" s="4" t="e">
        <f ca="1">SQRT($B$9)*_xlfn.STDEV.S(AI1639:OFFSET(AI1639,$B$8-1,0))</f>
        <v>#DIV/0!</v>
      </c>
    </row>
    <row r="1640" spans="11:39" x14ac:dyDescent="0.2">
      <c r="K1640" s="3" t="e">
        <f t="shared" si="134"/>
        <v>#DIV/0!</v>
      </c>
      <c r="L1640" s="3" t="e">
        <f ca="1">SQRT(AVERAGE(K1640:OFFSET(K1640,$B$5-1,0))*$B$9/(4*LN(2)))</f>
        <v>#DIV/0!</v>
      </c>
      <c r="M1640" s="3" t="e">
        <f ca="1">SQRT(AVERAGE(K1640:OFFSET(K1640,$B$6-1,0))*$B$9/(4*LN(2)))</f>
        <v>#DIV/0!</v>
      </c>
      <c r="N1640" s="3" t="e">
        <f ca="1">SQRT(AVERAGE(K1640:OFFSET(K1640,$B$7-1,0))*$B$9/(4*LN(2)))</f>
        <v>#DIV/0!</v>
      </c>
      <c r="O1640" s="3" t="e">
        <f ca="1">SQRT(AVERAGE(K1640:OFFSET(K1640,$B$8-1,0))*$B$9/(4*LN(2)))</f>
        <v>#DIV/0!</v>
      </c>
      <c r="Q1640" s="5" t="e">
        <f t="shared" si="133"/>
        <v>#DIV/0!</v>
      </c>
      <c r="R1640" s="5" t="e">
        <f ca="1">SQRT($B$9*AVERAGE((Q1640:OFFSET(Q1640,$B$5-1,0))))</f>
        <v>#DIV/0!</v>
      </c>
      <c r="S1640" s="5" t="e">
        <f ca="1">SQRT($B$9*AVERAGE((Q1640:OFFSET(Q1640,$B$6-1,0))))</f>
        <v>#DIV/0!</v>
      </c>
      <c r="T1640" s="5" t="e">
        <f ca="1">SQRT($B$9*AVERAGE((Q1640:OFFSET(Q1640,$B$7-1,0))))</f>
        <v>#DIV/0!</v>
      </c>
      <c r="U1640" s="5" t="e">
        <f ca="1">SQRT($B$9*AVERAGE((Q1640:OFFSET(Q1640,$B$8-1,0))))</f>
        <v>#DIV/0!</v>
      </c>
      <c r="W1640" s="6" t="e">
        <f t="shared" si="137"/>
        <v>#DIV/0!</v>
      </c>
      <c r="X1640" s="6" t="e">
        <f ca="1">SQRT($B$9*AVERAGE(W1640:OFFSET(W1640,$B$5-1,0)))</f>
        <v>#DIV/0!</v>
      </c>
      <c r="Y1640" s="6" t="e">
        <f ca="1">SQRT($B$9*AVERAGE(W1640:OFFSET(W1640,$B$6-1,0)))</f>
        <v>#DIV/0!</v>
      </c>
      <c r="Z1640" s="6" t="e">
        <f ca="1">SQRT($B$9*AVERAGE(W1640:OFFSET(W1640,$B$7-1,0)))</f>
        <v>#DIV/0!</v>
      </c>
      <c r="AA1640" s="6" t="e">
        <f ca="1">SQRT($B$9*AVERAGE(W1640:OFFSET(W1640,$B$8-1,0)))</f>
        <v>#DIV/0!</v>
      </c>
      <c r="AC1640" s="34" t="e">
        <f t="shared" si="135"/>
        <v>#DIV/0!</v>
      </c>
      <c r="AD1640" s="34" t="e">
        <f ca="1">SQRT($B$9*SUM(AC1640:OFFSET(AC1640,$B$5-1,0))/($B$5-1))</f>
        <v>#DIV/0!</v>
      </c>
      <c r="AE1640" s="34" t="e">
        <f ca="1">SQRT($B$9*SUM(AC1640:OFFSET(AC1640,$B$6-1,0))/($B$6-1))</f>
        <v>#DIV/0!</v>
      </c>
      <c r="AF1640" s="34" t="e">
        <f ca="1">SQRT($B$9*SUM(AC1640:OFFSET(AC1640,$B$7-1,0))/($B$7-1))</f>
        <v>#DIV/0!</v>
      </c>
      <c r="AG1640" s="34" t="e">
        <f ca="1">SQRT($B$9*SUM(AC1640:OFFSET(AC1640,$B$8-1,0))/($B$8-1))</f>
        <v>#DIV/0!</v>
      </c>
      <c r="AI1640" s="1" t="e">
        <f t="shared" si="136"/>
        <v>#DIV/0!</v>
      </c>
      <c r="AJ1640" s="4" t="e">
        <f ca="1">SQRT($B$9)*_xlfn.STDEV.S(AI1640:OFFSET(AI1640,$B$5-1,0))</f>
        <v>#DIV/0!</v>
      </c>
      <c r="AK1640" s="4" t="e">
        <f ca="1">SQRT($B$9)*_xlfn.STDEV.S(AI1640:OFFSET(AI1640,$B$6-1,0))</f>
        <v>#DIV/0!</v>
      </c>
      <c r="AL1640" s="4" t="e">
        <f ca="1">SQRT($B$9)*_xlfn.STDEV.S(AI1640:OFFSET(AI1640,$B$7-1,0))</f>
        <v>#DIV/0!</v>
      </c>
      <c r="AM1640" s="4" t="e">
        <f ca="1">SQRT($B$9)*_xlfn.STDEV.S(AI1640:OFFSET(AI1640,$B$8-1,0))</f>
        <v>#DIV/0!</v>
      </c>
    </row>
    <row r="1641" spans="11:39" x14ac:dyDescent="0.2">
      <c r="K1641" s="3" t="e">
        <f t="shared" si="134"/>
        <v>#DIV/0!</v>
      </c>
      <c r="L1641" s="3" t="e">
        <f ca="1">SQRT(AVERAGE(K1641:OFFSET(K1641,$B$5-1,0))*$B$9/(4*LN(2)))</f>
        <v>#DIV/0!</v>
      </c>
      <c r="M1641" s="3" t="e">
        <f ca="1">SQRT(AVERAGE(K1641:OFFSET(K1641,$B$6-1,0))*$B$9/(4*LN(2)))</f>
        <v>#DIV/0!</v>
      </c>
      <c r="N1641" s="3" t="e">
        <f ca="1">SQRT(AVERAGE(K1641:OFFSET(K1641,$B$7-1,0))*$B$9/(4*LN(2)))</f>
        <v>#DIV/0!</v>
      </c>
      <c r="O1641" s="3" t="e">
        <f ca="1">SQRT(AVERAGE(K1641:OFFSET(K1641,$B$8-1,0))*$B$9/(4*LN(2)))</f>
        <v>#DIV/0!</v>
      </c>
      <c r="Q1641" s="5" t="e">
        <f t="shared" si="133"/>
        <v>#DIV/0!</v>
      </c>
      <c r="R1641" s="5" t="e">
        <f ca="1">SQRT($B$9*AVERAGE((Q1641:OFFSET(Q1641,$B$5-1,0))))</f>
        <v>#DIV/0!</v>
      </c>
      <c r="S1641" s="5" t="e">
        <f ca="1">SQRT($B$9*AVERAGE((Q1641:OFFSET(Q1641,$B$6-1,0))))</f>
        <v>#DIV/0!</v>
      </c>
      <c r="T1641" s="5" t="e">
        <f ca="1">SQRT($B$9*AVERAGE((Q1641:OFFSET(Q1641,$B$7-1,0))))</f>
        <v>#DIV/0!</v>
      </c>
      <c r="U1641" s="5" t="e">
        <f ca="1">SQRT($B$9*AVERAGE((Q1641:OFFSET(Q1641,$B$8-1,0))))</f>
        <v>#DIV/0!</v>
      </c>
      <c r="W1641" s="6" t="e">
        <f t="shared" si="137"/>
        <v>#DIV/0!</v>
      </c>
      <c r="X1641" s="6" t="e">
        <f ca="1">SQRT($B$9*AVERAGE(W1641:OFFSET(W1641,$B$5-1,0)))</f>
        <v>#DIV/0!</v>
      </c>
      <c r="Y1641" s="6" t="e">
        <f ca="1">SQRT($B$9*AVERAGE(W1641:OFFSET(W1641,$B$6-1,0)))</f>
        <v>#DIV/0!</v>
      </c>
      <c r="Z1641" s="6" t="e">
        <f ca="1">SQRT($B$9*AVERAGE(W1641:OFFSET(W1641,$B$7-1,0)))</f>
        <v>#DIV/0!</v>
      </c>
      <c r="AA1641" s="6" t="e">
        <f ca="1">SQRT($B$9*AVERAGE(W1641:OFFSET(W1641,$B$8-1,0)))</f>
        <v>#DIV/0!</v>
      </c>
      <c r="AC1641" s="34" t="e">
        <f t="shared" si="135"/>
        <v>#DIV/0!</v>
      </c>
      <c r="AD1641" s="34" t="e">
        <f ca="1">SQRT($B$9*SUM(AC1641:OFFSET(AC1641,$B$5-1,0))/($B$5-1))</f>
        <v>#DIV/0!</v>
      </c>
      <c r="AE1641" s="34" t="e">
        <f ca="1">SQRT($B$9*SUM(AC1641:OFFSET(AC1641,$B$6-1,0))/($B$6-1))</f>
        <v>#DIV/0!</v>
      </c>
      <c r="AF1641" s="34" t="e">
        <f ca="1">SQRT($B$9*SUM(AC1641:OFFSET(AC1641,$B$7-1,0))/($B$7-1))</f>
        <v>#DIV/0!</v>
      </c>
      <c r="AG1641" s="34" t="e">
        <f ca="1">SQRT($B$9*SUM(AC1641:OFFSET(AC1641,$B$8-1,0))/($B$8-1))</f>
        <v>#DIV/0!</v>
      </c>
      <c r="AI1641" s="1" t="e">
        <f t="shared" si="136"/>
        <v>#DIV/0!</v>
      </c>
      <c r="AJ1641" s="4" t="e">
        <f ca="1">SQRT($B$9)*_xlfn.STDEV.S(AI1641:OFFSET(AI1641,$B$5-1,0))</f>
        <v>#DIV/0!</v>
      </c>
      <c r="AK1641" s="4" t="e">
        <f ca="1">SQRT($B$9)*_xlfn.STDEV.S(AI1641:OFFSET(AI1641,$B$6-1,0))</f>
        <v>#DIV/0!</v>
      </c>
      <c r="AL1641" s="4" t="e">
        <f ca="1">SQRT($B$9)*_xlfn.STDEV.S(AI1641:OFFSET(AI1641,$B$7-1,0))</f>
        <v>#DIV/0!</v>
      </c>
      <c r="AM1641" s="4" t="e">
        <f ca="1">SQRT($B$9)*_xlfn.STDEV.S(AI1641:OFFSET(AI1641,$B$8-1,0))</f>
        <v>#DIV/0!</v>
      </c>
    </row>
    <row r="1642" spans="11:39" x14ac:dyDescent="0.2">
      <c r="K1642" s="3" t="e">
        <f t="shared" si="134"/>
        <v>#DIV/0!</v>
      </c>
      <c r="L1642" s="3" t="e">
        <f ca="1">SQRT(AVERAGE(K1642:OFFSET(K1642,$B$5-1,0))*$B$9/(4*LN(2)))</f>
        <v>#DIV/0!</v>
      </c>
      <c r="M1642" s="3" t="e">
        <f ca="1">SQRT(AVERAGE(K1642:OFFSET(K1642,$B$6-1,0))*$B$9/(4*LN(2)))</f>
        <v>#DIV/0!</v>
      </c>
      <c r="N1642" s="3" t="e">
        <f ca="1">SQRT(AVERAGE(K1642:OFFSET(K1642,$B$7-1,0))*$B$9/(4*LN(2)))</f>
        <v>#DIV/0!</v>
      </c>
      <c r="O1642" s="3" t="e">
        <f ca="1">SQRT(AVERAGE(K1642:OFFSET(K1642,$B$8-1,0))*$B$9/(4*LN(2)))</f>
        <v>#DIV/0!</v>
      </c>
      <c r="Q1642" s="5" t="e">
        <f t="shared" si="133"/>
        <v>#DIV/0!</v>
      </c>
      <c r="R1642" s="5" t="e">
        <f ca="1">SQRT($B$9*AVERAGE((Q1642:OFFSET(Q1642,$B$5-1,0))))</f>
        <v>#DIV/0!</v>
      </c>
      <c r="S1642" s="5" t="e">
        <f ca="1">SQRT($B$9*AVERAGE((Q1642:OFFSET(Q1642,$B$6-1,0))))</f>
        <v>#DIV/0!</v>
      </c>
      <c r="T1642" s="5" t="e">
        <f ca="1">SQRT($B$9*AVERAGE((Q1642:OFFSET(Q1642,$B$7-1,0))))</f>
        <v>#DIV/0!</v>
      </c>
      <c r="U1642" s="5" t="e">
        <f ca="1">SQRT($B$9*AVERAGE((Q1642:OFFSET(Q1642,$B$8-1,0))))</f>
        <v>#DIV/0!</v>
      </c>
      <c r="W1642" s="6" t="e">
        <f t="shared" si="137"/>
        <v>#DIV/0!</v>
      </c>
      <c r="X1642" s="6" t="e">
        <f ca="1">SQRT($B$9*AVERAGE(W1642:OFFSET(W1642,$B$5-1,0)))</f>
        <v>#DIV/0!</v>
      </c>
      <c r="Y1642" s="6" t="e">
        <f ca="1">SQRT($B$9*AVERAGE(W1642:OFFSET(W1642,$B$6-1,0)))</f>
        <v>#DIV/0!</v>
      </c>
      <c r="Z1642" s="6" t="e">
        <f ca="1">SQRT($B$9*AVERAGE(W1642:OFFSET(W1642,$B$7-1,0)))</f>
        <v>#DIV/0!</v>
      </c>
      <c r="AA1642" s="6" t="e">
        <f ca="1">SQRT($B$9*AVERAGE(W1642:OFFSET(W1642,$B$8-1,0)))</f>
        <v>#DIV/0!</v>
      </c>
      <c r="AC1642" s="34" t="e">
        <f t="shared" si="135"/>
        <v>#DIV/0!</v>
      </c>
      <c r="AD1642" s="34" t="e">
        <f ca="1">SQRT($B$9*SUM(AC1642:OFFSET(AC1642,$B$5-1,0))/($B$5-1))</f>
        <v>#DIV/0!</v>
      </c>
      <c r="AE1642" s="34" t="e">
        <f ca="1">SQRT($B$9*SUM(AC1642:OFFSET(AC1642,$B$6-1,0))/($B$6-1))</f>
        <v>#DIV/0!</v>
      </c>
      <c r="AF1642" s="34" t="e">
        <f ca="1">SQRT($B$9*SUM(AC1642:OFFSET(AC1642,$B$7-1,0))/($B$7-1))</f>
        <v>#DIV/0!</v>
      </c>
      <c r="AG1642" s="34" t="e">
        <f ca="1">SQRT($B$9*SUM(AC1642:OFFSET(AC1642,$B$8-1,0))/($B$8-1))</f>
        <v>#DIV/0!</v>
      </c>
      <c r="AI1642" s="1" t="e">
        <f t="shared" si="136"/>
        <v>#DIV/0!</v>
      </c>
      <c r="AJ1642" s="4" t="e">
        <f ca="1">SQRT($B$9)*_xlfn.STDEV.S(AI1642:OFFSET(AI1642,$B$5-1,0))</f>
        <v>#DIV/0!</v>
      </c>
      <c r="AK1642" s="4" t="e">
        <f ca="1">SQRT($B$9)*_xlfn.STDEV.S(AI1642:OFFSET(AI1642,$B$6-1,0))</f>
        <v>#DIV/0!</v>
      </c>
      <c r="AL1642" s="4" t="e">
        <f ca="1">SQRT($B$9)*_xlfn.STDEV.S(AI1642:OFFSET(AI1642,$B$7-1,0))</f>
        <v>#DIV/0!</v>
      </c>
      <c r="AM1642" s="4" t="e">
        <f ca="1">SQRT($B$9)*_xlfn.STDEV.S(AI1642:OFFSET(AI1642,$B$8-1,0))</f>
        <v>#DIV/0!</v>
      </c>
    </row>
    <row r="1643" spans="11:39" x14ac:dyDescent="0.2">
      <c r="K1643" s="3" t="e">
        <f t="shared" si="134"/>
        <v>#DIV/0!</v>
      </c>
      <c r="L1643" s="3" t="e">
        <f ca="1">SQRT(AVERAGE(K1643:OFFSET(K1643,$B$5-1,0))*$B$9/(4*LN(2)))</f>
        <v>#DIV/0!</v>
      </c>
      <c r="M1643" s="3" t="e">
        <f ca="1">SQRT(AVERAGE(K1643:OFFSET(K1643,$B$6-1,0))*$B$9/(4*LN(2)))</f>
        <v>#DIV/0!</v>
      </c>
      <c r="N1643" s="3" t="e">
        <f ca="1">SQRT(AVERAGE(K1643:OFFSET(K1643,$B$7-1,0))*$B$9/(4*LN(2)))</f>
        <v>#DIV/0!</v>
      </c>
      <c r="O1643" s="3" t="e">
        <f ca="1">SQRT(AVERAGE(K1643:OFFSET(K1643,$B$8-1,0))*$B$9/(4*LN(2)))</f>
        <v>#DIV/0!</v>
      </c>
      <c r="Q1643" s="5" t="e">
        <f t="shared" si="133"/>
        <v>#DIV/0!</v>
      </c>
      <c r="R1643" s="5" t="e">
        <f ca="1">SQRT($B$9*AVERAGE((Q1643:OFFSET(Q1643,$B$5-1,0))))</f>
        <v>#DIV/0!</v>
      </c>
      <c r="S1643" s="5" t="e">
        <f ca="1">SQRT($B$9*AVERAGE((Q1643:OFFSET(Q1643,$B$6-1,0))))</f>
        <v>#DIV/0!</v>
      </c>
      <c r="T1643" s="5" t="e">
        <f ca="1">SQRT($B$9*AVERAGE((Q1643:OFFSET(Q1643,$B$7-1,0))))</f>
        <v>#DIV/0!</v>
      </c>
      <c r="U1643" s="5" t="e">
        <f ca="1">SQRT($B$9*AVERAGE((Q1643:OFFSET(Q1643,$B$8-1,0))))</f>
        <v>#DIV/0!</v>
      </c>
      <c r="W1643" s="6" t="e">
        <f t="shared" si="137"/>
        <v>#DIV/0!</v>
      </c>
      <c r="X1643" s="6" t="e">
        <f ca="1">SQRT($B$9*AVERAGE(W1643:OFFSET(W1643,$B$5-1,0)))</f>
        <v>#DIV/0!</v>
      </c>
      <c r="Y1643" s="6" t="e">
        <f ca="1">SQRT($B$9*AVERAGE(W1643:OFFSET(W1643,$B$6-1,0)))</f>
        <v>#DIV/0!</v>
      </c>
      <c r="Z1643" s="6" t="e">
        <f ca="1">SQRT($B$9*AVERAGE(W1643:OFFSET(W1643,$B$7-1,0)))</f>
        <v>#DIV/0!</v>
      </c>
      <c r="AA1643" s="6" t="e">
        <f ca="1">SQRT($B$9*AVERAGE(W1643:OFFSET(W1643,$B$8-1,0)))</f>
        <v>#DIV/0!</v>
      </c>
      <c r="AC1643" s="34" t="e">
        <f t="shared" si="135"/>
        <v>#DIV/0!</v>
      </c>
      <c r="AD1643" s="34" t="e">
        <f ca="1">SQRT($B$9*SUM(AC1643:OFFSET(AC1643,$B$5-1,0))/($B$5-1))</f>
        <v>#DIV/0!</v>
      </c>
      <c r="AE1643" s="34" t="e">
        <f ca="1">SQRT($B$9*SUM(AC1643:OFFSET(AC1643,$B$6-1,0))/($B$6-1))</f>
        <v>#DIV/0!</v>
      </c>
      <c r="AF1643" s="34" t="e">
        <f ca="1">SQRT($B$9*SUM(AC1643:OFFSET(AC1643,$B$7-1,0))/($B$7-1))</f>
        <v>#DIV/0!</v>
      </c>
      <c r="AG1643" s="34" t="e">
        <f ca="1">SQRT($B$9*SUM(AC1643:OFFSET(AC1643,$B$8-1,0))/($B$8-1))</f>
        <v>#DIV/0!</v>
      </c>
      <c r="AI1643" s="1" t="e">
        <f t="shared" si="136"/>
        <v>#DIV/0!</v>
      </c>
      <c r="AJ1643" s="4" t="e">
        <f ca="1">SQRT($B$9)*_xlfn.STDEV.S(AI1643:OFFSET(AI1643,$B$5-1,0))</f>
        <v>#DIV/0!</v>
      </c>
      <c r="AK1643" s="4" t="e">
        <f ca="1">SQRT($B$9)*_xlfn.STDEV.S(AI1643:OFFSET(AI1643,$B$6-1,0))</f>
        <v>#DIV/0!</v>
      </c>
      <c r="AL1643" s="4" t="e">
        <f ca="1">SQRT($B$9)*_xlfn.STDEV.S(AI1643:OFFSET(AI1643,$B$7-1,0))</f>
        <v>#DIV/0!</v>
      </c>
      <c r="AM1643" s="4" t="e">
        <f ca="1">SQRT($B$9)*_xlfn.STDEV.S(AI1643:OFFSET(AI1643,$B$8-1,0))</f>
        <v>#DIV/0!</v>
      </c>
    </row>
    <row r="1644" spans="11:39" x14ac:dyDescent="0.2">
      <c r="K1644" s="3" t="e">
        <f t="shared" si="134"/>
        <v>#DIV/0!</v>
      </c>
      <c r="L1644" s="3" t="e">
        <f ca="1">SQRT(AVERAGE(K1644:OFFSET(K1644,$B$5-1,0))*$B$9/(4*LN(2)))</f>
        <v>#DIV/0!</v>
      </c>
      <c r="M1644" s="3" t="e">
        <f ca="1">SQRT(AVERAGE(K1644:OFFSET(K1644,$B$6-1,0))*$B$9/(4*LN(2)))</f>
        <v>#DIV/0!</v>
      </c>
      <c r="N1644" s="3" t="e">
        <f ca="1">SQRT(AVERAGE(K1644:OFFSET(K1644,$B$7-1,0))*$B$9/(4*LN(2)))</f>
        <v>#DIV/0!</v>
      </c>
      <c r="O1644" s="3" t="e">
        <f ca="1">SQRT(AVERAGE(K1644:OFFSET(K1644,$B$8-1,0))*$B$9/(4*LN(2)))</f>
        <v>#DIV/0!</v>
      </c>
      <c r="Q1644" s="5" t="e">
        <f t="shared" si="133"/>
        <v>#DIV/0!</v>
      </c>
      <c r="R1644" s="5" t="e">
        <f ca="1">SQRT($B$9*AVERAGE((Q1644:OFFSET(Q1644,$B$5-1,0))))</f>
        <v>#DIV/0!</v>
      </c>
      <c r="S1644" s="5" t="e">
        <f ca="1">SQRT($B$9*AVERAGE((Q1644:OFFSET(Q1644,$B$6-1,0))))</f>
        <v>#DIV/0!</v>
      </c>
      <c r="T1644" s="5" t="e">
        <f ca="1">SQRT($B$9*AVERAGE((Q1644:OFFSET(Q1644,$B$7-1,0))))</f>
        <v>#DIV/0!</v>
      </c>
      <c r="U1644" s="5" t="e">
        <f ca="1">SQRT($B$9*AVERAGE((Q1644:OFFSET(Q1644,$B$8-1,0))))</f>
        <v>#DIV/0!</v>
      </c>
      <c r="W1644" s="6" t="e">
        <f t="shared" si="137"/>
        <v>#DIV/0!</v>
      </c>
      <c r="X1644" s="6" t="e">
        <f ca="1">SQRT($B$9*AVERAGE(W1644:OFFSET(W1644,$B$5-1,0)))</f>
        <v>#DIV/0!</v>
      </c>
      <c r="Y1644" s="6" t="e">
        <f ca="1">SQRT($B$9*AVERAGE(W1644:OFFSET(W1644,$B$6-1,0)))</f>
        <v>#DIV/0!</v>
      </c>
      <c r="Z1644" s="6" t="e">
        <f ca="1">SQRT($B$9*AVERAGE(W1644:OFFSET(W1644,$B$7-1,0)))</f>
        <v>#DIV/0!</v>
      </c>
      <c r="AA1644" s="6" t="e">
        <f ca="1">SQRT($B$9*AVERAGE(W1644:OFFSET(W1644,$B$8-1,0)))</f>
        <v>#DIV/0!</v>
      </c>
      <c r="AC1644" s="34" t="e">
        <f t="shared" si="135"/>
        <v>#DIV/0!</v>
      </c>
      <c r="AD1644" s="34" t="e">
        <f ca="1">SQRT($B$9*SUM(AC1644:OFFSET(AC1644,$B$5-1,0))/($B$5-1))</f>
        <v>#DIV/0!</v>
      </c>
      <c r="AE1644" s="34" t="e">
        <f ca="1">SQRT($B$9*SUM(AC1644:OFFSET(AC1644,$B$6-1,0))/($B$6-1))</f>
        <v>#DIV/0!</v>
      </c>
      <c r="AF1644" s="34" t="e">
        <f ca="1">SQRT($B$9*SUM(AC1644:OFFSET(AC1644,$B$7-1,0))/($B$7-1))</f>
        <v>#DIV/0!</v>
      </c>
      <c r="AG1644" s="34" t="e">
        <f ca="1">SQRT($B$9*SUM(AC1644:OFFSET(AC1644,$B$8-1,0))/($B$8-1))</f>
        <v>#DIV/0!</v>
      </c>
      <c r="AI1644" s="1" t="e">
        <f t="shared" si="136"/>
        <v>#DIV/0!</v>
      </c>
      <c r="AJ1644" s="4" t="e">
        <f ca="1">SQRT($B$9)*_xlfn.STDEV.S(AI1644:OFFSET(AI1644,$B$5-1,0))</f>
        <v>#DIV/0!</v>
      </c>
      <c r="AK1644" s="4" t="e">
        <f ca="1">SQRT($B$9)*_xlfn.STDEV.S(AI1644:OFFSET(AI1644,$B$6-1,0))</f>
        <v>#DIV/0!</v>
      </c>
      <c r="AL1644" s="4" t="e">
        <f ca="1">SQRT($B$9)*_xlfn.STDEV.S(AI1644:OFFSET(AI1644,$B$7-1,0))</f>
        <v>#DIV/0!</v>
      </c>
      <c r="AM1644" s="4" t="e">
        <f ca="1">SQRT($B$9)*_xlfn.STDEV.S(AI1644:OFFSET(AI1644,$B$8-1,0))</f>
        <v>#DIV/0!</v>
      </c>
    </row>
    <row r="1645" spans="11:39" x14ac:dyDescent="0.2">
      <c r="K1645" s="3" t="e">
        <f t="shared" si="134"/>
        <v>#DIV/0!</v>
      </c>
      <c r="L1645" s="3" t="e">
        <f ca="1">SQRT(AVERAGE(K1645:OFFSET(K1645,$B$5-1,0))*$B$9/(4*LN(2)))</f>
        <v>#DIV/0!</v>
      </c>
      <c r="M1645" s="3" t="e">
        <f ca="1">SQRT(AVERAGE(K1645:OFFSET(K1645,$B$6-1,0))*$B$9/(4*LN(2)))</f>
        <v>#DIV/0!</v>
      </c>
      <c r="N1645" s="3" t="e">
        <f ca="1">SQRT(AVERAGE(K1645:OFFSET(K1645,$B$7-1,0))*$B$9/(4*LN(2)))</f>
        <v>#DIV/0!</v>
      </c>
      <c r="O1645" s="3" t="e">
        <f ca="1">SQRT(AVERAGE(K1645:OFFSET(K1645,$B$8-1,0))*$B$9/(4*LN(2)))</f>
        <v>#DIV/0!</v>
      </c>
      <c r="Q1645" s="5" t="e">
        <f t="shared" si="133"/>
        <v>#DIV/0!</v>
      </c>
      <c r="R1645" s="5" t="e">
        <f ca="1">SQRT($B$9*AVERAGE((Q1645:OFFSET(Q1645,$B$5-1,0))))</f>
        <v>#DIV/0!</v>
      </c>
      <c r="S1645" s="5" t="e">
        <f ca="1">SQRT($B$9*AVERAGE((Q1645:OFFSET(Q1645,$B$6-1,0))))</f>
        <v>#DIV/0!</v>
      </c>
      <c r="T1645" s="5" t="e">
        <f ca="1">SQRT($B$9*AVERAGE((Q1645:OFFSET(Q1645,$B$7-1,0))))</f>
        <v>#DIV/0!</v>
      </c>
      <c r="U1645" s="5" t="e">
        <f ca="1">SQRT($B$9*AVERAGE((Q1645:OFFSET(Q1645,$B$8-1,0))))</f>
        <v>#DIV/0!</v>
      </c>
      <c r="W1645" s="6" t="e">
        <f t="shared" si="137"/>
        <v>#DIV/0!</v>
      </c>
      <c r="X1645" s="6" t="e">
        <f ca="1">SQRT($B$9*AVERAGE(W1645:OFFSET(W1645,$B$5-1,0)))</f>
        <v>#DIV/0!</v>
      </c>
      <c r="Y1645" s="6" t="e">
        <f ca="1">SQRT($B$9*AVERAGE(W1645:OFFSET(W1645,$B$6-1,0)))</f>
        <v>#DIV/0!</v>
      </c>
      <c r="Z1645" s="6" t="e">
        <f ca="1">SQRT($B$9*AVERAGE(W1645:OFFSET(W1645,$B$7-1,0)))</f>
        <v>#DIV/0!</v>
      </c>
      <c r="AA1645" s="6" t="e">
        <f ca="1">SQRT($B$9*AVERAGE(W1645:OFFSET(W1645,$B$8-1,0)))</f>
        <v>#DIV/0!</v>
      </c>
      <c r="AC1645" s="34" t="e">
        <f t="shared" si="135"/>
        <v>#DIV/0!</v>
      </c>
      <c r="AD1645" s="34" t="e">
        <f ca="1">SQRT($B$9*SUM(AC1645:OFFSET(AC1645,$B$5-1,0))/($B$5-1))</f>
        <v>#DIV/0!</v>
      </c>
      <c r="AE1645" s="34" t="e">
        <f ca="1">SQRT($B$9*SUM(AC1645:OFFSET(AC1645,$B$6-1,0))/($B$6-1))</f>
        <v>#DIV/0!</v>
      </c>
      <c r="AF1645" s="34" t="e">
        <f ca="1">SQRT($B$9*SUM(AC1645:OFFSET(AC1645,$B$7-1,0))/($B$7-1))</f>
        <v>#DIV/0!</v>
      </c>
      <c r="AG1645" s="34" t="e">
        <f ca="1">SQRT($B$9*SUM(AC1645:OFFSET(AC1645,$B$8-1,0))/($B$8-1))</f>
        <v>#DIV/0!</v>
      </c>
      <c r="AI1645" s="1" t="e">
        <f t="shared" si="136"/>
        <v>#DIV/0!</v>
      </c>
      <c r="AJ1645" s="4" t="e">
        <f ca="1">SQRT($B$9)*_xlfn.STDEV.S(AI1645:OFFSET(AI1645,$B$5-1,0))</f>
        <v>#DIV/0!</v>
      </c>
      <c r="AK1645" s="4" t="e">
        <f ca="1">SQRT($B$9)*_xlfn.STDEV.S(AI1645:OFFSET(AI1645,$B$6-1,0))</f>
        <v>#DIV/0!</v>
      </c>
      <c r="AL1645" s="4" t="e">
        <f ca="1">SQRT($B$9)*_xlfn.STDEV.S(AI1645:OFFSET(AI1645,$B$7-1,0))</f>
        <v>#DIV/0!</v>
      </c>
      <c r="AM1645" s="4" t="e">
        <f ca="1">SQRT($B$9)*_xlfn.STDEV.S(AI1645:OFFSET(AI1645,$B$8-1,0))</f>
        <v>#DIV/0!</v>
      </c>
    </row>
    <row r="1646" spans="11:39" x14ac:dyDescent="0.2">
      <c r="K1646" s="3" t="e">
        <f t="shared" si="134"/>
        <v>#DIV/0!</v>
      </c>
      <c r="L1646" s="3" t="e">
        <f ca="1">SQRT(AVERAGE(K1646:OFFSET(K1646,$B$5-1,0))*$B$9/(4*LN(2)))</f>
        <v>#DIV/0!</v>
      </c>
      <c r="M1646" s="3" t="e">
        <f ca="1">SQRT(AVERAGE(K1646:OFFSET(K1646,$B$6-1,0))*$B$9/(4*LN(2)))</f>
        <v>#DIV/0!</v>
      </c>
      <c r="N1646" s="3" t="e">
        <f ca="1">SQRT(AVERAGE(K1646:OFFSET(K1646,$B$7-1,0))*$B$9/(4*LN(2)))</f>
        <v>#DIV/0!</v>
      </c>
      <c r="O1646" s="3" t="e">
        <f ca="1">SQRT(AVERAGE(K1646:OFFSET(K1646,$B$8-1,0))*$B$9/(4*LN(2)))</f>
        <v>#DIV/0!</v>
      </c>
      <c r="Q1646" s="5" t="e">
        <f t="shared" si="133"/>
        <v>#DIV/0!</v>
      </c>
      <c r="R1646" s="5" t="e">
        <f ca="1">SQRT($B$9*AVERAGE((Q1646:OFFSET(Q1646,$B$5-1,0))))</f>
        <v>#DIV/0!</v>
      </c>
      <c r="S1646" s="5" t="e">
        <f ca="1">SQRT($B$9*AVERAGE((Q1646:OFFSET(Q1646,$B$6-1,0))))</f>
        <v>#DIV/0!</v>
      </c>
      <c r="T1646" s="5" t="e">
        <f ca="1">SQRT($B$9*AVERAGE((Q1646:OFFSET(Q1646,$B$7-1,0))))</f>
        <v>#DIV/0!</v>
      </c>
      <c r="U1646" s="5" t="e">
        <f ca="1">SQRT($B$9*AVERAGE((Q1646:OFFSET(Q1646,$B$8-1,0))))</f>
        <v>#DIV/0!</v>
      </c>
      <c r="W1646" s="6" t="e">
        <f t="shared" si="137"/>
        <v>#DIV/0!</v>
      </c>
      <c r="X1646" s="6" t="e">
        <f ca="1">SQRT($B$9*AVERAGE(W1646:OFFSET(W1646,$B$5-1,0)))</f>
        <v>#DIV/0!</v>
      </c>
      <c r="Y1646" s="6" t="e">
        <f ca="1">SQRT($B$9*AVERAGE(W1646:OFFSET(W1646,$B$6-1,0)))</f>
        <v>#DIV/0!</v>
      </c>
      <c r="Z1646" s="6" t="e">
        <f ca="1">SQRT($B$9*AVERAGE(W1646:OFFSET(W1646,$B$7-1,0)))</f>
        <v>#DIV/0!</v>
      </c>
      <c r="AA1646" s="6" t="e">
        <f ca="1">SQRT($B$9*AVERAGE(W1646:OFFSET(W1646,$B$8-1,0)))</f>
        <v>#DIV/0!</v>
      </c>
      <c r="AC1646" s="34" t="e">
        <f t="shared" si="135"/>
        <v>#DIV/0!</v>
      </c>
      <c r="AD1646" s="34" t="e">
        <f ca="1">SQRT($B$9*SUM(AC1646:OFFSET(AC1646,$B$5-1,0))/($B$5-1))</f>
        <v>#DIV/0!</v>
      </c>
      <c r="AE1646" s="34" t="e">
        <f ca="1">SQRT($B$9*SUM(AC1646:OFFSET(AC1646,$B$6-1,0))/($B$6-1))</f>
        <v>#DIV/0!</v>
      </c>
      <c r="AF1646" s="34" t="e">
        <f ca="1">SQRT($B$9*SUM(AC1646:OFFSET(AC1646,$B$7-1,0))/($B$7-1))</f>
        <v>#DIV/0!</v>
      </c>
      <c r="AG1646" s="34" t="e">
        <f ca="1">SQRT($B$9*SUM(AC1646:OFFSET(AC1646,$B$8-1,0))/($B$8-1))</f>
        <v>#DIV/0!</v>
      </c>
      <c r="AI1646" s="1" t="e">
        <f t="shared" si="136"/>
        <v>#DIV/0!</v>
      </c>
      <c r="AJ1646" s="4" t="e">
        <f ca="1">SQRT($B$9)*_xlfn.STDEV.S(AI1646:OFFSET(AI1646,$B$5-1,0))</f>
        <v>#DIV/0!</v>
      </c>
      <c r="AK1646" s="4" t="e">
        <f ca="1">SQRT($B$9)*_xlfn.STDEV.S(AI1646:OFFSET(AI1646,$B$6-1,0))</f>
        <v>#DIV/0!</v>
      </c>
      <c r="AL1646" s="4" t="e">
        <f ca="1">SQRT($B$9)*_xlfn.STDEV.S(AI1646:OFFSET(AI1646,$B$7-1,0))</f>
        <v>#DIV/0!</v>
      </c>
      <c r="AM1646" s="4" t="e">
        <f ca="1">SQRT($B$9)*_xlfn.STDEV.S(AI1646:OFFSET(AI1646,$B$8-1,0))</f>
        <v>#DIV/0!</v>
      </c>
    </row>
    <row r="1647" spans="11:39" x14ac:dyDescent="0.2">
      <c r="K1647" s="3" t="e">
        <f t="shared" si="134"/>
        <v>#DIV/0!</v>
      </c>
      <c r="L1647" s="3" t="e">
        <f ca="1">SQRT(AVERAGE(K1647:OFFSET(K1647,$B$5-1,0))*$B$9/(4*LN(2)))</f>
        <v>#DIV/0!</v>
      </c>
      <c r="M1647" s="3" t="e">
        <f ca="1">SQRT(AVERAGE(K1647:OFFSET(K1647,$B$6-1,0))*$B$9/(4*LN(2)))</f>
        <v>#DIV/0!</v>
      </c>
      <c r="N1647" s="3" t="e">
        <f ca="1">SQRT(AVERAGE(K1647:OFFSET(K1647,$B$7-1,0))*$B$9/(4*LN(2)))</f>
        <v>#DIV/0!</v>
      </c>
      <c r="O1647" s="3" t="e">
        <f ca="1">SQRT(AVERAGE(K1647:OFFSET(K1647,$B$8-1,0))*$B$9/(4*LN(2)))</f>
        <v>#DIV/0!</v>
      </c>
      <c r="Q1647" s="5" t="e">
        <f t="shared" si="133"/>
        <v>#DIV/0!</v>
      </c>
      <c r="R1647" s="5" t="e">
        <f ca="1">SQRT($B$9*AVERAGE((Q1647:OFFSET(Q1647,$B$5-1,0))))</f>
        <v>#DIV/0!</v>
      </c>
      <c r="S1647" s="5" t="e">
        <f ca="1">SQRT($B$9*AVERAGE((Q1647:OFFSET(Q1647,$B$6-1,0))))</f>
        <v>#DIV/0!</v>
      </c>
      <c r="T1647" s="5" t="e">
        <f ca="1">SQRT($B$9*AVERAGE((Q1647:OFFSET(Q1647,$B$7-1,0))))</f>
        <v>#DIV/0!</v>
      </c>
      <c r="U1647" s="5" t="e">
        <f ca="1">SQRT($B$9*AVERAGE((Q1647:OFFSET(Q1647,$B$8-1,0))))</f>
        <v>#DIV/0!</v>
      </c>
      <c r="W1647" s="6" t="e">
        <f t="shared" si="137"/>
        <v>#DIV/0!</v>
      </c>
      <c r="X1647" s="6" t="e">
        <f ca="1">SQRT($B$9*AVERAGE(W1647:OFFSET(W1647,$B$5-1,0)))</f>
        <v>#DIV/0!</v>
      </c>
      <c r="Y1647" s="6" t="e">
        <f ca="1">SQRT($B$9*AVERAGE(W1647:OFFSET(W1647,$B$6-1,0)))</f>
        <v>#DIV/0!</v>
      </c>
      <c r="Z1647" s="6" t="e">
        <f ca="1">SQRT($B$9*AVERAGE(W1647:OFFSET(W1647,$B$7-1,0)))</f>
        <v>#DIV/0!</v>
      </c>
      <c r="AA1647" s="6" t="e">
        <f ca="1">SQRT($B$9*AVERAGE(W1647:OFFSET(W1647,$B$8-1,0)))</f>
        <v>#DIV/0!</v>
      </c>
      <c r="AC1647" s="34" t="e">
        <f t="shared" si="135"/>
        <v>#DIV/0!</v>
      </c>
      <c r="AD1647" s="34" t="e">
        <f ca="1">SQRT($B$9*SUM(AC1647:OFFSET(AC1647,$B$5-1,0))/($B$5-1))</f>
        <v>#DIV/0!</v>
      </c>
      <c r="AE1647" s="34" t="e">
        <f ca="1">SQRT($B$9*SUM(AC1647:OFFSET(AC1647,$B$6-1,0))/($B$6-1))</f>
        <v>#DIV/0!</v>
      </c>
      <c r="AF1647" s="34" t="e">
        <f ca="1">SQRT($B$9*SUM(AC1647:OFFSET(AC1647,$B$7-1,0))/($B$7-1))</f>
        <v>#DIV/0!</v>
      </c>
      <c r="AG1647" s="34" t="e">
        <f ca="1">SQRT($B$9*SUM(AC1647:OFFSET(AC1647,$B$8-1,0))/($B$8-1))</f>
        <v>#DIV/0!</v>
      </c>
      <c r="AI1647" s="1" t="e">
        <f t="shared" si="136"/>
        <v>#DIV/0!</v>
      </c>
      <c r="AJ1647" s="4" t="e">
        <f ca="1">SQRT($B$9)*_xlfn.STDEV.S(AI1647:OFFSET(AI1647,$B$5-1,0))</f>
        <v>#DIV/0!</v>
      </c>
      <c r="AK1647" s="4" t="e">
        <f ca="1">SQRT($B$9)*_xlfn.STDEV.S(AI1647:OFFSET(AI1647,$B$6-1,0))</f>
        <v>#DIV/0!</v>
      </c>
      <c r="AL1647" s="4" t="e">
        <f ca="1">SQRT($B$9)*_xlfn.STDEV.S(AI1647:OFFSET(AI1647,$B$7-1,0))</f>
        <v>#DIV/0!</v>
      </c>
      <c r="AM1647" s="4" t="e">
        <f ca="1">SQRT($B$9)*_xlfn.STDEV.S(AI1647:OFFSET(AI1647,$B$8-1,0))</f>
        <v>#DIV/0!</v>
      </c>
    </row>
    <row r="1648" spans="11:39" x14ac:dyDescent="0.2">
      <c r="K1648" s="3" t="e">
        <f t="shared" si="134"/>
        <v>#DIV/0!</v>
      </c>
      <c r="L1648" s="3" t="e">
        <f ca="1">SQRT(AVERAGE(K1648:OFFSET(K1648,$B$5-1,0))*$B$9/(4*LN(2)))</f>
        <v>#DIV/0!</v>
      </c>
      <c r="M1648" s="3" t="e">
        <f ca="1">SQRT(AVERAGE(K1648:OFFSET(K1648,$B$6-1,0))*$B$9/(4*LN(2)))</f>
        <v>#DIV/0!</v>
      </c>
      <c r="N1648" s="3" t="e">
        <f ca="1">SQRT(AVERAGE(K1648:OFFSET(K1648,$B$7-1,0))*$B$9/(4*LN(2)))</f>
        <v>#DIV/0!</v>
      </c>
      <c r="O1648" s="3" t="e">
        <f ca="1">SQRT(AVERAGE(K1648:OFFSET(K1648,$B$8-1,0))*$B$9/(4*LN(2)))</f>
        <v>#DIV/0!</v>
      </c>
      <c r="Q1648" s="5" t="e">
        <f t="shared" si="133"/>
        <v>#DIV/0!</v>
      </c>
      <c r="R1648" s="5" t="e">
        <f ca="1">SQRT($B$9*AVERAGE((Q1648:OFFSET(Q1648,$B$5-1,0))))</f>
        <v>#DIV/0!</v>
      </c>
      <c r="S1648" s="5" t="e">
        <f ca="1">SQRT($B$9*AVERAGE((Q1648:OFFSET(Q1648,$B$6-1,0))))</f>
        <v>#DIV/0!</v>
      </c>
      <c r="T1648" s="5" t="e">
        <f ca="1">SQRT($B$9*AVERAGE((Q1648:OFFSET(Q1648,$B$7-1,0))))</f>
        <v>#DIV/0!</v>
      </c>
      <c r="U1648" s="5" t="e">
        <f ca="1">SQRT($B$9*AVERAGE((Q1648:OFFSET(Q1648,$B$8-1,0))))</f>
        <v>#DIV/0!</v>
      </c>
      <c r="W1648" s="6" t="e">
        <f t="shared" si="137"/>
        <v>#DIV/0!</v>
      </c>
      <c r="X1648" s="6" t="e">
        <f ca="1">SQRT($B$9*AVERAGE(W1648:OFFSET(W1648,$B$5-1,0)))</f>
        <v>#DIV/0!</v>
      </c>
      <c r="Y1648" s="6" t="e">
        <f ca="1">SQRT($B$9*AVERAGE(W1648:OFFSET(W1648,$B$6-1,0)))</f>
        <v>#DIV/0!</v>
      </c>
      <c r="Z1648" s="6" t="e">
        <f ca="1">SQRT($B$9*AVERAGE(W1648:OFFSET(W1648,$B$7-1,0)))</f>
        <v>#DIV/0!</v>
      </c>
      <c r="AA1648" s="6" t="e">
        <f ca="1">SQRT($B$9*AVERAGE(W1648:OFFSET(W1648,$B$8-1,0)))</f>
        <v>#DIV/0!</v>
      </c>
      <c r="AC1648" s="34" t="e">
        <f t="shared" si="135"/>
        <v>#DIV/0!</v>
      </c>
      <c r="AD1648" s="34" t="e">
        <f ca="1">SQRT($B$9*SUM(AC1648:OFFSET(AC1648,$B$5-1,0))/($B$5-1))</f>
        <v>#DIV/0!</v>
      </c>
      <c r="AE1648" s="34" t="e">
        <f ca="1">SQRT($B$9*SUM(AC1648:OFFSET(AC1648,$B$6-1,0))/($B$6-1))</f>
        <v>#DIV/0!</v>
      </c>
      <c r="AF1648" s="34" t="e">
        <f ca="1">SQRT($B$9*SUM(AC1648:OFFSET(AC1648,$B$7-1,0))/($B$7-1))</f>
        <v>#DIV/0!</v>
      </c>
      <c r="AG1648" s="34" t="e">
        <f ca="1">SQRT($B$9*SUM(AC1648:OFFSET(AC1648,$B$8-1,0))/($B$8-1))</f>
        <v>#DIV/0!</v>
      </c>
      <c r="AI1648" s="1" t="e">
        <f t="shared" si="136"/>
        <v>#DIV/0!</v>
      </c>
      <c r="AJ1648" s="4" t="e">
        <f ca="1">SQRT($B$9)*_xlfn.STDEV.S(AI1648:OFFSET(AI1648,$B$5-1,0))</f>
        <v>#DIV/0!</v>
      </c>
      <c r="AK1648" s="4" t="e">
        <f ca="1">SQRT($B$9)*_xlfn.STDEV.S(AI1648:OFFSET(AI1648,$B$6-1,0))</f>
        <v>#DIV/0!</v>
      </c>
      <c r="AL1648" s="4" t="e">
        <f ca="1">SQRT($B$9)*_xlfn.STDEV.S(AI1648:OFFSET(AI1648,$B$7-1,0))</f>
        <v>#DIV/0!</v>
      </c>
      <c r="AM1648" s="4" t="e">
        <f ca="1">SQRT($B$9)*_xlfn.STDEV.S(AI1648:OFFSET(AI1648,$B$8-1,0))</f>
        <v>#DIV/0!</v>
      </c>
    </row>
    <row r="1649" spans="11:39" x14ac:dyDescent="0.2">
      <c r="K1649" s="3" t="e">
        <f t="shared" si="134"/>
        <v>#DIV/0!</v>
      </c>
      <c r="L1649" s="3" t="e">
        <f ca="1">SQRT(AVERAGE(K1649:OFFSET(K1649,$B$5-1,0))*$B$9/(4*LN(2)))</f>
        <v>#DIV/0!</v>
      </c>
      <c r="M1649" s="3" t="e">
        <f ca="1">SQRT(AVERAGE(K1649:OFFSET(K1649,$B$6-1,0))*$B$9/(4*LN(2)))</f>
        <v>#DIV/0!</v>
      </c>
      <c r="N1649" s="3" t="e">
        <f ca="1">SQRT(AVERAGE(K1649:OFFSET(K1649,$B$7-1,0))*$B$9/(4*LN(2)))</f>
        <v>#DIV/0!</v>
      </c>
      <c r="O1649" s="3" t="e">
        <f ca="1">SQRT(AVERAGE(K1649:OFFSET(K1649,$B$8-1,0))*$B$9/(4*LN(2)))</f>
        <v>#DIV/0!</v>
      </c>
      <c r="Q1649" s="5" t="e">
        <f t="shared" si="133"/>
        <v>#DIV/0!</v>
      </c>
      <c r="R1649" s="5" t="e">
        <f ca="1">SQRT($B$9*AVERAGE((Q1649:OFFSET(Q1649,$B$5-1,0))))</f>
        <v>#DIV/0!</v>
      </c>
      <c r="S1649" s="5" t="e">
        <f ca="1">SQRT($B$9*AVERAGE((Q1649:OFFSET(Q1649,$B$6-1,0))))</f>
        <v>#DIV/0!</v>
      </c>
      <c r="T1649" s="5" t="e">
        <f ca="1">SQRT($B$9*AVERAGE((Q1649:OFFSET(Q1649,$B$7-1,0))))</f>
        <v>#DIV/0!</v>
      </c>
      <c r="U1649" s="5" t="e">
        <f ca="1">SQRT($B$9*AVERAGE((Q1649:OFFSET(Q1649,$B$8-1,0))))</f>
        <v>#DIV/0!</v>
      </c>
      <c r="W1649" s="6" t="e">
        <f t="shared" si="137"/>
        <v>#DIV/0!</v>
      </c>
      <c r="X1649" s="6" t="e">
        <f ca="1">SQRT($B$9*AVERAGE(W1649:OFFSET(W1649,$B$5-1,0)))</f>
        <v>#DIV/0!</v>
      </c>
      <c r="Y1649" s="6" t="e">
        <f ca="1">SQRT($B$9*AVERAGE(W1649:OFFSET(W1649,$B$6-1,0)))</f>
        <v>#DIV/0!</v>
      </c>
      <c r="Z1649" s="6" t="e">
        <f ca="1">SQRT($B$9*AVERAGE(W1649:OFFSET(W1649,$B$7-1,0)))</f>
        <v>#DIV/0!</v>
      </c>
      <c r="AA1649" s="6" t="e">
        <f ca="1">SQRT($B$9*AVERAGE(W1649:OFFSET(W1649,$B$8-1,0)))</f>
        <v>#DIV/0!</v>
      </c>
      <c r="AC1649" s="34" t="e">
        <f t="shared" si="135"/>
        <v>#DIV/0!</v>
      </c>
      <c r="AD1649" s="34" t="e">
        <f ca="1">SQRT($B$9*SUM(AC1649:OFFSET(AC1649,$B$5-1,0))/($B$5-1))</f>
        <v>#DIV/0!</v>
      </c>
      <c r="AE1649" s="34" t="e">
        <f ca="1">SQRT($B$9*SUM(AC1649:OFFSET(AC1649,$B$6-1,0))/($B$6-1))</f>
        <v>#DIV/0!</v>
      </c>
      <c r="AF1649" s="34" t="e">
        <f ca="1">SQRT($B$9*SUM(AC1649:OFFSET(AC1649,$B$7-1,0))/($B$7-1))</f>
        <v>#DIV/0!</v>
      </c>
      <c r="AG1649" s="34" t="e">
        <f ca="1">SQRT($B$9*SUM(AC1649:OFFSET(AC1649,$B$8-1,0))/($B$8-1))</f>
        <v>#DIV/0!</v>
      </c>
      <c r="AI1649" s="1" t="e">
        <f t="shared" si="136"/>
        <v>#DIV/0!</v>
      </c>
      <c r="AJ1649" s="4" t="e">
        <f ca="1">SQRT($B$9)*_xlfn.STDEV.S(AI1649:OFFSET(AI1649,$B$5-1,0))</f>
        <v>#DIV/0!</v>
      </c>
      <c r="AK1649" s="4" t="e">
        <f ca="1">SQRT($B$9)*_xlfn.STDEV.S(AI1649:OFFSET(AI1649,$B$6-1,0))</f>
        <v>#DIV/0!</v>
      </c>
      <c r="AL1649" s="4" t="e">
        <f ca="1">SQRT($B$9)*_xlfn.STDEV.S(AI1649:OFFSET(AI1649,$B$7-1,0))</f>
        <v>#DIV/0!</v>
      </c>
      <c r="AM1649" s="4" t="e">
        <f ca="1">SQRT($B$9)*_xlfn.STDEV.S(AI1649:OFFSET(AI1649,$B$8-1,0))</f>
        <v>#DIV/0!</v>
      </c>
    </row>
    <row r="1650" spans="11:39" x14ac:dyDescent="0.2">
      <c r="K1650" s="3" t="e">
        <f t="shared" si="134"/>
        <v>#DIV/0!</v>
      </c>
      <c r="L1650" s="3" t="e">
        <f ca="1">SQRT(AVERAGE(K1650:OFFSET(K1650,$B$5-1,0))*$B$9/(4*LN(2)))</f>
        <v>#DIV/0!</v>
      </c>
      <c r="M1650" s="3" t="e">
        <f ca="1">SQRT(AVERAGE(K1650:OFFSET(K1650,$B$6-1,0))*$B$9/(4*LN(2)))</f>
        <v>#DIV/0!</v>
      </c>
      <c r="N1650" s="3" t="e">
        <f ca="1">SQRT(AVERAGE(K1650:OFFSET(K1650,$B$7-1,0))*$B$9/(4*LN(2)))</f>
        <v>#DIV/0!</v>
      </c>
      <c r="O1650" s="3" t="e">
        <f ca="1">SQRT(AVERAGE(K1650:OFFSET(K1650,$B$8-1,0))*$B$9/(4*LN(2)))</f>
        <v>#DIV/0!</v>
      </c>
      <c r="Q1650" s="5" t="e">
        <f t="shared" si="133"/>
        <v>#DIV/0!</v>
      </c>
      <c r="R1650" s="5" t="e">
        <f ca="1">SQRT($B$9*AVERAGE((Q1650:OFFSET(Q1650,$B$5-1,0))))</f>
        <v>#DIV/0!</v>
      </c>
      <c r="S1650" s="5" t="e">
        <f ca="1">SQRT($B$9*AVERAGE((Q1650:OFFSET(Q1650,$B$6-1,0))))</f>
        <v>#DIV/0!</v>
      </c>
      <c r="T1650" s="5" t="e">
        <f ca="1">SQRT($B$9*AVERAGE((Q1650:OFFSET(Q1650,$B$7-1,0))))</f>
        <v>#DIV/0!</v>
      </c>
      <c r="U1650" s="5" t="e">
        <f ca="1">SQRT($B$9*AVERAGE((Q1650:OFFSET(Q1650,$B$8-1,0))))</f>
        <v>#DIV/0!</v>
      </c>
      <c r="W1650" s="6" t="e">
        <f t="shared" si="137"/>
        <v>#DIV/0!</v>
      </c>
      <c r="X1650" s="6" t="e">
        <f ca="1">SQRT($B$9*AVERAGE(W1650:OFFSET(W1650,$B$5-1,0)))</f>
        <v>#DIV/0!</v>
      </c>
      <c r="Y1650" s="6" t="e">
        <f ca="1">SQRT($B$9*AVERAGE(W1650:OFFSET(W1650,$B$6-1,0)))</f>
        <v>#DIV/0!</v>
      </c>
      <c r="Z1650" s="6" t="e">
        <f ca="1">SQRT($B$9*AVERAGE(W1650:OFFSET(W1650,$B$7-1,0)))</f>
        <v>#DIV/0!</v>
      </c>
      <c r="AA1650" s="6" t="e">
        <f ca="1">SQRT($B$9*AVERAGE(W1650:OFFSET(W1650,$B$8-1,0)))</f>
        <v>#DIV/0!</v>
      </c>
      <c r="AC1650" s="34" t="e">
        <f t="shared" si="135"/>
        <v>#DIV/0!</v>
      </c>
      <c r="AD1650" s="34" t="e">
        <f ca="1">SQRT($B$9*SUM(AC1650:OFFSET(AC1650,$B$5-1,0))/($B$5-1))</f>
        <v>#DIV/0!</v>
      </c>
      <c r="AE1650" s="34" t="e">
        <f ca="1">SQRT($B$9*SUM(AC1650:OFFSET(AC1650,$B$6-1,0))/($B$6-1))</f>
        <v>#DIV/0!</v>
      </c>
      <c r="AF1650" s="34" t="e">
        <f ca="1">SQRT($B$9*SUM(AC1650:OFFSET(AC1650,$B$7-1,0))/($B$7-1))</f>
        <v>#DIV/0!</v>
      </c>
      <c r="AG1650" s="34" t="e">
        <f ca="1">SQRT($B$9*SUM(AC1650:OFFSET(AC1650,$B$8-1,0))/($B$8-1))</f>
        <v>#DIV/0!</v>
      </c>
      <c r="AI1650" s="1" t="e">
        <f t="shared" si="136"/>
        <v>#DIV/0!</v>
      </c>
      <c r="AJ1650" s="4" t="e">
        <f ca="1">SQRT($B$9)*_xlfn.STDEV.S(AI1650:OFFSET(AI1650,$B$5-1,0))</f>
        <v>#DIV/0!</v>
      </c>
      <c r="AK1650" s="4" t="e">
        <f ca="1">SQRT($B$9)*_xlfn.STDEV.S(AI1650:OFFSET(AI1650,$B$6-1,0))</f>
        <v>#DIV/0!</v>
      </c>
      <c r="AL1650" s="4" t="e">
        <f ca="1">SQRT($B$9)*_xlfn.STDEV.S(AI1650:OFFSET(AI1650,$B$7-1,0))</f>
        <v>#DIV/0!</v>
      </c>
      <c r="AM1650" s="4" t="e">
        <f ca="1">SQRT($B$9)*_xlfn.STDEV.S(AI1650:OFFSET(AI1650,$B$8-1,0))</f>
        <v>#DIV/0!</v>
      </c>
    </row>
    <row r="1651" spans="11:39" x14ac:dyDescent="0.2">
      <c r="K1651" s="3" t="e">
        <f t="shared" si="134"/>
        <v>#DIV/0!</v>
      </c>
      <c r="L1651" s="3" t="e">
        <f ca="1">SQRT(AVERAGE(K1651:OFFSET(K1651,$B$5-1,0))*$B$9/(4*LN(2)))</f>
        <v>#DIV/0!</v>
      </c>
      <c r="M1651" s="3" t="e">
        <f ca="1">SQRT(AVERAGE(K1651:OFFSET(K1651,$B$6-1,0))*$B$9/(4*LN(2)))</f>
        <v>#DIV/0!</v>
      </c>
      <c r="N1651" s="3" t="e">
        <f ca="1">SQRT(AVERAGE(K1651:OFFSET(K1651,$B$7-1,0))*$B$9/(4*LN(2)))</f>
        <v>#DIV/0!</v>
      </c>
      <c r="O1651" s="3" t="e">
        <f ca="1">SQRT(AVERAGE(K1651:OFFSET(K1651,$B$8-1,0))*$B$9/(4*LN(2)))</f>
        <v>#DIV/0!</v>
      </c>
      <c r="Q1651" s="5" t="e">
        <f t="shared" si="133"/>
        <v>#DIV/0!</v>
      </c>
      <c r="R1651" s="5" t="e">
        <f ca="1">SQRT($B$9*AVERAGE((Q1651:OFFSET(Q1651,$B$5-1,0))))</f>
        <v>#DIV/0!</v>
      </c>
      <c r="S1651" s="5" t="e">
        <f ca="1">SQRT($B$9*AVERAGE((Q1651:OFFSET(Q1651,$B$6-1,0))))</f>
        <v>#DIV/0!</v>
      </c>
      <c r="T1651" s="5" t="e">
        <f ca="1">SQRT($B$9*AVERAGE((Q1651:OFFSET(Q1651,$B$7-1,0))))</f>
        <v>#DIV/0!</v>
      </c>
      <c r="U1651" s="5" t="e">
        <f ca="1">SQRT($B$9*AVERAGE((Q1651:OFFSET(Q1651,$B$8-1,0))))</f>
        <v>#DIV/0!</v>
      </c>
      <c r="W1651" s="6" t="e">
        <f t="shared" si="137"/>
        <v>#DIV/0!</v>
      </c>
      <c r="X1651" s="6" t="e">
        <f ca="1">SQRT($B$9*AVERAGE(W1651:OFFSET(W1651,$B$5-1,0)))</f>
        <v>#DIV/0!</v>
      </c>
      <c r="Y1651" s="6" t="e">
        <f ca="1">SQRT($B$9*AVERAGE(W1651:OFFSET(W1651,$B$6-1,0)))</f>
        <v>#DIV/0!</v>
      </c>
      <c r="Z1651" s="6" t="e">
        <f ca="1">SQRT($B$9*AVERAGE(W1651:OFFSET(W1651,$B$7-1,0)))</f>
        <v>#DIV/0!</v>
      </c>
      <c r="AA1651" s="6" t="e">
        <f ca="1">SQRT($B$9*AVERAGE(W1651:OFFSET(W1651,$B$8-1,0)))</f>
        <v>#DIV/0!</v>
      </c>
      <c r="AC1651" s="34" t="e">
        <f t="shared" si="135"/>
        <v>#DIV/0!</v>
      </c>
      <c r="AD1651" s="34" t="e">
        <f ca="1">SQRT($B$9*SUM(AC1651:OFFSET(AC1651,$B$5-1,0))/($B$5-1))</f>
        <v>#DIV/0!</v>
      </c>
      <c r="AE1651" s="34" t="e">
        <f ca="1">SQRT($B$9*SUM(AC1651:OFFSET(AC1651,$B$6-1,0))/($B$6-1))</f>
        <v>#DIV/0!</v>
      </c>
      <c r="AF1651" s="34" t="e">
        <f ca="1">SQRT($B$9*SUM(AC1651:OFFSET(AC1651,$B$7-1,0))/($B$7-1))</f>
        <v>#DIV/0!</v>
      </c>
      <c r="AG1651" s="34" t="e">
        <f ca="1">SQRT($B$9*SUM(AC1651:OFFSET(AC1651,$B$8-1,0))/($B$8-1))</f>
        <v>#DIV/0!</v>
      </c>
      <c r="AI1651" s="1" t="e">
        <f t="shared" si="136"/>
        <v>#DIV/0!</v>
      </c>
      <c r="AJ1651" s="4" t="e">
        <f ca="1">SQRT($B$9)*_xlfn.STDEV.S(AI1651:OFFSET(AI1651,$B$5-1,0))</f>
        <v>#DIV/0!</v>
      </c>
      <c r="AK1651" s="4" t="e">
        <f ca="1">SQRT($B$9)*_xlfn.STDEV.S(AI1651:OFFSET(AI1651,$B$6-1,0))</f>
        <v>#DIV/0!</v>
      </c>
      <c r="AL1651" s="4" t="e">
        <f ca="1">SQRT($B$9)*_xlfn.STDEV.S(AI1651:OFFSET(AI1651,$B$7-1,0))</f>
        <v>#DIV/0!</v>
      </c>
      <c r="AM1651" s="4" t="e">
        <f ca="1">SQRT($B$9)*_xlfn.STDEV.S(AI1651:OFFSET(AI1651,$B$8-1,0))</f>
        <v>#DIV/0!</v>
      </c>
    </row>
    <row r="1652" spans="11:39" x14ac:dyDescent="0.2">
      <c r="K1652" s="3" t="e">
        <f t="shared" si="134"/>
        <v>#DIV/0!</v>
      </c>
      <c r="L1652" s="3" t="e">
        <f ca="1">SQRT(AVERAGE(K1652:OFFSET(K1652,$B$5-1,0))*$B$9/(4*LN(2)))</f>
        <v>#DIV/0!</v>
      </c>
      <c r="M1652" s="3" t="e">
        <f ca="1">SQRT(AVERAGE(K1652:OFFSET(K1652,$B$6-1,0))*$B$9/(4*LN(2)))</f>
        <v>#DIV/0!</v>
      </c>
      <c r="N1652" s="3" t="e">
        <f ca="1">SQRT(AVERAGE(K1652:OFFSET(K1652,$B$7-1,0))*$B$9/(4*LN(2)))</f>
        <v>#DIV/0!</v>
      </c>
      <c r="O1652" s="3" t="e">
        <f ca="1">SQRT(AVERAGE(K1652:OFFSET(K1652,$B$8-1,0))*$B$9/(4*LN(2)))</f>
        <v>#DIV/0!</v>
      </c>
      <c r="Q1652" s="5" t="e">
        <f t="shared" si="133"/>
        <v>#DIV/0!</v>
      </c>
      <c r="R1652" s="5" t="e">
        <f ca="1">SQRT($B$9*AVERAGE((Q1652:OFFSET(Q1652,$B$5-1,0))))</f>
        <v>#DIV/0!</v>
      </c>
      <c r="S1652" s="5" t="e">
        <f ca="1">SQRT($B$9*AVERAGE((Q1652:OFFSET(Q1652,$B$6-1,0))))</f>
        <v>#DIV/0!</v>
      </c>
      <c r="T1652" s="5" t="e">
        <f ca="1">SQRT($B$9*AVERAGE((Q1652:OFFSET(Q1652,$B$7-1,0))))</f>
        <v>#DIV/0!</v>
      </c>
      <c r="U1652" s="5" t="e">
        <f ca="1">SQRT($B$9*AVERAGE((Q1652:OFFSET(Q1652,$B$8-1,0))))</f>
        <v>#DIV/0!</v>
      </c>
      <c r="W1652" s="6" t="e">
        <f t="shared" si="137"/>
        <v>#DIV/0!</v>
      </c>
      <c r="X1652" s="6" t="e">
        <f ca="1">SQRT($B$9*AVERAGE(W1652:OFFSET(W1652,$B$5-1,0)))</f>
        <v>#DIV/0!</v>
      </c>
      <c r="Y1652" s="6" t="e">
        <f ca="1">SQRT($B$9*AVERAGE(W1652:OFFSET(W1652,$B$6-1,0)))</f>
        <v>#DIV/0!</v>
      </c>
      <c r="Z1652" s="6" t="e">
        <f ca="1">SQRT($B$9*AVERAGE(W1652:OFFSET(W1652,$B$7-1,0)))</f>
        <v>#DIV/0!</v>
      </c>
      <c r="AA1652" s="6" t="e">
        <f ca="1">SQRT($B$9*AVERAGE(W1652:OFFSET(W1652,$B$8-1,0)))</f>
        <v>#DIV/0!</v>
      </c>
      <c r="AC1652" s="34" t="e">
        <f t="shared" si="135"/>
        <v>#DIV/0!</v>
      </c>
      <c r="AD1652" s="34" t="e">
        <f ca="1">SQRT($B$9*SUM(AC1652:OFFSET(AC1652,$B$5-1,0))/($B$5-1))</f>
        <v>#DIV/0!</v>
      </c>
      <c r="AE1652" s="34" t="e">
        <f ca="1">SQRT($B$9*SUM(AC1652:OFFSET(AC1652,$B$6-1,0))/($B$6-1))</f>
        <v>#DIV/0!</v>
      </c>
      <c r="AF1652" s="34" t="e">
        <f ca="1">SQRT($B$9*SUM(AC1652:OFFSET(AC1652,$B$7-1,0))/($B$7-1))</f>
        <v>#DIV/0!</v>
      </c>
      <c r="AG1652" s="34" t="e">
        <f ca="1">SQRT($B$9*SUM(AC1652:OFFSET(AC1652,$B$8-1,0))/($B$8-1))</f>
        <v>#DIV/0!</v>
      </c>
      <c r="AI1652" s="1" t="e">
        <f t="shared" si="136"/>
        <v>#DIV/0!</v>
      </c>
      <c r="AJ1652" s="4" t="e">
        <f ca="1">SQRT($B$9)*_xlfn.STDEV.S(AI1652:OFFSET(AI1652,$B$5-1,0))</f>
        <v>#DIV/0!</v>
      </c>
      <c r="AK1652" s="4" t="e">
        <f ca="1">SQRT($B$9)*_xlfn.STDEV.S(AI1652:OFFSET(AI1652,$B$6-1,0))</f>
        <v>#DIV/0!</v>
      </c>
      <c r="AL1652" s="4" t="e">
        <f ca="1">SQRT($B$9)*_xlfn.STDEV.S(AI1652:OFFSET(AI1652,$B$7-1,0))</f>
        <v>#DIV/0!</v>
      </c>
      <c r="AM1652" s="4" t="e">
        <f ca="1">SQRT($B$9)*_xlfn.STDEV.S(AI1652:OFFSET(AI1652,$B$8-1,0))</f>
        <v>#DIV/0!</v>
      </c>
    </row>
    <row r="1653" spans="11:39" x14ac:dyDescent="0.2">
      <c r="K1653" s="3" t="e">
        <f t="shared" si="134"/>
        <v>#DIV/0!</v>
      </c>
      <c r="L1653" s="3" t="e">
        <f ca="1">SQRT(AVERAGE(K1653:OFFSET(K1653,$B$5-1,0))*$B$9/(4*LN(2)))</f>
        <v>#DIV/0!</v>
      </c>
      <c r="M1653" s="3" t="e">
        <f ca="1">SQRT(AVERAGE(K1653:OFFSET(K1653,$B$6-1,0))*$B$9/(4*LN(2)))</f>
        <v>#DIV/0!</v>
      </c>
      <c r="N1653" s="3" t="e">
        <f ca="1">SQRT(AVERAGE(K1653:OFFSET(K1653,$B$7-1,0))*$B$9/(4*LN(2)))</f>
        <v>#DIV/0!</v>
      </c>
      <c r="O1653" s="3" t="e">
        <f ca="1">SQRT(AVERAGE(K1653:OFFSET(K1653,$B$8-1,0))*$B$9/(4*LN(2)))</f>
        <v>#DIV/0!</v>
      </c>
      <c r="Q1653" s="5" t="e">
        <f t="shared" si="133"/>
        <v>#DIV/0!</v>
      </c>
      <c r="R1653" s="5" t="e">
        <f ca="1">SQRT($B$9*AVERAGE((Q1653:OFFSET(Q1653,$B$5-1,0))))</f>
        <v>#DIV/0!</v>
      </c>
      <c r="S1653" s="5" t="e">
        <f ca="1">SQRT($B$9*AVERAGE((Q1653:OFFSET(Q1653,$B$6-1,0))))</f>
        <v>#DIV/0!</v>
      </c>
      <c r="T1653" s="5" t="e">
        <f ca="1">SQRT($B$9*AVERAGE((Q1653:OFFSET(Q1653,$B$7-1,0))))</f>
        <v>#DIV/0!</v>
      </c>
      <c r="U1653" s="5" t="e">
        <f ca="1">SQRT($B$9*AVERAGE((Q1653:OFFSET(Q1653,$B$8-1,0))))</f>
        <v>#DIV/0!</v>
      </c>
      <c r="W1653" s="6" t="e">
        <f t="shared" si="137"/>
        <v>#DIV/0!</v>
      </c>
      <c r="X1653" s="6" t="e">
        <f ca="1">SQRT($B$9*AVERAGE(W1653:OFFSET(W1653,$B$5-1,0)))</f>
        <v>#DIV/0!</v>
      </c>
      <c r="Y1653" s="6" t="e">
        <f ca="1">SQRT($B$9*AVERAGE(W1653:OFFSET(W1653,$B$6-1,0)))</f>
        <v>#DIV/0!</v>
      </c>
      <c r="Z1653" s="6" t="e">
        <f ca="1">SQRT($B$9*AVERAGE(W1653:OFFSET(W1653,$B$7-1,0)))</f>
        <v>#DIV/0!</v>
      </c>
      <c r="AA1653" s="6" t="e">
        <f ca="1">SQRT($B$9*AVERAGE(W1653:OFFSET(W1653,$B$8-1,0)))</f>
        <v>#DIV/0!</v>
      </c>
      <c r="AC1653" s="34" t="e">
        <f t="shared" si="135"/>
        <v>#DIV/0!</v>
      </c>
      <c r="AD1653" s="34" t="e">
        <f ca="1">SQRT($B$9*SUM(AC1653:OFFSET(AC1653,$B$5-1,0))/($B$5-1))</f>
        <v>#DIV/0!</v>
      </c>
      <c r="AE1653" s="34" t="e">
        <f ca="1">SQRT($B$9*SUM(AC1653:OFFSET(AC1653,$B$6-1,0))/($B$6-1))</f>
        <v>#DIV/0!</v>
      </c>
      <c r="AF1653" s="34" t="e">
        <f ca="1">SQRT($B$9*SUM(AC1653:OFFSET(AC1653,$B$7-1,0))/($B$7-1))</f>
        <v>#DIV/0!</v>
      </c>
      <c r="AG1653" s="34" t="e">
        <f ca="1">SQRT($B$9*SUM(AC1653:OFFSET(AC1653,$B$8-1,0))/($B$8-1))</f>
        <v>#DIV/0!</v>
      </c>
      <c r="AI1653" s="1" t="e">
        <f t="shared" si="136"/>
        <v>#DIV/0!</v>
      </c>
      <c r="AJ1653" s="4" t="e">
        <f ca="1">SQRT($B$9)*_xlfn.STDEV.S(AI1653:OFFSET(AI1653,$B$5-1,0))</f>
        <v>#DIV/0!</v>
      </c>
      <c r="AK1653" s="4" t="e">
        <f ca="1">SQRT($B$9)*_xlfn.STDEV.S(AI1653:OFFSET(AI1653,$B$6-1,0))</f>
        <v>#DIV/0!</v>
      </c>
      <c r="AL1653" s="4" t="e">
        <f ca="1">SQRT($B$9)*_xlfn.STDEV.S(AI1653:OFFSET(AI1653,$B$7-1,0))</f>
        <v>#DIV/0!</v>
      </c>
      <c r="AM1653" s="4" t="e">
        <f ca="1">SQRT($B$9)*_xlfn.STDEV.S(AI1653:OFFSET(AI1653,$B$8-1,0))</f>
        <v>#DIV/0!</v>
      </c>
    </row>
    <row r="1654" spans="11:39" x14ac:dyDescent="0.2">
      <c r="K1654" s="3" t="e">
        <f t="shared" si="134"/>
        <v>#DIV/0!</v>
      </c>
      <c r="L1654" s="3" t="e">
        <f ca="1">SQRT(AVERAGE(K1654:OFFSET(K1654,$B$5-1,0))*$B$9/(4*LN(2)))</f>
        <v>#DIV/0!</v>
      </c>
      <c r="M1654" s="3" t="e">
        <f ca="1">SQRT(AVERAGE(K1654:OFFSET(K1654,$B$6-1,0))*$B$9/(4*LN(2)))</f>
        <v>#DIV/0!</v>
      </c>
      <c r="N1654" s="3" t="e">
        <f ca="1">SQRT(AVERAGE(K1654:OFFSET(K1654,$B$7-1,0))*$B$9/(4*LN(2)))</f>
        <v>#DIV/0!</v>
      </c>
      <c r="O1654" s="3" t="e">
        <f ca="1">SQRT(AVERAGE(K1654:OFFSET(K1654,$B$8-1,0))*$B$9/(4*LN(2)))</f>
        <v>#DIV/0!</v>
      </c>
      <c r="Q1654" s="5" t="e">
        <f t="shared" si="133"/>
        <v>#DIV/0!</v>
      </c>
      <c r="R1654" s="5" t="e">
        <f ca="1">SQRT($B$9*AVERAGE((Q1654:OFFSET(Q1654,$B$5-1,0))))</f>
        <v>#DIV/0!</v>
      </c>
      <c r="S1654" s="5" t="e">
        <f ca="1">SQRT($B$9*AVERAGE((Q1654:OFFSET(Q1654,$B$6-1,0))))</f>
        <v>#DIV/0!</v>
      </c>
      <c r="T1654" s="5" t="e">
        <f ca="1">SQRT($B$9*AVERAGE((Q1654:OFFSET(Q1654,$B$7-1,0))))</f>
        <v>#DIV/0!</v>
      </c>
      <c r="U1654" s="5" t="e">
        <f ca="1">SQRT($B$9*AVERAGE((Q1654:OFFSET(Q1654,$B$8-1,0))))</f>
        <v>#DIV/0!</v>
      </c>
      <c r="W1654" s="6" t="e">
        <f t="shared" si="137"/>
        <v>#DIV/0!</v>
      </c>
      <c r="X1654" s="6" t="e">
        <f ca="1">SQRT($B$9*AVERAGE(W1654:OFFSET(W1654,$B$5-1,0)))</f>
        <v>#DIV/0!</v>
      </c>
      <c r="Y1654" s="6" t="e">
        <f ca="1">SQRT($B$9*AVERAGE(W1654:OFFSET(W1654,$B$6-1,0)))</f>
        <v>#DIV/0!</v>
      </c>
      <c r="Z1654" s="6" t="e">
        <f ca="1">SQRT($B$9*AVERAGE(W1654:OFFSET(W1654,$B$7-1,0)))</f>
        <v>#DIV/0!</v>
      </c>
      <c r="AA1654" s="6" t="e">
        <f ca="1">SQRT($B$9*AVERAGE(W1654:OFFSET(W1654,$B$8-1,0)))</f>
        <v>#DIV/0!</v>
      </c>
      <c r="AC1654" s="34" t="e">
        <f t="shared" si="135"/>
        <v>#DIV/0!</v>
      </c>
      <c r="AD1654" s="34" t="e">
        <f ca="1">SQRT($B$9*SUM(AC1654:OFFSET(AC1654,$B$5-1,0))/($B$5-1))</f>
        <v>#DIV/0!</v>
      </c>
      <c r="AE1654" s="34" t="e">
        <f ca="1">SQRT($B$9*SUM(AC1654:OFFSET(AC1654,$B$6-1,0))/($B$6-1))</f>
        <v>#DIV/0!</v>
      </c>
      <c r="AF1654" s="34" t="e">
        <f ca="1">SQRT($B$9*SUM(AC1654:OFFSET(AC1654,$B$7-1,0))/($B$7-1))</f>
        <v>#DIV/0!</v>
      </c>
      <c r="AG1654" s="34" t="e">
        <f ca="1">SQRT($B$9*SUM(AC1654:OFFSET(AC1654,$B$8-1,0))/($B$8-1))</f>
        <v>#DIV/0!</v>
      </c>
      <c r="AI1654" s="1" t="e">
        <f t="shared" si="136"/>
        <v>#DIV/0!</v>
      </c>
      <c r="AJ1654" s="4" t="e">
        <f ca="1">SQRT($B$9)*_xlfn.STDEV.S(AI1654:OFFSET(AI1654,$B$5-1,0))</f>
        <v>#DIV/0!</v>
      </c>
      <c r="AK1654" s="4" t="e">
        <f ca="1">SQRT($B$9)*_xlfn.STDEV.S(AI1654:OFFSET(AI1654,$B$6-1,0))</f>
        <v>#DIV/0!</v>
      </c>
      <c r="AL1654" s="4" t="e">
        <f ca="1">SQRT($B$9)*_xlfn.STDEV.S(AI1654:OFFSET(AI1654,$B$7-1,0))</f>
        <v>#DIV/0!</v>
      </c>
      <c r="AM1654" s="4" t="e">
        <f ca="1">SQRT($B$9)*_xlfn.STDEV.S(AI1654:OFFSET(AI1654,$B$8-1,0))</f>
        <v>#DIV/0!</v>
      </c>
    </row>
    <row r="1655" spans="11:39" x14ac:dyDescent="0.2">
      <c r="K1655" s="3" t="e">
        <f t="shared" si="134"/>
        <v>#DIV/0!</v>
      </c>
      <c r="L1655" s="3" t="e">
        <f ca="1">SQRT(AVERAGE(K1655:OFFSET(K1655,$B$5-1,0))*$B$9/(4*LN(2)))</f>
        <v>#DIV/0!</v>
      </c>
      <c r="M1655" s="3" t="e">
        <f ca="1">SQRT(AVERAGE(K1655:OFFSET(K1655,$B$6-1,0))*$B$9/(4*LN(2)))</f>
        <v>#DIV/0!</v>
      </c>
      <c r="N1655" s="3" t="e">
        <f ca="1">SQRT(AVERAGE(K1655:OFFSET(K1655,$B$7-1,0))*$B$9/(4*LN(2)))</f>
        <v>#DIV/0!</v>
      </c>
      <c r="O1655" s="3" t="e">
        <f ca="1">SQRT(AVERAGE(K1655:OFFSET(K1655,$B$8-1,0))*$B$9/(4*LN(2)))</f>
        <v>#DIV/0!</v>
      </c>
      <c r="Q1655" s="5" t="e">
        <f t="shared" si="133"/>
        <v>#DIV/0!</v>
      </c>
      <c r="R1655" s="5" t="e">
        <f ca="1">SQRT($B$9*AVERAGE((Q1655:OFFSET(Q1655,$B$5-1,0))))</f>
        <v>#DIV/0!</v>
      </c>
      <c r="S1655" s="5" t="e">
        <f ca="1">SQRT($B$9*AVERAGE((Q1655:OFFSET(Q1655,$B$6-1,0))))</f>
        <v>#DIV/0!</v>
      </c>
      <c r="T1655" s="5" t="e">
        <f ca="1">SQRT($B$9*AVERAGE((Q1655:OFFSET(Q1655,$B$7-1,0))))</f>
        <v>#DIV/0!</v>
      </c>
      <c r="U1655" s="5" t="e">
        <f ca="1">SQRT($B$9*AVERAGE((Q1655:OFFSET(Q1655,$B$8-1,0))))</f>
        <v>#DIV/0!</v>
      </c>
      <c r="W1655" s="6" t="e">
        <f t="shared" si="137"/>
        <v>#DIV/0!</v>
      </c>
      <c r="X1655" s="6" t="e">
        <f ca="1">SQRT($B$9*AVERAGE(W1655:OFFSET(W1655,$B$5-1,0)))</f>
        <v>#DIV/0!</v>
      </c>
      <c r="Y1655" s="6" t="e">
        <f ca="1">SQRT($B$9*AVERAGE(W1655:OFFSET(W1655,$B$6-1,0)))</f>
        <v>#DIV/0!</v>
      </c>
      <c r="Z1655" s="6" t="e">
        <f ca="1">SQRT($B$9*AVERAGE(W1655:OFFSET(W1655,$B$7-1,0)))</f>
        <v>#DIV/0!</v>
      </c>
      <c r="AA1655" s="6" t="e">
        <f ca="1">SQRT($B$9*AVERAGE(W1655:OFFSET(W1655,$B$8-1,0)))</f>
        <v>#DIV/0!</v>
      </c>
      <c r="AC1655" s="34" t="e">
        <f t="shared" si="135"/>
        <v>#DIV/0!</v>
      </c>
      <c r="AD1655" s="34" t="e">
        <f ca="1">SQRT($B$9*SUM(AC1655:OFFSET(AC1655,$B$5-1,0))/($B$5-1))</f>
        <v>#DIV/0!</v>
      </c>
      <c r="AE1655" s="34" t="e">
        <f ca="1">SQRT($B$9*SUM(AC1655:OFFSET(AC1655,$B$6-1,0))/($B$6-1))</f>
        <v>#DIV/0!</v>
      </c>
      <c r="AF1655" s="34" t="e">
        <f ca="1">SQRT($B$9*SUM(AC1655:OFFSET(AC1655,$B$7-1,0))/($B$7-1))</f>
        <v>#DIV/0!</v>
      </c>
      <c r="AG1655" s="34" t="e">
        <f ca="1">SQRT($B$9*SUM(AC1655:OFFSET(AC1655,$B$8-1,0))/($B$8-1))</f>
        <v>#DIV/0!</v>
      </c>
      <c r="AI1655" s="1" t="e">
        <f t="shared" si="136"/>
        <v>#DIV/0!</v>
      </c>
      <c r="AJ1655" s="4" t="e">
        <f ca="1">SQRT($B$9)*_xlfn.STDEV.S(AI1655:OFFSET(AI1655,$B$5-1,0))</f>
        <v>#DIV/0!</v>
      </c>
      <c r="AK1655" s="4" t="e">
        <f ca="1">SQRT($B$9)*_xlfn.STDEV.S(AI1655:OFFSET(AI1655,$B$6-1,0))</f>
        <v>#DIV/0!</v>
      </c>
      <c r="AL1655" s="4" t="e">
        <f ca="1">SQRT($B$9)*_xlfn.STDEV.S(AI1655:OFFSET(AI1655,$B$7-1,0))</f>
        <v>#DIV/0!</v>
      </c>
      <c r="AM1655" s="4" t="e">
        <f ca="1">SQRT($B$9)*_xlfn.STDEV.S(AI1655:OFFSET(AI1655,$B$8-1,0))</f>
        <v>#DIV/0!</v>
      </c>
    </row>
    <row r="1656" spans="11:39" x14ac:dyDescent="0.2">
      <c r="K1656" s="3" t="e">
        <f t="shared" si="134"/>
        <v>#DIV/0!</v>
      </c>
      <c r="L1656" s="3" t="e">
        <f ca="1">SQRT(AVERAGE(K1656:OFFSET(K1656,$B$5-1,0))*$B$9/(4*LN(2)))</f>
        <v>#DIV/0!</v>
      </c>
      <c r="M1656" s="3" t="e">
        <f ca="1">SQRT(AVERAGE(K1656:OFFSET(K1656,$B$6-1,0))*$B$9/(4*LN(2)))</f>
        <v>#DIV/0!</v>
      </c>
      <c r="N1656" s="3" t="e">
        <f ca="1">SQRT(AVERAGE(K1656:OFFSET(K1656,$B$7-1,0))*$B$9/(4*LN(2)))</f>
        <v>#DIV/0!</v>
      </c>
      <c r="O1656" s="3" t="e">
        <f ca="1">SQRT(AVERAGE(K1656:OFFSET(K1656,$B$8-1,0))*$B$9/(4*LN(2)))</f>
        <v>#DIV/0!</v>
      </c>
      <c r="Q1656" s="5" t="e">
        <f t="shared" si="133"/>
        <v>#DIV/0!</v>
      </c>
      <c r="R1656" s="5" t="e">
        <f ca="1">SQRT($B$9*AVERAGE((Q1656:OFFSET(Q1656,$B$5-1,0))))</f>
        <v>#DIV/0!</v>
      </c>
      <c r="S1656" s="5" t="e">
        <f ca="1">SQRT($B$9*AVERAGE((Q1656:OFFSET(Q1656,$B$6-1,0))))</f>
        <v>#DIV/0!</v>
      </c>
      <c r="T1656" s="5" t="e">
        <f ca="1">SQRT($B$9*AVERAGE((Q1656:OFFSET(Q1656,$B$7-1,0))))</f>
        <v>#DIV/0!</v>
      </c>
      <c r="U1656" s="5" t="e">
        <f ca="1">SQRT($B$9*AVERAGE((Q1656:OFFSET(Q1656,$B$8-1,0))))</f>
        <v>#DIV/0!</v>
      </c>
      <c r="W1656" s="6" t="e">
        <f t="shared" si="137"/>
        <v>#DIV/0!</v>
      </c>
      <c r="X1656" s="6" t="e">
        <f ca="1">SQRT($B$9*AVERAGE(W1656:OFFSET(W1656,$B$5-1,0)))</f>
        <v>#DIV/0!</v>
      </c>
      <c r="Y1656" s="6" t="e">
        <f ca="1">SQRT($B$9*AVERAGE(W1656:OFFSET(W1656,$B$6-1,0)))</f>
        <v>#DIV/0!</v>
      </c>
      <c r="Z1656" s="6" t="e">
        <f ca="1">SQRT($B$9*AVERAGE(W1656:OFFSET(W1656,$B$7-1,0)))</f>
        <v>#DIV/0!</v>
      </c>
      <c r="AA1656" s="6" t="e">
        <f ca="1">SQRT($B$9*AVERAGE(W1656:OFFSET(W1656,$B$8-1,0)))</f>
        <v>#DIV/0!</v>
      </c>
      <c r="AC1656" s="34" t="e">
        <f t="shared" si="135"/>
        <v>#DIV/0!</v>
      </c>
      <c r="AD1656" s="34" t="e">
        <f ca="1">SQRT($B$9*SUM(AC1656:OFFSET(AC1656,$B$5-1,0))/($B$5-1))</f>
        <v>#DIV/0!</v>
      </c>
      <c r="AE1656" s="34" t="e">
        <f ca="1">SQRT($B$9*SUM(AC1656:OFFSET(AC1656,$B$6-1,0))/($B$6-1))</f>
        <v>#DIV/0!</v>
      </c>
      <c r="AF1656" s="34" t="e">
        <f ca="1">SQRT($B$9*SUM(AC1656:OFFSET(AC1656,$B$7-1,0))/($B$7-1))</f>
        <v>#DIV/0!</v>
      </c>
      <c r="AG1656" s="34" t="e">
        <f ca="1">SQRT($B$9*SUM(AC1656:OFFSET(AC1656,$B$8-1,0))/($B$8-1))</f>
        <v>#DIV/0!</v>
      </c>
      <c r="AI1656" s="1" t="e">
        <f t="shared" si="136"/>
        <v>#DIV/0!</v>
      </c>
      <c r="AJ1656" s="4" t="e">
        <f ca="1">SQRT($B$9)*_xlfn.STDEV.S(AI1656:OFFSET(AI1656,$B$5-1,0))</f>
        <v>#DIV/0!</v>
      </c>
      <c r="AK1656" s="4" t="e">
        <f ca="1">SQRT($B$9)*_xlfn.STDEV.S(AI1656:OFFSET(AI1656,$B$6-1,0))</f>
        <v>#DIV/0!</v>
      </c>
      <c r="AL1656" s="4" t="e">
        <f ca="1">SQRT($B$9)*_xlfn.STDEV.S(AI1656:OFFSET(AI1656,$B$7-1,0))</f>
        <v>#DIV/0!</v>
      </c>
      <c r="AM1656" s="4" t="e">
        <f ca="1">SQRT($B$9)*_xlfn.STDEV.S(AI1656:OFFSET(AI1656,$B$8-1,0))</f>
        <v>#DIV/0!</v>
      </c>
    </row>
    <row r="1657" spans="11:39" x14ac:dyDescent="0.2">
      <c r="K1657" s="3" t="e">
        <f t="shared" si="134"/>
        <v>#DIV/0!</v>
      </c>
      <c r="L1657" s="3" t="e">
        <f ca="1">SQRT(AVERAGE(K1657:OFFSET(K1657,$B$5-1,0))*$B$9/(4*LN(2)))</f>
        <v>#DIV/0!</v>
      </c>
      <c r="M1657" s="3" t="e">
        <f ca="1">SQRT(AVERAGE(K1657:OFFSET(K1657,$B$6-1,0))*$B$9/(4*LN(2)))</f>
        <v>#DIV/0!</v>
      </c>
      <c r="N1657" s="3" t="e">
        <f ca="1">SQRT(AVERAGE(K1657:OFFSET(K1657,$B$7-1,0))*$B$9/(4*LN(2)))</f>
        <v>#DIV/0!</v>
      </c>
      <c r="O1657" s="3" t="e">
        <f ca="1">SQRT(AVERAGE(K1657:OFFSET(K1657,$B$8-1,0))*$B$9/(4*LN(2)))</f>
        <v>#DIV/0!</v>
      </c>
      <c r="Q1657" s="5" t="e">
        <f t="shared" si="133"/>
        <v>#DIV/0!</v>
      </c>
      <c r="R1657" s="5" t="e">
        <f ca="1">SQRT($B$9*AVERAGE((Q1657:OFFSET(Q1657,$B$5-1,0))))</f>
        <v>#DIV/0!</v>
      </c>
      <c r="S1657" s="5" t="e">
        <f ca="1">SQRT($B$9*AVERAGE((Q1657:OFFSET(Q1657,$B$6-1,0))))</f>
        <v>#DIV/0!</v>
      </c>
      <c r="T1657" s="5" t="e">
        <f ca="1">SQRT($B$9*AVERAGE((Q1657:OFFSET(Q1657,$B$7-1,0))))</f>
        <v>#DIV/0!</v>
      </c>
      <c r="U1657" s="5" t="e">
        <f ca="1">SQRT($B$9*AVERAGE((Q1657:OFFSET(Q1657,$B$8-1,0))))</f>
        <v>#DIV/0!</v>
      </c>
      <c r="W1657" s="6" t="e">
        <f t="shared" si="137"/>
        <v>#DIV/0!</v>
      </c>
      <c r="X1657" s="6" t="e">
        <f ca="1">SQRT($B$9*AVERAGE(W1657:OFFSET(W1657,$B$5-1,0)))</f>
        <v>#DIV/0!</v>
      </c>
      <c r="Y1657" s="6" t="e">
        <f ca="1">SQRT($B$9*AVERAGE(W1657:OFFSET(W1657,$B$6-1,0)))</f>
        <v>#DIV/0!</v>
      </c>
      <c r="Z1657" s="6" t="e">
        <f ca="1">SQRT($B$9*AVERAGE(W1657:OFFSET(W1657,$B$7-1,0)))</f>
        <v>#DIV/0!</v>
      </c>
      <c r="AA1657" s="6" t="e">
        <f ca="1">SQRT($B$9*AVERAGE(W1657:OFFSET(W1657,$B$8-1,0)))</f>
        <v>#DIV/0!</v>
      </c>
      <c r="AC1657" s="34" t="e">
        <f t="shared" si="135"/>
        <v>#DIV/0!</v>
      </c>
      <c r="AD1657" s="34" t="e">
        <f ca="1">SQRT($B$9*SUM(AC1657:OFFSET(AC1657,$B$5-1,0))/($B$5-1))</f>
        <v>#DIV/0!</v>
      </c>
      <c r="AE1657" s="34" t="e">
        <f ca="1">SQRT($B$9*SUM(AC1657:OFFSET(AC1657,$B$6-1,0))/($B$6-1))</f>
        <v>#DIV/0!</v>
      </c>
      <c r="AF1657" s="34" t="e">
        <f ca="1">SQRT($B$9*SUM(AC1657:OFFSET(AC1657,$B$7-1,0))/($B$7-1))</f>
        <v>#DIV/0!</v>
      </c>
      <c r="AG1657" s="34" t="e">
        <f ca="1">SQRT($B$9*SUM(AC1657:OFFSET(AC1657,$B$8-1,0))/($B$8-1))</f>
        <v>#DIV/0!</v>
      </c>
      <c r="AI1657" s="1" t="e">
        <f t="shared" si="136"/>
        <v>#DIV/0!</v>
      </c>
      <c r="AJ1657" s="4" t="e">
        <f ca="1">SQRT($B$9)*_xlfn.STDEV.S(AI1657:OFFSET(AI1657,$B$5-1,0))</f>
        <v>#DIV/0!</v>
      </c>
      <c r="AK1657" s="4" t="e">
        <f ca="1">SQRT($B$9)*_xlfn.STDEV.S(AI1657:OFFSET(AI1657,$B$6-1,0))</f>
        <v>#DIV/0!</v>
      </c>
      <c r="AL1657" s="4" t="e">
        <f ca="1">SQRT($B$9)*_xlfn.STDEV.S(AI1657:OFFSET(AI1657,$B$7-1,0))</f>
        <v>#DIV/0!</v>
      </c>
      <c r="AM1657" s="4" t="e">
        <f ca="1">SQRT($B$9)*_xlfn.STDEV.S(AI1657:OFFSET(AI1657,$B$8-1,0))</f>
        <v>#DIV/0!</v>
      </c>
    </row>
    <row r="1658" spans="11:39" x14ac:dyDescent="0.2">
      <c r="K1658" s="3" t="e">
        <f t="shared" si="134"/>
        <v>#DIV/0!</v>
      </c>
      <c r="L1658" s="3" t="e">
        <f ca="1">SQRT(AVERAGE(K1658:OFFSET(K1658,$B$5-1,0))*$B$9/(4*LN(2)))</f>
        <v>#DIV/0!</v>
      </c>
      <c r="M1658" s="3" t="e">
        <f ca="1">SQRT(AVERAGE(K1658:OFFSET(K1658,$B$6-1,0))*$B$9/(4*LN(2)))</f>
        <v>#DIV/0!</v>
      </c>
      <c r="N1658" s="3" t="e">
        <f ca="1">SQRT(AVERAGE(K1658:OFFSET(K1658,$B$7-1,0))*$B$9/(4*LN(2)))</f>
        <v>#DIV/0!</v>
      </c>
      <c r="O1658" s="3" t="e">
        <f ca="1">SQRT(AVERAGE(K1658:OFFSET(K1658,$B$8-1,0))*$B$9/(4*LN(2)))</f>
        <v>#DIV/0!</v>
      </c>
      <c r="Q1658" s="5" t="e">
        <f t="shared" si="133"/>
        <v>#DIV/0!</v>
      </c>
      <c r="R1658" s="5" t="e">
        <f ca="1">SQRT($B$9*AVERAGE((Q1658:OFFSET(Q1658,$B$5-1,0))))</f>
        <v>#DIV/0!</v>
      </c>
      <c r="S1658" s="5" t="e">
        <f ca="1">SQRT($B$9*AVERAGE((Q1658:OFFSET(Q1658,$B$6-1,0))))</f>
        <v>#DIV/0!</v>
      </c>
      <c r="T1658" s="5" t="e">
        <f ca="1">SQRT($B$9*AVERAGE((Q1658:OFFSET(Q1658,$B$7-1,0))))</f>
        <v>#DIV/0!</v>
      </c>
      <c r="U1658" s="5" t="e">
        <f ca="1">SQRT($B$9*AVERAGE((Q1658:OFFSET(Q1658,$B$8-1,0))))</f>
        <v>#DIV/0!</v>
      </c>
      <c r="W1658" s="6" t="e">
        <f t="shared" si="137"/>
        <v>#DIV/0!</v>
      </c>
      <c r="X1658" s="6" t="e">
        <f ca="1">SQRT($B$9*AVERAGE(W1658:OFFSET(W1658,$B$5-1,0)))</f>
        <v>#DIV/0!</v>
      </c>
      <c r="Y1658" s="6" t="e">
        <f ca="1">SQRT($B$9*AVERAGE(W1658:OFFSET(W1658,$B$6-1,0)))</f>
        <v>#DIV/0!</v>
      </c>
      <c r="Z1658" s="6" t="e">
        <f ca="1">SQRT($B$9*AVERAGE(W1658:OFFSET(W1658,$B$7-1,0)))</f>
        <v>#DIV/0!</v>
      </c>
      <c r="AA1658" s="6" t="e">
        <f ca="1">SQRT($B$9*AVERAGE(W1658:OFFSET(W1658,$B$8-1,0)))</f>
        <v>#DIV/0!</v>
      </c>
      <c r="AC1658" s="34" t="e">
        <f t="shared" si="135"/>
        <v>#DIV/0!</v>
      </c>
      <c r="AD1658" s="34" t="e">
        <f ca="1">SQRT($B$9*SUM(AC1658:OFFSET(AC1658,$B$5-1,0))/($B$5-1))</f>
        <v>#DIV/0!</v>
      </c>
      <c r="AE1658" s="34" t="e">
        <f ca="1">SQRT($B$9*SUM(AC1658:OFFSET(AC1658,$B$6-1,0))/($B$6-1))</f>
        <v>#DIV/0!</v>
      </c>
      <c r="AF1658" s="34" t="e">
        <f ca="1">SQRT($B$9*SUM(AC1658:OFFSET(AC1658,$B$7-1,0))/($B$7-1))</f>
        <v>#DIV/0!</v>
      </c>
      <c r="AG1658" s="34" t="e">
        <f ca="1">SQRT($B$9*SUM(AC1658:OFFSET(AC1658,$B$8-1,0))/($B$8-1))</f>
        <v>#DIV/0!</v>
      </c>
      <c r="AI1658" s="1" t="e">
        <f t="shared" si="136"/>
        <v>#DIV/0!</v>
      </c>
      <c r="AJ1658" s="4" t="e">
        <f ca="1">SQRT($B$9)*_xlfn.STDEV.S(AI1658:OFFSET(AI1658,$B$5-1,0))</f>
        <v>#DIV/0!</v>
      </c>
      <c r="AK1658" s="4" t="e">
        <f ca="1">SQRT($B$9)*_xlfn.STDEV.S(AI1658:OFFSET(AI1658,$B$6-1,0))</f>
        <v>#DIV/0!</v>
      </c>
      <c r="AL1658" s="4" t="e">
        <f ca="1">SQRT($B$9)*_xlfn.STDEV.S(AI1658:OFFSET(AI1658,$B$7-1,0))</f>
        <v>#DIV/0!</v>
      </c>
      <c r="AM1658" s="4" t="e">
        <f ca="1">SQRT($B$9)*_xlfn.STDEV.S(AI1658:OFFSET(AI1658,$B$8-1,0))</f>
        <v>#DIV/0!</v>
      </c>
    </row>
    <row r="1659" spans="11:39" x14ac:dyDescent="0.2">
      <c r="K1659" s="3" t="e">
        <f t="shared" si="134"/>
        <v>#DIV/0!</v>
      </c>
      <c r="L1659" s="3" t="e">
        <f ca="1">SQRT(AVERAGE(K1659:OFFSET(K1659,$B$5-1,0))*$B$9/(4*LN(2)))</f>
        <v>#DIV/0!</v>
      </c>
      <c r="M1659" s="3" t="e">
        <f ca="1">SQRT(AVERAGE(K1659:OFFSET(K1659,$B$6-1,0))*$B$9/(4*LN(2)))</f>
        <v>#DIV/0!</v>
      </c>
      <c r="N1659" s="3" t="e">
        <f ca="1">SQRT(AVERAGE(K1659:OFFSET(K1659,$B$7-1,0))*$B$9/(4*LN(2)))</f>
        <v>#DIV/0!</v>
      </c>
      <c r="O1659" s="3" t="e">
        <f ca="1">SQRT(AVERAGE(K1659:OFFSET(K1659,$B$8-1,0))*$B$9/(4*LN(2)))</f>
        <v>#DIV/0!</v>
      </c>
      <c r="Q1659" s="5" t="e">
        <f t="shared" si="133"/>
        <v>#DIV/0!</v>
      </c>
      <c r="R1659" s="5" t="e">
        <f ca="1">SQRT($B$9*AVERAGE((Q1659:OFFSET(Q1659,$B$5-1,0))))</f>
        <v>#DIV/0!</v>
      </c>
      <c r="S1659" s="5" t="e">
        <f ca="1">SQRT($B$9*AVERAGE((Q1659:OFFSET(Q1659,$B$6-1,0))))</f>
        <v>#DIV/0!</v>
      </c>
      <c r="T1659" s="5" t="e">
        <f ca="1">SQRT($B$9*AVERAGE((Q1659:OFFSET(Q1659,$B$7-1,0))))</f>
        <v>#DIV/0!</v>
      </c>
      <c r="U1659" s="5" t="e">
        <f ca="1">SQRT($B$9*AVERAGE((Q1659:OFFSET(Q1659,$B$8-1,0))))</f>
        <v>#DIV/0!</v>
      </c>
      <c r="W1659" s="6" t="e">
        <f t="shared" si="137"/>
        <v>#DIV/0!</v>
      </c>
      <c r="X1659" s="6" t="e">
        <f ca="1">SQRT($B$9*AVERAGE(W1659:OFFSET(W1659,$B$5-1,0)))</f>
        <v>#DIV/0!</v>
      </c>
      <c r="Y1659" s="6" t="e">
        <f ca="1">SQRT($B$9*AVERAGE(W1659:OFFSET(W1659,$B$6-1,0)))</f>
        <v>#DIV/0!</v>
      </c>
      <c r="Z1659" s="6" t="e">
        <f ca="1">SQRT($B$9*AVERAGE(W1659:OFFSET(W1659,$B$7-1,0)))</f>
        <v>#DIV/0!</v>
      </c>
      <c r="AA1659" s="6" t="e">
        <f ca="1">SQRT($B$9*AVERAGE(W1659:OFFSET(W1659,$B$8-1,0)))</f>
        <v>#DIV/0!</v>
      </c>
      <c r="AC1659" s="34" t="e">
        <f t="shared" si="135"/>
        <v>#DIV/0!</v>
      </c>
      <c r="AD1659" s="34" t="e">
        <f ca="1">SQRT($B$9*SUM(AC1659:OFFSET(AC1659,$B$5-1,0))/($B$5-1))</f>
        <v>#DIV/0!</v>
      </c>
      <c r="AE1659" s="34" t="e">
        <f ca="1">SQRT($B$9*SUM(AC1659:OFFSET(AC1659,$B$6-1,0))/($B$6-1))</f>
        <v>#DIV/0!</v>
      </c>
      <c r="AF1659" s="34" t="e">
        <f ca="1">SQRT($B$9*SUM(AC1659:OFFSET(AC1659,$B$7-1,0))/($B$7-1))</f>
        <v>#DIV/0!</v>
      </c>
      <c r="AG1659" s="34" t="e">
        <f ca="1">SQRT($B$9*SUM(AC1659:OFFSET(AC1659,$B$8-1,0))/($B$8-1))</f>
        <v>#DIV/0!</v>
      </c>
      <c r="AI1659" s="1" t="e">
        <f t="shared" si="136"/>
        <v>#DIV/0!</v>
      </c>
      <c r="AJ1659" s="4" t="e">
        <f ca="1">SQRT($B$9)*_xlfn.STDEV.S(AI1659:OFFSET(AI1659,$B$5-1,0))</f>
        <v>#DIV/0!</v>
      </c>
      <c r="AK1659" s="4" t="e">
        <f ca="1">SQRT($B$9)*_xlfn.STDEV.S(AI1659:OFFSET(AI1659,$B$6-1,0))</f>
        <v>#DIV/0!</v>
      </c>
      <c r="AL1659" s="4" t="e">
        <f ca="1">SQRT($B$9)*_xlfn.STDEV.S(AI1659:OFFSET(AI1659,$B$7-1,0))</f>
        <v>#DIV/0!</v>
      </c>
      <c r="AM1659" s="4" t="e">
        <f ca="1">SQRT($B$9)*_xlfn.STDEV.S(AI1659:OFFSET(AI1659,$B$8-1,0))</f>
        <v>#DIV/0!</v>
      </c>
    </row>
    <row r="1660" spans="11:39" x14ac:dyDescent="0.2">
      <c r="K1660" s="3" t="e">
        <f t="shared" si="134"/>
        <v>#DIV/0!</v>
      </c>
      <c r="L1660" s="3" t="e">
        <f ca="1">SQRT(AVERAGE(K1660:OFFSET(K1660,$B$5-1,0))*$B$9/(4*LN(2)))</f>
        <v>#DIV/0!</v>
      </c>
      <c r="M1660" s="3" t="e">
        <f ca="1">SQRT(AVERAGE(K1660:OFFSET(K1660,$B$6-1,0))*$B$9/(4*LN(2)))</f>
        <v>#DIV/0!</v>
      </c>
      <c r="N1660" s="3" t="e">
        <f ca="1">SQRT(AVERAGE(K1660:OFFSET(K1660,$B$7-1,0))*$B$9/(4*LN(2)))</f>
        <v>#DIV/0!</v>
      </c>
      <c r="O1660" s="3" t="e">
        <f ca="1">SQRT(AVERAGE(K1660:OFFSET(K1660,$B$8-1,0))*$B$9/(4*LN(2)))</f>
        <v>#DIV/0!</v>
      </c>
      <c r="Q1660" s="5" t="e">
        <f t="shared" si="133"/>
        <v>#DIV/0!</v>
      </c>
      <c r="R1660" s="5" t="e">
        <f ca="1">SQRT($B$9*AVERAGE((Q1660:OFFSET(Q1660,$B$5-1,0))))</f>
        <v>#DIV/0!</v>
      </c>
      <c r="S1660" s="5" t="e">
        <f ca="1">SQRT($B$9*AVERAGE((Q1660:OFFSET(Q1660,$B$6-1,0))))</f>
        <v>#DIV/0!</v>
      </c>
      <c r="T1660" s="5" t="e">
        <f ca="1">SQRT($B$9*AVERAGE((Q1660:OFFSET(Q1660,$B$7-1,0))))</f>
        <v>#DIV/0!</v>
      </c>
      <c r="U1660" s="5" t="e">
        <f ca="1">SQRT($B$9*AVERAGE((Q1660:OFFSET(Q1660,$B$8-1,0))))</f>
        <v>#DIV/0!</v>
      </c>
      <c r="W1660" s="6" t="e">
        <f t="shared" si="137"/>
        <v>#DIV/0!</v>
      </c>
      <c r="X1660" s="6" t="e">
        <f ca="1">SQRT($B$9*AVERAGE(W1660:OFFSET(W1660,$B$5-1,0)))</f>
        <v>#DIV/0!</v>
      </c>
      <c r="Y1660" s="6" t="e">
        <f ca="1">SQRT($B$9*AVERAGE(W1660:OFFSET(W1660,$B$6-1,0)))</f>
        <v>#DIV/0!</v>
      </c>
      <c r="Z1660" s="6" t="e">
        <f ca="1">SQRT($B$9*AVERAGE(W1660:OFFSET(W1660,$B$7-1,0)))</f>
        <v>#DIV/0!</v>
      </c>
      <c r="AA1660" s="6" t="e">
        <f ca="1">SQRT($B$9*AVERAGE(W1660:OFFSET(W1660,$B$8-1,0)))</f>
        <v>#DIV/0!</v>
      </c>
      <c r="AC1660" s="34" t="e">
        <f t="shared" si="135"/>
        <v>#DIV/0!</v>
      </c>
      <c r="AD1660" s="34" t="e">
        <f ca="1">SQRT($B$9*SUM(AC1660:OFFSET(AC1660,$B$5-1,0))/($B$5-1))</f>
        <v>#DIV/0!</v>
      </c>
      <c r="AE1660" s="34" t="e">
        <f ca="1">SQRT($B$9*SUM(AC1660:OFFSET(AC1660,$B$6-1,0))/($B$6-1))</f>
        <v>#DIV/0!</v>
      </c>
      <c r="AF1660" s="34" t="e">
        <f ca="1">SQRT($B$9*SUM(AC1660:OFFSET(AC1660,$B$7-1,0))/($B$7-1))</f>
        <v>#DIV/0!</v>
      </c>
      <c r="AG1660" s="34" t="e">
        <f ca="1">SQRT($B$9*SUM(AC1660:OFFSET(AC1660,$B$8-1,0))/($B$8-1))</f>
        <v>#DIV/0!</v>
      </c>
      <c r="AI1660" s="1" t="e">
        <f t="shared" si="136"/>
        <v>#DIV/0!</v>
      </c>
      <c r="AJ1660" s="4" t="e">
        <f ca="1">SQRT($B$9)*_xlfn.STDEV.S(AI1660:OFFSET(AI1660,$B$5-1,0))</f>
        <v>#DIV/0!</v>
      </c>
      <c r="AK1660" s="4" t="e">
        <f ca="1">SQRT($B$9)*_xlfn.STDEV.S(AI1660:OFFSET(AI1660,$B$6-1,0))</f>
        <v>#DIV/0!</v>
      </c>
      <c r="AL1660" s="4" t="e">
        <f ca="1">SQRT($B$9)*_xlfn.STDEV.S(AI1660:OFFSET(AI1660,$B$7-1,0))</f>
        <v>#DIV/0!</v>
      </c>
      <c r="AM1660" s="4" t="e">
        <f ca="1">SQRT($B$9)*_xlfn.STDEV.S(AI1660:OFFSET(AI1660,$B$8-1,0))</f>
        <v>#DIV/0!</v>
      </c>
    </row>
    <row r="1661" spans="11:39" x14ac:dyDescent="0.2">
      <c r="K1661" s="3" t="e">
        <f t="shared" si="134"/>
        <v>#DIV/0!</v>
      </c>
      <c r="L1661" s="3" t="e">
        <f ca="1">SQRT(AVERAGE(K1661:OFFSET(K1661,$B$5-1,0))*$B$9/(4*LN(2)))</f>
        <v>#DIV/0!</v>
      </c>
      <c r="M1661" s="3" t="e">
        <f ca="1">SQRT(AVERAGE(K1661:OFFSET(K1661,$B$6-1,0))*$B$9/(4*LN(2)))</f>
        <v>#DIV/0!</v>
      </c>
      <c r="N1661" s="3" t="e">
        <f ca="1">SQRT(AVERAGE(K1661:OFFSET(K1661,$B$7-1,0))*$B$9/(4*LN(2)))</f>
        <v>#DIV/0!</v>
      </c>
      <c r="O1661" s="3" t="e">
        <f ca="1">SQRT(AVERAGE(K1661:OFFSET(K1661,$B$8-1,0))*$B$9/(4*LN(2)))</f>
        <v>#DIV/0!</v>
      </c>
      <c r="Q1661" s="5" t="e">
        <f t="shared" si="133"/>
        <v>#DIV/0!</v>
      </c>
      <c r="R1661" s="5" t="e">
        <f ca="1">SQRT($B$9*AVERAGE((Q1661:OFFSET(Q1661,$B$5-1,0))))</f>
        <v>#DIV/0!</v>
      </c>
      <c r="S1661" s="5" t="e">
        <f ca="1">SQRT($B$9*AVERAGE((Q1661:OFFSET(Q1661,$B$6-1,0))))</f>
        <v>#DIV/0!</v>
      </c>
      <c r="T1661" s="5" t="e">
        <f ca="1">SQRT($B$9*AVERAGE((Q1661:OFFSET(Q1661,$B$7-1,0))))</f>
        <v>#DIV/0!</v>
      </c>
      <c r="U1661" s="5" t="e">
        <f ca="1">SQRT($B$9*AVERAGE((Q1661:OFFSET(Q1661,$B$8-1,0))))</f>
        <v>#DIV/0!</v>
      </c>
      <c r="W1661" s="6" t="e">
        <f t="shared" si="137"/>
        <v>#DIV/0!</v>
      </c>
      <c r="X1661" s="6" t="e">
        <f ca="1">SQRT($B$9*AVERAGE(W1661:OFFSET(W1661,$B$5-1,0)))</f>
        <v>#DIV/0!</v>
      </c>
      <c r="Y1661" s="6" t="e">
        <f ca="1">SQRT($B$9*AVERAGE(W1661:OFFSET(W1661,$B$6-1,0)))</f>
        <v>#DIV/0!</v>
      </c>
      <c r="Z1661" s="6" t="e">
        <f ca="1">SQRT($B$9*AVERAGE(W1661:OFFSET(W1661,$B$7-1,0)))</f>
        <v>#DIV/0!</v>
      </c>
      <c r="AA1661" s="6" t="e">
        <f ca="1">SQRT($B$9*AVERAGE(W1661:OFFSET(W1661,$B$8-1,0)))</f>
        <v>#DIV/0!</v>
      </c>
      <c r="AC1661" s="34" t="e">
        <f t="shared" si="135"/>
        <v>#DIV/0!</v>
      </c>
      <c r="AD1661" s="34" t="e">
        <f ca="1">SQRT($B$9*SUM(AC1661:OFFSET(AC1661,$B$5-1,0))/($B$5-1))</f>
        <v>#DIV/0!</v>
      </c>
      <c r="AE1661" s="34" t="e">
        <f ca="1">SQRT($B$9*SUM(AC1661:OFFSET(AC1661,$B$6-1,0))/($B$6-1))</f>
        <v>#DIV/0!</v>
      </c>
      <c r="AF1661" s="34" t="e">
        <f ca="1">SQRT($B$9*SUM(AC1661:OFFSET(AC1661,$B$7-1,0))/($B$7-1))</f>
        <v>#DIV/0!</v>
      </c>
      <c r="AG1661" s="34" t="e">
        <f ca="1">SQRT($B$9*SUM(AC1661:OFFSET(AC1661,$B$8-1,0))/($B$8-1))</f>
        <v>#DIV/0!</v>
      </c>
      <c r="AI1661" s="1" t="e">
        <f t="shared" si="136"/>
        <v>#DIV/0!</v>
      </c>
      <c r="AJ1661" s="4" t="e">
        <f ca="1">SQRT($B$9)*_xlfn.STDEV.S(AI1661:OFFSET(AI1661,$B$5-1,0))</f>
        <v>#DIV/0!</v>
      </c>
      <c r="AK1661" s="4" t="e">
        <f ca="1">SQRT($B$9)*_xlfn.STDEV.S(AI1661:OFFSET(AI1661,$B$6-1,0))</f>
        <v>#DIV/0!</v>
      </c>
      <c r="AL1661" s="4" t="e">
        <f ca="1">SQRT($B$9)*_xlfn.STDEV.S(AI1661:OFFSET(AI1661,$B$7-1,0))</f>
        <v>#DIV/0!</v>
      </c>
      <c r="AM1661" s="4" t="e">
        <f ca="1">SQRT($B$9)*_xlfn.STDEV.S(AI1661:OFFSET(AI1661,$B$8-1,0))</f>
        <v>#DIV/0!</v>
      </c>
    </row>
    <row r="1662" spans="11:39" x14ac:dyDescent="0.2">
      <c r="K1662" s="3" t="e">
        <f t="shared" si="134"/>
        <v>#DIV/0!</v>
      </c>
      <c r="L1662" s="3" t="e">
        <f ca="1">SQRT(AVERAGE(K1662:OFFSET(K1662,$B$5-1,0))*$B$9/(4*LN(2)))</f>
        <v>#DIV/0!</v>
      </c>
      <c r="M1662" s="3" t="e">
        <f ca="1">SQRT(AVERAGE(K1662:OFFSET(K1662,$B$6-1,0))*$B$9/(4*LN(2)))</f>
        <v>#DIV/0!</v>
      </c>
      <c r="N1662" s="3" t="e">
        <f ca="1">SQRT(AVERAGE(K1662:OFFSET(K1662,$B$7-1,0))*$B$9/(4*LN(2)))</f>
        <v>#DIV/0!</v>
      </c>
      <c r="O1662" s="3" t="e">
        <f ca="1">SQRT(AVERAGE(K1662:OFFSET(K1662,$B$8-1,0))*$B$9/(4*LN(2)))</f>
        <v>#DIV/0!</v>
      </c>
      <c r="Q1662" s="5" t="e">
        <f t="shared" si="133"/>
        <v>#DIV/0!</v>
      </c>
      <c r="R1662" s="5" t="e">
        <f ca="1">SQRT($B$9*AVERAGE((Q1662:OFFSET(Q1662,$B$5-1,0))))</f>
        <v>#DIV/0!</v>
      </c>
      <c r="S1662" s="5" t="e">
        <f ca="1">SQRT($B$9*AVERAGE((Q1662:OFFSET(Q1662,$B$6-1,0))))</f>
        <v>#DIV/0!</v>
      </c>
      <c r="T1662" s="5" t="e">
        <f ca="1">SQRT($B$9*AVERAGE((Q1662:OFFSET(Q1662,$B$7-1,0))))</f>
        <v>#DIV/0!</v>
      </c>
      <c r="U1662" s="5" t="e">
        <f ca="1">SQRT($B$9*AVERAGE((Q1662:OFFSET(Q1662,$B$8-1,0))))</f>
        <v>#DIV/0!</v>
      </c>
      <c r="W1662" s="6" t="e">
        <f t="shared" si="137"/>
        <v>#DIV/0!</v>
      </c>
      <c r="X1662" s="6" t="e">
        <f ca="1">SQRT($B$9*AVERAGE(W1662:OFFSET(W1662,$B$5-1,0)))</f>
        <v>#DIV/0!</v>
      </c>
      <c r="Y1662" s="6" t="e">
        <f ca="1">SQRT($B$9*AVERAGE(W1662:OFFSET(W1662,$B$6-1,0)))</f>
        <v>#DIV/0!</v>
      </c>
      <c r="Z1662" s="6" t="e">
        <f ca="1">SQRT($B$9*AVERAGE(W1662:OFFSET(W1662,$B$7-1,0)))</f>
        <v>#DIV/0!</v>
      </c>
      <c r="AA1662" s="6" t="e">
        <f ca="1">SQRT($B$9*AVERAGE(W1662:OFFSET(W1662,$B$8-1,0)))</f>
        <v>#DIV/0!</v>
      </c>
      <c r="AC1662" s="34" t="e">
        <f t="shared" si="135"/>
        <v>#DIV/0!</v>
      </c>
      <c r="AD1662" s="34" t="e">
        <f ca="1">SQRT($B$9*SUM(AC1662:OFFSET(AC1662,$B$5-1,0))/($B$5-1))</f>
        <v>#DIV/0!</v>
      </c>
      <c r="AE1662" s="34" t="e">
        <f ca="1">SQRT($B$9*SUM(AC1662:OFFSET(AC1662,$B$6-1,0))/($B$6-1))</f>
        <v>#DIV/0!</v>
      </c>
      <c r="AF1662" s="34" t="e">
        <f ca="1">SQRT($B$9*SUM(AC1662:OFFSET(AC1662,$B$7-1,0))/($B$7-1))</f>
        <v>#DIV/0!</v>
      </c>
      <c r="AG1662" s="34" t="e">
        <f ca="1">SQRT($B$9*SUM(AC1662:OFFSET(AC1662,$B$8-1,0))/($B$8-1))</f>
        <v>#DIV/0!</v>
      </c>
      <c r="AI1662" s="1" t="e">
        <f t="shared" si="136"/>
        <v>#DIV/0!</v>
      </c>
      <c r="AJ1662" s="4" t="e">
        <f ca="1">SQRT($B$9)*_xlfn.STDEV.S(AI1662:OFFSET(AI1662,$B$5-1,0))</f>
        <v>#DIV/0!</v>
      </c>
      <c r="AK1662" s="4" t="e">
        <f ca="1">SQRT($B$9)*_xlfn.STDEV.S(AI1662:OFFSET(AI1662,$B$6-1,0))</f>
        <v>#DIV/0!</v>
      </c>
      <c r="AL1662" s="4" t="e">
        <f ca="1">SQRT($B$9)*_xlfn.STDEV.S(AI1662:OFFSET(AI1662,$B$7-1,0))</f>
        <v>#DIV/0!</v>
      </c>
      <c r="AM1662" s="4" t="e">
        <f ca="1">SQRT($B$9)*_xlfn.STDEV.S(AI1662:OFFSET(AI1662,$B$8-1,0))</f>
        <v>#DIV/0!</v>
      </c>
    </row>
    <row r="1663" spans="11:39" x14ac:dyDescent="0.2">
      <c r="K1663" s="3" t="e">
        <f t="shared" si="134"/>
        <v>#DIV/0!</v>
      </c>
      <c r="L1663" s="3" t="e">
        <f ca="1">SQRT(AVERAGE(K1663:OFFSET(K1663,$B$5-1,0))*$B$9/(4*LN(2)))</f>
        <v>#DIV/0!</v>
      </c>
      <c r="M1663" s="3" t="e">
        <f ca="1">SQRT(AVERAGE(K1663:OFFSET(K1663,$B$6-1,0))*$B$9/(4*LN(2)))</f>
        <v>#DIV/0!</v>
      </c>
      <c r="N1663" s="3" t="e">
        <f ca="1">SQRT(AVERAGE(K1663:OFFSET(K1663,$B$7-1,0))*$B$9/(4*LN(2)))</f>
        <v>#DIV/0!</v>
      </c>
      <c r="O1663" s="3" t="e">
        <f ca="1">SQRT(AVERAGE(K1663:OFFSET(K1663,$B$8-1,0))*$B$9/(4*LN(2)))</f>
        <v>#DIV/0!</v>
      </c>
      <c r="Q1663" s="5" t="e">
        <f t="shared" si="133"/>
        <v>#DIV/0!</v>
      </c>
      <c r="R1663" s="5" t="e">
        <f ca="1">SQRT($B$9*AVERAGE((Q1663:OFFSET(Q1663,$B$5-1,0))))</f>
        <v>#DIV/0!</v>
      </c>
      <c r="S1663" s="5" t="e">
        <f ca="1">SQRT($B$9*AVERAGE((Q1663:OFFSET(Q1663,$B$6-1,0))))</f>
        <v>#DIV/0!</v>
      </c>
      <c r="T1663" s="5" t="e">
        <f ca="1">SQRT($B$9*AVERAGE((Q1663:OFFSET(Q1663,$B$7-1,0))))</f>
        <v>#DIV/0!</v>
      </c>
      <c r="U1663" s="5" t="e">
        <f ca="1">SQRT($B$9*AVERAGE((Q1663:OFFSET(Q1663,$B$8-1,0))))</f>
        <v>#DIV/0!</v>
      </c>
      <c r="W1663" s="6" t="e">
        <f t="shared" si="137"/>
        <v>#DIV/0!</v>
      </c>
      <c r="X1663" s="6" t="e">
        <f ca="1">SQRT($B$9*AVERAGE(W1663:OFFSET(W1663,$B$5-1,0)))</f>
        <v>#DIV/0!</v>
      </c>
      <c r="Y1663" s="6" t="e">
        <f ca="1">SQRT($B$9*AVERAGE(W1663:OFFSET(W1663,$B$6-1,0)))</f>
        <v>#DIV/0!</v>
      </c>
      <c r="Z1663" s="6" t="e">
        <f ca="1">SQRT($B$9*AVERAGE(W1663:OFFSET(W1663,$B$7-1,0)))</f>
        <v>#DIV/0!</v>
      </c>
      <c r="AA1663" s="6" t="e">
        <f ca="1">SQRT($B$9*AVERAGE(W1663:OFFSET(W1663,$B$8-1,0)))</f>
        <v>#DIV/0!</v>
      </c>
      <c r="AC1663" s="34" t="e">
        <f t="shared" si="135"/>
        <v>#DIV/0!</v>
      </c>
      <c r="AD1663" s="34" t="e">
        <f ca="1">SQRT($B$9*SUM(AC1663:OFFSET(AC1663,$B$5-1,0))/($B$5-1))</f>
        <v>#DIV/0!</v>
      </c>
      <c r="AE1663" s="34" t="e">
        <f ca="1">SQRT($B$9*SUM(AC1663:OFFSET(AC1663,$B$6-1,0))/($B$6-1))</f>
        <v>#DIV/0!</v>
      </c>
      <c r="AF1663" s="34" t="e">
        <f ca="1">SQRT($B$9*SUM(AC1663:OFFSET(AC1663,$B$7-1,0))/($B$7-1))</f>
        <v>#DIV/0!</v>
      </c>
      <c r="AG1663" s="34" t="e">
        <f ca="1">SQRT($B$9*SUM(AC1663:OFFSET(AC1663,$B$8-1,0))/($B$8-1))</f>
        <v>#DIV/0!</v>
      </c>
      <c r="AI1663" s="1" t="e">
        <f t="shared" si="136"/>
        <v>#DIV/0!</v>
      </c>
      <c r="AJ1663" s="4" t="e">
        <f ca="1">SQRT($B$9)*_xlfn.STDEV.S(AI1663:OFFSET(AI1663,$B$5-1,0))</f>
        <v>#DIV/0!</v>
      </c>
      <c r="AK1663" s="4" t="e">
        <f ca="1">SQRT($B$9)*_xlfn.STDEV.S(AI1663:OFFSET(AI1663,$B$6-1,0))</f>
        <v>#DIV/0!</v>
      </c>
      <c r="AL1663" s="4" t="e">
        <f ca="1">SQRT($B$9)*_xlfn.STDEV.S(AI1663:OFFSET(AI1663,$B$7-1,0))</f>
        <v>#DIV/0!</v>
      </c>
      <c r="AM1663" s="4" t="e">
        <f ca="1">SQRT($B$9)*_xlfn.STDEV.S(AI1663:OFFSET(AI1663,$B$8-1,0))</f>
        <v>#DIV/0!</v>
      </c>
    </row>
    <row r="1664" spans="11:39" x14ac:dyDescent="0.2">
      <c r="K1664" s="3" t="e">
        <f t="shared" si="134"/>
        <v>#DIV/0!</v>
      </c>
      <c r="L1664" s="3" t="e">
        <f ca="1">SQRT(AVERAGE(K1664:OFFSET(K1664,$B$5-1,0))*$B$9/(4*LN(2)))</f>
        <v>#DIV/0!</v>
      </c>
      <c r="M1664" s="3" t="e">
        <f ca="1">SQRT(AVERAGE(K1664:OFFSET(K1664,$B$6-1,0))*$B$9/(4*LN(2)))</f>
        <v>#DIV/0!</v>
      </c>
      <c r="N1664" s="3" t="e">
        <f ca="1">SQRT(AVERAGE(K1664:OFFSET(K1664,$B$7-1,0))*$B$9/(4*LN(2)))</f>
        <v>#DIV/0!</v>
      </c>
      <c r="O1664" s="3" t="e">
        <f ca="1">SQRT(AVERAGE(K1664:OFFSET(K1664,$B$8-1,0))*$B$9/(4*LN(2)))</f>
        <v>#DIV/0!</v>
      </c>
      <c r="Q1664" s="5" t="e">
        <f t="shared" si="133"/>
        <v>#DIV/0!</v>
      </c>
      <c r="R1664" s="5" t="e">
        <f ca="1">SQRT($B$9*AVERAGE((Q1664:OFFSET(Q1664,$B$5-1,0))))</f>
        <v>#DIV/0!</v>
      </c>
      <c r="S1664" s="5" t="e">
        <f ca="1">SQRT($B$9*AVERAGE((Q1664:OFFSET(Q1664,$B$6-1,0))))</f>
        <v>#DIV/0!</v>
      </c>
      <c r="T1664" s="5" t="e">
        <f ca="1">SQRT($B$9*AVERAGE((Q1664:OFFSET(Q1664,$B$7-1,0))))</f>
        <v>#DIV/0!</v>
      </c>
      <c r="U1664" s="5" t="e">
        <f ca="1">SQRT($B$9*AVERAGE((Q1664:OFFSET(Q1664,$B$8-1,0))))</f>
        <v>#DIV/0!</v>
      </c>
      <c r="W1664" s="6" t="e">
        <f t="shared" si="137"/>
        <v>#DIV/0!</v>
      </c>
      <c r="X1664" s="6" t="e">
        <f ca="1">SQRT($B$9*AVERAGE(W1664:OFFSET(W1664,$B$5-1,0)))</f>
        <v>#DIV/0!</v>
      </c>
      <c r="Y1664" s="6" t="e">
        <f ca="1">SQRT($B$9*AVERAGE(W1664:OFFSET(W1664,$B$6-1,0)))</f>
        <v>#DIV/0!</v>
      </c>
      <c r="Z1664" s="6" t="e">
        <f ca="1">SQRT($B$9*AVERAGE(W1664:OFFSET(W1664,$B$7-1,0)))</f>
        <v>#DIV/0!</v>
      </c>
      <c r="AA1664" s="6" t="e">
        <f ca="1">SQRT($B$9*AVERAGE(W1664:OFFSET(W1664,$B$8-1,0)))</f>
        <v>#DIV/0!</v>
      </c>
      <c r="AC1664" s="34" t="e">
        <f t="shared" si="135"/>
        <v>#DIV/0!</v>
      </c>
      <c r="AD1664" s="34" t="e">
        <f ca="1">SQRT($B$9*SUM(AC1664:OFFSET(AC1664,$B$5-1,0))/($B$5-1))</f>
        <v>#DIV/0!</v>
      </c>
      <c r="AE1664" s="34" t="e">
        <f ca="1">SQRT($B$9*SUM(AC1664:OFFSET(AC1664,$B$6-1,0))/($B$6-1))</f>
        <v>#DIV/0!</v>
      </c>
      <c r="AF1664" s="34" t="e">
        <f ca="1">SQRT($B$9*SUM(AC1664:OFFSET(AC1664,$B$7-1,0))/($B$7-1))</f>
        <v>#DIV/0!</v>
      </c>
      <c r="AG1664" s="34" t="e">
        <f ca="1">SQRT($B$9*SUM(AC1664:OFFSET(AC1664,$B$8-1,0))/($B$8-1))</f>
        <v>#DIV/0!</v>
      </c>
      <c r="AI1664" s="1" t="e">
        <f t="shared" si="136"/>
        <v>#DIV/0!</v>
      </c>
      <c r="AJ1664" s="4" t="e">
        <f ca="1">SQRT($B$9)*_xlfn.STDEV.S(AI1664:OFFSET(AI1664,$B$5-1,0))</f>
        <v>#DIV/0!</v>
      </c>
      <c r="AK1664" s="4" t="e">
        <f ca="1">SQRT($B$9)*_xlfn.STDEV.S(AI1664:OFFSET(AI1664,$B$6-1,0))</f>
        <v>#DIV/0!</v>
      </c>
      <c r="AL1664" s="4" t="e">
        <f ca="1">SQRT($B$9)*_xlfn.STDEV.S(AI1664:OFFSET(AI1664,$B$7-1,0))</f>
        <v>#DIV/0!</v>
      </c>
      <c r="AM1664" s="4" t="e">
        <f ca="1">SQRT($B$9)*_xlfn.STDEV.S(AI1664:OFFSET(AI1664,$B$8-1,0))</f>
        <v>#DIV/0!</v>
      </c>
    </row>
    <row r="1665" spans="11:39" x14ac:dyDescent="0.2">
      <c r="K1665" s="3" t="e">
        <f t="shared" si="134"/>
        <v>#DIV/0!</v>
      </c>
      <c r="L1665" s="3" t="e">
        <f ca="1">SQRT(AVERAGE(K1665:OFFSET(K1665,$B$5-1,0))*$B$9/(4*LN(2)))</f>
        <v>#DIV/0!</v>
      </c>
      <c r="M1665" s="3" t="e">
        <f ca="1">SQRT(AVERAGE(K1665:OFFSET(K1665,$B$6-1,0))*$B$9/(4*LN(2)))</f>
        <v>#DIV/0!</v>
      </c>
      <c r="N1665" s="3" t="e">
        <f ca="1">SQRT(AVERAGE(K1665:OFFSET(K1665,$B$7-1,0))*$B$9/(4*LN(2)))</f>
        <v>#DIV/0!</v>
      </c>
      <c r="O1665" s="3" t="e">
        <f ca="1">SQRT(AVERAGE(K1665:OFFSET(K1665,$B$8-1,0))*$B$9/(4*LN(2)))</f>
        <v>#DIV/0!</v>
      </c>
      <c r="Q1665" s="5" t="e">
        <f t="shared" si="133"/>
        <v>#DIV/0!</v>
      </c>
      <c r="R1665" s="5" t="e">
        <f ca="1">SQRT($B$9*AVERAGE((Q1665:OFFSET(Q1665,$B$5-1,0))))</f>
        <v>#DIV/0!</v>
      </c>
      <c r="S1665" s="5" t="e">
        <f ca="1">SQRT($B$9*AVERAGE((Q1665:OFFSET(Q1665,$B$6-1,0))))</f>
        <v>#DIV/0!</v>
      </c>
      <c r="T1665" s="5" t="e">
        <f ca="1">SQRT($B$9*AVERAGE((Q1665:OFFSET(Q1665,$B$7-1,0))))</f>
        <v>#DIV/0!</v>
      </c>
      <c r="U1665" s="5" t="e">
        <f ca="1">SQRT($B$9*AVERAGE((Q1665:OFFSET(Q1665,$B$8-1,0))))</f>
        <v>#DIV/0!</v>
      </c>
      <c r="W1665" s="6" t="e">
        <f t="shared" si="137"/>
        <v>#DIV/0!</v>
      </c>
      <c r="X1665" s="6" t="e">
        <f ca="1">SQRT($B$9*AVERAGE(W1665:OFFSET(W1665,$B$5-1,0)))</f>
        <v>#DIV/0!</v>
      </c>
      <c r="Y1665" s="6" t="e">
        <f ca="1">SQRT($B$9*AVERAGE(W1665:OFFSET(W1665,$B$6-1,0)))</f>
        <v>#DIV/0!</v>
      </c>
      <c r="Z1665" s="6" t="e">
        <f ca="1">SQRT($B$9*AVERAGE(W1665:OFFSET(W1665,$B$7-1,0)))</f>
        <v>#DIV/0!</v>
      </c>
      <c r="AA1665" s="6" t="e">
        <f ca="1">SQRT($B$9*AVERAGE(W1665:OFFSET(W1665,$B$8-1,0)))</f>
        <v>#DIV/0!</v>
      </c>
      <c r="AC1665" s="34" t="e">
        <f t="shared" si="135"/>
        <v>#DIV/0!</v>
      </c>
      <c r="AD1665" s="34" t="e">
        <f ca="1">SQRT($B$9*SUM(AC1665:OFFSET(AC1665,$B$5-1,0))/($B$5-1))</f>
        <v>#DIV/0!</v>
      </c>
      <c r="AE1665" s="34" t="e">
        <f ca="1">SQRT($B$9*SUM(AC1665:OFFSET(AC1665,$B$6-1,0))/($B$6-1))</f>
        <v>#DIV/0!</v>
      </c>
      <c r="AF1665" s="34" t="e">
        <f ca="1">SQRT($B$9*SUM(AC1665:OFFSET(AC1665,$B$7-1,0))/($B$7-1))</f>
        <v>#DIV/0!</v>
      </c>
      <c r="AG1665" s="34" t="e">
        <f ca="1">SQRT($B$9*SUM(AC1665:OFFSET(AC1665,$B$8-1,0))/($B$8-1))</f>
        <v>#DIV/0!</v>
      </c>
      <c r="AI1665" s="1" t="e">
        <f t="shared" si="136"/>
        <v>#DIV/0!</v>
      </c>
      <c r="AJ1665" s="4" t="e">
        <f ca="1">SQRT($B$9)*_xlfn.STDEV.S(AI1665:OFFSET(AI1665,$B$5-1,0))</f>
        <v>#DIV/0!</v>
      </c>
      <c r="AK1665" s="4" t="e">
        <f ca="1">SQRT($B$9)*_xlfn.STDEV.S(AI1665:OFFSET(AI1665,$B$6-1,0))</f>
        <v>#DIV/0!</v>
      </c>
      <c r="AL1665" s="4" t="e">
        <f ca="1">SQRT($B$9)*_xlfn.STDEV.S(AI1665:OFFSET(AI1665,$B$7-1,0))</f>
        <v>#DIV/0!</v>
      </c>
      <c r="AM1665" s="4" t="e">
        <f ca="1">SQRT($B$9)*_xlfn.STDEV.S(AI1665:OFFSET(AI1665,$B$8-1,0))</f>
        <v>#DIV/0!</v>
      </c>
    </row>
    <row r="1666" spans="11:39" x14ac:dyDescent="0.2">
      <c r="K1666" s="3" t="e">
        <f t="shared" si="134"/>
        <v>#DIV/0!</v>
      </c>
      <c r="L1666" s="3" t="e">
        <f ca="1">SQRT(AVERAGE(K1666:OFFSET(K1666,$B$5-1,0))*$B$9/(4*LN(2)))</f>
        <v>#DIV/0!</v>
      </c>
      <c r="M1666" s="3" t="e">
        <f ca="1">SQRT(AVERAGE(K1666:OFFSET(K1666,$B$6-1,0))*$B$9/(4*LN(2)))</f>
        <v>#DIV/0!</v>
      </c>
      <c r="N1666" s="3" t="e">
        <f ca="1">SQRT(AVERAGE(K1666:OFFSET(K1666,$B$7-1,0))*$B$9/(4*LN(2)))</f>
        <v>#DIV/0!</v>
      </c>
      <c r="O1666" s="3" t="e">
        <f ca="1">SQRT(AVERAGE(K1666:OFFSET(K1666,$B$8-1,0))*$B$9/(4*LN(2)))</f>
        <v>#DIV/0!</v>
      </c>
      <c r="Q1666" s="5" t="e">
        <f t="shared" si="133"/>
        <v>#DIV/0!</v>
      </c>
      <c r="R1666" s="5" t="e">
        <f ca="1">SQRT($B$9*AVERAGE((Q1666:OFFSET(Q1666,$B$5-1,0))))</f>
        <v>#DIV/0!</v>
      </c>
      <c r="S1666" s="5" t="e">
        <f ca="1">SQRT($B$9*AVERAGE((Q1666:OFFSET(Q1666,$B$6-1,0))))</f>
        <v>#DIV/0!</v>
      </c>
      <c r="T1666" s="5" t="e">
        <f ca="1">SQRT($B$9*AVERAGE((Q1666:OFFSET(Q1666,$B$7-1,0))))</f>
        <v>#DIV/0!</v>
      </c>
      <c r="U1666" s="5" t="e">
        <f ca="1">SQRT($B$9*AVERAGE((Q1666:OFFSET(Q1666,$B$8-1,0))))</f>
        <v>#DIV/0!</v>
      </c>
      <c r="W1666" s="6" t="e">
        <f t="shared" si="137"/>
        <v>#DIV/0!</v>
      </c>
      <c r="X1666" s="6" t="e">
        <f ca="1">SQRT($B$9*AVERAGE(W1666:OFFSET(W1666,$B$5-1,0)))</f>
        <v>#DIV/0!</v>
      </c>
      <c r="Y1666" s="6" t="e">
        <f ca="1">SQRT($B$9*AVERAGE(W1666:OFFSET(W1666,$B$6-1,0)))</f>
        <v>#DIV/0!</v>
      </c>
      <c r="Z1666" s="6" t="e">
        <f ca="1">SQRT($B$9*AVERAGE(W1666:OFFSET(W1666,$B$7-1,0)))</f>
        <v>#DIV/0!</v>
      </c>
      <c r="AA1666" s="6" t="e">
        <f ca="1">SQRT($B$9*AVERAGE(W1666:OFFSET(W1666,$B$8-1,0)))</f>
        <v>#DIV/0!</v>
      </c>
      <c r="AC1666" s="34" t="e">
        <f t="shared" si="135"/>
        <v>#DIV/0!</v>
      </c>
      <c r="AD1666" s="34" t="e">
        <f ca="1">SQRT($B$9*SUM(AC1666:OFFSET(AC1666,$B$5-1,0))/($B$5-1))</f>
        <v>#DIV/0!</v>
      </c>
      <c r="AE1666" s="34" t="e">
        <f ca="1">SQRT($B$9*SUM(AC1666:OFFSET(AC1666,$B$6-1,0))/($B$6-1))</f>
        <v>#DIV/0!</v>
      </c>
      <c r="AF1666" s="34" t="e">
        <f ca="1">SQRT($B$9*SUM(AC1666:OFFSET(AC1666,$B$7-1,0))/($B$7-1))</f>
        <v>#DIV/0!</v>
      </c>
      <c r="AG1666" s="34" t="e">
        <f ca="1">SQRT($B$9*SUM(AC1666:OFFSET(AC1666,$B$8-1,0))/($B$8-1))</f>
        <v>#DIV/0!</v>
      </c>
      <c r="AI1666" s="1" t="e">
        <f t="shared" si="136"/>
        <v>#DIV/0!</v>
      </c>
      <c r="AJ1666" s="4" t="e">
        <f ca="1">SQRT($B$9)*_xlfn.STDEV.S(AI1666:OFFSET(AI1666,$B$5-1,0))</f>
        <v>#DIV/0!</v>
      </c>
      <c r="AK1666" s="4" t="e">
        <f ca="1">SQRT($B$9)*_xlfn.STDEV.S(AI1666:OFFSET(AI1666,$B$6-1,0))</f>
        <v>#DIV/0!</v>
      </c>
      <c r="AL1666" s="4" t="e">
        <f ca="1">SQRT($B$9)*_xlfn.STDEV.S(AI1666:OFFSET(AI1666,$B$7-1,0))</f>
        <v>#DIV/0!</v>
      </c>
      <c r="AM1666" s="4" t="e">
        <f ca="1">SQRT($B$9)*_xlfn.STDEV.S(AI1666:OFFSET(AI1666,$B$8-1,0))</f>
        <v>#DIV/0!</v>
      </c>
    </row>
    <row r="1667" spans="11:39" x14ac:dyDescent="0.2">
      <c r="K1667" s="3" t="e">
        <f t="shared" si="134"/>
        <v>#DIV/0!</v>
      </c>
      <c r="L1667" s="3" t="e">
        <f ca="1">SQRT(AVERAGE(K1667:OFFSET(K1667,$B$5-1,0))*$B$9/(4*LN(2)))</f>
        <v>#DIV/0!</v>
      </c>
      <c r="M1667" s="3" t="e">
        <f ca="1">SQRT(AVERAGE(K1667:OFFSET(K1667,$B$6-1,0))*$B$9/(4*LN(2)))</f>
        <v>#DIV/0!</v>
      </c>
      <c r="N1667" s="3" t="e">
        <f ca="1">SQRT(AVERAGE(K1667:OFFSET(K1667,$B$7-1,0))*$B$9/(4*LN(2)))</f>
        <v>#DIV/0!</v>
      </c>
      <c r="O1667" s="3" t="e">
        <f ca="1">SQRT(AVERAGE(K1667:OFFSET(K1667,$B$8-1,0))*$B$9/(4*LN(2)))</f>
        <v>#DIV/0!</v>
      </c>
      <c r="Q1667" s="5" t="e">
        <f t="shared" si="133"/>
        <v>#DIV/0!</v>
      </c>
      <c r="R1667" s="5" t="e">
        <f ca="1">SQRT($B$9*AVERAGE((Q1667:OFFSET(Q1667,$B$5-1,0))))</f>
        <v>#DIV/0!</v>
      </c>
      <c r="S1667" s="5" t="e">
        <f ca="1">SQRT($B$9*AVERAGE((Q1667:OFFSET(Q1667,$B$6-1,0))))</f>
        <v>#DIV/0!</v>
      </c>
      <c r="T1667" s="5" t="e">
        <f ca="1">SQRT($B$9*AVERAGE((Q1667:OFFSET(Q1667,$B$7-1,0))))</f>
        <v>#DIV/0!</v>
      </c>
      <c r="U1667" s="5" t="e">
        <f ca="1">SQRT($B$9*AVERAGE((Q1667:OFFSET(Q1667,$B$8-1,0))))</f>
        <v>#DIV/0!</v>
      </c>
      <c r="W1667" s="6" t="e">
        <f t="shared" si="137"/>
        <v>#DIV/0!</v>
      </c>
      <c r="X1667" s="6" t="e">
        <f ca="1">SQRT($B$9*AVERAGE(W1667:OFFSET(W1667,$B$5-1,0)))</f>
        <v>#DIV/0!</v>
      </c>
      <c r="Y1667" s="6" t="e">
        <f ca="1">SQRT($B$9*AVERAGE(W1667:OFFSET(W1667,$B$6-1,0)))</f>
        <v>#DIV/0!</v>
      </c>
      <c r="Z1667" s="6" t="e">
        <f ca="1">SQRT($B$9*AVERAGE(W1667:OFFSET(W1667,$B$7-1,0)))</f>
        <v>#DIV/0!</v>
      </c>
      <c r="AA1667" s="6" t="e">
        <f ca="1">SQRT($B$9*AVERAGE(W1667:OFFSET(W1667,$B$8-1,0)))</f>
        <v>#DIV/0!</v>
      </c>
      <c r="AC1667" s="34" t="e">
        <f t="shared" si="135"/>
        <v>#DIV/0!</v>
      </c>
      <c r="AD1667" s="34" t="e">
        <f ca="1">SQRT($B$9*SUM(AC1667:OFFSET(AC1667,$B$5-1,0))/($B$5-1))</f>
        <v>#DIV/0!</v>
      </c>
      <c r="AE1667" s="34" t="e">
        <f ca="1">SQRT($B$9*SUM(AC1667:OFFSET(AC1667,$B$6-1,0))/($B$6-1))</f>
        <v>#DIV/0!</v>
      </c>
      <c r="AF1667" s="34" t="e">
        <f ca="1">SQRT($B$9*SUM(AC1667:OFFSET(AC1667,$B$7-1,0))/($B$7-1))</f>
        <v>#DIV/0!</v>
      </c>
      <c r="AG1667" s="34" t="e">
        <f ca="1">SQRT($B$9*SUM(AC1667:OFFSET(AC1667,$B$8-1,0))/($B$8-1))</f>
        <v>#DIV/0!</v>
      </c>
      <c r="AI1667" s="1" t="e">
        <f t="shared" si="136"/>
        <v>#DIV/0!</v>
      </c>
      <c r="AJ1667" s="4" t="e">
        <f ca="1">SQRT($B$9)*_xlfn.STDEV.S(AI1667:OFFSET(AI1667,$B$5-1,0))</f>
        <v>#DIV/0!</v>
      </c>
      <c r="AK1667" s="4" t="e">
        <f ca="1">SQRT($B$9)*_xlfn.STDEV.S(AI1667:OFFSET(AI1667,$B$6-1,0))</f>
        <v>#DIV/0!</v>
      </c>
      <c r="AL1667" s="4" t="e">
        <f ca="1">SQRT($B$9)*_xlfn.STDEV.S(AI1667:OFFSET(AI1667,$B$7-1,0))</f>
        <v>#DIV/0!</v>
      </c>
      <c r="AM1667" s="4" t="e">
        <f ca="1">SQRT($B$9)*_xlfn.STDEV.S(AI1667:OFFSET(AI1667,$B$8-1,0))</f>
        <v>#DIV/0!</v>
      </c>
    </row>
    <row r="1668" spans="11:39" x14ac:dyDescent="0.2">
      <c r="K1668" s="3" t="e">
        <f t="shared" si="134"/>
        <v>#DIV/0!</v>
      </c>
      <c r="L1668" s="3" t="e">
        <f ca="1">SQRT(AVERAGE(K1668:OFFSET(K1668,$B$5-1,0))*$B$9/(4*LN(2)))</f>
        <v>#DIV/0!</v>
      </c>
      <c r="M1668" s="3" t="e">
        <f ca="1">SQRT(AVERAGE(K1668:OFFSET(K1668,$B$6-1,0))*$B$9/(4*LN(2)))</f>
        <v>#DIV/0!</v>
      </c>
      <c r="N1668" s="3" t="e">
        <f ca="1">SQRT(AVERAGE(K1668:OFFSET(K1668,$B$7-1,0))*$B$9/(4*LN(2)))</f>
        <v>#DIV/0!</v>
      </c>
      <c r="O1668" s="3" t="e">
        <f ca="1">SQRT(AVERAGE(K1668:OFFSET(K1668,$B$8-1,0))*$B$9/(4*LN(2)))</f>
        <v>#DIV/0!</v>
      </c>
      <c r="Q1668" s="5" t="e">
        <f t="shared" si="133"/>
        <v>#DIV/0!</v>
      </c>
      <c r="R1668" s="5" t="e">
        <f ca="1">SQRT($B$9*AVERAGE((Q1668:OFFSET(Q1668,$B$5-1,0))))</f>
        <v>#DIV/0!</v>
      </c>
      <c r="S1668" s="5" t="e">
        <f ca="1">SQRT($B$9*AVERAGE((Q1668:OFFSET(Q1668,$B$6-1,0))))</f>
        <v>#DIV/0!</v>
      </c>
      <c r="T1668" s="5" t="e">
        <f ca="1">SQRT($B$9*AVERAGE((Q1668:OFFSET(Q1668,$B$7-1,0))))</f>
        <v>#DIV/0!</v>
      </c>
      <c r="U1668" s="5" t="e">
        <f ca="1">SQRT($B$9*AVERAGE((Q1668:OFFSET(Q1668,$B$8-1,0))))</f>
        <v>#DIV/0!</v>
      </c>
      <c r="W1668" s="6" t="e">
        <f t="shared" si="137"/>
        <v>#DIV/0!</v>
      </c>
      <c r="X1668" s="6" t="e">
        <f ca="1">SQRT($B$9*AVERAGE(W1668:OFFSET(W1668,$B$5-1,0)))</f>
        <v>#DIV/0!</v>
      </c>
      <c r="Y1668" s="6" t="e">
        <f ca="1">SQRT($B$9*AVERAGE(W1668:OFFSET(W1668,$B$6-1,0)))</f>
        <v>#DIV/0!</v>
      </c>
      <c r="Z1668" s="6" t="e">
        <f ca="1">SQRT($B$9*AVERAGE(W1668:OFFSET(W1668,$B$7-1,0)))</f>
        <v>#DIV/0!</v>
      </c>
      <c r="AA1668" s="6" t="e">
        <f ca="1">SQRT($B$9*AVERAGE(W1668:OFFSET(W1668,$B$8-1,0)))</f>
        <v>#DIV/0!</v>
      </c>
      <c r="AC1668" s="34" t="e">
        <f t="shared" si="135"/>
        <v>#DIV/0!</v>
      </c>
      <c r="AD1668" s="34" t="e">
        <f ca="1">SQRT($B$9*SUM(AC1668:OFFSET(AC1668,$B$5-1,0))/($B$5-1))</f>
        <v>#DIV/0!</v>
      </c>
      <c r="AE1668" s="34" t="e">
        <f ca="1">SQRT($B$9*SUM(AC1668:OFFSET(AC1668,$B$6-1,0))/($B$6-1))</f>
        <v>#DIV/0!</v>
      </c>
      <c r="AF1668" s="34" t="e">
        <f ca="1">SQRT($B$9*SUM(AC1668:OFFSET(AC1668,$B$7-1,0))/($B$7-1))</f>
        <v>#DIV/0!</v>
      </c>
      <c r="AG1668" s="34" t="e">
        <f ca="1">SQRT($B$9*SUM(AC1668:OFFSET(AC1668,$B$8-1,0))/($B$8-1))</f>
        <v>#DIV/0!</v>
      </c>
      <c r="AI1668" s="1" t="e">
        <f t="shared" si="136"/>
        <v>#DIV/0!</v>
      </c>
      <c r="AJ1668" s="4" t="e">
        <f ca="1">SQRT($B$9)*_xlfn.STDEV.S(AI1668:OFFSET(AI1668,$B$5-1,0))</f>
        <v>#DIV/0!</v>
      </c>
      <c r="AK1668" s="4" t="e">
        <f ca="1">SQRT($B$9)*_xlfn.STDEV.S(AI1668:OFFSET(AI1668,$B$6-1,0))</f>
        <v>#DIV/0!</v>
      </c>
      <c r="AL1668" s="4" t="e">
        <f ca="1">SQRT($B$9)*_xlfn.STDEV.S(AI1668:OFFSET(AI1668,$B$7-1,0))</f>
        <v>#DIV/0!</v>
      </c>
      <c r="AM1668" s="4" t="e">
        <f ca="1">SQRT($B$9)*_xlfn.STDEV.S(AI1668:OFFSET(AI1668,$B$8-1,0))</f>
        <v>#DIV/0!</v>
      </c>
    </row>
    <row r="1669" spans="11:39" x14ac:dyDescent="0.2">
      <c r="K1669" s="3" t="e">
        <f t="shared" si="134"/>
        <v>#DIV/0!</v>
      </c>
      <c r="L1669" s="3" t="e">
        <f ca="1">SQRT(AVERAGE(K1669:OFFSET(K1669,$B$5-1,0))*$B$9/(4*LN(2)))</f>
        <v>#DIV/0!</v>
      </c>
      <c r="M1669" s="3" t="e">
        <f ca="1">SQRT(AVERAGE(K1669:OFFSET(K1669,$B$6-1,0))*$B$9/(4*LN(2)))</f>
        <v>#DIV/0!</v>
      </c>
      <c r="N1669" s="3" t="e">
        <f ca="1">SQRT(AVERAGE(K1669:OFFSET(K1669,$B$7-1,0))*$B$9/(4*LN(2)))</f>
        <v>#DIV/0!</v>
      </c>
      <c r="O1669" s="3" t="e">
        <f ca="1">SQRT(AVERAGE(K1669:OFFSET(K1669,$B$8-1,0))*$B$9/(4*LN(2)))</f>
        <v>#DIV/0!</v>
      </c>
      <c r="Q1669" s="5" t="e">
        <f t="shared" ref="Q1669:Q1732" si="138">0.511*(LN(G1669/H1669))^2-0.019*(LN(I1669/F1669)*LN(G1669*H1669/F1669^2)-2*LN(G1669/F1669)*LN(H1669/F1669))-0.383*(LN(I1669/F1669))^2</f>
        <v>#DIV/0!</v>
      </c>
      <c r="R1669" s="5" t="e">
        <f ca="1">SQRT($B$9*AVERAGE((Q1669:OFFSET(Q1669,$B$5-1,0))))</f>
        <v>#DIV/0!</v>
      </c>
      <c r="S1669" s="5" t="e">
        <f ca="1">SQRT($B$9*AVERAGE((Q1669:OFFSET(Q1669,$B$6-1,0))))</f>
        <v>#DIV/0!</v>
      </c>
      <c r="T1669" s="5" t="e">
        <f ca="1">SQRT($B$9*AVERAGE((Q1669:OFFSET(Q1669,$B$7-1,0))))</f>
        <v>#DIV/0!</v>
      </c>
      <c r="U1669" s="5" t="e">
        <f ca="1">SQRT($B$9*AVERAGE((Q1669:OFFSET(Q1669,$B$8-1,0))))</f>
        <v>#DIV/0!</v>
      </c>
      <c r="W1669" s="6" t="e">
        <f t="shared" si="137"/>
        <v>#DIV/0!</v>
      </c>
      <c r="X1669" s="6" t="e">
        <f ca="1">SQRT($B$9*AVERAGE(W1669:OFFSET(W1669,$B$5-1,0)))</f>
        <v>#DIV/0!</v>
      </c>
      <c r="Y1669" s="6" t="e">
        <f ca="1">SQRT($B$9*AVERAGE(W1669:OFFSET(W1669,$B$6-1,0)))</f>
        <v>#DIV/0!</v>
      </c>
      <c r="Z1669" s="6" t="e">
        <f ca="1">SQRT($B$9*AVERAGE(W1669:OFFSET(W1669,$B$7-1,0)))</f>
        <v>#DIV/0!</v>
      </c>
      <c r="AA1669" s="6" t="e">
        <f ca="1">SQRT($B$9*AVERAGE(W1669:OFFSET(W1669,$B$8-1,0)))</f>
        <v>#DIV/0!</v>
      </c>
      <c r="AC1669" s="34" t="e">
        <f t="shared" si="135"/>
        <v>#DIV/0!</v>
      </c>
      <c r="AD1669" s="34" t="e">
        <f ca="1">SQRT($B$9*SUM(AC1669:OFFSET(AC1669,$B$5-1,0))/($B$5-1))</f>
        <v>#DIV/0!</v>
      </c>
      <c r="AE1669" s="34" t="e">
        <f ca="1">SQRT($B$9*SUM(AC1669:OFFSET(AC1669,$B$6-1,0))/($B$6-1))</f>
        <v>#DIV/0!</v>
      </c>
      <c r="AF1669" s="34" t="e">
        <f ca="1">SQRT($B$9*SUM(AC1669:OFFSET(AC1669,$B$7-1,0))/($B$7-1))</f>
        <v>#DIV/0!</v>
      </c>
      <c r="AG1669" s="34" t="e">
        <f ca="1">SQRT($B$9*SUM(AC1669:OFFSET(AC1669,$B$8-1,0))/($B$8-1))</f>
        <v>#DIV/0!</v>
      </c>
      <c r="AI1669" s="1" t="e">
        <f t="shared" si="136"/>
        <v>#DIV/0!</v>
      </c>
      <c r="AJ1669" s="4" t="e">
        <f ca="1">SQRT($B$9)*_xlfn.STDEV.S(AI1669:OFFSET(AI1669,$B$5-1,0))</f>
        <v>#DIV/0!</v>
      </c>
      <c r="AK1669" s="4" t="e">
        <f ca="1">SQRT($B$9)*_xlfn.STDEV.S(AI1669:OFFSET(AI1669,$B$6-1,0))</f>
        <v>#DIV/0!</v>
      </c>
      <c r="AL1669" s="4" t="e">
        <f ca="1">SQRT($B$9)*_xlfn.STDEV.S(AI1669:OFFSET(AI1669,$B$7-1,0))</f>
        <v>#DIV/0!</v>
      </c>
      <c r="AM1669" s="4" t="e">
        <f ca="1">SQRT($B$9)*_xlfn.STDEV.S(AI1669:OFFSET(AI1669,$B$8-1,0))</f>
        <v>#DIV/0!</v>
      </c>
    </row>
    <row r="1670" spans="11:39" x14ac:dyDescent="0.2">
      <c r="K1670" s="3" t="e">
        <f t="shared" ref="K1670:K1733" si="139">(LN(G1670/H1670))^2</f>
        <v>#DIV/0!</v>
      </c>
      <c r="L1670" s="3" t="e">
        <f ca="1">SQRT(AVERAGE(K1670:OFFSET(K1670,$B$5-1,0))*$B$9/(4*LN(2)))</f>
        <v>#DIV/0!</v>
      </c>
      <c r="M1670" s="3" t="e">
        <f ca="1">SQRT(AVERAGE(K1670:OFFSET(K1670,$B$6-1,0))*$B$9/(4*LN(2)))</f>
        <v>#DIV/0!</v>
      </c>
      <c r="N1670" s="3" t="e">
        <f ca="1">SQRT(AVERAGE(K1670:OFFSET(K1670,$B$7-1,0))*$B$9/(4*LN(2)))</f>
        <v>#DIV/0!</v>
      </c>
      <c r="O1670" s="3" t="e">
        <f ca="1">SQRT(AVERAGE(K1670:OFFSET(K1670,$B$8-1,0))*$B$9/(4*LN(2)))</f>
        <v>#DIV/0!</v>
      </c>
      <c r="Q1670" s="5" t="e">
        <f t="shared" si="138"/>
        <v>#DIV/0!</v>
      </c>
      <c r="R1670" s="5" t="e">
        <f ca="1">SQRT($B$9*AVERAGE((Q1670:OFFSET(Q1670,$B$5-1,0))))</f>
        <v>#DIV/0!</v>
      </c>
      <c r="S1670" s="5" t="e">
        <f ca="1">SQRT($B$9*AVERAGE((Q1670:OFFSET(Q1670,$B$6-1,0))))</f>
        <v>#DIV/0!</v>
      </c>
      <c r="T1670" s="5" t="e">
        <f ca="1">SQRT($B$9*AVERAGE((Q1670:OFFSET(Q1670,$B$7-1,0))))</f>
        <v>#DIV/0!</v>
      </c>
      <c r="U1670" s="5" t="e">
        <f ca="1">SQRT($B$9*AVERAGE((Q1670:OFFSET(Q1670,$B$8-1,0))))</f>
        <v>#DIV/0!</v>
      </c>
      <c r="W1670" s="6" t="e">
        <f t="shared" si="137"/>
        <v>#DIV/0!</v>
      </c>
      <c r="X1670" s="6" t="e">
        <f ca="1">SQRT($B$9*AVERAGE(W1670:OFFSET(W1670,$B$5-1,0)))</f>
        <v>#DIV/0!</v>
      </c>
      <c r="Y1670" s="6" t="e">
        <f ca="1">SQRT($B$9*AVERAGE(W1670:OFFSET(W1670,$B$6-1,0)))</f>
        <v>#DIV/0!</v>
      </c>
      <c r="Z1670" s="6" t="e">
        <f ca="1">SQRT($B$9*AVERAGE(W1670:OFFSET(W1670,$B$7-1,0)))</f>
        <v>#DIV/0!</v>
      </c>
      <c r="AA1670" s="6" t="e">
        <f ca="1">SQRT($B$9*AVERAGE(W1670:OFFSET(W1670,$B$8-1,0)))</f>
        <v>#DIV/0!</v>
      </c>
      <c r="AC1670" s="34" t="e">
        <f t="shared" si="135"/>
        <v>#DIV/0!</v>
      </c>
      <c r="AD1670" s="34" t="e">
        <f ca="1">SQRT($B$9*SUM(AC1670:OFFSET(AC1670,$B$5-1,0))/($B$5-1))</f>
        <v>#DIV/0!</v>
      </c>
      <c r="AE1670" s="34" t="e">
        <f ca="1">SQRT($B$9*SUM(AC1670:OFFSET(AC1670,$B$6-1,0))/($B$6-1))</f>
        <v>#DIV/0!</v>
      </c>
      <c r="AF1670" s="34" t="e">
        <f ca="1">SQRT($B$9*SUM(AC1670:OFFSET(AC1670,$B$7-1,0))/($B$7-1))</f>
        <v>#DIV/0!</v>
      </c>
      <c r="AG1670" s="34" t="e">
        <f ca="1">SQRT($B$9*SUM(AC1670:OFFSET(AC1670,$B$8-1,0))/($B$8-1))</f>
        <v>#DIV/0!</v>
      </c>
      <c r="AI1670" s="1" t="e">
        <f t="shared" si="136"/>
        <v>#DIV/0!</v>
      </c>
      <c r="AJ1670" s="4" t="e">
        <f ca="1">SQRT($B$9)*_xlfn.STDEV.S(AI1670:OFFSET(AI1670,$B$5-1,0))</f>
        <v>#DIV/0!</v>
      </c>
      <c r="AK1670" s="4" t="e">
        <f ca="1">SQRT($B$9)*_xlfn.STDEV.S(AI1670:OFFSET(AI1670,$B$6-1,0))</f>
        <v>#DIV/0!</v>
      </c>
      <c r="AL1670" s="4" t="e">
        <f ca="1">SQRT($B$9)*_xlfn.STDEV.S(AI1670:OFFSET(AI1670,$B$7-1,0))</f>
        <v>#DIV/0!</v>
      </c>
      <c r="AM1670" s="4" t="e">
        <f ca="1">SQRT($B$9)*_xlfn.STDEV.S(AI1670:OFFSET(AI1670,$B$8-1,0))</f>
        <v>#DIV/0!</v>
      </c>
    </row>
    <row r="1671" spans="11:39" x14ac:dyDescent="0.2">
      <c r="K1671" s="3" t="e">
        <f t="shared" si="139"/>
        <v>#DIV/0!</v>
      </c>
      <c r="L1671" s="3" t="e">
        <f ca="1">SQRT(AVERAGE(K1671:OFFSET(K1671,$B$5-1,0))*$B$9/(4*LN(2)))</f>
        <v>#DIV/0!</v>
      </c>
      <c r="M1671" s="3" t="e">
        <f ca="1">SQRT(AVERAGE(K1671:OFFSET(K1671,$B$6-1,0))*$B$9/(4*LN(2)))</f>
        <v>#DIV/0!</v>
      </c>
      <c r="N1671" s="3" t="e">
        <f ca="1">SQRT(AVERAGE(K1671:OFFSET(K1671,$B$7-1,0))*$B$9/(4*LN(2)))</f>
        <v>#DIV/0!</v>
      </c>
      <c r="O1671" s="3" t="e">
        <f ca="1">SQRT(AVERAGE(K1671:OFFSET(K1671,$B$8-1,0))*$B$9/(4*LN(2)))</f>
        <v>#DIV/0!</v>
      </c>
      <c r="Q1671" s="5" t="e">
        <f t="shared" si="138"/>
        <v>#DIV/0!</v>
      </c>
      <c r="R1671" s="5" t="e">
        <f ca="1">SQRT($B$9*AVERAGE((Q1671:OFFSET(Q1671,$B$5-1,0))))</f>
        <v>#DIV/0!</v>
      </c>
      <c r="S1671" s="5" t="e">
        <f ca="1">SQRT($B$9*AVERAGE((Q1671:OFFSET(Q1671,$B$6-1,0))))</f>
        <v>#DIV/0!</v>
      </c>
      <c r="T1671" s="5" t="e">
        <f ca="1">SQRT($B$9*AVERAGE((Q1671:OFFSET(Q1671,$B$7-1,0))))</f>
        <v>#DIV/0!</v>
      </c>
      <c r="U1671" s="5" t="e">
        <f ca="1">SQRT($B$9*AVERAGE((Q1671:OFFSET(Q1671,$B$8-1,0))))</f>
        <v>#DIV/0!</v>
      </c>
      <c r="W1671" s="6" t="e">
        <f t="shared" si="137"/>
        <v>#DIV/0!</v>
      </c>
      <c r="X1671" s="6" t="e">
        <f ca="1">SQRT($B$9*AVERAGE(W1671:OFFSET(W1671,$B$5-1,0)))</f>
        <v>#DIV/0!</v>
      </c>
      <c r="Y1671" s="6" t="e">
        <f ca="1">SQRT($B$9*AVERAGE(W1671:OFFSET(W1671,$B$6-1,0)))</f>
        <v>#DIV/0!</v>
      </c>
      <c r="Z1671" s="6" t="e">
        <f ca="1">SQRT($B$9*AVERAGE(W1671:OFFSET(W1671,$B$7-1,0)))</f>
        <v>#DIV/0!</v>
      </c>
      <c r="AA1671" s="6" t="e">
        <f ca="1">SQRT($B$9*AVERAGE(W1671:OFFSET(W1671,$B$8-1,0)))</f>
        <v>#DIV/0!</v>
      </c>
      <c r="AC1671" s="34" t="e">
        <f t="shared" si="135"/>
        <v>#DIV/0!</v>
      </c>
      <c r="AD1671" s="34" t="e">
        <f ca="1">SQRT($B$9*SUM(AC1671:OFFSET(AC1671,$B$5-1,0))/($B$5-1))</f>
        <v>#DIV/0!</v>
      </c>
      <c r="AE1671" s="34" t="e">
        <f ca="1">SQRT($B$9*SUM(AC1671:OFFSET(AC1671,$B$6-1,0))/($B$6-1))</f>
        <v>#DIV/0!</v>
      </c>
      <c r="AF1671" s="34" t="e">
        <f ca="1">SQRT($B$9*SUM(AC1671:OFFSET(AC1671,$B$7-1,0))/($B$7-1))</f>
        <v>#DIV/0!</v>
      </c>
      <c r="AG1671" s="34" t="e">
        <f ca="1">SQRT($B$9*SUM(AC1671:OFFSET(AC1671,$B$8-1,0))/($B$8-1))</f>
        <v>#DIV/0!</v>
      </c>
      <c r="AI1671" s="1" t="e">
        <f t="shared" si="136"/>
        <v>#DIV/0!</v>
      </c>
      <c r="AJ1671" s="4" t="e">
        <f ca="1">SQRT($B$9)*_xlfn.STDEV.S(AI1671:OFFSET(AI1671,$B$5-1,0))</f>
        <v>#DIV/0!</v>
      </c>
      <c r="AK1671" s="4" t="e">
        <f ca="1">SQRT($B$9)*_xlfn.STDEV.S(AI1671:OFFSET(AI1671,$B$6-1,0))</f>
        <v>#DIV/0!</v>
      </c>
      <c r="AL1671" s="4" t="e">
        <f ca="1">SQRT($B$9)*_xlfn.STDEV.S(AI1671:OFFSET(AI1671,$B$7-1,0))</f>
        <v>#DIV/0!</v>
      </c>
      <c r="AM1671" s="4" t="e">
        <f ca="1">SQRT($B$9)*_xlfn.STDEV.S(AI1671:OFFSET(AI1671,$B$8-1,0))</f>
        <v>#DIV/0!</v>
      </c>
    </row>
    <row r="1672" spans="11:39" x14ac:dyDescent="0.2">
      <c r="K1672" s="3" t="e">
        <f t="shared" si="139"/>
        <v>#DIV/0!</v>
      </c>
      <c r="L1672" s="3" t="e">
        <f ca="1">SQRT(AVERAGE(K1672:OFFSET(K1672,$B$5-1,0))*$B$9/(4*LN(2)))</f>
        <v>#DIV/0!</v>
      </c>
      <c r="M1672" s="3" t="e">
        <f ca="1">SQRT(AVERAGE(K1672:OFFSET(K1672,$B$6-1,0))*$B$9/(4*LN(2)))</f>
        <v>#DIV/0!</v>
      </c>
      <c r="N1672" s="3" t="e">
        <f ca="1">SQRT(AVERAGE(K1672:OFFSET(K1672,$B$7-1,0))*$B$9/(4*LN(2)))</f>
        <v>#DIV/0!</v>
      </c>
      <c r="O1672" s="3" t="e">
        <f ca="1">SQRT(AVERAGE(K1672:OFFSET(K1672,$B$8-1,0))*$B$9/(4*LN(2)))</f>
        <v>#DIV/0!</v>
      </c>
      <c r="Q1672" s="5" t="e">
        <f t="shared" si="138"/>
        <v>#DIV/0!</v>
      </c>
      <c r="R1672" s="5" t="e">
        <f ca="1">SQRT($B$9*AVERAGE((Q1672:OFFSET(Q1672,$B$5-1,0))))</f>
        <v>#DIV/0!</v>
      </c>
      <c r="S1672" s="5" t="e">
        <f ca="1">SQRT($B$9*AVERAGE((Q1672:OFFSET(Q1672,$B$6-1,0))))</f>
        <v>#DIV/0!</v>
      </c>
      <c r="T1672" s="5" t="e">
        <f ca="1">SQRT($B$9*AVERAGE((Q1672:OFFSET(Q1672,$B$7-1,0))))</f>
        <v>#DIV/0!</v>
      </c>
      <c r="U1672" s="5" t="e">
        <f ca="1">SQRT($B$9*AVERAGE((Q1672:OFFSET(Q1672,$B$8-1,0))))</f>
        <v>#DIV/0!</v>
      </c>
      <c r="W1672" s="6" t="e">
        <f t="shared" si="137"/>
        <v>#DIV/0!</v>
      </c>
      <c r="X1672" s="6" t="e">
        <f ca="1">SQRT($B$9*AVERAGE(W1672:OFFSET(W1672,$B$5-1,0)))</f>
        <v>#DIV/0!</v>
      </c>
      <c r="Y1672" s="6" t="e">
        <f ca="1">SQRT($B$9*AVERAGE(W1672:OFFSET(W1672,$B$6-1,0)))</f>
        <v>#DIV/0!</v>
      </c>
      <c r="Z1672" s="6" t="e">
        <f ca="1">SQRT($B$9*AVERAGE(W1672:OFFSET(W1672,$B$7-1,0)))</f>
        <v>#DIV/0!</v>
      </c>
      <c r="AA1672" s="6" t="e">
        <f ca="1">SQRT($B$9*AVERAGE(W1672:OFFSET(W1672,$B$8-1,0)))</f>
        <v>#DIV/0!</v>
      </c>
      <c r="AC1672" s="34" t="e">
        <f t="shared" si="135"/>
        <v>#DIV/0!</v>
      </c>
      <c r="AD1672" s="34" t="e">
        <f ca="1">SQRT($B$9*SUM(AC1672:OFFSET(AC1672,$B$5-1,0))/($B$5-1))</f>
        <v>#DIV/0!</v>
      </c>
      <c r="AE1672" s="34" t="e">
        <f ca="1">SQRT($B$9*SUM(AC1672:OFFSET(AC1672,$B$6-1,0))/($B$6-1))</f>
        <v>#DIV/0!</v>
      </c>
      <c r="AF1672" s="34" t="e">
        <f ca="1">SQRT($B$9*SUM(AC1672:OFFSET(AC1672,$B$7-1,0))/($B$7-1))</f>
        <v>#DIV/0!</v>
      </c>
      <c r="AG1672" s="34" t="e">
        <f ca="1">SQRT($B$9*SUM(AC1672:OFFSET(AC1672,$B$8-1,0))/($B$8-1))</f>
        <v>#DIV/0!</v>
      </c>
      <c r="AI1672" s="1" t="e">
        <f t="shared" si="136"/>
        <v>#DIV/0!</v>
      </c>
      <c r="AJ1672" s="4" t="e">
        <f ca="1">SQRT($B$9)*_xlfn.STDEV.S(AI1672:OFFSET(AI1672,$B$5-1,0))</f>
        <v>#DIV/0!</v>
      </c>
      <c r="AK1672" s="4" t="e">
        <f ca="1">SQRT($B$9)*_xlfn.STDEV.S(AI1672:OFFSET(AI1672,$B$6-1,0))</f>
        <v>#DIV/0!</v>
      </c>
      <c r="AL1672" s="4" t="e">
        <f ca="1">SQRT($B$9)*_xlfn.STDEV.S(AI1672:OFFSET(AI1672,$B$7-1,0))</f>
        <v>#DIV/0!</v>
      </c>
      <c r="AM1672" s="4" t="e">
        <f ca="1">SQRT($B$9)*_xlfn.STDEV.S(AI1672:OFFSET(AI1672,$B$8-1,0))</f>
        <v>#DIV/0!</v>
      </c>
    </row>
    <row r="1673" spans="11:39" x14ac:dyDescent="0.2">
      <c r="K1673" s="3" t="e">
        <f t="shared" si="139"/>
        <v>#DIV/0!</v>
      </c>
      <c r="L1673" s="3" t="e">
        <f ca="1">SQRT(AVERAGE(K1673:OFFSET(K1673,$B$5-1,0))*$B$9/(4*LN(2)))</f>
        <v>#DIV/0!</v>
      </c>
      <c r="M1673" s="3" t="e">
        <f ca="1">SQRT(AVERAGE(K1673:OFFSET(K1673,$B$6-1,0))*$B$9/(4*LN(2)))</f>
        <v>#DIV/0!</v>
      </c>
      <c r="N1673" s="3" t="e">
        <f ca="1">SQRT(AVERAGE(K1673:OFFSET(K1673,$B$7-1,0))*$B$9/(4*LN(2)))</f>
        <v>#DIV/0!</v>
      </c>
      <c r="O1673" s="3" t="e">
        <f ca="1">SQRT(AVERAGE(K1673:OFFSET(K1673,$B$8-1,0))*$B$9/(4*LN(2)))</f>
        <v>#DIV/0!</v>
      </c>
      <c r="Q1673" s="5" t="e">
        <f t="shared" si="138"/>
        <v>#DIV/0!</v>
      </c>
      <c r="R1673" s="5" t="e">
        <f ca="1">SQRT($B$9*AVERAGE((Q1673:OFFSET(Q1673,$B$5-1,0))))</f>
        <v>#DIV/0!</v>
      </c>
      <c r="S1673" s="5" t="e">
        <f ca="1">SQRT($B$9*AVERAGE((Q1673:OFFSET(Q1673,$B$6-1,0))))</f>
        <v>#DIV/0!</v>
      </c>
      <c r="T1673" s="5" t="e">
        <f ca="1">SQRT($B$9*AVERAGE((Q1673:OFFSET(Q1673,$B$7-1,0))))</f>
        <v>#DIV/0!</v>
      </c>
      <c r="U1673" s="5" t="e">
        <f ca="1">SQRT($B$9*AVERAGE((Q1673:OFFSET(Q1673,$B$8-1,0))))</f>
        <v>#DIV/0!</v>
      </c>
      <c r="W1673" s="6" t="e">
        <f t="shared" si="137"/>
        <v>#DIV/0!</v>
      </c>
      <c r="X1673" s="6" t="e">
        <f ca="1">SQRT($B$9*AVERAGE(W1673:OFFSET(W1673,$B$5-1,0)))</f>
        <v>#DIV/0!</v>
      </c>
      <c r="Y1673" s="6" t="e">
        <f ca="1">SQRT($B$9*AVERAGE(W1673:OFFSET(W1673,$B$6-1,0)))</f>
        <v>#DIV/0!</v>
      </c>
      <c r="Z1673" s="6" t="e">
        <f ca="1">SQRT($B$9*AVERAGE(W1673:OFFSET(W1673,$B$7-1,0)))</f>
        <v>#DIV/0!</v>
      </c>
      <c r="AA1673" s="6" t="e">
        <f ca="1">SQRT($B$9*AVERAGE(W1673:OFFSET(W1673,$B$8-1,0)))</f>
        <v>#DIV/0!</v>
      </c>
      <c r="AC1673" s="34" t="e">
        <f t="shared" si="135"/>
        <v>#DIV/0!</v>
      </c>
      <c r="AD1673" s="34" t="e">
        <f ca="1">SQRT($B$9*SUM(AC1673:OFFSET(AC1673,$B$5-1,0))/($B$5-1))</f>
        <v>#DIV/0!</v>
      </c>
      <c r="AE1673" s="34" t="e">
        <f ca="1">SQRT($B$9*SUM(AC1673:OFFSET(AC1673,$B$6-1,0))/($B$6-1))</f>
        <v>#DIV/0!</v>
      </c>
      <c r="AF1673" s="34" t="e">
        <f ca="1">SQRT($B$9*SUM(AC1673:OFFSET(AC1673,$B$7-1,0))/($B$7-1))</f>
        <v>#DIV/0!</v>
      </c>
      <c r="AG1673" s="34" t="e">
        <f ca="1">SQRT($B$9*SUM(AC1673:OFFSET(AC1673,$B$8-1,0))/($B$8-1))</f>
        <v>#DIV/0!</v>
      </c>
      <c r="AI1673" s="1" t="e">
        <f t="shared" si="136"/>
        <v>#DIV/0!</v>
      </c>
      <c r="AJ1673" s="4" t="e">
        <f ca="1">SQRT($B$9)*_xlfn.STDEV.S(AI1673:OFFSET(AI1673,$B$5-1,0))</f>
        <v>#DIV/0!</v>
      </c>
      <c r="AK1673" s="4" t="e">
        <f ca="1">SQRT($B$9)*_xlfn.STDEV.S(AI1673:OFFSET(AI1673,$B$6-1,0))</f>
        <v>#DIV/0!</v>
      </c>
      <c r="AL1673" s="4" t="e">
        <f ca="1">SQRT($B$9)*_xlfn.STDEV.S(AI1673:OFFSET(AI1673,$B$7-1,0))</f>
        <v>#DIV/0!</v>
      </c>
      <c r="AM1673" s="4" t="e">
        <f ca="1">SQRT($B$9)*_xlfn.STDEV.S(AI1673:OFFSET(AI1673,$B$8-1,0))</f>
        <v>#DIV/0!</v>
      </c>
    </row>
    <row r="1674" spans="11:39" x14ac:dyDescent="0.2">
      <c r="K1674" s="3" t="e">
        <f t="shared" si="139"/>
        <v>#DIV/0!</v>
      </c>
      <c r="L1674" s="3" t="e">
        <f ca="1">SQRT(AVERAGE(K1674:OFFSET(K1674,$B$5-1,0))*$B$9/(4*LN(2)))</f>
        <v>#DIV/0!</v>
      </c>
      <c r="M1674" s="3" t="e">
        <f ca="1">SQRT(AVERAGE(K1674:OFFSET(K1674,$B$6-1,0))*$B$9/(4*LN(2)))</f>
        <v>#DIV/0!</v>
      </c>
      <c r="N1674" s="3" t="e">
        <f ca="1">SQRT(AVERAGE(K1674:OFFSET(K1674,$B$7-1,0))*$B$9/(4*LN(2)))</f>
        <v>#DIV/0!</v>
      </c>
      <c r="O1674" s="3" t="e">
        <f ca="1">SQRT(AVERAGE(K1674:OFFSET(K1674,$B$8-1,0))*$B$9/(4*LN(2)))</f>
        <v>#DIV/0!</v>
      </c>
      <c r="Q1674" s="5" t="e">
        <f t="shared" si="138"/>
        <v>#DIV/0!</v>
      </c>
      <c r="R1674" s="5" t="e">
        <f ca="1">SQRT($B$9*AVERAGE((Q1674:OFFSET(Q1674,$B$5-1,0))))</f>
        <v>#DIV/0!</v>
      </c>
      <c r="S1674" s="5" t="e">
        <f ca="1">SQRT($B$9*AVERAGE((Q1674:OFFSET(Q1674,$B$6-1,0))))</f>
        <v>#DIV/0!</v>
      </c>
      <c r="T1674" s="5" t="e">
        <f ca="1">SQRT($B$9*AVERAGE((Q1674:OFFSET(Q1674,$B$7-1,0))))</f>
        <v>#DIV/0!</v>
      </c>
      <c r="U1674" s="5" t="e">
        <f ca="1">SQRT($B$9*AVERAGE((Q1674:OFFSET(Q1674,$B$8-1,0))))</f>
        <v>#DIV/0!</v>
      </c>
      <c r="W1674" s="6" t="e">
        <f t="shared" si="137"/>
        <v>#DIV/0!</v>
      </c>
      <c r="X1674" s="6" t="e">
        <f ca="1">SQRT($B$9*AVERAGE(W1674:OFFSET(W1674,$B$5-1,0)))</f>
        <v>#DIV/0!</v>
      </c>
      <c r="Y1674" s="6" t="e">
        <f ca="1">SQRT($B$9*AVERAGE(W1674:OFFSET(W1674,$B$6-1,0)))</f>
        <v>#DIV/0!</v>
      </c>
      <c r="Z1674" s="6" t="e">
        <f ca="1">SQRT($B$9*AVERAGE(W1674:OFFSET(W1674,$B$7-1,0)))</f>
        <v>#DIV/0!</v>
      </c>
      <c r="AA1674" s="6" t="e">
        <f ca="1">SQRT($B$9*AVERAGE(W1674:OFFSET(W1674,$B$8-1,0)))</f>
        <v>#DIV/0!</v>
      </c>
      <c r="AC1674" s="34" t="e">
        <f t="shared" si="135"/>
        <v>#DIV/0!</v>
      </c>
      <c r="AD1674" s="34" t="e">
        <f ca="1">SQRT($B$9*SUM(AC1674:OFFSET(AC1674,$B$5-1,0))/($B$5-1))</f>
        <v>#DIV/0!</v>
      </c>
      <c r="AE1674" s="34" t="e">
        <f ca="1">SQRT($B$9*SUM(AC1674:OFFSET(AC1674,$B$6-1,0))/($B$6-1))</f>
        <v>#DIV/0!</v>
      </c>
      <c r="AF1674" s="34" t="e">
        <f ca="1">SQRT($B$9*SUM(AC1674:OFFSET(AC1674,$B$7-1,0))/($B$7-1))</f>
        <v>#DIV/0!</v>
      </c>
      <c r="AG1674" s="34" t="e">
        <f ca="1">SQRT($B$9*SUM(AC1674:OFFSET(AC1674,$B$8-1,0))/($B$8-1))</f>
        <v>#DIV/0!</v>
      </c>
      <c r="AI1674" s="1" t="e">
        <f t="shared" si="136"/>
        <v>#DIV/0!</v>
      </c>
      <c r="AJ1674" s="4" t="e">
        <f ca="1">SQRT($B$9)*_xlfn.STDEV.S(AI1674:OFFSET(AI1674,$B$5-1,0))</f>
        <v>#DIV/0!</v>
      </c>
      <c r="AK1674" s="4" t="e">
        <f ca="1">SQRT($B$9)*_xlfn.STDEV.S(AI1674:OFFSET(AI1674,$B$6-1,0))</f>
        <v>#DIV/0!</v>
      </c>
      <c r="AL1674" s="4" t="e">
        <f ca="1">SQRT($B$9)*_xlfn.STDEV.S(AI1674:OFFSET(AI1674,$B$7-1,0))</f>
        <v>#DIV/0!</v>
      </c>
      <c r="AM1674" s="4" t="e">
        <f ca="1">SQRT($B$9)*_xlfn.STDEV.S(AI1674:OFFSET(AI1674,$B$8-1,0))</f>
        <v>#DIV/0!</v>
      </c>
    </row>
    <row r="1675" spans="11:39" x14ac:dyDescent="0.2">
      <c r="K1675" s="3" t="e">
        <f t="shared" si="139"/>
        <v>#DIV/0!</v>
      </c>
      <c r="L1675" s="3" t="e">
        <f ca="1">SQRT(AVERAGE(K1675:OFFSET(K1675,$B$5-1,0))*$B$9/(4*LN(2)))</f>
        <v>#DIV/0!</v>
      </c>
      <c r="M1675" s="3" t="e">
        <f ca="1">SQRT(AVERAGE(K1675:OFFSET(K1675,$B$6-1,0))*$B$9/(4*LN(2)))</f>
        <v>#DIV/0!</v>
      </c>
      <c r="N1675" s="3" t="e">
        <f ca="1">SQRT(AVERAGE(K1675:OFFSET(K1675,$B$7-1,0))*$B$9/(4*LN(2)))</f>
        <v>#DIV/0!</v>
      </c>
      <c r="O1675" s="3" t="e">
        <f ca="1">SQRT(AVERAGE(K1675:OFFSET(K1675,$B$8-1,0))*$B$9/(4*LN(2)))</f>
        <v>#DIV/0!</v>
      </c>
      <c r="Q1675" s="5" t="e">
        <f t="shared" si="138"/>
        <v>#DIV/0!</v>
      </c>
      <c r="R1675" s="5" t="e">
        <f ca="1">SQRT($B$9*AVERAGE((Q1675:OFFSET(Q1675,$B$5-1,0))))</f>
        <v>#DIV/0!</v>
      </c>
      <c r="S1675" s="5" t="e">
        <f ca="1">SQRT($B$9*AVERAGE((Q1675:OFFSET(Q1675,$B$6-1,0))))</f>
        <v>#DIV/0!</v>
      </c>
      <c r="T1675" s="5" t="e">
        <f ca="1">SQRT($B$9*AVERAGE((Q1675:OFFSET(Q1675,$B$7-1,0))))</f>
        <v>#DIV/0!</v>
      </c>
      <c r="U1675" s="5" t="e">
        <f ca="1">SQRT($B$9*AVERAGE((Q1675:OFFSET(Q1675,$B$8-1,0))))</f>
        <v>#DIV/0!</v>
      </c>
      <c r="W1675" s="6" t="e">
        <f t="shared" si="137"/>
        <v>#DIV/0!</v>
      </c>
      <c r="X1675" s="6" t="e">
        <f ca="1">SQRT($B$9*AVERAGE(W1675:OFFSET(W1675,$B$5-1,0)))</f>
        <v>#DIV/0!</v>
      </c>
      <c r="Y1675" s="6" t="e">
        <f ca="1">SQRT($B$9*AVERAGE(W1675:OFFSET(W1675,$B$6-1,0)))</f>
        <v>#DIV/0!</v>
      </c>
      <c r="Z1675" s="6" t="e">
        <f ca="1">SQRT($B$9*AVERAGE(W1675:OFFSET(W1675,$B$7-1,0)))</f>
        <v>#DIV/0!</v>
      </c>
      <c r="AA1675" s="6" t="e">
        <f ca="1">SQRT($B$9*AVERAGE(W1675:OFFSET(W1675,$B$8-1,0)))</f>
        <v>#DIV/0!</v>
      </c>
      <c r="AC1675" s="34" t="e">
        <f t="shared" si="135"/>
        <v>#DIV/0!</v>
      </c>
      <c r="AD1675" s="34" t="e">
        <f ca="1">SQRT($B$9*SUM(AC1675:OFFSET(AC1675,$B$5-1,0))/($B$5-1))</f>
        <v>#DIV/0!</v>
      </c>
      <c r="AE1675" s="34" t="e">
        <f ca="1">SQRT($B$9*SUM(AC1675:OFFSET(AC1675,$B$6-1,0))/($B$6-1))</f>
        <v>#DIV/0!</v>
      </c>
      <c r="AF1675" s="34" t="e">
        <f ca="1">SQRT($B$9*SUM(AC1675:OFFSET(AC1675,$B$7-1,0))/($B$7-1))</f>
        <v>#DIV/0!</v>
      </c>
      <c r="AG1675" s="34" t="e">
        <f ca="1">SQRT($B$9*SUM(AC1675:OFFSET(AC1675,$B$8-1,0))/($B$8-1))</f>
        <v>#DIV/0!</v>
      </c>
      <c r="AI1675" s="1" t="e">
        <f t="shared" si="136"/>
        <v>#DIV/0!</v>
      </c>
      <c r="AJ1675" s="4" t="e">
        <f ca="1">SQRT($B$9)*_xlfn.STDEV.S(AI1675:OFFSET(AI1675,$B$5-1,0))</f>
        <v>#DIV/0!</v>
      </c>
      <c r="AK1675" s="4" t="e">
        <f ca="1">SQRT($B$9)*_xlfn.STDEV.S(AI1675:OFFSET(AI1675,$B$6-1,0))</f>
        <v>#DIV/0!</v>
      </c>
      <c r="AL1675" s="4" t="e">
        <f ca="1">SQRT($B$9)*_xlfn.STDEV.S(AI1675:OFFSET(AI1675,$B$7-1,0))</f>
        <v>#DIV/0!</v>
      </c>
      <c r="AM1675" s="4" t="e">
        <f ca="1">SQRT($B$9)*_xlfn.STDEV.S(AI1675:OFFSET(AI1675,$B$8-1,0))</f>
        <v>#DIV/0!</v>
      </c>
    </row>
    <row r="1676" spans="11:39" x14ac:dyDescent="0.2">
      <c r="K1676" s="3" t="e">
        <f t="shared" si="139"/>
        <v>#DIV/0!</v>
      </c>
      <c r="L1676" s="3" t="e">
        <f ca="1">SQRT(AVERAGE(K1676:OFFSET(K1676,$B$5-1,0))*$B$9/(4*LN(2)))</f>
        <v>#DIV/0!</v>
      </c>
      <c r="M1676" s="3" t="e">
        <f ca="1">SQRT(AVERAGE(K1676:OFFSET(K1676,$B$6-1,0))*$B$9/(4*LN(2)))</f>
        <v>#DIV/0!</v>
      </c>
      <c r="N1676" s="3" t="e">
        <f ca="1">SQRT(AVERAGE(K1676:OFFSET(K1676,$B$7-1,0))*$B$9/(4*LN(2)))</f>
        <v>#DIV/0!</v>
      </c>
      <c r="O1676" s="3" t="e">
        <f ca="1">SQRT(AVERAGE(K1676:OFFSET(K1676,$B$8-1,0))*$B$9/(4*LN(2)))</f>
        <v>#DIV/0!</v>
      </c>
      <c r="Q1676" s="5" t="e">
        <f t="shared" si="138"/>
        <v>#DIV/0!</v>
      </c>
      <c r="R1676" s="5" t="e">
        <f ca="1">SQRT($B$9*AVERAGE((Q1676:OFFSET(Q1676,$B$5-1,0))))</f>
        <v>#DIV/0!</v>
      </c>
      <c r="S1676" s="5" t="e">
        <f ca="1">SQRT($B$9*AVERAGE((Q1676:OFFSET(Q1676,$B$6-1,0))))</f>
        <v>#DIV/0!</v>
      </c>
      <c r="T1676" s="5" t="e">
        <f ca="1">SQRT($B$9*AVERAGE((Q1676:OFFSET(Q1676,$B$7-1,0))))</f>
        <v>#DIV/0!</v>
      </c>
      <c r="U1676" s="5" t="e">
        <f ca="1">SQRT($B$9*AVERAGE((Q1676:OFFSET(Q1676,$B$8-1,0))))</f>
        <v>#DIV/0!</v>
      </c>
      <c r="W1676" s="6" t="e">
        <f t="shared" si="137"/>
        <v>#DIV/0!</v>
      </c>
      <c r="X1676" s="6" t="e">
        <f ca="1">SQRT($B$9*AVERAGE(W1676:OFFSET(W1676,$B$5-1,0)))</f>
        <v>#DIV/0!</v>
      </c>
      <c r="Y1676" s="6" t="e">
        <f ca="1">SQRT($B$9*AVERAGE(W1676:OFFSET(W1676,$B$6-1,0)))</f>
        <v>#DIV/0!</v>
      </c>
      <c r="Z1676" s="6" t="e">
        <f ca="1">SQRT($B$9*AVERAGE(W1676:OFFSET(W1676,$B$7-1,0)))</f>
        <v>#DIV/0!</v>
      </c>
      <c r="AA1676" s="6" t="e">
        <f ca="1">SQRT($B$9*AVERAGE(W1676:OFFSET(W1676,$B$8-1,0)))</f>
        <v>#DIV/0!</v>
      </c>
      <c r="AC1676" s="34" t="e">
        <f t="shared" si="135"/>
        <v>#DIV/0!</v>
      </c>
      <c r="AD1676" s="34" t="e">
        <f ca="1">SQRT($B$9*SUM(AC1676:OFFSET(AC1676,$B$5-1,0))/($B$5-1))</f>
        <v>#DIV/0!</v>
      </c>
      <c r="AE1676" s="34" t="e">
        <f ca="1">SQRT($B$9*SUM(AC1676:OFFSET(AC1676,$B$6-1,0))/($B$6-1))</f>
        <v>#DIV/0!</v>
      </c>
      <c r="AF1676" s="34" t="e">
        <f ca="1">SQRT($B$9*SUM(AC1676:OFFSET(AC1676,$B$7-1,0))/($B$7-1))</f>
        <v>#DIV/0!</v>
      </c>
      <c r="AG1676" s="34" t="e">
        <f ca="1">SQRT($B$9*SUM(AC1676:OFFSET(AC1676,$B$8-1,0))/($B$8-1))</f>
        <v>#DIV/0!</v>
      </c>
      <c r="AI1676" s="1" t="e">
        <f t="shared" si="136"/>
        <v>#DIV/0!</v>
      </c>
      <c r="AJ1676" s="4" t="e">
        <f ca="1">SQRT($B$9)*_xlfn.STDEV.S(AI1676:OFFSET(AI1676,$B$5-1,0))</f>
        <v>#DIV/0!</v>
      </c>
      <c r="AK1676" s="4" t="e">
        <f ca="1">SQRT($B$9)*_xlfn.STDEV.S(AI1676:OFFSET(AI1676,$B$6-1,0))</f>
        <v>#DIV/0!</v>
      </c>
      <c r="AL1676" s="4" t="e">
        <f ca="1">SQRT($B$9)*_xlfn.STDEV.S(AI1676:OFFSET(AI1676,$B$7-1,0))</f>
        <v>#DIV/0!</v>
      </c>
      <c r="AM1676" s="4" t="e">
        <f ca="1">SQRT($B$9)*_xlfn.STDEV.S(AI1676:OFFSET(AI1676,$B$8-1,0))</f>
        <v>#DIV/0!</v>
      </c>
    </row>
    <row r="1677" spans="11:39" x14ac:dyDescent="0.2">
      <c r="K1677" s="3" t="e">
        <f t="shared" si="139"/>
        <v>#DIV/0!</v>
      </c>
      <c r="L1677" s="3" t="e">
        <f ca="1">SQRT(AVERAGE(K1677:OFFSET(K1677,$B$5-1,0))*$B$9/(4*LN(2)))</f>
        <v>#DIV/0!</v>
      </c>
      <c r="M1677" s="3" t="e">
        <f ca="1">SQRT(AVERAGE(K1677:OFFSET(K1677,$B$6-1,0))*$B$9/(4*LN(2)))</f>
        <v>#DIV/0!</v>
      </c>
      <c r="N1677" s="3" t="e">
        <f ca="1">SQRT(AVERAGE(K1677:OFFSET(K1677,$B$7-1,0))*$B$9/(4*LN(2)))</f>
        <v>#DIV/0!</v>
      </c>
      <c r="O1677" s="3" t="e">
        <f ca="1">SQRT(AVERAGE(K1677:OFFSET(K1677,$B$8-1,0))*$B$9/(4*LN(2)))</f>
        <v>#DIV/0!</v>
      </c>
      <c r="Q1677" s="5" t="e">
        <f t="shared" si="138"/>
        <v>#DIV/0!</v>
      </c>
      <c r="R1677" s="5" t="e">
        <f ca="1">SQRT($B$9*AVERAGE((Q1677:OFFSET(Q1677,$B$5-1,0))))</f>
        <v>#DIV/0!</v>
      </c>
      <c r="S1677" s="5" t="e">
        <f ca="1">SQRT($B$9*AVERAGE((Q1677:OFFSET(Q1677,$B$6-1,0))))</f>
        <v>#DIV/0!</v>
      </c>
      <c r="T1677" s="5" t="e">
        <f ca="1">SQRT($B$9*AVERAGE((Q1677:OFFSET(Q1677,$B$7-1,0))))</f>
        <v>#DIV/0!</v>
      </c>
      <c r="U1677" s="5" t="e">
        <f ca="1">SQRT($B$9*AVERAGE((Q1677:OFFSET(Q1677,$B$8-1,0))))</f>
        <v>#DIV/0!</v>
      </c>
      <c r="W1677" s="6" t="e">
        <f t="shared" si="137"/>
        <v>#DIV/0!</v>
      </c>
      <c r="X1677" s="6" t="e">
        <f ca="1">SQRT($B$9*AVERAGE(W1677:OFFSET(W1677,$B$5-1,0)))</f>
        <v>#DIV/0!</v>
      </c>
      <c r="Y1677" s="6" t="e">
        <f ca="1">SQRT($B$9*AVERAGE(W1677:OFFSET(W1677,$B$6-1,0)))</f>
        <v>#DIV/0!</v>
      </c>
      <c r="Z1677" s="6" t="e">
        <f ca="1">SQRT($B$9*AVERAGE(W1677:OFFSET(W1677,$B$7-1,0)))</f>
        <v>#DIV/0!</v>
      </c>
      <c r="AA1677" s="6" t="e">
        <f ca="1">SQRT($B$9*AVERAGE(W1677:OFFSET(W1677,$B$8-1,0)))</f>
        <v>#DIV/0!</v>
      </c>
      <c r="AC1677" s="34" t="e">
        <f t="shared" si="135"/>
        <v>#DIV/0!</v>
      </c>
      <c r="AD1677" s="34" t="e">
        <f ca="1">SQRT($B$9*SUM(AC1677:OFFSET(AC1677,$B$5-1,0))/($B$5-1))</f>
        <v>#DIV/0!</v>
      </c>
      <c r="AE1677" s="34" t="e">
        <f ca="1">SQRT($B$9*SUM(AC1677:OFFSET(AC1677,$B$6-1,0))/($B$6-1))</f>
        <v>#DIV/0!</v>
      </c>
      <c r="AF1677" s="34" t="e">
        <f ca="1">SQRT($B$9*SUM(AC1677:OFFSET(AC1677,$B$7-1,0))/($B$7-1))</f>
        <v>#DIV/0!</v>
      </c>
      <c r="AG1677" s="34" t="e">
        <f ca="1">SQRT($B$9*SUM(AC1677:OFFSET(AC1677,$B$8-1,0))/($B$8-1))</f>
        <v>#DIV/0!</v>
      </c>
      <c r="AI1677" s="1" t="e">
        <f t="shared" si="136"/>
        <v>#DIV/0!</v>
      </c>
      <c r="AJ1677" s="4" t="e">
        <f ca="1">SQRT($B$9)*_xlfn.STDEV.S(AI1677:OFFSET(AI1677,$B$5-1,0))</f>
        <v>#DIV/0!</v>
      </c>
      <c r="AK1677" s="4" t="e">
        <f ca="1">SQRT($B$9)*_xlfn.STDEV.S(AI1677:OFFSET(AI1677,$B$6-1,0))</f>
        <v>#DIV/0!</v>
      </c>
      <c r="AL1677" s="4" t="e">
        <f ca="1">SQRT($B$9)*_xlfn.STDEV.S(AI1677:OFFSET(AI1677,$B$7-1,0))</f>
        <v>#DIV/0!</v>
      </c>
      <c r="AM1677" s="4" t="e">
        <f ca="1">SQRT($B$9)*_xlfn.STDEV.S(AI1677:OFFSET(AI1677,$B$8-1,0))</f>
        <v>#DIV/0!</v>
      </c>
    </row>
    <row r="1678" spans="11:39" x14ac:dyDescent="0.2">
      <c r="K1678" s="3" t="e">
        <f t="shared" si="139"/>
        <v>#DIV/0!</v>
      </c>
      <c r="L1678" s="3" t="e">
        <f ca="1">SQRT(AVERAGE(K1678:OFFSET(K1678,$B$5-1,0))*$B$9/(4*LN(2)))</f>
        <v>#DIV/0!</v>
      </c>
      <c r="M1678" s="3" t="e">
        <f ca="1">SQRT(AVERAGE(K1678:OFFSET(K1678,$B$6-1,0))*$B$9/(4*LN(2)))</f>
        <v>#DIV/0!</v>
      </c>
      <c r="N1678" s="3" t="e">
        <f ca="1">SQRT(AVERAGE(K1678:OFFSET(K1678,$B$7-1,0))*$B$9/(4*LN(2)))</f>
        <v>#DIV/0!</v>
      </c>
      <c r="O1678" s="3" t="e">
        <f ca="1">SQRT(AVERAGE(K1678:OFFSET(K1678,$B$8-1,0))*$B$9/(4*LN(2)))</f>
        <v>#DIV/0!</v>
      </c>
      <c r="Q1678" s="5" t="e">
        <f t="shared" si="138"/>
        <v>#DIV/0!</v>
      </c>
      <c r="R1678" s="5" t="e">
        <f ca="1">SQRT($B$9*AVERAGE((Q1678:OFFSET(Q1678,$B$5-1,0))))</f>
        <v>#DIV/0!</v>
      </c>
      <c r="S1678" s="5" t="e">
        <f ca="1">SQRT($B$9*AVERAGE((Q1678:OFFSET(Q1678,$B$6-1,0))))</f>
        <v>#DIV/0!</v>
      </c>
      <c r="T1678" s="5" t="e">
        <f ca="1">SQRT($B$9*AVERAGE((Q1678:OFFSET(Q1678,$B$7-1,0))))</f>
        <v>#DIV/0!</v>
      </c>
      <c r="U1678" s="5" t="e">
        <f ca="1">SQRT($B$9*AVERAGE((Q1678:OFFSET(Q1678,$B$8-1,0))))</f>
        <v>#DIV/0!</v>
      </c>
      <c r="W1678" s="6" t="e">
        <f t="shared" si="137"/>
        <v>#DIV/0!</v>
      </c>
      <c r="X1678" s="6" t="e">
        <f ca="1">SQRT($B$9*AVERAGE(W1678:OFFSET(W1678,$B$5-1,0)))</f>
        <v>#DIV/0!</v>
      </c>
      <c r="Y1678" s="6" t="e">
        <f ca="1">SQRT($B$9*AVERAGE(W1678:OFFSET(W1678,$B$6-1,0)))</f>
        <v>#DIV/0!</v>
      </c>
      <c r="Z1678" s="6" t="e">
        <f ca="1">SQRT($B$9*AVERAGE(W1678:OFFSET(W1678,$B$7-1,0)))</f>
        <v>#DIV/0!</v>
      </c>
      <c r="AA1678" s="6" t="e">
        <f ca="1">SQRT($B$9*AVERAGE(W1678:OFFSET(W1678,$B$8-1,0)))</f>
        <v>#DIV/0!</v>
      </c>
      <c r="AC1678" s="34" t="e">
        <f t="shared" si="135"/>
        <v>#DIV/0!</v>
      </c>
      <c r="AD1678" s="34" t="e">
        <f ca="1">SQRT($B$9*SUM(AC1678:OFFSET(AC1678,$B$5-1,0))/($B$5-1))</f>
        <v>#DIV/0!</v>
      </c>
      <c r="AE1678" s="34" t="e">
        <f ca="1">SQRT($B$9*SUM(AC1678:OFFSET(AC1678,$B$6-1,0))/($B$6-1))</f>
        <v>#DIV/0!</v>
      </c>
      <c r="AF1678" s="34" t="e">
        <f ca="1">SQRT($B$9*SUM(AC1678:OFFSET(AC1678,$B$7-1,0))/($B$7-1))</f>
        <v>#DIV/0!</v>
      </c>
      <c r="AG1678" s="34" t="e">
        <f ca="1">SQRT($B$9*SUM(AC1678:OFFSET(AC1678,$B$8-1,0))/($B$8-1))</f>
        <v>#DIV/0!</v>
      </c>
      <c r="AI1678" s="1" t="e">
        <f t="shared" si="136"/>
        <v>#DIV/0!</v>
      </c>
      <c r="AJ1678" s="4" t="e">
        <f ca="1">SQRT($B$9)*_xlfn.STDEV.S(AI1678:OFFSET(AI1678,$B$5-1,0))</f>
        <v>#DIV/0!</v>
      </c>
      <c r="AK1678" s="4" t="e">
        <f ca="1">SQRT($B$9)*_xlfn.STDEV.S(AI1678:OFFSET(AI1678,$B$6-1,0))</f>
        <v>#DIV/0!</v>
      </c>
      <c r="AL1678" s="4" t="e">
        <f ca="1">SQRT($B$9)*_xlfn.STDEV.S(AI1678:OFFSET(AI1678,$B$7-1,0))</f>
        <v>#DIV/0!</v>
      </c>
      <c r="AM1678" s="4" t="e">
        <f ca="1">SQRT($B$9)*_xlfn.STDEV.S(AI1678:OFFSET(AI1678,$B$8-1,0))</f>
        <v>#DIV/0!</v>
      </c>
    </row>
    <row r="1679" spans="11:39" x14ac:dyDescent="0.2">
      <c r="K1679" s="3" t="e">
        <f t="shared" si="139"/>
        <v>#DIV/0!</v>
      </c>
      <c r="L1679" s="3" t="e">
        <f ca="1">SQRT(AVERAGE(K1679:OFFSET(K1679,$B$5-1,0))*$B$9/(4*LN(2)))</f>
        <v>#DIV/0!</v>
      </c>
      <c r="M1679" s="3" t="e">
        <f ca="1">SQRT(AVERAGE(K1679:OFFSET(K1679,$B$6-1,0))*$B$9/(4*LN(2)))</f>
        <v>#DIV/0!</v>
      </c>
      <c r="N1679" s="3" t="e">
        <f ca="1">SQRT(AVERAGE(K1679:OFFSET(K1679,$B$7-1,0))*$B$9/(4*LN(2)))</f>
        <v>#DIV/0!</v>
      </c>
      <c r="O1679" s="3" t="e">
        <f ca="1">SQRT(AVERAGE(K1679:OFFSET(K1679,$B$8-1,0))*$B$9/(4*LN(2)))</f>
        <v>#DIV/0!</v>
      </c>
      <c r="Q1679" s="5" t="e">
        <f t="shared" si="138"/>
        <v>#DIV/0!</v>
      </c>
      <c r="R1679" s="5" t="e">
        <f ca="1">SQRT($B$9*AVERAGE((Q1679:OFFSET(Q1679,$B$5-1,0))))</f>
        <v>#DIV/0!</v>
      </c>
      <c r="S1679" s="5" t="e">
        <f ca="1">SQRT($B$9*AVERAGE((Q1679:OFFSET(Q1679,$B$6-1,0))))</f>
        <v>#DIV/0!</v>
      </c>
      <c r="T1679" s="5" t="e">
        <f ca="1">SQRT($B$9*AVERAGE((Q1679:OFFSET(Q1679,$B$7-1,0))))</f>
        <v>#DIV/0!</v>
      </c>
      <c r="U1679" s="5" t="e">
        <f ca="1">SQRT($B$9*AVERAGE((Q1679:OFFSET(Q1679,$B$8-1,0))))</f>
        <v>#DIV/0!</v>
      </c>
      <c r="W1679" s="6" t="e">
        <f t="shared" si="137"/>
        <v>#DIV/0!</v>
      </c>
      <c r="X1679" s="6" t="e">
        <f ca="1">SQRT($B$9*AVERAGE(W1679:OFFSET(W1679,$B$5-1,0)))</f>
        <v>#DIV/0!</v>
      </c>
      <c r="Y1679" s="6" t="e">
        <f ca="1">SQRT($B$9*AVERAGE(W1679:OFFSET(W1679,$B$6-1,0)))</f>
        <v>#DIV/0!</v>
      </c>
      <c r="Z1679" s="6" t="e">
        <f ca="1">SQRT($B$9*AVERAGE(W1679:OFFSET(W1679,$B$7-1,0)))</f>
        <v>#DIV/0!</v>
      </c>
      <c r="AA1679" s="6" t="e">
        <f ca="1">SQRT($B$9*AVERAGE(W1679:OFFSET(W1679,$B$8-1,0)))</f>
        <v>#DIV/0!</v>
      </c>
      <c r="AC1679" s="34" t="e">
        <f t="shared" si="135"/>
        <v>#DIV/0!</v>
      </c>
      <c r="AD1679" s="34" t="e">
        <f ca="1">SQRT($B$9*SUM(AC1679:OFFSET(AC1679,$B$5-1,0))/($B$5-1))</f>
        <v>#DIV/0!</v>
      </c>
      <c r="AE1679" s="34" t="e">
        <f ca="1">SQRT($B$9*SUM(AC1679:OFFSET(AC1679,$B$6-1,0))/($B$6-1))</f>
        <v>#DIV/0!</v>
      </c>
      <c r="AF1679" s="34" t="e">
        <f ca="1">SQRT($B$9*SUM(AC1679:OFFSET(AC1679,$B$7-1,0))/($B$7-1))</f>
        <v>#DIV/0!</v>
      </c>
      <c r="AG1679" s="34" t="e">
        <f ca="1">SQRT($B$9*SUM(AC1679:OFFSET(AC1679,$B$8-1,0))/($B$8-1))</f>
        <v>#DIV/0!</v>
      </c>
      <c r="AI1679" s="1" t="e">
        <f t="shared" si="136"/>
        <v>#DIV/0!</v>
      </c>
      <c r="AJ1679" s="4" t="e">
        <f ca="1">SQRT($B$9)*_xlfn.STDEV.S(AI1679:OFFSET(AI1679,$B$5-1,0))</f>
        <v>#DIV/0!</v>
      </c>
      <c r="AK1679" s="4" t="e">
        <f ca="1">SQRT($B$9)*_xlfn.STDEV.S(AI1679:OFFSET(AI1679,$B$6-1,0))</f>
        <v>#DIV/0!</v>
      </c>
      <c r="AL1679" s="4" t="e">
        <f ca="1">SQRT($B$9)*_xlfn.STDEV.S(AI1679:OFFSET(AI1679,$B$7-1,0))</f>
        <v>#DIV/0!</v>
      </c>
      <c r="AM1679" s="4" t="e">
        <f ca="1">SQRT($B$9)*_xlfn.STDEV.S(AI1679:OFFSET(AI1679,$B$8-1,0))</f>
        <v>#DIV/0!</v>
      </c>
    </row>
    <row r="1680" spans="11:39" x14ac:dyDescent="0.2">
      <c r="K1680" s="3" t="e">
        <f t="shared" si="139"/>
        <v>#DIV/0!</v>
      </c>
      <c r="L1680" s="3" t="e">
        <f ca="1">SQRT(AVERAGE(K1680:OFFSET(K1680,$B$5-1,0))*$B$9/(4*LN(2)))</f>
        <v>#DIV/0!</v>
      </c>
      <c r="M1680" s="3" t="e">
        <f ca="1">SQRT(AVERAGE(K1680:OFFSET(K1680,$B$6-1,0))*$B$9/(4*LN(2)))</f>
        <v>#DIV/0!</v>
      </c>
      <c r="N1680" s="3" t="e">
        <f ca="1">SQRT(AVERAGE(K1680:OFFSET(K1680,$B$7-1,0))*$B$9/(4*LN(2)))</f>
        <v>#DIV/0!</v>
      </c>
      <c r="O1680" s="3" t="e">
        <f ca="1">SQRT(AVERAGE(K1680:OFFSET(K1680,$B$8-1,0))*$B$9/(4*LN(2)))</f>
        <v>#DIV/0!</v>
      </c>
      <c r="Q1680" s="5" t="e">
        <f t="shared" si="138"/>
        <v>#DIV/0!</v>
      </c>
      <c r="R1680" s="5" t="e">
        <f ca="1">SQRT($B$9*AVERAGE((Q1680:OFFSET(Q1680,$B$5-1,0))))</f>
        <v>#DIV/0!</v>
      </c>
      <c r="S1680" s="5" t="e">
        <f ca="1">SQRT($B$9*AVERAGE((Q1680:OFFSET(Q1680,$B$6-1,0))))</f>
        <v>#DIV/0!</v>
      </c>
      <c r="T1680" s="5" t="e">
        <f ca="1">SQRT($B$9*AVERAGE((Q1680:OFFSET(Q1680,$B$7-1,0))))</f>
        <v>#DIV/0!</v>
      </c>
      <c r="U1680" s="5" t="e">
        <f ca="1">SQRT($B$9*AVERAGE((Q1680:OFFSET(Q1680,$B$8-1,0))))</f>
        <v>#DIV/0!</v>
      </c>
      <c r="W1680" s="6" t="e">
        <f t="shared" si="137"/>
        <v>#DIV/0!</v>
      </c>
      <c r="X1680" s="6" t="e">
        <f ca="1">SQRT($B$9*AVERAGE(W1680:OFFSET(W1680,$B$5-1,0)))</f>
        <v>#DIV/0!</v>
      </c>
      <c r="Y1680" s="6" t="e">
        <f ca="1">SQRT($B$9*AVERAGE(W1680:OFFSET(W1680,$B$6-1,0)))</f>
        <v>#DIV/0!</v>
      </c>
      <c r="Z1680" s="6" t="e">
        <f ca="1">SQRT($B$9*AVERAGE(W1680:OFFSET(W1680,$B$7-1,0)))</f>
        <v>#DIV/0!</v>
      </c>
      <c r="AA1680" s="6" t="e">
        <f ca="1">SQRT($B$9*AVERAGE(W1680:OFFSET(W1680,$B$8-1,0)))</f>
        <v>#DIV/0!</v>
      </c>
      <c r="AC1680" s="34" t="e">
        <f t="shared" si="135"/>
        <v>#DIV/0!</v>
      </c>
      <c r="AD1680" s="34" t="e">
        <f ca="1">SQRT($B$9*SUM(AC1680:OFFSET(AC1680,$B$5-1,0))/($B$5-1))</f>
        <v>#DIV/0!</v>
      </c>
      <c r="AE1680" s="34" t="e">
        <f ca="1">SQRT($B$9*SUM(AC1680:OFFSET(AC1680,$B$6-1,0))/($B$6-1))</f>
        <v>#DIV/0!</v>
      </c>
      <c r="AF1680" s="34" t="e">
        <f ca="1">SQRT($B$9*SUM(AC1680:OFFSET(AC1680,$B$7-1,0))/($B$7-1))</f>
        <v>#DIV/0!</v>
      </c>
      <c r="AG1680" s="34" t="e">
        <f ca="1">SQRT($B$9*SUM(AC1680:OFFSET(AC1680,$B$8-1,0))/($B$8-1))</f>
        <v>#DIV/0!</v>
      </c>
      <c r="AI1680" s="1" t="e">
        <f t="shared" si="136"/>
        <v>#DIV/0!</v>
      </c>
      <c r="AJ1680" s="4" t="e">
        <f ca="1">SQRT($B$9)*_xlfn.STDEV.S(AI1680:OFFSET(AI1680,$B$5-1,0))</f>
        <v>#DIV/0!</v>
      </c>
      <c r="AK1680" s="4" t="e">
        <f ca="1">SQRT($B$9)*_xlfn.STDEV.S(AI1680:OFFSET(AI1680,$B$6-1,0))</f>
        <v>#DIV/0!</v>
      </c>
      <c r="AL1680" s="4" t="e">
        <f ca="1">SQRT($B$9)*_xlfn.STDEV.S(AI1680:OFFSET(AI1680,$B$7-1,0))</f>
        <v>#DIV/0!</v>
      </c>
      <c r="AM1680" s="4" t="e">
        <f ca="1">SQRT($B$9)*_xlfn.STDEV.S(AI1680:OFFSET(AI1680,$B$8-1,0))</f>
        <v>#DIV/0!</v>
      </c>
    </row>
    <row r="1681" spans="11:39" x14ac:dyDescent="0.2">
      <c r="K1681" s="3" t="e">
        <f t="shared" si="139"/>
        <v>#DIV/0!</v>
      </c>
      <c r="L1681" s="3" t="e">
        <f ca="1">SQRT(AVERAGE(K1681:OFFSET(K1681,$B$5-1,0))*$B$9/(4*LN(2)))</f>
        <v>#DIV/0!</v>
      </c>
      <c r="M1681" s="3" t="e">
        <f ca="1">SQRT(AVERAGE(K1681:OFFSET(K1681,$B$6-1,0))*$B$9/(4*LN(2)))</f>
        <v>#DIV/0!</v>
      </c>
      <c r="N1681" s="3" t="e">
        <f ca="1">SQRT(AVERAGE(K1681:OFFSET(K1681,$B$7-1,0))*$B$9/(4*LN(2)))</f>
        <v>#DIV/0!</v>
      </c>
      <c r="O1681" s="3" t="e">
        <f ca="1">SQRT(AVERAGE(K1681:OFFSET(K1681,$B$8-1,0))*$B$9/(4*LN(2)))</f>
        <v>#DIV/0!</v>
      </c>
      <c r="Q1681" s="5" t="e">
        <f t="shared" si="138"/>
        <v>#DIV/0!</v>
      </c>
      <c r="R1681" s="5" t="e">
        <f ca="1">SQRT($B$9*AVERAGE((Q1681:OFFSET(Q1681,$B$5-1,0))))</f>
        <v>#DIV/0!</v>
      </c>
      <c r="S1681" s="5" t="e">
        <f ca="1">SQRT($B$9*AVERAGE((Q1681:OFFSET(Q1681,$B$6-1,0))))</f>
        <v>#DIV/0!</v>
      </c>
      <c r="T1681" s="5" t="e">
        <f ca="1">SQRT($B$9*AVERAGE((Q1681:OFFSET(Q1681,$B$7-1,0))))</f>
        <v>#DIV/0!</v>
      </c>
      <c r="U1681" s="5" t="e">
        <f ca="1">SQRT($B$9*AVERAGE((Q1681:OFFSET(Q1681,$B$8-1,0))))</f>
        <v>#DIV/0!</v>
      </c>
      <c r="W1681" s="6" t="e">
        <f t="shared" si="137"/>
        <v>#DIV/0!</v>
      </c>
      <c r="X1681" s="6" t="e">
        <f ca="1">SQRT($B$9*AVERAGE(W1681:OFFSET(W1681,$B$5-1,0)))</f>
        <v>#DIV/0!</v>
      </c>
      <c r="Y1681" s="6" t="e">
        <f ca="1">SQRT($B$9*AVERAGE(W1681:OFFSET(W1681,$B$6-1,0)))</f>
        <v>#DIV/0!</v>
      </c>
      <c r="Z1681" s="6" t="e">
        <f ca="1">SQRT($B$9*AVERAGE(W1681:OFFSET(W1681,$B$7-1,0)))</f>
        <v>#DIV/0!</v>
      </c>
      <c r="AA1681" s="6" t="e">
        <f ca="1">SQRT($B$9*AVERAGE(W1681:OFFSET(W1681,$B$8-1,0)))</f>
        <v>#DIV/0!</v>
      </c>
      <c r="AC1681" s="34" t="e">
        <f t="shared" ref="AC1681:AC1744" si="140">(LN(I1681/I1682))^2</f>
        <v>#DIV/0!</v>
      </c>
      <c r="AD1681" s="34" t="e">
        <f ca="1">SQRT($B$9*SUM(AC1681:OFFSET(AC1681,$B$5-1,0))/($B$5-1))</f>
        <v>#DIV/0!</v>
      </c>
      <c r="AE1681" s="34" t="e">
        <f ca="1">SQRT($B$9*SUM(AC1681:OFFSET(AC1681,$B$6-1,0))/($B$6-1))</f>
        <v>#DIV/0!</v>
      </c>
      <c r="AF1681" s="34" t="e">
        <f ca="1">SQRT($B$9*SUM(AC1681:OFFSET(AC1681,$B$7-1,0))/($B$7-1))</f>
        <v>#DIV/0!</v>
      </c>
      <c r="AG1681" s="34" t="e">
        <f ca="1">SQRT($B$9*SUM(AC1681:OFFSET(AC1681,$B$8-1,0))/($B$8-1))</f>
        <v>#DIV/0!</v>
      </c>
      <c r="AI1681" s="1" t="e">
        <f t="shared" si="136"/>
        <v>#DIV/0!</v>
      </c>
      <c r="AJ1681" s="4" t="e">
        <f ca="1">SQRT($B$9)*_xlfn.STDEV.S(AI1681:OFFSET(AI1681,$B$5-1,0))</f>
        <v>#DIV/0!</v>
      </c>
      <c r="AK1681" s="4" t="e">
        <f ca="1">SQRT($B$9)*_xlfn.STDEV.S(AI1681:OFFSET(AI1681,$B$6-1,0))</f>
        <v>#DIV/0!</v>
      </c>
      <c r="AL1681" s="4" t="e">
        <f ca="1">SQRT($B$9)*_xlfn.STDEV.S(AI1681:OFFSET(AI1681,$B$7-1,0))</f>
        <v>#DIV/0!</v>
      </c>
      <c r="AM1681" s="4" t="e">
        <f ca="1">SQRT($B$9)*_xlfn.STDEV.S(AI1681:OFFSET(AI1681,$B$8-1,0))</f>
        <v>#DIV/0!</v>
      </c>
    </row>
    <row r="1682" spans="11:39" x14ac:dyDescent="0.2">
      <c r="K1682" s="3" t="e">
        <f t="shared" si="139"/>
        <v>#DIV/0!</v>
      </c>
      <c r="L1682" s="3" t="e">
        <f ca="1">SQRT(AVERAGE(K1682:OFFSET(K1682,$B$5-1,0))*$B$9/(4*LN(2)))</f>
        <v>#DIV/0!</v>
      </c>
      <c r="M1682" s="3" t="e">
        <f ca="1">SQRT(AVERAGE(K1682:OFFSET(K1682,$B$6-1,0))*$B$9/(4*LN(2)))</f>
        <v>#DIV/0!</v>
      </c>
      <c r="N1682" s="3" t="e">
        <f ca="1">SQRT(AVERAGE(K1682:OFFSET(K1682,$B$7-1,0))*$B$9/(4*LN(2)))</f>
        <v>#DIV/0!</v>
      </c>
      <c r="O1682" s="3" t="e">
        <f ca="1">SQRT(AVERAGE(K1682:OFFSET(K1682,$B$8-1,0))*$B$9/(4*LN(2)))</f>
        <v>#DIV/0!</v>
      </c>
      <c r="Q1682" s="5" t="e">
        <f t="shared" si="138"/>
        <v>#DIV/0!</v>
      </c>
      <c r="R1682" s="5" t="e">
        <f ca="1">SQRT($B$9*AVERAGE((Q1682:OFFSET(Q1682,$B$5-1,0))))</f>
        <v>#DIV/0!</v>
      </c>
      <c r="S1682" s="5" t="e">
        <f ca="1">SQRT($B$9*AVERAGE((Q1682:OFFSET(Q1682,$B$6-1,0))))</f>
        <v>#DIV/0!</v>
      </c>
      <c r="T1682" s="5" t="e">
        <f ca="1">SQRT($B$9*AVERAGE((Q1682:OFFSET(Q1682,$B$7-1,0))))</f>
        <v>#DIV/0!</v>
      </c>
      <c r="U1682" s="5" t="e">
        <f ca="1">SQRT($B$9*AVERAGE((Q1682:OFFSET(Q1682,$B$8-1,0))))</f>
        <v>#DIV/0!</v>
      </c>
      <c r="W1682" s="6" t="e">
        <f t="shared" si="137"/>
        <v>#DIV/0!</v>
      </c>
      <c r="X1682" s="6" t="e">
        <f ca="1">SQRT($B$9*AVERAGE(W1682:OFFSET(W1682,$B$5-1,0)))</f>
        <v>#DIV/0!</v>
      </c>
      <c r="Y1682" s="6" t="e">
        <f ca="1">SQRT($B$9*AVERAGE(W1682:OFFSET(W1682,$B$6-1,0)))</f>
        <v>#DIV/0!</v>
      </c>
      <c r="Z1682" s="6" t="e">
        <f ca="1">SQRT($B$9*AVERAGE(W1682:OFFSET(W1682,$B$7-1,0)))</f>
        <v>#DIV/0!</v>
      </c>
      <c r="AA1682" s="6" t="e">
        <f ca="1">SQRT($B$9*AVERAGE(W1682:OFFSET(W1682,$B$8-1,0)))</f>
        <v>#DIV/0!</v>
      </c>
      <c r="AC1682" s="34" t="e">
        <f t="shared" si="140"/>
        <v>#DIV/0!</v>
      </c>
      <c r="AD1682" s="34" t="e">
        <f ca="1">SQRT($B$9*SUM(AC1682:OFFSET(AC1682,$B$5-1,0))/($B$5-1))</f>
        <v>#DIV/0!</v>
      </c>
      <c r="AE1682" s="34" t="e">
        <f ca="1">SQRT($B$9*SUM(AC1682:OFFSET(AC1682,$B$6-1,0))/($B$6-1))</f>
        <v>#DIV/0!</v>
      </c>
      <c r="AF1682" s="34" t="e">
        <f ca="1">SQRT($B$9*SUM(AC1682:OFFSET(AC1682,$B$7-1,0))/($B$7-1))</f>
        <v>#DIV/0!</v>
      </c>
      <c r="AG1682" s="34" t="e">
        <f ca="1">SQRT($B$9*SUM(AC1682:OFFSET(AC1682,$B$8-1,0))/($B$8-1))</f>
        <v>#DIV/0!</v>
      </c>
      <c r="AI1682" s="1" t="e">
        <f t="shared" si="136"/>
        <v>#DIV/0!</v>
      </c>
      <c r="AJ1682" s="4" t="e">
        <f ca="1">SQRT($B$9)*_xlfn.STDEV.S(AI1682:OFFSET(AI1682,$B$5-1,0))</f>
        <v>#DIV/0!</v>
      </c>
      <c r="AK1682" s="4" t="e">
        <f ca="1">SQRT($B$9)*_xlfn.STDEV.S(AI1682:OFFSET(AI1682,$B$6-1,0))</f>
        <v>#DIV/0!</v>
      </c>
      <c r="AL1682" s="4" t="e">
        <f ca="1">SQRT($B$9)*_xlfn.STDEV.S(AI1682:OFFSET(AI1682,$B$7-1,0))</f>
        <v>#DIV/0!</v>
      </c>
      <c r="AM1682" s="4" t="e">
        <f ca="1">SQRT($B$9)*_xlfn.STDEV.S(AI1682:OFFSET(AI1682,$B$8-1,0))</f>
        <v>#DIV/0!</v>
      </c>
    </row>
    <row r="1683" spans="11:39" x14ac:dyDescent="0.2">
      <c r="K1683" s="3" t="e">
        <f t="shared" si="139"/>
        <v>#DIV/0!</v>
      </c>
      <c r="L1683" s="3" t="e">
        <f ca="1">SQRT(AVERAGE(K1683:OFFSET(K1683,$B$5-1,0))*$B$9/(4*LN(2)))</f>
        <v>#DIV/0!</v>
      </c>
      <c r="M1683" s="3" t="e">
        <f ca="1">SQRT(AVERAGE(K1683:OFFSET(K1683,$B$6-1,0))*$B$9/(4*LN(2)))</f>
        <v>#DIV/0!</v>
      </c>
      <c r="N1683" s="3" t="e">
        <f ca="1">SQRT(AVERAGE(K1683:OFFSET(K1683,$B$7-1,0))*$B$9/(4*LN(2)))</f>
        <v>#DIV/0!</v>
      </c>
      <c r="O1683" s="3" t="e">
        <f ca="1">SQRT(AVERAGE(K1683:OFFSET(K1683,$B$8-1,0))*$B$9/(4*LN(2)))</f>
        <v>#DIV/0!</v>
      </c>
      <c r="Q1683" s="5" t="e">
        <f t="shared" si="138"/>
        <v>#DIV/0!</v>
      </c>
      <c r="R1683" s="5" t="e">
        <f ca="1">SQRT($B$9*AVERAGE((Q1683:OFFSET(Q1683,$B$5-1,0))))</f>
        <v>#DIV/0!</v>
      </c>
      <c r="S1683" s="5" t="e">
        <f ca="1">SQRT($B$9*AVERAGE((Q1683:OFFSET(Q1683,$B$6-1,0))))</f>
        <v>#DIV/0!</v>
      </c>
      <c r="T1683" s="5" t="e">
        <f ca="1">SQRT($B$9*AVERAGE((Q1683:OFFSET(Q1683,$B$7-1,0))))</f>
        <v>#DIV/0!</v>
      </c>
      <c r="U1683" s="5" t="e">
        <f ca="1">SQRT($B$9*AVERAGE((Q1683:OFFSET(Q1683,$B$8-1,0))))</f>
        <v>#DIV/0!</v>
      </c>
      <c r="W1683" s="6" t="e">
        <f t="shared" si="137"/>
        <v>#DIV/0!</v>
      </c>
      <c r="X1683" s="6" t="e">
        <f ca="1">SQRT($B$9*AVERAGE(W1683:OFFSET(W1683,$B$5-1,0)))</f>
        <v>#DIV/0!</v>
      </c>
      <c r="Y1683" s="6" t="e">
        <f ca="1">SQRT($B$9*AVERAGE(W1683:OFFSET(W1683,$B$6-1,0)))</f>
        <v>#DIV/0!</v>
      </c>
      <c r="Z1683" s="6" t="e">
        <f ca="1">SQRT($B$9*AVERAGE(W1683:OFFSET(W1683,$B$7-1,0)))</f>
        <v>#DIV/0!</v>
      </c>
      <c r="AA1683" s="6" t="e">
        <f ca="1">SQRT($B$9*AVERAGE(W1683:OFFSET(W1683,$B$8-1,0)))</f>
        <v>#DIV/0!</v>
      </c>
      <c r="AC1683" s="34" t="e">
        <f t="shared" si="140"/>
        <v>#DIV/0!</v>
      </c>
      <c r="AD1683" s="34" t="e">
        <f ca="1">SQRT($B$9*SUM(AC1683:OFFSET(AC1683,$B$5-1,0))/($B$5-1))</f>
        <v>#DIV/0!</v>
      </c>
      <c r="AE1683" s="34" t="e">
        <f ca="1">SQRT($B$9*SUM(AC1683:OFFSET(AC1683,$B$6-1,0))/($B$6-1))</f>
        <v>#DIV/0!</v>
      </c>
      <c r="AF1683" s="34" t="e">
        <f ca="1">SQRT($B$9*SUM(AC1683:OFFSET(AC1683,$B$7-1,0))/($B$7-1))</f>
        <v>#DIV/0!</v>
      </c>
      <c r="AG1683" s="34" t="e">
        <f ca="1">SQRT($B$9*SUM(AC1683:OFFSET(AC1683,$B$8-1,0))/($B$8-1))</f>
        <v>#DIV/0!</v>
      </c>
      <c r="AI1683" s="1" t="e">
        <f t="shared" ref="AI1683:AI1746" si="141">LN(I1683/I1684)</f>
        <v>#DIV/0!</v>
      </c>
      <c r="AJ1683" s="4" t="e">
        <f ca="1">SQRT($B$9)*_xlfn.STDEV.S(AI1683:OFFSET(AI1683,$B$5-1,0))</f>
        <v>#DIV/0!</v>
      </c>
      <c r="AK1683" s="4" t="e">
        <f ca="1">SQRT($B$9)*_xlfn.STDEV.S(AI1683:OFFSET(AI1683,$B$6-1,0))</f>
        <v>#DIV/0!</v>
      </c>
      <c r="AL1683" s="4" t="e">
        <f ca="1">SQRT($B$9)*_xlfn.STDEV.S(AI1683:OFFSET(AI1683,$B$7-1,0))</f>
        <v>#DIV/0!</v>
      </c>
      <c r="AM1683" s="4" t="e">
        <f ca="1">SQRT($B$9)*_xlfn.STDEV.S(AI1683:OFFSET(AI1683,$B$8-1,0))</f>
        <v>#DIV/0!</v>
      </c>
    </row>
    <row r="1684" spans="11:39" x14ac:dyDescent="0.2">
      <c r="K1684" s="3" t="e">
        <f t="shared" si="139"/>
        <v>#DIV/0!</v>
      </c>
      <c r="L1684" s="3" t="e">
        <f ca="1">SQRT(AVERAGE(K1684:OFFSET(K1684,$B$5-1,0))*$B$9/(4*LN(2)))</f>
        <v>#DIV/0!</v>
      </c>
      <c r="M1684" s="3" t="e">
        <f ca="1">SQRT(AVERAGE(K1684:OFFSET(K1684,$B$6-1,0))*$B$9/(4*LN(2)))</f>
        <v>#DIV/0!</v>
      </c>
      <c r="N1684" s="3" t="e">
        <f ca="1">SQRT(AVERAGE(K1684:OFFSET(K1684,$B$7-1,0))*$B$9/(4*LN(2)))</f>
        <v>#DIV/0!</v>
      </c>
      <c r="O1684" s="3" t="e">
        <f ca="1">SQRT(AVERAGE(K1684:OFFSET(K1684,$B$8-1,0))*$B$9/(4*LN(2)))</f>
        <v>#DIV/0!</v>
      </c>
      <c r="Q1684" s="5" t="e">
        <f t="shared" si="138"/>
        <v>#DIV/0!</v>
      </c>
      <c r="R1684" s="5" t="e">
        <f ca="1">SQRT($B$9*AVERAGE((Q1684:OFFSET(Q1684,$B$5-1,0))))</f>
        <v>#DIV/0!</v>
      </c>
      <c r="S1684" s="5" t="e">
        <f ca="1">SQRT($B$9*AVERAGE((Q1684:OFFSET(Q1684,$B$6-1,0))))</f>
        <v>#DIV/0!</v>
      </c>
      <c r="T1684" s="5" t="e">
        <f ca="1">SQRT($B$9*AVERAGE((Q1684:OFFSET(Q1684,$B$7-1,0))))</f>
        <v>#DIV/0!</v>
      </c>
      <c r="U1684" s="5" t="e">
        <f ca="1">SQRT($B$9*AVERAGE((Q1684:OFFSET(Q1684,$B$8-1,0))))</f>
        <v>#DIV/0!</v>
      </c>
      <c r="W1684" s="6" t="e">
        <f t="shared" si="137"/>
        <v>#DIV/0!</v>
      </c>
      <c r="X1684" s="6" t="e">
        <f ca="1">SQRT($B$9*AVERAGE(W1684:OFFSET(W1684,$B$5-1,0)))</f>
        <v>#DIV/0!</v>
      </c>
      <c r="Y1684" s="6" t="e">
        <f ca="1">SQRT($B$9*AVERAGE(W1684:OFFSET(W1684,$B$6-1,0)))</f>
        <v>#DIV/0!</v>
      </c>
      <c r="Z1684" s="6" t="e">
        <f ca="1">SQRT($B$9*AVERAGE(W1684:OFFSET(W1684,$B$7-1,0)))</f>
        <v>#DIV/0!</v>
      </c>
      <c r="AA1684" s="6" t="e">
        <f ca="1">SQRT($B$9*AVERAGE(W1684:OFFSET(W1684,$B$8-1,0)))</f>
        <v>#DIV/0!</v>
      </c>
      <c r="AC1684" s="34" t="e">
        <f t="shared" si="140"/>
        <v>#DIV/0!</v>
      </c>
      <c r="AD1684" s="34" t="e">
        <f ca="1">SQRT($B$9*SUM(AC1684:OFFSET(AC1684,$B$5-1,0))/($B$5-1))</f>
        <v>#DIV/0!</v>
      </c>
      <c r="AE1684" s="34" t="e">
        <f ca="1">SQRT($B$9*SUM(AC1684:OFFSET(AC1684,$B$6-1,0))/($B$6-1))</f>
        <v>#DIV/0!</v>
      </c>
      <c r="AF1684" s="34" t="e">
        <f ca="1">SQRT($B$9*SUM(AC1684:OFFSET(AC1684,$B$7-1,0))/($B$7-1))</f>
        <v>#DIV/0!</v>
      </c>
      <c r="AG1684" s="34" t="e">
        <f ca="1">SQRT($B$9*SUM(AC1684:OFFSET(AC1684,$B$8-1,0))/($B$8-1))</f>
        <v>#DIV/0!</v>
      </c>
      <c r="AI1684" s="1" t="e">
        <f t="shared" si="141"/>
        <v>#DIV/0!</v>
      </c>
      <c r="AJ1684" s="4" t="e">
        <f ca="1">SQRT($B$9)*_xlfn.STDEV.S(AI1684:OFFSET(AI1684,$B$5-1,0))</f>
        <v>#DIV/0!</v>
      </c>
      <c r="AK1684" s="4" t="e">
        <f ca="1">SQRT($B$9)*_xlfn.STDEV.S(AI1684:OFFSET(AI1684,$B$6-1,0))</f>
        <v>#DIV/0!</v>
      </c>
      <c r="AL1684" s="4" t="e">
        <f ca="1">SQRT($B$9)*_xlfn.STDEV.S(AI1684:OFFSET(AI1684,$B$7-1,0))</f>
        <v>#DIV/0!</v>
      </c>
      <c r="AM1684" s="4" t="e">
        <f ca="1">SQRT($B$9)*_xlfn.STDEV.S(AI1684:OFFSET(AI1684,$B$8-1,0))</f>
        <v>#DIV/0!</v>
      </c>
    </row>
    <row r="1685" spans="11:39" x14ac:dyDescent="0.2">
      <c r="K1685" s="3" t="e">
        <f t="shared" si="139"/>
        <v>#DIV/0!</v>
      </c>
      <c r="L1685" s="3" t="e">
        <f ca="1">SQRT(AVERAGE(K1685:OFFSET(K1685,$B$5-1,0))*$B$9/(4*LN(2)))</f>
        <v>#DIV/0!</v>
      </c>
      <c r="M1685" s="3" t="e">
        <f ca="1">SQRT(AVERAGE(K1685:OFFSET(K1685,$B$6-1,0))*$B$9/(4*LN(2)))</f>
        <v>#DIV/0!</v>
      </c>
      <c r="N1685" s="3" t="e">
        <f ca="1">SQRT(AVERAGE(K1685:OFFSET(K1685,$B$7-1,0))*$B$9/(4*LN(2)))</f>
        <v>#DIV/0!</v>
      </c>
      <c r="O1685" s="3" t="e">
        <f ca="1">SQRT(AVERAGE(K1685:OFFSET(K1685,$B$8-1,0))*$B$9/(4*LN(2)))</f>
        <v>#DIV/0!</v>
      </c>
      <c r="Q1685" s="5" t="e">
        <f t="shared" si="138"/>
        <v>#DIV/0!</v>
      </c>
      <c r="R1685" s="5" t="e">
        <f ca="1">SQRT($B$9*AVERAGE((Q1685:OFFSET(Q1685,$B$5-1,0))))</f>
        <v>#DIV/0!</v>
      </c>
      <c r="S1685" s="5" t="e">
        <f ca="1">SQRT($B$9*AVERAGE((Q1685:OFFSET(Q1685,$B$6-1,0))))</f>
        <v>#DIV/0!</v>
      </c>
      <c r="T1685" s="5" t="e">
        <f ca="1">SQRT($B$9*AVERAGE((Q1685:OFFSET(Q1685,$B$7-1,0))))</f>
        <v>#DIV/0!</v>
      </c>
      <c r="U1685" s="5" t="e">
        <f ca="1">SQRT($B$9*AVERAGE((Q1685:OFFSET(Q1685,$B$8-1,0))))</f>
        <v>#DIV/0!</v>
      </c>
      <c r="W1685" s="6" t="e">
        <f t="shared" si="137"/>
        <v>#DIV/0!</v>
      </c>
      <c r="X1685" s="6" t="e">
        <f ca="1">SQRT($B$9*AVERAGE(W1685:OFFSET(W1685,$B$5-1,0)))</f>
        <v>#DIV/0!</v>
      </c>
      <c r="Y1685" s="6" t="e">
        <f ca="1">SQRT($B$9*AVERAGE(W1685:OFFSET(W1685,$B$6-1,0)))</f>
        <v>#DIV/0!</v>
      </c>
      <c r="Z1685" s="6" t="e">
        <f ca="1">SQRT($B$9*AVERAGE(W1685:OFFSET(W1685,$B$7-1,0)))</f>
        <v>#DIV/0!</v>
      </c>
      <c r="AA1685" s="6" t="e">
        <f ca="1">SQRT($B$9*AVERAGE(W1685:OFFSET(W1685,$B$8-1,0)))</f>
        <v>#DIV/0!</v>
      </c>
      <c r="AC1685" s="34" t="e">
        <f t="shared" si="140"/>
        <v>#DIV/0!</v>
      </c>
      <c r="AD1685" s="34" t="e">
        <f ca="1">SQRT($B$9*SUM(AC1685:OFFSET(AC1685,$B$5-1,0))/($B$5-1))</f>
        <v>#DIV/0!</v>
      </c>
      <c r="AE1685" s="34" t="e">
        <f ca="1">SQRT($B$9*SUM(AC1685:OFFSET(AC1685,$B$6-1,0))/($B$6-1))</f>
        <v>#DIV/0!</v>
      </c>
      <c r="AF1685" s="34" t="e">
        <f ca="1">SQRT($B$9*SUM(AC1685:OFFSET(AC1685,$B$7-1,0))/($B$7-1))</f>
        <v>#DIV/0!</v>
      </c>
      <c r="AG1685" s="34" t="e">
        <f ca="1">SQRT($B$9*SUM(AC1685:OFFSET(AC1685,$B$8-1,0))/($B$8-1))</f>
        <v>#DIV/0!</v>
      </c>
      <c r="AI1685" s="1" t="e">
        <f t="shared" si="141"/>
        <v>#DIV/0!</v>
      </c>
      <c r="AJ1685" s="4" t="e">
        <f ca="1">SQRT($B$9)*_xlfn.STDEV.S(AI1685:OFFSET(AI1685,$B$5-1,0))</f>
        <v>#DIV/0!</v>
      </c>
      <c r="AK1685" s="4" t="e">
        <f ca="1">SQRT($B$9)*_xlfn.STDEV.S(AI1685:OFFSET(AI1685,$B$6-1,0))</f>
        <v>#DIV/0!</v>
      </c>
      <c r="AL1685" s="4" t="e">
        <f ca="1">SQRT($B$9)*_xlfn.STDEV.S(AI1685:OFFSET(AI1685,$B$7-1,0))</f>
        <v>#DIV/0!</v>
      </c>
      <c r="AM1685" s="4" t="e">
        <f ca="1">SQRT($B$9)*_xlfn.STDEV.S(AI1685:OFFSET(AI1685,$B$8-1,0))</f>
        <v>#DIV/0!</v>
      </c>
    </row>
    <row r="1686" spans="11:39" x14ac:dyDescent="0.2">
      <c r="K1686" s="3" t="e">
        <f t="shared" si="139"/>
        <v>#DIV/0!</v>
      </c>
      <c r="L1686" s="3" t="e">
        <f ca="1">SQRT(AVERAGE(K1686:OFFSET(K1686,$B$5-1,0))*$B$9/(4*LN(2)))</f>
        <v>#DIV/0!</v>
      </c>
      <c r="M1686" s="3" t="e">
        <f ca="1">SQRT(AVERAGE(K1686:OFFSET(K1686,$B$6-1,0))*$B$9/(4*LN(2)))</f>
        <v>#DIV/0!</v>
      </c>
      <c r="N1686" s="3" t="e">
        <f ca="1">SQRT(AVERAGE(K1686:OFFSET(K1686,$B$7-1,0))*$B$9/(4*LN(2)))</f>
        <v>#DIV/0!</v>
      </c>
      <c r="O1686" s="3" t="e">
        <f ca="1">SQRT(AVERAGE(K1686:OFFSET(K1686,$B$8-1,0))*$B$9/(4*LN(2)))</f>
        <v>#DIV/0!</v>
      </c>
      <c r="Q1686" s="5" t="e">
        <f t="shared" si="138"/>
        <v>#DIV/0!</v>
      </c>
      <c r="R1686" s="5" t="e">
        <f ca="1">SQRT($B$9*AVERAGE((Q1686:OFFSET(Q1686,$B$5-1,0))))</f>
        <v>#DIV/0!</v>
      </c>
      <c r="S1686" s="5" t="e">
        <f ca="1">SQRT($B$9*AVERAGE((Q1686:OFFSET(Q1686,$B$6-1,0))))</f>
        <v>#DIV/0!</v>
      </c>
      <c r="T1686" s="5" t="e">
        <f ca="1">SQRT($B$9*AVERAGE((Q1686:OFFSET(Q1686,$B$7-1,0))))</f>
        <v>#DIV/0!</v>
      </c>
      <c r="U1686" s="5" t="e">
        <f ca="1">SQRT($B$9*AVERAGE((Q1686:OFFSET(Q1686,$B$8-1,0))))</f>
        <v>#DIV/0!</v>
      </c>
      <c r="W1686" s="6" t="e">
        <f t="shared" si="137"/>
        <v>#DIV/0!</v>
      </c>
      <c r="X1686" s="6" t="e">
        <f ca="1">SQRT($B$9*AVERAGE(W1686:OFFSET(W1686,$B$5-1,0)))</f>
        <v>#DIV/0!</v>
      </c>
      <c r="Y1686" s="6" t="e">
        <f ca="1">SQRT($B$9*AVERAGE(W1686:OFFSET(W1686,$B$6-1,0)))</f>
        <v>#DIV/0!</v>
      </c>
      <c r="Z1686" s="6" t="e">
        <f ca="1">SQRT($B$9*AVERAGE(W1686:OFFSET(W1686,$B$7-1,0)))</f>
        <v>#DIV/0!</v>
      </c>
      <c r="AA1686" s="6" t="e">
        <f ca="1">SQRT($B$9*AVERAGE(W1686:OFFSET(W1686,$B$8-1,0)))</f>
        <v>#DIV/0!</v>
      </c>
      <c r="AC1686" s="34" t="e">
        <f t="shared" si="140"/>
        <v>#DIV/0!</v>
      </c>
      <c r="AD1686" s="34" t="e">
        <f ca="1">SQRT($B$9*SUM(AC1686:OFFSET(AC1686,$B$5-1,0))/($B$5-1))</f>
        <v>#DIV/0!</v>
      </c>
      <c r="AE1686" s="34" t="e">
        <f ca="1">SQRT($B$9*SUM(AC1686:OFFSET(AC1686,$B$6-1,0))/($B$6-1))</f>
        <v>#DIV/0!</v>
      </c>
      <c r="AF1686" s="34" t="e">
        <f ca="1">SQRT($B$9*SUM(AC1686:OFFSET(AC1686,$B$7-1,0))/($B$7-1))</f>
        <v>#DIV/0!</v>
      </c>
      <c r="AG1686" s="34" t="e">
        <f ca="1">SQRT($B$9*SUM(AC1686:OFFSET(AC1686,$B$8-1,0))/($B$8-1))</f>
        <v>#DIV/0!</v>
      </c>
      <c r="AI1686" s="1" t="e">
        <f t="shared" si="141"/>
        <v>#DIV/0!</v>
      </c>
      <c r="AJ1686" s="4" t="e">
        <f ca="1">SQRT($B$9)*_xlfn.STDEV.S(AI1686:OFFSET(AI1686,$B$5-1,0))</f>
        <v>#DIV/0!</v>
      </c>
      <c r="AK1686" s="4" t="e">
        <f ca="1">SQRT($B$9)*_xlfn.STDEV.S(AI1686:OFFSET(AI1686,$B$6-1,0))</f>
        <v>#DIV/0!</v>
      </c>
      <c r="AL1686" s="4" t="e">
        <f ca="1">SQRT($B$9)*_xlfn.STDEV.S(AI1686:OFFSET(AI1686,$B$7-1,0))</f>
        <v>#DIV/0!</v>
      </c>
      <c r="AM1686" s="4" t="e">
        <f ca="1">SQRT($B$9)*_xlfn.STDEV.S(AI1686:OFFSET(AI1686,$B$8-1,0))</f>
        <v>#DIV/0!</v>
      </c>
    </row>
    <row r="1687" spans="11:39" x14ac:dyDescent="0.2">
      <c r="K1687" s="3" t="e">
        <f t="shared" si="139"/>
        <v>#DIV/0!</v>
      </c>
      <c r="L1687" s="3" t="e">
        <f ca="1">SQRT(AVERAGE(K1687:OFFSET(K1687,$B$5-1,0))*$B$9/(4*LN(2)))</f>
        <v>#DIV/0!</v>
      </c>
      <c r="M1687" s="3" t="e">
        <f ca="1">SQRT(AVERAGE(K1687:OFFSET(K1687,$B$6-1,0))*$B$9/(4*LN(2)))</f>
        <v>#DIV/0!</v>
      </c>
      <c r="N1687" s="3" t="e">
        <f ca="1">SQRT(AVERAGE(K1687:OFFSET(K1687,$B$7-1,0))*$B$9/(4*LN(2)))</f>
        <v>#DIV/0!</v>
      </c>
      <c r="O1687" s="3" t="e">
        <f ca="1">SQRT(AVERAGE(K1687:OFFSET(K1687,$B$8-1,0))*$B$9/(4*LN(2)))</f>
        <v>#DIV/0!</v>
      </c>
      <c r="Q1687" s="5" t="e">
        <f t="shared" si="138"/>
        <v>#DIV/0!</v>
      </c>
      <c r="R1687" s="5" t="e">
        <f ca="1">SQRT($B$9*AVERAGE((Q1687:OFFSET(Q1687,$B$5-1,0))))</f>
        <v>#DIV/0!</v>
      </c>
      <c r="S1687" s="5" t="e">
        <f ca="1">SQRT($B$9*AVERAGE((Q1687:OFFSET(Q1687,$B$6-1,0))))</f>
        <v>#DIV/0!</v>
      </c>
      <c r="T1687" s="5" t="e">
        <f ca="1">SQRT($B$9*AVERAGE((Q1687:OFFSET(Q1687,$B$7-1,0))))</f>
        <v>#DIV/0!</v>
      </c>
      <c r="U1687" s="5" t="e">
        <f ca="1">SQRT($B$9*AVERAGE((Q1687:OFFSET(Q1687,$B$8-1,0))))</f>
        <v>#DIV/0!</v>
      </c>
      <c r="W1687" s="6" t="e">
        <f t="shared" si="137"/>
        <v>#DIV/0!</v>
      </c>
      <c r="X1687" s="6" t="e">
        <f ca="1">SQRT($B$9*AVERAGE(W1687:OFFSET(W1687,$B$5-1,0)))</f>
        <v>#DIV/0!</v>
      </c>
      <c r="Y1687" s="6" t="e">
        <f ca="1">SQRT($B$9*AVERAGE(W1687:OFFSET(W1687,$B$6-1,0)))</f>
        <v>#DIV/0!</v>
      </c>
      <c r="Z1687" s="6" t="e">
        <f ca="1">SQRT($B$9*AVERAGE(W1687:OFFSET(W1687,$B$7-1,0)))</f>
        <v>#DIV/0!</v>
      </c>
      <c r="AA1687" s="6" t="e">
        <f ca="1">SQRT($B$9*AVERAGE(W1687:OFFSET(W1687,$B$8-1,0)))</f>
        <v>#DIV/0!</v>
      </c>
      <c r="AC1687" s="34" t="e">
        <f t="shared" si="140"/>
        <v>#DIV/0!</v>
      </c>
      <c r="AD1687" s="34" t="e">
        <f ca="1">SQRT($B$9*SUM(AC1687:OFFSET(AC1687,$B$5-1,0))/($B$5-1))</f>
        <v>#DIV/0!</v>
      </c>
      <c r="AE1687" s="34" t="e">
        <f ca="1">SQRT($B$9*SUM(AC1687:OFFSET(AC1687,$B$6-1,0))/($B$6-1))</f>
        <v>#DIV/0!</v>
      </c>
      <c r="AF1687" s="34" t="e">
        <f ca="1">SQRT($B$9*SUM(AC1687:OFFSET(AC1687,$B$7-1,0))/($B$7-1))</f>
        <v>#DIV/0!</v>
      </c>
      <c r="AG1687" s="34" t="e">
        <f ca="1">SQRT($B$9*SUM(AC1687:OFFSET(AC1687,$B$8-1,0))/($B$8-1))</f>
        <v>#DIV/0!</v>
      </c>
      <c r="AI1687" s="1" t="e">
        <f t="shared" si="141"/>
        <v>#DIV/0!</v>
      </c>
      <c r="AJ1687" s="4" t="e">
        <f ca="1">SQRT($B$9)*_xlfn.STDEV.S(AI1687:OFFSET(AI1687,$B$5-1,0))</f>
        <v>#DIV/0!</v>
      </c>
      <c r="AK1687" s="4" t="e">
        <f ca="1">SQRT($B$9)*_xlfn.STDEV.S(AI1687:OFFSET(AI1687,$B$6-1,0))</f>
        <v>#DIV/0!</v>
      </c>
      <c r="AL1687" s="4" t="e">
        <f ca="1">SQRT($B$9)*_xlfn.STDEV.S(AI1687:OFFSET(AI1687,$B$7-1,0))</f>
        <v>#DIV/0!</v>
      </c>
      <c r="AM1687" s="4" t="e">
        <f ca="1">SQRT($B$9)*_xlfn.STDEV.S(AI1687:OFFSET(AI1687,$B$8-1,0))</f>
        <v>#DIV/0!</v>
      </c>
    </row>
    <row r="1688" spans="11:39" x14ac:dyDescent="0.2">
      <c r="K1688" s="3" t="e">
        <f t="shared" si="139"/>
        <v>#DIV/0!</v>
      </c>
      <c r="L1688" s="3" t="e">
        <f ca="1">SQRT(AVERAGE(K1688:OFFSET(K1688,$B$5-1,0))*$B$9/(4*LN(2)))</f>
        <v>#DIV/0!</v>
      </c>
      <c r="M1688" s="3" t="e">
        <f ca="1">SQRT(AVERAGE(K1688:OFFSET(K1688,$B$6-1,0))*$B$9/(4*LN(2)))</f>
        <v>#DIV/0!</v>
      </c>
      <c r="N1688" s="3" t="e">
        <f ca="1">SQRT(AVERAGE(K1688:OFFSET(K1688,$B$7-1,0))*$B$9/(4*LN(2)))</f>
        <v>#DIV/0!</v>
      </c>
      <c r="O1688" s="3" t="e">
        <f ca="1">SQRT(AVERAGE(K1688:OFFSET(K1688,$B$8-1,0))*$B$9/(4*LN(2)))</f>
        <v>#DIV/0!</v>
      </c>
      <c r="Q1688" s="5" t="e">
        <f t="shared" si="138"/>
        <v>#DIV/0!</v>
      </c>
      <c r="R1688" s="5" t="e">
        <f ca="1">SQRT($B$9*AVERAGE((Q1688:OFFSET(Q1688,$B$5-1,0))))</f>
        <v>#DIV/0!</v>
      </c>
      <c r="S1688" s="5" t="e">
        <f ca="1">SQRT($B$9*AVERAGE((Q1688:OFFSET(Q1688,$B$6-1,0))))</f>
        <v>#DIV/0!</v>
      </c>
      <c r="T1688" s="5" t="e">
        <f ca="1">SQRT($B$9*AVERAGE((Q1688:OFFSET(Q1688,$B$7-1,0))))</f>
        <v>#DIV/0!</v>
      </c>
      <c r="U1688" s="5" t="e">
        <f ca="1">SQRT($B$9*AVERAGE((Q1688:OFFSET(Q1688,$B$8-1,0))))</f>
        <v>#DIV/0!</v>
      </c>
      <c r="W1688" s="6" t="e">
        <f t="shared" si="137"/>
        <v>#DIV/0!</v>
      </c>
      <c r="X1688" s="6" t="e">
        <f ca="1">SQRT($B$9*AVERAGE(W1688:OFFSET(W1688,$B$5-1,0)))</f>
        <v>#DIV/0!</v>
      </c>
      <c r="Y1688" s="6" t="e">
        <f ca="1">SQRT($B$9*AVERAGE(W1688:OFFSET(W1688,$B$6-1,0)))</f>
        <v>#DIV/0!</v>
      </c>
      <c r="Z1688" s="6" t="e">
        <f ca="1">SQRT($B$9*AVERAGE(W1688:OFFSET(W1688,$B$7-1,0)))</f>
        <v>#DIV/0!</v>
      </c>
      <c r="AA1688" s="6" t="e">
        <f ca="1">SQRT($B$9*AVERAGE(W1688:OFFSET(W1688,$B$8-1,0)))</f>
        <v>#DIV/0!</v>
      </c>
      <c r="AC1688" s="34" t="e">
        <f t="shared" si="140"/>
        <v>#DIV/0!</v>
      </c>
      <c r="AD1688" s="34" t="e">
        <f ca="1">SQRT($B$9*SUM(AC1688:OFFSET(AC1688,$B$5-1,0))/($B$5-1))</f>
        <v>#DIV/0!</v>
      </c>
      <c r="AE1688" s="34" t="e">
        <f ca="1">SQRT($B$9*SUM(AC1688:OFFSET(AC1688,$B$6-1,0))/($B$6-1))</f>
        <v>#DIV/0!</v>
      </c>
      <c r="AF1688" s="34" t="e">
        <f ca="1">SQRT($B$9*SUM(AC1688:OFFSET(AC1688,$B$7-1,0))/($B$7-1))</f>
        <v>#DIV/0!</v>
      </c>
      <c r="AG1688" s="34" t="e">
        <f ca="1">SQRT($B$9*SUM(AC1688:OFFSET(AC1688,$B$8-1,0))/($B$8-1))</f>
        <v>#DIV/0!</v>
      </c>
      <c r="AI1688" s="1" t="e">
        <f t="shared" si="141"/>
        <v>#DIV/0!</v>
      </c>
      <c r="AJ1688" s="4" t="e">
        <f ca="1">SQRT($B$9)*_xlfn.STDEV.S(AI1688:OFFSET(AI1688,$B$5-1,0))</f>
        <v>#DIV/0!</v>
      </c>
      <c r="AK1688" s="4" t="e">
        <f ca="1">SQRT($B$9)*_xlfn.STDEV.S(AI1688:OFFSET(AI1688,$B$6-1,0))</f>
        <v>#DIV/0!</v>
      </c>
      <c r="AL1688" s="4" t="e">
        <f ca="1">SQRT($B$9)*_xlfn.STDEV.S(AI1688:OFFSET(AI1688,$B$7-1,0))</f>
        <v>#DIV/0!</v>
      </c>
      <c r="AM1688" s="4" t="e">
        <f ca="1">SQRT($B$9)*_xlfn.STDEV.S(AI1688:OFFSET(AI1688,$B$8-1,0))</f>
        <v>#DIV/0!</v>
      </c>
    </row>
    <row r="1689" spans="11:39" x14ac:dyDescent="0.2">
      <c r="K1689" s="3" t="e">
        <f t="shared" si="139"/>
        <v>#DIV/0!</v>
      </c>
      <c r="L1689" s="3" t="e">
        <f ca="1">SQRT(AVERAGE(K1689:OFFSET(K1689,$B$5-1,0))*$B$9/(4*LN(2)))</f>
        <v>#DIV/0!</v>
      </c>
      <c r="M1689" s="3" t="e">
        <f ca="1">SQRT(AVERAGE(K1689:OFFSET(K1689,$B$6-1,0))*$B$9/(4*LN(2)))</f>
        <v>#DIV/0!</v>
      </c>
      <c r="N1689" s="3" t="e">
        <f ca="1">SQRT(AVERAGE(K1689:OFFSET(K1689,$B$7-1,0))*$B$9/(4*LN(2)))</f>
        <v>#DIV/0!</v>
      </c>
      <c r="O1689" s="3" t="e">
        <f ca="1">SQRT(AVERAGE(K1689:OFFSET(K1689,$B$8-1,0))*$B$9/(4*LN(2)))</f>
        <v>#DIV/0!</v>
      </c>
      <c r="Q1689" s="5" t="e">
        <f t="shared" si="138"/>
        <v>#DIV/0!</v>
      </c>
      <c r="R1689" s="5" t="e">
        <f ca="1">SQRT($B$9*AVERAGE((Q1689:OFFSET(Q1689,$B$5-1,0))))</f>
        <v>#DIV/0!</v>
      </c>
      <c r="S1689" s="5" t="e">
        <f ca="1">SQRT($B$9*AVERAGE((Q1689:OFFSET(Q1689,$B$6-1,0))))</f>
        <v>#DIV/0!</v>
      </c>
      <c r="T1689" s="5" t="e">
        <f ca="1">SQRT($B$9*AVERAGE((Q1689:OFFSET(Q1689,$B$7-1,0))))</f>
        <v>#DIV/0!</v>
      </c>
      <c r="U1689" s="5" t="e">
        <f ca="1">SQRT($B$9*AVERAGE((Q1689:OFFSET(Q1689,$B$8-1,0))))</f>
        <v>#DIV/0!</v>
      </c>
      <c r="W1689" s="6" t="e">
        <f t="shared" si="137"/>
        <v>#DIV/0!</v>
      </c>
      <c r="X1689" s="6" t="e">
        <f ca="1">SQRT($B$9*AVERAGE(W1689:OFFSET(W1689,$B$5-1,0)))</f>
        <v>#DIV/0!</v>
      </c>
      <c r="Y1689" s="6" t="e">
        <f ca="1">SQRT($B$9*AVERAGE(W1689:OFFSET(W1689,$B$6-1,0)))</f>
        <v>#DIV/0!</v>
      </c>
      <c r="Z1689" s="6" t="e">
        <f ca="1">SQRT($B$9*AVERAGE(W1689:OFFSET(W1689,$B$7-1,0)))</f>
        <v>#DIV/0!</v>
      </c>
      <c r="AA1689" s="6" t="e">
        <f ca="1">SQRT($B$9*AVERAGE(W1689:OFFSET(W1689,$B$8-1,0)))</f>
        <v>#DIV/0!</v>
      </c>
      <c r="AC1689" s="34" t="e">
        <f t="shared" si="140"/>
        <v>#DIV/0!</v>
      </c>
      <c r="AD1689" s="34" t="e">
        <f ca="1">SQRT($B$9*SUM(AC1689:OFFSET(AC1689,$B$5-1,0))/($B$5-1))</f>
        <v>#DIV/0!</v>
      </c>
      <c r="AE1689" s="34" t="e">
        <f ca="1">SQRT($B$9*SUM(AC1689:OFFSET(AC1689,$B$6-1,0))/($B$6-1))</f>
        <v>#DIV/0!</v>
      </c>
      <c r="AF1689" s="34" t="e">
        <f ca="1">SQRT($B$9*SUM(AC1689:OFFSET(AC1689,$B$7-1,0))/($B$7-1))</f>
        <v>#DIV/0!</v>
      </c>
      <c r="AG1689" s="34" t="e">
        <f ca="1">SQRT($B$9*SUM(AC1689:OFFSET(AC1689,$B$8-1,0))/($B$8-1))</f>
        <v>#DIV/0!</v>
      </c>
      <c r="AI1689" s="1" t="e">
        <f t="shared" si="141"/>
        <v>#DIV/0!</v>
      </c>
      <c r="AJ1689" s="4" t="e">
        <f ca="1">SQRT($B$9)*_xlfn.STDEV.S(AI1689:OFFSET(AI1689,$B$5-1,0))</f>
        <v>#DIV/0!</v>
      </c>
      <c r="AK1689" s="4" t="e">
        <f ca="1">SQRT($B$9)*_xlfn.STDEV.S(AI1689:OFFSET(AI1689,$B$6-1,0))</f>
        <v>#DIV/0!</v>
      </c>
      <c r="AL1689" s="4" t="e">
        <f ca="1">SQRT($B$9)*_xlfn.STDEV.S(AI1689:OFFSET(AI1689,$B$7-1,0))</f>
        <v>#DIV/0!</v>
      </c>
      <c r="AM1689" s="4" t="e">
        <f ca="1">SQRT($B$9)*_xlfn.STDEV.S(AI1689:OFFSET(AI1689,$B$8-1,0))</f>
        <v>#DIV/0!</v>
      </c>
    </row>
    <row r="1690" spans="11:39" x14ac:dyDescent="0.2">
      <c r="K1690" s="3" t="e">
        <f t="shared" si="139"/>
        <v>#DIV/0!</v>
      </c>
      <c r="L1690" s="3" t="e">
        <f ca="1">SQRT(AVERAGE(K1690:OFFSET(K1690,$B$5-1,0))*$B$9/(4*LN(2)))</f>
        <v>#DIV/0!</v>
      </c>
      <c r="M1690" s="3" t="e">
        <f ca="1">SQRT(AVERAGE(K1690:OFFSET(K1690,$B$6-1,0))*$B$9/(4*LN(2)))</f>
        <v>#DIV/0!</v>
      </c>
      <c r="N1690" s="3" t="e">
        <f ca="1">SQRT(AVERAGE(K1690:OFFSET(K1690,$B$7-1,0))*$B$9/(4*LN(2)))</f>
        <v>#DIV/0!</v>
      </c>
      <c r="O1690" s="3" t="e">
        <f ca="1">SQRT(AVERAGE(K1690:OFFSET(K1690,$B$8-1,0))*$B$9/(4*LN(2)))</f>
        <v>#DIV/0!</v>
      </c>
      <c r="Q1690" s="5" t="e">
        <f t="shared" si="138"/>
        <v>#DIV/0!</v>
      </c>
      <c r="R1690" s="5" t="e">
        <f ca="1">SQRT($B$9*AVERAGE((Q1690:OFFSET(Q1690,$B$5-1,0))))</f>
        <v>#DIV/0!</v>
      </c>
      <c r="S1690" s="5" t="e">
        <f ca="1">SQRT($B$9*AVERAGE((Q1690:OFFSET(Q1690,$B$6-1,0))))</f>
        <v>#DIV/0!</v>
      </c>
      <c r="T1690" s="5" t="e">
        <f ca="1">SQRT($B$9*AVERAGE((Q1690:OFFSET(Q1690,$B$7-1,0))))</f>
        <v>#DIV/0!</v>
      </c>
      <c r="U1690" s="5" t="e">
        <f ca="1">SQRT($B$9*AVERAGE((Q1690:OFFSET(Q1690,$B$8-1,0))))</f>
        <v>#DIV/0!</v>
      </c>
      <c r="W1690" s="6" t="e">
        <f t="shared" si="137"/>
        <v>#DIV/0!</v>
      </c>
      <c r="X1690" s="6" t="e">
        <f ca="1">SQRT($B$9*AVERAGE(W1690:OFFSET(W1690,$B$5-1,0)))</f>
        <v>#DIV/0!</v>
      </c>
      <c r="Y1690" s="6" t="e">
        <f ca="1">SQRT($B$9*AVERAGE(W1690:OFFSET(W1690,$B$6-1,0)))</f>
        <v>#DIV/0!</v>
      </c>
      <c r="Z1690" s="6" t="e">
        <f ca="1">SQRT($B$9*AVERAGE(W1690:OFFSET(W1690,$B$7-1,0)))</f>
        <v>#DIV/0!</v>
      </c>
      <c r="AA1690" s="6" t="e">
        <f ca="1">SQRT($B$9*AVERAGE(W1690:OFFSET(W1690,$B$8-1,0)))</f>
        <v>#DIV/0!</v>
      </c>
      <c r="AC1690" s="34" t="e">
        <f t="shared" si="140"/>
        <v>#DIV/0!</v>
      </c>
      <c r="AD1690" s="34" t="e">
        <f ca="1">SQRT($B$9*SUM(AC1690:OFFSET(AC1690,$B$5-1,0))/($B$5-1))</f>
        <v>#DIV/0!</v>
      </c>
      <c r="AE1690" s="34" t="e">
        <f ca="1">SQRT($B$9*SUM(AC1690:OFFSET(AC1690,$B$6-1,0))/($B$6-1))</f>
        <v>#DIV/0!</v>
      </c>
      <c r="AF1690" s="34" t="e">
        <f ca="1">SQRT($B$9*SUM(AC1690:OFFSET(AC1690,$B$7-1,0))/($B$7-1))</f>
        <v>#DIV/0!</v>
      </c>
      <c r="AG1690" s="34" t="e">
        <f ca="1">SQRT($B$9*SUM(AC1690:OFFSET(AC1690,$B$8-1,0))/($B$8-1))</f>
        <v>#DIV/0!</v>
      </c>
      <c r="AI1690" s="1" t="e">
        <f t="shared" si="141"/>
        <v>#DIV/0!</v>
      </c>
      <c r="AJ1690" s="4" t="e">
        <f ca="1">SQRT($B$9)*_xlfn.STDEV.S(AI1690:OFFSET(AI1690,$B$5-1,0))</f>
        <v>#DIV/0!</v>
      </c>
      <c r="AK1690" s="4" t="e">
        <f ca="1">SQRT($B$9)*_xlfn.STDEV.S(AI1690:OFFSET(AI1690,$B$6-1,0))</f>
        <v>#DIV/0!</v>
      </c>
      <c r="AL1690" s="4" t="e">
        <f ca="1">SQRT($B$9)*_xlfn.STDEV.S(AI1690:OFFSET(AI1690,$B$7-1,0))</f>
        <v>#DIV/0!</v>
      </c>
      <c r="AM1690" s="4" t="e">
        <f ca="1">SQRT($B$9)*_xlfn.STDEV.S(AI1690:OFFSET(AI1690,$B$8-1,0))</f>
        <v>#DIV/0!</v>
      </c>
    </row>
    <row r="1691" spans="11:39" x14ac:dyDescent="0.2">
      <c r="K1691" s="3" t="e">
        <f t="shared" si="139"/>
        <v>#DIV/0!</v>
      </c>
      <c r="L1691" s="3" t="e">
        <f ca="1">SQRT(AVERAGE(K1691:OFFSET(K1691,$B$5-1,0))*$B$9/(4*LN(2)))</f>
        <v>#DIV/0!</v>
      </c>
      <c r="M1691" s="3" t="e">
        <f ca="1">SQRT(AVERAGE(K1691:OFFSET(K1691,$B$6-1,0))*$B$9/(4*LN(2)))</f>
        <v>#DIV/0!</v>
      </c>
      <c r="N1691" s="3" t="e">
        <f ca="1">SQRT(AVERAGE(K1691:OFFSET(K1691,$B$7-1,0))*$B$9/(4*LN(2)))</f>
        <v>#DIV/0!</v>
      </c>
      <c r="O1691" s="3" t="e">
        <f ca="1">SQRT(AVERAGE(K1691:OFFSET(K1691,$B$8-1,0))*$B$9/(4*LN(2)))</f>
        <v>#DIV/0!</v>
      </c>
      <c r="Q1691" s="5" t="e">
        <f t="shared" si="138"/>
        <v>#DIV/0!</v>
      </c>
      <c r="R1691" s="5" t="e">
        <f ca="1">SQRT($B$9*AVERAGE((Q1691:OFFSET(Q1691,$B$5-1,0))))</f>
        <v>#DIV/0!</v>
      </c>
      <c r="S1691" s="5" t="e">
        <f ca="1">SQRT($B$9*AVERAGE((Q1691:OFFSET(Q1691,$B$6-1,0))))</f>
        <v>#DIV/0!</v>
      </c>
      <c r="T1691" s="5" t="e">
        <f ca="1">SQRT($B$9*AVERAGE((Q1691:OFFSET(Q1691,$B$7-1,0))))</f>
        <v>#DIV/0!</v>
      </c>
      <c r="U1691" s="5" t="e">
        <f ca="1">SQRT($B$9*AVERAGE((Q1691:OFFSET(Q1691,$B$8-1,0))))</f>
        <v>#DIV/0!</v>
      </c>
      <c r="W1691" s="6" t="e">
        <f t="shared" si="137"/>
        <v>#DIV/0!</v>
      </c>
      <c r="X1691" s="6" t="e">
        <f ca="1">SQRT($B$9*AVERAGE(W1691:OFFSET(W1691,$B$5-1,0)))</f>
        <v>#DIV/0!</v>
      </c>
      <c r="Y1691" s="6" t="e">
        <f ca="1">SQRT($B$9*AVERAGE(W1691:OFFSET(W1691,$B$6-1,0)))</f>
        <v>#DIV/0!</v>
      </c>
      <c r="Z1691" s="6" t="e">
        <f ca="1">SQRT($B$9*AVERAGE(W1691:OFFSET(W1691,$B$7-1,0)))</f>
        <v>#DIV/0!</v>
      </c>
      <c r="AA1691" s="6" t="e">
        <f ca="1">SQRT($B$9*AVERAGE(W1691:OFFSET(W1691,$B$8-1,0)))</f>
        <v>#DIV/0!</v>
      </c>
      <c r="AC1691" s="34" t="e">
        <f t="shared" si="140"/>
        <v>#DIV/0!</v>
      </c>
      <c r="AD1691" s="34" t="e">
        <f ca="1">SQRT($B$9*SUM(AC1691:OFFSET(AC1691,$B$5-1,0))/($B$5-1))</f>
        <v>#DIV/0!</v>
      </c>
      <c r="AE1691" s="34" t="e">
        <f ca="1">SQRT($B$9*SUM(AC1691:OFFSET(AC1691,$B$6-1,0))/($B$6-1))</f>
        <v>#DIV/0!</v>
      </c>
      <c r="AF1691" s="34" t="e">
        <f ca="1">SQRT($B$9*SUM(AC1691:OFFSET(AC1691,$B$7-1,0))/($B$7-1))</f>
        <v>#DIV/0!</v>
      </c>
      <c r="AG1691" s="34" t="e">
        <f ca="1">SQRT($B$9*SUM(AC1691:OFFSET(AC1691,$B$8-1,0))/($B$8-1))</f>
        <v>#DIV/0!</v>
      </c>
      <c r="AI1691" s="1" t="e">
        <f t="shared" si="141"/>
        <v>#DIV/0!</v>
      </c>
      <c r="AJ1691" s="4" t="e">
        <f ca="1">SQRT($B$9)*_xlfn.STDEV.S(AI1691:OFFSET(AI1691,$B$5-1,0))</f>
        <v>#DIV/0!</v>
      </c>
      <c r="AK1691" s="4" t="e">
        <f ca="1">SQRT($B$9)*_xlfn.STDEV.S(AI1691:OFFSET(AI1691,$B$6-1,0))</f>
        <v>#DIV/0!</v>
      </c>
      <c r="AL1691" s="4" t="e">
        <f ca="1">SQRT($B$9)*_xlfn.STDEV.S(AI1691:OFFSET(AI1691,$B$7-1,0))</f>
        <v>#DIV/0!</v>
      </c>
      <c r="AM1691" s="4" t="e">
        <f ca="1">SQRT($B$9)*_xlfn.STDEV.S(AI1691:OFFSET(AI1691,$B$8-1,0))</f>
        <v>#DIV/0!</v>
      </c>
    </row>
    <row r="1692" spans="11:39" x14ac:dyDescent="0.2">
      <c r="K1692" s="3" t="e">
        <f t="shared" si="139"/>
        <v>#DIV/0!</v>
      </c>
      <c r="L1692" s="3" t="e">
        <f ca="1">SQRT(AVERAGE(K1692:OFFSET(K1692,$B$5-1,0))*$B$9/(4*LN(2)))</f>
        <v>#DIV/0!</v>
      </c>
      <c r="M1692" s="3" t="e">
        <f ca="1">SQRT(AVERAGE(K1692:OFFSET(K1692,$B$6-1,0))*$B$9/(4*LN(2)))</f>
        <v>#DIV/0!</v>
      </c>
      <c r="N1692" s="3" t="e">
        <f ca="1">SQRT(AVERAGE(K1692:OFFSET(K1692,$B$7-1,0))*$B$9/(4*LN(2)))</f>
        <v>#DIV/0!</v>
      </c>
      <c r="O1692" s="3" t="e">
        <f ca="1">SQRT(AVERAGE(K1692:OFFSET(K1692,$B$8-1,0))*$B$9/(4*LN(2)))</f>
        <v>#DIV/0!</v>
      </c>
      <c r="Q1692" s="5" t="e">
        <f t="shared" si="138"/>
        <v>#DIV/0!</v>
      </c>
      <c r="R1692" s="5" t="e">
        <f ca="1">SQRT($B$9*AVERAGE((Q1692:OFFSET(Q1692,$B$5-1,0))))</f>
        <v>#DIV/0!</v>
      </c>
      <c r="S1692" s="5" t="e">
        <f ca="1">SQRT($B$9*AVERAGE((Q1692:OFFSET(Q1692,$B$6-1,0))))</f>
        <v>#DIV/0!</v>
      </c>
      <c r="T1692" s="5" t="e">
        <f ca="1">SQRT($B$9*AVERAGE((Q1692:OFFSET(Q1692,$B$7-1,0))))</f>
        <v>#DIV/0!</v>
      </c>
      <c r="U1692" s="5" t="e">
        <f ca="1">SQRT($B$9*AVERAGE((Q1692:OFFSET(Q1692,$B$8-1,0))))</f>
        <v>#DIV/0!</v>
      </c>
      <c r="W1692" s="6" t="e">
        <f t="shared" si="137"/>
        <v>#DIV/0!</v>
      </c>
      <c r="X1692" s="6" t="e">
        <f ca="1">SQRT($B$9*AVERAGE(W1692:OFFSET(W1692,$B$5-1,0)))</f>
        <v>#DIV/0!</v>
      </c>
      <c r="Y1692" s="6" t="e">
        <f ca="1">SQRT($B$9*AVERAGE(W1692:OFFSET(W1692,$B$6-1,0)))</f>
        <v>#DIV/0!</v>
      </c>
      <c r="Z1692" s="6" t="e">
        <f ca="1">SQRT($B$9*AVERAGE(W1692:OFFSET(W1692,$B$7-1,0)))</f>
        <v>#DIV/0!</v>
      </c>
      <c r="AA1692" s="6" t="e">
        <f ca="1">SQRT($B$9*AVERAGE(W1692:OFFSET(W1692,$B$8-1,0)))</f>
        <v>#DIV/0!</v>
      </c>
      <c r="AC1692" s="34" t="e">
        <f t="shared" si="140"/>
        <v>#DIV/0!</v>
      </c>
      <c r="AD1692" s="34" t="e">
        <f ca="1">SQRT($B$9*SUM(AC1692:OFFSET(AC1692,$B$5-1,0))/($B$5-1))</f>
        <v>#DIV/0!</v>
      </c>
      <c r="AE1692" s="34" t="e">
        <f ca="1">SQRT($B$9*SUM(AC1692:OFFSET(AC1692,$B$6-1,0))/($B$6-1))</f>
        <v>#DIV/0!</v>
      </c>
      <c r="AF1692" s="34" t="e">
        <f ca="1">SQRT($B$9*SUM(AC1692:OFFSET(AC1692,$B$7-1,0))/($B$7-1))</f>
        <v>#DIV/0!</v>
      </c>
      <c r="AG1692" s="34" t="e">
        <f ca="1">SQRT($B$9*SUM(AC1692:OFFSET(AC1692,$B$8-1,0))/($B$8-1))</f>
        <v>#DIV/0!</v>
      </c>
      <c r="AI1692" s="1" t="e">
        <f t="shared" si="141"/>
        <v>#DIV/0!</v>
      </c>
      <c r="AJ1692" s="4" t="e">
        <f ca="1">SQRT($B$9)*_xlfn.STDEV.S(AI1692:OFFSET(AI1692,$B$5-1,0))</f>
        <v>#DIV/0!</v>
      </c>
      <c r="AK1692" s="4" t="e">
        <f ca="1">SQRT($B$9)*_xlfn.STDEV.S(AI1692:OFFSET(AI1692,$B$6-1,0))</f>
        <v>#DIV/0!</v>
      </c>
      <c r="AL1692" s="4" t="e">
        <f ca="1">SQRT($B$9)*_xlfn.STDEV.S(AI1692:OFFSET(AI1692,$B$7-1,0))</f>
        <v>#DIV/0!</v>
      </c>
      <c r="AM1692" s="4" t="e">
        <f ca="1">SQRT($B$9)*_xlfn.STDEV.S(AI1692:OFFSET(AI1692,$B$8-1,0))</f>
        <v>#DIV/0!</v>
      </c>
    </row>
    <row r="1693" spans="11:39" x14ac:dyDescent="0.2">
      <c r="K1693" s="3" t="e">
        <f t="shared" si="139"/>
        <v>#DIV/0!</v>
      </c>
      <c r="L1693" s="3" t="e">
        <f ca="1">SQRT(AVERAGE(K1693:OFFSET(K1693,$B$5-1,0))*$B$9/(4*LN(2)))</f>
        <v>#DIV/0!</v>
      </c>
      <c r="M1693" s="3" t="e">
        <f ca="1">SQRT(AVERAGE(K1693:OFFSET(K1693,$B$6-1,0))*$B$9/(4*LN(2)))</f>
        <v>#DIV/0!</v>
      </c>
      <c r="N1693" s="3" t="e">
        <f ca="1">SQRT(AVERAGE(K1693:OFFSET(K1693,$B$7-1,0))*$B$9/(4*LN(2)))</f>
        <v>#DIV/0!</v>
      </c>
      <c r="O1693" s="3" t="e">
        <f ca="1">SQRT(AVERAGE(K1693:OFFSET(K1693,$B$8-1,0))*$B$9/(4*LN(2)))</f>
        <v>#DIV/0!</v>
      </c>
      <c r="Q1693" s="5" t="e">
        <f t="shared" si="138"/>
        <v>#DIV/0!</v>
      </c>
      <c r="R1693" s="5" t="e">
        <f ca="1">SQRT($B$9*AVERAGE((Q1693:OFFSET(Q1693,$B$5-1,0))))</f>
        <v>#DIV/0!</v>
      </c>
      <c r="S1693" s="5" t="e">
        <f ca="1">SQRT($B$9*AVERAGE((Q1693:OFFSET(Q1693,$B$6-1,0))))</f>
        <v>#DIV/0!</v>
      </c>
      <c r="T1693" s="5" t="e">
        <f ca="1">SQRT($B$9*AVERAGE((Q1693:OFFSET(Q1693,$B$7-1,0))))</f>
        <v>#DIV/0!</v>
      </c>
      <c r="U1693" s="5" t="e">
        <f ca="1">SQRT($B$9*AVERAGE((Q1693:OFFSET(Q1693,$B$8-1,0))))</f>
        <v>#DIV/0!</v>
      </c>
      <c r="W1693" s="6" t="e">
        <f t="shared" si="137"/>
        <v>#DIV/0!</v>
      </c>
      <c r="X1693" s="6" t="e">
        <f ca="1">SQRT($B$9*AVERAGE(W1693:OFFSET(W1693,$B$5-1,0)))</f>
        <v>#DIV/0!</v>
      </c>
      <c r="Y1693" s="6" t="e">
        <f ca="1">SQRT($B$9*AVERAGE(W1693:OFFSET(W1693,$B$6-1,0)))</f>
        <v>#DIV/0!</v>
      </c>
      <c r="Z1693" s="6" t="e">
        <f ca="1">SQRT($B$9*AVERAGE(W1693:OFFSET(W1693,$B$7-1,0)))</f>
        <v>#DIV/0!</v>
      </c>
      <c r="AA1693" s="6" t="e">
        <f ca="1">SQRT($B$9*AVERAGE(W1693:OFFSET(W1693,$B$8-1,0)))</f>
        <v>#DIV/0!</v>
      </c>
      <c r="AC1693" s="34" t="e">
        <f t="shared" si="140"/>
        <v>#DIV/0!</v>
      </c>
      <c r="AD1693" s="34" t="e">
        <f ca="1">SQRT($B$9*SUM(AC1693:OFFSET(AC1693,$B$5-1,0))/($B$5-1))</f>
        <v>#DIV/0!</v>
      </c>
      <c r="AE1693" s="34" t="e">
        <f ca="1">SQRT($B$9*SUM(AC1693:OFFSET(AC1693,$B$6-1,0))/($B$6-1))</f>
        <v>#DIV/0!</v>
      </c>
      <c r="AF1693" s="34" t="e">
        <f ca="1">SQRT($B$9*SUM(AC1693:OFFSET(AC1693,$B$7-1,0))/($B$7-1))</f>
        <v>#DIV/0!</v>
      </c>
      <c r="AG1693" s="34" t="e">
        <f ca="1">SQRT($B$9*SUM(AC1693:OFFSET(AC1693,$B$8-1,0))/($B$8-1))</f>
        <v>#DIV/0!</v>
      </c>
      <c r="AI1693" s="1" t="e">
        <f t="shared" si="141"/>
        <v>#DIV/0!</v>
      </c>
      <c r="AJ1693" s="4" t="e">
        <f ca="1">SQRT($B$9)*_xlfn.STDEV.S(AI1693:OFFSET(AI1693,$B$5-1,0))</f>
        <v>#DIV/0!</v>
      </c>
      <c r="AK1693" s="4" t="e">
        <f ca="1">SQRT($B$9)*_xlfn.STDEV.S(AI1693:OFFSET(AI1693,$B$6-1,0))</f>
        <v>#DIV/0!</v>
      </c>
      <c r="AL1693" s="4" t="e">
        <f ca="1">SQRT($B$9)*_xlfn.STDEV.S(AI1693:OFFSET(AI1693,$B$7-1,0))</f>
        <v>#DIV/0!</v>
      </c>
      <c r="AM1693" s="4" t="e">
        <f ca="1">SQRT($B$9)*_xlfn.STDEV.S(AI1693:OFFSET(AI1693,$B$8-1,0))</f>
        <v>#DIV/0!</v>
      </c>
    </row>
    <row r="1694" spans="11:39" x14ac:dyDescent="0.2">
      <c r="K1694" s="3" t="e">
        <f t="shared" si="139"/>
        <v>#DIV/0!</v>
      </c>
      <c r="L1694" s="3" t="e">
        <f ca="1">SQRT(AVERAGE(K1694:OFFSET(K1694,$B$5-1,0))*$B$9/(4*LN(2)))</f>
        <v>#DIV/0!</v>
      </c>
      <c r="M1694" s="3" t="e">
        <f ca="1">SQRT(AVERAGE(K1694:OFFSET(K1694,$B$6-1,0))*$B$9/(4*LN(2)))</f>
        <v>#DIV/0!</v>
      </c>
      <c r="N1694" s="3" t="e">
        <f ca="1">SQRT(AVERAGE(K1694:OFFSET(K1694,$B$7-1,0))*$B$9/(4*LN(2)))</f>
        <v>#DIV/0!</v>
      </c>
      <c r="O1694" s="3" t="e">
        <f ca="1">SQRT(AVERAGE(K1694:OFFSET(K1694,$B$8-1,0))*$B$9/(4*LN(2)))</f>
        <v>#DIV/0!</v>
      </c>
      <c r="Q1694" s="5" t="e">
        <f t="shared" si="138"/>
        <v>#DIV/0!</v>
      </c>
      <c r="R1694" s="5" t="e">
        <f ca="1">SQRT($B$9*AVERAGE((Q1694:OFFSET(Q1694,$B$5-1,0))))</f>
        <v>#DIV/0!</v>
      </c>
      <c r="S1694" s="5" t="e">
        <f ca="1">SQRT($B$9*AVERAGE((Q1694:OFFSET(Q1694,$B$6-1,0))))</f>
        <v>#DIV/0!</v>
      </c>
      <c r="T1694" s="5" t="e">
        <f ca="1">SQRT($B$9*AVERAGE((Q1694:OFFSET(Q1694,$B$7-1,0))))</f>
        <v>#DIV/0!</v>
      </c>
      <c r="U1694" s="5" t="e">
        <f ca="1">SQRT($B$9*AVERAGE((Q1694:OFFSET(Q1694,$B$8-1,0))))</f>
        <v>#DIV/0!</v>
      </c>
      <c r="W1694" s="6" t="e">
        <f t="shared" si="137"/>
        <v>#DIV/0!</v>
      </c>
      <c r="X1694" s="6" t="e">
        <f ca="1">SQRT($B$9*AVERAGE(W1694:OFFSET(W1694,$B$5-1,0)))</f>
        <v>#DIV/0!</v>
      </c>
      <c r="Y1694" s="6" t="e">
        <f ca="1">SQRT($B$9*AVERAGE(W1694:OFFSET(W1694,$B$6-1,0)))</f>
        <v>#DIV/0!</v>
      </c>
      <c r="Z1694" s="6" t="e">
        <f ca="1">SQRT($B$9*AVERAGE(W1694:OFFSET(W1694,$B$7-1,0)))</f>
        <v>#DIV/0!</v>
      </c>
      <c r="AA1694" s="6" t="e">
        <f ca="1">SQRT($B$9*AVERAGE(W1694:OFFSET(W1694,$B$8-1,0)))</f>
        <v>#DIV/0!</v>
      </c>
      <c r="AC1694" s="34" t="e">
        <f t="shared" si="140"/>
        <v>#DIV/0!</v>
      </c>
      <c r="AD1694" s="34" t="e">
        <f ca="1">SQRT($B$9*SUM(AC1694:OFFSET(AC1694,$B$5-1,0))/($B$5-1))</f>
        <v>#DIV/0!</v>
      </c>
      <c r="AE1694" s="34" t="e">
        <f ca="1">SQRT($B$9*SUM(AC1694:OFFSET(AC1694,$B$6-1,0))/($B$6-1))</f>
        <v>#DIV/0!</v>
      </c>
      <c r="AF1694" s="34" t="e">
        <f ca="1">SQRT($B$9*SUM(AC1694:OFFSET(AC1694,$B$7-1,0))/($B$7-1))</f>
        <v>#DIV/0!</v>
      </c>
      <c r="AG1694" s="34" t="e">
        <f ca="1">SQRT($B$9*SUM(AC1694:OFFSET(AC1694,$B$8-1,0))/($B$8-1))</f>
        <v>#DIV/0!</v>
      </c>
      <c r="AI1694" s="1" t="e">
        <f t="shared" si="141"/>
        <v>#DIV/0!</v>
      </c>
      <c r="AJ1694" s="4" t="e">
        <f ca="1">SQRT($B$9)*_xlfn.STDEV.S(AI1694:OFFSET(AI1694,$B$5-1,0))</f>
        <v>#DIV/0!</v>
      </c>
      <c r="AK1694" s="4" t="e">
        <f ca="1">SQRT($B$9)*_xlfn.STDEV.S(AI1694:OFFSET(AI1694,$B$6-1,0))</f>
        <v>#DIV/0!</v>
      </c>
      <c r="AL1694" s="4" t="e">
        <f ca="1">SQRT($B$9)*_xlfn.STDEV.S(AI1694:OFFSET(AI1694,$B$7-1,0))</f>
        <v>#DIV/0!</v>
      </c>
      <c r="AM1694" s="4" t="e">
        <f ca="1">SQRT($B$9)*_xlfn.STDEV.S(AI1694:OFFSET(AI1694,$B$8-1,0))</f>
        <v>#DIV/0!</v>
      </c>
    </row>
    <row r="1695" spans="11:39" x14ac:dyDescent="0.2">
      <c r="K1695" s="3" t="e">
        <f t="shared" si="139"/>
        <v>#DIV/0!</v>
      </c>
      <c r="L1695" s="3" t="e">
        <f ca="1">SQRT(AVERAGE(K1695:OFFSET(K1695,$B$5-1,0))*$B$9/(4*LN(2)))</f>
        <v>#DIV/0!</v>
      </c>
      <c r="M1695" s="3" t="e">
        <f ca="1">SQRT(AVERAGE(K1695:OFFSET(K1695,$B$6-1,0))*$B$9/(4*LN(2)))</f>
        <v>#DIV/0!</v>
      </c>
      <c r="N1695" s="3" t="e">
        <f ca="1">SQRT(AVERAGE(K1695:OFFSET(K1695,$B$7-1,0))*$B$9/(4*LN(2)))</f>
        <v>#DIV/0!</v>
      </c>
      <c r="O1695" s="3" t="e">
        <f ca="1">SQRT(AVERAGE(K1695:OFFSET(K1695,$B$8-1,0))*$B$9/(4*LN(2)))</f>
        <v>#DIV/0!</v>
      </c>
      <c r="Q1695" s="5" t="e">
        <f t="shared" si="138"/>
        <v>#DIV/0!</v>
      </c>
      <c r="R1695" s="5" t="e">
        <f ca="1">SQRT($B$9*AVERAGE((Q1695:OFFSET(Q1695,$B$5-1,0))))</f>
        <v>#DIV/0!</v>
      </c>
      <c r="S1695" s="5" t="e">
        <f ca="1">SQRT($B$9*AVERAGE((Q1695:OFFSET(Q1695,$B$6-1,0))))</f>
        <v>#DIV/0!</v>
      </c>
      <c r="T1695" s="5" t="e">
        <f ca="1">SQRT($B$9*AVERAGE((Q1695:OFFSET(Q1695,$B$7-1,0))))</f>
        <v>#DIV/0!</v>
      </c>
      <c r="U1695" s="5" t="e">
        <f ca="1">SQRT($B$9*AVERAGE((Q1695:OFFSET(Q1695,$B$8-1,0))))</f>
        <v>#DIV/0!</v>
      </c>
      <c r="W1695" s="6" t="e">
        <f t="shared" si="137"/>
        <v>#DIV/0!</v>
      </c>
      <c r="X1695" s="6" t="e">
        <f ca="1">SQRT($B$9*AVERAGE(W1695:OFFSET(W1695,$B$5-1,0)))</f>
        <v>#DIV/0!</v>
      </c>
      <c r="Y1695" s="6" t="e">
        <f ca="1">SQRT($B$9*AVERAGE(W1695:OFFSET(W1695,$B$6-1,0)))</f>
        <v>#DIV/0!</v>
      </c>
      <c r="Z1695" s="6" t="e">
        <f ca="1">SQRT($B$9*AVERAGE(W1695:OFFSET(W1695,$B$7-1,0)))</f>
        <v>#DIV/0!</v>
      </c>
      <c r="AA1695" s="6" t="e">
        <f ca="1">SQRT($B$9*AVERAGE(W1695:OFFSET(W1695,$B$8-1,0)))</f>
        <v>#DIV/0!</v>
      </c>
      <c r="AC1695" s="34" t="e">
        <f t="shared" si="140"/>
        <v>#DIV/0!</v>
      </c>
      <c r="AD1695" s="34" t="e">
        <f ca="1">SQRT($B$9*SUM(AC1695:OFFSET(AC1695,$B$5-1,0))/($B$5-1))</f>
        <v>#DIV/0!</v>
      </c>
      <c r="AE1695" s="34" t="e">
        <f ca="1">SQRT($B$9*SUM(AC1695:OFFSET(AC1695,$B$6-1,0))/($B$6-1))</f>
        <v>#DIV/0!</v>
      </c>
      <c r="AF1695" s="34" t="e">
        <f ca="1">SQRT($B$9*SUM(AC1695:OFFSET(AC1695,$B$7-1,0))/($B$7-1))</f>
        <v>#DIV/0!</v>
      </c>
      <c r="AG1695" s="34" t="e">
        <f ca="1">SQRT($B$9*SUM(AC1695:OFFSET(AC1695,$B$8-1,0))/($B$8-1))</f>
        <v>#DIV/0!</v>
      </c>
      <c r="AI1695" s="1" t="e">
        <f t="shared" si="141"/>
        <v>#DIV/0!</v>
      </c>
      <c r="AJ1695" s="4" t="e">
        <f ca="1">SQRT($B$9)*_xlfn.STDEV.S(AI1695:OFFSET(AI1695,$B$5-1,0))</f>
        <v>#DIV/0!</v>
      </c>
      <c r="AK1695" s="4" t="e">
        <f ca="1">SQRT($B$9)*_xlfn.STDEV.S(AI1695:OFFSET(AI1695,$B$6-1,0))</f>
        <v>#DIV/0!</v>
      </c>
      <c r="AL1695" s="4" t="e">
        <f ca="1">SQRT($B$9)*_xlfn.STDEV.S(AI1695:OFFSET(AI1695,$B$7-1,0))</f>
        <v>#DIV/0!</v>
      </c>
      <c r="AM1695" s="4" t="e">
        <f ca="1">SQRT($B$9)*_xlfn.STDEV.S(AI1695:OFFSET(AI1695,$B$8-1,0))</f>
        <v>#DIV/0!</v>
      </c>
    </row>
    <row r="1696" spans="11:39" x14ac:dyDescent="0.2">
      <c r="K1696" s="3" t="e">
        <f t="shared" si="139"/>
        <v>#DIV/0!</v>
      </c>
      <c r="L1696" s="3" t="e">
        <f ca="1">SQRT(AVERAGE(K1696:OFFSET(K1696,$B$5-1,0))*$B$9/(4*LN(2)))</f>
        <v>#DIV/0!</v>
      </c>
      <c r="M1696" s="3" t="e">
        <f ca="1">SQRT(AVERAGE(K1696:OFFSET(K1696,$B$6-1,0))*$B$9/(4*LN(2)))</f>
        <v>#DIV/0!</v>
      </c>
      <c r="N1696" s="3" t="e">
        <f ca="1">SQRT(AVERAGE(K1696:OFFSET(K1696,$B$7-1,0))*$B$9/(4*LN(2)))</f>
        <v>#DIV/0!</v>
      </c>
      <c r="O1696" s="3" t="e">
        <f ca="1">SQRT(AVERAGE(K1696:OFFSET(K1696,$B$8-1,0))*$B$9/(4*LN(2)))</f>
        <v>#DIV/0!</v>
      </c>
      <c r="Q1696" s="5" t="e">
        <f t="shared" si="138"/>
        <v>#DIV/0!</v>
      </c>
      <c r="R1696" s="5" t="e">
        <f ca="1">SQRT($B$9*AVERAGE((Q1696:OFFSET(Q1696,$B$5-1,0))))</f>
        <v>#DIV/0!</v>
      </c>
      <c r="S1696" s="5" t="e">
        <f ca="1">SQRT($B$9*AVERAGE((Q1696:OFFSET(Q1696,$B$6-1,0))))</f>
        <v>#DIV/0!</v>
      </c>
      <c r="T1696" s="5" t="e">
        <f ca="1">SQRT($B$9*AVERAGE((Q1696:OFFSET(Q1696,$B$7-1,0))))</f>
        <v>#DIV/0!</v>
      </c>
      <c r="U1696" s="5" t="e">
        <f ca="1">SQRT($B$9*AVERAGE((Q1696:OFFSET(Q1696,$B$8-1,0))))</f>
        <v>#DIV/0!</v>
      </c>
      <c r="W1696" s="6" t="e">
        <f t="shared" si="137"/>
        <v>#DIV/0!</v>
      </c>
      <c r="X1696" s="6" t="e">
        <f ca="1">SQRT($B$9*AVERAGE(W1696:OFFSET(W1696,$B$5-1,0)))</f>
        <v>#DIV/0!</v>
      </c>
      <c r="Y1696" s="6" t="e">
        <f ca="1">SQRT($B$9*AVERAGE(W1696:OFFSET(W1696,$B$6-1,0)))</f>
        <v>#DIV/0!</v>
      </c>
      <c r="Z1696" s="6" t="e">
        <f ca="1">SQRT($B$9*AVERAGE(W1696:OFFSET(W1696,$B$7-1,0)))</f>
        <v>#DIV/0!</v>
      </c>
      <c r="AA1696" s="6" t="e">
        <f ca="1">SQRT($B$9*AVERAGE(W1696:OFFSET(W1696,$B$8-1,0)))</f>
        <v>#DIV/0!</v>
      </c>
      <c r="AC1696" s="34" t="e">
        <f t="shared" si="140"/>
        <v>#DIV/0!</v>
      </c>
      <c r="AD1696" s="34" t="e">
        <f ca="1">SQRT($B$9*SUM(AC1696:OFFSET(AC1696,$B$5-1,0))/($B$5-1))</f>
        <v>#DIV/0!</v>
      </c>
      <c r="AE1696" s="34" t="e">
        <f ca="1">SQRT($B$9*SUM(AC1696:OFFSET(AC1696,$B$6-1,0))/($B$6-1))</f>
        <v>#DIV/0!</v>
      </c>
      <c r="AF1696" s="34" t="e">
        <f ca="1">SQRT($B$9*SUM(AC1696:OFFSET(AC1696,$B$7-1,0))/($B$7-1))</f>
        <v>#DIV/0!</v>
      </c>
      <c r="AG1696" s="34" t="e">
        <f ca="1">SQRT($B$9*SUM(AC1696:OFFSET(AC1696,$B$8-1,0))/($B$8-1))</f>
        <v>#DIV/0!</v>
      </c>
      <c r="AI1696" s="1" t="e">
        <f t="shared" si="141"/>
        <v>#DIV/0!</v>
      </c>
      <c r="AJ1696" s="4" t="e">
        <f ca="1">SQRT($B$9)*_xlfn.STDEV.S(AI1696:OFFSET(AI1696,$B$5-1,0))</f>
        <v>#DIV/0!</v>
      </c>
      <c r="AK1696" s="4" t="e">
        <f ca="1">SQRT($B$9)*_xlfn.STDEV.S(AI1696:OFFSET(AI1696,$B$6-1,0))</f>
        <v>#DIV/0!</v>
      </c>
      <c r="AL1696" s="4" t="e">
        <f ca="1">SQRT($B$9)*_xlfn.STDEV.S(AI1696:OFFSET(AI1696,$B$7-1,0))</f>
        <v>#DIV/0!</v>
      </c>
      <c r="AM1696" s="4" t="e">
        <f ca="1">SQRT($B$9)*_xlfn.STDEV.S(AI1696:OFFSET(AI1696,$B$8-1,0))</f>
        <v>#DIV/0!</v>
      </c>
    </row>
    <row r="1697" spans="11:39" x14ac:dyDescent="0.2">
      <c r="K1697" s="3" t="e">
        <f t="shared" si="139"/>
        <v>#DIV/0!</v>
      </c>
      <c r="L1697" s="3" t="e">
        <f ca="1">SQRT(AVERAGE(K1697:OFFSET(K1697,$B$5-1,0))*$B$9/(4*LN(2)))</f>
        <v>#DIV/0!</v>
      </c>
      <c r="M1697" s="3" t="e">
        <f ca="1">SQRT(AVERAGE(K1697:OFFSET(K1697,$B$6-1,0))*$B$9/(4*LN(2)))</f>
        <v>#DIV/0!</v>
      </c>
      <c r="N1697" s="3" t="e">
        <f ca="1">SQRT(AVERAGE(K1697:OFFSET(K1697,$B$7-1,0))*$B$9/(4*LN(2)))</f>
        <v>#DIV/0!</v>
      </c>
      <c r="O1697" s="3" t="e">
        <f ca="1">SQRT(AVERAGE(K1697:OFFSET(K1697,$B$8-1,0))*$B$9/(4*LN(2)))</f>
        <v>#DIV/0!</v>
      </c>
      <c r="Q1697" s="5" t="e">
        <f t="shared" si="138"/>
        <v>#DIV/0!</v>
      </c>
      <c r="R1697" s="5" t="e">
        <f ca="1">SQRT($B$9*AVERAGE((Q1697:OFFSET(Q1697,$B$5-1,0))))</f>
        <v>#DIV/0!</v>
      </c>
      <c r="S1697" s="5" t="e">
        <f ca="1">SQRT($B$9*AVERAGE((Q1697:OFFSET(Q1697,$B$6-1,0))))</f>
        <v>#DIV/0!</v>
      </c>
      <c r="T1697" s="5" t="e">
        <f ca="1">SQRT($B$9*AVERAGE((Q1697:OFFSET(Q1697,$B$7-1,0))))</f>
        <v>#DIV/0!</v>
      </c>
      <c r="U1697" s="5" t="e">
        <f ca="1">SQRT($B$9*AVERAGE((Q1697:OFFSET(Q1697,$B$8-1,0))))</f>
        <v>#DIV/0!</v>
      </c>
      <c r="W1697" s="6" t="e">
        <f t="shared" si="137"/>
        <v>#DIV/0!</v>
      </c>
      <c r="X1697" s="6" t="e">
        <f ca="1">SQRT($B$9*AVERAGE(W1697:OFFSET(W1697,$B$5-1,0)))</f>
        <v>#DIV/0!</v>
      </c>
      <c r="Y1697" s="6" t="e">
        <f ca="1">SQRT($B$9*AVERAGE(W1697:OFFSET(W1697,$B$6-1,0)))</f>
        <v>#DIV/0!</v>
      </c>
      <c r="Z1697" s="6" t="e">
        <f ca="1">SQRT($B$9*AVERAGE(W1697:OFFSET(W1697,$B$7-1,0)))</f>
        <v>#DIV/0!</v>
      </c>
      <c r="AA1697" s="6" t="e">
        <f ca="1">SQRT($B$9*AVERAGE(W1697:OFFSET(W1697,$B$8-1,0)))</f>
        <v>#DIV/0!</v>
      </c>
      <c r="AC1697" s="34" t="e">
        <f t="shared" si="140"/>
        <v>#DIV/0!</v>
      </c>
      <c r="AD1697" s="34" t="e">
        <f ca="1">SQRT($B$9*SUM(AC1697:OFFSET(AC1697,$B$5-1,0))/($B$5-1))</f>
        <v>#DIV/0!</v>
      </c>
      <c r="AE1697" s="34" t="e">
        <f ca="1">SQRT($B$9*SUM(AC1697:OFFSET(AC1697,$B$6-1,0))/($B$6-1))</f>
        <v>#DIV/0!</v>
      </c>
      <c r="AF1697" s="34" t="e">
        <f ca="1">SQRT($B$9*SUM(AC1697:OFFSET(AC1697,$B$7-1,0))/($B$7-1))</f>
        <v>#DIV/0!</v>
      </c>
      <c r="AG1697" s="34" t="e">
        <f ca="1">SQRT($B$9*SUM(AC1697:OFFSET(AC1697,$B$8-1,0))/($B$8-1))</f>
        <v>#DIV/0!</v>
      </c>
      <c r="AI1697" s="1" t="e">
        <f t="shared" si="141"/>
        <v>#DIV/0!</v>
      </c>
      <c r="AJ1697" s="4" t="e">
        <f ca="1">SQRT($B$9)*_xlfn.STDEV.S(AI1697:OFFSET(AI1697,$B$5-1,0))</f>
        <v>#DIV/0!</v>
      </c>
      <c r="AK1697" s="4" t="e">
        <f ca="1">SQRT($B$9)*_xlfn.STDEV.S(AI1697:OFFSET(AI1697,$B$6-1,0))</f>
        <v>#DIV/0!</v>
      </c>
      <c r="AL1697" s="4" t="e">
        <f ca="1">SQRT($B$9)*_xlfn.STDEV.S(AI1697:OFFSET(AI1697,$B$7-1,0))</f>
        <v>#DIV/0!</v>
      </c>
      <c r="AM1697" s="4" t="e">
        <f ca="1">SQRT($B$9)*_xlfn.STDEV.S(AI1697:OFFSET(AI1697,$B$8-1,0))</f>
        <v>#DIV/0!</v>
      </c>
    </row>
    <row r="1698" spans="11:39" x14ac:dyDescent="0.2">
      <c r="K1698" s="3" t="e">
        <f t="shared" si="139"/>
        <v>#DIV/0!</v>
      </c>
      <c r="L1698" s="3" t="e">
        <f ca="1">SQRT(AVERAGE(K1698:OFFSET(K1698,$B$5-1,0))*$B$9/(4*LN(2)))</f>
        <v>#DIV/0!</v>
      </c>
      <c r="M1698" s="3" t="e">
        <f ca="1">SQRT(AVERAGE(K1698:OFFSET(K1698,$B$6-1,0))*$B$9/(4*LN(2)))</f>
        <v>#DIV/0!</v>
      </c>
      <c r="N1698" s="3" t="e">
        <f ca="1">SQRT(AVERAGE(K1698:OFFSET(K1698,$B$7-1,0))*$B$9/(4*LN(2)))</f>
        <v>#DIV/0!</v>
      </c>
      <c r="O1698" s="3" t="e">
        <f ca="1">SQRT(AVERAGE(K1698:OFFSET(K1698,$B$8-1,0))*$B$9/(4*LN(2)))</f>
        <v>#DIV/0!</v>
      </c>
      <c r="Q1698" s="5" t="e">
        <f t="shared" si="138"/>
        <v>#DIV/0!</v>
      </c>
      <c r="R1698" s="5" t="e">
        <f ca="1">SQRT($B$9*AVERAGE((Q1698:OFFSET(Q1698,$B$5-1,0))))</f>
        <v>#DIV/0!</v>
      </c>
      <c r="S1698" s="5" t="e">
        <f ca="1">SQRT($B$9*AVERAGE((Q1698:OFFSET(Q1698,$B$6-1,0))))</f>
        <v>#DIV/0!</v>
      </c>
      <c r="T1698" s="5" t="e">
        <f ca="1">SQRT($B$9*AVERAGE((Q1698:OFFSET(Q1698,$B$7-1,0))))</f>
        <v>#DIV/0!</v>
      </c>
      <c r="U1698" s="5" t="e">
        <f ca="1">SQRT($B$9*AVERAGE((Q1698:OFFSET(Q1698,$B$8-1,0))))</f>
        <v>#DIV/0!</v>
      </c>
      <c r="W1698" s="6" t="e">
        <f t="shared" si="137"/>
        <v>#DIV/0!</v>
      </c>
      <c r="X1698" s="6" t="e">
        <f ca="1">SQRT($B$9*AVERAGE(W1698:OFFSET(W1698,$B$5-1,0)))</f>
        <v>#DIV/0!</v>
      </c>
      <c r="Y1698" s="6" t="e">
        <f ca="1">SQRT($B$9*AVERAGE(W1698:OFFSET(W1698,$B$6-1,0)))</f>
        <v>#DIV/0!</v>
      </c>
      <c r="Z1698" s="6" t="e">
        <f ca="1">SQRT($B$9*AVERAGE(W1698:OFFSET(W1698,$B$7-1,0)))</f>
        <v>#DIV/0!</v>
      </c>
      <c r="AA1698" s="6" t="e">
        <f ca="1">SQRT($B$9*AVERAGE(W1698:OFFSET(W1698,$B$8-1,0)))</f>
        <v>#DIV/0!</v>
      </c>
      <c r="AC1698" s="34" t="e">
        <f t="shared" si="140"/>
        <v>#DIV/0!</v>
      </c>
      <c r="AD1698" s="34" t="e">
        <f ca="1">SQRT($B$9*SUM(AC1698:OFFSET(AC1698,$B$5-1,0))/($B$5-1))</f>
        <v>#DIV/0!</v>
      </c>
      <c r="AE1698" s="34" t="e">
        <f ca="1">SQRT($B$9*SUM(AC1698:OFFSET(AC1698,$B$6-1,0))/($B$6-1))</f>
        <v>#DIV/0!</v>
      </c>
      <c r="AF1698" s="34" t="e">
        <f ca="1">SQRT($B$9*SUM(AC1698:OFFSET(AC1698,$B$7-1,0))/($B$7-1))</f>
        <v>#DIV/0!</v>
      </c>
      <c r="AG1698" s="34" t="e">
        <f ca="1">SQRT($B$9*SUM(AC1698:OFFSET(AC1698,$B$8-1,0))/($B$8-1))</f>
        <v>#DIV/0!</v>
      </c>
      <c r="AI1698" s="1" t="e">
        <f t="shared" si="141"/>
        <v>#DIV/0!</v>
      </c>
      <c r="AJ1698" s="4" t="e">
        <f ca="1">SQRT($B$9)*_xlfn.STDEV.S(AI1698:OFFSET(AI1698,$B$5-1,0))</f>
        <v>#DIV/0!</v>
      </c>
      <c r="AK1698" s="4" t="e">
        <f ca="1">SQRT($B$9)*_xlfn.STDEV.S(AI1698:OFFSET(AI1698,$B$6-1,0))</f>
        <v>#DIV/0!</v>
      </c>
      <c r="AL1698" s="4" t="e">
        <f ca="1">SQRT($B$9)*_xlfn.STDEV.S(AI1698:OFFSET(AI1698,$B$7-1,0))</f>
        <v>#DIV/0!</v>
      </c>
      <c r="AM1698" s="4" t="e">
        <f ca="1">SQRT($B$9)*_xlfn.STDEV.S(AI1698:OFFSET(AI1698,$B$8-1,0))</f>
        <v>#DIV/0!</v>
      </c>
    </row>
    <row r="1699" spans="11:39" x14ac:dyDescent="0.2">
      <c r="K1699" s="3" t="e">
        <f t="shared" si="139"/>
        <v>#DIV/0!</v>
      </c>
      <c r="L1699" s="3" t="e">
        <f ca="1">SQRT(AVERAGE(K1699:OFFSET(K1699,$B$5-1,0))*$B$9/(4*LN(2)))</f>
        <v>#DIV/0!</v>
      </c>
      <c r="M1699" s="3" t="e">
        <f ca="1">SQRT(AVERAGE(K1699:OFFSET(K1699,$B$6-1,0))*$B$9/(4*LN(2)))</f>
        <v>#DIV/0!</v>
      </c>
      <c r="N1699" s="3" t="e">
        <f ca="1">SQRT(AVERAGE(K1699:OFFSET(K1699,$B$7-1,0))*$B$9/(4*LN(2)))</f>
        <v>#DIV/0!</v>
      </c>
      <c r="O1699" s="3" t="e">
        <f ca="1">SQRT(AVERAGE(K1699:OFFSET(K1699,$B$8-1,0))*$B$9/(4*LN(2)))</f>
        <v>#DIV/0!</v>
      </c>
      <c r="Q1699" s="5" t="e">
        <f t="shared" si="138"/>
        <v>#DIV/0!</v>
      </c>
      <c r="R1699" s="5" t="e">
        <f ca="1">SQRT($B$9*AVERAGE((Q1699:OFFSET(Q1699,$B$5-1,0))))</f>
        <v>#DIV/0!</v>
      </c>
      <c r="S1699" s="5" t="e">
        <f ca="1">SQRT($B$9*AVERAGE((Q1699:OFFSET(Q1699,$B$6-1,0))))</f>
        <v>#DIV/0!</v>
      </c>
      <c r="T1699" s="5" t="e">
        <f ca="1">SQRT($B$9*AVERAGE((Q1699:OFFSET(Q1699,$B$7-1,0))))</f>
        <v>#DIV/0!</v>
      </c>
      <c r="U1699" s="5" t="e">
        <f ca="1">SQRT($B$9*AVERAGE((Q1699:OFFSET(Q1699,$B$8-1,0))))</f>
        <v>#DIV/0!</v>
      </c>
      <c r="W1699" s="6" t="e">
        <f t="shared" si="137"/>
        <v>#DIV/0!</v>
      </c>
      <c r="X1699" s="6" t="e">
        <f ca="1">SQRT($B$9*AVERAGE(W1699:OFFSET(W1699,$B$5-1,0)))</f>
        <v>#DIV/0!</v>
      </c>
      <c r="Y1699" s="6" t="e">
        <f ca="1">SQRT($B$9*AVERAGE(W1699:OFFSET(W1699,$B$6-1,0)))</f>
        <v>#DIV/0!</v>
      </c>
      <c r="Z1699" s="6" t="e">
        <f ca="1">SQRT($B$9*AVERAGE(W1699:OFFSET(W1699,$B$7-1,0)))</f>
        <v>#DIV/0!</v>
      </c>
      <c r="AA1699" s="6" t="e">
        <f ca="1">SQRT($B$9*AVERAGE(W1699:OFFSET(W1699,$B$8-1,0)))</f>
        <v>#DIV/0!</v>
      </c>
      <c r="AC1699" s="34" t="e">
        <f t="shared" si="140"/>
        <v>#DIV/0!</v>
      </c>
      <c r="AD1699" s="34" t="e">
        <f ca="1">SQRT($B$9*SUM(AC1699:OFFSET(AC1699,$B$5-1,0))/($B$5-1))</f>
        <v>#DIV/0!</v>
      </c>
      <c r="AE1699" s="34" t="e">
        <f ca="1">SQRT($B$9*SUM(AC1699:OFFSET(AC1699,$B$6-1,0))/($B$6-1))</f>
        <v>#DIV/0!</v>
      </c>
      <c r="AF1699" s="34" t="e">
        <f ca="1">SQRT($B$9*SUM(AC1699:OFFSET(AC1699,$B$7-1,0))/($B$7-1))</f>
        <v>#DIV/0!</v>
      </c>
      <c r="AG1699" s="34" t="e">
        <f ca="1">SQRT($B$9*SUM(AC1699:OFFSET(AC1699,$B$8-1,0))/($B$8-1))</f>
        <v>#DIV/0!</v>
      </c>
      <c r="AI1699" s="1" t="e">
        <f t="shared" si="141"/>
        <v>#DIV/0!</v>
      </c>
      <c r="AJ1699" s="4" t="e">
        <f ca="1">SQRT($B$9)*_xlfn.STDEV.S(AI1699:OFFSET(AI1699,$B$5-1,0))</f>
        <v>#DIV/0!</v>
      </c>
      <c r="AK1699" s="4" t="e">
        <f ca="1">SQRT($B$9)*_xlfn.STDEV.S(AI1699:OFFSET(AI1699,$B$6-1,0))</f>
        <v>#DIV/0!</v>
      </c>
      <c r="AL1699" s="4" t="e">
        <f ca="1">SQRT($B$9)*_xlfn.STDEV.S(AI1699:OFFSET(AI1699,$B$7-1,0))</f>
        <v>#DIV/0!</v>
      </c>
      <c r="AM1699" s="4" t="e">
        <f ca="1">SQRT($B$9)*_xlfn.STDEV.S(AI1699:OFFSET(AI1699,$B$8-1,0))</f>
        <v>#DIV/0!</v>
      </c>
    </row>
    <row r="1700" spans="11:39" x14ac:dyDescent="0.2">
      <c r="K1700" s="3" t="e">
        <f t="shared" si="139"/>
        <v>#DIV/0!</v>
      </c>
      <c r="L1700" s="3" t="e">
        <f ca="1">SQRT(AVERAGE(K1700:OFFSET(K1700,$B$5-1,0))*$B$9/(4*LN(2)))</f>
        <v>#DIV/0!</v>
      </c>
      <c r="M1700" s="3" t="e">
        <f ca="1">SQRT(AVERAGE(K1700:OFFSET(K1700,$B$6-1,0))*$B$9/(4*LN(2)))</f>
        <v>#DIV/0!</v>
      </c>
      <c r="N1700" s="3" t="e">
        <f ca="1">SQRT(AVERAGE(K1700:OFFSET(K1700,$B$7-1,0))*$B$9/(4*LN(2)))</f>
        <v>#DIV/0!</v>
      </c>
      <c r="O1700" s="3" t="e">
        <f ca="1">SQRT(AVERAGE(K1700:OFFSET(K1700,$B$8-1,0))*$B$9/(4*LN(2)))</f>
        <v>#DIV/0!</v>
      </c>
      <c r="Q1700" s="5" t="e">
        <f t="shared" si="138"/>
        <v>#DIV/0!</v>
      </c>
      <c r="R1700" s="5" t="e">
        <f ca="1">SQRT($B$9*AVERAGE((Q1700:OFFSET(Q1700,$B$5-1,0))))</f>
        <v>#DIV/0!</v>
      </c>
      <c r="S1700" s="5" t="e">
        <f ca="1">SQRT($B$9*AVERAGE((Q1700:OFFSET(Q1700,$B$6-1,0))))</f>
        <v>#DIV/0!</v>
      </c>
      <c r="T1700" s="5" t="e">
        <f ca="1">SQRT($B$9*AVERAGE((Q1700:OFFSET(Q1700,$B$7-1,0))))</f>
        <v>#DIV/0!</v>
      </c>
      <c r="U1700" s="5" t="e">
        <f ca="1">SQRT($B$9*AVERAGE((Q1700:OFFSET(Q1700,$B$8-1,0))))</f>
        <v>#DIV/0!</v>
      </c>
      <c r="W1700" s="6" t="e">
        <f t="shared" si="137"/>
        <v>#DIV/0!</v>
      </c>
      <c r="X1700" s="6" t="e">
        <f ca="1">SQRT($B$9*AVERAGE(W1700:OFFSET(W1700,$B$5-1,0)))</f>
        <v>#DIV/0!</v>
      </c>
      <c r="Y1700" s="6" t="e">
        <f ca="1">SQRT($B$9*AVERAGE(W1700:OFFSET(W1700,$B$6-1,0)))</f>
        <v>#DIV/0!</v>
      </c>
      <c r="Z1700" s="6" t="e">
        <f ca="1">SQRT($B$9*AVERAGE(W1700:OFFSET(W1700,$B$7-1,0)))</f>
        <v>#DIV/0!</v>
      </c>
      <c r="AA1700" s="6" t="e">
        <f ca="1">SQRT($B$9*AVERAGE(W1700:OFFSET(W1700,$B$8-1,0)))</f>
        <v>#DIV/0!</v>
      </c>
      <c r="AC1700" s="34" t="e">
        <f t="shared" si="140"/>
        <v>#DIV/0!</v>
      </c>
      <c r="AD1700" s="34" t="e">
        <f ca="1">SQRT($B$9*SUM(AC1700:OFFSET(AC1700,$B$5-1,0))/($B$5-1))</f>
        <v>#DIV/0!</v>
      </c>
      <c r="AE1700" s="34" t="e">
        <f ca="1">SQRT($B$9*SUM(AC1700:OFFSET(AC1700,$B$6-1,0))/($B$6-1))</f>
        <v>#DIV/0!</v>
      </c>
      <c r="AF1700" s="34" t="e">
        <f ca="1">SQRT($B$9*SUM(AC1700:OFFSET(AC1700,$B$7-1,0))/($B$7-1))</f>
        <v>#DIV/0!</v>
      </c>
      <c r="AG1700" s="34" t="e">
        <f ca="1">SQRT($B$9*SUM(AC1700:OFFSET(AC1700,$B$8-1,0))/($B$8-1))</f>
        <v>#DIV/0!</v>
      </c>
      <c r="AI1700" s="1" t="e">
        <f t="shared" si="141"/>
        <v>#DIV/0!</v>
      </c>
      <c r="AJ1700" s="4" t="e">
        <f ca="1">SQRT($B$9)*_xlfn.STDEV.S(AI1700:OFFSET(AI1700,$B$5-1,0))</f>
        <v>#DIV/0!</v>
      </c>
      <c r="AK1700" s="4" t="e">
        <f ca="1">SQRT($B$9)*_xlfn.STDEV.S(AI1700:OFFSET(AI1700,$B$6-1,0))</f>
        <v>#DIV/0!</v>
      </c>
      <c r="AL1700" s="4" t="e">
        <f ca="1">SQRT($B$9)*_xlfn.STDEV.S(AI1700:OFFSET(AI1700,$B$7-1,0))</f>
        <v>#DIV/0!</v>
      </c>
      <c r="AM1700" s="4" t="e">
        <f ca="1">SQRT($B$9)*_xlfn.STDEV.S(AI1700:OFFSET(AI1700,$B$8-1,0))</f>
        <v>#DIV/0!</v>
      </c>
    </row>
    <row r="1701" spans="11:39" x14ac:dyDescent="0.2">
      <c r="K1701" s="3" t="e">
        <f t="shared" si="139"/>
        <v>#DIV/0!</v>
      </c>
      <c r="L1701" s="3" t="e">
        <f ca="1">SQRT(AVERAGE(K1701:OFFSET(K1701,$B$5-1,0))*$B$9/(4*LN(2)))</f>
        <v>#DIV/0!</v>
      </c>
      <c r="M1701" s="3" t="e">
        <f ca="1">SQRT(AVERAGE(K1701:OFFSET(K1701,$B$6-1,0))*$B$9/(4*LN(2)))</f>
        <v>#DIV/0!</v>
      </c>
      <c r="N1701" s="3" t="e">
        <f ca="1">SQRT(AVERAGE(K1701:OFFSET(K1701,$B$7-1,0))*$B$9/(4*LN(2)))</f>
        <v>#DIV/0!</v>
      </c>
      <c r="O1701" s="3" t="e">
        <f ca="1">SQRT(AVERAGE(K1701:OFFSET(K1701,$B$8-1,0))*$B$9/(4*LN(2)))</f>
        <v>#DIV/0!</v>
      </c>
      <c r="Q1701" s="5" t="e">
        <f t="shared" si="138"/>
        <v>#DIV/0!</v>
      </c>
      <c r="R1701" s="5" t="e">
        <f ca="1">SQRT($B$9*AVERAGE((Q1701:OFFSET(Q1701,$B$5-1,0))))</f>
        <v>#DIV/0!</v>
      </c>
      <c r="S1701" s="5" t="e">
        <f ca="1">SQRT($B$9*AVERAGE((Q1701:OFFSET(Q1701,$B$6-1,0))))</f>
        <v>#DIV/0!</v>
      </c>
      <c r="T1701" s="5" t="e">
        <f ca="1">SQRT($B$9*AVERAGE((Q1701:OFFSET(Q1701,$B$7-1,0))))</f>
        <v>#DIV/0!</v>
      </c>
      <c r="U1701" s="5" t="e">
        <f ca="1">SQRT($B$9*AVERAGE((Q1701:OFFSET(Q1701,$B$8-1,0))))</f>
        <v>#DIV/0!</v>
      </c>
      <c r="W1701" s="6" t="e">
        <f t="shared" si="137"/>
        <v>#DIV/0!</v>
      </c>
      <c r="X1701" s="6" t="e">
        <f ca="1">SQRT($B$9*AVERAGE(W1701:OFFSET(W1701,$B$5-1,0)))</f>
        <v>#DIV/0!</v>
      </c>
      <c r="Y1701" s="6" t="e">
        <f ca="1">SQRT($B$9*AVERAGE(W1701:OFFSET(W1701,$B$6-1,0)))</f>
        <v>#DIV/0!</v>
      </c>
      <c r="Z1701" s="6" t="e">
        <f ca="1">SQRT($B$9*AVERAGE(W1701:OFFSET(W1701,$B$7-1,0)))</f>
        <v>#DIV/0!</v>
      </c>
      <c r="AA1701" s="6" t="e">
        <f ca="1">SQRT($B$9*AVERAGE(W1701:OFFSET(W1701,$B$8-1,0)))</f>
        <v>#DIV/0!</v>
      </c>
      <c r="AC1701" s="34" t="e">
        <f t="shared" si="140"/>
        <v>#DIV/0!</v>
      </c>
      <c r="AD1701" s="34" t="e">
        <f ca="1">SQRT($B$9*SUM(AC1701:OFFSET(AC1701,$B$5-1,0))/($B$5-1))</f>
        <v>#DIV/0!</v>
      </c>
      <c r="AE1701" s="34" t="e">
        <f ca="1">SQRT($B$9*SUM(AC1701:OFFSET(AC1701,$B$6-1,0))/($B$6-1))</f>
        <v>#DIV/0!</v>
      </c>
      <c r="AF1701" s="34" t="e">
        <f ca="1">SQRT($B$9*SUM(AC1701:OFFSET(AC1701,$B$7-1,0))/($B$7-1))</f>
        <v>#DIV/0!</v>
      </c>
      <c r="AG1701" s="34" t="e">
        <f ca="1">SQRT($B$9*SUM(AC1701:OFFSET(AC1701,$B$8-1,0))/($B$8-1))</f>
        <v>#DIV/0!</v>
      </c>
      <c r="AI1701" s="1" t="e">
        <f t="shared" si="141"/>
        <v>#DIV/0!</v>
      </c>
      <c r="AJ1701" s="4" t="e">
        <f ca="1">SQRT($B$9)*_xlfn.STDEV.S(AI1701:OFFSET(AI1701,$B$5-1,0))</f>
        <v>#DIV/0!</v>
      </c>
      <c r="AK1701" s="4" t="e">
        <f ca="1">SQRT($B$9)*_xlfn.STDEV.S(AI1701:OFFSET(AI1701,$B$6-1,0))</f>
        <v>#DIV/0!</v>
      </c>
      <c r="AL1701" s="4" t="e">
        <f ca="1">SQRT($B$9)*_xlfn.STDEV.S(AI1701:OFFSET(AI1701,$B$7-1,0))</f>
        <v>#DIV/0!</v>
      </c>
      <c r="AM1701" s="4" t="e">
        <f ca="1">SQRT($B$9)*_xlfn.STDEV.S(AI1701:OFFSET(AI1701,$B$8-1,0))</f>
        <v>#DIV/0!</v>
      </c>
    </row>
    <row r="1702" spans="11:39" x14ac:dyDescent="0.2">
      <c r="K1702" s="3" t="e">
        <f t="shared" si="139"/>
        <v>#DIV/0!</v>
      </c>
      <c r="L1702" s="3" t="e">
        <f ca="1">SQRT(AVERAGE(K1702:OFFSET(K1702,$B$5-1,0))*$B$9/(4*LN(2)))</f>
        <v>#DIV/0!</v>
      </c>
      <c r="M1702" s="3" t="e">
        <f ca="1">SQRT(AVERAGE(K1702:OFFSET(K1702,$B$6-1,0))*$B$9/(4*LN(2)))</f>
        <v>#DIV/0!</v>
      </c>
      <c r="N1702" s="3" t="e">
        <f ca="1">SQRT(AVERAGE(K1702:OFFSET(K1702,$B$7-1,0))*$B$9/(4*LN(2)))</f>
        <v>#DIV/0!</v>
      </c>
      <c r="O1702" s="3" t="e">
        <f ca="1">SQRT(AVERAGE(K1702:OFFSET(K1702,$B$8-1,0))*$B$9/(4*LN(2)))</f>
        <v>#DIV/0!</v>
      </c>
      <c r="Q1702" s="5" t="e">
        <f t="shared" si="138"/>
        <v>#DIV/0!</v>
      </c>
      <c r="R1702" s="5" t="e">
        <f ca="1">SQRT($B$9*AVERAGE((Q1702:OFFSET(Q1702,$B$5-1,0))))</f>
        <v>#DIV/0!</v>
      </c>
      <c r="S1702" s="5" t="e">
        <f ca="1">SQRT($B$9*AVERAGE((Q1702:OFFSET(Q1702,$B$6-1,0))))</f>
        <v>#DIV/0!</v>
      </c>
      <c r="T1702" s="5" t="e">
        <f ca="1">SQRT($B$9*AVERAGE((Q1702:OFFSET(Q1702,$B$7-1,0))))</f>
        <v>#DIV/0!</v>
      </c>
      <c r="U1702" s="5" t="e">
        <f ca="1">SQRT($B$9*AVERAGE((Q1702:OFFSET(Q1702,$B$8-1,0))))</f>
        <v>#DIV/0!</v>
      </c>
      <c r="W1702" s="6" t="e">
        <f t="shared" si="137"/>
        <v>#DIV/0!</v>
      </c>
      <c r="X1702" s="6" t="e">
        <f ca="1">SQRT($B$9*AVERAGE(W1702:OFFSET(W1702,$B$5-1,0)))</f>
        <v>#DIV/0!</v>
      </c>
      <c r="Y1702" s="6" t="e">
        <f ca="1">SQRT($B$9*AVERAGE(W1702:OFFSET(W1702,$B$6-1,0)))</f>
        <v>#DIV/0!</v>
      </c>
      <c r="Z1702" s="6" t="e">
        <f ca="1">SQRT($B$9*AVERAGE(W1702:OFFSET(W1702,$B$7-1,0)))</f>
        <v>#DIV/0!</v>
      </c>
      <c r="AA1702" s="6" t="e">
        <f ca="1">SQRT($B$9*AVERAGE(W1702:OFFSET(W1702,$B$8-1,0)))</f>
        <v>#DIV/0!</v>
      </c>
      <c r="AC1702" s="34" t="e">
        <f t="shared" si="140"/>
        <v>#DIV/0!</v>
      </c>
      <c r="AD1702" s="34" t="e">
        <f ca="1">SQRT($B$9*SUM(AC1702:OFFSET(AC1702,$B$5-1,0))/($B$5-1))</f>
        <v>#DIV/0!</v>
      </c>
      <c r="AE1702" s="34" t="e">
        <f ca="1">SQRT($B$9*SUM(AC1702:OFFSET(AC1702,$B$6-1,0))/($B$6-1))</f>
        <v>#DIV/0!</v>
      </c>
      <c r="AF1702" s="34" t="e">
        <f ca="1">SQRT($B$9*SUM(AC1702:OFFSET(AC1702,$B$7-1,0))/($B$7-1))</f>
        <v>#DIV/0!</v>
      </c>
      <c r="AG1702" s="34" t="e">
        <f ca="1">SQRT($B$9*SUM(AC1702:OFFSET(AC1702,$B$8-1,0))/($B$8-1))</f>
        <v>#DIV/0!</v>
      </c>
      <c r="AI1702" s="1" t="e">
        <f t="shared" si="141"/>
        <v>#DIV/0!</v>
      </c>
      <c r="AJ1702" s="4" t="e">
        <f ca="1">SQRT($B$9)*_xlfn.STDEV.S(AI1702:OFFSET(AI1702,$B$5-1,0))</f>
        <v>#DIV/0!</v>
      </c>
      <c r="AK1702" s="4" t="e">
        <f ca="1">SQRT($B$9)*_xlfn.STDEV.S(AI1702:OFFSET(AI1702,$B$6-1,0))</f>
        <v>#DIV/0!</v>
      </c>
      <c r="AL1702" s="4" t="e">
        <f ca="1">SQRT($B$9)*_xlfn.STDEV.S(AI1702:OFFSET(AI1702,$B$7-1,0))</f>
        <v>#DIV/0!</v>
      </c>
      <c r="AM1702" s="4" t="e">
        <f ca="1">SQRT($B$9)*_xlfn.STDEV.S(AI1702:OFFSET(AI1702,$B$8-1,0))</f>
        <v>#DIV/0!</v>
      </c>
    </row>
    <row r="1703" spans="11:39" x14ac:dyDescent="0.2">
      <c r="K1703" s="3" t="e">
        <f t="shared" si="139"/>
        <v>#DIV/0!</v>
      </c>
      <c r="L1703" s="3" t="e">
        <f ca="1">SQRT(AVERAGE(K1703:OFFSET(K1703,$B$5-1,0))*$B$9/(4*LN(2)))</f>
        <v>#DIV/0!</v>
      </c>
      <c r="M1703" s="3" t="e">
        <f ca="1">SQRT(AVERAGE(K1703:OFFSET(K1703,$B$6-1,0))*$B$9/(4*LN(2)))</f>
        <v>#DIV/0!</v>
      </c>
      <c r="N1703" s="3" t="e">
        <f ca="1">SQRT(AVERAGE(K1703:OFFSET(K1703,$B$7-1,0))*$B$9/(4*LN(2)))</f>
        <v>#DIV/0!</v>
      </c>
      <c r="O1703" s="3" t="e">
        <f ca="1">SQRT(AVERAGE(K1703:OFFSET(K1703,$B$8-1,0))*$B$9/(4*LN(2)))</f>
        <v>#DIV/0!</v>
      </c>
      <c r="Q1703" s="5" t="e">
        <f t="shared" si="138"/>
        <v>#DIV/0!</v>
      </c>
      <c r="R1703" s="5" t="e">
        <f ca="1">SQRT($B$9*AVERAGE((Q1703:OFFSET(Q1703,$B$5-1,0))))</f>
        <v>#DIV/0!</v>
      </c>
      <c r="S1703" s="5" t="e">
        <f ca="1">SQRT($B$9*AVERAGE((Q1703:OFFSET(Q1703,$B$6-1,0))))</f>
        <v>#DIV/0!</v>
      </c>
      <c r="T1703" s="5" t="e">
        <f ca="1">SQRT($B$9*AVERAGE((Q1703:OFFSET(Q1703,$B$7-1,0))))</f>
        <v>#DIV/0!</v>
      </c>
      <c r="U1703" s="5" t="e">
        <f ca="1">SQRT($B$9*AVERAGE((Q1703:OFFSET(Q1703,$B$8-1,0))))</f>
        <v>#DIV/0!</v>
      </c>
      <c r="W1703" s="6" t="e">
        <f t="shared" ref="W1703:W1766" si="142">LN(G1703/I1703)*LN(G1703/F1703)+LN(H1703/I1703)*LN(H1703/F1703)</f>
        <v>#DIV/0!</v>
      </c>
      <c r="X1703" s="6" t="e">
        <f ca="1">SQRT($B$9*AVERAGE(W1703:OFFSET(W1703,$B$5-1,0)))</f>
        <v>#DIV/0!</v>
      </c>
      <c r="Y1703" s="6" t="e">
        <f ca="1">SQRT($B$9*AVERAGE(W1703:OFFSET(W1703,$B$6-1,0)))</f>
        <v>#DIV/0!</v>
      </c>
      <c r="Z1703" s="6" t="e">
        <f ca="1">SQRT($B$9*AVERAGE(W1703:OFFSET(W1703,$B$7-1,0)))</f>
        <v>#DIV/0!</v>
      </c>
      <c r="AA1703" s="6" t="e">
        <f ca="1">SQRT($B$9*AVERAGE(W1703:OFFSET(W1703,$B$8-1,0)))</f>
        <v>#DIV/0!</v>
      </c>
      <c r="AC1703" s="34" t="e">
        <f t="shared" si="140"/>
        <v>#DIV/0!</v>
      </c>
      <c r="AD1703" s="34" t="e">
        <f ca="1">SQRT($B$9*SUM(AC1703:OFFSET(AC1703,$B$5-1,0))/($B$5-1))</f>
        <v>#DIV/0!</v>
      </c>
      <c r="AE1703" s="34" t="e">
        <f ca="1">SQRT($B$9*SUM(AC1703:OFFSET(AC1703,$B$6-1,0))/($B$6-1))</f>
        <v>#DIV/0!</v>
      </c>
      <c r="AF1703" s="34" t="e">
        <f ca="1">SQRT($B$9*SUM(AC1703:OFFSET(AC1703,$B$7-1,0))/($B$7-1))</f>
        <v>#DIV/0!</v>
      </c>
      <c r="AG1703" s="34" t="e">
        <f ca="1">SQRT($B$9*SUM(AC1703:OFFSET(AC1703,$B$8-1,0))/($B$8-1))</f>
        <v>#DIV/0!</v>
      </c>
      <c r="AI1703" s="1" t="e">
        <f t="shared" si="141"/>
        <v>#DIV/0!</v>
      </c>
      <c r="AJ1703" s="4" t="e">
        <f ca="1">SQRT($B$9)*_xlfn.STDEV.S(AI1703:OFFSET(AI1703,$B$5-1,0))</f>
        <v>#DIV/0!</v>
      </c>
      <c r="AK1703" s="4" t="e">
        <f ca="1">SQRT($B$9)*_xlfn.STDEV.S(AI1703:OFFSET(AI1703,$B$6-1,0))</f>
        <v>#DIV/0!</v>
      </c>
      <c r="AL1703" s="4" t="e">
        <f ca="1">SQRT($B$9)*_xlfn.STDEV.S(AI1703:OFFSET(AI1703,$B$7-1,0))</f>
        <v>#DIV/0!</v>
      </c>
      <c r="AM1703" s="4" t="e">
        <f ca="1">SQRT($B$9)*_xlfn.STDEV.S(AI1703:OFFSET(AI1703,$B$8-1,0))</f>
        <v>#DIV/0!</v>
      </c>
    </row>
    <row r="1704" spans="11:39" x14ac:dyDescent="0.2">
      <c r="K1704" s="3" t="e">
        <f t="shared" si="139"/>
        <v>#DIV/0!</v>
      </c>
      <c r="L1704" s="3" t="e">
        <f ca="1">SQRT(AVERAGE(K1704:OFFSET(K1704,$B$5-1,0))*$B$9/(4*LN(2)))</f>
        <v>#DIV/0!</v>
      </c>
      <c r="M1704" s="3" t="e">
        <f ca="1">SQRT(AVERAGE(K1704:OFFSET(K1704,$B$6-1,0))*$B$9/(4*LN(2)))</f>
        <v>#DIV/0!</v>
      </c>
      <c r="N1704" s="3" t="e">
        <f ca="1">SQRT(AVERAGE(K1704:OFFSET(K1704,$B$7-1,0))*$B$9/(4*LN(2)))</f>
        <v>#DIV/0!</v>
      </c>
      <c r="O1704" s="3" t="e">
        <f ca="1">SQRT(AVERAGE(K1704:OFFSET(K1704,$B$8-1,0))*$B$9/(4*LN(2)))</f>
        <v>#DIV/0!</v>
      </c>
      <c r="Q1704" s="5" t="e">
        <f t="shared" si="138"/>
        <v>#DIV/0!</v>
      </c>
      <c r="R1704" s="5" t="e">
        <f ca="1">SQRT($B$9*AVERAGE((Q1704:OFFSET(Q1704,$B$5-1,0))))</f>
        <v>#DIV/0!</v>
      </c>
      <c r="S1704" s="5" t="e">
        <f ca="1">SQRT($B$9*AVERAGE((Q1704:OFFSET(Q1704,$B$6-1,0))))</f>
        <v>#DIV/0!</v>
      </c>
      <c r="T1704" s="5" t="e">
        <f ca="1">SQRT($B$9*AVERAGE((Q1704:OFFSET(Q1704,$B$7-1,0))))</f>
        <v>#DIV/0!</v>
      </c>
      <c r="U1704" s="5" t="e">
        <f ca="1">SQRT($B$9*AVERAGE((Q1704:OFFSET(Q1704,$B$8-1,0))))</f>
        <v>#DIV/0!</v>
      </c>
      <c r="W1704" s="6" t="e">
        <f t="shared" si="142"/>
        <v>#DIV/0!</v>
      </c>
      <c r="X1704" s="6" t="e">
        <f ca="1">SQRT($B$9*AVERAGE(W1704:OFFSET(W1704,$B$5-1,0)))</f>
        <v>#DIV/0!</v>
      </c>
      <c r="Y1704" s="6" t="e">
        <f ca="1">SQRT($B$9*AVERAGE(W1704:OFFSET(W1704,$B$6-1,0)))</f>
        <v>#DIV/0!</v>
      </c>
      <c r="Z1704" s="6" t="e">
        <f ca="1">SQRT($B$9*AVERAGE(W1704:OFFSET(W1704,$B$7-1,0)))</f>
        <v>#DIV/0!</v>
      </c>
      <c r="AA1704" s="6" t="e">
        <f ca="1">SQRT($B$9*AVERAGE(W1704:OFFSET(W1704,$B$8-1,0)))</f>
        <v>#DIV/0!</v>
      </c>
      <c r="AC1704" s="34" t="e">
        <f t="shared" si="140"/>
        <v>#DIV/0!</v>
      </c>
      <c r="AD1704" s="34" t="e">
        <f ca="1">SQRT($B$9*SUM(AC1704:OFFSET(AC1704,$B$5-1,0))/($B$5-1))</f>
        <v>#DIV/0!</v>
      </c>
      <c r="AE1704" s="34" t="e">
        <f ca="1">SQRT($B$9*SUM(AC1704:OFFSET(AC1704,$B$6-1,0))/($B$6-1))</f>
        <v>#DIV/0!</v>
      </c>
      <c r="AF1704" s="34" t="e">
        <f ca="1">SQRT($B$9*SUM(AC1704:OFFSET(AC1704,$B$7-1,0))/($B$7-1))</f>
        <v>#DIV/0!</v>
      </c>
      <c r="AG1704" s="34" t="e">
        <f ca="1">SQRT($B$9*SUM(AC1704:OFFSET(AC1704,$B$8-1,0))/($B$8-1))</f>
        <v>#DIV/0!</v>
      </c>
      <c r="AI1704" s="1" t="e">
        <f t="shared" si="141"/>
        <v>#DIV/0!</v>
      </c>
      <c r="AJ1704" s="4" t="e">
        <f ca="1">SQRT($B$9)*_xlfn.STDEV.S(AI1704:OFFSET(AI1704,$B$5-1,0))</f>
        <v>#DIV/0!</v>
      </c>
      <c r="AK1704" s="4" t="e">
        <f ca="1">SQRT($B$9)*_xlfn.STDEV.S(AI1704:OFFSET(AI1704,$B$6-1,0))</f>
        <v>#DIV/0!</v>
      </c>
      <c r="AL1704" s="4" t="e">
        <f ca="1">SQRT($B$9)*_xlfn.STDEV.S(AI1704:OFFSET(AI1704,$B$7-1,0))</f>
        <v>#DIV/0!</v>
      </c>
      <c r="AM1704" s="4" t="e">
        <f ca="1">SQRT($B$9)*_xlfn.STDEV.S(AI1704:OFFSET(AI1704,$B$8-1,0))</f>
        <v>#DIV/0!</v>
      </c>
    </row>
    <row r="1705" spans="11:39" x14ac:dyDescent="0.2">
      <c r="K1705" s="3" t="e">
        <f t="shared" si="139"/>
        <v>#DIV/0!</v>
      </c>
      <c r="L1705" s="3" t="e">
        <f ca="1">SQRT(AVERAGE(K1705:OFFSET(K1705,$B$5-1,0))*$B$9/(4*LN(2)))</f>
        <v>#DIV/0!</v>
      </c>
      <c r="M1705" s="3" t="e">
        <f ca="1">SQRT(AVERAGE(K1705:OFFSET(K1705,$B$6-1,0))*$B$9/(4*LN(2)))</f>
        <v>#DIV/0!</v>
      </c>
      <c r="N1705" s="3" t="e">
        <f ca="1">SQRT(AVERAGE(K1705:OFFSET(K1705,$B$7-1,0))*$B$9/(4*LN(2)))</f>
        <v>#DIV/0!</v>
      </c>
      <c r="O1705" s="3" t="e">
        <f ca="1">SQRT(AVERAGE(K1705:OFFSET(K1705,$B$8-1,0))*$B$9/(4*LN(2)))</f>
        <v>#DIV/0!</v>
      </c>
      <c r="Q1705" s="5" t="e">
        <f t="shared" si="138"/>
        <v>#DIV/0!</v>
      </c>
      <c r="R1705" s="5" t="e">
        <f ca="1">SQRT($B$9*AVERAGE((Q1705:OFFSET(Q1705,$B$5-1,0))))</f>
        <v>#DIV/0!</v>
      </c>
      <c r="S1705" s="5" t="e">
        <f ca="1">SQRT($B$9*AVERAGE((Q1705:OFFSET(Q1705,$B$6-1,0))))</f>
        <v>#DIV/0!</v>
      </c>
      <c r="T1705" s="5" t="e">
        <f ca="1">SQRT($B$9*AVERAGE((Q1705:OFFSET(Q1705,$B$7-1,0))))</f>
        <v>#DIV/0!</v>
      </c>
      <c r="U1705" s="5" t="e">
        <f ca="1">SQRT($B$9*AVERAGE((Q1705:OFFSET(Q1705,$B$8-1,0))))</f>
        <v>#DIV/0!</v>
      </c>
      <c r="W1705" s="6" t="e">
        <f t="shared" si="142"/>
        <v>#DIV/0!</v>
      </c>
      <c r="X1705" s="6" t="e">
        <f ca="1">SQRT($B$9*AVERAGE(W1705:OFFSET(W1705,$B$5-1,0)))</f>
        <v>#DIV/0!</v>
      </c>
      <c r="Y1705" s="6" t="e">
        <f ca="1">SQRT($B$9*AVERAGE(W1705:OFFSET(W1705,$B$6-1,0)))</f>
        <v>#DIV/0!</v>
      </c>
      <c r="Z1705" s="6" t="e">
        <f ca="1">SQRT($B$9*AVERAGE(W1705:OFFSET(W1705,$B$7-1,0)))</f>
        <v>#DIV/0!</v>
      </c>
      <c r="AA1705" s="6" t="e">
        <f ca="1">SQRT($B$9*AVERAGE(W1705:OFFSET(W1705,$B$8-1,0)))</f>
        <v>#DIV/0!</v>
      </c>
      <c r="AC1705" s="34" t="e">
        <f t="shared" si="140"/>
        <v>#DIV/0!</v>
      </c>
      <c r="AD1705" s="34" t="e">
        <f ca="1">SQRT($B$9*SUM(AC1705:OFFSET(AC1705,$B$5-1,0))/($B$5-1))</f>
        <v>#DIV/0!</v>
      </c>
      <c r="AE1705" s="34" t="e">
        <f ca="1">SQRT($B$9*SUM(AC1705:OFFSET(AC1705,$B$6-1,0))/($B$6-1))</f>
        <v>#DIV/0!</v>
      </c>
      <c r="AF1705" s="34" t="e">
        <f ca="1">SQRT($B$9*SUM(AC1705:OFFSET(AC1705,$B$7-1,0))/($B$7-1))</f>
        <v>#DIV/0!</v>
      </c>
      <c r="AG1705" s="34" t="e">
        <f ca="1">SQRT($B$9*SUM(AC1705:OFFSET(AC1705,$B$8-1,0))/($B$8-1))</f>
        <v>#DIV/0!</v>
      </c>
      <c r="AI1705" s="1" t="e">
        <f t="shared" si="141"/>
        <v>#DIV/0!</v>
      </c>
      <c r="AJ1705" s="4" t="e">
        <f ca="1">SQRT($B$9)*_xlfn.STDEV.S(AI1705:OFFSET(AI1705,$B$5-1,0))</f>
        <v>#DIV/0!</v>
      </c>
      <c r="AK1705" s="4" t="e">
        <f ca="1">SQRT($B$9)*_xlfn.STDEV.S(AI1705:OFFSET(AI1705,$B$6-1,0))</f>
        <v>#DIV/0!</v>
      </c>
      <c r="AL1705" s="4" t="e">
        <f ca="1">SQRT($B$9)*_xlfn.STDEV.S(AI1705:OFFSET(AI1705,$B$7-1,0))</f>
        <v>#DIV/0!</v>
      </c>
      <c r="AM1705" s="4" t="e">
        <f ca="1">SQRT($B$9)*_xlfn.STDEV.S(AI1705:OFFSET(AI1705,$B$8-1,0))</f>
        <v>#DIV/0!</v>
      </c>
    </row>
    <row r="1706" spans="11:39" x14ac:dyDescent="0.2">
      <c r="K1706" s="3" t="e">
        <f t="shared" si="139"/>
        <v>#DIV/0!</v>
      </c>
      <c r="L1706" s="3" t="e">
        <f ca="1">SQRT(AVERAGE(K1706:OFFSET(K1706,$B$5-1,0))*$B$9/(4*LN(2)))</f>
        <v>#DIV/0!</v>
      </c>
      <c r="M1706" s="3" t="e">
        <f ca="1">SQRT(AVERAGE(K1706:OFFSET(K1706,$B$6-1,0))*$B$9/(4*LN(2)))</f>
        <v>#DIV/0!</v>
      </c>
      <c r="N1706" s="3" t="e">
        <f ca="1">SQRT(AVERAGE(K1706:OFFSET(K1706,$B$7-1,0))*$B$9/(4*LN(2)))</f>
        <v>#DIV/0!</v>
      </c>
      <c r="O1706" s="3" t="e">
        <f ca="1">SQRT(AVERAGE(K1706:OFFSET(K1706,$B$8-1,0))*$B$9/(4*LN(2)))</f>
        <v>#DIV/0!</v>
      </c>
      <c r="Q1706" s="5" t="e">
        <f t="shared" si="138"/>
        <v>#DIV/0!</v>
      </c>
      <c r="R1706" s="5" t="e">
        <f ca="1">SQRT($B$9*AVERAGE((Q1706:OFFSET(Q1706,$B$5-1,0))))</f>
        <v>#DIV/0!</v>
      </c>
      <c r="S1706" s="5" t="e">
        <f ca="1">SQRT($B$9*AVERAGE((Q1706:OFFSET(Q1706,$B$6-1,0))))</f>
        <v>#DIV/0!</v>
      </c>
      <c r="T1706" s="5" t="e">
        <f ca="1">SQRT($B$9*AVERAGE((Q1706:OFFSET(Q1706,$B$7-1,0))))</f>
        <v>#DIV/0!</v>
      </c>
      <c r="U1706" s="5" t="e">
        <f ca="1">SQRT($B$9*AVERAGE((Q1706:OFFSET(Q1706,$B$8-1,0))))</f>
        <v>#DIV/0!</v>
      </c>
      <c r="W1706" s="6" t="e">
        <f t="shared" si="142"/>
        <v>#DIV/0!</v>
      </c>
      <c r="X1706" s="6" t="e">
        <f ca="1">SQRT($B$9*AVERAGE(W1706:OFFSET(W1706,$B$5-1,0)))</f>
        <v>#DIV/0!</v>
      </c>
      <c r="Y1706" s="6" t="e">
        <f ca="1">SQRT($B$9*AVERAGE(W1706:OFFSET(W1706,$B$6-1,0)))</f>
        <v>#DIV/0!</v>
      </c>
      <c r="Z1706" s="6" t="e">
        <f ca="1">SQRT($B$9*AVERAGE(W1706:OFFSET(W1706,$B$7-1,0)))</f>
        <v>#DIV/0!</v>
      </c>
      <c r="AA1706" s="6" t="e">
        <f ca="1">SQRT($B$9*AVERAGE(W1706:OFFSET(W1706,$B$8-1,0)))</f>
        <v>#DIV/0!</v>
      </c>
      <c r="AC1706" s="34" t="e">
        <f t="shared" si="140"/>
        <v>#DIV/0!</v>
      </c>
      <c r="AD1706" s="34" t="e">
        <f ca="1">SQRT($B$9*SUM(AC1706:OFFSET(AC1706,$B$5-1,0))/($B$5-1))</f>
        <v>#DIV/0!</v>
      </c>
      <c r="AE1706" s="34" t="e">
        <f ca="1">SQRT($B$9*SUM(AC1706:OFFSET(AC1706,$B$6-1,0))/($B$6-1))</f>
        <v>#DIV/0!</v>
      </c>
      <c r="AF1706" s="34" t="e">
        <f ca="1">SQRT($B$9*SUM(AC1706:OFFSET(AC1706,$B$7-1,0))/($B$7-1))</f>
        <v>#DIV/0!</v>
      </c>
      <c r="AG1706" s="34" t="e">
        <f ca="1">SQRT($B$9*SUM(AC1706:OFFSET(AC1706,$B$8-1,0))/($B$8-1))</f>
        <v>#DIV/0!</v>
      </c>
      <c r="AI1706" s="1" t="e">
        <f t="shared" si="141"/>
        <v>#DIV/0!</v>
      </c>
      <c r="AJ1706" s="4" t="e">
        <f ca="1">SQRT($B$9)*_xlfn.STDEV.S(AI1706:OFFSET(AI1706,$B$5-1,0))</f>
        <v>#DIV/0!</v>
      </c>
      <c r="AK1706" s="4" t="e">
        <f ca="1">SQRT($B$9)*_xlfn.STDEV.S(AI1706:OFFSET(AI1706,$B$6-1,0))</f>
        <v>#DIV/0!</v>
      </c>
      <c r="AL1706" s="4" t="e">
        <f ca="1">SQRT($B$9)*_xlfn.STDEV.S(AI1706:OFFSET(AI1706,$B$7-1,0))</f>
        <v>#DIV/0!</v>
      </c>
      <c r="AM1706" s="4" t="e">
        <f ca="1">SQRT($B$9)*_xlfn.STDEV.S(AI1706:OFFSET(AI1706,$B$8-1,0))</f>
        <v>#DIV/0!</v>
      </c>
    </row>
    <row r="1707" spans="11:39" x14ac:dyDescent="0.2">
      <c r="K1707" s="3" t="e">
        <f t="shared" si="139"/>
        <v>#DIV/0!</v>
      </c>
      <c r="L1707" s="3" t="e">
        <f ca="1">SQRT(AVERAGE(K1707:OFFSET(K1707,$B$5-1,0))*$B$9/(4*LN(2)))</f>
        <v>#DIV/0!</v>
      </c>
      <c r="M1707" s="3" t="e">
        <f ca="1">SQRT(AVERAGE(K1707:OFFSET(K1707,$B$6-1,0))*$B$9/(4*LN(2)))</f>
        <v>#DIV/0!</v>
      </c>
      <c r="N1707" s="3" t="e">
        <f ca="1">SQRT(AVERAGE(K1707:OFFSET(K1707,$B$7-1,0))*$B$9/(4*LN(2)))</f>
        <v>#DIV/0!</v>
      </c>
      <c r="O1707" s="3" t="e">
        <f ca="1">SQRT(AVERAGE(K1707:OFFSET(K1707,$B$8-1,0))*$B$9/(4*LN(2)))</f>
        <v>#DIV/0!</v>
      </c>
      <c r="Q1707" s="5" t="e">
        <f t="shared" si="138"/>
        <v>#DIV/0!</v>
      </c>
      <c r="R1707" s="5" t="e">
        <f ca="1">SQRT($B$9*AVERAGE((Q1707:OFFSET(Q1707,$B$5-1,0))))</f>
        <v>#DIV/0!</v>
      </c>
      <c r="S1707" s="5" t="e">
        <f ca="1">SQRT($B$9*AVERAGE((Q1707:OFFSET(Q1707,$B$6-1,0))))</f>
        <v>#DIV/0!</v>
      </c>
      <c r="T1707" s="5" t="e">
        <f ca="1">SQRT($B$9*AVERAGE((Q1707:OFFSET(Q1707,$B$7-1,0))))</f>
        <v>#DIV/0!</v>
      </c>
      <c r="U1707" s="5" t="e">
        <f ca="1">SQRT($B$9*AVERAGE((Q1707:OFFSET(Q1707,$B$8-1,0))))</f>
        <v>#DIV/0!</v>
      </c>
      <c r="W1707" s="6" t="e">
        <f t="shared" si="142"/>
        <v>#DIV/0!</v>
      </c>
      <c r="X1707" s="6" t="e">
        <f ca="1">SQRT($B$9*AVERAGE(W1707:OFFSET(W1707,$B$5-1,0)))</f>
        <v>#DIV/0!</v>
      </c>
      <c r="Y1707" s="6" t="e">
        <f ca="1">SQRT($B$9*AVERAGE(W1707:OFFSET(W1707,$B$6-1,0)))</f>
        <v>#DIV/0!</v>
      </c>
      <c r="Z1707" s="6" t="e">
        <f ca="1">SQRT($B$9*AVERAGE(W1707:OFFSET(W1707,$B$7-1,0)))</f>
        <v>#DIV/0!</v>
      </c>
      <c r="AA1707" s="6" t="e">
        <f ca="1">SQRT($B$9*AVERAGE(W1707:OFFSET(W1707,$B$8-1,0)))</f>
        <v>#DIV/0!</v>
      </c>
      <c r="AC1707" s="34" t="e">
        <f t="shared" si="140"/>
        <v>#DIV/0!</v>
      </c>
      <c r="AD1707" s="34" t="e">
        <f ca="1">SQRT($B$9*SUM(AC1707:OFFSET(AC1707,$B$5-1,0))/($B$5-1))</f>
        <v>#DIV/0!</v>
      </c>
      <c r="AE1707" s="34" t="e">
        <f ca="1">SQRT($B$9*SUM(AC1707:OFFSET(AC1707,$B$6-1,0))/($B$6-1))</f>
        <v>#DIV/0!</v>
      </c>
      <c r="AF1707" s="34" t="e">
        <f ca="1">SQRT($B$9*SUM(AC1707:OFFSET(AC1707,$B$7-1,0))/($B$7-1))</f>
        <v>#DIV/0!</v>
      </c>
      <c r="AG1707" s="34" t="e">
        <f ca="1">SQRT($B$9*SUM(AC1707:OFFSET(AC1707,$B$8-1,0))/($B$8-1))</f>
        <v>#DIV/0!</v>
      </c>
      <c r="AI1707" s="1" t="e">
        <f t="shared" si="141"/>
        <v>#DIV/0!</v>
      </c>
      <c r="AJ1707" s="4" t="e">
        <f ca="1">SQRT($B$9)*_xlfn.STDEV.S(AI1707:OFFSET(AI1707,$B$5-1,0))</f>
        <v>#DIV/0!</v>
      </c>
      <c r="AK1707" s="4" t="e">
        <f ca="1">SQRT($B$9)*_xlfn.STDEV.S(AI1707:OFFSET(AI1707,$B$6-1,0))</f>
        <v>#DIV/0!</v>
      </c>
      <c r="AL1707" s="4" t="e">
        <f ca="1">SQRT($B$9)*_xlfn.STDEV.S(AI1707:OFFSET(AI1707,$B$7-1,0))</f>
        <v>#DIV/0!</v>
      </c>
      <c r="AM1707" s="4" t="e">
        <f ca="1">SQRT($B$9)*_xlfn.STDEV.S(AI1707:OFFSET(AI1707,$B$8-1,0))</f>
        <v>#DIV/0!</v>
      </c>
    </row>
    <row r="1708" spans="11:39" x14ac:dyDescent="0.2">
      <c r="K1708" s="3" t="e">
        <f t="shared" si="139"/>
        <v>#DIV/0!</v>
      </c>
      <c r="L1708" s="3" t="e">
        <f ca="1">SQRT(AVERAGE(K1708:OFFSET(K1708,$B$5-1,0))*$B$9/(4*LN(2)))</f>
        <v>#DIV/0!</v>
      </c>
      <c r="M1708" s="3" t="e">
        <f ca="1">SQRT(AVERAGE(K1708:OFFSET(K1708,$B$6-1,0))*$B$9/(4*LN(2)))</f>
        <v>#DIV/0!</v>
      </c>
      <c r="N1708" s="3" t="e">
        <f ca="1">SQRT(AVERAGE(K1708:OFFSET(K1708,$B$7-1,0))*$B$9/(4*LN(2)))</f>
        <v>#DIV/0!</v>
      </c>
      <c r="O1708" s="3" t="e">
        <f ca="1">SQRT(AVERAGE(K1708:OFFSET(K1708,$B$8-1,0))*$B$9/(4*LN(2)))</f>
        <v>#DIV/0!</v>
      </c>
      <c r="Q1708" s="5" t="e">
        <f t="shared" si="138"/>
        <v>#DIV/0!</v>
      </c>
      <c r="R1708" s="5" t="e">
        <f ca="1">SQRT($B$9*AVERAGE((Q1708:OFFSET(Q1708,$B$5-1,0))))</f>
        <v>#DIV/0!</v>
      </c>
      <c r="S1708" s="5" t="e">
        <f ca="1">SQRT($B$9*AVERAGE((Q1708:OFFSET(Q1708,$B$6-1,0))))</f>
        <v>#DIV/0!</v>
      </c>
      <c r="T1708" s="5" t="e">
        <f ca="1">SQRT($B$9*AVERAGE((Q1708:OFFSET(Q1708,$B$7-1,0))))</f>
        <v>#DIV/0!</v>
      </c>
      <c r="U1708" s="5" t="e">
        <f ca="1">SQRT($B$9*AVERAGE((Q1708:OFFSET(Q1708,$B$8-1,0))))</f>
        <v>#DIV/0!</v>
      </c>
      <c r="W1708" s="6" t="e">
        <f t="shared" si="142"/>
        <v>#DIV/0!</v>
      </c>
      <c r="X1708" s="6" t="e">
        <f ca="1">SQRT($B$9*AVERAGE(W1708:OFFSET(W1708,$B$5-1,0)))</f>
        <v>#DIV/0!</v>
      </c>
      <c r="Y1708" s="6" t="e">
        <f ca="1">SQRT($B$9*AVERAGE(W1708:OFFSET(W1708,$B$6-1,0)))</f>
        <v>#DIV/0!</v>
      </c>
      <c r="Z1708" s="6" t="e">
        <f ca="1">SQRT($B$9*AVERAGE(W1708:OFFSET(W1708,$B$7-1,0)))</f>
        <v>#DIV/0!</v>
      </c>
      <c r="AA1708" s="6" t="e">
        <f ca="1">SQRT($B$9*AVERAGE(W1708:OFFSET(W1708,$B$8-1,0)))</f>
        <v>#DIV/0!</v>
      </c>
      <c r="AC1708" s="34" t="e">
        <f t="shared" si="140"/>
        <v>#DIV/0!</v>
      </c>
      <c r="AD1708" s="34" t="e">
        <f ca="1">SQRT($B$9*SUM(AC1708:OFFSET(AC1708,$B$5-1,0))/($B$5-1))</f>
        <v>#DIV/0!</v>
      </c>
      <c r="AE1708" s="34" t="e">
        <f ca="1">SQRT($B$9*SUM(AC1708:OFFSET(AC1708,$B$6-1,0))/($B$6-1))</f>
        <v>#DIV/0!</v>
      </c>
      <c r="AF1708" s="34" t="e">
        <f ca="1">SQRT($B$9*SUM(AC1708:OFFSET(AC1708,$B$7-1,0))/($B$7-1))</f>
        <v>#DIV/0!</v>
      </c>
      <c r="AG1708" s="34" t="e">
        <f ca="1">SQRT($B$9*SUM(AC1708:OFFSET(AC1708,$B$8-1,0))/($B$8-1))</f>
        <v>#DIV/0!</v>
      </c>
      <c r="AI1708" s="1" t="e">
        <f t="shared" si="141"/>
        <v>#DIV/0!</v>
      </c>
      <c r="AJ1708" s="4" t="e">
        <f ca="1">SQRT($B$9)*_xlfn.STDEV.S(AI1708:OFFSET(AI1708,$B$5-1,0))</f>
        <v>#DIV/0!</v>
      </c>
      <c r="AK1708" s="4" t="e">
        <f ca="1">SQRT($B$9)*_xlfn.STDEV.S(AI1708:OFFSET(AI1708,$B$6-1,0))</f>
        <v>#DIV/0!</v>
      </c>
      <c r="AL1708" s="4" t="e">
        <f ca="1">SQRT($B$9)*_xlfn.STDEV.S(AI1708:OFFSET(AI1708,$B$7-1,0))</f>
        <v>#DIV/0!</v>
      </c>
      <c r="AM1708" s="4" t="e">
        <f ca="1">SQRT($B$9)*_xlfn.STDEV.S(AI1708:OFFSET(AI1708,$B$8-1,0))</f>
        <v>#DIV/0!</v>
      </c>
    </row>
    <row r="1709" spans="11:39" x14ac:dyDescent="0.2">
      <c r="K1709" s="3" t="e">
        <f t="shared" si="139"/>
        <v>#DIV/0!</v>
      </c>
      <c r="L1709" s="3" t="e">
        <f ca="1">SQRT(AVERAGE(K1709:OFFSET(K1709,$B$5-1,0))*$B$9/(4*LN(2)))</f>
        <v>#DIV/0!</v>
      </c>
      <c r="M1709" s="3" t="e">
        <f ca="1">SQRT(AVERAGE(K1709:OFFSET(K1709,$B$6-1,0))*$B$9/(4*LN(2)))</f>
        <v>#DIV/0!</v>
      </c>
      <c r="N1709" s="3" t="e">
        <f ca="1">SQRT(AVERAGE(K1709:OFFSET(K1709,$B$7-1,0))*$B$9/(4*LN(2)))</f>
        <v>#DIV/0!</v>
      </c>
      <c r="O1709" s="3" t="e">
        <f ca="1">SQRT(AVERAGE(K1709:OFFSET(K1709,$B$8-1,0))*$B$9/(4*LN(2)))</f>
        <v>#DIV/0!</v>
      </c>
      <c r="Q1709" s="5" t="e">
        <f t="shared" si="138"/>
        <v>#DIV/0!</v>
      </c>
      <c r="R1709" s="5" t="e">
        <f ca="1">SQRT($B$9*AVERAGE((Q1709:OFFSET(Q1709,$B$5-1,0))))</f>
        <v>#DIV/0!</v>
      </c>
      <c r="S1709" s="5" t="e">
        <f ca="1">SQRT($B$9*AVERAGE((Q1709:OFFSET(Q1709,$B$6-1,0))))</f>
        <v>#DIV/0!</v>
      </c>
      <c r="T1709" s="5" t="e">
        <f ca="1">SQRT($B$9*AVERAGE((Q1709:OFFSET(Q1709,$B$7-1,0))))</f>
        <v>#DIV/0!</v>
      </c>
      <c r="U1709" s="5" t="e">
        <f ca="1">SQRT($B$9*AVERAGE((Q1709:OFFSET(Q1709,$B$8-1,0))))</f>
        <v>#DIV/0!</v>
      </c>
      <c r="W1709" s="6" t="e">
        <f t="shared" si="142"/>
        <v>#DIV/0!</v>
      </c>
      <c r="X1709" s="6" t="e">
        <f ca="1">SQRT($B$9*AVERAGE(W1709:OFFSET(W1709,$B$5-1,0)))</f>
        <v>#DIV/0!</v>
      </c>
      <c r="Y1709" s="6" t="e">
        <f ca="1">SQRT($B$9*AVERAGE(W1709:OFFSET(W1709,$B$6-1,0)))</f>
        <v>#DIV/0!</v>
      </c>
      <c r="Z1709" s="6" t="e">
        <f ca="1">SQRT($B$9*AVERAGE(W1709:OFFSET(W1709,$B$7-1,0)))</f>
        <v>#DIV/0!</v>
      </c>
      <c r="AA1709" s="6" t="e">
        <f ca="1">SQRT($B$9*AVERAGE(W1709:OFFSET(W1709,$B$8-1,0)))</f>
        <v>#DIV/0!</v>
      </c>
      <c r="AC1709" s="34" t="e">
        <f t="shared" si="140"/>
        <v>#DIV/0!</v>
      </c>
      <c r="AD1709" s="34" t="e">
        <f ca="1">SQRT($B$9*SUM(AC1709:OFFSET(AC1709,$B$5-1,0))/($B$5-1))</f>
        <v>#DIV/0!</v>
      </c>
      <c r="AE1709" s="34" t="e">
        <f ca="1">SQRT($B$9*SUM(AC1709:OFFSET(AC1709,$B$6-1,0))/($B$6-1))</f>
        <v>#DIV/0!</v>
      </c>
      <c r="AF1709" s="34" t="e">
        <f ca="1">SQRT($B$9*SUM(AC1709:OFFSET(AC1709,$B$7-1,0))/($B$7-1))</f>
        <v>#DIV/0!</v>
      </c>
      <c r="AG1709" s="34" t="e">
        <f ca="1">SQRT($B$9*SUM(AC1709:OFFSET(AC1709,$B$8-1,0))/($B$8-1))</f>
        <v>#DIV/0!</v>
      </c>
      <c r="AI1709" s="1" t="e">
        <f t="shared" si="141"/>
        <v>#DIV/0!</v>
      </c>
      <c r="AJ1709" s="4" t="e">
        <f ca="1">SQRT($B$9)*_xlfn.STDEV.S(AI1709:OFFSET(AI1709,$B$5-1,0))</f>
        <v>#DIV/0!</v>
      </c>
      <c r="AK1709" s="4" t="e">
        <f ca="1">SQRT($B$9)*_xlfn.STDEV.S(AI1709:OFFSET(AI1709,$B$6-1,0))</f>
        <v>#DIV/0!</v>
      </c>
      <c r="AL1709" s="4" t="e">
        <f ca="1">SQRT($B$9)*_xlfn.STDEV.S(AI1709:OFFSET(AI1709,$B$7-1,0))</f>
        <v>#DIV/0!</v>
      </c>
      <c r="AM1709" s="4" t="e">
        <f ca="1">SQRT($B$9)*_xlfn.STDEV.S(AI1709:OFFSET(AI1709,$B$8-1,0))</f>
        <v>#DIV/0!</v>
      </c>
    </row>
    <row r="1710" spans="11:39" x14ac:dyDescent="0.2">
      <c r="K1710" s="3" t="e">
        <f t="shared" si="139"/>
        <v>#DIV/0!</v>
      </c>
      <c r="L1710" s="3" t="e">
        <f ca="1">SQRT(AVERAGE(K1710:OFFSET(K1710,$B$5-1,0))*$B$9/(4*LN(2)))</f>
        <v>#DIV/0!</v>
      </c>
      <c r="M1710" s="3" t="e">
        <f ca="1">SQRT(AVERAGE(K1710:OFFSET(K1710,$B$6-1,0))*$B$9/(4*LN(2)))</f>
        <v>#DIV/0!</v>
      </c>
      <c r="N1710" s="3" t="e">
        <f ca="1">SQRT(AVERAGE(K1710:OFFSET(K1710,$B$7-1,0))*$B$9/(4*LN(2)))</f>
        <v>#DIV/0!</v>
      </c>
      <c r="O1710" s="3" t="e">
        <f ca="1">SQRT(AVERAGE(K1710:OFFSET(K1710,$B$8-1,0))*$B$9/(4*LN(2)))</f>
        <v>#DIV/0!</v>
      </c>
      <c r="Q1710" s="5" t="e">
        <f t="shared" si="138"/>
        <v>#DIV/0!</v>
      </c>
      <c r="R1710" s="5" t="e">
        <f ca="1">SQRT($B$9*AVERAGE((Q1710:OFFSET(Q1710,$B$5-1,0))))</f>
        <v>#DIV/0!</v>
      </c>
      <c r="S1710" s="5" t="e">
        <f ca="1">SQRT($B$9*AVERAGE((Q1710:OFFSET(Q1710,$B$6-1,0))))</f>
        <v>#DIV/0!</v>
      </c>
      <c r="T1710" s="5" t="e">
        <f ca="1">SQRT($B$9*AVERAGE((Q1710:OFFSET(Q1710,$B$7-1,0))))</f>
        <v>#DIV/0!</v>
      </c>
      <c r="U1710" s="5" t="e">
        <f ca="1">SQRT($B$9*AVERAGE((Q1710:OFFSET(Q1710,$B$8-1,0))))</f>
        <v>#DIV/0!</v>
      </c>
      <c r="W1710" s="6" t="e">
        <f t="shared" si="142"/>
        <v>#DIV/0!</v>
      </c>
      <c r="X1710" s="6" t="e">
        <f ca="1">SQRT($B$9*AVERAGE(W1710:OFFSET(W1710,$B$5-1,0)))</f>
        <v>#DIV/0!</v>
      </c>
      <c r="Y1710" s="6" t="e">
        <f ca="1">SQRT($B$9*AVERAGE(W1710:OFFSET(W1710,$B$6-1,0)))</f>
        <v>#DIV/0!</v>
      </c>
      <c r="Z1710" s="6" t="e">
        <f ca="1">SQRT($B$9*AVERAGE(W1710:OFFSET(W1710,$B$7-1,0)))</f>
        <v>#DIV/0!</v>
      </c>
      <c r="AA1710" s="6" t="e">
        <f ca="1">SQRT($B$9*AVERAGE(W1710:OFFSET(W1710,$B$8-1,0)))</f>
        <v>#DIV/0!</v>
      </c>
      <c r="AC1710" s="34" t="e">
        <f t="shared" si="140"/>
        <v>#DIV/0!</v>
      </c>
      <c r="AD1710" s="34" t="e">
        <f ca="1">SQRT($B$9*SUM(AC1710:OFFSET(AC1710,$B$5-1,0))/($B$5-1))</f>
        <v>#DIV/0!</v>
      </c>
      <c r="AE1710" s="34" t="e">
        <f ca="1">SQRT($B$9*SUM(AC1710:OFFSET(AC1710,$B$6-1,0))/($B$6-1))</f>
        <v>#DIV/0!</v>
      </c>
      <c r="AF1710" s="34" t="e">
        <f ca="1">SQRT($B$9*SUM(AC1710:OFFSET(AC1710,$B$7-1,0))/($B$7-1))</f>
        <v>#DIV/0!</v>
      </c>
      <c r="AG1710" s="34" t="e">
        <f ca="1">SQRT($B$9*SUM(AC1710:OFFSET(AC1710,$B$8-1,0))/($B$8-1))</f>
        <v>#DIV/0!</v>
      </c>
      <c r="AI1710" s="1" t="e">
        <f t="shared" si="141"/>
        <v>#DIV/0!</v>
      </c>
      <c r="AJ1710" s="4" t="e">
        <f ca="1">SQRT($B$9)*_xlfn.STDEV.S(AI1710:OFFSET(AI1710,$B$5-1,0))</f>
        <v>#DIV/0!</v>
      </c>
      <c r="AK1710" s="4" t="e">
        <f ca="1">SQRT($B$9)*_xlfn.STDEV.S(AI1710:OFFSET(AI1710,$B$6-1,0))</f>
        <v>#DIV/0!</v>
      </c>
      <c r="AL1710" s="4" t="e">
        <f ca="1">SQRT($B$9)*_xlfn.STDEV.S(AI1710:OFFSET(AI1710,$B$7-1,0))</f>
        <v>#DIV/0!</v>
      </c>
      <c r="AM1710" s="4" t="e">
        <f ca="1">SQRT($B$9)*_xlfn.STDEV.S(AI1710:OFFSET(AI1710,$B$8-1,0))</f>
        <v>#DIV/0!</v>
      </c>
    </row>
    <row r="1711" spans="11:39" x14ac:dyDescent="0.2">
      <c r="K1711" s="3" t="e">
        <f t="shared" si="139"/>
        <v>#DIV/0!</v>
      </c>
      <c r="L1711" s="3" t="e">
        <f ca="1">SQRT(AVERAGE(K1711:OFFSET(K1711,$B$5-1,0))*$B$9/(4*LN(2)))</f>
        <v>#DIV/0!</v>
      </c>
      <c r="M1711" s="3" t="e">
        <f ca="1">SQRT(AVERAGE(K1711:OFFSET(K1711,$B$6-1,0))*$B$9/(4*LN(2)))</f>
        <v>#DIV/0!</v>
      </c>
      <c r="N1711" s="3" t="e">
        <f ca="1">SQRT(AVERAGE(K1711:OFFSET(K1711,$B$7-1,0))*$B$9/(4*LN(2)))</f>
        <v>#DIV/0!</v>
      </c>
      <c r="O1711" s="3" t="e">
        <f ca="1">SQRT(AVERAGE(K1711:OFFSET(K1711,$B$8-1,0))*$B$9/(4*LN(2)))</f>
        <v>#DIV/0!</v>
      </c>
      <c r="Q1711" s="5" t="e">
        <f t="shared" si="138"/>
        <v>#DIV/0!</v>
      </c>
      <c r="R1711" s="5" t="e">
        <f ca="1">SQRT($B$9*AVERAGE((Q1711:OFFSET(Q1711,$B$5-1,0))))</f>
        <v>#DIV/0!</v>
      </c>
      <c r="S1711" s="5" t="e">
        <f ca="1">SQRT($B$9*AVERAGE((Q1711:OFFSET(Q1711,$B$6-1,0))))</f>
        <v>#DIV/0!</v>
      </c>
      <c r="T1711" s="5" t="e">
        <f ca="1">SQRT($B$9*AVERAGE((Q1711:OFFSET(Q1711,$B$7-1,0))))</f>
        <v>#DIV/0!</v>
      </c>
      <c r="U1711" s="5" t="e">
        <f ca="1">SQRT($B$9*AVERAGE((Q1711:OFFSET(Q1711,$B$8-1,0))))</f>
        <v>#DIV/0!</v>
      </c>
      <c r="W1711" s="6" t="e">
        <f t="shared" si="142"/>
        <v>#DIV/0!</v>
      </c>
      <c r="X1711" s="6" t="e">
        <f ca="1">SQRT($B$9*AVERAGE(W1711:OFFSET(W1711,$B$5-1,0)))</f>
        <v>#DIV/0!</v>
      </c>
      <c r="Y1711" s="6" t="e">
        <f ca="1">SQRT($B$9*AVERAGE(W1711:OFFSET(W1711,$B$6-1,0)))</f>
        <v>#DIV/0!</v>
      </c>
      <c r="Z1711" s="6" t="e">
        <f ca="1">SQRT($B$9*AVERAGE(W1711:OFFSET(W1711,$B$7-1,0)))</f>
        <v>#DIV/0!</v>
      </c>
      <c r="AA1711" s="6" t="e">
        <f ca="1">SQRT($B$9*AVERAGE(W1711:OFFSET(W1711,$B$8-1,0)))</f>
        <v>#DIV/0!</v>
      </c>
      <c r="AC1711" s="34" t="e">
        <f t="shared" si="140"/>
        <v>#DIV/0!</v>
      </c>
      <c r="AD1711" s="34" t="e">
        <f ca="1">SQRT($B$9*SUM(AC1711:OFFSET(AC1711,$B$5-1,0))/($B$5-1))</f>
        <v>#DIV/0!</v>
      </c>
      <c r="AE1711" s="34" t="e">
        <f ca="1">SQRT($B$9*SUM(AC1711:OFFSET(AC1711,$B$6-1,0))/($B$6-1))</f>
        <v>#DIV/0!</v>
      </c>
      <c r="AF1711" s="34" t="e">
        <f ca="1">SQRT($B$9*SUM(AC1711:OFFSET(AC1711,$B$7-1,0))/($B$7-1))</f>
        <v>#DIV/0!</v>
      </c>
      <c r="AG1711" s="34" t="e">
        <f ca="1">SQRT($B$9*SUM(AC1711:OFFSET(AC1711,$B$8-1,0))/($B$8-1))</f>
        <v>#DIV/0!</v>
      </c>
      <c r="AI1711" s="1" t="e">
        <f t="shared" si="141"/>
        <v>#DIV/0!</v>
      </c>
      <c r="AJ1711" s="4" t="e">
        <f ca="1">SQRT($B$9)*_xlfn.STDEV.S(AI1711:OFFSET(AI1711,$B$5-1,0))</f>
        <v>#DIV/0!</v>
      </c>
      <c r="AK1711" s="4" t="e">
        <f ca="1">SQRT($B$9)*_xlfn.STDEV.S(AI1711:OFFSET(AI1711,$B$6-1,0))</f>
        <v>#DIV/0!</v>
      </c>
      <c r="AL1711" s="4" t="e">
        <f ca="1">SQRT($B$9)*_xlfn.STDEV.S(AI1711:OFFSET(AI1711,$B$7-1,0))</f>
        <v>#DIV/0!</v>
      </c>
      <c r="AM1711" s="4" t="e">
        <f ca="1">SQRT($B$9)*_xlfn.STDEV.S(AI1711:OFFSET(AI1711,$B$8-1,0))</f>
        <v>#DIV/0!</v>
      </c>
    </row>
    <row r="1712" spans="11:39" x14ac:dyDescent="0.2">
      <c r="K1712" s="3" t="e">
        <f t="shared" si="139"/>
        <v>#DIV/0!</v>
      </c>
      <c r="L1712" s="3" t="e">
        <f ca="1">SQRT(AVERAGE(K1712:OFFSET(K1712,$B$5-1,0))*$B$9/(4*LN(2)))</f>
        <v>#DIV/0!</v>
      </c>
      <c r="M1712" s="3" t="e">
        <f ca="1">SQRT(AVERAGE(K1712:OFFSET(K1712,$B$6-1,0))*$B$9/(4*LN(2)))</f>
        <v>#DIV/0!</v>
      </c>
      <c r="N1712" s="3" t="e">
        <f ca="1">SQRT(AVERAGE(K1712:OFFSET(K1712,$B$7-1,0))*$B$9/(4*LN(2)))</f>
        <v>#DIV/0!</v>
      </c>
      <c r="O1712" s="3" t="e">
        <f ca="1">SQRT(AVERAGE(K1712:OFFSET(K1712,$B$8-1,0))*$B$9/(4*LN(2)))</f>
        <v>#DIV/0!</v>
      </c>
      <c r="Q1712" s="5" t="e">
        <f t="shared" si="138"/>
        <v>#DIV/0!</v>
      </c>
      <c r="R1712" s="5" t="e">
        <f ca="1">SQRT($B$9*AVERAGE((Q1712:OFFSET(Q1712,$B$5-1,0))))</f>
        <v>#DIV/0!</v>
      </c>
      <c r="S1712" s="5" t="e">
        <f ca="1">SQRT($B$9*AVERAGE((Q1712:OFFSET(Q1712,$B$6-1,0))))</f>
        <v>#DIV/0!</v>
      </c>
      <c r="T1712" s="5" t="e">
        <f ca="1">SQRT($B$9*AVERAGE((Q1712:OFFSET(Q1712,$B$7-1,0))))</f>
        <v>#DIV/0!</v>
      </c>
      <c r="U1712" s="5" t="e">
        <f ca="1">SQRT($B$9*AVERAGE((Q1712:OFFSET(Q1712,$B$8-1,0))))</f>
        <v>#DIV/0!</v>
      </c>
      <c r="W1712" s="6" t="e">
        <f t="shared" si="142"/>
        <v>#DIV/0!</v>
      </c>
      <c r="X1712" s="6" t="e">
        <f ca="1">SQRT($B$9*AVERAGE(W1712:OFFSET(W1712,$B$5-1,0)))</f>
        <v>#DIV/0!</v>
      </c>
      <c r="Y1712" s="6" t="e">
        <f ca="1">SQRT($B$9*AVERAGE(W1712:OFFSET(W1712,$B$6-1,0)))</f>
        <v>#DIV/0!</v>
      </c>
      <c r="Z1712" s="6" t="e">
        <f ca="1">SQRT($B$9*AVERAGE(W1712:OFFSET(W1712,$B$7-1,0)))</f>
        <v>#DIV/0!</v>
      </c>
      <c r="AA1712" s="6" t="e">
        <f ca="1">SQRT($B$9*AVERAGE(W1712:OFFSET(W1712,$B$8-1,0)))</f>
        <v>#DIV/0!</v>
      </c>
      <c r="AC1712" s="34" t="e">
        <f t="shared" si="140"/>
        <v>#DIV/0!</v>
      </c>
      <c r="AD1712" s="34" t="e">
        <f ca="1">SQRT($B$9*SUM(AC1712:OFFSET(AC1712,$B$5-1,0))/($B$5-1))</f>
        <v>#DIV/0!</v>
      </c>
      <c r="AE1712" s="34" t="e">
        <f ca="1">SQRT($B$9*SUM(AC1712:OFFSET(AC1712,$B$6-1,0))/($B$6-1))</f>
        <v>#DIV/0!</v>
      </c>
      <c r="AF1712" s="34" t="e">
        <f ca="1">SQRT($B$9*SUM(AC1712:OFFSET(AC1712,$B$7-1,0))/($B$7-1))</f>
        <v>#DIV/0!</v>
      </c>
      <c r="AG1712" s="34" t="e">
        <f ca="1">SQRT($B$9*SUM(AC1712:OFFSET(AC1712,$B$8-1,0))/($B$8-1))</f>
        <v>#DIV/0!</v>
      </c>
      <c r="AI1712" s="1" t="e">
        <f t="shared" si="141"/>
        <v>#DIV/0!</v>
      </c>
      <c r="AJ1712" s="4" t="e">
        <f ca="1">SQRT($B$9)*_xlfn.STDEV.S(AI1712:OFFSET(AI1712,$B$5-1,0))</f>
        <v>#DIV/0!</v>
      </c>
      <c r="AK1712" s="4" t="e">
        <f ca="1">SQRT($B$9)*_xlfn.STDEV.S(AI1712:OFFSET(AI1712,$B$6-1,0))</f>
        <v>#DIV/0!</v>
      </c>
      <c r="AL1712" s="4" t="e">
        <f ca="1">SQRT($B$9)*_xlfn.STDEV.S(AI1712:OFFSET(AI1712,$B$7-1,0))</f>
        <v>#DIV/0!</v>
      </c>
      <c r="AM1712" s="4" t="e">
        <f ca="1">SQRT($B$9)*_xlfn.STDEV.S(AI1712:OFFSET(AI1712,$B$8-1,0))</f>
        <v>#DIV/0!</v>
      </c>
    </row>
    <row r="1713" spans="11:39" x14ac:dyDescent="0.2">
      <c r="K1713" s="3" t="e">
        <f t="shared" si="139"/>
        <v>#DIV/0!</v>
      </c>
      <c r="L1713" s="3" t="e">
        <f ca="1">SQRT(AVERAGE(K1713:OFFSET(K1713,$B$5-1,0))*$B$9/(4*LN(2)))</f>
        <v>#DIV/0!</v>
      </c>
      <c r="M1713" s="3" t="e">
        <f ca="1">SQRT(AVERAGE(K1713:OFFSET(K1713,$B$6-1,0))*$B$9/(4*LN(2)))</f>
        <v>#DIV/0!</v>
      </c>
      <c r="N1713" s="3" t="e">
        <f ca="1">SQRT(AVERAGE(K1713:OFFSET(K1713,$B$7-1,0))*$B$9/(4*LN(2)))</f>
        <v>#DIV/0!</v>
      </c>
      <c r="O1713" s="3" t="e">
        <f ca="1">SQRT(AVERAGE(K1713:OFFSET(K1713,$B$8-1,0))*$B$9/(4*LN(2)))</f>
        <v>#DIV/0!</v>
      </c>
      <c r="Q1713" s="5" t="e">
        <f t="shared" si="138"/>
        <v>#DIV/0!</v>
      </c>
      <c r="R1713" s="5" t="e">
        <f ca="1">SQRT($B$9*AVERAGE((Q1713:OFFSET(Q1713,$B$5-1,0))))</f>
        <v>#DIV/0!</v>
      </c>
      <c r="S1713" s="5" t="e">
        <f ca="1">SQRT($B$9*AVERAGE((Q1713:OFFSET(Q1713,$B$6-1,0))))</f>
        <v>#DIV/0!</v>
      </c>
      <c r="T1713" s="5" t="e">
        <f ca="1">SQRT($B$9*AVERAGE((Q1713:OFFSET(Q1713,$B$7-1,0))))</f>
        <v>#DIV/0!</v>
      </c>
      <c r="U1713" s="5" t="e">
        <f ca="1">SQRT($B$9*AVERAGE((Q1713:OFFSET(Q1713,$B$8-1,0))))</f>
        <v>#DIV/0!</v>
      </c>
      <c r="W1713" s="6" t="e">
        <f t="shared" si="142"/>
        <v>#DIV/0!</v>
      </c>
      <c r="X1713" s="6" t="e">
        <f ca="1">SQRT($B$9*AVERAGE(W1713:OFFSET(W1713,$B$5-1,0)))</f>
        <v>#DIV/0!</v>
      </c>
      <c r="Y1713" s="6" t="e">
        <f ca="1">SQRT($B$9*AVERAGE(W1713:OFFSET(W1713,$B$6-1,0)))</f>
        <v>#DIV/0!</v>
      </c>
      <c r="Z1713" s="6" t="e">
        <f ca="1">SQRT($B$9*AVERAGE(W1713:OFFSET(W1713,$B$7-1,0)))</f>
        <v>#DIV/0!</v>
      </c>
      <c r="AA1713" s="6" t="e">
        <f ca="1">SQRT($B$9*AVERAGE(W1713:OFFSET(W1713,$B$8-1,0)))</f>
        <v>#DIV/0!</v>
      </c>
      <c r="AC1713" s="34" t="e">
        <f t="shared" si="140"/>
        <v>#DIV/0!</v>
      </c>
      <c r="AD1713" s="34" t="e">
        <f ca="1">SQRT($B$9*SUM(AC1713:OFFSET(AC1713,$B$5-1,0))/($B$5-1))</f>
        <v>#DIV/0!</v>
      </c>
      <c r="AE1713" s="34" t="e">
        <f ca="1">SQRT($B$9*SUM(AC1713:OFFSET(AC1713,$B$6-1,0))/($B$6-1))</f>
        <v>#DIV/0!</v>
      </c>
      <c r="AF1713" s="34" t="e">
        <f ca="1">SQRT($B$9*SUM(AC1713:OFFSET(AC1713,$B$7-1,0))/($B$7-1))</f>
        <v>#DIV/0!</v>
      </c>
      <c r="AG1713" s="34" t="e">
        <f ca="1">SQRT($B$9*SUM(AC1713:OFFSET(AC1713,$B$8-1,0))/($B$8-1))</f>
        <v>#DIV/0!</v>
      </c>
      <c r="AI1713" s="1" t="e">
        <f t="shared" si="141"/>
        <v>#DIV/0!</v>
      </c>
      <c r="AJ1713" s="4" t="e">
        <f ca="1">SQRT($B$9)*_xlfn.STDEV.S(AI1713:OFFSET(AI1713,$B$5-1,0))</f>
        <v>#DIV/0!</v>
      </c>
      <c r="AK1713" s="4" t="e">
        <f ca="1">SQRT($B$9)*_xlfn.STDEV.S(AI1713:OFFSET(AI1713,$B$6-1,0))</f>
        <v>#DIV/0!</v>
      </c>
      <c r="AL1713" s="4" t="e">
        <f ca="1">SQRT($B$9)*_xlfn.STDEV.S(AI1713:OFFSET(AI1713,$B$7-1,0))</f>
        <v>#DIV/0!</v>
      </c>
      <c r="AM1713" s="4" t="e">
        <f ca="1">SQRT($B$9)*_xlfn.STDEV.S(AI1713:OFFSET(AI1713,$B$8-1,0))</f>
        <v>#DIV/0!</v>
      </c>
    </row>
    <row r="1714" spans="11:39" x14ac:dyDescent="0.2">
      <c r="K1714" s="3" t="e">
        <f t="shared" si="139"/>
        <v>#DIV/0!</v>
      </c>
      <c r="L1714" s="3" t="e">
        <f ca="1">SQRT(AVERAGE(K1714:OFFSET(K1714,$B$5-1,0))*$B$9/(4*LN(2)))</f>
        <v>#DIV/0!</v>
      </c>
      <c r="M1714" s="3" t="e">
        <f ca="1">SQRT(AVERAGE(K1714:OFFSET(K1714,$B$6-1,0))*$B$9/(4*LN(2)))</f>
        <v>#DIV/0!</v>
      </c>
      <c r="N1714" s="3" t="e">
        <f ca="1">SQRT(AVERAGE(K1714:OFFSET(K1714,$B$7-1,0))*$B$9/(4*LN(2)))</f>
        <v>#DIV/0!</v>
      </c>
      <c r="O1714" s="3" t="e">
        <f ca="1">SQRT(AVERAGE(K1714:OFFSET(K1714,$B$8-1,0))*$B$9/(4*LN(2)))</f>
        <v>#DIV/0!</v>
      </c>
      <c r="Q1714" s="5" t="e">
        <f t="shared" si="138"/>
        <v>#DIV/0!</v>
      </c>
      <c r="R1714" s="5" t="e">
        <f ca="1">SQRT($B$9*AVERAGE((Q1714:OFFSET(Q1714,$B$5-1,0))))</f>
        <v>#DIV/0!</v>
      </c>
      <c r="S1714" s="5" t="e">
        <f ca="1">SQRT($B$9*AVERAGE((Q1714:OFFSET(Q1714,$B$6-1,0))))</f>
        <v>#DIV/0!</v>
      </c>
      <c r="T1714" s="5" t="e">
        <f ca="1">SQRT($B$9*AVERAGE((Q1714:OFFSET(Q1714,$B$7-1,0))))</f>
        <v>#DIV/0!</v>
      </c>
      <c r="U1714" s="5" t="e">
        <f ca="1">SQRT($B$9*AVERAGE((Q1714:OFFSET(Q1714,$B$8-1,0))))</f>
        <v>#DIV/0!</v>
      </c>
      <c r="W1714" s="6" t="e">
        <f t="shared" si="142"/>
        <v>#DIV/0!</v>
      </c>
      <c r="X1714" s="6" t="e">
        <f ca="1">SQRT($B$9*AVERAGE(W1714:OFFSET(W1714,$B$5-1,0)))</f>
        <v>#DIV/0!</v>
      </c>
      <c r="Y1714" s="6" t="e">
        <f ca="1">SQRT($B$9*AVERAGE(W1714:OFFSET(W1714,$B$6-1,0)))</f>
        <v>#DIV/0!</v>
      </c>
      <c r="Z1714" s="6" t="e">
        <f ca="1">SQRT($B$9*AVERAGE(W1714:OFFSET(W1714,$B$7-1,0)))</f>
        <v>#DIV/0!</v>
      </c>
      <c r="AA1714" s="6" t="e">
        <f ca="1">SQRT($B$9*AVERAGE(W1714:OFFSET(W1714,$B$8-1,0)))</f>
        <v>#DIV/0!</v>
      </c>
      <c r="AC1714" s="34" t="e">
        <f t="shared" si="140"/>
        <v>#DIV/0!</v>
      </c>
      <c r="AD1714" s="34" t="e">
        <f ca="1">SQRT($B$9*SUM(AC1714:OFFSET(AC1714,$B$5-1,0))/($B$5-1))</f>
        <v>#DIV/0!</v>
      </c>
      <c r="AE1714" s="34" t="e">
        <f ca="1">SQRT($B$9*SUM(AC1714:OFFSET(AC1714,$B$6-1,0))/($B$6-1))</f>
        <v>#DIV/0!</v>
      </c>
      <c r="AF1714" s="34" t="e">
        <f ca="1">SQRT($B$9*SUM(AC1714:OFFSET(AC1714,$B$7-1,0))/($B$7-1))</f>
        <v>#DIV/0!</v>
      </c>
      <c r="AG1714" s="34" t="e">
        <f ca="1">SQRT($B$9*SUM(AC1714:OFFSET(AC1714,$B$8-1,0))/($B$8-1))</f>
        <v>#DIV/0!</v>
      </c>
      <c r="AI1714" s="1" t="e">
        <f t="shared" si="141"/>
        <v>#DIV/0!</v>
      </c>
      <c r="AJ1714" s="4" t="e">
        <f ca="1">SQRT($B$9)*_xlfn.STDEV.S(AI1714:OFFSET(AI1714,$B$5-1,0))</f>
        <v>#DIV/0!</v>
      </c>
      <c r="AK1714" s="4" t="e">
        <f ca="1">SQRT($B$9)*_xlfn.STDEV.S(AI1714:OFFSET(AI1714,$B$6-1,0))</f>
        <v>#DIV/0!</v>
      </c>
      <c r="AL1714" s="4" t="e">
        <f ca="1">SQRT($B$9)*_xlfn.STDEV.S(AI1714:OFFSET(AI1714,$B$7-1,0))</f>
        <v>#DIV/0!</v>
      </c>
      <c r="AM1714" s="4" t="e">
        <f ca="1">SQRT($B$9)*_xlfn.STDEV.S(AI1714:OFFSET(AI1714,$B$8-1,0))</f>
        <v>#DIV/0!</v>
      </c>
    </row>
    <row r="1715" spans="11:39" x14ac:dyDescent="0.2">
      <c r="K1715" s="3" t="e">
        <f t="shared" si="139"/>
        <v>#DIV/0!</v>
      </c>
      <c r="L1715" s="3" t="e">
        <f ca="1">SQRT(AVERAGE(K1715:OFFSET(K1715,$B$5-1,0))*$B$9/(4*LN(2)))</f>
        <v>#DIV/0!</v>
      </c>
      <c r="M1715" s="3" t="e">
        <f ca="1">SQRT(AVERAGE(K1715:OFFSET(K1715,$B$6-1,0))*$B$9/(4*LN(2)))</f>
        <v>#DIV/0!</v>
      </c>
      <c r="N1715" s="3" t="e">
        <f ca="1">SQRT(AVERAGE(K1715:OFFSET(K1715,$B$7-1,0))*$B$9/(4*LN(2)))</f>
        <v>#DIV/0!</v>
      </c>
      <c r="O1715" s="3" t="e">
        <f ca="1">SQRT(AVERAGE(K1715:OFFSET(K1715,$B$8-1,0))*$B$9/(4*LN(2)))</f>
        <v>#DIV/0!</v>
      </c>
      <c r="Q1715" s="5" t="e">
        <f t="shared" si="138"/>
        <v>#DIV/0!</v>
      </c>
      <c r="R1715" s="5" t="e">
        <f ca="1">SQRT($B$9*AVERAGE((Q1715:OFFSET(Q1715,$B$5-1,0))))</f>
        <v>#DIV/0!</v>
      </c>
      <c r="S1715" s="5" t="e">
        <f ca="1">SQRT($B$9*AVERAGE((Q1715:OFFSET(Q1715,$B$6-1,0))))</f>
        <v>#DIV/0!</v>
      </c>
      <c r="T1715" s="5" t="e">
        <f ca="1">SQRT($B$9*AVERAGE((Q1715:OFFSET(Q1715,$B$7-1,0))))</f>
        <v>#DIV/0!</v>
      </c>
      <c r="U1715" s="5" t="e">
        <f ca="1">SQRT($B$9*AVERAGE((Q1715:OFFSET(Q1715,$B$8-1,0))))</f>
        <v>#DIV/0!</v>
      </c>
      <c r="W1715" s="6" t="e">
        <f t="shared" si="142"/>
        <v>#DIV/0!</v>
      </c>
      <c r="X1715" s="6" t="e">
        <f ca="1">SQRT($B$9*AVERAGE(W1715:OFFSET(W1715,$B$5-1,0)))</f>
        <v>#DIV/0!</v>
      </c>
      <c r="Y1715" s="6" t="e">
        <f ca="1">SQRT($B$9*AVERAGE(W1715:OFFSET(W1715,$B$6-1,0)))</f>
        <v>#DIV/0!</v>
      </c>
      <c r="Z1715" s="6" t="e">
        <f ca="1">SQRT($B$9*AVERAGE(W1715:OFFSET(W1715,$B$7-1,0)))</f>
        <v>#DIV/0!</v>
      </c>
      <c r="AA1715" s="6" t="e">
        <f ca="1">SQRT($B$9*AVERAGE(W1715:OFFSET(W1715,$B$8-1,0)))</f>
        <v>#DIV/0!</v>
      </c>
      <c r="AC1715" s="34" t="e">
        <f t="shared" si="140"/>
        <v>#DIV/0!</v>
      </c>
      <c r="AD1715" s="34" t="e">
        <f ca="1">SQRT($B$9*SUM(AC1715:OFFSET(AC1715,$B$5-1,0))/($B$5-1))</f>
        <v>#DIV/0!</v>
      </c>
      <c r="AE1715" s="34" t="e">
        <f ca="1">SQRT($B$9*SUM(AC1715:OFFSET(AC1715,$B$6-1,0))/($B$6-1))</f>
        <v>#DIV/0!</v>
      </c>
      <c r="AF1715" s="34" t="e">
        <f ca="1">SQRT($B$9*SUM(AC1715:OFFSET(AC1715,$B$7-1,0))/($B$7-1))</f>
        <v>#DIV/0!</v>
      </c>
      <c r="AG1715" s="34" t="e">
        <f ca="1">SQRT($B$9*SUM(AC1715:OFFSET(AC1715,$B$8-1,0))/($B$8-1))</f>
        <v>#DIV/0!</v>
      </c>
      <c r="AI1715" s="1" t="e">
        <f t="shared" si="141"/>
        <v>#DIV/0!</v>
      </c>
      <c r="AJ1715" s="4" t="e">
        <f ca="1">SQRT($B$9)*_xlfn.STDEV.S(AI1715:OFFSET(AI1715,$B$5-1,0))</f>
        <v>#DIV/0!</v>
      </c>
      <c r="AK1715" s="4" t="e">
        <f ca="1">SQRT($B$9)*_xlfn.STDEV.S(AI1715:OFFSET(AI1715,$B$6-1,0))</f>
        <v>#DIV/0!</v>
      </c>
      <c r="AL1715" s="4" t="e">
        <f ca="1">SQRT($B$9)*_xlfn.STDEV.S(AI1715:OFFSET(AI1715,$B$7-1,0))</f>
        <v>#DIV/0!</v>
      </c>
      <c r="AM1715" s="4" t="e">
        <f ca="1">SQRT($B$9)*_xlfn.STDEV.S(AI1715:OFFSET(AI1715,$B$8-1,0))</f>
        <v>#DIV/0!</v>
      </c>
    </row>
    <row r="1716" spans="11:39" x14ac:dyDescent="0.2">
      <c r="K1716" s="3" t="e">
        <f t="shared" si="139"/>
        <v>#DIV/0!</v>
      </c>
      <c r="L1716" s="3" t="e">
        <f ca="1">SQRT(AVERAGE(K1716:OFFSET(K1716,$B$5-1,0))*$B$9/(4*LN(2)))</f>
        <v>#DIV/0!</v>
      </c>
      <c r="M1716" s="3" t="e">
        <f ca="1">SQRT(AVERAGE(K1716:OFFSET(K1716,$B$6-1,0))*$B$9/(4*LN(2)))</f>
        <v>#DIV/0!</v>
      </c>
      <c r="N1716" s="3" t="e">
        <f ca="1">SQRT(AVERAGE(K1716:OFFSET(K1716,$B$7-1,0))*$B$9/(4*LN(2)))</f>
        <v>#DIV/0!</v>
      </c>
      <c r="O1716" s="3" t="e">
        <f ca="1">SQRT(AVERAGE(K1716:OFFSET(K1716,$B$8-1,0))*$B$9/(4*LN(2)))</f>
        <v>#DIV/0!</v>
      </c>
      <c r="Q1716" s="5" t="e">
        <f t="shared" si="138"/>
        <v>#DIV/0!</v>
      </c>
      <c r="R1716" s="5" t="e">
        <f ca="1">SQRT($B$9*AVERAGE((Q1716:OFFSET(Q1716,$B$5-1,0))))</f>
        <v>#DIV/0!</v>
      </c>
      <c r="S1716" s="5" t="e">
        <f ca="1">SQRT($B$9*AVERAGE((Q1716:OFFSET(Q1716,$B$6-1,0))))</f>
        <v>#DIV/0!</v>
      </c>
      <c r="T1716" s="5" t="e">
        <f ca="1">SQRT($B$9*AVERAGE((Q1716:OFFSET(Q1716,$B$7-1,0))))</f>
        <v>#DIV/0!</v>
      </c>
      <c r="U1716" s="5" t="e">
        <f ca="1">SQRT($B$9*AVERAGE((Q1716:OFFSET(Q1716,$B$8-1,0))))</f>
        <v>#DIV/0!</v>
      </c>
      <c r="W1716" s="6" t="e">
        <f t="shared" si="142"/>
        <v>#DIV/0!</v>
      </c>
      <c r="X1716" s="6" t="e">
        <f ca="1">SQRT($B$9*AVERAGE(W1716:OFFSET(W1716,$B$5-1,0)))</f>
        <v>#DIV/0!</v>
      </c>
      <c r="Y1716" s="6" t="e">
        <f ca="1">SQRT($B$9*AVERAGE(W1716:OFFSET(W1716,$B$6-1,0)))</f>
        <v>#DIV/0!</v>
      </c>
      <c r="Z1716" s="6" t="e">
        <f ca="1">SQRT($B$9*AVERAGE(W1716:OFFSET(W1716,$B$7-1,0)))</f>
        <v>#DIV/0!</v>
      </c>
      <c r="AA1716" s="6" t="e">
        <f ca="1">SQRT($B$9*AVERAGE(W1716:OFFSET(W1716,$B$8-1,0)))</f>
        <v>#DIV/0!</v>
      </c>
      <c r="AC1716" s="34" t="e">
        <f t="shared" si="140"/>
        <v>#DIV/0!</v>
      </c>
      <c r="AD1716" s="34" t="e">
        <f ca="1">SQRT($B$9*SUM(AC1716:OFFSET(AC1716,$B$5-1,0))/($B$5-1))</f>
        <v>#DIV/0!</v>
      </c>
      <c r="AE1716" s="34" t="e">
        <f ca="1">SQRT($B$9*SUM(AC1716:OFFSET(AC1716,$B$6-1,0))/($B$6-1))</f>
        <v>#DIV/0!</v>
      </c>
      <c r="AF1716" s="34" t="e">
        <f ca="1">SQRT($B$9*SUM(AC1716:OFFSET(AC1716,$B$7-1,0))/($B$7-1))</f>
        <v>#DIV/0!</v>
      </c>
      <c r="AG1716" s="34" t="e">
        <f ca="1">SQRT($B$9*SUM(AC1716:OFFSET(AC1716,$B$8-1,0))/($B$8-1))</f>
        <v>#DIV/0!</v>
      </c>
      <c r="AI1716" s="1" t="e">
        <f t="shared" si="141"/>
        <v>#DIV/0!</v>
      </c>
      <c r="AJ1716" s="4" t="e">
        <f ca="1">SQRT($B$9)*_xlfn.STDEV.S(AI1716:OFFSET(AI1716,$B$5-1,0))</f>
        <v>#DIV/0!</v>
      </c>
      <c r="AK1716" s="4" t="e">
        <f ca="1">SQRT($B$9)*_xlfn.STDEV.S(AI1716:OFFSET(AI1716,$B$6-1,0))</f>
        <v>#DIV/0!</v>
      </c>
      <c r="AL1716" s="4" t="e">
        <f ca="1">SQRT($B$9)*_xlfn.STDEV.S(AI1716:OFFSET(AI1716,$B$7-1,0))</f>
        <v>#DIV/0!</v>
      </c>
      <c r="AM1716" s="4" t="e">
        <f ca="1">SQRT($B$9)*_xlfn.STDEV.S(AI1716:OFFSET(AI1716,$B$8-1,0))</f>
        <v>#DIV/0!</v>
      </c>
    </row>
    <row r="1717" spans="11:39" x14ac:dyDescent="0.2">
      <c r="K1717" s="3" t="e">
        <f t="shared" si="139"/>
        <v>#DIV/0!</v>
      </c>
      <c r="L1717" s="3" t="e">
        <f ca="1">SQRT(AVERAGE(K1717:OFFSET(K1717,$B$5-1,0))*$B$9/(4*LN(2)))</f>
        <v>#DIV/0!</v>
      </c>
      <c r="M1717" s="3" t="e">
        <f ca="1">SQRT(AVERAGE(K1717:OFFSET(K1717,$B$6-1,0))*$B$9/(4*LN(2)))</f>
        <v>#DIV/0!</v>
      </c>
      <c r="N1717" s="3" t="e">
        <f ca="1">SQRT(AVERAGE(K1717:OFFSET(K1717,$B$7-1,0))*$B$9/(4*LN(2)))</f>
        <v>#DIV/0!</v>
      </c>
      <c r="O1717" s="3" t="e">
        <f ca="1">SQRT(AVERAGE(K1717:OFFSET(K1717,$B$8-1,0))*$B$9/(4*LN(2)))</f>
        <v>#DIV/0!</v>
      </c>
      <c r="Q1717" s="5" t="e">
        <f t="shared" si="138"/>
        <v>#DIV/0!</v>
      </c>
      <c r="R1717" s="5" t="e">
        <f ca="1">SQRT($B$9*AVERAGE((Q1717:OFFSET(Q1717,$B$5-1,0))))</f>
        <v>#DIV/0!</v>
      </c>
      <c r="S1717" s="5" t="e">
        <f ca="1">SQRT($B$9*AVERAGE((Q1717:OFFSET(Q1717,$B$6-1,0))))</f>
        <v>#DIV/0!</v>
      </c>
      <c r="T1717" s="5" t="e">
        <f ca="1">SQRT($B$9*AVERAGE((Q1717:OFFSET(Q1717,$B$7-1,0))))</f>
        <v>#DIV/0!</v>
      </c>
      <c r="U1717" s="5" t="e">
        <f ca="1">SQRT($B$9*AVERAGE((Q1717:OFFSET(Q1717,$B$8-1,0))))</f>
        <v>#DIV/0!</v>
      </c>
      <c r="W1717" s="6" t="e">
        <f t="shared" si="142"/>
        <v>#DIV/0!</v>
      </c>
      <c r="X1717" s="6" t="e">
        <f ca="1">SQRT($B$9*AVERAGE(W1717:OFFSET(W1717,$B$5-1,0)))</f>
        <v>#DIV/0!</v>
      </c>
      <c r="Y1717" s="6" t="e">
        <f ca="1">SQRT($B$9*AVERAGE(W1717:OFFSET(W1717,$B$6-1,0)))</f>
        <v>#DIV/0!</v>
      </c>
      <c r="Z1717" s="6" t="e">
        <f ca="1">SQRT($B$9*AVERAGE(W1717:OFFSET(W1717,$B$7-1,0)))</f>
        <v>#DIV/0!</v>
      </c>
      <c r="AA1717" s="6" t="e">
        <f ca="1">SQRT($B$9*AVERAGE(W1717:OFFSET(W1717,$B$8-1,0)))</f>
        <v>#DIV/0!</v>
      </c>
      <c r="AC1717" s="34" t="e">
        <f t="shared" si="140"/>
        <v>#DIV/0!</v>
      </c>
      <c r="AD1717" s="34" t="e">
        <f ca="1">SQRT($B$9*SUM(AC1717:OFFSET(AC1717,$B$5-1,0))/($B$5-1))</f>
        <v>#DIV/0!</v>
      </c>
      <c r="AE1717" s="34" t="e">
        <f ca="1">SQRT($B$9*SUM(AC1717:OFFSET(AC1717,$B$6-1,0))/($B$6-1))</f>
        <v>#DIV/0!</v>
      </c>
      <c r="AF1717" s="34" t="e">
        <f ca="1">SQRT($B$9*SUM(AC1717:OFFSET(AC1717,$B$7-1,0))/($B$7-1))</f>
        <v>#DIV/0!</v>
      </c>
      <c r="AG1717" s="34" t="e">
        <f ca="1">SQRT($B$9*SUM(AC1717:OFFSET(AC1717,$B$8-1,0))/($B$8-1))</f>
        <v>#DIV/0!</v>
      </c>
      <c r="AI1717" s="1" t="e">
        <f t="shared" si="141"/>
        <v>#DIV/0!</v>
      </c>
      <c r="AJ1717" s="4" t="e">
        <f ca="1">SQRT($B$9)*_xlfn.STDEV.S(AI1717:OFFSET(AI1717,$B$5-1,0))</f>
        <v>#DIV/0!</v>
      </c>
      <c r="AK1717" s="4" t="e">
        <f ca="1">SQRT($B$9)*_xlfn.STDEV.S(AI1717:OFFSET(AI1717,$B$6-1,0))</f>
        <v>#DIV/0!</v>
      </c>
      <c r="AL1717" s="4" t="e">
        <f ca="1">SQRT($B$9)*_xlfn.STDEV.S(AI1717:OFFSET(AI1717,$B$7-1,0))</f>
        <v>#DIV/0!</v>
      </c>
      <c r="AM1717" s="4" t="e">
        <f ca="1">SQRT($B$9)*_xlfn.STDEV.S(AI1717:OFFSET(AI1717,$B$8-1,0))</f>
        <v>#DIV/0!</v>
      </c>
    </row>
    <row r="1718" spans="11:39" x14ac:dyDescent="0.2">
      <c r="K1718" s="3" t="e">
        <f t="shared" si="139"/>
        <v>#DIV/0!</v>
      </c>
      <c r="L1718" s="3" t="e">
        <f ca="1">SQRT(AVERAGE(K1718:OFFSET(K1718,$B$5-1,0))*$B$9/(4*LN(2)))</f>
        <v>#DIV/0!</v>
      </c>
      <c r="M1718" s="3" t="e">
        <f ca="1">SQRT(AVERAGE(K1718:OFFSET(K1718,$B$6-1,0))*$B$9/(4*LN(2)))</f>
        <v>#DIV/0!</v>
      </c>
      <c r="N1718" s="3" t="e">
        <f ca="1">SQRT(AVERAGE(K1718:OFFSET(K1718,$B$7-1,0))*$B$9/(4*LN(2)))</f>
        <v>#DIV/0!</v>
      </c>
      <c r="O1718" s="3" t="e">
        <f ca="1">SQRT(AVERAGE(K1718:OFFSET(K1718,$B$8-1,0))*$B$9/(4*LN(2)))</f>
        <v>#DIV/0!</v>
      </c>
      <c r="Q1718" s="5" t="e">
        <f t="shared" si="138"/>
        <v>#DIV/0!</v>
      </c>
      <c r="R1718" s="5" t="e">
        <f ca="1">SQRT($B$9*AVERAGE((Q1718:OFFSET(Q1718,$B$5-1,0))))</f>
        <v>#DIV/0!</v>
      </c>
      <c r="S1718" s="5" t="e">
        <f ca="1">SQRT($B$9*AVERAGE((Q1718:OFFSET(Q1718,$B$6-1,0))))</f>
        <v>#DIV/0!</v>
      </c>
      <c r="T1718" s="5" t="e">
        <f ca="1">SQRT($B$9*AVERAGE((Q1718:OFFSET(Q1718,$B$7-1,0))))</f>
        <v>#DIV/0!</v>
      </c>
      <c r="U1718" s="5" t="e">
        <f ca="1">SQRT($B$9*AVERAGE((Q1718:OFFSET(Q1718,$B$8-1,0))))</f>
        <v>#DIV/0!</v>
      </c>
      <c r="W1718" s="6" t="e">
        <f t="shared" si="142"/>
        <v>#DIV/0!</v>
      </c>
      <c r="X1718" s="6" t="e">
        <f ca="1">SQRT($B$9*AVERAGE(W1718:OFFSET(W1718,$B$5-1,0)))</f>
        <v>#DIV/0!</v>
      </c>
      <c r="Y1718" s="6" t="e">
        <f ca="1">SQRT($B$9*AVERAGE(W1718:OFFSET(W1718,$B$6-1,0)))</f>
        <v>#DIV/0!</v>
      </c>
      <c r="Z1718" s="6" t="e">
        <f ca="1">SQRT($B$9*AVERAGE(W1718:OFFSET(W1718,$B$7-1,0)))</f>
        <v>#DIV/0!</v>
      </c>
      <c r="AA1718" s="6" t="e">
        <f ca="1">SQRT($B$9*AVERAGE(W1718:OFFSET(W1718,$B$8-1,0)))</f>
        <v>#DIV/0!</v>
      </c>
      <c r="AC1718" s="34" t="e">
        <f t="shared" si="140"/>
        <v>#DIV/0!</v>
      </c>
      <c r="AD1718" s="34" t="e">
        <f ca="1">SQRT($B$9*SUM(AC1718:OFFSET(AC1718,$B$5-1,0))/($B$5-1))</f>
        <v>#DIV/0!</v>
      </c>
      <c r="AE1718" s="34" t="e">
        <f ca="1">SQRT($B$9*SUM(AC1718:OFFSET(AC1718,$B$6-1,0))/($B$6-1))</f>
        <v>#DIV/0!</v>
      </c>
      <c r="AF1718" s="34" t="e">
        <f ca="1">SQRT($B$9*SUM(AC1718:OFFSET(AC1718,$B$7-1,0))/($B$7-1))</f>
        <v>#DIV/0!</v>
      </c>
      <c r="AG1718" s="34" t="e">
        <f ca="1">SQRT($B$9*SUM(AC1718:OFFSET(AC1718,$B$8-1,0))/($B$8-1))</f>
        <v>#DIV/0!</v>
      </c>
      <c r="AI1718" s="1" t="e">
        <f t="shared" si="141"/>
        <v>#DIV/0!</v>
      </c>
      <c r="AJ1718" s="4" t="e">
        <f ca="1">SQRT($B$9)*_xlfn.STDEV.S(AI1718:OFFSET(AI1718,$B$5-1,0))</f>
        <v>#DIV/0!</v>
      </c>
      <c r="AK1718" s="4" t="e">
        <f ca="1">SQRT($B$9)*_xlfn.STDEV.S(AI1718:OFFSET(AI1718,$B$6-1,0))</f>
        <v>#DIV/0!</v>
      </c>
      <c r="AL1718" s="4" t="e">
        <f ca="1">SQRT($B$9)*_xlfn.STDEV.S(AI1718:OFFSET(AI1718,$B$7-1,0))</f>
        <v>#DIV/0!</v>
      </c>
      <c r="AM1718" s="4" t="e">
        <f ca="1">SQRT($B$9)*_xlfn.STDEV.S(AI1718:OFFSET(AI1718,$B$8-1,0))</f>
        <v>#DIV/0!</v>
      </c>
    </row>
    <row r="1719" spans="11:39" x14ac:dyDescent="0.2">
      <c r="K1719" s="3" t="e">
        <f t="shared" si="139"/>
        <v>#DIV/0!</v>
      </c>
      <c r="L1719" s="3" t="e">
        <f ca="1">SQRT(AVERAGE(K1719:OFFSET(K1719,$B$5-1,0))*$B$9/(4*LN(2)))</f>
        <v>#DIV/0!</v>
      </c>
      <c r="M1719" s="3" t="e">
        <f ca="1">SQRT(AVERAGE(K1719:OFFSET(K1719,$B$6-1,0))*$B$9/(4*LN(2)))</f>
        <v>#DIV/0!</v>
      </c>
      <c r="N1719" s="3" t="e">
        <f ca="1">SQRT(AVERAGE(K1719:OFFSET(K1719,$B$7-1,0))*$B$9/(4*LN(2)))</f>
        <v>#DIV/0!</v>
      </c>
      <c r="O1719" s="3" t="e">
        <f ca="1">SQRT(AVERAGE(K1719:OFFSET(K1719,$B$8-1,0))*$B$9/(4*LN(2)))</f>
        <v>#DIV/0!</v>
      </c>
      <c r="Q1719" s="5" t="e">
        <f t="shared" si="138"/>
        <v>#DIV/0!</v>
      </c>
      <c r="R1719" s="5" t="e">
        <f ca="1">SQRT($B$9*AVERAGE((Q1719:OFFSET(Q1719,$B$5-1,0))))</f>
        <v>#DIV/0!</v>
      </c>
      <c r="S1719" s="5" t="e">
        <f ca="1">SQRT($B$9*AVERAGE((Q1719:OFFSET(Q1719,$B$6-1,0))))</f>
        <v>#DIV/0!</v>
      </c>
      <c r="T1719" s="5" t="e">
        <f ca="1">SQRT($B$9*AVERAGE((Q1719:OFFSET(Q1719,$B$7-1,0))))</f>
        <v>#DIV/0!</v>
      </c>
      <c r="U1719" s="5" t="e">
        <f ca="1">SQRT($B$9*AVERAGE((Q1719:OFFSET(Q1719,$B$8-1,0))))</f>
        <v>#DIV/0!</v>
      </c>
      <c r="W1719" s="6" t="e">
        <f t="shared" si="142"/>
        <v>#DIV/0!</v>
      </c>
      <c r="X1719" s="6" t="e">
        <f ca="1">SQRT($B$9*AVERAGE(W1719:OFFSET(W1719,$B$5-1,0)))</f>
        <v>#DIV/0!</v>
      </c>
      <c r="Y1719" s="6" t="e">
        <f ca="1">SQRT($B$9*AVERAGE(W1719:OFFSET(W1719,$B$6-1,0)))</f>
        <v>#DIV/0!</v>
      </c>
      <c r="Z1719" s="6" t="e">
        <f ca="1">SQRT($B$9*AVERAGE(W1719:OFFSET(W1719,$B$7-1,0)))</f>
        <v>#DIV/0!</v>
      </c>
      <c r="AA1719" s="6" t="e">
        <f ca="1">SQRT($B$9*AVERAGE(W1719:OFFSET(W1719,$B$8-1,0)))</f>
        <v>#DIV/0!</v>
      </c>
      <c r="AC1719" s="34" t="e">
        <f t="shared" si="140"/>
        <v>#DIV/0!</v>
      </c>
      <c r="AD1719" s="34" t="e">
        <f ca="1">SQRT($B$9*SUM(AC1719:OFFSET(AC1719,$B$5-1,0))/($B$5-1))</f>
        <v>#DIV/0!</v>
      </c>
      <c r="AE1719" s="34" t="e">
        <f ca="1">SQRT($B$9*SUM(AC1719:OFFSET(AC1719,$B$6-1,0))/($B$6-1))</f>
        <v>#DIV/0!</v>
      </c>
      <c r="AF1719" s="34" t="e">
        <f ca="1">SQRT($B$9*SUM(AC1719:OFFSET(AC1719,$B$7-1,0))/($B$7-1))</f>
        <v>#DIV/0!</v>
      </c>
      <c r="AG1719" s="34" t="e">
        <f ca="1">SQRT($B$9*SUM(AC1719:OFFSET(AC1719,$B$8-1,0))/($B$8-1))</f>
        <v>#DIV/0!</v>
      </c>
      <c r="AI1719" s="1" t="e">
        <f t="shared" si="141"/>
        <v>#DIV/0!</v>
      </c>
      <c r="AJ1719" s="4" t="e">
        <f ca="1">SQRT($B$9)*_xlfn.STDEV.S(AI1719:OFFSET(AI1719,$B$5-1,0))</f>
        <v>#DIV/0!</v>
      </c>
      <c r="AK1719" s="4" t="e">
        <f ca="1">SQRT($B$9)*_xlfn.STDEV.S(AI1719:OFFSET(AI1719,$B$6-1,0))</f>
        <v>#DIV/0!</v>
      </c>
      <c r="AL1719" s="4" t="e">
        <f ca="1">SQRT($B$9)*_xlfn.STDEV.S(AI1719:OFFSET(AI1719,$B$7-1,0))</f>
        <v>#DIV/0!</v>
      </c>
      <c r="AM1719" s="4" t="e">
        <f ca="1">SQRT($B$9)*_xlfn.STDEV.S(AI1719:OFFSET(AI1719,$B$8-1,0))</f>
        <v>#DIV/0!</v>
      </c>
    </row>
    <row r="1720" spans="11:39" x14ac:dyDescent="0.2">
      <c r="K1720" s="3" t="e">
        <f t="shared" si="139"/>
        <v>#DIV/0!</v>
      </c>
      <c r="L1720" s="3" t="e">
        <f ca="1">SQRT(AVERAGE(K1720:OFFSET(K1720,$B$5-1,0))*$B$9/(4*LN(2)))</f>
        <v>#DIV/0!</v>
      </c>
      <c r="M1720" s="3" t="e">
        <f ca="1">SQRT(AVERAGE(K1720:OFFSET(K1720,$B$6-1,0))*$B$9/(4*LN(2)))</f>
        <v>#DIV/0!</v>
      </c>
      <c r="N1720" s="3" t="e">
        <f ca="1">SQRT(AVERAGE(K1720:OFFSET(K1720,$B$7-1,0))*$B$9/(4*LN(2)))</f>
        <v>#DIV/0!</v>
      </c>
      <c r="O1720" s="3" t="e">
        <f ca="1">SQRT(AVERAGE(K1720:OFFSET(K1720,$B$8-1,0))*$B$9/(4*LN(2)))</f>
        <v>#DIV/0!</v>
      </c>
      <c r="Q1720" s="5" t="e">
        <f t="shared" si="138"/>
        <v>#DIV/0!</v>
      </c>
      <c r="R1720" s="5" t="e">
        <f ca="1">SQRT($B$9*AVERAGE((Q1720:OFFSET(Q1720,$B$5-1,0))))</f>
        <v>#DIV/0!</v>
      </c>
      <c r="S1720" s="5" t="e">
        <f ca="1">SQRT($B$9*AVERAGE((Q1720:OFFSET(Q1720,$B$6-1,0))))</f>
        <v>#DIV/0!</v>
      </c>
      <c r="T1720" s="5" t="e">
        <f ca="1">SQRT($B$9*AVERAGE((Q1720:OFFSET(Q1720,$B$7-1,0))))</f>
        <v>#DIV/0!</v>
      </c>
      <c r="U1720" s="5" t="e">
        <f ca="1">SQRT($B$9*AVERAGE((Q1720:OFFSET(Q1720,$B$8-1,0))))</f>
        <v>#DIV/0!</v>
      </c>
      <c r="W1720" s="6" t="e">
        <f t="shared" si="142"/>
        <v>#DIV/0!</v>
      </c>
      <c r="X1720" s="6" t="e">
        <f ca="1">SQRT($B$9*AVERAGE(W1720:OFFSET(W1720,$B$5-1,0)))</f>
        <v>#DIV/0!</v>
      </c>
      <c r="Y1720" s="6" t="e">
        <f ca="1">SQRT($B$9*AVERAGE(W1720:OFFSET(W1720,$B$6-1,0)))</f>
        <v>#DIV/0!</v>
      </c>
      <c r="Z1720" s="6" t="e">
        <f ca="1">SQRT($B$9*AVERAGE(W1720:OFFSET(W1720,$B$7-1,0)))</f>
        <v>#DIV/0!</v>
      </c>
      <c r="AA1720" s="6" t="e">
        <f ca="1">SQRT($B$9*AVERAGE(W1720:OFFSET(W1720,$B$8-1,0)))</f>
        <v>#DIV/0!</v>
      </c>
      <c r="AC1720" s="34" t="e">
        <f t="shared" si="140"/>
        <v>#DIV/0!</v>
      </c>
      <c r="AD1720" s="34" t="e">
        <f ca="1">SQRT($B$9*SUM(AC1720:OFFSET(AC1720,$B$5-1,0))/($B$5-1))</f>
        <v>#DIV/0!</v>
      </c>
      <c r="AE1720" s="34" t="e">
        <f ca="1">SQRT($B$9*SUM(AC1720:OFFSET(AC1720,$B$6-1,0))/($B$6-1))</f>
        <v>#DIV/0!</v>
      </c>
      <c r="AF1720" s="34" t="e">
        <f ca="1">SQRT($B$9*SUM(AC1720:OFFSET(AC1720,$B$7-1,0))/($B$7-1))</f>
        <v>#DIV/0!</v>
      </c>
      <c r="AG1720" s="34" t="e">
        <f ca="1">SQRT($B$9*SUM(AC1720:OFFSET(AC1720,$B$8-1,0))/($B$8-1))</f>
        <v>#DIV/0!</v>
      </c>
      <c r="AI1720" s="1" t="e">
        <f t="shared" si="141"/>
        <v>#DIV/0!</v>
      </c>
      <c r="AJ1720" s="4" t="e">
        <f ca="1">SQRT($B$9)*_xlfn.STDEV.S(AI1720:OFFSET(AI1720,$B$5-1,0))</f>
        <v>#DIV/0!</v>
      </c>
      <c r="AK1720" s="4" t="e">
        <f ca="1">SQRT($B$9)*_xlfn.STDEV.S(AI1720:OFFSET(AI1720,$B$6-1,0))</f>
        <v>#DIV/0!</v>
      </c>
      <c r="AL1720" s="4" t="e">
        <f ca="1">SQRT($B$9)*_xlfn.STDEV.S(AI1720:OFFSET(AI1720,$B$7-1,0))</f>
        <v>#DIV/0!</v>
      </c>
      <c r="AM1720" s="4" t="e">
        <f ca="1">SQRT($B$9)*_xlfn.STDEV.S(AI1720:OFFSET(AI1720,$B$8-1,0))</f>
        <v>#DIV/0!</v>
      </c>
    </row>
    <row r="1721" spans="11:39" x14ac:dyDescent="0.2">
      <c r="K1721" s="3" t="e">
        <f t="shared" si="139"/>
        <v>#DIV/0!</v>
      </c>
      <c r="L1721" s="3" t="e">
        <f ca="1">SQRT(AVERAGE(K1721:OFFSET(K1721,$B$5-1,0))*$B$9/(4*LN(2)))</f>
        <v>#DIV/0!</v>
      </c>
      <c r="M1721" s="3" t="e">
        <f ca="1">SQRT(AVERAGE(K1721:OFFSET(K1721,$B$6-1,0))*$B$9/(4*LN(2)))</f>
        <v>#DIV/0!</v>
      </c>
      <c r="N1721" s="3" t="e">
        <f ca="1">SQRT(AVERAGE(K1721:OFFSET(K1721,$B$7-1,0))*$B$9/(4*LN(2)))</f>
        <v>#DIV/0!</v>
      </c>
      <c r="O1721" s="3" t="e">
        <f ca="1">SQRT(AVERAGE(K1721:OFFSET(K1721,$B$8-1,0))*$B$9/(4*LN(2)))</f>
        <v>#DIV/0!</v>
      </c>
      <c r="Q1721" s="5" t="e">
        <f t="shared" si="138"/>
        <v>#DIV/0!</v>
      </c>
      <c r="R1721" s="5" t="e">
        <f ca="1">SQRT($B$9*AVERAGE((Q1721:OFFSET(Q1721,$B$5-1,0))))</f>
        <v>#DIV/0!</v>
      </c>
      <c r="S1721" s="5" t="e">
        <f ca="1">SQRT($B$9*AVERAGE((Q1721:OFFSET(Q1721,$B$6-1,0))))</f>
        <v>#DIV/0!</v>
      </c>
      <c r="T1721" s="5" t="e">
        <f ca="1">SQRT($B$9*AVERAGE((Q1721:OFFSET(Q1721,$B$7-1,0))))</f>
        <v>#DIV/0!</v>
      </c>
      <c r="U1721" s="5" t="e">
        <f ca="1">SQRT($B$9*AVERAGE((Q1721:OFFSET(Q1721,$B$8-1,0))))</f>
        <v>#DIV/0!</v>
      </c>
      <c r="W1721" s="6" t="e">
        <f t="shared" si="142"/>
        <v>#DIV/0!</v>
      </c>
      <c r="X1721" s="6" t="e">
        <f ca="1">SQRT($B$9*AVERAGE(W1721:OFFSET(W1721,$B$5-1,0)))</f>
        <v>#DIV/0!</v>
      </c>
      <c r="Y1721" s="6" t="e">
        <f ca="1">SQRT($B$9*AVERAGE(W1721:OFFSET(W1721,$B$6-1,0)))</f>
        <v>#DIV/0!</v>
      </c>
      <c r="Z1721" s="6" t="e">
        <f ca="1">SQRT($B$9*AVERAGE(W1721:OFFSET(W1721,$B$7-1,0)))</f>
        <v>#DIV/0!</v>
      </c>
      <c r="AA1721" s="6" t="e">
        <f ca="1">SQRT($B$9*AVERAGE(W1721:OFFSET(W1721,$B$8-1,0)))</f>
        <v>#DIV/0!</v>
      </c>
      <c r="AC1721" s="34" t="e">
        <f t="shared" si="140"/>
        <v>#DIV/0!</v>
      </c>
      <c r="AD1721" s="34" t="e">
        <f ca="1">SQRT($B$9*SUM(AC1721:OFFSET(AC1721,$B$5-1,0))/($B$5-1))</f>
        <v>#DIV/0!</v>
      </c>
      <c r="AE1721" s="34" t="e">
        <f ca="1">SQRT($B$9*SUM(AC1721:OFFSET(AC1721,$B$6-1,0))/($B$6-1))</f>
        <v>#DIV/0!</v>
      </c>
      <c r="AF1721" s="34" t="e">
        <f ca="1">SQRT($B$9*SUM(AC1721:OFFSET(AC1721,$B$7-1,0))/($B$7-1))</f>
        <v>#DIV/0!</v>
      </c>
      <c r="AG1721" s="34" t="e">
        <f ca="1">SQRT($B$9*SUM(AC1721:OFFSET(AC1721,$B$8-1,0))/($B$8-1))</f>
        <v>#DIV/0!</v>
      </c>
      <c r="AI1721" s="1" t="e">
        <f t="shared" si="141"/>
        <v>#DIV/0!</v>
      </c>
      <c r="AJ1721" s="4" t="e">
        <f ca="1">SQRT($B$9)*_xlfn.STDEV.S(AI1721:OFFSET(AI1721,$B$5-1,0))</f>
        <v>#DIV/0!</v>
      </c>
      <c r="AK1721" s="4" t="e">
        <f ca="1">SQRT($B$9)*_xlfn.STDEV.S(AI1721:OFFSET(AI1721,$B$6-1,0))</f>
        <v>#DIV/0!</v>
      </c>
      <c r="AL1721" s="4" t="e">
        <f ca="1">SQRT($B$9)*_xlfn.STDEV.S(AI1721:OFFSET(AI1721,$B$7-1,0))</f>
        <v>#DIV/0!</v>
      </c>
      <c r="AM1721" s="4" t="e">
        <f ca="1">SQRT($B$9)*_xlfn.STDEV.S(AI1721:OFFSET(AI1721,$B$8-1,0))</f>
        <v>#DIV/0!</v>
      </c>
    </row>
    <row r="1722" spans="11:39" x14ac:dyDescent="0.2">
      <c r="K1722" s="3" t="e">
        <f t="shared" si="139"/>
        <v>#DIV/0!</v>
      </c>
      <c r="L1722" s="3" t="e">
        <f ca="1">SQRT(AVERAGE(K1722:OFFSET(K1722,$B$5-1,0))*$B$9/(4*LN(2)))</f>
        <v>#DIV/0!</v>
      </c>
      <c r="M1722" s="3" t="e">
        <f ca="1">SQRT(AVERAGE(K1722:OFFSET(K1722,$B$6-1,0))*$B$9/(4*LN(2)))</f>
        <v>#DIV/0!</v>
      </c>
      <c r="N1722" s="3" t="e">
        <f ca="1">SQRT(AVERAGE(K1722:OFFSET(K1722,$B$7-1,0))*$B$9/(4*LN(2)))</f>
        <v>#DIV/0!</v>
      </c>
      <c r="O1722" s="3" t="e">
        <f ca="1">SQRT(AVERAGE(K1722:OFFSET(K1722,$B$8-1,0))*$B$9/(4*LN(2)))</f>
        <v>#DIV/0!</v>
      </c>
      <c r="Q1722" s="5" t="e">
        <f t="shared" si="138"/>
        <v>#DIV/0!</v>
      </c>
      <c r="R1722" s="5" t="e">
        <f ca="1">SQRT($B$9*AVERAGE((Q1722:OFFSET(Q1722,$B$5-1,0))))</f>
        <v>#DIV/0!</v>
      </c>
      <c r="S1722" s="5" t="e">
        <f ca="1">SQRT($B$9*AVERAGE((Q1722:OFFSET(Q1722,$B$6-1,0))))</f>
        <v>#DIV/0!</v>
      </c>
      <c r="T1722" s="5" t="e">
        <f ca="1">SQRT($B$9*AVERAGE((Q1722:OFFSET(Q1722,$B$7-1,0))))</f>
        <v>#DIV/0!</v>
      </c>
      <c r="U1722" s="5" t="e">
        <f ca="1">SQRT($B$9*AVERAGE((Q1722:OFFSET(Q1722,$B$8-1,0))))</f>
        <v>#DIV/0!</v>
      </c>
      <c r="W1722" s="6" t="e">
        <f t="shared" si="142"/>
        <v>#DIV/0!</v>
      </c>
      <c r="X1722" s="6" t="e">
        <f ca="1">SQRT($B$9*AVERAGE(W1722:OFFSET(W1722,$B$5-1,0)))</f>
        <v>#DIV/0!</v>
      </c>
      <c r="Y1722" s="6" t="e">
        <f ca="1">SQRT($B$9*AVERAGE(W1722:OFFSET(W1722,$B$6-1,0)))</f>
        <v>#DIV/0!</v>
      </c>
      <c r="Z1722" s="6" t="e">
        <f ca="1">SQRT($B$9*AVERAGE(W1722:OFFSET(W1722,$B$7-1,0)))</f>
        <v>#DIV/0!</v>
      </c>
      <c r="AA1722" s="6" t="e">
        <f ca="1">SQRT($B$9*AVERAGE(W1722:OFFSET(W1722,$B$8-1,0)))</f>
        <v>#DIV/0!</v>
      </c>
      <c r="AC1722" s="34" t="e">
        <f t="shared" si="140"/>
        <v>#DIV/0!</v>
      </c>
      <c r="AD1722" s="34" t="e">
        <f ca="1">SQRT($B$9*SUM(AC1722:OFFSET(AC1722,$B$5-1,0))/($B$5-1))</f>
        <v>#DIV/0!</v>
      </c>
      <c r="AE1722" s="34" t="e">
        <f ca="1">SQRT($B$9*SUM(AC1722:OFFSET(AC1722,$B$6-1,0))/($B$6-1))</f>
        <v>#DIV/0!</v>
      </c>
      <c r="AF1722" s="34" t="e">
        <f ca="1">SQRT($B$9*SUM(AC1722:OFFSET(AC1722,$B$7-1,0))/($B$7-1))</f>
        <v>#DIV/0!</v>
      </c>
      <c r="AG1722" s="34" t="e">
        <f ca="1">SQRT($B$9*SUM(AC1722:OFFSET(AC1722,$B$8-1,0))/($B$8-1))</f>
        <v>#DIV/0!</v>
      </c>
      <c r="AI1722" s="1" t="e">
        <f t="shared" si="141"/>
        <v>#DIV/0!</v>
      </c>
      <c r="AJ1722" s="4" t="e">
        <f ca="1">SQRT($B$9)*_xlfn.STDEV.S(AI1722:OFFSET(AI1722,$B$5-1,0))</f>
        <v>#DIV/0!</v>
      </c>
      <c r="AK1722" s="4" t="e">
        <f ca="1">SQRT($B$9)*_xlfn.STDEV.S(AI1722:OFFSET(AI1722,$B$6-1,0))</f>
        <v>#DIV/0!</v>
      </c>
      <c r="AL1722" s="4" t="e">
        <f ca="1">SQRT($B$9)*_xlfn.STDEV.S(AI1722:OFFSET(AI1722,$B$7-1,0))</f>
        <v>#DIV/0!</v>
      </c>
      <c r="AM1722" s="4" t="e">
        <f ca="1">SQRT($B$9)*_xlfn.STDEV.S(AI1722:OFFSET(AI1722,$B$8-1,0))</f>
        <v>#DIV/0!</v>
      </c>
    </row>
    <row r="1723" spans="11:39" x14ac:dyDescent="0.2">
      <c r="K1723" s="3" t="e">
        <f t="shared" si="139"/>
        <v>#DIV/0!</v>
      </c>
      <c r="L1723" s="3" t="e">
        <f ca="1">SQRT(AVERAGE(K1723:OFFSET(K1723,$B$5-1,0))*$B$9/(4*LN(2)))</f>
        <v>#DIV/0!</v>
      </c>
      <c r="M1723" s="3" t="e">
        <f ca="1">SQRT(AVERAGE(K1723:OFFSET(K1723,$B$6-1,0))*$B$9/(4*LN(2)))</f>
        <v>#DIV/0!</v>
      </c>
      <c r="N1723" s="3" t="e">
        <f ca="1">SQRT(AVERAGE(K1723:OFFSET(K1723,$B$7-1,0))*$B$9/(4*LN(2)))</f>
        <v>#DIV/0!</v>
      </c>
      <c r="O1723" s="3" t="e">
        <f ca="1">SQRT(AVERAGE(K1723:OFFSET(K1723,$B$8-1,0))*$B$9/(4*LN(2)))</f>
        <v>#DIV/0!</v>
      </c>
      <c r="Q1723" s="5" t="e">
        <f t="shared" si="138"/>
        <v>#DIV/0!</v>
      </c>
      <c r="R1723" s="5" t="e">
        <f ca="1">SQRT($B$9*AVERAGE((Q1723:OFFSET(Q1723,$B$5-1,0))))</f>
        <v>#DIV/0!</v>
      </c>
      <c r="S1723" s="5" t="e">
        <f ca="1">SQRT($B$9*AVERAGE((Q1723:OFFSET(Q1723,$B$6-1,0))))</f>
        <v>#DIV/0!</v>
      </c>
      <c r="T1723" s="5" t="e">
        <f ca="1">SQRT($B$9*AVERAGE((Q1723:OFFSET(Q1723,$B$7-1,0))))</f>
        <v>#DIV/0!</v>
      </c>
      <c r="U1723" s="5" t="e">
        <f ca="1">SQRT($B$9*AVERAGE((Q1723:OFFSET(Q1723,$B$8-1,0))))</f>
        <v>#DIV/0!</v>
      </c>
      <c r="W1723" s="6" t="e">
        <f t="shared" si="142"/>
        <v>#DIV/0!</v>
      </c>
      <c r="X1723" s="6" t="e">
        <f ca="1">SQRT($B$9*AVERAGE(W1723:OFFSET(W1723,$B$5-1,0)))</f>
        <v>#DIV/0!</v>
      </c>
      <c r="Y1723" s="6" t="e">
        <f ca="1">SQRT($B$9*AVERAGE(W1723:OFFSET(W1723,$B$6-1,0)))</f>
        <v>#DIV/0!</v>
      </c>
      <c r="Z1723" s="6" t="e">
        <f ca="1">SQRT($B$9*AVERAGE(W1723:OFFSET(W1723,$B$7-1,0)))</f>
        <v>#DIV/0!</v>
      </c>
      <c r="AA1723" s="6" t="e">
        <f ca="1">SQRT($B$9*AVERAGE(W1723:OFFSET(W1723,$B$8-1,0)))</f>
        <v>#DIV/0!</v>
      </c>
      <c r="AC1723" s="34" t="e">
        <f t="shared" si="140"/>
        <v>#DIV/0!</v>
      </c>
      <c r="AD1723" s="34" t="e">
        <f ca="1">SQRT($B$9*SUM(AC1723:OFFSET(AC1723,$B$5-1,0))/($B$5-1))</f>
        <v>#DIV/0!</v>
      </c>
      <c r="AE1723" s="34" t="e">
        <f ca="1">SQRT($B$9*SUM(AC1723:OFFSET(AC1723,$B$6-1,0))/($B$6-1))</f>
        <v>#DIV/0!</v>
      </c>
      <c r="AF1723" s="34" t="e">
        <f ca="1">SQRT($B$9*SUM(AC1723:OFFSET(AC1723,$B$7-1,0))/($B$7-1))</f>
        <v>#DIV/0!</v>
      </c>
      <c r="AG1723" s="34" t="e">
        <f ca="1">SQRT($B$9*SUM(AC1723:OFFSET(AC1723,$B$8-1,0))/($B$8-1))</f>
        <v>#DIV/0!</v>
      </c>
      <c r="AI1723" s="1" t="e">
        <f t="shared" si="141"/>
        <v>#DIV/0!</v>
      </c>
      <c r="AJ1723" s="4" t="e">
        <f ca="1">SQRT($B$9)*_xlfn.STDEV.S(AI1723:OFFSET(AI1723,$B$5-1,0))</f>
        <v>#DIV/0!</v>
      </c>
      <c r="AK1723" s="4" t="e">
        <f ca="1">SQRT($B$9)*_xlfn.STDEV.S(AI1723:OFFSET(AI1723,$B$6-1,0))</f>
        <v>#DIV/0!</v>
      </c>
      <c r="AL1723" s="4" t="e">
        <f ca="1">SQRT($B$9)*_xlfn.STDEV.S(AI1723:OFFSET(AI1723,$B$7-1,0))</f>
        <v>#DIV/0!</v>
      </c>
      <c r="AM1723" s="4" t="e">
        <f ca="1">SQRT($B$9)*_xlfn.STDEV.S(AI1723:OFFSET(AI1723,$B$8-1,0))</f>
        <v>#DIV/0!</v>
      </c>
    </row>
    <row r="1724" spans="11:39" x14ac:dyDescent="0.2">
      <c r="K1724" s="3" t="e">
        <f t="shared" si="139"/>
        <v>#DIV/0!</v>
      </c>
      <c r="L1724" s="3" t="e">
        <f ca="1">SQRT(AVERAGE(K1724:OFFSET(K1724,$B$5-1,0))*$B$9/(4*LN(2)))</f>
        <v>#DIV/0!</v>
      </c>
      <c r="M1724" s="3" t="e">
        <f ca="1">SQRT(AVERAGE(K1724:OFFSET(K1724,$B$6-1,0))*$B$9/(4*LN(2)))</f>
        <v>#DIV/0!</v>
      </c>
      <c r="N1724" s="3" t="e">
        <f ca="1">SQRT(AVERAGE(K1724:OFFSET(K1724,$B$7-1,0))*$B$9/(4*LN(2)))</f>
        <v>#DIV/0!</v>
      </c>
      <c r="O1724" s="3" t="e">
        <f ca="1">SQRT(AVERAGE(K1724:OFFSET(K1724,$B$8-1,0))*$B$9/(4*LN(2)))</f>
        <v>#DIV/0!</v>
      </c>
      <c r="Q1724" s="5" t="e">
        <f t="shared" si="138"/>
        <v>#DIV/0!</v>
      </c>
      <c r="R1724" s="5" t="e">
        <f ca="1">SQRT($B$9*AVERAGE((Q1724:OFFSET(Q1724,$B$5-1,0))))</f>
        <v>#DIV/0!</v>
      </c>
      <c r="S1724" s="5" t="e">
        <f ca="1">SQRT($B$9*AVERAGE((Q1724:OFFSET(Q1724,$B$6-1,0))))</f>
        <v>#DIV/0!</v>
      </c>
      <c r="T1724" s="5" t="e">
        <f ca="1">SQRT($B$9*AVERAGE((Q1724:OFFSET(Q1724,$B$7-1,0))))</f>
        <v>#DIV/0!</v>
      </c>
      <c r="U1724" s="5" t="e">
        <f ca="1">SQRT($B$9*AVERAGE((Q1724:OFFSET(Q1724,$B$8-1,0))))</f>
        <v>#DIV/0!</v>
      </c>
      <c r="W1724" s="6" t="e">
        <f t="shared" si="142"/>
        <v>#DIV/0!</v>
      </c>
      <c r="X1724" s="6" t="e">
        <f ca="1">SQRT($B$9*AVERAGE(W1724:OFFSET(W1724,$B$5-1,0)))</f>
        <v>#DIV/0!</v>
      </c>
      <c r="Y1724" s="6" t="e">
        <f ca="1">SQRT($B$9*AVERAGE(W1724:OFFSET(W1724,$B$6-1,0)))</f>
        <v>#DIV/0!</v>
      </c>
      <c r="Z1724" s="6" t="e">
        <f ca="1">SQRT($B$9*AVERAGE(W1724:OFFSET(W1724,$B$7-1,0)))</f>
        <v>#DIV/0!</v>
      </c>
      <c r="AA1724" s="6" t="e">
        <f ca="1">SQRT($B$9*AVERAGE(W1724:OFFSET(W1724,$B$8-1,0)))</f>
        <v>#DIV/0!</v>
      </c>
      <c r="AC1724" s="34" t="e">
        <f t="shared" si="140"/>
        <v>#DIV/0!</v>
      </c>
      <c r="AD1724" s="34" t="e">
        <f ca="1">SQRT($B$9*SUM(AC1724:OFFSET(AC1724,$B$5-1,0))/($B$5-1))</f>
        <v>#DIV/0!</v>
      </c>
      <c r="AE1724" s="34" t="e">
        <f ca="1">SQRT($B$9*SUM(AC1724:OFFSET(AC1724,$B$6-1,0))/($B$6-1))</f>
        <v>#DIV/0!</v>
      </c>
      <c r="AF1724" s="34" t="e">
        <f ca="1">SQRT($B$9*SUM(AC1724:OFFSET(AC1724,$B$7-1,0))/($B$7-1))</f>
        <v>#DIV/0!</v>
      </c>
      <c r="AG1724" s="34" t="e">
        <f ca="1">SQRT($B$9*SUM(AC1724:OFFSET(AC1724,$B$8-1,0))/($B$8-1))</f>
        <v>#DIV/0!</v>
      </c>
      <c r="AI1724" s="1" t="e">
        <f t="shared" si="141"/>
        <v>#DIV/0!</v>
      </c>
      <c r="AJ1724" s="4" t="e">
        <f ca="1">SQRT($B$9)*_xlfn.STDEV.S(AI1724:OFFSET(AI1724,$B$5-1,0))</f>
        <v>#DIV/0!</v>
      </c>
      <c r="AK1724" s="4" t="e">
        <f ca="1">SQRT($B$9)*_xlfn.STDEV.S(AI1724:OFFSET(AI1724,$B$6-1,0))</f>
        <v>#DIV/0!</v>
      </c>
      <c r="AL1724" s="4" t="e">
        <f ca="1">SQRT($B$9)*_xlfn.STDEV.S(AI1724:OFFSET(AI1724,$B$7-1,0))</f>
        <v>#DIV/0!</v>
      </c>
      <c r="AM1724" s="4" t="e">
        <f ca="1">SQRT($B$9)*_xlfn.STDEV.S(AI1724:OFFSET(AI1724,$B$8-1,0))</f>
        <v>#DIV/0!</v>
      </c>
    </row>
    <row r="1725" spans="11:39" x14ac:dyDescent="0.2">
      <c r="K1725" s="3" t="e">
        <f t="shared" si="139"/>
        <v>#DIV/0!</v>
      </c>
      <c r="L1725" s="3" t="e">
        <f ca="1">SQRT(AVERAGE(K1725:OFFSET(K1725,$B$5-1,0))*$B$9/(4*LN(2)))</f>
        <v>#DIV/0!</v>
      </c>
      <c r="M1725" s="3" t="e">
        <f ca="1">SQRT(AVERAGE(K1725:OFFSET(K1725,$B$6-1,0))*$B$9/(4*LN(2)))</f>
        <v>#DIV/0!</v>
      </c>
      <c r="N1725" s="3" t="e">
        <f ca="1">SQRT(AVERAGE(K1725:OFFSET(K1725,$B$7-1,0))*$B$9/(4*LN(2)))</f>
        <v>#DIV/0!</v>
      </c>
      <c r="O1725" s="3" t="e">
        <f ca="1">SQRT(AVERAGE(K1725:OFFSET(K1725,$B$8-1,0))*$B$9/(4*LN(2)))</f>
        <v>#DIV/0!</v>
      </c>
      <c r="Q1725" s="5" t="e">
        <f t="shared" si="138"/>
        <v>#DIV/0!</v>
      </c>
      <c r="R1725" s="5" t="e">
        <f ca="1">SQRT($B$9*AVERAGE((Q1725:OFFSET(Q1725,$B$5-1,0))))</f>
        <v>#DIV/0!</v>
      </c>
      <c r="S1725" s="5" t="e">
        <f ca="1">SQRT($B$9*AVERAGE((Q1725:OFFSET(Q1725,$B$6-1,0))))</f>
        <v>#DIV/0!</v>
      </c>
      <c r="T1725" s="5" t="e">
        <f ca="1">SQRT($B$9*AVERAGE((Q1725:OFFSET(Q1725,$B$7-1,0))))</f>
        <v>#DIV/0!</v>
      </c>
      <c r="U1725" s="5" t="e">
        <f ca="1">SQRT($B$9*AVERAGE((Q1725:OFFSET(Q1725,$B$8-1,0))))</f>
        <v>#DIV/0!</v>
      </c>
      <c r="W1725" s="6" t="e">
        <f t="shared" si="142"/>
        <v>#DIV/0!</v>
      </c>
      <c r="X1725" s="6" t="e">
        <f ca="1">SQRT($B$9*AVERAGE(W1725:OFFSET(W1725,$B$5-1,0)))</f>
        <v>#DIV/0!</v>
      </c>
      <c r="Y1725" s="6" t="e">
        <f ca="1">SQRT($B$9*AVERAGE(W1725:OFFSET(W1725,$B$6-1,0)))</f>
        <v>#DIV/0!</v>
      </c>
      <c r="Z1725" s="6" t="e">
        <f ca="1">SQRT($B$9*AVERAGE(W1725:OFFSET(W1725,$B$7-1,0)))</f>
        <v>#DIV/0!</v>
      </c>
      <c r="AA1725" s="6" t="e">
        <f ca="1">SQRT($B$9*AVERAGE(W1725:OFFSET(W1725,$B$8-1,0)))</f>
        <v>#DIV/0!</v>
      </c>
      <c r="AC1725" s="34" t="e">
        <f t="shared" si="140"/>
        <v>#DIV/0!</v>
      </c>
      <c r="AD1725" s="34" t="e">
        <f ca="1">SQRT($B$9*SUM(AC1725:OFFSET(AC1725,$B$5-1,0))/($B$5-1))</f>
        <v>#DIV/0!</v>
      </c>
      <c r="AE1725" s="34" t="e">
        <f ca="1">SQRT($B$9*SUM(AC1725:OFFSET(AC1725,$B$6-1,0))/($B$6-1))</f>
        <v>#DIV/0!</v>
      </c>
      <c r="AF1725" s="34" t="e">
        <f ca="1">SQRT($B$9*SUM(AC1725:OFFSET(AC1725,$B$7-1,0))/($B$7-1))</f>
        <v>#DIV/0!</v>
      </c>
      <c r="AG1725" s="34" t="e">
        <f ca="1">SQRT($B$9*SUM(AC1725:OFFSET(AC1725,$B$8-1,0))/($B$8-1))</f>
        <v>#DIV/0!</v>
      </c>
      <c r="AI1725" s="1" t="e">
        <f t="shared" si="141"/>
        <v>#DIV/0!</v>
      </c>
      <c r="AJ1725" s="4" t="e">
        <f ca="1">SQRT($B$9)*_xlfn.STDEV.S(AI1725:OFFSET(AI1725,$B$5-1,0))</f>
        <v>#DIV/0!</v>
      </c>
      <c r="AK1725" s="4" t="e">
        <f ca="1">SQRT($B$9)*_xlfn.STDEV.S(AI1725:OFFSET(AI1725,$B$6-1,0))</f>
        <v>#DIV/0!</v>
      </c>
      <c r="AL1725" s="4" t="e">
        <f ca="1">SQRT($B$9)*_xlfn.STDEV.S(AI1725:OFFSET(AI1725,$B$7-1,0))</f>
        <v>#DIV/0!</v>
      </c>
      <c r="AM1725" s="4" t="e">
        <f ca="1">SQRT($B$9)*_xlfn.STDEV.S(AI1725:OFFSET(AI1725,$B$8-1,0))</f>
        <v>#DIV/0!</v>
      </c>
    </row>
    <row r="1726" spans="11:39" x14ac:dyDescent="0.2">
      <c r="K1726" s="3" t="e">
        <f t="shared" si="139"/>
        <v>#DIV/0!</v>
      </c>
      <c r="L1726" s="3" t="e">
        <f ca="1">SQRT(AVERAGE(K1726:OFFSET(K1726,$B$5-1,0))*$B$9/(4*LN(2)))</f>
        <v>#DIV/0!</v>
      </c>
      <c r="M1726" s="3" t="e">
        <f ca="1">SQRT(AVERAGE(K1726:OFFSET(K1726,$B$6-1,0))*$B$9/(4*LN(2)))</f>
        <v>#DIV/0!</v>
      </c>
      <c r="N1726" s="3" t="e">
        <f ca="1">SQRT(AVERAGE(K1726:OFFSET(K1726,$B$7-1,0))*$B$9/(4*LN(2)))</f>
        <v>#DIV/0!</v>
      </c>
      <c r="O1726" s="3" t="e">
        <f ca="1">SQRT(AVERAGE(K1726:OFFSET(K1726,$B$8-1,0))*$B$9/(4*LN(2)))</f>
        <v>#DIV/0!</v>
      </c>
      <c r="Q1726" s="5" t="e">
        <f t="shared" si="138"/>
        <v>#DIV/0!</v>
      </c>
      <c r="R1726" s="5" t="e">
        <f ca="1">SQRT($B$9*AVERAGE((Q1726:OFFSET(Q1726,$B$5-1,0))))</f>
        <v>#DIV/0!</v>
      </c>
      <c r="S1726" s="5" t="e">
        <f ca="1">SQRT($B$9*AVERAGE((Q1726:OFFSET(Q1726,$B$6-1,0))))</f>
        <v>#DIV/0!</v>
      </c>
      <c r="T1726" s="5" t="e">
        <f ca="1">SQRT($B$9*AVERAGE((Q1726:OFFSET(Q1726,$B$7-1,0))))</f>
        <v>#DIV/0!</v>
      </c>
      <c r="U1726" s="5" t="e">
        <f ca="1">SQRT($B$9*AVERAGE((Q1726:OFFSET(Q1726,$B$8-1,0))))</f>
        <v>#DIV/0!</v>
      </c>
      <c r="W1726" s="6" t="e">
        <f t="shared" si="142"/>
        <v>#DIV/0!</v>
      </c>
      <c r="X1726" s="6" t="e">
        <f ca="1">SQRT($B$9*AVERAGE(W1726:OFFSET(W1726,$B$5-1,0)))</f>
        <v>#DIV/0!</v>
      </c>
      <c r="Y1726" s="6" t="e">
        <f ca="1">SQRT($B$9*AVERAGE(W1726:OFFSET(W1726,$B$6-1,0)))</f>
        <v>#DIV/0!</v>
      </c>
      <c r="Z1726" s="6" t="e">
        <f ca="1">SQRT($B$9*AVERAGE(W1726:OFFSET(W1726,$B$7-1,0)))</f>
        <v>#DIV/0!</v>
      </c>
      <c r="AA1726" s="6" t="e">
        <f ca="1">SQRT($B$9*AVERAGE(W1726:OFFSET(W1726,$B$8-1,0)))</f>
        <v>#DIV/0!</v>
      </c>
      <c r="AC1726" s="34" t="e">
        <f t="shared" si="140"/>
        <v>#DIV/0!</v>
      </c>
      <c r="AD1726" s="34" t="e">
        <f ca="1">SQRT($B$9*SUM(AC1726:OFFSET(AC1726,$B$5-1,0))/($B$5-1))</f>
        <v>#DIV/0!</v>
      </c>
      <c r="AE1726" s="34" t="e">
        <f ca="1">SQRT($B$9*SUM(AC1726:OFFSET(AC1726,$B$6-1,0))/($B$6-1))</f>
        <v>#DIV/0!</v>
      </c>
      <c r="AF1726" s="34" t="e">
        <f ca="1">SQRT($B$9*SUM(AC1726:OFFSET(AC1726,$B$7-1,0))/($B$7-1))</f>
        <v>#DIV/0!</v>
      </c>
      <c r="AG1726" s="34" t="e">
        <f ca="1">SQRT($B$9*SUM(AC1726:OFFSET(AC1726,$B$8-1,0))/($B$8-1))</f>
        <v>#DIV/0!</v>
      </c>
      <c r="AI1726" s="1" t="e">
        <f t="shared" si="141"/>
        <v>#DIV/0!</v>
      </c>
      <c r="AJ1726" s="4" t="e">
        <f ca="1">SQRT($B$9)*_xlfn.STDEV.S(AI1726:OFFSET(AI1726,$B$5-1,0))</f>
        <v>#DIV/0!</v>
      </c>
      <c r="AK1726" s="4" t="e">
        <f ca="1">SQRT($B$9)*_xlfn.STDEV.S(AI1726:OFFSET(AI1726,$B$6-1,0))</f>
        <v>#DIV/0!</v>
      </c>
      <c r="AL1726" s="4" t="e">
        <f ca="1">SQRT($B$9)*_xlfn.STDEV.S(AI1726:OFFSET(AI1726,$B$7-1,0))</f>
        <v>#DIV/0!</v>
      </c>
      <c r="AM1726" s="4" t="e">
        <f ca="1">SQRT($B$9)*_xlfn.STDEV.S(AI1726:OFFSET(AI1726,$B$8-1,0))</f>
        <v>#DIV/0!</v>
      </c>
    </row>
    <row r="1727" spans="11:39" x14ac:dyDescent="0.2">
      <c r="K1727" s="3" t="e">
        <f t="shared" si="139"/>
        <v>#DIV/0!</v>
      </c>
      <c r="L1727" s="3" t="e">
        <f ca="1">SQRT(AVERAGE(K1727:OFFSET(K1727,$B$5-1,0))*$B$9/(4*LN(2)))</f>
        <v>#DIV/0!</v>
      </c>
      <c r="M1727" s="3" t="e">
        <f ca="1">SQRT(AVERAGE(K1727:OFFSET(K1727,$B$6-1,0))*$B$9/(4*LN(2)))</f>
        <v>#DIV/0!</v>
      </c>
      <c r="N1727" s="3" t="e">
        <f ca="1">SQRT(AVERAGE(K1727:OFFSET(K1727,$B$7-1,0))*$B$9/(4*LN(2)))</f>
        <v>#DIV/0!</v>
      </c>
      <c r="O1727" s="3" t="e">
        <f ca="1">SQRT(AVERAGE(K1727:OFFSET(K1727,$B$8-1,0))*$B$9/(4*LN(2)))</f>
        <v>#DIV/0!</v>
      </c>
      <c r="Q1727" s="5" t="e">
        <f t="shared" si="138"/>
        <v>#DIV/0!</v>
      </c>
      <c r="R1727" s="5" t="e">
        <f ca="1">SQRT($B$9*AVERAGE((Q1727:OFFSET(Q1727,$B$5-1,0))))</f>
        <v>#DIV/0!</v>
      </c>
      <c r="S1727" s="5" t="e">
        <f ca="1">SQRT($B$9*AVERAGE((Q1727:OFFSET(Q1727,$B$6-1,0))))</f>
        <v>#DIV/0!</v>
      </c>
      <c r="T1727" s="5" t="e">
        <f ca="1">SQRT($B$9*AVERAGE((Q1727:OFFSET(Q1727,$B$7-1,0))))</f>
        <v>#DIV/0!</v>
      </c>
      <c r="U1727" s="5" t="e">
        <f ca="1">SQRT($B$9*AVERAGE((Q1727:OFFSET(Q1727,$B$8-1,0))))</f>
        <v>#DIV/0!</v>
      </c>
      <c r="W1727" s="6" t="e">
        <f t="shared" si="142"/>
        <v>#DIV/0!</v>
      </c>
      <c r="X1727" s="6" t="e">
        <f ca="1">SQRT($B$9*AVERAGE(W1727:OFFSET(W1727,$B$5-1,0)))</f>
        <v>#DIV/0!</v>
      </c>
      <c r="Y1727" s="6" t="e">
        <f ca="1">SQRT($B$9*AVERAGE(W1727:OFFSET(W1727,$B$6-1,0)))</f>
        <v>#DIV/0!</v>
      </c>
      <c r="Z1727" s="6" t="e">
        <f ca="1">SQRT($B$9*AVERAGE(W1727:OFFSET(W1727,$B$7-1,0)))</f>
        <v>#DIV/0!</v>
      </c>
      <c r="AA1727" s="6" t="e">
        <f ca="1">SQRT($B$9*AVERAGE(W1727:OFFSET(W1727,$B$8-1,0)))</f>
        <v>#DIV/0!</v>
      </c>
      <c r="AC1727" s="34" t="e">
        <f t="shared" si="140"/>
        <v>#DIV/0!</v>
      </c>
      <c r="AD1727" s="34" t="e">
        <f ca="1">SQRT($B$9*SUM(AC1727:OFFSET(AC1727,$B$5-1,0))/($B$5-1))</f>
        <v>#DIV/0!</v>
      </c>
      <c r="AE1727" s="34" t="e">
        <f ca="1">SQRT($B$9*SUM(AC1727:OFFSET(AC1727,$B$6-1,0))/($B$6-1))</f>
        <v>#DIV/0!</v>
      </c>
      <c r="AF1727" s="34" t="e">
        <f ca="1">SQRT($B$9*SUM(AC1727:OFFSET(AC1727,$B$7-1,0))/($B$7-1))</f>
        <v>#DIV/0!</v>
      </c>
      <c r="AG1727" s="34" t="e">
        <f ca="1">SQRT($B$9*SUM(AC1727:OFFSET(AC1727,$B$8-1,0))/($B$8-1))</f>
        <v>#DIV/0!</v>
      </c>
      <c r="AI1727" s="1" t="e">
        <f t="shared" si="141"/>
        <v>#DIV/0!</v>
      </c>
      <c r="AJ1727" s="4" t="e">
        <f ca="1">SQRT($B$9)*_xlfn.STDEV.S(AI1727:OFFSET(AI1727,$B$5-1,0))</f>
        <v>#DIV/0!</v>
      </c>
      <c r="AK1727" s="4" t="e">
        <f ca="1">SQRT($B$9)*_xlfn.STDEV.S(AI1727:OFFSET(AI1727,$B$6-1,0))</f>
        <v>#DIV/0!</v>
      </c>
      <c r="AL1727" s="4" t="e">
        <f ca="1">SQRT($B$9)*_xlfn.STDEV.S(AI1727:OFFSET(AI1727,$B$7-1,0))</f>
        <v>#DIV/0!</v>
      </c>
      <c r="AM1727" s="4" t="e">
        <f ca="1">SQRT($B$9)*_xlfn.STDEV.S(AI1727:OFFSET(AI1727,$B$8-1,0))</f>
        <v>#DIV/0!</v>
      </c>
    </row>
    <row r="1728" spans="11:39" x14ac:dyDescent="0.2">
      <c r="K1728" s="3" t="e">
        <f t="shared" si="139"/>
        <v>#DIV/0!</v>
      </c>
      <c r="L1728" s="3" t="e">
        <f ca="1">SQRT(AVERAGE(K1728:OFFSET(K1728,$B$5-1,0))*$B$9/(4*LN(2)))</f>
        <v>#DIV/0!</v>
      </c>
      <c r="M1728" s="3" t="e">
        <f ca="1">SQRT(AVERAGE(K1728:OFFSET(K1728,$B$6-1,0))*$B$9/(4*LN(2)))</f>
        <v>#DIV/0!</v>
      </c>
      <c r="N1728" s="3" t="e">
        <f ca="1">SQRT(AVERAGE(K1728:OFFSET(K1728,$B$7-1,0))*$B$9/(4*LN(2)))</f>
        <v>#DIV/0!</v>
      </c>
      <c r="O1728" s="3" t="e">
        <f ca="1">SQRT(AVERAGE(K1728:OFFSET(K1728,$B$8-1,0))*$B$9/(4*LN(2)))</f>
        <v>#DIV/0!</v>
      </c>
      <c r="Q1728" s="5" t="e">
        <f t="shared" si="138"/>
        <v>#DIV/0!</v>
      </c>
      <c r="R1728" s="5" t="e">
        <f ca="1">SQRT($B$9*AVERAGE((Q1728:OFFSET(Q1728,$B$5-1,0))))</f>
        <v>#DIV/0!</v>
      </c>
      <c r="S1728" s="5" t="e">
        <f ca="1">SQRT($B$9*AVERAGE((Q1728:OFFSET(Q1728,$B$6-1,0))))</f>
        <v>#DIV/0!</v>
      </c>
      <c r="T1728" s="5" t="e">
        <f ca="1">SQRT($B$9*AVERAGE((Q1728:OFFSET(Q1728,$B$7-1,0))))</f>
        <v>#DIV/0!</v>
      </c>
      <c r="U1728" s="5" t="e">
        <f ca="1">SQRT($B$9*AVERAGE((Q1728:OFFSET(Q1728,$B$8-1,0))))</f>
        <v>#DIV/0!</v>
      </c>
      <c r="W1728" s="6" t="e">
        <f t="shared" si="142"/>
        <v>#DIV/0!</v>
      </c>
      <c r="X1728" s="6" t="e">
        <f ca="1">SQRT($B$9*AVERAGE(W1728:OFFSET(W1728,$B$5-1,0)))</f>
        <v>#DIV/0!</v>
      </c>
      <c r="Y1728" s="6" t="e">
        <f ca="1">SQRT($B$9*AVERAGE(W1728:OFFSET(W1728,$B$6-1,0)))</f>
        <v>#DIV/0!</v>
      </c>
      <c r="Z1728" s="6" t="e">
        <f ca="1">SQRT($B$9*AVERAGE(W1728:OFFSET(W1728,$B$7-1,0)))</f>
        <v>#DIV/0!</v>
      </c>
      <c r="AA1728" s="6" t="e">
        <f ca="1">SQRT($B$9*AVERAGE(W1728:OFFSET(W1728,$B$8-1,0)))</f>
        <v>#DIV/0!</v>
      </c>
      <c r="AC1728" s="34" t="e">
        <f t="shared" si="140"/>
        <v>#DIV/0!</v>
      </c>
      <c r="AD1728" s="34" t="e">
        <f ca="1">SQRT($B$9*SUM(AC1728:OFFSET(AC1728,$B$5-1,0))/($B$5-1))</f>
        <v>#DIV/0!</v>
      </c>
      <c r="AE1728" s="34" t="e">
        <f ca="1">SQRT($B$9*SUM(AC1728:OFFSET(AC1728,$B$6-1,0))/($B$6-1))</f>
        <v>#DIV/0!</v>
      </c>
      <c r="AF1728" s="34" t="e">
        <f ca="1">SQRT($B$9*SUM(AC1728:OFFSET(AC1728,$B$7-1,0))/($B$7-1))</f>
        <v>#DIV/0!</v>
      </c>
      <c r="AG1728" s="34" t="e">
        <f ca="1">SQRT($B$9*SUM(AC1728:OFFSET(AC1728,$B$8-1,0))/($B$8-1))</f>
        <v>#DIV/0!</v>
      </c>
      <c r="AI1728" s="1" t="e">
        <f t="shared" si="141"/>
        <v>#DIV/0!</v>
      </c>
      <c r="AJ1728" s="4" t="e">
        <f ca="1">SQRT($B$9)*_xlfn.STDEV.S(AI1728:OFFSET(AI1728,$B$5-1,0))</f>
        <v>#DIV/0!</v>
      </c>
      <c r="AK1728" s="4" t="e">
        <f ca="1">SQRT($B$9)*_xlfn.STDEV.S(AI1728:OFFSET(AI1728,$B$6-1,0))</f>
        <v>#DIV/0!</v>
      </c>
      <c r="AL1728" s="4" t="e">
        <f ca="1">SQRT($B$9)*_xlfn.STDEV.S(AI1728:OFFSET(AI1728,$B$7-1,0))</f>
        <v>#DIV/0!</v>
      </c>
      <c r="AM1728" s="4" t="e">
        <f ca="1">SQRT($B$9)*_xlfn.STDEV.S(AI1728:OFFSET(AI1728,$B$8-1,0))</f>
        <v>#DIV/0!</v>
      </c>
    </row>
    <row r="1729" spans="11:39" x14ac:dyDescent="0.2">
      <c r="K1729" s="3" t="e">
        <f t="shared" si="139"/>
        <v>#DIV/0!</v>
      </c>
      <c r="L1729" s="3" t="e">
        <f ca="1">SQRT(AVERAGE(K1729:OFFSET(K1729,$B$5-1,0))*$B$9/(4*LN(2)))</f>
        <v>#DIV/0!</v>
      </c>
      <c r="M1729" s="3" t="e">
        <f ca="1">SQRT(AVERAGE(K1729:OFFSET(K1729,$B$6-1,0))*$B$9/(4*LN(2)))</f>
        <v>#DIV/0!</v>
      </c>
      <c r="N1729" s="3" t="e">
        <f ca="1">SQRT(AVERAGE(K1729:OFFSET(K1729,$B$7-1,0))*$B$9/(4*LN(2)))</f>
        <v>#DIV/0!</v>
      </c>
      <c r="O1729" s="3" t="e">
        <f ca="1">SQRT(AVERAGE(K1729:OFFSET(K1729,$B$8-1,0))*$B$9/(4*LN(2)))</f>
        <v>#DIV/0!</v>
      </c>
      <c r="Q1729" s="5" t="e">
        <f t="shared" si="138"/>
        <v>#DIV/0!</v>
      </c>
      <c r="R1729" s="5" t="e">
        <f ca="1">SQRT($B$9*AVERAGE((Q1729:OFFSET(Q1729,$B$5-1,0))))</f>
        <v>#DIV/0!</v>
      </c>
      <c r="S1729" s="5" t="e">
        <f ca="1">SQRT($B$9*AVERAGE((Q1729:OFFSET(Q1729,$B$6-1,0))))</f>
        <v>#DIV/0!</v>
      </c>
      <c r="T1729" s="5" t="e">
        <f ca="1">SQRT($B$9*AVERAGE((Q1729:OFFSET(Q1729,$B$7-1,0))))</f>
        <v>#DIV/0!</v>
      </c>
      <c r="U1729" s="5" t="e">
        <f ca="1">SQRT($B$9*AVERAGE((Q1729:OFFSET(Q1729,$B$8-1,0))))</f>
        <v>#DIV/0!</v>
      </c>
      <c r="W1729" s="6" t="e">
        <f t="shared" si="142"/>
        <v>#DIV/0!</v>
      </c>
      <c r="X1729" s="6" t="e">
        <f ca="1">SQRT($B$9*AVERAGE(W1729:OFFSET(W1729,$B$5-1,0)))</f>
        <v>#DIV/0!</v>
      </c>
      <c r="Y1729" s="6" t="e">
        <f ca="1">SQRT($B$9*AVERAGE(W1729:OFFSET(W1729,$B$6-1,0)))</f>
        <v>#DIV/0!</v>
      </c>
      <c r="Z1729" s="6" t="e">
        <f ca="1">SQRT($B$9*AVERAGE(W1729:OFFSET(W1729,$B$7-1,0)))</f>
        <v>#DIV/0!</v>
      </c>
      <c r="AA1729" s="6" t="e">
        <f ca="1">SQRT($B$9*AVERAGE(W1729:OFFSET(W1729,$B$8-1,0)))</f>
        <v>#DIV/0!</v>
      </c>
      <c r="AC1729" s="34" t="e">
        <f t="shared" si="140"/>
        <v>#DIV/0!</v>
      </c>
      <c r="AD1729" s="34" t="e">
        <f ca="1">SQRT($B$9*SUM(AC1729:OFFSET(AC1729,$B$5-1,0))/($B$5-1))</f>
        <v>#DIV/0!</v>
      </c>
      <c r="AE1729" s="34" t="e">
        <f ca="1">SQRT($B$9*SUM(AC1729:OFFSET(AC1729,$B$6-1,0))/($B$6-1))</f>
        <v>#DIV/0!</v>
      </c>
      <c r="AF1729" s="34" t="e">
        <f ca="1">SQRT($B$9*SUM(AC1729:OFFSET(AC1729,$B$7-1,0))/($B$7-1))</f>
        <v>#DIV/0!</v>
      </c>
      <c r="AG1729" s="34" t="e">
        <f ca="1">SQRT($B$9*SUM(AC1729:OFFSET(AC1729,$B$8-1,0))/($B$8-1))</f>
        <v>#DIV/0!</v>
      </c>
      <c r="AI1729" s="1" t="e">
        <f t="shared" si="141"/>
        <v>#DIV/0!</v>
      </c>
      <c r="AJ1729" s="4" t="e">
        <f ca="1">SQRT($B$9)*_xlfn.STDEV.S(AI1729:OFFSET(AI1729,$B$5-1,0))</f>
        <v>#DIV/0!</v>
      </c>
      <c r="AK1729" s="4" t="e">
        <f ca="1">SQRT($B$9)*_xlfn.STDEV.S(AI1729:OFFSET(AI1729,$B$6-1,0))</f>
        <v>#DIV/0!</v>
      </c>
      <c r="AL1729" s="4" t="e">
        <f ca="1">SQRT($B$9)*_xlfn.STDEV.S(AI1729:OFFSET(AI1729,$B$7-1,0))</f>
        <v>#DIV/0!</v>
      </c>
      <c r="AM1729" s="4" t="e">
        <f ca="1">SQRT($B$9)*_xlfn.STDEV.S(AI1729:OFFSET(AI1729,$B$8-1,0))</f>
        <v>#DIV/0!</v>
      </c>
    </row>
    <row r="1730" spans="11:39" x14ac:dyDescent="0.2">
      <c r="K1730" s="3" t="e">
        <f t="shared" si="139"/>
        <v>#DIV/0!</v>
      </c>
      <c r="L1730" s="3" t="e">
        <f ca="1">SQRT(AVERAGE(K1730:OFFSET(K1730,$B$5-1,0))*$B$9/(4*LN(2)))</f>
        <v>#DIV/0!</v>
      </c>
      <c r="M1730" s="3" t="e">
        <f ca="1">SQRT(AVERAGE(K1730:OFFSET(K1730,$B$6-1,0))*$B$9/(4*LN(2)))</f>
        <v>#DIV/0!</v>
      </c>
      <c r="N1730" s="3" t="e">
        <f ca="1">SQRT(AVERAGE(K1730:OFFSET(K1730,$B$7-1,0))*$B$9/(4*LN(2)))</f>
        <v>#DIV/0!</v>
      </c>
      <c r="O1730" s="3" t="e">
        <f ca="1">SQRT(AVERAGE(K1730:OFFSET(K1730,$B$8-1,0))*$B$9/(4*LN(2)))</f>
        <v>#DIV/0!</v>
      </c>
      <c r="Q1730" s="5" t="e">
        <f t="shared" si="138"/>
        <v>#DIV/0!</v>
      </c>
      <c r="R1730" s="5" t="e">
        <f ca="1">SQRT($B$9*AVERAGE((Q1730:OFFSET(Q1730,$B$5-1,0))))</f>
        <v>#DIV/0!</v>
      </c>
      <c r="S1730" s="5" t="e">
        <f ca="1">SQRT($B$9*AVERAGE((Q1730:OFFSET(Q1730,$B$6-1,0))))</f>
        <v>#DIV/0!</v>
      </c>
      <c r="T1730" s="5" t="e">
        <f ca="1">SQRT($B$9*AVERAGE((Q1730:OFFSET(Q1730,$B$7-1,0))))</f>
        <v>#DIV/0!</v>
      </c>
      <c r="U1730" s="5" t="e">
        <f ca="1">SQRT($B$9*AVERAGE((Q1730:OFFSET(Q1730,$B$8-1,0))))</f>
        <v>#DIV/0!</v>
      </c>
      <c r="W1730" s="6" t="e">
        <f t="shared" si="142"/>
        <v>#DIV/0!</v>
      </c>
      <c r="X1730" s="6" t="e">
        <f ca="1">SQRT($B$9*AVERAGE(W1730:OFFSET(W1730,$B$5-1,0)))</f>
        <v>#DIV/0!</v>
      </c>
      <c r="Y1730" s="6" t="e">
        <f ca="1">SQRT($B$9*AVERAGE(W1730:OFFSET(W1730,$B$6-1,0)))</f>
        <v>#DIV/0!</v>
      </c>
      <c r="Z1730" s="6" t="e">
        <f ca="1">SQRT($B$9*AVERAGE(W1730:OFFSET(W1730,$B$7-1,0)))</f>
        <v>#DIV/0!</v>
      </c>
      <c r="AA1730" s="6" t="e">
        <f ca="1">SQRT($B$9*AVERAGE(W1730:OFFSET(W1730,$B$8-1,0)))</f>
        <v>#DIV/0!</v>
      </c>
      <c r="AC1730" s="34" t="e">
        <f t="shared" si="140"/>
        <v>#DIV/0!</v>
      </c>
      <c r="AD1730" s="34" t="e">
        <f ca="1">SQRT($B$9*SUM(AC1730:OFFSET(AC1730,$B$5-1,0))/($B$5-1))</f>
        <v>#DIV/0!</v>
      </c>
      <c r="AE1730" s="34" t="e">
        <f ca="1">SQRT($B$9*SUM(AC1730:OFFSET(AC1730,$B$6-1,0))/($B$6-1))</f>
        <v>#DIV/0!</v>
      </c>
      <c r="AF1730" s="34" t="e">
        <f ca="1">SQRT($B$9*SUM(AC1730:OFFSET(AC1730,$B$7-1,0))/($B$7-1))</f>
        <v>#DIV/0!</v>
      </c>
      <c r="AG1730" s="34" t="e">
        <f ca="1">SQRT($B$9*SUM(AC1730:OFFSET(AC1730,$B$8-1,0))/($B$8-1))</f>
        <v>#DIV/0!</v>
      </c>
      <c r="AI1730" s="1" t="e">
        <f t="shared" si="141"/>
        <v>#DIV/0!</v>
      </c>
      <c r="AJ1730" s="4" t="e">
        <f ca="1">SQRT($B$9)*_xlfn.STDEV.S(AI1730:OFFSET(AI1730,$B$5-1,0))</f>
        <v>#DIV/0!</v>
      </c>
      <c r="AK1730" s="4" t="e">
        <f ca="1">SQRT($B$9)*_xlfn.STDEV.S(AI1730:OFFSET(AI1730,$B$6-1,0))</f>
        <v>#DIV/0!</v>
      </c>
      <c r="AL1730" s="4" t="e">
        <f ca="1">SQRT($B$9)*_xlfn.STDEV.S(AI1730:OFFSET(AI1730,$B$7-1,0))</f>
        <v>#DIV/0!</v>
      </c>
      <c r="AM1730" s="4" t="e">
        <f ca="1">SQRT($B$9)*_xlfn.STDEV.S(AI1730:OFFSET(AI1730,$B$8-1,0))</f>
        <v>#DIV/0!</v>
      </c>
    </row>
    <row r="1731" spans="11:39" x14ac:dyDescent="0.2">
      <c r="K1731" s="3" t="e">
        <f t="shared" si="139"/>
        <v>#DIV/0!</v>
      </c>
      <c r="L1731" s="3" t="e">
        <f ca="1">SQRT(AVERAGE(K1731:OFFSET(K1731,$B$5-1,0))*$B$9/(4*LN(2)))</f>
        <v>#DIV/0!</v>
      </c>
      <c r="M1731" s="3" t="e">
        <f ca="1">SQRT(AVERAGE(K1731:OFFSET(K1731,$B$6-1,0))*$B$9/(4*LN(2)))</f>
        <v>#DIV/0!</v>
      </c>
      <c r="N1731" s="3" t="e">
        <f ca="1">SQRT(AVERAGE(K1731:OFFSET(K1731,$B$7-1,0))*$B$9/(4*LN(2)))</f>
        <v>#DIV/0!</v>
      </c>
      <c r="O1731" s="3" t="e">
        <f ca="1">SQRT(AVERAGE(K1731:OFFSET(K1731,$B$8-1,0))*$B$9/(4*LN(2)))</f>
        <v>#DIV/0!</v>
      </c>
      <c r="Q1731" s="5" t="e">
        <f t="shared" si="138"/>
        <v>#DIV/0!</v>
      </c>
      <c r="R1731" s="5" t="e">
        <f ca="1">SQRT($B$9*AVERAGE((Q1731:OFFSET(Q1731,$B$5-1,0))))</f>
        <v>#DIV/0!</v>
      </c>
      <c r="S1731" s="5" t="e">
        <f ca="1">SQRT($B$9*AVERAGE((Q1731:OFFSET(Q1731,$B$6-1,0))))</f>
        <v>#DIV/0!</v>
      </c>
      <c r="T1731" s="5" t="e">
        <f ca="1">SQRT($B$9*AVERAGE((Q1731:OFFSET(Q1731,$B$7-1,0))))</f>
        <v>#DIV/0!</v>
      </c>
      <c r="U1731" s="5" t="e">
        <f ca="1">SQRT($B$9*AVERAGE((Q1731:OFFSET(Q1731,$B$8-1,0))))</f>
        <v>#DIV/0!</v>
      </c>
      <c r="W1731" s="6" t="e">
        <f t="shared" si="142"/>
        <v>#DIV/0!</v>
      </c>
      <c r="X1731" s="6" t="e">
        <f ca="1">SQRT($B$9*AVERAGE(W1731:OFFSET(W1731,$B$5-1,0)))</f>
        <v>#DIV/0!</v>
      </c>
      <c r="Y1731" s="6" t="e">
        <f ca="1">SQRT($B$9*AVERAGE(W1731:OFFSET(W1731,$B$6-1,0)))</f>
        <v>#DIV/0!</v>
      </c>
      <c r="Z1731" s="6" t="e">
        <f ca="1">SQRT($B$9*AVERAGE(W1731:OFFSET(W1731,$B$7-1,0)))</f>
        <v>#DIV/0!</v>
      </c>
      <c r="AA1731" s="6" t="e">
        <f ca="1">SQRT($B$9*AVERAGE(W1731:OFFSET(W1731,$B$8-1,0)))</f>
        <v>#DIV/0!</v>
      </c>
      <c r="AC1731" s="34" t="e">
        <f t="shared" si="140"/>
        <v>#DIV/0!</v>
      </c>
      <c r="AD1731" s="34" t="e">
        <f ca="1">SQRT($B$9*SUM(AC1731:OFFSET(AC1731,$B$5-1,0))/($B$5-1))</f>
        <v>#DIV/0!</v>
      </c>
      <c r="AE1731" s="34" t="e">
        <f ca="1">SQRT($B$9*SUM(AC1731:OFFSET(AC1731,$B$6-1,0))/($B$6-1))</f>
        <v>#DIV/0!</v>
      </c>
      <c r="AF1731" s="34" t="e">
        <f ca="1">SQRT($B$9*SUM(AC1731:OFFSET(AC1731,$B$7-1,0))/($B$7-1))</f>
        <v>#DIV/0!</v>
      </c>
      <c r="AG1731" s="34" t="e">
        <f ca="1">SQRT($B$9*SUM(AC1731:OFFSET(AC1731,$B$8-1,0))/($B$8-1))</f>
        <v>#DIV/0!</v>
      </c>
      <c r="AI1731" s="1" t="e">
        <f t="shared" si="141"/>
        <v>#DIV/0!</v>
      </c>
      <c r="AJ1731" s="4" t="e">
        <f ca="1">SQRT($B$9)*_xlfn.STDEV.S(AI1731:OFFSET(AI1731,$B$5-1,0))</f>
        <v>#DIV/0!</v>
      </c>
      <c r="AK1731" s="4" t="e">
        <f ca="1">SQRT($B$9)*_xlfn.STDEV.S(AI1731:OFFSET(AI1731,$B$6-1,0))</f>
        <v>#DIV/0!</v>
      </c>
      <c r="AL1731" s="4" t="e">
        <f ca="1">SQRT($B$9)*_xlfn.STDEV.S(AI1731:OFFSET(AI1731,$B$7-1,0))</f>
        <v>#DIV/0!</v>
      </c>
      <c r="AM1731" s="4" t="e">
        <f ca="1">SQRT($B$9)*_xlfn.STDEV.S(AI1731:OFFSET(AI1731,$B$8-1,0))</f>
        <v>#DIV/0!</v>
      </c>
    </row>
    <row r="1732" spans="11:39" x14ac:dyDescent="0.2">
      <c r="K1732" s="3" t="e">
        <f t="shared" si="139"/>
        <v>#DIV/0!</v>
      </c>
      <c r="L1732" s="3" t="e">
        <f ca="1">SQRT(AVERAGE(K1732:OFFSET(K1732,$B$5-1,0))*$B$9/(4*LN(2)))</f>
        <v>#DIV/0!</v>
      </c>
      <c r="M1732" s="3" t="e">
        <f ca="1">SQRT(AVERAGE(K1732:OFFSET(K1732,$B$6-1,0))*$B$9/(4*LN(2)))</f>
        <v>#DIV/0!</v>
      </c>
      <c r="N1732" s="3" t="e">
        <f ca="1">SQRT(AVERAGE(K1732:OFFSET(K1732,$B$7-1,0))*$B$9/(4*LN(2)))</f>
        <v>#DIV/0!</v>
      </c>
      <c r="O1732" s="3" t="e">
        <f ca="1">SQRT(AVERAGE(K1732:OFFSET(K1732,$B$8-1,0))*$B$9/(4*LN(2)))</f>
        <v>#DIV/0!</v>
      </c>
      <c r="Q1732" s="5" t="e">
        <f t="shared" si="138"/>
        <v>#DIV/0!</v>
      </c>
      <c r="R1732" s="5" t="e">
        <f ca="1">SQRT($B$9*AVERAGE((Q1732:OFFSET(Q1732,$B$5-1,0))))</f>
        <v>#DIV/0!</v>
      </c>
      <c r="S1732" s="5" t="e">
        <f ca="1">SQRT($B$9*AVERAGE((Q1732:OFFSET(Q1732,$B$6-1,0))))</f>
        <v>#DIV/0!</v>
      </c>
      <c r="T1732" s="5" t="e">
        <f ca="1">SQRT($B$9*AVERAGE((Q1732:OFFSET(Q1732,$B$7-1,0))))</f>
        <v>#DIV/0!</v>
      </c>
      <c r="U1732" s="5" t="e">
        <f ca="1">SQRT($B$9*AVERAGE((Q1732:OFFSET(Q1732,$B$8-1,0))))</f>
        <v>#DIV/0!</v>
      </c>
      <c r="W1732" s="6" t="e">
        <f t="shared" si="142"/>
        <v>#DIV/0!</v>
      </c>
      <c r="X1732" s="6" t="e">
        <f ca="1">SQRT($B$9*AVERAGE(W1732:OFFSET(W1732,$B$5-1,0)))</f>
        <v>#DIV/0!</v>
      </c>
      <c r="Y1732" s="6" t="e">
        <f ca="1">SQRT($B$9*AVERAGE(W1732:OFFSET(W1732,$B$6-1,0)))</f>
        <v>#DIV/0!</v>
      </c>
      <c r="Z1732" s="6" t="e">
        <f ca="1">SQRT($B$9*AVERAGE(W1732:OFFSET(W1732,$B$7-1,0)))</f>
        <v>#DIV/0!</v>
      </c>
      <c r="AA1732" s="6" t="e">
        <f ca="1">SQRT($B$9*AVERAGE(W1732:OFFSET(W1732,$B$8-1,0)))</f>
        <v>#DIV/0!</v>
      </c>
      <c r="AC1732" s="34" t="e">
        <f t="shared" si="140"/>
        <v>#DIV/0!</v>
      </c>
      <c r="AD1732" s="34" t="e">
        <f ca="1">SQRT($B$9*SUM(AC1732:OFFSET(AC1732,$B$5-1,0))/($B$5-1))</f>
        <v>#DIV/0!</v>
      </c>
      <c r="AE1732" s="34" t="e">
        <f ca="1">SQRT($B$9*SUM(AC1732:OFFSET(AC1732,$B$6-1,0))/($B$6-1))</f>
        <v>#DIV/0!</v>
      </c>
      <c r="AF1732" s="34" t="e">
        <f ca="1">SQRT($B$9*SUM(AC1732:OFFSET(AC1732,$B$7-1,0))/($B$7-1))</f>
        <v>#DIV/0!</v>
      </c>
      <c r="AG1732" s="34" t="e">
        <f ca="1">SQRT($B$9*SUM(AC1732:OFFSET(AC1732,$B$8-1,0))/($B$8-1))</f>
        <v>#DIV/0!</v>
      </c>
      <c r="AI1732" s="1" t="e">
        <f t="shared" si="141"/>
        <v>#DIV/0!</v>
      </c>
      <c r="AJ1732" s="4" t="e">
        <f ca="1">SQRT($B$9)*_xlfn.STDEV.S(AI1732:OFFSET(AI1732,$B$5-1,0))</f>
        <v>#DIV/0!</v>
      </c>
      <c r="AK1732" s="4" t="e">
        <f ca="1">SQRT($B$9)*_xlfn.STDEV.S(AI1732:OFFSET(AI1732,$B$6-1,0))</f>
        <v>#DIV/0!</v>
      </c>
      <c r="AL1732" s="4" t="e">
        <f ca="1">SQRT($B$9)*_xlfn.STDEV.S(AI1732:OFFSET(AI1732,$B$7-1,0))</f>
        <v>#DIV/0!</v>
      </c>
      <c r="AM1732" s="4" t="e">
        <f ca="1">SQRT($B$9)*_xlfn.STDEV.S(AI1732:OFFSET(AI1732,$B$8-1,0))</f>
        <v>#DIV/0!</v>
      </c>
    </row>
    <row r="1733" spans="11:39" x14ac:dyDescent="0.2">
      <c r="K1733" s="3" t="e">
        <f t="shared" si="139"/>
        <v>#DIV/0!</v>
      </c>
      <c r="L1733" s="3" t="e">
        <f ca="1">SQRT(AVERAGE(K1733:OFFSET(K1733,$B$5-1,0))*$B$9/(4*LN(2)))</f>
        <v>#DIV/0!</v>
      </c>
      <c r="M1733" s="3" t="e">
        <f ca="1">SQRT(AVERAGE(K1733:OFFSET(K1733,$B$6-1,0))*$B$9/(4*LN(2)))</f>
        <v>#DIV/0!</v>
      </c>
      <c r="N1733" s="3" t="e">
        <f ca="1">SQRT(AVERAGE(K1733:OFFSET(K1733,$B$7-1,0))*$B$9/(4*LN(2)))</f>
        <v>#DIV/0!</v>
      </c>
      <c r="O1733" s="3" t="e">
        <f ca="1">SQRT(AVERAGE(K1733:OFFSET(K1733,$B$8-1,0))*$B$9/(4*LN(2)))</f>
        <v>#DIV/0!</v>
      </c>
      <c r="Q1733" s="5" t="e">
        <f t="shared" ref="Q1733:Q1796" si="143">0.511*(LN(G1733/H1733))^2-0.019*(LN(I1733/F1733)*LN(G1733*H1733/F1733^2)-2*LN(G1733/F1733)*LN(H1733/F1733))-0.383*(LN(I1733/F1733))^2</f>
        <v>#DIV/0!</v>
      </c>
      <c r="R1733" s="5" t="e">
        <f ca="1">SQRT($B$9*AVERAGE((Q1733:OFFSET(Q1733,$B$5-1,0))))</f>
        <v>#DIV/0!</v>
      </c>
      <c r="S1733" s="5" t="e">
        <f ca="1">SQRT($B$9*AVERAGE((Q1733:OFFSET(Q1733,$B$6-1,0))))</f>
        <v>#DIV/0!</v>
      </c>
      <c r="T1733" s="5" t="e">
        <f ca="1">SQRT($B$9*AVERAGE((Q1733:OFFSET(Q1733,$B$7-1,0))))</f>
        <v>#DIV/0!</v>
      </c>
      <c r="U1733" s="5" t="e">
        <f ca="1">SQRT($B$9*AVERAGE((Q1733:OFFSET(Q1733,$B$8-1,0))))</f>
        <v>#DIV/0!</v>
      </c>
      <c r="W1733" s="6" t="e">
        <f t="shared" si="142"/>
        <v>#DIV/0!</v>
      </c>
      <c r="X1733" s="6" t="e">
        <f ca="1">SQRT($B$9*AVERAGE(W1733:OFFSET(W1733,$B$5-1,0)))</f>
        <v>#DIV/0!</v>
      </c>
      <c r="Y1733" s="6" t="e">
        <f ca="1">SQRT($B$9*AVERAGE(W1733:OFFSET(W1733,$B$6-1,0)))</f>
        <v>#DIV/0!</v>
      </c>
      <c r="Z1733" s="6" t="e">
        <f ca="1">SQRT($B$9*AVERAGE(W1733:OFFSET(W1733,$B$7-1,0)))</f>
        <v>#DIV/0!</v>
      </c>
      <c r="AA1733" s="6" t="e">
        <f ca="1">SQRT($B$9*AVERAGE(W1733:OFFSET(W1733,$B$8-1,0)))</f>
        <v>#DIV/0!</v>
      </c>
      <c r="AC1733" s="34" t="e">
        <f t="shared" si="140"/>
        <v>#DIV/0!</v>
      </c>
      <c r="AD1733" s="34" t="e">
        <f ca="1">SQRT($B$9*SUM(AC1733:OFFSET(AC1733,$B$5-1,0))/($B$5-1))</f>
        <v>#DIV/0!</v>
      </c>
      <c r="AE1733" s="34" t="e">
        <f ca="1">SQRT($B$9*SUM(AC1733:OFFSET(AC1733,$B$6-1,0))/($B$6-1))</f>
        <v>#DIV/0!</v>
      </c>
      <c r="AF1733" s="34" t="e">
        <f ca="1">SQRT($B$9*SUM(AC1733:OFFSET(AC1733,$B$7-1,0))/($B$7-1))</f>
        <v>#DIV/0!</v>
      </c>
      <c r="AG1733" s="34" t="e">
        <f ca="1">SQRT($B$9*SUM(AC1733:OFFSET(AC1733,$B$8-1,0))/($B$8-1))</f>
        <v>#DIV/0!</v>
      </c>
      <c r="AI1733" s="1" t="e">
        <f t="shared" si="141"/>
        <v>#DIV/0!</v>
      </c>
      <c r="AJ1733" s="4" t="e">
        <f ca="1">SQRT($B$9)*_xlfn.STDEV.S(AI1733:OFFSET(AI1733,$B$5-1,0))</f>
        <v>#DIV/0!</v>
      </c>
      <c r="AK1733" s="4" t="e">
        <f ca="1">SQRT($B$9)*_xlfn.STDEV.S(AI1733:OFFSET(AI1733,$B$6-1,0))</f>
        <v>#DIV/0!</v>
      </c>
      <c r="AL1733" s="4" t="e">
        <f ca="1">SQRT($B$9)*_xlfn.STDEV.S(AI1733:OFFSET(AI1733,$B$7-1,0))</f>
        <v>#DIV/0!</v>
      </c>
      <c r="AM1733" s="4" t="e">
        <f ca="1">SQRT($B$9)*_xlfn.STDEV.S(AI1733:OFFSET(AI1733,$B$8-1,0))</f>
        <v>#DIV/0!</v>
      </c>
    </row>
    <row r="1734" spans="11:39" x14ac:dyDescent="0.2">
      <c r="K1734" s="3" t="e">
        <f t="shared" ref="K1734:K1797" si="144">(LN(G1734/H1734))^2</f>
        <v>#DIV/0!</v>
      </c>
      <c r="L1734" s="3" t="e">
        <f ca="1">SQRT(AVERAGE(K1734:OFFSET(K1734,$B$5-1,0))*$B$9/(4*LN(2)))</f>
        <v>#DIV/0!</v>
      </c>
      <c r="M1734" s="3" t="e">
        <f ca="1">SQRT(AVERAGE(K1734:OFFSET(K1734,$B$6-1,0))*$B$9/(4*LN(2)))</f>
        <v>#DIV/0!</v>
      </c>
      <c r="N1734" s="3" t="e">
        <f ca="1">SQRT(AVERAGE(K1734:OFFSET(K1734,$B$7-1,0))*$B$9/(4*LN(2)))</f>
        <v>#DIV/0!</v>
      </c>
      <c r="O1734" s="3" t="e">
        <f ca="1">SQRT(AVERAGE(K1734:OFFSET(K1734,$B$8-1,0))*$B$9/(4*LN(2)))</f>
        <v>#DIV/0!</v>
      </c>
      <c r="Q1734" s="5" t="e">
        <f t="shared" si="143"/>
        <v>#DIV/0!</v>
      </c>
      <c r="R1734" s="5" t="e">
        <f ca="1">SQRT($B$9*AVERAGE((Q1734:OFFSET(Q1734,$B$5-1,0))))</f>
        <v>#DIV/0!</v>
      </c>
      <c r="S1734" s="5" t="e">
        <f ca="1">SQRT($B$9*AVERAGE((Q1734:OFFSET(Q1734,$B$6-1,0))))</f>
        <v>#DIV/0!</v>
      </c>
      <c r="T1734" s="5" t="e">
        <f ca="1">SQRT($B$9*AVERAGE((Q1734:OFFSET(Q1734,$B$7-1,0))))</f>
        <v>#DIV/0!</v>
      </c>
      <c r="U1734" s="5" t="e">
        <f ca="1">SQRT($B$9*AVERAGE((Q1734:OFFSET(Q1734,$B$8-1,0))))</f>
        <v>#DIV/0!</v>
      </c>
      <c r="W1734" s="6" t="e">
        <f t="shared" si="142"/>
        <v>#DIV/0!</v>
      </c>
      <c r="X1734" s="6" t="e">
        <f ca="1">SQRT($B$9*AVERAGE(W1734:OFFSET(W1734,$B$5-1,0)))</f>
        <v>#DIV/0!</v>
      </c>
      <c r="Y1734" s="6" t="e">
        <f ca="1">SQRT($B$9*AVERAGE(W1734:OFFSET(W1734,$B$6-1,0)))</f>
        <v>#DIV/0!</v>
      </c>
      <c r="Z1734" s="6" t="e">
        <f ca="1">SQRT($B$9*AVERAGE(W1734:OFFSET(W1734,$B$7-1,0)))</f>
        <v>#DIV/0!</v>
      </c>
      <c r="AA1734" s="6" t="e">
        <f ca="1">SQRT($B$9*AVERAGE(W1734:OFFSET(W1734,$B$8-1,0)))</f>
        <v>#DIV/0!</v>
      </c>
      <c r="AC1734" s="34" t="e">
        <f t="shared" si="140"/>
        <v>#DIV/0!</v>
      </c>
      <c r="AD1734" s="34" t="e">
        <f ca="1">SQRT($B$9*SUM(AC1734:OFFSET(AC1734,$B$5-1,0))/($B$5-1))</f>
        <v>#DIV/0!</v>
      </c>
      <c r="AE1734" s="34" t="e">
        <f ca="1">SQRT($B$9*SUM(AC1734:OFFSET(AC1734,$B$6-1,0))/($B$6-1))</f>
        <v>#DIV/0!</v>
      </c>
      <c r="AF1734" s="34" t="e">
        <f ca="1">SQRT($B$9*SUM(AC1734:OFFSET(AC1734,$B$7-1,0))/($B$7-1))</f>
        <v>#DIV/0!</v>
      </c>
      <c r="AG1734" s="34" t="e">
        <f ca="1">SQRT($B$9*SUM(AC1734:OFFSET(AC1734,$B$8-1,0))/($B$8-1))</f>
        <v>#DIV/0!</v>
      </c>
      <c r="AI1734" s="1" t="e">
        <f t="shared" si="141"/>
        <v>#DIV/0!</v>
      </c>
      <c r="AJ1734" s="4" t="e">
        <f ca="1">SQRT($B$9)*_xlfn.STDEV.S(AI1734:OFFSET(AI1734,$B$5-1,0))</f>
        <v>#DIV/0!</v>
      </c>
      <c r="AK1734" s="4" t="e">
        <f ca="1">SQRT($B$9)*_xlfn.STDEV.S(AI1734:OFFSET(AI1734,$B$6-1,0))</f>
        <v>#DIV/0!</v>
      </c>
      <c r="AL1734" s="4" t="e">
        <f ca="1">SQRT($B$9)*_xlfn.STDEV.S(AI1734:OFFSET(AI1734,$B$7-1,0))</f>
        <v>#DIV/0!</v>
      </c>
      <c r="AM1734" s="4" t="e">
        <f ca="1">SQRT($B$9)*_xlfn.STDEV.S(AI1734:OFFSET(AI1734,$B$8-1,0))</f>
        <v>#DIV/0!</v>
      </c>
    </row>
    <row r="1735" spans="11:39" x14ac:dyDescent="0.2">
      <c r="K1735" s="3" t="e">
        <f t="shared" si="144"/>
        <v>#DIV/0!</v>
      </c>
      <c r="L1735" s="3" t="e">
        <f ca="1">SQRT(AVERAGE(K1735:OFFSET(K1735,$B$5-1,0))*$B$9/(4*LN(2)))</f>
        <v>#DIV/0!</v>
      </c>
      <c r="M1735" s="3" t="e">
        <f ca="1">SQRT(AVERAGE(K1735:OFFSET(K1735,$B$6-1,0))*$B$9/(4*LN(2)))</f>
        <v>#DIV/0!</v>
      </c>
      <c r="N1735" s="3" t="e">
        <f ca="1">SQRT(AVERAGE(K1735:OFFSET(K1735,$B$7-1,0))*$B$9/(4*LN(2)))</f>
        <v>#DIV/0!</v>
      </c>
      <c r="O1735" s="3" t="e">
        <f ca="1">SQRT(AVERAGE(K1735:OFFSET(K1735,$B$8-1,0))*$B$9/(4*LN(2)))</f>
        <v>#DIV/0!</v>
      </c>
      <c r="Q1735" s="5" t="e">
        <f t="shared" si="143"/>
        <v>#DIV/0!</v>
      </c>
      <c r="R1735" s="5" t="e">
        <f ca="1">SQRT($B$9*AVERAGE((Q1735:OFFSET(Q1735,$B$5-1,0))))</f>
        <v>#DIV/0!</v>
      </c>
      <c r="S1735" s="5" t="e">
        <f ca="1">SQRT($B$9*AVERAGE((Q1735:OFFSET(Q1735,$B$6-1,0))))</f>
        <v>#DIV/0!</v>
      </c>
      <c r="T1735" s="5" t="e">
        <f ca="1">SQRT($B$9*AVERAGE((Q1735:OFFSET(Q1735,$B$7-1,0))))</f>
        <v>#DIV/0!</v>
      </c>
      <c r="U1735" s="5" t="e">
        <f ca="1">SQRT($B$9*AVERAGE((Q1735:OFFSET(Q1735,$B$8-1,0))))</f>
        <v>#DIV/0!</v>
      </c>
      <c r="W1735" s="6" t="e">
        <f t="shared" si="142"/>
        <v>#DIV/0!</v>
      </c>
      <c r="X1735" s="6" t="e">
        <f ca="1">SQRT($B$9*AVERAGE(W1735:OFFSET(W1735,$B$5-1,0)))</f>
        <v>#DIV/0!</v>
      </c>
      <c r="Y1735" s="6" t="e">
        <f ca="1">SQRT($B$9*AVERAGE(W1735:OFFSET(W1735,$B$6-1,0)))</f>
        <v>#DIV/0!</v>
      </c>
      <c r="Z1735" s="6" t="e">
        <f ca="1">SQRT($B$9*AVERAGE(W1735:OFFSET(W1735,$B$7-1,0)))</f>
        <v>#DIV/0!</v>
      </c>
      <c r="AA1735" s="6" t="e">
        <f ca="1">SQRT($B$9*AVERAGE(W1735:OFFSET(W1735,$B$8-1,0)))</f>
        <v>#DIV/0!</v>
      </c>
      <c r="AC1735" s="34" t="e">
        <f t="shared" si="140"/>
        <v>#DIV/0!</v>
      </c>
      <c r="AD1735" s="34" t="e">
        <f ca="1">SQRT($B$9*SUM(AC1735:OFFSET(AC1735,$B$5-1,0))/($B$5-1))</f>
        <v>#DIV/0!</v>
      </c>
      <c r="AE1735" s="34" t="e">
        <f ca="1">SQRT($B$9*SUM(AC1735:OFFSET(AC1735,$B$6-1,0))/($B$6-1))</f>
        <v>#DIV/0!</v>
      </c>
      <c r="AF1735" s="34" t="e">
        <f ca="1">SQRT($B$9*SUM(AC1735:OFFSET(AC1735,$B$7-1,0))/($B$7-1))</f>
        <v>#DIV/0!</v>
      </c>
      <c r="AG1735" s="34" t="e">
        <f ca="1">SQRT($B$9*SUM(AC1735:OFFSET(AC1735,$B$8-1,0))/($B$8-1))</f>
        <v>#DIV/0!</v>
      </c>
      <c r="AI1735" s="1" t="e">
        <f t="shared" si="141"/>
        <v>#DIV/0!</v>
      </c>
      <c r="AJ1735" s="4" t="e">
        <f ca="1">SQRT($B$9)*_xlfn.STDEV.S(AI1735:OFFSET(AI1735,$B$5-1,0))</f>
        <v>#DIV/0!</v>
      </c>
      <c r="AK1735" s="4" t="e">
        <f ca="1">SQRT($B$9)*_xlfn.STDEV.S(AI1735:OFFSET(AI1735,$B$6-1,0))</f>
        <v>#DIV/0!</v>
      </c>
      <c r="AL1735" s="4" t="e">
        <f ca="1">SQRT($B$9)*_xlfn.STDEV.S(AI1735:OFFSET(AI1735,$B$7-1,0))</f>
        <v>#DIV/0!</v>
      </c>
      <c r="AM1735" s="4" t="e">
        <f ca="1">SQRT($B$9)*_xlfn.STDEV.S(AI1735:OFFSET(AI1735,$B$8-1,0))</f>
        <v>#DIV/0!</v>
      </c>
    </row>
    <row r="1736" spans="11:39" x14ac:dyDescent="0.2">
      <c r="K1736" s="3" t="e">
        <f t="shared" si="144"/>
        <v>#DIV/0!</v>
      </c>
      <c r="L1736" s="3" t="e">
        <f ca="1">SQRT(AVERAGE(K1736:OFFSET(K1736,$B$5-1,0))*$B$9/(4*LN(2)))</f>
        <v>#DIV/0!</v>
      </c>
      <c r="M1736" s="3" t="e">
        <f ca="1">SQRT(AVERAGE(K1736:OFFSET(K1736,$B$6-1,0))*$B$9/(4*LN(2)))</f>
        <v>#DIV/0!</v>
      </c>
      <c r="N1736" s="3" t="e">
        <f ca="1">SQRT(AVERAGE(K1736:OFFSET(K1736,$B$7-1,0))*$B$9/(4*LN(2)))</f>
        <v>#DIV/0!</v>
      </c>
      <c r="O1736" s="3" t="e">
        <f ca="1">SQRT(AVERAGE(K1736:OFFSET(K1736,$B$8-1,0))*$B$9/(4*LN(2)))</f>
        <v>#DIV/0!</v>
      </c>
      <c r="Q1736" s="5" t="e">
        <f t="shared" si="143"/>
        <v>#DIV/0!</v>
      </c>
      <c r="R1736" s="5" t="e">
        <f ca="1">SQRT($B$9*AVERAGE((Q1736:OFFSET(Q1736,$B$5-1,0))))</f>
        <v>#DIV/0!</v>
      </c>
      <c r="S1736" s="5" t="e">
        <f ca="1">SQRT($B$9*AVERAGE((Q1736:OFFSET(Q1736,$B$6-1,0))))</f>
        <v>#DIV/0!</v>
      </c>
      <c r="T1736" s="5" t="e">
        <f ca="1">SQRT($B$9*AVERAGE((Q1736:OFFSET(Q1736,$B$7-1,0))))</f>
        <v>#DIV/0!</v>
      </c>
      <c r="U1736" s="5" t="e">
        <f ca="1">SQRT($B$9*AVERAGE((Q1736:OFFSET(Q1736,$B$8-1,0))))</f>
        <v>#DIV/0!</v>
      </c>
      <c r="W1736" s="6" t="e">
        <f t="shared" si="142"/>
        <v>#DIV/0!</v>
      </c>
      <c r="X1736" s="6" t="e">
        <f ca="1">SQRT($B$9*AVERAGE(W1736:OFFSET(W1736,$B$5-1,0)))</f>
        <v>#DIV/0!</v>
      </c>
      <c r="Y1736" s="6" t="e">
        <f ca="1">SQRT($B$9*AVERAGE(W1736:OFFSET(W1736,$B$6-1,0)))</f>
        <v>#DIV/0!</v>
      </c>
      <c r="Z1736" s="6" t="e">
        <f ca="1">SQRT($B$9*AVERAGE(W1736:OFFSET(W1736,$B$7-1,0)))</f>
        <v>#DIV/0!</v>
      </c>
      <c r="AA1736" s="6" t="e">
        <f ca="1">SQRT($B$9*AVERAGE(W1736:OFFSET(W1736,$B$8-1,0)))</f>
        <v>#DIV/0!</v>
      </c>
      <c r="AC1736" s="34" t="e">
        <f t="shared" si="140"/>
        <v>#DIV/0!</v>
      </c>
      <c r="AD1736" s="34" t="e">
        <f ca="1">SQRT($B$9*SUM(AC1736:OFFSET(AC1736,$B$5-1,0))/($B$5-1))</f>
        <v>#DIV/0!</v>
      </c>
      <c r="AE1736" s="34" t="e">
        <f ca="1">SQRT($B$9*SUM(AC1736:OFFSET(AC1736,$B$6-1,0))/($B$6-1))</f>
        <v>#DIV/0!</v>
      </c>
      <c r="AF1736" s="34" t="e">
        <f ca="1">SQRT($B$9*SUM(AC1736:OFFSET(AC1736,$B$7-1,0))/($B$7-1))</f>
        <v>#DIV/0!</v>
      </c>
      <c r="AG1736" s="34" t="e">
        <f ca="1">SQRT($B$9*SUM(AC1736:OFFSET(AC1736,$B$8-1,0))/($B$8-1))</f>
        <v>#DIV/0!</v>
      </c>
      <c r="AI1736" s="1" t="e">
        <f t="shared" si="141"/>
        <v>#DIV/0!</v>
      </c>
      <c r="AJ1736" s="4" t="e">
        <f ca="1">SQRT($B$9)*_xlfn.STDEV.S(AI1736:OFFSET(AI1736,$B$5-1,0))</f>
        <v>#DIV/0!</v>
      </c>
      <c r="AK1736" s="4" t="e">
        <f ca="1">SQRT($B$9)*_xlfn.STDEV.S(AI1736:OFFSET(AI1736,$B$6-1,0))</f>
        <v>#DIV/0!</v>
      </c>
      <c r="AL1736" s="4" t="e">
        <f ca="1">SQRT($B$9)*_xlfn.STDEV.S(AI1736:OFFSET(AI1736,$B$7-1,0))</f>
        <v>#DIV/0!</v>
      </c>
      <c r="AM1736" s="4" t="e">
        <f ca="1">SQRT($B$9)*_xlfn.STDEV.S(AI1736:OFFSET(AI1736,$B$8-1,0))</f>
        <v>#DIV/0!</v>
      </c>
    </row>
    <row r="1737" spans="11:39" x14ac:dyDescent="0.2">
      <c r="K1737" s="3" t="e">
        <f t="shared" si="144"/>
        <v>#DIV/0!</v>
      </c>
      <c r="L1737" s="3" t="e">
        <f ca="1">SQRT(AVERAGE(K1737:OFFSET(K1737,$B$5-1,0))*$B$9/(4*LN(2)))</f>
        <v>#DIV/0!</v>
      </c>
      <c r="M1737" s="3" t="e">
        <f ca="1">SQRT(AVERAGE(K1737:OFFSET(K1737,$B$6-1,0))*$B$9/(4*LN(2)))</f>
        <v>#DIV/0!</v>
      </c>
      <c r="N1737" s="3" t="e">
        <f ca="1">SQRT(AVERAGE(K1737:OFFSET(K1737,$B$7-1,0))*$B$9/(4*LN(2)))</f>
        <v>#DIV/0!</v>
      </c>
      <c r="O1737" s="3" t="e">
        <f ca="1">SQRT(AVERAGE(K1737:OFFSET(K1737,$B$8-1,0))*$B$9/(4*LN(2)))</f>
        <v>#DIV/0!</v>
      </c>
      <c r="Q1737" s="5" t="e">
        <f t="shared" si="143"/>
        <v>#DIV/0!</v>
      </c>
      <c r="R1737" s="5" t="e">
        <f ca="1">SQRT($B$9*AVERAGE((Q1737:OFFSET(Q1737,$B$5-1,0))))</f>
        <v>#DIV/0!</v>
      </c>
      <c r="S1737" s="5" t="e">
        <f ca="1">SQRT($B$9*AVERAGE((Q1737:OFFSET(Q1737,$B$6-1,0))))</f>
        <v>#DIV/0!</v>
      </c>
      <c r="T1737" s="5" t="e">
        <f ca="1">SQRT($B$9*AVERAGE((Q1737:OFFSET(Q1737,$B$7-1,0))))</f>
        <v>#DIV/0!</v>
      </c>
      <c r="U1737" s="5" t="e">
        <f ca="1">SQRT($B$9*AVERAGE((Q1737:OFFSET(Q1737,$B$8-1,0))))</f>
        <v>#DIV/0!</v>
      </c>
      <c r="W1737" s="6" t="e">
        <f t="shared" si="142"/>
        <v>#DIV/0!</v>
      </c>
      <c r="X1737" s="6" t="e">
        <f ca="1">SQRT($B$9*AVERAGE(W1737:OFFSET(W1737,$B$5-1,0)))</f>
        <v>#DIV/0!</v>
      </c>
      <c r="Y1737" s="6" t="e">
        <f ca="1">SQRT($B$9*AVERAGE(W1737:OFFSET(W1737,$B$6-1,0)))</f>
        <v>#DIV/0!</v>
      </c>
      <c r="Z1737" s="6" t="e">
        <f ca="1">SQRT($B$9*AVERAGE(W1737:OFFSET(W1737,$B$7-1,0)))</f>
        <v>#DIV/0!</v>
      </c>
      <c r="AA1737" s="6" t="e">
        <f ca="1">SQRT($B$9*AVERAGE(W1737:OFFSET(W1737,$B$8-1,0)))</f>
        <v>#DIV/0!</v>
      </c>
      <c r="AC1737" s="34" t="e">
        <f t="shared" si="140"/>
        <v>#DIV/0!</v>
      </c>
      <c r="AD1737" s="34" t="e">
        <f ca="1">SQRT($B$9*SUM(AC1737:OFFSET(AC1737,$B$5-1,0))/($B$5-1))</f>
        <v>#DIV/0!</v>
      </c>
      <c r="AE1737" s="34" t="e">
        <f ca="1">SQRT($B$9*SUM(AC1737:OFFSET(AC1737,$B$6-1,0))/($B$6-1))</f>
        <v>#DIV/0!</v>
      </c>
      <c r="AF1737" s="34" t="e">
        <f ca="1">SQRT($B$9*SUM(AC1737:OFFSET(AC1737,$B$7-1,0))/($B$7-1))</f>
        <v>#DIV/0!</v>
      </c>
      <c r="AG1737" s="34" t="e">
        <f ca="1">SQRT($B$9*SUM(AC1737:OFFSET(AC1737,$B$8-1,0))/($B$8-1))</f>
        <v>#DIV/0!</v>
      </c>
      <c r="AI1737" s="1" t="e">
        <f t="shared" si="141"/>
        <v>#DIV/0!</v>
      </c>
      <c r="AJ1737" s="4" t="e">
        <f ca="1">SQRT($B$9)*_xlfn.STDEV.S(AI1737:OFFSET(AI1737,$B$5-1,0))</f>
        <v>#DIV/0!</v>
      </c>
      <c r="AK1737" s="4" t="e">
        <f ca="1">SQRT($B$9)*_xlfn.STDEV.S(AI1737:OFFSET(AI1737,$B$6-1,0))</f>
        <v>#DIV/0!</v>
      </c>
      <c r="AL1737" s="4" t="e">
        <f ca="1">SQRT($B$9)*_xlfn.STDEV.S(AI1737:OFFSET(AI1737,$B$7-1,0))</f>
        <v>#DIV/0!</v>
      </c>
      <c r="AM1737" s="4" t="e">
        <f ca="1">SQRT($B$9)*_xlfn.STDEV.S(AI1737:OFFSET(AI1737,$B$8-1,0))</f>
        <v>#DIV/0!</v>
      </c>
    </row>
    <row r="1738" spans="11:39" x14ac:dyDescent="0.2">
      <c r="K1738" s="3" t="e">
        <f t="shared" si="144"/>
        <v>#DIV/0!</v>
      </c>
      <c r="L1738" s="3" t="e">
        <f ca="1">SQRT(AVERAGE(K1738:OFFSET(K1738,$B$5-1,0))*$B$9/(4*LN(2)))</f>
        <v>#DIV/0!</v>
      </c>
      <c r="M1738" s="3" t="e">
        <f ca="1">SQRT(AVERAGE(K1738:OFFSET(K1738,$B$6-1,0))*$B$9/(4*LN(2)))</f>
        <v>#DIV/0!</v>
      </c>
      <c r="N1738" s="3" t="e">
        <f ca="1">SQRT(AVERAGE(K1738:OFFSET(K1738,$B$7-1,0))*$B$9/(4*LN(2)))</f>
        <v>#DIV/0!</v>
      </c>
      <c r="O1738" s="3" t="e">
        <f ca="1">SQRT(AVERAGE(K1738:OFFSET(K1738,$B$8-1,0))*$B$9/(4*LN(2)))</f>
        <v>#DIV/0!</v>
      </c>
      <c r="Q1738" s="5" t="e">
        <f t="shared" si="143"/>
        <v>#DIV/0!</v>
      </c>
      <c r="R1738" s="5" t="e">
        <f ca="1">SQRT($B$9*AVERAGE((Q1738:OFFSET(Q1738,$B$5-1,0))))</f>
        <v>#DIV/0!</v>
      </c>
      <c r="S1738" s="5" t="e">
        <f ca="1">SQRT($B$9*AVERAGE((Q1738:OFFSET(Q1738,$B$6-1,0))))</f>
        <v>#DIV/0!</v>
      </c>
      <c r="T1738" s="5" t="e">
        <f ca="1">SQRT($B$9*AVERAGE((Q1738:OFFSET(Q1738,$B$7-1,0))))</f>
        <v>#DIV/0!</v>
      </c>
      <c r="U1738" s="5" t="e">
        <f ca="1">SQRT($B$9*AVERAGE((Q1738:OFFSET(Q1738,$B$8-1,0))))</f>
        <v>#DIV/0!</v>
      </c>
      <c r="W1738" s="6" t="e">
        <f t="shared" si="142"/>
        <v>#DIV/0!</v>
      </c>
      <c r="X1738" s="6" t="e">
        <f ca="1">SQRT($B$9*AVERAGE(W1738:OFFSET(W1738,$B$5-1,0)))</f>
        <v>#DIV/0!</v>
      </c>
      <c r="Y1738" s="6" t="e">
        <f ca="1">SQRT($B$9*AVERAGE(W1738:OFFSET(W1738,$B$6-1,0)))</f>
        <v>#DIV/0!</v>
      </c>
      <c r="Z1738" s="6" t="e">
        <f ca="1">SQRT($B$9*AVERAGE(W1738:OFFSET(W1738,$B$7-1,0)))</f>
        <v>#DIV/0!</v>
      </c>
      <c r="AA1738" s="6" t="e">
        <f ca="1">SQRT($B$9*AVERAGE(W1738:OFFSET(W1738,$B$8-1,0)))</f>
        <v>#DIV/0!</v>
      </c>
      <c r="AC1738" s="34" t="e">
        <f t="shared" si="140"/>
        <v>#DIV/0!</v>
      </c>
      <c r="AD1738" s="34" t="e">
        <f ca="1">SQRT($B$9*SUM(AC1738:OFFSET(AC1738,$B$5-1,0))/($B$5-1))</f>
        <v>#DIV/0!</v>
      </c>
      <c r="AE1738" s="34" t="e">
        <f ca="1">SQRT($B$9*SUM(AC1738:OFFSET(AC1738,$B$6-1,0))/($B$6-1))</f>
        <v>#DIV/0!</v>
      </c>
      <c r="AF1738" s="34" t="e">
        <f ca="1">SQRT($B$9*SUM(AC1738:OFFSET(AC1738,$B$7-1,0))/($B$7-1))</f>
        <v>#DIV/0!</v>
      </c>
      <c r="AG1738" s="34" t="e">
        <f ca="1">SQRT($B$9*SUM(AC1738:OFFSET(AC1738,$B$8-1,0))/($B$8-1))</f>
        <v>#DIV/0!</v>
      </c>
      <c r="AI1738" s="1" t="e">
        <f t="shared" si="141"/>
        <v>#DIV/0!</v>
      </c>
      <c r="AJ1738" s="4" t="e">
        <f ca="1">SQRT($B$9)*_xlfn.STDEV.S(AI1738:OFFSET(AI1738,$B$5-1,0))</f>
        <v>#DIV/0!</v>
      </c>
      <c r="AK1738" s="4" t="e">
        <f ca="1">SQRT($B$9)*_xlfn.STDEV.S(AI1738:OFFSET(AI1738,$B$6-1,0))</f>
        <v>#DIV/0!</v>
      </c>
      <c r="AL1738" s="4" t="e">
        <f ca="1">SQRT($B$9)*_xlfn.STDEV.S(AI1738:OFFSET(AI1738,$B$7-1,0))</f>
        <v>#DIV/0!</v>
      </c>
      <c r="AM1738" s="4" t="e">
        <f ca="1">SQRT($B$9)*_xlfn.STDEV.S(AI1738:OFFSET(AI1738,$B$8-1,0))</f>
        <v>#DIV/0!</v>
      </c>
    </row>
    <row r="1739" spans="11:39" x14ac:dyDescent="0.2">
      <c r="K1739" s="3" t="e">
        <f t="shared" si="144"/>
        <v>#DIV/0!</v>
      </c>
      <c r="L1739" s="3" t="e">
        <f ca="1">SQRT(AVERAGE(K1739:OFFSET(K1739,$B$5-1,0))*$B$9/(4*LN(2)))</f>
        <v>#DIV/0!</v>
      </c>
      <c r="M1739" s="3" t="e">
        <f ca="1">SQRT(AVERAGE(K1739:OFFSET(K1739,$B$6-1,0))*$B$9/(4*LN(2)))</f>
        <v>#DIV/0!</v>
      </c>
      <c r="N1739" s="3" t="e">
        <f ca="1">SQRT(AVERAGE(K1739:OFFSET(K1739,$B$7-1,0))*$B$9/(4*LN(2)))</f>
        <v>#DIV/0!</v>
      </c>
      <c r="O1739" s="3" t="e">
        <f ca="1">SQRT(AVERAGE(K1739:OFFSET(K1739,$B$8-1,0))*$B$9/(4*LN(2)))</f>
        <v>#DIV/0!</v>
      </c>
      <c r="Q1739" s="5" t="e">
        <f t="shared" si="143"/>
        <v>#DIV/0!</v>
      </c>
      <c r="R1739" s="5" t="e">
        <f ca="1">SQRT($B$9*AVERAGE((Q1739:OFFSET(Q1739,$B$5-1,0))))</f>
        <v>#DIV/0!</v>
      </c>
      <c r="S1739" s="5" t="e">
        <f ca="1">SQRT($B$9*AVERAGE((Q1739:OFFSET(Q1739,$B$6-1,0))))</f>
        <v>#DIV/0!</v>
      </c>
      <c r="T1739" s="5" t="e">
        <f ca="1">SQRT($B$9*AVERAGE((Q1739:OFFSET(Q1739,$B$7-1,0))))</f>
        <v>#DIV/0!</v>
      </c>
      <c r="U1739" s="5" t="e">
        <f ca="1">SQRT($B$9*AVERAGE((Q1739:OFFSET(Q1739,$B$8-1,0))))</f>
        <v>#DIV/0!</v>
      </c>
      <c r="W1739" s="6" t="e">
        <f t="shared" si="142"/>
        <v>#DIV/0!</v>
      </c>
      <c r="X1739" s="6" t="e">
        <f ca="1">SQRT($B$9*AVERAGE(W1739:OFFSET(W1739,$B$5-1,0)))</f>
        <v>#DIV/0!</v>
      </c>
      <c r="Y1739" s="6" t="e">
        <f ca="1">SQRT($B$9*AVERAGE(W1739:OFFSET(W1739,$B$6-1,0)))</f>
        <v>#DIV/0!</v>
      </c>
      <c r="Z1739" s="6" t="e">
        <f ca="1">SQRT($B$9*AVERAGE(W1739:OFFSET(W1739,$B$7-1,0)))</f>
        <v>#DIV/0!</v>
      </c>
      <c r="AA1739" s="6" t="e">
        <f ca="1">SQRT($B$9*AVERAGE(W1739:OFFSET(W1739,$B$8-1,0)))</f>
        <v>#DIV/0!</v>
      </c>
      <c r="AC1739" s="34" t="e">
        <f t="shared" si="140"/>
        <v>#DIV/0!</v>
      </c>
      <c r="AD1739" s="34" t="e">
        <f ca="1">SQRT($B$9*SUM(AC1739:OFFSET(AC1739,$B$5-1,0))/($B$5-1))</f>
        <v>#DIV/0!</v>
      </c>
      <c r="AE1739" s="34" t="e">
        <f ca="1">SQRT($B$9*SUM(AC1739:OFFSET(AC1739,$B$6-1,0))/($B$6-1))</f>
        <v>#DIV/0!</v>
      </c>
      <c r="AF1739" s="34" t="e">
        <f ca="1">SQRT($B$9*SUM(AC1739:OFFSET(AC1739,$B$7-1,0))/($B$7-1))</f>
        <v>#DIV/0!</v>
      </c>
      <c r="AG1739" s="34" t="e">
        <f ca="1">SQRT($B$9*SUM(AC1739:OFFSET(AC1739,$B$8-1,0))/($B$8-1))</f>
        <v>#DIV/0!</v>
      </c>
      <c r="AI1739" s="1" t="e">
        <f t="shared" si="141"/>
        <v>#DIV/0!</v>
      </c>
      <c r="AJ1739" s="4" t="e">
        <f ca="1">SQRT($B$9)*_xlfn.STDEV.S(AI1739:OFFSET(AI1739,$B$5-1,0))</f>
        <v>#DIV/0!</v>
      </c>
      <c r="AK1739" s="4" t="e">
        <f ca="1">SQRT($B$9)*_xlfn.STDEV.S(AI1739:OFFSET(AI1739,$B$6-1,0))</f>
        <v>#DIV/0!</v>
      </c>
      <c r="AL1739" s="4" t="e">
        <f ca="1">SQRT($B$9)*_xlfn.STDEV.S(AI1739:OFFSET(AI1739,$B$7-1,0))</f>
        <v>#DIV/0!</v>
      </c>
      <c r="AM1739" s="4" t="e">
        <f ca="1">SQRT($B$9)*_xlfn.STDEV.S(AI1739:OFFSET(AI1739,$B$8-1,0))</f>
        <v>#DIV/0!</v>
      </c>
    </row>
    <row r="1740" spans="11:39" x14ac:dyDescent="0.2">
      <c r="K1740" s="3" t="e">
        <f t="shared" si="144"/>
        <v>#DIV/0!</v>
      </c>
      <c r="L1740" s="3" t="e">
        <f ca="1">SQRT(AVERAGE(K1740:OFFSET(K1740,$B$5-1,0))*$B$9/(4*LN(2)))</f>
        <v>#DIV/0!</v>
      </c>
      <c r="M1740" s="3" t="e">
        <f ca="1">SQRT(AVERAGE(K1740:OFFSET(K1740,$B$6-1,0))*$B$9/(4*LN(2)))</f>
        <v>#DIV/0!</v>
      </c>
      <c r="N1740" s="3" t="e">
        <f ca="1">SQRT(AVERAGE(K1740:OFFSET(K1740,$B$7-1,0))*$B$9/(4*LN(2)))</f>
        <v>#DIV/0!</v>
      </c>
      <c r="O1740" s="3" t="e">
        <f ca="1">SQRT(AVERAGE(K1740:OFFSET(K1740,$B$8-1,0))*$B$9/(4*LN(2)))</f>
        <v>#DIV/0!</v>
      </c>
      <c r="Q1740" s="5" t="e">
        <f t="shared" si="143"/>
        <v>#DIV/0!</v>
      </c>
      <c r="R1740" s="5" t="e">
        <f ca="1">SQRT($B$9*AVERAGE((Q1740:OFFSET(Q1740,$B$5-1,0))))</f>
        <v>#DIV/0!</v>
      </c>
      <c r="S1740" s="5" t="e">
        <f ca="1">SQRT($B$9*AVERAGE((Q1740:OFFSET(Q1740,$B$6-1,0))))</f>
        <v>#DIV/0!</v>
      </c>
      <c r="T1740" s="5" t="e">
        <f ca="1">SQRT($B$9*AVERAGE((Q1740:OFFSET(Q1740,$B$7-1,0))))</f>
        <v>#DIV/0!</v>
      </c>
      <c r="U1740" s="5" t="e">
        <f ca="1">SQRT($B$9*AVERAGE((Q1740:OFFSET(Q1740,$B$8-1,0))))</f>
        <v>#DIV/0!</v>
      </c>
      <c r="W1740" s="6" t="e">
        <f t="shared" si="142"/>
        <v>#DIV/0!</v>
      </c>
      <c r="X1740" s="6" t="e">
        <f ca="1">SQRT($B$9*AVERAGE(W1740:OFFSET(W1740,$B$5-1,0)))</f>
        <v>#DIV/0!</v>
      </c>
      <c r="Y1740" s="6" t="e">
        <f ca="1">SQRT($B$9*AVERAGE(W1740:OFFSET(W1740,$B$6-1,0)))</f>
        <v>#DIV/0!</v>
      </c>
      <c r="Z1740" s="6" t="e">
        <f ca="1">SQRT($B$9*AVERAGE(W1740:OFFSET(W1740,$B$7-1,0)))</f>
        <v>#DIV/0!</v>
      </c>
      <c r="AA1740" s="6" t="e">
        <f ca="1">SQRT($B$9*AVERAGE(W1740:OFFSET(W1740,$B$8-1,0)))</f>
        <v>#DIV/0!</v>
      </c>
      <c r="AC1740" s="34" t="e">
        <f t="shared" si="140"/>
        <v>#DIV/0!</v>
      </c>
      <c r="AD1740" s="34" t="e">
        <f ca="1">SQRT($B$9*SUM(AC1740:OFFSET(AC1740,$B$5-1,0))/($B$5-1))</f>
        <v>#DIV/0!</v>
      </c>
      <c r="AE1740" s="34" t="e">
        <f ca="1">SQRT($B$9*SUM(AC1740:OFFSET(AC1740,$B$6-1,0))/($B$6-1))</f>
        <v>#DIV/0!</v>
      </c>
      <c r="AF1740" s="34" t="e">
        <f ca="1">SQRT($B$9*SUM(AC1740:OFFSET(AC1740,$B$7-1,0))/($B$7-1))</f>
        <v>#DIV/0!</v>
      </c>
      <c r="AG1740" s="34" t="e">
        <f ca="1">SQRT($B$9*SUM(AC1740:OFFSET(AC1740,$B$8-1,0))/($B$8-1))</f>
        <v>#DIV/0!</v>
      </c>
      <c r="AI1740" s="1" t="e">
        <f t="shared" si="141"/>
        <v>#DIV/0!</v>
      </c>
      <c r="AJ1740" s="4" t="e">
        <f ca="1">SQRT($B$9)*_xlfn.STDEV.S(AI1740:OFFSET(AI1740,$B$5-1,0))</f>
        <v>#DIV/0!</v>
      </c>
      <c r="AK1740" s="4" t="e">
        <f ca="1">SQRT($B$9)*_xlfn.STDEV.S(AI1740:OFFSET(AI1740,$B$6-1,0))</f>
        <v>#DIV/0!</v>
      </c>
      <c r="AL1740" s="4" t="e">
        <f ca="1">SQRT($B$9)*_xlfn.STDEV.S(AI1740:OFFSET(AI1740,$B$7-1,0))</f>
        <v>#DIV/0!</v>
      </c>
      <c r="AM1740" s="4" t="e">
        <f ca="1">SQRT($B$9)*_xlfn.STDEV.S(AI1740:OFFSET(AI1740,$B$8-1,0))</f>
        <v>#DIV/0!</v>
      </c>
    </row>
    <row r="1741" spans="11:39" x14ac:dyDescent="0.2">
      <c r="K1741" s="3" t="e">
        <f t="shared" si="144"/>
        <v>#DIV/0!</v>
      </c>
      <c r="L1741" s="3" t="e">
        <f ca="1">SQRT(AVERAGE(K1741:OFFSET(K1741,$B$5-1,0))*$B$9/(4*LN(2)))</f>
        <v>#DIV/0!</v>
      </c>
      <c r="M1741" s="3" t="e">
        <f ca="1">SQRT(AVERAGE(K1741:OFFSET(K1741,$B$6-1,0))*$B$9/(4*LN(2)))</f>
        <v>#DIV/0!</v>
      </c>
      <c r="N1741" s="3" t="e">
        <f ca="1">SQRT(AVERAGE(K1741:OFFSET(K1741,$B$7-1,0))*$B$9/(4*LN(2)))</f>
        <v>#DIV/0!</v>
      </c>
      <c r="O1741" s="3" t="e">
        <f ca="1">SQRT(AVERAGE(K1741:OFFSET(K1741,$B$8-1,0))*$B$9/(4*LN(2)))</f>
        <v>#DIV/0!</v>
      </c>
      <c r="Q1741" s="5" t="e">
        <f t="shared" si="143"/>
        <v>#DIV/0!</v>
      </c>
      <c r="R1741" s="5" t="e">
        <f ca="1">SQRT($B$9*AVERAGE((Q1741:OFFSET(Q1741,$B$5-1,0))))</f>
        <v>#DIV/0!</v>
      </c>
      <c r="S1741" s="5" t="e">
        <f ca="1">SQRT($B$9*AVERAGE((Q1741:OFFSET(Q1741,$B$6-1,0))))</f>
        <v>#DIV/0!</v>
      </c>
      <c r="T1741" s="5" t="e">
        <f ca="1">SQRT($B$9*AVERAGE((Q1741:OFFSET(Q1741,$B$7-1,0))))</f>
        <v>#DIV/0!</v>
      </c>
      <c r="U1741" s="5" t="e">
        <f ca="1">SQRT($B$9*AVERAGE((Q1741:OFFSET(Q1741,$B$8-1,0))))</f>
        <v>#DIV/0!</v>
      </c>
      <c r="W1741" s="6" t="e">
        <f t="shared" si="142"/>
        <v>#DIV/0!</v>
      </c>
      <c r="X1741" s="6" t="e">
        <f ca="1">SQRT($B$9*AVERAGE(W1741:OFFSET(W1741,$B$5-1,0)))</f>
        <v>#DIV/0!</v>
      </c>
      <c r="Y1741" s="6" t="e">
        <f ca="1">SQRT($B$9*AVERAGE(W1741:OFFSET(W1741,$B$6-1,0)))</f>
        <v>#DIV/0!</v>
      </c>
      <c r="Z1741" s="6" t="e">
        <f ca="1">SQRT($B$9*AVERAGE(W1741:OFFSET(W1741,$B$7-1,0)))</f>
        <v>#DIV/0!</v>
      </c>
      <c r="AA1741" s="6" t="e">
        <f ca="1">SQRT($B$9*AVERAGE(W1741:OFFSET(W1741,$B$8-1,0)))</f>
        <v>#DIV/0!</v>
      </c>
      <c r="AC1741" s="34" t="e">
        <f t="shared" si="140"/>
        <v>#DIV/0!</v>
      </c>
      <c r="AD1741" s="34" t="e">
        <f ca="1">SQRT($B$9*SUM(AC1741:OFFSET(AC1741,$B$5-1,0))/($B$5-1))</f>
        <v>#DIV/0!</v>
      </c>
      <c r="AE1741" s="34" t="e">
        <f ca="1">SQRT($B$9*SUM(AC1741:OFFSET(AC1741,$B$6-1,0))/($B$6-1))</f>
        <v>#DIV/0!</v>
      </c>
      <c r="AF1741" s="34" t="e">
        <f ca="1">SQRT($B$9*SUM(AC1741:OFFSET(AC1741,$B$7-1,0))/($B$7-1))</f>
        <v>#DIV/0!</v>
      </c>
      <c r="AG1741" s="34" t="e">
        <f ca="1">SQRT($B$9*SUM(AC1741:OFFSET(AC1741,$B$8-1,0))/($B$8-1))</f>
        <v>#DIV/0!</v>
      </c>
      <c r="AI1741" s="1" t="e">
        <f t="shared" si="141"/>
        <v>#DIV/0!</v>
      </c>
      <c r="AJ1741" s="4" t="e">
        <f ca="1">SQRT($B$9)*_xlfn.STDEV.S(AI1741:OFFSET(AI1741,$B$5-1,0))</f>
        <v>#DIV/0!</v>
      </c>
      <c r="AK1741" s="4" t="e">
        <f ca="1">SQRT($B$9)*_xlfn.STDEV.S(AI1741:OFFSET(AI1741,$B$6-1,0))</f>
        <v>#DIV/0!</v>
      </c>
      <c r="AL1741" s="4" t="e">
        <f ca="1">SQRT($B$9)*_xlfn.STDEV.S(AI1741:OFFSET(AI1741,$B$7-1,0))</f>
        <v>#DIV/0!</v>
      </c>
      <c r="AM1741" s="4" t="e">
        <f ca="1">SQRT($B$9)*_xlfn.STDEV.S(AI1741:OFFSET(AI1741,$B$8-1,0))</f>
        <v>#DIV/0!</v>
      </c>
    </row>
    <row r="1742" spans="11:39" x14ac:dyDescent="0.2">
      <c r="K1742" s="3" t="e">
        <f t="shared" si="144"/>
        <v>#DIV/0!</v>
      </c>
      <c r="L1742" s="3" t="e">
        <f ca="1">SQRT(AVERAGE(K1742:OFFSET(K1742,$B$5-1,0))*$B$9/(4*LN(2)))</f>
        <v>#DIV/0!</v>
      </c>
      <c r="M1742" s="3" t="e">
        <f ca="1">SQRT(AVERAGE(K1742:OFFSET(K1742,$B$6-1,0))*$B$9/(4*LN(2)))</f>
        <v>#DIV/0!</v>
      </c>
      <c r="N1742" s="3" t="e">
        <f ca="1">SQRT(AVERAGE(K1742:OFFSET(K1742,$B$7-1,0))*$B$9/(4*LN(2)))</f>
        <v>#DIV/0!</v>
      </c>
      <c r="O1742" s="3" t="e">
        <f ca="1">SQRT(AVERAGE(K1742:OFFSET(K1742,$B$8-1,0))*$B$9/(4*LN(2)))</f>
        <v>#DIV/0!</v>
      </c>
      <c r="Q1742" s="5" t="e">
        <f t="shared" si="143"/>
        <v>#DIV/0!</v>
      </c>
      <c r="R1742" s="5" t="e">
        <f ca="1">SQRT($B$9*AVERAGE((Q1742:OFFSET(Q1742,$B$5-1,0))))</f>
        <v>#DIV/0!</v>
      </c>
      <c r="S1742" s="5" t="e">
        <f ca="1">SQRT($B$9*AVERAGE((Q1742:OFFSET(Q1742,$B$6-1,0))))</f>
        <v>#DIV/0!</v>
      </c>
      <c r="T1742" s="5" t="e">
        <f ca="1">SQRT($B$9*AVERAGE((Q1742:OFFSET(Q1742,$B$7-1,0))))</f>
        <v>#DIV/0!</v>
      </c>
      <c r="U1742" s="5" t="e">
        <f ca="1">SQRT($B$9*AVERAGE((Q1742:OFFSET(Q1742,$B$8-1,0))))</f>
        <v>#DIV/0!</v>
      </c>
      <c r="W1742" s="6" t="e">
        <f t="shared" si="142"/>
        <v>#DIV/0!</v>
      </c>
      <c r="X1742" s="6" t="e">
        <f ca="1">SQRT($B$9*AVERAGE(W1742:OFFSET(W1742,$B$5-1,0)))</f>
        <v>#DIV/0!</v>
      </c>
      <c r="Y1742" s="6" t="e">
        <f ca="1">SQRT($B$9*AVERAGE(W1742:OFFSET(W1742,$B$6-1,0)))</f>
        <v>#DIV/0!</v>
      </c>
      <c r="Z1742" s="6" t="e">
        <f ca="1">SQRT($B$9*AVERAGE(W1742:OFFSET(W1742,$B$7-1,0)))</f>
        <v>#DIV/0!</v>
      </c>
      <c r="AA1742" s="6" t="e">
        <f ca="1">SQRT($B$9*AVERAGE(W1742:OFFSET(W1742,$B$8-1,0)))</f>
        <v>#DIV/0!</v>
      </c>
      <c r="AC1742" s="34" t="e">
        <f t="shared" si="140"/>
        <v>#DIV/0!</v>
      </c>
      <c r="AD1742" s="34" t="e">
        <f ca="1">SQRT($B$9*SUM(AC1742:OFFSET(AC1742,$B$5-1,0))/($B$5-1))</f>
        <v>#DIV/0!</v>
      </c>
      <c r="AE1742" s="34" t="e">
        <f ca="1">SQRT($B$9*SUM(AC1742:OFFSET(AC1742,$B$6-1,0))/($B$6-1))</f>
        <v>#DIV/0!</v>
      </c>
      <c r="AF1742" s="34" t="e">
        <f ca="1">SQRT($B$9*SUM(AC1742:OFFSET(AC1742,$B$7-1,0))/($B$7-1))</f>
        <v>#DIV/0!</v>
      </c>
      <c r="AG1742" s="34" t="e">
        <f ca="1">SQRT($B$9*SUM(AC1742:OFFSET(AC1742,$B$8-1,0))/($B$8-1))</f>
        <v>#DIV/0!</v>
      </c>
      <c r="AI1742" s="1" t="e">
        <f t="shared" si="141"/>
        <v>#DIV/0!</v>
      </c>
      <c r="AJ1742" s="4" t="e">
        <f ca="1">SQRT($B$9)*_xlfn.STDEV.S(AI1742:OFFSET(AI1742,$B$5-1,0))</f>
        <v>#DIV/0!</v>
      </c>
      <c r="AK1742" s="4" t="e">
        <f ca="1">SQRT($B$9)*_xlfn.STDEV.S(AI1742:OFFSET(AI1742,$B$6-1,0))</f>
        <v>#DIV/0!</v>
      </c>
      <c r="AL1742" s="4" t="e">
        <f ca="1">SQRT($B$9)*_xlfn.STDEV.S(AI1742:OFFSET(AI1742,$B$7-1,0))</f>
        <v>#DIV/0!</v>
      </c>
      <c r="AM1742" s="4" t="e">
        <f ca="1">SQRT($B$9)*_xlfn.STDEV.S(AI1742:OFFSET(AI1742,$B$8-1,0))</f>
        <v>#DIV/0!</v>
      </c>
    </row>
    <row r="1743" spans="11:39" x14ac:dyDescent="0.2">
      <c r="K1743" s="3" t="e">
        <f t="shared" si="144"/>
        <v>#DIV/0!</v>
      </c>
      <c r="L1743" s="3" t="e">
        <f ca="1">SQRT(AVERAGE(K1743:OFFSET(K1743,$B$5-1,0))*$B$9/(4*LN(2)))</f>
        <v>#DIV/0!</v>
      </c>
      <c r="M1743" s="3" t="e">
        <f ca="1">SQRT(AVERAGE(K1743:OFFSET(K1743,$B$6-1,0))*$B$9/(4*LN(2)))</f>
        <v>#DIV/0!</v>
      </c>
      <c r="N1743" s="3" t="e">
        <f ca="1">SQRT(AVERAGE(K1743:OFFSET(K1743,$B$7-1,0))*$B$9/(4*LN(2)))</f>
        <v>#DIV/0!</v>
      </c>
      <c r="O1743" s="3" t="e">
        <f ca="1">SQRT(AVERAGE(K1743:OFFSET(K1743,$B$8-1,0))*$B$9/(4*LN(2)))</f>
        <v>#DIV/0!</v>
      </c>
      <c r="Q1743" s="5" t="e">
        <f t="shared" si="143"/>
        <v>#DIV/0!</v>
      </c>
      <c r="R1743" s="5" t="e">
        <f ca="1">SQRT($B$9*AVERAGE((Q1743:OFFSET(Q1743,$B$5-1,0))))</f>
        <v>#DIV/0!</v>
      </c>
      <c r="S1743" s="5" t="e">
        <f ca="1">SQRT($B$9*AVERAGE((Q1743:OFFSET(Q1743,$B$6-1,0))))</f>
        <v>#DIV/0!</v>
      </c>
      <c r="T1743" s="5" t="e">
        <f ca="1">SQRT($B$9*AVERAGE((Q1743:OFFSET(Q1743,$B$7-1,0))))</f>
        <v>#DIV/0!</v>
      </c>
      <c r="U1743" s="5" t="e">
        <f ca="1">SQRT($B$9*AVERAGE((Q1743:OFFSET(Q1743,$B$8-1,0))))</f>
        <v>#DIV/0!</v>
      </c>
      <c r="W1743" s="6" t="e">
        <f t="shared" si="142"/>
        <v>#DIV/0!</v>
      </c>
      <c r="X1743" s="6" t="e">
        <f ca="1">SQRT($B$9*AVERAGE(W1743:OFFSET(W1743,$B$5-1,0)))</f>
        <v>#DIV/0!</v>
      </c>
      <c r="Y1743" s="6" t="e">
        <f ca="1">SQRT($B$9*AVERAGE(W1743:OFFSET(W1743,$B$6-1,0)))</f>
        <v>#DIV/0!</v>
      </c>
      <c r="Z1743" s="6" t="e">
        <f ca="1">SQRT($B$9*AVERAGE(W1743:OFFSET(W1743,$B$7-1,0)))</f>
        <v>#DIV/0!</v>
      </c>
      <c r="AA1743" s="6" t="e">
        <f ca="1">SQRT($B$9*AVERAGE(W1743:OFFSET(W1743,$B$8-1,0)))</f>
        <v>#DIV/0!</v>
      </c>
      <c r="AC1743" s="34" t="e">
        <f t="shared" si="140"/>
        <v>#DIV/0!</v>
      </c>
      <c r="AD1743" s="34" t="e">
        <f ca="1">SQRT($B$9*SUM(AC1743:OFFSET(AC1743,$B$5-1,0))/($B$5-1))</f>
        <v>#DIV/0!</v>
      </c>
      <c r="AE1743" s="34" t="e">
        <f ca="1">SQRT($B$9*SUM(AC1743:OFFSET(AC1743,$B$6-1,0))/($B$6-1))</f>
        <v>#DIV/0!</v>
      </c>
      <c r="AF1743" s="34" t="e">
        <f ca="1">SQRT($B$9*SUM(AC1743:OFFSET(AC1743,$B$7-1,0))/($B$7-1))</f>
        <v>#DIV/0!</v>
      </c>
      <c r="AG1743" s="34" t="e">
        <f ca="1">SQRT($B$9*SUM(AC1743:OFFSET(AC1743,$B$8-1,0))/($B$8-1))</f>
        <v>#DIV/0!</v>
      </c>
      <c r="AI1743" s="1" t="e">
        <f t="shared" si="141"/>
        <v>#DIV/0!</v>
      </c>
      <c r="AJ1743" s="4" t="e">
        <f ca="1">SQRT($B$9)*_xlfn.STDEV.S(AI1743:OFFSET(AI1743,$B$5-1,0))</f>
        <v>#DIV/0!</v>
      </c>
      <c r="AK1743" s="4" t="e">
        <f ca="1">SQRT($B$9)*_xlfn.STDEV.S(AI1743:OFFSET(AI1743,$B$6-1,0))</f>
        <v>#DIV/0!</v>
      </c>
      <c r="AL1743" s="4" t="e">
        <f ca="1">SQRT($B$9)*_xlfn.STDEV.S(AI1743:OFFSET(AI1743,$B$7-1,0))</f>
        <v>#DIV/0!</v>
      </c>
      <c r="AM1743" s="4" t="e">
        <f ca="1">SQRT($B$9)*_xlfn.STDEV.S(AI1743:OFFSET(AI1743,$B$8-1,0))</f>
        <v>#DIV/0!</v>
      </c>
    </row>
    <row r="1744" spans="11:39" x14ac:dyDescent="0.2">
      <c r="K1744" s="3" t="e">
        <f t="shared" si="144"/>
        <v>#DIV/0!</v>
      </c>
      <c r="L1744" s="3" t="e">
        <f ca="1">SQRT(AVERAGE(K1744:OFFSET(K1744,$B$5-1,0))*$B$9/(4*LN(2)))</f>
        <v>#DIV/0!</v>
      </c>
      <c r="M1744" s="3" t="e">
        <f ca="1">SQRT(AVERAGE(K1744:OFFSET(K1744,$B$6-1,0))*$B$9/(4*LN(2)))</f>
        <v>#DIV/0!</v>
      </c>
      <c r="N1744" s="3" t="e">
        <f ca="1">SQRT(AVERAGE(K1744:OFFSET(K1744,$B$7-1,0))*$B$9/(4*LN(2)))</f>
        <v>#DIV/0!</v>
      </c>
      <c r="O1744" s="3" t="e">
        <f ca="1">SQRT(AVERAGE(K1744:OFFSET(K1744,$B$8-1,0))*$B$9/(4*LN(2)))</f>
        <v>#DIV/0!</v>
      </c>
      <c r="Q1744" s="5" t="e">
        <f t="shared" si="143"/>
        <v>#DIV/0!</v>
      </c>
      <c r="R1744" s="5" t="e">
        <f ca="1">SQRT($B$9*AVERAGE((Q1744:OFFSET(Q1744,$B$5-1,0))))</f>
        <v>#DIV/0!</v>
      </c>
      <c r="S1744" s="5" t="e">
        <f ca="1">SQRT($B$9*AVERAGE((Q1744:OFFSET(Q1744,$B$6-1,0))))</f>
        <v>#DIV/0!</v>
      </c>
      <c r="T1744" s="5" t="e">
        <f ca="1">SQRT($B$9*AVERAGE((Q1744:OFFSET(Q1744,$B$7-1,0))))</f>
        <v>#DIV/0!</v>
      </c>
      <c r="U1744" s="5" t="e">
        <f ca="1">SQRT($B$9*AVERAGE((Q1744:OFFSET(Q1744,$B$8-1,0))))</f>
        <v>#DIV/0!</v>
      </c>
      <c r="W1744" s="6" t="e">
        <f t="shared" si="142"/>
        <v>#DIV/0!</v>
      </c>
      <c r="X1744" s="6" t="e">
        <f ca="1">SQRT($B$9*AVERAGE(W1744:OFFSET(W1744,$B$5-1,0)))</f>
        <v>#DIV/0!</v>
      </c>
      <c r="Y1744" s="6" t="e">
        <f ca="1">SQRT($B$9*AVERAGE(W1744:OFFSET(W1744,$B$6-1,0)))</f>
        <v>#DIV/0!</v>
      </c>
      <c r="Z1744" s="6" t="e">
        <f ca="1">SQRT($B$9*AVERAGE(W1744:OFFSET(W1744,$B$7-1,0)))</f>
        <v>#DIV/0!</v>
      </c>
      <c r="AA1744" s="6" t="e">
        <f ca="1">SQRT($B$9*AVERAGE(W1744:OFFSET(W1744,$B$8-1,0)))</f>
        <v>#DIV/0!</v>
      </c>
      <c r="AC1744" s="34" t="e">
        <f t="shared" si="140"/>
        <v>#DIV/0!</v>
      </c>
      <c r="AD1744" s="34" t="e">
        <f ca="1">SQRT($B$9*SUM(AC1744:OFFSET(AC1744,$B$5-1,0))/($B$5-1))</f>
        <v>#DIV/0!</v>
      </c>
      <c r="AE1744" s="34" t="e">
        <f ca="1">SQRT($B$9*SUM(AC1744:OFFSET(AC1744,$B$6-1,0))/($B$6-1))</f>
        <v>#DIV/0!</v>
      </c>
      <c r="AF1744" s="34" t="e">
        <f ca="1">SQRT($B$9*SUM(AC1744:OFFSET(AC1744,$B$7-1,0))/($B$7-1))</f>
        <v>#DIV/0!</v>
      </c>
      <c r="AG1744" s="34" t="e">
        <f ca="1">SQRT($B$9*SUM(AC1744:OFFSET(AC1744,$B$8-1,0))/($B$8-1))</f>
        <v>#DIV/0!</v>
      </c>
      <c r="AI1744" s="1" t="e">
        <f t="shared" si="141"/>
        <v>#DIV/0!</v>
      </c>
      <c r="AJ1744" s="4" t="e">
        <f ca="1">SQRT($B$9)*_xlfn.STDEV.S(AI1744:OFFSET(AI1744,$B$5-1,0))</f>
        <v>#DIV/0!</v>
      </c>
      <c r="AK1744" s="4" t="e">
        <f ca="1">SQRT($B$9)*_xlfn.STDEV.S(AI1744:OFFSET(AI1744,$B$6-1,0))</f>
        <v>#DIV/0!</v>
      </c>
      <c r="AL1744" s="4" t="e">
        <f ca="1">SQRT($B$9)*_xlfn.STDEV.S(AI1744:OFFSET(AI1744,$B$7-1,0))</f>
        <v>#DIV/0!</v>
      </c>
      <c r="AM1744" s="4" t="e">
        <f ca="1">SQRT($B$9)*_xlfn.STDEV.S(AI1744:OFFSET(AI1744,$B$8-1,0))</f>
        <v>#DIV/0!</v>
      </c>
    </row>
    <row r="1745" spans="11:39" x14ac:dyDescent="0.2">
      <c r="K1745" s="3" t="e">
        <f t="shared" si="144"/>
        <v>#DIV/0!</v>
      </c>
      <c r="L1745" s="3" t="e">
        <f ca="1">SQRT(AVERAGE(K1745:OFFSET(K1745,$B$5-1,0))*$B$9/(4*LN(2)))</f>
        <v>#DIV/0!</v>
      </c>
      <c r="M1745" s="3" t="e">
        <f ca="1">SQRT(AVERAGE(K1745:OFFSET(K1745,$B$6-1,0))*$B$9/(4*LN(2)))</f>
        <v>#DIV/0!</v>
      </c>
      <c r="N1745" s="3" t="e">
        <f ca="1">SQRT(AVERAGE(K1745:OFFSET(K1745,$B$7-1,0))*$B$9/(4*LN(2)))</f>
        <v>#DIV/0!</v>
      </c>
      <c r="O1745" s="3" t="e">
        <f ca="1">SQRT(AVERAGE(K1745:OFFSET(K1745,$B$8-1,0))*$B$9/(4*LN(2)))</f>
        <v>#DIV/0!</v>
      </c>
      <c r="Q1745" s="5" t="e">
        <f t="shared" si="143"/>
        <v>#DIV/0!</v>
      </c>
      <c r="R1745" s="5" t="e">
        <f ca="1">SQRT($B$9*AVERAGE((Q1745:OFFSET(Q1745,$B$5-1,0))))</f>
        <v>#DIV/0!</v>
      </c>
      <c r="S1745" s="5" t="e">
        <f ca="1">SQRT($B$9*AVERAGE((Q1745:OFFSET(Q1745,$B$6-1,0))))</f>
        <v>#DIV/0!</v>
      </c>
      <c r="T1745" s="5" t="e">
        <f ca="1">SQRT($B$9*AVERAGE((Q1745:OFFSET(Q1745,$B$7-1,0))))</f>
        <v>#DIV/0!</v>
      </c>
      <c r="U1745" s="5" t="e">
        <f ca="1">SQRT($B$9*AVERAGE((Q1745:OFFSET(Q1745,$B$8-1,0))))</f>
        <v>#DIV/0!</v>
      </c>
      <c r="W1745" s="6" t="e">
        <f t="shared" si="142"/>
        <v>#DIV/0!</v>
      </c>
      <c r="X1745" s="6" t="e">
        <f ca="1">SQRT($B$9*AVERAGE(W1745:OFFSET(W1745,$B$5-1,0)))</f>
        <v>#DIV/0!</v>
      </c>
      <c r="Y1745" s="6" t="e">
        <f ca="1">SQRT($B$9*AVERAGE(W1745:OFFSET(W1745,$B$6-1,0)))</f>
        <v>#DIV/0!</v>
      </c>
      <c r="Z1745" s="6" t="e">
        <f ca="1">SQRT($B$9*AVERAGE(W1745:OFFSET(W1745,$B$7-1,0)))</f>
        <v>#DIV/0!</v>
      </c>
      <c r="AA1745" s="6" t="e">
        <f ca="1">SQRT($B$9*AVERAGE(W1745:OFFSET(W1745,$B$8-1,0)))</f>
        <v>#DIV/0!</v>
      </c>
      <c r="AC1745" s="34" t="e">
        <f t="shared" ref="AC1745:AC1808" si="145">(LN(I1745/I1746))^2</f>
        <v>#DIV/0!</v>
      </c>
      <c r="AD1745" s="34" t="e">
        <f ca="1">SQRT($B$9*SUM(AC1745:OFFSET(AC1745,$B$5-1,0))/($B$5-1))</f>
        <v>#DIV/0!</v>
      </c>
      <c r="AE1745" s="34" t="e">
        <f ca="1">SQRT($B$9*SUM(AC1745:OFFSET(AC1745,$B$6-1,0))/($B$6-1))</f>
        <v>#DIV/0!</v>
      </c>
      <c r="AF1745" s="34" t="e">
        <f ca="1">SQRT($B$9*SUM(AC1745:OFFSET(AC1745,$B$7-1,0))/($B$7-1))</f>
        <v>#DIV/0!</v>
      </c>
      <c r="AG1745" s="34" t="e">
        <f ca="1">SQRT($B$9*SUM(AC1745:OFFSET(AC1745,$B$8-1,0))/($B$8-1))</f>
        <v>#DIV/0!</v>
      </c>
      <c r="AI1745" s="1" t="e">
        <f t="shared" si="141"/>
        <v>#DIV/0!</v>
      </c>
      <c r="AJ1745" s="4" t="e">
        <f ca="1">SQRT($B$9)*_xlfn.STDEV.S(AI1745:OFFSET(AI1745,$B$5-1,0))</f>
        <v>#DIV/0!</v>
      </c>
      <c r="AK1745" s="4" t="e">
        <f ca="1">SQRT($B$9)*_xlfn.STDEV.S(AI1745:OFFSET(AI1745,$B$6-1,0))</f>
        <v>#DIV/0!</v>
      </c>
      <c r="AL1745" s="4" t="e">
        <f ca="1">SQRT($B$9)*_xlfn.STDEV.S(AI1745:OFFSET(AI1745,$B$7-1,0))</f>
        <v>#DIV/0!</v>
      </c>
      <c r="AM1745" s="4" t="e">
        <f ca="1">SQRT($B$9)*_xlfn.STDEV.S(AI1745:OFFSET(AI1745,$B$8-1,0))</f>
        <v>#DIV/0!</v>
      </c>
    </row>
    <row r="1746" spans="11:39" x14ac:dyDescent="0.2">
      <c r="K1746" s="3" t="e">
        <f t="shared" si="144"/>
        <v>#DIV/0!</v>
      </c>
      <c r="L1746" s="3" t="e">
        <f ca="1">SQRT(AVERAGE(K1746:OFFSET(K1746,$B$5-1,0))*$B$9/(4*LN(2)))</f>
        <v>#DIV/0!</v>
      </c>
      <c r="M1746" s="3" t="e">
        <f ca="1">SQRT(AVERAGE(K1746:OFFSET(K1746,$B$6-1,0))*$B$9/(4*LN(2)))</f>
        <v>#DIV/0!</v>
      </c>
      <c r="N1746" s="3" t="e">
        <f ca="1">SQRT(AVERAGE(K1746:OFFSET(K1746,$B$7-1,0))*$B$9/(4*LN(2)))</f>
        <v>#DIV/0!</v>
      </c>
      <c r="O1746" s="3" t="e">
        <f ca="1">SQRT(AVERAGE(K1746:OFFSET(K1746,$B$8-1,0))*$B$9/(4*LN(2)))</f>
        <v>#DIV/0!</v>
      </c>
      <c r="Q1746" s="5" t="e">
        <f t="shared" si="143"/>
        <v>#DIV/0!</v>
      </c>
      <c r="R1746" s="5" t="e">
        <f ca="1">SQRT($B$9*AVERAGE((Q1746:OFFSET(Q1746,$B$5-1,0))))</f>
        <v>#DIV/0!</v>
      </c>
      <c r="S1746" s="5" t="e">
        <f ca="1">SQRT($B$9*AVERAGE((Q1746:OFFSET(Q1746,$B$6-1,0))))</f>
        <v>#DIV/0!</v>
      </c>
      <c r="T1746" s="5" t="e">
        <f ca="1">SQRT($B$9*AVERAGE((Q1746:OFFSET(Q1746,$B$7-1,0))))</f>
        <v>#DIV/0!</v>
      </c>
      <c r="U1746" s="5" t="e">
        <f ca="1">SQRT($B$9*AVERAGE((Q1746:OFFSET(Q1746,$B$8-1,0))))</f>
        <v>#DIV/0!</v>
      </c>
      <c r="W1746" s="6" t="e">
        <f t="shared" si="142"/>
        <v>#DIV/0!</v>
      </c>
      <c r="X1746" s="6" t="e">
        <f ca="1">SQRT($B$9*AVERAGE(W1746:OFFSET(W1746,$B$5-1,0)))</f>
        <v>#DIV/0!</v>
      </c>
      <c r="Y1746" s="6" t="e">
        <f ca="1">SQRT($B$9*AVERAGE(W1746:OFFSET(W1746,$B$6-1,0)))</f>
        <v>#DIV/0!</v>
      </c>
      <c r="Z1746" s="6" t="e">
        <f ca="1">SQRT($B$9*AVERAGE(W1746:OFFSET(W1746,$B$7-1,0)))</f>
        <v>#DIV/0!</v>
      </c>
      <c r="AA1746" s="6" t="e">
        <f ca="1">SQRT($B$9*AVERAGE(W1746:OFFSET(W1746,$B$8-1,0)))</f>
        <v>#DIV/0!</v>
      </c>
      <c r="AC1746" s="34" t="e">
        <f t="shared" si="145"/>
        <v>#DIV/0!</v>
      </c>
      <c r="AD1746" s="34" t="e">
        <f ca="1">SQRT($B$9*SUM(AC1746:OFFSET(AC1746,$B$5-1,0))/($B$5-1))</f>
        <v>#DIV/0!</v>
      </c>
      <c r="AE1746" s="34" t="e">
        <f ca="1">SQRT($B$9*SUM(AC1746:OFFSET(AC1746,$B$6-1,0))/($B$6-1))</f>
        <v>#DIV/0!</v>
      </c>
      <c r="AF1746" s="34" t="e">
        <f ca="1">SQRT($B$9*SUM(AC1746:OFFSET(AC1746,$B$7-1,0))/($B$7-1))</f>
        <v>#DIV/0!</v>
      </c>
      <c r="AG1746" s="34" t="e">
        <f ca="1">SQRT($B$9*SUM(AC1746:OFFSET(AC1746,$B$8-1,0))/($B$8-1))</f>
        <v>#DIV/0!</v>
      </c>
      <c r="AI1746" s="1" t="e">
        <f t="shared" si="141"/>
        <v>#DIV/0!</v>
      </c>
      <c r="AJ1746" s="4" t="e">
        <f ca="1">SQRT($B$9)*_xlfn.STDEV.S(AI1746:OFFSET(AI1746,$B$5-1,0))</f>
        <v>#DIV/0!</v>
      </c>
      <c r="AK1746" s="4" t="e">
        <f ca="1">SQRT($B$9)*_xlfn.STDEV.S(AI1746:OFFSET(AI1746,$B$6-1,0))</f>
        <v>#DIV/0!</v>
      </c>
      <c r="AL1746" s="4" t="e">
        <f ca="1">SQRT($B$9)*_xlfn.STDEV.S(AI1746:OFFSET(AI1746,$B$7-1,0))</f>
        <v>#DIV/0!</v>
      </c>
      <c r="AM1746" s="4" t="e">
        <f ca="1">SQRT($B$9)*_xlfn.STDEV.S(AI1746:OFFSET(AI1746,$B$8-1,0))</f>
        <v>#DIV/0!</v>
      </c>
    </row>
    <row r="1747" spans="11:39" x14ac:dyDescent="0.2">
      <c r="K1747" s="3" t="e">
        <f t="shared" si="144"/>
        <v>#DIV/0!</v>
      </c>
      <c r="L1747" s="3" t="e">
        <f ca="1">SQRT(AVERAGE(K1747:OFFSET(K1747,$B$5-1,0))*$B$9/(4*LN(2)))</f>
        <v>#DIV/0!</v>
      </c>
      <c r="M1747" s="3" t="e">
        <f ca="1">SQRT(AVERAGE(K1747:OFFSET(K1747,$B$6-1,0))*$B$9/(4*LN(2)))</f>
        <v>#DIV/0!</v>
      </c>
      <c r="N1747" s="3" t="e">
        <f ca="1">SQRT(AVERAGE(K1747:OFFSET(K1747,$B$7-1,0))*$B$9/(4*LN(2)))</f>
        <v>#DIV/0!</v>
      </c>
      <c r="O1747" s="3" t="e">
        <f ca="1">SQRT(AVERAGE(K1747:OFFSET(K1747,$B$8-1,0))*$B$9/(4*LN(2)))</f>
        <v>#DIV/0!</v>
      </c>
      <c r="Q1747" s="5" t="e">
        <f t="shared" si="143"/>
        <v>#DIV/0!</v>
      </c>
      <c r="R1747" s="5" t="e">
        <f ca="1">SQRT($B$9*AVERAGE((Q1747:OFFSET(Q1747,$B$5-1,0))))</f>
        <v>#DIV/0!</v>
      </c>
      <c r="S1747" s="5" t="e">
        <f ca="1">SQRT($B$9*AVERAGE((Q1747:OFFSET(Q1747,$B$6-1,0))))</f>
        <v>#DIV/0!</v>
      </c>
      <c r="T1747" s="5" t="e">
        <f ca="1">SQRT($B$9*AVERAGE((Q1747:OFFSET(Q1747,$B$7-1,0))))</f>
        <v>#DIV/0!</v>
      </c>
      <c r="U1747" s="5" t="e">
        <f ca="1">SQRT($B$9*AVERAGE((Q1747:OFFSET(Q1747,$B$8-1,0))))</f>
        <v>#DIV/0!</v>
      </c>
      <c r="W1747" s="6" t="e">
        <f t="shared" si="142"/>
        <v>#DIV/0!</v>
      </c>
      <c r="X1747" s="6" t="e">
        <f ca="1">SQRT($B$9*AVERAGE(W1747:OFFSET(W1747,$B$5-1,0)))</f>
        <v>#DIV/0!</v>
      </c>
      <c r="Y1747" s="6" t="e">
        <f ca="1">SQRT($B$9*AVERAGE(W1747:OFFSET(W1747,$B$6-1,0)))</f>
        <v>#DIV/0!</v>
      </c>
      <c r="Z1747" s="6" t="e">
        <f ca="1">SQRT($B$9*AVERAGE(W1747:OFFSET(W1747,$B$7-1,0)))</f>
        <v>#DIV/0!</v>
      </c>
      <c r="AA1747" s="6" t="e">
        <f ca="1">SQRT($B$9*AVERAGE(W1747:OFFSET(W1747,$B$8-1,0)))</f>
        <v>#DIV/0!</v>
      </c>
      <c r="AC1747" s="34" t="e">
        <f t="shared" si="145"/>
        <v>#DIV/0!</v>
      </c>
      <c r="AD1747" s="34" t="e">
        <f ca="1">SQRT($B$9*SUM(AC1747:OFFSET(AC1747,$B$5-1,0))/($B$5-1))</f>
        <v>#DIV/0!</v>
      </c>
      <c r="AE1747" s="34" t="e">
        <f ca="1">SQRT($B$9*SUM(AC1747:OFFSET(AC1747,$B$6-1,0))/($B$6-1))</f>
        <v>#DIV/0!</v>
      </c>
      <c r="AF1747" s="34" t="e">
        <f ca="1">SQRT($B$9*SUM(AC1747:OFFSET(AC1747,$B$7-1,0))/($B$7-1))</f>
        <v>#DIV/0!</v>
      </c>
      <c r="AG1747" s="34" t="e">
        <f ca="1">SQRT($B$9*SUM(AC1747:OFFSET(AC1747,$B$8-1,0))/($B$8-1))</f>
        <v>#DIV/0!</v>
      </c>
      <c r="AI1747" s="1" t="e">
        <f t="shared" ref="AI1747:AI1810" si="146">LN(I1747/I1748)</f>
        <v>#DIV/0!</v>
      </c>
      <c r="AJ1747" s="4" t="e">
        <f ca="1">SQRT($B$9)*_xlfn.STDEV.S(AI1747:OFFSET(AI1747,$B$5-1,0))</f>
        <v>#DIV/0!</v>
      </c>
      <c r="AK1747" s="4" t="e">
        <f ca="1">SQRT($B$9)*_xlfn.STDEV.S(AI1747:OFFSET(AI1747,$B$6-1,0))</f>
        <v>#DIV/0!</v>
      </c>
      <c r="AL1747" s="4" t="e">
        <f ca="1">SQRT($B$9)*_xlfn.STDEV.S(AI1747:OFFSET(AI1747,$B$7-1,0))</f>
        <v>#DIV/0!</v>
      </c>
      <c r="AM1747" s="4" t="e">
        <f ca="1">SQRT($B$9)*_xlfn.STDEV.S(AI1747:OFFSET(AI1747,$B$8-1,0))</f>
        <v>#DIV/0!</v>
      </c>
    </row>
    <row r="1748" spans="11:39" x14ac:dyDescent="0.2">
      <c r="K1748" s="3" t="e">
        <f t="shared" si="144"/>
        <v>#DIV/0!</v>
      </c>
      <c r="L1748" s="3" t="e">
        <f ca="1">SQRT(AVERAGE(K1748:OFFSET(K1748,$B$5-1,0))*$B$9/(4*LN(2)))</f>
        <v>#DIV/0!</v>
      </c>
      <c r="M1748" s="3" t="e">
        <f ca="1">SQRT(AVERAGE(K1748:OFFSET(K1748,$B$6-1,0))*$B$9/(4*LN(2)))</f>
        <v>#DIV/0!</v>
      </c>
      <c r="N1748" s="3" t="e">
        <f ca="1">SQRT(AVERAGE(K1748:OFFSET(K1748,$B$7-1,0))*$B$9/(4*LN(2)))</f>
        <v>#DIV/0!</v>
      </c>
      <c r="O1748" s="3" t="e">
        <f ca="1">SQRT(AVERAGE(K1748:OFFSET(K1748,$B$8-1,0))*$B$9/(4*LN(2)))</f>
        <v>#DIV/0!</v>
      </c>
      <c r="Q1748" s="5" t="e">
        <f t="shared" si="143"/>
        <v>#DIV/0!</v>
      </c>
      <c r="R1748" s="5" t="e">
        <f ca="1">SQRT($B$9*AVERAGE((Q1748:OFFSET(Q1748,$B$5-1,0))))</f>
        <v>#DIV/0!</v>
      </c>
      <c r="S1748" s="5" t="e">
        <f ca="1">SQRT($B$9*AVERAGE((Q1748:OFFSET(Q1748,$B$6-1,0))))</f>
        <v>#DIV/0!</v>
      </c>
      <c r="T1748" s="5" t="e">
        <f ca="1">SQRT($B$9*AVERAGE((Q1748:OFFSET(Q1748,$B$7-1,0))))</f>
        <v>#DIV/0!</v>
      </c>
      <c r="U1748" s="5" t="e">
        <f ca="1">SQRT($B$9*AVERAGE((Q1748:OFFSET(Q1748,$B$8-1,0))))</f>
        <v>#DIV/0!</v>
      </c>
      <c r="W1748" s="6" t="e">
        <f t="shared" si="142"/>
        <v>#DIV/0!</v>
      </c>
      <c r="X1748" s="6" t="e">
        <f ca="1">SQRT($B$9*AVERAGE(W1748:OFFSET(W1748,$B$5-1,0)))</f>
        <v>#DIV/0!</v>
      </c>
      <c r="Y1748" s="6" t="e">
        <f ca="1">SQRT($B$9*AVERAGE(W1748:OFFSET(W1748,$B$6-1,0)))</f>
        <v>#DIV/0!</v>
      </c>
      <c r="Z1748" s="6" t="e">
        <f ca="1">SQRT($B$9*AVERAGE(W1748:OFFSET(W1748,$B$7-1,0)))</f>
        <v>#DIV/0!</v>
      </c>
      <c r="AA1748" s="6" t="e">
        <f ca="1">SQRT($B$9*AVERAGE(W1748:OFFSET(W1748,$B$8-1,0)))</f>
        <v>#DIV/0!</v>
      </c>
      <c r="AC1748" s="34" t="e">
        <f t="shared" si="145"/>
        <v>#DIV/0!</v>
      </c>
      <c r="AD1748" s="34" t="e">
        <f ca="1">SQRT($B$9*SUM(AC1748:OFFSET(AC1748,$B$5-1,0))/($B$5-1))</f>
        <v>#DIV/0!</v>
      </c>
      <c r="AE1748" s="34" t="e">
        <f ca="1">SQRT($B$9*SUM(AC1748:OFFSET(AC1748,$B$6-1,0))/($B$6-1))</f>
        <v>#DIV/0!</v>
      </c>
      <c r="AF1748" s="34" t="e">
        <f ca="1">SQRT($B$9*SUM(AC1748:OFFSET(AC1748,$B$7-1,0))/($B$7-1))</f>
        <v>#DIV/0!</v>
      </c>
      <c r="AG1748" s="34" t="e">
        <f ca="1">SQRT($B$9*SUM(AC1748:OFFSET(AC1748,$B$8-1,0))/($B$8-1))</f>
        <v>#DIV/0!</v>
      </c>
      <c r="AI1748" s="1" t="e">
        <f t="shared" si="146"/>
        <v>#DIV/0!</v>
      </c>
      <c r="AJ1748" s="4" t="e">
        <f ca="1">SQRT($B$9)*_xlfn.STDEV.S(AI1748:OFFSET(AI1748,$B$5-1,0))</f>
        <v>#DIV/0!</v>
      </c>
      <c r="AK1748" s="4" t="e">
        <f ca="1">SQRT($B$9)*_xlfn.STDEV.S(AI1748:OFFSET(AI1748,$B$6-1,0))</f>
        <v>#DIV/0!</v>
      </c>
      <c r="AL1748" s="4" t="e">
        <f ca="1">SQRT($B$9)*_xlfn.STDEV.S(AI1748:OFFSET(AI1748,$B$7-1,0))</f>
        <v>#DIV/0!</v>
      </c>
      <c r="AM1748" s="4" t="e">
        <f ca="1">SQRT($B$9)*_xlfn.STDEV.S(AI1748:OFFSET(AI1748,$B$8-1,0))</f>
        <v>#DIV/0!</v>
      </c>
    </row>
    <row r="1749" spans="11:39" x14ac:dyDescent="0.2">
      <c r="K1749" s="3" t="e">
        <f t="shared" si="144"/>
        <v>#DIV/0!</v>
      </c>
      <c r="L1749" s="3" t="e">
        <f ca="1">SQRT(AVERAGE(K1749:OFFSET(K1749,$B$5-1,0))*$B$9/(4*LN(2)))</f>
        <v>#DIV/0!</v>
      </c>
      <c r="M1749" s="3" t="e">
        <f ca="1">SQRT(AVERAGE(K1749:OFFSET(K1749,$B$6-1,0))*$B$9/(4*LN(2)))</f>
        <v>#DIV/0!</v>
      </c>
      <c r="N1749" s="3" t="e">
        <f ca="1">SQRT(AVERAGE(K1749:OFFSET(K1749,$B$7-1,0))*$B$9/(4*LN(2)))</f>
        <v>#DIV/0!</v>
      </c>
      <c r="O1749" s="3" t="e">
        <f ca="1">SQRT(AVERAGE(K1749:OFFSET(K1749,$B$8-1,0))*$B$9/(4*LN(2)))</f>
        <v>#DIV/0!</v>
      </c>
      <c r="Q1749" s="5" t="e">
        <f t="shared" si="143"/>
        <v>#DIV/0!</v>
      </c>
      <c r="R1749" s="5" t="e">
        <f ca="1">SQRT($B$9*AVERAGE((Q1749:OFFSET(Q1749,$B$5-1,0))))</f>
        <v>#DIV/0!</v>
      </c>
      <c r="S1749" s="5" t="e">
        <f ca="1">SQRT($B$9*AVERAGE((Q1749:OFFSET(Q1749,$B$6-1,0))))</f>
        <v>#DIV/0!</v>
      </c>
      <c r="T1749" s="5" t="e">
        <f ca="1">SQRT($B$9*AVERAGE((Q1749:OFFSET(Q1749,$B$7-1,0))))</f>
        <v>#DIV/0!</v>
      </c>
      <c r="U1749" s="5" t="e">
        <f ca="1">SQRT($B$9*AVERAGE((Q1749:OFFSET(Q1749,$B$8-1,0))))</f>
        <v>#DIV/0!</v>
      </c>
      <c r="W1749" s="6" t="e">
        <f t="shared" si="142"/>
        <v>#DIV/0!</v>
      </c>
      <c r="X1749" s="6" t="e">
        <f ca="1">SQRT($B$9*AVERAGE(W1749:OFFSET(W1749,$B$5-1,0)))</f>
        <v>#DIV/0!</v>
      </c>
      <c r="Y1749" s="6" t="e">
        <f ca="1">SQRT($B$9*AVERAGE(W1749:OFFSET(W1749,$B$6-1,0)))</f>
        <v>#DIV/0!</v>
      </c>
      <c r="Z1749" s="6" t="e">
        <f ca="1">SQRT($B$9*AVERAGE(W1749:OFFSET(W1749,$B$7-1,0)))</f>
        <v>#DIV/0!</v>
      </c>
      <c r="AA1749" s="6" t="e">
        <f ca="1">SQRT($B$9*AVERAGE(W1749:OFFSET(W1749,$B$8-1,0)))</f>
        <v>#DIV/0!</v>
      </c>
      <c r="AC1749" s="34" t="e">
        <f t="shared" si="145"/>
        <v>#DIV/0!</v>
      </c>
      <c r="AD1749" s="34" t="e">
        <f ca="1">SQRT($B$9*SUM(AC1749:OFFSET(AC1749,$B$5-1,0))/($B$5-1))</f>
        <v>#DIV/0!</v>
      </c>
      <c r="AE1749" s="34" t="e">
        <f ca="1">SQRT($B$9*SUM(AC1749:OFFSET(AC1749,$B$6-1,0))/($B$6-1))</f>
        <v>#DIV/0!</v>
      </c>
      <c r="AF1749" s="34" t="e">
        <f ca="1">SQRT($B$9*SUM(AC1749:OFFSET(AC1749,$B$7-1,0))/($B$7-1))</f>
        <v>#DIV/0!</v>
      </c>
      <c r="AG1749" s="34" t="e">
        <f ca="1">SQRT($B$9*SUM(AC1749:OFFSET(AC1749,$B$8-1,0))/($B$8-1))</f>
        <v>#DIV/0!</v>
      </c>
      <c r="AI1749" s="1" t="e">
        <f t="shared" si="146"/>
        <v>#DIV/0!</v>
      </c>
      <c r="AJ1749" s="4" t="e">
        <f ca="1">SQRT($B$9)*_xlfn.STDEV.S(AI1749:OFFSET(AI1749,$B$5-1,0))</f>
        <v>#DIV/0!</v>
      </c>
      <c r="AK1749" s="4" t="e">
        <f ca="1">SQRT($B$9)*_xlfn.STDEV.S(AI1749:OFFSET(AI1749,$B$6-1,0))</f>
        <v>#DIV/0!</v>
      </c>
      <c r="AL1749" s="4" t="e">
        <f ca="1">SQRT($B$9)*_xlfn.STDEV.S(AI1749:OFFSET(AI1749,$B$7-1,0))</f>
        <v>#DIV/0!</v>
      </c>
      <c r="AM1749" s="4" t="e">
        <f ca="1">SQRT($B$9)*_xlfn.STDEV.S(AI1749:OFFSET(AI1749,$B$8-1,0))</f>
        <v>#DIV/0!</v>
      </c>
    </row>
    <row r="1750" spans="11:39" x14ac:dyDescent="0.2">
      <c r="K1750" s="3" t="e">
        <f t="shared" si="144"/>
        <v>#DIV/0!</v>
      </c>
      <c r="L1750" s="3" t="e">
        <f ca="1">SQRT(AVERAGE(K1750:OFFSET(K1750,$B$5-1,0))*$B$9/(4*LN(2)))</f>
        <v>#DIV/0!</v>
      </c>
      <c r="M1750" s="3" t="e">
        <f ca="1">SQRT(AVERAGE(K1750:OFFSET(K1750,$B$6-1,0))*$B$9/(4*LN(2)))</f>
        <v>#DIV/0!</v>
      </c>
      <c r="N1750" s="3" t="e">
        <f ca="1">SQRT(AVERAGE(K1750:OFFSET(K1750,$B$7-1,0))*$B$9/(4*LN(2)))</f>
        <v>#DIV/0!</v>
      </c>
      <c r="O1750" s="3" t="e">
        <f ca="1">SQRT(AVERAGE(K1750:OFFSET(K1750,$B$8-1,0))*$B$9/(4*LN(2)))</f>
        <v>#DIV/0!</v>
      </c>
      <c r="Q1750" s="5" t="e">
        <f t="shared" si="143"/>
        <v>#DIV/0!</v>
      </c>
      <c r="R1750" s="5" t="e">
        <f ca="1">SQRT($B$9*AVERAGE((Q1750:OFFSET(Q1750,$B$5-1,0))))</f>
        <v>#DIV/0!</v>
      </c>
      <c r="S1750" s="5" t="e">
        <f ca="1">SQRT($B$9*AVERAGE((Q1750:OFFSET(Q1750,$B$6-1,0))))</f>
        <v>#DIV/0!</v>
      </c>
      <c r="T1750" s="5" t="e">
        <f ca="1">SQRT($B$9*AVERAGE((Q1750:OFFSET(Q1750,$B$7-1,0))))</f>
        <v>#DIV/0!</v>
      </c>
      <c r="U1750" s="5" t="e">
        <f ca="1">SQRT($B$9*AVERAGE((Q1750:OFFSET(Q1750,$B$8-1,0))))</f>
        <v>#DIV/0!</v>
      </c>
      <c r="W1750" s="6" t="e">
        <f t="shared" si="142"/>
        <v>#DIV/0!</v>
      </c>
      <c r="X1750" s="6" t="e">
        <f ca="1">SQRT($B$9*AVERAGE(W1750:OFFSET(W1750,$B$5-1,0)))</f>
        <v>#DIV/0!</v>
      </c>
      <c r="Y1750" s="6" t="e">
        <f ca="1">SQRT($B$9*AVERAGE(W1750:OFFSET(W1750,$B$6-1,0)))</f>
        <v>#DIV/0!</v>
      </c>
      <c r="Z1750" s="6" t="e">
        <f ca="1">SQRT($B$9*AVERAGE(W1750:OFFSET(W1750,$B$7-1,0)))</f>
        <v>#DIV/0!</v>
      </c>
      <c r="AA1750" s="6" t="e">
        <f ca="1">SQRT($B$9*AVERAGE(W1750:OFFSET(W1750,$B$8-1,0)))</f>
        <v>#DIV/0!</v>
      </c>
      <c r="AC1750" s="34" t="e">
        <f t="shared" si="145"/>
        <v>#DIV/0!</v>
      </c>
      <c r="AD1750" s="34" t="e">
        <f ca="1">SQRT($B$9*SUM(AC1750:OFFSET(AC1750,$B$5-1,0))/($B$5-1))</f>
        <v>#DIV/0!</v>
      </c>
      <c r="AE1750" s="34" t="e">
        <f ca="1">SQRT($B$9*SUM(AC1750:OFFSET(AC1750,$B$6-1,0))/($B$6-1))</f>
        <v>#DIV/0!</v>
      </c>
      <c r="AF1750" s="34" t="e">
        <f ca="1">SQRT($B$9*SUM(AC1750:OFFSET(AC1750,$B$7-1,0))/($B$7-1))</f>
        <v>#DIV/0!</v>
      </c>
      <c r="AG1750" s="34" t="e">
        <f ca="1">SQRT($B$9*SUM(AC1750:OFFSET(AC1750,$B$8-1,0))/($B$8-1))</f>
        <v>#DIV/0!</v>
      </c>
      <c r="AI1750" s="1" t="e">
        <f t="shared" si="146"/>
        <v>#DIV/0!</v>
      </c>
      <c r="AJ1750" s="4" t="e">
        <f ca="1">SQRT($B$9)*_xlfn.STDEV.S(AI1750:OFFSET(AI1750,$B$5-1,0))</f>
        <v>#DIV/0!</v>
      </c>
      <c r="AK1750" s="4" t="e">
        <f ca="1">SQRT($B$9)*_xlfn.STDEV.S(AI1750:OFFSET(AI1750,$B$6-1,0))</f>
        <v>#DIV/0!</v>
      </c>
      <c r="AL1750" s="4" t="e">
        <f ca="1">SQRT($B$9)*_xlfn.STDEV.S(AI1750:OFFSET(AI1750,$B$7-1,0))</f>
        <v>#DIV/0!</v>
      </c>
      <c r="AM1750" s="4" t="e">
        <f ca="1">SQRT($B$9)*_xlfn.STDEV.S(AI1750:OFFSET(AI1750,$B$8-1,0))</f>
        <v>#DIV/0!</v>
      </c>
    </row>
    <row r="1751" spans="11:39" x14ac:dyDescent="0.2">
      <c r="K1751" s="3" t="e">
        <f t="shared" si="144"/>
        <v>#DIV/0!</v>
      </c>
      <c r="L1751" s="3" t="e">
        <f ca="1">SQRT(AVERAGE(K1751:OFFSET(K1751,$B$5-1,0))*$B$9/(4*LN(2)))</f>
        <v>#DIV/0!</v>
      </c>
      <c r="M1751" s="3" t="e">
        <f ca="1">SQRT(AVERAGE(K1751:OFFSET(K1751,$B$6-1,0))*$B$9/(4*LN(2)))</f>
        <v>#DIV/0!</v>
      </c>
      <c r="N1751" s="3" t="e">
        <f ca="1">SQRT(AVERAGE(K1751:OFFSET(K1751,$B$7-1,0))*$B$9/(4*LN(2)))</f>
        <v>#DIV/0!</v>
      </c>
      <c r="O1751" s="3" t="e">
        <f ca="1">SQRT(AVERAGE(K1751:OFFSET(K1751,$B$8-1,0))*$B$9/(4*LN(2)))</f>
        <v>#DIV/0!</v>
      </c>
      <c r="Q1751" s="5" t="e">
        <f t="shared" si="143"/>
        <v>#DIV/0!</v>
      </c>
      <c r="R1751" s="5" t="e">
        <f ca="1">SQRT($B$9*AVERAGE((Q1751:OFFSET(Q1751,$B$5-1,0))))</f>
        <v>#DIV/0!</v>
      </c>
      <c r="S1751" s="5" t="e">
        <f ca="1">SQRT($B$9*AVERAGE((Q1751:OFFSET(Q1751,$B$6-1,0))))</f>
        <v>#DIV/0!</v>
      </c>
      <c r="T1751" s="5" t="e">
        <f ca="1">SQRT($B$9*AVERAGE((Q1751:OFFSET(Q1751,$B$7-1,0))))</f>
        <v>#DIV/0!</v>
      </c>
      <c r="U1751" s="5" t="e">
        <f ca="1">SQRT($B$9*AVERAGE((Q1751:OFFSET(Q1751,$B$8-1,0))))</f>
        <v>#DIV/0!</v>
      </c>
      <c r="W1751" s="6" t="e">
        <f t="shared" si="142"/>
        <v>#DIV/0!</v>
      </c>
      <c r="X1751" s="6" t="e">
        <f ca="1">SQRT($B$9*AVERAGE(W1751:OFFSET(W1751,$B$5-1,0)))</f>
        <v>#DIV/0!</v>
      </c>
      <c r="Y1751" s="6" t="e">
        <f ca="1">SQRT($B$9*AVERAGE(W1751:OFFSET(W1751,$B$6-1,0)))</f>
        <v>#DIV/0!</v>
      </c>
      <c r="Z1751" s="6" t="e">
        <f ca="1">SQRT($B$9*AVERAGE(W1751:OFFSET(W1751,$B$7-1,0)))</f>
        <v>#DIV/0!</v>
      </c>
      <c r="AA1751" s="6" t="e">
        <f ca="1">SQRT($B$9*AVERAGE(W1751:OFFSET(W1751,$B$8-1,0)))</f>
        <v>#DIV/0!</v>
      </c>
      <c r="AC1751" s="34" t="e">
        <f t="shared" si="145"/>
        <v>#DIV/0!</v>
      </c>
      <c r="AD1751" s="34" t="e">
        <f ca="1">SQRT($B$9*SUM(AC1751:OFFSET(AC1751,$B$5-1,0))/($B$5-1))</f>
        <v>#DIV/0!</v>
      </c>
      <c r="AE1751" s="34" t="e">
        <f ca="1">SQRT($B$9*SUM(AC1751:OFFSET(AC1751,$B$6-1,0))/($B$6-1))</f>
        <v>#DIV/0!</v>
      </c>
      <c r="AF1751" s="34" t="e">
        <f ca="1">SQRT($B$9*SUM(AC1751:OFFSET(AC1751,$B$7-1,0))/($B$7-1))</f>
        <v>#DIV/0!</v>
      </c>
      <c r="AG1751" s="34" t="e">
        <f ca="1">SQRT($B$9*SUM(AC1751:OFFSET(AC1751,$B$8-1,0))/($B$8-1))</f>
        <v>#DIV/0!</v>
      </c>
      <c r="AI1751" s="1" t="e">
        <f t="shared" si="146"/>
        <v>#DIV/0!</v>
      </c>
      <c r="AJ1751" s="4" t="e">
        <f ca="1">SQRT($B$9)*_xlfn.STDEV.S(AI1751:OFFSET(AI1751,$B$5-1,0))</f>
        <v>#DIV/0!</v>
      </c>
      <c r="AK1751" s="4" t="e">
        <f ca="1">SQRT($B$9)*_xlfn.STDEV.S(AI1751:OFFSET(AI1751,$B$6-1,0))</f>
        <v>#DIV/0!</v>
      </c>
      <c r="AL1751" s="4" t="e">
        <f ca="1">SQRT($B$9)*_xlfn.STDEV.S(AI1751:OFFSET(AI1751,$B$7-1,0))</f>
        <v>#DIV/0!</v>
      </c>
      <c r="AM1751" s="4" t="e">
        <f ca="1">SQRT($B$9)*_xlfn.STDEV.S(AI1751:OFFSET(AI1751,$B$8-1,0))</f>
        <v>#DIV/0!</v>
      </c>
    </row>
    <row r="1752" spans="11:39" x14ac:dyDescent="0.2">
      <c r="K1752" s="3" t="e">
        <f t="shared" si="144"/>
        <v>#DIV/0!</v>
      </c>
      <c r="L1752" s="3" t="e">
        <f ca="1">SQRT(AVERAGE(K1752:OFFSET(K1752,$B$5-1,0))*$B$9/(4*LN(2)))</f>
        <v>#DIV/0!</v>
      </c>
      <c r="M1752" s="3" t="e">
        <f ca="1">SQRT(AVERAGE(K1752:OFFSET(K1752,$B$6-1,0))*$B$9/(4*LN(2)))</f>
        <v>#DIV/0!</v>
      </c>
      <c r="N1752" s="3" t="e">
        <f ca="1">SQRT(AVERAGE(K1752:OFFSET(K1752,$B$7-1,0))*$B$9/(4*LN(2)))</f>
        <v>#DIV/0!</v>
      </c>
      <c r="O1752" s="3" t="e">
        <f ca="1">SQRT(AVERAGE(K1752:OFFSET(K1752,$B$8-1,0))*$B$9/(4*LN(2)))</f>
        <v>#DIV/0!</v>
      </c>
      <c r="Q1752" s="5" t="e">
        <f t="shared" si="143"/>
        <v>#DIV/0!</v>
      </c>
      <c r="R1752" s="5" t="e">
        <f ca="1">SQRT($B$9*AVERAGE((Q1752:OFFSET(Q1752,$B$5-1,0))))</f>
        <v>#DIV/0!</v>
      </c>
      <c r="S1752" s="5" t="e">
        <f ca="1">SQRT($B$9*AVERAGE((Q1752:OFFSET(Q1752,$B$6-1,0))))</f>
        <v>#DIV/0!</v>
      </c>
      <c r="T1752" s="5" t="e">
        <f ca="1">SQRT($B$9*AVERAGE((Q1752:OFFSET(Q1752,$B$7-1,0))))</f>
        <v>#DIV/0!</v>
      </c>
      <c r="U1752" s="5" t="e">
        <f ca="1">SQRT($B$9*AVERAGE((Q1752:OFFSET(Q1752,$B$8-1,0))))</f>
        <v>#DIV/0!</v>
      </c>
      <c r="W1752" s="6" t="e">
        <f t="shared" si="142"/>
        <v>#DIV/0!</v>
      </c>
      <c r="X1752" s="6" t="e">
        <f ca="1">SQRT($B$9*AVERAGE(W1752:OFFSET(W1752,$B$5-1,0)))</f>
        <v>#DIV/0!</v>
      </c>
      <c r="Y1752" s="6" t="e">
        <f ca="1">SQRT($B$9*AVERAGE(W1752:OFFSET(W1752,$B$6-1,0)))</f>
        <v>#DIV/0!</v>
      </c>
      <c r="Z1752" s="6" t="e">
        <f ca="1">SQRT($B$9*AVERAGE(W1752:OFFSET(W1752,$B$7-1,0)))</f>
        <v>#DIV/0!</v>
      </c>
      <c r="AA1752" s="6" t="e">
        <f ca="1">SQRT($B$9*AVERAGE(W1752:OFFSET(W1752,$B$8-1,0)))</f>
        <v>#DIV/0!</v>
      </c>
      <c r="AC1752" s="34" t="e">
        <f t="shared" si="145"/>
        <v>#DIV/0!</v>
      </c>
      <c r="AD1752" s="34" t="e">
        <f ca="1">SQRT($B$9*SUM(AC1752:OFFSET(AC1752,$B$5-1,0))/($B$5-1))</f>
        <v>#DIV/0!</v>
      </c>
      <c r="AE1752" s="34" t="e">
        <f ca="1">SQRT($B$9*SUM(AC1752:OFFSET(AC1752,$B$6-1,0))/($B$6-1))</f>
        <v>#DIV/0!</v>
      </c>
      <c r="AF1752" s="34" t="e">
        <f ca="1">SQRT($B$9*SUM(AC1752:OFFSET(AC1752,$B$7-1,0))/($B$7-1))</f>
        <v>#DIV/0!</v>
      </c>
      <c r="AG1752" s="34" t="e">
        <f ca="1">SQRT($B$9*SUM(AC1752:OFFSET(AC1752,$B$8-1,0))/($B$8-1))</f>
        <v>#DIV/0!</v>
      </c>
      <c r="AI1752" s="1" t="e">
        <f t="shared" si="146"/>
        <v>#DIV/0!</v>
      </c>
      <c r="AJ1752" s="4" t="e">
        <f ca="1">SQRT($B$9)*_xlfn.STDEV.S(AI1752:OFFSET(AI1752,$B$5-1,0))</f>
        <v>#DIV/0!</v>
      </c>
      <c r="AK1752" s="4" t="e">
        <f ca="1">SQRT($B$9)*_xlfn.STDEV.S(AI1752:OFFSET(AI1752,$B$6-1,0))</f>
        <v>#DIV/0!</v>
      </c>
      <c r="AL1752" s="4" t="e">
        <f ca="1">SQRT($B$9)*_xlfn.STDEV.S(AI1752:OFFSET(AI1752,$B$7-1,0))</f>
        <v>#DIV/0!</v>
      </c>
      <c r="AM1752" s="4" t="e">
        <f ca="1">SQRT($B$9)*_xlfn.STDEV.S(AI1752:OFFSET(AI1752,$B$8-1,0))</f>
        <v>#DIV/0!</v>
      </c>
    </row>
    <row r="1753" spans="11:39" x14ac:dyDescent="0.2">
      <c r="K1753" s="3" t="e">
        <f t="shared" si="144"/>
        <v>#DIV/0!</v>
      </c>
      <c r="L1753" s="3" t="e">
        <f ca="1">SQRT(AVERAGE(K1753:OFFSET(K1753,$B$5-1,0))*$B$9/(4*LN(2)))</f>
        <v>#DIV/0!</v>
      </c>
      <c r="M1753" s="3" t="e">
        <f ca="1">SQRT(AVERAGE(K1753:OFFSET(K1753,$B$6-1,0))*$B$9/(4*LN(2)))</f>
        <v>#DIV/0!</v>
      </c>
      <c r="N1753" s="3" t="e">
        <f ca="1">SQRT(AVERAGE(K1753:OFFSET(K1753,$B$7-1,0))*$B$9/(4*LN(2)))</f>
        <v>#DIV/0!</v>
      </c>
      <c r="O1753" s="3" t="e">
        <f ca="1">SQRT(AVERAGE(K1753:OFFSET(K1753,$B$8-1,0))*$B$9/(4*LN(2)))</f>
        <v>#DIV/0!</v>
      </c>
      <c r="Q1753" s="5" t="e">
        <f t="shared" si="143"/>
        <v>#DIV/0!</v>
      </c>
      <c r="R1753" s="5" t="e">
        <f ca="1">SQRT($B$9*AVERAGE((Q1753:OFFSET(Q1753,$B$5-1,0))))</f>
        <v>#DIV/0!</v>
      </c>
      <c r="S1753" s="5" t="e">
        <f ca="1">SQRT($B$9*AVERAGE((Q1753:OFFSET(Q1753,$B$6-1,0))))</f>
        <v>#DIV/0!</v>
      </c>
      <c r="T1753" s="5" t="e">
        <f ca="1">SQRT($B$9*AVERAGE((Q1753:OFFSET(Q1753,$B$7-1,0))))</f>
        <v>#DIV/0!</v>
      </c>
      <c r="U1753" s="5" t="e">
        <f ca="1">SQRT($B$9*AVERAGE((Q1753:OFFSET(Q1753,$B$8-1,0))))</f>
        <v>#DIV/0!</v>
      </c>
      <c r="W1753" s="6" t="e">
        <f t="shared" si="142"/>
        <v>#DIV/0!</v>
      </c>
      <c r="X1753" s="6" t="e">
        <f ca="1">SQRT($B$9*AVERAGE(W1753:OFFSET(W1753,$B$5-1,0)))</f>
        <v>#DIV/0!</v>
      </c>
      <c r="Y1753" s="6" t="e">
        <f ca="1">SQRT($B$9*AVERAGE(W1753:OFFSET(W1753,$B$6-1,0)))</f>
        <v>#DIV/0!</v>
      </c>
      <c r="Z1753" s="6" t="e">
        <f ca="1">SQRT($B$9*AVERAGE(W1753:OFFSET(W1753,$B$7-1,0)))</f>
        <v>#DIV/0!</v>
      </c>
      <c r="AA1753" s="6" t="e">
        <f ca="1">SQRT($B$9*AVERAGE(W1753:OFFSET(W1753,$B$8-1,0)))</f>
        <v>#DIV/0!</v>
      </c>
      <c r="AC1753" s="34" t="e">
        <f t="shared" si="145"/>
        <v>#DIV/0!</v>
      </c>
      <c r="AD1753" s="34" t="e">
        <f ca="1">SQRT($B$9*SUM(AC1753:OFFSET(AC1753,$B$5-1,0))/($B$5-1))</f>
        <v>#DIV/0!</v>
      </c>
      <c r="AE1753" s="34" t="e">
        <f ca="1">SQRT($B$9*SUM(AC1753:OFFSET(AC1753,$B$6-1,0))/($B$6-1))</f>
        <v>#DIV/0!</v>
      </c>
      <c r="AF1753" s="34" t="e">
        <f ca="1">SQRT($B$9*SUM(AC1753:OFFSET(AC1753,$B$7-1,0))/($B$7-1))</f>
        <v>#DIV/0!</v>
      </c>
      <c r="AG1753" s="34" t="e">
        <f ca="1">SQRT($B$9*SUM(AC1753:OFFSET(AC1753,$B$8-1,0))/($B$8-1))</f>
        <v>#DIV/0!</v>
      </c>
      <c r="AI1753" s="1" t="e">
        <f t="shared" si="146"/>
        <v>#DIV/0!</v>
      </c>
      <c r="AJ1753" s="4" t="e">
        <f ca="1">SQRT($B$9)*_xlfn.STDEV.S(AI1753:OFFSET(AI1753,$B$5-1,0))</f>
        <v>#DIV/0!</v>
      </c>
      <c r="AK1753" s="4" t="e">
        <f ca="1">SQRT($B$9)*_xlfn.STDEV.S(AI1753:OFFSET(AI1753,$B$6-1,0))</f>
        <v>#DIV/0!</v>
      </c>
      <c r="AL1753" s="4" t="e">
        <f ca="1">SQRT($B$9)*_xlfn.STDEV.S(AI1753:OFFSET(AI1753,$B$7-1,0))</f>
        <v>#DIV/0!</v>
      </c>
      <c r="AM1753" s="4" t="e">
        <f ca="1">SQRT($B$9)*_xlfn.STDEV.S(AI1753:OFFSET(AI1753,$B$8-1,0))</f>
        <v>#DIV/0!</v>
      </c>
    </row>
    <row r="1754" spans="11:39" x14ac:dyDescent="0.2">
      <c r="K1754" s="3" t="e">
        <f t="shared" si="144"/>
        <v>#DIV/0!</v>
      </c>
      <c r="L1754" s="3" t="e">
        <f ca="1">SQRT(AVERAGE(K1754:OFFSET(K1754,$B$5-1,0))*$B$9/(4*LN(2)))</f>
        <v>#DIV/0!</v>
      </c>
      <c r="M1754" s="3" t="e">
        <f ca="1">SQRT(AVERAGE(K1754:OFFSET(K1754,$B$6-1,0))*$B$9/(4*LN(2)))</f>
        <v>#DIV/0!</v>
      </c>
      <c r="N1754" s="3" t="e">
        <f ca="1">SQRT(AVERAGE(K1754:OFFSET(K1754,$B$7-1,0))*$B$9/(4*LN(2)))</f>
        <v>#DIV/0!</v>
      </c>
      <c r="O1754" s="3" t="e">
        <f ca="1">SQRT(AVERAGE(K1754:OFFSET(K1754,$B$8-1,0))*$B$9/(4*LN(2)))</f>
        <v>#DIV/0!</v>
      </c>
      <c r="Q1754" s="5" t="e">
        <f t="shared" si="143"/>
        <v>#DIV/0!</v>
      </c>
      <c r="R1754" s="5" t="e">
        <f ca="1">SQRT($B$9*AVERAGE((Q1754:OFFSET(Q1754,$B$5-1,0))))</f>
        <v>#DIV/0!</v>
      </c>
      <c r="S1754" s="5" t="e">
        <f ca="1">SQRT($B$9*AVERAGE((Q1754:OFFSET(Q1754,$B$6-1,0))))</f>
        <v>#DIV/0!</v>
      </c>
      <c r="T1754" s="5" t="e">
        <f ca="1">SQRT($B$9*AVERAGE((Q1754:OFFSET(Q1754,$B$7-1,0))))</f>
        <v>#DIV/0!</v>
      </c>
      <c r="U1754" s="5" t="e">
        <f ca="1">SQRT($B$9*AVERAGE((Q1754:OFFSET(Q1754,$B$8-1,0))))</f>
        <v>#DIV/0!</v>
      </c>
      <c r="W1754" s="6" t="e">
        <f t="shared" si="142"/>
        <v>#DIV/0!</v>
      </c>
      <c r="X1754" s="6" t="e">
        <f ca="1">SQRT($B$9*AVERAGE(W1754:OFFSET(W1754,$B$5-1,0)))</f>
        <v>#DIV/0!</v>
      </c>
      <c r="Y1754" s="6" t="e">
        <f ca="1">SQRT($B$9*AVERAGE(W1754:OFFSET(W1754,$B$6-1,0)))</f>
        <v>#DIV/0!</v>
      </c>
      <c r="Z1754" s="6" t="e">
        <f ca="1">SQRT($B$9*AVERAGE(W1754:OFFSET(W1754,$B$7-1,0)))</f>
        <v>#DIV/0!</v>
      </c>
      <c r="AA1754" s="6" t="e">
        <f ca="1">SQRT($B$9*AVERAGE(W1754:OFFSET(W1754,$B$8-1,0)))</f>
        <v>#DIV/0!</v>
      </c>
      <c r="AC1754" s="34" t="e">
        <f t="shared" si="145"/>
        <v>#DIV/0!</v>
      </c>
      <c r="AD1754" s="34" t="e">
        <f ca="1">SQRT($B$9*SUM(AC1754:OFFSET(AC1754,$B$5-1,0))/($B$5-1))</f>
        <v>#DIV/0!</v>
      </c>
      <c r="AE1754" s="34" t="e">
        <f ca="1">SQRT($B$9*SUM(AC1754:OFFSET(AC1754,$B$6-1,0))/($B$6-1))</f>
        <v>#DIV/0!</v>
      </c>
      <c r="AF1754" s="34" t="e">
        <f ca="1">SQRT($B$9*SUM(AC1754:OFFSET(AC1754,$B$7-1,0))/($B$7-1))</f>
        <v>#DIV/0!</v>
      </c>
      <c r="AG1754" s="34" t="e">
        <f ca="1">SQRT($B$9*SUM(AC1754:OFFSET(AC1754,$B$8-1,0))/($B$8-1))</f>
        <v>#DIV/0!</v>
      </c>
      <c r="AI1754" s="1" t="e">
        <f t="shared" si="146"/>
        <v>#DIV/0!</v>
      </c>
      <c r="AJ1754" s="4" t="e">
        <f ca="1">SQRT($B$9)*_xlfn.STDEV.S(AI1754:OFFSET(AI1754,$B$5-1,0))</f>
        <v>#DIV/0!</v>
      </c>
      <c r="AK1754" s="4" t="e">
        <f ca="1">SQRT($B$9)*_xlfn.STDEV.S(AI1754:OFFSET(AI1754,$B$6-1,0))</f>
        <v>#DIV/0!</v>
      </c>
      <c r="AL1754" s="4" t="e">
        <f ca="1">SQRT($B$9)*_xlfn.STDEV.S(AI1754:OFFSET(AI1754,$B$7-1,0))</f>
        <v>#DIV/0!</v>
      </c>
      <c r="AM1754" s="4" t="e">
        <f ca="1">SQRT($B$9)*_xlfn.STDEV.S(AI1754:OFFSET(AI1754,$B$8-1,0))</f>
        <v>#DIV/0!</v>
      </c>
    </row>
    <row r="1755" spans="11:39" x14ac:dyDescent="0.2">
      <c r="K1755" s="3" t="e">
        <f t="shared" si="144"/>
        <v>#DIV/0!</v>
      </c>
      <c r="L1755" s="3" t="e">
        <f ca="1">SQRT(AVERAGE(K1755:OFFSET(K1755,$B$5-1,0))*$B$9/(4*LN(2)))</f>
        <v>#DIV/0!</v>
      </c>
      <c r="M1755" s="3" t="e">
        <f ca="1">SQRT(AVERAGE(K1755:OFFSET(K1755,$B$6-1,0))*$B$9/(4*LN(2)))</f>
        <v>#DIV/0!</v>
      </c>
      <c r="N1755" s="3" t="e">
        <f ca="1">SQRT(AVERAGE(K1755:OFFSET(K1755,$B$7-1,0))*$B$9/(4*LN(2)))</f>
        <v>#DIV/0!</v>
      </c>
      <c r="O1755" s="3" t="e">
        <f ca="1">SQRT(AVERAGE(K1755:OFFSET(K1755,$B$8-1,0))*$B$9/(4*LN(2)))</f>
        <v>#DIV/0!</v>
      </c>
      <c r="Q1755" s="5" t="e">
        <f t="shared" si="143"/>
        <v>#DIV/0!</v>
      </c>
      <c r="R1755" s="5" t="e">
        <f ca="1">SQRT($B$9*AVERAGE((Q1755:OFFSET(Q1755,$B$5-1,0))))</f>
        <v>#DIV/0!</v>
      </c>
      <c r="S1755" s="5" t="e">
        <f ca="1">SQRT($B$9*AVERAGE((Q1755:OFFSET(Q1755,$B$6-1,0))))</f>
        <v>#DIV/0!</v>
      </c>
      <c r="T1755" s="5" t="e">
        <f ca="1">SQRT($B$9*AVERAGE((Q1755:OFFSET(Q1755,$B$7-1,0))))</f>
        <v>#DIV/0!</v>
      </c>
      <c r="U1755" s="5" t="e">
        <f ca="1">SQRT($B$9*AVERAGE((Q1755:OFFSET(Q1755,$B$8-1,0))))</f>
        <v>#DIV/0!</v>
      </c>
      <c r="W1755" s="6" t="e">
        <f t="shared" si="142"/>
        <v>#DIV/0!</v>
      </c>
      <c r="X1755" s="6" t="e">
        <f ca="1">SQRT($B$9*AVERAGE(W1755:OFFSET(W1755,$B$5-1,0)))</f>
        <v>#DIV/0!</v>
      </c>
      <c r="Y1755" s="6" t="e">
        <f ca="1">SQRT($B$9*AVERAGE(W1755:OFFSET(W1755,$B$6-1,0)))</f>
        <v>#DIV/0!</v>
      </c>
      <c r="Z1755" s="6" t="e">
        <f ca="1">SQRT($B$9*AVERAGE(W1755:OFFSET(W1755,$B$7-1,0)))</f>
        <v>#DIV/0!</v>
      </c>
      <c r="AA1755" s="6" t="e">
        <f ca="1">SQRT($B$9*AVERAGE(W1755:OFFSET(W1755,$B$8-1,0)))</f>
        <v>#DIV/0!</v>
      </c>
      <c r="AC1755" s="34" t="e">
        <f t="shared" si="145"/>
        <v>#DIV/0!</v>
      </c>
      <c r="AD1755" s="34" t="e">
        <f ca="1">SQRT($B$9*SUM(AC1755:OFFSET(AC1755,$B$5-1,0))/($B$5-1))</f>
        <v>#DIV/0!</v>
      </c>
      <c r="AE1755" s="34" t="e">
        <f ca="1">SQRT($B$9*SUM(AC1755:OFFSET(AC1755,$B$6-1,0))/($B$6-1))</f>
        <v>#DIV/0!</v>
      </c>
      <c r="AF1755" s="34" t="e">
        <f ca="1">SQRT($B$9*SUM(AC1755:OFFSET(AC1755,$B$7-1,0))/($B$7-1))</f>
        <v>#DIV/0!</v>
      </c>
      <c r="AG1755" s="34" t="e">
        <f ca="1">SQRT($B$9*SUM(AC1755:OFFSET(AC1755,$B$8-1,0))/($B$8-1))</f>
        <v>#DIV/0!</v>
      </c>
      <c r="AI1755" s="1" t="e">
        <f t="shared" si="146"/>
        <v>#DIV/0!</v>
      </c>
      <c r="AJ1755" s="4" t="e">
        <f ca="1">SQRT($B$9)*_xlfn.STDEV.S(AI1755:OFFSET(AI1755,$B$5-1,0))</f>
        <v>#DIV/0!</v>
      </c>
      <c r="AK1755" s="4" t="e">
        <f ca="1">SQRT($B$9)*_xlfn.STDEV.S(AI1755:OFFSET(AI1755,$B$6-1,0))</f>
        <v>#DIV/0!</v>
      </c>
      <c r="AL1755" s="4" t="e">
        <f ca="1">SQRT($B$9)*_xlfn.STDEV.S(AI1755:OFFSET(AI1755,$B$7-1,0))</f>
        <v>#DIV/0!</v>
      </c>
      <c r="AM1755" s="4" t="e">
        <f ca="1">SQRT($B$9)*_xlfn.STDEV.S(AI1755:OFFSET(AI1755,$B$8-1,0))</f>
        <v>#DIV/0!</v>
      </c>
    </row>
    <row r="1756" spans="11:39" x14ac:dyDescent="0.2">
      <c r="K1756" s="3" t="e">
        <f t="shared" si="144"/>
        <v>#DIV/0!</v>
      </c>
      <c r="L1756" s="3" t="e">
        <f ca="1">SQRT(AVERAGE(K1756:OFFSET(K1756,$B$5-1,0))*$B$9/(4*LN(2)))</f>
        <v>#DIV/0!</v>
      </c>
      <c r="M1756" s="3" t="e">
        <f ca="1">SQRT(AVERAGE(K1756:OFFSET(K1756,$B$6-1,0))*$B$9/(4*LN(2)))</f>
        <v>#DIV/0!</v>
      </c>
      <c r="N1756" s="3" t="e">
        <f ca="1">SQRT(AVERAGE(K1756:OFFSET(K1756,$B$7-1,0))*$B$9/(4*LN(2)))</f>
        <v>#DIV/0!</v>
      </c>
      <c r="O1756" s="3" t="e">
        <f ca="1">SQRT(AVERAGE(K1756:OFFSET(K1756,$B$8-1,0))*$B$9/(4*LN(2)))</f>
        <v>#DIV/0!</v>
      </c>
      <c r="Q1756" s="5" t="e">
        <f t="shared" si="143"/>
        <v>#DIV/0!</v>
      </c>
      <c r="R1756" s="5" t="e">
        <f ca="1">SQRT($B$9*AVERAGE((Q1756:OFFSET(Q1756,$B$5-1,0))))</f>
        <v>#DIV/0!</v>
      </c>
      <c r="S1756" s="5" t="e">
        <f ca="1">SQRT($B$9*AVERAGE((Q1756:OFFSET(Q1756,$B$6-1,0))))</f>
        <v>#DIV/0!</v>
      </c>
      <c r="T1756" s="5" t="e">
        <f ca="1">SQRT($B$9*AVERAGE((Q1756:OFFSET(Q1756,$B$7-1,0))))</f>
        <v>#DIV/0!</v>
      </c>
      <c r="U1756" s="5" t="e">
        <f ca="1">SQRT($B$9*AVERAGE((Q1756:OFFSET(Q1756,$B$8-1,0))))</f>
        <v>#DIV/0!</v>
      </c>
      <c r="W1756" s="6" t="e">
        <f t="shared" si="142"/>
        <v>#DIV/0!</v>
      </c>
      <c r="X1756" s="6" t="e">
        <f ca="1">SQRT($B$9*AVERAGE(W1756:OFFSET(W1756,$B$5-1,0)))</f>
        <v>#DIV/0!</v>
      </c>
      <c r="Y1756" s="6" t="e">
        <f ca="1">SQRT($B$9*AVERAGE(W1756:OFFSET(W1756,$B$6-1,0)))</f>
        <v>#DIV/0!</v>
      </c>
      <c r="Z1756" s="6" t="e">
        <f ca="1">SQRT($B$9*AVERAGE(W1756:OFFSET(W1756,$B$7-1,0)))</f>
        <v>#DIV/0!</v>
      </c>
      <c r="AA1756" s="6" t="e">
        <f ca="1">SQRT($B$9*AVERAGE(W1756:OFFSET(W1756,$B$8-1,0)))</f>
        <v>#DIV/0!</v>
      </c>
      <c r="AC1756" s="34" t="e">
        <f t="shared" si="145"/>
        <v>#DIV/0!</v>
      </c>
      <c r="AD1756" s="34" t="e">
        <f ca="1">SQRT($B$9*SUM(AC1756:OFFSET(AC1756,$B$5-1,0))/($B$5-1))</f>
        <v>#DIV/0!</v>
      </c>
      <c r="AE1756" s="34" t="e">
        <f ca="1">SQRT($B$9*SUM(AC1756:OFFSET(AC1756,$B$6-1,0))/($B$6-1))</f>
        <v>#DIV/0!</v>
      </c>
      <c r="AF1756" s="34" t="e">
        <f ca="1">SQRT($B$9*SUM(AC1756:OFFSET(AC1756,$B$7-1,0))/($B$7-1))</f>
        <v>#DIV/0!</v>
      </c>
      <c r="AG1756" s="34" t="e">
        <f ca="1">SQRT($B$9*SUM(AC1756:OFFSET(AC1756,$B$8-1,0))/($B$8-1))</f>
        <v>#DIV/0!</v>
      </c>
      <c r="AI1756" s="1" t="e">
        <f t="shared" si="146"/>
        <v>#DIV/0!</v>
      </c>
      <c r="AJ1756" s="4" t="e">
        <f ca="1">SQRT($B$9)*_xlfn.STDEV.S(AI1756:OFFSET(AI1756,$B$5-1,0))</f>
        <v>#DIV/0!</v>
      </c>
      <c r="AK1756" s="4" t="e">
        <f ca="1">SQRT($B$9)*_xlfn.STDEV.S(AI1756:OFFSET(AI1756,$B$6-1,0))</f>
        <v>#DIV/0!</v>
      </c>
      <c r="AL1756" s="4" t="e">
        <f ca="1">SQRT($B$9)*_xlfn.STDEV.S(AI1756:OFFSET(AI1756,$B$7-1,0))</f>
        <v>#DIV/0!</v>
      </c>
      <c r="AM1756" s="4" t="e">
        <f ca="1">SQRT($B$9)*_xlfn.STDEV.S(AI1756:OFFSET(AI1756,$B$8-1,0))</f>
        <v>#DIV/0!</v>
      </c>
    </row>
    <row r="1757" spans="11:39" x14ac:dyDescent="0.2">
      <c r="K1757" s="3" t="e">
        <f t="shared" si="144"/>
        <v>#DIV/0!</v>
      </c>
      <c r="L1757" s="3" t="e">
        <f ca="1">SQRT(AVERAGE(K1757:OFFSET(K1757,$B$5-1,0))*$B$9/(4*LN(2)))</f>
        <v>#DIV/0!</v>
      </c>
      <c r="M1757" s="3" t="e">
        <f ca="1">SQRT(AVERAGE(K1757:OFFSET(K1757,$B$6-1,0))*$B$9/(4*LN(2)))</f>
        <v>#DIV/0!</v>
      </c>
      <c r="N1757" s="3" t="e">
        <f ca="1">SQRT(AVERAGE(K1757:OFFSET(K1757,$B$7-1,0))*$B$9/(4*LN(2)))</f>
        <v>#DIV/0!</v>
      </c>
      <c r="O1757" s="3" t="e">
        <f ca="1">SQRT(AVERAGE(K1757:OFFSET(K1757,$B$8-1,0))*$B$9/(4*LN(2)))</f>
        <v>#DIV/0!</v>
      </c>
      <c r="Q1757" s="5" t="e">
        <f t="shared" si="143"/>
        <v>#DIV/0!</v>
      </c>
      <c r="R1757" s="5" t="e">
        <f ca="1">SQRT($B$9*AVERAGE((Q1757:OFFSET(Q1757,$B$5-1,0))))</f>
        <v>#DIV/0!</v>
      </c>
      <c r="S1757" s="5" t="e">
        <f ca="1">SQRT($B$9*AVERAGE((Q1757:OFFSET(Q1757,$B$6-1,0))))</f>
        <v>#DIV/0!</v>
      </c>
      <c r="T1757" s="5" t="e">
        <f ca="1">SQRT($B$9*AVERAGE((Q1757:OFFSET(Q1757,$B$7-1,0))))</f>
        <v>#DIV/0!</v>
      </c>
      <c r="U1757" s="5" t="e">
        <f ca="1">SQRT($B$9*AVERAGE((Q1757:OFFSET(Q1757,$B$8-1,0))))</f>
        <v>#DIV/0!</v>
      </c>
      <c r="W1757" s="6" t="e">
        <f t="shared" si="142"/>
        <v>#DIV/0!</v>
      </c>
      <c r="X1757" s="6" t="e">
        <f ca="1">SQRT($B$9*AVERAGE(W1757:OFFSET(W1757,$B$5-1,0)))</f>
        <v>#DIV/0!</v>
      </c>
      <c r="Y1757" s="6" t="e">
        <f ca="1">SQRT($B$9*AVERAGE(W1757:OFFSET(W1757,$B$6-1,0)))</f>
        <v>#DIV/0!</v>
      </c>
      <c r="Z1757" s="6" t="e">
        <f ca="1">SQRT($B$9*AVERAGE(W1757:OFFSET(W1757,$B$7-1,0)))</f>
        <v>#DIV/0!</v>
      </c>
      <c r="AA1757" s="6" t="e">
        <f ca="1">SQRT($B$9*AVERAGE(W1757:OFFSET(W1757,$B$8-1,0)))</f>
        <v>#DIV/0!</v>
      </c>
      <c r="AC1757" s="34" t="e">
        <f t="shared" si="145"/>
        <v>#DIV/0!</v>
      </c>
      <c r="AD1757" s="34" t="e">
        <f ca="1">SQRT($B$9*SUM(AC1757:OFFSET(AC1757,$B$5-1,0))/($B$5-1))</f>
        <v>#DIV/0!</v>
      </c>
      <c r="AE1757" s="34" t="e">
        <f ca="1">SQRT($B$9*SUM(AC1757:OFFSET(AC1757,$B$6-1,0))/($B$6-1))</f>
        <v>#DIV/0!</v>
      </c>
      <c r="AF1757" s="34" t="e">
        <f ca="1">SQRT($B$9*SUM(AC1757:OFFSET(AC1757,$B$7-1,0))/($B$7-1))</f>
        <v>#DIV/0!</v>
      </c>
      <c r="AG1757" s="34" t="e">
        <f ca="1">SQRT($B$9*SUM(AC1757:OFFSET(AC1757,$B$8-1,0))/($B$8-1))</f>
        <v>#DIV/0!</v>
      </c>
      <c r="AI1757" s="1" t="e">
        <f t="shared" si="146"/>
        <v>#DIV/0!</v>
      </c>
      <c r="AJ1757" s="4" t="e">
        <f ca="1">SQRT($B$9)*_xlfn.STDEV.S(AI1757:OFFSET(AI1757,$B$5-1,0))</f>
        <v>#DIV/0!</v>
      </c>
      <c r="AK1757" s="4" t="e">
        <f ca="1">SQRT($B$9)*_xlfn.STDEV.S(AI1757:OFFSET(AI1757,$B$6-1,0))</f>
        <v>#DIV/0!</v>
      </c>
      <c r="AL1757" s="4" t="e">
        <f ca="1">SQRT($B$9)*_xlfn.STDEV.S(AI1757:OFFSET(AI1757,$B$7-1,0))</f>
        <v>#DIV/0!</v>
      </c>
      <c r="AM1757" s="4" t="e">
        <f ca="1">SQRT($B$9)*_xlfn.STDEV.S(AI1757:OFFSET(AI1757,$B$8-1,0))</f>
        <v>#DIV/0!</v>
      </c>
    </row>
    <row r="1758" spans="11:39" x14ac:dyDescent="0.2">
      <c r="K1758" s="3" t="e">
        <f t="shared" si="144"/>
        <v>#DIV/0!</v>
      </c>
      <c r="L1758" s="3" t="e">
        <f ca="1">SQRT(AVERAGE(K1758:OFFSET(K1758,$B$5-1,0))*$B$9/(4*LN(2)))</f>
        <v>#DIV/0!</v>
      </c>
      <c r="M1758" s="3" t="e">
        <f ca="1">SQRT(AVERAGE(K1758:OFFSET(K1758,$B$6-1,0))*$B$9/(4*LN(2)))</f>
        <v>#DIV/0!</v>
      </c>
      <c r="N1758" s="3" t="e">
        <f ca="1">SQRT(AVERAGE(K1758:OFFSET(K1758,$B$7-1,0))*$B$9/(4*LN(2)))</f>
        <v>#DIV/0!</v>
      </c>
      <c r="O1758" s="3" t="e">
        <f ca="1">SQRT(AVERAGE(K1758:OFFSET(K1758,$B$8-1,0))*$B$9/(4*LN(2)))</f>
        <v>#DIV/0!</v>
      </c>
      <c r="Q1758" s="5" t="e">
        <f t="shared" si="143"/>
        <v>#DIV/0!</v>
      </c>
      <c r="R1758" s="5" t="e">
        <f ca="1">SQRT($B$9*AVERAGE((Q1758:OFFSET(Q1758,$B$5-1,0))))</f>
        <v>#DIV/0!</v>
      </c>
      <c r="S1758" s="5" t="e">
        <f ca="1">SQRT($B$9*AVERAGE((Q1758:OFFSET(Q1758,$B$6-1,0))))</f>
        <v>#DIV/0!</v>
      </c>
      <c r="T1758" s="5" t="e">
        <f ca="1">SQRT($B$9*AVERAGE((Q1758:OFFSET(Q1758,$B$7-1,0))))</f>
        <v>#DIV/0!</v>
      </c>
      <c r="U1758" s="5" t="e">
        <f ca="1">SQRT($B$9*AVERAGE((Q1758:OFFSET(Q1758,$B$8-1,0))))</f>
        <v>#DIV/0!</v>
      </c>
      <c r="W1758" s="6" t="e">
        <f t="shared" si="142"/>
        <v>#DIV/0!</v>
      </c>
      <c r="X1758" s="6" t="e">
        <f ca="1">SQRT($B$9*AVERAGE(W1758:OFFSET(W1758,$B$5-1,0)))</f>
        <v>#DIV/0!</v>
      </c>
      <c r="Y1758" s="6" t="e">
        <f ca="1">SQRT($B$9*AVERAGE(W1758:OFFSET(W1758,$B$6-1,0)))</f>
        <v>#DIV/0!</v>
      </c>
      <c r="Z1758" s="6" t="e">
        <f ca="1">SQRT($B$9*AVERAGE(W1758:OFFSET(W1758,$B$7-1,0)))</f>
        <v>#DIV/0!</v>
      </c>
      <c r="AA1758" s="6" t="e">
        <f ca="1">SQRT($B$9*AVERAGE(W1758:OFFSET(W1758,$B$8-1,0)))</f>
        <v>#DIV/0!</v>
      </c>
      <c r="AC1758" s="34" t="e">
        <f t="shared" si="145"/>
        <v>#DIV/0!</v>
      </c>
      <c r="AD1758" s="34" t="e">
        <f ca="1">SQRT($B$9*SUM(AC1758:OFFSET(AC1758,$B$5-1,0))/($B$5-1))</f>
        <v>#DIV/0!</v>
      </c>
      <c r="AE1758" s="34" t="e">
        <f ca="1">SQRT($B$9*SUM(AC1758:OFFSET(AC1758,$B$6-1,0))/($B$6-1))</f>
        <v>#DIV/0!</v>
      </c>
      <c r="AF1758" s="34" t="e">
        <f ca="1">SQRT($B$9*SUM(AC1758:OFFSET(AC1758,$B$7-1,0))/($B$7-1))</f>
        <v>#DIV/0!</v>
      </c>
      <c r="AG1758" s="34" t="e">
        <f ca="1">SQRT($B$9*SUM(AC1758:OFFSET(AC1758,$B$8-1,0))/($B$8-1))</f>
        <v>#DIV/0!</v>
      </c>
      <c r="AI1758" s="1" t="e">
        <f t="shared" si="146"/>
        <v>#DIV/0!</v>
      </c>
      <c r="AJ1758" s="4" t="e">
        <f ca="1">SQRT($B$9)*_xlfn.STDEV.S(AI1758:OFFSET(AI1758,$B$5-1,0))</f>
        <v>#DIV/0!</v>
      </c>
      <c r="AK1758" s="4" t="e">
        <f ca="1">SQRT($B$9)*_xlfn.STDEV.S(AI1758:OFFSET(AI1758,$B$6-1,0))</f>
        <v>#DIV/0!</v>
      </c>
      <c r="AL1758" s="4" t="e">
        <f ca="1">SQRT($B$9)*_xlfn.STDEV.S(AI1758:OFFSET(AI1758,$B$7-1,0))</f>
        <v>#DIV/0!</v>
      </c>
      <c r="AM1758" s="4" t="e">
        <f ca="1">SQRT($B$9)*_xlfn.STDEV.S(AI1758:OFFSET(AI1758,$B$8-1,0))</f>
        <v>#DIV/0!</v>
      </c>
    </row>
    <row r="1759" spans="11:39" x14ac:dyDescent="0.2">
      <c r="K1759" s="3" t="e">
        <f t="shared" si="144"/>
        <v>#DIV/0!</v>
      </c>
      <c r="L1759" s="3" t="e">
        <f ca="1">SQRT(AVERAGE(K1759:OFFSET(K1759,$B$5-1,0))*$B$9/(4*LN(2)))</f>
        <v>#DIV/0!</v>
      </c>
      <c r="M1759" s="3" t="e">
        <f ca="1">SQRT(AVERAGE(K1759:OFFSET(K1759,$B$6-1,0))*$B$9/(4*LN(2)))</f>
        <v>#DIV/0!</v>
      </c>
      <c r="N1759" s="3" t="e">
        <f ca="1">SQRT(AVERAGE(K1759:OFFSET(K1759,$B$7-1,0))*$B$9/(4*LN(2)))</f>
        <v>#DIV/0!</v>
      </c>
      <c r="O1759" s="3" t="e">
        <f ca="1">SQRT(AVERAGE(K1759:OFFSET(K1759,$B$8-1,0))*$B$9/(4*LN(2)))</f>
        <v>#DIV/0!</v>
      </c>
      <c r="Q1759" s="5" t="e">
        <f t="shared" si="143"/>
        <v>#DIV/0!</v>
      </c>
      <c r="R1759" s="5" t="e">
        <f ca="1">SQRT($B$9*AVERAGE((Q1759:OFFSET(Q1759,$B$5-1,0))))</f>
        <v>#DIV/0!</v>
      </c>
      <c r="S1759" s="5" t="e">
        <f ca="1">SQRT($B$9*AVERAGE((Q1759:OFFSET(Q1759,$B$6-1,0))))</f>
        <v>#DIV/0!</v>
      </c>
      <c r="T1759" s="5" t="e">
        <f ca="1">SQRT($B$9*AVERAGE((Q1759:OFFSET(Q1759,$B$7-1,0))))</f>
        <v>#DIV/0!</v>
      </c>
      <c r="U1759" s="5" t="e">
        <f ca="1">SQRT($B$9*AVERAGE((Q1759:OFFSET(Q1759,$B$8-1,0))))</f>
        <v>#DIV/0!</v>
      </c>
      <c r="W1759" s="6" t="e">
        <f t="shared" si="142"/>
        <v>#DIV/0!</v>
      </c>
      <c r="X1759" s="6" t="e">
        <f ca="1">SQRT($B$9*AVERAGE(W1759:OFFSET(W1759,$B$5-1,0)))</f>
        <v>#DIV/0!</v>
      </c>
      <c r="Y1759" s="6" t="e">
        <f ca="1">SQRT($B$9*AVERAGE(W1759:OFFSET(W1759,$B$6-1,0)))</f>
        <v>#DIV/0!</v>
      </c>
      <c r="Z1759" s="6" t="e">
        <f ca="1">SQRT($B$9*AVERAGE(W1759:OFFSET(W1759,$B$7-1,0)))</f>
        <v>#DIV/0!</v>
      </c>
      <c r="AA1759" s="6" t="e">
        <f ca="1">SQRT($B$9*AVERAGE(W1759:OFFSET(W1759,$B$8-1,0)))</f>
        <v>#DIV/0!</v>
      </c>
      <c r="AC1759" s="34" t="e">
        <f t="shared" si="145"/>
        <v>#DIV/0!</v>
      </c>
      <c r="AD1759" s="34" t="e">
        <f ca="1">SQRT($B$9*SUM(AC1759:OFFSET(AC1759,$B$5-1,0))/($B$5-1))</f>
        <v>#DIV/0!</v>
      </c>
      <c r="AE1759" s="34" t="e">
        <f ca="1">SQRT($B$9*SUM(AC1759:OFFSET(AC1759,$B$6-1,0))/($B$6-1))</f>
        <v>#DIV/0!</v>
      </c>
      <c r="AF1759" s="34" t="e">
        <f ca="1">SQRT($B$9*SUM(AC1759:OFFSET(AC1759,$B$7-1,0))/($B$7-1))</f>
        <v>#DIV/0!</v>
      </c>
      <c r="AG1759" s="34" t="e">
        <f ca="1">SQRT($B$9*SUM(AC1759:OFFSET(AC1759,$B$8-1,0))/($B$8-1))</f>
        <v>#DIV/0!</v>
      </c>
      <c r="AI1759" s="1" t="e">
        <f t="shared" si="146"/>
        <v>#DIV/0!</v>
      </c>
      <c r="AJ1759" s="4" t="e">
        <f ca="1">SQRT($B$9)*_xlfn.STDEV.S(AI1759:OFFSET(AI1759,$B$5-1,0))</f>
        <v>#DIV/0!</v>
      </c>
      <c r="AK1759" s="4" t="e">
        <f ca="1">SQRT($B$9)*_xlfn.STDEV.S(AI1759:OFFSET(AI1759,$B$6-1,0))</f>
        <v>#DIV/0!</v>
      </c>
      <c r="AL1759" s="4" t="e">
        <f ca="1">SQRT($B$9)*_xlfn.STDEV.S(AI1759:OFFSET(AI1759,$B$7-1,0))</f>
        <v>#DIV/0!</v>
      </c>
      <c r="AM1759" s="4" t="e">
        <f ca="1">SQRT($B$9)*_xlfn.STDEV.S(AI1759:OFFSET(AI1759,$B$8-1,0))</f>
        <v>#DIV/0!</v>
      </c>
    </row>
    <row r="1760" spans="11:39" x14ac:dyDescent="0.2">
      <c r="K1760" s="3" t="e">
        <f t="shared" si="144"/>
        <v>#DIV/0!</v>
      </c>
      <c r="L1760" s="3" t="e">
        <f ca="1">SQRT(AVERAGE(K1760:OFFSET(K1760,$B$5-1,0))*$B$9/(4*LN(2)))</f>
        <v>#DIV/0!</v>
      </c>
      <c r="M1760" s="3" t="e">
        <f ca="1">SQRT(AVERAGE(K1760:OFFSET(K1760,$B$6-1,0))*$B$9/(4*LN(2)))</f>
        <v>#DIV/0!</v>
      </c>
      <c r="N1760" s="3" t="e">
        <f ca="1">SQRT(AVERAGE(K1760:OFFSET(K1760,$B$7-1,0))*$B$9/(4*LN(2)))</f>
        <v>#DIV/0!</v>
      </c>
      <c r="O1760" s="3" t="e">
        <f ca="1">SQRT(AVERAGE(K1760:OFFSET(K1760,$B$8-1,0))*$B$9/(4*LN(2)))</f>
        <v>#DIV/0!</v>
      </c>
      <c r="Q1760" s="5" t="e">
        <f t="shared" si="143"/>
        <v>#DIV/0!</v>
      </c>
      <c r="R1760" s="5" t="e">
        <f ca="1">SQRT($B$9*AVERAGE((Q1760:OFFSET(Q1760,$B$5-1,0))))</f>
        <v>#DIV/0!</v>
      </c>
      <c r="S1760" s="5" t="e">
        <f ca="1">SQRT($B$9*AVERAGE((Q1760:OFFSET(Q1760,$B$6-1,0))))</f>
        <v>#DIV/0!</v>
      </c>
      <c r="T1760" s="5" t="e">
        <f ca="1">SQRT($B$9*AVERAGE((Q1760:OFFSET(Q1760,$B$7-1,0))))</f>
        <v>#DIV/0!</v>
      </c>
      <c r="U1760" s="5" t="e">
        <f ca="1">SQRT($B$9*AVERAGE((Q1760:OFFSET(Q1760,$B$8-1,0))))</f>
        <v>#DIV/0!</v>
      </c>
      <c r="W1760" s="6" t="e">
        <f t="shared" si="142"/>
        <v>#DIV/0!</v>
      </c>
      <c r="X1760" s="6" t="e">
        <f ca="1">SQRT($B$9*AVERAGE(W1760:OFFSET(W1760,$B$5-1,0)))</f>
        <v>#DIV/0!</v>
      </c>
      <c r="Y1760" s="6" t="e">
        <f ca="1">SQRT($B$9*AVERAGE(W1760:OFFSET(W1760,$B$6-1,0)))</f>
        <v>#DIV/0!</v>
      </c>
      <c r="Z1760" s="6" t="e">
        <f ca="1">SQRT($B$9*AVERAGE(W1760:OFFSET(W1760,$B$7-1,0)))</f>
        <v>#DIV/0!</v>
      </c>
      <c r="AA1760" s="6" t="e">
        <f ca="1">SQRT($B$9*AVERAGE(W1760:OFFSET(W1760,$B$8-1,0)))</f>
        <v>#DIV/0!</v>
      </c>
      <c r="AC1760" s="34" t="e">
        <f t="shared" si="145"/>
        <v>#DIV/0!</v>
      </c>
      <c r="AD1760" s="34" t="e">
        <f ca="1">SQRT($B$9*SUM(AC1760:OFFSET(AC1760,$B$5-1,0))/($B$5-1))</f>
        <v>#DIV/0!</v>
      </c>
      <c r="AE1760" s="34" t="e">
        <f ca="1">SQRT($B$9*SUM(AC1760:OFFSET(AC1760,$B$6-1,0))/($B$6-1))</f>
        <v>#DIV/0!</v>
      </c>
      <c r="AF1760" s="34" t="e">
        <f ca="1">SQRT($B$9*SUM(AC1760:OFFSET(AC1760,$B$7-1,0))/($B$7-1))</f>
        <v>#DIV/0!</v>
      </c>
      <c r="AG1760" s="34" t="e">
        <f ca="1">SQRT($B$9*SUM(AC1760:OFFSET(AC1760,$B$8-1,0))/($B$8-1))</f>
        <v>#DIV/0!</v>
      </c>
      <c r="AI1760" s="1" t="e">
        <f t="shared" si="146"/>
        <v>#DIV/0!</v>
      </c>
      <c r="AJ1760" s="4" t="e">
        <f ca="1">SQRT($B$9)*_xlfn.STDEV.S(AI1760:OFFSET(AI1760,$B$5-1,0))</f>
        <v>#DIV/0!</v>
      </c>
      <c r="AK1760" s="4" t="e">
        <f ca="1">SQRT($B$9)*_xlfn.STDEV.S(AI1760:OFFSET(AI1760,$B$6-1,0))</f>
        <v>#DIV/0!</v>
      </c>
      <c r="AL1760" s="4" t="e">
        <f ca="1">SQRT($B$9)*_xlfn.STDEV.S(AI1760:OFFSET(AI1760,$B$7-1,0))</f>
        <v>#DIV/0!</v>
      </c>
      <c r="AM1760" s="4" t="e">
        <f ca="1">SQRT($B$9)*_xlfn.STDEV.S(AI1760:OFFSET(AI1760,$B$8-1,0))</f>
        <v>#DIV/0!</v>
      </c>
    </row>
    <row r="1761" spans="11:39" x14ac:dyDescent="0.2">
      <c r="K1761" s="3" t="e">
        <f t="shared" si="144"/>
        <v>#DIV/0!</v>
      </c>
      <c r="L1761" s="3" t="e">
        <f ca="1">SQRT(AVERAGE(K1761:OFFSET(K1761,$B$5-1,0))*$B$9/(4*LN(2)))</f>
        <v>#DIV/0!</v>
      </c>
      <c r="M1761" s="3" t="e">
        <f ca="1">SQRT(AVERAGE(K1761:OFFSET(K1761,$B$6-1,0))*$B$9/(4*LN(2)))</f>
        <v>#DIV/0!</v>
      </c>
      <c r="N1761" s="3" t="e">
        <f ca="1">SQRT(AVERAGE(K1761:OFFSET(K1761,$B$7-1,0))*$B$9/(4*LN(2)))</f>
        <v>#DIV/0!</v>
      </c>
      <c r="O1761" s="3" t="e">
        <f ca="1">SQRT(AVERAGE(K1761:OFFSET(K1761,$B$8-1,0))*$B$9/(4*LN(2)))</f>
        <v>#DIV/0!</v>
      </c>
      <c r="Q1761" s="5" t="e">
        <f t="shared" si="143"/>
        <v>#DIV/0!</v>
      </c>
      <c r="R1761" s="5" t="e">
        <f ca="1">SQRT($B$9*AVERAGE((Q1761:OFFSET(Q1761,$B$5-1,0))))</f>
        <v>#DIV/0!</v>
      </c>
      <c r="S1761" s="5" t="e">
        <f ca="1">SQRT($B$9*AVERAGE((Q1761:OFFSET(Q1761,$B$6-1,0))))</f>
        <v>#DIV/0!</v>
      </c>
      <c r="T1761" s="5" t="e">
        <f ca="1">SQRT($B$9*AVERAGE((Q1761:OFFSET(Q1761,$B$7-1,0))))</f>
        <v>#DIV/0!</v>
      </c>
      <c r="U1761" s="5" t="e">
        <f ca="1">SQRT($B$9*AVERAGE((Q1761:OFFSET(Q1761,$B$8-1,0))))</f>
        <v>#DIV/0!</v>
      </c>
      <c r="W1761" s="6" t="e">
        <f t="shared" si="142"/>
        <v>#DIV/0!</v>
      </c>
      <c r="X1761" s="6" t="e">
        <f ca="1">SQRT($B$9*AVERAGE(W1761:OFFSET(W1761,$B$5-1,0)))</f>
        <v>#DIV/0!</v>
      </c>
      <c r="Y1761" s="6" t="e">
        <f ca="1">SQRT($B$9*AVERAGE(W1761:OFFSET(W1761,$B$6-1,0)))</f>
        <v>#DIV/0!</v>
      </c>
      <c r="Z1761" s="6" t="e">
        <f ca="1">SQRT($B$9*AVERAGE(W1761:OFFSET(W1761,$B$7-1,0)))</f>
        <v>#DIV/0!</v>
      </c>
      <c r="AA1761" s="6" t="e">
        <f ca="1">SQRT($B$9*AVERAGE(W1761:OFFSET(W1761,$B$8-1,0)))</f>
        <v>#DIV/0!</v>
      </c>
      <c r="AC1761" s="34" t="e">
        <f t="shared" si="145"/>
        <v>#DIV/0!</v>
      </c>
      <c r="AD1761" s="34" t="e">
        <f ca="1">SQRT($B$9*SUM(AC1761:OFFSET(AC1761,$B$5-1,0))/($B$5-1))</f>
        <v>#DIV/0!</v>
      </c>
      <c r="AE1761" s="34" t="e">
        <f ca="1">SQRT($B$9*SUM(AC1761:OFFSET(AC1761,$B$6-1,0))/($B$6-1))</f>
        <v>#DIV/0!</v>
      </c>
      <c r="AF1761" s="34" t="e">
        <f ca="1">SQRT($B$9*SUM(AC1761:OFFSET(AC1761,$B$7-1,0))/($B$7-1))</f>
        <v>#DIV/0!</v>
      </c>
      <c r="AG1761" s="34" t="e">
        <f ca="1">SQRT($B$9*SUM(AC1761:OFFSET(AC1761,$B$8-1,0))/($B$8-1))</f>
        <v>#DIV/0!</v>
      </c>
      <c r="AI1761" s="1" t="e">
        <f t="shared" si="146"/>
        <v>#DIV/0!</v>
      </c>
      <c r="AJ1761" s="4" t="e">
        <f ca="1">SQRT($B$9)*_xlfn.STDEV.S(AI1761:OFFSET(AI1761,$B$5-1,0))</f>
        <v>#DIV/0!</v>
      </c>
      <c r="AK1761" s="4" t="e">
        <f ca="1">SQRT($B$9)*_xlfn.STDEV.S(AI1761:OFFSET(AI1761,$B$6-1,0))</f>
        <v>#DIV/0!</v>
      </c>
      <c r="AL1761" s="4" t="e">
        <f ca="1">SQRT($B$9)*_xlfn.STDEV.S(AI1761:OFFSET(AI1761,$B$7-1,0))</f>
        <v>#DIV/0!</v>
      </c>
      <c r="AM1761" s="4" t="e">
        <f ca="1">SQRT($B$9)*_xlfn.STDEV.S(AI1761:OFFSET(AI1761,$B$8-1,0))</f>
        <v>#DIV/0!</v>
      </c>
    </row>
    <row r="1762" spans="11:39" x14ac:dyDescent="0.2">
      <c r="K1762" s="3" t="e">
        <f t="shared" si="144"/>
        <v>#DIV/0!</v>
      </c>
      <c r="L1762" s="3" t="e">
        <f ca="1">SQRT(AVERAGE(K1762:OFFSET(K1762,$B$5-1,0))*$B$9/(4*LN(2)))</f>
        <v>#DIV/0!</v>
      </c>
      <c r="M1762" s="3" t="e">
        <f ca="1">SQRT(AVERAGE(K1762:OFFSET(K1762,$B$6-1,0))*$B$9/(4*LN(2)))</f>
        <v>#DIV/0!</v>
      </c>
      <c r="N1762" s="3" t="e">
        <f ca="1">SQRT(AVERAGE(K1762:OFFSET(K1762,$B$7-1,0))*$B$9/(4*LN(2)))</f>
        <v>#DIV/0!</v>
      </c>
      <c r="O1762" s="3" t="e">
        <f ca="1">SQRT(AVERAGE(K1762:OFFSET(K1762,$B$8-1,0))*$B$9/(4*LN(2)))</f>
        <v>#DIV/0!</v>
      </c>
      <c r="Q1762" s="5" t="e">
        <f t="shared" si="143"/>
        <v>#DIV/0!</v>
      </c>
      <c r="R1762" s="5" t="e">
        <f ca="1">SQRT($B$9*AVERAGE((Q1762:OFFSET(Q1762,$B$5-1,0))))</f>
        <v>#DIV/0!</v>
      </c>
      <c r="S1762" s="5" t="e">
        <f ca="1">SQRT($B$9*AVERAGE((Q1762:OFFSET(Q1762,$B$6-1,0))))</f>
        <v>#DIV/0!</v>
      </c>
      <c r="T1762" s="5" t="e">
        <f ca="1">SQRT($B$9*AVERAGE((Q1762:OFFSET(Q1762,$B$7-1,0))))</f>
        <v>#DIV/0!</v>
      </c>
      <c r="U1762" s="5" t="e">
        <f ca="1">SQRT($B$9*AVERAGE((Q1762:OFFSET(Q1762,$B$8-1,0))))</f>
        <v>#DIV/0!</v>
      </c>
      <c r="W1762" s="6" t="e">
        <f t="shared" si="142"/>
        <v>#DIV/0!</v>
      </c>
      <c r="X1762" s="6" t="e">
        <f ca="1">SQRT($B$9*AVERAGE(W1762:OFFSET(W1762,$B$5-1,0)))</f>
        <v>#DIV/0!</v>
      </c>
      <c r="Y1762" s="6" t="e">
        <f ca="1">SQRT($B$9*AVERAGE(W1762:OFFSET(W1762,$B$6-1,0)))</f>
        <v>#DIV/0!</v>
      </c>
      <c r="Z1762" s="6" t="e">
        <f ca="1">SQRT($B$9*AVERAGE(W1762:OFFSET(W1762,$B$7-1,0)))</f>
        <v>#DIV/0!</v>
      </c>
      <c r="AA1762" s="6" t="e">
        <f ca="1">SQRT($B$9*AVERAGE(W1762:OFFSET(W1762,$B$8-1,0)))</f>
        <v>#DIV/0!</v>
      </c>
      <c r="AC1762" s="34" t="e">
        <f t="shared" si="145"/>
        <v>#DIV/0!</v>
      </c>
      <c r="AD1762" s="34" t="e">
        <f ca="1">SQRT($B$9*SUM(AC1762:OFFSET(AC1762,$B$5-1,0))/($B$5-1))</f>
        <v>#DIV/0!</v>
      </c>
      <c r="AE1762" s="34" t="e">
        <f ca="1">SQRT($B$9*SUM(AC1762:OFFSET(AC1762,$B$6-1,0))/($B$6-1))</f>
        <v>#DIV/0!</v>
      </c>
      <c r="AF1762" s="34" t="e">
        <f ca="1">SQRT($B$9*SUM(AC1762:OFFSET(AC1762,$B$7-1,0))/($B$7-1))</f>
        <v>#DIV/0!</v>
      </c>
      <c r="AG1762" s="34" t="e">
        <f ca="1">SQRT($B$9*SUM(AC1762:OFFSET(AC1762,$B$8-1,0))/($B$8-1))</f>
        <v>#DIV/0!</v>
      </c>
      <c r="AI1762" s="1" t="e">
        <f t="shared" si="146"/>
        <v>#DIV/0!</v>
      </c>
      <c r="AJ1762" s="4" t="e">
        <f ca="1">SQRT($B$9)*_xlfn.STDEV.S(AI1762:OFFSET(AI1762,$B$5-1,0))</f>
        <v>#DIV/0!</v>
      </c>
      <c r="AK1762" s="4" t="e">
        <f ca="1">SQRT($B$9)*_xlfn.STDEV.S(AI1762:OFFSET(AI1762,$B$6-1,0))</f>
        <v>#DIV/0!</v>
      </c>
      <c r="AL1762" s="4" t="e">
        <f ca="1">SQRT($B$9)*_xlfn.STDEV.S(AI1762:OFFSET(AI1762,$B$7-1,0))</f>
        <v>#DIV/0!</v>
      </c>
      <c r="AM1762" s="4" t="e">
        <f ca="1">SQRT($B$9)*_xlfn.STDEV.S(AI1762:OFFSET(AI1762,$B$8-1,0))</f>
        <v>#DIV/0!</v>
      </c>
    </row>
    <row r="1763" spans="11:39" x14ac:dyDescent="0.2">
      <c r="K1763" s="3" t="e">
        <f t="shared" si="144"/>
        <v>#DIV/0!</v>
      </c>
      <c r="L1763" s="3" t="e">
        <f ca="1">SQRT(AVERAGE(K1763:OFFSET(K1763,$B$5-1,0))*$B$9/(4*LN(2)))</f>
        <v>#DIV/0!</v>
      </c>
      <c r="M1763" s="3" t="e">
        <f ca="1">SQRT(AVERAGE(K1763:OFFSET(K1763,$B$6-1,0))*$B$9/(4*LN(2)))</f>
        <v>#DIV/0!</v>
      </c>
      <c r="N1763" s="3" t="e">
        <f ca="1">SQRT(AVERAGE(K1763:OFFSET(K1763,$B$7-1,0))*$B$9/(4*LN(2)))</f>
        <v>#DIV/0!</v>
      </c>
      <c r="O1763" s="3" t="e">
        <f ca="1">SQRT(AVERAGE(K1763:OFFSET(K1763,$B$8-1,0))*$B$9/(4*LN(2)))</f>
        <v>#DIV/0!</v>
      </c>
      <c r="Q1763" s="5" t="e">
        <f t="shared" si="143"/>
        <v>#DIV/0!</v>
      </c>
      <c r="R1763" s="5" t="e">
        <f ca="1">SQRT($B$9*AVERAGE((Q1763:OFFSET(Q1763,$B$5-1,0))))</f>
        <v>#DIV/0!</v>
      </c>
      <c r="S1763" s="5" t="e">
        <f ca="1">SQRT($B$9*AVERAGE((Q1763:OFFSET(Q1763,$B$6-1,0))))</f>
        <v>#DIV/0!</v>
      </c>
      <c r="T1763" s="5" t="e">
        <f ca="1">SQRT($B$9*AVERAGE((Q1763:OFFSET(Q1763,$B$7-1,0))))</f>
        <v>#DIV/0!</v>
      </c>
      <c r="U1763" s="5" t="e">
        <f ca="1">SQRT($B$9*AVERAGE((Q1763:OFFSET(Q1763,$B$8-1,0))))</f>
        <v>#DIV/0!</v>
      </c>
      <c r="W1763" s="6" t="e">
        <f t="shared" si="142"/>
        <v>#DIV/0!</v>
      </c>
      <c r="X1763" s="6" t="e">
        <f ca="1">SQRT($B$9*AVERAGE(W1763:OFFSET(W1763,$B$5-1,0)))</f>
        <v>#DIV/0!</v>
      </c>
      <c r="Y1763" s="6" t="e">
        <f ca="1">SQRT($B$9*AVERAGE(W1763:OFFSET(W1763,$B$6-1,0)))</f>
        <v>#DIV/0!</v>
      </c>
      <c r="Z1763" s="6" t="e">
        <f ca="1">SQRT($B$9*AVERAGE(W1763:OFFSET(W1763,$B$7-1,0)))</f>
        <v>#DIV/0!</v>
      </c>
      <c r="AA1763" s="6" t="e">
        <f ca="1">SQRT($B$9*AVERAGE(W1763:OFFSET(W1763,$B$8-1,0)))</f>
        <v>#DIV/0!</v>
      </c>
      <c r="AC1763" s="34" t="e">
        <f t="shared" si="145"/>
        <v>#DIV/0!</v>
      </c>
      <c r="AD1763" s="34" t="e">
        <f ca="1">SQRT($B$9*SUM(AC1763:OFFSET(AC1763,$B$5-1,0))/($B$5-1))</f>
        <v>#DIV/0!</v>
      </c>
      <c r="AE1763" s="34" t="e">
        <f ca="1">SQRT($B$9*SUM(AC1763:OFFSET(AC1763,$B$6-1,0))/($B$6-1))</f>
        <v>#DIV/0!</v>
      </c>
      <c r="AF1763" s="34" t="e">
        <f ca="1">SQRT($B$9*SUM(AC1763:OFFSET(AC1763,$B$7-1,0))/($B$7-1))</f>
        <v>#DIV/0!</v>
      </c>
      <c r="AG1763" s="34" t="e">
        <f ca="1">SQRT($B$9*SUM(AC1763:OFFSET(AC1763,$B$8-1,0))/($B$8-1))</f>
        <v>#DIV/0!</v>
      </c>
      <c r="AI1763" s="1" t="e">
        <f t="shared" si="146"/>
        <v>#DIV/0!</v>
      </c>
      <c r="AJ1763" s="4" t="e">
        <f ca="1">SQRT($B$9)*_xlfn.STDEV.S(AI1763:OFFSET(AI1763,$B$5-1,0))</f>
        <v>#DIV/0!</v>
      </c>
      <c r="AK1763" s="4" t="e">
        <f ca="1">SQRT($B$9)*_xlfn.STDEV.S(AI1763:OFFSET(AI1763,$B$6-1,0))</f>
        <v>#DIV/0!</v>
      </c>
      <c r="AL1763" s="4" t="e">
        <f ca="1">SQRT($B$9)*_xlfn.STDEV.S(AI1763:OFFSET(AI1763,$B$7-1,0))</f>
        <v>#DIV/0!</v>
      </c>
      <c r="AM1763" s="4" t="e">
        <f ca="1">SQRT($B$9)*_xlfn.STDEV.S(AI1763:OFFSET(AI1763,$B$8-1,0))</f>
        <v>#DIV/0!</v>
      </c>
    </row>
    <row r="1764" spans="11:39" x14ac:dyDescent="0.2">
      <c r="K1764" s="3" t="e">
        <f t="shared" si="144"/>
        <v>#DIV/0!</v>
      </c>
      <c r="L1764" s="3" t="e">
        <f ca="1">SQRT(AVERAGE(K1764:OFFSET(K1764,$B$5-1,0))*$B$9/(4*LN(2)))</f>
        <v>#DIV/0!</v>
      </c>
      <c r="M1764" s="3" t="e">
        <f ca="1">SQRT(AVERAGE(K1764:OFFSET(K1764,$B$6-1,0))*$B$9/(4*LN(2)))</f>
        <v>#DIV/0!</v>
      </c>
      <c r="N1764" s="3" t="e">
        <f ca="1">SQRT(AVERAGE(K1764:OFFSET(K1764,$B$7-1,0))*$B$9/(4*LN(2)))</f>
        <v>#DIV/0!</v>
      </c>
      <c r="O1764" s="3" t="e">
        <f ca="1">SQRT(AVERAGE(K1764:OFFSET(K1764,$B$8-1,0))*$B$9/(4*LN(2)))</f>
        <v>#DIV/0!</v>
      </c>
      <c r="Q1764" s="5" t="e">
        <f t="shared" si="143"/>
        <v>#DIV/0!</v>
      </c>
      <c r="R1764" s="5" t="e">
        <f ca="1">SQRT($B$9*AVERAGE((Q1764:OFFSET(Q1764,$B$5-1,0))))</f>
        <v>#DIV/0!</v>
      </c>
      <c r="S1764" s="5" t="e">
        <f ca="1">SQRT($B$9*AVERAGE((Q1764:OFFSET(Q1764,$B$6-1,0))))</f>
        <v>#DIV/0!</v>
      </c>
      <c r="T1764" s="5" t="e">
        <f ca="1">SQRT($B$9*AVERAGE((Q1764:OFFSET(Q1764,$B$7-1,0))))</f>
        <v>#DIV/0!</v>
      </c>
      <c r="U1764" s="5" t="e">
        <f ca="1">SQRT($B$9*AVERAGE((Q1764:OFFSET(Q1764,$B$8-1,0))))</f>
        <v>#DIV/0!</v>
      </c>
      <c r="W1764" s="6" t="e">
        <f t="shared" si="142"/>
        <v>#DIV/0!</v>
      </c>
      <c r="X1764" s="6" t="e">
        <f ca="1">SQRT($B$9*AVERAGE(W1764:OFFSET(W1764,$B$5-1,0)))</f>
        <v>#DIV/0!</v>
      </c>
      <c r="Y1764" s="6" t="e">
        <f ca="1">SQRT($B$9*AVERAGE(W1764:OFFSET(W1764,$B$6-1,0)))</f>
        <v>#DIV/0!</v>
      </c>
      <c r="Z1764" s="6" t="e">
        <f ca="1">SQRT($B$9*AVERAGE(W1764:OFFSET(W1764,$B$7-1,0)))</f>
        <v>#DIV/0!</v>
      </c>
      <c r="AA1764" s="6" t="e">
        <f ca="1">SQRT($B$9*AVERAGE(W1764:OFFSET(W1764,$B$8-1,0)))</f>
        <v>#DIV/0!</v>
      </c>
      <c r="AC1764" s="34" t="e">
        <f t="shared" si="145"/>
        <v>#DIV/0!</v>
      </c>
      <c r="AD1764" s="34" t="e">
        <f ca="1">SQRT($B$9*SUM(AC1764:OFFSET(AC1764,$B$5-1,0))/($B$5-1))</f>
        <v>#DIV/0!</v>
      </c>
      <c r="AE1764" s="34" t="e">
        <f ca="1">SQRT($B$9*SUM(AC1764:OFFSET(AC1764,$B$6-1,0))/($B$6-1))</f>
        <v>#DIV/0!</v>
      </c>
      <c r="AF1764" s="34" t="e">
        <f ca="1">SQRT($B$9*SUM(AC1764:OFFSET(AC1764,$B$7-1,0))/($B$7-1))</f>
        <v>#DIV/0!</v>
      </c>
      <c r="AG1764" s="34" t="e">
        <f ca="1">SQRT($B$9*SUM(AC1764:OFFSET(AC1764,$B$8-1,0))/($B$8-1))</f>
        <v>#DIV/0!</v>
      </c>
      <c r="AI1764" s="1" t="e">
        <f t="shared" si="146"/>
        <v>#DIV/0!</v>
      </c>
      <c r="AJ1764" s="4" t="e">
        <f ca="1">SQRT($B$9)*_xlfn.STDEV.S(AI1764:OFFSET(AI1764,$B$5-1,0))</f>
        <v>#DIV/0!</v>
      </c>
      <c r="AK1764" s="4" t="e">
        <f ca="1">SQRT($B$9)*_xlfn.STDEV.S(AI1764:OFFSET(AI1764,$B$6-1,0))</f>
        <v>#DIV/0!</v>
      </c>
      <c r="AL1764" s="4" t="e">
        <f ca="1">SQRT($B$9)*_xlfn.STDEV.S(AI1764:OFFSET(AI1764,$B$7-1,0))</f>
        <v>#DIV/0!</v>
      </c>
      <c r="AM1764" s="4" t="e">
        <f ca="1">SQRT($B$9)*_xlfn.STDEV.S(AI1764:OFFSET(AI1764,$B$8-1,0))</f>
        <v>#DIV/0!</v>
      </c>
    </row>
    <row r="1765" spans="11:39" x14ac:dyDescent="0.2">
      <c r="K1765" s="3" t="e">
        <f t="shared" si="144"/>
        <v>#DIV/0!</v>
      </c>
      <c r="L1765" s="3" t="e">
        <f ca="1">SQRT(AVERAGE(K1765:OFFSET(K1765,$B$5-1,0))*$B$9/(4*LN(2)))</f>
        <v>#DIV/0!</v>
      </c>
      <c r="M1765" s="3" t="e">
        <f ca="1">SQRT(AVERAGE(K1765:OFFSET(K1765,$B$6-1,0))*$B$9/(4*LN(2)))</f>
        <v>#DIV/0!</v>
      </c>
      <c r="N1765" s="3" t="e">
        <f ca="1">SQRT(AVERAGE(K1765:OFFSET(K1765,$B$7-1,0))*$B$9/(4*LN(2)))</f>
        <v>#DIV/0!</v>
      </c>
      <c r="O1765" s="3" t="e">
        <f ca="1">SQRT(AVERAGE(K1765:OFFSET(K1765,$B$8-1,0))*$B$9/(4*LN(2)))</f>
        <v>#DIV/0!</v>
      </c>
      <c r="Q1765" s="5" t="e">
        <f t="shared" si="143"/>
        <v>#DIV/0!</v>
      </c>
      <c r="R1765" s="5" t="e">
        <f ca="1">SQRT($B$9*AVERAGE((Q1765:OFFSET(Q1765,$B$5-1,0))))</f>
        <v>#DIV/0!</v>
      </c>
      <c r="S1765" s="5" t="e">
        <f ca="1">SQRT($B$9*AVERAGE((Q1765:OFFSET(Q1765,$B$6-1,0))))</f>
        <v>#DIV/0!</v>
      </c>
      <c r="T1765" s="5" t="e">
        <f ca="1">SQRT($B$9*AVERAGE((Q1765:OFFSET(Q1765,$B$7-1,0))))</f>
        <v>#DIV/0!</v>
      </c>
      <c r="U1765" s="5" t="e">
        <f ca="1">SQRT($B$9*AVERAGE((Q1765:OFFSET(Q1765,$B$8-1,0))))</f>
        <v>#DIV/0!</v>
      </c>
      <c r="W1765" s="6" t="e">
        <f t="shared" si="142"/>
        <v>#DIV/0!</v>
      </c>
      <c r="X1765" s="6" t="e">
        <f ca="1">SQRT($B$9*AVERAGE(W1765:OFFSET(W1765,$B$5-1,0)))</f>
        <v>#DIV/0!</v>
      </c>
      <c r="Y1765" s="6" t="e">
        <f ca="1">SQRT($B$9*AVERAGE(W1765:OFFSET(W1765,$B$6-1,0)))</f>
        <v>#DIV/0!</v>
      </c>
      <c r="Z1765" s="6" t="e">
        <f ca="1">SQRT($B$9*AVERAGE(W1765:OFFSET(W1765,$B$7-1,0)))</f>
        <v>#DIV/0!</v>
      </c>
      <c r="AA1765" s="6" t="e">
        <f ca="1">SQRT($B$9*AVERAGE(W1765:OFFSET(W1765,$B$8-1,0)))</f>
        <v>#DIV/0!</v>
      </c>
      <c r="AC1765" s="34" t="e">
        <f t="shared" si="145"/>
        <v>#DIV/0!</v>
      </c>
      <c r="AD1765" s="34" t="e">
        <f ca="1">SQRT($B$9*SUM(AC1765:OFFSET(AC1765,$B$5-1,0))/($B$5-1))</f>
        <v>#DIV/0!</v>
      </c>
      <c r="AE1765" s="34" t="e">
        <f ca="1">SQRT($B$9*SUM(AC1765:OFFSET(AC1765,$B$6-1,0))/($B$6-1))</f>
        <v>#DIV/0!</v>
      </c>
      <c r="AF1765" s="34" t="e">
        <f ca="1">SQRT($B$9*SUM(AC1765:OFFSET(AC1765,$B$7-1,0))/($B$7-1))</f>
        <v>#DIV/0!</v>
      </c>
      <c r="AG1765" s="34" t="e">
        <f ca="1">SQRT($B$9*SUM(AC1765:OFFSET(AC1765,$B$8-1,0))/($B$8-1))</f>
        <v>#DIV/0!</v>
      </c>
      <c r="AI1765" s="1" t="e">
        <f t="shared" si="146"/>
        <v>#DIV/0!</v>
      </c>
      <c r="AJ1765" s="4" t="e">
        <f ca="1">SQRT($B$9)*_xlfn.STDEV.S(AI1765:OFFSET(AI1765,$B$5-1,0))</f>
        <v>#DIV/0!</v>
      </c>
      <c r="AK1765" s="4" t="e">
        <f ca="1">SQRT($B$9)*_xlfn.STDEV.S(AI1765:OFFSET(AI1765,$B$6-1,0))</f>
        <v>#DIV/0!</v>
      </c>
      <c r="AL1765" s="4" t="e">
        <f ca="1">SQRT($B$9)*_xlfn.STDEV.S(AI1765:OFFSET(AI1765,$B$7-1,0))</f>
        <v>#DIV/0!</v>
      </c>
      <c r="AM1765" s="4" t="e">
        <f ca="1">SQRT($B$9)*_xlfn.STDEV.S(AI1765:OFFSET(AI1765,$B$8-1,0))</f>
        <v>#DIV/0!</v>
      </c>
    </row>
    <row r="1766" spans="11:39" x14ac:dyDescent="0.2">
      <c r="K1766" s="3" t="e">
        <f t="shared" si="144"/>
        <v>#DIV/0!</v>
      </c>
      <c r="L1766" s="3" t="e">
        <f ca="1">SQRT(AVERAGE(K1766:OFFSET(K1766,$B$5-1,0))*$B$9/(4*LN(2)))</f>
        <v>#DIV/0!</v>
      </c>
      <c r="M1766" s="3" t="e">
        <f ca="1">SQRT(AVERAGE(K1766:OFFSET(K1766,$B$6-1,0))*$B$9/(4*LN(2)))</f>
        <v>#DIV/0!</v>
      </c>
      <c r="N1766" s="3" t="e">
        <f ca="1">SQRT(AVERAGE(K1766:OFFSET(K1766,$B$7-1,0))*$B$9/(4*LN(2)))</f>
        <v>#DIV/0!</v>
      </c>
      <c r="O1766" s="3" t="e">
        <f ca="1">SQRT(AVERAGE(K1766:OFFSET(K1766,$B$8-1,0))*$B$9/(4*LN(2)))</f>
        <v>#DIV/0!</v>
      </c>
      <c r="Q1766" s="5" t="e">
        <f t="shared" si="143"/>
        <v>#DIV/0!</v>
      </c>
      <c r="R1766" s="5" t="e">
        <f ca="1">SQRT($B$9*AVERAGE((Q1766:OFFSET(Q1766,$B$5-1,0))))</f>
        <v>#DIV/0!</v>
      </c>
      <c r="S1766" s="5" t="e">
        <f ca="1">SQRT($B$9*AVERAGE((Q1766:OFFSET(Q1766,$B$6-1,0))))</f>
        <v>#DIV/0!</v>
      </c>
      <c r="T1766" s="5" t="e">
        <f ca="1">SQRT($B$9*AVERAGE((Q1766:OFFSET(Q1766,$B$7-1,0))))</f>
        <v>#DIV/0!</v>
      </c>
      <c r="U1766" s="5" t="e">
        <f ca="1">SQRT($B$9*AVERAGE((Q1766:OFFSET(Q1766,$B$8-1,0))))</f>
        <v>#DIV/0!</v>
      </c>
      <c r="W1766" s="6" t="e">
        <f t="shared" si="142"/>
        <v>#DIV/0!</v>
      </c>
      <c r="X1766" s="6" t="e">
        <f ca="1">SQRT($B$9*AVERAGE(W1766:OFFSET(W1766,$B$5-1,0)))</f>
        <v>#DIV/0!</v>
      </c>
      <c r="Y1766" s="6" t="e">
        <f ca="1">SQRT($B$9*AVERAGE(W1766:OFFSET(W1766,$B$6-1,0)))</f>
        <v>#DIV/0!</v>
      </c>
      <c r="Z1766" s="6" t="e">
        <f ca="1">SQRT($B$9*AVERAGE(W1766:OFFSET(W1766,$B$7-1,0)))</f>
        <v>#DIV/0!</v>
      </c>
      <c r="AA1766" s="6" t="e">
        <f ca="1">SQRT($B$9*AVERAGE(W1766:OFFSET(W1766,$B$8-1,0)))</f>
        <v>#DIV/0!</v>
      </c>
      <c r="AC1766" s="34" t="e">
        <f t="shared" si="145"/>
        <v>#DIV/0!</v>
      </c>
      <c r="AD1766" s="34" t="e">
        <f ca="1">SQRT($B$9*SUM(AC1766:OFFSET(AC1766,$B$5-1,0))/($B$5-1))</f>
        <v>#DIV/0!</v>
      </c>
      <c r="AE1766" s="34" t="e">
        <f ca="1">SQRT($B$9*SUM(AC1766:OFFSET(AC1766,$B$6-1,0))/($B$6-1))</f>
        <v>#DIV/0!</v>
      </c>
      <c r="AF1766" s="34" t="e">
        <f ca="1">SQRT($B$9*SUM(AC1766:OFFSET(AC1766,$B$7-1,0))/($B$7-1))</f>
        <v>#DIV/0!</v>
      </c>
      <c r="AG1766" s="34" t="e">
        <f ca="1">SQRT($B$9*SUM(AC1766:OFFSET(AC1766,$B$8-1,0))/($B$8-1))</f>
        <v>#DIV/0!</v>
      </c>
      <c r="AI1766" s="1" t="e">
        <f t="shared" si="146"/>
        <v>#DIV/0!</v>
      </c>
      <c r="AJ1766" s="4" t="e">
        <f ca="1">SQRT($B$9)*_xlfn.STDEV.S(AI1766:OFFSET(AI1766,$B$5-1,0))</f>
        <v>#DIV/0!</v>
      </c>
      <c r="AK1766" s="4" t="e">
        <f ca="1">SQRT($B$9)*_xlfn.STDEV.S(AI1766:OFFSET(AI1766,$B$6-1,0))</f>
        <v>#DIV/0!</v>
      </c>
      <c r="AL1766" s="4" t="e">
        <f ca="1">SQRT($B$9)*_xlfn.STDEV.S(AI1766:OFFSET(AI1766,$B$7-1,0))</f>
        <v>#DIV/0!</v>
      </c>
      <c r="AM1766" s="4" t="e">
        <f ca="1">SQRT($B$9)*_xlfn.STDEV.S(AI1766:OFFSET(AI1766,$B$8-1,0))</f>
        <v>#DIV/0!</v>
      </c>
    </row>
    <row r="1767" spans="11:39" x14ac:dyDescent="0.2">
      <c r="K1767" s="3" t="e">
        <f t="shared" si="144"/>
        <v>#DIV/0!</v>
      </c>
      <c r="L1767" s="3" t="e">
        <f ca="1">SQRT(AVERAGE(K1767:OFFSET(K1767,$B$5-1,0))*$B$9/(4*LN(2)))</f>
        <v>#DIV/0!</v>
      </c>
      <c r="M1767" s="3" t="e">
        <f ca="1">SQRT(AVERAGE(K1767:OFFSET(K1767,$B$6-1,0))*$B$9/(4*LN(2)))</f>
        <v>#DIV/0!</v>
      </c>
      <c r="N1767" s="3" t="e">
        <f ca="1">SQRT(AVERAGE(K1767:OFFSET(K1767,$B$7-1,0))*$B$9/(4*LN(2)))</f>
        <v>#DIV/0!</v>
      </c>
      <c r="O1767" s="3" t="e">
        <f ca="1">SQRT(AVERAGE(K1767:OFFSET(K1767,$B$8-1,0))*$B$9/(4*LN(2)))</f>
        <v>#DIV/0!</v>
      </c>
      <c r="Q1767" s="5" t="e">
        <f t="shared" si="143"/>
        <v>#DIV/0!</v>
      </c>
      <c r="R1767" s="5" t="e">
        <f ca="1">SQRT($B$9*AVERAGE((Q1767:OFFSET(Q1767,$B$5-1,0))))</f>
        <v>#DIV/0!</v>
      </c>
      <c r="S1767" s="5" t="e">
        <f ca="1">SQRT($B$9*AVERAGE((Q1767:OFFSET(Q1767,$B$6-1,0))))</f>
        <v>#DIV/0!</v>
      </c>
      <c r="T1767" s="5" t="e">
        <f ca="1">SQRT($B$9*AVERAGE((Q1767:OFFSET(Q1767,$B$7-1,0))))</f>
        <v>#DIV/0!</v>
      </c>
      <c r="U1767" s="5" t="e">
        <f ca="1">SQRT($B$9*AVERAGE((Q1767:OFFSET(Q1767,$B$8-1,0))))</f>
        <v>#DIV/0!</v>
      </c>
      <c r="W1767" s="6" t="e">
        <f t="shared" ref="W1767:W1819" si="147">LN(G1767/I1767)*LN(G1767/F1767)+LN(H1767/I1767)*LN(H1767/F1767)</f>
        <v>#DIV/0!</v>
      </c>
      <c r="X1767" s="6" t="e">
        <f ca="1">SQRT($B$9*AVERAGE(W1767:OFFSET(W1767,$B$5-1,0)))</f>
        <v>#DIV/0!</v>
      </c>
      <c r="Y1767" s="6" t="e">
        <f ca="1">SQRT($B$9*AVERAGE(W1767:OFFSET(W1767,$B$6-1,0)))</f>
        <v>#DIV/0!</v>
      </c>
      <c r="Z1767" s="6" t="e">
        <f ca="1">SQRT($B$9*AVERAGE(W1767:OFFSET(W1767,$B$7-1,0)))</f>
        <v>#DIV/0!</v>
      </c>
      <c r="AA1767" s="6" t="e">
        <f ca="1">SQRT($B$9*AVERAGE(W1767:OFFSET(W1767,$B$8-1,0)))</f>
        <v>#DIV/0!</v>
      </c>
      <c r="AC1767" s="34" t="e">
        <f t="shared" si="145"/>
        <v>#DIV/0!</v>
      </c>
      <c r="AD1767" s="34" t="e">
        <f ca="1">SQRT($B$9*SUM(AC1767:OFFSET(AC1767,$B$5-1,0))/($B$5-1))</f>
        <v>#DIV/0!</v>
      </c>
      <c r="AE1767" s="34" t="e">
        <f ca="1">SQRT($B$9*SUM(AC1767:OFFSET(AC1767,$B$6-1,0))/($B$6-1))</f>
        <v>#DIV/0!</v>
      </c>
      <c r="AF1767" s="34" t="e">
        <f ca="1">SQRT($B$9*SUM(AC1767:OFFSET(AC1767,$B$7-1,0))/($B$7-1))</f>
        <v>#DIV/0!</v>
      </c>
      <c r="AG1767" s="34" t="e">
        <f ca="1">SQRT($B$9*SUM(AC1767:OFFSET(AC1767,$B$8-1,0))/($B$8-1))</f>
        <v>#DIV/0!</v>
      </c>
      <c r="AI1767" s="1" t="e">
        <f t="shared" si="146"/>
        <v>#DIV/0!</v>
      </c>
      <c r="AJ1767" s="4" t="e">
        <f ca="1">SQRT($B$9)*_xlfn.STDEV.S(AI1767:OFFSET(AI1767,$B$5-1,0))</f>
        <v>#DIV/0!</v>
      </c>
      <c r="AK1767" s="4" t="e">
        <f ca="1">SQRT($B$9)*_xlfn.STDEV.S(AI1767:OFFSET(AI1767,$B$6-1,0))</f>
        <v>#DIV/0!</v>
      </c>
      <c r="AL1767" s="4" t="e">
        <f ca="1">SQRT($B$9)*_xlfn.STDEV.S(AI1767:OFFSET(AI1767,$B$7-1,0))</f>
        <v>#DIV/0!</v>
      </c>
      <c r="AM1767" s="4" t="e">
        <f ca="1">SQRT($B$9)*_xlfn.STDEV.S(AI1767:OFFSET(AI1767,$B$8-1,0))</f>
        <v>#DIV/0!</v>
      </c>
    </row>
    <row r="1768" spans="11:39" x14ac:dyDescent="0.2">
      <c r="K1768" s="3" t="e">
        <f t="shared" si="144"/>
        <v>#DIV/0!</v>
      </c>
      <c r="L1768" s="3" t="e">
        <f ca="1">SQRT(AVERAGE(K1768:OFFSET(K1768,$B$5-1,0))*$B$9/(4*LN(2)))</f>
        <v>#DIV/0!</v>
      </c>
      <c r="M1768" s="3" t="e">
        <f ca="1">SQRT(AVERAGE(K1768:OFFSET(K1768,$B$6-1,0))*$B$9/(4*LN(2)))</f>
        <v>#DIV/0!</v>
      </c>
      <c r="N1768" s="3" t="e">
        <f ca="1">SQRT(AVERAGE(K1768:OFFSET(K1768,$B$7-1,0))*$B$9/(4*LN(2)))</f>
        <v>#DIV/0!</v>
      </c>
      <c r="O1768" s="3" t="e">
        <f ca="1">SQRT(AVERAGE(K1768:OFFSET(K1768,$B$8-1,0))*$B$9/(4*LN(2)))</f>
        <v>#DIV/0!</v>
      </c>
      <c r="Q1768" s="5" t="e">
        <f t="shared" si="143"/>
        <v>#DIV/0!</v>
      </c>
      <c r="R1768" s="5" t="e">
        <f ca="1">SQRT($B$9*AVERAGE((Q1768:OFFSET(Q1768,$B$5-1,0))))</f>
        <v>#DIV/0!</v>
      </c>
      <c r="S1768" s="5" t="e">
        <f ca="1">SQRT($B$9*AVERAGE((Q1768:OFFSET(Q1768,$B$6-1,0))))</f>
        <v>#DIV/0!</v>
      </c>
      <c r="T1768" s="5" t="e">
        <f ca="1">SQRT($B$9*AVERAGE((Q1768:OFFSET(Q1768,$B$7-1,0))))</f>
        <v>#DIV/0!</v>
      </c>
      <c r="U1768" s="5" t="e">
        <f ca="1">SQRT($B$9*AVERAGE((Q1768:OFFSET(Q1768,$B$8-1,0))))</f>
        <v>#DIV/0!</v>
      </c>
      <c r="W1768" s="6" t="e">
        <f t="shared" si="147"/>
        <v>#DIV/0!</v>
      </c>
      <c r="X1768" s="6" t="e">
        <f ca="1">SQRT($B$9*AVERAGE(W1768:OFFSET(W1768,$B$5-1,0)))</f>
        <v>#DIV/0!</v>
      </c>
      <c r="Y1768" s="6" t="e">
        <f ca="1">SQRT($B$9*AVERAGE(W1768:OFFSET(W1768,$B$6-1,0)))</f>
        <v>#DIV/0!</v>
      </c>
      <c r="Z1768" s="6" t="e">
        <f ca="1">SQRT($B$9*AVERAGE(W1768:OFFSET(W1768,$B$7-1,0)))</f>
        <v>#DIV/0!</v>
      </c>
      <c r="AA1768" s="6" t="e">
        <f ca="1">SQRT($B$9*AVERAGE(W1768:OFFSET(W1768,$B$8-1,0)))</f>
        <v>#DIV/0!</v>
      </c>
      <c r="AC1768" s="34" t="e">
        <f t="shared" si="145"/>
        <v>#DIV/0!</v>
      </c>
      <c r="AD1768" s="34" t="e">
        <f ca="1">SQRT($B$9*SUM(AC1768:OFFSET(AC1768,$B$5-1,0))/($B$5-1))</f>
        <v>#DIV/0!</v>
      </c>
      <c r="AE1768" s="34" t="e">
        <f ca="1">SQRT($B$9*SUM(AC1768:OFFSET(AC1768,$B$6-1,0))/($B$6-1))</f>
        <v>#DIV/0!</v>
      </c>
      <c r="AF1768" s="34" t="e">
        <f ca="1">SQRT($B$9*SUM(AC1768:OFFSET(AC1768,$B$7-1,0))/($B$7-1))</f>
        <v>#DIV/0!</v>
      </c>
      <c r="AG1768" s="34" t="e">
        <f ca="1">SQRT($B$9*SUM(AC1768:OFFSET(AC1768,$B$8-1,0))/($B$8-1))</f>
        <v>#DIV/0!</v>
      </c>
      <c r="AI1768" s="1" t="e">
        <f t="shared" si="146"/>
        <v>#DIV/0!</v>
      </c>
      <c r="AJ1768" s="4" t="e">
        <f ca="1">SQRT($B$9)*_xlfn.STDEV.S(AI1768:OFFSET(AI1768,$B$5-1,0))</f>
        <v>#DIV/0!</v>
      </c>
      <c r="AK1768" s="4" t="e">
        <f ca="1">SQRT($B$9)*_xlfn.STDEV.S(AI1768:OFFSET(AI1768,$B$6-1,0))</f>
        <v>#DIV/0!</v>
      </c>
      <c r="AL1768" s="4" t="e">
        <f ca="1">SQRT($B$9)*_xlfn.STDEV.S(AI1768:OFFSET(AI1768,$B$7-1,0))</f>
        <v>#DIV/0!</v>
      </c>
      <c r="AM1768" s="4" t="e">
        <f ca="1">SQRT($B$9)*_xlfn.STDEV.S(AI1768:OFFSET(AI1768,$B$8-1,0))</f>
        <v>#DIV/0!</v>
      </c>
    </row>
    <row r="1769" spans="11:39" x14ac:dyDescent="0.2">
      <c r="K1769" s="3" t="e">
        <f t="shared" si="144"/>
        <v>#DIV/0!</v>
      </c>
      <c r="L1769" s="3" t="e">
        <f ca="1">SQRT(AVERAGE(K1769:OFFSET(K1769,$B$5-1,0))*$B$9/(4*LN(2)))</f>
        <v>#DIV/0!</v>
      </c>
      <c r="M1769" s="3" t="e">
        <f ca="1">SQRT(AVERAGE(K1769:OFFSET(K1769,$B$6-1,0))*$B$9/(4*LN(2)))</f>
        <v>#DIV/0!</v>
      </c>
      <c r="N1769" s="3" t="e">
        <f ca="1">SQRT(AVERAGE(K1769:OFFSET(K1769,$B$7-1,0))*$B$9/(4*LN(2)))</f>
        <v>#DIV/0!</v>
      </c>
      <c r="O1769" s="3" t="e">
        <f ca="1">SQRT(AVERAGE(K1769:OFFSET(K1769,$B$8-1,0))*$B$9/(4*LN(2)))</f>
        <v>#DIV/0!</v>
      </c>
      <c r="Q1769" s="5" t="e">
        <f t="shared" si="143"/>
        <v>#DIV/0!</v>
      </c>
      <c r="R1769" s="5" t="e">
        <f ca="1">SQRT($B$9*AVERAGE((Q1769:OFFSET(Q1769,$B$5-1,0))))</f>
        <v>#DIV/0!</v>
      </c>
      <c r="S1769" s="5" t="e">
        <f ca="1">SQRT($B$9*AVERAGE((Q1769:OFFSET(Q1769,$B$6-1,0))))</f>
        <v>#DIV/0!</v>
      </c>
      <c r="T1769" s="5" t="e">
        <f ca="1">SQRT($B$9*AVERAGE((Q1769:OFFSET(Q1769,$B$7-1,0))))</f>
        <v>#DIV/0!</v>
      </c>
      <c r="U1769" s="5" t="e">
        <f ca="1">SQRT($B$9*AVERAGE((Q1769:OFFSET(Q1769,$B$8-1,0))))</f>
        <v>#DIV/0!</v>
      </c>
      <c r="W1769" s="6" t="e">
        <f t="shared" si="147"/>
        <v>#DIV/0!</v>
      </c>
      <c r="X1769" s="6" t="e">
        <f ca="1">SQRT($B$9*AVERAGE(W1769:OFFSET(W1769,$B$5-1,0)))</f>
        <v>#DIV/0!</v>
      </c>
      <c r="Y1769" s="6" t="e">
        <f ca="1">SQRT($B$9*AVERAGE(W1769:OFFSET(W1769,$B$6-1,0)))</f>
        <v>#DIV/0!</v>
      </c>
      <c r="Z1769" s="6" t="e">
        <f ca="1">SQRT($B$9*AVERAGE(W1769:OFFSET(W1769,$B$7-1,0)))</f>
        <v>#DIV/0!</v>
      </c>
      <c r="AA1769" s="6" t="e">
        <f ca="1">SQRT($B$9*AVERAGE(W1769:OFFSET(W1769,$B$8-1,0)))</f>
        <v>#DIV/0!</v>
      </c>
      <c r="AC1769" s="34" t="e">
        <f t="shared" si="145"/>
        <v>#DIV/0!</v>
      </c>
      <c r="AD1769" s="34" t="e">
        <f ca="1">SQRT($B$9*SUM(AC1769:OFFSET(AC1769,$B$5-1,0))/($B$5-1))</f>
        <v>#DIV/0!</v>
      </c>
      <c r="AE1769" s="34" t="e">
        <f ca="1">SQRT($B$9*SUM(AC1769:OFFSET(AC1769,$B$6-1,0))/($B$6-1))</f>
        <v>#DIV/0!</v>
      </c>
      <c r="AF1769" s="34" t="e">
        <f ca="1">SQRT($B$9*SUM(AC1769:OFFSET(AC1769,$B$7-1,0))/($B$7-1))</f>
        <v>#DIV/0!</v>
      </c>
      <c r="AG1769" s="34" t="e">
        <f ca="1">SQRT($B$9*SUM(AC1769:OFFSET(AC1769,$B$8-1,0))/($B$8-1))</f>
        <v>#DIV/0!</v>
      </c>
      <c r="AI1769" s="1" t="e">
        <f t="shared" si="146"/>
        <v>#DIV/0!</v>
      </c>
      <c r="AJ1769" s="4" t="e">
        <f ca="1">SQRT($B$9)*_xlfn.STDEV.S(AI1769:OFFSET(AI1769,$B$5-1,0))</f>
        <v>#DIV/0!</v>
      </c>
      <c r="AK1769" s="4" t="e">
        <f ca="1">SQRT($B$9)*_xlfn.STDEV.S(AI1769:OFFSET(AI1769,$B$6-1,0))</f>
        <v>#DIV/0!</v>
      </c>
      <c r="AL1769" s="4" t="e">
        <f ca="1">SQRT($B$9)*_xlfn.STDEV.S(AI1769:OFFSET(AI1769,$B$7-1,0))</f>
        <v>#DIV/0!</v>
      </c>
      <c r="AM1769" s="4" t="e">
        <f ca="1">SQRT($B$9)*_xlfn.STDEV.S(AI1769:OFFSET(AI1769,$B$8-1,0))</f>
        <v>#DIV/0!</v>
      </c>
    </row>
    <row r="1770" spans="11:39" x14ac:dyDescent="0.2">
      <c r="K1770" s="3" t="e">
        <f t="shared" si="144"/>
        <v>#DIV/0!</v>
      </c>
      <c r="L1770" s="3" t="e">
        <f ca="1">SQRT(AVERAGE(K1770:OFFSET(K1770,$B$5-1,0))*$B$9/(4*LN(2)))</f>
        <v>#DIV/0!</v>
      </c>
      <c r="M1770" s="3" t="e">
        <f ca="1">SQRT(AVERAGE(K1770:OFFSET(K1770,$B$6-1,0))*$B$9/(4*LN(2)))</f>
        <v>#DIV/0!</v>
      </c>
      <c r="N1770" s="3" t="e">
        <f ca="1">SQRT(AVERAGE(K1770:OFFSET(K1770,$B$7-1,0))*$B$9/(4*LN(2)))</f>
        <v>#DIV/0!</v>
      </c>
      <c r="O1770" s="3" t="e">
        <f ca="1">SQRT(AVERAGE(K1770:OFFSET(K1770,$B$8-1,0))*$B$9/(4*LN(2)))</f>
        <v>#DIV/0!</v>
      </c>
      <c r="Q1770" s="5" t="e">
        <f t="shared" si="143"/>
        <v>#DIV/0!</v>
      </c>
      <c r="R1770" s="5" t="e">
        <f ca="1">SQRT($B$9*AVERAGE((Q1770:OFFSET(Q1770,$B$5-1,0))))</f>
        <v>#DIV/0!</v>
      </c>
      <c r="S1770" s="5" t="e">
        <f ca="1">SQRT($B$9*AVERAGE((Q1770:OFFSET(Q1770,$B$6-1,0))))</f>
        <v>#DIV/0!</v>
      </c>
      <c r="T1770" s="5" t="e">
        <f ca="1">SQRT($B$9*AVERAGE((Q1770:OFFSET(Q1770,$B$7-1,0))))</f>
        <v>#DIV/0!</v>
      </c>
      <c r="U1770" s="5" t="e">
        <f ca="1">SQRT($B$9*AVERAGE((Q1770:OFFSET(Q1770,$B$8-1,0))))</f>
        <v>#DIV/0!</v>
      </c>
      <c r="W1770" s="6" t="e">
        <f t="shared" si="147"/>
        <v>#DIV/0!</v>
      </c>
      <c r="X1770" s="6" t="e">
        <f ca="1">SQRT($B$9*AVERAGE(W1770:OFFSET(W1770,$B$5-1,0)))</f>
        <v>#DIV/0!</v>
      </c>
      <c r="Y1770" s="6" t="e">
        <f ca="1">SQRT($B$9*AVERAGE(W1770:OFFSET(W1770,$B$6-1,0)))</f>
        <v>#DIV/0!</v>
      </c>
      <c r="Z1770" s="6" t="e">
        <f ca="1">SQRT($B$9*AVERAGE(W1770:OFFSET(W1770,$B$7-1,0)))</f>
        <v>#DIV/0!</v>
      </c>
      <c r="AA1770" s="6" t="e">
        <f ca="1">SQRT($B$9*AVERAGE(W1770:OFFSET(W1770,$B$8-1,0)))</f>
        <v>#DIV/0!</v>
      </c>
      <c r="AC1770" s="34" t="e">
        <f t="shared" si="145"/>
        <v>#DIV/0!</v>
      </c>
      <c r="AD1770" s="34" t="e">
        <f ca="1">SQRT($B$9*SUM(AC1770:OFFSET(AC1770,$B$5-1,0))/($B$5-1))</f>
        <v>#DIV/0!</v>
      </c>
      <c r="AE1770" s="34" t="e">
        <f ca="1">SQRT($B$9*SUM(AC1770:OFFSET(AC1770,$B$6-1,0))/($B$6-1))</f>
        <v>#DIV/0!</v>
      </c>
      <c r="AF1770" s="34" t="e">
        <f ca="1">SQRT($B$9*SUM(AC1770:OFFSET(AC1770,$B$7-1,0))/($B$7-1))</f>
        <v>#DIV/0!</v>
      </c>
      <c r="AG1770" s="34" t="e">
        <f ca="1">SQRT($B$9*SUM(AC1770:OFFSET(AC1770,$B$8-1,0))/($B$8-1))</f>
        <v>#DIV/0!</v>
      </c>
      <c r="AI1770" s="1" t="e">
        <f t="shared" si="146"/>
        <v>#DIV/0!</v>
      </c>
      <c r="AJ1770" s="4" t="e">
        <f ca="1">SQRT($B$9)*_xlfn.STDEV.S(AI1770:OFFSET(AI1770,$B$5-1,0))</f>
        <v>#DIV/0!</v>
      </c>
      <c r="AK1770" s="4" t="e">
        <f ca="1">SQRT($B$9)*_xlfn.STDEV.S(AI1770:OFFSET(AI1770,$B$6-1,0))</f>
        <v>#DIV/0!</v>
      </c>
      <c r="AL1770" s="4" t="e">
        <f ca="1">SQRT($B$9)*_xlfn.STDEV.S(AI1770:OFFSET(AI1770,$B$7-1,0))</f>
        <v>#DIV/0!</v>
      </c>
      <c r="AM1770" s="4" t="e">
        <f ca="1">SQRT($B$9)*_xlfn.STDEV.S(AI1770:OFFSET(AI1770,$B$8-1,0))</f>
        <v>#DIV/0!</v>
      </c>
    </row>
    <row r="1771" spans="11:39" x14ac:dyDescent="0.2">
      <c r="K1771" s="3" t="e">
        <f t="shared" si="144"/>
        <v>#DIV/0!</v>
      </c>
      <c r="L1771" s="3" t="e">
        <f ca="1">SQRT(AVERAGE(K1771:OFFSET(K1771,$B$5-1,0))*$B$9/(4*LN(2)))</f>
        <v>#DIV/0!</v>
      </c>
      <c r="M1771" s="3" t="e">
        <f ca="1">SQRT(AVERAGE(K1771:OFFSET(K1771,$B$6-1,0))*$B$9/(4*LN(2)))</f>
        <v>#DIV/0!</v>
      </c>
      <c r="N1771" s="3" t="e">
        <f ca="1">SQRT(AVERAGE(K1771:OFFSET(K1771,$B$7-1,0))*$B$9/(4*LN(2)))</f>
        <v>#DIV/0!</v>
      </c>
      <c r="O1771" s="3" t="e">
        <f ca="1">SQRT(AVERAGE(K1771:OFFSET(K1771,$B$8-1,0))*$B$9/(4*LN(2)))</f>
        <v>#DIV/0!</v>
      </c>
      <c r="Q1771" s="5" t="e">
        <f t="shared" si="143"/>
        <v>#DIV/0!</v>
      </c>
      <c r="R1771" s="5" t="e">
        <f ca="1">SQRT($B$9*AVERAGE((Q1771:OFFSET(Q1771,$B$5-1,0))))</f>
        <v>#DIV/0!</v>
      </c>
      <c r="S1771" s="5" t="e">
        <f ca="1">SQRT($B$9*AVERAGE((Q1771:OFFSET(Q1771,$B$6-1,0))))</f>
        <v>#DIV/0!</v>
      </c>
      <c r="T1771" s="5" t="e">
        <f ca="1">SQRT($B$9*AVERAGE((Q1771:OFFSET(Q1771,$B$7-1,0))))</f>
        <v>#DIV/0!</v>
      </c>
      <c r="U1771" s="5" t="e">
        <f ca="1">SQRT($B$9*AVERAGE((Q1771:OFFSET(Q1771,$B$8-1,0))))</f>
        <v>#DIV/0!</v>
      </c>
      <c r="W1771" s="6" t="e">
        <f t="shared" si="147"/>
        <v>#DIV/0!</v>
      </c>
      <c r="X1771" s="6" t="e">
        <f ca="1">SQRT($B$9*AVERAGE(W1771:OFFSET(W1771,$B$5-1,0)))</f>
        <v>#DIV/0!</v>
      </c>
      <c r="Y1771" s="6" t="e">
        <f ca="1">SQRT($B$9*AVERAGE(W1771:OFFSET(W1771,$B$6-1,0)))</f>
        <v>#DIV/0!</v>
      </c>
      <c r="Z1771" s="6" t="e">
        <f ca="1">SQRT($B$9*AVERAGE(W1771:OFFSET(W1771,$B$7-1,0)))</f>
        <v>#DIV/0!</v>
      </c>
      <c r="AA1771" s="6" t="e">
        <f ca="1">SQRT($B$9*AVERAGE(W1771:OFFSET(W1771,$B$8-1,0)))</f>
        <v>#DIV/0!</v>
      </c>
      <c r="AC1771" s="34" t="e">
        <f t="shared" si="145"/>
        <v>#DIV/0!</v>
      </c>
      <c r="AD1771" s="34" t="e">
        <f ca="1">SQRT($B$9*SUM(AC1771:OFFSET(AC1771,$B$5-1,0))/($B$5-1))</f>
        <v>#DIV/0!</v>
      </c>
      <c r="AE1771" s="34" t="e">
        <f ca="1">SQRT($B$9*SUM(AC1771:OFFSET(AC1771,$B$6-1,0))/($B$6-1))</f>
        <v>#DIV/0!</v>
      </c>
      <c r="AF1771" s="34" t="e">
        <f ca="1">SQRT($B$9*SUM(AC1771:OFFSET(AC1771,$B$7-1,0))/($B$7-1))</f>
        <v>#DIV/0!</v>
      </c>
      <c r="AG1771" s="34" t="e">
        <f ca="1">SQRT($B$9*SUM(AC1771:OFFSET(AC1771,$B$8-1,0))/($B$8-1))</f>
        <v>#DIV/0!</v>
      </c>
      <c r="AI1771" s="1" t="e">
        <f t="shared" si="146"/>
        <v>#DIV/0!</v>
      </c>
      <c r="AJ1771" s="4" t="e">
        <f ca="1">SQRT($B$9)*_xlfn.STDEV.S(AI1771:OFFSET(AI1771,$B$5-1,0))</f>
        <v>#DIV/0!</v>
      </c>
      <c r="AK1771" s="4" t="e">
        <f ca="1">SQRT($B$9)*_xlfn.STDEV.S(AI1771:OFFSET(AI1771,$B$6-1,0))</f>
        <v>#DIV/0!</v>
      </c>
      <c r="AL1771" s="4" t="e">
        <f ca="1">SQRT($B$9)*_xlfn.STDEV.S(AI1771:OFFSET(AI1771,$B$7-1,0))</f>
        <v>#DIV/0!</v>
      </c>
      <c r="AM1771" s="4" t="e">
        <f ca="1">SQRT($B$9)*_xlfn.STDEV.S(AI1771:OFFSET(AI1771,$B$8-1,0))</f>
        <v>#DIV/0!</v>
      </c>
    </row>
    <row r="1772" spans="11:39" x14ac:dyDescent="0.2">
      <c r="K1772" s="3" t="e">
        <f t="shared" si="144"/>
        <v>#DIV/0!</v>
      </c>
      <c r="L1772" s="3" t="e">
        <f ca="1">SQRT(AVERAGE(K1772:OFFSET(K1772,$B$5-1,0))*$B$9/(4*LN(2)))</f>
        <v>#DIV/0!</v>
      </c>
      <c r="M1772" s="3" t="e">
        <f ca="1">SQRT(AVERAGE(K1772:OFFSET(K1772,$B$6-1,0))*$B$9/(4*LN(2)))</f>
        <v>#DIV/0!</v>
      </c>
      <c r="N1772" s="3" t="e">
        <f ca="1">SQRT(AVERAGE(K1772:OFFSET(K1772,$B$7-1,0))*$B$9/(4*LN(2)))</f>
        <v>#DIV/0!</v>
      </c>
      <c r="O1772" s="3" t="e">
        <f ca="1">SQRT(AVERAGE(K1772:OFFSET(K1772,$B$8-1,0))*$B$9/(4*LN(2)))</f>
        <v>#DIV/0!</v>
      </c>
      <c r="Q1772" s="5" t="e">
        <f t="shared" si="143"/>
        <v>#DIV/0!</v>
      </c>
      <c r="R1772" s="5" t="e">
        <f ca="1">SQRT($B$9*AVERAGE((Q1772:OFFSET(Q1772,$B$5-1,0))))</f>
        <v>#DIV/0!</v>
      </c>
      <c r="S1772" s="5" t="e">
        <f ca="1">SQRT($B$9*AVERAGE((Q1772:OFFSET(Q1772,$B$6-1,0))))</f>
        <v>#DIV/0!</v>
      </c>
      <c r="T1772" s="5" t="e">
        <f ca="1">SQRT($B$9*AVERAGE((Q1772:OFFSET(Q1772,$B$7-1,0))))</f>
        <v>#DIV/0!</v>
      </c>
      <c r="U1772" s="5" t="e">
        <f ca="1">SQRT($B$9*AVERAGE((Q1772:OFFSET(Q1772,$B$8-1,0))))</f>
        <v>#DIV/0!</v>
      </c>
      <c r="W1772" s="6" t="e">
        <f t="shared" si="147"/>
        <v>#DIV/0!</v>
      </c>
      <c r="X1772" s="6" t="e">
        <f ca="1">SQRT($B$9*AVERAGE(W1772:OFFSET(W1772,$B$5-1,0)))</f>
        <v>#DIV/0!</v>
      </c>
      <c r="Y1772" s="6" t="e">
        <f ca="1">SQRT($B$9*AVERAGE(W1772:OFFSET(W1772,$B$6-1,0)))</f>
        <v>#DIV/0!</v>
      </c>
      <c r="Z1772" s="6" t="e">
        <f ca="1">SQRT($B$9*AVERAGE(W1772:OFFSET(W1772,$B$7-1,0)))</f>
        <v>#DIV/0!</v>
      </c>
      <c r="AA1772" s="6" t="e">
        <f ca="1">SQRT($B$9*AVERAGE(W1772:OFFSET(W1772,$B$8-1,0)))</f>
        <v>#DIV/0!</v>
      </c>
      <c r="AC1772" s="34" t="e">
        <f t="shared" si="145"/>
        <v>#DIV/0!</v>
      </c>
      <c r="AD1772" s="34" t="e">
        <f ca="1">SQRT($B$9*SUM(AC1772:OFFSET(AC1772,$B$5-1,0))/($B$5-1))</f>
        <v>#DIV/0!</v>
      </c>
      <c r="AE1772" s="34" t="e">
        <f ca="1">SQRT($B$9*SUM(AC1772:OFFSET(AC1772,$B$6-1,0))/($B$6-1))</f>
        <v>#DIV/0!</v>
      </c>
      <c r="AF1772" s="34" t="e">
        <f ca="1">SQRT($B$9*SUM(AC1772:OFFSET(AC1772,$B$7-1,0))/($B$7-1))</f>
        <v>#DIV/0!</v>
      </c>
      <c r="AG1772" s="34" t="e">
        <f ca="1">SQRT($B$9*SUM(AC1772:OFFSET(AC1772,$B$8-1,0))/($B$8-1))</f>
        <v>#DIV/0!</v>
      </c>
      <c r="AI1772" s="1" t="e">
        <f t="shared" si="146"/>
        <v>#DIV/0!</v>
      </c>
      <c r="AJ1772" s="4" t="e">
        <f ca="1">SQRT($B$9)*_xlfn.STDEV.S(AI1772:OFFSET(AI1772,$B$5-1,0))</f>
        <v>#DIV/0!</v>
      </c>
      <c r="AK1772" s="4" t="e">
        <f ca="1">SQRT($B$9)*_xlfn.STDEV.S(AI1772:OFFSET(AI1772,$B$6-1,0))</f>
        <v>#DIV/0!</v>
      </c>
      <c r="AL1772" s="4" t="e">
        <f ca="1">SQRT($B$9)*_xlfn.STDEV.S(AI1772:OFFSET(AI1772,$B$7-1,0))</f>
        <v>#DIV/0!</v>
      </c>
      <c r="AM1772" s="4" t="e">
        <f ca="1">SQRT($B$9)*_xlfn.STDEV.S(AI1772:OFFSET(AI1772,$B$8-1,0))</f>
        <v>#DIV/0!</v>
      </c>
    </row>
    <row r="1773" spans="11:39" x14ac:dyDescent="0.2">
      <c r="K1773" s="3" t="e">
        <f t="shared" si="144"/>
        <v>#DIV/0!</v>
      </c>
      <c r="L1773" s="3" t="e">
        <f ca="1">SQRT(AVERAGE(K1773:OFFSET(K1773,$B$5-1,0))*$B$9/(4*LN(2)))</f>
        <v>#DIV/0!</v>
      </c>
      <c r="M1773" s="3" t="e">
        <f ca="1">SQRT(AVERAGE(K1773:OFFSET(K1773,$B$6-1,0))*$B$9/(4*LN(2)))</f>
        <v>#DIV/0!</v>
      </c>
      <c r="N1773" s="3" t="e">
        <f ca="1">SQRT(AVERAGE(K1773:OFFSET(K1773,$B$7-1,0))*$B$9/(4*LN(2)))</f>
        <v>#DIV/0!</v>
      </c>
      <c r="O1773" s="3" t="e">
        <f ca="1">SQRT(AVERAGE(K1773:OFFSET(K1773,$B$8-1,0))*$B$9/(4*LN(2)))</f>
        <v>#DIV/0!</v>
      </c>
      <c r="Q1773" s="5" t="e">
        <f t="shared" si="143"/>
        <v>#DIV/0!</v>
      </c>
      <c r="R1773" s="5" t="e">
        <f ca="1">SQRT($B$9*AVERAGE((Q1773:OFFSET(Q1773,$B$5-1,0))))</f>
        <v>#DIV/0!</v>
      </c>
      <c r="S1773" s="5" t="e">
        <f ca="1">SQRT($B$9*AVERAGE((Q1773:OFFSET(Q1773,$B$6-1,0))))</f>
        <v>#DIV/0!</v>
      </c>
      <c r="T1773" s="5" t="e">
        <f ca="1">SQRT($B$9*AVERAGE((Q1773:OFFSET(Q1773,$B$7-1,0))))</f>
        <v>#DIV/0!</v>
      </c>
      <c r="U1773" s="5" t="e">
        <f ca="1">SQRT($B$9*AVERAGE((Q1773:OFFSET(Q1773,$B$8-1,0))))</f>
        <v>#DIV/0!</v>
      </c>
      <c r="W1773" s="6" t="e">
        <f t="shared" si="147"/>
        <v>#DIV/0!</v>
      </c>
      <c r="X1773" s="6" t="e">
        <f ca="1">SQRT($B$9*AVERAGE(W1773:OFFSET(W1773,$B$5-1,0)))</f>
        <v>#DIV/0!</v>
      </c>
      <c r="Y1773" s="6" t="e">
        <f ca="1">SQRT($B$9*AVERAGE(W1773:OFFSET(W1773,$B$6-1,0)))</f>
        <v>#DIV/0!</v>
      </c>
      <c r="Z1773" s="6" t="e">
        <f ca="1">SQRT($B$9*AVERAGE(W1773:OFFSET(W1773,$B$7-1,0)))</f>
        <v>#DIV/0!</v>
      </c>
      <c r="AA1773" s="6" t="e">
        <f ca="1">SQRT($B$9*AVERAGE(W1773:OFFSET(W1773,$B$8-1,0)))</f>
        <v>#DIV/0!</v>
      </c>
      <c r="AC1773" s="34" t="e">
        <f t="shared" si="145"/>
        <v>#DIV/0!</v>
      </c>
      <c r="AD1773" s="34" t="e">
        <f ca="1">SQRT($B$9*SUM(AC1773:OFFSET(AC1773,$B$5-1,0))/($B$5-1))</f>
        <v>#DIV/0!</v>
      </c>
      <c r="AE1773" s="34" t="e">
        <f ca="1">SQRT($B$9*SUM(AC1773:OFFSET(AC1773,$B$6-1,0))/($B$6-1))</f>
        <v>#DIV/0!</v>
      </c>
      <c r="AF1773" s="34" t="e">
        <f ca="1">SQRT($B$9*SUM(AC1773:OFFSET(AC1773,$B$7-1,0))/($B$7-1))</f>
        <v>#DIV/0!</v>
      </c>
      <c r="AG1773" s="34" t="e">
        <f ca="1">SQRT($B$9*SUM(AC1773:OFFSET(AC1773,$B$8-1,0))/($B$8-1))</f>
        <v>#DIV/0!</v>
      </c>
      <c r="AI1773" s="1" t="e">
        <f t="shared" si="146"/>
        <v>#DIV/0!</v>
      </c>
      <c r="AJ1773" s="4" t="e">
        <f ca="1">SQRT($B$9)*_xlfn.STDEV.S(AI1773:OFFSET(AI1773,$B$5-1,0))</f>
        <v>#DIV/0!</v>
      </c>
      <c r="AK1773" s="4" t="e">
        <f ca="1">SQRT($B$9)*_xlfn.STDEV.S(AI1773:OFFSET(AI1773,$B$6-1,0))</f>
        <v>#DIV/0!</v>
      </c>
      <c r="AL1773" s="4" t="e">
        <f ca="1">SQRT($B$9)*_xlfn.STDEV.S(AI1773:OFFSET(AI1773,$B$7-1,0))</f>
        <v>#DIV/0!</v>
      </c>
      <c r="AM1773" s="4" t="e">
        <f ca="1">SQRT($B$9)*_xlfn.STDEV.S(AI1773:OFFSET(AI1773,$B$8-1,0))</f>
        <v>#DIV/0!</v>
      </c>
    </row>
    <row r="1774" spans="11:39" x14ac:dyDescent="0.2">
      <c r="K1774" s="3" t="e">
        <f t="shared" si="144"/>
        <v>#DIV/0!</v>
      </c>
      <c r="L1774" s="3" t="e">
        <f ca="1">SQRT(AVERAGE(K1774:OFFSET(K1774,$B$5-1,0))*$B$9/(4*LN(2)))</f>
        <v>#DIV/0!</v>
      </c>
      <c r="M1774" s="3" t="e">
        <f ca="1">SQRT(AVERAGE(K1774:OFFSET(K1774,$B$6-1,0))*$B$9/(4*LN(2)))</f>
        <v>#DIV/0!</v>
      </c>
      <c r="N1774" s="3" t="e">
        <f ca="1">SQRT(AVERAGE(K1774:OFFSET(K1774,$B$7-1,0))*$B$9/(4*LN(2)))</f>
        <v>#DIV/0!</v>
      </c>
      <c r="O1774" s="3" t="e">
        <f ca="1">SQRT(AVERAGE(K1774:OFFSET(K1774,$B$8-1,0))*$B$9/(4*LN(2)))</f>
        <v>#DIV/0!</v>
      </c>
      <c r="Q1774" s="5" t="e">
        <f t="shared" si="143"/>
        <v>#DIV/0!</v>
      </c>
      <c r="R1774" s="5" t="e">
        <f ca="1">SQRT($B$9*AVERAGE((Q1774:OFFSET(Q1774,$B$5-1,0))))</f>
        <v>#DIV/0!</v>
      </c>
      <c r="S1774" s="5" t="e">
        <f ca="1">SQRT($B$9*AVERAGE((Q1774:OFFSET(Q1774,$B$6-1,0))))</f>
        <v>#DIV/0!</v>
      </c>
      <c r="T1774" s="5" t="e">
        <f ca="1">SQRT($B$9*AVERAGE((Q1774:OFFSET(Q1774,$B$7-1,0))))</f>
        <v>#DIV/0!</v>
      </c>
      <c r="U1774" s="5" t="e">
        <f ca="1">SQRT($B$9*AVERAGE((Q1774:OFFSET(Q1774,$B$8-1,0))))</f>
        <v>#DIV/0!</v>
      </c>
      <c r="W1774" s="6" t="e">
        <f t="shared" si="147"/>
        <v>#DIV/0!</v>
      </c>
      <c r="X1774" s="6" t="e">
        <f ca="1">SQRT($B$9*AVERAGE(W1774:OFFSET(W1774,$B$5-1,0)))</f>
        <v>#DIV/0!</v>
      </c>
      <c r="Y1774" s="6" t="e">
        <f ca="1">SQRT($B$9*AVERAGE(W1774:OFFSET(W1774,$B$6-1,0)))</f>
        <v>#DIV/0!</v>
      </c>
      <c r="Z1774" s="6" t="e">
        <f ca="1">SQRT($B$9*AVERAGE(W1774:OFFSET(W1774,$B$7-1,0)))</f>
        <v>#DIV/0!</v>
      </c>
      <c r="AA1774" s="6" t="e">
        <f ca="1">SQRT($B$9*AVERAGE(W1774:OFFSET(W1774,$B$8-1,0)))</f>
        <v>#DIV/0!</v>
      </c>
      <c r="AC1774" s="34" t="e">
        <f t="shared" si="145"/>
        <v>#DIV/0!</v>
      </c>
      <c r="AD1774" s="34" t="e">
        <f ca="1">SQRT($B$9*SUM(AC1774:OFFSET(AC1774,$B$5-1,0))/($B$5-1))</f>
        <v>#DIV/0!</v>
      </c>
      <c r="AE1774" s="34" t="e">
        <f ca="1">SQRT($B$9*SUM(AC1774:OFFSET(AC1774,$B$6-1,0))/($B$6-1))</f>
        <v>#DIV/0!</v>
      </c>
      <c r="AF1774" s="34" t="e">
        <f ca="1">SQRT($B$9*SUM(AC1774:OFFSET(AC1774,$B$7-1,0))/($B$7-1))</f>
        <v>#DIV/0!</v>
      </c>
      <c r="AG1774" s="34" t="e">
        <f ca="1">SQRT($B$9*SUM(AC1774:OFFSET(AC1774,$B$8-1,0))/($B$8-1))</f>
        <v>#DIV/0!</v>
      </c>
      <c r="AI1774" s="1" t="e">
        <f t="shared" si="146"/>
        <v>#DIV/0!</v>
      </c>
      <c r="AJ1774" s="4" t="e">
        <f ca="1">SQRT($B$9)*_xlfn.STDEV.S(AI1774:OFFSET(AI1774,$B$5-1,0))</f>
        <v>#DIV/0!</v>
      </c>
      <c r="AK1774" s="4" t="e">
        <f ca="1">SQRT($B$9)*_xlfn.STDEV.S(AI1774:OFFSET(AI1774,$B$6-1,0))</f>
        <v>#DIV/0!</v>
      </c>
      <c r="AL1774" s="4" t="e">
        <f ca="1">SQRT($B$9)*_xlfn.STDEV.S(AI1774:OFFSET(AI1774,$B$7-1,0))</f>
        <v>#DIV/0!</v>
      </c>
      <c r="AM1774" s="4" t="e">
        <f ca="1">SQRT($B$9)*_xlfn.STDEV.S(AI1774:OFFSET(AI1774,$B$8-1,0))</f>
        <v>#DIV/0!</v>
      </c>
    </row>
    <row r="1775" spans="11:39" x14ac:dyDescent="0.2">
      <c r="K1775" s="3" t="e">
        <f t="shared" si="144"/>
        <v>#DIV/0!</v>
      </c>
      <c r="L1775" s="3" t="e">
        <f ca="1">SQRT(AVERAGE(K1775:OFFSET(K1775,$B$5-1,0))*$B$9/(4*LN(2)))</f>
        <v>#DIV/0!</v>
      </c>
      <c r="M1775" s="3" t="e">
        <f ca="1">SQRT(AVERAGE(K1775:OFFSET(K1775,$B$6-1,0))*$B$9/(4*LN(2)))</f>
        <v>#DIV/0!</v>
      </c>
      <c r="N1775" s="3" t="e">
        <f ca="1">SQRT(AVERAGE(K1775:OFFSET(K1775,$B$7-1,0))*$B$9/(4*LN(2)))</f>
        <v>#DIV/0!</v>
      </c>
      <c r="O1775" s="3" t="e">
        <f ca="1">SQRT(AVERAGE(K1775:OFFSET(K1775,$B$8-1,0))*$B$9/(4*LN(2)))</f>
        <v>#DIV/0!</v>
      </c>
      <c r="Q1775" s="5" t="e">
        <f t="shared" si="143"/>
        <v>#DIV/0!</v>
      </c>
      <c r="R1775" s="5" t="e">
        <f ca="1">SQRT($B$9*AVERAGE((Q1775:OFFSET(Q1775,$B$5-1,0))))</f>
        <v>#DIV/0!</v>
      </c>
      <c r="S1775" s="5" t="e">
        <f ca="1">SQRT($B$9*AVERAGE((Q1775:OFFSET(Q1775,$B$6-1,0))))</f>
        <v>#DIV/0!</v>
      </c>
      <c r="T1775" s="5" t="e">
        <f ca="1">SQRT($B$9*AVERAGE((Q1775:OFFSET(Q1775,$B$7-1,0))))</f>
        <v>#DIV/0!</v>
      </c>
      <c r="U1775" s="5" t="e">
        <f ca="1">SQRT($B$9*AVERAGE((Q1775:OFFSET(Q1775,$B$8-1,0))))</f>
        <v>#DIV/0!</v>
      </c>
      <c r="W1775" s="6" t="e">
        <f t="shared" si="147"/>
        <v>#DIV/0!</v>
      </c>
      <c r="X1775" s="6" t="e">
        <f ca="1">SQRT($B$9*AVERAGE(W1775:OFFSET(W1775,$B$5-1,0)))</f>
        <v>#DIV/0!</v>
      </c>
      <c r="Y1775" s="6" t="e">
        <f ca="1">SQRT($B$9*AVERAGE(W1775:OFFSET(W1775,$B$6-1,0)))</f>
        <v>#DIV/0!</v>
      </c>
      <c r="Z1775" s="6" t="e">
        <f ca="1">SQRT($B$9*AVERAGE(W1775:OFFSET(W1775,$B$7-1,0)))</f>
        <v>#DIV/0!</v>
      </c>
      <c r="AA1775" s="6" t="e">
        <f ca="1">SQRT($B$9*AVERAGE(W1775:OFFSET(W1775,$B$8-1,0)))</f>
        <v>#DIV/0!</v>
      </c>
      <c r="AC1775" s="34" t="e">
        <f t="shared" si="145"/>
        <v>#DIV/0!</v>
      </c>
      <c r="AD1775" s="34" t="e">
        <f ca="1">SQRT($B$9*SUM(AC1775:OFFSET(AC1775,$B$5-1,0))/($B$5-1))</f>
        <v>#DIV/0!</v>
      </c>
      <c r="AE1775" s="34" t="e">
        <f ca="1">SQRT($B$9*SUM(AC1775:OFFSET(AC1775,$B$6-1,0))/($B$6-1))</f>
        <v>#DIV/0!</v>
      </c>
      <c r="AF1775" s="34" t="e">
        <f ca="1">SQRT($B$9*SUM(AC1775:OFFSET(AC1775,$B$7-1,0))/($B$7-1))</f>
        <v>#DIV/0!</v>
      </c>
      <c r="AG1775" s="34" t="e">
        <f ca="1">SQRT($B$9*SUM(AC1775:OFFSET(AC1775,$B$8-1,0))/($B$8-1))</f>
        <v>#DIV/0!</v>
      </c>
      <c r="AI1775" s="1" t="e">
        <f t="shared" si="146"/>
        <v>#DIV/0!</v>
      </c>
      <c r="AJ1775" s="4" t="e">
        <f ca="1">SQRT($B$9)*_xlfn.STDEV.S(AI1775:OFFSET(AI1775,$B$5-1,0))</f>
        <v>#DIV/0!</v>
      </c>
      <c r="AK1775" s="4" t="e">
        <f ca="1">SQRT($B$9)*_xlfn.STDEV.S(AI1775:OFFSET(AI1775,$B$6-1,0))</f>
        <v>#DIV/0!</v>
      </c>
      <c r="AL1775" s="4" t="e">
        <f ca="1">SQRT($B$9)*_xlfn.STDEV.S(AI1775:OFFSET(AI1775,$B$7-1,0))</f>
        <v>#DIV/0!</v>
      </c>
      <c r="AM1775" s="4" t="e">
        <f ca="1">SQRT($B$9)*_xlfn.STDEV.S(AI1775:OFFSET(AI1775,$B$8-1,0))</f>
        <v>#DIV/0!</v>
      </c>
    </row>
    <row r="1776" spans="11:39" x14ac:dyDescent="0.2">
      <c r="K1776" s="3" t="e">
        <f t="shared" si="144"/>
        <v>#DIV/0!</v>
      </c>
      <c r="L1776" s="3" t="e">
        <f ca="1">SQRT(AVERAGE(K1776:OFFSET(K1776,$B$5-1,0))*$B$9/(4*LN(2)))</f>
        <v>#DIV/0!</v>
      </c>
      <c r="M1776" s="3" t="e">
        <f ca="1">SQRT(AVERAGE(K1776:OFFSET(K1776,$B$6-1,0))*$B$9/(4*LN(2)))</f>
        <v>#DIV/0!</v>
      </c>
      <c r="N1776" s="3" t="e">
        <f ca="1">SQRT(AVERAGE(K1776:OFFSET(K1776,$B$7-1,0))*$B$9/(4*LN(2)))</f>
        <v>#DIV/0!</v>
      </c>
      <c r="O1776" s="3" t="e">
        <f ca="1">SQRT(AVERAGE(K1776:OFFSET(K1776,$B$8-1,0))*$B$9/(4*LN(2)))</f>
        <v>#DIV/0!</v>
      </c>
      <c r="Q1776" s="5" t="e">
        <f t="shared" si="143"/>
        <v>#DIV/0!</v>
      </c>
      <c r="R1776" s="5" t="e">
        <f ca="1">SQRT($B$9*AVERAGE((Q1776:OFFSET(Q1776,$B$5-1,0))))</f>
        <v>#DIV/0!</v>
      </c>
      <c r="S1776" s="5" t="e">
        <f ca="1">SQRT($B$9*AVERAGE((Q1776:OFFSET(Q1776,$B$6-1,0))))</f>
        <v>#DIV/0!</v>
      </c>
      <c r="T1776" s="5" t="e">
        <f ca="1">SQRT($B$9*AVERAGE((Q1776:OFFSET(Q1776,$B$7-1,0))))</f>
        <v>#DIV/0!</v>
      </c>
      <c r="U1776" s="5" t="e">
        <f ca="1">SQRT($B$9*AVERAGE((Q1776:OFFSET(Q1776,$B$8-1,0))))</f>
        <v>#DIV/0!</v>
      </c>
      <c r="W1776" s="6" t="e">
        <f t="shared" si="147"/>
        <v>#DIV/0!</v>
      </c>
      <c r="X1776" s="6" t="e">
        <f ca="1">SQRT($B$9*AVERAGE(W1776:OFFSET(W1776,$B$5-1,0)))</f>
        <v>#DIV/0!</v>
      </c>
      <c r="Y1776" s="6" t="e">
        <f ca="1">SQRT($B$9*AVERAGE(W1776:OFFSET(W1776,$B$6-1,0)))</f>
        <v>#DIV/0!</v>
      </c>
      <c r="Z1776" s="6" t="e">
        <f ca="1">SQRT($B$9*AVERAGE(W1776:OFFSET(W1776,$B$7-1,0)))</f>
        <v>#DIV/0!</v>
      </c>
      <c r="AA1776" s="6" t="e">
        <f ca="1">SQRT($B$9*AVERAGE(W1776:OFFSET(W1776,$B$8-1,0)))</f>
        <v>#DIV/0!</v>
      </c>
      <c r="AC1776" s="34" t="e">
        <f t="shared" si="145"/>
        <v>#DIV/0!</v>
      </c>
      <c r="AD1776" s="34" t="e">
        <f ca="1">SQRT($B$9*SUM(AC1776:OFFSET(AC1776,$B$5-1,0))/($B$5-1))</f>
        <v>#DIV/0!</v>
      </c>
      <c r="AE1776" s="34" t="e">
        <f ca="1">SQRT($B$9*SUM(AC1776:OFFSET(AC1776,$B$6-1,0))/($B$6-1))</f>
        <v>#DIV/0!</v>
      </c>
      <c r="AF1776" s="34" t="e">
        <f ca="1">SQRT($B$9*SUM(AC1776:OFFSET(AC1776,$B$7-1,0))/($B$7-1))</f>
        <v>#DIV/0!</v>
      </c>
      <c r="AG1776" s="34" t="e">
        <f ca="1">SQRT($B$9*SUM(AC1776:OFFSET(AC1776,$B$8-1,0))/($B$8-1))</f>
        <v>#DIV/0!</v>
      </c>
      <c r="AI1776" s="1" t="e">
        <f t="shared" si="146"/>
        <v>#DIV/0!</v>
      </c>
      <c r="AJ1776" s="4" t="e">
        <f ca="1">SQRT($B$9)*_xlfn.STDEV.S(AI1776:OFFSET(AI1776,$B$5-1,0))</f>
        <v>#DIV/0!</v>
      </c>
      <c r="AK1776" s="4" t="e">
        <f ca="1">SQRT($B$9)*_xlfn.STDEV.S(AI1776:OFFSET(AI1776,$B$6-1,0))</f>
        <v>#DIV/0!</v>
      </c>
      <c r="AL1776" s="4" t="e">
        <f ca="1">SQRT($B$9)*_xlfn.STDEV.S(AI1776:OFFSET(AI1776,$B$7-1,0))</f>
        <v>#DIV/0!</v>
      </c>
      <c r="AM1776" s="4" t="e">
        <f ca="1">SQRT($B$9)*_xlfn.STDEV.S(AI1776:OFFSET(AI1776,$B$8-1,0))</f>
        <v>#DIV/0!</v>
      </c>
    </row>
    <row r="1777" spans="11:39" x14ac:dyDescent="0.2">
      <c r="K1777" s="3" t="e">
        <f t="shared" si="144"/>
        <v>#DIV/0!</v>
      </c>
      <c r="L1777" s="3" t="e">
        <f ca="1">SQRT(AVERAGE(K1777:OFFSET(K1777,$B$5-1,0))*$B$9/(4*LN(2)))</f>
        <v>#DIV/0!</v>
      </c>
      <c r="M1777" s="3" t="e">
        <f ca="1">SQRT(AVERAGE(K1777:OFFSET(K1777,$B$6-1,0))*$B$9/(4*LN(2)))</f>
        <v>#DIV/0!</v>
      </c>
      <c r="N1777" s="3" t="e">
        <f ca="1">SQRT(AVERAGE(K1777:OFFSET(K1777,$B$7-1,0))*$B$9/(4*LN(2)))</f>
        <v>#DIV/0!</v>
      </c>
      <c r="O1777" s="3" t="e">
        <f ca="1">SQRT(AVERAGE(K1777:OFFSET(K1777,$B$8-1,0))*$B$9/(4*LN(2)))</f>
        <v>#DIV/0!</v>
      </c>
      <c r="Q1777" s="5" t="e">
        <f t="shared" si="143"/>
        <v>#DIV/0!</v>
      </c>
      <c r="R1777" s="5" t="e">
        <f ca="1">SQRT($B$9*AVERAGE((Q1777:OFFSET(Q1777,$B$5-1,0))))</f>
        <v>#DIV/0!</v>
      </c>
      <c r="S1777" s="5" t="e">
        <f ca="1">SQRT($B$9*AVERAGE((Q1777:OFFSET(Q1777,$B$6-1,0))))</f>
        <v>#DIV/0!</v>
      </c>
      <c r="T1777" s="5" t="e">
        <f ca="1">SQRT($B$9*AVERAGE((Q1777:OFFSET(Q1777,$B$7-1,0))))</f>
        <v>#DIV/0!</v>
      </c>
      <c r="U1777" s="5" t="e">
        <f ca="1">SQRT($B$9*AVERAGE((Q1777:OFFSET(Q1777,$B$8-1,0))))</f>
        <v>#DIV/0!</v>
      </c>
      <c r="W1777" s="6" t="e">
        <f t="shared" si="147"/>
        <v>#DIV/0!</v>
      </c>
      <c r="X1777" s="6" t="e">
        <f ca="1">SQRT($B$9*AVERAGE(W1777:OFFSET(W1777,$B$5-1,0)))</f>
        <v>#DIV/0!</v>
      </c>
      <c r="Y1777" s="6" t="e">
        <f ca="1">SQRT($B$9*AVERAGE(W1777:OFFSET(W1777,$B$6-1,0)))</f>
        <v>#DIV/0!</v>
      </c>
      <c r="Z1777" s="6" t="e">
        <f ca="1">SQRT($B$9*AVERAGE(W1777:OFFSET(W1777,$B$7-1,0)))</f>
        <v>#DIV/0!</v>
      </c>
      <c r="AA1777" s="6" t="e">
        <f ca="1">SQRT($B$9*AVERAGE(W1777:OFFSET(W1777,$B$8-1,0)))</f>
        <v>#DIV/0!</v>
      </c>
      <c r="AC1777" s="34" t="e">
        <f t="shared" si="145"/>
        <v>#DIV/0!</v>
      </c>
      <c r="AD1777" s="34" t="e">
        <f ca="1">SQRT($B$9*SUM(AC1777:OFFSET(AC1777,$B$5-1,0))/($B$5-1))</f>
        <v>#DIV/0!</v>
      </c>
      <c r="AE1777" s="34" t="e">
        <f ca="1">SQRT($B$9*SUM(AC1777:OFFSET(AC1777,$B$6-1,0))/($B$6-1))</f>
        <v>#DIV/0!</v>
      </c>
      <c r="AF1777" s="34" t="e">
        <f ca="1">SQRT($B$9*SUM(AC1777:OFFSET(AC1777,$B$7-1,0))/($B$7-1))</f>
        <v>#DIV/0!</v>
      </c>
      <c r="AG1777" s="34" t="e">
        <f ca="1">SQRT($B$9*SUM(AC1777:OFFSET(AC1777,$B$8-1,0))/($B$8-1))</f>
        <v>#DIV/0!</v>
      </c>
      <c r="AI1777" s="1" t="e">
        <f t="shared" si="146"/>
        <v>#DIV/0!</v>
      </c>
      <c r="AJ1777" s="4" t="e">
        <f ca="1">SQRT($B$9)*_xlfn.STDEV.S(AI1777:OFFSET(AI1777,$B$5-1,0))</f>
        <v>#DIV/0!</v>
      </c>
      <c r="AK1777" s="4" t="e">
        <f ca="1">SQRT($B$9)*_xlfn.STDEV.S(AI1777:OFFSET(AI1777,$B$6-1,0))</f>
        <v>#DIV/0!</v>
      </c>
      <c r="AL1777" s="4" t="e">
        <f ca="1">SQRT($B$9)*_xlfn.STDEV.S(AI1777:OFFSET(AI1777,$B$7-1,0))</f>
        <v>#DIV/0!</v>
      </c>
      <c r="AM1777" s="4" t="e">
        <f ca="1">SQRT($B$9)*_xlfn.STDEV.S(AI1777:OFFSET(AI1777,$B$8-1,0))</f>
        <v>#DIV/0!</v>
      </c>
    </row>
    <row r="1778" spans="11:39" x14ac:dyDescent="0.2">
      <c r="K1778" s="3" t="e">
        <f t="shared" si="144"/>
        <v>#DIV/0!</v>
      </c>
      <c r="L1778" s="3" t="e">
        <f ca="1">SQRT(AVERAGE(K1778:OFFSET(K1778,$B$5-1,0))*$B$9/(4*LN(2)))</f>
        <v>#DIV/0!</v>
      </c>
      <c r="M1778" s="3" t="e">
        <f ca="1">SQRT(AVERAGE(K1778:OFFSET(K1778,$B$6-1,0))*$B$9/(4*LN(2)))</f>
        <v>#DIV/0!</v>
      </c>
      <c r="N1778" s="3" t="e">
        <f ca="1">SQRT(AVERAGE(K1778:OFFSET(K1778,$B$7-1,0))*$B$9/(4*LN(2)))</f>
        <v>#DIV/0!</v>
      </c>
      <c r="O1778" s="3" t="e">
        <f ca="1">SQRT(AVERAGE(K1778:OFFSET(K1778,$B$8-1,0))*$B$9/(4*LN(2)))</f>
        <v>#DIV/0!</v>
      </c>
      <c r="Q1778" s="5" t="e">
        <f t="shared" si="143"/>
        <v>#DIV/0!</v>
      </c>
      <c r="R1778" s="5" t="e">
        <f ca="1">SQRT($B$9*AVERAGE((Q1778:OFFSET(Q1778,$B$5-1,0))))</f>
        <v>#DIV/0!</v>
      </c>
      <c r="S1778" s="5" t="e">
        <f ca="1">SQRT($B$9*AVERAGE((Q1778:OFFSET(Q1778,$B$6-1,0))))</f>
        <v>#DIV/0!</v>
      </c>
      <c r="T1778" s="5" t="e">
        <f ca="1">SQRT($B$9*AVERAGE((Q1778:OFFSET(Q1778,$B$7-1,0))))</f>
        <v>#DIV/0!</v>
      </c>
      <c r="U1778" s="5" t="e">
        <f ca="1">SQRT($B$9*AVERAGE((Q1778:OFFSET(Q1778,$B$8-1,0))))</f>
        <v>#DIV/0!</v>
      </c>
      <c r="W1778" s="6" t="e">
        <f t="shared" si="147"/>
        <v>#DIV/0!</v>
      </c>
      <c r="X1778" s="6" t="e">
        <f ca="1">SQRT($B$9*AVERAGE(W1778:OFFSET(W1778,$B$5-1,0)))</f>
        <v>#DIV/0!</v>
      </c>
      <c r="Y1778" s="6" t="e">
        <f ca="1">SQRT($B$9*AVERAGE(W1778:OFFSET(W1778,$B$6-1,0)))</f>
        <v>#DIV/0!</v>
      </c>
      <c r="Z1778" s="6" t="e">
        <f ca="1">SQRT($B$9*AVERAGE(W1778:OFFSET(W1778,$B$7-1,0)))</f>
        <v>#DIV/0!</v>
      </c>
      <c r="AA1778" s="6" t="e">
        <f ca="1">SQRT($B$9*AVERAGE(W1778:OFFSET(W1778,$B$8-1,0)))</f>
        <v>#DIV/0!</v>
      </c>
      <c r="AC1778" s="34" t="e">
        <f t="shared" si="145"/>
        <v>#DIV/0!</v>
      </c>
      <c r="AD1778" s="34" t="e">
        <f ca="1">SQRT($B$9*SUM(AC1778:OFFSET(AC1778,$B$5-1,0))/($B$5-1))</f>
        <v>#DIV/0!</v>
      </c>
      <c r="AE1778" s="34" t="e">
        <f ca="1">SQRT($B$9*SUM(AC1778:OFFSET(AC1778,$B$6-1,0))/($B$6-1))</f>
        <v>#DIV/0!</v>
      </c>
      <c r="AF1778" s="34" t="e">
        <f ca="1">SQRT($B$9*SUM(AC1778:OFFSET(AC1778,$B$7-1,0))/($B$7-1))</f>
        <v>#DIV/0!</v>
      </c>
      <c r="AG1778" s="34" t="e">
        <f ca="1">SQRT($B$9*SUM(AC1778:OFFSET(AC1778,$B$8-1,0))/($B$8-1))</f>
        <v>#DIV/0!</v>
      </c>
      <c r="AI1778" s="1" t="e">
        <f t="shared" si="146"/>
        <v>#DIV/0!</v>
      </c>
      <c r="AJ1778" s="4" t="e">
        <f ca="1">SQRT($B$9)*_xlfn.STDEV.S(AI1778:OFFSET(AI1778,$B$5-1,0))</f>
        <v>#DIV/0!</v>
      </c>
      <c r="AK1778" s="4" t="e">
        <f ca="1">SQRT($B$9)*_xlfn.STDEV.S(AI1778:OFFSET(AI1778,$B$6-1,0))</f>
        <v>#DIV/0!</v>
      </c>
      <c r="AL1778" s="4" t="e">
        <f ca="1">SQRT($B$9)*_xlfn.STDEV.S(AI1778:OFFSET(AI1778,$B$7-1,0))</f>
        <v>#DIV/0!</v>
      </c>
      <c r="AM1778" s="4" t="e">
        <f ca="1">SQRT($B$9)*_xlfn.STDEV.S(AI1778:OFFSET(AI1778,$B$8-1,0))</f>
        <v>#DIV/0!</v>
      </c>
    </row>
    <row r="1779" spans="11:39" x14ac:dyDescent="0.2">
      <c r="K1779" s="3" t="e">
        <f t="shared" si="144"/>
        <v>#DIV/0!</v>
      </c>
      <c r="L1779" s="3" t="e">
        <f ca="1">SQRT(AVERAGE(K1779:OFFSET(K1779,$B$5-1,0))*$B$9/(4*LN(2)))</f>
        <v>#DIV/0!</v>
      </c>
      <c r="M1779" s="3" t="e">
        <f ca="1">SQRT(AVERAGE(K1779:OFFSET(K1779,$B$6-1,0))*$B$9/(4*LN(2)))</f>
        <v>#DIV/0!</v>
      </c>
      <c r="N1779" s="3" t="e">
        <f ca="1">SQRT(AVERAGE(K1779:OFFSET(K1779,$B$7-1,0))*$B$9/(4*LN(2)))</f>
        <v>#DIV/0!</v>
      </c>
      <c r="O1779" s="3" t="e">
        <f ca="1">SQRT(AVERAGE(K1779:OFFSET(K1779,$B$8-1,0))*$B$9/(4*LN(2)))</f>
        <v>#DIV/0!</v>
      </c>
      <c r="Q1779" s="5" t="e">
        <f t="shared" si="143"/>
        <v>#DIV/0!</v>
      </c>
      <c r="R1779" s="5" t="e">
        <f ca="1">SQRT($B$9*AVERAGE((Q1779:OFFSET(Q1779,$B$5-1,0))))</f>
        <v>#DIV/0!</v>
      </c>
      <c r="S1779" s="5" t="e">
        <f ca="1">SQRT($B$9*AVERAGE((Q1779:OFFSET(Q1779,$B$6-1,0))))</f>
        <v>#DIV/0!</v>
      </c>
      <c r="T1779" s="5" t="e">
        <f ca="1">SQRT($B$9*AVERAGE((Q1779:OFFSET(Q1779,$B$7-1,0))))</f>
        <v>#DIV/0!</v>
      </c>
      <c r="U1779" s="5" t="e">
        <f ca="1">SQRT($B$9*AVERAGE((Q1779:OFFSET(Q1779,$B$8-1,0))))</f>
        <v>#DIV/0!</v>
      </c>
      <c r="W1779" s="6" t="e">
        <f t="shared" si="147"/>
        <v>#DIV/0!</v>
      </c>
      <c r="X1779" s="6" t="e">
        <f ca="1">SQRT($B$9*AVERAGE(W1779:OFFSET(W1779,$B$5-1,0)))</f>
        <v>#DIV/0!</v>
      </c>
      <c r="Y1779" s="6" t="e">
        <f ca="1">SQRT($B$9*AVERAGE(W1779:OFFSET(W1779,$B$6-1,0)))</f>
        <v>#DIV/0!</v>
      </c>
      <c r="Z1779" s="6" t="e">
        <f ca="1">SQRT($B$9*AVERAGE(W1779:OFFSET(W1779,$B$7-1,0)))</f>
        <v>#DIV/0!</v>
      </c>
      <c r="AA1779" s="6" t="e">
        <f ca="1">SQRT($B$9*AVERAGE(W1779:OFFSET(W1779,$B$8-1,0)))</f>
        <v>#DIV/0!</v>
      </c>
      <c r="AC1779" s="34" t="e">
        <f t="shared" si="145"/>
        <v>#DIV/0!</v>
      </c>
      <c r="AD1779" s="34" t="e">
        <f ca="1">SQRT($B$9*SUM(AC1779:OFFSET(AC1779,$B$5-1,0))/($B$5-1))</f>
        <v>#DIV/0!</v>
      </c>
      <c r="AE1779" s="34" t="e">
        <f ca="1">SQRT($B$9*SUM(AC1779:OFFSET(AC1779,$B$6-1,0))/($B$6-1))</f>
        <v>#DIV/0!</v>
      </c>
      <c r="AF1779" s="34" t="e">
        <f ca="1">SQRT($B$9*SUM(AC1779:OFFSET(AC1779,$B$7-1,0))/($B$7-1))</f>
        <v>#DIV/0!</v>
      </c>
      <c r="AG1779" s="34" t="e">
        <f ca="1">SQRT($B$9*SUM(AC1779:OFFSET(AC1779,$B$8-1,0))/($B$8-1))</f>
        <v>#DIV/0!</v>
      </c>
      <c r="AI1779" s="1" t="e">
        <f t="shared" si="146"/>
        <v>#DIV/0!</v>
      </c>
      <c r="AJ1779" s="4" t="e">
        <f ca="1">SQRT($B$9)*_xlfn.STDEV.S(AI1779:OFFSET(AI1779,$B$5-1,0))</f>
        <v>#DIV/0!</v>
      </c>
      <c r="AK1779" s="4" t="e">
        <f ca="1">SQRT($B$9)*_xlfn.STDEV.S(AI1779:OFFSET(AI1779,$B$6-1,0))</f>
        <v>#DIV/0!</v>
      </c>
      <c r="AL1779" s="4" t="e">
        <f ca="1">SQRT($B$9)*_xlfn.STDEV.S(AI1779:OFFSET(AI1779,$B$7-1,0))</f>
        <v>#DIV/0!</v>
      </c>
      <c r="AM1779" s="4" t="e">
        <f ca="1">SQRT($B$9)*_xlfn.STDEV.S(AI1779:OFFSET(AI1779,$B$8-1,0))</f>
        <v>#DIV/0!</v>
      </c>
    </row>
    <row r="1780" spans="11:39" x14ac:dyDescent="0.2">
      <c r="K1780" s="3" t="e">
        <f t="shared" si="144"/>
        <v>#DIV/0!</v>
      </c>
      <c r="L1780" s="3" t="e">
        <f ca="1">SQRT(AVERAGE(K1780:OFFSET(K1780,$B$5-1,0))*$B$9/(4*LN(2)))</f>
        <v>#DIV/0!</v>
      </c>
      <c r="M1780" s="3" t="e">
        <f ca="1">SQRT(AVERAGE(K1780:OFFSET(K1780,$B$6-1,0))*$B$9/(4*LN(2)))</f>
        <v>#DIV/0!</v>
      </c>
      <c r="N1780" s="3" t="e">
        <f ca="1">SQRT(AVERAGE(K1780:OFFSET(K1780,$B$7-1,0))*$B$9/(4*LN(2)))</f>
        <v>#DIV/0!</v>
      </c>
      <c r="O1780" s="3" t="e">
        <f ca="1">SQRT(AVERAGE(K1780:OFFSET(K1780,$B$8-1,0))*$B$9/(4*LN(2)))</f>
        <v>#DIV/0!</v>
      </c>
      <c r="Q1780" s="5" t="e">
        <f t="shared" si="143"/>
        <v>#DIV/0!</v>
      </c>
      <c r="R1780" s="5" t="e">
        <f ca="1">SQRT($B$9*AVERAGE((Q1780:OFFSET(Q1780,$B$5-1,0))))</f>
        <v>#DIV/0!</v>
      </c>
      <c r="S1780" s="5" t="e">
        <f ca="1">SQRT($B$9*AVERAGE((Q1780:OFFSET(Q1780,$B$6-1,0))))</f>
        <v>#DIV/0!</v>
      </c>
      <c r="T1780" s="5" t="e">
        <f ca="1">SQRT($B$9*AVERAGE((Q1780:OFFSET(Q1780,$B$7-1,0))))</f>
        <v>#DIV/0!</v>
      </c>
      <c r="U1780" s="5" t="e">
        <f ca="1">SQRT($B$9*AVERAGE((Q1780:OFFSET(Q1780,$B$8-1,0))))</f>
        <v>#DIV/0!</v>
      </c>
      <c r="W1780" s="6" t="e">
        <f t="shared" si="147"/>
        <v>#DIV/0!</v>
      </c>
      <c r="X1780" s="6" t="e">
        <f ca="1">SQRT($B$9*AVERAGE(W1780:OFFSET(W1780,$B$5-1,0)))</f>
        <v>#DIV/0!</v>
      </c>
      <c r="Y1780" s="6" t="e">
        <f ca="1">SQRT($B$9*AVERAGE(W1780:OFFSET(W1780,$B$6-1,0)))</f>
        <v>#DIV/0!</v>
      </c>
      <c r="Z1780" s="6" t="e">
        <f ca="1">SQRT($B$9*AVERAGE(W1780:OFFSET(W1780,$B$7-1,0)))</f>
        <v>#DIV/0!</v>
      </c>
      <c r="AA1780" s="6" t="e">
        <f ca="1">SQRT($B$9*AVERAGE(W1780:OFFSET(W1780,$B$8-1,0)))</f>
        <v>#DIV/0!</v>
      </c>
      <c r="AC1780" s="34" t="e">
        <f t="shared" si="145"/>
        <v>#DIV/0!</v>
      </c>
      <c r="AD1780" s="34" t="e">
        <f ca="1">SQRT($B$9*SUM(AC1780:OFFSET(AC1780,$B$5-1,0))/($B$5-1))</f>
        <v>#DIV/0!</v>
      </c>
      <c r="AE1780" s="34" t="e">
        <f ca="1">SQRT($B$9*SUM(AC1780:OFFSET(AC1780,$B$6-1,0))/($B$6-1))</f>
        <v>#DIV/0!</v>
      </c>
      <c r="AF1780" s="34" t="e">
        <f ca="1">SQRT($B$9*SUM(AC1780:OFFSET(AC1780,$B$7-1,0))/($B$7-1))</f>
        <v>#DIV/0!</v>
      </c>
      <c r="AG1780" s="34" t="e">
        <f ca="1">SQRT($B$9*SUM(AC1780:OFFSET(AC1780,$B$8-1,0))/($B$8-1))</f>
        <v>#DIV/0!</v>
      </c>
      <c r="AI1780" s="1" t="e">
        <f t="shared" si="146"/>
        <v>#DIV/0!</v>
      </c>
      <c r="AJ1780" s="4" t="e">
        <f ca="1">SQRT($B$9)*_xlfn.STDEV.S(AI1780:OFFSET(AI1780,$B$5-1,0))</f>
        <v>#DIV/0!</v>
      </c>
      <c r="AK1780" s="4" t="e">
        <f ca="1">SQRT($B$9)*_xlfn.STDEV.S(AI1780:OFFSET(AI1780,$B$6-1,0))</f>
        <v>#DIV/0!</v>
      </c>
      <c r="AL1780" s="4" t="e">
        <f ca="1">SQRT($B$9)*_xlfn.STDEV.S(AI1780:OFFSET(AI1780,$B$7-1,0))</f>
        <v>#DIV/0!</v>
      </c>
      <c r="AM1780" s="4" t="e">
        <f ca="1">SQRT($B$9)*_xlfn.STDEV.S(AI1780:OFFSET(AI1780,$B$8-1,0))</f>
        <v>#DIV/0!</v>
      </c>
    </row>
    <row r="1781" spans="11:39" x14ac:dyDescent="0.2">
      <c r="K1781" s="3" t="e">
        <f t="shared" si="144"/>
        <v>#DIV/0!</v>
      </c>
      <c r="L1781" s="3" t="e">
        <f ca="1">SQRT(AVERAGE(K1781:OFFSET(K1781,$B$5-1,0))*$B$9/(4*LN(2)))</f>
        <v>#DIV/0!</v>
      </c>
      <c r="M1781" s="3" t="e">
        <f ca="1">SQRT(AVERAGE(K1781:OFFSET(K1781,$B$6-1,0))*$B$9/(4*LN(2)))</f>
        <v>#DIV/0!</v>
      </c>
      <c r="N1781" s="3" t="e">
        <f ca="1">SQRT(AVERAGE(K1781:OFFSET(K1781,$B$7-1,0))*$B$9/(4*LN(2)))</f>
        <v>#DIV/0!</v>
      </c>
      <c r="O1781" s="3" t="e">
        <f ca="1">SQRT(AVERAGE(K1781:OFFSET(K1781,$B$8-1,0))*$B$9/(4*LN(2)))</f>
        <v>#DIV/0!</v>
      </c>
      <c r="Q1781" s="5" t="e">
        <f t="shared" si="143"/>
        <v>#DIV/0!</v>
      </c>
      <c r="R1781" s="5" t="e">
        <f ca="1">SQRT($B$9*AVERAGE((Q1781:OFFSET(Q1781,$B$5-1,0))))</f>
        <v>#DIV/0!</v>
      </c>
      <c r="S1781" s="5" t="e">
        <f ca="1">SQRT($B$9*AVERAGE((Q1781:OFFSET(Q1781,$B$6-1,0))))</f>
        <v>#DIV/0!</v>
      </c>
      <c r="T1781" s="5" t="e">
        <f ca="1">SQRT($B$9*AVERAGE((Q1781:OFFSET(Q1781,$B$7-1,0))))</f>
        <v>#DIV/0!</v>
      </c>
      <c r="U1781" s="5" t="e">
        <f ca="1">SQRT($B$9*AVERAGE((Q1781:OFFSET(Q1781,$B$8-1,0))))</f>
        <v>#DIV/0!</v>
      </c>
      <c r="W1781" s="6" t="e">
        <f t="shared" si="147"/>
        <v>#DIV/0!</v>
      </c>
      <c r="X1781" s="6" t="e">
        <f ca="1">SQRT($B$9*AVERAGE(W1781:OFFSET(W1781,$B$5-1,0)))</f>
        <v>#DIV/0!</v>
      </c>
      <c r="Y1781" s="6" t="e">
        <f ca="1">SQRT($B$9*AVERAGE(W1781:OFFSET(W1781,$B$6-1,0)))</f>
        <v>#DIV/0!</v>
      </c>
      <c r="Z1781" s="6" t="e">
        <f ca="1">SQRT($B$9*AVERAGE(W1781:OFFSET(W1781,$B$7-1,0)))</f>
        <v>#DIV/0!</v>
      </c>
      <c r="AA1781" s="6" t="e">
        <f ca="1">SQRT($B$9*AVERAGE(W1781:OFFSET(W1781,$B$8-1,0)))</f>
        <v>#DIV/0!</v>
      </c>
      <c r="AC1781" s="34" t="e">
        <f t="shared" si="145"/>
        <v>#DIV/0!</v>
      </c>
      <c r="AD1781" s="34" t="e">
        <f ca="1">SQRT($B$9*SUM(AC1781:OFFSET(AC1781,$B$5-1,0))/($B$5-1))</f>
        <v>#DIV/0!</v>
      </c>
      <c r="AE1781" s="34" t="e">
        <f ca="1">SQRT($B$9*SUM(AC1781:OFFSET(AC1781,$B$6-1,0))/($B$6-1))</f>
        <v>#DIV/0!</v>
      </c>
      <c r="AF1781" s="34" t="e">
        <f ca="1">SQRT($B$9*SUM(AC1781:OFFSET(AC1781,$B$7-1,0))/($B$7-1))</f>
        <v>#DIV/0!</v>
      </c>
      <c r="AG1781" s="34" t="e">
        <f ca="1">SQRT($B$9*SUM(AC1781:OFFSET(AC1781,$B$8-1,0))/($B$8-1))</f>
        <v>#DIV/0!</v>
      </c>
      <c r="AI1781" s="1" t="e">
        <f t="shared" si="146"/>
        <v>#DIV/0!</v>
      </c>
      <c r="AJ1781" s="4" t="e">
        <f ca="1">SQRT($B$9)*_xlfn.STDEV.S(AI1781:OFFSET(AI1781,$B$5-1,0))</f>
        <v>#DIV/0!</v>
      </c>
      <c r="AK1781" s="4" t="e">
        <f ca="1">SQRT($B$9)*_xlfn.STDEV.S(AI1781:OFFSET(AI1781,$B$6-1,0))</f>
        <v>#DIV/0!</v>
      </c>
      <c r="AL1781" s="4" t="e">
        <f ca="1">SQRT($B$9)*_xlfn.STDEV.S(AI1781:OFFSET(AI1781,$B$7-1,0))</f>
        <v>#DIV/0!</v>
      </c>
      <c r="AM1781" s="4" t="e">
        <f ca="1">SQRT($B$9)*_xlfn.STDEV.S(AI1781:OFFSET(AI1781,$B$8-1,0))</f>
        <v>#DIV/0!</v>
      </c>
    </row>
    <row r="1782" spans="11:39" x14ac:dyDescent="0.2">
      <c r="K1782" s="3" t="e">
        <f t="shared" si="144"/>
        <v>#DIV/0!</v>
      </c>
      <c r="L1782" s="3" t="e">
        <f ca="1">SQRT(AVERAGE(K1782:OFFSET(K1782,$B$5-1,0))*$B$9/(4*LN(2)))</f>
        <v>#DIV/0!</v>
      </c>
      <c r="M1782" s="3" t="e">
        <f ca="1">SQRT(AVERAGE(K1782:OFFSET(K1782,$B$6-1,0))*$B$9/(4*LN(2)))</f>
        <v>#DIV/0!</v>
      </c>
      <c r="N1782" s="3" t="e">
        <f ca="1">SQRT(AVERAGE(K1782:OFFSET(K1782,$B$7-1,0))*$B$9/(4*LN(2)))</f>
        <v>#DIV/0!</v>
      </c>
      <c r="O1782" s="3" t="e">
        <f ca="1">SQRT(AVERAGE(K1782:OFFSET(K1782,$B$8-1,0))*$B$9/(4*LN(2)))</f>
        <v>#DIV/0!</v>
      </c>
      <c r="Q1782" s="5" t="e">
        <f t="shared" si="143"/>
        <v>#DIV/0!</v>
      </c>
      <c r="R1782" s="5" t="e">
        <f ca="1">SQRT($B$9*AVERAGE((Q1782:OFFSET(Q1782,$B$5-1,0))))</f>
        <v>#DIV/0!</v>
      </c>
      <c r="S1782" s="5" t="e">
        <f ca="1">SQRT($B$9*AVERAGE((Q1782:OFFSET(Q1782,$B$6-1,0))))</f>
        <v>#DIV/0!</v>
      </c>
      <c r="T1782" s="5" t="e">
        <f ca="1">SQRT($B$9*AVERAGE((Q1782:OFFSET(Q1782,$B$7-1,0))))</f>
        <v>#DIV/0!</v>
      </c>
      <c r="U1782" s="5" t="e">
        <f ca="1">SQRT($B$9*AVERAGE((Q1782:OFFSET(Q1782,$B$8-1,0))))</f>
        <v>#DIV/0!</v>
      </c>
      <c r="W1782" s="6" t="e">
        <f t="shared" si="147"/>
        <v>#DIV/0!</v>
      </c>
      <c r="X1782" s="6" t="e">
        <f ca="1">SQRT($B$9*AVERAGE(W1782:OFFSET(W1782,$B$5-1,0)))</f>
        <v>#DIV/0!</v>
      </c>
      <c r="Y1782" s="6" t="e">
        <f ca="1">SQRT($B$9*AVERAGE(W1782:OFFSET(W1782,$B$6-1,0)))</f>
        <v>#DIV/0!</v>
      </c>
      <c r="Z1782" s="6" t="e">
        <f ca="1">SQRT($B$9*AVERAGE(W1782:OFFSET(W1782,$B$7-1,0)))</f>
        <v>#DIV/0!</v>
      </c>
      <c r="AA1782" s="6" t="e">
        <f ca="1">SQRT($B$9*AVERAGE(W1782:OFFSET(W1782,$B$8-1,0)))</f>
        <v>#DIV/0!</v>
      </c>
      <c r="AC1782" s="34" t="e">
        <f t="shared" si="145"/>
        <v>#DIV/0!</v>
      </c>
      <c r="AD1782" s="34" t="e">
        <f ca="1">SQRT($B$9*SUM(AC1782:OFFSET(AC1782,$B$5-1,0))/($B$5-1))</f>
        <v>#DIV/0!</v>
      </c>
      <c r="AE1782" s="34" t="e">
        <f ca="1">SQRT($B$9*SUM(AC1782:OFFSET(AC1782,$B$6-1,0))/($B$6-1))</f>
        <v>#DIV/0!</v>
      </c>
      <c r="AF1782" s="34" t="e">
        <f ca="1">SQRT($B$9*SUM(AC1782:OFFSET(AC1782,$B$7-1,0))/($B$7-1))</f>
        <v>#DIV/0!</v>
      </c>
      <c r="AG1782" s="34" t="e">
        <f ca="1">SQRT($B$9*SUM(AC1782:OFFSET(AC1782,$B$8-1,0))/($B$8-1))</f>
        <v>#DIV/0!</v>
      </c>
      <c r="AI1782" s="1" t="e">
        <f t="shared" si="146"/>
        <v>#DIV/0!</v>
      </c>
      <c r="AJ1782" s="4" t="e">
        <f ca="1">SQRT($B$9)*_xlfn.STDEV.S(AI1782:OFFSET(AI1782,$B$5-1,0))</f>
        <v>#DIV/0!</v>
      </c>
      <c r="AK1782" s="4" t="e">
        <f ca="1">SQRT($B$9)*_xlfn.STDEV.S(AI1782:OFFSET(AI1782,$B$6-1,0))</f>
        <v>#DIV/0!</v>
      </c>
      <c r="AL1782" s="4" t="e">
        <f ca="1">SQRT($B$9)*_xlfn.STDEV.S(AI1782:OFFSET(AI1782,$B$7-1,0))</f>
        <v>#DIV/0!</v>
      </c>
      <c r="AM1782" s="4" t="e">
        <f ca="1">SQRT($B$9)*_xlfn.STDEV.S(AI1782:OFFSET(AI1782,$B$8-1,0))</f>
        <v>#DIV/0!</v>
      </c>
    </row>
    <row r="1783" spans="11:39" x14ac:dyDescent="0.2">
      <c r="K1783" s="3" t="e">
        <f t="shared" si="144"/>
        <v>#DIV/0!</v>
      </c>
      <c r="L1783" s="3" t="e">
        <f ca="1">SQRT(AVERAGE(K1783:OFFSET(K1783,$B$5-1,0))*$B$9/(4*LN(2)))</f>
        <v>#DIV/0!</v>
      </c>
      <c r="M1783" s="3" t="e">
        <f ca="1">SQRT(AVERAGE(K1783:OFFSET(K1783,$B$6-1,0))*$B$9/(4*LN(2)))</f>
        <v>#DIV/0!</v>
      </c>
      <c r="N1783" s="3" t="e">
        <f ca="1">SQRT(AVERAGE(K1783:OFFSET(K1783,$B$7-1,0))*$B$9/(4*LN(2)))</f>
        <v>#DIV/0!</v>
      </c>
      <c r="O1783" s="3" t="e">
        <f ca="1">SQRT(AVERAGE(K1783:OFFSET(K1783,$B$8-1,0))*$B$9/(4*LN(2)))</f>
        <v>#DIV/0!</v>
      </c>
      <c r="Q1783" s="5" t="e">
        <f t="shared" si="143"/>
        <v>#DIV/0!</v>
      </c>
      <c r="R1783" s="5" t="e">
        <f ca="1">SQRT($B$9*AVERAGE((Q1783:OFFSET(Q1783,$B$5-1,0))))</f>
        <v>#DIV/0!</v>
      </c>
      <c r="S1783" s="5" t="e">
        <f ca="1">SQRT($B$9*AVERAGE((Q1783:OFFSET(Q1783,$B$6-1,0))))</f>
        <v>#DIV/0!</v>
      </c>
      <c r="T1783" s="5" t="e">
        <f ca="1">SQRT($B$9*AVERAGE((Q1783:OFFSET(Q1783,$B$7-1,0))))</f>
        <v>#DIV/0!</v>
      </c>
      <c r="U1783" s="5" t="e">
        <f ca="1">SQRT($B$9*AVERAGE((Q1783:OFFSET(Q1783,$B$8-1,0))))</f>
        <v>#DIV/0!</v>
      </c>
      <c r="W1783" s="6" t="e">
        <f t="shared" si="147"/>
        <v>#DIV/0!</v>
      </c>
      <c r="X1783" s="6" t="e">
        <f ca="1">SQRT($B$9*AVERAGE(W1783:OFFSET(W1783,$B$5-1,0)))</f>
        <v>#DIV/0!</v>
      </c>
      <c r="Y1783" s="6" t="e">
        <f ca="1">SQRT($B$9*AVERAGE(W1783:OFFSET(W1783,$B$6-1,0)))</f>
        <v>#DIV/0!</v>
      </c>
      <c r="Z1783" s="6" t="e">
        <f ca="1">SQRT($B$9*AVERAGE(W1783:OFFSET(W1783,$B$7-1,0)))</f>
        <v>#DIV/0!</v>
      </c>
      <c r="AA1783" s="6" t="e">
        <f ca="1">SQRT($B$9*AVERAGE(W1783:OFFSET(W1783,$B$8-1,0)))</f>
        <v>#DIV/0!</v>
      </c>
      <c r="AC1783" s="34" t="e">
        <f t="shared" si="145"/>
        <v>#DIV/0!</v>
      </c>
      <c r="AD1783" s="34" t="e">
        <f ca="1">SQRT($B$9*SUM(AC1783:OFFSET(AC1783,$B$5-1,0))/($B$5-1))</f>
        <v>#DIV/0!</v>
      </c>
      <c r="AE1783" s="34" t="e">
        <f ca="1">SQRT($B$9*SUM(AC1783:OFFSET(AC1783,$B$6-1,0))/($B$6-1))</f>
        <v>#DIV/0!</v>
      </c>
      <c r="AF1783" s="34" t="e">
        <f ca="1">SQRT($B$9*SUM(AC1783:OFFSET(AC1783,$B$7-1,0))/($B$7-1))</f>
        <v>#DIV/0!</v>
      </c>
      <c r="AG1783" s="34" t="e">
        <f ca="1">SQRT($B$9*SUM(AC1783:OFFSET(AC1783,$B$8-1,0))/($B$8-1))</f>
        <v>#DIV/0!</v>
      </c>
      <c r="AI1783" s="1" t="e">
        <f t="shared" si="146"/>
        <v>#DIV/0!</v>
      </c>
      <c r="AJ1783" s="4" t="e">
        <f ca="1">SQRT($B$9)*_xlfn.STDEV.S(AI1783:OFFSET(AI1783,$B$5-1,0))</f>
        <v>#DIV/0!</v>
      </c>
      <c r="AK1783" s="4" t="e">
        <f ca="1">SQRT($B$9)*_xlfn.STDEV.S(AI1783:OFFSET(AI1783,$B$6-1,0))</f>
        <v>#DIV/0!</v>
      </c>
      <c r="AL1783" s="4" t="e">
        <f ca="1">SQRT($B$9)*_xlfn.STDEV.S(AI1783:OFFSET(AI1783,$B$7-1,0))</f>
        <v>#DIV/0!</v>
      </c>
      <c r="AM1783" s="4" t="e">
        <f ca="1">SQRT($B$9)*_xlfn.STDEV.S(AI1783:OFFSET(AI1783,$B$8-1,0))</f>
        <v>#DIV/0!</v>
      </c>
    </row>
    <row r="1784" spans="11:39" x14ac:dyDescent="0.2">
      <c r="K1784" s="3" t="e">
        <f t="shared" si="144"/>
        <v>#DIV/0!</v>
      </c>
      <c r="L1784" s="3" t="e">
        <f ca="1">SQRT(AVERAGE(K1784:OFFSET(K1784,$B$5-1,0))*$B$9/(4*LN(2)))</f>
        <v>#DIV/0!</v>
      </c>
      <c r="M1784" s="3" t="e">
        <f ca="1">SQRT(AVERAGE(K1784:OFFSET(K1784,$B$6-1,0))*$B$9/(4*LN(2)))</f>
        <v>#DIV/0!</v>
      </c>
      <c r="N1784" s="3" t="e">
        <f ca="1">SQRT(AVERAGE(K1784:OFFSET(K1784,$B$7-1,0))*$B$9/(4*LN(2)))</f>
        <v>#DIV/0!</v>
      </c>
      <c r="O1784" s="3" t="e">
        <f ca="1">SQRT(AVERAGE(K1784:OFFSET(K1784,$B$8-1,0))*$B$9/(4*LN(2)))</f>
        <v>#DIV/0!</v>
      </c>
      <c r="Q1784" s="5" t="e">
        <f t="shared" si="143"/>
        <v>#DIV/0!</v>
      </c>
      <c r="R1784" s="5" t="e">
        <f ca="1">SQRT($B$9*AVERAGE((Q1784:OFFSET(Q1784,$B$5-1,0))))</f>
        <v>#DIV/0!</v>
      </c>
      <c r="S1784" s="5" t="e">
        <f ca="1">SQRT($B$9*AVERAGE((Q1784:OFFSET(Q1784,$B$6-1,0))))</f>
        <v>#DIV/0!</v>
      </c>
      <c r="T1784" s="5" t="e">
        <f ca="1">SQRT($B$9*AVERAGE((Q1784:OFFSET(Q1784,$B$7-1,0))))</f>
        <v>#DIV/0!</v>
      </c>
      <c r="U1784" s="5" t="e">
        <f ca="1">SQRT($B$9*AVERAGE((Q1784:OFFSET(Q1784,$B$8-1,0))))</f>
        <v>#DIV/0!</v>
      </c>
      <c r="W1784" s="6" t="e">
        <f t="shared" si="147"/>
        <v>#DIV/0!</v>
      </c>
      <c r="X1784" s="6" t="e">
        <f ca="1">SQRT($B$9*AVERAGE(W1784:OFFSET(W1784,$B$5-1,0)))</f>
        <v>#DIV/0!</v>
      </c>
      <c r="Y1784" s="6" t="e">
        <f ca="1">SQRT($B$9*AVERAGE(W1784:OFFSET(W1784,$B$6-1,0)))</f>
        <v>#DIV/0!</v>
      </c>
      <c r="Z1784" s="6" t="e">
        <f ca="1">SQRT($B$9*AVERAGE(W1784:OFFSET(W1784,$B$7-1,0)))</f>
        <v>#DIV/0!</v>
      </c>
      <c r="AA1784" s="6" t="e">
        <f ca="1">SQRT($B$9*AVERAGE(W1784:OFFSET(W1784,$B$8-1,0)))</f>
        <v>#DIV/0!</v>
      </c>
      <c r="AC1784" s="34" t="e">
        <f t="shared" si="145"/>
        <v>#DIV/0!</v>
      </c>
      <c r="AD1784" s="34" t="e">
        <f ca="1">SQRT($B$9*SUM(AC1784:OFFSET(AC1784,$B$5-1,0))/($B$5-1))</f>
        <v>#DIV/0!</v>
      </c>
      <c r="AE1784" s="34" t="e">
        <f ca="1">SQRT($B$9*SUM(AC1784:OFFSET(AC1784,$B$6-1,0))/($B$6-1))</f>
        <v>#DIV/0!</v>
      </c>
      <c r="AF1784" s="34" t="e">
        <f ca="1">SQRT($B$9*SUM(AC1784:OFFSET(AC1784,$B$7-1,0))/($B$7-1))</f>
        <v>#DIV/0!</v>
      </c>
      <c r="AG1784" s="34" t="e">
        <f ca="1">SQRT($B$9*SUM(AC1784:OFFSET(AC1784,$B$8-1,0))/($B$8-1))</f>
        <v>#DIV/0!</v>
      </c>
      <c r="AI1784" s="1" t="e">
        <f t="shared" si="146"/>
        <v>#DIV/0!</v>
      </c>
      <c r="AJ1784" s="4" t="e">
        <f ca="1">SQRT($B$9)*_xlfn.STDEV.S(AI1784:OFFSET(AI1784,$B$5-1,0))</f>
        <v>#DIV/0!</v>
      </c>
      <c r="AK1784" s="4" t="e">
        <f ca="1">SQRT($B$9)*_xlfn.STDEV.S(AI1784:OFFSET(AI1784,$B$6-1,0))</f>
        <v>#DIV/0!</v>
      </c>
      <c r="AL1784" s="4" t="e">
        <f ca="1">SQRT($B$9)*_xlfn.STDEV.S(AI1784:OFFSET(AI1784,$B$7-1,0))</f>
        <v>#DIV/0!</v>
      </c>
      <c r="AM1784" s="4" t="e">
        <f ca="1">SQRT($B$9)*_xlfn.STDEV.S(AI1784:OFFSET(AI1784,$B$8-1,0))</f>
        <v>#DIV/0!</v>
      </c>
    </row>
    <row r="1785" spans="11:39" x14ac:dyDescent="0.2">
      <c r="K1785" s="3" t="e">
        <f t="shared" si="144"/>
        <v>#DIV/0!</v>
      </c>
      <c r="L1785" s="3" t="e">
        <f ca="1">SQRT(AVERAGE(K1785:OFFSET(K1785,$B$5-1,0))*$B$9/(4*LN(2)))</f>
        <v>#DIV/0!</v>
      </c>
      <c r="M1785" s="3" t="e">
        <f ca="1">SQRT(AVERAGE(K1785:OFFSET(K1785,$B$6-1,0))*$B$9/(4*LN(2)))</f>
        <v>#DIV/0!</v>
      </c>
      <c r="N1785" s="3" t="e">
        <f ca="1">SQRT(AVERAGE(K1785:OFFSET(K1785,$B$7-1,0))*$B$9/(4*LN(2)))</f>
        <v>#DIV/0!</v>
      </c>
      <c r="O1785" s="3" t="e">
        <f ca="1">SQRT(AVERAGE(K1785:OFFSET(K1785,$B$8-1,0))*$B$9/(4*LN(2)))</f>
        <v>#DIV/0!</v>
      </c>
      <c r="Q1785" s="5" t="e">
        <f t="shared" si="143"/>
        <v>#DIV/0!</v>
      </c>
      <c r="R1785" s="5" t="e">
        <f ca="1">SQRT($B$9*AVERAGE((Q1785:OFFSET(Q1785,$B$5-1,0))))</f>
        <v>#DIV/0!</v>
      </c>
      <c r="S1785" s="5" t="e">
        <f ca="1">SQRT($B$9*AVERAGE((Q1785:OFFSET(Q1785,$B$6-1,0))))</f>
        <v>#DIV/0!</v>
      </c>
      <c r="T1785" s="5" t="e">
        <f ca="1">SQRT($B$9*AVERAGE((Q1785:OFFSET(Q1785,$B$7-1,0))))</f>
        <v>#DIV/0!</v>
      </c>
      <c r="U1785" s="5" t="e">
        <f ca="1">SQRT($B$9*AVERAGE((Q1785:OFFSET(Q1785,$B$8-1,0))))</f>
        <v>#DIV/0!</v>
      </c>
      <c r="W1785" s="6" t="e">
        <f t="shared" si="147"/>
        <v>#DIV/0!</v>
      </c>
      <c r="X1785" s="6" t="e">
        <f ca="1">SQRT($B$9*AVERAGE(W1785:OFFSET(W1785,$B$5-1,0)))</f>
        <v>#DIV/0!</v>
      </c>
      <c r="Y1785" s="6" t="e">
        <f ca="1">SQRT($B$9*AVERAGE(W1785:OFFSET(W1785,$B$6-1,0)))</f>
        <v>#DIV/0!</v>
      </c>
      <c r="Z1785" s="6" t="e">
        <f ca="1">SQRT($B$9*AVERAGE(W1785:OFFSET(W1785,$B$7-1,0)))</f>
        <v>#DIV/0!</v>
      </c>
      <c r="AA1785" s="6" t="e">
        <f ca="1">SQRT($B$9*AVERAGE(W1785:OFFSET(W1785,$B$8-1,0)))</f>
        <v>#DIV/0!</v>
      </c>
      <c r="AC1785" s="34" t="e">
        <f t="shared" si="145"/>
        <v>#DIV/0!</v>
      </c>
      <c r="AD1785" s="34" t="e">
        <f ca="1">SQRT($B$9*SUM(AC1785:OFFSET(AC1785,$B$5-1,0))/($B$5-1))</f>
        <v>#DIV/0!</v>
      </c>
      <c r="AE1785" s="34" t="e">
        <f ca="1">SQRT($B$9*SUM(AC1785:OFFSET(AC1785,$B$6-1,0))/($B$6-1))</f>
        <v>#DIV/0!</v>
      </c>
      <c r="AF1785" s="34" t="e">
        <f ca="1">SQRT($B$9*SUM(AC1785:OFFSET(AC1785,$B$7-1,0))/($B$7-1))</f>
        <v>#DIV/0!</v>
      </c>
      <c r="AG1785" s="34" t="e">
        <f ca="1">SQRT($B$9*SUM(AC1785:OFFSET(AC1785,$B$8-1,0))/($B$8-1))</f>
        <v>#DIV/0!</v>
      </c>
      <c r="AI1785" s="1" t="e">
        <f t="shared" si="146"/>
        <v>#DIV/0!</v>
      </c>
      <c r="AJ1785" s="4" t="e">
        <f ca="1">SQRT($B$9)*_xlfn.STDEV.S(AI1785:OFFSET(AI1785,$B$5-1,0))</f>
        <v>#DIV/0!</v>
      </c>
      <c r="AK1785" s="4" t="e">
        <f ca="1">SQRT($B$9)*_xlfn.STDEV.S(AI1785:OFFSET(AI1785,$B$6-1,0))</f>
        <v>#DIV/0!</v>
      </c>
      <c r="AL1785" s="4" t="e">
        <f ca="1">SQRT($B$9)*_xlfn.STDEV.S(AI1785:OFFSET(AI1785,$B$7-1,0))</f>
        <v>#DIV/0!</v>
      </c>
      <c r="AM1785" s="4" t="e">
        <f ca="1">SQRT($B$9)*_xlfn.STDEV.S(AI1785:OFFSET(AI1785,$B$8-1,0))</f>
        <v>#DIV/0!</v>
      </c>
    </row>
    <row r="1786" spans="11:39" x14ac:dyDescent="0.2">
      <c r="K1786" s="3" t="e">
        <f t="shared" si="144"/>
        <v>#DIV/0!</v>
      </c>
      <c r="L1786" s="3" t="e">
        <f ca="1">SQRT(AVERAGE(K1786:OFFSET(K1786,$B$5-1,0))*$B$9/(4*LN(2)))</f>
        <v>#DIV/0!</v>
      </c>
      <c r="M1786" s="3" t="e">
        <f ca="1">SQRT(AVERAGE(K1786:OFFSET(K1786,$B$6-1,0))*$B$9/(4*LN(2)))</f>
        <v>#DIV/0!</v>
      </c>
      <c r="N1786" s="3" t="e">
        <f ca="1">SQRT(AVERAGE(K1786:OFFSET(K1786,$B$7-1,0))*$B$9/(4*LN(2)))</f>
        <v>#DIV/0!</v>
      </c>
      <c r="O1786" s="3" t="e">
        <f ca="1">SQRT(AVERAGE(K1786:OFFSET(K1786,$B$8-1,0))*$B$9/(4*LN(2)))</f>
        <v>#DIV/0!</v>
      </c>
      <c r="Q1786" s="5" t="e">
        <f t="shared" si="143"/>
        <v>#DIV/0!</v>
      </c>
      <c r="R1786" s="5" t="e">
        <f ca="1">SQRT($B$9*AVERAGE((Q1786:OFFSET(Q1786,$B$5-1,0))))</f>
        <v>#DIV/0!</v>
      </c>
      <c r="S1786" s="5" t="e">
        <f ca="1">SQRT($B$9*AVERAGE((Q1786:OFFSET(Q1786,$B$6-1,0))))</f>
        <v>#DIV/0!</v>
      </c>
      <c r="T1786" s="5" t="e">
        <f ca="1">SQRT($B$9*AVERAGE((Q1786:OFFSET(Q1786,$B$7-1,0))))</f>
        <v>#DIV/0!</v>
      </c>
      <c r="U1786" s="5" t="e">
        <f ca="1">SQRT($B$9*AVERAGE((Q1786:OFFSET(Q1786,$B$8-1,0))))</f>
        <v>#DIV/0!</v>
      </c>
      <c r="W1786" s="6" t="e">
        <f t="shared" si="147"/>
        <v>#DIV/0!</v>
      </c>
      <c r="X1786" s="6" t="e">
        <f ca="1">SQRT($B$9*AVERAGE(W1786:OFFSET(W1786,$B$5-1,0)))</f>
        <v>#DIV/0!</v>
      </c>
      <c r="Y1786" s="6" t="e">
        <f ca="1">SQRT($B$9*AVERAGE(W1786:OFFSET(W1786,$B$6-1,0)))</f>
        <v>#DIV/0!</v>
      </c>
      <c r="Z1786" s="6" t="e">
        <f ca="1">SQRT($B$9*AVERAGE(W1786:OFFSET(W1786,$B$7-1,0)))</f>
        <v>#DIV/0!</v>
      </c>
      <c r="AA1786" s="6" t="e">
        <f ca="1">SQRT($B$9*AVERAGE(W1786:OFFSET(W1786,$B$8-1,0)))</f>
        <v>#DIV/0!</v>
      </c>
      <c r="AC1786" s="34" t="e">
        <f t="shared" si="145"/>
        <v>#DIV/0!</v>
      </c>
      <c r="AD1786" s="34" t="e">
        <f ca="1">SQRT($B$9*SUM(AC1786:OFFSET(AC1786,$B$5-1,0))/($B$5-1))</f>
        <v>#DIV/0!</v>
      </c>
      <c r="AE1786" s="34" t="e">
        <f ca="1">SQRT($B$9*SUM(AC1786:OFFSET(AC1786,$B$6-1,0))/($B$6-1))</f>
        <v>#DIV/0!</v>
      </c>
      <c r="AF1786" s="34" t="e">
        <f ca="1">SQRT($B$9*SUM(AC1786:OFFSET(AC1786,$B$7-1,0))/($B$7-1))</f>
        <v>#DIV/0!</v>
      </c>
      <c r="AG1786" s="34" t="e">
        <f ca="1">SQRT($B$9*SUM(AC1786:OFFSET(AC1786,$B$8-1,0))/($B$8-1))</f>
        <v>#DIV/0!</v>
      </c>
      <c r="AI1786" s="1" t="e">
        <f t="shared" si="146"/>
        <v>#DIV/0!</v>
      </c>
      <c r="AJ1786" s="4" t="e">
        <f ca="1">SQRT($B$9)*_xlfn.STDEV.S(AI1786:OFFSET(AI1786,$B$5-1,0))</f>
        <v>#DIV/0!</v>
      </c>
      <c r="AK1786" s="4" t="e">
        <f ca="1">SQRT($B$9)*_xlfn.STDEV.S(AI1786:OFFSET(AI1786,$B$6-1,0))</f>
        <v>#DIV/0!</v>
      </c>
      <c r="AL1786" s="4" t="e">
        <f ca="1">SQRT($B$9)*_xlfn.STDEV.S(AI1786:OFFSET(AI1786,$B$7-1,0))</f>
        <v>#DIV/0!</v>
      </c>
      <c r="AM1786" s="4" t="e">
        <f ca="1">SQRT($B$9)*_xlfn.STDEV.S(AI1786:OFFSET(AI1786,$B$8-1,0))</f>
        <v>#DIV/0!</v>
      </c>
    </row>
    <row r="1787" spans="11:39" x14ac:dyDescent="0.2">
      <c r="K1787" s="3" t="e">
        <f t="shared" si="144"/>
        <v>#DIV/0!</v>
      </c>
      <c r="L1787" s="3" t="e">
        <f ca="1">SQRT(AVERAGE(K1787:OFFSET(K1787,$B$5-1,0))*$B$9/(4*LN(2)))</f>
        <v>#DIV/0!</v>
      </c>
      <c r="M1787" s="3" t="e">
        <f ca="1">SQRT(AVERAGE(K1787:OFFSET(K1787,$B$6-1,0))*$B$9/(4*LN(2)))</f>
        <v>#DIV/0!</v>
      </c>
      <c r="N1787" s="3" t="e">
        <f ca="1">SQRT(AVERAGE(K1787:OFFSET(K1787,$B$7-1,0))*$B$9/(4*LN(2)))</f>
        <v>#DIV/0!</v>
      </c>
      <c r="O1787" s="3" t="e">
        <f ca="1">SQRT(AVERAGE(K1787:OFFSET(K1787,$B$8-1,0))*$B$9/(4*LN(2)))</f>
        <v>#DIV/0!</v>
      </c>
      <c r="Q1787" s="5" t="e">
        <f t="shared" si="143"/>
        <v>#DIV/0!</v>
      </c>
      <c r="R1787" s="5" t="e">
        <f ca="1">SQRT($B$9*AVERAGE((Q1787:OFFSET(Q1787,$B$5-1,0))))</f>
        <v>#DIV/0!</v>
      </c>
      <c r="S1787" s="5" t="e">
        <f ca="1">SQRT($B$9*AVERAGE((Q1787:OFFSET(Q1787,$B$6-1,0))))</f>
        <v>#DIV/0!</v>
      </c>
      <c r="T1787" s="5" t="e">
        <f ca="1">SQRT($B$9*AVERAGE((Q1787:OFFSET(Q1787,$B$7-1,0))))</f>
        <v>#DIV/0!</v>
      </c>
      <c r="U1787" s="5" t="e">
        <f ca="1">SQRT($B$9*AVERAGE((Q1787:OFFSET(Q1787,$B$8-1,0))))</f>
        <v>#DIV/0!</v>
      </c>
      <c r="W1787" s="6" t="e">
        <f t="shared" si="147"/>
        <v>#DIV/0!</v>
      </c>
      <c r="X1787" s="6" t="e">
        <f ca="1">SQRT($B$9*AVERAGE(W1787:OFFSET(W1787,$B$5-1,0)))</f>
        <v>#DIV/0!</v>
      </c>
      <c r="Y1787" s="6" t="e">
        <f ca="1">SQRT($B$9*AVERAGE(W1787:OFFSET(W1787,$B$6-1,0)))</f>
        <v>#DIV/0!</v>
      </c>
      <c r="Z1787" s="6" t="e">
        <f ca="1">SQRT($B$9*AVERAGE(W1787:OFFSET(W1787,$B$7-1,0)))</f>
        <v>#DIV/0!</v>
      </c>
      <c r="AA1787" s="6" t="e">
        <f ca="1">SQRT($B$9*AVERAGE(W1787:OFFSET(W1787,$B$8-1,0)))</f>
        <v>#DIV/0!</v>
      </c>
      <c r="AC1787" s="34" t="e">
        <f t="shared" si="145"/>
        <v>#DIV/0!</v>
      </c>
      <c r="AD1787" s="34" t="e">
        <f ca="1">SQRT($B$9*SUM(AC1787:OFFSET(AC1787,$B$5-1,0))/($B$5-1))</f>
        <v>#DIV/0!</v>
      </c>
      <c r="AE1787" s="34" t="e">
        <f ca="1">SQRT($B$9*SUM(AC1787:OFFSET(AC1787,$B$6-1,0))/($B$6-1))</f>
        <v>#DIV/0!</v>
      </c>
      <c r="AF1787" s="34" t="e">
        <f ca="1">SQRT($B$9*SUM(AC1787:OFFSET(AC1787,$B$7-1,0))/($B$7-1))</f>
        <v>#DIV/0!</v>
      </c>
      <c r="AG1787" s="34" t="e">
        <f ca="1">SQRT($B$9*SUM(AC1787:OFFSET(AC1787,$B$8-1,0))/($B$8-1))</f>
        <v>#DIV/0!</v>
      </c>
      <c r="AI1787" s="1" t="e">
        <f t="shared" si="146"/>
        <v>#DIV/0!</v>
      </c>
      <c r="AJ1787" s="4" t="e">
        <f ca="1">SQRT($B$9)*_xlfn.STDEV.S(AI1787:OFFSET(AI1787,$B$5-1,0))</f>
        <v>#DIV/0!</v>
      </c>
      <c r="AK1787" s="4" t="e">
        <f ca="1">SQRT($B$9)*_xlfn.STDEV.S(AI1787:OFFSET(AI1787,$B$6-1,0))</f>
        <v>#DIV/0!</v>
      </c>
      <c r="AL1787" s="4" t="e">
        <f ca="1">SQRT($B$9)*_xlfn.STDEV.S(AI1787:OFFSET(AI1787,$B$7-1,0))</f>
        <v>#DIV/0!</v>
      </c>
      <c r="AM1787" s="4" t="e">
        <f ca="1">SQRT($B$9)*_xlfn.STDEV.S(AI1787:OFFSET(AI1787,$B$8-1,0))</f>
        <v>#DIV/0!</v>
      </c>
    </row>
    <row r="1788" spans="11:39" x14ac:dyDescent="0.2">
      <c r="K1788" s="3" t="e">
        <f t="shared" si="144"/>
        <v>#DIV/0!</v>
      </c>
      <c r="L1788" s="3" t="e">
        <f ca="1">SQRT(AVERAGE(K1788:OFFSET(K1788,$B$5-1,0))*$B$9/(4*LN(2)))</f>
        <v>#DIV/0!</v>
      </c>
      <c r="M1788" s="3" t="e">
        <f ca="1">SQRT(AVERAGE(K1788:OFFSET(K1788,$B$6-1,0))*$B$9/(4*LN(2)))</f>
        <v>#DIV/0!</v>
      </c>
      <c r="N1788" s="3" t="e">
        <f ca="1">SQRT(AVERAGE(K1788:OFFSET(K1788,$B$7-1,0))*$B$9/(4*LN(2)))</f>
        <v>#DIV/0!</v>
      </c>
      <c r="O1788" s="3" t="e">
        <f ca="1">SQRT(AVERAGE(K1788:OFFSET(K1788,$B$8-1,0))*$B$9/(4*LN(2)))</f>
        <v>#DIV/0!</v>
      </c>
      <c r="Q1788" s="5" t="e">
        <f t="shared" si="143"/>
        <v>#DIV/0!</v>
      </c>
      <c r="R1788" s="5" t="e">
        <f ca="1">SQRT($B$9*AVERAGE((Q1788:OFFSET(Q1788,$B$5-1,0))))</f>
        <v>#DIV/0!</v>
      </c>
      <c r="S1788" s="5" t="e">
        <f ca="1">SQRT($B$9*AVERAGE((Q1788:OFFSET(Q1788,$B$6-1,0))))</f>
        <v>#DIV/0!</v>
      </c>
      <c r="T1788" s="5" t="e">
        <f ca="1">SQRT($B$9*AVERAGE((Q1788:OFFSET(Q1788,$B$7-1,0))))</f>
        <v>#DIV/0!</v>
      </c>
      <c r="U1788" s="5" t="e">
        <f ca="1">SQRT($B$9*AVERAGE((Q1788:OFFSET(Q1788,$B$8-1,0))))</f>
        <v>#DIV/0!</v>
      </c>
      <c r="W1788" s="6" t="e">
        <f t="shared" si="147"/>
        <v>#DIV/0!</v>
      </c>
      <c r="X1788" s="6" t="e">
        <f ca="1">SQRT($B$9*AVERAGE(W1788:OFFSET(W1788,$B$5-1,0)))</f>
        <v>#DIV/0!</v>
      </c>
      <c r="Y1788" s="6" t="e">
        <f ca="1">SQRT($B$9*AVERAGE(W1788:OFFSET(W1788,$B$6-1,0)))</f>
        <v>#DIV/0!</v>
      </c>
      <c r="Z1788" s="6" t="e">
        <f ca="1">SQRT($B$9*AVERAGE(W1788:OFFSET(W1788,$B$7-1,0)))</f>
        <v>#DIV/0!</v>
      </c>
      <c r="AA1788" s="6" t="e">
        <f ca="1">SQRT($B$9*AVERAGE(W1788:OFFSET(W1788,$B$8-1,0)))</f>
        <v>#DIV/0!</v>
      </c>
      <c r="AC1788" s="34" t="e">
        <f t="shared" si="145"/>
        <v>#DIV/0!</v>
      </c>
      <c r="AD1788" s="34" t="e">
        <f ca="1">SQRT($B$9*SUM(AC1788:OFFSET(AC1788,$B$5-1,0))/($B$5-1))</f>
        <v>#DIV/0!</v>
      </c>
      <c r="AE1788" s="34" t="e">
        <f ca="1">SQRT($B$9*SUM(AC1788:OFFSET(AC1788,$B$6-1,0))/($B$6-1))</f>
        <v>#DIV/0!</v>
      </c>
      <c r="AF1788" s="34" t="e">
        <f ca="1">SQRT($B$9*SUM(AC1788:OFFSET(AC1788,$B$7-1,0))/($B$7-1))</f>
        <v>#DIV/0!</v>
      </c>
      <c r="AG1788" s="34" t="e">
        <f ca="1">SQRT($B$9*SUM(AC1788:OFFSET(AC1788,$B$8-1,0))/($B$8-1))</f>
        <v>#DIV/0!</v>
      </c>
      <c r="AI1788" s="1" t="e">
        <f t="shared" si="146"/>
        <v>#DIV/0!</v>
      </c>
      <c r="AJ1788" s="4" t="e">
        <f ca="1">SQRT($B$9)*_xlfn.STDEV.S(AI1788:OFFSET(AI1788,$B$5-1,0))</f>
        <v>#DIV/0!</v>
      </c>
      <c r="AK1788" s="4" t="e">
        <f ca="1">SQRT($B$9)*_xlfn.STDEV.S(AI1788:OFFSET(AI1788,$B$6-1,0))</f>
        <v>#DIV/0!</v>
      </c>
      <c r="AL1788" s="4" t="e">
        <f ca="1">SQRT($B$9)*_xlfn.STDEV.S(AI1788:OFFSET(AI1788,$B$7-1,0))</f>
        <v>#DIV/0!</v>
      </c>
      <c r="AM1788" s="4" t="e">
        <f ca="1">SQRT($B$9)*_xlfn.STDEV.S(AI1788:OFFSET(AI1788,$B$8-1,0))</f>
        <v>#DIV/0!</v>
      </c>
    </row>
    <row r="1789" spans="11:39" x14ac:dyDescent="0.2">
      <c r="K1789" s="3" t="e">
        <f t="shared" si="144"/>
        <v>#DIV/0!</v>
      </c>
      <c r="L1789" s="3" t="e">
        <f ca="1">SQRT(AVERAGE(K1789:OFFSET(K1789,$B$5-1,0))*$B$9/(4*LN(2)))</f>
        <v>#DIV/0!</v>
      </c>
      <c r="M1789" s="3" t="e">
        <f ca="1">SQRT(AVERAGE(K1789:OFFSET(K1789,$B$6-1,0))*$B$9/(4*LN(2)))</f>
        <v>#DIV/0!</v>
      </c>
      <c r="N1789" s="3" t="e">
        <f ca="1">SQRT(AVERAGE(K1789:OFFSET(K1789,$B$7-1,0))*$B$9/(4*LN(2)))</f>
        <v>#DIV/0!</v>
      </c>
      <c r="O1789" s="3" t="e">
        <f ca="1">SQRT(AVERAGE(K1789:OFFSET(K1789,$B$8-1,0))*$B$9/(4*LN(2)))</f>
        <v>#DIV/0!</v>
      </c>
      <c r="Q1789" s="5" t="e">
        <f t="shared" si="143"/>
        <v>#DIV/0!</v>
      </c>
      <c r="R1789" s="5" t="e">
        <f ca="1">SQRT($B$9*AVERAGE((Q1789:OFFSET(Q1789,$B$5-1,0))))</f>
        <v>#DIV/0!</v>
      </c>
      <c r="S1789" s="5" t="e">
        <f ca="1">SQRT($B$9*AVERAGE((Q1789:OFFSET(Q1789,$B$6-1,0))))</f>
        <v>#DIV/0!</v>
      </c>
      <c r="T1789" s="5" t="e">
        <f ca="1">SQRT($B$9*AVERAGE((Q1789:OFFSET(Q1789,$B$7-1,0))))</f>
        <v>#DIV/0!</v>
      </c>
      <c r="U1789" s="5" t="e">
        <f ca="1">SQRT($B$9*AVERAGE((Q1789:OFFSET(Q1789,$B$8-1,0))))</f>
        <v>#DIV/0!</v>
      </c>
      <c r="W1789" s="6" t="e">
        <f t="shared" si="147"/>
        <v>#DIV/0!</v>
      </c>
      <c r="X1789" s="6" t="e">
        <f ca="1">SQRT($B$9*AVERAGE(W1789:OFFSET(W1789,$B$5-1,0)))</f>
        <v>#DIV/0!</v>
      </c>
      <c r="Y1789" s="6" t="e">
        <f ca="1">SQRT($B$9*AVERAGE(W1789:OFFSET(W1789,$B$6-1,0)))</f>
        <v>#DIV/0!</v>
      </c>
      <c r="Z1789" s="6" t="e">
        <f ca="1">SQRT($B$9*AVERAGE(W1789:OFFSET(W1789,$B$7-1,0)))</f>
        <v>#DIV/0!</v>
      </c>
      <c r="AA1789" s="6" t="e">
        <f ca="1">SQRT($B$9*AVERAGE(W1789:OFFSET(W1789,$B$8-1,0)))</f>
        <v>#DIV/0!</v>
      </c>
      <c r="AC1789" s="34" t="e">
        <f t="shared" si="145"/>
        <v>#DIV/0!</v>
      </c>
      <c r="AD1789" s="34" t="e">
        <f ca="1">SQRT($B$9*SUM(AC1789:OFFSET(AC1789,$B$5-1,0))/($B$5-1))</f>
        <v>#DIV/0!</v>
      </c>
      <c r="AE1789" s="34" t="e">
        <f ca="1">SQRT($B$9*SUM(AC1789:OFFSET(AC1789,$B$6-1,0))/($B$6-1))</f>
        <v>#DIV/0!</v>
      </c>
      <c r="AF1789" s="34" t="e">
        <f ca="1">SQRT($B$9*SUM(AC1789:OFFSET(AC1789,$B$7-1,0))/($B$7-1))</f>
        <v>#DIV/0!</v>
      </c>
      <c r="AG1789" s="34" t="e">
        <f ca="1">SQRT($B$9*SUM(AC1789:OFFSET(AC1789,$B$8-1,0))/($B$8-1))</f>
        <v>#DIV/0!</v>
      </c>
      <c r="AI1789" s="1" t="e">
        <f t="shared" si="146"/>
        <v>#DIV/0!</v>
      </c>
      <c r="AJ1789" s="4" t="e">
        <f ca="1">SQRT($B$9)*_xlfn.STDEV.S(AI1789:OFFSET(AI1789,$B$5-1,0))</f>
        <v>#DIV/0!</v>
      </c>
      <c r="AK1789" s="4" t="e">
        <f ca="1">SQRT($B$9)*_xlfn.STDEV.S(AI1789:OFFSET(AI1789,$B$6-1,0))</f>
        <v>#DIV/0!</v>
      </c>
      <c r="AL1789" s="4" t="e">
        <f ca="1">SQRT($B$9)*_xlfn.STDEV.S(AI1789:OFFSET(AI1789,$B$7-1,0))</f>
        <v>#DIV/0!</v>
      </c>
      <c r="AM1789" s="4" t="e">
        <f ca="1">SQRT($B$9)*_xlfn.STDEV.S(AI1789:OFFSET(AI1789,$B$8-1,0))</f>
        <v>#DIV/0!</v>
      </c>
    </row>
    <row r="1790" spans="11:39" x14ac:dyDescent="0.2">
      <c r="K1790" s="3" t="e">
        <f t="shared" si="144"/>
        <v>#DIV/0!</v>
      </c>
      <c r="L1790" s="3" t="e">
        <f ca="1">SQRT(AVERAGE(K1790:OFFSET(K1790,$B$5-1,0))*$B$9/(4*LN(2)))</f>
        <v>#DIV/0!</v>
      </c>
      <c r="M1790" s="3" t="e">
        <f ca="1">SQRT(AVERAGE(K1790:OFFSET(K1790,$B$6-1,0))*$B$9/(4*LN(2)))</f>
        <v>#DIV/0!</v>
      </c>
      <c r="N1790" s="3" t="e">
        <f ca="1">SQRT(AVERAGE(K1790:OFFSET(K1790,$B$7-1,0))*$B$9/(4*LN(2)))</f>
        <v>#DIV/0!</v>
      </c>
      <c r="O1790" s="3" t="e">
        <f ca="1">SQRT(AVERAGE(K1790:OFFSET(K1790,$B$8-1,0))*$B$9/(4*LN(2)))</f>
        <v>#DIV/0!</v>
      </c>
      <c r="Q1790" s="5" t="e">
        <f t="shared" si="143"/>
        <v>#DIV/0!</v>
      </c>
      <c r="R1790" s="5" t="e">
        <f ca="1">SQRT($B$9*AVERAGE((Q1790:OFFSET(Q1790,$B$5-1,0))))</f>
        <v>#DIV/0!</v>
      </c>
      <c r="S1790" s="5" t="e">
        <f ca="1">SQRT($B$9*AVERAGE((Q1790:OFFSET(Q1790,$B$6-1,0))))</f>
        <v>#DIV/0!</v>
      </c>
      <c r="T1790" s="5" t="e">
        <f ca="1">SQRT($B$9*AVERAGE((Q1790:OFFSET(Q1790,$B$7-1,0))))</f>
        <v>#DIV/0!</v>
      </c>
      <c r="U1790" s="5" t="e">
        <f ca="1">SQRT($B$9*AVERAGE((Q1790:OFFSET(Q1790,$B$8-1,0))))</f>
        <v>#DIV/0!</v>
      </c>
      <c r="W1790" s="6" t="e">
        <f t="shared" si="147"/>
        <v>#DIV/0!</v>
      </c>
      <c r="X1790" s="6" t="e">
        <f ca="1">SQRT($B$9*AVERAGE(W1790:OFFSET(W1790,$B$5-1,0)))</f>
        <v>#DIV/0!</v>
      </c>
      <c r="Y1790" s="6" t="e">
        <f ca="1">SQRT($B$9*AVERAGE(W1790:OFFSET(W1790,$B$6-1,0)))</f>
        <v>#DIV/0!</v>
      </c>
      <c r="Z1790" s="6" t="e">
        <f ca="1">SQRT($B$9*AVERAGE(W1790:OFFSET(W1790,$B$7-1,0)))</f>
        <v>#DIV/0!</v>
      </c>
      <c r="AA1790" s="6" t="e">
        <f ca="1">SQRT($B$9*AVERAGE(W1790:OFFSET(W1790,$B$8-1,0)))</f>
        <v>#DIV/0!</v>
      </c>
      <c r="AC1790" s="34" t="e">
        <f t="shared" si="145"/>
        <v>#DIV/0!</v>
      </c>
      <c r="AD1790" s="34" t="e">
        <f ca="1">SQRT($B$9*SUM(AC1790:OFFSET(AC1790,$B$5-1,0))/($B$5-1))</f>
        <v>#DIV/0!</v>
      </c>
      <c r="AE1790" s="34" t="e">
        <f ca="1">SQRT($B$9*SUM(AC1790:OFFSET(AC1790,$B$6-1,0))/($B$6-1))</f>
        <v>#DIV/0!</v>
      </c>
      <c r="AF1790" s="34" t="e">
        <f ca="1">SQRT($B$9*SUM(AC1790:OFFSET(AC1790,$B$7-1,0))/($B$7-1))</f>
        <v>#DIV/0!</v>
      </c>
      <c r="AG1790" s="34" t="e">
        <f ca="1">SQRT($B$9*SUM(AC1790:OFFSET(AC1790,$B$8-1,0))/($B$8-1))</f>
        <v>#DIV/0!</v>
      </c>
      <c r="AI1790" s="1" t="e">
        <f t="shared" si="146"/>
        <v>#DIV/0!</v>
      </c>
      <c r="AJ1790" s="4" t="e">
        <f ca="1">SQRT($B$9)*_xlfn.STDEV.S(AI1790:OFFSET(AI1790,$B$5-1,0))</f>
        <v>#DIV/0!</v>
      </c>
      <c r="AK1790" s="4" t="e">
        <f ca="1">SQRT($B$9)*_xlfn.STDEV.S(AI1790:OFFSET(AI1790,$B$6-1,0))</f>
        <v>#DIV/0!</v>
      </c>
      <c r="AL1790" s="4" t="e">
        <f ca="1">SQRT($B$9)*_xlfn.STDEV.S(AI1790:OFFSET(AI1790,$B$7-1,0))</f>
        <v>#DIV/0!</v>
      </c>
      <c r="AM1790" s="4" t="e">
        <f ca="1">SQRT($B$9)*_xlfn.STDEV.S(AI1790:OFFSET(AI1790,$B$8-1,0))</f>
        <v>#DIV/0!</v>
      </c>
    </row>
    <row r="1791" spans="11:39" x14ac:dyDescent="0.2">
      <c r="K1791" s="3" t="e">
        <f t="shared" si="144"/>
        <v>#DIV/0!</v>
      </c>
      <c r="L1791" s="3" t="e">
        <f ca="1">SQRT(AVERAGE(K1791:OFFSET(K1791,$B$5-1,0))*$B$9/(4*LN(2)))</f>
        <v>#DIV/0!</v>
      </c>
      <c r="M1791" s="3" t="e">
        <f ca="1">SQRT(AVERAGE(K1791:OFFSET(K1791,$B$6-1,0))*$B$9/(4*LN(2)))</f>
        <v>#DIV/0!</v>
      </c>
      <c r="N1791" s="3" t="e">
        <f ca="1">SQRT(AVERAGE(K1791:OFFSET(K1791,$B$7-1,0))*$B$9/(4*LN(2)))</f>
        <v>#DIV/0!</v>
      </c>
      <c r="O1791" s="3" t="e">
        <f ca="1">SQRT(AVERAGE(K1791:OFFSET(K1791,$B$8-1,0))*$B$9/(4*LN(2)))</f>
        <v>#DIV/0!</v>
      </c>
      <c r="Q1791" s="5" t="e">
        <f t="shared" si="143"/>
        <v>#DIV/0!</v>
      </c>
      <c r="R1791" s="5" t="e">
        <f ca="1">SQRT($B$9*AVERAGE((Q1791:OFFSET(Q1791,$B$5-1,0))))</f>
        <v>#DIV/0!</v>
      </c>
      <c r="S1791" s="5" t="e">
        <f ca="1">SQRT($B$9*AVERAGE((Q1791:OFFSET(Q1791,$B$6-1,0))))</f>
        <v>#DIV/0!</v>
      </c>
      <c r="T1791" s="5" t="e">
        <f ca="1">SQRT($B$9*AVERAGE((Q1791:OFFSET(Q1791,$B$7-1,0))))</f>
        <v>#DIV/0!</v>
      </c>
      <c r="U1791" s="5" t="e">
        <f ca="1">SQRT($B$9*AVERAGE((Q1791:OFFSET(Q1791,$B$8-1,0))))</f>
        <v>#DIV/0!</v>
      </c>
      <c r="W1791" s="6" t="e">
        <f t="shared" si="147"/>
        <v>#DIV/0!</v>
      </c>
      <c r="X1791" s="6" t="e">
        <f ca="1">SQRT($B$9*AVERAGE(W1791:OFFSET(W1791,$B$5-1,0)))</f>
        <v>#DIV/0!</v>
      </c>
      <c r="Y1791" s="6" t="e">
        <f ca="1">SQRT($B$9*AVERAGE(W1791:OFFSET(W1791,$B$6-1,0)))</f>
        <v>#DIV/0!</v>
      </c>
      <c r="Z1791" s="6" t="e">
        <f ca="1">SQRT($B$9*AVERAGE(W1791:OFFSET(W1791,$B$7-1,0)))</f>
        <v>#DIV/0!</v>
      </c>
      <c r="AA1791" s="6" t="e">
        <f ca="1">SQRT($B$9*AVERAGE(W1791:OFFSET(W1791,$B$8-1,0)))</f>
        <v>#DIV/0!</v>
      </c>
      <c r="AC1791" s="34" t="e">
        <f t="shared" si="145"/>
        <v>#DIV/0!</v>
      </c>
      <c r="AD1791" s="34" t="e">
        <f ca="1">SQRT($B$9*SUM(AC1791:OFFSET(AC1791,$B$5-1,0))/($B$5-1))</f>
        <v>#DIV/0!</v>
      </c>
      <c r="AE1791" s="34" t="e">
        <f ca="1">SQRT($B$9*SUM(AC1791:OFFSET(AC1791,$B$6-1,0))/($B$6-1))</f>
        <v>#DIV/0!</v>
      </c>
      <c r="AF1791" s="34" t="e">
        <f ca="1">SQRT($B$9*SUM(AC1791:OFFSET(AC1791,$B$7-1,0))/($B$7-1))</f>
        <v>#DIV/0!</v>
      </c>
      <c r="AG1791" s="34" t="e">
        <f ca="1">SQRT($B$9*SUM(AC1791:OFFSET(AC1791,$B$8-1,0))/($B$8-1))</f>
        <v>#DIV/0!</v>
      </c>
      <c r="AI1791" s="1" t="e">
        <f t="shared" si="146"/>
        <v>#DIV/0!</v>
      </c>
      <c r="AJ1791" s="4" t="e">
        <f ca="1">SQRT($B$9)*_xlfn.STDEV.S(AI1791:OFFSET(AI1791,$B$5-1,0))</f>
        <v>#DIV/0!</v>
      </c>
      <c r="AK1791" s="4" t="e">
        <f ca="1">SQRT($B$9)*_xlfn.STDEV.S(AI1791:OFFSET(AI1791,$B$6-1,0))</f>
        <v>#DIV/0!</v>
      </c>
      <c r="AL1791" s="4" t="e">
        <f ca="1">SQRT($B$9)*_xlfn.STDEV.S(AI1791:OFFSET(AI1791,$B$7-1,0))</f>
        <v>#DIV/0!</v>
      </c>
      <c r="AM1791" s="4" t="e">
        <f ca="1">SQRT($B$9)*_xlfn.STDEV.S(AI1791:OFFSET(AI1791,$B$8-1,0))</f>
        <v>#DIV/0!</v>
      </c>
    </row>
    <row r="1792" spans="11:39" x14ac:dyDescent="0.2">
      <c r="K1792" s="3" t="e">
        <f t="shared" si="144"/>
        <v>#DIV/0!</v>
      </c>
      <c r="L1792" s="3" t="e">
        <f ca="1">SQRT(AVERAGE(K1792:OFFSET(K1792,$B$5-1,0))*$B$9/(4*LN(2)))</f>
        <v>#DIV/0!</v>
      </c>
      <c r="M1792" s="3" t="e">
        <f ca="1">SQRT(AVERAGE(K1792:OFFSET(K1792,$B$6-1,0))*$B$9/(4*LN(2)))</f>
        <v>#DIV/0!</v>
      </c>
      <c r="N1792" s="3" t="e">
        <f ca="1">SQRT(AVERAGE(K1792:OFFSET(K1792,$B$7-1,0))*$B$9/(4*LN(2)))</f>
        <v>#DIV/0!</v>
      </c>
      <c r="O1792" s="3" t="e">
        <f ca="1">SQRT(AVERAGE(K1792:OFFSET(K1792,$B$8-1,0))*$B$9/(4*LN(2)))</f>
        <v>#DIV/0!</v>
      </c>
      <c r="Q1792" s="5" t="e">
        <f t="shared" si="143"/>
        <v>#DIV/0!</v>
      </c>
      <c r="R1792" s="5" t="e">
        <f ca="1">SQRT($B$9*AVERAGE((Q1792:OFFSET(Q1792,$B$5-1,0))))</f>
        <v>#DIV/0!</v>
      </c>
      <c r="S1792" s="5" t="e">
        <f ca="1">SQRT($B$9*AVERAGE((Q1792:OFFSET(Q1792,$B$6-1,0))))</f>
        <v>#DIV/0!</v>
      </c>
      <c r="T1792" s="5" t="e">
        <f ca="1">SQRT($B$9*AVERAGE((Q1792:OFFSET(Q1792,$B$7-1,0))))</f>
        <v>#DIV/0!</v>
      </c>
      <c r="U1792" s="5" t="e">
        <f ca="1">SQRT($B$9*AVERAGE((Q1792:OFFSET(Q1792,$B$8-1,0))))</f>
        <v>#DIV/0!</v>
      </c>
      <c r="W1792" s="6" t="e">
        <f t="shared" si="147"/>
        <v>#DIV/0!</v>
      </c>
      <c r="X1792" s="6" t="e">
        <f ca="1">SQRT($B$9*AVERAGE(W1792:OFFSET(W1792,$B$5-1,0)))</f>
        <v>#DIV/0!</v>
      </c>
      <c r="Y1792" s="6" t="e">
        <f ca="1">SQRT($B$9*AVERAGE(W1792:OFFSET(W1792,$B$6-1,0)))</f>
        <v>#DIV/0!</v>
      </c>
      <c r="Z1792" s="6" t="e">
        <f ca="1">SQRT($B$9*AVERAGE(W1792:OFFSET(W1792,$B$7-1,0)))</f>
        <v>#DIV/0!</v>
      </c>
      <c r="AA1792" s="6" t="e">
        <f ca="1">SQRT($B$9*AVERAGE(W1792:OFFSET(W1792,$B$8-1,0)))</f>
        <v>#DIV/0!</v>
      </c>
      <c r="AC1792" s="34" t="e">
        <f t="shared" si="145"/>
        <v>#DIV/0!</v>
      </c>
      <c r="AD1792" s="34" t="e">
        <f ca="1">SQRT($B$9*SUM(AC1792:OFFSET(AC1792,$B$5-1,0))/($B$5-1))</f>
        <v>#DIV/0!</v>
      </c>
      <c r="AE1792" s="34" t="e">
        <f ca="1">SQRT($B$9*SUM(AC1792:OFFSET(AC1792,$B$6-1,0))/($B$6-1))</f>
        <v>#DIV/0!</v>
      </c>
      <c r="AF1792" s="34" t="e">
        <f ca="1">SQRT($B$9*SUM(AC1792:OFFSET(AC1792,$B$7-1,0))/($B$7-1))</f>
        <v>#DIV/0!</v>
      </c>
      <c r="AG1792" s="34" t="e">
        <f ca="1">SQRT($B$9*SUM(AC1792:OFFSET(AC1792,$B$8-1,0))/($B$8-1))</f>
        <v>#DIV/0!</v>
      </c>
      <c r="AI1792" s="1" t="e">
        <f t="shared" si="146"/>
        <v>#DIV/0!</v>
      </c>
      <c r="AJ1792" s="4" t="e">
        <f ca="1">SQRT($B$9)*_xlfn.STDEV.S(AI1792:OFFSET(AI1792,$B$5-1,0))</f>
        <v>#DIV/0!</v>
      </c>
      <c r="AK1792" s="4" t="e">
        <f ca="1">SQRT($B$9)*_xlfn.STDEV.S(AI1792:OFFSET(AI1792,$B$6-1,0))</f>
        <v>#DIV/0!</v>
      </c>
      <c r="AL1792" s="4" t="e">
        <f ca="1">SQRT($B$9)*_xlfn.STDEV.S(AI1792:OFFSET(AI1792,$B$7-1,0))</f>
        <v>#DIV/0!</v>
      </c>
      <c r="AM1792" s="4" t="e">
        <f ca="1">SQRT($B$9)*_xlfn.STDEV.S(AI1792:OFFSET(AI1792,$B$8-1,0))</f>
        <v>#DIV/0!</v>
      </c>
    </row>
    <row r="1793" spans="11:39" x14ac:dyDescent="0.2">
      <c r="K1793" s="3" t="e">
        <f t="shared" si="144"/>
        <v>#DIV/0!</v>
      </c>
      <c r="L1793" s="3" t="e">
        <f ca="1">SQRT(AVERAGE(K1793:OFFSET(K1793,$B$5-1,0))*$B$9/(4*LN(2)))</f>
        <v>#DIV/0!</v>
      </c>
      <c r="M1793" s="3" t="e">
        <f ca="1">SQRT(AVERAGE(K1793:OFFSET(K1793,$B$6-1,0))*$B$9/(4*LN(2)))</f>
        <v>#DIV/0!</v>
      </c>
      <c r="N1793" s="3" t="e">
        <f ca="1">SQRT(AVERAGE(K1793:OFFSET(K1793,$B$7-1,0))*$B$9/(4*LN(2)))</f>
        <v>#DIV/0!</v>
      </c>
      <c r="O1793" s="3" t="e">
        <f ca="1">SQRT(AVERAGE(K1793:OFFSET(K1793,$B$8-1,0))*$B$9/(4*LN(2)))</f>
        <v>#DIV/0!</v>
      </c>
      <c r="Q1793" s="5" t="e">
        <f t="shared" si="143"/>
        <v>#DIV/0!</v>
      </c>
      <c r="R1793" s="5" t="e">
        <f ca="1">SQRT($B$9*AVERAGE((Q1793:OFFSET(Q1793,$B$5-1,0))))</f>
        <v>#DIV/0!</v>
      </c>
      <c r="S1793" s="5" t="e">
        <f ca="1">SQRT($B$9*AVERAGE((Q1793:OFFSET(Q1793,$B$6-1,0))))</f>
        <v>#DIV/0!</v>
      </c>
      <c r="T1793" s="5" t="e">
        <f ca="1">SQRT($B$9*AVERAGE((Q1793:OFFSET(Q1793,$B$7-1,0))))</f>
        <v>#DIV/0!</v>
      </c>
      <c r="U1793" s="5" t="e">
        <f ca="1">SQRT($B$9*AVERAGE((Q1793:OFFSET(Q1793,$B$8-1,0))))</f>
        <v>#DIV/0!</v>
      </c>
      <c r="W1793" s="6" t="e">
        <f t="shared" si="147"/>
        <v>#DIV/0!</v>
      </c>
      <c r="X1793" s="6" t="e">
        <f ca="1">SQRT($B$9*AVERAGE(W1793:OFFSET(W1793,$B$5-1,0)))</f>
        <v>#DIV/0!</v>
      </c>
      <c r="Y1793" s="6" t="e">
        <f ca="1">SQRT($B$9*AVERAGE(W1793:OFFSET(W1793,$B$6-1,0)))</f>
        <v>#DIV/0!</v>
      </c>
      <c r="Z1793" s="6" t="e">
        <f ca="1">SQRT($B$9*AVERAGE(W1793:OFFSET(W1793,$B$7-1,0)))</f>
        <v>#DIV/0!</v>
      </c>
      <c r="AA1793" s="6" t="e">
        <f ca="1">SQRT($B$9*AVERAGE(W1793:OFFSET(W1793,$B$8-1,0)))</f>
        <v>#DIV/0!</v>
      </c>
      <c r="AC1793" s="34" t="e">
        <f t="shared" si="145"/>
        <v>#DIV/0!</v>
      </c>
      <c r="AD1793" s="34" t="e">
        <f ca="1">SQRT($B$9*SUM(AC1793:OFFSET(AC1793,$B$5-1,0))/($B$5-1))</f>
        <v>#DIV/0!</v>
      </c>
      <c r="AE1793" s="34" t="e">
        <f ca="1">SQRT($B$9*SUM(AC1793:OFFSET(AC1793,$B$6-1,0))/($B$6-1))</f>
        <v>#DIV/0!</v>
      </c>
      <c r="AF1793" s="34" t="e">
        <f ca="1">SQRT($B$9*SUM(AC1793:OFFSET(AC1793,$B$7-1,0))/($B$7-1))</f>
        <v>#DIV/0!</v>
      </c>
      <c r="AG1793" s="34" t="e">
        <f ca="1">SQRT($B$9*SUM(AC1793:OFFSET(AC1793,$B$8-1,0))/($B$8-1))</f>
        <v>#DIV/0!</v>
      </c>
      <c r="AI1793" s="1" t="e">
        <f t="shared" si="146"/>
        <v>#DIV/0!</v>
      </c>
      <c r="AJ1793" s="4" t="e">
        <f ca="1">SQRT($B$9)*_xlfn.STDEV.S(AI1793:OFFSET(AI1793,$B$5-1,0))</f>
        <v>#DIV/0!</v>
      </c>
      <c r="AK1793" s="4" t="e">
        <f ca="1">SQRT($B$9)*_xlfn.STDEV.S(AI1793:OFFSET(AI1793,$B$6-1,0))</f>
        <v>#DIV/0!</v>
      </c>
      <c r="AL1793" s="4" t="e">
        <f ca="1">SQRT($B$9)*_xlfn.STDEV.S(AI1793:OFFSET(AI1793,$B$7-1,0))</f>
        <v>#DIV/0!</v>
      </c>
      <c r="AM1793" s="4" t="e">
        <f ca="1">SQRT($B$9)*_xlfn.STDEV.S(AI1793:OFFSET(AI1793,$B$8-1,0))</f>
        <v>#DIV/0!</v>
      </c>
    </row>
    <row r="1794" spans="11:39" x14ac:dyDescent="0.2">
      <c r="K1794" s="3" t="e">
        <f t="shared" si="144"/>
        <v>#DIV/0!</v>
      </c>
      <c r="L1794" s="3" t="e">
        <f ca="1">SQRT(AVERAGE(K1794:OFFSET(K1794,$B$5-1,0))*$B$9/(4*LN(2)))</f>
        <v>#DIV/0!</v>
      </c>
      <c r="M1794" s="3" t="e">
        <f ca="1">SQRT(AVERAGE(K1794:OFFSET(K1794,$B$6-1,0))*$B$9/(4*LN(2)))</f>
        <v>#DIV/0!</v>
      </c>
      <c r="N1794" s="3" t="e">
        <f ca="1">SQRT(AVERAGE(K1794:OFFSET(K1794,$B$7-1,0))*$B$9/(4*LN(2)))</f>
        <v>#DIV/0!</v>
      </c>
      <c r="O1794" s="3" t="e">
        <f ca="1">SQRT(AVERAGE(K1794:OFFSET(K1794,$B$8-1,0))*$B$9/(4*LN(2)))</f>
        <v>#DIV/0!</v>
      </c>
      <c r="Q1794" s="5" t="e">
        <f t="shared" si="143"/>
        <v>#DIV/0!</v>
      </c>
      <c r="R1794" s="5" t="e">
        <f ca="1">SQRT($B$9*AVERAGE((Q1794:OFFSET(Q1794,$B$5-1,0))))</f>
        <v>#DIV/0!</v>
      </c>
      <c r="S1794" s="5" t="e">
        <f ca="1">SQRT($B$9*AVERAGE((Q1794:OFFSET(Q1794,$B$6-1,0))))</f>
        <v>#DIV/0!</v>
      </c>
      <c r="T1794" s="5" t="e">
        <f ca="1">SQRT($B$9*AVERAGE((Q1794:OFFSET(Q1794,$B$7-1,0))))</f>
        <v>#DIV/0!</v>
      </c>
      <c r="U1794" s="5" t="e">
        <f ca="1">SQRT($B$9*AVERAGE((Q1794:OFFSET(Q1794,$B$8-1,0))))</f>
        <v>#DIV/0!</v>
      </c>
      <c r="W1794" s="6" t="e">
        <f t="shared" si="147"/>
        <v>#DIV/0!</v>
      </c>
      <c r="X1794" s="6" t="e">
        <f ca="1">SQRT($B$9*AVERAGE(W1794:OFFSET(W1794,$B$5-1,0)))</f>
        <v>#DIV/0!</v>
      </c>
      <c r="Y1794" s="6" t="e">
        <f ca="1">SQRT($B$9*AVERAGE(W1794:OFFSET(W1794,$B$6-1,0)))</f>
        <v>#DIV/0!</v>
      </c>
      <c r="Z1794" s="6" t="e">
        <f ca="1">SQRT($B$9*AVERAGE(W1794:OFFSET(W1794,$B$7-1,0)))</f>
        <v>#DIV/0!</v>
      </c>
      <c r="AA1794" s="6" t="e">
        <f ca="1">SQRT($B$9*AVERAGE(W1794:OFFSET(W1794,$B$8-1,0)))</f>
        <v>#DIV/0!</v>
      </c>
      <c r="AC1794" s="34" t="e">
        <f t="shared" si="145"/>
        <v>#DIV/0!</v>
      </c>
      <c r="AD1794" s="34" t="e">
        <f ca="1">SQRT($B$9*SUM(AC1794:OFFSET(AC1794,$B$5-1,0))/($B$5-1))</f>
        <v>#DIV/0!</v>
      </c>
      <c r="AE1794" s="34" t="e">
        <f ca="1">SQRT($B$9*SUM(AC1794:OFFSET(AC1794,$B$6-1,0))/($B$6-1))</f>
        <v>#DIV/0!</v>
      </c>
      <c r="AF1794" s="34" t="e">
        <f ca="1">SQRT($B$9*SUM(AC1794:OFFSET(AC1794,$B$7-1,0))/($B$7-1))</f>
        <v>#DIV/0!</v>
      </c>
      <c r="AG1794" s="34" t="e">
        <f ca="1">SQRT($B$9*SUM(AC1794:OFFSET(AC1794,$B$8-1,0))/($B$8-1))</f>
        <v>#DIV/0!</v>
      </c>
      <c r="AI1794" s="1" t="e">
        <f t="shared" si="146"/>
        <v>#DIV/0!</v>
      </c>
      <c r="AJ1794" s="4" t="e">
        <f ca="1">SQRT($B$9)*_xlfn.STDEV.S(AI1794:OFFSET(AI1794,$B$5-1,0))</f>
        <v>#DIV/0!</v>
      </c>
      <c r="AK1794" s="4" t="e">
        <f ca="1">SQRT($B$9)*_xlfn.STDEV.S(AI1794:OFFSET(AI1794,$B$6-1,0))</f>
        <v>#DIV/0!</v>
      </c>
      <c r="AL1794" s="4" t="e">
        <f ca="1">SQRT($B$9)*_xlfn.STDEV.S(AI1794:OFFSET(AI1794,$B$7-1,0))</f>
        <v>#DIV/0!</v>
      </c>
      <c r="AM1794" s="4" t="e">
        <f ca="1">SQRT($B$9)*_xlfn.STDEV.S(AI1794:OFFSET(AI1794,$B$8-1,0))</f>
        <v>#DIV/0!</v>
      </c>
    </row>
    <row r="1795" spans="11:39" x14ac:dyDescent="0.2">
      <c r="K1795" s="3" t="e">
        <f t="shared" si="144"/>
        <v>#DIV/0!</v>
      </c>
      <c r="L1795" s="3" t="e">
        <f ca="1">SQRT(AVERAGE(K1795:OFFSET(K1795,$B$5-1,0))*$B$9/(4*LN(2)))</f>
        <v>#DIV/0!</v>
      </c>
      <c r="M1795" s="3" t="e">
        <f ca="1">SQRT(AVERAGE(K1795:OFFSET(K1795,$B$6-1,0))*$B$9/(4*LN(2)))</f>
        <v>#DIV/0!</v>
      </c>
      <c r="N1795" s="3" t="e">
        <f ca="1">SQRT(AVERAGE(K1795:OFFSET(K1795,$B$7-1,0))*$B$9/(4*LN(2)))</f>
        <v>#DIV/0!</v>
      </c>
      <c r="O1795" s="3" t="e">
        <f ca="1">SQRT(AVERAGE(K1795:OFFSET(K1795,$B$8-1,0))*$B$9/(4*LN(2)))</f>
        <v>#DIV/0!</v>
      </c>
      <c r="Q1795" s="5" t="e">
        <f t="shared" si="143"/>
        <v>#DIV/0!</v>
      </c>
      <c r="R1795" s="5" t="e">
        <f ca="1">SQRT($B$9*AVERAGE((Q1795:OFFSET(Q1795,$B$5-1,0))))</f>
        <v>#DIV/0!</v>
      </c>
      <c r="S1795" s="5" t="e">
        <f ca="1">SQRT($B$9*AVERAGE((Q1795:OFFSET(Q1795,$B$6-1,0))))</f>
        <v>#DIV/0!</v>
      </c>
      <c r="T1795" s="5" t="e">
        <f ca="1">SQRT($B$9*AVERAGE((Q1795:OFFSET(Q1795,$B$7-1,0))))</f>
        <v>#DIV/0!</v>
      </c>
      <c r="U1795" s="5" t="e">
        <f ca="1">SQRT($B$9*AVERAGE((Q1795:OFFSET(Q1795,$B$8-1,0))))</f>
        <v>#DIV/0!</v>
      </c>
      <c r="W1795" s="6" t="e">
        <f t="shared" si="147"/>
        <v>#DIV/0!</v>
      </c>
      <c r="X1795" s="6" t="e">
        <f ca="1">SQRT($B$9*AVERAGE(W1795:OFFSET(W1795,$B$5-1,0)))</f>
        <v>#DIV/0!</v>
      </c>
      <c r="Y1795" s="6" t="e">
        <f ca="1">SQRT($B$9*AVERAGE(W1795:OFFSET(W1795,$B$6-1,0)))</f>
        <v>#DIV/0!</v>
      </c>
      <c r="Z1795" s="6" t="e">
        <f ca="1">SQRT($B$9*AVERAGE(W1795:OFFSET(W1795,$B$7-1,0)))</f>
        <v>#DIV/0!</v>
      </c>
      <c r="AA1795" s="6" t="e">
        <f ca="1">SQRT($B$9*AVERAGE(W1795:OFFSET(W1795,$B$8-1,0)))</f>
        <v>#DIV/0!</v>
      </c>
      <c r="AC1795" s="34" t="e">
        <f t="shared" si="145"/>
        <v>#DIV/0!</v>
      </c>
      <c r="AD1795" s="34" t="e">
        <f ca="1">SQRT($B$9*SUM(AC1795:OFFSET(AC1795,$B$5-1,0))/($B$5-1))</f>
        <v>#DIV/0!</v>
      </c>
      <c r="AE1795" s="34" t="e">
        <f ca="1">SQRT($B$9*SUM(AC1795:OFFSET(AC1795,$B$6-1,0))/($B$6-1))</f>
        <v>#DIV/0!</v>
      </c>
      <c r="AF1795" s="34" t="e">
        <f ca="1">SQRT($B$9*SUM(AC1795:OFFSET(AC1795,$B$7-1,0))/($B$7-1))</f>
        <v>#DIV/0!</v>
      </c>
      <c r="AG1795" s="34" t="e">
        <f ca="1">SQRT($B$9*SUM(AC1795:OFFSET(AC1795,$B$8-1,0))/($B$8-1))</f>
        <v>#DIV/0!</v>
      </c>
      <c r="AI1795" s="1" t="e">
        <f t="shared" si="146"/>
        <v>#DIV/0!</v>
      </c>
      <c r="AJ1795" s="4" t="e">
        <f ca="1">SQRT($B$9)*_xlfn.STDEV.S(AI1795:OFFSET(AI1795,$B$5-1,0))</f>
        <v>#DIV/0!</v>
      </c>
      <c r="AK1795" s="4" t="e">
        <f ca="1">SQRT($B$9)*_xlfn.STDEV.S(AI1795:OFFSET(AI1795,$B$6-1,0))</f>
        <v>#DIV/0!</v>
      </c>
      <c r="AL1795" s="4" t="e">
        <f ca="1">SQRT($B$9)*_xlfn.STDEV.S(AI1795:OFFSET(AI1795,$B$7-1,0))</f>
        <v>#DIV/0!</v>
      </c>
      <c r="AM1795" s="4" t="e">
        <f ca="1">SQRT($B$9)*_xlfn.STDEV.S(AI1795:OFFSET(AI1795,$B$8-1,0))</f>
        <v>#DIV/0!</v>
      </c>
    </row>
    <row r="1796" spans="11:39" x14ac:dyDescent="0.2">
      <c r="K1796" s="3" t="e">
        <f t="shared" si="144"/>
        <v>#DIV/0!</v>
      </c>
      <c r="L1796" s="3" t="e">
        <f ca="1">SQRT(AVERAGE(K1796:OFFSET(K1796,$B$5-1,0))*$B$9/(4*LN(2)))</f>
        <v>#DIV/0!</v>
      </c>
      <c r="M1796" s="3" t="e">
        <f ca="1">SQRT(AVERAGE(K1796:OFFSET(K1796,$B$6-1,0))*$B$9/(4*LN(2)))</f>
        <v>#DIV/0!</v>
      </c>
      <c r="N1796" s="3" t="e">
        <f ca="1">SQRT(AVERAGE(K1796:OFFSET(K1796,$B$7-1,0))*$B$9/(4*LN(2)))</f>
        <v>#DIV/0!</v>
      </c>
      <c r="O1796" s="3" t="e">
        <f ca="1">SQRT(AVERAGE(K1796:OFFSET(K1796,$B$8-1,0))*$B$9/(4*LN(2)))</f>
        <v>#DIV/0!</v>
      </c>
      <c r="Q1796" s="5" t="e">
        <f t="shared" si="143"/>
        <v>#DIV/0!</v>
      </c>
      <c r="R1796" s="5" t="e">
        <f ca="1">SQRT($B$9*AVERAGE((Q1796:OFFSET(Q1796,$B$5-1,0))))</f>
        <v>#DIV/0!</v>
      </c>
      <c r="S1796" s="5" t="e">
        <f ca="1">SQRT($B$9*AVERAGE((Q1796:OFFSET(Q1796,$B$6-1,0))))</f>
        <v>#DIV/0!</v>
      </c>
      <c r="T1796" s="5" t="e">
        <f ca="1">SQRT($B$9*AVERAGE((Q1796:OFFSET(Q1796,$B$7-1,0))))</f>
        <v>#DIV/0!</v>
      </c>
      <c r="U1796" s="5" t="e">
        <f ca="1">SQRT($B$9*AVERAGE((Q1796:OFFSET(Q1796,$B$8-1,0))))</f>
        <v>#DIV/0!</v>
      </c>
      <c r="W1796" s="6" t="e">
        <f t="shared" si="147"/>
        <v>#DIV/0!</v>
      </c>
      <c r="X1796" s="6" t="e">
        <f ca="1">SQRT($B$9*AVERAGE(W1796:OFFSET(W1796,$B$5-1,0)))</f>
        <v>#DIV/0!</v>
      </c>
      <c r="Y1796" s="6" t="e">
        <f ca="1">SQRT($B$9*AVERAGE(W1796:OFFSET(W1796,$B$6-1,0)))</f>
        <v>#DIV/0!</v>
      </c>
      <c r="Z1796" s="6" t="e">
        <f ca="1">SQRT($B$9*AVERAGE(W1796:OFFSET(W1796,$B$7-1,0)))</f>
        <v>#DIV/0!</v>
      </c>
      <c r="AA1796" s="6" t="e">
        <f ca="1">SQRT($B$9*AVERAGE(W1796:OFFSET(W1796,$B$8-1,0)))</f>
        <v>#DIV/0!</v>
      </c>
      <c r="AC1796" s="34" t="e">
        <f t="shared" si="145"/>
        <v>#DIV/0!</v>
      </c>
      <c r="AD1796" s="34" t="e">
        <f ca="1">SQRT($B$9*SUM(AC1796:OFFSET(AC1796,$B$5-1,0))/($B$5-1))</f>
        <v>#DIV/0!</v>
      </c>
      <c r="AE1796" s="34" t="e">
        <f ca="1">SQRT($B$9*SUM(AC1796:OFFSET(AC1796,$B$6-1,0))/($B$6-1))</f>
        <v>#DIV/0!</v>
      </c>
      <c r="AF1796" s="34" t="e">
        <f ca="1">SQRT($B$9*SUM(AC1796:OFFSET(AC1796,$B$7-1,0))/($B$7-1))</f>
        <v>#DIV/0!</v>
      </c>
      <c r="AG1796" s="34" t="e">
        <f ca="1">SQRT($B$9*SUM(AC1796:OFFSET(AC1796,$B$8-1,0))/($B$8-1))</f>
        <v>#DIV/0!</v>
      </c>
      <c r="AI1796" s="1" t="e">
        <f t="shared" si="146"/>
        <v>#DIV/0!</v>
      </c>
      <c r="AJ1796" s="4" t="e">
        <f ca="1">SQRT($B$9)*_xlfn.STDEV.S(AI1796:OFFSET(AI1796,$B$5-1,0))</f>
        <v>#DIV/0!</v>
      </c>
      <c r="AK1796" s="4" t="e">
        <f ca="1">SQRT($B$9)*_xlfn.STDEV.S(AI1796:OFFSET(AI1796,$B$6-1,0))</f>
        <v>#DIV/0!</v>
      </c>
      <c r="AL1796" s="4" t="e">
        <f ca="1">SQRT($B$9)*_xlfn.STDEV.S(AI1796:OFFSET(AI1796,$B$7-1,0))</f>
        <v>#DIV/0!</v>
      </c>
      <c r="AM1796" s="4" t="e">
        <f ca="1">SQRT($B$9)*_xlfn.STDEV.S(AI1796:OFFSET(AI1796,$B$8-1,0))</f>
        <v>#DIV/0!</v>
      </c>
    </row>
    <row r="1797" spans="11:39" x14ac:dyDescent="0.2">
      <c r="K1797" s="3" t="e">
        <f t="shared" si="144"/>
        <v>#DIV/0!</v>
      </c>
      <c r="L1797" s="3" t="e">
        <f ca="1">SQRT(AVERAGE(K1797:OFFSET(K1797,$B$5-1,0))*$B$9/(4*LN(2)))</f>
        <v>#DIV/0!</v>
      </c>
      <c r="M1797" s="3" t="e">
        <f ca="1">SQRT(AVERAGE(K1797:OFFSET(K1797,$B$6-1,0))*$B$9/(4*LN(2)))</f>
        <v>#DIV/0!</v>
      </c>
      <c r="N1797" s="3" t="e">
        <f ca="1">SQRT(AVERAGE(K1797:OFFSET(K1797,$B$7-1,0))*$B$9/(4*LN(2)))</f>
        <v>#DIV/0!</v>
      </c>
      <c r="O1797" s="3" t="e">
        <f ca="1">SQRT(AVERAGE(K1797:OFFSET(K1797,$B$8-1,0))*$B$9/(4*LN(2)))</f>
        <v>#DIV/0!</v>
      </c>
      <c r="Q1797" s="5" t="e">
        <f t="shared" ref="Q1797:Q1819" si="148">0.511*(LN(G1797/H1797))^2-0.019*(LN(I1797/F1797)*LN(G1797*H1797/F1797^2)-2*LN(G1797/F1797)*LN(H1797/F1797))-0.383*(LN(I1797/F1797))^2</f>
        <v>#DIV/0!</v>
      </c>
      <c r="R1797" s="5" t="e">
        <f ca="1">SQRT($B$9*AVERAGE((Q1797:OFFSET(Q1797,$B$5-1,0))))</f>
        <v>#DIV/0!</v>
      </c>
      <c r="S1797" s="5" t="e">
        <f ca="1">SQRT($B$9*AVERAGE((Q1797:OFFSET(Q1797,$B$6-1,0))))</f>
        <v>#DIV/0!</v>
      </c>
      <c r="T1797" s="5" t="e">
        <f ca="1">SQRT($B$9*AVERAGE((Q1797:OFFSET(Q1797,$B$7-1,0))))</f>
        <v>#DIV/0!</v>
      </c>
      <c r="U1797" s="5" t="e">
        <f ca="1">SQRT($B$9*AVERAGE((Q1797:OFFSET(Q1797,$B$8-1,0))))</f>
        <v>#DIV/0!</v>
      </c>
      <c r="W1797" s="6" t="e">
        <f t="shared" si="147"/>
        <v>#DIV/0!</v>
      </c>
      <c r="X1797" s="6" t="e">
        <f ca="1">SQRT($B$9*AVERAGE(W1797:OFFSET(W1797,$B$5-1,0)))</f>
        <v>#DIV/0!</v>
      </c>
      <c r="Y1797" s="6" t="e">
        <f ca="1">SQRT($B$9*AVERAGE(W1797:OFFSET(W1797,$B$6-1,0)))</f>
        <v>#DIV/0!</v>
      </c>
      <c r="Z1797" s="6" t="e">
        <f ca="1">SQRT($B$9*AVERAGE(W1797:OFFSET(W1797,$B$7-1,0)))</f>
        <v>#DIV/0!</v>
      </c>
      <c r="AA1797" s="6" t="e">
        <f ca="1">SQRT($B$9*AVERAGE(W1797:OFFSET(W1797,$B$8-1,0)))</f>
        <v>#DIV/0!</v>
      </c>
      <c r="AC1797" s="34" t="e">
        <f t="shared" si="145"/>
        <v>#DIV/0!</v>
      </c>
      <c r="AD1797" s="34" t="e">
        <f ca="1">SQRT($B$9*SUM(AC1797:OFFSET(AC1797,$B$5-1,0))/($B$5-1))</f>
        <v>#DIV/0!</v>
      </c>
      <c r="AE1797" s="34" t="e">
        <f ca="1">SQRT($B$9*SUM(AC1797:OFFSET(AC1797,$B$6-1,0))/($B$6-1))</f>
        <v>#DIV/0!</v>
      </c>
      <c r="AF1797" s="34" t="e">
        <f ca="1">SQRT($B$9*SUM(AC1797:OFFSET(AC1797,$B$7-1,0))/($B$7-1))</f>
        <v>#DIV/0!</v>
      </c>
      <c r="AG1797" s="34" t="e">
        <f ca="1">SQRT($B$9*SUM(AC1797:OFFSET(AC1797,$B$8-1,0))/($B$8-1))</f>
        <v>#DIV/0!</v>
      </c>
      <c r="AI1797" s="1" t="e">
        <f t="shared" si="146"/>
        <v>#DIV/0!</v>
      </c>
      <c r="AJ1797" s="4" t="e">
        <f ca="1">SQRT($B$9)*_xlfn.STDEV.S(AI1797:OFFSET(AI1797,$B$5-1,0))</f>
        <v>#DIV/0!</v>
      </c>
      <c r="AK1797" s="4" t="e">
        <f ca="1">SQRT($B$9)*_xlfn.STDEV.S(AI1797:OFFSET(AI1797,$B$6-1,0))</f>
        <v>#DIV/0!</v>
      </c>
      <c r="AL1797" s="4" t="e">
        <f ca="1">SQRT($B$9)*_xlfn.STDEV.S(AI1797:OFFSET(AI1797,$B$7-1,0))</f>
        <v>#DIV/0!</v>
      </c>
      <c r="AM1797" s="4" t="e">
        <f ca="1">SQRT($B$9)*_xlfn.STDEV.S(AI1797:OFFSET(AI1797,$B$8-1,0))</f>
        <v>#DIV/0!</v>
      </c>
    </row>
    <row r="1798" spans="11:39" x14ac:dyDescent="0.2">
      <c r="K1798" s="3" t="e">
        <f t="shared" ref="K1798:K1819" si="149">(LN(G1798/H1798))^2</f>
        <v>#DIV/0!</v>
      </c>
      <c r="L1798" s="3" t="e">
        <f ca="1">SQRT(AVERAGE(K1798:OFFSET(K1798,$B$5-1,0))*$B$9/(4*LN(2)))</f>
        <v>#DIV/0!</v>
      </c>
      <c r="M1798" s="3" t="e">
        <f ca="1">SQRT(AVERAGE(K1798:OFFSET(K1798,$B$6-1,0))*$B$9/(4*LN(2)))</f>
        <v>#DIV/0!</v>
      </c>
      <c r="N1798" s="3" t="e">
        <f ca="1">SQRT(AVERAGE(K1798:OFFSET(K1798,$B$7-1,0))*$B$9/(4*LN(2)))</f>
        <v>#DIV/0!</v>
      </c>
      <c r="O1798" s="3" t="e">
        <f ca="1">SQRT(AVERAGE(K1798:OFFSET(K1798,$B$8-1,0))*$B$9/(4*LN(2)))</f>
        <v>#DIV/0!</v>
      </c>
      <c r="Q1798" s="5" t="e">
        <f t="shared" si="148"/>
        <v>#DIV/0!</v>
      </c>
      <c r="R1798" s="5" t="e">
        <f ca="1">SQRT($B$9*AVERAGE((Q1798:OFFSET(Q1798,$B$5-1,0))))</f>
        <v>#DIV/0!</v>
      </c>
      <c r="S1798" s="5" t="e">
        <f ca="1">SQRT($B$9*AVERAGE((Q1798:OFFSET(Q1798,$B$6-1,0))))</f>
        <v>#DIV/0!</v>
      </c>
      <c r="T1798" s="5" t="e">
        <f ca="1">SQRT($B$9*AVERAGE((Q1798:OFFSET(Q1798,$B$7-1,0))))</f>
        <v>#DIV/0!</v>
      </c>
      <c r="U1798" s="5" t="e">
        <f ca="1">SQRT($B$9*AVERAGE((Q1798:OFFSET(Q1798,$B$8-1,0))))</f>
        <v>#DIV/0!</v>
      </c>
      <c r="W1798" s="6" t="e">
        <f t="shared" si="147"/>
        <v>#DIV/0!</v>
      </c>
      <c r="X1798" s="6" t="e">
        <f ca="1">SQRT($B$9*AVERAGE(W1798:OFFSET(W1798,$B$5-1,0)))</f>
        <v>#DIV/0!</v>
      </c>
      <c r="Y1798" s="6" t="e">
        <f ca="1">SQRT($B$9*AVERAGE(W1798:OFFSET(W1798,$B$6-1,0)))</f>
        <v>#DIV/0!</v>
      </c>
      <c r="Z1798" s="6" t="e">
        <f ca="1">SQRT($B$9*AVERAGE(W1798:OFFSET(W1798,$B$7-1,0)))</f>
        <v>#DIV/0!</v>
      </c>
      <c r="AA1798" s="6" t="e">
        <f ca="1">SQRT($B$9*AVERAGE(W1798:OFFSET(W1798,$B$8-1,0)))</f>
        <v>#DIV/0!</v>
      </c>
      <c r="AC1798" s="34" t="e">
        <f t="shared" si="145"/>
        <v>#DIV/0!</v>
      </c>
      <c r="AD1798" s="34" t="e">
        <f ca="1">SQRT($B$9*SUM(AC1798:OFFSET(AC1798,$B$5-1,0))/($B$5-1))</f>
        <v>#DIV/0!</v>
      </c>
      <c r="AE1798" s="34" t="e">
        <f ca="1">SQRT($B$9*SUM(AC1798:OFFSET(AC1798,$B$6-1,0))/($B$6-1))</f>
        <v>#DIV/0!</v>
      </c>
      <c r="AF1798" s="34" t="e">
        <f ca="1">SQRT($B$9*SUM(AC1798:OFFSET(AC1798,$B$7-1,0))/($B$7-1))</f>
        <v>#DIV/0!</v>
      </c>
      <c r="AG1798" s="34" t="e">
        <f ca="1">SQRT($B$9*SUM(AC1798:OFFSET(AC1798,$B$8-1,0))/($B$8-1))</f>
        <v>#DIV/0!</v>
      </c>
      <c r="AI1798" s="1" t="e">
        <f t="shared" si="146"/>
        <v>#DIV/0!</v>
      </c>
      <c r="AJ1798" s="4" t="e">
        <f ca="1">SQRT($B$9)*_xlfn.STDEV.S(AI1798:OFFSET(AI1798,$B$5-1,0))</f>
        <v>#DIV/0!</v>
      </c>
      <c r="AK1798" s="4" t="e">
        <f ca="1">SQRT($B$9)*_xlfn.STDEV.S(AI1798:OFFSET(AI1798,$B$6-1,0))</f>
        <v>#DIV/0!</v>
      </c>
      <c r="AL1798" s="4" t="e">
        <f ca="1">SQRT($B$9)*_xlfn.STDEV.S(AI1798:OFFSET(AI1798,$B$7-1,0))</f>
        <v>#DIV/0!</v>
      </c>
      <c r="AM1798" s="4" t="e">
        <f ca="1">SQRT($B$9)*_xlfn.STDEV.S(AI1798:OFFSET(AI1798,$B$8-1,0))</f>
        <v>#DIV/0!</v>
      </c>
    </row>
    <row r="1799" spans="11:39" x14ac:dyDescent="0.2">
      <c r="K1799" s="3" t="e">
        <f t="shared" si="149"/>
        <v>#DIV/0!</v>
      </c>
      <c r="L1799" s="3" t="e">
        <f ca="1">SQRT(AVERAGE(K1799:OFFSET(K1799,$B$5-1,0))*$B$9/(4*LN(2)))</f>
        <v>#DIV/0!</v>
      </c>
      <c r="M1799" s="3" t="e">
        <f ca="1">SQRT(AVERAGE(K1799:OFFSET(K1799,$B$6-1,0))*$B$9/(4*LN(2)))</f>
        <v>#DIV/0!</v>
      </c>
      <c r="N1799" s="3" t="e">
        <f ca="1">SQRT(AVERAGE(K1799:OFFSET(K1799,$B$7-1,0))*$B$9/(4*LN(2)))</f>
        <v>#DIV/0!</v>
      </c>
      <c r="O1799" s="3" t="e">
        <f ca="1">SQRT(AVERAGE(K1799:OFFSET(K1799,$B$8-1,0))*$B$9/(4*LN(2)))</f>
        <v>#DIV/0!</v>
      </c>
      <c r="Q1799" s="5" t="e">
        <f t="shared" si="148"/>
        <v>#DIV/0!</v>
      </c>
      <c r="R1799" s="5" t="e">
        <f ca="1">SQRT($B$9*AVERAGE((Q1799:OFFSET(Q1799,$B$5-1,0))))</f>
        <v>#DIV/0!</v>
      </c>
      <c r="S1799" s="5" t="e">
        <f ca="1">SQRT($B$9*AVERAGE((Q1799:OFFSET(Q1799,$B$6-1,0))))</f>
        <v>#DIV/0!</v>
      </c>
      <c r="T1799" s="5" t="e">
        <f ca="1">SQRT($B$9*AVERAGE((Q1799:OFFSET(Q1799,$B$7-1,0))))</f>
        <v>#DIV/0!</v>
      </c>
      <c r="U1799" s="5" t="e">
        <f ca="1">SQRT($B$9*AVERAGE((Q1799:OFFSET(Q1799,$B$8-1,0))))</f>
        <v>#DIV/0!</v>
      </c>
      <c r="W1799" s="6" t="e">
        <f t="shared" si="147"/>
        <v>#DIV/0!</v>
      </c>
      <c r="X1799" s="6" t="e">
        <f ca="1">SQRT($B$9*AVERAGE(W1799:OFFSET(W1799,$B$5-1,0)))</f>
        <v>#DIV/0!</v>
      </c>
      <c r="Y1799" s="6" t="e">
        <f ca="1">SQRT($B$9*AVERAGE(W1799:OFFSET(W1799,$B$6-1,0)))</f>
        <v>#DIV/0!</v>
      </c>
      <c r="Z1799" s="6" t="e">
        <f ca="1">SQRT($B$9*AVERAGE(W1799:OFFSET(W1799,$B$7-1,0)))</f>
        <v>#DIV/0!</v>
      </c>
      <c r="AA1799" s="6" t="e">
        <f ca="1">SQRT($B$9*AVERAGE(W1799:OFFSET(W1799,$B$8-1,0)))</f>
        <v>#DIV/0!</v>
      </c>
      <c r="AC1799" s="34" t="e">
        <f t="shared" si="145"/>
        <v>#DIV/0!</v>
      </c>
      <c r="AD1799" s="34" t="e">
        <f ca="1">SQRT($B$9*SUM(AC1799:OFFSET(AC1799,$B$5-1,0))/($B$5-1))</f>
        <v>#DIV/0!</v>
      </c>
      <c r="AE1799" s="34" t="e">
        <f ca="1">SQRT($B$9*SUM(AC1799:OFFSET(AC1799,$B$6-1,0))/($B$6-1))</f>
        <v>#DIV/0!</v>
      </c>
      <c r="AF1799" s="34" t="e">
        <f ca="1">SQRT($B$9*SUM(AC1799:OFFSET(AC1799,$B$7-1,0))/($B$7-1))</f>
        <v>#DIV/0!</v>
      </c>
      <c r="AG1799" s="34" t="e">
        <f ca="1">SQRT($B$9*SUM(AC1799:OFFSET(AC1799,$B$8-1,0))/($B$8-1))</f>
        <v>#DIV/0!</v>
      </c>
      <c r="AI1799" s="1" t="e">
        <f t="shared" si="146"/>
        <v>#DIV/0!</v>
      </c>
      <c r="AJ1799" s="4" t="e">
        <f ca="1">SQRT($B$9)*_xlfn.STDEV.S(AI1799:OFFSET(AI1799,$B$5-1,0))</f>
        <v>#DIV/0!</v>
      </c>
      <c r="AK1799" s="4" t="e">
        <f ca="1">SQRT($B$9)*_xlfn.STDEV.S(AI1799:OFFSET(AI1799,$B$6-1,0))</f>
        <v>#DIV/0!</v>
      </c>
      <c r="AL1799" s="4" t="e">
        <f ca="1">SQRT($B$9)*_xlfn.STDEV.S(AI1799:OFFSET(AI1799,$B$7-1,0))</f>
        <v>#DIV/0!</v>
      </c>
      <c r="AM1799" s="4" t="e">
        <f ca="1">SQRT($B$9)*_xlfn.STDEV.S(AI1799:OFFSET(AI1799,$B$8-1,0))</f>
        <v>#DIV/0!</v>
      </c>
    </row>
    <row r="1800" spans="11:39" x14ac:dyDescent="0.2">
      <c r="K1800" s="3" t="e">
        <f t="shared" si="149"/>
        <v>#DIV/0!</v>
      </c>
      <c r="L1800" s="3" t="e">
        <f ca="1">SQRT(AVERAGE(K1800:OFFSET(K1800,$B$5-1,0))*$B$9/(4*LN(2)))</f>
        <v>#DIV/0!</v>
      </c>
      <c r="M1800" s="3" t="e">
        <f ca="1">SQRT(AVERAGE(K1800:OFFSET(K1800,$B$6-1,0))*$B$9/(4*LN(2)))</f>
        <v>#DIV/0!</v>
      </c>
      <c r="N1800" s="3" t="e">
        <f ca="1">SQRT(AVERAGE(K1800:OFFSET(K1800,$B$7-1,0))*$B$9/(4*LN(2)))</f>
        <v>#DIV/0!</v>
      </c>
      <c r="O1800" s="3" t="e">
        <f ca="1">SQRT(AVERAGE(K1800:OFFSET(K1800,$B$8-1,0))*$B$9/(4*LN(2)))</f>
        <v>#DIV/0!</v>
      </c>
      <c r="Q1800" s="5" t="e">
        <f t="shared" si="148"/>
        <v>#DIV/0!</v>
      </c>
      <c r="R1800" s="5" t="e">
        <f ca="1">SQRT($B$9*AVERAGE((Q1800:OFFSET(Q1800,$B$5-1,0))))</f>
        <v>#DIV/0!</v>
      </c>
      <c r="S1800" s="5" t="e">
        <f ca="1">SQRT($B$9*AVERAGE((Q1800:OFFSET(Q1800,$B$6-1,0))))</f>
        <v>#DIV/0!</v>
      </c>
      <c r="T1800" s="5" t="e">
        <f ca="1">SQRT($B$9*AVERAGE((Q1800:OFFSET(Q1800,$B$7-1,0))))</f>
        <v>#DIV/0!</v>
      </c>
      <c r="U1800" s="5" t="e">
        <f ca="1">SQRT($B$9*AVERAGE((Q1800:OFFSET(Q1800,$B$8-1,0))))</f>
        <v>#DIV/0!</v>
      </c>
      <c r="W1800" s="6" t="e">
        <f t="shared" si="147"/>
        <v>#DIV/0!</v>
      </c>
      <c r="X1800" s="6" t="e">
        <f ca="1">SQRT($B$9*AVERAGE(W1800:OFFSET(W1800,$B$5-1,0)))</f>
        <v>#DIV/0!</v>
      </c>
      <c r="Y1800" s="6" t="e">
        <f ca="1">SQRT($B$9*AVERAGE(W1800:OFFSET(W1800,$B$6-1,0)))</f>
        <v>#DIV/0!</v>
      </c>
      <c r="Z1800" s="6" t="e">
        <f ca="1">SQRT($B$9*AVERAGE(W1800:OFFSET(W1800,$B$7-1,0)))</f>
        <v>#DIV/0!</v>
      </c>
      <c r="AA1800" s="6" t="e">
        <f ca="1">SQRT($B$9*AVERAGE(W1800:OFFSET(W1800,$B$8-1,0)))</f>
        <v>#DIV/0!</v>
      </c>
      <c r="AC1800" s="34" t="e">
        <f t="shared" si="145"/>
        <v>#DIV/0!</v>
      </c>
      <c r="AD1800" s="34" t="e">
        <f ca="1">SQRT($B$9*SUM(AC1800:OFFSET(AC1800,$B$5-1,0))/($B$5-1))</f>
        <v>#DIV/0!</v>
      </c>
      <c r="AE1800" s="34" t="e">
        <f ca="1">SQRT($B$9*SUM(AC1800:OFFSET(AC1800,$B$6-1,0))/($B$6-1))</f>
        <v>#DIV/0!</v>
      </c>
      <c r="AF1800" s="34" t="e">
        <f ca="1">SQRT($B$9*SUM(AC1800:OFFSET(AC1800,$B$7-1,0))/($B$7-1))</f>
        <v>#DIV/0!</v>
      </c>
      <c r="AG1800" s="34" t="e">
        <f ca="1">SQRT($B$9*SUM(AC1800:OFFSET(AC1800,$B$8-1,0))/($B$8-1))</f>
        <v>#DIV/0!</v>
      </c>
      <c r="AI1800" s="1" t="e">
        <f t="shared" si="146"/>
        <v>#DIV/0!</v>
      </c>
      <c r="AJ1800" s="4" t="e">
        <f ca="1">SQRT($B$9)*_xlfn.STDEV.S(AI1800:OFFSET(AI1800,$B$5-1,0))</f>
        <v>#DIV/0!</v>
      </c>
      <c r="AK1800" s="4" t="e">
        <f ca="1">SQRT($B$9)*_xlfn.STDEV.S(AI1800:OFFSET(AI1800,$B$6-1,0))</f>
        <v>#DIV/0!</v>
      </c>
      <c r="AL1800" s="4" t="e">
        <f ca="1">SQRT($B$9)*_xlfn.STDEV.S(AI1800:OFFSET(AI1800,$B$7-1,0))</f>
        <v>#DIV/0!</v>
      </c>
      <c r="AM1800" s="4" t="e">
        <f ca="1">SQRT($B$9)*_xlfn.STDEV.S(AI1800:OFFSET(AI1800,$B$8-1,0))</f>
        <v>#DIV/0!</v>
      </c>
    </row>
    <row r="1801" spans="11:39" x14ac:dyDescent="0.2">
      <c r="K1801" s="3" t="e">
        <f t="shared" si="149"/>
        <v>#DIV/0!</v>
      </c>
      <c r="L1801" s="3" t="e">
        <f ca="1">SQRT(AVERAGE(K1801:OFFSET(K1801,$B$5-1,0))*$B$9/(4*LN(2)))</f>
        <v>#DIV/0!</v>
      </c>
      <c r="M1801" s="3" t="e">
        <f ca="1">SQRT(AVERAGE(K1801:OFFSET(K1801,$B$6-1,0))*$B$9/(4*LN(2)))</f>
        <v>#DIV/0!</v>
      </c>
      <c r="N1801" s="3" t="e">
        <f ca="1">SQRT(AVERAGE(K1801:OFFSET(K1801,$B$7-1,0))*$B$9/(4*LN(2)))</f>
        <v>#DIV/0!</v>
      </c>
      <c r="O1801" s="3" t="e">
        <f ca="1">SQRT(AVERAGE(K1801:OFFSET(K1801,$B$8-1,0))*$B$9/(4*LN(2)))</f>
        <v>#DIV/0!</v>
      </c>
      <c r="Q1801" s="5" t="e">
        <f t="shared" si="148"/>
        <v>#DIV/0!</v>
      </c>
      <c r="R1801" s="5" t="e">
        <f ca="1">SQRT($B$9*AVERAGE((Q1801:OFFSET(Q1801,$B$5-1,0))))</f>
        <v>#DIV/0!</v>
      </c>
      <c r="S1801" s="5" t="e">
        <f ca="1">SQRT($B$9*AVERAGE((Q1801:OFFSET(Q1801,$B$6-1,0))))</f>
        <v>#DIV/0!</v>
      </c>
      <c r="T1801" s="5" t="e">
        <f ca="1">SQRT($B$9*AVERAGE((Q1801:OFFSET(Q1801,$B$7-1,0))))</f>
        <v>#DIV/0!</v>
      </c>
      <c r="U1801" s="5" t="e">
        <f ca="1">SQRT($B$9*AVERAGE((Q1801:OFFSET(Q1801,$B$8-1,0))))</f>
        <v>#DIV/0!</v>
      </c>
      <c r="W1801" s="6" t="e">
        <f t="shared" si="147"/>
        <v>#DIV/0!</v>
      </c>
      <c r="X1801" s="6" t="e">
        <f ca="1">SQRT($B$9*AVERAGE(W1801:OFFSET(W1801,$B$5-1,0)))</f>
        <v>#DIV/0!</v>
      </c>
      <c r="Y1801" s="6" t="e">
        <f ca="1">SQRT($B$9*AVERAGE(W1801:OFFSET(W1801,$B$6-1,0)))</f>
        <v>#DIV/0!</v>
      </c>
      <c r="Z1801" s="6" t="e">
        <f ca="1">SQRT($B$9*AVERAGE(W1801:OFFSET(W1801,$B$7-1,0)))</f>
        <v>#DIV/0!</v>
      </c>
      <c r="AA1801" s="6" t="e">
        <f ca="1">SQRT($B$9*AVERAGE(W1801:OFFSET(W1801,$B$8-1,0)))</f>
        <v>#DIV/0!</v>
      </c>
      <c r="AC1801" s="34" t="e">
        <f t="shared" si="145"/>
        <v>#DIV/0!</v>
      </c>
      <c r="AD1801" s="34" t="e">
        <f ca="1">SQRT($B$9*SUM(AC1801:OFFSET(AC1801,$B$5-1,0))/($B$5-1))</f>
        <v>#DIV/0!</v>
      </c>
      <c r="AE1801" s="34" t="e">
        <f ca="1">SQRT($B$9*SUM(AC1801:OFFSET(AC1801,$B$6-1,0))/($B$6-1))</f>
        <v>#DIV/0!</v>
      </c>
      <c r="AF1801" s="34" t="e">
        <f ca="1">SQRT($B$9*SUM(AC1801:OFFSET(AC1801,$B$7-1,0))/($B$7-1))</f>
        <v>#DIV/0!</v>
      </c>
      <c r="AG1801" s="34" t="e">
        <f ca="1">SQRT($B$9*SUM(AC1801:OFFSET(AC1801,$B$8-1,0))/($B$8-1))</f>
        <v>#DIV/0!</v>
      </c>
      <c r="AI1801" s="1" t="e">
        <f t="shared" si="146"/>
        <v>#DIV/0!</v>
      </c>
      <c r="AJ1801" s="4" t="e">
        <f ca="1">SQRT($B$9)*_xlfn.STDEV.S(AI1801:OFFSET(AI1801,$B$5-1,0))</f>
        <v>#DIV/0!</v>
      </c>
      <c r="AK1801" s="4" t="e">
        <f ca="1">SQRT($B$9)*_xlfn.STDEV.S(AI1801:OFFSET(AI1801,$B$6-1,0))</f>
        <v>#DIV/0!</v>
      </c>
      <c r="AL1801" s="4" t="e">
        <f ca="1">SQRT($B$9)*_xlfn.STDEV.S(AI1801:OFFSET(AI1801,$B$7-1,0))</f>
        <v>#DIV/0!</v>
      </c>
      <c r="AM1801" s="4" t="e">
        <f ca="1">SQRT($B$9)*_xlfn.STDEV.S(AI1801:OFFSET(AI1801,$B$8-1,0))</f>
        <v>#DIV/0!</v>
      </c>
    </row>
    <row r="1802" spans="11:39" x14ac:dyDescent="0.2">
      <c r="K1802" s="3" t="e">
        <f t="shared" si="149"/>
        <v>#DIV/0!</v>
      </c>
      <c r="L1802" s="3" t="e">
        <f ca="1">SQRT(AVERAGE(K1802:OFFSET(K1802,$B$5-1,0))*$B$9/(4*LN(2)))</f>
        <v>#DIV/0!</v>
      </c>
      <c r="M1802" s="3" t="e">
        <f ca="1">SQRT(AVERAGE(K1802:OFFSET(K1802,$B$6-1,0))*$B$9/(4*LN(2)))</f>
        <v>#DIV/0!</v>
      </c>
      <c r="N1802" s="3" t="e">
        <f ca="1">SQRT(AVERAGE(K1802:OFFSET(K1802,$B$7-1,0))*$B$9/(4*LN(2)))</f>
        <v>#DIV/0!</v>
      </c>
      <c r="O1802" s="3" t="e">
        <f ca="1">SQRT(AVERAGE(K1802:OFFSET(K1802,$B$8-1,0))*$B$9/(4*LN(2)))</f>
        <v>#DIV/0!</v>
      </c>
      <c r="Q1802" s="5" t="e">
        <f t="shared" si="148"/>
        <v>#DIV/0!</v>
      </c>
      <c r="R1802" s="5" t="e">
        <f ca="1">SQRT($B$9*AVERAGE((Q1802:OFFSET(Q1802,$B$5-1,0))))</f>
        <v>#DIV/0!</v>
      </c>
      <c r="S1802" s="5" t="e">
        <f ca="1">SQRT($B$9*AVERAGE((Q1802:OFFSET(Q1802,$B$6-1,0))))</f>
        <v>#DIV/0!</v>
      </c>
      <c r="T1802" s="5" t="e">
        <f ca="1">SQRT($B$9*AVERAGE((Q1802:OFFSET(Q1802,$B$7-1,0))))</f>
        <v>#DIV/0!</v>
      </c>
      <c r="U1802" s="5" t="e">
        <f ca="1">SQRT($B$9*AVERAGE((Q1802:OFFSET(Q1802,$B$8-1,0))))</f>
        <v>#DIV/0!</v>
      </c>
      <c r="W1802" s="6" t="e">
        <f t="shared" si="147"/>
        <v>#DIV/0!</v>
      </c>
      <c r="X1802" s="6" t="e">
        <f ca="1">SQRT($B$9*AVERAGE(W1802:OFFSET(W1802,$B$5-1,0)))</f>
        <v>#DIV/0!</v>
      </c>
      <c r="Y1802" s="6" t="e">
        <f ca="1">SQRT($B$9*AVERAGE(W1802:OFFSET(W1802,$B$6-1,0)))</f>
        <v>#DIV/0!</v>
      </c>
      <c r="Z1802" s="6" t="e">
        <f ca="1">SQRT($B$9*AVERAGE(W1802:OFFSET(W1802,$B$7-1,0)))</f>
        <v>#DIV/0!</v>
      </c>
      <c r="AA1802" s="6" t="e">
        <f ca="1">SQRT($B$9*AVERAGE(W1802:OFFSET(W1802,$B$8-1,0)))</f>
        <v>#DIV/0!</v>
      </c>
      <c r="AC1802" s="34" t="e">
        <f t="shared" si="145"/>
        <v>#DIV/0!</v>
      </c>
      <c r="AD1802" s="34" t="e">
        <f ca="1">SQRT($B$9*SUM(AC1802:OFFSET(AC1802,$B$5-1,0))/($B$5-1))</f>
        <v>#DIV/0!</v>
      </c>
      <c r="AE1802" s="34" t="e">
        <f ca="1">SQRT($B$9*SUM(AC1802:OFFSET(AC1802,$B$6-1,0))/($B$6-1))</f>
        <v>#DIV/0!</v>
      </c>
      <c r="AF1802" s="34" t="e">
        <f ca="1">SQRT($B$9*SUM(AC1802:OFFSET(AC1802,$B$7-1,0))/($B$7-1))</f>
        <v>#DIV/0!</v>
      </c>
      <c r="AG1802" s="34" t="e">
        <f ca="1">SQRT($B$9*SUM(AC1802:OFFSET(AC1802,$B$8-1,0))/($B$8-1))</f>
        <v>#DIV/0!</v>
      </c>
      <c r="AI1802" s="1" t="e">
        <f t="shared" si="146"/>
        <v>#DIV/0!</v>
      </c>
      <c r="AJ1802" s="4" t="e">
        <f ca="1">SQRT($B$9)*_xlfn.STDEV.S(AI1802:OFFSET(AI1802,$B$5-1,0))</f>
        <v>#DIV/0!</v>
      </c>
      <c r="AK1802" s="4" t="e">
        <f ca="1">SQRT($B$9)*_xlfn.STDEV.S(AI1802:OFFSET(AI1802,$B$6-1,0))</f>
        <v>#DIV/0!</v>
      </c>
      <c r="AL1802" s="4" t="e">
        <f ca="1">SQRT($B$9)*_xlfn.STDEV.S(AI1802:OFFSET(AI1802,$B$7-1,0))</f>
        <v>#DIV/0!</v>
      </c>
      <c r="AM1802" s="4" t="e">
        <f ca="1">SQRT($B$9)*_xlfn.STDEV.S(AI1802:OFFSET(AI1802,$B$8-1,0))</f>
        <v>#DIV/0!</v>
      </c>
    </row>
    <row r="1803" spans="11:39" x14ac:dyDescent="0.2">
      <c r="K1803" s="3" t="e">
        <f t="shared" si="149"/>
        <v>#DIV/0!</v>
      </c>
      <c r="L1803" s="3" t="e">
        <f ca="1">SQRT(AVERAGE(K1803:OFFSET(K1803,$B$5-1,0))*$B$9/(4*LN(2)))</f>
        <v>#DIV/0!</v>
      </c>
      <c r="M1803" s="3" t="e">
        <f ca="1">SQRT(AVERAGE(K1803:OFFSET(K1803,$B$6-1,0))*$B$9/(4*LN(2)))</f>
        <v>#DIV/0!</v>
      </c>
      <c r="N1803" s="3" t="e">
        <f ca="1">SQRT(AVERAGE(K1803:OFFSET(K1803,$B$7-1,0))*$B$9/(4*LN(2)))</f>
        <v>#DIV/0!</v>
      </c>
      <c r="O1803" s="3" t="e">
        <f ca="1">SQRT(AVERAGE(K1803:OFFSET(K1803,$B$8-1,0))*$B$9/(4*LN(2)))</f>
        <v>#DIV/0!</v>
      </c>
      <c r="Q1803" s="5" t="e">
        <f t="shared" si="148"/>
        <v>#DIV/0!</v>
      </c>
      <c r="R1803" s="5" t="e">
        <f ca="1">SQRT($B$9*AVERAGE((Q1803:OFFSET(Q1803,$B$5-1,0))))</f>
        <v>#DIV/0!</v>
      </c>
      <c r="S1803" s="5" t="e">
        <f ca="1">SQRT($B$9*AVERAGE((Q1803:OFFSET(Q1803,$B$6-1,0))))</f>
        <v>#DIV/0!</v>
      </c>
      <c r="T1803" s="5" t="e">
        <f ca="1">SQRT($B$9*AVERAGE((Q1803:OFFSET(Q1803,$B$7-1,0))))</f>
        <v>#DIV/0!</v>
      </c>
      <c r="U1803" s="5" t="e">
        <f ca="1">SQRT($B$9*AVERAGE((Q1803:OFFSET(Q1803,$B$8-1,0))))</f>
        <v>#DIV/0!</v>
      </c>
      <c r="W1803" s="6" t="e">
        <f t="shared" si="147"/>
        <v>#DIV/0!</v>
      </c>
      <c r="X1803" s="6" t="e">
        <f ca="1">SQRT($B$9*AVERAGE(W1803:OFFSET(W1803,$B$5-1,0)))</f>
        <v>#DIV/0!</v>
      </c>
      <c r="Y1803" s="6" t="e">
        <f ca="1">SQRT($B$9*AVERAGE(W1803:OFFSET(W1803,$B$6-1,0)))</f>
        <v>#DIV/0!</v>
      </c>
      <c r="Z1803" s="6" t="e">
        <f ca="1">SQRT($B$9*AVERAGE(W1803:OFFSET(W1803,$B$7-1,0)))</f>
        <v>#DIV/0!</v>
      </c>
      <c r="AA1803" s="6" t="e">
        <f ca="1">SQRT($B$9*AVERAGE(W1803:OFFSET(W1803,$B$8-1,0)))</f>
        <v>#DIV/0!</v>
      </c>
      <c r="AC1803" s="34" t="e">
        <f t="shared" si="145"/>
        <v>#DIV/0!</v>
      </c>
      <c r="AD1803" s="34" t="e">
        <f ca="1">SQRT($B$9*SUM(AC1803:OFFSET(AC1803,$B$5-1,0))/($B$5-1))</f>
        <v>#DIV/0!</v>
      </c>
      <c r="AE1803" s="34" t="e">
        <f ca="1">SQRT($B$9*SUM(AC1803:OFFSET(AC1803,$B$6-1,0))/($B$6-1))</f>
        <v>#DIV/0!</v>
      </c>
      <c r="AF1803" s="34" t="e">
        <f ca="1">SQRT($B$9*SUM(AC1803:OFFSET(AC1803,$B$7-1,0))/($B$7-1))</f>
        <v>#DIV/0!</v>
      </c>
      <c r="AG1803" s="34" t="e">
        <f ca="1">SQRT($B$9*SUM(AC1803:OFFSET(AC1803,$B$8-1,0))/($B$8-1))</f>
        <v>#DIV/0!</v>
      </c>
      <c r="AI1803" s="1" t="e">
        <f t="shared" si="146"/>
        <v>#DIV/0!</v>
      </c>
      <c r="AJ1803" s="4" t="e">
        <f ca="1">SQRT($B$9)*_xlfn.STDEV.S(AI1803:OFFSET(AI1803,$B$5-1,0))</f>
        <v>#DIV/0!</v>
      </c>
      <c r="AK1803" s="4" t="e">
        <f ca="1">SQRT($B$9)*_xlfn.STDEV.S(AI1803:OFFSET(AI1803,$B$6-1,0))</f>
        <v>#DIV/0!</v>
      </c>
      <c r="AL1803" s="4" t="e">
        <f ca="1">SQRT($B$9)*_xlfn.STDEV.S(AI1803:OFFSET(AI1803,$B$7-1,0))</f>
        <v>#DIV/0!</v>
      </c>
      <c r="AM1803" s="4" t="e">
        <f ca="1">SQRT($B$9)*_xlfn.STDEV.S(AI1803:OFFSET(AI1803,$B$8-1,0))</f>
        <v>#DIV/0!</v>
      </c>
    </row>
    <row r="1804" spans="11:39" x14ac:dyDescent="0.2">
      <c r="K1804" s="3" t="e">
        <f t="shared" si="149"/>
        <v>#DIV/0!</v>
      </c>
      <c r="L1804" s="3" t="e">
        <f ca="1">SQRT(AVERAGE(K1804:OFFSET(K1804,$B$5-1,0))*$B$9/(4*LN(2)))</f>
        <v>#DIV/0!</v>
      </c>
      <c r="M1804" s="3" t="e">
        <f ca="1">SQRT(AVERAGE(K1804:OFFSET(K1804,$B$6-1,0))*$B$9/(4*LN(2)))</f>
        <v>#DIV/0!</v>
      </c>
      <c r="N1804" s="3" t="e">
        <f ca="1">SQRT(AVERAGE(K1804:OFFSET(K1804,$B$7-1,0))*$B$9/(4*LN(2)))</f>
        <v>#DIV/0!</v>
      </c>
      <c r="O1804" s="3" t="e">
        <f ca="1">SQRT(AVERAGE(K1804:OFFSET(K1804,$B$8-1,0))*$B$9/(4*LN(2)))</f>
        <v>#DIV/0!</v>
      </c>
      <c r="Q1804" s="5" t="e">
        <f t="shared" si="148"/>
        <v>#DIV/0!</v>
      </c>
      <c r="R1804" s="5" t="e">
        <f ca="1">SQRT($B$9*AVERAGE((Q1804:OFFSET(Q1804,$B$5-1,0))))</f>
        <v>#DIV/0!</v>
      </c>
      <c r="S1804" s="5" t="e">
        <f ca="1">SQRT($B$9*AVERAGE((Q1804:OFFSET(Q1804,$B$6-1,0))))</f>
        <v>#DIV/0!</v>
      </c>
      <c r="T1804" s="5" t="e">
        <f ca="1">SQRT($B$9*AVERAGE((Q1804:OFFSET(Q1804,$B$7-1,0))))</f>
        <v>#DIV/0!</v>
      </c>
      <c r="U1804" s="5" t="e">
        <f ca="1">SQRT($B$9*AVERAGE((Q1804:OFFSET(Q1804,$B$8-1,0))))</f>
        <v>#DIV/0!</v>
      </c>
      <c r="W1804" s="6" t="e">
        <f t="shared" si="147"/>
        <v>#DIV/0!</v>
      </c>
      <c r="X1804" s="6" t="e">
        <f ca="1">SQRT($B$9*AVERAGE(W1804:OFFSET(W1804,$B$5-1,0)))</f>
        <v>#DIV/0!</v>
      </c>
      <c r="Y1804" s="6" t="e">
        <f ca="1">SQRT($B$9*AVERAGE(W1804:OFFSET(W1804,$B$6-1,0)))</f>
        <v>#DIV/0!</v>
      </c>
      <c r="Z1804" s="6" t="e">
        <f ca="1">SQRT($B$9*AVERAGE(W1804:OFFSET(W1804,$B$7-1,0)))</f>
        <v>#DIV/0!</v>
      </c>
      <c r="AA1804" s="6" t="e">
        <f ca="1">SQRT($B$9*AVERAGE(W1804:OFFSET(W1804,$B$8-1,0)))</f>
        <v>#DIV/0!</v>
      </c>
      <c r="AC1804" s="34" t="e">
        <f t="shared" si="145"/>
        <v>#DIV/0!</v>
      </c>
      <c r="AD1804" s="34" t="e">
        <f ca="1">SQRT($B$9*SUM(AC1804:OFFSET(AC1804,$B$5-1,0))/($B$5-1))</f>
        <v>#DIV/0!</v>
      </c>
      <c r="AE1804" s="34" t="e">
        <f ca="1">SQRT($B$9*SUM(AC1804:OFFSET(AC1804,$B$6-1,0))/($B$6-1))</f>
        <v>#DIV/0!</v>
      </c>
      <c r="AF1804" s="34" t="e">
        <f ca="1">SQRT($B$9*SUM(AC1804:OFFSET(AC1804,$B$7-1,0))/($B$7-1))</f>
        <v>#DIV/0!</v>
      </c>
      <c r="AG1804" s="34" t="e">
        <f ca="1">SQRT($B$9*SUM(AC1804:OFFSET(AC1804,$B$8-1,0))/($B$8-1))</f>
        <v>#DIV/0!</v>
      </c>
      <c r="AI1804" s="1" t="e">
        <f t="shared" si="146"/>
        <v>#DIV/0!</v>
      </c>
      <c r="AJ1804" s="4" t="e">
        <f ca="1">SQRT($B$9)*_xlfn.STDEV.S(AI1804:OFFSET(AI1804,$B$5-1,0))</f>
        <v>#DIV/0!</v>
      </c>
      <c r="AK1804" s="4" t="e">
        <f ca="1">SQRT($B$9)*_xlfn.STDEV.S(AI1804:OFFSET(AI1804,$B$6-1,0))</f>
        <v>#DIV/0!</v>
      </c>
      <c r="AL1804" s="4" t="e">
        <f ca="1">SQRT($B$9)*_xlfn.STDEV.S(AI1804:OFFSET(AI1804,$B$7-1,0))</f>
        <v>#DIV/0!</v>
      </c>
      <c r="AM1804" s="4" t="e">
        <f ca="1">SQRT($B$9)*_xlfn.STDEV.S(AI1804:OFFSET(AI1804,$B$8-1,0))</f>
        <v>#DIV/0!</v>
      </c>
    </row>
    <row r="1805" spans="11:39" x14ac:dyDescent="0.2">
      <c r="K1805" s="3" t="e">
        <f t="shared" si="149"/>
        <v>#DIV/0!</v>
      </c>
      <c r="L1805" s="3" t="e">
        <f ca="1">SQRT(AVERAGE(K1805:OFFSET(K1805,$B$5-1,0))*$B$9/(4*LN(2)))</f>
        <v>#DIV/0!</v>
      </c>
      <c r="M1805" s="3" t="e">
        <f ca="1">SQRT(AVERAGE(K1805:OFFSET(K1805,$B$6-1,0))*$B$9/(4*LN(2)))</f>
        <v>#DIV/0!</v>
      </c>
      <c r="N1805" s="3" t="e">
        <f ca="1">SQRT(AVERAGE(K1805:OFFSET(K1805,$B$7-1,0))*$B$9/(4*LN(2)))</f>
        <v>#DIV/0!</v>
      </c>
      <c r="O1805" s="3" t="e">
        <f ca="1">SQRT(AVERAGE(K1805:OFFSET(K1805,$B$8-1,0))*$B$9/(4*LN(2)))</f>
        <v>#DIV/0!</v>
      </c>
      <c r="Q1805" s="5" t="e">
        <f t="shared" si="148"/>
        <v>#DIV/0!</v>
      </c>
      <c r="R1805" s="5" t="e">
        <f ca="1">SQRT($B$9*AVERAGE((Q1805:OFFSET(Q1805,$B$5-1,0))))</f>
        <v>#DIV/0!</v>
      </c>
      <c r="S1805" s="5" t="e">
        <f ca="1">SQRT($B$9*AVERAGE((Q1805:OFFSET(Q1805,$B$6-1,0))))</f>
        <v>#DIV/0!</v>
      </c>
      <c r="T1805" s="5" t="e">
        <f ca="1">SQRT($B$9*AVERAGE((Q1805:OFFSET(Q1805,$B$7-1,0))))</f>
        <v>#DIV/0!</v>
      </c>
      <c r="U1805" s="5" t="e">
        <f ca="1">SQRT($B$9*AVERAGE((Q1805:OFFSET(Q1805,$B$8-1,0))))</f>
        <v>#DIV/0!</v>
      </c>
      <c r="W1805" s="6" t="e">
        <f t="shared" si="147"/>
        <v>#DIV/0!</v>
      </c>
      <c r="X1805" s="6" t="e">
        <f ca="1">SQRT($B$9*AVERAGE(W1805:OFFSET(W1805,$B$5-1,0)))</f>
        <v>#DIV/0!</v>
      </c>
      <c r="Y1805" s="6" t="e">
        <f ca="1">SQRT($B$9*AVERAGE(W1805:OFFSET(W1805,$B$6-1,0)))</f>
        <v>#DIV/0!</v>
      </c>
      <c r="Z1805" s="6" t="e">
        <f ca="1">SQRT($B$9*AVERAGE(W1805:OFFSET(W1805,$B$7-1,0)))</f>
        <v>#DIV/0!</v>
      </c>
      <c r="AA1805" s="6" t="e">
        <f ca="1">SQRT($B$9*AVERAGE(W1805:OFFSET(W1805,$B$8-1,0)))</f>
        <v>#DIV/0!</v>
      </c>
      <c r="AC1805" s="34" t="e">
        <f t="shared" si="145"/>
        <v>#DIV/0!</v>
      </c>
      <c r="AD1805" s="34" t="e">
        <f ca="1">SQRT($B$9*SUM(AC1805:OFFSET(AC1805,$B$5-1,0))/($B$5-1))</f>
        <v>#DIV/0!</v>
      </c>
      <c r="AE1805" s="34" t="e">
        <f ca="1">SQRT($B$9*SUM(AC1805:OFFSET(AC1805,$B$6-1,0))/($B$6-1))</f>
        <v>#DIV/0!</v>
      </c>
      <c r="AF1805" s="34" t="e">
        <f ca="1">SQRT($B$9*SUM(AC1805:OFFSET(AC1805,$B$7-1,0))/($B$7-1))</f>
        <v>#DIV/0!</v>
      </c>
      <c r="AG1805" s="34" t="e">
        <f ca="1">SQRT($B$9*SUM(AC1805:OFFSET(AC1805,$B$8-1,0))/($B$8-1))</f>
        <v>#DIV/0!</v>
      </c>
      <c r="AI1805" s="1" t="e">
        <f t="shared" si="146"/>
        <v>#DIV/0!</v>
      </c>
      <c r="AJ1805" s="4" t="e">
        <f ca="1">SQRT($B$9)*_xlfn.STDEV.S(AI1805:OFFSET(AI1805,$B$5-1,0))</f>
        <v>#DIV/0!</v>
      </c>
      <c r="AK1805" s="4" t="e">
        <f ca="1">SQRT($B$9)*_xlfn.STDEV.S(AI1805:OFFSET(AI1805,$B$6-1,0))</f>
        <v>#DIV/0!</v>
      </c>
      <c r="AL1805" s="4" t="e">
        <f ca="1">SQRT($B$9)*_xlfn.STDEV.S(AI1805:OFFSET(AI1805,$B$7-1,0))</f>
        <v>#DIV/0!</v>
      </c>
      <c r="AM1805" s="4" t="e">
        <f ca="1">SQRT($B$9)*_xlfn.STDEV.S(AI1805:OFFSET(AI1805,$B$8-1,0))</f>
        <v>#DIV/0!</v>
      </c>
    </row>
    <row r="1806" spans="11:39" x14ac:dyDescent="0.2">
      <c r="K1806" s="3" t="e">
        <f t="shared" si="149"/>
        <v>#DIV/0!</v>
      </c>
      <c r="L1806" s="3" t="e">
        <f ca="1">SQRT(AVERAGE(K1806:OFFSET(K1806,$B$5-1,0))*$B$9/(4*LN(2)))</f>
        <v>#DIV/0!</v>
      </c>
      <c r="M1806" s="3" t="e">
        <f ca="1">SQRT(AVERAGE(K1806:OFFSET(K1806,$B$6-1,0))*$B$9/(4*LN(2)))</f>
        <v>#DIV/0!</v>
      </c>
      <c r="N1806" s="3" t="e">
        <f ca="1">SQRT(AVERAGE(K1806:OFFSET(K1806,$B$7-1,0))*$B$9/(4*LN(2)))</f>
        <v>#DIV/0!</v>
      </c>
      <c r="O1806" s="3" t="e">
        <f ca="1">SQRT(AVERAGE(K1806:OFFSET(K1806,$B$8-1,0))*$B$9/(4*LN(2)))</f>
        <v>#DIV/0!</v>
      </c>
      <c r="Q1806" s="5" t="e">
        <f t="shared" si="148"/>
        <v>#DIV/0!</v>
      </c>
      <c r="R1806" s="5" t="e">
        <f ca="1">SQRT($B$9*AVERAGE((Q1806:OFFSET(Q1806,$B$5-1,0))))</f>
        <v>#DIV/0!</v>
      </c>
      <c r="S1806" s="5" t="e">
        <f ca="1">SQRT($B$9*AVERAGE((Q1806:OFFSET(Q1806,$B$6-1,0))))</f>
        <v>#DIV/0!</v>
      </c>
      <c r="T1806" s="5" t="e">
        <f ca="1">SQRT($B$9*AVERAGE((Q1806:OFFSET(Q1806,$B$7-1,0))))</f>
        <v>#DIV/0!</v>
      </c>
      <c r="U1806" s="5" t="e">
        <f ca="1">SQRT($B$9*AVERAGE((Q1806:OFFSET(Q1806,$B$8-1,0))))</f>
        <v>#DIV/0!</v>
      </c>
      <c r="W1806" s="6" t="e">
        <f t="shared" si="147"/>
        <v>#DIV/0!</v>
      </c>
      <c r="X1806" s="6" t="e">
        <f ca="1">SQRT($B$9*AVERAGE(W1806:OFFSET(W1806,$B$5-1,0)))</f>
        <v>#DIV/0!</v>
      </c>
      <c r="Y1806" s="6" t="e">
        <f ca="1">SQRT($B$9*AVERAGE(W1806:OFFSET(W1806,$B$6-1,0)))</f>
        <v>#DIV/0!</v>
      </c>
      <c r="Z1806" s="6" t="e">
        <f ca="1">SQRT($B$9*AVERAGE(W1806:OFFSET(W1806,$B$7-1,0)))</f>
        <v>#DIV/0!</v>
      </c>
      <c r="AA1806" s="6" t="e">
        <f ca="1">SQRT($B$9*AVERAGE(W1806:OFFSET(W1806,$B$8-1,0)))</f>
        <v>#DIV/0!</v>
      </c>
      <c r="AC1806" s="34" t="e">
        <f t="shared" si="145"/>
        <v>#DIV/0!</v>
      </c>
      <c r="AD1806" s="34" t="e">
        <f ca="1">SQRT($B$9*SUM(AC1806:OFFSET(AC1806,$B$5-1,0))/($B$5-1))</f>
        <v>#DIV/0!</v>
      </c>
      <c r="AE1806" s="34" t="e">
        <f ca="1">SQRT($B$9*SUM(AC1806:OFFSET(AC1806,$B$6-1,0))/($B$6-1))</f>
        <v>#DIV/0!</v>
      </c>
      <c r="AF1806" s="34" t="e">
        <f ca="1">SQRT($B$9*SUM(AC1806:OFFSET(AC1806,$B$7-1,0))/($B$7-1))</f>
        <v>#DIV/0!</v>
      </c>
      <c r="AG1806" s="34" t="e">
        <f ca="1">SQRT($B$9*SUM(AC1806:OFFSET(AC1806,$B$8-1,0))/($B$8-1))</f>
        <v>#DIV/0!</v>
      </c>
      <c r="AI1806" s="1" t="e">
        <f t="shared" si="146"/>
        <v>#DIV/0!</v>
      </c>
      <c r="AJ1806" s="4" t="e">
        <f ca="1">SQRT($B$9)*_xlfn.STDEV.S(AI1806:OFFSET(AI1806,$B$5-1,0))</f>
        <v>#DIV/0!</v>
      </c>
      <c r="AK1806" s="4" t="e">
        <f ca="1">SQRT($B$9)*_xlfn.STDEV.S(AI1806:OFFSET(AI1806,$B$6-1,0))</f>
        <v>#DIV/0!</v>
      </c>
      <c r="AL1806" s="4" t="e">
        <f ca="1">SQRT($B$9)*_xlfn.STDEV.S(AI1806:OFFSET(AI1806,$B$7-1,0))</f>
        <v>#DIV/0!</v>
      </c>
      <c r="AM1806" s="4" t="e">
        <f ca="1">SQRT($B$9)*_xlfn.STDEV.S(AI1806:OFFSET(AI1806,$B$8-1,0))</f>
        <v>#DIV/0!</v>
      </c>
    </row>
    <row r="1807" spans="11:39" x14ac:dyDescent="0.2">
      <c r="K1807" s="3" t="e">
        <f t="shared" si="149"/>
        <v>#DIV/0!</v>
      </c>
      <c r="L1807" s="3" t="e">
        <f ca="1">SQRT(AVERAGE(K1807:OFFSET(K1807,$B$5-1,0))*$B$9/(4*LN(2)))</f>
        <v>#DIV/0!</v>
      </c>
      <c r="M1807" s="3" t="e">
        <f ca="1">SQRT(AVERAGE(K1807:OFFSET(K1807,$B$6-1,0))*$B$9/(4*LN(2)))</f>
        <v>#DIV/0!</v>
      </c>
      <c r="N1807" s="3" t="e">
        <f ca="1">SQRT(AVERAGE(K1807:OFFSET(K1807,$B$7-1,0))*$B$9/(4*LN(2)))</f>
        <v>#DIV/0!</v>
      </c>
      <c r="O1807" s="3" t="e">
        <f ca="1">SQRT(AVERAGE(K1807:OFFSET(K1807,$B$8-1,0))*$B$9/(4*LN(2)))</f>
        <v>#DIV/0!</v>
      </c>
      <c r="Q1807" s="5" t="e">
        <f t="shared" si="148"/>
        <v>#DIV/0!</v>
      </c>
      <c r="R1807" s="5" t="e">
        <f ca="1">SQRT($B$9*AVERAGE((Q1807:OFFSET(Q1807,$B$5-1,0))))</f>
        <v>#DIV/0!</v>
      </c>
      <c r="S1807" s="5" t="e">
        <f ca="1">SQRT($B$9*AVERAGE((Q1807:OFFSET(Q1807,$B$6-1,0))))</f>
        <v>#DIV/0!</v>
      </c>
      <c r="T1807" s="5" t="e">
        <f ca="1">SQRT($B$9*AVERAGE((Q1807:OFFSET(Q1807,$B$7-1,0))))</f>
        <v>#DIV/0!</v>
      </c>
      <c r="U1807" s="5" t="e">
        <f ca="1">SQRT($B$9*AVERAGE((Q1807:OFFSET(Q1807,$B$8-1,0))))</f>
        <v>#DIV/0!</v>
      </c>
      <c r="W1807" s="6" t="e">
        <f t="shared" si="147"/>
        <v>#DIV/0!</v>
      </c>
      <c r="X1807" s="6" t="e">
        <f ca="1">SQRT($B$9*AVERAGE(W1807:OFFSET(W1807,$B$5-1,0)))</f>
        <v>#DIV/0!</v>
      </c>
      <c r="Y1807" s="6" t="e">
        <f ca="1">SQRT($B$9*AVERAGE(W1807:OFFSET(W1807,$B$6-1,0)))</f>
        <v>#DIV/0!</v>
      </c>
      <c r="Z1807" s="6" t="e">
        <f ca="1">SQRT($B$9*AVERAGE(W1807:OFFSET(W1807,$B$7-1,0)))</f>
        <v>#DIV/0!</v>
      </c>
      <c r="AA1807" s="6" t="e">
        <f ca="1">SQRT($B$9*AVERAGE(W1807:OFFSET(W1807,$B$8-1,0)))</f>
        <v>#DIV/0!</v>
      </c>
      <c r="AC1807" s="34" t="e">
        <f t="shared" si="145"/>
        <v>#DIV/0!</v>
      </c>
      <c r="AD1807" s="34" t="e">
        <f ca="1">SQRT($B$9*SUM(AC1807:OFFSET(AC1807,$B$5-1,0))/($B$5-1))</f>
        <v>#DIV/0!</v>
      </c>
      <c r="AE1807" s="34" t="e">
        <f ca="1">SQRT($B$9*SUM(AC1807:OFFSET(AC1807,$B$6-1,0))/($B$6-1))</f>
        <v>#DIV/0!</v>
      </c>
      <c r="AF1807" s="34" t="e">
        <f ca="1">SQRT($B$9*SUM(AC1807:OFFSET(AC1807,$B$7-1,0))/($B$7-1))</f>
        <v>#DIV/0!</v>
      </c>
      <c r="AG1807" s="34" t="e">
        <f ca="1">SQRT($B$9*SUM(AC1807:OFFSET(AC1807,$B$8-1,0))/($B$8-1))</f>
        <v>#DIV/0!</v>
      </c>
      <c r="AI1807" s="1" t="e">
        <f t="shared" si="146"/>
        <v>#DIV/0!</v>
      </c>
      <c r="AJ1807" s="4" t="e">
        <f ca="1">SQRT($B$9)*_xlfn.STDEV.S(AI1807:OFFSET(AI1807,$B$5-1,0))</f>
        <v>#DIV/0!</v>
      </c>
      <c r="AK1807" s="4" t="e">
        <f ca="1">SQRT($B$9)*_xlfn.STDEV.S(AI1807:OFFSET(AI1807,$B$6-1,0))</f>
        <v>#DIV/0!</v>
      </c>
      <c r="AL1807" s="4" t="e">
        <f ca="1">SQRT($B$9)*_xlfn.STDEV.S(AI1807:OFFSET(AI1807,$B$7-1,0))</f>
        <v>#DIV/0!</v>
      </c>
      <c r="AM1807" s="4" t="e">
        <f ca="1">SQRT($B$9)*_xlfn.STDEV.S(AI1807:OFFSET(AI1807,$B$8-1,0))</f>
        <v>#DIV/0!</v>
      </c>
    </row>
    <row r="1808" spans="11:39" x14ac:dyDescent="0.2">
      <c r="K1808" s="3" t="e">
        <f t="shared" si="149"/>
        <v>#DIV/0!</v>
      </c>
      <c r="L1808" s="3" t="e">
        <f ca="1">SQRT(AVERAGE(K1808:OFFSET(K1808,$B$5-1,0))*$B$9/(4*LN(2)))</f>
        <v>#DIV/0!</v>
      </c>
      <c r="M1808" s="3" t="e">
        <f ca="1">SQRT(AVERAGE(K1808:OFFSET(K1808,$B$6-1,0))*$B$9/(4*LN(2)))</f>
        <v>#DIV/0!</v>
      </c>
      <c r="N1808" s="3" t="e">
        <f ca="1">SQRT(AVERAGE(K1808:OFFSET(K1808,$B$7-1,0))*$B$9/(4*LN(2)))</f>
        <v>#DIV/0!</v>
      </c>
      <c r="O1808" s="3" t="e">
        <f ca="1">SQRT(AVERAGE(K1808:OFFSET(K1808,$B$8-1,0))*$B$9/(4*LN(2)))</f>
        <v>#DIV/0!</v>
      </c>
      <c r="Q1808" s="5" t="e">
        <f t="shared" si="148"/>
        <v>#DIV/0!</v>
      </c>
      <c r="R1808" s="5" t="e">
        <f ca="1">SQRT($B$9*AVERAGE((Q1808:OFFSET(Q1808,$B$5-1,0))))</f>
        <v>#DIV/0!</v>
      </c>
      <c r="S1808" s="5" t="e">
        <f ca="1">SQRT($B$9*AVERAGE((Q1808:OFFSET(Q1808,$B$6-1,0))))</f>
        <v>#DIV/0!</v>
      </c>
      <c r="T1808" s="5" t="e">
        <f ca="1">SQRT($B$9*AVERAGE((Q1808:OFFSET(Q1808,$B$7-1,0))))</f>
        <v>#DIV/0!</v>
      </c>
      <c r="U1808" s="5" t="e">
        <f ca="1">SQRT($B$9*AVERAGE((Q1808:OFFSET(Q1808,$B$8-1,0))))</f>
        <v>#DIV/0!</v>
      </c>
      <c r="W1808" s="6" t="e">
        <f t="shared" si="147"/>
        <v>#DIV/0!</v>
      </c>
      <c r="X1808" s="6" t="e">
        <f ca="1">SQRT($B$9*AVERAGE(W1808:OFFSET(W1808,$B$5-1,0)))</f>
        <v>#DIV/0!</v>
      </c>
      <c r="Y1808" s="6" t="e">
        <f ca="1">SQRT($B$9*AVERAGE(W1808:OFFSET(W1808,$B$6-1,0)))</f>
        <v>#DIV/0!</v>
      </c>
      <c r="Z1808" s="6" t="e">
        <f ca="1">SQRT($B$9*AVERAGE(W1808:OFFSET(W1808,$B$7-1,0)))</f>
        <v>#DIV/0!</v>
      </c>
      <c r="AA1808" s="6" t="e">
        <f ca="1">SQRT($B$9*AVERAGE(W1808:OFFSET(W1808,$B$8-1,0)))</f>
        <v>#DIV/0!</v>
      </c>
      <c r="AC1808" s="34" t="e">
        <f t="shared" si="145"/>
        <v>#DIV/0!</v>
      </c>
      <c r="AD1808" s="34" t="e">
        <f ca="1">SQRT($B$9*SUM(AC1808:OFFSET(AC1808,$B$5-1,0))/($B$5-1))</f>
        <v>#DIV/0!</v>
      </c>
      <c r="AE1808" s="34" t="e">
        <f ca="1">SQRT($B$9*SUM(AC1808:OFFSET(AC1808,$B$6-1,0))/($B$6-1))</f>
        <v>#DIV/0!</v>
      </c>
      <c r="AF1808" s="34" t="e">
        <f ca="1">SQRT($B$9*SUM(AC1808:OFFSET(AC1808,$B$7-1,0))/($B$7-1))</f>
        <v>#DIV/0!</v>
      </c>
      <c r="AG1808" s="34" t="e">
        <f ca="1">SQRT($B$9*SUM(AC1808:OFFSET(AC1808,$B$8-1,0))/($B$8-1))</f>
        <v>#DIV/0!</v>
      </c>
      <c r="AI1808" s="1" t="e">
        <f t="shared" si="146"/>
        <v>#DIV/0!</v>
      </c>
      <c r="AJ1808" s="4" t="e">
        <f ca="1">SQRT($B$9)*_xlfn.STDEV.S(AI1808:OFFSET(AI1808,$B$5-1,0))</f>
        <v>#DIV/0!</v>
      </c>
      <c r="AK1808" s="4" t="e">
        <f ca="1">SQRT($B$9)*_xlfn.STDEV.S(AI1808:OFFSET(AI1808,$B$6-1,0))</f>
        <v>#DIV/0!</v>
      </c>
      <c r="AL1808" s="4" t="e">
        <f ca="1">SQRT($B$9)*_xlfn.STDEV.S(AI1808:OFFSET(AI1808,$B$7-1,0))</f>
        <v>#DIV/0!</v>
      </c>
      <c r="AM1808" s="4" t="e">
        <f ca="1">SQRT($B$9)*_xlfn.STDEV.S(AI1808:OFFSET(AI1808,$B$8-1,0))</f>
        <v>#DIV/0!</v>
      </c>
    </row>
    <row r="1809" spans="11:39" x14ac:dyDescent="0.2">
      <c r="K1809" s="3" t="e">
        <f t="shared" si="149"/>
        <v>#DIV/0!</v>
      </c>
      <c r="L1809" s="3" t="e">
        <f ca="1">SQRT(AVERAGE(K1809:OFFSET(K1809,$B$5-1,0))*$B$9/(4*LN(2)))</f>
        <v>#DIV/0!</v>
      </c>
      <c r="M1809" s="3" t="e">
        <f ca="1">SQRT(AVERAGE(K1809:OFFSET(K1809,$B$6-1,0))*$B$9/(4*LN(2)))</f>
        <v>#DIV/0!</v>
      </c>
      <c r="N1809" s="3" t="e">
        <f ca="1">SQRT(AVERAGE(K1809:OFFSET(K1809,$B$7-1,0))*$B$9/(4*LN(2)))</f>
        <v>#DIV/0!</v>
      </c>
      <c r="O1809" s="3" t="e">
        <f ca="1">SQRT(AVERAGE(K1809:OFFSET(K1809,$B$8-1,0))*$B$9/(4*LN(2)))</f>
        <v>#DIV/0!</v>
      </c>
      <c r="Q1809" s="5" t="e">
        <f t="shared" si="148"/>
        <v>#DIV/0!</v>
      </c>
      <c r="R1809" s="5" t="e">
        <f ca="1">SQRT($B$9*AVERAGE((Q1809:OFFSET(Q1809,$B$5-1,0))))</f>
        <v>#DIV/0!</v>
      </c>
      <c r="S1809" s="5" t="e">
        <f ca="1">SQRT($B$9*AVERAGE((Q1809:OFFSET(Q1809,$B$6-1,0))))</f>
        <v>#DIV/0!</v>
      </c>
      <c r="T1809" s="5" t="e">
        <f ca="1">SQRT($B$9*AVERAGE((Q1809:OFFSET(Q1809,$B$7-1,0))))</f>
        <v>#DIV/0!</v>
      </c>
      <c r="U1809" s="5" t="e">
        <f ca="1">SQRT($B$9*AVERAGE((Q1809:OFFSET(Q1809,$B$8-1,0))))</f>
        <v>#DIV/0!</v>
      </c>
      <c r="W1809" s="6" t="e">
        <f t="shared" si="147"/>
        <v>#DIV/0!</v>
      </c>
      <c r="X1809" s="6" t="e">
        <f ca="1">SQRT($B$9*AVERAGE(W1809:OFFSET(W1809,$B$5-1,0)))</f>
        <v>#DIV/0!</v>
      </c>
      <c r="Y1809" s="6" t="e">
        <f ca="1">SQRT($B$9*AVERAGE(W1809:OFFSET(W1809,$B$6-1,0)))</f>
        <v>#DIV/0!</v>
      </c>
      <c r="Z1809" s="6" t="e">
        <f ca="1">SQRT($B$9*AVERAGE(W1809:OFFSET(W1809,$B$7-1,0)))</f>
        <v>#DIV/0!</v>
      </c>
      <c r="AA1809" s="6" t="e">
        <f ca="1">SQRT($B$9*AVERAGE(W1809:OFFSET(W1809,$B$8-1,0)))</f>
        <v>#DIV/0!</v>
      </c>
      <c r="AC1809" s="34" t="e">
        <f t="shared" ref="AC1809:AC1819" si="150">(LN(I1809/I1810))^2</f>
        <v>#DIV/0!</v>
      </c>
      <c r="AD1809" s="34" t="e">
        <f ca="1">SQRT($B$9*SUM(AC1809:OFFSET(AC1809,$B$5-1,0))/($B$5-1))</f>
        <v>#DIV/0!</v>
      </c>
      <c r="AE1809" s="34" t="e">
        <f ca="1">SQRT($B$9*SUM(AC1809:OFFSET(AC1809,$B$6-1,0))/($B$6-1))</f>
        <v>#DIV/0!</v>
      </c>
      <c r="AF1809" s="34" t="e">
        <f ca="1">SQRT($B$9*SUM(AC1809:OFFSET(AC1809,$B$7-1,0))/($B$7-1))</f>
        <v>#DIV/0!</v>
      </c>
      <c r="AG1809" s="34" t="e">
        <f ca="1">SQRT($B$9*SUM(AC1809:OFFSET(AC1809,$B$8-1,0))/($B$8-1))</f>
        <v>#DIV/0!</v>
      </c>
      <c r="AI1809" s="1" t="e">
        <f t="shared" si="146"/>
        <v>#DIV/0!</v>
      </c>
      <c r="AJ1809" s="4" t="e">
        <f ca="1">SQRT($B$9)*_xlfn.STDEV.S(AI1809:OFFSET(AI1809,$B$5-1,0))</f>
        <v>#DIV/0!</v>
      </c>
      <c r="AK1809" s="4" t="e">
        <f ca="1">SQRT($B$9)*_xlfn.STDEV.S(AI1809:OFFSET(AI1809,$B$6-1,0))</f>
        <v>#DIV/0!</v>
      </c>
      <c r="AL1809" s="4" t="e">
        <f ca="1">SQRT($B$9)*_xlfn.STDEV.S(AI1809:OFFSET(AI1809,$B$7-1,0))</f>
        <v>#DIV/0!</v>
      </c>
      <c r="AM1809" s="4" t="e">
        <f ca="1">SQRT($B$9)*_xlfn.STDEV.S(AI1809:OFFSET(AI1809,$B$8-1,0))</f>
        <v>#DIV/0!</v>
      </c>
    </row>
    <row r="1810" spans="11:39" x14ac:dyDescent="0.2">
      <c r="K1810" s="3" t="e">
        <f t="shared" si="149"/>
        <v>#DIV/0!</v>
      </c>
      <c r="L1810" s="3" t="e">
        <f ca="1">SQRT(AVERAGE(K1810:OFFSET(K1810,$B$5-1,0))*$B$9/(4*LN(2)))</f>
        <v>#DIV/0!</v>
      </c>
      <c r="M1810" s="3" t="e">
        <f ca="1">SQRT(AVERAGE(K1810:OFFSET(K1810,$B$6-1,0))*$B$9/(4*LN(2)))</f>
        <v>#DIV/0!</v>
      </c>
      <c r="N1810" s="3" t="e">
        <f ca="1">SQRT(AVERAGE(K1810:OFFSET(K1810,$B$7-1,0))*$B$9/(4*LN(2)))</f>
        <v>#DIV/0!</v>
      </c>
      <c r="O1810" s="3" t="e">
        <f ca="1">SQRT(AVERAGE(K1810:OFFSET(K1810,$B$8-1,0))*$B$9/(4*LN(2)))</f>
        <v>#DIV/0!</v>
      </c>
      <c r="Q1810" s="5" t="e">
        <f t="shared" si="148"/>
        <v>#DIV/0!</v>
      </c>
      <c r="R1810" s="5" t="e">
        <f ca="1">SQRT($B$9*AVERAGE((Q1810:OFFSET(Q1810,$B$5-1,0))))</f>
        <v>#DIV/0!</v>
      </c>
      <c r="S1810" s="5" t="e">
        <f ca="1">SQRT($B$9*AVERAGE((Q1810:OFFSET(Q1810,$B$6-1,0))))</f>
        <v>#DIV/0!</v>
      </c>
      <c r="T1810" s="5" t="e">
        <f ca="1">SQRT($B$9*AVERAGE((Q1810:OFFSET(Q1810,$B$7-1,0))))</f>
        <v>#DIV/0!</v>
      </c>
      <c r="U1810" s="5" t="e">
        <f ca="1">SQRT($B$9*AVERAGE((Q1810:OFFSET(Q1810,$B$8-1,0))))</f>
        <v>#DIV/0!</v>
      </c>
      <c r="W1810" s="6" t="e">
        <f t="shared" si="147"/>
        <v>#DIV/0!</v>
      </c>
      <c r="X1810" s="6" t="e">
        <f ca="1">SQRT($B$9*AVERAGE(W1810:OFFSET(W1810,$B$5-1,0)))</f>
        <v>#DIV/0!</v>
      </c>
      <c r="Y1810" s="6" t="e">
        <f ca="1">SQRT($B$9*AVERAGE(W1810:OFFSET(W1810,$B$6-1,0)))</f>
        <v>#DIV/0!</v>
      </c>
      <c r="Z1810" s="6" t="e">
        <f ca="1">SQRT($B$9*AVERAGE(W1810:OFFSET(W1810,$B$7-1,0)))</f>
        <v>#DIV/0!</v>
      </c>
      <c r="AA1810" s="6" t="e">
        <f ca="1">SQRT($B$9*AVERAGE(W1810:OFFSET(W1810,$B$8-1,0)))</f>
        <v>#DIV/0!</v>
      </c>
      <c r="AC1810" s="34" t="e">
        <f t="shared" si="150"/>
        <v>#DIV/0!</v>
      </c>
      <c r="AD1810" s="34" t="e">
        <f ca="1">SQRT($B$9*SUM(AC1810:OFFSET(AC1810,$B$5-1,0))/($B$5-1))</f>
        <v>#DIV/0!</v>
      </c>
      <c r="AE1810" s="34" t="e">
        <f ca="1">SQRT($B$9*SUM(AC1810:OFFSET(AC1810,$B$6-1,0))/($B$6-1))</f>
        <v>#DIV/0!</v>
      </c>
      <c r="AF1810" s="34" t="e">
        <f ca="1">SQRT($B$9*SUM(AC1810:OFFSET(AC1810,$B$7-1,0))/($B$7-1))</f>
        <v>#DIV/0!</v>
      </c>
      <c r="AG1810" s="34" t="e">
        <f ca="1">SQRT($B$9*SUM(AC1810:OFFSET(AC1810,$B$8-1,0))/($B$8-1))</f>
        <v>#DIV/0!</v>
      </c>
      <c r="AI1810" s="1" t="e">
        <f t="shared" si="146"/>
        <v>#DIV/0!</v>
      </c>
      <c r="AJ1810" s="4" t="e">
        <f ca="1">SQRT($B$9)*_xlfn.STDEV.S(AI1810:OFFSET(AI1810,$B$5-1,0))</f>
        <v>#DIV/0!</v>
      </c>
      <c r="AK1810" s="4" t="e">
        <f ca="1">SQRT($B$9)*_xlfn.STDEV.S(AI1810:OFFSET(AI1810,$B$6-1,0))</f>
        <v>#DIV/0!</v>
      </c>
      <c r="AL1810" s="4" t="e">
        <f ca="1">SQRT($B$9)*_xlfn.STDEV.S(AI1810:OFFSET(AI1810,$B$7-1,0))</f>
        <v>#DIV/0!</v>
      </c>
      <c r="AM1810" s="4" t="e">
        <f ca="1">SQRT($B$9)*_xlfn.STDEV.S(AI1810:OFFSET(AI1810,$B$8-1,0))</f>
        <v>#DIV/0!</v>
      </c>
    </row>
    <row r="1811" spans="11:39" x14ac:dyDescent="0.2">
      <c r="K1811" s="3" t="e">
        <f t="shared" si="149"/>
        <v>#DIV/0!</v>
      </c>
      <c r="L1811" s="3" t="e">
        <f ca="1">SQRT(AVERAGE(K1811:OFFSET(K1811,$B$5-1,0))*$B$9/(4*LN(2)))</f>
        <v>#DIV/0!</v>
      </c>
      <c r="M1811" s="3" t="e">
        <f ca="1">SQRT(AVERAGE(K1811:OFFSET(K1811,$B$6-1,0))*$B$9/(4*LN(2)))</f>
        <v>#DIV/0!</v>
      </c>
      <c r="N1811" s="3" t="e">
        <f ca="1">SQRT(AVERAGE(K1811:OFFSET(K1811,$B$7-1,0))*$B$9/(4*LN(2)))</f>
        <v>#DIV/0!</v>
      </c>
      <c r="O1811" s="3" t="e">
        <f ca="1">SQRT(AVERAGE(K1811:OFFSET(K1811,$B$8-1,0))*$B$9/(4*LN(2)))</f>
        <v>#DIV/0!</v>
      </c>
      <c r="Q1811" s="5" t="e">
        <f t="shared" si="148"/>
        <v>#DIV/0!</v>
      </c>
      <c r="R1811" s="5" t="e">
        <f ca="1">SQRT($B$9*AVERAGE((Q1811:OFFSET(Q1811,$B$5-1,0))))</f>
        <v>#DIV/0!</v>
      </c>
      <c r="S1811" s="5" t="e">
        <f ca="1">SQRT($B$9*AVERAGE((Q1811:OFFSET(Q1811,$B$6-1,0))))</f>
        <v>#DIV/0!</v>
      </c>
      <c r="T1811" s="5" t="e">
        <f ca="1">SQRT($B$9*AVERAGE((Q1811:OFFSET(Q1811,$B$7-1,0))))</f>
        <v>#DIV/0!</v>
      </c>
      <c r="U1811" s="5" t="e">
        <f ca="1">SQRT($B$9*AVERAGE((Q1811:OFFSET(Q1811,$B$8-1,0))))</f>
        <v>#DIV/0!</v>
      </c>
      <c r="W1811" s="6" t="e">
        <f t="shared" si="147"/>
        <v>#DIV/0!</v>
      </c>
      <c r="X1811" s="6" t="e">
        <f ca="1">SQRT($B$9*AVERAGE(W1811:OFFSET(W1811,$B$5-1,0)))</f>
        <v>#DIV/0!</v>
      </c>
      <c r="Y1811" s="6" t="e">
        <f ca="1">SQRT($B$9*AVERAGE(W1811:OFFSET(W1811,$B$6-1,0)))</f>
        <v>#DIV/0!</v>
      </c>
      <c r="Z1811" s="6" t="e">
        <f ca="1">SQRT($B$9*AVERAGE(W1811:OFFSET(W1811,$B$7-1,0)))</f>
        <v>#DIV/0!</v>
      </c>
      <c r="AA1811" s="6" t="e">
        <f ca="1">SQRT($B$9*AVERAGE(W1811:OFFSET(W1811,$B$8-1,0)))</f>
        <v>#DIV/0!</v>
      </c>
      <c r="AC1811" s="34" t="e">
        <f t="shared" si="150"/>
        <v>#DIV/0!</v>
      </c>
      <c r="AD1811" s="34" t="e">
        <f ca="1">SQRT($B$9*SUM(AC1811:OFFSET(AC1811,$B$5-1,0))/($B$5-1))</f>
        <v>#DIV/0!</v>
      </c>
      <c r="AE1811" s="34" t="e">
        <f ca="1">SQRT($B$9*SUM(AC1811:OFFSET(AC1811,$B$6-1,0))/($B$6-1))</f>
        <v>#DIV/0!</v>
      </c>
      <c r="AF1811" s="34" t="e">
        <f ca="1">SQRT($B$9*SUM(AC1811:OFFSET(AC1811,$B$7-1,0))/($B$7-1))</f>
        <v>#DIV/0!</v>
      </c>
      <c r="AG1811" s="34" t="e">
        <f ca="1">SQRT($B$9*SUM(AC1811:OFFSET(AC1811,$B$8-1,0))/($B$8-1))</f>
        <v>#DIV/0!</v>
      </c>
      <c r="AI1811" s="1" t="e">
        <f t="shared" ref="AI1811:AI1819" si="151">LN(I1811/I1812)</f>
        <v>#DIV/0!</v>
      </c>
      <c r="AJ1811" s="4" t="e">
        <f ca="1">SQRT($B$9)*_xlfn.STDEV.S(AI1811:OFFSET(AI1811,$B$5-1,0))</f>
        <v>#DIV/0!</v>
      </c>
      <c r="AK1811" s="4" t="e">
        <f ca="1">SQRT($B$9)*_xlfn.STDEV.S(AI1811:OFFSET(AI1811,$B$6-1,0))</f>
        <v>#DIV/0!</v>
      </c>
      <c r="AL1811" s="4" t="e">
        <f ca="1">SQRT($B$9)*_xlfn.STDEV.S(AI1811:OFFSET(AI1811,$B$7-1,0))</f>
        <v>#DIV/0!</v>
      </c>
      <c r="AM1811" s="4" t="e">
        <f ca="1">SQRT($B$9)*_xlfn.STDEV.S(AI1811:OFFSET(AI1811,$B$8-1,0))</f>
        <v>#DIV/0!</v>
      </c>
    </row>
    <row r="1812" spans="11:39" x14ac:dyDescent="0.2">
      <c r="K1812" s="3" t="e">
        <f t="shared" si="149"/>
        <v>#DIV/0!</v>
      </c>
      <c r="L1812" s="3" t="e">
        <f ca="1">SQRT(AVERAGE(K1812:OFFSET(K1812,$B$5-1,0))*$B$9/(4*LN(2)))</f>
        <v>#DIV/0!</v>
      </c>
      <c r="M1812" s="3" t="e">
        <f ca="1">SQRT(AVERAGE(K1812:OFFSET(K1812,$B$6-1,0))*$B$9/(4*LN(2)))</f>
        <v>#DIV/0!</v>
      </c>
      <c r="N1812" s="3" t="e">
        <f ca="1">SQRT(AVERAGE(K1812:OFFSET(K1812,$B$7-1,0))*$B$9/(4*LN(2)))</f>
        <v>#DIV/0!</v>
      </c>
      <c r="O1812" s="3" t="e">
        <f ca="1">SQRT(AVERAGE(K1812:OFFSET(K1812,$B$8-1,0))*$B$9/(4*LN(2)))</f>
        <v>#DIV/0!</v>
      </c>
      <c r="Q1812" s="5" t="e">
        <f t="shared" si="148"/>
        <v>#DIV/0!</v>
      </c>
      <c r="R1812" s="5" t="e">
        <f ca="1">SQRT($B$9*AVERAGE((Q1812:OFFSET(Q1812,$B$5-1,0))))</f>
        <v>#DIV/0!</v>
      </c>
      <c r="S1812" s="5" t="e">
        <f ca="1">SQRT($B$9*AVERAGE((Q1812:OFFSET(Q1812,$B$6-1,0))))</f>
        <v>#DIV/0!</v>
      </c>
      <c r="T1812" s="5" t="e">
        <f ca="1">SQRT($B$9*AVERAGE((Q1812:OFFSET(Q1812,$B$7-1,0))))</f>
        <v>#DIV/0!</v>
      </c>
      <c r="U1812" s="5" t="e">
        <f ca="1">SQRT($B$9*AVERAGE((Q1812:OFFSET(Q1812,$B$8-1,0))))</f>
        <v>#DIV/0!</v>
      </c>
      <c r="W1812" s="6" t="e">
        <f t="shared" si="147"/>
        <v>#DIV/0!</v>
      </c>
      <c r="X1812" s="6" t="e">
        <f ca="1">SQRT($B$9*AVERAGE(W1812:OFFSET(W1812,$B$5-1,0)))</f>
        <v>#DIV/0!</v>
      </c>
      <c r="Y1812" s="6" t="e">
        <f ca="1">SQRT($B$9*AVERAGE(W1812:OFFSET(W1812,$B$6-1,0)))</f>
        <v>#DIV/0!</v>
      </c>
      <c r="Z1812" s="6" t="e">
        <f ca="1">SQRT($B$9*AVERAGE(W1812:OFFSET(W1812,$B$7-1,0)))</f>
        <v>#DIV/0!</v>
      </c>
      <c r="AA1812" s="6" t="e">
        <f ca="1">SQRT($B$9*AVERAGE(W1812:OFFSET(W1812,$B$8-1,0)))</f>
        <v>#DIV/0!</v>
      </c>
      <c r="AC1812" s="34" t="e">
        <f t="shared" si="150"/>
        <v>#DIV/0!</v>
      </c>
      <c r="AD1812" s="34" t="e">
        <f ca="1">SQRT($B$9*SUM(AC1812:OFFSET(AC1812,$B$5-1,0))/($B$5-1))</f>
        <v>#DIV/0!</v>
      </c>
      <c r="AE1812" s="34" t="e">
        <f ca="1">SQRT($B$9*SUM(AC1812:OFFSET(AC1812,$B$6-1,0))/($B$6-1))</f>
        <v>#DIV/0!</v>
      </c>
      <c r="AF1812" s="34" t="e">
        <f ca="1">SQRT($B$9*SUM(AC1812:OFFSET(AC1812,$B$7-1,0))/($B$7-1))</f>
        <v>#DIV/0!</v>
      </c>
      <c r="AG1812" s="34" t="e">
        <f ca="1">SQRT($B$9*SUM(AC1812:OFFSET(AC1812,$B$8-1,0))/($B$8-1))</f>
        <v>#DIV/0!</v>
      </c>
      <c r="AI1812" s="1" t="e">
        <f t="shared" si="151"/>
        <v>#DIV/0!</v>
      </c>
      <c r="AJ1812" s="4" t="e">
        <f ca="1">SQRT($B$9)*_xlfn.STDEV.S(AI1812:OFFSET(AI1812,$B$5-1,0))</f>
        <v>#DIV/0!</v>
      </c>
      <c r="AK1812" s="4" t="e">
        <f ca="1">SQRT($B$9)*_xlfn.STDEV.S(AI1812:OFFSET(AI1812,$B$6-1,0))</f>
        <v>#DIV/0!</v>
      </c>
      <c r="AL1812" s="4" t="e">
        <f ca="1">SQRT($B$9)*_xlfn.STDEV.S(AI1812:OFFSET(AI1812,$B$7-1,0))</f>
        <v>#DIV/0!</v>
      </c>
      <c r="AM1812" s="4" t="e">
        <f ca="1">SQRT($B$9)*_xlfn.STDEV.S(AI1812:OFFSET(AI1812,$B$8-1,0))</f>
        <v>#DIV/0!</v>
      </c>
    </row>
    <row r="1813" spans="11:39" x14ac:dyDescent="0.2">
      <c r="K1813" s="3" t="e">
        <f t="shared" si="149"/>
        <v>#DIV/0!</v>
      </c>
      <c r="L1813" s="3" t="e">
        <f ca="1">SQRT(AVERAGE(K1813:OFFSET(K1813,$B$5-1,0))*$B$9/(4*LN(2)))</f>
        <v>#DIV/0!</v>
      </c>
      <c r="M1813" s="3" t="e">
        <f ca="1">SQRT(AVERAGE(K1813:OFFSET(K1813,$B$6-1,0))*$B$9/(4*LN(2)))</f>
        <v>#DIV/0!</v>
      </c>
      <c r="N1813" s="3" t="e">
        <f ca="1">SQRT(AVERAGE(K1813:OFFSET(K1813,$B$7-1,0))*$B$9/(4*LN(2)))</f>
        <v>#DIV/0!</v>
      </c>
      <c r="O1813" s="3" t="e">
        <f ca="1">SQRT(AVERAGE(K1813:OFFSET(K1813,$B$8-1,0))*$B$9/(4*LN(2)))</f>
        <v>#DIV/0!</v>
      </c>
      <c r="Q1813" s="5" t="e">
        <f t="shared" si="148"/>
        <v>#DIV/0!</v>
      </c>
      <c r="R1813" s="5" t="e">
        <f ca="1">SQRT($B$9*AVERAGE((Q1813:OFFSET(Q1813,$B$5-1,0))))</f>
        <v>#DIV/0!</v>
      </c>
      <c r="S1813" s="5" t="e">
        <f ca="1">SQRT($B$9*AVERAGE((Q1813:OFFSET(Q1813,$B$6-1,0))))</f>
        <v>#DIV/0!</v>
      </c>
      <c r="T1813" s="5" t="e">
        <f ca="1">SQRT($B$9*AVERAGE((Q1813:OFFSET(Q1813,$B$7-1,0))))</f>
        <v>#DIV/0!</v>
      </c>
      <c r="U1813" s="5" t="e">
        <f ca="1">SQRT($B$9*AVERAGE((Q1813:OFFSET(Q1813,$B$8-1,0))))</f>
        <v>#DIV/0!</v>
      </c>
      <c r="W1813" s="6" t="e">
        <f t="shared" si="147"/>
        <v>#DIV/0!</v>
      </c>
      <c r="X1813" s="6" t="e">
        <f ca="1">SQRT($B$9*AVERAGE(W1813:OFFSET(W1813,$B$5-1,0)))</f>
        <v>#DIV/0!</v>
      </c>
      <c r="Y1813" s="6" t="e">
        <f ca="1">SQRT($B$9*AVERAGE(W1813:OFFSET(W1813,$B$6-1,0)))</f>
        <v>#DIV/0!</v>
      </c>
      <c r="Z1813" s="6" t="e">
        <f ca="1">SQRT($B$9*AVERAGE(W1813:OFFSET(W1813,$B$7-1,0)))</f>
        <v>#DIV/0!</v>
      </c>
      <c r="AA1813" s="6" t="e">
        <f ca="1">SQRT($B$9*AVERAGE(W1813:OFFSET(W1813,$B$8-1,0)))</f>
        <v>#DIV/0!</v>
      </c>
      <c r="AC1813" s="34" t="e">
        <f t="shared" si="150"/>
        <v>#DIV/0!</v>
      </c>
      <c r="AD1813" s="34" t="e">
        <f ca="1">SQRT($B$9*SUM(AC1813:OFFSET(AC1813,$B$5-1,0))/($B$5-1))</f>
        <v>#DIV/0!</v>
      </c>
      <c r="AE1813" s="34" t="e">
        <f ca="1">SQRT($B$9*SUM(AC1813:OFFSET(AC1813,$B$6-1,0))/($B$6-1))</f>
        <v>#DIV/0!</v>
      </c>
      <c r="AF1813" s="34" t="e">
        <f ca="1">SQRT($B$9*SUM(AC1813:OFFSET(AC1813,$B$7-1,0))/($B$7-1))</f>
        <v>#DIV/0!</v>
      </c>
      <c r="AG1813" s="34" t="e">
        <f ca="1">SQRT($B$9*SUM(AC1813:OFFSET(AC1813,$B$8-1,0))/($B$8-1))</f>
        <v>#DIV/0!</v>
      </c>
      <c r="AI1813" s="1" t="e">
        <f t="shared" si="151"/>
        <v>#DIV/0!</v>
      </c>
      <c r="AJ1813" s="4" t="e">
        <f ca="1">SQRT($B$9)*_xlfn.STDEV.S(AI1813:OFFSET(AI1813,$B$5-1,0))</f>
        <v>#DIV/0!</v>
      </c>
      <c r="AK1813" s="4" t="e">
        <f ca="1">SQRT($B$9)*_xlfn.STDEV.S(AI1813:OFFSET(AI1813,$B$6-1,0))</f>
        <v>#DIV/0!</v>
      </c>
      <c r="AL1813" s="4" t="e">
        <f ca="1">SQRT($B$9)*_xlfn.STDEV.S(AI1813:OFFSET(AI1813,$B$7-1,0))</f>
        <v>#DIV/0!</v>
      </c>
      <c r="AM1813" s="4" t="e">
        <f ca="1">SQRT($B$9)*_xlfn.STDEV.S(AI1813:OFFSET(AI1813,$B$8-1,0))</f>
        <v>#DIV/0!</v>
      </c>
    </row>
    <row r="1814" spans="11:39" x14ac:dyDescent="0.2">
      <c r="K1814" s="3" t="e">
        <f t="shared" si="149"/>
        <v>#DIV/0!</v>
      </c>
      <c r="L1814" s="3" t="e">
        <f ca="1">SQRT(AVERAGE(K1814:OFFSET(K1814,$B$5-1,0))*$B$9/(4*LN(2)))</f>
        <v>#DIV/0!</v>
      </c>
      <c r="M1814" s="3" t="e">
        <f ca="1">SQRT(AVERAGE(K1814:OFFSET(K1814,$B$6-1,0))*$B$9/(4*LN(2)))</f>
        <v>#DIV/0!</v>
      </c>
      <c r="N1814" s="3" t="e">
        <f ca="1">SQRT(AVERAGE(K1814:OFFSET(K1814,$B$7-1,0))*$B$9/(4*LN(2)))</f>
        <v>#DIV/0!</v>
      </c>
      <c r="O1814" s="3" t="e">
        <f ca="1">SQRT(AVERAGE(K1814:OFFSET(K1814,$B$8-1,0))*$B$9/(4*LN(2)))</f>
        <v>#DIV/0!</v>
      </c>
      <c r="Q1814" s="5" t="e">
        <f t="shared" si="148"/>
        <v>#DIV/0!</v>
      </c>
      <c r="R1814" s="5" t="e">
        <f ca="1">SQRT($B$9*AVERAGE((Q1814:OFFSET(Q1814,$B$5-1,0))))</f>
        <v>#DIV/0!</v>
      </c>
      <c r="S1814" s="5" t="e">
        <f ca="1">SQRT($B$9*AVERAGE((Q1814:OFFSET(Q1814,$B$6-1,0))))</f>
        <v>#DIV/0!</v>
      </c>
      <c r="T1814" s="5" t="e">
        <f ca="1">SQRT($B$9*AVERAGE((Q1814:OFFSET(Q1814,$B$7-1,0))))</f>
        <v>#DIV/0!</v>
      </c>
      <c r="U1814" s="5" t="e">
        <f ca="1">SQRT($B$9*AVERAGE((Q1814:OFFSET(Q1814,$B$8-1,0))))</f>
        <v>#DIV/0!</v>
      </c>
      <c r="W1814" s="6" t="e">
        <f t="shared" si="147"/>
        <v>#DIV/0!</v>
      </c>
      <c r="X1814" s="6" t="e">
        <f ca="1">SQRT($B$9*AVERAGE(W1814:OFFSET(W1814,$B$5-1,0)))</f>
        <v>#DIV/0!</v>
      </c>
      <c r="Y1814" s="6" t="e">
        <f ca="1">SQRT($B$9*AVERAGE(W1814:OFFSET(W1814,$B$6-1,0)))</f>
        <v>#DIV/0!</v>
      </c>
      <c r="Z1814" s="6" t="e">
        <f ca="1">SQRT($B$9*AVERAGE(W1814:OFFSET(W1814,$B$7-1,0)))</f>
        <v>#DIV/0!</v>
      </c>
      <c r="AA1814" s="6" t="e">
        <f ca="1">SQRT($B$9*AVERAGE(W1814:OFFSET(W1814,$B$8-1,0)))</f>
        <v>#DIV/0!</v>
      </c>
      <c r="AC1814" s="34" t="e">
        <f t="shared" si="150"/>
        <v>#DIV/0!</v>
      </c>
      <c r="AD1814" s="34" t="e">
        <f ca="1">SQRT($B$9*SUM(AC1814:OFFSET(AC1814,$B$5-1,0))/($B$5-1))</f>
        <v>#DIV/0!</v>
      </c>
      <c r="AE1814" s="34" t="e">
        <f ca="1">SQRT($B$9*SUM(AC1814:OFFSET(AC1814,$B$6-1,0))/($B$6-1))</f>
        <v>#DIV/0!</v>
      </c>
      <c r="AF1814" s="34" t="e">
        <f ca="1">SQRT($B$9*SUM(AC1814:OFFSET(AC1814,$B$7-1,0))/($B$7-1))</f>
        <v>#DIV/0!</v>
      </c>
      <c r="AG1814" s="34" t="e">
        <f ca="1">SQRT($B$9*SUM(AC1814:OFFSET(AC1814,$B$8-1,0))/($B$8-1))</f>
        <v>#DIV/0!</v>
      </c>
      <c r="AI1814" s="1" t="e">
        <f t="shared" si="151"/>
        <v>#DIV/0!</v>
      </c>
      <c r="AJ1814" s="4" t="e">
        <f ca="1">SQRT($B$9)*_xlfn.STDEV.S(AI1814:OFFSET(AI1814,$B$5-1,0))</f>
        <v>#DIV/0!</v>
      </c>
      <c r="AK1814" s="4" t="e">
        <f ca="1">SQRT($B$9)*_xlfn.STDEV.S(AI1814:OFFSET(AI1814,$B$6-1,0))</f>
        <v>#DIV/0!</v>
      </c>
      <c r="AL1814" s="4" t="e">
        <f ca="1">SQRT($B$9)*_xlfn.STDEV.S(AI1814:OFFSET(AI1814,$B$7-1,0))</f>
        <v>#DIV/0!</v>
      </c>
      <c r="AM1814" s="4" t="e">
        <f ca="1">SQRT($B$9)*_xlfn.STDEV.S(AI1814:OFFSET(AI1814,$B$8-1,0))</f>
        <v>#DIV/0!</v>
      </c>
    </row>
    <row r="1815" spans="11:39" x14ac:dyDescent="0.2">
      <c r="K1815" s="3" t="e">
        <f t="shared" si="149"/>
        <v>#DIV/0!</v>
      </c>
      <c r="L1815" s="3" t="e">
        <f ca="1">SQRT(AVERAGE(K1815:OFFSET(K1815,$B$5-1,0))*$B$9/(4*LN(2)))</f>
        <v>#DIV/0!</v>
      </c>
      <c r="M1815" s="3" t="e">
        <f ca="1">SQRT(AVERAGE(K1815:OFFSET(K1815,$B$6-1,0))*$B$9/(4*LN(2)))</f>
        <v>#DIV/0!</v>
      </c>
      <c r="N1815" s="3" t="e">
        <f ca="1">SQRT(AVERAGE(K1815:OFFSET(K1815,$B$7-1,0))*$B$9/(4*LN(2)))</f>
        <v>#DIV/0!</v>
      </c>
      <c r="O1815" s="3" t="e">
        <f ca="1">SQRT(AVERAGE(K1815:OFFSET(K1815,$B$8-1,0))*$B$9/(4*LN(2)))</f>
        <v>#DIV/0!</v>
      </c>
      <c r="Q1815" s="5" t="e">
        <f t="shared" si="148"/>
        <v>#DIV/0!</v>
      </c>
      <c r="R1815" s="5" t="e">
        <f ca="1">SQRT($B$9*AVERAGE((Q1815:OFFSET(Q1815,$B$5-1,0))))</f>
        <v>#DIV/0!</v>
      </c>
      <c r="S1815" s="5" t="e">
        <f ca="1">SQRT($B$9*AVERAGE((Q1815:OFFSET(Q1815,$B$6-1,0))))</f>
        <v>#DIV/0!</v>
      </c>
      <c r="T1815" s="5" t="e">
        <f ca="1">SQRT($B$9*AVERAGE((Q1815:OFFSET(Q1815,$B$7-1,0))))</f>
        <v>#DIV/0!</v>
      </c>
      <c r="U1815" s="5" t="e">
        <f ca="1">SQRT($B$9*AVERAGE((Q1815:OFFSET(Q1815,$B$8-1,0))))</f>
        <v>#DIV/0!</v>
      </c>
      <c r="W1815" s="6" t="e">
        <f t="shared" si="147"/>
        <v>#DIV/0!</v>
      </c>
      <c r="X1815" s="6" t="e">
        <f ca="1">SQRT($B$9*AVERAGE(W1815:OFFSET(W1815,$B$5-1,0)))</f>
        <v>#DIV/0!</v>
      </c>
      <c r="Y1815" s="6" t="e">
        <f ca="1">SQRT($B$9*AVERAGE(W1815:OFFSET(W1815,$B$6-1,0)))</f>
        <v>#DIV/0!</v>
      </c>
      <c r="Z1815" s="6" t="e">
        <f ca="1">SQRT($B$9*AVERAGE(W1815:OFFSET(W1815,$B$7-1,0)))</f>
        <v>#DIV/0!</v>
      </c>
      <c r="AA1815" s="6" t="e">
        <f ca="1">SQRT($B$9*AVERAGE(W1815:OFFSET(W1815,$B$8-1,0)))</f>
        <v>#DIV/0!</v>
      </c>
      <c r="AC1815" s="34" t="e">
        <f t="shared" si="150"/>
        <v>#DIV/0!</v>
      </c>
      <c r="AD1815" s="34" t="e">
        <f ca="1">SQRT($B$9*SUM(AC1815:OFFSET(AC1815,$B$5-1,0))/($B$5-1))</f>
        <v>#DIV/0!</v>
      </c>
      <c r="AE1815" s="34" t="e">
        <f ca="1">SQRT($B$9*SUM(AC1815:OFFSET(AC1815,$B$6-1,0))/($B$6-1))</f>
        <v>#DIV/0!</v>
      </c>
      <c r="AF1815" s="34" t="e">
        <f ca="1">SQRT($B$9*SUM(AC1815:OFFSET(AC1815,$B$7-1,0))/($B$7-1))</f>
        <v>#DIV/0!</v>
      </c>
      <c r="AG1815" s="34" t="e">
        <f ca="1">SQRT($B$9*SUM(AC1815:OFFSET(AC1815,$B$8-1,0))/($B$8-1))</f>
        <v>#DIV/0!</v>
      </c>
      <c r="AI1815" s="1" t="e">
        <f t="shared" si="151"/>
        <v>#DIV/0!</v>
      </c>
      <c r="AJ1815" s="4" t="e">
        <f ca="1">SQRT($B$9)*_xlfn.STDEV.S(AI1815:OFFSET(AI1815,$B$5-1,0))</f>
        <v>#DIV/0!</v>
      </c>
      <c r="AK1815" s="4" t="e">
        <f ca="1">SQRT($B$9)*_xlfn.STDEV.S(AI1815:OFFSET(AI1815,$B$6-1,0))</f>
        <v>#DIV/0!</v>
      </c>
      <c r="AL1815" s="4" t="e">
        <f ca="1">SQRT($B$9)*_xlfn.STDEV.S(AI1815:OFFSET(AI1815,$B$7-1,0))</f>
        <v>#DIV/0!</v>
      </c>
      <c r="AM1815" s="4" t="e">
        <f ca="1">SQRT($B$9)*_xlfn.STDEV.S(AI1815:OFFSET(AI1815,$B$8-1,0))</f>
        <v>#DIV/0!</v>
      </c>
    </row>
    <row r="1816" spans="11:39" x14ac:dyDescent="0.2">
      <c r="K1816" s="3" t="e">
        <f t="shared" si="149"/>
        <v>#DIV/0!</v>
      </c>
      <c r="L1816" s="3" t="e">
        <f ca="1">SQRT(AVERAGE(K1816:OFFSET(K1816,$B$5-1,0))*$B$9/(4*LN(2)))</f>
        <v>#DIV/0!</v>
      </c>
      <c r="M1816" s="3" t="e">
        <f ca="1">SQRT(AVERAGE(K1816:OFFSET(K1816,$B$6-1,0))*$B$9/(4*LN(2)))</f>
        <v>#DIV/0!</v>
      </c>
      <c r="N1816" s="3" t="e">
        <f ca="1">SQRT(AVERAGE(K1816:OFFSET(K1816,$B$7-1,0))*$B$9/(4*LN(2)))</f>
        <v>#DIV/0!</v>
      </c>
      <c r="O1816" s="3" t="e">
        <f ca="1">SQRT(AVERAGE(K1816:OFFSET(K1816,$B$8-1,0))*$B$9/(4*LN(2)))</f>
        <v>#DIV/0!</v>
      </c>
      <c r="Q1816" s="5" t="e">
        <f t="shared" si="148"/>
        <v>#DIV/0!</v>
      </c>
      <c r="R1816" s="5" t="e">
        <f ca="1">SQRT($B$9*AVERAGE((Q1816:OFFSET(Q1816,$B$5-1,0))))</f>
        <v>#DIV/0!</v>
      </c>
      <c r="S1816" s="5" t="e">
        <f ca="1">SQRT($B$9*AVERAGE((Q1816:OFFSET(Q1816,$B$6-1,0))))</f>
        <v>#DIV/0!</v>
      </c>
      <c r="T1816" s="5" t="e">
        <f ca="1">SQRT($B$9*AVERAGE((Q1816:OFFSET(Q1816,$B$7-1,0))))</f>
        <v>#DIV/0!</v>
      </c>
      <c r="U1816" s="5" t="e">
        <f ca="1">SQRT($B$9*AVERAGE((Q1816:OFFSET(Q1816,$B$8-1,0))))</f>
        <v>#DIV/0!</v>
      </c>
      <c r="W1816" s="6" t="e">
        <f t="shared" si="147"/>
        <v>#DIV/0!</v>
      </c>
      <c r="X1816" s="6" t="e">
        <f ca="1">SQRT($B$9*AVERAGE(W1816:OFFSET(W1816,$B$5-1,0)))</f>
        <v>#DIV/0!</v>
      </c>
      <c r="Y1816" s="6" t="e">
        <f ca="1">SQRT($B$9*AVERAGE(W1816:OFFSET(W1816,$B$6-1,0)))</f>
        <v>#DIV/0!</v>
      </c>
      <c r="Z1816" s="6" t="e">
        <f ca="1">SQRT($B$9*AVERAGE(W1816:OFFSET(W1816,$B$7-1,0)))</f>
        <v>#DIV/0!</v>
      </c>
      <c r="AA1816" s="6" t="e">
        <f ca="1">SQRT($B$9*AVERAGE(W1816:OFFSET(W1816,$B$8-1,0)))</f>
        <v>#DIV/0!</v>
      </c>
      <c r="AC1816" s="34" t="e">
        <f t="shared" si="150"/>
        <v>#DIV/0!</v>
      </c>
      <c r="AD1816" s="34" t="e">
        <f ca="1">SQRT($B$9*SUM(AC1816:OFFSET(AC1816,$B$5-1,0))/($B$5-1))</f>
        <v>#DIV/0!</v>
      </c>
      <c r="AE1816" s="34" t="e">
        <f ca="1">SQRT($B$9*SUM(AC1816:OFFSET(AC1816,$B$6-1,0))/($B$6-1))</f>
        <v>#DIV/0!</v>
      </c>
      <c r="AF1816" s="34" t="e">
        <f ca="1">SQRT($B$9*SUM(AC1816:OFFSET(AC1816,$B$7-1,0))/($B$7-1))</f>
        <v>#DIV/0!</v>
      </c>
      <c r="AG1816" s="34" t="e">
        <f ca="1">SQRT($B$9*SUM(AC1816:OFFSET(AC1816,$B$8-1,0))/($B$8-1))</f>
        <v>#DIV/0!</v>
      </c>
      <c r="AI1816" s="1" t="e">
        <f t="shared" si="151"/>
        <v>#DIV/0!</v>
      </c>
      <c r="AJ1816" s="4" t="e">
        <f ca="1">SQRT($B$9)*_xlfn.STDEV.S(AI1816:OFFSET(AI1816,$B$5-1,0))</f>
        <v>#DIV/0!</v>
      </c>
      <c r="AK1816" s="4" t="e">
        <f ca="1">SQRT($B$9)*_xlfn.STDEV.S(AI1816:OFFSET(AI1816,$B$6-1,0))</f>
        <v>#DIV/0!</v>
      </c>
      <c r="AL1816" s="4" t="e">
        <f ca="1">SQRT($B$9)*_xlfn.STDEV.S(AI1816:OFFSET(AI1816,$B$7-1,0))</f>
        <v>#DIV/0!</v>
      </c>
      <c r="AM1816" s="4" t="e">
        <f ca="1">SQRT($B$9)*_xlfn.STDEV.S(AI1816:OFFSET(AI1816,$B$8-1,0))</f>
        <v>#DIV/0!</v>
      </c>
    </row>
    <row r="1817" spans="11:39" x14ac:dyDescent="0.2">
      <c r="K1817" s="3" t="e">
        <f t="shared" si="149"/>
        <v>#DIV/0!</v>
      </c>
      <c r="L1817" s="3" t="e">
        <f ca="1">SQRT(AVERAGE(K1817:OFFSET(K1817,$B$5-1,0))*$B$9/(4*LN(2)))</f>
        <v>#DIV/0!</v>
      </c>
      <c r="M1817" s="3" t="e">
        <f ca="1">SQRT(AVERAGE(K1817:OFFSET(K1817,$B$6-1,0))*$B$9/(4*LN(2)))</f>
        <v>#DIV/0!</v>
      </c>
      <c r="N1817" s="3" t="e">
        <f ca="1">SQRT(AVERAGE(K1817:OFFSET(K1817,$B$7-1,0))*$B$9/(4*LN(2)))</f>
        <v>#DIV/0!</v>
      </c>
      <c r="O1817" s="3" t="e">
        <f ca="1">SQRT(AVERAGE(K1817:OFFSET(K1817,$B$8-1,0))*$B$9/(4*LN(2)))</f>
        <v>#DIV/0!</v>
      </c>
      <c r="Q1817" s="5" t="e">
        <f t="shared" si="148"/>
        <v>#DIV/0!</v>
      </c>
      <c r="R1817" s="5" t="e">
        <f ca="1">SQRT($B$9*AVERAGE((Q1817:OFFSET(Q1817,$B$5-1,0))))</f>
        <v>#DIV/0!</v>
      </c>
      <c r="S1817" s="5" t="e">
        <f ca="1">SQRT($B$9*AVERAGE((Q1817:OFFSET(Q1817,$B$6-1,0))))</f>
        <v>#DIV/0!</v>
      </c>
      <c r="T1817" s="5" t="e">
        <f ca="1">SQRT($B$9*AVERAGE((Q1817:OFFSET(Q1817,$B$7-1,0))))</f>
        <v>#DIV/0!</v>
      </c>
      <c r="U1817" s="5" t="e">
        <f ca="1">SQRT($B$9*AVERAGE((Q1817:OFFSET(Q1817,$B$8-1,0))))</f>
        <v>#DIV/0!</v>
      </c>
      <c r="W1817" s="6" t="e">
        <f t="shared" si="147"/>
        <v>#DIV/0!</v>
      </c>
      <c r="X1817" s="6" t="e">
        <f ca="1">SQRT($B$9*AVERAGE(W1817:OFFSET(W1817,$B$5-1,0)))</f>
        <v>#DIV/0!</v>
      </c>
      <c r="Y1817" s="6" t="e">
        <f ca="1">SQRT($B$9*AVERAGE(W1817:OFFSET(W1817,$B$6-1,0)))</f>
        <v>#DIV/0!</v>
      </c>
      <c r="Z1817" s="6" t="e">
        <f ca="1">SQRT($B$9*AVERAGE(W1817:OFFSET(W1817,$B$7-1,0)))</f>
        <v>#DIV/0!</v>
      </c>
      <c r="AA1817" s="6" t="e">
        <f ca="1">SQRT($B$9*AVERAGE(W1817:OFFSET(W1817,$B$8-1,0)))</f>
        <v>#DIV/0!</v>
      </c>
      <c r="AC1817" s="34" t="e">
        <f t="shared" si="150"/>
        <v>#DIV/0!</v>
      </c>
      <c r="AD1817" s="34" t="e">
        <f ca="1">SQRT($B$9*SUM(AC1817:OFFSET(AC1817,$B$5-1,0))/($B$5-1))</f>
        <v>#DIV/0!</v>
      </c>
      <c r="AE1817" s="34" t="e">
        <f ca="1">SQRT($B$9*SUM(AC1817:OFFSET(AC1817,$B$6-1,0))/($B$6-1))</f>
        <v>#DIV/0!</v>
      </c>
      <c r="AF1817" s="34" t="e">
        <f ca="1">SQRT($B$9*SUM(AC1817:OFFSET(AC1817,$B$7-1,0))/($B$7-1))</f>
        <v>#DIV/0!</v>
      </c>
      <c r="AG1817" s="34" t="e">
        <f ca="1">SQRT($B$9*SUM(AC1817:OFFSET(AC1817,$B$8-1,0))/($B$8-1))</f>
        <v>#DIV/0!</v>
      </c>
      <c r="AI1817" s="1" t="e">
        <f t="shared" si="151"/>
        <v>#DIV/0!</v>
      </c>
      <c r="AJ1817" s="4" t="e">
        <f ca="1">SQRT($B$9)*_xlfn.STDEV.S(AI1817:OFFSET(AI1817,$B$5-1,0))</f>
        <v>#DIV/0!</v>
      </c>
      <c r="AK1817" s="4" t="e">
        <f ca="1">SQRT($B$9)*_xlfn.STDEV.S(AI1817:OFFSET(AI1817,$B$6-1,0))</f>
        <v>#DIV/0!</v>
      </c>
      <c r="AL1817" s="4" t="e">
        <f ca="1">SQRT($B$9)*_xlfn.STDEV.S(AI1817:OFFSET(AI1817,$B$7-1,0))</f>
        <v>#DIV/0!</v>
      </c>
      <c r="AM1817" s="4" t="e">
        <f ca="1">SQRT($B$9)*_xlfn.STDEV.S(AI1817:OFFSET(AI1817,$B$8-1,0))</f>
        <v>#DIV/0!</v>
      </c>
    </row>
    <row r="1818" spans="11:39" x14ac:dyDescent="0.2">
      <c r="K1818" s="3" t="e">
        <f t="shared" si="149"/>
        <v>#DIV/0!</v>
      </c>
      <c r="L1818" s="3" t="e">
        <f ca="1">SQRT(AVERAGE(K1818:OFFSET(K1818,$B$5-1,0))*$B$9/(4*LN(2)))</f>
        <v>#DIV/0!</v>
      </c>
      <c r="M1818" s="3" t="e">
        <f ca="1">SQRT(AVERAGE(K1818:OFFSET(K1818,$B$6-1,0))*$B$9/(4*LN(2)))</f>
        <v>#DIV/0!</v>
      </c>
      <c r="N1818" s="3" t="e">
        <f ca="1">SQRT(AVERAGE(K1818:OFFSET(K1818,$B$7-1,0))*$B$9/(4*LN(2)))</f>
        <v>#DIV/0!</v>
      </c>
      <c r="O1818" s="3" t="e">
        <f ca="1">SQRT(AVERAGE(K1818:OFFSET(K1818,$B$8-1,0))*$B$9/(4*LN(2)))</f>
        <v>#DIV/0!</v>
      </c>
      <c r="Q1818" s="5" t="e">
        <f t="shared" si="148"/>
        <v>#DIV/0!</v>
      </c>
      <c r="R1818" s="5" t="e">
        <f ca="1">SQRT($B$9*AVERAGE((Q1818:OFFSET(Q1818,$B$5-1,0))))</f>
        <v>#DIV/0!</v>
      </c>
      <c r="S1818" s="5" t="e">
        <f ca="1">SQRT($B$9*AVERAGE((Q1818:OFFSET(Q1818,$B$6-1,0))))</f>
        <v>#DIV/0!</v>
      </c>
      <c r="T1818" s="5" t="e">
        <f ca="1">SQRT($B$9*AVERAGE((Q1818:OFFSET(Q1818,$B$7-1,0))))</f>
        <v>#DIV/0!</v>
      </c>
      <c r="U1818" s="5" t="e">
        <f ca="1">SQRT($B$9*AVERAGE((Q1818:OFFSET(Q1818,$B$8-1,0))))</f>
        <v>#DIV/0!</v>
      </c>
      <c r="W1818" s="6" t="e">
        <f t="shared" si="147"/>
        <v>#DIV/0!</v>
      </c>
      <c r="X1818" s="6" t="e">
        <f ca="1">SQRT($B$9*AVERAGE(W1818:OFFSET(W1818,$B$5-1,0)))</f>
        <v>#DIV/0!</v>
      </c>
      <c r="Y1818" s="6" t="e">
        <f ca="1">SQRT($B$9*AVERAGE(W1818:OFFSET(W1818,$B$6-1,0)))</f>
        <v>#DIV/0!</v>
      </c>
      <c r="Z1818" s="6" t="e">
        <f ca="1">SQRT($B$9*AVERAGE(W1818:OFFSET(W1818,$B$7-1,0)))</f>
        <v>#DIV/0!</v>
      </c>
      <c r="AA1818" s="6" t="e">
        <f ca="1">SQRT($B$9*AVERAGE(W1818:OFFSET(W1818,$B$8-1,0)))</f>
        <v>#DIV/0!</v>
      </c>
      <c r="AC1818" s="34" t="e">
        <f t="shared" si="150"/>
        <v>#DIV/0!</v>
      </c>
      <c r="AD1818" s="34" t="e">
        <f ca="1">SQRT($B$9*SUM(AC1818:OFFSET(AC1818,$B$5-1,0))/($B$5-1))</f>
        <v>#DIV/0!</v>
      </c>
      <c r="AE1818" s="34" t="e">
        <f ca="1">SQRT($B$9*SUM(AC1818:OFFSET(AC1818,$B$6-1,0))/($B$6-1))</f>
        <v>#DIV/0!</v>
      </c>
      <c r="AF1818" s="34" t="e">
        <f ca="1">SQRT($B$9*SUM(AC1818:OFFSET(AC1818,$B$7-1,0))/($B$7-1))</f>
        <v>#DIV/0!</v>
      </c>
      <c r="AG1818" s="34" t="e">
        <f ca="1">SQRT($B$9*SUM(AC1818:OFFSET(AC1818,$B$8-1,0))/($B$8-1))</f>
        <v>#DIV/0!</v>
      </c>
      <c r="AI1818" s="1" t="e">
        <f t="shared" si="151"/>
        <v>#DIV/0!</v>
      </c>
      <c r="AJ1818" s="4" t="e">
        <f ca="1">SQRT($B$9)*_xlfn.STDEV.S(AI1818:OFFSET(AI1818,$B$5-1,0))</f>
        <v>#DIV/0!</v>
      </c>
      <c r="AK1818" s="4" t="e">
        <f ca="1">SQRT($B$9)*_xlfn.STDEV.S(AI1818:OFFSET(AI1818,$B$6-1,0))</f>
        <v>#DIV/0!</v>
      </c>
      <c r="AL1818" s="4" t="e">
        <f ca="1">SQRT($B$9)*_xlfn.STDEV.S(AI1818:OFFSET(AI1818,$B$7-1,0))</f>
        <v>#DIV/0!</v>
      </c>
      <c r="AM1818" s="4" t="e">
        <f ca="1">SQRT($B$9)*_xlfn.STDEV.S(AI1818:OFFSET(AI1818,$B$8-1,0))</f>
        <v>#DIV/0!</v>
      </c>
    </row>
    <row r="1819" spans="11:39" x14ac:dyDescent="0.2">
      <c r="K1819" s="3" t="e">
        <f t="shared" si="149"/>
        <v>#DIV/0!</v>
      </c>
      <c r="L1819" s="3" t="e">
        <f ca="1">SQRT(AVERAGE(K1819:OFFSET(K1819,$B$5-1,0))*$B$9/(4*LN(2)))</f>
        <v>#DIV/0!</v>
      </c>
      <c r="M1819" s="3" t="e">
        <f ca="1">SQRT(AVERAGE(K1819:OFFSET(K1819,$B$6-1,0))*$B$9/(4*LN(2)))</f>
        <v>#DIV/0!</v>
      </c>
      <c r="N1819" s="3" t="e">
        <f ca="1">SQRT(AVERAGE(K1819:OFFSET(K1819,$B$7-1,0))*$B$9/(4*LN(2)))</f>
        <v>#DIV/0!</v>
      </c>
      <c r="O1819" s="3" t="e">
        <f ca="1">SQRT(AVERAGE(K1819:OFFSET(K1819,$B$8-1,0))*$B$9/(4*LN(2)))</f>
        <v>#DIV/0!</v>
      </c>
      <c r="Q1819" s="5" t="e">
        <f t="shared" si="148"/>
        <v>#DIV/0!</v>
      </c>
      <c r="R1819" s="5" t="e">
        <f ca="1">SQRT($B$9*AVERAGE((Q1819:OFFSET(Q1819,$B$5-1,0))))</f>
        <v>#DIV/0!</v>
      </c>
      <c r="S1819" s="5" t="e">
        <f ca="1">SQRT($B$9*AVERAGE((Q1819:OFFSET(Q1819,$B$6-1,0))))</f>
        <v>#DIV/0!</v>
      </c>
      <c r="T1819" s="5" t="e">
        <f ca="1">SQRT($B$9*AVERAGE((Q1819:OFFSET(Q1819,$B$7-1,0))))</f>
        <v>#DIV/0!</v>
      </c>
      <c r="U1819" s="5" t="e">
        <f ca="1">SQRT($B$9*AVERAGE((Q1819:OFFSET(Q1819,$B$8-1,0))))</f>
        <v>#DIV/0!</v>
      </c>
      <c r="W1819" s="6" t="e">
        <f t="shared" si="147"/>
        <v>#DIV/0!</v>
      </c>
      <c r="X1819" s="6" t="e">
        <f ca="1">SQRT($B$9*AVERAGE(W1819:OFFSET(W1819,$B$5-1,0)))</f>
        <v>#DIV/0!</v>
      </c>
      <c r="Y1819" s="6" t="e">
        <f ca="1">SQRT($B$9*AVERAGE(W1819:OFFSET(W1819,$B$6-1,0)))</f>
        <v>#DIV/0!</v>
      </c>
      <c r="Z1819" s="6" t="e">
        <f ca="1">SQRT($B$9*AVERAGE(W1819:OFFSET(W1819,$B$7-1,0)))</f>
        <v>#DIV/0!</v>
      </c>
      <c r="AA1819" s="6" t="e">
        <f ca="1">SQRT($B$9*AVERAGE(W1819:OFFSET(W1819,$B$8-1,0)))</f>
        <v>#DIV/0!</v>
      </c>
      <c r="AC1819" s="34" t="e">
        <f t="shared" si="150"/>
        <v>#DIV/0!</v>
      </c>
      <c r="AD1819" s="34" t="e">
        <f ca="1">SQRT($B$9*SUM(AC1819:OFFSET(AC1819,$B$5-1,0))/($B$5-1))</f>
        <v>#DIV/0!</v>
      </c>
      <c r="AE1819" s="34" t="e">
        <f ca="1">SQRT($B$9*SUM(AC1819:OFFSET(AC1819,$B$6-1,0))/($B$6-1))</f>
        <v>#DIV/0!</v>
      </c>
      <c r="AF1819" s="34" t="e">
        <f ca="1">SQRT($B$9*SUM(AC1819:OFFSET(AC1819,$B$7-1,0))/($B$7-1))</f>
        <v>#DIV/0!</v>
      </c>
      <c r="AG1819" s="34" t="e">
        <f ca="1">SQRT($B$9*SUM(AC1819:OFFSET(AC1819,$B$8-1,0))/($B$8-1))</f>
        <v>#DIV/0!</v>
      </c>
      <c r="AI1819" s="1" t="e">
        <f t="shared" si="151"/>
        <v>#DIV/0!</v>
      </c>
      <c r="AJ1819" s="4" t="e">
        <f ca="1">SQRT($B$9)*_xlfn.STDEV.S(AI1819:OFFSET(AI1819,$B$5-1,0))</f>
        <v>#DIV/0!</v>
      </c>
      <c r="AK1819" s="4" t="e">
        <f ca="1">SQRT($B$9)*_xlfn.STDEV.S(AI1819:OFFSET(AI1819,$B$6-1,0))</f>
        <v>#DIV/0!</v>
      </c>
      <c r="AL1819" s="4" t="e">
        <f ca="1">SQRT($B$9)*_xlfn.STDEV.S(AI1819:OFFSET(AI1819,$B$7-1,0))</f>
        <v>#DIV/0!</v>
      </c>
      <c r="AM1819" s="4" t="e">
        <f ca="1">SQRT($B$9)*_xlfn.STDEV.S(AI1819:OFFSET(AI1819,$B$8-1,0))</f>
        <v>#DIV/0!</v>
      </c>
    </row>
  </sheetData>
  <mergeCells count="5">
    <mergeCell ref="K3:O3"/>
    <mergeCell ref="Q3:U3"/>
    <mergeCell ref="W3:AA3"/>
    <mergeCell ref="AC3:AG3"/>
    <mergeCell ref="AI3:AM3"/>
  </mergeCells>
  <phoneticPr fontId="1" type="noConversion"/>
  <pageMargins left="0.7" right="0.7" top="0.75" bottom="0.75" header="0.3" footer="0.3"/>
  <pageSetup paperSize="9" orientation="portrait" verticalDpi="0" r:id="rId1"/>
  <ignoredErrors>
    <ignoredError sqref="AM188" evalError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28"/>
  <sheetViews>
    <sheetView workbookViewId="0">
      <selection activeCell="B3" sqref="B3"/>
    </sheetView>
  </sheetViews>
  <sheetFormatPr defaultRowHeight="14.25" x14ac:dyDescent="0.2"/>
  <cols>
    <col min="1" max="1" width="15.625" customWidth="1"/>
  </cols>
  <sheetData>
    <row r="1" spans="1:25" x14ac:dyDescent="0.2">
      <c r="B1" t="s">
        <v>39</v>
      </c>
      <c r="G1" t="s">
        <v>52</v>
      </c>
      <c r="L1" t="s">
        <v>53</v>
      </c>
      <c r="Q1" t="s">
        <v>54</v>
      </c>
      <c r="V1" t="s">
        <v>55</v>
      </c>
    </row>
    <row r="2" spans="1:25" x14ac:dyDescent="0.2">
      <c r="A2" t="s">
        <v>46</v>
      </c>
      <c r="B2" t="s">
        <v>48</v>
      </c>
      <c r="C2" t="s">
        <v>49</v>
      </c>
      <c r="D2" t="s">
        <v>50</v>
      </c>
      <c r="E2" t="s">
        <v>51</v>
      </c>
      <c r="G2" t="s">
        <v>48</v>
      </c>
      <c r="H2" t="s">
        <v>49</v>
      </c>
      <c r="I2" t="s">
        <v>50</v>
      </c>
      <c r="J2" t="s">
        <v>51</v>
      </c>
      <c r="L2" t="s">
        <v>48</v>
      </c>
      <c r="M2" t="s">
        <v>49</v>
      </c>
      <c r="N2" t="s">
        <v>50</v>
      </c>
      <c r="O2" t="s">
        <v>51</v>
      </c>
      <c r="Q2" t="s">
        <v>48</v>
      </c>
      <c r="R2" t="s">
        <v>49</v>
      </c>
      <c r="S2" t="s">
        <v>50</v>
      </c>
      <c r="T2" t="s">
        <v>51</v>
      </c>
      <c r="V2" t="s">
        <v>48</v>
      </c>
      <c r="W2" t="s">
        <v>49</v>
      </c>
      <c r="X2" t="s">
        <v>50</v>
      </c>
      <c r="Y2" t="s">
        <v>51</v>
      </c>
    </row>
    <row r="3" spans="1:25" x14ac:dyDescent="0.2">
      <c r="A3" s="28">
        <f>计算区域!E5</f>
        <v>45670</v>
      </c>
      <c r="B3">
        <f ca="1">IFERROR(计算区域!AJ5,NA())</f>
        <v>9.0013931056827187E-2</v>
      </c>
      <c r="C3">
        <f ca="1">IFERROR(计算区域!AK5,NA())</f>
        <v>0.1529285903804227</v>
      </c>
      <c r="D3">
        <f ca="1">IFERROR(计算区域!AL5,NA())</f>
        <v>0.13527844753488541</v>
      </c>
      <c r="E3">
        <f ca="1">IFERROR(计算区域!AM5,NA())</f>
        <v>0.16741718024583493</v>
      </c>
      <c r="G3">
        <f ca="1">IFERROR(计算区域!AD5,NA())</f>
        <v>9.5119078935293255E-2</v>
      </c>
      <c r="H3">
        <f ca="1">IFERROR(计算区域!AE5,NA())</f>
        <v>0.17770282598861278</v>
      </c>
      <c r="I3">
        <f ca="1">IFERROR(计算区域!AF5,NA())</f>
        <v>0.13759926904028483</v>
      </c>
      <c r="J3">
        <f ca="1">IFERROR(计算区域!AG5,NA())</f>
        <v>0.16791869192994693</v>
      </c>
      <c r="L3">
        <f ca="1">IFERROR(计算区域!L5,NA())</f>
        <v>0.12378763737235841</v>
      </c>
      <c r="M3">
        <f ca="1">IFERROR(计算区域!M5,NA())</f>
        <v>0.15906681633082217</v>
      </c>
      <c r="N3">
        <f ca="1">IFERROR(计算区域!N5,NA())</f>
        <v>0.13426429801794415</v>
      </c>
      <c r="O3">
        <f ca="1">IFERROR(计算区域!O5,NA())</f>
        <v>0.16555027261565824</v>
      </c>
      <c r="Q3">
        <f ca="1">IFERROR(计算区域!R5,NA())</f>
        <v>0.13709220951430623</v>
      </c>
      <c r="R3">
        <f ca="1">IFERROR(计算区域!S5,NA())</f>
        <v>0.1595400157038743</v>
      </c>
      <c r="S3">
        <f ca="1">IFERROR(计算区域!T5,NA())</f>
        <v>0.13814945922875496</v>
      </c>
      <c r="T3">
        <f ca="1">IFERROR(计算区域!U5,NA())</f>
        <v>0.1634135086254471</v>
      </c>
      <c r="V3">
        <f ca="1">IFERROR(计算区域!X5,NA())</f>
        <v>0.13940318269666332</v>
      </c>
      <c r="W3">
        <f ca="1">IFERROR(计算区域!Y5,NA())</f>
        <v>0.15664737381381216</v>
      </c>
      <c r="X3">
        <f ca="1">IFERROR(计算区域!Z5,NA())</f>
        <v>0.13855262950614719</v>
      </c>
      <c r="Y3">
        <f ca="1">IFERROR(计算区域!AA5,NA())</f>
        <v>0.16224784365613812</v>
      </c>
    </row>
    <row r="4" spans="1:25" x14ac:dyDescent="0.2">
      <c r="A4" s="28">
        <f>计算区域!E6</f>
        <v>45667</v>
      </c>
      <c r="B4">
        <f ca="1">IFERROR(计算区域!AJ6,NA())</f>
        <v>9.1326791195797716E-2</v>
      </c>
      <c r="C4">
        <f ca="1">IFERROR(计算区域!AK6,NA())</f>
        <v>0.15408811271279516</v>
      </c>
      <c r="D4">
        <f ca="1">IFERROR(计算区域!AL6,NA())</f>
        <v>0.15752557048912874</v>
      </c>
      <c r="E4">
        <f ca="1">IFERROR(计算区域!AM6,NA())</f>
        <v>0.178643456523324</v>
      </c>
      <c r="G4">
        <f ca="1">IFERROR(计算区域!AD6,NA())</f>
        <v>9.7671069973813057E-2</v>
      </c>
      <c r="H4">
        <f ca="1">IFERROR(计算区域!AE6,NA())</f>
        <v>0.17707344034332442</v>
      </c>
      <c r="I4">
        <f ca="1">IFERROR(计算区域!AF6,NA())</f>
        <v>0.16314752080973863</v>
      </c>
      <c r="J4">
        <f ca="1">IFERROR(计算区域!AG6,NA())</f>
        <v>0.17869356604059655</v>
      </c>
      <c r="L4">
        <f ca="1">IFERROR(计算区域!L6,NA())</f>
        <v>0.12988054470381802</v>
      </c>
      <c r="M4">
        <f ca="1">IFERROR(计算区域!M6,NA())</f>
        <v>0.15844923584243978</v>
      </c>
      <c r="N4">
        <f ca="1">IFERROR(计算区域!N6,NA())</f>
        <v>0.14000670060225115</v>
      </c>
      <c r="O4">
        <f ca="1">IFERROR(计算区域!O6,NA())</f>
        <v>0.18129664362725104</v>
      </c>
      <c r="Q4">
        <f ca="1">IFERROR(计算区域!R6,NA())</f>
        <v>0.1437750132915393</v>
      </c>
      <c r="R4">
        <f ca="1">IFERROR(计算区域!S6,NA())</f>
        <v>0.1587476426140777</v>
      </c>
      <c r="S4">
        <f ca="1">IFERROR(计算区域!T6,NA())</f>
        <v>0.13996480665021224</v>
      </c>
      <c r="T4">
        <f ca="1">IFERROR(计算区域!U6,NA())</f>
        <v>0.181543175781051</v>
      </c>
      <c r="V4">
        <f ca="1">IFERROR(计算区域!X6,NA())</f>
        <v>0.1487760287330675</v>
      </c>
      <c r="W4">
        <f ca="1">IFERROR(计算区域!Y6,NA())</f>
        <v>0.15549481439762355</v>
      </c>
      <c r="X4">
        <f ca="1">IFERROR(计算区域!Z6,NA())</f>
        <v>0.13862471086676562</v>
      </c>
      <c r="Y4">
        <f ca="1">IFERROR(计算区域!AA6,NA())</f>
        <v>0.18051211616183535</v>
      </c>
    </row>
    <row r="5" spans="1:25" x14ac:dyDescent="0.2">
      <c r="A5" s="28">
        <f>计算区域!E7</f>
        <v>45666</v>
      </c>
      <c r="B5">
        <f ca="1">IFERROR(计算区域!AJ7,NA())</f>
        <v>9.6212310379739333E-2</v>
      </c>
      <c r="C5">
        <f ca="1">IFERROR(计算区域!AK7,NA())</f>
        <v>0.1533504932767894</v>
      </c>
      <c r="D5">
        <f ca="1">IFERROR(计算区域!AL7,NA())</f>
        <v>0.16304249291574149</v>
      </c>
      <c r="E5">
        <f ca="1">IFERROR(计算区域!AM7,NA())</f>
        <v>0.18043846066600538</v>
      </c>
      <c r="G5">
        <f ca="1">IFERROR(计算区域!AD7,NA())</f>
        <v>0.10354278485131101</v>
      </c>
      <c r="H5">
        <f ca="1">IFERROR(计算区域!AE7,NA())</f>
        <v>0.17158825537958525</v>
      </c>
      <c r="I5">
        <f ca="1">IFERROR(计算区域!AF7,NA())</f>
        <v>0.16515777982739249</v>
      </c>
      <c r="J5">
        <f ca="1">IFERROR(计算区域!AG7,NA())</f>
        <v>0.18053722077756759</v>
      </c>
      <c r="L5">
        <f ca="1">IFERROR(计算区域!L7,NA())</f>
        <v>0.13355386647918452</v>
      </c>
      <c r="M5">
        <f ca="1">IFERROR(计算区域!M7,NA())</f>
        <v>0.15362373307803667</v>
      </c>
      <c r="N5">
        <f ca="1">IFERROR(计算区域!N7,NA())</f>
        <v>0.13975450212528964</v>
      </c>
      <c r="O5">
        <f ca="1">IFERROR(计算区域!O7,NA())</f>
        <v>0.18330650366017792</v>
      </c>
      <c r="Q5">
        <f ca="1">IFERROR(计算区域!R7,NA())</f>
        <v>0.14803065674332436</v>
      </c>
      <c r="R5">
        <f ca="1">IFERROR(计算区域!S7,NA())</f>
        <v>0.15385897542794524</v>
      </c>
      <c r="S5">
        <f ca="1">IFERROR(计算区域!T7,NA())</f>
        <v>0.13878033712076795</v>
      </c>
      <c r="T5">
        <f ca="1">IFERROR(计算区域!U7,NA())</f>
        <v>0.18265165749929085</v>
      </c>
      <c r="V5">
        <f ca="1">IFERROR(计算区域!X7,NA())</f>
        <v>0.15099945277836105</v>
      </c>
      <c r="W5">
        <f ca="1">IFERROR(计算区域!Y7,NA())</f>
        <v>0.15033632344495498</v>
      </c>
      <c r="X5">
        <f ca="1">IFERROR(计算区域!Z7,NA())</f>
        <v>0.13681719482077326</v>
      </c>
      <c r="Y5">
        <f ca="1">IFERROR(计算区域!AA7,NA())</f>
        <v>0.18114155566109302</v>
      </c>
    </row>
    <row r="6" spans="1:25" x14ac:dyDescent="0.2">
      <c r="A6" s="28">
        <f>计算区域!E8</f>
        <v>45665</v>
      </c>
      <c r="B6">
        <f ca="1">IFERROR(计算区域!AJ8,NA())</f>
        <v>0.19684651368547137</v>
      </c>
      <c r="C6">
        <f ca="1">IFERROR(计算区域!AK8,NA())</f>
        <v>0.15917706688863983</v>
      </c>
      <c r="D6">
        <f ca="1">IFERROR(计算区域!AL8,NA())</f>
        <v>0.16357723233567889</v>
      </c>
      <c r="E6">
        <f ca="1">IFERROR(计算区域!AM8,NA())</f>
        <v>0.18021234418703644</v>
      </c>
      <c r="G6">
        <f ca="1">IFERROR(计算区域!AD8,NA())</f>
        <v>0.22698363975927927</v>
      </c>
      <c r="H6">
        <f ca="1">IFERROR(计算区域!AE8,NA())</f>
        <v>0.17093144536028709</v>
      </c>
      <c r="I6">
        <f ca="1">IFERROR(计算区域!AF8,NA())</f>
        <v>0.16590361604933093</v>
      </c>
      <c r="J6">
        <f ca="1">IFERROR(计算区域!AG8,NA())</f>
        <v>0.18028334887629058</v>
      </c>
      <c r="L6">
        <f ca="1">IFERROR(计算区域!L8,NA())</f>
        <v>0.19359593355510077</v>
      </c>
      <c r="M6">
        <f ca="1">IFERROR(计算区域!M8,NA())</f>
        <v>0.15359535892971812</v>
      </c>
      <c r="N6">
        <f ca="1">IFERROR(计算区域!N8,NA())</f>
        <v>0.13976836348907332</v>
      </c>
      <c r="O6">
        <f ca="1">IFERROR(计算区域!O8,NA())</f>
        <v>0.18429197339089062</v>
      </c>
      <c r="Q6">
        <f ca="1">IFERROR(计算区域!R8,NA())</f>
        <v>0.19513892597841953</v>
      </c>
      <c r="R6">
        <f ca="1">IFERROR(计算区域!S8,NA())</f>
        <v>0.15429045227626653</v>
      </c>
      <c r="S6">
        <f ca="1">IFERROR(计算区域!T8,NA())</f>
        <v>0.1388158327255527</v>
      </c>
      <c r="T6">
        <f ca="1">IFERROR(计算区域!U8,NA())</f>
        <v>0.18397684981210308</v>
      </c>
      <c r="V6">
        <f ca="1">IFERROR(计算区域!X8,NA())</f>
        <v>0.19117656705600081</v>
      </c>
      <c r="W6">
        <f ca="1">IFERROR(计算区域!Y8,NA())</f>
        <v>0.1506953765651485</v>
      </c>
      <c r="X6">
        <f ca="1">IFERROR(计算区域!Z8,NA())</f>
        <v>0.13670518791217418</v>
      </c>
      <c r="Y6">
        <f ca="1">IFERROR(计算区域!AA8,NA())</f>
        <v>0.18277040762248822</v>
      </c>
    </row>
    <row r="7" spans="1:25" x14ac:dyDescent="0.2">
      <c r="A7" s="28">
        <f>计算区域!E9</f>
        <v>45664</v>
      </c>
      <c r="B7">
        <f ca="1">IFERROR(计算区域!AJ9,NA())</f>
        <v>0.18365818500915565</v>
      </c>
      <c r="C7">
        <f ca="1">IFERROR(计算区域!AK9,NA())</f>
        <v>0.17254792781166398</v>
      </c>
      <c r="D7">
        <f ca="1">IFERROR(计算区域!AL9,NA())</f>
        <v>0.16747267657516651</v>
      </c>
      <c r="E7">
        <f ca="1">IFERROR(计算区域!AM9,NA())</f>
        <v>0.18673117766623729</v>
      </c>
      <c r="G7">
        <f ca="1">IFERROR(计算区域!AD9,NA())</f>
        <v>0.24716248368799387</v>
      </c>
      <c r="H7">
        <f ca="1">IFERROR(计算区域!AE9,NA())</f>
        <v>0.17925017041271796</v>
      </c>
      <c r="I7">
        <f ca="1">IFERROR(计算区域!AF9,NA())</f>
        <v>0.16893189933082459</v>
      </c>
      <c r="J7">
        <f ca="1">IFERROR(计算区域!AG9,NA())</f>
        <v>0.18712643844546881</v>
      </c>
      <c r="L7">
        <f ca="1">IFERROR(计算区域!L9,NA())</f>
        <v>0.18959873918460904</v>
      </c>
      <c r="M7">
        <f ca="1">IFERROR(计算区域!M9,NA())</f>
        <v>0.15085158536933799</v>
      </c>
      <c r="N7">
        <f ca="1">IFERROR(计算区域!N9,NA())</f>
        <v>0.14598433178584341</v>
      </c>
      <c r="O7">
        <f ca="1">IFERROR(计算区域!O9,NA())</f>
        <v>0.18600012771791047</v>
      </c>
      <c r="Q7">
        <f ca="1">IFERROR(计算区域!R9,NA())</f>
        <v>0.18232007728515243</v>
      </c>
      <c r="R7">
        <f ca="1">IFERROR(计算区域!S9,NA())</f>
        <v>0.14816908820880778</v>
      </c>
      <c r="S7">
        <f ca="1">IFERROR(计算区域!T9,NA())</f>
        <v>0.1410699713000125</v>
      </c>
      <c r="T7">
        <f ca="1">IFERROR(计算区域!U9,NA())</f>
        <v>0.18465921101355118</v>
      </c>
      <c r="V7">
        <f ca="1">IFERROR(计算区域!X9,NA())</f>
        <v>0.17570819684592082</v>
      </c>
      <c r="W7">
        <f ca="1">IFERROR(计算区域!Y9,NA())</f>
        <v>0.14361332373387192</v>
      </c>
      <c r="X7">
        <f ca="1">IFERROR(计算区域!Z9,NA())</f>
        <v>0.1369897295215971</v>
      </c>
      <c r="Y7">
        <f ca="1">IFERROR(计算区域!AA9,NA())</f>
        <v>0.18313643852517486</v>
      </c>
    </row>
    <row r="8" spans="1:25" x14ac:dyDescent="0.2">
      <c r="A8" s="28">
        <f>计算区域!E10</f>
        <v>45663</v>
      </c>
      <c r="B8">
        <f ca="1">IFERROR(计算区域!AJ10,NA())</f>
        <v>0.18974442725300458</v>
      </c>
      <c r="C8">
        <f ca="1">IFERROR(计算区域!AK10,NA())</f>
        <v>0.17684938092343272</v>
      </c>
      <c r="D8">
        <f ca="1">IFERROR(计算区域!AL10,NA())</f>
        <v>0.16573810803938474</v>
      </c>
      <c r="E8">
        <f ca="1">IFERROR(计算区域!AM10,NA())</f>
        <v>0.18799713063740678</v>
      </c>
      <c r="G8">
        <f ca="1">IFERROR(计算区域!AD10,NA())</f>
        <v>0.24900506649918719</v>
      </c>
      <c r="H8">
        <f ca="1">IFERROR(计算区域!AE10,NA())</f>
        <v>0.18222892037408547</v>
      </c>
      <c r="I8">
        <f ca="1">IFERROR(计算区域!AF10,NA())</f>
        <v>0.16773976377701291</v>
      </c>
      <c r="J8">
        <f ca="1">IFERROR(计算区域!AG10,NA())</f>
        <v>0.18829366539540396</v>
      </c>
      <c r="L8">
        <f ca="1">IFERROR(计算区域!L10,NA())</f>
        <v>0.18783270468429222</v>
      </c>
      <c r="M8">
        <f ca="1">IFERROR(计算区域!M10,NA())</f>
        <v>0.15384185532910757</v>
      </c>
      <c r="N8">
        <f ca="1">IFERROR(计算区域!N10,NA())</f>
        <v>0.14649515989651543</v>
      </c>
      <c r="O8">
        <f ca="1">IFERROR(计算区域!O10,NA())</f>
        <v>0.18779264826186662</v>
      </c>
      <c r="Q8">
        <f ca="1">IFERROR(计算区域!R10,NA())</f>
        <v>0.17919754270656305</v>
      </c>
      <c r="R8">
        <f ca="1">IFERROR(计算区域!S10,NA())</f>
        <v>0.15129887144942722</v>
      </c>
      <c r="S8">
        <f ca="1">IFERROR(计算区域!T10,NA())</f>
        <v>0.14235486030680608</v>
      </c>
      <c r="T8">
        <f ca="1">IFERROR(计算区域!U10,NA())</f>
        <v>0.18706169209473658</v>
      </c>
      <c r="V8">
        <f ca="1">IFERROR(计算区域!X10,NA())</f>
        <v>0.17217302953589775</v>
      </c>
      <c r="W8">
        <f ca="1">IFERROR(计算区域!Y10,NA())</f>
        <v>0.14787723108411707</v>
      </c>
      <c r="X8">
        <f ca="1">IFERROR(计算区域!Z10,NA())</f>
        <v>0.13899836673971894</v>
      </c>
      <c r="Y8">
        <f ca="1">IFERROR(计算区域!AA10,NA())</f>
        <v>0.18555371421646746</v>
      </c>
    </row>
    <row r="9" spans="1:25" x14ac:dyDescent="0.2">
      <c r="A9" s="28">
        <f>计算区域!E11</f>
        <v>45660</v>
      </c>
      <c r="B9">
        <f ca="1">IFERROR(计算区域!AJ11,NA())</f>
        <v>0.19589319532442034</v>
      </c>
      <c r="C9">
        <f ca="1">IFERROR(计算区域!AK11,NA())</f>
        <v>0.17666906209313479</v>
      </c>
      <c r="D9">
        <f ca="1">IFERROR(计算区域!AL11,NA())</f>
        <v>0.17089678591955038</v>
      </c>
      <c r="E9">
        <f ca="1">IFERROR(计算区域!AM11,NA())</f>
        <v>0.19213021864771873</v>
      </c>
      <c r="G9">
        <f ca="1">IFERROR(计算区域!AD11,NA())</f>
        <v>0.24700024181965385</v>
      </c>
      <c r="H9">
        <f ca="1">IFERROR(计算区域!AE11,NA())</f>
        <v>0.18157990071846303</v>
      </c>
      <c r="I9">
        <f ca="1">IFERROR(计算区域!AF11,NA())</f>
        <v>0.17145831788740232</v>
      </c>
      <c r="J9">
        <f ca="1">IFERROR(计算区域!AG11,NA())</f>
        <v>0.19270483317185697</v>
      </c>
      <c r="L9">
        <f ca="1">IFERROR(计算区域!L11,NA())</f>
        <v>0.18260165603177247</v>
      </c>
      <c r="M9">
        <f ca="1">IFERROR(计算区域!M11,NA())</f>
        <v>0.15032323876278667</v>
      </c>
      <c r="N9">
        <f ca="1">IFERROR(计算区域!N11,NA())</f>
        <v>0.14936079493951812</v>
      </c>
      <c r="O9">
        <f ca="1">IFERROR(计算区域!O11,NA())</f>
        <v>0.19121880684642681</v>
      </c>
      <c r="Q9">
        <f ca="1">IFERROR(计算区域!R11,NA())</f>
        <v>0.17242497969862591</v>
      </c>
      <c r="R9">
        <f ca="1">IFERROR(计算区域!S11,NA())</f>
        <v>0.14677341358531834</v>
      </c>
      <c r="S9">
        <f ca="1">IFERROR(计算区域!T11,NA())</f>
        <v>0.14494225167568789</v>
      </c>
      <c r="T9">
        <f ca="1">IFERROR(计算区域!U11,NA())</f>
        <v>0.19074312542744098</v>
      </c>
      <c r="V9">
        <f ca="1">IFERROR(计算区域!X11,NA())</f>
        <v>0.16193507304941779</v>
      </c>
      <c r="W9">
        <f ca="1">IFERROR(计算区域!Y11,NA())</f>
        <v>0.14208699651559414</v>
      </c>
      <c r="X9">
        <f ca="1">IFERROR(计算区域!Z11,NA())</f>
        <v>0.14067995807101336</v>
      </c>
      <c r="Y9">
        <f ca="1">IFERROR(计算区域!AA11,NA())</f>
        <v>0.18940778628303565</v>
      </c>
    </row>
    <row r="10" spans="1:25" x14ac:dyDescent="0.2">
      <c r="A10" s="28">
        <f>计算区域!E12</f>
        <v>45659</v>
      </c>
      <c r="B10">
        <f ca="1">IFERROR(计算区域!AJ12,NA())</f>
        <v>0.19972607086647129</v>
      </c>
      <c r="C10">
        <f ca="1">IFERROR(计算区域!AK12,NA())</f>
        <v>0.17237511206761419</v>
      </c>
      <c r="D10">
        <f ca="1">IFERROR(计算区域!AL12,NA())</f>
        <v>0.16829949687083051</v>
      </c>
      <c r="E10">
        <f ca="1">IFERROR(计算区域!AM12,NA())</f>
        <v>0.20222450846975973</v>
      </c>
      <c r="G10">
        <f ca="1">IFERROR(计算区域!AD12,NA())</f>
        <v>0.23563654814079055</v>
      </c>
      <c r="H10">
        <f ca="1">IFERROR(计算区域!AE12,NA())</f>
        <v>0.17529467334370161</v>
      </c>
      <c r="I10">
        <f ca="1">IFERROR(计算区域!AF12,NA())</f>
        <v>0.16857175912754779</v>
      </c>
      <c r="J10">
        <f ca="1">IFERROR(计算区域!AG12,NA())</f>
        <v>0.20226313714927638</v>
      </c>
      <c r="L10">
        <f ca="1">IFERROR(计算区域!L12,NA())</f>
        <v>0.1713588850282467</v>
      </c>
      <c r="M10">
        <f ca="1">IFERROR(计算区域!M12,NA())</f>
        <v>0.14666198382349704</v>
      </c>
      <c r="N10">
        <f ca="1">IFERROR(计算区域!N12,NA())</f>
        <v>0.14633897232938212</v>
      </c>
      <c r="O10">
        <f ca="1">IFERROR(计算区域!O12,NA())</f>
        <v>0.19946052543859175</v>
      </c>
      <c r="Q10">
        <f ca="1">IFERROR(计算区域!R12,NA())</f>
        <v>0.15947442836898396</v>
      </c>
      <c r="R10">
        <f ca="1">IFERROR(计算区域!S12,NA())</f>
        <v>0.14347752992336299</v>
      </c>
      <c r="S10">
        <f ca="1">IFERROR(计算区域!T12,NA())</f>
        <v>0.14174135988501438</v>
      </c>
      <c r="T10">
        <f ca="1">IFERROR(计算区域!U12,NA())</f>
        <v>0.20027191976999528</v>
      </c>
      <c r="V10">
        <f ca="1">IFERROR(计算区域!X12,NA())</f>
        <v>0.14967025607824608</v>
      </c>
      <c r="W10">
        <f ca="1">IFERROR(计算区域!Y12,NA())</f>
        <v>0.13923942683517937</v>
      </c>
      <c r="X10">
        <f ca="1">IFERROR(计算区域!Z12,NA())</f>
        <v>0.13769797483443366</v>
      </c>
      <c r="Y10">
        <f ca="1">IFERROR(计算区域!AA12,NA())</f>
        <v>0.20065358702951777</v>
      </c>
    </row>
    <row r="11" spans="1:25" x14ac:dyDescent="0.2">
      <c r="A11" s="28">
        <f>计算区域!E13</f>
        <v>45657</v>
      </c>
      <c r="B11">
        <f ca="1">IFERROR(计算区域!AJ13,NA())</f>
        <v>0.11769568688016432</v>
      </c>
      <c r="C11">
        <f ca="1">IFERROR(计算区域!AK13,NA())</f>
        <v>0.11288811957489028</v>
      </c>
      <c r="D11">
        <f ca="1">IFERROR(计算区域!AL13,NA())</f>
        <v>0.13934928968569146</v>
      </c>
      <c r="E11">
        <f ca="1">IFERROR(计算区域!AM13,NA())</f>
        <v>0.24714508489112336</v>
      </c>
      <c r="G11">
        <f ca="1">IFERROR(计算区域!AD13,NA())</f>
        <v>0.11923898297445581</v>
      </c>
      <c r="H11">
        <f ca="1">IFERROR(计算区域!AE13,NA())</f>
        <v>0.11521914693405781</v>
      </c>
      <c r="I11">
        <f ca="1">IFERROR(计算区域!AF13,NA())</f>
        <v>0.13975395639088975</v>
      </c>
      <c r="J11">
        <f ca="1">IFERROR(计算区域!AG13,NA())</f>
        <v>0.24771234432264205</v>
      </c>
      <c r="L11">
        <f ca="1">IFERROR(计算区域!L13,NA())</f>
        <v>9.8507274251330712E-2</v>
      </c>
      <c r="M11">
        <f ca="1">IFERROR(计算区域!M13,NA())</f>
        <v>0.10672000674788902</v>
      </c>
      <c r="N11">
        <f ca="1">IFERROR(计算区域!N13,NA())</f>
        <v>0.12852206153234427</v>
      </c>
      <c r="O11">
        <f ca="1">IFERROR(计算区域!O13,NA())</f>
        <v>0.20985724776256728</v>
      </c>
      <c r="Q11">
        <f ca="1">IFERROR(计算区域!R13,NA())</f>
        <v>9.7631382737410136E-2</v>
      </c>
      <c r="R11">
        <f ca="1">IFERROR(计算区域!S13,NA())</f>
        <v>0.11010213245065373</v>
      </c>
      <c r="S11">
        <f ca="1">IFERROR(计算区域!T13,NA())</f>
        <v>0.12708176412901273</v>
      </c>
      <c r="T11">
        <f ca="1">IFERROR(计算区域!U13,NA())</f>
        <v>0.20644849736782517</v>
      </c>
      <c r="V11">
        <f ca="1">IFERROR(计算区域!X13,NA())</f>
        <v>9.4179155044554499E-2</v>
      </c>
      <c r="W11">
        <f ca="1">IFERROR(计算区域!Y13,NA())</f>
        <v>0.11015890957368421</v>
      </c>
      <c r="X11">
        <f ca="1">IFERROR(计算区域!Z13,NA())</f>
        <v>0.12481007606851711</v>
      </c>
      <c r="Y11">
        <f ca="1">IFERROR(计算区域!AA13,NA())</f>
        <v>0.20462517615937742</v>
      </c>
    </row>
    <row r="12" spans="1:25" x14ac:dyDescent="0.2">
      <c r="A12" s="28">
        <f>计算区域!E14</f>
        <v>45656</v>
      </c>
      <c r="B12">
        <f ca="1">IFERROR(计算区域!AJ14,NA())</f>
        <v>8.5504000369882247E-2</v>
      </c>
      <c r="C12">
        <f ca="1">IFERROR(计算区域!AK14,NA())</f>
        <v>8.2782685434004216E-2</v>
      </c>
      <c r="D12">
        <f ca="1">IFERROR(计算区域!AL14,NA())</f>
        <v>0.13104882053305936</v>
      </c>
      <c r="E12">
        <f ca="1">IFERROR(计算区域!AM14,NA())</f>
        <v>0.25084052767371495</v>
      </c>
      <c r="G12">
        <f ca="1">IFERROR(计算区域!AD14,NA())</f>
        <v>0.10585182918309029</v>
      </c>
      <c r="H12">
        <f ca="1">IFERROR(计算区域!AE14,NA())</f>
        <v>9.8076923318747289E-2</v>
      </c>
      <c r="I12">
        <f ca="1">IFERROR(计算区域!AF14,NA())</f>
        <v>0.13341172001387788</v>
      </c>
      <c r="J12">
        <f ca="1">IFERROR(计算区域!AG14,NA())</f>
        <v>0.25094515432216941</v>
      </c>
      <c r="L12">
        <f ca="1">IFERROR(计算区域!L14,NA())</f>
        <v>9.7799385051706378E-2</v>
      </c>
      <c r="M12">
        <f ca="1">IFERROR(计算区域!M14,NA())</f>
        <v>0.10572107577520054</v>
      </c>
      <c r="N12">
        <f ca="1">IFERROR(计算区域!N14,NA())</f>
        <v>0.12724032169359425</v>
      </c>
      <c r="O12">
        <f ca="1">IFERROR(计算区域!O14,NA())</f>
        <v>0.2388916397199374</v>
      </c>
      <c r="Q12">
        <f ca="1">IFERROR(计算区域!R14,NA())</f>
        <v>0.10328381683494743</v>
      </c>
      <c r="R12">
        <f ca="1">IFERROR(计算区域!S14,NA())</f>
        <v>0.11347410700443734</v>
      </c>
      <c r="S12">
        <f ca="1">IFERROR(计算区域!T14,NA())</f>
        <v>0.12765800572499808</v>
      </c>
      <c r="T12">
        <f ca="1">IFERROR(计算区域!U14,NA())</f>
        <v>0.22960311442748879</v>
      </c>
      <c r="V12">
        <f ca="1">IFERROR(计算区域!X14,NA())</f>
        <v>0.10186364939925795</v>
      </c>
      <c r="W12">
        <f ca="1">IFERROR(计算区域!Y14,NA())</f>
        <v>0.11800806127203682</v>
      </c>
      <c r="X12">
        <f ca="1">IFERROR(计算区域!Z14,NA())</f>
        <v>0.12606730116792306</v>
      </c>
      <c r="Y12">
        <f ca="1">IFERROR(计算区域!AA14,NA())</f>
        <v>0.22540148329035536</v>
      </c>
    </row>
    <row r="13" spans="1:25" x14ac:dyDescent="0.2">
      <c r="A13" s="28">
        <f>计算区域!E15</f>
        <v>45653</v>
      </c>
      <c r="B13">
        <f ca="1">IFERROR(计算区域!AJ15,NA())</f>
        <v>8.9929380324747274E-2</v>
      </c>
      <c r="C13">
        <f ca="1">IFERROR(计算区域!AK15,NA())</f>
        <v>8.2991051665605442E-2</v>
      </c>
      <c r="D13">
        <f ca="1">IFERROR(计算区域!AL15,NA())</f>
        <v>0.12995199473692914</v>
      </c>
      <c r="E13">
        <f ca="1">IFERROR(计算区域!AM15,NA())</f>
        <v>0.28396863110213444</v>
      </c>
      <c r="G13">
        <f ca="1">IFERROR(计算区域!AD15,NA())</f>
        <v>0.11275229733500396</v>
      </c>
      <c r="H13">
        <f ca="1">IFERROR(计算区域!AE15,NA())</f>
        <v>9.161087313495557E-2</v>
      </c>
      <c r="I13">
        <f ca="1">IFERROR(计算区域!AF15,NA())</f>
        <v>0.13193179168055119</v>
      </c>
      <c r="J13">
        <f ca="1">IFERROR(计算区域!AG15,NA())</f>
        <v>0.28408791827095808</v>
      </c>
      <c r="L13">
        <f ca="1">IFERROR(计算区域!L15,NA())</f>
        <v>0.10978846912671479</v>
      </c>
      <c r="M13">
        <f ca="1">IFERROR(计算区域!M15,NA())</f>
        <v>0.10368968794860525</v>
      </c>
      <c r="N13">
        <f ca="1">IFERROR(计算区域!N15,NA())</f>
        <v>0.12871904353352542</v>
      </c>
      <c r="O13">
        <f ca="1">IFERROR(计算区域!O15,NA())</f>
        <v>0.25692648656129863</v>
      </c>
      <c r="Q13">
        <f ca="1">IFERROR(计算区域!R15,NA())</f>
        <v>0.11692278516897435</v>
      </c>
      <c r="R13">
        <f ca="1">IFERROR(计算区域!S15,NA())</f>
        <v>0.1127720247206833</v>
      </c>
      <c r="S13">
        <f ca="1">IFERROR(计算区域!T15,NA())</f>
        <v>0.13032097558753189</v>
      </c>
      <c r="T13">
        <f ca="1">IFERROR(计算区域!U15,NA())</f>
        <v>0.25088526781180137</v>
      </c>
      <c r="V13">
        <f ca="1">IFERROR(计算区域!X15,NA())</f>
        <v>0.11870888276216569</v>
      </c>
      <c r="W13">
        <f ca="1">IFERROR(计算区域!Y15,NA())</f>
        <v>0.11770837932522549</v>
      </c>
      <c r="X13">
        <f ca="1">IFERROR(计算区域!Z15,NA())</f>
        <v>0.12897254033711514</v>
      </c>
      <c r="Y13">
        <f ca="1">IFERROR(计算区域!AA15,NA())</f>
        <v>0.24685147565029961</v>
      </c>
    </row>
    <row r="14" spans="1:25" x14ac:dyDescent="0.2">
      <c r="A14" s="28">
        <f>计算区域!E16</f>
        <v>45652</v>
      </c>
      <c r="B14">
        <f ca="1">IFERROR(计算区域!AJ16,NA())</f>
        <v>9.6939925377924951E-2</v>
      </c>
      <c r="C14">
        <f ca="1">IFERROR(计算区域!AK16,NA())</f>
        <v>0.15759657635372176</v>
      </c>
      <c r="D14">
        <f ca="1">IFERROR(计算区域!AL16,NA())</f>
        <v>0.1305038909505376</v>
      </c>
      <c r="E14">
        <f ca="1">IFERROR(计算区域!AM16,NA())</f>
        <v>0.29475967889744897</v>
      </c>
      <c r="G14">
        <f ca="1">IFERROR(计算区域!AD16,NA())</f>
        <v>0.11478770107079438</v>
      </c>
      <c r="H14">
        <f ca="1">IFERROR(计算区域!AE16,NA())</f>
        <v>0.15759657635372173</v>
      </c>
      <c r="I14">
        <f ca="1">IFERROR(计算区域!AF16,NA())</f>
        <v>0.13354995640300418</v>
      </c>
      <c r="J14">
        <f ca="1">IFERROR(计算区域!AG16,NA())</f>
        <v>0.29536882799276593</v>
      </c>
      <c r="L14">
        <f ca="1">IFERROR(计算区域!L16,NA())</f>
        <v>0.10886132205113898</v>
      </c>
      <c r="M14">
        <f ca="1">IFERROR(计算区域!M16,NA())</f>
        <v>0.11873328129889987</v>
      </c>
      <c r="N14">
        <f ca="1">IFERROR(计算区域!N16,NA())</f>
        <v>0.13269499253817332</v>
      </c>
      <c r="O14">
        <f ca="1">IFERROR(计算区域!O16,NA())</f>
        <v>0.27327797544619892</v>
      </c>
      <c r="Q14">
        <f ca="1">IFERROR(计算区域!R16,NA())</f>
        <v>0.11556165560817422</v>
      </c>
      <c r="R14">
        <f ca="1">IFERROR(计算区域!S16,NA())</f>
        <v>0.11823485173896765</v>
      </c>
      <c r="S14">
        <f ca="1">IFERROR(计算区域!T16,NA())</f>
        <v>0.13528036806048943</v>
      </c>
      <c r="T14">
        <f ca="1">IFERROR(计算区域!U16,NA())</f>
        <v>0.27226456564667595</v>
      </c>
      <c r="V14">
        <f ca="1">IFERROR(计算区域!X16,NA())</f>
        <v>0.118972523189704</v>
      </c>
      <c r="W14">
        <f ca="1">IFERROR(计算区域!Y16,NA())</f>
        <v>0.11939423613071667</v>
      </c>
      <c r="X14">
        <f ca="1">IFERROR(计算区域!Z16,NA())</f>
        <v>0.13720204400097893</v>
      </c>
      <c r="Y14">
        <f ca="1">IFERROR(计算区域!AA16,NA())</f>
        <v>0.26874793820163301</v>
      </c>
    </row>
    <row r="15" spans="1:25" x14ac:dyDescent="0.2">
      <c r="A15" s="28">
        <f>计算区域!E17</f>
        <v>45651</v>
      </c>
      <c r="B15">
        <f ca="1">IFERROR(计算区域!AJ17,NA())</f>
        <v>0.10155408664941315</v>
      </c>
      <c r="C15">
        <f ca="1">IFERROR(计算区域!AK17,NA())</f>
        <v>0.16619489821246428</v>
      </c>
      <c r="D15">
        <f ca="1">IFERROR(计算区域!AL17,NA())</f>
        <v>0.13168567027058126</v>
      </c>
      <c r="E15">
        <f ca="1">IFERROR(计算区域!AM17,NA())</f>
        <v>0.31344183355262484</v>
      </c>
      <c r="G15">
        <f ca="1">IFERROR(计算区域!AD17,NA())</f>
        <v>0.11667869476177632</v>
      </c>
      <c r="H15">
        <f ca="1">IFERROR(计算区域!AE17,NA())</f>
        <v>0.16775709557931526</v>
      </c>
      <c r="I15">
        <f ca="1">IFERROR(计算区域!AF17,NA())</f>
        <v>0.13433796104756196</v>
      </c>
      <c r="J15">
        <f ca="1">IFERROR(计算区域!AG17,NA())</f>
        <v>0.31526682188300331</v>
      </c>
      <c r="L15">
        <f ca="1">IFERROR(计算区域!L17,NA())</f>
        <v>0.11685720996140353</v>
      </c>
      <c r="M15">
        <f ca="1">IFERROR(计算区域!M17,NA())</f>
        <v>0.12434786031027359</v>
      </c>
      <c r="N15">
        <f ca="1">IFERROR(计算区域!N17,NA())</f>
        <v>0.13480466734512314</v>
      </c>
      <c r="O15">
        <f ca="1">IFERROR(计算区域!O17,NA())</f>
        <v>0.28153901655514074</v>
      </c>
      <c r="Q15">
        <f ca="1">IFERROR(计算区域!R17,NA())</f>
        <v>0.12545720338906349</v>
      </c>
      <c r="R15">
        <f ca="1">IFERROR(计算区域!S17,NA())</f>
        <v>0.12184982405802215</v>
      </c>
      <c r="S15">
        <f ca="1">IFERROR(计算区域!T17,NA())</f>
        <v>0.13770686995154124</v>
      </c>
      <c r="T15">
        <f ca="1">IFERROR(计算区域!U17,NA())</f>
        <v>0.27494723286013673</v>
      </c>
      <c r="V15">
        <f ca="1">IFERROR(计算区域!X17,NA())</f>
        <v>0.1279611285361722</v>
      </c>
      <c r="W15">
        <f ca="1">IFERROR(计算区域!Y17,NA())</f>
        <v>0.12180672990563672</v>
      </c>
      <c r="X15">
        <f ca="1">IFERROR(计算区域!Z17,NA())</f>
        <v>0.13962248816109513</v>
      </c>
      <c r="Y15">
        <f ca="1">IFERROR(计算区域!AA17,NA())</f>
        <v>0.26892234327385151</v>
      </c>
    </row>
    <row r="16" spans="1:25" x14ac:dyDescent="0.2">
      <c r="A16" s="28">
        <f>计算区域!E18</f>
        <v>45650</v>
      </c>
      <c r="B16">
        <f ca="1">IFERROR(计算区域!AJ18,NA())</f>
        <v>0.10498881075933839</v>
      </c>
      <c r="C16">
        <f ca="1">IFERROR(计算区域!AK18,NA())</f>
        <v>0.1698808259516244</v>
      </c>
      <c r="D16">
        <f ca="1">IFERROR(计算区域!AL18,NA())</f>
        <v>0.13622673371839067</v>
      </c>
      <c r="E16">
        <f ca="1">IFERROR(计算区域!AM18,NA())</f>
        <v>0.31407699902039649</v>
      </c>
      <c r="G16">
        <f ca="1">IFERROR(计算区域!AD18,NA())</f>
        <v>0.12510728010269603</v>
      </c>
      <c r="H16">
        <f ca="1">IFERROR(计算区域!AE18,NA())</f>
        <v>0.16996671420213141</v>
      </c>
      <c r="I16">
        <f ca="1">IFERROR(计算区域!AF18,NA())</f>
        <v>0.14012723847571865</v>
      </c>
      <c r="J16">
        <f ca="1">IFERROR(计算区域!AG18,NA())</f>
        <v>0.31613639394398735</v>
      </c>
      <c r="L16">
        <f ca="1">IFERROR(计算区域!L18,NA())</f>
        <v>0.11434437721248945</v>
      </c>
      <c r="M16">
        <f ca="1">IFERROR(计算区域!M18,NA())</f>
        <v>0.12441405298469506</v>
      </c>
      <c r="N16">
        <f ca="1">IFERROR(计算区域!N18,NA())</f>
        <v>0.13775648936516255</v>
      </c>
      <c r="O16">
        <f ca="1">IFERROR(计算区域!O18,NA())</f>
        <v>0.28237116204232643</v>
      </c>
      <c r="Q16">
        <f ca="1">IFERROR(计算区域!R18,NA())</f>
        <v>0.12129745358062519</v>
      </c>
      <c r="R16">
        <f ca="1">IFERROR(计算区域!S18,NA())</f>
        <v>0.12138421300549086</v>
      </c>
      <c r="S16">
        <f ca="1">IFERROR(计算区域!T18,NA())</f>
        <v>0.13936757132004232</v>
      </c>
      <c r="T16">
        <f ca="1">IFERROR(计算区域!U18,NA())</f>
        <v>0.27613725090539132</v>
      </c>
      <c r="V16">
        <f ca="1">IFERROR(计算区域!X18,NA())</f>
        <v>0.12409777383990428</v>
      </c>
      <c r="W16">
        <f ca="1">IFERROR(计算区域!Y18,NA())</f>
        <v>0.12110953837784127</v>
      </c>
      <c r="X16">
        <f ca="1">IFERROR(计算区域!Z18,NA())</f>
        <v>0.14066368857511902</v>
      </c>
      <c r="Y16">
        <f ca="1">IFERROR(计算区域!AA18,NA())</f>
        <v>0.27075064238334196</v>
      </c>
    </row>
    <row r="17" spans="1:25" x14ac:dyDescent="0.2">
      <c r="A17" s="28">
        <f>计算区域!E19</f>
        <v>45649</v>
      </c>
      <c r="B17">
        <f ca="1">IFERROR(计算区域!AJ19,NA())</f>
        <v>8.9558554341227059E-2</v>
      </c>
      <c r="C17">
        <f ca="1">IFERROR(计算区域!AK19,NA())</f>
        <v>0.16765156867080963</v>
      </c>
      <c r="D17">
        <f ca="1">IFERROR(计算区域!AL19,NA())</f>
        <v>0.13274636337292714</v>
      </c>
      <c r="E17">
        <f ca="1">IFERROR(计算区域!AM19,NA())</f>
        <v>0.32831631871746575</v>
      </c>
      <c r="G17">
        <f ca="1">IFERROR(计算区域!AD19,NA())</f>
        <v>0.10216812984416719</v>
      </c>
      <c r="H17">
        <f ca="1">IFERROR(计算区域!AE19,NA())</f>
        <v>0.16767897015228614</v>
      </c>
      <c r="I17">
        <f ca="1">IFERROR(计算区域!AF19,NA())</f>
        <v>0.13552676052675816</v>
      </c>
      <c r="J17">
        <f ca="1">IFERROR(计算区域!AG19,NA())</f>
        <v>0.33158610583962278</v>
      </c>
      <c r="L17">
        <f ca="1">IFERROR(计算区域!L19,NA())</f>
        <v>0.11308922145650956</v>
      </c>
      <c r="M17">
        <f ca="1">IFERROR(计算区域!M19,NA())</f>
        <v>0.14094910232234809</v>
      </c>
      <c r="N17">
        <f ca="1">IFERROR(计算区域!N19,NA())</f>
        <v>0.1371700271993225</v>
      </c>
      <c r="O17">
        <f ca="1">IFERROR(计算区域!O19,NA())</f>
        <v>0.28672746043956332</v>
      </c>
      <c r="Q17">
        <f ca="1">IFERROR(计算区域!R19,NA())</f>
        <v>0.12282181850515822</v>
      </c>
      <c r="R17">
        <f ca="1">IFERROR(计算区域!S19,NA())</f>
        <v>0.13359414247841575</v>
      </c>
      <c r="S17">
        <f ca="1">IFERROR(计算区域!T19,NA())</f>
        <v>0.13905589312201519</v>
      </c>
      <c r="T17">
        <f ca="1">IFERROR(计算区域!U19,NA())</f>
        <v>0.27817250814516775</v>
      </c>
      <c r="V17">
        <f ca="1">IFERROR(计算区域!X19,NA())</f>
        <v>0.13219531754731195</v>
      </c>
      <c r="W17">
        <f ca="1">IFERROR(计算区域!Y19,NA())</f>
        <v>0.13002917070761763</v>
      </c>
      <c r="X17">
        <f ca="1">IFERROR(计算区域!Z19,NA())</f>
        <v>0.14115876699756646</v>
      </c>
      <c r="Y17">
        <f ca="1">IFERROR(计算区域!AA19,NA())</f>
        <v>0.27170818642169869</v>
      </c>
    </row>
    <row r="18" spans="1:25" x14ac:dyDescent="0.2">
      <c r="A18" s="28">
        <f>计算区域!E20</f>
        <v>45646</v>
      </c>
      <c r="B18">
        <f ca="1">IFERROR(计算区域!AJ20,NA())</f>
        <v>7.7240890232936232E-2</v>
      </c>
      <c r="C18">
        <f ca="1">IFERROR(计算区域!AK20,NA())</f>
        <v>0.16158179418887994</v>
      </c>
      <c r="D18">
        <f ca="1">IFERROR(计算区域!AL20,NA())</f>
        <v>0.13487246266874764</v>
      </c>
      <c r="E18">
        <f ca="1">IFERROR(计算区域!AM20,NA())</f>
        <v>0.32811928647843502</v>
      </c>
      <c r="G18">
        <f ca="1">IFERROR(计算区域!AD20,NA())</f>
        <v>7.8550376306634861E-2</v>
      </c>
      <c r="H18">
        <f ca="1">IFERROR(计算区域!AE20,NA())</f>
        <v>0.16183994971062915</v>
      </c>
      <c r="I18">
        <f ca="1">IFERROR(计算区域!AF20,NA())</f>
        <v>0.13556233903985443</v>
      </c>
      <c r="J18">
        <f ca="1">IFERROR(计算区域!AG20,NA())</f>
        <v>0.33119235461053259</v>
      </c>
      <c r="L18">
        <f ca="1">IFERROR(计算区域!L20,NA())</f>
        <v>9.720902643566931E-2</v>
      </c>
      <c r="M18">
        <f ca="1">IFERROR(计算区域!M20,NA())</f>
        <v>0.13876003493480818</v>
      </c>
      <c r="N18">
        <f ca="1">IFERROR(计算区域!N20,NA())</f>
        <v>0.1403386928483554</v>
      </c>
      <c r="O18">
        <f ca="1">IFERROR(计算区域!O20,NA())</f>
        <v>0.28644455576666428</v>
      </c>
      <c r="Q18">
        <f ca="1">IFERROR(计算区域!R20,NA())</f>
        <v>0.10846253467227608</v>
      </c>
      <c r="R18">
        <f ca="1">IFERROR(计算区域!S20,NA())</f>
        <v>0.13280987916593498</v>
      </c>
      <c r="S18">
        <f ca="1">IFERROR(计算区域!T20,NA())</f>
        <v>0.14313639881206644</v>
      </c>
      <c r="T18">
        <f ca="1">IFERROR(计算区域!U20,NA())</f>
        <v>0.27792995800150433</v>
      </c>
      <c r="V18">
        <f ca="1">IFERROR(计算区域!X20,NA())</f>
        <v>0.11669929854159684</v>
      </c>
      <c r="W18">
        <f ca="1">IFERROR(计算区域!Y20,NA())</f>
        <v>0.1295122250581521</v>
      </c>
      <c r="X18">
        <f ca="1">IFERROR(计算区域!Z20,NA())</f>
        <v>0.14430119529358063</v>
      </c>
      <c r="Y18">
        <f ca="1">IFERROR(计算区域!AA20,NA())</f>
        <v>0.27144588826312299</v>
      </c>
    </row>
    <row r="19" spans="1:25" x14ac:dyDescent="0.2">
      <c r="A19" s="28">
        <f>计算区域!E21</f>
        <v>45645</v>
      </c>
      <c r="B19">
        <f ca="1">IFERROR(计算区域!AJ21,NA())</f>
        <v>0.19730040160748294</v>
      </c>
      <c r="C19">
        <f ca="1">IFERROR(计算区域!AK21,NA())</f>
        <v>0.17002965599279332</v>
      </c>
      <c r="D19">
        <f ca="1">IFERROR(计算区域!AL21,NA())</f>
        <v>0.17143809766718673</v>
      </c>
      <c r="E19">
        <f ca="1">IFERROR(计算区域!AM21,NA())</f>
        <v>0.32791142559626169</v>
      </c>
      <c r="G19">
        <f ca="1">IFERROR(计算区域!AD21,NA())</f>
        <v>0.20665506444148535</v>
      </c>
      <c r="H19">
        <f ca="1">IFERROR(计算区域!AE21,NA())</f>
        <v>0.17056109937446348</v>
      </c>
      <c r="I19">
        <f ca="1">IFERROR(计算区域!AF21,NA())</f>
        <v>0.17160711145023935</v>
      </c>
      <c r="J19">
        <f ca="1">IFERROR(计算区域!AG21,NA())</f>
        <v>0.33115613838452501</v>
      </c>
      <c r="L19">
        <f ca="1">IFERROR(计算区域!L21,NA())</f>
        <v>0.12784520615684256</v>
      </c>
      <c r="M19">
        <f ca="1">IFERROR(计算区域!M21,NA())</f>
        <v>0.14839210901458266</v>
      </c>
      <c r="N19">
        <f ca="1">IFERROR(计算区域!N21,NA())</f>
        <v>0.15423209469614746</v>
      </c>
      <c r="O19">
        <f ca="1">IFERROR(计算区域!O21,NA())</f>
        <v>0.28665020532116081</v>
      </c>
      <c r="Q19">
        <f ca="1">IFERROR(计算区域!R21,NA())</f>
        <v>0.12084893083750911</v>
      </c>
      <c r="R19">
        <f ca="1">IFERROR(计算区域!S21,NA())</f>
        <v>0.1430876574207223</v>
      </c>
      <c r="S19">
        <f ca="1">IFERROR(计算区域!T21,NA())</f>
        <v>0.14970990172352447</v>
      </c>
      <c r="T19">
        <f ca="1">IFERROR(计算区域!U21,NA())</f>
        <v>0.27819657892112498</v>
      </c>
      <c r="V19">
        <f ca="1">IFERROR(计算区域!X21,NA())</f>
        <v>0.11981446477095328</v>
      </c>
      <c r="W19">
        <f ca="1">IFERROR(计算区域!Y21,NA())</f>
        <v>0.13925870395383436</v>
      </c>
      <c r="X19">
        <f ca="1">IFERROR(计算区域!Z21,NA())</f>
        <v>0.14697954746008124</v>
      </c>
      <c r="Y19">
        <f ca="1">IFERROR(计算区域!AA21,NA())</f>
        <v>0.27170676330759375</v>
      </c>
    </row>
    <row r="20" spans="1:25" x14ac:dyDescent="0.2">
      <c r="A20" s="28">
        <f>计算区域!E22</f>
        <v>45644</v>
      </c>
      <c r="B20">
        <f ca="1">IFERROR(计算区域!AJ22,NA())</f>
        <v>0.22276803101266246</v>
      </c>
      <c r="C20">
        <f ca="1">IFERROR(计算区域!AK22,NA())</f>
        <v>0.17062724708909355</v>
      </c>
      <c r="D20">
        <f ca="1">IFERROR(计算区域!AL22,NA())</f>
        <v>0.17131341982020609</v>
      </c>
      <c r="E20">
        <f ca="1">IFERROR(计算区域!AM22,NA())</f>
        <v>0.32768619004036381</v>
      </c>
      <c r="G20">
        <f ca="1">IFERROR(计算区域!AD22,NA())</f>
        <v>0.22294972348582345</v>
      </c>
      <c r="H20">
        <f ca="1">IFERROR(计算区域!AE22,NA())</f>
        <v>0.1710614960921911</v>
      </c>
      <c r="I20">
        <f ca="1">IFERROR(计算区域!AF22,NA())</f>
        <v>0.17133375192140388</v>
      </c>
      <c r="J20">
        <f ca="1">IFERROR(计算区域!AG22,NA())</f>
        <v>0.33130088410988967</v>
      </c>
      <c r="L20">
        <f ca="1">IFERROR(计算区域!L22,NA())</f>
        <v>0.13141222624825696</v>
      </c>
      <c r="M20">
        <f ca="1">IFERROR(计算区域!M22,NA())</f>
        <v>0.14601524627858423</v>
      </c>
      <c r="N20">
        <f ca="1">IFERROR(计算区域!N22,NA())</f>
        <v>0.15319906322680027</v>
      </c>
      <c r="O20">
        <f ca="1">IFERROR(计算区域!O22,NA())</f>
        <v>0.28726653961963128</v>
      </c>
      <c r="Q20">
        <f ca="1">IFERROR(计算区域!R22,NA())</f>
        <v>0.11813233834872254</v>
      </c>
      <c r="R20">
        <f ca="1">IFERROR(计算区域!S22,NA())</f>
        <v>0.13998365837195711</v>
      </c>
      <c r="S20">
        <f ca="1">IFERROR(计算区域!T22,NA())</f>
        <v>0.14815472727964796</v>
      </c>
      <c r="T20">
        <f ca="1">IFERROR(计算区域!U22,NA())</f>
        <v>0.27904788477359416</v>
      </c>
      <c r="V20">
        <f ca="1">IFERROR(计算区域!X22,NA())</f>
        <v>0.115324362059188</v>
      </c>
      <c r="W20">
        <f ca="1">IFERROR(计算区域!Y22,NA())</f>
        <v>0.13613907066532879</v>
      </c>
      <c r="X20">
        <f ca="1">IFERROR(计算区域!Z22,NA())</f>
        <v>0.14539572681662399</v>
      </c>
      <c r="Y20">
        <f ca="1">IFERROR(计算区域!AA22,NA())</f>
        <v>0.27266409474794889</v>
      </c>
    </row>
    <row r="21" spans="1:25" x14ac:dyDescent="0.2">
      <c r="A21" s="28">
        <f>计算区域!E23</f>
        <v>45643</v>
      </c>
      <c r="B21">
        <f ca="1">IFERROR(计算区域!AJ23,NA())</f>
        <v>0.21481787361685475</v>
      </c>
      <c r="C21">
        <f ca="1">IFERROR(计算区域!AK23,NA())</f>
        <v>0.16719904927550408</v>
      </c>
      <c r="D21">
        <f ca="1">IFERROR(计算区域!AL23,NA())</f>
        <v>0.16952419851314984</v>
      </c>
      <c r="E21">
        <f ca="1">IFERROR(计算区域!AM23,NA())</f>
        <v>0.32763025829579856</v>
      </c>
      <c r="G21">
        <f ca="1">IFERROR(计算区域!AD23,NA())</f>
        <v>0.2221434386220103</v>
      </c>
      <c r="H21">
        <f ca="1">IFERROR(计算区域!AE23,NA())</f>
        <v>0.16720351266556027</v>
      </c>
      <c r="I21">
        <f ca="1">IFERROR(计算区域!AF23,NA())</f>
        <v>0.16965021562722263</v>
      </c>
      <c r="J21">
        <f ca="1">IFERROR(计算区域!AG23,NA())</f>
        <v>0.3311931696466342</v>
      </c>
      <c r="L21">
        <f ca="1">IFERROR(计算区域!L23,NA())</f>
        <v>0.1337276207821142</v>
      </c>
      <c r="M21">
        <f ca="1">IFERROR(计算区域!M23,NA())</f>
        <v>0.14712811002924589</v>
      </c>
      <c r="N21">
        <f ca="1">IFERROR(计算区域!N23,NA())</f>
        <v>0.15417207721736267</v>
      </c>
      <c r="O21">
        <f ca="1">IFERROR(计算区域!O23,NA())</f>
        <v>0.28741991474342621</v>
      </c>
      <c r="Q21">
        <f ca="1">IFERROR(计算区域!R23,NA())</f>
        <v>0.12147091046329088</v>
      </c>
      <c r="R21">
        <f ca="1">IFERROR(计算区域!S23,NA())</f>
        <v>0.14204601359454883</v>
      </c>
      <c r="S21">
        <f ca="1">IFERROR(计算区域!T23,NA())</f>
        <v>0.1494657816148042</v>
      </c>
      <c r="T21">
        <f ca="1">IFERROR(计算区域!U23,NA())</f>
        <v>0.27921443581271105</v>
      </c>
      <c r="V21">
        <f ca="1">IFERROR(计算区域!X23,NA())</f>
        <v>0.11804568225974041</v>
      </c>
      <c r="W21">
        <f ca="1">IFERROR(计算区域!Y23,NA())</f>
        <v>0.13791346858807851</v>
      </c>
      <c r="X21">
        <f ca="1">IFERROR(计算区域!Z23,NA())</f>
        <v>0.14649049808171774</v>
      </c>
      <c r="Y21">
        <f ca="1">IFERROR(计算区域!AA23,NA())</f>
        <v>0.27281254011529066</v>
      </c>
    </row>
    <row r="22" spans="1:25" x14ac:dyDescent="0.2">
      <c r="A22" s="28">
        <f>计算区域!E24</f>
        <v>45642</v>
      </c>
      <c r="B22">
        <f ca="1">IFERROR(计算区域!AJ24,NA())</f>
        <v>0.22582428340116162</v>
      </c>
      <c r="C22">
        <f ca="1">IFERROR(计算区域!AK24,NA())</f>
        <v>0.16719573833231377</v>
      </c>
      <c r="D22">
        <f ca="1">IFERROR(计算区域!AL24,NA())</f>
        <v>0.16873469579333425</v>
      </c>
      <c r="E22">
        <f ca="1">IFERROR(计算区域!AM24,NA())</f>
        <v>0.32777031995415568</v>
      </c>
      <c r="G22">
        <f ca="1">IFERROR(计算区域!AD24,NA())</f>
        <v>0.22983299711886615</v>
      </c>
      <c r="H22">
        <f ca="1">IFERROR(计算区域!AE24,NA())</f>
        <v>0.16720024844317091</v>
      </c>
      <c r="I22">
        <f ca="1">IFERROR(计算区域!AF24,NA())</f>
        <v>0.16932888900030357</v>
      </c>
      <c r="J22">
        <f ca="1">IFERROR(计算区域!AG24,NA())</f>
        <v>0.33105348026331494</v>
      </c>
      <c r="L22">
        <f ca="1">IFERROR(计算区域!L24,NA())</f>
        <v>0.16414666271755893</v>
      </c>
      <c r="M22">
        <f ca="1">IFERROR(计算区域!M24,NA())</f>
        <v>0.14561336843268546</v>
      </c>
      <c r="N22">
        <f ca="1">IFERROR(计算区域!N24,NA())</f>
        <v>0.15569984009739754</v>
      </c>
      <c r="O22">
        <f ca="1">IFERROR(计算区域!O24,NA())</f>
        <v>0.28707151330361713</v>
      </c>
      <c r="Q22">
        <f ca="1">IFERROR(计算区域!R24,NA())</f>
        <v>0.14356040787129459</v>
      </c>
      <c r="R22">
        <f ca="1">IFERROR(计算区域!S24,NA())</f>
        <v>0.14041638042234528</v>
      </c>
      <c r="S22">
        <f ca="1">IFERROR(计算区域!T24,NA())</f>
        <v>0.15224327711034691</v>
      </c>
      <c r="T22">
        <f ca="1">IFERROR(计算区域!U24,NA())</f>
        <v>0.27882856999184269</v>
      </c>
      <c r="V22">
        <f ca="1">IFERROR(计算区域!X24,NA())</f>
        <v>0.1278263215788786</v>
      </c>
      <c r="W22">
        <f ca="1">IFERROR(计算区域!Y24,NA())</f>
        <v>0.13364140945957889</v>
      </c>
      <c r="X22">
        <f ca="1">IFERROR(计算区域!Z24,NA())</f>
        <v>0.15023063104719542</v>
      </c>
      <c r="Y22">
        <f ca="1">IFERROR(计算区域!AA24,NA())</f>
        <v>0.27234481841289032</v>
      </c>
    </row>
    <row r="23" spans="1:25" x14ac:dyDescent="0.2">
      <c r="A23" s="28">
        <f>计算区域!E25</f>
        <v>45639</v>
      </c>
      <c r="B23">
        <f ca="1">IFERROR(计算区域!AJ25,NA())</f>
        <v>0.22721967860411543</v>
      </c>
      <c r="C23">
        <f ca="1">IFERROR(计算区域!AK25,NA())</f>
        <v>0.16819497829515909</v>
      </c>
      <c r="D23">
        <f ca="1">IFERROR(计算区域!AL25,NA())</f>
        <v>0.16968416266710679</v>
      </c>
      <c r="E23">
        <f ca="1">IFERROR(计算区域!AM25,NA())</f>
        <v>0.32798151037930534</v>
      </c>
      <c r="G23">
        <f ca="1">IFERROR(计算区域!AD25,NA())</f>
        <v>0.22970028157873193</v>
      </c>
      <c r="H23">
        <f ca="1">IFERROR(计算区域!AE25,NA())</f>
        <v>0.16838480624774857</v>
      </c>
      <c r="I23">
        <f ca="1">IFERROR(计算区域!AF25,NA())</f>
        <v>0.16995084928706514</v>
      </c>
      <c r="J23">
        <f ca="1">IFERROR(计算区域!AG25,NA())</f>
        <v>0.33115792782126163</v>
      </c>
      <c r="L23">
        <f ca="1">IFERROR(计算区域!L25,NA())</f>
        <v>0.17046729824118087</v>
      </c>
      <c r="M23">
        <f ca="1">IFERROR(计算区域!M25,NA())</f>
        <v>0.14961829082532688</v>
      </c>
      <c r="N23">
        <f ca="1">IFERROR(计算区域!N25,NA())</f>
        <v>0.16148276896583408</v>
      </c>
      <c r="O23">
        <f ca="1">IFERROR(计算区域!O25,NA())</f>
        <v>0.28721466738670132</v>
      </c>
      <c r="Q23">
        <f ca="1">IFERROR(计算区域!R25,NA())</f>
        <v>0.15333886193853732</v>
      </c>
      <c r="R23">
        <f ca="1">IFERROR(计算区域!S25,NA())</f>
        <v>0.145772369798154</v>
      </c>
      <c r="S23">
        <f ca="1">IFERROR(计算区域!T25,NA())</f>
        <v>0.16047848698296899</v>
      </c>
      <c r="T23">
        <f ca="1">IFERROR(计算区域!U25,NA())</f>
        <v>0.27897471206628632</v>
      </c>
      <c r="V23">
        <f ca="1">IFERROR(计算区域!X25,NA())</f>
        <v>0.14116694584401171</v>
      </c>
      <c r="W23">
        <f ca="1">IFERROR(计算区域!Y25,NA())</f>
        <v>0.13932899826901218</v>
      </c>
      <c r="X23">
        <f ca="1">IFERROR(计算区域!Z25,NA())</f>
        <v>0.16095773511344483</v>
      </c>
      <c r="Y23">
        <f ca="1">IFERROR(计算区域!AA25,NA())</f>
        <v>0.27249977739444886</v>
      </c>
    </row>
    <row r="24" spans="1:25" x14ac:dyDescent="0.2">
      <c r="A24" s="28">
        <f>计算区域!E26</f>
        <v>45638</v>
      </c>
      <c r="B24">
        <f ca="1">IFERROR(计算区域!AJ26,NA())</f>
        <v>0.12102238663389202</v>
      </c>
      <c r="C24">
        <f ca="1">IFERROR(计算区域!AK26,NA())</f>
        <v>9.705767865172886E-2</v>
      </c>
      <c r="D24">
        <f ca="1">IFERROR(计算区域!AL26,NA())</f>
        <v>0.15236933223744475</v>
      </c>
      <c r="E24">
        <f ca="1">IFERROR(计算区域!AM26,NA())</f>
        <v>0.32363570085013216</v>
      </c>
      <c r="G24">
        <f ca="1">IFERROR(计算区域!AD26,NA())</f>
        <v>0.15082650209858067</v>
      </c>
      <c r="H24">
        <f ca="1">IFERROR(计算区域!AE26,NA())</f>
        <v>0.11320880332078227</v>
      </c>
      <c r="I24">
        <f ca="1">IFERROR(计算区域!AF26,NA())</f>
        <v>0.15236936605582443</v>
      </c>
      <c r="J24">
        <f ca="1">IFERROR(计算区域!AG26,NA())</f>
        <v>0.32757323676384692</v>
      </c>
      <c r="L24">
        <f ca="1">IFERROR(计算区域!L26,NA())</f>
        <v>0.16642127057051931</v>
      </c>
      <c r="M24">
        <f ca="1">IFERROR(计算区域!M26,NA())</f>
        <v>0.14532147123329045</v>
      </c>
      <c r="N24">
        <f ca="1">IFERROR(计算区域!N26,NA())</f>
        <v>0.15813216994699217</v>
      </c>
      <c r="O24">
        <f ca="1">IFERROR(计算区域!O26,NA())</f>
        <v>0.28611334353024775</v>
      </c>
      <c r="Q24">
        <f ca="1">IFERROR(计算区域!R26,NA())</f>
        <v>0.16230739763710991</v>
      </c>
      <c r="R24">
        <f ca="1">IFERROR(计算区域!S26,NA())</f>
        <v>0.15040636887920447</v>
      </c>
      <c r="S24">
        <f ca="1">IFERROR(计算区域!T26,NA())</f>
        <v>0.15939558151294453</v>
      </c>
      <c r="T24">
        <f ca="1">IFERROR(计算区域!U26,NA())</f>
        <v>0.27837008863743845</v>
      </c>
      <c r="V24">
        <f ca="1">IFERROR(计算区域!X26,NA())</f>
        <v>0.15630248649798686</v>
      </c>
      <c r="W24">
        <f ca="1">IFERROR(计算区域!Y26,NA())</f>
        <v>0.15295037801475284</v>
      </c>
      <c r="X24">
        <f ca="1">IFERROR(计算区域!Z26,NA())</f>
        <v>0.16107758001753822</v>
      </c>
      <c r="Y24">
        <f ca="1">IFERROR(计算区域!AA26,NA())</f>
        <v>0.27215024788632797</v>
      </c>
    </row>
    <row r="25" spans="1:25" x14ac:dyDescent="0.2">
      <c r="A25" s="28">
        <f>计算区域!E27</f>
        <v>45637</v>
      </c>
      <c r="B25">
        <f ca="1">IFERROR(计算区域!AJ27,NA())</f>
        <v>0.12214436055026351</v>
      </c>
      <c r="C25">
        <f ca="1">IFERROR(计算区域!AK27,NA())</f>
        <v>9.4597448921724586E-2</v>
      </c>
      <c r="D25">
        <f ca="1">IFERROR(计算区域!AL27,NA())</f>
        <v>0.14913630437839584</v>
      </c>
      <c r="E25">
        <f ca="1">IFERROR(计算区域!AM27,NA())</f>
        <v>0.32325140756772786</v>
      </c>
      <c r="G25">
        <f ca="1">IFERROR(计算区域!AD27,NA())</f>
        <v>0.12701574921842157</v>
      </c>
      <c r="H25">
        <f ca="1">IFERROR(计算区域!AE27,NA())</f>
        <v>9.9780358641168299E-2</v>
      </c>
      <c r="I25">
        <f ca="1">IFERROR(计算区域!AF27,NA())</f>
        <v>0.14999216289892389</v>
      </c>
      <c r="J25">
        <f ca="1">IFERROR(计算区域!AG27,NA())</f>
        <v>0.32676295128540772</v>
      </c>
      <c r="L25">
        <f ca="1">IFERROR(计算区域!L27,NA())</f>
        <v>0.1592850623381494</v>
      </c>
      <c r="M25">
        <f ca="1">IFERROR(计算区域!M27,NA())</f>
        <v>0.14450676908821714</v>
      </c>
      <c r="N25">
        <f ca="1">IFERROR(计算区域!N27,NA())</f>
        <v>0.15945107225301239</v>
      </c>
      <c r="O25">
        <f ca="1">IFERROR(计算区域!O27,NA())</f>
        <v>0.2858093812981054</v>
      </c>
      <c r="Q25">
        <f ca="1">IFERROR(计算区域!R27,NA())</f>
        <v>0.15885716810599559</v>
      </c>
      <c r="R25">
        <f ca="1">IFERROR(计算区域!S27,NA())</f>
        <v>0.15191768968994507</v>
      </c>
      <c r="S25">
        <f ca="1">IFERROR(计算区域!T27,NA())</f>
        <v>0.16247042315209076</v>
      </c>
      <c r="T25">
        <f ca="1">IFERROR(计算区域!U27,NA())</f>
        <v>0.27825539858834819</v>
      </c>
      <c r="V25">
        <f ca="1">IFERROR(计算区域!X27,NA())</f>
        <v>0.15416868890562729</v>
      </c>
      <c r="W25">
        <f ca="1">IFERROR(计算区域!Y27,NA())</f>
        <v>0.15540913406323825</v>
      </c>
      <c r="X25">
        <f ca="1">IFERROR(计算区域!Z27,NA())</f>
        <v>0.1653179037785602</v>
      </c>
      <c r="Y25">
        <f ca="1">IFERROR(计算区域!AA27,NA())</f>
        <v>0.2721106630074549</v>
      </c>
    </row>
    <row r="26" spans="1:25" x14ac:dyDescent="0.2">
      <c r="A26" s="28">
        <f>计算区域!E28</f>
        <v>45636</v>
      </c>
      <c r="B26">
        <f ca="1">IFERROR(计算区域!AJ28,NA())</f>
        <v>0.10315583185354553</v>
      </c>
      <c r="C26">
        <f ca="1">IFERROR(计算区域!AK28,NA())</f>
        <v>9.3342872667279433E-2</v>
      </c>
      <c r="D26">
        <f ca="1">IFERROR(计算区域!AL28,NA())</f>
        <v>0.14937586924038077</v>
      </c>
      <c r="E26">
        <f ca="1">IFERROR(计算区域!AM28,NA())</f>
        <v>0.32435838374718778</v>
      </c>
      <c r="G26">
        <f ca="1">IFERROR(计算区域!AD28,NA())</f>
        <v>0.11642841420597912</v>
      </c>
      <c r="H26">
        <f ca="1">IFERROR(计算区域!AE28,NA())</f>
        <v>0.11209076722002592</v>
      </c>
      <c r="I26">
        <f ca="1">IFERROR(计算区域!AF28,NA())</f>
        <v>0.14950349445669744</v>
      </c>
      <c r="J26">
        <f ca="1">IFERROR(计算区域!AG28,NA())</f>
        <v>0.32760614954278267</v>
      </c>
      <c r="L26">
        <f ca="1">IFERROR(计算区域!L28,NA())</f>
        <v>0.15940603803341591</v>
      </c>
      <c r="M26">
        <f ca="1">IFERROR(计算区域!M28,NA())</f>
        <v>0.14991612369705196</v>
      </c>
      <c r="N26">
        <f ca="1">IFERROR(计算区域!N28,NA())</f>
        <v>0.16133783863006931</v>
      </c>
      <c r="O26">
        <f ca="1">IFERROR(计算区域!O28,NA())</f>
        <v>0.28614293983335265</v>
      </c>
      <c r="Q26">
        <f ca="1">IFERROR(计算区域!R28,NA())</f>
        <v>0.15999674330255811</v>
      </c>
      <c r="R26">
        <f ca="1">IFERROR(计算区域!S28,NA())</f>
        <v>0.15528204243998014</v>
      </c>
      <c r="S26">
        <f ca="1">IFERROR(计算区域!T28,NA())</f>
        <v>0.16373628041034044</v>
      </c>
      <c r="T26">
        <f ca="1">IFERROR(计算区域!U28,NA())</f>
        <v>0.27849839550876615</v>
      </c>
      <c r="V26">
        <f ca="1">IFERROR(计算区域!X28,NA())</f>
        <v>0.15525935249067047</v>
      </c>
      <c r="W26">
        <f ca="1">IFERROR(计算区域!Y28,NA())</f>
        <v>0.15781326395782555</v>
      </c>
      <c r="X26">
        <f ca="1">IFERROR(计算区域!Z28,NA())</f>
        <v>0.16629550900525872</v>
      </c>
      <c r="Y26">
        <f ca="1">IFERROR(计算区域!AA28,NA())</f>
        <v>0.27229226082225577</v>
      </c>
    </row>
    <row r="27" spans="1:25" x14ac:dyDescent="0.2">
      <c r="A27" s="28">
        <f>计算区域!E29</f>
        <v>45635</v>
      </c>
      <c r="B27">
        <f ca="1">IFERROR(计算区域!AJ29,NA())</f>
        <v>9.2015838191127186E-2</v>
      </c>
      <c r="C27">
        <f ca="1">IFERROR(计算区域!AK29,NA())</f>
        <v>8.8550880535549853E-2</v>
      </c>
      <c r="D27">
        <f ca="1">IFERROR(计算区域!AL29,NA())</f>
        <v>0.15310422375159985</v>
      </c>
      <c r="E27">
        <f ca="1">IFERROR(计算区域!AM29,NA())</f>
        <v>0.32445705456561008</v>
      </c>
      <c r="G27">
        <f ca="1">IFERROR(计算区域!AD29,NA())</f>
        <v>0.10038735161433399</v>
      </c>
      <c r="H27">
        <f ca="1">IFERROR(计算区域!AE29,NA())</f>
        <v>0.10324534978857484</v>
      </c>
      <c r="I27">
        <f ca="1">IFERROR(计算区域!AF29,NA())</f>
        <v>0.15519482153013803</v>
      </c>
      <c r="J27">
        <f ca="1">IFERROR(计算区域!AG29,NA())</f>
        <v>0.32721310707988083</v>
      </c>
      <c r="L27">
        <f ca="1">IFERROR(计算区域!L29,NA())</f>
        <v>0.12434781562743258</v>
      </c>
      <c r="M27">
        <f ca="1">IFERROR(计算区域!M29,NA())</f>
        <v>0.13328384477591423</v>
      </c>
      <c r="N27">
        <f ca="1">IFERROR(计算区域!N29,NA())</f>
        <v>0.16347117990092988</v>
      </c>
      <c r="O27">
        <f ca="1">IFERROR(计算区域!O29,NA())</f>
        <v>0.28467017620884499</v>
      </c>
      <c r="Q27">
        <f ca="1">IFERROR(计算区域!R29,NA())</f>
        <v>0.13720032461205445</v>
      </c>
      <c r="R27">
        <f ca="1">IFERROR(计算区域!S29,NA())</f>
        <v>0.14431108037631546</v>
      </c>
      <c r="S27">
        <f ca="1">IFERROR(计算区域!T29,NA())</f>
        <v>0.17000388019834636</v>
      </c>
      <c r="T27">
        <f ca="1">IFERROR(计算区域!U29,NA())</f>
        <v>0.27744561405872775</v>
      </c>
      <c r="V27">
        <f ca="1">IFERROR(计算区域!X29,NA())</f>
        <v>0.13921380734790198</v>
      </c>
      <c r="W27">
        <f ca="1">IFERROR(计算区域!Y29,NA())</f>
        <v>0.15147280206570335</v>
      </c>
      <c r="X27">
        <f ca="1">IFERROR(计算区域!Z29,NA())</f>
        <v>0.17442100340545735</v>
      </c>
      <c r="Y27">
        <f ca="1">IFERROR(计算区域!AA29,NA())</f>
        <v>0.2716247808992529</v>
      </c>
    </row>
    <row r="28" spans="1:25" x14ac:dyDescent="0.2">
      <c r="A28" s="28">
        <f>计算区域!E30</f>
        <v>45632</v>
      </c>
      <c r="B28">
        <f ca="1">IFERROR(计算区域!AJ30,NA())</f>
        <v>9.2034540683977373E-2</v>
      </c>
      <c r="C28">
        <f ca="1">IFERROR(计算区域!AK30,NA())</f>
        <v>0.10592403383087935</v>
      </c>
      <c r="D28">
        <f ca="1">IFERROR(计算区域!AL30,NA())</f>
        <v>0.1536095486783253</v>
      </c>
      <c r="E28">
        <f ca="1">IFERROR(计算区域!AM30,NA())</f>
        <v>0.32445385177154329</v>
      </c>
      <c r="G28">
        <f ca="1">IFERROR(计算区域!AD30,NA())</f>
        <v>0.10503821845694011</v>
      </c>
      <c r="H28">
        <f ca="1">IFERROR(计算区域!AE30,NA())</f>
        <v>0.11226767797056464</v>
      </c>
      <c r="I28">
        <f ca="1">IFERROR(计算区域!AF30,NA())</f>
        <v>0.1567669577506591</v>
      </c>
      <c r="J28">
        <f ca="1">IFERROR(计算区域!AG30,NA())</f>
        <v>0.32721562306592494</v>
      </c>
      <c r="L28">
        <f ca="1">IFERROR(计算区域!L30,NA())</f>
        <v>0.12534817960120712</v>
      </c>
      <c r="M28">
        <f ca="1">IFERROR(计算区域!M30,NA())</f>
        <v>0.14189978902613246</v>
      </c>
      <c r="N28">
        <f ca="1">IFERROR(计算区域!N30,NA())</f>
        <v>0.16516790802612871</v>
      </c>
      <c r="O28">
        <f ca="1">IFERROR(计算区域!O30,NA())</f>
        <v>0.28440886521810321</v>
      </c>
      <c r="Q28">
        <f ca="1">IFERROR(计算区域!R30,NA())</f>
        <v>0.13779100483171505</v>
      </c>
      <c r="R28">
        <f ca="1">IFERROR(计算区域!S30,NA())</f>
        <v>0.15276646662701746</v>
      </c>
      <c r="S28">
        <f ca="1">IFERROR(计算区域!T30,NA())</f>
        <v>0.17225828531557555</v>
      </c>
      <c r="T28">
        <f ca="1">IFERROR(计算区域!U30,NA())</f>
        <v>0.27708286794061215</v>
      </c>
      <c r="V28">
        <f ca="1">IFERROR(计算区域!X30,NA())</f>
        <v>0.13746647925354993</v>
      </c>
      <c r="W28">
        <f ca="1">IFERROR(计算区域!Y30,NA())</f>
        <v>0.1577093956833224</v>
      </c>
      <c r="X28">
        <f ca="1">IFERROR(计算区域!Z30,NA())</f>
        <v>0.17811831141785661</v>
      </c>
      <c r="Y28">
        <f ca="1">IFERROR(计算区域!AA30,NA())</f>
        <v>0.27115833144176354</v>
      </c>
    </row>
    <row r="29" spans="1:25" x14ac:dyDescent="0.2">
      <c r="A29" s="28">
        <f>计算区域!E31</f>
        <v>45631</v>
      </c>
      <c r="B29">
        <f ca="1">IFERROR(计算区域!AJ31,NA())</f>
        <v>7.0415472667047285E-2</v>
      </c>
      <c r="C29">
        <f ca="1">IFERROR(计算区域!AK31,NA())</f>
        <v>0.17953333222184167</v>
      </c>
      <c r="D29">
        <f ca="1">IFERROR(计算区域!AL31,NA())</f>
        <v>0.15242469154671079</v>
      </c>
      <c r="E29">
        <f ca="1">IFERROR(计算区域!AM31,NA())</f>
        <v>0.32479278423987729</v>
      </c>
      <c r="G29">
        <f ca="1">IFERROR(计算区域!AD31,NA())</f>
        <v>7.8024937364184171E-2</v>
      </c>
      <c r="H29">
        <f ca="1">IFERROR(计算区域!AE31,NA())</f>
        <v>0.18187639750579457</v>
      </c>
      <c r="I29">
        <f ca="1">IFERROR(计算区域!AF31,NA())</f>
        <v>0.16099128768004103</v>
      </c>
      <c r="J29">
        <f ca="1">IFERROR(计算区域!AG31,NA())</f>
        <v>0.32693654692353352</v>
      </c>
      <c r="L29">
        <f ca="1">IFERROR(计算区域!L31,NA())</f>
        <v>0.12058449611998277</v>
      </c>
      <c r="M29">
        <f ca="1">IFERROR(计算区域!M31,NA())</f>
        <v>0.15985887542118835</v>
      </c>
      <c r="N29">
        <f ca="1">IFERROR(计算区域!N31,NA())</f>
        <v>0.17020452645346093</v>
      </c>
      <c r="O29">
        <f ca="1">IFERROR(计算区域!O31,NA())</f>
        <v>0.28360621011380355</v>
      </c>
      <c r="Q29">
        <f ca="1">IFERROR(计算区域!R31,NA())</f>
        <v>0.13747894482837633</v>
      </c>
      <c r="R29">
        <f ca="1">IFERROR(计算区域!S31,NA())</f>
        <v>0.15605137500831173</v>
      </c>
      <c r="S29">
        <f ca="1">IFERROR(计算区域!T31,NA())</f>
        <v>0.17572252173512815</v>
      </c>
      <c r="T29">
        <f ca="1">IFERROR(计算区域!U31,NA())</f>
        <v>0.27620521007952958</v>
      </c>
      <c r="V29">
        <f ca="1">IFERROR(计算区域!X31,NA())</f>
        <v>0.14952313862495736</v>
      </c>
      <c r="W29">
        <f ca="1">IFERROR(计算区域!Y31,NA())</f>
        <v>0.15431457519054659</v>
      </c>
      <c r="X29">
        <f ca="1">IFERROR(计算区域!Z31,NA())</f>
        <v>0.18021624723698088</v>
      </c>
      <c r="Y29">
        <f ca="1">IFERROR(计算区域!AA31,NA())</f>
        <v>0.27028947303941708</v>
      </c>
    </row>
    <row r="30" spans="1:25" x14ac:dyDescent="0.2">
      <c r="A30" s="28">
        <f>计算区域!E32</f>
        <v>45630</v>
      </c>
      <c r="B30">
        <f ca="1">IFERROR(计算区域!AJ32,NA())</f>
        <v>7.2197822037829387E-2</v>
      </c>
      <c r="C30">
        <f ca="1">IFERROR(计算区域!AK32,NA())</f>
        <v>0.18000068313505768</v>
      </c>
      <c r="D30">
        <f ca="1">IFERROR(计算区域!AL32,NA())</f>
        <v>0.20793122568287589</v>
      </c>
      <c r="E30">
        <f ca="1">IFERROR(计算区域!AM32,NA())</f>
        <v>0.32480664825945144</v>
      </c>
      <c r="G30">
        <f ca="1">IFERROR(计算区域!AD32,NA())</f>
        <v>7.9172402920736365E-2</v>
      </c>
      <c r="H30">
        <f ca="1">IFERROR(计算区域!AE32,NA())</f>
        <v>0.18085952725623824</v>
      </c>
      <c r="I30">
        <f ca="1">IFERROR(计算区域!AF32,NA())</f>
        <v>0.20873622092611518</v>
      </c>
      <c r="J30">
        <f ca="1">IFERROR(计算区域!AG32,NA())</f>
        <v>0.32694559675253604</v>
      </c>
      <c r="L30">
        <f ca="1">IFERROR(计算区域!L32,NA())</f>
        <v>0.12803390777666077</v>
      </c>
      <c r="M30">
        <f ca="1">IFERROR(计算区域!M32,NA())</f>
        <v>0.16006078158419282</v>
      </c>
      <c r="N30">
        <f ca="1">IFERROR(计算区域!N32,NA())</f>
        <v>0.19519748584249202</v>
      </c>
      <c r="O30">
        <f ca="1">IFERROR(计算区域!O32,NA())</f>
        <v>0.28357999335386752</v>
      </c>
      <c r="Q30">
        <f ca="1">IFERROR(计算区域!R32,NA())</f>
        <v>0.1446456671414818</v>
      </c>
      <c r="R30">
        <f ca="1">IFERROR(计算区域!S32,NA())</f>
        <v>0.15589811358517755</v>
      </c>
      <c r="S30">
        <f ca="1">IFERROR(计算区域!T32,NA())</f>
        <v>0.18426979196241527</v>
      </c>
      <c r="T30">
        <f ca="1">IFERROR(计算区域!U32,NA())</f>
        <v>0.2761203086051523</v>
      </c>
      <c r="V30">
        <f ca="1">IFERROR(计算区域!X32,NA())</f>
        <v>0.15663975632543306</v>
      </c>
      <c r="W30">
        <f ca="1">IFERROR(计算区域!Y32,NA())</f>
        <v>0.15409733349882895</v>
      </c>
      <c r="X30">
        <f ca="1">IFERROR(计算区域!Z32,NA())</f>
        <v>0.18133177591046218</v>
      </c>
      <c r="Y30">
        <f ca="1">IFERROR(计算区域!AA32,NA())</f>
        <v>0.27018825582671213</v>
      </c>
    </row>
    <row r="31" spans="1:25" x14ac:dyDescent="0.2">
      <c r="A31" s="28">
        <f>计算区域!E33</f>
        <v>45629</v>
      </c>
      <c r="B31">
        <f ca="1">IFERROR(计算区域!AJ33,NA())</f>
        <v>9.3180249849703564E-2</v>
      </c>
      <c r="C31">
        <f ca="1">IFERROR(计算区域!AK33,NA())</f>
        <v>0.18070460324454901</v>
      </c>
      <c r="D31">
        <f ca="1">IFERROR(计算区域!AL33,NA())</f>
        <v>0.20936416644219666</v>
      </c>
      <c r="E31">
        <f ca="1">IFERROR(计算区域!AM33,NA())</f>
        <v>0.32689847064697558</v>
      </c>
      <c r="G31">
        <f ca="1">IFERROR(计算区域!AD33,NA())</f>
        <v>0.12130205926291006</v>
      </c>
      <c r="H31">
        <f ca="1">IFERROR(计算区域!AE33,NA())</f>
        <v>0.18111677809130644</v>
      </c>
      <c r="I31">
        <f ca="1">IFERROR(计算区域!AF33,NA())</f>
        <v>0.21072950375031671</v>
      </c>
      <c r="J31">
        <f ca="1">IFERROR(计算区域!AG33,NA())</f>
        <v>0.32859739373003499</v>
      </c>
      <c r="L31">
        <f ca="1">IFERROR(计算区域!L33,NA())</f>
        <v>0.13978341578023024</v>
      </c>
      <c r="M31">
        <f ca="1">IFERROR(计算区域!M33,NA())</f>
        <v>0.16090797999557069</v>
      </c>
      <c r="N31">
        <f ca="1">IFERROR(计算区域!N33,NA())</f>
        <v>0.19879011776192809</v>
      </c>
      <c r="O31">
        <f ca="1">IFERROR(计算区域!O33,NA())</f>
        <v>0.28381768125429679</v>
      </c>
      <c r="Q31">
        <f ca="1">IFERROR(计算区域!R33,NA())</f>
        <v>0.15041963815020604</v>
      </c>
      <c r="R31">
        <f ca="1">IFERROR(计算区域!S33,NA())</f>
        <v>0.15653424471771643</v>
      </c>
      <c r="S31">
        <f ca="1">IFERROR(计算区域!T33,NA())</f>
        <v>0.18876627961494008</v>
      </c>
      <c r="T31">
        <f ca="1">IFERROR(计算区域!U33,NA())</f>
        <v>0.27612010367176926</v>
      </c>
      <c r="V31">
        <f ca="1">IFERROR(计算区域!X33,NA())</f>
        <v>0.1603264982035795</v>
      </c>
      <c r="W31">
        <f ca="1">IFERROR(计算区域!Y33,NA())</f>
        <v>0.15459239062277474</v>
      </c>
      <c r="X31">
        <f ca="1">IFERROR(计算区域!Z33,NA())</f>
        <v>0.18567032544815842</v>
      </c>
      <c r="Y31">
        <f ca="1">IFERROR(计算区域!AA33,NA())</f>
        <v>0.2700914417392285</v>
      </c>
    </row>
    <row r="32" spans="1:25" x14ac:dyDescent="0.2">
      <c r="A32" s="28">
        <f>计算区域!E34</f>
        <v>45628</v>
      </c>
      <c r="B32">
        <f ca="1">IFERROR(计算区域!AJ34,NA())</f>
        <v>9.3019719615475269E-2</v>
      </c>
      <c r="C32">
        <f ca="1">IFERROR(计算区域!AK34,NA())</f>
        <v>0.17831520629308534</v>
      </c>
      <c r="D32">
        <f ca="1">IFERROR(计算区域!AL34,NA())</f>
        <v>0.22140992107349472</v>
      </c>
      <c r="E32">
        <f ca="1">IFERROR(计算区域!AM34,NA())</f>
        <v>0.32714631351732637</v>
      </c>
      <c r="G32">
        <f ca="1">IFERROR(计算区域!AD34,NA())</f>
        <v>0.11792575929385277</v>
      </c>
      <c r="H32">
        <f ca="1">IFERROR(计算区域!AE34,NA())</f>
        <v>0.18048387820779724</v>
      </c>
      <c r="I32">
        <f ca="1">IFERROR(计算区域!AF34,NA())</f>
        <v>0.22174222393751605</v>
      </c>
      <c r="J32">
        <f ca="1">IFERROR(计算区域!AG34,NA())</f>
        <v>0.3289497593323305</v>
      </c>
      <c r="L32">
        <f ca="1">IFERROR(计算区域!L34,NA())</f>
        <v>0.14165728821767712</v>
      </c>
      <c r="M32">
        <f ca="1">IFERROR(计算区域!M34,NA())</f>
        <v>0.16517150888212323</v>
      </c>
      <c r="N32">
        <f ca="1">IFERROR(计算区域!N34,NA())</f>
        <v>0.20456366068037413</v>
      </c>
      <c r="O32">
        <f ca="1">IFERROR(计算区域!O34,NA())</f>
        <v>0.28431322986360857</v>
      </c>
      <c r="Q32">
        <f ca="1">IFERROR(计算区域!R34,NA())</f>
        <v>0.15108754669100177</v>
      </c>
      <c r="R32">
        <f ca="1">IFERROR(计算区域!S34,NA())</f>
        <v>0.16321541275162396</v>
      </c>
      <c r="S32">
        <f ca="1">IFERROR(计算区域!T34,NA())</f>
        <v>0.19126801819978725</v>
      </c>
      <c r="T32">
        <f ca="1">IFERROR(计算区域!U34,NA())</f>
        <v>0.27654749637425952</v>
      </c>
      <c r="V32">
        <f ca="1">IFERROR(计算区域!X34,NA())</f>
        <v>0.16281134903615513</v>
      </c>
      <c r="W32">
        <f ca="1">IFERROR(计算区域!Y34,NA())</f>
        <v>0.16516191657683771</v>
      </c>
      <c r="X32">
        <f ca="1">IFERROR(计算区域!Z34,NA())</f>
        <v>0.18662791432501996</v>
      </c>
      <c r="Y32">
        <f ca="1">IFERROR(计算区域!AA34,NA())</f>
        <v>0.27061312790578057</v>
      </c>
    </row>
    <row r="33" spans="1:25" x14ac:dyDescent="0.2">
      <c r="A33" s="28">
        <f>计算区域!E35</f>
        <v>45625</v>
      </c>
      <c r="B33">
        <f ca="1">IFERROR(计算区域!AJ35,NA())</f>
        <v>0.12855051261645747</v>
      </c>
      <c r="C33">
        <f ca="1">IFERROR(计算区域!AK35,NA())</f>
        <v>0.17850332944405536</v>
      </c>
      <c r="D33">
        <f ca="1">IFERROR(计算区域!AL35,NA())</f>
        <v>0.22307542251212806</v>
      </c>
      <c r="E33">
        <f ca="1">IFERROR(计算区域!AM35,NA())</f>
        <v>0.32779962052346262</v>
      </c>
      <c r="G33">
        <f ca="1">IFERROR(计算区域!AD35,NA())</f>
        <v>0.13162842997021021</v>
      </c>
      <c r="H33">
        <f ca="1">IFERROR(计算区域!AE35,NA())</f>
        <v>0.18061670450575515</v>
      </c>
      <c r="I33">
        <f ca="1">IFERROR(计算区域!AF35,NA())</f>
        <v>0.22324771522518633</v>
      </c>
      <c r="J33">
        <f ca="1">IFERROR(计算区域!AG35,NA())</f>
        <v>0.32927563228403861</v>
      </c>
      <c r="L33">
        <f ca="1">IFERROR(计算区域!L35,NA())</f>
        <v>0.15671290349548539</v>
      </c>
      <c r="M33">
        <f ca="1">IFERROR(计算区域!M35,NA())</f>
        <v>0.17253329068980805</v>
      </c>
      <c r="N33">
        <f ca="1">IFERROR(计算区域!N35,NA())</f>
        <v>0.20581292053935363</v>
      </c>
      <c r="O33">
        <f ca="1">IFERROR(计算区域!O35,NA())</f>
        <v>0.28407389444450593</v>
      </c>
      <c r="Q33">
        <f ca="1">IFERROR(计算区域!R35,NA())</f>
        <v>0.1663995962701639</v>
      </c>
      <c r="R33">
        <f ca="1">IFERROR(计算区域!S35,NA())</f>
        <v>0.1739456977683442</v>
      </c>
      <c r="S33">
        <f ca="1">IFERROR(计算区域!T35,NA())</f>
        <v>0.19266597850746559</v>
      </c>
      <c r="T33">
        <f ca="1">IFERROR(计算区域!U35,NA())</f>
        <v>0.27614769781044968</v>
      </c>
      <c r="V33">
        <f ca="1">IFERROR(计算区域!X35,NA())</f>
        <v>0.17563448993643258</v>
      </c>
      <c r="W33">
        <f ca="1">IFERROR(计算区域!Y35,NA())</f>
        <v>0.18000615330330608</v>
      </c>
      <c r="X33">
        <f ca="1">IFERROR(计算区域!Z35,NA())</f>
        <v>0.18885954345745085</v>
      </c>
      <c r="Y33">
        <f ca="1">IFERROR(计算区域!AA35,NA())</f>
        <v>0.27017287668854473</v>
      </c>
    </row>
    <row r="34" spans="1:25" x14ac:dyDescent="0.2">
      <c r="A34" s="28">
        <f>计算区域!E36</f>
        <v>45624</v>
      </c>
      <c r="B34">
        <f ca="1">IFERROR(计算区域!AJ36,NA())</f>
        <v>0.24341398430894468</v>
      </c>
      <c r="C34">
        <f ca="1">IFERROR(计算区域!AK36,NA())</f>
        <v>0.18104093700256646</v>
      </c>
      <c r="D34">
        <f ca="1">IFERROR(计算区域!AL36,NA())</f>
        <v>0.22381168132081167</v>
      </c>
      <c r="E34">
        <f ca="1">IFERROR(计算区域!AM36,NA())</f>
        <v>0.32819328080037946</v>
      </c>
      <c r="G34">
        <f ca="1">IFERROR(计算区域!AD36,NA())</f>
        <v>0.26141903733490446</v>
      </c>
      <c r="H34">
        <f ca="1">IFERROR(计算区域!AE36,NA())</f>
        <v>0.19025303390453185</v>
      </c>
      <c r="I34">
        <f ca="1">IFERROR(计算区域!AF36,NA())</f>
        <v>0.22393257139543282</v>
      </c>
      <c r="J34">
        <f ca="1">IFERROR(计算区域!AG36,NA())</f>
        <v>0.32936529332782322</v>
      </c>
      <c r="L34">
        <f ca="1">IFERROR(计算区域!L36,NA())</f>
        <v>0.19123048762512712</v>
      </c>
      <c r="M34">
        <f ca="1">IFERROR(计算区域!M36,NA())</f>
        <v>0.1699801057267607</v>
      </c>
      <c r="N34">
        <f ca="1">IFERROR(计算区域!N36,NA())</f>
        <v>0.20534657421083868</v>
      </c>
      <c r="O34">
        <f ca="1">IFERROR(计算区域!O36,NA())</f>
        <v>0.28347288891858063</v>
      </c>
      <c r="Q34">
        <f ca="1">IFERROR(计算区域!R36,NA())</f>
        <v>0.17263720054740728</v>
      </c>
      <c r="R34">
        <f ca="1">IFERROR(计算区域!S36,NA())</f>
        <v>0.16790421975719416</v>
      </c>
      <c r="S34">
        <f ca="1">IFERROR(计算区域!T36,NA())</f>
        <v>0.1911130692168076</v>
      </c>
      <c r="T34">
        <f ca="1">IFERROR(计算区域!U36,NA())</f>
        <v>0.27528260057505138</v>
      </c>
      <c r="V34">
        <f ca="1">IFERROR(计算区域!X36,NA())</f>
        <v>0.15896165338917279</v>
      </c>
      <c r="W34">
        <f ca="1">IFERROR(计算区域!Y36,NA())</f>
        <v>0.16881396693922299</v>
      </c>
      <c r="X34">
        <f ca="1">IFERROR(计算区域!Z36,NA())</f>
        <v>0.1855050733668471</v>
      </c>
      <c r="Y34">
        <f ca="1">IFERROR(计算区域!AA36,NA())</f>
        <v>0.26875513962403624</v>
      </c>
    </row>
    <row r="35" spans="1:25" x14ac:dyDescent="0.2">
      <c r="A35" s="28">
        <f>计算区域!E37</f>
        <v>45623</v>
      </c>
      <c r="B35">
        <f ca="1">IFERROR(计算区域!AJ37,NA())</f>
        <v>0.24990471806681666</v>
      </c>
      <c r="C35">
        <f ca="1">IFERROR(计算区域!AK37,NA())</f>
        <v>0.18265664214085048</v>
      </c>
      <c r="D35">
        <f ca="1">IFERROR(计算区域!AL37,NA())</f>
        <v>0.22325268945505974</v>
      </c>
      <c r="E35">
        <f ca="1">IFERROR(计算区域!AM37,NA())</f>
        <v>0.32792538972656393</v>
      </c>
      <c r="G35">
        <f ca="1">IFERROR(计算区域!AD37,NA())</f>
        <v>0.25947949815793547</v>
      </c>
      <c r="H35">
        <f ca="1">IFERROR(计算区域!AE37,NA())</f>
        <v>0.19374962364287682</v>
      </c>
      <c r="I35">
        <f ca="1">IFERROR(计算区域!AF37,NA())</f>
        <v>0.22329049406869983</v>
      </c>
      <c r="J35">
        <f ca="1">IFERROR(计算区域!AG37,NA())</f>
        <v>0.32922575492633993</v>
      </c>
      <c r="L35">
        <f ca="1">IFERROR(计算区域!L37,NA())</f>
        <v>0.18667143879587711</v>
      </c>
      <c r="M35">
        <f ca="1">IFERROR(计算区域!M37,NA())</f>
        <v>0.17311003024942098</v>
      </c>
      <c r="N35">
        <f ca="1">IFERROR(计算区域!N37,NA())</f>
        <v>0.20608609239606868</v>
      </c>
      <c r="O35">
        <f ca="1">IFERROR(计算区域!O37,NA())</f>
        <v>0.28314014313232705</v>
      </c>
      <c r="Q35">
        <f ca="1">IFERROR(计算区域!R37,NA())</f>
        <v>0.1663913297501691</v>
      </c>
      <c r="R35">
        <f ca="1">IFERROR(计算区域!S37,NA())</f>
        <v>0.17237834074415617</v>
      </c>
      <c r="S35">
        <f ca="1">IFERROR(计算区域!T37,NA())</f>
        <v>0.19258493830740731</v>
      </c>
      <c r="T35">
        <f ca="1">IFERROR(计算区域!U37,NA())</f>
        <v>0.2748891567006348</v>
      </c>
      <c r="V35">
        <f ca="1">IFERROR(计算区域!X37,NA())</f>
        <v>0.15151225402985591</v>
      </c>
      <c r="W35">
        <f ca="1">IFERROR(计算区域!Y37,NA())</f>
        <v>0.17466545070273345</v>
      </c>
      <c r="X35">
        <f ca="1">IFERROR(计算区域!Z37,NA())</f>
        <v>0.18690165447166676</v>
      </c>
      <c r="Y35">
        <f ca="1">IFERROR(计算区域!AA37,NA())</f>
        <v>0.26832838350066768</v>
      </c>
    </row>
    <row r="36" spans="1:25" x14ac:dyDescent="0.2">
      <c r="A36" s="28">
        <f>计算区域!E38</f>
        <v>45622</v>
      </c>
      <c r="B36">
        <f ca="1">IFERROR(计算区域!AJ38,NA())</f>
        <v>0.21992414042637443</v>
      </c>
      <c r="C36">
        <f ca="1">IFERROR(计算区域!AK38,NA())</f>
        <v>0.17039380554291933</v>
      </c>
      <c r="D36">
        <f ca="1">IFERROR(计算区域!AL38,NA())</f>
        <v>0.22288686428219784</v>
      </c>
      <c r="E36">
        <f ca="1">IFERROR(计算区域!AM38,NA())</f>
        <v>0.32734103897313355</v>
      </c>
      <c r="G36">
        <f ca="1">IFERROR(计算区域!AD38,NA())</f>
        <v>0.24309094359410519</v>
      </c>
      <c r="H36">
        <f ca="1">IFERROR(计算区域!AE38,NA())</f>
        <v>0.18606914526497498</v>
      </c>
      <c r="I36">
        <f ca="1">IFERROR(计算区域!AF38,NA())</f>
        <v>0.22418056910949893</v>
      </c>
      <c r="J36">
        <f ca="1">IFERROR(计算区域!AG38,NA())</f>
        <v>0.32835670792481131</v>
      </c>
      <c r="L36">
        <f ca="1">IFERROR(计算区域!L38,NA())</f>
        <v>0.1795643414637807</v>
      </c>
      <c r="M36">
        <f ca="1">IFERROR(计算区域!M38,NA())</f>
        <v>0.17200276801056075</v>
      </c>
      <c r="N36">
        <f ca="1">IFERROR(计算区域!N38,NA())</f>
        <v>0.20721522648332844</v>
      </c>
      <c r="O36">
        <f ca="1">IFERROR(计算区域!O38,NA())</f>
        <v>0.28266470240339042</v>
      </c>
      <c r="Q36">
        <f ca="1">IFERROR(计算区域!R38,NA())</f>
        <v>0.16241881663604421</v>
      </c>
      <c r="R36">
        <f ca="1">IFERROR(计算区域!S38,NA())</f>
        <v>0.17177492931419147</v>
      </c>
      <c r="S36">
        <f ca="1">IFERROR(计算区域!T38,NA())</f>
        <v>0.19487929943468177</v>
      </c>
      <c r="T36">
        <f ca="1">IFERROR(计算区域!U38,NA())</f>
        <v>0.27460171536899147</v>
      </c>
      <c r="V36">
        <f ca="1">IFERROR(计算区域!X38,NA())</f>
        <v>0.14863723776600116</v>
      </c>
      <c r="W36">
        <f ca="1">IFERROR(计算区域!Y38,NA())</f>
        <v>0.17436561114398055</v>
      </c>
      <c r="X36">
        <f ca="1">IFERROR(计算区域!Z38,NA())</f>
        <v>0.18930946501314996</v>
      </c>
      <c r="Y36">
        <f ca="1">IFERROR(计算区域!AA38,NA())</f>
        <v>0.26812919096129029</v>
      </c>
    </row>
    <row r="37" spans="1:25" x14ac:dyDescent="0.2">
      <c r="A37" s="28">
        <f>计算区域!E39</f>
        <v>45621</v>
      </c>
      <c r="B37">
        <f ca="1">IFERROR(计算区域!AJ39,NA())</f>
        <v>0.20506690564171745</v>
      </c>
      <c r="C37">
        <f ca="1">IFERROR(计算区域!AK39,NA())</f>
        <v>0.17061328193429121</v>
      </c>
      <c r="D37">
        <f ca="1">IFERROR(计算区域!AL39,NA())</f>
        <v>0.22249219283082156</v>
      </c>
      <c r="E37">
        <f ca="1">IFERROR(计算区域!AM39,NA())</f>
        <v>0.32744248448868329</v>
      </c>
      <c r="G37">
        <f ca="1">IFERROR(计算区域!AD39,NA())</f>
        <v>0.24369239515022628</v>
      </c>
      <c r="H37">
        <f ca="1">IFERROR(计算区域!AE39,NA())</f>
        <v>0.20046800789069394</v>
      </c>
      <c r="I37">
        <f ca="1">IFERROR(计算区域!AF39,NA())</f>
        <v>0.22473091440747917</v>
      </c>
      <c r="J37">
        <f ca="1">IFERROR(计算区域!AG39,NA())</f>
        <v>0.3285088785866217</v>
      </c>
      <c r="L37">
        <f ca="1">IFERROR(计算区域!L39,NA())</f>
        <v>0.18573224649373246</v>
      </c>
      <c r="M37">
        <f ca="1">IFERROR(计算区域!M39,NA())</f>
        <v>0.18889433564338123</v>
      </c>
      <c r="N37">
        <f ca="1">IFERROR(计算区域!N39,NA())</f>
        <v>0.20877216916683897</v>
      </c>
      <c r="O37">
        <f ca="1">IFERROR(计算区域!O39,NA())</f>
        <v>0.28233976936181238</v>
      </c>
      <c r="Q37">
        <f ca="1">IFERROR(计算区域!R39,NA())</f>
        <v>0.17450242162864191</v>
      </c>
      <c r="R37">
        <f ca="1">IFERROR(计算区域!S39,NA())</f>
        <v>0.19229391733907769</v>
      </c>
      <c r="S37">
        <f ca="1">IFERROR(计算区域!T39,NA())</f>
        <v>0.1972887528292844</v>
      </c>
      <c r="T37">
        <f ca="1">IFERROR(计算区域!U39,NA())</f>
        <v>0.27418533985738686</v>
      </c>
      <c r="V37">
        <f ca="1">IFERROR(计算区域!X39,NA())</f>
        <v>0.16747949725174083</v>
      </c>
      <c r="W37">
        <f ca="1">IFERROR(计算区域!Y39,NA())</f>
        <v>0.19468272417525234</v>
      </c>
      <c r="X37">
        <f ca="1">IFERROR(计算区域!Z39,NA())</f>
        <v>0.191974434778936</v>
      </c>
      <c r="Y37">
        <f ca="1">IFERROR(计算区域!AA39,NA())</f>
        <v>0.26759033078644395</v>
      </c>
    </row>
    <row r="38" spans="1:25" x14ac:dyDescent="0.2">
      <c r="A38" s="28">
        <f>计算区域!E40</f>
        <v>45618</v>
      </c>
      <c r="B38">
        <f ca="1">IFERROR(计算区域!AJ40,NA())</f>
        <v>0.22034215575414859</v>
      </c>
      <c r="C38">
        <f ca="1">IFERROR(计算区域!AK40,NA())</f>
        <v>0.17020647247118556</v>
      </c>
      <c r="D38">
        <f ca="1">IFERROR(计算区域!AL40,NA())</f>
        <v>0.22133021451825727</v>
      </c>
      <c r="E38">
        <f ca="1">IFERROR(计算区域!AM40,NA())</f>
        <v>0.32677131086414746</v>
      </c>
      <c r="G38">
        <f ca="1">IFERROR(计算区域!AD40,NA())</f>
        <v>0.23680021706756485</v>
      </c>
      <c r="H38">
        <f ca="1">IFERROR(计算区域!AE40,NA())</f>
        <v>0.19818773876005663</v>
      </c>
      <c r="I38">
        <f ca="1">IFERROR(计算区域!AF40,NA())</f>
        <v>0.2226518147834804</v>
      </c>
      <c r="J38">
        <f ca="1">IFERROR(计算区域!AG40,NA())</f>
        <v>0.32806658624703045</v>
      </c>
      <c r="L38">
        <f ca="1">IFERROR(计算区域!L40,NA())</f>
        <v>0.187020155786809</v>
      </c>
      <c r="M38">
        <f ca="1">IFERROR(计算区域!M40,NA())</f>
        <v>0.18554063047697814</v>
      </c>
      <c r="N38">
        <f ca="1">IFERROR(计算区域!N40,NA())</f>
        <v>0.20575974703228611</v>
      </c>
      <c r="O38">
        <f ca="1">IFERROR(计算区域!O40,NA())</f>
        <v>0.28135499928700053</v>
      </c>
      <c r="Q38">
        <f ca="1">IFERROR(计算区域!R40,NA())</f>
        <v>0.18117777431395587</v>
      </c>
      <c r="R38">
        <f ca="1">IFERROR(计算区域!S40,NA())</f>
        <v>0.18975837371252111</v>
      </c>
      <c r="S38">
        <f ca="1">IFERROR(计算区域!T40,NA())</f>
        <v>0.19391843785761617</v>
      </c>
      <c r="T38">
        <f ca="1">IFERROR(计算区域!U40,NA())</f>
        <v>0.27302433030228951</v>
      </c>
      <c r="V38">
        <f ca="1">IFERROR(计算区域!X40,NA())</f>
        <v>0.18427413383021457</v>
      </c>
      <c r="W38">
        <f ca="1">IFERROR(计算区域!Y40,NA())</f>
        <v>0.19641795294193032</v>
      </c>
      <c r="X38">
        <f ca="1">IFERROR(计算区域!Z40,NA())</f>
        <v>0.19031588988650744</v>
      </c>
      <c r="Y38">
        <f ca="1">IFERROR(计算区域!AA40,NA())</f>
        <v>0.26649106561750979</v>
      </c>
    </row>
    <row r="39" spans="1:25" x14ac:dyDescent="0.2">
      <c r="A39" s="28">
        <f>计算区域!E41</f>
        <v>45617</v>
      </c>
      <c r="B39">
        <f ca="1">IFERROR(计算区域!AJ41,NA())</f>
        <v>0.11079926549320107</v>
      </c>
      <c r="C39">
        <f ca="1">IFERROR(计算区域!AK41,NA())</f>
        <v>0.12510289876244149</v>
      </c>
      <c r="D39">
        <f ca="1">IFERROR(计算区域!AL41,NA())</f>
        <v>0.19599832984279317</v>
      </c>
      <c r="E39">
        <f ca="1">IFERROR(计算区域!AM41,NA())</f>
        <v>0.32072023127076033</v>
      </c>
      <c r="G39">
        <f ca="1">IFERROR(计算区域!AD41,NA())</f>
        <v>0.11446211148724911</v>
      </c>
      <c r="H39">
        <f ca="1">IFERROR(计算区域!AE41,NA())</f>
        <v>0.14709576764872329</v>
      </c>
      <c r="I39">
        <f ca="1">IFERROR(计算区域!AF41,NA())</f>
        <v>0.1959991750258982</v>
      </c>
      <c r="J39">
        <f ca="1">IFERROR(计算区域!AG41,NA())</f>
        <v>0.32268708040593574</v>
      </c>
      <c r="L39">
        <f ca="1">IFERROR(计算区域!L41,NA())</f>
        <v>0.14566184568519511</v>
      </c>
      <c r="M39">
        <f ca="1">IFERROR(计算区域!M41,NA())</f>
        <v>0.17995638804879019</v>
      </c>
      <c r="N39">
        <f ca="1">IFERROR(计算区域!N41,NA())</f>
        <v>0.19652216462368163</v>
      </c>
      <c r="O39">
        <f ca="1">IFERROR(计算区域!O41,NA())</f>
        <v>0.27891658217034848</v>
      </c>
      <c r="Q39">
        <f ca="1">IFERROR(计算区域!R41,NA())</f>
        <v>0.1630338952846879</v>
      </c>
      <c r="R39">
        <f ca="1">IFERROR(计算区域!S41,NA())</f>
        <v>0.19340314797831087</v>
      </c>
      <c r="S39">
        <f ca="1">IFERROR(计算区域!T41,NA())</f>
        <v>0.19027260433307389</v>
      </c>
      <c r="T39">
        <f ca="1">IFERROR(计算区域!U41,NA())</f>
        <v>0.27183013293809982</v>
      </c>
      <c r="V39">
        <f ca="1">IFERROR(计算区域!X41,NA())</f>
        <v>0.17812215925957847</v>
      </c>
      <c r="W39">
        <f ca="1">IFERROR(计算区域!Y41,NA())</f>
        <v>0.20283688870647359</v>
      </c>
      <c r="X39">
        <f ca="1">IFERROR(计算区域!Z41,NA())</f>
        <v>0.1896662800069869</v>
      </c>
      <c r="Y39">
        <f ca="1">IFERROR(计算区域!AA41,NA())</f>
        <v>0.26598576832793513</v>
      </c>
    </row>
    <row r="40" spans="1:25" x14ac:dyDescent="0.2">
      <c r="A40" s="28">
        <f>计算区域!E42</f>
        <v>45616</v>
      </c>
      <c r="B40">
        <f ca="1">IFERROR(计算区域!AJ42,NA())</f>
        <v>0.11230322215693971</v>
      </c>
      <c r="C40">
        <f ca="1">IFERROR(计算区域!AK42,NA())</f>
        <v>0.24263458156311105</v>
      </c>
      <c r="D40">
        <f ca="1">IFERROR(计算区域!AL42,NA())</f>
        <v>0.19882547709907469</v>
      </c>
      <c r="E40">
        <f ca="1">IFERROR(计算区域!AM42,NA())</f>
        <v>0.32088639649256284</v>
      </c>
      <c r="G40">
        <f ca="1">IFERROR(计算区域!AD42,NA())</f>
        <v>0.13089290479112253</v>
      </c>
      <c r="H40">
        <f ca="1">IFERROR(计算区域!AE42,NA())</f>
        <v>0.24345975510672843</v>
      </c>
      <c r="I40">
        <f ca="1">IFERROR(计算区域!AF42,NA())</f>
        <v>0.1990504869646772</v>
      </c>
      <c r="J40">
        <f ca="1">IFERROR(计算区域!AG42,NA())</f>
        <v>0.32269939564579564</v>
      </c>
      <c r="L40">
        <f ca="1">IFERROR(计算区域!L42,NA())</f>
        <v>0.15839172668983689</v>
      </c>
      <c r="M40">
        <f ca="1">IFERROR(计算区域!M42,NA())</f>
        <v>0.22491034470899082</v>
      </c>
      <c r="N40">
        <f ca="1">IFERROR(计算区域!N42,NA())</f>
        <v>0.19722900509100849</v>
      </c>
      <c r="O40">
        <f ca="1">IFERROR(计算区域!O42,NA())</f>
        <v>0.27897138557471901</v>
      </c>
      <c r="Q40">
        <f ca="1">IFERROR(计算区域!R42,NA())</f>
        <v>0.17816427840447513</v>
      </c>
      <c r="R40">
        <f ca="1">IFERROR(计算区域!S42,NA())</f>
        <v>0.20882167186460004</v>
      </c>
      <c r="S40">
        <f ca="1">IFERROR(计算区域!T42,NA())</f>
        <v>0.19112247812579292</v>
      </c>
      <c r="T40">
        <f ca="1">IFERROR(计算区域!U42,NA())</f>
        <v>0.27189613811261737</v>
      </c>
      <c r="V40">
        <f ca="1">IFERROR(计算区域!X42,NA())</f>
        <v>0.1950899182868516</v>
      </c>
      <c r="W40">
        <f ca="1">IFERROR(计算区域!Y42,NA())</f>
        <v>0.20497911532210986</v>
      </c>
      <c r="X40">
        <f ca="1">IFERROR(计算区域!Z42,NA())</f>
        <v>0.19053810416789052</v>
      </c>
      <c r="Y40">
        <f ca="1">IFERROR(计算区域!AA42,NA())</f>
        <v>0.26613285028673</v>
      </c>
    </row>
    <row r="41" spans="1:25" x14ac:dyDescent="0.2">
      <c r="A41" s="28">
        <f>计算区域!E43</f>
        <v>45615</v>
      </c>
      <c r="B41">
        <f ca="1">IFERROR(计算区域!AJ43,NA())</f>
        <v>0.12562067498036186</v>
      </c>
      <c r="C41">
        <f ca="1">IFERROR(计算区域!AK43,NA())</f>
        <v>0.24408139481136787</v>
      </c>
      <c r="D41">
        <f ca="1">IFERROR(计算区域!AL43,NA())</f>
        <v>0.1998389430994103</v>
      </c>
      <c r="E41">
        <f ca="1">IFERROR(计算区域!AM43,NA())</f>
        <v>0.32092138102211759</v>
      </c>
      <c r="G41">
        <f ca="1">IFERROR(计算区域!AD43,NA())</f>
        <v>0.13713379775501683</v>
      </c>
      <c r="H41">
        <f ca="1">IFERROR(计算区域!AE43,NA())</f>
        <v>0.24686972846932406</v>
      </c>
      <c r="I41">
        <f ca="1">IFERROR(计算区域!AF43,NA())</f>
        <v>0.19994858110121722</v>
      </c>
      <c r="J41">
        <f ca="1">IFERROR(计算区域!AG43,NA())</f>
        <v>0.32280024966771564</v>
      </c>
      <c r="L41">
        <f ca="1">IFERROR(计算区域!L43,NA())</f>
        <v>0.16409311893333103</v>
      </c>
      <c r="M41">
        <f ca="1">IFERROR(计算区域!M43,NA())</f>
        <v>0.2305290519942064</v>
      </c>
      <c r="N41">
        <f ca="1">IFERROR(计算区域!N43,NA())</f>
        <v>0.19930549192235486</v>
      </c>
      <c r="O41">
        <f ca="1">IFERROR(计算区域!O43,NA())</f>
        <v>0.27891789134412476</v>
      </c>
      <c r="Q41">
        <f ca="1">IFERROR(计算区域!R43,NA())</f>
        <v>0.18064711645730189</v>
      </c>
      <c r="R41">
        <f ca="1">IFERROR(计算区域!S43,NA())</f>
        <v>0.21624626440700787</v>
      </c>
      <c r="S41">
        <f ca="1">IFERROR(计算区域!T43,NA())</f>
        <v>0.1939298274220875</v>
      </c>
      <c r="T41">
        <f ca="1">IFERROR(计算区域!U43,NA())</f>
        <v>0.27181685850148996</v>
      </c>
      <c r="V41">
        <f ca="1">IFERROR(计算区域!X43,NA())</f>
        <v>0.19675798395114977</v>
      </c>
      <c r="W41">
        <f ca="1">IFERROR(计算区域!Y43,NA())</f>
        <v>0.2122454528737554</v>
      </c>
      <c r="X41">
        <f ca="1">IFERROR(计算区域!Z43,NA())</f>
        <v>0.19361283842736313</v>
      </c>
      <c r="Y41">
        <f ca="1">IFERROR(计算区域!AA43,NA())</f>
        <v>0.26615471476053831</v>
      </c>
    </row>
    <row r="42" spans="1:25" x14ac:dyDescent="0.2">
      <c r="A42" s="28">
        <f>计算区域!E44</f>
        <v>45614</v>
      </c>
      <c r="B42">
        <f ca="1">IFERROR(计算区域!AJ44,NA())</f>
        <v>0.15046981331796058</v>
      </c>
      <c r="C42">
        <f ca="1">IFERROR(计算区域!AK44,NA())</f>
        <v>0.26686949863933312</v>
      </c>
      <c r="D42">
        <f ca="1">IFERROR(计算区域!AL44,NA())</f>
        <v>0.19984873528533256</v>
      </c>
      <c r="E42">
        <f ca="1">IFERROR(计算区域!AM44,NA())</f>
        <v>0.32068611214611203</v>
      </c>
      <c r="G42">
        <f ca="1">IFERROR(计算区域!AD44,NA())</f>
        <v>0.17616956737242806</v>
      </c>
      <c r="H42">
        <f ca="1">IFERROR(计算区域!AE44,NA())</f>
        <v>0.26688590800440304</v>
      </c>
      <c r="I42">
        <f ca="1">IFERROR(计算区域!AF44,NA())</f>
        <v>0.19984873528533253</v>
      </c>
      <c r="J42">
        <f ca="1">IFERROR(计算区域!AG44,NA())</f>
        <v>0.32283786016698579</v>
      </c>
      <c r="L42">
        <f ca="1">IFERROR(计算区域!L44,NA())</f>
        <v>0.19200435591074522</v>
      </c>
      <c r="M42">
        <f ca="1">IFERROR(计算区域!M44,NA())</f>
        <v>0.23750990546819975</v>
      </c>
      <c r="N42">
        <f ca="1">IFERROR(计算区域!N44,NA())</f>
        <v>0.19741218797391316</v>
      </c>
      <c r="O42">
        <f ca="1">IFERROR(计算区域!O44,NA())</f>
        <v>0.27825318343228445</v>
      </c>
      <c r="Q42">
        <f ca="1">IFERROR(计算区域!R44,NA())</f>
        <v>0.2085732632361007</v>
      </c>
      <c r="R42">
        <f ca="1">IFERROR(计算区域!S44,NA())</f>
        <v>0.21570266250666756</v>
      </c>
      <c r="S42">
        <f ca="1">IFERROR(计算区域!T44,NA())</f>
        <v>0.19106196003015238</v>
      </c>
      <c r="T42">
        <f ca="1">IFERROR(计算区域!U44,NA())</f>
        <v>0.27080014479637793</v>
      </c>
      <c r="V42">
        <f ca="1">IFERROR(计算区域!X44,NA())</f>
        <v>0.21852538567612437</v>
      </c>
      <c r="W42">
        <f ca="1">IFERROR(计算区域!Y44,NA())</f>
        <v>0.20586767138936524</v>
      </c>
      <c r="X42">
        <f ca="1">IFERROR(计算区域!Z44,NA())</f>
        <v>0.1892380017050885</v>
      </c>
      <c r="Y42">
        <f ca="1">IFERROR(计算区域!AA44,NA())</f>
        <v>0.264711328921786</v>
      </c>
    </row>
    <row r="43" spans="1:25" x14ac:dyDescent="0.2">
      <c r="A43" s="28">
        <f>计算区域!E45</f>
        <v>45611</v>
      </c>
      <c r="B43">
        <f ca="1">IFERROR(计算区域!AJ45,NA())</f>
        <v>0.12551769532553</v>
      </c>
      <c r="C43">
        <f ca="1">IFERROR(计算区域!AK45,NA())</f>
        <v>0.26926491133605174</v>
      </c>
      <c r="D43">
        <f ca="1">IFERROR(计算区域!AL45,NA())</f>
        <v>0.19929196213091549</v>
      </c>
      <c r="E43">
        <f ca="1">IFERROR(计算区域!AM45,NA())</f>
        <v>0.32142712889361769</v>
      </c>
      <c r="G43">
        <f ca="1">IFERROR(计算区域!AD45,NA())</f>
        <v>0.17972760426575879</v>
      </c>
      <c r="H43">
        <f ca="1">IFERROR(计算区域!AE45,NA())</f>
        <v>0.26943351255579395</v>
      </c>
      <c r="I43">
        <f ca="1">IFERROR(计算区域!AF45,NA())</f>
        <v>0.19935215978473189</v>
      </c>
      <c r="J43">
        <f ca="1">IFERROR(计算区域!AG45,NA())</f>
        <v>0.32385445402434843</v>
      </c>
      <c r="L43">
        <f ca="1">IFERROR(计算区域!L45,NA())</f>
        <v>0.18404921201968449</v>
      </c>
      <c r="M43">
        <f ca="1">IFERROR(计算区域!M45,NA())</f>
        <v>0.2344145475981019</v>
      </c>
      <c r="N43">
        <f ca="1">IFERROR(计算区域!N45,NA())</f>
        <v>0.1952359902636602</v>
      </c>
      <c r="O43">
        <f ca="1">IFERROR(计算区域!O45,NA())</f>
        <v>0.27822470512442854</v>
      </c>
      <c r="Q43">
        <f ca="1">IFERROR(计算区域!R45,NA())</f>
        <v>0.19796740863759096</v>
      </c>
      <c r="R43">
        <f ca="1">IFERROR(计算区域!S45,NA())</f>
        <v>0.20972184620673701</v>
      </c>
      <c r="S43">
        <f ca="1">IFERROR(计算区域!T45,NA())</f>
        <v>0.18781189135487888</v>
      </c>
      <c r="T43">
        <f ca="1">IFERROR(计算区域!U45,NA())</f>
        <v>0.27008650212286028</v>
      </c>
      <c r="V43">
        <f ca="1">IFERROR(计算区域!X45,NA())</f>
        <v>0.20785347742321003</v>
      </c>
      <c r="W43">
        <f ca="1">IFERROR(计算区域!Y45,NA())</f>
        <v>0.19731608926506772</v>
      </c>
      <c r="X43">
        <f ca="1">IFERROR(计算区域!Z45,NA())</f>
        <v>0.18403495504192233</v>
      </c>
      <c r="Y43">
        <f ca="1">IFERROR(计算区域!AA45,NA())</f>
        <v>0.263330000419493</v>
      </c>
    </row>
    <row r="44" spans="1:25" x14ac:dyDescent="0.2">
      <c r="A44" s="28">
        <f>计算区域!E46</f>
        <v>45610</v>
      </c>
      <c r="B44">
        <f ca="1">IFERROR(计算区域!AJ46,NA())</f>
        <v>0.13132849114174172</v>
      </c>
      <c r="C44">
        <f ca="1">IFERROR(计算区域!AK46,NA())</f>
        <v>0.26035834445957196</v>
      </c>
      <c r="D44">
        <f ca="1">IFERROR(计算区域!AL46,NA())</f>
        <v>0.22009764500175613</v>
      </c>
      <c r="E44">
        <f ca="1">IFERROR(计算区域!AM46,NA())</f>
        <v>0.32029699955257279</v>
      </c>
      <c r="G44">
        <f ca="1">IFERROR(计算区域!AD46,NA())</f>
        <v>0.18863203855458044</v>
      </c>
      <c r="H44">
        <f ca="1">IFERROR(计算区域!AE46,NA())</f>
        <v>0.26394531881406619</v>
      </c>
      <c r="I44">
        <f ca="1">IFERROR(计算区域!AF46,NA())</f>
        <v>0.22208519396610152</v>
      </c>
      <c r="J44">
        <f ca="1">IFERROR(计算区域!AG46,NA())</f>
        <v>0.32297906387947578</v>
      </c>
      <c r="L44">
        <f ca="1">IFERROR(计算区域!L46,NA())</f>
        <v>0.20868931431847659</v>
      </c>
      <c r="M44">
        <f ca="1">IFERROR(计算区域!M46,NA())</f>
        <v>0.23545953949112836</v>
      </c>
      <c r="N44">
        <f ca="1">IFERROR(计算区域!N46,NA())</f>
        <v>0.23237418011871847</v>
      </c>
      <c r="O44">
        <f ca="1">IFERROR(计算区域!O46,NA())</f>
        <v>0.27767378368921902</v>
      </c>
      <c r="Q44">
        <f ca="1">IFERROR(计算区域!R46,NA())</f>
        <v>0.21961216788726043</v>
      </c>
      <c r="R44">
        <f ca="1">IFERROR(计算区域!S46,NA())</f>
        <v>0.21179372851589454</v>
      </c>
      <c r="S44">
        <f ca="1">IFERROR(计算区域!T46,NA())</f>
        <v>0.23211349704730164</v>
      </c>
      <c r="T44">
        <f ca="1">IFERROR(计算区域!U46,NA())</f>
        <v>0.26953742674114739</v>
      </c>
      <c r="V44">
        <f ca="1">IFERROR(计算区域!X46,NA())</f>
        <v>0.22485129134819326</v>
      </c>
      <c r="W44">
        <f ca="1">IFERROR(计算区域!Y46,NA())</f>
        <v>0.20081361770537764</v>
      </c>
      <c r="X44">
        <f ca="1">IFERROR(计算区域!Z46,NA())</f>
        <v>0.22932744056582297</v>
      </c>
      <c r="Y44">
        <f ca="1">IFERROR(计算区域!AA46,NA())</f>
        <v>0.26276864506064501</v>
      </c>
    </row>
    <row r="45" spans="1:25" x14ac:dyDescent="0.2">
      <c r="A45" s="28">
        <f>计算区域!E47</f>
        <v>45609</v>
      </c>
      <c r="B45">
        <f ca="1">IFERROR(计算区域!AJ47,NA())</f>
        <v>0.34002621243012465</v>
      </c>
      <c r="C45">
        <f ca="1">IFERROR(计算区域!AK47,NA())</f>
        <v>0.25409163528662487</v>
      </c>
      <c r="D45">
        <f ca="1">IFERROR(计算区域!AL47,NA())</f>
        <v>0.22551103179050766</v>
      </c>
      <c r="E45">
        <f ca="1">IFERROR(计算区域!AM47,NA())</f>
        <v>0.3195471186138088</v>
      </c>
      <c r="G45">
        <f ca="1">IFERROR(计算区域!AD47,NA())</f>
        <v>0.34092596744418802</v>
      </c>
      <c r="H45">
        <f ca="1">IFERROR(计算区域!AE47,NA())</f>
        <v>0.26022725114185824</v>
      </c>
      <c r="I45">
        <f ca="1">IFERROR(计算区域!AF47,NA())</f>
        <v>0.2267977901678751</v>
      </c>
      <c r="J45">
        <f ca="1">IFERROR(计算区域!AG47,NA())</f>
        <v>0.32251619199042353</v>
      </c>
      <c r="L45">
        <f ca="1">IFERROR(计算区域!L47,NA())</f>
        <v>0.27582854680117169</v>
      </c>
      <c r="M45">
        <f ca="1">IFERROR(计算区域!M47,NA())</f>
        <v>0.23446934210085224</v>
      </c>
      <c r="N45">
        <f ca="1">IFERROR(计算区域!N47,NA())</f>
        <v>0.23632151308214303</v>
      </c>
      <c r="O45">
        <f ca="1">IFERROR(计算区域!O47,NA())</f>
        <v>0.27704442499302384</v>
      </c>
      <c r="Q45">
        <f ca="1">IFERROR(计算区域!R47,NA())</f>
        <v>0.23552170002202782</v>
      </c>
      <c r="R45">
        <f ca="1">IFERROR(计算区域!S47,NA())</f>
        <v>0.21086399542839773</v>
      </c>
      <c r="S45">
        <f ca="1">IFERROR(计算区域!T47,NA())</f>
        <v>0.23329865749965492</v>
      </c>
      <c r="T45">
        <f ca="1">IFERROR(计算区域!U47,NA())</f>
        <v>0.26871683417874231</v>
      </c>
      <c r="V45">
        <f ca="1">IFERROR(计算区域!X47,NA())</f>
        <v>0.21441268437128247</v>
      </c>
      <c r="W45">
        <f ca="1">IFERROR(计算区域!Y47,NA())</f>
        <v>0.19838456900501003</v>
      </c>
      <c r="X45">
        <f ca="1">IFERROR(计算区域!Z47,NA())</f>
        <v>0.22888389076909688</v>
      </c>
      <c r="Y45">
        <f ca="1">IFERROR(计算区域!AA47,NA())</f>
        <v>0.26180001412274451</v>
      </c>
    </row>
    <row r="46" spans="1:25" x14ac:dyDescent="0.2">
      <c r="A46" s="28">
        <f>计算区域!E48</f>
        <v>45608</v>
      </c>
      <c r="B46">
        <f ca="1">IFERROR(计算区域!AJ48,NA())</f>
        <v>0.3431737557830804</v>
      </c>
      <c r="C46">
        <f ca="1">IFERROR(计算区域!AK48,NA())</f>
        <v>0.26614736800771771</v>
      </c>
      <c r="D46">
        <f ca="1">IFERROR(计算区域!AL48,NA())</f>
        <v>0.22519532487085278</v>
      </c>
      <c r="E46">
        <f ca="1">IFERROR(计算区域!AM48,NA())</f>
        <v>0.31952585153210411</v>
      </c>
      <c r="G46">
        <f ca="1">IFERROR(计算区域!AD48,NA())</f>
        <v>0.34397647142057725</v>
      </c>
      <c r="H46">
        <f ca="1">IFERROR(计算区域!AE48,NA())</f>
        <v>0.26735039064081612</v>
      </c>
      <c r="I46">
        <f ca="1">IFERROR(计算区域!AF48,NA())</f>
        <v>0.22594739469897393</v>
      </c>
      <c r="J46">
        <f ca="1">IFERROR(计算区域!AG48,NA())</f>
        <v>0.32231146198758154</v>
      </c>
      <c r="L46">
        <f ca="1">IFERROR(计算区域!L48,NA())</f>
        <v>0.28171037599887355</v>
      </c>
      <c r="M46">
        <f ca="1">IFERROR(计算区域!M48,NA())</f>
        <v>0.2372579776736273</v>
      </c>
      <c r="N46">
        <f ca="1">IFERROR(计算区域!N48,NA())</f>
        <v>0.23732994072111976</v>
      </c>
      <c r="O46">
        <f ca="1">IFERROR(计算区域!O48,NA())</f>
        <v>0.27653537077844276</v>
      </c>
      <c r="Q46">
        <f ca="1">IFERROR(计算区域!R48,NA())</f>
        <v>0.24676205756889191</v>
      </c>
      <c r="R46">
        <f ca="1">IFERROR(计算区域!S48,NA())</f>
        <v>0.21552089540322819</v>
      </c>
      <c r="S46">
        <f ca="1">IFERROR(计算区域!T48,NA())</f>
        <v>0.23550592107726956</v>
      </c>
      <c r="T46">
        <f ca="1">IFERROR(计算区域!U48,NA())</f>
        <v>0.26830084424648787</v>
      </c>
      <c r="V46">
        <f ca="1">IFERROR(计算区域!X48,NA())</f>
        <v>0.22667721606427535</v>
      </c>
      <c r="W46">
        <f ca="1">IFERROR(计算区域!Y48,NA())</f>
        <v>0.20315703467395915</v>
      </c>
      <c r="X46">
        <f ca="1">IFERROR(计算区域!Z48,NA())</f>
        <v>0.23210463371085596</v>
      </c>
      <c r="Y46">
        <f ca="1">IFERROR(计算区域!AA48,NA())</f>
        <v>0.26142812957989958</v>
      </c>
    </row>
    <row r="47" spans="1:25" x14ac:dyDescent="0.2">
      <c r="A47" s="28">
        <f>计算区域!E49</f>
        <v>45607</v>
      </c>
      <c r="B47">
        <f ca="1">IFERROR(计算区域!AJ49,NA())</f>
        <v>0.34589464798829361</v>
      </c>
      <c r="C47">
        <f ca="1">IFERROR(计算区域!AK49,NA())</f>
        <v>0.25458418005667593</v>
      </c>
      <c r="D47">
        <f ca="1">IFERROR(计算区域!AL49,NA())</f>
        <v>0.23664827425793955</v>
      </c>
      <c r="E47">
        <f ca="1">IFERROR(计算区域!AM49,NA())</f>
        <v>0.31762139551301621</v>
      </c>
      <c r="G47">
        <f ca="1">IFERROR(计算区域!AD49,NA())</f>
        <v>0.35948224057290307</v>
      </c>
      <c r="H47">
        <f ca="1">IFERROR(计算区域!AE49,NA())</f>
        <v>0.25774425184430894</v>
      </c>
      <c r="I47">
        <f ca="1">IFERROR(计算区域!AF49,NA())</f>
        <v>0.23687849076637202</v>
      </c>
      <c r="J47">
        <f ca="1">IFERROR(计算区域!AG49,NA())</f>
        <v>0.32091250656906173</v>
      </c>
      <c r="L47">
        <f ca="1">IFERROR(计算区域!L49,NA())</f>
        <v>0.27560159234359699</v>
      </c>
      <c r="M47">
        <f ca="1">IFERROR(计算区域!M49,NA())</f>
        <v>0.22691533046292864</v>
      </c>
      <c r="N47">
        <f ca="1">IFERROR(计算区域!N49,NA())</f>
        <v>0.23612261803579013</v>
      </c>
      <c r="O47">
        <f ca="1">IFERROR(计算区域!O49,NA())</f>
        <v>0.27440249192662541</v>
      </c>
      <c r="Q47">
        <f ca="1">IFERROR(计算区域!R49,NA())</f>
        <v>0.22260384338095987</v>
      </c>
      <c r="R47">
        <f ca="1">IFERROR(计算区域!S49,NA())</f>
        <v>0.20216021700686043</v>
      </c>
      <c r="S47">
        <f ca="1">IFERROR(计算区域!T49,NA())</f>
        <v>0.23128989720989024</v>
      </c>
      <c r="T47">
        <f ca="1">IFERROR(计算区域!U49,NA())</f>
        <v>0.26561776140197069</v>
      </c>
      <c r="V47">
        <f ca="1">IFERROR(计算区域!X49,NA())</f>
        <v>0.19237892832028261</v>
      </c>
      <c r="W47">
        <f ca="1">IFERROR(计算区域!Y49,NA())</f>
        <v>0.18922738735470218</v>
      </c>
      <c r="X47">
        <f ca="1">IFERROR(计算区域!Z49,NA())</f>
        <v>0.22677740831857254</v>
      </c>
      <c r="Y47">
        <f ca="1">IFERROR(计算区域!AA49,NA())</f>
        <v>0.25858156906129476</v>
      </c>
    </row>
    <row r="48" spans="1:25" x14ac:dyDescent="0.2">
      <c r="A48" s="28">
        <f>计算区域!E50</f>
        <v>45604</v>
      </c>
      <c r="B48">
        <f ca="1">IFERROR(计算区域!AJ50,NA())</f>
        <v>0.32996696478139825</v>
      </c>
      <c r="C48">
        <f ca="1">IFERROR(计算区域!AK50,NA())</f>
        <v>0.25039751288651158</v>
      </c>
      <c r="D48">
        <f ca="1">IFERROR(计算区域!AL50,NA())</f>
        <v>0.23824998974667749</v>
      </c>
      <c r="E48">
        <f ca="1">IFERROR(计算区域!AM50,NA())</f>
        <v>0.31706210349654323</v>
      </c>
      <c r="G48">
        <f ca="1">IFERROR(计算区域!AD50,NA())</f>
        <v>0.36198816011471346</v>
      </c>
      <c r="H48">
        <f ca="1">IFERROR(计算区域!AE50,NA())</f>
        <v>0.25569021268101144</v>
      </c>
      <c r="I48">
        <f ca="1">IFERROR(计算区域!AF50,NA())</f>
        <v>0.23954761319502246</v>
      </c>
      <c r="J48">
        <f ca="1">IFERROR(计算区域!AG50,NA())</f>
        <v>0.32071340436334317</v>
      </c>
      <c r="L48">
        <f ca="1">IFERROR(计算区域!L50,NA())</f>
        <v>0.27572857633219444</v>
      </c>
      <c r="M48">
        <f ca="1">IFERROR(计算区域!M50,NA())</f>
        <v>0.22416248892217944</v>
      </c>
      <c r="N48">
        <f ca="1">IFERROR(计算区域!N50,NA())</f>
        <v>0.23886600115709672</v>
      </c>
      <c r="O48">
        <f ca="1">IFERROR(计算区域!O50,NA())</f>
        <v>0.2740868577740454</v>
      </c>
      <c r="Q48">
        <f ca="1">IFERROR(计算区域!R50,NA())</f>
        <v>0.22085155799776818</v>
      </c>
      <c r="R48">
        <f ca="1">IFERROR(计算区域!S50,NA())</f>
        <v>0.19799111264967292</v>
      </c>
      <c r="S48">
        <f ca="1">IFERROR(计算区域!T50,NA())</f>
        <v>0.23460265734898572</v>
      </c>
      <c r="T48">
        <f ca="1">IFERROR(计算区域!U50,NA())</f>
        <v>0.2651464141706753</v>
      </c>
      <c r="V48">
        <f ca="1">IFERROR(计算区域!X50,NA())</f>
        <v>0.1861832701635662</v>
      </c>
      <c r="W48">
        <f ca="1">IFERROR(计算区域!Y50,NA())</f>
        <v>0.18401158563712253</v>
      </c>
      <c r="X48">
        <f ca="1">IFERROR(计算区域!Z50,NA())</f>
        <v>0.2285691662493467</v>
      </c>
      <c r="Y48">
        <f ca="1">IFERROR(计算区域!AA50,NA())</f>
        <v>0.25767372987781745</v>
      </c>
    </row>
    <row r="49" spans="1:25" x14ac:dyDescent="0.2">
      <c r="A49" s="28">
        <f>计算区域!E51</f>
        <v>45603</v>
      </c>
      <c r="B49">
        <f ca="1">IFERROR(计算区域!AJ51,NA())</f>
        <v>0.26354860228666566</v>
      </c>
      <c r="C49">
        <f ca="1">IFERROR(计算区域!AK51,NA())</f>
        <v>0.23085005343858409</v>
      </c>
      <c r="D49">
        <f ca="1">IFERROR(计算区域!AL51,NA())</f>
        <v>0.24410332040783111</v>
      </c>
      <c r="E49">
        <f ca="1">IFERROR(计算区域!AM51,NA())</f>
        <v>0.31504296319418384</v>
      </c>
      <c r="G49">
        <f ca="1">IFERROR(计算区域!AD51,NA())</f>
        <v>0.34809337757191833</v>
      </c>
      <c r="H49">
        <f ca="1">IFERROR(计算区域!AE51,NA())</f>
        <v>0.24384953736641152</v>
      </c>
      <c r="I49">
        <f ca="1">IFERROR(计算区域!AF51,NA())</f>
        <v>0.24494544728725884</v>
      </c>
      <c r="J49">
        <f ca="1">IFERROR(计算区域!AG51,NA())</f>
        <v>0.31929480277223377</v>
      </c>
      <c r="L49">
        <f ca="1">IFERROR(计算区域!L51,NA())</f>
        <v>0.25948248411796998</v>
      </c>
      <c r="M49">
        <f ca="1">IFERROR(计算区域!M51,NA())</f>
        <v>0.21179617743762069</v>
      </c>
      <c r="N49">
        <f ca="1">IFERROR(计算区域!N51,NA())</f>
        <v>0.2416933354172216</v>
      </c>
      <c r="O49">
        <f ca="1">IFERROR(计算区域!O51,NA())</f>
        <v>0.27217010696882976</v>
      </c>
      <c r="Q49">
        <f ca="1">IFERROR(计算区域!R51,NA())</f>
        <v>0.20367538533948235</v>
      </c>
      <c r="R49">
        <f ca="1">IFERROR(计算区域!S51,NA())</f>
        <v>0.1870896851017195</v>
      </c>
      <c r="S49">
        <f ca="1">IFERROR(计算区域!T51,NA())</f>
        <v>0.23929512892600727</v>
      </c>
      <c r="T49">
        <f ca="1">IFERROR(计算区域!U51,NA())</f>
        <v>0.26343440829207537</v>
      </c>
      <c r="V49">
        <f ca="1">IFERROR(计算区域!X51,NA())</f>
        <v>0.17347655429738357</v>
      </c>
      <c r="W49">
        <f ca="1">IFERROR(计算区域!Y51,NA())</f>
        <v>0.17551009122912317</v>
      </c>
      <c r="X49">
        <f ca="1">IFERROR(计算区域!Z51,NA())</f>
        <v>0.23528107051541064</v>
      </c>
      <c r="Y49">
        <f ca="1">IFERROR(计算区域!AA51,NA())</f>
        <v>0.25632793709468227</v>
      </c>
    </row>
    <row r="50" spans="1:25" x14ac:dyDescent="0.2">
      <c r="A50" s="28">
        <f>计算区域!E52</f>
        <v>45602</v>
      </c>
      <c r="B50">
        <f ca="1">IFERROR(计算区域!AJ52,NA())</f>
        <v>0.16498979185294949</v>
      </c>
      <c r="C50">
        <f ca="1">IFERROR(计算区域!AK52,NA())</f>
        <v>0.15611387344792263</v>
      </c>
      <c r="D50">
        <f ca="1">IFERROR(计算区域!AL52,NA())</f>
        <v>0.23409348160571455</v>
      </c>
      <c r="E50">
        <f ca="1">IFERROR(计算区域!AM52,NA())</f>
        <v>0.3077895918335638</v>
      </c>
      <c r="G50">
        <f ca="1">IFERROR(计算区域!AD52,NA())</f>
        <v>0.19009335799851582</v>
      </c>
      <c r="H50">
        <f ca="1">IFERROR(计算区域!AE52,NA())</f>
        <v>0.15611497175229316</v>
      </c>
      <c r="I50">
        <f ca="1">IFERROR(计算区域!AF52,NA())</f>
        <v>0.23462787021859741</v>
      </c>
      <c r="J50">
        <f ca="1">IFERROR(计算区域!AG52,NA())</f>
        <v>0.31042738306580669</v>
      </c>
      <c r="L50">
        <f ca="1">IFERROR(计算区域!L52,NA())</f>
        <v>0.18403901091879082</v>
      </c>
      <c r="M50">
        <f ca="1">IFERROR(计算区域!M52,NA())</f>
        <v>0.16496635336110521</v>
      </c>
      <c r="N50">
        <f ca="1">IFERROR(计算区域!N52,NA())</f>
        <v>0.24461469768406757</v>
      </c>
      <c r="O50">
        <f ca="1">IFERROR(计算区域!O52,NA())</f>
        <v>0.26778969932761965</v>
      </c>
      <c r="Q50">
        <f ca="1">IFERROR(计算区域!R52,NA())</f>
        <v>0.18291194043798406</v>
      </c>
      <c r="R50">
        <f ca="1">IFERROR(计算区域!S52,NA())</f>
        <v>0.17160743762891426</v>
      </c>
      <c r="S50">
        <f ca="1">IFERROR(计算区域!T52,NA())</f>
        <v>0.25745010431761978</v>
      </c>
      <c r="T50">
        <f ca="1">IFERROR(计算区域!U52,NA())</f>
        <v>0.26293204216097754</v>
      </c>
      <c r="V50">
        <f ca="1">IFERROR(计算区域!X52,NA())</f>
        <v>0.18094218750558971</v>
      </c>
      <c r="W50">
        <f ca="1">IFERROR(计算区域!Y52,NA())</f>
        <v>0.17490883500141716</v>
      </c>
      <c r="X50">
        <f ca="1">IFERROR(计算区域!Z52,NA())</f>
        <v>0.26257121078878853</v>
      </c>
      <c r="Y50">
        <f ca="1">IFERROR(计算区域!AA52,NA())</f>
        <v>0.25755967513258765</v>
      </c>
    </row>
    <row r="51" spans="1:25" x14ac:dyDescent="0.2">
      <c r="A51" s="28">
        <f>计算区域!E53</f>
        <v>45601</v>
      </c>
      <c r="B51">
        <f ca="1">IFERROR(计算区域!AJ53,NA())</f>
        <v>0.19114823262687539</v>
      </c>
      <c r="C51">
        <f ca="1">IFERROR(计算区域!AK53,NA())</f>
        <v>0.1513573037679973</v>
      </c>
      <c r="D51">
        <f ca="1">IFERROR(计算区域!AL53,NA())</f>
        <v>0.35380104909225107</v>
      </c>
      <c r="E51">
        <f ca="1">IFERROR(计算区域!AM53,NA())</f>
        <v>0.30758435971756082</v>
      </c>
      <c r="G51">
        <f ca="1">IFERROR(计算区域!AD53,NA())</f>
        <v>0.20615942303128418</v>
      </c>
      <c r="H51">
        <f ca="1">IFERROR(计算区域!AE53,NA())</f>
        <v>0.15315471520029469</v>
      </c>
      <c r="I51">
        <f ca="1">IFERROR(计算区域!AF53,NA())</f>
        <v>0.3558162725770484</v>
      </c>
      <c r="J51">
        <f ca="1">IFERROR(计算区域!AG53,NA())</f>
        <v>0.31027657262804131</v>
      </c>
      <c r="L51">
        <f ca="1">IFERROR(计算区域!L53,NA())</f>
        <v>0.18226892218404139</v>
      </c>
      <c r="M51">
        <f ca="1">IFERROR(计算区域!M53,NA())</f>
        <v>0.16217803306081929</v>
      </c>
      <c r="N51">
        <f ca="1">IFERROR(计算区域!N53,NA())</f>
        <v>0.27583466441894816</v>
      </c>
      <c r="O51">
        <f ca="1">IFERROR(计算区域!O53,NA())</f>
        <v>0.26734390838865135</v>
      </c>
      <c r="Q51">
        <f ca="1">IFERROR(计算区域!R53,NA())</f>
        <v>0.178905001761229</v>
      </c>
      <c r="R51">
        <f ca="1">IFERROR(计算区域!S53,NA())</f>
        <v>0.1686864222690603</v>
      </c>
      <c r="S51">
        <f ca="1">IFERROR(计算区域!T53,NA())</f>
        <v>0.27582687161060099</v>
      </c>
      <c r="T51">
        <f ca="1">IFERROR(计算区域!U53,NA())</f>
        <v>0.26245784632310842</v>
      </c>
      <c r="V51">
        <f ca="1">IFERROR(计算区域!X53,NA())</f>
        <v>0.17653045400831643</v>
      </c>
      <c r="W51">
        <f ca="1">IFERROR(计算区域!Y53,NA())</f>
        <v>0.17298476852663905</v>
      </c>
      <c r="X51">
        <f ca="1">IFERROR(计算区域!Z53,NA())</f>
        <v>0.27488791045536115</v>
      </c>
      <c r="Y51">
        <f ca="1">IFERROR(计算区域!AA53,NA())</f>
        <v>0.25743491888541992</v>
      </c>
    </row>
    <row r="52" spans="1:25" x14ac:dyDescent="0.2">
      <c r="A52" s="28">
        <f>计算区域!E54</f>
        <v>45600</v>
      </c>
      <c r="B52">
        <f ca="1">IFERROR(计算区域!AJ54,NA())</f>
        <v>0.14172991869754206</v>
      </c>
      <c r="C52">
        <f ca="1">IFERROR(计算区域!AK54,NA())</f>
        <v>0.11436744126806969</v>
      </c>
      <c r="D52">
        <f ca="1">IFERROR(计算区域!AL54,NA())</f>
        <v>0.3568717432755763</v>
      </c>
      <c r="E52">
        <f ca="1">IFERROR(计算区域!AM54,NA())</f>
        <v>0.30599236147744702</v>
      </c>
      <c r="G52">
        <f ca="1">IFERROR(计算区域!AD54,NA())</f>
        <v>0.14228401972795887</v>
      </c>
      <c r="H52">
        <f ca="1">IFERROR(计算区域!AE54,NA())</f>
        <v>0.11440572629694298</v>
      </c>
      <c r="I52">
        <f ca="1">IFERROR(计算区域!AF54,NA())</f>
        <v>0.35858178549055897</v>
      </c>
      <c r="J52">
        <f ca="1">IFERROR(计算区域!AG54,NA())</f>
        <v>0.30786785069135786</v>
      </c>
      <c r="L52">
        <f ca="1">IFERROR(计算区域!L54,NA())</f>
        <v>0.16439250802841948</v>
      </c>
      <c r="M52">
        <f ca="1">IFERROR(计算区域!M54,NA())</f>
        <v>0.14673850457798079</v>
      </c>
      <c r="N52">
        <f ca="1">IFERROR(计算区域!N54,NA())</f>
        <v>0.33640935755207002</v>
      </c>
      <c r="O52">
        <f ca="1">IFERROR(计算区域!O54,NA())</f>
        <v>0.26564593315820217</v>
      </c>
      <c r="Q52">
        <f ca="1">IFERROR(计算区域!R54,NA())</f>
        <v>0.17940188291249032</v>
      </c>
      <c r="R52">
        <f ca="1">IFERROR(计算区域!S54,NA())</f>
        <v>0.16273200831017165</v>
      </c>
      <c r="S52">
        <f ca="1">IFERROR(计算区域!T54,NA())</f>
        <v>0.32445762320008709</v>
      </c>
      <c r="T52">
        <f ca="1">IFERROR(计算区域!U54,NA())</f>
        <v>0.26158556147146678</v>
      </c>
      <c r="V52">
        <f ca="1">IFERROR(计算区域!X54,NA())</f>
        <v>0.1860224615161099</v>
      </c>
      <c r="W52">
        <f ca="1">IFERROR(计算区域!Y54,NA())</f>
        <v>0.17099866799302993</v>
      </c>
      <c r="X52">
        <f ca="1">IFERROR(计算区域!Z54,NA())</f>
        <v>0.31889581869225925</v>
      </c>
      <c r="Y52">
        <f ca="1">IFERROR(计算区域!AA54,NA())</f>
        <v>0.2569416624493337</v>
      </c>
    </row>
    <row r="53" spans="1:25" x14ac:dyDescent="0.2">
      <c r="A53" s="28">
        <f>计算区域!E55</f>
        <v>45597</v>
      </c>
      <c r="B53">
        <f ca="1">IFERROR(计算区域!AJ55,NA())</f>
        <v>0.12057318279056735</v>
      </c>
      <c r="C53">
        <f ca="1">IFERROR(计算区域!AK55,NA())</f>
        <v>0.10449803438371483</v>
      </c>
      <c r="D53">
        <f ca="1">IFERROR(计算区域!AL55,NA())</f>
        <v>0.42806999200048618</v>
      </c>
      <c r="E53">
        <f ca="1">IFERROR(计算区域!AM55,NA())</f>
        <v>0.30617554402411928</v>
      </c>
      <c r="G53">
        <f ca="1">IFERROR(计算区域!AD55,NA())</f>
        <v>0.12674349243137295</v>
      </c>
      <c r="H53">
        <f ca="1">IFERROR(计算区域!AE55,NA())</f>
        <v>0.10631955470421847</v>
      </c>
      <c r="I53">
        <f ca="1">IFERROR(计算区域!AF55,NA())</f>
        <v>0.42821450066202049</v>
      </c>
      <c r="J53">
        <f ca="1">IFERROR(计算区域!AG55,NA())</f>
        <v>0.30765565102296366</v>
      </c>
      <c r="L53">
        <f ca="1">IFERROR(计算区域!L55,NA())</f>
        <v>0.15643335665194186</v>
      </c>
      <c r="M53">
        <f ca="1">IFERROR(计算区域!M55,NA())</f>
        <v>0.14589038235209775</v>
      </c>
      <c r="N53">
        <f ca="1">IFERROR(计算区域!N55,NA())</f>
        <v>0.37296931249242959</v>
      </c>
      <c r="O53">
        <f ca="1">IFERROR(计算区域!O55,NA())</f>
        <v>0.26506145113813878</v>
      </c>
      <c r="Q53">
        <f ca="1">IFERROR(计算区域!R55,NA())</f>
        <v>0.17212074455587678</v>
      </c>
      <c r="R53">
        <f ca="1">IFERROR(计算区域!S55,NA())</f>
        <v>0.16298269936478355</v>
      </c>
      <c r="S53">
        <f ca="1">IFERROR(计算区域!T55,NA())</f>
        <v>0.36705110933311808</v>
      </c>
      <c r="T53">
        <f ca="1">IFERROR(计算区域!U55,NA())</f>
        <v>0.26084127909575433</v>
      </c>
      <c r="V53">
        <f ca="1">IFERROR(计算区域!X55,NA())</f>
        <v>0.18181396318373538</v>
      </c>
      <c r="W53">
        <f ca="1">IFERROR(计算区域!Y55,NA())</f>
        <v>0.16971767813549821</v>
      </c>
      <c r="X53">
        <f ca="1">IFERROR(计算区域!Z55,NA())</f>
        <v>0.36125490969151669</v>
      </c>
      <c r="Y53">
        <f ca="1">IFERROR(计算区域!AA55,NA())</f>
        <v>0.25596267912218063</v>
      </c>
    </row>
    <row r="54" spans="1:25" x14ac:dyDescent="0.2">
      <c r="A54" s="28">
        <f>计算区域!E56</f>
        <v>45596</v>
      </c>
      <c r="B54">
        <f ca="1">IFERROR(计算区域!AJ56,NA())</f>
        <v>9.4498370088539368E-2</v>
      </c>
      <c r="C54">
        <f ca="1">IFERROR(计算区域!AK56,NA())</f>
        <v>0.18479383979689837</v>
      </c>
      <c r="D54">
        <f ca="1">IFERROR(计算区域!AL56,NA())</f>
        <v>0.44896685381599011</v>
      </c>
      <c r="E54">
        <f ca="1">IFERROR(计算区域!AM56,NA())</f>
        <v>0.3074422253399714</v>
      </c>
      <c r="G54">
        <f ca="1">IFERROR(计算区域!AD56,NA())</f>
        <v>0.1123469779595917</v>
      </c>
      <c r="H54">
        <f ca="1">IFERROR(计算区域!AE56,NA())</f>
        <v>0.18562526536771945</v>
      </c>
      <c r="I54">
        <f ca="1">IFERROR(计算区域!AF56,NA())</f>
        <v>0.45047784968537946</v>
      </c>
      <c r="J54">
        <f ca="1">IFERROR(计算区域!AG56,NA())</f>
        <v>0.30916053555509937</v>
      </c>
      <c r="L54">
        <f ca="1">IFERROR(计算区域!L56,NA())</f>
        <v>0.14961310768226044</v>
      </c>
      <c r="M54">
        <f ca="1">IFERROR(计算区域!M56,NA())</f>
        <v>0.22924729973179403</v>
      </c>
      <c r="N54">
        <f ca="1">IFERROR(计算区域!N56,NA())</f>
        <v>0.40529912287973996</v>
      </c>
      <c r="O54">
        <f ca="1">IFERROR(计算区域!O56,NA())</f>
        <v>0.26524836637385185</v>
      </c>
      <c r="Q54">
        <f ca="1">IFERROR(计算区域!R56,NA())</f>
        <v>0.16888291195302887</v>
      </c>
      <c r="R54">
        <f ca="1">IFERROR(计算区域!S56,NA())</f>
        <v>0.25079227975436363</v>
      </c>
      <c r="S54">
        <f ca="1">IFERROR(计算区域!T56,NA())</f>
        <v>0.40933970966944999</v>
      </c>
      <c r="T54">
        <f ca="1">IFERROR(计算区域!U56,NA())</f>
        <v>0.2604887377310704</v>
      </c>
      <c r="V54">
        <f ca="1">IFERROR(计算区域!X56,NA())</f>
        <v>0.17752033504817757</v>
      </c>
      <c r="W54">
        <f ca="1">IFERROR(计算区域!Y56,NA())</f>
        <v>0.2546684922345529</v>
      </c>
      <c r="X54">
        <f ca="1">IFERROR(计算区域!Z56,NA())</f>
        <v>0.40427692209672372</v>
      </c>
      <c r="Y54">
        <f ca="1">IFERROR(计算区域!AA56,NA())</f>
        <v>0.25521210788449855</v>
      </c>
    </row>
    <row r="55" spans="1:25" x14ac:dyDescent="0.2">
      <c r="A55" s="28">
        <f>计算区域!E57</f>
        <v>45595</v>
      </c>
      <c r="B55">
        <f ca="1">IFERROR(计算区域!AJ57,NA())</f>
        <v>0.10010207609713148</v>
      </c>
      <c r="C55">
        <f ca="1">IFERROR(计算区域!AK57,NA())</f>
        <v>0.20205914582667397</v>
      </c>
      <c r="D55">
        <f ca="1">IFERROR(计算区域!AL57,NA())</f>
        <v>0.48392819655665531</v>
      </c>
      <c r="E55">
        <f ca="1">IFERROR(计算区域!AM57,NA())</f>
        <v>0.30775837103176429</v>
      </c>
      <c r="G55">
        <f ca="1">IFERROR(计算区域!AD57,NA())</f>
        <v>0.13675253254178335</v>
      </c>
      <c r="H55">
        <f ca="1">IFERROR(计算区域!AE57,NA())</f>
        <v>0.2021670142189837</v>
      </c>
      <c r="I55">
        <f ca="1">IFERROR(计算区域!AF57,NA())</f>
        <v>0.49064917533894792</v>
      </c>
      <c r="J55">
        <f ca="1">IFERROR(计算区域!AG57,NA())</f>
        <v>0.30934935260043139</v>
      </c>
      <c r="L55">
        <f ca="1">IFERROR(计算区域!L57,NA())</f>
        <v>0.14337865232507688</v>
      </c>
      <c r="M55">
        <f ca="1">IFERROR(计算区域!M57,NA())</f>
        <v>0.238159280116607</v>
      </c>
      <c r="N55">
        <f ca="1">IFERROR(计算区域!N57,NA())</f>
        <v>0.4208905768859611</v>
      </c>
      <c r="O55">
        <f ca="1">IFERROR(计算区域!O57,NA())</f>
        <v>0.26486977893975855</v>
      </c>
      <c r="Q55">
        <f ca="1">IFERROR(计算区域!R57,NA())</f>
        <v>0.15950375338635378</v>
      </c>
      <c r="R55">
        <f ca="1">IFERROR(计算区域!S57,NA())</f>
        <v>0.25375756661478149</v>
      </c>
      <c r="S55">
        <f ca="1">IFERROR(计算区域!T57,NA())</f>
        <v>0.41320189021544923</v>
      </c>
      <c r="T55">
        <f ca="1">IFERROR(计算区域!U57,NA())</f>
        <v>0.25992250415299872</v>
      </c>
      <c r="V55">
        <f ca="1">IFERROR(计算区域!X57,NA())</f>
        <v>0.16865979338241216</v>
      </c>
      <c r="W55">
        <f ca="1">IFERROR(计算区域!Y57,NA())</f>
        <v>0.25577183912208973</v>
      </c>
      <c r="X55">
        <f ca="1">IFERROR(计算区域!Z57,NA())</f>
        <v>0.40315135184091377</v>
      </c>
      <c r="Y55">
        <f ca="1">IFERROR(计算区域!AA57,NA())</f>
        <v>0.25472415347666305</v>
      </c>
    </row>
    <row r="56" spans="1:25" x14ac:dyDescent="0.2">
      <c r="A56" s="28">
        <f>计算区域!E58</f>
        <v>45594</v>
      </c>
      <c r="B56">
        <f ca="1">IFERROR(计算区域!AJ58,NA())</f>
        <v>9.753680747763091E-2</v>
      </c>
      <c r="C56">
        <f ca="1">IFERROR(计算区域!AK58,NA())</f>
        <v>0.19011590567726616</v>
      </c>
      <c r="D56">
        <f ca="1">IFERROR(计算区域!AL58,NA())</f>
        <v>0.47981034982668036</v>
      </c>
      <c r="E56">
        <f ca="1">IFERROR(计算区域!AM58,NA())</f>
        <v>0.30644012921749775</v>
      </c>
      <c r="G56">
        <f ca="1">IFERROR(计算区域!AD58,NA())</f>
        <v>0.1013662545850226</v>
      </c>
      <c r="H56">
        <f ca="1">IFERROR(计算区域!AE58,NA())</f>
        <v>0.19052739548470063</v>
      </c>
      <c r="I56">
        <f ca="1">IFERROR(计算区域!AF58,NA())</f>
        <v>0.49036141960619556</v>
      </c>
      <c r="J56">
        <f ca="1">IFERROR(计算区域!AG58,NA())</f>
        <v>0.30829782912277137</v>
      </c>
      <c r="L56">
        <f ca="1">IFERROR(计算区域!L58,NA())</f>
        <v>0.13921734382188258</v>
      </c>
      <c r="M56">
        <f ca="1">IFERROR(计算区域!M58,NA())</f>
        <v>0.23740188195463197</v>
      </c>
      <c r="N56">
        <f ca="1">IFERROR(计算区域!N58,NA())</f>
        <v>0.42105275086460381</v>
      </c>
      <c r="O56">
        <f ca="1">IFERROR(计算区域!O58,NA())</f>
        <v>0.26394626276518973</v>
      </c>
      <c r="Q56">
        <f ca="1">IFERROR(计算区域!R58,NA())</f>
        <v>0.15780753613400758</v>
      </c>
      <c r="R56">
        <f ca="1">IFERROR(计算区域!S58,NA())</f>
        <v>0.25392286499938721</v>
      </c>
      <c r="S56">
        <f ca="1">IFERROR(计算区域!T58,NA())</f>
        <v>0.41394937218090055</v>
      </c>
      <c r="T56">
        <f ca="1">IFERROR(计算区域!U58,NA())</f>
        <v>0.25886976227392672</v>
      </c>
      <c r="V56">
        <f ca="1">IFERROR(计算区域!X58,NA())</f>
        <v>0.16936486971047882</v>
      </c>
      <c r="W56">
        <f ca="1">IFERROR(计算区域!Y58,NA())</f>
        <v>0.25782230555672436</v>
      </c>
      <c r="X56">
        <f ca="1">IFERROR(计算区域!Z58,NA())</f>
        <v>0.40533120312388221</v>
      </c>
      <c r="Y56">
        <f ca="1">IFERROR(计算区域!AA58,NA())</f>
        <v>0.25372214721988484</v>
      </c>
    </row>
    <row r="57" spans="1:25" x14ac:dyDescent="0.2">
      <c r="A57" s="28">
        <f>计算区域!E59</f>
        <v>45593</v>
      </c>
      <c r="B57">
        <f ca="1">IFERROR(计算区域!AJ59,NA())</f>
        <v>9.5736581688079178E-2</v>
      </c>
      <c r="C57">
        <f ca="1">IFERROR(计算区域!AK59,NA())</f>
        <v>0.22731598199346631</v>
      </c>
      <c r="D57">
        <f ca="1">IFERROR(计算区域!AL59,NA())</f>
        <v>0.5012009455109292</v>
      </c>
      <c r="E57">
        <f ca="1">IFERROR(计算区域!AM59,NA())</f>
        <v>0.30616078889900983</v>
      </c>
      <c r="G57">
        <f ca="1">IFERROR(计算区域!AD59,NA())</f>
        <v>9.5941470186247602E-2</v>
      </c>
      <c r="H57">
        <f ca="1">IFERROR(计算区域!AE59,NA())</f>
        <v>0.22809064332173026</v>
      </c>
      <c r="I57">
        <f ca="1">IFERROR(计算区域!AF59,NA())</f>
        <v>0.52206337294737282</v>
      </c>
      <c r="J57">
        <f ca="1">IFERROR(计算区域!AG59,NA())</f>
        <v>0.30811630202336787</v>
      </c>
      <c r="L57">
        <f ca="1">IFERROR(计算区域!L59,NA())</f>
        <v>0.12664707164277511</v>
      </c>
      <c r="M57">
        <f ca="1">IFERROR(计算区域!M59,NA())</f>
        <v>0.24498411029503764</v>
      </c>
      <c r="N57">
        <f ca="1">IFERROR(计算区域!N59,NA())</f>
        <v>0.42922776556261361</v>
      </c>
      <c r="O57">
        <f ca="1">IFERROR(计算区域!O59,NA())</f>
        <v>0.26329807739426936</v>
      </c>
      <c r="Q57">
        <f ca="1">IFERROR(计算区域!R59,NA())</f>
        <v>0.14414706887334428</v>
      </c>
      <c r="R57">
        <f ca="1">IFERROR(计算区域!S59,NA())</f>
        <v>0.25714058365505488</v>
      </c>
      <c r="S57">
        <f ca="1">IFERROR(计算区域!T59,NA())</f>
        <v>0.41698973543532758</v>
      </c>
      <c r="T57">
        <f ca="1">IFERROR(计算区域!U59,NA())</f>
        <v>0.25806724140750892</v>
      </c>
      <c r="V57">
        <f ca="1">IFERROR(计算区域!X59,NA())</f>
        <v>0.15452097825948546</v>
      </c>
      <c r="W57">
        <f ca="1">IFERROR(计算区域!Y59,NA())</f>
        <v>0.25893818127555202</v>
      </c>
      <c r="X57">
        <f ca="1">IFERROR(计算区域!Z59,NA())</f>
        <v>0.40582759220725806</v>
      </c>
      <c r="Y57">
        <f ca="1">IFERROR(计算区域!AA59,NA())</f>
        <v>0.25284118247374987</v>
      </c>
    </row>
    <row r="58" spans="1:25" x14ac:dyDescent="0.2">
      <c r="A58" s="28">
        <f>计算区域!E60</f>
        <v>45590</v>
      </c>
      <c r="B58">
        <f ca="1">IFERROR(计算区域!AJ60,NA())</f>
        <v>9.676501230732644E-2</v>
      </c>
      <c r="C58">
        <f ca="1">IFERROR(计算区域!AK60,NA())</f>
        <v>0.236144404373865</v>
      </c>
      <c r="D58">
        <f ca="1">IFERROR(计算区域!AL60,NA())</f>
        <v>0.50077050989026106</v>
      </c>
      <c r="E58">
        <f ca="1">IFERROR(计算区域!AM60,NA())</f>
        <v>0.307099580497189</v>
      </c>
      <c r="G58">
        <f ca="1">IFERROR(计算区域!AD60,NA())</f>
        <v>9.6797440459089376E-2</v>
      </c>
      <c r="H58">
        <f ca="1">IFERROR(计算区域!AE60,NA())</f>
        <v>0.23614514298848352</v>
      </c>
      <c r="I58">
        <f ca="1">IFERROR(计算区域!AF60,NA())</f>
        <v>0.52216883637490463</v>
      </c>
      <c r="J58">
        <f ca="1">IFERROR(计算区域!AG60,NA())</f>
        <v>0.30875255001083668</v>
      </c>
      <c r="L58">
        <f ca="1">IFERROR(计算区域!L60,NA())</f>
        <v>0.1345236494163346</v>
      </c>
      <c r="M58">
        <f ca="1">IFERROR(计算区域!M60,NA())</f>
        <v>0.25271547554073143</v>
      </c>
      <c r="N58">
        <f ca="1">IFERROR(计算区域!N60,NA())</f>
        <v>0.42909139862727319</v>
      </c>
      <c r="O58">
        <f ca="1">IFERROR(计算区域!O60,NA())</f>
        <v>0.26343302450138878</v>
      </c>
      <c r="Q58">
        <f ca="1">IFERROR(计算区域!R60,NA())</f>
        <v>0.15330091284135738</v>
      </c>
      <c r="R58">
        <f ca="1">IFERROR(计算区域!S60,NA())</f>
        <v>0.26622609372891259</v>
      </c>
      <c r="S58">
        <f ca="1">IFERROR(计算区域!T60,NA())</f>
        <v>0.41670468614851075</v>
      </c>
      <c r="T58">
        <f ca="1">IFERROR(计算区域!U60,NA())</f>
        <v>0.2581399727547401</v>
      </c>
      <c r="V58">
        <f ca="1">IFERROR(计算区域!X60,NA())</f>
        <v>0.15669034218748917</v>
      </c>
      <c r="W58">
        <f ca="1">IFERROR(计算区域!Y60,NA())</f>
        <v>0.26575828090796133</v>
      </c>
      <c r="X58">
        <f ca="1">IFERROR(计算区域!Z60,NA())</f>
        <v>0.40497609541603602</v>
      </c>
      <c r="Y58">
        <f ca="1">IFERROR(计算区域!AA60,NA())</f>
        <v>0.25253333010535117</v>
      </c>
    </row>
    <row r="59" spans="1:25" x14ac:dyDescent="0.2">
      <c r="A59" s="28">
        <f>计算区域!E61</f>
        <v>45589</v>
      </c>
      <c r="B59">
        <f ca="1">IFERROR(计算区域!AJ61,NA())</f>
        <v>0.23516814586020116</v>
      </c>
      <c r="C59">
        <f ca="1">IFERROR(计算区域!AK61,NA())</f>
        <v>0.25659724155088992</v>
      </c>
      <c r="D59">
        <f ca="1">IFERROR(计算区域!AL61,NA())</f>
        <v>0.50071339913650059</v>
      </c>
      <c r="E59">
        <f ca="1">IFERROR(计算区域!AM61,NA())</f>
        <v>0.30731030042613094</v>
      </c>
      <c r="G59">
        <f ca="1">IFERROR(计算区域!AD61,NA())</f>
        <v>0.25476620579411358</v>
      </c>
      <c r="H59">
        <f ca="1">IFERROR(计算区域!AE61,NA())</f>
        <v>0.25923044208323692</v>
      </c>
      <c r="I59">
        <f ca="1">IFERROR(计算区域!AF61,NA())</f>
        <v>0.52218014750325326</v>
      </c>
      <c r="J59">
        <f ca="1">IFERROR(计算区域!AG61,NA())</f>
        <v>0.30882739939342957</v>
      </c>
      <c r="L59">
        <f ca="1">IFERROR(计算区域!L61,NA())</f>
        <v>0.28761878742233504</v>
      </c>
      <c r="M59">
        <f ca="1">IFERROR(计算区域!M61,NA())</f>
        <v>0.26827917547401081</v>
      </c>
      <c r="N59">
        <f ca="1">IFERROR(计算区域!N61,NA())</f>
        <v>0.42906470422216286</v>
      </c>
      <c r="O59">
        <f ca="1">IFERROR(计算区域!O61,NA())</f>
        <v>0.26322520756427986</v>
      </c>
      <c r="Q59">
        <f ca="1">IFERROR(计算区域!R61,NA())</f>
        <v>0.3118847498981755</v>
      </c>
      <c r="R59">
        <f ca="1">IFERROR(计算区域!S61,NA())</f>
        <v>0.28199604107853765</v>
      </c>
      <c r="S59">
        <f ca="1">IFERROR(计算区域!T61,NA())</f>
        <v>0.41660927850504648</v>
      </c>
      <c r="T59">
        <f ca="1">IFERROR(计算区域!U61,NA())</f>
        <v>0.25784807757005229</v>
      </c>
      <c r="V59">
        <f ca="1">IFERROR(计算区域!X61,NA())</f>
        <v>0.31336657849621402</v>
      </c>
      <c r="W59">
        <f ca="1">IFERROR(计算区域!Y61,NA())</f>
        <v>0.28268458069463243</v>
      </c>
      <c r="X59">
        <f ca="1">IFERROR(计算区域!Z61,NA())</f>
        <v>0.4048424515018248</v>
      </c>
      <c r="Y59">
        <f ca="1">IFERROR(计算区域!AA61,NA())</f>
        <v>0.25216778921104621</v>
      </c>
    </row>
    <row r="60" spans="1:25" x14ac:dyDescent="0.2">
      <c r="A60" s="28">
        <f>计算区域!E62</f>
        <v>45588</v>
      </c>
      <c r="B60">
        <f ca="1">IFERROR(计算区域!AJ62,NA())</f>
        <v>0.25882966188245821</v>
      </c>
      <c r="C60">
        <f ca="1">IFERROR(计算区域!AK62,NA())</f>
        <v>0.30137260802762184</v>
      </c>
      <c r="D60">
        <f ca="1">IFERROR(计算区域!AL62,NA())</f>
        <v>0.49589904714364441</v>
      </c>
      <c r="E60">
        <f ca="1">IFERROR(计算区域!AM62,NA())</f>
        <v>0.30781636212508134</v>
      </c>
      <c r="G60">
        <f ca="1">IFERROR(计算区域!AD62,NA())</f>
        <v>0.2706651501937416</v>
      </c>
      <c r="H60">
        <f ca="1">IFERROR(计算区域!AE62,NA())</f>
        <v>0.30305986803783896</v>
      </c>
      <c r="I60">
        <f ca="1">IFERROR(计算区域!AF62,NA())</f>
        <v>0.52140022034039368</v>
      </c>
      <c r="J60">
        <f ca="1">IFERROR(计算区域!AG62,NA())</f>
        <v>0.309258638762898</v>
      </c>
      <c r="L60">
        <f ca="1">IFERROR(计算区域!L62,NA())</f>
        <v>0.30476588960834461</v>
      </c>
      <c r="M60">
        <f ca="1">IFERROR(计算区域!M62,NA())</f>
        <v>0.30407039136501679</v>
      </c>
      <c r="N60">
        <f ca="1">IFERROR(计算区域!N62,NA())</f>
        <v>0.43034516487623448</v>
      </c>
      <c r="O60">
        <f ca="1">IFERROR(计算区域!O62,NA())</f>
        <v>0.26347187764506508</v>
      </c>
      <c r="Q60">
        <f ca="1">IFERROR(计算区域!R62,NA())</f>
        <v>0.32147217279910206</v>
      </c>
      <c r="R60">
        <f ca="1">IFERROR(计算区域!S62,NA())</f>
        <v>0.32111057250851288</v>
      </c>
      <c r="S60">
        <f ca="1">IFERROR(计算区域!T62,NA())</f>
        <v>0.41848003671573186</v>
      </c>
      <c r="T60">
        <f ca="1">IFERROR(计算区域!U62,NA())</f>
        <v>0.25795016542350074</v>
      </c>
      <c r="V60">
        <f ca="1">IFERROR(计算区域!X62,NA())</f>
        <v>0.31998803332623915</v>
      </c>
      <c r="W60">
        <f ca="1">IFERROR(计算区域!Y62,NA())</f>
        <v>0.32755790466515666</v>
      </c>
      <c r="X60">
        <f ca="1">IFERROR(计算区域!Z62,NA())</f>
        <v>0.40693050902792627</v>
      </c>
      <c r="Y60">
        <f ca="1">IFERROR(计算区域!AA62,NA())</f>
        <v>0.2521817695776708</v>
      </c>
    </row>
    <row r="61" spans="1:25" x14ac:dyDescent="0.2">
      <c r="A61" s="28">
        <f>计算区域!E63</f>
        <v>45587</v>
      </c>
      <c r="B61">
        <f ca="1">IFERROR(计算区域!AJ63,NA())</f>
        <v>0.26166673202676566</v>
      </c>
      <c r="C61">
        <f ca="1">IFERROR(计算区域!AK63,NA())</f>
        <v>0.48332209559767658</v>
      </c>
      <c r="D61">
        <f ca="1">IFERROR(计算区域!AL63,NA())</f>
        <v>0.49590358737774459</v>
      </c>
      <c r="E61">
        <f ca="1">IFERROR(计算区域!AM63,NA())</f>
        <v>0.30856646817575772</v>
      </c>
      <c r="G61">
        <f ca="1">IFERROR(计算区域!AD63,NA())</f>
        <v>0.2672104627429796</v>
      </c>
      <c r="H61">
        <f ca="1">IFERROR(计算区域!AE63,NA())</f>
        <v>0.49378266425727479</v>
      </c>
      <c r="I61">
        <f ca="1">IFERROR(计算区域!AF63,NA())</f>
        <v>0.5213945893076295</v>
      </c>
      <c r="J61">
        <f ca="1">IFERROR(计算区域!AG63,NA())</f>
        <v>0.30964616718201327</v>
      </c>
      <c r="L61">
        <f ca="1">IFERROR(计算区域!L63,NA())</f>
        <v>0.3055124192080933</v>
      </c>
      <c r="M61">
        <f ca="1">IFERROR(计算区域!M63,NA())</f>
        <v>0.35477853624867339</v>
      </c>
      <c r="N61">
        <f ca="1">IFERROR(计算区域!N63,NA())</f>
        <v>0.42934707832874192</v>
      </c>
      <c r="O61">
        <f ca="1">IFERROR(计算区域!O63,NA())</f>
        <v>0.26329547437104667</v>
      </c>
      <c r="Q61">
        <f ca="1">IFERROR(计算区域!R63,NA())</f>
        <v>0.32256847998263555</v>
      </c>
      <c r="R61">
        <f ca="1">IFERROR(计算区域!S63,NA())</f>
        <v>0.35171837760777608</v>
      </c>
      <c r="S61">
        <f ca="1">IFERROR(计算区域!T63,NA())</f>
        <v>0.41705312091021046</v>
      </c>
      <c r="T61">
        <f ca="1">IFERROR(计算区域!U63,NA())</f>
        <v>0.25756570724017291</v>
      </c>
      <c r="V61">
        <f ca="1">IFERROR(计算区域!X63,NA())</f>
        <v>0.3228935171122555</v>
      </c>
      <c r="W61">
        <f ca="1">IFERROR(计算区域!Y63,NA())</f>
        <v>0.34814220727572581</v>
      </c>
      <c r="X61">
        <f ca="1">IFERROR(计算区域!Z63,NA())</f>
        <v>0.40538210234338329</v>
      </c>
      <c r="Y61">
        <f ca="1">IFERROR(计算区域!AA63,NA())</f>
        <v>0.25181152156158043</v>
      </c>
    </row>
    <row r="62" spans="1:25" x14ac:dyDescent="0.2">
      <c r="A62" s="28">
        <f>计算区域!E64</f>
        <v>45586</v>
      </c>
      <c r="B62">
        <f ca="1">IFERROR(计算区域!AJ64,NA())</f>
        <v>0.3251554352828922</v>
      </c>
      <c r="C62">
        <f ca="1">IFERROR(计算区域!AK64,NA())</f>
        <v>0.50359789834740254</v>
      </c>
      <c r="D62">
        <f ca="1">IFERROR(计算区域!AL64,NA())</f>
        <v>0.49733184915132261</v>
      </c>
      <c r="E62">
        <f ca="1">IFERROR(计算区域!AM64,NA())</f>
        <v>0.30870376537903538</v>
      </c>
      <c r="G62">
        <f ca="1">IFERROR(计算区域!AD64,NA())</f>
        <v>0.32840866741466052</v>
      </c>
      <c r="H62">
        <f ca="1">IFERROR(计算区域!AE64,NA())</f>
        <v>0.50829114676756415</v>
      </c>
      <c r="I62">
        <f ca="1">IFERROR(计算区域!AF64,NA())</f>
        <v>0.52126182922906927</v>
      </c>
      <c r="J62">
        <f ca="1">IFERROR(计算区域!AG64,NA())</f>
        <v>0.30984490863326847</v>
      </c>
      <c r="L62">
        <f ca="1">IFERROR(计算区域!L64,NA())</f>
        <v>0.32248247679278969</v>
      </c>
      <c r="M62">
        <f ca="1">IFERROR(计算区域!M64,NA())</f>
        <v>0.45255974519549447</v>
      </c>
      <c r="N62">
        <f ca="1">IFERROR(计算区域!N64,NA())</f>
        <v>0.42897103525096381</v>
      </c>
      <c r="O62">
        <f ca="1">IFERROR(计算区域!O64,NA())</f>
        <v>0.26382722677077614</v>
      </c>
      <c r="Q62">
        <f ca="1">IFERROR(计算区域!R64,NA())</f>
        <v>0.3338625196995732</v>
      </c>
      <c r="R62">
        <f ca="1">IFERROR(计算区域!S64,NA())</f>
        <v>0.42902656325295013</v>
      </c>
      <c r="S62">
        <f ca="1">IFERROR(计算区域!T64,NA())</f>
        <v>0.4165974391846719</v>
      </c>
      <c r="T62">
        <f ca="1">IFERROR(计算区域!U64,NA())</f>
        <v>0.25809800387499154</v>
      </c>
      <c r="V62">
        <f ca="1">IFERROR(计算区域!X64,NA())</f>
        <v>0.3319958293748777</v>
      </c>
      <c r="W62">
        <f ca="1">IFERROR(计算区域!Y64,NA())</f>
        <v>0.41731108528700994</v>
      </c>
      <c r="X62">
        <f ca="1">IFERROR(计算区域!Z64,NA())</f>
        <v>0.40513557799195687</v>
      </c>
      <c r="Y62">
        <f ca="1">IFERROR(计算区域!AA64,NA())</f>
        <v>0.25226758160039858</v>
      </c>
    </row>
    <row r="63" spans="1:25" x14ac:dyDescent="0.2">
      <c r="A63" s="28">
        <f>计算区域!E65</f>
        <v>45583</v>
      </c>
      <c r="B63">
        <f ca="1">IFERROR(计算区域!AJ65,NA())</f>
        <v>0.3407328515382313</v>
      </c>
      <c r="C63">
        <f ca="1">IFERROR(计算区域!AK65,NA())</f>
        <v>0.61155813495402656</v>
      </c>
      <c r="D63">
        <f ca="1">IFERROR(计算区域!AL65,NA())</f>
        <v>0.4981736537032409</v>
      </c>
      <c r="E63">
        <f ca="1">IFERROR(计算区域!AM65,NA())</f>
        <v>0.30868185093853401</v>
      </c>
      <c r="G63">
        <f ca="1">IFERROR(计算区域!AD65,NA())</f>
        <v>0.34073515341674765</v>
      </c>
      <c r="H63">
        <f ca="1">IFERROR(计算区域!AE65,NA())</f>
        <v>0.61302989627611315</v>
      </c>
      <c r="I63">
        <f ca="1">IFERROR(计算区域!AF65,NA())</f>
        <v>0.52145554866682831</v>
      </c>
      <c r="J63">
        <f ca="1">IFERROR(计算区域!AG65,NA())</f>
        <v>0.30997583229574471</v>
      </c>
      <c r="L63">
        <f ca="1">IFERROR(计算区域!L65,NA())</f>
        <v>0.33110966597679864</v>
      </c>
      <c r="M63">
        <f ca="1">IFERROR(计算区域!M65,NA())</f>
        <v>0.5068808661404669</v>
      </c>
      <c r="N63">
        <f ca="1">IFERROR(计算区域!N65,NA())</f>
        <v>0.42811566067951251</v>
      </c>
      <c r="O63">
        <f ca="1">IFERROR(计算区域!O65,NA())</f>
        <v>0.26345458156925849</v>
      </c>
      <c r="Q63">
        <f ca="1">IFERROR(计算区域!R65,NA())</f>
        <v>0.34387715260877394</v>
      </c>
      <c r="R63">
        <f ca="1">IFERROR(计算区域!S65,NA())</f>
        <v>0.49283838469940006</v>
      </c>
      <c r="S63">
        <f ca="1">IFERROR(计算区域!T65,NA())</f>
        <v>0.41527583435442317</v>
      </c>
      <c r="T63">
        <f ca="1">IFERROR(计算区域!U65,NA())</f>
        <v>0.25744460683761705</v>
      </c>
      <c r="V63">
        <f ca="1">IFERROR(计算区域!X65,NA())</f>
        <v>0.34161830221385581</v>
      </c>
      <c r="W63">
        <f ca="1">IFERROR(计算区域!Y65,NA())</f>
        <v>0.48187771195682744</v>
      </c>
      <c r="X63">
        <f ca="1">IFERROR(计算区域!Z65,NA())</f>
        <v>0.40372283669609316</v>
      </c>
      <c r="Y63">
        <f ca="1">IFERROR(计算区域!AA65,NA())</f>
        <v>0.25152590945100795</v>
      </c>
    </row>
    <row r="64" spans="1:25" x14ac:dyDescent="0.2">
      <c r="A64" s="28">
        <f>计算区域!E66</f>
        <v>45582</v>
      </c>
      <c r="B64">
        <f ca="1">IFERROR(计算区域!AJ66,NA())</f>
        <v>0.23507328685008677</v>
      </c>
      <c r="C64">
        <f ca="1">IFERROR(计算区域!AK66,NA())</f>
        <v>0.62495135131250823</v>
      </c>
      <c r="D64">
        <f ca="1">IFERROR(计算区域!AL66,NA())</f>
        <v>0.49501710560147599</v>
      </c>
      <c r="E64">
        <f ca="1">IFERROR(计算区域!AM66,NA())</f>
        <v>0.30318142811077986</v>
      </c>
      <c r="G64">
        <f ca="1">IFERROR(计算区域!AD66,NA())</f>
        <v>0.29376032767594734</v>
      </c>
      <c r="H64">
        <f ca="1">IFERROR(计算区域!AE66,NA())</f>
        <v>0.62765568372410618</v>
      </c>
      <c r="I64">
        <f ca="1">IFERROR(计算区域!AF66,NA())</f>
        <v>0.51055812682425639</v>
      </c>
      <c r="J64">
        <f ca="1">IFERROR(计算区域!AG66,NA())</f>
        <v>0.30393668014066083</v>
      </c>
      <c r="L64">
        <f ca="1">IFERROR(计算区域!L66,NA())</f>
        <v>0.2474325465813578</v>
      </c>
      <c r="M64">
        <f ca="1">IFERROR(计算区域!M66,NA())</f>
        <v>0.52533839911037727</v>
      </c>
      <c r="N64">
        <f ca="1">IFERROR(计算区域!N66,NA())</f>
        <v>0.40814089880846494</v>
      </c>
      <c r="O64">
        <f ca="1">IFERROR(计算区域!O66,NA())</f>
        <v>0.2526938595237076</v>
      </c>
      <c r="Q64">
        <f ca="1">IFERROR(计算区域!R66,NA())</f>
        <v>0.24853860293501515</v>
      </c>
      <c r="R64">
        <f ca="1">IFERROR(计算区域!S66,NA())</f>
        <v>0.52174824220130189</v>
      </c>
      <c r="S64">
        <f ca="1">IFERROR(计算区域!T66,NA())</f>
        <v>0.39138994855089032</v>
      </c>
      <c r="T64">
        <f ca="1">IFERROR(计算区域!U66,NA())</f>
        <v>0.24466679045317913</v>
      </c>
      <c r="V64">
        <f ca="1">IFERROR(计算区域!X66,NA())</f>
        <v>0.24823886038768478</v>
      </c>
      <c r="W64">
        <f ca="1">IFERROR(计算区域!Y66,NA())</f>
        <v>0.51188242648383653</v>
      </c>
      <c r="X64">
        <f ca="1">IFERROR(计算区域!Z66,NA())</f>
        <v>0.37902534281099431</v>
      </c>
      <c r="Y64">
        <f ca="1">IFERROR(计算区域!AA66,NA())</f>
        <v>0.23837572027976342</v>
      </c>
    </row>
    <row r="65" spans="1:25" x14ac:dyDescent="0.2">
      <c r="A65" s="28">
        <f>计算区域!E67</f>
        <v>45581</v>
      </c>
      <c r="B65">
        <f ca="1">IFERROR(计算区域!AJ67,NA())</f>
        <v>0.36505049666040301</v>
      </c>
      <c r="C65">
        <f ca="1">IFERROR(计算区域!AK67,NA())</f>
        <v>0.66140330766851707</v>
      </c>
      <c r="D65">
        <f ca="1">IFERROR(计算区域!AL67,NA())</f>
        <v>0.48853477845810606</v>
      </c>
      <c r="E65">
        <f ca="1">IFERROR(计算区域!AM67,NA())</f>
        <v>0.30125331688610174</v>
      </c>
      <c r="G65">
        <f ca="1">IFERROR(计算区域!AD67,NA())</f>
        <v>0.36522905772213976</v>
      </c>
      <c r="H65">
        <f ca="1">IFERROR(计算区域!AE67,NA())</f>
        <v>0.68363019057666896</v>
      </c>
      <c r="I65">
        <f ca="1">IFERROR(计算区域!AF67,NA())</f>
        <v>0.50756926978988925</v>
      </c>
      <c r="J65">
        <f ca="1">IFERROR(计算区域!AG67,NA())</f>
        <v>0.30240830767825633</v>
      </c>
      <c r="L65">
        <f ca="1">IFERROR(计算区域!L67,NA())</f>
        <v>0.30337329866186846</v>
      </c>
      <c r="M65">
        <f ca="1">IFERROR(计算区域!M67,NA())</f>
        <v>0.54550702352685965</v>
      </c>
      <c r="N65">
        <f ca="1">IFERROR(计算区域!N67,NA())</f>
        <v>0.40470792594900906</v>
      </c>
      <c r="O65">
        <f ca="1">IFERROR(计算区域!O67,NA())</f>
        <v>0.25087804012286946</v>
      </c>
      <c r="Q65">
        <f ca="1">IFERROR(计算区域!R67,NA())</f>
        <v>0.32074856456313888</v>
      </c>
      <c r="R65">
        <f ca="1">IFERROR(计算区域!S67,NA())</f>
        <v>0.52638265695308117</v>
      </c>
      <c r="S65">
        <f ca="1">IFERROR(计算区域!T67,NA())</f>
        <v>0.38917001238574506</v>
      </c>
      <c r="T65">
        <f ca="1">IFERROR(计算区域!U67,NA())</f>
        <v>0.2434669863679334</v>
      </c>
      <c r="V65">
        <f ca="1">IFERROR(计算区域!X67,NA())</f>
        <v>0.33495674399131203</v>
      </c>
      <c r="W65">
        <f ca="1">IFERROR(计算区域!Y67,NA())</f>
        <v>0.50955155901480309</v>
      </c>
      <c r="X65">
        <f ca="1">IFERROR(计算区域!Z67,NA())</f>
        <v>0.37737884678891698</v>
      </c>
      <c r="Y65">
        <f ca="1">IFERROR(计算区域!AA67,NA())</f>
        <v>0.23746721071480209</v>
      </c>
    </row>
    <row r="66" spans="1:25" x14ac:dyDescent="0.2">
      <c r="A66" s="28">
        <f>计算区域!E68</f>
        <v>45580</v>
      </c>
      <c r="B66">
        <f ca="1">IFERROR(计算区域!AJ68,NA())</f>
        <v>0.63643096794878928</v>
      </c>
      <c r="C66">
        <f ca="1">IFERROR(计算区域!AK68,NA())</f>
        <v>0.65814285725477717</v>
      </c>
      <c r="D66">
        <f ca="1">IFERROR(计算区域!AL68,NA())</f>
        <v>0.49339140383776109</v>
      </c>
      <c r="E66">
        <f ca="1">IFERROR(计算区域!AM68,NA())</f>
        <v>0.3012206530846756</v>
      </c>
      <c r="G66">
        <f ca="1">IFERROR(计算区域!AD68,NA())</f>
        <v>0.69079413541442358</v>
      </c>
      <c r="H66">
        <f ca="1">IFERROR(计算区域!AE68,NA())</f>
        <v>0.68653120986385963</v>
      </c>
      <c r="I66">
        <f ca="1">IFERROR(计算区域!AF68,NA())</f>
        <v>0.50977573414726629</v>
      </c>
      <c r="J66">
        <f ca="1">IFERROR(计算区域!AG68,NA())</f>
        <v>0.30250492311676497</v>
      </c>
      <c r="L66">
        <f ca="1">IFERROR(计算区域!L68,NA())</f>
        <v>0.39799218745488052</v>
      </c>
      <c r="M66">
        <f ca="1">IFERROR(计算区域!M68,NA())</f>
        <v>0.54608715830506327</v>
      </c>
      <c r="N66">
        <f ca="1">IFERROR(计算区域!N68,NA())</f>
        <v>0.4040766599457441</v>
      </c>
      <c r="O66">
        <f ca="1">IFERROR(计算区域!O68,NA())</f>
        <v>0.2500836991671776</v>
      </c>
      <c r="Q66">
        <f ca="1">IFERROR(计算区域!R68,NA())</f>
        <v>0.37863070400561077</v>
      </c>
      <c r="R66">
        <f ca="1">IFERROR(计算区域!S68,NA())</f>
        <v>0.52747639197259477</v>
      </c>
      <c r="S66">
        <f ca="1">IFERROR(计算区域!T68,NA())</f>
        <v>0.38782916408878376</v>
      </c>
      <c r="T66">
        <f ca="1">IFERROR(计算区域!U68,NA())</f>
        <v>0.24233061975816297</v>
      </c>
      <c r="V66">
        <f ca="1">IFERROR(计算区域!X68,NA())</f>
        <v>0.37167965989613472</v>
      </c>
      <c r="W66">
        <f ca="1">IFERROR(计算区域!Y68,NA())</f>
        <v>0.51197111950687491</v>
      </c>
      <c r="X66">
        <f ca="1">IFERROR(计算区域!Z68,NA())</f>
        <v>0.37536977582873859</v>
      </c>
      <c r="Y66">
        <f ca="1">IFERROR(计算区域!AA68,NA())</f>
        <v>0.23601690358985977</v>
      </c>
    </row>
    <row r="67" spans="1:25" x14ac:dyDescent="0.2">
      <c r="A67" s="28">
        <f>计算区域!E69</f>
        <v>45579</v>
      </c>
      <c r="B67">
        <f ca="1">IFERROR(计算区域!AJ69,NA())</f>
        <v>0.68076587971240832</v>
      </c>
      <c r="C67">
        <f ca="1">IFERROR(计算区域!AK69,NA())</f>
        <v>0.64930153534660984</v>
      </c>
      <c r="D67">
        <f ca="1">IFERROR(计算区域!AL69,NA())</f>
        <v>0.48109994202564205</v>
      </c>
      <c r="E67">
        <f ca="1">IFERROR(计算区域!AM69,NA())</f>
        <v>0.29636909452591637</v>
      </c>
      <c r="G67">
        <f ca="1">IFERROR(计算区域!AD69,NA())</f>
        <v>0.68808248008655837</v>
      </c>
      <c r="H67">
        <f ca="1">IFERROR(计算区域!AE69,NA())</f>
        <v>0.72343509790691418</v>
      </c>
      <c r="I67">
        <f ca="1">IFERROR(计算区域!AF69,NA())</f>
        <v>0.50227359083284684</v>
      </c>
      <c r="J67">
        <f ca="1">IFERROR(计算区域!AG69,NA())</f>
        <v>0.298540455425991</v>
      </c>
      <c r="L67">
        <f ca="1">IFERROR(计算区域!L69,NA())</f>
        <v>0.55283424107449208</v>
      </c>
      <c r="M67">
        <f ca="1">IFERROR(计算区域!M69,NA())</f>
        <v>0.55538791413092248</v>
      </c>
      <c r="N67">
        <f ca="1">IFERROR(计算区域!N69,NA())</f>
        <v>0.40079247780122668</v>
      </c>
      <c r="O67">
        <f ca="1">IFERROR(计算区域!O69,NA())</f>
        <v>0.2479778493162344</v>
      </c>
      <c r="Q67">
        <f ca="1">IFERROR(计算区域!R69,NA())</f>
        <v>0.50661958301385013</v>
      </c>
      <c r="R67">
        <f ca="1">IFERROR(计算区域!S69,NA())</f>
        <v>0.53069727637739639</v>
      </c>
      <c r="S67">
        <f ca="1">IFERROR(计算区域!T69,NA())</f>
        <v>0.38539832699094362</v>
      </c>
      <c r="T67">
        <f ca="1">IFERROR(计算区域!U69,NA())</f>
        <v>0.24055714504919251</v>
      </c>
      <c r="V67">
        <f ca="1">IFERROR(计算区域!X69,NA())</f>
        <v>0.48793017234490765</v>
      </c>
      <c r="W67">
        <f ca="1">IFERROR(计算区域!Y69,NA())</f>
        <v>0.51219438445886001</v>
      </c>
      <c r="X67">
        <f ca="1">IFERROR(计算区域!Z69,NA())</f>
        <v>0.37348277797382612</v>
      </c>
      <c r="Y67">
        <f ca="1">IFERROR(计算区域!AA69,NA())</f>
        <v>0.23440626464401138</v>
      </c>
    </row>
    <row r="68" spans="1:25" x14ac:dyDescent="0.2">
      <c r="A68" s="28">
        <f>计算区域!E70</f>
        <v>45576</v>
      </c>
      <c r="B68">
        <f ca="1">IFERROR(计算区域!AJ70,NA())</f>
        <v>0.84945626050649259</v>
      </c>
      <c r="C68">
        <f ca="1">IFERROR(计算区域!AK70,NA())</f>
        <v>0.65350681896449769</v>
      </c>
      <c r="D68">
        <f ca="1">IFERROR(计算区域!AL70,NA())</f>
        <v>0.48172179964958195</v>
      </c>
      <c r="E68">
        <f ca="1">IFERROR(计算区域!AM70,NA())</f>
        <v>0.29622654470831988</v>
      </c>
      <c r="G68">
        <f ca="1">IFERROR(计算区域!AD70,NA())</f>
        <v>0.85408563745958455</v>
      </c>
      <c r="H68">
        <f ca="1">IFERROR(计算区域!AE70,NA())</f>
        <v>0.72100738345178128</v>
      </c>
      <c r="I68">
        <f ca="1">IFERROR(计算区域!AF70,NA())</f>
        <v>0.5005215149779233</v>
      </c>
      <c r="J68">
        <f ca="1">IFERROR(计算区域!AG70,NA())</f>
        <v>0.2983628916548825</v>
      </c>
      <c r="L68">
        <f ca="1">IFERROR(计算区域!L70,NA())</f>
        <v>0.6357851948695824</v>
      </c>
      <c r="M68">
        <f ca="1">IFERROR(计算区域!M70,NA())</f>
        <v>0.55170077503483794</v>
      </c>
      <c r="N68">
        <f ca="1">IFERROR(计算区域!N70,NA())</f>
        <v>0.39790426423128183</v>
      </c>
      <c r="O68">
        <f ca="1">IFERROR(计算区域!O70,NA())</f>
        <v>0.24657063797621009</v>
      </c>
      <c r="Q68">
        <f ca="1">IFERROR(计算区域!R70,NA())</f>
        <v>0.60624075315002512</v>
      </c>
      <c r="R68">
        <f ca="1">IFERROR(计算区域!S70,NA())</f>
        <v>0.52574638176035215</v>
      </c>
      <c r="S68">
        <f ca="1">IFERROR(计算区域!T70,NA())</f>
        <v>0.38159326962554835</v>
      </c>
      <c r="T68">
        <f ca="1">IFERROR(计算区域!U70,NA())</f>
        <v>0.23864797575340732</v>
      </c>
      <c r="V68">
        <f ca="1">IFERROR(计算区域!X70,NA())</f>
        <v>0.58966871559717071</v>
      </c>
      <c r="W68">
        <f ca="1">IFERROR(计算区域!Y70,NA())</f>
        <v>0.50733008174726024</v>
      </c>
      <c r="X68">
        <f ca="1">IFERROR(计算区域!Z70,NA())</f>
        <v>0.36960861124786298</v>
      </c>
      <c r="Y68">
        <f ca="1">IFERROR(计算区域!AA70,NA())</f>
        <v>0.23245453944631209</v>
      </c>
    </row>
    <row r="69" spans="1:25" x14ac:dyDescent="0.2">
      <c r="A69" s="28">
        <f>计算区域!E71</f>
        <v>45575</v>
      </c>
      <c r="B69">
        <f ca="1">IFERROR(计算区域!AJ71,NA())</f>
        <v>0.84280205953236953</v>
      </c>
      <c r="C69">
        <f ca="1">IFERROR(计算区域!AK71,NA())</f>
        <v>0.62604024347834952</v>
      </c>
      <c r="D69">
        <f ca="1">IFERROR(计算区域!AL71,NA())</f>
        <v>0.47412619715533311</v>
      </c>
      <c r="E69">
        <f ca="1">IFERROR(计算区域!AM71,NA())</f>
        <v>0.29262433562958917</v>
      </c>
      <c r="G69">
        <f ca="1">IFERROR(计算区域!AD71,NA())</f>
        <v>0.89448091026799692</v>
      </c>
      <c r="H69">
        <f ca="1">IFERROR(计算区域!AE71,NA())</f>
        <v>0.71305027277650501</v>
      </c>
      <c r="I69">
        <f ca="1">IFERROR(计算区域!AF71,NA())</f>
        <v>0.49598121605378948</v>
      </c>
      <c r="J69">
        <f ca="1">IFERROR(计算区域!AG71,NA())</f>
        <v>0.29542946525008373</v>
      </c>
      <c r="L69">
        <f ca="1">IFERROR(计算区域!L71,NA())</f>
        <v>0.70052694598564313</v>
      </c>
      <c r="M69">
        <f ca="1">IFERROR(计算区域!M71,NA())</f>
        <v>0.54426034654886357</v>
      </c>
      <c r="N69">
        <f ca="1">IFERROR(计算区域!N71,NA())</f>
        <v>0.39231645139478438</v>
      </c>
      <c r="O69">
        <f ca="1">IFERROR(计算区域!O71,NA())</f>
        <v>0.24334224944754521</v>
      </c>
      <c r="Q69">
        <f ca="1">IFERROR(计算区域!R71,NA())</f>
        <v>0.69474529097461857</v>
      </c>
      <c r="R69">
        <f ca="1">IFERROR(计算区域!S71,NA())</f>
        <v>0.51730533989996907</v>
      </c>
      <c r="S69">
        <f ca="1">IFERROR(计算区域!T71,NA())</f>
        <v>0.37513649629510093</v>
      </c>
      <c r="T69">
        <f ca="1">IFERROR(计算区域!U71,NA())</f>
        <v>0.23493614332657919</v>
      </c>
      <c r="V69">
        <f ca="1">IFERROR(计算区域!X71,NA())</f>
        <v>0.68001816540397209</v>
      </c>
      <c r="W69">
        <f ca="1">IFERROR(计算区域!Y71,NA())</f>
        <v>0.49787975346815866</v>
      </c>
      <c r="X69">
        <f ca="1">IFERROR(计算区域!Z71,NA())</f>
        <v>0.36240049640793692</v>
      </c>
      <c r="Y69">
        <f ca="1">IFERROR(计算区域!AA71,NA())</f>
        <v>0.22839386656892949</v>
      </c>
    </row>
    <row r="70" spans="1:25" x14ac:dyDescent="0.2">
      <c r="A70" s="28">
        <f>计算区域!E72</f>
        <v>45574</v>
      </c>
      <c r="B70">
        <f ca="1">IFERROR(计算区域!AJ72,NA())</f>
        <v>0.88040159839894794</v>
      </c>
      <c r="C70">
        <f ca="1">IFERROR(计算区域!AK72,NA())</f>
        <v>0.62662728805837797</v>
      </c>
      <c r="D70">
        <f ca="1">IFERROR(计算区域!AL72,NA())</f>
        <v>0.46877621695488664</v>
      </c>
      <c r="E70">
        <f ca="1">IFERROR(计算区域!AM72,NA())</f>
        <v>0.28678126348029248</v>
      </c>
      <c r="G70">
        <f ca="1">IFERROR(计算区域!AD72,NA())</f>
        <v>0.95819923277894403</v>
      </c>
      <c r="H70">
        <f ca="1">IFERROR(计算区域!AE72,NA())</f>
        <v>0.69431805496978283</v>
      </c>
      <c r="I70">
        <f ca="1">IFERROR(计算区域!AF72,NA())</f>
        <v>0.48302294105536159</v>
      </c>
      <c r="J70">
        <f ca="1">IFERROR(计算区域!AG72,NA())</f>
        <v>0.28886734479352022</v>
      </c>
      <c r="L70">
        <f ca="1">IFERROR(计算区域!L72,NA())</f>
        <v>0.70930985266897584</v>
      </c>
      <c r="M70">
        <f ca="1">IFERROR(计算区域!M72,NA())</f>
        <v>0.52719552251497026</v>
      </c>
      <c r="N70">
        <f ca="1">IFERROR(计算区域!N72,NA())</f>
        <v>0.37856892250875673</v>
      </c>
      <c r="O70">
        <f ca="1">IFERROR(计算区域!O72,NA())</f>
        <v>0.23702973544964279</v>
      </c>
      <c r="Q70">
        <f ca="1">IFERROR(计算区域!R72,NA())</f>
        <v>0.67177210526536157</v>
      </c>
      <c r="R70">
        <f ca="1">IFERROR(计算区域!S72,NA())</f>
        <v>0.49713085046339223</v>
      </c>
      <c r="S70">
        <f ca="1">IFERROR(计算区域!T72,NA())</f>
        <v>0.35845691795470858</v>
      </c>
      <c r="T70">
        <f ca="1">IFERROR(计算区域!U72,NA())</f>
        <v>0.22736998728413679</v>
      </c>
      <c r="V70">
        <f ca="1">IFERROR(计算区域!X72,NA())</f>
        <v>0.63803570608828108</v>
      </c>
      <c r="W70">
        <f ca="1">IFERROR(计算区域!Y72,NA())</f>
        <v>0.47317089666084339</v>
      </c>
      <c r="X70">
        <f ca="1">IFERROR(计算区域!Z72,NA())</f>
        <v>0.34231597548187848</v>
      </c>
      <c r="Y70">
        <f ca="1">IFERROR(计算区域!AA72,NA())</f>
        <v>0.21911209827312003</v>
      </c>
    </row>
    <row r="71" spans="1:25" x14ac:dyDescent="0.2">
      <c r="A71" s="28">
        <f>计算区域!E73</f>
        <v>45573</v>
      </c>
      <c r="B71">
        <f ca="1">IFERROR(计算区域!AJ73,NA())</f>
        <v>0.34160691519755781</v>
      </c>
      <c r="C71">
        <f ca="1">IFERROR(计算区域!AK73,NA())</f>
        <v>0.37877619678219498</v>
      </c>
      <c r="D71">
        <f ca="1">IFERROR(计算区域!AL73,NA())</f>
        <v>0.37082478078909903</v>
      </c>
      <c r="E71">
        <f ca="1">IFERROR(计算区域!AM73,NA())</f>
        <v>0.23960842202168128</v>
      </c>
      <c r="G71">
        <f ca="1">IFERROR(计算区域!AD73,NA())</f>
        <v>0.76373093576245321</v>
      </c>
      <c r="H71">
        <f ca="1">IFERROR(计算区域!AE73,NA())</f>
        <v>0.57453383632462784</v>
      </c>
      <c r="I71">
        <f ca="1">IFERROR(计算区域!AF73,NA())</f>
        <v>0.40531779959849995</v>
      </c>
      <c r="J71">
        <f ca="1">IFERROR(计算区域!AG73,NA())</f>
        <v>0.24541447529324251</v>
      </c>
      <c r="L71">
        <f ca="1">IFERROR(计算区域!L73,NA())</f>
        <v>0.66183425995960476</v>
      </c>
      <c r="M71">
        <f ca="1">IFERROR(计算区域!M73,NA())</f>
        <v>0.49275756468683718</v>
      </c>
      <c r="N71">
        <f ca="1">IFERROR(计算区域!N73,NA())</f>
        <v>0.35504247008320272</v>
      </c>
      <c r="O71">
        <f ca="1">IFERROR(计算区域!O73,NA())</f>
        <v>0.22423009824908002</v>
      </c>
      <c r="Q71">
        <f ca="1">IFERROR(计算区域!R73,NA())</f>
        <v>0.64272970847866395</v>
      </c>
      <c r="R71">
        <f ca="1">IFERROR(计算区域!S73,NA())</f>
        <v>0.47345622202569804</v>
      </c>
      <c r="S71">
        <f ca="1">IFERROR(计算区域!T73,NA())</f>
        <v>0.34207274596636489</v>
      </c>
      <c r="T71">
        <f ca="1">IFERROR(计算区域!U73,NA())</f>
        <v>0.21873476778006018</v>
      </c>
      <c r="V71">
        <f ca="1">IFERROR(计算区域!X73,NA())</f>
        <v>0.62135584397166421</v>
      </c>
      <c r="W71">
        <f ca="1">IFERROR(计算区域!Y73,NA())</f>
        <v>0.45548468834184552</v>
      </c>
      <c r="X71">
        <f ca="1">IFERROR(计算区域!Z73,NA())</f>
        <v>0.32986562057265917</v>
      </c>
      <c r="Y71">
        <f ca="1">IFERROR(计算区域!AA73,NA())</f>
        <v>0.21272827156014679</v>
      </c>
    </row>
    <row r="72" spans="1:25" x14ac:dyDescent="0.2">
      <c r="A72" s="28">
        <f>计算区域!E74</f>
        <v>45565</v>
      </c>
      <c r="B72">
        <f ca="1">IFERROR(计算区域!AJ74,NA())</f>
        <v>0.31731690356559533</v>
      </c>
      <c r="C72">
        <f ca="1">IFERROR(计算区域!AK74,NA())</f>
        <v>0.40419962938228177</v>
      </c>
      <c r="D72">
        <f ca="1">IFERROR(计算区域!AL74,NA())</f>
        <v>0.36759829540523753</v>
      </c>
      <c r="E72">
        <f ca="1">IFERROR(计算区域!AM74,NA())</f>
        <v>0.23711188278358644</v>
      </c>
      <c r="G72">
        <f ca="1">IFERROR(计算区域!AD74,NA())</f>
        <v>0.83910593347085838</v>
      </c>
      <c r="H72">
        <f ca="1">IFERROR(计算区域!AE74,NA())</f>
        <v>0.56147870135452793</v>
      </c>
      <c r="I72">
        <f ca="1">IFERROR(计算区域!AF74,NA())</f>
        <v>0.39782361876103561</v>
      </c>
      <c r="J72">
        <f ca="1">IFERROR(计算区域!AG74,NA())</f>
        <v>0.2412971308149704</v>
      </c>
      <c r="L72">
        <f ca="1">IFERROR(计算区域!L74,NA())</f>
        <v>0.55792989902046297</v>
      </c>
      <c r="M72">
        <f ca="1">IFERROR(计算区域!M74,NA())</f>
        <v>0.4040073949783054</v>
      </c>
      <c r="N72">
        <f ca="1">IFERROR(计算区域!N74,NA())</f>
        <v>0.29577777284116469</v>
      </c>
      <c r="O72">
        <f ca="1">IFERROR(计算区域!O74,NA())</f>
        <v>0.19343483569188558</v>
      </c>
      <c r="Q72">
        <f ca="1">IFERROR(计算区域!R74,NA())</f>
        <v>0.55372899185038704</v>
      </c>
      <c r="R72">
        <f ca="1">IFERROR(计算区域!S74,NA())</f>
        <v>0.40378590947903964</v>
      </c>
      <c r="S72">
        <f ca="1">IFERROR(计算区域!T74,NA())</f>
        <v>0.29593808341254335</v>
      </c>
      <c r="T72">
        <f ca="1">IFERROR(计算区域!U74,NA())</f>
        <v>0.19524068231362124</v>
      </c>
      <c r="V72">
        <f ca="1">IFERROR(计算区域!X74,NA())</f>
        <v>0.53535999276921109</v>
      </c>
      <c r="W72">
        <f ca="1">IFERROR(计算区域!Y74,NA())</f>
        <v>0.3925826425178931</v>
      </c>
      <c r="X72">
        <f ca="1">IFERROR(计算区域!Z74,NA())</f>
        <v>0.28839187471240901</v>
      </c>
      <c r="Y72">
        <f ca="1">IFERROR(计算区域!AA74,NA())</f>
        <v>0.1918540053926332</v>
      </c>
    </row>
    <row r="73" spans="1:25" x14ac:dyDescent="0.2">
      <c r="A73" s="28">
        <f>计算区域!E75</f>
        <v>45562</v>
      </c>
      <c r="B73">
        <f ca="1">IFERROR(计算区域!AJ75,NA())</f>
        <v>0.35995625672530135</v>
      </c>
      <c r="C73">
        <f ca="1">IFERROR(计算区域!AK75,NA())</f>
        <v>0.35083719012016512</v>
      </c>
      <c r="D73">
        <f ca="1">IFERROR(计算区域!AL75,NA())</f>
        <v>0.30802627131038307</v>
      </c>
      <c r="E73">
        <f ca="1">IFERROR(计算区域!AM75,NA())</f>
        <v>0.19907722546351236</v>
      </c>
      <c r="G73">
        <f ca="1">IFERROR(计算区域!AD75,NA())</f>
        <v>0.66347865799678829</v>
      </c>
      <c r="H73">
        <f ca="1">IFERROR(计算区域!AE75,NA())</f>
        <v>0.44524038599868465</v>
      </c>
      <c r="I73">
        <f ca="1">IFERROR(计算区域!AF75,NA())</f>
        <v>0.321672214763631</v>
      </c>
      <c r="J73">
        <f ca="1">IFERROR(计算区域!AG75,NA())</f>
        <v>0.20084701830552629</v>
      </c>
      <c r="L73">
        <f ca="1">IFERROR(计算区域!L75,NA())</f>
        <v>0.45224404510477417</v>
      </c>
      <c r="M73">
        <f ca="1">IFERROR(计算区域!M75,NA())</f>
        <v>0.33111603008432106</v>
      </c>
      <c r="N73">
        <f ca="1">IFERROR(计算区域!N75,NA())</f>
        <v>0.24622929596737875</v>
      </c>
      <c r="O73">
        <f ca="1">IFERROR(计算区域!O75,NA())</f>
        <v>0.168764807167749</v>
      </c>
      <c r="Q73">
        <f ca="1">IFERROR(计算区域!R75,NA())</f>
        <v>0.43045402203753907</v>
      </c>
      <c r="R73">
        <f ca="1">IFERROR(计算区域!S75,NA())</f>
        <v>0.31940313674792048</v>
      </c>
      <c r="S73">
        <f ca="1">IFERROR(计算区域!T75,NA())</f>
        <v>0.23859161108706767</v>
      </c>
      <c r="T73">
        <f ca="1">IFERROR(计算区域!U75,NA())</f>
        <v>0.16718833356180252</v>
      </c>
      <c r="V73">
        <f ca="1">IFERROR(计算区域!X75,NA())</f>
        <v>0.40872781840406508</v>
      </c>
      <c r="W73">
        <f ca="1">IFERROR(计算区域!Y75,NA())</f>
        <v>0.30623214798439025</v>
      </c>
      <c r="X73">
        <f ca="1">IFERROR(计算区域!Z75,NA())</f>
        <v>0.22979798294003395</v>
      </c>
      <c r="Y73">
        <f ca="1">IFERROR(计算区域!AA75,NA())</f>
        <v>0.1636360055210985</v>
      </c>
    </row>
    <row r="74" spans="1:25" x14ac:dyDescent="0.2">
      <c r="A74" s="28">
        <f>计算区域!E76</f>
        <v>45561</v>
      </c>
      <c r="B74">
        <f ca="1">IFERROR(计算区域!AJ76,NA())</f>
        <v>0.40463341960972427</v>
      </c>
      <c r="C74">
        <f ca="1">IFERROR(计算区域!AK76,NA())</f>
        <v>0.3418784050684599</v>
      </c>
      <c r="D74">
        <f ca="1">IFERROR(计算区域!AL76,NA())</f>
        <v>0.28414421009905888</v>
      </c>
      <c r="E74">
        <f ca="1">IFERROR(计算区域!AM76,NA())</f>
        <v>0.18312994446229747</v>
      </c>
      <c r="G74">
        <f ca="1">IFERROR(计算区域!AD76,NA())</f>
        <v>0.58642600305246895</v>
      </c>
      <c r="H74">
        <f ca="1">IFERROR(计算区域!AE76,NA())</f>
        <v>0.39541223224194194</v>
      </c>
      <c r="I74">
        <f ca="1">IFERROR(计算区域!AF76,NA())</f>
        <v>0.28946071347800462</v>
      </c>
      <c r="J74">
        <f ca="1">IFERROR(计算区域!AG76,NA())</f>
        <v>0.18384178893460301</v>
      </c>
      <c r="L74">
        <f ca="1">IFERROR(计算区域!L76,NA())</f>
        <v>0.31890538973025534</v>
      </c>
      <c r="M74">
        <f ca="1">IFERROR(计算区域!M76,NA())</f>
        <v>0.23911828240540142</v>
      </c>
      <c r="N74">
        <f ca="1">IFERROR(计算区域!N76,NA())</f>
        <v>0.18610760787330505</v>
      </c>
      <c r="O74">
        <f ca="1">IFERROR(计算区域!O76,NA())</f>
        <v>0.14032043856608245</v>
      </c>
      <c r="Q74">
        <f ca="1">IFERROR(计算区域!R76,NA())</f>
        <v>0.22921302329195337</v>
      </c>
      <c r="R74">
        <f ca="1">IFERROR(计算区域!S76,NA())</f>
        <v>0.18479977113943841</v>
      </c>
      <c r="S74">
        <f ca="1">IFERROR(计算区域!T76,NA())</f>
        <v>0.15250681099659766</v>
      </c>
      <c r="T74">
        <f ca="1">IFERROR(计算区域!U76,NA())</f>
        <v>0.12883147316187052</v>
      </c>
      <c r="V74">
        <f ca="1">IFERROR(计算区域!X76,NA())</f>
        <v>0.18260282732653657</v>
      </c>
      <c r="W74">
        <f ca="1">IFERROR(计算区域!Y76,NA())</f>
        <v>0.15904968545395878</v>
      </c>
      <c r="X74">
        <f ca="1">IFERROR(计算区域!Z76,NA())</f>
        <v>0.13724435594284351</v>
      </c>
      <c r="Y74">
        <f ca="1">IFERROR(计算区域!AA76,NA())</f>
        <v>0.12381158231430801</v>
      </c>
    </row>
    <row r="75" spans="1:25" x14ac:dyDescent="0.2">
      <c r="A75" s="28">
        <f>计算区域!E77</f>
        <v>45560</v>
      </c>
      <c r="B75">
        <f ca="1">IFERROR(计算区域!AJ77,NA())</f>
        <v>0.31769476059578394</v>
      </c>
      <c r="C75">
        <f ca="1">IFERROR(计算区域!AK77,NA())</f>
        <v>0.25381160024228816</v>
      </c>
      <c r="D75">
        <f ca="1">IFERROR(计算区域!AL77,NA())</f>
        <v>0.21407765351734992</v>
      </c>
      <c r="E75">
        <f ca="1">IFERROR(计算区域!AM77,NA())</f>
        <v>0.14734164327255095</v>
      </c>
      <c r="G75">
        <f ca="1">IFERROR(计算区域!AD77,NA())</f>
        <v>0.40807933490945569</v>
      </c>
      <c r="H75">
        <f ca="1">IFERROR(计算区域!AE77,NA())</f>
        <v>0.27663706103741231</v>
      </c>
      <c r="I75">
        <f ca="1">IFERROR(计算区域!AF77,NA())</f>
        <v>0.21443639256381222</v>
      </c>
      <c r="J75">
        <f ca="1">IFERROR(计算区域!AG77,NA())</f>
        <v>0.14737642694566547</v>
      </c>
      <c r="L75">
        <f ca="1">IFERROR(计算区域!L77,NA())</f>
        <v>0.2296731826452113</v>
      </c>
      <c r="M75">
        <f ca="1">IFERROR(计算区域!M77,NA())</f>
        <v>0.17320247669927677</v>
      </c>
      <c r="N75">
        <f ca="1">IFERROR(计算区域!N77,NA())</f>
        <v>0.14451528212789783</v>
      </c>
      <c r="O75">
        <f ca="1">IFERROR(计算区域!O77,NA())</f>
        <v>0.12316055210661553</v>
      </c>
      <c r="Q75">
        <f ca="1">IFERROR(计算区域!R77,NA())</f>
        <v>0.20736538658188652</v>
      </c>
      <c r="R75">
        <f ca="1">IFERROR(计算区域!S77,NA())</f>
        <v>0.16071059560482231</v>
      </c>
      <c r="S75">
        <f ca="1">IFERROR(计算区域!T77,NA())</f>
        <v>0.13735859956431767</v>
      </c>
      <c r="T75">
        <f ca="1">IFERROR(计算区域!U77,NA())</f>
        <v>0.12314008618441405</v>
      </c>
      <c r="V75">
        <f ca="1">IFERROR(计算区域!X77,NA())</f>
        <v>0.20172216697745854</v>
      </c>
      <c r="W75">
        <f ca="1">IFERROR(计算区域!Y77,NA())</f>
        <v>0.15870348677029536</v>
      </c>
      <c r="X75">
        <f ca="1">IFERROR(计算区域!Z77,NA())</f>
        <v>0.13615110444223957</v>
      </c>
      <c r="Y75">
        <f ca="1">IFERROR(计算区域!AA77,NA())</f>
        <v>0.12349133000230846</v>
      </c>
    </row>
    <row r="76" spans="1:25" x14ac:dyDescent="0.2">
      <c r="A76" s="28">
        <f>计算区域!E78</f>
        <v>45559</v>
      </c>
      <c r="B76">
        <f ca="1">IFERROR(计算区域!AJ78,NA())</f>
        <v>0.32400119419991591</v>
      </c>
      <c r="C76">
        <f ca="1">IFERROR(计算区域!AK78,NA())</f>
        <v>0.26955643219254199</v>
      </c>
      <c r="D76">
        <f ca="1">IFERROR(计算区域!AL78,NA())</f>
        <v>0.20997552079162782</v>
      </c>
      <c r="E76">
        <f ca="1">IFERROR(计算区域!AM78,NA())</f>
        <v>0.14546488833636287</v>
      </c>
      <c r="G76">
        <f ca="1">IFERROR(计算区域!AD78,NA())</f>
        <v>0.39926882947917386</v>
      </c>
      <c r="H76">
        <f ca="1">IFERROR(计算区域!AE78,NA())</f>
        <v>0.2780145408523505</v>
      </c>
      <c r="I76">
        <f ca="1">IFERROR(计算区域!AF78,NA())</f>
        <v>0.20998192804810445</v>
      </c>
      <c r="J76">
        <f ca="1">IFERROR(计算区域!AG78,NA())</f>
        <v>0.14546811029903062</v>
      </c>
      <c r="L76">
        <f ca="1">IFERROR(计算区域!L78,NA())</f>
        <v>0.21816380876746563</v>
      </c>
      <c r="M76">
        <f ca="1">IFERROR(计算区域!M78,NA())</f>
        <v>0.16835887193764948</v>
      </c>
      <c r="N76">
        <f ca="1">IFERROR(计算区域!N78,NA())</f>
        <v>0.13955082535479524</v>
      </c>
      <c r="O76">
        <f ca="1">IFERROR(计算区域!O78,NA())</f>
        <v>0.12128230323277014</v>
      </c>
      <c r="Q76">
        <f ca="1">IFERROR(计算区域!R78,NA())</f>
        <v>0.18767021657318375</v>
      </c>
      <c r="R76">
        <f ca="1">IFERROR(计算区域!S78,NA())</f>
        <v>0.15030494651601783</v>
      </c>
      <c r="S76">
        <f ca="1">IFERROR(计算区域!T78,NA())</f>
        <v>0.12994722841855411</v>
      </c>
      <c r="T76">
        <f ca="1">IFERROR(计算区域!U78,NA())</f>
        <v>0.12040819460863075</v>
      </c>
      <c r="V76">
        <f ca="1">IFERROR(计算区域!X78,NA())</f>
        <v>0.16985145801551782</v>
      </c>
      <c r="W76">
        <f ca="1">IFERROR(计算区域!Y78,NA())</f>
        <v>0.14032287768682675</v>
      </c>
      <c r="X76">
        <f ca="1">IFERROR(计算区域!Z78,NA())</f>
        <v>0.12469294834612478</v>
      </c>
      <c r="Y76">
        <f ca="1">IFERROR(计算区域!AA78,NA())</f>
        <v>0.1193225562263947</v>
      </c>
    </row>
    <row r="77" spans="1:25" x14ac:dyDescent="0.2">
      <c r="A77" s="28">
        <f>计算区域!E79</f>
        <v>45558</v>
      </c>
      <c r="B77">
        <f ca="1">IFERROR(计算区域!AJ79,NA())</f>
        <v>5.2344566413235587E-2</v>
      </c>
      <c r="C77">
        <f ca="1">IFERROR(计算区域!AK79,NA())</f>
        <v>9.3400485879673797E-2</v>
      </c>
      <c r="D77">
        <f ca="1">IFERROR(计算区域!AL79,NA())</f>
        <v>0.10450520418740175</v>
      </c>
      <c r="E77">
        <f ca="1">IFERROR(计算区域!AM79,NA())</f>
        <v>0.10290983372243995</v>
      </c>
      <c r="G77">
        <f ca="1">IFERROR(计算区域!AD79,NA())</f>
        <v>7.2335880323845386E-2</v>
      </c>
      <c r="H77">
        <f ca="1">IFERROR(计算区域!AE79,NA())</f>
        <v>9.6073682927937096E-2</v>
      </c>
      <c r="I77">
        <f ca="1">IFERROR(计算区域!AF79,NA())</f>
        <v>0.10981757104531616</v>
      </c>
      <c r="J77">
        <f ca="1">IFERROR(计算区域!AG79,NA())</f>
        <v>0.10354905380708032</v>
      </c>
      <c r="L77">
        <f ca="1">IFERROR(计算区域!L79,NA())</f>
        <v>0.12311855332698181</v>
      </c>
      <c r="M77">
        <f ca="1">IFERROR(计算区域!M79,NA())</f>
        <v>0.11319666674154655</v>
      </c>
      <c r="N77">
        <f ca="1">IFERROR(计算区域!N79,NA())</f>
        <v>0.10641871424398505</v>
      </c>
      <c r="O77">
        <f ca="1">IFERROR(计算区域!O79,NA())</f>
        <v>0.10983663044005358</v>
      </c>
      <c r="Q77">
        <f ca="1">IFERROR(计算区域!R79,NA())</f>
        <v>0.13953610633805277</v>
      </c>
      <c r="R77">
        <f ca="1">IFERROR(计算区域!S79,NA())</f>
        <v>0.12419396821283145</v>
      </c>
      <c r="S77">
        <f ca="1">IFERROR(计算区域!T79,NA())</f>
        <v>0.1128251316275473</v>
      </c>
      <c r="T77">
        <f ca="1">IFERROR(计算区域!U79,NA())</f>
        <v>0.11500928746403975</v>
      </c>
      <c r="V77">
        <f ca="1">IFERROR(计算区域!X79,NA())</f>
        <v>0.147078008399672</v>
      </c>
      <c r="W77">
        <f ca="1">IFERROR(计算区域!Y79,NA())</f>
        <v>0.12897939143484177</v>
      </c>
      <c r="X77">
        <f ca="1">IFERROR(计算区域!Z79,NA())</f>
        <v>0.11516743109821874</v>
      </c>
      <c r="Y77">
        <f ca="1">IFERROR(计算区域!AA79,NA())</f>
        <v>0.11673345450018865</v>
      </c>
    </row>
    <row r="78" spans="1:25" x14ac:dyDescent="0.2">
      <c r="A78" s="28">
        <f>计算区域!E80</f>
        <v>45555</v>
      </c>
      <c r="B78">
        <f ca="1">IFERROR(计算区域!AJ80,NA())</f>
        <v>7.2447632596815012E-2</v>
      </c>
      <c r="C78">
        <f ca="1">IFERROR(计算区域!AK80,NA())</f>
        <v>9.1563601072642345E-2</v>
      </c>
      <c r="D78">
        <f ca="1">IFERROR(计算区域!AL80,NA())</f>
        <v>0.10375276136845428</v>
      </c>
      <c r="E78">
        <f ca="1">IFERROR(计算区域!AM80,NA())</f>
        <v>0.1027090543995739</v>
      </c>
      <c r="G78">
        <f ca="1">IFERROR(计算区域!AD80,NA())</f>
        <v>7.6379469508243689E-2</v>
      </c>
      <c r="H78">
        <f ca="1">IFERROR(计算区域!AE80,NA())</f>
        <v>9.5014109614344311E-2</v>
      </c>
      <c r="I78">
        <f ca="1">IFERROR(计算区域!AF80,NA())</f>
        <v>0.10944478392815994</v>
      </c>
      <c r="J78">
        <f ca="1">IFERROR(计算区域!AG80,NA())</f>
        <v>0.10353289651680052</v>
      </c>
      <c r="L78">
        <f ca="1">IFERROR(计算区域!L80,NA())</f>
        <v>0.12145358959237477</v>
      </c>
      <c r="M78">
        <f ca="1">IFERROR(计算区域!M80,NA())</f>
        <v>0.11082356163214872</v>
      </c>
      <c r="N78">
        <f ca="1">IFERROR(计算区域!N80,NA())</f>
        <v>0.10500192853783431</v>
      </c>
      <c r="O78">
        <f ca="1">IFERROR(计算区域!O80,NA())</f>
        <v>0.10949323999864556</v>
      </c>
      <c r="Q78">
        <f ca="1">IFERROR(计算区域!R80,NA())</f>
        <v>0.1369162606870617</v>
      </c>
      <c r="R78">
        <f ca="1">IFERROR(计算区域!S80,NA())</f>
        <v>0.12172751912747935</v>
      </c>
      <c r="S78">
        <f ca="1">IFERROR(计算区域!T80,NA())</f>
        <v>0.11126409489037392</v>
      </c>
      <c r="T78">
        <f ca="1">IFERROR(计算区域!U80,NA())</f>
        <v>0.114652255076444</v>
      </c>
      <c r="V78">
        <f ca="1">IFERROR(计算区域!X80,NA())</f>
        <v>0.14317062331679842</v>
      </c>
      <c r="W78">
        <f ca="1">IFERROR(计算区域!Y80,NA())</f>
        <v>0.12584609319111201</v>
      </c>
      <c r="X78">
        <f ca="1">IFERROR(计算区域!Z80,NA())</f>
        <v>0.11325497057593639</v>
      </c>
      <c r="Y78">
        <f ca="1">IFERROR(计算区域!AA80,NA())</f>
        <v>0.11636618689676057</v>
      </c>
    </row>
    <row r="79" spans="1:25" x14ac:dyDescent="0.2">
      <c r="A79" s="28">
        <f>计算区域!E81</f>
        <v>45554</v>
      </c>
      <c r="B79">
        <f ca="1">IFERROR(计算区域!AJ81,NA())</f>
        <v>8.8796477193562248E-2</v>
      </c>
      <c r="C79">
        <f ca="1">IFERROR(计算区域!AK81,NA())</f>
        <v>9.5450613348417923E-2</v>
      </c>
      <c r="D79">
        <f ca="1">IFERROR(计算区域!AL81,NA())</f>
        <v>0.1031467639771867</v>
      </c>
      <c r="E79">
        <f ca="1">IFERROR(计算区域!AM81,NA())</f>
        <v>0.10270059884905373</v>
      </c>
      <c r="G79">
        <f ca="1">IFERROR(计算区域!AD81,NA())</f>
        <v>8.8847724273925233E-2</v>
      </c>
      <c r="H79">
        <f ca="1">IFERROR(计算区域!AE81,NA())</f>
        <v>0.10434118358426391</v>
      </c>
      <c r="I79">
        <f ca="1">IFERROR(计算区域!AF81,NA())</f>
        <v>0.11069690284827631</v>
      </c>
      <c r="J79">
        <f ca="1">IFERROR(计算区域!AG81,NA())</f>
        <v>0.1035272724175073</v>
      </c>
      <c r="L79">
        <f ca="1">IFERROR(计算区域!L81,NA())</f>
        <v>0.11249203688267245</v>
      </c>
      <c r="M79">
        <f ca="1">IFERROR(计算区域!M81,NA())</f>
        <v>0.10772683623175473</v>
      </c>
      <c r="N79">
        <f ca="1">IFERROR(计算区域!N81,NA())</f>
        <v>0.10327583372278716</v>
      </c>
      <c r="O79">
        <f ca="1">IFERROR(计算区域!O81,NA())</f>
        <v>0.1088328200439256</v>
      </c>
      <c r="Q79">
        <f ca="1">IFERROR(计算区域!R81,NA())</f>
        <v>0.12555198437197262</v>
      </c>
      <c r="R79">
        <f ca="1">IFERROR(计算区域!S81,NA())</f>
        <v>0.11768588282417729</v>
      </c>
      <c r="S79">
        <f ca="1">IFERROR(计算区域!T81,NA())</f>
        <v>0.10912336424088666</v>
      </c>
      <c r="T79">
        <f ca="1">IFERROR(计算区域!U81,NA())</f>
        <v>0.11375969448568644</v>
      </c>
      <c r="V79">
        <f ca="1">IFERROR(计算区域!X81,NA())</f>
        <v>0.13133854094804584</v>
      </c>
      <c r="W79">
        <f ca="1">IFERROR(计算区域!Y81,NA())</f>
        <v>0.12158943490255911</v>
      </c>
      <c r="X79">
        <f ca="1">IFERROR(计算区域!Z81,NA())</f>
        <v>0.11124108301032407</v>
      </c>
      <c r="Y79">
        <f ca="1">IFERROR(计算区域!AA81,NA())</f>
        <v>0.11535372188787962</v>
      </c>
    </row>
    <row r="80" spans="1:25" x14ac:dyDescent="0.2">
      <c r="A80" s="28">
        <f>计算区域!E82</f>
        <v>45553</v>
      </c>
      <c r="B80">
        <f ca="1">IFERROR(计算区域!AJ82,NA())</f>
        <v>7.1721566207235091E-2</v>
      </c>
      <c r="C80">
        <f ca="1">IFERROR(计算区域!AK82,NA())</f>
        <v>8.3056690442594408E-2</v>
      </c>
      <c r="D80">
        <f ca="1">IFERROR(计算区域!AL82,NA())</f>
        <v>9.8210779686180846E-2</v>
      </c>
      <c r="E80">
        <f ca="1">IFERROR(计算区域!AM82,NA())</f>
        <v>0.10187288007915196</v>
      </c>
      <c r="G80">
        <f ca="1">IFERROR(计算区域!AD82,NA())</f>
        <v>7.5228979679007199E-2</v>
      </c>
      <c r="H80">
        <f ca="1">IFERROR(计算区域!AE82,NA())</f>
        <v>0.10231433972293001</v>
      </c>
      <c r="I80">
        <f ca="1">IFERROR(计算区域!AF82,NA())</f>
        <v>0.10902743753021729</v>
      </c>
      <c r="J80">
        <f ca="1">IFERROR(计算区域!AG82,NA())</f>
        <v>0.10306337430554087</v>
      </c>
      <c r="L80">
        <f ca="1">IFERROR(计算区域!L82,NA())</f>
        <v>8.5137682862211017E-2</v>
      </c>
      <c r="M80">
        <f ca="1">IFERROR(计算区域!M82,NA())</f>
        <v>9.3240223182109699E-2</v>
      </c>
      <c r="N80">
        <f ca="1">IFERROR(计算区域!N82,NA())</f>
        <v>9.6844517278435335E-2</v>
      </c>
      <c r="O80">
        <f ca="1">IFERROR(计算区域!O82,NA())</f>
        <v>0.10713870499446321</v>
      </c>
      <c r="Q80">
        <f ca="1">IFERROR(计算区域!R82,NA())</f>
        <v>9.3034335205117752E-2</v>
      </c>
      <c r="R80">
        <f ca="1">IFERROR(计算区域!S82,NA())</f>
        <v>9.9215127761453956E-2</v>
      </c>
      <c r="S80">
        <f ca="1">IFERROR(计算区域!T82,NA())</f>
        <v>0.10064386214331275</v>
      </c>
      <c r="T80">
        <f ca="1">IFERROR(计算区域!U82,NA())</f>
        <v>0.11156265427368904</v>
      </c>
      <c r="V80">
        <f ca="1">IFERROR(计算区域!X82,NA())</f>
        <v>9.8395938818718331E-2</v>
      </c>
      <c r="W80">
        <f ca="1">IFERROR(计算区域!Y82,NA())</f>
        <v>0.10232182901704573</v>
      </c>
      <c r="X80">
        <f ca="1">IFERROR(计算区域!Z82,NA())</f>
        <v>0.10287309506180935</v>
      </c>
      <c r="Y80">
        <f ca="1">IFERROR(计算区域!AA82,NA())</f>
        <v>0.11303913445996459</v>
      </c>
    </row>
    <row r="81" spans="1:25" x14ac:dyDescent="0.2">
      <c r="A81" s="28">
        <f>计算区域!E83</f>
        <v>45548</v>
      </c>
      <c r="B81">
        <f ca="1">IFERROR(计算区域!AJ83,NA())</f>
        <v>8.1107590235628912E-2</v>
      </c>
      <c r="C81">
        <f ca="1">IFERROR(计算区域!AK83,NA())</f>
        <v>8.6917414371269028E-2</v>
      </c>
      <c r="D81">
        <f ca="1">IFERROR(计算区域!AL83,NA())</f>
        <v>9.6989732705234477E-2</v>
      </c>
      <c r="E81">
        <f ca="1">IFERROR(计算区域!AM83,NA())</f>
        <v>0.10097797944498051</v>
      </c>
      <c r="G81">
        <f ca="1">IFERROR(计算区域!AD83,NA())</f>
        <v>0.12038103209539576</v>
      </c>
      <c r="H81">
        <f ca="1">IFERROR(计算区域!AE83,NA())</f>
        <v>0.12934265130479181</v>
      </c>
      <c r="I81">
        <f ca="1">IFERROR(计算区域!AF83,NA())</f>
        <v>0.1083359215144369</v>
      </c>
      <c r="J81">
        <f ca="1">IFERROR(计算区域!AG83,NA())</f>
        <v>0.10241691094328639</v>
      </c>
      <c r="L81">
        <f ca="1">IFERROR(计算区域!L83,NA())</f>
        <v>9.5362319939839943E-2</v>
      </c>
      <c r="M81">
        <f ca="1">IFERROR(计算区域!M83,NA())</f>
        <v>9.6438029684669885E-2</v>
      </c>
      <c r="N81">
        <f ca="1">IFERROR(计算区域!N83,NA())</f>
        <v>9.6560745418209498E-2</v>
      </c>
      <c r="O81">
        <f ca="1">IFERROR(计算区域!O83,NA())</f>
        <v>0.10779862465706734</v>
      </c>
      <c r="Q81">
        <f ca="1">IFERROR(计算区域!R83,NA())</f>
        <v>9.9815047491549444E-2</v>
      </c>
      <c r="R81">
        <f ca="1">IFERROR(计算区域!S83,NA())</f>
        <v>9.9331429523043191E-2</v>
      </c>
      <c r="S81">
        <f ca="1">IFERROR(计算区域!T83,NA())</f>
        <v>0.10055411514179784</v>
      </c>
      <c r="T81">
        <f ca="1">IFERROR(计算区域!U83,NA())</f>
        <v>0.11236733705602647</v>
      </c>
      <c r="V81">
        <f ca="1">IFERROR(计算区域!X83,NA())</f>
        <v>0.10262310760558299</v>
      </c>
      <c r="W81">
        <f ca="1">IFERROR(计算区域!Y83,NA())</f>
        <v>0.10077873762705541</v>
      </c>
      <c r="X81">
        <f ca="1">IFERROR(计算区域!Z83,NA())</f>
        <v>0.1034138117639469</v>
      </c>
      <c r="Y81">
        <f ca="1">IFERROR(计算区域!AA83,NA())</f>
        <v>0.11397458020472166</v>
      </c>
    </row>
    <row r="82" spans="1:25" x14ac:dyDescent="0.2">
      <c r="A82" s="28">
        <f>计算区域!E84</f>
        <v>45547</v>
      </c>
      <c r="B82">
        <f ca="1">IFERROR(计算区域!AJ84,NA())</f>
        <v>7.7437483762174589E-2</v>
      </c>
      <c r="C82">
        <f ca="1">IFERROR(计算区域!AK84,NA())</f>
        <v>0.11356609644269423</v>
      </c>
      <c r="D82">
        <f ca="1">IFERROR(计算区域!AL84,NA())</f>
        <v>0.10089625427042589</v>
      </c>
      <c r="E82">
        <f ca="1">IFERROR(计算区域!AM84,NA())</f>
        <v>0.10097218567584972</v>
      </c>
      <c r="G82">
        <f ca="1">IFERROR(计算区域!AD84,NA())</f>
        <v>0.12464093893374016</v>
      </c>
      <c r="H82">
        <f ca="1">IFERROR(计算区域!AE84,NA())</f>
        <v>0.13730906442745425</v>
      </c>
      <c r="I82">
        <f ca="1">IFERROR(计算区域!AF84,NA())</f>
        <v>0.10950076494648289</v>
      </c>
      <c r="J82">
        <f ca="1">IFERROR(计算区域!AG84,NA())</f>
        <v>0.10240518155311677</v>
      </c>
      <c r="L82">
        <f ca="1">IFERROR(计算区域!L84,NA())</f>
        <v>0.10231711757797241</v>
      </c>
      <c r="M82">
        <f ca="1">IFERROR(计算区域!M84,NA())</f>
        <v>0.10838360861589169</v>
      </c>
      <c r="N82">
        <f ca="1">IFERROR(计算区域!N84,NA())</f>
        <v>9.6367947086520064E-2</v>
      </c>
      <c r="O82">
        <f ca="1">IFERROR(计算区域!O84,NA())</f>
        <v>0.10806499017133933</v>
      </c>
      <c r="Q82">
        <f ca="1">IFERROR(计算区域!R84,NA())</f>
        <v>0.10666751384050915</v>
      </c>
      <c r="R82">
        <f ca="1">IFERROR(计算区域!S84,NA())</f>
        <v>0.11007105765805908</v>
      </c>
      <c r="S82">
        <f ca="1">IFERROR(计算区域!T84,NA())</f>
        <v>9.9699831290870095E-2</v>
      </c>
      <c r="T82">
        <f ca="1">IFERROR(计算区域!U84,NA())</f>
        <v>0.11274345229198314</v>
      </c>
      <c r="V82">
        <f ca="1">IFERROR(计算区域!X84,NA())</f>
        <v>0.10788617277014823</v>
      </c>
      <c r="W82">
        <f ca="1">IFERROR(计算区域!Y84,NA())</f>
        <v>0.11053784688487368</v>
      </c>
      <c r="X82">
        <f ca="1">IFERROR(计算区域!Z84,NA())</f>
        <v>0.10134300732858649</v>
      </c>
      <c r="Y82">
        <f ca="1">IFERROR(计算区域!AA84,NA())</f>
        <v>0.11424123485246696</v>
      </c>
    </row>
    <row r="83" spans="1:25" x14ac:dyDescent="0.2">
      <c r="A83" s="28">
        <f>计算区域!E85</f>
        <v>45546</v>
      </c>
      <c r="B83">
        <f ca="1">IFERROR(计算区域!AJ85,NA())</f>
        <v>9.1609040740322001E-2</v>
      </c>
      <c r="C83">
        <f ca="1">IFERROR(计算区域!AK85,NA())</f>
        <v>0.11491035090040347</v>
      </c>
      <c r="D83">
        <f ca="1">IFERROR(计算区域!AL85,NA())</f>
        <v>0.11498983285660291</v>
      </c>
      <c r="E83">
        <f ca="1">IFERROR(计算区域!AM85,NA())</f>
        <v>0.10081688022677214</v>
      </c>
      <c r="G83">
        <f ca="1">IFERROR(计算区域!AD85,NA())</f>
        <v>0.12032646818428688</v>
      </c>
      <c r="H83">
        <f ca="1">IFERROR(计算区域!AE85,NA())</f>
        <v>0.14214087274779055</v>
      </c>
      <c r="I83">
        <f ca="1">IFERROR(计算区域!AF85,NA())</f>
        <v>0.11844040296021252</v>
      </c>
      <c r="J83">
        <f ca="1">IFERROR(计算区域!AG85,NA())</f>
        <v>0.10218724727708636</v>
      </c>
      <c r="L83">
        <f ca="1">IFERROR(计算区域!L85,NA())</f>
        <v>9.9059321624955246E-2</v>
      </c>
      <c r="M83">
        <f ca="1">IFERROR(计算区域!M85,NA())</f>
        <v>0.10779567248447873</v>
      </c>
      <c r="N83">
        <f ca="1">IFERROR(计算区域!N85,NA())</f>
        <v>0.10405214467486046</v>
      </c>
      <c r="O83">
        <f ca="1">IFERROR(计算区域!O85,NA())</f>
        <v>0.10786516426193599</v>
      </c>
      <c r="Q83">
        <f ca="1">IFERROR(计算区域!R85,NA())</f>
        <v>0.1043509242188792</v>
      </c>
      <c r="R83">
        <f ca="1">IFERROR(计算区域!S85,NA())</f>
        <v>0.10878212168290492</v>
      </c>
      <c r="S83">
        <f ca="1">IFERROR(计算区域!T85,NA())</f>
        <v>0.10541741200497361</v>
      </c>
      <c r="T83">
        <f ca="1">IFERROR(计算区域!U85,NA())</f>
        <v>0.1126212991282277</v>
      </c>
      <c r="V83">
        <f ca="1">IFERROR(计算区域!X85,NA())</f>
        <v>0.10571968105330015</v>
      </c>
      <c r="W83">
        <f ca="1">IFERROR(计算区域!Y85,NA())</f>
        <v>0.10879383009841498</v>
      </c>
      <c r="X83">
        <f ca="1">IFERROR(计算区域!Z85,NA())</f>
        <v>0.10567437634340607</v>
      </c>
      <c r="Y83">
        <f ca="1">IFERROR(计算区域!AA85,NA())</f>
        <v>0.11419385823015257</v>
      </c>
    </row>
    <row r="84" spans="1:25" x14ac:dyDescent="0.2">
      <c r="A84" s="28">
        <f>计算区域!E86</f>
        <v>45545</v>
      </c>
      <c r="B84">
        <f ca="1">IFERROR(计算区域!AJ86,NA())</f>
        <v>9.5599377857289156E-2</v>
      </c>
      <c r="C84">
        <f ca="1">IFERROR(计算区域!AK86,NA())</f>
        <v>0.11521789532057614</v>
      </c>
      <c r="D84">
        <f ca="1">IFERROR(计算区域!AL86,NA())</f>
        <v>0.11470989737721057</v>
      </c>
      <c r="E84">
        <f ca="1">IFERROR(计算区域!AM86,NA())</f>
        <v>0.10043088904814548</v>
      </c>
      <c r="G84">
        <f ca="1">IFERROR(计算区域!AD86,NA())</f>
        <v>0.12884881731244546</v>
      </c>
      <c r="H84">
        <f ca="1">IFERROR(计算区域!AE86,NA())</f>
        <v>0.14329654087385663</v>
      </c>
      <c r="I84">
        <f ca="1">IFERROR(计算区域!AF86,NA())</f>
        <v>0.11804901210123039</v>
      </c>
      <c r="J84">
        <f ca="1">IFERROR(计算区域!AG86,NA())</f>
        <v>0.101495061236171</v>
      </c>
      <c r="L84">
        <f ca="1">IFERROR(计算区域!L86,NA())</f>
        <v>0.10274085909215511</v>
      </c>
      <c r="M84">
        <f ca="1">IFERROR(计算区域!M86,NA())</f>
        <v>0.10997513553589489</v>
      </c>
      <c r="N84">
        <f ca="1">IFERROR(计算区域!N86,NA())</f>
        <v>0.10359265214692243</v>
      </c>
      <c r="O84">
        <f ca="1">IFERROR(计算区域!O86,NA())</f>
        <v>0.10767212472993355</v>
      </c>
      <c r="Q84">
        <f ca="1">IFERROR(计算区域!R86,NA())</f>
        <v>0.10925490035907735</v>
      </c>
      <c r="R84">
        <f ca="1">IFERROR(计算区域!S86,NA())</f>
        <v>0.11120116630465308</v>
      </c>
      <c r="S84">
        <f ca="1">IFERROR(计算区域!T86,NA())</f>
        <v>0.10434800383582815</v>
      </c>
      <c r="T84">
        <f ca="1">IFERROR(计算区域!U86,NA())</f>
        <v>0.11246104117078315</v>
      </c>
      <c r="V84">
        <f ca="1">IFERROR(计算区域!X86,NA())</f>
        <v>0.11098724711193536</v>
      </c>
      <c r="W84">
        <f ca="1">IFERROR(计算区域!Y86,NA())</f>
        <v>0.11124398425680657</v>
      </c>
      <c r="X84">
        <f ca="1">IFERROR(计算区域!Z86,NA())</f>
        <v>0.10435898136508832</v>
      </c>
      <c r="Y84">
        <f ca="1">IFERROR(计算区域!AA86,NA())</f>
        <v>0.11403457970403258</v>
      </c>
    </row>
    <row r="85" spans="1:25" x14ac:dyDescent="0.2">
      <c r="A85" s="28">
        <f>计算区域!E87</f>
        <v>45544</v>
      </c>
      <c r="B85">
        <f ca="1">IFERROR(计算区域!AJ87,NA())</f>
        <v>8.407998515918097E-2</v>
      </c>
      <c r="C85">
        <f ca="1">IFERROR(计算区域!AK87,NA())</f>
        <v>0.11574518583262362</v>
      </c>
      <c r="D85">
        <f ca="1">IFERROR(计算区域!AL87,NA())</f>
        <v>0.11454176077147749</v>
      </c>
      <c r="E85">
        <f ca="1">IFERROR(计算区域!AM87,NA())</f>
        <v>0.10041043608027708</v>
      </c>
      <c r="G85">
        <f ca="1">IFERROR(计算区域!AD87,NA())</f>
        <v>0.13376884865531502</v>
      </c>
      <c r="H85">
        <f ca="1">IFERROR(计算区域!AE87,NA())</f>
        <v>0.1433425542790159</v>
      </c>
      <c r="I85">
        <f ca="1">IFERROR(计算区域!AF87,NA())</f>
        <v>0.11804832367405449</v>
      </c>
      <c r="J85">
        <f ca="1">IFERROR(计算区域!AG87,NA())</f>
        <v>0.10149126210609521</v>
      </c>
      <c r="L85">
        <f ca="1">IFERROR(计算区域!L87,NA())</f>
        <v>0.10069286665376466</v>
      </c>
      <c r="M85">
        <f ca="1">IFERROR(计算区域!M87,NA())</f>
        <v>0.10849071666390768</v>
      </c>
      <c r="N85">
        <f ca="1">IFERROR(计算区域!N87,NA())</f>
        <v>0.10307510556755958</v>
      </c>
      <c r="O85">
        <f ca="1">IFERROR(计算区域!O87,NA())</f>
        <v>0.10749037402483619</v>
      </c>
      <c r="Q85">
        <f ca="1">IFERROR(计算区域!R87,NA())</f>
        <v>0.10503283118332594</v>
      </c>
      <c r="R85">
        <f ca="1">IFERROR(计算区域!S87,NA())</f>
        <v>0.10911862448218639</v>
      </c>
      <c r="S85">
        <f ca="1">IFERROR(计算区域!T87,NA())</f>
        <v>0.10365639768810676</v>
      </c>
      <c r="T85">
        <f ca="1">IFERROR(计算区域!U87,NA())</f>
        <v>0.11222364809091928</v>
      </c>
      <c r="V85">
        <f ca="1">IFERROR(计算区域!X87,NA())</f>
        <v>0.1061025570416195</v>
      </c>
      <c r="W85">
        <f ca="1">IFERROR(计算区域!Y87,NA())</f>
        <v>0.10902958208043327</v>
      </c>
      <c r="X85">
        <f ca="1">IFERROR(计算区域!Z87,NA())</f>
        <v>0.10399573417537319</v>
      </c>
      <c r="Y85">
        <f ca="1">IFERROR(计算区域!AA87,NA())</f>
        <v>0.11382760024721912</v>
      </c>
    </row>
    <row r="86" spans="1:25" x14ac:dyDescent="0.2">
      <c r="A86" s="28">
        <f>计算区域!E88</f>
        <v>45541</v>
      </c>
      <c r="B86">
        <f ca="1">IFERROR(计算区域!AJ88,NA())</f>
        <v>0.10049849761614976</v>
      </c>
      <c r="C86">
        <f ca="1">IFERROR(计算区域!AK88,NA())</f>
        <v>0.10773990557809419</v>
      </c>
      <c r="D86">
        <f ca="1">IFERROR(计算区域!AL88,NA())</f>
        <v>0.1065699875999981</v>
      </c>
      <c r="E86">
        <f ca="1">IFERROR(计算区域!AM88,NA())</f>
        <v>9.776026491859667E-2</v>
      </c>
      <c r="G86">
        <f ca="1">IFERROR(计算区域!AD88,NA())</f>
        <v>0.15215068309538227</v>
      </c>
      <c r="H86">
        <f ca="1">IFERROR(计算区域!AE88,NA())</f>
        <v>0.12566579473662923</v>
      </c>
      <c r="I86">
        <f ca="1">IFERROR(计算区域!AF88,NA())</f>
        <v>0.10800805806918037</v>
      </c>
      <c r="J86">
        <f ca="1">IFERROR(计算区域!AG88,NA())</f>
        <v>9.8605544639354947E-2</v>
      </c>
      <c r="L86">
        <f ca="1">IFERROR(计算区域!L88,NA())</f>
        <v>9.7501872159534181E-2</v>
      </c>
      <c r="M86">
        <f ca="1">IFERROR(计算区域!M88,NA())</f>
        <v>0.10297648253019359</v>
      </c>
      <c r="N86">
        <f ca="1">IFERROR(计算区域!N88,NA())</f>
        <v>9.9055469304393656E-2</v>
      </c>
      <c r="O86">
        <f ca="1">IFERROR(计算区域!O88,NA())</f>
        <v>0.10615957732516466</v>
      </c>
      <c r="Q86">
        <f ca="1">IFERROR(计算区域!R88,NA())</f>
        <v>9.8845445400596602E-2</v>
      </c>
      <c r="R86">
        <f ca="1">IFERROR(计算区域!S88,NA())</f>
        <v>0.10574018819798259</v>
      </c>
      <c r="S86">
        <f ca="1">IFERROR(计算区域!T88,NA())</f>
        <v>0.10040682093302555</v>
      </c>
      <c r="T86">
        <f ca="1">IFERROR(计算区域!U88,NA())</f>
        <v>0.1111504910558555</v>
      </c>
      <c r="V86">
        <f ca="1">IFERROR(计算区域!X88,NA())</f>
        <v>9.8899978264803914E-2</v>
      </c>
      <c r="W86">
        <f ca="1">IFERROR(计算区域!Y88,NA())</f>
        <v>0.10679959144203945</v>
      </c>
      <c r="X86">
        <f ca="1">IFERROR(计算区域!Z88,NA())</f>
        <v>0.10128657962023466</v>
      </c>
      <c r="Y86">
        <f ca="1">IFERROR(计算区域!AA88,NA())</f>
        <v>0.11294534101865325</v>
      </c>
    </row>
    <row r="87" spans="1:25" x14ac:dyDescent="0.2">
      <c r="A87" s="28">
        <f>计算区域!E89</f>
        <v>45540</v>
      </c>
      <c r="B87">
        <f ca="1">IFERROR(计算区域!AJ89,NA())</f>
        <v>0.15007521068540206</v>
      </c>
      <c r="C87">
        <f ca="1">IFERROR(计算区域!AK89,NA())</f>
        <v>0.11847656907992409</v>
      </c>
      <c r="D87">
        <f ca="1">IFERROR(计算区域!AL89,NA())</f>
        <v>0.10576013479174017</v>
      </c>
      <c r="E87">
        <f ca="1">IFERROR(计算区域!AM89,NA())</f>
        <v>9.8661125894220825E-2</v>
      </c>
      <c r="G87">
        <f ca="1">IFERROR(计算区域!AD89,NA())</f>
        <v>0.16396841001573112</v>
      </c>
      <c r="H87">
        <f ca="1">IFERROR(计算区域!AE89,NA())</f>
        <v>0.12739558091652423</v>
      </c>
      <c r="I87">
        <f ca="1">IFERROR(计算区域!AF89,NA())</f>
        <v>0.10679344701762031</v>
      </c>
      <c r="J87">
        <f ca="1">IFERROR(计算区域!AG89,NA())</f>
        <v>9.9150392186914627E-2</v>
      </c>
      <c r="L87">
        <f ca="1">IFERROR(计算区域!L89,NA())</f>
        <v>0.11412808893406104</v>
      </c>
      <c r="M87">
        <f ca="1">IFERROR(计算区域!M89,NA())</f>
        <v>9.9178627341222819E-2</v>
      </c>
      <c r="N87">
        <f ca="1">IFERROR(计算区域!N89,NA())</f>
        <v>9.74765700899594E-2</v>
      </c>
      <c r="O87">
        <f ca="1">IFERROR(计算区域!O89,NA())</f>
        <v>0.10629319215824827</v>
      </c>
      <c r="Q87">
        <f ca="1">IFERROR(计算区域!R89,NA())</f>
        <v>0.11337247002254258</v>
      </c>
      <c r="R87">
        <f ca="1">IFERROR(计算区域!S89,NA())</f>
        <v>0.10017424276278285</v>
      </c>
      <c r="S87">
        <f ca="1">IFERROR(计算区域!T89,NA())</f>
        <v>9.8140198276765858E-2</v>
      </c>
      <c r="T87">
        <f ca="1">IFERROR(计算区域!U89,NA())</f>
        <v>0.11101605069062298</v>
      </c>
      <c r="V87">
        <f ca="1">IFERROR(计算区域!X89,NA())</f>
        <v>0.11312738356780501</v>
      </c>
      <c r="W87">
        <f ca="1">IFERROR(计算区域!Y89,NA())</f>
        <v>9.9455472230661049E-2</v>
      </c>
      <c r="X87">
        <f ca="1">IFERROR(计算区域!Z89,NA())</f>
        <v>9.836617918709914E-2</v>
      </c>
      <c r="Y87">
        <f ca="1">IFERROR(计算区域!AA89,NA())</f>
        <v>0.11246947053967127</v>
      </c>
    </row>
    <row r="88" spans="1:25" x14ac:dyDescent="0.2">
      <c r="A88" s="28">
        <f>计算区域!E90</f>
        <v>45539</v>
      </c>
      <c r="B88">
        <f ca="1">IFERROR(计算区域!AJ90,NA())</f>
        <v>0.14521579485051886</v>
      </c>
      <c r="C88">
        <f ca="1">IFERROR(计算区域!AK90,NA())</f>
        <v>0.11884615540136503</v>
      </c>
      <c r="D88">
        <f ca="1">IFERROR(计算区域!AL90,NA())</f>
        <v>0.10635413120793948</v>
      </c>
      <c r="E88">
        <f ca="1">IFERROR(计算区域!AM90,NA())</f>
        <v>9.8825489486143531E-2</v>
      </c>
      <c r="G88">
        <f ca="1">IFERROR(计算区域!AD90,NA())</f>
        <v>0.1760130773314269</v>
      </c>
      <c r="H88">
        <f ca="1">IFERROR(计算区域!AE90,NA())</f>
        <v>0.12751292946220133</v>
      </c>
      <c r="I88">
        <f ca="1">IFERROR(计算区域!AF90,NA())</f>
        <v>0.10720764496499428</v>
      </c>
      <c r="J88">
        <f ca="1">IFERROR(计算区域!AG90,NA())</f>
        <v>9.9462956585146187E-2</v>
      </c>
      <c r="L88">
        <f ca="1">IFERROR(计算区域!L90,NA())</f>
        <v>0.11587521224129725</v>
      </c>
      <c r="M88">
        <f ca="1">IFERROR(计算区域!M90,NA())</f>
        <v>9.8837989561171638E-2</v>
      </c>
      <c r="N88">
        <f ca="1">IFERROR(计算区域!N90,NA())</f>
        <v>9.9930209702218775E-2</v>
      </c>
      <c r="O88">
        <f ca="1">IFERROR(计算区域!O90,NA())</f>
        <v>0.10648211106853224</v>
      </c>
      <c r="Q88">
        <f ca="1">IFERROR(计算区域!R90,NA())</f>
        <v>0.11303974792228795</v>
      </c>
      <c r="R88">
        <f ca="1">IFERROR(计算区域!S90,NA())</f>
        <v>9.9708619038764212E-2</v>
      </c>
      <c r="S88">
        <f ca="1">IFERROR(计算区域!T90,NA())</f>
        <v>0.1012720720829781</v>
      </c>
      <c r="T88">
        <f ca="1">IFERROR(计算区域!U90,NA())</f>
        <v>0.11103991202753788</v>
      </c>
      <c r="V88">
        <f ca="1">IFERROR(计算区域!X90,NA())</f>
        <v>0.11178346913991374</v>
      </c>
      <c r="W88">
        <f ca="1">IFERROR(计算区域!Y90,NA())</f>
        <v>9.907642276973061E-2</v>
      </c>
      <c r="X88">
        <f ca="1">IFERROR(计算区域!Z90,NA())</f>
        <v>0.10165069571303434</v>
      </c>
      <c r="Y88">
        <f ca="1">IFERROR(计算区域!AA90,NA())</f>
        <v>0.11247800598964561</v>
      </c>
    </row>
    <row r="89" spans="1:25" x14ac:dyDescent="0.2">
      <c r="A89" s="28">
        <f>计算区域!E91</f>
        <v>45538</v>
      </c>
      <c r="B89">
        <f ca="1">IFERROR(计算区域!AJ91,NA())</f>
        <v>0.14386873168943634</v>
      </c>
      <c r="C89">
        <f ca="1">IFERROR(计算区域!AK91,NA())</f>
        <v>0.11553501377578616</v>
      </c>
      <c r="D89">
        <f ca="1">IFERROR(计算区域!AL91,NA())</f>
        <v>0.10260962538396097</v>
      </c>
      <c r="E89">
        <f ca="1">IFERROR(计算区域!AM91,NA())</f>
        <v>9.7548907507115534E-2</v>
      </c>
      <c r="G89">
        <f ca="1">IFERROR(计算区域!AD91,NA())</f>
        <v>0.17204433785106962</v>
      </c>
      <c r="H89">
        <f ca="1">IFERROR(计算区域!AE91,NA())</f>
        <v>0.1224012247478341</v>
      </c>
      <c r="I89">
        <f ca="1">IFERROR(计算区域!AF91,NA())</f>
        <v>0.10287548833167938</v>
      </c>
      <c r="J89">
        <f ca="1">IFERROR(计算区域!AG91,NA())</f>
        <v>9.7995239377653878E-2</v>
      </c>
      <c r="L89">
        <f ca="1">IFERROR(计算区域!L91,NA())</f>
        <v>0.11676205182028461</v>
      </c>
      <c r="M89">
        <f ca="1">IFERROR(计算区域!M91,NA())</f>
        <v>9.8624157374196414E-2</v>
      </c>
      <c r="N89">
        <f ca="1">IFERROR(计算区域!N91,NA())</f>
        <v>9.9507964315299402E-2</v>
      </c>
      <c r="O89">
        <f ca="1">IFERROR(计算区域!O91,NA())</f>
        <v>0.10599399520942918</v>
      </c>
      <c r="Q89">
        <f ca="1">IFERROR(计算区域!R91,NA())</f>
        <v>0.1131139492837126</v>
      </c>
      <c r="R89">
        <f ca="1">IFERROR(计算区域!S91,NA())</f>
        <v>9.9829105126673617E-2</v>
      </c>
      <c r="S89">
        <f ca="1">IFERROR(计算区域!T91,NA())</f>
        <v>0.10101243901772201</v>
      </c>
      <c r="T89">
        <f ca="1">IFERROR(计算区域!U91,NA())</f>
        <v>0.11049141536568138</v>
      </c>
      <c r="V89">
        <f ca="1">IFERROR(计算区域!X91,NA())</f>
        <v>0.11150013024732953</v>
      </c>
      <c r="W89">
        <f ca="1">IFERROR(计算区域!Y91,NA())</f>
        <v>9.9825680156440513E-2</v>
      </c>
      <c r="X89">
        <f ca="1">IFERROR(计算区域!Z91,NA())</f>
        <v>0.10208198698129546</v>
      </c>
      <c r="Y89">
        <f ca="1">IFERROR(计算区域!AA91,NA())</f>
        <v>0.11190286384973501</v>
      </c>
    </row>
    <row r="90" spans="1:25" x14ac:dyDescent="0.2">
      <c r="A90" s="28">
        <f>计算区域!E92</f>
        <v>45537</v>
      </c>
      <c r="B90">
        <f ca="1">IFERROR(计算区域!AJ92,NA())</f>
        <v>0.15053778972651874</v>
      </c>
      <c r="C90">
        <f ca="1">IFERROR(计算区域!AK92,NA())</f>
        <v>0.11496685687350509</v>
      </c>
      <c r="D90">
        <f ca="1">IFERROR(计算区域!AL92,NA())</f>
        <v>0.10390581664386941</v>
      </c>
      <c r="E90">
        <f ca="1">IFERROR(计算区域!AM92,NA())</f>
        <v>9.9972101852079789E-2</v>
      </c>
      <c r="G90">
        <f ca="1">IFERROR(计算区域!AD92,NA())</f>
        <v>0.16833550674383832</v>
      </c>
      <c r="H90">
        <f ca="1">IFERROR(计算区域!AE92,NA())</f>
        <v>0.12094013373807493</v>
      </c>
      <c r="I90">
        <f ca="1">IFERROR(计算区域!AF92,NA())</f>
        <v>0.10429660814875905</v>
      </c>
      <c r="J90">
        <f ca="1">IFERROR(计算区域!AG92,NA())</f>
        <v>0.10060994516728224</v>
      </c>
      <c r="L90">
        <f ca="1">IFERROR(计算区域!L92,NA())</f>
        <v>0.11576449287041239</v>
      </c>
      <c r="M90">
        <f ca="1">IFERROR(计算区域!M92,NA())</f>
        <v>0.10031939909477476</v>
      </c>
      <c r="N90">
        <f ca="1">IFERROR(计算区域!N92,NA())</f>
        <v>0.1094677568301371</v>
      </c>
      <c r="O90">
        <f ca="1">IFERROR(计算区域!O92,NA())</f>
        <v>0.10694950169992609</v>
      </c>
      <c r="Q90">
        <f ca="1">IFERROR(计算区域!R92,NA())</f>
        <v>0.11305685645454576</v>
      </c>
      <c r="R90">
        <f ca="1">IFERROR(计算区域!S92,NA())</f>
        <v>0.10205259623117217</v>
      </c>
      <c r="S90">
        <f ca="1">IFERROR(计算区域!T92,NA())</f>
        <v>0.11237374311681658</v>
      </c>
      <c r="T90">
        <f ca="1">IFERROR(计算区域!U92,NA())</f>
        <v>0.11127233926159612</v>
      </c>
      <c r="V90">
        <f ca="1">IFERROR(计算区域!X92,NA())</f>
        <v>0.11188005598183152</v>
      </c>
      <c r="W90">
        <f ca="1">IFERROR(计算区域!Y92,NA())</f>
        <v>0.10342142274112545</v>
      </c>
      <c r="X90">
        <f ca="1">IFERROR(计算区域!Z92,NA())</f>
        <v>0.11352132380311548</v>
      </c>
      <c r="Y90">
        <f ca="1">IFERROR(计算区域!AA92,NA())</f>
        <v>0.11260726806536989</v>
      </c>
    </row>
    <row r="91" spans="1:25" x14ac:dyDescent="0.2">
      <c r="A91" s="28">
        <f>计算区域!E93</f>
        <v>45534</v>
      </c>
      <c r="B91">
        <f ca="1">IFERROR(计算区域!AJ93,NA())</f>
        <v>0.10887554815651419</v>
      </c>
      <c r="C91">
        <f ca="1">IFERROR(计算区域!AK93,NA())</f>
        <v>8.9645891863800356E-2</v>
      </c>
      <c r="D91">
        <f ca="1">IFERROR(计算区域!AL93,NA())</f>
        <v>8.9772033730997861E-2</v>
      </c>
      <c r="E91">
        <f ca="1">IFERROR(计算区域!AM93,NA())</f>
        <v>9.5117650711730534E-2</v>
      </c>
      <c r="G91">
        <f ca="1">IFERROR(计算区域!AD93,NA())</f>
        <v>0.11127410551823352</v>
      </c>
      <c r="H91">
        <f ca="1">IFERROR(计算区域!AE93,NA())</f>
        <v>8.9710071835320815E-2</v>
      </c>
      <c r="I91">
        <f ca="1">IFERROR(计算区域!AF93,NA())</f>
        <v>8.9781755340544708E-2</v>
      </c>
      <c r="J91">
        <f ca="1">IFERROR(计算区域!AG93,NA())</f>
        <v>9.5471324332443083E-2</v>
      </c>
      <c r="L91">
        <f ca="1">IFERROR(计算区域!L93,NA())</f>
        <v>0.10817438159734673</v>
      </c>
      <c r="M91">
        <f ca="1">IFERROR(计算区域!M93,NA())</f>
        <v>9.6683305394360902E-2</v>
      </c>
      <c r="N91">
        <f ca="1">IFERROR(计算区域!N93,NA())</f>
        <v>0.11080784448613358</v>
      </c>
      <c r="O91">
        <f ca="1">IFERROR(计算区域!O93,NA())</f>
        <v>0.10692867432487391</v>
      </c>
      <c r="Q91">
        <f ca="1">IFERROR(计算区域!R93,NA())</f>
        <v>0.11221208813602586</v>
      </c>
      <c r="R91">
        <f ca="1">IFERROR(计算区域!S93,NA())</f>
        <v>0.1017621110866347</v>
      </c>
      <c r="S91">
        <f ca="1">IFERROR(计算区域!T93,NA())</f>
        <v>0.11643941194558295</v>
      </c>
      <c r="T91">
        <f ca="1">IFERROR(计算区域!U93,NA())</f>
        <v>0.11175630460085716</v>
      </c>
      <c r="V91">
        <f ca="1">IFERROR(计算区域!X93,NA())</f>
        <v>0.11415384252662895</v>
      </c>
      <c r="W91">
        <f ca="1">IFERROR(计算区域!Y93,NA())</f>
        <v>0.10598339006370389</v>
      </c>
      <c r="X91">
        <f ca="1">IFERROR(计算区域!Z93,NA())</f>
        <v>0.12018120249992494</v>
      </c>
      <c r="Y91">
        <f ca="1">IFERROR(计算区域!AA93,NA())</f>
        <v>0.11331548326929888</v>
      </c>
    </row>
    <row r="92" spans="1:25" x14ac:dyDescent="0.2">
      <c r="A92" s="28">
        <f>计算区域!E94</f>
        <v>45533</v>
      </c>
      <c r="B92">
        <f ca="1">IFERROR(计算区域!AJ94,NA())</f>
        <v>9.2320761008367794E-2</v>
      </c>
      <c r="C92">
        <f ca="1">IFERROR(计算区域!AK94,NA())</f>
        <v>7.9713614633293989E-2</v>
      </c>
      <c r="D92">
        <f ca="1">IFERROR(计算区域!AL94,NA())</f>
        <v>8.541954829822837E-2</v>
      </c>
      <c r="E92">
        <f ca="1">IFERROR(计算区域!AM94,NA())</f>
        <v>9.3066932476506839E-2</v>
      </c>
      <c r="G92">
        <f ca="1">IFERROR(计算区域!AD94,NA())</f>
        <v>9.8137847440705028E-2</v>
      </c>
      <c r="H92">
        <f ca="1">IFERROR(计算区域!AE94,NA())</f>
        <v>8.0369922779294584E-2</v>
      </c>
      <c r="I92">
        <f ca="1">IFERROR(计算区域!AF94,NA())</f>
        <v>8.6489474201357525E-2</v>
      </c>
      <c r="J92">
        <f ca="1">IFERROR(计算区域!AG94,NA())</f>
        <v>9.3657232755938721E-2</v>
      </c>
      <c r="L92">
        <f ca="1">IFERROR(计算区域!L94,NA())</f>
        <v>8.1532690123884408E-2</v>
      </c>
      <c r="M92">
        <f ca="1">IFERROR(计算区域!M94,NA())</f>
        <v>8.2622974012909231E-2</v>
      </c>
      <c r="N92">
        <f ca="1">IFERROR(计算区域!N94,NA())</f>
        <v>0.10510727213185576</v>
      </c>
      <c r="O92">
        <f ca="1">IFERROR(计算区域!O94,NA())</f>
        <v>0.10541931109863803</v>
      </c>
      <c r="Q92">
        <f ca="1">IFERROR(计算区域!R94,NA())</f>
        <v>8.4949637239846928E-2</v>
      </c>
      <c r="R92">
        <f ca="1">IFERROR(计算区域!S94,NA())</f>
        <v>8.8116258345961082E-2</v>
      </c>
      <c r="S92">
        <f ca="1">IFERROR(计算区域!T94,NA())</f>
        <v>0.111485063773083</v>
      </c>
      <c r="T92">
        <f ca="1">IFERROR(计算区域!U94,NA())</f>
        <v>0.1106287228661971</v>
      </c>
      <c r="V92">
        <f ca="1">IFERROR(计算区域!X94,NA())</f>
        <v>8.3576174836793665E-2</v>
      </c>
      <c r="W92">
        <f ca="1">IFERROR(计算区域!Y94,NA())</f>
        <v>9.122606357209595E-2</v>
      </c>
      <c r="X92">
        <f ca="1">IFERROR(计算区域!Z94,NA())</f>
        <v>0.11485920566997627</v>
      </c>
      <c r="Y92">
        <f ca="1">IFERROR(计算区域!AA94,NA())</f>
        <v>0.11215487698254666</v>
      </c>
    </row>
    <row r="93" spans="1:25" x14ac:dyDescent="0.2">
      <c r="A93" s="28">
        <f>计算区域!E95</f>
        <v>45532</v>
      </c>
      <c r="B93">
        <f ca="1">IFERROR(计算区域!AJ95,NA())</f>
        <v>7.4841814689900671E-2</v>
      </c>
      <c r="C93">
        <f ca="1">IFERROR(计算区域!AK95,NA())</f>
        <v>9.3639972437391222E-2</v>
      </c>
      <c r="D93">
        <f ca="1">IFERROR(计算区域!AL95,NA())</f>
        <v>8.3300148474024296E-2</v>
      </c>
      <c r="E93">
        <f ca="1">IFERROR(计算区域!AM95,NA())</f>
        <v>9.2072259221761432E-2</v>
      </c>
      <c r="G93">
        <f ca="1">IFERROR(计算区域!AD95,NA())</f>
        <v>7.4855712964301407E-2</v>
      </c>
      <c r="H93">
        <f ca="1">IFERROR(计算区域!AE95,NA())</f>
        <v>9.7009852114011016E-2</v>
      </c>
      <c r="I93">
        <f ca="1">IFERROR(计算区域!AF95,NA())</f>
        <v>8.4134980065041221E-2</v>
      </c>
      <c r="J93">
        <f ca="1">IFERROR(计算区域!AG95,NA())</f>
        <v>9.2558455389146616E-2</v>
      </c>
      <c r="L93">
        <f ca="1">IFERROR(计算区域!L95,NA())</f>
        <v>7.817180789148262E-2</v>
      </c>
      <c r="M93">
        <f ca="1">IFERROR(计算区域!M95,NA())</f>
        <v>0.10016881059738696</v>
      </c>
      <c r="N93">
        <f ca="1">IFERROR(计算区域!N95,NA())</f>
        <v>0.10506067001833397</v>
      </c>
      <c r="O93">
        <f ca="1">IFERROR(计算区域!O95,NA())</f>
        <v>0.10518914905332311</v>
      </c>
      <c r="Q93">
        <f ca="1">IFERROR(计算区域!R95,NA())</f>
        <v>8.4294915688316721E-2</v>
      </c>
      <c r="R93">
        <f ca="1">IFERROR(计算区域!S95,NA())</f>
        <v>0.10194170642979436</v>
      </c>
      <c r="S93">
        <f ca="1">IFERROR(计算区域!T95,NA())</f>
        <v>0.11163352944851467</v>
      </c>
      <c r="T93">
        <f ca="1">IFERROR(计算区域!U95,NA())</f>
        <v>0.11045274531541116</v>
      </c>
      <c r="V93">
        <f ca="1">IFERROR(计算区域!X95,NA())</f>
        <v>8.447917568690369E-2</v>
      </c>
      <c r="W93">
        <f ca="1">IFERROR(计算区域!Y95,NA())</f>
        <v>0.10245999299069303</v>
      </c>
      <c r="X93">
        <f ca="1">IFERROR(计算区域!Z95,NA())</f>
        <v>0.11505849195378515</v>
      </c>
      <c r="Y93">
        <f ca="1">IFERROR(计算区域!AA95,NA())</f>
        <v>0.11202365699663967</v>
      </c>
    </row>
    <row r="94" spans="1:25" x14ac:dyDescent="0.2">
      <c r="A94" s="28">
        <f>计算区域!E96</f>
        <v>45531</v>
      </c>
      <c r="B94">
        <f ca="1">IFERROR(计算区域!AJ96,NA())</f>
        <v>6.3532418351470957E-2</v>
      </c>
      <c r="C94">
        <f ca="1">IFERROR(计算区域!AK96,NA())</f>
        <v>9.0035980112258121E-2</v>
      </c>
      <c r="D94">
        <f ca="1">IFERROR(计算区域!AL96,NA())</f>
        <v>0.10015624403886463</v>
      </c>
      <c r="E94">
        <f ca="1">IFERROR(计算区域!AM96,NA())</f>
        <v>9.1956331554146134E-2</v>
      </c>
      <c r="G94">
        <f ca="1">IFERROR(计算区域!AD96,NA())</f>
        <v>6.4112248501117616E-2</v>
      </c>
      <c r="H94">
        <f ca="1">IFERROR(计算区域!AE96,NA())</f>
        <v>9.4263654045293285E-2</v>
      </c>
      <c r="I94">
        <f ca="1">IFERROR(计算区域!AF96,NA())</f>
        <v>0.10041907230135161</v>
      </c>
      <c r="J94">
        <f ca="1">IFERROR(计算区域!AG96,NA())</f>
        <v>9.2163112605181993E-2</v>
      </c>
      <c r="L94">
        <f ca="1">IFERROR(计算区域!L96,NA())</f>
        <v>7.6289396971385801E-2</v>
      </c>
      <c r="M94">
        <f ca="1">IFERROR(计算区域!M96,NA())</f>
        <v>9.6790209843393218E-2</v>
      </c>
      <c r="N94">
        <f ca="1">IFERROR(计算区域!N96,NA())</f>
        <v>0.11030261500336738</v>
      </c>
      <c r="O94">
        <f ca="1">IFERROR(计算区域!O96,NA())</f>
        <v>0.1051388624894872</v>
      </c>
      <c r="Q94">
        <f ca="1">IFERROR(计算区域!R96,NA())</f>
        <v>8.4480381972541999E-2</v>
      </c>
      <c r="R94">
        <f ca="1">IFERROR(计算区域!S96,NA())</f>
        <v>9.7011918966325494E-2</v>
      </c>
      <c r="S94">
        <f ca="1">IFERROR(计算区域!T96,NA())</f>
        <v>0.11289739652249514</v>
      </c>
      <c r="T94">
        <f ca="1">IFERROR(计算区域!U96,NA())</f>
        <v>0.11029679045667341</v>
      </c>
      <c r="V94">
        <f ca="1">IFERROR(计算区域!X96,NA())</f>
        <v>8.6591303213547216E-2</v>
      </c>
      <c r="W94">
        <f ca="1">IFERROR(计算区域!Y96,NA())</f>
        <v>9.6986442092640346E-2</v>
      </c>
      <c r="X94">
        <f ca="1">IFERROR(计算区域!Z96,NA())</f>
        <v>0.11455922945961411</v>
      </c>
      <c r="Y94">
        <f ca="1">IFERROR(计算区域!AA96,NA())</f>
        <v>0.11179319447562724</v>
      </c>
    </row>
    <row r="95" spans="1:25" x14ac:dyDescent="0.2">
      <c r="A95" s="28">
        <f>计算区域!E97</f>
        <v>45530</v>
      </c>
      <c r="B95">
        <f ca="1">IFERROR(计算区域!AJ97,NA())</f>
        <v>6.7485945599162656E-2</v>
      </c>
      <c r="C95">
        <f ca="1">IFERROR(计算区域!AK97,NA())</f>
        <v>9.056779354131278E-2</v>
      </c>
      <c r="D95">
        <f ca="1">IFERROR(计算区域!AL97,NA())</f>
        <v>0.10217408650865886</v>
      </c>
      <c r="E95">
        <f ca="1">IFERROR(计算区域!AM97,NA())</f>
        <v>9.1980368939000745E-2</v>
      </c>
      <c r="G95">
        <f ca="1">IFERROR(计算区域!AD97,NA())</f>
        <v>6.7622614956891008E-2</v>
      </c>
      <c r="H95">
        <f ca="1">IFERROR(计算区域!AE97,NA())</f>
        <v>9.4191847322212363E-2</v>
      </c>
      <c r="I95">
        <f ca="1">IFERROR(计算区域!AF97,NA())</f>
        <v>0.10220008257520762</v>
      </c>
      <c r="J95">
        <f ca="1">IFERROR(计算区域!AG97,NA())</f>
        <v>9.2180439936258712E-2</v>
      </c>
      <c r="L95">
        <f ca="1">IFERROR(计算区域!L97,NA())</f>
        <v>8.2015522067043073E-2</v>
      </c>
      <c r="M95">
        <f ca="1">IFERROR(计算区域!M97,NA())</f>
        <v>9.7358713905221703E-2</v>
      </c>
      <c r="N95">
        <f ca="1">IFERROR(计算区域!N97,NA())</f>
        <v>0.1115098870364717</v>
      </c>
      <c r="O95">
        <f ca="1">IFERROR(计算区域!O97,NA())</f>
        <v>0.10536903336098387</v>
      </c>
      <c r="Q95">
        <f ca="1">IFERROR(计算区域!R97,NA())</f>
        <v>8.9708483454250559E-2</v>
      </c>
      <c r="R95">
        <f ca="1">IFERROR(计算区域!S97,NA())</f>
        <v>9.7889853174195143E-2</v>
      </c>
      <c r="S95">
        <f ca="1">IFERROR(计算区域!T97,NA())</f>
        <v>0.11435006577875739</v>
      </c>
      <c r="T95">
        <f ca="1">IFERROR(计算区域!U97,NA())</f>
        <v>0.11057084737804403</v>
      </c>
      <c r="V95">
        <f ca="1">IFERROR(计算区域!X97,NA())</f>
        <v>9.4206339686347035E-2</v>
      </c>
      <c r="W95">
        <f ca="1">IFERROR(计算区域!Y97,NA())</f>
        <v>9.8705499769343299E-2</v>
      </c>
      <c r="X95">
        <f ca="1">IFERROR(计算区域!Z97,NA())</f>
        <v>0.1165549113560211</v>
      </c>
      <c r="Y95">
        <f ca="1">IFERROR(计算区域!AA97,NA())</f>
        <v>0.11204977859525062</v>
      </c>
    </row>
    <row r="96" spans="1:25" x14ac:dyDescent="0.2">
      <c r="A96" s="28">
        <f>计算区域!E98</f>
        <v>45527</v>
      </c>
      <c r="B96">
        <f ca="1">IFERROR(计算区域!AJ98,NA())</f>
        <v>7.4005214296545288E-2</v>
      </c>
      <c r="C96">
        <f ca="1">IFERROR(计算区域!AK98,NA())</f>
        <v>8.954601052164439E-2</v>
      </c>
      <c r="D96">
        <f ca="1">IFERROR(计算区域!AL98,NA())</f>
        <v>0.10296028311972064</v>
      </c>
      <c r="E96">
        <f ca="1">IFERROR(计算区域!AM98,NA())</f>
        <v>9.2194616993009862E-2</v>
      </c>
      <c r="G96">
        <f ca="1">IFERROR(计算区域!AD98,NA())</f>
        <v>7.5669291431124677E-2</v>
      </c>
      <c r="H96">
        <f ca="1">IFERROR(计算区域!AE98,NA())</f>
        <v>9.3998843875003624E-2</v>
      </c>
      <c r="I96">
        <f ca="1">IFERROR(计算区域!AF98,NA())</f>
        <v>0.10296080708388819</v>
      </c>
      <c r="J96">
        <f ca="1">IFERROR(计算区域!AG98,NA())</f>
        <v>9.2437226321924928E-2</v>
      </c>
      <c r="L96">
        <f ca="1">IFERROR(计算区域!L98,NA())</f>
        <v>8.3627903536978201E-2</v>
      </c>
      <c r="M96">
        <f ca="1">IFERROR(计算区域!M98,NA())</f>
        <v>9.4972712101614148E-2</v>
      </c>
      <c r="N96">
        <f ca="1">IFERROR(计算区域!N98,NA())</f>
        <v>0.11064825807610823</v>
      </c>
      <c r="O96">
        <f ca="1">IFERROR(计算区域!O98,NA())</f>
        <v>0.10549532870020122</v>
      </c>
      <c r="Q96">
        <f ca="1">IFERROR(计算区域!R98,NA())</f>
        <v>9.0108278097908001E-2</v>
      </c>
      <c r="R96">
        <f ca="1">IFERROR(计算区域!S98,NA())</f>
        <v>9.4773793738609724E-2</v>
      </c>
      <c r="S96">
        <f ca="1">IFERROR(计算区域!T98,NA())</f>
        <v>0.11313839558988038</v>
      </c>
      <c r="T96">
        <f ca="1">IFERROR(计算区域!U98,NA())</f>
        <v>0.11057451988374196</v>
      </c>
      <c r="V96">
        <f ca="1">IFERROR(计算区域!X98,NA())</f>
        <v>9.7128050403557514E-2</v>
      </c>
      <c r="W96">
        <f ca="1">IFERROR(计算区域!Y98,NA())</f>
        <v>9.5455694906829522E-2</v>
      </c>
      <c r="X96">
        <f ca="1">IFERROR(计算区域!Z98,NA())</f>
        <v>0.11525219467109342</v>
      </c>
      <c r="Y96">
        <f ca="1">IFERROR(计算区域!AA98,NA())</f>
        <v>0.11206017734084696</v>
      </c>
    </row>
    <row r="97" spans="1:25" x14ac:dyDescent="0.2">
      <c r="A97" s="28">
        <f>计算区域!E99</f>
        <v>45526</v>
      </c>
      <c r="B97">
        <f ca="1">IFERROR(计算区域!AJ99,NA())</f>
        <v>6.9059637117029796E-2</v>
      </c>
      <c r="C97">
        <f ca="1">IFERROR(计算区域!AK99,NA())</f>
        <v>8.7057810221728718E-2</v>
      </c>
      <c r="D97">
        <f ca="1">IFERROR(计算区域!AL99,NA())</f>
        <v>0.10073138243427462</v>
      </c>
      <c r="E97">
        <f ca="1">IFERROR(计算区域!AM99,NA())</f>
        <v>9.2060321591420469E-2</v>
      </c>
      <c r="G97">
        <f ca="1">IFERROR(计算区域!AD99,NA())</f>
        <v>7.0017447801900765E-2</v>
      </c>
      <c r="H97">
        <f ca="1">IFERROR(计算区域!AE99,NA())</f>
        <v>8.8584711408956018E-2</v>
      </c>
      <c r="I97">
        <f ca="1">IFERROR(计算区域!AF99,NA())</f>
        <v>0.10094617048981719</v>
      </c>
      <c r="J97">
        <f ca="1">IFERROR(计算区域!AG99,NA())</f>
        <v>9.2611495345070183E-2</v>
      </c>
      <c r="L97">
        <f ca="1">IFERROR(计算区域!L99,NA())</f>
        <v>8.3699056808535108E-2</v>
      </c>
      <c r="M97">
        <f ca="1">IFERROR(计算区域!M99,NA())</f>
        <v>9.5744259941347859E-2</v>
      </c>
      <c r="N97">
        <f ca="1">IFERROR(计算区域!N99,NA())</f>
        <v>0.11142807189994341</v>
      </c>
      <c r="O97">
        <f ca="1">IFERROR(计算区域!O99,NA())</f>
        <v>0.10617391965101909</v>
      </c>
      <c r="Q97">
        <f ca="1">IFERROR(计算区域!R99,NA())</f>
        <v>9.1172962563485491E-2</v>
      </c>
      <c r="R97">
        <f ca="1">IFERROR(计算区域!S99,NA())</f>
        <v>9.6063094487471551E-2</v>
      </c>
      <c r="S97">
        <f ca="1">IFERROR(计算区域!T99,NA())</f>
        <v>0.11483097786680455</v>
      </c>
      <c r="T97">
        <f ca="1">IFERROR(计算区域!U99,NA())</f>
        <v>0.11152462952432762</v>
      </c>
      <c r="V97">
        <f ca="1">IFERROR(计算区域!X99,NA())</f>
        <v>9.828230944259439E-2</v>
      </c>
      <c r="W97">
        <f ca="1">IFERROR(计算区域!Y99,NA())</f>
        <v>9.7264687626667456E-2</v>
      </c>
      <c r="X97">
        <f ca="1">IFERROR(计算区域!Z99,NA())</f>
        <v>0.11758579370684522</v>
      </c>
      <c r="Y97">
        <f ca="1">IFERROR(计算区域!AA99,NA())</f>
        <v>0.11306950244736004</v>
      </c>
    </row>
    <row r="98" spans="1:25" x14ac:dyDescent="0.2">
      <c r="A98" s="28">
        <f>计算区域!E100</f>
        <v>45525</v>
      </c>
      <c r="B98">
        <f ca="1">IFERROR(计算区域!AJ100,NA())</f>
        <v>0.11328329284310754</v>
      </c>
      <c r="C98">
        <f ca="1">IFERROR(计算区域!AK100,NA())</f>
        <v>8.7541344460471307E-2</v>
      </c>
      <c r="D98">
        <f ca="1">IFERROR(计算区域!AL100,NA())</f>
        <v>0.10551306123086436</v>
      </c>
      <c r="E98">
        <f ca="1">IFERROR(计算区域!AM100,NA())</f>
        <v>9.1965935229097351E-2</v>
      </c>
      <c r="G98">
        <f ca="1">IFERROR(计算区域!AD100,NA())</f>
        <v>0.12478450586016784</v>
      </c>
      <c r="H98">
        <f ca="1">IFERROR(计算区域!AE100,NA())</f>
        <v>8.9467672013460994E-2</v>
      </c>
      <c r="I98">
        <f ca="1">IFERROR(计算区域!AF100,NA())</f>
        <v>0.10667941580158694</v>
      </c>
      <c r="J98">
        <f ca="1">IFERROR(计算区域!AG100,NA())</f>
        <v>9.2554147972027559E-2</v>
      </c>
      <c r="L98">
        <f ca="1">IFERROR(计算区域!L100,NA())</f>
        <v>0.11813868834538284</v>
      </c>
      <c r="M98">
        <f ca="1">IFERROR(计算区域!M100,NA())</f>
        <v>0.10101062044044957</v>
      </c>
      <c r="N98">
        <f ca="1">IFERROR(计算区域!N100,NA())</f>
        <v>0.11421927079645552</v>
      </c>
      <c r="O98">
        <f ca="1">IFERROR(计算区域!O100,NA())</f>
        <v>0.10653092707938794</v>
      </c>
      <c r="Q98">
        <f ca="1">IFERROR(计算区域!R100,NA())</f>
        <v>0.11695550525193898</v>
      </c>
      <c r="R98">
        <f ca="1">IFERROR(计算区域!S100,NA())</f>
        <v>0.10281175252539182</v>
      </c>
      <c r="S98">
        <f ca="1">IFERROR(计算区域!T100,NA())</f>
        <v>0.11783990127096508</v>
      </c>
      <c r="T98">
        <f ca="1">IFERROR(计算区域!U100,NA())</f>
        <v>0.11200072993336714</v>
      </c>
      <c r="V98">
        <f ca="1">IFERROR(计算区域!X100,NA())</f>
        <v>0.11772582215710786</v>
      </c>
      <c r="W98">
        <f ca="1">IFERROR(计算区域!Y100,NA())</f>
        <v>0.1041613667779057</v>
      </c>
      <c r="X98">
        <f ca="1">IFERROR(计算区域!Z100,NA())</f>
        <v>0.12036163102799965</v>
      </c>
      <c r="Y98">
        <f ca="1">IFERROR(计算区域!AA100,NA())</f>
        <v>0.11399286256638798</v>
      </c>
    </row>
    <row r="99" spans="1:25" x14ac:dyDescent="0.2">
      <c r="A99" s="28">
        <f>计算区域!E101</f>
        <v>45524</v>
      </c>
      <c r="B99">
        <f ca="1">IFERROR(计算区域!AJ101,NA())</f>
        <v>0.11541621738107</v>
      </c>
      <c r="C99">
        <f ca="1">IFERROR(计算区域!AK101,NA())</f>
        <v>8.1999778902633699E-2</v>
      </c>
      <c r="D99">
        <f ca="1">IFERROR(计算区域!AL101,NA())</f>
        <v>0.10498055082534206</v>
      </c>
      <c r="E99">
        <f ca="1">IFERROR(计算区域!AM101,NA())</f>
        <v>9.1651656082259267E-2</v>
      </c>
      <c r="G99">
        <f ca="1">IFERROR(计算区域!AD101,NA())</f>
        <v>0.12602500410063514</v>
      </c>
      <c r="H99">
        <f ca="1">IFERROR(计算区域!AE101,NA())</f>
        <v>8.5793950519848824E-2</v>
      </c>
      <c r="I99">
        <f ca="1">IFERROR(计算区域!AF101,NA())</f>
        <v>0.10600275323205433</v>
      </c>
      <c r="J99">
        <f ca="1">IFERROR(计算区域!AG101,NA())</f>
        <v>9.2179290998680274E-2</v>
      </c>
      <c r="L99">
        <f ca="1">IFERROR(计算区域!L101,NA())</f>
        <v>0.11365129718924681</v>
      </c>
      <c r="M99">
        <f ca="1">IFERROR(计算区域!M101,NA())</f>
        <v>0.10038399029018291</v>
      </c>
      <c r="N99">
        <f ca="1">IFERROR(计算区域!N101,NA())</f>
        <v>0.11445571829919986</v>
      </c>
      <c r="O99">
        <f ca="1">IFERROR(计算区域!O101,NA())</f>
        <v>0.10624291581622128</v>
      </c>
      <c r="Q99">
        <f ca="1">IFERROR(计算区域!R101,NA())</f>
        <v>0.10810036958693162</v>
      </c>
      <c r="R99">
        <f ca="1">IFERROR(计算区域!S101,NA())</f>
        <v>0.10218207006234296</v>
      </c>
      <c r="S99">
        <f ca="1">IFERROR(计算区域!T101,NA())</f>
        <v>0.118261125311619</v>
      </c>
      <c r="T99">
        <f ca="1">IFERROR(计算区域!U101,NA())</f>
        <v>0.11160586915142115</v>
      </c>
      <c r="V99">
        <f ca="1">IFERROR(计算区域!X101,NA())</f>
        <v>0.10637051333596959</v>
      </c>
      <c r="W99">
        <f ca="1">IFERROR(计算区域!Y101,NA())</f>
        <v>0.1042894899469874</v>
      </c>
      <c r="X99">
        <f ca="1">IFERROR(计算区域!Z101,NA())</f>
        <v>0.12039016845009726</v>
      </c>
      <c r="Y99">
        <f ca="1">IFERROR(计算区域!AA101,NA())</f>
        <v>0.11347327325212177</v>
      </c>
    </row>
    <row r="100" spans="1:25" x14ac:dyDescent="0.2">
      <c r="A100" s="28">
        <f>计算区域!E102</f>
        <v>45523</v>
      </c>
      <c r="B100">
        <f ca="1">IFERROR(计算区域!AJ102,NA())</f>
        <v>0.10902336272738246</v>
      </c>
      <c r="C100">
        <f ca="1">IFERROR(计算区域!AK102,NA())</f>
        <v>8.9311524397670664E-2</v>
      </c>
      <c r="D100">
        <f ca="1">IFERROR(计算区域!AL102,NA())</f>
        <v>0.11283297931165977</v>
      </c>
      <c r="E100">
        <f ca="1">IFERROR(计算区域!AM102,NA())</f>
        <v>9.3617039150237363E-2</v>
      </c>
      <c r="G100">
        <f ca="1">IFERROR(计算区域!AD102,NA())</f>
        <v>0.12405408568776252</v>
      </c>
      <c r="H100">
        <f ca="1">IFERROR(计算区域!AE102,NA())</f>
        <v>9.1310960409488745E-2</v>
      </c>
      <c r="I100">
        <f ca="1">IFERROR(计算区域!AF102,NA())</f>
        <v>0.11508696188362187</v>
      </c>
      <c r="J100">
        <f ca="1">IFERROR(计算区域!AG102,NA())</f>
        <v>9.3855971716561862E-2</v>
      </c>
      <c r="L100">
        <f ca="1">IFERROR(计算区域!L102,NA())</f>
        <v>0.11059336547292513</v>
      </c>
      <c r="M100">
        <f ca="1">IFERROR(计算区域!M102,NA())</f>
        <v>0.11790842945314535</v>
      </c>
      <c r="N100">
        <f ca="1">IFERROR(计算区域!N102,NA())</f>
        <v>0.11694643846736788</v>
      </c>
      <c r="O100">
        <f ca="1">IFERROR(计算区域!O102,NA())</f>
        <v>0.10610607922043405</v>
      </c>
      <c r="Q100">
        <f ca="1">IFERROR(计算区域!R102,NA())</f>
        <v>0.10543829809547108</v>
      </c>
      <c r="R100">
        <f ca="1">IFERROR(计算区域!S102,NA())</f>
        <v>0.12182357689152749</v>
      </c>
      <c r="S100">
        <f ca="1">IFERROR(计算区域!T102,NA())</f>
        <v>0.11983378242095032</v>
      </c>
      <c r="T100">
        <f ca="1">IFERROR(计算区域!U102,NA())</f>
        <v>0.11115766245676757</v>
      </c>
      <c r="V100">
        <f ca="1">IFERROR(计算区域!X102,NA())</f>
        <v>0.10300833428578611</v>
      </c>
      <c r="W100">
        <f ca="1">IFERROR(计算区域!Y102,NA())</f>
        <v>0.12279328660079511</v>
      </c>
      <c r="X100">
        <f ca="1">IFERROR(计算区域!Z102,NA())</f>
        <v>0.12087854175432922</v>
      </c>
      <c r="Y100">
        <f ca="1">IFERROR(计算区域!AA102,NA())</f>
        <v>0.11275158063598041</v>
      </c>
    </row>
    <row r="101" spans="1:25" x14ac:dyDescent="0.2">
      <c r="A101" s="28">
        <f>计算区域!E103</f>
        <v>45520</v>
      </c>
      <c r="B101">
        <f ca="1">IFERROR(计算区域!AJ103,NA())</f>
        <v>0.11019060147409385</v>
      </c>
      <c r="C101">
        <f ca="1">IFERROR(计算区域!AK103,NA())</f>
        <v>9.4703806200643142E-2</v>
      </c>
      <c r="D101">
        <f ca="1">IFERROR(计算区域!AL103,NA())</f>
        <v>0.11399967756513761</v>
      </c>
      <c r="E101">
        <f ca="1">IFERROR(计算区域!AM103,NA())</f>
        <v>9.5679049950978604E-2</v>
      </c>
      <c r="G101">
        <f ca="1">IFERROR(计算区域!AD103,NA())</f>
        <v>0.11897339743171773</v>
      </c>
      <c r="H101">
        <f ca="1">IFERROR(计算区域!AE103,NA())</f>
        <v>9.4706233134228407E-2</v>
      </c>
      <c r="I101">
        <f ca="1">IFERROR(计算区域!AF103,NA())</f>
        <v>0.11893682065364411</v>
      </c>
      <c r="J101">
        <f ca="1">IFERROR(计算区域!AG103,NA())</f>
        <v>9.6298325612811583E-2</v>
      </c>
      <c r="L101">
        <f ca="1">IFERROR(计算区域!L103,NA())</f>
        <v>0.10509998019924667</v>
      </c>
      <c r="M101">
        <f ca="1">IFERROR(计算区域!M103,NA())</f>
        <v>0.12332516068242955</v>
      </c>
      <c r="N101">
        <f ca="1">IFERROR(计算区域!N103,NA())</f>
        <v>0.11962704229260357</v>
      </c>
      <c r="O101">
        <f ca="1">IFERROR(计算区域!O103,NA())</f>
        <v>0.10662444323800384</v>
      </c>
      <c r="Q101">
        <f ca="1">IFERROR(计算区域!R103,NA())</f>
        <v>9.922017021476609E-2</v>
      </c>
      <c r="R101">
        <f ca="1">IFERROR(计算区域!S103,NA())</f>
        <v>0.12946330003386192</v>
      </c>
      <c r="S101">
        <f ca="1">IFERROR(计算区域!T103,NA())</f>
        <v>0.12237583464677465</v>
      </c>
      <c r="T101">
        <f ca="1">IFERROR(计算区域!U103,NA())</f>
        <v>0.11148901755996136</v>
      </c>
      <c r="V101">
        <f ca="1">IFERROR(计算区域!X103,NA())</f>
        <v>9.3753513028021637E-2</v>
      </c>
      <c r="W101">
        <f ca="1">IFERROR(计算区域!Y103,NA())</f>
        <v>0.13287047790709838</v>
      </c>
      <c r="X101">
        <f ca="1">IFERROR(计算区域!Z103,NA())</f>
        <v>0.12328041940869823</v>
      </c>
      <c r="Y101">
        <f ca="1">IFERROR(计算区域!AA103,NA())</f>
        <v>0.11281920905565197</v>
      </c>
    </row>
    <row r="102" spans="1:25" x14ac:dyDescent="0.2">
      <c r="A102" s="28">
        <f>计算区域!E104</f>
        <v>45519</v>
      </c>
      <c r="B102">
        <f ca="1">IFERROR(计算区域!AJ104,NA())</f>
        <v>0.11052474965191546</v>
      </c>
      <c r="C102">
        <f ca="1">IFERROR(计算区域!AK104,NA())</f>
        <v>9.4985904165231616E-2</v>
      </c>
      <c r="D102">
        <f ca="1">IFERROR(计算区域!AL104,NA())</f>
        <v>0.1155750495657312</v>
      </c>
      <c r="E102">
        <f ca="1">IFERROR(计算区域!AM104,NA())</f>
        <v>9.6860950376347663E-2</v>
      </c>
      <c r="G102">
        <f ca="1">IFERROR(计算区域!AD104,NA())</f>
        <v>0.11293304196724781</v>
      </c>
      <c r="H102">
        <f ca="1">IFERROR(计算区域!AE104,NA())</f>
        <v>9.6605862150728763E-2</v>
      </c>
      <c r="I102">
        <f ca="1">IFERROR(计算区域!AF104,NA())</f>
        <v>0.12005398925497646</v>
      </c>
      <c r="J102">
        <f ca="1">IFERROR(计算区域!AG104,NA())</f>
        <v>9.7998163086472675E-2</v>
      </c>
      <c r="L102">
        <f ca="1">IFERROR(计算区域!L104,NA())</f>
        <v>0.10643493088640774</v>
      </c>
      <c r="M102">
        <f ca="1">IFERROR(计算区域!M104,NA())</f>
        <v>0.12356585885778519</v>
      </c>
      <c r="N102">
        <f ca="1">IFERROR(计算区域!N104,NA())</f>
        <v>0.12454511811677553</v>
      </c>
      <c r="O102">
        <f ca="1">IFERROR(计算区域!O104,NA())</f>
        <v>0.1068855115815423</v>
      </c>
      <c r="Q102">
        <f ca="1">IFERROR(计算区域!R104,NA())</f>
        <v>0.10071607191712277</v>
      </c>
      <c r="R102">
        <f ca="1">IFERROR(计算区域!S104,NA())</f>
        <v>0.13074159209710051</v>
      </c>
      <c r="S102">
        <f ca="1">IFERROR(计算区域!T104,NA())</f>
        <v>0.1278681200225881</v>
      </c>
      <c r="T102">
        <f ca="1">IFERROR(计算区域!U104,NA())</f>
        <v>0.11168398643251684</v>
      </c>
      <c r="V102">
        <f ca="1">IFERROR(计算区域!X104,NA())</f>
        <v>9.6236305877026015E-2</v>
      </c>
      <c r="W102">
        <f ca="1">IFERROR(计算区域!Y104,NA())</f>
        <v>0.13439895676461083</v>
      </c>
      <c r="X102">
        <f ca="1">IFERROR(计算区域!Z104,NA())</f>
        <v>0.12849730149019634</v>
      </c>
      <c r="Y102">
        <f ca="1">IFERROR(计算区域!AA104,NA())</f>
        <v>0.11300423818501787</v>
      </c>
    </row>
    <row r="103" spans="1:25" x14ac:dyDescent="0.2">
      <c r="A103" s="28">
        <f>计算区域!E105</f>
        <v>45518</v>
      </c>
      <c r="B103">
        <f ca="1">IFERROR(计算区域!AJ105,NA())</f>
        <v>4.7600562459674499E-2</v>
      </c>
      <c r="C103">
        <f ca="1">IFERROR(计算区域!AK105,NA())</f>
        <v>5.5396839349497705E-2</v>
      </c>
      <c r="D103">
        <f ca="1">IFERROR(计算区域!AL105,NA())</f>
        <v>0.10429717704159421</v>
      </c>
      <c r="E103">
        <f ca="1">IFERROR(计算区域!AM105,NA())</f>
        <v>9.2387504562837605E-2</v>
      </c>
      <c r="G103">
        <f ca="1">IFERROR(计算区域!AD105,NA())</f>
        <v>4.9384935477605481E-2</v>
      </c>
      <c r="H103">
        <f ca="1">IFERROR(计算区域!AE105,NA())</f>
        <v>7.4384138001258301E-2</v>
      </c>
      <c r="I103">
        <f ca="1">IFERROR(计算区域!AF105,NA())</f>
        <v>0.11146857767095557</v>
      </c>
      <c r="J103">
        <f ca="1">IFERROR(计算区域!AG105,NA())</f>
        <v>9.417907570807546E-2</v>
      </c>
      <c r="L103">
        <f ca="1">IFERROR(计算区域!L105,NA())</f>
        <v>8.0309035603483889E-2</v>
      </c>
      <c r="M103">
        <f ca="1">IFERROR(计算区域!M105,NA())</f>
        <v>0.10973467160796233</v>
      </c>
      <c r="N103">
        <f ca="1">IFERROR(计算区域!N105,NA())</f>
        <v>0.11880691023255191</v>
      </c>
      <c r="O103">
        <f ca="1">IFERROR(计算区域!O105,NA())</f>
        <v>0.10411276791745618</v>
      </c>
      <c r="Q103">
        <f ca="1">IFERROR(计算区域!R105,NA())</f>
        <v>8.6382421278570917E-2</v>
      </c>
      <c r="R103">
        <f ca="1">IFERROR(计算区域!S105,NA())</f>
        <v>0.12054865525772739</v>
      </c>
      <c r="S103">
        <f ca="1">IFERROR(计算区域!T105,NA())</f>
        <v>0.1235569804452053</v>
      </c>
      <c r="T103">
        <f ca="1">IFERROR(计算区域!U105,NA())</f>
        <v>0.1096035601301333</v>
      </c>
      <c r="V103">
        <f ca="1">IFERROR(计算区域!X105,NA())</f>
        <v>8.8542709781866319E-2</v>
      </c>
      <c r="W103">
        <f ca="1">IFERROR(计算区域!Y105,NA())</f>
        <v>0.12640752737754829</v>
      </c>
      <c r="X103">
        <f ca="1">IFERROR(计算区域!Z105,NA())</f>
        <v>0.12504657808177663</v>
      </c>
      <c r="Y103">
        <f ca="1">IFERROR(计算区域!AA105,NA())</f>
        <v>0.11134646362334381</v>
      </c>
    </row>
    <row r="104" spans="1:25" x14ac:dyDescent="0.2">
      <c r="A104" s="28">
        <f>计算区域!E106</f>
        <v>45517</v>
      </c>
      <c r="B104">
        <f ca="1">IFERROR(计算区域!AJ106,NA())</f>
        <v>2.5895172032675044E-2</v>
      </c>
      <c r="C104">
        <f ca="1">IFERROR(计算区域!AK106,NA())</f>
        <v>0.11060712998831233</v>
      </c>
      <c r="D104">
        <f ca="1">IFERROR(计算区域!AL106,NA())</f>
        <v>0.10602657032847174</v>
      </c>
      <c r="E104">
        <f ca="1">IFERROR(计算区域!AM106,NA())</f>
        <v>9.198713585804473E-2</v>
      </c>
      <c r="G104">
        <f ca="1">IFERROR(计算区域!AD106,NA())</f>
        <v>2.6058640016125085E-2</v>
      </c>
      <c r="H104">
        <f ca="1">IFERROR(计算区域!AE106,NA())</f>
        <v>0.1113678006974492</v>
      </c>
      <c r="I104">
        <f ca="1">IFERROR(计算区域!AF106,NA())</f>
        <v>0.11068556559666738</v>
      </c>
      <c r="J104">
        <f ca="1">IFERROR(计算区域!AG106,NA())</f>
        <v>9.3612445635217659E-2</v>
      </c>
      <c r="L104">
        <f ca="1">IFERROR(计算区域!L106,NA())</f>
        <v>8.5072167366069679E-2</v>
      </c>
      <c r="M104">
        <f ca="1">IFERROR(计算区域!M106,NA())</f>
        <v>0.12233147195891203</v>
      </c>
      <c r="N104">
        <f ca="1">IFERROR(计算区域!N106,NA())</f>
        <v>0.11938228119761674</v>
      </c>
      <c r="O104">
        <f ca="1">IFERROR(计算区域!O106,NA())</f>
        <v>0.10407878293209558</v>
      </c>
      <c r="Q104">
        <f ca="1">IFERROR(计算区域!R106,NA())</f>
        <v>9.5899223039709353E-2</v>
      </c>
      <c r="R104">
        <f ca="1">IFERROR(计算区域!S106,NA())</f>
        <v>0.12680824839727931</v>
      </c>
      <c r="S104">
        <f ca="1">IFERROR(计算区域!T106,NA())</f>
        <v>0.12454283327750716</v>
      </c>
      <c r="T104">
        <f ca="1">IFERROR(计算区域!U106,NA())</f>
        <v>0.10980920236031194</v>
      </c>
      <c r="V104">
        <f ca="1">IFERROR(计算区域!X106,NA())</f>
        <v>0.10216608693420677</v>
      </c>
      <c r="W104">
        <f ca="1">IFERROR(计算区域!Y106,NA())</f>
        <v>0.12977389629263641</v>
      </c>
      <c r="X104">
        <f ca="1">IFERROR(计算区域!Z106,NA())</f>
        <v>0.12616633692129392</v>
      </c>
      <c r="Y104">
        <f ca="1">IFERROR(计算区域!AA106,NA())</f>
        <v>0.11168202567013219</v>
      </c>
    </row>
    <row r="105" spans="1:25" x14ac:dyDescent="0.2">
      <c r="A105" s="28">
        <f>计算区域!E107</f>
        <v>45516</v>
      </c>
      <c r="B105">
        <f ca="1">IFERROR(计算区域!AJ107,NA())</f>
        <v>5.49007644851272E-2</v>
      </c>
      <c r="C105">
        <f ca="1">IFERROR(计算区域!AK107,NA())</f>
        <v>0.11283285049321937</v>
      </c>
      <c r="D105">
        <f ca="1">IFERROR(计算区域!AL107,NA())</f>
        <v>0.10771235572244731</v>
      </c>
      <c r="E105">
        <f ca="1">IFERROR(计算区域!AM107,NA())</f>
        <v>9.2240526952210328E-2</v>
      </c>
      <c r="G105">
        <f ca="1">IFERROR(计算区域!AD107,NA())</f>
        <v>5.8055057305160966E-2</v>
      </c>
      <c r="H105">
        <f ca="1">IFERROR(计算区域!AE107,NA())</f>
        <v>0.11479612061363745</v>
      </c>
      <c r="I105">
        <f ca="1">IFERROR(计算区域!AF107,NA())</f>
        <v>0.1114306137251648</v>
      </c>
      <c r="J105">
        <f ca="1">IFERROR(计算区域!AG107,NA())</f>
        <v>9.3729987993692393E-2</v>
      </c>
      <c r="L105">
        <f ca="1">IFERROR(计算区域!L107,NA())</f>
        <v>0.1247954445706522</v>
      </c>
      <c r="M105">
        <f ca="1">IFERROR(计算区域!M107,NA())</f>
        <v>0.12405720712838311</v>
      </c>
      <c r="N105">
        <f ca="1">IFERROR(计算区域!N107,NA())</f>
        <v>0.12002662343815268</v>
      </c>
      <c r="O105">
        <f ca="1">IFERROR(计算区域!O107,NA())</f>
        <v>0.10429046837992052</v>
      </c>
      <c r="Q105">
        <f ca="1">IFERROR(计算区域!R107,NA())</f>
        <v>0.13625246077786046</v>
      </c>
      <c r="R105">
        <f ca="1">IFERROR(计算区域!S107,NA())</f>
        <v>0.12872238240782682</v>
      </c>
      <c r="S105">
        <f ca="1">IFERROR(计算区域!T107,NA())</f>
        <v>0.12502229013761701</v>
      </c>
      <c r="T105">
        <f ca="1">IFERROR(计算区域!U107,NA())</f>
        <v>0.11005963440834618</v>
      </c>
      <c r="V105">
        <f ca="1">IFERROR(计算区域!X107,NA())</f>
        <v>0.13980581367066877</v>
      </c>
      <c r="W105">
        <f ca="1">IFERROR(计算区域!Y107,NA())</f>
        <v>0.13201257151386772</v>
      </c>
      <c r="X105">
        <f ca="1">IFERROR(计算区域!Z107,NA())</f>
        <v>0.1262621153141231</v>
      </c>
      <c r="Y105">
        <f ca="1">IFERROR(计算区域!AA107,NA())</f>
        <v>0.11187926932185352</v>
      </c>
    </row>
    <row r="106" spans="1:25" x14ac:dyDescent="0.2">
      <c r="A106" s="28">
        <f>计算区域!E108</f>
        <v>45513</v>
      </c>
      <c r="B106">
        <f ca="1">IFERROR(计算区域!AJ108,NA())</f>
        <v>6.4346482432833918E-2</v>
      </c>
      <c r="C106">
        <f ca="1">IFERROR(计算区域!AK108,NA())</f>
        <v>0.11298139248500121</v>
      </c>
      <c r="D106">
        <f ca="1">IFERROR(计算区域!AL108,NA())</f>
        <v>0.10938603538107725</v>
      </c>
      <c r="E106">
        <f ca="1">IFERROR(计算区域!AM108,NA())</f>
        <v>9.7715090217926195E-2</v>
      </c>
      <c r="G106">
        <f ca="1">IFERROR(计算区域!AD108,NA())</f>
        <v>7.7628535611093993E-2</v>
      </c>
      <c r="H106">
        <f ca="1">IFERROR(计算区域!AE108,NA())</f>
        <v>0.11637849374796751</v>
      </c>
      <c r="I106">
        <f ca="1">IFERROR(计算区域!AF108,NA())</f>
        <v>0.11235299802782751</v>
      </c>
      <c r="J106">
        <f ca="1">IFERROR(计算区域!AG108,NA())</f>
        <v>9.8552464926362826E-2</v>
      </c>
      <c r="L106">
        <f ca="1">IFERROR(计算区域!L108,NA())</f>
        <v>0.13918399576392429</v>
      </c>
      <c r="M106">
        <f ca="1">IFERROR(计算区域!M108,NA())</f>
        <v>0.12436341096406936</v>
      </c>
      <c r="N106">
        <f ca="1">IFERROR(计算区域!N108,NA())</f>
        <v>0.12056382813844296</v>
      </c>
      <c r="O106">
        <f ca="1">IFERROR(计算区域!O108,NA())</f>
        <v>0.10599772439503352</v>
      </c>
      <c r="Q106">
        <f ca="1">IFERROR(计算区域!R108,NA())</f>
        <v>0.15387283689419762</v>
      </c>
      <c r="R106">
        <f ca="1">IFERROR(计算区域!S108,NA())</f>
        <v>0.12891284316814983</v>
      </c>
      <c r="S106">
        <f ca="1">IFERROR(计算区域!T108,NA())</f>
        <v>0.12521740138433093</v>
      </c>
      <c r="T106">
        <f ca="1">IFERROR(计算区域!U108,NA())</f>
        <v>0.11069959735881547</v>
      </c>
      <c r="V106">
        <f ca="1">IFERROR(计算区域!X108,NA())</f>
        <v>0.16284780192998005</v>
      </c>
      <c r="W106">
        <f ca="1">IFERROR(计算区域!Y108,NA())</f>
        <v>0.13211490098721457</v>
      </c>
      <c r="X106">
        <f ca="1">IFERROR(计算区域!Z108,NA())</f>
        <v>0.12629527514341896</v>
      </c>
      <c r="Y106">
        <f ca="1">IFERROR(计算区域!AA108,NA())</f>
        <v>0.11205968364575274</v>
      </c>
    </row>
    <row r="107" spans="1:25" x14ac:dyDescent="0.2">
      <c r="A107" s="28">
        <f>计算区域!E109</f>
        <v>45512</v>
      </c>
      <c r="B107">
        <f ca="1">IFERROR(计算区域!AJ109,NA())</f>
        <v>6.7645750600794904E-2</v>
      </c>
      <c r="C107">
        <f ca="1">IFERROR(计算区域!AK109,NA())</f>
        <v>0.1130097672588843</v>
      </c>
      <c r="D107">
        <f ca="1">IFERROR(计算区域!AL109,NA())</f>
        <v>0.11263285030952014</v>
      </c>
      <c r="E107">
        <f ca="1">IFERROR(计算区域!AM109,NA())</f>
        <v>9.8186494431419732E-2</v>
      </c>
      <c r="G107">
        <f ca="1">IFERROR(计算区域!AD109,NA())</f>
        <v>9.0800255430623478E-2</v>
      </c>
      <c r="H107">
        <f ca="1">IFERROR(计算区域!AE109,NA())</f>
        <v>0.11689843527892697</v>
      </c>
      <c r="I107">
        <f ca="1">IFERROR(计算区域!AF109,NA())</f>
        <v>0.11435618431370506</v>
      </c>
      <c r="J107">
        <f ca="1">IFERROR(计算区域!AG109,NA())</f>
        <v>9.8851497691638687E-2</v>
      </c>
      <c r="L107">
        <f ca="1">IFERROR(计算区域!L109,NA())</f>
        <v>0.13859526845361564</v>
      </c>
      <c r="M107">
        <f ca="1">IFERROR(计算区域!M109,NA())</f>
        <v>0.12516176374181345</v>
      </c>
      <c r="N107">
        <f ca="1">IFERROR(计算区域!N109,NA())</f>
        <v>0.11976121774583641</v>
      </c>
      <c r="O107">
        <f ca="1">IFERROR(计算区域!O109,NA())</f>
        <v>0.10594528067628341</v>
      </c>
      <c r="Q107">
        <f ca="1">IFERROR(计算区域!R109,NA())</f>
        <v>0.1550580557912235</v>
      </c>
      <c r="R107">
        <f ca="1">IFERROR(计算区域!S109,NA())</f>
        <v>0.13093581951927527</v>
      </c>
      <c r="S107">
        <f ca="1">IFERROR(计算区域!T109,NA())</f>
        <v>0.12425719752768247</v>
      </c>
      <c r="T107">
        <f ca="1">IFERROR(计算区域!U109,NA())</f>
        <v>0.11083152710047997</v>
      </c>
      <c r="V107">
        <f ca="1">IFERROR(计算区域!X109,NA())</f>
        <v>0.16390464480903202</v>
      </c>
      <c r="W107">
        <f ca="1">IFERROR(计算区域!Y109,NA())</f>
        <v>0.13487927307123332</v>
      </c>
      <c r="X107">
        <f ca="1">IFERROR(计算区域!Z109,NA())</f>
        <v>0.12519424931745113</v>
      </c>
      <c r="Y107">
        <f ca="1">IFERROR(计算区域!AA109,NA())</f>
        <v>0.11217195812995139</v>
      </c>
    </row>
    <row r="108" spans="1:25" x14ac:dyDescent="0.2">
      <c r="A108" s="28">
        <f>计算区域!E110</f>
        <v>45511</v>
      </c>
      <c r="B108">
        <f ca="1">IFERROR(计算区域!AJ110,NA())</f>
        <v>3.8974824586679196E-2</v>
      </c>
      <c r="C108">
        <f ca="1">IFERROR(计算区域!AK110,NA())</f>
        <v>0.11593642973402679</v>
      </c>
      <c r="D108">
        <f ca="1">IFERROR(计算区域!AL110,NA())</f>
        <v>0.1192954356433861</v>
      </c>
      <c r="E108">
        <f ca="1">IFERROR(计算区域!AM110,NA())</f>
        <v>9.8738747339747274E-2</v>
      </c>
      <c r="G108">
        <f ca="1">IFERROR(计算区域!AD110,NA())</f>
        <v>0.10005187712782196</v>
      </c>
      <c r="H108">
        <f ca="1">IFERROR(计算区域!AE110,NA())</f>
        <v>0.12657421114377285</v>
      </c>
      <c r="I108">
        <f ca="1">IFERROR(计算区域!AF110,NA())</f>
        <v>0.12006893548097289</v>
      </c>
      <c r="J108">
        <f ca="1">IFERROR(计算区域!AG110,NA())</f>
        <v>9.9739144213576311E-2</v>
      </c>
      <c r="L108">
        <f ca="1">IFERROR(计算区域!L110,NA())</f>
        <v>0.13279252654518259</v>
      </c>
      <c r="M108">
        <f ca="1">IFERROR(计算区域!M110,NA())</f>
        <v>0.12605133161051296</v>
      </c>
      <c r="N108">
        <f ca="1">IFERROR(计算区域!N110,NA())</f>
        <v>0.11864816994550985</v>
      </c>
      <c r="O108">
        <f ca="1">IFERROR(计算区域!O110,NA())</f>
        <v>0.10566122013606587</v>
      </c>
      <c r="Q108">
        <f ca="1">IFERROR(计算区域!R110,NA())</f>
        <v>0.14697630374636692</v>
      </c>
      <c r="R108">
        <f ca="1">IFERROR(计算区域!S110,NA())</f>
        <v>0.13115726516575121</v>
      </c>
      <c r="S108">
        <f ca="1">IFERROR(计算区域!T110,NA())</f>
        <v>0.12243003302335705</v>
      </c>
      <c r="T108">
        <f ca="1">IFERROR(计算区域!U110,NA())</f>
        <v>0.11023998282422103</v>
      </c>
      <c r="V108">
        <f ca="1">IFERROR(计算区域!X110,NA())</f>
        <v>0.1552994349632201</v>
      </c>
      <c r="W108">
        <f ca="1">IFERROR(计算区域!Y110,NA())</f>
        <v>0.13462635001514106</v>
      </c>
      <c r="X108">
        <f ca="1">IFERROR(计算区域!Z110,NA())</f>
        <v>0.1231338673155094</v>
      </c>
      <c r="Y108">
        <f ca="1">IFERROR(计算区域!AA110,NA())</f>
        <v>0.11143516878428723</v>
      </c>
    </row>
    <row r="109" spans="1:25" x14ac:dyDescent="0.2">
      <c r="A109" s="28">
        <f>计算区域!E111</f>
        <v>45510</v>
      </c>
      <c r="B109">
        <f ca="1">IFERROR(计算区域!AJ111,NA())</f>
        <v>0.16216731996062744</v>
      </c>
      <c r="C109">
        <f ca="1">IFERROR(计算区域!AK111,NA())</f>
        <v>0.11528682512981775</v>
      </c>
      <c r="D109">
        <f ca="1">IFERROR(计算区域!AL111,NA())</f>
        <v>0.11932746056473596</v>
      </c>
      <c r="E109">
        <f ca="1">IFERROR(计算区域!AM111,NA())</f>
        <v>9.8884417608734246E-2</v>
      </c>
      <c r="G109">
        <f ca="1">IFERROR(计算区域!AD111,NA())</f>
        <v>0.16500672138713088</v>
      </c>
      <c r="H109">
        <f ca="1">IFERROR(计算区域!AE111,NA())</f>
        <v>0.12791041685080481</v>
      </c>
      <c r="I109">
        <f ca="1">IFERROR(计算区域!AF111,NA())</f>
        <v>0.12017567066222781</v>
      </c>
      <c r="J109">
        <f ca="1">IFERROR(计算区域!AG111,NA())</f>
        <v>9.9986668036997642E-2</v>
      </c>
      <c r="L109">
        <f ca="1">IFERROR(计算区域!L111,NA())</f>
        <v>0.15064097849824123</v>
      </c>
      <c r="M109">
        <f ca="1">IFERROR(计算区域!M111,NA())</f>
        <v>0.12697746806497617</v>
      </c>
      <c r="N109">
        <f ca="1">IFERROR(计算区域!N111,NA())</f>
        <v>0.11761087577857263</v>
      </c>
      <c r="O109">
        <f ca="1">IFERROR(计算区域!O111,NA())</f>
        <v>0.10546903795594767</v>
      </c>
      <c r="Q109">
        <f ca="1">IFERROR(计算区域!R111,NA())</f>
        <v>0.15153878296842779</v>
      </c>
      <c r="R109">
        <f ca="1">IFERROR(计算区域!S111,NA())</f>
        <v>0.13240170723112046</v>
      </c>
      <c r="S109">
        <f ca="1">IFERROR(计算区域!T111,NA())</f>
        <v>0.12105399883782246</v>
      </c>
      <c r="T109">
        <f ca="1">IFERROR(计算区域!U111,NA())</f>
        <v>0.10991751830895191</v>
      </c>
      <c r="V109">
        <f ca="1">IFERROR(计算区域!X111,NA())</f>
        <v>0.15246186079966362</v>
      </c>
      <c r="W109">
        <f ca="1">IFERROR(计算区域!Y111,NA())</f>
        <v>0.13457818398790644</v>
      </c>
      <c r="X109">
        <f ca="1">IFERROR(计算区域!Z111,NA())</f>
        <v>0.12139366950607214</v>
      </c>
      <c r="Y109">
        <f ca="1">IFERROR(计算区域!AA111,NA())</f>
        <v>0.11083923065158723</v>
      </c>
    </row>
    <row r="110" spans="1:25" x14ac:dyDescent="0.2">
      <c r="A110" s="28">
        <f>计算区域!E112</f>
        <v>45509</v>
      </c>
      <c r="B110">
        <f ca="1">IFERROR(计算区域!AJ112,NA())</f>
        <v>0.16001896173331662</v>
      </c>
      <c r="C110">
        <f ca="1">IFERROR(计算区域!AK112,NA())</f>
        <v>0.12378870158262814</v>
      </c>
      <c r="D110">
        <f ca="1">IFERROR(计算区域!AL112,NA())</f>
        <v>0.12216769717763468</v>
      </c>
      <c r="E110">
        <f ca="1">IFERROR(计算区域!AM112,NA())</f>
        <v>9.8189671182792301E-2</v>
      </c>
      <c r="G110">
        <f ca="1">IFERROR(计算区域!AD112,NA())</f>
        <v>0.16211244944223521</v>
      </c>
      <c r="H110">
        <f ca="1">IFERROR(计算区域!AE112,NA())</f>
        <v>0.14008566573442496</v>
      </c>
      <c r="I110">
        <f ca="1">IFERROR(计算区域!AF112,NA())</f>
        <v>0.12217896565250792</v>
      </c>
      <c r="J110">
        <f ca="1">IFERROR(计算区域!AG112,NA())</f>
        <v>9.9095597312779102E-2</v>
      </c>
      <c r="L110">
        <f ca="1">IFERROR(计算区域!L112,NA())</f>
        <v>0.12331455021773535</v>
      </c>
      <c r="M110">
        <f ca="1">IFERROR(计算区域!M112,NA())</f>
        <v>0.11597646832136409</v>
      </c>
      <c r="N110">
        <f ca="1">IFERROR(计算区域!N112,NA())</f>
        <v>0.11511588763989038</v>
      </c>
      <c r="O110">
        <f ca="1">IFERROR(计算区域!O112,NA())</f>
        <v>0.10257818756221082</v>
      </c>
      <c r="Q110">
        <f ca="1">IFERROR(计算区域!R112,NA())</f>
        <v>0.12072352876498932</v>
      </c>
      <c r="R110">
        <f ca="1">IFERROR(计算区域!S112,NA())</f>
        <v>0.11781038550135305</v>
      </c>
      <c r="S110">
        <f ca="1">IFERROR(计算区域!T112,NA())</f>
        <v>0.11820369360173399</v>
      </c>
      <c r="T110">
        <f ca="1">IFERROR(计算区域!U112,NA())</f>
        <v>0.10688554117957462</v>
      </c>
      <c r="V110">
        <f ca="1">IFERROR(计算区域!X112,NA())</f>
        <v>0.12372943279305175</v>
      </c>
      <c r="W110">
        <f ca="1">IFERROR(计算区域!Y112,NA())</f>
        <v>0.11893297473401231</v>
      </c>
      <c r="X110">
        <f ca="1">IFERROR(计算区域!Z112,NA())</f>
        <v>0.1181652097735473</v>
      </c>
      <c r="Y110">
        <f ca="1">IFERROR(计算区域!AA112,NA())</f>
        <v>0.10788671993737767</v>
      </c>
    </row>
    <row r="111" spans="1:25" x14ac:dyDescent="0.2">
      <c r="A111" s="28">
        <f>计算区域!E113</f>
        <v>45506</v>
      </c>
      <c r="B111">
        <f ca="1">IFERROR(计算区域!AJ113,NA())</f>
        <v>0.15555845293098799</v>
      </c>
      <c r="C111">
        <f ca="1">IFERROR(计算区域!AK113,NA())</f>
        <v>0.12626860330340384</v>
      </c>
      <c r="D111">
        <f ca="1">IFERROR(计算区域!AL113,NA())</f>
        <v>0.1211660853917971</v>
      </c>
      <c r="E111">
        <f ca="1">IFERROR(计算区域!AM113,NA())</f>
        <v>9.7732966630129148E-2</v>
      </c>
      <c r="G111">
        <f ca="1">IFERROR(计算区域!AD113,NA())</f>
        <v>0.15635762381390286</v>
      </c>
      <c r="H111">
        <f ca="1">IFERROR(计算区域!AE113,NA())</f>
        <v>0.14454908566007435</v>
      </c>
      <c r="I111">
        <f ca="1">IFERROR(计算区域!AF113,NA())</f>
        <v>0.12116653466231579</v>
      </c>
      <c r="J111">
        <f ca="1">IFERROR(计算区域!AG113,NA())</f>
        <v>9.8339795770663041E-2</v>
      </c>
      <c r="L111">
        <f ca="1">IFERROR(计算区域!L113,NA())</f>
        <v>0.10751898109833406</v>
      </c>
      <c r="M111">
        <f ca="1">IFERROR(计算区域!M113,NA())</f>
        <v>0.11581089429758179</v>
      </c>
      <c r="N111">
        <f ca="1">IFERROR(计算区域!N113,NA())</f>
        <v>0.11182073564384726</v>
      </c>
      <c r="O111">
        <f ca="1">IFERROR(计算区域!O113,NA())</f>
        <v>0.10151683689916136</v>
      </c>
      <c r="Q111">
        <f ca="1">IFERROR(计算区域!R113,NA())</f>
        <v>9.7776236036797998E-2</v>
      </c>
      <c r="R111">
        <f ca="1">IFERROR(计算区域!S113,NA())</f>
        <v>0.11485183392237022</v>
      </c>
      <c r="S111">
        <f ca="1">IFERROR(计算区域!T113,NA())</f>
        <v>0.11385427405323069</v>
      </c>
      <c r="T111">
        <f ca="1">IFERROR(计算区域!U113,NA())</f>
        <v>0.10553689934832272</v>
      </c>
      <c r="V111">
        <f ca="1">IFERROR(计算区域!X113,NA())</f>
        <v>9.1593053952234826E-2</v>
      </c>
      <c r="W111">
        <f ca="1">IFERROR(计算区域!Y113,NA())</f>
        <v>0.11287851753061054</v>
      </c>
      <c r="X111">
        <f ca="1">IFERROR(计算区域!Z113,NA())</f>
        <v>0.11182622005947095</v>
      </c>
      <c r="Y111">
        <f ca="1">IFERROR(计算区域!AA113,NA())</f>
        <v>0.10596030170437923</v>
      </c>
    </row>
    <row r="112" spans="1:25" x14ac:dyDescent="0.2">
      <c r="A112" s="28">
        <f>计算区域!E114</f>
        <v>45505</v>
      </c>
      <c r="B112">
        <f ca="1">IFERROR(计算区域!AJ114,NA())</f>
        <v>0.14997980885284323</v>
      </c>
      <c r="C112">
        <f ca="1">IFERROR(计算区域!AK114,NA())</f>
        <v>0.13667599700126104</v>
      </c>
      <c r="D112">
        <f ca="1">IFERROR(计算区域!AL114,NA())</f>
        <v>0.12269419633394202</v>
      </c>
      <c r="E112">
        <f ca="1">IFERROR(计算区域!AM114,NA())</f>
        <v>9.8091958552730119E-2</v>
      </c>
      <c r="G112">
        <f ca="1">IFERROR(计算区域!AD114,NA())</f>
        <v>0.15000704316038582</v>
      </c>
      <c r="H112">
        <f ca="1">IFERROR(计算区域!AE114,NA())</f>
        <v>0.14524003617294892</v>
      </c>
      <c r="I112">
        <f ca="1">IFERROR(计算区域!AF114,NA())</f>
        <v>0.12270994040062408</v>
      </c>
      <c r="J112">
        <f ca="1">IFERROR(计算区域!AG114,NA())</f>
        <v>9.8387941929795233E-2</v>
      </c>
      <c r="L112">
        <f ca="1">IFERROR(计算区域!L114,NA())</f>
        <v>0.11010125234616211</v>
      </c>
      <c r="M112">
        <f ca="1">IFERROR(计算区域!M114,NA())</f>
        <v>0.12551673760172802</v>
      </c>
      <c r="N112">
        <f ca="1">IFERROR(计算区域!N114,NA())</f>
        <v>0.117128465436719</v>
      </c>
      <c r="O112">
        <f ca="1">IFERROR(计算区域!O114,NA())</f>
        <v>0.10147368008981537</v>
      </c>
      <c r="Q112">
        <f ca="1">IFERROR(计算区域!R114,NA())</f>
        <v>0.10121944971503387</v>
      </c>
      <c r="R112">
        <f ca="1">IFERROR(计算区域!S114,NA())</f>
        <v>0.12492857292123918</v>
      </c>
      <c r="S112">
        <f ca="1">IFERROR(计算区域!T114,NA())</f>
        <v>0.11978523879212853</v>
      </c>
      <c r="T112">
        <f ca="1">IFERROR(计算区域!U114,NA())</f>
        <v>0.10515607809616233</v>
      </c>
      <c r="V112">
        <f ca="1">IFERROR(计算区域!X114,NA())</f>
        <v>9.7571020382456269E-2</v>
      </c>
      <c r="W112">
        <f ca="1">IFERROR(计算区域!Y114,NA())</f>
        <v>0.12231121535292297</v>
      </c>
      <c r="X112">
        <f ca="1">IFERROR(计算区域!Z114,NA())</f>
        <v>0.11858063766194642</v>
      </c>
      <c r="Y112">
        <f ca="1">IFERROR(计算区域!AA114,NA())</f>
        <v>0.10552343632897696</v>
      </c>
    </row>
    <row r="113" spans="1:25" x14ac:dyDescent="0.2">
      <c r="A113" s="28">
        <f>计算区域!E115</f>
        <v>45504</v>
      </c>
      <c r="B113">
        <f ca="1">IFERROR(计算区域!AJ115,NA())</f>
        <v>0.16060413864095083</v>
      </c>
      <c r="C113">
        <f ca="1">IFERROR(计算区域!AK115,NA())</f>
        <v>0.14044712249484506</v>
      </c>
      <c r="D113">
        <f ca="1">IFERROR(计算区域!AL115,NA())</f>
        <v>0.12129725926803012</v>
      </c>
      <c r="E113">
        <f ca="1">IFERROR(计算区域!AM115,NA())</f>
        <v>9.8051137627065202E-2</v>
      </c>
      <c r="G113">
        <f ca="1">IFERROR(计算区域!AD115,NA())</f>
        <v>0.16135966493582929</v>
      </c>
      <c r="H113">
        <f ca="1">IFERROR(计算区域!AE115,NA())</f>
        <v>0.14386823928551162</v>
      </c>
      <c r="I113">
        <f ca="1">IFERROR(计算区域!AF115,NA())</f>
        <v>0.121297697544599</v>
      </c>
      <c r="J113">
        <f ca="1">IFERROR(计算区域!AG115,NA())</f>
        <v>9.8343704611411578E-2</v>
      </c>
      <c r="L113">
        <f ca="1">IFERROR(计算区域!L115,NA())</f>
        <v>0.11892863950837911</v>
      </c>
      <c r="M113">
        <f ca="1">IFERROR(计算区域!M115,NA())</f>
        <v>0.12723390147717689</v>
      </c>
      <c r="N113">
        <f ca="1">IFERROR(计算区域!N115,NA())</f>
        <v>0.11738002316327195</v>
      </c>
      <c r="O113">
        <f ca="1">IFERROR(计算区域!O115,NA())</f>
        <v>0.101214817006369</v>
      </c>
      <c r="Q113">
        <f ca="1">IFERROR(计算区域!R115,NA())</f>
        <v>0.11314779073660274</v>
      </c>
      <c r="R113">
        <f ca="1">IFERROR(计算区域!S115,NA())</f>
        <v>0.12649378067330935</v>
      </c>
      <c r="S113">
        <f ca="1">IFERROR(计算区域!T115,NA())</f>
        <v>0.12028223002282035</v>
      </c>
      <c r="T113">
        <f ca="1">IFERROR(计算区域!U115,NA())</f>
        <v>0.10484629483423148</v>
      </c>
      <c r="V113">
        <f ca="1">IFERROR(计算区域!X115,NA())</f>
        <v>0.11013897464977193</v>
      </c>
      <c r="W113">
        <f ca="1">IFERROR(计算区域!Y115,NA())</f>
        <v>0.12367065295460401</v>
      </c>
      <c r="X113">
        <f ca="1">IFERROR(计算区域!Z115,NA())</f>
        <v>0.11951843947573744</v>
      </c>
      <c r="Y113">
        <f ca="1">IFERROR(计算区域!AA115,NA())</f>
        <v>0.10522143711411465</v>
      </c>
    </row>
    <row r="114" spans="1:25" x14ac:dyDescent="0.2">
      <c r="A114" s="28">
        <f>计算区域!E116</f>
        <v>45503</v>
      </c>
      <c r="B114">
        <f ca="1">IFERROR(计算区域!AJ116,NA())</f>
        <v>4.4788559321267442E-2</v>
      </c>
      <c r="C114">
        <f ca="1">IFERROR(计算区域!AK116,NA())</f>
        <v>0.10356652765880499</v>
      </c>
      <c r="D114">
        <f ca="1">IFERROR(计算区域!AL116,NA())</f>
        <v>0.10443459697319397</v>
      </c>
      <c r="E114">
        <f ca="1">IFERROR(计算区域!AM116,NA())</f>
        <v>9.1574151511443422E-2</v>
      </c>
      <c r="G114">
        <f ca="1">IFERROR(计算区域!AD116,NA())</f>
        <v>9.7904034951066948E-2</v>
      </c>
      <c r="H114">
        <f ca="1">IFERROR(计算区域!AE116,NA())</f>
        <v>0.11602179436446325</v>
      </c>
      <c r="I114">
        <f ca="1">IFERROR(计算区域!AF116,NA())</f>
        <v>0.10525957846393505</v>
      </c>
      <c r="J114">
        <f ca="1">IFERROR(计算区域!AG116,NA())</f>
        <v>9.2290539768783778E-2</v>
      </c>
      <c r="L114">
        <f ca="1">IFERROR(计算区域!L116,NA())</f>
        <v>9.7743799749531499E-2</v>
      </c>
      <c r="M114">
        <f ca="1">IFERROR(计算区域!M116,NA())</f>
        <v>0.11635836496040838</v>
      </c>
      <c r="N114">
        <f ca="1">IFERROR(计算区域!N116,NA())</f>
        <v>0.11075544164161058</v>
      </c>
      <c r="O114">
        <f ca="1">IFERROR(计算区域!O116,NA())</f>
        <v>9.8714676812884303E-2</v>
      </c>
      <c r="Q114">
        <f ca="1">IFERROR(计算区域!R116,NA())</f>
        <v>0.10998373248748386</v>
      </c>
      <c r="R114">
        <f ca="1">IFERROR(计算区域!S116,NA())</f>
        <v>0.12223543995090705</v>
      </c>
      <c r="S114">
        <f ca="1">IFERROR(计算区域!T116,NA())</f>
        <v>0.11742442628884255</v>
      </c>
      <c r="T114">
        <f ca="1">IFERROR(计算区域!U116,NA())</f>
        <v>0.10374395191836695</v>
      </c>
      <c r="V114">
        <f ca="1">IFERROR(计算区域!X116,NA())</f>
        <v>0.11392083309241377</v>
      </c>
      <c r="W114">
        <f ca="1">IFERROR(计算区域!Y116,NA())</f>
        <v>0.12245254176742493</v>
      </c>
      <c r="X114">
        <f ca="1">IFERROR(计算区域!Z116,NA())</f>
        <v>0.11844025267184963</v>
      </c>
      <c r="Y114">
        <f ca="1">IFERROR(计算区域!AA116,NA())</f>
        <v>0.10473499594048727</v>
      </c>
    </row>
    <row r="115" spans="1:25" x14ac:dyDescent="0.2">
      <c r="A115" s="28">
        <f>计算区域!E117</f>
        <v>45502</v>
      </c>
      <c r="B115">
        <f ca="1">IFERROR(计算区域!AJ117,NA())</f>
        <v>7.1222303686548749E-2</v>
      </c>
      <c r="C115">
        <f ca="1">IFERROR(计算区域!AK117,NA())</f>
        <v>0.10783175162151538</v>
      </c>
      <c r="D115">
        <f ca="1">IFERROR(计算区域!AL117,NA())</f>
        <v>0.10485032131559403</v>
      </c>
      <c r="E115">
        <f ca="1">IFERROR(计算区域!AM117,NA())</f>
        <v>9.4558904743327968E-2</v>
      </c>
      <c r="G115">
        <f ca="1">IFERROR(计算区域!AD117,NA())</f>
        <v>0.13369195809927045</v>
      </c>
      <c r="H115">
        <f ca="1">IFERROR(计算区域!AE117,NA())</f>
        <v>0.11417117171486355</v>
      </c>
      <c r="I115">
        <f ca="1">IFERROR(计算区域!AF117,NA())</f>
        <v>0.10496621476203948</v>
      </c>
      <c r="J115">
        <f ca="1">IFERROR(计算区域!AG117,NA())</f>
        <v>9.4812540775410195E-2</v>
      </c>
      <c r="L115">
        <f ca="1">IFERROR(计算区域!L117,NA())</f>
        <v>0.10814159289186727</v>
      </c>
      <c r="M115">
        <f ca="1">IFERROR(计算区域!M117,NA())</f>
        <v>0.11585590199654765</v>
      </c>
      <c r="N115">
        <f ca="1">IFERROR(计算区域!N117,NA())</f>
        <v>0.11039222395724482</v>
      </c>
      <c r="O115">
        <f ca="1">IFERROR(计算区域!O117,NA())</f>
        <v>9.8494480700465403E-2</v>
      </c>
      <c r="Q115">
        <f ca="1">IFERROR(计算区域!R117,NA())</f>
        <v>0.11482335766943773</v>
      </c>
      <c r="R115">
        <f ca="1">IFERROR(计算区域!S117,NA())</f>
        <v>0.12120929968349034</v>
      </c>
      <c r="S115">
        <f ca="1">IFERROR(计算区域!T117,NA())</f>
        <v>0.11639209620347107</v>
      </c>
      <c r="T115">
        <f ca="1">IFERROR(计算区域!U117,NA())</f>
        <v>0.10352751597871893</v>
      </c>
      <c r="V115">
        <f ca="1">IFERROR(计算区域!X117,NA())</f>
        <v>0.11393477265028491</v>
      </c>
      <c r="W115">
        <f ca="1">IFERROR(计算区域!Y117,NA())</f>
        <v>0.12023695143128753</v>
      </c>
      <c r="X115">
        <f ca="1">IFERROR(计算区域!Z117,NA())</f>
        <v>0.11673968971676087</v>
      </c>
      <c r="Y115">
        <f ca="1">IFERROR(计算区域!AA117,NA())</f>
        <v>0.10431880636881315</v>
      </c>
    </row>
    <row r="116" spans="1:25" x14ac:dyDescent="0.2">
      <c r="A116" s="28">
        <f>计算区域!E118</f>
        <v>45499</v>
      </c>
      <c r="B116">
        <f ca="1">IFERROR(计算区域!AJ118,NA())</f>
        <v>6.8924314658538155E-2</v>
      </c>
      <c r="C116">
        <f ca="1">IFERROR(计算区域!AK118,NA())</f>
        <v>0.1117605397229017</v>
      </c>
      <c r="D116">
        <f ca="1">IFERROR(计算区域!AL118,NA())</f>
        <v>0.10495748393865789</v>
      </c>
      <c r="E116">
        <f ca="1">IFERROR(计算区域!AM118,NA())</f>
        <v>9.4669516901373055E-2</v>
      </c>
      <c r="G116">
        <f ca="1">IFERROR(计算区域!AD118,NA())</f>
        <v>0.15021577595874522</v>
      </c>
      <c r="H116">
        <f ca="1">IFERROR(计算区域!AE118,NA())</f>
        <v>0.11447714128329914</v>
      </c>
      <c r="I116">
        <f ca="1">IFERROR(计算区域!AF118,NA())</f>
        <v>0.1049621173725251</v>
      </c>
      <c r="J116">
        <f ca="1">IFERROR(计算区域!AG118,NA())</f>
        <v>9.4936501324729042E-2</v>
      </c>
      <c r="L116">
        <f ca="1">IFERROR(计算区域!L118,NA())</f>
        <v>0.12354754218351495</v>
      </c>
      <c r="M116">
        <f ca="1">IFERROR(计算区域!M118,NA())</f>
        <v>0.11664053893983006</v>
      </c>
      <c r="N116">
        <f ca="1">IFERROR(计算区域!N118,NA())</f>
        <v>0.11140341718212779</v>
      </c>
      <c r="O116">
        <f ca="1">IFERROR(计算区域!O118,NA())</f>
        <v>9.8735255933873584E-2</v>
      </c>
      <c r="Q116">
        <f ca="1">IFERROR(计算区域!R118,NA())</f>
        <v>0.12969847792915609</v>
      </c>
      <c r="R116">
        <f ca="1">IFERROR(计算区域!S118,NA())</f>
        <v>0.12140953045454585</v>
      </c>
      <c r="S116">
        <f ca="1">IFERROR(计算区域!T118,NA())</f>
        <v>0.11750668600728034</v>
      </c>
      <c r="T116">
        <f ca="1">IFERROR(计算区域!U118,NA())</f>
        <v>0.10381625113762957</v>
      </c>
      <c r="V116">
        <f ca="1">IFERROR(计算区域!X118,NA())</f>
        <v>0.13074338188803172</v>
      </c>
      <c r="W116">
        <f ca="1">IFERROR(计算区域!Y118,NA())</f>
        <v>0.12019420112568777</v>
      </c>
      <c r="X116">
        <f ca="1">IFERROR(计算区域!Z118,NA())</f>
        <v>0.11782282261705684</v>
      </c>
      <c r="Y116">
        <f ca="1">IFERROR(计算区域!AA118,NA())</f>
        <v>0.10471652434633465</v>
      </c>
    </row>
    <row r="117" spans="1:25" x14ac:dyDescent="0.2">
      <c r="A117" s="28">
        <f>计算区域!E119</f>
        <v>45498</v>
      </c>
      <c r="B117">
        <f ca="1">IFERROR(计算区域!AJ119,NA())</f>
        <v>0.12117776705681979</v>
      </c>
      <c r="C117">
        <f ca="1">IFERROR(计算区域!AK119,NA())</f>
        <v>0.11758877905852341</v>
      </c>
      <c r="D117">
        <f ca="1">IFERROR(计算区域!AL119,NA())</f>
        <v>0.10496755588667611</v>
      </c>
      <c r="E117">
        <f ca="1">IFERROR(计算区域!AM119,NA())</f>
        <v>9.546256211524666E-2</v>
      </c>
      <c r="G117">
        <f ca="1">IFERROR(计算区域!AD119,NA())</f>
        <v>0.1579901586941321</v>
      </c>
      <c r="H117">
        <f ca="1">IFERROR(计算区域!AE119,NA())</f>
        <v>0.11807822425506194</v>
      </c>
      <c r="I117">
        <f ca="1">IFERROR(计算区域!AF119,NA())</f>
        <v>0.10509931379062913</v>
      </c>
      <c r="J117">
        <f ca="1">IFERROR(计算区域!AG119,NA())</f>
        <v>9.5587907165543287E-2</v>
      </c>
      <c r="L117">
        <f ca="1">IFERROR(计算区域!L119,NA())</f>
        <v>0.13923583255817745</v>
      </c>
      <c r="M117">
        <f ca="1">IFERROR(计算区域!M119,NA())</f>
        <v>0.11410535241157511</v>
      </c>
      <c r="N117">
        <f ca="1">IFERROR(计算区域!N119,NA())</f>
        <v>0.11158448911292647</v>
      </c>
      <c r="O117">
        <f ca="1">IFERROR(计算区域!O119,NA())</f>
        <v>9.9874088369434802E-2</v>
      </c>
      <c r="Q117">
        <f ca="1">IFERROR(计算区域!R119,NA())</f>
        <v>0.14480649040585333</v>
      </c>
      <c r="R117">
        <f ca="1">IFERROR(计算区域!S119,NA())</f>
        <v>0.11719860682483715</v>
      </c>
      <c r="S117">
        <f ca="1">IFERROR(计算区域!T119,NA())</f>
        <v>0.11732751085887096</v>
      </c>
      <c r="T117">
        <f ca="1">IFERROR(计算区域!U119,NA())</f>
        <v>0.10503261963337161</v>
      </c>
      <c r="V117">
        <f ca="1">IFERROR(计算区域!X119,NA())</f>
        <v>0.14282843828784414</v>
      </c>
      <c r="W117">
        <f ca="1">IFERROR(计算区域!Y119,NA())</f>
        <v>0.11469429724313189</v>
      </c>
      <c r="X117">
        <f ca="1">IFERROR(计算区域!Z119,NA())</f>
        <v>0.11743143587307077</v>
      </c>
      <c r="Y117">
        <f ca="1">IFERROR(计算区域!AA119,NA())</f>
        <v>0.10593506440944267</v>
      </c>
    </row>
    <row r="118" spans="1:25" x14ac:dyDescent="0.2">
      <c r="A118" s="28">
        <f>计算区域!E120</f>
        <v>45497</v>
      </c>
      <c r="B118">
        <f ca="1">IFERROR(计算区域!AJ120,NA())</f>
        <v>0.13407882880822924</v>
      </c>
      <c r="C118">
        <f ca="1">IFERROR(计算区域!AK120,NA())</f>
        <v>0.11786691536843895</v>
      </c>
      <c r="D118">
        <f ca="1">IFERROR(计算区域!AL120,NA())</f>
        <v>9.9048392487832079E-2</v>
      </c>
      <c r="E118">
        <f ca="1">IFERROR(计算区域!AM120,NA())</f>
        <v>9.6689644294447069E-2</v>
      </c>
      <c r="G118">
        <f ca="1">IFERROR(计算区域!AD120,NA())</f>
        <v>0.14329590591081687</v>
      </c>
      <c r="H118">
        <f ca="1">IFERROR(计算区域!AE120,NA())</f>
        <v>0.12005792941702539</v>
      </c>
      <c r="I118">
        <f ca="1">IFERROR(计算区域!AF120,NA())</f>
        <v>9.9633556964934589E-2</v>
      </c>
      <c r="J118">
        <f ca="1">IFERROR(计算区域!AG120,NA())</f>
        <v>9.6693398614209045E-2</v>
      </c>
      <c r="L118">
        <f ca="1">IFERROR(计算区域!L120,NA())</f>
        <v>0.13502929339552186</v>
      </c>
      <c r="M118">
        <f ca="1">IFERROR(计算区域!M120,NA())</f>
        <v>0.11075124496841407</v>
      </c>
      <c r="N118">
        <f ca="1">IFERROR(计算区域!N120,NA())</f>
        <v>0.10906356861145004</v>
      </c>
      <c r="O118">
        <f ca="1">IFERROR(计算区域!O120,NA())</f>
        <v>0.10008726750761276</v>
      </c>
      <c r="Q118">
        <f ca="1">IFERROR(计算区域!R120,NA())</f>
        <v>0.13856020550461284</v>
      </c>
      <c r="R118">
        <f ca="1">IFERROR(计算区域!S120,NA())</f>
        <v>0.11303095932726318</v>
      </c>
      <c r="S118">
        <f ca="1">IFERROR(计算区域!T120,NA())</f>
        <v>0.11475834452891442</v>
      </c>
      <c r="T118">
        <f ca="1">IFERROR(计算区域!U120,NA())</f>
        <v>0.1046279973334542</v>
      </c>
      <c r="V118">
        <f ca="1">IFERROR(计算区域!X120,NA())</f>
        <v>0.13586120516002023</v>
      </c>
      <c r="W118">
        <f ca="1">IFERROR(计算区域!Y120,NA())</f>
        <v>0.11045200062356353</v>
      </c>
      <c r="X118">
        <f ca="1">IFERROR(计算区域!Z120,NA())</f>
        <v>0.11536749011224477</v>
      </c>
      <c r="Y118">
        <f ca="1">IFERROR(计算区域!AA120,NA())</f>
        <v>0.10538461764949192</v>
      </c>
    </row>
    <row r="119" spans="1:25" x14ac:dyDescent="0.2">
      <c r="A119" s="28">
        <f>计算区域!E121</f>
        <v>45496</v>
      </c>
      <c r="B119">
        <f ca="1">IFERROR(计算区域!AJ121,NA())</f>
        <v>0.14188679190267806</v>
      </c>
      <c r="C119">
        <f ca="1">IFERROR(计算区域!AK121,NA())</f>
        <v>0.11595564635069547</v>
      </c>
      <c r="D119">
        <f ca="1">IFERROR(计算区域!AL121,NA())</f>
        <v>9.7806177931206106E-2</v>
      </c>
      <c r="E119">
        <f ca="1">IFERROR(计算区域!AM121,NA())</f>
        <v>9.6657661507902684E-2</v>
      </c>
      <c r="G119">
        <f ca="1">IFERROR(计算区域!AD121,NA())</f>
        <v>0.14388251341732702</v>
      </c>
      <c r="H119">
        <f ca="1">IFERROR(计算区域!AE121,NA())</f>
        <v>0.11886125053686603</v>
      </c>
      <c r="I119">
        <f ca="1">IFERROR(计算区域!AF121,NA())</f>
        <v>9.8952008583577389E-2</v>
      </c>
      <c r="J119">
        <f ca="1">IFERROR(计算区域!AG121,NA())</f>
        <v>9.6697322927972215E-2</v>
      </c>
      <c r="L119">
        <f ca="1">IFERROR(计算区域!L121,NA())</f>
        <v>0.1323808437918518</v>
      </c>
      <c r="M119">
        <f ca="1">IFERROR(计算区域!M121,NA())</f>
        <v>0.10743071630876168</v>
      </c>
      <c r="N119">
        <f ca="1">IFERROR(计算区域!N121,NA())</f>
        <v>0.1084792094072311</v>
      </c>
      <c r="O119">
        <f ca="1">IFERROR(计算区域!O121,NA())</f>
        <v>0.10016334644469928</v>
      </c>
      <c r="Q119">
        <f ca="1">IFERROR(计算区域!R121,NA())</f>
        <v>0.13336635313340917</v>
      </c>
      <c r="R119">
        <f ca="1">IFERROR(计算区域!S121,NA())</f>
        <v>0.10852616823393202</v>
      </c>
      <c r="S119">
        <f ca="1">IFERROR(计算区域!T121,NA())</f>
        <v>0.11371104557258493</v>
      </c>
      <c r="T119">
        <f ca="1">IFERROR(计算区域!U121,NA())</f>
        <v>0.10452021244532796</v>
      </c>
      <c r="V119">
        <f ca="1">IFERROR(计算区域!X121,NA())</f>
        <v>0.130427350498798</v>
      </c>
      <c r="W119">
        <f ca="1">IFERROR(计算区域!Y121,NA())</f>
        <v>0.10659061115696888</v>
      </c>
      <c r="X119">
        <f ca="1">IFERROR(计算区域!Z121,NA())</f>
        <v>0.11424128960846963</v>
      </c>
      <c r="Y119">
        <f ca="1">IFERROR(计算区域!AA121,NA())</f>
        <v>0.10522126987256152</v>
      </c>
    </row>
    <row r="120" spans="1:25" x14ac:dyDescent="0.2">
      <c r="A120" s="28">
        <f>计算区域!E122</f>
        <v>45495</v>
      </c>
      <c r="B120">
        <f ca="1">IFERROR(计算区域!AJ122,NA())</f>
        <v>0.10163200642661965</v>
      </c>
      <c r="C120">
        <f ca="1">IFERROR(计算区域!AK122,NA())</f>
        <v>8.9583750150507513E-2</v>
      </c>
      <c r="D120">
        <f ca="1">IFERROR(计算区域!AL122,NA())</f>
        <v>8.5751656288819145E-2</v>
      </c>
      <c r="E120">
        <f ca="1">IFERROR(计算区域!AM122,NA())</f>
        <v>9.3201538153253174E-2</v>
      </c>
      <c r="G120">
        <f ca="1">IFERROR(计算区域!AD122,NA())</f>
        <v>0.10702960970572042</v>
      </c>
      <c r="H120">
        <f ca="1">IFERROR(计算区域!AE122,NA())</f>
        <v>0.10904145471236774</v>
      </c>
      <c r="I120">
        <f ca="1">IFERROR(计算区域!AF122,NA())</f>
        <v>8.8613192733258739E-2</v>
      </c>
      <c r="J120">
        <f ca="1">IFERROR(计算区域!AG122,NA())</f>
        <v>9.348007327003241E-2</v>
      </c>
      <c r="L120">
        <f ca="1">IFERROR(计算区域!L122,NA())</f>
        <v>0.12308767583181081</v>
      </c>
      <c r="M120">
        <f ca="1">IFERROR(计算区域!M122,NA())</f>
        <v>0.1142488248077124</v>
      </c>
      <c r="N120">
        <f ca="1">IFERROR(计算区域!N122,NA())</f>
        <v>0.10668072143820938</v>
      </c>
      <c r="O120">
        <f ca="1">IFERROR(计算区域!O122,NA())</f>
        <v>9.9136793045338359E-2</v>
      </c>
      <c r="Q120">
        <f ca="1">IFERROR(计算区域!R122,NA())</f>
        <v>0.12727523401290888</v>
      </c>
      <c r="R120">
        <f ca="1">IFERROR(计算区域!S122,NA())</f>
        <v>0.11859569735115946</v>
      </c>
      <c r="S120">
        <f ca="1">IFERROR(计算区域!T122,NA())</f>
        <v>0.11335499587286926</v>
      </c>
      <c r="T120">
        <f ca="1">IFERROR(计算区域!U122,NA())</f>
        <v>0.10398071440672473</v>
      </c>
      <c r="V120">
        <f ca="1">IFERROR(计算区域!X122,NA())</f>
        <v>0.12622486506274222</v>
      </c>
      <c r="W120">
        <f ca="1">IFERROR(计算区域!Y122,NA())</f>
        <v>0.11739242361656763</v>
      </c>
      <c r="X120">
        <f ca="1">IFERROR(计算区域!Z122,NA())</f>
        <v>0.11462566123745889</v>
      </c>
      <c r="Y120">
        <f ca="1">IFERROR(计算区域!AA122,NA())</f>
        <v>0.10503020507753086</v>
      </c>
    </row>
    <row r="121" spans="1:25" x14ac:dyDescent="0.2">
      <c r="A121" s="28">
        <f>计算区域!E123</f>
        <v>45492</v>
      </c>
      <c r="B121">
        <f ca="1">IFERROR(计算区域!AJ123,NA())</f>
        <v>1.9491457719336032E-2</v>
      </c>
      <c r="C121">
        <f ca="1">IFERROR(计算区域!AK123,NA())</f>
        <v>7.2413748378291773E-2</v>
      </c>
      <c r="D121">
        <f ca="1">IFERROR(计算区域!AL123,NA())</f>
        <v>7.6100999543686959E-2</v>
      </c>
      <c r="E121">
        <f ca="1">IFERROR(计算区域!AM123,NA())</f>
        <v>9.1713617700797445E-2</v>
      </c>
      <c r="G121">
        <f ca="1">IFERROR(计算区域!AD123,NA())</f>
        <v>8.3195591079119294E-2</v>
      </c>
      <c r="H121">
        <f ca="1">IFERROR(计算区域!AE123,NA())</f>
        <v>0.10049616346073323</v>
      </c>
      <c r="I121">
        <f ca="1">IFERROR(计算区域!AF123,NA())</f>
        <v>8.1787288430908239E-2</v>
      </c>
      <c r="J121">
        <f ca="1">IFERROR(计算区域!AG123,NA())</f>
        <v>9.208982688331907E-2</v>
      </c>
      <c r="L121">
        <f ca="1">IFERROR(计算区域!L123,NA())</f>
        <v>0.10929792069733356</v>
      </c>
      <c r="M121">
        <f ca="1">IFERROR(计算区域!M123,NA())</f>
        <v>0.1076828240800578</v>
      </c>
      <c r="N121">
        <f ca="1">IFERROR(计算区域!N123,NA())</f>
        <v>0.10595765017434665</v>
      </c>
      <c r="O121">
        <f ca="1">IFERROR(计算区域!O123,NA())</f>
        <v>9.7701757465690292E-2</v>
      </c>
      <c r="Q121">
        <f ca="1">IFERROR(计算区域!R123,NA())</f>
        <v>0.11251156826409808</v>
      </c>
      <c r="R121">
        <f ca="1">IFERROR(计算区域!S123,NA())</f>
        <v>0.11284789623668048</v>
      </c>
      <c r="S121">
        <f ca="1">IFERROR(计算区域!T123,NA())</f>
        <v>0.11310296341715949</v>
      </c>
      <c r="T121">
        <f ca="1">IFERROR(计算区域!U123,NA())</f>
        <v>0.10253199375932841</v>
      </c>
      <c r="V121">
        <f ca="1">IFERROR(计算区域!X123,NA())</f>
        <v>0.10862531961271674</v>
      </c>
      <c r="W121">
        <f ca="1">IFERROR(计算区域!Y123,NA())</f>
        <v>0.11076392583178918</v>
      </c>
      <c r="X121">
        <f ca="1">IFERROR(计算区域!Z123,NA())</f>
        <v>0.11435968050582343</v>
      </c>
      <c r="Y121">
        <f ca="1">IFERROR(计算区域!AA123,NA())</f>
        <v>0.10339476200714351</v>
      </c>
    </row>
    <row r="122" spans="1:25" x14ac:dyDescent="0.2">
      <c r="A122" s="28">
        <f>计算区域!E124</f>
        <v>45491</v>
      </c>
      <c r="B122">
        <f ca="1">IFERROR(计算区域!AJ124,NA())</f>
        <v>1.5263404955014784E-2</v>
      </c>
      <c r="C122">
        <f ca="1">IFERROR(计算区域!AK124,NA())</f>
        <v>9.3059847461644182E-2</v>
      </c>
      <c r="D122">
        <f ca="1">IFERROR(计算区域!AL124,NA())</f>
        <v>7.5068030908437375E-2</v>
      </c>
      <c r="E122">
        <f ca="1">IFERROR(计算区域!AM124,NA())</f>
        <v>9.0920950696753405E-2</v>
      </c>
      <c r="G122">
        <f ca="1">IFERROR(计算区域!AD124,NA())</f>
        <v>8.006035600137891E-2</v>
      </c>
      <c r="H122">
        <f ca="1">IFERROR(计算区域!AE124,NA())</f>
        <v>0.10341117875403666</v>
      </c>
      <c r="I122">
        <f ca="1">IFERROR(计算区域!AF124,NA())</f>
        <v>7.8491793734190157E-2</v>
      </c>
      <c r="J122">
        <f ca="1">IFERROR(计算区域!AG124,NA())</f>
        <v>9.1126742585243212E-2</v>
      </c>
      <c r="L122">
        <f ca="1">IFERROR(计算区域!L124,NA())</f>
        <v>8.1568657153165608E-2</v>
      </c>
      <c r="M122">
        <f ca="1">IFERROR(计算区域!M124,NA())</f>
        <v>0.10809118101371781</v>
      </c>
      <c r="N122">
        <f ca="1">IFERROR(计算区域!N124,NA())</f>
        <v>0.10117242030219051</v>
      </c>
      <c r="O122">
        <f ca="1">IFERROR(计算区域!O124,NA())</f>
        <v>9.6188448887980754E-2</v>
      </c>
      <c r="Q122">
        <f ca="1">IFERROR(计算区域!R124,NA())</f>
        <v>8.0635644845843735E-2</v>
      </c>
      <c r="R122">
        <f ca="1">IFERROR(计算区域!S124,NA())</f>
        <v>0.11441091963985399</v>
      </c>
      <c r="S122">
        <f ca="1">IFERROR(计算区域!T124,NA())</f>
        <v>0.1088252986515777</v>
      </c>
      <c r="T122">
        <f ca="1">IFERROR(计算区域!U124,NA())</f>
        <v>0.10121487492360152</v>
      </c>
      <c r="V122">
        <f ca="1">IFERROR(计算区域!X124,NA())</f>
        <v>7.6873928327146651E-2</v>
      </c>
      <c r="W122">
        <f ca="1">IFERROR(计算区域!Y124,NA())</f>
        <v>0.11472881876633502</v>
      </c>
      <c r="X122">
        <f ca="1">IFERROR(计算区域!Z124,NA())</f>
        <v>0.1112259753707972</v>
      </c>
      <c r="Y122">
        <f ca="1">IFERROR(计算区域!AA124,NA())</f>
        <v>0.10269809387365399</v>
      </c>
    </row>
    <row r="123" spans="1:25" x14ac:dyDescent="0.2">
      <c r="A123" s="28">
        <f>计算区域!E125</f>
        <v>45490</v>
      </c>
      <c r="B123">
        <f ca="1">IFERROR(计算区域!AJ125,NA())</f>
        <v>4.579591775019784E-2</v>
      </c>
      <c r="C123">
        <f ca="1">IFERROR(计算区域!AK125,NA())</f>
        <v>9.6685404062362368E-2</v>
      </c>
      <c r="D123">
        <f ca="1">IFERROR(计算区域!AL125,NA())</f>
        <v>7.5431727781267666E-2</v>
      </c>
      <c r="E123">
        <f ca="1">IFERROR(计算区域!AM125,NA())</f>
        <v>9.1507263273093803E-2</v>
      </c>
      <c r="G123">
        <f ca="1">IFERROR(计算区域!AD125,NA())</f>
        <v>0.10907599545720903</v>
      </c>
      <c r="H123">
        <f ca="1">IFERROR(计算区域!AE125,NA())</f>
        <v>0.10179874736556341</v>
      </c>
      <c r="I123">
        <f ca="1">IFERROR(计算区域!AF125,NA())</f>
        <v>7.7282016867863873E-2</v>
      </c>
      <c r="J123">
        <f ca="1">IFERROR(计算区域!AG125,NA())</f>
        <v>9.15619219919621E-2</v>
      </c>
      <c r="L123">
        <f ca="1">IFERROR(计算区域!L125,NA())</f>
        <v>7.9364768311974573E-2</v>
      </c>
      <c r="M123">
        <f ca="1">IFERROR(计算区域!M125,NA())</f>
        <v>0.10661929464462125</v>
      </c>
      <c r="N123">
        <f ca="1">IFERROR(计算区域!N125,NA())</f>
        <v>9.9813577499854964E-2</v>
      </c>
      <c r="O123">
        <f ca="1">IFERROR(计算区域!O125,NA())</f>
        <v>9.5968718404838727E-2</v>
      </c>
      <c r="Q123">
        <f ca="1">IFERROR(计算区域!R125,NA())</f>
        <v>7.9706116348761499E-2</v>
      </c>
      <c r="R123">
        <f ca="1">IFERROR(计算区域!S125,NA())</f>
        <v>0.11373193557439369</v>
      </c>
      <c r="S123">
        <f ca="1">IFERROR(计算区域!T125,NA())</f>
        <v>0.10803477625943426</v>
      </c>
      <c r="T123">
        <f ca="1">IFERROR(计算区域!U125,NA())</f>
        <v>0.10124034515577764</v>
      </c>
      <c r="V123">
        <f ca="1">IFERROR(计算区域!X125,NA())</f>
        <v>7.7078024208993914E-2</v>
      </c>
      <c r="W123">
        <f ca="1">IFERROR(计算区域!Y125,NA())</f>
        <v>0.11521668432658927</v>
      </c>
      <c r="X123">
        <f ca="1">IFERROR(计算区域!Z125,NA())</f>
        <v>0.11098194117483648</v>
      </c>
      <c r="Y123">
        <f ca="1">IFERROR(计算区域!AA125,NA())</f>
        <v>0.10281659325200701</v>
      </c>
    </row>
    <row r="124" spans="1:25" x14ac:dyDescent="0.2">
      <c r="A124" s="28">
        <f>计算区域!E126</f>
        <v>45489</v>
      </c>
      <c r="B124">
        <f ca="1">IFERROR(计算区域!AJ126,NA())</f>
        <v>6.92725523183087E-2</v>
      </c>
      <c r="C124">
        <f ca="1">IFERROR(计算区域!AK126,NA())</f>
        <v>9.6387385350813606E-2</v>
      </c>
      <c r="D124">
        <f ca="1">IFERROR(计算区域!AL126,NA())</f>
        <v>7.4691720573453704E-2</v>
      </c>
      <c r="E124">
        <f ca="1">IFERROR(计算区域!AM126,NA())</f>
        <v>9.1336881063729836E-2</v>
      </c>
      <c r="G124">
        <f ca="1">IFERROR(计算区域!AD126,NA())</f>
        <v>0.10528919845304592</v>
      </c>
      <c r="H124">
        <f ca="1">IFERROR(计算区域!AE126,NA())</f>
        <v>9.9645196908137001E-2</v>
      </c>
      <c r="I124">
        <f ca="1">IFERROR(计算区域!AF126,NA())</f>
        <v>7.6165743703290184E-2</v>
      </c>
      <c r="J124">
        <f ca="1">IFERROR(计算区域!AG126,NA())</f>
        <v>9.1381543212813651E-2</v>
      </c>
      <c r="L124">
        <f ca="1">IFERROR(计算区域!L126,NA())</f>
        <v>7.4552195207013158E-2</v>
      </c>
      <c r="M124">
        <f ca="1">IFERROR(计算区域!M126,NA())</f>
        <v>0.10485354839106217</v>
      </c>
      <c r="N124">
        <f ca="1">IFERROR(计算区域!N126,NA())</f>
        <v>9.8976222845666317E-2</v>
      </c>
      <c r="O124">
        <f ca="1">IFERROR(计算区域!O126,NA())</f>
        <v>9.7409076050420457E-2</v>
      </c>
      <c r="Q124">
        <f ca="1">IFERROR(计算区域!R126,NA())</f>
        <v>7.5955738657287969E-2</v>
      </c>
      <c r="R124">
        <f ca="1">IFERROR(计算区域!S126,NA())</f>
        <v>0.11240769101149543</v>
      </c>
      <c r="S124">
        <f ca="1">IFERROR(计算区域!T126,NA())</f>
        <v>0.10743851319866071</v>
      </c>
      <c r="T124">
        <f ca="1">IFERROR(计算区域!U126,NA())</f>
        <v>0.10307862781816429</v>
      </c>
      <c r="V124">
        <f ca="1">IFERROR(计算区域!X126,NA())</f>
        <v>7.5576603625037139E-2</v>
      </c>
      <c r="W124">
        <f ca="1">IFERROR(计算区域!Y126,NA())</f>
        <v>0.11428719053612359</v>
      </c>
      <c r="X124">
        <f ca="1">IFERROR(计算区域!Z126,NA())</f>
        <v>0.11046680289177281</v>
      </c>
      <c r="Y124">
        <f ca="1">IFERROR(计算区域!AA126,NA())</f>
        <v>0.10530722173540308</v>
      </c>
    </row>
    <row r="125" spans="1:25" x14ac:dyDescent="0.2">
      <c r="A125" s="28">
        <f>计算区域!E127</f>
        <v>45488</v>
      </c>
      <c r="B125">
        <f ca="1">IFERROR(计算区域!AJ127,NA())</f>
        <v>7.5040015912782185E-2</v>
      </c>
      <c r="C125">
        <f ca="1">IFERROR(计算区域!AK127,NA())</f>
        <v>9.7340508618981164E-2</v>
      </c>
      <c r="D125">
        <f ca="1">IFERROR(计算区域!AL127,NA())</f>
        <v>7.408855264438402E-2</v>
      </c>
      <c r="E125">
        <f ca="1">IFERROR(计算区域!AM127,NA())</f>
        <v>9.3296793568745942E-2</v>
      </c>
      <c r="G125">
        <f ca="1">IFERROR(计算区域!AD127,NA())</f>
        <v>0.12368205225200295</v>
      </c>
      <c r="H125">
        <f ca="1">IFERROR(计算区域!AE127,NA())</f>
        <v>0.10111858304389051</v>
      </c>
      <c r="I125">
        <f ca="1">IFERROR(计算区域!AF127,NA())</f>
        <v>7.5056652707838192E-2</v>
      </c>
      <c r="J125">
        <f ca="1">IFERROR(计算区域!AG127,NA())</f>
        <v>9.3409188153429273E-2</v>
      </c>
      <c r="L125">
        <f ca="1">IFERROR(计算区域!L127,NA())</f>
        <v>0.10466619319632188</v>
      </c>
      <c r="M125">
        <f ca="1">IFERROR(计算区域!M127,NA())</f>
        <v>0.10464366293770179</v>
      </c>
      <c r="N125">
        <f ca="1">IFERROR(计算区域!N127,NA())</f>
        <v>9.8141091303642403E-2</v>
      </c>
      <c r="O125">
        <f ca="1">IFERROR(计算区域!O127,NA())</f>
        <v>9.9181628371807246E-2</v>
      </c>
      <c r="Q125">
        <f ca="1">IFERROR(计算区域!R127,NA())</f>
        <v>0.1092286302549606</v>
      </c>
      <c r="R125">
        <f ca="1">IFERROR(计算区域!S127,NA())</f>
        <v>0.11136671759333647</v>
      </c>
      <c r="S125">
        <f ca="1">IFERROR(计算区域!T127,NA())</f>
        <v>0.10680458679089604</v>
      </c>
      <c r="T125">
        <f ca="1">IFERROR(计算区域!U127,NA())</f>
        <v>0.10449201435623172</v>
      </c>
      <c r="V125">
        <f ca="1">IFERROR(计算区域!X127,NA())</f>
        <v>0.10783898035977457</v>
      </c>
      <c r="W125">
        <f ca="1">IFERROR(计算区域!Y127,NA())</f>
        <v>0.11313437064323734</v>
      </c>
      <c r="X125">
        <f ca="1">IFERROR(计算区域!Z127,NA())</f>
        <v>0.11005877177149651</v>
      </c>
      <c r="Y125">
        <f ca="1">IFERROR(计算区域!AA127,NA())</f>
        <v>0.10660555915386938</v>
      </c>
    </row>
    <row r="126" spans="1:25" x14ac:dyDescent="0.2">
      <c r="A126" s="28">
        <f>计算区域!E128</f>
        <v>45485</v>
      </c>
      <c r="B126">
        <f ca="1">IFERROR(计算区域!AJ128,NA())</f>
        <v>0.10640187697498947</v>
      </c>
      <c r="C126">
        <f ca="1">IFERROR(计算区域!AK128,NA())</f>
        <v>9.71288291715873E-2</v>
      </c>
      <c r="D126">
        <f ca="1">IFERROR(计算区域!AL128,NA())</f>
        <v>7.6736864859104498E-2</v>
      </c>
      <c r="E126">
        <f ca="1">IFERROR(计算区域!AM128,NA())</f>
        <v>9.3386791913840611E-2</v>
      </c>
      <c r="G126">
        <f ca="1">IFERROR(计算区域!AD128,NA())</f>
        <v>0.12570728333406303</v>
      </c>
      <c r="H126">
        <f ca="1">IFERROR(计算区域!AE128,NA())</f>
        <v>0.10076305137167821</v>
      </c>
      <c r="I126">
        <f ca="1">IFERROR(计算区域!AF128,NA())</f>
        <v>7.6835557107094082E-2</v>
      </c>
      <c r="J126">
        <f ca="1">IFERROR(计算区域!AG128,NA())</f>
        <v>9.3418929743023363E-2</v>
      </c>
      <c r="L126">
        <f ca="1">IFERROR(计算区域!L128,NA())</f>
        <v>0.1060431314840935</v>
      </c>
      <c r="M126">
        <f ca="1">IFERROR(计算区域!M128,NA())</f>
        <v>0.10590763615309522</v>
      </c>
      <c r="N126">
        <f ca="1">IFERROR(计算区域!N128,NA())</f>
        <v>9.7272529107981773E-2</v>
      </c>
      <c r="O126">
        <f ca="1">IFERROR(计算区域!O128,NA())</f>
        <v>0.10017584871033633</v>
      </c>
      <c r="Q126">
        <f ca="1">IFERROR(计算区域!R128,NA())</f>
        <v>0.1131832248031589</v>
      </c>
      <c r="R126">
        <f ca="1">IFERROR(计算区域!S128,NA())</f>
        <v>0.11346968065361714</v>
      </c>
      <c r="S126">
        <f ca="1">IFERROR(计算区域!T128,NA())</f>
        <v>0.106312594204789</v>
      </c>
      <c r="T126">
        <f ca="1">IFERROR(计算区域!U128,NA())</f>
        <v>0.10597976769260278</v>
      </c>
      <c r="V126">
        <f ca="1">IFERROR(计算区域!X128,NA())</f>
        <v>0.11286201517948949</v>
      </c>
      <c r="W126">
        <f ca="1">IFERROR(计算区域!Y128,NA())</f>
        <v>0.11540272559458287</v>
      </c>
      <c r="X126">
        <f ca="1">IFERROR(计算区域!Z128,NA())</f>
        <v>0.10982022782138817</v>
      </c>
      <c r="Y126">
        <f ca="1">IFERROR(计算区域!AA128,NA())</f>
        <v>0.10818573567529255</v>
      </c>
    </row>
    <row r="127" spans="1:25" x14ac:dyDescent="0.2">
      <c r="A127" s="28">
        <f>计算区域!E129</f>
        <v>45484</v>
      </c>
      <c r="B127">
        <f ca="1">IFERROR(计算区域!AJ129,NA())</f>
        <v>0.13175756842582476</v>
      </c>
      <c r="C127">
        <f ca="1">IFERROR(计算区域!AK129,NA())</f>
        <v>9.4404293310815401E-2</v>
      </c>
      <c r="D127">
        <f ca="1">IFERROR(计算区域!AL129,NA())</f>
        <v>7.761537062135912E-2</v>
      </c>
      <c r="E127">
        <f ca="1">IFERROR(计算区域!AM129,NA())</f>
        <v>0.10143500499380995</v>
      </c>
      <c r="G127">
        <f ca="1">IFERROR(计算区域!AD129,NA())</f>
        <v>0.13285914026650913</v>
      </c>
      <c r="H127">
        <f ca="1">IFERROR(计算区域!AE129,NA())</f>
        <v>9.6832757334433306E-2</v>
      </c>
      <c r="I127">
        <f ca="1">IFERROR(计算区域!AF129,NA())</f>
        <v>7.7749885381911826E-2</v>
      </c>
      <c r="J127">
        <f ca="1">IFERROR(计算区域!AG129,NA())</f>
        <v>0.10162807632061147</v>
      </c>
      <c r="L127">
        <f ca="1">IFERROR(计算区域!L129,NA())</f>
        <v>0.12928248526428451</v>
      </c>
      <c r="M127">
        <f ca="1">IFERROR(计算区域!M129,NA())</f>
        <v>0.10900534377825641</v>
      </c>
      <c r="N127">
        <f ca="1">IFERROR(计算区域!N129,NA())</f>
        <v>0.10025117009343314</v>
      </c>
      <c r="O127">
        <f ca="1">IFERROR(计算区域!O129,NA())</f>
        <v>0.10353129971082185</v>
      </c>
      <c r="Q127">
        <f ca="1">IFERROR(计算区域!R129,NA())</f>
        <v>0.14027690417873218</v>
      </c>
      <c r="R127">
        <f ca="1">IFERROR(计算区域!S129,NA())</f>
        <v>0.11745627342545056</v>
      </c>
      <c r="S127">
        <f ca="1">IFERROR(计算区域!T129,NA())</f>
        <v>0.10909785001361159</v>
      </c>
      <c r="T127">
        <f ca="1">IFERROR(计算区域!U129,NA())</f>
        <v>0.10720808751721005</v>
      </c>
      <c r="V127">
        <f ca="1">IFERROR(计算区域!X129,NA())</f>
        <v>0.14288387891777651</v>
      </c>
      <c r="W127">
        <f ca="1">IFERROR(计算区域!Y129,NA())</f>
        <v>0.12010621317120262</v>
      </c>
      <c r="X127">
        <f ca="1">IFERROR(计算区域!Z129,NA())</f>
        <v>0.11224366414365379</v>
      </c>
      <c r="Y127">
        <f ca="1">IFERROR(计算区域!AA129,NA())</f>
        <v>0.10850630764750333</v>
      </c>
    </row>
    <row r="128" spans="1:25" x14ac:dyDescent="0.2">
      <c r="A128" s="28">
        <f>计算区域!E130</f>
        <v>45483</v>
      </c>
      <c r="B128">
        <f ca="1">IFERROR(计算区域!AJ130,NA())</f>
        <v>0.10213804809728488</v>
      </c>
      <c r="C128">
        <f ca="1">IFERROR(计算区域!AK130,NA())</f>
        <v>8.0884551870601409E-2</v>
      </c>
      <c r="D128">
        <f ca="1">IFERROR(计算区域!AL130,NA())</f>
        <v>6.8978410804914569E-2</v>
      </c>
      <c r="E128">
        <f ca="1">IFERROR(计算区域!AM130,NA())</f>
        <v>0.10086335700171258</v>
      </c>
      <c r="G128">
        <f ca="1">IFERROR(计算区域!AD130,NA())</f>
        <v>0.10686039203893073</v>
      </c>
      <c r="H128">
        <f ca="1">IFERROR(计算区域!AE130,NA())</f>
        <v>8.0887377159082827E-2</v>
      </c>
      <c r="I128">
        <f ca="1">IFERROR(计算区域!AF130,NA())</f>
        <v>6.9353922404102153E-2</v>
      </c>
      <c r="J128">
        <f ca="1">IFERROR(计算区域!AG130,NA())</f>
        <v>0.10087036109012756</v>
      </c>
      <c r="L128">
        <f ca="1">IFERROR(计算区域!L130,NA())</f>
        <v>0.12820523207661891</v>
      </c>
      <c r="M128">
        <f ca="1">IFERROR(计算区域!M130,NA())</f>
        <v>0.10734936299054264</v>
      </c>
      <c r="N128">
        <f ca="1">IFERROR(计算区域!N130,NA())</f>
        <v>9.9759134370170352E-2</v>
      </c>
      <c r="O128">
        <f ca="1">IFERROR(计算区域!O130,NA())</f>
        <v>0.10417600778481333</v>
      </c>
      <c r="Q128">
        <f ca="1">IFERROR(计算区域!R130,NA())</f>
        <v>0.13970268914947115</v>
      </c>
      <c r="R128">
        <f ca="1">IFERROR(计算区域!S130,NA())</f>
        <v>0.1164601112466952</v>
      </c>
      <c r="S128">
        <f ca="1">IFERROR(计算区域!T130,NA())</f>
        <v>0.10837177039787547</v>
      </c>
      <c r="T128">
        <f ca="1">IFERROR(计算区域!U130,NA())</f>
        <v>0.10777171141126479</v>
      </c>
      <c r="V128">
        <f ca="1">IFERROR(计算区域!X130,NA())</f>
        <v>0.14355746890518653</v>
      </c>
      <c r="W128">
        <f ca="1">IFERROR(计算区域!Y130,NA())</f>
        <v>0.12008193497712345</v>
      </c>
      <c r="X128">
        <f ca="1">IFERROR(计算区域!Z130,NA())</f>
        <v>0.11162030404546879</v>
      </c>
      <c r="Y128">
        <f ca="1">IFERROR(计算区域!AA130,NA())</f>
        <v>0.10894232925647382</v>
      </c>
    </row>
    <row r="129" spans="1:25" x14ac:dyDescent="0.2">
      <c r="A129" s="28">
        <f>计算区域!E131</f>
        <v>45482</v>
      </c>
      <c r="B129">
        <f ca="1">IFERROR(计算区域!AJ131,NA())</f>
        <v>0.10293295141041998</v>
      </c>
      <c r="C129">
        <f ca="1">IFERROR(计算区域!AK131,NA())</f>
        <v>8.074993482913545E-2</v>
      </c>
      <c r="D129">
        <f ca="1">IFERROR(计算区域!AL131,NA())</f>
        <v>6.8900628346006049E-2</v>
      </c>
      <c r="E129">
        <f ca="1">IFERROR(计算区域!AM131,NA())</f>
        <v>0.10081930663509928</v>
      </c>
      <c r="G129">
        <f ca="1">IFERROR(计算区域!AD131,NA())</f>
        <v>0.10608867300307444</v>
      </c>
      <c r="H129">
        <f ca="1">IFERROR(计算区域!AE131,NA())</f>
        <v>8.0888488495015606E-2</v>
      </c>
      <c r="I129">
        <f ca="1">IFERROR(计算区域!AF131,NA())</f>
        <v>6.9242270724639149E-2</v>
      </c>
      <c r="J129">
        <f ca="1">IFERROR(计算区域!AG131,NA())</f>
        <v>0.10082906928260017</v>
      </c>
      <c r="L129">
        <f ca="1">IFERROR(计算区域!L131,NA())</f>
        <v>0.12818152522968757</v>
      </c>
      <c r="M129">
        <f ca="1">IFERROR(计算区域!M131,NA())</f>
        <v>0.10951766497064373</v>
      </c>
      <c r="N129">
        <f ca="1">IFERROR(计算区域!N131,NA())</f>
        <v>9.9850027530250296E-2</v>
      </c>
      <c r="O129">
        <f ca="1">IFERROR(计算区域!O131,NA())</f>
        <v>0.10472622175316471</v>
      </c>
      <c r="Q129">
        <f ca="1">IFERROR(计算区域!R131,NA())</f>
        <v>0.13964850075134153</v>
      </c>
      <c r="R129">
        <f ca="1">IFERROR(计算区域!S131,NA())</f>
        <v>0.11866960259005363</v>
      </c>
      <c r="S129">
        <f ca="1">IFERROR(计算区域!T131,NA())</f>
        <v>0.10847799379412426</v>
      </c>
      <c r="T129">
        <f ca="1">IFERROR(计算区域!U131,NA())</f>
        <v>0.10846333661370798</v>
      </c>
      <c r="V129">
        <f ca="1">IFERROR(计算区域!X131,NA())</f>
        <v>0.1428681238967757</v>
      </c>
      <c r="W129">
        <f ca="1">IFERROR(计算区域!Y131,NA())</f>
        <v>0.12141081548196736</v>
      </c>
      <c r="X129">
        <f ca="1">IFERROR(计算区域!Z131,NA())</f>
        <v>0.11139837409548736</v>
      </c>
      <c r="Y129">
        <f ca="1">IFERROR(计算区域!AA131,NA())</f>
        <v>0.10950304400107283</v>
      </c>
    </row>
    <row r="130" spans="1:25" x14ac:dyDescent="0.2">
      <c r="A130" s="28">
        <f>计算区域!E132</f>
        <v>45481</v>
      </c>
      <c r="B130">
        <f ca="1">IFERROR(计算区域!AJ132,NA())</f>
        <v>7.804132426704051E-2</v>
      </c>
      <c r="C130">
        <f ca="1">IFERROR(计算区域!AK132,NA())</f>
        <v>6.6500828173389995E-2</v>
      </c>
      <c r="D130">
        <f ca="1">IFERROR(计算区域!AL132,NA())</f>
        <v>7.1123730934936513E-2</v>
      </c>
      <c r="E130">
        <f ca="1">IFERROR(计算区域!AM132,NA())</f>
        <v>9.9244969882812298E-2</v>
      </c>
      <c r="G130">
        <f ca="1">IFERROR(计算区域!AD132,NA())</f>
        <v>8.7800498765908064E-2</v>
      </c>
      <c r="H130">
        <f ca="1">IFERROR(计算区域!AE132,NA())</f>
        <v>6.8461920469336204E-2</v>
      </c>
      <c r="I130">
        <f ca="1">IFERROR(计算区域!AF132,NA())</f>
        <v>7.501408382200854E-2</v>
      </c>
      <c r="J130">
        <f ca="1">IFERROR(计算区域!AG132,NA())</f>
        <v>9.9258260547890345E-2</v>
      </c>
      <c r="L130">
        <f ca="1">IFERROR(计算区域!L132,NA())</f>
        <v>0.10462112782716931</v>
      </c>
      <c r="M130">
        <f ca="1">IFERROR(计算区域!M132,NA())</f>
        <v>9.8533033461932415E-2</v>
      </c>
      <c r="N130">
        <f ca="1">IFERROR(计算区域!N132,NA())</f>
        <v>9.5287619180277477E-2</v>
      </c>
      <c r="O130">
        <f ca="1">IFERROR(计算区域!O132,NA())</f>
        <v>0.10264373176112111</v>
      </c>
      <c r="Q130">
        <f ca="1">IFERROR(计算区域!R132,NA())</f>
        <v>0.11346452268287663</v>
      </c>
      <c r="R130">
        <f ca="1">IFERROR(计算区域!S132,NA())</f>
        <v>0.10785995896748989</v>
      </c>
      <c r="S130">
        <f ca="1">IFERROR(计算区域!T132,NA())</f>
        <v>0.10268704461160787</v>
      </c>
      <c r="T130">
        <f ca="1">IFERROR(计算区域!U132,NA())</f>
        <v>0.10625248910595697</v>
      </c>
      <c r="V130">
        <f ca="1">IFERROR(计算区域!X132,NA())</f>
        <v>0.11819274917120323</v>
      </c>
      <c r="W130">
        <f ca="1">IFERROR(计算区域!Y132,NA())</f>
        <v>0.11179044371357377</v>
      </c>
      <c r="X130">
        <f ca="1">IFERROR(计算区域!Z132,NA())</f>
        <v>0.10578791379264448</v>
      </c>
      <c r="Y130">
        <f ca="1">IFERROR(计算区域!AA132,NA())</f>
        <v>0.10742708186557652</v>
      </c>
    </row>
    <row r="131" spans="1:25" x14ac:dyDescent="0.2">
      <c r="A131" s="28">
        <f>计算区域!E133</f>
        <v>45478</v>
      </c>
      <c r="B131">
        <f ca="1">IFERROR(计算区域!AJ133,NA())</f>
        <v>8.331466666154233E-2</v>
      </c>
      <c r="C131">
        <f ca="1">IFERROR(计算区域!AK133,NA())</f>
        <v>6.2898644719459079E-2</v>
      </c>
      <c r="D131">
        <f ca="1">IFERROR(计算区域!AL133,NA())</f>
        <v>7.0807916764364334E-2</v>
      </c>
      <c r="E131">
        <f ca="1">IFERROR(计算区域!AM133,NA())</f>
        <v>9.932439663234939E-2</v>
      </c>
      <c r="G131">
        <f ca="1">IFERROR(计算区域!AD133,NA())</f>
        <v>8.3918782704859265E-2</v>
      </c>
      <c r="H131">
        <f ca="1">IFERROR(计算区域!AE133,NA())</f>
        <v>6.3419888744947098E-2</v>
      </c>
      <c r="I131">
        <f ca="1">IFERROR(计算区域!AF133,NA())</f>
        <v>7.4576661669534861E-2</v>
      </c>
      <c r="J131">
        <f ca="1">IFERROR(计算区域!AG133,NA())</f>
        <v>9.9339351960604061E-2</v>
      </c>
      <c r="L131">
        <f ca="1">IFERROR(计算区域!L133,NA())</f>
        <v>0.10577196725087443</v>
      </c>
      <c r="M131">
        <f ca="1">IFERROR(计算区域!M133,NA())</f>
        <v>0.10420391863592157</v>
      </c>
      <c r="N131">
        <f ca="1">IFERROR(计算区域!N133,NA())</f>
        <v>9.7565203115816346E-2</v>
      </c>
      <c r="O131">
        <f ca="1">IFERROR(计算区域!O133,NA())</f>
        <v>0.10258719729316701</v>
      </c>
      <c r="Q131">
        <f ca="1">IFERROR(计算区域!R133,NA())</f>
        <v>0.11375541516088498</v>
      </c>
      <c r="R131">
        <f ca="1">IFERROR(计算区域!S133,NA())</f>
        <v>0.11335745666890215</v>
      </c>
      <c r="S131">
        <f ca="1">IFERROR(计算区域!T133,NA())</f>
        <v>0.10463021781348533</v>
      </c>
      <c r="T131">
        <f ca="1">IFERROR(计算区域!U133,NA())</f>
        <v>0.10601410753796854</v>
      </c>
      <c r="V131">
        <f ca="1">IFERROR(计算区域!X133,NA())</f>
        <v>0.11788869190444801</v>
      </c>
      <c r="W131">
        <f ca="1">IFERROR(计算区域!Y133,NA())</f>
        <v>0.11784577118046251</v>
      </c>
      <c r="X131">
        <f ca="1">IFERROR(计算区域!Z133,NA())</f>
        <v>0.1075758863247107</v>
      </c>
      <c r="Y131">
        <f ca="1">IFERROR(计算区域!AA133,NA())</f>
        <v>0.10710866245163399</v>
      </c>
    </row>
    <row r="132" spans="1:25" x14ac:dyDescent="0.2">
      <c r="A132" s="28">
        <f>计算区域!E134</f>
        <v>45477</v>
      </c>
      <c r="B132">
        <f ca="1">IFERROR(计算区域!AJ134,NA())</f>
        <v>5.1238770480655386E-2</v>
      </c>
      <c r="C132">
        <f ca="1">IFERROR(计算区域!AK134,NA())</f>
        <v>4.8047158683549057E-2</v>
      </c>
      <c r="D132">
        <f ca="1">IFERROR(计算区域!AL134,NA())</f>
        <v>6.6538857693584433E-2</v>
      </c>
      <c r="E132">
        <f ca="1">IFERROR(计算区域!AM134,NA())</f>
        <v>9.8516964213823707E-2</v>
      </c>
      <c r="G132">
        <f ca="1">IFERROR(计算区域!AD134,NA())</f>
        <v>5.8700599288847612E-2</v>
      </c>
      <c r="H132">
        <f ca="1">IFERROR(计算区域!AE134,NA())</f>
        <v>4.8089528736523751E-2</v>
      </c>
      <c r="I132">
        <f ca="1">IFERROR(计算区域!AF134,NA())</f>
        <v>6.8558059838749172E-2</v>
      </c>
      <c r="J132">
        <f ca="1">IFERROR(计算区域!AG134,NA())</f>
        <v>9.8521671352514301E-2</v>
      </c>
      <c r="L132">
        <f ca="1">IFERROR(计算区域!L134,NA())</f>
        <v>8.3966475145273167E-2</v>
      </c>
      <c r="M132">
        <f ca="1">IFERROR(计算区域!M134,NA())</f>
        <v>9.3744407015383405E-2</v>
      </c>
      <c r="N132">
        <f ca="1">IFERROR(计算区域!N134,NA())</f>
        <v>9.2590914170741501E-2</v>
      </c>
      <c r="O132">
        <f ca="1">IFERROR(计算区域!O134,NA())</f>
        <v>0.10075703996831359</v>
      </c>
      <c r="Q132">
        <f ca="1">IFERROR(计算区域!R134,NA())</f>
        <v>8.8962590385055634E-2</v>
      </c>
      <c r="R132">
        <f ca="1">IFERROR(计算区域!S134,NA())</f>
        <v>0.10293703279370854</v>
      </c>
      <c r="S132">
        <f ca="1">IFERROR(计算区域!T134,NA())</f>
        <v>9.9693129613037487E-2</v>
      </c>
      <c r="T132">
        <f ca="1">IFERROR(计算区域!U134,NA())</f>
        <v>0.10400756469672073</v>
      </c>
      <c r="V132">
        <f ca="1">IFERROR(计算区域!X134,NA())</f>
        <v>9.1843355938592067E-2</v>
      </c>
      <c r="W132">
        <f ca="1">IFERROR(计算区域!Y134,NA())</f>
        <v>0.10760916939950715</v>
      </c>
      <c r="X132">
        <f ca="1">IFERROR(计算区域!Z134,NA())</f>
        <v>0.10238234485231716</v>
      </c>
      <c r="Y132">
        <f ca="1">IFERROR(计算区域!AA134,NA())</f>
        <v>0.10484037829495545</v>
      </c>
    </row>
    <row r="133" spans="1:25" x14ac:dyDescent="0.2">
      <c r="A133" s="28">
        <f>计算区域!E135</f>
        <v>45476</v>
      </c>
      <c r="B133">
        <f ca="1">IFERROR(计算区域!AJ135,NA())</f>
        <v>4.9022180311616828E-2</v>
      </c>
      <c r="C133">
        <f ca="1">IFERROR(计算区域!AK135,NA())</f>
        <v>4.7312262351422225E-2</v>
      </c>
      <c r="D133">
        <f ca="1">IFERROR(计算区域!AL135,NA())</f>
        <v>6.7139231226523335E-2</v>
      </c>
      <c r="E133">
        <f ca="1">IFERROR(计算区域!AM135,NA())</f>
        <v>9.8515368759274136E-2</v>
      </c>
      <c r="G133">
        <f ca="1">IFERROR(计算区域!AD135,NA())</f>
        <v>5.7463763595472797E-2</v>
      </c>
      <c r="H133">
        <f ca="1">IFERROR(计算区域!AE135,NA())</f>
        <v>4.7388263672853391E-2</v>
      </c>
      <c r="I133">
        <f ca="1">IFERROR(计算区域!AF135,NA())</f>
        <v>6.9362621692963394E-2</v>
      </c>
      <c r="J133">
        <f ca="1">IFERROR(计算区域!AG135,NA())</f>
        <v>9.8520045489020006E-2</v>
      </c>
      <c r="L133">
        <f ca="1">IFERROR(计算区域!L135,NA())</f>
        <v>8.1309224182320491E-2</v>
      </c>
      <c r="M133">
        <f ca="1">IFERROR(计算区域!M135,NA())</f>
        <v>9.2508521316268702E-2</v>
      </c>
      <c r="N133">
        <f ca="1">IFERROR(计算区域!N135,NA())</f>
        <v>9.1533911820566E-2</v>
      </c>
      <c r="O133">
        <f ca="1">IFERROR(计算区域!O135,NA())</f>
        <v>0.10052160208495875</v>
      </c>
      <c r="Q133">
        <f ca="1">IFERROR(计算区域!R135,NA())</f>
        <v>8.7230004399813474E-2</v>
      </c>
      <c r="R133">
        <f ca="1">IFERROR(计算区域!S135,NA())</f>
        <v>0.10201996173962234</v>
      </c>
      <c r="S133">
        <f ca="1">IFERROR(计算区域!T135,NA())</f>
        <v>9.8333956936239447E-2</v>
      </c>
      <c r="T133">
        <f ca="1">IFERROR(计算区域!U135,NA())</f>
        <v>0.10371274484088383</v>
      </c>
      <c r="V133">
        <f ca="1">IFERROR(计算区域!X135,NA())</f>
        <v>9.0722628584254658E-2</v>
      </c>
      <c r="W133">
        <f ca="1">IFERROR(计算区域!Y135,NA())</f>
        <v>0.10657907011536931</v>
      </c>
      <c r="X133">
        <f ca="1">IFERROR(计算区域!Z135,NA())</f>
        <v>0.10062199180749495</v>
      </c>
      <c r="Y133">
        <f ca="1">IFERROR(计算区域!AA135,NA())</f>
        <v>0.10442416032663476</v>
      </c>
    </row>
    <row r="134" spans="1:25" x14ac:dyDescent="0.2">
      <c r="A134" s="28">
        <f>计算区域!E136</f>
        <v>45475</v>
      </c>
      <c r="B134">
        <f ca="1">IFERROR(计算区域!AJ136,NA())</f>
        <v>4.6805687279814025E-2</v>
      </c>
      <c r="C134">
        <f ca="1">IFERROR(计算区域!AK136,NA())</f>
        <v>4.7843698122427322E-2</v>
      </c>
      <c r="D134">
        <f ca="1">IFERROR(计算区域!AL136,NA())</f>
        <v>7.1029542314103952E-2</v>
      </c>
      <c r="E134">
        <f ca="1">IFERROR(计算区域!AM136,NA())</f>
        <v>9.8565428939632466E-2</v>
      </c>
      <c r="G134">
        <f ca="1">IFERROR(计算区域!AD136,NA())</f>
        <v>5.8879754544455744E-2</v>
      </c>
      <c r="H134">
        <f ca="1">IFERROR(计算区域!AE136,NA())</f>
        <v>4.8144115091944904E-2</v>
      </c>
      <c r="I134">
        <f ca="1">IFERROR(计算区域!AF136,NA())</f>
        <v>7.2198742631686491E-2</v>
      </c>
      <c r="J134">
        <f ca="1">IFERROR(计算区域!AG136,NA())</f>
        <v>9.8575165581798033E-2</v>
      </c>
      <c r="L134">
        <f ca="1">IFERROR(计算区域!L136,NA())</f>
        <v>8.6935231471684096E-2</v>
      </c>
      <c r="M134">
        <f ca="1">IFERROR(计算区域!M136,NA())</f>
        <v>9.2727119913179543E-2</v>
      </c>
      <c r="N134">
        <f ca="1">IFERROR(计算区域!N136,NA())</f>
        <v>9.3429687396140909E-2</v>
      </c>
      <c r="O134">
        <f ca="1">IFERROR(计算区域!O136,NA())</f>
        <v>0.1007051848011743</v>
      </c>
      <c r="Q134">
        <f ca="1">IFERROR(计算区域!R136,NA())</f>
        <v>9.3076556638420432E-2</v>
      </c>
      <c r="R134">
        <f ca="1">IFERROR(计算区域!S136,NA())</f>
        <v>0.10222807460840563</v>
      </c>
      <c r="S134">
        <f ca="1">IFERROR(计算区域!T136,NA())</f>
        <v>9.9808957134661327E-2</v>
      </c>
      <c r="T134">
        <f ca="1">IFERROR(计算区域!U136,NA())</f>
        <v>0.10392901884614124</v>
      </c>
      <c r="V134">
        <f ca="1">IFERROR(计算区域!X136,NA())</f>
        <v>9.5235872475702102E-2</v>
      </c>
      <c r="W134">
        <f ca="1">IFERROR(计算区域!Y136,NA())</f>
        <v>0.10650946982132319</v>
      </c>
      <c r="X134">
        <f ca="1">IFERROR(计算区域!Z136,NA())</f>
        <v>0.10169190963810319</v>
      </c>
      <c r="Y134">
        <f ca="1">IFERROR(计算区域!AA136,NA())</f>
        <v>0.10458715347092133</v>
      </c>
    </row>
    <row r="135" spans="1:25" x14ac:dyDescent="0.2">
      <c r="A135" s="28">
        <f>计算区域!E137</f>
        <v>45474</v>
      </c>
      <c r="B135">
        <f ca="1">IFERROR(计算区域!AJ137,NA())</f>
        <v>5.2954638243461083E-2</v>
      </c>
      <c r="C135">
        <f ca="1">IFERROR(计算区域!AK137,NA())</f>
        <v>4.0752111066811363E-2</v>
      </c>
      <c r="D135">
        <f ca="1">IFERROR(计算区域!AL137,NA())</f>
        <v>6.8341446560098065E-2</v>
      </c>
      <c r="E135">
        <f ca="1">IFERROR(计算区域!AM137,NA())</f>
        <v>0.10040436809234728</v>
      </c>
      <c r="G135">
        <f ca="1">IFERROR(计算区域!AD137,NA())</f>
        <v>5.3262558741996591E-2</v>
      </c>
      <c r="H135">
        <f ca="1">IFERROR(计算区域!AE137,NA())</f>
        <v>4.0840898166146604E-2</v>
      </c>
      <c r="I135">
        <f ca="1">IFERROR(计算区域!AF137,NA())</f>
        <v>7.0166822879306187E-2</v>
      </c>
      <c r="J135">
        <f ca="1">IFERROR(计算区域!AG137,NA())</f>
        <v>0.10040442553377418</v>
      </c>
      <c r="L135">
        <f ca="1">IFERROR(计算区域!L137,NA())</f>
        <v>9.2043125645491219E-2</v>
      </c>
      <c r="M135">
        <f ca="1">IFERROR(计算区域!M137,NA())</f>
        <v>9.1175936581536735E-2</v>
      </c>
      <c r="N135">
        <f ca="1">IFERROR(计算区域!N137,NA())</f>
        <v>9.320408551759532E-2</v>
      </c>
      <c r="O135">
        <f ca="1">IFERROR(计算区域!O137,NA())</f>
        <v>0.10119644437095227</v>
      </c>
      <c r="Q135">
        <f ca="1">IFERROR(计算区域!R137,NA())</f>
        <v>0.10194774930955652</v>
      </c>
      <c r="R135">
        <f ca="1">IFERROR(计算区域!S137,NA())</f>
        <v>0.10203868742606466</v>
      </c>
      <c r="S135">
        <f ca="1">IFERROR(计算区域!T137,NA())</f>
        <v>0.10027302362775299</v>
      </c>
      <c r="T135">
        <f ca="1">IFERROR(计算区域!U137,NA())</f>
        <v>0.10437420666910321</v>
      </c>
      <c r="V135">
        <f ca="1">IFERROR(计算区域!X137,NA())</f>
        <v>0.10499847929712337</v>
      </c>
      <c r="W135">
        <f ca="1">IFERROR(计算区域!Y137,NA())</f>
        <v>0.1068947176751934</v>
      </c>
      <c r="X135">
        <f ca="1">IFERROR(计算区域!Z137,NA())</f>
        <v>0.10223627601472247</v>
      </c>
      <c r="Y135">
        <f ca="1">IFERROR(计算区域!AA137,NA())</f>
        <v>0.10508396811698387</v>
      </c>
    </row>
    <row r="136" spans="1:25" x14ac:dyDescent="0.2">
      <c r="A136" s="28">
        <f>计算区域!E138</f>
        <v>45471</v>
      </c>
      <c r="B136">
        <f ca="1">IFERROR(计算区域!AJ138,NA())</f>
        <v>4.4227037122230077E-2</v>
      </c>
      <c r="C136">
        <f ca="1">IFERROR(计算区域!AK138,NA())</f>
        <v>4.4227409100210432E-2</v>
      </c>
      <c r="D136">
        <f ca="1">IFERROR(计算区域!AL138,NA())</f>
        <v>6.6653264005297821E-2</v>
      </c>
      <c r="E136">
        <f ca="1">IFERROR(计算区域!AM138,NA())</f>
        <v>0.10054280565213389</v>
      </c>
      <c r="G136">
        <f ca="1">IFERROR(计算区域!AD138,NA())</f>
        <v>4.4803159021244425E-2</v>
      </c>
      <c r="H136">
        <f ca="1">IFERROR(计算区域!AE138,NA())</f>
        <v>4.8064333262374782E-2</v>
      </c>
      <c r="I136">
        <f ca="1">IFERROR(计算区域!AF138,NA())</f>
        <v>7.0109802640781427E-2</v>
      </c>
      <c r="J136">
        <f ca="1">IFERROR(计算区域!AG138,NA())</f>
        <v>0.1005433261532636</v>
      </c>
      <c r="L136">
        <f ca="1">IFERROR(计算区域!L138,NA())</f>
        <v>0.10261191091702498</v>
      </c>
      <c r="M136">
        <f ca="1">IFERROR(计算区域!M138,NA())</f>
        <v>8.779215478953642E-2</v>
      </c>
      <c r="N136">
        <f ca="1">IFERROR(计算区域!N138,NA())</f>
        <v>9.3456057896522962E-2</v>
      </c>
      <c r="O136">
        <f ca="1">IFERROR(计算区域!O138,NA())</f>
        <v>0.10099148416759791</v>
      </c>
      <c r="Q136">
        <f ca="1">IFERROR(计算区域!R138,NA())</f>
        <v>0.11295809615277147</v>
      </c>
      <c r="R136">
        <f ca="1">IFERROR(计算区域!S138,NA())</f>
        <v>9.863755342398968E-2</v>
      </c>
      <c r="S136">
        <f ca="1">IFERROR(计算区域!T138,NA())</f>
        <v>0.10035963097527965</v>
      </c>
      <c r="T136">
        <f ca="1">IFERROR(计算区域!U138,NA())</f>
        <v>0.10397348057191254</v>
      </c>
      <c r="V136">
        <f ca="1">IFERROR(计算区域!X138,NA())</f>
        <v>0.11780283481858146</v>
      </c>
      <c r="W136">
        <f ca="1">IFERROR(计算区域!Y138,NA())</f>
        <v>0.10393832691949881</v>
      </c>
      <c r="X136">
        <f ca="1">IFERROR(计算区域!Z138,NA())</f>
        <v>0.10250445907877449</v>
      </c>
      <c r="Y136">
        <f ca="1">IFERROR(计算区域!AA138,NA())</f>
        <v>0.10465237039379199</v>
      </c>
    </row>
    <row r="137" spans="1:25" x14ac:dyDescent="0.2">
      <c r="A137" s="28">
        <f>计算区域!E139</f>
        <v>45470</v>
      </c>
      <c r="B137">
        <f ca="1">IFERROR(计算区域!AJ139,NA())</f>
        <v>3.4119899337635123E-2</v>
      </c>
      <c r="C137">
        <f ca="1">IFERROR(计算区域!AK139,NA())</f>
        <v>5.6898108198216744E-2</v>
      </c>
      <c r="D137">
        <f ca="1">IFERROR(计算区域!AL139,NA())</f>
        <v>6.7296902431199179E-2</v>
      </c>
      <c r="E137">
        <f ca="1">IFERROR(计算区域!AM139,NA())</f>
        <v>0.10045995940267236</v>
      </c>
      <c r="G137">
        <f ca="1">IFERROR(计算区域!AD139,NA())</f>
        <v>4.1923691212216369E-2</v>
      </c>
      <c r="H137">
        <f ca="1">IFERROR(计算区域!AE139,NA())</f>
        <v>5.8182283313551034E-2</v>
      </c>
      <c r="I137">
        <f ca="1">IFERROR(计算区域!AF139,NA())</f>
        <v>7.3467697274079632E-2</v>
      </c>
      <c r="J137">
        <f ca="1">IFERROR(计算区域!AG139,NA())</f>
        <v>0.10046001756971899</v>
      </c>
      <c r="L137">
        <f ca="1">IFERROR(计算区域!L139,NA())</f>
        <v>0.102594633119915</v>
      </c>
      <c r="M137">
        <f ca="1">IFERROR(计算区域!M139,NA())</f>
        <v>9.0655552714596938E-2</v>
      </c>
      <c r="N137">
        <f ca="1">IFERROR(计算区域!N139,NA())</f>
        <v>9.4611786920295607E-2</v>
      </c>
      <c r="O137">
        <f ca="1">IFERROR(计算区域!O139,NA())</f>
        <v>0.10195729891737214</v>
      </c>
      <c r="Q137">
        <f ca="1">IFERROR(计算区域!R139,NA())</f>
        <v>0.11522900222047773</v>
      </c>
      <c r="R137">
        <f ca="1">IFERROR(计算区域!S139,NA())</f>
        <v>0.10004351847166705</v>
      </c>
      <c r="S137">
        <f ca="1">IFERROR(计算区域!T139,NA())</f>
        <v>0.10179062181473572</v>
      </c>
      <c r="T137">
        <f ca="1">IFERROR(计算区域!U139,NA())</f>
        <v>0.10542991475778986</v>
      </c>
      <c r="V137">
        <f ca="1">IFERROR(计算区域!X139,NA())</f>
        <v>0.12134358099067596</v>
      </c>
      <c r="W137">
        <f ca="1">IFERROR(计算区域!Y139,NA())</f>
        <v>0.10378717569362959</v>
      </c>
      <c r="X137">
        <f ca="1">IFERROR(计算区域!Z139,NA())</f>
        <v>0.10362227626432834</v>
      </c>
      <c r="Y137">
        <f ca="1">IFERROR(计算区域!AA139,NA())</f>
        <v>0.10613458349789985</v>
      </c>
    </row>
    <row r="138" spans="1:25" x14ac:dyDescent="0.2">
      <c r="A138" s="28">
        <f>计算区域!E140</f>
        <v>45469</v>
      </c>
      <c r="B138">
        <f ca="1">IFERROR(计算区域!AJ140,NA())</f>
        <v>3.4067306365259412E-2</v>
      </c>
      <c r="C138">
        <f ca="1">IFERROR(计算区域!AK140,NA())</f>
        <v>5.8411028755673854E-2</v>
      </c>
      <c r="D138">
        <f ca="1">IFERROR(计算区域!AL140,NA())</f>
        <v>6.761905427437287E-2</v>
      </c>
      <c r="E138">
        <f ca="1">IFERROR(计算区域!AM140,NA())</f>
        <v>0.10087418970916708</v>
      </c>
      <c r="G138">
        <f ca="1">IFERROR(计算区域!AD140,NA())</f>
        <v>4.1840444844448509E-2</v>
      </c>
      <c r="H138">
        <f ca="1">IFERROR(计算区域!AE140,NA())</f>
        <v>6.0096639257827246E-2</v>
      </c>
      <c r="I138">
        <f ca="1">IFERROR(计算区域!AF140,NA())</f>
        <v>7.2754244928442527E-2</v>
      </c>
      <c r="J138">
        <f ca="1">IFERROR(计算区域!AG140,NA())</f>
        <v>0.10087562607577578</v>
      </c>
      <c r="L138">
        <f ca="1">IFERROR(计算区域!L140,NA())</f>
        <v>0.10249128302013899</v>
      </c>
      <c r="M138">
        <f ca="1">IFERROR(计算区域!M140,NA())</f>
        <v>9.1541706593749522E-2</v>
      </c>
      <c r="N138">
        <f ca="1">IFERROR(计算区域!N140,NA())</f>
        <v>9.5423327617742942E-2</v>
      </c>
      <c r="O138">
        <f ca="1">IFERROR(计算区域!O140,NA())</f>
        <v>0.10225704346358522</v>
      </c>
      <c r="Q138">
        <f ca="1">IFERROR(计算区域!R140,NA())</f>
        <v>0.11492202364697782</v>
      </c>
      <c r="R138">
        <f ca="1">IFERROR(计算区域!S140,NA())</f>
        <v>9.9628930169640265E-2</v>
      </c>
      <c r="S138">
        <f ca="1">IFERROR(计算区域!T140,NA())</f>
        <v>0.10284342733618572</v>
      </c>
      <c r="T138">
        <f ca="1">IFERROR(计算区域!U140,NA())</f>
        <v>0.10575914435313225</v>
      </c>
      <c r="V138">
        <f ca="1">IFERROR(计算区域!X140,NA())</f>
        <v>0.12036445088179894</v>
      </c>
      <c r="W138">
        <f ca="1">IFERROR(计算区域!Y140,NA())</f>
        <v>0.10246225374524849</v>
      </c>
      <c r="X138">
        <f ca="1">IFERROR(计算区域!Z140,NA())</f>
        <v>0.10576643205535032</v>
      </c>
      <c r="Y138">
        <f ca="1">IFERROR(计算区域!AA140,NA())</f>
        <v>0.1065867585786828</v>
      </c>
    </row>
    <row r="139" spans="1:25" x14ac:dyDescent="0.2">
      <c r="A139" s="28">
        <f>计算区域!E141</f>
        <v>45468</v>
      </c>
      <c r="B139">
        <f ca="1">IFERROR(计算区域!AJ141,NA())</f>
        <v>3.4005541137182502E-2</v>
      </c>
      <c r="C139">
        <f ca="1">IFERROR(计算区域!AK141,NA())</f>
        <v>5.67757401305551E-2</v>
      </c>
      <c r="D139">
        <f ca="1">IFERROR(计算区域!AL141,NA())</f>
        <v>6.6587543261833179E-2</v>
      </c>
      <c r="E139">
        <f ca="1">IFERROR(计算区域!AM141,NA())</f>
        <v>0.10109970319063251</v>
      </c>
      <c r="G139">
        <f ca="1">IFERROR(计算区域!AD141,NA())</f>
        <v>4.1813276542913093E-2</v>
      </c>
      <c r="H139">
        <f ca="1">IFERROR(计算区域!AE141,NA())</f>
        <v>5.9822720421727663E-2</v>
      </c>
      <c r="I139">
        <f ca="1">IFERROR(计算区域!AF141,NA())</f>
        <v>7.3194294226013298E-2</v>
      </c>
      <c r="J139">
        <f ca="1">IFERROR(计算区域!AG141,NA())</f>
        <v>0.10109970319063251</v>
      </c>
      <c r="L139">
        <f ca="1">IFERROR(计算区域!L141,NA())</f>
        <v>9.8177915356515169E-2</v>
      </c>
      <c r="M139">
        <f ca="1">IFERROR(计算区域!M141,NA())</f>
        <v>8.9139985724484616E-2</v>
      </c>
      <c r="N139">
        <f ca="1">IFERROR(计算区域!N141,NA())</f>
        <v>9.4841030985509375E-2</v>
      </c>
      <c r="O139">
        <f ca="1">IFERROR(计算区域!O141,NA())</f>
        <v>0.1020190259765071</v>
      </c>
      <c r="Q139">
        <f ca="1">IFERROR(计算区域!R141,NA())</f>
        <v>0.11062510149427393</v>
      </c>
      <c r="R139">
        <f ca="1">IFERROR(计算区域!S141,NA())</f>
        <v>9.7223843250073508E-2</v>
      </c>
      <c r="S139">
        <f ca="1">IFERROR(计算区域!T141,NA())</f>
        <v>0.1022336267670842</v>
      </c>
      <c r="T139">
        <f ca="1">IFERROR(计算区域!U141,NA())</f>
        <v>0.10548040466770264</v>
      </c>
      <c r="V139">
        <f ca="1">IFERROR(计算区域!X141,NA())</f>
        <v>0.11669902706119925</v>
      </c>
      <c r="W139">
        <f ca="1">IFERROR(计算区域!Y141,NA())</f>
        <v>0.10039227752292493</v>
      </c>
      <c r="X139">
        <f ca="1">IFERROR(计算区域!Z141,NA())</f>
        <v>0.10527908774682199</v>
      </c>
      <c r="Y139">
        <f ca="1">IFERROR(计算区域!AA141,NA())</f>
        <v>0.10632736749087528</v>
      </c>
    </row>
    <row r="140" spans="1:25" x14ac:dyDescent="0.2">
      <c r="A140" s="28">
        <f>计算区域!E142</f>
        <v>45467</v>
      </c>
      <c r="B140">
        <f ca="1">IFERROR(计算区域!AJ142,NA())</f>
        <v>2.8025702953603088E-2</v>
      </c>
      <c r="C140">
        <f ca="1">IFERROR(计算区域!AK142,NA())</f>
        <v>7.8239776802588742E-2</v>
      </c>
      <c r="D140">
        <f ca="1">IFERROR(计算区域!AL142,NA())</f>
        <v>7.6503603672834028E-2</v>
      </c>
      <c r="E140">
        <f ca="1">IFERROR(计算区域!AM142,NA())</f>
        <v>0.10082003362024233</v>
      </c>
      <c r="G140">
        <f ca="1">IFERROR(计算区域!AD142,NA())</f>
        <v>3.026635926313016E-2</v>
      </c>
      <c r="H140">
        <f ca="1">IFERROR(计算区域!AE142,NA())</f>
        <v>8.4808170251262222E-2</v>
      </c>
      <c r="I140">
        <f ca="1">IFERROR(计算区域!AF142,NA())</f>
        <v>7.9099815179453206E-2</v>
      </c>
      <c r="J140">
        <f ca="1">IFERROR(计算区域!AG142,NA())</f>
        <v>0.1008237171780238</v>
      </c>
      <c r="L140">
        <f ca="1">IFERROR(计算区域!L142,NA())</f>
        <v>9.0300419957213565E-2</v>
      </c>
      <c r="M140">
        <f ca="1">IFERROR(计算区域!M142,NA())</f>
        <v>9.1927700150068362E-2</v>
      </c>
      <c r="N140">
        <f ca="1">IFERROR(计算区域!N142,NA())</f>
        <v>9.3371592820409716E-2</v>
      </c>
      <c r="O140">
        <f ca="1">IFERROR(计算区域!O142,NA())</f>
        <v>0.10182419334466625</v>
      </c>
      <c r="Q140">
        <f ca="1">IFERROR(计算区域!R142,NA())</f>
        <v>0.10212954456955184</v>
      </c>
      <c r="R140">
        <f ca="1">IFERROR(计算区域!S142,NA())</f>
        <v>9.7239331104569449E-2</v>
      </c>
      <c r="S140">
        <f ca="1">IFERROR(计算区域!T142,NA())</f>
        <v>9.9290418822302065E-2</v>
      </c>
      <c r="T140">
        <f ca="1">IFERROR(计算区域!U142,NA())</f>
        <v>0.10530338081589984</v>
      </c>
      <c r="V140">
        <f ca="1">IFERROR(计算区域!X142,NA())</f>
        <v>0.10875789938671197</v>
      </c>
      <c r="W140">
        <f ca="1">IFERROR(计算区域!Y142,NA())</f>
        <v>9.9423649618801749E-2</v>
      </c>
      <c r="X140">
        <f ca="1">IFERROR(计算区域!Z142,NA())</f>
        <v>0.1019219933918003</v>
      </c>
      <c r="Y140">
        <f ca="1">IFERROR(计算区域!AA142,NA())</f>
        <v>0.10628561525802253</v>
      </c>
    </row>
    <row r="141" spans="1:25" x14ac:dyDescent="0.2">
      <c r="A141" s="28">
        <f>计算区域!E143</f>
        <v>45464</v>
      </c>
      <c r="B141">
        <f ca="1">IFERROR(计算区域!AJ143,NA())</f>
        <v>4.6016890979246265E-2</v>
      </c>
      <c r="C141">
        <f ca="1">IFERROR(计算区域!AK143,NA())</f>
        <v>7.8233865510452874E-2</v>
      </c>
      <c r="D141">
        <f ca="1">IFERROR(计算区域!AL143,NA())</f>
        <v>8.4266471224268974E-2</v>
      </c>
      <c r="E141">
        <f ca="1">IFERROR(计算区域!AM143,NA())</f>
        <v>0.1024611039158622</v>
      </c>
      <c r="G141">
        <f ca="1">IFERROR(计算区域!AD143,NA())</f>
        <v>5.6485239121557181E-2</v>
      </c>
      <c r="H141">
        <f ca="1">IFERROR(计算区域!AE143,NA())</f>
        <v>8.7859199387985393E-2</v>
      </c>
      <c r="I141">
        <f ca="1">IFERROR(计算区域!AF143,NA())</f>
        <v>8.9225100955114753E-2</v>
      </c>
      <c r="J141">
        <f ca="1">IFERROR(计算区域!AG143,NA())</f>
        <v>0.10247210445107985</v>
      </c>
      <c r="L141">
        <f ca="1">IFERROR(计算区域!L143,NA())</f>
        <v>6.9897930034703987E-2</v>
      </c>
      <c r="M141">
        <f ca="1">IFERROR(计算区域!M143,NA())</f>
        <v>9.0440483518053144E-2</v>
      </c>
      <c r="N141">
        <f ca="1">IFERROR(计算区域!N143,NA())</f>
        <v>9.2567071949464369E-2</v>
      </c>
      <c r="O141">
        <f ca="1">IFERROR(计算区域!O143,NA())</f>
        <v>0.10200647996932875</v>
      </c>
      <c r="Q141">
        <f ca="1">IFERROR(计算区域!R143,NA())</f>
        <v>8.1848655483655122E-2</v>
      </c>
      <c r="R141">
        <f ca="1">IFERROR(计算区域!S143,NA())</f>
        <v>9.5105478164786802E-2</v>
      </c>
      <c r="S141">
        <f ca="1">IFERROR(计算区域!T143,NA())</f>
        <v>9.7577035567894099E-2</v>
      </c>
      <c r="T141">
        <f ca="1">IFERROR(计算区域!U143,NA())</f>
        <v>0.10551166677505294</v>
      </c>
      <c r="V141">
        <f ca="1">IFERROR(计算区域!X143,NA())</f>
        <v>8.7913842563928674E-2</v>
      </c>
      <c r="W141">
        <f ca="1">IFERROR(计算区域!Y143,NA())</f>
        <v>9.6215990625135875E-2</v>
      </c>
      <c r="X141">
        <f ca="1">IFERROR(计算区域!Z143,NA())</f>
        <v>9.9540561887354037E-2</v>
      </c>
      <c r="Y141">
        <f ca="1">IFERROR(计算区域!AA143,NA())</f>
        <v>0.10662694962192874</v>
      </c>
    </row>
    <row r="142" spans="1:25" x14ac:dyDescent="0.2">
      <c r="A142" s="28">
        <f>计算区域!E144</f>
        <v>45463</v>
      </c>
      <c r="B142">
        <f ca="1">IFERROR(计算区域!AJ144,NA())</f>
        <v>7.6531147263559099E-2</v>
      </c>
      <c r="C142">
        <f ca="1">IFERROR(计算区域!AK144,NA())</f>
        <v>7.9480962188936494E-2</v>
      </c>
      <c r="D142">
        <f ca="1">IFERROR(计算区域!AL144,NA())</f>
        <v>8.9222657814373135E-2</v>
      </c>
      <c r="E142">
        <f ca="1">IFERROR(计算区域!AM144,NA())</f>
        <v>0.10238303654422219</v>
      </c>
      <c r="G142">
        <f ca="1">IFERROR(计算区域!AD144,NA())</f>
        <v>7.6544463034199595E-2</v>
      </c>
      <c r="H142">
        <f ca="1">IFERROR(计算区域!AE144,NA())</f>
        <v>8.7235644372207446E-2</v>
      </c>
      <c r="I142">
        <f ca="1">IFERROR(计算区域!AF144,NA())</f>
        <v>9.6166040553169366E-2</v>
      </c>
      <c r="J142">
        <f ca="1">IFERROR(计算区域!AG144,NA())</f>
        <v>0.10238757701939261</v>
      </c>
      <c r="L142">
        <f ca="1">IFERROR(计算区域!L144,NA())</f>
        <v>7.6884326952690221E-2</v>
      </c>
      <c r="M142">
        <f ca="1">IFERROR(计算区域!M144,NA())</f>
        <v>9.142286873250792E-2</v>
      </c>
      <c r="N142">
        <f ca="1">IFERROR(计算区域!N144,NA())</f>
        <v>9.2337385070292044E-2</v>
      </c>
      <c r="O142">
        <f ca="1">IFERROR(计算区域!O144,NA())</f>
        <v>0.10150638767228631</v>
      </c>
      <c r="Q142">
        <f ca="1">IFERROR(计算区域!R144,NA())</f>
        <v>8.20956041676697E-2</v>
      </c>
      <c r="R142">
        <f ca="1">IFERROR(计算区域!S144,NA())</f>
        <v>9.6340061572072699E-2</v>
      </c>
      <c r="S142">
        <f ca="1">IFERROR(计算区域!T144,NA())</f>
        <v>9.6055904199896708E-2</v>
      </c>
      <c r="T142">
        <f ca="1">IFERROR(计算区域!U144,NA())</f>
        <v>0.10481803415919511</v>
      </c>
      <c r="V142">
        <f ca="1">IFERROR(计算区域!X144,NA())</f>
        <v>8.2578998718075655E-2</v>
      </c>
      <c r="W142">
        <f ca="1">IFERROR(计算区域!Y144,NA())</f>
        <v>9.6873916696217907E-2</v>
      </c>
      <c r="X142">
        <f ca="1">IFERROR(计算区域!Z144,NA())</f>
        <v>9.7093251340559919E-2</v>
      </c>
      <c r="Y142">
        <f ca="1">IFERROR(计算区域!AA144,NA())</f>
        <v>0.10589374081317235</v>
      </c>
    </row>
    <row r="143" spans="1:25" x14ac:dyDescent="0.2">
      <c r="A143" s="28">
        <f>计算区域!E145</f>
        <v>45462</v>
      </c>
      <c r="B143">
        <f ca="1">IFERROR(计算区域!AJ145,NA())</f>
        <v>7.9643597638978769E-2</v>
      </c>
      <c r="C143">
        <f ca="1">IFERROR(计算区域!AK145,NA())</f>
        <v>8.0190852849398947E-2</v>
      </c>
      <c r="D143">
        <f ca="1">IFERROR(计算区域!AL145,NA())</f>
        <v>8.9653742710670115E-2</v>
      </c>
      <c r="E143">
        <f ca="1">IFERROR(计算区域!AM145,NA())</f>
        <v>0.10234266644284465</v>
      </c>
      <c r="G143">
        <f ca="1">IFERROR(计算区域!AD145,NA())</f>
        <v>7.9846670487321275E-2</v>
      </c>
      <c r="H143">
        <f ca="1">IFERROR(计算区域!AE145,NA())</f>
        <v>8.8945341935964678E-2</v>
      </c>
      <c r="I143">
        <f ca="1">IFERROR(计算区域!AF145,NA())</f>
        <v>9.562945894070693E-2</v>
      </c>
      <c r="J143">
        <f ca="1">IFERROR(计算区域!AG145,NA())</f>
        <v>0.10234356332967187</v>
      </c>
      <c r="L143">
        <f ca="1">IFERROR(计算区域!L145,NA())</f>
        <v>7.9090486135046753E-2</v>
      </c>
      <c r="M143">
        <f ca="1">IFERROR(计算区域!M145,NA())</f>
        <v>9.0548812859295752E-2</v>
      </c>
      <c r="N143">
        <f ca="1">IFERROR(计算区域!N145,NA())</f>
        <v>9.1872591984645161E-2</v>
      </c>
      <c r="O143">
        <f ca="1">IFERROR(计算区域!O145,NA())</f>
        <v>0.10186899169781799</v>
      </c>
      <c r="Q143">
        <f ca="1">IFERROR(计算区域!R145,NA())</f>
        <v>8.1515495056937365E-2</v>
      </c>
      <c r="R143">
        <f ca="1">IFERROR(计算区域!S145,NA())</f>
        <v>9.4504293977164755E-2</v>
      </c>
      <c r="S143">
        <f ca="1">IFERROR(计算区域!T145,NA())</f>
        <v>9.5399061218842035E-2</v>
      </c>
      <c r="T143">
        <f ca="1">IFERROR(计算区域!U145,NA())</f>
        <v>0.10511061184661133</v>
      </c>
      <c r="V143">
        <f ca="1">IFERROR(计算区域!X145,NA())</f>
        <v>8.0681012940061608E-2</v>
      </c>
      <c r="W143">
        <f ca="1">IFERROR(计算区域!Y145,NA())</f>
        <v>9.4289301004718218E-2</v>
      </c>
      <c r="X143">
        <f ca="1">IFERROR(计算区域!Z145,NA())</f>
        <v>9.6127347447940922E-2</v>
      </c>
      <c r="Y143">
        <f ca="1">IFERROR(计算区域!AA145,NA())</f>
        <v>0.10603588478445164</v>
      </c>
    </row>
    <row r="144" spans="1:25" x14ac:dyDescent="0.2">
      <c r="A144" s="28">
        <f>计算区域!E146</f>
        <v>45461</v>
      </c>
      <c r="B144">
        <f ca="1">IFERROR(计算区域!AJ146,NA())</f>
        <v>7.7838419135730752E-2</v>
      </c>
      <c r="C144">
        <f ca="1">IFERROR(计算区域!AK146,NA())</f>
        <v>8.755091999874258E-2</v>
      </c>
      <c r="D144">
        <f ca="1">IFERROR(计算区域!AL146,NA())</f>
        <v>8.8617930038605158E-2</v>
      </c>
      <c r="E144">
        <f ca="1">IFERROR(计算区域!AM146,NA())</f>
        <v>0.10323661878336869</v>
      </c>
      <c r="G144">
        <f ca="1">IFERROR(计算区域!AD146,NA())</f>
        <v>7.9396820665076417E-2</v>
      </c>
      <c r="H144">
        <f ca="1">IFERROR(计算区域!AE146,NA())</f>
        <v>9.320217448134259E-2</v>
      </c>
      <c r="I144">
        <f ca="1">IFERROR(计算区域!AF146,NA())</f>
        <v>9.5706878356268177E-2</v>
      </c>
      <c r="J144">
        <f ca="1">IFERROR(计算区域!AG146,NA())</f>
        <v>0.10325259280508041</v>
      </c>
      <c r="L144">
        <f ca="1">IFERROR(计算区域!L146,NA())</f>
        <v>7.9075729817508378E-2</v>
      </c>
      <c r="M144">
        <f ca="1">IFERROR(计算区域!M146,NA())</f>
        <v>9.4127011035557942E-2</v>
      </c>
      <c r="N144">
        <f ca="1">IFERROR(计算区域!N146,NA())</f>
        <v>9.1917122546003219E-2</v>
      </c>
      <c r="O144">
        <f ca="1">IFERROR(计算区域!O146,NA())</f>
        <v>0.1025009954786982</v>
      </c>
      <c r="Q144">
        <f ca="1">IFERROR(计算区域!R146,NA())</f>
        <v>8.1651933914704794E-2</v>
      </c>
      <c r="R144">
        <f ca="1">IFERROR(计算区域!S146,NA())</f>
        <v>9.7329731379859355E-2</v>
      </c>
      <c r="S144">
        <f ca="1">IFERROR(计算区域!T146,NA())</f>
        <v>9.5499902250714766E-2</v>
      </c>
      <c r="T144">
        <f ca="1">IFERROR(计算区域!U146,NA())</f>
        <v>0.10579312907445347</v>
      </c>
      <c r="V144">
        <f ca="1">IFERROR(计算区域!X146,NA())</f>
        <v>8.0861337210371656E-2</v>
      </c>
      <c r="W144">
        <f ca="1">IFERROR(计算区域!Y146,NA())</f>
        <v>9.6634475266692124E-2</v>
      </c>
      <c r="X144">
        <f ca="1">IFERROR(计算区域!Z146,NA())</f>
        <v>9.6424921364162655E-2</v>
      </c>
      <c r="Y144">
        <f ca="1">IFERROR(计算区域!AA146,NA())</f>
        <v>0.10668772305721752</v>
      </c>
    </row>
    <row r="145" spans="1:25" x14ac:dyDescent="0.2">
      <c r="A145" s="28">
        <f>计算区域!E147</f>
        <v>45460</v>
      </c>
      <c r="B145">
        <f ca="1">IFERROR(计算区域!AJ147,NA())</f>
        <v>0.10910424327392075</v>
      </c>
      <c r="C145">
        <f ca="1">IFERROR(计算区域!AK147,NA())</f>
        <v>8.8470118297864497E-2</v>
      </c>
      <c r="D145">
        <f ca="1">IFERROR(计算区域!AL147,NA())</f>
        <v>8.9755568716935699E-2</v>
      </c>
      <c r="E145">
        <f ca="1">IFERROR(计算区域!AM147,NA())</f>
        <v>0.10358002698339955</v>
      </c>
      <c r="G145">
        <f ca="1">IFERROR(计算区域!AD147,NA())</f>
        <v>0.12355931941796644</v>
      </c>
      <c r="H145">
        <f ca="1">IFERROR(计算区域!AE147,NA())</f>
        <v>9.3412149435466066E-2</v>
      </c>
      <c r="I145">
        <f ca="1">IFERROR(计算区域!AF147,NA())</f>
        <v>9.6075068040842759E-2</v>
      </c>
      <c r="J145">
        <f ca="1">IFERROR(计算区域!AG147,NA())</f>
        <v>0.10358273755409453</v>
      </c>
      <c r="L145">
        <f ca="1">IFERROR(计算区域!L147,NA())</f>
        <v>9.352667141148896E-2</v>
      </c>
      <c r="M145">
        <f ca="1">IFERROR(计算区域!M147,NA())</f>
        <v>9.5189031420757908E-2</v>
      </c>
      <c r="N145">
        <f ca="1">IFERROR(计算区域!N147,NA())</f>
        <v>9.2690027772547506E-2</v>
      </c>
      <c r="O145">
        <f ca="1">IFERROR(计算区域!O147,NA())</f>
        <v>0.10267840200395952</v>
      </c>
      <c r="Q145">
        <f ca="1">IFERROR(计算区域!R147,NA())</f>
        <v>9.2089799398978503E-2</v>
      </c>
      <c r="R145">
        <f ca="1">IFERROR(计算区域!S147,NA())</f>
        <v>9.847570666550047E-2</v>
      </c>
      <c r="S145">
        <f ca="1">IFERROR(计算区域!T147,NA())</f>
        <v>9.6444681488757678E-2</v>
      </c>
      <c r="T145">
        <f ca="1">IFERROR(计算区域!U147,NA())</f>
        <v>0.10585301055297418</v>
      </c>
      <c r="V145">
        <f ca="1">IFERROR(计算区域!X147,NA())</f>
        <v>8.9117021539290409E-2</v>
      </c>
      <c r="W145">
        <f ca="1">IFERROR(计算区域!Y147,NA())</f>
        <v>9.7355182706714352E-2</v>
      </c>
      <c r="X145">
        <f ca="1">IFERROR(计算区域!Z147,NA())</f>
        <v>9.7446691603810892E-2</v>
      </c>
      <c r="Y145">
        <f ca="1">IFERROR(计算区域!AA147,NA())</f>
        <v>0.10664410724647468</v>
      </c>
    </row>
    <row r="146" spans="1:25" x14ac:dyDescent="0.2">
      <c r="A146" s="28">
        <f>计算区域!E148</f>
        <v>45457</v>
      </c>
      <c r="B146">
        <f ca="1">IFERROR(计算区域!AJ148,NA())</f>
        <v>0.10708562175917591</v>
      </c>
      <c r="C146">
        <f ca="1">IFERROR(计算区域!AK148,NA())</f>
        <v>8.6012197068602345E-2</v>
      </c>
      <c r="D146">
        <f ca="1">IFERROR(计算区域!AL148,NA())</f>
        <v>0.10644926905002945</v>
      </c>
      <c r="E146">
        <f ca="1">IFERROR(计算区域!AM148,NA())</f>
        <v>0.10284348753695043</v>
      </c>
      <c r="G146">
        <f ca="1">IFERROR(计算区域!AD148,NA())</f>
        <v>0.1190701697523376</v>
      </c>
      <c r="H146">
        <f ca="1">IFERROR(计算区域!AE148,NA())</f>
        <v>8.981504632214872E-2</v>
      </c>
      <c r="I146">
        <f ca="1">IFERROR(计算区域!AF148,NA())</f>
        <v>0.10785751595373276</v>
      </c>
      <c r="J146">
        <f ca="1">IFERROR(计算区域!AG148,NA())</f>
        <v>0.10284902950624107</v>
      </c>
      <c r="L146">
        <f ca="1">IFERROR(计算区域!L148,NA())</f>
        <v>0.10711321811439574</v>
      </c>
      <c r="M146">
        <f ca="1">IFERROR(计算区域!M148,NA())</f>
        <v>9.8795784690069541E-2</v>
      </c>
      <c r="N146">
        <f ca="1">IFERROR(计算区域!N148,NA())</f>
        <v>9.8534111638139174E-2</v>
      </c>
      <c r="O146">
        <f ca="1">IFERROR(计算区域!O148,NA())</f>
        <v>0.10321901958794273</v>
      </c>
      <c r="Q146">
        <f ca="1">IFERROR(计算区域!R148,NA())</f>
        <v>0.10672816661698732</v>
      </c>
      <c r="R146">
        <f ca="1">IFERROR(计算区域!S148,NA())</f>
        <v>0.10205265363290759</v>
      </c>
      <c r="S146">
        <f ca="1">IFERROR(计算区域!T148,NA())</f>
        <v>9.8901148983289458E-2</v>
      </c>
      <c r="T146">
        <f ca="1">IFERROR(计算区域!U148,NA())</f>
        <v>0.10645812576829888</v>
      </c>
      <c r="V146">
        <f ca="1">IFERROR(计算区域!X148,NA())</f>
        <v>0.10385658375662679</v>
      </c>
      <c r="W146">
        <f ca="1">IFERROR(计算区域!Y148,NA())</f>
        <v>0.10105024720028992</v>
      </c>
      <c r="X146">
        <f ca="1">IFERROR(计算区域!Z148,NA())</f>
        <v>9.8291093869511112E-2</v>
      </c>
      <c r="Y146">
        <f ca="1">IFERROR(计算区域!AA148,NA())</f>
        <v>0.10720975283313147</v>
      </c>
    </row>
    <row r="147" spans="1:25" x14ac:dyDescent="0.2">
      <c r="A147" s="28">
        <f>计算区域!E149</f>
        <v>45456</v>
      </c>
      <c r="B147">
        <f ca="1">IFERROR(计算区域!AJ149,NA())</f>
        <v>7.5243439489561775E-2</v>
      </c>
      <c r="C147">
        <f ca="1">IFERROR(计算区域!AK149,NA())</f>
        <v>7.5277059998252058E-2</v>
      </c>
      <c r="D147">
        <f ca="1">IFERROR(计算区域!AL149,NA())</f>
        <v>0.10407566998080545</v>
      </c>
      <c r="E147">
        <f ca="1">IFERROR(计算区域!AM149,NA())</f>
        <v>0.10199225850080025</v>
      </c>
      <c r="G147">
        <f ca="1">IFERROR(计算区域!AD149,NA())</f>
        <v>0.10612999052639699</v>
      </c>
      <c r="H147">
        <f ca="1">IFERROR(计算区域!AE149,NA())</f>
        <v>8.9496086499265104E-2</v>
      </c>
      <c r="I147">
        <f ca="1">IFERROR(计算区域!AF149,NA())</f>
        <v>0.10592953153438799</v>
      </c>
      <c r="J147">
        <f ca="1">IFERROR(计算区域!AG149,NA())</f>
        <v>0.10200174473242977</v>
      </c>
      <c r="L147">
        <f ca="1">IFERROR(计算区域!L149,NA())</f>
        <v>0.10394749695685115</v>
      </c>
      <c r="M147">
        <f ca="1">IFERROR(计算区域!M149,NA())</f>
        <v>9.8409101258540993E-2</v>
      </c>
      <c r="N147">
        <f ca="1">IFERROR(计算区域!N149,NA())</f>
        <v>9.6333592851410341E-2</v>
      </c>
      <c r="O147">
        <f ca="1">IFERROR(计算区域!O149,NA())</f>
        <v>0.10313484758629719</v>
      </c>
      <c r="Q147">
        <f ca="1">IFERROR(计算区域!R149,NA())</f>
        <v>0.10873420208824273</v>
      </c>
      <c r="R147">
        <f ca="1">IFERROR(计算区域!S149,NA())</f>
        <v>0.10350824020661506</v>
      </c>
      <c r="S147">
        <f ca="1">IFERROR(计算区域!T149,NA())</f>
        <v>9.7512512957298375E-2</v>
      </c>
      <c r="T147">
        <f ca="1">IFERROR(计算区域!U149,NA())</f>
        <v>0.10686338938237815</v>
      </c>
      <c r="V147">
        <f ca="1">IFERROR(计算区域!X149,NA())</f>
        <v>0.10931523426701144</v>
      </c>
      <c r="W147">
        <f ca="1">IFERROR(计算区域!Y149,NA())</f>
        <v>0.1034571140035388</v>
      </c>
      <c r="X147">
        <f ca="1">IFERROR(计算区域!Z149,NA())</f>
        <v>9.734168875445523E-2</v>
      </c>
      <c r="Y147">
        <f ca="1">IFERROR(计算区域!AA149,NA())</f>
        <v>0.1078191380269117</v>
      </c>
    </row>
    <row r="148" spans="1:25" x14ac:dyDescent="0.2">
      <c r="A148" s="28">
        <f>计算区域!E150</f>
        <v>45455</v>
      </c>
      <c r="B148">
        <f ca="1">IFERROR(计算区域!AJ150,NA())</f>
        <v>7.5222562633212697E-2</v>
      </c>
      <c r="C148">
        <f ca="1">IFERROR(计算区域!AK150,NA())</f>
        <v>7.6674772791372553E-2</v>
      </c>
      <c r="D148">
        <f ca="1">IFERROR(计算区域!AL150,NA())</f>
        <v>0.10569648227095789</v>
      </c>
      <c r="E148">
        <f ca="1">IFERROR(计算区域!AM150,NA())</f>
        <v>0.10295992786366211</v>
      </c>
      <c r="G148">
        <f ca="1">IFERROR(计算区域!AD150,NA())</f>
        <v>0.10688720867964936</v>
      </c>
      <c r="H148">
        <f ca="1">IFERROR(计算区域!AE150,NA())</f>
        <v>8.696485145434045E-2</v>
      </c>
      <c r="I148">
        <f ca="1">IFERROR(计算区域!AF150,NA())</f>
        <v>0.10800149020218022</v>
      </c>
      <c r="J148">
        <f ca="1">IFERROR(计算区域!AG150,NA())</f>
        <v>0.10298898423795308</v>
      </c>
      <c r="L148">
        <f ca="1">IFERROR(计算区域!L150,NA())</f>
        <v>0.10071181670180269</v>
      </c>
      <c r="M148">
        <f ca="1">IFERROR(计算区域!M150,NA())</f>
        <v>9.9153108177152352E-2</v>
      </c>
      <c r="N148">
        <f ca="1">IFERROR(计算区域!N150,NA())</f>
        <v>9.7281073186011965E-2</v>
      </c>
      <c r="O148">
        <f ca="1">IFERROR(计算区域!O150,NA())</f>
        <v>0.10359782987913468</v>
      </c>
      <c r="Q148">
        <f ca="1">IFERROR(计算区域!R150,NA())</f>
        <v>0.10591197867034297</v>
      </c>
      <c r="R148">
        <f ca="1">IFERROR(计算区域!S150,NA())</f>
        <v>0.1059604518948441</v>
      </c>
      <c r="S148">
        <f ca="1">IFERROR(计算区域!T150,NA())</f>
        <v>9.8615454336445169E-2</v>
      </c>
      <c r="T148">
        <f ca="1">IFERROR(计算区域!U150,NA())</f>
        <v>0.1074159777280987</v>
      </c>
      <c r="V148">
        <f ca="1">IFERROR(计算区域!X150,NA())</f>
        <v>0.10616740892987039</v>
      </c>
      <c r="W148">
        <f ca="1">IFERROR(计算区域!Y150,NA())</f>
        <v>0.10897046781987485</v>
      </c>
      <c r="X148">
        <f ca="1">IFERROR(计算区域!Z150,NA())</f>
        <v>9.814453102782332E-2</v>
      </c>
      <c r="Y148">
        <f ca="1">IFERROR(计算区域!AA150,NA())</f>
        <v>0.10845555089268584</v>
      </c>
    </row>
    <row r="149" spans="1:25" x14ac:dyDescent="0.2">
      <c r="A149" s="28">
        <f>计算区域!E151</f>
        <v>45454</v>
      </c>
      <c r="B149">
        <f ca="1">IFERROR(计算区域!AJ151,NA())</f>
        <v>0.102576721245787</v>
      </c>
      <c r="C149">
        <f ca="1">IFERROR(计算区域!AK151,NA())</f>
        <v>7.6359533174145025E-2</v>
      </c>
      <c r="D149">
        <f ca="1">IFERROR(计算区域!AL151,NA())</f>
        <v>0.10596450976053966</v>
      </c>
      <c r="E149">
        <f ca="1">IFERROR(计算区域!AM151,NA())</f>
        <v>0.10306609386568842</v>
      </c>
      <c r="G149">
        <f ca="1">IFERROR(计算区域!AD151,NA())</f>
        <v>0.11506996504905879</v>
      </c>
      <c r="H149">
        <f ca="1">IFERROR(计算区域!AE151,NA())</f>
        <v>8.7927917782272172E-2</v>
      </c>
      <c r="I149">
        <f ca="1">IFERROR(计算区域!AF151,NA())</f>
        <v>0.10866309587874577</v>
      </c>
      <c r="J149">
        <f ca="1">IFERROR(计算区域!AG151,NA())</f>
        <v>0.10307686237982779</v>
      </c>
      <c r="L149">
        <f ca="1">IFERROR(计算区域!L151,NA())</f>
        <v>0.10708322635597282</v>
      </c>
      <c r="M149">
        <f ca="1">IFERROR(计算区域!M151,NA())</f>
        <v>0.10021828806074956</v>
      </c>
      <c r="N149">
        <f ca="1">IFERROR(计算区域!N151,NA())</f>
        <v>9.7820283187408527E-2</v>
      </c>
      <c r="O149">
        <f ca="1">IFERROR(计算区域!O151,NA())</f>
        <v>0.10392511174621265</v>
      </c>
      <c r="Q149">
        <f ca="1">IFERROR(计算区域!R151,NA())</f>
        <v>0.1108111677988272</v>
      </c>
      <c r="R149">
        <f ca="1">IFERROR(计算区域!S151,NA())</f>
        <v>0.10700912665557122</v>
      </c>
      <c r="S149">
        <f ca="1">IFERROR(计算区域!T151,NA())</f>
        <v>9.9116278790977425E-2</v>
      </c>
      <c r="T149">
        <f ca="1">IFERROR(计算区域!U151,NA())</f>
        <v>0.10781230877196014</v>
      </c>
      <c r="V149">
        <f ca="1">IFERROR(计算区域!X151,NA())</f>
        <v>0.11017208251044561</v>
      </c>
      <c r="W149">
        <f ca="1">IFERROR(计算区域!Y151,NA())</f>
        <v>0.10994891198809616</v>
      </c>
      <c r="X149">
        <f ca="1">IFERROR(计算区域!Z151,NA())</f>
        <v>9.8539253128079041E-2</v>
      </c>
      <c r="Y149">
        <f ca="1">IFERROR(计算区域!AA151,NA())</f>
        <v>0.1088271960842391</v>
      </c>
    </row>
    <row r="150" spans="1:25" x14ac:dyDescent="0.2">
      <c r="A150" s="28">
        <f>计算区域!E152</f>
        <v>45450</v>
      </c>
      <c r="B150">
        <f ca="1">IFERROR(计算区域!AJ152,NA())</f>
        <v>6.5839015117771293E-2</v>
      </c>
      <c r="C150">
        <f ca="1">IFERROR(计算区域!AK152,NA())</f>
        <v>7.7089640518469768E-2</v>
      </c>
      <c r="D150">
        <f ca="1">IFERROR(计算区域!AL152,NA())</f>
        <v>9.8511721971684271E-2</v>
      </c>
      <c r="E150">
        <f ca="1">IFERROR(计算区域!AM152,NA())</f>
        <v>0.10123821756485495</v>
      </c>
      <c r="G150">
        <f ca="1">IFERROR(计算区域!AD152,NA())</f>
        <v>6.6077313238471561E-2</v>
      </c>
      <c r="H150">
        <f ca="1">IFERROR(计算区域!AE152,NA())</f>
        <v>7.7565028484882545E-2</v>
      </c>
      <c r="I150">
        <f ca="1">IFERROR(计算区域!AF152,NA())</f>
        <v>9.9692915608499147E-2</v>
      </c>
      <c r="J150">
        <f ca="1">IFERROR(计算区域!AG152,NA())</f>
        <v>0.10130641456839334</v>
      </c>
      <c r="L150">
        <f ca="1">IFERROR(计算区域!L152,NA())</f>
        <v>9.6822854431851221E-2</v>
      </c>
      <c r="M150">
        <f ca="1">IFERROR(计算区域!M152,NA())</f>
        <v>9.4793494696418373E-2</v>
      </c>
      <c r="N150">
        <f ca="1">IFERROR(计算区域!N152,NA())</f>
        <v>9.6101278526764949E-2</v>
      </c>
      <c r="O150">
        <f ca="1">IFERROR(计算区域!O152,NA())</f>
        <v>0.10356545029616704</v>
      </c>
      <c r="Q150">
        <f ca="1">IFERROR(计算区域!R152,NA())</f>
        <v>0.10447199841677811</v>
      </c>
      <c r="R150">
        <f ca="1">IFERROR(计算区域!S152,NA())</f>
        <v>0.10129998532157951</v>
      </c>
      <c r="S150">
        <f ca="1">IFERROR(计算区域!T152,NA())</f>
        <v>9.8776588458969763E-2</v>
      </c>
      <c r="T150">
        <f ca="1">IFERROR(计算区域!U152,NA())</f>
        <v>0.1075322925879338</v>
      </c>
      <c r="V150">
        <f ca="1">IFERROR(计算区域!X152,NA())</f>
        <v>0.10494865254819194</v>
      </c>
      <c r="W150">
        <f ca="1">IFERROR(计算区域!Y152,NA())</f>
        <v>0.10436054508478822</v>
      </c>
      <c r="X150">
        <f ca="1">IFERROR(计算区域!Z152,NA())</f>
        <v>9.8815654180458998E-2</v>
      </c>
      <c r="Y150">
        <f ca="1">IFERROR(计算区域!AA152,NA())</f>
        <v>0.10862891338599273</v>
      </c>
    </row>
    <row r="151" spans="1:25" x14ac:dyDescent="0.2">
      <c r="A151" s="28">
        <f>计算区域!E153</f>
        <v>45449</v>
      </c>
      <c r="B151">
        <f ca="1">IFERROR(计算区域!AJ153,NA())</f>
        <v>6.2965618576915655E-2</v>
      </c>
      <c r="C151">
        <f ca="1">IFERROR(计算区域!AK153,NA())</f>
        <v>9.3145560353329049E-2</v>
      </c>
      <c r="D151">
        <f ca="1">IFERROR(计算区域!AL153,NA())</f>
        <v>9.8467277846306017E-2</v>
      </c>
      <c r="E151">
        <f ca="1">IFERROR(计算区域!AM153,NA())</f>
        <v>0.10079123762617899</v>
      </c>
      <c r="G151">
        <f ca="1">IFERROR(计算区域!AD153,NA())</f>
        <v>6.3027497200121921E-2</v>
      </c>
      <c r="H151">
        <f ca="1">IFERROR(计算区域!AE153,NA())</f>
        <v>9.5328731773956232E-2</v>
      </c>
      <c r="I151">
        <f ca="1">IFERROR(计算区域!AF153,NA())</f>
        <v>9.8929817316606272E-2</v>
      </c>
      <c r="J151">
        <f ca="1">IFERROR(计算区域!AG153,NA())</f>
        <v>0.10090901000808628</v>
      </c>
      <c r="L151">
        <f ca="1">IFERROR(计算区域!L153,NA())</f>
        <v>8.9710493534653199E-2</v>
      </c>
      <c r="M151">
        <f ca="1">IFERROR(计算区域!M153,NA())</f>
        <v>9.4645890347206274E-2</v>
      </c>
      <c r="N151">
        <f ca="1">IFERROR(计算区域!N153,NA())</f>
        <v>9.4308847639397619E-2</v>
      </c>
      <c r="O151">
        <f ca="1">IFERROR(计算区域!O153,NA())</f>
        <v>0.10312194107194983</v>
      </c>
      <c r="Q151">
        <f ca="1">IFERROR(计算区域!R153,NA())</f>
        <v>9.7152388944446472E-2</v>
      </c>
      <c r="R151">
        <f ca="1">IFERROR(计算区域!S153,NA())</f>
        <v>9.9987518038420195E-2</v>
      </c>
      <c r="S151">
        <f ca="1">IFERROR(计算区域!T153,NA())</f>
        <v>9.748760522388715E-2</v>
      </c>
      <c r="T151">
        <f ca="1">IFERROR(计算区域!U153,NA())</f>
        <v>0.1072830378908006</v>
      </c>
      <c r="V151">
        <f ca="1">IFERROR(计算区域!X153,NA())</f>
        <v>9.8163714930121534E-2</v>
      </c>
      <c r="W151">
        <f ca="1">IFERROR(计算区域!Y153,NA())</f>
        <v>0.10275762779338614</v>
      </c>
      <c r="X151">
        <f ca="1">IFERROR(计算区域!Z153,NA())</f>
        <v>9.8005519234953806E-2</v>
      </c>
      <c r="Y151">
        <f ca="1">IFERROR(计算区域!AA153,NA())</f>
        <v>0.10848043546872811</v>
      </c>
    </row>
    <row r="152" spans="1:25" x14ac:dyDescent="0.2">
      <c r="A152" s="28">
        <f>计算区域!E154</f>
        <v>45448</v>
      </c>
      <c r="B152">
        <f ca="1">IFERROR(计算区域!AJ154,NA())</f>
        <v>7.735132395894273E-2</v>
      </c>
      <c r="C152">
        <f ca="1">IFERROR(计算区域!AK154,NA())</f>
        <v>0.1024061719821151</v>
      </c>
      <c r="D152">
        <f ca="1">IFERROR(计算区域!AL154,NA())</f>
        <v>0.10138348528092836</v>
      </c>
      <c r="E152">
        <f ca="1">IFERROR(计算区域!AM154,NA())</f>
        <v>0.10104659989321171</v>
      </c>
      <c r="G152">
        <f ca="1">IFERROR(计算区域!AD154,NA())</f>
        <v>8.2206517277559871E-2</v>
      </c>
      <c r="H152">
        <f ca="1">IFERROR(计算区域!AE154,NA())</f>
        <v>0.10914807521919438</v>
      </c>
      <c r="I152">
        <f ca="1">IFERROR(计算区域!AF154,NA())</f>
        <v>0.10149675548770243</v>
      </c>
      <c r="J152">
        <f ca="1">IFERROR(计算区域!AG154,NA())</f>
        <v>0.10112240366237443</v>
      </c>
      <c r="L152">
        <f ca="1">IFERROR(计算区域!L154,NA())</f>
        <v>9.2539830869917697E-2</v>
      </c>
      <c r="M152">
        <f ca="1">IFERROR(计算区域!M154,NA())</f>
        <v>9.3242932364643108E-2</v>
      </c>
      <c r="N152">
        <f ca="1">IFERROR(计算区域!N154,NA())</f>
        <v>9.2728466235435403E-2</v>
      </c>
      <c r="O152">
        <f ca="1">IFERROR(计算区域!O154,NA())</f>
        <v>0.1031610970668093</v>
      </c>
      <c r="Q152">
        <f ca="1">IFERROR(计算区域!R154,NA())</f>
        <v>9.8004004395605346E-2</v>
      </c>
      <c r="R152">
        <f ca="1">IFERROR(计算区域!S154,NA())</f>
        <v>9.577090372137409E-2</v>
      </c>
      <c r="S152">
        <f ca="1">IFERROR(计算区域!T154,NA())</f>
        <v>9.4266530418645564E-2</v>
      </c>
      <c r="T152">
        <f ca="1">IFERROR(计算区域!U154,NA())</f>
        <v>0.10730827324007654</v>
      </c>
      <c r="V152">
        <f ca="1">IFERROR(计算区域!X154,NA())</f>
        <v>9.7246739960940895E-2</v>
      </c>
      <c r="W152">
        <f ca="1">IFERROR(计算区域!Y154,NA())</f>
        <v>9.7312091621218968E-2</v>
      </c>
      <c r="X152">
        <f ca="1">IFERROR(计算区域!Z154,NA())</f>
        <v>9.4138592926888032E-2</v>
      </c>
      <c r="Y152">
        <f ca="1">IFERROR(计算区域!AA154,NA())</f>
        <v>0.10840757843669507</v>
      </c>
    </row>
    <row r="153" spans="1:25" x14ac:dyDescent="0.2">
      <c r="A153" s="28">
        <f>计算区域!E155</f>
        <v>45447</v>
      </c>
      <c r="B153">
        <f ca="1">IFERROR(计算区域!AJ155,NA())</f>
        <v>7.3947006344075056E-2</v>
      </c>
      <c r="C153">
        <f ca="1">IFERROR(计算区域!AK155,NA())</f>
        <v>0.10247553274078441</v>
      </c>
      <c r="D153">
        <f ca="1">IFERROR(计算区域!AL155,NA())</f>
        <v>0.10233135809286133</v>
      </c>
      <c r="E153">
        <f ca="1">IFERROR(计算区域!AM155,NA())</f>
        <v>0.10122770283709112</v>
      </c>
      <c r="G153">
        <f ca="1">IFERROR(计算区域!AD155,NA())</f>
        <v>7.4777113776495555E-2</v>
      </c>
      <c r="H153">
        <f ca="1">IFERROR(计算区域!AE155,NA())</f>
        <v>0.10674653794001086</v>
      </c>
      <c r="I153">
        <f ca="1">IFERROR(计算区域!AF155,NA())</f>
        <v>0.10250950670367799</v>
      </c>
      <c r="J153">
        <f ca="1">IFERROR(计算区域!AG155,NA())</f>
        <v>0.10129476556198767</v>
      </c>
      <c r="L153">
        <f ca="1">IFERROR(计算区域!L155,NA())</f>
        <v>9.7569501889692212E-2</v>
      </c>
      <c r="M153">
        <f ca="1">IFERROR(计算区域!M155,NA())</f>
        <v>9.3177566000225684E-2</v>
      </c>
      <c r="N153">
        <f ca="1">IFERROR(计算区域!N155,NA())</f>
        <v>9.2610964220835548E-2</v>
      </c>
      <c r="O153">
        <f ca="1">IFERROR(计算区域!O155,NA())</f>
        <v>0.10328365012273369</v>
      </c>
      <c r="Q153">
        <f ca="1">IFERROR(计算区域!R155,NA())</f>
        <v>0.10600890295466674</v>
      </c>
      <c r="R153">
        <f ca="1">IFERROR(计算区域!S155,NA())</f>
        <v>9.6285513877999121E-2</v>
      </c>
      <c r="S153">
        <f ca="1">IFERROR(计算区域!T155,NA())</f>
        <v>9.4025819195574845E-2</v>
      </c>
      <c r="T153">
        <f ca="1">IFERROR(计算区域!U155,NA())</f>
        <v>0.10746929366799293</v>
      </c>
      <c r="V153">
        <f ca="1">IFERROR(计算区域!X155,NA())</f>
        <v>0.11170320942068956</v>
      </c>
      <c r="W153">
        <f ca="1">IFERROR(计算区域!Y155,NA())</f>
        <v>9.7930902021761995E-2</v>
      </c>
      <c r="X153">
        <f ca="1">IFERROR(计算区域!Z155,NA())</f>
        <v>9.3836079815045839E-2</v>
      </c>
      <c r="Y153">
        <f ca="1">IFERROR(计算区域!AA155,NA())</f>
        <v>0.10860627335041724</v>
      </c>
    </row>
    <row r="154" spans="1:25" x14ac:dyDescent="0.2">
      <c r="A154" s="28">
        <f>计算区域!E156</f>
        <v>45446</v>
      </c>
      <c r="B154">
        <f ca="1">IFERROR(计算区域!AJ156,NA())</f>
        <v>5.0274437762485739E-2</v>
      </c>
      <c r="C154">
        <f ca="1">IFERROR(计算区域!AK156,NA())</f>
        <v>9.4127909582719341E-2</v>
      </c>
      <c r="D154">
        <f ca="1">IFERROR(计算区域!AL156,NA())</f>
        <v>0.10038488614087146</v>
      </c>
      <c r="E154">
        <f ca="1">IFERROR(计算区域!AM156,NA())</f>
        <v>0.10352085897619391</v>
      </c>
      <c r="G154">
        <f ca="1">IFERROR(计算区域!AD156,NA())</f>
        <v>6.4454404628713463E-2</v>
      </c>
      <c r="H154">
        <f ca="1">IFERROR(计算区域!AE156,NA())</f>
        <v>0.10320234535280307</v>
      </c>
      <c r="I154">
        <f ca="1">IFERROR(计算区域!AF156,NA())</f>
        <v>0.10078183093718093</v>
      </c>
      <c r="J154">
        <f ca="1">IFERROR(计算区域!AG156,NA())</f>
        <v>0.10366253692518566</v>
      </c>
      <c r="L154">
        <f ca="1">IFERROR(计算区域!L156,NA())</f>
        <v>9.2847149427703224E-2</v>
      </c>
      <c r="M154">
        <f ca="1">IFERROR(计算区域!M156,NA())</f>
        <v>8.9652778137578645E-2</v>
      </c>
      <c r="N154">
        <f ca="1">IFERROR(计算区域!N156,NA())</f>
        <v>9.0762811297622217E-2</v>
      </c>
      <c r="O154">
        <f ca="1">IFERROR(计算区域!O156,NA())</f>
        <v>0.10520868856124502</v>
      </c>
      <c r="Q154">
        <f ca="1">IFERROR(计算区域!R156,NA())</f>
        <v>0.10306692712134348</v>
      </c>
      <c r="R154">
        <f ca="1">IFERROR(计算区域!S156,NA())</f>
        <v>9.3634320894192297E-2</v>
      </c>
      <c r="S154">
        <f ca="1">IFERROR(计算区域!T156,NA())</f>
        <v>9.2401833668757982E-2</v>
      </c>
      <c r="T154">
        <f ca="1">IFERROR(计算区域!U156,NA())</f>
        <v>0.10849218617640534</v>
      </c>
      <c r="V154">
        <f ca="1">IFERROR(计算区域!X156,NA())</f>
        <v>0.10972528755963139</v>
      </c>
      <c r="W154">
        <f ca="1">IFERROR(计算区域!Y156,NA())</f>
        <v>9.6214911059050348E-2</v>
      </c>
      <c r="X154">
        <f ca="1">IFERROR(计算区域!Z156,NA())</f>
        <v>9.240627784488413E-2</v>
      </c>
      <c r="Y154">
        <f ca="1">IFERROR(计算区域!AA156,NA())</f>
        <v>0.10917902802697416</v>
      </c>
    </row>
    <row r="155" spans="1:25" x14ac:dyDescent="0.2">
      <c r="A155" s="28">
        <f>计算区域!E157</f>
        <v>45443</v>
      </c>
      <c r="B155">
        <f ca="1">IFERROR(计算区域!AJ157,NA())</f>
        <v>9.4932726860094366E-2</v>
      </c>
      <c r="C155">
        <f ca="1">IFERROR(计算区域!AK157,NA())</f>
        <v>9.5528222736682822E-2</v>
      </c>
      <c r="D155">
        <f ca="1">IFERROR(计算区域!AL157,NA())</f>
        <v>0.10942173324254935</v>
      </c>
      <c r="E155">
        <f ca="1">IFERROR(计算区域!AM157,NA())</f>
        <v>0.10352172952513165</v>
      </c>
      <c r="G155">
        <f ca="1">IFERROR(计算区域!AD157,NA())</f>
        <v>9.5762933193753785E-2</v>
      </c>
      <c r="H155">
        <f ca="1">IFERROR(计算区域!AE157,NA())</f>
        <v>0.10373335921305063</v>
      </c>
      <c r="I155">
        <f ca="1">IFERROR(计算区域!AF157,NA())</f>
        <v>0.10942220480769274</v>
      </c>
      <c r="J155">
        <f ca="1">IFERROR(计算区域!AG157,NA())</f>
        <v>0.10366374994863065</v>
      </c>
      <c r="L155">
        <f ca="1">IFERROR(计算区域!L157,NA())</f>
        <v>9.2719728931810103E-2</v>
      </c>
      <c r="M155">
        <f ca="1">IFERROR(计算区域!M157,NA())</f>
        <v>9.0121755387526828E-2</v>
      </c>
      <c r="N155">
        <f ca="1">IFERROR(计算区域!N157,NA())</f>
        <v>9.0719587289434592E-2</v>
      </c>
      <c r="O155">
        <f ca="1">IFERROR(计算区域!O157,NA())</f>
        <v>0.10518140914315888</v>
      </c>
      <c r="Q155">
        <f ca="1">IFERROR(计算区域!R157,NA())</f>
        <v>9.8025382422662122E-2</v>
      </c>
      <c r="R155">
        <f ca="1">IFERROR(计算区域!S157,NA())</f>
        <v>9.4369954814369494E-2</v>
      </c>
      <c r="S155">
        <f ca="1">IFERROR(计算区域!T157,NA())</f>
        <v>9.2477242433377835E-2</v>
      </c>
      <c r="T155">
        <f ca="1">IFERROR(计算区域!U157,NA())</f>
        <v>0.10843755070905017</v>
      </c>
      <c r="V155">
        <f ca="1">IFERROR(计算区域!X157,NA())</f>
        <v>0.10376910459817562</v>
      </c>
      <c r="W155">
        <f ca="1">IFERROR(计算区域!Y157,NA())</f>
        <v>9.7538114648575827E-2</v>
      </c>
      <c r="X155">
        <f ca="1">IFERROR(计算区域!Z157,NA())</f>
        <v>9.2557165028525332E-2</v>
      </c>
      <c r="Y155">
        <f ca="1">IFERROR(计算区域!AA157,NA())</f>
        <v>0.10911982029399488</v>
      </c>
    </row>
    <row r="156" spans="1:25" x14ac:dyDescent="0.2">
      <c r="A156" s="28">
        <f>计算区域!E158</f>
        <v>45442</v>
      </c>
      <c r="B156">
        <f ca="1">IFERROR(计算区域!AJ158,NA())</f>
        <v>0.12188289293532011</v>
      </c>
      <c r="C156">
        <f ca="1">IFERROR(计算区域!AK158,NA())</f>
        <v>0.12804503506932727</v>
      </c>
      <c r="D156">
        <f ca="1">IFERROR(计算区域!AL158,NA())</f>
        <v>0.10979160435717993</v>
      </c>
      <c r="E156">
        <f ca="1">IFERROR(计算区域!AM158,NA())</f>
        <v>0.1032345188951075</v>
      </c>
      <c r="G156">
        <f ca="1">IFERROR(计算区域!AD158,NA())</f>
        <v>0.12835326476314549</v>
      </c>
      <c r="H156">
        <f ca="1">IFERROR(计算区域!AE158,NA())</f>
        <v>0.12842245749168688</v>
      </c>
      <c r="I156">
        <f ca="1">IFERROR(计算区域!AF158,NA())</f>
        <v>0.10979580043249383</v>
      </c>
      <c r="J156">
        <f ca="1">IFERROR(计算区域!AG158,NA())</f>
        <v>0.10345825936758023</v>
      </c>
      <c r="L156">
        <f ca="1">IFERROR(计算区域!L158,NA())</f>
        <v>9.9336380390065204E-2</v>
      </c>
      <c r="M156">
        <f ca="1">IFERROR(计算区域!M158,NA())</f>
        <v>9.8271741818836023E-2</v>
      </c>
      <c r="N156">
        <f ca="1">IFERROR(计算区域!N158,NA())</f>
        <v>9.0006645174504213E-2</v>
      </c>
      <c r="O156">
        <f ca="1">IFERROR(计算区域!O158,NA())</f>
        <v>0.1052194447052222</v>
      </c>
      <c r="Q156">
        <f ca="1">IFERROR(计算区域!R158,NA())</f>
        <v>0.10274444437220827</v>
      </c>
      <c r="R156">
        <f ca="1">IFERROR(计算区域!S158,NA())</f>
        <v>9.5645859434224462E-2</v>
      </c>
      <c r="S156">
        <f ca="1">IFERROR(计算区域!T158,NA())</f>
        <v>9.1943271721786332E-2</v>
      </c>
      <c r="T156">
        <f ca="1">IFERROR(计算区域!U158,NA())</f>
        <v>0.10860672895139634</v>
      </c>
      <c r="V156">
        <f ca="1">IFERROR(计算区域!X158,NA())</f>
        <v>0.1071547722248804</v>
      </c>
      <c r="W156">
        <f ca="1">IFERROR(计算区域!Y158,NA())</f>
        <v>9.5452217412118748E-2</v>
      </c>
      <c r="X156">
        <f ca="1">IFERROR(计算区域!Z158,NA())</f>
        <v>9.2234861918077934E-2</v>
      </c>
      <c r="Y156">
        <f ca="1">IFERROR(计算区域!AA158,NA())</f>
        <v>0.1092298204903855</v>
      </c>
    </row>
    <row r="157" spans="1:25" x14ac:dyDescent="0.2">
      <c r="A157" s="28">
        <f>计算区域!E159</f>
        <v>45441</v>
      </c>
      <c r="B157">
        <f ca="1">IFERROR(计算区域!AJ159,NA())</f>
        <v>0.13158165471409844</v>
      </c>
      <c r="C157">
        <f ca="1">IFERROR(计算区域!AK159,NA())</f>
        <v>0.12497035339295674</v>
      </c>
      <c r="D157">
        <f ca="1">IFERROR(计算区域!AL159,NA())</f>
        <v>0.10882801428421608</v>
      </c>
      <c r="E157">
        <f ca="1">IFERROR(计算区域!AM159,NA())</f>
        <v>0.10333996224412828</v>
      </c>
      <c r="G157">
        <f ca="1">IFERROR(计算区域!AD159,NA())</f>
        <v>0.14158749502063311</v>
      </c>
      <c r="H157">
        <f ca="1">IFERROR(计算区域!AE159,NA())</f>
        <v>0.1252172786633288</v>
      </c>
      <c r="I157">
        <f ca="1">IFERROR(计算区域!AF159,NA())</f>
        <v>0.10922257190147892</v>
      </c>
      <c r="J157">
        <f ca="1">IFERROR(计算区域!AG159,NA())</f>
        <v>0.10389648780787895</v>
      </c>
      <c r="L157">
        <f ca="1">IFERROR(计算区域!L159,NA())</f>
        <v>9.3940771630223727E-2</v>
      </c>
      <c r="M157">
        <f ca="1">IFERROR(计算区域!M159,NA())</f>
        <v>9.4212371867015546E-2</v>
      </c>
      <c r="N157">
        <f ca="1">IFERROR(计算区域!N159,NA())</f>
        <v>9.231474501959476E-2</v>
      </c>
      <c r="O157">
        <f ca="1">IFERROR(计算区域!O159,NA())</f>
        <v>0.10515449093695027</v>
      </c>
      <c r="Q157">
        <f ca="1">IFERROR(计算区域!R159,NA())</f>
        <v>9.3484475297471628E-2</v>
      </c>
      <c r="R157">
        <f ca="1">IFERROR(计算区域!S159,NA())</f>
        <v>9.1123128654717764E-2</v>
      </c>
      <c r="S157">
        <f ca="1">IFERROR(计算区域!T159,NA())</f>
        <v>9.470204890801745E-2</v>
      </c>
      <c r="T157">
        <f ca="1">IFERROR(计算区域!U159,NA())</f>
        <v>0.10783370695100714</v>
      </c>
      <c r="V157">
        <f ca="1">IFERROR(计算区域!X159,NA())</f>
        <v>9.7377399422875197E-2</v>
      </c>
      <c r="W157">
        <f ca="1">IFERROR(计算区域!Y159,NA())</f>
        <v>9.0815385817587357E-2</v>
      </c>
      <c r="X157">
        <f ca="1">IFERROR(计算区域!Z159,NA())</f>
        <v>9.5598092788958866E-2</v>
      </c>
      <c r="Y157">
        <f ca="1">IFERROR(计算区域!AA159,NA())</f>
        <v>0.1082292919873766</v>
      </c>
    </row>
    <row r="158" spans="1:25" x14ac:dyDescent="0.2">
      <c r="A158" s="28">
        <f>计算区域!E160</f>
        <v>45440</v>
      </c>
      <c r="B158">
        <f ca="1">IFERROR(计算区域!AJ160,NA())</f>
        <v>0.13157240885961427</v>
      </c>
      <c r="C158">
        <f ca="1">IFERROR(计算区域!AK160,NA())</f>
        <v>0.13054085105145305</v>
      </c>
      <c r="D158">
        <f ca="1">IFERROR(计算区域!AL160,NA())</f>
        <v>0.11603679241142449</v>
      </c>
      <c r="E158">
        <f ca="1">IFERROR(计算区域!AM160,NA())</f>
        <v>0.10415553424865842</v>
      </c>
      <c r="G158">
        <f ca="1">IFERROR(计算区域!AD160,NA())</f>
        <v>0.14158649589617625</v>
      </c>
      <c r="H158">
        <f ca="1">IFERROR(计算区域!AE160,NA())</f>
        <v>0.13062080289298036</v>
      </c>
      <c r="I158">
        <f ca="1">IFERROR(计算区域!AF160,NA())</f>
        <v>0.11752865183819114</v>
      </c>
      <c r="J158">
        <f ca="1">IFERROR(计算区域!AG160,NA())</f>
        <v>0.10455405484906473</v>
      </c>
      <c r="L158">
        <f ca="1">IFERROR(计算区域!L160,NA())</f>
        <v>8.8568108890560465E-2</v>
      </c>
      <c r="M158">
        <f ca="1">IFERROR(计算区域!M160,NA())</f>
        <v>9.5372299643315533E-2</v>
      </c>
      <c r="N158">
        <f ca="1">IFERROR(计算区域!N160,NA())</f>
        <v>9.5141525631628088E-2</v>
      </c>
      <c r="O158">
        <f ca="1">IFERROR(计算区域!O160,NA())</f>
        <v>0.10573070162831927</v>
      </c>
      <c r="Q158">
        <f ca="1">IFERROR(计算区域!R160,NA())</f>
        <v>8.5462932665856806E-2</v>
      </c>
      <c r="R158">
        <f ca="1">IFERROR(计算区域!S160,NA())</f>
        <v>9.0677440977386656E-2</v>
      </c>
      <c r="S158">
        <f ca="1">IFERROR(计算区域!T160,NA())</f>
        <v>9.5366688590710583E-2</v>
      </c>
      <c r="T158">
        <f ca="1">IFERROR(计算区域!U160,NA())</f>
        <v>0.10837558755901121</v>
      </c>
      <c r="V158">
        <f ca="1">IFERROR(计算区域!X160,NA())</f>
        <v>8.187378180290357E-2</v>
      </c>
      <c r="W158">
        <f ca="1">IFERROR(计算区域!Y160,NA())</f>
        <v>8.5965894891290279E-2</v>
      </c>
      <c r="X158">
        <f ca="1">IFERROR(计算区域!Z160,NA())</f>
        <v>9.3923144042727252E-2</v>
      </c>
      <c r="Y158">
        <f ca="1">IFERROR(计算区域!AA160,NA())</f>
        <v>0.10848631835412351</v>
      </c>
    </row>
    <row r="159" spans="1:25" x14ac:dyDescent="0.2">
      <c r="A159" s="28">
        <f>计算区域!E161</f>
        <v>45439</v>
      </c>
      <c r="B159">
        <f ca="1">IFERROR(计算区域!AJ161,NA())</f>
        <v>0.13178102726601465</v>
      </c>
      <c r="C159">
        <f ca="1">IFERROR(计算区域!AK161,NA())</f>
        <v>0.13100260370698641</v>
      </c>
      <c r="D159">
        <f ca="1">IFERROR(计算区域!AL161,NA())</f>
        <v>0.11540695203092873</v>
      </c>
      <c r="E159">
        <f ca="1">IFERROR(计算区域!AM161,NA())</f>
        <v>0.10429069867550374</v>
      </c>
      <c r="G159">
        <f ca="1">IFERROR(计算区域!AD161,NA())</f>
        <v>0.14074714532869345</v>
      </c>
      <c r="H159">
        <f ca="1">IFERROR(计算区域!AE161,NA())</f>
        <v>0.13113344822202319</v>
      </c>
      <c r="I159">
        <f ca="1">IFERROR(计算区域!AF161,NA())</f>
        <v>0.1178408324226845</v>
      </c>
      <c r="J159">
        <f ca="1">IFERROR(计算区域!AG161,NA())</f>
        <v>0.10488469384609857</v>
      </c>
      <c r="L159">
        <f ca="1">IFERROR(计算区域!L161,NA())</f>
        <v>8.6340304022637912E-2</v>
      </c>
      <c r="M159">
        <f ca="1">IFERROR(计算区域!M161,NA())</f>
        <v>9.5361996329262233E-2</v>
      </c>
      <c r="N159">
        <f ca="1">IFERROR(计算区域!N161,NA())</f>
        <v>9.6620535503537289E-2</v>
      </c>
      <c r="O159">
        <f ca="1">IFERROR(计算区域!O161,NA())</f>
        <v>0.10596272752110805</v>
      </c>
      <c r="Q159">
        <f ca="1">IFERROR(计算区域!R161,NA())</f>
        <v>8.3138322285194202E-2</v>
      </c>
      <c r="R159">
        <f ca="1">IFERROR(计算区域!S161,NA())</f>
        <v>9.0537949254185318E-2</v>
      </c>
      <c r="S159">
        <f ca="1">IFERROR(计算区域!T161,NA())</f>
        <v>9.6909793631435939E-2</v>
      </c>
      <c r="T159">
        <f ca="1">IFERROR(计算区域!U161,NA())</f>
        <v>0.10824518947738304</v>
      </c>
      <c r="V159">
        <f ca="1">IFERROR(计算区域!X161,NA())</f>
        <v>8.0467257255098096E-2</v>
      </c>
      <c r="W159">
        <f ca="1">IFERROR(计算区域!Y161,NA())</f>
        <v>8.5622459475964335E-2</v>
      </c>
      <c r="X159">
        <f ca="1">IFERROR(计算区域!Z161,NA())</f>
        <v>9.5287923330157578E-2</v>
      </c>
      <c r="Y159">
        <f ca="1">IFERROR(计算区域!AA161,NA())</f>
        <v>0.10821194901322634</v>
      </c>
    </row>
    <row r="160" spans="1:25" x14ac:dyDescent="0.2">
      <c r="A160" s="28">
        <f>计算区域!E162</f>
        <v>45436</v>
      </c>
      <c r="B160">
        <f ca="1">IFERROR(计算区域!AJ162,NA())</f>
        <v>9.8405636739967245E-2</v>
      </c>
      <c r="C160">
        <f ca="1">IFERROR(计算区域!AK162,NA())</f>
        <v>0.12017681405569233</v>
      </c>
      <c r="D160">
        <f ca="1">IFERROR(计算区域!AL162,NA())</f>
        <v>0.11240749312642694</v>
      </c>
      <c r="E160">
        <f ca="1">IFERROR(计算区域!AM162,NA())</f>
        <v>0.10863813034651648</v>
      </c>
      <c r="G160">
        <f ca="1">IFERROR(计算区域!AD162,NA())</f>
        <v>0.12264107267462313</v>
      </c>
      <c r="H160">
        <f ca="1">IFERROR(计算区域!AE162,NA())</f>
        <v>0.12233281936004543</v>
      </c>
      <c r="I160">
        <f ca="1">IFERROR(计算区域!AF162,NA())</f>
        <v>0.11413298493363509</v>
      </c>
      <c r="J160">
        <f ca="1">IFERROR(计算区域!AG162,NA())</f>
        <v>0.10872463488057652</v>
      </c>
      <c r="L160">
        <f ca="1">IFERROR(计算区域!L162,NA())</f>
        <v>8.7446632039605163E-2</v>
      </c>
      <c r="M160">
        <f ca="1">IFERROR(计算区域!M162,NA())</f>
        <v>9.7391502874726241E-2</v>
      </c>
      <c r="N160">
        <f ca="1">IFERROR(计算区域!N162,NA())</f>
        <v>9.6877657556040941E-2</v>
      </c>
      <c r="O160">
        <f ca="1">IFERROR(计算区域!O162,NA())</f>
        <v>0.10772088156487421</v>
      </c>
      <c r="Q160">
        <f ca="1">IFERROR(计算区域!R162,NA())</f>
        <v>9.0567108511993025E-2</v>
      </c>
      <c r="R160">
        <f ca="1">IFERROR(计算区域!S162,NA())</f>
        <v>9.6187014867044979E-2</v>
      </c>
      <c r="S160">
        <f ca="1">IFERROR(计算区域!T162,NA())</f>
        <v>9.8630748483179376E-2</v>
      </c>
      <c r="T160">
        <f ca="1">IFERROR(计算区域!U162,NA())</f>
        <v>0.10928554516365821</v>
      </c>
      <c r="V160">
        <f ca="1">IFERROR(计算区域!X162,NA())</f>
        <v>9.0880914109015942E-2</v>
      </c>
      <c r="W160">
        <f ca="1">IFERROR(计算区域!Y162,NA())</f>
        <v>9.2940538258770633E-2</v>
      </c>
      <c r="X160">
        <f ca="1">IFERROR(计算区域!Z162,NA())</f>
        <v>9.7810515716878349E-2</v>
      </c>
      <c r="Y160">
        <f ca="1">IFERROR(计算区域!AA162,NA())</f>
        <v>0.10889312880471085</v>
      </c>
    </row>
    <row r="161" spans="1:25" x14ac:dyDescent="0.2">
      <c r="A161" s="28">
        <f>计算区域!E163</f>
        <v>45435</v>
      </c>
      <c r="B161">
        <f ca="1">IFERROR(计算区域!AJ163,NA())</f>
        <v>0.14233085077627469</v>
      </c>
      <c r="C161">
        <f ca="1">IFERROR(计算区域!AK163,NA())</f>
        <v>0.10758105699736338</v>
      </c>
      <c r="D161">
        <f ca="1">IFERROR(计算区域!AL163,NA())</f>
        <v>0.10522149381659061</v>
      </c>
      <c r="E161">
        <f ca="1">IFERROR(计算区域!AM163,NA())</f>
        <v>0.10591087022249557</v>
      </c>
      <c r="G161">
        <f ca="1">IFERROR(计算区域!AD163,NA())</f>
        <v>0.14364253025514814</v>
      </c>
      <c r="H161">
        <f ca="1">IFERROR(计算区域!AE163,NA())</f>
        <v>0.10758302345267362</v>
      </c>
      <c r="I161">
        <f ca="1">IFERROR(计算区域!AF163,NA())</f>
        <v>0.10809263378945712</v>
      </c>
      <c r="J161">
        <f ca="1">IFERROR(计算区域!AG163,NA())</f>
        <v>0.10617379260443112</v>
      </c>
      <c r="L161">
        <f ca="1">IFERROR(计算区域!L163,NA())</f>
        <v>9.7195442337674437E-2</v>
      </c>
      <c r="M161">
        <f ca="1">IFERROR(计算区域!M163,NA())</f>
        <v>9.3970596074127541E-2</v>
      </c>
      <c r="N161">
        <f ca="1">IFERROR(计算区域!N163,NA())</f>
        <v>9.4027728867005819E-2</v>
      </c>
      <c r="O161">
        <f ca="1">IFERROR(计算区域!O163,NA())</f>
        <v>0.10719450481359476</v>
      </c>
      <c r="Q161">
        <f ca="1">IFERROR(计算区域!R163,NA())</f>
        <v>8.7976360486604857E-2</v>
      </c>
      <c r="R161">
        <f ca="1">IFERROR(计算区域!S163,NA())</f>
        <v>9.4921876198764243E-2</v>
      </c>
      <c r="S161">
        <f ca="1">IFERROR(计算区域!T163,NA())</f>
        <v>9.6046192162039884E-2</v>
      </c>
      <c r="T161">
        <f ca="1">IFERROR(计算区域!U163,NA())</f>
        <v>0.10907487028186372</v>
      </c>
      <c r="V161">
        <f ca="1">IFERROR(计算区域!X163,NA())</f>
        <v>8.2098151058442065E-2</v>
      </c>
      <c r="W161">
        <f ca="1">IFERROR(计算区域!Y163,NA())</f>
        <v>9.3010932321430484E-2</v>
      </c>
      <c r="X161">
        <f ca="1">IFERROR(计算区域!Z163,NA())</f>
        <v>9.5315111316608012E-2</v>
      </c>
      <c r="Y161">
        <f ca="1">IFERROR(计算区域!AA163,NA())</f>
        <v>0.10885333746335947</v>
      </c>
    </row>
    <row r="162" spans="1:25" x14ac:dyDescent="0.2">
      <c r="A162" s="28">
        <f>计算区域!E164</f>
        <v>45434</v>
      </c>
      <c r="B162">
        <f ca="1">IFERROR(计算区域!AJ164,NA())</f>
        <v>0.1023566335071988</v>
      </c>
      <c r="C162">
        <f ca="1">IFERROR(计算区域!AK164,NA())</f>
        <v>9.5158858356890808E-2</v>
      </c>
      <c r="D162">
        <f ca="1">IFERROR(计算区域!AL164,NA())</f>
        <v>9.6834998515566623E-2</v>
      </c>
      <c r="E162">
        <f ca="1">IFERROR(计算区域!AM164,NA())</f>
        <v>0.10496766532849296</v>
      </c>
      <c r="G162">
        <f ca="1">IFERROR(计算区域!AD164,NA())</f>
        <v>0.12341619312085471</v>
      </c>
      <c r="H162">
        <f ca="1">IFERROR(计算区域!AE164,NA())</f>
        <v>9.9169056105433973E-2</v>
      </c>
      <c r="I162">
        <f ca="1">IFERROR(计算区域!AF164,NA())</f>
        <v>0.10186998883799947</v>
      </c>
      <c r="J162">
        <f ca="1">IFERROR(计算区域!AG164,NA())</f>
        <v>0.10571018209420179</v>
      </c>
      <c r="L162">
        <f ca="1">IFERROR(计算区域!L164,NA())</f>
        <v>9.448319136828412E-2</v>
      </c>
      <c r="M162">
        <f ca="1">IFERROR(计算区域!M164,NA())</f>
        <v>9.2211129831464261E-2</v>
      </c>
      <c r="N162">
        <f ca="1">IFERROR(计算区域!N164,NA())</f>
        <v>9.4839874456921228E-2</v>
      </c>
      <c r="O162">
        <f ca="1">IFERROR(计算区域!O164,NA())</f>
        <v>0.10751662191996122</v>
      </c>
      <c r="Q162">
        <f ca="1">IFERROR(计算区域!R164,NA())</f>
        <v>8.8698940410835272E-2</v>
      </c>
      <c r="R162">
        <f ca="1">IFERROR(计算区域!S164,NA())</f>
        <v>9.273775668372701E-2</v>
      </c>
      <c r="S162">
        <f ca="1">IFERROR(计算区域!T164,NA())</f>
        <v>9.8303969193192287E-2</v>
      </c>
      <c r="T162">
        <f ca="1">IFERROR(计算区域!U164,NA())</f>
        <v>0.10905686190170361</v>
      </c>
      <c r="V162">
        <f ca="1">IFERROR(计算区域!X164,NA())</f>
        <v>8.3740734914570236E-2</v>
      </c>
      <c r="W162">
        <f ca="1">IFERROR(计算区域!Y164,NA())</f>
        <v>9.0854312945573223E-2</v>
      </c>
      <c r="X162">
        <f ca="1">IFERROR(计算区域!Z164,NA())</f>
        <v>9.9208761723847835E-2</v>
      </c>
      <c r="Y162">
        <f ca="1">IFERROR(计算区域!AA164,NA())</f>
        <v>0.10867343927932827</v>
      </c>
    </row>
    <row r="163" spans="1:25" x14ac:dyDescent="0.2">
      <c r="A163" s="28">
        <f>计算区域!E165</f>
        <v>45433</v>
      </c>
      <c r="B163">
        <f ca="1">IFERROR(计算区域!AJ165,NA())</f>
        <v>0.12855682430467788</v>
      </c>
      <c r="C163">
        <f ca="1">IFERROR(计算区域!AK165,NA())</f>
        <v>0.10238943713999019</v>
      </c>
      <c r="D163">
        <f ca="1">IFERROR(计算区域!AL165,NA())</f>
        <v>0.1011607121085952</v>
      </c>
      <c r="E163">
        <f ca="1">IFERROR(计算区域!AM165,NA())</f>
        <v>0.11015422816375839</v>
      </c>
      <c r="G163">
        <f ca="1">IFERROR(计算区域!AD165,NA())</f>
        <v>0.13543375138331445</v>
      </c>
      <c r="H163">
        <f ca="1">IFERROR(计算区域!AE165,NA())</f>
        <v>0.10387084398338858</v>
      </c>
      <c r="I163">
        <f ca="1">IFERROR(计算区域!AF165,NA())</f>
        <v>0.10447839881303624</v>
      </c>
      <c r="J163">
        <f ca="1">IFERROR(计算区域!AG165,NA())</f>
        <v>0.11145295058474831</v>
      </c>
      <c r="L163">
        <f ca="1">IFERROR(计算区域!L165,NA())</f>
        <v>0.10172237298676505</v>
      </c>
      <c r="M163">
        <f ca="1">IFERROR(计算区域!M165,NA())</f>
        <v>9.2040874518332094E-2</v>
      </c>
      <c r="N163">
        <f ca="1">IFERROR(计算区域!N165,NA())</f>
        <v>9.6055511687279341E-2</v>
      </c>
      <c r="O163">
        <f ca="1">IFERROR(计算区域!O165,NA())</f>
        <v>0.11517456565154</v>
      </c>
      <c r="Q163">
        <f ca="1">IFERROR(计算区域!R165,NA())</f>
        <v>9.560796904320322E-2</v>
      </c>
      <c r="R163">
        <f ca="1">IFERROR(计算区域!S165,NA())</f>
        <v>9.1710463787113727E-2</v>
      </c>
      <c r="S163">
        <f ca="1">IFERROR(计算区域!T165,NA())</f>
        <v>9.9881573370269747E-2</v>
      </c>
      <c r="T163">
        <f ca="1">IFERROR(计算区域!U165,NA())</f>
        <v>0.11669597075827451</v>
      </c>
      <c r="V163">
        <f ca="1">IFERROR(计算区域!X165,NA())</f>
        <v>8.9871875590816899E-2</v>
      </c>
      <c r="W163">
        <f ca="1">IFERROR(计算区域!Y165,NA())</f>
        <v>8.9554219215597863E-2</v>
      </c>
      <c r="X163">
        <f ca="1">IFERROR(计算区域!Z165,NA())</f>
        <v>0.10077845677293312</v>
      </c>
      <c r="Y163">
        <f ca="1">IFERROR(计算区域!AA165,NA())</f>
        <v>0.11656413100584241</v>
      </c>
    </row>
    <row r="164" spans="1:25" x14ac:dyDescent="0.2">
      <c r="A164" s="28">
        <f>计算区域!E166</f>
        <v>45432</v>
      </c>
      <c r="B164">
        <f ca="1">IFERROR(计算区域!AJ166,NA())</f>
        <v>0.13233132359798822</v>
      </c>
      <c r="C164">
        <f ca="1">IFERROR(计算区域!AK166,NA())</f>
        <v>0.10108396210085786</v>
      </c>
      <c r="D164">
        <f ca="1">IFERROR(计算区域!AL166,NA())</f>
        <v>0.10036155130364394</v>
      </c>
      <c r="E164">
        <f ca="1">IFERROR(计算区域!AM166,NA())</f>
        <v>0.11002289602139693</v>
      </c>
      <c r="G164">
        <f ca="1">IFERROR(计算区域!AD166,NA())</f>
        <v>0.13740887481407169</v>
      </c>
      <c r="H164">
        <f ca="1">IFERROR(计算区域!AE166,NA())</f>
        <v>0.1038835109988784</v>
      </c>
      <c r="I164">
        <f ca="1">IFERROR(计算区域!AF166,NA())</f>
        <v>0.10473653297790535</v>
      </c>
      <c r="J164">
        <f ca="1">IFERROR(计算区域!AG166,NA())</f>
        <v>0.1113853422285685</v>
      </c>
      <c r="L164">
        <f ca="1">IFERROR(计算区域!L166,NA())</f>
        <v>0.10360102600400685</v>
      </c>
      <c r="M164">
        <f ca="1">IFERROR(计算区域!M166,NA())</f>
        <v>9.1859431750417789E-2</v>
      </c>
      <c r="N164">
        <f ca="1">IFERROR(计算区域!N166,NA())</f>
        <v>0.10109665763544223</v>
      </c>
      <c r="O164">
        <f ca="1">IFERROR(计算区域!O166,NA())</f>
        <v>0.11535654073016184</v>
      </c>
      <c r="Q164">
        <f ca="1">IFERROR(计算区域!R166,NA())</f>
        <v>9.7376896017022721E-2</v>
      </c>
      <c r="R164">
        <f ca="1">IFERROR(计算区域!S166,NA())</f>
        <v>9.1152683347124008E-2</v>
      </c>
      <c r="S164">
        <f ca="1">IFERROR(计算区域!T166,NA())</f>
        <v>0.10588836144917931</v>
      </c>
      <c r="T164">
        <f ca="1">IFERROR(计算区域!U166,NA())</f>
        <v>0.11693554171013841</v>
      </c>
      <c r="V164">
        <f ca="1">IFERROR(计算区域!X166,NA())</f>
        <v>9.0484427628560349E-2</v>
      </c>
      <c r="W164">
        <f ca="1">IFERROR(计算区域!Y166,NA())</f>
        <v>8.8433767646702008E-2</v>
      </c>
      <c r="X164">
        <f ca="1">IFERROR(计算区域!Z166,NA())</f>
        <v>0.10848111747061476</v>
      </c>
      <c r="Y164">
        <f ca="1">IFERROR(计算区域!AA166,NA())</f>
        <v>0.11683205332925961</v>
      </c>
    </row>
    <row r="165" spans="1:25" x14ac:dyDescent="0.2">
      <c r="A165" s="28">
        <f>计算区域!E167</f>
        <v>45429</v>
      </c>
      <c r="B165">
        <f ca="1">IFERROR(计算区域!AJ167,NA())</f>
        <v>0.13424494407668469</v>
      </c>
      <c r="C165">
        <f ca="1">IFERROR(计算区域!AK167,NA())</f>
        <v>0.11372846285616571</v>
      </c>
      <c r="D165">
        <f ca="1">IFERROR(计算区域!AL167,NA())</f>
        <v>0.10448645950981446</v>
      </c>
      <c r="E165">
        <f ca="1">IFERROR(计算区域!AM167,NA())</f>
        <v>0.11076042563487752</v>
      </c>
      <c r="G165">
        <f ca="1">IFERROR(计算区域!AD167,NA())</f>
        <v>0.13649591331434505</v>
      </c>
      <c r="H165">
        <f ca="1">IFERROR(计算区域!AE167,NA())</f>
        <v>0.12048313430699766</v>
      </c>
      <c r="I165">
        <f ca="1">IFERROR(计算区域!AF167,NA())</f>
        <v>0.11059095636792844</v>
      </c>
      <c r="J165">
        <f ca="1">IFERROR(计算区域!AG167,NA())</f>
        <v>0.11233303156087078</v>
      </c>
      <c r="L165">
        <f ca="1">IFERROR(计算区域!L167,NA())</f>
        <v>0.10641097786095903</v>
      </c>
      <c r="M165">
        <f ca="1">IFERROR(计算区域!M167,NA())</f>
        <v>9.1313505254159752E-2</v>
      </c>
      <c r="N165">
        <f ca="1">IFERROR(计算区域!N167,NA())</f>
        <v>0.10624439358716455</v>
      </c>
      <c r="O165">
        <f ca="1">IFERROR(计算区域!O167,NA())</f>
        <v>0.11538420712222801</v>
      </c>
      <c r="Q165">
        <f ca="1">IFERROR(计算区域!R167,NA())</f>
        <v>0.10149621920959982</v>
      </c>
      <c r="R165">
        <f ca="1">IFERROR(计算区域!S167,NA())</f>
        <v>9.0544974264159667E-2</v>
      </c>
      <c r="S165">
        <f ca="1">IFERROR(计算区域!T167,NA())</f>
        <v>0.10975858438239286</v>
      </c>
      <c r="T165">
        <f ca="1">IFERROR(计算区域!U167,NA())</f>
        <v>0.11697475456467714</v>
      </c>
      <c r="V165">
        <f ca="1">IFERROR(计算区域!X167,NA())</f>
        <v>9.4955498810599087E-2</v>
      </c>
      <c r="W165">
        <f ca="1">IFERROR(计算区域!Y167,NA())</f>
        <v>8.7292461226824269E-2</v>
      </c>
      <c r="X165">
        <f ca="1">IFERROR(计算区域!Z167,NA())</f>
        <v>0.11173828698860948</v>
      </c>
      <c r="Y165">
        <f ca="1">IFERROR(计算区域!AA167,NA())</f>
        <v>0.11712544159181464</v>
      </c>
    </row>
    <row r="166" spans="1:25" x14ac:dyDescent="0.2">
      <c r="A166" s="28">
        <f>计算区域!E168</f>
        <v>45428</v>
      </c>
      <c r="B166">
        <f ca="1">IFERROR(计算区域!AJ168,NA())</f>
        <v>7.1309212066124519E-2</v>
      </c>
      <c r="C166">
        <f ca="1">IFERROR(计算区域!AK168,NA())</f>
        <v>9.4315903562595615E-2</v>
      </c>
      <c r="D166">
        <f ca="1">IFERROR(计算区域!AL168,NA())</f>
        <v>9.5518380965497501E-2</v>
      </c>
      <c r="E166">
        <f ca="1">IFERROR(计算区域!AM168,NA())</f>
        <v>0.10711386235073667</v>
      </c>
      <c r="G166">
        <f ca="1">IFERROR(计算区域!AD168,NA())</f>
        <v>7.3542940559516129E-2</v>
      </c>
      <c r="H166">
        <f ca="1">IFERROR(计算区域!AE168,NA())</f>
        <v>9.464335966951061E-2</v>
      </c>
      <c r="I166">
        <f ca="1">IFERROR(计算区域!AF168,NA())</f>
        <v>9.7790513084134362E-2</v>
      </c>
      <c r="J166">
        <f ca="1">IFERROR(计算区域!AG168,NA())</f>
        <v>0.1082081438637819</v>
      </c>
      <c r="L166">
        <f ca="1">IFERROR(计算区域!L168,NA())</f>
        <v>9.0631075475454168E-2</v>
      </c>
      <c r="M166">
        <f ca="1">IFERROR(计算区域!M168,NA())</f>
        <v>8.0901527247822957E-2</v>
      </c>
      <c r="N166">
        <f ca="1">IFERROR(计算区域!N168,NA())</f>
        <v>0.10456904857140159</v>
      </c>
      <c r="O166">
        <f ca="1">IFERROR(计算区域!O168,NA())</f>
        <v>0.11458631919661015</v>
      </c>
      <c r="Q166">
        <f ca="1">IFERROR(计算区域!R168,NA())</f>
        <v>0.10139272734135327</v>
      </c>
      <c r="R166">
        <f ca="1">IFERROR(计算区域!S168,NA())</f>
        <v>8.8085186058162179E-2</v>
      </c>
      <c r="S166">
        <f ca="1">IFERROR(计算区域!T168,NA())</f>
        <v>0.11230017152153958</v>
      </c>
      <c r="T166">
        <f ca="1">IFERROR(计算区域!U168,NA())</f>
        <v>0.11740014707096665</v>
      </c>
      <c r="V166">
        <f ca="1">IFERROR(计算区域!X168,NA())</f>
        <v>0.10277139998749008</v>
      </c>
      <c r="W166">
        <f ca="1">IFERROR(计算区域!Y168,NA())</f>
        <v>8.890114564618061E-2</v>
      </c>
      <c r="X166">
        <f ca="1">IFERROR(计算区域!Z168,NA())</f>
        <v>0.11571879120525828</v>
      </c>
      <c r="Y166">
        <f ca="1">IFERROR(计算区域!AA168,NA())</f>
        <v>0.11822040557333832</v>
      </c>
    </row>
    <row r="167" spans="1:25" x14ac:dyDescent="0.2">
      <c r="A167" s="28">
        <f>计算区域!E169</f>
        <v>45427</v>
      </c>
      <c r="B167">
        <f ca="1">IFERROR(计算区域!AJ169,NA())</f>
        <v>8.2469917183490976E-2</v>
      </c>
      <c r="C167">
        <f ca="1">IFERROR(计算区域!AK169,NA())</f>
        <v>9.6849660628443704E-2</v>
      </c>
      <c r="D167">
        <f ca="1">IFERROR(计算区域!AL169,NA())</f>
        <v>0.11675355122853505</v>
      </c>
      <c r="E167">
        <f ca="1">IFERROR(计算区域!AM169,NA())</f>
        <v>0.10936325122510859</v>
      </c>
      <c r="G167">
        <f ca="1">IFERROR(计算区域!AD169,NA())</f>
        <v>8.3042591936017957E-2</v>
      </c>
      <c r="H167">
        <f ca="1">IFERROR(计算区域!AE169,NA())</f>
        <v>9.7495032443284169E-2</v>
      </c>
      <c r="I167">
        <f ca="1">IFERROR(计算区域!AF169,NA())</f>
        <v>0.12167938710292865</v>
      </c>
      <c r="J167">
        <f ca="1">IFERROR(计算区域!AG169,NA())</f>
        <v>0.11075936997504048</v>
      </c>
      <c r="L167">
        <f ca="1">IFERROR(计算区域!L169,NA())</f>
        <v>8.9881652624184183E-2</v>
      </c>
      <c r="M167">
        <f ca="1">IFERROR(计算区域!M169,NA())</f>
        <v>9.0377283004396444E-2</v>
      </c>
      <c r="N167">
        <f ca="1">IFERROR(计算区域!N169,NA())</f>
        <v>0.11325074764729945</v>
      </c>
      <c r="O167">
        <f ca="1">IFERROR(计算区域!O169,NA())</f>
        <v>0.11617464436673265</v>
      </c>
      <c r="Q167">
        <f ca="1">IFERROR(计算区域!R169,NA())</f>
        <v>9.6607872347212978E-2</v>
      </c>
      <c r="R167">
        <f ca="1">IFERROR(计算区域!S169,NA())</f>
        <v>9.8150555571167364E-2</v>
      </c>
      <c r="S167">
        <f ca="1">IFERROR(计算区域!T169,NA())</f>
        <v>0.11432274938284828</v>
      </c>
      <c r="T167">
        <f ca="1">IFERROR(计算区域!U169,NA())</f>
        <v>0.11884695850680946</v>
      </c>
      <c r="V167">
        <f ca="1">IFERROR(计算区域!X169,NA())</f>
        <v>9.7449995780358983E-2</v>
      </c>
      <c r="W167">
        <f ca="1">IFERROR(计算区域!Y169,NA())</f>
        <v>0.10015266540924173</v>
      </c>
      <c r="X167">
        <f ca="1">IFERROR(计算区域!Z169,NA())</f>
        <v>0.11509479522515927</v>
      </c>
      <c r="Y167">
        <f ca="1">IFERROR(计算区域!AA169,NA())</f>
        <v>0.11984527457460839</v>
      </c>
    </row>
    <row r="168" spans="1:25" x14ac:dyDescent="0.2">
      <c r="A168" s="28">
        <f>计算区域!E170</f>
        <v>45426</v>
      </c>
      <c r="B168">
        <f ca="1">IFERROR(计算区域!AJ170,NA())</f>
        <v>7.6829312674050382E-2</v>
      </c>
      <c r="C168">
        <f ca="1">IFERROR(计算区域!AK170,NA())</f>
        <v>0.10127343937474494</v>
      </c>
      <c r="D168">
        <f ca="1">IFERROR(计算区域!AL170,NA())</f>
        <v>0.11844953705017143</v>
      </c>
      <c r="E168">
        <f ca="1">IFERROR(计算区域!AM170,NA())</f>
        <v>0.11967915772549903</v>
      </c>
      <c r="G168">
        <f ca="1">IFERROR(计算区域!AD170,NA())</f>
        <v>7.7027861864008881E-2</v>
      </c>
      <c r="H168">
        <f ca="1">IFERROR(计算区域!AE170,NA())</f>
        <v>0.10999522652243228</v>
      </c>
      <c r="I168">
        <f ca="1">IFERROR(计算区域!AF170,NA())</f>
        <v>0.1229684329849951</v>
      </c>
      <c r="J168">
        <f ca="1">IFERROR(计算区域!AG170,NA())</f>
        <v>0.12256476497621584</v>
      </c>
      <c r="L168">
        <f ca="1">IFERROR(计算区域!L170,NA())</f>
        <v>8.1213324018538743E-2</v>
      </c>
      <c r="M168">
        <f ca="1">IFERROR(计算区域!M170,NA())</f>
        <v>9.4910190494873231E-2</v>
      </c>
      <c r="N168">
        <f ca="1">IFERROR(计算区域!N170,NA())</f>
        <v>0.11464043659824631</v>
      </c>
      <c r="O168">
        <f ca="1">IFERROR(计算区域!O170,NA())</f>
        <v>0.12280361904590224</v>
      </c>
      <c r="Q168">
        <f ca="1">IFERROR(计算区域!R170,NA())</f>
        <v>8.7639800270932239E-2</v>
      </c>
      <c r="R168">
        <f ca="1">IFERROR(计算区域!S170,NA())</f>
        <v>9.9835926816490755E-2</v>
      </c>
      <c r="S168">
        <f ca="1">IFERROR(计算区域!T170,NA())</f>
        <v>0.11564937046255587</v>
      </c>
      <c r="T168">
        <f ca="1">IFERROR(计算区域!U170,NA())</f>
        <v>0.12217935924932768</v>
      </c>
      <c r="V168">
        <f ca="1">IFERROR(计算区域!X170,NA())</f>
        <v>8.9235432068318285E-2</v>
      </c>
      <c r="W168">
        <f ca="1">IFERROR(计算区域!Y170,NA())</f>
        <v>0.10125699427339038</v>
      </c>
      <c r="X168">
        <f ca="1">IFERROR(计算区域!Z170,NA())</f>
        <v>0.11624909490229844</v>
      </c>
      <c r="Y168">
        <f ca="1">IFERROR(计算区域!AA170,NA())</f>
        <v>0.12160818772293649</v>
      </c>
    </row>
    <row r="169" spans="1:25" x14ac:dyDescent="0.2">
      <c r="A169" s="28">
        <f>计算区域!E171</f>
        <v>45425</v>
      </c>
      <c r="B169">
        <f ca="1">IFERROR(计算区域!AJ171,NA())</f>
        <v>7.2178176573517286E-2</v>
      </c>
      <c r="C169">
        <f ca="1">IFERROR(计算区域!AK171,NA())</f>
        <v>9.5473471448907832E-2</v>
      </c>
      <c r="D169">
        <f ca="1">IFERROR(计算区域!AL171,NA())</f>
        <v>0.11716289012352928</v>
      </c>
      <c r="E169">
        <f ca="1">IFERROR(计算区域!AM171,NA())</f>
        <v>0.12014430903536202</v>
      </c>
      <c r="G169">
        <f ca="1">IFERROR(计算区域!AD171,NA())</f>
        <v>7.348683420587987E-2</v>
      </c>
      <c r="H169">
        <f ca="1">IFERROR(计算区域!AE171,NA())</f>
        <v>0.11009033803198509</v>
      </c>
      <c r="I169">
        <f ca="1">IFERROR(计算区域!AF171,NA())</f>
        <v>0.1223417393961924</v>
      </c>
      <c r="J169">
        <f ca="1">IFERROR(计算区域!AG171,NA())</f>
        <v>0.12378427165004831</v>
      </c>
      <c r="L169">
        <f ca="1">IFERROR(计算区域!L171,NA())</f>
        <v>7.8378171795063081E-2</v>
      </c>
      <c r="M169">
        <f ca="1">IFERROR(计算区域!M171,NA())</f>
        <v>9.7862890914168249E-2</v>
      </c>
      <c r="N169">
        <f ca="1">IFERROR(计算区域!N171,NA())</f>
        <v>0.11560237353714903</v>
      </c>
      <c r="O169">
        <f ca="1">IFERROR(计算区域!O171,NA())</f>
        <v>0.12790900871799596</v>
      </c>
      <c r="Q169">
        <f ca="1">IFERROR(计算区域!R171,NA())</f>
        <v>8.4471080760530476E-2</v>
      </c>
      <c r="R169">
        <f ca="1">IFERROR(计算区域!S171,NA())</f>
        <v>0.1028877832797537</v>
      </c>
      <c r="S169">
        <f ca="1">IFERROR(计算区域!T171,NA())</f>
        <v>0.11705286971777651</v>
      </c>
      <c r="T169">
        <f ca="1">IFERROR(计算区域!U171,NA())</f>
        <v>0.12775356039803645</v>
      </c>
      <c r="V169">
        <f ca="1">IFERROR(计算区域!X171,NA())</f>
        <v>8.6334413052464684E-2</v>
      </c>
      <c r="W169">
        <f ca="1">IFERROR(计算区域!Y171,NA())</f>
        <v>0.10405945943754859</v>
      </c>
      <c r="X169">
        <f ca="1">IFERROR(计算区域!Z171,NA())</f>
        <v>0.11769948079046441</v>
      </c>
      <c r="Y169">
        <f ca="1">IFERROR(计算区域!AA171,NA())</f>
        <v>0.12681245808208388</v>
      </c>
    </row>
    <row r="170" spans="1:25" x14ac:dyDescent="0.2">
      <c r="A170" s="28">
        <f>计算区域!E172</f>
        <v>45422</v>
      </c>
      <c r="B170">
        <f ca="1">IFERROR(计算区域!AJ172,NA())</f>
        <v>0.1023113346251167</v>
      </c>
      <c r="C170">
        <f ca="1">IFERROR(计算区域!AK172,NA())</f>
        <v>9.221469184397256E-2</v>
      </c>
      <c r="D170">
        <f ca="1">IFERROR(计算区域!AL172,NA())</f>
        <v>0.11772479292089347</v>
      </c>
      <c r="E170">
        <f ca="1">IFERROR(计算区域!AM172,NA())</f>
        <v>0.1212110990100547</v>
      </c>
      <c r="G170">
        <f ca="1">IFERROR(计算区域!AD172,NA())</f>
        <v>0.11844949711361538</v>
      </c>
      <c r="H170">
        <f ca="1">IFERROR(计算区域!AE172,NA())</f>
        <v>0.11195860272349108</v>
      </c>
      <c r="I170">
        <f ca="1">IFERROR(计算区域!AF172,NA())</f>
        <v>0.1225882971239369</v>
      </c>
      <c r="J170">
        <f ca="1">IFERROR(计算区域!AG172,NA())</f>
        <v>0.12448777222860036</v>
      </c>
      <c r="L170">
        <f ca="1">IFERROR(计算区域!L172,NA())</f>
        <v>7.3164310112768818E-2</v>
      </c>
      <c r="M170">
        <f ca="1">IFERROR(计算区域!M172,NA())</f>
        <v>9.6361072196677361E-2</v>
      </c>
      <c r="N170">
        <f ca="1">IFERROR(计算区域!N172,NA())</f>
        <v>0.11529102699699796</v>
      </c>
      <c r="O170">
        <f ca="1">IFERROR(计算区域!O172,NA())</f>
        <v>0.13540358227220736</v>
      </c>
      <c r="Q170">
        <f ca="1">IFERROR(计算区域!R172,NA())</f>
        <v>7.807241648080028E-2</v>
      </c>
      <c r="R170">
        <f ca="1">IFERROR(计算区域!S172,NA())</f>
        <v>0.1010153813222088</v>
      </c>
      <c r="S170">
        <f ca="1">IFERROR(计算区域!T172,NA())</f>
        <v>0.11647888548992688</v>
      </c>
      <c r="T170">
        <f ca="1">IFERROR(计算区域!U172,NA())</f>
        <v>0.13785540309113736</v>
      </c>
      <c r="V170">
        <f ca="1">IFERROR(计算区域!X172,NA())</f>
        <v>7.8888534145993339E-2</v>
      </c>
      <c r="W170">
        <f ca="1">IFERROR(计算区域!Y172,NA())</f>
        <v>0.1024492572826831</v>
      </c>
      <c r="X170">
        <f ca="1">IFERROR(计算区域!Z172,NA())</f>
        <v>0.11690217080425755</v>
      </c>
      <c r="Y170">
        <f ca="1">IFERROR(计算区域!AA172,NA())</f>
        <v>0.1391590125535753</v>
      </c>
    </row>
    <row r="171" spans="1:25" x14ac:dyDescent="0.2">
      <c r="A171" s="28">
        <f>计算区域!E173</f>
        <v>45421</v>
      </c>
      <c r="B171">
        <f ca="1">IFERROR(计算区域!AJ173,NA())</f>
        <v>0.11637524637054504</v>
      </c>
      <c r="C171">
        <f ca="1">IFERROR(计算区域!AK173,NA())</f>
        <v>0.10282005848455407</v>
      </c>
      <c r="D171">
        <f ca="1">IFERROR(计算区域!AL173,NA())</f>
        <v>0.12053009543140955</v>
      </c>
      <c r="E171">
        <f ca="1">IFERROR(计算区域!AM173,NA())</f>
        <v>0.12174419621195948</v>
      </c>
      <c r="G171">
        <f ca="1">IFERROR(计算区域!AD173,NA())</f>
        <v>0.1214310847160119</v>
      </c>
      <c r="H171">
        <f ca="1">IFERROR(计算区域!AE173,NA())</f>
        <v>0.11442094296176017</v>
      </c>
      <c r="I171">
        <f ca="1">IFERROR(计算区域!AF173,NA())</f>
        <v>0.12367256149073134</v>
      </c>
      <c r="J171">
        <f ca="1">IFERROR(计算区域!AG173,NA())</f>
        <v>0.12461915851167554</v>
      </c>
      <c r="L171">
        <f ca="1">IFERROR(计算区域!L173,NA())</f>
        <v>6.982923728799427E-2</v>
      </c>
      <c r="M171">
        <f ca="1">IFERROR(计算区域!M173,NA())</f>
        <v>9.4084826966134613E-2</v>
      </c>
      <c r="N171">
        <f ca="1">IFERROR(计算区域!N173,NA())</f>
        <v>0.11471386813851193</v>
      </c>
      <c r="O171">
        <f ca="1">IFERROR(计算区域!O173,NA())</f>
        <v>0.13593753695905919</v>
      </c>
      <c r="Q171">
        <f ca="1">IFERROR(计算区域!R173,NA())</f>
        <v>7.2370676714288706E-2</v>
      </c>
      <c r="R171">
        <f ca="1">IFERROR(计算区域!S173,NA())</f>
        <v>9.7157498303329412E-2</v>
      </c>
      <c r="S171">
        <f ca="1">IFERROR(计算区域!T173,NA())</f>
        <v>0.11517663538769501</v>
      </c>
      <c r="T171">
        <f ca="1">IFERROR(计算区域!U173,NA())</f>
        <v>0.1385835744021853</v>
      </c>
      <c r="V171">
        <f ca="1">IFERROR(计算区域!X173,NA())</f>
        <v>7.2421452201803876E-2</v>
      </c>
      <c r="W171">
        <f ca="1">IFERROR(计算区域!Y173,NA())</f>
        <v>9.7564887942809778E-2</v>
      </c>
      <c r="X171">
        <f ca="1">IFERROR(计算区域!Z173,NA())</f>
        <v>0.11506147746954333</v>
      </c>
      <c r="Y171">
        <f ca="1">IFERROR(计算区域!AA173,NA())</f>
        <v>0.14002924631057051</v>
      </c>
    </row>
    <row r="172" spans="1:25" x14ac:dyDescent="0.2">
      <c r="A172" s="28">
        <f>计算区域!E174</f>
        <v>45420</v>
      </c>
      <c r="B172">
        <f ca="1">IFERROR(计算区域!AJ174,NA())</f>
        <v>0.11562449849996161</v>
      </c>
      <c r="C172">
        <f ca="1">IFERROR(计算区域!AK174,NA())</f>
        <v>0.10343471696519654</v>
      </c>
      <c r="D172">
        <f ca="1">IFERROR(计算区域!AL174,NA())</f>
        <v>0.12166354815493678</v>
      </c>
      <c r="E172">
        <f ca="1">IFERROR(计算区域!AM174,NA())</f>
        <v>0.12236225585464386</v>
      </c>
      <c r="G172">
        <f ca="1">IFERROR(计算区域!AD174,NA())</f>
        <v>0.12037778434811519</v>
      </c>
      <c r="H172">
        <f ca="1">IFERROR(计算区域!AE174,NA())</f>
        <v>0.10987967292130879</v>
      </c>
      <c r="I172">
        <f ca="1">IFERROR(计算区域!AF174,NA())</f>
        <v>0.12304267208343062</v>
      </c>
      <c r="J172">
        <f ca="1">IFERROR(计算区域!AG174,NA())</f>
        <v>0.12456959167678086</v>
      </c>
      <c r="L172">
        <f ca="1">IFERROR(计算区域!L174,NA())</f>
        <v>9.0870210124435247E-2</v>
      </c>
      <c r="M172">
        <f ca="1">IFERROR(计算区域!M174,NA())</f>
        <v>9.7397695605255463E-2</v>
      </c>
      <c r="N172">
        <f ca="1">IFERROR(计算区域!N174,NA())</f>
        <v>0.115257526748491</v>
      </c>
      <c r="O172">
        <f ca="1">IFERROR(计算区域!O174,NA())</f>
        <v>0.1366485625528521</v>
      </c>
      <c r="Q172">
        <f ca="1">IFERROR(计算区域!R174,NA())</f>
        <v>9.9669363991159443E-2</v>
      </c>
      <c r="R172">
        <f ca="1">IFERROR(计算区域!S174,NA())</f>
        <v>0.10357146906142659</v>
      </c>
      <c r="S172">
        <f ca="1">IFERROR(计算区域!T174,NA())</f>
        <v>0.11673826147932961</v>
      </c>
      <c r="T172">
        <f ca="1">IFERROR(计算区域!U174,NA())</f>
        <v>0.13977300366547665</v>
      </c>
      <c r="V172">
        <f ca="1">IFERROR(计算区域!X174,NA())</f>
        <v>0.10278429403152541</v>
      </c>
      <c r="W172">
        <f ca="1">IFERROR(计算区域!Y174,NA())</f>
        <v>0.10691235019746913</v>
      </c>
      <c r="X172">
        <f ca="1">IFERROR(计算区域!Z174,NA())</f>
        <v>0.11674885672834216</v>
      </c>
      <c r="Y172">
        <f ca="1">IFERROR(计算区域!AA174,NA())</f>
        <v>0.14127107418883667</v>
      </c>
    </row>
    <row r="173" spans="1:25" x14ac:dyDescent="0.2">
      <c r="A173" s="28">
        <f>计算区域!E175</f>
        <v>45419</v>
      </c>
      <c r="B173">
        <f ca="1">IFERROR(计算区域!AJ175,NA())</f>
        <v>0.10936330838404761</v>
      </c>
      <c r="C173">
        <f ca="1">IFERROR(计算区域!AK175,NA())</f>
        <v>0.10462020962305034</v>
      </c>
      <c r="D173">
        <f ca="1">IFERROR(计算区域!AL175,NA())</f>
        <v>0.11999734422055852</v>
      </c>
      <c r="E173">
        <f ca="1">IFERROR(计算区域!AM175,NA())</f>
        <v>0.12622915717956826</v>
      </c>
      <c r="G173">
        <f ca="1">IFERROR(计算区域!AD175,NA())</f>
        <v>0.14590868951687505</v>
      </c>
      <c r="H173">
        <f ca="1">IFERROR(计算区域!AE175,NA())</f>
        <v>0.11070311171165483</v>
      </c>
      <c r="I173">
        <f ca="1">IFERROR(计算区域!AF175,NA())</f>
        <v>0.12174124622676211</v>
      </c>
      <c r="J173">
        <f ca="1">IFERROR(计算区域!AG175,NA())</f>
        <v>0.12793668764505298</v>
      </c>
      <c r="L173">
        <f ca="1">IFERROR(计算区域!L175,NA())</f>
        <v>0.10686573127717833</v>
      </c>
      <c r="M173">
        <f ca="1">IFERROR(计算区域!M175,NA())</f>
        <v>9.9908958902146294E-2</v>
      </c>
      <c r="N173">
        <f ca="1">IFERROR(计算区域!N175,NA())</f>
        <v>0.11557910602739718</v>
      </c>
      <c r="O173">
        <f ca="1">IFERROR(计算区域!O175,NA())</f>
        <v>0.1376357568138129</v>
      </c>
      <c r="Q173">
        <f ca="1">IFERROR(计算区域!R175,NA())</f>
        <v>0.1106963864590281</v>
      </c>
      <c r="R173">
        <f ca="1">IFERROR(计算区域!S175,NA())</f>
        <v>0.10743299413957362</v>
      </c>
      <c r="S173">
        <f ca="1">IFERROR(计算区域!T175,NA())</f>
        <v>0.11729696741669711</v>
      </c>
      <c r="T173">
        <f ca="1">IFERROR(计算区域!U175,NA())</f>
        <v>0.14061233101661555</v>
      </c>
      <c r="V173">
        <f ca="1">IFERROR(计算区域!X175,NA())</f>
        <v>0.11199551527692252</v>
      </c>
      <c r="W173">
        <f ca="1">IFERROR(计算区域!Y175,NA())</f>
        <v>0.11087216296145999</v>
      </c>
      <c r="X173">
        <f ca="1">IFERROR(计算区域!Z175,NA())</f>
        <v>0.11740196194870396</v>
      </c>
      <c r="Y173">
        <f ca="1">IFERROR(计算区域!AA175,NA())</f>
        <v>0.14200634506267332</v>
      </c>
    </row>
    <row r="174" spans="1:25" x14ac:dyDescent="0.2">
      <c r="A174" s="28">
        <f>计算区域!E176</f>
        <v>45418</v>
      </c>
      <c r="B174">
        <f ca="1">IFERROR(计算区域!AJ176,NA())</f>
        <v>0.10662342657744299</v>
      </c>
      <c r="C174">
        <f ca="1">IFERROR(计算区域!AK176,NA())</f>
        <v>0.10465664462641525</v>
      </c>
      <c r="D174">
        <f ca="1">IFERROR(计算区域!AL176,NA())</f>
        <v>0.12038666102871073</v>
      </c>
      <c r="E174">
        <f ca="1">IFERROR(计算区域!AM176,NA())</f>
        <v>0.12658164926263998</v>
      </c>
      <c r="G174">
        <f ca="1">IFERROR(计算区域!AD176,NA())</f>
        <v>0.14788313252832519</v>
      </c>
      <c r="H174">
        <f ca="1">IFERROR(计算区域!AE176,NA())</f>
        <v>0.11120503123476146</v>
      </c>
      <c r="I174">
        <f ca="1">IFERROR(计算区域!AF176,NA())</f>
        <v>0.12167334420076562</v>
      </c>
      <c r="J174">
        <f ca="1">IFERROR(计算区域!AG176,NA())</f>
        <v>0.12806208421651888</v>
      </c>
      <c r="L174">
        <f ca="1">IFERROR(计算区域!L176,NA())</f>
        <v>0.11406644126218882</v>
      </c>
      <c r="M174">
        <f ca="1">IFERROR(计算区域!M176,NA())</f>
        <v>0.10955780742879977</v>
      </c>
      <c r="N174">
        <f ca="1">IFERROR(计算区域!N176,NA())</f>
        <v>0.11600693227530677</v>
      </c>
      <c r="O174">
        <f ca="1">IFERROR(计算区域!O176,NA())</f>
        <v>0.13802905897950471</v>
      </c>
      <c r="Q174">
        <f ca="1">IFERROR(计算区域!R176,NA())</f>
        <v>0.11847543378941928</v>
      </c>
      <c r="R174">
        <f ca="1">IFERROR(计算区域!S176,NA())</f>
        <v>0.11881026260135538</v>
      </c>
      <c r="S174">
        <f ca="1">IFERROR(计算区域!T176,NA())</f>
        <v>0.11791435911417776</v>
      </c>
      <c r="T174">
        <f ca="1">IFERROR(计算区域!U176,NA())</f>
        <v>0.14111560395644343</v>
      </c>
      <c r="V174">
        <f ca="1">IFERROR(计算区域!X176,NA())</f>
        <v>0.11917680697080305</v>
      </c>
      <c r="W174">
        <f ca="1">IFERROR(计算区域!Y176,NA())</f>
        <v>0.12536257190707184</v>
      </c>
      <c r="X174">
        <f ca="1">IFERROR(计算区域!Z176,NA())</f>
        <v>0.11804767402393027</v>
      </c>
      <c r="Y174">
        <f ca="1">IFERROR(计算区域!AA176,NA())</f>
        <v>0.14261538432372142</v>
      </c>
    </row>
    <row r="175" spans="1:25" x14ac:dyDescent="0.2">
      <c r="A175" s="28">
        <f>计算区域!E177</f>
        <v>45412</v>
      </c>
      <c r="B175">
        <f ca="1">IFERROR(计算区域!AJ177,NA())</f>
        <v>9.2456388990447502E-2</v>
      </c>
      <c r="C175">
        <f ca="1">IFERROR(计算区域!AK177,NA())</f>
        <v>0.10050247318232898</v>
      </c>
      <c r="D175">
        <f ca="1">IFERROR(计算区域!AL177,NA())</f>
        <v>0.11888572456751141</v>
      </c>
      <c r="E175">
        <f ca="1">IFERROR(计算区域!AM177,NA())</f>
        <v>0.1246586537979658</v>
      </c>
      <c r="G175">
        <f ca="1">IFERROR(计算区域!AD177,NA())</f>
        <v>0.11904980580443526</v>
      </c>
      <c r="H175">
        <f ca="1">IFERROR(计算区域!AE177,NA())</f>
        <v>0.1063177429036532</v>
      </c>
      <c r="I175">
        <f ca="1">IFERROR(计算区域!AF177,NA())</f>
        <v>0.12003210853727214</v>
      </c>
      <c r="J175">
        <f ca="1">IFERROR(计算区域!AG177,NA())</f>
        <v>0.12576090354133826</v>
      </c>
      <c r="L175">
        <f ca="1">IFERROR(计算区域!L177,NA())</f>
        <v>0.11496910974478808</v>
      </c>
      <c r="M175">
        <f ca="1">IFERROR(计算区域!M177,NA())</f>
        <v>0.119321356410356</v>
      </c>
      <c r="N175">
        <f ca="1">IFERROR(计算区域!N177,NA())</f>
        <v>0.11749517430445024</v>
      </c>
      <c r="O175">
        <f ca="1">IFERROR(计算区域!O177,NA())</f>
        <v>0.13836818537748088</v>
      </c>
      <c r="Q175">
        <f ca="1">IFERROR(计算区域!R177,NA())</f>
        <v>0.11963658433853321</v>
      </c>
      <c r="R175">
        <f ca="1">IFERROR(计算区域!S177,NA())</f>
        <v>0.12607736246748011</v>
      </c>
      <c r="S175">
        <f ca="1">IFERROR(计算区域!T177,NA())</f>
        <v>0.11863897090703526</v>
      </c>
      <c r="T175">
        <f ca="1">IFERROR(计算区域!U177,NA())</f>
        <v>0.14147705097275243</v>
      </c>
      <c r="V175">
        <f ca="1">IFERROR(计算区域!X177,NA())</f>
        <v>0.1215248938112815</v>
      </c>
      <c r="W175">
        <f ca="1">IFERROR(计算区域!Y177,NA())</f>
        <v>0.13172287489749487</v>
      </c>
      <c r="X175">
        <f ca="1">IFERROR(计算区域!Z177,NA())</f>
        <v>0.11878062187982376</v>
      </c>
      <c r="Y175">
        <f ca="1">IFERROR(计算区域!AA177,NA())</f>
        <v>0.1429362551661022</v>
      </c>
    </row>
    <row r="176" spans="1:25" x14ac:dyDescent="0.2">
      <c r="A176" s="28">
        <f>计算区域!E178</f>
        <v>45411</v>
      </c>
      <c r="B176">
        <f ca="1">IFERROR(计算区域!AJ178,NA())</f>
        <v>9.7743835155782915E-2</v>
      </c>
      <c r="C176">
        <f ca="1">IFERROR(计算区域!AK178,NA())</f>
        <v>9.9961364108333367E-2</v>
      </c>
      <c r="D176">
        <f ca="1">IFERROR(计算区域!AL178,NA())</f>
        <v>0.11772545158816297</v>
      </c>
      <c r="E176">
        <f ca="1">IFERROR(计算区域!AM178,NA())</f>
        <v>0.13137860927514405</v>
      </c>
      <c r="G176">
        <f ca="1">IFERROR(计算区域!AD178,NA())</f>
        <v>0.12129234966919424</v>
      </c>
      <c r="H176">
        <f ca="1">IFERROR(计算区域!AE178,NA())</f>
        <v>0.10597715412615837</v>
      </c>
      <c r="I176">
        <f ca="1">IFERROR(计算区域!AF178,NA())</f>
        <v>0.12008530376884188</v>
      </c>
      <c r="J176">
        <f ca="1">IFERROR(计算区域!AG178,NA())</f>
        <v>0.13349264973211114</v>
      </c>
      <c r="L176">
        <f ca="1">IFERROR(计算区域!L178,NA())</f>
        <v>0.11325982054670566</v>
      </c>
      <c r="M176">
        <f ca="1">IFERROR(计算区域!M178,NA())</f>
        <v>0.12379141620979239</v>
      </c>
      <c r="N176">
        <f ca="1">IFERROR(计算区域!N178,NA())</f>
        <v>0.11731414531076458</v>
      </c>
      <c r="O176">
        <f ca="1">IFERROR(计算区域!O178,NA())</f>
        <v>0.14163154329163286</v>
      </c>
      <c r="Q176">
        <f ca="1">IFERROR(计算区域!R178,NA())</f>
        <v>0.11679744905193273</v>
      </c>
      <c r="R176">
        <f ca="1">IFERROR(计算区域!S178,NA())</f>
        <v>0.13215013070229395</v>
      </c>
      <c r="S176">
        <f ca="1">IFERROR(计算区域!T178,NA())</f>
        <v>0.11792299708840964</v>
      </c>
      <c r="T176">
        <f ca="1">IFERROR(计算区域!U178,NA())</f>
        <v>0.14327796067702747</v>
      </c>
      <c r="V176">
        <f ca="1">IFERROR(计算区域!X178,NA())</f>
        <v>0.11744338201690163</v>
      </c>
      <c r="W176">
        <f ca="1">IFERROR(计算区域!Y178,NA())</f>
        <v>0.13739819350635185</v>
      </c>
      <c r="X176">
        <f ca="1">IFERROR(计算区域!Z178,NA())</f>
        <v>0.11765169783321977</v>
      </c>
      <c r="Y176">
        <f ca="1">IFERROR(计算区域!AA178,NA())</f>
        <v>0.14389856809878215</v>
      </c>
    </row>
    <row r="177" spans="1:25" x14ac:dyDescent="0.2">
      <c r="A177" s="28">
        <f>计算区域!E179</f>
        <v>45408</v>
      </c>
      <c r="B177">
        <f ca="1">IFERROR(计算区域!AJ179,NA())</f>
        <v>0.10312643195586621</v>
      </c>
      <c r="C177">
        <f ca="1">IFERROR(计算区域!AK179,NA())</f>
        <v>0.13507226967900532</v>
      </c>
      <c r="D177">
        <f ca="1">IFERROR(计算区域!AL179,NA())</f>
        <v>0.11657851915581537</v>
      </c>
      <c r="E177">
        <f ca="1">IFERROR(计算区域!AM179,NA())</f>
        <v>0.13443660001448662</v>
      </c>
      <c r="G177">
        <f ca="1">IFERROR(计算区域!AD179,NA())</f>
        <v>0.11258179119355721</v>
      </c>
      <c r="H177">
        <f ca="1">IFERROR(计算区域!AE179,NA())</f>
        <v>0.1474841081868708</v>
      </c>
      <c r="I177">
        <f ca="1">IFERROR(计算区域!AF179,NA())</f>
        <v>0.11837191841625046</v>
      </c>
      <c r="J177">
        <f ca="1">IFERROR(计算区域!AG179,NA())</f>
        <v>0.13699707821554527</v>
      </c>
      <c r="L177">
        <f ca="1">IFERROR(计算区域!L179,NA())</f>
        <v>0.10351438127317858</v>
      </c>
      <c r="M177">
        <f ca="1">IFERROR(计算区域!M179,NA())</f>
        <v>0.13222484789965858</v>
      </c>
      <c r="N177">
        <f ca="1">IFERROR(计算区域!N179,NA())</f>
        <v>0.11710025634171305</v>
      </c>
      <c r="O177">
        <f ca="1">IFERROR(计算区域!O179,NA())</f>
        <v>0.14339167602220537</v>
      </c>
      <c r="Q177">
        <f ca="1">IFERROR(计算区域!R179,NA())</f>
        <v>0.10733180464653456</v>
      </c>
      <c r="R177">
        <f ca="1">IFERROR(计算区域!S179,NA())</f>
        <v>0.12847509678524574</v>
      </c>
      <c r="S177">
        <f ca="1">IFERROR(计算区域!T179,NA())</f>
        <v>0.11839168898490056</v>
      </c>
      <c r="T177">
        <f ca="1">IFERROR(计算区域!U179,NA())</f>
        <v>0.14523749128941812</v>
      </c>
      <c r="V177">
        <f ca="1">IFERROR(计算区域!X179,NA())</f>
        <v>0.11088683488103303</v>
      </c>
      <c r="W177">
        <f ca="1">IFERROR(计算区域!Y179,NA())</f>
        <v>0.1283084852504586</v>
      </c>
      <c r="X177">
        <f ca="1">IFERROR(计算区域!Z179,NA())</f>
        <v>0.11797066567469587</v>
      </c>
      <c r="Y177">
        <f ca="1">IFERROR(计算区域!AA179,NA())</f>
        <v>0.14605071664630842</v>
      </c>
    </row>
    <row r="178" spans="1:25" x14ac:dyDescent="0.2">
      <c r="A178" s="28">
        <f>计算区域!E180</f>
        <v>45407</v>
      </c>
      <c r="B178">
        <f ca="1">IFERROR(计算区域!AJ180,NA())</f>
        <v>7.6760736082491565E-2</v>
      </c>
      <c r="C178">
        <f ca="1">IFERROR(计算区域!AK180,NA())</f>
        <v>0.13856949180962339</v>
      </c>
      <c r="D178">
        <f ca="1">IFERROR(计算区域!AL180,NA())</f>
        <v>0.11157913250894326</v>
      </c>
      <c r="E178">
        <f ca="1">IFERROR(计算区域!AM180,NA())</f>
        <v>0.13284210635125915</v>
      </c>
      <c r="G178">
        <f ca="1">IFERROR(计算区域!AD180,NA())</f>
        <v>7.9276774306319908E-2</v>
      </c>
      <c r="H178">
        <f ca="1">IFERROR(计算区域!AE180,NA())</f>
        <v>0.14079651431347801</v>
      </c>
      <c r="I178">
        <f ca="1">IFERROR(计算区域!AF180,NA())</f>
        <v>0.11177056039103739</v>
      </c>
      <c r="J178">
        <f ca="1">IFERROR(计算区域!AG180,NA())</f>
        <v>0.13479000383620449</v>
      </c>
      <c r="L178">
        <f ca="1">IFERROR(计算区域!L180,NA())</f>
        <v>9.2430057970421212E-2</v>
      </c>
      <c r="M178">
        <f ca="1">IFERROR(计算区域!M180,NA())</f>
        <v>0.13144167964196113</v>
      </c>
      <c r="N178">
        <f ca="1">IFERROR(计算区域!N180,NA())</f>
        <v>0.11494340981797878</v>
      </c>
      <c r="O178">
        <f ca="1">IFERROR(计算区域!O180,NA())</f>
        <v>0.14377260339963982</v>
      </c>
      <c r="Q178">
        <f ca="1">IFERROR(计算区域!R180,NA())</f>
        <v>0.10406731708130471</v>
      </c>
      <c r="R178">
        <f ca="1">IFERROR(计算区域!S180,NA())</f>
        <v>0.12954667689085383</v>
      </c>
      <c r="S178">
        <f ca="1">IFERROR(计算区域!T180,NA())</f>
        <v>0.11782789993846579</v>
      </c>
      <c r="T178">
        <f ca="1">IFERROR(计算区域!U180,NA())</f>
        <v>0.14644742895005139</v>
      </c>
      <c r="V178">
        <f ca="1">IFERROR(计算区域!X180,NA())</f>
        <v>0.10973731178301072</v>
      </c>
      <c r="W178">
        <f ca="1">IFERROR(计算区域!Y180,NA())</f>
        <v>0.12951727777376176</v>
      </c>
      <c r="X178">
        <f ca="1">IFERROR(计算区域!Z180,NA())</f>
        <v>0.11863438024595283</v>
      </c>
      <c r="Y178">
        <f ca="1">IFERROR(计算区域!AA180,NA())</f>
        <v>0.14738312710466184</v>
      </c>
    </row>
    <row r="179" spans="1:25" x14ac:dyDescent="0.2">
      <c r="A179" s="28">
        <f>计算区域!E181</f>
        <v>45406</v>
      </c>
      <c r="B179">
        <f ca="1">IFERROR(计算区域!AJ181,NA())</f>
        <v>7.3751089863907479E-2</v>
      </c>
      <c r="C179">
        <f ca="1">IFERROR(计算区域!AK181,NA())</f>
        <v>0.13845608203334217</v>
      </c>
      <c r="D179">
        <f ca="1">IFERROR(计算区域!AL181,NA())</f>
        <v>0.11159042763820359</v>
      </c>
      <c r="E179">
        <f ca="1">IFERROR(计算区域!AM181,NA())</f>
        <v>0.13449870928931174</v>
      </c>
      <c r="G179">
        <f ca="1">IFERROR(计算区域!AD181,NA())</f>
        <v>7.7170828688303036E-2</v>
      </c>
      <c r="H179">
        <f ca="1">IFERROR(计算区域!AE181,NA())</f>
        <v>0.13956423452194197</v>
      </c>
      <c r="I179">
        <f ca="1">IFERROR(计算区域!AF181,NA())</f>
        <v>0.1117832455565146</v>
      </c>
      <c r="J179">
        <f ca="1">IFERROR(计算区域!AG181,NA())</f>
        <v>0.13589611389858766</v>
      </c>
      <c r="L179">
        <f ca="1">IFERROR(计算区域!L181,NA())</f>
        <v>0.10485548776764897</v>
      </c>
      <c r="M179">
        <f ca="1">IFERROR(计算区域!M181,NA())</f>
        <v>0.13096057466568581</v>
      </c>
      <c r="N179">
        <f ca="1">IFERROR(计算区域!N181,NA())</f>
        <v>0.11354865012055858</v>
      </c>
      <c r="O179">
        <f ca="1">IFERROR(计算区域!O181,NA())</f>
        <v>0.14604832495972137</v>
      </c>
      <c r="Q179">
        <f ca="1">IFERROR(计算区域!R181,NA())</f>
        <v>0.11914415045320093</v>
      </c>
      <c r="R179">
        <f ca="1">IFERROR(计算区域!S181,NA())</f>
        <v>0.12967980825908076</v>
      </c>
      <c r="S179">
        <f ca="1">IFERROR(计算区域!T181,NA())</f>
        <v>0.11634055510847427</v>
      </c>
      <c r="T179">
        <f ca="1">IFERROR(计算区域!U181,NA())</f>
        <v>0.14951992055256655</v>
      </c>
      <c r="V179">
        <f ca="1">IFERROR(计算区域!X181,NA())</f>
        <v>0.13125714285537174</v>
      </c>
      <c r="W179">
        <f ca="1">IFERROR(计算区域!Y181,NA())</f>
        <v>0.12991522027174102</v>
      </c>
      <c r="X179">
        <f ca="1">IFERROR(计算区域!Z181,NA())</f>
        <v>0.11727340953192206</v>
      </c>
      <c r="Y179">
        <f ca="1">IFERROR(计算区域!AA181,NA())</f>
        <v>0.15045199468140699</v>
      </c>
    </row>
    <row r="180" spans="1:25" x14ac:dyDescent="0.2">
      <c r="A180" s="28">
        <f>计算区域!E182</f>
        <v>45405</v>
      </c>
      <c r="B180">
        <f ca="1">IFERROR(计算区域!AJ182,NA())</f>
        <v>0.10610320106629388</v>
      </c>
      <c r="C180">
        <f ca="1">IFERROR(计算区域!AK182,NA())</f>
        <v>0.13836606827405806</v>
      </c>
      <c r="D180">
        <f ca="1">IFERROR(计算区域!AL182,NA())</f>
        <v>0.11079005995983585</v>
      </c>
      <c r="E180">
        <f ca="1">IFERROR(计算区域!AM182,NA())</f>
        <v>0.13445378493160956</v>
      </c>
      <c r="G180">
        <f ca="1">IFERROR(计算区域!AD182,NA())</f>
        <v>0.10611283741476651</v>
      </c>
      <c r="H180">
        <f ca="1">IFERROR(计算区域!AE182,NA())</f>
        <v>0.13853092824709559</v>
      </c>
      <c r="I180">
        <f ca="1">IFERROR(计算区域!AF182,NA())</f>
        <v>0.11082955941815821</v>
      </c>
      <c r="J180">
        <f ca="1">IFERROR(计算区域!AG182,NA())</f>
        <v>0.13583040909447511</v>
      </c>
      <c r="L180">
        <f ca="1">IFERROR(计算区域!L182,NA())</f>
        <v>0.12352034648471998</v>
      </c>
      <c r="M180">
        <f ca="1">IFERROR(计算区域!M182,NA())</f>
        <v>0.13152408744086291</v>
      </c>
      <c r="N180">
        <f ca="1">IFERROR(计算区域!N182,NA())</f>
        <v>0.11402177060329306</v>
      </c>
      <c r="O180">
        <f ca="1">IFERROR(计算区域!O182,NA())</f>
        <v>0.14698049245720288</v>
      </c>
      <c r="Q180">
        <f ca="1">IFERROR(计算区域!R182,NA())</f>
        <v>0.13220472889167678</v>
      </c>
      <c r="R180">
        <f ca="1">IFERROR(计算区域!S182,NA())</f>
        <v>0.13011746334093569</v>
      </c>
      <c r="S180">
        <f ca="1">IFERROR(计算区域!T182,NA())</f>
        <v>0.11696065243283703</v>
      </c>
      <c r="T180">
        <f ca="1">IFERROR(计算区域!U182,NA())</f>
        <v>0.15024492326252911</v>
      </c>
      <c r="V180">
        <f ca="1">IFERROR(计算区域!X182,NA())</f>
        <v>0.14118615982694244</v>
      </c>
      <c r="W180">
        <f ca="1">IFERROR(计算区域!Y182,NA())</f>
        <v>0.12975509531314067</v>
      </c>
      <c r="X180">
        <f ca="1">IFERROR(计算区域!Z182,NA())</f>
        <v>0.11804620413452226</v>
      </c>
      <c r="Y180">
        <f ca="1">IFERROR(计算区域!AA182,NA())</f>
        <v>0.15095321732287742</v>
      </c>
    </row>
    <row r="181" spans="1:25" x14ac:dyDescent="0.2">
      <c r="A181" s="28">
        <f>计算区域!E183</f>
        <v>45404</v>
      </c>
      <c r="B181">
        <f ca="1">IFERROR(计算区域!AJ183,NA())</f>
        <v>0.10271400091614774</v>
      </c>
      <c r="C181">
        <f ca="1">IFERROR(计算区域!AK183,NA())</f>
        <v>0.13839045955017931</v>
      </c>
      <c r="D181">
        <f ca="1">IFERROR(计算区域!AL183,NA())</f>
        <v>0.11384981172522123</v>
      </c>
      <c r="E181">
        <f ca="1">IFERROR(计算区域!AM183,NA())</f>
        <v>0.13783474231643231</v>
      </c>
      <c r="G181">
        <f ca="1">IFERROR(计算区域!AD183,NA())</f>
        <v>0.10275344083900474</v>
      </c>
      <c r="H181">
        <f ca="1">IFERROR(计算区域!AE183,NA())</f>
        <v>0.13855355047921619</v>
      </c>
      <c r="I181">
        <f ca="1">IFERROR(计算区域!AF183,NA())</f>
        <v>0.11384981172522121</v>
      </c>
      <c r="J181">
        <f ca="1">IFERROR(计算区域!AG183,NA())</f>
        <v>0.14014685664093246</v>
      </c>
      <c r="L181">
        <f ca="1">IFERROR(计算区域!L183,NA())</f>
        <v>0.13349472837599297</v>
      </c>
      <c r="M181">
        <f ca="1">IFERROR(计算区域!M183,NA())</f>
        <v>0.13216122132211214</v>
      </c>
      <c r="N181">
        <f ca="1">IFERROR(计算区域!N183,NA())</f>
        <v>0.11749931600658246</v>
      </c>
      <c r="O181">
        <f ca="1">IFERROR(计算区域!O183,NA())</f>
        <v>0.15333593139364174</v>
      </c>
      <c r="Q181">
        <f ca="1">IFERROR(计算区域!R183,NA())</f>
        <v>0.14589609310817039</v>
      </c>
      <c r="R181">
        <f ca="1">IFERROR(计算区域!S183,NA())</f>
        <v>0.13073536324154464</v>
      </c>
      <c r="S181">
        <f ca="1">IFERROR(计算区域!T183,NA())</f>
        <v>0.12104539056859562</v>
      </c>
      <c r="T181">
        <f ca="1">IFERROR(计算区域!U183,NA())</f>
        <v>0.15651998568448322</v>
      </c>
      <c r="V181">
        <f ca="1">IFERROR(计算区域!X183,NA())</f>
        <v>0.1548017415213728</v>
      </c>
      <c r="W181">
        <f ca="1">IFERROR(计算区域!Y183,NA())</f>
        <v>0.1302281837224778</v>
      </c>
      <c r="X181">
        <f ca="1">IFERROR(计算区域!Z183,NA())</f>
        <v>0.12294155217372389</v>
      </c>
      <c r="Y181">
        <f ca="1">IFERROR(计算区域!AA183,NA())</f>
        <v>0.15734837509619948</v>
      </c>
    </row>
    <row r="182" spans="1:25" x14ac:dyDescent="0.2">
      <c r="A182" s="28">
        <f>计算区域!E184</f>
        <v>45401</v>
      </c>
      <c r="B182">
        <f ca="1">IFERROR(计算区域!AJ184,NA())</f>
        <v>0.1726036219302097</v>
      </c>
      <c r="C182">
        <f ca="1">IFERROR(计算区域!AK184,NA())</f>
        <v>0.14102189120958833</v>
      </c>
      <c r="D182">
        <f ca="1">IFERROR(计算区域!AL184,NA())</f>
        <v>0.11369274534872599</v>
      </c>
      <c r="E182">
        <f ca="1">IFERROR(计算区域!AM184,NA())</f>
        <v>0.14583010985256678</v>
      </c>
      <c r="G182">
        <f ca="1">IFERROR(计算区域!AD184,NA())</f>
        <v>0.19043727358088977</v>
      </c>
      <c r="H182">
        <f ca="1">IFERROR(计算区域!AE184,NA())</f>
        <v>0.1410234815843478</v>
      </c>
      <c r="I182">
        <f ca="1">IFERROR(计算区域!AF184,NA())</f>
        <v>0.1137002296200038</v>
      </c>
      <c r="J182">
        <f ca="1">IFERROR(计算区域!AG184,NA())</f>
        <v>0.14718925692913654</v>
      </c>
      <c r="L182">
        <f ca="1">IFERROR(计算区域!L184,NA())</f>
        <v>0.15572923191811708</v>
      </c>
      <c r="M182">
        <f ca="1">IFERROR(计算区域!M184,NA())</f>
        <v>0.1306992113026863</v>
      </c>
      <c r="N182">
        <f ca="1">IFERROR(计算区域!N184,NA())</f>
        <v>0.11571450101955878</v>
      </c>
      <c r="O182">
        <f ca="1">IFERROR(计算区域!O184,NA())</f>
        <v>0.15453675717373538</v>
      </c>
      <c r="Q182">
        <f ca="1">IFERROR(计算区域!R184,NA())</f>
        <v>0.1466000842403396</v>
      </c>
      <c r="R182">
        <f ca="1">IFERROR(计算区域!S184,NA())</f>
        <v>0.12856358031297438</v>
      </c>
      <c r="S182">
        <f ca="1">IFERROR(计算区域!T184,NA())</f>
        <v>0.11861725744679287</v>
      </c>
      <c r="T182">
        <f ca="1">IFERROR(计算区域!U184,NA())</f>
        <v>0.15648404904917623</v>
      </c>
      <c r="V182">
        <f ca="1">IFERROR(计算区域!X184,NA())</f>
        <v>0.14363232444196128</v>
      </c>
      <c r="W182">
        <f ca="1">IFERROR(计算区域!Y184,NA())</f>
        <v>0.12581868092617904</v>
      </c>
      <c r="X182">
        <f ca="1">IFERROR(计算区域!Z184,NA())</f>
        <v>0.11987900221290479</v>
      </c>
      <c r="Y182">
        <f ca="1">IFERROR(计算区域!AA184,NA())</f>
        <v>0.15655099052389734</v>
      </c>
    </row>
    <row r="183" spans="1:25" x14ac:dyDescent="0.2">
      <c r="A183" s="28">
        <f>计算区域!E185</f>
        <v>45400</v>
      </c>
      <c r="B183">
        <f ca="1">IFERROR(计算区域!AJ185,NA())</f>
        <v>0.1817397218206174</v>
      </c>
      <c r="C183">
        <f ca="1">IFERROR(计算区域!AK185,NA())</f>
        <v>0.1378313149150068</v>
      </c>
      <c r="D183">
        <f ca="1">IFERROR(计算区域!AL185,NA())</f>
        <v>0.11132304054209712</v>
      </c>
      <c r="E183">
        <f ca="1">IFERROR(计算区域!AM185,NA())</f>
        <v>0.14517187917884505</v>
      </c>
      <c r="G183">
        <f ca="1">IFERROR(计算区域!AD185,NA())</f>
        <v>0.19575092477927658</v>
      </c>
      <c r="H183">
        <f ca="1">IFERROR(计算区域!AE185,NA())</f>
        <v>0.13796178180136581</v>
      </c>
      <c r="I183">
        <f ca="1">IFERROR(计算区域!AF185,NA())</f>
        <v>0.1116442274334728</v>
      </c>
      <c r="J183">
        <f ca="1">IFERROR(计算区域!AG185,NA())</f>
        <v>0.14698960688534451</v>
      </c>
      <c r="L183">
        <f ca="1">IFERROR(计算区域!L185,NA())</f>
        <v>0.16127775630192914</v>
      </c>
      <c r="M183">
        <f ca="1">IFERROR(计算区域!M185,NA())</f>
        <v>0.12936483073569061</v>
      </c>
      <c r="N183">
        <f ca="1">IFERROR(计算区域!N185,NA())</f>
        <v>0.11603723508041801</v>
      </c>
      <c r="O183">
        <f ca="1">IFERROR(计算区域!O185,NA())</f>
        <v>0.15484713655337731</v>
      </c>
      <c r="Q183">
        <f ca="1">IFERROR(计算区域!R185,NA())</f>
        <v>0.15078022583358122</v>
      </c>
      <c r="R183">
        <f ca="1">IFERROR(计算区域!S185,NA())</f>
        <v>0.12639346858328457</v>
      </c>
      <c r="S183">
        <f ca="1">IFERROR(计算区域!T185,NA())</f>
        <v>0.11860612373714101</v>
      </c>
      <c r="T183">
        <f ca="1">IFERROR(计算区域!U185,NA())</f>
        <v>0.15669000192779348</v>
      </c>
      <c r="V183">
        <f ca="1">IFERROR(计算区域!X185,NA())</f>
        <v>0.14665324028636337</v>
      </c>
      <c r="W183">
        <f ca="1">IFERROR(计算区域!Y185,NA())</f>
        <v>0.12358723566395245</v>
      </c>
      <c r="X183">
        <f ca="1">IFERROR(计算区域!Z185,NA())</f>
        <v>0.11972494438985309</v>
      </c>
      <c r="Y183">
        <f ca="1">IFERROR(计算区域!AA185,NA())</f>
        <v>0.15681057350126909</v>
      </c>
    </row>
    <row r="184" spans="1:25" x14ac:dyDescent="0.2">
      <c r="A184" s="28">
        <f>计算区域!E186</f>
        <v>45399</v>
      </c>
      <c r="B184">
        <f ca="1">IFERROR(计算区域!AJ186,NA())</f>
        <v>0.18513846927203706</v>
      </c>
      <c r="C184">
        <f ca="1">IFERROR(计算区域!AK186,NA())</f>
        <v>0.1374241645573509</v>
      </c>
      <c r="D184">
        <f ca="1">IFERROR(计算区域!AL186,NA())</f>
        <v>0.1139102482639851</v>
      </c>
      <c r="E184">
        <f ca="1">IFERROR(计算区域!AM186,NA())</f>
        <v>0.14517374904035679</v>
      </c>
      <c r="G184">
        <f ca="1">IFERROR(计算区域!AD186,NA())</f>
        <v>0.19460359247551348</v>
      </c>
      <c r="H184">
        <f ca="1">IFERROR(计算区域!AE186,NA())</f>
        <v>0.13743063718902923</v>
      </c>
      <c r="I184">
        <f ca="1">IFERROR(计算区域!AF186,NA())</f>
        <v>0.11391210072581565</v>
      </c>
      <c r="J184">
        <f ca="1">IFERROR(计算区域!AG186,NA())</f>
        <v>0.14687670940291397</v>
      </c>
      <c r="L184">
        <f ca="1">IFERROR(计算区域!L186,NA())</f>
        <v>0.15266522498113888</v>
      </c>
      <c r="M184">
        <f ca="1">IFERROR(计算区域!M186,NA())</f>
        <v>0.12211594287090138</v>
      </c>
      <c r="N184">
        <f ca="1">IFERROR(计算区域!N186,NA())</f>
        <v>0.11335815197936819</v>
      </c>
      <c r="O184">
        <f ca="1">IFERROR(计算区域!O186,NA())</f>
        <v>0.1546130832441687</v>
      </c>
      <c r="Q184">
        <f ca="1">IFERROR(计算区域!R186,NA())</f>
        <v>0.13942157922290555</v>
      </c>
      <c r="R184">
        <f ca="1">IFERROR(计算区域!S186,NA())</f>
        <v>0.11701159631084229</v>
      </c>
      <c r="S184">
        <f ca="1">IFERROR(计算区域!T186,NA())</f>
        <v>0.11508250109292811</v>
      </c>
      <c r="T184">
        <f ca="1">IFERROR(计算区域!U186,NA())</f>
        <v>0.15644982953612127</v>
      </c>
      <c r="V184">
        <f ca="1">IFERROR(计算区域!X186,NA())</f>
        <v>0.12855929124709156</v>
      </c>
      <c r="W184">
        <f ca="1">IFERROR(计算区域!Y186,NA())</f>
        <v>0.110248502256332</v>
      </c>
      <c r="X184">
        <f ca="1">IFERROR(计算区域!Z186,NA())</f>
        <v>0.11437172922380069</v>
      </c>
      <c r="Y184">
        <f ca="1">IFERROR(计算区域!AA186,NA())</f>
        <v>0.15649340799863248</v>
      </c>
    </row>
    <row r="185" spans="1:25" x14ac:dyDescent="0.2">
      <c r="A185" s="28">
        <f>计算区域!E187</f>
        <v>45398</v>
      </c>
      <c r="B185">
        <f ca="1">IFERROR(计算区域!AJ187,NA())</f>
        <v>0.1779633331950404</v>
      </c>
      <c r="C185">
        <f ca="1">IFERROR(计算区域!AK187,NA())</f>
        <v>0.13824743749995774</v>
      </c>
      <c r="D185">
        <f ca="1">IFERROR(计算区域!AL187,NA())</f>
        <v>0.10880576689871647</v>
      </c>
      <c r="E185">
        <f ca="1">IFERROR(计算区域!AM187,NA())</f>
        <v>0.1441510752678257</v>
      </c>
      <c r="G185">
        <f ca="1">IFERROR(计算区域!AD187,NA())</f>
        <v>0.17866003027549757</v>
      </c>
      <c r="H185">
        <f ca="1">IFERROR(计算区域!AE187,NA())</f>
        <v>0.13824907972891232</v>
      </c>
      <c r="I185">
        <f ca="1">IFERROR(计算区域!AF187,NA())</f>
        <v>0.10888884708578028</v>
      </c>
      <c r="J185">
        <f ca="1">IFERROR(计算区域!AG187,NA())</f>
        <v>0.145434854544082</v>
      </c>
      <c r="L185">
        <f ca="1">IFERROR(计算区域!L187,NA())</f>
        <v>0.13906795158697866</v>
      </c>
      <c r="M185">
        <f ca="1">IFERROR(计算区域!M187,NA())</f>
        <v>0.11564015684034282</v>
      </c>
      <c r="N185">
        <f ca="1">IFERROR(计算区域!N187,NA())</f>
        <v>0.10839395876652991</v>
      </c>
      <c r="O185">
        <f ca="1">IFERROR(计算区域!O187,NA())</f>
        <v>0.15356365974938338</v>
      </c>
      <c r="Q185">
        <f ca="1">IFERROR(计算区域!R187,NA())</f>
        <v>0.12799616475206488</v>
      </c>
      <c r="R185">
        <f ca="1">IFERROR(计算区域!S187,NA())</f>
        <v>0.11070189478506841</v>
      </c>
      <c r="S185">
        <f ca="1">IFERROR(计算区域!T187,NA())</f>
        <v>0.11075222840326694</v>
      </c>
      <c r="T185">
        <f ca="1">IFERROR(计算区域!U187,NA())</f>
        <v>0.15570806689331645</v>
      </c>
      <c r="V185">
        <f ca="1">IFERROR(计算区域!X187,NA())</f>
        <v>0.11721449480659595</v>
      </c>
      <c r="W185">
        <f ca="1">IFERROR(计算区域!Y187,NA())</f>
        <v>0.10424373600871295</v>
      </c>
      <c r="X185">
        <f ca="1">IFERROR(计算区域!Z187,NA())</f>
        <v>0.11017075087116231</v>
      </c>
      <c r="Y185">
        <f ca="1">IFERROR(计算区域!AA187,NA())</f>
        <v>0.15596515646572359</v>
      </c>
    </row>
    <row r="186" spans="1:25" x14ac:dyDescent="0.2">
      <c r="A186" s="28">
        <f>计算区域!E188</f>
        <v>45397</v>
      </c>
      <c r="B186">
        <f ca="1">IFERROR(计算区域!AJ188,NA())</f>
        <v>0.18029139650969289</v>
      </c>
      <c r="C186">
        <f ca="1">IFERROR(计算区域!AK188,NA())</f>
        <v>0.13795062264624769</v>
      </c>
      <c r="D186">
        <f ca="1">IFERROR(计算区域!AL188,NA())</f>
        <v>0.10793933161510619</v>
      </c>
      <c r="E186">
        <f ca="1">IFERROR(计算区域!AM188,NA())</f>
        <v>0.14375054415029243</v>
      </c>
      <c r="G186">
        <f ca="1">IFERROR(计算区域!AD188,NA())</f>
        <v>0.18065208187047763</v>
      </c>
      <c r="H186">
        <f ca="1">IFERROR(计算区域!AE188,NA())</f>
        <v>0.13860764315695415</v>
      </c>
      <c r="I186">
        <f ca="1">IFERROR(计算区域!AF188,NA())</f>
        <v>0.10793982573388597</v>
      </c>
      <c r="J186">
        <f ca="1">IFERROR(计算区域!AG188,NA())</f>
        <v>0.14526660993661625</v>
      </c>
      <c r="L186">
        <f ca="1">IFERROR(计算区域!L188,NA())</f>
        <v>0.13081412132688308</v>
      </c>
      <c r="M186">
        <f ca="1">IFERROR(计算区域!M188,NA())</f>
        <v>0.1104576962133663</v>
      </c>
      <c r="N186">
        <f ca="1">IFERROR(计算区域!N188,NA())</f>
        <v>0.10639004153887192</v>
      </c>
      <c r="O186">
        <f ca="1">IFERROR(计算区域!O188,NA())</f>
        <v>0.15326445586041756</v>
      </c>
      <c r="Q186">
        <f ca="1">IFERROR(计算区域!R188,NA())</f>
        <v>0.11356848339028447</v>
      </c>
      <c r="R186">
        <f ca="1">IFERROR(计算区域!S188,NA())</f>
        <v>0.10172516620774213</v>
      </c>
      <c r="S186">
        <f ca="1">IFERROR(计算区域!T188,NA())</f>
        <v>0.10773686385037756</v>
      </c>
      <c r="T186">
        <f ca="1">IFERROR(计算区域!U188,NA())</f>
        <v>0.15528243989791174</v>
      </c>
      <c r="V186">
        <f ca="1">IFERROR(计算区域!X188,NA())</f>
        <v>9.9775650803494903E-2</v>
      </c>
      <c r="W186">
        <f ca="1">IFERROR(计算区域!Y188,NA())</f>
        <v>9.3838054259823556E-2</v>
      </c>
      <c r="X186">
        <f ca="1">IFERROR(计算区域!Z188,NA())</f>
        <v>0.1069103153842146</v>
      </c>
      <c r="Y186">
        <f ca="1">IFERROR(计算区域!AA188,NA())</f>
        <v>0.15550236828419453</v>
      </c>
    </row>
    <row r="187" spans="1:25" x14ac:dyDescent="0.2">
      <c r="A187" s="28">
        <f>计算区域!E189</f>
        <v>45394</v>
      </c>
      <c r="B187">
        <f ca="1">IFERROR(计算区域!AJ189,NA())</f>
        <v>4.7255339582934174E-2</v>
      </c>
      <c r="C187">
        <f ca="1">IFERROR(计算区域!AK189,NA())</f>
        <v>8.6825894475372145E-2</v>
      </c>
      <c r="D187">
        <f ca="1">IFERROR(计算区域!AL189,NA())</f>
        <v>7.6996328147144313E-2</v>
      </c>
      <c r="E187">
        <f ca="1">IFERROR(计算区域!AM189,NA())</f>
        <v>0.13864435091064017</v>
      </c>
      <c r="G187">
        <f ca="1">IFERROR(计算区域!AD189,NA())</f>
        <v>9.2091232682388502E-2</v>
      </c>
      <c r="H187">
        <f ca="1">IFERROR(计算区域!AE189,NA())</f>
        <v>8.8482421865234612E-2</v>
      </c>
      <c r="I187">
        <f ca="1">IFERROR(计算区域!AF189,NA())</f>
        <v>7.9254805844381118E-2</v>
      </c>
      <c r="J187">
        <f ca="1">IFERROR(计算区域!AG189,NA())</f>
        <v>0.13938701029571762</v>
      </c>
      <c r="L187">
        <f ca="1">IFERROR(计算区域!L189,NA())</f>
        <v>9.9563919149869659E-2</v>
      </c>
      <c r="M187">
        <f ca="1">IFERROR(计算区域!M189,NA())</f>
        <v>9.9707219741109895E-2</v>
      </c>
      <c r="N187">
        <f ca="1">IFERROR(计算区域!N189,NA())</f>
        <v>9.9017662089208355E-2</v>
      </c>
      <c r="O187">
        <f ca="1">IFERROR(计算区域!O189,NA())</f>
        <v>0.1514715691310623</v>
      </c>
      <c r="Q187">
        <f ca="1">IFERROR(计算区域!R189,NA())</f>
        <v>0.10754349662581443</v>
      </c>
      <c r="R187">
        <f ca="1">IFERROR(计算区域!S189,NA())</f>
        <v>0.1073654206316754</v>
      </c>
      <c r="S187">
        <f ca="1">IFERROR(计算区域!T189,NA())</f>
        <v>0.10807853978088568</v>
      </c>
      <c r="T187">
        <f ca="1">IFERROR(计算区域!U189,NA())</f>
        <v>0.15517541023166667</v>
      </c>
      <c r="V187">
        <f ca="1">IFERROR(计算区域!X189,NA())</f>
        <v>0.10502588402582708</v>
      </c>
      <c r="W187">
        <f ca="1">IFERROR(计算区域!Y189,NA())</f>
        <v>0.10663530621794347</v>
      </c>
      <c r="X187">
        <f ca="1">IFERROR(计算区域!Z189,NA())</f>
        <v>0.11023920952686542</v>
      </c>
      <c r="Y187">
        <f ca="1">IFERROR(计算区域!AA189,NA())</f>
        <v>0.15627934451071226</v>
      </c>
    </row>
    <row r="188" spans="1:25" x14ac:dyDescent="0.2">
      <c r="A188" s="28">
        <f>计算区域!E190</f>
        <v>45393</v>
      </c>
      <c r="B188">
        <f ca="1">IFERROR(计算区域!AJ190,NA())</f>
        <v>3.0110943138037218E-2</v>
      </c>
      <c r="C188">
        <f ca="1">IFERROR(计算区域!AK190,NA())</f>
        <v>8.0108154911299773E-2</v>
      </c>
      <c r="D188">
        <f ca="1">IFERROR(计算区域!AL190,NA())</f>
        <v>7.6263875468984402E-2</v>
      </c>
      <c r="E188">
        <f ca="1">IFERROR(计算区域!AM190,NA())</f>
        <v>0.13723613277548738</v>
      </c>
      <c r="G188">
        <f ca="1">IFERROR(计算区域!AD190,NA())</f>
        <v>6.7133041292088552E-2</v>
      </c>
      <c r="H188">
        <f ca="1">IFERROR(计算区域!AE190,NA())</f>
        <v>8.0930408546118868E-2</v>
      </c>
      <c r="I188">
        <f ca="1">IFERROR(计算区域!AF190,NA())</f>
        <v>7.8429160477430107E-2</v>
      </c>
      <c r="J188">
        <f ca="1">IFERROR(计算区域!AG190,NA())</f>
        <v>0.13827092623301382</v>
      </c>
      <c r="L188">
        <f ca="1">IFERROR(计算区域!L190,NA())</f>
        <v>8.6371315752183056E-2</v>
      </c>
      <c r="M188">
        <f ca="1">IFERROR(计算区域!M190,NA())</f>
        <v>9.5640262306560517E-2</v>
      </c>
      <c r="N188">
        <f ca="1">IFERROR(计算区域!N190,NA())</f>
        <v>9.7936173926387607E-2</v>
      </c>
      <c r="O188">
        <f ca="1">IFERROR(计算区域!O190,NA())</f>
        <v>0.15083520517911533</v>
      </c>
      <c r="Q188">
        <f ca="1">IFERROR(计算区域!R190,NA())</f>
        <v>9.5999694263063817E-2</v>
      </c>
      <c r="R188">
        <f ca="1">IFERROR(计算区域!S190,NA())</f>
        <v>0.10480690108172713</v>
      </c>
      <c r="S188">
        <f ca="1">IFERROR(计算区域!T190,NA())</f>
        <v>0.10730699926603662</v>
      </c>
      <c r="T188">
        <f ca="1">IFERROR(计算区域!U190,NA())</f>
        <v>0.15466583982647936</v>
      </c>
      <c r="V188">
        <f ca="1">IFERROR(计算区域!X190,NA())</f>
        <v>9.5081211349166209E-2</v>
      </c>
      <c r="W188">
        <f ca="1">IFERROR(计算区域!Y190,NA())</f>
        <v>0.10664664603613597</v>
      </c>
      <c r="X188">
        <f ca="1">IFERROR(计算区域!Z190,NA())</f>
        <v>0.11018901271012892</v>
      </c>
      <c r="Y188">
        <f ca="1">IFERROR(计算区域!AA190,NA())</f>
        <v>0.15591578087352653</v>
      </c>
    </row>
    <row r="189" spans="1:25" x14ac:dyDescent="0.2">
      <c r="A189" s="28">
        <f>计算区域!E191</f>
        <v>45392</v>
      </c>
      <c r="B189">
        <f ca="1">IFERROR(计算区域!AJ191,NA())</f>
        <v>2.615383975557704E-2</v>
      </c>
      <c r="C189">
        <f ca="1">IFERROR(计算区域!AK191,NA())</f>
        <v>8.2973843699586408E-2</v>
      </c>
      <c r="D189">
        <f ca="1">IFERROR(计算区域!AL191,NA())</f>
        <v>7.7273984746400251E-2</v>
      </c>
      <c r="E189">
        <f ca="1">IFERROR(计算区域!AM191,NA())</f>
        <v>0.13931349160955717</v>
      </c>
      <c r="G189">
        <f ca="1">IFERROR(计算区域!AD191,NA())</f>
        <v>6.8011740762423348E-2</v>
      </c>
      <c r="H189">
        <f ca="1">IFERROR(计算区域!AE191,NA())</f>
        <v>8.3073465302674676E-2</v>
      </c>
      <c r="I189">
        <f ca="1">IFERROR(计算区域!AF191,NA())</f>
        <v>7.8852731301952278E-2</v>
      </c>
      <c r="J189">
        <f ca="1">IFERROR(计算区域!AG191,NA())</f>
        <v>0.14003833880040159</v>
      </c>
      <c r="L189">
        <f ca="1">IFERROR(计算区域!L191,NA())</f>
        <v>8.0733735748797997E-2</v>
      </c>
      <c r="M189">
        <f ca="1">IFERROR(计算区域!M191,NA())</f>
        <v>9.2929649583087276E-2</v>
      </c>
      <c r="N189">
        <f ca="1">IFERROR(计算区域!N191,NA())</f>
        <v>9.7306577291059959E-2</v>
      </c>
      <c r="O189">
        <f ca="1">IFERROR(计算区域!O191,NA())</f>
        <v>0.15145381362803309</v>
      </c>
      <c r="Q189">
        <f ca="1">IFERROR(计算区域!R191,NA())</f>
        <v>8.9135013263106147E-2</v>
      </c>
      <c r="R189">
        <f ca="1">IFERROR(计算区域!S191,NA())</f>
        <v>0.10125905814189624</v>
      </c>
      <c r="S189">
        <f ca="1">IFERROR(计算区域!T191,NA())</f>
        <v>0.10651324207667272</v>
      </c>
      <c r="T189">
        <f ca="1">IFERROR(计算区域!U191,NA())</f>
        <v>0.155059353382906</v>
      </c>
      <c r="V189">
        <f ca="1">IFERROR(计算区域!X191,NA())</f>
        <v>8.8215492593842953E-2</v>
      </c>
      <c r="W189">
        <f ca="1">IFERROR(计算区域!Y191,NA())</f>
        <v>0.10309287418744724</v>
      </c>
      <c r="X189">
        <f ca="1">IFERROR(计算区域!Z191,NA())</f>
        <v>0.10939343507399221</v>
      </c>
      <c r="Y189">
        <f ca="1">IFERROR(计算区域!AA191,NA())</f>
        <v>0.15620185730047859</v>
      </c>
    </row>
    <row r="190" spans="1:25" x14ac:dyDescent="0.2">
      <c r="A190" s="28">
        <f>计算区域!E192</f>
        <v>45391</v>
      </c>
      <c r="B190">
        <f ca="1">IFERROR(计算区域!AJ192,NA())</f>
        <v>0.10386937190930444</v>
      </c>
      <c r="C190">
        <f ca="1">IFERROR(计算区域!AK192,NA())</f>
        <v>8.2096925942998847E-2</v>
      </c>
      <c r="D190">
        <f ca="1">IFERROR(计算区域!AL192,NA())</f>
        <v>8.2739497715118251E-2</v>
      </c>
      <c r="E190">
        <f ca="1">IFERROR(计算区域!AM192,NA())</f>
        <v>0.13962146624372154</v>
      </c>
      <c r="G190">
        <f ca="1">IFERROR(计算区域!AD192,NA())</f>
        <v>0.10528253266906813</v>
      </c>
      <c r="H190">
        <f ca="1">IFERROR(计算区域!AE192,NA())</f>
        <v>8.2099716366150086E-2</v>
      </c>
      <c r="I190">
        <f ca="1">IFERROR(计算区域!AF192,NA())</f>
        <v>8.3082582904113259E-2</v>
      </c>
      <c r="J190">
        <f ca="1">IFERROR(计算区域!AG192,NA())</f>
        <v>0.14028466648706303</v>
      </c>
      <c r="L190">
        <f ca="1">IFERROR(计算区域!L192,NA())</f>
        <v>8.6054613993207449E-2</v>
      </c>
      <c r="M190">
        <f ca="1">IFERROR(计算区域!M192,NA())</f>
        <v>9.3291707915914096E-2</v>
      </c>
      <c r="N190">
        <f ca="1">IFERROR(计算区域!N192,NA())</f>
        <v>9.8234061529808292E-2</v>
      </c>
      <c r="O190">
        <f ca="1">IFERROR(计算区域!O192,NA())</f>
        <v>0.1525824815775465</v>
      </c>
      <c r="Q190">
        <f ca="1">IFERROR(计算区域!R192,NA())</f>
        <v>9.0148770522791813E-2</v>
      </c>
      <c r="R190">
        <f ca="1">IFERROR(计算区域!S192,NA())</f>
        <v>0.10212264278185357</v>
      </c>
      <c r="S190">
        <f ca="1">IFERROR(计算区域!T192,NA())</f>
        <v>0.10660880195876332</v>
      </c>
      <c r="T190">
        <f ca="1">IFERROR(计算区域!U192,NA())</f>
        <v>0.15662391440539203</v>
      </c>
      <c r="V190">
        <f ca="1">IFERROR(计算区域!X192,NA())</f>
        <v>8.9410710775292293E-2</v>
      </c>
      <c r="W190">
        <f ca="1">IFERROR(计算区域!Y192,NA())</f>
        <v>0.10504012500666769</v>
      </c>
      <c r="X190">
        <f ca="1">IFERROR(计算区域!Z192,NA())</f>
        <v>0.10940782156868246</v>
      </c>
      <c r="Y190">
        <f ca="1">IFERROR(计算区域!AA192,NA())</f>
        <v>0.15788067192701125</v>
      </c>
    </row>
    <row r="191" spans="1:25" x14ac:dyDescent="0.2">
      <c r="A191" s="28">
        <f>计算区域!E193</f>
        <v>45390</v>
      </c>
      <c r="B191">
        <f ca="1">IFERROR(计算区域!AJ193,NA())</f>
        <v>0.10147255314372303</v>
      </c>
      <c r="C191">
        <f ca="1">IFERROR(计算区域!AK193,NA())</f>
        <v>9.0119385207096586E-2</v>
      </c>
      <c r="D191">
        <f ca="1">IFERROR(计算区域!AL193,NA())</f>
        <v>8.0790047855335223E-2</v>
      </c>
      <c r="E191">
        <f ca="1">IFERROR(计算区域!AM193,NA())</f>
        <v>0.14015327558594715</v>
      </c>
      <c r="G191">
        <f ca="1">IFERROR(计算区域!AD193,NA())</f>
        <v>0.1029174547115051</v>
      </c>
      <c r="H191">
        <f ca="1">IFERROR(计算区域!AE193,NA())</f>
        <v>9.0369633428447435E-2</v>
      </c>
      <c r="I191">
        <f ca="1">IFERROR(计算区域!AF193,NA())</f>
        <v>8.0856226062512637E-2</v>
      </c>
      <c r="J191">
        <f ca="1">IFERROR(计算区域!AG193,NA())</f>
        <v>0.14075359400050957</v>
      </c>
      <c r="L191">
        <f ca="1">IFERROR(计算区域!L193,NA())</f>
        <v>8.5378398714218984E-2</v>
      </c>
      <c r="M191">
        <f ca="1">IFERROR(计算区域!M193,NA())</f>
        <v>0.10072532006738495</v>
      </c>
      <c r="N191">
        <f ca="1">IFERROR(计算区域!N193,NA())</f>
        <v>9.9241996679677202E-2</v>
      </c>
      <c r="O191">
        <f ca="1">IFERROR(计算区域!O193,NA())</f>
        <v>0.1534907858296736</v>
      </c>
      <c r="Q191">
        <f ca="1">IFERROR(计算区域!R193,NA())</f>
        <v>8.830752210551604E-2</v>
      </c>
      <c r="R191">
        <f ca="1">IFERROR(计算区域!S193,NA())</f>
        <v>0.11050899490045636</v>
      </c>
      <c r="S191">
        <f ca="1">IFERROR(计算区域!T193,NA())</f>
        <v>0.10844104456209537</v>
      </c>
      <c r="T191">
        <f ca="1">IFERROR(计算区域!U193,NA())</f>
        <v>0.15771105235775065</v>
      </c>
      <c r="V191">
        <f ca="1">IFERROR(计算区域!X193,NA())</f>
        <v>8.7498459193737929E-2</v>
      </c>
      <c r="W191">
        <f ca="1">IFERROR(计算区域!Y193,NA())</f>
        <v>0.11519492465431587</v>
      </c>
      <c r="X191">
        <f ca="1">IFERROR(计算区域!Z193,NA())</f>
        <v>0.11162342603802984</v>
      </c>
      <c r="Y191">
        <f ca="1">IFERROR(计算区域!AA193,NA())</f>
        <v>0.1592994019824438</v>
      </c>
    </row>
    <row r="192" spans="1:25" x14ac:dyDescent="0.2">
      <c r="A192" s="28">
        <f>计算区域!E194</f>
        <v>45385</v>
      </c>
      <c r="B192">
        <f ca="1">IFERROR(计算区域!AJ194,NA())</f>
        <v>8.5410680801695768E-2</v>
      </c>
      <c r="C192">
        <f ca="1">IFERROR(计算区域!AK194,NA())</f>
        <v>8.6024614445267669E-2</v>
      </c>
      <c r="D192">
        <f ca="1">IFERROR(计算区域!AL194,NA())</f>
        <v>7.9434709979263385E-2</v>
      </c>
      <c r="E192" t="e">
        <f ca="1">IFERROR(计算区域!AM194,NA())</f>
        <v>#N/A</v>
      </c>
      <c r="G192">
        <f ca="1">IFERROR(计算区域!AD194,NA())</f>
        <v>9.557597797614846E-2</v>
      </c>
      <c r="H192">
        <f ca="1">IFERROR(计算区域!AE194,NA())</f>
        <v>8.6048113720466043E-2</v>
      </c>
      <c r="I192">
        <f ca="1">IFERROR(计算区域!AF194,NA())</f>
        <v>7.9451398846171514E-2</v>
      </c>
      <c r="J192" t="e">
        <f ca="1">IFERROR(计算区域!AG194,NA())</f>
        <v>#N/A</v>
      </c>
      <c r="L192">
        <f ca="1">IFERROR(计算区域!L194,NA())</f>
        <v>9.9850314674126903E-2</v>
      </c>
      <c r="M192">
        <f ca="1">IFERROR(计算区域!M194,NA())</f>
        <v>9.8475416512278341E-2</v>
      </c>
      <c r="N192">
        <f ca="1">IFERROR(计算区域!N194,NA())</f>
        <v>0.10021861065454635</v>
      </c>
      <c r="O192">
        <f ca="1">IFERROR(计算区域!O194,NA())</f>
        <v>0.15321863803076202</v>
      </c>
      <c r="Q192">
        <f ca="1">IFERROR(计算区域!R194,NA())</f>
        <v>0.10718704879007826</v>
      </c>
      <c r="R192">
        <f ca="1">IFERROR(计算区域!S194,NA())</f>
        <v>0.10775673225143229</v>
      </c>
      <c r="S192">
        <f ca="1">IFERROR(计算区域!T194,NA())</f>
        <v>0.10968680899230777</v>
      </c>
      <c r="T192">
        <f ca="1">IFERROR(计算区域!U194,NA())</f>
        <v>0.15731296688263624</v>
      </c>
      <c r="V192">
        <f ca="1">IFERROR(计算区域!X194,NA())</f>
        <v>0.10822079628695525</v>
      </c>
      <c r="W192">
        <f ca="1">IFERROR(计算区域!Y194,NA())</f>
        <v>0.11362926503819168</v>
      </c>
      <c r="X192">
        <f ca="1">IFERROR(计算区域!Z194,NA())</f>
        <v>0.11297893149563447</v>
      </c>
      <c r="Y192">
        <f ca="1">IFERROR(计算区域!AA194,NA())</f>
        <v>0.15889716396517609</v>
      </c>
    </row>
    <row r="193" spans="1:25" x14ac:dyDescent="0.2">
      <c r="A193" s="28">
        <f>计算区域!E195</f>
        <v>45384</v>
      </c>
      <c r="B193">
        <f ca="1">IFERROR(计算区域!AJ195,NA())</f>
        <v>9.4674823348551221E-2</v>
      </c>
      <c r="C193">
        <f ca="1">IFERROR(计算区域!AK195,NA())</f>
        <v>8.4561287287882286E-2</v>
      </c>
      <c r="D193">
        <f ca="1">IFERROR(计算区域!AL195,NA())</f>
        <v>8.0760807879554378E-2</v>
      </c>
      <c r="E193" t="e">
        <f ca="1">IFERROR(计算区域!AM195,NA())</f>
        <v>#N/A</v>
      </c>
      <c r="G193">
        <f ca="1">IFERROR(计算区域!AD195,NA())</f>
        <v>0.1011437075581995</v>
      </c>
      <c r="H193">
        <f ca="1">IFERROR(计算区域!AE195,NA())</f>
        <v>8.5324972067485058E-2</v>
      </c>
      <c r="I193">
        <f ca="1">IFERROR(计算区域!AF195,NA())</f>
        <v>8.082589226009558E-2</v>
      </c>
      <c r="J193" t="e">
        <f ca="1">IFERROR(计算区域!AG195,NA())</f>
        <v>#N/A</v>
      </c>
      <c r="L193">
        <f ca="1">IFERROR(计算区域!L195,NA())</f>
        <v>0.1040870566563014</v>
      </c>
      <c r="M193">
        <f ca="1">IFERROR(计算区域!M195,NA())</f>
        <v>0.10096544170627146</v>
      </c>
      <c r="N193">
        <f ca="1">IFERROR(计算区域!N195,NA())</f>
        <v>0.10033552064957155</v>
      </c>
      <c r="O193" t="e">
        <f ca="1">IFERROR(计算区域!O195,NA())</f>
        <v>#N/A</v>
      </c>
      <c r="Q193">
        <f ca="1">IFERROR(计算区域!R195,NA())</f>
        <v>0.11292932183497847</v>
      </c>
      <c r="R193">
        <f ca="1">IFERROR(计算区域!S195,NA())</f>
        <v>0.11027019667791596</v>
      </c>
      <c r="S193">
        <f ca="1">IFERROR(计算区域!T195,NA())</f>
        <v>0.10977027832678245</v>
      </c>
      <c r="T193" t="e">
        <f ca="1">IFERROR(计算区域!U195,NA())</f>
        <v>#N/A</v>
      </c>
      <c r="V193">
        <f ca="1">IFERROR(计算区域!X195,NA())</f>
        <v>0.11707509329438494</v>
      </c>
      <c r="W193">
        <f ca="1">IFERROR(计算区域!Y195,NA())</f>
        <v>0.11573383169691358</v>
      </c>
      <c r="X193">
        <f ca="1">IFERROR(计算区域!Z195,NA())</f>
        <v>0.113126200717323</v>
      </c>
      <c r="Y193" t="e">
        <f ca="1">IFERROR(计算区域!AA195,NA())</f>
        <v>#N/A</v>
      </c>
    </row>
    <row r="194" spans="1:25" x14ac:dyDescent="0.2">
      <c r="A194" s="28">
        <f>计算区域!E196</f>
        <v>45383</v>
      </c>
      <c r="B194">
        <f ca="1">IFERROR(计算区域!AJ196,NA())</f>
        <v>8.9271663488480438E-2</v>
      </c>
      <c r="C194">
        <f ca="1">IFERROR(计算区域!AK196,NA())</f>
        <v>9.2192220539880576E-2</v>
      </c>
      <c r="D194">
        <f ca="1">IFERROR(计算区域!AL196,NA())</f>
        <v>9.1358172266903168E-2</v>
      </c>
      <c r="E194" t="e">
        <f ca="1">IFERROR(计算区域!AM196,NA())</f>
        <v>#N/A</v>
      </c>
      <c r="G194">
        <f ca="1">IFERROR(计算区域!AD196,NA())</f>
        <v>0.10441314358165346</v>
      </c>
      <c r="H194">
        <f ca="1">IFERROR(计算区域!AE196,NA())</f>
        <v>9.2230837696603965E-2</v>
      </c>
      <c r="I194">
        <f ca="1">IFERROR(计算区域!AF196,NA())</f>
        <v>9.1692607048379338E-2</v>
      </c>
      <c r="J194" t="e">
        <f ca="1">IFERROR(计算区域!AG196,NA())</f>
        <v>#N/A</v>
      </c>
      <c r="L194">
        <f ca="1">IFERROR(计算区域!L196,NA())</f>
        <v>0.10370102919119965</v>
      </c>
      <c r="M194">
        <f ca="1">IFERROR(计算区域!M196,NA())</f>
        <v>0.10386451625606226</v>
      </c>
      <c r="N194">
        <f ca="1">IFERROR(计算区域!N196,NA())</f>
        <v>0.10728983267652041</v>
      </c>
      <c r="O194" t="e">
        <f ca="1">IFERROR(计算区域!O196,NA())</f>
        <v>#N/A</v>
      </c>
      <c r="Q194">
        <f ca="1">IFERROR(计算区域!R196,NA())</f>
        <v>0.11207918237636166</v>
      </c>
      <c r="R194">
        <f ca="1">IFERROR(计算区域!S196,NA())</f>
        <v>0.113120512924916</v>
      </c>
      <c r="S194">
        <f ca="1">IFERROR(计算区域!T196,NA())</f>
        <v>0.11344500179977651</v>
      </c>
      <c r="T194" t="e">
        <f ca="1">IFERROR(计算区域!U196,NA())</f>
        <v>#N/A</v>
      </c>
      <c r="V194">
        <f ca="1">IFERROR(计算区域!X196,NA())</f>
        <v>0.11607888818766006</v>
      </c>
      <c r="W194">
        <f ca="1">IFERROR(计算区域!Y196,NA())</f>
        <v>0.11835139475950558</v>
      </c>
      <c r="X194">
        <f ca="1">IFERROR(计算区域!Z196,NA())</f>
        <v>0.11526494243757898</v>
      </c>
      <c r="Y194" t="e">
        <f ca="1">IFERROR(计算区域!AA196,NA())</f>
        <v>#N/A</v>
      </c>
    </row>
    <row r="195" spans="1:25" x14ac:dyDescent="0.2">
      <c r="A195" s="28">
        <f>计算区域!E197</f>
        <v>45380</v>
      </c>
      <c r="B195">
        <f ca="1">IFERROR(计算区域!AJ197,NA())</f>
        <v>6.1912445373496057E-2</v>
      </c>
      <c r="C195">
        <f ca="1">IFERROR(计算区域!AK197,NA())</f>
        <v>7.650577407706774E-2</v>
      </c>
      <c r="D195">
        <f ca="1">IFERROR(计算区域!AL197,NA())</f>
        <v>8.3598216148482465E-2</v>
      </c>
      <c r="E195" t="e">
        <f ca="1">IFERROR(计算区域!AM197,NA())</f>
        <v>#N/A</v>
      </c>
      <c r="G195">
        <f ca="1">IFERROR(计算区域!AD197,NA())</f>
        <v>6.3885882841530489E-2</v>
      </c>
      <c r="H195">
        <f ca="1">IFERROR(计算区域!AE197,NA())</f>
        <v>7.6929669872854906E-2</v>
      </c>
      <c r="I195">
        <f ca="1">IFERROR(计算区域!AF197,NA())</f>
        <v>8.3598859359694744E-2</v>
      </c>
      <c r="J195" t="e">
        <f ca="1">IFERROR(计算区域!AG197,NA())</f>
        <v>#N/A</v>
      </c>
      <c r="L195">
        <f ca="1">IFERROR(计算区域!L197,NA())</f>
        <v>0.10000644450342451</v>
      </c>
      <c r="M195">
        <f ca="1">IFERROR(计算区域!M197,NA())</f>
        <v>0.1006273060361912</v>
      </c>
      <c r="N195">
        <f ca="1">IFERROR(计算区域!N197,NA())</f>
        <v>0.10561357386824516</v>
      </c>
      <c r="O195" t="e">
        <f ca="1">IFERROR(计算区域!O197,NA())</f>
        <v>#N/A</v>
      </c>
      <c r="Q195">
        <f ca="1">IFERROR(计算区域!R197,NA())</f>
        <v>0.1128329185598297</v>
      </c>
      <c r="R195">
        <f ca="1">IFERROR(计算区域!S197,NA())</f>
        <v>0.11080253915671094</v>
      </c>
      <c r="S195">
        <f ca="1">IFERROR(计算区域!T197,NA())</f>
        <v>0.11246715709651144</v>
      </c>
      <c r="T195" t="e">
        <f ca="1">IFERROR(计算区域!U197,NA())</f>
        <v>#N/A</v>
      </c>
      <c r="V195">
        <f ca="1">IFERROR(计算区域!X197,NA())</f>
        <v>0.11862790785262034</v>
      </c>
      <c r="W195">
        <f ca="1">IFERROR(计算区域!Y197,NA())</f>
        <v>0.11579478484792473</v>
      </c>
      <c r="X195">
        <f ca="1">IFERROR(计算区域!Z197,NA())</f>
        <v>0.11421795222602207</v>
      </c>
      <c r="Y195" t="e">
        <f ca="1">IFERROR(计算区域!AA197,NA())</f>
        <v>#N/A</v>
      </c>
    </row>
    <row r="196" spans="1:25" x14ac:dyDescent="0.2">
      <c r="A196" s="28">
        <f>计算区域!E198</f>
        <v>45379</v>
      </c>
      <c r="B196">
        <f ca="1">IFERROR(计算区域!AJ198,NA())</f>
        <v>8.2428340067736985E-2</v>
      </c>
      <c r="C196">
        <f ca="1">IFERROR(计算区域!AK198,NA())</f>
        <v>7.200167955865952E-2</v>
      </c>
      <c r="D196">
        <f ca="1">IFERROR(计算区域!AL198,NA())</f>
        <v>8.2207279969933059E-2</v>
      </c>
      <c r="E196" t="e">
        <f ca="1">IFERROR(计算区域!AM198,NA())</f>
        <v>#N/A</v>
      </c>
      <c r="G196">
        <f ca="1">IFERROR(计算区域!AD198,NA())</f>
        <v>8.8221349282286657E-2</v>
      </c>
      <c r="H196">
        <f ca="1">IFERROR(计算区域!AE198,NA())</f>
        <v>7.3379080379478712E-2</v>
      </c>
      <c r="I196">
        <f ca="1">IFERROR(计算区域!AF198,NA())</f>
        <v>8.223096898605553E-2</v>
      </c>
      <c r="J196" t="e">
        <f ca="1">IFERROR(计算区域!AG198,NA())</f>
        <v>#N/A</v>
      </c>
      <c r="L196">
        <f ca="1">IFERROR(计算区域!L198,NA())</f>
        <v>0.11402503776956241</v>
      </c>
      <c r="M196">
        <f ca="1">IFERROR(计算区域!M198,NA())</f>
        <v>0.10216055610910439</v>
      </c>
      <c r="N196">
        <f ca="1">IFERROR(计算区域!N198,NA())</f>
        <v>0.1065344534254607</v>
      </c>
      <c r="O196" t="e">
        <f ca="1">IFERROR(计算区域!O198,NA())</f>
        <v>#N/A</v>
      </c>
      <c r="Q196">
        <f ca="1">IFERROR(计算区域!R198,NA())</f>
        <v>0.12894284566195205</v>
      </c>
      <c r="R196">
        <f ca="1">IFERROR(计算区域!S198,NA())</f>
        <v>0.11343039374275672</v>
      </c>
      <c r="S196">
        <f ca="1">IFERROR(计算区域!T198,NA())</f>
        <v>0.11413529806044627</v>
      </c>
      <c r="T196" t="e">
        <f ca="1">IFERROR(计算区域!U198,NA())</f>
        <v>#N/A</v>
      </c>
      <c r="V196">
        <f ca="1">IFERROR(计算区域!X198,NA())</f>
        <v>0.13741819737920014</v>
      </c>
      <c r="W196">
        <f ca="1">IFERROR(计算区域!Y198,NA())</f>
        <v>0.1185497812896965</v>
      </c>
      <c r="X196">
        <f ca="1">IFERROR(计算区域!Z198,NA())</f>
        <v>0.11594942560012692</v>
      </c>
      <c r="Y196" t="e">
        <f ca="1">IFERROR(计算区域!AA198,NA())</f>
        <v>#N/A</v>
      </c>
    </row>
    <row r="197" spans="1:25" x14ac:dyDescent="0.2">
      <c r="A197" s="28">
        <f>计算区域!E199</f>
        <v>45378</v>
      </c>
      <c r="B197">
        <f ca="1">IFERROR(计算区域!AJ199,NA())</f>
        <v>7.7671181318601623E-2</v>
      </c>
      <c r="C197">
        <f ca="1">IFERROR(计算区域!AK199,NA())</f>
        <v>7.0474412262480107E-2</v>
      </c>
      <c r="D197">
        <f ca="1">IFERROR(计算区域!AL199,NA())</f>
        <v>8.7002099111079395E-2</v>
      </c>
      <c r="E197" t="e">
        <f ca="1">IFERROR(计算区域!AM199,NA())</f>
        <v>#N/A</v>
      </c>
      <c r="G197">
        <f ca="1">IFERROR(计算区域!AD199,NA())</f>
        <v>8.6745937382195965E-2</v>
      </c>
      <c r="H197">
        <f ca="1">IFERROR(计算区域!AE199,NA())</f>
        <v>7.3698266169070367E-2</v>
      </c>
      <c r="I197">
        <f ca="1">IFERROR(计算区域!AF199,NA())</f>
        <v>8.7052974248873316E-2</v>
      </c>
      <c r="J197" t="e">
        <f ca="1">IFERROR(计算区域!AG199,NA())</f>
        <v>#N/A</v>
      </c>
      <c r="L197">
        <f ca="1">IFERROR(计算区域!L199,NA())</f>
        <v>9.7081048480180912E-2</v>
      </c>
      <c r="M197">
        <f ca="1">IFERROR(计算区域!M199,NA())</f>
        <v>9.832326857221195E-2</v>
      </c>
      <c r="N197">
        <f ca="1">IFERROR(计算区域!N199,NA())</f>
        <v>0.10458450511093775</v>
      </c>
      <c r="O197" t="e">
        <f ca="1">IFERROR(计算区域!O199,NA())</f>
        <v>#N/A</v>
      </c>
      <c r="Q197">
        <f ca="1">IFERROR(计算区域!R199,NA())</f>
        <v>0.10832341973316351</v>
      </c>
      <c r="R197">
        <f ca="1">IFERROR(计算区域!S199,NA())</f>
        <v>0.10878698440034262</v>
      </c>
      <c r="S197">
        <f ca="1">IFERROR(计算区域!T199,NA())</f>
        <v>0.10908370628243755</v>
      </c>
      <c r="T197" t="e">
        <f ca="1">IFERROR(计算区域!U199,NA())</f>
        <v>#N/A</v>
      </c>
      <c r="V197">
        <f ca="1">IFERROR(计算区域!X199,NA())</f>
        <v>0.11879174633473723</v>
      </c>
      <c r="W197">
        <f ca="1">IFERROR(计算区域!Y199,NA())</f>
        <v>0.11372896773479345</v>
      </c>
      <c r="X197">
        <f ca="1">IFERROR(计算区域!Z199,NA())</f>
        <v>0.10993027621019244</v>
      </c>
      <c r="Y197" t="e">
        <f ca="1">IFERROR(计算区域!AA199,NA())</f>
        <v>#N/A</v>
      </c>
    </row>
    <row r="198" spans="1:25" x14ac:dyDescent="0.2">
      <c r="A198" s="28">
        <f>计算区域!E200</f>
        <v>45377</v>
      </c>
      <c r="B198">
        <f ca="1">IFERROR(计算区域!AJ200,NA())</f>
        <v>7.7589479799735989E-2</v>
      </c>
      <c r="C198">
        <f ca="1">IFERROR(计算区域!AK200,NA())</f>
        <v>7.5860504974888998E-2</v>
      </c>
      <c r="D198">
        <f ca="1">IFERROR(计算区域!AL200,NA())</f>
        <v>8.7365777292291127E-2</v>
      </c>
      <c r="E198" t="e">
        <f ca="1">IFERROR(计算区域!AM200,NA())</f>
        <v>#N/A</v>
      </c>
      <c r="G198">
        <f ca="1">IFERROR(计算区域!AD200,NA())</f>
        <v>7.8426652692786189E-2</v>
      </c>
      <c r="H198">
        <f ca="1">IFERROR(计算区域!AE200,NA())</f>
        <v>8.0224651104618419E-2</v>
      </c>
      <c r="I198">
        <f ca="1">IFERROR(计算区域!AF200,NA())</f>
        <v>8.7405368813163187E-2</v>
      </c>
      <c r="J198" t="e">
        <f ca="1">IFERROR(计算区域!AG200,NA())</f>
        <v>#N/A</v>
      </c>
      <c r="L198">
        <f ca="1">IFERROR(计算区域!L200,NA())</f>
        <v>9.7744183839821905E-2</v>
      </c>
      <c r="M198">
        <f ca="1">IFERROR(计算区域!M200,NA())</f>
        <v>0.1001794816946643</v>
      </c>
      <c r="N198">
        <f ca="1">IFERROR(计算区域!N200,NA())</f>
        <v>0.10617460355637058</v>
      </c>
      <c r="O198" t="e">
        <f ca="1">IFERROR(计算区域!O200,NA())</f>
        <v>#N/A</v>
      </c>
      <c r="Q198">
        <f ca="1">IFERROR(计算区域!R200,NA())</f>
        <v>0.10754534309148114</v>
      </c>
      <c r="R198">
        <f ca="1">IFERROR(计算区域!S200,NA())</f>
        <v>0.10975016022132919</v>
      </c>
      <c r="S198">
        <f ca="1">IFERROR(计算区域!T200,NA())</f>
        <v>0.1107139767130421</v>
      </c>
      <c r="T198" t="e">
        <f ca="1">IFERROR(计算区域!U200,NA())</f>
        <v>#N/A</v>
      </c>
      <c r="V198">
        <f ca="1">IFERROR(计算区域!X200,NA())</f>
        <v>0.11437684262388999</v>
      </c>
      <c r="W198">
        <f ca="1">IFERROR(计算区域!Y200,NA())</f>
        <v>0.11362099248514347</v>
      </c>
      <c r="X198">
        <f ca="1">IFERROR(计算区域!Z200,NA())</f>
        <v>0.1114099216716558</v>
      </c>
      <c r="Y198" t="e">
        <f ca="1">IFERROR(计算区域!AA200,NA())</f>
        <v>#N/A</v>
      </c>
    </row>
    <row r="199" spans="1:25" x14ac:dyDescent="0.2">
      <c r="A199" s="28">
        <f>计算区域!E201</f>
        <v>45376</v>
      </c>
      <c r="B199">
        <f ca="1">IFERROR(计算区域!AJ201,NA())</f>
        <v>7.6720322415087971E-2</v>
      </c>
      <c r="C199">
        <f ca="1">IFERROR(计算区域!AK201,NA())</f>
        <v>7.369075677310892E-2</v>
      </c>
      <c r="D199">
        <f ca="1">IFERROR(计算区域!AL201,NA())</f>
        <v>8.812051255248822E-2</v>
      </c>
      <c r="E199" t="e">
        <f ca="1">IFERROR(计算区域!AM201,NA())</f>
        <v>#N/A</v>
      </c>
      <c r="G199">
        <f ca="1">IFERROR(计算区域!AD201,NA())</f>
        <v>9.0761126851675644E-2</v>
      </c>
      <c r="H199">
        <f ca="1">IFERROR(计算区域!AE201,NA())</f>
        <v>7.8899729407526126E-2</v>
      </c>
      <c r="I199">
        <f ca="1">IFERROR(计算区域!AF201,NA())</f>
        <v>8.8195351798103616E-2</v>
      </c>
      <c r="J199" t="e">
        <f ca="1">IFERROR(计算区域!AG201,NA())</f>
        <v>#N/A</v>
      </c>
      <c r="L199">
        <f ca="1">IFERROR(计算区域!L201,NA())</f>
        <v>0.10402774638959358</v>
      </c>
      <c r="M199">
        <f ca="1">IFERROR(计算区域!M201,NA())</f>
        <v>0.1014949269499055</v>
      </c>
      <c r="N199">
        <f ca="1">IFERROR(计算区域!N201,NA())</f>
        <v>0.1070302529472225</v>
      </c>
      <c r="O199" t="e">
        <f ca="1">IFERROR(计算区域!O201,NA())</f>
        <v>#N/A</v>
      </c>
      <c r="Q199">
        <f ca="1">IFERROR(计算区域!R201,NA())</f>
        <v>0.1141523445516492</v>
      </c>
      <c r="R199">
        <f ca="1">IFERROR(计算区域!S201,NA())</f>
        <v>0.11152015342342318</v>
      </c>
      <c r="S199">
        <f ca="1">IFERROR(计算区域!T201,NA())</f>
        <v>0.11056414550091827</v>
      </c>
      <c r="T199" t="e">
        <f ca="1">IFERROR(计算区域!U201,NA())</f>
        <v>#N/A</v>
      </c>
      <c r="V199">
        <f ca="1">IFERROR(计算区域!X201,NA())</f>
        <v>0.12058108060619363</v>
      </c>
      <c r="W199">
        <f ca="1">IFERROR(计算区域!Y201,NA())</f>
        <v>0.11535036439624573</v>
      </c>
      <c r="X199">
        <f ca="1">IFERROR(计算区域!Z201,NA())</f>
        <v>0.11089020160459345</v>
      </c>
      <c r="Y199" t="e">
        <f ca="1">IFERROR(计算区域!AA201,NA())</f>
        <v>#N/A</v>
      </c>
    </row>
    <row r="200" spans="1:25" x14ac:dyDescent="0.2">
      <c r="A200" s="28">
        <f>计算区域!E202</f>
        <v>45373</v>
      </c>
      <c r="B200">
        <f ca="1">IFERROR(计算区域!AJ202,NA())</f>
        <v>9.0301922580472635E-2</v>
      </c>
      <c r="C200">
        <f ca="1">IFERROR(计算区域!AK202,NA())</f>
        <v>8.7248797996182625E-2</v>
      </c>
      <c r="D200">
        <f ca="1">IFERROR(计算区域!AL202,NA())</f>
        <v>0.10633804046482036</v>
      </c>
      <c r="E200" t="e">
        <f ca="1">IFERROR(计算区域!AM202,NA())</f>
        <v>#N/A</v>
      </c>
      <c r="G200">
        <f ca="1">IFERROR(计算区域!AD202,NA())</f>
        <v>9.6096231527244252E-2</v>
      </c>
      <c r="H200">
        <f ca="1">IFERROR(计算区域!AE202,NA())</f>
        <v>8.8498791712867508E-2</v>
      </c>
      <c r="I200">
        <f ca="1">IFERROR(计算区域!AF202,NA())</f>
        <v>0.10676108773724668</v>
      </c>
      <c r="J200" t="e">
        <f ca="1">IFERROR(计算区域!AG202,NA())</f>
        <v>#N/A</v>
      </c>
      <c r="L200">
        <f ca="1">IFERROR(计算区域!L202,NA())</f>
        <v>0.10124436032681544</v>
      </c>
      <c r="M200">
        <f ca="1">IFERROR(计算区域!M202,NA())</f>
        <v>0.10293939441931885</v>
      </c>
      <c r="N200">
        <f ca="1">IFERROR(计算区域!N202,NA())</f>
        <v>0.11146802353269498</v>
      </c>
      <c r="O200" t="e">
        <f ca="1">IFERROR(计算区域!O202,NA())</f>
        <v>#N/A</v>
      </c>
      <c r="Q200">
        <f ca="1">IFERROR(计算区域!R202,NA())</f>
        <v>0.10873425337224588</v>
      </c>
      <c r="R200">
        <f ca="1">IFERROR(计算区域!S202,NA())</f>
        <v>0.1109136562440152</v>
      </c>
      <c r="S200">
        <f ca="1">IFERROR(计算区域!T202,NA())</f>
        <v>0.11145479972296768</v>
      </c>
      <c r="T200" t="e">
        <f ca="1">IFERROR(计算区域!U202,NA())</f>
        <v>#N/A</v>
      </c>
      <c r="V200">
        <f ca="1">IFERROR(计算区域!X202,NA())</f>
        <v>0.11289058363948952</v>
      </c>
      <c r="W200">
        <f ca="1">IFERROR(计算区域!Y202,NA())</f>
        <v>0.11360772411853408</v>
      </c>
      <c r="X200">
        <f ca="1">IFERROR(计算区域!Z202,NA())</f>
        <v>0.10986963733109807</v>
      </c>
      <c r="Y200" t="e">
        <f ca="1">IFERROR(计算区域!AA202,NA())</f>
        <v>#N/A</v>
      </c>
    </row>
    <row r="201" spans="1:25" x14ac:dyDescent="0.2">
      <c r="A201" s="28">
        <f>计算区域!E203</f>
        <v>45372</v>
      </c>
      <c r="B201">
        <f ca="1">IFERROR(计算区域!AJ203,NA())</f>
        <v>6.5803264991943652E-2</v>
      </c>
      <c r="C201">
        <f ca="1">IFERROR(计算区域!AK203,NA())</f>
        <v>7.5067984560991369E-2</v>
      </c>
      <c r="D201">
        <f ca="1">IFERROR(计算区域!AL203,NA())</f>
        <v>0.10176255616287469</v>
      </c>
      <c r="E201" t="e">
        <f ca="1">IFERROR(计算区域!AM203,NA())</f>
        <v>#N/A</v>
      </c>
      <c r="G201">
        <f ca="1">IFERROR(计算区域!AD203,NA())</f>
        <v>6.5818650584946473E-2</v>
      </c>
      <c r="H201">
        <f ca="1">IFERROR(计算区域!AE203,NA())</f>
        <v>7.5067984560991355E-2</v>
      </c>
      <c r="I201">
        <f ca="1">IFERROR(计算区域!AF203,NA())</f>
        <v>0.10178135359312504</v>
      </c>
      <c r="J201" t="e">
        <f ca="1">IFERROR(计算区域!AG203,NA())</f>
        <v>#N/A</v>
      </c>
      <c r="L201">
        <f ca="1">IFERROR(计算区域!L203,NA())</f>
        <v>8.8723442283833859E-2</v>
      </c>
      <c r="M201">
        <f ca="1">IFERROR(计算区域!M203,NA())</f>
        <v>9.7736163763782871E-2</v>
      </c>
      <c r="N201">
        <f ca="1">IFERROR(计算区域!N203,NA())</f>
        <v>0.1087413561106973</v>
      </c>
      <c r="O201" t="e">
        <f ca="1">IFERROR(计算区域!O203,NA())</f>
        <v>#N/A</v>
      </c>
      <c r="Q201">
        <f ca="1">IFERROR(计算区域!R203,NA())</f>
        <v>9.5428774496331359E-2</v>
      </c>
      <c r="R201">
        <f ca="1">IFERROR(计算区域!S203,NA())</f>
        <v>0.10633288455378052</v>
      </c>
      <c r="S201">
        <f ca="1">IFERROR(计算区域!T203,NA())</f>
        <v>0.10869739819464332</v>
      </c>
      <c r="T201" t="e">
        <f ca="1">IFERROR(计算区域!U203,NA())</f>
        <v>#N/A</v>
      </c>
      <c r="V201">
        <f ca="1">IFERROR(计算区域!X203,NA())</f>
        <v>9.6043429326117591E-2</v>
      </c>
      <c r="W201">
        <f ca="1">IFERROR(计算区域!Y203,NA())</f>
        <v>0.10793381219442555</v>
      </c>
      <c r="X201">
        <f ca="1">IFERROR(计算区域!Z203,NA())</f>
        <v>0.10652488692579865</v>
      </c>
      <c r="Y201" t="e">
        <f ca="1">IFERROR(计算区域!AA203,NA())</f>
        <v>#N/A</v>
      </c>
    </row>
    <row r="202" spans="1:25" x14ac:dyDescent="0.2">
      <c r="A202" s="28">
        <f>计算区域!E204</f>
        <v>45371</v>
      </c>
      <c r="B202">
        <f ca="1">IFERROR(计算区域!AJ204,NA())</f>
        <v>6.8156922213282053E-2</v>
      </c>
      <c r="C202">
        <f ca="1">IFERROR(计算区域!AK204,NA())</f>
        <v>7.6768920942040075E-2</v>
      </c>
      <c r="D202">
        <f ca="1">IFERROR(计算区域!AL204,NA())</f>
        <v>0.1066185558477122</v>
      </c>
      <c r="E202" t="e">
        <f ca="1">IFERROR(计算区域!AM204,NA())</f>
        <v>#N/A</v>
      </c>
      <c r="G202">
        <f ca="1">IFERROR(计算区域!AD204,NA())</f>
        <v>6.8526417018695815E-2</v>
      </c>
      <c r="H202">
        <f ca="1">IFERROR(计算区域!AE204,NA())</f>
        <v>7.6955593197926497E-2</v>
      </c>
      <c r="I202">
        <f ca="1">IFERROR(计算区域!AF204,NA())</f>
        <v>0.1067472206754053</v>
      </c>
      <c r="J202" t="e">
        <f ca="1">IFERROR(计算区域!AG204,NA())</f>
        <v>#N/A</v>
      </c>
      <c r="L202">
        <f ca="1">IFERROR(计算区域!L204,NA())</f>
        <v>9.9549989007711129E-2</v>
      </c>
      <c r="M202">
        <f ca="1">IFERROR(计算区域!M204,NA())</f>
        <v>0.10193199785047086</v>
      </c>
      <c r="N202">
        <f ca="1">IFERROR(计算区域!N204,NA())</f>
        <v>0.11088293121138897</v>
      </c>
      <c r="O202" t="e">
        <f ca="1">IFERROR(计算区域!O204,NA())</f>
        <v>#N/A</v>
      </c>
      <c r="Q202">
        <f ca="1">IFERROR(计算区域!R204,NA())</f>
        <v>0.1092485820830351</v>
      </c>
      <c r="R202">
        <f ca="1">IFERROR(计算区域!S204,NA())</f>
        <v>0.11158350589725684</v>
      </c>
      <c r="S202">
        <f ca="1">IFERROR(计算区域!T204,NA())</f>
        <v>0.10929992342269468</v>
      </c>
      <c r="T202" t="e">
        <f ca="1">IFERROR(计算区域!U204,NA())</f>
        <v>#N/A</v>
      </c>
      <c r="V202">
        <f ca="1">IFERROR(计算区域!X204,NA())</f>
        <v>0.10843005674990133</v>
      </c>
      <c r="W202">
        <f ca="1">IFERROR(计算区域!Y204,NA())</f>
        <v>0.11232483274267949</v>
      </c>
      <c r="X202">
        <f ca="1">IFERROR(计算区域!Z204,NA())</f>
        <v>0.10590748623233717</v>
      </c>
      <c r="Y202" t="e">
        <f ca="1">IFERROR(计算区域!AA204,NA())</f>
        <v>#N/A</v>
      </c>
    </row>
    <row r="203" spans="1:25" x14ac:dyDescent="0.2">
      <c r="A203" s="28">
        <f>计算区域!E205</f>
        <v>45370</v>
      </c>
      <c r="B203">
        <f ca="1">IFERROR(计算区域!AJ205,NA())</f>
        <v>7.9998897456646817E-2</v>
      </c>
      <c r="C203">
        <f ca="1">IFERROR(计算区域!AK205,NA())</f>
        <v>7.8646185198798277E-2</v>
      </c>
      <c r="D203">
        <f ca="1">IFERROR(计算区域!AL205,NA())</f>
        <v>0.12205291791973512</v>
      </c>
      <c r="E203" t="e">
        <f ca="1">IFERROR(计算区域!AM205,NA())</f>
        <v>#N/A</v>
      </c>
      <c r="G203">
        <f ca="1">IFERROR(计算区域!AD205,NA())</f>
        <v>9.1270192825122484E-2</v>
      </c>
      <c r="H203">
        <f ca="1">IFERROR(计算区域!AE205,NA())</f>
        <v>8.0691810549850765E-2</v>
      </c>
      <c r="I203">
        <f ca="1">IFERROR(计算区域!AF205,NA())</f>
        <v>0.12325852890985944</v>
      </c>
      <c r="J203" t="e">
        <f ca="1">IFERROR(计算区域!AG205,NA())</f>
        <v>#N/A</v>
      </c>
      <c r="L203">
        <f ca="1">IFERROR(计算区域!L205,NA())</f>
        <v>0.102556967733598</v>
      </c>
      <c r="M203">
        <f ca="1">IFERROR(计算区域!M205,NA())</f>
        <v>9.9701619791750073E-2</v>
      </c>
      <c r="N203">
        <f ca="1">IFERROR(计算区域!N205,NA())</f>
        <v>0.13078318113752033</v>
      </c>
      <c r="O203" t="e">
        <f ca="1">IFERROR(计算区域!O205,NA())</f>
        <v>#N/A</v>
      </c>
      <c r="Q203">
        <f ca="1">IFERROR(计算区域!R205,NA())</f>
        <v>0.11191154773547934</v>
      </c>
      <c r="R203">
        <f ca="1">IFERROR(计算区域!S205,NA())</f>
        <v>0.10926807279572703</v>
      </c>
      <c r="S203">
        <f ca="1">IFERROR(计算区域!T205,NA())</f>
        <v>0.12965379858213796</v>
      </c>
      <c r="T203" t="e">
        <f ca="1">IFERROR(计算区域!U205,NA())</f>
        <v>#N/A</v>
      </c>
      <c r="V203">
        <f ca="1">IFERROR(计算区域!X205,NA())</f>
        <v>0.11286008035620018</v>
      </c>
      <c r="W203">
        <f ca="1">IFERROR(计算区域!Y205,NA())</f>
        <v>0.11045702683950254</v>
      </c>
      <c r="X203">
        <f ca="1">IFERROR(计算区域!Z205,NA())</f>
        <v>0.12755873256172701</v>
      </c>
      <c r="Y203" t="e">
        <f ca="1">IFERROR(计算区域!AA205,NA())</f>
        <v>#N/A</v>
      </c>
    </row>
    <row r="204" spans="1:25" x14ac:dyDescent="0.2">
      <c r="A204" s="28">
        <f>计算区域!E206</f>
        <v>45369</v>
      </c>
      <c r="B204">
        <f ca="1">IFERROR(计算区域!AJ206,NA())</f>
        <v>7.5106971154123001E-2</v>
      </c>
      <c r="C204">
        <f ca="1">IFERROR(计算区域!AK206,NA())</f>
        <v>9.5199378089896133E-2</v>
      </c>
      <c r="D204">
        <f ca="1">IFERROR(计算区域!AL206,NA())</f>
        <v>0.11865199013849217</v>
      </c>
      <c r="E204" t="e">
        <f ca="1">IFERROR(计算区域!AM206,NA())</f>
        <v>#N/A</v>
      </c>
      <c r="G204">
        <f ca="1">IFERROR(计算区域!AD206,NA())</f>
        <v>7.5954224891844807E-2</v>
      </c>
      <c r="H204">
        <f ca="1">IFERROR(计算区域!AE206,NA())</f>
        <v>9.6139021306119163E-2</v>
      </c>
      <c r="I204">
        <f ca="1">IFERROR(计算区域!AF206,NA())</f>
        <v>0.1207490919070441</v>
      </c>
      <c r="J204" t="e">
        <f ca="1">IFERROR(计算区域!AG206,NA())</f>
        <v>#N/A</v>
      </c>
      <c r="L204">
        <f ca="1">IFERROR(计算区域!L206,NA())</f>
        <v>9.8897261712525233E-2</v>
      </c>
      <c r="M204">
        <f ca="1">IFERROR(计算区域!M206,NA())</f>
        <v>0.1106091255476042</v>
      </c>
      <c r="N204">
        <f ca="1">IFERROR(计算区域!N206,NA())</f>
        <v>0.12981059148795646</v>
      </c>
      <c r="O204" t="e">
        <f ca="1">IFERROR(计算区域!O206,NA())</f>
        <v>#N/A</v>
      </c>
      <c r="Q204">
        <f ca="1">IFERROR(计算区域!R206,NA())</f>
        <v>0.10882431471196706</v>
      </c>
      <c r="R204">
        <f ca="1">IFERROR(计算区域!S206,NA())</f>
        <v>0.11376856517644278</v>
      </c>
      <c r="S204">
        <f ca="1">IFERROR(计算区域!T206,NA())</f>
        <v>0.12870678147220804</v>
      </c>
      <c r="T204" t="e">
        <f ca="1">IFERROR(计算区域!U206,NA())</f>
        <v>#N/A</v>
      </c>
      <c r="V204">
        <f ca="1">IFERROR(计算区域!X206,NA())</f>
        <v>0.10987090667021905</v>
      </c>
      <c r="W204">
        <f ca="1">IFERROR(计算区域!Y206,NA())</f>
        <v>0.11209353803300379</v>
      </c>
      <c r="X204">
        <f ca="1">IFERROR(计算区域!Z206,NA())</f>
        <v>0.12688633008357192</v>
      </c>
      <c r="Y204" t="e">
        <f ca="1">IFERROR(计算区域!AA206,NA())</f>
        <v>#N/A</v>
      </c>
    </row>
    <row r="205" spans="1:25" x14ac:dyDescent="0.2">
      <c r="A205" s="28">
        <f>计算区域!E207</f>
        <v>45366</v>
      </c>
      <c r="B205">
        <f ca="1">IFERROR(计算区域!AJ207,NA())</f>
        <v>9.1572769717377323E-2</v>
      </c>
      <c r="C205">
        <f ca="1">IFERROR(计算区域!AK207,NA())</f>
        <v>9.3592365148185239E-2</v>
      </c>
      <c r="D205">
        <f ca="1">IFERROR(计算区域!AL207,NA())</f>
        <v>0.12026162581225751</v>
      </c>
      <c r="E205" t="e">
        <f ca="1">IFERROR(计算区域!AM207,NA())</f>
        <v>#N/A</v>
      </c>
      <c r="G205">
        <f ca="1">IFERROR(计算区域!AD207,NA())</f>
        <v>9.1583817288845626E-2</v>
      </c>
      <c r="H205">
        <f ca="1">IFERROR(计算区域!AE207,NA())</f>
        <v>9.3999438224019002E-2</v>
      </c>
      <c r="I205">
        <f ca="1">IFERROR(计算区域!AF207,NA())</f>
        <v>0.12287096707497529</v>
      </c>
      <c r="J205" t="e">
        <f ca="1">IFERROR(计算区域!AG207,NA())</f>
        <v>#N/A</v>
      </c>
      <c r="L205">
        <f ca="1">IFERROR(计算区域!L207,NA())</f>
        <v>0.10460696606271565</v>
      </c>
      <c r="M205">
        <f ca="1">IFERROR(计算区域!M207,NA())</f>
        <v>0.11037481257218636</v>
      </c>
      <c r="N205">
        <f ca="1">IFERROR(计算区域!N207,NA())</f>
        <v>0.13001316969403953</v>
      </c>
      <c r="O205" t="e">
        <f ca="1">IFERROR(计算区域!O207,NA())</f>
        <v>#N/A</v>
      </c>
      <c r="Q205">
        <f ca="1">IFERROR(计算区域!R207,NA())</f>
        <v>0.11305105230121203</v>
      </c>
      <c r="R205">
        <f ca="1">IFERROR(计算区域!S207,NA())</f>
        <v>0.1141074939132759</v>
      </c>
      <c r="S205">
        <f ca="1">IFERROR(计算区域!T207,NA())</f>
        <v>0.12936876235970998</v>
      </c>
      <c r="T205" t="e">
        <f ca="1">IFERROR(计算区域!U207,NA())</f>
        <v>#N/A</v>
      </c>
      <c r="V205">
        <f ca="1">IFERROR(计算区域!X207,NA())</f>
        <v>0.11432036600851714</v>
      </c>
      <c r="W205">
        <f ca="1">IFERROR(计算区域!Y207,NA())</f>
        <v>0.11261904378671725</v>
      </c>
      <c r="X205">
        <f ca="1">IFERROR(计算区域!Z207,NA())</f>
        <v>0.12857709001827725</v>
      </c>
      <c r="Y205" t="e">
        <f ca="1">IFERROR(计算区域!AA207,NA())</f>
        <v>#N/A</v>
      </c>
    </row>
    <row r="206" spans="1:25" x14ac:dyDescent="0.2">
      <c r="A206" s="28">
        <f>计算区域!E208</f>
        <v>45365</v>
      </c>
      <c r="B206">
        <f ca="1">IFERROR(计算区域!AJ208,NA())</f>
        <v>9.1351438645290051E-2</v>
      </c>
      <c r="C206">
        <f ca="1">IFERROR(计算区域!AK208,NA())</f>
        <v>9.3748516101135479E-2</v>
      </c>
      <c r="D206">
        <f ca="1">IFERROR(计算区域!AL208,NA())</f>
        <v>0.12024167054941474</v>
      </c>
      <c r="E206" t="e">
        <f ca="1">IFERROR(计算区域!AM208,NA())</f>
        <v>#N/A</v>
      </c>
      <c r="G206">
        <f ca="1">IFERROR(计算区域!AD208,NA())</f>
        <v>9.1362521986794509E-2</v>
      </c>
      <c r="H206">
        <f ca="1">IFERROR(计算区域!AE208,NA())</f>
        <v>9.4290513256333336E-2</v>
      </c>
      <c r="I206">
        <f ca="1">IFERROR(计算区域!AF208,NA())</f>
        <v>0.12306723095475976</v>
      </c>
      <c r="J206" t="e">
        <f ca="1">IFERROR(计算区域!AG208,NA())</f>
        <v>#N/A</v>
      </c>
      <c r="L206">
        <f ca="1">IFERROR(计算区域!L208,NA())</f>
        <v>0.10598521691174279</v>
      </c>
      <c r="M206">
        <f ca="1">IFERROR(计算区域!M208,NA())</f>
        <v>0.11073572282150794</v>
      </c>
      <c r="N206">
        <f ca="1">IFERROR(计算区域!N208,NA())</f>
        <v>0.13090663383996723</v>
      </c>
      <c r="O206" t="e">
        <f ca="1">IFERROR(计算区域!O208,NA())</f>
        <v>#N/A</v>
      </c>
      <c r="Q206">
        <f ca="1">IFERROR(计算区域!R208,NA())</f>
        <v>0.11621838784453849</v>
      </c>
      <c r="R206">
        <f ca="1">IFERROR(计算区域!S208,NA())</f>
        <v>0.11483587550089473</v>
      </c>
      <c r="S206">
        <f ca="1">IFERROR(计算区域!T208,NA())</f>
        <v>0.13088095064130528</v>
      </c>
      <c r="T206" t="e">
        <f ca="1">IFERROR(计算区域!U208,NA())</f>
        <v>#N/A</v>
      </c>
      <c r="V206">
        <f ca="1">IFERROR(计算区域!X208,NA())</f>
        <v>0.11863842258274554</v>
      </c>
      <c r="W206">
        <f ca="1">IFERROR(计算区域!Y208,NA())</f>
        <v>0.11328939910761227</v>
      </c>
      <c r="X206">
        <f ca="1">IFERROR(计算区域!Z208,NA())</f>
        <v>0.13079579010126971</v>
      </c>
      <c r="Y206" t="e">
        <f ca="1">IFERROR(计算区域!AA208,NA())</f>
        <v>#N/A</v>
      </c>
    </row>
    <row r="207" spans="1:25" x14ac:dyDescent="0.2">
      <c r="A207" s="28">
        <f>计算区域!E209</f>
        <v>45364</v>
      </c>
      <c r="B207">
        <f ca="1">IFERROR(计算区域!AJ209,NA())</f>
        <v>9.2794801681624808E-2</v>
      </c>
      <c r="C207">
        <f ca="1">IFERROR(计算区域!AK209,NA())</f>
        <v>9.9001020797404235E-2</v>
      </c>
      <c r="D207">
        <f ca="1">IFERROR(计算区域!AL209,NA())</f>
        <v>0.12474561738274548</v>
      </c>
      <c r="E207" t="e">
        <f ca="1">IFERROR(计算区域!AM209,NA())</f>
        <v>#N/A</v>
      </c>
      <c r="G207">
        <f ca="1">IFERROR(计算区域!AD209,NA())</f>
        <v>9.2892398238932791E-2</v>
      </c>
      <c r="H207">
        <f ca="1">IFERROR(计算区域!AE209,NA())</f>
        <v>0.10279606361842028</v>
      </c>
      <c r="I207">
        <f ca="1">IFERROR(计算区域!AF209,NA())</f>
        <v>0.13041106907138367</v>
      </c>
      <c r="J207" t="e">
        <f ca="1">IFERROR(计算区域!AG209,NA())</f>
        <v>#N/A</v>
      </c>
      <c r="L207">
        <f ca="1">IFERROR(计算区域!L209,NA())</f>
        <v>0.1042595993668755</v>
      </c>
      <c r="M207">
        <f ca="1">IFERROR(计算区域!M209,NA())</f>
        <v>0.11049150318407389</v>
      </c>
      <c r="N207">
        <f ca="1">IFERROR(计算区域!N209,NA())</f>
        <v>0.13363912126666155</v>
      </c>
      <c r="O207" t="e">
        <f ca="1">IFERROR(计算区域!O209,NA())</f>
        <v>#N/A</v>
      </c>
      <c r="Q207">
        <f ca="1">IFERROR(计算区域!R209,NA())</f>
        <v>0.11387056199691228</v>
      </c>
      <c r="R207">
        <f ca="1">IFERROR(计算区域!S209,NA())</f>
        <v>0.10937962322894436</v>
      </c>
      <c r="S207">
        <f ca="1">IFERROR(计算区域!T209,NA())</f>
        <v>0.13275216326424155</v>
      </c>
      <c r="T207" t="e">
        <f ca="1">IFERROR(计算区域!U209,NA())</f>
        <v>#N/A</v>
      </c>
      <c r="V207">
        <f ca="1">IFERROR(计算区域!X209,NA())</f>
        <v>0.11608901280722057</v>
      </c>
      <c r="W207">
        <f ca="1">IFERROR(计算区域!Y209,NA())</f>
        <v>0.10599553364777554</v>
      </c>
      <c r="X207">
        <f ca="1">IFERROR(计算区域!Z209,NA())</f>
        <v>0.13300065529372532</v>
      </c>
      <c r="Y207" t="e">
        <f ca="1">IFERROR(计算区域!AA209,NA())</f>
        <v>#N/A</v>
      </c>
    </row>
    <row r="208" spans="1:25" x14ac:dyDescent="0.2">
      <c r="A208" s="28">
        <f>计算区域!E210</f>
        <v>45363</v>
      </c>
      <c r="B208">
        <f ca="1">IFERROR(计算区域!AJ210,NA())</f>
        <v>7.9297475709849463E-2</v>
      </c>
      <c r="C208">
        <f ca="1">IFERROR(计算区域!AK210,NA())</f>
        <v>9.3272302150436345E-2</v>
      </c>
      <c r="D208">
        <f ca="1">IFERROR(计算区域!AL210,NA())</f>
        <v>0.14499441176044386</v>
      </c>
      <c r="E208" t="e">
        <f ca="1">IFERROR(计算区域!AM210,NA())</f>
        <v>#N/A</v>
      </c>
      <c r="G208">
        <f ca="1">IFERROR(计算区域!AD210,NA())</f>
        <v>7.9497676404686343E-2</v>
      </c>
      <c r="H208">
        <f ca="1">IFERROR(计算区域!AE210,NA())</f>
        <v>9.8449264793946167E-2</v>
      </c>
      <c r="I208">
        <f ca="1">IFERROR(计算区域!AF210,NA())</f>
        <v>0.15929617721834874</v>
      </c>
      <c r="J208" t="e">
        <f ca="1">IFERROR(计算区域!AG210,NA())</f>
        <v>#N/A</v>
      </c>
      <c r="L208">
        <f ca="1">IFERROR(计算区域!L210,NA())</f>
        <v>9.6762050140988251E-2</v>
      </c>
      <c r="M208">
        <f ca="1">IFERROR(计算区域!M210,NA())</f>
        <v>0.11184884589522301</v>
      </c>
      <c r="N208">
        <f ca="1">IFERROR(计算区域!N210,NA())</f>
        <v>0.1500275397569962</v>
      </c>
      <c r="O208" t="e">
        <f ca="1">IFERROR(计算区域!O210,NA())</f>
        <v>#N/A</v>
      </c>
      <c r="Q208">
        <f ca="1">IFERROR(计算区域!R210,NA())</f>
        <v>0.10655903973119378</v>
      </c>
      <c r="R208">
        <f ca="1">IFERROR(计算区域!S210,NA())</f>
        <v>0.11166947483813394</v>
      </c>
      <c r="S208">
        <f ca="1">IFERROR(计算区域!T210,NA())</f>
        <v>0.14104544834861615</v>
      </c>
      <c r="T208" t="e">
        <f ca="1">IFERROR(计算区域!U210,NA())</f>
        <v>#N/A</v>
      </c>
      <c r="V208">
        <f ca="1">IFERROR(计算区域!X210,NA())</f>
        <v>0.10800051767670936</v>
      </c>
      <c r="W208">
        <f ca="1">IFERROR(计算区域!Y210,NA())</f>
        <v>0.10915407166230646</v>
      </c>
      <c r="X208">
        <f ca="1">IFERROR(计算区域!Z210,NA())</f>
        <v>0.13678517235480731</v>
      </c>
      <c r="Y208" t="e">
        <f ca="1">IFERROR(计算区域!AA210,NA())</f>
        <v>#N/A</v>
      </c>
    </row>
    <row r="209" spans="1:25" x14ac:dyDescent="0.2">
      <c r="A209" s="28">
        <f>计算区域!E211</f>
        <v>45362</v>
      </c>
      <c r="B209">
        <f ca="1">IFERROR(计算区域!AJ211,NA())</f>
        <v>0.11595876762681151</v>
      </c>
      <c r="C209">
        <f ca="1">IFERROR(计算区域!AK211,NA())</f>
        <v>9.446965521558727E-2</v>
      </c>
      <c r="D209">
        <f ca="1">IFERROR(计算区域!AL211,NA())</f>
        <v>0.14592214085856683</v>
      </c>
      <c r="E209" t="e">
        <f ca="1">IFERROR(计算区域!AM211,NA())</f>
        <v>#N/A</v>
      </c>
      <c r="G209">
        <f ca="1">IFERROR(计算区域!AD211,NA())</f>
        <v>0.12258489470934229</v>
      </c>
      <c r="H209">
        <f ca="1">IFERROR(计算区域!AE211,NA())</f>
        <v>0.10097495607647053</v>
      </c>
      <c r="I209">
        <f ca="1">IFERROR(计算区域!AF211,NA())</f>
        <v>0.16246625145177448</v>
      </c>
      <c r="J209" t="e">
        <f ca="1">IFERROR(计算区域!AG211,NA())</f>
        <v>#N/A</v>
      </c>
      <c r="L209">
        <f ca="1">IFERROR(计算区域!L211,NA())</f>
        <v>0.12119442616958766</v>
      </c>
      <c r="M209">
        <f ca="1">IFERROR(计算区域!M211,NA())</f>
        <v>0.11229305363790856</v>
      </c>
      <c r="N209">
        <f ca="1">IFERROR(计算区域!N211,NA())</f>
        <v>0.16201748295211085</v>
      </c>
      <c r="O209" t="e">
        <f ca="1">IFERROR(计算区域!O211,NA())</f>
        <v>#N/A</v>
      </c>
      <c r="Q209">
        <f ca="1">IFERROR(计算区域!R211,NA())</f>
        <v>0.11850671445991473</v>
      </c>
      <c r="R209">
        <f ca="1">IFERROR(计算区域!S211,NA())</f>
        <v>0.10959979891000077</v>
      </c>
      <c r="S209">
        <f ca="1">IFERROR(计算区域!T211,NA())</f>
        <v>0.1546495119173468</v>
      </c>
      <c r="T209" t="e">
        <f ca="1">IFERROR(计算区域!U211,NA())</f>
        <v>#N/A</v>
      </c>
      <c r="V209">
        <f ca="1">IFERROR(计算区域!X211,NA())</f>
        <v>0.11427294695148521</v>
      </c>
      <c r="W209">
        <f ca="1">IFERROR(计算区域!Y211,NA())</f>
        <v>0.10624296239030652</v>
      </c>
      <c r="X209">
        <f ca="1">IFERROR(计算区域!Z211,NA())</f>
        <v>0.14974681017914271</v>
      </c>
      <c r="Y209" t="e">
        <f ca="1">IFERROR(计算区域!AA211,NA())</f>
        <v>#N/A</v>
      </c>
    </row>
    <row r="210" spans="1:25" x14ac:dyDescent="0.2">
      <c r="A210" s="28">
        <f>计算区域!E212</f>
        <v>45359</v>
      </c>
      <c r="B210">
        <f ca="1">IFERROR(计算区域!AJ212,NA())</f>
        <v>0.10583121145059324</v>
      </c>
      <c r="C210">
        <f ca="1">IFERROR(计算区域!AK212,NA())</f>
        <v>0.12731174675713688</v>
      </c>
      <c r="D210">
        <f ca="1">IFERROR(计算区域!AL212,NA())</f>
        <v>0.1503243155528961</v>
      </c>
      <c r="E210" t="e">
        <f ca="1">IFERROR(计算区域!AM212,NA())</f>
        <v>#N/A</v>
      </c>
      <c r="G210">
        <f ca="1">IFERROR(计算区域!AD212,NA())</f>
        <v>0.10720618816222065</v>
      </c>
      <c r="H210">
        <f ca="1">IFERROR(计算区域!AE212,NA())</f>
        <v>0.12739803854683343</v>
      </c>
      <c r="I210">
        <f ca="1">IFERROR(计算区域!AF212,NA())</f>
        <v>0.16184033771630232</v>
      </c>
      <c r="J210" t="e">
        <f ca="1">IFERROR(计算区域!AG212,NA())</f>
        <v>#N/A</v>
      </c>
      <c r="L210">
        <f ca="1">IFERROR(计算区域!L212,NA())</f>
        <v>0.11585586369210837</v>
      </c>
      <c r="M210">
        <f ca="1">IFERROR(计算区域!M212,NA())</f>
        <v>0.1193889509843972</v>
      </c>
      <c r="N210">
        <f ca="1">IFERROR(计算区域!N212,NA())</f>
        <v>0.17905428932526196</v>
      </c>
      <c r="O210" t="e">
        <f ca="1">IFERROR(计算区域!O212,NA())</f>
        <v>#N/A</v>
      </c>
      <c r="Q210">
        <f ca="1">IFERROR(计算区域!R212,NA())</f>
        <v>0.11515424398573081</v>
      </c>
      <c r="R210">
        <f ca="1">IFERROR(计算区域!S212,NA())</f>
        <v>0.11199332846718192</v>
      </c>
      <c r="S210">
        <f ca="1">IFERROR(计算区域!T212,NA())</f>
        <v>0.17910770241450133</v>
      </c>
      <c r="T210" t="e">
        <f ca="1">IFERROR(计算区域!U212,NA())</f>
        <v>#N/A</v>
      </c>
      <c r="V210">
        <f ca="1">IFERROR(计算区域!X212,NA())</f>
        <v>0.11089162259858837</v>
      </c>
      <c r="W210">
        <f ca="1">IFERROR(计算区域!Y212,NA())</f>
        <v>0.10599980865615317</v>
      </c>
      <c r="X210">
        <f ca="1">IFERROR(计算区域!Z212,NA())</f>
        <v>0.18016521130758267</v>
      </c>
      <c r="Y210" t="e">
        <f ca="1">IFERROR(计算区域!AA212,NA())</f>
        <v>#N/A</v>
      </c>
    </row>
    <row r="211" spans="1:25" x14ac:dyDescent="0.2">
      <c r="A211" s="28">
        <f>计算区域!E213</f>
        <v>45358</v>
      </c>
      <c r="B211">
        <f ca="1">IFERROR(计算区域!AJ213,NA())</f>
        <v>0.1055242428661137</v>
      </c>
      <c r="C211">
        <f ca="1">IFERROR(计算区域!AK213,NA())</f>
        <v>0.12735218978980004</v>
      </c>
      <c r="D211">
        <f ca="1">IFERROR(计算区域!AL213,NA())</f>
        <v>0.1522033458318276</v>
      </c>
      <c r="E211" t="e">
        <f ca="1">IFERROR(计算区域!AM213,NA())</f>
        <v>#N/A</v>
      </c>
      <c r="G211">
        <f ca="1">IFERROR(计算区域!AD213,NA())</f>
        <v>0.1079674329556544</v>
      </c>
      <c r="H211">
        <f ca="1">IFERROR(计算区域!AE213,NA())</f>
        <v>0.12741559911969749</v>
      </c>
      <c r="I211">
        <f ca="1">IFERROR(计算区域!AF213,NA())</f>
        <v>0.16245584695785115</v>
      </c>
      <c r="J211" t="e">
        <f ca="1">IFERROR(计算区域!AG213,NA())</f>
        <v>#N/A</v>
      </c>
      <c r="L211">
        <f ca="1">IFERROR(计算区域!L213,NA())</f>
        <v>0.11529065189239979</v>
      </c>
      <c r="M211">
        <f ca="1">IFERROR(计算区域!M213,NA())</f>
        <v>0.11873081887330679</v>
      </c>
      <c r="N211">
        <f ca="1">IFERROR(计算区域!N213,NA())</f>
        <v>0.18007997227681311</v>
      </c>
      <c r="O211" t="e">
        <f ca="1">IFERROR(计算区域!O213,NA())</f>
        <v>#N/A</v>
      </c>
      <c r="Q211">
        <f ca="1">IFERROR(计算区域!R213,NA())</f>
        <v>0.11343651498054062</v>
      </c>
      <c r="R211">
        <f ca="1">IFERROR(计算区域!S213,NA())</f>
        <v>0.11101155980816628</v>
      </c>
      <c r="S211">
        <f ca="1">IFERROR(计算区域!T213,NA())</f>
        <v>0.18053006341689931</v>
      </c>
      <c r="T211" t="e">
        <f ca="1">IFERROR(计算区域!U213,NA())</f>
        <v>#N/A</v>
      </c>
      <c r="V211">
        <f ca="1">IFERROR(计算区域!X213,NA())</f>
        <v>0.10767497660740682</v>
      </c>
      <c r="W211">
        <f ca="1">IFERROR(计算区域!Y213,NA())</f>
        <v>0.10509707538407929</v>
      </c>
      <c r="X211">
        <f ca="1">IFERROR(计算区域!Z213,NA())</f>
        <v>0.18200449617791731</v>
      </c>
      <c r="Y211" t="e">
        <f ca="1">IFERROR(计算区域!AA213,NA())</f>
        <v>#N/A</v>
      </c>
    </row>
    <row r="212" spans="1:25" x14ac:dyDescent="0.2">
      <c r="A212" s="28">
        <f>计算区域!E214</f>
        <v>45357</v>
      </c>
      <c r="B212">
        <f ca="1">IFERROR(计算区域!AJ214,NA())</f>
        <v>0.10574806975252864</v>
      </c>
      <c r="C212">
        <f ca="1">IFERROR(计算区域!AK214,NA())</f>
        <v>0.13369341328082288</v>
      </c>
      <c r="D212">
        <f ca="1">IFERROR(计算区域!AL214,NA())</f>
        <v>0.15414995023958797</v>
      </c>
      <c r="E212" t="e">
        <f ca="1">IFERROR(计算区域!AM214,NA())</f>
        <v>#N/A</v>
      </c>
      <c r="G212">
        <f ca="1">IFERROR(计算区域!AD214,NA())</f>
        <v>0.12307242345125372</v>
      </c>
      <c r="H212">
        <f ca="1">IFERROR(计算区域!AE214,NA())</f>
        <v>0.13466210528436109</v>
      </c>
      <c r="I212">
        <f ca="1">IFERROR(计算区域!AF214,NA())</f>
        <v>0.16350582676754619</v>
      </c>
      <c r="J212" t="e">
        <f ca="1">IFERROR(计算区域!AG214,NA())</f>
        <v>#N/A</v>
      </c>
      <c r="L212">
        <f ca="1">IFERROR(计算区域!L214,NA())</f>
        <v>0.11639020788541897</v>
      </c>
      <c r="M212">
        <f ca="1">IFERROR(计算区域!M214,NA())</f>
        <v>0.11916340328419139</v>
      </c>
      <c r="N212">
        <f ca="1">IFERROR(计算区域!N214,NA())</f>
        <v>0.18080492678457499</v>
      </c>
      <c r="O212" t="e">
        <f ca="1">IFERROR(计算区域!O214,NA())</f>
        <v>#N/A</v>
      </c>
      <c r="Q212">
        <f ca="1">IFERROR(计算区域!R214,NA())</f>
        <v>0.10469622278725724</v>
      </c>
      <c r="R212">
        <f ca="1">IFERROR(计算区域!S214,NA())</f>
        <v>0.1069676013197019</v>
      </c>
      <c r="S212">
        <f ca="1">IFERROR(计算区域!T214,NA())</f>
        <v>0.18152261539785261</v>
      </c>
      <c r="T212" t="e">
        <f ca="1">IFERROR(计算区域!U214,NA())</f>
        <v>#N/A</v>
      </c>
      <c r="V212">
        <f ca="1">IFERROR(计算区域!X214,NA())</f>
        <v>9.4833788345707312E-2</v>
      </c>
      <c r="W212">
        <f ca="1">IFERROR(计算区域!Y214,NA())</f>
        <v>9.9075341177481929E-2</v>
      </c>
      <c r="X212">
        <f ca="1">IFERROR(计算区域!Z214,NA())</f>
        <v>0.18296998305222947</v>
      </c>
      <c r="Y212" t="e">
        <f ca="1">IFERROR(计算区域!AA214,NA())</f>
        <v>#N/A</v>
      </c>
    </row>
    <row r="213" spans="1:25" x14ac:dyDescent="0.2">
      <c r="A213" s="28">
        <f>计算区域!E215</f>
        <v>45356</v>
      </c>
      <c r="B213">
        <f ca="1">IFERROR(计算区域!AJ215,NA())</f>
        <v>0.10836573958077514</v>
      </c>
      <c r="C213">
        <f ca="1">IFERROR(计算区域!AK215,NA())</f>
        <v>0.15070371751958822</v>
      </c>
      <c r="D213">
        <f ca="1">IFERROR(计算区域!AL215,NA())</f>
        <v>0.16531570407150201</v>
      </c>
      <c r="E213" t="e">
        <f ca="1">IFERROR(计算区域!AM215,NA())</f>
        <v>#N/A</v>
      </c>
      <c r="G213">
        <f ca="1">IFERROR(计算区域!AD215,NA())</f>
        <v>0.12444958560722479</v>
      </c>
      <c r="H213">
        <f ca="1">IFERROR(计算区域!AE215,NA())</f>
        <v>0.15988194235578027</v>
      </c>
      <c r="I213">
        <f ca="1">IFERROR(计算区域!AF215,NA())</f>
        <v>0.1716757354544125</v>
      </c>
      <c r="J213" t="e">
        <f ca="1">IFERROR(计算区域!AG215,NA())</f>
        <v>#N/A</v>
      </c>
      <c r="L213">
        <f ca="1">IFERROR(计算区域!L215,NA())</f>
        <v>0.1251296699775859</v>
      </c>
      <c r="M213">
        <f ca="1">IFERROR(计算区域!M215,NA())</f>
        <v>0.15578211690627458</v>
      </c>
      <c r="N213">
        <f ca="1">IFERROR(计算区域!N215,NA())</f>
        <v>0.18277050693976918</v>
      </c>
      <c r="O213" t="e">
        <f ca="1">IFERROR(计算区域!O215,NA())</f>
        <v>#N/A</v>
      </c>
      <c r="Q213">
        <f ca="1">IFERROR(计算区域!R215,NA())</f>
        <v>0.11655605635407851</v>
      </c>
      <c r="R213">
        <f ca="1">IFERROR(计算区域!S215,NA())</f>
        <v>0.14724368659152384</v>
      </c>
      <c r="S213">
        <f ca="1">IFERROR(计算区域!T215,NA())</f>
        <v>0.18305023991430822</v>
      </c>
      <c r="T213" t="e">
        <f ca="1">IFERROR(计算区域!U215,NA())</f>
        <v>#N/A</v>
      </c>
      <c r="V213">
        <f ca="1">IFERROR(计算区域!X215,NA())</f>
        <v>0.11029556157199918</v>
      </c>
      <c r="W213">
        <f ca="1">IFERROR(计算区域!Y215,NA())</f>
        <v>0.14262435180320995</v>
      </c>
      <c r="X213">
        <f ca="1">IFERROR(计算区域!Z215,NA())</f>
        <v>0.18416473103185671</v>
      </c>
      <c r="Y213" t="e">
        <f ca="1">IFERROR(计算区域!AA215,NA())</f>
        <v>#N/A</v>
      </c>
    </row>
    <row r="214" spans="1:25" x14ac:dyDescent="0.2">
      <c r="A214" s="28">
        <f>计算区域!E216</f>
        <v>45355</v>
      </c>
      <c r="B214">
        <f ca="1">IFERROR(计算区域!AJ216,NA())</f>
        <v>8.1401601708925075E-2</v>
      </c>
      <c r="C214">
        <f ca="1">IFERROR(计算区域!AK216,NA())</f>
        <v>0.14308440682384554</v>
      </c>
      <c r="D214">
        <f ca="1">IFERROR(计算区域!AL216,NA())</f>
        <v>0.16301032384715308</v>
      </c>
      <c r="E214" t="e">
        <f ca="1">IFERROR(计算区域!AM216,NA())</f>
        <v>#N/A</v>
      </c>
      <c r="G214">
        <f ca="1">IFERROR(计算区域!AD216,NA())</f>
        <v>8.8959611830600166E-2</v>
      </c>
      <c r="H214">
        <f ca="1">IFERROR(计算区域!AE216,NA())</f>
        <v>0.14675834936378843</v>
      </c>
      <c r="I214">
        <f ca="1">IFERROR(计算区域!AF216,NA())</f>
        <v>0.16647540465859945</v>
      </c>
      <c r="J214" t="e">
        <f ca="1">IFERROR(计算区域!AG216,NA())</f>
        <v>#N/A</v>
      </c>
      <c r="L214">
        <f ca="1">IFERROR(计算区域!L216,NA())</f>
        <v>0.10262246759884887</v>
      </c>
      <c r="M214">
        <f ca="1">IFERROR(计算区域!M216,NA())</f>
        <v>0.14651689551208952</v>
      </c>
      <c r="N214">
        <f ca="1">IFERROR(计算区域!N216,NA())</f>
        <v>0.17940832432364839</v>
      </c>
      <c r="O214" t="e">
        <f ca="1">IFERROR(计算区域!O216,NA())</f>
        <v>#N/A</v>
      </c>
      <c r="Q214">
        <f ca="1">IFERROR(计算区域!R216,NA())</f>
        <v>9.9901904236813485E-2</v>
      </c>
      <c r="R214">
        <f ca="1">IFERROR(计算区域!S216,NA())</f>
        <v>0.14208302070114825</v>
      </c>
      <c r="S214">
        <f ca="1">IFERROR(计算区域!T216,NA())</f>
        <v>0.18156893049560222</v>
      </c>
      <c r="T214" t="e">
        <f ca="1">IFERROR(计算区域!U216,NA())</f>
        <v>#N/A</v>
      </c>
      <c r="V214">
        <f ca="1">IFERROR(计算区域!X216,NA())</f>
        <v>9.7554229585186225E-2</v>
      </c>
      <c r="W214">
        <f ca="1">IFERROR(计算区域!Y216,NA())</f>
        <v>0.14012608699095921</v>
      </c>
      <c r="X214">
        <f ca="1">IFERROR(计算区域!Z216,NA())</f>
        <v>0.18383738259616786</v>
      </c>
      <c r="Y214" t="e">
        <f ca="1">IFERROR(计算区域!AA216,NA())</f>
        <v>#N/A</v>
      </c>
    </row>
    <row r="215" spans="1:25" x14ac:dyDescent="0.2">
      <c r="A215" s="28">
        <f>计算区域!E217</f>
        <v>45352</v>
      </c>
      <c r="B215">
        <f ca="1">IFERROR(计算区域!AJ217,NA())</f>
        <v>0.15586104943532952</v>
      </c>
      <c r="C215">
        <f ca="1">IFERROR(计算区域!AK217,NA())</f>
        <v>0.1455529704873002</v>
      </c>
      <c r="D215">
        <f ca="1">IFERROR(计算区域!AL217,NA())</f>
        <v>0.16300676444424983</v>
      </c>
      <c r="E215" t="e">
        <f ca="1">IFERROR(计算区域!AM217,NA())</f>
        <v>#N/A</v>
      </c>
      <c r="G215">
        <f ca="1">IFERROR(计算区域!AD217,NA())</f>
        <v>0.1581926633168636</v>
      </c>
      <c r="H215">
        <f ca="1">IFERROR(计算区域!AE217,NA())</f>
        <v>0.15177657811217596</v>
      </c>
      <c r="I215">
        <f ca="1">IFERROR(计算区域!AF217,NA())</f>
        <v>0.16648050869881828</v>
      </c>
      <c r="J215" t="e">
        <f ca="1">IFERROR(计算区域!AG217,NA())</f>
        <v>#N/A</v>
      </c>
      <c r="L215">
        <f ca="1">IFERROR(计算区域!L217,NA())</f>
        <v>0.1228204465163077</v>
      </c>
      <c r="M215">
        <f ca="1">IFERROR(计算区域!M217,NA())</f>
        <v>0.14705185934709214</v>
      </c>
      <c r="N215">
        <f ca="1">IFERROR(计算区域!N217,NA())</f>
        <v>0.18021631780700198</v>
      </c>
      <c r="O215" t="e">
        <f ca="1">IFERROR(计算区域!O217,NA())</f>
        <v>#N/A</v>
      </c>
      <c r="Q215">
        <f ca="1">IFERROR(计算区域!R217,NA())</f>
        <v>0.10874056894458013</v>
      </c>
      <c r="R215">
        <f ca="1">IFERROR(计算区域!S217,NA())</f>
        <v>0.14301060513751393</v>
      </c>
      <c r="S215">
        <f ca="1">IFERROR(计算区域!T217,NA())</f>
        <v>0.18254643522290057</v>
      </c>
      <c r="T215" t="e">
        <f ca="1">IFERROR(计算区域!U217,NA())</f>
        <v>#N/A</v>
      </c>
      <c r="V215">
        <f ca="1">IFERROR(计算区域!X217,NA())</f>
        <v>0.10087104097675614</v>
      </c>
      <c r="W215">
        <f ca="1">IFERROR(计算区域!Y217,NA())</f>
        <v>0.14276234493626744</v>
      </c>
      <c r="X215">
        <f ca="1">IFERROR(计算区域!Z217,NA())</f>
        <v>0.18476401808215712</v>
      </c>
      <c r="Y215" t="e">
        <f ca="1">IFERROR(计算区域!AA217,NA())</f>
        <v>#N/A</v>
      </c>
    </row>
    <row r="216" spans="1:25" x14ac:dyDescent="0.2">
      <c r="A216" s="28">
        <f>计算区域!E218</f>
        <v>45351</v>
      </c>
      <c r="B216">
        <f ca="1">IFERROR(计算区域!AJ218,NA())</f>
        <v>0.15455561465131523</v>
      </c>
      <c r="C216">
        <f ca="1">IFERROR(计算区域!AK218,NA())</f>
        <v>0.14548680467027189</v>
      </c>
      <c r="D216">
        <f ca="1">IFERROR(计算区域!AL218,NA())</f>
        <v>0.17777279666328771</v>
      </c>
      <c r="E216" t="e">
        <f ca="1">IFERROR(计算区域!AM218,NA())</f>
        <v>#N/A</v>
      </c>
      <c r="G216">
        <f ca="1">IFERROR(计算区域!AD218,NA())</f>
        <v>0.15770601429174175</v>
      </c>
      <c r="H216">
        <f ca="1">IFERROR(计算区域!AE218,NA())</f>
        <v>0.15193164228665706</v>
      </c>
      <c r="I216">
        <f ca="1">IFERROR(计算区域!AF218,NA())</f>
        <v>0.18480873868982181</v>
      </c>
      <c r="J216" t="e">
        <f ca="1">IFERROR(计算区域!AG218,NA())</f>
        <v>#N/A</v>
      </c>
      <c r="L216">
        <f ca="1">IFERROR(计算区域!L218,NA())</f>
        <v>0.12207407704700235</v>
      </c>
      <c r="M216">
        <f ca="1">IFERROR(计算区域!M218,NA())</f>
        <v>0.14836001232751589</v>
      </c>
      <c r="N216">
        <f ca="1">IFERROR(计算区域!N218,NA())</f>
        <v>0.18725993620860867</v>
      </c>
      <c r="O216" t="e">
        <f ca="1">IFERROR(计算区域!O218,NA())</f>
        <v>#N/A</v>
      </c>
      <c r="Q216">
        <f ca="1">IFERROR(计算区域!R218,NA())</f>
        <v>0.10853243704604508</v>
      </c>
      <c r="R216">
        <f ca="1">IFERROR(计算区域!S218,NA())</f>
        <v>0.14516324665522809</v>
      </c>
      <c r="S216">
        <f ca="1">IFERROR(计算区域!T218,NA())</f>
        <v>0.18615322329103923</v>
      </c>
      <c r="T216" t="e">
        <f ca="1">IFERROR(计算区域!U218,NA())</f>
        <v>#N/A</v>
      </c>
      <c r="V216">
        <f ca="1">IFERROR(计算区域!X218,NA())</f>
        <v>0.10245433090488701</v>
      </c>
      <c r="W216">
        <f ca="1">IFERROR(计算区域!Y218,NA())</f>
        <v>0.14622102949393753</v>
      </c>
      <c r="X216">
        <f ca="1">IFERROR(计算区域!Z218,NA())</f>
        <v>0.18663923060975399</v>
      </c>
      <c r="Y216" t="e">
        <f ca="1">IFERROR(计算区域!AA218,NA())</f>
        <v>#N/A</v>
      </c>
    </row>
    <row r="217" spans="1:25" x14ac:dyDescent="0.2">
      <c r="A217" s="28">
        <f>计算区域!E219</f>
        <v>45350</v>
      </c>
      <c r="B217">
        <f ca="1">IFERROR(计算区域!AJ219,NA())</f>
        <v>0.15756684616272515</v>
      </c>
      <c r="C217">
        <f ca="1">IFERROR(计算区域!AK219,NA())</f>
        <v>0.15096810663873017</v>
      </c>
      <c r="D217">
        <f ca="1">IFERROR(计算区域!AL219,NA())</f>
        <v>0.18288104232984723</v>
      </c>
      <c r="E217" t="e">
        <f ca="1">IFERROR(计算区域!AM219,NA())</f>
        <v>#N/A</v>
      </c>
      <c r="G217">
        <f ca="1">IFERROR(计算区域!AD219,NA())</f>
        <v>0.16016995484475885</v>
      </c>
      <c r="H217">
        <f ca="1">IFERROR(计算区域!AE219,NA())</f>
        <v>0.15917517098798978</v>
      </c>
      <c r="I217">
        <f ca="1">IFERROR(计算区域!AF219,NA())</f>
        <v>0.19154651358007108</v>
      </c>
      <c r="J217" t="e">
        <f ca="1">IFERROR(计算区域!AG219,NA())</f>
        <v>#N/A</v>
      </c>
      <c r="L217">
        <f ca="1">IFERROR(计算区域!L219,NA())</f>
        <v>0.1218735117772957</v>
      </c>
      <c r="M217">
        <f ca="1">IFERROR(计算区域!M219,NA())</f>
        <v>0.15333120096697453</v>
      </c>
      <c r="N217">
        <f ca="1">IFERROR(计算区域!N219,NA())</f>
        <v>0.19243993741626678</v>
      </c>
      <c r="O217" t="e">
        <f ca="1">IFERROR(计算区域!O219,NA())</f>
        <v>#N/A</v>
      </c>
      <c r="Q217">
        <f ca="1">IFERROR(计算区域!R219,NA())</f>
        <v>0.10919174143799697</v>
      </c>
      <c r="R217">
        <f ca="1">IFERROR(计算区域!S219,NA())</f>
        <v>0.15258562096398814</v>
      </c>
      <c r="S217">
        <f ca="1">IFERROR(计算区域!T219,NA())</f>
        <v>0.19330271501228563</v>
      </c>
      <c r="T217" t="e">
        <f ca="1">IFERROR(计算区域!U219,NA())</f>
        <v>#N/A</v>
      </c>
      <c r="V217">
        <f ca="1">IFERROR(计算区域!X219,NA())</f>
        <v>0.10314261508644464</v>
      </c>
      <c r="W217">
        <f ca="1">IFERROR(计算区域!Y219,NA())</f>
        <v>0.15538112969033263</v>
      </c>
      <c r="X217">
        <f ca="1">IFERROR(计算区域!Z219,NA())</f>
        <v>0.19491201069026179</v>
      </c>
      <c r="Y217" t="e">
        <f ca="1">IFERROR(计算区域!AA219,NA())</f>
        <v>#N/A</v>
      </c>
    </row>
    <row r="218" spans="1:25" x14ac:dyDescent="0.2">
      <c r="A218" s="28">
        <f>计算区域!E220</f>
        <v>45349</v>
      </c>
      <c r="B218">
        <f ca="1">IFERROR(计算区域!AJ220,NA())</f>
        <v>0.19828350941195966</v>
      </c>
      <c r="C218">
        <f ca="1">IFERROR(计算区域!AK220,NA())</f>
        <v>0.18180111299971821</v>
      </c>
      <c r="D218">
        <f ca="1">IFERROR(计算区域!AL220,NA())</f>
        <v>0.18061710550447077</v>
      </c>
      <c r="E218" t="e">
        <f ca="1">IFERROR(计算区域!AM220,NA())</f>
        <v>#N/A</v>
      </c>
      <c r="G218">
        <f ca="1">IFERROR(计算区域!AD220,NA())</f>
        <v>0.20500568406258493</v>
      </c>
      <c r="H218">
        <f ca="1">IFERROR(计算区域!AE220,NA())</f>
        <v>0.20947019141024315</v>
      </c>
      <c r="I218">
        <f ca="1">IFERROR(计算区域!AF220,NA())</f>
        <v>0.19048657726344931</v>
      </c>
      <c r="J218" t="e">
        <f ca="1">IFERROR(计算区域!AG220,NA())</f>
        <v>#N/A</v>
      </c>
      <c r="L218">
        <f ca="1">IFERROR(计算区域!L220,NA())</f>
        <v>0.18132485099097928</v>
      </c>
      <c r="M218">
        <f ca="1">IFERROR(计算区域!M220,NA())</f>
        <v>0.18029520526897216</v>
      </c>
      <c r="N218">
        <f ca="1">IFERROR(计算区域!N220,NA())</f>
        <v>0.19371796654929585</v>
      </c>
      <c r="O218" t="e">
        <f ca="1">IFERROR(计算区域!O220,NA())</f>
        <v>#N/A</v>
      </c>
      <c r="Q218">
        <f ca="1">IFERROR(计算区域!R220,NA())</f>
        <v>0.17255750406548731</v>
      </c>
      <c r="R218">
        <f ca="1">IFERROR(计算区域!S220,NA())</f>
        <v>0.16528026315655375</v>
      </c>
      <c r="S218">
        <f ca="1">IFERROR(计算区域!T220,NA())</f>
        <v>0.19544705087239342</v>
      </c>
      <c r="T218" t="e">
        <f ca="1">IFERROR(计算区域!U220,NA())</f>
        <v>#N/A</v>
      </c>
      <c r="V218">
        <f ca="1">IFERROR(计算区域!X220,NA())</f>
        <v>0.1688736230205562</v>
      </c>
      <c r="W218">
        <f ca="1">IFERROR(计算区域!Y220,NA())</f>
        <v>0.15970521404077181</v>
      </c>
      <c r="X218">
        <f ca="1">IFERROR(计算区域!Z220,NA())</f>
        <v>0.19666995612502919</v>
      </c>
      <c r="Y218" t="e">
        <f ca="1">IFERROR(计算区域!AA220,NA())</f>
        <v>#N/A</v>
      </c>
    </row>
    <row r="219" spans="1:25" x14ac:dyDescent="0.2">
      <c r="A219" s="28">
        <f>计算区域!E221</f>
        <v>45348</v>
      </c>
      <c r="B219">
        <f ca="1">IFERROR(计算区域!AJ221,NA())</f>
        <v>0.19858280087512303</v>
      </c>
      <c r="C219">
        <f ca="1">IFERROR(计算区域!AK221,NA())</f>
        <v>0.18215666215915671</v>
      </c>
      <c r="D219">
        <f ca="1">IFERROR(计算区域!AL221,NA())</f>
        <v>0.1861697189434777</v>
      </c>
      <c r="E219" t="e">
        <f ca="1">IFERROR(计算区域!AM221,NA())</f>
        <v>#N/A</v>
      </c>
      <c r="G219">
        <f ca="1">IFERROR(计算区域!AD221,NA())</f>
        <v>0.20136215373280164</v>
      </c>
      <c r="H219">
        <f ca="1">IFERROR(计算区域!AE221,NA())</f>
        <v>0.21337158473820236</v>
      </c>
      <c r="I219">
        <f ca="1">IFERROR(计算区域!AF221,NA())</f>
        <v>0.19254433602060395</v>
      </c>
      <c r="J219" t="e">
        <f ca="1">IFERROR(计算区域!AG221,NA())</f>
        <v>#N/A</v>
      </c>
      <c r="L219">
        <f ca="1">IFERROR(计算区域!L221,NA())</f>
        <v>0.18000841781684634</v>
      </c>
      <c r="M219">
        <f ca="1">IFERROR(计算区域!M221,NA())</f>
        <v>0.19972380846796622</v>
      </c>
      <c r="N219">
        <f ca="1">IFERROR(计算区域!N221,NA())</f>
        <v>0.19910190526580518</v>
      </c>
      <c r="O219" t="e">
        <f ca="1">IFERROR(计算区域!O221,NA())</f>
        <v>#N/A</v>
      </c>
      <c r="Q219">
        <f ca="1">IFERROR(计算区域!R221,NA())</f>
        <v>0.17434098506370896</v>
      </c>
      <c r="R219">
        <f ca="1">IFERROR(计算区域!S221,NA())</f>
        <v>0.18926390873971344</v>
      </c>
      <c r="S219">
        <f ca="1">IFERROR(计算区域!T221,NA())</f>
        <v>0.20324631581615757</v>
      </c>
      <c r="T219" t="e">
        <f ca="1">IFERROR(计算区域!U221,NA())</f>
        <v>#N/A</v>
      </c>
      <c r="V219">
        <f ca="1">IFERROR(计算区域!X221,NA())</f>
        <v>0.17249293550994058</v>
      </c>
      <c r="W219">
        <f ca="1">IFERROR(计算区域!Y221,NA())</f>
        <v>0.18319565295112303</v>
      </c>
      <c r="X219">
        <f ca="1">IFERROR(计算区域!Z221,NA())</f>
        <v>0.20459159004146052</v>
      </c>
      <c r="Y219" t="e">
        <f ca="1">IFERROR(计算区域!AA221,NA())</f>
        <v>#N/A</v>
      </c>
    </row>
    <row r="220" spans="1:25" x14ac:dyDescent="0.2">
      <c r="A220" s="28">
        <f>计算区域!E222</f>
        <v>45345</v>
      </c>
      <c r="B220">
        <f ca="1">IFERROR(计算区域!AJ222,NA())</f>
        <v>0.11317423708562156</v>
      </c>
      <c r="C220">
        <f ca="1">IFERROR(计算区域!AK222,NA())</f>
        <v>0.15069497435661935</v>
      </c>
      <c r="D220">
        <f ca="1">IFERROR(计算区域!AL222,NA())</f>
        <v>0.17126621551407328</v>
      </c>
      <c r="E220" t="e">
        <f ca="1">IFERROR(计算区域!AM222,NA())</f>
        <v>#N/A</v>
      </c>
      <c r="G220">
        <f ca="1">IFERROR(计算区域!AD222,NA())</f>
        <v>0.16372651897435769</v>
      </c>
      <c r="H220">
        <f ca="1">IFERROR(计算区域!AE222,NA())</f>
        <v>0.19764762732931915</v>
      </c>
      <c r="I220">
        <f ca="1">IFERROR(计算区域!AF222,NA())</f>
        <v>0.18333214052412256</v>
      </c>
      <c r="J220" t="e">
        <f ca="1">IFERROR(计算区域!AG222,NA())</f>
        <v>#N/A</v>
      </c>
      <c r="L220">
        <f ca="1">IFERROR(计算区域!L222,NA())</f>
        <v>0.16782025084121621</v>
      </c>
      <c r="M220">
        <f ca="1">IFERROR(计算区域!M222,NA())</f>
        <v>0.22330955070125066</v>
      </c>
      <c r="N220">
        <f ca="1">IFERROR(计算区域!N222,NA())</f>
        <v>0.1984532968914606</v>
      </c>
      <c r="O220" t="e">
        <f ca="1">IFERROR(计算区域!O222,NA())</f>
        <v>#N/A</v>
      </c>
      <c r="Q220">
        <f ca="1">IFERROR(计算区域!R222,NA())</f>
        <v>0.17052728529242725</v>
      </c>
      <c r="R220">
        <f ca="1">IFERROR(计算区域!S222,NA())</f>
        <v>0.227192941147486</v>
      </c>
      <c r="S220">
        <f ca="1">IFERROR(计算区域!T222,NA())</f>
        <v>0.20400648102373622</v>
      </c>
      <c r="T220" t="e">
        <f ca="1">IFERROR(计算区域!U222,NA())</f>
        <v>#N/A</v>
      </c>
      <c r="V220">
        <f ca="1">IFERROR(计算区域!X222,NA())</f>
        <v>0.17489198768288156</v>
      </c>
      <c r="W220">
        <f ca="1">IFERROR(计算区域!Y222,NA())</f>
        <v>0.23169602347876136</v>
      </c>
      <c r="X220">
        <f ca="1">IFERROR(计算区域!Z222,NA())</f>
        <v>0.20580179285552219</v>
      </c>
      <c r="Y220" t="e">
        <f ca="1">IFERROR(计算区域!AA222,NA())</f>
        <v>#N/A</v>
      </c>
    </row>
    <row r="221" spans="1:25" x14ac:dyDescent="0.2">
      <c r="A221" s="28">
        <f>计算区域!E223</f>
        <v>45344</v>
      </c>
      <c r="B221">
        <f ca="1">IFERROR(计算区域!AJ223,NA())</f>
        <v>0.10784565668463252</v>
      </c>
      <c r="C221">
        <f ca="1">IFERROR(计算区域!AK223,NA())</f>
        <v>0.15781666111276615</v>
      </c>
      <c r="D221">
        <f ca="1">IFERROR(计算区域!AL223,NA())</f>
        <v>0.17713175144651785</v>
      </c>
      <c r="E221" t="e">
        <f ca="1">IFERROR(计算区域!AM223,NA())</f>
        <v>#N/A</v>
      </c>
      <c r="G221">
        <f ca="1">IFERROR(计算区域!AD223,NA())</f>
        <v>0.16451767957892724</v>
      </c>
      <c r="H221">
        <f ca="1">IFERROR(计算区域!AE223,NA())</f>
        <v>0.19869952969630053</v>
      </c>
      <c r="I221">
        <f ca="1">IFERROR(计算区域!AF223,NA())</f>
        <v>0.19408680862201383</v>
      </c>
      <c r="J221" t="e">
        <f ca="1">IFERROR(计算区域!AG223,NA())</f>
        <v>#N/A</v>
      </c>
      <c r="L221">
        <f ca="1">IFERROR(计算区域!L223,NA())</f>
        <v>0.1706437992684289</v>
      </c>
      <c r="M221">
        <f ca="1">IFERROR(计算区域!M223,NA())</f>
        <v>0.22530109959809247</v>
      </c>
      <c r="N221">
        <f ca="1">IFERROR(计算区域!N223,NA())</f>
        <v>0.21190788512525582</v>
      </c>
      <c r="O221" t="e">
        <f ca="1">IFERROR(计算区域!O223,NA())</f>
        <v>#N/A</v>
      </c>
      <c r="Q221">
        <f ca="1">IFERROR(计算区域!R223,NA())</f>
        <v>0.17425684051944543</v>
      </c>
      <c r="R221">
        <f ca="1">IFERROR(计算区域!S223,NA())</f>
        <v>0.2299100719489629</v>
      </c>
      <c r="S221">
        <f ca="1">IFERROR(计算区域!T223,NA())</f>
        <v>0.21686033939801855</v>
      </c>
      <c r="T221" t="e">
        <f ca="1">IFERROR(计算区域!U223,NA())</f>
        <v>#N/A</v>
      </c>
      <c r="V221">
        <f ca="1">IFERROR(计算区域!X223,NA())</f>
        <v>0.17962262945232099</v>
      </c>
      <c r="W221">
        <f ca="1">IFERROR(计算区域!Y223,NA())</f>
        <v>0.23495931137894535</v>
      </c>
      <c r="X221">
        <f ca="1">IFERROR(计算区域!Z223,NA())</f>
        <v>0.21866265490660311</v>
      </c>
      <c r="Y221" t="e">
        <f ca="1">IFERROR(计算区域!AA223,NA())</f>
        <v>#N/A</v>
      </c>
    </row>
    <row r="222" spans="1:25" x14ac:dyDescent="0.2">
      <c r="A222" s="28">
        <f>计算区域!E224</f>
        <v>45343</v>
      </c>
      <c r="B222">
        <f ca="1">IFERROR(计算区域!AJ224,NA())</f>
        <v>0.11364899404368692</v>
      </c>
      <c r="C222">
        <f ca="1">IFERROR(计算区域!AK224,NA())</f>
        <v>0.17061327421856831</v>
      </c>
      <c r="D222">
        <f ca="1">IFERROR(计算区域!AL224,NA())</f>
        <v>0.19999030128882331</v>
      </c>
      <c r="E222" t="e">
        <f ca="1">IFERROR(计算区域!AM224,NA())</f>
        <v>#N/A</v>
      </c>
      <c r="G222">
        <f ca="1">IFERROR(计算区域!AD224,NA())</f>
        <v>0.17706845977729468</v>
      </c>
      <c r="H222">
        <f ca="1">IFERROR(计算区域!AE224,NA())</f>
        <v>0.19571635057889561</v>
      </c>
      <c r="I222">
        <f ca="1">IFERROR(计算区域!AF224,NA())</f>
        <v>0.20724819198652544</v>
      </c>
      <c r="J222" t="e">
        <f ca="1">IFERROR(计算区域!AG224,NA())</f>
        <v>#N/A</v>
      </c>
      <c r="L222">
        <f ca="1">IFERROR(计算区域!L224,NA())</f>
        <v>0.17935373290516934</v>
      </c>
      <c r="M222">
        <f ca="1">IFERROR(计算区域!M224,NA())</f>
        <v>0.22623201899130063</v>
      </c>
      <c r="N222">
        <f ca="1">IFERROR(计算区域!N224,NA())</f>
        <v>0.21438273664893612</v>
      </c>
      <c r="O222" t="e">
        <f ca="1">IFERROR(计算区域!O224,NA())</f>
        <v>#N/A</v>
      </c>
      <c r="Q222">
        <f ca="1">IFERROR(计算区域!R224,NA())</f>
        <v>0.18612336514169667</v>
      </c>
      <c r="R222">
        <f ca="1">IFERROR(计算区域!S224,NA())</f>
        <v>0.2333642047737029</v>
      </c>
      <c r="S222">
        <f ca="1">IFERROR(计算区域!T224,NA())</f>
        <v>0.21781929619771828</v>
      </c>
      <c r="T222" t="e">
        <f ca="1">IFERROR(计算区域!U224,NA())</f>
        <v>#N/A</v>
      </c>
      <c r="V222">
        <f ca="1">IFERROR(计算区域!X224,NA())</f>
        <v>0.19403141982889643</v>
      </c>
      <c r="W222">
        <f ca="1">IFERROR(计算区域!Y224,NA())</f>
        <v>0.23903996771843791</v>
      </c>
      <c r="X222">
        <f ca="1">IFERROR(计算区域!Z224,NA())</f>
        <v>0.21894580857012508</v>
      </c>
      <c r="Y222" t="e">
        <f ca="1">IFERROR(计算区域!AA224,NA())</f>
        <v>#N/A</v>
      </c>
    </row>
    <row r="223" spans="1:25" x14ac:dyDescent="0.2">
      <c r="A223" s="28">
        <f>计算区域!E225</f>
        <v>45342</v>
      </c>
      <c r="B223">
        <f ca="1">IFERROR(计算区域!AJ225,NA())</f>
        <v>0.16808826905892885</v>
      </c>
      <c r="C223">
        <f ca="1">IFERROR(计算区域!AK225,NA())</f>
        <v>0.18685724510128901</v>
      </c>
      <c r="D223">
        <f ca="1">IFERROR(计算区域!AL225,NA())</f>
        <v>0.1934915368741271</v>
      </c>
      <c r="E223" t="e">
        <f ca="1">IFERROR(计算区域!AM225,NA())</f>
        <v>#N/A</v>
      </c>
      <c r="G223">
        <f ca="1">IFERROR(计算区域!AD225,NA())</f>
        <v>0.23811264551316966</v>
      </c>
      <c r="H223">
        <f ca="1">IFERROR(计算区域!AE225,NA())</f>
        <v>0.19146177028016781</v>
      </c>
      <c r="I223">
        <f ca="1">IFERROR(计算区域!AF225,NA())</f>
        <v>0.1985825900713705</v>
      </c>
      <c r="J223" t="e">
        <f ca="1">IFERROR(计算区域!AG225,NA())</f>
        <v>#N/A</v>
      </c>
      <c r="L223">
        <f ca="1">IFERROR(计算区域!L225,NA())</f>
        <v>0.17925964548403187</v>
      </c>
      <c r="M223">
        <f ca="1">IFERROR(计算区域!M225,NA())</f>
        <v>0.20625723857901385</v>
      </c>
      <c r="N223">
        <f ca="1">IFERROR(计算区域!N225,NA())</f>
        <v>0.20338148072718726</v>
      </c>
      <c r="O223" t="e">
        <f ca="1">IFERROR(计算区域!O225,NA())</f>
        <v>#N/A</v>
      </c>
      <c r="Q223">
        <f ca="1">IFERROR(计算区域!R225,NA())</f>
        <v>0.15766749369761876</v>
      </c>
      <c r="R223">
        <f ca="1">IFERROR(计算区域!S225,NA())</f>
        <v>0.21291800634119395</v>
      </c>
      <c r="S223">
        <f ca="1">IFERROR(计算区域!T225,NA())</f>
        <v>0.20682782703898472</v>
      </c>
      <c r="T223" t="e">
        <f ca="1">IFERROR(计算区域!U225,NA())</f>
        <v>#N/A</v>
      </c>
      <c r="V223">
        <f ca="1">IFERROR(计算区域!X225,NA())</f>
        <v>0.14997736573072801</v>
      </c>
      <c r="W223">
        <f ca="1">IFERROR(计算区域!Y225,NA())</f>
        <v>0.21792565380144313</v>
      </c>
      <c r="X223">
        <f ca="1">IFERROR(计算区域!Z225,NA())</f>
        <v>0.20775797294805107</v>
      </c>
      <c r="Y223" t="e">
        <f ca="1">IFERROR(计算区域!AA225,NA())</f>
        <v>#N/A</v>
      </c>
    </row>
    <row r="224" spans="1:25" x14ac:dyDescent="0.2">
      <c r="A224" s="28">
        <f>计算区域!E226</f>
        <v>45341</v>
      </c>
      <c r="B224">
        <f ca="1">IFERROR(计算区域!AJ226,NA())</f>
        <v>0.14469622889777073</v>
      </c>
      <c r="C224">
        <f ca="1">IFERROR(计算区域!AK226,NA())</f>
        <v>0.18872041382784674</v>
      </c>
      <c r="D224">
        <f ca="1">IFERROR(计算区域!AL226,NA())</f>
        <v>0.19340828648414587</v>
      </c>
      <c r="E224" t="e">
        <f ca="1">IFERROR(计算区域!AM226,NA())</f>
        <v>#N/A</v>
      </c>
      <c r="G224">
        <f ca="1">IFERROR(计算区域!AD226,NA())</f>
        <v>0.24877702402933888</v>
      </c>
      <c r="H224">
        <f ca="1">IFERROR(计算区域!AE226,NA())</f>
        <v>0.19227440714792962</v>
      </c>
      <c r="I224">
        <f ca="1">IFERROR(计算区域!AF226,NA())</f>
        <v>0.19857696509519068</v>
      </c>
      <c r="J224" t="e">
        <f ca="1">IFERROR(计算区域!AG226,NA())</f>
        <v>#N/A</v>
      </c>
      <c r="L224">
        <f ca="1">IFERROR(计算区域!L226,NA())</f>
        <v>0.21766067364816591</v>
      </c>
      <c r="M224">
        <f ca="1">IFERROR(计算区域!M226,NA())</f>
        <v>0.20714123926137515</v>
      </c>
      <c r="N224">
        <f ca="1">IFERROR(计算区域!N226,NA())</f>
        <v>0.20497501371673102</v>
      </c>
      <c r="O224" t="e">
        <f ca="1">IFERROR(计算区域!O226,NA())</f>
        <v>#N/A</v>
      </c>
      <c r="Q224">
        <f ca="1">IFERROR(计算区域!R226,NA())</f>
        <v>0.20309326731796093</v>
      </c>
      <c r="R224">
        <f ca="1">IFERROR(计算区域!S226,NA())</f>
        <v>0.21388540920565557</v>
      </c>
      <c r="S224">
        <f ca="1">IFERROR(计算区域!T226,NA())</f>
        <v>0.2088545662199075</v>
      </c>
      <c r="T224" t="e">
        <f ca="1">IFERROR(计算区域!U226,NA())</f>
        <v>#N/A</v>
      </c>
      <c r="V224">
        <f ca="1">IFERROR(计算区域!X226,NA())</f>
        <v>0.19330670376254439</v>
      </c>
      <c r="W224">
        <f ca="1">IFERROR(计算区域!Y226,NA())</f>
        <v>0.2189909729286158</v>
      </c>
      <c r="X224">
        <f ca="1">IFERROR(计算区域!Z226,NA())</f>
        <v>0.21045077104482127</v>
      </c>
      <c r="Y224" t="e">
        <f ca="1">IFERROR(计算区域!AA226,NA())</f>
        <v>#N/A</v>
      </c>
    </row>
    <row r="225" spans="1:25" x14ac:dyDescent="0.2">
      <c r="A225" s="28">
        <f>计算区域!E227</f>
        <v>45330</v>
      </c>
      <c r="B225">
        <f ca="1">IFERROR(计算区域!AJ227,NA())</f>
        <v>0.19412847140538556</v>
      </c>
      <c r="C225">
        <f ca="1">IFERROR(计算区域!AK227,NA())</f>
        <v>0.18647436235504256</v>
      </c>
      <c r="D225">
        <f ca="1">IFERROR(计算区域!AL227,NA())</f>
        <v>0.19310296721431019</v>
      </c>
      <c r="E225" t="e">
        <f ca="1">IFERROR(计算区域!AM227,NA())</f>
        <v>#N/A</v>
      </c>
      <c r="G225">
        <f ca="1">IFERROR(计算区域!AD227,NA())</f>
        <v>0.24716177356052754</v>
      </c>
      <c r="H225">
        <f ca="1">IFERROR(计算区域!AE227,NA())</f>
        <v>0.18834786633742828</v>
      </c>
      <c r="I225">
        <f ca="1">IFERROR(计算区域!AF227,NA())</f>
        <v>0.19678995778783862</v>
      </c>
      <c r="J225" t="e">
        <f ca="1">IFERROR(计算区域!AG227,NA())</f>
        <v>#N/A</v>
      </c>
      <c r="L225">
        <f ca="1">IFERROR(计算区域!L227,NA())</f>
        <v>0.26752695990568903</v>
      </c>
      <c r="M225">
        <f ca="1">IFERROR(计算区域!M227,NA())</f>
        <v>0.2081624199282659</v>
      </c>
      <c r="N225">
        <f ca="1">IFERROR(计算区域!N227,NA())</f>
        <v>0.20516509984863868</v>
      </c>
      <c r="O225" t="e">
        <f ca="1">IFERROR(计算区域!O227,NA())</f>
        <v>#N/A</v>
      </c>
      <c r="Q225">
        <f ca="1">IFERROR(计算区域!R227,NA())</f>
        <v>0.27231178818641916</v>
      </c>
      <c r="R225">
        <f ca="1">IFERROR(计算区域!S227,NA())</f>
        <v>0.21492875294706229</v>
      </c>
      <c r="S225">
        <f ca="1">IFERROR(计算区域!T227,NA())</f>
        <v>0.20912358431364941</v>
      </c>
      <c r="T225" t="e">
        <f ca="1">IFERROR(计算区域!U227,NA())</f>
        <v>#N/A</v>
      </c>
      <c r="V225">
        <f ca="1">IFERROR(计算区域!X227,NA())</f>
        <v>0.27709003453042524</v>
      </c>
      <c r="W225">
        <f ca="1">IFERROR(计算区域!Y227,NA())</f>
        <v>0.21884788695353119</v>
      </c>
      <c r="X225">
        <f ca="1">IFERROR(计算区域!Z227,NA())</f>
        <v>0.21048925784716199</v>
      </c>
      <c r="Y225" t="e">
        <f ca="1">IFERROR(计算区域!AA227,NA())</f>
        <v>#N/A</v>
      </c>
    </row>
    <row r="226" spans="1:25" x14ac:dyDescent="0.2">
      <c r="A226" s="28">
        <f>计算区域!E228</f>
        <v>45329</v>
      </c>
      <c r="B226">
        <f ca="1">IFERROR(计算区域!AJ228,NA())</f>
        <v>0.21066314427446672</v>
      </c>
      <c r="C226">
        <f ca="1">IFERROR(计算区域!AK228,NA())</f>
        <v>0.21311923550570702</v>
      </c>
      <c r="D226">
        <f ca="1">IFERROR(计算区域!AL228,NA())</f>
        <v>0.19310151511590826</v>
      </c>
      <c r="E226" t="e">
        <f ca="1">IFERROR(计算区域!AM228,NA())</f>
        <v>#N/A</v>
      </c>
      <c r="G226">
        <f ca="1">IFERROR(计算区域!AD228,NA())</f>
        <v>0.24853031019256022</v>
      </c>
      <c r="H226">
        <f ca="1">IFERROR(计算区域!AE228,NA())</f>
        <v>0.22140513711671631</v>
      </c>
      <c r="I226">
        <f ca="1">IFERROR(计算区域!AF228,NA())</f>
        <v>0.19680426461118003</v>
      </c>
      <c r="J226" t="e">
        <f ca="1">IFERROR(计算区域!AG228,NA())</f>
        <v>#N/A</v>
      </c>
      <c r="L226">
        <f ca="1">IFERROR(计算区域!L228,NA())</f>
        <v>0.26907594602910029</v>
      </c>
      <c r="M226">
        <f ca="1">IFERROR(计算区域!M228,NA())</f>
        <v>0.21936698511828004</v>
      </c>
      <c r="N226">
        <f ca="1">IFERROR(计算区域!N228,NA())</f>
        <v>0.20497461444924236</v>
      </c>
      <c r="O226" t="e">
        <f ca="1">IFERROR(计算区域!O228,NA())</f>
        <v>#N/A</v>
      </c>
      <c r="Q226">
        <f ca="1">IFERROR(计算区域!R228,NA())</f>
        <v>0.27450288869032902</v>
      </c>
      <c r="R226">
        <f ca="1">IFERROR(计算区域!S228,NA())</f>
        <v>0.21962166765553992</v>
      </c>
      <c r="S226">
        <f ca="1">IFERROR(计算区域!T228,NA())</f>
        <v>0.208808173568132</v>
      </c>
      <c r="T226" t="e">
        <f ca="1">IFERROR(计算区域!U228,NA())</f>
        <v>#N/A</v>
      </c>
      <c r="V226">
        <f ca="1">IFERROR(计算区域!X228,NA())</f>
        <v>0.27954868448263276</v>
      </c>
      <c r="W226">
        <f ca="1">IFERROR(计算区域!Y228,NA())</f>
        <v>0.21974488694605593</v>
      </c>
      <c r="X226">
        <f ca="1">IFERROR(计算区域!Z228,NA())</f>
        <v>0.20977513051411067</v>
      </c>
      <c r="Y226" t="e">
        <f ca="1">IFERROR(计算区域!AA228,NA())</f>
        <v>#N/A</v>
      </c>
    </row>
    <row r="227" spans="1:25" x14ac:dyDescent="0.2">
      <c r="A227" s="28">
        <f>计算区域!E229</f>
        <v>45328</v>
      </c>
      <c r="B227">
        <f ca="1">IFERROR(计算区域!AJ229,NA())</f>
        <v>0.22418138475745258</v>
      </c>
      <c r="C227">
        <f ca="1">IFERROR(计算区域!AK229,NA())</f>
        <v>0.21837004809586161</v>
      </c>
      <c r="D227">
        <f ca="1">IFERROR(计算区域!AL229,NA())</f>
        <v>0.19088396717412334</v>
      </c>
      <c r="E227" t="e">
        <f ca="1">IFERROR(计算区域!AM229,NA())</f>
        <v>#N/A</v>
      </c>
      <c r="G227">
        <f ca="1">IFERROR(计算区域!AD229,NA())</f>
        <v>0.23416396561153294</v>
      </c>
      <c r="H227">
        <f ca="1">IFERROR(计算区域!AE229,NA())</f>
        <v>0.22829821016902543</v>
      </c>
      <c r="I227">
        <f ca="1">IFERROR(计算区域!AF229,NA())</f>
        <v>0.19246551669022463</v>
      </c>
      <c r="J227" t="e">
        <f ca="1">IFERROR(计算区域!AG229,NA())</f>
        <v>#N/A</v>
      </c>
      <c r="L227">
        <f ca="1">IFERROR(计算区域!L229,NA())</f>
        <v>0.26494167533014051</v>
      </c>
      <c r="M227">
        <f ca="1">IFERROR(计算区域!M229,NA())</f>
        <v>0.22484617371789675</v>
      </c>
      <c r="N227">
        <f ca="1">IFERROR(计算区域!N229,NA())</f>
        <v>0.20289651703895872</v>
      </c>
      <c r="O227" t="e">
        <f ca="1">IFERROR(计算区域!O229,NA())</f>
        <v>#N/A</v>
      </c>
      <c r="Q227">
        <f ca="1">IFERROR(计算区域!R229,NA())</f>
        <v>0.27253586385585321</v>
      </c>
      <c r="R227">
        <f ca="1">IFERROR(计算区域!S229,NA())</f>
        <v>0.22682483888956245</v>
      </c>
      <c r="S227">
        <f ca="1">IFERROR(计算区域!T229,NA())</f>
        <v>0.20720549270999991</v>
      </c>
      <c r="T227" t="e">
        <f ca="1">IFERROR(计算区域!U229,NA())</f>
        <v>#N/A</v>
      </c>
      <c r="V227">
        <f ca="1">IFERROR(计算区域!X229,NA())</f>
        <v>0.2768248913173203</v>
      </c>
      <c r="W227">
        <f ca="1">IFERROR(计算区域!Y229,NA())</f>
        <v>0.22767979347934567</v>
      </c>
      <c r="X227">
        <f ca="1">IFERROR(计算区域!Z229,NA())</f>
        <v>0.20839348103149768</v>
      </c>
      <c r="Y227" t="e">
        <f ca="1">IFERROR(计算区域!AA229,NA())</f>
        <v>#N/A</v>
      </c>
    </row>
    <row r="228" spans="1:25" x14ac:dyDescent="0.2">
      <c r="A228" s="28">
        <f>计算区域!E230</f>
        <v>45327</v>
      </c>
      <c r="B228">
        <f ca="1">IFERROR(计算区域!AJ230,NA())</f>
        <v>0.13915261554530836</v>
      </c>
      <c r="C228">
        <f ca="1">IFERROR(计算区域!AK230,NA())</f>
        <v>0.1797548948880747</v>
      </c>
      <c r="D228">
        <f ca="1">IFERROR(计算区域!AL230,NA())</f>
        <v>0.16681633919591363</v>
      </c>
      <c r="E228" t="e">
        <f ca="1">IFERROR(计算区域!AM230,NA())</f>
        <v>#N/A</v>
      </c>
      <c r="G228">
        <f ca="1">IFERROR(计算区域!AD230,NA())</f>
        <v>0.16056770962449149</v>
      </c>
      <c r="H228">
        <f ca="1">IFERROR(计算区域!AE230,NA())</f>
        <v>0.18089829445432143</v>
      </c>
      <c r="I228">
        <f ca="1">IFERROR(计算区域!AF230,NA())</f>
        <v>0.16686117661048755</v>
      </c>
      <c r="J228" t="e">
        <f ca="1">IFERROR(计算区域!AG230,NA())</f>
        <v>#N/A</v>
      </c>
      <c r="L228">
        <f ca="1">IFERROR(计算区域!L230,NA())</f>
        <v>0.23010883606115537</v>
      </c>
      <c r="M228">
        <f ca="1">IFERROR(计算区域!M230,NA())</f>
        <v>0.20626909629173104</v>
      </c>
      <c r="N228">
        <f ca="1">IFERROR(计算区域!N230,NA())</f>
        <v>0.19014210610856491</v>
      </c>
      <c r="O228" t="e">
        <f ca="1">IFERROR(计算区域!O230,NA())</f>
        <v>#N/A</v>
      </c>
      <c r="Q228">
        <f ca="1">IFERROR(计算区域!R230,NA())</f>
        <v>0.25653287563142618</v>
      </c>
      <c r="R228">
        <f ca="1">IFERROR(计算区域!S230,NA())</f>
        <v>0.22154352619819934</v>
      </c>
      <c r="S228">
        <f ca="1">IFERROR(计算区域!T230,NA())</f>
        <v>0.20088791759672159</v>
      </c>
      <c r="T228" t="e">
        <f ca="1">IFERROR(计算区域!U230,NA())</f>
        <v>#N/A</v>
      </c>
      <c r="V228">
        <f ca="1">IFERROR(计算区域!X230,NA())</f>
        <v>0.26923961621211012</v>
      </c>
      <c r="W228">
        <f ca="1">IFERROR(计算区域!Y230,NA())</f>
        <v>0.22771119404331683</v>
      </c>
      <c r="X228">
        <f ca="1">IFERROR(计算区域!Z230,NA())</f>
        <v>0.20512774136629433</v>
      </c>
      <c r="Y228" t="e">
        <f ca="1">IFERROR(计算区域!AA230,NA())</f>
        <v>#N/A</v>
      </c>
    </row>
    <row r="229" spans="1:25" x14ac:dyDescent="0.2">
      <c r="A229" s="28">
        <f>计算区域!E231</f>
        <v>45324</v>
      </c>
      <c r="B229">
        <f ca="1">IFERROR(计算区域!AJ231,NA())</f>
        <v>7.6409737212165041E-2</v>
      </c>
      <c r="C229">
        <f ca="1">IFERROR(计算区域!AK231,NA())</f>
        <v>0.18065264098956085</v>
      </c>
      <c r="D229">
        <f ca="1">IFERROR(计算区域!AL231,NA())</f>
        <v>0.16772672274705119</v>
      </c>
      <c r="E229" t="e">
        <f ca="1">IFERROR(计算区域!AM231,NA())</f>
        <v>#N/A</v>
      </c>
      <c r="G229">
        <f ca="1">IFERROR(计算区域!AD231,NA())</f>
        <v>0.14591521344364097</v>
      </c>
      <c r="H229">
        <f ca="1">IFERROR(计算区域!AE231,NA())</f>
        <v>0.18093774459602355</v>
      </c>
      <c r="I229">
        <f ca="1">IFERROR(计算区域!AF231,NA())</f>
        <v>0.16817687398246658</v>
      </c>
      <c r="J229" t="e">
        <f ca="1">IFERROR(计算区域!AG231,NA())</f>
        <v>#N/A</v>
      </c>
      <c r="L229">
        <f ca="1">IFERROR(计算区域!L231,NA())</f>
        <v>0.19605819838125391</v>
      </c>
      <c r="M229">
        <f ca="1">IFERROR(计算区域!M231,NA())</f>
        <v>0.19847805342656524</v>
      </c>
      <c r="N229">
        <f ca="1">IFERROR(计算区域!N231,NA())</f>
        <v>0.18192453990923385</v>
      </c>
      <c r="O229" t="e">
        <f ca="1">IFERROR(计算区域!O231,NA())</f>
        <v>#N/A</v>
      </c>
      <c r="Q229">
        <f ca="1">IFERROR(计算区域!R231,NA())</f>
        <v>0.22415856287962035</v>
      </c>
      <c r="R229">
        <f ca="1">IFERROR(计算区域!S231,NA())</f>
        <v>0.21632684214920711</v>
      </c>
      <c r="S229">
        <f ca="1">IFERROR(计算区域!T231,NA())</f>
        <v>0.19201215310656072</v>
      </c>
      <c r="T229" t="e">
        <f ca="1">IFERROR(计算区域!U231,NA())</f>
        <v>#N/A</v>
      </c>
      <c r="V229">
        <f ca="1">IFERROR(计算区域!X231,NA())</f>
        <v>0.24196406908651416</v>
      </c>
      <c r="W229">
        <f ca="1">IFERROR(计算区域!Y231,NA())</f>
        <v>0.22395265162796754</v>
      </c>
      <c r="X229">
        <f ca="1">IFERROR(计算区域!Z231,NA())</f>
        <v>0.19699246147058852</v>
      </c>
      <c r="Y229" t="e">
        <f ca="1">IFERROR(计算区域!AA231,NA())</f>
        <v>#N/A</v>
      </c>
    </row>
    <row r="230" spans="1:25" x14ac:dyDescent="0.2">
      <c r="A230" s="28">
        <f>计算区域!E232</f>
        <v>45323</v>
      </c>
      <c r="B230">
        <f ca="1">IFERROR(计算区域!AJ232,NA())</f>
        <v>9.677749913641695E-2</v>
      </c>
      <c r="C230">
        <f ca="1">IFERROR(计算区域!AK232,NA())</f>
        <v>0.17846234712140374</v>
      </c>
      <c r="D230">
        <f ca="1">IFERROR(计算区域!AL232,NA())</f>
        <v>0.16702882211185016</v>
      </c>
      <c r="E230" t="e">
        <f ca="1">IFERROR(计算区域!AM232,NA())</f>
        <v>#N/A</v>
      </c>
      <c r="G230">
        <f ca="1">IFERROR(计算区域!AD232,NA())</f>
        <v>0.1368562197585606</v>
      </c>
      <c r="H230">
        <f ca="1">IFERROR(计算区域!AE232,NA())</f>
        <v>0.17858130421425875</v>
      </c>
      <c r="I230">
        <f ca="1">IFERROR(计算区域!AF232,NA())</f>
        <v>0.16737953595017716</v>
      </c>
      <c r="J230" t="e">
        <f ca="1">IFERROR(计算区域!AG232,NA())</f>
        <v>#N/A</v>
      </c>
      <c r="L230">
        <f ca="1">IFERROR(计算区域!L232,NA())</f>
        <v>0.12285158470448505</v>
      </c>
      <c r="M230">
        <f ca="1">IFERROR(计算区域!M232,NA())</f>
        <v>0.17000078429167897</v>
      </c>
      <c r="N230">
        <f ca="1">IFERROR(计算区域!N232,NA())</f>
        <v>0.16773154647432958</v>
      </c>
      <c r="O230" t="e">
        <f ca="1">IFERROR(计算区域!O232,NA())</f>
        <v>#N/A</v>
      </c>
      <c r="Q230">
        <f ca="1">IFERROR(计算区域!R232,NA())</f>
        <v>0.13503713452777893</v>
      </c>
      <c r="R230">
        <f ca="1">IFERROR(计算区域!S232,NA())</f>
        <v>0.17782197865317739</v>
      </c>
      <c r="S230">
        <f ca="1">IFERROR(计算区域!T232,NA())</f>
        <v>0.17363221467146678</v>
      </c>
      <c r="T230" t="e">
        <f ca="1">IFERROR(计算区域!U232,NA())</f>
        <v>#N/A</v>
      </c>
      <c r="V230">
        <f ca="1">IFERROR(计算区域!X232,NA())</f>
        <v>0.13787642297354133</v>
      </c>
      <c r="W230">
        <f ca="1">IFERROR(计算区域!Y232,NA())</f>
        <v>0.17614116097387281</v>
      </c>
      <c r="X230">
        <f ca="1">IFERROR(计算区域!Z232,NA())</f>
        <v>0.1742106337697647</v>
      </c>
      <c r="Y230" t="e">
        <f ca="1">IFERROR(计算区域!AA232,NA())</f>
        <v>#N/A</v>
      </c>
    </row>
    <row r="231" spans="1:25" x14ac:dyDescent="0.2">
      <c r="A231" s="28">
        <f>计算区域!E233</f>
        <v>45322</v>
      </c>
      <c r="B231">
        <f ca="1">IFERROR(计算区域!AJ233,NA())</f>
        <v>0.22024362322017951</v>
      </c>
      <c r="C231">
        <f ca="1">IFERROR(计算区域!AK233,NA())</f>
        <v>0.19558891559817715</v>
      </c>
      <c r="D231">
        <f ca="1">IFERROR(计算区域!AL233,NA())</f>
        <v>0.16851564900228294</v>
      </c>
      <c r="E231" t="e">
        <f ca="1">IFERROR(计算区域!AM233,NA())</f>
        <v>#N/A</v>
      </c>
      <c r="G231">
        <f ca="1">IFERROR(计算区域!AD233,NA())</f>
        <v>0.22029120065121002</v>
      </c>
      <c r="H231">
        <f ca="1">IFERROR(计算区域!AE233,NA())</f>
        <v>0.20010846181972497</v>
      </c>
      <c r="I231">
        <f ca="1">IFERROR(计算区域!AF233,NA())</f>
        <v>0.16908731482286454</v>
      </c>
      <c r="J231" t="e">
        <f ca="1">IFERROR(计算区域!AG233,NA())</f>
        <v>#N/A</v>
      </c>
      <c r="L231">
        <f ca="1">IFERROR(计算区域!L233,NA())</f>
        <v>0.1544081720256803</v>
      </c>
      <c r="M231">
        <f ca="1">IFERROR(计算区域!M233,NA())</f>
        <v>0.19760900302467915</v>
      </c>
      <c r="N231">
        <f ca="1">IFERROR(计算区域!N233,NA())</f>
        <v>0.16852446019389997</v>
      </c>
      <c r="O231" t="e">
        <f ca="1">IFERROR(计算区域!O233,NA())</f>
        <v>#N/A</v>
      </c>
      <c r="Q231">
        <f ca="1">IFERROR(计算区域!R233,NA())</f>
        <v>0.14531179548909892</v>
      </c>
      <c r="R231">
        <f ca="1">IFERROR(计算区域!S233,NA())</f>
        <v>0.20297332934173962</v>
      </c>
      <c r="S231">
        <f ca="1">IFERROR(计算区域!T233,NA())</f>
        <v>0.1739763321959038</v>
      </c>
      <c r="T231" t="e">
        <f ca="1">IFERROR(计算区域!U233,NA())</f>
        <v>#N/A</v>
      </c>
      <c r="V231">
        <f ca="1">IFERROR(计算区域!X233,NA())</f>
        <v>0.13575037267683374</v>
      </c>
      <c r="W231">
        <f ca="1">IFERROR(计算区域!Y233,NA())</f>
        <v>0.20104933548246359</v>
      </c>
      <c r="X231">
        <f ca="1">IFERROR(计算区域!Z233,NA())</f>
        <v>0.17476690918605733</v>
      </c>
      <c r="Y231" t="e">
        <f ca="1">IFERROR(计算区域!AA233,NA())</f>
        <v>#N/A</v>
      </c>
    </row>
    <row r="232" spans="1:25" x14ac:dyDescent="0.2">
      <c r="A232" s="28">
        <f>计算区域!E234</f>
        <v>45321</v>
      </c>
      <c r="B232">
        <f ca="1">IFERROR(计算区域!AJ234,NA())</f>
        <v>0.23878264392824136</v>
      </c>
      <c r="C232">
        <f ca="1">IFERROR(计算区域!AK234,NA())</f>
        <v>0.22830025047597161</v>
      </c>
      <c r="D232" t="e">
        <f ca="1">IFERROR(计算区域!AL234,NA())</f>
        <v>#N/A</v>
      </c>
      <c r="E232" t="e">
        <f ca="1">IFERROR(计算区域!AM234,NA())</f>
        <v>#N/A</v>
      </c>
      <c r="G232">
        <f ca="1">IFERROR(计算区域!AD234,NA())</f>
        <v>0.24987477050201959</v>
      </c>
      <c r="H232">
        <f ca="1">IFERROR(计算区域!AE234,NA())</f>
        <v>0.22884746001472003</v>
      </c>
      <c r="I232" t="e">
        <f ca="1">IFERROR(计算区域!AF234,NA())</f>
        <v>#N/A</v>
      </c>
      <c r="J232" t="e">
        <f ca="1">IFERROR(计算区域!AG234,NA())</f>
        <v>#N/A</v>
      </c>
      <c r="L232">
        <f ca="1">IFERROR(计算区域!L234,NA())</f>
        <v>0.17583376338011886</v>
      </c>
      <c r="M232">
        <f ca="1">IFERROR(计算区域!M234,NA())</f>
        <v>0.20183901785654326</v>
      </c>
      <c r="N232">
        <f ca="1">IFERROR(计算区域!N234,NA())</f>
        <v>0.1664141269511154</v>
      </c>
      <c r="O232" t="e">
        <f ca="1">IFERROR(计算区域!O234,NA())</f>
        <v>#N/A</v>
      </c>
      <c r="Q232">
        <f ca="1">IFERROR(计算区域!R234,NA())</f>
        <v>0.16918397674394517</v>
      </c>
      <c r="R232">
        <f ca="1">IFERROR(计算区域!S234,NA())</f>
        <v>0.20107620327248046</v>
      </c>
      <c r="S232">
        <f ca="1">IFERROR(计算区域!T234,NA())</f>
        <v>0.17105686972600812</v>
      </c>
      <c r="T232" t="e">
        <f ca="1">IFERROR(计算区域!U234,NA())</f>
        <v>#N/A</v>
      </c>
      <c r="V232">
        <f ca="1">IFERROR(计算区域!X234,NA())</f>
        <v>0.16445107559620517</v>
      </c>
      <c r="W232">
        <f ca="1">IFERROR(计算区域!Y234,NA())</f>
        <v>0.19681063999189644</v>
      </c>
      <c r="X232">
        <f ca="1">IFERROR(计算区域!Z234,NA())</f>
        <v>0.17176342011179138</v>
      </c>
      <c r="Y232" t="e">
        <f ca="1">IFERROR(计算区域!AA234,NA())</f>
        <v>#N/A</v>
      </c>
    </row>
    <row r="233" spans="1:25" x14ac:dyDescent="0.2">
      <c r="A233" s="28">
        <f>计算区域!E235</f>
        <v>45320</v>
      </c>
      <c r="B233">
        <f ca="1">IFERROR(计算区域!AJ235,NA())</f>
        <v>0.18075084370049865</v>
      </c>
      <c r="C233">
        <f ca="1">IFERROR(计算区域!AK235,NA())</f>
        <v>0.20997027713602653</v>
      </c>
      <c r="D233" t="e">
        <f ca="1">IFERROR(计算区域!AL235,NA())</f>
        <v>#N/A</v>
      </c>
      <c r="E233" t="e">
        <f ca="1">IFERROR(计算区域!AM235,NA())</f>
        <v>#N/A</v>
      </c>
      <c r="G233">
        <f ca="1">IFERROR(计算区域!AD235,NA())</f>
        <v>0.21874058775872013</v>
      </c>
      <c r="H233">
        <f ca="1">IFERROR(计算区域!AE235,NA())</f>
        <v>0.21585678667947203</v>
      </c>
      <c r="I233" t="e">
        <f ca="1">IFERROR(计算区域!AF235,NA())</f>
        <v>#N/A</v>
      </c>
      <c r="J233" t="e">
        <f ca="1">IFERROR(计算区域!AG235,NA())</f>
        <v>#N/A</v>
      </c>
      <c r="L233">
        <f ca="1">IFERROR(计算区域!L235,NA())</f>
        <v>0.17928693130452963</v>
      </c>
      <c r="M233">
        <f ca="1">IFERROR(计算区域!M235,NA())</f>
        <v>0.20046447301037223</v>
      </c>
      <c r="N233" t="e">
        <f ca="1">IFERROR(计算区域!N235,NA())</f>
        <v>#N/A</v>
      </c>
      <c r="O233" t="e">
        <f ca="1">IFERROR(计算区域!O235,NA())</f>
        <v>#N/A</v>
      </c>
      <c r="Q233">
        <f ca="1">IFERROR(计算区域!R235,NA())</f>
        <v>0.17987204263291087</v>
      </c>
      <c r="R233">
        <f ca="1">IFERROR(计算区域!S235,NA())</f>
        <v>0.20055279267820642</v>
      </c>
      <c r="S233" t="e">
        <f ca="1">IFERROR(计算区域!T235,NA())</f>
        <v>#N/A</v>
      </c>
      <c r="T233" t="e">
        <f ca="1">IFERROR(计算区域!U235,NA())</f>
        <v>#N/A</v>
      </c>
      <c r="V233">
        <f ca="1">IFERROR(计算区域!X235,NA())</f>
        <v>0.17667712032751098</v>
      </c>
      <c r="W233">
        <f ca="1">IFERROR(计算区域!Y235,NA())</f>
        <v>0.19706638491173423</v>
      </c>
      <c r="X233" t="e">
        <f ca="1">IFERROR(计算区域!Z235,NA())</f>
        <v>#N/A</v>
      </c>
      <c r="Y233" t="e">
        <f ca="1">IFERROR(计算区域!AA235,NA())</f>
        <v>#N/A</v>
      </c>
    </row>
    <row r="234" spans="1:25" x14ac:dyDescent="0.2">
      <c r="A234" s="28">
        <f>计算区域!E236</f>
        <v>45317</v>
      </c>
      <c r="B234">
        <f ca="1">IFERROR(计算区域!AJ236,NA())</f>
        <v>0.20447119924360138</v>
      </c>
      <c r="C234">
        <f ca="1">IFERROR(计算区域!AK236,NA())</f>
        <v>0.20778818448429737</v>
      </c>
      <c r="D234" t="e">
        <f ca="1">IFERROR(计算区域!AL236,NA())</f>
        <v>#N/A</v>
      </c>
      <c r="E234" t="e">
        <f ca="1">IFERROR(计算区域!AM236,NA())</f>
        <v>#N/A</v>
      </c>
      <c r="G234">
        <f ca="1">IFERROR(计算区域!AD236,NA())</f>
        <v>0.22884558588612183</v>
      </c>
      <c r="H234">
        <f ca="1">IFERROR(计算区域!AE236,NA())</f>
        <v>0.21512228601558095</v>
      </c>
      <c r="I234" t="e">
        <f ca="1">IFERROR(计算区域!AF236,NA())</f>
        <v>#N/A</v>
      </c>
      <c r="J234" t="e">
        <f ca="1">IFERROR(计算区域!AG236,NA())</f>
        <v>#N/A</v>
      </c>
      <c r="L234">
        <f ca="1">IFERROR(计算区域!L236,NA())</f>
        <v>0.20086875872443144</v>
      </c>
      <c r="M234">
        <f ca="1">IFERROR(计算区域!M236,NA())</f>
        <v>0.20278564913131761</v>
      </c>
      <c r="N234" t="e">
        <f ca="1">IFERROR(计算区域!N236,NA())</f>
        <v>#N/A</v>
      </c>
      <c r="O234" t="e">
        <f ca="1">IFERROR(计算区域!O236,NA())</f>
        <v>#N/A</v>
      </c>
      <c r="Q234">
        <f ca="1">IFERROR(计算区域!R236,NA())</f>
        <v>0.2082007299608703</v>
      </c>
      <c r="R234">
        <f ca="1">IFERROR(计算区域!S236,NA())</f>
        <v>0.20369951249509829</v>
      </c>
      <c r="S234" t="e">
        <f ca="1">IFERROR(计算区域!T236,NA())</f>
        <v>#N/A</v>
      </c>
      <c r="T234" t="e">
        <f ca="1">IFERROR(计算区域!U236,NA())</f>
        <v>#N/A</v>
      </c>
      <c r="V234">
        <f ca="1">IFERROR(计算区域!X236,NA())</f>
        <v>0.20435990216647729</v>
      </c>
      <c r="W234">
        <f ca="1">IFERROR(计算区域!Y236,NA())</f>
        <v>0.20154902094155114</v>
      </c>
      <c r="X234" t="e">
        <f ca="1">IFERROR(计算区域!Z236,NA())</f>
        <v>#N/A</v>
      </c>
      <c r="Y234" t="e">
        <f ca="1">IFERROR(计算区域!AA236,NA())</f>
        <v>#N/A</v>
      </c>
    </row>
    <row r="235" spans="1:25" x14ac:dyDescent="0.2">
      <c r="A235" s="28">
        <f>计算区域!E237</f>
        <v>45316</v>
      </c>
      <c r="B235">
        <f ca="1">IFERROR(计算区域!AJ237,NA())</f>
        <v>0.20197851084931734</v>
      </c>
      <c r="C235">
        <f ca="1">IFERROR(计算区域!AK237,NA())</f>
        <v>0.20889664822557943</v>
      </c>
      <c r="D235" t="e">
        <f ca="1">IFERROR(计算区域!AL237,NA())</f>
        <v>#N/A</v>
      </c>
      <c r="E235" t="e">
        <f ca="1">IFERROR(计算区域!AM237,NA())</f>
        <v>#N/A</v>
      </c>
      <c r="G235">
        <f ca="1">IFERROR(计算区域!AD237,NA())</f>
        <v>0.23027322922312143</v>
      </c>
      <c r="H235">
        <f ca="1">IFERROR(计算区域!AE237,NA())</f>
        <v>0.21512921012779762</v>
      </c>
      <c r="I235" t="e">
        <f ca="1">IFERROR(计算区域!AF237,NA())</f>
        <v>#N/A</v>
      </c>
      <c r="J235" t="e">
        <f ca="1">IFERROR(计算区域!AG237,NA())</f>
        <v>#N/A</v>
      </c>
      <c r="L235">
        <f ca="1">IFERROR(计算区域!L237,NA())</f>
        <v>0.20665919155742543</v>
      </c>
      <c r="M235">
        <f ca="1">IFERROR(计算区域!M237,NA())</f>
        <v>0.20212333690450504</v>
      </c>
      <c r="N235" t="e">
        <f ca="1">IFERROR(计算区域!N237,NA())</f>
        <v>#N/A</v>
      </c>
      <c r="O235" t="e">
        <f ca="1">IFERROR(计算区域!O237,NA())</f>
        <v>#N/A</v>
      </c>
      <c r="Q235">
        <f ca="1">IFERROR(计算区域!R237,NA())</f>
        <v>0.21214684650682103</v>
      </c>
      <c r="R235">
        <f ca="1">IFERROR(计算区域!S237,NA())</f>
        <v>0.20315259828266213</v>
      </c>
      <c r="S235" t="e">
        <f ca="1">IFERROR(计算区域!T237,NA())</f>
        <v>#N/A</v>
      </c>
      <c r="T235" t="e">
        <f ca="1">IFERROR(计算区域!U237,NA())</f>
        <v>#N/A</v>
      </c>
      <c r="V235">
        <f ca="1">IFERROR(计算区域!X237,NA())</f>
        <v>0.20746447687849764</v>
      </c>
      <c r="W235">
        <f ca="1">IFERROR(计算区域!Y237,NA())</f>
        <v>0.20178468156446494</v>
      </c>
      <c r="X235" t="e">
        <f ca="1">IFERROR(计算区域!Z237,NA())</f>
        <v>#N/A</v>
      </c>
      <c r="Y235" t="e">
        <f ca="1">IFERROR(计算区域!AA237,NA())</f>
        <v>#N/A</v>
      </c>
    </row>
    <row r="236" spans="1:25" x14ac:dyDescent="0.2">
      <c r="A236" s="28">
        <f>计算区域!E238</f>
        <v>45315</v>
      </c>
      <c r="B236">
        <f ca="1">IFERROR(计算区域!AJ238,NA())</f>
        <v>0.18077441922962945</v>
      </c>
      <c r="C236">
        <f ca="1">IFERROR(计算区域!AK238,NA())</f>
        <v>0.18005712444406272</v>
      </c>
      <c r="D236" t="e">
        <f ca="1">IFERROR(计算区域!AL238,NA())</f>
        <v>#N/A</v>
      </c>
      <c r="E236" t="e">
        <f ca="1">IFERROR(计算区域!AM238,NA())</f>
        <v>#N/A</v>
      </c>
      <c r="G236">
        <f ca="1">IFERROR(计算区域!AD238,NA())</f>
        <v>0.20388582349522255</v>
      </c>
      <c r="H236">
        <f ca="1">IFERROR(计算区域!AE238,NA())</f>
        <v>0.18096173325956472</v>
      </c>
      <c r="I236" t="e">
        <f ca="1">IFERROR(计算区域!AF238,NA())</f>
        <v>#N/A</v>
      </c>
      <c r="J236" t="e">
        <f ca="1">IFERROR(计算区域!AG238,NA())</f>
        <v>#N/A</v>
      </c>
      <c r="L236">
        <f ca="1">IFERROR(计算区域!L238,NA())</f>
        <v>0.2329307892153874</v>
      </c>
      <c r="M236">
        <f ca="1">IFERROR(计算区域!M238,NA())</f>
        <v>0.18949224516414231</v>
      </c>
      <c r="N236" t="e">
        <f ca="1">IFERROR(计算区域!N238,NA())</f>
        <v>#N/A</v>
      </c>
      <c r="O236" t="e">
        <f ca="1">IFERROR(计算区域!O238,NA())</f>
        <v>#N/A</v>
      </c>
      <c r="Q236">
        <f ca="1">IFERROR(计算区域!R238,NA())</f>
        <v>0.24754964540446198</v>
      </c>
      <c r="R236">
        <f ca="1">IFERROR(计算区域!S238,NA())</f>
        <v>0.19740321627044943</v>
      </c>
      <c r="S236" t="e">
        <f ca="1">IFERROR(计算区域!T238,NA())</f>
        <v>#N/A</v>
      </c>
      <c r="T236" t="e">
        <f ca="1">IFERROR(计算区域!U238,NA())</f>
        <v>#N/A</v>
      </c>
      <c r="V236">
        <f ca="1">IFERROR(计算区域!X238,NA())</f>
        <v>0.24982695393808321</v>
      </c>
      <c r="W236">
        <f ca="1">IFERROR(计算区域!Y238,NA())</f>
        <v>0.19930728894219957</v>
      </c>
      <c r="X236" t="e">
        <f ca="1">IFERROR(计算区域!Z238,NA())</f>
        <v>#N/A</v>
      </c>
      <c r="Y236" t="e">
        <f ca="1">IFERROR(计算区域!AA238,NA())</f>
        <v>#N/A</v>
      </c>
    </row>
    <row r="237" spans="1:25" x14ac:dyDescent="0.2">
      <c r="A237" s="28">
        <f>计算区域!E239</f>
        <v>45314</v>
      </c>
      <c r="B237">
        <f ca="1">IFERROR(计算区域!AJ239,NA())</f>
        <v>0.2319310945983937</v>
      </c>
      <c r="C237">
        <f ca="1">IFERROR(计算区域!AK239,NA())</f>
        <v>0.16070420685440479</v>
      </c>
      <c r="D237" t="e">
        <f ca="1">IFERROR(计算区域!AL239,NA())</f>
        <v>#N/A</v>
      </c>
      <c r="E237" t="e">
        <f ca="1">IFERROR(计算区域!AM239,NA())</f>
        <v>#N/A</v>
      </c>
      <c r="G237">
        <f ca="1">IFERROR(计算区域!AD239,NA())</f>
        <v>0.23536717903254489</v>
      </c>
      <c r="H237">
        <f ca="1">IFERROR(计算区域!AE239,NA())</f>
        <v>0.16149849407087466</v>
      </c>
      <c r="I237" t="e">
        <f ca="1">IFERROR(计算区域!AF239,NA())</f>
        <v>#N/A</v>
      </c>
      <c r="J237" t="e">
        <f ca="1">IFERROR(计算区域!AG239,NA())</f>
        <v>#N/A</v>
      </c>
      <c r="L237">
        <f ca="1">IFERROR(计算区域!L239,NA())</f>
        <v>0.2248565451886432</v>
      </c>
      <c r="M237">
        <f ca="1">IFERROR(计算区域!M239,NA())</f>
        <v>0.17826438628481661</v>
      </c>
      <c r="N237" t="e">
        <f ca="1">IFERROR(计算区域!N239,NA())</f>
        <v>#N/A</v>
      </c>
      <c r="O237" t="e">
        <f ca="1">IFERROR(计算区域!O239,NA())</f>
        <v>#N/A</v>
      </c>
      <c r="Q237">
        <f ca="1">IFERROR(计算区域!R239,NA())</f>
        <v>0.22856084760530621</v>
      </c>
      <c r="R237">
        <f ca="1">IFERROR(计算区域!S239,NA())</f>
        <v>0.18552284193896898</v>
      </c>
      <c r="S237" t="e">
        <f ca="1">IFERROR(计算区域!T239,NA())</f>
        <v>#N/A</v>
      </c>
      <c r="T237" t="e">
        <f ca="1">IFERROR(计算区域!U239,NA())</f>
        <v>#N/A</v>
      </c>
      <c r="V237">
        <f ca="1">IFERROR(计算区域!X239,NA())</f>
        <v>0.22455444721334503</v>
      </c>
      <c r="W237">
        <f ca="1">IFERROR(计算区域!Y239,NA())</f>
        <v>0.18712989476311068</v>
      </c>
      <c r="X237" t="e">
        <f ca="1">IFERROR(计算区域!Z239,NA())</f>
        <v>#N/A</v>
      </c>
      <c r="Y237" t="e">
        <f ca="1">IFERROR(计算区域!AA239,NA())</f>
        <v>#N/A</v>
      </c>
    </row>
    <row r="238" spans="1:25" x14ac:dyDescent="0.2">
      <c r="A238" s="28">
        <f>计算区域!E240</f>
        <v>45313</v>
      </c>
      <c r="B238">
        <f ca="1">IFERROR(计算区域!AJ240,NA())</f>
        <v>0.23811941182281612</v>
      </c>
      <c r="C238">
        <f ca="1">IFERROR(计算区域!AK240,NA())</f>
        <v>0.16094096830693877</v>
      </c>
      <c r="D238" t="e">
        <f ca="1">IFERROR(计算区域!AL240,NA())</f>
        <v>#N/A</v>
      </c>
      <c r="E238" t="e">
        <f ca="1">IFERROR(计算区域!AM240,NA())</f>
        <v>#N/A</v>
      </c>
      <c r="G238">
        <f ca="1">IFERROR(计算区域!AD240,NA())</f>
        <v>0.23872452338844583</v>
      </c>
      <c r="H238">
        <f ca="1">IFERROR(计算区域!AE240,NA())</f>
        <v>0.16141480604969596</v>
      </c>
      <c r="I238" t="e">
        <f ca="1">IFERROR(计算区域!AF240,NA())</f>
        <v>#N/A</v>
      </c>
      <c r="J238" t="e">
        <f ca="1">IFERROR(计算区域!AG240,NA())</f>
        <v>#N/A</v>
      </c>
      <c r="L238">
        <f ca="1">IFERROR(计算区域!L240,NA())</f>
        <v>0.21960921233422195</v>
      </c>
      <c r="M238">
        <f ca="1">IFERROR(计算区域!M240,NA())</f>
        <v>0.1725140601394394</v>
      </c>
      <c r="N238" t="e">
        <f ca="1">IFERROR(计算区域!N240,NA())</f>
        <v>#N/A</v>
      </c>
      <c r="O238" t="e">
        <f ca="1">IFERROR(计算区域!O240,NA())</f>
        <v>#N/A</v>
      </c>
      <c r="Q238">
        <f ca="1">IFERROR(计算区域!R240,NA())</f>
        <v>0.21929180007724774</v>
      </c>
      <c r="R238">
        <f ca="1">IFERROR(计算区域!S240,NA())</f>
        <v>0.17784930945146274</v>
      </c>
      <c r="S238" t="e">
        <f ca="1">IFERROR(计算区域!T240,NA())</f>
        <v>#N/A</v>
      </c>
      <c r="T238" t="e">
        <f ca="1">IFERROR(计算区域!U240,NA())</f>
        <v>#N/A</v>
      </c>
      <c r="V238">
        <f ca="1">IFERROR(计算区域!X240,NA())</f>
        <v>0.21553541536633322</v>
      </c>
      <c r="W238">
        <f ca="1">IFERROR(计算区域!Y240,NA())</f>
        <v>0.17972866400060283</v>
      </c>
      <c r="X238" t="e">
        <f ca="1">IFERROR(计算区域!Z240,NA())</f>
        <v>#N/A</v>
      </c>
      <c r="Y238" t="e">
        <f ca="1">IFERROR(计算区域!AA240,NA())</f>
        <v>#N/A</v>
      </c>
    </row>
    <row r="239" spans="1:25" x14ac:dyDescent="0.2">
      <c r="A239" s="28">
        <f>计算区域!E241</f>
        <v>45310</v>
      </c>
      <c r="B239">
        <f ca="1">IFERROR(计算区域!AJ241,NA())</f>
        <v>0.22697581730316793</v>
      </c>
      <c r="C239">
        <f ca="1">IFERROR(计算区域!AK241,NA())</f>
        <v>0.16353174959420375</v>
      </c>
      <c r="D239" t="e">
        <f ca="1">IFERROR(计算区域!AL241,NA())</f>
        <v>#N/A</v>
      </c>
      <c r="E239" t="e">
        <f ca="1">IFERROR(计算区域!AM241,NA())</f>
        <v>#N/A</v>
      </c>
      <c r="G239">
        <f ca="1">IFERROR(计算区域!AD241,NA())</f>
        <v>0.22749569927081875</v>
      </c>
      <c r="H239">
        <f ca="1">IFERROR(计算区域!AE241,NA())</f>
        <v>0.16422868579186628</v>
      </c>
      <c r="I239" t="e">
        <f ca="1">IFERROR(计算区域!AF241,NA())</f>
        <v>#N/A</v>
      </c>
      <c r="J239" t="e">
        <f ca="1">IFERROR(计算区域!AG241,NA())</f>
        <v>#N/A</v>
      </c>
      <c r="L239">
        <f ca="1">IFERROR(计算区域!L241,NA())</f>
        <v>0.2046845884665621</v>
      </c>
      <c r="M239">
        <f ca="1">IFERROR(计算区域!M241,NA())</f>
        <v>0.16370564666612561</v>
      </c>
      <c r="N239" t="e">
        <f ca="1">IFERROR(计算区域!N241,NA())</f>
        <v>#N/A</v>
      </c>
      <c r="O239" t="e">
        <f ca="1">IFERROR(计算区域!O241,NA())</f>
        <v>#N/A</v>
      </c>
      <c r="Q239">
        <f ca="1">IFERROR(计算区域!R241,NA())</f>
        <v>0.19909655653788233</v>
      </c>
      <c r="R239">
        <f ca="1">IFERROR(计算区域!S241,NA())</f>
        <v>0.16413418671010205</v>
      </c>
      <c r="S239" t="e">
        <f ca="1">IFERROR(计算区域!T241,NA())</f>
        <v>#N/A</v>
      </c>
      <c r="T239" t="e">
        <f ca="1">IFERROR(计算区域!U241,NA())</f>
        <v>#N/A</v>
      </c>
      <c r="V239">
        <f ca="1">IFERROR(计算区域!X241,NA())</f>
        <v>0.19869837963985382</v>
      </c>
      <c r="W239">
        <f ca="1">IFERROR(计算区域!Y241,NA())</f>
        <v>0.16570235237100525</v>
      </c>
      <c r="X239" t="e">
        <f ca="1">IFERROR(计算区域!Z241,NA())</f>
        <v>#N/A</v>
      </c>
      <c r="Y239" t="e">
        <f ca="1">IFERROR(计算区域!AA241,NA())</f>
        <v>#N/A</v>
      </c>
    </row>
    <row r="240" spans="1:25" x14ac:dyDescent="0.2">
      <c r="A240" s="28">
        <f>计算区域!E242</f>
        <v>45309</v>
      </c>
      <c r="B240">
        <f ca="1">IFERROR(计算区域!AJ242,NA())</f>
        <v>0.22606010342699592</v>
      </c>
      <c r="C240">
        <f ca="1">IFERROR(计算区域!AK242,NA())</f>
        <v>0.16255984638504212</v>
      </c>
      <c r="D240" t="e">
        <f ca="1">IFERROR(计算区域!AL242,NA())</f>
        <v>#N/A</v>
      </c>
      <c r="E240" t="e">
        <f ca="1">IFERROR(计算区域!AM242,NA())</f>
        <v>#N/A</v>
      </c>
      <c r="G240">
        <f ca="1">IFERROR(计算区域!AD242,NA())</f>
        <v>0.22606534070071096</v>
      </c>
      <c r="H240">
        <f ca="1">IFERROR(计算区域!AE242,NA())</f>
        <v>0.16508608263207739</v>
      </c>
      <c r="I240" t="e">
        <f ca="1">IFERROR(计算区域!AF242,NA())</f>
        <v>#N/A</v>
      </c>
      <c r="J240" t="e">
        <f ca="1">IFERROR(计算区域!AG242,NA())</f>
        <v>#N/A</v>
      </c>
      <c r="L240">
        <f ca="1">IFERROR(计算区域!L242,NA())</f>
        <v>0.19748332888539086</v>
      </c>
      <c r="M240">
        <f ca="1">IFERROR(计算区域!M242,NA())</f>
        <v>0.16543118419921443</v>
      </c>
      <c r="N240" t="e">
        <f ca="1">IFERROR(计算区域!N242,NA())</f>
        <v>#N/A</v>
      </c>
      <c r="O240" t="e">
        <f ca="1">IFERROR(计算区域!O242,NA())</f>
        <v>#N/A</v>
      </c>
      <c r="Q240">
        <f ca="1">IFERROR(计算区域!R242,NA())</f>
        <v>0.19374124985455402</v>
      </c>
      <c r="R240">
        <f ca="1">IFERROR(计算区域!S242,NA())</f>
        <v>0.16933881968203734</v>
      </c>
      <c r="S240" t="e">
        <f ca="1">IFERROR(计算区域!T242,NA())</f>
        <v>#N/A</v>
      </c>
      <c r="T240" t="e">
        <f ca="1">IFERROR(计算区域!U242,NA())</f>
        <v>#N/A</v>
      </c>
      <c r="V240">
        <f ca="1">IFERROR(计算区域!X242,NA())</f>
        <v>0.19594031300800857</v>
      </c>
      <c r="W240">
        <f ca="1">IFERROR(计算区域!Y242,NA())</f>
        <v>0.1722584722087781</v>
      </c>
      <c r="X240" t="e">
        <f ca="1">IFERROR(计算区域!Z242,NA())</f>
        <v>#N/A</v>
      </c>
      <c r="Y240" t="e">
        <f ca="1">IFERROR(计算区域!AA242,NA())</f>
        <v>#N/A</v>
      </c>
    </row>
    <row r="241" spans="1:25" x14ac:dyDescent="0.2">
      <c r="A241" s="28">
        <f>计算区域!E243</f>
        <v>45308</v>
      </c>
      <c r="B241">
        <f ca="1">IFERROR(计算区域!AJ243,NA())</f>
        <v>0.17023833400348826</v>
      </c>
      <c r="C241">
        <f ca="1">IFERROR(计算区域!AK243,NA())</f>
        <v>0.1236800443681096</v>
      </c>
      <c r="D241" t="e">
        <f ca="1">IFERROR(计算区域!AL243,NA())</f>
        <v>#N/A</v>
      </c>
      <c r="E241" t="e">
        <f ca="1">IFERROR(计算区域!AM243,NA())</f>
        <v>#N/A</v>
      </c>
      <c r="G241">
        <f ca="1">IFERROR(计算区域!AD243,NA())</f>
        <v>0.17919725447774895</v>
      </c>
      <c r="H241">
        <f ca="1">IFERROR(计算区域!AE243,NA())</f>
        <v>0.14252848144977776</v>
      </c>
      <c r="I241" t="e">
        <f ca="1">IFERROR(计算区域!AF243,NA())</f>
        <v>#N/A</v>
      </c>
      <c r="J241" t="e">
        <f ca="1">IFERROR(计算区域!AG243,NA())</f>
        <v>#N/A</v>
      </c>
      <c r="L241">
        <f ca="1">IFERROR(计算区域!L243,NA())</f>
        <v>0.13250611076547217</v>
      </c>
      <c r="M241">
        <f ca="1">IFERROR(计算区域!M243,NA())</f>
        <v>0.13323539053450881</v>
      </c>
      <c r="N241" t="e">
        <f ca="1">IFERROR(计算区域!N243,NA())</f>
        <v>#N/A</v>
      </c>
      <c r="O241" t="e">
        <f ca="1">IFERROR(计算区域!O243,NA())</f>
        <v>#N/A</v>
      </c>
      <c r="Q241">
        <f ca="1">IFERROR(计算区域!R243,NA())</f>
        <v>0.12905515351182534</v>
      </c>
      <c r="R241">
        <f ca="1">IFERROR(计算区域!S243,NA())</f>
        <v>0.13905882174320572</v>
      </c>
      <c r="S241" t="e">
        <f ca="1">IFERROR(计算区域!T243,NA())</f>
        <v>#N/A</v>
      </c>
      <c r="T241" t="e">
        <f ca="1">IFERROR(计算区域!U243,NA())</f>
        <v>#N/A</v>
      </c>
      <c r="V241">
        <f ca="1">IFERROR(计算区域!X243,NA())</f>
        <v>0.13051162376201483</v>
      </c>
      <c r="W241">
        <f ca="1">IFERROR(计算区域!Y243,NA())</f>
        <v>0.1437571208495601</v>
      </c>
      <c r="X241" t="e">
        <f ca="1">IFERROR(计算区域!Z243,NA())</f>
        <v>#N/A</v>
      </c>
      <c r="Y241" t="e">
        <f ca="1">IFERROR(计算区域!AA243,NA())</f>
        <v>#N/A</v>
      </c>
    </row>
    <row r="242" spans="1:25" x14ac:dyDescent="0.2">
      <c r="A242" s="28">
        <f>计算区域!E244</f>
        <v>45307</v>
      </c>
      <c r="B242">
        <f ca="1">IFERROR(计算区域!AJ244,NA())</f>
        <v>5.6996677424903899E-2</v>
      </c>
      <c r="C242" t="e">
        <f ca="1">IFERROR(计算区域!AK244,NA())</f>
        <v>#N/A</v>
      </c>
      <c r="D242" t="e">
        <f ca="1">IFERROR(计算区域!AL244,NA())</f>
        <v>#N/A</v>
      </c>
      <c r="E242" t="e">
        <f ca="1">IFERROR(计算区域!AM244,NA())</f>
        <v>#N/A</v>
      </c>
      <c r="G242">
        <f ca="1">IFERROR(计算区域!AD244,NA())</f>
        <v>5.7325902569193884E-2</v>
      </c>
      <c r="H242" t="e">
        <f ca="1">IFERROR(计算区域!AE244,NA())</f>
        <v>#N/A</v>
      </c>
      <c r="I242" t="e">
        <f ca="1">IFERROR(计算区域!AF244,NA())</f>
        <v>#N/A</v>
      </c>
      <c r="J242" t="e">
        <f ca="1">IFERROR(计算区域!AG244,NA())</f>
        <v>#N/A</v>
      </c>
      <c r="L242">
        <f ca="1">IFERROR(计算区域!L244,NA())</f>
        <v>0.11399963561710307</v>
      </c>
      <c r="M242">
        <f ca="1">IFERROR(计算区域!M244,NA())</f>
        <v>0.12103030268701273</v>
      </c>
      <c r="N242" t="e">
        <f ca="1">IFERROR(计算区域!N244,NA())</f>
        <v>#N/A</v>
      </c>
      <c r="O242" t="e">
        <f ca="1">IFERROR(计算区域!O244,NA())</f>
        <v>#N/A</v>
      </c>
      <c r="Q242">
        <f ca="1">IFERROR(计算区域!R244,NA())</f>
        <v>0.12883085307552433</v>
      </c>
      <c r="R242">
        <f ca="1">IFERROR(计算区域!S244,NA())</f>
        <v>0.13449634135709837</v>
      </c>
      <c r="S242" t="e">
        <f ca="1">IFERROR(计算区域!T244,NA())</f>
        <v>#N/A</v>
      </c>
      <c r="T242" t="e">
        <f ca="1">IFERROR(计算区域!U244,NA())</f>
        <v>#N/A</v>
      </c>
      <c r="V242">
        <f ca="1">IFERROR(计算区域!X244,NA())</f>
        <v>0.14003747807217465</v>
      </c>
      <c r="W242">
        <f ca="1">IFERROR(计算区域!Y244,NA())</f>
        <v>0.14237597045491776</v>
      </c>
      <c r="X242" t="e">
        <f ca="1">IFERROR(计算区域!Z244,NA())</f>
        <v>#N/A</v>
      </c>
      <c r="Y242" t="e">
        <f ca="1">IFERROR(计算区域!AA244,NA())</f>
        <v>#N/A</v>
      </c>
    </row>
    <row r="243" spans="1:25" x14ac:dyDescent="0.2">
      <c r="A243" s="28">
        <f>计算区域!E245</f>
        <v>45306</v>
      </c>
      <c r="B243">
        <f ca="1">IFERROR(计算区域!AJ245,NA())</f>
        <v>3.9351732626731632E-2</v>
      </c>
      <c r="C243" t="e">
        <f ca="1">IFERROR(计算区域!AK245,NA())</f>
        <v>#N/A</v>
      </c>
      <c r="D243" t="e">
        <f ca="1">IFERROR(计算区域!AL245,NA())</f>
        <v>#N/A</v>
      </c>
      <c r="E243" t="e">
        <f ca="1">IFERROR(计算区域!AM245,NA())</f>
        <v>#N/A</v>
      </c>
      <c r="G243">
        <f ca="1">IFERROR(计算区域!AD245,NA())</f>
        <v>4.0419872094015132E-2</v>
      </c>
      <c r="H243" t="e">
        <f ca="1">IFERROR(计算区域!AE245,NA())</f>
        <v>#N/A</v>
      </c>
      <c r="I243" t="e">
        <f ca="1">IFERROR(计算区域!AF245,NA())</f>
        <v>#N/A</v>
      </c>
      <c r="J243" t="e">
        <f ca="1">IFERROR(计算区域!AG245,NA())</f>
        <v>#N/A</v>
      </c>
      <c r="L243">
        <f ca="1">IFERROR(计算区域!L245,NA())</f>
        <v>0.10627321275622961</v>
      </c>
      <c r="M243" t="e">
        <f ca="1">IFERROR(计算区域!M245,NA())</f>
        <v>#N/A</v>
      </c>
      <c r="N243" t="e">
        <f ca="1">IFERROR(计算区域!N245,NA())</f>
        <v>#N/A</v>
      </c>
      <c r="O243" t="e">
        <f ca="1">IFERROR(计算区域!O245,NA())</f>
        <v>#N/A</v>
      </c>
      <c r="Q243">
        <f ca="1">IFERROR(计算区域!R245,NA())</f>
        <v>0.12317410508546324</v>
      </c>
      <c r="R243" t="e">
        <f ca="1">IFERROR(计算区域!S245,NA())</f>
        <v>#N/A</v>
      </c>
      <c r="S243" t="e">
        <f ca="1">IFERROR(计算区域!T245,NA())</f>
        <v>#N/A</v>
      </c>
      <c r="T243" t="e">
        <f ca="1">IFERROR(计算区域!U245,NA())</f>
        <v>#N/A</v>
      </c>
      <c r="V243">
        <f ca="1">IFERROR(计算区域!X245,NA())</f>
        <v>0.13471922672634887</v>
      </c>
      <c r="W243" t="e">
        <f ca="1">IFERROR(计算区域!Y245,NA())</f>
        <v>#N/A</v>
      </c>
      <c r="X243" t="e">
        <f ca="1">IFERROR(计算区域!Z245,NA())</f>
        <v>#N/A</v>
      </c>
      <c r="Y243" t="e">
        <f ca="1">IFERROR(计算区域!AA245,NA())</f>
        <v>#N/A</v>
      </c>
    </row>
    <row r="244" spans="1:25" x14ac:dyDescent="0.2">
      <c r="A244" s="28">
        <f>计算区域!E246</f>
        <v>45303</v>
      </c>
      <c r="B244">
        <f ca="1">IFERROR(计算区域!AJ246,NA())</f>
        <v>8.1735917050349952E-2</v>
      </c>
      <c r="C244" t="e">
        <f ca="1">IFERROR(计算区域!AK246,NA())</f>
        <v>#N/A</v>
      </c>
      <c r="D244" t="e">
        <f ca="1">IFERROR(计算区域!AL246,NA())</f>
        <v>#N/A</v>
      </c>
      <c r="E244" t="e">
        <f ca="1">IFERROR(计算区域!AM246,NA())</f>
        <v>#N/A</v>
      </c>
      <c r="G244">
        <f ca="1">IFERROR(计算区域!AD246,NA())</f>
        <v>9.4501823243571093E-2</v>
      </c>
      <c r="H244" t="e">
        <f ca="1">IFERROR(计算区域!AE246,NA())</f>
        <v>#N/A</v>
      </c>
      <c r="I244" t="e">
        <f ca="1">IFERROR(计算区域!AF246,NA())</f>
        <v>#N/A</v>
      </c>
      <c r="J244" t="e">
        <f ca="1">IFERROR(计算区域!AG246,NA())</f>
        <v>#N/A</v>
      </c>
      <c r="L244">
        <f ca="1">IFERROR(计算区域!L246,NA())</f>
        <v>0.10818177639983005</v>
      </c>
      <c r="M244" t="e">
        <f ca="1">IFERROR(计算区域!M246,NA())</f>
        <v>#N/A</v>
      </c>
      <c r="N244" t="e">
        <f ca="1">IFERROR(计算区域!N246,NA())</f>
        <v>#N/A</v>
      </c>
      <c r="O244" t="e">
        <f ca="1">IFERROR(计算区域!O246,NA())</f>
        <v>#N/A</v>
      </c>
      <c r="Q244">
        <f ca="1">IFERROR(计算区域!R246,NA())</f>
        <v>0.11933408427071915</v>
      </c>
      <c r="R244" t="e">
        <f ca="1">IFERROR(计算区域!S246,NA())</f>
        <v>#N/A</v>
      </c>
      <c r="S244" t="e">
        <f ca="1">IFERROR(计算区域!T246,NA())</f>
        <v>#N/A</v>
      </c>
      <c r="T244" t="e">
        <f ca="1">IFERROR(计算区域!U246,NA())</f>
        <v>#N/A</v>
      </c>
      <c r="V244">
        <f ca="1">IFERROR(计算区域!X246,NA())</f>
        <v>0.12423161067564931</v>
      </c>
      <c r="W244" t="e">
        <f ca="1">IFERROR(计算区域!Y246,NA())</f>
        <v>#N/A</v>
      </c>
      <c r="X244" t="e">
        <f ca="1">IFERROR(计算区域!Z246,NA())</f>
        <v>#N/A</v>
      </c>
      <c r="Y244" t="e">
        <f ca="1">IFERROR(计算区域!AA246,NA())</f>
        <v>#N/A</v>
      </c>
    </row>
    <row r="245" spans="1:25" x14ac:dyDescent="0.2">
      <c r="A245" s="28">
        <f>计算区域!E247</f>
        <v>45302</v>
      </c>
      <c r="B245">
        <f ca="1">IFERROR(计算区域!AJ247,NA())</f>
        <v>8.1703146400347842E-2</v>
      </c>
      <c r="C245" t="e">
        <f ca="1">IFERROR(计算区域!AK247,NA())</f>
        <v>#N/A</v>
      </c>
      <c r="D245" t="e">
        <f ca="1">IFERROR(计算区域!AL247,NA())</f>
        <v>#N/A</v>
      </c>
      <c r="E245" t="e">
        <f ca="1">IFERROR(计算区域!AM247,NA())</f>
        <v>#N/A</v>
      </c>
      <c r="G245">
        <f ca="1">IFERROR(计算区域!AD247,NA())</f>
        <v>0.10106752574978227</v>
      </c>
      <c r="H245" t="e">
        <f ca="1">IFERROR(计算区域!AE247,NA())</f>
        <v>#N/A</v>
      </c>
      <c r="I245" t="e">
        <f ca="1">IFERROR(计算区域!AF247,NA())</f>
        <v>#N/A</v>
      </c>
      <c r="J245" t="e">
        <f ca="1">IFERROR(计算区域!AG247,NA())</f>
        <v>#N/A</v>
      </c>
      <c r="L245">
        <f ca="1">IFERROR(计算区域!L247,NA())</f>
        <v>0.12544037716562154</v>
      </c>
      <c r="M245" t="e">
        <f ca="1">IFERROR(计算区域!M247,NA())</f>
        <v>#N/A</v>
      </c>
      <c r="N245" t="e">
        <f ca="1">IFERROR(计算区域!N247,NA())</f>
        <v>#N/A</v>
      </c>
      <c r="O245" t="e">
        <f ca="1">IFERROR(计算区域!O247,NA())</f>
        <v>#N/A</v>
      </c>
      <c r="Q245">
        <f ca="1">IFERROR(计算区域!R247,NA())</f>
        <v>0.14076789338271137</v>
      </c>
      <c r="R245" t="e">
        <f ca="1">IFERROR(计算区域!S247,NA())</f>
        <v>#N/A</v>
      </c>
      <c r="S245" t="e">
        <f ca="1">IFERROR(计算区域!T247,NA())</f>
        <v>#N/A</v>
      </c>
      <c r="T245" t="e">
        <f ca="1">IFERROR(计算区域!U247,NA())</f>
        <v>#N/A</v>
      </c>
      <c r="V245">
        <f ca="1">IFERROR(计算区域!X247,NA())</f>
        <v>0.14475274171402894</v>
      </c>
      <c r="W245" t="e">
        <f ca="1">IFERROR(计算区域!Y247,NA())</f>
        <v>#N/A</v>
      </c>
      <c r="X245" t="e">
        <f ca="1">IFERROR(计算区域!Z247,NA())</f>
        <v>#N/A</v>
      </c>
      <c r="Y245" t="e">
        <f ca="1">IFERROR(计算区域!AA247,NA())</f>
        <v>#N/A</v>
      </c>
    </row>
    <row r="246" spans="1:25" x14ac:dyDescent="0.2">
      <c r="A246" s="28">
        <f>计算区域!E248</f>
        <v>45301</v>
      </c>
      <c r="B246">
        <f ca="1">IFERROR(计算区域!AJ248,NA())</f>
        <v>6.8562517640083892E-2</v>
      </c>
      <c r="C246" t="e">
        <f ca="1">IFERROR(计算区域!AK248,NA())</f>
        <v>#N/A</v>
      </c>
      <c r="D246" t="e">
        <f ca="1">IFERROR(计算区域!AL248,NA())</f>
        <v>#N/A</v>
      </c>
      <c r="E246" t="e">
        <f ca="1">IFERROR(计算区域!AM248,NA())</f>
        <v>#N/A</v>
      </c>
      <c r="G246">
        <f ca="1">IFERROR(计算区域!AD248,NA())</f>
        <v>0.11660048045566143</v>
      </c>
      <c r="H246" t="e">
        <f ca="1">IFERROR(计算区域!AE248,NA())</f>
        <v>#N/A</v>
      </c>
      <c r="I246" t="e">
        <f ca="1">IFERROR(计算区域!AF248,NA())</f>
        <v>#N/A</v>
      </c>
      <c r="J246" t="e">
        <f ca="1">IFERROR(计算区域!AG248,NA())</f>
        <v>#N/A</v>
      </c>
      <c r="L246">
        <f ca="1">IFERROR(计算区域!L248,NA())</f>
        <v>0.13396070017574033</v>
      </c>
      <c r="M246" t="e">
        <f ca="1">IFERROR(计算区域!M248,NA())</f>
        <v>#N/A</v>
      </c>
      <c r="N246" t="e">
        <f ca="1">IFERROR(计算区域!N248,NA())</f>
        <v>#N/A</v>
      </c>
      <c r="O246" t="e">
        <f ca="1">IFERROR(计算区域!O248,NA())</f>
        <v>#N/A</v>
      </c>
      <c r="Q246">
        <f ca="1">IFERROR(计算区域!R248,NA())</f>
        <v>0.14838961945249579</v>
      </c>
      <c r="R246" t="e">
        <f ca="1">IFERROR(计算区域!S248,NA())</f>
        <v>#N/A</v>
      </c>
      <c r="S246" t="e">
        <f ca="1">IFERROR(计算区域!T248,NA())</f>
        <v>#N/A</v>
      </c>
      <c r="T246" t="e">
        <f ca="1">IFERROR(计算区域!U248,NA())</f>
        <v>#N/A</v>
      </c>
      <c r="V246">
        <f ca="1">IFERROR(计算区域!X248,NA())</f>
        <v>0.15588115874894037</v>
      </c>
      <c r="W246" t="e">
        <f ca="1">IFERROR(计算区域!Y248,NA())</f>
        <v>#N/A</v>
      </c>
      <c r="X246" t="e">
        <f ca="1">IFERROR(计算区域!Z248,NA())</f>
        <v>#N/A</v>
      </c>
      <c r="Y246" t="e">
        <f ca="1">IFERROR(计算区域!AA248,NA())</f>
        <v>#N/A</v>
      </c>
    </row>
    <row r="247" spans="1:25" x14ac:dyDescent="0.2">
      <c r="A247" s="28">
        <f>计算区域!E249</f>
        <v>45300</v>
      </c>
      <c r="B247" t="e">
        <f ca="1">IFERROR(计算区域!AJ249,NA())</f>
        <v>#N/A</v>
      </c>
      <c r="C247" t="e">
        <f ca="1">IFERROR(计算区域!AK249,NA())</f>
        <v>#N/A</v>
      </c>
      <c r="D247" t="e">
        <f ca="1">IFERROR(计算区域!AL249,NA())</f>
        <v>#N/A</v>
      </c>
      <c r="E247" t="e">
        <f ca="1">IFERROR(计算区域!AM249,NA())</f>
        <v>#N/A</v>
      </c>
      <c r="G247" t="e">
        <f ca="1">IFERROR(计算区域!AD249,NA())</f>
        <v>#N/A</v>
      </c>
      <c r="H247" t="e">
        <f ca="1">IFERROR(计算区域!AE249,NA())</f>
        <v>#N/A</v>
      </c>
      <c r="I247" t="e">
        <f ca="1">IFERROR(计算区域!AF249,NA())</f>
        <v>#N/A</v>
      </c>
      <c r="J247" t="e">
        <f ca="1">IFERROR(计算区域!AG249,NA())</f>
        <v>#N/A</v>
      </c>
      <c r="L247">
        <f ca="1">IFERROR(计算区域!L249,NA())</f>
        <v>0.12767439608702902</v>
      </c>
      <c r="M247" t="e">
        <f ca="1">IFERROR(计算区域!M249,NA())</f>
        <v>#N/A</v>
      </c>
      <c r="N247" t="e">
        <f ca="1">IFERROR(计算区域!N249,NA())</f>
        <v>#N/A</v>
      </c>
      <c r="O247" t="e">
        <f ca="1">IFERROR(计算区域!O249,NA())</f>
        <v>#N/A</v>
      </c>
      <c r="Q247">
        <f ca="1">IFERROR(计算区域!R249,NA())</f>
        <v>0.13993263726780436</v>
      </c>
      <c r="R247" t="e">
        <f ca="1">IFERROR(计算区域!S249,NA())</f>
        <v>#N/A</v>
      </c>
      <c r="S247" t="e">
        <f ca="1">IFERROR(计算区域!T249,NA())</f>
        <v>#N/A</v>
      </c>
      <c r="T247" t="e">
        <f ca="1">IFERROR(计算区域!U249,NA())</f>
        <v>#N/A</v>
      </c>
      <c r="V247">
        <f ca="1">IFERROR(计算区域!X249,NA())</f>
        <v>0.14467666937396792</v>
      </c>
      <c r="W247" t="e">
        <f ca="1">IFERROR(计算区域!Y249,NA())</f>
        <v>#N/A</v>
      </c>
      <c r="X247" t="e">
        <f ca="1">IFERROR(计算区域!Z249,NA())</f>
        <v>#N/A</v>
      </c>
      <c r="Y247" t="e">
        <f ca="1">IFERROR(计算区域!AA249,NA())</f>
        <v>#N/A</v>
      </c>
    </row>
    <row r="248" spans="1:25" x14ac:dyDescent="0.2">
      <c r="A248" s="28">
        <f>计算区域!E250</f>
        <v>45299</v>
      </c>
      <c r="B248" t="e">
        <f ca="1">IFERROR(计算区域!AJ250,NA())</f>
        <v>#N/A</v>
      </c>
      <c r="C248" t="e">
        <f ca="1">IFERROR(计算区域!AK250,NA())</f>
        <v>#N/A</v>
      </c>
      <c r="D248" t="e">
        <f ca="1">IFERROR(计算区域!AL250,NA())</f>
        <v>#N/A</v>
      </c>
      <c r="E248" t="e">
        <f ca="1">IFERROR(计算区域!AM250,NA())</f>
        <v>#N/A</v>
      </c>
      <c r="G248" t="e">
        <f ca="1">IFERROR(计算区域!AD250,NA())</f>
        <v>#N/A</v>
      </c>
      <c r="H248" t="e">
        <f ca="1">IFERROR(计算区域!AE250,NA())</f>
        <v>#N/A</v>
      </c>
      <c r="I248" t="e">
        <f ca="1">IFERROR(计算区域!AF250,NA())</f>
        <v>#N/A</v>
      </c>
      <c r="J248" t="e">
        <f ca="1">IFERROR(计算区域!AG250,NA())</f>
        <v>#N/A</v>
      </c>
      <c r="L248" t="e">
        <f ca="1">IFERROR(计算区域!L250,NA())</f>
        <v>#N/A</v>
      </c>
      <c r="M248" t="e">
        <f ca="1">IFERROR(计算区域!M250,NA())</f>
        <v>#N/A</v>
      </c>
      <c r="N248" t="e">
        <f ca="1">IFERROR(计算区域!N250,NA())</f>
        <v>#N/A</v>
      </c>
      <c r="O248" t="e">
        <f ca="1">IFERROR(计算区域!O250,NA())</f>
        <v>#N/A</v>
      </c>
      <c r="Q248" t="e">
        <f ca="1">IFERROR(计算区域!R250,NA())</f>
        <v>#N/A</v>
      </c>
      <c r="R248" t="e">
        <f ca="1">IFERROR(计算区域!S250,NA())</f>
        <v>#N/A</v>
      </c>
      <c r="S248" t="e">
        <f ca="1">IFERROR(计算区域!T250,NA())</f>
        <v>#N/A</v>
      </c>
      <c r="T248" t="e">
        <f ca="1">IFERROR(计算区域!U250,NA())</f>
        <v>#N/A</v>
      </c>
      <c r="V248" t="e">
        <f ca="1">IFERROR(计算区域!X250,NA())</f>
        <v>#N/A</v>
      </c>
      <c r="W248" t="e">
        <f ca="1">IFERROR(计算区域!Y250,NA())</f>
        <v>#N/A</v>
      </c>
      <c r="X248" t="e">
        <f ca="1">IFERROR(计算区域!Z250,NA())</f>
        <v>#N/A</v>
      </c>
      <c r="Y248" t="e">
        <f ca="1">IFERROR(计算区域!AA250,NA())</f>
        <v>#N/A</v>
      </c>
    </row>
    <row r="249" spans="1:25" x14ac:dyDescent="0.2">
      <c r="A249" s="28">
        <f>计算区域!E251</f>
        <v>45296</v>
      </c>
      <c r="B249" t="e">
        <f ca="1">IFERROR(计算区域!AJ251,NA())</f>
        <v>#N/A</v>
      </c>
      <c r="C249" t="e">
        <f ca="1">IFERROR(计算区域!AK251,NA())</f>
        <v>#N/A</v>
      </c>
      <c r="D249" t="e">
        <f ca="1">IFERROR(计算区域!AL251,NA())</f>
        <v>#N/A</v>
      </c>
      <c r="E249" t="e">
        <f ca="1">IFERROR(计算区域!AM251,NA())</f>
        <v>#N/A</v>
      </c>
      <c r="G249" t="e">
        <f ca="1">IFERROR(计算区域!AD251,NA())</f>
        <v>#N/A</v>
      </c>
      <c r="H249" t="e">
        <f ca="1">IFERROR(计算区域!AE251,NA())</f>
        <v>#N/A</v>
      </c>
      <c r="I249" t="e">
        <f ca="1">IFERROR(计算区域!AF251,NA())</f>
        <v>#N/A</v>
      </c>
      <c r="J249" t="e">
        <f ca="1">IFERROR(计算区域!AG251,NA())</f>
        <v>#N/A</v>
      </c>
      <c r="L249" t="e">
        <f ca="1">IFERROR(计算区域!L251,NA())</f>
        <v>#N/A</v>
      </c>
      <c r="M249" t="e">
        <f ca="1">IFERROR(计算区域!M251,NA())</f>
        <v>#N/A</v>
      </c>
      <c r="N249" t="e">
        <f ca="1">IFERROR(计算区域!N251,NA())</f>
        <v>#N/A</v>
      </c>
      <c r="O249" t="e">
        <f ca="1">IFERROR(计算区域!O251,NA())</f>
        <v>#N/A</v>
      </c>
      <c r="Q249" t="e">
        <f ca="1">IFERROR(计算区域!R251,NA())</f>
        <v>#N/A</v>
      </c>
      <c r="R249" t="e">
        <f ca="1">IFERROR(计算区域!S251,NA())</f>
        <v>#N/A</v>
      </c>
      <c r="S249" t="e">
        <f ca="1">IFERROR(计算区域!T251,NA())</f>
        <v>#N/A</v>
      </c>
      <c r="T249" t="e">
        <f ca="1">IFERROR(计算区域!U251,NA())</f>
        <v>#N/A</v>
      </c>
      <c r="V249" t="e">
        <f ca="1">IFERROR(计算区域!X251,NA())</f>
        <v>#N/A</v>
      </c>
      <c r="W249" t="e">
        <f ca="1">IFERROR(计算区域!Y251,NA())</f>
        <v>#N/A</v>
      </c>
      <c r="X249" t="e">
        <f ca="1">IFERROR(计算区域!Z251,NA())</f>
        <v>#N/A</v>
      </c>
      <c r="Y249" t="e">
        <f ca="1">IFERROR(计算区域!AA251,NA())</f>
        <v>#N/A</v>
      </c>
    </row>
    <row r="250" spans="1:25" x14ac:dyDescent="0.2">
      <c r="A250" s="28">
        <f>计算区域!E252</f>
        <v>45295</v>
      </c>
      <c r="B250" t="e">
        <f ca="1">IFERROR(计算区域!AJ252,NA())</f>
        <v>#N/A</v>
      </c>
      <c r="C250" t="e">
        <f ca="1">IFERROR(计算区域!AK252,NA())</f>
        <v>#N/A</v>
      </c>
      <c r="D250" t="e">
        <f ca="1">IFERROR(计算区域!AL252,NA())</f>
        <v>#N/A</v>
      </c>
      <c r="E250" t="e">
        <f ca="1">IFERROR(计算区域!AM252,NA())</f>
        <v>#N/A</v>
      </c>
      <c r="G250" t="e">
        <f ca="1">IFERROR(计算区域!AD252,NA())</f>
        <v>#N/A</v>
      </c>
      <c r="H250" t="e">
        <f ca="1">IFERROR(计算区域!AE252,NA())</f>
        <v>#N/A</v>
      </c>
      <c r="I250" t="e">
        <f ca="1">IFERROR(计算区域!AF252,NA())</f>
        <v>#N/A</v>
      </c>
      <c r="J250" t="e">
        <f ca="1">IFERROR(计算区域!AG252,NA())</f>
        <v>#N/A</v>
      </c>
      <c r="L250" t="e">
        <f ca="1">IFERROR(计算区域!L252,NA())</f>
        <v>#N/A</v>
      </c>
      <c r="M250" t="e">
        <f ca="1">IFERROR(计算区域!M252,NA())</f>
        <v>#N/A</v>
      </c>
      <c r="N250" t="e">
        <f ca="1">IFERROR(计算区域!N252,NA())</f>
        <v>#N/A</v>
      </c>
      <c r="O250" t="e">
        <f ca="1">IFERROR(计算区域!O252,NA())</f>
        <v>#N/A</v>
      </c>
      <c r="Q250" t="e">
        <f ca="1">IFERROR(计算区域!R252,NA())</f>
        <v>#N/A</v>
      </c>
      <c r="R250" t="e">
        <f ca="1">IFERROR(计算区域!S252,NA())</f>
        <v>#N/A</v>
      </c>
      <c r="S250" t="e">
        <f ca="1">IFERROR(计算区域!T252,NA())</f>
        <v>#N/A</v>
      </c>
      <c r="T250" t="e">
        <f ca="1">IFERROR(计算区域!U252,NA())</f>
        <v>#N/A</v>
      </c>
      <c r="V250" t="e">
        <f ca="1">IFERROR(计算区域!X252,NA())</f>
        <v>#N/A</v>
      </c>
      <c r="W250" t="e">
        <f ca="1">IFERROR(计算区域!Y252,NA())</f>
        <v>#N/A</v>
      </c>
      <c r="X250" t="e">
        <f ca="1">IFERROR(计算区域!Z252,NA())</f>
        <v>#N/A</v>
      </c>
      <c r="Y250" t="e">
        <f ca="1">IFERROR(计算区域!AA252,NA())</f>
        <v>#N/A</v>
      </c>
    </row>
    <row r="251" spans="1:25" x14ac:dyDescent="0.2">
      <c r="A251" s="28">
        <f>计算区域!E253</f>
        <v>45294</v>
      </c>
      <c r="B251" t="e">
        <f ca="1">IFERROR(计算区域!AJ253,NA())</f>
        <v>#N/A</v>
      </c>
      <c r="C251" t="e">
        <f ca="1">IFERROR(计算区域!AK253,NA())</f>
        <v>#N/A</v>
      </c>
      <c r="D251" t="e">
        <f ca="1">IFERROR(计算区域!AL253,NA())</f>
        <v>#N/A</v>
      </c>
      <c r="E251" t="e">
        <f ca="1">IFERROR(计算区域!AM253,NA())</f>
        <v>#N/A</v>
      </c>
      <c r="G251" t="e">
        <f ca="1">IFERROR(计算区域!AD253,NA())</f>
        <v>#N/A</v>
      </c>
      <c r="H251" t="e">
        <f ca="1">IFERROR(计算区域!AE253,NA())</f>
        <v>#N/A</v>
      </c>
      <c r="I251" t="e">
        <f ca="1">IFERROR(计算区域!AF253,NA())</f>
        <v>#N/A</v>
      </c>
      <c r="J251" t="e">
        <f ca="1">IFERROR(计算区域!AG253,NA())</f>
        <v>#N/A</v>
      </c>
      <c r="L251" t="e">
        <f ca="1">IFERROR(计算区域!L253,NA())</f>
        <v>#N/A</v>
      </c>
      <c r="M251" t="e">
        <f ca="1">IFERROR(计算区域!M253,NA())</f>
        <v>#N/A</v>
      </c>
      <c r="N251" t="e">
        <f ca="1">IFERROR(计算区域!N253,NA())</f>
        <v>#N/A</v>
      </c>
      <c r="O251" t="e">
        <f ca="1">IFERROR(计算区域!O253,NA())</f>
        <v>#N/A</v>
      </c>
      <c r="Q251" t="e">
        <f ca="1">IFERROR(计算区域!R253,NA())</f>
        <v>#N/A</v>
      </c>
      <c r="R251" t="e">
        <f ca="1">IFERROR(计算区域!S253,NA())</f>
        <v>#N/A</v>
      </c>
      <c r="S251" t="e">
        <f ca="1">IFERROR(计算区域!T253,NA())</f>
        <v>#N/A</v>
      </c>
      <c r="T251" t="e">
        <f ca="1">IFERROR(计算区域!U253,NA())</f>
        <v>#N/A</v>
      </c>
      <c r="V251" t="e">
        <f ca="1">IFERROR(计算区域!X253,NA())</f>
        <v>#N/A</v>
      </c>
      <c r="W251" t="e">
        <f ca="1">IFERROR(计算区域!Y253,NA())</f>
        <v>#N/A</v>
      </c>
      <c r="X251" t="e">
        <f ca="1">IFERROR(计算区域!Z253,NA())</f>
        <v>#N/A</v>
      </c>
      <c r="Y251" t="e">
        <f ca="1">IFERROR(计算区域!AA253,NA())</f>
        <v>#N/A</v>
      </c>
    </row>
    <row r="252" spans="1:25" x14ac:dyDescent="0.2">
      <c r="A252" s="28">
        <f>计算区域!E254</f>
        <v>45282</v>
      </c>
      <c r="B252" t="e">
        <f ca="1">IFERROR(计算区域!AJ254,NA())</f>
        <v>#N/A</v>
      </c>
      <c r="C252" t="e">
        <f ca="1">IFERROR(计算区域!AK254,NA())</f>
        <v>#N/A</v>
      </c>
      <c r="D252" t="e">
        <f ca="1">IFERROR(计算区域!AL254,NA())</f>
        <v>#N/A</v>
      </c>
      <c r="E252" t="e">
        <f ca="1">IFERROR(计算区域!AM254,NA())</f>
        <v>#N/A</v>
      </c>
      <c r="G252" t="e">
        <f ca="1">IFERROR(计算区域!AD254,NA())</f>
        <v>#N/A</v>
      </c>
      <c r="H252" t="e">
        <f ca="1">IFERROR(计算区域!AE254,NA())</f>
        <v>#N/A</v>
      </c>
      <c r="I252" t="e">
        <f ca="1">IFERROR(计算区域!AF254,NA())</f>
        <v>#N/A</v>
      </c>
      <c r="J252" t="e">
        <f ca="1">IFERROR(计算区域!AG254,NA())</f>
        <v>#N/A</v>
      </c>
      <c r="L252" t="e">
        <f ca="1">IFERROR(计算区域!L254,NA())</f>
        <v>#N/A</v>
      </c>
      <c r="M252" t="e">
        <f ca="1">IFERROR(计算区域!M254,NA())</f>
        <v>#N/A</v>
      </c>
      <c r="N252" t="e">
        <f ca="1">IFERROR(计算区域!N254,NA())</f>
        <v>#N/A</v>
      </c>
      <c r="O252" t="e">
        <f ca="1">IFERROR(计算区域!O254,NA())</f>
        <v>#N/A</v>
      </c>
      <c r="Q252" t="e">
        <f ca="1">IFERROR(计算区域!R254,NA())</f>
        <v>#N/A</v>
      </c>
      <c r="R252" t="e">
        <f ca="1">IFERROR(计算区域!S254,NA())</f>
        <v>#N/A</v>
      </c>
      <c r="S252" t="e">
        <f ca="1">IFERROR(计算区域!T254,NA())</f>
        <v>#N/A</v>
      </c>
      <c r="T252" t="e">
        <f ca="1">IFERROR(计算区域!U254,NA())</f>
        <v>#N/A</v>
      </c>
      <c r="V252" t="e">
        <f ca="1">IFERROR(计算区域!X254,NA())</f>
        <v>#N/A</v>
      </c>
      <c r="W252" t="e">
        <f ca="1">IFERROR(计算区域!Y254,NA())</f>
        <v>#N/A</v>
      </c>
      <c r="X252" t="e">
        <f ca="1">IFERROR(计算区域!Z254,NA())</f>
        <v>#N/A</v>
      </c>
      <c r="Y252" t="e">
        <f ca="1">IFERROR(计算区域!AA254,NA())</f>
        <v>#N/A</v>
      </c>
    </row>
    <row r="253" spans="1:25" x14ac:dyDescent="0.2">
      <c r="A253" s="28">
        <f>计算区域!E255</f>
        <v>45281</v>
      </c>
      <c r="B253" t="e">
        <f ca="1">IFERROR(计算区域!AJ255,NA())</f>
        <v>#N/A</v>
      </c>
      <c r="C253" t="e">
        <f ca="1">IFERROR(计算区域!AK255,NA())</f>
        <v>#N/A</v>
      </c>
      <c r="D253" t="e">
        <f ca="1">IFERROR(计算区域!AL255,NA())</f>
        <v>#N/A</v>
      </c>
      <c r="E253" t="e">
        <f ca="1">IFERROR(计算区域!AM255,NA())</f>
        <v>#N/A</v>
      </c>
      <c r="G253" t="e">
        <f ca="1">IFERROR(计算区域!AD255,NA())</f>
        <v>#N/A</v>
      </c>
      <c r="H253" t="e">
        <f ca="1">IFERROR(计算区域!AE255,NA())</f>
        <v>#N/A</v>
      </c>
      <c r="I253" t="e">
        <f ca="1">IFERROR(计算区域!AF255,NA())</f>
        <v>#N/A</v>
      </c>
      <c r="J253" t="e">
        <f ca="1">IFERROR(计算区域!AG255,NA())</f>
        <v>#N/A</v>
      </c>
      <c r="L253" t="e">
        <f ca="1">IFERROR(计算区域!L255,NA())</f>
        <v>#N/A</v>
      </c>
      <c r="M253" t="e">
        <f ca="1">IFERROR(计算区域!M255,NA())</f>
        <v>#N/A</v>
      </c>
      <c r="N253" t="e">
        <f ca="1">IFERROR(计算区域!N255,NA())</f>
        <v>#N/A</v>
      </c>
      <c r="O253" t="e">
        <f ca="1">IFERROR(计算区域!O255,NA())</f>
        <v>#N/A</v>
      </c>
      <c r="Q253" t="e">
        <f ca="1">IFERROR(计算区域!R255,NA())</f>
        <v>#N/A</v>
      </c>
      <c r="R253" t="e">
        <f ca="1">IFERROR(计算区域!S255,NA())</f>
        <v>#N/A</v>
      </c>
      <c r="S253" t="e">
        <f ca="1">IFERROR(计算区域!T255,NA())</f>
        <v>#N/A</v>
      </c>
      <c r="T253" t="e">
        <f ca="1">IFERROR(计算区域!U255,NA())</f>
        <v>#N/A</v>
      </c>
      <c r="V253" t="e">
        <f ca="1">IFERROR(计算区域!X255,NA())</f>
        <v>#N/A</v>
      </c>
      <c r="W253" t="e">
        <f ca="1">IFERROR(计算区域!Y255,NA())</f>
        <v>#N/A</v>
      </c>
      <c r="X253" t="e">
        <f ca="1">IFERROR(计算区域!Z255,NA())</f>
        <v>#N/A</v>
      </c>
      <c r="Y253" t="e">
        <f ca="1">IFERROR(计算区域!AA255,NA())</f>
        <v>#N/A</v>
      </c>
    </row>
    <row r="254" spans="1:25" x14ac:dyDescent="0.2">
      <c r="A254" s="28">
        <f>计算区域!E256</f>
        <v>45280</v>
      </c>
      <c r="B254" t="e">
        <f ca="1">IFERROR(计算区域!AJ256,NA())</f>
        <v>#N/A</v>
      </c>
      <c r="C254" t="e">
        <f ca="1">IFERROR(计算区域!AK256,NA())</f>
        <v>#N/A</v>
      </c>
      <c r="D254" t="e">
        <f ca="1">IFERROR(计算区域!AL256,NA())</f>
        <v>#N/A</v>
      </c>
      <c r="E254" t="e">
        <f ca="1">IFERROR(计算区域!AM256,NA())</f>
        <v>#N/A</v>
      </c>
      <c r="G254" t="e">
        <f ca="1">IFERROR(计算区域!AD256,NA())</f>
        <v>#N/A</v>
      </c>
      <c r="H254" t="e">
        <f ca="1">IFERROR(计算区域!AE256,NA())</f>
        <v>#N/A</v>
      </c>
      <c r="I254" t="e">
        <f ca="1">IFERROR(计算区域!AF256,NA())</f>
        <v>#N/A</v>
      </c>
      <c r="J254" t="e">
        <f ca="1">IFERROR(计算区域!AG256,NA())</f>
        <v>#N/A</v>
      </c>
      <c r="L254" t="e">
        <f ca="1">IFERROR(计算区域!L256,NA())</f>
        <v>#N/A</v>
      </c>
      <c r="M254" t="e">
        <f ca="1">IFERROR(计算区域!M256,NA())</f>
        <v>#N/A</v>
      </c>
      <c r="N254" t="e">
        <f ca="1">IFERROR(计算区域!N256,NA())</f>
        <v>#N/A</v>
      </c>
      <c r="O254" t="e">
        <f ca="1">IFERROR(计算区域!O256,NA())</f>
        <v>#N/A</v>
      </c>
      <c r="Q254" t="e">
        <f ca="1">IFERROR(计算区域!R256,NA())</f>
        <v>#N/A</v>
      </c>
      <c r="R254" t="e">
        <f ca="1">IFERROR(计算区域!S256,NA())</f>
        <v>#N/A</v>
      </c>
      <c r="S254" t="e">
        <f ca="1">IFERROR(计算区域!T256,NA())</f>
        <v>#N/A</v>
      </c>
      <c r="T254" t="e">
        <f ca="1">IFERROR(计算区域!U256,NA())</f>
        <v>#N/A</v>
      </c>
      <c r="V254" t="e">
        <f ca="1">IFERROR(计算区域!X256,NA())</f>
        <v>#N/A</v>
      </c>
      <c r="W254" t="e">
        <f ca="1">IFERROR(计算区域!Y256,NA())</f>
        <v>#N/A</v>
      </c>
      <c r="X254" t="e">
        <f ca="1">IFERROR(计算区域!Z256,NA())</f>
        <v>#N/A</v>
      </c>
      <c r="Y254" t="e">
        <f ca="1">IFERROR(计算区域!AA256,NA())</f>
        <v>#N/A</v>
      </c>
    </row>
    <row r="255" spans="1:25" x14ac:dyDescent="0.2">
      <c r="A255" s="28">
        <f>计算区域!E257</f>
        <v>45279</v>
      </c>
      <c r="B255" t="e">
        <f ca="1">IFERROR(计算区域!AJ257,NA())</f>
        <v>#N/A</v>
      </c>
      <c r="C255" t="e">
        <f ca="1">IFERROR(计算区域!AK257,NA())</f>
        <v>#N/A</v>
      </c>
      <c r="D255" t="e">
        <f ca="1">IFERROR(计算区域!AL257,NA())</f>
        <v>#N/A</v>
      </c>
      <c r="E255" t="e">
        <f ca="1">IFERROR(计算区域!AM257,NA())</f>
        <v>#N/A</v>
      </c>
      <c r="G255" t="e">
        <f ca="1">IFERROR(计算区域!AD257,NA())</f>
        <v>#N/A</v>
      </c>
      <c r="H255" t="e">
        <f ca="1">IFERROR(计算区域!AE257,NA())</f>
        <v>#N/A</v>
      </c>
      <c r="I255" t="e">
        <f ca="1">IFERROR(计算区域!AF257,NA())</f>
        <v>#N/A</v>
      </c>
      <c r="J255" t="e">
        <f ca="1">IFERROR(计算区域!AG257,NA())</f>
        <v>#N/A</v>
      </c>
      <c r="L255" t="e">
        <f ca="1">IFERROR(计算区域!L257,NA())</f>
        <v>#N/A</v>
      </c>
      <c r="M255" t="e">
        <f ca="1">IFERROR(计算区域!M257,NA())</f>
        <v>#N/A</v>
      </c>
      <c r="N255" t="e">
        <f ca="1">IFERROR(计算区域!N257,NA())</f>
        <v>#N/A</v>
      </c>
      <c r="O255" t="e">
        <f ca="1">IFERROR(计算区域!O257,NA())</f>
        <v>#N/A</v>
      </c>
      <c r="Q255" t="e">
        <f ca="1">IFERROR(计算区域!R257,NA())</f>
        <v>#N/A</v>
      </c>
      <c r="R255" t="e">
        <f ca="1">IFERROR(计算区域!S257,NA())</f>
        <v>#N/A</v>
      </c>
      <c r="S255" t="e">
        <f ca="1">IFERROR(计算区域!T257,NA())</f>
        <v>#N/A</v>
      </c>
      <c r="T255" t="e">
        <f ca="1">IFERROR(计算区域!U257,NA())</f>
        <v>#N/A</v>
      </c>
      <c r="V255" t="e">
        <f ca="1">IFERROR(计算区域!X257,NA())</f>
        <v>#N/A</v>
      </c>
      <c r="W255" t="e">
        <f ca="1">IFERROR(计算区域!Y257,NA())</f>
        <v>#N/A</v>
      </c>
      <c r="X255" t="e">
        <f ca="1">IFERROR(计算区域!Z257,NA())</f>
        <v>#N/A</v>
      </c>
      <c r="Y255" t="e">
        <f ca="1">IFERROR(计算区域!AA257,NA())</f>
        <v>#N/A</v>
      </c>
    </row>
    <row r="256" spans="1:25" x14ac:dyDescent="0.2">
      <c r="A256" s="28">
        <f>计算区域!E258</f>
        <v>45278</v>
      </c>
      <c r="B256" t="e">
        <f ca="1">IFERROR(计算区域!AJ258,NA())</f>
        <v>#N/A</v>
      </c>
      <c r="C256" t="e">
        <f ca="1">IFERROR(计算区域!AK258,NA())</f>
        <v>#N/A</v>
      </c>
      <c r="D256" t="e">
        <f ca="1">IFERROR(计算区域!AL258,NA())</f>
        <v>#N/A</v>
      </c>
      <c r="E256" t="e">
        <f ca="1">IFERROR(计算区域!AM258,NA())</f>
        <v>#N/A</v>
      </c>
      <c r="G256" t="e">
        <f ca="1">IFERROR(计算区域!AD258,NA())</f>
        <v>#N/A</v>
      </c>
      <c r="H256" t="e">
        <f ca="1">IFERROR(计算区域!AE258,NA())</f>
        <v>#N/A</v>
      </c>
      <c r="I256" t="e">
        <f ca="1">IFERROR(计算区域!AF258,NA())</f>
        <v>#N/A</v>
      </c>
      <c r="J256" t="e">
        <f ca="1">IFERROR(计算区域!AG258,NA())</f>
        <v>#N/A</v>
      </c>
      <c r="L256" t="e">
        <f ca="1">IFERROR(计算区域!L258,NA())</f>
        <v>#N/A</v>
      </c>
      <c r="M256" t="e">
        <f ca="1">IFERROR(计算区域!M258,NA())</f>
        <v>#N/A</v>
      </c>
      <c r="N256" t="e">
        <f ca="1">IFERROR(计算区域!N258,NA())</f>
        <v>#N/A</v>
      </c>
      <c r="O256" t="e">
        <f ca="1">IFERROR(计算区域!O258,NA())</f>
        <v>#N/A</v>
      </c>
      <c r="Q256" t="e">
        <f ca="1">IFERROR(计算区域!R258,NA())</f>
        <v>#N/A</v>
      </c>
      <c r="R256" t="e">
        <f ca="1">IFERROR(计算区域!S258,NA())</f>
        <v>#N/A</v>
      </c>
      <c r="S256" t="e">
        <f ca="1">IFERROR(计算区域!T258,NA())</f>
        <v>#N/A</v>
      </c>
      <c r="T256" t="e">
        <f ca="1">IFERROR(计算区域!U258,NA())</f>
        <v>#N/A</v>
      </c>
      <c r="V256" t="e">
        <f ca="1">IFERROR(计算区域!X258,NA())</f>
        <v>#N/A</v>
      </c>
      <c r="W256" t="e">
        <f ca="1">IFERROR(计算区域!Y258,NA())</f>
        <v>#N/A</v>
      </c>
      <c r="X256" t="e">
        <f ca="1">IFERROR(计算区域!Z258,NA())</f>
        <v>#N/A</v>
      </c>
      <c r="Y256" t="e">
        <f ca="1">IFERROR(计算区域!AA258,NA())</f>
        <v>#N/A</v>
      </c>
    </row>
    <row r="257" spans="1:25" x14ac:dyDescent="0.2">
      <c r="A257" s="28">
        <f>计算区域!E259</f>
        <v>45275</v>
      </c>
      <c r="B257" t="e">
        <f ca="1">IFERROR(计算区域!AJ259,NA())</f>
        <v>#N/A</v>
      </c>
      <c r="C257" t="e">
        <f ca="1">IFERROR(计算区域!AK259,NA())</f>
        <v>#N/A</v>
      </c>
      <c r="D257" t="e">
        <f ca="1">IFERROR(计算区域!AL259,NA())</f>
        <v>#N/A</v>
      </c>
      <c r="E257" t="e">
        <f ca="1">IFERROR(计算区域!AM259,NA())</f>
        <v>#N/A</v>
      </c>
      <c r="G257" t="e">
        <f ca="1">IFERROR(计算区域!AD259,NA())</f>
        <v>#N/A</v>
      </c>
      <c r="H257" t="e">
        <f ca="1">IFERROR(计算区域!AE259,NA())</f>
        <v>#N/A</v>
      </c>
      <c r="I257" t="e">
        <f ca="1">IFERROR(计算区域!AF259,NA())</f>
        <v>#N/A</v>
      </c>
      <c r="J257" t="e">
        <f ca="1">IFERROR(计算区域!AG259,NA())</f>
        <v>#N/A</v>
      </c>
      <c r="L257" t="e">
        <f ca="1">IFERROR(计算区域!L259,NA())</f>
        <v>#N/A</v>
      </c>
      <c r="M257" t="e">
        <f ca="1">IFERROR(计算区域!M259,NA())</f>
        <v>#N/A</v>
      </c>
      <c r="N257" t="e">
        <f ca="1">IFERROR(计算区域!N259,NA())</f>
        <v>#N/A</v>
      </c>
      <c r="O257" t="e">
        <f ca="1">IFERROR(计算区域!O259,NA())</f>
        <v>#N/A</v>
      </c>
      <c r="Q257" t="e">
        <f ca="1">IFERROR(计算区域!R259,NA())</f>
        <v>#N/A</v>
      </c>
      <c r="R257" t="e">
        <f ca="1">IFERROR(计算区域!S259,NA())</f>
        <v>#N/A</v>
      </c>
      <c r="S257" t="e">
        <f ca="1">IFERROR(计算区域!T259,NA())</f>
        <v>#N/A</v>
      </c>
      <c r="T257" t="e">
        <f ca="1">IFERROR(计算区域!U259,NA())</f>
        <v>#N/A</v>
      </c>
      <c r="V257" t="e">
        <f ca="1">IFERROR(计算区域!X259,NA())</f>
        <v>#N/A</v>
      </c>
      <c r="W257" t="e">
        <f ca="1">IFERROR(计算区域!Y259,NA())</f>
        <v>#N/A</v>
      </c>
      <c r="X257" t="e">
        <f ca="1">IFERROR(计算区域!Z259,NA())</f>
        <v>#N/A</v>
      </c>
      <c r="Y257" t="e">
        <f ca="1">IFERROR(计算区域!AA259,NA())</f>
        <v>#N/A</v>
      </c>
    </row>
    <row r="258" spans="1:25" x14ac:dyDescent="0.2">
      <c r="A258" s="28">
        <f>计算区域!E260</f>
        <v>45274</v>
      </c>
      <c r="B258" t="e">
        <f ca="1">IFERROR(计算区域!AJ260,NA())</f>
        <v>#N/A</v>
      </c>
      <c r="C258" t="e">
        <f ca="1">IFERROR(计算区域!AK260,NA())</f>
        <v>#N/A</v>
      </c>
      <c r="D258" t="e">
        <f ca="1">IFERROR(计算区域!AL260,NA())</f>
        <v>#N/A</v>
      </c>
      <c r="E258" t="e">
        <f ca="1">IFERROR(计算区域!AM260,NA())</f>
        <v>#N/A</v>
      </c>
      <c r="G258" t="e">
        <f ca="1">IFERROR(计算区域!AD260,NA())</f>
        <v>#N/A</v>
      </c>
      <c r="H258" t="e">
        <f ca="1">IFERROR(计算区域!AE260,NA())</f>
        <v>#N/A</v>
      </c>
      <c r="I258" t="e">
        <f ca="1">IFERROR(计算区域!AF260,NA())</f>
        <v>#N/A</v>
      </c>
      <c r="J258" t="e">
        <f ca="1">IFERROR(计算区域!AG260,NA())</f>
        <v>#N/A</v>
      </c>
      <c r="L258" t="e">
        <f ca="1">IFERROR(计算区域!L260,NA())</f>
        <v>#N/A</v>
      </c>
      <c r="M258" t="e">
        <f ca="1">IFERROR(计算区域!M260,NA())</f>
        <v>#N/A</v>
      </c>
      <c r="N258" t="e">
        <f ca="1">IFERROR(计算区域!N260,NA())</f>
        <v>#N/A</v>
      </c>
      <c r="O258" t="e">
        <f ca="1">IFERROR(计算区域!O260,NA())</f>
        <v>#N/A</v>
      </c>
      <c r="Q258" t="e">
        <f ca="1">IFERROR(计算区域!R260,NA())</f>
        <v>#N/A</v>
      </c>
      <c r="R258" t="e">
        <f ca="1">IFERROR(计算区域!S260,NA())</f>
        <v>#N/A</v>
      </c>
      <c r="S258" t="e">
        <f ca="1">IFERROR(计算区域!T260,NA())</f>
        <v>#N/A</v>
      </c>
      <c r="T258" t="e">
        <f ca="1">IFERROR(计算区域!U260,NA())</f>
        <v>#N/A</v>
      </c>
      <c r="V258" t="e">
        <f ca="1">IFERROR(计算区域!X260,NA())</f>
        <v>#N/A</v>
      </c>
      <c r="W258" t="e">
        <f ca="1">IFERROR(计算区域!Y260,NA())</f>
        <v>#N/A</v>
      </c>
      <c r="X258" t="e">
        <f ca="1">IFERROR(计算区域!Z260,NA())</f>
        <v>#N/A</v>
      </c>
      <c r="Y258" t="e">
        <f ca="1">IFERROR(计算区域!AA260,NA())</f>
        <v>#N/A</v>
      </c>
    </row>
    <row r="259" spans="1:25" x14ac:dyDescent="0.2">
      <c r="A259" s="28">
        <f>计算区域!E261</f>
        <v>45273</v>
      </c>
      <c r="B259" t="e">
        <f ca="1">IFERROR(计算区域!AJ261,NA())</f>
        <v>#N/A</v>
      </c>
      <c r="C259" t="e">
        <f ca="1">IFERROR(计算区域!AK261,NA())</f>
        <v>#N/A</v>
      </c>
      <c r="D259" t="e">
        <f ca="1">IFERROR(计算区域!AL261,NA())</f>
        <v>#N/A</v>
      </c>
      <c r="E259" t="e">
        <f ca="1">IFERROR(计算区域!AM261,NA())</f>
        <v>#N/A</v>
      </c>
      <c r="G259" t="e">
        <f ca="1">IFERROR(计算区域!AD261,NA())</f>
        <v>#N/A</v>
      </c>
      <c r="H259" t="e">
        <f ca="1">IFERROR(计算区域!AE261,NA())</f>
        <v>#N/A</v>
      </c>
      <c r="I259" t="e">
        <f ca="1">IFERROR(计算区域!AF261,NA())</f>
        <v>#N/A</v>
      </c>
      <c r="J259" t="e">
        <f ca="1">IFERROR(计算区域!AG261,NA())</f>
        <v>#N/A</v>
      </c>
      <c r="L259" t="e">
        <f ca="1">IFERROR(计算区域!L261,NA())</f>
        <v>#N/A</v>
      </c>
      <c r="M259" t="e">
        <f ca="1">IFERROR(计算区域!M261,NA())</f>
        <v>#N/A</v>
      </c>
      <c r="N259" t="e">
        <f ca="1">IFERROR(计算区域!N261,NA())</f>
        <v>#N/A</v>
      </c>
      <c r="O259" t="e">
        <f ca="1">IFERROR(计算区域!O261,NA())</f>
        <v>#N/A</v>
      </c>
      <c r="Q259" t="e">
        <f ca="1">IFERROR(计算区域!R261,NA())</f>
        <v>#N/A</v>
      </c>
      <c r="R259" t="e">
        <f ca="1">IFERROR(计算区域!S261,NA())</f>
        <v>#N/A</v>
      </c>
      <c r="S259" t="e">
        <f ca="1">IFERROR(计算区域!T261,NA())</f>
        <v>#N/A</v>
      </c>
      <c r="T259" t="e">
        <f ca="1">IFERROR(计算区域!U261,NA())</f>
        <v>#N/A</v>
      </c>
      <c r="V259" t="e">
        <f ca="1">IFERROR(计算区域!X261,NA())</f>
        <v>#N/A</v>
      </c>
      <c r="W259" t="e">
        <f ca="1">IFERROR(计算区域!Y261,NA())</f>
        <v>#N/A</v>
      </c>
      <c r="X259" t="e">
        <f ca="1">IFERROR(计算区域!Z261,NA())</f>
        <v>#N/A</v>
      </c>
      <c r="Y259" t="e">
        <f ca="1">IFERROR(计算区域!AA261,NA())</f>
        <v>#N/A</v>
      </c>
    </row>
    <row r="260" spans="1:25" x14ac:dyDescent="0.2">
      <c r="A260" s="28">
        <f>计算区域!E262</f>
        <v>45272</v>
      </c>
      <c r="B260" t="e">
        <f ca="1">IFERROR(计算区域!AJ262,NA())</f>
        <v>#N/A</v>
      </c>
      <c r="C260" t="e">
        <f ca="1">IFERROR(计算区域!AK262,NA())</f>
        <v>#N/A</v>
      </c>
      <c r="D260" t="e">
        <f ca="1">IFERROR(计算区域!AL262,NA())</f>
        <v>#N/A</v>
      </c>
      <c r="E260" t="e">
        <f ca="1">IFERROR(计算区域!AM262,NA())</f>
        <v>#N/A</v>
      </c>
      <c r="G260" t="e">
        <f ca="1">IFERROR(计算区域!AD262,NA())</f>
        <v>#N/A</v>
      </c>
      <c r="H260" t="e">
        <f ca="1">IFERROR(计算区域!AE262,NA())</f>
        <v>#N/A</v>
      </c>
      <c r="I260" t="e">
        <f ca="1">IFERROR(计算区域!AF262,NA())</f>
        <v>#N/A</v>
      </c>
      <c r="J260" t="e">
        <f ca="1">IFERROR(计算区域!AG262,NA())</f>
        <v>#N/A</v>
      </c>
      <c r="L260" t="e">
        <f ca="1">IFERROR(计算区域!L262,NA())</f>
        <v>#N/A</v>
      </c>
      <c r="M260" t="e">
        <f ca="1">IFERROR(计算区域!M262,NA())</f>
        <v>#N/A</v>
      </c>
      <c r="N260" t="e">
        <f ca="1">IFERROR(计算区域!N262,NA())</f>
        <v>#N/A</v>
      </c>
      <c r="O260" t="e">
        <f ca="1">IFERROR(计算区域!O262,NA())</f>
        <v>#N/A</v>
      </c>
      <c r="Q260" t="e">
        <f ca="1">IFERROR(计算区域!R262,NA())</f>
        <v>#N/A</v>
      </c>
      <c r="R260" t="e">
        <f ca="1">IFERROR(计算区域!S262,NA())</f>
        <v>#N/A</v>
      </c>
      <c r="S260" t="e">
        <f ca="1">IFERROR(计算区域!T262,NA())</f>
        <v>#N/A</v>
      </c>
      <c r="T260" t="e">
        <f ca="1">IFERROR(计算区域!U262,NA())</f>
        <v>#N/A</v>
      </c>
      <c r="V260" t="e">
        <f ca="1">IFERROR(计算区域!X262,NA())</f>
        <v>#N/A</v>
      </c>
      <c r="W260" t="e">
        <f ca="1">IFERROR(计算区域!Y262,NA())</f>
        <v>#N/A</v>
      </c>
      <c r="X260" t="e">
        <f ca="1">IFERROR(计算区域!Z262,NA())</f>
        <v>#N/A</v>
      </c>
      <c r="Y260" t="e">
        <f ca="1">IFERROR(计算区域!AA262,NA())</f>
        <v>#N/A</v>
      </c>
    </row>
    <row r="261" spans="1:25" x14ac:dyDescent="0.2">
      <c r="A261" s="28">
        <f>计算区域!E263</f>
        <v>45271</v>
      </c>
      <c r="B261" t="e">
        <f ca="1">IFERROR(计算区域!AJ263,NA())</f>
        <v>#N/A</v>
      </c>
      <c r="C261" t="e">
        <f ca="1">IFERROR(计算区域!AK263,NA())</f>
        <v>#N/A</v>
      </c>
      <c r="D261" t="e">
        <f ca="1">IFERROR(计算区域!AL263,NA())</f>
        <v>#N/A</v>
      </c>
      <c r="E261" t="e">
        <f ca="1">IFERROR(计算区域!AM263,NA())</f>
        <v>#N/A</v>
      </c>
      <c r="G261" t="e">
        <f ca="1">IFERROR(计算区域!AD263,NA())</f>
        <v>#N/A</v>
      </c>
      <c r="H261" t="e">
        <f ca="1">IFERROR(计算区域!AE263,NA())</f>
        <v>#N/A</v>
      </c>
      <c r="I261" t="e">
        <f ca="1">IFERROR(计算区域!AF263,NA())</f>
        <v>#N/A</v>
      </c>
      <c r="J261" t="e">
        <f ca="1">IFERROR(计算区域!AG263,NA())</f>
        <v>#N/A</v>
      </c>
      <c r="L261" t="e">
        <f ca="1">IFERROR(计算区域!L263,NA())</f>
        <v>#N/A</v>
      </c>
      <c r="M261" t="e">
        <f ca="1">IFERROR(计算区域!M263,NA())</f>
        <v>#N/A</v>
      </c>
      <c r="N261" t="e">
        <f ca="1">IFERROR(计算区域!N263,NA())</f>
        <v>#N/A</v>
      </c>
      <c r="O261" t="e">
        <f ca="1">IFERROR(计算区域!O263,NA())</f>
        <v>#N/A</v>
      </c>
      <c r="Q261" t="e">
        <f ca="1">IFERROR(计算区域!R263,NA())</f>
        <v>#N/A</v>
      </c>
      <c r="R261" t="e">
        <f ca="1">IFERROR(计算区域!S263,NA())</f>
        <v>#N/A</v>
      </c>
      <c r="S261" t="e">
        <f ca="1">IFERROR(计算区域!T263,NA())</f>
        <v>#N/A</v>
      </c>
      <c r="T261" t="e">
        <f ca="1">IFERROR(计算区域!U263,NA())</f>
        <v>#N/A</v>
      </c>
      <c r="V261" t="e">
        <f ca="1">IFERROR(计算区域!X263,NA())</f>
        <v>#N/A</v>
      </c>
      <c r="W261" t="e">
        <f ca="1">IFERROR(计算区域!Y263,NA())</f>
        <v>#N/A</v>
      </c>
      <c r="X261" t="e">
        <f ca="1">IFERROR(计算区域!Z263,NA())</f>
        <v>#N/A</v>
      </c>
      <c r="Y261" t="e">
        <f ca="1">IFERROR(计算区域!AA263,NA())</f>
        <v>#N/A</v>
      </c>
    </row>
    <row r="262" spans="1:25" x14ac:dyDescent="0.2">
      <c r="A262" s="28">
        <f>计算区域!E264</f>
        <v>45268</v>
      </c>
      <c r="B262" t="e">
        <f ca="1">IFERROR(计算区域!AJ264,NA())</f>
        <v>#N/A</v>
      </c>
      <c r="C262" t="e">
        <f ca="1">IFERROR(计算区域!AK264,NA())</f>
        <v>#N/A</v>
      </c>
      <c r="D262" t="e">
        <f ca="1">IFERROR(计算区域!AL264,NA())</f>
        <v>#N/A</v>
      </c>
      <c r="E262" t="e">
        <f ca="1">IFERROR(计算区域!AM264,NA())</f>
        <v>#N/A</v>
      </c>
      <c r="G262" t="e">
        <f ca="1">IFERROR(计算区域!AD264,NA())</f>
        <v>#N/A</v>
      </c>
      <c r="H262" t="e">
        <f ca="1">IFERROR(计算区域!AE264,NA())</f>
        <v>#N/A</v>
      </c>
      <c r="I262" t="e">
        <f ca="1">IFERROR(计算区域!AF264,NA())</f>
        <v>#N/A</v>
      </c>
      <c r="J262" t="e">
        <f ca="1">IFERROR(计算区域!AG264,NA())</f>
        <v>#N/A</v>
      </c>
      <c r="L262" t="e">
        <f ca="1">IFERROR(计算区域!L264,NA())</f>
        <v>#N/A</v>
      </c>
      <c r="M262" t="e">
        <f ca="1">IFERROR(计算区域!M264,NA())</f>
        <v>#N/A</v>
      </c>
      <c r="N262" t="e">
        <f ca="1">IFERROR(计算区域!N264,NA())</f>
        <v>#N/A</v>
      </c>
      <c r="O262" t="e">
        <f ca="1">IFERROR(计算区域!O264,NA())</f>
        <v>#N/A</v>
      </c>
      <c r="Q262" t="e">
        <f ca="1">IFERROR(计算区域!R264,NA())</f>
        <v>#N/A</v>
      </c>
      <c r="R262" t="e">
        <f ca="1">IFERROR(计算区域!S264,NA())</f>
        <v>#N/A</v>
      </c>
      <c r="S262" t="e">
        <f ca="1">IFERROR(计算区域!T264,NA())</f>
        <v>#N/A</v>
      </c>
      <c r="T262" t="e">
        <f ca="1">IFERROR(计算区域!U264,NA())</f>
        <v>#N/A</v>
      </c>
      <c r="V262" t="e">
        <f ca="1">IFERROR(计算区域!X264,NA())</f>
        <v>#N/A</v>
      </c>
      <c r="W262" t="e">
        <f ca="1">IFERROR(计算区域!Y264,NA())</f>
        <v>#N/A</v>
      </c>
      <c r="X262" t="e">
        <f ca="1">IFERROR(计算区域!Z264,NA())</f>
        <v>#N/A</v>
      </c>
      <c r="Y262" t="e">
        <f ca="1">IFERROR(计算区域!AA264,NA())</f>
        <v>#N/A</v>
      </c>
    </row>
    <row r="263" spans="1:25" x14ac:dyDescent="0.2">
      <c r="A263" s="28">
        <f>计算区域!E265</f>
        <v>45267</v>
      </c>
      <c r="B263" t="e">
        <f ca="1">IFERROR(计算区域!AJ265,NA())</f>
        <v>#N/A</v>
      </c>
      <c r="C263" t="e">
        <f ca="1">IFERROR(计算区域!AK265,NA())</f>
        <v>#N/A</v>
      </c>
      <c r="D263" t="e">
        <f ca="1">IFERROR(计算区域!AL265,NA())</f>
        <v>#N/A</v>
      </c>
      <c r="E263" t="e">
        <f ca="1">IFERROR(计算区域!AM265,NA())</f>
        <v>#N/A</v>
      </c>
      <c r="G263" t="e">
        <f ca="1">IFERROR(计算区域!AD265,NA())</f>
        <v>#N/A</v>
      </c>
      <c r="H263" t="e">
        <f ca="1">IFERROR(计算区域!AE265,NA())</f>
        <v>#N/A</v>
      </c>
      <c r="I263" t="e">
        <f ca="1">IFERROR(计算区域!AF265,NA())</f>
        <v>#N/A</v>
      </c>
      <c r="J263" t="e">
        <f ca="1">IFERROR(计算区域!AG265,NA())</f>
        <v>#N/A</v>
      </c>
      <c r="L263" t="e">
        <f ca="1">IFERROR(计算区域!L265,NA())</f>
        <v>#N/A</v>
      </c>
      <c r="M263" t="e">
        <f ca="1">IFERROR(计算区域!M265,NA())</f>
        <v>#N/A</v>
      </c>
      <c r="N263" t="e">
        <f ca="1">IFERROR(计算区域!N265,NA())</f>
        <v>#N/A</v>
      </c>
      <c r="O263" t="e">
        <f ca="1">IFERROR(计算区域!O265,NA())</f>
        <v>#N/A</v>
      </c>
      <c r="Q263" t="e">
        <f ca="1">IFERROR(计算区域!R265,NA())</f>
        <v>#N/A</v>
      </c>
      <c r="R263" t="e">
        <f ca="1">IFERROR(计算区域!S265,NA())</f>
        <v>#N/A</v>
      </c>
      <c r="S263" t="e">
        <f ca="1">IFERROR(计算区域!T265,NA())</f>
        <v>#N/A</v>
      </c>
      <c r="T263" t="e">
        <f ca="1">IFERROR(计算区域!U265,NA())</f>
        <v>#N/A</v>
      </c>
      <c r="V263" t="e">
        <f ca="1">IFERROR(计算区域!X265,NA())</f>
        <v>#N/A</v>
      </c>
      <c r="W263" t="e">
        <f ca="1">IFERROR(计算区域!Y265,NA())</f>
        <v>#N/A</v>
      </c>
      <c r="X263" t="e">
        <f ca="1">IFERROR(计算区域!Z265,NA())</f>
        <v>#N/A</v>
      </c>
      <c r="Y263" t="e">
        <f ca="1">IFERROR(计算区域!AA265,NA())</f>
        <v>#N/A</v>
      </c>
    </row>
    <row r="264" spans="1:25" x14ac:dyDescent="0.2">
      <c r="A264" s="28">
        <f>计算区域!E266</f>
        <v>45266</v>
      </c>
      <c r="B264" t="e">
        <f ca="1">IFERROR(计算区域!AJ266,NA())</f>
        <v>#N/A</v>
      </c>
      <c r="C264" t="e">
        <f ca="1">IFERROR(计算区域!AK266,NA())</f>
        <v>#N/A</v>
      </c>
      <c r="D264" t="e">
        <f ca="1">IFERROR(计算区域!AL266,NA())</f>
        <v>#N/A</v>
      </c>
      <c r="E264" t="e">
        <f ca="1">IFERROR(计算区域!AM266,NA())</f>
        <v>#N/A</v>
      </c>
      <c r="G264" t="e">
        <f ca="1">IFERROR(计算区域!AD266,NA())</f>
        <v>#N/A</v>
      </c>
      <c r="H264" t="e">
        <f ca="1">IFERROR(计算区域!AE266,NA())</f>
        <v>#N/A</v>
      </c>
      <c r="I264" t="e">
        <f ca="1">IFERROR(计算区域!AF266,NA())</f>
        <v>#N/A</v>
      </c>
      <c r="J264" t="e">
        <f ca="1">IFERROR(计算区域!AG266,NA())</f>
        <v>#N/A</v>
      </c>
      <c r="L264" t="e">
        <f ca="1">IFERROR(计算区域!L266,NA())</f>
        <v>#N/A</v>
      </c>
      <c r="M264" t="e">
        <f ca="1">IFERROR(计算区域!M266,NA())</f>
        <v>#N/A</v>
      </c>
      <c r="N264" t="e">
        <f ca="1">IFERROR(计算区域!N266,NA())</f>
        <v>#N/A</v>
      </c>
      <c r="O264" t="e">
        <f ca="1">IFERROR(计算区域!O266,NA())</f>
        <v>#N/A</v>
      </c>
      <c r="Q264" t="e">
        <f ca="1">IFERROR(计算区域!R266,NA())</f>
        <v>#N/A</v>
      </c>
      <c r="R264" t="e">
        <f ca="1">IFERROR(计算区域!S266,NA())</f>
        <v>#N/A</v>
      </c>
      <c r="S264" t="e">
        <f ca="1">IFERROR(计算区域!T266,NA())</f>
        <v>#N/A</v>
      </c>
      <c r="T264" t="e">
        <f ca="1">IFERROR(计算区域!U266,NA())</f>
        <v>#N/A</v>
      </c>
      <c r="V264" t="e">
        <f ca="1">IFERROR(计算区域!X266,NA())</f>
        <v>#N/A</v>
      </c>
      <c r="W264" t="e">
        <f ca="1">IFERROR(计算区域!Y266,NA())</f>
        <v>#N/A</v>
      </c>
      <c r="X264" t="e">
        <f ca="1">IFERROR(计算区域!Z266,NA())</f>
        <v>#N/A</v>
      </c>
      <c r="Y264" t="e">
        <f ca="1">IFERROR(计算区域!AA266,NA())</f>
        <v>#N/A</v>
      </c>
    </row>
    <row r="265" spans="1:25" x14ac:dyDescent="0.2">
      <c r="A265" s="28">
        <f>计算区域!E267</f>
        <v>45265</v>
      </c>
      <c r="B265" t="e">
        <f ca="1">IFERROR(计算区域!AJ267,NA())</f>
        <v>#N/A</v>
      </c>
      <c r="C265" t="e">
        <f ca="1">IFERROR(计算区域!AK267,NA())</f>
        <v>#N/A</v>
      </c>
      <c r="D265" t="e">
        <f ca="1">IFERROR(计算区域!AL267,NA())</f>
        <v>#N/A</v>
      </c>
      <c r="E265" t="e">
        <f ca="1">IFERROR(计算区域!AM267,NA())</f>
        <v>#N/A</v>
      </c>
      <c r="G265" t="e">
        <f ca="1">IFERROR(计算区域!AD267,NA())</f>
        <v>#N/A</v>
      </c>
      <c r="H265" t="e">
        <f ca="1">IFERROR(计算区域!AE267,NA())</f>
        <v>#N/A</v>
      </c>
      <c r="I265" t="e">
        <f ca="1">IFERROR(计算区域!AF267,NA())</f>
        <v>#N/A</v>
      </c>
      <c r="J265" t="e">
        <f ca="1">IFERROR(计算区域!AG267,NA())</f>
        <v>#N/A</v>
      </c>
      <c r="L265" t="e">
        <f ca="1">IFERROR(计算区域!L267,NA())</f>
        <v>#N/A</v>
      </c>
      <c r="M265" t="e">
        <f ca="1">IFERROR(计算区域!M267,NA())</f>
        <v>#N/A</v>
      </c>
      <c r="N265" t="e">
        <f ca="1">IFERROR(计算区域!N267,NA())</f>
        <v>#N/A</v>
      </c>
      <c r="O265" t="e">
        <f ca="1">IFERROR(计算区域!O267,NA())</f>
        <v>#N/A</v>
      </c>
      <c r="Q265" t="e">
        <f ca="1">IFERROR(计算区域!R267,NA())</f>
        <v>#N/A</v>
      </c>
      <c r="R265" t="e">
        <f ca="1">IFERROR(计算区域!S267,NA())</f>
        <v>#N/A</v>
      </c>
      <c r="S265" t="e">
        <f ca="1">IFERROR(计算区域!T267,NA())</f>
        <v>#N/A</v>
      </c>
      <c r="T265" t="e">
        <f ca="1">IFERROR(计算区域!U267,NA())</f>
        <v>#N/A</v>
      </c>
      <c r="V265" t="e">
        <f ca="1">IFERROR(计算区域!X267,NA())</f>
        <v>#N/A</v>
      </c>
      <c r="W265" t="e">
        <f ca="1">IFERROR(计算区域!Y267,NA())</f>
        <v>#N/A</v>
      </c>
      <c r="X265" t="e">
        <f ca="1">IFERROR(计算区域!Z267,NA())</f>
        <v>#N/A</v>
      </c>
      <c r="Y265" t="e">
        <f ca="1">IFERROR(计算区域!AA267,NA())</f>
        <v>#N/A</v>
      </c>
    </row>
    <row r="266" spans="1:25" x14ac:dyDescent="0.2">
      <c r="A266" s="28">
        <f>计算区域!E268</f>
        <v>45264</v>
      </c>
      <c r="B266" t="e">
        <f ca="1">IFERROR(计算区域!AJ268,NA())</f>
        <v>#N/A</v>
      </c>
      <c r="C266" t="e">
        <f ca="1">IFERROR(计算区域!AK268,NA())</f>
        <v>#N/A</v>
      </c>
      <c r="D266" t="e">
        <f ca="1">IFERROR(计算区域!AL268,NA())</f>
        <v>#N/A</v>
      </c>
      <c r="E266" t="e">
        <f ca="1">IFERROR(计算区域!AM268,NA())</f>
        <v>#N/A</v>
      </c>
      <c r="G266" t="e">
        <f ca="1">IFERROR(计算区域!AD268,NA())</f>
        <v>#N/A</v>
      </c>
      <c r="H266" t="e">
        <f ca="1">IFERROR(计算区域!AE268,NA())</f>
        <v>#N/A</v>
      </c>
      <c r="I266" t="e">
        <f ca="1">IFERROR(计算区域!AF268,NA())</f>
        <v>#N/A</v>
      </c>
      <c r="J266" t="e">
        <f ca="1">IFERROR(计算区域!AG268,NA())</f>
        <v>#N/A</v>
      </c>
      <c r="L266" t="e">
        <f ca="1">IFERROR(计算区域!L268,NA())</f>
        <v>#N/A</v>
      </c>
      <c r="M266" t="e">
        <f ca="1">IFERROR(计算区域!M268,NA())</f>
        <v>#N/A</v>
      </c>
      <c r="N266" t="e">
        <f ca="1">IFERROR(计算区域!N268,NA())</f>
        <v>#N/A</v>
      </c>
      <c r="O266" t="e">
        <f ca="1">IFERROR(计算区域!O268,NA())</f>
        <v>#N/A</v>
      </c>
      <c r="Q266" t="e">
        <f ca="1">IFERROR(计算区域!R268,NA())</f>
        <v>#N/A</v>
      </c>
      <c r="R266" t="e">
        <f ca="1">IFERROR(计算区域!S268,NA())</f>
        <v>#N/A</v>
      </c>
      <c r="S266" t="e">
        <f ca="1">IFERROR(计算区域!T268,NA())</f>
        <v>#N/A</v>
      </c>
      <c r="T266" t="e">
        <f ca="1">IFERROR(计算区域!U268,NA())</f>
        <v>#N/A</v>
      </c>
      <c r="V266" t="e">
        <f ca="1">IFERROR(计算区域!X268,NA())</f>
        <v>#N/A</v>
      </c>
      <c r="W266" t="e">
        <f ca="1">IFERROR(计算区域!Y268,NA())</f>
        <v>#N/A</v>
      </c>
      <c r="X266" t="e">
        <f ca="1">IFERROR(计算区域!Z268,NA())</f>
        <v>#N/A</v>
      </c>
      <c r="Y266" t="e">
        <f ca="1">IFERROR(计算区域!AA268,NA())</f>
        <v>#N/A</v>
      </c>
    </row>
    <row r="267" spans="1:25" x14ac:dyDescent="0.2">
      <c r="A267" s="28">
        <f>计算区域!E269</f>
        <v>45261</v>
      </c>
      <c r="B267" t="e">
        <f ca="1">IFERROR(计算区域!AJ269,NA())</f>
        <v>#N/A</v>
      </c>
      <c r="C267" t="e">
        <f ca="1">IFERROR(计算区域!AK269,NA())</f>
        <v>#N/A</v>
      </c>
      <c r="D267" t="e">
        <f ca="1">IFERROR(计算区域!AL269,NA())</f>
        <v>#N/A</v>
      </c>
      <c r="E267" t="e">
        <f ca="1">IFERROR(计算区域!AM269,NA())</f>
        <v>#N/A</v>
      </c>
      <c r="G267" t="e">
        <f ca="1">IFERROR(计算区域!AD269,NA())</f>
        <v>#N/A</v>
      </c>
      <c r="H267" t="e">
        <f ca="1">IFERROR(计算区域!AE269,NA())</f>
        <v>#N/A</v>
      </c>
      <c r="I267" t="e">
        <f ca="1">IFERROR(计算区域!AF269,NA())</f>
        <v>#N/A</v>
      </c>
      <c r="J267" t="e">
        <f ca="1">IFERROR(计算区域!AG269,NA())</f>
        <v>#N/A</v>
      </c>
      <c r="L267" t="e">
        <f ca="1">IFERROR(计算区域!L269,NA())</f>
        <v>#N/A</v>
      </c>
      <c r="M267" t="e">
        <f ca="1">IFERROR(计算区域!M269,NA())</f>
        <v>#N/A</v>
      </c>
      <c r="N267" t="e">
        <f ca="1">IFERROR(计算区域!N269,NA())</f>
        <v>#N/A</v>
      </c>
      <c r="O267" t="e">
        <f ca="1">IFERROR(计算区域!O269,NA())</f>
        <v>#N/A</v>
      </c>
      <c r="Q267" t="e">
        <f ca="1">IFERROR(计算区域!R269,NA())</f>
        <v>#N/A</v>
      </c>
      <c r="R267" t="e">
        <f ca="1">IFERROR(计算区域!S269,NA())</f>
        <v>#N/A</v>
      </c>
      <c r="S267" t="e">
        <f ca="1">IFERROR(计算区域!T269,NA())</f>
        <v>#N/A</v>
      </c>
      <c r="T267" t="e">
        <f ca="1">IFERROR(计算区域!U269,NA())</f>
        <v>#N/A</v>
      </c>
      <c r="V267" t="e">
        <f ca="1">IFERROR(计算区域!X269,NA())</f>
        <v>#N/A</v>
      </c>
      <c r="W267" t="e">
        <f ca="1">IFERROR(计算区域!Y269,NA())</f>
        <v>#N/A</v>
      </c>
      <c r="X267" t="e">
        <f ca="1">IFERROR(计算区域!Z269,NA())</f>
        <v>#N/A</v>
      </c>
      <c r="Y267" t="e">
        <f ca="1">IFERROR(计算区域!AA269,NA())</f>
        <v>#N/A</v>
      </c>
    </row>
    <row r="268" spans="1:25" x14ac:dyDescent="0.2">
      <c r="A268" s="28">
        <f>计算区域!E270</f>
        <v>45260</v>
      </c>
      <c r="B268" t="e">
        <f ca="1">IFERROR(计算区域!AJ270,NA())</f>
        <v>#N/A</v>
      </c>
      <c r="C268" t="e">
        <f ca="1">IFERROR(计算区域!AK270,NA())</f>
        <v>#N/A</v>
      </c>
      <c r="D268" t="e">
        <f ca="1">IFERROR(计算区域!AL270,NA())</f>
        <v>#N/A</v>
      </c>
      <c r="E268" t="e">
        <f ca="1">IFERROR(计算区域!AM270,NA())</f>
        <v>#N/A</v>
      </c>
      <c r="G268" t="e">
        <f ca="1">IFERROR(计算区域!AD270,NA())</f>
        <v>#N/A</v>
      </c>
      <c r="H268" t="e">
        <f ca="1">IFERROR(计算区域!AE270,NA())</f>
        <v>#N/A</v>
      </c>
      <c r="I268" t="e">
        <f ca="1">IFERROR(计算区域!AF270,NA())</f>
        <v>#N/A</v>
      </c>
      <c r="J268" t="e">
        <f ca="1">IFERROR(计算区域!AG270,NA())</f>
        <v>#N/A</v>
      </c>
      <c r="L268" t="e">
        <f ca="1">IFERROR(计算区域!L270,NA())</f>
        <v>#N/A</v>
      </c>
      <c r="M268" t="e">
        <f ca="1">IFERROR(计算区域!M270,NA())</f>
        <v>#N/A</v>
      </c>
      <c r="N268" t="e">
        <f ca="1">IFERROR(计算区域!N270,NA())</f>
        <v>#N/A</v>
      </c>
      <c r="O268" t="e">
        <f ca="1">IFERROR(计算区域!O270,NA())</f>
        <v>#N/A</v>
      </c>
      <c r="Q268" t="e">
        <f ca="1">IFERROR(计算区域!R270,NA())</f>
        <v>#N/A</v>
      </c>
      <c r="R268" t="e">
        <f ca="1">IFERROR(计算区域!S270,NA())</f>
        <v>#N/A</v>
      </c>
      <c r="S268" t="e">
        <f ca="1">IFERROR(计算区域!T270,NA())</f>
        <v>#N/A</v>
      </c>
      <c r="T268" t="e">
        <f ca="1">IFERROR(计算区域!U270,NA())</f>
        <v>#N/A</v>
      </c>
      <c r="V268" t="e">
        <f ca="1">IFERROR(计算区域!X270,NA())</f>
        <v>#N/A</v>
      </c>
      <c r="W268" t="e">
        <f ca="1">IFERROR(计算区域!Y270,NA())</f>
        <v>#N/A</v>
      </c>
      <c r="X268" t="e">
        <f ca="1">IFERROR(计算区域!Z270,NA())</f>
        <v>#N/A</v>
      </c>
      <c r="Y268" t="e">
        <f ca="1">IFERROR(计算区域!AA270,NA())</f>
        <v>#N/A</v>
      </c>
    </row>
    <row r="269" spans="1:25" x14ac:dyDescent="0.2">
      <c r="A269" s="28">
        <f>计算区域!E271</f>
        <v>45259</v>
      </c>
      <c r="B269" t="e">
        <f ca="1">IFERROR(计算区域!AJ271,NA())</f>
        <v>#N/A</v>
      </c>
      <c r="C269" t="e">
        <f ca="1">IFERROR(计算区域!AK271,NA())</f>
        <v>#N/A</v>
      </c>
      <c r="D269" t="e">
        <f ca="1">IFERROR(计算区域!AL271,NA())</f>
        <v>#N/A</v>
      </c>
      <c r="E269" t="e">
        <f ca="1">IFERROR(计算区域!AM271,NA())</f>
        <v>#N/A</v>
      </c>
      <c r="G269" t="e">
        <f ca="1">IFERROR(计算区域!AD271,NA())</f>
        <v>#N/A</v>
      </c>
      <c r="H269" t="e">
        <f ca="1">IFERROR(计算区域!AE271,NA())</f>
        <v>#N/A</v>
      </c>
      <c r="I269" t="e">
        <f ca="1">IFERROR(计算区域!AF271,NA())</f>
        <v>#N/A</v>
      </c>
      <c r="J269" t="e">
        <f ca="1">IFERROR(计算区域!AG271,NA())</f>
        <v>#N/A</v>
      </c>
      <c r="L269" t="e">
        <f ca="1">IFERROR(计算区域!L271,NA())</f>
        <v>#N/A</v>
      </c>
      <c r="M269" t="e">
        <f ca="1">IFERROR(计算区域!M271,NA())</f>
        <v>#N/A</v>
      </c>
      <c r="N269" t="e">
        <f ca="1">IFERROR(计算区域!N271,NA())</f>
        <v>#N/A</v>
      </c>
      <c r="O269" t="e">
        <f ca="1">IFERROR(计算区域!O271,NA())</f>
        <v>#N/A</v>
      </c>
      <c r="Q269" t="e">
        <f ca="1">IFERROR(计算区域!R271,NA())</f>
        <v>#N/A</v>
      </c>
      <c r="R269" t="e">
        <f ca="1">IFERROR(计算区域!S271,NA())</f>
        <v>#N/A</v>
      </c>
      <c r="S269" t="e">
        <f ca="1">IFERROR(计算区域!T271,NA())</f>
        <v>#N/A</v>
      </c>
      <c r="T269" t="e">
        <f ca="1">IFERROR(计算区域!U271,NA())</f>
        <v>#N/A</v>
      </c>
      <c r="V269" t="e">
        <f ca="1">IFERROR(计算区域!X271,NA())</f>
        <v>#N/A</v>
      </c>
      <c r="W269" t="e">
        <f ca="1">IFERROR(计算区域!Y271,NA())</f>
        <v>#N/A</v>
      </c>
      <c r="X269" t="e">
        <f ca="1">IFERROR(计算区域!Z271,NA())</f>
        <v>#N/A</v>
      </c>
      <c r="Y269" t="e">
        <f ca="1">IFERROR(计算区域!AA271,NA())</f>
        <v>#N/A</v>
      </c>
    </row>
    <row r="270" spans="1:25" x14ac:dyDescent="0.2">
      <c r="A270" s="28">
        <f>计算区域!E272</f>
        <v>45258</v>
      </c>
      <c r="B270" t="e">
        <f ca="1">IFERROR(计算区域!AJ272,NA())</f>
        <v>#N/A</v>
      </c>
      <c r="C270" t="e">
        <f ca="1">IFERROR(计算区域!AK272,NA())</f>
        <v>#N/A</v>
      </c>
      <c r="D270" t="e">
        <f ca="1">IFERROR(计算区域!AL272,NA())</f>
        <v>#N/A</v>
      </c>
      <c r="E270" t="e">
        <f ca="1">IFERROR(计算区域!AM272,NA())</f>
        <v>#N/A</v>
      </c>
      <c r="G270" t="e">
        <f ca="1">IFERROR(计算区域!AD272,NA())</f>
        <v>#N/A</v>
      </c>
      <c r="H270" t="e">
        <f ca="1">IFERROR(计算区域!AE272,NA())</f>
        <v>#N/A</v>
      </c>
      <c r="I270" t="e">
        <f ca="1">IFERROR(计算区域!AF272,NA())</f>
        <v>#N/A</v>
      </c>
      <c r="J270" t="e">
        <f ca="1">IFERROR(计算区域!AG272,NA())</f>
        <v>#N/A</v>
      </c>
      <c r="L270" t="e">
        <f ca="1">IFERROR(计算区域!L272,NA())</f>
        <v>#N/A</v>
      </c>
      <c r="M270" t="e">
        <f ca="1">IFERROR(计算区域!M272,NA())</f>
        <v>#N/A</v>
      </c>
      <c r="N270" t="e">
        <f ca="1">IFERROR(计算区域!N272,NA())</f>
        <v>#N/A</v>
      </c>
      <c r="O270" t="e">
        <f ca="1">IFERROR(计算区域!O272,NA())</f>
        <v>#N/A</v>
      </c>
      <c r="Q270" t="e">
        <f ca="1">IFERROR(计算区域!R272,NA())</f>
        <v>#N/A</v>
      </c>
      <c r="R270" t="e">
        <f ca="1">IFERROR(计算区域!S272,NA())</f>
        <v>#N/A</v>
      </c>
      <c r="S270" t="e">
        <f ca="1">IFERROR(计算区域!T272,NA())</f>
        <v>#N/A</v>
      </c>
      <c r="T270" t="e">
        <f ca="1">IFERROR(计算区域!U272,NA())</f>
        <v>#N/A</v>
      </c>
      <c r="V270" t="e">
        <f ca="1">IFERROR(计算区域!X272,NA())</f>
        <v>#N/A</v>
      </c>
      <c r="W270" t="e">
        <f ca="1">IFERROR(计算区域!Y272,NA())</f>
        <v>#N/A</v>
      </c>
      <c r="X270" t="e">
        <f ca="1">IFERROR(计算区域!Z272,NA())</f>
        <v>#N/A</v>
      </c>
      <c r="Y270" t="e">
        <f ca="1">IFERROR(计算区域!AA272,NA())</f>
        <v>#N/A</v>
      </c>
    </row>
    <row r="271" spans="1:25" x14ac:dyDescent="0.2">
      <c r="A271" s="28">
        <f>计算区域!E273</f>
        <v>45257</v>
      </c>
      <c r="B271" t="e">
        <f ca="1">IFERROR(计算区域!AJ273,NA())</f>
        <v>#N/A</v>
      </c>
      <c r="C271" t="e">
        <f ca="1">IFERROR(计算区域!AK273,NA())</f>
        <v>#N/A</v>
      </c>
      <c r="D271" t="e">
        <f ca="1">IFERROR(计算区域!AL273,NA())</f>
        <v>#N/A</v>
      </c>
      <c r="E271" t="e">
        <f ca="1">IFERROR(计算区域!AM273,NA())</f>
        <v>#N/A</v>
      </c>
      <c r="G271" t="e">
        <f ca="1">IFERROR(计算区域!AD273,NA())</f>
        <v>#N/A</v>
      </c>
      <c r="H271" t="e">
        <f ca="1">IFERROR(计算区域!AE273,NA())</f>
        <v>#N/A</v>
      </c>
      <c r="I271" t="e">
        <f ca="1">IFERROR(计算区域!AF273,NA())</f>
        <v>#N/A</v>
      </c>
      <c r="J271" t="e">
        <f ca="1">IFERROR(计算区域!AG273,NA())</f>
        <v>#N/A</v>
      </c>
      <c r="L271" t="e">
        <f ca="1">IFERROR(计算区域!L273,NA())</f>
        <v>#N/A</v>
      </c>
      <c r="M271" t="e">
        <f ca="1">IFERROR(计算区域!M273,NA())</f>
        <v>#N/A</v>
      </c>
      <c r="N271" t="e">
        <f ca="1">IFERROR(计算区域!N273,NA())</f>
        <v>#N/A</v>
      </c>
      <c r="O271" t="e">
        <f ca="1">IFERROR(计算区域!O273,NA())</f>
        <v>#N/A</v>
      </c>
      <c r="Q271" t="e">
        <f ca="1">IFERROR(计算区域!R273,NA())</f>
        <v>#N/A</v>
      </c>
      <c r="R271" t="e">
        <f ca="1">IFERROR(计算区域!S273,NA())</f>
        <v>#N/A</v>
      </c>
      <c r="S271" t="e">
        <f ca="1">IFERROR(计算区域!T273,NA())</f>
        <v>#N/A</v>
      </c>
      <c r="T271" t="e">
        <f ca="1">IFERROR(计算区域!U273,NA())</f>
        <v>#N/A</v>
      </c>
      <c r="V271" t="e">
        <f ca="1">IFERROR(计算区域!X273,NA())</f>
        <v>#N/A</v>
      </c>
      <c r="W271" t="e">
        <f ca="1">IFERROR(计算区域!Y273,NA())</f>
        <v>#N/A</v>
      </c>
      <c r="X271" t="e">
        <f ca="1">IFERROR(计算区域!Z273,NA())</f>
        <v>#N/A</v>
      </c>
      <c r="Y271" t="e">
        <f ca="1">IFERROR(计算区域!AA273,NA())</f>
        <v>#N/A</v>
      </c>
    </row>
    <row r="272" spans="1:25" x14ac:dyDescent="0.2">
      <c r="A272" s="28">
        <f>计算区域!E274</f>
        <v>45254</v>
      </c>
      <c r="B272" t="e">
        <f ca="1">IFERROR(计算区域!AJ274,NA())</f>
        <v>#N/A</v>
      </c>
      <c r="C272" t="e">
        <f ca="1">IFERROR(计算区域!AK274,NA())</f>
        <v>#N/A</v>
      </c>
      <c r="D272" t="e">
        <f ca="1">IFERROR(计算区域!AL274,NA())</f>
        <v>#N/A</v>
      </c>
      <c r="E272" t="e">
        <f ca="1">IFERROR(计算区域!AM274,NA())</f>
        <v>#N/A</v>
      </c>
      <c r="G272" t="e">
        <f ca="1">IFERROR(计算区域!AD274,NA())</f>
        <v>#N/A</v>
      </c>
      <c r="H272" t="e">
        <f ca="1">IFERROR(计算区域!AE274,NA())</f>
        <v>#N/A</v>
      </c>
      <c r="I272" t="e">
        <f ca="1">IFERROR(计算区域!AF274,NA())</f>
        <v>#N/A</v>
      </c>
      <c r="J272" t="e">
        <f ca="1">IFERROR(计算区域!AG274,NA())</f>
        <v>#N/A</v>
      </c>
      <c r="L272" t="e">
        <f ca="1">IFERROR(计算区域!L274,NA())</f>
        <v>#N/A</v>
      </c>
      <c r="M272" t="e">
        <f ca="1">IFERROR(计算区域!M274,NA())</f>
        <v>#N/A</v>
      </c>
      <c r="N272" t="e">
        <f ca="1">IFERROR(计算区域!N274,NA())</f>
        <v>#N/A</v>
      </c>
      <c r="O272" t="e">
        <f ca="1">IFERROR(计算区域!O274,NA())</f>
        <v>#N/A</v>
      </c>
      <c r="Q272" t="e">
        <f ca="1">IFERROR(计算区域!R274,NA())</f>
        <v>#N/A</v>
      </c>
      <c r="R272" t="e">
        <f ca="1">IFERROR(计算区域!S274,NA())</f>
        <v>#N/A</v>
      </c>
      <c r="S272" t="e">
        <f ca="1">IFERROR(计算区域!T274,NA())</f>
        <v>#N/A</v>
      </c>
      <c r="T272" t="e">
        <f ca="1">IFERROR(计算区域!U274,NA())</f>
        <v>#N/A</v>
      </c>
      <c r="V272" t="e">
        <f ca="1">IFERROR(计算区域!X274,NA())</f>
        <v>#N/A</v>
      </c>
      <c r="W272" t="e">
        <f ca="1">IFERROR(计算区域!Y274,NA())</f>
        <v>#N/A</v>
      </c>
      <c r="X272" t="e">
        <f ca="1">IFERROR(计算区域!Z274,NA())</f>
        <v>#N/A</v>
      </c>
      <c r="Y272" t="e">
        <f ca="1">IFERROR(计算区域!AA274,NA())</f>
        <v>#N/A</v>
      </c>
    </row>
    <row r="273" spans="1:25" x14ac:dyDescent="0.2">
      <c r="A273" s="28">
        <f>计算区域!E275</f>
        <v>45253</v>
      </c>
      <c r="B273" t="e">
        <f ca="1">IFERROR(计算区域!AJ275,NA())</f>
        <v>#N/A</v>
      </c>
      <c r="C273" t="e">
        <f ca="1">IFERROR(计算区域!AK275,NA())</f>
        <v>#N/A</v>
      </c>
      <c r="D273" t="e">
        <f ca="1">IFERROR(计算区域!AL275,NA())</f>
        <v>#N/A</v>
      </c>
      <c r="E273" t="e">
        <f ca="1">IFERROR(计算区域!AM275,NA())</f>
        <v>#N/A</v>
      </c>
      <c r="G273" t="e">
        <f ca="1">IFERROR(计算区域!AD275,NA())</f>
        <v>#N/A</v>
      </c>
      <c r="H273" t="e">
        <f ca="1">IFERROR(计算区域!AE275,NA())</f>
        <v>#N/A</v>
      </c>
      <c r="I273" t="e">
        <f ca="1">IFERROR(计算区域!AF275,NA())</f>
        <v>#N/A</v>
      </c>
      <c r="J273" t="e">
        <f ca="1">IFERROR(计算区域!AG275,NA())</f>
        <v>#N/A</v>
      </c>
      <c r="L273" t="e">
        <f ca="1">IFERROR(计算区域!L275,NA())</f>
        <v>#N/A</v>
      </c>
      <c r="M273" t="e">
        <f ca="1">IFERROR(计算区域!M275,NA())</f>
        <v>#N/A</v>
      </c>
      <c r="N273" t="e">
        <f ca="1">IFERROR(计算区域!N275,NA())</f>
        <v>#N/A</v>
      </c>
      <c r="O273" t="e">
        <f ca="1">IFERROR(计算区域!O275,NA())</f>
        <v>#N/A</v>
      </c>
      <c r="Q273" t="e">
        <f ca="1">IFERROR(计算区域!R275,NA())</f>
        <v>#N/A</v>
      </c>
      <c r="R273" t="e">
        <f ca="1">IFERROR(计算区域!S275,NA())</f>
        <v>#N/A</v>
      </c>
      <c r="S273" t="e">
        <f ca="1">IFERROR(计算区域!T275,NA())</f>
        <v>#N/A</v>
      </c>
      <c r="T273" t="e">
        <f ca="1">IFERROR(计算区域!U275,NA())</f>
        <v>#N/A</v>
      </c>
      <c r="V273" t="e">
        <f ca="1">IFERROR(计算区域!X275,NA())</f>
        <v>#N/A</v>
      </c>
      <c r="W273" t="e">
        <f ca="1">IFERROR(计算区域!Y275,NA())</f>
        <v>#N/A</v>
      </c>
      <c r="X273" t="e">
        <f ca="1">IFERROR(计算区域!Z275,NA())</f>
        <v>#N/A</v>
      </c>
      <c r="Y273" t="e">
        <f ca="1">IFERROR(计算区域!AA275,NA())</f>
        <v>#N/A</v>
      </c>
    </row>
    <row r="274" spans="1:25" x14ac:dyDescent="0.2">
      <c r="A274" s="28">
        <f>计算区域!E276</f>
        <v>45252</v>
      </c>
      <c r="B274" t="e">
        <f ca="1">IFERROR(计算区域!AJ276,NA())</f>
        <v>#N/A</v>
      </c>
      <c r="C274" t="e">
        <f ca="1">IFERROR(计算区域!AK276,NA())</f>
        <v>#N/A</v>
      </c>
      <c r="D274" t="e">
        <f ca="1">IFERROR(计算区域!AL276,NA())</f>
        <v>#N/A</v>
      </c>
      <c r="E274" t="e">
        <f ca="1">IFERROR(计算区域!AM276,NA())</f>
        <v>#N/A</v>
      </c>
      <c r="G274" t="e">
        <f ca="1">IFERROR(计算区域!AD276,NA())</f>
        <v>#N/A</v>
      </c>
      <c r="H274" t="e">
        <f ca="1">IFERROR(计算区域!AE276,NA())</f>
        <v>#N/A</v>
      </c>
      <c r="I274" t="e">
        <f ca="1">IFERROR(计算区域!AF276,NA())</f>
        <v>#N/A</v>
      </c>
      <c r="J274" t="e">
        <f ca="1">IFERROR(计算区域!AG276,NA())</f>
        <v>#N/A</v>
      </c>
      <c r="L274" t="e">
        <f ca="1">IFERROR(计算区域!L276,NA())</f>
        <v>#N/A</v>
      </c>
      <c r="M274" t="e">
        <f ca="1">IFERROR(计算区域!M276,NA())</f>
        <v>#N/A</v>
      </c>
      <c r="N274" t="e">
        <f ca="1">IFERROR(计算区域!N276,NA())</f>
        <v>#N/A</v>
      </c>
      <c r="O274" t="e">
        <f ca="1">IFERROR(计算区域!O276,NA())</f>
        <v>#N/A</v>
      </c>
      <c r="Q274" t="e">
        <f ca="1">IFERROR(计算区域!R276,NA())</f>
        <v>#N/A</v>
      </c>
      <c r="R274" t="e">
        <f ca="1">IFERROR(计算区域!S276,NA())</f>
        <v>#N/A</v>
      </c>
      <c r="S274" t="e">
        <f ca="1">IFERROR(计算区域!T276,NA())</f>
        <v>#N/A</v>
      </c>
      <c r="T274" t="e">
        <f ca="1">IFERROR(计算区域!U276,NA())</f>
        <v>#N/A</v>
      </c>
      <c r="V274" t="e">
        <f ca="1">IFERROR(计算区域!X276,NA())</f>
        <v>#N/A</v>
      </c>
      <c r="W274" t="e">
        <f ca="1">IFERROR(计算区域!Y276,NA())</f>
        <v>#N/A</v>
      </c>
      <c r="X274" t="e">
        <f ca="1">IFERROR(计算区域!Z276,NA())</f>
        <v>#N/A</v>
      </c>
      <c r="Y274" t="e">
        <f ca="1">IFERROR(计算区域!AA276,NA())</f>
        <v>#N/A</v>
      </c>
    </row>
    <row r="275" spans="1:25" x14ac:dyDescent="0.2">
      <c r="A275" s="28">
        <f>计算区域!E277</f>
        <v>45251</v>
      </c>
      <c r="B275" t="e">
        <f ca="1">IFERROR(计算区域!AJ277,NA())</f>
        <v>#N/A</v>
      </c>
      <c r="C275" t="e">
        <f ca="1">IFERROR(计算区域!AK277,NA())</f>
        <v>#N/A</v>
      </c>
      <c r="D275" t="e">
        <f ca="1">IFERROR(计算区域!AL277,NA())</f>
        <v>#N/A</v>
      </c>
      <c r="E275" t="e">
        <f ca="1">IFERROR(计算区域!AM277,NA())</f>
        <v>#N/A</v>
      </c>
      <c r="G275" t="e">
        <f ca="1">IFERROR(计算区域!AD277,NA())</f>
        <v>#N/A</v>
      </c>
      <c r="H275" t="e">
        <f ca="1">IFERROR(计算区域!AE277,NA())</f>
        <v>#N/A</v>
      </c>
      <c r="I275" t="e">
        <f ca="1">IFERROR(计算区域!AF277,NA())</f>
        <v>#N/A</v>
      </c>
      <c r="J275" t="e">
        <f ca="1">IFERROR(计算区域!AG277,NA())</f>
        <v>#N/A</v>
      </c>
      <c r="L275" t="e">
        <f ca="1">IFERROR(计算区域!L277,NA())</f>
        <v>#N/A</v>
      </c>
      <c r="M275" t="e">
        <f ca="1">IFERROR(计算区域!M277,NA())</f>
        <v>#N/A</v>
      </c>
      <c r="N275" t="e">
        <f ca="1">IFERROR(计算区域!N277,NA())</f>
        <v>#N/A</v>
      </c>
      <c r="O275" t="e">
        <f ca="1">IFERROR(计算区域!O277,NA())</f>
        <v>#N/A</v>
      </c>
      <c r="Q275" t="e">
        <f ca="1">IFERROR(计算区域!R277,NA())</f>
        <v>#N/A</v>
      </c>
      <c r="R275" t="e">
        <f ca="1">IFERROR(计算区域!S277,NA())</f>
        <v>#N/A</v>
      </c>
      <c r="S275" t="e">
        <f ca="1">IFERROR(计算区域!T277,NA())</f>
        <v>#N/A</v>
      </c>
      <c r="T275" t="e">
        <f ca="1">IFERROR(计算区域!U277,NA())</f>
        <v>#N/A</v>
      </c>
      <c r="V275" t="e">
        <f ca="1">IFERROR(计算区域!X277,NA())</f>
        <v>#N/A</v>
      </c>
      <c r="W275" t="e">
        <f ca="1">IFERROR(计算区域!Y277,NA())</f>
        <v>#N/A</v>
      </c>
      <c r="X275" t="e">
        <f ca="1">IFERROR(计算区域!Z277,NA())</f>
        <v>#N/A</v>
      </c>
      <c r="Y275" t="e">
        <f ca="1">IFERROR(计算区域!AA277,NA())</f>
        <v>#N/A</v>
      </c>
    </row>
    <row r="276" spans="1:25" x14ac:dyDescent="0.2">
      <c r="A276" s="28">
        <f>计算区域!E278</f>
        <v>45250</v>
      </c>
      <c r="B276" t="e">
        <f ca="1">IFERROR(计算区域!AJ278,NA())</f>
        <v>#N/A</v>
      </c>
      <c r="C276" t="e">
        <f ca="1">IFERROR(计算区域!AK278,NA())</f>
        <v>#N/A</v>
      </c>
      <c r="D276" t="e">
        <f ca="1">IFERROR(计算区域!AL278,NA())</f>
        <v>#N/A</v>
      </c>
      <c r="E276" t="e">
        <f ca="1">IFERROR(计算区域!AM278,NA())</f>
        <v>#N/A</v>
      </c>
      <c r="G276" t="e">
        <f ca="1">IFERROR(计算区域!AD278,NA())</f>
        <v>#N/A</v>
      </c>
      <c r="H276" t="e">
        <f ca="1">IFERROR(计算区域!AE278,NA())</f>
        <v>#N/A</v>
      </c>
      <c r="I276" t="e">
        <f ca="1">IFERROR(计算区域!AF278,NA())</f>
        <v>#N/A</v>
      </c>
      <c r="J276" t="e">
        <f ca="1">IFERROR(计算区域!AG278,NA())</f>
        <v>#N/A</v>
      </c>
      <c r="L276" t="e">
        <f ca="1">IFERROR(计算区域!L278,NA())</f>
        <v>#N/A</v>
      </c>
      <c r="M276" t="e">
        <f ca="1">IFERROR(计算区域!M278,NA())</f>
        <v>#N/A</v>
      </c>
      <c r="N276" t="e">
        <f ca="1">IFERROR(计算区域!N278,NA())</f>
        <v>#N/A</v>
      </c>
      <c r="O276" t="e">
        <f ca="1">IFERROR(计算区域!O278,NA())</f>
        <v>#N/A</v>
      </c>
      <c r="Q276" t="e">
        <f ca="1">IFERROR(计算区域!R278,NA())</f>
        <v>#N/A</v>
      </c>
      <c r="R276" t="e">
        <f ca="1">IFERROR(计算区域!S278,NA())</f>
        <v>#N/A</v>
      </c>
      <c r="S276" t="e">
        <f ca="1">IFERROR(计算区域!T278,NA())</f>
        <v>#N/A</v>
      </c>
      <c r="T276" t="e">
        <f ca="1">IFERROR(计算区域!U278,NA())</f>
        <v>#N/A</v>
      </c>
      <c r="V276" t="e">
        <f ca="1">IFERROR(计算区域!X278,NA())</f>
        <v>#N/A</v>
      </c>
      <c r="W276" t="e">
        <f ca="1">IFERROR(计算区域!Y278,NA())</f>
        <v>#N/A</v>
      </c>
      <c r="X276" t="e">
        <f ca="1">IFERROR(计算区域!Z278,NA())</f>
        <v>#N/A</v>
      </c>
      <c r="Y276" t="e">
        <f ca="1">IFERROR(计算区域!AA278,NA())</f>
        <v>#N/A</v>
      </c>
    </row>
    <row r="277" spans="1:25" x14ac:dyDescent="0.2">
      <c r="A277" s="28">
        <f>计算区域!E279</f>
        <v>45247</v>
      </c>
      <c r="B277" t="e">
        <f ca="1">IFERROR(计算区域!AJ279,NA())</f>
        <v>#N/A</v>
      </c>
      <c r="C277" t="e">
        <f ca="1">IFERROR(计算区域!AK279,NA())</f>
        <v>#N/A</v>
      </c>
      <c r="D277" t="e">
        <f ca="1">IFERROR(计算区域!AL279,NA())</f>
        <v>#N/A</v>
      </c>
      <c r="E277" t="e">
        <f ca="1">IFERROR(计算区域!AM279,NA())</f>
        <v>#N/A</v>
      </c>
      <c r="G277" t="e">
        <f ca="1">IFERROR(计算区域!AD279,NA())</f>
        <v>#N/A</v>
      </c>
      <c r="H277" t="e">
        <f ca="1">IFERROR(计算区域!AE279,NA())</f>
        <v>#N/A</v>
      </c>
      <c r="I277" t="e">
        <f ca="1">IFERROR(计算区域!AF279,NA())</f>
        <v>#N/A</v>
      </c>
      <c r="J277" t="e">
        <f ca="1">IFERROR(计算区域!AG279,NA())</f>
        <v>#N/A</v>
      </c>
      <c r="L277" t="e">
        <f ca="1">IFERROR(计算区域!L279,NA())</f>
        <v>#N/A</v>
      </c>
      <c r="M277" t="e">
        <f ca="1">IFERROR(计算区域!M279,NA())</f>
        <v>#N/A</v>
      </c>
      <c r="N277" t="e">
        <f ca="1">IFERROR(计算区域!N279,NA())</f>
        <v>#N/A</v>
      </c>
      <c r="O277" t="e">
        <f ca="1">IFERROR(计算区域!O279,NA())</f>
        <v>#N/A</v>
      </c>
      <c r="Q277" t="e">
        <f ca="1">IFERROR(计算区域!R279,NA())</f>
        <v>#N/A</v>
      </c>
      <c r="R277" t="e">
        <f ca="1">IFERROR(计算区域!S279,NA())</f>
        <v>#N/A</v>
      </c>
      <c r="S277" t="e">
        <f ca="1">IFERROR(计算区域!T279,NA())</f>
        <v>#N/A</v>
      </c>
      <c r="T277" t="e">
        <f ca="1">IFERROR(计算区域!U279,NA())</f>
        <v>#N/A</v>
      </c>
      <c r="V277" t="e">
        <f ca="1">IFERROR(计算区域!X279,NA())</f>
        <v>#N/A</v>
      </c>
      <c r="W277" t="e">
        <f ca="1">IFERROR(计算区域!Y279,NA())</f>
        <v>#N/A</v>
      </c>
      <c r="X277" t="e">
        <f ca="1">IFERROR(计算区域!Z279,NA())</f>
        <v>#N/A</v>
      </c>
      <c r="Y277" t="e">
        <f ca="1">IFERROR(计算区域!AA279,NA())</f>
        <v>#N/A</v>
      </c>
    </row>
    <row r="278" spans="1:25" x14ac:dyDescent="0.2">
      <c r="A278" s="28">
        <f>计算区域!E280</f>
        <v>45246</v>
      </c>
      <c r="B278" t="e">
        <f ca="1">IFERROR(计算区域!AJ280,NA())</f>
        <v>#N/A</v>
      </c>
      <c r="C278" t="e">
        <f ca="1">IFERROR(计算区域!AK280,NA())</f>
        <v>#N/A</v>
      </c>
      <c r="D278" t="e">
        <f ca="1">IFERROR(计算区域!AL280,NA())</f>
        <v>#N/A</v>
      </c>
      <c r="E278" t="e">
        <f ca="1">IFERROR(计算区域!AM280,NA())</f>
        <v>#N/A</v>
      </c>
      <c r="G278" t="e">
        <f ca="1">IFERROR(计算区域!AD280,NA())</f>
        <v>#N/A</v>
      </c>
      <c r="H278" t="e">
        <f ca="1">IFERROR(计算区域!AE280,NA())</f>
        <v>#N/A</v>
      </c>
      <c r="I278" t="e">
        <f ca="1">IFERROR(计算区域!AF280,NA())</f>
        <v>#N/A</v>
      </c>
      <c r="J278" t="e">
        <f ca="1">IFERROR(计算区域!AG280,NA())</f>
        <v>#N/A</v>
      </c>
      <c r="L278" t="e">
        <f ca="1">IFERROR(计算区域!L280,NA())</f>
        <v>#N/A</v>
      </c>
      <c r="M278" t="e">
        <f ca="1">IFERROR(计算区域!M280,NA())</f>
        <v>#N/A</v>
      </c>
      <c r="N278" t="e">
        <f ca="1">IFERROR(计算区域!N280,NA())</f>
        <v>#N/A</v>
      </c>
      <c r="O278" t="e">
        <f ca="1">IFERROR(计算区域!O280,NA())</f>
        <v>#N/A</v>
      </c>
      <c r="Q278" t="e">
        <f ca="1">IFERROR(计算区域!R280,NA())</f>
        <v>#N/A</v>
      </c>
      <c r="R278" t="e">
        <f ca="1">IFERROR(计算区域!S280,NA())</f>
        <v>#N/A</v>
      </c>
      <c r="S278" t="e">
        <f ca="1">IFERROR(计算区域!T280,NA())</f>
        <v>#N/A</v>
      </c>
      <c r="T278" t="e">
        <f ca="1">IFERROR(计算区域!U280,NA())</f>
        <v>#N/A</v>
      </c>
      <c r="V278" t="e">
        <f ca="1">IFERROR(计算区域!X280,NA())</f>
        <v>#N/A</v>
      </c>
      <c r="W278" t="e">
        <f ca="1">IFERROR(计算区域!Y280,NA())</f>
        <v>#N/A</v>
      </c>
      <c r="X278" t="e">
        <f ca="1">IFERROR(计算区域!Z280,NA())</f>
        <v>#N/A</v>
      </c>
      <c r="Y278" t="e">
        <f ca="1">IFERROR(计算区域!AA280,NA())</f>
        <v>#N/A</v>
      </c>
    </row>
    <row r="279" spans="1:25" x14ac:dyDescent="0.2">
      <c r="A279" s="28">
        <f>计算区域!E281</f>
        <v>45245</v>
      </c>
      <c r="B279" t="e">
        <f ca="1">IFERROR(计算区域!AJ281,NA())</f>
        <v>#N/A</v>
      </c>
      <c r="C279" t="e">
        <f ca="1">IFERROR(计算区域!AK281,NA())</f>
        <v>#N/A</v>
      </c>
      <c r="D279" t="e">
        <f ca="1">IFERROR(计算区域!AL281,NA())</f>
        <v>#N/A</v>
      </c>
      <c r="E279" t="e">
        <f ca="1">IFERROR(计算区域!AM281,NA())</f>
        <v>#N/A</v>
      </c>
      <c r="G279" t="e">
        <f ca="1">IFERROR(计算区域!AD281,NA())</f>
        <v>#N/A</v>
      </c>
      <c r="H279" t="e">
        <f ca="1">IFERROR(计算区域!AE281,NA())</f>
        <v>#N/A</v>
      </c>
      <c r="I279" t="e">
        <f ca="1">IFERROR(计算区域!AF281,NA())</f>
        <v>#N/A</v>
      </c>
      <c r="J279" t="e">
        <f ca="1">IFERROR(计算区域!AG281,NA())</f>
        <v>#N/A</v>
      </c>
      <c r="L279" t="e">
        <f ca="1">IFERROR(计算区域!L281,NA())</f>
        <v>#N/A</v>
      </c>
      <c r="M279" t="e">
        <f ca="1">IFERROR(计算区域!M281,NA())</f>
        <v>#N/A</v>
      </c>
      <c r="N279" t="e">
        <f ca="1">IFERROR(计算区域!N281,NA())</f>
        <v>#N/A</v>
      </c>
      <c r="O279" t="e">
        <f ca="1">IFERROR(计算区域!O281,NA())</f>
        <v>#N/A</v>
      </c>
      <c r="Q279" t="e">
        <f ca="1">IFERROR(计算区域!R281,NA())</f>
        <v>#N/A</v>
      </c>
      <c r="R279" t="e">
        <f ca="1">IFERROR(计算区域!S281,NA())</f>
        <v>#N/A</v>
      </c>
      <c r="S279" t="e">
        <f ca="1">IFERROR(计算区域!T281,NA())</f>
        <v>#N/A</v>
      </c>
      <c r="T279" t="e">
        <f ca="1">IFERROR(计算区域!U281,NA())</f>
        <v>#N/A</v>
      </c>
      <c r="V279" t="e">
        <f ca="1">IFERROR(计算区域!X281,NA())</f>
        <v>#N/A</v>
      </c>
      <c r="W279" t="e">
        <f ca="1">IFERROR(计算区域!Y281,NA())</f>
        <v>#N/A</v>
      </c>
      <c r="X279" t="e">
        <f ca="1">IFERROR(计算区域!Z281,NA())</f>
        <v>#N/A</v>
      </c>
      <c r="Y279" t="e">
        <f ca="1">IFERROR(计算区域!AA281,NA())</f>
        <v>#N/A</v>
      </c>
    </row>
    <row r="280" spans="1:25" x14ac:dyDescent="0.2">
      <c r="A280" s="28">
        <f>计算区域!E282</f>
        <v>45244</v>
      </c>
      <c r="B280" t="e">
        <f ca="1">IFERROR(计算区域!AJ282,NA())</f>
        <v>#N/A</v>
      </c>
      <c r="C280" t="e">
        <f ca="1">IFERROR(计算区域!AK282,NA())</f>
        <v>#N/A</v>
      </c>
      <c r="D280" t="e">
        <f ca="1">IFERROR(计算区域!AL282,NA())</f>
        <v>#N/A</v>
      </c>
      <c r="E280" t="e">
        <f ca="1">IFERROR(计算区域!AM282,NA())</f>
        <v>#N/A</v>
      </c>
      <c r="G280" t="e">
        <f ca="1">IFERROR(计算区域!AD282,NA())</f>
        <v>#N/A</v>
      </c>
      <c r="H280" t="e">
        <f ca="1">IFERROR(计算区域!AE282,NA())</f>
        <v>#N/A</v>
      </c>
      <c r="I280" t="e">
        <f ca="1">IFERROR(计算区域!AF282,NA())</f>
        <v>#N/A</v>
      </c>
      <c r="J280" t="e">
        <f ca="1">IFERROR(计算区域!AG282,NA())</f>
        <v>#N/A</v>
      </c>
      <c r="L280" t="e">
        <f ca="1">IFERROR(计算区域!L282,NA())</f>
        <v>#N/A</v>
      </c>
      <c r="M280" t="e">
        <f ca="1">IFERROR(计算区域!M282,NA())</f>
        <v>#N/A</v>
      </c>
      <c r="N280" t="e">
        <f ca="1">IFERROR(计算区域!N282,NA())</f>
        <v>#N/A</v>
      </c>
      <c r="O280" t="e">
        <f ca="1">IFERROR(计算区域!O282,NA())</f>
        <v>#N/A</v>
      </c>
      <c r="Q280" t="e">
        <f ca="1">IFERROR(计算区域!R282,NA())</f>
        <v>#N/A</v>
      </c>
      <c r="R280" t="e">
        <f ca="1">IFERROR(计算区域!S282,NA())</f>
        <v>#N/A</v>
      </c>
      <c r="S280" t="e">
        <f ca="1">IFERROR(计算区域!T282,NA())</f>
        <v>#N/A</v>
      </c>
      <c r="T280" t="e">
        <f ca="1">IFERROR(计算区域!U282,NA())</f>
        <v>#N/A</v>
      </c>
      <c r="V280" t="e">
        <f ca="1">IFERROR(计算区域!X282,NA())</f>
        <v>#N/A</v>
      </c>
      <c r="W280" t="e">
        <f ca="1">IFERROR(计算区域!Y282,NA())</f>
        <v>#N/A</v>
      </c>
      <c r="X280" t="e">
        <f ca="1">IFERROR(计算区域!Z282,NA())</f>
        <v>#N/A</v>
      </c>
      <c r="Y280" t="e">
        <f ca="1">IFERROR(计算区域!AA282,NA())</f>
        <v>#N/A</v>
      </c>
    </row>
    <row r="281" spans="1:25" x14ac:dyDescent="0.2">
      <c r="A281" s="28">
        <f>计算区域!E283</f>
        <v>45243</v>
      </c>
      <c r="B281" t="e">
        <f ca="1">IFERROR(计算区域!AJ283,NA())</f>
        <v>#N/A</v>
      </c>
      <c r="C281" t="e">
        <f ca="1">IFERROR(计算区域!AK283,NA())</f>
        <v>#N/A</v>
      </c>
      <c r="D281" t="e">
        <f ca="1">IFERROR(计算区域!AL283,NA())</f>
        <v>#N/A</v>
      </c>
      <c r="E281" t="e">
        <f ca="1">IFERROR(计算区域!AM283,NA())</f>
        <v>#N/A</v>
      </c>
      <c r="G281" t="e">
        <f ca="1">IFERROR(计算区域!AD283,NA())</f>
        <v>#N/A</v>
      </c>
      <c r="H281" t="e">
        <f ca="1">IFERROR(计算区域!AE283,NA())</f>
        <v>#N/A</v>
      </c>
      <c r="I281" t="e">
        <f ca="1">IFERROR(计算区域!AF283,NA())</f>
        <v>#N/A</v>
      </c>
      <c r="J281" t="e">
        <f ca="1">IFERROR(计算区域!AG283,NA())</f>
        <v>#N/A</v>
      </c>
      <c r="L281" t="e">
        <f ca="1">IFERROR(计算区域!L283,NA())</f>
        <v>#N/A</v>
      </c>
      <c r="M281" t="e">
        <f ca="1">IFERROR(计算区域!M283,NA())</f>
        <v>#N/A</v>
      </c>
      <c r="N281" t="e">
        <f ca="1">IFERROR(计算区域!N283,NA())</f>
        <v>#N/A</v>
      </c>
      <c r="O281" t="e">
        <f ca="1">IFERROR(计算区域!O283,NA())</f>
        <v>#N/A</v>
      </c>
      <c r="Q281" t="e">
        <f ca="1">IFERROR(计算区域!R283,NA())</f>
        <v>#N/A</v>
      </c>
      <c r="R281" t="e">
        <f ca="1">IFERROR(计算区域!S283,NA())</f>
        <v>#N/A</v>
      </c>
      <c r="S281" t="e">
        <f ca="1">IFERROR(计算区域!T283,NA())</f>
        <v>#N/A</v>
      </c>
      <c r="T281" t="e">
        <f ca="1">IFERROR(计算区域!U283,NA())</f>
        <v>#N/A</v>
      </c>
      <c r="V281" t="e">
        <f ca="1">IFERROR(计算区域!X283,NA())</f>
        <v>#N/A</v>
      </c>
      <c r="W281" t="e">
        <f ca="1">IFERROR(计算区域!Y283,NA())</f>
        <v>#N/A</v>
      </c>
      <c r="X281" t="e">
        <f ca="1">IFERROR(计算区域!Z283,NA())</f>
        <v>#N/A</v>
      </c>
      <c r="Y281" t="e">
        <f ca="1">IFERROR(计算区域!AA283,NA())</f>
        <v>#N/A</v>
      </c>
    </row>
    <row r="282" spans="1:25" x14ac:dyDescent="0.2">
      <c r="A282" s="28">
        <f>计算区域!E284</f>
        <v>45240</v>
      </c>
      <c r="B282" t="e">
        <f ca="1">IFERROR(计算区域!AJ284,NA())</f>
        <v>#N/A</v>
      </c>
      <c r="C282" t="e">
        <f ca="1">IFERROR(计算区域!AK284,NA())</f>
        <v>#N/A</v>
      </c>
      <c r="D282" t="e">
        <f ca="1">IFERROR(计算区域!AL284,NA())</f>
        <v>#N/A</v>
      </c>
      <c r="E282" t="e">
        <f ca="1">IFERROR(计算区域!AM284,NA())</f>
        <v>#N/A</v>
      </c>
      <c r="G282" t="e">
        <f ca="1">IFERROR(计算区域!AD284,NA())</f>
        <v>#N/A</v>
      </c>
      <c r="H282" t="e">
        <f ca="1">IFERROR(计算区域!AE284,NA())</f>
        <v>#N/A</v>
      </c>
      <c r="I282" t="e">
        <f ca="1">IFERROR(计算区域!AF284,NA())</f>
        <v>#N/A</v>
      </c>
      <c r="J282" t="e">
        <f ca="1">IFERROR(计算区域!AG284,NA())</f>
        <v>#N/A</v>
      </c>
      <c r="L282" t="e">
        <f ca="1">IFERROR(计算区域!L284,NA())</f>
        <v>#N/A</v>
      </c>
      <c r="M282" t="e">
        <f ca="1">IFERROR(计算区域!M284,NA())</f>
        <v>#N/A</v>
      </c>
      <c r="N282" t="e">
        <f ca="1">IFERROR(计算区域!N284,NA())</f>
        <v>#N/A</v>
      </c>
      <c r="O282" t="e">
        <f ca="1">IFERROR(计算区域!O284,NA())</f>
        <v>#N/A</v>
      </c>
      <c r="Q282" t="e">
        <f ca="1">IFERROR(计算区域!R284,NA())</f>
        <v>#N/A</v>
      </c>
      <c r="R282" t="e">
        <f ca="1">IFERROR(计算区域!S284,NA())</f>
        <v>#N/A</v>
      </c>
      <c r="S282" t="e">
        <f ca="1">IFERROR(计算区域!T284,NA())</f>
        <v>#N/A</v>
      </c>
      <c r="T282" t="e">
        <f ca="1">IFERROR(计算区域!U284,NA())</f>
        <v>#N/A</v>
      </c>
      <c r="V282" t="e">
        <f ca="1">IFERROR(计算区域!X284,NA())</f>
        <v>#N/A</v>
      </c>
      <c r="W282" t="e">
        <f ca="1">IFERROR(计算区域!Y284,NA())</f>
        <v>#N/A</v>
      </c>
      <c r="X282" t="e">
        <f ca="1">IFERROR(计算区域!Z284,NA())</f>
        <v>#N/A</v>
      </c>
      <c r="Y282" t="e">
        <f ca="1">IFERROR(计算区域!AA284,NA())</f>
        <v>#N/A</v>
      </c>
    </row>
    <row r="283" spans="1:25" x14ac:dyDescent="0.2">
      <c r="A283" s="28">
        <f>计算区域!E285</f>
        <v>45239</v>
      </c>
      <c r="B283" t="e">
        <f ca="1">IFERROR(计算区域!AJ285,NA())</f>
        <v>#N/A</v>
      </c>
      <c r="C283" t="e">
        <f ca="1">IFERROR(计算区域!AK285,NA())</f>
        <v>#N/A</v>
      </c>
      <c r="D283" t="e">
        <f ca="1">IFERROR(计算区域!AL285,NA())</f>
        <v>#N/A</v>
      </c>
      <c r="E283" t="e">
        <f ca="1">IFERROR(计算区域!AM285,NA())</f>
        <v>#N/A</v>
      </c>
      <c r="G283" t="e">
        <f ca="1">IFERROR(计算区域!AD285,NA())</f>
        <v>#N/A</v>
      </c>
      <c r="H283" t="e">
        <f ca="1">IFERROR(计算区域!AE285,NA())</f>
        <v>#N/A</v>
      </c>
      <c r="I283" t="e">
        <f ca="1">IFERROR(计算区域!AF285,NA())</f>
        <v>#N/A</v>
      </c>
      <c r="J283" t="e">
        <f ca="1">IFERROR(计算区域!AG285,NA())</f>
        <v>#N/A</v>
      </c>
      <c r="L283" t="e">
        <f ca="1">IFERROR(计算区域!L285,NA())</f>
        <v>#N/A</v>
      </c>
      <c r="M283" t="e">
        <f ca="1">IFERROR(计算区域!M285,NA())</f>
        <v>#N/A</v>
      </c>
      <c r="N283" t="e">
        <f ca="1">IFERROR(计算区域!N285,NA())</f>
        <v>#N/A</v>
      </c>
      <c r="O283" t="e">
        <f ca="1">IFERROR(计算区域!O285,NA())</f>
        <v>#N/A</v>
      </c>
      <c r="Q283" t="e">
        <f ca="1">IFERROR(计算区域!R285,NA())</f>
        <v>#N/A</v>
      </c>
      <c r="R283" t="e">
        <f ca="1">IFERROR(计算区域!S285,NA())</f>
        <v>#N/A</v>
      </c>
      <c r="S283" t="e">
        <f ca="1">IFERROR(计算区域!T285,NA())</f>
        <v>#N/A</v>
      </c>
      <c r="T283" t="e">
        <f ca="1">IFERROR(计算区域!U285,NA())</f>
        <v>#N/A</v>
      </c>
      <c r="V283" t="e">
        <f ca="1">IFERROR(计算区域!X285,NA())</f>
        <v>#N/A</v>
      </c>
      <c r="W283" t="e">
        <f ca="1">IFERROR(计算区域!Y285,NA())</f>
        <v>#N/A</v>
      </c>
      <c r="X283" t="e">
        <f ca="1">IFERROR(计算区域!Z285,NA())</f>
        <v>#N/A</v>
      </c>
      <c r="Y283" t="e">
        <f ca="1">IFERROR(计算区域!AA285,NA())</f>
        <v>#N/A</v>
      </c>
    </row>
    <row r="284" spans="1:25" x14ac:dyDescent="0.2">
      <c r="A284" s="28">
        <f>计算区域!E286</f>
        <v>45238</v>
      </c>
      <c r="B284" t="e">
        <f ca="1">IFERROR(计算区域!AJ286,NA())</f>
        <v>#N/A</v>
      </c>
      <c r="C284" t="e">
        <f ca="1">IFERROR(计算区域!AK286,NA())</f>
        <v>#N/A</v>
      </c>
      <c r="D284" t="e">
        <f ca="1">IFERROR(计算区域!AL286,NA())</f>
        <v>#N/A</v>
      </c>
      <c r="E284" t="e">
        <f ca="1">IFERROR(计算区域!AM286,NA())</f>
        <v>#N/A</v>
      </c>
      <c r="G284" t="e">
        <f ca="1">IFERROR(计算区域!AD286,NA())</f>
        <v>#N/A</v>
      </c>
      <c r="H284" t="e">
        <f ca="1">IFERROR(计算区域!AE286,NA())</f>
        <v>#N/A</v>
      </c>
      <c r="I284" t="e">
        <f ca="1">IFERROR(计算区域!AF286,NA())</f>
        <v>#N/A</v>
      </c>
      <c r="J284" t="e">
        <f ca="1">IFERROR(计算区域!AG286,NA())</f>
        <v>#N/A</v>
      </c>
      <c r="L284" t="e">
        <f ca="1">IFERROR(计算区域!L286,NA())</f>
        <v>#N/A</v>
      </c>
      <c r="M284" t="e">
        <f ca="1">IFERROR(计算区域!M286,NA())</f>
        <v>#N/A</v>
      </c>
      <c r="N284" t="e">
        <f ca="1">IFERROR(计算区域!N286,NA())</f>
        <v>#N/A</v>
      </c>
      <c r="O284" t="e">
        <f ca="1">IFERROR(计算区域!O286,NA())</f>
        <v>#N/A</v>
      </c>
      <c r="Q284" t="e">
        <f ca="1">IFERROR(计算区域!R286,NA())</f>
        <v>#N/A</v>
      </c>
      <c r="R284" t="e">
        <f ca="1">IFERROR(计算区域!S286,NA())</f>
        <v>#N/A</v>
      </c>
      <c r="S284" t="e">
        <f ca="1">IFERROR(计算区域!T286,NA())</f>
        <v>#N/A</v>
      </c>
      <c r="T284" t="e">
        <f ca="1">IFERROR(计算区域!U286,NA())</f>
        <v>#N/A</v>
      </c>
      <c r="V284" t="e">
        <f ca="1">IFERROR(计算区域!X286,NA())</f>
        <v>#N/A</v>
      </c>
      <c r="W284" t="e">
        <f ca="1">IFERROR(计算区域!Y286,NA())</f>
        <v>#N/A</v>
      </c>
      <c r="X284" t="e">
        <f ca="1">IFERROR(计算区域!Z286,NA())</f>
        <v>#N/A</v>
      </c>
      <c r="Y284" t="e">
        <f ca="1">IFERROR(计算区域!AA286,NA())</f>
        <v>#N/A</v>
      </c>
    </row>
    <row r="285" spans="1:25" x14ac:dyDescent="0.2">
      <c r="A285" s="28">
        <f>计算区域!E287</f>
        <v>45237</v>
      </c>
      <c r="B285" t="e">
        <f ca="1">IFERROR(计算区域!AJ287,NA())</f>
        <v>#N/A</v>
      </c>
      <c r="C285" t="e">
        <f ca="1">IFERROR(计算区域!AK287,NA())</f>
        <v>#N/A</v>
      </c>
      <c r="D285" t="e">
        <f ca="1">IFERROR(计算区域!AL287,NA())</f>
        <v>#N/A</v>
      </c>
      <c r="E285" t="e">
        <f ca="1">IFERROR(计算区域!AM287,NA())</f>
        <v>#N/A</v>
      </c>
      <c r="G285" t="e">
        <f ca="1">IFERROR(计算区域!AD287,NA())</f>
        <v>#N/A</v>
      </c>
      <c r="H285" t="e">
        <f ca="1">IFERROR(计算区域!AE287,NA())</f>
        <v>#N/A</v>
      </c>
      <c r="I285" t="e">
        <f ca="1">IFERROR(计算区域!AF287,NA())</f>
        <v>#N/A</v>
      </c>
      <c r="J285" t="e">
        <f ca="1">IFERROR(计算区域!AG287,NA())</f>
        <v>#N/A</v>
      </c>
      <c r="L285" t="e">
        <f ca="1">IFERROR(计算区域!L287,NA())</f>
        <v>#N/A</v>
      </c>
      <c r="M285" t="e">
        <f ca="1">IFERROR(计算区域!M287,NA())</f>
        <v>#N/A</v>
      </c>
      <c r="N285" t="e">
        <f ca="1">IFERROR(计算区域!N287,NA())</f>
        <v>#N/A</v>
      </c>
      <c r="O285" t="e">
        <f ca="1">IFERROR(计算区域!O287,NA())</f>
        <v>#N/A</v>
      </c>
      <c r="Q285" t="e">
        <f ca="1">IFERROR(计算区域!R287,NA())</f>
        <v>#N/A</v>
      </c>
      <c r="R285" t="e">
        <f ca="1">IFERROR(计算区域!S287,NA())</f>
        <v>#N/A</v>
      </c>
      <c r="S285" t="e">
        <f ca="1">IFERROR(计算区域!T287,NA())</f>
        <v>#N/A</v>
      </c>
      <c r="T285" t="e">
        <f ca="1">IFERROR(计算区域!U287,NA())</f>
        <v>#N/A</v>
      </c>
      <c r="V285" t="e">
        <f ca="1">IFERROR(计算区域!X287,NA())</f>
        <v>#N/A</v>
      </c>
      <c r="W285" t="e">
        <f ca="1">IFERROR(计算区域!Y287,NA())</f>
        <v>#N/A</v>
      </c>
      <c r="X285" t="e">
        <f ca="1">IFERROR(计算区域!Z287,NA())</f>
        <v>#N/A</v>
      </c>
      <c r="Y285" t="e">
        <f ca="1">IFERROR(计算区域!AA287,NA())</f>
        <v>#N/A</v>
      </c>
    </row>
    <row r="286" spans="1:25" x14ac:dyDescent="0.2">
      <c r="A286" s="28">
        <f>计算区域!E288</f>
        <v>45236</v>
      </c>
      <c r="B286" t="e">
        <f ca="1">IFERROR(计算区域!AJ288,NA())</f>
        <v>#N/A</v>
      </c>
      <c r="C286" t="e">
        <f ca="1">IFERROR(计算区域!AK288,NA())</f>
        <v>#N/A</v>
      </c>
      <c r="D286" t="e">
        <f ca="1">IFERROR(计算区域!AL288,NA())</f>
        <v>#N/A</v>
      </c>
      <c r="E286" t="e">
        <f ca="1">IFERROR(计算区域!AM288,NA())</f>
        <v>#N/A</v>
      </c>
      <c r="G286" t="e">
        <f ca="1">IFERROR(计算区域!AD288,NA())</f>
        <v>#N/A</v>
      </c>
      <c r="H286" t="e">
        <f ca="1">IFERROR(计算区域!AE288,NA())</f>
        <v>#N/A</v>
      </c>
      <c r="I286" t="e">
        <f ca="1">IFERROR(计算区域!AF288,NA())</f>
        <v>#N/A</v>
      </c>
      <c r="J286" t="e">
        <f ca="1">IFERROR(计算区域!AG288,NA())</f>
        <v>#N/A</v>
      </c>
      <c r="L286" t="e">
        <f ca="1">IFERROR(计算区域!L288,NA())</f>
        <v>#N/A</v>
      </c>
      <c r="M286" t="e">
        <f ca="1">IFERROR(计算区域!M288,NA())</f>
        <v>#N/A</v>
      </c>
      <c r="N286" t="e">
        <f ca="1">IFERROR(计算区域!N288,NA())</f>
        <v>#N/A</v>
      </c>
      <c r="O286" t="e">
        <f ca="1">IFERROR(计算区域!O288,NA())</f>
        <v>#N/A</v>
      </c>
      <c r="Q286" t="e">
        <f ca="1">IFERROR(计算区域!R288,NA())</f>
        <v>#N/A</v>
      </c>
      <c r="R286" t="e">
        <f ca="1">IFERROR(计算区域!S288,NA())</f>
        <v>#N/A</v>
      </c>
      <c r="S286" t="e">
        <f ca="1">IFERROR(计算区域!T288,NA())</f>
        <v>#N/A</v>
      </c>
      <c r="T286" t="e">
        <f ca="1">IFERROR(计算区域!U288,NA())</f>
        <v>#N/A</v>
      </c>
      <c r="V286" t="e">
        <f ca="1">IFERROR(计算区域!X288,NA())</f>
        <v>#N/A</v>
      </c>
      <c r="W286" t="e">
        <f ca="1">IFERROR(计算区域!Y288,NA())</f>
        <v>#N/A</v>
      </c>
      <c r="X286" t="e">
        <f ca="1">IFERROR(计算区域!Z288,NA())</f>
        <v>#N/A</v>
      </c>
      <c r="Y286" t="e">
        <f ca="1">IFERROR(计算区域!AA288,NA())</f>
        <v>#N/A</v>
      </c>
    </row>
    <row r="287" spans="1:25" x14ac:dyDescent="0.2">
      <c r="A287" s="28">
        <f>计算区域!E289</f>
        <v>45233</v>
      </c>
      <c r="B287" t="e">
        <f ca="1">IFERROR(计算区域!AJ289,NA())</f>
        <v>#N/A</v>
      </c>
      <c r="C287" t="e">
        <f ca="1">IFERROR(计算区域!AK289,NA())</f>
        <v>#N/A</v>
      </c>
      <c r="D287" t="e">
        <f ca="1">IFERROR(计算区域!AL289,NA())</f>
        <v>#N/A</v>
      </c>
      <c r="E287" t="e">
        <f ca="1">IFERROR(计算区域!AM289,NA())</f>
        <v>#N/A</v>
      </c>
      <c r="G287" t="e">
        <f ca="1">IFERROR(计算区域!AD289,NA())</f>
        <v>#N/A</v>
      </c>
      <c r="H287" t="e">
        <f ca="1">IFERROR(计算区域!AE289,NA())</f>
        <v>#N/A</v>
      </c>
      <c r="I287" t="e">
        <f ca="1">IFERROR(计算区域!AF289,NA())</f>
        <v>#N/A</v>
      </c>
      <c r="J287" t="e">
        <f ca="1">IFERROR(计算区域!AG289,NA())</f>
        <v>#N/A</v>
      </c>
      <c r="L287" t="e">
        <f ca="1">IFERROR(计算区域!L289,NA())</f>
        <v>#N/A</v>
      </c>
      <c r="M287" t="e">
        <f ca="1">IFERROR(计算区域!M289,NA())</f>
        <v>#N/A</v>
      </c>
      <c r="N287" t="e">
        <f ca="1">IFERROR(计算区域!N289,NA())</f>
        <v>#N/A</v>
      </c>
      <c r="O287" t="e">
        <f ca="1">IFERROR(计算区域!O289,NA())</f>
        <v>#N/A</v>
      </c>
      <c r="Q287" t="e">
        <f ca="1">IFERROR(计算区域!R289,NA())</f>
        <v>#N/A</v>
      </c>
      <c r="R287" t="e">
        <f ca="1">IFERROR(计算区域!S289,NA())</f>
        <v>#N/A</v>
      </c>
      <c r="S287" t="e">
        <f ca="1">IFERROR(计算区域!T289,NA())</f>
        <v>#N/A</v>
      </c>
      <c r="T287" t="e">
        <f ca="1">IFERROR(计算区域!U289,NA())</f>
        <v>#N/A</v>
      </c>
      <c r="V287" t="e">
        <f ca="1">IFERROR(计算区域!X289,NA())</f>
        <v>#N/A</v>
      </c>
      <c r="W287" t="e">
        <f ca="1">IFERROR(计算区域!Y289,NA())</f>
        <v>#N/A</v>
      </c>
      <c r="X287" t="e">
        <f ca="1">IFERROR(计算区域!Z289,NA())</f>
        <v>#N/A</v>
      </c>
      <c r="Y287" t="e">
        <f ca="1">IFERROR(计算区域!AA289,NA())</f>
        <v>#N/A</v>
      </c>
    </row>
    <row r="288" spans="1:25" x14ac:dyDescent="0.2">
      <c r="A288" s="28">
        <f>计算区域!E290</f>
        <v>45232</v>
      </c>
      <c r="B288" t="e">
        <f ca="1">IFERROR(计算区域!AJ290,NA())</f>
        <v>#N/A</v>
      </c>
      <c r="C288" t="e">
        <f ca="1">IFERROR(计算区域!AK290,NA())</f>
        <v>#N/A</v>
      </c>
      <c r="D288" t="e">
        <f ca="1">IFERROR(计算区域!AL290,NA())</f>
        <v>#N/A</v>
      </c>
      <c r="E288" t="e">
        <f ca="1">IFERROR(计算区域!AM290,NA())</f>
        <v>#N/A</v>
      </c>
      <c r="G288" t="e">
        <f ca="1">IFERROR(计算区域!AD290,NA())</f>
        <v>#N/A</v>
      </c>
      <c r="H288" t="e">
        <f ca="1">IFERROR(计算区域!AE290,NA())</f>
        <v>#N/A</v>
      </c>
      <c r="I288" t="e">
        <f ca="1">IFERROR(计算区域!AF290,NA())</f>
        <v>#N/A</v>
      </c>
      <c r="J288" t="e">
        <f ca="1">IFERROR(计算区域!AG290,NA())</f>
        <v>#N/A</v>
      </c>
      <c r="L288" t="e">
        <f ca="1">IFERROR(计算区域!L290,NA())</f>
        <v>#N/A</v>
      </c>
      <c r="M288" t="e">
        <f ca="1">IFERROR(计算区域!M290,NA())</f>
        <v>#N/A</v>
      </c>
      <c r="N288" t="e">
        <f ca="1">IFERROR(计算区域!N290,NA())</f>
        <v>#N/A</v>
      </c>
      <c r="O288" t="e">
        <f ca="1">IFERROR(计算区域!O290,NA())</f>
        <v>#N/A</v>
      </c>
      <c r="Q288" t="e">
        <f ca="1">IFERROR(计算区域!R290,NA())</f>
        <v>#N/A</v>
      </c>
      <c r="R288" t="e">
        <f ca="1">IFERROR(计算区域!S290,NA())</f>
        <v>#N/A</v>
      </c>
      <c r="S288" t="e">
        <f ca="1">IFERROR(计算区域!T290,NA())</f>
        <v>#N/A</v>
      </c>
      <c r="T288" t="e">
        <f ca="1">IFERROR(计算区域!U290,NA())</f>
        <v>#N/A</v>
      </c>
      <c r="V288" t="e">
        <f ca="1">IFERROR(计算区域!X290,NA())</f>
        <v>#N/A</v>
      </c>
      <c r="W288" t="e">
        <f ca="1">IFERROR(计算区域!Y290,NA())</f>
        <v>#N/A</v>
      </c>
      <c r="X288" t="e">
        <f ca="1">IFERROR(计算区域!Z290,NA())</f>
        <v>#N/A</v>
      </c>
      <c r="Y288" t="e">
        <f ca="1">IFERROR(计算区域!AA290,NA())</f>
        <v>#N/A</v>
      </c>
    </row>
    <row r="289" spans="1:25" x14ac:dyDescent="0.2">
      <c r="A289" s="28">
        <f>计算区域!E291</f>
        <v>45231</v>
      </c>
      <c r="B289" t="e">
        <f ca="1">IFERROR(计算区域!AJ291,NA())</f>
        <v>#N/A</v>
      </c>
      <c r="C289" t="e">
        <f ca="1">IFERROR(计算区域!AK291,NA())</f>
        <v>#N/A</v>
      </c>
      <c r="D289" t="e">
        <f ca="1">IFERROR(计算区域!AL291,NA())</f>
        <v>#N/A</v>
      </c>
      <c r="E289" t="e">
        <f ca="1">IFERROR(计算区域!AM291,NA())</f>
        <v>#N/A</v>
      </c>
      <c r="G289" t="e">
        <f ca="1">IFERROR(计算区域!AD291,NA())</f>
        <v>#N/A</v>
      </c>
      <c r="H289" t="e">
        <f ca="1">IFERROR(计算区域!AE291,NA())</f>
        <v>#N/A</v>
      </c>
      <c r="I289" t="e">
        <f ca="1">IFERROR(计算区域!AF291,NA())</f>
        <v>#N/A</v>
      </c>
      <c r="J289" t="e">
        <f ca="1">IFERROR(计算区域!AG291,NA())</f>
        <v>#N/A</v>
      </c>
      <c r="L289" t="e">
        <f ca="1">IFERROR(计算区域!L291,NA())</f>
        <v>#N/A</v>
      </c>
      <c r="M289" t="e">
        <f ca="1">IFERROR(计算区域!M291,NA())</f>
        <v>#N/A</v>
      </c>
      <c r="N289" t="e">
        <f ca="1">IFERROR(计算区域!N291,NA())</f>
        <v>#N/A</v>
      </c>
      <c r="O289" t="e">
        <f ca="1">IFERROR(计算区域!O291,NA())</f>
        <v>#N/A</v>
      </c>
      <c r="Q289" t="e">
        <f ca="1">IFERROR(计算区域!R291,NA())</f>
        <v>#N/A</v>
      </c>
      <c r="R289" t="e">
        <f ca="1">IFERROR(计算区域!S291,NA())</f>
        <v>#N/A</v>
      </c>
      <c r="S289" t="e">
        <f ca="1">IFERROR(计算区域!T291,NA())</f>
        <v>#N/A</v>
      </c>
      <c r="T289" t="e">
        <f ca="1">IFERROR(计算区域!U291,NA())</f>
        <v>#N/A</v>
      </c>
      <c r="V289" t="e">
        <f ca="1">IFERROR(计算区域!X291,NA())</f>
        <v>#N/A</v>
      </c>
      <c r="W289" t="e">
        <f ca="1">IFERROR(计算区域!Y291,NA())</f>
        <v>#N/A</v>
      </c>
      <c r="X289" t="e">
        <f ca="1">IFERROR(计算区域!Z291,NA())</f>
        <v>#N/A</v>
      </c>
      <c r="Y289" t="e">
        <f ca="1">IFERROR(计算区域!AA291,NA())</f>
        <v>#N/A</v>
      </c>
    </row>
    <row r="290" spans="1:25" x14ac:dyDescent="0.2">
      <c r="A290" s="28">
        <f>计算区域!E292</f>
        <v>45230</v>
      </c>
      <c r="B290" t="e">
        <f ca="1">IFERROR(计算区域!AJ292,NA())</f>
        <v>#N/A</v>
      </c>
      <c r="C290" t="e">
        <f ca="1">IFERROR(计算区域!AK292,NA())</f>
        <v>#N/A</v>
      </c>
      <c r="D290" t="e">
        <f ca="1">IFERROR(计算区域!AL292,NA())</f>
        <v>#N/A</v>
      </c>
      <c r="E290" t="e">
        <f ca="1">IFERROR(计算区域!AM292,NA())</f>
        <v>#N/A</v>
      </c>
      <c r="G290" t="e">
        <f ca="1">IFERROR(计算区域!AD292,NA())</f>
        <v>#N/A</v>
      </c>
      <c r="H290" t="e">
        <f ca="1">IFERROR(计算区域!AE292,NA())</f>
        <v>#N/A</v>
      </c>
      <c r="I290" t="e">
        <f ca="1">IFERROR(计算区域!AF292,NA())</f>
        <v>#N/A</v>
      </c>
      <c r="J290" t="e">
        <f ca="1">IFERROR(计算区域!AG292,NA())</f>
        <v>#N/A</v>
      </c>
      <c r="L290" t="e">
        <f ca="1">IFERROR(计算区域!L292,NA())</f>
        <v>#N/A</v>
      </c>
      <c r="M290" t="e">
        <f ca="1">IFERROR(计算区域!M292,NA())</f>
        <v>#N/A</v>
      </c>
      <c r="N290" t="e">
        <f ca="1">IFERROR(计算区域!N292,NA())</f>
        <v>#N/A</v>
      </c>
      <c r="O290" t="e">
        <f ca="1">IFERROR(计算区域!O292,NA())</f>
        <v>#N/A</v>
      </c>
      <c r="Q290" t="e">
        <f ca="1">IFERROR(计算区域!R292,NA())</f>
        <v>#N/A</v>
      </c>
      <c r="R290" t="e">
        <f ca="1">IFERROR(计算区域!S292,NA())</f>
        <v>#N/A</v>
      </c>
      <c r="S290" t="e">
        <f ca="1">IFERROR(计算区域!T292,NA())</f>
        <v>#N/A</v>
      </c>
      <c r="T290" t="e">
        <f ca="1">IFERROR(计算区域!U292,NA())</f>
        <v>#N/A</v>
      </c>
      <c r="V290" t="e">
        <f ca="1">IFERROR(计算区域!X292,NA())</f>
        <v>#N/A</v>
      </c>
      <c r="W290" t="e">
        <f ca="1">IFERROR(计算区域!Y292,NA())</f>
        <v>#N/A</v>
      </c>
      <c r="X290" t="e">
        <f ca="1">IFERROR(计算区域!Z292,NA())</f>
        <v>#N/A</v>
      </c>
      <c r="Y290" t="e">
        <f ca="1">IFERROR(计算区域!AA292,NA())</f>
        <v>#N/A</v>
      </c>
    </row>
    <row r="291" spans="1:25" x14ac:dyDescent="0.2">
      <c r="A291" s="28">
        <f>计算区域!E293</f>
        <v>45229</v>
      </c>
      <c r="B291" t="e">
        <f ca="1">IFERROR(计算区域!AJ293,NA())</f>
        <v>#N/A</v>
      </c>
      <c r="C291" t="e">
        <f ca="1">IFERROR(计算区域!AK293,NA())</f>
        <v>#N/A</v>
      </c>
      <c r="D291" t="e">
        <f ca="1">IFERROR(计算区域!AL293,NA())</f>
        <v>#N/A</v>
      </c>
      <c r="E291" t="e">
        <f ca="1">IFERROR(计算区域!AM293,NA())</f>
        <v>#N/A</v>
      </c>
      <c r="G291" t="e">
        <f ca="1">IFERROR(计算区域!AD293,NA())</f>
        <v>#N/A</v>
      </c>
      <c r="H291" t="e">
        <f ca="1">IFERROR(计算区域!AE293,NA())</f>
        <v>#N/A</v>
      </c>
      <c r="I291" t="e">
        <f ca="1">IFERROR(计算区域!AF293,NA())</f>
        <v>#N/A</v>
      </c>
      <c r="J291" t="e">
        <f ca="1">IFERROR(计算区域!AG293,NA())</f>
        <v>#N/A</v>
      </c>
      <c r="L291" t="e">
        <f ca="1">IFERROR(计算区域!L293,NA())</f>
        <v>#N/A</v>
      </c>
      <c r="M291" t="e">
        <f ca="1">IFERROR(计算区域!M293,NA())</f>
        <v>#N/A</v>
      </c>
      <c r="N291" t="e">
        <f ca="1">IFERROR(计算区域!N293,NA())</f>
        <v>#N/A</v>
      </c>
      <c r="O291" t="e">
        <f ca="1">IFERROR(计算区域!O293,NA())</f>
        <v>#N/A</v>
      </c>
      <c r="Q291" t="e">
        <f ca="1">IFERROR(计算区域!R293,NA())</f>
        <v>#N/A</v>
      </c>
      <c r="R291" t="e">
        <f ca="1">IFERROR(计算区域!S293,NA())</f>
        <v>#N/A</v>
      </c>
      <c r="S291" t="e">
        <f ca="1">IFERROR(计算区域!T293,NA())</f>
        <v>#N/A</v>
      </c>
      <c r="T291" t="e">
        <f ca="1">IFERROR(计算区域!U293,NA())</f>
        <v>#N/A</v>
      </c>
      <c r="V291" t="e">
        <f ca="1">IFERROR(计算区域!X293,NA())</f>
        <v>#N/A</v>
      </c>
      <c r="W291" t="e">
        <f ca="1">IFERROR(计算区域!Y293,NA())</f>
        <v>#N/A</v>
      </c>
      <c r="X291" t="e">
        <f ca="1">IFERROR(计算区域!Z293,NA())</f>
        <v>#N/A</v>
      </c>
      <c r="Y291" t="e">
        <f ca="1">IFERROR(计算区域!AA293,NA())</f>
        <v>#N/A</v>
      </c>
    </row>
    <row r="292" spans="1:25" x14ac:dyDescent="0.2">
      <c r="A292" s="28">
        <f>计算区域!E294</f>
        <v>45226</v>
      </c>
      <c r="B292" t="e">
        <f ca="1">IFERROR(计算区域!AJ294,NA())</f>
        <v>#N/A</v>
      </c>
      <c r="C292" t="e">
        <f ca="1">IFERROR(计算区域!AK294,NA())</f>
        <v>#N/A</v>
      </c>
      <c r="D292" t="e">
        <f ca="1">IFERROR(计算区域!AL294,NA())</f>
        <v>#N/A</v>
      </c>
      <c r="E292" t="e">
        <f ca="1">IFERROR(计算区域!AM294,NA())</f>
        <v>#N/A</v>
      </c>
      <c r="G292" t="e">
        <f ca="1">IFERROR(计算区域!AD294,NA())</f>
        <v>#N/A</v>
      </c>
      <c r="H292" t="e">
        <f ca="1">IFERROR(计算区域!AE294,NA())</f>
        <v>#N/A</v>
      </c>
      <c r="I292" t="e">
        <f ca="1">IFERROR(计算区域!AF294,NA())</f>
        <v>#N/A</v>
      </c>
      <c r="J292" t="e">
        <f ca="1">IFERROR(计算区域!AG294,NA())</f>
        <v>#N/A</v>
      </c>
      <c r="L292" t="e">
        <f ca="1">IFERROR(计算区域!L294,NA())</f>
        <v>#N/A</v>
      </c>
      <c r="M292" t="e">
        <f ca="1">IFERROR(计算区域!M294,NA())</f>
        <v>#N/A</v>
      </c>
      <c r="N292" t="e">
        <f ca="1">IFERROR(计算区域!N294,NA())</f>
        <v>#N/A</v>
      </c>
      <c r="O292" t="e">
        <f ca="1">IFERROR(计算区域!O294,NA())</f>
        <v>#N/A</v>
      </c>
      <c r="Q292" t="e">
        <f ca="1">IFERROR(计算区域!R294,NA())</f>
        <v>#N/A</v>
      </c>
      <c r="R292" t="e">
        <f ca="1">IFERROR(计算区域!S294,NA())</f>
        <v>#N/A</v>
      </c>
      <c r="S292" t="e">
        <f ca="1">IFERROR(计算区域!T294,NA())</f>
        <v>#N/A</v>
      </c>
      <c r="T292" t="e">
        <f ca="1">IFERROR(计算区域!U294,NA())</f>
        <v>#N/A</v>
      </c>
      <c r="V292" t="e">
        <f ca="1">IFERROR(计算区域!X294,NA())</f>
        <v>#N/A</v>
      </c>
      <c r="W292" t="e">
        <f ca="1">IFERROR(计算区域!Y294,NA())</f>
        <v>#N/A</v>
      </c>
      <c r="X292" t="e">
        <f ca="1">IFERROR(计算区域!Z294,NA())</f>
        <v>#N/A</v>
      </c>
      <c r="Y292" t="e">
        <f ca="1">IFERROR(计算区域!AA294,NA())</f>
        <v>#N/A</v>
      </c>
    </row>
    <row r="293" spans="1:25" x14ac:dyDescent="0.2">
      <c r="A293" s="28">
        <f>计算区域!E295</f>
        <v>45225</v>
      </c>
      <c r="B293" t="e">
        <f ca="1">IFERROR(计算区域!AJ295,NA())</f>
        <v>#N/A</v>
      </c>
      <c r="C293" t="e">
        <f ca="1">IFERROR(计算区域!AK295,NA())</f>
        <v>#N/A</v>
      </c>
      <c r="D293" t="e">
        <f ca="1">IFERROR(计算区域!AL295,NA())</f>
        <v>#N/A</v>
      </c>
      <c r="E293" t="e">
        <f ca="1">IFERROR(计算区域!AM295,NA())</f>
        <v>#N/A</v>
      </c>
      <c r="G293" t="e">
        <f ca="1">IFERROR(计算区域!AD295,NA())</f>
        <v>#N/A</v>
      </c>
      <c r="H293" t="e">
        <f ca="1">IFERROR(计算区域!AE295,NA())</f>
        <v>#N/A</v>
      </c>
      <c r="I293" t="e">
        <f ca="1">IFERROR(计算区域!AF295,NA())</f>
        <v>#N/A</v>
      </c>
      <c r="J293" t="e">
        <f ca="1">IFERROR(计算区域!AG295,NA())</f>
        <v>#N/A</v>
      </c>
      <c r="L293" t="e">
        <f ca="1">IFERROR(计算区域!L295,NA())</f>
        <v>#N/A</v>
      </c>
      <c r="M293" t="e">
        <f ca="1">IFERROR(计算区域!M295,NA())</f>
        <v>#N/A</v>
      </c>
      <c r="N293" t="e">
        <f ca="1">IFERROR(计算区域!N295,NA())</f>
        <v>#N/A</v>
      </c>
      <c r="O293" t="e">
        <f ca="1">IFERROR(计算区域!O295,NA())</f>
        <v>#N/A</v>
      </c>
      <c r="Q293" t="e">
        <f ca="1">IFERROR(计算区域!R295,NA())</f>
        <v>#N/A</v>
      </c>
      <c r="R293" t="e">
        <f ca="1">IFERROR(计算区域!S295,NA())</f>
        <v>#N/A</v>
      </c>
      <c r="S293" t="e">
        <f ca="1">IFERROR(计算区域!T295,NA())</f>
        <v>#N/A</v>
      </c>
      <c r="T293" t="e">
        <f ca="1">IFERROR(计算区域!U295,NA())</f>
        <v>#N/A</v>
      </c>
      <c r="V293" t="e">
        <f ca="1">IFERROR(计算区域!X295,NA())</f>
        <v>#N/A</v>
      </c>
      <c r="W293" t="e">
        <f ca="1">IFERROR(计算区域!Y295,NA())</f>
        <v>#N/A</v>
      </c>
      <c r="X293" t="e">
        <f ca="1">IFERROR(计算区域!Z295,NA())</f>
        <v>#N/A</v>
      </c>
      <c r="Y293" t="e">
        <f ca="1">IFERROR(计算区域!AA295,NA())</f>
        <v>#N/A</v>
      </c>
    </row>
    <row r="294" spans="1:25" x14ac:dyDescent="0.2">
      <c r="A294" s="28">
        <f>计算区域!E296</f>
        <v>45224</v>
      </c>
      <c r="B294" t="e">
        <f ca="1">IFERROR(计算区域!AJ296,NA())</f>
        <v>#N/A</v>
      </c>
      <c r="C294" t="e">
        <f ca="1">IFERROR(计算区域!AK296,NA())</f>
        <v>#N/A</v>
      </c>
      <c r="D294" t="e">
        <f ca="1">IFERROR(计算区域!AL296,NA())</f>
        <v>#N/A</v>
      </c>
      <c r="E294" t="e">
        <f ca="1">IFERROR(计算区域!AM296,NA())</f>
        <v>#N/A</v>
      </c>
      <c r="G294" t="e">
        <f ca="1">IFERROR(计算区域!AD296,NA())</f>
        <v>#N/A</v>
      </c>
      <c r="H294" t="e">
        <f ca="1">IFERROR(计算区域!AE296,NA())</f>
        <v>#N/A</v>
      </c>
      <c r="I294" t="e">
        <f ca="1">IFERROR(计算区域!AF296,NA())</f>
        <v>#N/A</v>
      </c>
      <c r="J294" t="e">
        <f ca="1">IFERROR(计算区域!AG296,NA())</f>
        <v>#N/A</v>
      </c>
      <c r="L294" t="e">
        <f ca="1">IFERROR(计算区域!L296,NA())</f>
        <v>#N/A</v>
      </c>
      <c r="M294" t="e">
        <f ca="1">IFERROR(计算区域!M296,NA())</f>
        <v>#N/A</v>
      </c>
      <c r="N294" t="e">
        <f ca="1">IFERROR(计算区域!N296,NA())</f>
        <v>#N/A</v>
      </c>
      <c r="O294" t="e">
        <f ca="1">IFERROR(计算区域!O296,NA())</f>
        <v>#N/A</v>
      </c>
      <c r="Q294" t="e">
        <f ca="1">IFERROR(计算区域!R296,NA())</f>
        <v>#N/A</v>
      </c>
      <c r="R294" t="e">
        <f ca="1">IFERROR(计算区域!S296,NA())</f>
        <v>#N/A</v>
      </c>
      <c r="S294" t="e">
        <f ca="1">IFERROR(计算区域!T296,NA())</f>
        <v>#N/A</v>
      </c>
      <c r="T294" t="e">
        <f ca="1">IFERROR(计算区域!U296,NA())</f>
        <v>#N/A</v>
      </c>
      <c r="V294" t="e">
        <f ca="1">IFERROR(计算区域!X296,NA())</f>
        <v>#N/A</v>
      </c>
      <c r="W294" t="e">
        <f ca="1">IFERROR(计算区域!Y296,NA())</f>
        <v>#N/A</v>
      </c>
      <c r="X294" t="e">
        <f ca="1">IFERROR(计算区域!Z296,NA())</f>
        <v>#N/A</v>
      </c>
      <c r="Y294" t="e">
        <f ca="1">IFERROR(计算区域!AA296,NA())</f>
        <v>#N/A</v>
      </c>
    </row>
    <row r="295" spans="1:25" x14ac:dyDescent="0.2">
      <c r="A295" s="28">
        <f>计算区域!E297</f>
        <v>45223</v>
      </c>
      <c r="B295" t="e">
        <f ca="1">IFERROR(计算区域!AJ297,NA())</f>
        <v>#N/A</v>
      </c>
      <c r="C295" t="e">
        <f ca="1">IFERROR(计算区域!AK297,NA())</f>
        <v>#N/A</v>
      </c>
      <c r="D295" t="e">
        <f ca="1">IFERROR(计算区域!AL297,NA())</f>
        <v>#N/A</v>
      </c>
      <c r="E295" t="e">
        <f ca="1">IFERROR(计算区域!AM297,NA())</f>
        <v>#N/A</v>
      </c>
      <c r="G295" t="e">
        <f ca="1">IFERROR(计算区域!AD297,NA())</f>
        <v>#N/A</v>
      </c>
      <c r="H295" t="e">
        <f ca="1">IFERROR(计算区域!AE297,NA())</f>
        <v>#N/A</v>
      </c>
      <c r="I295" t="e">
        <f ca="1">IFERROR(计算区域!AF297,NA())</f>
        <v>#N/A</v>
      </c>
      <c r="J295" t="e">
        <f ca="1">IFERROR(计算区域!AG297,NA())</f>
        <v>#N/A</v>
      </c>
      <c r="L295" t="e">
        <f ca="1">IFERROR(计算区域!L297,NA())</f>
        <v>#N/A</v>
      </c>
      <c r="M295" t="e">
        <f ca="1">IFERROR(计算区域!M297,NA())</f>
        <v>#N/A</v>
      </c>
      <c r="N295" t="e">
        <f ca="1">IFERROR(计算区域!N297,NA())</f>
        <v>#N/A</v>
      </c>
      <c r="O295" t="e">
        <f ca="1">IFERROR(计算区域!O297,NA())</f>
        <v>#N/A</v>
      </c>
      <c r="Q295" t="e">
        <f ca="1">IFERROR(计算区域!R297,NA())</f>
        <v>#N/A</v>
      </c>
      <c r="R295" t="e">
        <f ca="1">IFERROR(计算区域!S297,NA())</f>
        <v>#N/A</v>
      </c>
      <c r="S295" t="e">
        <f ca="1">IFERROR(计算区域!T297,NA())</f>
        <v>#N/A</v>
      </c>
      <c r="T295" t="e">
        <f ca="1">IFERROR(计算区域!U297,NA())</f>
        <v>#N/A</v>
      </c>
      <c r="V295" t="e">
        <f ca="1">IFERROR(计算区域!X297,NA())</f>
        <v>#N/A</v>
      </c>
      <c r="W295" t="e">
        <f ca="1">IFERROR(计算区域!Y297,NA())</f>
        <v>#N/A</v>
      </c>
      <c r="X295" t="e">
        <f ca="1">IFERROR(计算区域!Z297,NA())</f>
        <v>#N/A</v>
      </c>
      <c r="Y295" t="e">
        <f ca="1">IFERROR(计算区域!AA297,NA())</f>
        <v>#N/A</v>
      </c>
    </row>
    <row r="296" spans="1:25" x14ac:dyDescent="0.2">
      <c r="A296" s="28">
        <f>计算区域!E298</f>
        <v>45222</v>
      </c>
      <c r="B296" t="e">
        <f ca="1">IFERROR(计算区域!AJ298,NA())</f>
        <v>#N/A</v>
      </c>
      <c r="C296" t="e">
        <f ca="1">IFERROR(计算区域!AK298,NA())</f>
        <v>#N/A</v>
      </c>
      <c r="D296" t="e">
        <f ca="1">IFERROR(计算区域!AL298,NA())</f>
        <v>#N/A</v>
      </c>
      <c r="E296" t="e">
        <f ca="1">IFERROR(计算区域!AM298,NA())</f>
        <v>#N/A</v>
      </c>
      <c r="G296" t="e">
        <f ca="1">IFERROR(计算区域!AD298,NA())</f>
        <v>#N/A</v>
      </c>
      <c r="H296" t="e">
        <f ca="1">IFERROR(计算区域!AE298,NA())</f>
        <v>#N/A</v>
      </c>
      <c r="I296" t="e">
        <f ca="1">IFERROR(计算区域!AF298,NA())</f>
        <v>#N/A</v>
      </c>
      <c r="J296" t="e">
        <f ca="1">IFERROR(计算区域!AG298,NA())</f>
        <v>#N/A</v>
      </c>
      <c r="L296" t="e">
        <f ca="1">IFERROR(计算区域!L298,NA())</f>
        <v>#N/A</v>
      </c>
      <c r="M296" t="e">
        <f ca="1">IFERROR(计算区域!M298,NA())</f>
        <v>#N/A</v>
      </c>
      <c r="N296" t="e">
        <f ca="1">IFERROR(计算区域!N298,NA())</f>
        <v>#N/A</v>
      </c>
      <c r="O296" t="e">
        <f ca="1">IFERROR(计算区域!O298,NA())</f>
        <v>#N/A</v>
      </c>
      <c r="Q296" t="e">
        <f ca="1">IFERROR(计算区域!R298,NA())</f>
        <v>#N/A</v>
      </c>
      <c r="R296" t="e">
        <f ca="1">IFERROR(计算区域!S298,NA())</f>
        <v>#N/A</v>
      </c>
      <c r="S296" t="e">
        <f ca="1">IFERROR(计算区域!T298,NA())</f>
        <v>#N/A</v>
      </c>
      <c r="T296" t="e">
        <f ca="1">IFERROR(计算区域!U298,NA())</f>
        <v>#N/A</v>
      </c>
      <c r="V296" t="e">
        <f ca="1">IFERROR(计算区域!X298,NA())</f>
        <v>#N/A</v>
      </c>
      <c r="W296" t="e">
        <f ca="1">IFERROR(计算区域!Y298,NA())</f>
        <v>#N/A</v>
      </c>
      <c r="X296" t="e">
        <f ca="1">IFERROR(计算区域!Z298,NA())</f>
        <v>#N/A</v>
      </c>
      <c r="Y296" t="e">
        <f ca="1">IFERROR(计算区域!AA298,NA())</f>
        <v>#N/A</v>
      </c>
    </row>
    <row r="297" spans="1:25" x14ac:dyDescent="0.2">
      <c r="A297" s="28">
        <f>计算区域!E299</f>
        <v>45219</v>
      </c>
      <c r="B297" t="e">
        <f ca="1">IFERROR(计算区域!AJ299,NA())</f>
        <v>#N/A</v>
      </c>
      <c r="C297" t="e">
        <f ca="1">IFERROR(计算区域!AK299,NA())</f>
        <v>#N/A</v>
      </c>
      <c r="D297" t="e">
        <f ca="1">IFERROR(计算区域!AL299,NA())</f>
        <v>#N/A</v>
      </c>
      <c r="E297" t="e">
        <f ca="1">IFERROR(计算区域!AM299,NA())</f>
        <v>#N/A</v>
      </c>
      <c r="G297" t="e">
        <f ca="1">IFERROR(计算区域!AD299,NA())</f>
        <v>#N/A</v>
      </c>
      <c r="H297" t="e">
        <f ca="1">IFERROR(计算区域!AE299,NA())</f>
        <v>#N/A</v>
      </c>
      <c r="I297" t="e">
        <f ca="1">IFERROR(计算区域!AF299,NA())</f>
        <v>#N/A</v>
      </c>
      <c r="J297" t="e">
        <f ca="1">IFERROR(计算区域!AG299,NA())</f>
        <v>#N/A</v>
      </c>
      <c r="L297" t="e">
        <f ca="1">IFERROR(计算区域!L299,NA())</f>
        <v>#N/A</v>
      </c>
      <c r="M297" t="e">
        <f ca="1">IFERROR(计算区域!M299,NA())</f>
        <v>#N/A</v>
      </c>
      <c r="N297" t="e">
        <f ca="1">IFERROR(计算区域!N299,NA())</f>
        <v>#N/A</v>
      </c>
      <c r="O297" t="e">
        <f ca="1">IFERROR(计算区域!O299,NA())</f>
        <v>#N/A</v>
      </c>
      <c r="Q297" t="e">
        <f ca="1">IFERROR(计算区域!R299,NA())</f>
        <v>#N/A</v>
      </c>
      <c r="R297" t="e">
        <f ca="1">IFERROR(计算区域!S299,NA())</f>
        <v>#N/A</v>
      </c>
      <c r="S297" t="e">
        <f ca="1">IFERROR(计算区域!T299,NA())</f>
        <v>#N/A</v>
      </c>
      <c r="T297" t="e">
        <f ca="1">IFERROR(计算区域!U299,NA())</f>
        <v>#N/A</v>
      </c>
      <c r="V297" t="e">
        <f ca="1">IFERROR(计算区域!X299,NA())</f>
        <v>#N/A</v>
      </c>
      <c r="W297" t="e">
        <f ca="1">IFERROR(计算区域!Y299,NA())</f>
        <v>#N/A</v>
      </c>
      <c r="X297" t="e">
        <f ca="1">IFERROR(计算区域!Z299,NA())</f>
        <v>#N/A</v>
      </c>
      <c r="Y297" t="e">
        <f ca="1">IFERROR(计算区域!AA299,NA())</f>
        <v>#N/A</v>
      </c>
    </row>
    <row r="298" spans="1:25" x14ac:dyDescent="0.2">
      <c r="A298" s="28">
        <f>计算区域!E300</f>
        <v>45218</v>
      </c>
      <c r="B298" t="e">
        <f ca="1">IFERROR(计算区域!AJ300,NA())</f>
        <v>#N/A</v>
      </c>
      <c r="C298" t="e">
        <f ca="1">IFERROR(计算区域!AK300,NA())</f>
        <v>#N/A</v>
      </c>
      <c r="D298" t="e">
        <f ca="1">IFERROR(计算区域!AL300,NA())</f>
        <v>#N/A</v>
      </c>
      <c r="E298" t="e">
        <f ca="1">IFERROR(计算区域!AM300,NA())</f>
        <v>#N/A</v>
      </c>
      <c r="G298" t="e">
        <f ca="1">IFERROR(计算区域!AD300,NA())</f>
        <v>#N/A</v>
      </c>
      <c r="H298" t="e">
        <f ca="1">IFERROR(计算区域!AE300,NA())</f>
        <v>#N/A</v>
      </c>
      <c r="I298" t="e">
        <f ca="1">IFERROR(计算区域!AF300,NA())</f>
        <v>#N/A</v>
      </c>
      <c r="J298" t="e">
        <f ca="1">IFERROR(计算区域!AG300,NA())</f>
        <v>#N/A</v>
      </c>
      <c r="L298" t="e">
        <f ca="1">IFERROR(计算区域!L300,NA())</f>
        <v>#N/A</v>
      </c>
      <c r="M298" t="e">
        <f ca="1">IFERROR(计算区域!M300,NA())</f>
        <v>#N/A</v>
      </c>
      <c r="N298" t="e">
        <f ca="1">IFERROR(计算区域!N300,NA())</f>
        <v>#N/A</v>
      </c>
      <c r="O298" t="e">
        <f ca="1">IFERROR(计算区域!O300,NA())</f>
        <v>#N/A</v>
      </c>
      <c r="Q298" t="e">
        <f ca="1">IFERROR(计算区域!R300,NA())</f>
        <v>#N/A</v>
      </c>
      <c r="R298" t="e">
        <f ca="1">IFERROR(计算区域!S300,NA())</f>
        <v>#N/A</v>
      </c>
      <c r="S298" t="e">
        <f ca="1">IFERROR(计算区域!T300,NA())</f>
        <v>#N/A</v>
      </c>
      <c r="T298" t="e">
        <f ca="1">IFERROR(计算区域!U300,NA())</f>
        <v>#N/A</v>
      </c>
      <c r="V298" t="e">
        <f ca="1">IFERROR(计算区域!X300,NA())</f>
        <v>#N/A</v>
      </c>
      <c r="W298" t="e">
        <f ca="1">IFERROR(计算区域!Y300,NA())</f>
        <v>#N/A</v>
      </c>
      <c r="X298" t="e">
        <f ca="1">IFERROR(计算区域!Z300,NA())</f>
        <v>#N/A</v>
      </c>
      <c r="Y298" t="e">
        <f ca="1">IFERROR(计算区域!AA300,NA())</f>
        <v>#N/A</v>
      </c>
    </row>
    <row r="299" spans="1:25" x14ac:dyDescent="0.2">
      <c r="A299" s="28">
        <f>计算区域!E301</f>
        <v>45217</v>
      </c>
      <c r="B299" t="e">
        <f ca="1">IFERROR(计算区域!AJ301,NA())</f>
        <v>#N/A</v>
      </c>
      <c r="C299" t="e">
        <f ca="1">IFERROR(计算区域!AK301,NA())</f>
        <v>#N/A</v>
      </c>
      <c r="D299" t="e">
        <f ca="1">IFERROR(计算区域!AL301,NA())</f>
        <v>#N/A</v>
      </c>
      <c r="E299" t="e">
        <f ca="1">IFERROR(计算区域!AM301,NA())</f>
        <v>#N/A</v>
      </c>
      <c r="G299" t="e">
        <f ca="1">IFERROR(计算区域!AD301,NA())</f>
        <v>#N/A</v>
      </c>
      <c r="H299" t="e">
        <f ca="1">IFERROR(计算区域!AE301,NA())</f>
        <v>#N/A</v>
      </c>
      <c r="I299" t="e">
        <f ca="1">IFERROR(计算区域!AF301,NA())</f>
        <v>#N/A</v>
      </c>
      <c r="J299" t="e">
        <f ca="1">IFERROR(计算区域!AG301,NA())</f>
        <v>#N/A</v>
      </c>
      <c r="L299" t="e">
        <f ca="1">IFERROR(计算区域!L301,NA())</f>
        <v>#N/A</v>
      </c>
      <c r="M299" t="e">
        <f ca="1">IFERROR(计算区域!M301,NA())</f>
        <v>#N/A</v>
      </c>
      <c r="N299" t="e">
        <f ca="1">IFERROR(计算区域!N301,NA())</f>
        <v>#N/A</v>
      </c>
      <c r="O299" t="e">
        <f ca="1">IFERROR(计算区域!O301,NA())</f>
        <v>#N/A</v>
      </c>
      <c r="Q299" t="e">
        <f ca="1">IFERROR(计算区域!R301,NA())</f>
        <v>#N/A</v>
      </c>
      <c r="R299" t="e">
        <f ca="1">IFERROR(计算区域!S301,NA())</f>
        <v>#N/A</v>
      </c>
      <c r="S299" t="e">
        <f ca="1">IFERROR(计算区域!T301,NA())</f>
        <v>#N/A</v>
      </c>
      <c r="T299" t="e">
        <f ca="1">IFERROR(计算区域!U301,NA())</f>
        <v>#N/A</v>
      </c>
      <c r="V299" t="e">
        <f ca="1">IFERROR(计算区域!X301,NA())</f>
        <v>#N/A</v>
      </c>
      <c r="W299" t="e">
        <f ca="1">IFERROR(计算区域!Y301,NA())</f>
        <v>#N/A</v>
      </c>
      <c r="X299" t="e">
        <f ca="1">IFERROR(计算区域!Z301,NA())</f>
        <v>#N/A</v>
      </c>
      <c r="Y299" t="e">
        <f ca="1">IFERROR(计算区域!AA301,NA())</f>
        <v>#N/A</v>
      </c>
    </row>
    <row r="300" spans="1:25" x14ac:dyDescent="0.2">
      <c r="A300" s="28">
        <f>计算区域!E302</f>
        <v>45216</v>
      </c>
      <c r="B300" t="e">
        <f ca="1">IFERROR(计算区域!AJ302,NA())</f>
        <v>#N/A</v>
      </c>
      <c r="C300" t="e">
        <f ca="1">IFERROR(计算区域!AK302,NA())</f>
        <v>#N/A</v>
      </c>
      <c r="D300" t="e">
        <f ca="1">IFERROR(计算区域!AL302,NA())</f>
        <v>#N/A</v>
      </c>
      <c r="E300" t="e">
        <f ca="1">IFERROR(计算区域!AM302,NA())</f>
        <v>#N/A</v>
      </c>
      <c r="G300" t="e">
        <f ca="1">IFERROR(计算区域!AD302,NA())</f>
        <v>#N/A</v>
      </c>
      <c r="H300" t="e">
        <f ca="1">IFERROR(计算区域!AE302,NA())</f>
        <v>#N/A</v>
      </c>
      <c r="I300" t="e">
        <f ca="1">IFERROR(计算区域!AF302,NA())</f>
        <v>#N/A</v>
      </c>
      <c r="J300" t="e">
        <f ca="1">IFERROR(计算区域!AG302,NA())</f>
        <v>#N/A</v>
      </c>
      <c r="L300" t="e">
        <f ca="1">IFERROR(计算区域!L302,NA())</f>
        <v>#N/A</v>
      </c>
      <c r="M300" t="e">
        <f ca="1">IFERROR(计算区域!M302,NA())</f>
        <v>#N/A</v>
      </c>
      <c r="N300" t="e">
        <f ca="1">IFERROR(计算区域!N302,NA())</f>
        <v>#N/A</v>
      </c>
      <c r="O300" t="e">
        <f ca="1">IFERROR(计算区域!O302,NA())</f>
        <v>#N/A</v>
      </c>
      <c r="Q300" t="e">
        <f ca="1">IFERROR(计算区域!R302,NA())</f>
        <v>#N/A</v>
      </c>
      <c r="R300" t="e">
        <f ca="1">IFERROR(计算区域!S302,NA())</f>
        <v>#N/A</v>
      </c>
      <c r="S300" t="e">
        <f ca="1">IFERROR(计算区域!T302,NA())</f>
        <v>#N/A</v>
      </c>
      <c r="T300" t="e">
        <f ca="1">IFERROR(计算区域!U302,NA())</f>
        <v>#N/A</v>
      </c>
      <c r="V300" t="e">
        <f ca="1">IFERROR(计算区域!X302,NA())</f>
        <v>#N/A</v>
      </c>
      <c r="W300" t="e">
        <f ca="1">IFERROR(计算区域!Y302,NA())</f>
        <v>#N/A</v>
      </c>
      <c r="X300" t="e">
        <f ca="1">IFERROR(计算区域!Z302,NA())</f>
        <v>#N/A</v>
      </c>
      <c r="Y300" t="e">
        <f ca="1">IFERROR(计算区域!AA302,NA())</f>
        <v>#N/A</v>
      </c>
    </row>
    <row r="301" spans="1:25" x14ac:dyDescent="0.2">
      <c r="A301" s="28">
        <f>计算区域!E303</f>
        <v>45215</v>
      </c>
      <c r="B301" t="e">
        <f ca="1">IFERROR(计算区域!AJ303,NA())</f>
        <v>#N/A</v>
      </c>
      <c r="C301" t="e">
        <f ca="1">IFERROR(计算区域!AK303,NA())</f>
        <v>#N/A</v>
      </c>
      <c r="D301" t="e">
        <f ca="1">IFERROR(计算区域!AL303,NA())</f>
        <v>#N/A</v>
      </c>
      <c r="E301" t="e">
        <f ca="1">IFERROR(计算区域!AM303,NA())</f>
        <v>#N/A</v>
      </c>
      <c r="G301" t="e">
        <f ca="1">IFERROR(计算区域!AD303,NA())</f>
        <v>#N/A</v>
      </c>
      <c r="H301" t="e">
        <f ca="1">IFERROR(计算区域!AE303,NA())</f>
        <v>#N/A</v>
      </c>
      <c r="I301" t="e">
        <f ca="1">IFERROR(计算区域!AF303,NA())</f>
        <v>#N/A</v>
      </c>
      <c r="J301" t="e">
        <f ca="1">IFERROR(计算区域!AG303,NA())</f>
        <v>#N/A</v>
      </c>
      <c r="L301" t="e">
        <f ca="1">IFERROR(计算区域!L303,NA())</f>
        <v>#N/A</v>
      </c>
      <c r="M301" t="e">
        <f ca="1">IFERROR(计算区域!M303,NA())</f>
        <v>#N/A</v>
      </c>
      <c r="N301" t="e">
        <f ca="1">IFERROR(计算区域!N303,NA())</f>
        <v>#N/A</v>
      </c>
      <c r="O301" t="e">
        <f ca="1">IFERROR(计算区域!O303,NA())</f>
        <v>#N/A</v>
      </c>
      <c r="Q301" t="e">
        <f ca="1">IFERROR(计算区域!R303,NA())</f>
        <v>#N/A</v>
      </c>
      <c r="R301" t="e">
        <f ca="1">IFERROR(计算区域!S303,NA())</f>
        <v>#N/A</v>
      </c>
      <c r="S301" t="e">
        <f ca="1">IFERROR(计算区域!T303,NA())</f>
        <v>#N/A</v>
      </c>
      <c r="T301" t="e">
        <f ca="1">IFERROR(计算区域!U303,NA())</f>
        <v>#N/A</v>
      </c>
      <c r="V301" t="e">
        <f ca="1">IFERROR(计算区域!X303,NA())</f>
        <v>#N/A</v>
      </c>
      <c r="W301" t="e">
        <f ca="1">IFERROR(计算区域!Y303,NA())</f>
        <v>#N/A</v>
      </c>
      <c r="X301" t="e">
        <f ca="1">IFERROR(计算区域!Z303,NA())</f>
        <v>#N/A</v>
      </c>
      <c r="Y301" t="e">
        <f ca="1">IFERROR(计算区域!AA303,NA())</f>
        <v>#N/A</v>
      </c>
    </row>
    <row r="302" spans="1:25" x14ac:dyDescent="0.2">
      <c r="A302" s="28">
        <f>计算区域!E304</f>
        <v>45212</v>
      </c>
      <c r="B302" t="e">
        <f ca="1">IFERROR(计算区域!AJ304,NA())</f>
        <v>#N/A</v>
      </c>
      <c r="C302" t="e">
        <f ca="1">IFERROR(计算区域!AK304,NA())</f>
        <v>#N/A</v>
      </c>
      <c r="D302" t="e">
        <f ca="1">IFERROR(计算区域!AL304,NA())</f>
        <v>#N/A</v>
      </c>
      <c r="E302" t="e">
        <f ca="1">IFERROR(计算区域!AM304,NA())</f>
        <v>#N/A</v>
      </c>
      <c r="G302" t="e">
        <f ca="1">IFERROR(计算区域!AD304,NA())</f>
        <v>#N/A</v>
      </c>
      <c r="H302" t="e">
        <f ca="1">IFERROR(计算区域!AE304,NA())</f>
        <v>#N/A</v>
      </c>
      <c r="I302" t="e">
        <f ca="1">IFERROR(计算区域!AF304,NA())</f>
        <v>#N/A</v>
      </c>
      <c r="J302" t="e">
        <f ca="1">IFERROR(计算区域!AG304,NA())</f>
        <v>#N/A</v>
      </c>
      <c r="L302" t="e">
        <f ca="1">IFERROR(计算区域!L304,NA())</f>
        <v>#N/A</v>
      </c>
      <c r="M302" t="e">
        <f ca="1">IFERROR(计算区域!M304,NA())</f>
        <v>#N/A</v>
      </c>
      <c r="N302" t="e">
        <f ca="1">IFERROR(计算区域!N304,NA())</f>
        <v>#N/A</v>
      </c>
      <c r="O302" t="e">
        <f ca="1">IFERROR(计算区域!O304,NA())</f>
        <v>#N/A</v>
      </c>
      <c r="Q302" t="e">
        <f ca="1">IFERROR(计算区域!R304,NA())</f>
        <v>#N/A</v>
      </c>
      <c r="R302" t="e">
        <f ca="1">IFERROR(计算区域!S304,NA())</f>
        <v>#N/A</v>
      </c>
      <c r="S302" t="e">
        <f ca="1">IFERROR(计算区域!T304,NA())</f>
        <v>#N/A</v>
      </c>
      <c r="T302" t="e">
        <f ca="1">IFERROR(计算区域!U304,NA())</f>
        <v>#N/A</v>
      </c>
      <c r="V302" t="e">
        <f ca="1">IFERROR(计算区域!X304,NA())</f>
        <v>#N/A</v>
      </c>
      <c r="W302" t="e">
        <f ca="1">IFERROR(计算区域!Y304,NA())</f>
        <v>#N/A</v>
      </c>
      <c r="X302" t="e">
        <f ca="1">IFERROR(计算区域!Z304,NA())</f>
        <v>#N/A</v>
      </c>
      <c r="Y302" t="e">
        <f ca="1">IFERROR(计算区域!AA304,NA())</f>
        <v>#N/A</v>
      </c>
    </row>
    <row r="303" spans="1:25" x14ac:dyDescent="0.2">
      <c r="A303" s="28">
        <f>计算区域!E305</f>
        <v>45211</v>
      </c>
      <c r="B303" t="e">
        <f ca="1">IFERROR(计算区域!AJ305,NA())</f>
        <v>#N/A</v>
      </c>
      <c r="C303" t="e">
        <f ca="1">IFERROR(计算区域!AK305,NA())</f>
        <v>#N/A</v>
      </c>
      <c r="D303" t="e">
        <f ca="1">IFERROR(计算区域!AL305,NA())</f>
        <v>#N/A</v>
      </c>
      <c r="E303" t="e">
        <f ca="1">IFERROR(计算区域!AM305,NA())</f>
        <v>#N/A</v>
      </c>
      <c r="G303" t="e">
        <f ca="1">IFERROR(计算区域!AD305,NA())</f>
        <v>#N/A</v>
      </c>
      <c r="H303" t="e">
        <f ca="1">IFERROR(计算区域!AE305,NA())</f>
        <v>#N/A</v>
      </c>
      <c r="I303" t="e">
        <f ca="1">IFERROR(计算区域!AF305,NA())</f>
        <v>#N/A</v>
      </c>
      <c r="J303" t="e">
        <f ca="1">IFERROR(计算区域!AG305,NA())</f>
        <v>#N/A</v>
      </c>
      <c r="L303" t="e">
        <f ca="1">IFERROR(计算区域!L305,NA())</f>
        <v>#N/A</v>
      </c>
      <c r="M303" t="e">
        <f ca="1">IFERROR(计算区域!M305,NA())</f>
        <v>#N/A</v>
      </c>
      <c r="N303" t="e">
        <f ca="1">IFERROR(计算区域!N305,NA())</f>
        <v>#N/A</v>
      </c>
      <c r="O303" t="e">
        <f ca="1">IFERROR(计算区域!O305,NA())</f>
        <v>#N/A</v>
      </c>
      <c r="Q303" t="e">
        <f ca="1">IFERROR(计算区域!R305,NA())</f>
        <v>#N/A</v>
      </c>
      <c r="R303" t="e">
        <f ca="1">IFERROR(计算区域!S305,NA())</f>
        <v>#N/A</v>
      </c>
      <c r="S303" t="e">
        <f ca="1">IFERROR(计算区域!T305,NA())</f>
        <v>#N/A</v>
      </c>
      <c r="T303" t="e">
        <f ca="1">IFERROR(计算区域!U305,NA())</f>
        <v>#N/A</v>
      </c>
      <c r="V303" t="e">
        <f ca="1">IFERROR(计算区域!X305,NA())</f>
        <v>#N/A</v>
      </c>
      <c r="W303" t="e">
        <f ca="1">IFERROR(计算区域!Y305,NA())</f>
        <v>#N/A</v>
      </c>
      <c r="X303" t="e">
        <f ca="1">IFERROR(计算区域!Z305,NA())</f>
        <v>#N/A</v>
      </c>
      <c r="Y303" t="e">
        <f ca="1">IFERROR(计算区域!AA305,NA())</f>
        <v>#N/A</v>
      </c>
    </row>
    <row r="304" spans="1:25" x14ac:dyDescent="0.2">
      <c r="A304" s="28">
        <f>计算区域!E306</f>
        <v>45210</v>
      </c>
      <c r="B304" t="e">
        <f ca="1">IFERROR(计算区域!AJ306,NA())</f>
        <v>#N/A</v>
      </c>
      <c r="C304" t="e">
        <f ca="1">IFERROR(计算区域!AK306,NA())</f>
        <v>#N/A</v>
      </c>
      <c r="D304" t="e">
        <f ca="1">IFERROR(计算区域!AL306,NA())</f>
        <v>#N/A</v>
      </c>
      <c r="E304" t="e">
        <f ca="1">IFERROR(计算区域!AM306,NA())</f>
        <v>#N/A</v>
      </c>
      <c r="G304" t="e">
        <f ca="1">IFERROR(计算区域!AD306,NA())</f>
        <v>#N/A</v>
      </c>
      <c r="H304" t="e">
        <f ca="1">IFERROR(计算区域!AE306,NA())</f>
        <v>#N/A</v>
      </c>
      <c r="I304" t="e">
        <f ca="1">IFERROR(计算区域!AF306,NA())</f>
        <v>#N/A</v>
      </c>
      <c r="J304" t="e">
        <f ca="1">IFERROR(计算区域!AG306,NA())</f>
        <v>#N/A</v>
      </c>
      <c r="L304" t="e">
        <f ca="1">IFERROR(计算区域!L306,NA())</f>
        <v>#N/A</v>
      </c>
      <c r="M304" t="e">
        <f ca="1">IFERROR(计算区域!M306,NA())</f>
        <v>#N/A</v>
      </c>
      <c r="N304" t="e">
        <f ca="1">IFERROR(计算区域!N306,NA())</f>
        <v>#N/A</v>
      </c>
      <c r="O304" t="e">
        <f ca="1">IFERROR(计算区域!O306,NA())</f>
        <v>#N/A</v>
      </c>
      <c r="Q304" t="e">
        <f ca="1">IFERROR(计算区域!R306,NA())</f>
        <v>#N/A</v>
      </c>
      <c r="R304" t="e">
        <f ca="1">IFERROR(计算区域!S306,NA())</f>
        <v>#N/A</v>
      </c>
      <c r="S304" t="e">
        <f ca="1">IFERROR(计算区域!T306,NA())</f>
        <v>#N/A</v>
      </c>
      <c r="T304" t="e">
        <f ca="1">IFERROR(计算区域!U306,NA())</f>
        <v>#N/A</v>
      </c>
      <c r="V304" t="e">
        <f ca="1">IFERROR(计算区域!X306,NA())</f>
        <v>#N/A</v>
      </c>
      <c r="W304" t="e">
        <f ca="1">IFERROR(计算区域!Y306,NA())</f>
        <v>#N/A</v>
      </c>
      <c r="X304" t="e">
        <f ca="1">IFERROR(计算区域!Z306,NA())</f>
        <v>#N/A</v>
      </c>
      <c r="Y304" t="e">
        <f ca="1">IFERROR(计算区域!AA306,NA())</f>
        <v>#N/A</v>
      </c>
    </row>
    <row r="305" spans="1:25" x14ac:dyDescent="0.2">
      <c r="A305" s="28">
        <f>计算区域!E307</f>
        <v>45209</v>
      </c>
      <c r="B305" t="e">
        <f ca="1">IFERROR(计算区域!AJ307,NA())</f>
        <v>#N/A</v>
      </c>
      <c r="C305" t="e">
        <f ca="1">IFERROR(计算区域!AK307,NA())</f>
        <v>#N/A</v>
      </c>
      <c r="D305" t="e">
        <f ca="1">IFERROR(计算区域!AL307,NA())</f>
        <v>#N/A</v>
      </c>
      <c r="E305" t="e">
        <f ca="1">IFERROR(计算区域!AM307,NA())</f>
        <v>#N/A</v>
      </c>
      <c r="G305" t="e">
        <f ca="1">IFERROR(计算区域!AD307,NA())</f>
        <v>#N/A</v>
      </c>
      <c r="H305" t="e">
        <f ca="1">IFERROR(计算区域!AE307,NA())</f>
        <v>#N/A</v>
      </c>
      <c r="I305" t="e">
        <f ca="1">IFERROR(计算区域!AF307,NA())</f>
        <v>#N/A</v>
      </c>
      <c r="J305" t="e">
        <f ca="1">IFERROR(计算区域!AG307,NA())</f>
        <v>#N/A</v>
      </c>
      <c r="L305" t="e">
        <f ca="1">IFERROR(计算区域!L307,NA())</f>
        <v>#N/A</v>
      </c>
      <c r="M305" t="e">
        <f ca="1">IFERROR(计算区域!M307,NA())</f>
        <v>#N/A</v>
      </c>
      <c r="N305" t="e">
        <f ca="1">IFERROR(计算区域!N307,NA())</f>
        <v>#N/A</v>
      </c>
      <c r="O305" t="e">
        <f ca="1">IFERROR(计算区域!O307,NA())</f>
        <v>#N/A</v>
      </c>
      <c r="Q305" t="e">
        <f ca="1">IFERROR(计算区域!R307,NA())</f>
        <v>#N/A</v>
      </c>
      <c r="R305" t="e">
        <f ca="1">IFERROR(计算区域!S307,NA())</f>
        <v>#N/A</v>
      </c>
      <c r="S305" t="e">
        <f ca="1">IFERROR(计算区域!T307,NA())</f>
        <v>#N/A</v>
      </c>
      <c r="T305" t="e">
        <f ca="1">IFERROR(计算区域!U307,NA())</f>
        <v>#N/A</v>
      </c>
      <c r="V305" t="e">
        <f ca="1">IFERROR(计算区域!X307,NA())</f>
        <v>#N/A</v>
      </c>
      <c r="W305" t="e">
        <f ca="1">IFERROR(计算区域!Y307,NA())</f>
        <v>#N/A</v>
      </c>
      <c r="X305" t="e">
        <f ca="1">IFERROR(计算区域!Z307,NA())</f>
        <v>#N/A</v>
      </c>
      <c r="Y305" t="e">
        <f ca="1">IFERROR(计算区域!AA307,NA())</f>
        <v>#N/A</v>
      </c>
    </row>
    <row r="306" spans="1:25" x14ac:dyDescent="0.2">
      <c r="A306" s="28">
        <f>计算区域!E308</f>
        <v>45208</v>
      </c>
      <c r="B306" t="e">
        <f ca="1">IFERROR(计算区域!AJ308,NA())</f>
        <v>#N/A</v>
      </c>
      <c r="C306" t="e">
        <f ca="1">IFERROR(计算区域!AK308,NA())</f>
        <v>#N/A</v>
      </c>
      <c r="D306" t="e">
        <f ca="1">IFERROR(计算区域!AL308,NA())</f>
        <v>#N/A</v>
      </c>
      <c r="E306" t="e">
        <f ca="1">IFERROR(计算区域!AM308,NA())</f>
        <v>#N/A</v>
      </c>
      <c r="G306" t="e">
        <f ca="1">IFERROR(计算区域!AD308,NA())</f>
        <v>#N/A</v>
      </c>
      <c r="H306" t="e">
        <f ca="1">IFERROR(计算区域!AE308,NA())</f>
        <v>#N/A</v>
      </c>
      <c r="I306" t="e">
        <f ca="1">IFERROR(计算区域!AF308,NA())</f>
        <v>#N/A</v>
      </c>
      <c r="J306" t="e">
        <f ca="1">IFERROR(计算区域!AG308,NA())</f>
        <v>#N/A</v>
      </c>
      <c r="L306" t="e">
        <f ca="1">IFERROR(计算区域!L308,NA())</f>
        <v>#N/A</v>
      </c>
      <c r="M306" t="e">
        <f ca="1">IFERROR(计算区域!M308,NA())</f>
        <v>#N/A</v>
      </c>
      <c r="N306" t="e">
        <f ca="1">IFERROR(计算区域!N308,NA())</f>
        <v>#N/A</v>
      </c>
      <c r="O306" t="e">
        <f ca="1">IFERROR(计算区域!O308,NA())</f>
        <v>#N/A</v>
      </c>
      <c r="Q306" t="e">
        <f ca="1">IFERROR(计算区域!R308,NA())</f>
        <v>#N/A</v>
      </c>
      <c r="R306" t="e">
        <f ca="1">IFERROR(计算区域!S308,NA())</f>
        <v>#N/A</v>
      </c>
      <c r="S306" t="e">
        <f ca="1">IFERROR(计算区域!T308,NA())</f>
        <v>#N/A</v>
      </c>
      <c r="T306" t="e">
        <f ca="1">IFERROR(计算区域!U308,NA())</f>
        <v>#N/A</v>
      </c>
      <c r="V306" t="e">
        <f ca="1">IFERROR(计算区域!X308,NA())</f>
        <v>#N/A</v>
      </c>
      <c r="W306" t="e">
        <f ca="1">IFERROR(计算区域!Y308,NA())</f>
        <v>#N/A</v>
      </c>
      <c r="X306" t="e">
        <f ca="1">IFERROR(计算区域!Z308,NA())</f>
        <v>#N/A</v>
      </c>
      <c r="Y306" t="e">
        <f ca="1">IFERROR(计算区域!AA308,NA())</f>
        <v>#N/A</v>
      </c>
    </row>
    <row r="307" spans="1:25" x14ac:dyDescent="0.2">
      <c r="A307" s="28">
        <f>计算区域!E309</f>
        <v>45197</v>
      </c>
      <c r="B307" t="e">
        <f ca="1">IFERROR(计算区域!AJ309,NA())</f>
        <v>#N/A</v>
      </c>
      <c r="C307" t="e">
        <f ca="1">IFERROR(计算区域!AK309,NA())</f>
        <v>#N/A</v>
      </c>
      <c r="D307" t="e">
        <f ca="1">IFERROR(计算区域!AL309,NA())</f>
        <v>#N/A</v>
      </c>
      <c r="E307" t="e">
        <f ca="1">IFERROR(计算区域!AM309,NA())</f>
        <v>#N/A</v>
      </c>
      <c r="G307" t="e">
        <f ca="1">IFERROR(计算区域!AD309,NA())</f>
        <v>#N/A</v>
      </c>
      <c r="H307" t="e">
        <f ca="1">IFERROR(计算区域!AE309,NA())</f>
        <v>#N/A</v>
      </c>
      <c r="I307" t="e">
        <f ca="1">IFERROR(计算区域!AF309,NA())</f>
        <v>#N/A</v>
      </c>
      <c r="J307" t="e">
        <f ca="1">IFERROR(计算区域!AG309,NA())</f>
        <v>#N/A</v>
      </c>
      <c r="L307" t="e">
        <f ca="1">IFERROR(计算区域!L309,NA())</f>
        <v>#N/A</v>
      </c>
      <c r="M307" t="e">
        <f ca="1">IFERROR(计算区域!M309,NA())</f>
        <v>#N/A</v>
      </c>
      <c r="N307" t="e">
        <f ca="1">IFERROR(计算区域!N309,NA())</f>
        <v>#N/A</v>
      </c>
      <c r="O307" t="e">
        <f ca="1">IFERROR(计算区域!O309,NA())</f>
        <v>#N/A</v>
      </c>
      <c r="Q307" t="e">
        <f ca="1">IFERROR(计算区域!R309,NA())</f>
        <v>#N/A</v>
      </c>
      <c r="R307" t="e">
        <f ca="1">IFERROR(计算区域!S309,NA())</f>
        <v>#N/A</v>
      </c>
      <c r="S307" t="e">
        <f ca="1">IFERROR(计算区域!T309,NA())</f>
        <v>#N/A</v>
      </c>
      <c r="T307" t="e">
        <f ca="1">IFERROR(计算区域!U309,NA())</f>
        <v>#N/A</v>
      </c>
      <c r="V307" t="e">
        <f ca="1">IFERROR(计算区域!X309,NA())</f>
        <v>#N/A</v>
      </c>
      <c r="W307" t="e">
        <f ca="1">IFERROR(计算区域!Y309,NA())</f>
        <v>#N/A</v>
      </c>
      <c r="X307" t="e">
        <f ca="1">IFERROR(计算区域!Z309,NA())</f>
        <v>#N/A</v>
      </c>
      <c r="Y307" t="e">
        <f ca="1">IFERROR(计算区域!AA309,NA())</f>
        <v>#N/A</v>
      </c>
    </row>
    <row r="308" spans="1:25" x14ac:dyDescent="0.2">
      <c r="A308" s="28">
        <f>计算区域!E310</f>
        <v>45196</v>
      </c>
      <c r="B308" t="e">
        <f ca="1">IFERROR(计算区域!AJ310,NA())</f>
        <v>#N/A</v>
      </c>
      <c r="C308" t="e">
        <f ca="1">IFERROR(计算区域!AK310,NA())</f>
        <v>#N/A</v>
      </c>
      <c r="D308" t="e">
        <f ca="1">IFERROR(计算区域!AL310,NA())</f>
        <v>#N/A</v>
      </c>
      <c r="E308" t="e">
        <f ca="1">IFERROR(计算区域!AM310,NA())</f>
        <v>#N/A</v>
      </c>
      <c r="G308" t="e">
        <f ca="1">IFERROR(计算区域!AD310,NA())</f>
        <v>#N/A</v>
      </c>
      <c r="H308" t="e">
        <f ca="1">IFERROR(计算区域!AE310,NA())</f>
        <v>#N/A</v>
      </c>
      <c r="I308" t="e">
        <f ca="1">IFERROR(计算区域!AF310,NA())</f>
        <v>#N/A</v>
      </c>
      <c r="J308" t="e">
        <f ca="1">IFERROR(计算区域!AG310,NA())</f>
        <v>#N/A</v>
      </c>
      <c r="L308" t="e">
        <f ca="1">IFERROR(计算区域!L310,NA())</f>
        <v>#N/A</v>
      </c>
      <c r="M308" t="e">
        <f ca="1">IFERROR(计算区域!M310,NA())</f>
        <v>#N/A</v>
      </c>
      <c r="N308" t="e">
        <f ca="1">IFERROR(计算区域!N310,NA())</f>
        <v>#N/A</v>
      </c>
      <c r="O308" t="e">
        <f ca="1">IFERROR(计算区域!O310,NA())</f>
        <v>#N/A</v>
      </c>
      <c r="Q308" t="e">
        <f ca="1">IFERROR(计算区域!R310,NA())</f>
        <v>#N/A</v>
      </c>
      <c r="R308" t="e">
        <f ca="1">IFERROR(计算区域!S310,NA())</f>
        <v>#N/A</v>
      </c>
      <c r="S308" t="e">
        <f ca="1">IFERROR(计算区域!T310,NA())</f>
        <v>#N/A</v>
      </c>
      <c r="T308" t="e">
        <f ca="1">IFERROR(计算区域!U310,NA())</f>
        <v>#N/A</v>
      </c>
      <c r="V308" t="e">
        <f ca="1">IFERROR(计算区域!X310,NA())</f>
        <v>#N/A</v>
      </c>
      <c r="W308" t="e">
        <f ca="1">IFERROR(计算区域!Y310,NA())</f>
        <v>#N/A</v>
      </c>
      <c r="X308" t="e">
        <f ca="1">IFERROR(计算区域!Z310,NA())</f>
        <v>#N/A</v>
      </c>
      <c r="Y308" t="e">
        <f ca="1">IFERROR(计算区域!AA310,NA())</f>
        <v>#N/A</v>
      </c>
    </row>
    <row r="309" spans="1:25" x14ac:dyDescent="0.2">
      <c r="A309" s="28">
        <f>计算区域!E311</f>
        <v>45195</v>
      </c>
      <c r="B309" t="e">
        <f ca="1">IFERROR(计算区域!AJ311,NA())</f>
        <v>#N/A</v>
      </c>
      <c r="C309" t="e">
        <f ca="1">IFERROR(计算区域!AK311,NA())</f>
        <v>#N/A</v>
      </c>
      <c r="D309" t="e">
        <f ca="1">IFERROR(计算区域!AL311,NA())</f>
        <v>#N/A</v>
      </c>
      <c r="E309" t="e">
        <f ca="1">IFERROR(计算区域!AM311,NA())</f>
        <v>#N/A</v>
      </c>
      <c r="G309" t="e">
        <f ca="1">IFERROR(计算区域!AD311,NA())</f>
        <v>#N/A</v>
      </c>
      <c r="H309" t="e">
        <f ca="1">IFERROR(计算区域!AE311,NA())</f>
        <v>#N/A</v>
      </c>
      <c r="I309" t="e">
        <f ca="1">IFERROR(计算区域!AF311,NA())</f>
        <v>#N/A</v>
      </c>
      <c r="J309" t="e">
        <f ca="1">IFERROR(计算区域!AG311,NA())</f>
        <v>#N/A</v>
      </c>
      <c r="L309" t="e">
        <f ca="1">IFERROR(计算区域!L311,NA())</f>
        <v>#N/A</v>
      </c>
      <c r="M309" t="e">
        <f ca="1">IFERROR(计算区域!M311,NA())</f>
        <v>#N/A</v>
      </c>
      <c r="N309" t="e">
        <f ca="1">IFERROR(计算区域!N311,NA())</f>
        <v>#N/A</v>
      </c>
      <c r="O309" t="e">
        <f ca="1">IFERROR(计算区域!O311,NA())</f>
        <v>#N/A</v>
      </c>
      <c r="Q309" t="e">
        <f ca="1">IFERROR(计算区域!R311,NA())</f>
        <v>#N/A</v>
      </c>
      <c r="R309" t="e">
        <f ca="1">IFERROR(计算区域!S311,NA())</f>
        <v>#N/A</v>
      </c>
      <c r="S309" t="e">
        <f ca="1">IFERROR(计算区域!T311,NA())</f>
        <v>#N/A</v>
      </c>
      <c r="T309" t="e">
        <f ca="1">IFERROR(计算区域!U311,NA())</f>
        <v>#N/A</v>
      </c>
      <c r="V309" t="e">
        <f ca="1">IFERROR(计算区域!X311,NA())</f>
        <v>#N/A</v>
      </c>
      <c r="W309" t="e">
        <f ca="1">IFERROR(计算区域!Y311,NA())</f>
        <v>#N/A</v>
      </c>
      <c r="X309" t="e">
        <f ca="1">IFERROR(计算区域!Z311,NA())</f>
        <v>#N/A</v>
      </c>
      <c r="Y309" t="e">
        <f ca="1">IFERROR(计算区域!AA311,NA())</f>
        <v>#N/A</v>
      </c>
    </row>
    <row r="310" spans="1:25" x14ac:dyDescent="0.2">
      <c r="A310" s="28">
        <f>计算区域!E312</f>
        <v>45194</v>
      </c>
      <c r="B310" t="e">
        <f ca="1">IFERROR(计算区域!AJ312,NA())</f>
        <v>#N/A</v>
      </c>
      <c r="C310" t="e">
        <f ca="1">IFERROR(计算区域!AK312,NA())</f>
        <v>#N/A</v>
      </c>
      <c r="D310" t="e">
        <f ca="1">IFERROR(计算区域!AL312,NA())</f>
        <v>#N/A</v>
      </c>
      <c r="E310" t="e">
        <f ca="1">IFERROR(计算区域!AM312,NA())</f>
        <v>#N/A</v>
      </c>
      <c r="G310" t="e">
        <f ca="1">IFERROR(计算区域!AD312,NA())</f>
        <v>#N/A</v>
      </c>
      <c r="H310" t="e">
        <f ca="1">IFERROR(计算区域!AE312,NA())</f>
        <v>#N/A</v>
      </c>
      <c r="I310" t="e">
        <f ca="1">IFERROR(计算区域!AF312,NA())</f>
        <v>#N/A</v>
      </c>
      <c r="J310" t="e">
        <f ca="1">IFERROR(计算区域!AG312,NA())</f>
        <v>#N/A</v>
      </c>
      <c r="L310" t="e">
        <f ca="1">IFERROR(计算区域!L312,NA())</f>
        <v>#N/A</v>
      </c>
      <c r="M310" t="e">
        <f ca="1">IFERROR(计算区域!M312,NA())</f>
        <v>#N/A</v>
      </c>
      <c r="N310" t="e">
        <f ca="1">IFERROR(计算区域!N312,NA())</f>
        <v>#N/A</v>
      </c>
      <c r="O310" t="e">
        <f ca="1">IFERROR(计算区域!O312,NA())</f>
        <v>#N/A</v>
      </c>
      <c r="Q310" t="e">
        <f ca="1">IFERROR(计算区域!R312,NA())</f>
        <v>#N/A</v>
      </c>
      <c r="R310" t="e">
        <f ca="1">IFERROR(计算区域!S312,NA())</f>
        <v>#N/A</v>
      </c>
      <c r="S310" t="e">
        <f ca="1">IFERROR(计算区域!T312,NA())</f>
        <v>#N/A</v>
      </c>
      <c r="T310" t="e">
        <f ca="1">IFERROR(计算区域!U312,NA())</f>
        <v>#N/A</v>
      </c>
      <c r="V310" t="e">
        <f ca="1">IFERROR(计算区域!X312,NA())</f>
        <v>#N/A</v>
      </c>
      <c r="W310" t="e">
        <f ca="1">IFERROR(计算区域!Y312,NA())</f>
        <v>#N/A</v>
      </c>
      <c r="X310" t="e">
        <f ca="1">IFERROR(计算区域!Z312,NA())</f>
        <v>#N/A</v>
      </c>
      <c r="Y310" t="e">
        <f ca="1">IFERROR(计算区域!AA312,NA())</f>
        <v>#N/A</v>
      </c>
    </row>
    <row r="311" spans="1:25" x14ac:dyDescent="0.2">
      <c r="A311" s="28">
        <f>计算区域!E313</f>
        <v>45191</v>
      </c>
      <c r="B311" t="e">
        <f ca="1">IFERROR(计算区域!AJ313,NA())</f>
        <v>#N/A</v>
      </c>
      <c r="C311" t="e">
        <f ca="1">IFERROR(计算区域!AK313,NA())</f>
        <v>#N/A</v>
      </c>
      <c r="D311" t="e">
        <f ca="1">IFERROR(计算区域!AL313,NA())</f>
        <v>#N/A</v>
      </c>
      <c r="E311" t="e">
        <f ca="1">IFERROR(计算区域!AM313,NA())</f>
        <v>#N/A</v>
      </c>
      <c r="G311" t="e">
        <f ca="1">IFERROR(计算区域!AD313,NA())</f>
        <v>#N/A</v>
      </c>
      <c r="H311" t="e">
        <f ca="1">IFERROR(计算区域!AE313,NA())</f>
        <v>#N/A</v>
      </c>
      <c r="I311" t="e">
        <f ca="1">IFERROR(计算区域!AF313,NA())</f>
        <v>#N/A</v>
      </c>
      <c r="J311" t="e">
        <f ca="1">IFERROR(计算区域!AG313,NA())</f>
        <v>#N/A</v>
      </c>
      <c r="L311" t="e">
        <f ca="1">IFERROR(计算区域!L313,NA())</f>
        <v>#N/A</v>
      </c>
      <c r="M311" t="e">
        <f ca="1">IFERROR(计算区域!M313,NA())</f>
        <v>#N/A</v>
      </c>
      <c r="N311" t="e">
        <f ca="1">IFERROR(计算区域!N313,NA())</f>
        <v>#N/A</v>
      </c>
      <c r="O311" t="e">
        <f ca="1">IFERROR(计算区域!O313,NA())</f>
        <v>#N/A</v>
      </c>
      <c r="Q311" t="e">
        <f ca="1">IFERROR(计算区域!R313,NA())</f>
        <v>#N/A</v>
      </c>
      <c r="R311" t="e">
        <f ca="1">IFERROR(计算区域!S313,NA())</f>
        <v>#N/A</v>
      </c>
      <c r="S311" t="e">
        <f ca="1">IFERROR(计算区域!T313,NA())</f>
        <v>#N/A</v>
      </c>
      <c r="T311" t="e">
        <f ca="1">IFERROR(计算区域!U313,NA())</f>
        <v>#N/A</v>
      </c>
      <c r="V311" t="e">
        <f ca="1">IFERROR(计算区域!X313,NA())</f>
        <v>#N/A</v>
      </c>
      <c r="W311" t="e">
        <f ca="1">IFERROR(计算区域!Y313,NA())</f>
        <v>#N/A</v>
      </c>
      <c r="X311" t="e">
        <f ca="1">IFERROR(计算区域!Z313,NA())</f>
        <v>#N/A</v>
      </c>
      <c r="Y311" t="e">
        <f ca="1">IFERROR(计算区域!AA313,NA())</f>
        <v>#N/A</v>
      </c>
    </row>
    <row r="312" spans="1:25" x14ac:dyDescent="0.2">
      <c r="A312" s="28">
        <f>计算区域!E314</f>
        <v>45190</v>
      </c>
      <c r="B312" t="e">
        <f ca="1">IFERROR(计算区域!AJ314,NA())</f>
        <v>#N/A</v>
      </c>
      <c r="C312" t="e">
        <f ca="1">IFERROR(计算区域!AK314,NA())</f>
        <v>#N/A</v>
      </c>
      <c r="D312" t="e">
        <f ca="1">IFERROR(计算区域!AL314,NA())</f>
        <v>#N/A</v>
      </c>
      <c r="E312" t="e">
        <f ca="1">IFERROR(计算区域!AM314,NA())</f>
        <v>#N/A</v>
      </c>
      <c r="G312" t="e">
        <f ca="1">IFERROR(计算区域!AD314,NA())</f>
        <v>#N/A</v>
      </c>
      <c r="H312" t="e">
        <f ca="1">IFERROR(计算区域!AE314,NA())</f>
        <v>#N/A</v>
      </c>
      <c r="I312" t="e">
        <f ca="1">IFERROR(计算区域!AF314,NA())</f>
        <v>#N/A</v>
      </c>
      <c r="J312" t="e">
        <f ca="1">IFERROR(计算区域!AG314,NA())</f>
        <v>#N/A</v>
      </c>
      <c r="L312" t="e">
        <f ca="1">IFERROR(计算区域!L314,NA())</f>
        <v>#N/A</v>
      </c>
      <c r="M312" t="e">
        <f ca="1">IFERROR(计算区域!M314,NA())</f>
        <v>#N/A</v>
      </c>
      <c r="N312" t="e">
        <f ca="1">IFERROR(计算区域!N314,NA())</f>
        <v>#N/A</v>
      </c>
      <c r="O312" t="e">
        <f ca="1">IFERROR(计算区域!O314,NA())</f>
        <v>#N/A</v>
      </c>
      <c r="Q312" t="e">
        <f ca="1">IFERROR(计算区域!R314,NA())</f>
        <v>#N/A</v>
      </c>
      <c r="R312" t="e">
        <f ca="1">IFERROR(计算区域!S314,NA())</f>
        <v>#N/A</v>
      </c>
      <c r="S312" t="e">
        <f ca="1">IFERROR(计算区域!T314,NA())</f>
        <v>#N/A</v>
      </c>
      <c r="T312" t="e">
        <f ca="1">IFERROR(计算区域!U314,NA())</f>
        <v>#N/A</v>
      </c>
      <c r="V312" t="e">
        <f ca="1">IFERROR(计算区域!X314,NA())</f>
        <v>#N/A</v>
      </c>
      <c r="W312" t="e">
        <f ca="1">IFERROR(计算区域!Y314,NA())</f>
        <v>#N/A</v>
      </c>
      <c r="X312" t="e">
        <f ca="1">IFERROR(计算区域!Z314,NA())</f>
        <v>#N/A</v>
      </c>
      <c r="Y312" t="e">
        <f ca="1">IFERROR(计算区域!AA314,NA())</f>
        <v>#N/A</v>
      </c>
    </row>
    <row r="313" spans="1:25" x14ac:dyDescent="0.2">
      <c r="A313" s="28">
        <f>计算区域!E315</f>
        <v>45189</v>
      </c>
      <c r="B313" t="e">
        <f ca="1">IFERROR(计算区域!AJ315,NA())</f>
        <v>#N/A</v>
      </c>
      <c r="C313" t="e">
        <f ca="1">IFERROR(计算区域!AK315,NA())</f>
        <v>#N/A</v>
      </c>
      <c r="D313" t="e">
        <f ca="1">IFERROR(计算区域!AL315,NA())</f>
        <v>#N/A</v>
      </c>
      <c r="E313" t="e">
        <f ca="1">IFERROR(计算区域!AM315,NA())</f>
        <v>#N/A</v>
      </c>
      <c r="G313" t="e">
        <f ca="1">IFERROR(计算区域!AD315,NA())</f>
        <v>#N/A</v>
      </c>
      <c r="H313" t="e">
        <f ca="1">IFERROR(计算区域!AE315,NA())</f>
        <v>#N/A</v>
      </c>
      <c r="I313" t="e">
        <f ca="1">IFERROR(计算区域!AF315,NA())</f>
        <v>#N/A</v>
      </c>
      <c r="J313" t="e">
        <f ca="1">IFERROR(计算区域!AG315,NA())</f>
        <v>#N/A</v>
      </c>
      <c r="L313" t="e">
        <f ca="1">IFERROR(计算区域!L315,NA())</f>
        <v>#N/A</v>
      </c>
      <c r="M313" t="e">
        <f ca="1">IFERROR(计算区域!M315,NA())</f>
        <v>#N/A</v>
      </c>
      <c r="N313" t="e">
        <f ca="1">IFERROR(计算区域!N315,NA())</f>
        <v>#N/A</v>
      </c>
      <c r="O313" t="e">
        <f ca="1">IFERROR(计算区域!O315,NA())</f>
        <v>#N/A</v>
      </c>
      <c r="Q313" t="e">
        <f ca="1">IFERROR(计算区域!R315,NA())</f>
        <v>#N/A</v>
      </c>
      <c r="R313" t="e">
        <f ca="1">IFERROR(计算区域!S315,NA())</f>
        <v>#N/A</v>
      </c>
      <c r="S313" t="e">
        <f ca="1">IFERROR(计算区域!T315,NA())</f>
        <v>#N/A</v>
      </c>
      <c r="T313" t="e">
        <f ca="1">IFERROR(计算区域!U315,NA())</f>
        <v>#N/A</v>
      </c>
      <c r="V313" t="e">
        <f ca="1">IFERROR(计算区域!X315,NA())</f>
        <v>#N/A</v>
      </c>
      <c r="W313" t="e">
        <f ca="1">IFERROR(计算区域!Y315,NA())</f>
        <v>#N/A</v>
      </c>
      <c r="X313" t="e">
        <f ca="1">IFERROR(计算区域!Z315,NA())</f>
        <v>#N/A</v>
      </c>
      <c r="Y313" t="e">
        <f ca="1">IFERROR(计算区域!AA315,NA())</f>
        <v>#N/A</v>
      </c>
    </row>
    <row r="314" spans="1:25" x14ac:dyDescent="0.2">
      <c r="A314" s="28">
        <f>计算区域!E316</f>
        <v>45188</v>
      </c>
      <c r="B314" t="e">
        <f ca="1">IFERROR(计算区域!AJ316,NA())</f>
        <v>#N/A</v>
      </c>
      <c r="C314" t="e">
        <f ca="1">IFERROR(计算区域!AK316,NA())</f>
        <v>#N/A</v>
      </c>
      <c r="D314" t="e">
        <f ca="1">IFERROR(计算区域!AL316,NA())</f>
        <v>#N/A</v>
      </c>
      <c r="E314" t="e">
        <f ca="1">IFERROR(计算区域!AM316,NA())</f>
        <v>#N/A</v>
      </c>
      <c r="G314" t="e">
        <f ca="1">IFERROR(计算区域!AD316,NA())</f>
        <v>#N/A</v>
      </c>
      <c r="H314" t="e">
        <f ca="1">IFERROR(计算区域!AE316,NA())</f>
        <v>#N/A</v>
      </c>
      <c r="I314" t="e">
        <f ca="1">IFERROR(计算区域!AF316,NA())</f>
        <v>#N/A</v>
      </c>
      <c r="J314" t="e">
        <f ca="1">IFERROR(计算区域!AG316,NA())</f>
        <v>#N/A</v>
      </c>
      <c r="L314" t="e">
        <f ca="1">IFERROR(计算区域!L316,NA())</f>
        <v>#N/A</v>
      </c>
      <c r="M314" t="e">
        <f ca="1">IFERROR(计算区域!M316,NA())</f>
        <v>#N/A</v>
      </c>
      <c r="N314" t="e">
        <f ca="1">IFERROR(计算区域!N316,NA())</f>
        <v>#N/A</v>
      </c>
      <c r="O314" t="e">
        <f ca="1">IFERROR(计算区域!O316,NA())</f>
        <v>#N/A</v>
      </c>
      <c r="Q314" t="e">
        <f ca="1">IFERROR(计算区域!R316,NA())</f>
        <v>#N/A</v>
      </c>
      <c r="R314" t="e">
        <f ca="1">IFERROR(计算区域!S316,NA())</f>
        <v>#N/A</v>
      </c>
      <c r="S314" t="e">
        <f ca="1">IFERROR(计算区域!T316,NA())</f>
        <v>#N/A</v>
      </c>
      <c r="T314" t="e">
        <f ca="1">IFERROR(计算区域!U316,NA())</f>
        <v>#N/A</v>
      </c>
      <c r="V314" t="e">
        <f ca="1">IFERROR(计算区域!X316,NA())</f>
        <v>#N/A</v>
      </c>
      <c r="W314" t="e">
        <f ca="1">IFERROR(计算区域!Y316,NA())</f>
        <v>#N/A</v>
      </c>
      <c r="X314" t="e">
        <f ca="1">IFERROR(计算区域!Z316,NA())</f>
        <v>#N/A</v>
      </c>
      <c r="Y314" t="e">
        <f ca="1">IFERROR(计算区域!AA316,NA())</f>
        <v>#N/A</v>
      </c>
    </row>
    <row r="315" spans="1:25" x14ac:dyDescent="0.2">
      <c r="A315" s="28">
        <f>计算区域!E317</f>
        <v>45187</v>
      </c>
      <c r="B315" t="e">
        <f ca="1">IFERROR(计算区域!AJ317,NA())</f>
        <v>#N/A</v>
      </c>
      <c r="C315" t="e">
        <f ca="1">IFERROR(计算区域!AK317,NA())</f>
        <v>#N/A</v>
      </c>
      <c r="D315" t="e">
        <f ca="1">IFERROR(计算区域!AL317,NA())</f>
        <v>#N/A</v>
      </c>
      <c r="E315" t="e">
        <f ca="1">IFERROR(计算区域!AM317,NA())</f>
        <v>#N/A</v>
      </c>
      <c r="G315" t="e">
        <f ca="1">IFERROR(计算区域!AD317,NA())</f>
        <v>#N/A</v>
      </c>
      <c r="H315" t="e">
        <f ca="1">IFERROR(计算区域!AE317,NA())</f>
        <v>#N/A</v>
      </c>
      <c r="I315" t="e">
        <f ca="1">IFERROR(计算区域!AF317,NA())</f>
        <v>#N/A</v>
      </c>
      <c r="J315" t="e">
        <f ca="1">IFERROR(计算区域!AG317,NA())</f>
        <v>#N/A</v>
      </c>
      <c r="L315" t="e">
        <f ca="1">IFERROR(计算区域!L317,NA())</f>
        <v>#N/A</v>
      </c>
      <c r="M315" t="e">
        <f ca="1">IFERROR(计算区域!M317,NA())</f>
        <v>#N/A</v>
      </c>
      <c r="N315" t="e">
        <f ca="1">IFERROR(计算区域!N317,NA())</f>
        <v>#N/A</v>
      </c>
      <c r="O315" t="e">
        <f ca="1">IFERROR(计算区域!O317,NA())</f>
        <v>#N/A</v>
      </c>
      <c r="Q315" t="e">
        <f ca="1">IFERROR(计算区域!R317,NA())</f>
        <v>#N/A</v>
      </c>
      <c r="R315" t="e">
        <f ca="1">IFERROR(计算区域!S317,NA())</f>
        <v>#N/A</v>
      </c>
      <c r="S315" t="e">
        <f ca="1">IFERROR(计算区域!T317,NA())</f>
        <v>#N/A</v>
      </c>
      <c r="T315" t="e">
        <f ca="1">IFERROR(计算区域!U317,NA())</f>
        <v>#N/A</v>
      </c>
      <c r="V315" t="e">
        <f ca="1">IFERROR(计算区域!X317,NA())</f>
        <v>#N/A</v>
      </c>
      <c r="W315" t="e">
        <f ca="1">IFERROR(计算区域!Y317,NA())</f>
        <v>#N/A</v>
      </c>
      <c r="X315" t="e">
        <f ca="1">IFERROR(计算区域!Z317,NA())</f>
        <v>#N/A</v>
      </c>
      <c r="Y315" t="e">
        <f ca="1">IFERROR(计算区域!AA317,NA())</f>
        <v>#N/A</v>
      </c>
    </row>
    <row r="316" spans="1:25" x14ac:dyDescent="0.2">
      <c r="A316" s="28">
        <f>计算区域!E318</f>
        <v>45184</v>
      </c>
      <c r="B316" t="e">
        <f ca="1">IFERROR(计算区域!AJ318,NA())</f>
        <v>#N/A</v>
      </c>
      <c r="C316" t="e">
        <f ca="1">IFERROR(计算区域!AK318,NA())</f>
        <v>#N/A</v>
      </c>
      <c r="D316" t="e">
        <f ca="1">IFERROR(计算区域!AL318,NA())</f>
        <v>#N/A</v>
      </c>
      <c r="E316" t="e">
        <f ca="1">IFERROR(计算区域!AM318,NA())</f>
        <v>#N/A</v>
      </c>
      <c r="G316" t="e">
        <f ca="1">IFERROR(计算区域!AD318,NA())</f>
        <v>#N/A</v>
      </c>
      <c r="H316" t="e">
        <f ca="1">IFERROR(计算区域!AE318,NA())</f>
        <v>#N/A</v>
      </c>
      <c r="I316" t="e">
        <f ca="1">IFERROR(计算区域!AF318,NA())</f>
        <v>#N/A</v>
      </c>
      <c r="J316" t="e">
        <f ca="1">IFERROR(计算区域!AG318,NA())</f>
        <v>#N/A</v>
      </c>
      <c r="L316" t="e">
        <f ca="1">IFERROR(计算区域!L318,NA())</f>
        <v>#N/A</v>
      </c>
      <c r="M316" t="e">
        <f ca="1">IFERROR(计算区域!M318,NA())</f>
        <v>#N/A</v>
      </c>
      <c r="N316" t="e">
        <f ca="1">IFERROR(计算区域!N318,NA())</f>
        <v>#N/A</v>
      </c>
      <c r="O316" t="e">
        <f ca="1">IFERROR(计算区域!O318,NA())</f>
        <v>#N/A</v>
      </c>
      <c r="Q316" t="e">
        <f ca="1">IFERROR(计算区域!R318,NA())</f>
        <v>#N/A</v>
      </c>
      <c r="R316" t="e">
        <f ca="1">IFERROR(计算区域!S318,NA())</f>
        <v>#N/A</v>
      </c>
      <c r="S316" t="e">
        <f ca="1">IFERROR(计算区域!T318,NA())</f>
        <v>#N/A</v>
      </c>
      <c r="T316" t="e">
        <f ca="1">IFERROR(计算区域!U318,NA())</f>
        <v>#N/A</v>
      </c>
      <c r="V316" t="e">
        <f ca="1">IFERROR(计算区域!X318,NA())</f>
        <v>#N/A</v>
      </c>
      <c r="W316" t="e">
        <f ca="1">IFERROR(计算区域!Y318,NA())</f>
        <v>#N/A</v>
      </c>
      <c r="X316" t="e">
        <f ca="1">IFERROR(计算区域!Z318,NA())</f>
        <v>#N/A</v>
      </c>
      <c r="Y316" t="e">
        <f ca="1">IFERROR(计算区域!AA318,NA())</f>
        <v>#N/A</v>
      </c>
    </row>
    <row r="317" spans="1:25" x14ac:dyDescent="0.2">
      <c r="A317" s="28">
        <f>计算区域!E319</f>
        <v>45183</v>
      </c>
      <c r="B317" t="e">
        <f ca="1">IFERROR(计算区域!AJ319,NA())</f>
        <v>#N/A</v>
      </c>
      <c r="C317" t="e">
        <f ca="1">IFERROR(计算区域!AK319,NA())</f>
        <v>#N/A</v>
      </c>
      <c r="D317" t="e">
        <f ca="1">IFERROR(计算区域!AL319,NA())</f>
        <v>#N/A</v>
      </c>
      <c r="E317" t="e">
        <f ca="1">IFERROR(计算区域!AM319,NA())</f>
        <v>#N/A</v>
      </c>
      <c r="G317" t="e">
        <f ca="1">IFERROR(计算区域!AD319,NA())</f>
        <v>#N/A</v>
      </c>
      <c r="H317" t="e">
        <f ca="1">IFERROR(计算区域!AE319,NA())</f>
        <v>#N/A</v>
      </c>
      <c r="I317" t="e">
        <f ca="1">IFERROR(计算区域!AF319,NA())</f>
        <v>#N/A</v>
      </c>
      <c r="J317" t="e">
        <f ca="1">IFERROR(计算区域!AG319,NA())</f>
        <v>#N/A</v>
      </c>
      <c r="L317" t="e">
        <f ca="1">IFERROR(计算区域!L319,NA())</f>
        <v>#N/A</v>
      </c>
      <c r="M317" t="e">
        <f ca="1">IFERROR(计算区域!M319,NA())</f>
        <v>#N/A</v>
      </c>
      <c r="N317" t="e">
        <f ca="1">IFERROR(计算区域!N319,NA())</f>
        <v>#N/A</v>
      </c>
      <c r="O317" t="e">
        <f ca="1">IFERROR(计算区域!O319,NA())</f>
        <v>#N/A</v>
      </c>
      <c r="Q317" t="e">
        <f ca="1">IFERROR(计算区域!R319,NA())</f>
        <v>#N/A</v>
      </c>
      <c r="R317" t="e">
        <f ca="1">IFERROR(计算区域!S319,NA())</f>
        <v>#N/A</v>
      </c>
      <c r="S317" t="e">
        <f ca="1">IFERROR(计算区域!T319,NA())</f>
        <v>#N/A</v>
      </c>
      <c r="T317" t="e">
        <f ca="1">IFERROR(计算区域!U319,NA())</f>
        <v>#N/A</v>
      </c>
      <c r="V317" t="e">
        <f ca="1">IFERROR(计算区域!X319,NA())</f>
        <v>#N/A</v>
      </c>
      <c r="W317" t="e">
        <f ca="1">IFERROR(计算区域!Y319,NA())</f>
        <v>#N/A</v>
      </c>
      <c r="X317" t="e">
        <f ca="1">IFERROR(计算区域!Z319,NA())</f>
        <v>#N/A</v>
      </c>
      <c r="Y317" t="e">
        <f ca="1">IFERROR(计算区域!AA319,NA())</f>
        <v>#N/A</v>
      </c>
    </row>
    <row r="318" spans="1:25" x14ac:dyDescent="0.2">
      <c r="A318" s="28">
        <f>计算区域!E320</f>
        <v>45182</v>
      </c>
      <c r="B318" t="e">
        <f ca="1">IFERROR(计算区域!AJ320,NA())</f>
        <v>#N/A</v>
      </c>
      <c r="C318" t="e">
        <f ca="1">IFERROR(计算区域!AK320,NA())</f>
        <v>#N/A</v>
      </c>
      <c r="D318" t="e">
        <f ca="1">IFERROR(计算区域!AL320,NA())</f>
        <v>#N/A</v>
      </c>
      <c r="E318" t="e">
        <f ca="1">IFERROR(计算区域!AM320,NA())</f>
        <v>#N/A</v>
      </c>
      <c r="G318" t="e">
        <f ca="1">IFERROR(计算区域!AD320,NA())</f>
        <v>#N/A</v>
      </c>
      <c r="H318" t="e">
        <f ca="1">IFERROR(计算区域!AE320,NA())</f>
        <v>#N/A</v>
      </c>
      <c r="I318" t="e">
        <f ca="1">IFERROR(计算区域!AF320,NA())</f>
        <v>#N/A</v>
      </c>
      <c r="J318" t="e">
        <f ca="1">IFERROR(计算区域!AG320,NA())</f>
        <v>#N/A</v>
      </c>
      <c r="L318" t="e">
        <f ca="1">IFERROR(计算区域!L320,NA())</f>
        <v>#N/A</v>
      </c>
      <c r="M318" t="e">
        <f ca="1">IFERROR(计算区域!M320,NA())</f>
        <v>#N/A</v>
      </c>
      <c r="N318" t="e">
        <f ca="1">IFERROR(计算区域!N320,NA())</f>
        <v>#N/A</v>
      </c>
      <c r="O318" t="e">
        <f ca="1">IFERROR(计算区域!O320,NA())</f>
        <v>#N/A</v>
      </c>
      <c r="Q318" t="e">
        <f ca="1">IFERROR(计算区域!R320,NA())</f>
        <v>#N/A</v>
      </c>
      <c r="R318" t="e">
        <f ca="1">IFERROR(计算区域!S320,NA())</f>
        <v>#N/A</v>
      </c>
      <c r="S318" t="e">
        <f ca="1">IFERROR(计算区域!T320,NA())</f>
        <v>#N/A</v>
      </c>
      <c r="T318" t="e">
        <f ca="1">IFERROR(计算区域!U320,NA())</f>
        <v>#N/A</v>
      </c>
      <c r="V318" t="e">
        <f ca="1">IFERROR(计算区域!X320,NA())</f>
        <v>#N/A</v>
      </c>
      <c r="W318" t="e">
        <f ca="1">IFERROR(计算区域!Y320,NA())</f>
        <v>#N/A</v>
      </c>
      <c r="X318" t="e">
        <f ca="1">IFERROR(计算区域!Z320,NA())</f>
        <v>#N/A</v>
      </c>
      <c r="Y318" t="e">
        <f ca="1">IFERROR(计算区域!AA320,NA())</f>
        <v>#N/A</v>
      </c>
    </row>
    <row r="319" spans="1:25" x14ac:dyDescent="0.2">
      <c r="A319" s="28">
        <f>计算区域!E321</f>
        <v>45181</v>
      </c>
      <c r="B319" t="e">
        <f ca="1">IFERROR(计算区域!AJ321,NA())</f>
        <v>#N/A</v>
      </c>
      <c r="C319" t="e">
        <f ca="1">IFERROR(计算区域!AK321,NA())</f>
        <v>#N/A</v>
      </c>
      <c r="D319" t="e">
        <f ca="1">IFERROR(计算区域!AL321,NA())</f>
        <v>#N/A</v>
      </c>
      <c r="E319" t="e">
        <f ca="1">IFERROR(计算区域!AM321,NA())</f>
        <v>#N/A</v>
      </c>
      <c r="G319" t="e">
        <f ca="1">IFERROR(计算区域!AD321,NA())</f>
        <v>#N/A</v>
      </c>
      <c r="H319" t="e">
        <f ca="1">IFERROR(计算区域!AE321,NA())</f>
        <v>#N/A</v>
      </c>
      <c r="I319" t="e">
        <f ca="1">IFERROR(计算区域!AF321,NA())</f>
        <v>#N/A</v>
      </c>
      <c r="J319" t="e">
        <f ca="1">IFERROR(计算区域!AG321,NA())</f>
        <v>#N/A</v>
      </c>
      <c r="L319" t="e">
        <f ca="1">IFERROR(计算区域!L321,NA())</f>
        <v>#N/A</v>
      </c>
      <c r="M319" t="e">
        <f ca="1">IFERROR(计算区域!M321,NA())</f>
        <v>#N/A</v>
      </c>
      <c r="N319" t="e">
        <f ca="1">IFERROR(计算区域!N321,NA())</f>
        <v>#N/A</v>
      </c>
      <c r="O319" t="e">
        <f ca="1">IFERROR(计算区域!O321,NA())</f>
        <v>#N/A</v>
      </c>
      <c r="Q319" t="e">
        <f ca="1">IFERROR(计算区域!R321,NA())</f>
        <v>#N/A</v>
      </c>
      <c r="R319" t="e">
        <f ca="1">IFERROR(计算区域!S321,NA())</f>
        <v>#N/A</v>
      </c>
      <c r="S319" t="e">
        <f ca="1">IFERROR(计算区域!T321,NA())</f>
        <v>#N/A</v>
      </c>
      <c r="T319" t="e">
        <f ca="1">IFERROR(计算区域!U321,NA())</f>
        <v>#N/A</v>
      </c>
      <c r="V319" t="e">
        <f ca="1">IFERROR(计算区域!X321,NA())</f>
        <v>#N/A</v>
      </c>
      <c r="W319" t="e">
        <f ca="1">IFERROR(计算区域!Y321,NA())</f>
        <v>#N/A</v>
      </c>
      <c r="X319" t="e">
        <f ca="1">IFERROR(计算区域!Z321,NA())</f>
        <v>#N/A</v>
      </c>
      <c r="Y319" t="e">
        <f ca="1">IFERROR(计算区域!AA321,NA())</f>
        <v>#N/A</v>
      </c>
    </row>
    <row r="320" spans="1:25" x14ac:dyDescent="0.2">
      <c r="A320" s="28">
        <f>计算区域!E322</f>
        <v>45180</v>
      </c>
      <c r="B320" t="e">
        <f ca="1">IFERROR(计算区域!AJ322,NA())</f>
        <v>#N/A</v>
      </c>
      <c r="C320" t="e">
        <f ca="1">IFERROR(计算区域!AK322,NA())</f>
        <v>#N/A</v>
      </c>
      <c r="D320" t="e">
        <f ca="1">IFERROR(计算区域!AL322,NA())</f>
        <v>#N/A</v>
      </c>
      <c r="E320" t="e">
        <f ca="1">IFERROR(计算区域!AM322,NA())</f>
        <v>#N/A</v>
      </c>
      <c r="G320" t="e">
        <f ca="1">IFERROR(计算区域!AD322,NA())</f>
        <v>#N/A</v>
      </c>
      <c r="H320" t="e">
        <f ca="1">IFERROR(计算区域!AE322,NA())</f>
        <v>#N/A</v>
      </c>
      <c r="I320" t="e">
        <f ca="1">IFERROR(计算区域!AF322,NA())</f>
        <v>#N/A</v>
      </c>
      <c r="J320" t="e">
        <f ca="1">IFERROR(计算区域!AG322,NA())</f>
        <v>#N/A</v>
      </c>
      <c r="L320" t="e">
        <f ca="1">IFERROR(计算区域!L322,NA())</f>
        <v>#N/A</v>
      </c>
      <c r="M320" t="e">
        <f ca="1">IFERROR(计算区域!M322,NA())</f>
        <v>#N/A</v>
      </c>
      <c r="N320" t="e">
        <f ca="1">IFERROR(计算区域!N322,NA())</f>
        <v>#N/A</v>
      </c>
      <c r="O320" t="e">
        <f ca="1">IFERROR(计算区域!O322,NA())</f>
        <v>#N/A</v>
      </c>
      <c r="Q320" t="e">
        <f ca="1">IFERROR(计算区域!R322,NA())</f>
        <v>#N/A</v>
      </c>
      <c r="R320" t="e">
        <f ca="1">IFERROR(计算区域!S322,NA())</f>
        <v>#N/A</v>
      </c>
      <c r="S320" t="e">
        <f ca="1">IFERROR(计算区域!T322,NA())</f>
        <v>#N/A</v>
      </c>
      <c r="T320" t="e">
        <f ca="1">IFERROR(计算区域!U322,NA())</f>
        <v>#N/A</v>
      </c>
      <c r="V320" t="e">
        <f ca="1">IFERROR(计算区域!X322,NA())</f>
        <v>#N/A</v>
      </c>
      <c r="W320" t="e">
        <f ca="1">IFERROR(计算区域!Y322,NA())</f>
        <v>#N/A</v>
      </c>
      <c r="X320" t="e">
        <f ca="1">IFERROR(计算区域!Z322,NA())</f>
        <v>#N/A</v>
      </c>
      <c r="Y320" t="e">
        <f ca="1">IFERROR(计算区域!AA322,NA())</f>
        <v>#N/A</v>
      </c>
    </row>
    <row r="321" spans="1:25" x14ac:dyDescent="0.2">
      <c r="A321" s="28">
        <f>计算区域!E323</f>
        <v>45177</v>
      </c>
      <c r="B321" t="e">
        <f ca="1">IFERROR(计算区域!AJ323,NA())</f>
        <v>#N/A</v>
      </c>
      <c r="C321" t="e">
        <f ca="1">IFERROR(计算区域!AK323,NA())</f>
        <v>#N/A</v>
      </c>
      <c r="D321" t="e">
        <f ca="1">IFERROR(计算区域!AL323,NA())</f>
        <v>#N/A</v>
      </c>
      <c r="E321" t="e">
        <f ca="1">IFERROR(计算区域!AM323,NA())</f>
        <v>#N/A</v>
      </c>
      <c r="G321" t="e">
        <f ca="1">IFERROR(计算区域!AD323,NA())</f>
        <v>#N/A</v>
      </c>
      <c r="H321" t="e">
        <f ca="1">IFERROR(计算区域!AE323,NA())</f>
        <v>#N/A</v>
      </c>
      <c r="I321" t="e">
        <f ca="1">IFERROR(计算区域!AF323,NA())</f>
        <v>#N/A</v>
      </c>
      <c r="J321" t="e">
        <f ca="1">IFERROR(计算区域!AG323,NA())</f>
        <v>#N/A</v>
      </c>
      <c r="L321" t="e">
        <f ca="1">IFERROR(计算区域!L323,NA())</f>
        <v>#N/A</v>
      </c>
      <c r="M321" t="e">
        <f ca="1">IFERROR(计算区域!M323,NA())</f>
        <v>#N/A</v>
      </c>
      <c r="N321" t="e">
        <f ca="1">IFERROR(计算区域!N323,NA())</f>
        <v>#N/A</v>
      </c>
      <c r="O321" t="e">
        <f ca="1">IFERROR(计算区域!O323,NA())</f>
        <v>#N/A</v>
      </c>
      <c r="Q321" t="e">
        <f ca="1">IFERROR(计算区域!R323,NA())</f>
        <v>#N/A</v>
      </c>
      <c r="R321" t="e">
        <f ca="1">IFERROR(计算区域!S323,NA())</f>
        <v>#N/A</v>
      </c>
      <c r="S321" t="e">
        <f ca="1">IFERROR(计算区域!T323,NA())</f>
        <v>#N/A</v>
      </c>
      <c r="T321" t="e">
        <f ca="1">IFERROR(计算区域!U323,NA())</f>
        <v>#N/A</v>
      </c>
      <c r="V321" t="e">
        <f ca="1">IFERROR(计算区域!X323,NA())</f>
        <v>#N/A</v>
      </c>
      <c r="W321" t="e">
        <f ca="1">IFERROR(计算区域!Y323,NA())</f>
        <v>#N/A</v>
      </c>
      <c r="X321" t="e">
        <f ca="1">IFERROR(计算区域!Z323,NA())</f>
        <v>#N/A</v>
      </c>
      <c r="Y321" t="e">
        <f ca="1">IFERROR(计算区域!AA323,NA())</f>
        <v>#N/A</v>
      </c>
    </row>
    <row r="322" spans="1:25" x14ac:dyDescent="0.2">
      <c r="A322" s="28">
        <f>计算区域!E324</f>
        <v>45176</v>
      </c>
      <c r="B322" t="e">
        <f ca="1">IFERROR(计算区域!AJ324,NA())</f>
        <v>#N/A</v>
      </c>
      <c r="C322" t="e">
        <f ca="1">IFERROR(计算区域!AK324,NA())</f>
        <v>#N/A</v>
      </c>
      <c r="D322" t="e">
        <f ca="1">IFERROR(计算区域!AL324,NA())</f>
        <v>#N/A</v>
      </c>
      <c r="E322" t="e">
        <f ca="1">IFERROR(计算区域!AM324,NA())</f>
        <v>#N/A</v>
      </c>
      <c r="G322" t="e">
        <f ca="1">IFERROR(计算区域!AD324,NA())</f>
        <v>#N/A</v>
      </c>
      <c r="H322" t="e">
        <f ca="1">IFERROR(计算区域!AE324,NA())</f>
        <v>#N/A</v>
      </c>
      <c r="I322" t="e">
        <f ca="1">IFERROR(计算区域!AF324,NA())</f>
        <v>#N/A</v>
      </c>
      <c r="J322" t="e">
        <f ca="1">IFERROR(计算区域!AG324,NA())</f>
        <v>#N/A</v>
      </c>
      <c r="L322" t="e">
        <f ca="1">IFERROR(计算区域!L324,NA())</f>
        <v>#N/A</v>
      </c>
      <c r="M322" t="e">
        <f ca="1">IFERROR(计算区域!M324,NA())</f>
        <v>#N/A</v>
      </c>
      <c r="N322" t="e">
        <f ca="1">IFERROR(计算区域!N324,NA())</f>
        <v>#N/A</v>
      </c>
      <c r="O322" t="e">
        <f ca="1">IFERROR(计算区域!O324,NA())</f>
        <v>#N/A</v>
      </c>
      <c r="Q322" t="e">
        <f ca="1">IFERROR(计算区域!R324,NA())</f>
        <v>#N/A</v>
      </c>
      <c r="R322" t="e">
        <f ca="1">IFERROR(计算区域!S324,NA())</f>
        <v>#N/A</v>
      </c>
      <c r="S322" t="e">
        <f ca="1">IFERROR(计算区域!T324,NA())</f>
        <v>#N/A</v>
      </c>
      <c r="T322" t="e">
        <f ca="1">IFERROR(计算区域!U324,NA())</f>
        <v>#N/A</v>
      </c>
      <c r="V322" t="e">
        <f ca="1">IFERROR(计算区域!X324,NA())</f>
        <v>#N/A</v>
      </c>
      <c r="W322" t="e">
        <f ca="1">IFERROR(计算区域!Y324,NA())</f>
        <v>#N/A</v>
      </c>
      <c r="X322" t="e">
        <f ca="1">IFERROR(计算区域!Z324,NA())</f>
        <v>#N/A</v>
      </c>
      <c r="Y322" t="e">
        <f ca="1">IFERROR(计算区域!AA324,NA())</f>
        <v>#N/A</v>
      </c>
    </row>
    <row r="323" spans="1:25" x14ac:dyDescent="0.2">
      <c r="A323" s="28">
        <f>计算区域!E325</f>
        <v>45175</v>
      </c>
      <c r="B323" t="e">
        <f ca="1">IFERROR(计算区域!AJ325,NA())</f>
        <v>#N/A</v>
      </c>
      <c r="C323" t="e">
        <f ca="1">IFERROR(计算区域!AK325,NA())</f>
        <v>#N/A</v>
      </c>
      <c r="D323" t="e">
        <f ca="1">IFERROR(计算区域!AL325,NA())</f>
        <v>#N/A</v>
      </c>
      <c r="E323" t="e">
        <f ca="1">IFERROR(计算区域!AM325,NA())</f>
        <v>#N/A</v>
      </c>
      <c r="G323" t="e">
        <f ca="1">IFERROR(计算区域!AD325,NA())</f>
        <v>#N/A</v>
      </c>
      <c r="H323" t="e">
        <f ca="1">IFERROR(计算区域!AE325,NA())</f>
        <v>#N/A</v>
      </c>
      <c r="I323" t="e">
        <f ca="1">IFERROR(计算区域!AF325,NA())</f>
        <v>#N/A</v>
      </c>
      <c r="J323" t="e">
        <f ca="1">IFERROR(计算区域!AG325,NA())</f>
        <v>#N/A</v>
      </c>
      <c r="L323" t="e">
        <f ca="1">IFERROR(计算区域!L325,NA())</f>
        <v>#N/A</v>
      </c>
      <c r="M323" t="e">
        <f ca="1">IFERROR(计算区域!M325,NA())</f>
        <v>#N/A</v>
      </c>
      <c r="N323" t="e">
        <f ca="1">IFERROR(计算区域!N325,NA())</f>
        <v>#N/A</v>
      </c>
      <c r="O323" t="e">
        <f ca="1">IFERROR(计算区域!O325,NA())</f>
        <v>#N/A</v>
      </c>
      <c r="Q323" t="e">
        <f ca="1">IFERROR(计算区域!R325,NA())</f>
        <v>#N/A</v>
      </c>
      <c r="R323" t="e">
        <f ca="1">IFERROR(计算区域!S325,NA())</f>
        <v>#N/A</v>
      </c>
      <c r="S323" t="e">
        <f ca="1">IFERROR(计算区域!T325,NA())</f>
        <v>#N/A</v>
      </c>
      <c r="T323" t="e">
        <f ca="1">IFERROR(计算区域!U325,NA())</f>
        <v>#N/A</v>
      </c>
      <c r="V323" t="e">
        <f ca="1">IFERROR(计算区域!X325,NA())</f>
        <v>#N/A</v>
      </c>
      <c r="W323" t="e">
        <f ca="1">IFERROR(计算区域!Y325,NA())</f>
        <v>#N/A</v>
      </c>
      <c r="X323" t="e">
        <f ca="1">IFERROR(计算区域!Z325,NA())</f>
        <v>#N/A</v>
      </c>
      <c r="Y323" t="e">
        <f ca="1">IFERROR(计算区域!AA325,NA())</f>
        <v>#N/A</v>
      </c>
    </row>
    <row r="324" spans="1:25" x14ac:dyDescent="0.2">
      <c r="A324" s="28">
        <f>计算区域!E326</f>
        <v>45174</v>
      </c>
      <c r="B324" t="e">
        <f ca="1">IFERROR(计算区域!AJ326,NA())</f>
        <v>#N/A</v>
      </c>
      <c r="C324" t="e">
        <f ca="1">IFERROR(计算区域!AK326,NA())</f>
        <v>#N/A</v>
      </c>
      <c r="D324" t="e">
        <f ca="1">IFERROR(计算区域!AL326,NA())</f>
        <v>#N/A</v>
      </c>
      <c r="E324" t="e">
        <f ca="1">IFERROR(计算区域!AM326,NA())</f>
        <v>#N/A</v>
      </c>
      <c r="G324" t="e">
        <f ca="1">IFERROR(计算区域!AD326,NA())</f>
        <v>#N/A</v>
      </c>
      <c r="H324" t="e">
        <f ca="1">IFERROR(计算区域!AE326,NA())</f>
        <v>#N/A</v>
      </c>
      <c r="I324" t="e">
        <f ca="1">IFERROR(计算区域!AF326,NA())</f>
        <v>#N/A</v>
      </c>
      <c r="J324" t="e">
        <f ca="1">IFERROR(计算区域!AG326,NA())</f>
        <v>#N/A</v>
      </c>
      <c r="L324" t="e">
        <f ca="1">IFERROR(计算区域!L326,NA())</f>
        <v>#N/A</v>
      </c>
      <c r="M324" t="e">
        <f ca="1">IFERROR(计算区域!M326,NA())</f>
        <v>#N/A</v>
      </c>
      <c r="N324" t="e">
        <f ca="1">IFERROR(计算区域!N326,NA())</f>
        <v>#N/A</v>
      </c>
      <c r="O324" t="e">
        <f ca="1">IFERROR(计算区域!O326,NA())</f>
        <v>#N/A</v>
      </c>
      <c r="Q324" t="e">
        <f ca="1">IFERROR(计算区域!R326,NA())</f>
        <v>#N/A</v>
      </c>
      <c r="R324" t="e">
        <f ca="1">IFERROR(计算区域!S326,NA())</f>
        <v>#N/A</v>
      </c>
      <c r="S324" t="e">
        <f ca="1">IFERROR(计算区域!T326,NA())</f>
        <v>#N/A</v>
      </c>
      <c r="T324" t="e">
        <f ca="1">IFERROR(计算区域!U326,NA())</f>
        <v>#N/A</v>
      </c>
      <c r="V324" t="e">
        <f ca="1">IFERROR(计算区域!X326,NA())</f>
        <v>#N/A</v>
      </c>
      <c r="W324" t="e">
        <f ca="1">IFERROR(计算区域!Y326,NA())</f>
        <v>#N/A</v>
      </c>
      <c r="X324" t="e">
        <f ca="1">IFERROR(计算区域!Z326,NA())</f>
        <v>#N/A</v>
      </c>
      <c r="Y324" t="e">
        <f ca="1">IFERROR(计算区域!AA326,NA())</f>
        <v>#N/A</v>
      </c>
    </row>
    <row r="325" spans="1:25" x14ac:dyDescent="0.2">
      <c r="A325" s="28">
        <f>计算区域!E327</f>
        <v>45173</v>
      </c>
      <c r="B325" t="e">
        <f ca="1">IFERROR(计算区域!AJ327,NA())</f>
        <v>#N/A</v>
      </c>
      <c r="C325" t="e">
        <f ca="1">IFERROR(计算区域!AK327,NA())</f>
        <v>#N/A</v>
      </c>
      <c r="D325" t="e">
        <f ca="1">IFERROR(计算区域!AL327,NA())</f>
        <v>#N/A</v>
      </c>
      <c r="E325" t="e">
        <f ca="1">IFERROR(计算区域!AM327,NA())</f>
        <v>#N/A</v>
      </c>
      <c r="G325" t="e">
        <f ca="1">IFERROR(计算区域!AD327,NA())</f>
        <v>#N/A</v>
      </c>
      <c r="H325" t="e">
        <f ca="1">IFERROR(计算区域!AE327,NA())</f>
        <v>#N/A</v>
      </c>
      <c r="I325" t="e">
        <f ca="1">IFERROR(计算区域!AF327,NA())</f>
        <v>#N/A</v>
      </c>
      <c r="J325" t="e">
        <f ca="1">IFERROR(计算区域!AG327,NA())</f>
        <v>#N/A</v>
      </c>
      <c r="L325" t="e">
        <f ca="1">IFERROR(计算区域!L327,NA())</f>
        <v>#N/A</v>
      </c>
      <c r="M325" t="e">
        <f ca="1">IFERROR(计算区域!M327,NA())</f>
        <v>#N/A</v>
      </c>
      <c r="N325" t="e">
        <f ca="1">IFERROR(计算区域!N327,NA())</f>
        <v>#N/A</v>
      </c>
      <c r="O325" t="e">
        <f ca="1">IFERROR(计算区域!O327,NA())</f>
        <v>#N/A</v>
      </c>
      <c r="Q325" t="e">
        <f ca="1">IFERROR(计算区域!R327,NA())</f>
        <v>#N/A</v>
      </c>
      <c r="R325" t="e">
        <f ca="1">IFERROR(计算区域!S327,NA())</f>
        <v>#N/A</v>
      </c>
      <c r="S325" t="e">
        <f ca="1">IFERROR(计算区域!T327,NA())</f>
        <v>#N/A</v>
      </c>
      <c r="T325" t="e">
        <f ca="1">IFERROR(计算区域!U327,NA())</f>
        <v>#N/A</v>
      </c>
      <c r="V325" t="e">
        <f ca="1">IFERROR(计算区域!X327,NA())</f>
        <v>#N/A</v>
      </c>
      <c r="W325" t="e">
        <f ca="1">IFERROR(计算区域!Y327,NA())</f>
        <v>#N/A</v>
      </c>
      <c r="X325" t="e">
        <f ca="1">IFERROR(计算区域!Z327,NA())</f>
        <v>#N/A</v>
      </c>
      <c r="Y325" t="e">
        <f ca="1">IFERROR(计算区域!AA327,NA())</f>
        <v>#N/A</v>
      </c>
    </row>
    <row r="326" spans="1:25" x14ac:dyDescent="0.2">
      <c r="A326" s="28">
        <f>计算区域!E328</f>
        <v>45170</v>
      </c>
      <c r="B326" t="e">
        <f ca="1">IFERROR(计算区域!AJ328,NA())</f>
        <v>#N/A</v>
      </c>
      <c r="C326" t="e">
        <f ca="1">IFERROR(计算区域!AK328,NA())</f>
        <v>#N/A</v>
      </c>
      <c r="D326" t="e">
        <f ca="1">IFERROR(计算区域!AL328,NA())</f>
        <v>#N/A</v>
      </c>
      <c r="E326" t="e">
        <f ca="1">IFERROR(计算区域!AM328,NA())</f>
        <v>#N/A</v>
      </c>
      <c r="G326" t="e">
        <f ca="1">IFERROR(计算区域!AD328,NA())</f>
        <v>#N/A</v>
      </c>
      <c r="H326" t="e">
        <f ca="1">IFERROR(计算区域!AE328,NA())</f>
        <v>#N/A</v>
      </c>
      <c r="I326" t="e">
        <f ca="1">IFERROR(计算区域!AF328,NA())</f>
        <v>#N/A</v>
      </c>
      <c r="J326" t="e">
        <f ca="1">IFERROR(计算区域!AG328,NA())</f>
        <v>#N/A</v>
      </c>
      <c r="L326" t="e">
        <f ca="1">IFERROR(计算区域!L328,NA())</f>
        <v>#N/A</v>
      </c>
      <c r="M326" t="e">
        <f ca="1">IFERROR(计算区域!M328,NA())</f>
        <v>#N/A</v>
      </c>
      <c r="N326" t="e">
        <f ca="1">IFERROR(计算区域!N328,NA())</f>
        <v>#N/A</v>
      </c>
      <c r="O326" t="e">
        <f ca="1">IFERROR(计算区域!O328,NA())</f>
        <v>#N/A</v>
      </c>
      <c r="Q326" t="e">
        <f ca="1">IFERROR(计算区域!R328,NA())</f>
        <v>#N/A</v>
      </c>
      <c r="R326" t="e">
        <f ca="1">IFERROR(计算区域!S328,NA())</f>
        <v>#N/A</v>
      </c>
      <c r="S326" t="e">
        <f ca="1">IFERROR(计算区域!T328,NA())</f>
        <v>#N/A</v>
      </c>
      <c r="T326" t="e">
        <f ca="1">IFERROR(计算区域!U328,NA())</f>
        <v>#N/A</v>
      </c>
      <c r="V326" t="e">
        <f ca="1">IFERROR(计算区域!X328,NA())</f>
        <v>#N/A</v>
      </c>
      <c r="W326" t="e">
        <f ca="1">IFERROR(计算区域!Y328,NA())</f>
        <v>#N/A</v>
      </c>
      <c r="X326" t="e">
        <f ca="1">IFERROR(计算区域!Z328,NA())</f>
        <v>#N/A</v>
      </c>
      <c r="Y326" t="e">
        <f ca="1">IFERROR(计算区域!AA328,NA())</f>
        <v>#N/A</v>
      </c>
    </row>
    <row r="327" spans="1:25" x14ac:dyDescent="0.2">
      <c r="A327" s="28">
        <f>计算区域!E329</f>
        <v>45169</v>
      </c>
      <c r="B327" t="e">
        <f ca="1">IFERROR(计算区域!AJ329,NA())</f>
        <v>#N/A</v>
      </c>
      <c r="C327" t="e">
        <f ca="1">IFERROR(计算区域!AK329,NA())</f>
        <v>#N/A</v>
      </c>
      <c r="D327" t="e">
        <f ca="1">IFERROR(计算区域!AL329,NA())</f>
        <v>#N/A</v>
      </c>
      <c r="E327" t="e">
        <f ca="1">IFERROR(计算区域!AM329,NA())</f>
        <v>#N/A</v>
      </c>
      <c r="G327" t="e">
        <f ca="1">IFERROR(计算区域!AD329,NA())</f>
        <v>#N/A</v>
      </c>
      <c r="H327" t="e">
        <f ca="1">IFERROR(计算区域!AE329,NA())</f>
        <v>#N/A</v>
      </c>
      <c r="I327" t="e">
        <f ca="1">IFERROR(计算区域!AF329,NA())</f>
        <v>#N/A</v>
      </c>
      <c r="J327" t="e">
        <f ca="1">IFERROR(计算区域!AG329,NA())</f>
        <v>#N/A</v>
      </c>
      <c r="L327" t="e">
        <f ca="1">IFERROR(计算区域!L329,NA())</f>
        <v>#N/A</v>
      </c>
      <c r="M327" t="e">
        <f ca="1">IFERROR(计算区域!M329,NA())</f>
        <v>#N/A</v>
      </c>
      <c r="N327" t="e">
        <f ca="1">IFERROR(计算区域!N329,NA())</f>
        <v>#N/A</v>
      </c>
      <c r="O327" t="e">
        <f ca="1">IFERROR(计算区域!O329,NA())</f>
        <v>#N/A</v>
      </c>
      <c r="Q327" t="e">
        <f ca="1">IFERROR(计算区域!R329,NA())</f>
        <v>#N/A</v>
      </c>
      <c r="R327" t="e">
        <f ca="1">IFERROR(计算区域!S329,NA())</f>
        <v>#N/A</v>
      </c>
      <c r="S327" t="e">
        <f ca="1">IFERROR(计算区域!T329,NA())</f>
        <v>#N/A</v>
      </c>
      <c r="T327" t="e">
        <f ca="1">IFERROR(计算区域!U329,NA())</f>
        <v>#N/A</v>
      </c>
      <c r="V327" t="e">
        <f ca="1">IFERROR(计算区域!X329,NA())</f>
        <v>#N/A</v>
      </c>
      <c r="W327" t="e">
        <f ca="1">IFERROR(计算区域!Y329,NA())</f>
        <v>#N/A</v>
      </c>
      <c r="X327" t="e">
        <f ca="1">IFERROR(计算区域!Z329,NA())</f>
        <v>#N/A</v>
      </c>
      <c r="Y327" t="e">
        <f ca="1">IFERROR(计算区域!AA329,NA())</f>
        <v>#N/A</v>
      </c>
    </row>
    <row r="328" spans="1:25" x14ac:dyDescent="0.2">
      <c r="A328" s="28">
        <f>计算区域!E330</f>
        <v>45168</v>
      </c>
      <c r="B328" t="e">
        <f ca="1">IFERROR(计算区域!AJ330,NA())</f>
        <v>#N/A</v>
      </c>
      <c r="C328" t="e">
        <f ca="1">IFERROR(计算区域!AK330,NA())</f>
        <v>#N/A</v>
      </c>
      <c r="D328" t="e">
        <f ca="1">IFERROR(计算区域!AL330,NA())</f>
        <v>#N/A</v>
      </c>
      <c r="E328" t="e">
        <f ca="1">IFERROR(计算区域!AM330,NA())</f>
        <v>#N/A</v>
      </c>
      <c r="G328" t="e">
        <f ca="1">IFERROR(计算区域!AD330,NA())</f>
        <v>#N/A</v>
      </c>
      <c r="H328" t="e">
        <f ca="1">IFERROR(计算区域!AE330,NA())</f>
        <v>#N/A</v>
      </c>
      <c r="I328" t="e">
        <f ca="1">IFERROR(计算区域!AF330,NA())</f>
        <v>#N/A</v>
      </c>
      <c r="J328" t="e">
        <f ca="1">IFERROR(计算区域!AG330,NA())</f>
        <v>#N/A</v>
      </c>
      <c r="L328" t="e">
        <f ca="1">IFERROR(计算区域!L330,NA())</f>
        <v>#N/A</v>
      </c>
      <c r="M328" t="e">
        <f ca="1">IFERROR(计算区域!M330,NA())</f>
        <v>#N/A</v>
      </c>
      <c r="N328" t="e">
        <f ca="1">IFERROR(计算区域!N330,NA())</f>
        <v>#N/A</v>
      </c>
      <c r="O328" t="e">
        <f ca="1">IFERROR(计算区域!O330,NA())</f>
        <v>#N/A</v>
      </c>
      <c r="Q328" t="e">
        <f ca="1">IFERROR(计算区域!R330,NA())</f>
        <v>#N/A</v>
      </c>
      <c r="R328" t="e">
        <f ca="1">IFERROR(计算区域!S330,NA())</f>
        <v>#N/A</v>
      </c>
      <c r="S328" t="e">
        <f ca="1">IFERROR(计算区域!T330,NA())</f>
        <v>#N/A</v>
      </c>
      <c r="T328" t="e">
        <f ca="1">IFERROR(计算区域!U330,NA())</f>
        <v>#N/A</v>
      </c>
      <c r="V328" t="e">
        <f ca="1">IFERROR(计算区域!X330,NA())</f>
        <v>#N/A</v>
      </c>
      <c r="W328" t="e">
        <f ca="1">IFERROR(计算区域!Y330,NA())</f>
        <v>#N/A</v>
      </c>
      <c r="X328" t="e">
        <f ca="1">IFERROR(计算区域!Z330,NA())</f>
        <v>#N/A</v>
      </c>
      <c r="Y328" t="e">
        <f ca="1">IFERROR(计算区域!AA330,NA())</f>
        <v>#N/A</v>
      </c>
    </row>
    <row r="329" spans="1:25" x14ac:dyDescent="0.2">
      <c r="A329" s="28">
        <f>计算区域!E331</f>
        <v>45167</v>
      </c>
      <c r="B329" t="e">
        <f ca="1">IFERROR(计算区域!AJ331,NA())</f>
        <v>#N/A</v>
      </c>
      <c r="C329" t="e">
        <f ca="1">IFERROR(计算区域!AK331,NA())</f>
        <v>#N/A</v>
      </c>
      <c r="D329" t="e">
        <f ca="1">IFERROR(计算区域!AL331,NA())</f>
        <v>#N/A</v>
      </c>
      <c r="E329" t="e">
        <f ca="1">IFERROR(计算区域!AM331,NA())</f>
        <v>#N/A</v>
      </c>
      <c r="G329" t="e">
        <f ca="1">IFERROR(计算区域!AD331,NA())</f>
        <v>#N/A</v>
      </c>
      <c r="H329" t="e">
        <f ca="1">IFERROR(计算区域!AE331,NA())</f>
        <v>#N/A</v>
      </c>
      <c r="I329" t="e">
        <f ca="1">IFERROR(计算区域!AF331,NA())</f>
        <v>#N/A</v>
      </c>
      <c r="J329" t="e">
        <f ca="1">IFERROR(计算区域!AG331,NA())</f>
        <v>#N/A</v>
      </c>
      <c r="L329" t="e">
        <f ca="1">IFERROR(计算区域!L331,NA())</f>
        <v>#N/A</v>
      </c>
      <c r="M329" t="e">
        <f ca="1">IFERROR(计算区域!M331,NA())</f>
        <v>#N/A</v>
      </c>
      <c r="N329" t="e">
        <f ca="1">IFERROR(计算区域!N331,NA())</f>
        <v>#N/A</v>
      </c>
      <c r="O329" t="e">
        <f ca="1">IFERROR(计算区域!O331,NA())</f>
        <v>#N/A</v>
      </c>
      <c r="Q329" t="e">
        <f ca="1">IFERROR(计算区域!R331,NA())</f>
        <v>#N/A</v>
      </c>
      <c r="R329" t="e">
        <f ca="1">IFERROR(计算区域!S331,NA())</f>
        <v>#N/A</v>
      </c>
      <c r="S329" t="e">
        <f ca="1">IFERROR(计算区域!T331,NA())</f>
        <v>#N/A</v>
      </c>
      <c r="T329" t="e">
        <f ca="1">IFERROR(计算区域!U331,NA())</f>
        <v>#N/A</v>
      </c>
      <c r="V329" t="e">
        <f ca="1">IFERROR(计算区域!X331,NA())</f>
        <v>#N/A</v>
      </c>
      <c r="W329" t="e">
        <f ca="1">IFERROR(计算区域!Y331,NA())</f>
        <v>#N/A</v>
      </c>
      <c r="X329" t="e">
        <f ca="1">IFERROR(计算区域!Z331,NA())</f>
        <v>#N/A</v>
      </c>
      <c r="Y329" t="e">
        <f ca="1">IFERROR(计算区域!AA331,NA())</f>
        <v>#N/A</v>
      </c>
    </row>
    <row r="330" spans="1:25" x14ac:dyDescent="0.2">
      <c r="A330" s="28">
        <f>计算区域!E332</f>
        <v>45166</v>
      </c>
      <c r="B330" t="e">
        <f ca="1">IFERROR(计算区域!AJ332,NA())</f>
        <v>#N/A</v>
      </c>
      <c r="C330" t="e">
        <f ca="1">IFERROR(计算区域!AK332,NA())</f>
        <v>#N/A</v>
      </c>
      <c r="D330" t="e">
        <f ca="1">IFERROR(计算区域!AL332,NA())</f>
        <v>#N/A</v>
      </c>
      <c r="E330" t="e">
        <f ca="1">IFERROR(计算区域!AM332,NA())</f>
        <v>#N/A</v>
      </c>
      <c r="G330" t="e">
        <f ca="1">IFERROR(计算区域!AD332,NA())</f>
        <v>#N/A</v>
      </c>
      <c r="H330" t="e">
        <f ca="1">IFERROR(计算区域!AE332,NA())</f>
        <v>#N/A</v>
      </c>
      <c r="I330" t="e">
        <f ca="1">IFERROR(计算区域!AF332,NA())</f>
        <v>#N/A</v>
      </c>
      <c r="J330" t="e">
        <f ca="1">IFERROR(计算区域!AG332,NA())</f>
        <v>#N/A</v>
      </c>
      <c r="L330" t="e">
        <f ca="1">IFERROR(计算区域!L332,NA())</f>
        <v>#N/A</v>
      </c>
      <c r="M330" t="e">
        <f ca="1">IFERROR(计算区域!M332,NA())</f>
        <v>#N/A</v>
      </c>
      <c r="N330" t="e">
        <f ca="1">IFERROR(计算区域!N332,NA())</f>
        <v>#N/A</v>
      </c>
      <c r="O330" t="e">
        <f ca="1">IFERROR(计算区域!O332,NA())</f>
        <v>#N/A</v>
      </c>
      <c r="Q330" t="e">
        <f ca="1">IFERROR(计算区域!R332,NA())</f>
        <v>#N/A</v>
      </c>
      <c r="R330" t="e">
        <f ca="1">IFERROR(计算区域!S332,NA())</f>
        <v>#N/A</v>
      </c>
      <c r="S330" t="e">
        <f ca="1">IFERROR(计算区域!T332,NA())</f>
        <v>#N/A</v>
      </c>
      <c r="T330" t="e">
        <f ca="1">IFERROR(计算区域!U332,NA())</f>
        <v>#N/A</v>
      </c>
      <c r="V330" t="e">
        <f ca="1">IFERROR(计算区域!X332,NA())</f>
        <v>#N/A</v>
      </c>
      <c r="W330" t="e">
        <f ca="1">IFERROR(计算区域!Y332,NA())</f>
        <v>#N/A</v>
      </c>
      <c r="X330" t="e">
        <f ca="1">IFERROR(计算区域!Z332,NA())</f>
        <v>#N/A</v>
      </c>
      <c r="Y330" t="e">
        <f ca="1">IFERROR(计算区域!AA332,NA())</f>
        <v>#N/A</v>
      </c>
    </row>
    <row r="331" spans="1:25" x14ac:dyDescent="0.2">
      <c r="A331" s="28">
        <f>计算区域!E333</f>
        <v>45163</v>
      </c>
      <c r="B331" t="e">
        <f ca="1">IFERROR(计算区域!AJ333,NA())</f>
        <v>#N/A</v>
      </c>
      <c r="C331" t="e">
        <f ca="1">IFERROR(计算区域!AK333,NA())</f>
        <v>#N/A</v>
      </c>
      <c r="D331" t="e">
        <f ca="1">IFERROR(计算区域!AL333,NA())</f>
        <v>#N/A</v>
      </c>
      <c r="E331" t="e">
        <f ca="1">IFERROR(计算区域!AM333,NA())</f>
        <v>#N/A</v>
      </c>
      <c r="G331" t="e">
        <f ca="1">IFERROR(计算区域!AD333,NA())</f>
        <v>#N/A</v>
      </c>
      <c r="H331" t="e">
        <f ca="1">IFERROR(计算区域!AE333,NA())</f>
        <v>#N/A</v>
      </c>
      <c r="I331" t="e">
        <f ca="1">IFERROR(计算区域!AF333,NA())</f>
        <v>#N/A</v>
      </c>
      <c r="J331" t="e">
        <f ca="1">IFERROR(计算区域!AG333,NA())</f>
        <v>#N/A</v>
      </c>
      <c r="L331" t="e">
        <f ca="1">IFERROR(计算区域!L333,NA())</f>
        <v>#N/A</v>
      </c>
      <c r="M331" t="e">
        <f ca="1">IFERROR(计算区域!M333,NA())</f>
        <v>#N/A</v>
      </c>
      <c r="N331" t="e">
        <f ca="1">IFERROR(计算区域!N333,NA())</f>
        <v>#N/A</v>
      </c>
      <c r="O331" t="e">
        <f ca="1">IFERROR(计算区域!O333,NA())</f>
        <v>#N/A</v>
      </c>
      <c r="Q331" t="e">
        <f ca="1">IFERROR(计算区域!R333,NA())</f>
        <v>#N/A</v>
      </c>
      <c r="R331" t="e">
        <f ca="1">IFERROR(计算区域!S333,NA())</f>
        <v>#N/A</v>
      </c>
      <c r="S331" t="e">
        <f ca="1">IFERROR(计算区域!T333,NA())</f>
        <v>#N/A</v>
      </c>
      <c r="T331" t="e">
        <f ca="1">IFERROR(计算区域!U333,NA())</f>
        <v>#N/A</v>
      </c>
      <c r="V331" t="e">
        <f ca="1">IFERROR(计算区域!X333,NA())</f>
        <v>#N/A</v>
      </c>
      <c r="W331" t="e">
        <f ca="1">IFERROR(计算区域!Y333,NA())</f>
        <v>#N/A</v>
      </c>
      <c r="X331" t="e">
        <f ca="1">IFERROR(计算区域!Z333,NA())</f>
        <v>#N/A</v>
      </c>
      <c r="Y331" t="e">
        <f ca="1">IFERROR(计算区域!AA333,NA())</f>
        <v>#N/A</v>
      </c>
    </row>
    <row r="332" spans="1:25" x14ac:dyDescent="0.2">
      <c r="A332" s="28">
        <f>计算区域!E334</f>
        <v>45162</v>
      </c>
      <c r="B332" t="e">
        <f ca="1">IFERROR(计算区域!AJ334,NA())</f>
        <v>#N/A</v>
      </c>
      <c r="C332" t="e">
        <f ca="1">IFERROR(计算区域!AK334,NA())</f>
        <v>#N/A</v>
      </c>
      <c r="D332" t="e">
        <f ca="1">IFERROR(计算区域!AL334,NA())</f>
        <v>#N/A</v>
      </c>
      <c r="E332" t="e">
        <f ca="1">IFERROR(计算区域!AM334,NA())</f>
        <v>#N/A</v>
      </c>
      <c r="G332" t="e">
        <f ca="1">IFERROR(计算区域!AD334,NA())</f>
        <v>#N/A</v>
      </c>
      <c r="H332" t="e">
        <f ca="1">IFERROR(计算区域!AE334,NA())</f>
        <v>#N/A</v>
      </c>
      <c r="I332" t="e">
        <f ca="1">IFERROR(计算区域!AF334,NA())</f>
        <v>#N/A</v>
      </c>
      <c r="J332" t="e">
        <f ca="1">IFERROR(计算区域!AG334,NA())</f>
        <v>#N/A</v>
      </c>
      <c r="L332" t="e">
        <f ca="1">IFERROR(计算区域!L334,NA())</f>
        <v>#N/A</v>
      </c>
      <c r="M332" t="e">
        <f ca="1">IFERROR(计算区域!M334,NA())</f>
        <v>#N/A</v>
      </c>
      <c r="N332" t="e">
        <f ca="1">IFERROR(计算区域!N334,NA())</f>
        <v>#N/A</v>
      </c>
      <c r="O332" t="e">
        <f ca="1">IFERROR(计算区域!O334,NA())</f>
        <v>#N/A</v>
      </c>
      <c r="Q332" t="e">
        <f ca="1">IFERROR(计算区域!R334,NA())</f>
        <v>#N/A</v>
      </c>
      <c r="R332" t="e">
        <f ca="1">IFERROR(计算区域!S334,NA())</f>
        <v>#N/A</v>
      </c>
      <c r="S332" t="e">
        <f ca="1">IFERROR(计算区域!T334,NA())</f>
        <v>#N/A</v>
      </c>
      <c r="T332" t="e">
        <f ca="1">IFERROR(计算区域!U334,NA())</f>
        <v>#N/A</v>
      </c>
      <c r="V332" t="e">
        <f ca="1">IFERROR(计算区域!X334,NA())</f>
        <v>#N/A</v>
      </c>
      <c r="W332" t="e">
        <f ca="1">IFERROR(计算区域!Y334,NA())</f>
        <v>#N/A</v>
      </c>
      <c r="X332" t="e">
        <f ca="1">IFERROR(计算区域!Z334,NA())</f>
        <v>#N/A</v>
      </c>
      <c r="Y332" t="e">
        <f ca="1">IFERROR(计算区域!AA334,NA())</f>
        <v>#N/A</v>
      </c>
    </row>
    <row r="333" spans="1:25" x14ac:dyDescent="0.2">
      <c r="A333" s="28">
        <f>计算区域!E335</f>
        <v>45161</v>
      </c>
      <c r="B333" t="e">
        <f ca="1">IFERROR(计算区域!AJ335,NA())</f>
        <v>#N/A</v>
      </c>
      <c r="C333" t="e">
        <f ca="1">IFERROR(计算区域!AK335,NA())</f>
        <v>#N/A</v>
      </c>
      <c r="D333" t="e">
        <f ca="1">IFERROR(计算区域!AL335,NA())</f>
        <v>#N/A</v>
      </c>
      <c r="E333" t="e">
        <f ca="1">IFERROR(计算区域!AM335,NA())</f>
        <v>#N/A</v>
      </c>
      <c r="G333" t="e">
        <f ca="1">IFERROR(计算区域!AD335,NA())</f>
        <v>#N/A</v>
      </c>
      <c r="H333" t="e">
        <f ca="1">IFERROR(计算区域!AE335,NA())</f>
        <v>#N/A</v>
      </c>
      <c r="I333" t="e">
        <f ca="1">IFERROR(计算区域!AF335,NA())</f>
        <v>#N/A</v>
      </c>
      <c r="J333" t="e">
        <f ca="1">IFERROR(计算区域!AG335,NA())</f>
        <v>#N/A</v>
      </c>
      <c r="L333" t="e">
        <f ca="1">IFERROR(计算区域!L335,NA())</f>
        <v>#N/A</v>
      </c>
      <c r="M333" t="e">
        <f ca="1">IFERROR(计算区域!M335,NA())</f>
        <v>#N/A</v>
      </c>
      <c r="N333" t="e">
        <f ca="1">IFERROR(计算区域!N335,NA())</f>
        <v>#N/A</v>
      </c>
      <c r="O333" t="e">
        <f ca="1">IFERROR(计算区域!O335,NA())</f>
        <v>#N/A</v>
      </c>
      <c r="Q333" t="e">
        <f ca="1">IFERROR(计算区域!R335,NA())</f>
        <v>#N/A</v>
      </c>
      <c r="R333" t="e">
        <f ca="1">IFERROR(计算区域!S335,NA())</f>
        <v>#N/A</v>
      </c>
      <c r="S333" t="e">
        <f ca="1">IFERROR(计算区域!T335,NA())</f>
        <v>#N/A</v>
      </c>
      <c r="T333" t="e">
        <f ca="1">IFERROR(计算区域!U335,NA())</f>
        <v>#N/A</v>
      </c>
      <c r="V333" t="e">
        <f ca="1">IFERROR(计算区域!X335,NA())</f>
        <v>#N/A</v>
      </c>
      <c r="W333" t="e">
        <f ca="1">IFERROR(计算区域!Y335,NA())</f>
        <v>#N/A</v>
      </c>
      <c r="X333" t="e">
        <f ca="1">IFERROR(计算区域!Z335,NA())</f>
        <v>#N/A</v>
      </c>
      <c r="Y333" t="e">
        <f ca="1">IFERROR(计算区域!AA335,NA())</f>
        <v>#N/A</v>
      </c>
    </row>
    <row r="334" spans="1:25" x14ac:dyDescent="0.2">
      <c r="A334" s="28">
        <f>计算区域!E336</f>
        <v>45160</v>
      </c>
      <c r="B334" t="e">
        <f ca="1">IFERROR(计算区域!AJ336,NA())</f>
        <v>#N/A</v>
      </c>
      <c r="C334" t="e">
        <f ca="1">IFERROR(计算区域!AK336,NA())</f>
        <v>#N/A</v>
      </c>
      <c r="D334" t="e">
        <f ca="1">IFERROR(计算区域!AL336,NA())</f>
        <v>#N/A</v>
      </c>
      <c r="E334" t="e">
        <f ca="1">IFERROR(计算区域!AM336,NA())</f>
        <v>#N/A</v>
      </c>
      <c r="G334" t="e">
        <f ca="1">IFERROR(计算区域!AD336,NA())</f>
        <v>#N/A</v>
      </c>
      <c r="H334" t="e">
        <f ca="1">IFERROR(计算区域!AE336,NA())</f>
        <v>#N/A</v>
      </c>
      <c r="I334" t="e">
        <f ca="1">IFERROR(计算区域!AF336,NA())</f>
        <v>#N/A</v>
      </c>
      <c r="J334" t="e">
        <f ca="1">IFERROR(计算区域!AG336,NA())</f>
        <v>#N/A</v>
      </c>
      <c r="L334" t="e">
        <f ca="1">IFERROR(计算区域!L336,NA())</f>
        <v>#N/A</v>
      </c>
      <c r="M334" t="e">
        <f ca="1">IFERROR(计算区域!M336,NA())</f>
        <v>#N/A</v>
      </c>
      <c r="N334" t="e">
        <f ca="1">IFERROR(计算区域!N336,NA())</f>
        <v>#N/A</v>
      </c>
      <c r="O334" t="e">
        <f ca="1">IFERROR(计算区域!O336,NA())</f>
        <v>#N/A</v>
      </c>
      <c r="Q334" t="e">
        <f ca="1">IFERROR(计算区域!R336,NA())</f>
        <v>#N/A</v>
      </c>
      <c r="R334" t="e">
        <f ca="1">IFERROR(计算区域!S336,NA())</f>
        <v>#N/A</v>
      </c>
      <c r="S334" t="e">
        <f ca="1">IFERROR(计算区域!T336,NA())</f>
        <v>#N/A</v>
      </c>
      <c r="T334" t="e">
        <f ca="1">IFERROR(计算区域!U336,NA())</f>
        <v>#N/A</v>
      </c>
      <c r="V334" t="e">
        <f ca="1">IFERROR(计算区域!X336,NA())</f>
        <v>#N/A</v>
      </c>
      <c r="W334" t="e">
        <f ca="1">IFERROR(计算区域!Y336,NA())</f>
        <v>#N/A</v>
      </c>
      <c r="X334" t="e">
        <f ca="1">IFERROR(计算区域!Z336,NA())</f>
        <v>#N/A</v>
      </c>
      <c r="Y334" t="e">
        <f ca="1">IFERROR(计算区域!AA336,NA())</f>
        <v>#N/A</v>
      </c>
    </row>
    <row r="335" spans="1:25" x14ac:dyDescent="0.2">
      <c r="A335" s="28">
        <f>计算区域!E337</f>
        <v>45159</v>
      </c>
      <c r="B335" t="e">
        <f ca="1">IFERROR(计算区域!AJ337,NA())</f>
        <v>#N/A</v>
      </c>
      <c r="C335" t="e">
        <f ca="1">IFERROR(计算区域!AK337,NA())</f>
        <v>#N/A</v>
      </c>
      <c r="D335" t="e">
        <f ca="1">IFERROR(计算区域!AL337,NA())</f>
        <v>#N/A</v>
      </c>
      <c r="E335" t="e">
        <f ca="1">IFERROR(计算区域!AM337,NA())</f>
        <v>#N/A</v>
      </c>
      <c r="G335" t="e">
        <f ca="1">IFERROR(计算区域!AD337,NA())</f>
        <v>#N/A</v>
      </c>
      <c r="H335" t="e">
        <f ca="1">IFERROR(计算区域!AE337,NA())</f>
        <v>#N/A</v>
      </c>
      <c r="I335" t="e">
        <f ca="1">IFERROR(计算区域!AF337,NA())</f>
        <v>#N/A</v>
      </c>
      <c r="J335" t="e">
        <f ca="1">IFERROR(计算区域!AG337,NA())</f>
        <v>#N/A</v>
      </c>
      <c r="L335" t="e">
        <f ca="1">IFERROR(计算区域!L337,NA())</f>
        <v>#N/A</v>
      </c>
      <c r="M335" t="e">
        <f ca="1">IFERROR(计算区域!M337,NA())</f>
        <v>#N/A</v>
      </c>
      <c r="N335" t="e">
        <f ca="1">IFERROR(计算区域!N337,NA())</f>
        <v>#N/A</v>
      </c>
      <c r="O335" t="e">
        <f ca="1">IFERROR(计算区域!O337,NA())</f>
        <v>#N/A</v>
      </c>
      <c r="Q335" t="e">
        <f ca="1">IFERROR(计算区域!R337,NA())</f>
        <v>#N/A</v>
      </c>
      <c r="R335" t="e">
        <f ca="1">IFERROR(计算区域!S337,NA())</f>
        <v>#N/A</v>
      </c>
      <c r="S335" t="e">
        <f ca="1">IFERROR(计算区域!T337,NA())</f>
        <v>#N/A</v>
      </c>
      <c r="T335" t="e">
        <f ca="1">IFERROR(计算区域!U337,NA())</f>
        <v>#N/A</v>
      </c>
      <c r="V335" t="e">
        <f ca="1">IFERROR(计算区域!X337,NA())</f>
        <v>#N/A</v>
      </c>
      <c r="W335" t="e">
        <f ca="1">IFERROR(计算区域!Y337,NA())</f>
        <v>#N/A</v>
      </c>
      <c r="X335" t="e">
        <f ca="1">IFERROR(计算区域!Z337,NA())</f>
        <v>#N/A</v>
      </c>
      <c r="Y335" t="e">
        <f ca="1">IFERROR(计算区域!AA337,NA())</f>
        <v>#N/A</v>
      </c>
    </row>
    <row r="336" spans="1:25" x14ac:dyDescent="0.2">
      <c r="A336" s="28">
        <f>计算区域!E338</f>
        <v>45156</v>
      </c>
      <c r="B336" t="e">
        <f ca="1">IFERROR(计算区域!AJ338,NA())</f>
        <v>#N/A</v>
      </c>
      <c r="C336" t="e">
        <f ca="1">IFERROR(计算区域!AK338,NA())</f>
        <v>#N/A</v>
      </c>
      <c r="D336" t="e">
        <f ca="1">IFERROR(计算区域!AL338,NA())</f>
        <v>#N/A</v>
      </c>
      <c r="E336" t="e">
        <f ca="1">IFERROR(计算区域!AM338,NA())</f>
        <v>#N/A</v>
      </c>
      <c r="G336" t="e">
        <f ca="1">IFERROR(计算区域!AD338,NA())</f>
        <v>#N/A</v>
      </c>
      <c r="H336" t="e">
        <f ca="1">IFERROR(计算区域!AE338,NA())</f>
        <v>#N/A</v>
      </c>
      <c r="I336" t="e">
        <f ca="1">IFERROR(计算区域!AF338,NA())</f>
        <v>#N/A</v>
      </c>
      <c r="J336" t="e">
        <f ca="1">IFERROR(计算区域!AG338,NA())</f>
        <v>#N/A</v>
      </c>
      <c r="L336" t="e">
        <f ca="1">IFERROR(计算区域!L338,NA())</f>
        <v>#N/A</v>
      </c>
      <c r="M336" t="e">
        <f ca="1">IFERROR(计算区域!M338,NA())</f>
        <v>#N/A</v>
      </c>
      <c r="N336" t="e">
        <f ca="1">IFERROR(计算区域!N338,NA())</f>
        <v>#N/A</v>
      </c>
      <c r="O336" t="e">
        <f ca="1">IFERROR(计算区域!O338,NA())</f>
        <v>#N/A</v>
      </c>
      <c r="Q336" t="e">
        <f ca="1">IFERROR(计算区域!R338,NA())</f>
        <v>#N/A</v>
      </c>
      <c r="R336" t="e">
        <f ca="1">IFERROR(计算区域!S338,NA())</f>
        <v>#N/A</v>
      </c>
      <c r="S336" t="e">
        <f ca="1">IFERROR(计算区域!T338,NA())</f>
        <v>#N/A</v>
      </c>
      <c r="T336" t="e">
        <f ca="1">IFERROR(计算区域!U338,NA())</f>
        <v>#N/A</v>
      </c>
      <c r="V336" t="e">
        <f ca="1">IFERROR(计算区域!X338,NA())</f>
        <v>#N/A</v>
      </c>
      <c r="W336" t="e">
        <f ca="1">IFERROR(计算区域!Y338,NA())</f>
        <v>#N/A</v>
      </c>
      <c r="X336" t="e">
        <f ca="1">IFERROR(计算区域!Z338,NA())</f>
        <v>#N/A</v>
      </c>
      <c r="Y336" t="e">
        <f ca="1">IFERROR(计算区域!AA338,NA())</f>
        <v>#N/A</v>
      </c>
    </row>
    <row r="337" spans="1:25" x14ac:dyDescent="0.2">
      <c r="A337" s="28">
        <f>计算区域!E339</f>
        <v>45155</v>
      </c>
      <c r="B337" t="e">
        <f ca="1">IFERROR(计算区域!AJ339,NA())</f>
        <v>#N/A</v>
      </c>
      <c r="C337" t="e">
        <f ca="1">IFERROR(计算区域!AK339,NA())</f>
        <v>#N/A</v>
      </c>
      <c r="D337" t="e">
        <f ca="1">IFERROR(计算区域!AL339,NA())</f>
        <v>#N/A</v>
      </c>
      <c r="E337" t="e">
        <f ca="1">IFERROR(计算区域!AM339,NA())</f>
        <v>#N/A</v>
      </c>
      <c r="G337" t="e">
        <f ca="1">IFERROR(计算区域!AD339,NA())</f>
        <v>#N/A</v>
      </c>
      <c r="H337" t="e">
        <f ca="1">IFERROR(计算区域!AE339,NA())</f>
        <v>#N/A</v>
      </c>
      <c r="I337" t="e">
        <f ca="1">IFERROR(计算区域!AF339,NA())</f>
        <v>#N/A</v>
      </c>
      <c r="J337" t="e">
        <f ca="1">IFERROR(计算区域!AG339,NA())</f>
        <v>#N/A</v>
      </c>
      <c r="L337" t="e">
        <f ca="1">IFERROR(计算区域!L339,NA())</f>
        <v>#N/A</v>
      </c>
      <c r="M337" t="e">
        <f ca="1">IFERROR(计算区域!M339,NA())</f>
        <v>#N/A</v>
      </c>
      <c r="N337" t="e">
        <f ca="1">IFERROR(计算区域!N339,NA())</f>
        <v>#N/A</v>
      </c>
      <c r="O337" t="e">
        <f ca="1">IFERROR(计算区域!O339,NA())</f>
        <v>#N/A</v>
      </c>
      <c r="Q337" t="e">
        <f ca="1">IFERROR(计算区域!R339,NA())</f>
        <v>#N/A</v>
      </c>
      <c r="R337" t="e">
        <f ca="1">IFERROR(计算区域!S339,NA())</f>
        <v>#N/A</v>
      </c>
      <c r="S337" t="e">
        <f ca="1">IFERROR(计算区域!T339,NA())</f>
        <v>#N/A</v>
      </c>
      <c r="T337" t="e">
        <f ca="1">IFERROR(计算区域!U339,NA())</f>
        <v>#N/A</v>
      </c>
      <c r="V337" t="e">
        <f ca="1">IFERROR(计算区域!X339,NA())</f>
        <v>#N/A</v>
      </c>
      <c r="W337" t="e">
        <f ca="1">IFERROR(计算区域!Y339,NA())</f>
        <v>#N/A</v>
      </c>
      <c r="X337" t="e">
        <f ca="1">IFERROR(计算区域!Z339,NA())</f>
        <v>#N/A</v>
      </c>
      <c r="Y337" t="e">
        <f ca="1">IFERROR(计算区域!AA339,NA())</f>
        <v>#N/A</v>
      </c>
    </row>
    <row r="338" spans="1:25" x14ac:dyDescent="0.2">
      <c r="A338" s="28">
        <f>计算区域!E340</f>
        <v>45154</v>
      </c>
      <c r="B338" t="e">
        <f ca="1">IFERROR(计算区域!AJ340,NA())</f>
        <v>#N/A</v>
      </c>
      <c r="C338" t="e">
        <f ca="1">IFERROR(计算区域!AK340,NA())</f>
        <v>#N/A</v>
      </c>
      <c r="D338" t="e">
        <f ca="1">IFERROR(计算区域!AL340,NA())</f>
        <v>#N/A</v>
      </c>
      <c r="E338" t="e">
        <f ca="1">IFERROR(计算区域!AM340,NA())</f>
        <v>#N/A</v>
      </c>
      <c r="G338" t="e">
        <f ca="1">IFERROR(计算区域!AD340,NA())</f>
        <v>#N/A</v>
      </c>
      <c r="H338" t="e">
        <f ca="1">IFERROR(计算区域!AE340,NA())</f>
        <v>#N/A</v>
      </c>
      <c r="I338" t="e">
        <f ca="1">IFERROR(计算区域!AF340,NA())</f>
        <v>#N/A</v>
      </c>
      <c r="J338" t="e">
        <f ca="1">IFERROR(计算区域!AG340,NA())</f>
        <v>#N/A</v>
      </c>
      <c r="L338" t="e">
        <f ca="1">IFERROR(计算区域!L340,NA())</f>
        <v>#N/A</v>
      </c>
      <c r="M338" t="e">
        <f ca="1">IFERROR(计算区域!M340,NA())</f>
        <v>#N/A</v>
      </c>
      <c r="N338" t="e">
        <f ca="1">IFERROR(计算区域!N340,NA())</f>
        <v>#N/A</v>
      </c>
      <c r="O338" t="e">
        <f ca="1">IFERROR(计算区域!O340,NA())</f>
        <v>#N/A</v>
      </c>
      <c r="Q338" t="e">
        <f ca="1">IFERROR(计算区域!R340,NA())</f>
        <v>#N/A</v>
      </c>
      <c r="R338" t="e">
        <f ca="1">IFERROR(计算区域!S340,NA())</f>
        <v>#N/A</v>
      </c>
      <c r="S338" t="e">
        <f ca="1">IFERROR(计算区域!T340,NA())</f>
        <v>#N/A</v>
      </c>
      <c r="T338" t="e">
        <f ca="1">IFERROR(计算区域!U340,NA())</f>
        <v>#N/A</v>
      </c>
      <c r="V338" t="e">
        <f ca="1">IFERROR(计算区域!X340,NA())</f>
        <v>#N/A</v>
      </c>
      <c r="W338" t="e">
        <f ca="1">IFERROR(计算区域!Y340,NA())</f>
        <v>#N/A</v>
      </c>
      <c r="X338" t="e">
        <f ca="1">IFERROR(计算区域!Z340,NA())</f>
        <v>#N/A</v>
      </c>
      <c r="Y338" t="e">
        <f ca="1">IFERROR(计算区域!AA340,NA())</f>
        <v>#N/A</v>
      </c>
    </row>
    <row r="339" spans="1:25" x14ac:dyDescent="0.2">
      <c r="A339" s="28">
        <f>计算区域!E341</f>
        <v>45153</v>
      </c>
      <c r="B339" t="e">
        <f ca="1">IFERROR(计算区域!AJ341,NA())</f>
        <v>#N/A</v>
      </c>
      <c r="C339" t="e">
        <f ca="1">IFERROR(计算区域!AK341,NA())</f>
        <v>#N/A</v>
      </c>
      <c r="D339" t="e">
        <f ca="1">IFERROR(计算区域!AL341,NA())</f>
        <v>#N/A</v>
      </c>
      <c r="E339" t="e">
        <f ca="1">IFERROR(计算区域!AM341,NA())</f>
        <v>#N/A</v>
      </c>
      <c r="G339" t="e">
        <f ca="1">IFERROR(计算区域!AD341,NA())</f>
        <v>#N/A</v>
      </c>
      <c r="H339" t="e">
        <f ca="1">IFERROR(计算区域!AE341,NA())</f>
        <v>#N/A</v>
      </c>
      <c r="I339" t="e">
        <f ca="1">IFERROR(计算区域!AF341,NA())</f>
        <v>#N/A</v>
      </c>
      <c r="J339" t="e">
        <f ca="1">IFERROR(计算区域!AG341,NA())</f>
        <v>#N/A</v>
      </c>
      <c r="L339" t="e">
        <f ca="1">IFERROR(计算区域!L341,NA())</f>
        <v>#N/A</v>
      </c>
      <c r="M339" t="e">
        <f ca="1">IFERROR(计算区域!M341,NA())</f>
        <v>#N/A</v>
      </c>
      <c r="N339" t="e">
        <f ca="1">IFERROR(计算区域!N341,NA())</f>
        <v>#N/A</v>
      </c>
      <c r="O339" t="e">
        <f ca="1">IFERROR(计算区域!O341,NA())</f>
        <v>#N/A</v>
      </c>
      <c r="Q339" t="e">
        <f ca="1">IFERROR(计算区域!R341,NA())</f>
        <v>#N/A</v>
      </c>
      <c r="R339" t="e">
        <f ca="1">IFERROR(计算区域!S341,NA())</f>
        <v>#N/A</v>
      </c>
      <c r="S339" t="e">
        <f ca="1">IFERROR(计算区域!T341,NA())</f>
        <v>#N/A</v>
      </c>
      <c r="T339" t="e">
        <f ca="1">IFERROR(计算区域!U341,NA())</f>
        <v>#N/A</v>
      </c>
      <c r="V339" t="e">
        <f ca="1">IFERROR(计算区域!X341,NA())</f>
        <v>#N/A</v>
      </c>
      <c r="W339" t="e">
        <f ca="1">IFERROR(计算区域!Y341,NA())</f>
        <v>#N/A</v>
      </c>
      <c r="X339" t="e">
        <f ca="1">IFERROR(计算区域!Z341,NA())</f>
        <v>#N/A</v>
      </c>
      <c r="Y339" t="e">
        <f ca="1">IFERROR(计算区域!AA341,NA())</f>
        <v>#N/A</v>
      </c>
    </row>
    <row r="340" spans="1:25" x14ac:dyDescent="0.2">
      <c r="A340" s="28">
        <f>计算区域!E342</f>
        <v>45152</v>
      </c>
      <c r="B340" t="e">
        <f ca="1">IFERROR(计算区域!AJ342,NA())</f>
        <v>#N/A</v>
      </c>
      <c r="C340" t="e">
        <f ca="1">IFERROR(计算区域!AK342,NA())</f>
        <v>#N/A</v>
      </c>
      <c r="D340" t="e">
        <f ca="1">IFERROR(计算区域!AL342,NA())</f>
        <v>#N/A</v>
      </c>
      <c r="E340" t="e">
        <f ca="1">IFERROR(计算区域!AM342,NA())</f>
        <v>#N/A</v>
      </c>
      <c r="G340" t="e">
        <f ca="1">IFERROR(计算区域!AD342,NA())</f>
        <v>#N/A</v>
      </c>
      <c r="H340" t="e">
        <f ca="1">IFERROR(计算区域!AE342,NA())</f>
        <v>#N/A</v>
      </c>
      <c r="I340" t="e">
        <f ca="1">IFERROR(计算区域!AF342,NA())</f>
        <v>#N/A</v>
      </c>
      <c r="J340" t="e">
        <f ca="1">IFERROR(计算区域!AG342,NA())</f>
        <v>#N/A</v>
      </c>
      <c r="L340" t="e">
        <f ca="1">IFERROR(计算区域!L342,NA())</f>
        <v>#N/A</v>
      </c>
      <c r="M340" t="e">
        <f ca="1">IFERROR(计算区域!M342,NA())</f>
        <v>#N/A</v>
      </c>
      <c r="N340" t="e">
        <f ca="1">IFERROR(计算区域!N342,NA())</f>
        <v>#N/A</v>
      </c>
      <c r="O340" t="e">
        <f ca="1">IFERROR(计算区域!O342,NA())</f>
        <v>#N/A</v>
      </c>
      <c r="Q340" t="e">
        <f ca="1">IFERROR(计算区域!R342,NA())</f>
        <v>#N/A</v>
      </c>
      <c r="R340" t="e">
        <f ca="1">IFERROR(计算区域!S342,NA())</f>
        <v>#N/A</v>
      </c>
      <c r="S340" t="e">
        <f ca="1">IFERROR(计算区域!T342,NA())</f>
        <v>#N/A</v>
      </c>
      <c r="T340" t="e">
        <f ca="1">IFERROR(计算区域!U342,NA())</f>
        <v>#N/A</v>
      </c>
      <c r="V340" t="e">
        <f ca="1">IFERROR(计算区域!X342,NA())</f>
        <v>#N/A</v>
      </c>
      <c r="W340" t="e">
        <f ca="1">IFERROR(计算区域!Y342,NA())</f>
        <v>#N/A</v>
      </c>
      <c r="X340" t="e">
        <f ca="1">IFERROR(计算区域!Z342,NA())</f>
        <v>#N/A</v>
      </c>
      <c r="Y340" t="e">
        <f ca="1">IFERROR(计算区域!AA342,NA())</f>
        <v>#N/A</v>
      </c>
    </row>
    <row r="341" spans="1:25" x14ac:dyDescent="0.2">
      <c r="A341" s="28">
        <f>计算区域!E343</f>
        <v>45149</v>
      </c>
      <c r="B341" t="e">
        <f ca="1">IFERROR(计算区域!AJ343,NA())</f>
        <v>#N/A</v>
      </c>
      <c r="C341" t="e">
        <f ca="1">IFERROR(计算区域!AK343,NA())</f>
        <v>#N/A</v>
      </c>
      <c r="D341" t="e">
        <f ca="1">IFERROR(计算区域!AL343,NA())</f>
        <v>#N/A</v>
      </c>
      <c r="E341" t="e">
        <f ca="1">IFERROR(计算区域!AM343,NA())</f>
        <v>#N/A</v>
      </c>
      <c r="G341" t="e">
        <f ca="1">IFERROR(计算区域!AD343,NA())</f>
        <v>#N/A</v>
      </c>
      <c r="H341" t="e">
        <f ca="1">IFERROR(计算区域!AE343,NA())</f>
        <v>#N/A</v>
      </c>
      <c r="I341" t="e">
        <f ca="1">IFERROR(计算区域!AF343,NA())</f>
        <v>#N/A</v>
      </c>
      <c r="J341" t="e">
        <f ca="1">IFERROR(计算区域!AG343,NA())</f>
        <v>#N/A</v>
      </c>
      <c r="L341" t="e">
        <f ca="1">IFERROR(计算区域!L343,NA())</f>
        <v>#N/A</v>
      </c>
      <c r="M341" t="e">
        <f ca="1">IFERROR(计算区域!M343,NA())</f>
        <v>#N/A</v>
      </c>
      <c r="N341" t="e">
        <f ca="1">IFERROR(计算区域!N343,NA())</f>
        <v>#N/A</v>
      </c>
      <c r="O341" t="e">
        <f ca="1">IFERROR(计算区域!O343,NA())</f>
        <v>#N/A</v>
      </c>
      <c r="Q341" t="e">
        <f ca="1">IFERROR(计算区域!R343,NA())</f>
        <v>#N/A</v>
      </c>
      <c r="R341" t="e">
        <f ca="1">IFERROR(计算区域!S343,NA())</f>
        <v>#N/A</v>
      </c>
      <c r="S341" t="e">
        <f ca="1">IFERROR(计算区域!T343,NA())</f>
        <v>#N/A</v>
      </c>
      <c r="T341" t="e">
        <f ca="1">IFERROR(计算区域!U343,NA())</f>
        <v>#N/A</v>
      </c>
      <c r="V341" t="e">
        <f ca="1">IFERROR(计算区域!X343,NA())</f>
        <v>#N/A</v>
      </c>
      <c r="W341" t="e">
        <f ca="1">IFERROR(计算区域!Y343,NA())</f>
        <v>#N/A</v>
      </c>
      <c r="X341" t="e">
        <f ca="1">IFERROR(计算区域!Z343,NA())</f>
        <v>#N/A</v>
      </c>
      <c r="Y341" t="e">
        <f ca="1">IFERROR(计算区域!AA343,NA())</f>
        <v>#N/A</v>
      </c>
    </row>
    <row r="342" spans="1:25" x14ac:dyDescent="0.2">
      <c r="A342" s="28">
        <f>计算区域!E344</f>
        <v>45148</v>
      </c>
      <c r="B342" t="e">
        <f ca="1">IFERROR(计算区域!AJ344,NA())</f>
        <v>#N/A</v>
      </c>
      <c r="C342" t="e">
        <f ca="1">IFERROR(计算区域!AK344,NA())</f>
        <v>#N/A</v>
      </c>
      <c r="D342" t="e">
        <f ca="1">IFERROR(计算区域!AL344,NA())</f>
        <v>#N/A</v>
      </c>
      <c r="E342" t="e">
        <f ca="1">IFERROR(计算区域!AM344,NA())</f>
        <v>#N/A</v>
      </c>
      <c r="G342" t="e">
        <f ca="1">IFERROR(计算区域!AD344,NA())</f>
        <v>#N/A</v>
      </c>
      <c r="H342" t="e">
        <f ca="1">IFERROR(计算区域!AE344,NA())</f>
        <v>#N/A</v>
      </c>
      <c r="I342" t="e">
        <f ca="1">IFERROR(计算区域!AF344,NA())</f>
        <v>#N/A</v>
      </c>
      <c r="J342" t="e">
        <f ca="1">IFERROR(计算区域!AG344,NA())</f>
        <v>#N/A</v>
      </c>
      <c r="L342" t="e">
        <f ca="1">IFERROR(计算区域!L344,NA())</f>
        <v>#N/A</v>
      </c>
      <c r="M342" t="e">
        <f ca="1">IFERROR(计算区域!M344,NA())</f>
        <v>#N/A</v>
      </c>
      <c r="N342" t="e">
        <f ca="1">IFERROR(计算区域!N344,NA())</f>
        <v>#N/A</v>
      </c>
      <c r="O342" t="e">
        <f ca="1">IFERROR(计算区域!O344,NA())</f>
        <v>#N/A</v>
      </c>
      <c r="Q342" t="e">
        <f ca="1">IFERROR(计算区域!R344,NA())</f>
        <v>#N/A</v>
      </c>
      <c r="R342" t="e">
        <f ca="1">IFERROR(计算区域!S344,NA())</f>
        <v>#N/A</v>
      </c>
      <c r="S342" t="e">
        <f ca="1">IFERROR(计算区域!T344,NA())</f>
        <v>#N/A</v>
      </c>
      <c r="T342" t="e">
        <f ca="1">IFERROR(计算区域!U344,NA())</f>
        <v>#N/A</v>
      </c>
      <c r="V342" t="e">
        <f ca="1">IFERROR(计算区域!X344,NA())</f>
        <v>#N/A</v>
      </c>
      <c r="W342" t="e">
        <f ca="1">IFERROR(计算区域!Y344,NA())</f>
        <v>#N/A</v>
      </c>
      <c r="X342" t="e">
        <f ca="1">IFERROR(计算区域!Z344,NA())</f>
        <v>#N/A</v>
      </c>
      <c r="Y342" t="e">
        <f ca="1">IFERROR(计算区域!AA344,NA())</f>
        <v>#N/A</v>
      </c>
    </row>
    <row r="343" spans="1:25" x14ac:dyDescent="0.2">
      <c r="A343" s="28">
        <f>计算区域!E345</f>
        <v>45147</v>
      </c>
      <c r="B343" t="e">
        <f ca="1">IFERROR(计算区域!AJ345,NA())</f>
        <v>#N/A</v>
      </c>
      <c r="C343" t="e">
        <f ca="1">IFERROR(计算区域!AK345,NA())</f>
        <v>#N/A</v>
      </c>
      <c r="D343" t="e">
        <f ca="1">IFERROR(计算区域!AL345,NA())</f>
        <v>#N/A</v>
      </c>
      <c r="E343" t="e">
        <f ca="1">IFERROR(计算区域!AM345,NA())</f>
        <v>#N/A</v>
      </c>
      <c r="G343" t="e">
        <f ca="1">IFERROR(计算区域!AD345,NA())</f>
        <v>#N/A</v>
      </c>
      <c r="H343" t="e">
        <f ca="1">IFERROR(计算区域!AE345,NA())</f>
        <v>#N/A</v>
      </c>
      <c r="I343" t="e">
        <f ca="1">IFERROR(计算区域!AF345,NA())</f>
        <v>#N/A</v>
      </c>
      <c r="J343" t="e">
        <f ca="1">IFERROR(计算区域!AG345,NA())</f>
        <v>#N/A</v>
      </c>
      <c r="L343" t="e">
        <f ca="1">IFERROR(计算区域!L345,NA())</f>
        <v>#N/A</v>
      </c>
      <c r="M343" t="e">
        <f ca="1">IFERROR(计算区域!M345,NA())</f>
        <v>#N/A</v>
      </c>
      <c r="N343" t="e">
        <f ca="1">IFERROR(计算区域!N345,NA())</f>
        <v>#N/A</v>
      </c>
      <c r="O343" t="e">
        <f ca="1">IFERROR(计算区域!O345,NA())</f>
        <v>#N/A</v>
      </c>
      <c r="Q343" t="e">
        <f ca="1">IFERROR(计算区域!R345,NA())</f>
        <v>#N/A</v>
      </c>
      <c r="R343" t="e">
        <f ca="1">IFERROR(计算区域!S345,NA())</f>
        <v>#N/A</v>
      </c>
      <c r="S343" t="e">
        <f ca="1">IFERROR(计算区域!T345,NA())</f>
        <v>#N/A</v>
      </c>
      <c r="T343" t="e">
        <f ca="1">IFERROR(计算区域!U345,NA())</f>
        <v>#N/A</v>
      </c>
      <c r="V343" t="e">
        <f ca="1">IFERROR(计算区域!X345,NA())</f>
        <v>#N/A</v>
      </c>
      <c r="W343" t="e">
        <f ca="1">IFERROR(计算区域!Y345,NA())</f>
        <v>#N/A</v>
      </c>
      <c r="X343" t="e">
        <f ca="1">IFERROR(计算区域!Z345,NA())</f>
        <v>#N/A</v>
      </c>
      <c r="Y343" t="e">
        <f ca="1">IFERROR(计算区域!AA345,NA())</f>
        <v>#N/A</v>
      </c>
    </row>
    <row r="344" spans="1:25" x14ac:dyDescent="0.2">
      <c r="A344" s="28">
        <f>计算区域!E346</f>
        <v>45146</v>
      </c>
      <c r="B344" t="e">
        <f ca="1">IFERROR(计算区域!AJ346,NA())</f>
        <v>#N/A</v>
      </c>
      <c r="C344" t="e">
        <f ca="1">IFERROR(计算区域!AK346,NA())</f>
        <v>#N/A</v>
      </c>
      <c r="D344" t="e">
        <f ca="1">IFERROR(计算区域!AL346,NA())</f>
        <v>#N/A</v>
      </c>
      <c r="E344" t="e">
        <f ca="1">IFERROR(计算区域!AM346,NA())</f>
        <v>#N/A</v>
      </c>
      <c r="G344" t="e">
        <f ca="1">IFERROR(计算区域!AD346,NA())</f>
        <v>#N/A</v>
      </c>
      <c r="H344" t="e">
        <f ca="1">IFERROR(计算区域!AE346,NA())</f>
        <v>#N/A</v>
      </c>
      <c r="I344" t="e">
        <f ca="1">IFERROR(计算区域!AF346,NA())</f>
        <v>#N/A</v>
      </c>
      <c r="J344" t="e">
        <f ca="1">IFERROR(计算区域!AG346,NA())</f>
        <v>#N/A</v>
      </c>
      <c r="L344" t="e">
        <f ca="1">IFERROR(计算区域!L346,NA())</f>
        <v>#N/A</v>
      </c>
      <c r="M344" t="e">
        <f ca="1">IFERROR(计算区域!M346,NA())</f>
        <v>#N/A</v>
      </c>
      <c r="N344" t="e">
        <f ca="1">IFERROR(计算区域!N346,NA())</f>
        <v>#N/A</v>
      </c>
      <c r="O344" t="e">
        <f ca="1">IFERROR(计算区域!O346,NA())</f>
        <v>#N/A</v>
      </c>
      <c r="Q344" t="e">
        <f ca="1">IFERROR(计算区域!R346,NA())</f>
        <v>#N/A</v>
      </c>
      <c r="R344" t="e">
        <f ca="1">IFERROR(计算区域!S346,NA())</f>
        <v>#N/A</v>
      </c>
      <c r="S344" t="e">
        <f ca="1">IFERROR(计算区域!T346,NA())</f>
        <v>#N/A</v>
      </c>
      <c r="T344" t="e">
        <f ca="1">IFERROR(计算区域!U346,NA())</f>
        <v>#N/A</v>
      </c>
      <c r="V344" t="e">
        <f ca="1">IFERROR(计算区域!X346,NA())</f>
        <v>#N/A</v>
      </c>
      <c r="W344" t="e">
        <f ca="1">IFERROR(计算区域!Y346,NA())</f>
        <v>#N/A</v>
      </c>
      <c r="X344" t="e">
        <f ca="1">IFERROR(计算区域!Z346,NA())</f>
        <v>#N/A</v>
      </c>
      <c r="Y344" t="e">
        <f ca="1">IFERROR(计算区域!AA346,NA())</f>
        <v>#N/A</v>
      </c>
    </row>
    <row r="345" spans="1:25" x14ac:dyDescent="0.2">
      <c r="A345" s="28">
        <f>计算区域!E347</f>
        <v>45145</v>
      </c>
      <c r="B345" t="e">
        <f ca="1">IFERROR(计算区域!AJ347,NA())</f>
        <v>#N/A</v>
      </c>
      <c r="C345" t="e">
        <f ca="1">IFERROR(计算区域!AK347,NA())</f>
        <v>#N/A</v>
      </c>
      <c r="D345" t="e">
        <f ca="1">IFERROR(计算区域!AL347,NA())</f>
        <v>#N/A</v>
      </c>
      <c r="E345" t="e">
        <f ca="1">IFERROR(计算区域!AM347,NA())</f>
        <v>#N/A</v>
      </c>
      <c r="G345" t="e">
        <f ca="1">IFERROR(计算区域!AD347,NA())</f>
        <v>#N/A</v>
      </c>
      <c r="H345" t="e">
        <f ca="1">IFERROR(计算区域!AE347,NA())</f>
        <v>#N/A</v>
      </c>
      <c r="I345" t="e">
        <f ca="1">IFERROR(计算区域!AF347,NA())</f>
        <v>#N/A</v>
      </c>
      <c r="J345" t="e">
        <f ca="1">IFERROR(计算区域!AG347,NA())</f>
        <v>#N/A</v>
      </c>
      <c r="L345" t="e">
        <f ca="1">IFERROR(计算区域!L347,NA())</f>
        <v>#N/A</v>
      </c>
      <c r="M345" t="e">
        <f ca="1">IFERROR(计算区域!M347,NA())</f>
        <v>#N/A</v>
      </c>
      <c r="N345" t="e">
        <f ca="1">IFERROR(计算区域!N347,NA())</f>
        <v>#N/A</v>
      </c>
      <c r="O345" t="e">
        <f ca="1">IFERROR(计算区域!O347,NA())</f>
        <v>#N/A</v>
      </c>
      <c r="Q345" t="e">
        <f ca="1">IFERROR(计算区域!R347,NA())</f>
        <v>#N/A</v>
      </c>
      <c r="R345" t="e">
        <f ca="1">IFERROR(计算区域!S347,NA())</f>
        <v>#N/A</v>
      </c>
      <c r="S345" t="e">
        <f ca="1">IFERROR(计算区域!T347,NA())</f>
        <v>#N/A</v>
      </c>
      <c r="T345" t="e">
        <f ca="1">IFERROR(计算区域!U347,NA())</f>
        <v>#N/A</v>
      </c>
      <c r="V345" t="e">
        <f ca="1">IFERROR(计算区域!X347,NA())</f>
        <v>#N/A</v>
      </c>
      <c r="W345" t="e">
        <f ca="1">IFERROR(计算区域!Y347,NA())</f>
        <v>#N/A</v>
      </c>
      <c r="X345" t="e">
        <f ca="1">IFERROR(计算区域!Z347,NA())</f>
        <v>#N/A</v>
      </c>
      <c r="Y345" t="e">
        <f ca="1">IFERROR(计算区域!AA347,NA())</f>
        <v>#N/A</v>
      </c>
    </row>
    <row r="346" spans="1:25" x14ac:dyDescent="0.2">
      <c r="A346" s="28">
        <f>计算区域!E348</f>
        <v>45142</v>
      </c>
      <c r="B346" t="e">
        <f ca="1">IFERROR(计算区域!AJ348,NA())</f>
        <v>#N/A</v>
      </c>
      <c r="C346" t="e">
        <f ca="1">IFERROR(计算区域!AK348,NA())</f>
        <v>#N/A</v>
      </c>
      <c r="D346" t="e">
        <f ca="1">IFERROR(计算区域!AL348,NA())</f>
        <v>#N/A</v>
      </c>
      <c r="E346" t="e">
        <f ca="1">IFERROR(计算区域!AM348,NA())</f>
        <v>#N/A</v>
      </c>
      <c r="G346" t="e">
        <f ca="1">IFERROR(计算区域!AD348,NA())</f>
        <v>#N/A</v>
      </c>
      <c r="H346" t="e">
        <f ca="1">IFERROR(计算区域!AE348,NA())</f>
        <v>#N/A</v>
      </c>
      <c r="I346" t="e">
        <f ca="1">IFERROR(计算区域!AF348,NA())</f>
        <v>#N/A</v>
      </c>
      <c r="J346" t="e">
        <f ca="1">IFERROR(计算区域!AG348,NA())</f>
        <v>#N/A</v>
      </c>
      <c r="L346" t="e">
        <f ca="1">IFERROR(计算区域!L348,NA())</f>
        <v>#N/A</v>
      </c>
      <c r="M346" t="e">
        <f ca="1">IFERROR(计算区域!M348,NA())</f>
        <v>#N/A</v>
      </c>
      <c r="N346" t="e">
        <f ca="1">IFERROR(计算区域!N348,NA())</f>
        <v>#N/A</v>
      </c>
      <c r="O346" t="e">
        <f ca="1">IFERROR(计算区域!O348,NA())</f>
        <v>#N/A</v>
      </c>
      <c r="Q346" t="e">
        <f ca="1">IFERROR(计算区域!R348,NA())</f>
        <v>#N/A</v>
      </c>
      <c r="R346" t="e">
        <f ca="1">IFERROR(计算区域!S348,NA())</f>
        <v>#N/A</v>
      </c>
      <c r="S346" t="e">
        <f ca="1">IFERROR(计算区域!T348,NA())</f>
        <v>#N/A</v>
      </c>
      <c r="T346" t="e">
        <f ca="1">IFERROR(计算区域!U348,NA())</f>
        <v>#N/A</v>
      </c>
      <c r="V346" t="e">
        <f ca="1">IFERROR(计算区域!X348,NA())</f>
        <v>#N/A</v>
      </c>
      <c r="W346" t="e">
        <f ca="1">IFERROR(计算区域!Y348,NA())</f>
        <v>#N/A</v>
      </c>
      <c r="X346" t="e">
        <f ca="1">IFERROR(计算区域!Z348,NA())</f>
        <v>#N/A</v>
      </c>
      <c r="Y346" t="e">
        <f ca="1">IFERROR(计算区域!AA348,NA())</f>
        <v>#N/A</v>
      </c>
    </row>
    <row r="347" spans="1:25" x14ac:dyDescent="0.2">
      <c r="A347" s="28">
        <f>计算区域!E349</f>
        <v>45141</v>
      </c>
      <c r="B347" t="e">
        <f ca="1">IFERROR(计算区域!AJ349,NA())</f>
        <v>#N/A</v>
      </c>
      <c r="C347" t="e">
        <f ca="1">IFERROR(计算区域!AK349,NA())</f>
        <v>#N/A</v>
      </c>
      <c r="D347" t="e">
        <f ca="1">IFERROR(计算区域!AL349,NA())</f>
        <v>#N/A</v>
      </c>
      <c r="E347" t="e">
        <f ca="1">IFERROR(计算区域!AM349,NA())</f>
        <v>#N/A</v>
      </c>
      <c r="G347" t="e">
        <f ca="1">IFERROR(计算区域!AD349,NA())</f>
        <v>#N/A</v>
      </c>
      <c r="H347" t="e">
        <f ca="1">IFERROR(计算区域!AE349,NA())</f>
        <v>#N/A</v>
      </c>
      <c r="I347" t="e">
        <f ca="1">IFERROR(计算区域!AF349,NA())</f>
        <v>#N/A</v>
      </c>
      <c r="J347" t="e">
        <f ca="1">IFERROR(计算区域!AG349,NA())</f>
        <v>#N/A</v>
      </c>
      <c r="L347" t="e">
        <f ca="1">IFERROR(计算区域!L349,NA())</f>
        <v>#N/A</v>
      </c>
      <c r="M347" t="e">
        <f ca="1">IFERROR(计算区域!M349,NA())</f>
        <v>#N/A</v>
      </c>
      <c r="N347" t="e">
        <f ca="1">IFERROR(计算区域!N349,NA())</f>
        <v>#N/A</v>
      </c>
      <c r="O347" t="e">
        <f ca="1">IFERROR(计算区域!O349,NA())</f>
        <v>#N/A</v>
      </c>
      <c r="Q347" t="e">
        <f ca="1">IFERROR(计算区域!R349,NA())</f>
        <v>#N/A</v>
      </c>
      <c r="R347" t="e">
        <f ca="1">IFERROR(计算区域!S349,NA())</f>
        <v>#N/A</v>
      </c>
      <c r="S347" t="e">
        <f ca="1">IFERROR(计算区域!T349,NA())</f>
        <v>#N/A</v>
      </c>
      <c r="T347" t="e">
        <f ca="1">IFERROR(计算区域!U349,NA())</f>
        <v>#N/A</v>
      </c>
      <c r="V347" t="e">
        <f ca="1">IFERROR(计算区域!X349,NA())</f>
        <v>#N/A</v>
      </c>
      <c r="W347" t="e">
        <f ca="1">IFERROR(计算区域!Y349,NA())</f>
        <v>#N/A</v>
      </c>
      <c r="X347" t="e">
        <f ca="1">IFERROR(计算区域!Z349,NA())</f>
        <v>#N/A</v>
      </c>
      <c r="Y347" t="e">
        <f ca="1">IFERROR(计算区域!AA349,NA())</f>
        <v>#N/A</v>
      </c>
    </row>
    <row r="348" spans="1:25" x14ac:dyDescent="0.2">
      <c r="A348" s="28">
        <f>计算区域!E350</f>
        <v>45140</v>
      </c>
      <c r="B348" t="e">
        <f ca="1">IFERROR(计算区域!AJ350,NA())</f>
        <v>#N/A</v>
      </c>
      <c r="C348" t="e">
        <f ca="1">IFERROR(计算区域!AK350,NA())</f>
        <v>#N/A</v>
      </c>
      <c r="D348" t="e">
        <f ca="1">IFERROR(计算区域!AL350,NA())</f>
        <v>#N/A</v>
      </c>
      <c r="E348" t="e">
        <f ca="1">IFERROR(计算区域!AM350,NA())</f>
        <v>#N/A</v>
      </c>
      <c r="G348" t="e">
        <f ca="1">IFERROR(计算区域!AD350,NA())</f>
        <v>#N/A</v>
      </c>
      <c r="H348" t="e">
        <f ca="1">IFERROR(计算区域!AE350,NA())</f>
        <v>#N/A</v>
      </c>
      <c r="I348" t="e">
        <f ca="1">IFERROR(计算区域!AF350,NA())</f>
        <v>#N/A</v>
      </c>
      <c r="J348" t="e">
        <f ca="1">IFERROR(计算区域!AG350,NA())</f>
        <v>#N/A</v>
      </c>
      <c r="L348" t="e">
        <f ca="1">IFERROR(计算区域!L350,NA())</f>
        <v>#N/A</v>
      </c>
      <c r="M348" t="e">
        <f ca="1">IFERROR(计算区域!M350,NA())</f>
        <v>#N/A</v>
      </c>
      <c r="N348" t="e">
        <f ca="1">IFERROR(计算区域!N350,NA())</f>
        <v>#N/A</v>
      </c>
      <c r="O348" t="e">
        <f ca="1">IFERROR(计算区域!O350,NA())</f>
        <v>#N/A</v>
      </c>
      <c r="Q348" t="e">
        <f ca="1">IFERROR(计算区域!R350,NA())</f>
        <v>#N/A</v>
      </c>
      <c r="R348" t="e">
        <f ca="1">IFERROR(计算区域!S350,NA())</f>
        <v>#N/A</v>
      </c>
      <c r="S348" t="e">
        <f ca="1">IFERROR(计算区域!T350,NA())</f>
        <v>#N/A</v>
      </c>
      <c r="T348" t="e">
        <f ca="1">IFERROR(计算区域!U350,NA())</f>
        <v>#N/A</v>
      </c>
      <c r="V348" t="e">
        <f ca="1">IFERROR(计算区域!X350,NA())</f>
        <v>#N/A</v>
      </c>
      <c r="W348" t="e">
        <f ca="1">IFERROR(计算区域!Y350,NA())</f>
        <v>#N/A</v>
      </c>
      <c r="X348" t="e">
        <f ca="1">IFERROR(计算区域!Z350,NA())</f>
        <v>#N/A</v>
      </c>
      <c r="Y348" t="e">
        <f ca="1">IFERROR(计算区域!AA350,NA())</f>
        <v>#N/A</v>
      </c>
    </row>
    <row r="349" spans="1:25" x14ac:dyDescent="0.2">
      <c r="A349" s="28">
        <f>计算区域!E351</f>
        <v>45139</v>
      </c>
      <c r="B349" t="e">
        <f ca="1">IFERROR(计算区域!AJ351,NA())</f>
        <v>#N/A</v>
      </c>
      <c r="C349" t="e">
        <f ca="1">IFERROR(计算区域!AK351,NA())</f>
        <v>#N/A</v>
      </c>
      <c r="D349" t="e">
        <f ca="1">IFERROR(计算区域!AL351,NA())</f>
        <v>#N/A</v>
      </c>
      <c r="E349" t="e">
        <f ca="1">IFERROR(计算区域!AM351,NA())</f>
        <v>#N/A</v>
      </c>
      <c r="G349" t="e">
        <f ca="1">IFERROR(计算区域!AD351,NA())</f>
        <v>#N/A</v>
      </c>
      <c r="H349" t="e">
        <f ca="1">IFERROR(计算区域!AE351,NA())</f>
        <v>#N/A</v>
      </c>
      <c r="I349" t="e">
        <f ca="1">IFERROR(计算区域!AF351,NA())</f>
        <v>#N/A</v>
      </c>
      <c r="J349" t="e">
        <f ca="1">IFERROR(计算区域!AG351,NA())</f>
        <v>#N/A</v>
      </c>
      <c r="L349" t="e">
        <f ca="1">IFERROR(计算区域!L351,NA())</f>
        <v>#N/A</v>
      </c>
      <c r="M349" t="e">
        <f ca="1">IFERROR(计算区域!M351,NA())</f>
        <v>#N/A</v>
      </c>
      <c r="N349" t="e">
        <f ca="1">IFERROR(计算区域!N351,NA())</f>
        <v>#N/A</v>
      </c>
      <c r="O349" t="e">
        <f ca="1">IFERROR(计算区域!O351,NA())</f>
        <v>#N/A</v>
      </c>
      <c r="Q349" t="e">
        <f ca="1">IFERROR(计算区域!R351,NA())</f>
        <v>#N/A</v>
      </c>
      <c r="R349" t="e">
        <f ca="1">IFERROR(计算区域!S351,NA())</f>
        <v>#N/A</v>
      </c>
      <c r="S349" t="e">
        <f ca="1">IFERROR(计算区域!T351,NA())</f>
        <v>#N/A</v>
      </c>
      <c r="T349" t="e">
        <f ca="1">IFERROR(计算区域!U351,NA())</f>
        <v>#N/A</v>
      </c>
      <c r="V349" t="e">
        <f ca="1">IFERROR(计算区域!X351,NA())</f>
        <v>#N/A</v>
      </c>
      <c r="W349" t="e">
        <f ca="1">IFERROR(计算区域!Y351,NA())</f>
        <v>#N/A</v>
      </c>
      <c r="X349" t="e">
        <f ca="1">IFERROR(计算区域!Z351,NA())</f>
        <v>#N/A</v>
      </c>
      <c r="Y349" t="e">
        <f ca="1">IFERROR(计算区域!AA351,NA())</f>
        <v>#N/A</v>
      </c>
    </row>
    <row r="350" spans="1:25" x14ac:dyDescent="0.2">
      <c r="A350" s="28">
        <f>计算区域!E352</f>
        <v>45138</v>
      </c>
      <c r="B350" t="e">
        <f ca="1">IFERROR(计算区域!AJ352,NA())</f>
        <v>#N/A</v>
      </c>
      <c r="C350" t="e">
        <f ca="1">IFERROR(计算区域!AK352,NA())</f>
        <v>#N/A</v>
      </c>
      <c r="D350" t="e">
        <f ca="1">IFERROR(计算区域!AL352,NA())</f>
        <v>#N/A</v>
      </c>
      <c r="E350" t="e">
        <f ca="1">IFERROR(计算区域!AM352,NA())</f>
        <v>#N/A</v>
      </c>
      <c r="G350" t="e">
        <f ca="1">IFERROR(计算区域!AD352,NA())</f>
        <v>#N/A</v>
      </c>
      <c r="H350" t="e">
        <f ca="1">IFERROR(计算区域!AE352,NA())</f>
        <v>#N/A</v>
      </c>
      <c r="I350" t="e">
        <f ca="1">IFERROR(计算区域!AF352,NA())</f>
        <v>#N/A</v>
      </c>
      <c r="J350" t="e">
        <f ca="1">IFERROR(计算区域!AG352,NA())</f>
        <v>#N/A</v>
      </c>
      <c r="L350" t="e">
        <f ca="1">IFERROR(计算区域!L352,NA())</f>
        <v>#N/A</v>
      </c>
      <c r="M350" t="e">
        <f ca="1">IFERROR(计算区域!M352,NA())</f>
        <v>#N/A</v>
      </c>
      <c r="N350" t="e">
        <f ca="1">IFERROR(计算区域!N352,NA())</f>
        <v>#N/A</v>
      </c>
      <c r="O350" t="e">
        <f ca="1">IFERROR(计算区域!O352,NA())</f>
        <v>#N/A</v>
      </c>
      <c r="Q350" t="e">
        <f ca="1">IFERROR(计算区域!R352,NA())</f>
        <v>#N/A</v>
      </c>
      <c r="R350" t="e">
        <f ca="1">IFERROR(计算区域!S352,NA())</f>
        <v>#N/A</v>
      </c>
      <c r="S350" t="e">
        <f ca="1">IFERROR(计算区域!T352,NA())</f>
        <v>#N/A</v>
      </c>
      <c r="T350" t="e">
        <f ca="1">IFERROR(计算区域!U352,NA())</f>
        <v>#N/A</v>
      </c>
      <c r="V350" t="e">
        <f ca="1">IFERROR(计算区域!X352,NA())</f>
        <v>#N/A</v>
      </c>
      <c r="W350" t="e">
        <f ca="1">IFERROR(计算区域!Y352,NA())</f>
        <v>#N/A</v>
      </c>
      <c r="X350" t="e">
        <f ca="1">IFERROR(计算区域!Z352,NA())</f>
        <v>#N/A</v>
      </c>
      <c r="Y350" t="e">
        <f ca="1">IFERROR(计算区域!AA352,NA())</f>
        <v>#N/A</v>
      </c>
    </row>
    <row r="351" spans="1:25" x14ac:dyDescent="0.2">
      <c r="A351" s="28">
        <f>计算区域!E353</f>
        <v>45135</v>
      </c>
      <c r="B351" t="e">
        <f ca="1">IFERROR(计算区域!AJ353,NA())</f>
        <v>#N/A</v>
      </c>
      <c r="C351" t="e">
        <f ca="1">IFERROR(计算区域!AK353,NA())</f>
        <v>#N/A</v>
      </c>
      <c r="D351" t="e">
        <f ca="1">IFERROR(计算区域!AL353,NA())</f>
        <v>#N/A</v>
      </c>
      <c r="E351" t="e">
        <f ca="1">IFERROR(计算区域!AM353,NA())</f>
        <v>#N/A</v>
      </c>
      <c r="G351" t="e">
        <f ca="1">IFERROR(计算区域!AD353,NA())</f>
        <v>#N/A</v>
      </c>
      <c r="H351" t="e">
        <f ca="1">IFERROR(计算区域!AE353,NA())</f>
        <v>#N/A</v>
      </c>
      <c r="I351" t="e">
        <f ca="1">IFERROR(计算区域!AF353,NA())</f>
        <v>#N/A</v>
      </c>
      <c r="J351" t="e">
        <f ca="1">IFERROR(计算区域!AG353,NA())</f>
        <v>#N/A</v>
      </c>
      <c r="L351" t="e">
        <f ca="1">IFERROR(计算区域!L353,NA())</f>
        <v>#N/A</v>
      </c>
      <c r="M351" t="e">
        <f ca="1">IFERROR(计算区域!M353,NA())</f>
        <v>#N/A</v>
      </c>
      <c r="N351" t="e">
        <f ca="1">IFERROR(计算区域!N353,NA())</f>
        <v>#N/A</v>
      </c>
      <c r="O351" t="e">
        <f ca="1">IFERROR(计算区域!O353,NA())</f>
        <v>#N/A</v>
      </c>
      <c r="Q351" t="e">
        <f ca="1">IFERROR(计算区域!R353,NA())</f>
        <v>#N/A</v>
      </c>
      <c r="R351" t="e">
        <f ca="1">IFERROR(计算区域!S353,NA())</f>
        <v>#N/A</v>
      </c>
      <c r="S351" t="e">
        <f ca="1">IFERROR(计算区域!T353,NA())</f>
        <v>#N/A</v>
      </c>
      <c r="T351" t="e">
        <f ca="1">IFERROR(计算区域!U353,NA())</f>
        <v>#N/A</v>
      </c>
      <c r="V351" t="e">
        <f ca="1">IFERROR(计算区域!X353,NA())</f>
        <v>#N/A</v>
      </c>
      <c r="W351" t="e">
        <f ca="1">IFERROR(计算区域!Y353,NA())</f>
        <v>#N/A</v>
      </c>
      <c r="X351" t="e">
        <f ca="1">IFERROR(计算区域!Z353,NA())</f>
        <v>#N/A</v>
      </c>
      <c r="Y351" t="e">
        <f ca="1">IFERROR(计算区域!AA353,NA())</f>
        <v>#N/A</v>
      </c>
    </row>
    <row r="352" spans="1:25" x14ac:dyDescent="0.2">
      <c r="A352" s="28">
        <f>计算区域!E354</f>
        <v>45134</v>
      </c>
      <c r="B352" t="e">
        <f ca="1">IFERROR(计算区域!AJ354,NA())</f>
        <v>#N/A</v>
      </c>
      <c r="C352" t="e">
        <f ca="1">IFERROR(计算区域!AK354,NA())</f>
        <v>#N/A</v>
      </c>
      <c r="D352" t="e">
        <f ca="1">IFERROR(计算区域!AL354,NA())</f>
        <v>#N/A</v>
      </c>
      <c r="E352" t="e">
        <f ca="1">IFERROR(计算区域!AM354,NA())</f>
        <v>#N/A</v>
      </c>
      <c r="G352" t="e">
        <f ca="1">IFERROR(计算区域!AD354,NA())</f>
        <v>#N/A</v>
      </c>
      <c r="H352" t="e">
        <f ca="1">IFERROR(计算区域!AE354,NA())</f>
        <v>#N/A</v>
      </c>
      <c r="I352" t="e">
        <f ca="1">IFERROR(计算区域!AF354,NA())</f>
        <v>#N/A</v>
      </c>
      <c r="J352" t="e">
        <f ca="1">IFERROR(计算区域!AG354,NA())</f>
        <v>#N/A</v>
      </c>
      <c r="L352" t="e">
        <f ca="1">IFERROR(计算区域!L354,NA())</f>
        <v>#N/A</v>
      </c>
      <c r="M352" t="e">
        <f ca="1">IFERROR(计算区域!M354,NA())</f>
        <v>#N/A</v>
      </c>
      <c r="N352" t="e">
        <f ca="1">IFERROR(计算区域!N354,NA())</f>
        <v>#N/A</v>
      </c>
      <c r="O352" t="e">
        <f ca="1">IFERROR(计算区域!O354,NA())</f>
        <v>#N/A</v>
      </c>
      <c r="Q352" t="e">
        <f ca="1">IFERROR(计算区域!R354,NA())</f>
        <v>#N/A</v>
      </c>
      <c r="R352" t="e">
        <f ca="1">IFERROR(计算区域!S354,NA())</f>
        <v>#N/A</v>
      </c>
      <c r="S352" t="e">
        <f ca="1">IFERROR(计算区域!T354,NA())</f>
        <v>#N/A</v>
      </c>
      <c r="T352" t="e">
        <f ca="1">IFERROR(计算区域!U354,NA())</f>
        <v>#N/A</v>
      </c>
      <c r="V352" t="e">
        <f ca="1">IFERROR(计算区域!X354,NA())</f>
        <v>#N/A</v>
      </c>
      <c r="W352" t="e">
        <f ca="1">IFERROR(计算区域!Y354,NA())</f>
        <v>#N/A</v>
      </c>
      <c r="X352" t="e">
        <f ca="1">IFERROR(计算区域!Z354,NA())</f>
        <v>#N/A</v>
      </c>
      <c r="Y352" t="e">
        <f ca="1">IFERROR(计算区域!AA354,NA())</f>
        <v>#N/A</v>
      </c>
    </row>
    <row r="353" spans="1:25" x14ac:dyDescent="0.2">
      <c r="A353" s="28">
        <f>计算区域!E355</f>
        <v>45133</v>
      </c>
      <c r="B353" t="e">
        <f ca="1">IFERROR(计算区域!AJ355,NA())</f>
        <v>#N/A</v>
      </c>
      <c r="C353" t="e">
        <f ca="1">IFERROR(计算区域!AK355,NA())</f>
        <v>#N/A</v>
      </c>
      <c r="D353" t="e">
        <f ca="1">IFERROR(计算区域!AL355,NA())</f>
        <v>#N/A</v>
      </c>
      <c r="E353" t="e">
        <f ca="1">IFERROR(计算区域!AM355,NA())</f>
        <v>#N/A</v>
      </c>
      <c r="G353" t="e">
        <f ca="1">IFERROR(计算区域!AD355,NA())</f>
        <v>#N/A</v>
      </c>
      <c r="H353" t="e">
        <f ca="1">IFERROR(计算区域!AE355,NA())</f>
        <v>#N/A</v>
      </c>
      <c r="I353" t="e">
        <f ca="1">IFERROR(计算区域!AF355,NA())</f>
        <v>#N/A</v>
      </c>
      <c r="J353" t="e">
        <f ca="1">IFERROR(计算区域!AG355,NA())</f>
        <v>#N/A</v>
      </c>
      <c r="L353" t="e">
        <f ca="1">IFERROR(计算区域!L355,NA())</f>
        <v>#N/A</v>
      </c>
      <c r="M353" t="e">
        <f ca="1">IFERROR(计算区域!M355,NA())</f>
        <v>#N/A</v>
      </c>
      <c r="N353" t="e">
        <f ca="1">IFERROR(计算区域!N355,NA())</f>
        <v>#N/A</v>
      </c>
      <c r="O353" t="e">
        <f ca="1">IFERROR(计算区域!O355,NA())</f>
        <v>#N/A</v>
      </c>
      <c r="Q353" t="e">
        <f ca="1">IFERROR(计算区域!R355,NA())</f>
        <v>#N/A</v>
      </c>
      <c r="R353" t="e">
        <f ca="1">IFERROR(计算区域!S355,NA())</f>
        <v>#N/A</v>
      </c>
      <c r="S353" t="e">
        <f ca="1">IFERROR(计算区域!T355,NA())</f>
        <v>#N/A</v>
      </c>
      <c r="T353" t="e">
        <f ca="1">IFERROR(计算区域!U355,NA())</f>
        <v>#N/A</v>
      </c>
      <c r="V353" t="e">
        <f ca="1">IFERROR(计算区域!X355,NA())</f>
        <v>#N/A</v>
      </c>
      <c r="W353" t="e">
        <f ca="1">IFERROR(计算区域!Y355,NA())</f>
        <v>#N/A</v>
      </c>
      <c r="X353" t="e">
        <f ca="1">IFERROR(计算区域!Z355,NA())</f>
        <v>#N/A</v>
      </c>
      <c r="Y353" t="e">
        <f ca="1">IFERROR(计算区域!AA355,NA())</f>
        <v>#N/A</v>
      </c>
    </row>
    <row r="354" spans="1:25" x14ac:dyDescent="0.2">
      <c r="A354" s="28">
        <f>计算区域!E356</f>
        <v>45132</v>
      </c>
      <c r="B354" t="e">
        <f ca="1">IFERROR(计算区域!AJ356,NA())</f>
        <v>#N/A</v>
      </c>
      <c r="C354" t="e">
        <f ca="1">IFERROR(计算区域!AK356,NA())</f>
        <v>#N/A</v>
      </c>
      <c r="D354" t="e">
        <f ca="1">IFERROR(计算区域!AL356,NA())</f>
        <v>#N/A</v>
      </c>
      <c r="E354" t="e">
        <f ca="1">IFERROR(计算区域!AM356,NA())</f>
        <v>#N/A</v>
      </c>
      <c r="G354" t="e">
        <f ca="1">IFERROR(计算区域!AD356,NA())</f>
        <v>#N/A</v>
      </c>
      <c r="H354" t="e">
        <f ca="1">IFERROR(计算区域!AE356,NA())</f>
        <v>#N/A</v>
      </c>
      <c r="I354" t="e">
        <f ca="1">IFERROR(计算区域!AF356,NA())</f>
        <v>#N/A</v>
      </c>
      <c r="J354" t="e">
        <f ca="1">IFERROR(计算区域!AG356,NA())</f>
        <v>#N/A</v>
      </c>
      <c r="L354" t="e">
        <f ca="1">IFERROR(计算区域!L356,NA())</f>
        <v>#N/A</v>
      </c>
      <c r="M354" t="e">
        <f ca="1">IFERROR(计算区域!M356,NA())</f>
        <v>#N/A</v>
      </c>
      <c r="N354" t="e">
        <f ca="1">IFERROR(计算区域!N356,NA())</f>
        <v>#N/A</v>
      </c>
      <c r="O354" t="e">
        <f ca="1">IFERROR(计算区域!O356,NA())</f>
        <v>#N/A</v>
      </c>
      <c r="Q354" t="e">
        <f ca="1">IFERROR(计算区域!R356,NA())</f>
        <v>#N/A</v>
      </c>
      <c r="R354" t="e">
        <f ca="1">IFERROR(计算区域!S356,NA())</f>
        <v>#N/A</v>
      </c>
      <c r="S354" t="e">
        <f ca="1">IFERROR(计算区域!T356,NA())</f>
        <v>#N/A</v>
      </c>
      <c r="T354" t="e">
        <f ca="1">IFERROR(计算区域!U356,NA())</f>
        <v>#N/A</v>
      </c>
      <c r="V354" t="e">
        <f ca="1">IFERROR(计算区域!X356,NA())</f>
        <v>#N/A</v>
      </c>
      <c r="W354" t="e">
        <f ca="1">IFERROR(计算区域!Y356,NA())</f>
        <v>#N/A</v>
      </c>
      <c r="X354" t="e">
        <f ca="1">IFERROR(计算区域!Z356,NA())</f>
        <v>#N/A</v>
      </c>
      <c r="Y354" t="e">
        <f ca="1">IFERROR(计算区域!AA356,NA())</f>
        <v>#N/A</v>
      </c>
    </row>
    <row r="355" spans="1:25" x14ac:dyDescent="0.2">
      <c r="A355" s="28">
        <f>计算区域!E357</f>
        <v>45131</v>
      </c>
      <c r="B355" t="e">
        <f ca="1">IFERROR(计算区域!AJ357,NA())</f>
        <v>#N/A</v>
      </c>
      <c r="C355" t="e">
        <f ca="1">IFERROR(计算区域!AK357,NA())</f>
        <v>#N/A</v>
      </c>
      <c r="D355" t="e">
        <f ca="1">IFERROR(计算区域!AL357,NA())</f>
        <v>#N/A</v>
      </c>
      <c r="E355" t="e">
        <f ca="1">IFERROR(计算区域!AM357,NA())</f>
        <v>#N/A</v>
      </c>
      <c r="G355" t="e">
        <f ca="1">IFERROR(计算区域!AD357,NA())</f>
        <v>#N/A</v>
      </c>
      <c r="H355" t="e">
        <f ca="1">IFERROR(计算区域!AE357,NA())</f>
        <v>#N/A</v>
      </c>
      <c r="I355" t="e">
        <f ca="1">IFERROR(计算区域!AF357,NA())</f>
        <v>#N/A</v>
      </c>
      <c r="J355" t="e">
        <f ca="1">IFERROR(计算区域!AG357,NA())</f>
        <v>#N/A</v>
      </c>
      <c r="L355" t="e">
        <f ca="1">IFERROR(计算区域!L357,NA())</f>
        <v>#N/A</v>
      </c>
      <c r="M355" t="e">
        <f ca="1">IFERROR(计算区域!M357,NA())</f>
        <v>#N/A</v>
      </c>
      <c r="N355" t="e">
        <f ca="1">IFERROR(计算区域!N357,NA())</f>
        <v>#N/A</v>
      </c>
      <c r="O355" t="e">
        <f ca="1">IFERROR(计算区域!O357,NA())</f>
        <v>#N/A</v>
      </c>
      <c r="Q355" t="e">
        <f ca="1">IFERROR(计算区域!R357,NA())</f>
        <v>#N/A</v>
      </c>
      <c r="R355" t="e">
        <f ca="1">IFERROR(计算区域!S357,NA())</f>
        <v>#N/A</v>
      </c>
      <c r="S355" t="e">
        <f ca="1">IFERROR(计算区域!T357,NA())</f>
        <v>#N/A</v>
      </c>
      <c r="T355" t="e">
        <f ca="1">IFERROR(计算区域!U357,NA())</f>
        <v>#N/A</v>
      </c>
      <c r="V355" t="e">
        <f ca="1">IFERROR(计算区域!X357,NA())</f>
        <v>#N/A</v>
      </c>
      <c r="W355" t="e">
        <f ca="1">IFERROR(计算区域!Y357,NA())</f>
        <v>#N/A</v>
      </c>
      <c r="X355" t="e">
        <f ca="1">IFERROR(计算区域!Z357,NA())</f>
        <v>#N/A</v>
      </c>
      <c r="Y355" t="e">
        <f ca="1">IFERROR(计算区域!AA357,NA())</f>
        <v>#N/A</v>
      </c>
    </row>
    <row r="356" spans="1:25" x14ac:dyDescent="0.2">
      <c r="A356" s="28">
        <f>计算区域!E358</f>
        <v>45128</v>
      </c>
      <c r="B356" t="e">
        <f ca="1">IFERROR(计算区域!AJ358,NA())</f>
        <v>#N/A</v>
      </c>
      <c r="C356" t="e">
        <f ca="1">IFERROR(计算区域!AK358,NA())</f>
        <v>#N/A</v>
      </c>
      <c r="D356" t="e">
        <f ca="1">IFERROR(计算区域!AL358,NA())</f>
        <v>#N/A</v>
      </c>
      <c r="E356" t="e">
        <f ca="1">IFERROR(计算区域!AM358,NA())</f>
        <v>#N/A</v>
      </c>
      <c r="G356" t="e">
        <f ca="1">IFERROR(计算区域!AD358,NA())</f>
        <v>#N/A</v>
      </c>
      <c r="H356" t="e">
        <f ca="1">IFERROR(计算区域!AE358,NA())</f>
        <v>#N/A</v>
      </c>
      <c r="I356" t="e">
        <f ca="1">IFERROR(计算区域!AF358,NA())</f>
        <v>#N/A</v>
      </c>
      <c r="J356" t="e">
        <f ca="1">IFERROR(计算区域!AG358,NA())</f>
        <v>#N/A</v>
      </c>
      <c r="L356" t="e">
        <f ca="1">IFERROR(计算区域!L358,NA())</f>
        <v>#N/A</v>
      </c>
      <c r="M356" t="e">
        <f ca="1">IFERROR(计算区域!M358,NA())</f>
        <v>#N/A</v>
      </c>
      <c r="N356" t="e">
        <f ca="1">IFERROR(计算区域!N358,NA())</f>
        <v>#N/A</v>
      </c>
      <c r="O356" t="e">
        <f ca="1">IFERROR(计算区域!O358,NA())</f>
        <v>#N/A</v>
      </c>
      <c r="Q356" t="e">
        <f ca="1">IFERROR(计算区域!R358,NA())</f>
        <v>#N/A</v>
      </c>
      <c r="R356" t="e">
        <f ca="1">IFERROR(计算区域!S358,NA())</f>
        <v>#N/A</v>
      </c>
      <c r="S356" t="e">
        <f ca="1">IFERROR(计算区域!T358,NA())</f>
        <v>#N/A</v>
      </c>
      <c r="T356" t="e">
        <f ca="1">IFERROR(计算区域!U358,NA())</f>
        <v>#N/A</v>
      </c>
      <c r="V356" t="e">
        <f ca="1">IFERROR(计算区域!X358,NA())</f>
        <v>#N/A</v>
      </c>
      <c r="W356" t="e">
        <f ca="1">IFERROR(计算区域!Y358,NA())</f>
        <v>#N/A</v>
      </c>
      <c r="X356" t="e">
        <f ca="1">IFERROR(计算区域!Z358,NA())</f>
        <v>#N/A</v>
      </c>
      <c r="Y356" t="e">
        <f ca="1">IFERROR(计算区域!AA358,NA())</f>
        <v>#N/A</v>
      </c>
    </row>
    <row r="357" spans="1:25" x14ac:dyDescent="0.2">
      <c r="A357" s="28">
        <f>计算区域!E359</f>
        <v>45127</v>
      </c>
      <c r="B357" t="e">
        <f ca="1">IFERROR(计算区域!AJ359,NA())</f>
        <v>#N/A</v>
      </c>
      <c r="C357" t="e">
        <f ca="1">IFERROR(计算区域!AK359,NA())</f>
        <v>#N/A</v>
      </c>
      <c r="D357" t="e">
        <f ca="1">IFERROR(计算区域!AL359,NA())</f>
        <v>#N/A</v>
      </c>
      <c r="E357" t="e">
        <f ca="1">IFERROR(计算区域!AM359,NA())</f>
        <v>#N/A</v>
      </c>
      <c r="G357" t="e">
        <f ca="1">IFERROR(计算区域!AD359,NA())</f>
        <v>#N/A</v>
      </c>
      <c r="H357" t="e">
        <f ca="1">IFERROR(计算区域!AE359,NA())</f>
        <v>#N/A</v>
      </c>
      <c r="I357" t="e">
        <f ca="1">IFERROR(计算区域!AF359,NA())</f>
        <v>#N/A</v>
      </c>
      <c r="J357" t="e">
        <f ca="1">IFERROR(计算区域!AG359,NA())</f>
        <v>#N/A</v>
      </c>
      <c r="L357" t="e">
        <f ca="1">IFERROR(计算区域!L359,NA())</f>
        <v>#N/A</v>
      </c>
      <c r="M357" t="e">
        <f ca="1">IFERROR(计算区域!M359,NA())</f>
        <v>#N/A</v>
      </c>
      <c r="N357" t="e">
        <f ca="1">IFERROR(计算区域!N359,NA())</f>
        <v>#N/A</v>
      </c>
      <c r="O357" t="e">
        <f ca="1">IFERROR(计算区域!O359,NA())</f>
        <v>#N/A</v>
      </c>
      <c r="Q357" t="e">
        <f ca="1">IFERROR(计算区域!R359,NA())</f>
        <v>#N/A</v>
      </c>
      <c r="R357" t="e">
        <f ca="1">IFERROR(计算区域!S359,NA())</f>
        <v>#N/A</v>
      </c>
      <c r="S357" t="e">
        <f ca="1">IFERROR(计算区域!T359,NA())</f>
        <v>#N/A</v>
      </c>
      <c r="T357" t="e">
        <f ca="1">IFERROR(计算区域!U359,NA())</f>
        <v>#N/A</v>
      </c>
      <c r="V357" t="e">
        <f ca="1">IFERROR(计算区域!X359,NA())</f>
        <v>#N/A</v>
      </c>
      <c r="W357" t="e">
        <f ca="1">IFERROR(计算区域!Y359,NA())</f>
        <v>#N/A</v>
      </c>
      <c r="X357" t="e">
        <f ca="1">IFERROR(计算区域!Z359,NA())</f>
        <v>#N/A</v>
      </c>
      <c r="Y357" t="e">
        <f ca="1">IFERROR(计算区域!AA359,NA())</f>
        <v>#N/A</v>
      </c>
    </row>
    <row r="358" spans="1:25" x14ac:dyDescent="0.2">
      <c r="A358" s="28">
        <f>计算区域!E360</f>
        <v>45126</v>
      </c>
      <c r="B358" t="e">
        <f ca="1">IFERROR(计算区域!AJ360,NA())</f>
        <v>#N/A</v>
      </c>
      <c r="C358" t="e">
        <f ca="1">IFERROR(计算区域!AK360,NA())</f>
        <v>#N/A</v>
      </c>
      <c r="D358" t="e">
        <f ca="1">IFERROR(计算区域!AL360,NA())</f>
        <v>#N/A</v>
      </c>
      <c r="E358" t="e">
        <f ca="1">IFERROR(计算区域!AM360,NA())</f>
        <v>#N/A</v>
      </c>
      <c r="G358" t="e">
        <f ca="1">IFERROR(计算区域!AD360,NA())</f>
        <v>#N/A</v>
      </c>
      <c r="H358" t="e">
        <f ca="1">IFERROR(计算区域!AE360,NA())</f>
        <v>#N/A</v>
      </c>
      <c r="I358" t="e">
        <f ca="1">IFERROR(计算区域!AF360,NA())</f>
        <v>#N/A</v>
      </c>
      <c r="J358" t="e">
        <f ca="1">IFERROR(计算区域!AG360,NA())</f>
        <v>#N/A</v>
      </c>
      <c r="L358" t="e">
        <f ca="1">IFERROR(计算区域!L360,NA())</f>
        <v>#N/A</v>
      </c>
      <c r="M358" t="e">
        <f ca="1">IFERROR(计算区域!M360,NA())</f>
        <v>#N/A</v>
      </c>
      <c r="N358" t="e">
        <f ca="1">IFERROR(计算区域!N360,NA())</f>
        <v>#N/A</v>
      </c>
      <c r="O358" t="e">
        <f ca="1">IFERROR(计算区域!O360,NA())</f>
        <v>#N/A</v>
      </c>
      <c r="Q358" t="e">
        <f ca="1">IFERROR(计算区域!R360,NA())</f>
        <v>#N/A</v>
      </c>
      <c r="R358" t="e">
        <f ca="1">IFERROR(计算区域!S360,NA())</f>
        <v>#N/A</v>
      </c>
      <c r="S358" t="e">
        <f ca="1">IFERROR(计算区域!T360,NA())</f>
        <v>#N/A</v>
      </c>
      <c r="T358" t="e">
        <f ca="1">IFERROR(计算区域!U360,NA())</f>
        <v>#N/A</v>
      </c>
      <c r="V358" t="e">
        <f ca="1">IFERROR(计算区域!X360,NA())</f>
        <v>#N/A</v>
      </c>
      <c r="W358" t="e">
        <f ca="1">IFERROR(计算区域!Y360,NA())</f>
        <v>#N/A</v>
      </c>
      <c r="X358" t="e">
        <f ca="1">IFERROR(计算区域!Z360,NA())</f>
        <v>#N/A</v>
      </c>
      <c r="Y358" t="e">
        <f ca="1">IFERROR(计算区域!AA360,NA())</f>
        <v>#N/A</v>
      </c>
    </row>
    <row r="359" spans="1:25" x14ac:dyDescent="0.2">
      <c r="A359" s="28">
        <f>计算区域!E361</f>
        <v>45125</v>
      </c>
      <c r="B359" t="e">
        <f ca="1">IFERROR(计算区域!AJ361,NA())</f>
        <v>#N/A</v>
      </c>
      <c r="C359" t="e">
        <f ca="1">IFERROR(计算区域!AK361,NA())</f>
        <v>#N/A</v>
      </c>
      <c r="D359" t="e">
        <f ca="1">IFERROR(计算区域!AL361,NA())</f>
        <v>#N/A</v>
      </c>
      <c r="E359" t="e">
        <f ca="1">IFERROR(计算区域!AM361,NA())</f>
        <v>#N/A</v>
      </c>
      <c r="G359" t="e">
        <f ca="1">IFERROR(计算区域!AD361,NA())</f>
        <v>#N/A</v>
      </c>
      <c r="H359" t="e">
        <f ca="1">IFERROR(计算区域!AE361,NA())</f>
        <v>#N/A</v>
      </c>
      <c r="I359" t="e">
        <f ca="1">IFERROR(计算区域!AF361,NA())</f>
        <v>#N/A</v>
      </c>
      <c r="J359" t="e">
        <f ca="1">IFERROR(计算区域!AG361,NA())</f>
        <v>#N/A</v>
      </c>
      <c r="L359" t="e">
        <f ca="1">IFERROR(计算区域!L361,NA())</f>
        <v>#N/A</v>
      </c>
      <c r="M359" t="e">
        <f ca="1">IFERROR(计算区域!M361,NA())</f>
        <v>#N/A</v>
      </c>
      <c r="N359" t="e">
        <f ca="1">IFERROR(计算区域!N361,NA())</f>
        <v>#N/A</v>
      </c>
      <c r="O359" t="e">
        <f ca="1">IFERROR(计算区域!O361,NA())</f>
        <v>#N/A</v>
      </c>
      <c r="Q359" t="e">
        <f ca="1">IFERROR(计算区域!R361,NA())</f>
        <v>#N/A</v>
      </c>
      <c r="R359" t="e">
        <f ca="1">IFERROR(计算区域!S361,NA())</f>
        <v>#N/A</v>
      </c>
      <c r="S359" t="e">
        <f ca="1">IFERROR(计算区域!T361,NA())</f>
        <v>#N/A</v>
      </c>
      <c r="T359" t="e">
        <f ca="1">IFERROR(计算区域!U361,NA())</f>
        <v>#N/A</v>
      </c>
      <c r="V359" t="e">
        <f ca="1">IFERROR(计算区域!X361,NA())</f>
        <v>#N/A</v>
      </c>
      <c r="W359" t="e">
        <f ca="1">IFERROR(计算区域!Y361,NA())</f>
        <v>#N/A</v>
      </c>
      <c r="X359" t="e">
        <f ca="1">IFERROR(计算区域!Z361,NA())</f>
        <v>#N/A</v>
      </c>
      <c r="Y359" t="e">
        <f ca="1">IFERROR(计算区域!AA361,NA())</f>
        <v>#N/A</v>
      </c>
    </row>
    <row r="360" spans="1:25" x14ac:dyDescent="0.2">
      <c r="A360" s="28">
        <f>计算区域!E362</f>
        <v>45124</v>
      </c>
      <c r="B360" t="e">
        <f ca="1">IFERROR(计算区域!AJ362,NA())</f>
        <v>#N/A</v>
      </c>
      <c r="C360" t="e">
        <f ca="1">IFERROR(计算区域!AK362,NA())</f>
        <v>#N/A</v>
      </c>
      <c r="D360" t="e">
        <f ca="1">IFERROR(计算区域!AL362,NA())</f>
        <v>#N/A</v>
      </c>
      <c r="E360" t="e">
        <f ca="1">IFERROR(计算区域!AM362,NA())</f>
        <v>#N/A</v>
      </c>
      <c r="G360" t="e">
        <f ca="1">IFERROR(计算区域!AD362,NA())</f>
        <v>#N/A</v>
      </c>
      <c r="H360" t="e">
        <f ca="1">IFERROR(计算区域!AE362,NA())</f>
        <v>#N/A</v>
      </c>
      <c r="I360" t="e">
        <f ca="1">IFERROR(计算区域!AF362,NA())</f>
        <v>#N/A</v>
      </c>
      <c r="J360" t="e">
        <f ca="1">IFERROR(计算区域!AG362,NA())</f>
        <v>#N/A</v>
      </c>
      <c r="L360" t="e">
        <f ca="1">IFERROR(计算区域!L362,NA())</f>
        <v>#N/A</v>
      </c>
      <c r="M360" t="e">
        <f ca="1">IFERROR(计算区域!M362,NA())</f>
        <v>#N/A</v>
      </c>
      <c r="N360" t="e">
        <f ca="1">IFERROR(计算区域!N362,NA())</f>
        <v>#N/A</v>
      </c>
      <c r="O360" t="e">
        <f ca="1">IFERROR(计算区域!O362,NA())</f>
        <v>#N/A</v>
      </c>
      <c r="Q360" t="e">
        <f ca="1">IFERROR(计算区域!R362,NA())</f>
        <v>#N/A</v>
      </c>
      <c r="R360" t="e">
        <f ca="1">IFERROR(计算区域!S362,NA())</f>
        <v>#N/A</v>
      </c>
      <c r="S360" t="e">
        <f ca="1">IFERROR(计算区域!T362,NA())</f>
        <v>#N/A</v>
      </c>
      <c r="T360" t="e">
        <f ca="1">IFERROR(计算区域!U362,NA())</f>
        <v>#N/A</v>
      </c>
      <c r="V360" t="e">
        <f ca="1">IFERROR(计算区域!X362,NA())</f>
        <v>#N/A</v>
      </c>
      <c r="W360" t="e">
        <f ca="1">IFERROR(计算区域!Y362,NA())</f>
        <v>#N/A</v>
      </c>
      <c r="X360" t="e">
        <f ca="1">IFERROR(计算区域!Z362,NA())</f>
        <v>#N/A</v>
      </c>
      <c r="Y360" t="e">
        <f ca="1">IFERROR(计算区域!AA362,NA())</f>
        <v>#N/A</v>
      </c>
    </row>
    <row r="361" spans="1:25" x14ac:dyDescent="0.2">
      <c r="A361" s="28">
        <f>计算区域!E363</f>
        <v>45121</v>
      </c>
      <c r="B361" t="e">
        <f ca="1">IFERROR(计算区域!AJ363,NA())</f>
        <v>#N/A</v>
      </c>
      <c r="C361" t="e">
        <f ca="1">IFERROR(计算区域!AK363,NA())</f>
        <v>#N/A</v>
      </c>
      <c r="D361" t="e">
        <f ca="1">IFERROR(计算区域!AL363,NA())</f>
        <v>#N/A</v>
      </c>
      <c r="E361" t="e">
        <f ca="1">IFERROR(计算区域!AM363,NA())</f>
        <v>#N/A</v>
      </c>
      <c r="G361" t="e">
        <f ca="1">IFERROR(计算区域!AD363,NA())</f>
        <v>#N/A</v>
      </c>
      <c r="H361" t="e">
        <f ca="1">IFERROR(计算区域!AE363,NA())</f>
        <v>#N/A</v>
      </c>
      <c r="I361" t="e">
        <f ca="1">IFERROR(计算区域!AF363,NA())</f>
        <v>#N/A</v>
      </c>
      <c r="J361" t="e">
        <f ca="1">IFERROR(计算区域!AG363,NA())</f>
        <v>#N/A</v>
      </c>
      <c r="L361" t="e">
        <f ca="1">IFERROR(计算区域!L363,NA())</f>
        <v>#N/A</v>
      </c>
      <c r="M361" t="e">
        <f ca="1">IFERROR(计算区域!M363,NA())</f>
        <v>#N/A</v>
      </c>
      <c r="N361" t="e">
        <f ca="1">IFERROR(计算区域!N363,NA())</f>
        <v>#N/A</v>
      </c>
      <c r="O361" t="e">
        <f ca="1">IFERROR(计算区域!O363,NA())</f>
        <v>#N/A</v>
      </c>
      <c r="Q361" t="e">
        <f ca="1">IFERROR(计算区域!R363,NA())</f>
        <v>#N/A</v>
      </c>
      <c r="R361" t="e">
        <f ca="1">IFERROR(计算区域!S363,NA())</f>
        <v>#N/A</v>
      </c>
      <c r="S361" t="e">
        <f ca="1">IFERROR(计算区域!T363,NA())</f>
        <v>#N/A</v>
      </c>
      <c r="T361" t="e">
        <f ca="1">IFERROR(计算区域!U363,NA())</f>
        <v>#N/A</v>
      </c>
      <c r="V361" t="e">
        <f ca="1">IFERROR(计算区域!X363,NA())</f>
        <v>#N/A</v>
      </c>
      <c r="W361" t="e">
        <f ca="1">IFERROR(计算区域!Y363,NA())</f>
        <v>#N/A</v>
      </c>
      <c r="X361" t="e">
        <f ca="1">IFERROR(计算区域!Z363,NA())</f>
        <v>#N/A</v>
      </c>
      <c r="Y361" t="e">
        <f ca="1">IFERROR(计算区域!AA363,NA())</f>
        <v>#N/A</v>
      </c>
    </row>
    <row r="362" spans="1:25" x14ac:dyDescent="0.2">
      <c r="A362" s="28">
        <f>计算区域!E364</f>
        <v>45120</v>
      </c>
      <c r="B362" t="e">
        <f ca="1">IFERROR(计算区域!AJ364,NA())</f>
        <v>#N/A</v>
      </c>
      <c r="C362" t="e">
        <f ca="1">IFERROR(计算区域!AK364,NA())</f>
        <v>#N/A</v>
      </c>
      <c r="D362" t="e">
        <f ca="1">IFERROR(计算区域!AL364,NA())</f>
        <v>#N/A</v>
      </c>
      <c r="E362" t="e">
        <f ca="1">IFERROR(计算区域!AM364,NA())</f>
        <v>#N/A</v>
      </c>
      <c r="G362" t="e">
        <f ca="1">IFERROR(计算区域!AD364,NA())</f>
        <v>#N/A</v>
      </c>
      <c r="H362" t="e">
        <f ca="1">IFERROR(计算区域!AE364,NA())</f>
        <v>#N/A</v>
      </c>
      <c r="I362" t="e">
        <f ca="1">IFERROR(计算区域!AF364,NA())</f>
        <v>#N/A</v>
      </c>
      <c r="J362" t="e">
        <f ca="1">IFERROR(计算区域!AG364,NA())</f>
        <v>#N/A</v>
      </c>
      <c r="L362" t="e">
        <f ca="1">IFERROR(计算区域!L364,NA())</f>
        <v>#N/A</v>
      </c>
      <c r="M362" t="e">
        <f ca="1">IFERROR(计算区域!M364,NA())</f>
        <v>#N/A</v>
      </c>
      <c r="N362" t="e">
        <f ca="1">IFERROR(计算区域!N364,NA())</f>
        <v>#N/A</v>
      </c>
      <c r="O362" t="e">
        <f ca="1">IFERROR(计算区域!O364,NA())</f>
        <v>#N/A</v>
      </c>
      <c r="Q362" t="e">
        <f ca="1">IFERROR(计算区域!R364,NA())</f>
        <v>#N/A</v>
      </c>
      <c r="R362" t="e">
        <f ca="1">IFERROR(计算区域!S364,NA())</f>
        <v>#N/A</v>
      </c>
      <c r="S362" t="e">
        <f ca="1">IFERROR(计算区域!T364,NA())</f>
        <v>#N/A</v>
      </c>
      <c r="T362" t="e">
        <f ca="1">IFERROR(计算区域!U364,NA())</f>
        <v>#N/A</v>
      </c>
      <c r="V362" t="e">
        <f ca="1">IFERROR(计算区域!X364,NA())</f>
        <v>#N/A</v>
      </c>
      <c r="W362" t="e">
        <f ca="1">IFERROR(计算区域!Y364,NA())</f>
        <v>#N/A</v>
      </c>
      <c r="X362" t="e">
        <f ca="1">IFERROR(计算区域!Z364,NA())</f>
        <v>#N/A</v>
      </c>
      <c r="Y362" t="e">
        <f ca="1">IFERROR(计算区域!AA364,NA())</f>
        <v>#N/A</v>
      </c>
    </row>
    <row r="363" spans="1:25" x14ac:dyDescent="0.2">
      <c r="A363" s="28">
        <f>计算区域!E365</f>
        <v>45119</v>
      </c>
      <c r="B363" t="e">
        <f ca="1">IFERROR(计算区域!AJ365,NA())</f>
        <v>#N/A</v>
      </c>
      <c r="C363" t="e">
        <f ca="1">IFERROR(计算区域!AK365,NA())</f>
        <v>#N/A</v>
      </c>
      <c r="D363" t="e">
        <f ca="1">IFERROR(计算区域!AL365,NA())</f>
        <v>#N/A</v>
      </c>
      <c r="E363" t="e">
        <f ca="1">IFERROR(计算区域!AM365,NA())</f>
        <v>#N/A</v>
      </c>
      <c r="G363" t="e">
        <f ca="1">IFERROR(计算区域!AD365,NA())</f>
        <v>#N/A</v>
      </c>
      <c r="H363" t="e">
        <f ca="1">IFERROR(计算区域!AE365,NA())</f>
        <v>#N/A</v>
      </c>
      <c r="I363" t="e">
        <f ca="1">IFERROR(计算区域!AF365,NA())</f>
        <v>#N/A</v>
      </c>
      <c r="J363" t="e">
        <f ca="1">IFERROR(计算区域!AG365,NA())</f>
        <v>#N/A</v>
      </c>
      <c r="L363" t="e">
        <f ca="1">IFERROR(计算区域!L365,NA())</f>
        <v>#N/A</v>
      </c>
      <c r="M363" t="e">
        <f ca="1">IFERROR(计算区域!M365,NA())</f>
        <v>#N/A</v>
      </c>
      <c r="N363" t="e">
        <f ca="1">IFERROR(计算区域!N365,NA())</f>
        <v>#N/A</v>
      </c>
      <c r="O363" t="e">
        <f ca="1">IFERROR(计算区域!O365,NA())</f>
        <v>#N/A</v>
      </c>
      <c r="Q363" t="e">
        <f ca="1">IFERROR(计算区域!R365,NA())</f>
        <v>#N/A</v>
      </c>
      <c r="R363" t="e">
        <f ca="1">IFERROR(计算区域!S365,NA())</f>
        <v>#N/A</v>
      </c>
      <c r="S363" t="e">
        <f ca="1">IFERROR(计算区域!T365,NA())</f>
        <v>#N/A</v>
      </c>
      <c r="T363" t="e">
        <f ca="1">IFERROR(计算区域!U365,NA())</f>
        <v>#N/A</v>
      </c>
      <c r="V363" t="e">
        <f ca="1">IFERROR(计算区域!X365,NA())</f>
        <v>#N/A</v>
      </c>
      <c r="W363" t="e">
        <f ca="1">IFERROR(计算区域!Y365,NA())</f>
        <v>#N/A</v>
      </c>
      <c r="X363" t="e">
        <f ca="1">IFERROR(计算区域!Z365,NA())</f>
        <v>#N/A</v>
      </c>
      <c r="Y363" t="e">
        <f ca="1">IFERROR(计算区域!AA365,NA())</f>
        <v>#N/A</v>
      </c>
    </row>
    <row r="364" spans="1:25" x14ac:dyDescent="0.2">
      <c r="A364" s="28">
        <f>计算区域!E366</f>
        <v>45118</v>
      </c>
      <c r="B364" t="e">
        <f ca="1">IFERROR(计算区域!AJ366,NA())</f>
        <v>#N/A</v>
      </c>
      <c r="C364" t="e">
        <f ca="1">IFERROR(计算区域!AK366,NA())</f>
        <v>#N/A</v>
      </c>
      <c r="D364" t="e">
        <f ca="1">IFERROR(计算区域!AL366,NA())</f>
        <v>#N/A</v>
      </c>
      <c r="E364" t="e">
        <f ca="1">IFERROR(计算区域!AM366,NA())</f>
        <v>#N/A</v>
      </c>
      <c r="G364" t="e">
        <f ca="1">IFERROR(计算区域!AD366,NA())</f>
        <v>#N/A</v>
      </c>
      <c r="H364" t="e">
        <f ca="1">IFERROR(计算区域!AE366,NA())</f>
        <v>#N/A</v>
      </c>
      <c r="I364" t="e">
        <f ca="1">IFERROR(计算区域!AF366,NA())</f>
        <v>#N/A</v>
      </c>
      <c r="J364" t="e">
        <f ca="1">IFERROR(计算区域!AG366,NA())</f>
        <v>#N/A</v>
      </c>
      <c r="L364" t="e">
        <f ca="1">IFERROR(计算区域!L366,NA())</f>
        <v>#N/A</v>
      </c>
      <c r="M364" t="e">
        <f ca="1">IFERROR(计算区域!M366,NA())</f>
        <v>#N/A</v>
      </c>
      <c r="N364" t="e">
        <f ca="1">IFERROR(计算区域!N366,NA())</f>
        <v>#N/A</v>
      </c>
      <c r="O364" t="e">
        <f ca="1">IFERROR(计算区域!O366,NA())</f>
        <v>#N/A</v>
      </c>
      <c r="Q364" t="e">
        <f ca="1">IFERROR(计算区域!R366,NA())</f>
        <v>#N/A</v>
      </c>
      <c r="R364" t="e">
        <f ca="1">IFERROR(计算区域!S366,NA())</f>
        <v>#N/A</v>
      </c>
      <c r="S364" t="e">
        <f ca="1">IFERROR(计算区域!T366,NA())</f>
        <v>#N/A</v>
      </c>
      <c r="T364" t="e">
        <f ca="1">IFERROR(计算区域!U366,NA())</f>
        <v>#N/A</v>
      </c>
      <c r="V364" t="e">
        <f ca="1">IFERROR(计算区域!X366,NA())</f>
        <v>#N/A</v>
      </c>
      <c r="W364" t="e">
        <f ca="1">IFERROR(计算区域!Y366,NA())</f>
        <v>#N/A</v>
      </c>
      <c r="X364" t="e">
        <f ca="1">IFERROR(计算区域!Z366,NA())</f>
        <v>#N/A</v>
      </c>
      <c r="Y364" t="e">
        <f ca="1">IFERROR(计算区域!AA366,NA())</f>
        <v>#N/A</v>
      </c>
    </row>
    <row r="365" spans="1:25" x14ac:dyDescent="0.2">
      <c r="A365" s="28">
        <f>计算区域!E367</f>
        <v>45117</v>
      </c>
      <c r="B365" t="e">
        <f ca="1">IFERROR(计算区域!AJ367,NA())</f>
        <v>#N/A</v>
      </c>
      <c r="C365" t="e">
        <f ca="1">IFERROR(计算区域!AK367,NA())</f>
        <v>#N/A</v>
      </c>
      <c r="D365" t="e">
        <f ca="1">IFERROR(计算区域!AL367,NA())</f>
        <v>#N/A</v>
      </c>
      <c r="E365" t="e">
        <f ca="1">IFERROR(计算区域!AM367,NA())</f>
        <v>#N/A</v>
      </c>
      <c r="G365" t="e">
        <f ca="1">IFERROR(计算区域!AD367,NA())</f>
        <v>#N/A</v>
      </c>
      <c r="H365" t="e">
        <f ca="1">IFERROR(计算区域!AE367,NA())</f>
        <v>#N/A</v>
      </c>
      <c r="I365" t="e">
        <f ca="1">IFERROR(计算区域!AF367,NA())</f>
        <v>#N/A</v>
      </c>
      <c r="J365" t="e">
        <f ca="1">IFERROR(计算区域!AG367,NA())</f>
        <v>#N/A</v>
      </c>
      <c r="L365" t="e">
        <f ca="1">IFERROR(计算区域!L367,NA())</f>
        <v>#N/A</v>
      </c>
      <c r="M365" t="e">
        <f ca="1">IFERROR(计算区域!M367,NA())</f>
        <v>#N/A</v>
      </c>
      <c r="N365" t="e">
        <f ca="1">IFERROR(计算区域!N367,NA())</f>
        <v>#N/A</v>
      </c>
      <c r="O365" t="e">
        <f ca="1">IFERROR(计算区域!O367,NA())</f>
        <v>#N/A</v>
      </c>
      <c r="Q365" t="e">
        <f ca="1">IFERROR(计算区域!R367,NA())</f>
        <v>#N/A</v>
      </c>
      <c r="R365" t="e">
        <f ca="1">IFERROR(计算区域!S367,NA())</f>
        <v>#N/A</v>
      </c>
      <c r="S365" t="e">
        <f ca="1">IFERROR(计算区域!T367,NA())</f>
        <v>#N/A</v>
      </c>
      <c r="T365" t="e">
        <f ca="1">IFERROR(计算区域!U367,NA())</f>
        <v>#N/A</v>
      </c>
      <c r="V365" t="e">
        <f ca="1">IFERROR(计算区域!X367,NA())</f>
        <v>#N/A</v>
      </c>
      <c r="W365" t="e">
        <f ca="1">IFERROR(计算区域!Y367,NA())</f>
        <v>#N/A</v>
      </c>
      <c r="X365" t="e">
        <f ca="1">IFERROR(计算区域!Z367,NA())</f>
        <v>#N/A</v>
      </c>
      <c r="Y365" t="e">
        <f ca="1">IFERROR(计算区域!AA367,NA())</f>
        <v>#N/A</v>
      </c>
    </row>
    <row r="366" spans="1:25" x14ac:dyDescent="0.2">
      <c r="A366" s="28">
        <f>计算区域!E368</f>
        <v>45114</v>
      </c>
      <c r="B366" t="e">
        <f ca="1">IFERROR(计算区域!AJ368,NA())</f>
        <v>#N/A</v>
      </c>
      <c r="C366" t="e">
        <f ca="1">IFERROR(计算区域!AK368,NA())</f>
        <v>#N/A</v>
      </c>
      <c r="D366" t="e">
        <f ca="1">IFERROR(计算区域!AL368,NA())</f>
        <v>#N/A</v>
      </c>
      <c r="E366" t="e">
        <f ca="1">IFERROR(计算区域!AM368,NA())</f>
        <v>#N/A</v>
      </c>
      <c r="G366" t="e">
        <f ca="1">IFERROR(计算区域!AD368,NA())</f>
        <v>#N/A</v>
      </c>
      <c r="H366" t="e">
        <f ca="1">IFERROR(计算区域!AE368,NA())</f>
        <v>#N/A</v>
      </c>
      <c r="I366" t="e">
        <f ca="1">IFERROR(计算区域!AF368,NA())</f>
        <v>#N/A</v>
      </c>
      <c r="J366" t="e">
        <f ca="1">IFERROR(计算区域!AG368,NA())</f>
        <v>#N/A</v>
      </c>
      <c r="L366" t="e">
        <f ca="1">IFERROR(计算区域!L368,NA())</f>
        <v>#N/A</v>
      </c>
      <c r="M366" t="e">
        <f ca="1">IFERROR(计算区域!M368,NA())</f>
        <v>#N/A</v>
      </c>
      <c r="N366" t="e">
        <f ca="1">IFERROR(计算区域!N368,NA())</f>
        <v>#N/A</v>
      </c>
      <c r="O366" t="e">
        <f ca="1">IFERROR(计算区域!O368,NA())</f>
        <v>#N/A</v>
      </c>
      <c r="Q366" t="e">
        <f ca="1">IFERROR(计算区域!R368,NA())</f>
        <v>#N/A</v>
      </c>
      <c r="R366" t="e">
        <f ca="1">IFERROR(计算区域!S368,NA())</f>
        <v>#N/A</v>
      </c>
      <c r="S366" t="e">
        <f ca="1">IFERROR(计算区域!T368,NA())</f>
        <v>#N/A</v>
      </c>
      <c r="T366" t="e">
        <f ca="1">IFERROR(计算区域!U368,NA())</f>
        <v>#N/A</v>
      </c>
      <c r="V366" t="e">
        <f ca="1">IFERROR(计算区域!X368,NA())</f>
        <v>#N/A</v>
      </c>
      <c r="W366" t="e">
        <f ca="1">IFERROR(计算区域!Y368,NA())</f>
        <v>#N/A</v>
      </c>
      <c r="X366" t="e">
        <f ca="1">IFERROR(计算区域!Z368,NA())</f>
        <v>#N/A</v>
      </c>
      <c r="Y366" t="e">
        <f ca="1">IFERROR(计算区域!AA368,NA())</f>
        <v>#N/A</v>
      </c>
    </row>
    <row r="367" spans="1:25" x14ac:dyDescent="0.2">
      <c r="A367" s="28">
        <f>计算区域!E369</f>
        <v>45113</v>
      </c>
      <c r="B367" t="e">
        <f ca="1">IFERROR(计算区域!AJ369,NA())</f>
        <v>#N/A</v>
      </c>
      <c r="C367" t="e">
        <f ca="1">IFERROR(计算区域!AK369,NA())</f>
        <v>#N/A</v>
      </c>
      <c r="D367" t="e">
        <f ca="1">IFERROR(计算区域!AL369,NA())</f>
        <v>#N/A</v>
      </c>
      <c r="E367" t="e">
        <f ca="1">IFERROR(计算区域!AM369,NA())</f>
        <v>#N/A</v>
      </c>
      <c r="G367" t="e">
        <f ca="1">IFERROR(计算区域!AD369,NA())</f>
        <v>#N/A</v>
      </c>
      <c r="H367" t="e">
        <f ca="1">IFERROR(计算区域!AE369,NA())</f>
        <v>#N/A</v>
      </c>
      <c r="I367" t="e">
        <f ca="1">IFERROR(计算区域!AF369,NA())</f>
        <v>#N/A</v>
      </c>
      <c r="J367" t="e">
        <f ca="1">IFERROR(计算区域!AG369,NA())</f>
        <v>#N/A</v>
      </c>
      <c r="L367" t="e">
        <f ca="1">IFERROR(计算区域!L369,NA())</f>
        <v>#N/A</v>
      </c>
      <c r="M367" t="e">
        <f ca="1">IFERROR(计算区域!M369,NA())</f>
        <v>#N/A</v>
      </c>
      <c r="N367" t="e">
        <f ca="1">IFERROR(计算区域!N369,NA())</f>
        <v>#N/A</v>
      </c>
      <c r="O367" t="e">
        <f ca="1">IFERROR(计算区域!O369,NA())</f>
        <v>#N/A</v>
      </c>
      <c r="Q367" t="e">
        <f ca="1">IFERROR(计算区域!R369,NA())</f>
        <v>#N/A</v>
      </c>
      <c r="R367" t="e">
        <f ca="1">IFERROR(计算区域!S369,NA())</f>
        <v>#N/A</v>
      </c>
      <c r="S367" t="e">
        <f ca="1">IFERROR(计算区域!T369,NA())</f>
        <v>#N/A</v>
      </c>
      <c r="T367" t="e">
        <f ca="1">IFERROR(计算区域!U369,NA())</f>
        <v>#N/A</v>
      </c>
      <c r="V367" t="e">
        <f ca="1">IFERROR(计算区域!X369,NA())</f>
        <v>#N/A</v>
      </c>
      <c r="W367" t="e">
        <f ca="1">IFERROR(计算区域!Y369,NA())</f>
        <v>#N/A</v>
      </c>
      <c r="X367" t="e">
        <f ca="1">IFERROR(计算区域!Z369,NA())</f>
        <v>#N/A</v>
      </c>
      <c r="Y367" t="e">
        <f ca="1">IFERROR(计算区域!AA369,NA())</f>
        <v>#N/A</v>
      </c>
    </row>
    <row r="368" spans="1:25" x14ac:dyDescent="0.2">
      <c r="A368" s="28">
        <f>计算区域!E370</f>
        <v>45112</v>
      </c>
      <c r="B368" t="e">
        <f ca="1">IFERROR(计算区域!AJ370,NA())</f>
        <v>#N/A</v>
      </c>
      <c r="C368" t="e">
        <f ca="1">IFERROR(计算区域!AK370,NA())</f>
        <v>#N/A</v>
      </c>
      <c r="D368" t="e">
        <f ca="1">IFERROR(计算区域!AL370,NA())</f>
        <v>#N/A</v>
      </c>
      <c r="E368" t="e">
        <f ca="1">IFERROR(计算区域!AM370,NA())</f>
        <v>#N/A</v>
      </c>
      <c r="G368" t="e">
        <f ca="1">IFERROR(计算区域!AD370,NA())</f>
        <v>#N/A</v>
      </c>
      <c r="H368" t="e">
        <f ca="1">IFERROR(计算区域!AE370,NA())</f>
        <v>#N/A</v>
      </c>
      <c r="I368" t="e">
        <f ca="1">IFERROR(计算区域!AF370,NA())</f>
        <v>#N/A</v>
      </c>
      <c r="J368" t="e">
        <f ca="1">IFERROR(计算区域!AG370,NA())</f>
        <v>#N/A</v>
      </c>
      <c r="L368" t="e">
        <f ca="1">IFERROR(计算区域!L370,NA())</f>
        <v>#N/A</v>
      </c>
      <c r="M368" t="e">
        <f ca="1">IFERROR(计算区域!M370,NA())</f>
        <v>#N/A</v>
      </c>
      <c r="N368" t="e">
        <f ca="1">IFERROR(计算区域!N370,NA())</f>
        <v>#N/A</v>
      </c>
      <c r="O368" t="e">
        <f ca="1">IFERROR(计算区域!O370,NA())</f>
        <v>#N/A</v>
      </c>
      <c r="Q368" t="e">
        <f ca="1">IFERROR(计算区域!R370,NA())</f>
        <v>#N/A</v>
      </c>
      <c r="R368" t="e">
        <f ca="1">IFERROR(计算区域!S370,NA())</f>
        <v>#N/A</v>
      </c>
      <c r="S368" t="e">
        <f ca="1">IFERROR(计算区域!T370,NA())</f>
        <v>#N/A</v>
      </c>
      <c r="T368" t="e">
        <f ca="1">IFERROR(计算区域!U370,NA())</f>
        <v>#N/A</v>
      </c>
      <c r="V368" t="e">
        <f ca="1">IFERROR(计算区域!X370,NA())</f>
        <v>#N/A</v>
      </c>
      <c r="W368" t="e">
        <f ca="1">IFERROR(计算区域!Y370,NA())</f>
        <v>#N/A</v>
      </c>
      <c r="X368" t="e">
        <f ca="1">IFERROR(计算区域!Z370,NA())</f>
        <v>#N/A</v>
      </c>
      <c r="Y368" t="e">
        <f ca="1">IFERROR(计算区域!AA370,NA())</f>
        <v>#N/A</v>
      </c>
    </row>
    <row r="369" spans="1:25" x14ac:dyDescent="0.2">
      <c r="A369" s="28">
        <f>计算区域!E371</f>
        <v>45111</v>
      </c>
      <c r="B369" t="e">
        <f ca="1">IFERROR(计算区域!AJ371,NA())</f>
        <v>#N/A</v>
      </c>
      <c r="C369" t="e">
        <f ca="1">IFERROR(计算区域!AK371,NA())</f>
        <v>#N/A</v>
      </c>
      <c r="D369" t="e">
        <f ca="1">IFERROR(计算区域!AL371,NA())</f>
        <v>#N/A</v>
      </c>
      <c r="E369" t="e">
        <f ca="1">IFERROR(计算区域!AM371,NA())</f>
        <v>#N/A</v>
      </c>
      <c r="G369" t="e">
        <f ca="1">IFERROR(计算区域!AD371,NA())</f>
        <v>#N/A</v>
      </c>
      <c r="H369" t="e">
        <f ca="1">IFERROR(计算区域!AE371,NA())</f>
        <v>#N/A</v>
      </c>
      <c r="I369" t="e">
        <f ca="1">IFERROR(计算区域!AF371,NA())</f>
        <v>#N/A</v>
      </c>
      <c r="J369" t="e">
        <f ca="1">IFERROR(计算区域!AG371,NA())</f>
        <v>#N/A</v>
      </c>
      <c r="L369" t="e">
        <f ca="1">IFERROR(计算区域!L371,NA())</f>
        <v>#N/A</v>
      </c>
      <c r="M369" t="e">
        <f ca="1">IFERROR(计算区域!M371,NA())</f>
        <v>#N/A</v>
      </c>
      <c r="N369" t="e">
        <f ca="1">IFERROR(计算区域!N371,NA())</f>
        <v>#N/A</v>
      </c>
      <c r="O369" t="e">
        <f ca="1">IFERROR(计算区域!O371,NA())</f>
        <v>#N/A</v>
      </c>
      <c r="Q369" t="e">
        <f ca="1">IFERROR(计算区域!R371,NA())</f>
        <v>#N/A</v>
      </c>
      <c r="R369" t="e">
        <f ca="1">IFERROR(计算区域!S371,NA())</f>
        <v>#N/A</v>
      </c>
      <c r="S369" t="e">
        <f ca="1">IFERROR(计算区域!T371,NA())</f>
        <v>#N/A</v>
      </c>
      <c r="T369" t="e">
        <f ca="1">IFERROR(计算区域!U371,NA())</f>
        <v>#N/A</v>
      </c>
      <c r="V369" t="e">
        <f ca="1">IFERROR(计算区域!X371,NA())</f>
        <v>#N/A</v>
      </c>
      <c r="W369" t="e">
        <f ca="1">IFERROR(计算区域!Y371,NA())</f>
        <v>#N/A</v>
      </c>
      <c r="X369" t="e">
        <f ca="1">IFERROR(计算区域!Z371,NA())</f>
        <v>#N/A</v>
      </c>
      <c r="Y369" t="e">
        <f ca="1">IFERROR(计算区域!AA371,NA())</f>
        <v>#N/A</v>
      </c>
    </row>
    <row r="370" spans="1:25" x14ac:dyDescent="0.2">
      <c r="A370" s="28">
        <f>计算区域!E372</f>
        <v>45110</v>
      </c>
      <c r="B370" t="e">
        <f ca="1">IFERROR(计算区域!AJ372,NA())</f>
        <v>#N/A</v>
      </c>
      <c r="C370" t="e">
        <f ca="1">IFERROR(计算区域!AK372,NA())</f>
        <v>#N/A</v>
      </c>
      <c r="D370" t="e">
        <f ca="1">IFERROR(计算区域!AL372,NA())</f>
        <v>#N/A</v>
      </c>
      <c r="E370" t="e">
        <f ca="1">IFERROR(计算区域!AM372,NA())</f>
        <v>#N/A</v>
      </c>
      <c r="G370" t="e">
        <f ca="1">IFERROR(计算区域!AD372,NA())</f>
        <v>#N/A</v>
      </c>
      <c r="H370" t="e">
        <f ca="1">IFERROR(计算区域!AE372,NA())</f>
        <v>#N/A</v>
      </c>
      <c r="I370" t="e">
        <f ca="1">IFERROR(计算区域!AF372,NA())</f>
        <v>#N/A</v>
      </c>
      <c r="J370" t="e">
        <f ca="1">IFERROR(计算区域!AG372,NA())</f>
        <v>#N/A</v>
      </c>
      <c r="L370" t="e">
        <f ca="1">IFERROR(计算区域!L372,NA())</f>
        <v>#N/A</v>
      </c>
      <c r="M370" t="e">
        <f ca="1">IFERROR(计算区域!M372,NA())</f>
        <v>#N/A</v>
      </c>
      <c r="N370" t="e">
        <f ca="1">IFERROR(计算区域!N372,NA())</f>
        <v>#N/A</v>
      </c>
      <c r="O370" t="e">
        <f ca="1">IFERROR(计算区域!O372,NA())</f>
        <v>#N/A</v>
      </c>
      <c r="Q370" t="e">
        <f ca="1">IFERROR(计算区域!R372,NA())</f>
        <v>#N/A</v>
      </c>
      <c r="R370" t="e">
        <f ca="1">IFERROR(计算区域!S372,NA())</f>
        <v>#N/A</v>
      </c>
      <c r="S370" t="e">
        <f ca="1">IFERROR(计算区域!T372,NA())</f>
        <v>#N/A</v>
      </c>
      <c r="T370" t="e">
        <f ca="1">IFERROR(计算区域!U372,NA())</f>
        <v>#N/A</v>
      </c>
      <c r="V370" t="e">
        <f ca="1">IFERROR(计算区域!X372,NA())</f>
        <v>#N/A</v>
      </c>
      <c r="W370" t="e">
        <f ca="1">IFERROR(计算区域!Y372,NA())</f>
        <v>#N/A</v>
      </c>
      <c r="X370" t="e">
        <f ca="1">IFERROR(计算区域!Z372,NA())</f>
        <v>#N/A</v>
      </c>
      <c r="Y370" t="e">
        <f ca="1">IFERROR(计算区域!AA372,NA())</f>
        <v>#N/A</v>
      </c>
    </row>
    <row r="371" spans="1:25" x14ac:dyDescent="0.2">
      <c r="A371" s="28">
        <f>计算区域!E373</f>
        <v>45107</v>
      </c>
      <c r="B371" t="e">
        <f ca="1">IFERROR(计算区域!AJ373,NA())</f>
        <v>#N/A</v>
      </c>
      <c r="C371" t="e">
        <f ca="1">IFERROR(计算区域!AK373,NA())</f>
        <v>#N/A</v>
      </c>
      <c r="D371" t="e">
        <f ca="1">IFERROR(计算区域!AL373,NA())</f>
        <v>#N/A</v>
      </c>
      <c r="E371" t="e">
        <f ca="1">IFERROR(计算区域!AM373,NA())</f>
        <v>#N/A</v>
      </c>
      <c r="G371" t="e">
        <f ca="1">IFERROR(计算区域!AD373,NA())</f>
        <v>#N/A</v>
      </c>
      <c r="H371" t="e">
        <f ca="1">IFERROR(计算区域!AE373,NA())</f>
        <v>#N/A</v>
      </c>
      <c r="I371" t="e">
        <f ca="1">IFERROR(计算区域!AF373,NA())</f>
        <v>#N/A</v>
      </c>
      <c r="J371" t="e">
        <f ca="1">IFERROR(计算区域!AG373,NA())</f>
        <v>#N/A</v>
      </c>
      <c r="L371" t="e">
        <f ca="1">IFERROR(计算区域!L373,NA())</f>
        <v>#N/A</v>
      </c>
      <c r="M371" t="e">
        <f ca="1">IFERROR(计算区域!M373,NA())</f>
        <v>#N/A</v>
      </c>
      <c r="N371" t="e">
        <f ca="1">IFERROR(计算区域!N373,NA())</f>
        <v>#N/A</v>
      </c>
      <c r="O371" t="e">
        <f ca="1">IFERROR(计算区域!O373,NA())</f>
        <v>#N/A</v>
      </c>
      <c r="Q371" t="e">
        <f ca="1">IFERROR(计算区域!R373,NA())</f>
        <v>#N/A</v>
      </c>
      <c r="R371" t="e">
        <f ca="1">IFERROR(计算区域!S373,NA())</f>
        <v>#N/A</v>
      </c>
      <c r="S371" t="e">
        <f ca="1">IFERROR(计算区域!T373,NA())</f>
        <v>#N/A</v>
      </c>
      <c r="T371" t="e">
        <f ca="1">IFERROR(计算区域!U373,NA())</f>
        <v>#N/A</v>
      </c>
      <c r="V371" t="e">
        <f ca="1">IFERROR(计算区域!X373,NA())</f>
        <v>#N/A</v>
      </c>
      <c r="W371" t="e">
        <f ca="1">IFERROR(计算区域!Y373,NA())</f>
        <v>#N/A</v>
      </c>
      <c r="X371" t="e">
        <f ca="1">IFERROR(计算区域!Z373,NA())</f>
        <v>#N/A</v>
      </c>
      <c r="Y371" t="e">
        <f ca="1">IFERROR(计算区域!AA373,NA())</f>
        <v>#N/A</v>
      </c>
    </row>
    <row r="372" spans="1:25" x14ac:dyDescent="0.2">
      <c r="A372" s="28">
        <f>计算区域!E374</f>
        <v>45106</v>
      </c>
      <c r="B372" t="e">
        <f ca="1">IFERROR(计算区域!AJ374,NA())</f>
        <v>#N/A</v>
      </c>
      <c r="C372" t="e">
        <f ca="1">IFERROR(计算区域!AK374,NA())</f>
        <v>#N/A</v>
      </c>
      <c r="D372" t="e">
        <f ca="1">IFERROR(计算区域!AL374,NA())</f>
        <v>#N/A</v>
      </c>
      <c r="E372" t="e">
        <f ca="1">IFERROR(计算区域!AM374,NA())</f>
        <v>#N/A</v>
      </c>
      <c r="G372" t="e">
        <f ca="1">IFERROR(计算区域!AD374,NA())</f>
        <v>#N/A</v>
      </c>
      <c r="H372" t="e">
        <f ca="1">IFERROR(计算区域!AE374,NA())</f>
        <v>#N/A</v>
      </c>
      <c r="I372" t="e">
        <f ca="1">IFERROR(计算区域!AF374,NA())</f>
        <v>#N/A</v>
      </c>
      <c r="J372" t="e">
        <f ca="1">IFERROR(计算区域!AG374,NA())</f>
        <v>#N/A</v>
      </c>
      <c r="L372" t="e">
        <f ca="1">IFERROR(计算区域!L374,NA())</f>
        <v>#N/A</v>
      </c>
      <c r="M372" t="e">
        <f ca="1">IFERROR(计算区域!M374,NA())</f>
        <v>#N/A</v>
      </c>
      <c r="N372" t="e">
        <f ca="1">IFERROR(计算区域!N374,NA())</f>
        <v>#N/A</v>
      </c>
      <c r="O372" t="e">
        <f ca="1">IFERROR(计算区域!O374,NA())</f>
        <v>#N/A</v>
      </c>
      <c r="Q372" t="e">
        <f ca="1">IFERROR(计算区域!R374,NA())</f>
        <v>#N/A</v>
      </c>
      <c r="R372" t="e">
        <f ca="1">IFERROR(计算区域!S374,NA())</f>
        <v>#N/A</v>
      </c>
      <c r="S372" t="e">
        <f ca="1">IFERROR(计算区域!T374,NA())</f>
        <v>#N/A</v>
      </c>
      <c r="T372" t="e">
        <f ca="1">IFERROR(计算区域!U374,NA())</f>
        <v>#N/A</v>
      </c>
      <c r="V372" t="e">
        <f ca="1">IFERROR(计算区域!X374,NA())</f>
        <v>#N/A</v>
      </c>
      <c r="W372" t="e">
        <f ca="1">IFERROR(计算区域!Y374,NA())</f>
        <v>#N/A</v>
      </c>
      <c r="X372" t="e">
        <f ca="1">IFERROR(计算区域!Z374,NA())</f>
        <v>#N/A</v>
      </c>
      <c r="Y372" t="e">
        <f ca="1">IFERROR(计算区域!AA374,NA())</f>
        <v>#N/A</v>
      </c>
    </row>
    <row r="373" spans="1:25" x14ac:dyDescent="0.2">
      <c r="A373" s="28">
        <f>计算区域!E375</f>
        <v>45105</v>
      </c>
      <c r="B373" t="e">
        <f ca="1">IFERROR(计算区域!AJ375,NA())</f>
        <v>#N/A</v>
      </c>
      <c r="C373" t="e">
        <f ca="1">IFERROR(计算区域!AK375,NA())</f>
        <v>#N/A</v>
      </c>
      <c r="D373" t="e">
        <f ca="1">IFERROR(计算区域!AL375,NA())</f>
        <v>#N/A</v>
      </c>
      <c r="E373" t="e">
        <f ca="1">IFERROR(计算区域!AM375,NA())</f>
        <v>#N/A</v>
      </c>
      <c r="G373" t="e">
        <f ca="1">IFERROR(计算区域!AD375,NA())</f>
        <v>#N/A</v>
      </c>
      <c r="H373" t="e">
        <f ca="1">IFERROR(计算区域!AE375,NA())</f>
        <v>#N/A</v>
      </c>
      <c r="I373" t="e">
        <f ca="1">IFERROR(计算区域!AF375,NA())</f>
        <v>#N/A</v>
      </c>
      <c r="J373" t="e">
        <f ca="1">IFERROR(计算区域!AG375,NA())</f>
        <v>#N/A</v>
      </c>
      <c r="L373" t="e">
        <f ca="1">IFERROR(计算区域!L375,NA())</f>
        <v>#N/A</v>
      </c>
      <c r="M373" t="e">
        <f ca="1">IFERROR(计算区域!M375,NA())</f>
        <v>#N/A</v>
      </c>
      <c r="N373" t="e">
        <f ca="1">IFERROR(计算区域!N375,NA())</f>
        <v>#N/A</v>
      </c>
      <c r="O373" t="e">
        <f ca="1">IFERROR(计算区域!O375,NA())</f>
        <v>#N/A</v>
      </c>
      <c r="Q373" t="e">
        <f ca="1">IFERROR(计算区域!R375,NA())</f>
        <v>#N/A</v>
      </c>
      <c r="R373" t="e">
        <f ca="1">IFERROR(计算区域!S375,NA())</f>
        <v>#N/A</v>
      </c>
      <c r="S373" t="e">
        <f ca="1">IFERROR(计算区域!T375,NA())</f>
        <v>#N/A</v>
      </c>
      <c r="T373" t="e">
        <f ca="1">IFERROR(计算区域!U375,NA())</f>
        <v>#N/A</v>
      </c>
      <c r="V373" t="e">
        <f ca="1">IFERROR(计算区域!X375,NA())</f>
        <v>#N/A</v>
      </c>
      <c r="W373" t="e">
        <f ca="1">IFERROR(计算区域!Y375,NA())</f>
        <v>#N/A</v>
      </c>
      <c r="X373" t="e">
        <f ca="1">IFERROR(计算区域!Z375,NA())</f>
        <v>#N/A</v>
      </c>
      <c r="Y373" t="e">
        <f ca="1">IFERROR(计算区域!AA375,NA())</f>
        <v>#N/A</v>
      </c>
    </row>
    <row r="374" spans="1:25" x14ac:dyDescent="0.2">
      <c r="A374" s="28">
        <f>计算区域!E376</f>
        <v>45104</v>
      </c>
      <c r="B374" t="e">
        <f ca="1">IFERROR(计算区域!AJ376,NA())</f>
        <v>#N/A</v>
      </c>
      <c r="C374" t="e">
        <f ca="1">IFERROR(计算区域!AK376,NA())</f>
        <v>#N/A</v>
      </c>
      <c r="D374" t="e">
        <f ca="1">IFERROR(计算区域!AL376,NA())</f>
        <v>#N/A</v>
      </c>
      <c r="E374" t="e">
        <f ca="1">IFERROR(计算区域!AM376,NA())</f>
        <v>#N/A</v>
      </c>
      <c r="G374" t="e">
        <f ca="1">IFERROR(计算区域!AD376,NA())</f>
        <v>#N/A</v>
      </c>
      <c r="H374" t="e">
        <f ca="1">IFERROR(计算区域!AE376,NA())</f>
        <v>#N/A</v>
      </c>
      <c r="I374" t="e">
        <f ca="1">IFERROR(计算区域!AF376,NA())</f>
        <v>#N/A</v>
      </c>
      <c r="J374" t="e">
        <f ca="1">IFERROR(计算区域!AG376,NA())</f>
        <v>#N/A</v>
      </c>
      <c r="L374" t="e">
        <f ca="1">IFERROR(计算区域!L376,NA())</f>
        <v>#N/A</v>
      </c>
      <c r="M374" t="e">
        <f ca="1">IFERROR(计算区域!M376,NA())</f>
        <v>#N/A</v>
      </c>
      <c r="N374" t="e">
        <f ca="1">IFERROR(计算区域!N376,NA())</f>
        <v>#N/A</v>
      </c>
      <c r="O374" t="e">
        <f ca="1">IFERROR(计算区域!O376,NA())</f>
        <v>#N/A</v>
      </c>
      <c r="Q374" t="e">
        <f ca="1">IFERROR(计算区域!R376,NA())</f>
        <v>#N/A</v>
      </c>
      <c r="R374" t="e">
        <f ca="1">IFERROR(计算区域!S376,NA())</f>
        <v>#N/A</v>
      </c>
      <c r="S374" t="e">
        <f ca="1">IFERROR(计算区域!T376,NA())</f>
        <v>#N/A</v>
      </c>
      <c r="T374" t="e">
        <f ca="1">IFERROR(计算区域!U376,NA())</f>
        <v>#N/A</v>
      </c>
      <c r="V374" t="e">
        <f ca="1">IFERROR(计算区域!X376,NA())</f>
        <v>#N/A</v>
      </c>
      <c r="W374" t="e">
        <f ca="1">IFERROR(计算区域!Y376,NA())</f>
        <v>#N/A</v>
      </c>
      <c r="X374" t="e">
        <f ca="1">IFERROR(计算区域!Z376,NA())</f>
        <v>#N/A</v>
      </c>
      <c r="Y374" t="e">
        <f ca="1">IFERROR(计算区域!AA376,NA())</f>
        <v>#N/A</v>
      </c>
    </row>
    <row r="375" spans="1:25" x14ac:dyDescent="0.2">
      <c r="A375" s="28">
        <f>计算区域!E377</f>
        <v>45103</v>
      </c>
      <c r="B375" t="e">
        <f ca="1">IFERROR(计算区域!AJ377,NA())</f>
        <v>#N/A</v>
      </c>
      <c r="C375" t="e">
        <f ca="1">IFERROR(计算区域!AK377,NA())</f>
        <v>#N/A</v>
      </c>
      <c r="D375" t="e">
        <f ca="1">IFERROR(计算区域!AL377,NA())</f>
        <v>#N/A</v>
      </c>
      <c r="E375" t="e">
        <f ca="1">IFERROR(计算区域!AM377,NA())</f>
        <v>#N/A</v>
      </c>
      <c r="G375" t="e">
        <f ca="1">IFERROR(计算区域!AD377,NA())</f>
        <v>#N/A</v>
      </c>
      <c r="H375" t="e">
        <f ca="1">IFERROR(计算区域!AE377,NA())</f>
        <v>#N/A</v>
      </c>
      <c r="I375" t="e">
        <f ca="1">IFERROR(计算区域!AF377,NA())</f>
        <v>#N/A</v>
      </c>
      <c r="J375" t="e">
        <f ca="1">IFERROR(计算区域!AG377,NA())</f>
        <v>#N/A</v>
      </c>
      <c r="L375" t="e">
        <f ca="1">IFERROR(计算区域!L377,NA())</f>
        <v>#N/A</v>
      </c>
      <c r="M375" t="e">
        <f ca="1">IFERROR(计算区域!M377,NA())</f>
        <v>#N/A</v>
      </c>
      <c r="N375" t="e">
        <f ca="1">IFERROR(计算区域!N377,NA())</f>
        <v>#N/A</v>
      </c>
      <c r="O375" t="e">
        <f ca="1">IFERROR(计算区域!O377,NA())</f>
        <v>#N/A</v>
      </c>
      <c r="Q375" t="e">
        <f ca="1">IFERROR(计算区域!R377,NA())</f>
        <v>#N/A</v>
      </c>
      <c r="R375" t="e">
        <f ca="1">IFERROR(计算区域!S377,NA())</f>
        <v>#N/A</v>
      </c>
      <c r="S375" t="e">
        <f ca="1">IFERROR(计算区域!T377,NA())</f>
        <v>#N/A</v>
      </c>
      <c r="T375" t="e">
        <f ca="1">IFERROR(计算区域!U377,NA())</f>
        <v>#N/A</v>
      </c>
      <c r="V375" t="e">
        <f ca="1">IFERROR(计算区域!X377,NA())</f>
        <v>#N/A</v>
      </c>
      <c r="W375" t="e">
        <f ca="1">IFERROR(计算区域!Y377,NA())</f>
        <v>#N/A</v>
      </c>
      <c r="X375" t="e">
        <f ca="1">IFERROR(计算区域!Z377,NA())</f>
        <v>#N/A</v>
      </c>
      <c r="Y375" t="e">
        <f ca="1">IFERROR(计算区域!AA377,NA())</f>
        <v>#N/A</v>
      </c>
    </row>
    <row r="376" spans="1:25" x14ac:dyDescent="0.2">
      <c r="A376" s="28">
        <f>计算区域!E378</f>
        <v>45098</v>
      </c>
      <c r="B376" t="e">
        <f ca="1">IFERROR(计算区域!AJ378,NA())</f>
        <v>#N/A</v>
      </c>
      <c r="C376" t="e">
        <f ca="1">IFERROR(计算区域!AK378,NA())</f>
        <v>#N/A</v>
      </c>
      <c r="D376" t="e">
        <f ca="1">IFERROR(计算区域!AL378,NA())</f>
        <v>#N/A</v>
      </c>
      <c r="E376" t="e">
        <f ca="1">IFERROR(计算区域!AM378,NA())</f>
        <v>#N/A</v>
      </c>
      <c r="G376" t="e">
        <f ca="1">IFERROR(计算区域!AD378,NA())</f>
        <v>#N/A</v>
      </c>
      <c r="H376" t="e">
        <f ca="1">IFERROR(计算区域!AE378,NA())</f>
        <v>#N/A</v>
      </c>
      <c r="I376" t="e">
        <f ca="1">IFERROR(计算区域!AF378,NA())</f>
        <v>#N/A</v>
      </c>
      <c r="J376" t="e">
        <f ca="1">IFERROR(计算区域!AG378,NA())</f>
        <v>#N/A</v>
      </c>
      <c r="L376" t="e">
        <f ca="1">IFERROR(计算区域!L378,NA())</f>
        <v>#N/A</v>
      </c>
      <c r="M376" t="e">
        <f ca="1">IFERROR(计算区域!M378,NA())</f>
        <v>#N/A</v>
      </c>
      <c r="N376" t="e">
        <f ca="1">IFERROR(计算区域!N378,NA())</f>
        <v>#N/A</v>
      </c>
      <c r="O376" t="e">
        <f ca="1">IFERROR(计算区域!O378,NA())</f>
        <v>#N/A</v>
      </c>
      <c r="Q376" t="e">
        <f ca="1">IFERROR(计算区域!R378,NA())</f>
        <v>#N/A</v>
      </c>
      <c r="R376" t="e">
        <f ca="1">IFERROR(计算区域!S378,NA())</f>
        <v>#N/A</v>
      </c>
      <c r="S376" t="e">
        <f ca="1">IFERROR(计算区域!T378,NA())</f>
        <v>#N/A</v>
      </c>
      <c r="T376" t="e">
        <f ca="1">IFERROR(计算区域!U378,NA())</f>
        <v>#N/A</v>
      </c>
      <c r="V376" t="e">
        <f ca="1">IFERROR(计算区域!X378,NA())</f>
        <v>#N/A</v>
      </c>
      <c r="W376" t="e">
        <f ca="1">IFERROR(计算区域!Y378,NA())</f>
        <v>#N/A</v>
      </c>
      <c r="X376" t="e">
        <f ca="1">IFERROR(计算区域!Z378,NA())</f>
        <v>#N/A</v>
      </c>
      <c r="Y376" t="e">
        <f ca="1">IFERROR(计算区域!AA378,NA())</f>
        <v>#N/A</v>
      </c>
    </row>
    <row r="377" spans="1:25" x14ac:dyDescent="0.2">
      <c r="A377" s="28">
        <f>计算区域!E379</f>
        <v>45097</v>
      </c>
      <c r="B377" t="e">
        <f ca="1">IFERROR(计算区域!AJ379,NA())</f>
        <v>#N/A</v>
      </c>
      <c r="C377" t="e">
        <f ca="1">IFERROR(计算区域!AK379,NA())</f>
        <v>#N/A</v>
      </c>
      <c r="D377" t="e">
        <f ca="1">IFERROR(计算区域!AL379,NA())</f>
        <v>#N/A</v>
      </c>
      <c r="E377" t="e">
        <f ca="1">IFERROR(计算区域!AM379,NA())</f>
        <v>#N/A</v>
      </c>
      <c r="G377" t="e">
        <f ca="1">IFERROR(计算区域!AD379,NA())</f>
        <v>#N/A</v>
      </c>
      <c r="H377" t="e">
        <f ca="1">IFERROR(计算区域!AE379,NA())</f>
        <v>#N/A</v>
      </c>
      <c r="I377" t="e">
        <f ca="1">IFERROR(计算区域!AF379,NA())</f>
        <v>#N/A</v>
      </c>
      <c r="J377" t="e">
        <f ca="1">IFERROR(计算区域!AG379,NA())</f>
        <v>#N/A</v>
      </c>
      <c r="L377" t="e">
        <f ca="1">IFERROR(计算区域!L379,NA())</f>
        <v>#N/A</v>
      </c>
      <c r="M377" t="e">
        <f ca="1">IFERROR(计算区域!M379,NA())</f>
        <v>#N/A</v>
      </c>
      <c r="N377" t="e">
        <f ca="1">IFERROR(计算区域!N379,NA())</f>
        <v>#N/A</v>
      </c>
      <c r="O377" t="e">
        <f ca="1">IFERROR(计算区域!O379,NA())</f>
        <v>#N/A</v>
      </c>
      <c r="Q377" t="e">
        <f ca="1">IFERROR(计算区域!R379,NA())</f>
        <v>#N/A</v>
      </c>
      <c r="R377" t="e">
        <f ca="1">IFERROR(计算区域!S379,NA())</f>
        <v>#N/A</v>
      </c>
      <c r="S377" t="e">
        <f ca="1">IFERROR(计算区域!T379,NA())</f>
        <v>#N/A</v>
      </c>
      <c r="T377" t="e">
        <f ca="1">IFERROR(计算区域!U379,NA())</f>
        <v>#N/A</v>
      </c>
      <c r="V377" t="e">
        <f ca="1">IFERROR(计算区域!X379,NA())</f>
        <v>#N/A</v>
      </c>
      <c r="W377" t="e">
        <f ca="1">IFERROR(计算区域!Y379,NA())</f>
        <v>#N/A</v>
      </c>
      <c r="X377" t="e">
        <f ca="1">IFERROR(计算区域!Z379,NA())</f>
        <v>#N/A</v>
      </c>
      <c r="Y377" t="e">
        <f ca="1">IFERROR(计算区域!AA379,NA())</f>
        <v>#N/A</v>
      </c>
    </row>
    <row r="378" spans="1:25" x14ac:dyDescent="0.2">
      <c r="A378" s="28">
        <f>计算区域!E380</f>
        <v>45096</v>
      </c>
      <c r="B378" t="e">
        <f ca="1">IFERROR(计算区域!AJ380,NA())</f>
        <v>#N/A</v>
      </c>
      <c r="C378" t="e">
        <f ca="1">IFERROR(计算区域!AK380,NA())</f>
        <v>#N/A</v>
      </c>
      <c r="D378" t="e">
        <f ca="1">IFERROR(计算区域!AL380,NA())</f>
        <v>#N/A</v>
      </c>
      <c r="E378" t="e">
        <f ca="1">IFERROR(计算区域!AM380,NA())</f>
        <v>#N/A</v>
      </c>
      <c r="G378" t="e">
        <f ca="1">IFERROR(计算区域!AD380,NA())</f>
        <v>#N/A</v>
      </c>
      <c r="H378" t="e">
        <f ca="1">IFERROR(计算区域!AE380,NA())</f>
        <v>#N/A</v>
      </c>
      <c r="I378" t="e">
        <f ca="1">IFERROR(计算区域!AF380,NA())</f>
        <v>#N/A</v>
      </c>
      <c r="J378" t="e">
        <f ca="1">IFERROR(计算区域!AG380,NA())</f>
        <v>#N/A</v>
      </c>
      <c r="L378" t="e">
        <f ca="1">IFERROR(计算区域!L380,NA())</f>
        <v>#N/A</v>
      </c>
      <c r="M378" t="e">
        <f ca="1">IFERROR(计算区域!M380,NA())</f>
        <v>#N/A</v>
      </c>
      <c r="N378" t="e">
        <f ca="1">IFERROR(计算区域!N380,NA())</f>
        <v>#N/A</v>
      </c>
      <c r="O378" t="e">
        <f ca="1">IFERROR(计算区域!O380,NA())</f>
        <v>#N/A</v>
      </c>
      <c r="Q378" t="e">
        <f ca="1">IFERROR(计算区域!R380,NA())</f>
        <v>#N/A</v>
      </c>
      <c r="R378" t="e">
        <f ca="1">IFERROR(计算区域!S380,NA())</f>
        <v>#N/A</v>
      </c>
      <c r="S378" t="e">
        <f ca="1">IFERROR(计算区域!T380,NA())</f>
        <v>#N/A</v>
      </c>
      <c r="T378" t="e">
        <f ca="1">IFERROR(计算区域!U380,NA())</f>
        <v>#N/A</v>
      </c>
      <c r="V378" t="e">
        <f ca="1">IFERROR(计算区域!X380,NA())</f>
        <v>#N/A</v>
      </c>
      <c r="W378" t="e">
        <f ca="1">IFERROR(计算区域!Y380,NA())</f>
        <v>#N/A</v>
      </c>
      <c r="X378" t="e">
        <f ca="1">IFERROR(计算区域!Z380,NA())</f>
        <v>#N/A</v>
      </c>
      <c r="Y378" t="e">
        <f ca="1">IFERROR(计算区域!AA380,NA())</f>
        <v>#N/A</v>
      </c>
    </row>
    <row r="379" spans="1:25" x14ac:dyDescent="0.2">
      <c r="A379" s="28">
        <f>计算区域!E381</f>
        <v>45093</v>
      </c>
      <c r="B379" t="e">
        <f ca="1">IFERROR(计算区域!AJ381,NA())</f>
        <v>#N/A</v>
      </c>
      <c r="C379" t="e">
        <f ca="1">IFERROR(计算区域!AK381,NA())</f>
        <v>#N/A</v>
      </c>
      <c r="D379" t="e">
        <f ca="1">IFERROR(计算区域!AL381,NA())</f>
        <v>#N/A</v>
      </c>
      <c r="E379" t="e">
        <f ca="1">IFERROR(计算区域!AM381,NA())</f>
        <v>#N/A</v>
      </c>
      <c r="G379" t="e">
        <f ca="1">IFERROR(计算区域!AD381,NA())</f>
        <v>#N/A</v>
      </c>
      <c r="H379" t="e">
        <f ca="1">IFERROR(计算区域!AE381,NA())</f>
        <v>#N/A</v>
      </c>
      <c r="I379" t="e">
        <f ca="1">IFERROR(计算区域!AF381,NA())</f>
        <v>#N/A</v>
      </c>
      <c r="J379" t="e">
        <f ca="1">IFERROR(计算区域!AG381,NA())</f>
        <v>#N/A</v>
      </c>
      <c r="L379" t="e">
        <f ca="1">IFERROR(计算区域!L381,NA())</f>
        <v>#N/A</v>
      </c>
      <c r="M379" t="e">
        <f ca="1">IFERROR(计算区域!M381,NA())</f>
        <v>#N/A</v>
      </c>
      <c r="N379" t="e">
        <f ca="1">IFERROR(计算区域!N381,NA())</f>
        <v>#N/A</v>
      </c>
      <c r="O379" t="e">
        <f ca="1">IFERROR(计算区域!O381,NA())</f>
        <v>#N/A</v>
      </c>
      <c r="Q379" t="e">
        <f ca="1">IFERROR(计算区域!R381,NA())</f>
        <v>#N/A</v>
      </c>
      <c r="R379" t="e">
        <f ca="1">IFERROR(计算区域!S381,NA())</f>
        <v>#N/A</v>
      </c>
      <c r="S379" t="e">
        <f ca="1">IFERROR(计算区域!T381,NA())</f>
        <v>#N/A</v>
      </c>
      <c r="T379" t="e">
        <f ca="1">IFERROR(计算区域!U381,NA())</f>
        <v>#N/A</v>
      </c>
      <c r="V379" t="e">
        <f ca="1">IFERROR(计算区域!X381,NA())</f>
        <v>#N/A</v>
      </c>
      <c r="W379" t="e">
        <f ca="1">IFERROR(计算区域!Y381,NA())</f>
        <v>#N/A</v>
      </c>
      <c r="X379" t="e">
        <f ca="1">IFERROR(计算区域!Z381,NA())</f>
        <v>#N/A</v>
      </c>
      <c r="Y379" t="e">
        <f ca="1">IFERROR(计算区域!AA381,NA())</f>
        <v>#N/A</v>
      </c>
    </row>
    <row r="380" spans="1:25" x14ac:dyDescent="0.2">
      <c r="A380" s="28">
        <f>计算区域!E382</f>
        <v>45092</v>
      </c>
      <c r="B380" t="e">
        <f ca="1">IFERROR(计算区域!AJ382,NA())</f>
        <v>#N/A</v>
      </c>
      <c r="C380" t="e">
        <f ca="1">IFERROR(计算区域!AK382,NA())</f>
        <v>#N/A</v>
      </c>
      <c r="D380" t="e">
        <f ca="1">IFERROR(计算区域!AL382,NA())</f>
        <v>#N/A</v>
      </c>
      <c r="E380" t="e">
        <f ca="1">IFERROR(计算区域!AM382,NA())</f>
        <v>#N/A</v>
      </c>
      <c r="G380" t="e">
        <f ca="1">IFERROR(计算区域!AD382,NA())</f>
        <v>#N/A</v>
      </c>
      <c r="H380" t="e">
        <f ca="1">IFERROR(计算区域!AE382,NA())</f>
        <v>#N/A</v>
      </c>
      <c r="I380" t="e">
        <f ca="1">IFERROR(计算区域!AF382,NA())</f>
        <v>#N/A</v>
      </c>
      <c r="J380" t="e">
        <f ca="1">IFERROR(计算区域!AG382,NA())</f>
        <v>#N/A</v>
      </c>
      <c r="L380" t="e">
        <f ca="1">IFERROR(计算区域!L382,NA())</f>
        <v>#N/A</v>
      </c>
      <c r="M380" t="e">
        <f ca="1">IFERROR(计算区域!M382,NA())</f>
        <v>#N/A</v>
      </c>
      <c r="N380" t="e">
        <f ca="1">IFERROR(计算区域!N382,NA())</f>
        <v>#N/A</v>
      </c>
      <c r="O380" t="e">
        <f ca="1">IFERROR(计算区域!O382,NA())</f>
        <v>#N/A</v>
      </c>
      <c r="Q380" t="e">
        <f ca="1">IFERROR(计算区域!R382,NA())</f>
        <v>#N/A</v>
      </c>
      <c r="R380" t="e">
        <f ca="1">IFERROR(计算区域!S382,NA())</f>
        <v>#N/A</v>
      </c>
      <c r="S380" t="e">
        <f ca="1">IFERROR(计算区域!T382,NA())</f>
        <v>#N/A</v>
      </c>
      <c r="T380" t="e">
        <f ca="1">IFERROR(计算区域!U382,NA())</f>
        <v>#N/A</v>
      </c>
      <c r="V380" t="e">
        <f ca="1">IFERROR(计算区域!X382,NA())</f>
        <v>#N/A</v>
      </c>
      <c r="W380" t="e">
        <f ca="1">IFERROR(计算区域!Y382,NA())</f>
        <v>#N/A</v>
      </c>
      <c r="X380" t="e">
        <f ca="1">IFERROR(计算区域!Z382,NA())</f>
        <v>#N/A</v>
      </c>
      <c r="Y380" t="e">
        <f ca="1">IFERROR(计算区域!AA382,NA())</f>
        <v>#N/A</v>
      </c>
    </row>
    <row r="381" spans="1:25" x14ac:dyDescent="0.2">
      <c r="A381" s="28">
        <f>计算区域!E383</f>
        <v>45091</v>
      </c>
      <c r="B381" t="e">
        <f ca="1">IFERROR(计算区域!AJ383,NA())</f>
        <v>#N/A</v>
      </c>
      <c r="C381" t="e">
        <f ca="1">IFERROR(计算区域!AK383,NA())</f>
        <v>#N/A</v>
      </c>
      <c r="D381" t="e">
        <f ca="1">IFERROR(计算区域!AL383,NA())</f>
        <v>#N/A</v>
      </c>
      <c r="E381" t="e">
        <f ca="1">IFERROR(计算区域!AM383,NA())</f>
        <v>#N/A</v>
      </c>
      <c r="G381" t="e">
        <f ca="1">IFERROR(计算区域!AD383,NA())</f>
        <v>#N/A</v>
      </c>
      <c r="H381" t="e">
        <f ca="1">IFERROR(计算区域!AE383,NA())</f>
        <v>#N/A</v>
      </c>
      <c r="I381" t="e">
        <f ca="1">IFERROR(计算区域!AF383,NA())</f>
        <v>#N/A</v>
      </c>
      <c r="J381" t="e">
        <f ca="1">IFERROR(计算区域!AG383,NA())</f>
        <v>#N/A</v>
      </c>
      <c r="L381" t="e">
        <f ca="1">IFERROR(计算区域!L383,NA())</f>
        <v>#N/A</v>
      </c>
      <c r="M381" t="e">
        <f ca="1">IFERROR(计算区域!M383,NA())</f>
        <v>#N/A</v>
      </c>
      <c r="N381" t="e">
        <f ca="1">IFERROR(计算区域!N383,NA())</f>
        <v>#N/A</v>
      </c>
      <c r="O381" t="e">
        <f ca="1">IFERROR(计算区域!O383,NA())</f>
        <v>#N/A</v>
      </c>
      <c r="Q381" t="e">
        <f ca="1">IFERROR(计算区域!R383,NA())</f>
        <v>#N/A</v>
      </c>
      <c r="R381" t="e">
        <f ca="1">IFERROR(计算区域!S383,NA())</f>
        <v>#N/A</v>
      </c>
      <c r="S381" t="e">
        <f ca="1">IFERROR(计算区域!T383,NA())</f>
        <v>#N/A</v>
      </c>
      <c r="T381" t="e">
        <f ca="1">IFERROR(计算区域!U383,NA())</f>
        <v>#N/A</v>
      </c>
      <c r="V381" t="e">
        <f ca="1">IFERROR(计算区域!X383,NA())</f>
        <v>#N/A</v>
      </c>
      <c r="W381" t="e">
        <f ca="1">IFERROR(计算区域!Y383,NA())</f>
        <v>#N/A</v>
      </c>
      <c r="X381" t="e">
        <f ca="1">IFERROR(计算区域!Z383,NA())</f>
        <v>#N/A</v>
      </c>
      <c r="Y381" t="e">
        <f ca="1">IFERROR(计算区域!AA383,NA())</f>
        <v>#N/A</v>
      </c>
    </row>
    <row r="382" spans="1:25" x14ac:dyDescent="0.2">
      <c r="A382" s="28">
        <f>计算区域!E384</f>
        <v>45090</v>
      </c>
      <c r="B382" t="e">
        <f ca="1">IFERROR(计算区域!AJ384,NA())</f>
        <v>#N/A</v>
      </c>
      <c r="C382" t="e">
        <f ca="1">IFERROR(计算区域!AK384,NA())</f>
        <v>#N/A</v>
      </c>
      <c r="D382" t="e">
        <f ca="1">IFERROR(计算区域!AL384,NA())</f>
        <v>#N/A</v>
      </c>
      <c r="E382" t="e">
        <f ca="1">IFERROR(计算区域!AM384,NA())</f>
        <v>#N/A</v>
      </c>
      <c r="G382" t="e">
        <f ca="1">IFERROR(计算区域!AD384,NA())</f>
        <v>#N/A</v>
      </c>
      <c r="H382" t="e">
        <f ca="1">IFERROR(计算区域!AE384,NA())</f>
        <v>#N/A</v>
      </c>
      <c r="I382" t="e">
        <f ca="1">IFERROR(计算区域!AF384,NA())</f>
        <v>#N/A</v>
      </c>
      <c r="J382" t="e">
        <f ca="1">IFERROR(计算区域!AG384,NA())</f>
        <v>#N/A</v>
      </c>
      <c r="L382" t="e">
        <f ca="1">IFERROR(计算区域!L384,NA())</f>
        <v>#N/A</v>
      </c>
      <c r="M382" t="e">
        <f ca="1">IFERROR(计算区域!M384,NA())</f>
        <v>#N/A</v>
      </c>
      <c r="N382" t="e">
        <f ca="1">IFERROR(计算区域!N384,NA())</f>
        <v>#N/A</v>
      </c>
      <c r="O382" t="e">
        <f ca="1">IFERROR(计算区域!O384,NA())</f>
        <v>#N/A</v>
      </c>
      <c r="Q382" t="e">
        <f ca="1">IFERROR(计算区域!R384,NA())</f>
        <v>#N/A</v>
      </c>
      <c r="R382" t="e">
        <f ca="1">IFERROR(计算区域!S384,NA())</f>
        <v>#N/A</v>
      </c>
      <c r="S382" t="e">
        <f ca="1">IFERROR(计算区域!T384,NA())</f>
        <v>#N/A</v>
      </c>
      <c r="T382" t="e">
        <f ca="1">IFERROR(计算区域!U384,NA())</f>
        <v>#N/A</v>
      </c>
      <c r="V382" t="e">
        <f ca="1">IFERROR(计算区域!X384,NA())</f>
        <v>#N/A</v>
      </c>
      <c r="W382" t="e">
        <f ca="1">IFERROR(计算区域!Y384,NA())</f>
        <v>#N/A</v>
      </c>
      <c r="X382" t="e">
        <f ca="1">IFERROR(计算区域!Z384,NA())</f>
        <v>#N/A</v>
      </c>
      <c r="Y382" t="e">
        <f ca="1">IFERROR(计算区域!AA384,NA())</f>
        <v>#N/A</v>
      </c>
    </row>
    <row r="383" spans="1:25" x14ac:dyDescent="0.2">
      <c r="A383" s="28">
        <f>计算区域!E385</f>
        <v>45089</v>
      </c>
      <c r="B383" t="e">
        <f ca="1">IFERROR(计算区域!AJ385,NA())</f>
        <v>#N/A</v>
      </c>
      <c r="C383" t="e">
        <f ca="1">IFERROR(计算区域!AK385,NA())</f>
        <v>#N/A</v>
      </c>
      <c r="D383" t="e">
        <f ca="1">IFERROR(计算区域!AL385,NA())</f>
        <v>#N/A</v>
      </c>
      <c r="E383" t="e">
        <f ca="1">IFERROR(计算区域!AM385,NA())</f>
        <v>#N/A</v>
      </c>
      <c r="G383" t="e">
        <f ca="1">IFERROR(计算区域!AD385,NA())</f>
        <v>#N/A</v>
      </c>
      <c r="H383" t="e">
        <f ca="1">IFERROR(计算区域!AE385,NA())</f>
        <v>#N/A</v>
      </c>
      <c r="I383" t="e">
        <f ca="1">IFERROR(计算区域!AF385,NA())</f>
        <v>#N/A</v>
      </c>
      <c r="J383" t="e">
        <f ca="1">IFERROR(计算区域!AG385,NA())</f>
        <v>#N/A</v>
      </c>
      <c r="L383" t="e">
        <f ca="1">IFERROR(计算区域!L385,NA())</f>
        <v>#N/A</v>
      </c>
      <c r="M383" t="e">
        <f ca="1">IFERROR(计算区域!M385,NA())</f>
        <v>#N/A</v>
      </c>
      <c r="N383" t="e">
        <f ca="1">IFERROR(计算区域!N385,NA())</f>
        <v>#N/A</v>
      </c>
      <c r="O383" t="e">
        <f ca="1">IFERROR(计算区域!O385,NA())</f>
        <v>#N/A</v>
      </c>
      <c r="Q383" t="e">
        <f ca="1">IFERROR(计算区域!R385,NA())</f>
        <v>#N/A</v>
      </c>
      <c r="R383" t="e">
        <f ca="1">IFERROR(计算区域!S385,NA())</f>
        <v>#N/A</v>
      </c>
      <c r="S383" t="e">
        <f ca="1">IFERROR(计算区域!T385,NA())</f>
        <v>#N/A</v>
      </c>
      <c r="T383" t="e">
        <f ca="1">IFERROR(计算区域!U385,NA())</f>
        <v>#N/A</v>
      </c>
      <c r="V383" t="e">
        <f ca="1">IFERROR(计算区域!X385,NA())</f>
        <v>#N/A</v>
      </c>
      <c r="W383" t="e">
        <f ca="1">IFERROR(计算区域!Y385,NA())</f>
        <v>#N/A</v>
      </c>
      <c r="X383" t="e">
        <f ca="1">IFERROR(计算区域!Z385,NA())</f>
        <v>#N/A</v>
      </c>
      <c r="Y383" t="e">
        <f ca="1">IFERROR(计算区域!AA385,NA())</f>
        <v>#N/A</v>
      </c>
    </row>
    <row r="384" spans="1:25" x14ac:dyDescent="0.2">
      <c r="A384" s="28">
        <f>计算区域!E386</f>
        <v>45086</v>
      </c>
      <c r="B384" t="e">
        <f ca="1">IFERROR(计算区域!AJ386,NA())</f>
        <v>#N/A</v>
      </c>
      <c r="C384" t="e">
        <f ca="1">IFERROR(计算区域!AK386,NA())</f>
        <v>#N/A</v>
      </c>
      <c r="D384" t="e">
        <f ca="1">IFERROR(计算区域!AL386,NA())</f>
        <v>#N/A</v>
      </c>
      <c r="E384" t="e">
        <f ca="1">IFERROR(计算区域!AM386,NA())</f>
        <v>#N/A</v>
      </c>
      <c r="G384" t="e">
        <f ca="1">IFERROR(计算区域!AD386,NA())</f>
        <v>#N/A</v>
      </c>
      <c r="H384" t="e">
        <f ca="1">IFERROR(计算区域!AE386,NA())</f>
        <v>#N/A</v>
      </c>
      <c r="I384" t="e">
        <f ca="1">IFERROR(计算区域!AF386,NA())</f>
        <v>#N/A</v>
      </c>
      <c r="J384" t="e">
        <f ca="1">IFERROR(计算区域!AG386,NA())</f>
        <v>#N/A</v>
      </c>
      <c r="L384" t="e">
        <f ca="1">IFERROR(计算区域!L386,NA())</f>
        <v>#N/A</v>
      </c>
      <c r="M384" t="e">
        <f ca="1">IFERROR(计算区域!M386,NA())</f>
        <v>#N/A</v>
      </c>
      <c r="N384" t="e">
        <f ca="1">IFERROR(计算区域!N386,NA())</f>
        <v>#N/A</v>
      </c>
      <c r="O384" t="e">
        <f ca="1">IFERROR(计算区域!O386,NA())</f>
        <v>#N/A</v>
      </c>
      <c r="Q384" t="e">
        <f ca="1">IFERROR(计算区域!R386,NA())</f>
        <v>#N/A</v>
      </c>
      <c r="R384" t="e">
        <f ca="1">IFERROR(计算区域!S386,NA())</f>
        <v>#N/A</v>
      </c>
      <c r="S384" t="e">
        <f ca="1">IFERROR(计算区域!T386,NA())</f>
        <v>#N/A</v>
      </c>
      <c r="T384" t="e">
        <f ca="1">IFERROR(计算区域!U386,NA())</f>
        <v>#N/A</v>
      </c>
      <c r="V384" t="e">
        <f ca="1">IFERROR(计算区域!X386,NA())</f>
        <v>#N/A</v>
      </c>
      <c r="W384" t="e">
        <f ca="1">IFERROR(计算区域!Y386,NA())</f>
        <v>#N/A</v>
      </c>
      <c r="X384" t="e">
        <f ca="1">IFERROR(计算区域!Z386,NA())</f>
        <v>#N/A</v>
      </c>
      <c r="Y384" t="e">
        <f ca="1">IFERROR(计算区域!AA386,NA())</f>
        <v>#N/A</v>
      </c>
    </row>
    <row r="385" spans="1:25" x14ac:dyDescent="0.2">
      <c r="A385" s="28">
        <f>计算区域!E387</f>
        <v>45085</v>
      </c>
      <c r="B385" t="e">
        <f ca="1">IFERROR(计算区域!AJ387,NA())</f>
        <v>#N/A</v>
      </c>
      <c r="C385" t="e">
        <f ca="1">IFERROR(计算区域!AK387,NA())</f>
        <v>#N/A</v>
      </c>
      <c r="D385" t="e">
        <f ca="1">IFERROR(计算区域!AL387,NA())</f>
        <v>#N/A</v>
      </c>
      <c r="E385" t="e">
        <f ca="1">IFERROR(计算区域!AM387,NA())</f>
        <v>#N/A</v>
      </c>
      <c r="G385" t="e">
        <f ca="1">IFERROR(计算区域!AD387,NA())</f>
        <v>#N/A</v>
      </c>
      <c r="H385" t="e">
        <f ca="1">IFERROR(计算区域!AE387,NA())</f>
        <v>#N/A</v>
      </c>
      <c r="I385" t="e">
        <f ca="1">IFERROR(计算区域!AF387,NA())</f>
        <v>#N/A</v>
      </c>
      <c r="J385" t="e">
        <f ca="1">IFERROR(计算区域!AG387,NA())</f>
        <v>#N/A</v>
      </c>
      <c r="L385" t="e">
        <f ca="1">IFERROR(计算区域!L387,NA())</f>
        <v>#N/A</v>
      </c>
      <c r="M385" t="e">
        <f ca="1">IFERROR(计算区域!M387,NA())</f>
        <v>#N/A</v>
      </c>
      <c r="N385" t="e">
        <f ca="1">IFERROR(计算区域!N387,NA())</f>
        <v>#N/A</v>
      </c>
      <c r="O385" t="e">
        <f ca="1">IFERROR(计算区域!O387,NA())</f>
        <v>#N/A</v>
      </c>
      <c r="Q385" t="e">
        <f ca="1">IFERROR(计算区域!R387,NA())</f>
        <v>#N/A</v>
      </c>
      <c r="R385" t="e">
        <f ca="1">IFERROR(计算区域!S387,NA())</f>
        <v>#N/A</v>
      </c>
      <c r="S385" t="e">
        <f ca="1">IFERROR(计算区域!T387,NA())</f>
        <v>#N/A</v>
      </c>
      <c r="T385" t="e">
        <f ca="1">IFERROR(计算区域!U387,NA())</f>
        <v>#N/A</v>
      </c>
      <c r="V385" t="e">
        <f ca="1">IFERROR(计算区域!X387,NA())</f>
        <v>#N/A</v>
      </c>
      <c r="W385" t="e">
        <f ca="1">IFERROR(计算区域!Y387,NA())</f>
        <v>#N/A</v>
      </c>
      <c r="X385" t="e">
        <f ca="1">IFERROR(计算区域!Z387,NA())</f>
        <v>#N/A</v>
      </c>
      <c r="Y385" t="e">
        <f ca="1">IFERROR(计算区域!AA387,NA())</f>
        <v>#N/A</v>
      </c>
    </row>
    <row r="386" spans="1:25" x14ac:dyDescent="0.2">
      <c r="A386" s="28">
        <f>计算区域!E388</f>
        <v>45084</v>
      </c>
      <c r="B386" t="e">
        <f ca="1">IFERROR(计算区域!AJ388,NA())</f>
        <v>#N/A</v>
      </c>
      <c r="C386" t="e">
        <f ca="1">IFERROR(计算区域!AK388,NA())</f>
        <v>#N/A</v>
      </c>
      <c r="D386" t="e">
        <f ca="1">IFERROR(计算区域!AL388,NA())</f>
        <v>#N/A</v>
      </c>
      <c r="E386" t="e">
        <f ca="1">IFERROR(计算区域!AM388,NA())</f>
        <v>#N/A</v>
      </c>
      <c r="G386" t="e">
        <f ca="1">IFERROR(计算区域!AD388,NA())</f>
        <v>#N/A</v>
      </c>
      <c r="H386" t="e">
        <f ca="1">IFERROR(计算区域!AE388,NA())</f>
        <v>#N/A</v>
      </c>
      <c r="I386" t="e">
        <f ca="1">IFERROR(计算区域!AF388,NA())</f>
        <v>#N/A</v>
      </c>
      <c r="J386" t="e">
        <f ca="1">IFERROR(计算区域!AG388,NA())</f>
        <v>#N/A</v>
      </c>
      <c r="L386" t="e">
        <f ca="1">IFERROR(计算区域!L388,NA())</f>
        <v>#N/A</v>
      </c>
      <c r="M386" t="e">
        <f ca="1">IFERROR(计算区域!M388,NA())</f>
        <v>#N/A</v>
      </c>
      <c r="N386" t="e">
        <f ca="1">IFERROR(计算区域!N388,NA())</f>
        <v>#N/A</v>
      </c>
      <c r="O386" t="e">
        <f ca="1">IFERROR(计算区域!O388,NA())</f>
        <v>#N/A</v>
      </c>
      <c r="Q386" t="e">
        <f ca="1">IFERROR(计算区域!R388,NA())</f>
        <v>#N/A</v>
      </c>
      <c r="R386" t="e">
        <f ca="1">IFERROR(计算区域!S388,NA())</f>
        <v>#N/A</v>
      </c>
      <c r="S386" t="e">
        <f ca="1">IFERROR(计算区域!T388,NA())</f>
        <v>#N/A</v>
      </c>
      <c r="T386" t="e">
        <f ca="1">IFERROR(计算区域!U388,NA())</f>
        <v>#N/A</v>
      </c>
      <c r="V386" t="e">
        <f ca="1">IFERROR(计算区域!X388,NA())</f>
        <v>#N/A</v>
      </c>
      <c r="W386" t="e">
        <f ca="1">IFERROR(计算区域!Y388,NA())</f>
        <v>#N/A</v>
      </c>
      <c r="X386" t="e">
        <f ca="1">IFERROR(计算区域!Z388,NA())</f>
        <v>#N/A</v>
      </c>
      <c r="Y386" t="e">
        <f ca="1">IFERROR(计算区域!AA388,NA())</f>
        <v>#N/A</v>
      </c>
    </row>
    <row r="387" spans="1:25" x14ac:dyDescent="0.2">
      <c r="A387" s="28">
        <f>计算区域!E389</f>
        <v>45083</v>
      </c>
      <c r="B387" t="e">
        <f ca="1">IFERROR(计算区域!AJ389,NA())</f>
        <v>#N/A</v>
      </c>
      <c r="C387" t="e">
        <f ca="1">IFERROR(计算区域!AK389,NA())</f>
        <v>#N/A</v>
      </c>
      <c r="D387" t="e">
        <f ca="1">IFERROR(计算区域!AL389,NA())</f>
        <v>#N/A</v>
      </c>
      <c r="E387" t="e">
        <f ca="1">IFERROR(计算区域!AM389,NA())</f>
        <v>#N/A</v>
      </c>
      <c r="G387" t="e">
        <f ca="1">IFERROR(计算区域!AD389,NA())</f>
        <v>#N/A</v>
      </c>
      <c r="H387" t="e">
        <f ca="1">IFERROR(计算区域!AE389,NA())</f>
        <v>#N/A</v>
      </c>
      <c r="I387" t="e">
        <f ca="1">IFERROR(计算区域!AF389,NA())</f>
        <v>#N/A</v>
      </c>
      <c r="J387" t="e">
        <f ca="1">IFERROR(计算区域!AG389,NA())</f>
        <v>#N/A</v>
      </c>
      <c r="L387" t="e">
        <f ca="1">IFERROR(计算区域!L389,NA())</f>
        <v>#N/A</v>
      </c>
      <c r="M387" t="e">
        <f ca="1">IFERROR(计算区域!M389,NA())</f>
        <v>#N/A</v>
      </c>
      <c r="N387" t="e">
        <f ca="1">IFERROR(计算区域!N389,NA())</f>
        <v>#N/A</v>
      </c>
      <c r="O387" t="e">
        <f ca="1">IFERROR(计算区域!O389,NA())</f>
        <v>#N/A</v>
      </c>
      <c r="Q387" t="e">
        <f ca="1">IFERROR(计算区域!R389,NA())</f>
        <v>#N/A</v>
      </c>
      <c r="R387" t="e">
        <f ca="1">IFERROR(计算区域!S389,NA())</f>
        <v>#N/A</v>
      </c>
      <c r="S387" t="e">
        <f ca="1">IFERROR(计算区域!T389,NA())</f>
        <v>#N/A</v>
      </c>
      <c r="T387" t="e">
        <f ca="1">IFERROR(计算区域!U389,NA())</f>
        <v>#N/A</v>
      </c>
      <c r="V387" t="e">
        <f ca="1">IFERROR(计算区域!X389,NA())</f>
        <v>#N/A</v>
      </c>
      <c r="W387" t="e">
        <f ca="1">IFERROR(计算区域!Y389,NA())</f>
        <v>#N/A</v>
      </c>
      <c r="X387" t="e">
        <f ca="1">IFERROR(计算区域!Z389,NA())</f>
        <v>#N/A</v>
      </c>
      <c r="Y387" t="e">
        <f ca="1">IFERROR(计算区域!AA389,NA())</f>
        <v>#N/A</v>
      </c>
    </row>
    <row r="388" spans="1:25" x14ac:dyDescent="0.2">
      <c r="A388" s="28">
        <f>计算区域!E390</f>
        <v>45082</v>
      </c>
      <c r="B388" t="e">
        <f ca="1">IFERROR(计算区域!AJ390,NA())</f>
        <v>#N/A</v>
      </c>
      <c r="C388" t="e">
        <f ca="1">IFERROR(计算区域!AK390,NA())</f>
        <v>#N/A</v>
      </c>
      <c r="D388" t="e">
        <f ca="1">IFERROR(计算区域!AL390,NA())</f>
        <v>#N/A</v>
      </c>
      <c r="E388" t="e">
        <f ca="1">IFERROR(计算区域!AM390,NA())</f>
        <v>#N/A</v>
      </c>
      <c r="G388" t="e">
        <f ca="1">IFERROR(计算区域!AD390,NA())</f>
        <v>#N/A</v>
      </c>
      <c r="H388" t="e">
        <f ca="1">IFERROR(计算区域!AE390,NA())</f>
        <v>#N/A</v>
      </c>
      <c r="I388" t="e">
        <f ca="1">IFERROR(计算区域!AF390,NA())</f>
        <v>#N/A</v>
      </c>
      <c r="J388" t="e">
        <f ca="1">IFERROR(计算区域!AG390,NA())</f>
        <v>#N/A</v>
      </c>
      <c r="L388" t="e">
        <f ca="1">IFERROR(计算区域!L390,NA())</f>
        <v>#N/A</v>
      </c>
      <c r="M388" t="e">
        <f ca="1">IFERROR(计算区域!M390,NA())</f>
        <v>#N/A</v>
      </c>
      <c r="N388" t="e">
        <f ca="1">IFERROR(计算区域!N390,NA())</f>
        <v>#N/A</v>
      </c>
      <c r="O388" t="e">
        <f ca="1">IFERROR(计算区域!O390,NA())</f>
        <v>#N/A</v>
      </c>
      <c r="Q388" t="e">
        <f ca="1">IFERROR(计算区域!R390,NA())</f>
        <v>#N/A</v>
      </c>
      <c r="R388" t="e">
        <f ca="1">IFERROR(计算区域!S390,NA())</f>
        <v>#N/A</v>
      </c>
      <c r="S388" t="e">
        <f ca="1">IFERROR(计算区域!T390,NA())</f>
        <v>#N/A</v>
      </c>
      <c r="T388" t="e">
        <f ca="1">IFERROR(计算区域!U390,NA())</f>
        <v>#N/A</v>
      </c>
      <c r="V388" t="e">
        <f ca="1">IFERROR(计算区域!X390,NA())</f>
        <v>#N/A</v>
      </c>
      <c r="W388" t="e">
        <f ca="1">IFERROR(计算区域!Y390,NA())</f>
        <v>#N/A</v>
      </c>
      <c r="X388" t="e">
        <f ca="1">IFERROR(计算区域!Z390,NA())</f>
        <v>#N/A</v>
      </c>
      <c r="Y388" t="e">
        <f ca="1">IFERROR(计算区域!AA390,NA())</f>
        <v>#N/A</v>
      </c>
    </row>
    <row r="389" spans="1:25" x14ac:dyDescent="0.2">
      <c r="A389" s="28">
        <f>计算区域!E391</f>
        <v>45079</v>
      </c>
      <c r="B389" t="e">
        <f ca="1">IFERROR(计算区域!AJ391,NA())</f>
        <v>#N/A</v>
      </c>
      <c r="C389" t="e">
        <f ca="1">IFERROR(计算区域!AK391,NA())</f>
        <v>#N/A</v>
      </c>
      <c r="D389" t="e">
        <f ca="1">IFERROR(计算区域!AL391,NA())</f>
        <v>#N/A</v>
      </c>
      <c r="E389" t="e">
        <f ca="1">IFERROR(计算区域!AM391,NA())</f>
        <v>#N/A</v>
      </c>
      <c r="G389" t="e">
        <f ca="1">IFERROR(计算区域!AD391,NA())</f>
        <v>#N/A</v>
      </c>
      <c r="H389" t="e">
        <f ca="1">IFERROR(计算区域!AE391,NA())</f>
        <v>#N/A</v>
      </c>
      <c r="I389" t="e">
        <f ca="1">IFERROR(计算区域!AF391,NA())</f>
        <v>#N/A</v>
      </c>
      <c r="J389" t="e">
        <f ca="1">IFERROR(计算区域!AG391,NA())</f>
        <v>#N/A</v>
      </c>
      <c r="L389" t="e">
        <f ca="1">IFERROR(计算区域!L391,NA())</f>
        <v>#N/A</v>
      </c>
      <c r="M389" t="e">
        <f ca="1">IFERROR(计算区域!M391,NA())</f>
        <v>#N/A</v>
      </c>
      <c r="N389" t="e">
        <f ca="1">IFERROR(计算区域!N391,NA())</f>
        <v>#N/A</v>
      </c>
      <c r="O389" t="e">
        <f ca="1">IFERROR(计算区域!O391,NA())</f>
        <v>#N/A</v>
      </c>
      <c r="Q389" t="e">
        <f ca="1">IFERROR(计算区域!R391,NA())</f>
        <v>#N/A</v>
      </c>
      <c r="R389" t="e">
        <f ca="1">IFERROR(计算区域!S391,NA())</f>
        <v>#N/A</v>
      </c>
      <c r="S389" t="e">
        <f ca="1">IFERROR(计算区域!T391,NA())</f>
        <v>#N/A</v>
      </c>
      <c r="T389" t="e">
        <f ca="1">IFERROR(计算区域!U391,NA())</f>
        <v>#N/A</v>
      </c>
      <c r="V389" t="e">
        <f ca="1">IFERROR(计算区域!X391,NA())</f>
        <v>#N/A</v>
      </c>
      <c r="W389" t="e">
        <f ca="1">IFERROR(计算区域!Y391,NA())</f>
        <v>#N/A</v>
      </c>
      <c r="X389" t="e">
        <f ca="1">IFERROR(计算区域!Z391,NA())</f>
        <v>#N/A</v>
      </c>
      <c r="Y389" t="e">
        <f ca="1">IFERROR(计算区域!AA391,NA())</f>
        <v>#N/A</v>
      </c>
    </row>
    <row r="390" spans="1:25" x14ac:dyDescent="0.2">
      <c r="A390" s="28">
        <f>计算区域!E392</f>
        <v>45078</v>
      </c>
      <c r="B390" t="e">
        <f ca="1">IFERROR(计算区域!AJ392,NA())</f>
        <v>#N/A</v>
      </c>
      <c r="C390" t="e">
        <f ca="1">IFERROR(计算区域!AK392,NA())</f>
        <v>#N/A</v>
      </c>
      <c r="D390" t="e">
        <f ca="1">IFERROR(计算区域!AL392,NA())</f>
        <v>#N/A</v>
      </c>
      <c r="E390" t="e">
        <f ca="1">IFERROR(计算区域!AM392,NA())</f>
        <v>#N/A</v>
      </c>
      <c r="G390" t="e">
        <f ca="1">IFERROR(计算区域!AD392,NA())</f>
        <v>#N/A</v>
      </c>
      <c r="H390" t="e">
        <f ca="1">IFERROR(计算区域!AE392,NA())</f>
        <v>#N/A</v>
      </c>
      <c r="I390" t="e">
        <f ca="1">IFERROR(计算区域!AF392,NA())</f>
        <v>#N/A</v>
      </c>
      <c r="J390" t="e">
        <f ca="1">IFERROR(计算区域!AG392,NA())</f>
        <v>#N/A</v>
      </c>
      <c r="L390" t="e">
        <f ca="1">IFERROR(计算区域!L392,NA())</f>
        <v>#N/A</v>
      </c>
      <c r="M390" t="e">
        <f ca="1">IFERROR(计算区域!M392,NA())</f>
        <v>#N/A</v>
      </c>
      <c r="N390" t="e">
        <f ca="1">IFERROR(计算区域!N392,NA())</f>
        <v>#N/A</v>
      </c>
      <c r="O390" t="e">
        <f ca="1">IFERROR(计算区域!O392,NA())</f>
        <v>#N/A</v>
      </c>
      <c r="Q390" t="e">
        <f ca="1">IFERROR(计算区域!R392,NA())</f>
        <v>#N/A</v>
      </c>
      <c r="R390" t="e">
        <f ca="1">IFERROR(计算区域!S392,NA())</f>
        <v>#N/A</v>
      </c>
      <c r="S390" t="e">
        <f ca="1">IFERROR(计算区域!T392,NA())</f>
        <v>#N/A</v>
      </c>
      <c r="T390" t="e">
        <f ca="1">IFERROR(计算区域!U392,NA())</f>
        <v>#N/A</v>
      </c>
      <c r="V390" t="e">
        <f ca="1">IFERROR(计算区域!X392,NA())</f>
        <v>#N/A</v>
      </c>
      <c r="W390" t="e">
        <f ca="1">IFERROR(计算区域!Y392,NA())</f>
        <v>#N/A</v>
      </c>
      <c r="X390" t="e">
        <f ca="1">IFERROR(计算区域!Z392,NA())</f>
        <v>#N/A</v>
      </c>
      <c r="Y390" t="e">
        <f ca="1">IFERROR(计算区域!AA392,NA())</f>
        <v>#N/A</v>
      </c>
    </row>
    <row r="391" spans="1:25" x14ac:dyDescent="0.2">
      <c r="A391" s="28">
        <f>计算区域!E393</f>
        <v>45077</v>
      </c>
      <c r="B391" t="e">
        <f ca="1">IFERROR(计算区域!AJ393,NA())</f>
        <v>#N/A</v>
      </c>
      <c r="C391" t="e">
        <f ca="1">IFERROR(计算区域!AK393,NA())</f>
        <v>#N/A</v>
      </c>
      <c r="D391" t="e">
        <f ca="1">IFERROR(计算区域!AL393,NA())</f>
        <v>#N/A</v>
      </c>
      <c r="E391" t="e">
        <f ca="1">IFERROR(计算区域!AM393,NA())</f>
        <v>#N/A</v>
      </c>
      <c r="G391" t="e">
        <f ca="1">IFERROR(计算区域!AD393,NA())</f>
        <v>#N/A</v>
      </c>
      <c r="H391" t="e">
        <f ca="1">IFERROR(计算区域!AE393,NA())</f>
        <v>#N/A</v>
      </c>
      <c r="I391" t="e">
        <f ca="1">IFERROR(计算区域!AF393,NA())</f>
        <v>#N/A</v>
      </c>
      <c r="J391" t="e">
        <f ca="1">IFERROR(计算区域!AG393,NA())</f>
        <v>#N/A</v>
      </c>
      <c r="L391" t="e">
        <f ca="1">IFERROR(计算区域!L393,NA())</f>
        <v>#N/A</v>
      </c>
      <c r="M391" t="e">
        <f ca="1">IFERROR(计算区域!M393,NA())</f>
        <v>#N/A</v>
      </c>
      <c r="N391" t="e">
        <f ca="1">IFERROR(计算区域!N393,NA())</f>
        <v>#N/A</v>
      </c>
      <c r="O391" t="e">
        <f ca="1">IFERROR(计算区域!O393,NA())</f>
        <v>#N/A</v>
      </c>
      <c r="Q391" t="e">
        <f ca="1">IFERROR(计算区域!R393,NA())</f>
        <v>#N/A</v>
      </c>
      <c r="R391" t="e">
        <f ca="1">IFERROR(计算区域!S393,NA())</f>
        <v>#N/A</v>
      </c>
      <c r="S391" t="e">
        <f ca="1">IFERROR(计算区域!T393,NA())</f>
        <v>#N/A</v>
      </c>
      <c r="T391" t="e">
        <f ca="1">IFERROR(计算区域!U393,NA())</f>
        <v>#N/A</v>
      </c>
      <c r="V391" t="e">
        <f ca="1">IFERROR(计算区域!X393,NA())</f>
        <v>#N/A</v>
      </c>
      <c r="W391" t="e">
        <f ca="1">IFERROR(计算区域!Y393,NA())</f>
        <v>#N/A</v>
      </c>
      <c r="X391" t="e">
        <f ca="1">IFERROR(计算区域!Z393,NA())</f>
        <v>#N/A</v>
      </c>
      <c r="Y391" t="e">
        <f ca="1">IFERROR(计算区域!AA393,NA())</f>
        <v>#N/A</v>
      </c>
    </row>
    <row r="392" spans="1:25" x14ac:dyDescent="0.2">
      <c r="A392" s="28">
        <f>计算区域!E394</f>
        <v>45076</v>
      </c>
      <c r="B392" t="e">
        <f ca="1">IFERROR(计算区域!AJ394,NA())</f>
        <v>#N/A</v>
      </c>
      <c r="C392" t="e">
        <f ca="1">IFERROR(计算区域!AK394,NA())</f>
        <v>#N/A</v>
      </c>
      <c r="D392" t="e">
        <f ca="1">IFERROR(计算区域!AL394,NA())</f>
        <v>#N/A</v>
      </c>
      <c r="E392" t="e">
        <f ca="1">IFERROR(计算区域!AM394,NA())</f>
        <v>#N/A</v>
      </c>
      <c r="G392" t="e">
        <f ca="1">IFERROR(计算区域!AD394,NA())</f>
        <v>#N/A</v>
      </c>
      <c r="H392" t="e">
        <f ca="1">IFERROR(计算区域!AE394,NA())</f>
        <v>#N/A</v>
      </c>
      <c r="I392" t="e">
        <f ca="1">IFERROR(计算区域!AF394,NA())</f>
        <v>#N/A</v>
      </c>
      <c r="J392" t="e">
        <f ca="1">IFERROR(计算区域!AG394,NA())</f>
        <v>#N/A</v>
      </c>
      <c r="L392" t="e">
        <f ca="1">IFERROR(计算区域!L394,NA())</f>
        <v>#N/A</v>
      </c>
      <c r="M392" t="e">
        <f ca="1">IFERROR(计算区域!M394,NA())</f>
        <v>#N/A</v>
      </c>
      <c r="N392" t="e">
        <f ca="1">IFERROR(计算区域!N394,NA())</f>
        <v>#N/A</v>
      </c>
      <c r="O392" t="e">
        <f ca="1">IFERROR(计算区域!O394,NA())</f>
        <v>#N/A</v>
      </c>
      <c r="Q392" t="e">
        <f ca="1">IFERROR(计算区域!R394,NA())</f>
        <v>#N/A</v>
      </c>
      <c r="R392" t="e">
        <f ca="1">IFERROR(计算区域!S394,NA())</f>
        <v>#N/A</v>
      </c>
      <c r="S392" t="e">
        <f ca="1">IFERROR(计算区域!T394,NA())</f>
        <v>#N/A</v>
      </c>
      <c r="T392" t="e">
        <f ca="1">IFERROR(计算区域!U394,NA())</f>
        <v>#N/A</v>
      </c>
      <c r="V392" t="e">
        <f ca="1">IFERROR(计算区域!X394,NA())</f>
        <v>#N/A</v>
      </c>
      <c r="W392" t="e">
        <f ca="1">IFERROR(计算区域!Y394,NA())</f>
        <v>#N/A</v>
      </c>
      <c r="X392" t="e">
        <f ca="1">IFERROR(计算区域!Z394,NA())</f>
        <v>#N/A</v>
      </c>
      <c r="Y392" t="e">
        <f ca="1">IFERROR(计算区域!AA394,NA())</f>
        <v>#N/A</v>
      </c>
    </row>
    <row r="393" spans="1:25" x14ac:dyDescent="0.2">
      <c r="A393" s="28">
        <f>计算区域!E395</f>
        <v>45075</v>
      </c>
      <c r="B393" t="e">
        <f ca="1">IFERROR(计算区域!AJ395,NA())</f>
        <v>#N/A</v>
      </c>
      <c r="C393" t="e">
        <f ca="1">IFERROR(计算区域!AK395,NA())</f>
        <v>#N/A</v>
      </c>
      <c r="D393" t="e">
        <f ca="1">IFERROR(计算区域!AL395,NA())</f>
        <v>#N/A</v>
      </c>
      <c r="E393" t="e">
        <f ca="1">IFERROR(计算区域!AM395,NA())</f>
        <v>#N/A</v>
      </c>
      <c r="G393" t="e">
        <f ca="1">IFERROR(计算区域!AD395,NA())</f>
        <v>#N/A</v>
      </c>
      <c r="H393" t="e">
        <f ca="1">IFERROR(计算区域!AE395,NA())</f>
        <v>#N/A</v>
      </c>
      <c r="I393" t="e">
        <f ca="1">IFERROR(计算区域!AF395,NA())</f>
        <v>#N/A</v>
      </c>
      <c r="J393" t="e">
        <f ca="1">IFERROR(计算区域!AG395,NA())</f>
        <v>#N/A</v>
      </c>
      <c r="L393" t="e">
        <f ca="1">IFERROR(计算区域!L395,NA())</f>
        <v>#N/A</v>
      </c>
      <c r="M393" t="e">
        <f ca="1">IFERROR(计算区域!M395,NA())</f>
        <v>#N/A</v>
      </c>
      <c r="N393" t="e">
        <f ca="1">IFERROR(计算区域!N395,NA())</f>
        <v>#N/A</v>
      </c>
      <c r="O393" t="e">
        <f ca="1">IFERROR(计算区域!O395,NA())</f>
        <v>#N/A</v>
      </c>
      <c r="Q393" t="e">
        <f ca="1">IFERROR(计算区域!R395,NA())</f>
        <v>#N/A</v>
      </c>
      <c r="R393" t="e">
        <f ca="1">IFERROR(计算区域!S395,NA())</f>
        <v>#N/A</v>
      </c>
      <c r="S393" t="e">
        <f ca="1">IFERROR(计算区域!T395,NA())</f>
        <v>#N/A</v>
      </c>
      <c r="T393" t="e">
        <f ca="1">IFERROR(计算区域!U395,NA())</f>
        <v>#N/A</v>
      </c>
      <c r="V393" t="e">
        <f ca="1">IFERROR(计算区域!X395,NA())</f>
        <v>#N/A</v>
      </c>
      <c r="W393" t="e">
        <f ca="1">IFERROR(计算区域!Y395,NA())</f>
        <v>#N/A</v>
      </c>
      <c r="X393" t="e">
        <f ca="1">IFERROR(计算区域!Z395,NA())</f>
        <v>#N/A</v>
      </c>
      <c r="Y393" t="e">
        <f ca="1">IFERROR(计算区域!AA395,NA())</f>
        <v>#N/A</v>
      </c>
    </row>
    <row r="394" spans="1:25" x14ac:dyDescent="0.2">
      <c r="A394" s="28">
        <f>计算区域!E396</f>
        <v>45072</v>
      </c>
      <c r="B394" t="e">
        <f ca="1">IFERROR(计算区域!AJ396,NA())</f>
        <v>#N/A</v>
      </c>
      <c r="C394" t="e">
        <f ca="1">IFERROR(计算区域!AK396,NA())</f>
        <v>#N/A</v>
      </c>
      <c r="D394" t="e">
        <f ca="1">IFERROR(计算区域!AL396,NA())</f>
        <v>#N/A</v>
      </c>
      <c r="E394" t="e">
        <f ca="1">IFERROR(计算区域!AM396,NA())</f>
        <v>#N/A</v>
      </c>
      <c r="G394" t="e">
        <f ca="1">IFERROR(计算区域!AD396,NA())</f>
        <v>#N/A</v>
      </c>
      <c r="H394" t="e">
        <f ca="1">IFERROR(计算区域!AE396,NA())</f>
        <v>#N/A</v>
      </c>
      <c r="I394" t="e">
        <f ca="1">IFERROR(计算区域!AF396,NA())</f>
        <v>#N/A</v>
      </c>
      <c r="J394" t="e">
        <f ca="1">IFERROR(计算区域!AG396,NA())</f>
        <v>#N/A</v>
      </c>
      <c r="L394" t="e">
        <f ca="1">IFERROR(计算区域!L396,NA())</f>
        <v>#N/A</v>
      </c>
      <c r="M394" t="e">
        <f ca="1">IFERROR(计算区域!M396,NA())</f>
        <v>#N/A</v>
      </c>
      <c r="N394" t="e">
        <f ca="1">IFERROR(计算区域!N396,NA())</f>
        <v>#N/A</v>
      </c>
      <c r="O394" t="e">
        <f ca="1">IFERROR(计算区域!O396,NA())</f>
        <v>#N/A</v>
      </c>
      <c r="Q394" t="e">
        <f ca="1">IFERROR(计算区域!R396,NA())</f>
        <v>#N/A</v>
      </c>
      <c r="R394" t="e">
        <f ca="1">IFERROR(计算区域!S396,NA())</f>
        <v>#N/A</v>
      </c>
      <c r="S394" t="e">
        <f ca="1">IFERROR(计算区域!T396,NA())</f>
        <v>#N/A</v>
      </c>
      <c r="T394" t="e">
        <f ca="1">IFERROR(计算区域!U396,NA())</f>
        <v>#N/A</v>
      </c>
      <c r="V394" t="e">
        <f ca="1">IFERROR(计算区域!X396,NA())</f>
        <v>#N/A</v>
      </c>
      <c r="W394" t="e">
        <f ca="1">IFERROR(计算区域!Y396,NA())</f>
        <v>#N/A</v>
      </c>
      <c r="X394" t="e">
        <f ca="1">IFERROR(计算区域!Z396,NA())</f>
        <v>#N/A</v>
      </c>
      <c r="Y394" t="e">
        <f ca="1">IFERROR(计算区域!AA396,NA())</f>
        <v>#N/A</v>
      </c>
    </row>
    <row r="395" spans="1:25" x14ac:dyDescent="0.2">
      <c r="A395" s="28">
        <f>计算区域!E397</f>
        <v>45071</v>
      </c>
      <c r="B395" t="e">
        <f ca="1">IFERROR(计算区域!AJ397,NA())</f>
        <v>#N/A</v>
      </c>
      <c r="C395" t="e">
        <f ca="1">IFERROR(计算区域!AK397,NA())</f>
        <v>#N/A</v>
      </c>
      <c r="D395" t="e">
        <f ca="1">IFERROR(计算区域!AL397,NA())</f>
        <v>#N/A</v>
      </c>
      <c r="E395" t="e">
        <f ca="1">IFERROR(计算区域!AM397,NA())</f>
        <v>#N/A</v>
      </c>
      <c r="G395" t="e">
        <f ca="1">IFERROR(计算区域!AD397,NA())</f>
        <v>#N/A</v>
      </c>
      <c r="H395" t="e">
        <f ca="1">IFERROR(计算区域!AE397,NA())</f>
        <v>#N/A</v>
      </c>
      <c r="I395" t="e">
        <f ca="1">IFERROR(计算区域!AF397,NA())</f>
        <v>#N/A</v>
      </c>
      <c r="J395" t="e">
        <f ca="1">IFERROR(计算区域!AG397,NA())</f>
        <v>#N/A</v>
      </c>
      <c r="L395" t="e">
        <f ca="1">IFERROR(计算区域!L397,NA())</f>
        <v>#N/A</v>
      </c>
      <c r="M395" t="e">
        <f ca="1">IFERROR(计算区域!M397,NA())</f>
        <v>#N/A</v>
      </c>
      <c r="N395" t="e">
        <f ca="1">IFERROR(计算区域!N397,NA())</f>
        <v>#N/A</v>
      </c>
      <c r="O395" t="e">
        <f ca="1">IFERROR(计算区域!O397,NA())</f>
        <v>#N/A</v>
      </c>
      <c r="Q395" t="e">
        <f ca="1">IFERROR(计算区域!R397,NA())</f>
        <v>#N/A</v>
      </c>
      <c r="R395" t="e">
        <f ca="1">IFERROR(计算区域!S397,NA())</f>
        <v>#N/A</v>
      </c>
      <c r="S395" t="e">
        <f ca="1">IFERROR(计算区域!T397,NA())</f>
        <v>#N/A</v>
      </c>
      <c r="T395" t="e">
        <f ca="1">IFERROR(计算区域!U397,NA())</f>
        <v>#N/A</v>
      </c>
      <c r="V395" t="e">
        <f ca="1">IFERROR(计算区域!X397,NA())</f>
        <v>#N/A</v>
      </c>
      <c r="W395" t="e">
        <f ca="1">IFERROR(计算区域!Y397,NA())</f>
        <v>#N/A</v>
      </c>
      <c r="X395" t="e">
        <f ca="1">IFERROR(计算区域!Z397,NA())</f>
        <v>#N/A</v>
      </c>
      <c r="Y395" t="e">
        <f ca="1">IFERROR(计算区域!AA397,NA())</f>
        <v>#N/A</v>
      </c>
    </row>
    <row r="396" spans="1:25" x14ac:dyDescent="0.2">
      <c r="A396" s="28">
        <f>计算区域!E398</f>
        <v>45070</v>
      </c>
      <c r="B396" t="e">
        <f ca="1">IFERROR(计算区域!AJ398,NA())</f>
        <v>#N/A</v>
      </c>
      <c r="C396" t="e">
        <f ca="1">IFERROR(计算区域!AK398,NA())</f>
        <v>#N/A</v>
      </c>
      <c r="D396" t="e">
        <f ca="1">IFERROR(计算区域!AL398,NA())</f>
        <v>#N/A</v>
      </c>
      <c r="E396" t="e">
        <f ca="1">IFERROR(计算区域!AM398,NA())</f>
        <v>#N/A</v>
      </c>
      <c r="G396" t="e">
        <f ca="1">IFERROR(计算区域!AD398,NA())</f>
        <v>#N/A</v>
      </c>
      <c r="H396" t="e">
        <f ca="1">IFERROR(计算区域!AE398,NA())</f>
        <v>#N/A</v>
      </c>
      <c r="I396" t="e">
        <f ca="1">IFERROR(计算区域!AF398,NA())</f>
        <v>#N/A</v>
      </c>
      <c r="J396" t="e">
        <f ca="1">IFERROR(计算区域!AG398,NA())</f>
        <v>#N/A</v>
      </c>
      <c r="L396" t="e">
        <f ca="1">IFERROR(计算区域!L398,NA())</f>
        <v>#N/A</v>
      </c>
      <c r="M396" t="e">
        <f ca="1">IFERROR(计算区域!M398,NA())</f>
        <v>#N/A</v>
      </c>
      <c r="N396" t="e">
        <f ca="1">IFERROR(计算区域!N398,NA())</f>
        <v>#N/A</v>
      </c>
      <c r="O396" t="e">
        <f ca="1">IFERROR(计算区域!O398,NA())</f>
        <v>#N/A</v>
      </c>
      <c r="Q396" t="e">
        <f ca="1">IFERROR(计算区域!R398,NA())</f>
        <v>#N/A</v>
      </c>
      <c r="R396" t="e">
        <f ca="1">IFERROR(计算区域!S398,NA())</f>
        <v>#N/A</v>
      </c>
      <c r="S396" t="e">
        <f ca="1">IFERROR(计算区域!T398,NA())</f>
        <v>#N/A</v>
      </c>
      <c r="T396" t="e">
        <f ca="1">IFERROR(计算区域!U398,NA())</f>
        <v>#N/A</v>
      </c>
      <c r="V396" t="e">
        <f ca="1">IFERROR(计算区域!X398,NA())</f>
        <v>#N/A</v>
      </c>
      <c r="W396" t="e">
        <f ca="1">IFERROR(计算区域!Y398,NA())</f>
        <v>#N/A</v>
      </c>
      <c r="X396" t="e">
        <f ca="1">IFERROR(计算区域!Z398,NA())</f>
        <v>#N/A</v>
      </c>
      <c r="Y396" t="e">
        <f ca="1">IFERROR(计算区域!AA398,NA())</f>
        <v>#N/A</v>
      </c>
    </row>
    <row r="397" spans="1:25" x14ac:dyDescent="0.2">
      <c r="A397" s="28">
        <f>计算区域!E399</f>
        <v>45069</v>
      </c>
      <c r="B397" t="e">
        <f ca="1">IFERROR(计算区域!AJ399,NA())</f>
        <v>#N/A</v>
      </c>
      <c r="C397" t="e">
        <f ca="1">IFERROR(计算区域!AK399,NA())</f>
        <v>#N/A</v>
      </c>
      <c r="D397" t="e">
        <f ca="1">IFERROR(计算区域!AL399,NA())</f>
        <v>#N/A</v>
      </c>
      <c r="E397" t="e">
        <f ca="1">IFERROR(计算区域!AM399,NA())</f>
        <v>#N/A</v>
      </c>
      <c r="G397" t="e">
        <f ca="1">IFERROR(计算区域!AD399,NA())</f>
        <v>#N/A</v>
      </c>
      <c r="H397" t="e">
        <f ca="1">IFERROR(计算区域!AE399,NA())</f>
        <v>#N/A</v>
      </c>
      <c r="I397" t="e">
        <f ca="1">IFERROR(计算区域!AF399,NA())</f>
        <v>#N/A</v>
      </c>
      <c r="J397" t="e">
        <f ca="1">IFERROR(计算区域!AG399,NA())</f>
        <v>#N/A</v>
      </c>
      <c r="L397" t="e">
        <f ca="1">IFERROR(计算区域!L399,NA())</f>
        <v>#N/A</v>
      </c>
      <c r="M397" t="e">
        <f ca="1">IFERROR(计算区域!M399,NA())</f>
        <v>#N/A</v>
      </c>
      <c r="N397" t="e">
        <f ca="1">IFERROR(计算区域!N399,NA())</f>
        <v>#N/A</v>
      </c>
      <c r="O397" t="e">
        <f ca="1">IFERROR(计算区域!O399,NA())</f>
        <v>#N/A</v>
      </c>
      <c r="Q397" t="e">
        <f ca="1">IFERROR(计算区域!R399,NA())</f>
        <v>#N/A</v>
      </c>
      <c r="R397" t="e">
        <f ca="1">IFERROR(计算区域!S399,NA())</f>
        <v>#N/A</v>
      </c>
      <c r="S397" t="e">
        <f ca="1">IFERROR(计算区域!T399,NA())</f>
        <v>#N/A</v>
      </c>
      <c r="T397" t="e">
        <f ca="1">IFERROR(计算区域!U399,NA())</f>
        <v>#N/A</v>
      </c>
      <c r="V397" t="e">
        <f ca="1">IFERROR(计算区域!X399,NA())</f>
        <v>#N/A</v>
      </c>
      <c r="W397" t="e">
        <f ca="1">IFERROR(计算区域!Y399,NA())</f>
        <v>#N/A</v>
      </c>
      <c r="X397" t="e">
        <f ca="1">IFERROR(计算区域!Z399,NA())</f>
        <v>#N/A</v>
      </c>
      <c r="Y397" t="e">
        <f ca="1">IFERROR(计算区域!AA399,NA())</f>
        <v>#N/A</v>
      </c>
    </row>
    <row r="398" spans="1:25" x14ac:dyDescent="0.2">
      <c r="A398" s="28">
        <f>计算区域!E400</f>
        <v>45068</v>
      </c>
      <c r="B398" t="e">
        <f ca="1">IFERROR(计算区域!AJ400,NA())</f>
        <v>#N/A</v>
      </c>
      <c r="C398" t="e">
        <f ca="1">IFERROR(计算区域!AK400,NA())</f>
        <v>#N/A</v>
      </c>
      <c r="D398" t="e">
        <f ca="1">IFERROR(计算区域!AL400,NA())</f>
        <v>#N/A</v>
      </c>
      <c r="E398" t="e">
        <f ca="1">IFERROR(计算区域!AM400,NA())</f>
        <v>#N/A</v>
      </c>
      <c r="G398" t="e">
        <f ca="1">IFERROR(计算区域!AD400,NA())</f>
        <v>#N/A</v>
      </c>
      <c r="H398" t="e">
        <f ca="1">IFERROR(计算区域!AE400,NA())</f>
        <v>#N/A</v>
      </c>
      <c r="I398" t="e">
        <f ca="1">IFERROR(计算区域!AF400,NA())</f>
        <v>#N/A</v>
      </c>
      <c r="J398" t="e">
        <f ca="1">IFERROR(计算区域!AG400,NA())</f>
        <v>#N/A</v>
      </c>
      <c r="L398" t="e">
        <f ca="1">IFERROR(计算区域!L400,NA())</f>
        <v>#N/A</v>
      </c>
      <c r="M398" t="e">
        <f ca="1">IFERROR(计算区域!M400,NA())</f>
        <v>#N/A</v>
      </c>
      <c r="N398" t="e">
        <f ca="1">IFERROR(计算区域!N400,NA())</f>
        <v>#N/A</v>
      </c>
      <c r="O398" t="e">
        <f ca="1">IFERROR(计算区域!O400,NA())</f>
        <v>#N/A</v>
      </c>
      <c r="Q398" t="e">
        <f ca="1">IFERROR(计算区域!R400,NA())</f>
        <v>#N/A</v>
      </c>
      <c r="R398" t="e">
        <f ca="1">IFERROR(计算区域!S400,NA())</f>
        <v>#N/A</v>
      </c>
      <c r="S398" t="e">
        <f ca="1">IFERROR(计算区域!T400,NA())</f>
        <v>#N/A</v>
      </c>
      <c r="T398" t="e">
        <f ca="1">IFERROR(计算区域!U400,NA())</f>
        <v>#N/A</v>
      </c>
      <c r="V398" t="e">
        <f ca="1">IFERROR(计算区域!X400,NA())</f>
        <v>#N/A</v>
      </c>
      <c r="W398" t="e">
        <f ca="1">IFERROR(计算区域!Y400,NA())</f>
        <v>#N/A</v>
      </c>
      <c r="X398" t="e">
        <f ca="1">IFERROR(计算区域!Z400,NA())</f>
        <v>#N/A</v>
      </c>
      <c r="Y398" t="e">
        <f ca="1">IFERROR(计算区域!AA400,NA())</f>
        <v>#N/A</v>
      </c>
    </row>
    <row r="399" spans="1:25" x14ac:dyDescent="0.2">
      <c r="A399" s="28">
        <f>计算区域!E401</f>
        <v>45065</v>
      </c>
      <c r="B399" t="e">
        <f ca="1">IFERROR(计算区域!AJ401,NA())</f>
        <v>#N/A</v>
      </c>
      <c r="C399" t="e">
        <f ca="1">IFERROR(计算区域!AK401,NA())</f>
        <v>#N/A</v>
      </c>
      <c r="D399" t="e">
        <f ca="1">IFERROR(计算区域!AL401,NA())</f>
        <v>#N/A</v>
      </c>
      <c r="E399" t="e">
        <f ca="1">IFERROR(计算区域!AM401,NA())</f>
        <v>#N/A</v>
      </c>
      <c r="G399" t="e">
        <f ca="1">IFERROR(计算区域!AD401,NA())</f>
        <v>#N/A</v>
      </c>
      <c r="H399" t="e">
        <f ca="1">IFERROR(计算区域!AE401,NA())</f>
        <v>#N/A</v>
      </c>
      <c r="I399" t="e">
        <f ca="1">IFERROR(计算区域!AF401,NA())</f>
        <v>#N/A</v>
      </c>
      <c r="J399" t="e">
        <f ca="1">IFERROR(计算区域!AG401,NA())</f>
        <v>#N/A</v>
      </c>
      <c r="L399" t="e">
        <f ca="1">IFERROR(计算区域!L401,NA())</f>
        <v>#N/A</v>
      </c>
      <c r="M399" t="e">
        <f ca="1">IFERROR(计算区域!M401,NA())</f>
        <v>#N/A</v>
      </c>
      <c r="N399" t="e">
        <f ca="1">IFERROR(计算区域!N401,NA())</f>
        <v>#N/A</v>
      </c>
      <c r="O399" t="e">
        <f ca="1">IFERROR(计算区域!O401,NA())</f>
        <v>#N/A</v>
      </c>
      <c r="Q399" t="e">
        <f ca="1">IFERROR(计算区域!R401,NA())</f>
        <v>#N/A</v>
      </c>
      <c r="R399" t="e">
        <f ca="1">IFERROR(计算区域!S401,NA())</f>
        <v>#N/A</v>
      </c>
      <c r="S399" t="e">
        <f ca="1">IFERROR(计算区域!T401,NA())</f>
        <v>#N/A</v>
      </c>
      <c r="T399" t="e">
        <f ca="1">IFERROR(计算区域!U401,NA())</f>
        <v>#N/A</v>
      </c>
      <c r="V399" t="e">
        <f ca="1">IFERROR(计算区域!X401,NA())</f>
        <v>#N/A</v>
      </c>
      <c r="W399" t="e">
        <f ca="1">IFERROR(计算区域!Y401,NA())</f>
        <v>#N/A</v>
      </c>
      <c r="X399" t="e">
        <f ca="1">IFERROR(计算区域!Z401,NA())</f>
        <v>#N/A</v>
      </c>
      <c r="Y399" t="e">
        <f ca="1">IFERROR(计算区域!AA401,NA())</f>
        <v>#N/A</v>
      </c>
    </row>
    <row r="400" spans="1:25" x14ac:dyDescent="0.2">
      <c r="A400" s="28">
        <f>计算区域!E402</f>
        <v>45064</v>
      </c>
      <c r="B400" t="e">
        <f ca="1">IFERROR(计算区域!AJ402,NA())</f>
        <v>#N/A</v>
      </c>
      <c r="C400" t="e">
        <f ca="1">IFERROR(计算区域!AK402,NA())</f>
        <v>#N/A</v>
      </c>
      <c r="D400" t="e">
        <f ca="1">IFERROR(计算区域!AL402,NA())</f>
        <v>#N/A</v>
      </c>
      <c r="E400" t="e">
        <f ca="1">IFERROR(计算区域!AM402,NA())</f>
        <v>#N/A</v>
      </c>
      <c r="G400" t="e">
        <f ca="1">IFERROR(计算区域!AD402,NA())</f>
        <v>#N/A</v>
      </c>
      <c r="H400" t="e">
        <f ca="1">IFERROR(计算区域!AE402,NA())</f>
        <v>#N/A</v>
      </c>
      <c r="I400" t="e">
        <f ca="1">IFERROR(计算区域!AF402,NA())</f>
        <v>#N/A</v>
      </c>
      <c r="J400" t="e">
        <f ca="1">IFERROR(计算区域!AG402,NA())</f>
        <v>#N/A</v>
      </c>
      <c r="L400" t="e">
        <f ca="1">IFERROR(计算区域!L402,NA())</f>
        <v>#N/A</v>
      </c>
      <c r="M400" t="e">
        <f ca="1">IFERROR(计算区域!M402,NA())</f>
        <v>#N/A</v>
      </c>
      <c r="N400" t="e">
        <f ca="1">IFERROR(计算区域!N402,NA())</f>
        <v>#N/A</v>
      </c>
      <c r="O400" t="e">
        <f ca="1">IFERROR(计算区域!O402,NA())</f>
        <v>#N/A</v>
      </c>
      <c r="Q400" t="e">
        <f ca="1">IFERROR(计算区域!R402,NA())</f>
        <v>#N/A</v>
      </c>
      <c r="R400" t="e">
        <f ca="1">IFERROR(计算区域!S402,NA())</f>
        <v>#N/A</v>
      </c>
      <c r="S400" t="e">
        <f ca="1">IFERROR(计算区域!T402,NA())</f>
        <v>#N/A</v>
      </c>
      <c r="T400" t="e">
        <f ca="1">IFERROR(计算区域!U402,NA())</f>
        <v>#N/A</v>
      </c>
      <c r="V400" t="e">
        <f ca="1">IFERROR(计算区域!X402,NA())</f>
        <v>#N/A</v>
      </c>
      <c r="W400" t="e">
        <f ca="1">IFERROR(计算区域!Y402,NA())</f>
        <v>#N/A</v>
      </c>
      <c r="X400" t="e">
        <f ca="1">IFERROR(计算区域!Z402,NA())</f>
        <v>#N/A</v>
      </c>
      <c r="Y400" t="e">
        <f ca="1">IFERROR(计算区域!AA402,NA())</f>
        <v>#N/A</v>
      </c>
    </row>
    <row r="401" spans="1:25" x14ac:dyDescent="0.2">
      <c r="A401" s="28">
        <f>计算区域!E403</f>
        <v>45063</v>
      </c>
      <c r="B401" t="e">
        <f ca="1">IFERROR(计算区域!AJ403,NA())</f>
        <v>#N/A</v>
      </c>
      <c r="C401" t="e">
        <f ca="1">IFERROR(计算区域!AK403,NA())</f>
        <v>#N/A</v>
      </c>
      <c r="D401" t="e">
        <f ca="1">IFERROR(计算区域!AL403,NA())</f>
        <v>#N/A</v>
      </c>
      <c r="E401" t="e">
        <f ca="1">IFERROR(计算区域!AM403,NA())</f>
        <v>#N/A</v>
      </c>
      <c r="G401" t="e">
        <f ca="1">IFERROR(计算区域!AD403,NA())</f>
        <v>#N/A</v>
      </c>
      <c r="H401" t="e">
        <f ca="1">IFERROR(计算区域!AE403,NA())</f>
        <v>#N/A</v>
      </c>
      <c r="I401" t="e">
        <f ca="1">IFERROR(计算区域!AF403,NA())</f>
        <v>#N/A</v>
      </c>
      <c r="J401" t="e">
        <f ca="1">IFERROR(计算区域!AG403,NA())</f>
        <v>#N/A</v>
      </c>
      <c r="L401" t="e">
        <f ca="1">IFERROR(计算区域!L403,NA())</f>
        <v>#N/A</v>
      </c>
      <c r="M401" t="e">
        <f ca="1">IFERROR(计算区域!M403,NA())</f>
        <v>#N/A</v>
      </c>
      <c r="N401" t="e">
        <f ca="1">IFERROR(计算区域!N403,NA())</f>
        <v>#N/A</v>
      </c>
      <c r="O401" t="e">
        <f ca="1">IFERROR(计算区域!O403,NA())</f>
        <v>#N/A</v>
      </c>
      <c r="Q401" t="e">
        <f ca="1">IFERROR(计算区域!R403,NA())</f>
        <v>#N/A</v>
      </c>
      <c r="R401" t="e">
        <f ca="1">IFERROR(计算区域!S403,NA())</f>
        <v>#N/A</v>
      </c>
      <c r="S401" t="e">
        <f ca="1">IFERROR(计算区域!T403,NA())</f>
        <v>#N/A</v>
      </c>
      <c r="T401" t="e">
        <f ca="1">IFERROR(计算区域!U403,NA())</f>
        <v>#N/A</v>
      </c>
      <c r="V401" t="e">
        <f ca="1">IFERROR(计算区域!X403,NA())</f>
        <v>#N/A</v>
      </c>
      <c r="W401" t="e">
        <f ca="1">IFERROR(计算区域!Y403,NA())</f>
        <v>#N/A</v>
      </c>
      <c r="X401" t="e">
        <f ca="1">IFERROR(计算区域!Z403,NA())</f>
        <v>#N/A</v>
      </c>
      <c r="Y401" t="e">
        <f ca="1">IFERROR(计算区域!AA403,NA())</f>
        <v>#N/A</v>
      </c>
    </row>
    <row r="402" spans="1:25" x14ac:dyDescent="0.2">
      <c r="A402" s="28">
        <f>计算区域!E404</f>
        <v>45062</v>
      </c>
      <c r="B402" t="e">
        <f ca="1">IFERROR(计算区域!AJ404,NA())</f>
        <v>#N/A</v>
      </c>
      <c r="C402" t="e">
        <f ca="1">IFERROR(计算区域!AK404,NA())</f>
        <v>#N/A</v>
      </c>
      <c r="D402" t="e">
        <f ca="1">IFERROR(计算区域!AL404,NA())</f>
        <v>#N/A</v>
      </c>
      <c r="E402" t="e">
        <f ca="1">IFERROR(计算区域!AM404,NA())</f>
        <v>#N/A</v>
      </c>
      <c r="G402" t="e">
        <f ca="1">IFERROR(计算区域!AD404,NA())</f>
        <v>#N/A</v>
      </c>
      <c r="H402" t="e">
        <f ca="1">IFERROR(计算区域!AE404,NA())</f>
        <v>#N/A</v>
      </c>
      <c r="I402" t="e">
        <f ca="1">IFERROR(计算区域!AF404,NA())</f>
        <v>#N/A</v>
      </c>
      <c r="J402" t="e">
        <f ca="1">IFERROR(计算区域!AG404,NA())</f>
        <v>#N/A</v>
      </c>
      <c r="L402" t="e">
        <f ca="1">IFERROR(计算区域!L404,NA())</f>
        <v>#N/A</v>
      </c>
      <c r="M402" t="e">
        <f ca="1">IFERROR(计算区域!M404,NA())</f>
        <v>#N/A</v>
      </c>
      <c r="N402" t="e">
        <f ca="1">IFERROR(计算区域!N404,NA())</f>
        <v>#N/A</v>
      </c>
      <c r="O402" t="e">
        <f ca="1">IFERROR(计算区域!O404,NA())</f>
        <v>#N/A</v>
      </c>
      <c r="Q402" t="e">
        <f ca="1">IFERROR(计算区域!R404,NA())</f>
        <v>#N/A</v>
      </c>
      <c r="R402" t="e">
        <f ca="1">IFERROR(计算区域!S404,NA())</f>
        <v>#N/A</v>
      </c>
      <c r="S402" t="e">
        <f ca="1">IFERROR(计算区域!T404,NA())</f>
        <v>#N/A</v>
      </c>
      <c r="T402" t="e">
        <f ca="1">IFERROR(计算区域!U404,NA())</f>
        <v>#N/A</v>
      </c>
      <c r="V402" t="e">
        <f ca="1">IFERROR(计算区域!X404,NA())</f>
        <v>#N/A</v>
      </c>
      <c r="W402" t="e">
        <f ca="1">IFERROR(计算区域!Y404,NA())</f>
        <v>#N/A</v>
      </c>
      <c r="X402" t="e">
        <f ca="1">IFERROR(计算区域!Z404,NA())</f>
        <v>#N/A</v>
      </c>
      <c r="Y402" t="e">
        <f ca="1">IFERROR(计算区域!AA404,NA())</f>
        <v>#N/A</v>
      </c>
    </row>
    <row r="403" spans="1:25" x14ac:dyDescent="0.2">
      <c r="A403" s="28">
        <f>计算区域!E405</f>
        <v>45061</v>
      </c>
      <c r="B403" t="e">
        <f ca="1">IFERROR(计算区域!AJ405,NA())</f>
        <v>#N/A</v>
      </c>
      <c r="C403" t="e">
        <f ca="1">IFERROR(计算区域!AK405,NA())</f>
        <v>#N/A</v>
      </c>
      <c r="D403" t="e">
        <f ca="1">IFERROR(计算区域!AL405,NA())</f>
        <v>#N/A</v>
      </c>
      <c r="E403" t="e">
        <f ca="1">IFERROR(计算区域!AM405,NA())</f>
        <v>#N/A</v>
      </c>
      <c r="G403" t="e">
        <f ca="1">IFERROR(计算区域!AD405,NA())</f>
        <v>#N/A</v>
      </c>
      <c r="H403" t="e">
        <f ca="1">IFERROR(计算区域!AE405,NA())</f>
        <v>#N/A</v>
      </c>
      <c r="I403" t="e">
        <f ca="1">IFERROR(计算区域!AF405,NA())</f>
        <v>#N/A</v>
      </c>
      <c r="J403" t="e">
        <f ca="1">IFERROR(计算区域!AG405,NA())</f>
        <v>#N/A</v>
      </c>
      <c r="L403" t="e">
        <f ca="1">IFERROR(计算区域!L405,NA())</f>
        <v>#N/A</v>
      </c>
      <c r="M403" t="e">
        <f ca="1">IFERROR(计算区域!M405,NA())</f>
        <v>#N/A</v>
      </c>
      <c r="N403" t="e">
        <f ca="1">IFERROR(计算区域!N405,NA())</f>
        <v>#N/A</v>
      </c>
      <c r="O403" t="e">
        <f ca="1">IFERROR(计算区域!O405,NA())</f>
        <v>#N/A</v>
      </c>
      <c r="Q403" t="e">
        <f ca="1">IFERROR(计算区域!R405,NA())</f>
        <v>#N/A</v>
      </c>
      <c r="R403" t="e">
        <f ca="1">IFERROR(计算区域!S405,NA())</f>
        <v>#N/A</v>
      </c>
      <c r="S403" t="e">
        <f ca="1">IFERROR(计算区域!T405,NA())</f>
        <v>#N/A</v>
      </c>
      <c r="T403" t="e">
        <f ca="1">IFERROR(计算区域!U405,NA())</f>
        <v>#N/A</v>
      </c>
      <c r="V403" t="e">
        <f ca="1">IFERROR(计算区域!X405,NA())</f>
        <v>#N/A</v>
      </c>
      <c r="W403" t="e">
        <f ca="1">IFERROR(计算区域!Y405,NA())</f>
        <v>#N/A</v>
      </c>
      <c r="X403" t="e">
        <f ca="1">IFERROR(计算区域!Z405,NA())</f>
        <v>#N/A</v>
      </c>
      <c r="Y403" t="e">
        <f ca="1">IFERROR(计算区域!AA405,NA())</f>
        <v>#N/A</v>
      </c>
    </row>
    <row r="404" spans="1:25" x14ac:dyDescent="0.2">
      <c r="A404" s="28">
        <f>计算区域!E406</f>
        <v>45058</v>
      </c>
      <c r="B404" t="e">
        <f ca="1">IFERROR(计算区域!AJ406,NA())</f>
        <v>#N/A</v>
      </c>
      <c r="C404" t="e">
        <f ca="1">IFERROR(计算区域!AK406,NA())</f>
        <v>#N/A</v>
      </c>
      <c r="D404" t="e">
        <f ca="1">IFERROR(计算区域!AL406,NA())</f>
        <v>#N/A</v>
      </c>
      <c r="E404" t="e">
        <f ca="1">IFERROR(计算区域!AM406,NA())</f>
        <v>#N/A</v>
      </c>
      <c r="G404" t="e">
        <f ca="1">IFERROR(计算区域!AD406,NA())</f>
        <v>#N/A</v>
      </c>
      <c r="H404" t="e">
        <f ca="1">IFERROR(计算区域!AE406,NA())</f>
        <v>#N/A</v>
      </c>
      <c r="I404" t="e">
        <f ca="1">IFERROR(计算区域!AF406,NA())</f>
        <v>#N/A</v>
      </c>
      <c r="J404" t="e">
        <f ca="1">IFERROR(计算区域!AG406,NA())</f>
        <v>#N/A</v>
      </c>
      <c r="L404" t="e">
        <f ca="1">IFERROR(计算区域!L406,NA())</f>
        <v>#N/A</v>
      </c>
      <c r="M404" t="e">
        <f ca="1">IFERROR(计算区域!M406,NA())</f>
        <v>#N/A</v>
      </c>
      <c r="N404" t="e">
        <f ca="1">IFERROR(计算区域!N406,NA())</f>
        <v>#N/A</v>
      </c>
      <c r="O404" t="e">
        <f ca="1">IFERROR(计算区域!O406,NA())</f>
        <v>#N/A</v>
      </c>
      <c r="Q404" t="e">
        <f ca="1">IFERROR(计算区域!R406,NA())</f>
        <v>#N/A</v>
      </c>
      <c r="R404" t="e">
        <f ca="1">IFERROR(计算区域!S406,NA())</f>
        <v>#N/A</v>
      </c>
      <c r="S404" t="e">
        <f ca="1">IFERROR(计算区域!T406,NA())</f>
        <v>#N/A</v>
      </c>
      <c r="T404" t="e">
        <f ca="1">IFERROR(计算区域!U406,NA())</f>
        <v>#N/A</v>
      </c>
      <c r="V404" t="e">
        <f ca="1">IFERROR(计算区域!X406,NA())</f>
        <v>#N/A</v>
      </c>
      <c r="W404" t="e">
        <f ca="1">IFERROR(计算区域!Y406,NA())</f>
        <v>#N/A</v>
      </c>
      <c r="X404" t="e">
        <f ca="1">IFERROR(计算区域!Z406,NA())</f>
        <v>#N/A</v>
      </c>
      <c r="Y404" t="e">
        <f ca="1">IFERROR(计算区域!AA406,NA())</f>
        <v>#N/A</v>
      </c>
    </row>
    <row r="405" spans="1:25" x14ac:dyDescent="0.2">
      <c r="A405" s="28">
        <f>计算区域!E407</f>
        <v>45057</v>
      </c>
      <c r="B405" t="e">
        <f ca="1">IFERROR(计算区域!AJ407,NA())</f>
        <v>#N/A</v>
      </c>
      <c r="C405" t="e">
        <f ca="1">IFERROR(计算区域!AK407,NA())</f>
        <v>#N/A</v>
      </c>
      <c r="D405" t="e">
        <f ca="1">IFERROR(计算区域!AL407,NA())</f>
        <v>#N/A</v>
      </c>
      <c r="E405" t="e">
        <f ca="1">IFERROR(计算区域!AM407,NA())</f>
        <v>#N/A</v>
      </c>
      <c r="G405" t="e">
        <f ca="1">IFERROR(计算区域!AD407,NA())</f>
        <v>#N/A</v>
      </c>
      <c r="H405" t="e">
        <f ca="1">IFERROR(计算区域!AE407,NA())</f>
        <v>#N/A</v>
      </c>
      <c r="I405" t="e">
        <f ca="1">IFERROR(计算区域!AF407,NA())</f>
        <v>#N/A</v>
      </c>
      <c r="J405" t="e">
        <f ca="1">IFERROR(计算区域!AG407,NA())</f>
        <v>#N/A</v>
      </c>
      <c r="L405" t="e">
        <f ca="1">IFERROR(计算区域!L407,NA())</f>
        <v>#N/A</v>
      </c>
      <c r="M405" t="e">
        <f ca="1">IFERROR(计算区域!M407,NA())</f>
        <v>#N/A</v>
      </c>
      <c r="N405" t="e">
        <f ca="1">IFERROR(计算区域!N407,NA())</f>
        <v>#N/A</v>
      </c>
      <c r="O405" t="e">
        <f ca="1">IFERROR(计算区域!O407,NA())</f>
        <v>#N/A</v>
      </c>
      <c r="Q405" t="e">
        <f ca="1">IFERROR(计算区域!R407,NA())</f>
        <v>#N/A</v>
      </c>
      <c r="R405" t="e">
        <f ca="1">IFERROR(计算区域!S407,NA())</f>
        <v>#N/A</v>
      </c>
      <c r="S405" t="e">
        <f ca="1">IFERROR(计算区域!T407,NA())</f>
        <v>#N/A</v>
      </c>
      <c r="T405" t="e">
        <f ca="1">IFERROR(计算区域!U407,NA())</f>
        <v>#N/A</v>
      </c>
      <c r="V405" t="e">
        <f ca="1">IFERROR(计算区域!X407,NA())</f>
        <v>#N/A</v>
      </c>
      <c r="W405" t="e">
        <f ca="1">IFERROR(计算区域!Y407,NA())</f>
        <v>#N/A</v>
      </c>
      <c r="X405" t="e">
        <f ca="1">IFERROR(计算区域!Z407,NA())</f>
        <v>#N/A</v>
      </c>
      <c r="Y405" t="e">
        <f ca="1">IFERROR(计算区域!AA407,NA())</f>
        <v>#N/A</v>
      </c>
    </row>
    <row r="406" spans="1:25" x14ac:dyDescent="0.2">
      <c r="A406" s="28">
        <f>计算区域!E408</f>
        <v>45056</v>
      </c>
      <c r="B406" t="e">
        <f ca="1">IFERROR(计算区域!AJ408,NA())</f>
        <v>#N/A</v>
      </c>
      <c r="C406" t="e">
        <f ca="1">IFERROR(计算区域!AK408,NA())</f>
        <v>#N/A</v>
      </c>
      <c r="D406" t="e">
        <f ca="1">IFERROR(计算区域!AL408,NA())</f>
        <v>#N/A</v>
      </c>
      <c r="E406" t="e">
        <f ca="1">IFERROR(计算区域!AM408,NA())</f>
        <v>#N/A</v>
      </c>
      <c r="G406" t="e">
        <f ca="1">IFERROR(计算区域!AD408,NA())</f>
        <v>#N/A</v>
      </c>
      <c r="H406" t="e">
        <f ca="1">IFERROR(计算区域!AE408,NA())</f>
        <v>#N/A</v>
      </c>
      <c r="I406" t="e">
        <f ca="1">IFERROR(计算区域!AF408,NA())</f>
        <v>#N/A</v>
      </c>
      <c r="J406" t="e">
        <f ca="1">IFERROR(计算区域!AG408,NA())</f>
        <v>#N/A</v>
      </c>
      <c r="L406" t="e">
        <f ca="1">IFERROR(计算区域!L408,NA())</f>
        <v>#N/A</v>
      </c>
      <c r="M406" t="e">
        <f ca="1">IFERROR(计算区域!M408,NA())</f>
        <v>#N/A</v>
      </c>
      <c r="N406" t="e">
        <f ca="1">IFERROR(计算区域!N408,NA())</f>
        <v>#N/A</v>
      </c>
      <c r="O406" t="e">
        <f ca="1">IFERROR(计算区域!O408,NA())</f>
        <v>#N/A</v>
      </c>
      <c r="Q406" t="e">
        <f ca="1">IFERROR(计算区域!R408,NA())</f>
        <v>#N/A</v>
      </c>
      <c r="R406" t="e">
        <f ca="1">IFERROR(计算区域!S408,NA())</f>
        <v>#N/A</v>
      </c>
      <c r="S406" t="e">
        <f ca="1">IFERROR(计算区域!T408,NA())</f>
        <v>#N/A</v>
      </c>
      <c r="T406" t="e">
        <f ca="1">IFERROR(计算区域!U408,NA())</f>
        <v>#N/A</v>
      </c>
      <c r="V406" t="e">
        <f ca="1">IFERROR(计算区域!X408,NA())</f>
        <v>#N/A</v>
      </c>
      <c r="W406" t="e">
        <f ca="1">IFERROR(计算区域!Y408,NA())</f>
        <v>#N/A</v>
      </c>
      <c r="X406" t="e">
        <f ca="1">IFERROR(计算区域!Z408,NA())</f>
        <v>#N/A</v>
      </c>
      <c r="Y406" t="e">
        <f ca="1">IFERROR(计算区域!AA408,NA())</f>
        <v>#N/A</v>
      </c>
    </row>
    <row r="407" spans="1:25" x14ac:dyDescent="0.2">
      <c r="A407" s="28">
        <f>计算区域!E409</f>
        <v>45055</v>
      </c>
      <c r="B407" t="e">
        <f ca="1">IFERROR(计算区域!AJ409,NA())</f>
        <v>#N/A</v>
      </c>
      <c r="C407" t="e">
        <f ca="1">IFERROR(计算区域!AK409,NA())</f>
        <v>#N/A</v>
      </c>
      <c r="D407" t="e">
        <f ca="1">IFERROR(计算区域!AL409,NA())</f>
        <v>#N/A</v>
      </c>
      <c r="E407" t="e">
        <f ca="1">IFERROR(计算区域!AM409,NA())</f>
        <v>#N/A</v>
      </c>
      <c r="G407" t="e">
        <f ca="1">IFERROR(计算区域!AD409,NA())</f>
        <v>#N/A</v>
      </c>
      <c r="H407" t="e">
        <f ca="1">IFERROR(计算区域!AE409,NA())</f>
        <v>#N/A</v>
      </c>
      <c r="I407" t="e">
        <f ca="1">IFERROR(计算区域!AF409,NA())</f>
        <v>#N/A</v>
      </c>
      <c r="J407" t="e">
        <f ca="1">IFERROR(计算区域!AG409,NA())</f>
        <v>#N/A</v>
      </c>
      <c r="L407" t="e">
        <f ca="1">IFERROR(计算区域!L409,NA())</f>
        <v>#N/A</v>
      </c>
      <c r="M407" t="e">
        <f ca="1">IFERROR(计算区域!M409,NA())</f>
        <v>#N/A</v>
      </c>
      <c r="N407" t="e">
        <f ca="1">IFERROR(计算区域!N409,NA())</f>
        <v>#N/A</v>
      </c>
      <c r="O407" t="e">
        <f ca="1">IFERROR(计算区域!O409,NA())</f>
        <v>#N/A</v>
      </c>
      <c r="Q407" t="e">
        <f ca="1">IFERROR(计算区域!R409,NA())</f>
        <v>#N/A</v>
      </c>
      <c r="R407" t="e">
        <f ca="1">IFERROR(计算区域!S409,NA())</f>
        <v>#N/A</v>
      </c>
      <c r="S407" t="e">
        <f ca="1">IFERROR(计算区域!T409,NA())</f>
        <v>#N/A</v>
      </c>
      <c r="T407" t="e">
        <f ca="1">IFERROR(计算区域!U409,NA())</f>
        <v>#N/A</v>
      </c>
      <c r="V407" t="e">
        <f ca="1">IFERROR(计算区域!X409,NA())</f>
        <v>#N/A</v>
      </c>
      <c r="W407" t="e">
        <f ca="1">IFERROR(计算区域!Y409,NA())</f>
        <v>#N/A</v>
      </c>
      <c r="X407" t="e">
        <f ca="1">IFERROR(计算区域!Z409,NA())</f>
        <v>#N/A</v>
      </c>
      <c r="Y407" t="e">
        <f ca="1">IFERROR(计算区域!AA409,NA())</f>
        <v>#N/A</v>
      </c>
    </row>
    <row r="408" spans="1:25" x14ac:dyDescent="0.2">
      <c r="A408" s="28">
        <f>计算区域!E410</f>
        <v>45054</v>
      </c>
      <c r="B408" t="e">
        <f ca="1">IFERROR(计算区域!AJ410,NA())</f>
        <v>#N/A</v>
      </c>
      <c r="C408" t="e">
        <f ca="1">IFERROR(计算区域!AK410,NA())</f>
        <v>#N/A</v>
      </c>
      <c r="D408" t="e">
        <f ca="1">IFERROR(计算区域!AL410,NA())</f>
        <v>#N/A</v>
      </c>
      <c r="E408" t="e">
        <f ca="1">IFERROR(计算区域!AM410,NA())</f>
        <v>#N/A</v>
      </c>
      <c r="G408" t="e">
        <f ca="1">IFERROR(计算区域!AD410,NA())</f>
        <v>#N/A</v>
      </c>
      <c r="H408" t="e">
        <f ca="1">IFERROR(计算区域!AE410,NA())</f>
        <v>#N/A</v>
      </c>
      <c r="I408" t="e">
        <f ca="1">IFERROR(计算区域!AF410,NA())</f>
        <v>#N/A</v>
      </c>
      <c r="J408" t="e">
        <f ca="1">IFERROR(计算区域!AG410,NA())</f>
        <v>#N/A</v>
      </c>
      <c r="L408" t="e">
        <f ca="1">IFERROR(计算区域!L410,NA())</f>
        <v>#N/A</v>
      </c>
      <c r="M408" t="e">
        <f ca="1">IFERROR(计算区域!M410,NA())</f>
        <v>#N/A</v>
      </c>
      <c r="N408" t="e">
        <f ca="1">IFERROR(计算区域!N410,NA())</f>
        <v>#N/A</v>
      </c>
      <c r="O408" t="e">
        <f ca="1">IFERROR(计算区域!O410,NA())</f>
        <v>#N/A</v>
      </c>
      <c r="Q408" t="e">
        <f ca="1">IFERROR(计算区域!R410,NA())</f>
        <v>#N/A</v>
      </c>
      <c r="R408" t="e">
        <f ca="1">IFERROR(计算区域!S410,NA())</f>
        <v>#N/A</v>
      </c>
      <c r="S408" t="e">
        <f ca="1">IFERROR(计算区域!T410,NA())</f>
        <v>#N/A</v>
      </c>
      <c r="T408" t="e">
        <f ca="1">IFERROR(计算区域!U410,NA())</f>
        <v>#N/A</v>
      </c>
      <c r="V408" t="e">
        <f ca="1">IFERROR(计算区域!X410,NA())</f>
        <v>#N/A</v>
      </c>
      <c r="W408" t="e">
        <f ca="1">IFERROR(计算区域!Y410,NA())</f>
        <v>#N/A</v>
      </c>
      <c r="X408" t="e">
        <f ca="1">IFERROR(计算区域!Z410,NA())</f>
        <v>#N/A</v>
      </c>
      <c r="Y408" t="e">
        <f ca="1">IFERROR(计算区域!AA410,NA())</f>
        <v>#N/A</v>
      </c>
    </row>
    <row r="409" spans="1:25" x14ac:dyDescent="0.2">
      <c r="A409" s="28">
        <f>计算区域!E411</f>
        <v>45051</v>
      </c>
      <c r="B409" t="e">
        <f ca="1">IFERROR(计算区域!AJ411,NA())</f>
        <v>#N/A</v>
      </c>
      <c r="C409" t="e">
        <f ca="1">IFERROR(计算区域!AK411,NA())</f>
        <v>#N/A</v>
      </c>
      <c r="D409" t="e">
        <f ca="1">IFERROR(计算区域!AL411,NA())</f>
        <v>#N/A</v>
      </c>
      <c r="E409" t="e">
        <f ca="1">IFERROR(计算区域!AM411,NA())</f>
        <v>#N/A</v>
      </c>
      <c r="G409" t="e">
        <f ca="1">IFERROR(计算区域!AD411,NA())</f>
        <v>#N/A</v>
      </c>
      <c r="H409" t="e">
        <f ca="1">IFERROR(计算区域!AE411,NA())</f>
        <v>#N/A</v>
      </c>
      <c r="I409" t="e">
        <f ca="1">IFERROR(计算区域!AF411,NA())</f>
        <v>#N/A</v>
      </c>
      <c r="J409" t="e">
        <f ca="1">IFERROR(计算区域!AG411,NA())</f>
        <v>#N/A</v>
      </c>
      <c r="L409" t="e">
        <f ca="1">IFERROR(计算区域!L411,NA())</f>
        <v>#N/A</v>
      </c>
      <c r="M409" t="e">
        <f ca="1">IFERROR(计算区域!M411,NA())</f>
        <v>#N/A</v>
      </c>
      <c r="N409" t="e">
        <f ca="1">IFERROR(计算区域!N411,NA())</f>
        <v>#N/A</v>
      </c>
      <c r="O409" t="e">
        <f ca="1">IFERROR(计算区域!O411,NA())</f>
        <v>#N/A</v>
      </c>
      <c r="Q409" t="e">
        <f ca="1">IFERROR(计算区域!R411,NA())</f>
        <v>#N/A</v>
      </c>
      <c r="R409" t="e">
        <f ca="1">IFERROR(计算区域!S411,NA())</f>
        <v>#N/A</v>
      </c>
      <c r="S409" t="e">
        <f ca="1">IFERROR(计算区域!T411,NA())</f>
        <v>#N/A</v>
      </c>
      <c r="T409" t="e">
        <f ca="1">IFERROR(计算区域!U411,NA())</f>
        <v>#N/A</v>
      </c>
      <c r="V409" t="e">
        <f ca="1">IFERROR(计算区域!X411,NA())</f>
        <v>#N/A</v>
      </c>
      <c r="W409" t="e">
        <f ca="1">IFERROR(计算区域!Y411,NA())</f>
        <v>#N/A</v>
      </c>
      <c r="X409" t="e">
        <f ca="1">IFERROR(计算区域!Z411,NA())</f>
        <v>#N/A</v>
      </c>
      <c r="Y409" t="e">
        <f ca="1">IFERROR(计算区域!AA411,NA())</f>
        <v>#N/A</v>
      </c>
    </row>
    <row r="410" spans="1:25" x14ac:dyDescent="0.2">
      <c r="A410" s="28">
        <f>计算区域!E412</f>
        <v>45050</v>
      </c>
      <c r="B410" t="e">
        <f ca="1">IFERROR(计算区域!AJ412,NA())</f>
        <v>#N/A</v>
      </c>
      <c r="C410" t="e">
        <f ca="1">IFERROR(计算区域!AK412,NA())</f>
        <v>#N/A</v>
      </c>
      <c r="D410" t="e">
        <f ca="1">IFERROR(计算区域!AL412,NA())</f>
        <v>#N/A</v>
      </c>
      <c r="E410" t="e">
        <f ca="1">IFERROR(计算区域!AM412,NA())</f>
        <v>#N/A</v>
      </c>
      <c r="G410" t="e">
        <f ca="1">IFERROR(计算区域!AD412,NA())</f>
        <v>#N/A</v>
      </c>
      <c r="H410" t="e">
        <f ca="1">IFERROR(计算区域!AE412,NA())</f>
        <v>#N/A</v>
      </c>
      <c r="I410" t="e">
        <f ca="1">IFERROR(计算区域!AF412,NA())</f>
        <v>#N/A</v>
      </c>
      <c r="J410" t="e">
        <f ca="1">IFERROR(计算区域!AG412,NA())</f>
        <v>#N/A</v>
      </c>
      <c r="L410" t="e">
        <f ca="1">IFERROR(计算区域!L412,NA())</f>
        <v>#N/A</v>
      </c>
      <c r="M410" t="e">
        <f ca="1">IFERROR(计算区域!M412,NA())</f>
        <v>#N/A</v>
      </c>
      <c r="N410" t="e">
        <f ca="1">IFERROR(计算区域!N412,NA())</f>
        <v>#N/A</v>
      </c>
      <c r="O410" t="e">
        <f ca="1">IFERROR(计算区域!O412,NA())</f>
        <v>#N/A</v>
      </c>
      <c r="Q410" t="e">
        <f ca="1">IFERROR(计算区域!R412,NA())</f>
        <v>#N/A</v>
      </c>
      <c r="R410" t="e">
        <f ca="1">IFERROR(计算区域!S412,NA())</f>
        <v>#N/A</v>
      </c>
      <c r="S410" t="e">
        <f ca="1">IFERROR(计算区域!T412,NA())</f>
        <v>#N/A</v>
      </c>
      <c r="T410" t="e">
        <f ca="1">IFERROR(计算区域!U412,NA())</f>
        <v>#N/A</v>
      </c>
      <c r="V410" t="e">
        <f ca="1">IFERROR(计算区域!X412,NA())</f>
        <v>#N/A</v>
      </c>
      <c r="W410" t="e">
        <f ca="1">IFERROR(计算区域!Y412,NA())</f>
        <v>#N/A</v>
      </c>
      <c r="X410" t="e">
        <f ca="1">IFERROR(计算区域!Z412,NA())</f>
        <v>#N/A</v>
      </c>
      <c r="Y410" t="e">
        <f ca="1">IFERROR(计算区域!AA412,NA())</f>
        <v>#N/A</v>
      </c>
    </row>
    <row r="411" spans="1:25" x14ac:dyDescent="0.2">
      <c r="A411" s="28">
        <f>计算区域!E413</f>
        <v>45044</v>
      </c>
      <c r="B411" t="e">
        <f ca="1">IFERROR(计算区域!AJ413,NA())</f>
        <v>#N/A</v>
      </c>
      <c r="C411" t="e">
        <f ca="1">IFERROR(计算区域!AK413,NA())</f>
        <v>#N/A</v>
      </c>
      <c r="D411" t="e">
        <f ca="1">IFERROR(计算区域!AL413,NA())</f>
        <v>#N/A</v>
      </c>
      <c r="E411" t="e">
        <f ca="1">IFERROR(计算区域!AM413,NA())</f>
        <v>#N/A</v>
      </c>
      <c r="G411" t="e">
        <f ca="1">IFERROR(计算区域!AD413,NA())</f>
        <v>#N/A</v>
      </c>
      <c r="H411" t="e">
        <f ca="1">IFERROR(计算区域!AE413,NA())</f>
        <v>#N/A</v>
      </c>
      <c r="I411" t="e">
        <f ca="1">IFERROR(计算区域!AF413,NA())</f>
        <v>#N/A</v>
      </c>
      <c r="J411" t="e">
        <f ca="1">IFERROR(计算区域!AG413,NA())</f>
        <v>#N/A</v>
      </c>
      <c r="L411" t="e">
        <f ca="1">IFERROR(计算区域!L413,NA())</f>
        <v>#N/A</v>
      </c>
      <c r="M411" t="e">
        <f ca="1">IFERROR(计算区域!M413,NA())</f>
        <v>#N/A</v>
      </c>
      <c r="N411" t="e">
        <f ca="1">IFERROR(计算区域!N413,NA())</f>
        <v>#N/A</v>
      </c>
      <c r="O411" t="e">
        <f ca="1">IFERROR(计算区域!O413,NA())</f>
        <v>#N/A</v>
      </c>
      <c r="Q411" t="e">
        <f ca="1">IFERROR(计算区域!R413,NA())</f>
        <v>#N/A</v>
      </c>
      <c r="R411" t="e">
        <f ca="1">IFERROR(计算区域!S413,NA())</f>
        <v>#N/A</v>
      </c>
      <c r="S411" t="e">
        <f ca="1">IFERROR(计算区域!T413,NA())</f>
        <v>#N/A</v>
      </c>
      <c r="T411" t="e">
        <f ca="1">IFERROR(计算区域!U413,NA())</f>
        <v>#N/A</v>
      </c>
      <c r="V411" t="e">
        <f ca="1">IFERROR(计算区域!X413,NA())</f>
        <v>#N/A</v>
      </c>
      <c r="W411" t="e">
        <f ca="1">IFERROR(计算区域!Y413,NA())</f>
        <v>#N/A</v>
      </c>
      <c r="X411" t="e">
        <f ca="1">IFERROR(计算区域!Z413,NA())</f>
        <v>#N/A</v>
      </c>
      <c r="Y411" t="e">
        <f ca="1">IFERROR(计算区域!AA413,NA())</f>
        <v>#N/A</v>
      </c>
    </row>
    <row r="412" spans="1:25" x14ac:dyDescent="0.2">
      <c r="A412" s="28">
        <f>计算区域!E414</f>
        <v>45043</v>
      </c>
      <c r="B412" t="e">
        <f ca="1">IFERROR(计算区域!AJ414,NA())</f>
        <v>#N/A</v>
      </c>
      <c r="C412" t="e">
        <f ca="1">IFERROR(计算区域!AK414,NA())</f>
        <v>#N/A</v>
      </c>
      <c r="D412" t="e">
        <f ca="1">IFERROR(计算区域!AL414,NA())</f>
        <v>#N/A</v>
      </c>
      <c r="E412" t="e">
        <f ca="1">IFERROR(计算区域!AM414,NA())</f>
        <v>#N/A</v>
      </c>
      <c r="G412" t="e">
        <f ca="1">IFERROR(计算区域!AD414,NA())</f>
        <v>#N/A</v>
      </c>
      <c r="H412" t="e">
        <f ca="1">IFERROR(计算区域!AE414,NA())</f>
        <v>#N/A</v>
      </c>
      <c r="I412" t="e">
        <f ca="1">IFERROR(计算区域!AF414,NA())</f>
        <v>#N/A</v>
      </c>
      <c r="J412" t="e">
        <f ca="1">IFERROR(计算区域!AG414,NA())</f>
        <v>#N/A</v>
      </c>
      <c r="L412" t="e">
        <f ca="1">IFERROR(计算区域!L414,NA())</f>
        <v>#N/A</v>
      </c>
      <c r="M412" t="e">
        <f ca="1">IFERROR(计算区域!M414,NA())</f>
        <v>#N/A</v>
      </c>
      <c r="N412" t="e">
        <f ca="1">IFERROR(计算区域!N414,NA())</f>
        <v>#N/A</v>
      </c>
      <c r="O412" t="e">
        <f ca="1">IFERROR(计算区域!O414,NA())</f>
        <v>#N/A</v>
      </c>
      <c r="Q412" t="e">
        <f ca="1">IFERROR(计算区域!R414,NA())</f>
        <v>#N/A</v>
      </c>
      <c r="R412" t="e">
        <f ca="1">IFERROR(计算区域!S414,NA())</f>
        <v>#N/A</v>
      </c>
      <c r="S412" t="e">
        <f ca="1">IFERROR(计算区域!T414,NA())</f>
        <v>#N/A</v>
      </c>
      <c r="T412" t="e">
        <f ca="1">IFERROR(计算区域!U414,NA())</f>
        <v>#N/A</v>
      </c>
      <c r="V412" t="e">
        <f ca="1">IFERROR(计算区域!X414,NA())</f>
        <v>#N/A</v>
      </c>
      <c r="W412" t="e">
        <f ca="1">IFERROR(计算区域!Y414,NA())</f>
        <v>#N/A</v>
      </c>
      <c r="X412" t="e">
        <f ca="1">IFERROR(计算区域!Z414,NA())</f>
        <v>#N/A</v>
      </c>
      <c r="Y412" t="e">
        <f ca="1">IFERROR(计算区域!AA414,NA())</f>
        <v>#N/A</v>
      </c>
    </row>
    <row r="413" spans="1:25" x14ac:dyDescent="0.2">
      <c r="A413" s="28">
        <f>计算区域!E415</f>
        <v>45042</v>
      </c>
      <c r="B413" t="e">
        <f ca="1">IFERROR(计算区域!AJ415,NA())</f>
        <v>#N/A</v>
      </c>
      <c r="C413" t="e">
        <f ca="1">IFERROR(计算区域!AK415,NA())</f>
        <v>#N/A</v>
      </c>
      <c r="D413" t="e">
        <f ca="1">IFERROR(计算区域!AL415,NA())</f>
        <v>#N/A</v>
      </c>
      <c r="E413" t="e">
        <f ca="1">IFERROR(计算区域!AM415,NA())</f>
        <v>#N/A</v>
      </c>
      <c r="G413" t="e">
        <f ca="1">IFERROR(计算区域!AD415,NA())</f>
        <v>#N/A</v>
      </c>
      <c r="H413" t="e">
        <f ca="1">IFERROR(计算区域!AE415,NA())</f>
        <v>#N/A</v>
      </c>
      <c r="I413" t="e">
        <f ca="1">IFERROR(计算区域!AF415,NA())</f>
        <v>#N/A</v>
      </c>
      <c r="J413" t="e">
        <f ca="1">IFERROR(计算区域!AG415,NA())</f>
        <v>#N/A</v>
      </c>
      <c r="L413" t="e">
        <f ca="1">IFERROR(计算区域!L415,NA())</f>
        <v>#N/A</v>
      </c>
      <c r="M413" t="e">
        <f ca="1">IFERROR(计算区域!M415,NA())</f>
        <v>#N/A</v>
      </c>
      <c r="N413" t="e">
        <f ca="1">IFERROR(计算区域!N415,NA())</f>
        <v>#N/A</v>
      </c>
      <c r="O413" t="e">
        <f ca="1">IFERROR(计算区域!O415,NA())</f>
        <v>#N/A</v>
      </c>
      <c r="Q413" t="e">
        <f ca="1">IFERROR(计算区域!R415,NA())</f>
        <v>#N/A</v>
      </c>
      <c r="R413" t="e">
        <f ca="1">IFERROR(计算区域!S415,NA())</f>
        <v>#N/A</v>
      </c>
      <c r="S413" t="e">
        <f ca="1">IFERROR(计算区域!T415,NA())</f>
        <v>#N/A</v>
      </c>
      <c r="T413" t="e">
        <f ca="1">IFERROR(计算区域!U415,NA())</f>
        <v>#N/A</v>
      </c>
      <c r="V413" t="e">
        <f ca="1">IFERROR(计算区域!X415,NA())</f>
        <v>#N/A</v>
      </c>
      <c r="W413" t="e">
        <f ca="1">IFERROR(计算区域!Y415,NA())</f>
        <v>#N/A</v>
      </c>
      <c r="X413" t="e">
        <f ca="1">IFERROR(计算区域!Z415,NA())</f>
        <v>#N/A</v>
      </c>
      <c r="Y413" t="e">
        <f ca="1">IFERROR(计算区域!AA415,NA())</f>
        <v>#N/A</v>
      </c>
    </row>
    <row r="414" spans="1:25" x14ac:dyDescent="0.2">
      <c r="A414" s="28">
        <f>计算区域!E416</f>
        <v>45041</v>
      </c>
      <c r="B414" t="e">
        <f ca="1">IFERROR(计算区域!AJ416,NA())</f>
        <v>#N/A</v>
      </c>
      <c r="C414" t="e">
        <f ca="1">IFERROR(计算区域!AK416,NA())</f>
        <v>#N/A</v>
      </c>
      <c r="D414" t="e">
        <f ca="1">IFERROR(计算区域!AL416,NA())</f>
        <v>#N/A</v>
      </c>
      <c r="E414" t="e">
        <f ca="1">IFERROR(计算区域!AM416,NA())</f>
        <v>#N/A</v>
      </c>
      <c r="G414" t="e">
        <f ca="1">IFERROR(计算区域!AD416,NA())</f>
        <v>#N/A</v>
      </c>
      <c r="H414" t="e">
        <f ca="1">IFERROR(计算区域!AE416,NA())</f>
        <v>#N/A</v>
      </c>
      <c r="I414" t="e">
        <f ca="1">IFERROR(计算区域!AF416,NA())</f>
        <v>#N/A</v>
      </c>
      <c r="J414" t="e">
        <f ca="1">IFERROR(计算区域!AG416,NA())</f>
        <v>#N/A</v>
      </c>
      <c r="L414" t="e">
        <f ca="1">IFERROR(计算区域!L416,NA())</f>
        <v>#N/A</v>
      </c>
      <c r="M414" t="e">
        <f ca="1">IFERROR(计算区域!M416,NA())</f>
        <v>#N/A</v>
      </c>
      <c r="N414" t="e">
        <f ca="1">IFERROR(计算区域!N416,NA())</f>
        <v>#N/A</v>
      </c>
      <c r="O414" t="e">
        <f ca="1">IFERROR(计算区域!O416,NA())</f>
        <v>#N/A</v>
      </c>
      <c r="Q414" t="e">
        <f ca="1">IFERROR(计算区域!R416,NA())</f>
        <v>#N/A</v>
      </c>
      <c r="R414" t="e">
        <f ca="1">IFERROR(计算区域!S416,NA())</f>
        <v>#N/A</v>
      </c>
      <c r="S414" t="e">
        <f ca="1">IFERROR(计算区域!T416,NA())</f>
        <v>#N/A</v>
      </c>
      <c r="T414" t="e">
        <f ca="1">IFERROR(计算区域!U416,NA())</f>
        <v>#N/A</v>
      </c>
      <c r="V414" t="e">
        <f ca="1">IFERROR(计算区域!X416,NA())</f>
        <v>#N/A</v>
      </c>
      <c r="W414" t="e">
        <f ca="1">IFERROR(计算区域!Y416,NA())</f>
        <v>#N/A</v>
      </c>
      <c r="X414" t="e">
        <f ca="1">IFERROR(计算区域!Z416,NA())</f>
        <v>#N/A</v>
      </c>
      <c r="Y414" t="e">
        <f ca="1">IFERROR(计算区域!AA416,NA())</f>
        <v>#N/A</v>
      </c>
    </row>
    <row r="415" spans="1:25" x14ac:dyDescent="0.2">
      <c r="A415" s="28">
        <f>计算区域!E417</f>
        <v>45040</v>
      </c>
      <c r="B415" t="e">
        <f ca="1">IFERROR(计算区域!AJ417,NA())</f>
        <v>#N/A</v>
      </c>
      <c r="C415" t="e">
        <f ca="1">IFERROR(计算区域!AK417,NA())</f>
        <v>#N/A</v>
      </c>
      <c r="D415" t="e">
        <f ca="1">IFERROR(计算区域!AL417,NA())</f>
        <v>#N/A</v>
      </c>
      <c r="E415" t="e">
        <f ca="1">IFERROR(计算区域!AM417,NA())</f>
        <v>#N/A</v>
      </c>
      <c r="G415" t="e">
        <f ca="1">IFERROR(计算区域!AD417,NA())</f>
        <v>#N/A</v>
      </c>
      <c r="H415" t="e">
        <f ca="1">IFERROR(计算区域!AE417,NA())</f>
        <v>#N/A</v>
      </c>
      <c r="I415" t="e">
        <f ca="1">IFERROR(计算区域!AF417,NA())</f>
        <v>#N/A</v>
      </c>
      <c r="J415" t="e">
        <f ca="1">IFERROR(计算区域!AG417,NA())</f>
        <v>#N/A</v>
      </c>
      <c r="L415" t="e">
        <f ca="1">IFERROR(计算区域!L417,NA())</f>
        <v>#N/A</v>
      </c>
      <c r="M415" t="e">
        <f ca="1">IFERROR(计算区域!M417,NA())</f>
        <v>#N/A</v>
      </c>
      <c r="N415" t="e">
        <f ca="1">IFERROR(计算区域!N417,NA())</f>
        <v>#N/A</v>
      </c>
      <c r="O415" t="e">
        <f ca="1">IFERROR(计算区域!O417,NA())</f>
        <v>#N/A</v>
      </c>
      <c r="Q415" t="e">
        <f ca="1">IFERROR(计算区域!R417,NA())</f>
        <v>#N/A</v>
      </c>
      <c r="R415" t="e">
        <f ca="1">IFERROR(计算区域!S417,NA())</f>
        <v>#N/A</v>
      </c>
      <c r="S415" t="e">
        <f ca="1">IFERROR(计算区域!T417,NA())</f>
        <v>#N/A</v>
      </c>
      <c r="T415" t="e">
        <f ca="1">IFERROR(计算区域!U417,NA())</f>
        <v>#N/A</v>
      </c>
      <c r="V415" t="e">
        <f ca="1">IFERROR(计算区域!X417,NA())</f>
        <v>#N/A</v>
      </c>
      <c r="W415" t="e">
        <f ca="1">IFERROR(计算区域!Y417,NA())</f>
        <v>#N/A</v>
      </c>
      <c r="X415" t="e">
        <f ca="1">IFERROR(计算区域!Z417,NA())</f>
        <v>#N/A</v>
      </c>
      <c r="Y415" t="e">
        <f ca="1">IFERROR(计算区域!AA417,NA())</f>
        <v>#N/A</v>
      </c>
    </row>
    <row r="416" spans="1:25" x14ac:dyDescent="0.2">
      <c r="A416" s="28">
        <f>计算区域!E418</f>
        <v>45037</v>
      </c>
      <c r="B416" t="e">
        <f ca="1">IFERROR(计算区域!AJ418,NA())</f>
        <v>#N/A</v>
      </c>
      <c r="C416" t="e">
        <f ca="1">IFERROR(计算区域!AK418,NA())</f>
        <v>#N/A</v>
      </c>
      <c r="D416" t="e">
        <f ca="1">IFERROR(计算区域!AL418,NA())</f>
        <v>#N/A</v>
      </c>
      <c r="E416" t="e">
        <f ca="1">IFERROR(计算区域!AM418,NA())</f>
        <v>#N/A</v>
      </c>
      <c r="G416" t="e">
        <f ca="1">IFERROR(计算区域!AD418,NA())</f>
        <v>#N/A</v>
      </c>
      <c r="H416" t="e">
        <f ca="1">IFERROR(计算区域!AE418,NA())</f>
        <v>#N/A</v>
      </c>
      <c r="I416" t="e">
        <f ca="1">IFERROR(计算区域!AF418,NA())</f>
        <v>#N/A</v>
      </c>
      <c r="J416" t="e">
        <f ca="1">IFERROR(计算区域!AG418,NA())</f>
        <v>#N/A</v>
      </c>
      <c r="L416" t="e">
        <f ca="1">IFERROR(计算区域!L418,NA())</f>
        <v>#N/A</v>
      </c>
      <c r="M416" t="e">
        <f ca="1">IFERROR(计算区域!M418,NA())</f>
        <v>#N/A</v>
      </c>
      <c r="N416" t="e">
        <f ca="1">IFERROR(计算区域!N418,NA())</f>
        <v>#N/A</v>
      </c>
      <c r="O416" t="e">
        <f ca="1">IFERROR(计算区域!O418,NA())</f>
        <v>#N/A</v>
      </c>
      <c r="Q416" t="e">
        <f ca="1">IFERROR(计算区域!R418,NA())</f>
        <v>#N/A</v>
      </c>
      <c r="R416" t="e">
        <f ca="1">IFERROR(计算区域!S418,NA())</f>
        <v>#N/A</v>
      </c>
      <c r="S416" t="e">
        <f ca="1">IFERROR(计算区域!T418,NA())</f>
        <v>#N/A</v>
      </c>
      <c r="T416" t="e">
        <f ca="1">IFERROR(计算区域!U418,NA())</f>
        <v>#N/A</v>
      </c>
      <c r="V416" t="e">
        <f ca="1">IFERROR(计算区域!X418,NA())</f>
        <v>#N/A</v>
      </c>
      <c r="W416" t="e">
        <f ca="1">IFERROR(计算区域!Y418,NA())</f>
        <v>#N/A</v>
      </c>
      <c r="X416" t="e">
        <f ca="1">IFERROR(计算区域!Z418,NA())</f>
        <v>#N/A</v>
      </c>
      <c r="Y416" t="e">
        <f ca="1">IFERROR(计算区域!AA418,NA())</f>
        <v>#N/A</v>
      </c>
    </row>
    <row r="417" spans="1:25" x14ac:dyDescent="0.2">
      <c r="A417" s="28">
        <f>计算区域!E419</f>
        <v>45036</v>
      </c>
      <c r="B417" t="e">
        <f ca="1">IFERROR(计算区域!AJ419,NA())</f>
        <v>#N/A</v>
      </c>
      <c r="C417" t="e">
        <f ca="1">IFERROR(计算区域!AK419,NA())</f>
        <v>#N/A</v>
      </c>
      <c r="D417" t="e">
        <f ca="1">IFERROR(计算区域!AL419,NA())</f>
        <v>#N/A</v>
      </c>
      <c r="E417" t="e">
        <f ca="1">IFERROR(计算区域!AM419,NA())</f>
        <v>#N/A</v>
      </c>
      <c r="G417" t="e">
        <f ca="1">IFERROR(计算区域!AD419,NA())</f>
        <v>#N/A</v>
      </c>
      <c r="H417" t="e">
        <f ca="1">IFERROR(计算区域!AE419,NA())</f>
        <v>#N/A</v>
      </c>
      <c r="I417" t="e">
        <f ca="1">IFERROR(计算区域!AF419,NA())</f>
        <v>#N/A</v>
      </c>
      <c r="J417" t="e">
        <f ca="1">IFERROR(计算区域!AG419,NA())</f>
        <v>#N/A</v>
      </c>
      <c r="L417" t="e">
        <f ca="1">IFERROR(计算区域!L419,NA())</f>
        <v>#N/A</v>
      </c>
      <c r="M417" t="e">
        <f ca="1">IFERROR(计算区域!M419,NA())</f>
        <v>#N/A</v>
      </c>
      <c r="N417" t="e">
        <f ca="1">IFERROR(计算区域!N419,NA())</f>
        <v>#N/A</v>
      </c>
      <c r="O417" t="e">
        <f ca="1">IFERROR(计算区域!O419,NA())</f>
        <v>#N/A</v>
      </c>
      <c r="Q417" t="e">
        <f ca="1">IFERROR(计算区域!R419,NA())</f>
        <v>#N/A</v>
      </c>
      <c r="R417" t="e">
        <f ca="1">IFERROR(计算区域!S419,NA())</f>
        <v>#N/A</v>
      </c>
      <c r="S417" t="e">
        <f ca="1">IFERROR(计算区域!T419,NA())</f>
        <v>#N/A</v>
      </c>
      <c r="T417" t="e">
        <f ca="1">IFERROR(计算区域!U419,NA())</f>
        <v>#N/A</v>
      </c>
      <c r="V417" t="e">
        <f ca="1">IFERROR(计算区域!X419,NA())</f>
        <v>#N/A</v>
      </c>
      <c r="W417" t="e">
        <f ca="1">IFERROR(计算区域!Y419,NA())</f>
        <v>#N/A</v>
      </c>
      <c r="X417" t="e">
        <f ca="1">IFERROR(计算区域!Z419,NA())</f>
        <v>#N/A</v>
      </c>
      <c r="Y417" t="e">
        <f ca="1">IFERROR(计算区域!AA419,NA())</f>
        <v>#N/A</v>
      </c>
    </row>
    <row r="418" spans="1:25" x14ac:dyDescent="0.2">
      <c r="A418" s="28">
        <f>计算区域!E420</f>
        <v>45035</v>
      </c>
      <c r="B418" t="e">
        <f ca="1">IFERROR(计算区域!AJ420,NA())</f>
        <v>#N/A</v>
      </c>
      <c r="C418" t="e">
        <f ca="1">IFERROR(计算区域!AK420,NA())</f>
        <v>#N/A</v>
      </c>
      <c r="D418" t="e">
        <f ca="1">IFERROR(计算区域!AL420,NA())</f>
        <v>#N/A</v>
      </c>
      <c r="E418" t="e">
        <f ca="1">IFERROR(计算区域!AM420,NA())</f>
        <v>#N/A</v>
      </c>
      <c r="G418" t="e">
        <f ca="1">IFERROR(计算区域!AD420,NA())</f>
        <v>#N/A</v>
      </c>
      <c r="H418" t="e">
        <f ca="1">IFERROR(计算区域!AE420,NA())</f>
        <v>#N/A</v>
      </c>
      <c r="I418" t="e">
        <f ca="1">IFERROR(计算区域!AF420,NA())</f>
        <v>#N/A</v>
      </c>
      <c r="J418" t="e">
        <f ca="1">IFERROR(计算区域!AG420,NA())</f>
        <v>#N/A</v>
      </c>
      <c r="L418" t="e">
        <f ca="1">IFERROR(计算区域!L420,NA())</f>
        <v>#N/A</v>
      </c>
      <c r="M418" t="e">
        <f ca="1">IFERROR(计算区域!M420,NA())</f>
        <v>#N/A</v>
      </c>
      <c r="N418" t="e">
        <f ca="1">IFERROR(计算区域!N420,NA())</f>
        <v>#N/A</v>
      </c>
      <c r="O418" t="e">
        <f ca="1">IFERROR(计算区域!O420,NA())</f>
        <v>#N/A</v>
      </c>
      <c r="Q418" t="e">
        <f ca="1">IFERROR(计算区域!R420,NA())</f>
        <v>#N/A</v>
      </c>
      <c r="R418" t="e">
        <f ca="1">IFERROR(计算区域!S420,NA())</f>
        <v>#N/A</v>
      </c>
      <c r="S418" t="e">
        <f ca="1">IFERROR(计算区域!T420,NA())</f>
        <v>#N/A</v>
      </c>
      <c r="T418" t="e">
        <f ca="1">IFERROR(计算区域!U420,NA())</f>
        <v>#N/A</v>
      </c>
      <c r="V418" t="e">
        <f ca="1">IFERROR(计算区域!X420,NA())</f>
        <v>#N/A</v>
      </c>
      <c r="W418" t="e">
        <f ca="1">IFERROR(计算区域!Y420,NA())</f>
        <v>#N/A</v>
      </c>
      <c r="X418" t="e">
        <f ca="1">IFERROR(计算区域!Z420,NA())</f>
        <v>#N/A</v>
      </c>
      <c r="Y418" t="e">
        <f ca="1">IFERROR(计算区域!AA420,NA())</f>
        <v>#N/A</v>
      </c>
    </row>
    <row r="419" spans="1:25" x14ac:dyDescent="0.2">
      <c r="A419" s="28">
        <f>计算区域!E421</f>
        <v>45034</v>
      </c>
      <c r="B419" t="e">
        <f ca="1">IFERROR(计算区域!AJ421,NA())</f>
        <v>#N/A</v>
      </c>
      <c r="C419" t="e">
        <f ca="1">IFERROR(计算区域!AK421,NA())</f>
        <v>#N/A</v>
      </c>
      <c r="D419" t="e">
        <f ca="1">IFERROR(计算区域!AL421,NA())</f>
        <v>#N/A</v>
      </c>
      <c r="E419" t="e">
        <f ca="1">IFERROR(计算区域!AM421,NA())</f>
        <v>#N/A</v>
      </c>
      <c r="G419" t="e">
        <f ca="1">IFERROR(计算区域!AD421,NA())</f>
        <v>#N/A</v>
      </c>
      <c r="H419" t="e">
        <f ca="1">IFERROR(计算区域!AE421,NA())</f>
        <v>#N/A</v>
      </c>
      <c r="I419" t="e">
        <f ca="1">IFERROR(计算区域!AF421,NA())</f>
        <v>#N/A</v>
      </c>
      <c r="J419" t="e">
        <f ca="1">IFERROR(计算区域!AG421,NA())</f>
        <v>#N/A</v>
      </c>
      <c r="L419" t="e">
        <f ca="1">IFERROR(计算区域!L421,NA())</f>
        <v>#N/A</v>
      </c>
      <c r="M419" t="e">
        <f ca="1">IFERROR(计算区域!M421,NA())</f>
        <v>#N/A</v>
      </c>
      <c r="N419" t="e">
        <f ca="1">IFERROR(计算区域!N421,NA())</f>
        <v>#N/A</v>
      </c>
      <c r="O419" t="e">
        <f ca="1">IFERROR(计算区域!O421,NA())</f>
        <v>#N/A</v>
      </c>
      <c r="Q419" t="e">
        <f ca="1">IFERROR(计算区域!R421,NA())</f>
        <v>#N/A</v>
      </c>
      <c r="R419" t="e">
        <f ca="1">IFERROR(计算区域!S421,NA())</f>
        <v>#N/A</v>
      </c>
      <c r="S419" t="e">
        <f ca="1">IFERROR(计算区域!T421,NA())</f>
        <v>#N/A</v>
      </c>
      <c r="T419" t="e">
        <f ca="1">IFERROR(计算区域!U421,NA())</f>
        <v>#N/A</v>
      </c>
      <c r="V419" t="e">
        <f ca="1">IFERROR(计算区域!X421,NA())</f>
        <v>#N/A</v>
      </c>
      <c r="W419" t="e">
        <f ca="1">IFERROR(计算区域!Y421,NA())</f>
        <v>#N/A</v>
      </c>
      <c r="X419" t="e">
        <f ca="1">IFERROR(计算区域!Z421,NA())</f>
        <v>#N/A</v>
      </c>
      <c r="Y419" t="e">
        <f ca="1">IFERROR(计算区域!AA421,NA())</f>
        <v>#N/A</v>
      </c>
    </row>
    <row r="420" spans="1:25" x14ac:dyDescent="0.2">
      <c r="A420" s="28">
        <f>计算区域!E422</f>
        <v>45033</v>
      </c>
      <c r="B420" t="e">
        <f ca="1">IFERROR(计算区域!AJ422,NA())</f>
        <v>#N/A</v>
      </c>
      <c r="C420" t="e">
        <f ca="1">IFERROR(计算区域!AK422,NA())</f>
        <v>#N/A</v>
      </c>
      <c r="D420" t="e">
        <f ca="1">IFERROR(计算区域!AL422,NA())</f>
        <v>#N/A</v>
      </c>
      <c r="E420" t="e">
        <f ca="1">IFERROR(计算区域!AM422,NA())</f>
        <v>#N/A</v>
      </c>
      <c r="G420" t="e">
        <f ca="1">IFERROR(计算区域!AD422,NA())</f>
        <v>#N/A</v>
      </c>
      <c r="H420" t="e">
        <f ca="1">IFERROR(计算区域!AE422,NA())</f>
        <v>#N/A</v>
      </c>
      <c r="I420" t="e">
        <f ca="1">IFERROR(计算区域!AF422,NA())</f>
        <v>#N/A</v>
      </c>
      <c r="J420" t="e">
        <f ca="1">IFERROR(计算区域!AG422,NA())</f>
        <v>#N/A</v>
      </c>
      <c r="L420" t="e">
        <f ca="1">IFERROR(计算区域!L422,NA())</f>
        <v>#N/A</v>
      </c>
      <c r="M420" t="e">
        <f ca="1">IFERROR(计算区域!M422,NA())</f>
        <v>#N/A</v>
      </c>
      <c r="N420" t="e">
        <f ca="1">IFERROR(计算区域!N422,NA())</f>
        <v>#N/A</v>
      </c>
      <c r="O420" t="e">
        <f ca="1">IFERROR(计算区域!O422,NA())</f>
        <v>#N/A</v>
      </c>
      <c r="Q420" t="e">
        <f ca="1">IFERROR(计算区域!R422,NA())</f>
        <v>#N/A</v>
      </c>
      <c r="R420" t="e">
        <f ca="1">IFERROR(计算区域!S422,NA())</f>
        <v>#N/A</v>
      </c>
      <c r="S420" t="e">
        <f ca="1">IFERROR(计算区域!T422,NA())</f>
        <v>#N/A</v>
      </c>
      <c r="T420" t="e">
        <f ca="1">IFERROR(计算区域!U422,NA())</f>
        <v>#N/A</v>
      </c>
      <c r="V420" t="e">
        <f ca="1">IFERROR(计算区域!X422,NA())</f>
        <v>#N/A</v>
      </c>
      <c r="W420" t="e">
        <f ca="1">IFERROR(计算区域!Y422,NA())</f>
        <v>#N/A</v>
      </c>
      <c r="X420" t="e">
        <f ca="1">IFERROR(计算区域!Z422,NA())</f>
        <v>#N/A</v>
      </c>
      <c r="Y420" t="e">
        <f ca="1">IFERROR(计算区域!AA422,NA())</f>
        <v>#N/A</v>
      </c>
    </row>
    <row r="421" spans="1:25" x14ac:dyDescent="0.2">
      <c r="A421" s="28">
        <f>计算区域!E423</f>
        <v>45030</v>
      </c>
      <c r="B421" t="e">
        <f ca="1">IFERROR(计算区域!AJ423,NA())</f>
        <v>#N/A</v>
      </c>
      <c r="C421" t="e">
        <f ca="1">IFERROR(计算区域!AK423,NA())</f>
        <v>#N/A</v>
      </c>
      <c r="D421" t="e">
        <f ca="1">IFERROR(计算区域!AL423,NA())</f>
        <v>#N/A</v>
      </c>
      <c r="E421" t="e">
        <f ca="1">IFERROR(计算区域!AM423,NA())</f>
        <v>#N/A</v>
      </c>
      <c r="G421" t="e">
        <f ca="1">IFERROR(计算区域!AD423,NA())</f>
        <v>#N/A</v>
      </c>
      <c r="H421" t="e">
        <f ca="1">IFERROR(计算区域!AE423,NA())</f>
        <v>#N/A</v>
      </c>
      <c r="I421" t="e">
        <f ca="1">IFERROR(计算区域!AF423,NA())</f>
        <v>#N/A</v>
      </c>
      <c r="J421" t="e">
        <f ca="1">IFERROR(计算区域!AG423,NA())</f>
        <v>#N/A</v>
      </c>
      <c r="L421" t="e">
        <f ca="1">IFERROR(计算区域!L423,NA())</f>
        <v>#N/A</v>
      </c>
      <c r="M421" t="e">
        <f ca="1">IFERROR(计算区域!M423,NA())</f>
        <v>#N/A</v>
      </c>
      <c r="N421" t="e">
        <f ca="1">IFERROR(计算区域!N423,NA())</f>
        <v>#N/A</v>
      </c>
      <c r="O421" t="e">
        <f ca="1">IFERROR(计算区域!O423,NA())</f>
        <v>#N/A</v>
      </c>
      <c r="Q421" t="e">
        <f ca="1">IFERROR(计算区域!R423,NA())</f>
        <v>#N/A</v>
      </c>
      <c r="R421" t="e">
        <f ca="1">IFERROR(计算区域!S423,NA())</f>
        <v>#N/A</v>
      </c>
      <c r="S421" t="e">
        <f ca="1">IFERROR(计算区域!T423,NA())</f>
        <v>#N/A</v>
      </c>
      <c r="T421" t="e">
        <f ca="1">IFERROR(计算区域!U423,NA())</f>
        <v>#N/A</v>
      </c>
      <c r="V421" t="e">
        <f ca="1">IFERROR(计算区域!X423,NA())</f>
        <v>#N/A</v>
      </c>
      <c r="W421" t="e">
        <f ca="1">IFERROR(计算区域!Y423,NA())</f>
        <v>#N/A</v>
      </c>
      <c r="X421" t="e">
        <f ca="1">IFERROR(计算区域!Z423,NA())</f>
        <v>#N/A</v>
      </c>
      <c r="Y421" t="e">
        <f ca="1">IFERROR(计算区域!AA423,NA())</f>
        <v>#N/A</v>
      </c>
    </row>
    <row r="422" spans="1:25" x14ac:dyDescent="0.2">
      <c r="A422" s="28">
        <f>计算区域!E424</f>
        <v>45029</v>
      </c>
      <c r="B422" t="e">
        <f ca="1">IFERROR(计算区域!AJ424,NA())</f>
        <v>#N/A</v>
      </c>
      <c r="C422" t="e">
        <f ca="1">IFERROR(计算区域!AK424,NA())</f>
        <v>#N/A</v>
      </c>
      <c r="D422" t="e">
        <f ca="1">IFERROR(计算区域!AL424,NA())</f>
        <v>#N/A</v>
      </c>
      <c r="E422" t="e">
        <f ca="1">IFERROR(计算区域!AM424,NA())</f>
        <v>#N/A</v>
      </c>
      <c r="G422" t="e">
        <f ca="1">IFERROR(计算区域!AD424,NA())</f>
        <v>#N/A</v>
      </c>
      <c r="H422" t="e">
        <f ca="1">IFERROR(计算区域!AE424,NA())</f>
        <v>#N/A</v>
      </c>
      <c r="I422" t="e">
        <f ca="1">IFERROR(计算区域!AF424,NA())</f>
        <v>#N/A</v>
      </c>
      <c r="J422" t="e">
        <f ca="1">IFERROR(计算区域!AG424,NA())</f>
        <v>#N/A</v>
      </c>
      <c r="L422" t="e">
        <f ca="1">IFERROR(计算区域!L424,NA())</f>
        <v>#N/A</v>
      </c>
      <c r="M422" t="e">
        <f ca="1">IFERROR(计算区域!M424,NA())</f>
        <v>#N/A</v>
      </c>
      <c r="N422" t="e">
        <f ca="1">IFERROR(计算区域!N424,NA())</f>
        <v>#N/A</v>
      </c>
      <c r="O422" t="e">
        <f ca="1">IFERROR(计算区域!O424,NA())</f>
        <v>#N/A</v>
      </c>
      <c r="Q422" t="e">
        <f ca="1">IFERROR(计算区域!R424,NA())</f>
        <v>#N/A</v>
      </c>
      <c r="R422" t="e">
        <f ca="1">IFERROR(计算区域!S424,NA())</f>
        <v>#N/A</v>
      </c>
      <c r="S422" t="e">
        <f ca="1">IFERROR(计算区域!T424,NA())</f>
        <v>#N/A</v>
      </c>
      <c r="T422" t="e">
        <f ca="1">IFERROR(计算区域!U424,NA())</f>
        <v>#N/A</v>
      </c>
      <c r="V422" t="e">
        <f ca="1">IFERROR(计算区域!X424,NA())</f>
        <v>#N/A</v>
      </c>
      <c r="W422" t="e">
        <f ca="1">IFERROR(计算区域!Y424,NA())</f>
        <v>#N/A</v>
      </c>
      <c r="X422" t="e">
        <f ca="1">IFERROR(计算区域!Z424,NA())</f>
        <v>#N/A</v>
      </c>
      <c r="Y422" t="e">
        <f ca="1">IFERROR(计算区域!AA424,NA())</f>
        <v>#N/A</v>
      </c>
    </row>
    <row r="423" spans="1:25" x14ac:dyDescent="0.2">
      <c r="A423" s="28">
        <f>计算区域!E425</f>
        <v>45028</v>
      </c>
      <c r="B423" t="e">
        <f ca="1">IFERROR(计算区域!AJ425,NA())</f>
        <v>#N/A</v>
      </c>
      <c r="C423" t="e">
        <f ca="1">IFERROR(计算区域!AK425,NA())</f>
        <v>#N/A</v>
      </c>
      <c r="D423" t="e">
        <f ca="1">IFERROR(计算区域!AL425,NA())</f>
        <v>#N/A</v>
      </c>
      <c r="E423" t="e">
        <f ca="1">IFERROR(计算区域!AM425,NA())</f>
        <v>#N/A</v>
      </c>
      <c r="G423" t="e">
        <f ca="1">IFERROR(计算区域!AD425,NA())</f>
        <v>#N/A</v>
      </c>
      <c r="H423" t="e">
        <f ca="1">IFERROR(计算区域!AE425,NA())</f>
        <v>#N/A</v>
      </c>
      <c r="I423" t="e">
        <f ca="1">IFERROR(计算区域!AF425,NA())</f>
        <v>#N/A</v>
      </c>
      <c r="J423" t="e">
        <f ca="1">IFERROR(计算区域!AG425,NA())</f>
        <v>#N/A</v>
      </c>
      <c r="L423" t="e">
        <f ca="1">IFERROR(计算区域!L425,NA())</f>
        <v>#N/A</v>
      </c>
      <c r="M423" t="e">
        <f ca="1">IFERROR(计算区域!M425,NA())</f>
        <v>#N/A</v>
      </c>
      <c r="N423" t="e">
        <f ca="1">IFERROR(计算区域!N425,NA())</f>
        <v>#N/A</v>
      </c>
      <c r="O423" t="e">
        <f ca="1">IFERROR(计算区域!O425,NA())</f>
        <v>#N/A</v>
      </c>
      <c r="Q423" t="e">
        <f ca="1">IFERROR(计算区域!R425,NA())</f>
        <v>#N/A</v>
      </c>
      <c r="R423" t="e">
        <f ca="1">IFERROR(计算区域!S425,NA())</f>
        <v>#N/A</v>
      </c>
      <c r="S423" t="e">
        <f ca="1">IFERROR(计算区域!T425,NA())</f>
        <v>#N/A</v>
      </c>
      <c r="T423" t="e">
        <f ca="1">IFERROR(计算区域!U425,NA())</f>
        <v>#N/A</v>
      </c>
      <c r="V423" t="e">
        <f ca="1">IFERROR(计算区域!X425,NA())</f>
        <v>#N/A</v>
      </c>
      <c r="W423" t="e">
        <f ca="1">IFERROR(计算区域!Y425,NA())</f>
        <v>#N/A</v>
      </c>
      <c r="X423" t="e">
        <f ca="1">IFERROR(计算区域!Z425,NA())</f>
        <v>#N/A</v>
      </c>
      <c r="Y423" t="e">
        <f ca="1">IFERROR(计算区域!AA425,NA())</f>
        <v>#N/A</v>
      </c>
    </row>
    <row r="424" spans="1:25" x14ac:dyDescent="0.2">
      <c r="A424" s="28">
        <f>计算区域!E426</f>
        <v>45027</v>
      </c>
      <c r="B424" t="e">
        <f ca="1">IFERROR(计算区域!AJ426,NA())</f>
        <v>#N/A</v>
      </c>
      <c r="C424" t="e">
        <f ca="1">IFERROR(计算区域!AK426,NA())</f>
        <v>#N/A</v>
      </c>
      <c r="D424" t="e">
        <f ca="1">IFERROR(计算区域!AL426,NA())</f>
        <v>#N/A</v>
      </c>
      <c r="E424" t="e">
        <f ca="1">IFERROR(计算区域!AM426,NA())</f>
        <v>#N/A</v>
      </c>
      <c r="G424" t="e">
        <f ca="1">IFERROR(计算区域!AD426,NA())</f>
        <v>#N/A</v>
      </c>
      <c r="H424" t="e">
        <f ca="1">IFERROR(计算区域!AE426,NA())</f>
        <v>#N/A</v>
      </c>
      <c r="I424" t="e">
        <f ca="1">IFERROR(计算区域!AF426,NA())</f>
        <v>#N/A</v>
      </c>
      <c r="J424" t="e">
        <f ca="1">IFERROR(计算区域!AG426,NA())</f>
        <v>#N/A</v>
      </c>
      <c r="L424" t="e">
        <f ca="1">IFERROR(计算区域!L426,NA())</f>
        <v>#N/A</v>
      </c>
      <c r="M424" t="e">
        <f ca="1">IFERROR(计算区域!M426,NA())</f>
        <v>#N/A</v>
      </c>
      <c r="N424" t="e">
        <f ca="1">IFERROR(计算区域!N426,NA())</f>
        <v>#N/A</v>
      </c>
      <c r="O424" t="e">
        <f ca="1">IFERROR(计算区域!O426,NA())</f>
        <v>#N/A</v>
      </c>
      <c r="Q424" t="e">
        <f ca="1">IFERROR(计算区域!R426,NA())</f>
        <v>#N/A</v>
      </c>
      <c r="R424" t="e">
        <f ca="1">IFERROR(计算区域!S426,NA())</f>
        <v>#N/A</v>
      </c>
      <c r="S424" t="e">
        <f ca="1">IFERROR(计算区域!T426,NA())</f>
        <v>#N/A</v>
      </c>
      <c r="T424" t="e">
        <f ca="1">IFERROR(计算区域!U426,NA())</f>
        <v>#N/A</v>
      </c>
      <c r="V424" t="e">
        <f ca="1">IFERROR(计算区域!X426,NA())</f>
        <v>#N/A</v>
      </c>
      <c r="W424" t="e">
        <f ca="1">IFERROR(计算区域!Y426,NA())</f>
        <v>#N/A</v>
      </c>
      <c r="X424" t="e">
        <f ca="1">IFERROR(计算区域!Z426,NA())</f>
        <v>#N/A</v>
      </c>
      <c r="Y424" t="e">
        <f ca="1">IFERROR(计算区域!AA426,NA())</f>
        <v>#N/A</v>
      </c>
    </row>
    <row r="425" spans="1:25" x14ac:dyDescent="0.2">
      <c r="A425" s="28">
        <f>计算区域!E427</f>
        <v>45026</v>
      </c>
      <c r="B425" t="e">
        <f ca="1">IFERROR(计算区域!AJ427,NA())</f>
        <v>#N/A</v>
      </c>
      <c r="C425" t="e">
        <f ca="1">IFERROR(计算区域!AK427,NA())</f>
        <v>#N/A</v>
      </c>
      <c r="D425" t="e">
        <f ca="1">IFERROR(计算区域!AL427,NA())</f>
        <v>#N/A</v>
      </c>
      <c r="E425" t="e">
        <f ca="1">IFERROR(计算区域!AM427,NA())</f>
        <v>#N/A</v>
      </c>
      <c r="G425" t="e">
        <f ca="1">IFERROR(计算区域!AD427,NA())</f>
        <v>#N/A</v>
      </c>
      <c r="H425" t="e">
        <f ca="1">IFERROR(计算区域!AE427,NA())</f>
        <v>#N/A</v>
      </c>
      <c r="I425" t="e">
        <f ca="1">IFERROR(计算区域!AF427,NA())</f>
        <v>#N/A</v>
      </c>
      <c r="J425" t="e">
        <f ca="1">IFERROR(计算区域!AG427,NA())</f>
        <v>#N/A</v>
      </c>
      <c r="L425" t="e">
        <f ca="1">IFERROR(计算区域!L427,NA())</f>
        <v>#N/A</v>
      </c>
      <c r="M425" t="e">
        <f ca="1">IFERROR(计算区域!M427,NA())</f>
        <v>#N/A</v>
      </c>
      <c r="N425" t="e">
        <f ca="1">IFERROR(计算区域!N427,NA())</f>
        <v>#N/A</v>
      </c>
      <c r="O425" t="e">
        <f ca="1">IFERROR(计算区域!O427,NA())</f>
        <v>#N/A</v>
      </c>
      <c r="Q425" t="e">
        <f ca="1">IFERROR(计算区域!R427,NA())</f>
        <v>#N/A</v>
      </c>
      <c r="R425" t="e">
        <f ca="1">IFERROR(计算区域!S427,NA())</f>
        <v>#N/A</v>
      </c>
      <c r="S425" t="e">
        <f ca="1">IFERROR(计算区域!T427,NA())</f>
        <v>#N/A</v>
      </c>
      <c r="T425" t="e">
        <f ca="1">IFERROR(计算区域!U427,NA())</f>
        <v>#N/A</v>
      </c>
      <c r="V425" t="e">
        <f ca="1">IFERROR(计算区域!X427,NA())</f>
        <v>#N/A</v>
      </c>
      <c r="W425" t="e">
        <f ca="1">IFERROR(计算区域!Y427,NA())</f>
        <v>#N/A</v>
      </c>
      <c r="X425" t="e">
        <f ca="1">IFERROR(计算区域!Z427,NA())</f>
        <v>#N/A</v>
      </c>
      <c r="Y425" t="e">
        <f ca="1">IFERROR(计算区域!AA427,NA())</f>
        <v>#N/A</v>
      </c>
    </row>
    <row r="426" spans="1:25" x14ac:dyDescent="0.2">
      <c r="A426" s="28">
        <f>计算区域!E428</f>
        <v>45023</v>
      </c>
      <c r="B426" t="e">
        <f ca="1">IFERROR(计算区域!AJ428,NA())</f>
        <v>#N/A</v>
      </c>
      <c r="C426" t="e">
        <f ca="1">IFERROR(计算区域!AK428,NA())</f>
        <v>#N/A</v>
      </c>
      <c r="D426" t="e">
        <f ca="1">IFERROR(计算区域!AL428,NA())</f>
        <v>#N/A</v>
      </c>
      <c r="E426" t="e">
        <f ca="1">IFERROR(计算区域!AM428,NA())</f>
        <v>#N/A</v>
      </c>
      <c r="G426" t="e">
        <f ca="1">IFERROR(计算区域!AD428,NA())</f>
        <v>#N/A</v>
      </c>
      <c r="H426" t="e">
        <f ca="1">IFERROR(计算区域!AE428,NA())</f>
        <v>#N/A</v>
      </c>
      <c r="I426" t="e">
        <f ca="1">IFERROR(计算区域!AF428,NA())</f>
        <v>#N/A</v>
      </c>
      <c r="J426" t="e">
        <f ca="1">IFERROR(计算区域!AG428,NA())</f>
        <v>#N/A</v>
      </c>
      <c r="L426" t="e">
        <f ca="1">IFERROR(计算区域!L428,NA())</f>
        <v>#N/A</v>
      </c>
      <c r="M426" t="e">
        <f ca="1">IFERROR(计算区域!M428,NA())</f>
        <v>#N/A</v>
      </c>
      <c r="N426" t="e">
        <f ca="1">IFERROR(计算区域!N428,NA())</f>
        <v>#N/A</v>
      </c>
      <c r="O426" t="e">
        <f ca="1">IFERROR(计算区域!O428,NA())</f>
        <v>#N/A</v>
      </c>
      <c r="Q426" t="e">
        <f ca="1">IFERROR(计算区域!R428,NA())</f>
        <v>#N/A</v>
      </c>
      <c r="R426" t="e">
        <f ca="1">IFERROR(计算区域!S428,NA())</f>
        <v>#N/A</v>
      </c>
      <c r="S426" t="e">
        <f ca="1">IFERROR(计算区域!T428,NA())</f>
        <v>#N/A</v>
      </c>
      <c r="T426" t="e">
        <f ca="1">IFERROR(计算区域!U428,NA())</f>
        <v>#N/A</v>
      </c>
      <c r="V426" t="e">
        <f ca="1">IFERROR(计算区域!X428,NA())</f>
        <v>#N/A</v>
      </c>
      <c r="W426" t="e">
        <f ca="1">IFERROR(计算区域!Y428,NA())</f>
        <v>#N/A</v>
      </c>
      <c r="X426" t="e">
        <f ca="1">IFERROR(计算区域!Z428,NA())</f>
        <v>#N/A</v>
      </c>
      <c r="Y426" t="e">
        <f ca="1">IFERROR(计算区域!AA428,NA())</f>
        <v>#N/A</v>
      </c>
    </row>
    <row r="427" spans="1:25" x14ac:dyDescent="0.2">
      <c r="A427" s="28">
        <f>计算区域!E429</f>
        <v>45022</v>
      </c>
      <c r="B427" t="e">
        <f ca="1">IFERROR(计算区域!AJ429,NA())</f>
        <v>#N/A</v>
      </c>
      <c r="C427" t="e">
        <f ca="1">IFERROR(计算区域!AK429,NA())</f>
        <v>#N/A</v>
      </c>
      <c r="D427" t="e">
        <f ca="1">IFERROR(计算区域!AL429,NA())</f>
        <v>#N/A</v>
      </c>
      <c r="E427" t="e">
        <f ca="1">IFERROR(计算区域!AM429,NA())</f>
        <v>#N/A</v>
      </c>
      <c r="G427" t="e">
        <f ca="1">IFERROR(计算区域!AD429,NA())</f>
        <v>#N/A</v>
      </c>
      <c r="H427" t="e">
        <f ca="1">IFERROR(计算区域!AE429,NA())</f>
        <v>#N/A</v>
      </c>
      <c r="I427" t="e">
        <f ca="1">IFERROR(计算区域!AF429,NA())</f>
        <v>#N/A</v>
      </c>
      <c r="J427" t="e">
        <f ca="1">IFERROR(计算区域!AG429,NA())</f>
        <v>#N/A</v>
      </c>
      <c r="L427" t="e">
        <f ca="1">IFERROR(计算区域!L429,NA())</f>
        <v>#N/A</v>
      </c>
      <c r="M427" t="e">
        <f ca="1">IFERROR(计算区域!M429,NA())</f>
        <v>#N/A</v>
      </c>
      <c r="N427" t="e">
        <f ca="1">IFERROR(计算区域!N429,NA())</f>
        <v>#N/A</v>
      </c>
      <c r="O427" t="e">
        <f ca="1">IFERROR(计算区域!O429,NA())</f>
        <v>#N/A</v>
      </c>
      <c r="Q427" t="e">
        <f ca="1">IFERROR(计算区域!R429,NA())</f>
        <v>#N/A</v>
      </c>
      <c r="R427" t="e">
        <f ca="1">IFERROR(计算区域!S429,NA())</f>
        <v>#N/A</v>
      </c>
      <c r="S427" t="e">
        <f ca="1">IFERROR(计算区域!T429,NA())</f>
        <v>#N/A</v>
      </c>
      <c r="T427" t="e">
        <f ca="1">IFERROR(计算区域!U429,NA())</f>
        <v>#N/A</v>
      </c>
      <c r="V427" t="e">
        <f ca="1">IFERROR(计算区域!X429,NA())</f>
        <v>#N/A</v>
      </c>
      <c r="W427" t="e">
        <f ca="1">IFERROR(计算区域!Y429,NA())</f>
        <v>#N/A</v>
      </c>
      <c r="X427" t="e">
        <f ca="1">IFERROR(计算区域!Z429,NA())</f>
        <v>#N/A</v>
      </c>
      <c r="Y427" t="e">
        <f ca="1">IFERROR(计算区域!AA429,NA())</f>
        <v>#N/A</v>
      </c>
    </row>
    <row r="428" spans="1:25" x14ac:dyDescent="0.2">
      <c r="A428" s="28">
        <f>计算区域!E430</f>
        <v>45020</v>
      </c>
      <c r="B428" t="e">
        <f ca="1">IFERROR(计算区域!AJ430,NA())</f>
        <v>#N/A</v>
      </c>
      <c r="C428" t="e">
        <f ca="1">IFERROR(计算区域!AK430,NA())</f>
        <v>#N/A</v>
      </c>
      <c r="D428" t="e">
        <f ca="1">IFERROR(计算区域!AL430,NA())</f>
        <v>#N/A</v>
      </c>
      <c r="E428" t="e">
        <f ca="1">IFERROR(计算区域!AM430,NA())</f>
        <v>#N/A</v>
      </c>
      <c r="G428" t="e">
        <f ca="1">IFERROR(计算区域!AD430,NA())</f>
        <v>#N/A</v>
      </c>
      <c r="H428" t="e">
        <f ca="1">IFERROR(计算区域!AE430,NA())</f>
        <v>#N/A</v>
      </c>
      <c r="I428" t="e">
        <f ca="1">IFERROR(计算区域!AF430,NA())</f>
        <v>#N/A</v>
      </c>
      <c r="J428" t="e">
        <f ca="1">IFERROR(计算区域!AG430,NA())</f>
        <v>#N/A</v>
      </c>
      <c r="L428" t="e">
        <f ca="1">IFERROR(计算区域!L430,NA())</f>
        <v>#N/A</v>
      </c>
      <c r="M428" t="e">
        <f ca="1">IFERROR(计算区域!M430,NA())</f>
        <v>#N/A</v>
      </c>
      <c r="N428" t="e">
        <f ca="1">IFERROR(计算区域!N430,NA())</f>
        <v>#N/A</v>
      </c>
      <c r="O428" t="e">
        <f ca="1">IFERROR(计算区域!O430,NA())</f>
        <v>#N/A</v>
      </c>
      <c r="Q428" t="e">
        <f ca="1">IFERROR(计算区域!R430,NA())</f>
        <v>#N/A</v>
      </c>
      <c r="R428" t="e">
        <f ca="1">IFERROR(计算区域!S430,NA())</f>
        <v>#N/A</v>
      </c>
      <c r="S428" t="e">
        <f ca="1">IFERROR(计算区域!T430,NA())</f>
        <v>#N/A</v>
      </c>
      <c r="T428" t="e">
        <f ca="1">IFERROR(计算区域!U430,NA())</f>
        <v>#N/A</v>
      </c>
      <c r="V428" t="e">
        <f ca="1">IFERROR(计算区域!X430,NA())</f>
        <v>#N/A</v>
      </c>
      <c r="W428" t="e">
        <f ca="1">IFERROR(计算区域!Y430,NA())</f>
        <v>#N/A</v>
      </c>
      <c r="X428" t="e">
        <f ca="1">IFERROR(计算区域!Z430,NA())</f>
        <v>#N/A</v>
      </c>
      <c r="Y428" t="e">
        <f ca="1">IFERROR(计算区域!AA430,NA())</f>
        <v>#N/A</v>
      </c>
    </row>
    <row r="429" spans="1:25" x14ac:dyDescent="0.2">
      <c r="A429" s="28">
        <f>计算区域!E431</f>
        <v>45019</v>
      </c>
      <c r="B429" t="e">
        <f ca="1">IFERROR(计算区域!AJ431,NA())</f>
        <v>#N/A</v>
      </c>
      <c r="C429" t="e">
        <f ca="1">IFERROR(计算区域!AK431,NA())</f>
        <v>#N/A</v>
      </c>
      <c r="D429" t="e">
        <f ca="1">IFERROR(计算区域!AL431,NA())</f>
        <v>#N/A</v>
      </c>
      <c r="E429" t="e">
        <f ca="1">IFERROR(计算区域!AM431,NA())</f>
        <v>#N/A</v>
      </c>
      <c r="G429" t="e">
        <f ca="1">IFERROR(计算区域!AD431,NA())</f>
        <v>#N/A</v>
      </c>
      <c r="H429" t="e">
        <f ca="1">IFERROR(计算区域!AE431,NA())</f>
        <v>#N/A</v>
      </c>
      <c r="I429" t="e">
        <f ca="1">IFERROR(计算区域!AF431,NA())</f>
        <v>#N/A</v>
      </c>
      <c r="J429" t="e">
        <f ca="1">IFERROR(计算区域!AG431,NA())</f>
        <v>#N/A</v>
      </c>
      <c r="L429" t="e">
        <f ca="1">IFERROR(计算区域!L431,NA())</f>
        <v>#N/A</v>
      </c>
      <c r="M429" t="e">
        <f ca="1">IFERROR(计算区域!M431,NA())</f>
        <v>#N/A</v>
      </c>
      <c r="N429" t="e">
        <f ca="1">IFERROR(计算区域!N431,NA())</f>
        <v>#N/A</v>
      </c>
      <c r="O429" t="e">
        <f ca="1">IFERROR(计算区域!O431,NA())</f>
        <v>#N/A</v>
      </c>
      <c r="Q429" t="e">
        <f ca="1">IFERROR(计算区域!R431,NA())</f>
        <v>#N/A</v>
      </c>
      <c r="R429" t="e">
        <f ca="1">IFERROR(计算区域!S431,NA())</f>
        <v>#N/A</v>
      </c>
      <c r="S429" t="e">
        <f ca="1">IFERROR(计算区域!T431,NA())</f>
        <v>#N/A</v>
      </c>
      <c r="T429" t="e">
        <f ca="1">IFERROR(计算区域!U431,NA())</f>
        <v>#N/A</v>
      </c>
      <c r="V429" t="e">
        <f ca="1">IFERROR(计算区域!X431,NA())</f>
        <v>#N/A</v>
      </c>
      <c r="W429" t="e">
        <f ca="1">IFERROR(计算区域!Y431,NA())</f>
        <v>#N/A</v>
      </c>
      <c r="X429" t="e">
        <f ca="1">IFERROR(计算区域!Z431,NA())</f>
        <v>#N/A</v>
      </c>
      <c r="Y429" t="e">
        <f ca="1">IFERROR(计算区域!AA431,NA())</f>
        <v>#N/A</v>
      </c>
    </row>
    <row r="430" spans="1:25" x14ac:dyDescent="0.2">
      <c r="A430" s="28">
        <f>计算区域!E432</f>
        <v>45016</v>
      </c>
      <c r="B430" t="e">
        <f ca="1">IFERROR(计算区域!AJ432,NA())</f>
        <v>#N/A</v>
      </c>
      <c r="C430" t="e">
        <f ca="1">IFERROR(计算区域!AK432,NA())</f>
        <v>#N/A</v>
      </c>
      <c r="D430" t="e">
        <f ca="1">IFERROR(计算区域!AL432,NA())</f>
        <v>#N/A</v>
      </c>
      <c r="E430" t="e">
        <f ca="1">IFERROR(计算区域!AM432,NA())</f>
        <v>#N/A</v>
      </c>
      <c r="G430" t="e">
        <f ca="1">IFERROR(计算区域!AD432,NA())</f>
        <v>#N/A</v>
      </c>
      <c r="H430" t="e">
        <f ca="1">IFERROR(计算区域!AE432,NA())</f>
        <v>#N/A</v>
      </c>
      <c r="I430" t="e">
        <f ca="1">IFERROR(计算区域!AF432,NA())</f>
        <v>#N/A</v>
      </c>
      <c r="J430" t="e">
        <f ca="1">IFERROR(计算区域!AG432,NA())</f>
        <v>#N/A</v>
      </c>
      <c r="L430" t="e">
        <f ca="1">IFERROR(计算区域!L432,NA())</f>
        <v>#N/A</v>
      </c>
      <c r="M430" t="e">
        <f ca="1">IFERROR(计算区域!M432,NA())</f>
        <v>#N/A</v>
      </c>
      <c r="N430" t="e">
        <f ca="1">IFERROR(计算区域!N432,NA())</f>
        <v>#N/A</v>
      </c>
      <c r="O430" t="e">
        <f ca="1">IFERROR(计算区域!O432,NA())</f>
        <v>#N/A</v>
      </c>
      <c r="Q430" t="e">
        <f ca="1">IFERROR(计算区域!R432,NA())</f>
        <v>#N/A</v>
      </c>
      <c r="R430" t="e">
        <f ca="1">IFERROR(计算区域!S432,NA())</f>
        <v>#N/A</v>
      </c>
      <c r="S430" t="e">
        <f ca="1">IFERROR(计算区域!T432,NA())</f>
        <v>#N/A</v>
      </c>
      <c r="T430" t="e">
        <f ca="1">IFERROR(计算区域!U432,NA())</f>
        <v>#N/A</v>
      </c>
      <c r="V430" t="e">
        <f ca="1">IFERROR(计算区域!X432,NA())</f>
        <v>#N/A</v>
      </c>
      <c r="W430" t="e">
        <f ca="1">IFERROR(计算区域!Y432,NA())</f>
        <v>#N/A</v>
      </c>
      <c r="X430" t="e">
        <f ca="1">IFERROR(计算区域!Z432,NA())</f>
        <v>#N/A</v>
      </c>
      <c r="Y430" t="e">
        <f ca="1">IFERROR(计算区域!AA432,NA())</f>
        <v>#N/A</v>
      </c>
    </row>
    <row r="431" spans="1:25" x14ac:dyDescent="0.2">
      <c r="A431" s="28">
        <f>计算区域!E433</f>
        <v>45015</v>
      </c>
      <c r="B431" t="e">
        <f ca="1">IFERROR(计算区域!AJ433,NA())</f>
        <v>#N/A</v>
      </c>
      <c r="C431" t="e">
        <f ca="1">IFERROR(计算区域!AK433,NA())</f>
        <v>#N/A</v>
      </c>
      <c r="D431" t="e">
        <f ca="1">IFERROR(计算区域!AL433,NA())</f>
        <v>#N/A</v>
      </c>
      <c r="E431" t="e">
        <f ca="1">IFERROR(计算区域!AM433,NA())</f>
        <v>#N/A</v>
      </c>
      <c r="G431" t="e">
        <f ca="1">IFERROR(计算区域!AD433,NA())</f>
        <v>#N/A</v>
      </c>
      <c r="H431" t="e">
        <f ca="1">IFERROR(计算区域!AE433,NA())</f>
        <v>#N/A</v>
      </c>
      <c r="I431" t="e">
        <f ca="1">IFERROR(计算区域!AF433,NA())</f>
        <v>#N/A</v>
      </c>
      <c r="J431" t="e">
        <f ca="1">IFERROR(计算区域!AG433,NA())</f>
        <v>#N/A</v>
      </c>
      <c r="L431" t="e">
        <f ca="1">IFERROR(计算区域!L433,NA())</f>
        <v>#N/A</v>
      </c>
      <c r="M431" t="e">
        <f ca="1">IFERROR(计算区域!M433,NA())</f>
        <v>#N/A</v>
      </c>
      <c r="N431" t="e">
        <f ca="1">IFERROR(计算区域!N433,NA())</f>
        <v>#N/A</v>
      </c>
      <c r="O431" t="e">
        <f ca="1">IFERROR(计算区域!O433,NA())</f>
        <v>#N/A</v>
      </c>
      <c r="Q431" t="e">
        <f ca="1">IFERROR(计算区域!R433,NA())</f>
        <v>#N/A</v>
      </c>
      <c r="R431" t="e">
        <f ca="1">IFERROR(计算区域!S433,NA())</f>
        <v>#N/A</v>
      </c>
      <c r="S431" t="e">
        <f ca="1">IFERROR(计算区域!T433,NA())</f>
        <v>#N/A</v>
      </c>
      <c r="T431" t="e">
        <f ca="1">IFERROR(计算区域!U433,NA())</f>
        <v>#N/A</v>
      </c>
      <c r="V431" t="e">
        <f ca="1">IFERROR(计算区域!X433,NA())</f>
        <v>#N/A</v>
      </c>
      <c r="W431" t="e">
        <f ca="1">IFERROR(计算区域!Y433,NA())</f>
        <v>#N/A</v>
      </c>
      <c r="X431" t="e">
        <f ca="1">IFERROR(计算区域!Z433,NA())</f>
        <v>#N/A</v>
      </c>
      <c r="Y431" t="e">
        <f ca="1">IFERROR(计算区域!AA433,NA())</f>
        <v>#N/A</v>
      </c>
    </row>
    <row r="432" spans="1:25" x14ac:dyDescent="0.2">
      <c r="A432" s="28">
        <f>计算区域!E434</f>
        <v>45014</v>
      </c>
      <c r="B432" t="e">
        <f ca="1">IFERROR(计算区域!AJ434,NA())</f>
        <v>#N/A</v>
      </c>
      <c r="C432" t="e">
        <f ca="1">IFERROR(计算区域!AK434,NA())</f>
        <v>#N/A</v>
      </c>
      <c r="D432" t="e">
        <f ca="1">IFERROR(计算区域!AL434,NA())</f>
        <v>#N/A</v>
      </c>
      <c r="E432" t="e">
        <f ca="1">IFERROR(计算区域!AM434,NA())</f>
        <v>#N/A</v>
      </c>
      <c r="G432" t="e">
        <f ca="1">IFERROR(计算区域!AD434,NA())</f>
        <v>#N/A</v>
      </c>
      <c r="H432" t="e">
        <f ca="1">IFERROR(计算区域!AE434,NA())</f>
        <v>#N/A</v>
      </c>
      <c r="I432" t="e">
        <f ca="1">IFERROR(计算区域!AF434,NA())</f>
        <v>#N/A</v>
      </c>
      <c r="J432" t="e">
        <f ca="1">IFERROR(计算区域!AG434,NA())</f>
        <v>#N/A</v>
      </c>
      <c r="L432" t="e">
        <f ca="1">IFERROR(计算区域!L434,NA())</f>
        <v>#N/A</v>
      </c>
      <c r="M432" t="e">
        <f ca="1">IFERROR(计算区域!M434,NA())</f>
        <v>#N/A</v>
      </c>
      <c r="N432" t="e">
        <f ca="1">IFERROR(计算区域!N434,NA())</f>
        <v>#N/A</v>
      </c>
      <c r="O432" t="e">
        <f ca="1">IFERROR(计算区域!O434,NA())</f>
        <v>#N/A</v>
      </c>
      <c r="Q432" t="e">
        <f ca="1">IFERROR(计算区域!R434,NA())</f>
        <v>#N/A</v>
      </c>
      <c r="R432" t="e">
        <f ca="1">IFERROR(计算区域!S434,NA())</f>
        <v>#N/A</v>
      </c>
      <c r="S432" t="e">
        <f ca="1">IFERROR(计算区域!T434,NA())</f>
        <v>#N/A</v>
      </c>
      <c r="T432" t="e">
        <f ca="1">IFERROR(计算区域!U434,NA())</f>
        <v>#N/A</v>
      </c>
      <c r="V432" t="e">
        <f ca="1">IFERROR(计算区域!X434,NA())</f>
        <v>#N/A</v>
      </c>
      <c r="W432" t="e">
        <f ca="1">IFERROR(计算区域!Y434,NA())</f>
        <v>#N/A</v>
      </c>
      <c r="X432" t="e">
        <f ca="1">IFERROR(计算区域!Z434,NA())</f>
        <v>#N/A</v>
      </c>
      <c r="Y432" t="e">
        <f ca="1">IFERROR(计算区域!AA434,NA())</f>
        <v>#N/A</v>
      </c>
    </row>
    <row r="433" spans="1:25" x14ac:dyDescent="0.2">
      <c r="A433" s="28">
        <f>计算区域!E435</f>
        <v>45013</v>
      </c>
      <c r="B433" t="e">
        <f ca="1">IFERROR(计算区域!AJ435,NA())</f>
        <v>#N/A</v>
      </c>
      <c r="C433" t="e">
        <f ca="1">IFERROR(计算区域!AK435,NA())</f>
        <v>#N/A</v>
      </c>
      <c r="D433" t="e">
        <f ca="1">IFERROR(计算区域!AL435,NA())</f>
        <v>#N/A</v>
      </c>
      <c r="E433" t="e">
        <f ca="1">IFERROR(计算区域!AM435,NA())</f>
        <v>#N/A</v>
      </c>
      <c r="G433" t="e">
        <f ca="1">IFERROR(计算区域!AD435,NA())</f>
        <v>#N/A</v>
      </c>
      <c r="H433" t="e">
        <f ca="1">IFERROR(计算区域!AE435,NA())</f>
        <v>#N/A</v>
      </c>
      <c r="I433" t="e">
        <f ca="1">IFERROR(计算区域!AF435,NA())</f>
        <v>#N/A</v>
      </c>
      <c r="J433" t="e">
        <f ca="1">IFERROR(计算区域!AG435,NA())</f>
        <v>#N/A</v>
      </c>
      <c r="L433" t="e">
        <f ca="1">IFERROR(计算区域!L435,NA())</f>
        <v>#N/A</v>
      </c>
      <c r="M433" t="e">
        <f ca="1">IFERROR(计算区域!M435,NA())</f>
        <v>#N/A</v>
      </c>
      <c r="N433" t="e">
        <f ca="1">IFERROR(计算区域!N435,NA())</f>
        <v>#N/A</v>
      </c>
      <c r="O433" t="e">
        <f ca="1">IFERROR(计算区域!O435,NA())</f>
        <v>#N/A</v>
      </c>
      <c r="Q433" t="e">
        <f ca="1">IFERROR(计算区域!R435,NA())</f>
        <v>#N/A</v>
      </c>
      <c r="R433" t="e">
        <f ca="1">IFERROR(计算区域!S435,NA())</f>
        <v>#N/A</v>
      </c>
      <c r="S433" t="e">
        <f ca="1">IFERROR(计算区域!T435,NA())</f>
        <v>#N/A</v>
      </c>
      <c r="T433" t="e">
        <f ca="1">IFERROR(计算区域!U435,NA())</f>
        <v>#N/A</v>
      </c>
      <c r="V433" t="e">
        <f ca="1">IFERROR(计算区域!X435,NA())</f>
        <v>#N/A</v>
      </c>
      <c r="W433" t="e">
        <f ca="1">IFERROR(计算区域!Y435,NA())</f>
        <v>#N/A</v>
      </c>
      <c r="X433" t="e">
        <f ca="1">IFERROR(计算区域!Z435,NA())</f>
        <v>#N/A</v>
      </c>
      <c r="Y433" t="e">
        <f ca="1">IFERROR(计算区域!AA435,NA())</f>
        <v>#N/A</v>
      </c>
    </row>
    <row r="434" spans="1:25" x14ac:dyDescent="0.2">
      <c r="A434" s="28">
        <f>计算区域!E436</f>
        <v>45012</v>
      </c>
      <c r="B434" t="e">
        <f ca="1">IFERROR(计算区域!AJ436,NA())</f>
        <v>#N/A</v>
      </c>
      <c r="C434" t="e">
        <f ca="1">IFERROR(计算区域!AK436,NA())</f>
        <v>#N/A</v>
      </c>
      <c r="D434" t="e">
        <f ca="1">IFERROR(计算区域!AL436,NA())</f>
        <v>#N/A</v>
      </c>
      <c r="E434" t="e">
        <f ca="1">IFERROR(计算区域!AM436,NA())</f>
        <v>#N/A</v>
      </c>
      <c r="G434" t="e">
        <f ca="1">IFERROR(计算区域!AD436,NA())</f>
        <v>#N/A</v>
      </c>
      <c r="H434" t="e">
        <f ca="1">IFERROR(计算区域!AE436,NA())</f>
        <v>#N/A</v>
      </c>
      <c r="I434" t="e">
        <f ca="1">IFERROR(计算区域!AF436,NA())</f>
        <v>#N/A</v>
      </c>
      <c r="J434" t="e">
        <f ca="1">IFERROR(计算区域!AG436,NA())</f>
        <v>#N/A</v>
      </c>
      <c r="L434" t="e">
        <f ca="1">IFERROR(计算区域!L436,NA())</f>
        <v>#N/A</v>
      </c>
      <c r="M434" t="e">
        <f ca="1">IFERROR(计算区域!M436,NA())</f>
        <v>#N/A</v>
      </c>
      <c r="N434" t="e">
        <f ca="1">IFERROR(计算区域!N436,NA())</f>
        <v>#N/A</v>
      </c>
      <c r="O434" t="e">
        <f ca="1">IFERROR(计算区域!O436,NA())</f>
        <v>#N/A</v>
      </c>
      <c r="Q434" t="e">
        <f ca="1">IFERROR(计算区域!R436,NA())</f>
        <v>#N/A</v>
      </c>
      <c r="R434" t="e">
        <f ca="1">IFERROR(计算区域!S436,NA())</f>
        <v>#N/A</v>
      </c>
      <c r="S434" t="e">
        <f ca="1">IFERROR(计算区域!T436,NA())</f>
        <v>#N/A</v>
      </c>
      <c r="T434" t="e">
        <f ca="1">IFERROR(计算区域!U436,NA())</f>
        <v>#N/A</v>
      </c>
      <c r="V434" t="e">
        <f ca="1">IFERROR(计算区域!X436,NA())</f>
        <v>#N/A</v>
      </c>
      <c r="W434" t="e">
        <f ca="1">IFERROR(计算区域!Y436,NA())</f>
        <v>#N/A</v>
      </c>
      <c r="X434" t="e">
        <f ca="1">IFERROR(计算区域!Z436,NA())</f>
        <v>#N/A</v>
      </c>
      <c r="Y434" t="e">
        <f ca="1">IFERROR(计算区域!AA436,NA())</f>
        <v>#N/A</v>
      </c>
    </row>
    <row r="435" spans="1:25" x14ac:dyDescent="0.2">
      <c r="A435" s="28">
        <f>计算区域!E437</f>
        <v>45009</v>
      </c>
      <c r="B435" t="e">
        <f ca="1">IFERROR(计算区域!AJ437,NA())</f>
        <v>#N/A</v>
      </c>
      <c r="C435" t="e">
        <f ca="1">IFERROR(计算区域!AK437,NA())</f>
        <v>#N/A</v>
      </c>
      <c r="D435" t="e">
        <f ca="1">IFERROR(计算区域!AL437,NA())</f>
        <v>#N/A</v>
      </c>
      <c r="E435" t="e">
        <f ca="1">IFERROR(计算区域!AM437,NA())</f>
        <v>#N/A</v>
      </c>
      <c r="G435" t="e">
        <f ca="1">IFERROR(计算区域!AD437,NA())</f>
        <v>#N/A</v>
      </c>
      <c r="H435" t="e">
        <f ca="1">IFERROR(计算区域!AE437,NA())</f>
        <v>#N/A</v>
      </c>
      <c r="I435" t="e">
        <f ca="1">IFERROR(计算区域!AF437,NA())</f>
        <v>#N/A</v>
      </c>
      <c r="J435" t="e">
        <f ca="1">IFERROR(计算区域!AG437,NA())</f>
        <v>#N/A</v>
      </c>
      <c r="L435" t="e">
        <f ca="1">IFERROR(计算区域!L437,NA())</f>
        <v>#N/A</v>
      </c>
      <c r="M435" t="e">
        <f ca="1">IFERROR(计算区域!M437,NA())</f>
        <v>#N/A</v>
      </c>
      <c r="N435" t="e">
        <f ca="1">IFERROR(计算区域!N437,NA())</f>
        <v>#N/A</v>
      </c>
      <c r="O435" t="e">
        <f ca="1">IFERROR(计算区域!O437,NA())</f>
        <v>#N/A</v>
      </c>
      <c r="Q435" t="e">
        <f ca="1">IFERROR(计算区域!R437,NA())</f>
        <v>#N/A</v>
      </c>
      <c r="R435" t="e">
        <f ca="1">IFERROR(计算区域!S437,NA())</f>
        <v>#N/A</v>
      </c>
      <c r="S435" t="e">
        <f ca="1">IFERROR(计算区域!T437,NA())</f>
        <v>#N/A</v>
      </c>
      <c r="T435" t="e">
        <f ca="1">IFERROR(计算区域!U437,NA())</f>
        <v>#N/A</v>
      </c>
      <c r="V435" t="e">
        <f ca="1">IFERROR(计算区域!X437,NA())</f>
        <v>#N/A</v>
      </c>
      <c r="W435" t="e">
        <f ca="1">IFERROR(计算区域!Y437,NA())</f>
        <v>#N/A</v>
      </c>
      <c r="X435" t="e">
        <f ca="1">IFERROR(计算区域!Z437,NA())</f>
        <v>#N/A</v>
      </c>
      <c r="Y435" t="e">
        <f ca="1">IFERROR(计算区域!AA437,NA())</f>
        <v>#N/A</v>
      </c>
    </row>
    <row r="436" spans="1:25" x14ac:dyDescent="0.2">
      <c r="A436" s="28">
        <f>计算区域!E438</f>
        <v>45008</v>
      </c>
      <c r="B436" t="e">
        <f ca="1">IFERROR(计算区域!AJ438,NA())</f>
        <v>#N/A</v>
      </c>
      <c r="C436" t="e">
        <f ca="1">IFERROR(计算区域!AK438,NA())</f>
        <v>#N/A</v>
      </c>
      <c r="D436" t="e">
        <f ca="1">IFERROR(计算区域!AL438,NA())</f>
        <v>#N/A</v>
      </c>
      <c r="E436" t="e">
        <f ca="1">IFERROR(计算区域!AM438,NA())</f>
        <v>#N/A</v>
      </c>
      <c r="G436" t="e">
        <f ca="1">IFERROR(计算区域!AD438,NA())</f>
        <v>#N/A</v>
      </c>
      <c r="H436" t="e">
        <f ca="1">IFERROR(计算区域!AE438,NA())</f>
        <v>#N/A</v>
      </c>
      <c r="I436" t="e">
        <f ca="1">IFERROR(计算区域!AF438,NA())</f>
        <v>#N/A</v>
      </c>
      <c r="J436" t="e">
        <f ca="1">IFERROR(计算区域!AG438,NA())</f>
        <v>#N/A</v>
      </c>
      <c r="L436" t="e">
        <f ca="1">IFERROR(计算区域!L438,NA())</f>
        <v>#N/A</v>
      </c>
      <c r="M436" t="e">
        <f ca="1">IFERROR(计算区域!M438,NA())</f>
        <v>#N/A</v>
      </c>
      <c r="N436" t="e">
        <f ca="1">IFERROR(计算区域!N438,NA())</f>
        <v>#N/A</v>
      </c>
      <c r="O436" t="e">
        <f ca="1">IFERROR(计算区域!O438,NA())</f>
        <v>#N/A</v>
      </c>
      <c r="Q436" t="e">
        <f ca="1">IFERROR(计算区域!R438,NA())</f>
        <v>#N/A</v>
      </c>
      <c r="R436" t="e">
        <f ca="1">IFERROR(计算区域!S438,NA())</f>
        <v>#N/A</v>
      </c>
      <c r="S436" t="e">
        <f ca="1">IFERROR(计算区域!T438,NA())</f>
        <v>#N/A</v>
      </c>
      <c r="T436" t="e">
        <f ca="1">IFERROR(计算区域!U438,NA())</f>
        <v>#N/A</v>
      </c>
      <c r="V436" t="e">
        <f ca="1">IFERROR(计算区域!X438,NA())</f>
        <v>#N/A</v>
      </c>
      <c r="W436" t="e">
        <f ca="1">IFERROR(计算区域!Y438,NA())</f>
        <v>#N/A</v>
      </c>
      <c r="X436" t="e">
        <f ca="1">IFERROR(计算区域!Z438,NA())</f>
        <v>#N/A</v>
      </c>
      <c r="Y436" t="e">
        <f ca="1">IFERROR(计算区域!AA438,NA())</f>
        <v>#N/A</v>
      </c>
    </row>
    <row r="437" spans="1:25" x14ac:dyDescent="0.2">
      <c r="A437" s="28">
        <f>计算区域!E439</f>
        <v>45007</v>
      </c>
      <c r="B437" t="e">
        <f ca="1">IFERROR(计算区域!AJ439,NA())</f>
        <v>#N/A</v>
      </c>
      <c r="C437" t="e">
        <f ca="1">IFERROR(计算区域!AK439,NA())</f>
        <v>#N/A</v>
      </c>
      <c r="D437" t="e">
        <f ca="1">IFERROR(计算区域!AL439,NA())</f>
        <v>#N/A</v>
      </c>
      <c r="E437" t="e">
        <f ca="1">IFERROR(计算区域!AM439,NA())</f>
        <v>#N/A</v>
      </c>
      <c r="G437" t="e">
        <f ca="1">IFERROR(计算区域!AD439,NA())</f>
        <v>#N/A</v>
      </c>
      <c r="H437" t="e">
        <f ca="1">IFERROR(计算区域!AE439,NA())</f>
        <v>#N/A</v>
      </c>
      <c r="I437" t="e">
        <f ca="1">IFERROR(计算区域!AF439,NA())</f>
        <v>#N/A</v>
      </c>
      <c r="J437" t="e">
        <f ca="1">IFERROR(计算区域!AG439,NA())</f>
        <v>#N/A</v>
      </c>
      <c r="L437" t="e">
        <f ca="1">IFERROR(计算区域!L439,NA())</f>
        <v>#N/A</v>
      </c>
      <c r="M437" t="e">
        <f ca="1">IFERROR(计算区域!M439,NA())</f>
        <v>#N/A</v>
      </c>
      <c r="N437" t="e">
        <f ca="1">IFERROR(计算区域!N439,NA())</f>
        <v>#N/A</v>
      </c>
      <c r="O437" t="e">
        <f ca="1">IFERROR(计算区域!O439,NA())</f>
        <v>#N/A</v>
      </c>
      <c r="Q437" t="e">
        <f ca="1">IFERROR(计算区域!R439,NA())</f>
        <v>#N/A</v>
      </c>
      <c r="R437" t="e">
        <f ca="1">IFERROR(计算区域!S439,NA())</f>
        <v>#N/A</v>
      </c>
      <c r="S437" t="e">
        <f ca="1">IFERROR(计算区域!T439,NA())</f>
        <v>#N/A</v>
      </c>
      <c r="T437" t="e">
        <f ca="1">IFERROR(计算区域!U439,NA())</f>
        <v>#N/A</v>
      </c>
      <c r="V437" t="e">
        <f ca="1">IFERROR(计算区域!X439,NA())</f>
        <v>#N/A</v>
      </c>
      <c r="W437" t="e">
        <f ca="1">IFERROR(计算区域!Y439,NA())</f>
        <v>#N/A</v>
      </c>
      <c r="X437" t="e">
        <f ca="1">IFERROR(计算区域!Z439,NA())</f>
        <v>#N/A</v>
      </c>
      <c r="Y437" t="e">
        <f ca="1">IFERROR(计算区域!AA439,NA())</f>
        <v>#N/A</v>
      </c>
    </row>
    <row r="438" spans="1:25" x14ac:dyDescent="0.2">
      <c r="A438" s="28">
        <f>计算区域!E440</f>
        <v>45006</v>
      </c>
      <c r="B438" t="e">
        <f ca="1">IFERROR(计算区域!AJ440,NA())</f>
        <v>#N/A</v>
      </c>
      <c r="C438" t="e">
        <f ca="1">IFERROR(计算区域!AK440,NA())</f>
        <v>#N/A</v>
      </c>
      <c r="D438" t="e">
        <f ca="1">IFERROR(计算区域!AL440,NA())</f>
        <v>#N/A</v>
      </c>
      <c r="E438" t="e">
        <f ca="1">IFERROR(计算区域!AM440,NA())</f>
        <v>#N/A</v>
      </c>
      <c r="G438" t="e">
        <f ca="1">IFERROR(计算区域!AD440,NA())</f>
        <v>#N/A</v>
      </c>
      <c r="H438" t="e">
        <f ca="1">IFERROR(计算区域!AE440,NA())</f>
        <v>#N/A</v>
      </c>
      <c r="I438" t="e">
        <f ca="1">IFERROR(计算区域!AF440,NA())</f>
        <v>#N/A</v>
      </c>
      <c r="J438" t="e">
        <f ca="1">IFERROR(计算区域!AG440,NA())</f>
        <v>#N/A</v>
      </c>
      <c r="L438" t="e">
        <f ca="1">IFERROR(计算区域!L440,NA())</f>
        <v>#N/A</v>
      </c>
      <c r="M438" t="e">
        <f ca="1">IFERROR(计算区域!M440,NA())</f>
        <v>#N/A</v>
      </c>
      <c r="N438" t="e">
        <f ca="1">IFERROR(计算区域!N440,NA())</f>
        <v>#N/A</v>
      </c>
      <c r="O438" t="e">
        <f ca="1">IFERROR(计算区域!O440,NA())</f>
        <v>#N/A</v>
      </c>
      <c r="Q438" t="e">
        <f ca="1">IFERROR(计算区域!R440,NA())</f>
        <v>#N/A</v>
      </c>
      <c r="R438" t="e">
        <f ca="1">IFERROR(计算区域!S440,NA())</f>
        <v>#N/A</v>
      </c>
      <c r="S438" t="e">
        <f ca="1">IFERROR(计算区域!T440,NA())</f>
        <v>#N/A</v>
      </c>
      <c r="T438" t="e">
        <f ca="1">IFERROR(计算区域!U440,NA())</f>
        <v>#N/A</v>
      </c>
      <c r="V438" t="e">
        <f ca="1">IFERROR(计算区域!X440,NA())</f>
        <v>#N/A</v>
      </c>
      <c r="W438" t="e">
        <f ca="1">IFERROR(计算区域!Y440,NA())</f>
        <v>#N/A</v>
      </c>
      <c r="X438" t="e">
        <f ca="1">IFERROR(计算区域!Z440,NA())</f>
        <v>#N/A</v>
      </c>
      <c r="Y438" t="e">
        <f ca="1">IFERROR(计算区域!AA440,NA())</f>
        <v>#N/A</v>
      </c>
    </row>
    <row r="439" spans="1:25" x14ac:dyDescent="0.2">
      <c r="A439" s="28">
        <f>计算区域!E441</f>
        <v>45005</v>
      </c>
      <c r="B439" t="e">
        <f ca="1">IFERROR(计算区域!AJ441,NA())</f>
        <v>#N/A</v>
      </c>
      <c r="C439" t="e">
        <f ca="1">IFERROR(计算区域!AK441,NA())</f>
        <v>#N/A</v>
      </c>
      <c r="D439" t="e">
        <f ca="1">IFERROR(计算区域!AL441,NA())</f>
        <v>#N/A</v>
      </c>
      <c r="E439" t="e">
        <f ca="1">IFERROR(计算区域!AM441,NA())</f>
        <v>#N/A</v>
      </c>
      <c r="G439" t="e">
        <f ca="1">IFERROR(计算区域!AD441,NA())</f>
        <v>#N/A</v>
      </c>
      <c r="H439" t="e">
        <f ca="1">IFERROR(计算区域!AE441,NA())</f>
        <v>#N/A</v>
      </c>
      <c r="I439" t="e">
        <f ca="1">IFERROR(计算区域!AF441,NA())</f>
        <v>#N/A</v>
      </c>
      <c r="J439" t="e">
        <f ca="1">IFERROR(计算区域!AG441,NA())</f>
        <v>#N/A</v>
      </c>
      <c r="L439" t="e">
        <f ca="1">IFERROR(计算区域!L441,NA())</f>
        <v>#N/A</v>
      </c>
      <c r="M439" t="e">
        <f ca="1">IFERROR(计算区域!M441,NA())</f>
        <v>#N/A</v>
      </c>
      <c r="N439" t="e">
        <f ca="1">IFERROR(计算区域!N441,NA())</f>
        <v>#N/A</v>
      </c>
      <c r="O439" t="e">
        <f ca="1">IFERROR(计算区域!O441,NA())</f>
        <v>#N/A</v>
      </c>
      <c r="Q439" t="e">
        <f ca="1">IFERROR(计算区域!R441,NA())</f>
        <v>#N/A</v>
      </c>
      <c r="R439" t="e">
        <f ca="1">IFERROR(计算区域!S441,NA())</f>
        <v>#N/A</v>
      </c>
      <c r="S439" t="e">
        <f ca="1">IFERROR(计算区域!T441,NA())</f>
        <v>#N/A</v>
      </c>
      <c r="T439" t="e">
        <f ca="1">IFERROR(计算区域!U441,NA())</f>
        <v>#N/A</v>
      </c>
      <c r="V439" t="e">
        <f ca="1">IFERROR(计算区域!X441,NA())</f>
        <v>#N/A</v>
      </c>
      <c r="W439" t="e">
        <f ca="1">IFERROR(计算区域!Y441,NA())</f>
        <v>#N/A</v>
      </c>
      <c r="X439" t="e">
        <f ca="1">IFERROR(计算区域!Z441,NA())</f>
        <v>#N/A</v>
      </c>
      <c r="Y439" t="e">
        <f ca="1">IFERROR(计算区域!AA441,NA())</f>
        <v>#N/A</v>
      </c>
    </row>
    <row r="440" spans="1:25" x14ac:dyDescent="0.2">
      <c r="A440" s="28">
        <f>计算区域!E442</f>
        <v>45002</v>
      </c>
      <c r="B440" t="e">
        <f ca="1">IFERROR(计算区域!AJ442,NA())</f>
        <v>#N/A</v>
      </c>
      <c r="C440" t="e">
        <f ca="1">IFERROR(计算区域!AK442,NA())</f>
        <v>#N/A</v>
      </c>
      <c r="D440" t="e">
        <f ca="1">IFERROR(计算区域!AL442,NA())</f>
        <v>#N/A</v>
      </c>
      <c r="E440" t="e">
        <f ca="1">IFERROR(计算区域!AM442,NA())</f>
        <v>#N/A</v>
      </c>
      <c r="G440" t="e">
        <f ca="1">IFERROR(计算区域!AD442,NA())</f>
        <v>#N/A</v>
      </c>
      <c r="H440" t="e">
        <f ca="1">IFERROR(计算区域!AE442,NA())</f>
        <v>#N/A</v>
      </c>
      <c r="I440" t="e">
        <f ca="1">IFERROR(计算区域!AF442,NA())</f>
        <v>#N/A</v>
      </c>
      <c r="J440" t="e">
        <f ca="1">IFERROR(计算区域!AG442,NA())</f>
        <v>#N/A</v>
      </c>
      <c r="L440" t="e">
        <f ca="1">IFERROR(计算区域!L442,NA())</f>
        <v>#N/A</v>
      </c>
      <c r="M440" t="e">
        <f ca="1">IFERROR(计算区域!M442,NA())</f>
        <v>#N/A</v>
      </c>
      <c r="N440" t="e">
        <f ca="1">IFERROR(计算区域!N442,NA())</f>
        <v>#N/A</v>
      </c>
      <c r="O440" t="e">
        <f ca="1">IFERROR(计算区域!O442,NA())</f>
        <v>#N/A</v>
      </c>
      <c r="Q440" t="e">
        <f ca="1">IFERROR(计算区域!R442,NA())</f>
        <v>#N/A</v>
      </c>
      <c r="R440" t="e">
        <f ca="1">IFERROR(计算区域!S442,NA())</f>
        <v>#N/A</v>
      </c>
      <c r="S440" t="e">
        <f ca="1">IFERROR(计算区域!T442,NA())</f>
        <v>#N/A</v>
      </c>
      <c r="T440" t="e">
        <f ca="1">IFERROR(计算区域!U442,NA())</f>
        <v>#N/A</v>
      </c>
      <c r="V440" t="e">
        <f ca="1">IFERROR(计算区域!X442,NA())</f>
        <v>#N/A</v>
      </c>
      <c r="W440" t="e">
        <f ca="1">IFERROR(计算区域!Y442,NA())</f>
        <v>#N/A</v>
      </c>
      <c r="X440" t="e">
        <f ca="1">IFERROR(计算区域!Z442,NA())</f>
        <v>#N/A</v>
      </c>
      <c r="Y440" t="e">
        <f ca="1">IFERROR(计算区域!AA442,NA())</f>
        <v>#N/A</v>
      </c>
    </row>
    <row r="441" spans="1:25" x14ac:dyDescent="0.2">
      <c r="A441" s="28">
        <f>计算区域!E443</f>
        <v>45001</v>
      </c>
      <c r="B441" t="e">
        <f ca="1">IFERROR(计算区域!AJ443,NA())</f>
        <v>#N/A</v>
      </c>
      <c r="C441" t="e">
        <f ca="1">IFERROR(计算区域!AK443,NA())</f>
        <v>#N/A</v>
      </c>
      <c r="D441" t="e">
        <f ca="1">IFERROR(计算区域!AL443,NA())</f>
        <v>#N/A</v>
      </c>
      <c r="E441" t="e">
        <f ca="1">IFERROR(计算区域!AM443,NA())</f>
        <v>#N/A</v>
      </c>
      <c r="G441" t="e">
        <f ca="1">IFERROR(计算区域!AD443,NA())</f>
        <v>#N/A</v>
      </c>
      <c r="H441" t="e">
        <f ca="1">IFERROR(计算区域!AE443,NA())</f>
        <v>#N/A</v>
      </c>
      <c r="I441" t="e">
        <f ca="1">IFERROR(计算区域!AF443,NA())</f>
        <v>#N/A</v>
      </c>
      <c r="J441" t="e">
        <f ca="1">IFERROR(计算区域!AG443,NA())</f>
        <v>#N/A</v>
      </c>
      <c r="L441" t="e">
        <f ca="1">IFERROR(计算区域!L443,NA())</f>
        <v>#N/A</v>
      </c>
      <c r="M441" t="e">
        <f ca="1">IFERROR(计算区域!M443,NA())</f>
        <v>#N/A</v>
      </c>
      <c r="N441" t="e">
        <f ca="1">IFERROR(计算区域!N443,NA())</f>
        <v>#N/A</v>
      </c>
      <c r="O441" t="e">
        <f ca="1">IFERROR(计算区域!O443,NA())</f>
        <v>#N/A</v>
      </c>
      <c r="Q441" t="e">
        <f ca="1">IFERROR(计算区域!R443,NA())</f>
        <v>#N/A</v>
      </c>
      <c r="R441" t="e">
        <f ca="1">IFERROR(计算区域!S443,NA())</f>
        <v>#N/A</v>
      </c>
      <c r="S441" t="e">
        <f ca="1">IFERROR(计算区域!T443,NA())</f>
        <v>#N/A</v>
      </c>
      <c r="T441" t="e">
        <f ca="1">IFERROR(计算区域!U443,NA())</f>
        <v>#N/A</v>
      </c>
      <c r="V441" t="e">
        <f ca="1">IFERROR(计算区域!X443,NA())</f>
        <v>#N/A</v>
      </c>
      <c r="W441" t="e">
        <f ca="1">IFERROR(计算区域!Y443,NA())</f>
        <v>#N/A</v>
      </c>
      <c r="X441" t="e">
        <f ca="1">IFERROR(计算区域!Z443,NA())</f>
        <v>#N/A</v>
      </c>
      <c r="Y441" t="e">
        <f ca="1">IFERROR(计算区域!AA443,NA())</f>
        <v>#N/A</v>
      </c>
    </row>
    <row r="442" spans="1:25" x14ac:dyDescent="0.2">
      <c r="A442" s="28">
        <f>计算区域!E444</f>
        <v>45000</v>
      </c>
      <c r="B442" t="e">
        <f ca="1">IFERROR(计算区域!AJ444,NA())</f>
        <v>#N/A</v>
      </c>
      <c r="C442" t="e">
        <f ca="1">IFERROR(计算区域!AK444,NA())</f>
        <v>#N/A</v>
      </c>
      <c r="D442" t="e">
        <f ca="1">IFERROR(计算区域!AL444,NA())</f>
        <v>#N/A</v>
      </c>
      <c r="E442" t="e">
        <f ca="1">IFERROR(计算区域!AM444,NA())</f>
        <v>#N/A</v>
      </c>
      <c r="G442" t="e">
        <f ca="1">IFERROR(计算区域!AD444,NA())</f>
        <v>#N/A</v>
      </c>
      <c r="H442" t="e">
        <f ca="1">IFERROR(计算区域!AE444,NA())</f>
        <v>#N/A</v>
      </c>
      <c r="I442" t="e">
        <f ca="1">IFERROR(计算区域!AF444,NA())</f>
        <v>#N/A</v>
      </c>
      <c r="J442" t="e">
        <f ca="1">IFERROR(计算区域!AG444,NA())</f>
        <v>#N/A</v>
      </c>
      <c r="L442" t="e">
        <f ca="1">IFERROR(计算区域!L444,NA())</f>
        <v>#N/A</v>
      </c>
      <c r="M442" t="e">
        <f ca="1">IFERROR(计算区域!M444,NA())</f>
        <v>#N/A</v>
      </c>
      <c r="N442" t="e">
        <f ca="1">IFERROR(计算区域!N444,NA())</f>
        <v>#N/A</v>
      </c>
      <c r="O442" t="e">
        <f ca="1">IFERROR(计算区域!O444,NA())</f>
        <v>#N/A</v>
      </c>
      <c r="Q442" t="e">
        <f ca="1">IFERROR(计算区域!R444,NA())</f>
        <v>#N/A</v>
      </c>
      <c r="R442" t="e">
        <f ca="1">IFERROR(计算区域!S444,NA())</f>
        <v>#N/A</v>
      </c>
      <c r="S442" t="e">
        <f ca="1">IFERROR(计算区域!T444,NA())</f>
        <v>#N/A</v>
      </c>
      <c r="T442" t="e">
        <f ca="1">IFERROR(计算区域!U444,NA())</f>
        <v>#N/A</v>
      </c>
      <c r="V442" t="e">
        <f ca="1">IFERROR(计算区域!X444,NA())</f>
        <v>#N/A</v>
      </c>
      <c r="W442" t="e">
        <f ca="1">IFERROR(计算区域!Y444,NA())</f>
        <v>#N/A</v>
      </c>
      <c r="X442" t="e">
        <f ca="1">IFERROR(计算区域!Z444,NA())</f>
        <v>#N/A</v>
      </c>
      <c r="Y442" t="e">
        <f ca="1">IFERROR(计算区域!AA444,NA())</f>
        <v>#N/A</v>
      </c>
    </row>
    <row r="443" spans="1:25" x14ac:dyDescent="0.2">
      <c r="A443" s="28">
        <f>计算区域!E445</f>
        <v>44999</v>
      </c>
      <c r="B443" t="e">
        <f ca="1">IFERROR(计算区域!AJ445,NA())</f>
        <v>#N/A</v>
      </c>
      <c r="C443" t="e">
        <f ca="1">IFERROR(计算区域!AK445,NA())</f>
        <v>#N/A</v>
      </c>
      <c r="D443" t="e">
        <f ca="1">IFERROR(计算区域!AL445,NA())</f>
        <v>#N/A</v>
      </c>
      <c r="E443" t="e">
        <f ca="1">IFERROR(计算区域!AM445,NA())</f>
        <v>#N/A</v>
      </c>
      <c r="G443" t="e">
        <f ca="1">IFERROR(计算区域!AD445,NA())</f>
        <v>#N/A</v>
      </c>
      <c r="H443" t="e">
        <f ca="1">IFERROR(计算区域!AE445,NA())</f>
        <v>#N/A</v>
      </c>
      <c r="I443" t="e">
        <f ca="1">IFERROR(计算区域!AF445,NA())</f>
        <v>#N/A</v>
      </c>
      <c r="J443" t="e">
        <f ca="1">IFERROR(计算区域!AG445,NA())</f>
        <v>#N/A</v>
      </c>
      <c r="L443" t="e">
        <f ca="1">IFERROR(计算区域!L445,NA())</f>
        <v>#N/A</v>
      </c>
      <c r="M443" t="e">
        <f ca="1">IFERROR(计算区域!M445,NA())</f>
        <v>#N/A</v>
      </c>
      <c r="N443" t="e">
        <f ca="1">IFERROR(计算区域!N445,NA())</f>
        <v>#N/A</v>
      </c>
      <c r="O443" t="e">
        <f ca="1">IFERROR(计算区域!O445,NA())</f>
        <v>#N/A</v>
      </c>
      <c r="Q443" t="e">
        <f ca="1">IFERROR(计算区域!R445,NA())</f>
        <v>#N/A</v>
      </c>
      <c r="R443" t="e">
        <f ca="1">IFERROR(计算区域!S445,NA())</f>
        <v>#N/A</v>
      </c>
      <c r="S443" t="e">
        <f ca="1">IFERROR(计算区域!T445,NA())</f>
        <v>#N/A</v>
      </c>
      <c r="T443" t="e">
        <f ca="1">IFERROR(计算区域!U445,NA())</f>
        <v>#N/A</v>
      </c>
      <c r="V443" t="e">
        <f ca="1">IFERROR(计算区域!X445,NA())</f>
        <v>#N/A</v>
      </c>
      <c r="W443" t="e">
        <f ca="1">IFERROR(计算区域!Y445,NA())</f>
        <v>#N/A</v>
      </c>
      <c r="X443" t="e">
        <f ca="1">IFERROR(计算区域!Z445,NA())</f>
        <v>#N/A</v>
      </c>
      <c r="Y443" t="e">
        <f ca="1">IFERROR(计算区域!AA445,NA())</f>
        <v>#N/A</v>
      </c>
    </row>
    <row r="444" spans="1:25" x14ac:dyDescent="0.2">
      <c r="A444" s="28">
        <f>计算区域!E446</f>
        <v>44998</v>
      </c>
      <c r="B444" t="e">
        <f ca="1">IFERROR(计算区域!AJ446,NA())</f>
        <v>#N/A</v>
      </c>
      <c r="C444" t="e">
        <f ca="1">IFERROR(计算区域!AK446,NA())</f>
        <v>#N/A</v>
      </c>
      <c r="D444" t="e">
        <f ca="1">IFERROR(计算区域!AL446,NA())</f>
        <v>#N/A</v>
      </c>
      <c r="E444" t="e">
        <f ca="1">IFERROR(计算区域!AM446,NA())</f>
        <v>#N/A</v>
      </c>
      <c r="G444" t="e">
        <f ca="1">IFERROR(计算区域!AD446,NA())</f>
        <v>#N/A</v>
      </c>
      <c r="H444" t="e">
        <f ca="1">IFERROR(计算区域!AE446,NA())</f>
        <v>#N/A</v>
      </c>
      <c r="I444" t="e">
        <f ca="1">IFERROR(计算区域!AF446,NA())</f>
        <v>#N/A</v>
      </c>
      <c r="J444" t="e">
        <f ca="1">IFERROR(计算区域!AG446,NA())</f>
        <v>#N/A</v>
      </c>
      <c r="L444" t="e">
        <f ca="1">IFERROR(计算区域!L446,NA())</f>
        <v>#N/A</v>
      </c>
      <c r="M444" t="e">
        <f ca="1">IFERROR(计算区域!M446,NA())</f>
        <v>#N/A</v>
      </c>
      <c r="N444" t="e">
        <f ca="1">IFERROR(计算区域!N446,NA())</f>
        <v>#N/A</v>
      </c>
      <c r="O444" t="e">
        <f ca="1">IFERROR(计算区域!O446,NA())</f>
        <v>#N/A</v>
      </c>
      <c r="Q444" t="e">
        <f ca="1">IFERROR(计算区域!R446,NA())</f>
        <v>#N/A</v>
      </c>
      <c r="R444" t="e">
        <f ca="1">IFERROR(计算区域!S446,NA())</f>
        <v>#N/A</v>
      </c>
      <c r="S444" t="e">
        <f ca="1">IFERROR(计算区域!T446,NA())</f>
        <v>#N/A</v>
      </c>
      <c r="T444" t="e">
        <f ca="1">IFERROR(计算区域!U446,NA())</f>
        <v>#N/A</v>
      </c>
      <c r="V444" t="e">
        <f ca="1">IFERROR(计算区域!X446,NA())</f>
        <v>#N/A</v>
      </c>
      <c r="W444" t="e">
        <f ca="1">IFERROR(计算区域!Y446,NA())</f>
        <v>#N/A</v>
      </c>
      <c r="X444" t="e">
        <f ca="1">IFERROR(计算区域!Z446,NA())</f>
        <v>#N/A</v>
      </c>
      <c r="Y444" t="e">
        <f ca="1">IFERROR(计算区域!AA446,NA())</f>
        <v>#N/A</v>
      </c>
    </row>
    <row r="445" spans="1:25" x14ac:dyDescent="0.2">
      <c r="A445" s="28">
        <f>计算区域!E447</f>
        <v>44995</v>
      </c>
      <c r="B445" t="e">
        <f ca="1">IFERROR(计算区域!AJ447,NA())</f>
        <v>#N/A</v>
      </c>
      <c r="C445" t="e">
        <f ca="1">IFERROR(计算区域!AK447,NA())</f>
        <v>#N/A</v>
      </c>
      <c r="D445" t="e">
        <f ca="1">IFERROR(计算区域!AL447,NA())</f>
        <v>#N/A</v>
      </c>
      <c r="E445" t="e">
        <f ca="1">IFERROR(计算区域!AM447,NA())</f>
        <v>#N/A</v>
      </c>
      <c r="G445" t="e">
        <f ca="1">IFERROR(计算区域!AD447,NA())</f>
        <v>#N/A</v>
      </c>
      <c r="H445" t="e">
        <f ca="1">IFERROR(计算区域!AE447,NA())</f>
        <v>#N/A</v>
      </c>
      <c r="I445" t="e">
        <f ca="1">IFERROR(计算区域!AF447,NA())</f>
        <v>#N/A</v>
      </c>
      <c r="J445" t="e">
        <f ca="1">IFERROR(计算区域!AG447,NA())</f>
        <v>#N/A</v>
      </c>
      <c r="L445" t="e">
        <f ca="1">IFERROR(计算区域!L447,NA())</f>
        <v>#N/A</v>
      </c>
      <c r="M445" t="e">
        <f ca="1">IFERROR(计算区域!M447,NA())</f>
        <v>#N/A</v>
      </c>
      <c r="N445" t="e">
        <f ca="1">IFERROR(计算区域!N447,NA())</f>
        <v>#N/A</v>
      </c>
      <c r="O445" t="e">
        <f ca="1">IFERROR(计算区域!O447,NA())</f>
        <v>#N/A</v>
      </c>
      <c r="Q445" t="e">
        <f ca="1">IFERROR(计算区域!R447,NA())</f>
        <v>#N/A</v>
      </c>
      <c r="R445" t="e">
        <f ca="1">IFERROR(计算区域!S447,NA())</f>
        <v>#N/A</v>
      </c>
      <c r="S445" t="e">
        <f ca="1">IFERROR(计算区域!T447,NA())</f>
        <v>#N/A</v>
      </c>
      <c r="T445" t="e">
        <f ca="1">IFERROR(计算区域!U447,NA())</f>
        <v>#N/A</v>
      </c>
      <c r="V445" t="e">
        <f ca="1">IFERROR(计算区域!X447,NA())</f>
        <v>#N/A</v>
      </c>
      <c r="W445" t="e">
        <f ca="1">IFERROR(计算区域!Y447,NA())</f>
        <v>#N/A</v>
      </c>
      <c r="X445" t="e">
        <f ca="1">IFERROR(计算区域!Z447,NA())</f>
        <v>#N/A</v>
      </c>
      <c r="Y445" t="e">
        <f ca="1">IFERROR(计算区域!AA447,NA())</f>
        <v>#N/A</v>
      </c>
    </row>
    <row r="446" spans="1:25" x14ac:dyDescent="0.2">
      <c r="A446" s="28">
        <f>计算区域!E448</f>
        <v>44994</v>
      </c>
      <c r="B446" t="e">
        <f ca="1">IFERROR(计算区域!AJ448,NA())</f>
        <v>#N/A</v>
      </c>
      <c r="C446" t="e">
        <f ca="1">IFERROR(计算区域!AK448,NA())</f>
        <v>#N/A</v>
      </c>
      <c r="D446" t="e">
        <f ca="1">IFERROR(计算区域!AL448,NA())</f>
        <v>#N/A</v>
      </c>
      <c r="E446" t="e">
        <f ca="1">IFERROR(计算区域!AM448,NA())</f>
        <v>#N/A</v>
      </c>
      <c r="G446" t="e">
        <f ca="1">IFERROR(计算区域!AD448,NA())</f>
        <v>#N/A</v>
      </c>
      <c r="H446" t="e">
        <f ca="1">IFERROR(计算区域!AE448,NA())</f>
        <v>#N/A</v>
      </c>
      <c r="I446" t="e">
        <f ca="1">IFERROR(计算区域!AF448,NA())</f>
        <v>#N/A</v>
      </c>
      <c r="J446" t="e">
        <f ca="1">IFERROR(计算区域!AG448,NA())</f>
        <v>#N/A</v>
      </c>
      <c r="L446" t="e">
        <f ca="1">IFERROR(计算区域!L448,NA())</f>
        <v>#N/A</v>
      </c>
      <c r="M446" t="e">
        <f ca="1">IFERROR(计算区域!M448,NA())</f>
        <v>#N/A</v>
      </c>
      <c r="N446" t="e">
        <f ca="1">IFERROR(计算区域!N448,NA())</f>
        <v>#N/A</v>
      </c>
      <c r="O446" t="e">
        <f ca="1">IFERROR(计算区域!O448,NA())</f>
        <v>#N/A</v>
      </c>
      <c r="Q446" t="e">
        <f ca="1">IFERROR(计算区域!R448,NA())</f>
        <v>#N/A</v>
      </c>
      <c r="R446" t="e">
        <f ca="1">IFERROR(计算区域!S448,NA())</f>
        <v>#N/A</v>
      </c>
      <c r="S446" t="e">
        <f ca="1">IFERROR(计算区域!T448,NA())</f>
        <v>#N/A</v>
      </c>
      <c r="T446" t="e">
        <f ca="1">IFERROR(计算区域!U448,NA())</f>
        <v>#N/A</v>
      </c>
      <c r="V446" t="e">
        <f ca="1">IFERROR(计算区域!X448,NA())</f>
        <v>#N/A</v>
      </c>
      <c r="W446" t="e">
        <f ca="1">IFERROR(计算区域!Y448,NA())</f>
        <v>#N/A</v>
      </c>
      <c r="X446" t="e">
        <f ca="1">IFERROR(计算区域!Z448,NA())</f>
        <v>#N/A</v>
      </c>
      <c r="Y446" t="e">
        <f ca="1">IFERROR(计算区域!AA448,NA())</f>
        <v>#N/A</v>
      </c>
    </row>
    <row r="447" spans="1:25" x14ac:dyDescent="0.2">
      <c r="A447" s="28">
        <f>计算区域!E449</f>
        <v>44993</v>
      </c>
      <c r="B447" t="e">
        <f ca="1">IFERROR(计算区域!AJ449,NA())</f>
        <v>#N/A</v>
      </c>
      <c r="C447" t="e">
        <f ca="1">IFERROR(计算区域!AK449,NA())</f>
        <v>#N/A</v>
      </c>
      <c r="D447" t="e">
        <f ca="1">IFERROR(计算区域!AL449,NA())</f>
        <v>#N/A</v>
      </c>
      <c r="E447" t="e">
        <f ca="1">IFERROR(计算区域!AM449,NA())</f>
        <v>#N/A</v>
      </c>
      <c r="G447" t="e">
        <f ca="1">IFERROR(计算区域!AD449,NA())</f>
        <v>#N/A</v>
      </c>
      <c r="H447" t="e">
        <f ca="1">IFERROR(计算区域!AE449,NA())</f>
        <v>#N/A</v>
      </c>
      <c r="I447" t="e">
        <f ca="1">IFERROR(计算区域!AF449,NA())</f>
        <v>#N/A</v>
      </c>
      <c r="J447" t="e">
        <f ca="1">IFERROR(计算区域!AG449,NA())</f>
        <v>#N/A</v>
      </c>
      <c r="L447" t="e">
        <f ca="1">IFERROR(计算区域!L449,NA())</f>
        <v>#N/A</v>
      </c>
      <c r="M447" t="e">
        <f ca="1">IFERROR(计算区域!M449,NA())</f>
        <v>#N/A</v>
      </c>
      <c r="N447" t="e">
        <f ca="1">IFERROR(计算区域!N449,NA())</f>
        <v>#N/A</v>
      </c>
      <c r="O447" t="e">
        <f ca="1">IFERROR(计算区域!O449,NA())</f>
        <v>#N/A</v>
      </c>
      <c r="Q447" t="e">
        <f ca="1">IFERROR(计算区域!R449,NA())</f>
        <v>#N/A</v>
      </c>
      <c r="R447" t="e">
        <f ca="1">IFERROR(计算区域!S449,NA())</f>
        <v>#N/A</v>
      </c>
      <c r="S447" t="e">
        <f ca="1">IFERROR(计算区域!T449,NA())</f>
        <v>#N/A</v>
      </c>
      <c r="T447" t="e">
        <f ca="1">IFERROR(计算区域!U449,NA())</f>
        <v>#N/A</v>
      </c>
      <c r="V447" t="e">
        <f ca="1">IFERROR(计算区域!X449,NA())</f>
        <v>#N/A</v>
      </c>
      <c r="W447" t="e">
        <f ca="1">IFERROR(计算区域!Y449,NA())</f>
        <v>#N/A</v>
      </c>
      <c r="X447" t="e">
        <f ca="1">IFERROR(计算区域!Z449,NA())</f>
        <v>#N/A</v>
      </c>
      <c r="Y447" t="e">
        <f ca="1">IFERROR(计算区域!AA449,NA())</f>
        <v>#N/A</v>
      </c>
    </row>
    <row r="448" spans="1:25" x14ac:dyDescent="0.2">
      <c r="A448" s="28">
        <f>计算区域!E450</f>
        <v>44992</v>
      </c>
      <c r="B448" t="e">
        <f ca="1">IFERROR(计算区域!AJ450,NA())</f>
        <v>#N/A</v>
      </c>
      <c r="C448" t="e">
        <f ca="1">IFERROR(计算区域!AK450,NA())</f>
        <v>#N/A</v>
      </c>
      <c r="D448" t="e">
        <f ca="1">IFERROR(计算区域!AL450,NA())</f>
        <v>#N/A</v>
      </c>
      <c r="E448" t="e">
        <f ca="1">IFERROR(计算区域!AM450,NA())</f>
        <v>#N/A</v>
      </c>
      <c r="G448" t="e">
        <f ca="1">IFERROR(计算区域!AD450,NA())</f>
        <v>#N/A</v>
      </c>
      <c r="H448" t="e">
        <f ca="1">IFERROR(计算区域!AE450,NA())</f>
        <v>#N/A</v>
      </c>
      <c r="I448" t="e">
        <f ca="1">IFERROR(计算区域!AF450,NA())</f>
        <v>#N/A</v>
      </c>
      <c r="J448" t="e">
        <f ca="1">IFERROR(计算区域!AG450,NA())</f>
        <v>#N/A</v>
      </c>
      <c r="L448" t="e">
        <f ca="1">IFERROR(计算区域!L450,NA())</f>
        <v>#N/A</v>
      </c>
      <c r="M448" t="e">
        <f ca="1">IFERROR(计算区域!M450,NA())</f>
        <v>#N/A</v>
      </c>
      <c r="N448" t="e">
        <f ca="1">IFERROR(计算区域!N450,NA())</f>
        <v>#N/A</v>
      </c>
      <c r="O448" t="e">
        <f ca="1">IFERROR(计算区域!O450,NA())</f>
        <v>#N/A</v>
      </c>
      <c r="Q448" t="e">
        <f ca="1">IFERROR(计算区域!R450,NA())</f>
        <v>#N/A</v>
      </c>
      <c r="R448" t="e">
        <f ca="1">IFERROR(计算区域!S450,NA())</f>
        <v>#N/A</v>
      </c>
      <c r="S448" t="e">
        <f ca="1">IFERROR(计算区域!T450,NA())</f>
        <v>#N/A</v>
      </c>
      <c r="T448" t="e">
        <f ca="1">IFERROR(计算区域!U450,NA())</f>
        <v>#N/A</v>
      </c>
      <c r="V448" t="e">
        <f ca="1">IFERROR(计算区域!X450,NA())</f>
        <v>#N/A</v>
      </c>
      <c r="W448" t="e">
        <f ca="1">IFERROR(计算区域!Y450,NA())</f>
        <v>#N/A</v>
      </c>
      <c r="X448" t="e">
        <f ca="1">IFERROR(计算区域!Z450,NA())</f>
        <v>#N/A</v>
      </c>
      <c r="Y448" t="e">
        <f ca="1">IFERROR(计算区域!AA450,NA())</f>
        <v>#N/A</v>
      </c>
    </row>
    <row r="449" spans="1:25" x14ac:dyDescent="0.2">
      <c r="A449" s="28">
        <f>计算区域!E451</f>
        <v>44991</v>
      </c>
      <c r="B449" t="e">
        <f ca="1">IFERROR(计算区域!AJ451,NA())</f>
        <v>#N/A</v>
      </c>
      <c r="C449" t="e">
        <f ca="1">IFERROR(计算区域!AK451,NA())</f>
        <v>#N/A</v>
      </c>
      <c r="D449" t="e">
        <f ca="1">IFERROR(计算区域!AL451,NA())</f>
        <v>#N/A</v>
      </c>
      <c r="E449" t="e">
        <f ca="1">IFERROR(计算区域!AM451,NA())</f>
        <v>#N/A</v>
      </c>
      <c r="G449" t="e">
        <f ca="1">IFERROR(计算区域!AD451,NA())</f>
        <v>#N/A</v>
      </c>
      <c r="H449" t="e">
        <f ca="1">IFERROR(计算区域!AE451,NA())</f>
        <v>#N/A</v>
      </c>
      <c r="I449" t="e">
        <f ca="1">IFERROR(计算区域!AF451,NA())</f>
        <v>#N/A</v>
      </c>
      <c r="J449" t="e">
        <f ca="1">IFERROR(计算区域!AG451,NA())</f>
        <v>#N/A</v>
      </c>
      <c r="L449" t="e">
        <f ca="1">IFERROR(计算区域!L451,NA())</f>
        <v>#N/A</v>
      </c>
      <c r="M449" t="e">
        <f ca="1">IFERROR(计算区域!M451,NA())</f>
        <v>#N/A</v>
      </c>
      <c r="N449" t="e">
        <f ca="1">IFERROR(计算区域!N451,NA())</f>
        <v>#N/A</v>
      </c>
      <c r="O449" t="e">
        <f ca="1">IFERROR(计算区域!O451,NA())</f>
        <v>#N/A</v>
      </c>
      <c r="Q449" t="e">
        <f ca="1">IFERROR(计算区域!R451,NA())</f>
        <v>#N/A</v>
      </c>
      <c r="R449" t="e">
        <f ca="1">IFERROR(计算区域!S451,NA())</f>
        <v>#N/A</v>
      </c>
      <c r="S449" t="e">
        <f ca="1">IFERROR(计算区域!T451,NA())</f>
        <v>#N/A</v>
      </c>
      <c r="T449" t="e">
        <f ca="1">IFERROR(计算区域!U451,NA())</f>
        <v>#N/A</v>
      </c>
      <c r="V449" t="e">
        <f ca="1">IFERROR(计算区域!X451,NA())</f>
        <v>#N/A</v>
      </c>
      <c r="W449" t="e">
        <f ca="1">IFERROR(计算区域!Y451,NA())</f>
        <v>#N/A</v>
      </c>
      <c r="X449" t="e">
        <f ca="1">IFERROR(计算区域!Z451,NA())</f>
        <v>#N/A</v>
      </c>
      <c r="Y449" t="e">
        <f ca="1">IFERROR(计算区域!AA451,NA())</f>
        <v>#N/A</v>
      </c>
    </row>
    <row r="450" spans="1:25" x14ac:dyDescent="0.2">
      <c r="A450" s="28">
        <f>计算区域!E452</f>
        <v>44988</v>
      </c>
      <c r="B450" t="e">
        <f ca="1">IFERROR(计算区域!AJ452,NA())</f>
        <v>#N/A</v>
      </c>
      <c r="C450" t="e">
        <f ca="1">IFERROR(计算区域!AK452,NA())</f>
        <v>#N/A</v>
      </c>
      <c r="D450" t="e">
        <f ca="1">IFERROR(计算区域!AL452,NA())</f>
        <v>#N/A</v>
      </c>
      <c r="E450" t="e">
        <f ca="1">IFERROR(计算区域!AM452,NA())</f>
        <v>#N/A</v>
      </c>
      <c r="G450" t="e">
        <f ca="1">IFERROR(计算区域!AD452,NA())</f>
        <v>#N/A</v>
      </c>
      <c r="H450" t="e">
        <f ca="1">IFERROR(计算区域!AE452,NA())</f>
        <v>#N/A</v>
      </c>
      <c r="I450" t="e">
        <f ca="1">IFERROR(计算区域!AF452,NA())</f>
        <v>#N/A</v>
      </c>
      <c r="J450" t="e">
        <f ca="1">IFERROR(计算区域!AG452,NA())</f>
        <v>#N/A</v>
      </c>
      <c r="L450" t="e">
        <f ca="1">IFERROR(计算区域!L452,NA())</f>
        <v>#N/A</v>
      </c>
      <c r="M450" t="e">
        <f ca="1">IFERROR(计算区域!M452,NA())</f>
        <v>#N/A</v>
      </c>
      <c r="N450" t="e">
        <f ca="1">IFERROR(计算区域!N452,NA())</f>
        <v>#N/A</v>
      </c>
      <c r="O450" t="e">
        <f ca="1">IFERROR(计算区域!O452,NA())</f>
        <v>#N/A</v>
      </c>
      <c r="Q450" t="e">
        <f ca="1">IFERROR(计算区域!R452,NA())</f>
        <v>#N/A</v>
      </c>
      <c r="R450" t="e">
        <f ca="1">IFERROR(计算区域!S452,NA())</f>
        <v>#N/A</v>
      </c>
      <c r="S450" t="e">
        <f ca="1">IFERROR(计算区域!T452,NA())</f>
        <v>#N/A</v>
      </c>
      <c r="T450" t="e">
        <f ca="1">IFERROR(计算区域!U452,NA())</f>
        <v>#N/A</v>
      </c>
      <c r="V450" t="e">
        <f ca="1">IFERROR(计算区域!X452,NA())</f>
        <v>#N/A</v>
      </c>
      <c r="W450" t="e">
        <f ca="1">IFERROR(计算区域!Y452,NA())</f>
        <v>#N/A</v>
      </c>
      <c r="X450" t="e">
        <f ca="1">IFERROR(计算区域!Z452,NA())</f>
        <v>#N/A</v>
      </c>
      <c r="Y450" t="e">
        <f ca="1">IFERROR(计算区域!AA452,NA())</f>
        <v>#N/A</v>
      </c>
    </row>
    <row r="451" spans="1:25" x14ac:dyDescent="0.2">
      <c r="A451" s="28">
        <f>计算区域!E453</f>
        <v>44987</v>
      </c>
      <c r="B451" t="e">
        <f ca="1">IFERROR(计算区域!AJ453,NA())</f>
        <v>#N/A</v>
      </c>
      <c r="C451" t="e">
        <f ca="1">IFERROR(计算区域!AK453,NA())</f>
        <v>#N/A</v>
      </c>
      <c r="D451" t="e">
        <f ca="1">IFERROR(计算区域!AL453,NA())</f>
        <v>#N/A</v>
      </c>
      <c r="E451" t="e">
        <f ca="1">IFERROR(计算区域!AM453,NA())</f>
        <v>#N/A</v>
      </c>
      <c r="G451" t="e">
        <f ca="1">IFERROR(计算区域!AD453,NA())</f>
        <v>#N/A</v>
      </c>
      <c r="H451" t="e">
        <f ca="1">IFERROR(计算区域!AE453,NA())</f>
        <v>#N/A</v>
      </c>
      <c r="I451" t="e">
        <f ca="1">IFERROR(计算区域!AF453,NA())</f>
        <v>#N/A</v>
      </c>
      <c r="J451" t="e">
        <f ca="1">IFERROR(计算区域!AG453,NA())</f>
        <v>#N/A</v>
      </c>
      <c r="L451" t="e">
        <f ca="1">IFERROR(计算区域!L453,NA())</f>
        <v>#N/A</v>
      </c>
      <c r="M451" t="e">
        <f ca="1">IFERROR(计算区域!M453,NA())</f>
        <v>#N/A</v>
      </c>
      <c r="N451" t="e">
        <f ca="1">IFERROR(计算区域!N453,NA())</f>
        <v>#N/A</v>
      </c>
      <c r="O451" t="e">
        <f ca="1">IFERROR(计算区域!O453,NA())</f>
        <v>#N/A</v>
      </c>
      <c r="Q451" t="e">
        <f ca="1">IFERROR(计算区域!R453,NA())</f>
        <v>#N/A</v>
      </c>
      <c r="R451" t="e">
        <f ca="1">IFERROR(计算区域!S453,NA())</f>
        <v>#N/A</v>
      </c>
      <c r="S451" t="e">
        <f ca="1">IFERROR(计算区域!T453,NA())</f>
        <v>#N/A</v>
      </c>
      <c r="T451" t="e">
        <f ca="1">IFERROR(计算区域!U453,NA())</f>
        <v>#N/A</v>
      </c>
      <c r="V451" t="e">
        <f ca="1">IFERROR(计算区域!X453,NA())</f>
        <v>#N/A</v>
      </c>
      <c r="W451" t="e">
        <f ca="1">IFERROR(计算区域!Y453,NA())</f>
        <v>#N/A</v>
      </c>
      <c r="X451" t="e">
        <f ca="1">IFERROR(计算区域!Z453,NA())</f>
        <v>#N/A</v>
      </c>
      <c r="Y451" t="e">
        <f ca="1">IFERROR(计算区域!AA453,NA())</f>
        <v>#N/A</v>
      </c>
    </row>
    <row r="452" spans="1:25" x14ac:dyDescent="0.2">
      <c r="A452" s="28">
        <f>计算区域!E454</f>
        <v>44986</v>
      </c>
      <c r="B452" t="e">
        <f ca="1">IFERROR(计算区域!AJ454,NA())</f>
        <v>#N/A</v>
      </c>
      <c r="C452" t="e">
        <f ca="1">IFERROR(计算区域!AK454,NA())</f>
        <v>#N/A</v>
      </c>
      <c r="D452" t="e">
        <f ca="1">IFERROR(计算区域!AL454,NA())</f>
        <v>#N/A</v>
      </c>
      <c r="E452" t="e">
        <f ca="1">IFERROR(计算区域!AM454,NA())</f>
        <v>#N/A</v>
      </c>
      <c r="G452" t="e">
        <f ca="1">IFERROR(计算区域!AD454,NA())</f>
        <v>#N/A</v>
      </c>
      <c r="H452" t="e">
        <f ca="1">IFERROR(计算区域!AE454,NA())</f>
        <v>#N/A</v>
      </c>
      <c r="I452" t="e">
        <f ca="1">IFERROR(计算区域!AF454,NA())</f>
        <v>#N/A</v>
      </c>
      <c r="J452" t="e">
        <f ca="1">IFERROR(计算区域!AG454,NA())</f>
        <v>#N/A</v>
      </c>
      <c r="L452" t="e">
        <f ca="1">IFERROR(计算区域!L454,NA())</f>
        <v>#N/A</v>
      </c>
      <c r="M452" t="e">
        <f ca="1">IFERROR(计算区域!M454,NA())</f>
        <v>#N/A</v>
      </c>
      <c r="N452" t="e">
        <f ca="1">IFERROR(计算区域!N454,NA())</f>
        <v>#N/A</v>
      </c>
      <c r="O452" t="e">
        <f ca="1">IFERROR(计算区域!O454,NA())</f>
        <v>#N/A</v>
      </c>
      <c r="Q452" t="e">
        <f ca="1">IFERROR(计算区域!R454,NA())</f>
        <v>#N/A</v>
      </c>
      <c r="R452" t="e">
        <f ca="1">IFERROR(计算区域!S454,NA())</f>
        <v>#N/A</v>
      </c>
      <c r="S452" t="e">
        <f ca="1">IFERROR(计算区域!T454,NA())</f>
        <v>#N/A</v>
      </c>
      <c r="T452" t="e">
        <f ca="1">IFERROR(计算区域!U454,NA())</f>
        <v>#N/A</v>
      </c>
      <c r="V452" t="e">
        <f ca="1">IFERROR(计算区域!X454,NA())</f>
        <v>#N/A</v>
      </c>
      <c r="W452" t="e">
        <f ca="1">IFERROR(计算区域!Y454,NA())</f>
        <v>#N/A</v>
      </c>
      <c r="X452" t="e">
        <f ca="1">IFERROR(计算区域!Z454,NA())</f>
        <v>#N/A</v>
      </c>
      <c r="Y452" t="e">
        <f ca="1">IFERROR(计算区域!AA454,NA())</f>
        <v>#N/A</v>
      </c>
    </row>
    <row r="453" spans="1:25" x14ac:dyDescent="0.2">
      <c r="A453" s="28">
        <f>计算区域!E455</f>
        <v>44985</v>
      </c>
      <c r="B453" t="e">
        <f ca="1">IFERROR(计算区域!AJ455,NA())</f>
        <v>#N/A</v>
      </c>
      <c r="C453" t="e">
        <f ca="1">IFERROR(计算区域!AK455,NA())</f>
        <v>#N/A</v>
      </c>
      <c r="D453" t="e">
        <f ca="1">IFERROR(计算区域!AL455,NA())</f>
        <v>#N/A</v>
      </c>
      <c r="E453" t="e">
        <f ca="1">IFERROR(计算区域!AM455,NA())</f>
        <v>#N/A</v>
      </c>
      <c r="G453" t="e">
        <f ca="1">IFERROR(计算区域!AD455,NA())</f>
        <v>#N/A</v>
      </c>
      <c r="H453" t="e">
        <f ca="1">IFERROR(计算区域!AE455,NA())</f>
        <v>#N/A</v>
      </c>
      <c r="I453" t="e">
        <f ca="1">IFERROR(计算区域!AF455,NA())</f>
        <v>#N/A</v>
      </c>
      <c r="J453" t="e">
        <f ca="1">IFERROR(计算区域!AG455,NA())</f>
        <v>#N/A</v>
      </c>
      <c r="L453" t="e">
        <f ca="1">IFERROR(计算区域!L455,NA())</f>
        <v>#N/A</v>
      </c>
      <c r="M453" t="e">
        <f ca="1">IFERROR(计算区域!M455,NA())</f>
        <v>#N/A</v>
      </c>
      <c r="N453" t="e">
        <f ca="1">IFERROR(计算区域!N455,NA())</f>
        <v>#N/A</v>
      </c>
      <c r="O453" t="e">
        <f ca="1">IFERROR(计算区域!O455,NA())</f>
        <v>#N/A</v>
      </c>
      <c r="Q453" t="e">
        <f ca="1">IFERROR(计算区域!R455,NA())</f>
        <v>#N/A</v>
      </c>
      <c r="R453" t="e">
        <f ca="1">IFERROR(计算区域!S455,NA())</f>
        <v>#N/A</v>
      </c>
      <c r="S453" t="e">
        <f ca="1">IFERROR(计算区域!T455,NA())</f>
        <v>#N/A</v>
      </c>
      <c r="T453" t="e">
        <f ca="1">IFERROR(计算区域!U455,NA())</f>
        <v>#N/A</v>
      </c>
      <c r="V453" t="e">
        <f ca="1">IFERROR(计算区域!X455,NA())</f>
        <v>#N/A</v>
      </c>
      <c r="W453" t="e">
        <f ca="1">IFERROR(计算区域!Y455,NA())</f>
        <v>#N/A</v>
      </c>
      <c r="X453" t="e">
        <f ca="1">IFERROR(计算区域!Z455,NA())</f>
        <v>#N/A</v>
      </c>
      <c r="Y453" t="e">
        <f ca="1">IFERROR(计算区域!AA455,NA())</f>
        <v>#N/A</v>
      </c>
    </row>
    <row r="454" spans="1:25" x14ac:dyDescent="0.2">
      <c r="A454" s="28">
        <f>计算区域!E456</f>
        <v>44984</v>
      </c>
      <c r="B454" t="e">
        <f ca="1">IFERROR(计算区域!AJ456,NA())</f>
        <v>#N/A</v>
      </c>
      <c r="C454" t="e">
        <f ca="1">IFERROR(计算区域!AK456,NA())</f>
        <v>#N/A</v>
      </c>
      <c r="D454" t="e">
        <f ca="1">IFERROR(计算区域!AL456,NA())</f>
        <v>#N/A</v>
      </c>
      <c r="E454" t="e">
        <f ca="1">IFERROR(计算区域!AM456,NA())</f>
        <v>#N/A</v>
      </c>
      <c r="G454" t="e">
        <f ca="1">IFERROR(计算区域!AD456,NA())</f>
        <v>#N/A</v>
      </c>
      <c r="H454" t="e">
        <f ca="1">IFERROR(计算区域!AE456,NA())</f>
        <v>#N/A</v>
      </c>
      <c r="I454" t="e">
        <f ca="1">IFERROR(计算区域!AF456,NA())</f>
        <v>#N/A</v>
      </c>
      <c r="J454" t="e">
        <f ca="1">IFERROR(计算区域!AG456,NA())</f>
        <v>#N/A</v>
      </c>
      <c r="L454" t="e">
        <f ca="1">IFERROR(计算区域!L456,NA())</f>
        <v>#N/A</v>
      </c>
      <c r="M454" t="e">
        <f ca="1">IFERROR(计算区域!M456,NA())</f>
        <v>#N/A</v>
      </c>
      <c r="N454" t="e">
        <f ca="1">IFERROR(计算区域!N456,NA())</f>
        <v>#N/A</v>
      </c>
      <c r="O454" t="e">
        <f ca="1">IFERROR(计算区域!O456,NA())</f>
        <v>#N/A</v>
      </c>
      <c r="Q454" t="e">
        <f ca="1">IFERROR(计算区域!R456,NA())</f>
        <v>#N/A</v>
      </c>
      <c r="R454" t="e">
        <f ca="1">IFERROR(计算区域!S456,NA())</f>
        <v>#N/A</v>
      </c>
      <c r="S454" t="e">
        <f ca="1">IFERROR(计算区域!T456,NA())</f>
        <v>#N/A</v>
      </c>
      <c r="T454" t="e">
        <f ca="1">IFERROR(计算区域!U456,NA())</f>
        <v>#N/A</v>
      </c>
      <c r="V454" t="e">
        <f ca="1">IFERROR(计算区域!X456,NA())</f>
        <v>#N/A</v>
      </c>
      <c r="W454" t="e">
        <f ca="1">IFERROR(计算区域!Y456,NA())</f>
        <v>#N/A</v>
      </c>
      <c r="X454" t="e">
        <f ca="1">IFERROR(计算区域!Z456,NA())</f>
        <v>#N/A</v>
      </c>
      <c r="Y454" t="e">
        <f ca="1">IFERROR(计算区域!AA456,NA())</f>
        <v>#N/A</v>
      </c>
    </row>
    <row r="455" spans="1:25" x14ac:dyDescent="0.2">
      <c r="A455" s="28">
        <f>计算区域!E457</f>
        <v>44981</v>
      </c>
      <c r="B455" t="e">
        <f ca="1">IFERROR(计算区域!AJ457,NA())</f>
        <v>#N/A</v>
      </c>
      <c r="C455" t="e">
        <f ca="1">IFERROR(计算区域!AK457,NA())</f>
        <v>#N/A</v>
      </c>
      <c r="D455" t="e">
        <f ca="1">IFERROR(计算区域!AL457,NA())</f>
        <v>#N/A</v>
      </c>
      <c r="E455" t="e">
        <f ca="1">IFERROR(计算区域!AM457,NA())</f>
        <v>#N/A</v>
      </c>
      <c r="G455" t="e">
        <f ca="1">IFERROR(计算区域!AD457,NA())</f>
        <v>#N/A</v>
      </c>
      <c r="H455" t="e">
        <f ca="1">IFERROR(计算区域!AE457,NA())</f>
        <v>#N/A</v>
      </c>
      <c r="I455" t="e">
        <f ca="1">IFERROR(计算区域!AF457,NA())</f>
        <v>#N/A</v>
      </c>
      <c r="J455" t="e">
        <f ca="1">IFERROR(计算区域!AG457,NA())</f>
        <v>#N/A</v>
      </c>
      <c r="L455" t="e">
        <f ca="1">IFERROR(计算区域!L457,NA())</f>
        <v>#N/A</v>
      </c>
      <c r="M455" t="e">
        <f ca="1">IFERROR(计算区域!M457,NA())</f>
        <v>#N/A</v>
      </c>
      <c r="N455" t="e">
        <f ca="1">IFERROR(计算区域!N457,NA())</f>
        <v>#N/A</v>
      </c>
      <c r="O455" t="e">
        <f ca="1">IFERROR(计算区域!O457,NA())</f>
        <v>#N/A</v>
      </c>
      <c r="Q455" t="e">
        <f ca="1">IFERROR(计算区域!R457,NA())</f>
        <v>#N/A</v>
      </c>
      <c r="R455" t="e">
        <f ca="1">IFERROR(计算区域!S457,NA())</f>
        <v>#N/A</v>
      </c>
      <c r="S455" t="e">
        <f ca="1">IFERROR(计算区域!T457,NA())</f>
        <v>#N/A</v>
      </c>
      <c r="T455" t="e">
        <f ca="1">IFERROR(计算区域!U457,NA())</f>
        <v>#N/A</v>
      </c>
      <c r="V455" t="e">
        <f ca="1">IFERROR(计算区域!X457,NA())</f>
        <v>#N/A</v>
      </c>
      <c r="W455" t="e">
        <f ca="1">IFERROR(计算区域!Y457,NA())</f>
        <v>#N/A</v>
      </c>
      <c r="X455" t="e">
        <f ca="1">IFERROR(计算区域!Z457,NA())</f>
        <v>#N/A</v>
      </c>
      <c r="Y455" t="e">
        <f ca="1">IFERROR(计算区域!AA457,NA())</f>
        <v>#N/A</v>
      </c>
    </row>
    <row r="456" spans="1:25" x14ac:dyDescent="0.2">
      <c r="A456" s="28">
        <f>计算区域!E458</f>
        <v>44980</v>
      </c>
      <c r="B456" t="e">
        <f ca="1">IFERROR(计算区域!AJ458,NA())</f>
        <v>#N/A</v>
      </c>
      <c r="C456" t="e">
        <f ca="1">IFERROR(计算区域!AK458,NA())</f>
        <v>#N/A</v>
      </c>
      <c r="D456" t="e">
        <f ca="1">IFERROR(计算区域!AL458,NA())</f>
        <v>#N/A</v>
      </c>
      <c r="E456" t="e">
        <f ca="1">IFERROR(计算区域!AM458,NA())</f>
        <v>#N/A</v>
      </c>
      <c r="G456" t="e">
        <f ca="1">IFERROR(计算区域!AD458,NA())</f>
        <v>#N/A</v>
      </c>
      <c r="H456" t="e">
        <f ca="1">IFERROR(计算区域!AE458,NA())</f>
        <v>#N/A</v>
      </c>
      <c r="I456" t="e">
        <f ca="1">IFERROR(计算区域!AF458,NA())</f>
        <v>#N/A</v>
      </c>
      <c r="J456" t="e">
        <f ca="1">IFERROR(计算区域!AG458,NA())</f>
        <v>#N/A</v>
      </c>
      <c r="L456" t="e">
        <f ca="1">IFERROR(计算区域!L458,NA())</f>
        <v>#N/A</v>
      </c>
      <c r="M456" t="e">
        <f ca="1">IFERROR(计算区域!M458,NA())</f>
        <v>#N/A</v>
      </c>
      <c r="N456" t="e">
        <f ca="1">IFERROR(计算区域!N458,NA())</f>
        <v>#N/A</v>
      </c>
      <c r="O456" t="e">
        <f ca="1">IFERROR(计算区域!O458,NA())</f>
        <v>#N/A</v>
      </c>
      <c r="Q456" t="e">
        <f ca="1">IFERROR(计算区域!R458,NA())</f>
        <v>#N/A</v>
      </c>
      <c r="R456" t="e">
        <f ca="1">IFERROR(计算区域!S458,NA())</f>
        <v>#N/A</v>
      </c>
      <c r="S456" t="e">
        <f ca="1">IFERROR(计算区域!T458,NA())</f>
        <v>#N/A</v>
      </c>
      <c r="T456" t="e">
        <f ca="1">IFERROR(计算区域!U458,NA())</f>
        <v>#N/A</v>
      </c>
      <c r="V456" t="e">
        <f ca="1">IFERROR(计算区域!X458,NA())</f>
        <v>#N/A</v>
      </c>
      <c r="W456" t="e">
        <f ca="1">IFERROR(计算区域!Y458,NA())</f>
        <v>#N/A</v>
      </c>
      <c r="X456" t="e">
        <f ca="1">IFERROR(计算区域!Z458,NA())</f>
        <v>#N/A</v>
      </c>
      <c r="Y456" t="e">
        <f ca="1">IFERROR(计算区域!AA458,NA())</f>
        <v>#N/A</v>
      </c>
    </row>
    <row r="457" spans="1:25" x14ac:dyDescent="0.2">
      <c r="A457" s="28">
        <f>计算区域!E459</f>
        <v>44979</v>
      </c>
      <c r="B457" t="e">
        <f ca="1">IFERROR(计算区域!AJ459,NA())</f>
        <v>#N/A</v>
      </c>
      <c r="C457" t="e">
        <f ca="1">IFERROR(计算区域!AK459,NA())</f>
        <v>#N/A</v>
      </c>
      <c r="D457" t="e">
        <f ca="1">IFERROR(计算区域!AL459,NA())</f>
        <v>#N/A</v>
      </c>
      <c r="E457" t="e">
        <f ca="1">IFERROR(计算区域!AM459,NA())</f>
        <v>#N/A</v>
      </c>
      <c r="G457" t="e">
        <f ca="1">IFERROR(计算区域!AD459,NA())</f>
        <v>#N/A</v>
      </c>
      <c r="H457" t="e">
        <f ca="1">IFERROR(计算区域!AE459,NA())</f>
        <v>#N/A</v>
      </c>
      <c r="I457" t="e">
        <f ca="1">IFERROR(计算区域!AF459,NA())</f>
        <v>#N/A</v>
      </c>
      <c r="J457" t="e">
        <f ca="1">IFERROR(计算区域!AG459,NA())</f>
        <v>#N/A</v>
      </c>
      <c r="L457" t="e">
        <f ca="1">IFERROR(计算区域!L459,NA())</f>
        <v>#N/A</v>
      </c>
      <c r="M457" t="e">
        <f ca="1">IFERROR(计算区域!M459,NA())</f>
        <v>#N/A</v>
      </c>
      <c r="N457" t="e">
        <f ca="1">IFERROR(计算区域!N459,NA())</f>
        <v>#N/A</v>
      </c>
      <c r="O457" t="e">
        <f ca="1">IFERROR(计算区域!O459,NA())</f>
        <v>#N/A</v>
      </c>
      <c r="Q457" t="e">
        <f ca="1">IFERROR(计算区域!R459,NA())</f>
        <v>#N/A</v>
      </c>
      <c r="R457" t="e">
        <f ca="1">IFERROR(计算区域!S459,NA())</f>
        <v>#N/A</v>
      </c>
      <c r="S457" t="e">
        <f ca="1">IFERROR(计算区域!T459,NA())</f>
        <v>#N/A</v>
      </c>
      <c r="T457" t="e">
        <f ca="1">IFERROR(计算区域!U459,NA())</f>
        <v>#N/A</v>
      </c>
      <c r="V457" t="e">
        <f ca="1">IFERROR(计算区域!X459,NA())</f>
        <v>#N/A</v>
      </c>
      <c r="W457" t="e">
        <f ca="1">IFERROR(计算区域!Y459,NA())</f>
        <v>#N/A</v>
      </c>
      <c r="X457" t="e">
        <f ca="1">IFERROR(计算区域!Z459,NA())</f>
        <v>#N/A</v>
      </c>
      <c r="Y457" t="e">
        <f ca="1">IFERROR(计算区域!AA459,NA())</f>
        <v>#N/A</v>
      </c>
    </row>
    <row r="458" spans="1:25" x14ac:dyDescent="0.2">
      <c r="A458" s="28">
        <f>计算区域!E460</f>
        <v>44978</v>
      </c>
      <c r="B458" t="e">
        <f ca="1">IFERROR(计算区域!AJ460,NA())</f>
        <v>#N/A</v>
      </c>
      <c r="C458" t="e">
        <f ca="1">IFERROR(计算区域!AK460,NA())</f>
        <v>#N/A</v>
      </c>
      <c r="D458" t="e">
        <f ca="1">IFERROR(计算区域!AL460,NA())</f>
        <v>#N/A</v>
      </c>
      <c r="E458" t="e">
        <f ca="1">IFERROR(计算区域!AM460,NA())</f>
        <v>#N/A</v>
      </c>
      <c r="G458" t="e">
        <f ca="1">IFERROR(计算区域!AD460,NA())</f>
        <v>#N/A</v>
      </c>
      <c r="H458" t="e">
        <f ca="1">IFERROR(计算区域!AE460,NA())</f>
        <v>#N/A</v>
      </c>
      <c r="I458" t="e">
        <f ca="1">IFERROR(计算区域!AF460,NA())</f>
        <v>#N/A</v>
      </c>
      <c r="J458" t="e">
        <f ca="1">IFERROR(计算区域!AG460,NA())</f>
        <v>#N/A</v>
      </c>
      <c r="L458" t="e">
        <f ca="1">IFERROR(计算区域!L460,NA())</f>
        <v>#N/A</v>
      </c>
      <c r="M458" t="e">
        <f ca="1">IFERROR(计算区域!M460,NA())</f>
        <v>#N/A</v>
      </c>
      <c r="N458" t="e">
        <f ca="1">IFERROR(计算区域!N460,NA())</f>
        <v>#N/A</v>
      </c>
      <c r="O458" t="e">
        <f ca="1">IFERROR(计算区域!O460,NA())</f>
        <v>#N/A</v>
      </c>
      <c r="Q458" t="e">
        <f ca="1">IFERROR(计算区域!R460,NA())</f>
        <v>#N/A</v>
      </c>
      <c r="R458" t="e">
        <f ca="1">IFERROR(计算区域!S460,NA())</f>
        <v>#N/A</v>
      </c>
      <c r="S458" t="e">
        <f ca="1">IFERROR(计算区域!T460,NA())</f>
        <v>#N/A</v>
      </c>
      <c r="T458" t="e">
        <f ca="1">IFERROR(计算区域!U460,NA())</f>
        <v>#N/A</v>
      </c>
      <c r="V458" t="e">
        <f ca="1">IFERROR(计算区域!X460,NA())</f>
        <v>#N/A</v>
      </c>
      <c r="W458" t="e">
        <f ca="1">IFERROR(计算区域!Y460,NA())</f>
        <v>#N/A</v>
      </c>
      <c r="X458" t="e">
        <f ca="1">IFERROR(计算区域!Z460,NA())</f>
        <v>#N/A</v>
      </c>
      <c r="Y458" t="e">
        <f ca="1">IFERROR(计算区域!AA460,NA())</f>
        <v>#N/A</v>
      </c>
    </row>
    <row r="459" spans="1:25" x14ac:dyDescent="0.2">
      <c r="A459" s="28">
        <f>计算区域!E461</f>
        <v>44977</v>
      </c>
      <c r="B459" t="e">
        <f ca="1">IFERROR(计算区域!AJ461,NA())</f>
        <v>#N/A</v>
      </c>
      <c r="C459" t="e">
        <f ca="1">IFERROR(计算区域!AK461,NA())</f>
        <v>#N/A</v>
      </c>
      <c r="D459" t="e">
        <f ca="1">IFERROR(计算区域!AL461,NA())</f>
        <v>#N/A</v>
      </c>
      <c r="E459" t="e">
        <f ca="1">IFERROR(计算区域!AM461,NA())</f>
        <v>#N/A</v>
      </c>
      <c r="G459" t="e">
        <f ca="1">IFERROR(计算区域!AD461,NA())</f>
        <v>#N/A</v>
      </c>
      <c r="H459" t="e">
        <f ca="1">IFERROR(计算区域!AE461,NA())</f>
        <v>#N/A</v>
      </c>
      <c r="I459" t="e">
        <f ca="1">IFERROR(计算区域!AF461,NA())</f>
        <v>#N/A</v>
      </c>
      <c r="J459" t="e">
        <f ca="1">IFERROR(计算区域!AG461,NA())</f>
        <v>#N/A</v>
      </c>
      <c r="L459" t="e">
        <f ca="1">IFERROR(计算区域!L461,NA())</f>
        <v>#N/A</v>
      </c>
      <c r="M459" t="e">
        <f ca="1">IFERROR(计算区域!M461,NA())</f>
        <v>#N/A</v>
      </c>
      <c r="N459" t="e">
        <f ca="1">IFERROR(计算区域!N461,NA())</f>
        <v>#N/A</v>
      </c>
      <c r="O459" t="e">
        <f ca="1">IFERROR(计算区域!O461,NA())</f>
        <v>#N/A</v>
      </c>
      <c r="Q459" t="e">
        <f ca="1">IFERROR(计算区域!R461,NA())</f>
        <v>#N/A</v>
      </c>
      <c r="R459" t="e">
        <f ca="1">IFERROR(计算区域!S461,NA())</f>
        <v>#N/A</v>
      </c>
      <c r="S459" t="e">
        <f ca="1">IFERROR(计算区域!T461,NA())</f>
        <v>#N/A</v>
      </c>
      <c r="T459" t="e">
        <f ca="1">IFERROR(计算区域!U461,NA())</f>
        <v>#N/A</v>
      </c>
      <c r="V459" t="e">
        <f ca="1">IFERROR(计算区域!X461,NA())</f>
        <v>#N/A</v>
      </c>
      <c r="W459" t="e">
        <f ca="1">IFERROR(计算区域!Y461,NA())</f>
        <v>#N/A</v>
      </c>
      <c r="X459" t="e">
        <f ca="1">IFERROR(计算区域!Z461,NA())</f>
        <v>#N/A</v>
      </c>
      <c r="Y459" t="e">
        <f ca="1">IFERROR(计算区域!AA461,NA())</f>
        <v>#N/A</v>
      </c>
    </row>
    <row r="460" spans="1:25" x14ac:dyDescent="0.2">
      <c r="A460" s="28">
        <f>计算区域!E462</f>
        <v>44974</v>
      </c>
      <c r="B460" t="e">
        <f ca="1">IFERROR(计算区域!AJ462,NA())</f>
        <v>#N/A</v>
      </c>
      <c r="C460" t="e">
        <f ca="1">IFERROR(计算区域!AK462,NA())</f>
        <v>#N/A</v>
      </c>
      <c r="D460" t="e">
        <f ca="1">IFERROR(计算区域!AL462,NA())</f>
        <v>#N/A</v>
      </c>
      <c r="E460" t="e">
        <f ca="1">IFERROR(计算区域!AM462,NA())</f>
        <v>#N/A</v>
      </c>
      <c r="G460" t="e">
        <f ca="1">IFERROR(计算区域!AD462,NA())</f>
        <v>#N/A</v>
      </c>
      <c r="H460" t="e">
        <f ca="1">IFERROR(计算区域!AE462,NA())</f>
        <v>#N/A</v>
      </c>
      <c r="I460" t="e">
        <f ca="1">IFERROR(计算区域!AF462,NA())</f>
        <v>#N/A</v>
      </c>
      <c r="J460" t="e">
        <f ca="1">IFERROR(计算区域!AG462,NA())</f>
        <v>#N/A</v>
      </c>
      <c r="L460" t="e">
        <f ca="1">IFERROR(计算区域!L462,NA())</f>
        <v>#N/A</v>
      </c>
      <c r="M460" t="e">
        <f ca="1">IFERROR(计算区域!M462,NA())</f>
        <v>#N/A</v>
      </c>
      <c r="N460" t="e">
        <f ca="1">IFERROR(计算区域!N462,NA())</f>
        <v>#N/A</v>
      </c>
      <c r="O460" t="e">
        <f ca="1">IFERROR(计算区域!O462,NA())</f>
        <v>#N/A</v>
      </c>
      <c r="Q460" t="e">
        <f ca="1">IFERROR(计算区域!R462,NA())</f>
        <v>#N/A</v>
      </c>
      <c r="R460" t="e">
        <f ca="1">IFERROR(计算区域!S462,NA())</f>
        <v>#N/A</v>
      </c>
      <c r="S460" t="e">
        <f ca="1">IFERROR(计算区域!T462,NA())</f>
        <v>#N/A</v>
      </c>
      <c r="T460" t="e">
        <f ca="1">IFERROR(计算区域!U462,NA())</f>
        <v>#N/A</v>
      </c>
      <c r="V460" t="e">
        <f ca="1">IFERROR(计算区域!X462,NA())</f>
        <v>#N/A</v>
      </c>
      <c r="W460" t="e">
        <f ca="1">IFERROR(计算区域!Y462,NA())</f>
        <v>#N/A</v>
      </c>
      <c r="X460" t="e">
        <f ca="1">IFERROR(计算区域!Z462,NA())</f>
        <v>#N/A</v>
      </c>
      <c r="Y460" t="e">
        <f ca="1">IFERROR(计算区域!AA462,NA())</f>
        <v>#N/A</v>
      </c>
    </row>
    <row r="461" spans="1:25" x14ac:dyDescent="0.2">
      <c r="A461" s="28">
        <f>计算区域!E463</f>
        <v>44973</v>
      </c>
      <c r="B461" t="e">
        <f ca="1">IFERROR(计算区域!AJ463,NA())</f>
        <v>#N/A</v>
      </c>
      <c r="C461" t="e">
        <f ca="1">IFERROR(计算区域!AK463,NA())</f>
        <v>#N/A</v>
      </c>
      <c r="D461" t="e">
        <f ca="1">IFERROR(计算区域!AL463,NA())</f>
        <v>#N/A</v>
      </c>
      <c r="E461" t="e">
        <f ca="1">IFERROR(计算区域!AM463,NA())</f>
        <v>#N/A</v>
      </c>
      <c r="G461" t="e">
        <f ca="1">IFERROR(计算区域!AD463,NA())</f>
        <v>#N/A</v>
      </c>
      <c r="H461" t="e">
        <f ca="1">IFERROR(计算区域!AE463,NA())</f>
        <v>#N/A</v>
      </c>
      <c r="I461" t="e">
        <f ca="1">IFERROR(计算区域!AF463,NA())</f>
        <v>#N/A</v>
      </c>
      <c r="J461" t="e">
        <f ca="1">IFERROR(计算区域!AG463,NA())</f>
        <v>#N/A</v>
      </c>
      <c r="L461" t="e">
        <f ca="1">IFERROR(计算区域!L463,NA())</f>
        <v>#N/A</v>
      </c>
      <c r="M461" t="e">
        <f ca="1">IFERROR(计算区域!M463,NA())</f>
        <v>#N/A</v>
      </c>
      <c r="N461" t="e">
        <f ca="1">IFERROR(计算区域!N463,NA())</f>
        <v>#N/A</v>
      </c>
      <c r="O461" t="e">
        <f ca="1">IFERROR(计算区域!O463,NA())</f>
        <v>#N/A</v>
      </c>
      <c r="Q461" t="e">
        <f ca="1">IFERROR(计算区域!R463,NA())</f>
        <v>#N/A</v>
      </c>
      <c r="R461" t="e">
        <f ca="1">IFERROR(计算区域!S463,NA())</f>
        <v>#N/A</v>
      </c>
      <c r="S461" t="e">
        <f ca="1">IFERROR(计算区域!T463,NA())</f>
        <v>#N/A</v>
      </c>
      <c r="T461" t="e">
        <f ca="1">IFERROR(计算区域!U463,NA())</f>
        <v>#N/A</v>
      </c>
      <c r="V461" t="e">
        <f ca="1">IFERROR(计算区域!X463,NA())</f>
        <v>#N/A</v>
      </c>
      <c r="W461" t="e">
        <f ca="1">IFERROR(计算区域!Y463,NA())</f>
        <v>#N/A</v>
      </c>
      <c r="X461" t="e">
        <f ca="1">IFERROR(计算区域!Z463,NA())</f>
        <v>#N/A</v>
      </c>
      <c r="Y461" t="e">
        <f ca="1">IFERROR(计算区域!AA463,NA())</f>
        <v>#N/A</v>
      </c>
    </row>
    <row r="462" spans="1:25" x14ac:dyDescent="0.2">
      <c r="A462" s="28">
        <f>计算区域!E464</f>
        <v>44972</v>
      </c>
      <c r="B462" t="e">
        <f ca="1">IFERROR(计算区域!AJ464,NA())</f>
        <v>#N/A</v>
      </c>
      <c r="C462" t="e">
        <f ca="1">IFERROR(计算区域!AK464,NA())</f>
        <v>#N/A</v>
      </c>
      <c r="D462" t="e">
        <f ca="1">IFERROR(计算区域!AL464,NA())</f>
        <v>#N/A</v>
      </c>
      <c r="E462" t="e">
        <f ca="1">IFERROR(计算区域!AM464,NA())</f>
        <v>#N/A</v>
      </c>
      <c r="G462" t="e">
        <f ca="1">IFERROR(计算区域!AD464,NA())</f>
        <v>#N/A</v>
      </c>
      <c r="H462" t="e">
        <f ca="1">IFERROR(计算区域!AE464,NA())</f>
        <v>#N/A</v>
      </c>
      <c r="I462" t="e">
        <f ca="1">IFERROR(计算区域!AF464,NA())</f>
        <v>#N/A</v>
      </c>
      <c r="J462" t="e">
        <f ca="1">IFERROR(计算区域!AG464,NA())</f>
        <v>#N/A</v>
      </c>
      <c r="L462" t="e">
        <f ca="1">IFERROR(计算区域!L464,NA())</f>
        <v>#N/A</v>
      </c>
      <c r="M462" t="e">
        <f ca="1">IFERROR(计算区域!M464,NA())</f>
        <v>#N/A</v>
      </c>
      <c r="N462" t="e">
        <f ca="1">IFERROR(计算区域!N464,NA())</f>
        <v>#N/A</v>
      </c>
      <c r="O462" t="e">
        <f ca="1">IFERROR(计算区域!O464,NA())</f>
        <v>#N/A</v>
      </c>
      <c r="Q462" t="e">
        <f ca="1">IFERROR(计算区域!R464,NA())</f>
        <v>#N/A</v>
      </c>
      <c r="R462" t="e">
        <f ca="1">IFERROR(计算区域!S464,NA())</f>
        <v>#N/A</v>
      </c>
      <c r="S462" t="e">
        <f ca="1">IFERROR(计算区域!T464,NA())</f>
        <v>#N/A</v>
      </c>
      <c r="T462" t="e">
        <f ca="1">IFERROR(计算区域!U464,NA())</f>
        <v>#N/A</v>
      </c>
      <c r="V462" t="e">
        <f ca="1">IFERROR(计算区域!X464,NA())</f>
        <v>#N/A</v>
      </c>
      <c r="W462" t="e">
        <f ca="1">IFERROR(计算区域!Y464,NA())</f>
        <v>#N/A</v>
      </c>
      <c r="X462" t="e">
        <f ca="1">IFERROR(计算区域!Z464,NA())</f>
        <v>#N/A</v>
      </c>
      <c r="Y462" t="e">
        <f ca="1">IFERROR(计算区域!AA464,NA())</f>
        <v>#N/A</v>
      </c>
    </row>
    <row r="463" spans="1:25" x14ac:dyDescent="0.2">
      <c r="A463" s="28">
        <f>计算区域!E465</f>
        <v>44971</v>
      </c>
      <c r="B463" t="e">
        <f ca="1">IFERROR(计算区域!AJ465,NA())</f>
        <v>#N/A</v>
      </c>
      <c r="C463" t="e">
        <f ca="1">IFERROR(计算区域!AK465,NA())</f>
        <v>#N/A</v>
      </c>
      <c r="D463" t="e">
        <f ca="1">IFERROR(计算区域!AL465,NA())</f>
        <v>#N/A</v>
      </c>
      <c r="E463" t="e">
        <f ca="1">IFERROR(计算区域!AM465,NA())</f>
        <v>#N/A</v>
      </c>
      <c r="G463" t="e">
        <f ca="1">IFERROR(计算区域!AD465,NA())</f>
        <v>#N/A</v>
      </c>
      <c r="H463" t="e">
        <f ca="1">IFERROR(计算区域!AE465,NA())</f>
        <v>#N/A</v>
      </c>
      <c r="I463" t="e">
        <f ca="1">IFERROR(计算区域!AF465,NA())</f>
        <v>#N/A</v>
      </c>
      <c r="J463" t="e">
        <f ca="1">IFERROR(计算区域!AG465,NA())</f>
        <v>#N/A</v>
      </c>
      <c r="L463" t="e">
        <f ca="1">IFERROR(计算区域!L465,NA())</f>
        <v>#N/A</v>
      </c>
      <c r="M463" t="e">
        <f ca="1">IFERROR(计算区域!M465,NA())</f>
        <v>#N/A</v>
      </c>
      <c r="N463" t="e">
        <f ca="1">IFERROR(计算区域!N465,NA())</f>
        <v>#N/A</v>
      </c>
      <c r="O463" t="e">
        <f ca="1">IFERROR(计算区域!O465,NA())</f>
        <v>#N/A</v>
      </c>
      <c r="Q463" t="e">
        <f ca="1">IFERROR(计算区域!R465,NA())</f>
        <v>#N/A</v>
      </c>
      <c r="R463" t="e">
        <f ca="1">IFERROR(计算区域!S465,NA())</f>
        <v>#N/A</v>
      </c>
      <c r="S463" t="e">
        <f ca="1">IFERROR(计算区域!T465,NA())</f>
        <v>#N/A</v>
      </c>
      <c r="T463" t="e">
        <f ca="1">IFERROR(计算区域!U465,NA())</f>
        <v>#N/A</v>
      </c>
      <c r="V463" t="e">
        <f ca="1">IFERROR(计算区域!X465,NA())</f>
        <v>#N/A</v>
      </c>
      <c r="W463" t="e">
        <f ca="1">IFERROR(计算区域!Y465,NA())</f>
        <v>#N/A</v>
      </c>
      <c r="X463" t="e">
        <f ca="1">IFERROR(计算区域!Z465,NA())</f>
        <v>#N/A</v>
      </c>
      <c r="Y463" t="e">
        <f ca="1">IFERROR(计算区域!AA465,NA())</f>
        <v>#N/A</v>
      </c>
    </row>
    <row r="464" spans="1:25" x14ac:dyDescent="0.2">
      <c r="A464" s="28">
        <f>计算区域!E466</f>
        <v>44970</v>
      </c>
      <c r="B464" t="e">
        <f ca="1">IFERROR(计算区域!AJ466,NA())</f>
        <v>#N/A</v>
      </c>
      <c r="C464" t="e">
        <f ca="1">IFERROR(计算区域!AK466,NA())</f>
        <v>#N/A</v>
      </c>
      <c r="D464" t="e">
        <f ca="1">IFERROR(计算区域!AL466,NA())</f>
        <v>#N/A</v>
      </c>
      <c r="E464" t="e">
        <f ca="1">IFERROR(计算区域!AM466,NA())</f>
        <v>#N/A</v>
      </c>
      <c r="G464" t="e">
        <f ca="1">IFERROR(计算区域!AD466,NA())</f>
        <v>#N/A</v>
      </c>
      <c r="H464" t="e">
        <f ca="1">IFERROR(计算区域!AE466,NA())</f>
        <v>#N/A</v>
      </c>
      <c r="I464" t="e">
        <f ca="1">IFERROR(计算区域!AF466,NA())</f>
        <v>#N/A</v>
      </c>
      <c r="J464" t="e">
        <f ca="1">IFERROR(计算区域!AG466,NA())</f>
        <v>#N/A</v>
      </c>
      <c r="L464" t="e">
        <f ca="1">IFERROR(计算区域!L466,NA())</f>
        <v>#N/A</v>
      </c>
      <c r="M464" t="e">
        <f ca="1">IFERROR(计算区域!M466,NA())</f>
        <v>#N/A</v>
      </c>
      <c r="N464" t="e">
        <f ca="1">IFERROR(计算区域!N466,NA())</f>
        <v>#N/A</v>
      </c>
      <c r="O464" t="e">
        <f ca="1">IFERROR(计算区域!O466,NA())</f>
        <v>#N/A</v>
      </c>
      <c r="Q464" t="e">
        <f ca="1">IFERROR(计算区域!R466,NA())</f>
        <v>#N/A</v>
      </c>
      <c r="R464" t="e">
        <f ca="1">IFERROR(计算区域!S466,NA())</f>
        <v>#N/A</v>
      </c>
      <c r="S464" t="e">
        <f ca="1">IFERROR(计算区域!T466,NA())</f>
        <v>#N/A</v>
      </c>
      <c r="T464" t="e">
        <f ca="1">IFERROR(计算区域!U466,NA())</f>
        <v>#N/A</v>
      </c>
      <c r="V464" t="e">
        <f ca="1">IFERROR(计算区域!X466,NA())</f>
        <v>#N/A</v>
      </c>
      <c r="W464" t="e">
        <f ca="1">IFERROR(计算区域!Y466,NA())</f>
        <v>#N/A</v>
      </c>
      <c r="X464" t="e">
        <f ca="1">IFERROR(计算区域!Z466,NA())</f>
        <v>#N/A</v>
      </c>
      <c r="Y464" t="e">
        <f ca="1">IFERROR(计算区域!AA466,NA())</f>
        <v>#N/A</v>
      </c>
    </row>
    <row r="465" spans="1:25" x14ac:dyDescent="0.2">
      <c r="A465" s="28">
        <f>计算区域!E467</f>
        <v>44967</v>
      </c>
      <c r="B465" t="e">
        <f ca="1">IFERROR(计算区域!AJ467,NA())</f>
        <v>#N/A</v>
      </c>
      <c r="C465" t="e">
        <f ca="1">IFERROR(计算区域!AK467,NA())</f>
        <v>#N/A</v>
      </c>
      <c r="D465" t="e">
        <f ca="1">IFERROR(计算区域!AL467,NA())</f>
        <v>#N/A</v>
      </c>
      <c r="E465" t="e">
        <f ca="1">IFERROR(计算区域!AM467,NA())</f>
        <v>#N/A</v>
      </c>
      <c r="G465" t="e">
        <f ca="1">IFERROR(计算区域!AD467,NA())</f>
        <v>#N/A</v>
      </c>
      <c r="H465" t="e">
        <f ca="1">IFERROR(计算区域!AE467,NA())</f>
        <v>#N/A</v>
      </c>
      <c r="I465" t="e">
        <f ca="1">IFERROR(计算区域!AF467,NA())</f>
        <v>#N/A</v>
      </c>
      <c r="J465" t="e">
        <f ca="1">IFERROR(计算区域!AG467,NA())</f>
        <v>#N/A</v>
      </c>
      <c r="L465" t="e">
        <f ca="1">IFERROR(计算区域!L467,NA())</f>
        <v>#N/A</v>
      </c>
      <c r="M465" t="e">
        <f ca="1">IFERROR(计算区域!M467,NA())</f>
        <v>#N/A</v>
      </c>
      <c r="N465" t="e">
        <f ca="1">IFERROR(计算区域!N467,NA())</f>
        <v>#N/A</v>
      </c>
      <c r="O465" t="e">
        <f ca="1">IFERROR(计算区域!O467,NA())</f>
        <v>#N/A</v>
      </c>
      <c r="Q465" t="e">
        <f ca="1">IFERROR(计算区域!R467,NA())</f>
        <v>#N/A</v>
      </c>
      <c r="R465" t="e">
        <f ca="1">IFERROR(计算区域!S467,NA())</f>
        <v>#N/A</v>
      </c>
      <c r="S465" t="e">
        <f ca="1">IFERROR(计算区域!T467,NA())</f>
        <v>#N/A</v>
      </c>
      <c r="T465" t="e">
        <f ca="1">IFERROR(计算区域!U467,NA())</f>
        <v>#N/A</v>
      </c>
      <c r="V465" t="e">
        <f ca="1">IFERROR(计算区域!X467,NA())</f>
        <v>#N/A</v>
      </c>
      <c r="W465" t="e">
        <f ca="1">IFERROR(计算区域!Y467,NA())</f>
        <v>#N/A</v>
      </c>
      <c r="X465" t="e">
        <f ca="1">IFERROR(计算区域!Z467,NA())</f>
        <v>#N/A</v>
      </c>
      <c r="Y465" t="e">
        <f ca="1">IFERROR(计算区域!AA467,NA())</f>
        <v>#N/A</v>
      </c>
    </row>
    <row r="466" spans="1:25" x14ac:dyDescent="0.2">
      <c r="A466" s="28">
        <f>计算区域!E468</f>
        <v>44966</v>
      </c>
      <c r="B466" t="e">
        <f ca="1">IFERROR(计算区域!AJ468,NA())</f>
        <v>#N/A</v>
      </c>
      <c r="C466" t="e">
        <f ca="1">IFERROR(计算区域!AK468,NA())</f>
        <v>#N/A</v>
      </c>
      <c r="D466" t="e">
        <f ca="1">IFERROR(计算区域!AL468,NA())</f>
        <v>#N/A</v>
      </c>
      <c r="E466" t="e">
        <f ca="1">IFERROR(计算区域!AM468,NA())</f>
        <v>#N/A</v>
      </c>
      <c r="G466" t="e">
        <f ca="1">IFERROR(计算区域!AD468,NA())</f>
        <v>#N/A</v>
      </c>
      <c r="H466" t="e">
        <f ca="1">IFERROR(计算区域!AE468,NA())</f>
        <v>#N/A</v>
      </c>
      <c r="I466" t="e">
        <f ca="1">IFERROR(计算区域!AF468,NA())</f>
        <v>#N/A</v>
      </c>
      <c r="J466" t="e">
        <f ca="1">IFERROR(计算区域!AG468,NA())</f>
        <v>#N/A</v>
      </c>
      <c r="L466" t="e">
        <f ca="1">IFERROR(计算区域!L468,NA())</f>
        <v>#N/A</v>
      </c>
      <c r="M466" t="e">
        <f ca="1">IFERROR(计算区域!M468,NA())</f>
        <v>#N/A</v>
      </c>
      <c r="N466" t="e">
        <f ca="1">IFERROR(计算区域!N468,NA())</f>
        <v>#N/A</v>
      </c>
      <c r="O466" t="e">
        <f ca="1">IFERROR(计算区域!O468,NA())</f>
        <v>#N/A</v>
      </c>
      <c r="Q466" t="e">
        <f ca="1">IFERROR(计算区域!R468,NA())</f>
        <v>#N/A</v>
      </c>
      <c r="R466" t="e">
        <f ca="1">IFERROR(计算区域!S468,NA())</f>
        <v>#N/A</v>
      </c>
      <c r="S466" t="e">
        <f ca="1">IFERROR(计算区域!T468,NA())</f>
        <v>#N/A</v>
      </c>
      <c r="T466" t="e">
        <f ca="1">IFERROR(计算区域!U468,NA())</f>
        <v>#N/A</v>
      </c>
      <c r="V466" t="e">
        <f ca="1">IFERROR(计算区域!X468,NA())</f>
        <v>#N/A</v>
      </c>
      <c r="W466" t="e">
        <f ca="1">IFERROR(计算区域!Y468,NA())</f>
        <v>#N/A</v>
      </c>
      <c r="X466" t="e">
        <f ca="1">IFERROR(计算区域!Z468,NA())</f>
        <v>#N/A</v>
      </c>
      <c r="Y466" t="e">
        <f ca="1">IFERROR(计算区域!AA468,NA())</f>
        <v>#N/A</v>
      </c>
    </row>
    <row r="467" spans="1:25" x14ac:dyDescent="0.2">
      <c r="A467" s="28">
        <f>计算区域!E469</f>
        <v>44965</v>
      </c>
      <c r="B467" t="e">
        <f ca="1">IFERROR(计算区域!AJ469,NA())</f>
        <v>#N/A</v>
      </c>
      <c r="C467" t="e">
        <f ca="1">IFERROR(计算区域!AK469,NA())</f>
        <v>#N/A</v>
      </c>
      <c r="D467" t="e">
        <f ca="1">IFERROR(计算区域!AL469,NA())</f>
        <v>#N/A</v>
      </c>
      <c r="E467" t="e">
        <f ca="1">IFERROR(计算区域!AM469,NA())</f>
        <v>#N/A</v>
      </c>
      <c r="G467" t="e">
        <f ca="1">IFERROR(计算区域!AD469,NA())</f>
        <v>#N/A</v>
      </c>
      <c r="H467" t="e">
        <f ca="1">IFERROR(计算区域!AE469,NA())</f>
        <v>#N/A</v>
      </c>
      <c r="I467" t="e">
        <f ca="1">IFERROR(计算区域!AF469,NA())</f>
        <v>#N/A</v>
      </c>
      <c r="J467" t="e">
        <f ca="1">IFERROR(计算区域!AG469,NA())</f>
        <v>#N/A</v>
      </c>
      <c r="L467" t="e">
        <f ca="1">IFERROR(计算区域!L469,NA())</f>
        <v>#N/A</v>
      </c>
      <c r="M467" t="e">
        <f ca="1">IFERROR(计算区域!M469,NA())</f>
        <v>#N/A</v>
      </c>
      <c r="N467" t="e">
        <f ca="1">IFERROR(计算区域!N469,NA())</f>
        <v>#N/A</v>
      </c>
      <c r="O467" t="e">
        <f ca="1">IFERROR(计算区域!O469,NA())</f>
        <v>#N/A</v>
      </c>
      <c r="Q467" t="e">
        <f ca="1">IFERROR(计算区域!R469,NA())</f>
        <v>#N/A</v>
      </c>
      <c r="R467" t="e">
        <f ca="1">IFERROR(计算区域!S469,NA())</f>
        <v>#N/A</v>
      </c>
      <c r="S467" t="e">
        <f ca="1">IFERROR(计算区域!T469,NA())</f>
        <v>#N/A</v>
      </c>
      <c r="T467" t="e">
        <f ca="1">IFERROR(计算区域!U469,NA())</f>
        <v>#N/A</v>
      </c>
      <c r="V467" t="e">
        <f ca="1">IFERROR(计算区域!X469,NA())</f>
        <v>#N/A</v>
      </c>
      <c r="W467" t="e">
        <f ca="1">IFERROR(计算区域!Y469,NA())</f>
        <v>#N/A</v>
      </c>
      <c r="X467" t="e">
        <f ca="1">IFERROR(计算区域!Z469,NA())</f>
        <v>#N/A</v>
      </c>
      <c r="Y467" t="e">
        <f ca="1">IFERROR(计算区域!AA469,NA())</f>
        <v>#N/A</v>
      </c>
    </row>
    <row r="468" spans="1:25" x14ac:dyDescent="0.2">
      <c r="A468" s="28">
        <f>计算区域!E470</f>
        <v>44964</v>
      </c>
      <c r="B468" t="e">
        <f ca="1">IFERROR(计算区域!AJ470,NA())</f>
        <v>#N/A</v>
      </c>
      <c r="C468" t="e">
        <f ca="1">IFERROR(计算区域!AK470,NA())</f>
        <v>#N/A</v>
      </c>
      <c r="D468" t="e">
        <f ca="1">IFERROR(计算区域!AL470,NA())</f>
        <v>#N/A</v>
      </c>
      <c r="E468" t="e">
        <f ca="1">IFERROR(计算区域!AM470,NA())</f>
        <v>#N/A</v>
      </c>
      <c r="G468" t="e">
        <f ca="1">IFERROR(计算区域!AD470,NA())</f>
        <v>#N/A</v>
      </c>
      <c r="H468" t="e">
        <f ca="1">IFERROR(计算区域!AE470,NA())</f>
        <v>#N/A</v>
      </c>
      <c r="I468" t="e">
        <f ca="1">IFERROR(计算区域!AF470,NA())</f>
        <v>#N/A</v>
      </c>
      <c r="J468" t="e">
        <f ca="1">IFERROR(计算区域!AG470,NA())</f>
        <v>#N/A</v>
      </c>
      <c r="L468" t="e">
        <f ca="1">IFERROR(计算区域!L470,NA())</f>
        <v>#N/A</v>
      </c>
      <c r="M468" t="e">
        <f ca="1">IFERROR(计算区域!M470,NA())</f>
        <v>#N/A</v>
      </c>
      <c r="N468" t="e">
        <f ca="1">IFERROR(计算区域!N470,NA())</f>
        <v>#N/A</v>
      </c>
      <c r="O468" t="e">
        <f ca="1">IFERROR(计算区域!O470,NA())</f>
        <v>#N/A</v>
      </c>
      <c r="Q468" t="e">
        <f ca="1">IFERROR(计算区域!R470,NA())</f>
        <v>#N/A</v>
      </c>
      <c r="R468" t="e">
        <f ca="1">IFERROR(计算区域!S470,NA())</f>
        <v>#N/A</v>
      </c>
      <c r="S468" t="e">
        <f ca="1">IFERROR(计算区域!T470,NA())</f>
        <v>#N/A</v>
      </c>
      <c r="T468" t="e">
        <f ca="1">IFERROR(计算区域!U470,NA())</f>
        <v>#N/A</v>
      </c>
      <c r="V468" t="e">
        <f ca="1">IFERROR(计算区域!X470,NA())</f>
        <v>#N/A</v>
      </c>
      <c r="W468" t="e">
        <f ca="1">IFERROR(计算区域!Y470,NA())</f>
        <v>#N/A</v>
      </c>
      <c r="X468" t="e">
        <f ca="1">IFERROR(计算区域!Z470,NA())</f>
        <v>#N/A</v>
      </c>
      <c r="Y468" t="e">
        <f ca="1">IFERROR(计算区域!AA470,NA())</f>
        <v>#N/A</v>
      </c>
    </row>
    <row r="469" spans="1:25" x14ac:dyDescent="0.2">
      <c r="A469" s="28">
        <f>计算区域!E471</f>
        <v>44963</v>
      </c>
      <c r="B469" t="e">
        <f ca="1">IFERROR(计算区域!AJ471,NA())</f>
        <v>#N/A</v>
      </c>
      <c r="C469" t="e">
        <f ca="1">IFERROR(计算区域!AK471,NA())</f>
        <v>#N/A</v>
      </c>
      <c r="D469" t="e">
        <f ca="1">IFERROR(计算区域!AL471,NA())</f>
        <v>#N/A</v>
      </c>
      <c r="E469" t="e">
        <f ca="1">IFERROR(计算区域!AM471,NA())</f>
        <v>#N/A</v>
      </c>
      <c r="G469" t="e">
        <f ca="1">IFERROR(计算区域!AD471,NA())</f>
        <v>#N/A</v>
      </c>
      <c r="H469" t="e">
        <f ca="1">IFERROR(计算区域!AE471,NA())</f>
        <v>#N/A</v>
      </c>
      <c r="I469" t="e">
        <f ca="1">IFERROR(计算区域!AF471,NA())</f>
        <v>#N/A</v>
      </c>
      <c r="J469" t="e">
        <f ca="1">IFERROR(计算区域!AG471,NA())</f>
        <v>#N/A</v>
      </c>
      <c r="L469" t="e">
        <f ca="1">IFERROR(计算区域!L471,NA())</f>
        <v>#N/A</v>
      </c>
      <c r="M469" t="e">
        <f ca="1">IFERROR(计算区域!M471,NA())</f>
        <v>#N/A</v>
      </c>
      <c r="N469" t="e">
        <f ca="1">IFERROR(计算区域!N471,NA())</f>
        <v>#N/A</v>
      </c>
      <c r="O469" t="e">
        <f ca="1">IFERROR(计算区域!O471,NA())</f>
        <v>#N/A</v>
      </c>
      <c r="Q469" t="e">
        <f ca="1">IFERROR(计算区域!R471,NA())</f>
        <v>#N/A</v>
      </c>
      <c r="R469" t="e">
        <f ca="1">IFERROR(计算区域!S471,NA())</f>
        <v>#N/A</v>
      </c>
      <c r="S469" t="e">
        <f ca="1">IFERROR(计算区域!T471,NA())</f>
        <v>#N/A</v>
      </c>
      <c r="T469" t="e">
        <f ca="1">IFERROR(计算区域!U471,NA())</f>
        <v>#N/A</v>
      </c>
      <c r="V469" t="e">
        <f ca="1">IFERROR(计算区域!X471,NA())</f>
        <v>#N/A</v>
      </c>
      <c r="W469" t="e">
        <f ca="1">IFERROR(计算区域!Y471,NA())</f>
        <v>#N/A</v>
      </c>
      <c r="X469" t="e">
        <f ca="1">IFERROR(计算区域!Z471,NA())</f>
        <v>#N/A</v>
      </c>
      <c r="Y469" t="e">
        <f ca="1">IFERROR(计算区域!AA471,NA())</f>
        <v>#N/A</v>
      </c>
    </row>
    <row r="470" spans="1:25" x14ac:dyDescent="0.2">
      <c r="A470" s="28">
        <f>计算区域!E472</f>
        <v>44960</v>
      </c>
      <c r="B470" t="e">
        <f ca="1">IFERROR(计算区域!AJ472,NA())</f>
        <v>#N/A</v>
      </c>
      <c r="C470" t="e">
        <f ca="1">IFERROR(计算区域!AK472,NA())</f>
        <v>#N/A</v>
      </c>
      <c r="D470" t="e">
        <f ca="1">IFERROR(计算区域!AL472,NA())</f>
        <v>#N/A</v>
      </c>
      <c r="E470" t="e">
        <f ca="1">IFERROR(计算区域!AM472,NA())</f>
        <v>#N/A</v>
      </c>
      <c r="G470" t="e">
        <f ca="1">IFERROR(计算区域!AD472,NA())</f>
        <v>#N/A</v>
      </c>
      <c r="H470" t="e">
        <f ca="1">IFERROR(计算区域!AE472,NA())</f>
        <v>#N/A</v>
      </c>
      <c r="I470" t="e">
        <f ca="1">IFERROR(计算区域!AF472,NA())</f>
        <v>#N/A</v>
      </c>
      <c r="J470" t="e">
        <f ca="1">IFERROR(计算区域!AG472,NA())</f>
        <v>#N/A</v>
      </c>
      <c r="L470" t="e">
        <f ca="1">IFERROR(计算区域!L472,NA())</f>
        <v>#N/A</v>
      </c>
      <c r="M470" t="e">
        <f ca="1">IFERROR(计算区域!M472,NA())</f>
        <v>#N/A</v>
      </c>
      <c r="N470" t="e">
        <f ca="1">IFERROR(计算区域!N472,NA())</f>
        <v>#N/A</v>
      </c>
      <c r="O470" t="e">
        <f ca="1">IFERROR(计算区域!O472,NA())</f>
        <v>#N/A</v>
      </c>
      <c r="Q470" t="e">
        <f ca="1">IFERROR(计算区域!R472,NA())</f>
        <v>#N/A</v>
      </c>
      <c r="R470" t="e">
        <f ca="1">IFERROR(计算区域!S472,NA())</f>
        <v>#N/A</v>
      </c>
      <c r="S470" t="e">
        <f ca="1">IFERROR(计算区域!T472,NA())</f>
        <v>#N/A</v>
      </c>
      <c r="T470" t="e">
        <f ca="1">IFERROR(计算区域!U472,NA())</f>
        <v>#N/A</v>
      </c>
      <c r="V470" t="e">
        <f ca="1">IFERROR(计算区域!X472,NA())</f>
        <v>#N/A</v>
      </c>
      <c r="W470" t="e">
        <f ca="1">IFERROR(计算区域!Y472,NA())</f>
        <v>#N/A</v>
      </c>
      <c r="X470" t="e">
        <f ca="1">IFERROR(计算区域!Z472,NA())</f>
        <v>#N/A</v>
      </c>
      <c r="Y470" t="e">
        <f ca="1">IFERROR(计算区域!AA472,NA())</f>
        <v>#N/A</v>
      </c>
    </row>
    <row r="471" spans="1:25" x14ac:dyDescent="0.2">
      <c r="A471" s="28">
        <f>计算区域!E473</f>
        <v>44959</v>
      </c>
      <c r="B471" t="e">
        <f ca="1">IFERROR(计算区域!AJ473,NA())</f>
        <v>#N/A</v>
      </c>
      <c r="C471" t="e">
        <f ca="1">IFERROR(计算区域!AK473,NA())</f>
        <v>#N/A</v>
      </c>
      <c r="D471" t="e">
        <f ca="1">IFERROR(计算区域!AL473,NA())</f>
        <v>#N/A</v>
      </c>
      <c r="E471" t="e">
        <f ca="1">IFERROR(计算区域!AM473,NA())</f>
        <v>#N/A</v>
      </c>
      <c r="G471" t="e">
        <f ca="1">IFERROR(计算区域!AD473,NA())</f>
        <v>#N/A</v>
      </c>
      <c r="H471" t="e">
        <f ca="1">IFERROR(计算区域!AE473,NA())</f>
        <v>#N/A</v>
      </c>
      <c r="I471" t="e">
        <f ca="1">IFERROR(计算区域!AF473,NA())</f>
        <v>#N/A</v>
      </c>
      <c r="J471" t="e">
        <f ca="1">IFERROR(计算区域!AG473,NA())</f>
        <v>#N/A</v>
      </c>
      <c r="L471" t="e">
        <f ca="1">IFERROR(计算区域!L473,NA())</f>
        <v>#N/A</v>
      </c>
      <c r="M471" t="e">
        <f ca="1">IFERROR(计算区域!M473,NA())</f>
        <v>#N/A</v>
      </c>
      <c r="N471" t="e">
        <f ca="1">IFERROR(计算区域!N473,NA())</f>
        <v>#N/A</v>
      </c>
      <c r="O471" t="e">
        <f ca="1">IFERROR(计算区域!O473,NA())</f>
        <v>#N/A</v>
      </c>
      <c r="Q471" t="e">
        <f ca="1">IFERROR(计算区域!R473,NA())</f>
        <v>#N/A</v>
      </c>
      <c r="R471" t="e">
        <f ca="1">IFERROR(计算区域!S473,NA())</f>
        <v>#N/A</v>
      </c>
      <c r="S471" t="e">
        <f ca="1">IFERROR(计算区域!T473,NA())</f>
        <v>#N/A</v>
      </c>
      <c r="T471" t="e">
        <f ca="1">IFERROR(计算区域!U473,NA())</f>
        <v>#N/A</v>
      </c>
      <c r="V471" t="e">
        <f ca="1">IFERROR(计算区域!X473,NA())</f>
        <v>#N/A</v>
      </c>
      <c r="W471" t="e">
        <f ca="1">IFERROR(计算区域!Y473,NA())</f>
        <v>#N/A</v>
      </c>
      <c r="X471" t="e">
        <f ca="1">IFERROR(计算区域!Z473,NA())</f>
        <v>#N/A</v>
      </c>
      <c r="Y471" t="e">
        <f ca="1">IFERROR(计算区域!AA473,NA())</f>
        <v>#N/A</v>
      </c>
    </row>
    <row r="472" spans="1:25" x14ac:dyDescent="0.2">
      <c r="A472" s="28">
        <f>计算区域!E474</f>
        <v>44958</v>
      </c>
      <c r="B472" t="e">
        <f ca="1">IFERROR(计算区域!AJ474,NA())</f>
        <v>#N/A</v>
      </c>
      <c r="C472" t="e">
        <f ca="1">IFERROR(计算区域!AK474,NA())</f>
        <v>#N/A</v>
      </c>
      <c r="D472" t="e">
        <f ca="1">IFERROR(计算区域!AL474,NA())</f>
        <v>#N/A</v>
      </c>
      <c r="E472" t="e">
        <f ca="1">IFERROR(计算区域!AM474,NA())</f>
        <v>#N/A</v>
      </c>
      <c r="G472" t="e">
        <f ca="1">IFERROR(计算区域!AD474,NA())</f>
        <v>#N/A</v>
      </c>
      <c r="H472" t="e">
        <f ca="1">IFERROR(计算区域!AE474,NA())</f>
        <v>#N/A</v>
      </c>
      <c r="I472" t="e">
        <f ca="1">IFERROR(计算区域!AF474,NA())</f>
        <v>#N/A</v>
      </c>
      <c r="J472" t="e">
        <f ca="1">IFERROR(计算区域!AG474,NA())</f>
        <v>#N/A</v>
      </c>
      <c r="L472" t="e">
        <f ca="1">IFERROR(计算区域!L474,NA())</f>
        <v>#N/A</v>
      </c>
      <c r="M472" t="e">
        <f ca="1">IFERROR(计算区域!M474,NA())</f>
        <v>#N/A</v>
      </c>
      <c r="N472" t="e">
        <f ca="1">IFERROR(计算区域!N474,NA())</f>
        <v>#N/A</v>
      </c>
      <c r="O472" t="e">
        <f ca="1">IFERROR(计算区域!O474,NA())</f>
        <v>#N/A</v>
      </c>
      <c r="Q472" t="e">
        <f ca="1">IFERROR(计算区域!R474,NA())</f>
        <v>#N/A</v>
      </c>
      <c r="R472" t="e">
        <f ca="1">IFERROR(计算区域!S474,NA())</f>
        <v>#N/A</v>
      </c>
      <c r="S472" t="e">
        <f ca="1">IFERROR(计算区域!T474,NA())</f>
        <v>#N/A</v>
      </c>
      <c r="T472" t="e">
        <f ca="1">IFERROR(计算区域!U474,NA())</f>
        <v>#N/A</v>
      </c>
      <c r="V472" t="e">
        <f ca="1">IFERROR(计算区域!X474,NA())</f>
        <v>#N/A</v>
      </c>
      <c r="W472" t="e">
        <f ca="1">IFERROR(计算区域!Y474,NA())</f>
        <v>#N/A</v>
      </c>
      <c r="X472" t="e">
        <f ca="1">IFERROR(计算区域!Z474,NA())</f>
        <v>#N/A</v>
      </c>
      <c r="Y472" t="e">
        <f ca="1">IFERROR(计算区域!AA474,NA())</f>
        <v>#N/A</v>
      </c>
    </row>
    <row r="473" spans="1:25" x14ac:dyDescent="0.2">
      <c r="A473" s="28">
        <f>计算区域!E475</f>
        <v>44957</v>
      </c>
      <c r="B473" t="e">
        <f ca="1">IFERROR(计算区域!AJ475,NA())</f>
        <v>#N/A</v>
      </c>
      <c r="C473" t="e">
        <f ca="1">IFERROR(计算区域!AK475,NA())</f>
        <v>#N/A</v>
      </c>
      <c r="D473" t="e">
        <f ca="1">IFERROR(计算区域!AL475,NA())</f>
        <v>#N/A</v>
      </c>
      <c r="E473" t="e">
        <f ca="1">IFERROR(计算区域!AM475,NA())</f>
        <v>#N/A</v>
      </c>
      <c r="G473" t="e">
        <f ca="1">IFERROR(计算区域!AD475,NA())</f>
        <v>#N/A</v>
      </c>
      <c r="H473" t="e">
        <f ca="1">IFERROR(计算区域!AE475,NA())</f>
        <v>#N/A</v>
      </c>
      <c r="I473" t="e">
        <f ca="1">IFERROR(计算区域!AF475,NA())</f>
        <v>#N/A</v>
      </c>
      <c r="J473" t="e">
        <f ca="1">IFERROR(计算区域!AG475,NA())</f>
        <v>#N/A</v>
      </c>
      <c r="L473" t="e">
        <f ca="1">IFERROR(计算区域!L475,NA())</f>
        <v>#N/A</v>
      </c>
      <c r="M473" t="e">
        <f ca="1">IFERROR(计算区域!M475,NA())</f>
        <v>#N/A</v>
      </c>
      <c r="N473" t="e">
        <f ca="1">IFERROR(计算区域!N475,NA())</f>
        <v>#N/A</v>
      </c>
      <c r="O473" t="e">
        <f ca="1">IFERROR(计算区域!O475,NA())</f>
        <v>#N/A</v>
      </c>
      <c r="Q473" t="e">
        <f ca="1">IFERROR(计算区域!R475,NA())</f>
        <v>#N/A</v>
      </c>
      <c r="R473" t="e">
        <f ca="1">IFERROR(计算区域!S475,NA())</f>
        <v>#N/A</v>
      </c>
      <c r="S473" t="e">
        <f ca="1">IFERROR(计算区域!T475,NA())</f>
        <v>#N/A</v>
      </c>
      <c r="T473" t="e">
        <f ca="1">IFERROR(计算区域!U475,NA())</f>
        <v>#N/A</v>
      </c>
      <c r="V473" t="e">
        <f ca="1">IFERROR(计算区域!X475,NA())</f>
        <v>#N/A</v>
      </c>
      <c r="W473" t="e">
        <f ca="1">IFERROR(计算区域!Y475,NA())</f>
        <v>#N/A</v>
      </c>
      <c r="X473" t="e">
        <f ca="1">IFERROR(计算区域!Z475,NA())</f>
        <v>#N/A</v>
      </c>
      <c r="Y473" t="e">
        <f ca="1">IFERROR(计算区域!AA475,NA())</f>
        <v>#N/A</v>
      </c>
    </row>
    <row r="474" spans="1:25" x14ac:dyDescent="0.2">
      <c r="A474" s="28">
        <f>计算区域!E476</f>
        <v>44956</v>
      </c>
      <c r="B474" t="e">
        <f ca="1">IFERROR(计算区域!AJ476,NA())</f>
        <v>#N/A</v>
      </c>
      <c r="C474" t="e">
        <f ca="1">IFERROR(计算区域!AK476,NA())</f>
        <v>#N/A</v>
      </c>
      <c r="D474" t="e">
        <f ca="1">IFERROR(计算区域!AL476,NA())</f>
        <v>#N/A</v>
      </c>
      <c r="E474" t="e">
        <f ca="1">IFERROR(计算区域!AM476,NA())</f>
        <v>#N/A</v>
      </c>
      <c r="G474" t="e">
        <f ca="1">IFERROR(计算区域!AD476,NA())</f>
        <v>#N/A</v>
      </c>
      <c r="H474" t="e">
        <f ca="1">IFERROR(计算区域!AE476,NA())</f>
        <v>#N/A</v>
      </c>
      <c r="I474" t="e">
        <f ca="1">IFERROR(计算区域!AF476,NA())</f>
        <v>#N/A</v>
      </c>
      <c r="J474" t="e">
        <f ca="1">IFERROR(计算区域!AG476,NA())</f>
        <v>#N/A</v>
      </c>
      <c r="L474" t="e">
        <f ca="1">IFERROR(计算区域!L476,NA())</f>
        <v>#N/A</v>
      </c>
      <c r="M474" t="e">
        <f ca="1">IFERROR(计算区域!M476,NA())</f>
        <v>#N/A</v>
      </c>
      <c r="N474" t="e">
        <f ca="1">IFERROR(计算区域!N476,NA())</f>
        <v>#N/A</v>
      </c>
      <c r="O474" t="e">
        <f ca="1">IFERROR(计算区域!O476,NA())</f>
        <v>#N/A</v>
      </c>
      <c r="Q474" t="e">
        <f ca="1">IFERROR(计算区域!R476,NA())</f>
        <v>#N/A</v>
      </c>
      <c r="R474" t="e">
        <f ca="1">IFERROR(计算区域!S476,NA())</f>
        <v>#N/A</v>
      </c>
      <c r="S474" t="e">
        <f ca="1">IFERROR(计算区域!T476,NA())</f>
        <v>#N/A</v>
      </c>
      <c r="T474" t="e">
        <f ca="1">IFERROR(计算区域!U476,NA())</f>
        <v>#N/A</v>
      </c>
      <c r="V474" t="e">
        <f ca="1">IFERROR(计算区域!X476,NA())</f>
        <v>#N/A</v>
      </c>
      <c r="W474" t="e">
        <f ca="1">IFERROR(计算区域!Y476,NA())</f>
        <v>#N/A</v>
      </c>
      <c r="X474" t="e">
        <f ca="1">IFERROR(计算区域!Z476,NA())</f>
        <v>#N/A</v>
      </c>
      <c r="Y474" t="e">
        <f ca="1">IFERROR(计算区域!AA476,NA())</f>
        <v>#N/A</v>
      </c>
    </row>
    <row r="475" spans="1:25" x14ac:dyDescent="0.2">
      <c r="A475" s="28">
        <f>计算区域!E477</f>
        <v>44946</v>
      </c>
      <c r="B475" t="e">
        <f ca="1">IFERROR(计算区域!AJ477,NA())</f>
        <v>#N/A</v>
      </c>
      <c r="C475" t="e">
        <f ca="1">IFERROR(计算区域!AK477,NA())</f>
        <v>#N/A</v>
      </c>
      <c r="D475" t="e">
        <f ca="1">IFERROR(计算区域!AL477,NA())</f>
        <v>#N/A</v>
      </c>
      <c r="E475" t="e">
        <f ca="1">IFERROR(计算区域!AM477,NA())</f>
        <v>#N/A</v>
      </c>
      <c r="G475" t="e">
        <f ca="1">IFERROR(计算区域!AD477,NA())</f>
        <v>#N/A</v>
      </c>
      <c r="H475" t="e">
        <f ca="1">IFERROR(计算区域!AE477,NA())</f>
        <v>#N/A</v>
      </c>
      <c r="I475" t="e">
        <f ca="1">IFERROR(计算区域!AF477,NA())</f>
        <v>#N/A</v>
      </c>
      <c r="J475" t="e">
        <f ca="1">IFERROR(计算区域!AG477,NA())</f>
        <v>#N/A</v>
      </c>
      <c r="L475" t="e">
        <f ca="1">IFERROR(计算区域!L477,NA())</f>
        <v>#N/A</v>
      </c>
      <c r="M475" t="e">
        <f ca="1">IFERROR(计算区域!M477,NA())</f>
        <v>#N/A</v>
      </c>
      <c r="N475" t="e">
        <f ca="1">IFERROR(计算区域!N477,NA())</f>
        <v>#N/A</v>
      </c>
      <c r="O475" t="e">
        <f ca="1">IFERROR(计算区域!O477,NA())</f>
        <v>#N/A</v>
      </c>
      <c r="Q475" t="e">
        <f ca="1">IFERROR(计算区域!R477,NA())</f>
        <v>#N/A</v>
      </c>
      <c r="R475" t="e">
        <f ca="1">IFERROR(计算区域!S477,NA())</f>
        <v>#N/A</v>
      </c>
      <c r="S475" t="e">
        <f ca="1">IFERROR(计算区域!T477,NA())</f>
        <v>#N/A</v>
      </c>
      <c r="T475" t="e">
        <f ca="1">IFERROR(计算区域!U477,NA())</f>
        <v>#N/A</v>
      </c>
      <c r="V475" t="e">
        <f ca="1">IFERROR(计算区域!X477,NA())</f>
        <v>#N/A</v>
      </c>
      <c r="W475" t="e">
        <f ca="1">IFERROR(计算区域!Y477,NA())</f>
        <v>#N/A</v>
      </c>
      <c r="X475" t="e">
        <f ca="1">IFERROR(计算区域!Z477,NA())</f>
        <v>#N/A</v>
      </c>
      <c r="Y475" t="e">
        <f ca="1">IFERROR(计算区域!AA477,NA())</f>
        <v>#N/A</v>
      </c>
    </row>
    <row r="476" spans="1:25" x14ac:dyDescent="0.2">
      <c r="A476" s="28">
        <f>计算区域!E478</f>
        <v>44945</v>
      </c>
      <c r="B476" t="e">
        <f ca="1">IFERROR(计算区域!AJ478,NA())</f>
        <v>#N/A</v>
      </c>
      <c r="C476" t="e">
        <f ca="1">IFERROR(计算区域!AK478,NA())</f>
        <v>#N/A</v>
      </c>
      <c r="D476" t="e">
        <f ca="1">IFERROR(计算区域!AL478,NA())</f>
        <v>#N/A</v>
      </c>
      <c r="E476" t="e">
        <f ca="1">IFERROR(计算区域!AM478,NA())</f>
        <v>#N/A</v>
      </c>
      <c r="G476" t="e">
        <f ca="1">IFERROR(计算区域!AD478,NA())</f>
        <v>#N/A</v>
      </c>
      <c r="H476" t="e">
        <f ca="1">IFERROR(计算区域!AE478,NA())</f>
        <v>#N/A</v>
      </c>
      <c r="I476" t="e">
        <f ca="1">IFERROR(计算区域!AF478,NA())</f>
        <v>#N/A</v>
      </c>
      <c r="J476" t="e">
        <f ca="1">IFERROR(计算区域!AG478,NA())</f>
        <v>#N/A</v>
      </c>
      <c r="L476" t="e">
        <f ca="1">IFERROR(计算区域!L478,NA())</f>
        <v>#N/A</v>
      </c>
      <c r="M476" t="e">
        <f ca="1">IFERROR(计算区域!M478,NA())</f>
        <v>#N/A</v>
      </c>
      <c r="N476" t="e">
        <f ca="1">IFERROR(计算区域!N478,NA())</f>
        <v>#N/A</v>
      </c>
      <c r="O476" t="e">
        <f ca="1">IFERROR(计算区域!O478,NA())</f>
        <v>#N/A</v>
      </c>
      <c r="Q476" t="e">
        <f ca="1">IFERROR(计算区域!R478,NA())</f>
        <v>#N/A</v>
      </c>
      <c r="R476" t="e">
        <f ca="1">IFERROR(计算区域!S478,NA())</f>
        <v>#N/A</v>
      </c>
      <c r="S476" t="e">
        <f ca="1">IFERROR(计算区域!T478,NA())</f>
        <v>#N/A</v>
      </c>
      <c r="T476" t="e">
        <f ca="1">IFERROR(计算区域!U478,NA())</f>
        <v>#N/A</v>
      </c>
      <c r="V476" t="e">
        <f ca="1">IFERROR(计算区域!X478,NA())</f>
        <v>#N/A</v>
      </c>
      <c r="W476" t="e">
        <f ca="1">IFERROR(计算区域!Y478,NA())</f>
        <v>#N/A</v>
      </c>
      <c r="X476" t="e">
        <f ca="1">IFERROR(计算区域!Z478,NA())</f>
        <v>#N/A</v>
      </c>
      <c r="Y476" t="e">
        <f ca="1">IFERROR(计算区域!AA478,NA())</f>
        <v>#N/A</v>
      </c>
    </row>
    <row r="477" spans="1:25" x14ac:dyDescent="0.2">
      <c r="A477" s="28">
        <f>计算区域!E479</f>
        <v>44944</v>
      </c>
      <c r="B477" t="e">
        <f ca="1">IFERROR(计算区域!AJ479,NA())</f>
        <v>#N/A</v>
      </c>
      <c r="C477" t="e">
        <f ca="1">IFERROR(计算区域!AK479,NA())</f>
        <v>#N/A</v>
      </c>
      <c r="D477" t="e">
        <f ca="1">IFERROR(计算区域!AL479,NA())</f>
        <v>#N/A</v>
      </c>
      <c r="E477" t="e">
        <f ca="1">IFERROR(计算区域!AM479,NA())</f>
        <v>#N/A</v>
      </c>
      <c r="G477" t="e">
        <f ca="1">IFERROR(计算区域!AD479,NA())</f>
        <v>#N/A</v>
      </c>
      <c r="H477" t="e">
        <f ca="1">IFERROR(计算区域!AE479,NA())</f>
        <v>#N/A</v>
      </c>
      <c r="I477" t="e">
        <f ca="1">IFERROR(计算区域!AF479,NA())</f>
        <v>#N/A</v>
      </c>
      <c r="J477" t="e">
        <f ca="1">IFERROR(计算区域!AG479,NA())</f>
        <v>#N/A</v>
      </c>
      <c r="L477" t="e">
        <f ca="1">IFERROR(计算区域!L479,NA())</f>
        <v>#N/A</v>
      </c>
      <c r="M477" t="e">
        <f ca="1">IFERROR(计算区域!M479,NA())</f>
        <v>#N/A</v>
      </c>
      <c r="N477" t="e">
        <f ca="1">IFERROR(计算区域!N479,NA())</f>
        <v>#N/A</v>
      </c>
      <c r="O477" t="e">
        <f ca="1">IFERROR(计算区域!O479,NA())</f>
        <v>#N/A</v>
      </c>
      <c r="Q477" t="e">
        <f ca="1">IFERROR(计算区域!R479,NA())</f>
        <v>#N/A</v>
      </c>
      <c r="R477" t="e">
        <f ca="1">IFERROR(计算区域!S479,NA())</f>
        <v>#N/A</v>
      </c>
      <c r="S477" t="e">
        <f ca="1">IFERROR(计算区域!T479,NA())</f>
        <v>#N/A</v>
      </c>
      <c r="T477" t="e">
        <f ca="1">IFERROR(计算区域!U479,NA())</f>
        <v>#N/A</v>
      </c>
      <c r="V477" t="e">
        <f ca="1">IFERROR(计算区域!X479,NA())</f>
        <v>#N/A</v>
      </c>
      <c r="W477" t="e">
        <f ca="1">IFERROR(计算区域!Y479,NA())</f>
        <v>#N/A</v>
      </c>
      <c r="X477" t="e">
        <f ca="1">IFERROR(计算区域!Z479,NA())</f>
        <v>#N/A</v>
      </c>
      <c r="Y477" t="e">
        <f ca="1">IFERROR(计算区域!AA479,NA())</f>
        <v>#N/A</v>
      </c>
    </row>
    <row r="478" spans="1:25" x14ac:dyDescent="0.2">
      <c r="A478" s="28">
        <f>计算区域!E480</f>
        <v>44943</v>
      </c>
      <c r="B478" t="e">
        <f ca="1">IFERROR(计算区域!AJ480,NA())</f>
        <v>#N/A</v>
      </c>
      <c r="C478" t="e">
        <f ca="1">IFERROR(计算区域!AK480,NA())</f>
        <v>#N/A</v>
      </c>
      <c r="D478" t="e">
        <f ca="1">IFERROR(计算区域!AL480,NA())</f>
        <v>#N/A</v>
      </c>
      <c r="E478" t="e">
        <f ca="1">IFERROR(计算区域!AM480,NA())</f>
        <v>#N/A</v>
      </c>
      <c r="G478" t="e">
        <f ca="1">IFERROR(计算区域!AD480,NA())</f>
        <v>#N/A</v>
      </c>
      <c r="H478" t="e">
        <f ca="1">IFERROR(计算区域!AE480,NA())</f>
        <v>#N/A</v>
      </c>
      <c r="I478" t="e">
        <f ca="1">IFERROR(计算区域!AF480,NA())</f>
        <v>#N/A</v>
      </c>
      <c r="J478" t="e">
        <f ca="1">IFERROR(计算区域!AG480,NA())</f>
        <v>#N/A</v>
      </c>
      <c r="L478" t="e">
        <f ca="1">IFERROR(计算区域!L480,NA())</f>
        <v>#N/A</v>
      </c>
      <c r="M478" t="e">
        <f ca="1">IFERROR(计算区域!M480,NA())</f>
        <v>#N/A</v>
      </c>
      <c r="N478" t="e">
        <f ca="1">IFERROR(计算区域!N480,NA())</f>
        <v>#N/A</v>
      </c>
      <c r="O478" t="e">
        <f ca="1">IFERROR(计算区域!O480,NA())</f>
        <v>#N/A</v>
      </c>
      <c r="Q478" t="e">
        <f ca="1">IFERROR(计算区域!R480,NA())</f>
        <v>#N/A</v>
      </c>
      <c r="R478" t="e">
        <f ca="1">IFERROR(计算区域!S480,NA())</f>
        <v>#N/A</v>
      </c>
      <c r="S478" t="e">
        <f ca="1">IFERROR(计算区域!T480,NA())</f>
        <v>#N/A</v>
      </c>
      <c r="T478" t="e">
        <f ca="1">IFERROR(计算区域!U480,NA())</f>
        <v>#N/A</v>
      </c>
      <c r="V478" t="e">
        <f ca="1">IFERROR(计算区域!X480,NA())</f>
        <v>#N/A</v>
      </c>
      <c r="W478" t="e">
        <f ca="1">IFERROR(计算区域!Y480,NA())</f>
        <v>#N/A</v>
      </c>
      <c r="X478" t="e">
        <f ca="1">IFERROR(计算区域!Z480,NA())</f>
        <v>#N/A</v>
      </c>
      <c r="Y478" t="e">
        <f ca="1">IFERROR(计算区域!AA480,NA())</f>
        <v>#N/A</v>
      </c>
    </row>
    <row r="479" spans="1:25" x14ac:dyDescent="0.2">
      <c r="A479" s="28">
        <f>计算区域!E481</f>
        <v>44942</v>
      </c>
      <c r="B479" t="e">
        <f ca="1">IFERROR(计算区域!AJ481,NA())</f>
        <v>#N/A</v>
      </c>
      <c r="C479" t="e">
        <f ca="1">IFERROR(计算区域!AK481,NA())</f>
        <v>#N/A</v>
      </c>
      <c r="D479" t="e">
        <f ca="1">IFERROR(计算区域!AL481,NA())</f>
        <v>#N/A</v>
      </c>
      <c r="E479" t="e">
        <f ca="1">IFERROR(计算区域!AM481,NA())</f>
        <v>#N/A</v>
      </c>
      <c r="G479" t="e">
        <f ca="1">IFERROR(计算区域!AD481,NA())</f>
        <v>#N/A</v>
      </c>
      <c r="H479" t="e">
        <f ca="1">IFERROR(计算区域!AE481,NA())</f>
        <v>#N/A</v>
      </c>
      <c r="I479" t="e">
        <f ca="1">IFERROR(计算区域!AF481,NA())</f>
        <v>#N/A</v>
      </c>
      <c r="J479" t="e">
        <f ca="1">IFERROR(计算区域!AG481,NA())</f>
        <v>#N/A</v>
      </c>
      <c r="L479" t="e">
        <f ca="1">IFERROR(计算区域!L481,NA())</f>
        <v>#N/A</v>
      </c>
      <c r="M479" t="e">
        <f ca="1">IFERROR(计算区域!M481,NA())</f>
        <v>#N/A</v>
      </c>
      <c r="N479" t="e">
        <f ca="1">IFERROR(计算区域!N481,NA())</f>
        <v>#N/A</v>
      </c>
      <c r="O479" t="e">
        <f ca="1">IFERROR(计算区域!O481,NA())</f>
        <v>#N/A</v>
      </c>
      <c r="Q479" t="e">
        <f ca="1">IFERROR(计算区域!R481,NA())</f>
        <v>#N/A</v>
      </c>
      <c r="R479" t="e">
        <f ca="1">IFERROR(计算区域!S481,NA())</f>
        <v>#N/A</v>
      </c>
      <c r="S479" t="e">
        <f ca="1">IFERROR(计算区域!T481,NA())</f>
        <v>#N/A</v>
      </c>
      <c r="T479" t="e">
        <f ca="1">IFERROR(计算区域!U481,NA())</f>
        <v>#N/A</v>
      </c>
      <c r="V479" t="e">
        <f ca="1">IFERROR(计算区域!X481,NA())</f>
        <v>#N/A</v>
      </c>
      <c r="W479" t="e">
        <f ca="1">IFERROR(计算区域!Y481,NA())</f>
        <v>#N/A</v>
      </c>
      <c r="X479" t="e">
        <f ca="1">IFERROR(计算区域!Z481,NA())</f>
        <v>#N/A</v>
      </c>
      <c r="Y479" t="e">
        <f ca="1">IFERROR(计算区域!AA481,NA())</f>
        <v>#N/A</v>
      </c>
    </row>
    <row r="480" spans="1:25" x14ac:dyDescent="0.2">
      <c r="A480" s="28">
        <f>计算区域!E482</f>
        <v>44939</v>
      </c>
      <c r="B480" t="e">
        <f ca="1">IFERROR(计算区域!AJ482,NA())</f>
        <v>#N/A</v>
      </c>
      <c r="C480" t="e">
        <f ca="1">IFERROR(计算区域!AK482,NA())</f>
        <v>#N/A</v>
      </c>
      <c r="D480" t="e">
        <f ca="1">IFERROR(计算区域!AL482,NA())</f>
        <v>#N/A</v>
      </c>
      <c r="E480" t="e">
        <f ca="1">IFERROR(计算区域!AM482,NA())</f>
        <v>#N/A</v>
      </c>
      <c r="G480" t="e">
        <f ca="1">IFERROR(计算区域!AD482,NA())</f>
        <v>#N/A</v>
      </c>
      <c r="H480" t="e">
        <f ca="1">IFERROR(计算区域!AE482,NA())</f>
        <v>#N/A</v>
      </c>
      <c r="I480" t="e">
        <f ca="1">IFERROR(计算区域!AF482,NA())</f>
        <v>#N/A</v>
      </c>
      <c r="J480" t="e">
        <f ca="1">IFERROR(计算区域!AG482,NA())</f>
        <v>#N/A</v>
      </c>
      <c r="L480" t="e">
        <f ca="1">IFERROR(计算区域!L482,NA())</f>
        <v>#N/A</v>
      </c>
      <c r="M480" t="e">
        <f ca="1">IFERROR(计算区域!M482,NA())</f>
        <v>#N/A</v>
      </c>
      <c r="N480" t="e">
        <f ca="1">IFERROR(计算区域!N482,NA())</f>
        <v>#N/A</v>
      </c>
      <c r="O480" t="e">
        <f ca="1">IFERROR(计算区域!O482,NA())</f>
        <v>#N/A</v>
      </c>
      <c r="Q480" t="e">
        <f ca="1">IFERROR(计算区域!R482,NA())</f>
        <v>#N/A</v>
      </c>
      <c r="R480" t="e">
        <f ca="1">IFERROR(计算区域!S482,NA())</f>
        <v>#N/A</v>
      </c>
      <c r="S480" t="e">
        <f ca="1">IFERROR(计算区域!T482,NA())</f>
        <v>#N/A</v>
      </c>
      <c r="T480" t="e">
        <f ca="1">IFERROR(计算区域!U482,NA())</f>
        <v>#N/A</v>
      </c>
      <c r="V480" t="e">
        <f ca="1">IFERROR(计算区域!X482,NA())</f>
        <v>#N/A</v>
      </c>
      <c r="W480" t="e">
        <f ca="1">IFERROR(计算区域!Y482,NA())</f>
        <v>#N/A</v>
      </c>
      <c r="X480" t="e">
        <f ca="1">IFERROR(计算区域!Z482,NA())</f>
        <v>#N/A</v>
      </c>
      <c r="Y480" t="e">
        <f ca="1">IFERROR(计算区域!AA482,NA())</f>
        <v>#N/A</v>
      </c>
    </row>
    <row r="481" spans="1:25" x14ac:dyDescent="0.2">
      <c r="A481" s="28">
        <f>计算区域!E483</f>
        <v>44938</v>
      </c>
      <c r="B481" t="e">
        <f ca="1">IFERROR(计算区域!AJ483,NA())</f>
        <v>#N/A</v>
      </c>
      <c r="C481" t="e">
        <f ca="1">IFERROR(计算区域!AK483,NA())</f>
        <v>#N/A</v>
      </c>
      <c r="D481" t="e">
        <f ca="1">IFERROR(计算区域!AL483,NA())</f>
        <v>#N/A</v>
      </c>
      <c r="E481" t="e">
        <f ca="1">IFERROR(计算区域!AM483,NA())</f>
        <v>#N/A</v>
      </c>
      <c r="G481" t="e">
        <f ca="1">IFERROR(计算区域!AD483,NA())</f>
        <v>#N/A</v>
      </c>
      <c r="H481" t="e">
        <f ca="1">IFERROR(计算区域!AE483,NA())</f>
        <v>#N/A</v>
      </c>
      <c r="I481" t="e">
        <f ca="1">IFERROR(计算区域!AF483,NA())</f>
        <v>#N/A</v>
      </c>
      <c r="J481" t="e">
        <f ca="1">IFERROR(计算区域!AG483,NA())</f>
        <v>#N/A</v>
      </c>
      <c r="L481" t="e">
        <f ca="1">IFERROR(计算区域!L483,NA())</f>
        <v>#N/A</v>
      </c>
      <c r="M481" t="e">
        <f ca="1">IFERROR(计算区域!M483,NA())</f>
        <v>#N/A</v>
      </c>
      <c r="N481" t="e">
        <f ca="1">IFERROR(计算区域!N483,NA())</f>
        <v>#N/A</v>
      </c>
      <c r="O481" t="e">
        <f ca="1">IFERROR(计算区域!O483,NA())</f>
        <v>#N/A</v>
      </c>
      <c r="Q481" t="e">
        <f ca="1">IFERROR(计算区域!R483,NA())</f>
        <v>#N/A</v>
      </c>
      <c r="R481" t="e">
        <f ca="1">IFERROR(计算区域!S483,NA())</f>
        <v>#N/A</v>
      </c>
      <c r="S481" t="e">
        <f ca="1">IFERROR(计算区域!T483,NA())</f>
        <v>#N/A</v>
      </c>
      <c r="T481" t="e">
        <f ca="1">IFERROR(计算区域!U483,NA())</f>
        <v>#N/A</v>
      </c>
      <c r="V481" t="e">
        <f ca="1">IFERROR(计算区域!X483,NA())</f>
        <v>#N/A</v>
      </c>
      <c r="W481" t="e">
        <f ca="1">IFERROR(计算区域!Y483,NA())</f>
        <v>#N/A</v>
      </c>
      <c r="X481" t="e">
        <f ca="1">IFERROR(计算区域!Z483,NA())</f>
        <v>#N/A</v>
      </c>
      <c r="Y481" t="e">
        <f ca="1">IFERROR(计算区域!AA483,NA())</f>
        <v>#N/A</v>
      </c>
    </row>
    <row r="482" spans="1:25" x14ac:dyDescent="0.2">
      <c r="A482" s="28">
        <f>计算区域!E484</f>
        <v>44937</v>
      </c>
      <c r="B482" t="e">
        <f ca="1">IFERROR(计算区域!AJ484,NA())</f>
        <v>#N/A</v>
      </c>
      <c r="C482" t="e">
        <f ca="1">IFERROR(计算区域!AK484,NA())</f>
        <v>#N/A</v>
      </c>
      <c r="D482" t="e">
        <f ca="1">IFERROR(计算区域!AL484,NA())</f>
        <v>#N/A</v>
      </c>
      <c r="E482" t="e">
        <f ca="1">IFERROR(计算区域!AM484,NA())</f>
        <v>#N/A</v>
      </c>
      <c r="G482" t="e">
        <f ca="1">IFERROR(计算区域!AD484,NA())</f>
        <v>#N/A</v>
      </c>
      <c r="H482" t="e">
        <f ca="1">IFERROR(计算区域!AE484,NA())</f>
        <v>#N/A</v>
      </c>
      <c r="I482" t="e">
        <f ca="1">IFERROR(计算区域!AF484,NA())</f>
        <v>#N/A</v>
      </c>
      <c r="J482" t="e">
        <f ca="1">IFERROR(计算区域!AG484,NA())</f>
        <v>#N/A</v>
      </c>
      <c r="L482" t="e">
        <f ca="1">IFERROR(计算区域!L484,NA())</f>
        <v>#N/A</v>
      </c>
      <c r="M482" t="e">
        <f ca="1">IFERROR(计算区域!M484,NA())</f>
        <v>#N/A</v>
      </c>
      <c r="N482" t="e">
        <f ca="1">IFERROR(计算区域!N484,NA())</f>
        <v>#N/A</v>
      </c>
      <c r="O482" t="e">
        <f ca="1">IFERROR(计算区域!O484,NA())</f>
        <v>#N/A</v>
      </c>
      <c r="Q482" t="e">
        <f ca="1">IFERROR(计算区域!R484,NA())</f>
        <v>#N/A</v>
      </c>
      <c r="R482" t="e">
        <f ca="1">IFERROR(计算区域!S484,NA())</f>
        <v>#N/A</v>
      </c>
      <c r="S482" t="e">
        <f ca="1">IFERROR(计算区域!T484,NA())</f>
        <v>#N/A</v>
      </c>
      <c r="T482" t="e">
        <f ca="1">IFERROR(计算区域!U484,NA())</f>
        <v>#N/A</v>
      </c>
      <c r="V482" t="e">
        <f ca="1">IFERROR(计算区域!X484,NA())</f>
        <v>#N/A</v>
      </c>
      <c r="W482" t="e">
        <f ca="1">IFERROR(计算区域!Y484,NA())</f>
        <v>#N/A</v>
      </c>
      <c r="X482" t="e">
        <f ca="1">IFERROR(计算区域!Z484,NA())</f>
        <v>#N/A</v>
      </c>
      <c r="Y482" t="e">
        <f ca="1">IFERROR(计算区域!AA484,NA())</f>
        <v>#N/A</v>
      </c>
    </row>
    <row r="483" spans="1:25" x14ac:dyDescent="0.2">
      <c r="A483" s="28">
        <f>计算区域!E485</f>
        <v>44936</v>
      </c>
      <c r="B483" t="e">
        <f ca="1">IFERROR(计算区域!AJ485,NA())</f>
        <v>#N/A</v>
      </c>
      <c r="C483" t="e">
        <f ca="1">IFERROR(计算区域!AK485,NA())</f>
        <v>#N/A</v>
      </c>
      <c r="D483" t="e">
        <f ca="1">IFERROR(计算区域!AL485,NA())</f>
        <v>#N/A</v>
      </c>
      <c r="E483" t="e">
        <f ca="1">IFERROR(计算区域!AM485,NA())</f>
        <v>#N/A</v>
      </c>
      <c r="G483" t="e">
        <f ca="1">IFERROR(计算区域!AD485,NA())</f>
        <v>#N/A</v>
      </c>
      <c r="H483" t="e">
        <f ca="1">IFERROR(计算区域!AE485,NA())</f>
        <v>#N/A</v>
      </c>
      <c r="I483" t="e">
        <f ca="1">IFERROR(计算区域!AF485,NA())</f>
        <v>#N/A</v>
      </c>
      <c r="J483" t="e">
        <f ca="1">IFERROR(计算区域!AG485,NA())</f>
        <v>#N/A</v>
      </c>
      <c r="L483" t="e">
        <f ca="1">IFERROR(计算区域!L485,NA())</f>
        <v>#N/A</v>
      </c>
      <c r="M483" t="e">
        <f ca="1">IFERROR(计算区域!M485,NA())</f>
        <v>#N/A</v>
      </c>
      <c r="N483" t="e">
        <f ca="1">IFERROR(计算区域!N485,NA())</f>
        <v>#N/A</v>
      </c>
      <c r="O483" t="e">
        <f ca="1">IFERROR(计算区域!O485,NA())</f>
        <v>#N/A</v>
      </c>
      <c r="Q483" t="e">
        <f ca="1">IFERROR(计算区域!R485,NA())</f>
        <v>#N/A</v>
      </c>
      <c r="R483" t="e">
        <f ca="1">IFERROR(计算区域!S485,NA())</f>
        <v>#N/A</v>
      </c>
      <c r="S483" t="e">
        <f ca="1">IFERROR(计算区域!T485,NA())</f>
        <v>#N/A</v>
      </c>
      <c r="T483" t="e">
        <f ca="1">IFERROR(计算区域!U485,NA())</f>
        <v>#N/A</v>
      </c>
      <c r="V483" t="e">
        <f ca="1">IFERROR(计算区域!X485,NA())</f>
        <v>#N/A</v>
      </c>
      <c r="W483" t="e">
        <f ca="1">IFERROR(计算区域!Y485,NA())</f>
        <v>#N/A</v>
      </c>
      <c r="X483" t="e">
        <f ca="1">IFERROR(计算区域!Z485,NA())</f>
        <v>#N/A</v>
      </c>
      <c r="Y483" t="e">
        <f ca="1">IFERROR(计算区域!AA485,NA())</f>
        <v>#N/A</v>
      </c>
    </row>
    <row r="484" spans="1:25" x14ac:dyDescent="0.2">
      <c r="A484" s="28">
        <f>计算区域!E486</f>
        <v>44935</v>
      </c>
      <c r="B484" t="e">
        <f ca="1">IFERROR(计算区域!AJ486,NA())</f>
        <v>#N/A</v>
      </c>
      <c r="C484" t="e">
        <f ca="1">IFERROR(计算区域!AK486,NA())</f>
        <v>#N/A</v>
      </c>
      <c r="D484" t="e">
        <f ca="1">IFERROR(计算区域!AL486,NA())</f>
        <v>#N/A</v>
      </c>
      <c r="E484" t="e">
        <f ca="1">IFERROR(计算区域!AM486,NA())</f>
        <v>#N/A</v>
      </c>
      <c r="G484" t="e">
        <f ca="1">IFERROR(计算区域!AD486,NA())</f>
        <v>#N/A</v>
      </c>
      <c r="H484" t="e">
        <f ca="1">IFERROR(计算区域!AE486,NA())</f>
        <v>#N/A</v>
      </c>
      <c r="I484" t="e">
        <f ca="1">IFERROR(计算区域!AF486,NA())</f>
        <v>#N/A</v>
      </c>
      <c r="J484" t="e">
        <f ca="1">IFERROR(计算区域!AG486,NA())</f>
        <v>#N/A</v>
      </c>
      <c r="L484" t="e">
        <f ca="1">IFERROR(计算区域!L486,NA())</f>
        <v>#N/A</v>
      </c>
      <c r="M484" t="e">
        <f ca="1">IFERROR(计算区域!M486,NA())</f>
        <v>#N/A</v>
      </c>
      <c r="N484" t="e">
        <f ca="1">IFERROR(计算区域!N486,NA())</f>
        <v>#N/A</v>
      </c>
      <c r="O484" t="e">
        <f ca="1">IFERROR(计算区域!O486,NA())</f>
        <v>#N/A</v>
      </c>
      <c r="Q484" t="e">
        <f ca="1">IFERROR(计算区域!R486,NA())</f>
        <v>#N/A</v>
      </c>
      <c r="R484" t="e">
        <f ca="1">IFERROR(计算区域!S486,NA())</f>
        <v>#N/A</v>
      </c>
      <c r="S484" t="e">
        <f ca="1">IFERROR(计算区域!T486,NA())</f>
        <v>#N/A</v>
      </c>
      <c r="T484" t="e">
        <f ca="1">IFERROR(计算区域!U486,NA())</f>
        <v>#N/A</v>
      </c>
      <c r="V484" t="e">
        <f ca="1">IFERROR(计算区域!X486,NA())</f>
        <v>#N/A</v>
      </c>
      <c r="W484" t="e">
        <f ca="1">IFERROR(计算区域!Y486,NA())</f>
        <v>#N/A</v>
      </c>
      <c r="X484" t="e">
        <f ca="1">IFERROR(计算区域!Z486,NA())</f>
        <v>#N/A</v>
      </c>
      <c r="Y484" t="e">
        <f ca="1">IFERROR(计算区域!AA486,NA())</f>
        <v>#N/A</v>
      </c>
    </row>
    <row r="485" spans="1:25" x14ac:dyDescent="0.2">
      <c r="A485" s="28">
        <f>计算区域!E487</f>
        <v>44932</v>
      </c>
      <c r="B485" t="e">
        <f ca="1">IFERROR(计算区域!AJ487,NA())</f>
        <v>#N/A</v>
      </c>
      <c r="C485" t="e">
        <f ca="1">IFERROR(计算区域!AK487,NA())</f>
        <v>#N/A</v>
      </c>
      <c r="D485" t="e">
        <f ca="1">IFERROR(计算区域!AL487,NA())</f>
        <v>#N/A</v>
      </c>
      <c r="E485" t="e">
        <f ca="1">IFERROR(计算区域!AM487,NA())</f>
        <v>#N/A</v>
      </c>
      <c r="G485" t="e">
        <f ca="1">IFERROR(计算区域!AD487,NA())</f>
        <v>#N/A</v>
      </c>
      <c r="H485" t="e">
        <f ca="1">IFERROR(计算区域!AE487,NA())</f>
        <v>#N/A</v>
      </c>
      <c r="I485" t="e">
        <f ca="1">IFERROR(计算区域!AF487,NA())</f>
        <v>#N/A</v>
      </c>
      <c r="J485" t="e">
        <f ca="1">IFERROR(计算区域!AG487,NA())</f>
        <v>#N/A</v>
      </c>
      <c r="L485" t="e">
        <f ca="1">IFERROR(计算区域!L487,NA())</f>
        <v>#N/A</v>
      </c>
      <c r="M485" t="e">
        <f ca="1">IFERROR(计算区域!M487,NA())</f>
        <v>#N/A</v>
      </c>
      <c r="N485" t="e">
        <f ca="1">IFERROR(计算区域!N487,NA())</f>
        <v>#N/A</v>
      </c>
      <c r="O485" t="e">
        <f ca="1">IFERROR(计算区域!O487,NA())</f>
        <v>#N/A</v>
      </c>
      <c r="Q485" t="e">
        <f ca="1">IFERROR(计算区域!R487,NA())</f>
        <v>#N/A</v>
      </c>
      <c r="R485" t="e">
        <f ca="1">IFERROR(计算区域!S487,NA())</f>
        <v>#N/A</v>
      </c>
      <c r="S485" t="e">
        <f ca="1">IFERROR(计算区域!T487,NA())</f>
        <v>#N/A</v>
      </c>
      <c r="T485" t="e">
        <f ca="1">IFERROR(计算区域!U487,NA())</f>
        <v>#N/A</v>
      </c>
      <c r="V485" t="e">
        <f ca="1">IFERROR(计算区域!X487,NA())</f>
        <v>#N/A</v>
      </c>
      <c r="W485" t="e">
        <f ca="1">IFERROR(计算区域!Y487,NA())</f>
        <v>#N/A</v>
      </c>
      <c r="X485" t="e">
        <f ca="1">IFERROR(计算区域!Z487,NA())</f>
        <v>#N/A</v>
      </c>
      <c r="Y485" t="e">
        <f ca="1">IFERROR(计算区域!AA487,NA())</f>
        <v>#N/A</v>
      </c>
    </row>
    <row r="486" spans="1:25" x14ac:dyDescent="0.2">
      <c r="A486" s="28">
        <f>计算区域!E488</f>
        <v>44931</v>
      </c>
      <c r="B486" t="e">
        <f ca="1">IFERROR(计算区域!AJ488,NA())</f>
        <v>#N/A</v>
      </c>
      <c r="C486" t="e">
        <f ca="1">IFERROR(计算区域!AK488,NA())</f>
        <v>#N/A</v>
      </c>
      <c r="D486" t="e">
        <f ca="1">IFERROR(计算区域!AL488,NA())</f>
        <v>#N/A</v>
      </c>
      <c r="E486" t="e">
        <f ca="1">IFERROR(计算区域!AM488,NA())</f>
        <v>#N/A</v>
      </c>
      <c r="G486" t="e">
        <f ca="1">IFERROR(计算区域!AD488,NA())</f>
        <v>#N/A</v>
      </c>
      <c r="H486" t="e">
        <f ca="1">IFERROR(计算区域!AE488,NA())</f>
        <v>#N/A</v>
      </c>
      <c r="I486" t="e">
        <f ca="1">IFERROR(计算区域!AF488,NA())</f>
        <v>#N/A</v>
      </c>
      <c r="J486" t="e">
        <f ca="1">IFERROR(计算区域!AG488,NA())</f>
        <v>#N/A</v>
      </c>
      <c r="L486" t="e">
        <f ca="1">IFERROR(计算区域!L488,NA())</f>
        <v>#N/A</v>
      </c>
      <c r="M486" t="e">
        <f ca="1">IFERROR(计算区域!M488,NA())</f>
        <v>#N/A</v>
      </c>
      <c r="N486" t="e">
        <f ca="1">IFERROR(计算区域!N488,NA())</f>
        <v>#N/A</v>
      </c>
      <c r="O486" t="e">
        <f ca="1">IFERROR(计算区域!O488,NA())</f>
        <v>#N/A</v>
      </c>
      <c r="Q486" t="e">
        <f ca="1">IFERROR(计算区域!R488,NA())</f>
        <v>#N/A</v>
      </c>
      <c r="R486" t="e">
        <f ca="1">IFERROR(计算区域!S488,NA())</f>
        <v>#N/A</v>
      </c>
      <c r="S486" t="e">
        <f ca="1">IFERROR(计算区域!T488,NA())</f>
        <v>#N/A</v>
      </c>
      <c r="T486" t="e">
        <f ca="1">IFERROR(计算区域!U488,NA())</f>
        <v>#N/A</v>
      </c>
      <c r="V486" t="e">
        <f ca="1">IFERROR(计算区域!X488,NA())</f>
        <v>#N/A</v>
      </c>
      <c r="W486" t="e">
        <f ca="1">IFERROR(计算区域!Y488,NA())</f>
        <v>#N/A</v>
      </c>
      <c r="X486" t="e">
        <f ca="1">IFERROR(计算区域!Z488,NA())</f>
        <v>#N/A</v>
      </c>
      <c r="Y486" t="e">
        <f ca="1">IFERROR(计算区域!AA488,NA())</f>
        <v>#N/A</v>
      </c>
    </row>
    <row r="487" spans="1:25" x14ac:dyDescent="0.2">
      <c r="A487" s="28">
        <f>计算区域!E489</f>
        <v>44930</v>
      </c>
      <c r="B487" t="e">
        <f ca="1">IFERROR(计算区域!AJ489,NA())</f>
        <v>#N/A</v>
      </c>
      <c r="C487" t="e">
        <f ca="1">IFERROR(计算区域!AK489,NA())</f>
        <v>#N/A</v>
      </c>
      <c r="D487" t="e">
        <f ca="1">IFERROR(计算区域!AL489,NA())</f>
        <v>#N/A</v>
      </c>
      <c r="E487" t="e">
        <f ca="1">IFERROR(计算区域!AM489,NA())</f>
        <v>#N/A</v>
      </c>
      <c r="G487" t="e">
        <f ca="1">IFERROR(计算区域!AD489,NA())</f>
        <v>#N/A</v>
      </c>
      <c r="H487" t="e">
        <f ca="1">IFERROR(计算区域!AE489,NA())</f>
        <v>#N/A</v>
      </c>
      <c r="I487" t="e">
        <f ca="1">IFERROR(计算区域!AF489,NA())</f>
        <v>#N/A</v>
      </c>
      <c r="J487" t="e">
        <f ca="1">IFERROR(计算区域!AG489,NA())</f>
        <v>#N/A</v>
      </c>
      <c r="L487" t="e">
        <f ca="1">IFERROR(计算区域!L489,NA())</f>
        <v>#N/A</v>
      </c>
      <c r="M487" t="e">
        <f ca="1">IFERROR(计算区域!M489,NA())</f>
        <v>#N/A</v>
      </c>
      <c r="N487" t="e">
        <f ca="1">IFERROR(计算区域!N489,NA())</f>
        <v>#N/A</v>
      </c>
      <c r="O487" t="e">
        <f ca="1">IFERROR(计算区域!O489,NA())</f>
        <v>#N/A</v>
      </c>
      <c r="Q487" t="e">
        <f ca="1">IFERROR(计算区域!R489,NA())</f>
        <v>#N/A</v>
      </c>
      <c r="R487" t="e">
        <f ca="1">IFERROR(计算区域!S489,NA())</f>
        <v>#N/A</v>
      </c>
      <c r="S487" t="e">
        <f ca="1">IFERROR(计算区域!T489,NA())</f>
        <v>#N/A</v>
      </c>
      <c r="T487" t="e">
        <f ca="1">IFERROR(计算区域!U489,NA())</f>
        <v>#N/A</v>
      </c>
      <c r="V487" t="e">
        <f ca="1">IFERROR(计算区域!X489,NA())</f>
        <v>#N/A</v>
      </c>
      <c r="W487" t="e">
        <f ca="1">IFERROR(计算区域!Y489,NA())</f>
        <v>#N/A</v>
      </c>
      <c r="X487" t="e">
        <f ca="1">IFERROR(计算区域!Z489,NA())</f>
        <v>#N/A</v>
      </c>
      <c r="Y487" t="e">
        <f ca="1">IFERROR(计算区域!AA489,NA())</f>
        <v>#N/A</v>
      </c>
    </row>
    <row r="488" spans="1:25" x14ac:dyDescent="0.2">
      <c r="A488" s="28">
        <f>计算区域!E490</f>
        <v>44929</v>
      </c>
      <c r="B488" t="e">
        <f ca="1">IFERROR(计算区域!AJ490,NA())</f>
        <v>#N/A</v>
      </c>
      <c r="C488" t="e">
        <f ca="1">IFERROR(计算区域!AK490,NA())</f>
        <v>#N/A</v>
      </c>
      <c r="D488" t="e">
        <f ca="1">IFERROR(计算区域!AL490,NA())</f>
        <v>#N/A</v>
      </c>
      <c r="E488" t="e">
        <f ca="1">IFERROR(计算区域!AM490,NA())</f>
        <v>#N/A</v>
      </c>
      <c r="G488" t="e">
        <f ca="1">IFERROR(计算区域!AD490,NA())</f>
        <v>#N/A</v>
      </c>
      <c r="H488" t="e">
        <f ca="1">IFERROR(计算区域!AE490,NA())</f>
        <v>#N/A</v>
      </c>
      <c r="I488" t="e">
        <f ca="1">IFERROR(计算区域!AF490,NA())</f>
        <v>#N/A</v>
      </c>
      <c r="J488" t="e">
        <f ca="1">IFERROR(计算区域!AG490,NA())</f>
        <v>#N/A</v>
      </c>
      <c r="L488" t="e">
        <f ca="1">IFERROR(计算区域!L490,NA())</f>
        <v>#N/A</v>
      </c>
      <c r="M488" t="e">
        <f ca="1">IFERROR(计算区域!M490,NA())</f>
        <v>#N/A</v>
      </c>
      <c r="N488" t="e">
        <f ca="1">IFERROR(计算区域!N490,NA())</f>
        <v>#N/A</v>
      </c>
      <c r="O488" t="e">
        <f ca="1">IFERROR(计算区域!O490,NA())</f>
        <v>#N/A</v>
      </c>
      <c r="Q488" t="e">
        <f ca="1">IFERROR(计算区域!R490,NA())</f>
        <v>#N/A</v>
      </c>
      <c r="R488" t="e">
        <f ca="1">IFERROR(计算区域!S490,NA())</f>
        <v>#N/A</v>
      </c>
      <c r="S488" t="e">
        <f ca="1">IFERROR(计算区域!T490,NA())</f>
        <v>#N/A</v>
      </c>
      <c r="T488" t="e">
        <f ca="1">IFERROR(计算区域!U490,NA())</f>
        <v>#N/A</v>
      </c>
      <c r="V488" t="e">
        <f ca="1">IFERROR(计算区域!X490,NA())</f>
        <v>#N/A</v>
      </c>
      <c r="W488" t="e">
        <f ca="1">IFERROR(计算区域!Y490,NA())</f>
        <v>#N/A</v>
      </c>
      <c r="X488" t="e">
        <f ca="1">IFERROR(计算区域!Z490,NA())</f>
        <v>#N/A</v>
      </c>
      <c r="Y488" t="e">
        <f ca="1">IFERROR(计算区域!AA490,NA())</f>
        <v>#N/A</v>
      </c>
    </row>
    <row r="489" spans="1:25" x14ac:dyDescent="0.2">
      <c r="A489" s="28">
        <f>计算区域!E491</f>
        <v>44742</v>
      </c>
      <c r="B489" t="e">
        <f ca="1">IFERROR(计算区域!AJ491,NA())</f>
        <v>#N/A</v>
      </c>
      <c r="C489" t="e">
        <f ca="1">IFERROR(计算区域!AK491,NA())</f>
        <v>#N/A</v>
      </c>
      <c r="D489" t="e">
        <f ca="1">IFERROR(计算区域!AL491,NA())</f>
        <v>#N/A</v>
      </c>
      <c r="E489" t="e">
        <f ca="1">IFERROR(计算区域!AM491,NA())</f>
        <v>#N/A</v>
      </c>
      <c r="G489" t="e">
        <f ca="1">IFERROR(计算区域!AD491,NA())</f>
        <v>#N/A</v>
      </c>
      <c r="H489" t="e">
        <f ca="1">IFERROR(计算区域!AE491,NA())</f>
        <v>#N/A</v>
      </c>
      <c r="I489" t="e">
        <f ca="1">IFERROR(计算区域!AF491,NA())</f>
        <v>#N/A</v>
      </c>
      <c r="J489" t="e">
        <f ca="1">IFERROR(计算区域!AG491,NA())</f>
        <v>#N/A</v>
      </c>
      <c r="L489" t="e">
        <f ca="1">IFERROR(计算区域!L491,NA())</f>
        <v>#N/A</v>
      </c>
      <c r="M489" t="e">
        <f ca="1">IFERROR(计算区域!M491,NA())</f>
        <v>#N/A</v>
      </c>
      <c r="N489" t="e">
        <f ca="1">IFERROR(计算区域!N491,NA())</f>
        <v>#N/A</v>
      </c>
      <c r="O489" t="e">
        <f ca="1">IFERROR(计算区域!O491,NA())</f>
        <v>#N/A</v>
      </c>
      <c r="Q489" t="e">
        <f ca="1">IFERROR(计算区域!R491,NA())</f>
        <v>#N/A</v>
      </c>
      <c r="R489" t="e">
        <f ca="1">IFERROR(计算区域!S491,NA())</f>
        <v>#N/A</v>
      </c>
      <c r="S489" t="e">
        <f ca="1">IFERROR(计算区域!T491,NA())</f>
        <v>#N/A</v>
      </c>
      <c r="T489" t="e">
        <f ca="1">IFERROR(计算区域!U491,NA())</f>
        <v>#N/A</v>
      </c>
      <c r="V489" t="e">
        <f ca="1">IFERROR(计算区域!X491,NA())</f>
        <v>#N/A</v>
      </c>
      <c r="W489" t="e">
        <f ca="1">IFERROR(计算区域!Y491,NA())</f>
        <v>#N/A</v>
      </c>
      <c r="X489" t="e">
        <f ca="1">IFERROR(计算区域!Z491,NA())</f>
        <v>#N/A</v>
      </c>
      <c r="Y489" t="e">
        <f ca="1">IFERROR(计算区域!AA491,NA())</f>
        <v>#N/A</v>
      </c>
    </row>
    <row r="490" spans="1:25" x14ac:dyDescent="0.2">
      <c r="A490" s="28">
        <f>计算区域!E492</f>
        <v>44741</v>
      </c>
      <c r="B490" t="e">
        <f ca="1">IFERROR(计算区域!AJ492,NA())</f>
        <v>#N/A</v>
      </c>
      <c r="C490" t="e">
        <f ca="1">IFERROR(计算区域!AK492,NA())</f>
        <v>#N/A</v>
      </c>
      <c r="D490" t="e">
        <f ca="1">IFERROR(计算区域!AL492,NA())</f>
        <v>#N/A</v>
      </c>
      <c r="E490" t="e">
        <f ca="1">IFERROR(计算区域!AM492,NA())</f>
        <v>#N/A</v>
      </c>
      <c r="G490" t="e">
        <f ca="1">IFERROR(计算区域!AD492,NA())</f>
        <v>#N/A</v>
      </c>
      <c r="H490" t="e">
        <f ca="1">IFERROR(计算区域!AE492,NA())</f>
        <v>#N/A</v>
      </c>
      <c r="I490" t="e">
        <f ca="1">IFERROR(计算区域!AF492,NA())</f>
        <v>#N/A</v>
      </c>
      <c r="J490" t="e">
        <f ca="1">IFERROR(计算区域!AG492,NA())</f>
        <v>#N/A</v>
      </c>
      <c r="L490" t="e">
        <f ca="1">IFERROR(计算区域!L492,NA())</f>
        <v>#N/A</v>
      </c>
      <c r="M490" t="e">
        <f ca="1">IFERROR(计算区域!M492,NA())</f>
        <v>#N/A</v>
      </c>
      <c r="N490" t="e">
        <f ca="1">IFERROR(计算区域!N492,NA())</f>
        <v>#N/A</v>
      </c>
      <c r="O490" t="e">
        <f ca="1">IFERROR(计算区域!O492,NA())</f>
        <v>#N/A</v>
      </c>
      <c r="Q490" t="e">
        <f ca="1">IFERROR(计算区域!R492,NA())</f>
        <v>#N/A</v>
      </c>
      <c r="R490" t="e">
        <f ca="1">IFERROR(计算区域!S492,NA())</f>
        <v>#N/A</v>
      </c>
      <c r="S490" t="e">
        <f ca="1">IFERROR(计算区域!T492,NA())</f>
        <v>#N/A</v>
      </c>
      <c r="T490" t="e">
        <f ca="1">IFERROR(计算区域!U492,NA())</f>
        <v>#N/A</v>
      </c>
      <c r="V490" t="e">
        <f ca="1">IFERROR(计算区域!X492,NA())</f>
        <v>#N/A</v>
      </c>
      <c r="W490" t="e">
        <f ca="1">IFERROR(计算区域!Y492,NA())</f>
        <v>#N/A</v>
      </c>
      <c r="X490" t="e">
        <f ca="1">IFERROR(计算区域!Z492,NA())</f>
        <v>#N/A</v>
      </c>
      <c r="Y490" t="e">
        <f ca="1">IFERROR(计算区域!AA492,NA())</f>
        <v>#N/A</v>
      </c>
    </row>
    <row r="491" spans="1:25" x14ac:dyDescent="0.2">
      <c r="A491" s="28">
        <f>计算区域!E493</f>
        <v>44740</v>
      </c>
      <c r="B491" t="e">
        <f ca="1">IFERROR(计算区域!AJ493,NA())</f>
        <v>#N/A</v>
      </c>
      <c r="C491" t="e">
        <f ca="1">IFERROR(计算区域!AK493,NA())</f>
        <v>#N/A</v>
      </c>
      <c r="D491" t="e">
        <f ca="1">IFERROR(计算区域!AL493,NA())</f>
        <v>#N/A</v>
      </c>
      <c r="E491" t="e">
        <f ca="1">IFERROR(计算区域!AM493,NA())</f>
        <v>#N/A</v>
      </c>
      <c r="G491" t="e">
        <f ca="1">IFERROR(计算区域!AD493,NA())</f>
        <v>#N/A</v>
      </c>
      <c r="H491" t="e">
        <f ca="1">IFERROR(计算区域!AE493,NA())</f>
        <v>#N/A</v>
      </c>
      <c r="I491" t="e">
        <f ca="1">IFERROR(计算区域!AF493,NA())</f>
        <v>#N/A</v>
      </c>
      <c r="J491" t="e">
        <f ca="1">IFERROR(计算区域!AG493,NA())</f>
        <v>#N/A</v>
      </c>
      <c r="L491" t="e">
        <f ca="1">IFERROR(计算区域!L493,NA())</f>
        <v>#N/A</v>
      </c>
      <c r="M491" t="e">
        <f ca="1">IFERROR(计算区域!M493,NA())</f>
        <v>#N/A</v>
      </c>
      <c r="N491" t="e">
        <f ca="1">IFERROR(计算区域!N493,NA())</f>
        <v>#N/A</v>
      </c>
      <c r="O491" t="e">
        <f ca="1">IFERROR(计算区域!O493,NA())</f>
        <v>#N/A</v>
      </c>
      <c r="Q491" t="e">
        <f ca="1">IFERROR(计算区域!R493,NA())</f>
        <v>#N/A</v>
      </c>
      <c r="R491" t="e">
        <f ca="1">IFERROR(计算区域!S493,NA())</f>
        <v>#N/A</v>
      </c>
      <c r="S491" t="e">
        <f ca="1">IFERROR(计算区域!T493,NA())</f>
        <v>#N/A</v>
      </c>
      <c r="T491" t="e">
        <f ca="1">IFERROR(计算区域!U493,NA())</f>
        <v>#N/A</v>
      </c>
      <c r="V491" t="e">
        <f ca="1">IFERROR(计算区域!X493,NA())</f>
        <v>#N/A</v>
      </c>
      <c r="W491" t="e">
        <f ca="1">IFERROR(计算区域!Y493,NA())</f>
        <v>#N/A</v>
      </c>
      <c r="X491" t="e">
        <f ca="1">IFERROR(计算区域!Z493,NA())</f>
        <v>#N/A</v>
      </c>
      <c r="Y491" t="e">
        <f ca="1">IFERROR(计算区域!AA493,NA())</f>
        <v>#N/A</v>
      </c>
    </row>
    <row r="492" spans="1:25" x14ac:dyDescent="0.2">
      <c r="A492" s="28">
        <f>计算区域!E494</f>
        <v>44739</v>
      </c>
      <c r="B492" t="e">
        <f ca="1">IFERROR(计算区域!AJ494,NA())</f>
        <v>#N/A</v>
      </c>
      <c r="C492" t="e">
        <f ca="1">IFERROR(计算区域!AK494,NA())</f>
        <v>#N/A</v>
      </c>
      <c r="D492" t="e">
        <f ca="1">IFERROR(计算区域!AL494,NA())</f>
        <v>#N/A</v>
      </c>
      <c r="E492" t="e">
        <f ca="1">IFERROR(计算区域!AM494,NA())</f>
        <v>#N/A</v>
      </c>
      <c r="G492" t="e">
        <f ca="1">IFERROR(计算区域!AD494,NA())</f>
        <v>#N/A</v>
      </c>
      <c r="H492" t="e">
        <f ca="1">IFERROR(计算区域!AE494,NA())</f>
        <v>#N/A</v>
      </c>
      <c r="I492" t="e">
        <f ca="1">IFERROR(计算区域!AF494,NA())</f>
        <v>#N/A</v>
      </c>
      <c r="J492" t="e">
        <f ca="1">IFERROR(计算区域!AG494,NA())</f>
        <v>#N/A</v>
      </c>
      <c r="L492" t="e">
        <f ca="1">IFERROR(计算区域!L494,NA())</f>
        <v>#N/A</v>
      </c>
      <c r="M492" t="e">
        <f ca="1">IFERROR(计算区域!M494,NA())</f>
        <v>#N/A</v>
      </c>
      <c r="N492" t="e">
        <f ca="1">IFERROR(计算区域!N494,NA())</f>
        <v>#N/A</v>
      </c>
      <c r="O492" t="e">
        <f ca="1">IFERROR(计算区域!O494,NA())</f>
        <v>#N/A</v>
      </c>
      <c r="Q492" t="e">
        <f ca="1">IFERROR(计算区域!R494,NA())</f>
        <v>#N/A</v>
      </c>
      <c r="R492" t="e">
        <f ca="1">IFERROR(计算区域!S494,NA())</f>
        <v>#N/A</v>
      </c>
      <c r="S492" t="e">
        <f ca="1">IFERROR(计算区域!T494,NA())</f>
        <v>#N/A</v>
      </c>
      <c r="T492" t="e">
        <f ca="1">IFERROR(计算区域!U494,NA())</f>
        <v>#N/A</v>
      </c>
      <c r="V492" t="e">
        <f ca="1">IFERROR(计算区域!X494,NA())</f>
        <v>#N/A</v>
      </c>
      <c r="W492" t="e">
        <f ca="1">IFERROR(计算区域!Y494,NA())</f>
        <v>#N/A</v>
      </c>
      <c r="X492" t="e">
        <f ca="1">IFERROR(计算区域!Z494,NA())</f>
        <v>#N/A</v>
      </c>
      <c r="Y492" t="e">
        <f ca="1">IFERROR(计算区域!AA494,NA())</f>
        <v>#N/A</v>
      </c>
    </row>
    <row r="493" spans="1:25" x14ac:dyDescent="0.2">
      <c r="A493" s="28">
        <f>计算区域!E495</f>
        <v>44736</v>
      </c>
      <c r="B493" t="e">
        <f ca="1">IFERROR(计算区域!AJ495,NA())</f>
        <v>#N/A</v>
      </c>
      <c r="C493" t="e">
        <f ca="1">IFERROR(计算区域!AK495,NA())</f>
        <v>#N/A</v>
      </c>
      <c r="D493" t="e">
        <f ca="1">IFERROR(计算区域!AL495,NA())</f>
        <v>#N/A</v>
      </c>
      <c r="E493" t="e">
        <f ca="1">IFERROR(计算区域!AM495,NA())</f>
        <v>#N/A</v>
      </c>
      <c r="G493" t="e">
        <f ca="1">IFERROR(计算区域!AD495,NA())</f>
        <v>#N/A</v>
      </c>
      <c r="H493" t="e">
        <f ca="1">IFERROR(计算区域!AE495,NA())</f>
        <v>#N/A</v>
      </c>
      <c r="I493" t="e">
        <f ca="1">IFERROR(计算区域!AF495,NA())</f>
        <v>#N/A</v>
      </c>
      <c r="J493" t="e">
        <f ca="1">IFERROR(计算区域!AG495,NA())</f>
        <v>#N/A</v>
      </c>
      <c r="L493" t="e">
        <f ca="1">IFERROR(计算区域!L495,NA())</f>
        <v>#N/A</v>
      </c>
      <c r="M493" t="e">
        <f ca="1">IFERROR(计算区域!M495,NA())</f>
        <v>#N/A</v>
      </c>
      <c r="N493" t="e">
        <f ca="1">IFERROR(计算区域!N495,NA())</f>
        <v>#N/A</v>
      </c>
      <c r="O493" t="e">
        <f ca="1">IFERROR(计算区域!O495,NA())</f>
        <v>#N/A</v>
      </c>
      <c r="Q493" t="e">
        <f ca="1">IFERROR(计算区域!R495,NA())</f>
        <v>#N/A</v>
      </c>
      <c r="R493" t="e">
        <f ca="1">IFERROR(计算区域!S495,NA())</f>
        <v>#N/A</v>
      </c>
      <c r="S493" t="e">
        <f ca="1">IFERROR(计算区域!T495,NA())</f>
        <v>#N/A</v>
      </c>
      <c r="T493" t="e">
        <f ca="1">IFERROR(计算区域!U495,NA())</f>
        <v>#N/A</v>
      </c>
      <c r="V493" t="e">
        <f ca="1">IFERROR(计算区域!X495,NA())</f>
        <v>#N/A</v>
      </c>
      <c r="W493" t="e">
        <f ca="1">IFERROR(计算区域!Y495,NA())</f>
        <v>#N/A</v>
      </c>
      <c r="X493" t="e">
        <f ca="1">IFERROR(计算区域!Z495,NA())</f>
        <v>#N/A</v>
      </c>
      <c r="Y493" t="e">
        <f ca="1">IFERROR(计算区域!AA495,NA())</f>
        <v>#N/A</v>
      </c>
    </row>
    <row r="494" spans="1:25" x14ac:dyDescent="0.2">
      <c r="A494" s="28">
        <f>计算区域!E496</f>
        <v>44735</v>
      </c>
      <c r="B494" t="e">
        <f ca="1">IFERROR(计算区域!AJ496,NA())</f>
        <v>#N/A</v>
      </c>
      <c r="C494" t="e">
        <f ca="1">IFERROR(计算区域!AK496,NA())</f>
        <v>#N/A</v>
      </c>
      <c r="D494" t="e">
        <f ca="1">IFERROR(计算区域!AL496,NA())</f>
        <v>#N/A</v>
      </c>
      <c r="E494" t="e">
        <f ca="1">IFERROR(计算区域!AM496,NA())</f>
        <v>#N/A</v>
      </c>
      <c r="G494" t="e">
        <f ca="1">IFERROR(计算区域!AD496,NA())</f>
        <v>#N/A</v>
      </c>
      <c r="H494" t="e">
        <f ca="1">IFERROR(计算区域!AE496,NA())</f>
        <v>#N/A</v>
      </c>
      <c r="I494" t="e">
        <f ca="1">IFERROR(计算区域!AF496,NA())</f>
        <v>#N/A</v>
      </c>
      <c r="J494" t="e">
        <f ca="1">IFERROR(计算区域!AG496,NA())</f>
        <v>#N/A</v>
      </c>
      <c r="L494" t="e">
        <f ca="1">IFERROR(计算区域!L496,NA())</f>
        <v>#N/A</v>
      </c>
      <c r="M494" t="e">
        <f ca="1">IFERROR(计算区域!M496,NA())</f>
        <v>#N/A</v>
      </c>
      <c r="N494" t="e">
        <f ca="1">IFERROR(计算区域!N496,NA())</f>
        <v>#N/A</v>
      </c>
      <c r="O494" t="e">
        <f ca="1">IFERROR(计算区域!O496,NA())</f>
        <v>#N/A</v>
      </c>
      <c r="Q494" t="e">
        <f ca="1">IFERROR(计算区域!R496,NA())</f>
        <v>#N/A</v>
      </c>
      <c r="R494" t="e">
        <f ca="1">IFERROR(计算区域!S496,NA())</f>
        <v>#N/A</v>
      </c>
      <c r="S494" t="e">
        <f ca="1">IFERROR(计算区域!T496,NA())</f>
        <v>#N/A</v>
      </c>
      <c r="T494" t="e">
        <f ca="1">IFERROR(计算区域!U496,NA())</f>
        <v>#N/A</v>
      </c>
      <c r="V494" t="e">
        <f ca="1">IFERROR(计算区域!X496,NA())</f>
        <v>#N/A</v>
      </c>
      <c r="W494" t="e">
        <f ca="1">IFERROR(计算区域!Y496,NA())</f>
        <v>#N/A</v>
      </c>
      <c r="X494" t="e">
        <f ca="1">IFERROR(计算区域!Z496,NA())</f>
        <v>#N/A</v>
      </c>
      <c r="Y494" t="e">
        <f ca="1">IFERROR(计算区域!AA496,NA())</f>
        <v>#N/A</v>
      </c>
    </row>
    <row r="495" spans="1:25" x14ac:dyDescent="0.2">
      <c r="A495" s="28">
        <f>计算区域!E497</f>
        <v>44734</v>
      </c>
      <c r="B495" t="e">
        <f ca="1">IFERROR(计算区域!AJ497,NA())</f>
        <v>#N/A</v>
      </c>
      <c r="C495" t="e">
        <f ca="1">IFERROR(计算区域!AK497,NA())</f>
        <v>#N/A</v>
      </c>
      <c r="D495" t="e">
        <f ca="1">IFERROR(计算区域!AL497,NA())</f>
        <v>#N/A</v>
      </c>
      <c r="E495" t="e">
        <f ca="1">IFERROR(计算区域!AM497,NA())</f>
        <v>#N/A</v>
      </c>
      <c r="G495" t="e">
        <f ca="1">IFERROR(计算区域!AD497,NA())</f>
        <v>#N/A</v>
      </c>
      <c r="H495" t="e">
        <f ca="1">IFERROR(计算区域!AE497,NA())</f>
        <v>#N/A</v>
      </c>
      <c r="I495" t="e">
        <f ca="1">IFERROR(计算区域!AF497,NA())</f>
        <v>#N/A</v>
      </c>
      <c r="J495" t="e">
        <f ca="1">IFERROR(计算区域!AG497,NA())</f>
        <v>#N/A</v>
      </c>
      <c r="L495" t="e">
        <f ca="1">IFERROR(计算区域!L497,NA())</f>
        <v>#N/A</v>
      </c>
      <c r="M495" t="e">
        <f ca="1">IFERROR(计算区域!M497,NA())</f>
        <v>#N/A</v>
      </c>
      <c r="N495" t="e">
        <f ca="1">IFERROR(计算区域!N497,NA())</f>
        <v>#N/A</v>
      </c>
      <c r="O495" t="e">
        <f ca="1">IFERROR(计算区域!O497,NA())</f>
        <v>#N/A</v>
      </c>
      <c r="Q495" t="e">
        <f ca="1">IFERROR(计算区域!R497,NA())</f>
        <v>#N/A</v>
      </c>
      <c r="R495" t="e">
        <f ca="1">IFERROR(计算区域!S497,NA())</f>
        <v>#N/A</v>
      </c>
      <c r="S495" t="e">
        <f ca="1">IFERROR(计算区域!T497,NA())</f>
        <v>#N/A</v>
      </c>
      <c r="T495" t="e">
        <f ca="1">IFERROR(计算区域!U497,NA())</f>
        <v>#N/A</v>
      </c>
      <c r="V495" t="e">
        <f ca="1">IFERROR(计算区域!X497,NA())</f>
        <v>#N/A</v>
      </c>
      <c r="W495" t="e">
        <f ca="1">IFERROR(计算区域!Y497,NA())</f>
        <v>#N/A</v>
      </c>
      <c r="X495" t="e">
        <f ca="1">IFERROR(计算区域!Z497,NA())</f>
        <v>#N/A</v>
      </c>
      <c r="Y495" t="e">
        <f ca="1">IFERROR(计算区域!AA497,NA())</f>
        <v>#N/A</v>
      </c>
    </row>
    <row r="496" spans="1:25" x14ac:dyDescent="0.2">
      <c r="A496" s="28">
        <f>计算区域!E498</f>
        <v>44733</v>
      </c>
      <c r="B496" t="e">
        <f ca="1">IFERROR(计算区域!AJ498,NA())</f>
        <v>#N/A</v>
      </c>
      <c r="C496" t="e">
        <f ca="1">IFERROR(计算区域!AK498,NA())</f>
        <v>#N/A</v>
      </c>
      <c r="D496" t="e">
        <f ca="1">IFERROR(计算区域!AL498,NA())</f>
        <v>#N/A</v>
      </c>
      <c r="E496" t="e">
        <f ca="1">IFERROR(计算区域!AM498,NA())</f>
        <v>#N/A</v>
      </c>
      <c r="G496" t="e">
        <f ca="1">IFERROR(计算区域!AD498,NA())</f>
        <v>#N/A</v>
      </c>
      <c r="H496" t="e">
        <f ca="1">IFERROR(计算区域!AE498,NA())</f>
        <v>#N/A</v>
      </c>
      <c r="I496" t="e">
        <f ca="1">IFERROR(计算区域!AF498,NA())</f>
        <v>#N/A</v>
      </c>
      <c r="J496" t="e">
        <f ca="1">IFERROR(计算区域!AG498,NA())</f>
        <v>#N/A</v>
      </c>
      <c r="L496" t="e">
        <f ca="1">IFERROR(计算区域!L498,NA())</f>
        <v>#N/A</v>
      </c>
      <c r="M496" t="e">
        <f ca="1">IFERROR(计算区域!M498,NA())</f>
        <v>#N/A</v>
      </c>
      <c r="N496" t="e">
        <f ca="1">IFERROR(计算区域!N498,NA())</f>
        <v>#N/A</v>
      </c>
      <c r="O496" t="e">
        <f ca="1">IFERROR(计算区域!O498,NA())</f>
        <v>#N/A</v>
      </c>
      <c r="Q496" t="e">
        <f ca="1">IFERROR(计算区域!R498,NA())</f>
        <v>#N/A</v>
      </c>
      <c r="R496" t="e">
        <f ca="1">IFERROR(计算区域!S498,NA())</f>
        <v>#N/A</v>
      </c>
      <c r="S496" t="e">
        <f ca="1">IFERROR(计算区域!T498,NA())</f>
        <v>#N/A</v>
      </c>
      <c r="T496" t="e">
        <f ca="1">IFERROR(计算区域!U498,NA())</f>
        <v>#N/A</v>
      </c>
      <c r="V496" t="e">
        <f ca="1">IFERROR(计算区域!X498,NA())</f>
        <v>#N/A</v>
      </c>
      <c r="W496" t="e">
        <f ca="1">IFERROR(计算区域!Y498,NA())</f>
        <v>#N/A</v>
      </c>
      <c r="X496" t="e">
        <f ca="1">IFERROR(计算区域!Z498,NA())</f>
        <v>#N/A</v>
      </c>
      <c r="Y496" t="e">
        <f ca="1">IFERROR(计算区域!AA498,NA())</f>
        <v>#N/A</v>
      </c>
    </row>
    <row r="497" spans="1:25" x14ac:dyDescent="0.2">
      <c r="A497" s="28">
        <f>计算区域!E499</f>
        <v>44732</v>
      </c>
      <c r="B497" t="e">
        <f ca="1">IFERROR(计算区域!AJ499,NA())</f>
        <v>#N/A</v>
      </c>
      <c r="C497" t="e">
        <f ca="1">IFERROR(计算区域!AK499,NA())</f>
        <v>#N/A</v>
      </c>
      <c r="D497" t="e">
        <f ca="1">IFERROR(计算区域!AL499,NA())</f>
        <v>#N/A</v>
      </c>
      <c r="E497" t="e">
        <f ca="1">IFERROR(计算区域!AM499,NA())</f>
        <v>#N/A</v>
      </c>
      <c r="G497" t="e">
        <f ca="1">IFERROR(计算区域!AD499,NA())</f>
        <v>#N/A</v>
      </c>
      <c r="H497" t="e">
        <f ca="1">IFERROR(计算区域!AE499,NA())</f>
        <v>#N/A</v>
      </c>
      <c r="I497" t="e">
        <f ca="1">IFERROR(计算区域!AF499,NA())</f>
        <v>#N/A</v>
      </c>
      <c r="J497" t="e">
        <f ca="1">IFERROR(计算区域!AG499,NA())</f>
        <v>#N/A</v>
      </c>
      <c r="L497" t="e">
        <f ca="1">IFERROR(计算区域!L499,NA())</f>
        <v>#N/A</v>
      </c>
      <c r="M497" t="e">
        <f ca="1">IFERROR(计算区域!M499,NA())</f>
        <v>#N/A</v>
      </c>
      <c r="N497" t="e">
        <f ca="1">IFERROR(计算区域!N499,NA())</f>
        <v>#N/A</v>
      </c>
      <c r="O497" t="e">
        <f ca="1">IFERROR(计算区域!O499,NA())</f>
        <v>#N/A</v>
      </c>
      <c r="Q497" t="e">
        <f ca="1">IFERROR(计算区域!R499,NA())</f>
        <v>#N/A</v>
      </c>
      <c r="R497" t="e">
        <f ca="1">IFERROR(计算区域!S499,NA())</f>
        <v>#N/A</v>
      </c>
      <c r="S497" t="e">
        <f ca="1">IFERROR(计算区域!T499,NA())</f>
        <v>#N/A</v>
      </c>
      <c r="T497" t="e">
        <f ca="1">IFERROR(计算区域!U499,NA())</f>
        <v>#N/A</v>
      </c>
      <c r="V497" t="e">
        <f ca="1">IFERROR(计算区域!X499,NA())</f>
        <v>#N/A</v>
      </c>
      <c r="W497" t="e">
        <f ca="1">IFERROR(计算区域!Y499,NA())</f>
        <v>#N/A</v>
      </c>
      <c r="X497" t="e">
        <f ca="1">IFERROR(计算区域!Z499,NA())</f>
        <v>#N/A</v>
      </c>
      <c r="Y497" t="e">
        <f ca="1">IFERROR(计算区域!AA499,NA())</f>
        <v>#N/A</v>
      </c>
    </row>
    <row r="498" spans="1:25" x14ac:dyDescent="0.2">
      <c r="A498" s="28">
        <f>计算区域!E500</f>
        <v>44729</v>
      </c>
      <c r="B498" t="e">
        <f ca="1">IFERROR(计算区域!AJ500,NA())</f>
        <v>#N/A</v>
      </c>
      <c r="C498" t="e">
        <f ca="1">IFERROR(计算区域!AK500,NA())</f>
        <v>#N/A</v>
      </c>
      <c r="D498" t="e">
        <f ca="1">IFERROR(计算区域!AL500,NA())</f>
        <v>#N/A</v>
      </c>
      <c r="E498" t="e">
        <f ca="1">IFERROR(计算区域!AM500,NA())</f>
        <v>#N/A</v>
      </c>
      <c r="G498" t="e">
        <f ca="1">IFERROR(计算区域!AD500,NA())</f>
        <v>#N/A</v>
      </c>
      <c r="H498" t="e">
        <f ca="1">IFERROR(计算区域!AE500,NA())</f>
        <v>#N/A</v>
      </c>
      <c r="I498" t="e">
        <f ca="1">IFERROR(计算区域!AF500,NA())</f>
        <v>#N/A</v>
      </c>
      <c r="J498" t="e">
        <f ca="1">IFERROR(计算区域!AG500,NA())</f>
        <v>#N/A</v>
      </c>
      <c r="L498" t="e">
        <f ca="1">IFERROR(计算区域!L500,NA())</f>
        <v>#N/A</v>
      </c>
      <c r="M498" t="e">
        <f ca="1">IFERROR(计算区域!M500,NA())</f>
        <v>#N/A</v>
      </c>
      <c r="N498" t="e">
        <f ca="1">IFERROR(计算区域!N500,NA())</f>
        <v>#N/A</v>
      </c>
      <c r="O498" t="e">
        <f ca="1">IFERROR(计算区域!O500,NA())</f>
        <v>#N/A</v>
      </c>
      <c r="Q498" t="e">
        <f ca="1">IFERROR(计算区域!R500,NA())</f>
        <v>#N/A</v>
      </c>
      <c r="R498" t="e">
        <f ca="1">IFERROR(计算区域!S500,NA())</f>
        <v>#N/A</v>
      </c>
      <c r="S498" t="e">
        <f ca="1">IFERROR(计算区域!T500,NA())</f>
        <v>#N/A</v>
      </c>
      <c r="T498" t="e">
        <f ca="1">IFERROR(计算区域!U500,NA())</f>
        <v>#N/A</v>
      </c>
      <c r="V498" t="e">
        <f ca="1">IFERROR(计算区域!X500,NA())</f>
        <v>#N/A</v>
      </c>
      <c r="W498" t="e">
        <f ca="1">IFERROR(计算区域!Y500,NA())</f>
        <v>#N/A</v>
      </c>
      <c r="X498" t="e">
        <f ca="1">IFERROR(计算区域!Z500,NA())</f>
        <v>#N/A</v>
      </c>
      <c r="Y498" t="e">
        <f ca="1">IFERROR(计算区域!AA500,NA())</f>
        <v>#N/A</v>
      </c>
    </row>
    <row r="499" spans="1:25" x14ac:dyDescent="0.2">
      <c r="A499" s="28">
        <f>计算区域!E501</f>
        <v>44728</v>
      </c>
      <c r="B499" t="e">
        <f ca="1">IFERROR(计算区域!AJ501,NA())</f>
        <v>#N/A</v>
      </c>
      <c r="C499" t="e">
        <f ca="1">IFERROR(计算区域!AK501,NA())</f>
        <v>#N/A</v>
      </c>
      <c r="D499" t="e">
        <f ca="1">IFERROR(计算区域!AL501,NA())</f>
        <v>#N/A</v>
      </c>
      <c r="E499" t="e">
        <f ca="1">IFERROR(计算区域!AM501,NA())</f>
        <v>#N/A</v>
      </c>
      <c r="G499" t="e">
        <f ca="1">IFERROR(计算区域!AD501,NA())</f>
        <v>#N/A</v>
      </c>
      <c r="H499" t="e">
        <f ca="1">IFERROR(计算区域!AE501,NA())</f>
        <v>#N/A</v>
      </c>
      <c r="I499" t="e">
        <f ca="1">IFERROR(计算区域!AF501,NA())</f>
        <v>#N/A</v>
      </c>
      <c r="J499" t="e">
        <f ca="1">IFERROR(计算区域!AG501,NA())</f>
        <v>#N/A</v>
      </c>
      <c r="L499" t="e">
        <f ca="1">IFERROR(计算区域!L501,NA())</f>
        <v>#N/A</v>
      </c>
      <c r="M499" t="e">
        <f ca="1">IFERROR(计算区域!M501,NA())</f>
        <v>#N/A</v>
      </c>
      <c r="N499" t="e">
        <f ca="1">IFERROR(计算区域!N501,NA())</f>
        <v>#N/A</v>
      </c>
      <c r="O499" t="e">
        <f ca="1">IFERROR(计算区域!O501,NA())</f>
        <v>#N/A</v>
      </c>
      <c r="Q499" t="e">
        <f ca="1">IFERROR(计算区域!R501,NA())</f>
        <v>#N/A</v>
      </c>
      <c r="R499" t="e">
        <f ca="1">IFERROR(计算区域!S501,NA())</f>
        <v>#N/A</v>
      </c>
      <c r="S499" t="e">
        <f ca="1">IFERROR(计算区域!T501,NA())</f>
        <v>#N/A</v>
      </c>
      <c r="T499" t="e">
        <f ca="1">IFERROR(计算区域!U501,NA())</f>
        <v>#N/A</v>
      </c>
      <c r="V499" t="e">
        <f ca="1">IFERROR(计算区域!X501,NA())</f>
        <v>#N/A</v>
      </c>
      <c r="W499" t="e">
        <f ca="1">IFERROR(计算区域!Y501,NA())</f>
        <v>#N/A</v>
      </c>
      <c r="X499" t="e">
        <f ca="1">IFERROR(计算区域!Z501,NA())</f>
        <v>#N/A</v>
      </c>
      <c r="Y499" t="e">
        <f ca="1">IFERROR(计算区域!AA501,NA())</f>
        <v>#N/A</v>
      </c>
    </row>
    <row r="500" spans="1:25" x14ac:dyDescent="0.2">
      <c r="A500" s="28">
        <f>计算区域!E502</f>
        <v>44727</v>
      </c>
      <c r="B500" t="e">
        <f ca="1">IFERROR(计算区域!AJ502,NA())</f>
        <v>#N/A</v>
      </c>
      <c r="C500" t="e">
        <f ca="1">IFERROR(计算区域!AK502,NA())</f>
        <v>#N/A</v>
      </c>
      <c r="D500" t="e">
        <f ca="1">IFERROR(计算区域!AL502,NA())</f>
        <v>#N/A</v>
      </c>
      <c r="E500" t="e">
        <f ca="1">IFERROR(计算区域!AM502,NA())</f>
        <v>#N/A</v>
      </c>
      <c r="G500" t="e">
        <f ca="1">IFERROR(计算区域!AD502,NA())</f>
        <v>#N/A</v>
      </c>
      <c r="H500" t="e">
        <f ca="1">IFERROR(计算区域!AE502,NA())</f>
        <v>#N/A</v>
      </c>
      <c r="I500" t="e">
        <f ca="1">IFERROR(计算区域!AF502,NA())</f>
        <v>#N/A</v>
      </c>
      <c r="J500" t="e">
        <f ca="1">IFERROR(计算区域!AG502,NA())</f>
        <v>#N/A</v>
      </c>
      <c r="L500" t="e">
        <f ca="1">IFERROR(计算区域!L502,NA())</f>
        <v>#N/A</v>
      </c>
      <c r="M500" t="e">
        <f ca="1">IFERROR(计算区域!M502,NA())</f>
        <v>#N/A</v>
      </c>
      <c r="N500" t="e">
        <f ca="1">IFERROR(计算区域!N502,NA())</f>
        <v>#N/A</v>
      </c>
      <c r="O500" t="e">
        <f ca="1">IFERROR(计算区域!O502,NA())</f>
        <v>#N/A</v>
      </c>
      <c r="Q500" t="e">
        <f ca="1">IFERROR(计算区域!R502,NA())</f>
        <v>#N/A</v>
      </c>
      <c r="R500" t="e">
        <f ca="1">IFERROR(计算区域!S502,NA())</f>
        <v>#N/A</v>
      </c>
      <c r="S500" t="e">
        <f ca="1">IFERROR(计算区域!T502,NA())</f>
        <v>#N/A</v>
      </c>
      <c r="T500" t="e">
        <f ca="1">IFERROR(计算区域!U502,NA())</f>
        <v>#N/A</v>
      </c>
      <c r="V500" t="e">
        <f ca="1">IFERROR(计算区域!X502,NA())</f>
        <v>#N/A</v>
      </c>
      <c r="W500" t="e">
        <f ca="1">IFERROR(计算区域!Y502,NA())</f>
        <v>#N/A</v>
      </c>
      <c r="X500" t="e">
        <f ca="1">IFERROR(计算区域!Z502,NA())</f>
        <v>#N/A</v>
      </c>
      <c r="Y500" t="e">
        <f ca="1">IFERROR(计算区域!AA502,NA())</f>
        <v>#N/A</v>
      </c>
    </row>
    <row r="501" spans="1:25" x14ac:dyDescent="0.2">
      <c r="A501" s="28">
        <f>计算区域!E503</f>
        <v>44726</v>
      </c>
      <c r="B501" t="e">
        <f ca="1">IFERROR(计算区域!AJ503,NA())</f>
        <v>#N/A</v>
      </c>
      <c r="C501" t="e">
        <f ca="1">IFERROR(计算区域!AK503,NA())</f>
        <v>#N/A</v>
      </c>
      <c r="D501" t="e">
        <f ca="1">IFERROR(计算区域!AL503,NA())</f>
        <v>#N/A</v>
      </c>
      <c r="E501" t="e">
        <f ca="1">IFERROR(计算区域!AM503,NA())</f>
        <v>#N/A</v>
      </c>
      <c r="G501" t="e">
        <f ca="1">IFERROR(计算区域!AD503,NA())</f>
        <v>#N/A</v>
      </c>
      <c r="H501" t="e">
        <f ca="1">IFERROR(计算区域!AE503,NA())</f>
        <v>#N/A</v>
      </c>
      <c r="I501" t="e">
        <f ca="1">IFERROR(计算区域!AF503,NA())</f>
        <v>#N/A</v>
      </c>
      <c r="J501" t="e">
        <f ca="1">IFERROR(计算区域!AG503,NA())</f>
        <v>#N/A</v>
      </c>
      <c r="L501" t="e">
        <f ca="1">IFERROR(计算区域!L503,NA())</f>
        <v>#N/A</v>
      </c>
      <c r="M501" t="e">
        <f ca="1">IFERROR(计算区域!M503,NA())</f>
        <v>#N/A</v>
      </c>
      <c r="N501" t="e">
        <f ca="1">IFERROR(计算区域!N503,NA())</f>
        <v>#N/A</v>
      </c>
      <c r="O501" t="e">
        <f ca="1">IFERROR(计算区域!O503,NA())</f>
        <v>#N/A</v>
      </c>
      <c r="Q501" t="e">
        <f ca="1">IFERROR(计算区域!R503,NA())</f>
        <v>#N/A</v>
      </c>
      <c r="R501" t="e">
        <f ca="1">IFERROR(计算区域!S503,NA())</f>
        <v>#N/A</v>
      </c>
      <c r="S501" t="e">
        <f ca="1">IFERROR(计算区域!T503,NA())</f>
        <v>#N/A</v>
      </c>
      <c r="T501" t="e">
        <f ca="1">IFERROR(计算区域!U503,NA())</f>
        <v>#N/A</v>
      </c>
      <c r="V501" t="e">
        <f ca="1">IFERROR(计算区域!X503,NA())</f>
        <v>#N/A</v>
      </c>
      <c r="W501" t="e">
        <f ca="1">IFERROR(计算区域!Y503,NA())</f>
        <v>#N/A</v>
      </c>
      <c r="X501" t="e">
        <f ca="1">IFERROR(计算区域!Z503,NA())</f>
        <v>#N/A</v>
      </c>
      <c r="Y501" t="e">
        <f ca="1">IFERROR(计算区域!AA503,NA())</f>
        <v>#N/A</v>
      </c>
    </row>
    <row r="502" spans="1:25" x14ac:dyDescent="0.2">
      <c r="A502" s="28">
        <f>计算区域!E504</f>
        <v>44725</v>
      </c>
      <c r="B502" t="e">
        <f ca="1">IFERROR(计算区域!AJ504,NA())</f>
        <v>#N/A</v>
      </c>
      <c r="C502" t="e">
        <f ca="1">IFERROR(计算区域!AK504,NA())</f>
        <v>#N/A</v>
      </c>
      <c r="D502" t="e">
        <f ca="1">IFERROR(计算区域!AL504,NA())</f>
        <v>#N/A</v>
      </c>
      <c r="E502" t="e">
        <f ca="1">IFERROR(计算区域!AM504,NA())</f>
        <v>#N/A</v>
      </c>
      <c r="G502" t="e">
        <f ca="1">IFERROR(计算区域!AD504,NA())</f>
        <v>#N/A</v>
      </c>
      <c r="H502" t="e">
        <f ca="1">IFERROR(计算区域!AE504,NA())</f>
        <v>#N/A</v>
      </c>
      <c r="I502" t="e">
        <f ca="1">IFERROR(计算区域!AF504,NA())</f>
        <v>#N/A</v>
      </c>
      <c r="J502" t="e">
        <f ca="1">IFERROR(计算区域!AG504,NA())</f>
        <v>#N/A</v>
      </c>
      <c r="L502" t="e">
        <f ca="1">IFERROR(计算区域!L504,NA())</f>
        <v>#N/A</v>
      </c>
      <c r="M502" t="e">
        <f ca="1">IFERROR(计算区域!M504,NA())</f>
        <v>#N/A</v>
      </c>
      <c r="N502" t="e">
        <f ca="1">IFERROR(计算区域!N504,NA())</f>
        <v>#N/A</v>
      </c>
      <c r="O502" t="e">
        <f ca="1">IFERROR(计算区域!O504,NA())</f>
        <v>#N/A</v>
      </c>
      <c r="Q502" t="e">
        <f ca="1">IFERROR(计算区域!R504,NA())</f>
        <v>#N/A</v>
      </c>
      <c r="R502" t="e">
        <f ca="1">IFERROR(计算区域!S504,NA())</f>
        <v>#N/A</v>
      </c>
      <c r="S502" t="e">
        <f ca="1">IFERROR(计算区域!T504,NA())</f>
        <v>#N/A</v>
      </c>
      <c r="T502" t="e">
        <f ca="1">IFERROR(计算区域!U504,NA())</f>
        <v>#N/A</v>
      </c>
      <c r="V502" t="e">
        <f ca="1">IFERROR(计算区域!X504,NA())</f>
        <v>#N/A</v>
      </c>
      <c r="W502" t="e">
        <f ca="1">IFERROR(计算区域!Y504,NA())</f>
        <v>#N/A</v>
      </c>
      <c r="X502" t="e">
        <f ca="1">IFERROR(计算区域!Z504,NA())</f>
        <v>#N/A</v>
      </c>
      <c r="Y502" t="e">
        <f ca="1">IFERROR(计算区域!AA504,NA())</f>
        <v>#N/A</v>
      </c>
    </row>
    <row r="503" spans="1:25" x14ac:dyDescent="0.2">
      <c r="A503" s="28">
        <f>计算区域!E505</f>
        <v>44722</v>
      </c>
      <c r="B503" t="e">
        <f ca="1">IFERROR(计算区域!AJ505,NA())</f>
        <v>#N/A</v>
      </c>
      <c r="C503" t="e">
        <f ca="1">IFERROR(计算区域!AK505,NA())</f>
        <v>#N/A</v>
      </c>
      <c r="D503" t="e">
        <f ca="1">IFERROR(计算区域!AL505,NA())</f>
        <v>#N/A</v>
      </c>
      <c r="E503" t="e">
        <f ca="1">IFERROR(计算区域!AM505,NA())</f>
        <v>#N/A</v>
      </c>
      <c r="G503" t="e">
        <f ca="1">IFERROR(计算区域!AD505,NA())</f>
        <v>#N/A</v>
      </c>
      <c r="H503" t="e">
        <f ca="1">IFERROR(计算区域!AE505,NA())</f>
        <v>#N/A</v>
      </c>
      <c r="I503" t="e">
        <f ca="1">IFERROR(计算区域!AF505,NA())</f>
        <v>#N/A</v>
      </c>
      <c r="J503" t="e">
        <f ca="1">IFERROR(计算区域!AG505,NA())</f>
        <v>#N/A</v>
      </c>
      <c r="L503" t="e">
        <f ca="1">IFERROR(计算区域!L505,NA())</f>
        <v>#N/A</v>
      </c>
      <c r="M503" t="e">
        <f ca="1">IFERROR(计算区域!M505,NA())</f>
        <v>#N/A</v>
      </c>
      <c r="N503" t="e">
        <f ca="1">IFERROR(计算区域!N505,NA())</f>
        <v>#N/A</v>
      </c>
      <c r="O503" t="e">
        <f ca="1">IFERROR(计算区域!O505,NA())</f>
        <v>#N/A</v>
      </c>
      <c r="Q503" t="e">
        <f ca="1">IFERROR(计算区域!R505,NA())</f>
        <v>#N/A</v>
      </c>
      <c r="R503" t="e">
        <f ca="1">IFERROR(计算区域!S505,NA())</f>
        <v>#N/A</v>
      </c>
      <c r="S503" t="e">
        <f ca="1">IFERROR(计算区域!T505,NA())</f>
        <v>#N/A</v>
      </c>
      <c r="T503" t="e">
        <f ca="1">IFERROR(计算区域!U505,NA())</f>
        <v>#N/A</v>
      </c>
      <c r="V503" t="e">
        <f ca="1">IFERROR(计算区域!X505,NA())</f>
        <v>#N/A</v>
      </c>
      <c r="W503" t="e">
        <f ca="1">IFERROR(计算区域!Y505,NA())</f>
        <v>#N/A</v>
      </c>
      <c r="X503" t="e">
        <f ca="1">IFERROR(计算区域!Z505,NA())</f>
        <v>#N/A</v>
      </c>
      <c r="Y503" t="e">
        <f ca="1">IFERROR(计算区域!AA505,NA())</f>
        <v>#N/A</v>
      </c>
    </row>
    <row r="504" spans="1:25" x14ac:dyDescent="0.2">
      <c r="A504" s="28">
        <f>计算区域!E506</f>
        <v>44721</v>
      </c>
      <c r="B504" t="e">
        <f ca="1">IFERROR(计算区域!AJ506,NA())</f>
        <v>#N/A</v>
      </c>
      <c r="C504" t="e">
        <f ca="1">IFERROR(计算区域!AK506,NA())</f>
        <v>#N/A</v>
      </c>
      <c r="D504" t="e">
        <f ca="1">IFERROR(计算区域!AL506,NA())</f>
        <v>#N/A</v>
      </c>
      <c r="E504" t="e">
        <f ca="1">IFERROR(计算区域!AM506,NA())</f>
        <v>#N/A</v>
      </c>
      <c r="G504" t="e">
        <f ca="1">IFERROR(计算区域!AD506,NA())</f>
        <v>#N/A</v>
      </c>
      <c r="H504" t="e">
        <f ca="1">IFERROR(计算区域!AE506,NA())</f>
        <v>#N/A</v>
      </c>
      <c r="I504" t="e">
        <f ca="1">IFERROR(计算区域!AF506,NA())</f>
        <v>#N/A</v>
      </c>
      <c r="J504" t="e">
        <f ca="1">IFERROR(计算区域!AG506,NA())</f>
        <v>#N/A</v>
      </c>
      <c r="L504" t="e">
        <f ca="1">IFERROR(计算区域!L506,NA())</f>
        <v>#N/A</v>
      </c>
      <c r="M504" t="e">
        <f ca="1">IFERROR(计算区域!M506,NA())</f>
        <v>#N/A</v>
      </c>
      <c r="N504" t="e">
        <f ca="1">IFERROR(计算区域!N506,NA())</f>
        <v>#N/A</v>
      </c>
      <c r="O504" t="e">
        <f ca="1">IFERROR(计算区域!O506,NA())</f>
        <v>#N/A</v>
      </c>
      <c r="Q504" t="e">
        <f ca="1">IFERROR(计算区域!R506,NA())</f>
        <v>#N/A</v>
      </c>
      <c r="R504" t="e">
        <f ca="1">IFERROR(计算区域!S506,NA())</f>
        <v>#N/A</v>
      </c>
      <c r="S504" t="e">
        <f ca="1">IFERROR(计算区域!T506,NA())</f>
        <v>#N/A</v>
      </c>
      <c r="T504" t="e">
        <f ca="1">IFERROR(计算区域!U506,NA())</f>
        <v>#N/A</v>
      </c>
      <c r="V504" t="e">
        <f ca="1">IFERROR(计算区域!X506,NA())</f>
        <v>#N/A</v>
      </c>
      <c r="W504" t="e">
        <f ca="1">IFERROR(计算区域!Y506,NA())</f>
        <v>#N/A</v>
      </c>
      <c r="X504" t="e">
        <f ca="1">IFERROR(计算区域!Z506,NA())</f>
        <v>#N/A</v>
      </c>
      <c r="Y504" t="e">
        <f ca="1">IFERROR(计算区域!AA506,NA())</f>
        <v>#N/A</v>
      </c>
    </row>
    <row r="505" spans="1:25" x14ac:dyDescent="0.2">
      <c r="A505" s="28">
        <f>计算区域!E507</f>
        <v>44720</v>
      </c>
      <c r="B505" t="e">
        <f ca="1">IFERROR(计算区域!AJ507,NA())</f>
        <v>#N/A</v>
      </c>
      <c r="C505" t="e">
        <f ca="1">IFERROR(计算区域!AK507,NA())</f>
        <v>#N/A</v>
      </c>
      <c r="D505" t="e">
        <f ca="1">IFERROR(计算区域!AL507,NA())</f>
        <v>#N/A</v>
      </c>
      <c r="E505" t="e">
        <f ca="1">IFERROR(计算区域!AM507,NA())</f>
        <v>#N/A</v>
      </c>
      <c r="G505" t="e">
        <f ca="1">IFERROR(计算区域!AD507,NA())</f>
        <v>#N/A</v>
      </c>
      <c r="H505" t="e">
        <f ca="1">IFERROR(计算区域!AE507,NA())</f>
        <v>#N/A</v>
      </c>
      <c r="I505" t="e">
        <f ca="1">IFERROR(计算区域!AF507,NA())</f>
        <v>#N/A</v>
      </c>
      <c r="J505" t="e">
        <f ca="1">IFERROR(计算区域!AG507,NA())</f>
        <v>#N/A</v>
      </c>
      <c r="L505" t="e">
        <f ca="1">IFERROR(计算区域!L507,NA())</f>
        <v>#N/A</v>
      </c>
      <c r="M505" t="e">
        <f ca="1">IFERROR(计算区域!M507,NA())</f>
        <v>#N/A</v>
      </c>
      <c r="N505" t="e">
        <f ca="1">IFERROR(计算区域!N507,NA())</f>
        <v>#N/A</v>
      </c>
      <c r="O505" t="e">
        <f ca="1">IFERROR(计算区域!O507,NA())</f>
        <v>#N/A</v>
      </c>
      <c r="Q505" t="e">
        <f ca="1">IFERROR(计算区域!R507,NA())</f>
        <v>#N/A</v>
      </c>
      <c r="R505" t="e">
        <f ca="1">IFERROR(计算区域!S507,NA())</f>
        <v>#N/A</v>
      </c>
      <c r="S505" t="e">
        <f ca="1">IFERROR(计算区域!T507,NA())</f>
        <v>#N/A</v>
      </c>
      <c r="T505" t="e">
        <f ca="1">IFERROR(计算区域!U507,NA())</f>
        <v>#N/A</v>
      </c>
      <c r="V505" t="e">
        <f ca="1">IFERROR(计算区域!X507,NA())</f>
        <v>#N/A</v>
      </c>
      <c r="W505" t="e">
        <f ca="1">IFERROR(计算区域!Y507,NA())</f>
        <v>#N/A</v>
      </c>
      <c r="X505" t="e">
        <f ca="1">IFERROR(计算区域!Z507,NA())</f>
        <v>#N/A</v>
      </c>
      <c r="Y505" t="e">
        <f ca="1">IFERROR(计算区域!AA507,NA())</f>
        <v>#N/A</v>
      </c>
    </row>
    <row r="506" spans="1:25" x14ac:dyDescent="0.2">
      <c r="A506" s="28">
        <f>计算区域!E508</f>
        <v>44719</v>
      </c>
      <c r="B506" t="e">
        <f ca="1">IFERROR(计算区域!AJ508,NA())</f>
        <v>#N/A</v>
      </c>
      <c r="C506" t="e">
        <f ca="1">IFERROR(计算区域!AK508,NA())</f>
        <v>#N/A</v>
      </c>
      <c r="D506" t="e">
        <f ca="1">IFERROR(计算区域!AL508,NA())</f>
        <v>#N/A</v>
      </c>
      <c r="E506" t="e">
        <f ca="1">IFERROR(计算区域!AM508,NA())</f>
        <v>#N/A</v>
      </c>
      <c r="G506" t="e">
        <f ca="1">IFERROR(计算区域!AD508,NA())</f>
        <v>#N/A</v>
      </c>
      <c r="H506" t="e">
        <f ca="1">IFERROR(计算区域!AE508,NA())</f>
        <v>#N/A</v>
      </c>
      <c r="I506" t="e">
        <f ca="1">IFERROR(计算区域!AF508,NA())</f>
        <v>#N/A</v>
      </c>
      <c r="J506" t="e">
        <f ca="1">IFERROR(计算区域!AG508,NA())</f>
        <v>#N/A</v>
      </c>
      <c r="L506" t="e">
        <f ca="1">IFERROR(计算区域!L508,NA())</f>
        <v>#N/A</v>
      </c>
      <c r="M506" t="e">
        <f ca="1">IFERROR(计算区域!M508,NA())</f>
        <v>#N/A</v>
      </c>
      <c r="N506" t="e">
        <f ca="1">IFERROR(计算区域!N508,NA())</f>
        <v>#N/A</v>
      </c>
      <c r="O506" t="e">
        <f ca="1">IFERROR(计算区域!O508,NA())</f>
        <v>#N/A</v>
      </c>
      <c r="Q506" t="e">
        <f ca="1">IFERROR(计算区域!R508,NA())</f>
        <v>#N/A</v>
      </c>
      <c r="R506" t="e">
        <f ca="1">IFERROR(计算区域!S508,NA())</f>
        <v>#N/A</v>
      </c>
      <c r="S506" t="e">
        <f ca="1">IFERROR(计算区域!T508,NA())</f>
        <v>#N/A</v>
      </c>
      <c r="T506" t="e">
        <f ca="1">IFERROR(计算区域!U508,NA())</f>
        <v>#N/A</v>
      </c>
      <c r="V506" t="e">
        <f ca="1">IFERROR(计算区域!X508,NA())</f>
        <v>#N/A</v>
      </c>
      <c r="W506" t="e">
        <f ca="1">IFERROR(计算区域!Y508,NA())</f>
        <v>#N/A</v>
      </c>
      <c r="X506" t="e">
        <f ca="1">IFERROR(计算区域!Z508,NA())</f>
        <v>#N/A</v>
      </c>
      <c r="Y506" t="e">
        <f ca="1">IFERROR(计算区域!AA508,NA())</f>
        <v>#N/A</v>
      </c>
    </row>
    <row r="507" spans="1:25" x14ac:dyDescent="0.2">
      <c r="A507" s="28">
        <f>计算区域!E509</f>
        <v>44718</v>
      </c>
      <c r="B507" t="e">
        <f ca="1">IFERROR(计算区域!AJ509,NA())</f>
        <v>#N/A</v>
      </c>
      <c r="C507" t="e">
        <f ca="1">IFERROR(计算区域!AK509,NA())</f>
        <v>#N/A</v>
      </c>
      <c r="D507" t="e">
        <f ca="1">IFERROR(计算区域!AL509,NA())</f>
        <v>#N/A</v>
      </c>
      <c r="E507" t="e">
        <f ca="1">IFERROR(计算区域!AM509,NA())</f>
        <v>#N/A</v>
      </c>
      <c r="G507" t="e">
        <f ca="1">IFERROR(计算区域!AD509,NA())</f>
        <v>#N/A</v>
      </c>
      <c r="H507" t="e">
        <f ca="1">IFERROR(计算区域!AE509,NA())</f>
        <v>#N/A</v>
      </c>
      <c r="I507" t="e">
        <f ca="1">IFERROR(计算区域!AF509,NA())</f>
        <v>#N/A</v>
      </c>
      <c r="J507" t="e">
        <f ca="1">IFERROR(计算区域!AG509,NA())</f>
        <v>#N/A</v>
      </c>
      <c r="L507" t="e">
        <f ca="1">IFERROR(计算区域!L509,NA())</f>
        <v>#N/A</v>
      </c>
      <c r="M507" t="e">
        <f ca="1">IFERROR(计算区域!M509,NA())</f>
        <v>#N/A</v>
      </c>
      <c r="N507" t="e">
        <f ca="1">IFERROR(计算区域!N509,NA())</f>
        <v>#N/A</v>
      </c>
      <c r="O507" t="e">
        <f ca="1">IFERROR(计算区域!O509,NA())</f>
        <v>#N/A</v>
      </c>
      <c r="Q507" t="e">
        <f ca="1">IFERROR(计算区域!R509,NA())</f>
        <v>#N/A</v>
      </c>
      <c r="R507" t="e">
        <f ca="1">IFERROR(计算区域!S509,NA())</f>
        <v>#N/A</v>
      </c>
      <c r="S507" t="e">
        <f ca="1">IFERROR(计算区域!T509,NA())</f>
        <v>#N/A</v>
      </c>
      <c r="T507" t="e">
        <f ca="1">IFERROR(计算区域!U509,NA())</f>
        <v>#N/A</v>
      </c>
      <c r="V507" t="e">
        <f ca="1">IFERROR(计算区域!X509,NA())</f>
        <v>#N/A</v>
      </c>
      <c r="W507" t="e">
        <f ca="1">IFERROR(计算区域!Y509,NA())</f>
        <v>#N/A</v>
      </c>
      <c r="X507" t="e">
        <f ca="1">IFERROR(计算区域!Z509,NA())</f>
        <v>#N/A</v>
      </c>
      <c r="Y507" t="e">
        <f ca="1">IFERROR(计算区域!AA509,NA())</f>
        <v>#N/A</v>
      </c>
    </row>
    <row r="508" spans="1:25" x14ac:dyDescent="0.2">
      <c r="A508" s="28">
        <f>计算区域!E510</f>
        <v>44714</v>
      </c>
      <c r="B508" t="e">
        <f ca="1">IFERROR(计算区域!AJ510,NA())</f>
        <v>#N/A</v>
      </c>
      <c r="C508" t="e">
        <f ca="1">IFERROR(计算区域!AK510,NA())</f>
        <v>#N/A</v>
      </c>
      <c r="D508" t="e">
        <f ca="1">IFERROR(计算区域!AL510,NA())</f>
        <v>#N/A</v>
      </c>
      <c r="E508" t="e">
        <f ca="1">IFERROR(计算区域!AM510,NA())</f>
        <v>#N/A</v>
      </c>
      <c r="G508" t="e">
        <f ca="1">IFERROR(计算区域!AD510,NA())</f>
        <v>#N/A</v>
      </c>
      <c r="H508" t="e">
        <f ca="1">IFERROR(计算区域!AE510,NA())</f>
        <v>#N/A</v>
      </c>
      <c r="I508" t="e">
        <f ca="1">IFERROR(计算区域!AF510,NA())</f>
        <v>#N/A</v>
      </c>
      <c r="J508" t="e">
        <f ca="1">IFERROR(计算区域!AG510,NA())</f>
        <v>#N/A</v>
      </c>
      <c r="L508" t="e">
        <f ca="1">IFERROR(计算区域!L510,NA())</f>
        <v>#N/A</v>
      </c>
      <c r="M508" t="e">
        <f ca="1">IFERROR(计算区域!M510,NA())</f>
        <v>#N/A</v>
      </c>
      <c r="N508" t="e">
        <f ca="1">IFERROR(计算区域!N510,NA())</f>
        <v>#N/A</v>
      </c>
      <c r="O508" t="e">
        <f ca="1">IFERROR(计算区域!O510,NA())</f>
        <v>#N/A</v>
      </c>
      <c r="Q508" t="e">
        <f ca="1">IFERROR(计算区域!R510,NA())</f>
        <v>#N/A</v>
      </c>
      <c r="R508" t="e">
        <f ca="1">IFERROR(计算区域!S510,NA())</f>
        <v>#N/A</v>
      </c>
      <c r="S508" t="e">
        <f ca="1">IFERROR(计算区域!T510,NA())</f>
        <v>#N/A</v>
      </c>
      <c r="T508" t="e">
        <f ca="1">IFERROR(计算区域!U510,NA())</f>
        <v>#N/A</v>
      </c>
      <c r="V508" t="e">
        <f ca="1">IFERROR(计算区域!X510,NA())</f>
        <v>#N/A</v>
      </c>
      <c r="W508" t="e">
        <f ca="1">IFERROR(计算区域!Y510,NA())</f>
        <v>#N/A</v>
      </c>
      <c r="X508" t="e">
        <f ca="1">IFERROR(计算区域!Z510,NA())</f>
        <v>#N/A</v>
      </c>
      <c r="Y508" t="e">
        <f ca="1">IFERROR(计算区域!AA510,NA())</f>
        <v>#N/A</v>
      </c>
    </row>
    <row r="509" spans="1:25" x14ac:dyDescent="0.2">
      <c r="A509" s="28">
        <f>计算区域!E511</f>
        <v>44713</v>
      </c>
      <c r="B509" t="e">
        <f ca="1">IFERROR(计算区域!AJ511,NA())</f>
        <v>#N/A</v>
      </c>
      <c r="C509" t="e">
        <f ca="1">IFERROR(计算区域!AK511,NA())</f>
        <v>#N/A</v>
      </c>
      <c r="D509" t="e">
        <f ca="1">IFERROR(计算区域!AL511,NA())</f>
        <v>#N/A</v>
      </c>
      <c r="E509" t="e">
        <f ca="1">IFERROR(计算区域!AM511,NA())</f>
        <v>#N/A</v>
      </c>
      <c r="G509" t="e">
        <f ca="1">IFERROR(计算区域!AD511,NA())</f>
        <v>#N/A</v>
      </c>
      <c r="H509" t="e">
        <f ca="1">IFERROR(计算区域!AE511,NA())</f>
        <v>#N/A</v>
      </c>
      <c r="I509" t="e">
        <f ca="1">IFERROR(计算区域!AF511,NA())</f>
        <v>#N/A</v>
      </c>
      <c r="J509" t="e">
        <f ca="1">IFERROR(计算区域!AG511,NA())</f>
        <v>#N/A</v>
      </c>
      <c r="L509" t="e">
        <f ca="1">IFERROR(计算区域!L511,NA())</f>
        <v>#N/A</v>
      </c>
      <c r="M509" t="e">
        <f ca="1">IFERROR(计算区域!M511,NA())</f>
        <v>#N/A</v>
      </c>
      <c r="N509" t="e">
        <f ca="1">IFERROR(计算区域!N511,NA())</f>
        <v>#N/A</v>
      </c>
      <c r="O509" t="e">
        <f ca="1">IFERROR(计算区域!O511,NA())</f>
        <v>#N/A</v>
      </c>
      <c r="Q509" t="e">
        <f ca="1">IFERROR(计算区域!R511,NA())</f>
        <v>#N/A</v>
      </c>
      <c r="R509" t="e">
        <f ca="1">IFERROR(计算区域!S511,NA())</f>
        <v>#N/A</v>
      </c>
      <c r="S509" t="e">
        <f ca="1">IFERROR(计算区域!T511,NA())</f>
        <v>#N/A</v>
      </c>
      <c r="T509" t="e">
        <f ca="1">IFERROR(计算区域!U511,NA())</f>
        <v>#N/A</v>
      </c>
      <c r="V509" t="e">
        <f ca="1">IFERROR(计算区域!X511,NA())</f>
        <v>#N/A</v>
      </c>
      <c r="W509" t="e">
        <f ca="1">IFERROR(计算区域!Y511,NA())</f>
        <v>#N/A</v>
      </c>
      <c r="X509" t="e">
        <f ca="1">IFERROR(计算区域!Z511,NA())</f>
        <v>#N/A</v>
      </c>
      <c r="Y509" t="e">
        <f ca="1">IFERROR(计算区域!AA511,NA())</f>
        <v>#N/A</v>
      </c>
    </row>
    <row r="510" spans="1:25" x14ac:dyDescent="0.2">
      <c r="A510" s="28">
        <f>计算区域!E512</f>
        <v>44712</v>
      </c>
      <c r="B510" t="e">
        <f ca="1">IFERROR(计算区域!AJ512,NA())</f>
        <v>#N/A</v>
      </c>
      <c r="C510" t="e">
        <f ca="1">IFERROR(计算区域!AK512,NA())</f>
        <v>#N/A</v>
      </c>
      <c r="D510" t="e">
        <f ca="1">IFERROR(计算区域!AL512,NA())</f>
        <v>#N/A</v>
      </c>
      <c r="E510" t="e">
        <f ca="1">IFERROR(计算区域!AM512,NA())</f>
        <v>#N/A</v>
      </c>
      <c r="G510" t="e">
        <f ca="1">IFERROR(计算区域!AD512,NA())</f>
        <v>#N/A</v>
      </c>
      <c r="H510" t="e">
        <f ca="1">IFERROR(计算区域!AE512,NA())</f>
        <v>#N/A</v>
      </c>
      <c r="I510" t="e">
        <f ca="1">IFERROR(计算区域!AF512,NA())</f>
        <v>#N/A</v>
      </c>
      <c r="J510" t="e">
        <f ca="1">IFERROR(计算区域!AG512,NA())</f>
        <v>#N/A</v>
      </c>
      <c r="L510" t="e">
        <f ca="1">IFERROR(计算区域!L512,NA())</f>
        <v>#N/A</v>
      </c>
      <c r="M510" t="e">
        <f ca="1">IFERROR(计算区域!M512,NA())</f>
        <v>#N/A</v>
      </c>
      <c r="N510" t="e">
        <f ca="1">IFERROR(计算区域!N512,NA())</f>
        <v>#N/A</v>
      </c>
      <c r="O510" t="e">
        <f ca="1">IFERROR(计算区域!O512,NA())</f>
        <v>#N/A</v>
      </c>
      <c r="Q510" t="e">
        <f ca="1">IFERROR(计算区域!R512,NA())</f>
        <v>#N/A</v>
      </c>
      <c r="R510" t="e">
        <f ca="1">IFERROR(计算区域!S512,NA())</f>
        <v>#N/A</v>
      </c>
      <c r="S510" t="e">
        <f ca="1">IFERROR(计算区域!T512,NA())</f>
        <v>#N/A</v>
      </c>
      <c r="T510" t="e">
        <f ca="1">IFERROR(计算区域!U512,NA())</f>
        <v>#N/A</v>
      </c>
      <c r="V510" t="e">
        <f ca="1">IFERROR(计算区域!X512,NA())</f>
        <v>#N/A</v>
      </c>
      <c r="W510" t="e">
        <f ca="1">IFERROR(计算区域!Y512,NA())</f>
        <v>#N/A</v>
      </c>
      <c r="X510" t="e">
        <f ca="1">IFERROR(计算区域!Z512,NA())</f>
        <v>#N/A</v>
      </c>
      <c r="Y510" t="e">
        <f ca="1">IFERROR(计算区域!AA512,NA())</f>
        <v>#N/A</v>
      </c>
    </row>
    <row r="511" spans="1:25" x14ac:dyDescent="0.2">
      <c r="A511" s="28">
        <f>计算区域!E513</f>
        <v>44711</v>
      </c>
      <c r="B511" t="e">
        <f ca="1">IFERROR(计算区域!AJ513,NA())</f>
        <v>#N/A</v>
      </c>
      <c r="C511" t="e">
        <f ca="1">IFERROR(计算区域!AK513,NA())</f>
        <v>#N/A</v>
      </c>
      <c r="D511" t="e">
        <f ca="1">IFERROR(计算区域!AL513,NA())</f>
        <v>#N/A</v>
      </c>
      <c r="E511" t="e">
        <f ca="1">IFERROR(计算区域!AM513,NA())</f>
        <v>#N/A</v>
      </c>
      <c r="G511" t="e">
        <f ca="1">IFERROR(计算区域!AD513,NA())</f>
        <v>#N/A</v>
      </c>
      <c r="H511" t="e">
        <f ca="1">IFERROR(计算区域!AE513,NA())</f>
        <v>#N/A</v>
      </c>
      <c r="I511" t="e">
        <f ca="1">IFERROR(计算区域!AF513,NA())</f>
        <v>#N/A</v>
      </c>
      <c r="J511" t="e">
        <f ca="1">IFERROR(计算区域!AG513,NA())</f>
        <v>#N/A</v>
      </c>
      <c r="L511" t="e">
        <f ca="1">IFERROR(计算区域!L513,NA())</f>
        <v>#N/A</v>
      </c>
      <c r="M511" t="e">
        <f ca="1">IFERROR(计算区域!M513,NA())</f>
        <v>#N/A</v>
      </c>
      <c r="N511" t="e">
        <f ca="1">IFERROR(计算区域!N513,NA())</f>
        <v>#N/A</v>
      </c>
      <c r="O511" t="e">
        <f ca="1">IFERROR(计算区域!O513,NA())</f>
        <v>#N/A</v>
      </c>
      <c r="Q511" t="e">
        <f ca="1">IFERROR(计算区域!R513,NA())</f>
        <v>#N/A</v>
      </c>
      <c r="R511" t="e">
        <f ca="1">IFERROR(计算区域!S513,NA())</f>
        <v>#N/A</v>
      </c>
      <c r="S511" t="e">
        <f ca="1">IFERROR(计算区域!T513,NA())</f>
        <v>#N/A</v>
      </c>
      <c r="T511" t="e">
        <f ca="1">IFERROR(计算区域!U513,NA())</f>
        <v>#N/A</v>
      </c>
      <c r="V511" t="e">
        <f ca="1">IFERROR(计算区域!X513,NA())</f>
        <v>#N/A</v>
      </c>
      <c r="W511" t="e">
        <f ca="1">IFERROR(计算区域!Y513,NA())</f>
        <v>#N/A</v>
      </c>
      <c r="X511" t="e">
        <f ca="1">IFERROR(计算区域!Z513,NA())</f>
        <v>#N/A</v>
      </c>
      <c r="Y511" t="e">
        <f ca="1">IFERROR(计算区域!AA513,NA())</f>
        <v>#N/A</v>
      </c>
    </row>
    <row r="512" spans="1:25" x14ac:dyDescent="0.2">
      <c r="A512" s="28">
        <f>计算区域!E514</f>
        <v>44708</v>
      </c>
      <c r="B512" t="e">
        <f ca="1">IFERROR(计算区域!AJ514,NA())</f>
        <v>#N/A</v>
      </c>
      <c r="C512" t="e">
        <f ca="1">IFERROR(计算区域!AK514,NA())</f>
        <v>#N/A</v>
      </c>
      <c r="D512" t="e">
        <f ca="1">IFERROR(计算区域!AL514,NA())</f>
        <v>#N/A</v>
      </c>
      <c r="E512" t="e">
        <f ca="1">IFERROR(计算区域!AM514,NA())</f>
        <v>#N/A</v>
      </c>
      <c r="G512" t="e">
        <f ca="1">IFERROR(计算区域!AD514,NA())</f>
        <v>#N/A</v>
      </c>
      <c r="H512" t="e">
        <f ca="1">IFERROR(计算区域!AE514,NA())</f>
        <v>#N/A</v>
      </c>
      <c r="I512" t="e">
        <f ca="1">IFERROR(计算区域!AF514,NA())</f>
        <v>#N/A</v>
      </c>
      <c r="J512" t="e">
        <f ca="1">IFERROR(计算区域!AG514,NA())</f>
        <v>#N/A</v>
      </c>
      <c r="L512" t="e">
        <f ca="1">IFERROR(计算区域!L514,NA())</f>
        <v>#N/A</v>
      </c>
      <c r="M512" t="e">
        <f ca="1">IFERROR(计算区域!M514,NA())</f>
        <v>#N/A</v>
      </c>
      <c r="N512" t="e">
        <f ca="1">IFERROR(计算区域!N514,NA())</f>
        <v>#N/A</v>
      </c>
      <c r="O512" t="e">
        <f ca="1">IFERROR(计算区域!O514,NA())</f>
        <v>#N/A</v>
      </c>
      <c r="Q512" t="e">
        <f ca="1">IFERROR(计算区域!R514,NA())</f>
        <v>#N/A</v>
      </c>
      <c r="R512" t="e">
        <f ca="1">IFERROR(计算区域!S514,NA())</f>
        <v>#N/A</v>
      </c>
      <c r="S512" t="e">
        <f ca="1">IFERROR(计算区域!T514,NA())</f>
        <v>#N/A</v>
      </c>
      <c r="T512" t="e">
        <f ca="1">IFERROR(计算区域!U514,NA())</f>
        <v>#N/A</v>
      </c>
      <c r="V512" t="e">
        <f ca="1">IFERROR(计算区域!X514,NA())</f>
        <v>#N/A</v>
      </c>
      <c r="W512" t="e">
        <f ca="1">IFERROR(计算区域!Y514,NA())</f>
        <v>#N/A</v>
      </c>
      <c r="X512" t="e">
        <f ca="1">IFERROR(计算区域!Z514,NA())</f>
        <v>#N/A</v>
      </c>
      <c r="Y512" t="e">
        <f ca="1">IFERROR(计算区域!AA514,NA())</f>
        <v>#N/A</v>
      </c>
    </row>
    <row r="513" spans="1:25" x14ac:dyDescent="0.2">
      <c r="A513" s="28">
        <f>计算区域!E515</f>
        <v>44707</v>
      </c>
      <c r="B513" t="e">
        <f ca="1">IFERROR(计算区域!AJ515,NA())</f>
        <v>#N/A</v>
      </c>
      <c r="C513" t="e">
        <f ca="1">IFERROR(计算区域!AK515,NA())</f>
        <v>#N/A</v>
      </c>
      <c r="D513" t="e">
        <f ca="1">IFERROR(计算区域!AL515,NA())</f>
        <v>#N/A</v>
      </c>
      <c r="E513" t="e">
        <f ca="1">IFERROR(计算区域!AM515,NA())</f>
        <v>#N/A</v>
      </c>
      <c r="G513" t="e">
        <f ca="1">IFERROR(计算区域!AD515,NA())</f>
        <v>#N/A</v>
      </c>
      <c r="H513" t="e">
        <f ca="1">IFERROR(计算区域!AE515,NA())</f>
        <v>#N/A</v>
      </c>
      <c r="I513" t="e">
        <f ca="1">IFERROR(计算区域!AF515,NA())</f>
        <v>#N/A</v>
      </c>
      <c r="J513" t="e">
        <f ca="1">IFERROR(计算区域!AG515,NA())</f>
        <v>#N/A</v>
      </c>
      <c r="L513" t="e">
        <f ca="1">IFERROR(计算区域!L515,NA())</f>
        <v>#N/A</v>
      </c>
      <c r="M513" t="e">
        <f ca="1">IFERROR(计算区域!M515,NA())</f>
        <v>#N/A</v>
      </c>
      <c r="N513" t="e">
        <f ca="1">IFERROR(计算区域!N515,NA())</f>
        <v>#N/A</v>
      </c>
      <c r="O513" t="e">
        <f ca="1">IFERROR(计算区域!O515,NA())</f>
        <v>#N/A</v>
      </c>
      <c r="Q513" t="e">
        <f ca="1">IFERROR(计算区域!R515,NA())</f>
        <v>#N/A</v>
      </c>
      <c r="R513" t="e">
        <f ca="1">IFERROR(计算区域!S515,NA())</f>
        <v>#N/A</v>
      </c>
      <c r="S513" t="e">
        <f ca="1">IFERROR(计算区域!T515,NA())</f>
        <v>#N/A</v>
      </c>
      <c r="T513" t="e">
        <f ca="1">IFERROR(计算区域!U515,NA())</f>
        <v>#N/A</v>
      </c>
      <c r="V513" t="e">
        <f ca="1">IFERROR(计算区域!X515,NA())</f>
        <v>#N/A</v>
      </c>
      <c r="W513" t="e">
        <f ca="1">IFERROR(计算区域!Y515,NA())</f>
        <v>#N/A</v>
      </c>
      <c r="X513" t="e">
        <f ca="1">IFERROR(计算区域!Z515,NA())</f>
        <v>#N/A</v>
      </c>
      <c r="Y513" t="e">
        <f ca="1">IFERROR(计算区域!AA515,NA())</f>
        <v>#N/A</v>
      </c>
    </row>
    <row r="514" spans="1:25" x14ac:dyDescent="0.2">
      <c r="A514" s="28">
        <f>计算区域!E516</f>
        <v>44706</v>
      </c>
      <c r="B514" t="e">
        <f ca="1">IFERROR(计算区域!AJ516,NA())</f>
        <v>#N/A</v>
      </c>
      <c r="C514" t="e">
        <f ca="1">IFERROR(计算区域!AK516,NA())</f>
        <v>#N/A</v>
      </c>
      <c r="D514" t="e">
        <f ca="1">IFERROR(计算区域!AL516,NA())</f>
        <v>#N/A</v>
      </c>
      <c r="E514" t="e">
        <f ca="1">IFERROR(计算区域!AM516,NA())</f>
        <v>#N/A</v>
      </c>
      <c r="G514" t="e">
        <f ca="1">IFERROR(计算区域!AD516,NA())</f>
        <v>#N/A</v>
      </c>
      <c r="H514" t="e">
        <f ca="1">IFERROR(计算区域!AE516,NA())</f>
        <v>#N/A</v>
      </c>
      <c r="I514" t="e">
        <f ca="1">IFERROR(计算区域!AF516,NA())</f>
        <v>#N/A</v>
      </c>
      <c r="J514" t="e">
        <f ca="1">IFERROR(计算区域!AG516,NA())</f>
        <v>#N/A</v>
      </c>
      <c r="L514" t="e">
        <f ca="1">IFERROR(计算区域!L516,NA())</f>
        <v>#N/A</v>
      </c>
      <c r="M514" t="e">
        <f ca="1">IFERROR(计算区域!M516,NA())</f>
        <v>#N/A</v>
      </c>
      <c r="N514" t="e">
        <f ca="1">IFERROR(计算区域!N516,NA())</f>
        <v>#N/A</v>
      </c>
      <c r="O514" t="e">
        <f ca="1">IFERROR(计算区域!O516,NA())</f>
        <v>#N/A</v>
      </c>
      <c r="Q514" t="e">
        <f ca="1">IFERROR(计算区域!R516,NA())</f>
        <v>#N/A</v>
      </c>
      <c r="R514" t="e">
        <f ca="1">IFERROR(计算区域!S516,NA())</f>
        <v>#N/A</v>
      </c>
      <c r="S514" t="e">
        <f ca="1">IFERROR(计算区域!T516,NA())</f>
        <v>#N/A</v>
      </c>
      <c r="T514" t="e">
        <f ca="1">IFERROR(计算区域!U516,NA())</f>
        <v>#N/A</v>
      </c>
      <c r="V514" t="e">
        <f ca="1">IFERROR(计算区域!X516,NA())</f>
        <v>#N/A</v>
      </c>
      <c r="W514" t="e">
        <f ca="1">IFERROR(计算区域!Y516,NA())</f>
        <v>#N/A</v>
      </c>
      <c r="X514" t="e">
        <f ca="1">IFERROR(计算区域!Z516,NA())</f>
        <v>#N/A</v>
      </c>
      <c r="Y514" t="e">
        <f ca="1">IFERROR(计算区域!AA516,NA())</f>
        <v>#N/A</v>
      </c>
    </row>
    <row r="515" spans="1:25" x14ac:dyDescent="0.2">
      <c r="A515" s="28">
        <f>计算区域!E517</f>
        <v>44705</v>
      </c>
      <c r="B515" t="e">
        <f ca="1">IFERROR(计算区域!AJ517,NA())</f>
        <v>#N/A</v>
      </c>
      <c r="C515" t="e">
        <f ca="1">IFERROR(计算区域!AK517,NA())</f>
        <v>#N/A</v>
      </c>
      <c r="D515" t="e">
        <f ca="1">IFERROR(计算区域!AL517,NA())</f>
        <v>#N/A</v>
      </c>
      <c r="E515" t="e">
        <f ca="1">IFERROR(计算区域!AM517,NA())</f>
        <v>#N/A</v>
      </c>
      <c r="G515" t="e">
        <f ca="1">IFERROR(计算区域!AD517,NA())</f>
        <v>#N/A</v>
      </c>
      <c r="H515" t="e">
        <f ca="1">IFERROR(计算区域!AE517,NA())</f>
        <v>#N/A</v>
      </c>
      <c r="I515" t="e">
        <f ca="1">IFERROR(计算区域!AF517,NA())</f>
        <v>#N/A</v>
      </c>
      <c r="J515" t="e">
        <f ca="1">IFERROR(计算区域!AG517,NA())</f>
        <v>#N/A</v>
      </c>
      <c r="L515" t="e">
        <f ca="1">IFERROR(计算区域!L517,NA())</f>
        <v>#N/A</v>
      </c>
      <c r="M515" t="e">
        <f ca="1">IFERROR(计算区域!M517,NA())</f>
        <v>#N/A</v>
      </c>
      <c r="N515" t="e">
        <f ca="1">IFERROR(计算区域!N517,NA())</f>
        <v>#N/A</v>
      </c>
      <c r="O515" t="e">
        <f ca="1">IFERROR(计算区域!O517,NA())</f>
        <v>#N/A</v>
      </c>
      <c r="Q515" t="e">
        <f ca="1">IFERROR(计算区域!R517,NA())</f>
        <v>#N/A</v>
      </c>
      <c r="R515" t="e">
        <f ca="1">IFERROR(计算区域!S517,NA())</f>
        <v>#N/A</v>
      </c>
      <c r="S515" t="e">
        <f ca="1">IFERROR(计算区域!T517,NA())</f>
        <v>#N/A</v>
      </c>
      <c r="T515" t="e">
        <f ca="1">IFERROR(计算区域!U517,NA())</f>
        <v>#N/A</v>
      </c>
      <c r="V515" t="e">
        <f ca="1">IFERROR(计算区域!X517,NA())</f>
        <v>#N/A</v>
      </c>
      <c r="W515" t="e">
        <f ca="1">IFERROR(计算区域!Y517,NA())</f>
        <v>#N/A</v>
      </c>
      <c r="X515" t="e">
        <f ca="1">IFERROR(计算区域!Z517,NA())</f>
        <v>#N/A</v>
      </c>
      <c r="Y515" t="e">
        <f ca="1">IFERROR(计算区域!AA517,NA())</f>
        <v>#N/A</v>
      </c>
    </row>
    <row r="516" spans="1:25" x14ac:dyDescent="0.2">
      <c r="A516" s="28">
        <f>计算区域!E518</f>
        <v>44704</v>
      </c>
      <c r="B516" t="e">
        <f ca="1">IFERROR(计算区域!AJ518,NA())</f>
        <v>#N/A</v>
      </c>
      <c r="C516" t="e">
        <f ca="1">IFERROR(计算区域!AK518,NA())</f>
        <v>#N/A</v>
      </c>
      <c r="D516" t="e">
        <f ca="1">IFERROR(计算区域!AL518,NA())</f>
        <v>#N/A</v>
      </c>
      <c r="E516" t="e">
        <f ca="1">IFERROR(计算区域!AM518,NA())</f>
        <v>#N/A</v>
      </c>
      <c r="G516" t="e">
        <f ca="1">IFERROR(计算区域!AD518,NA())</f>
        <v>#N/A</v>
      </c>
      <c r="H516" t="e">
        <f ca="1">IFERROR(计算区域!AE518,NA())</f>
        <v>#N/A</v>
      </c>
      <c r="I516" t="e">
        <f ca="1">IFERROR(计算区域!AF518,NA())</f>
        <v>#N/A</v>
      </c>
      <c r="J516" t="e">
        <f ca="1">IFERROR(计算区域!AG518,NA())</f>
        <v>#N/A</v>
      </c>
      <c r="L516" t="e">
        <f ca="1">IFERROR(计算区域!L518,NA())</f>
        <v>#N/A</v>
      </c>
      <c r="M516" t="e">
        <f ca="1">IFERROR(计算区域!M518,NA())</f>
        <v>#N/A</v>
      </c>
      <c r="N516" t="e">
        <f ca="1">IFERROR(计算区域!N518,NA())</f>
        <v>#N/A</v>
      </c>
      <c r="O516" t="e">
        <f ca="1">IFERROR(计算区域!O518,NA())</f>
        <v>#N/A</v>
      </c>
      <c r="Q516" t="e">
        <f ca="1">IFERROR(计算区域!R518,NA())</f>
        <v>#N/A</v>
      </c>
      <c r="R516" t="e">
        <f ca="1">IFERROR(计算区域!S518,NA())</f>
        <v>#N/A</v>
      </c>
      <c r="S516" t="e">
        <f ca="1">IFERROR(计算区域!T518,NA())</f>
        <v>#N/A</v>
      </c>
      <c r="T516" t="e">
        <f ca="1">IFERROR(计算区域!U518,NA())</f>
        <v>#N/A</v>
      </c>
      <c r="V516" t="e">
        <f ca="1">IFERROR(计算区域!X518,NA())</f>
        <v>#N/A</v>
      </c>
      <c r="W516" t="e">
        <f ca="1">IFERROR(计算区域!Y518,NA())</f>
        <v>#N/A</v>
      </c>
      <c r="X516" t="e">
        <f ca="1">IFERROR(计算区域!Z518,NA())</f>
        <v>#N/A</v>
      </c>
      <c r="Y516" t="e">
        <f ca="1">IFERROR(计算区域!AA518,NA())</f>
        <v>#N/A</v>
      </c>
    </row>
    <row r="517" spans="1:25" x14ac:dyDescent="0.2">
      <c r="A517" s="28">
        <f>计算区域!E519</f>
        <v>44701</v>
      </c>
      <c r="B517" t="e">
        <f ca="1">IFERROR(计算区域!AJ519,NA())</f>
        <v>#N/A</v>
      </c>
      <c r="C517" t="e">
        <f ca="1">IFERROR(计算区域!AK519,NA())</f>
        <v>#N/A</v>
      </c>
      <c r="D517" t="e">
        <f ca="1">IFERROR(计算区域!AL519,NA())</f>
        <v>#N/A</v>
      </c>
      <c r="E517" t="e">
        <f ca="1">IFERROR(计算区域!AM519,NA())</f>
        <v>#N/A</v>
      </c>
      <c r="G517" t="e">
        <f ca="1">IFERROR(计算区域!AD519,NA())</f>
        <v>#N/A</v>
      </c>
      <c r="H517" t="e">
        <f ca="1">IFERROR(计算区域!AE519,NA())</f>
        <v>#N/A</v>
      </c>
      <c r="I517" t="e">
        <f ca="1">IFERROR(计算区域!AF519,NA())</f>
        <v>#N/A</v>
      </c>
      <c r="J517" t="e">
        <f ca="1">IFERROR(计算区域!AG519,NA())</f>
        <v>#N/A</v>
      </c>
      <c r="L517" t="e">
        <f ca="1">IFERROR(计算区域!L519,NA())</f>
        <v>#N/A</v>
      </c>
      <c r="M517" t="e">
        <f ca="1">IFERROR(计算区域!M519,NA())</f>
        <v>#N/A</v>
      </c>
      <c r="N517" t="e">
        <f ca="1">IFERROR(计算区域!N519,NA())</f>
        <v>#N/A</v>
      </c>
      <c r="O517" t="e">
        <f ca="1">IFERROR(计算区域!O519,NA())</f>
        <v>#N/A</v>
      </c>
      <c r="Q517" t="e">
        <f ca="1">IFERROR(计算区域!R519,NA())</f>
        <v>#N/A</v>
      </c>
      <c r="R517" t="e">
        <f ca="1">IFERROR(计算区域!S519,NA())</f>
        <v>#N/A</v>
      </c>
      <c r="S517" t="e">
        <f ca="1">IFERROR(计算区域!T519,NA())</f>
        <v>#N/A</v>
      </c>
      <c r="T517" t="e">
        <f ca="1">IFERROR(计算区域!U519,NA())</f>
        <v>#N/A</v>
      </c>
      <c r="V517" t="e">
        <f ca="1">IFERROR(计算区域!X519,NA())</f>
        <v>#N/A</v>
      </c>
      <c r="W517" t="e">
        <f ca="1">IFERROR(计算区域!Y519,NA())</f>
        <v>#N/A</v>
      </c>
      <c r="X517" t="e">
        <f ca="1">IFERROR(计算区域!Z519,NA())</f>
        <v>#N/A</v>
      </c>
      <c r="Y517" t="e">
        <f ca="1">IFERROR(计算区域!AA519,NA())</f>
        <v>#N/A</v>
      </c>
    </row>
    <row r="518" spans="1:25" x14ac:dyDescent="0.2">
      <c r="A518" s="28">
        <f>计算区域!E520</f>
        <v>44700</v>
      </c>
      <c r="B518" t="e">
        <f ca="1">IFERROR(计算区域!AJ520,NA())</f>
        <v>#N/A</v>
      </c>
      <c r="C518" t="e">
        <f ca="1">IFERROR(计算区域!AK520,NA())</f>
        <v>#N/A</v>
      </c>
      <c r="D518" t="e">
        <f ca="1">IFERROR(计算区域!AL520,NA())</f>
        <v>#N/A</v>
      </c>
      <c r="E518" t="e">
        <f ca="1">IFERROR(计算区域!AM520,NA())</f>
        <v>#N/A</v>
      </c>
      <c r="G518" t="e">
        <f ca="1">IFERROR(计算区域!AD520,NA())</f>
        <v>#N/A</v>
      </c>
      <c r="H518" t="e">
        <f ca="1">IFERROR(计算区域!AE520,NA())</f>
        <v>#N/A</v>
      </c>
      <c r="I518" t="e">
        <f ca="1">IFERROR(计算区域!AF520,NA())</f>
        <v>#N/A</v>
      </c>
      <c r="J518" t="e">
        <f ca="1">IFERROR(计算区域!AG520,NA())</f>
        <v>#N/A</v>
      </c>
      <c r="L518" t="e">
        <f ca="1">IFERROR(计算区域!L520,NA())</f>
        <v>#N/A</v>
      </c>
      <c r="M518" t="e">
        <f ca="1">IFERROR(计算区域!M520,NA())</f>
        <v>#N/A</v>
      </c>
      <c r="N518" t="e">
        <f ca="1">IFERROR(计算区域!N520,NA())</f>
        <v>#N/A</v>
      </c>
      <c r="O518" t="e">
        <f ca="1">IFERROR(计算区域!O520,NA())</f>
        <v>#N/A</v>
      </c>
      <c r="Q518" t="e">
        <f ca="1">IFERROR(计算区域!R520,NA())</f>
        <v>#N/A</v>
      </c>
      <c r="R518" t="e">
        <f ca="1">IFERROR(计算区域!S520,NA())</f>
        <v>#N/A</v>
      </c>
      <c r="S518" t="e">
        <f ca="1">IFERROR(计算区域!T520,NA())</f>
        <v>#N/A</v>
      </c>
      <c r="T518" t="e">
        <f ca="1">IFERROR(计算区域!U520,NA())</f>
        <v>#N/A</v>
      </c>
      <c r="V518" t="e">
        <f ca="1">IFERROR(计算区域!X520,NA())</f>
        <v>#N/A</v>
      </c>
      <c r="W518" t="e">
        <f ca="1">IFERROR(计算区域!Y520,NA())</f>
        <v>#N/A</v>
      </c>
      <c r="X518" t="e">
        <f ca="1">IFERROR(计算区域!Z520,NA())</f>
        <v>#N/A</v>
      </c>
      <c r="Y518" t="e">
        <f ca="1">IFERROR(计算区域!AA520,NA())</f>
        <v>#N/A</v>
      </c>
    </row>
    <row r="519" spans="1:25" x14ac:dyDescent="0.2">
      <c r="A519" s="28">
        <f>计算区域!E521</f>
        <v>44699</v>
      </c>
      <c r="B519" t="e">
        <f ca="1">IFERROR(计算区域!AJ521,NA())</f>
        <v>#N/A</v>
      </c>
      <c r="C519" t="e">
        <f ca="1">IFERROR(计算区域!AK521,NA())</f>
        <v>#N/A</v>
      </c>
      <c r="D519" t="e">
        <f ca="1">IFERROR(计算区域!AL521,NA())</f>
        <v>#N/A</v>
      </c>
      <c r="E519" t="e">
        <f ca="1">IFERROR(计算区域!AM521,NA())</f>
        <v>#N/A</v>
      </c>
      <c r="G519" t="e">
        <f ca="1">IFERROR(计算区域!AD521,NA())</f>
        <v>#N/A</v>
      </c>
      <c r="H519" t="e">
        <f ca="1">IFERROR(计算区域!AE521,NA())</f>
        <v>#N/A</v>
      </c>
      <c r="I519" t="e">
        <f ca="1">IFERROR(计算区域!AF521,NA())</f>
        <v>#N/A</v>
      </c>
      <c r="J519" t="e">
        <f ca="1">IFERROR(计算区域!AG521,NA())</f>
        <v>#N/A</v>
      </c>
      <c r="L519" t="e">
        <f ca="1">IFERROR(计算区域!L521,NA())</f>
        <v>#N/A</v>
      </c>
      <c r="M519" t="e">
        <f ca="1">IFERROR(计算区域!M521,NA())</f>
        <v>#N/A</v>
      </c>
      <c r="N519" t="e">
        <f ca="1">IFERROR(计算区域!N521,NA())</f>
        <v>#N/A</v>
      </c>
      <c r="O519" t="e">
        <f ca="1">IFERROR(计算区域!O521,NA())</f>
        <v>#N/A</v>
      </c>
      <c r="Q519" t="e">
        <f ca="1">IFERROR(计算区域!R521,NA())</f>
        <v>#N/A</v>
      </c>
      <c r="R519" t="e">
        <f ca="1">IFERROR(计算区域!S521,NA())</f>
        <v>#N/A</v>
      </c>
      <c r="S519" t="e">
        <f ca="1">IFERROR(计算区域!T521,NA())</f>
        <v>#N/A</v>
      </c>
      <c r="T519" t="e">
        <f ca="1">IFERROR(计算区域!U521,NA())</f>
        <v>#N/A</v>
      </c>
      <c r="V519" t="e">
        <f ca="1">IFERROR(计算区域!X521,NA())</f>
        <v>#N/A</v>
      </c>
      <c r="W519" t="e">
        <f ca="1">IFERROR(计算区域!Y521,NA())</f>
        <v>#N/A</v>
      </c>
      <c r="X519" t="e">
        <f ca="1">IFERROR(计算区域!Z521,NA())</f>
        <v>#N/A</v>
      </c>
      <c r="Y519" t="e">
        <f ca="1">IFERROR(计算区域!AA521,NA())</f>
        <v>#N/A</v>
      </c>
    </row>
    <row r="520" spans="1:25" x14ac:dyDescent="0.2">
      <c r="A520" s="28">
        <f>计算区域!E522</f>
        <v>44698</v>
      </c>
      <c r="B520" t="e">
        <f ca="1">IFERROR(计算区域!AJ522,NA())</f>
        <v>#N/A</v>
      </c>
      <c r="C520" t="e">
        <f ca="1">IFERROR(计算区域!AK522,NA())</f>
        <v>#N/A</v>
      </c>
      <c r="D520" t="e">
        <f ca="1">IFERROR(计算区域!AL522,NA())</f>
        <v>#N/A</v>
      </c>
      <c r="E520" t="e">
        <f ca="1">IFERROR(计算区域!AM522,NA())</f>
        <v>#N/A</v>
      </c>
      <c r="G520" t="e">
        <f ca="1">IFERROR(计算区域!AD522,NA())</f>
        <v>#N/A</v>
      </c>
      <c r="H520" t="e">
        <f ca="1">IFERROR(计算区域!AE522,NA())</f>
        <v>#N/A</v>
      </c>
      <c r="I520" t="e">
        <f ca="1">IFERROR(计算区域!AF522,NA())</f>
        <v>#N/A</v>
      </c>
      <c r="J520" t="e">
        <f ca="1">IFERROR(计算区域!AG522,NA())</f>
        <v>#N/A</v>
      </c>
      <c r="L520" t="e">
        <f ca="1">IFERROR(计算区域!L522,NA())</f>
        <v>#N/A</v>
      </c>
      <c r="M520" t="e">
        <f ca="1">IFERROR(计算区域!M522,NA())</f>
        <v>#N/A</v>
      </c>
      <c r="N520" t="e">
        <f ca="1">IFERROR(计算区域!N522,NA())</f>
        <v>#N/A</v>
      </c>
      <c r="O520" t="e">
        <f ca="1">IFERROR(计算区域!O522,NA())</f>
        <v>#N/A</v>
      </c>
      <c r="Q520" t="e">
        <f ca="1">IFERROR(计算区域!R522,NA())</f>
        <v>#N/A</v>
      </c>
      <c r="R520" t="e">
        <f ca="1">IFERROR(计算区域!S522,NA())</f>
        <v>#N/A</v>
      </c>
      <c r="S520" t="e">
        <f ca="1">IFERROR(计算区域!T522,NA())</f>
        <v>#N/A</v>
      </c>
      <c r="T520" t="e">
        <f ca="1">IFERROR(计算区域!U522,NA())</f>
        <v>#N/A</v>
      </c>
      <c r="V520" t="e">
        <f ca="1">IFERROR(计算区域!X522,NA())</f>
        <v>#N/A</v>
      </c>
      <c r="W520" t="e">
        <f ca="1">IFERROR(计算区域!Y522,NA())</f>
        <v>#N/A</v>
      </c>
      <c r="X520" t="e">
        <f ca="1">IFERROR(计算区域!Z522,NA())</f>
        <v>#N/A</v>
      </c>
      <c r="Y520" t="e">
        <f ca="1">IFERROR(计算区域!AA522,NA())</f>
        <v>#N/A</v>
      </c>
    </row>
    <row r="521" spans="1:25" x14ac:dyDescent="0.2">
      <c r="A521" s="28">
        <f>计算区域!E523</f>
        <v>44697</v>
      </c>
      <c r="B521" t="e">
        <f ca="1">IFERROR(计算区域!AJ523,NA())</f>
        <v>#N/A</v>
      </c>
      <c r="C521" t="e">
        <f ca="1">IFERROR(计算区域!AK523,NA())</f>
        <v>#N/A</v>
      </c>
      <c r="D521" t="e">
        <f ca="1">IFERROR(计算区域!AL523,NA())</f>
        <v>#N/A</v>
      </c>
      <c r="E521" t="e">
        <f ca="1">IFERROR(计算区域!AM523,NA())</f>
        <v>#N/A</v>
      </c>
      <c r="G521" t="e">
        <f ca="1">IFERROR(计算区域!AD523,NA())</f>
        <v>#N/A</v>
      </c>
      <c r="H521" t="e">
        <f ca="1">IFERROR(计算区域!AE523,NA())</f>
        <v>#N/A</v>
      </c>
      <c r="I521" t="e">
        <f ca="1">IFERROR(计算区域!AF523,NA())</f>
        <v>#N/A</v>
      </c>
      <c r="J521" t="e">
        <f ca="1">IFERROR(计算区域!AG523,NA())</f>
        <v>#N/A</v>
      </c>
      <c r="L521" t="e">
        <f ca="1">IFERROR(计算区域!L523,NA())</f>
        <v>#N/A</v>
      </c>
      <c r="M521" t="e">
        <f ca="1">IFERROR(计算区域!M523,NA())</f>
        <v>#N/A</v>
      </c>
      <c r="N521" t="e">
        <f ca="1">IFERROR(计算区域!N523,NA())</f>
        <v>#N/A</v>
      </c>
      <c r="O521" t="e">
        <f ca="1">IFERROR(计算区域!O523,NA())</f>
        <v>#N/A</v>
      </c>
      <c r="Q521" t="e">
        <f ca="1">IFERROR(计算区域!R523,NA())</f>
        <v>#N/A</v>
      </c>
      <c r="R521" t="e">
        <f ca="1">IFERROR(计算区域!S523,NA())</f>
        <v>#N/A</v>
      </c>
      <c r="S521" t="e">
        <f ca="1">IFERROR(计算区域!T523,NA())</f>
        <v>#N/A</v>
      </c>
      <c r="T521" t="e">
        <f ca="1">IFERROR(计算区域!U523,NA())</f>
        <v>#N/A</v>
      </c>
      <c r="V521" t="e">
        <f ca="1">IFERROR(计算区域!X523,NA())</f>
        <v>#N/A</v>
      </c>
      <c r="W521" t="e">
        <f ca="1">IFERROR(计算区域!Y523,NA())</f>
        <v>#N/A</v>
      </c>
      <c r="X521" t="e">
        <f ca="1">IFERROR(计算区域!Z523,NA())</f>
        <v>#N/A</v>
      </c>
      <c r="Y521" t="e">
        <f ca="1">IFERROR(计算区域!AA523,NA())</f>
        <v>#N/A</v>
      </c>
    </row>
    <row r="522" spans="1:25" x14ac:dyDescent="0.2">
      <c r="A522" s="28">
        <f>计算区域!E524</f>
        <v>44694</v>
      </c>
      <c r="B522" t="e">
        <f ca="1">IFERROR(计算区域!AJ524,NA())</f>
        <v>#N/A</v>
      </c>
      <c r="C522" t="e">
        <f ca="1">IFERROR(计算区域!AK524,NA())</f>
        <v>#N/A</v>
      </c>
      <c r="D522" t="e">
        <f ca="1">IFERROR(计算区域!AL524,NA())</f>
        <v>#N/A</v>
      </c>
      <c r="E522" t="e">
        <f ca="1">IFERROR(计算区域!AM524,NA())</f>
        <v>#N/A</v>
      </c>
      <c r="G522" t="e">
        <f ca="1">IFERROR(计算区域!AD524,NA())</f>
        <v>#N/A</v>
      </c>
      <c r="H522" t="e">
        <f ca="1">IFERROR(计算区域!AE524,NA())</f>
        <v>#N/A</v>
      </c>
      <c r="I522" t="e">
        <f ca="1">IFERROR(计算区域!AF524,NA())</f>
        <v>#N/A</v>
      </c>
      <c r="J522" t="e">
        <f ca="1">IFERROR(计算区域!AG524,NA())</f>
        <v>#N/A</v>
      </c>
      <c r="L522" t="e">
        <f ca="1">IFERROR(计算区域!L524,NA())</f>
        <v>#N/A</v>
      </c>
      <c r="M522" t="e">
        <f ca="1">IFERROR(计算区域!M524,NA())</f>
        <v>#N/A</v>
      </c>
      <c r="N522" t="e">
        <f ca="1">IFERROR(计算区域!N524,NA())</f>
        <v>#N/A</v>
      </c>
      <c r="O522" t="e">
        <f ca="1">IFERROR(计算区域!O524,NA())</f>
        <v>#N/A</v>
      </c>
      <c r="Q522" t="e">
        <f ca="1">IFERROR(计算区域!R524,NA())</f>
        <v>#N/A</v>
      </c>
      <c r="R522" t="e">
        <f ca="1">IFERROR(计算区域!S524,NA())</f>
        <v>#N/A</v>
      </c>
      <c r="S522" t="e">
        <f ca="1">IFERROR(计算区域!T524,NA())</f>
        <v>#N/A</v>
      </c>
      <c r="T522" t="e">
        <f ca="1">IFERROR(计算区域!U524,NA())</f>
        <v>#N/A</v>
      </c>
      <c r="V522" t="e">
        <f ca="1">IFERROR(计算区域!X524,NA())</f>
        <v>#N/A</v>
      </c>
      <c r="W522" t="e">
        <f ca="1">IFERROR(计算区域!Y524,NA())</f>
        <v>#N/A</v>
      </c>
      <c r="X522" t="e">
        <f ca="1">IFERROR(计算区域!Z524,NA())</f>
        <v>#N/A</v>
      </c>
      <c r="Y522" t="e">
        <f ca="1">IFERROR(计算区域!AA524,NA())</f>
        <v>#N/A</v>
      </c>
    </row>
    <row r="523" spans="1:25" x14ac:dyDescent="0.2">
      <c r="A523" s="28">
        <f>计算区域!E525</f>
        <v>44693</v>
      </c>
      <c r="B523" t="e">
        <f ca="1">IFERROR(计算区域!AJ525,NA())</f>
        <v>#N/A</v>
      </c>
      <c r="C523" t="e">
        <f ca="1">IFERROR(计算区域!AK525,NA())</f>
        <v>#N/A</v>
      </c>
      <c r="D523" t="e">
        <f ca="1">IFERROR(计算区域!AL525,NA())</f>
        <v>#N/A</v>
      </c>
      <c r="E523" t="e">
        <f ca="1">IFERROR(计算区域!AM525,NA())</f>
        <v>#N/A</v>
      </c>
      <c r="G523" t="e">
        <f ca="1">IFERROR(计算区域!AD525,NA())</f>
        <v>#N/A</v>
      </c>
      <c r="H523" t="e">
        <f ca="1">IFERROR(计算区域!AE525,NA())</f>
        <v>#N/A</v>
      </c>
      <c r="I523" t="e">
        <f ca="1">IFERROR(计算区域!AF525,NA())</f>
        <v>#N/A</v>
      </c>
      <c r="J523" t="e">
        <f ca="1">IFERROR(计算区域!AG525,NA())</f>
        <v>#N/A</v>
      </c>
      <c r="L523" t="e">
        <f ca="1">IFERROR(计算区域!L525,NA())</f>
        <v>#N/A</v>
      </c>
      <c r="M523" t="e">
        <f ca="1">IFERROR(计算区域!M525,NA())</f>
        <v>#N/A</v>
      </c>
      <c r="N523" t="e">
        <f ca="1">IFERROR(计算区域!N525,NA())</f>
        <v>#N/A</v>
      </c>
      <c r="O523" t="e">
        <f ca="1">IFERROR(计算区域!O525,NA())</f>
        <v>#N/A</v>
      </c>
      <c r="Q523" t="e">
        <f ca="1">IFERROR(计算区域!R525,NA())</f>
        <v>#N/A</v>
      </c>
      <c r="R523" t="e">
        <f ca="1">IFERROR(计算区域!S525,NA())</f>
        <v>#N/A</v>
      </c>
      <c r="S523" t="e">
        <f ca="1">IFERROR(计算区域!T525,NA())</f>
        <v>#N/A</v>
      </c>
      <c r="T523" t="e">
        <f ca="1">IFERROR(计算区域!U525,NA())</f>
        <v>#N/A</v>
      </c>
      <c r="V523" t="e">
        <f ca="1">IFERROR(计算区域!X525,NA())</f>
        <v>#N/A</v>
      </c>
      <c r="W523" t="e">
        <f ca="1">IFERROR(计算区域!Y525,NA())</f>
        <v>#N/A</v>
      </c>
      <c r="X523" t="e">
        <f ca="1">IFERROR(计算区域!Z525,NA())</f>
        <v>#N/A</v>
      </c>
      <c r="Y523" t="e">
        <f ca="1">IFERROR(计算区域!AA525,NA())</f>
        <v>#N/A</v>
      </c>
    </row>
    <row r="524" spans="1:25" x14ac:dyDescent="0.2">
      <c r="A524" s="28">
        <f>计算区域!E526</f>
        <v>44692</v>
      </c>
      <c r="B524" t="e">
        <f ca="1">IFERROR(计算区域!AJ526,NA())</f>
        <v>#N/A</v>
      </c>
      <c r="C524" t="e">
        <f ca="1">IFERROR(计算区域!AK526,NA())</f>
        <v>#N/A</v>
      </c>
      <c r="D524" t="e">
        <f ca="1">IFERROR(计算区域!AL526,NA())</f>
        <v>#N/A</v>
      </c>
      <c r="E524" t="e">
        <f ca="1">IFERROR(计算区域!AM526,NA())</f>
        <v>#N/A</v>
      </c>
      <c r="G524" t="e">
        <f ca="1">IFERROR(计算区域!AD526,NA())</f>
        <v>#N/A</v>
      </c>
      <c r="H524" t="e">
        <f ca="1">IFERROR(计算区域!AE526,NA())</f>
        <v>#N/A</v>
      </c>
      <c r="I524" t="e">
        <f ca="1">IFERROR(计算区域!AF526,NA())</f>
        <v>#N/A</v>
      </c>
      <c r="J524" t="e">
        <f ca="1">IFERROR(计算区域!AG526,NA())</f>
        <v>#N/A</v>
      </c>
      <c r="L524" t="e">
        <f ca="1">IFERROR(计算区域!L526,NA())</f>
        <v>#N/A</v>
      </c>
      <c r="M524" t="e">
        <f ca="1">IFERROR(计算区域!M526,NA())</f>
        <v>#N/A</v>
      </c>
      <c r="N524" t="e">
        <f ca="1">IFERROR(计算区域!N526,NA())</f>
        <v>#N/A</v>
      </c>
      <c r="O524" t="e">
        <f ca="1">IFERROR(计算区域!O526,NA())</f>
        <v>#N/A</v>
      </c>
      <c r="Q524" t="e">
        <f ca="1">IFERROR(计算区域!R526,NA())</f>
        <v>#N/A</v>
      </c>
      <c r="R524" t="e">
        <f ca="1">IFERROR(计算区域!S526,NA())</f>
        <v>#N/A</v>
      </c>
      <c r="S524" t="e">
        <f ca="1">IFERROR(计算区域!T526,NA())</f>
        <v>#N/A</v>
      </c>
      <c r="T524" t="e">
        <f ca="1">IFERROR(计算区域!U526,NA())</f>
        <v>#N/A</v>
      </c>
      <c r="V524" t="e">
        <f ca="1">IFERROR(计算区域!X526,NA())</f>
        <v>#N/A</v>
      </c>
      <c r="W524" t="e">
        <f ca="1">IFERROR(计算区域!Y526,NA())</f>
        <v>#N/A</v>
      </c>
      <c r="X524" t="e">
        <f ca="1">IFERROR(计算区域!Z526,NA())</f>
        <v>#N/A</v>
      </c>
      <c r="Y524" t="e">
        <f ca="1">IFERROR(计算区域!AA526,NA())</f>
        <v>#N/A</v>
      </c>
    </row>
    <row r="525" spans="1:25" x14ac:dyDescent="0.2">
      <c r="A525" s="28">
        <f>计算区域!E527</f>
        <v>44691</v>
      </c>
      <c r="B525" t="e">
        <f ca="1">IFERROR(计算区域!AJ527,NA())</f>
        <v>#N/A</v>
      </c>
      <c r="C525" t="e">
        <f ca="1">IFERROR(计算区域!AK527,NA())</f>
        <v>#N/A</v>
      </c>
      <c r="D525" t="e">
        <f ca="1">IFERROR(计算区域!AL527,NA())</f>
        <v>#N/A</v>
      </c>
      <c r="E525" t="e">
        <f ca="1">IFERROR(计算区域!AM527,NA())</f>
        <v>#N/A</v>
      </c>
      <c r="G525" t="e">
        <f ca="1">IFERROR(计算区域!AD527,NA())</f>
        <v>#N/A</v>
      </c>
      <c r="H525" t="e">
        <f ca="1">IFERROR(计算区域!AE527,NA())</f>
        <v>#N/A</v>
      </c>
      <c r="I525" t="e">
        <f ca="1">IFERROR(计算区域!AF527,NA())</f>
        <v>#N/A</v>
      </c>
      <c r="J525" t="e">
        <f ca="1">IFERROR(计算区域!AG527,NA())</f>
        <v>#N/A</v>
      </c>
      <c r="L525" t="e">
        <f ca="1">IFERROR(计算区域!L527,NA())</f>
        <v>#N/A</v>
      </c>
      <c r="M525" t="e">
        <f ca="1">IFERROR(计算区域!M527,NA())</f>
        <v>#N/A</v>
      </c>
      <c r="N525" t="e">
        <f ca="1">IFERROR(计算区域!N527,NA())</f>
        <v>#N/A</v>
      </c>
      <c r="O525" t="e">
        <f ca="1">IFERROR(计算区域!O527,NA())</f>
        <v>#N/A</v>
      </c>
      <c r="Q525" t="e">
        <f ca="1">IFERROR(计算区域!R527,NA())</f>
        <v>#N/A</v>
      </c>
      <c r="R525" t="e">
        <f ca="1">IFERROR(计算区域!S527,NA())</f>
        <v>#N/A</v>
      </c>
      <c r="S525" t="e">
        <f ca="1">IFERROR(计算区域!T527,NA())</f>
        <v>#N/A</v>
      </c>
      <c r="T525" t="e">
        <f ca="1">IFERROR(计算区域!U527,NA())</f>
        <v>#N/A</v>
      </c>
      <c r="V525" t="e">
        <f ca="1">IFERROR(计算区域!X527,NA())</f>
        <v>#N/A</v>
      </c>
      <c r="W525" t="e">
        <f ca="1">IFERROR(计算区域!Y527,NA())</f>
        <v>#N/A</v>
      </c>
      <c r="X525" t="e">
        <f ca="1">IFERROR(计算区域!Z527,NA())</f>
        <v>#N/A</v>
      </c>
      <c r="Y525" t="e">
        <f ca="1">IFERROR(计算区域!AA527,NA())</f>
        <v>#N/A</v>
      </c>
    </row>
    <row r="526" spans="1:25" x14ac:dyDescent="0.2">
      <c r="A526" s="28">
        <f>计算区域!E528</f>
        <v>44690</v>
      </c>
      <c r="B526" t="e">
        <f ca="1">IFERROR(计算区域!AJ528,NA())</f>
        <v>#N/A</v>
      </c>
      <c r="C526" t="e">
        <f ca="1">IFERROR(计算区域!AK528,NA())</f>
        <v>#N/A</v>
      </c>
      <c r="D526" t="e">
        <f ca="1">IFERROR(计算区域!AL528,NA())</f>
        <v>#N/A</v>
      </c>
      <c r="E526" t="e">
        <f ca="1">IFERROR(计算区域!AM528,NA())</f>
        <v>#N/A</v>
      </c>
      <c r="G526" t="e">
        <f ca="1">IFERROR(计算区域!AD528,NA())</f>
        <v>#N/A</v>
      </c>
      <c r="H526" t="e">
        <f ca="1">IFERROR(计算区域!AE528,NA())</f>
        <v>#N/A</v>
      </c>
      <c r="I526" t="e">
        <f ca="1">IFERROR(计算区域!AF528,NA())</f>
        <v>#N/A</v>
      </c>
      <c r="J526" t="e">
        <f ca="1">IFERROR(计算区域!AG528,NA())</f>
        <v>#N/A</v>
      </c>
      <c r="L526" t="e">
        <f ca="1">IFERROR(计算区域!L528,NA())</f>
        <v>#N/A</v>
      </c>
      <c r="M526" t="e">
        <f ca="1">IFERROR(计算区域!M528,NA())</f>
        <v>#N/A</v>
      </c>
      <c r="N526" t="e">
        <f ca="1">IFERROR(计算区域!N528,NA())</f>
        <v>#N/A</v>
      </c>
      <c r="O526" t="e">
        <f ca="1">IFERROR(计算区域!O528,NA())</f>
        <v>#N/A</v>
      </c>
      <c r="Q526" t="e">
        <f ca="1">IFERROR(计算区域!R528,NA())</f>
        <v>#N/A</v>
      </c>
      <c r="R526" t="e">
        <f ca="1">IFERROR(计算区域!S528,NA())</f>
        <v>#N/A</v>
      </c>
      <c r="S526" t="e">
        <f ca="1">IFERROR(计算区域!T528,NA())</f>
        <v>#N/A</v>
      </c>
      <c r="T526" t="e">
        <f ca="1">IFERROR(计算区域!U528,NA())</f>
        <v>#N/A</v>
      </c>
      <c r="V526" t="e">
        <f ca="1">IFERROR(计算区域!X528,NA())</f>
        <v>#N/A</v>
      </c>
      <c r="W526" t="e">
        <f ca="1">IFERROR(计算区域!Y528,NA())</f>
        <v>#N/A</v>
      </c>
      <c r="X526" t="e">
        <f ca="1">IFERROR(计算区域!Z528,NA())</f>
        <v>#N/A</v>
      </c>
      <c r="Y526" t="e">
        <f ca="1">IFERROR(计算区域!AA528,NA())</f>
        <v>#N/A</v>
      </c>
    </row>
    <row r="527" spans="1:25" x14ac:dyDescent="0.2">
      <c r="A527" s="28">
        <f>计算区域!E529</f>
        <v>44687</v>
      </c>
      <c r="B527" t="e">
        <f ca="1">IFERROR(计算区域!AJ529,NA())</f>
        <v>#N/A</v>
      </c>
      <c r="C527" t="e">
        <f ca="1">IFERROR(计算区域!AK529,NA())</f>
        <v>#N/A</v>
      </c>
      <c r="D527" t="e">
        <f ca="1">IFERROR(计算区域!AL529,NA())</f>
        <v>#N/A</v>
      </c>
      <c r="E527" t="e">
        <f ca="1">IFERROR(计算区域!AM529,NA())</f>
        <v>#N/A</v>
      </c>
      <c r="G527" t="e">
        <f ca="1">IFERROR(计算区域!AD529,NA())</f>
        <v>#N/A</v>
      </c>
      <c r="H527" t="e">
        <f ca="1">IFERROR(计算区域!AE529,NA())</f>
        <v>#N/A</v>
      </c>
      <c r="I527" t="e">
        <f ca="1">IFERROR(计算区域!AF529,NA())</f>
        <v>#N/A</v>
      </c>
      <c r="J527" t="e">
        <f ca="1">IFERROR(计算区域!AG529,NA())</f>
        <v>#N/A</v>
      </c>
      <c r="L527" t="e">
        <f ca="1">IFERROR(计算区域!L529,NA())</f>
        <v>#N/A</v>
      </c>
      <c r="M527" t="e">
        <f ca="1">IFERROR(计算区域!M529,NA())</f>
        <v>#N/A</v>
      </c>
      <c r="N527" t="e">
        <f ca="1">IFERROR(计算区域!N529,NA())</f>
        <v>#N/A</v>
      </c>
      <c r="O527" t="e">
        <f ca="1">IFERROR(计算区域!O529,NA())</f>
        <v>#N/A</v>
      </c>
      <c r="Q527" t="e">
        <f ca="1">IFERROR(计算区域!R529,NA())</f>
        <v>#N/A</v>
      </c>
      <c r="R527" t="e">
        <f ca="1">IFERROR(计算区域!S529,NA())</f>
        <v>#N/A</v>
      </c>
      <c r="S527" t="e">
        <f ca="1">IFERROR(计算区域!T529,NA())</f>
        <v>#N/A</v>
      </c>
      <c r="T527" t="e">
        <f ca="1">IFERROR(计算区域!U529,NA())</f>
        <v>#N/A</v>
      </c>
      <c r="V527" t="e">
        <f ca="1">IFERROR(计算区域!X529,NA())</f>
        <v>#N/A</v>
      </c>
      <c r="W527" t="e">
        <f ca="1">IFERROR(计算区域!Y529,NA())</f>
        <v>#N/A</v>
      </c>
      <c r="X527" t="e">
        <f ca="1">IFERROR(计算区域!Z529,NA())</f>
        <v>#N/A</v>
      </c>
      <c r="Y527" t="e">
        <f ca="1">IFERROR(计算区域!AA529,NA())</f>
        <v>#N/A</v>
      </c>
    </row>
    <row r="528" spans="1:25" x14ac:dyDescent="0.2">
      <c r="A528" s="28">
        <f>计算区域!E530</f>
        <v>44686</v>
      </c>
      <c r="B528" t="e">
        <f ca="1">IFERROR(计算区域!AJ530,NA())</f>
        <v>#N/A</v>
      </c>
      <c r="C528" t="e">
        <f ca="1">IFERROR(计算区域!AK530,NA())</f>
        <v>#N/A</v>
      </c>
      <c r="D528" t="e">
        <f ca="1">IFERROR(计算区域!AL530,NA())</f>
        <v>#N/A</v>
      </c>
      <c r="E528" t="e">
        <f ca="1">IFERROR(计算区域!AM530,NA())</f>
        <v>#N/A</v>
      </c>
      <c r="G528" t="e">
        <f ca="1">IFERROR(计算区域!AD530,NA())</f>
        <v>#N/A</v>
      </c>
      <c r="H528" t="e">
        <f ca="1">IFERROR(计算区域!AE530,NA())</f>
        <v>#N/A</v>
      </c>
      <c r="I528" t="e">
        <f ca="1">IFERROR(计算区域!AF530,NA())</f>
        <v>#N/A</v>
      </c>
      <c r="J528" t="e">
        <f ca="1">IFERROR(计算区域!AG530,NA())</f>
        <v>#N/A</v>
      </c>
      <c r="L528" t="e">
        <f ca="1">IFERROR(计算区域!L530,NA())</f>
        <v>#N/A</v>
      </c>
      <c r="M528" t="e">
        <f ca="1">IFERROR(计算区域!M530,NA())</f>
        <v>#N/A</v>
      </c>
      <c r="N528" t="e">
        <f ca="1">IFERROR(计算区域!N530,NA())</f>
        <v>#N/A</v>
      </c>
      <c r="O528" t="e">
        <f ca="1">IFERROR(计算区域!O530,NA())</f>
        <v>#N/A</v>
      </c>
      <c r="Q528" t="e">
        <f ca="1">IFERROR(计算区域!R530,NA())</f>
        <v>#N/A</v>
      </c>
      <c r="R528" t="e">
        <f ca="1">IFERROR(计算区域!S530,NA())</f>
        <v>#N/A</v>
      </c>
      <c r="S528" t="e">
        <f ca="1">IFERROR(计算区域!T530,NA())</f>
        <v>#N/A</v>
      </c>
      <c r="T528" t="e">
        <f ca="1">IFERROR(计算区域!U530,NA())</f>
        <v>#N/A</v>
      </c>
      <c r="V528" t="e">
        <f ca="1">IFERROR(计算区域!X530,NA())</f>
        <v>#N/A</v>
      </c>
      <c r="W528" t="e">
        <f ca="1">IFERROR(计算区域!Y530,NA())</f>
        <v>#N/A</v>
      </c>
      <c r="X528" t="e">
        <f ca="1">IFERROR(计算区域!Z530,NA())</f>
        <v>#N/A</v>
      </c>
      <c r="Y528" t="e">
        <f ca="1">IFERROR(计算区域!AA530,NA())</f>
        <v>#N/A</v>
      </c>
    </row>
    <row r="529" spans="1:25" x14ac:dyDescent="0.2">
      <c r="A529" s="28">
        <f>计算区域!E531</f>
        <v>44680</v>
      </c>
      <c r="B529" t="e">
        <f ca="1">IFERROR(计算区域!AJ531,NA())</f>
        <v>#N/A</v>
      </c>
      <c r="C529" t="e">
        <f ca="1">IFERROR(计算区域!AK531,NA())</f>
        <v>#N/A</v>
      </c>
      <c r="D529" t="e">
        <f ca="1">IFERROR(计算区域!AL531,NA())</f>
        <v>#N/A</v>
      </c>
      <c r="E529" t="e">
        <f ca="1">IFERROR(计算区域!AM531,NA())</f>
        <v>#N/A</v>
      </c>
      <c r="G529" t="e">
        <f ca="1">IFERROR(计算区域!AD531,NA())</f>
        <v>#N/A</v>
      </c>
      <c r="H529" t="e">
        <f ca="1">IFERROR(计算区域!AE531,NA())</f>
        <v>#N/A</v>
      </c>
      <c r="I529" t="e">
        <f ca="1">IFERROR(计算区域!AF531,NA())</f>
        <v>#N/A</v>
      </c>
      <c r="J529" t="e">
        <f ca="1">IFERROR(计算区域!AG531,NA())</f>
        <v>#N/A</v>
      </c>
      <c r="L529" t="e">
        <f ca="1">IFERROR(计算区域!L531,NA())</f>
        <v>#N/A</v>
      </c>
      <c r="M529" t="e">
        <f ca="1">IFERROR(计算区域!M531,NA())</f>
        <v>#N/A</v>
      </c>
      <c r="N529" t="e">
        <f ca="1">IFERROR(计算区域!N531,NA())</f>
        <v>#N/A</v>
      </c>
      <c r="O529" t="e">
        <f ca="1">IFERROR(计算区域!O531,NA())</f>
        <v>#N/A</v>
      </c>
      <c r="Q529" t="e">
        <f ca="1">IFERROR(计算区域!R531,NA())</f>
        <v>#N/A</v>
      </c>
      <c r="R529" t="e">
        <f ca="1">IFERROR(计算区域!S531,NA())</f>
        <v>#N/A</v>
      </c>
      <c r="S529" t="e">
        <f ca="1">IFERROR(计算区域!T531,NA())</f>
        <v>#N/A</v>
      </c>
      <c r="T529" t="e">
        <f ca="1">IFERROR(计算区域!U531,NA())</f>
        <v>#N/A</v>
      </c>
      <c r="V529" t="e">
        <f ca="1">IFERROR(计算区域!X531,NA())</f>
        <v>#N/A</v>
      </c>
      <c r="W529" t="e">
        <f ca="1">IFERROR(计算区域!Y531,NA())</f>
        <v>#N/A</v>
      </c>
      <c r="X529" t="e">
        <f ca="1">IFERROR(计算区域!Z531,NA())</f>
        <v>#N/A</v>
      </c>
      <c r="Y529" t="e">
        <f ca="1">IFERROR(计算区域!AA531,NA())</f>
        <v>#N/A</v>
      </c>
    </row>
    <row r="530" spans="1:25" x14ac:dyDescent="0.2">
      <c r="A530" s="28">
        <f>计算区域!E532</f>
        <v>44679</v>
      </c>
      <c r="B530" t="e">
        <f ca="1">IFERROR(计算区域!AJ532,NA())</f>
        <v>#N/A</v>
      </c>
      <c r="C530" t="e">
        <f ca="1">IFERROR(计算区域!AK532,NA())</f>
        <v>#N/A</v>
      </c>
      <c r="D530" t="e">
        <f ca="1">IFERROR(计算区域!AL532,NA())</f>
        <v>#N/A</v>
      </c>
      <c r="E530" t="e">
        <f ca="1">IFERROR(计算区域!AM532,NA())</f>
        <v>#N/A</v>
      </c>
      <c r="G530" t="e">
        <f ca="1">IFERROR(计算区域!AD532,NA())</f>
        <v>#N/A</v>
      </c>
      <c r="H530" t="e">
        <f ca="1">IFERROR(计算区域!AE532,NA())</f>
        <v>#N/A</v>
      </c>
      <c r="I530" t="e">
        <f ca="1">IFERROR(计算区域!AF532,NA())</f>
        <v>#N/A</v>
      </c>
      <c r="J530" t="e">
        <f ca="1">IFERROR(计算区域!AG532,NA())</f>
        <v>#N/A</v>
      </c>
      <c r="L530" t="e">
        <f ca="1">IFERROR(计算区域!L532,NA())</f>
        <v>#N/A</v>
      </c>
      <c r="M530" t="e">
        <f ca="1">IFERROR(计算区域!M532,NA())</f>
        <v>#N/A</v>
      </c>
      <c r="N530" t="e">
        <f ca="1">IFERROR(计算区域!N532,NA())</f>
        <v>#N/A</v>
      </c>
      <c r="O530" t="e">
        <f ca="1">IFERROR(计算区域!O532,NA())</f>
        <v>#N/A</v>
      </c>
      <c r="Q530" t="e">
        <f ca="1">IFERROR(计算区域!R532,NA())</f>
        <v>#N/A</v>
      </c>
      <c r="R530" t="e">
        <f ca="1">IFERROR(计算区域!S532,NA())</f>
        <v>#N/A</v>
      </c>
      <c r="S530" t="e">
        <f ca="1">IFERROR(计算区域!T532,NA())</f>
        <v>#N/A</v>
      </c>
      <c r="T530" t="e">
        <f ca="1">IFERROR(计算区域!U532,NA())</f>
        <v>#N/A</v>
      </c>
      <c r="V530" t="e">
        <f ca="1">IFERROR(计算区域!X532,NA())</f>
        <v>#N/A</v>
      </c>
      <c r="W530" t="e">
        <f ca="1">IFERROR(计算区域!Y532,NA())</f>
        <v>#N/A</v>
      </c>
      <c r="X530" t="e">
        <f ca="1">IFERROR(计算区域!Z532,NA())</f>
        <v>#N/A</v>
      </c>
      <c r="Y530" t="e">
        <f ca="1">IFERROR(计算区域!AA532,NA())</f>
        <v>#N/A</v>
      </c>
    </row>
    <row r="531" spans="1:25" x14ac:dyDescent="0.2">
      <c r="A531" s="28">
        <f>计算区域!E533</f>
        <v>44678</v>
      </c>
      <c r="B531" t="e">
        <f ca="1">IFERROR(计算区域!AJ533,NA())</f>
        <v>#N/A</v>
      </c>
      <c r="C531" t="e">
        <f ca="1">IFERROR(计算区域!AK533,NA())</f>
        <v>#N/A</v>
      </c>
      <c r="D531" t="e">
        <f ca="1">IFERROR(计算区域!AL533,NA())</f>
        <v>#N/A</v>
      </c>
      <c r="E531" t="e">
        <f ca="1">IFERROR(计算区域!AM533,NA())</f>
        <v>#N/A</v>
      </c>
      <c r="G531" t="e">
        <f ca="1">IFERROR(计算区域!AD533,NA())</f>
        <v>#N/A</v>
      </c>
      <c r="H531" t="e">
        <f ca="1">IFERROR(计算区域!AE533,NA())</f>
        <v>#N/A</v>
      </c>
      <c r="I531" t="e">
        <f ca="1">IFERROR(计算区域!AF533,NA())</f>
        <v>#N/A</v>
      </c>
      <c r="J531" t="e">
        <f ca="1">IFERROR(计算区域!AG533,NA())</f>
        <v>#N/A</v>
      </c>
      <c r="L531" t="e">
        <f ca="1">IFERROR(计算区域!L533,NA())</f>
        <v>#N/A</v>
      </c>
      <c r="M531" t="e">
        <f ca="1">IFERROR(计算区域!M533,NA())</f>
        <v>#N/A</v>
      </c>
      <c r="N531" t="e">
        <f ca="1">IFERROR(计算区域!N533,NA())</f>
        <v>#N/A</v>
      </c>
      <c r="O531" t="e">
        <f ca="1">IFERROR(计算区域!O533,NA())</f>
        <v>#N/A</v>
      </c>
      <c r="Q531" t="e">
        <f ca="1">IFERROR(计算区域!R533,NA())</f>
        <v>#N/A</v>
      </c>
      <c r="R531" t="e">
        <f ca="1">IFERROR(计算区域!S533,NA())</f>
        <v>#N/A</v>
      </c>
      <c r="S531" t="e">
        <f ca="1">IFERROR(计算区域!T533,NA())</f>
        <v>#N/A</v>
      </c>
      <c r="T531" t="e">
        <f ca="1">IFERROR(计算区域!U533,NA())</f>
        <v>#N/A</v>
      </c>
      <c r="V531" t="e">
        <f ca="1">IFERROR(计算区域!X533,NA())</f>
        <v>#N/A</v>
      </c>
      <c r="W531" t="e">
        <f ca="1">IFERROR(计算区域!Y533,NA())</f>
        <v>#N/A</v>
      </c>
      <c r="X531" t="e">
        <f ca="1">IFERROR(计算区域!Z533,NA())</f>
        <v>#N/A</v>
      </c>
      <c r="Y531" t="e">
        <f ca="1">IFERROR(计算区域!AA533,NA())</f>
        <v>#N/A</v>
      </c>
    </row>
    <row r="532" spans="1:25" x14ac:dyDescent="0.2">
      <c r="A532" s="28">
        <f>计算区域!E534</f>
        <v>44677</v>
      </c>
      <c r="B532" t="e">
        <f ca="1">IFERROR(计算区域!AJ534,NA())</f>
        <v>#N/A</v>
      </c>
      <c r="C532" t="e">
        <f ca="1">IFERROR(计算区域!AK534,NA())</f>
        <v>#N/A</v>
      </c>
      <c r="D532" t="e">
        <f ca="1">IFERROR(计算区域!AL534,NA())</f>
        <v>#N/A</v>
      </c>
      <c r="E532" t="e">
        <f ca="1">IFERROR(计算区域!AM534,NA())</f>
        <v>#N/A</v>
      </c>
      <c r="G532" t="e">
        <f ca="1">IFERROR(计算区域!AD534,NA())</f>
        <v>#N/A</v>
      </c>
      <c r="H532" t="e">
        <f ca="1">IFERROR(计算区域!AE534,NA())</f>
        <v>#N/A</v>
      </c>
      <c r="I532" t="e">
        <f ca="1">IFERROR(计算区域!AF534,NA())</f>
        <v>#N/A</v>
      </c>
      <c r="J532" t="e">
        <f ca="1">IFERROR(计算区域!AG534,NA())</f>
        <v>#N/A</v>
      </c>
      <c r="L532" t="e">
        <f ca="1">IFERROR(计算区域!L534,NA())</f>
        <v>#N/A</v>
      </c>
      <c r="M532" t="e">
        <f ca="1">IFERROR(计算区域!M534,NA())</f>
        <v>#N/A</v>
      </c>
      <c r="N532" t="e">
        <f ca="1">IFERROR(计算区域!N534,NA())</f>
        <v>#N/A</v>
      </c>
      <c r="O532" t="e">
        <f ca="1">IFERROR(计算区域!O534,NA())</f>
        <v>#N/A</v>
      </c>
      <c r="Q532" t="e">
        <f ca="1">IFERROR(计算区域!R534,NA())</f>
        <v>#N/A</v>
      </c>
      <c r="R532" t="e">
        <f ca="1">IFERROR(计算区域!S534,NA())</f>
        <v>#N/A</v>
      </c>
      <c r="S532" t="e">
        <f ca="1">IFERROR(计算区域!T534,NA())</f>
        <v>#N/A</v>
      </c>
      <c r="T532" t="e">
        <f ca="1">IFERROR(计算区域!U534,NA())</f>
        <v>#N/A</v>
      </c>
      <c r="V532" t="e">
        <f ca="1">IFERROR(计算区域!X534,NA())</f>
        <v>#N/A</v>
      </c>
      <c r="W532" t="e">
        <f ca="1">IFERROR(计算区域!Y534,NA())</f>
        <v>#N/A</v>
      </c>
      <c r="X532" t="e">
        <f ca="1">IFERROR(计算区域!Z534,NA())</f>
        <v>#N/A</v>
      </c>
      <c r="Y532" t="e">
        <f ca="1">IFERROR(计算区域!AA534,NA())</f>
        <v>#N/A</v>
      </c>
    </row>
    <row r="533" spans="1:25" x14ac:dyDescent="0.2">
      <c r="A533" s="28">
        <f>计算区域!E535</f>
        <v>44676</v>
      </c>
      <c r="B533" t="e">
        <f ca="1">IFERROR(计算区域!AJ535,NA())</f>
        <v>#N/A</v>
      </c>
      <c r="C533" t="e">
        <f ca="1">IFERROR(计算区域!AK535,NA())</f>
        <v>#N/A</v>
      </c>
      <c r="D533" t="e">
        <f ca="1">IFERROR(计算区域!AL535,NA())</f>
        <v>#N/A</v>
      </c>
      <c r="E533" t="e">
        <f ca="1">IFERROR(计算区域!AM535,NA())</f>
        <v>#N/A</v>
      </c>
      <c r="G533" t="e">
        <f ca="1">IFERROR(计算区域!AD535,NA())</f>
        <v>#N/A</v>
      </c>
      <c r="H533" t="e">
        <f ca="1">IFERROR(计算区域!AE535,NA())</f>
        <v>#N/A</v>
      </c>
      <c r="I533" t="e">
        <f ca="1">IFERROR(计算区域!AF535,NA())</f>
        <v>#N/A</v>
      </c>
      <c r="J533" t="e">
        <f ca="1">IFERROR(计算区域!AG535,NA())</f>
        <v>#N/A</v>
      </c>
      <c r="L533" t="e">
        <f ca="1">IFERROR(计算区域!L535,NA())</f>
        <v>#N/A</v>
      </c>
      <c r="M533" t="e">
        <f ca="1">IFERROR(计算区域!M535,NA())</f>
        <v>#N/A</v>
      </c>
      <c r="N533" t="e">
        <f ca="1">IFERROR(计算区域!N535,NA())</f>
        <v>#N/A</v>
      </c>
      <c r="O533" t="e">
        <f ca="1">IFERROR(计算区域!O535,NA())</f>
        <v>#N/A</v>
      </c>
      <c r="Q533" t="e">
        <f ca="1">IFERROR(计算区域!R535,NA())</f>
        <v>#N/A</v>
      </c>
      <c r="R533" t="e">
        <f ca="1">IFERROR(计算区域!S535,NA())</f>
        <v>#N/A</v>
      </c>
      <c r="S533" t="e">
        <f ca="1">IFERROR(计算区域!T535,NA())</f>
        <v>#N/A</v>
      </c>
      <c r="T533" t="e">
        <f ca="1">IFERROR(计算区域!U535,NA())</f>
        <v>#N/A</v>
      </c>
      <c r="V533" t="e">
        <f ca="1">IFERROR(计算区域!X535,NA())</f>
        <v>#N/A</v>
      </c>
      <c r="W533" t="e">
        <f ca="1">IFERROR(计算区域!Y535,NA())</f>
        <v>#N/A</v>
      </c>
      <c r="X533" t="e">
        <f ca="1">IFERROR(计算区域!Z535,NA())</f>
        <v>#N/A</v>
      </c>
      <c r="Y533" t="e">
        <f ca="1">IFERROR(计算区域!AA535,NA())</f>
        <v>#N/A</v>
      </c>
    </row>
    <row r="534" spans="1:25" x14ac:dyDescent="0.2">
      <c r="A534" s="28">
        <f>计算区域!E536</f>
        <v>44673</v>
      </c>
      <c r="B534" t="e">
        <f ca="1">IFERROR(计算区域!AJ536,NA())</f>
        <v>#N/A</v>
      </c>
      <c r="C534" t="e">
        <f ca="1">IFERROR(计算区域!AK536,NA())</f>
        <v>#N/A</v>
      </c>
      <c r="D534" t="e">
        <f ca="1">IFERROR(计算区域!AL536,NA())</f>
        <v>#N/A</v>
      </c>
      <c r="E534" t="e">
        <f ca="1">IFERROR(计算区域!AM536,NA())</f>
        <v>#N/A</v>
      </c>
      <c r="G534" t="e">
        <f ca="1">IFERROR(计算区域!AD536,NA())</f>
        <v>#N/A</v>
      </c>
      <c r="H534" t="e">
        <f ca="1">IFERROR(计算区域!AE536,NA())</f>
        <v>#N/A</v>
      </c>
      <c r="I534" t="e">
        <f ca="1">IFERROR(计算区域!AF536,NA())</f>
        <v>#N/A</v>
      </c>
      <c r="J534" t="e">
        <f ca="1">IFERROR(计算区域!AG536,NA())</f>
        <v>#N/A</v>
      </c>
      <c r="L534" t="e">
        <f ca="1">IFERROR(计算区域!L536,NA())</f>
        <v>#N/A</v>
      </c>
      <c r="M534" t="e">
        <f ca="1">IFERROR(计算区域!M536,NA())</f>
        <v>#N/A</v>
      </c>
      <c r="N534" t="e">
        <f ca="1">IFERROR(计算区域!N536,NA())</f>
        <v>#N/A</v>
      </c>
      <c r="O534" t="e">
        <f ca="1">IFERROR(计算区域!O536,NA())</f>
        <v>#N/A</v>
      </c>
      <c r="Q534" t="e">
        <f ca="1">IFERROR(计算区域!R536,NA())</f>
        <v>#N/A</v>
      </c>
      <c r="R534" t="e">
        <f ca="1">IFERROR(计算区域!S536,NA())</f>
        <v>#N/A</v>
      </c>
      <c r="S534" t="e">
        <f ca="1">IFERROR(计算区域!T536,NA())</f>
        <v>#N/A</v>
      </c>
      <c r="T534" t="e">
        <f ca="1">IFERROR(计算区域!U536,NA())</f>
        <v>#N/A</v>
      </c>
      <c r="V534" t="e">
        <f ca="1">IFERROR(计算区域!X536,NA())</f>
        <v>#N/A</v>
      </c>
      <c r="W534" t="e">
        <f ca="1">IFERROR(计算区域!Y536,NA())</f>
        <v>#N/A</v>
      </c>
      <c r="X534" t="e">
        <f ca="1">IFERROR(计算区域!Z536,NA())</f>
        <v>#N/A</v>
      </c>
      <c r="Y534" t="e">
        <f ca="1">IFERROR(计算区域!AA536,NA())</f>
        <v>#N/A</v>
      </c>
    </row>
    <row r="535" spans="1:25" x14ac:dyDescent="0.2">
      <c r="A535" s="28">
        <f>计算区域!E537</f>
        <v>44672</v>
      </c>
      <c r="B535" t="e">
        <f ca="1">IFERROR(计算区域!AJ537,NA())</f>
        <v>#N/A</v>
      </c>
      <c r="C535" t="e">
        <f ca="1">IFERROR(计算区域!AK537,NA())</f>
        <v>#N/A</v>
      </c>
      <c r="D535" t="e">
        <f ca="1">IFERROR(计算区域!AL537,NA())</f>
        <v>#N/A</v>
      </c>
      <c r="E535" t="e">
        <f ca="1">IFERROR(计算区域!AM537,NA())</f>
        <v>#N/A</v>
      </c>
      <c r="G535" t="e">
        <f ca="1">IFERROR(计算区域!AD537,NA())</f>
        <v>#N/A</v>
      </c>
      <c r="H535" t="e">
        <f ca="1">IFERROR(计算区域!AE537,NA())</f>
        <v>#N/A</v>
      </c>
      <c r="I535" t="e">
        <f ca="1">IFERROR(计算区域!AF537,NA())</f>
        <v>#N/A</v>
      </c>
      <c r="J535" t="e">
        <f ca="1">IFERROR(计算区域!AG537,NA())</f>
        <v>#N/A</v>
      </c>
      <c r="L535" t="e">
        <f ca="1">IFERROR(计算区域!L537,NA())</f>
        <v>#N/A</v>
      </c>
      <c r="M535" t="e">
        <f ca="1">IFERROR(计算区域!M537,NA())</f>
        <v>#N/A</v>
      </c>
      <c r="N535" t="e">
        <f ca="1">IFERROR(计算区域!N537,NA())</f>
        <v>#N/A</v>
      </c>
      <c r="O535" t="e">
        <f ca="1">IFERROR(计算区域!O537,NA())</f>
        <v>#N/A</v>
      </c>
      <c r="Q535" t="e">
        <f ca="1">IFERROR(计算区域!R537,NA())</f>
        <v>#N/A</v>
      </c>
      <c r="R535" t="e">
        <f ca="1">IFERROR(计算区域!S537,NA())</f>
        <v>#N/A</v>
      </c>
      <c r="S535" t="e">
        <f ca="1">IFERROR(计算区域!T537,NA())</f>
        <v>#N/A</v>
      </c>
      <c r="T535" t="e">
        <f ca="1">IFERROR(计算区域!U537,NA())</f>
        <v>#N/A</v>
      </c>
      <c r="V535" t="e">
        <f ca="1">IFERROR(计算区域!X537,NA())</f>
        <v>#N/A</v>
      </c>
      <c r="W535" t="e">
        <f ca="1">IFERROR(计算区域!Y537,NA())</f>
        <v>#N/A</v>
      </c>
      <c r="X535" t="e">
        <f ca="1">IFERROR(计算区域!Z537,NA())</f>
        <v>#N/A</v>
      </c>
      <c r="Y535" t="e">
        <f ca="1">IFERROR(计算区域!AA537,NA())</f>
        <v>#N/A</v>
      </c>
    </row>
    <row r="536" spans="1:25" x14ac:dyDescent="0.2">
      <c r="A536" s="28">
        <f>计算区域!E538</f>
        <v>44671</v>
      </c>
      <c r="B536" t="e">
        <f ca="1">IFERROR(计算区域!AJ538,NA())</f>
        <v>#N/A</v>
      </c>
      <c r="C536" t="e">
        <f ca="1">IFERROR(计算区域!AK538,NA())</f>
        <v>#N/A</v>
      </c>
      <c r="D536" t="e">
        <f ca="1">IFERROR(计算区域!AL538,NA())</f>
        <v>#N/A</v>
      </c>
      <c r="E536" t="e">
        <f ca="1">IFERROR(计算区域!AM538,NA())</f>
        <v>#N/A</v>
      </c>
      <c r="G536" t="e">
        <f ca="1">IFERROR(计算区域!AD538,NA())</f>
        <v>#N/A</v>
      </c>
      <c r="H536" t="e">
        <f ca="1">IFERROR(计算区域!AE538,NA())</f>
        <v>#N/A</v>
      </c>
      <c r="I536" t="e">
        <f ca="1">IFERROR(计算区域!AF538,NA())</f>
        <v>#N/A</v>
      </c>
      <c r="J536" t="e">
        <f ca="1">IFERROR(计算区域!AG538,NA())</f>
        <v>#N/A</v>
      </c>
      <c r="L536" t="e">
        <f ca="1">IFERROR(计算区域!L538,NA())</f>
        <v>#N/A</v>
      </c>
      <c r="M536" t="e">
        <f ca="1">IFERROR(计算区域!M538,NA())</f>
        <v>#N/A</v>
      </c>
      <c r="N536" t="e">
        <f ca="1">IFERROR(计算区域!N538,NA())</f>
        <v>#N/A</v>
      </c>
      <c r="O536" t="e">
        <f ca="1">IFERROR(计算区域!O538,NA())</f>
        <v>#N/A</v>
      </c>
      <c r="Q536" t="e">
        <f ca="1">IFERROR(计算区域!R538,NA())</f>
        <v>#N/A</v>
      </c>
      <c r="R536" t="e">
        <f ca="1">IFERROR(计算区域!S538,NA())</f>
        <v>#N/A</v>
      </c>
      <c r="S536" t="e">
        <f ca="1">IFERROR(计算区域!T538,NA())</f>
        <v>#N/A</v>
      </c>
      <c r="T536" t="e">
        <f ca="1">IFERROR(计算区域!U538,NA())</f>
        <v>#N/A</v>
      </c>
      <c r="V536" t="e">
        <f ca="1">IFERROR(计算区域!X538,NA())</f>
        <v>#N/A</v>
      </c>
      <c r="W536" t="e">
        <f ca="1">IFERROR(计算区域!Y538,NA())</f>
        <v>#N/A</v>
      </c>
      <c r="X536" t="e">
        <f ca="1">IFERROR(计算区域!Z538,NA())</f>
        <v>#N/A</v>
      </c>
      <c r="Y536" t="e">
        <f ca="1">IFERROR(计算区域!AA538,NA())</f>
        <v>#N/A</v>
      </c>
    </row>
    <row r="537" spans="1:25" x14ac:dyDescent="0.2">
      <c r="A537" s="28">
        <f>计算区域!E539</f>
        <v>44670</v>
      </c>
      <c r="B537" t="e">
        <f ca="1">IFERROR(计算区域!AJ539,NA())</f>
        <v>#N/A</v>
      </c>
      <c r="C537" t="e">
        <f ca="1">IFERROR(计算区域!AK539,NA())</f>
        <v>#N/A</v>
      </c>
      <c r="D537" t="e">
        <f ca="1">IFERROR(计算区域!AL539,NA())</f>
        <v>#N/A</v>
      </c>
      <c r="E537" t="e">
        <f ca="1">IFERROR(计算区域!AM539,NA())</f>
        <v>#N/A</v>
      </c>
      <c r="G537" t="e">
        <f ca="1">IFERROR(计算区域!AD539,NA())</f>
        <v>#N/A</v>
      </c>
      <c r="H537" t="e">
        <f ca="1">IFERROR(计算区域!AE539,NA())</f>
        <v>#N/A</v>
      </c>
      <c r="I537" t="e">
        <f ca="1">IFERROR(计算区域!AF539,NA())</f>
        <v>#N/A</v>
      </c>
      <c r="J537" t="e">
        <f ca="1">IFERROR(计算区域!AG539,NA())</f>
        <v>#N/A</v>
      </c>
      <c r="L537" t="e">
        <f ca="1">IFERROR(计算区域!L539,NA())</f>
        <v>#N/A</v>
      </c>
      <c r="M537" t="e">
        <f ca="1">IFERROR(计算区域!M539,NA())</f>
        <v>#N/A</v>
      </c>
      <c r="N537" t="e">
        <f ca="1">IFERROR(计算区域!N539,NA())</f>
        <v>#N/A</v>
      </c>
      <c r="O537" t="e">
        <f ca="1">IFERROR(计算区域!O539,NA())</f>
        <v>#N/A</v>
      </c>
      <c r="Q537" t="e">
        <f ca="1">IFERROR(计算区域!R539,NA())</f>
        <v>#N/A</v>
      </c>
      <c r="R537" t="e">
        <f ca="1">IFERROR(计算区域!S539,NA())</f>
        <v>#N/A</v>
      </c>
      <c r="S537" t="e">
        <f ca="1">IFERROR(计算区域!T539,NA())</f>
        <v>#N/A</v>
      </c>
      <c r="T537" t="e">
        <f ca="1">IFERROR(计算区域!U539,NA())</f>
        <v>#N/A</v>
      </c>
      <c r="V537" t="e">
        <f ca="1">IFERROR(计算区域!X539,NA())</f>
        <v>#N/A</v>
      </c>
      <c r="W537" t="e">
        <f ca="1">IFERROR(计算区域!Y539,NA())</f>
        <v>#N/A</v>
      </c>
      <c r="X537" t="e">
        <f ca="1">IFERROR(计算区域!Z539,NA())</f>
        <v>#N/A</v>
      </c>
      <c r="Y537" t="e">
        <f ca="1">IFERROR(计算区域!AA539,NA())</f>
        <v>#N/A</v>
      </c>
    </row>
    <row r="538" spans="1:25" x14ac:dyDescent="0.2">
      <c r="A538" s="28">
        <f>计算区域!E540</f>
        <v>44669</v>
      </c>
      <c r="B538" t="e">
        <f ca="1">IFERROR(计算区域!AJ540,NA())</f>
        <v>#N/A</v>
      </c>
      <c r="C538" t="e">
        <f ca="1">IFERROR(计算区域!AK540,NA())</f>
        <v>#N/A</v>
      </c>
      <c r="D538" t="e">
        <f ca="1">IFERROR(计算区域!AL540,NA())</f>
        <v>#N/A</v>
      </c>
      <c r="E538" t="e">
        <f ca="1">IFERROR(计算区域!AM540,NA())</f>
        <v>#N/A</v>
      </c>
      <c r="G538" t="e">
        <f ca="1">IFERROR(计算区域!AD540,NA())</f>
        <v>#N/A</v>
      </c>
      <c r="H538" t="e">
        <f ca="1">IFERROR(计算区域!AE540,NA())</f>
        <v>#N/A</v>
      </c>
      <c r="I538" t="e">
        <f ca="1">IFERROR(计算区域!AF540,NA())</f>
        <v>#N/A</v>
      </c>
      <c r="J538" t="e">
        <f ca="1">IFERROR(计算区域!AG540,NA())</f>
        <v>#N/A</v>
      </c>
      <c r="L538" t="e">
        <f ca="1">IFERROR(计算区域!L540,NA())</f>
        <v>#N/A</v>
      </c>
      <c r="M538" t="e">
        <f ca="1">IFERROR(计算区域!M540,NA())</f>
        <v>#N/A</v>
      </c>
      <c r="N538" t="e">
        <f ca="1">IFERROR(计算区域!N540,NA())</f>
        <v>#N/A</v>
      </c>
      <c r="O538" t="e">
        <f ca="1">IFERROR(计算区域!O540,NA())</f>
        <v>#N/A</v>
      </c>
      <c r="Q538" t="e">
        <f ca="1">IFERROR(计算区域!R540,NA())</f>
        <v>#N/A</v>
      </c>
      <c r="R538" t="e">
        <f ca="1">IFERROR(计算区域!S540,NA())</f>
        <v>#N/A</v>
      </c>
      <c r="S538" t="e">
        <f ca="1">IFERROR(计算区域!T540,NA())</f>
        <v>#N/A</v>
      </c>
      <c r="T538" t="e">
        <f ca="1">IFERROR(计算区域!U540,NA())</f>
        <v>#N/A</v>
      </c>
      <c r="V538" t="e">
        <f ca="1">IFERROR(计算区域!X540,NA())</f>
        <v>#N/A</v>
      </c>
      <c r="W538" t="e">
        <f ca="1">IFERROR(计算区域!Y540,NA())</f>
        <v>#N/A</v>
      </c>
      <c r="X538" t="e">
        <f ca="1">IFERROR(计算区域!Z540,NA())</f>
        <v>#N/A</v>
      </c>
      <c r="Y538" t="e">
        <f ca="1">IFERROR(计算区域!AA540,NA())</f>
        <v>#N/A</v>
      </c>
    </row>
    <row r="539" spans="1:25" x14ac:dyDescent="0.2">
      <c r="A539" s="28">
        <f>计算区域!E541</f>
        <v>44666</v>
      </c>
      <c r="B539" t="e">
        <f ca="1">IFERROR(计算区域!AJ541,NA())</f>
        <v>#N/A</v>
      </c>
      <c r="C539" t="e">
        <f ca="1">IFERROR(计算区域!AK541,NA())</f>
        <v>#N/A</v>
      </c>
      <c r="D539" t="e">
        <f ca="1">IFERROR(计算区域!AL541,NA())</f>
        <v>#N/A</v>
      </c>
      <c r="E539" t="e">
        <f ca="1">IFERROR(计算区域!AM541,NA())</f>
        <v>#N/A</v>
      </c>
      <c r="G539" t="e">
        <f ca="1">IFERROR(计算区域!AD541,NA())</f>
        <v>#N/A</v>
      </c>
      <c r="H539" t="e">
        <f ca="1">IFERROR(计算区域!AE541,NA())</f>
        <v>#N/A</v>
      </c>
      <c r="I539" t="e">
        <f ca="1">IFERROR(计算区域!AF541,NA())</f>
        <v>#N/A</v>
      </c>
      <c r="J539" t="e">
        <f ca="1">IFERROR(计算区域!AG541,NA())</f>
        <v>#N/A</v>
      </c>
      <c r="L539" t="e">
        <f ca="1">IFERROR(计算区域!L541,NA())</f>
        <v>#N/A</v>
      </c>
      <c r="M539" t="e">
        <f ca="1">IFERROR(计算区域!M541,NA())</f>
        <v>#N/A</v>
      </c>
      <c r="N539" t="e">
        <f ca="1">IFERROR(计算区域!N541,NA())</f>
        <v>#N/A</v>
      </c>
      <c r="O539" t="e">
        <f ca="1">IFERROR(计算区域!O541,NA())</f>
        <v>#N/A</v>
      </c>
      <c r="Q539" t="e">
        <f ca="1">IFERROR(计算区域!R541,NA())</f>
        <v>#N/A</v>
      </c>
      <c r="R539" t="e">
        <f ca="1">IFERROR(计算区域!S541,NA())</f>
        <v>#N/A</v>
      </c>
      <c r="S539" t="e">
        <f ca="1">IFERROR(计算区域!T541,NA())</f>
        <v>#N/A</v>
      </c>
      <c r="T539" t="e">
        <f ca="1">IFERROR(计算区域!U541,NA())</f>
        <v>#N/A</v>
      </c>
      <c r="V539" t="e">
        <f ca="1">IFERROR(计算区域!X541,NA())</f>
        <v>#N/A</v>
      </c>
      <c r="W539" t="e">
        <f ca="1">IFERROR(计算区域!Y541,NA())</f>
        <v>#N/A</v>
      </c>
      <c r="X539" t="e">
        <f ca="1">IFERROR(计算区域!Z541,NA())</f>
        <v>#N/A</v>
      </c>
      <c r="Y539" t="e">
        <f ca="1">IFERROR(计算区域!AA541,NA())</f>
        <v>#N/A</v>
      </c>
    </row>
    <row r="540" spans="1:25" x14ac:dyDescent="0.2">
      <c r="A540" s="28">
        <f>计算区域!E542</f>
        <v>44665</v>
      </c>
      <c r="B540" t="e">
        <f ca="1">IFERROR(计算区域!AJ542,NA())</f>
        <v>#N/A</v>
      </c>
      <c r="C540" t="e">
        <f ca="1">IFERROR(计算区域!AK542,NA())</f>
        <v>#N/A</v>
      </c>
      <c r="D540" t="e">
        <f ca="1">IFERROR(计算区域!AL542,NA())</f>
        <v>#N/A</v>
      </c>
      <c r="E540" t="e">
        <f ca="1">IFERROR(计算区域!AM542,NA())</f>
        <v>#N/A</v>
      </c>
      <c r="G540" t="e">
        <f ca="1">IFERROR(计算区域!AD542,NA())</f>
        <v>#N/A</v>
      </c>
      <c r="H540" t="e">
        <f ca="1">IFERROR(计算区域!AE542,NA())</f>
        <v>#N/A</v>
      </c>
      <c r="I540" t="e">
        <f ca="1">IFERROR(计算区域!AF542,NA())</f>
        <v>#N/A</v>
      </c>
      <c r="J540" t="e">
        <f ca="1">IFERROR(计算区域!AG542,NA())</f>
        <v>#N/A</v>
      </c>
      <c r="L540" t="e">
        <f ca="1">IFERROR(计算区域!L542,NA())</f>
        <v>#N/A</v>
      </c>
      <c r="M540" t="e">
        <f ca="1">IFERROR(计算区域!M542,NA())</f>
        <v>#N/A</v>
      </c>
      <c r="N540" t="e">
        <f ca="1">IFERROR(计算区域!N542,NA())</f>
        <v>#N/A</v>
      </c>
      <c r="O540" t="e">
        <f ca="1">IFERROR(计算区域!O542,NA())</f>
        <v>#N/A</v>
      </c>
      <c r="Q540" t="e">
        <f ca="1">IFERROR(计算区域!R542,NA())</f>
        <v>#N/A</v>
      </c>
      <c r="R540" t="e">
        <f ca="1">IFERROR(计算区域!S542,NA())</f>
        <v>#N/A</v>
      </c>
      <c r="S540" t="e">
        <f ca="1">IFERROR(计算区域!T542,NA())</f>
        <v>#N/A</v>
      </c>
      <c r="T540" t="e">
        <f ca="1">IFERROR(计算区域!U542,NA())</f>
        <v>#N/A</v>
      </c>
      <c r="V540" t="e">
        <f ca="1">IFERROR(计算区域!X542,NA())</f>
        <v>#N/A</v>
      </c>
      <c r="W540" t="e">
        <f ca="1">IFERROR(计算区域!Y542,NA())</f>
        <v>#N/A</v>
      </c>
      <c r="X540" t="e">
        <f ca="1">IFERROR(计算区域!Z542,NA())</f>
        <v>#N/A</v>
      </c>
      <c r="Y540" t="e">
        <f ca="1">IFERROR(计算区域!AA542,NA())</f>
        <v>#N/A</v>
      </c>
    </row>
    <row r="541" spans="1:25" x14ac:dyDescent="0.2">
      <c r="A541" s="28">
        <f>计算区域!E543</f>
        <v>44664</v>
      </c>
      <c r="B541" t="e">
        <f ca="1">IFERROR(计算区域!AJ543,NA())</f>
        <v>#N/A</v>
      </c>
      <c r="C541" t="e">
        <f ca="1">IFERROR(计算区域!AK543,NA())</f>
        <v>#N/A</v>
      </c>
      <c r="D541" t="e">
        <f ca="1">IFERROR(计算区域!AL543,NA())</f>
        <v>#N/A</v>
      </c>
      <c r="E541" t="e">
        <f ca="1">IFERROR(计算区域!AM543,NA())</f>
        <v>#N/A</v>
      </c>
      <c r="G541" t="e">
        <f ca="1">IFERROR(计算区域!AD543,NA())</f>
        <v>#N/A</v>
      </c>
      <c r="H541" t="e">
        <f ca="1">IFERROR(计算区域!AE543,NA())</f>
        <v>#N/A</v>
      </c>
      <c r="I541" t="e">
        <f ca="1">IFERROR(计算区域!AF543,NA())</f>
        <v>#N/A</v>
      </c>
      <c r="J541" t="e">
        <f ca="1">IFERROR(计算区域!AG543,NA())</f>
        <v>#N/A</v>
      </c>
      <c r="L541" t="e">
        <f ca="1">IFERROR(计算区域!L543,NA())</f>
        <v>#N/A</v>
      </c>
      <c r="M541" t="e">
        <f ca="1">IFERROR(计算区域!M543,NA())</f>
        <v>#N/A</v>
      </c>
      <c r="N541" t="e">
        <f ca="1">IFERROR(计算区域!N543,NA())</f>
        <v>#N/A</v>
      </c>
      <c r="O541" t="e">
        <f ca="1">IFERROR(计算区域!O543,NA())</f>
        <v>#N/A</v>
      </c>
      <c r="Q541" t="e">
        <f ca="1">IFERROR(计算区域!R543,NA())</f>
        <v>#N/A</v>
      </c>
      <c r="R541" t="e">
        <f ca="1">IFERROR(计算区域!S543,NA())</f>
        <v>#N/A</v>
      </c>
      <c r="S541" t="e">
        <f ca="1">IFERROR(计算区域!T543,NA())</f>
        <v>#N/A</v>
      </c>
      <c r="T541" t="e">
        <f ca="1">IFERROR(计算区域!U543,NA())</f>
        <v>#N/A</v>
      </c>
      <c r="V541" t="e">
        <f ca="1">IFERROR(计算区域!X543,NA())</f>
        <v>#N/A</v>
      </c>
      <c r="W541" t="e">
        <f ca="1">IFERROR(计算区域!Y543,NA())</f>
        <v>#N/A</v>
      </c>
      <c r="X541" t="e">
        <f ca="1">IFERROR(计算区域!Z543,NA())</f>
        <v>#N/A</v>
      </c>
      <c r="Y541" t="e">
        <f ca="1">IFERROR(计算区域!AA543,NA())</f>
        <v>#N/A</v>
      </c>
    </row>
    <row r="542" spans="1:25" x14ac:dyDescent="0.2">
      <c r="A542" s="28">
        <f>计算区域!E544</f>
        <v>44663</v>
      </c>
      <c r="B542" t="e">
        <f ca="1">IFERROR(计算区域!AJ544,NA())</f>
        <v>#N/A</v>
      </c>
      <c r="C542" t="e">
        <f ca="1">IFERROR(计算区域!AK544,NA())</f>
        <v>#N/A</v>
      </c>
      <c r="D542" t="e">
        <f ca="1">IFERROR(计算区域!AL544,NA())</f>
        <v>#N/A</v>
      </c>
      <c r="E542" t="e">
        <f ca="1">IFERROR(计算区域!AM544,NA())</f>
        <v>#N/A</v>
      </c>
      <c r="G542" t="e">
        <f ca="1">IFERROR(计算区域!AD544,NA())</f>
        <v>#N/A</v>
      </c>
      <c r="H542" t="e">
        <f ca="1">IFERROR(计算区域!AE544,NA())</f>
        <v>#N/A</v>
      </c>
      <c r="I542" t="e">
        <f ca="1">IFERROR(计算区域!AF544,NA())</f>
        <v>#N/A</v>
      </c>
      <c r="J542" t="e">
        <f ca="1">IFERROR(计算区域!AG544,NA())</f>
        <v>#N/A</v>
      </c>
      <c r="L542" t="e">
        <f ca="1">IFERROR(计算区域!L544,NA())</f>
        <v>#N/A</v>
      </c>
      <c r="M542" t="e">
        <f ca="1">IFERROR(计算区域!M544,NA())</f>
        <v>#N/A</v>
      </c>
      <c r="N542" t="e">
        <f ca="1">IFERROR(计算区域!N544,NA())</f>
        <v>#N/A</v>
      </c>
      <c r="O542" t="e">
        <f ca="1">IFERROR(计算区域!O544,NA())</f>
        <v>#N/A</v>
      </c>
      <c r="Q542" t="e">
        <f ca="1">IFERROR(计算区域!R544,NA())</f>
        <v>#N/A</v>
      </c>
      <c r="R542" t="e">
        <f ca="1">IFERROR(计算区域!S544,NA())</f>
        <v>#N/A</v>
      </c>
      <c r="S542" t="e">
        <f ca="1">IFERROR(计算区域!T544,NA())</f>
        <v>#N/A</v>
      </c>
      <c r="T542" t="e">
        <f ca="1">IFERROR(计算区域!U544,NA())</f>
        <v>#N/A</v>
      </c>
      <c r="V542" t="e">
        <f ca="1">IFERROR(计算区域!X544,NA())</f>
        <v>#N/A</v>
      </c>
      <c r="W542" t="e">
        <f ca="1">IFERROR(计算区域!Y544,NA())</f>
        <v>#N/A</v>
      </c>
      <c r="X542" t="e">
        <f ca="1">IFERROR(计算区域!Z544,NA())</f>
        <v>#N/A</v>
      </c>
      <c r="Y542" t="e">
        <f ca="1">IFERROR(计算区域!AA544,NA())</f>
        <v>#N/A</v>
      </c>
    </row>
    <row r="543" spans="1:25" x14ac:dyDescent="0.2">
      <c r="A543" s="28">
        <f>计算区域!E545</f>
        <v>44662</v>
      </c>
      <c r="B543" t="e">
        <f ca="1">IFERROR(计算区域!AJ545,NA())</f>
        <v>#N/A</v>
      </c>
      <c r="C543" t="e">
        <f ca="1">IFERROR(计算区域!AK545,NA())</f>
        <v>#N/A</v>
      </c>
      <c r="D543" t="e">
        <f ca="1">IFERROR(计算区域!AL545,NA())</f>
        <v>#N/A</v>
      </c>
      <c r="E543" t="e">
        <f ca="1">IFERROR(计算区域!AM545,NA())</f>
        <v>#N/A</v>
      </c>
      <c r="G543" t="e">
        <f ca="1">IFERROR(计算区域!AD545,NA())</f>
        <v>#N/A</v>
      </c>
      <c r="H543" t="e">
        <f ca="1">IFERROR(计算区域!AE545,NA())</f>
        <v>#N/A</v>
      </c>
      <c r="I543" t="e">
        <f ca="1">IFERROR(计算区域!AF545,NA())</f>
        <v>#N/A</v>
      </c>
      <c r="J543" t="e">
        <f ca="1">IFERROR(计算区域!AG545,NA())</f>
        <v>#N/A</v>
      </c>
      <c r="L543" t="e">
        <f ca="1">IFERROR(计算区域!L545,NA())</f>
        <v>#N/A</v>
      </c>
      <c r="M543" t="e">
        <f ca="1">IFERROR(计算区域!M545,NA())</f>
        <v>#N/A</v>
      </c>
      <c r="N543" t="e">
        <f ca="1">IFERROR(计算区域!N545,NA())</f>
        <v>#N/A</v>
      </c>
      <c r="O543" t="e">
        <f ca="1">IFERROR(计算区域!O545,NA())</f>
        <v>#N/A</v>
      </c>
      <c r="Q543" t="e">
        <f ca="1">IFERROR(计算区域!R545,NA())</f>
        <v>#N/A</v>
      </c>
      <c r="R543" t="e">
        <f ca="1">IFERROR(计算区域!S545,NA())</f>
        <v>#N/A</v>
      </c>
      <c r="S543" t="e">
        <f ca="1">IFERROR(计算区域!T545,NA())</f>
        <v>#N/A</v>
      </c>
      <c r="T543" t="e">
        <f ca="1">IFERROR(计算区域!U545,NA())</f>
        <v>#N/A</v>
      </c>
      <c r="V543" t="e">
        <f ca="1">IFERROR(计算区域!X545,NA())</f>
        <v>#N/A</v>
      </c>
      <c r="W543" t="e">
        <f ca="1">IFERROR(计算区域!Y545,NA())</f>
        <v>#N/A</v>
      </c>
      <c r="X543" t="e">
        <f ca="1">IFERROR(计算区域!Z545,NA())</f>
        <v>#N/A</v>
      </c>
      <c r="Y543" t="e">
        <f ca="1">IFERROR(计算区域!AA545,NA())</f>
        <v>#N/A</v>
      </c>
    </row>
    <row r="544" spans="1:25" x14ac:dyDescent="0.2">
      <c r="A544" s="28">
        <f>计算区域!E546</f>
        <v>44659</v>
      </c>
      <c r="B544" t="e">
        <f ca="1">IFERROR(计算区域!AJ546,NA())</f>
        <v>#N/A</v>
      </c>
      <c r="C544" t="e">
        <f ca="1">IFERROR(计算区域!AK546,NA())</f>
        <v>#N/A</v>
      </c>
      <c r="D544" t="e">
        <f ca="1">IFERROR(计算区域!AL546,NA())</f>
        <v>#N/A</v>
      </c>
      <c r="E544" t="e">
        <f ca="1">IFERROR(计算区域!AM546,NA())</f>
        <v>#N/A</v>
      </c>
      <c r="G544" t="e">
        <f ca="1">IFERROR(计算区域!AD546,NA())</f>
        <v>#N/A</v>
      </c>
      <c r="H544" t="e">
        <f ca="1">IFERROR(计算区域!AE546,NA())</f>
        <v>#N/A</v>
      </c>
      <c r="I544" t="e">
        <f ca="1">IFERROR(计算区域!AF546,NA())</f>
        <v>#N/A</v>
      </c>
      <c r="J544" t="e">
        <f ca="1">IFERROR(计算区域!AG546,NA())</f>
        <v>#N/A</v>
      </c>
      <c r="L544" t="e">
        <f ca="1">IFERROR(计算区域!L546,NA())</f>
        <v>#N/A</v>
      </c>
      <c r="M544" t="e">
        <f ca="1">IFERROR(计算区域!M546,NA())</f>
        <v>#N/A</v>
      </c>
      <c r="N544" t="e">
        <f ca="1">IFERROR(计算区域!N546,NA())</f>
        <v>#N/A</v>
      </c>
      <c r="O544" t="e">
        <f ca="1">IFERROR(计算区域!O546,NA())</f>
        <v>#N/A</v>
      </c>
      <c r="Q544" t="e">
        <f ca="1">IFERROR(计算区域!R546,NA())</f>
        <v>#N/A</v>
      </c>
      <c r="R544" t="e">
        <f ca="1">IFERROR(计算区域!S546,NA())</f>
        <v>#N/A</v>
      </c>
      <c r="S544" t="e">
        <f ca="1">IFERROR(计算区域!T546,NA())</f>
        <v>#N/A</v>
      </c>
      <c r="T544" t="e">
        <f ca="1">IFERROR(计算区域!U546,NA())</f>
        <v>#N/A</v>
      </c>
      <c r="V544" t="e">
        <f ca="1">IFERROR(计算区域!X546,NA())</f>
        <v>#N/A</v>
      </c>
      <c r="W544" t="e">
        <f ca="1">IFERROR(计算区域!Y546,NA())</f>
        <v>#N/A</v>
      </c>
      <c r="X544" t="e">
        <f ca="1">IFERROR(计算区域!Z546,NA())</f>
        <v>#N/A</v>
      </c>
      <c r="Y544" t="e">
        <f ca="1">IFERROR(计算区域!AA546,NA())</f>
        <v>#N/A</v>
      </c>
    </row>
    <row r="545" spans="1:25" x14ac:dyDescent="0.2">
      <c r="A545" s="28">
        <f>计算区域!E547</f>
        <v>44658</v>
      </c>
      <c r="B545" t="e">
        <f ca="1">IFERROR(计算区域!AJ547,NA())</f>
        <v>#N/A</v>
      </c>
      <c r="C545" t="e">
        <f ca="1">IFERROR(计算区域!AK547,NA())</f>
        <v>#N/A</v>
      </c>
      <c r="D545" t="e">
        <f ca="1">IFERROR(计算区域!AL547,NA())</f>
        <v>#N/A</v>
      </c>
      <c r="E545" t="e">
        <f ca="1">IFERROR(计算区域!AM547,NA())</f>
        <v>#N/A</v>
      </c>
      <c r="G545" t="e">
        <f ca="1">IFERROR(计算区域!AD547,NA())</f>
        <v>#N/A</v>
      </c>
      <c r="H545" t="e">
        <f ca="1">IFERROR(计算区域!AE547,NA())</f>
        <v>#N/A</v>
      </c>
      <c r="I545" t="e">
        <f ca="1">IFERROR(计算区域!AF547,NA())</f>
        <v>#N/A</v>
      </c>
      <c r="J545" t="e">
        <f ca="1">IFERROR(计算区域!AG547,NA())</f>
        <v>#N/A</v>
      </c>
      <c r="L545" t="e">
        <f ca="1">IFERROR(计算区域!L547,NA())</f>
        <v>#N/A</v>
      </c>
      <c r="M545" t="e">
        <f ca="1">IFERROR(计算区域!M547,NA())</f>
        <v>#N/A</v>
      </c>
      <c r="N545" t="e">
        <f ca="1">IFERROR(计算区域!N547,NA())</f>
        <v>#N/A</v>
      </c>
      <c r="O545" t="e">
        <f ca="1">IFERROR(计算区域!O547,NA())</f>
        <v>#N/A</v>
      </c>
      <c r="Q545" t="e">
        <f ca="1">IFERROR(计算区域!R547,NA())</f>
        <v>#N/A</v>
      </c>
      <c r="R545" t="e">
        <f ca="1">IFERROR(计算区域!S547,NA())</f>
        <v>#N/A</v>
      </c>
      <c r="S545" t="e">
        <f ca="1">IFERROR(计算区域!T547,NA())</f>
        <v>#N/A</v>
      </c>
      <c r="T545" t="e">
        <f ca="1">IFERROR(计算区域!U547,NA())</f>
        <v>#N/A</v>
      </c>
      <c r="V545" t="e">
        <f ca="1">IFERROR(计算区域!X547,NA())</f>
        <v>#N/A</v>
      </c>
      <c r="W545" t="e">
        <f ca="1">IFERROR(计算区域!Y547,NA())</f>
        <v>#N/A</v>
      </c>
      <c r="X545" t="e">
        <f ca="1">IFERROR(计算区域!Z547,NA())</f>
        <v>#N/A</v>
      </c>
      <c r="Y545" t="e">
        <f ca="1">IFERROR(计算区域!AA547,NA())</f>
        <v>#N/A</v>
      </c>
    </row>
    <row r="546" spans="1:25" x14ac:dyDescent="0.2">
      <c r="A546" s="28">
        <f>计算区域!E548</f>
        <v>44657</v>
      </c>
      <c r="B546" t="e">
        <f ca="1">IFERROR(计算区域!AJ548,NA())</f>
        <v>#N/A</v>
      </c>
      <c r="C546" t="e">
        <f ca="1">IFERROR(计算区域!AK548,NA())</f>
        <v>#N/A</v>
      </c>
      <c r="D546" t="e">
        <f ca="1">IFERROR(计算区域!AL548,NA())</f>
        <v>#N/A</v>
      </c>
      <c r="E546" t="e">
        <f ca="1">IFERROR(计算区域!AM548,NA())</f>
        <v>#N/A</v>
      </c>
      <c r="G546" t="e">
        <f ca="1">IFERROR(计算区域!AD548,NA())</f>
        <v>#N/A</v>
      </c>
      <c r="H546" t="e">
        <f ca="1">IFERROR(计算区域!AE548,NA())</f>
        <v>#N/A</v>
      </c>
      <c r="I546" t="e">
        <f ca="1">IFERROR(计算区域!AF548,NA())</f>
        <v>#N/A</v>
      </c>
      <c r="J546" t="e">
        <f ca="1">IFERROR(计算区域!AG548,NA())</f>
        <v>#N/A</v>
      </c>
      <c r="L546" t="e">
        <f ca="1">IFERROR(计算区域!L548,NA())</f>
        <v>#N/A</v>
      </c>
      <c r="M546" t="e">
        <f ca="1">IFERROR(计算区域!M548,NA())</f>
        <v>#N/A</v>
      </c>
      <c r="N546" t="e">
        <f ca="1">IFERROR(计算区域!N548,NA())</f>
        <v>#N/A</v>
      </c>
      <c r="O546" t="e">
        <f ca="1">IFERROR(计算区域!O548,NA())</f>
        <v>#N/A</v>
      </c>
      <c r="Q546" t="e">
        <f ca="1">IFERROR(计算区域!R548,NA())</f>
        <v>#N/A</v>
      </c>
      <c r="R546" t="e">
        <f ca="1">IFERROR(计算区域!S548,NA())</f>
        <v>#N/A</v>
      </c>
      <c r="S546" t="e">
        <f ca="1">IFERROR(计算区域!T548,NA())</f>
        <v>#N/A</v>
      </c>
      <c r="T546" t="e">
        <f ca="1">IFERROR(计算区域!U548,NA())</f>
        <v>#N/A</v>
      </c>
      <c r="V546" t="e">
        <f ca="1">IFERROR(计算区域!X548,NA())</f>
        <v>#N/A</v>
      </c>
      <c r="W546" t="e">
        <f ca="1">IFERROR(计算区域!Y548,NA())</f>
        <v>#N/A</v>
      </c>
      <c r="X546" t="e">
        <f ca="1">IFERROR(计算区域!Z548,NA())</f>
        <v>#N/A</v>
      </c>
      <c r="Y546" t="e">
        <f ca="1">IFERROR(计算区域!AA548,NA())</f>
        <v>#N/A</v>
      </c>
    </row>
    <row r="547" spans="1:25" x14ac:dyDescent="0.2">
      <c r="A547" s="28">
        <f>计算区域!E549</f>
        <v>44652</v>
      </c>
      <c r="B547" t="e">
        <f ca="1">IFERROR(计算区域!AJ549,NA())</f>
        <v>#N/A</v>
      </c>
      <c r="C547" t="e">
        <f ca="1">IFERROR(计算区域!AK549,NA())</f>
        <v>#N/A</v>
      </c>
      <c r="D547" t="e">
        <f ca="1">IFERROR(计算区域!AL549,NA())</f>
        <v>#N/A</v>
      </c>
      <c r="E547" t="e">
        <f ca="1">IFERROR(计算区域!AM549,NA())</f>
        <v>#N/A</v>
      </c>
      <c r="G547" t="e">
        <f ca="1">IFERROR(计算区域!AD549,NA())</f>
        <v>#N/A</v>
      </c>
      <c r="H547" t="e">
        <f ca="1">IFERROR(计算区域!AE549,NA())</f>
        <v>#N/A</v>
      </c>
      <c r="I547" t="e">
        <f ca="1">IFERROR(计算区域!AF549,NA())</f>
        <v>#N/A</v>
      </c>
      <c r="J547" t="e">
        <f ca="1">IFERROR(计算区域!AG549,NA())</f>
        <v>#N/A</v>
      </c>
      <c r="L547" t="e">
        <f ca="1">IFERROR(计算区域!L549,NA())</f>
        <v>#N/A</v>
      </c>
      <c r="M547" t="e">
        <f ca="1">IFERROR(计算区域!M549,NA())</f>
        <v>#N/A</v>
      </c>
      <c r="N547" t="e">
        <f ca="1">IFERROR(计算区域!N549,NA())</f>
        <v>#N/A</v>
      </c>
      <c r="O547" t="e">
        <f ca="1">IFERROR(计算区域!O549,NA())</f>
        <v>#N/A</v>
      </c>
      <c r="Q547" t="e">
        <f ca="1">IFERROR(计算区域!R549,NA())</f>
        <v>#N/A</v>
      </c>
      <c r="R547" t="e">
        <f ca="1">IFERROR(计算区域!S549,NA())</f>
        <v>#N/A</v>
      </c>
      <c r="S547" t="e">
        <f ca="1">IFERROR(计算区域!T549,NA())</f>
        <v>#N/A</v>
      </c>
      <c r="T547" t="e">
        <f ca="1">IFERROR(计算区域!U549,NA())</f>
        <v>#N/A</v>
      </c>
      <c r="V547" t="e">
        <f ca="1">IFERROR(计算区域!X549,NA())</f>
        <v>#N/A</v>
      </c>
      <c r="W547" t="e">
        <f ca="1">IFERROR(计算区域!Y549,NA())</f>
        <v>#N/A</v>
      </c>
      <c r="X547" t="e">
        <f ca="1">IFERROR(计算区域!Z549,NA())</f>
        <v>#N/A</v>
      </c>
      <c r="Y547" t="e">
        <f ca="1">IFERROR(计算区域!AA549,NA())</f>
        <v>#N/A</v>
      </c>
    </row>
    <row r="548" spans="1:25" x14ac:dyDescent="0.2">
      <c r="A548" s="28">
        <f>计算区域!E550</f>
        <v>44651</v>
      </c>
      <c r="B548" t="e">
        <f ca="1">IFERROR(计算区域!AJ550,NA())</f>
        <v>#N/A</v>
      </c>
      <c r="C548" t="e">
        <f ca="1">IFERROR(计算区域!AK550,NA())</f>
        <v>#N/A</v>
      </c>
      <c r="D548" t="e">
        <f ca="1">IFERROR(计算区域!AL550,NA())</f>
        <v>#N/A</v>
      </c>
      <c r="E548" t="e">
        <f ca="1">IFERROR(计算区域!AM550,NA())</f>
        <v>#N/A</v>
      </c>
      <c r="G548" t="e">
        <f ca="1">IFERROR(计算区域!AD550,NA())</f>
        <v>#N/A</v>
      </c>
      <c r="H548" t="e">
        <f ca="1">IFERROR(计算区域!AE550,NA())</f>
        <v>#N/A</v>
      </c>
      <c r="I548" t="e">
        <f ca="1">IFERROR(计算区域!AF550,NA())</f>
        <v>#N/A</v>
      </c>
      <c r="J548" t="e">
        <f ca="1">IFERROR(计算区域!AG550,NA())</f>
        <v>#N/A</v>
      </c>
      <c r="L548" t="e">
        <f ca="1">IFERROR(计算区域!L550,NA())</f>
        <v>#N/A</v>
      </c>
      <c r="M548" t="e">
        <f ca="1">IFERROR(计算区域!M550,NA())</f>
        <v>#N/A</v>
      </c>
      <c r="N548" t="e">
        <f ca="1">IFERROR(计算区域!N550,NA())</f>
        <v>#N/A</v>
      </c>
      <c r="O548" t="e">
        <f ca="1">IFERROR(计算区域!O550,NA())</f>
        <v>#N/A</v>
      </c>
      <c r="Q548" t="e">
        <f ca="1">IFERROR(计算区域!R550,NA())</f>
        <v>#N/A</v>
      </c>
      <c r="R548" t="e">
        <f ca="1">IFERROR(计算区域!S550,NA())</f>
        <v>#N/A</v>
      </c>
      <c r="S548" t="e">
        <f ca="1">IFERROR(计算区域!T550,NA())</f>
        <v>#N/A</v>
      </c>
      <c r="T548" t="e">
        <f ca="1">IFERROR(计算区域!U550,NA())</f>
        <v>#N/A</v>
      </c>
      <c r="V548" t="e">
        <f ca="1">IFERROR(计算区域!X550,NA())</f>
        <v>#N/A</v>
      </c>
      <c r="W548" t="e">
        <f ca="1">IFERROR(计算区域!Y550,NA())</f>
        <v>#N/A</v>
      </c>
      <c r="X548" t="e">
        <f ca="1">IFERROR(计算区域!Z550,NA())</f>
        <v>#N/A</v>
      </c>
      <c r="Y548" t="e">
        <f ca="1">IFERROR(计算区域!AA550,NA())</f>
        <v>#N/A</v>
      </c>
    </row>
    <row r="549" spans="1:25" x14ac:dyDescent="0.2">
      <c r="A549" s="28">
        <f>计算区域!E551</f>
        <v>44650</v>
      </c>
      <c r="B549" t="e">
        <f ca="1">IFERROR(计算区域!AJ551,NA())</f>
        <v>#N/A</v>
      </c>
      <c r="C549" t="e">
        <f ca="1">IFERROR(计算区域!AK551,NA())</f>
        <v>#N/A</v>
      </c>
      <c r="D549" t="e">
        <f ca="1">IFERROR(计算区域!AL551,NA())</f>
        <v>#N/A</v>
      </c>
      <c r="E549" t="e">
        <f ca="1">IFERROR(计算区域!AM551,NA())</f>
        <v>#N/A</v>
      </c>
      <c r="G549" t="e">
        <f ca="1">IFERROR(计算区域!AD551,NA())</f>
        <v>#N/A</v>
      </c>
      <c r="H549" t="e">
        <f ca="1">IFERROR(计算区域!AE551,NA())</f>
        <v>#N/A</v>
      </c>
      <c r="I549" t="e">
        <f ca="1">IFERROR(计算区域!AF551,NA())</f>
        <v>#N/A</v>
      </c>
      <c r="J549" t="e">
        <f ca="1">IFERROR(计算区域!AG551,NA())</f>
        <v>#N/A</v>
      </c>
      <c r="L549" t="e">
        <f ca="1">IFERROR(计算区域!L551,NA())</f>
        <v>#N/A</v>
      </c>
      <c r="M549" t="e">
        <f ca="1">IFERROR(计算区域!M551,NA())</f>
        <v>#N/A</v>
      </c>
      <c r="N549" t="e">
        <f ca="1">IFERROR(计算区域!N551,NA())</f>
        <v>#N/A</v>
      </c>
      <c r="O549" t="e">
        <f ca="1">IFERROR(计算区域!O551,NA())</f>
        <v>#N/A</v>
      </c>
      <c r="Q549" t="e">
        <f ca="1">IFERROR(计算区域!R551,NA())</f>
        <v>#N/A</v>
      </c>
      <c r="R549" t="e">
        <f ca="1">IFERROR(计算区域!S551,NA())</f>
        <v>#N/A</v>
      </c>
      <c r="S549" t="e">
        <f ca="1">IFERROR(计算区域!T551,NA())</f>
        <v>#N/A</v>
      </c>
      <c r="T549" t="e">
        <f ca="1">IFERROR(计算区域!U551,NA())</f>
        <v>#N/A</v>
      </c>
      <c r="V549" t="e">
        <f ca="1">IFERROR(计算区域!X551,NA())</f>
        <v>#N/A</v>
      </c>
      <c r="W549" t="e">
        <f ca="1">IFERROR(计算区域!Y551,NA())</f>
        <v>#N/A</v>
      </c>
      <c r="X549" t="e">
        <f ca="1">IFERROR(计算区域!Z551,NA())</f>
        <v>#N/A</v>
      </c>
      <c r="Y549" t="e">
        <f ca="1">IFERROR(计算区域!AA551,NA())</f>
        <v>#N/A</v>
      </c>
    </row>
    <row r="550" spans="1:25" x14ac:dyDescent="0.2">
      <c r="A550" s="28">
        <f>计算区域!E552</f>
        <v>44649</v>
      </c>
      <c r="B550" t="e">
        <f ca="1">IFERROR(计算区域!AJ552,NA())</f>
        <v>#N/A</v>
      </c>
      <c r="C550" t="e">
        <f ca="1">IFERROR(计算区域!AK552,NA())</f>
        <v>#N/A</v>
      </c>
      <c r="D550" t="e">
        <f ca="1">IFERROR(计算区域!AL552,NA())</f>
        <v>#N/A</v>
      </c>
      <c r="E550" t="e">
        <f ca="1">IFERROR(计算区域!AM552,NA())</f>
        <v>#N/A</v>
      </c>
      <c r="G550" t="e">
        <f ca="1">IFERROR(计算区域!AD552,NA())</f>
        <v>#N/A</v>
      </c>
      <c r="H550" t="e">
        <f ca="1">IFERROR(计算区域!AE552,NA())</f>
        <v>#N/A</v>
      </c>
      <c r="I550" t="e">
        <f ca="1">IFERROR(计算区域!AF552,NA())</f>
        <v>#N/A</v>
      </c>
      <c r="J550" t="e">
        <f ca="1">IFERROR(计算区域!AG552,NA())</f>
        <v>#N/A</v>
      </c>
      <c r="L550" t="e">
        <f ca="1">IFERROR(计算区域!L552,NA())</f>
        <v>#N/A</v>
      </c>
      <c r="M550" t="e">
        <f ca="1">IFERROR(计算区域!M552,NA())</f>
        <v>#N/A</v>
      </c>
      <c r="N550" t="e">
        <f ca="1">IFERROR(计算区域!N552,NA())</f>
        <v>#N/A</v>
      </c>
      <c r="O550" t="e">
        <f ca="1">IFERROR(计算区域!O552,NA())</f>
        <v>#N/A</v>
      </c>
      <c r="Q550" t="e">
        <f ca="1">IFERROR(计算区域!R552,NA())</f>
        <v>#N/A</v>
      </c>
      <c r="R550" t="e">
        <f ca="1">IFERROR(计算区域!S552,NA())</f>
        <v>#N/A</v>
      </c>
      <c r="S550" t="e">
        <f ca="1">IFERROR(计算区域!T552,NA())</f>
        <v>#N/A</v>
      </c>
      <c r="T550" t="e">
        <f ca="1">IFERROR(计算区域!U552,NA())</f>
        <v>#N/A</v>
      </c>
      <c r="V550" t="e">
        <f ca="1">IFERROR(计算区域!X552,NA())</f>
        <v>#N/A</v>
      </c>
      <c r="W550" t="e">
        <f ca="1">IFERROR(计算区域!Y552,NA())</f>
        <v>#N/A</v>
      </c>
      <c r="X550" t="e">
        <f ca="1">IFERROR(计算区域!Z552,NA())</f>
        <v>#N/A</v>
      </c>
      <c r="Y550" t="e">
        <f ca="1">IFERROR(计算区域!AA552,NA())</f>
        <v>#N/A</v>
      </c>
    </row>
    <row r="551" spans="1:25" x14ac:dyDescent="0.2">
      <c r="A551" s="28">
        <f>计算区域!E553</f>
        <v>44648</v>
      </c>
      <c r="B551" t="e">
        <f ca="1">IFERROR(计算区域!AJ553,NA())</f>
        <v>#N/A</v>
      </c>
      <c r="C551" t="e">
        <f ca="1">IFERROR(计算区域!AK553,NA())</f>
        <v>#N/A</v>
      </c>
      <c r="D551" t="e">
        <f ca="1">IFERROR(计算区域!AL553,NA())</f>
        <v>#N/A</v>
      </c>
      <c r="E551" t="e">
        <f ca="1">IFERROR(计算区域!AM553,NA())</f>
        <v>#N/A</v>
      </c>
      <c r="G551" t="e">
        <f ca="1">IFERROR(计算区域!AD553,NA())</f>
        <v>#N/A</v>
      </c>
      <c r="H551" t="e">
        <f ca="1">IFERROR(计算区域!AE553,NA())</f>
        <v>#N/A</v>
      </c>
      <c r="I551" t="e">
        <f ca="1">IFERROR(计算区域!AF553,NA())</f>
        <v>#N/A</v>
      </c>
      <c r="J551" t="e">
        <f ca="1">IFERROR(计算区域!AG553,NA())</f>
        <v>#N/A</v>
      </c>
      <c r="L551" t="e">
        <f ca="1">IFERROR(计算区域!L553,NA())</f>
        <v>#N/A</v>
      </c>
      <c r="M551" t="e">
        <f ca="1">IFERROR(计算区域!M553,NA())</f>
        <v>#N/A</v>
      </c>
      <c r="N551" t="e">
        <f ca="1">IFERROR(计算区域!N553,NA())</f>
        <v>#N/A</v>
      </c>
      <c r="O551" t="e">
        <f ca="1">IFERROR(计算区域!O553,NA())</f>
        <v>#N/A</v>
      </c>
      <c r="Q551" t="e">
        <f ca="1">IFERROR(计算区域!R553,NA())</f>
        <v>#N/A</v>
      </c>
      <c r="R551" t="e">
        <f ca="1">IFERROR(计算区域!S553,NA())</f>
        <v>#N/A</v>
      </c>
      <c r="S551" t="e">
        <f ca="1">IFERROR(计算区域!T553,NA())</f>
        <v>#N/A</v>
      </c>
      <c r="T551" t="e">
        <f ca="1">IFERROR(计算区域!U553,NA())</f>
        <v>#N/A</v>
      </c>
      <c r="V551" t="e">
        <f ca="1">IFERROR(计算区域!X553,NA())</f>
        <v>#N/A</v>
      </c>
      <c r="W551" t="e">
        <f ca="1">IFERROR(计算区域!Y553,NA())</f>
        <v>#N/A</v>
      </c>
      <c r="X551" t="e">
        <f ca="1">IFERROR(计算区域!Z553,NA())</f>
        <v>#N/A</v>
      </c>
      <c r="Y551" t="e">
        <f ca="1">IFERROR(计算区域!AA553,NA())</f>
        <v>#N/A</v>
      </c>
    </row>
    <row r="552" spans="1:25" x14ac:dyDescent="0.2">
      <c r="A552" s="28">
        <f>计算区域!E554</f>
        <v>44645</v>
      </c>
      <c r="B552" t="e">
        <f ca="1">IFERROR(计算区域!AJ554,NA())</f>
        <v>#N/A</v>
      </c>
      <c r="C552" t="e">
        <f ca="1">IFERROR(计算区域!AK554,NA())</f>
        <v>#N/A</v>
      </c>
      <c r="D552" t="e">
        <f ca="1">IFERROR(计算区域!AL554,NA())</f>
        <v>#N/A</v>
      </c>
      <c r="E552" t="e">
        <f ca="1">IFERROR(计算区域!AM554,NA())</f>
        <v>#N/A</v>
      </c>
      <c r="G552" t="e">
        <f ca="1">IFERROR(计算区域!AD554,NA())</f>
        <v>#N/A</v>
      </c>
      <c r="H552" t="e">
        <f ca="1">IFERROR(计算区域!AE554,NA())</f>
        <v>#N/A</v>
      </c>
      <c r="I552" t="e">
        <f ca="1">IFERROR(计算区域!AF554,NA())</f>
        <v>#N/A</v>
      </c>
      <c r="J552" t="e">
        <f ca="1">IFERROR(计算区域!AG554,NA())</f>
        <v>#N/A</v>
      </c>
      <c r="L552" t="e">
        <f ca="1">IFERROR(计算区域!L554,NA())</f>
        <v>#N/A</v>
      </c>
      <c r="M552" t="e">
        <f ca="1">IFERROR(计算区域!M554,NA())</f>
        <v>#N/A</v>
      </c>
      <c r="N552" t="e">
        <f ca="1">IFERROR(计算区域!N554,NA())</f>
        <v>#N/A</v>
      </c>
      <c r="O552" t="e">
        <f ca="1">IFERROR(计算区域!O554,NA())</f>
        <v>#N/A</v>
      </c>
      <c r="Q552" t="e">
        <f ca="1">IFERROR(计算区域!R554,NA())</f>
        <v>#N/A</v>
      </c>
      <c r="R552" t="e">
        <f ca="1">IFERROR(计算区域!S554,NA())</f>
        <v>#N/A</v>
      </c>
      <c r="S552" t="e">
        <f ca="1">IFERROR(计算区域!T554,NA())</f>
        <v>#N/A</v>
      </c>
      <c r="T552" t="e">
        <f ca="1">IFERROR(计算区域!U554,NA())</f>
        <v>#N/A</v>
      </c>
      <c r="V552" t="e">
        <f ca="1">IFERROR(计算区域!X554,NA())</f>
        <v>#N/A</v>
      </c>
      <c r="W552" t="e">
        <f ca="1">IFERROR(计算区域!Y554,NA())</f>
        <v>#N/A</v>
      </c>
      <c r="X552" t="e">
        <f ca="1">IFERROR(计算区域!Z554,NA())</f>
        <v>#N/A</v>
      </c>
      <c r="Y552" t="e">
        <f ca="1">IFERROR(计算区域!AA554,NA())</f>
        <v>#N/A</v>
      </c>
    </row>
    <row r="553" spans="1:25" x14ac:dyDescent="0.2">
      <c r="A553" s="28">
        <f>计算区域!E555</f>
        <v>44644</v>
      </c>
      <c r="B553" t="e">
        <f ca="1">IFERROR(计算区域!AJ555,NA())</f>
        <v>#N/A</v>
      </c>
      <c r="C553" t="e">
        <f ca="1">IFERROR(计算区域!AK555,NA())</f>
        <v>#N/A</v>
      </c>
      <c r="D553" t="e">
        <f ca="1">IFERROR(计算区域!AL555,NA())</f>
        <v>#N/A</v>
      </c>
      <c r="E553" t="e">
        <f ca="1">IFERROR(计算区域!AM555,NA())</f>
        <v>#N/A</v>
      </c>
      <c r="G553" t="e">
        <f ca="1">IFERROR(计算区域!AD555,NA())</f>
        <v>#N/A</v>
      </c>
      <c r="H553" t="e">
        <f ca="1">IFERROR(计算区域!AE555,NA())</f>
        <v>#N/A</v>
      </c>
      <c r="I553" t="e">
        <f ca="1">IFERROR(计算区域!AF555,NA())</f>
        <v>#N/A</v>
      </c>
      <c r="J553" t="e">
        <f ca="1">IFERROR(计算区域!AG555,NA())</f>
        <v>#N/A</v>
      </c>
      <c r="L553" t="e">
        <f ca="1">IFERROR(计算区域!L555,NA())</f>
        <v>#N/A</v>
      </c>
      <c r="M553" t="e">
        <f ca="1">IFERROR(计算区域!M555,NA())</f>
        <v>#N/A</v>
      </c>
      <c r="N553" t="e">
        <f ca="1">IFERROR(计算区域!N555,NA())</f>
        <v>#N/A</v>
      </c>
      <c r="O553" t="e">
        <f ca="1">IFERROR(计算区域!O555,NA())</f>
        <v>#N/A</v>
      </c>
      <c r="Q553" t="e">
        <f ca="1">IFERROR(计算区域!R555,NA())</f>
        <v>#N/A</v>
      </c>
      <c r="R553" t="e">
        <f ca="1">IFERROR(计算区域!S555,NA())</f>
        <v>#N/A</v>
      </c>
      <c r="S553" t="e">
        <f ca="1">IFERROR(计算区域!T555,NA())</f>
        <v>#N/A</v>
      </c>
      <c r="T553" t="e">
        <f ca="1">IFERROR(计算区域!U555,NA())</f>
        <v>#N/A</v>
      </c>
      <c r="V553" t="e">
        <f ca="1">IFERROR(计算区域!X555,NA())</f>
        <v>#N/A</v>
      </c>
      <c r="W553" t="e">
        <f ca="1">IFERROR(计算区域!Y555,NA())</f>
        <v>#N/A</v>
      </c>
      <c r="X553" t="e">
        <f ca="1">IFERROR(计算区域!Z555,NA())</f>
        <v>#N/A</v>
      </c>
      <c r="Y553" t="e">
        <f ca="1">IFERROR(计算区域!AA555,NA())</f>
        <v>#N/A</v>
      </c>
    </row>
    <row r="554" spans="1:25" x14ac:dyDescent="0.2">
      <c r="A554" s="28">
        <f>计算区域!E556</f>
        <v>44643</v>
      </c>
      <c r="B554" t="e">
        <f ca="1">IFERROR(计算区域!AJ556,NA())</f>
        <v>#N/A</v>
      </c>
      <c r="C554" t="e">
        <f ca="1">IFERROR(计算区域!AK556,NA())</f>
        <v>#N/A</v>
      </c>
      <c r="D554" t="e">
        <f ca="1">IFERROR(计算区域!AL556,NA())</f>
        <v>#N/A</v>
      </c>
      <c r="E554" t="e">
        <f ca="1">IFERROR(计算区域!AM556,NA())</f>
        <v>#N/A</v>
      </c>
      <c r="G554" t="e">
        <f ca="1">IFERROR(计算区域!AD556,NA())</f>
        <v>#N/A</v>
      </c>
      <c r="H554" t="e">
        <f ca="1">IFERROR(计算区域!AE556,NA())</f>
        <v>#N/A</v>
      </c>
      <c r="I554" t="e">
        <f ca="1">IFERROR(计算区域!AF556,NA())</f>
        <v>#N/A</v>
      </c>
      <c r="J554" t="e">
        <f ca="1">IFERROR(计算区域!AG556,NA())</f>
        <v>#N/A</v>
      </c>
      <c r="L554" t="e">
        <f ca="1">IFERROR(计算区域!L556,NA())</f>
        <v>#N/A</v>
      </c>
      <c r="M554" t="e">
        <f ca="1">IFERROR(计算区域!M556,NA())</f>
        <v>#N/A</v>
      </c>
      <c r="N554" t="e">
        <f ca="1">IFERROR(计算区域!N556,NA())</f>
        <v>#N/A</v>
      </c>
      <c r="O554" t="e">
        <f ca="1">IFERROR(计算区域!O556,NA())</f>
        <v>#N/A</v>
      </c>
      <c r="Q554" t="e">
        <f ca="1">IFERROR(计算区域!R556,NA())</f>
        <v>#N/A</v>
      </c>
      <c r="R554" t="e">
        <f ca="1">IFERROR(计算区域!S556,NA())</f>
        <v>#N/A</v>
      </c>
      <c r="S554" t="e">
        <f ca="1">IFERROR(计算区域!T556,NA())</f>
        <v>#N/A</v>
      </c>
      <c r="T554" t="e">
        <f ca="1">IFERROR(计算区域!U556,NA())</f>
        <v>#N/A</v>
      </c>
      <c r="V554" t="e">
        <f ca="1">IFERROR(计算区域!X556,NA())</f>
        <v>#N/A</v>
      </c>
      <c r="W554" t="e">
        <f ca="1">IFERROR(计算区域!Y556,NA())</f>
        <v>#N/A</v>
      </c>
      <c r="X554" t="e">
        <f ca="1">IFERROR(计算区域!Z556,NA())</f>
        <v>#N/A</v>
      </c>
      <c r="Y554" t="e">
        <f ca="1">IFERROR(计算区域!AA556,NA())</f>
        <v>#N/A</v>
      </c>
    </row>
    <row r="555" spans="1:25" x14ac:dyDescent="0.2">
      <c r="A555" s="28">
        <f>计算区域!E557</f>
        <v>44642</v>
      </c>
      <c r="B555" t="e">
        <f ca="1">IFERROR(计算区域!AJ557,NA())</f>
        <v>#N/A</v>
      </c>
      <c r="C555" t="e">
        <f ca="1">IFERROR(计算区域!AK557,NA())</f>
        <v>#N/A</v>
      </c>
      <c r="D555" t="e">
        <f ca="1">IFERROR(计算区域!AL557,NA())</f>
        <v>#N/A</v>
      </c>
      <c r="E555" t="e">
        <f ca="1">IFERROR(计算区域!AM557,NA())</f>
        <v>#N/A</v>
      </c>
      <c r="G555" t="e">
        <f ca="1">IFERROR(计算区域!AD557,NA())</f>
        <v>#N/A</v>
      </c>
      <c r="H555" t="e">
        <f ca="1">IFERROR(计算区域!AE557,NA())</f>
        <v>#N/A</v>
      </c>
      <c r="I555" t="e">
        <f ca="1">IFERROR(计算区域!AF557,NA())</f>
        <v>#N/A</v>
      </c>
      <c r="J555" t="e">
        <f ca="1">IFERROR(计算区域!AG557,NA())</f>
        <v>#N/A</v>
      </c>
      <c r="L555" t="e">
        <f ca="1">IFERROR(计算区域!L557,NA())</f>
        <v>#N/A</v>
      </c>
      <c r="M555" t="e">
        <f ca="1">IFERROR(计算区域!M557,NA())</f>
        <v>#N/A</v>
      </c>
      <c r="N555" t="e">
        <f ca="1">IFERROR(计算区域!N557,NA())</f>
        <v>#N/A</v>
      </c>
      <c r="O555" t="e">
        <f ca="1">IFERROR(计算区域!O557,NA())</f>
        <v>#N/A</v>
      </c>
      <c r="Q555" t="e">
        <f ca="1">IFERROR(计算区域!R557,NA())</f>
        <v>#N/A</v>
      </c>
      <c r="R555" t="e">
        <f ca="1">IFERROR(计算区域!S557,NA())</f>
        <v>#N/A</v>
      </c>
      <c r="S555" t="e">
        <f ca="1">IFERROR(计算区域!T557,NA())</f>
        <v>#N/A</v>
      </c>
      <c r="T555" t="e">
        <f ca="1">IFERROR(计算区域!U557,NA())</f>
        <v>#N/A</v>
      </c>
      <c r="V555" t="e">
        <f ca="1">IFERROR(计算区域!X557,NA())</f>
        <v>#N/A</v>
      </c>
      <c r="W555" t="e">
        <f ca="1">IFERROR(计算区域!Y557,NA())</f>
        <v>#N/A</v>
      </c>
      <c r="X555" t="e">
        <f ca="1">IFERROR(计算区域!Z557,NA())</f>
        <v>#N/A</v>
      </c>
      <c r="Y555" t="e">
        <f ca="1">IFERROR(计算区域!AA557,NA())</f>
        <v>#N/A</v>
      </c>
    </row>
    <row r="556" spans="1:25" x14ac:dyDescent="0.2">
      <c r="A556" s="28">
        <f>计算区域!E558</f>
        <v>44641</v>
      </c>
      <c r="B556" t="e">
        <f ca="1">IFERROR(计算区域!AJ558,NA())</f>
        <v>#N/A</v>
      </c>
      <c r="C556" t="e">
        <f ca="1">IFERROR(计算区域!AK558,NA())</f>
        <v>#N/A</v>
      </c>
      <c r="D556" t="e">
        <f ca="1">IFERROR(计算区域!AL558,NA())</f>
        <v>#N/A</v>
      </c>
      <c r="E556" t="e">
        <f ca="1">IFERROR(计算区域!AM558,NA())</f>
        <v>#N/A</v>
      </c>
      <c r="G556" t="e">
        <f ca="1">IFERROR(计算区域!AD558,NA())</f>
        <v>#N/A</v>
      </c>
      <c r="H556" t="e">
        <f ca="1">IFERROR(计算区域!AE558,NA())</f>
        <v>#N/A</v>
      </c>
      <c r="I556" t="e">
        <f ca="1">IFERROR(计算区域!AF558,NA())</f>
        <v>#N/A</v>
      </c>
      <c r="J556" t="e">
        <f ca="1">IFERROR(计算区域!AG558,NA())</f>
        <v>#N/A</v>
      </c>
      <c r="L556" t="e">
        <f ca="1">IFERROR(计算区域!L558,NA())</f>
        <v>#N/A</v>
      </c>
      <c r="M556" t="e">
        <f ca="1">IFERROR(计算区域!M558,NA())</f>
        <v>#N/A</v>
      </c>
      <c r="N556" t="e">
        <f ca="1">IFERROR(计算区域!N558,NA())</f>
        <v>#N/A</v>
      </c>
      <c r="O556" t="e">
        <f ca="1">IFERROR(计算区域!O558,NA())</f>
        <v>#N/A</v>
      </c>
      <c r="Q556" t="e">
        <f ca="1">IFERROR(计算区域!R558,NA())</f>
        <v>#N/A</v>
      </c>
      <c r="R556" t="e">
        <f ca="1">IFERROR(计算区域!S558,NA())</f>
        <v>#N/A</v>
      </c>
      <c r="S556" t="e">
        <f ca="1">IFERROR(计算区域!T558,NA())</f>
        <v>#N/A</v>
      </c>
      <c r="T556" t="e">
        <f ca="1">IFERROR(计算区域!U558,NA())</f>
        <v>#N/A</v>
      </c>
      <c r="V556" t="e">
        <f ca="1">IFERROR(计算区域!X558,NA())</f>
        <v>#N/A</v>
      </c>
      <c r="W556" t="e">
        <f ca="1">IFERROR(计算区域!Y558,NA())</f>
        <v>#N/A</v>
      </c>
      <c r="X556" t="e">
        <f ca="1">IFERROR(计算区域!Z558,NA())</f>
        <v>#N/A</v>
      </c>
      <c r="Y556" t="e">
        <f ca="1">IFERROR(计算区域!AA558,NA())</f>
        <v>#N/A</v>
      </c>
    </row>
    <row r="557" spans="1:25" x14ac:dyDescent="0.2">
      <c r="A557" s="28">
        <f>计算区域!E559</f>
        <v>44638</v>
      </c>
      <c r="B557" t="e">
        <f ca="1">IFERROR(计算区域!AJ559,NA())</f>
        <v>#N/A</v>
      </c>
      <c r="C557" t="e">
        <f ca="1">IFERROR(计算区域!AK559,NA())</f>
        <v>#N/A</v>
      </c>
      <c r="D557" t="e">
        <f ca="1">IFERROR(计算区域!AL559,NA())</f>
        <v>#N/A</v>
      </c>
      <c r="E557" t="e">
        <f ca="1">IFERROR(计算区域!AM559,NA())</f>
        <v>#N/A</v>
      </c>
      <c r="G557" t="e">
        <f ca="1">IFERROR(计算区域!AD559,NA())</f>
        <v>#N/A</v>
      </c>
      <c r="H557" t="e">
        <f ca="1">IFERROR(计算区域!AE559,NA())</f>
        <v>#N/A</v>
      </c>
      <c r="I557" t="e">
        <f ca="1">IFERROR(计算区域!AF559,NA())</f>
        <v>#N/A</v>
      </c>
      <c r="J557" t="e">
        <f ca="1">IFERROR(计算区域!AG559,NA())</f>
        <v>#N/A</v>
      </c>
      <c r="L557" t="e">
        <f ca="1">IFERROR(计算区域!L559,NA())</f>
        <v>#N/A</v>
      </c>
      <c r="M557" t="e">
        <f ca="1">IFERROR(计算区域!M559,NA())</f>
        <v>#N/A</v>
      </c>
      <c r="N557" t="e">
        <f ca="1">IFERROR(计算区域!N559,NA())</f>
        <v>#N/A</v>
      </c>
      <c r="O557" t="e">
        <f ca="1">IFERROR(计算区域!O559,NA())</f>
        <v>#N/A</v>
      </c>
      <c r="Q557" t="e">
        <f ca="1">IFERROR(计算区域!R559,NA())</f>
        <v>#N/A</v>
      </c>
      <c r="R557" t="e">
        <f ca="1">IFERROR(计算区域!S559,NA())</f>
        <v>#N/A</v>
      </c>
      <c r="S557" t="e">
        <f ca="1">IFERROR(计算区域!T559,NA())</f>
        <v>#N/A</v>
      </c>
      <c r="T557" t="e">
        <f ca="1">IFERROR(计算区域!U559,NA())</f>
        <v>#N/A</v>
      </c>
      <c r="V557" t="e">
        <f ca="1">IFERROR(计算区域!X559,NA())</f>
        <v>#N/A</v>
      </c>
      <c r="W557" t="e">
        <f ca="1">IFERROR(计算区域!Y559,NA())</f>
        <v>#N/A</v>
      </c>
      <c r="X557" t="e">
        <f ca="1">IFERROR(计算区域!Z559,NA())</f>
        <v>#N/A</v>
      </c>
      <c r="Y557" t="e">
        <f ca="1">IFERROR(计算区域!AA559,NA())</f>
        <v>#N/A</v>
      </c>
    </row>
    <row r="558" spans="1:25" x14ac:dyDescent="0.2">
      <c r="A558" s="28">
        <f>计算区域!E560</f>
        <v>44637</v>
      </c>
      <c r="B558" t="e">
        <f ca="1">IFERROR(计算区域!AJ560,NA())</f>
        <v>#N/A</v>
      </c>
      <c r="C558" t="e">
        <f ca="1">IFERROR(计算区域!AK560,NA())</f>
        <v>#N/A</v>
      </c>
      <c r="D558" t="e">
        <f ca="1">IFERROR(计算区域!AL560,NA())</f>
        <v>#N/A</v>
      </c>
      <c r="E558" t="e">
        <f ca="1">IFERROR(计算区域!AM560,NA())</f>
        <v>#N/A</v>
      </c>
      <c r="G558" t="e">
        <f ca="1">IFERROR(计算区域!AD560,NA())</f>
        <v>#N/A</v>
      </c>
      <c r="H558" t="e">
        <f ca="1">IFERROR(计算区域!AE560,NA())</f>
        <v>#N/A</v>
      </c>
      <c r="I558" t="e">
        <f ca="1">IFERROR(计算区域!AF560,NA())</f>
        <v>#N/A</v>
      </c>
      <c r="J558" t="e">
        <f ca="1">IFERROR(计算区域!AG560,NA())</f>
        <v>#N/A</v>
      </c>
      <c r="L558" t="e">
        <f ca="1">IFERROR(计算区域!L560,NA())</f>
        <v>#N/A</v>
      </c>
      <c r="M558" t="e">
        <f ca="1">IFERROR(计算区域!M560,NA())</f>
        <v>#N/A</v>
      </c>
      <c r="N558" t="e">
        <f ca="1">IFERROR(计算区域!N560,NA())</f>
        <v>#N/A</v>
      </c>
      <c r="O558" t="e">
        <f ca="1">IFERROR(计算区域!O560,NA())</f>
        <v>#N/A</v>
      </c>
      <c r="Q558" t="e">
        <f ca="1">IFERROR(计算区域!R560,NA())</f>
        <v>#N/A</v>
      </c>
      <c r="R558" t="e">
        <f ca="1">IFERROR(计算区域!S560,NA())</f>
        <v>#N/A</v>
      </c>
      <c r="S558" t="e">
        <f ca="1">IFERROR(计算区域!T560,NA())</f>
        <v>#N/A</v>
      </c>
      <c r="T558" t="e">
        <f ca="1">IFERROR(计算区域!U560,NA())</f>
        <v>#N/A</v>
      </c>
      <c r="V558" t="e">
        <f ca="1">IFERROR(计算区域!X560,NA())</f>
        <v>#N/A</v>
      </c>
      <c r="W558" t="e">
        <f ca="1">IFERROR(计算区域!Y560,NA())</f>
        <v>#N/A</v>
      </c>
      <c r="X558" t="e">
        <f ca="1">IFERROR(计算区域!Z560,NA())</f>
        <v>#N/A</v>
      </c>
      <c r="Y558" t="e">
        <f ca="1">IFERROR(计算区域!AA560,NA())</f>
        <v>#N/A</v>
      </c>
    </row>
    <row r="559" spans="1:25" x14ac:dyDescent="0.2">
      <c r="A559" s="28">
        <f>计算区域!E561</f>
        <v>44636</v>
      </c>
      <c r="B559" t="e">
        <f ca="1">IFERROR(计算区域!AJ561,NA())</f>
        <v>#N/A</v>
      </c>
      <c r="C559" t="e">
        <f ca="1">IFERROR(计算区域!AK561,NA())</f>
        <v>#N/A</v>
      </c>
      <c r="D559" t="e">
        <f ca="1">IFERROR(计算区域!AL561,NA())</f>
        <v>#N/A</v>
      </c>
      <c r="E559" t="e">
        <f ca="1">IFERROR(计算区域!AM561,NA())</f>
        <v>#N/A</v>
      </c>
      <c r="G559" t="e">
        <f ca="1">IFERROR(计算区域!AD561,NA())</f>
        <v>#N/A</v>
      </c>
      <c r="H559" t="e">
        <f ca="1">IFERROR(计算区域!AE561,NA())</f>
        <v>#N/A</v>
      </c>
      <c r="I559" t="e">
        <f ca="1">IFERROR(计算区域!AF561,NA())</f>
        <v>#N/A</v>
      </c>
      <c r="J559" t="e">
        <f ca="1">IFERROR(计算区域!AG561,NA())</f>
        <v>#N/A</v>
      </c>
      <c r="L559" t="e">
        <f ca="1">IFERROR(计算区域!L561,NA())</f>
        <v>#N/A</v>
      </c>
      <c r="M559" t="e">
        <f ca="1">IFERROR(计算区域!M561,NA())</f>
        <v>#N/A</v>
      </c>
      <c r="N559" t="e">
        <f ca="1">IFERROR(计算区域!N561,NA())</f>
        <v>#N/A</v>
      </c>
      <c r="O559" t="e">
        <f ca="1">IFERROR(计算区域!O561,NA())</f>
        <v>#N/A</v>
      </c>
      <c r="Q559" t="e">
        <f ca="1">IFERROR(计算区域!R561,NA())</f>
        <v>#N/A</v>
      </c>
      <c r="R559" t="e">
        <f ca="1">IFERROR(计算区域!S561,NA())</f>
        <v>#N/A</v>
      </c>
      <c r="S559" t="e">
        <f ca="1">IFERROR(计算区域!T561,NA())</f>
        <v>#N/A</v>
      </c>
      <c r="T559" t="e">
        <f ca="1">IFERROR(计算区域!U561,NA())</f>
        <v>#N/A</v>
      </c>
      <c r="V559" t="e">
        <f ca="1">IFERROR(计算区域!X561,NA())</f>
        <v>#N/A</v>
      </c>
      <c r="W559" t="e">
        <f ca="1">IFERROR(计算区域!Y561,NA())</f>
        <v>#N/A</v>
      </c>
      <c r="X559" t="e">
        <f ca="1">IFERROR(计算区域!Z561,NA())</f>
        <v>#N/A</v>
      </c>
      <c r="Y559" t="e">
        <f ca="1">IFERROR(计算区域!AA561,NA())</f>
        <v>#N/A</v>
      </c>
    </row>
    <row r="560" spans="1:25" x14ac:dyDescent="0.2">
      <c r="A560" s="28">
        <f>计算区域!E562</f>
        <v>44635</v>
      </c>
      <c r="B560" t="e">
        <f ca="1">IFERROR(计算区域!AJ562,NA())</f>
        <v>#N/A</v>
      </c>
      <c r="C560" t="e">
        <f ca="1">IFERROR(计算区域!AK562,NA())</f>
        <v>#N/A</v>
      </c>
      <c r="D560" t="e">
        <f ca="1">IFERROR(计算区域!AL562,NA())</f>
        <v>#N/A</v>
      </c>
      <c r="E560" t="e">
        <f ca="1">IFERROR(计算区域!AM562,NA())</f>
        <v>#N/A</v>
      </c>
      <c r="G560" t="e">
        <f ca="1">IFERROR(计算区域!AD562,NA())</f>
        <v>#N/A</v>
      </c>
      <c r="H560" t="e">
        <f ca="1">IFERROR(计算区域!AE562,NA())</f>
        <v>#N/A</v>
      </c>
      <c r="I560" t="e">
        <f ca="1">IFERROR(计算区域!AF562,NA())</f>
        <v>#N/A</v>
      </c>
      <c r="J560" t="e">
        <f ca="1">IFERROR(计算区域!AG562,NA())</f>
        <v>#N/A</v>
      </c>
      <c r="L560" t="e">
        <f ca="1">IFERROR(计算区域!L562,NA())</f>
        <v>#N/A</v>
      </c>
      <c r="M560" t="e">
        <f ca="1">IFERROR(计算区域!M562,NA())</f>
        <v>#N/A</v>
      </c>
      <c r="N560" t="e">
        <f ca="1">IFERROR(计算区域!N562,NA())</f>
        <v>#N/A</v>
      </c>
      <c r="O560" t="e">
        <f ca="1">IFERROR(计算区域!O562,NA())</f>
        <v>#N/A</v>
      </c>
      <c r="Q560" t="e">
        <f ca="1">IFERROR(计算区域!R562,NA())</f>
        <v>#N/A</v>
      </c>
      <c r="R560" t="e">
        <f ca="1">IFERROR(计算区域!S562,NA())</f>
        <v>#N/A</v>
      </c>
      <c r="S560" t="e">
        <f ca="1">IFERROR(计算区域!T562,NA())</f>
        <v>#N/A</v>
      </c>
      <c r="T560" t="e">
        <f ca="1">IFERROR(计算区域!U562,NA())</f>
        <v>#N/A</v>
      </c>
      <c r="V560" t="e">
        <f ca="1">IFERROR(计算区域!X562,NA())</f>
        <v>#N/A</v>
      </c>
      <c r="W560" t="e">
        <f ca="1">IFERROR(计算区域!Y562,NA())</f>
        <v>#N/A</v>
      </c>
      <c r="X560" t="e">
        <f ca="1">IFERROR(计算区域!Z562,NA())</f>
        <v>#N/A</v>
      </c>
      <c r="Y560" t="e">
        <f ca="1">IFERROR(计算区域!AA562,NA())</f>
        <v>#N/A</v>
      </c>
    </row>
    <row r="561" spans="1:25" x14ac:dyDescent="0.2">
      <c r="A561" s="28">
        <f>计算区域!E563</f>
        <v>44634</v>
      </c>
      <c r="B561" t="e">
        <f ca="1">IFERROR(计算区域!AJ563,NA())</f>
        <v>#N/A</v>
      </c>
      <c r="C561" t="e">
        <f ca="1">IFERROR(计算区域!AK563,NA())</f>
        <v>#N/A</v>
      </c>
      <c r="D561" t="e">
        <f ca="1">IFERROR(计算区域!AL563,NA())</f>
        <v>#N/A</v>
      </c>
      <c r="E561" t="e">
        <f ca="1">IFERROR(计算区域!AM563,NA())</f>
        <v>#N/A</v>
      </c>
      <c r="G561" t="e">
        <f ca="1">IFERROR(计算区域!AD563,NA())</f>
        <v>#N/A</v>
      </c>
      <c r="H561" t="e">
        <f ca="1">IFERROR(计算区域!AE563,NA())</f>
        <v>#N/A</v>
      </c>
      <c r="I561" t="e">
        <f ca="1">IFERROR(计算区域!AF563,NA())</f>
        <v>#N/A</v>
      </c>
      <c r="J561" t="e">
        <f ca="1">IFERROR(计算区域!AG563,NA())</f>
        <v>#N/A</v>
      </c>
      <c r="L561" t="e">
        <f ca="1">IFERROR(计算区域!L563,NA())</f>
        <v>#N/A</v>
      </c>
      <c r="M561" t="e">
        <f ca="1">IFERROR(计算区域!M563,NA())</f>
        <v>#N/A</v>
      </c>
      <c r="N561" t="e">
        <f ca="1">IFERROR(计算区域!N563,NA())</f>
        <v>#N/A</v>
      </c>
      <c r="O561" t="e">
        <f ca="1">IFERROR(计算区域!O563,NA())</f>
        <v>#N/A</v>
      </c>
      <c r="Q561" t="e">
        <f ca="1">IFERROR(计算区域!R563,NA())</f>
        <v>#N/A</v>
      </c>
      <c r="R561" t="e">
        <f ca="1">IFERROR(计算区域!S563,NA())</f>
        <v>#N/A</v>
      </c>
      <c r="S561" t="e">
        <f ca="1">IFERROR(计算区域!T563,NA())</f>
        <v>#N/A</v>
      </c>
      <c r="T561" t="e">
        <f ca="1">IFERROR(计算区域!U563,NA())</f>
        <v>#N/A</v>
      </c>
      <c r="V561" t="e">
        <f ca="1">IFERROR(计算区域!X563,NA())</f>
        <v>#N/A</v>
      </c>
      <c r="W561" t="e">
        <f ca="1">IFERROR(计算区域!Y563,NA())</f>
        <v>#N/A</v>
      </c>
      <c r="X561" t="e">
        <f ca="1">IFERROR(计算区域!Z563,NA())</f>
        <v>#N/A</v>
      </c>
      <c r="Y561" t="e">
        <f ca="1">IFERROR(计算区域!AA563,NA())</f>
        <v>#N/A</v>
      </c>
    </row>
    <row r="562" spans="1:25" x14ac:dyDescent="0.2">
      <c r="A562" s="28">
        <f>计算区域!E564</f>
        <v>44631</v>
      </c>
      <c r="B562" t="e">
        <f ca="1">IFERROR(计算区域!AJ564,NA())</f>
        <v>#N/A</v>
      </c>
      <c r="C562" t="e">
        <f ca="1">IFERROR(计算区域!AK564,NA())</f>
        <v>#N/A</v>
      </c>
      <c r="D562" t="e">
        <f ca="1">IFERROR(计算区域!AL564,NA())</f>
        <v>#N/A</v>
      </c>
      <c r="E562" t="e">
        <f ca="1">IFERROR(计算区域!AM564,NA())</f>
        <v>#N/A</v>
      </c>
      <c r="G562" t="e">
        <f ca="1">IFERROR(计算区域!AD564,NA())</f>
        <v>#N/A</v>
      </c>
      <c r="H562" t="e">
        <f ca="1">IFERROR(计算区域!AE564,NA())</f>
        <v>#N/A</v>
      </c>
      <c r="I562" t="e">
        <f ca="1">IFERROR(计算区域!AF564,NA())</f>
        <v>#N/A</v>
      </c>
      <c r="J562" t="e">
        <f ca="1">IFERROR(计算区域!AG564,NA())</f>
        <v>#N/A</v>
      </c>
      <c r="L562" t="e">
        <f ca="1">IFERROR(计算区域!L564,NA())</f>
        <v>#N/A</v>
      </c>
      <c r="M562" t="e">
        <f ca="1">IFERROR(计算区域!M564,NA())</f>
        <v>#N/A</v>
      </c>
      <c r="N562" t="e">
        <f ca="1">IFERROR(计算区域!N564,NA())</f>
        <v>#N/A</v>
      </c>
      <c r="O562" t="e">
        <f ca="1">IFERROR(计算区域!O564,NA())</f>
        <v>#N/A</v>
      </c>
      <c r="Q562" t="e">
        <f ca="1">IFERROR(计算区域!R564,NA())</f>
        <v>#N/A</v>
      </c>
      <c r="R562" t="e">
        <f ca="1">IFERROR(计算区域!S564,NA())</f>
        <v>#N/A</v>
      </c>
      <c r="S562" t="e">
        <f ca="1">IFERROR(计算区域!T564,NA())</f>
        <v>#N/A</v>
      </c>
      <c r="T562" t="e">
        <f ca="1">IFERROR(计算区域!U564,NA())</f>
        <v>#N/A</v>
      </c>
      <c r="V562" t="e">
        <f ca="1">IFERROR(计算区域!X564,NA())</f>
        <v>#N/A</v>
      </c>
      <c r="W562" t="e">
        <f ca="1">IFERROR(计算区域!Y564,NA())</f>
        <v>#N/A</v>
      </c>
      <c r="X562" t="e">
        <f ca="1">IFERROR(计算区域!Z564,NA())</f>
        <v>#N/A</v>
      </c>
      <c r="Y562" t="e">
        <f ca="1">IFERROR(计算区域!AA564,NA())</f>
        <v>#N/A</v>
      </c>
    </row>
    <row r="563" spans="1:25" x14ac:dyDescent="0.2">
      <c r="A563" s="28">
        <f>计算区域!E565</f>
        <v>44630</v>
      </c>
      <c r="B563" t="e">
        <f ca="1">IFERROR(计算区域!AJ565,NA())</f>
        <v>#N/A</v>
      </c>
      <c r="C563" t="e">
        <f ca="1">IFERROR(计算区域!AK565,NA())</f>
        <v>#N/A</v>
      </c>
      <c r="D563" t="e">
        <f ca="1">IFERROR(计算区域!AL565,NA())</f>
        <v>#N/A</v>
      </c>
      <c r="E563" t="e">
        <f ca="1">IFERROR(计算区域!AM565,NA())</f>
        <v>#N/A</v>
      </c>
      <c r="G563" t="e">
        <f ca="1">IFERROR(计算区域!AD565,NA())</f>
        <v>#N/A</v>
      </c>
      <c r="H563" t="e">
        <f ca="1">IFERROR(计算区域!AE565,NA())</f>
        <v>#N/A</v>
      </c>
      <c r="I563" t="e">
        <f ca="1">IFERROR(计算区域!AF565,NA())</f>
        <v>#N/A</v>
      </c>
      <c r="J563" t="e">
        <f ca="1">IFERROR(计算区域!AG565,NA())</f>
        <v>#N/A</v>
      </c>
      <c r="L563" t="e">
        <f ca="1">IFERROR(计算区域!L565,NA())</f>
        <v>#N/A</v>
      </c>
      <c r="M563" t="e">
        <f ca="1">IFERROR(计算区域!M565,NA())</f>
        <v>#N/A</v>
      </c>
      <c r="N563" t="e">
        <f ca="1">IFERROR(计算区域!N565,NA())</f>
        <v>#N/A</v>
      </c>
      <c r="O563" t="e">
        <f ca="1">IFERROR(计算区域!O565,NA())</f>
        <v>#N/A</v>
      </c>
      <c r="Q563" t="e">
        <f ca="1">IFERROR(计算区域!R565,NA())</f>
        <v>#N/A</v>
      </c>
      <c r="R563" t="e">
        <f ca="1">IFERROR(计算区域!S565,NA())</f>
        <v>#N/A</v>
      </c>
      <c r="S563" t="e">
        <f ca="1">IFERROR(计算区域!T565,NA())</f>
        <v>#N/A</v>
      </c>
      <c r="T563" t="e">
        <f ca="1">IFERROR(计算区域!U565,NA())</f>
        <v>#N/A</v>
      </c>
      <c r="V563" t="e">
        <f ca="1">IFERROR(计算区域!X565,NA())</f>
        <v>#N/A</v>
      </c>
      <c r="W563" t="e">
        <f ca="1">IFERROR(计算区域!Y565,NA())</f>
        <v>#N/A</v>
      </c>
      <c r="X563" t="e">
        <f ca="1">IFERROR(计算区域!Z565,NA())</f>
        <v>#N/A</v>
      </c>
      <c r="Y563" t="e">
        <f ca="1">IFERROR(计算区域!AA565,NA())</f>
        <v>#N/A</v>
      </c>
    </row>
    <row r="564" spans="1:25" x14ac:dyDescent="0.2">
      <c r="A564" s="28">
        <f>计算区域!E566</f>
        <v>44629</v>
      </c>
      <c r="B564" t="e">
        <f ca="1">IFERROR(计算区域!AJ566,NA())</f>
        <v>#N/A</v>
      </c>
      <c r="C564" t="e">
        <f ca="1">IFERROR(计算区域!AK566,NA())</f>
        <v>#N/A</v>
      </c>
      <c r="D564" t="e">
        <f ca="1">IFERROR(计算区域!AL566,NA())</f>
        <v>#N/A</v>
      </c>
      <c r="E564" t="e">
        <f ca="1">IFERROR(计算区域!AM566,NA())</f>
        <v>#N/A</v>
      </c>
      <c r="G564" t="e">
        <f ca="1">IFERROR(计算区域!AD566,NA())</f>
        <v>#N/A</v>
      </c>
      <c r="H564" t="e">
        <f ca="1">IFERROR(计算区域!AE566,NA())</f>
        <v>#N/A</v>
      </c>
      <c r="I564" t="e">
        <f ca="1">IFERROR(计算区域!AF566,NA())</f>
        <v>#N/A</v>
      </c>
      <c r="J564" t="e">
        <f ca="1">IFERROR(计算区域!AG566,NA())</f>
        <v>#N/A</v>
      </c>
      <c r="L564" t="e">
        <f ca="1">IFERROR(计算区域!L566,NA())</f>
        <v>#N/A</v>
      </c>
      <c r="M564" t="e">
        <f ca="1">IFERROR(计算区域!M566,NA())</f>
        <v>#N/A</v>
      </c>
      <c r="N564" t="e">
        <f ca="1">IFERROR(计算区域!N566,NA())</f>
        <v>#N/A</v>
      </c>
      <c r="O564" t="e">
        <f ca="1">IFERROR(计算区域!O566,NA())</f>
        <v>#N/A</v>
      </c>
      <c r="Q564" t="e">
        <f ca="1">IFERROR(计算区域!R566,NA())</f>
        <v>#N/A</v>
      </c>
      <c r="R564" t="e">
        <f ca="1">IFERROR(计算区域!S566,NA())</f>
        <v>#N/A</v>
      </c>
      <c r="S564" t="e">
        <f ca="1">IFERROR(计算区域!T566,NA())</f>
        <v>#N/A</v>
      </c>
      <c r="T564" t="e">
        <f ca="1">IFERROR(计算区域!U566,NA())</f>
        <v>#N/A</v>
      </c>
      <c r="V564" t="e">
        <f ca="1">IFERROR(计算区域!X566,NA())</f>
        <v>#N/A</v>
      </c>
      <c r="W564" t="e">
        <f ca="1">IFERROR(计算区域!Y566,NA())</f>
        <v>#N/A</v>
      </c>
      <c r="X564" t="e">
        <f ca="1">IFERROR(计算区域!Z566,NA())</f>
        <v>#N/A</v>
      </c>
      <c r="Y564" t="e">
        <f ca="1">IFERROR(计算区域!AA566,NA())</f>
        <v>#N/A</v>
      </c>
    </row>
    <row r="565" spans="1:25" x14ac:dyDescent="0.2">
      <c r="A565" s="28">
        <f>计算区域!E567</f>
        <v>44628</v>
      </c>
      <c r="B565" t="e">
        <f ca="1">IFERROR(计算区域!AJ567,NA())</f>
        <v>#N/A</v>
      </c>
      <c r="C565" t="e">
        <f ca="1">IFERROR(计算区域!AK567,NA())</f>
        <v>#N/A</v>
      </c>
      <c r="D565" t="e">
        <f ca="1">IFERROR(计算区域!AL567,NA())</f>
        <v>#N/A</v>
      </c>
      <c r="E565" t="e">
        <f ca="1">IFERROR(计算区域!AM567,NA())</f>
        <v>#N/A</v>
      </c>
      <c r="G565" t="e">
        <f ca="1">IFERROR(计算区域!AD567,NA())</f>
        <v>#N/A</v>
      </c>
      <c r="H565" t="e">
        <f ca="1">IFERROR(计算区域!AE567,NA())</f>
        <v>#N/A</v>
      </c>
      <c r="I565" t="e">
        <f ca="1">IFERROR(计算区域!AF567,NA())</f>
        <v>#N/A</v>
      </c>
      <c r="J565" t="e">
        <f ca="1">IFERROR(计算区域!AG567,NA())</f>
        <v>#N/A</v>
      </c>
      <c r="L565" t="e">
        <f ca="1">IFERROR(计算区域!L567,NA())</f>
        <v>#N/A</v>
      </c>
      <c r="M565" t="e">
        <f ca="1">IFERROR(计算区域!M567,NA())</f>
        <v>#N/A</v>
      </c>
      <c r="N565" t="e">
        <f ca="1">IFERROR(计算区域!N567,NA())</f>
        <v>#N/A</v>
      </c>
      <c r="O565" t="e">
        <f ca="1">IFERROR(计算区域!O567,NA())</f>
        <v>#N/A</v>
      </c>
      <c r="Q565" t="e">
        <f ca="1">IFERROR(计算区域!R567,NA())</f>
        <v>#N/A</v>
      </c>
      <c r="R565" t="e">
        <f ca="1">IFERROR(计算区域!S567,NA())</f>
        <v>#N/A</v>
      </c>
      <c r="S565" t="e">
        <f ca="1">IFERROR(计算区域!T567,NA())</f>
        <v>#N/A</v>
      </c>
      <c r="T565" t="e">
        <f ca="1">IFERROR(计算区域!U567,NA())</f>
        <v>#N/A</v>
      </c>
      <c r="V565" t="e">
        <f ca="1">IFERROR(计算区域!X567,NA())</f>
        <v>#N/A</v>
      </c>
      <c r="W565" t="e">
        <f ca="1">IFERROR(计算区域!Y567,NA())</f>
        <v>#N/A</v>
      </c>
      <c r="X565" t="e">
        <f ca="1">IFERROR(计算区域!Z567,NA())</f>
        <v>#N/A</v>
      </c>
      <c r="Y565" t="e">
        <f ca="1">IFERROR(计算区域!AA567,NA())</f>
        <v>#N/A</v>
      </c>
    </row>
    <row r="566" spans="1:25" x14ac:dyDescent="0.2">
      <c r="A566" s="28">
        <f>计算区域!E568</f>
        <v>44627</v>
      </c>
      <c r="B566" t="e">
        <f ca="1">IFERROR(计算区域!AJ568,NA())</f>
        <v>#N/A</v>
      </c>
      <c r="C566" t="e">
        <f ca="1">IFERROR(计算区域!AK568,NA())</f>
        <v>#N/A</v>
      </c>
      <c r="D566" t="e">
        <f ca="1">IFERROR(计算区域!AL568,NA())</f>
        <v>#N/A</v>
      </c>
      <c r="E566" t="e">
        <f ca="1">IFERROR(计算区域!AM568,NA())</f>
        <v>#N/A</v>
      </c>
      <c r="G566" t="e">
        <f ca="1">IFERROR(计算区域!AD568,NA())</f>
        <v>#N/A</v>
      </c>
      <c r="H566" t="e">
        <f ca="1">IFERROR(计算区域!AE568,NA())</f>
        <v>#N/A</v>
      </c>
      <c r="I566" t="e">
        <f ca="1">IFERROR(计算区域!AF568,NA())</f>
        <v>#N/A</v>
      </c>
      <c r="J566" t="e">
        <f ca="1">IFERROR(计算区域!AG568,NA())</f>
        <v>#N/A</v>
      </c>
      <c r="L566" t="e">
        <f ca="1">IFERROR(计算区域!L568,NA())</f>
        <v>#N/A</v>
      </c>
      <c r="M566" t="e">
        <f ca="1">IFERROR(计算区域!M568,NA())</f>
        <v>#N/A</v>
      </c>
      <c r="N566" t="e">
        <f ca="1">IFERROR(计算区域!N568,NA())</f>
        <v>#N/A</v>
      </c>
      <c r="O566" t="e">
        <f ca="1">IFERROR(计算区域!O568,NA())</f>
        <v>#N/A</v>
      </c>
      <c r="Q566" t="e">
        <f ca="1">IFERROR(计算区域!R568,NA())</f>
        <v>#N/A</v>
      </c>
      <c r="R566" t="e">
        <f ca="1">IFERROR(计算区域!S568,NA())</f>
        <v>#N/A</v>
      </c>
      <c r="S566" t="e">
        <f ca="1">IFERROR(计算区域!T568,NA())</f>
        <v>#N/A</v>
      </c>
      <c r="T566" t="e">
        <f ca="1">IFERROR(计算区域!U568,NA())</f>
        <v>#N/A</v>
      </c>
      <c r="V566" t="e">
        <f ca="1">IFERROR(计算区域!X568,NA())</f>
        <v>#N/A</v>
      </c>
      <c r="W566" t="e">
        <f ca="1">IFERROR(计算区域!Y568,NA())</f>
        <v>#N/A</v>
      </c>
      <c r="X566" t="e">
        <f ca="1">IFERROR(计算区域!Z568,NA())</f>
        <v>#N/A</v>
      </c>
      <c r="Y566" t="e">
        <f ca="1">IFERROR(计算区域!AA568,NA())</f>
        <v>#N/A</v>
      </c>
    </row>
    <row r="567" spans="1:25" x14ac:dyDescent="0.2">
      <c r="A567" s="28">
        <f>计算区域!E569</f>
        <v>44624</v>
      </c>
      <c r="B567" t="e">
        <f ca="1">IFERROR(计算区域!AJ569,NA())</f>
        <v>#N/A</v>
      </c>
      <c r="C567" t="e">
        <f ca="1">IFERROR(计算区域!AK569,NA())</f>
        <v>#N/A</v>
      </c>
      <c r="D567" t="e">
        <f ca="1">IFERROR(计算区域!AL569,NA())</f>
        <v>#N/A</v>
      </c>
      <c r="E567" t="e">
        <f ca="1">IFERROR(计算区域!AM569,NA())</f>
        <v>#N/A</v>
      </c>
      <c r="G567" t="e">
        <f ca="1">IFERROR(计算区域!AD569,NA())</f>
        <v>#N/A</v>
      </c>
      <c r="H567" t="e">
        <f ca="1">IFERROR(计算区域!AE569,NA())</f>
        <v>#N/A</v>
      </c>
      <c r="I567" t="e">
        <f ca="1">IFERROR(计算区域!AF569,NA())</f>
        <v>#N/A</v>
      </c>
      <c r="J567" t="e">
        <f ca="1">IFERROR(计算区域!AG569,NA())</f>
        <v>#N/A</v>
      </c>
      <c r="L567" t="e">
        <f ca="1">IFERROR(计算区域!L569,NA())</f>
        <v>#N/A</v>
      </c>
      <c r="M567" t="e">
        <f ca="1">IFERROR(计算区域!M569,NA())</f>
        <v>#N/A</v>
      </c>
      <c r="N567" t="e">
        <f ca="1">IFERROR(计算区域!N569,NA())</f>
        <v>#N/A</v>
      </c>
      <c r="O567" t="e">
        <f ca="1">IFERROR(计算区域!O569,NA())</f>
        <v>#N/A</v>
      </c>
      <c r="Q567" t="e">
        <f ca="1">IFERROR(计算区域!R569,NA())</f>
        <v>#N/A</v>
      </c>
      <c r="R567" t="e">
        <f ca="1">IFERROR(计算区域!S569,NA())</f>
        <v>#N/A</v>
      </c>
      <c r="S567" t="e">
        <f ca="1">IFERROR(计算区域!T569,NA())</f>
        <v>#N/A</v>
      </c>
      <c r="T567" t="e">
        <f ca="1">IFERROR(计算区域!U569,NA())</f>
        <v>#N/A</v>
      </c>
      <c r="V567" t="e">
        <f ca="1">IFERROR(计算区域!X569,NA())</f>
        <v>#N/A</v>
      </c>
      <c r="W567" t="e">
        <f ca="1">IFERROR(计算区域!Y569,NA())</f>
        <v>#N/A</v>
      </c>
      <c r="X567" t="e">
        <f ca="1">IFERROR(计算区域!Z569,NA())</f>
        <v>#N/A</v>
      </c>
      <c r="Y567" t="e">
        <f ca="1">IFERROR(计算区域!AA569,NA())</f>
        <v>#N/A</v>
      </c>
    </row>
    <row r="568" spans="1:25" x14ac:dyDescent="0.2">
      <c r="A568" s="28">
        <f>计算区域!E570</f>
        <v>44623</v>
      </c>
      <c r="B568" t="e">
        <f ca="1">IFERROR(计算区域!AJ570,NA())</f>
        <v>#N/A</v>
      </c>
      <c r="C568" t="e">
        <f ca="1">IFERROR(计算区域!AK570,NA())</f>
        <v>#N/A</v>
      </c>
      <c r="D568" t="e">
        <f ca="1">IFERROR(计算区域!AL570,NA())</f>
        <v>#N/A</v>
      </c>
      <c r="E568" t="e">
        <f ca="1">IFERROR(计算区域!AM570,NA())</f>
        <v>#N/A</v>
      </c>
      <c r="G568" t="e">
        <f ca="1">IFERROR(计算区域!AD570,NA())</f>
        <v>#N/A</v>
      </c>
      <c r="H568" t="e">
        <f ca="1">IFERROR(计算区域!AE570,NA())</f>
        <v>#N/A</v>
      </c>
      <c r="I568" t="e">
        <f ca="1">IFERROR(计算区域!AF570,NA())</f>
        <v>#N/A</v>
      </c>
      <c r="J568" t="e">
        <f ca="1">IFERROR(计算区域!AG570,NA())</f>
        <v>#N/A</v>
      </c>
      <c r="L568" t="e">
        <f ca="1">IFERROR(计算区域!L570,NA())</f>
        <v>#N/A</v>
      </c>
      <c r="M568" t="e">
        <f ca="1">IFERROR(计算区域!M570,NA())</f>
        <v>#N/A</v>
      </c>
      <c r="N568" t="e">
        <f ca="1">IFERROR(计算区域!N570,NA())</f>
        <v>#N/A</v>
      </c>
      <c r="O568" t="e">
        <f ca="1">IFERROR(计算区域!O570,NA())</f>
        <v>#N/A</v>
      </c>
      <c r="Q568" t="e">
        <f ca="1">IFERROR(计算区域!R570,NA())</f>
        <v>#N/A</v>
      </c>
      <c r="R568" t="e">
        <f ca="1">IFERROR(计算区域!S570,NA())</f>
        <v>#N/A</v>
      </c>
      <c r="S568" t="e">
        <f ca="1">IFERROR(计算区域!T570,NA())</f>
        <v>#N/A</v>
      </c>
      <c r="T568" t="e">
        <f ca="1">IFERROR(计算区域!U570,NA())</f>
        <v>#N/A</v>
      </c>
      <c r="V568" t="e">
        <f ca="1">IFERROR(计算区域!X570,NA())</f>
        <v>#N/A</v>
      </c>
      <c r="W568" t="e">
        <f ca="1">IFERROR(计算区域!Y570,NA())</f>
        <v>#N/A</v>
      </c>
      <c r="X568" t="e">
        <f ca="1">IFERROR(计算区域!Z570,NA())</f>
        <v>#N/A</v>
      </c>
      <c r="Y568" t="e">
        <f ca="1">IFERROR(计算区域!AA570,NA())</f>
        <v>#N/A</v>
      </c>
    </row>
    <row r="569" spans="1:25" x14ac:dyDescent="0.2">
      <c r="A569" s="28">
        <f>计算区域!E571</f>
        <v>44622</v>
      </c>
      <c r="B569" t="e">
        <f ca="1">IFERROR(计算区域!AJ571,NA())</f>
        <v>#N/A</v>
      </c>
      <c r="C569" t="e">
        <f ca="1">IFERROR(计算区域!AK571,NA())</f>
        <v>#N/A</v>
      </c>
      <c r="D569" t="e">
        <f ca="1">IFERROR(计算区域!AL571,NA())</f>
        <v>#N/A</v>
      </c>
      <c r="E569" t="e">
        <f ca="1">IFERROR(计算区域!AM571,NA())</f>
        <v>#N/A</v>
      </c>
      <c r="G569" t="e">
        <f ca="1">IFERROR(计算区域!AD571,NA())</f>
        <v>#N/A</v>
      </c>
      <c r="H569" t="e">
        <f ca="1">IFERROR(计算区域!AE571,NA())</f>
        <v>#N/A</v>
      </c>
      <c r="I569" t="e">
        <f ca="1">IFERROR(计算区域!AF571,NA())</f>
        <v>#N/A</v>
      </c>
      <c r="J569" t="e">
        <f ca="1">IFERROR(计算区域!AG571,NA())</f>
        <v>#N/A</v>
      </c>
      <c r="L569" t="e">
        <f ca="1">IFERROR(计算区域!L571,NA())</f>
        <v>#N/A</v>
      </c>
      <c r="M569" t="e">
        <f ca="1">IFERROR(计算区域!M571,NA())</f>
        <v>#N/A</v>
      </c>
      <c r="N569" t="e">
        <f ca="1">IFERROR(计算区域!N571,NA())</f>
        <v>#N/A</v>
      </c>
      <c r="O569" t="e">
        <f ca="1">IFERROR(计算区域!O571,NA())</f>
        <v>#N/A</v>
      </c>
      <c r="Q569" t="e">
        <f ca="1">IFERROR(计算区域!R571,NA())</f>
        <v>#N/A</v>
      </c>
      <c r="R569" t="e">
        <f ca="1">IFERROR(计算区域!S571,NA())</f>
        <v>#N/A</v>
      </c>
      <c r="S569" t="e">
        <f ca="1">IFERROR(计算区域!T571,NA())</f>
        <v>#N/A</v>
      </c>
      <c r="T569" t="e">
        <f ca="1">IFERROR(计算区域!U571,NA())</f>
        <v>#N/A</v>
      </c>
      <c r="V569" t="e">
        <f ca="1">IFERROR(计算区域!X571,NA())</f>
        <v>#N/A</v>
      </c>
      <c r="W569" t="e">
        <f ca="1">IFERROR(计算区域!Y571,NA())</f>
        <v>#N/A</v>
      </c>
      <c r="X569" t="e">
        <f ca="1">IFERROR(计算区域!Z571,NA())</f>
        <v>#N/A</v>
      </c>
      <c r="Y569" t="e">
        <f ca="1">IFERROR(计算区域!AA571,NA())</f>
        <v>#N/A</v>
      </c>
    </row>
    <row r="570" spans="1:25" x14ac:dyDescent="0.2">
      <c r="A570" s="28">
        <f>计算区域!E572</f>
        <v>44621</v>
      </c>
      <c r="B570" t="e">
        <f ca="1">IFERROR(计算区域!AJ572,NA())</f>
        <v>#N/A</v>
      </c>
      <c r="C570" t="e">
        <f ca="1">IFERROR(计算区域!AK572,NA())</f>
        <v>#N/A</v>
      </c>
      <c r="D570" t="e">
        <f ca="1">IFERROR(计算区域!AL572,NA())</f>
        <v>#N/A</v>
      </c>
      <c r="E570" t="e">
        <f ca="1">IFERROR(计算区域!AM572,NA())</f>
        <v>#N/A</v>
      </c>
      <c r="G570" t="e">
        <f ca="1">IFERROR(计算区域!AD572,NA())</f>
        <v>#N/A</v>
      </c>
      <c r="H570" t="e">
        <f ca="1">IFERROR(计算区域!AE572,NA())</f>
        <v>#N/A</v>
      </c>
      <c r="I570" t="e">
        <f ca="1">IFERROR(计算区域!AF572,NA())</f>
        <v>#N/A</v>
      </c>
      <c r="J570" t="e">
        <f ca="1">IFERROR(计算区域!AG572,NA())</f>
        <v>#N/A</v>
      </c>
      <c r="L570" t="e">
        <f ca="1">IFERROR(计算区域!L572,NA())</f>
        <v>#N/A</v>
      </c>
      <c r="M570" t="e">
        <f ca="1">IFERROR(计算区域!M572,NA())</f>
        <v>#N/A</v>
      </c>
      <c r="N570" t="e">
        <f ca="1">IFERROR(计算区域!N572,NA())</f>
        <v>#N/A</v>
      </c>
      <c r="O570" t="e">
        <f ca="1">IFERROR(计算区域!O572,NA())</f>
        <v>#N/A</v>
      </c>
      <c r="Q570" t="e">
        <f ca="1">IFERROR(计算区域!R572,NA())</f>
        <v>#N/A</v>
      </c>
      <c r="R570" t="e">
        <f ca="1">IFERROR(计算区域!S572,NA())</f>
        <v>#N/A</v>
      </c>
      <c r="S570" t="e">
        <f ca="1">IFERROR(计算区域!T572,NA())</f>
        <v>#N/A</v>
      </c>
      <c r="T570" t="e">
        <f ca="1">IFERROR(计算区域!U572,NA())</f>
        <v>#N/A</v>
      </c>
      <c r="V570" t="e">
        <f ca="1">IFERROR(计算区域!X572,NA())</f>
        <v>#N/A</v>
      </c>
      <c r="W570" t="e">
        <f ca="1">IFERROR(计算区域!Y572,NA())</f>
        <v>#N/A</v>
      </c>
      <c r="X570" t="e">
        <f ca="1">IFERROR(计算区域!Z572,NA())</f>
        <v>#N/A</v>
      </c>
      <c r="Y570" t="e">
        <f ca="1">IFERROR(计算区域!AA572,NA())</f>
        <v>#N/A</v>
      </c>
    </row>
    <row r="571" spans="1:25" x14ac:dyDescent="0.2">
      <c r="A571" s="28">
        <f>计算区域!E573</f>
        <v>44620</v>
      </c>
      <c r="B571" t="e">
        <f ca="1">IFERROR(计算区域!AJ573,NA())</f>
        <v>#N/A</v>
      </c>
      <c r="C571" t="e">
        <f ca="1">IFERROR(计算区域!AK573,NA())</f>
        <v>#N/A</v>
      </c>
      <c r="D571" t="e">
        <f ca="1">IFERROR(计算区域!AL573,NA())</f>
        <v>#N/A</v>
      </c>
      <c r="E571" t="e">
        <f ca="1">IFERROR(计算区域!AM573,NA())</f>
        <v>#N/A</v>
      </c>
      <c r="G571" t="e">
        <f ca="1">IFERROR(计算区域!AD573,NA())</f>
        <v>#N/A</v>
      </c>
      <c r="H571" t="e">
        <f ca="1">IFERROR(计算区域!AE573,NA())</f>
        <v>#N/A</v>
      </c>
      <c r="I571" t="e">
        <f ca="1">IFERROR(计算区域!AF573,NA())</f>
        <v>#N/A</v>
      </c>
      <c r="J571" t="e">
        <f ca="1">IFERROR(计算区域!AG573,NA())</f>
        <v>#N/A</v>
      </c>
      <c r="L571" t="e">
        <f ca="1">IFERROR(计算区域!L573,NA())</f>
        <v>#N/A</v>
      </c>
      <c r="M571" t="e">
        <f ca="1">IFERROR(计算区域!M573,NA())</f>
        <v>#N/A</v>
      </c>
      <c r="N571" t="e">
        <f ca="1">IFERROR(计算区域!N573,NA())</f>
        <v>#N/A</v>
      </c>
      <c r="O571" t="e">
        <f ca="1">IFERROR(计算区域!O573,NA())</f>
        <v>#N/A</v>
      </c>
      <c r="Q571" t="e">
        <f ca="1">IFERROR(计算区域!R573,NA())</f>
        <v>#N/A</v>
      </c>
      <c r="R571" t="e">
        <f ca="1">IFERROR(计算区域!S573,NA())</f>
        <v>#N/A</v>
      </c>
      <c r="S571" t="e">
        <f ca="1">IFERROR(计算区域!T573,NA())</f>
        <v>#N/A</v>
      </c>
      <c r="T571" t="e">
        <f ca="1">IFERROR(计算区域!U573,NA())</f>
        <v>#N/A</v>
      </c>
      <c r="V571" t="e">
        <f ca="1">IFERROR(计算区域!X573,NA())</f>
        <v>#N/A</v>
      </c>
      <c r="W571" t="e">
        <f ca="1">IFERROR(计算区域!Y573,NA())</f>
        <v>#N/A</v>
      </c>
      <c r="X571" t="e">
        <f ca="1">IFERROR(计算区域!Z573,NA())</f>
        <v>#N/A</v>
      </c>
      <c r="Y571" t="e">
        <f ca="1">IFERROR(计算区域!AA573,NA())</f>
        <v>#N/A</v>
      </c>
    </row>
    <row r="572" spans="1:25" x14ac:dyDescent="0.2">
      <c r="A572" s="28">
        <f>计算区域!E574</f>
        <v>44617</v>
      </c>
      <c r="B572" t="e">
        <f ca="1">IFERROR(计算区域!AJ574,NA())</f>
        <v>#N/A</v>
      </c>
      <c r="C572" t="e">
        <f ca="1">IFERROR(计算区域!AK574,NA())</f>
        <v>#N/A</v>
      </c>
      <c r="D572" t="e">
        <f ca="1">IFERROR(计算区域!AL574,NA())</f>
        <v>#N/A</v>
      </c>
      <c r="E572" t="e">
        <f ca="1">IFERROR(计算区域!AM574,NA())</f>
        <v>#N/A</v>
      </c>
      <c r="G572" t="e">
        <f ca="1">IFERROR(计算区域!AD574,NA())</f>
        <v>#N/A</v>
      </c>
      <c r="H572" t="e">
        <f ca="1">IFERROR(计算区域!AE574,NA())</f>
        <v>#N/A</v>
      </c>
      <c r="I572" t="e">
        <f ca="1">IFERROR(计算区域!AF574,NA())</f>
        <v>#N/A</v>
      </c>
      <c r="J572" t="e">
        <f ca="1">IFERROR(计算区域!AG574,NA())</f>
        <v>#N/A</v>
      </c>
      <c r="L572" t="e">
        <f ca="1">IFERROR(计算区域!L574,NA())</f>
        <v>#N/A</v>
      </c>
      <c r="M572" t="e">
        <f ca="1">IFERROR(计算区域!M574,NA())</f>
        <v>#N/A</v>
      </c>
      <c r="N572" t="e">
        <f ca="1">IFERROR(计算区域!N574,NA())</f>
        <v>#N/A</v>
      </c>
      <c r="O572" t="e">
        <f ca="1">IFERROR(计算区域!O574,NA())</f>
        <v>#N/A</v>
      </c>
      <c r="Q572" t="e">
        <f ca="1">IFERROR(计算区域!R574,NA())</f>
        <v>#N/A</v>
      </c>
      <c r="R572" t="e">
        <f ca="1">IFERROR(计算区域!S574,NA())</f>
        <v>#N/A</v>
      </c>
      <c r="S572" t="e">
        <f ca="1">IFERROR(计算区域!T574,NA())</f>
        <v>#N/A</v>
      </c>
      <c r="T572" t="e">
        <f ca="1">IFERROR(计算区域!U574,NA())</f>
        <v>#N/A</v>
      </c>
      <c r="V572" t="e">
        <f ca="1">IFERROR(计算区域!X574,NA())</f>
        <v>#N/A</v>
      </c>
      <c r="W572" t="e">
        <f ca="1">IFERROR(计算区域!Y574,NA())</f>
        <v>#N/A</v>
      </c>
      <c r="X572" t="e">
        <f ca="1">IFERROR(计算区域!Z574,NA())</f>
        <v>#N/A</v>
      </c>
      <c r="Y572" t="e">
        <f ca="1">IFERROR(计算区域!AA574,NA())</f>
        <v>#N/A</v>
      </c>
    </row>
    <row r="573" spans="1:25" x14ac:dyDescent="0.2">
      <c r="A573" s="28">
        <f>计算区域!E575</f>
        <v>44616</v>
      </c>
      <c r="B573" t="e">
        <f ca="1">IFERROR(计算区域!AJ575,NA())</f>
        <v>#N/A</v>
      </c>
      <c r="C573" t="e">
        <f ca="1">IFERROR(计算区域!AK575,NA())</f>
        <v>#N/A</v>
      </c>
      <c r="D573" t="e">
        <f ca="1">IFERROR(计算区域!AL575,NA())</f>
        <v>#N/A</v>
      </c>
      <c r="E573" t="e">
        <f ca="1">IFERROR(计算区域!AM575,NA())</f>
        <v>#N/A</v>
      </c>
      <c r="G573" t="e">
        <f ca="1">IFERROR(计算区域!AD575,NA())</f>
        <v>#N/A</v>
      </c>
      <c r="H573" t="e">
        <f ca="1">IFERROR(计算区域!AE575,NA())</f>
        <v>#N/A</v>
      </c>
      <c r="I573" t="e">
        <f ca="1">IFERROR(计算区域!AF575,NA())</f>
        <v>#N/A</v>
      </c>
      <c r="J573" t="e">
        <f ca="1">IFERROR(计算区域!AG575,NA())</f>
        <v>#N/A</v>
      </c>
      <c r="L573" t="e">
        <f ca="1">IFERROR(计算区域!L575,NA())</f>
        <v>#N/A</v>
      </c>
      <c r="M573" t="e">
        <f ca="1">IFERROR(计算区域!M575,NA())</f>
        <v>#N/A</v>
      </c>
      <c r="N573" t="e">
        <f ca="1">IFERROR(计算区域!N575,NA())</f>
        <v>#N/A</v>
      </c>
      <c r="O573" t="e">
        <f ca="1">IFERROR(计算区域!O575,NA())</f>
        <v>#N/A</v>
      </c>
      <c r="Q573" t="e">
        <f ca="1">IFERROR(计算区域!R575,NA())</f>
        <v>#N/A</v>
      </c>
      <c r="R573" t="e">
        <f ca="1">IFERROR(计算区域!S575,NA())</f>
        <v>#N/A</v>
      </c>
      <c r="S573" t="e">
        <f ca="1">IFERROR(计算区域!T575,NA())</f>
        <v>#N/A</v>
      </c>
      <c r="T573" t="e">
        <f ca="1">IFERROR(计算区域!U575,NA())</f>
        <v>#N/A</v>
      </c>
      <c r="V573" t="e">
        <f ca="1">IFERROR(计算区域!X575,NA())</f>
        <v>#N/A</v>
      </c>
      <c r="W573" t="e">
        <f ca="1">IFERROR(计算区域!Y575,NA())</f>
        <v>#N/A</v>
      </c>
      <c r="X573" t="e">
        <f ca="1">IFERROR(计算区域!Z575,NA())</f>
        <v>#N/A</v>
      </c>
      <c r="Y573" t="e">
        <f ca="1">IFERROR(计算区域!AA575,NA())</f>
        <v>#N/A</v>
      </c>
    </row>
    <row r="574" spans="1:25" x14ac:dyDescent="0.2">
      <c r="A574" s="28">
        <f>计算区域!E576</f>
        <v>44615</v>
      </c>
      <c r="B574" t="e">
        <f ca="1">IFERROR(计算区域!AJ576,NA())</f>
        <v>#N/A</v>
      </c>
      <c r="C574" t="e">
        <f ca="1">IFERROR(计算区域!AK576,NA())</f>
        <v>#N/A</v>
      </c>
      <c r="D574" t="e">
        <f ca="1">IFERROR(计算区域!AL576,NA())</f>
        <v>#N/A</v>
      </c>
      <c r="E574" t="e">
        <f ca="1">IFERROR(计算区域!AM576,NA())</f>
        <v>#N/A</v>
      </c>
      <c r="G574" t="e">
        <f ca="1">IFERROR(计算区域!AD576,NA())</f>
        <v>#N/A</v>
      </c>
      <c r="H574" t="e">
        <f ca="1">IFERROR(计算区域!AE576,NA())</f>
        <v>#N/A</v>
      </c>
      <c r="I574" t="e">
        <f ca="1">IFERROR(计算区域!AF576,NA())</f>
        <v>#N/A</v>
      </c>
      <c r="J574" t="e">
        <f ca="1">IFERROR(计算区域!AG576,NA())</f>
        <v>#N/A</v>
      </c>
      <c r="L574" t="e">
        <f ca="1">IFERROR(计算区域!L576,NA())</f>
        <v>#N/A</v>
      </c>
      <c r="M574" t="e">
        <f ca="1">IFERROR(计算区域!M576,NA())</f>
        <v>#N/A</v>
      </c>
      <c r="N574" t="e">
        <f ca="1">IFERROR(计算区域!N576,NA())</f>
        <v>#N/A</v>
      </c>
      <c r="O574" t="e">
        <f ca="1">IFERROR(计算区域!O576,NA())</f>
        <v>#N/A</v>
      </c>
      <c r="Q574" t="e">
        <f ca="1">IFERROR(计算区域!R576,NA())</f>
        <v>#N/A</v>
      </c>
      <c r="R574" t="e">
        <f ca="1">IFERROR(计算区域!S576,NA())</f>
        <v>#N/A</v>
      </c>
      <c r="S574" t="e">
        <f ca="1">IFERROR(计算区域!T576,NA())</f>
        <v>#N/A</v>
      </c>
      <c r="T574" t="e">
        <f ca="1">IFERROR(计算区域!U576,NA())</f>
        <v>#N/A</v>
      </c>
      <c r="V574" t="e">
        <f ca="1">IFERROR(计算区域!X576,NA())</f>
        <v>#N/A</v>
      </c>
      <c r="W574" t="e">
        <f ca="1">IFERROR(计算区域!Y576,NA())</f>
        <v>#N/A</v>
      </c>
      <c r="X574" t="e">
        <f ca="1">IFERROR(计算区域!Z576,NA())</f>
        <v>#N/A</v>
      </c>
      <c r="Y574" t="e">
        <f ca="1">IFERROR(计算区域!AA576,NA())</f>
        <v>#N/A</v>
      </c>
    </row>
    <row r="575" spans="1:25" x14ac:dyDescent="0.2">
      <c r="A575" s="28">
        <f>计算区域!E577</f>
        <v>44614</v>
      </c>
      <c r="B575" t="e">
        <f ca="1">IFERROR(计算区域!AJ577,NA())</f>
        <v>#N/A</v>
      </c>
      <c r="C575" t="e">
        <f ca="1">IFERROR(计算区域!AK577,NA())</f>
        <v>#N/A</v>
      </c>
      <c r="D575" t="e">
        <f ca="1">IFERROR(计算区域!AL577,NA())</f>
        <v>#N/A</v>
      </c>
      <c r="E575" t="e">
        <f ca="1">IFERROR(计算区域!AM577,NA())</f>
        <v>#N/A</v>
      </c>
      <c r="G575" t="e">
        <f ca="1">IFERROR(计算区域!AD577,NA())</f>
        <v>#N/A</v>
      </c>
      <c r="H575" t="e">
        <f ca="1">IFERROR(计算区域!AE577,NA())</f>
        <v>#N/A</v>
      </c>
      <c r="I575" t="e">
        <f ca="1">IFERROR(计算区域!AF577,NA())</f>
        <v>#N/A</v>
      </c>
      <c r="J575" t="e">
        <f ca="1">IFERROR(计算区域!AG577,NA())</f>
        <v>#N/A</v>
      </c>
      <c r="L575" t="e">
        <f ca="1">IFERROR(计算区域!L577,NA())</f>
        <v>#N/A</v>
      </c>
      <c r="M575" t="e">
        <f ca="1">IFERROR(计算区域!M577,NA())</f>
        <v>#N/A</v>
      </c>
      <c r="N575" t="e">
        <f ca="1">IFERROR(计算区域!N577,NA())</f>
        <v>#N/A</v>
      </c>
      <c r="O575" t="e">
        <f ca="1">IFERROR(计算区域!O577,NA())</f>
        <v>#N/A</v>
      </c>
      <c r="Q575" t="e">
        <f ca="1">IFERROR(计算区域!R577,NA())</f>
        <v>#N/A</v>
      </c>
      <c r="R575" t="e">
        <f ca="1">IFERROR(计算区域!S577,NA())</f>
        <v>#N/A</v>
      </c>
      <c r="S575" t="e">
        <f ca="1">IFERROR(计算区域!T577,NA())</f>
        <v>#N/A</v>
      </c>
      <c r="T575" t="e">
        <f ca="1">IFERROR(计算区域!U577,NA())</f>
        <v>#N/A</v>
      </c>
      <c r="V575" t="e">
        <f ca="1">IFERROR(计算区域!X577,NA())</f>
        <v>#N/A</v>
      </c>
      <c r="W575" t="e">
        <f ca="1">IFERROR(计算区域!Y577,NA())</f>
        <v>#N/A</v>
      </c>
      <c r="X575" t="e">
        <f ca="1">IFERROR(计算区域!Z577,NA())</f>
        <v>#N/A</v>
      </c>
      <c r="Y575" t="e">
        <f ca="1">IFERROR(计算区域!AA577,NA())</f>
        <v>#N/A</v>
      </c>
    </row>
    <row r="576" spans="1:25" x14ac:dyDescent="0.2">
      <c r="A576" s="28">
        <f>计算区域!E578</f>
        <v>44613</v>
      </c>
      <c r="B576" t="e">
        <f ca="1">IFERROR(计算区域!AJ578,NA())</f>
        <v>#N/A</v>
      </c>
      <c r="C576" t="e">
        <f ca="1">IFERROR(计算区域!AK578,NA())</f>
        <v>#N/A</v>
      </c>
      <c r="D576" t="e">
        <f ca="1">IFERROR(计算区域!AL578,NA())</f>
        <v>#N/A</v>
      </c>
      <c r="E576" t="e">
        <f ca="1">IFERROR(计算区域!AM578,NA())</f>
        <v>#N/A</v>
      </c>
      <c r="G576" t="e">
        <f ca="1">IFERROR(计算区域!AD578,NA())</f>
        <v>#N/A</v>
      </c>
      <c r="H576" t="e">
        <f ca="1">IFERROR(计算区域!AE578,NA())</f>
        <v>#N/A</v>
      </c>
      <c r="I576" t="e">
        <f ca="1">IFERROR(计算区域!AF578,NA())</f>
        <v>#N/A</v>
      </c>
      <c r="J576" t="e">
        <f ca="1">IFERROR(计算区域!AG578,NA())</f>
        <v>#N/A</v>
      </c>
      <c r="L576" t="e">
        <f ca="1">IFERROR(计算区域!L578,NA())</f>
        <v>#N/A</v>
      </c>
      <c r="M576" t="e">
        <f ca="1">IFERROR(计算区域!M578,NA())</f>
        <v>#N/A</v>
      </c>
      <c r="N576" t="e">
        <f ca="1">IFERROR(计算区域!N578,NA())</f>
        <v>#N/A</v>
      </c>
      <c r="O576" t="e">
        <f ca="1">IFERROR(计算区域!O578,NA())</f>
        <v>#N/A</v>
      </c>
      <c r="Q576" t="e">
        <f ca="1">IFERROR(计算区域!R578,NA())</f>
        <v>#N/A</v>
      </c>
      <c r="R576" t="e">
        <f ca="1">IFERROR(计算区域!S578,NA())</f>
        <v>#N/A</v>
      </c>
      <c r="S576" t="e">
        <f ca="1">IFERROR(计算区域!T578,NA())</f>
        <v>#N/A</v>
      </c>
      <c r="T576" t="e">
        <f ca="1">IFERROR(计算区域!U578,NA())</f>
        <v>#N/A</v>
      </c>
      <c r="V576" t="e">
        <f ca="1">IFERROR(计算区域!X578,NA())</f>
        <v>#N/A</v>
      </c>
      <c r="W576" t="e">
        <f ca="1">IFERROR(计算区域!Y578,NA())</f>
        <v>#N/A</v>
      </c>
      <c r="X576" t="e">
        <f ca="1">IFERROR(计算区域!Z578,NA())</f>
        <v>#N/A</v>
      </c>
      <c r="Y576" t="e">
        <f ca="1">IFERROR(计算区域!AA578,NA())</f>
        <v>#N/A</v>
      </c>
    </row>
    <row r="577" spans="1:25" x14ac:dyDescent="0.2">
      <c r="A577" s="28">
        <f>计算区域!E579</f>
        <v>44610</v>
      </c>
      <c r="B577" t="e">
        <f ca="1">IFERROR(计算区域!AJ579,NA())</f>
        <v>#N/A</v>
      </c>
      <c r="C577" t="e">
        <f ca="1">IFERROR(计算区域!AK579,NA())</f>
        <v>#N/A</v>
      </c>
      <c r="D577" t="e">
        <f ca="1">IFERROR(计算区域!AL579,NA())</f>
        <v>#N/A</v>
      </c>
      <c r="E577" t="e">
        <f ca="1">IFERROR(计算区域!AM579,NA())</f>
        <v>#N/A</v>
      </c>
      <c r="G577" t="e">
        <f ca="1">IFERROR(计算区域!AD579,NA())</f>
        <v>#N/A</v>
      </c>
      <c r="H577" t="e">
        <f ca="1">IFERROR(计算区域!AE579,NA())</f>
        <v>#N/A</v>
      </c>
      <c r="I577" t="e">
        <f ca="1">IFERROR(计算区域!AF579,NA())</f>
        <v>#N/A</v>
      </c>
      <c r="J577" t="e">
        <f ca="1">IFERROR(计算区域!AG579,NA())</f>
        <v>#N/A</v>
      </c>
      <c r="L577" t="e">
        <f ca="1">IFERROR(计算区域!L579,NA())</f>
        <v>#N/A</v>
      </c>
      <c r="M577" t="e">
        <f ca="1">IFERROR(计算区域!M579,NA())</f>
        <v>#N/A</v>
      </c>
      <c r="N577" t="e">
        <f ca="1">IFERROR(计算区域!N579,NA())</f>
        <v>#N/A</v>
      </c>
      <c r="O577" t="e">
        <f ca="1">IFERROR(计算区域!O579,NA())</f>
        <v>#N/A</v>
      </c>
      <c r="Q577" t="e">
        <f ca="1">IFERROR(计算区域!R579,NA())</f>
        <v>#N/A</v>
      </c>
      <c r="R577" t="e">
        <f ca="1">IFERROR(计算区域!S579,NA())</f>
        <v>#N/A</v>
      </c>
      <c r="S577" t="e">
        <f ca="1">IFERROR(计算区域!T579,NA())</f>
        <v>#N/A</v>
      </c>
      <c r="T577" t="e">
        <f ca="1">IFERROR(计算区域!U579,NA())</f>
        <v>#N/A</v>
      </c>
      <c r="V577" t="e">
        <f ca="1">IFERROR(计算区域!X579,NA())</f>
        <v>#N/A</v>
      </c>
      <c r="W577" t="e">
        <f ca="1">IFERROR(计算区域!Y579,NA())</f>
        <v>#N/A</v>
      </c>
      <c r="X577" t="e">
        <f ca="1">IFERROR(计算区域!Z579,NA())</f>
        <v>#N/A</v>
      </c>
      <c r="Y577" t="e">
        <f ca="1">IFERROR(计算区域!AA579,NA())</f>
        <v>#N/A</v>
      </c>
    </row>
    <row r="578" spans="1:25" x14ac:dyDescent="0.2">
      <c r="A578" s="28">
        <f>计算区域!E580</f>
        <v>44609</v>
      </c>
      <c r="B578" t="e">
        <f ca="1">IFERROR(计算区域!AJ580,NA())</f>
        <v>#N/A</v>
      </c>
      <c r="C578" t="e">
        <f ca="1">IFERROR(计算区域!AK580,NA())</f>
        <v>#N/A</v>
      </c>
      <c r="D578" t="e">
        <f ca="1">IFERROR(计算区域!AL580,NA())</f>
        <v>#N/A</v>
      </c>
      <c r="E578" t="e">
        <f ca="1">IFERROR(计算区域!AM580,NA())</f>
        <v>#N/A</v>
      </c>
      <c r="G578" t="e">
        <f ca="1">IFERROR(计算区域!AD580,NA())</f>
        <v>#N/A</v>
      </c>
      <c r="H578" t="e">
        <f ca="1">IFERROR(计算区域!AE580,NA())</f>
        <v>#N/A</v>
      </c>
      <c r="I578" t="e">
        <f ca="1">IFERROR(计算区域!AF580,NA())</f>
        <v>#N/A</v>
      </c>
      <c r="J578" t="e">
        <f ca="1">IFERROR(计算区域!AG580,NA())</f>
        <v>#N/A</v>
      </c>
      <c r="L578" t="e">
        <f ca="1">IFERROR(计算区域!L580,NA())</f>
        <v>#N/A</v>
      </c>
      <c r="M578" t="e">
        <f ca="1">IFERROR(计算区域!M580,NA())</f>
        <v>#N/A</v>
      </c>
      <c r="N578" t="e">
        <f ca="1">IFERROR(计算区域!N580,NA())</f>
        <v>#N/A</v>
      </c>
      <c r="O578" t="e">
        <f ca="1">IFERROR(计算区域!O580,NA())</f>
        <v>#N/A</v>
      </c>
      <c r="Q578" t="e">
        <f ca="1">IFERROR(计算区域!R580,NA())</f>
        <v>#N/A</v>
      </c>
      <c r="R578" t="e">
        <f ca="1">IFERROR(计算区域!S580,NA())</f>
        <v>#N/A</v>
      </c>
      <c r="S578" t="e">
        <f ca="1">IFERROR(计算区域!T580,NA())</f>
        <v>#N/A</v>
      </c>
      <c r="T578" t="e">
        <f ca="1">IFERROR(计算区域!U580,NA())</f>
        <v>#N/A</v>
      </c>
      <c r="V578" t="e">
        <f ca="1">IFERROR(计算区域!X580,NA())</f>
        <v>#N/A</v>
      </c>
      <c r="W578" t="e">
        <f ca="1">IFERROR(计算区域!Y580,NA())</f>
        <v>#N/A</v>
      </c>
      <c r="X578" t="e">
        <f ca="1">IFERROR(计算区域!Z580,NA())</f>
        <v>#N/A</v>
      </c>
      <c r="Y578" t="e">
        <f ca="1">IFERROR(计算区域!AA580,NA())</f>
        <v>#N/A</v>
      </c>
    </row>
    <row r="579" spans="1:25" x14ac:dyDescent="0.2">
      <c r="A579" s="28">
        <f>计算区域!E581</f>
        <v>44608</v>
      </c>
      <c r="B579" t="e">
        <f ca="1">IFERROR(计算区域!AJ581,NA())</f>
        <v>#N/A</v>
      </c>
      <c r="C579" t="e">
        <f ca="1">IFERROR(计算区域!AK581,NA())</f>
        <v>#N/A</v>
      </c>
      <c r="D579" t="e">
        <f ca="1">IFERROR(计算区域!AL581,NA())</f>
        <v>#N/A</v>
      </c>
      <c r="E579" t="e">
        <f ca="1">IFERROR(计算区域!AM581,NA())</f>
        <v>#N/A</v>
      </c>
      <c r="G579" t="e">
        <f ca="1">IFERROR(计算区域!AD581,NA())</f>
        <v>#N/A</v>
      </c>
      <c r="H579" t="e">
        <f ca="1">IFERROR(计算区域!AE581,NA())</f>
        <v>#N/A</v>
      </c>
      <c r="I579" t="e">
        <f ca="1">IFERROR(计算区域!AF581,NA())</f>
        <v>#N/A</v>
      </c>
      <c r="J579" t="e">
        <f ca="1">IFERROR(计算区域!AG581,NA())</f>
        <v>#N/A</v>
      </c>
      <c r="L579" t="e">
        <f ca="1">IFERROR(计算区域!L581,NA())</f>
        <v>#N/A</v>
      </c>
      <c r="M579" t="e">
        <f ca="1">IFERROR(计算区域!M581,NA())</f>
        <v>#N/A</v>
      </c>
      <c r="N579" t="e">
        <f ca="1">IFERROR(计算区域!N581,NA())</f>
        <v>#N/A</v>
      </c>
      <c r="O579" t="e">
        <f ca="1">IFERROR(计算区域!O581,NA())</f>
        <v>#N/A</v>
      </c>
      <c r="Q579" t="e">
        <f ca="1">IFERROR(计算区域!R581,NA())</f>
        <v>#N/A</v>
      </c>
      <c r="R579" t="e">
        <f ca="1">IFERROR(计算区域!S581,NA())</f>
        <v>#N/A</v>
      </c>
      <c r="S579" t="e">
        <f ca="1">IFERROR(计算区域!T581,NA())</f>
        <v>#N/A</v>
      </c>
      <c r="T579" t="e">
        <f ca="1">IFERROR(计算区域!U581,NA())</f>
        <v>#N/A</v>
      </c>
      <c r="V579" t="e">
        <f ca="1">IFERROR(计算区域!X581,NA())</f>
        <v>#N/A</v>
      </c>
      <c r="W579" t="e">
        <f ca="1">IFERROR(计算区域!Y581,NA())</f>
        <v>#N/A</v>
      </c>
      <c r="X579" t="e">
        <f ca="1">IFERROR(计算区域!Z581,NA())</f>
        <v>#N/A</v>
      </c>
      <c r="Y579" t="e">
        <f ca="1">IFERROR(计算区域!AA581,NA())</f>
        <v>#N/A</v>
      </c>
    </row>
    <row r="580" spans="1:25" x14ac:dyDescent="0.2">
      <c r="A580" s="28">
        <f>计算区域!E582</f>
        <v>44607</v>
      </c>
      <c r="B580" t="e">
        <f ca="1">IFERROR(计算区域!AJ582,NA())</f>
        <v>#N/A</v>
      </c>
      <c r="C580" t="e">
        <f ca="1">IFERROR(计算区域!AK582,NA())</f>
        <v>#N/A</v>
      </c>
      <c r="D580" t="e">
        <f ca="1">IFERROR(计算区域!AL582,NA())</f>
        <v>#N/A</v>
      </c>
      <c r="E580" t="e">
        <f ca="1">IFERROR(计算区域!AM582,NA())</f>
        <v>#N/A</v>
      </c>
      <c r="G580" t="e">
        <f ca="1">IFERROR(计算区域!AD582,NA())</f>
        <v>#N/A</v>
      </c>
      <c r="H580" t="e">
        <f ca="1">IFERROR(计算区域!AE582,NA())</f>
        <v>#N/A</v>
      </c>
      <c r="I580" t="e">
        <f ca="1">IFERROR(计算区域!AF582,NA())</f>
        <v>#N/A</v>
      </c>
      <c r="J580" t="e">
        <f ca="1">IFERROR(计算区域!AG582,NA())</f>
        <v>#N/A</v>
      </c>
      <c r="L580" t="e">
        <f ca="1">IFERROR(计算区域!L582,NA())</f>
        <v>#N/A</v>
      </c>
      <c r="M580" t="e">
        <f ca="1">IFERROR(计算区域!M582,NA())</f>
        <v>#N/A</v>
      </c>
      <c r="N580" t="e">
        <f ca="1">IFERROR(计算区域!N582,NA())</f>
        <v>#N/A</v>
      </c>
      <c r="O580" t="e">
        <f ca="1">IFERROR(计算区域!O582,NA())</f>
        <v>#N/A</v>
      </c>
      <c r="Q580" t="e">
        <f ca="1">IFERROR(计算区域!R582,NA())</f>
        <v>#N/A</v>
      </c>
      <c r="R580" t="e">
        <f ca="1">IFERROR(计算区域!S582,NA())</f>
        <v>#N/A</v>
      </c>
      <c r="S580" t="e">
        <f ca="1">IFERROR(计算区域!T582,NA())</f>
        <v>#N/A</v>
      </c>
      <c r="T580" t="e">
        <f ca="1">IFERROR(计算区域!U582,NA())</f>
        <v>#N/A</v>
      </c>
      <c r="V580" t="e">
        <f ca="1">IFERROR(计算区域!X582,NA())</f>
        <v>#N/A</v>
      </c>
      <c r="W580" t="e">
        <f ca="1">IFERROR(计算区域!Y582,NA())</f>
        <v>#N/A</v>
      </c>
      <c r="X580" t="e">
        <f ca="1">IFERROR(计算区域!Z582,NA())</f>
        <v>#N/A</v>
      </c>
      <c r="Y580" t="e">
        <f ca="1">IFERROR(计算区域!AA582,NA())</f>
        <v>#N/A</v>
      </c>
    </row>
    <row r="581" spans="1:25" x14ac:dyDescent="0.2">
      <c r="A581" s="28">
        <f>计算区域!E583</f>
        <v>44606</v>
      </c>
      <c r="B581" t="e">
        <f ca="1">IFERROR(计算区域!AJ583,NA())</f>
        <v>#N/A</v>
      </c>
      <c r="C581" t="e">
        <f ca="1">IFERROR(计算区域!AK583,NA())</f>
        <v>#N/A</v>
      </c>
      <c r="D581" t="e">
        <f ca="1">IFERROR(计算区域!AL583,NA())</f>
        <v>#N/A</v>
      </c>
      <c r="E581" t="e">
        <f ca="1">IFERROR(计算区域!AM583,NA())</f>
        <v>#N/A</v>
      </c>
      <c r="G581" t="e">
        <f ca="1">IFERROR(计算区域!AD583,NA())</f>
        <v>#N/A</v>
      </c>
      <c r="H581" t="e">
        <f ca="1">IFERROR(计算区域!AE583,NA())</f>
        <v>#N/A</v>
      </c>
      <c r="I581" t="e">
        <f ca="1">IFERROR(计算区域!AF583,NA())</f>
        <v>#N/A</v>
      </c>
      <c r="J581" t="e">
        <f ca="1">IFERROR(计算区域!AG583,NA())</f>
        <v>#N/A</v>
      </c>
      <c r="L581" t="e">
        <f ca="1">IFERROR(计算区域!L583,NA())</f>
        <v>#N/A</v>
      </c>
      <c r="M581" t="e">
        <f ca="1">IFERROR(计算区域!M583,NA())</f>
        <v>#N/A</v>
      </c>
      <c r="N581" t="e">
        <f ca="1">IFERROR(计算区域!N583,NA())</f>
        <v>#N/A</v>
      </c>
      <c r="O581" t="e">
        <f ca="1">IFERROR(计算区域!O583,NA())</f>
        <v>#N/A</v>
      </c>
      <c r="Q581" t="e">
        <f ca="1">IFERROR(计算区域!R583,NA())</f>
        <v>#N/A</v>
      </c>
      <c r="R581" t="e">
        <f ca="1">IFERROR(计算区域!S583,NA())</f>
        <v>#N/A</v>
      </c>
      <c r="S581" t="e">
        <f ca="1">IFERROR(计算区域!T583,NA())</f>
        <v>#N/A</v>
      </c>
      <c r="T581" t="e">
        <f ca="1">IFERROR(计算区域!U583,NA())</f>
        <v>#N/A</v>
      </c>
      <c r="V581" t="e">
        <f ca="1">IFERROR(计算区域!X583,NA())</f>
        <v>#N/A</v>
      </c>
      <c r="W581" t="e">
        <f ca="1">IFERROR(计算区域!Y583,NA())</f>
        <v>#N/A</v>
      </c>
      <c r="X581" t="e">
        <f ca="1">IFERROR(计算区域!Z583,NA())</f>
        <v>#N/A</v>
      </c>
      <c r="Y581" t="e">
        <f ca="1">IFERROR(计算区域!AA583,NA())</f>
        <v>#N/A</v>
      </c>
    </row>
    <row r="582" spans="1:25" x14ac:dyDescent="0.2">
      <c r="A582" s="28">
        <f>计算区域!E584</f>
        <v>44603</v>
      </c>
      <c r="B582" t="e">
        <f ca="1">IFERROR(计算区域!AJ584,NA())</f>
        <v>#N/A</v>
      </c>
      <c r="C582" t="e">
        <f ca="1">IFERROR(计算区域!AK584,NA())</f>
        <v>#N/A</v>
      </c>
      <c r="D582" t="e">
        <f ca="1">IFERROR(计算区域!AL584,NA())</f>
        <v>#N/A</v>
      </c>
      <c r="E582" t="e">
        <f ca="1">IFERROR(计算区域!AM584,NA())</f>
        <v>#N/A</v>
      </c>
      <c r="G582" t="e">
        <f ca="1">IFERROR(计算区域!AD584,NA())</f>
        <v>#N/A</v>
      </c>
      <c r="H582" t="e">
        <f ca="1">IFERROR(计算区域!AE584,NA())</f>
        <v>#N/A</v>
      </c>
      <c r="I582" t="e">
        <f ca="1">IFERROR(计算区域!AF584,NA())</f>
        <v>#N/A</v>
      </c>
      <c r="J582" t="e">
        <f ca="1">IFERROR(计算区域!AG584,NA())</f>
        <v>#N/A</v>
      </c>
      <c r="L582" t="e">
        <f ca="1">IFERROR(计算区域!L584,NA())</f>
        <v>#N/A</v>
      </c>
      <c r="M582" t="e">
        <f ca="1">IFERROR(计算区域!M584,NA())</f>
        <v>#N/A</v>
      </c>
      <c r="N582" t="e">
        <f ca="1">IFERROR(计算区域!N584,NA())</f>
        <v>#N/A</v>
      </c>
      <c r="O582" t="e">
        <f ca="1">IFERROR(计算区域!O584,NA())</f>
        <v>#N/A</v>
      </c>
      <c r="Q582" t="e">
        <f ca="1">IFERROR(计算区域!R584,NA())</f>
        <v>#N/A</v>
      </c>
      <c r="R582" t="e">
        <f ca="1">IFERROR(计算区域!S584,NA())</f>
        <v>#N/A</v>
      </c>
      <c r="S582" t="e">
        <f ca="1">IFERROR(计算区域!T584,NA())</f>
        <v>#N/A</v>
      </c>
      <c r="T582" t="e">
        <f ca="1">IFERROR(计算区域!U584,NA())</f>
        <v>#N/A</v>
      </c>
      <c r="V582" t="e">
        <f ca="1">IFERROR(计算区域!X584,NA())</f>
        <v>#N/A</v>
      </c>
      <c r="W582" t="e">
        <f ca="1">IFERROR(计算区域!Y584,NA())</f>
        <v>#N/A</v>
      </c>
      <c r="X582" t="e">
        <f ca="1">IFERROR(计算区域!Z584,NA())</f>
        <v>#N/A</v>
      </c>
      <c r="Y582" t="e">
        <f ca="1">IFERROR(计算区域!AA584,NA())</f>
        <v>#N/A</v>
      </c>
    </row>
    <row r="583" spans="1:25" x14ac:dyDescent="0.2">
      <c r="A583" s="28">
        <f>计算区域!E585</f>
        <v>44602</v>
      </c>
      <c r="B583" t="e">
        <f ca="1">IFERROR(计算区域!AJ585,NA())</f>
        <v>#N/A</v>
      </c>
      <c r="C583" t="e">
        <f ca="1">IFERROR(计算区域!AK585,NA())</f>
        <v>#N/A</v>
      </c>
      <c r="D583" t="e">
        <f ca="1">IFERROR(计算区域!AL585,NA())</f>
        <v>#N/A</v>
      </c>
      <c r="E583" t="e">
        <f ca="1">IFERROR(计算区域!AM585,NA())</f>
        <v>#N/A</v>
      </c>
      <c r="G583" t="e">
        <f ca="1">IFERROR(计算区域!AD585,NA())</f>
        <v>#N/A</v>
      </c>
      <c r="H583" t="e">
        <f ca="1">IFERROR(计算区域!AE585,NA())</f>
        <v>#N/A</v>
      </c>
      <c r="I583" t="e">
        <f ca="1">IFERROR(计算区域!AF585,NA())</f>
        <v>#N/A</v>
      </c>
      <c r="J583" t="e">
        <f ca="1">IFERROR(计算区域!AG585,NA())</f>
        <v>#N/A</v>
      </c>
      <c r="L583" t="e">
        <f ca="1">IFERROR(计算区域!L585,NA())</f>
        <v>#N/A</v>
      </c>
      <c r="M583" t="e">
        <f ca="1">IFERROR(计算区域!M585,NA())</f>
        <v>#N/A</v>
      </c>
      <c r="N583" t="e">
        <f ca="1">IFERROR(计算区域!N585,NA())</f>
        <v>#N/A</v>
      </c>
      <c r="O583" t="e">
        <f ca="1">IFERROR(计算区域!O585,NA())</f>
        <v>#N/A</v>
      </c>
      <c r="Q583" t="e">
        <f ca="1">IFERROR(计算区域!R585,NA())</f>
        <v>#N/A</v>
      </c>
      <c r="R583" t="e">
        <f ca="1">IFERROR(计算区域!S585,NA())</f>
        <v>#N/A</v>
      </c>
      <c r="S583" t="e">
        <f ca="1">IFERROR(计算区域!T585,NA())</f>
        <v>#N/A</v>
      </c>
      <c r="T583" t="e">
        <f ca="1">IFERROR(计算区域!U585,NA())</f>
        <v>#N/A</v>
      </c>
      <c r="V583" t="e">
        <f ca="1">IFERROR(计算区域!X585,NA())</f>
        <v>#N/A</v>
      </c>
      <c r="W583" t="e">
        <f ca="1">IFERROR(计算区域!Y585,NA())</f>
        <v>#N/A</v>
      </c>
      <c r="X583" t="e">
        <f ca="1">IFERROR(计算区域!Z585,NA())</f>
        <v>#N/A</v>
      </c>
      <c r="Y583" t="e">
        <f ca="1">IFERROR(计算区域!AA585,NA())</f>
        <v>#N/A</v>
      </c>
    </row>
    <row r="584" spans="1:25" x14ac:dyDescent="0.2">
      <c r="A584" s="28">
        <f>计算区域!E586</f>
        <v>44601</v>
      </c>
      <c r="B584" t="e">
        <f ca="1">IFERROR(计算区域!AJ586,NA())</f>
        <v>#N/A</v>
      </c>
      <c r="C584" t="e">
        <f ca="1">IFERROR(计算区域!AK586,NA())</f>
        <v>#N/A</v>
      </c>
      <c r="D584" t="e">
        <f ca="1">IFERROR(计算区域!AL586,NA())</f>
        <v>#N/A</v>
      </c>
      <c r="E584" t="e">
        <f ca="1">IFERROR(计算区域!AM586,NA())</f>
        <v>#N/A</v>
      </c>
      <c r="G584" t="e">
        <f ca="1">IFERROR(计算区域!AD586,NA())</f>
        <v>#N/A</v>
      </c>
      <c r="H584" t="e">
        <f ca="1">IFERROR(计算区域!AE586,NA())</f>
        <v>#N/A</v>
      </c>
      <c r="I584" t="e">
        <f ca="1">IFERROR(计算区域!AF586,NA())</f>
        <v>#N/A</v>
      </c>
      <c r="J584" t="e">
        <f ca="1">IFERROR(计算区域!AG586,NA())</f>
        <v>#N/A</v>
      </c>
      <c r="L584" t="e">
        <f ca="1">IFERROR(计算区域!L586,NA())</f>
        <v>#N/A</v>
      </c>
      <c r="M584" t="e">
        <f ca="1">IFERROR(计算区域!M586,NA())</f>
        <v>#N/A</v>
      </c>
      <c r="N584" t="e">
        <f ca="1">IFERROR(计算区域!N586,NA())</f>
        <v>#N/A</v>
      </c>
      <c r="O584" t="e">
        <f ca="1">IFERROR(计算区域!O586,NA())</f>
        <v>#N/A</v>
      </c>
      <c r="Q584" t="e">
        <f ca="1">IFERROR(计算区域!R586,NA())</f>
        <v>#N/A</v>
      </c>
      <c r="R584" t="e">
        <f ca="1">IFERROR(计算区域!S586,NA())</f>
        <v>#N/A</v>
      </c>
      <c r="S584" t="e">
        <f ca="1">IFERROR(计算区域!T586,NA())</f>
        <v>#N/A</v>
      </c>
      <c r="T584" t="e">
        <f ca="1">IFERROR(计算区域!U586,NA())</f>
        <v>#N/A</v>
      </c>
      <c r="V584" t="e">
        <f ca="1">IFERROR(计算区域!X586,NA())</f>
        <v>#N/A</v>
      </c>
      <c r="W584" t="e">
        <f ca="1">IFERROR(计算区域!Y586,NA())</f>
        <v>#N/A</v>
      </c>
      <c r="X584" t="e">
        <f ca="1">IFERROR(计算区域!Z586,NA())</f>
        <v>#N/A</v>
      </c>
      <c r="Y584" t="e">
        <f ca="1">IFERROR(计算区域!AA586,NA())</f>
        <v>#N/A</v>
      </c>
    </row>
    <row r="585" spans="1:25" x14ac:dyDescent="0.2">
      <c r="A585" s="28">
        <f>计算区域!E587</f>
        <v>44600</v>
      </c>
      <c r="B585" t="e">
        <f ca="1">IFERROR(计算区域!AJ587,NA())</f>
        <v>#N/A</v>
      </c>
      <c r="C585" t="e">
        <f ca="1">IFERROR(计算区域!AK587,NA())</f>
        <v>#N/A</v>
      </c>
      <c r="D585" t="e">
        <f ca="1">IFERROR(计算区域!AL587,NA())</f>
        <v>#N/A</v>
      </c>
      <c r="E585" t="e">
        <f ca="1">IFERROR(计算区域!AM587,NA())</f>
        <v>#N/A</v>
      </c>
      <c r="G585" t="e">
        <f ca="1">IFERROR(计算区域!AD587,NA())</f>
        <v>#N/A</v>
      </c>
      <c r="H585" t="e">
        <f ca="1">IFERROR(计算区域!AE587,NA())</f>
        <v>#N/A</v>
      </c>
      <c r="I585" t="e">
        <f ca="1">IFERROR(计算区域!AF587,NA())</f>
        <v>#N/A</v>
      </c>
      <c r="J585" t="e">
        <f ca="1">IFERROR(计算区域!AG587,NA())</f>
        <v>#N/A</v>
      </c>
      <c r="L585" t="e">
        <f ca="1">IFERROR(计算区域!L587,NA())</f>
        <v>#N/A</v>
      </c>
      <c r="M585" t="e">
        <f ca="1">IFERROR(计算区域!M587,NA())</f>
        <v>#N/A</v>
      </c>
      <c r="N585" t="e">
        <f ca="1">IFERROR(计算区域!N587,NA())</f>
        <v>#N/A</v>
      </c>
      <c r="O585" t="e">
        <f ca="1">IFERROR(计算区域!O587,NA())</f>
        <v>#N/A</v>
      </c>
      <c r="Q585" t="e">
        <f ca="1">IFERROR(计算区域!R587,NA())</f>
        <v>#N/A</v>
      </c>
      <c r="R585" t="e">
        <f ca="1">IFERROR(计算区域!S587,NA())</f>
        <v>#N/A</v>
      </c>
      <c r="S585" t="e">
        <f ca="1">IFERROR(计算区域!T587,NA())</f>
        <v>#N/A</v>
      </c>
      <c r="T585" t="e">
        <f ca="1">IFERROR(计算区域!U587,NA())</f>
        <v>#N/A</v>
      </c>
      <c r="V585" t="e">
        <f ca="1">IFERROR(计算区域!X587,NA())</f>
        <v>#N/A</v>
      </c>
      <c r="W585" t="e">
        <f ca="1">IFERROR(计算区域!Y587,NA())</f>
        <v>#N/A</v>
      </c>
      <c r="X585" t="e">
        <f ca="1">IFERROR(计算区域!Z587,NA())</f>
        <v>#N/A</v>
      </c>
      <c r="Y585" t="e">
        <f ca="1">IFERROR(计算区域!AA587,NA())</f>
        <v>#N/A</v>
      </c>
    </row>
    <row r="586" spans="1:25" x14ac:dyDescent="0.2">
      <c r="A586" s="28">
        <f>计算区域!E588</f>
        <v>44599</v>
      </c>
      <c r="B586" t="e">
        <f ca="1">IFERROR(计算区域!AJ588,NA())</f>
        <v>#N/A</v>
      </c>
      <c r="C586" t="e">
        <f ca="1">IFERROR(计算区域!AK588,NA())</f>
        <v>#N/A</v>
      </c>
      <c r="D586" t="e">
        <f ca="1">IFERROR(计算区域!AL588,NA())</f>
        <v>#N/A</v>
      </c>
      <c r="E586" t="e">
        <f ca="1">IFERROR(计算区域!AM588,NA())</f>
        <v>#N/A</v>
      </c>
      <c r="G586" t="e">
        <f ca="1">IFERROR(计算区域!AD588,NA())</f>
        <v>#N/A</v>
      </c>
      <c r="H586" t="e">
        <f ca="1">IFERROR(计算区域!AE588,NA())</f>
        <v>#N/A</v>
      </c>
      <c r="I586" t="e">
        <f ca="1">IFERROR(计算区域!AF588,NA())</f>
        <v>#N/A</v>
      </c>
      <c r="J586" t="e">
        <f ca="1">IFERROR(计算区域!AG588,NA())</f>
        <v>#N/A</v>
      </c>
      <c r="L586" t="e">
        <f ca="1">IFERROR(计算区域!L588,NA())</f>
        <v>#N/A</v>
      </c>
      <c r="M586" t="e">
        <f ca="1">IFERROR(计算区域!M588,NA())</f>
        <v>#N/A</v>
      </c>
      <c r="N586" t="e">
        <f ca="1">IFERROR(计算区域!N588,NA())</f>
        <v>#N/A</v>
      </c>
      <c r="O586" t="e">
        <f ca="1">IFERROR(计算区域!O588,NA())</f>
        <v>#N/A</v>
      </c>
      <c r="Q586" t="e">
        <f ca="1">IFERROR(计算区域!R588,NA())</f>
        <v>#N/A</v>
      </c>
      <c r="R586" t="e">
        <f ca="1">IFERROR(计算区域!S588,NA())</f>
        <v>#N/A</v>
      </c>
      <c r="S586" t="e">
        <f ca="1">IFERROR(计算区域!T588,NA())</f>
        <v>#N/A</v>
      </c>
      <c r="T586" t="e">
        <f ca="1">IFERROR(计算区域!U588,NA())</f>
        <v>#N/A</v>
      </c>
      <c r="V586" t="e">
        <f ca="1">IFERROR(计算区域!X588,NA())</f>
        <v>#N/A</v>
      </c>
      <c r="W586" t="e">
        <f ca="1">IFERROR(计算区域!Y588,NA())</f>
        <v>#N/A</v>
      </c>
      <c r="X586" t="e">
        <f ca="1">IFERROR(计算区域!Z588,NA())</f>
        <v>#N/A</v>
      </c>
      <c r="Y586" t="e">
        <f ca="1">IFERROR(计算区域!AA588,NA())</f>
        <v>#N/A</v>
      </c>
    </row>
    <row r="587" spans="1:25" x14ac:dyDescent="0.2">
      <c r="A587" s="28">
        <f>计算区域!E589</f>
        <v>44589</v>
      </c>
      <c r="B587" t="e">
        <f ca="1">IFERROR(计算区域!AJ589,NA())</f>
        <v>#N/A</v>
      </c>
      <c r="C587" t="e">
        <f ca="1">IFERROR(计算区域!AK589,NA())</f>
        <v>#N/A</v>
      </c>
      <c r="D587" t="e">
        <f ca="1">IFERROR(计算区域!AL589,NA())</f>
        <v>#N/A</v>
      </c>
      <c r="E587" t="e">
        <f ca="1">IFERROR(计算区域!AM589,NA())</f>
        <v>#N/A</v>
      </c>
      <c r="G587" t="e">
        <f ca="1">IFERROR(计算区域!AD589,NA())</f>
        <v>#N/A</v>
      </c>
      <c r="H587" t="e">
        <f ca="1">IFERROR(计算区域!AE589,NA())</f>
        <v>#N/A</v>
      </c>
      <c r="I587" t="e">
        <f ca="1">IFERROR(计算区域!AF589,NA())</f>
        <v>#N/A</v>
      </c>
      <c r="J587" t="e">
        <f ca="1">IFERROR(计算区域!AG589,NA())</f>
        <v>#N/A</v>
      </c>
      <c r="L587" t="e">
        <f ca="1">IFERROR(计算区域!L589,NA())</f>
        <v>#N/A</v>
      </c>
      <c r="M587" t="e">
        <f ca="1">IFERROR(计算区域!M589,NA())</f>
        <v>#N/A</v>
      </c>
      <c r="N587" t="e">
        <f ca="1">IFERROR(计算区域!N589,NA())</f>
        <v>#N/A</v>
      </c>
      <c r="O587" t="e">
        <f ca="1">IFERROR(计算区域!O589,NA())</f>
        <v>#N/A</v>
      </c>
      <c r="Q587" t="e">
        <f ca="1">IFERROR(计算区域!R589,NA())</f>
        <v>#N/A</v>
      </c>
      <c r="R587" t="e">
        <f ca="1">IFERROR(计算区域!S589,NA())</f>
        <v>#N/A</v>
      </c>
      <c r="S587" t="e">
        <f ca="1">IFERROR(计算区域!T589,NA())</f>
        <v>#N/A</v>
      </c>
      <c r="T587" t="e">
        <f ca="1">IFERROR(计算区域!U589,NA())</f>
        <v>#N/A</v>
      </c>
      <c r="V587" t="e">
        <f ca="1">IFERROR(计算区域!X589,NA())</f>
        <v>#N/A</v>
      </c>
      <c r="W587" t="e">
        <f ca="1">IFERROR(计算区域!Y589,NA())</f>
        <v>#N/A</v>
      </c>
      <c r="X587" t="e">
        <f ca="1">IFERROR(计算区域!Z589,NA())</f>
        <v>#N/A</v>
      </c>
      <c r="Y587" t="e">
        <f ca="1">IFERROR(计算区域!AA589,NA())</f>
        <v>#N/A</v>
      </c>
    </row>
    <row r="588" spans="1:25" x14ac:dyDescent="0.2">
      <c r="A588" s="28">
        <f>计算区域!E590</f>
        <v>44588</v>
      </c>
      <c r="B588" t="e">
        <f ca="1">IFERROR(计算区域!AJ590,NA())</f>
        <v>#N/A</v>
      </c>
      <c r="C588" t="e">
        <f ca="1">IFERROR(计算区域!AK590,NA())</f>
        <v>#N/A</v>
      </c>
      <c r="D588" t="e">
        <f ca="1">IFERROR(计算区域!AL590,NA())</f>
        <v>#N/A</v>
      </c>
      <c r="E588" t="e">
        <f ca="1">IFERROR(计算区域!AM590,NA())</f>
        <v>#N/A</v>
      </c>
      <c r="G588" t="e">
        <f ca="1">IFERROR(计算区域!AD590,NA())</f>
        <v>#N/A</v>
      </c>
      <c r="H588" t="e">
        <f ca="1">IFERROR(计算区域!AE590,NA())</f>
        <v>#N/A</v>
      </c>
      <c r="I588" t="e">
        <f ca="1">IFERROR(计算区域!AF590,NA())</f>
        <v>#N/A</v>
      </c>
      <c r="J588" t="e">
        <f ca="1">IFERROR(计算区域!AG590,NA())</f>
        <v>#N/A</v>
      </c>
      <c r="L588" t="e">
        <f ca="1">IFERROR(计算区域!L590,NA())</f>
        <v>#N/A</v>
      </c>
      <c r="M588" t="e">
        <f ca="1">IFERROR(计算区域!M590,NA())</f>
        <v>#N/A</v>
      </c>
      <c r="N588" t="e">
        <f ca="1">IFERROR(计算区域!N590,NA())</f>
        <v>#N/A</v>
      </c>
      <c r="O588" t="e">
        <f ca="1">IFERROR(计算区域!O590,NA())</f>
        <v>#N/A</v>
      </c>
      <c r="Q588" t="e">
        <f ca="1">IFERROR(计算区域!R590,NA())</f>
        <v>#N/A</v>
      </c>
      <c r="R588" t="e">
        <f ca="1">IFERROR(计算区域!S590,NA())</f>
        <v>#N/A</v>
      </c>
      <c r="S588" t="e">
        <f ca="1">IFERROR(计算区域!T590,NA())</f>
        <v>#N/A</v>
      </c>
      <c r="T588" t="e">
        <f ca="1">IFERROR(计算区域!U590,NA())</f>
        <v>#N/A</v>
      </c>
      <c r="V588" t="e">
        <f ca="1">IFERROR(计算区域!X590,NA())</f>
        <v>#N/A</v>
      </c>
      <c r="W588" t="e">
        <f ca="1">IFERROR(计算区域!Y590,NA())</f>
        <v>#N/A</v>
      </c>
      <c r="X588" t="e">
        <f ca="1">IFERROR(计算区域!Z590,NA())</f>
        <v>#N/A</v>
      </c>
      <c r="Y588" t="e">
        <f ca="1">IFERROR(计算区域!AA590,NA())</f>
        <v>#N/A</v>
      </c>
    </row>
    <row r="589" spans="1:25" x14ac:dyDescent="0.2">
      <c r="A589" s="28">
        <f>计算区域!E591</f>
        <v>44587</v>
      </c>
      <c r="B589" t="e">
        <f ca="1">IFERROR(计算区域!AJ591,NA())</f>
        <v>#N/A</v>
      </c>
      <c r="C589" t="e">
        <f ca="1">IFERROR(计算区域!AK591,NA())</f>
        <v>#N/A</v>
      </c>
      <c r="D589" t="e">
        <f ca="1">IFERROR(计算区域!AL591,NA())</f>
        <v>#N/A</v>
      </c>
      <c r="E589" t="e">
        <f ca="1">IFERROR(计算区域!AM591,NA())</f>
        <v>#N/A</v>
      </c>
      <c r="G589" t="e">
        <f ca="1">IFERROR(计算区域!AD591,NA())</f>
        <v>#N/A</v>
      </c>
      <c r="H589" t="e">
        <f ca="1">IFERROR(计算区域!AE591,NA())</f>
        <v>#N/A</v>
      </c>
      <c r="I589" t="e">
        <f ca="1">IFERROR(计算区域!AF591,NA())</f>
        <v>#N/A</v>
      </c>
      <c r="J589" t="e">
        <f ca="1">IFERROR(计算区域!AG591,NA())</f>
        <v>#N/A</v>
      </c>
      <c r="L589" t="e">
        <f ca="1">IFERROR(计算区域!L591,NA())</f>
        <v>#N/A</v>
      </c>
      <c r="M589" t="e">
        <f ca="1">IFERROR(计算区域!M591,NA())</f>
        <v>#N/A</v>
      </c>
      <c r="N589" t="e">
        <f ca="1">IFERROR(计算区域!N591,NA())</f>
        <v>#N/A</v>
      </c>
      <c r="O589" t="e">
        <f ca="1">IFERROR(计算区域!O591,NA())</f>
        <v>#N/A</v>
      </c>
      <c r="Q589" t="e">
        <f ca="1">IFERROR(计算区域!R591,NA())</f>
        <v>#N/A</v>
      </c>
      <c r="R589" t="e">
        <f ca="1">IFERROR(计算区域!S591,NA())</f>
        <v>#N/A</v>
      </c>
      <c r="S589" t="e">
        <f ca="1">IFERROR(计算区域!T591,NA())</f>
        <v>#N/A</v>
      </c>
      <c r="T589" t="e">
        <f ca="1">IFERROR(计算区域!U591,NA())</f>
        <v>#N/A</v>
      </c>
      <c r="V589" t="e">
        <f ca="1">IFERROR(计算区域!X591,NA())</f>
        <v>#N/A</v>
      </c>
      <c r="W589" t="e">
        <f ca="1">IFERROR(计算区域!Y591,NA())</f>
        <v>#N/A</v>
      </c>
      <c r="X589" t="e">
        <f ca="1">IFERROR(计算区域!Z591,NA())</f>
        <v>#N/A</v>
      </c>
      <c r="Y589" t="e">
        <f ca="1">IFERROR(计算区域!AA591,NA())</f>
        <v>#N/A</v>
      </c>
    </row>
    <row r="590" spans="1:25" x14ac:dyDescent="0.2">
      <c r="A590" s="28">
        <f>计算区域!E592</f>
        <v>44586</v>
      </c>
      <c r="B590" t="e">
        <f ca="1">IFERROR(计算区域!AJ592,NA())</f>
        <v>#N/A</v>
      </c>
      <c r="C590" t="e">
        <f ca="1">IFERROR(计算区域!AK592,NA())</f>
        <v>#N/A</v>
      </c>
      <c r="D590" t="e">
        <f ca="1">IFERROR(计算区域!AL592,NA())</f>
        <v>#N/A</v>
      </c>
      <c r="E590" t="e">
        <f ca="1">IFERROR(计算区域!AM592,NA())</f>
        <v>#N/A</v>
      </c>
      <c r="G590" t="e">
        <f ca="1">IFERROR(计算区域!AD592,NA())</f>
        <v>#N/A</v>
      </c>
      <c r="H590" t="e">
        <f ca="1">IFERROR(计算区域!AE592,NA())</f>
        <v>#N/A</v>
      </c>
      <c r="I590" t="e">
        <f ca="1">IFERROR(计算区域!AF592,NA())</f>
        <v>#N/A</v>
      </c>
      <c r="J590" t="e">
        <f ca="1">IFERROR(计算区域!AG592,NA())</f>
        <v>#N/A</v>
      </c>
      <c r="L590" t="e">
        <f ca="1">IFERROR(计算区域!L592,NA())</f>
        <v>#N/A</v>
      </c>
      <c r="M590" t="e">
        <f ca="1">IFERROR(计算区域!M592,NA())</f>
        <v>#N/A</v>
      </c>
      <c r="N590" t="e">
        <f ca="1">IFERROR(计算区域!N592,NA())</f>
        <v>#N/A</v>
      </c>
      <c r="O590" t="e">
        <f ca="1">IFERROR(计算区域!O592,NA())</f>
        <v>#N/A</v>
      </c>
      <c r="Q590" t="e">
        <f ca="1">IFERROR(计算区域!R592,NA())</f>
        <v>#N/A</v>
      </c>
      <c r="R590" t="e">
        <f ca="1">IFERROR(计算区域!S592,NA())</f>
        <v>#N/A</v>
      </c>
      <c r="S590" t="e">
        <f ca="1">IFERROR(计算区域!T592,NA())</f>
        <v>#N/A</v>
      </c>
      <c r="T590" t="e">
        <f ca="1">IFERROR(计算区域!U592,NA())</f>
        <v>#N/A</v>
      </c>
      <c r="V590" t="e">
        <f ca="1">IFERROR(计算区域!X592,NA())</f>
        <v>#N/A</v>
      </c>
      <c r="W590" t="e">
        <f ca="1">IFERROR(计算区域!Y592,NA())</f>
        <v>#N/A</v>
      </c>
      <c r="X590" t="e">
        <f ca="1">IFERROR(计算区域!Z592,NA())</f>
        <v>#N/A</v>
      </c>
      <c r="Y590" t="e">
        <f ca="1">IFERROR(计算区域!AA592,NA())</f>
        <v>#N/A</v>
      </c>
    </row>
    <row r="591" spans="1:25" x14ac:dyDescent="0.2">
      <c r="A591" s="28">
        <f>计算区域!E593</f>
        <v>44585</v>
      </c>
      <c r="B591" t="e">
        <f ca="1">IFERROR(计算区域!AJ593,NA())</f>
        <v>#N/A</v>
      </c>
      <c r="C591" t="e">
        <f ca="1">IFERROR(计算区域!AK593,NA())</f>
        <v>#N/A</v>
      </c>
      <c r="D591" t="e">
        <f ca="1">IFERROR(计算区域!AL593,NA())</f>
        <v>#N/A</v>
      </c>
      <c r="E591" t="e">
        <f ca="1">IFERROR(计算区域!AM593,NA())</f>
        <v>#N/A</v>
      </c>
      <c r="G591" t="e">
        <f ca="1">IFERROR(计算区域!AD593,NA())</f>
        <v>#N/A</v>
      </c>
      <c r="H591" t="e">
        <f ca="1">IFERROR(计算区域!AE593,NA())</f>
        <v>#N/A</v>
      </c>
      <c r="I591" t="e">
        <f ca="1">IFERROR(计算区域!AF593,NA())</f>
        <v>#N/A</v>
      </c>
      <c r="J591" t="e">
        <f ca="1">IFERROR(计算区域!AG593,NA())</f>
        <v>#N/A</v>
      </c>
      <c r="L591" t="e">
        <f ca="1">IFERROR(计算区域!L593,NA())</f>
        <v>#N/A</v>
      </c>
      <c r="M591" t="e">
        <f ca="1">IFERROR(计算区域!M593,NA())</f>
        <v>#N/A</v>
      </c>
      <c r="N591" t="e">
        <f ca="1">IFERROR(计算区域!N593,NA())</f>
        <v>#N/A</v>
      </c>
      <c r="O591" t="e">
        <f ca="1">IFERROR(计算区域!O593,NA())</f>
        <v>#N/A</v>
      </c>
      <c r="Q591" t="e">
        <f ca="1">IFERROR(计算区域!R593,NA())</f>
        <v>#N/A</v>
      </c>
      <c r="R591" t="e">
        <f ca="1">IFERROR(计算区域!S593,NA())</f>
        <v>#N/A</v>
      </c>
      <c r="S591" t="e">
        <f ca="1">IFERROR(计算区域!T593,NA())</f>
        <v>#N/A</v>
      </c>
      <c r="T591" t="e">
        <f ca="1">IFERROR(计算区域!U593,NA())</f>
        <v>#N/A</v>
      </c>
      <c r="V591" t="e">
        <f ca="1">IFERROR(计算区域!X593,NA())</f>
        <v>#N/A</v>
      </c>
      <c r="W591" t="e">
        <f ca="1">IFERROR(计算区域!Y593,NA())</f>
        <v>#N/A</v>
      </c>
      <c r="X591" t="e">
        <f ca="1">IFERROR(计算区域!Z593,NA())</f>
        <v>#N/A</v>
      </c>
      <c r="Y591" t="e">
        <f ca="1">IFERROR(计算区域!AA593,NA())</f>
        <v>#N/A</v>
      </c>
    </row>
    <row r="592" spans="1:25" x14ac:dyDescent="0.2">
      <c r="A592" s="28">
        <f>计算区域!E594</f>
        <v>44582</v>
      </c>
      <c r="B592" t="e">
        <f ca="1">IFERROR(计算区域!AJ594,NA())</f>
        <v>#N/A</v>
      </c>
      <c r="C592" t="e">
        <f ca="1">IFERROR(计算区域!AK594,NA())</f>
        <v>#N/A</v>
      </c>
      <c r="D592" t="e">
        <f ca="1">IFERROR(计算区域!AL594,NA())</f>
        <v>#N/A</v>
      </c>
      <c r="E592" t="e">
        <f ca="1">IFERROR(计算区域!AM594,NA())</f>
        <v>#N/A</v>
      </c>
      <c r="G592" t="e">
        <f ca="1">IFERROR(计算区域!AD594,NA())</f>
        <v>#N/A</v>
      </c>
      <c r="H592" t="e">
        <f ca="1">IFERROR(计算区域!AE594,NA())</f>
        <v>#N/A</v>
      </c>
      <c r="I592" t="e">
        <f ca="1">IFERROR(计算区域!AF594,NA())</f>
        <v>#N/A</v>
      </c>
      <c r="J592" t="e">
        <f ca="1">IFERROR(计算区域!AG594,NA())</f>
        <v>#N/A</v>
      </c>
      <c r="L592" t="e">
        <f ca="1">IFERROR(计算区域!L594,NA())</f>
        <v>#N/A</v>
      </c>
      <c r="M592" t="e">
        <f ca="1">IFERROR(计算区域!M594,NA())</f>
        <v>#N/A</v>
      </c>
      <c r="N592" t="e">
        <f ca="1">IFERROR(计算区域!N594,NA())</f>
        <v>#N/A</v>
      </c>
      <c r="O592" t="e">
        <f ca="1">IFERROR(计算区域!O594,NA())</f>
        <v>#N/A</v>
      </c>
      <c r="Q592" t="e">
        <f ca="1">IFERROR(计算区域!R594,NA())</f>
        <v>#N/A</v>
      </c>
      <c r="R592" t="e">
        <f ca="1">IFERROR(计算区域!S594,NA())</f>
        <v>#N/A</v>
      </c>
      <c r="S592" t="e">
        <f ca="1">IFERROR(计算区域!T594,NA())</f>
        <v>#N/A</v>
      </c>
      <c r="T592" t="e">
        <f ca="1">IFERROR(计算区域!U594,NA())</f>
        <v>#N/A</v>
      </c>
      <c r="V592" t="e">
        <f ca="1">IFERROR(计算区域!X594,NA())</f>
        <v>#N/A</v>
      </c>
      <c r="W592" t="e">
        <f ca="1">IFERROR(计算区域!Y594,NA())</f>
        <v>#N/A</v>
      </c>
      <c r="X592" t="e">
        <f ca="1">IFERROR(计算区域!Z594,NA())</f>
        <v>#N/A</v>
      </c>
      <c r="Y592" t="e">
        <f ca="1">IFERROR(计算区域!AA594,NA())</f>
        <v>#N/A</v>
      </c>
    </row>
    <row r="593" spans="1:25" x14ac:dyDescent="0.2">
      <c r="A593" s="28">
        <f>计算区域!E595</f>
        <v>44581</v>
      </c>
      <c r="B593" t="e">
        <f ca="1">IFERROR(计算区域!AJ595,NA())</f>
        <v>#N/A</v>
      </c>
      <c r="C593" t="e">
        <f ca="1">IFERROR(计算区域!AK595,NA())</f>
        <v>#N/A</v>
      </c>
      <c r="D593" t="e">
        <f ca="1">IFERROR(计算区域!AL595,NA())</f>
        <v>#N/A</v>
      </c>
      <c r="E593" t="e">
        <f ca="1">IFERROR(计算区域!AM595,NA())</f>
        <v>#N/A</v>
      </c>
      <c r="G593" t="e">
        <f ca="1">IFERROR(计算区域!AD595,NA())</f>
        <v>#N/A</v>
      </c>
      <c r="H593" t="e">
        <f ca="1">IFERROR(计算区域!AE595,NA())</f>
        <v>#N/A</v>
      </c>
      <c r="I593" t="e">
        <f ca="1">IFERROR(计算区域!AF595,NA())</f>
        <v>#N/A</v>
      </c>
      <c r="J593" t="e">
        <f ca="1">IFERROR(计算区域!AG595,NA())</f>
        <v>#N/A</v>
      </c>
      <c r="L593" t="e">
        <f ca="1">IFERROR(计算区域!L595,NA())</f>
        <v>#N/A</v>
      </c>
      <c r="M593" t="e">
        <f ca="1">IFERROR(计算区域!M595,NA())</f>
        <v>#N/A</v>
      </c>
      <c r="N593" t="e">
        <f ca="1">IFERROR(计算区域!N595,NA())</f>
        <v>#N/A</v>
      </c>
      <c r="O593" t="e">
        <f ca="1">IFERROR(计算区域!O595,NA())</f>
        <v>#N/A</v>
      </c>
      <c r="Q593" t="e">
        <f ca="1">IFERROR(计算区域!R595,NA())</f>
        <v>#N/A</v>
      </c>
      <c r="R593" t="e">
        <f ca="1">IFERROR(计算区域!S595,NA())</f>
        <v>#N/A</v>
      </c>
      <c r="S593" t="e">
        <f ca="1">IFERROR(计算区域!T595,NA())</f>
        <v>#N/A</v>
      </c>
      <c r="T593" t="e">
        <f ca="1">IFERROR(计算区域!U595,NA())</f>
        <v>#N/A</v>
      </c>
      <c r="V593" t="e">
        <f ca="1">IFERROR(计算区域!X595,NA())</f>
        <v>#N/A</v>
      </c>
      <c r="W593" t="e">
        <f ca="1">IFERROR(计算区域!Y595,NA())</f>
        <v>#N/A</v>
      </c>
      <c r="X593" t="e">
        <f ca="1">IFERROR(计算区域!Z595,NA())</f>
        <v>#N/A</v>
      </c>
      <c r="Y593" t="e">
        <f ca="1">IFERROR(计算区域!AA595,NA())</f>
        <v>#N/A</v>
      </c>
    </row>
    <row r="594" spans="1:25" x14ac:dyDescent="0.2">
      <c r="A594" s="28">
        <f>计算区域!E596</f>
        <v>44580</v>
      </c>
      <c r="B594" t="e">
        <f ca="1">IFERROR(计算区域!AJ596,NA())</f>
        <v>#N/A</v>
      </c>
      <c r="C594" t="e">
        <f ca="1">IFERROR(计算区域!AK596,NA())</f>
        <v>#N/A</v>
      </c>
      <c r="D594" t="e">
        <f ca="1">IFERROR(计算区域!AL596,NA())</f>
        <v>#N/A</v>
      </c>
      <c r="E594" t="e">
        <f ca="1">IFERROR(计算区域!AM596,NA())</f>
        <v>#N/A</v>
      </c>
      <c r="G594" t="e">
        <f ca="1">IFERROR(计算区域!AD596,NA())</f>
        <v>#N/A</v>
      </c>
      <c r="H594" t="e">
        <f ca="1">IFERROR(计算区域!AE596,NA())</f>
        <v>#N/A</v>
      </c>
      <c r="I594" t="e">
        <f ca="1">IFERROR(计算区域!AF596,NA())</f>
        <v>#N/A</v>
      </c>
      <c r="J594" t="e">
        <f ca="1">IFERROR(计算区域!AG596,NA())</f>
        <v>#N/A</v>
      </c>
      <c r="L594" t="e">
        <f ca="1">IFERROR(计算区域!L596,NA())</f>
        <v>#N/A</v>
      </c>
      <c r="M594" t="e">
        <f ca="1">IFERROR(计算区域!M596,NA())</f>
        <v>#N/A</v>
      </c>
      <c r="N594" t="e">
        <f ca="1">IFERROR(计算区域!N596,NA())</f>
        <v>#N/A</v>
      </c>
      <c r="O594" t="e">
        <f ca="1">IFERROR(计算区域!O596,NA())</f>
        <v>#N/A</v>
      </c>
      <c r="Q594" t="e">
        <f ca="1">IFERROR(计算区域!R596,NA())</f>
        <v>#N/A</v>
      </c>
      <c r="R594" t="e">
        <f ca="1">IFERROR(计算区域!S596,NA())</f>
        <v>#N/A</v>
      </c>
      <c r="S594" t="e">
        <f ca="1">IFERROR(计算区域!T596,NA())</f>
        <v>#N/A</v>
      </c>
      <c r="T594" t="e">
        <f ca="1">IFERROR(计算区域!U596,NA())</f>
        <v>#N/A</v>
      </c>
      <c r="V594" t="e">
        <f ca="1">IFERROR(计算区域!X596,NA())</f>
        <v>#N/A</v>
      </c>
      <c r="W594" t="e">
        <f ca="1">IFERROR(计算区域!Y596,NA())</f>
        <v>#N/A</v>
      </c>
      <c r="X594" t="e">
        <f ca="1">IFERROR(计算区域!Z596,NA())</f>
        <v>#N/A</v>
      </c>
      <c r="Y594" t="e">
        <f ca="1">IFERROR(计算区域!AA596,NA())</f>
        <v>#N/A</v>
      </c>
    </row>
    <row r="595" spans="1:25" x14ac:dyDescent="0.2">
      <c r="A595" s="28">
        <f>计算区域!E597</f>
        <v>44579</v>
      </c>
      <c r="B595" t="e">
        <f ca="1">IFERROR(计算区域!AJ597,NA())</f>
        <v>#N/A</v>
      </c>
      <c r="C595" t="e">
        <f ca="1">IFERROR(计算区域!AK597,NA())</f>
        <v>#N/A</v>
      </c>
      <c r="D595" t="e">
        <f ca="1">IFERROR(计算区域!AL597,NA())</f>
        <v>#N/A</v>
      </c>
      <c r="E595" t="e">
        <f ca="1">IFERROR(计算区域!AM597,NA())</f>
        <v>#N/A</v>
      </c>
      <c r="G595" t="e">
        <f ca="1">IFERROR(计算区域!AD597,NA())</f>
        <v>#N/A</v>
      </c>
      <c r="H595" t="e">
        <f ca="1">IFERROR(计算区域!AE597,NA())</f>
        <v>#N/A</v>
      </c>
      <c r="I595" t="e">
        <f ca="1">IFERROR(计算区域!AF597,NA())</f>
        <v>#N/A</v>
      </c>
      <c r="J595" t="e">
        <f ca="1">IFERROR(计算区域!AG597,NA())</f>
        <v>#N/A</v>
      </c>
      <c r="L595" t="e">
        <f ca="1">IFERROR(计算区域!L597,NA())</f>
        <v>#N/A</v>
      </c>
      <c r="M595" t="e">
        <f ca="1">IFERROR(计算区域!M597,NA())</f>
        <v>#N/A</v>
      </c>
      <c r="N595" t="e">
        <f ca="1">IFERROR(计算区域!N597,NA())</f>
        <v>#N/A</v>
      </c>
      <c r="O595" t="e">
        <f ca="1">IFERROR(计算区域!O597,NA())</f>
        <v>#N/A</v>
      </c>
      <c r="Q595" t="e">
        <f ca="1">IFERROR(计算区域!R597,NA())</f>
        <v>#N/A</v>
      </c>
      <c r="R595" t="e">
        <f ca="1">IFERROR(计算区域!S597,NA())</f>
        <v>#N/A</v>
      </c>
      <c r="S595" t="e">
        <f ca="1">IFERROR(计算区域!T597,NA())</f>
        <v>#N/A</v>
      </c>
      <c r="T595" t="e">
        <f ca="1">IFERROR(计算区域!U597,NA())</f>
        <v>#N/A</v>
      </c>
      <c r="V595" t="e">
        <f ca="1">IFERROR(计算区域!X597,NA())</f>
        <v>#N/A</v>
      </c>
      <c r="W595" t="e">
        <f ca="1">IFERROR(计算区域!Y597,NA())</f>
        <v>#N/A</v>
      </c>
      <c r="X595" t="e">
        <f ca="1">IFERROR(计算区域!Z597,NA())</f>
        <v>#N/A</v>
      </c>
      <c r="Y595" t="e">
        <f ca="1">IFERROR(计算区域!AA597,NA())</f>
        <v>#N/A</v>
      </c>
    </row>
    <row r="596" spans="1:25" x14ac:dyDescent="0.2">
      <c r="A596" s="28">
        <f>计算区域!E598</f>
        <v>44578</v>
      </c>
      <c r="B596" t="e">
        <f ca="1">IFERROR(计算区域!AJ598,NA())</f>
        <v>#N/A</v>
      </c>
      <c r="C596" t="e">
        <f ca="1">IFERROR(计算区域!AK598,NA())</f>
        <v>#N/A</v>
      </c>
      <c r="D596" t="e">
        <f ca="1">IFERROR(计算区域!AL598,NA())</f>
        <v>#N/A</v>
      </c>
      <c r="E596" t="e">
        <f ca="1">IFERROR(计算区域!AM598,NA())</f>
        <v>#N/A</v>
      </c>
      <c r="G596" t="e">
        <f ca="1">IFERROR(计算区域!AD598,NA())</f>
        <v>#N/A</v>
      </c>
      <c r="H596" t="e">
        <f ca="1">IFERROR(计算区域!AE598,NA())</f>
        <v>#N/A</v>
      </c>
      <c r="I596" t="e">
        <f ca="1">IFERROR(计算区域!AF598,NA())</f>
        <v>#N/A</v>
      </c>
      <c r="J596" t="e">
        <f ca="1">IFERROR(计算区域!AG598,NA())</f>
        <v>#N/A</v>
      </c>
      <c r="L596" t="e">
        <f ca="1">IFERROR(计算区域!L598,NA())</f>
        <v>#N/A</v>
      </c>
      <c r="M596" t="e">
        <f ca="1">IFERROR(计算区域!M598,NA())</f>
        <v>#N/A</v>
      </c>
      <c r="N596" t="e">
        <f ca="1">IFERROR(计算区域!N598,NA())</f>
        <v>#N/A</v>
      </c>
      <c r="O596" t="e">
        <f ca="1">IFERROR(计算区域!O598,NA())</f>
        <v>#N/A</v>
      </c>
      <c r="Q596" t="e">
        <f ca="1">IFERROR(计算区域!R598,NA())</f>
        <v>#N/A</v>
      </c>
      <c r="R596" t="e">
        <f ca="1">IFERROR(计算区域!S598,NA())</f>
        <v>#N/A</v>
      </c>
      <c r="S596" t="e">
        <f ca="1">IFERROR(计算区域!T598,NA())</f>
        <v>#N/A</v>
      </c>
      <c r="T596" t="e">
        <f ca="1">IFERROR(计算区域!U598,NA())</f>
        <v>#N/A</v>
      </c>
      <c r="V596" t="e">
        <f ca="1">IFERROR(计算区域!X598,NA())</f>
        <v>#N/A</v>
      </c>
      <c r="W596" t="e">
        <f ca="1">IFERROR(计算区域!Y598,NA())</f>
        <v>#N/A</v>
      </c>
      <c r="X596" t="e">
        <f ca="1">IFERROR(计算区域!Z598,NA())</f>
        <v>#N/A</v>
      </c>
      <c r="Y596" t="e">
        <f ca="1">IFERROR(计算区域!AA598,NA())</f>
        <v>#N/A</v>
      </c>
    </row>
    <row r="597" spans="1:25" x14ac:dyDescent="0.2">
      <c r="A597" s="28">
        <f>计算区域!E599</f>
        <v>44575</v>
      </c>
      <c r="B597" t="e">
        <f ca="1">IFERROR(计算区域!AJ599,NA())</f>
        <v>#N/A</v>
      </c>
      <c r="C597" t="e">
        <f ca="1">IFERROR(计算区域!AK599,NA())</f>
        <v>#N/A</v>
      </c>
      <c r="D597" t="e">
        <f ca="1">IFERROR(计算区域!AL599,NA())</f>
        <v>#N/A</v>
      </c>
      <c r="E597" t="e">
        <f ca="1">IFERROR(计算区域!AM599,NA())</f>
        <v>#N/A</v>
      </c>
      <c r="G597" t="e">
        <f ca="1">IFERROR(计算区域!AD599,NA())</f>
        <v>#N/A</v>
      </c>
      <c r="H597" t="e">
        <f ca="1">IFERROR(计算区域!AE599,NA())</f>
        <v>#N/A</v>
      </c>
      <c r="I597" t="e">
        <f ca="1">IFERROR(计算区域!AF599,NA())</f>
        <v>#N/A</v>
      </c>
      <c r="J597" t="e">
        <f ca="1">IFERROR(计算区域!AG599,NA())</f>
        <v>#N/A</v>
      </c>
      <c r="L597" t="e">
        <f ca="1">IFERROR(计算区域!L599,NA())</f>
        <v>#N/A</v>
      </c>
      <c r="M597" t="e">
        <f ca="1">IFERROR(计算区域!M599,NA())</f>
        <v>#N/A</v>
      </c>
      <c r="N597" t="e">
        <f ca="1">IFERROR(计算区域!N599,NA())</f>
        <v>#N/A</v>
      </c>
      <c r="O597" t="e">
        <f ca="1">IFERROR(计算区域!O599,NA())</f>
        <v>#N/A</v>
      </c>
      <c r="Q597" t="e">
        <f ca="1">IFERROR(计算区域!R599,NA())</f>
        <v>#N/A</v>
      </c>
      <c r="R597" t="e">
        <f ca="1">IFERROR(计算区域!S599,NA())</f>
        <v>#N/A</v>
      </c>
      <c r="S597" t="e">
        <f ca="1">IFERROR(计算区域!T599,NA())</f>
        <v>#N/A</v>
      </c>
      <c r="T597" t="e">
        <f ca="1">IFERROR(计算区域!U599,NA())</f>
        <v>#N/A</v>
      </c>
      <c r="V597" t="e">
        <f ca="1">IFERROR(计算区域!X599,NA())</f>
        <v>#N/A</v>
      </c>
      <c r="W597" t="e">
        <f ca="1">IFERROR(计算区域!Y599,NA())</f>
        <v>#N/A</v>
      </c>
      <c r="X597" t="e">
        <f ca="1">IFERROR(计算区域!Z599,NA())</f>
        <v>#N/A</v>
      </c>
      <c r="Y597" t="e">
        <f ca="1">IFERROR(计算区域!AA599,NA())</f>
        <v>#N/A</v>
      </c>
    </row>
    <row r="598" spans="1:25" x14ac:dyDescent="0.2">
      <c r="A598" s="28">
        <f>计算区域!E600</f>
        <v>44574</v>
      </c>
      <c r="B598" t="e">
        <f ca="1">IFERROR(计算区域!AJ600,NA())</f>
        <v>#N/A</v>
      </c>
      <c r="C598" t="e">
        <f ca="1">IFERROR(计算区域!AK600,NA())</f>
        <v>#N/A</v>
      </c>
      <c r="D598" t="e">
        <f ca="1">IFERROR(计算区域!AL600,NA())</f>
        <v>#N/A</v>
      </c>
      <c r="E598" t="e">
        <f ca="1">IFERROR(计算区域!AM600,NA())</f>
        <v>#N/A</v>
      </c>
      <c r="G598" t="e">
        <f ca="1">IFERROR(计算区域!AD600,NA())</f>
        <v>#N/A</v>
      </c>
      <c r="H598" t="e">
        <f ca="1">IFERROR(计算区域!AE600,NA())</f>
        <v>#N/A</v>
      </c>
      <c r="I598" t="e">
        <f ca="1">IFERROR(计算区域!AF600,NA())</f>
        <v>#N/A</v>
      </c>
      <c r="J598" t="e">
        <f ca="1">IFERROR(计算区域!AG600,NA())</f>
        <v>#N/A</v>
      </c>
      <c r="L598" t="e">
        <f ca="1">IFERROR(计算区域!L600,NA())</f>
        <v>#N/A</v>
      </c>
      <c r="M598" t="e">
        <f ca="1">IFERROR(计算区域!M600,NA())</f>
        <v>#N/A</v>
      </c>
      <c r="N598" t="e">
        <f ca="1">IFERROR(计算区域!N600,NA())</f>
        <v>#N/A</v>
      </c>
      <c r="O598" t="e">
        <f ca="1">IFERROR(计算区域!O600,NA())</f>
        <v>#N/A</v>
      </c>
      <c r="Q598" t="e">
        <f ca="1">IFERROR(计算区域!R600,NA())</f>
        <v>#N/A</v>
      </c>
      <c r="R598" t="e">
        <f ca="1">IFERROR(计算区域!S600,NA())</f>
        <v>#N/A</v>
      </c>
      <c r="S598" t="e">
        <f ca="1">IFERROR(计算区域!T600,NA())</f>
        <v>#N/A</v>
      </c>
      <c r="T598" t="e">
        <f ca="1">IFERROR(计算区域!U600,NA())</f>
        <v>#N/A</v>
      </c>
      <c r="V598" t="e">
        <f ca="1">IFERROR(计算区域!X600,NA())</f>
        <v>#N/A</v>
      </c>
      <c r="W598" t="e">
        <f ca="1">IFERROR(计算区域!Y600,NA())</f>
        <v>#N/A</v>
      </c>
      <c r="X598" t="e">
        <f ca="1">IFERROR(计算区域!Z600,NA())</f>
        <v>#N/A</v>
      </c>
      <c r="Y598" t="e">
        <f ca="1">IFERROR(计算区域!AA600,NA())</f>
        <v>#N/A</v>
      </c>
    </row>
    <row r="599" spans="1:25" x14ac:dyDescent="0.2">
      <c r="A599" s="28">
        <f>计算区域!E601</f>
        <v>44573</v>
      </c>
      <c r="B599" t="e">
        <f ca="1">IFERROR(计算区域!AJ601,NA())</f>
        <v>#N/A</v>
      </c>
      <c r="C599" t="e">
        <f ca="1">IFERROR(计算区域!AK601,NA())</f>
        <v>#N/A</v>
      </c>
      <c r="D599" t="e">
        <f ca="1">IFERROR(计算区域!AL601,NA())</f>
        <v>#N/A</v>
      </c>
      <c r="E599" t="e">
        <f ca="1">IFERROR(计算区域!AM601,NA())</f>
        <v>#N/A</v>
      </c>
      <c r="G599" t="e">
        <f ca="1">IFERROR(计算区域!AD601,NA())</f>
        <v>#N/A</v>
      </c>
      <c r="H599" t="e">
        <f ca="1">IFERROR(计算区域!AE601,NA())</f>
        <v>#N/A</v>
      </c>
      <c r="I599" t="e">
        <f ca="1">IFERROR(计算区域!AF601,NA())</f>
        <v>#N/A</v>
      </c>
      <c r="J599" t="e">
        <f ca="1">IFERROR(计算区域!AG601,NA())</f>
        <v>#N/A</v>
      </c>
      <c r="L599" t="e">
        <f ca="1">IFERROR(计算区域!L601,NA())</f>
        <v>#N/A</v>
      </c>
      <c r="M599" t="e">
        <f ca="1">IFERROR(计算区域!M601,NA())</f>
        <v>#N/A</v>
      </c>
      <c r="N599" t="e">
        <f ca="1">IFERROR(计算区域!N601,NA())</f>
        <v>#N/A</v>
      </c>
      <c r="O599" t="e">
        <f ca="1">IFERROR(计算区域!O601,NA())</f>
        <v>#N/A</v>
      </c>
      <c r="Q599" t="e">
        <f ca="1">IFERROR(计算区域!R601,NA())</f>
        <v>#N/A</v>
      </c>
      <c r="R599" t="e">
        <f ca="1">IFERROR(计算区域!S601,NA())</f>
        <v>#N/A</v>
      </c>
      <c r="S599" t="e">
        <f ca="1">IFERROR(计算区域!T601,NA())</f>
        <v>#N/A</v>
      </c>
      <c r="T599" t="e">
        <f ca="1">IFERROR(计算区域!U601,NA())</f>
        <v>#N/A</v>
      </c>
      <c r="V599" t="e">
        <f ca="1">IFERROR(计算区域!X601,NA())</f>
        <v>#N/A</v>
      </c>
      <c r="W599" t="e">
        <f ca="1">IFERROR(计算区域!Y601,NA())</f>
        <v>#N/A</v>
      </c>
      <c r="X599" t="e">
        <f ca="1">IFERROR(计算区域!Z601,NA())</f>
        <v>#N/A</v>
      </c>
      <c r="Y599" t="e">
        <f ca="1">IFERROR(计算区域!AA601,NA())</f>
        <v>#N/A</v>
      </c>
    </row>
    <row r="600" spans="1:25" x14ac:dyDescent="0.2">
      <c r="A600" s="28">
        <f>计算区域!E602</f>
        <v>44572</v>
      </c>
      <c r="B600" t="e">
        <f ca="1">IFERROR(计算区域!AJ602,NA())</f>
        <v>#N/A</v>
      </c>
      <c r="C600" t="e">
        <f ca="1">IFERROR(计算区域!AK602,NA())</f>
        <v>#N/A</v>
      </c>
      <c r="D600" t="e">
        <f ca="1">IFERROR(计算区域!AL602,NA())</f>
        <v>#N/A</v>
      </c>
      <c r="E600" t="e">
        <f ca="1">IFERROR(计算区域!AM602,NA())</f>
        <v>#N/A</v>
      </c>
      <c r="G600" t="e">
        <f ca="1">IFERROR(计算区域!AD602,NA())</f>
        <v>#N/A</v>
      </c>
      <c r="H600" t="e">
        <f ca="1">IFERROR(计算区域!AE602,NA())</f>
        <v>#N/A</v>
      </c>
      <c r="I600" t="e">
        <f ca="1">IFERROR(计算区域!AF602,NA())</f>
        <v>#N/A</v>
      </c>
      <c r="J600" t="e">
        <f ca="1">IFERROR(计算区域!AG602,NA())</f>
        <v>#N/A</v>
      </c>
      <c r="L600" t="e">
        <f ca="1">IFERROR(计算区域!L602,NA())</f>
        <v>#N/A</v>
      </c>
      <c r="M600" t="e">
        <f ca="1">IFERROR(计算区域!M602,NA())</f>
        <v>#N/A</v>
      </c>
      <c r="N600" t="e">
        <f ca="1">IFERROR(计算区域!N602,NA())</f>
        <v>#N/A</v>
      </c>
      <c r="O600" t="e">
        <f ca="1">IFERROR(计算区域!O602,NA())</f>
        <v>#N/A</v>
      </c>
      <c r="Q600" t="e">
        <f ca="1">IFERROR(计算区域!R602,NA())</f>
        <v>#N/A</v>
      </c>
      <c r="R600" t="e">
        <f ca="1">IFERROR(计算区域!S602,NA())</f>
        <v>#N/A</v>
      </c>
      <c r="S600" t="e">
        <f ca="1">IFERROR(计算区域!T602,NA())</f>
        <v>#N/A</v>
      </c>
      <c r="T600" t="e">
        <f ca="1">IFERROR(计算区域!U602,NA())</f>
        <v>#N/A</v>
      </c>
      <c r="V600" t="e">
        <f ca="1">IFERROR(计算区域!X602,NA())</f>
        <v>#N/A</v>
      </c>
      <c r="W600" t="e">
        <f ca="1">IFERROR(计算区域!Y602,NA())</f>
        <v>#N/A</v>
      </c>
      <c r="X600" t="e">
        <f ca="1">IFERROR(计算区域!Z602,NA())</f>
        <v>#N/A</v>
      </c>
      <c r="Y600" t="e">
        <f ca="1">IFERROR(计算区域!AA602,NA())</f>
        <v>#N/A</v>
      </c>
    </row>
    <row r="601" spans="1:25" x14ac:dyDescent="0.2">
      <c r="A601" s="28">
        <f>计算区域!E603</f>
        <v>44571</v>
      </c>
      <c r="B601" t="e">
        <f ca="1">IFERROR(计算区域!AJ603,NA())</f>
        <v>#N/A</v>
      </c>
      <c r="C601" t="e">
        <f ca="1">IFERROR(计算区域!AK603,NA())</f>
        <v>#N/A</v>
      </c>
      <c r="D601" t="e">
        <f ca="1">IFERROR(计算区域!AL603,NA())</f>
        <v>#N/A</v>
      </c>
      <c r="E601" t="e">
        <f ca="1">IFERROR(计算区域!AM603,NA())</f>
        <v>#N/A</v>
      </c>
      <c r="G601" t="e">
        <f ca="1">IFERROR(计算区域!AD603,NA())</f>
        <v>#N/A</v>
      </c>
      <c r="H601" t="e">
        <f ca="1">IFERROR(计算区域!AE603,NA())</f>
        <v>#N/A</v>
      </c>
      <c r="I601" t="e">
        <f ca="1">IFERROR(计算区域!AF603,NA())</f>
        <v>#N/A</v>
      </c>
      <c r="J601" t="e">
        <f ca="1">IFERROR(计算区域!AG603,NA())</f>
        <v>#N/A</v>
      </c>
      <c r="L601" t="e">
        <f ca="1">IFERROR(计算区域!L603,NA())</f>
        <v>#N/A</v>
      </c>
      <c r="M601" t="e">
        <f ca="1">IFERROR(计算区域!M603,NA())</f>
        <v>#N/A</v>
      </c>
      <c r="N601" t="e">
        <f ca="1">IFERROR(计算区域!N603,NA())</f>
        <v>#N/A</v>
      </c>
      <c r="O601" t="e">
        <f ca="1">IFERROR(计算区域!O603,NA())</f>
        <v>#N/A</v>
      </c>
      <c r="Q601" t="e">
        <f ca="1">IFERROR(计算区域!R603,NA())</f>
        <v>#N/A</v>
      </c>
      <c r="R601" t="e">
        <f ca="1">IFERROR(计算区域!S603,NA())</f>
        <v>#N/A</v>
      </c>
      <c r="S601" t="e">
        <f ca="1">IFERROR(计算区域!T603,NA())</f>
        <v>#N/A</v>
      </c>
      <c r="T601" t="e">
        <f ca="1">IFERROR(计算区域!U603,NA())</f>
        <v>#N/A</v>
      </c>
      <c r="V601" t="e">
        <f ca="1">IFERROR(计算区域!X603,NA())</f>
        <v>#N/A</v>
      </c>
      <c r="W601" t="e">
        <f ca="1">IFERROR(计算区域!Y603,NA())</f>
        <v>#N/A</v>
      </c>
      <c r="X601" t="e">
        <f ca="1">IFERROR(计算区域!Z603,NA())</f>
        <v>#N/A</v>
      </c>
      <c r="Y601" t="e">
        <f ca="1">IFERROR(计算区域!AA603,NA())</f>
        <v>#N/A</v>
      </c>
    </row>
    <row r="602" spans="1:25" x14ac:dyDescent="0.2">
      <c r="A602" s="28">
        <f>计算区域!E604</f>
        <v>44568</v>
      </c>
      <c r="B602" t="e">
        <f ca="1">IFERROR(计算区域!AJ604,NA())</f>
        <v>#N/A</v>
      </c>
      <c r="C602" t="e">
        <f ca="1">IFERROR(计算区域!AK604,NA())</f>
        <v>#N/A</v>
      </c>
      <c r="D602" t="e">
        <f ca="1">IFERROR(计算区域!AL604,NA())</f>
        <v>#N/A</v>
      </c>
      <c r="E602" t="e">
        <f ca="1">IFERROR(计算区域!AM604,NA())</f>
        <v>#N/A</v>
      </c>
      <c r="G602" t="e">
        <f ca="1">IFERROR(计算区域!AD604,NA())</f>
        <v>#N/A</v>
      </c>
      <c r="H602" t="e">
        <f ca="1">IFERROR(计算区域!AE604,NA())</f>
        <v>#N/A</v>
      </c>
      <c r="I602" t="e">
        <f ca="1">IFERROR(计算区域!AF604,NA())</f>
        <v>#N/A</v>
      </c>
      <c r="J602" t="e">
        <f ca="1">IFERROR(计算区域!AG604,NA())</f>
        <v>#N/A</v>
      </c>
      <c r="L602" t="e">
        <f ca="1">IFERROR(计算区域!L604,NA())</f>
        <v>#N/A</v>
      </c>
      <c r="M602" t="e">
        <f ca="1">IFERROR(计算区域!M604,NA())</f>
        <v>#N/A</v>
      </c>
      <c r="N602" t="e">
        <f ca="1">IFERROR(计算区域!N604,NA())</f>
        <v>#N/A</v>
      </c>
      <c r="O602" t="e">
        <f ca="1">IFERROR(计算区域!O604,NA())</f>
        <v>#N/A</v>
      </c>
      <c r="Q602" t="e">
        <f ca="1">IFERROR(计算区域!R604,NA())</f>
        <v>#N/A</v>
      </c>
      <c r="R602" t="e">
        <f ca="1">IFERROR(计算区域!S604,NA())</f>
        <v>#N/A</v>
      </c>
      <c r="S602" t="e">
        <f ca="1">IFERROR(计算区域!T604,NA())</f>
        <v>#N/A</v>
      </c>
      <c r="T602" t="e">
        <f ca="1">IFERROR(计算区域!U604,NA())</f>
        <v>#N/A</v>
      </c>
      <c r="V602" t="e">
        <f ca="1">IFERROR(计算区域!X604,NA())</f>
        <v>#N/A</v>
      </c>
      <c r="W602" t="e">
        <f ca="1">IFERROR(计算区域!Y604,NA())</f>
        <v>#N/A</v>
      </c>
      <c r="X602" t="e">
        <f ca="1">IFERROR(计算区域!Z604,NA())</f>
        <v>#N/A</v>
      </c>
      <c r="Y602" t="e">
        <f ca="1">IFERROR(计算区域!AA604,NA())</f>
        <v>#N/A</v>
      </c>
    </row>
    <row r="603" spans="1:25" x14ac:dyDescent="0.2">
      <c r="A603" s="28">
        <f>计算区域!E605</f>
        <v>44567</v>
      </c>
      <c r="B603" t="e">
        <f ca="1">IFERROR(计算区域!AJ605,NA())</f>
        <v>#N/A</v>
      </c>
      <c r="C603" t="e">
        <f ca="1">IFERROR(计算区域!AK605,NA())</f>
        <v>#N/A</v>
      </c>
      <c r="D603" t="e">
        <f ca="1">IFERROR(计算区域!AL605,NA())</f>
        <v>#N/A</v>
      </c>
      <c r="E603" t="e">
        <f ca="1">IFERROR(计算区域!AM605,NA())</f>
        <v>#N/A</v>
      </c>
      <c r="G603" t="e">
        <f ca="1">IFERROR(计算区域!AD605,NA())</f>
        <v>#N/A</v>
      </c>
      <c r="H603" t="e">
        <f ca="1">IFERROR(计算区域!AE605,NA())</f>
        <v>#N/A</v>
      </c>
      <c r="I603" t="e">
        <f ca="1">IFERROR(计算区域!AF605,NA())</f>
        <v>#N/A</v>
      </c>
      <c r="J603" t="e">
        <f ca="1">IFERROR(计算区域!AG605,NA())</f>
        <v>#N/A</v>
      </c>
      <c r="L603" t="e">
        <f ca="1">IFERROR(计算区域!L605,NA())</f>
        <v>#N/A</v>
      </c>
      <c r="M603" t="e">
        <f ca="1">IFERROR(计算区域!M605,NA())</f>
        <v>#N/A</v>
      </c>
      <c r="N603" t="e">
        <f ca="1">IFERROR(计算区域!N605,NA())</f>
        <v>#N/A</v>
      </c>
      <c r="O603" t="e">
        <f ca="1">IFERROR(计算区域!O605,NA())</f>
        <v>#N/A</v>
      </c>
      <c r="Q603" t="e">
        <f ca="1">IFERROR(计算区域!R605,NA())</f>
        <v>#N/A</v>
      </c>
      <c r="R603" t="e">
        <f ca="1">IFERROR(计算区域!S605,NA())</f>
        <v>#N/A</v>
      </c>
      <c r="S603" t="e">
        <f ca="1">IFERROR(计算区域!T605,NA())</f>
        <v>#N/A</v>
      </c>
      <c r="T603" t="e">
        <f ca="1">IFERROR(计算区域!U605,NA())</f>
        <v>#N/A</v>
      </c>
      <c r="V603" t="e">
        <f ca="1">IFERROR(计算区域!X605,NA())</f>
        <v>#N/A</v>
      </c>
      <c r="W603" t="e">
        <f ca="1">IFERROR(计算区域!Y605,NA())</f>
        <v>#N/A</v>
      </c>
      <c r="X603" t="e">
        <f ca="1">IFERROR(计算区域!Z605,NA())</f>
        <v>#N/A</v>
      </c>
      <c r="Y603" t="e">
        <f ca="1">IFERROR(计算区域!AA605,NA())</f>
        <v>#N/A</v>
      </c>
    </row>
    <row r="604" spans="1:25" x14ac:dyDescent="0.2">
      <c r="A604" s="28">
        <f>计算区域!E606</f>
        <v>44566</v>
      </c>
      <c r="B604" t="e">
        <f ca="1">IFERROR(计算区域!AJ606,NA())</f>
        <v>#N/A</v>
      </c>
      <c r="C604" t="e">
        <f ca="1">IFERROR(计算区域!AK606,NA())</f>
        <v>#N/A</v>
      </c>
      <c r="D604" t="e">
        <f ca="1">IFERROR(计算区域!AL606,NA())</f>
        <v>#N/A</v>
      </c>
      <c r="E604" t="e">
        <f ca="1">IFERROR(计算区域!AM606,NA())</f>
        <v>#N/A</v>
      </c>
      <c r="G604" t="e">
        <f ca="1">IFERROR(计算区域!AD606,NA())</f>
        <v>#N/A</v>
      </c>
      <c r="H604" t="e">
        <f ca="1">IFERROR(计算区域!AE606,NA())</f>
        <v>#N/A</v>
      </c>
      <c r="I604" t="e">
        <f ca="1">IFERROR(计算区域!AF606,NA())</f>
        <v>#N/A</v>
      </c>
      <c r="J604" t="e">
        <f ca="1">IFERROR(计算区域!AG606,NA())</f>
        <v>#N/A</v>
      </c>
      <c r="L604" t="e">
        <f ca="1">IFERROR(计算区域!L606,NA())</f>
        <v>#N/A</v>
      </c>
      <c r="M604" t="e">
        <f ca="1">IFERROR(计算区域!M606,NA())</f>
        <v>#N/A</v>
      </c>
      <c r="N604" t="e">
        <f ca="1">IFERROR(计算区域!N606,NA())</f>
        <v>#N/A</v>
      </c>
      <c r="O604" t="e">
        <f ca="1">IFERROR(计算区域!O606,NA())</f>
        <v>#N/A</v>
      </c>
      <c r="Q604" t="e">
        <f ca="1">IFERROR(计算区域!R606,NA())</f>
        <v>#N/A</v>
      </c>
      <c r="R604" t="e">
        <f ca="1">IFERROR(计算区域!S606,NA())</f>
        <v>#N/A</v>
      </c>
      <c r="S604" t="e">
        <f ca="1">IFERROR(计算区域!T606,NA())</f>
        <v>#N/A</v>
      </c>
      <c r="T604" t="e">
        <f ca="1">IFERROR(计算区域!U606,NA())</f>
        <v>#N/A</v>
      </c>
      <c r="V604" t="e">
        <f ca="1">IFERROR(计算区域!X606,NA())</f>
        <v>#N/A</v>
      </c>
      <c r="W604" t="e">
        <f ca="1">IFERROR(计算区域!Y606,NA())</f>
        <v>#N/A</v>
      </c>
      <c r="X604" t="e">
        <f ca="1">IFERROR(计算区域!Z606,NA())</f>
        <v>#N/A</v>
      </c>
      <c r="Y604" t="e">
        <f ca="1">IFERROR(计算区域!AA606,NA())</f>
        <v>#N/A</v>
      </c>
    </row>
    <row r="605" spans="1:25" x14ac:dyDescent="0.2">
      <c r="A605" s="28">
        <f>计算区域!E607</f>
        <v>44565</v>
      </c>
      <c r="B605" t="e">
        <f ca="1">IFERROR(计算区域!AJ607,NA())</f>
        <v>#N/A</v>
      </c>
      <c r="C605" t="e">
        <f ca="1">IFERROR(计算区域!AK607,NA())</f>
        <v>#N/A</v>
      </c>
      <c r="D605" t="e">
        <f ca="1">IFERROR(计算区域!AL607,NA())</f>
        <v>#N/A</v>
      </c>
      <c r="E605" t="e">
        <f ca="1">IFERROR(计算区域!AM607,NA())</f>
        <v>#N/A</v>
      </c>
      <c r="G605" t="e">
        <f ca="1">IFERROR(计算区域!AD607,NA())</f>
        <v>#N/A</v>
      </c>
      <c r="H605" t="e">
        <f ca="1">IFERROR(计算区域!AE607,NA())</f>
        <v>#N/A</v>
      </c>
      <c r="I605" t="e">
        <f ca="1">IFERROR(计算区域!AF607,NA())</f>
        <v>#N/A</v>
      </c>
      <c r="J605" t="e">
        <f ca="1">IFERROR(计算区域!AG607,NA())</f>
        <v>#N/A</v>
      </c>
      <c r="L605" t="e">
        <f ca="1">IFERROR(计算区域!L607,NA())</f>
        <v>#N/A</v>
      </c>
      <c r="M605" t="e">
        <f ca="1">IFERROR(计算区域!M607,NA())</f>
        <v>#N/A</v>
      </c>
      <c r="N605" t="e">
        <f ca="1">IFERROR(计算区域!N607,NA())</f>
        <v>#N/A</v>
      </c>
      <c r="O605" t="e">
        <f ca="1">IFERROR(计算区域!O607,NA())</f>
        <v>#N/A</v>
      </c>
      <c r="Q605" t="e">
        <f ca="1">IFERROR(计算区域!R607,NA())</f>
        <v>#N/A</v>
      </c>
      <c r="R605" t="e">
        <f ca="1">IFERROR(计算区域!S607,NA())</f>
        <v>#N/A</v>
      </c>
      <c r="S605" t="e">
        <f ca="1">IFERROR(计算区域!T607,NA())</f>
        <v>#N/A</v>
      </c>
      <c r="T605" t="e">
        <f ca="1">IFERROR(计算区域!U607,NA())</f>
        <v>#N/A</v>
      </c>
      <c r="V605" t="e">
        <f ca="1">IFERROR(计算区域!X607,NA())</f>
        <v>#N/A</v>
      </c>
      <c r="W605" t="e">
        <f ca="1">IFERROR(计算区域!Y607,NA())</f>
        <v>#N/A</v>
      </c>
      <c r="X605" t="e">
        <f ca="1">IFERROR(计算区域!Z607,NA())</f>
        <v>#N/A</v>
      </c>
      <c r="Y605" t="e">
        <f ca="1">IFERROR(计算区域!AA607,NA())</f>
        <v>#N/A</v>
      </c>
    </row>
    <row r="606" spans="1:25" x14ac:dyDescent="0.2">
      <c r="A606" s="28">
        <f>计算区域!E608</f>
        <v>44561</v>
      </c>
      <c r="B606" t="e">
        <f ca="1">IFERROR(计算区域!AJ608,NA())</f>
        <v>#N/A</v>
      </c>
      <c r="C606" t="e">
        <f ca="1">IFERROR(计算区域!AK608,NA())</f>
        <v>#N/A</v>
      </c>
      <c r="D606" t="e">
        <f ca="1">IFERROR(计算区域!AL608,NA())</f>
        <v>#N/A</v>
      </c>
      <c r="E606" t="e">
        <f ca="1">IFERROR(计算区域!AM608,NA())</f>
        <v>#N/A</v>
      </c>
      <c r="G606" t="e">
        <f ca="1">IFERROR(计算区域!AD608,NA())</f>
        <v>#N/A</v>
      </c>
      <c r="H606" t="e">
        <f ca="1">IFERROR(计算区域!AE608,NA())</f>
        <v>#N/A</v>
      </c>
      <c r="I606" t="e">
        <f ca="1">IFERROR(计算区域!AF608,NA())</f>
        <v>#N/A</v>
      </c>
      <c r="J606" t="e">
        <f ca="1">IFERROR(计算区域!AG608,NA())</f>
        <v>#N/A</v>
      </c>
      <c r="L606" t="e">
        <f ca="1">IFERROR(计算区域!L608,NA())</f>
        <v>#N/A</v>
      </c>
      <c r="M606" t="e">
        <f ca="1">IFERROR(计算区域!M608,NA())</f>
        <v>#N/A</v>
      </c>
      <c r="N606" t="e">
        <f ca="1">IFERROR(计算区域!N608,NA())</f>
        <v>#N/A</v>
      </c>
      <c r="O606" t="e">
        <f ca="1">IFERROR(计算区域!O608,NA())</f>
        <v>#N/A</v>
      </c>
      <c r="Q606" t="e">
        <f ca="1">IFERROR(计算区域!R608,NA())</f>
        <v>#N/A</v>
      </c>
      <c r="R606" t="e">
        <f ca="1">IFERROR(计算区域!S608,NA())</f>
        <v>#N/A</v>
      </c>
      <c r="S606" t="e">
        <f ca="1">IFERROR(计算区域!T608,NA())</f>
        <v>#N/A</v>
      </c>
      <c r="T606" t="e">
        <f ca="1">IFERROR(计算区域!U608,NA())</f>
        <v>#N/A</v>
      </c>
      <c r="V606" t="e">
        <f ca="1">IFERROR(计算区域!X608,NA())</f>
        <v>#N/A</v>
      </c>
      <c r="W606" t="e">
        <f ca="1">IFERROR(计算区域!Y608,NA())</f>
        <v>#N/A</v>
      </c>
      <c r="X606" t="e">
        <f ca="1">IFERROR(计算区域!Z608,NA())</f>
        <v>#N/A</v>
      </c>
      <c r="Y606" t="e">
        <f ca="1">IFERROR(计算区域!AA608,NA())</f>
        <v>#N/A</v>
      </c>
    </row>
    <row r="607" spans="1:25" x14ac:dyDescent="0.2">
      <c r="A607" s="28">
        <f>计算区域!E609</f>
        <v>44560</v>
      </c>
      <c r="B607" t="e">
        <f ca="1">IFERROR(计算区域!AJ609,NA())</f>
        <v>#N/A</v>
      </c>
      <c r="C607" t="e">
        <f ca="1">IFERROR(计算区域!AK609,NA())</f>
        <v>#N/A</v>
      </c>
      <c r="D607" t="e">
        <f ca="1">IFERROR(计算区域!AL609,NA())</f>
        <v>#N/A</v>
      </c>
      <c r="E607" t="e">
        <f ca="1">IFERROR(计算区域!AM609,NA())</f>
        <v>#N/A</v>
      </c>
      <c r="G607" t="e">
        <f ca="1">IFERROR(计算区域!AD609,NA())</f>
        <v>#N/A</v>
      </c>
      <c r="H607" t="e">
        <f ca="1">IFERROR(计算区域!AE609,NA())</f>
        <v>#N/A</v>
      </c>
      <c r="I607" t="e">
        <f ca="1">IFERROR(计算区域!AF609,NA())</f>
        <v>#N/A</v>
      </c>
      <c r="J607" t="e">
        <f ca="1">IFERROR(计算区域!AG609,NA())</f>
        <v>#N/A</v>
      </c>
      <c r="L607" t="e">
        <f ca="1">IFERROR(计算区域!L609,NA())</f>
        <v>#N/A</v>
      </c>
      <c r="M607" t="e">
        <f ca="1">IFERROR(计算区域!M609,NA())</f>
        <v>#N/A</v>
      </c>
      <c r="N607" t="e">
        <f ca="1">IFERROR(计算区域!N609,NA())</f>
        <v>#N/A</v>
      </c>
      <c r="O607" t="e">
        <f ca="1">IFERROR(计算区域!O609,NA())</f>
        <v>#N/A</v>
      </c>
      <c r="Q607" t="e">
        <f ca="1">IFERROR(计算区域!R609,NA())</f>
        <v>#N/A</v>
      </c>
      <c r="R607" t="e">
        <f ca="1">IFERROR(计算区域!S609,NA())</f>
        <v>#N/A</v>
      </c>
      <c r="S607" t="e">
        <f ca="1">IFERROR(计算区域!T609,NA())</f>
        <v>#N/A</v>
      </c>
      <c r="T607" t="e">
        <f ca="1">IFERROR(计算区域!U609,NA())</f>
        <v>#N/A</v>
      </c>
      <c r="V607" t="e">
        <f ca="1">IFERROR(计算区域!X609,NA())</f>
        <v>#N/A</v>
      </c>
      <c r="W607" t="e">
        <f ca="1">IFERROR(计算区域!Y609,NA())</f>
        <v>#N/A</v>
      </c>
      <c r="X607" t="e">
        <f ca="1">IFERROR(计算区域!Z609,NA())</f>
        <v>#N/A</v>
      </c>
      <c r="Y607" t="e">
        <f ca="1">IFERROR(计算区域!AA609,NA())</f>
        <v>#N/A</v>
      </c>
    </row>
    <row r="608" spans="1:25" x14ac:dyDescent="0.2">
      <c r="A608" s="28">
        <f>计算区域!E610</f>
        <v>44559</v>
      </c>
      <c r="B608" t="e">
        <f ca="1">IFERROR(计算区域!AJ610,NA())</f>
        <v>#N/A</v>
      </c>
      <c r="C608" t="e">
        <f ca="1">IFERROR(计算区域!AK610,NA())</f>
        <v>#N/A</v>
      </c>
      <c r="D608" t="e">
        <f ca="1">IFERROR(计算区域!AL610,NA())</f>
        <v>#N/A</v>
      </c>
      <c r="E608" t="e">
        <f ca="1">IFERROR(计算区域!AM610,NA())</f>
        <v>#N/A</v>
      </c>
      <c r="G608" t="e">
        <f ca="1">IFERROR(计算区域!AD610,NA())</f>
        <v>#N/A</v>
      </c>
      <c r="H608" t="e">
        <f ca="1">IFERROR(计算区域!AE610,NA())</f>
        <v>#N/A</v>
      </c>
      <c r="I608" t="e">
        <f ca="1">IFERROR(计算区域!AF610,NA())</f>
        <v>#N/A</v>
      </c>
      <c r="J608" t="e">
        <f ca="1">IFERROR(计算区域!AG610,NA())</f>
        <v>#N/A</v>
      </c>
      <c r="L608" t="e">
        <f ca="1">IFERROR(计算区域!L610,NA())</f>
        <v>#N/A</v>
      </c>
      <c r="M608" t="e">
        <f ca="1">IFERROR(计算区域!M610,NA())</f>
        <v>#N/A</v>
      </c>
      <c r="N608" t="e">
        <f ca="1">IFERROR(计算区域!N610,NA())</f>
        <v>#N/A</v>
      </c>
      <c r="O608" t="e">
        <f ca="1">IFERROR(计算区域!O610,NA())</f>
        <v>#N/A</v>
      </c>
      <c r="Q608" t="e">
        <f ca="1">IFERROR(计算区域!R610,NA())</f>
        <v>#N/A</v>
      </c>
      <c r="R608" t="e">
        <f ca="1">IFERROR(计算区域!S610,NA())</f>
        <v>#N/A</v>
      </c>
      <c r="S608" t="e">
        <f ca="1">IFERROR(计算区域!T610,NA())</f>
        <v>#N/A</v>
      </c>
      <c r="T608" t="e">
        <f ca="1">IFERROR(计算区域!U610,NA())</f>
        <v>#N/A</v>
      </c>
      <c r="V608" t="e">
        <f ca="1">IFERROR(计算区域!X610,NA())</f>
        <v>#N/A</v>
      </c>
      <c r="W608" t="e">
        <f ca="1">IFERROR(计算区域!Y610,NA())</f>
        <v>#N/A</v>
      </c>
      <c r="X608" t="e">
        <f ca="1">IFERROR(计算区域!Z610,NA())</f>
        <v>#N/A</v>
      </c>
      <c r="Y608" t="e">
        <f ca="1">IFERROR(计算区域!AA610,NA())</f>
        <v>#N/A</v>
      </c>
    </row>
    <row r="609" spans="1:25" x14ac:dyDescent="0.2">
      <c r="A609" s="28">
        <f>计算区域!E611</f>
        <v>44558</v>
      </c>
      <c r="B609" t="e">
        <f ca="1">IFERROR(计算区域!AJ611,NA())</f>
        <v>#N/A</v>
      </c>
      <c r="C609" t="e">
        <f ca="1">IFERROR(计算区域!AK611,NA())</f>
        <v>#N/A</v>
      </c>
      <c r="D609" t="e">
        <f ca="1">IFERROR(计算区域!AL611,NA())</f>
        <v>#N/A</v>
      </c>
      <c r="E609" t="e">
        <f ca="1">IFERROR(计算区域!AM611,NA())</f>
        <v>#N/A</v>
      </c>
      <c r="G609" t="e">
        <f ca="1">IFERROR(计算区域!AD611,NA())</f>
        <v>#N/A</v>
      </c>
      <c r="H609" t="e">
        <f ca="1">IFERROR(计算区域!AE611,NA())</f>
        <v>#N/A</v>
      </c>
      <c r="I609" t="e">
        <f ca="1">IFERROR(计算区域!AF611,NA())</f>
        <v>#N/A</v>
      </c>
      <c r="J609" t="e">
        <f ca="1">IFERROR(计算区域!AG611,NA())</f>
        <v>#N/A</v>
      </c>
      <c r="L609" t="e">
        <f ca="1">IFERROR(计算区域!L611,NA())</f>
        <v>#N/A</v>
      </c>
      <c r="M609" t="e">
        <f ca="1">IFERROR(计算区域!M611,NA())</f>
        <v>#N/A</v>
      </c>
      <c r="N609" t="e">
        <f ca="1">IFERROR(计算区域!N611,NA())</f>
        <v>#N/A</v>
      </c>
      <c r="O609" t="e">
        <f ca="1">IFERROR(计算区域!O611,NA())</f>
        <v>#N/A</v>
      </c>
      <c r="Q609" t="e">
        <f ca="1">IFERROR(计算区域!R611,NA())</f>
        <v>#N/A</v>
      </c>
      <c r="R609" t="e">
        <f ca="1">IFERROR(计算区域!S611,NA())</f>
        <v>#N/A</v>
      </c>
      <c r="S609" t="e">
        <f ca="1">IFERROR(计算区域!T611,NA())</f>
        <v>#N/A</v>
      </c>
      <c r="T609" t="e">
        <f ca="1">IFERROR(计算区域!U611,NA())</f>
        <v>#N/A</v>
      </c>
      <c r="V609" t="e">
        <f ca="1">IFERROR(计算区域!X611,NA())</f>
        <v>#N/A</v>
      </c>
      <c r="W609" t="e">
        <f ca="1">IFERROR(计算区域!Y611,NA())</f>
        <v>#N/A</v>
      </c>
      <c r="X609" t="e">
        <f ca="1">IFERROR(计算区域!Z611,NA())</f>
        <v>#N/A</v>
      </c>
      <c r="Y609" t="e">
        <f ca="1">IFERROR(计算区域!AA611,NA())</f>
        <v>#N/A</v>
      </c>
    </row>
    <row r="610" spans="1:25" x14ac:dyDescent="0.2">
      <c r="A610" s="28">
        <f>计算区域!E612</f>
        <v>44557</v>
      </c>
      <c r="B610" t="e">
        <f ca="1">IFERROR(计算区域!AJ612,NA())</f>
        <v>#N/A</v>
      </c>
      <c r="C610" t="e">
        <f ca="1">IFERROR(计算区域!AK612,NA())</f>
        <v>#N/A</v>
      </c>
      <c r="D610" t="e">
        <f ca="1">IFERROR(计算区域!AL612,NA())</f>
        <v>#N/A</v>
      </c>
      <c r="E610" t="e">
        <f ca="1">IFERROR(计算区域!AM612,NA())</f>
        <v>#N/A</v>
      </c>
      <c r="G610" t="e">
        <f ca="1">IFERROR(计算区域!AD612,NA())</f>
        <v>#N/A</v>
      </c>
      <c r="H610" t="e">
        <f ca="1">IFERROR(计算区域!AE612,NA())</f>
        <v>#N/A</v>
      </c>
      <c r="I610" t="e">
        <f ca="1">IFERROR(计算区域!AF612,NA())</f>
        <v>#N/A</v>
      </c>
      <c r="J610" t="e">
        <f ca="1">IFERROR(计算区域!AG612,NA())</f>
        <v>#N/A</v>
      </c>
      <c r="L610" t="e">
        <f ca="1">IFERROR(计算区域!L612,NA())</f>
        <v>#N/A</v>
      </c>
      <c r="M610" t="e">
        <f ca="1">IFERROR(计算区域!M612,NA())</f>
        <v>#N/A</v>
      </c>
      <c r="N610" t="e">
        <f ca="1">IFERROR(计算区域!N612,NA())</f>
        <v>#N/A</v>
      </c>
      <c r="O610" t="e">
        <f ca="1">IFERROR(计算区域!O612,NA())</f>
        <v>#N/A</v>
      </c>
      <c r="Q610" t="e">
        <f ca="1">IFERROR(计算区域!R612,NA())</f>
        <v>#N/A</v>
      </c>
      <c r="R610" t="e">
        <f ca="1">IFERROR(计算区域!S612,NA())</f>
        <v>#N/A</v>
      </c>
      <c r="S610" t="e">
        <f ca="1">IFERROR(计算区域!T612,NA())</f>
        <v>#N/A</v>
      </c>
      <c r="T610" t="e">
        <f ca="1">IFERROR(计算区域!U612,NA())</f>
        <v>#N/A</v>
      </c>
      <c r="V610" t="e">
        <f ca="1">IFERROR(计算区域!X612,NA())</f>
        <v>#N/A</v>
      </c>
      <c r="W610" t="e">
        <f ca="1">IFERROR(计算区域!Y612,NA())</f>
        <v>#N/A</v>
      </c>
      <c r="X610" t="e">
        <f ca="1">IFERROR(计算区域!Z612,NA())</f>
        <v>#N/A</v>
      </c>
      <c r="Y610" t="e">
        <f ca="1">IFERROR(计算区域!AA612,NA())</f>
        <v>#N/A</v>
      </c>
    </row>
    <row r="611" spans="1:25" x14ac:dyDescent="0.2">
      <c r="A611" s="28">
        <f>计算区域!E613</f>
        <v>44554</v>
      </c>
      <c r="B611" t="e">
        <f ca="1">IFERROR(计算区域!AJ613,NA())</f>
        <v>#N/A</v>
      </c>
      <c r="C611" t="e">
        <f ca="1">IFERROR(计算区域!AK613,NA())</f>
        <v>#N/A</v>
      </c>
      <c r="D611" t="e">
        <f ca="1">IFERROR(计算区域!AL613,NA())</f>
        <v>#N/A</v>
      </c>
      <c r="E611" t="e">
        <f ca="1">IFERROR(计算区域!AM613,NA())</f>
        <v>#N/A</v>
      </c>
      <c r="G611" t="e">
        <f ca="1">IFERROR(计算区域!AD613,NA())</f>
        <v>#N/A</v>
      </c>
      <c r="H611" t="e">
        <f ca="1">IFERROR(计算区域!AE613,NA())</f>
        <v>#N/A</v>
      </c>
      <c r="I611" t="e">
        <f ca="1">IFERROR(计算区域!AF613,NA())</f>
        <v>#N/A</v>
      </c>
      <c r="J611" t="e">
        <f ca="1">IFERROR(计算区域!AG613,NA())</f>
        <v>#N/A</v>
      </c>
      <c r="L611" t="e">
        <f ca="1">IFERROR(计算区域!L613,NA())</f>
        <v>#N/A</v>
      </c>
      <c r="M611" t="e">
        <f ca="1">IFERROR(计算区域!M613,NA())</f>
        <v>#N/A</v>
      </c>
      <c r="N611" t="e">
        <f ca="1">IFERROR(计算区域!N613,NA())</f>
        <v>#N/A</v>
      </c>
      <c r="O611" t="e">
        <f ca="1">IFERROR(计算区域!O613,NA())</f>
        <v>#N/A</v>
      </c>
      <c r="Q611" t="e">
        <f ca="1">IFERROR(计算区域!R613,NA())</f>
        <v>#N/A</v>
      </c>
      <c r="R611" t="e">
        <f ca="1">IFERROR(计算区域!S613,NA())</f>
        <v>#N/A</v>
      </c>
      <c r="S611" t="e">
        <f ca="1">IFERROR(计算区域!T613,NA())</f>
        <v>#N/A</v>
      </c>
      <c r="T611" t="e">
        <f ca="1">IFERROR(计算区域!U613,NA())</f>
        <v>#N/A</v>
      </c>
      <c r="V611" t="e">
        <f ca="1">IFERROR(计算区域!X613,NA())</f>
        <v>#N/A</v>
      </c>
      <c r="W611" t="e">
        <f ca="1">IFERROR(计算区域!Y613,NA())</f>
        <v>#N/A</v>
      </c>
      <c r="X611" t="e">
        <f ca="1">IFERROR(计算区域!Z613,NA())</f>
        <v>#N/A</v>
      </c>
      <c r="Y611" t="e">
        <f ca="1">IFERROR(计算区域!AA613,NA())</f>
        <v>#N/A</v>
      </c>
    </row>
    <row r="612" spans="1:25" x14ac:dyDescent="0.2">
      <c r="A612" s="28">
        <f>计算区域!E614</f>
        <v>44553</v>
      </c>
      <c r="B612" t="e">
        <f ca="1">IFERROR(计算区域!AJ614,NA())</f>
        <v>#N/A</v>
      </c>
      <c r="C612" t="e">
        <f ca="1">IFERROR(计算区域!AK614,NA())</f>
        <v>#N/A</v>
      </c>
      <c r="D612" t="e">
        <f ca="1">IFERROR(计算区域!AL614,NA())</f>
        <v>#N/A</v>
      </c>
      <c r="E612" t="e">
        <f ca="1">IFERROR(计算区域!AM614,NA())</f>
        <v>#N/A</v>
      </c>
      <c r="G612" t="e">
        <f ca="1">IFERROR(计算区域!AD614,NA())</f>
        <v>#N/A</v>
      </c>
      <c r="H612" t="e">
        <f ca="1">IFERROR(计算区域!AE614,NA())</f>
        <v>#N/A</v>
      </c>
      <c r="I612" t="e">
        <f ca="1">IFERROR(计算区域!AF614,NA())</f>
        <v>#N/A</v>
      </c>
      <c r="J612" t="e">
        <f ca="1">IFERROR(计算区域!AG614,NA())</f>
        <v>#N/A</v>
      </c>
      <c r="L612" t="e">
        <f ca="1">IFERROR(计算区域!L614,NA())</f>
        <v>#N/A</v>
      </c>
      <c r="M612" t="e">
        <f ca="1">IFERROR(计算区域!M614,NA())</f>
        <v>#N/A</v>
      </c>
      <c r="N612" t="e">
        <f ca="1">IFERROR(计算区域!N614,NA())</f>
        <v>#N/A</v>
      </c>
      <c r="O612" t="e">
        <f ca="1">IFERROR(计算区域!O614,NA())</f>
        <v>#N/A</v>
      </c>
      <c r="Q612" t="e">
        <f ca="1">IFERROR(计算区域!R614,NA())</f>
        <v>#N/A</v>
      </c>
      <c r="R612" t="e">
        <f ca="1">IFERROR(计算区域!S614,NA())</f>
        <v>#N/A</v>
      </c>
      <c r="S612" t="e">
        <f ca="1">IFERROR(计算区域!T614,NA())</f>
        <v>#N/A</v>
      </c>
      <c r="T612" t="e">
        <f ca="1">IFERROR(计算区域!U614,NA())</f>
        <v>#N/A</v>
      </c>
      <c r="V612" t="e">
        <f ca="1">IFERROR(计算区域!X614,NA())</f>
        <v>#N/A</v>
      </c>
      <c r="W612" t="e">
        <f ca="1">IFERROR(计算区域!Y614,NA())</f>
        <v>#N/A</v>
      </c>
      <c r="X612" t="e">
        <f ca="1">IFERROR(计算区域!Z614,NA())</f>
        <v>#N/A</v>
      </c>
      <c r="Y612" t="e">
        <f ca="1">IFERROR(计算区域!AA614,NA())</f>
        <v>#N/A</v>
      </c>
    </row>
    <row r="613" spans="1:25" x14ac:dyDescent="0.2">
      <c r="A613" s="28">
        <f>计算区域!E615</f>
        <v>44552</v>
      </c>
      <c r="B613" t="e">
        <f ca="1">IFERROR(计算区域!AJ615,NA())</f>
        <v>#N/A</v>
      </c>
      <c r="C613" t="e">
        <f ca="1">IFERROR(计算区域!AK615,NA())</f>
        <v>#N/A</v>
      </c>
      <c r="D613" t="e">
        <f ca="1">IFERROR(计算区域!AL615,NA())</f>
        <v>#N/A</v>
      </c>
      <c r="E613" t="e">
        <f ca="1">IFERROR(计算区域!AM615,NA())</f>
        <v>#N/A</v>
      </c>
      <c r="G613" t="e">
        <f ca="1">IFERROR(计算区域!AD615,NA())</f>
        <v>#N/A</v>
      </c>
      <c r="H613" t="e">
        <f ca="1">IFERROR(计算区域!AE615,NA())</f>
        <v>#N/A</v>
      </c>
      <c r="I613" t="e">
        <f ca="1">IFERROR(计算区域!AF615,NA())</f>
        <v>#N/A</v>
      </c>
      <c r="J613" t="e">
        <f ca="1">IFERROR(计算区域!AG615,NA())</f>
        <v>#N/A</v>
      </c>
      <c r="L613" t="e">
        <f ca="1">IFERROR(计算区域!L615,NA())</f>
        <v>#N/A</v>
      </c>
      <c r="M613" t="e">
        <f ca="1">IFERROR(计算区域!M615,NA())</f>
        <v>#N/A</v>
      </c>
      <c r="N613" t="e">
        <f ca="1">IFERROR(计算区域!N615,NA())</f>
        <v>#N/A</v>
      </c>
      <c r="O613" t="e">
        <f ca="1">IFERROR(计算区域!O615,NA())</f>
        <v>#N/A</v>
      </c>
      <c r="Q613" t="e">
        <f ca="1">IFERROR(计算区域!R615,NA())</f>
        <v>#N/A</v>
      </c>
      <c r="R613" t="e">
        <f ca="1">IFERROR(计算区域!S615,NA())</f>
        <v>#N/A</v>
      </c>
      <c r="S613" t="e">
        <f ca="1">IFERROR(计算区域!T615,NA())</f>
        <v>#N/A</v>
      </c>
      <c r="T613" t="e">
        <f ca="1">IFERROR(计算区域!U615,NA())</f>
        <v>#N/A</v>
      </c>
      <c r="V613" t="e">
        <f ca="1">IFERROR(计算区域!X615,NA())</f>
        <v>#N/A</v>
      </c>
      <c r="W613" t="e">
        <f ca="1">IFERROR(计算区域!Y615,NA())</f>
        <v>#N/A</v>
      </c>
      <c r="X613" t="e">
        <f ca="1">IFERROR(计算区域!Z615,NA())</f>
        <v>#N/A</v>
      </c>
      <c r="Y613" t="e">
        <f ca="1">IFERROR(计算区域!AA615,NA())</f>
        <v>#N/A</v>
      </c>
    </row>
    <row r="614" spans="1:25" x14ac:dyDescent="0.2">
      <c r="A614" s="28">
        <f>计算区域!E616</f>
        <v>44551</v>
      </c>
      <c r="B614" t="e">
        <f ca="1">IFERROR(计算区域!AJ616,NA())</f>
        <v>#N/A</v>
      </c>
      <c r="C614" t="e">
        <f ca="1">IFERROR(计算区域!AK616,NA())</f>
        <v>#N/A</v>
      </c>
      <c r="D614" t="e">
        <f ca="1">IFERROR(计算区域!AL616,NA())</f>
        <v>#N/A</v>
      </c>
      <c r="E614" t="e">
        <f ca="1">IFERROR(计算区域!AM616,NA())</f>
        <v>#N/A</v>
      </c>
      <c r="G614" t="e">
        <f ca="1">IFERROR(计算区域!AD616,NA())</f>
        <v>#N/A</v>
      </c>
      <c r="H614" t="e">
        <f ca="1">IFERROR(计算区域!AE616,NA())</f>
        <v>#N/A</v>
      </c>
      <c r="I614" t="e">
        <f ca="1">IFERROR(计算区域!AF616,NA())</f>
        <v>#N/A</v>
      </c>
      <c r="J614" t="e">
        <f ca="1">IFERROR(计算区域!AG616,NA())</f>
        <v>#N/A</v>
      </c>
      <c r="L614" t="e">
        <f ca="1">IFERROR(计算区域!L616,NA())</f>
        <v>#N/A</v>
      </c>
      <c r="M614" t="e">
        <f ca="1">IFERROR(计算区域!M616,NA())</f>
        <v>#N/A</v>
      </c>
      <c r="N614" t="e">
        <f ca="1">IFERROR(计算区域!N616,NA())</f>
        <v>#N/A</v>
      </c>
      <c r="O614" t="e">
        <f ca="1">IFERROR(计算区域!O616,NA())</f>
        <v>#N/A</v>
      </c>
      <c r="Q614" t="e">
        <f ca="1">IFERROR(计算区域!R616,NA())</f>
        <v>#N/A</v>
      </c>
      <c r="R614" t="e">
        <f ca="1">IFERROR(计算区域!S616,NA())</f>
        <v>#N/A</v>
      </c>
      <c r="S614" t="e">
        <f ca="1">IFERROR(计算区域!T616,NA())</f>
        <v>#N/A</v>
      </c>
      <c r="T614" t="e">
        <f ca="1">IFERROR(计算区域!U616,NA())</f>
        <v>#N/A</v>
      </c>
      <c r="V614" t="e">
        <f ca="1">IFERROR(计算区域!X616,NA())</f>
        <v>#N/A</v>
      </c>
      <c r="W614" t="e">
        <f ca="1">IFERROR(计算区域!Y616,NA())</f>
        <v>#N/A</v>
      </c>
      <c r="X614" t="e">
        <f ca="1">IFERROR(计算区域!Z616,NA())</f>
        <v>#N/A</v>
      </c>
      <c r="Y614" t="e">
        <f ca="1">IFERROR(计算区域!AA616,NA())</f>
        <v>#N/A</v>
      </c>
    </row>
    <row r="615" spans="1:25" x14ac:dyDescent="0.2">
      <c r="A615" s="28">
        <f>计算区域!E617</f>
        <v>44550</v>
      </c>
      <c r="B615" t="e">
        <f ca="1">IFERROR(计算区域!AJ617,NA())</f>
        <v>#N/A</v>
      </c>
      <c r="C615" t="e">
        <f ca="1">IFERROR(计算区域!AK617,NA())</f>
        <v>#N/A</v>
      </c>
      <c r="D615" t="e">
        <f ca="1">IFERROR(计算区域!AL617,NA())</f>
        <v>#N/A</v>
      </c>
      <c r="E615" t="e">
        <f ca="1">IFERROR(计算区域!AM617,NA())</f>
        <v>#N/A</v>
      </c>
      <c r="G615" t="e">
        <f ca="1">IFERROR(计算区域!AD617,NA())</f>
        <v>#N/A</v>
      </c>
      <c r="H615" t="e">
        <f ca="1">IFERROR(计算区域!AE617,NA())</f>
        <v>#N/A</v>
      </c>
      <c r="I615" t="e">
        <f ca="1">IFERROR(计算区域!AF617,NA())</f>
        <v>#N/A</v>
      </c>
      <c r="J615" t="e">
        <f ca="1">IFERROR(计算区域!AG617,NA())</f>
        <v>#N/A</v>
      </c>
      <c r="L615" t="e">
        <f ca="1">IFERROR(计算区域!L617,NA())</f>
        <v>#N/A</v>
      </c>
      <c r="M615" t="e">
        <f ca="1">IFERROR(计算区域!M617,NA())</f>
        <v>#N/A</v>
      </c>
      <c r="N615" t="e">
        <f ca="1">IFERROR(计算区域!N617,NA())</f>
        <v>#N/A</v>
      </c>
      <c r="O615" t="e">
        <f ca="1">IFERROR(计算区域!O617,NA())</f>
        <v>#N/A</v>
      </c>
      <c r="Q615" t="e">
        <f ca="1">IFERROR(计算区域!R617,NA())</f>
        <v>#N/A</v>
      </c>
      <c r="R615" t="e">
        <f ca="1">IFERROR(计算区域!S617,NA())</f>
        <v>#N/A</v>
      </c>
      <c r="S615" t="e">
        <f ca="1">IFERROR(计算区域!T617,NA())</f>
        <v>#N/A</v>
      </c>
      <c r="T615" t="e">
        <f ca="1">IFERROR(计算区域!U617,NA())</f>
        <v>#N/A</v>
      </c>
      <c r="V615" t="e">
        <f ca="1">IFERROR(计算区域!X617,NA())</f>
        <v>#N/A</v>
      </c>
      <c r="W615" t="e">
        <f ca="1">IFERROR(计算区域!Y617,NA())</f>
        <v>#N/A</v>
      </c>
      <c r="X615" t="e">
        <f ca="1">IFERROR(计算区域!Z617,NA())</f>
        <v>#N/A</v>
      </c>
      <c r="Y615" t="e">
        <f ca="1">IFERROR(计算区域!AA617,NA())</f>
        <v>#N/A</v>
      </c>
    </row>
    <row r="616" spans="1:25" x14ac:dyDescent="0.2">
      <c r="A616" s="28">
        <f>计算区域!E618</f>
        <v>44547</v>
      </c>
      <c r="B616" t="e">
        <f ca="1">IFERROR(计算区域!AJ618,NA())</f>
        <v>#N/A</v>
      </c>
      <c r="C616" t="e">
        <f ca="1">IFERROR(计算区域!AK618,NA())</f>
        <v>#N/A</v>
      </c>
      <c r="D616" t="e">
        <f ca="1">IFERROR(计算区域!AL618,NA())</f>
        <v>#N/A</v>
      </c>
      <c r="E616" t="e">
        <f ca="1">IFERROR(计算区域!AM618,NA())</f>
        <v>#N/A</v>
      </c>
      <c r="G616" t="e">
        <f ca="1">IFERROR(计算区域!AD618,NA())</f>
        <v>#N/A</v>
      </c>
      <c r="H616" t="e">
        <f ca="1">IFERROR(计算区域!AE618,NA())</f>
        <v>#N/A</v>
      </c>
      <c r="I616" t="e">
        <f ca="1">IFERROR(计算区域!AF618,NA())</f>
        <v>#N/A</v>
      </c>
      <c r="J616" t="e">
        <f ca="1">IFERROR(计算区域!AG618,NA())</f>
        <v>#N/A</v>
      </c>
      <c r="L616" t="e">
        <f ca="1">IFERROR(计算区域!L618,NA())</f>
        <v>#N/A</v>
      </c>
      <c r="M616" t="e">
        <f ca="1">IFERROR(计算区域!M618,NA())</f>
        <v>#N/A</v>
      </c>
      <c r="N616" t="e">
        <f ca="1">IFERROR(计算区域!N618,NA())</f>
        <v>#N/A</v>
      </c>
      <c r="O616" t="e">
        <f ca="1">IFERROR(计算区域!O618,NA())</f>
        <v>#N/A</v>
      </c>
      <c r="Q616" t="e">
        <f ca="1">IFERROR(计算区域!R618,NA())</f>
        <v>#N/A</v>
      </c>
      <c r="R616" t="e">
        <f ca="1">IFERROR(计算区域!S618,NA())</f>
        <v>#N/A</v>
      </c>
      <c r="S616" t="e">
        <f ca="1">IFERROR(计算区域!T618,NA())</f>
        <v>#N/A</v>
      </c>
      <c r="T616" t="e">
        <f ca="1">IFERROR(计算区域!U618,NA())</f>
        <v>#N/A</v>
      </c>
      <c r="V616" t="e">
        <f ca="1">IFERROR(计算区域!X618,NA())</f>
        <v>#N/A</v>
      </c>
      <c r="W616" t="e">
        <f ca="1">IFERROR(计算区域!Y618,NA())</f>
        <v>#N/A</v>
      </c>
      <c r="X616" t="e">
        <f ca="1">IFERROR(计算区域!Z618,NA())</f>
        <v>#N/A</v>
      </c>
      <c r="Y616" t="e">
        <f ca="1">IFERROR(计算区域!AA618,NA())</f>
        <v>#N/A</v>
      </c>
    </row>
    <row r="617" spans="1:25" x14ac:dyDescent="0.2">
      <c r="A617" s="28">
        <f>计算区域!E619</f>
        <v>44546</v>
      </c>
      <c r="B617" t="e">
        <f ca="1">IFERROR(计算区域!AJ619,NA())</f>
        <v>#N/A</v>
      </c>
      <c r="C617" t="e">
        <f ca="1">IFERROR(计算区域!AK619,NA())</f>
        <v>#N/A</v>
      </c>
      <c r="D617" t="e">
        <f ca="1">IFERROR(计算区域!AL619,NA())</f>
        <v>#N/A</v>
      </c>
      <c r="E617" t="e">
        <f ca="1">IFERROR(计算区域!AM619,NA())</f>
        <v>#N/A</v>
      </c>
      <c r="G617" t="e">
        <f ca="1">IFERROR(计算区域!AD619,NA())</f>
        <v>#N/A</v>
      </c>
      <c r="H617" t="e">
        <f ca="1">IFERROR(计算区域!AE619,NA())</f>
        <v>#N/A</v>
      </c>
      <c r="I617" t="e">
        <f ca="1">IFERROR(计算区域!AF619,NA())</f>
        <v>#N/A</v>
      </c>
      <c r="J617" t="e">
        <f ca="1">IFERROR(计算区域!AG619,NA())</f>
        <v>#N/A</v>
      </c>
      <c r="L617" t="e">
        <f ca="1">IFERROR(计算区域!L619,NA())</f>
        <v>#N/A</v>
      </c>
      <c r="M617" t="e">
        <f ca="1">IFERROR(计算区域!M619,NA())</f>
        <v>#N/A</v>
      </c>
      <c r="N617" t="e">
        <f ca="1">IFERROR(计算区域!N619,NA())</f>
        <v>#N/A</v>
      </c>
      <c r="O617" t="e">
        <f ca="1">IFERROR(计算区域!O619,NA())</f>
        <v>#N/A</v>
      </c>
      <c r="Q617" t="e">
        <f ca="1">IFERROR(计算区域!R619,NA())</f>
        <v>#N/A</v>
      </c>
      <c r="R617" t="e">
        <f ca="1">IFERROR(计算区域!S619,NA())</f>
        <v>#N/A</v>
      </c>
      <c r="S617" t="e">
        <f ca="1">IFERROR(计算区域!T619,NA())</f>
        <v>#N/A</v>
      </c>
      <c r="T617" t="e">
        <f ca="1">IFERROR(计算区域!U619,NA())</f>
        <v>#N/A</v>
      </c>
      <c r="V617" t="e">
        <f ca="1">IFERROR(计算区域!X619,NA())</f>
        <v>#N/A</v>
      </c>
      <c r="W617" t="e">
        <f ca="1">IFERROR(计算区域!Y619,NA())</f>
        <v>#N/A</v>
      </c>
      <c r="X617" t="e">
        <f ca="1">IFERROR(计算区域!Z619,NA())</f>
        <v>#N/A</v>
      </c>
      <c r="Y617" t="e">
        <f ca="1">IFERROR(计算区域!AA619,NA())</f>
        <v>#N/A</v>
      </c>
    </row>
    <row r="618" spans="1:25" x14ac:dyDescent="0.2">
      <c r="A618" s="28">
        <f>计算区域!E620</f>
        <v>44545</v>
      </c>
      <c r="B618" t="e">
        <f ca="1">IFERROR(计算区域!AJ620,NA())</f>
        <v>#N/A</v>
      </c>
      <c r="C618" t="e">
        <f ca="1">IFERROR(计算区域!AK620,NA())</f>
        <v>#N/A</v>
      </c>
      <c r="D618" t="e">
        <f ca="1">IFERROR(计算区域!AL620,NA())</f>
        <v>#N/A</v>
      </c>
      <c r="E618" t="e">
        <f ca="1">IFERROR(计算区域!AM620,NA())</f>
        <v>#N/A</v>
      </c>
      <c r="G618" t="e">
        <f ca="1">IFERROR(计算区域!AD620,NA())</f>
        <v>#N/A</v>
      </c>
      <c r="H618" t="e">
        <f ca="1">IFERROR(计算区域!AE620,NA())</f>
        <v>#N/A</v>
      </c>
      <c r="I618" t="e">
        <f ca="1">IFERROR(计算区域!AF620,NA())</f>
        <v>#N/A</v>
      </c>
      <c r="J618" t="e">
        <f ca="1">IFERROR(计算区域!AG620,NA())</f>
        <v>#N/A</v>
      </c>
      <c r="L618" t="e">
        <f ca="1">IFERROR(计算区域!L620,NA())</f>
        <v>#N/A</v>
      </c>
      <c r="M618" t="e">
        <f ca="1">IFERROR(计算区域!M620,NA())</f>
        <v>#N/A</v>
      </c>
      <c r="N618" t="e">
        <f ca="1">IFERROR(计算区域!N620,NA())</f>
        <v>#N/A</v>
      </c>
      <c r="O618" t="e">
        <f ca="1">IFERROR(计算区域!O620,NA())</f>
        <v>#N/A</v>
      </c>
      <c r="Q618" t="e">
        <f ca="1">IFERROR(计算区域!R620,NA())</f>
        <v>#N/A</v>
      </c>
      <c r="R618" t="e">
        <f ca="1">IFERROR(计算区域!S620,NA())</f>
        <v>#N/A</v>
      </c>
      <c r="S618" t="e">
        <f ca="1">IFERROR(计算区域!T620,NA())</f>
        <v>#N/A</v>
      </c>
      <c r="T618" t="e">
        <f ca="1">IFERROR(计算区域!U620,NA())</f>
        <v>#N/A</v>
      </c>
      <c r="V618" t="e">
        <f ca="1">IFERROR(计算区域!X620,NA())</f>
        <v>#N/A</v>
      </c>
      <c r="W618" t="e">
        <f ca="1">IFERROR(计算区域!Y620,NA())</f>
        <v>#N/A</v>
      </c>
      <c r="X618" t="e">
        <f ca="1">IFERROR(计算区域!Z620,NA())</f>
        <v>#N/A</v>
      </c>
      <c r="Y618" t="e">
        <f ca="1">IFERROR(计算区域!AA620,NA())</f>
        <v>#N/A</v>
      </c>
    </row>
    <row r="619" spans="1:25" x14ac:dyDescent="0.2">
      <c r="A619" s="28">
        <f>计算区域!E621</f>
        <v>44544</v>
      </c>
      <c r="B619" t="e">
        <f ca="1">IFERROR(计算区域!AJ621,NA())</f>
        <v>#N/A</v>
      </c>
      <c r="C619" t="e">
        <f ca="1">IFERROR(计算区域!AK621,NA())</f>
        <v>#N/A</v>
      </c>
      <c r="D619" t="e">
        <f ca="1">IFERROR(计算区域!AL621,NA())</f>
        <v>#N/A</v>
      </c>
      <c r="E619" t="e">
        <f ca="1">IFERROR(计算区域!AM621,NA())</f>
        <v>#N/A</v>
      </c>
      <c r="G619" t="e">
        <f ca="1">IFERROR(计算区域!AD621,NA())</f>
        <v>#N/A</v>
      </c>
      <c r="H619" t="e">
        <f ca="1">IFERROR(计算区域!AE621,NA())</f>
        <v>#N/A</v>
      </c>
      <c r="I619" t="e">
        <f ca="1">IFERROR(计算区域!AF621,NA())</f>
        <v>#N/A</v>
      </c>
      <c r="J619" t="e">
        <f ca="1">IFERROR(计算区域!AG621,NA())</f>
        <v>#N/A</v>
      </c>
      <c r="L619" t="e">
        <f ca="1">IFERROR(计算区域!L621,NA())</f>
        <v>#N/A</v>
      </c>
      <c r="M619" t="e">
        <f ca="1">IFERROR(计算区域!M621,NA())</f>
        <v>#N/A</v>
      </c>
      <c r="N619" t="e">
        <f ca="1">IFERROR(计算区域!N621,NA())</f>
        <v>#N/A</v>
      </c>
      <c r="O619" t="e">
        <f ca="1">IFERROR(计算区域!O621,NA())</f>
        <v>#N/A</v>
      </c>
      <c r="Q619" t="e">
        <f ca="1">IFERROR(计算区域!R621,NA())</f>
        <v>#N/A</v>
      </c>
      <c r="R619" t="e">
        <f ca="1">IFERROR(计算区域!S621,NA())</f>
        <v>#N/A</v>
      </c>
      <c r="S619" t="e">
        <f ca="1">IFERROR(计算区域!T621,NA())</f>
        <v>#N/A</v>
      </c>
      <c r="T619" t="e">
        <f ca="1">IFERROR(计算区域!U621,NA())</f>
        <v>#N/A</v>
      </c>
      <c r="V619" t="e">
        <f ca="1">IFERROR(计算区域!X621,NA())</f>
        <v>#N/A</v>
      </c>
      <c r="W619" t="e">
        <f ca="1">IFERROR(计算区域!Y621,NA())</f>
        <v>#N/A</v>
      </c>
      <c r="X619" t="e">
        <f ca="1">IFERROR(计算区域!Z621,NA())</f>
        <v>#N/A</v>
      </c>
      <c r="Y619" t="e">
        <f ca="1">IFERROR(计算区域!AA621,NA())</f>
        <v>#N/A</v>
      </c>
    </row>
    <row r="620" spans="1:25" x14ac:dyDescent="0.2">
      <c r="A620" s="28">
        <f>计算区域!E622</f>
        <v>44543</v>
      </c>
      <c r="B620" t="e">
        <f ca="1">IFERROR(计算区域!AJ622,NA())</f>
        <v>#N/A</v>
      </c>
      <c r="C620" t="e">
        <f ca="1">IFERROR(计算区域!AK622,NA())</f>
        <v>#N/A</v>
      </c>
      <c r="D620" t="e">
        <f ca="1">IFERROR(计算区域!AL622,NA())</f>
        <v>#N/A</v>
      </c>
      <c r="E620" t="e">
        <f ca="1">IFERROR(计算区域!AM622,NA())</f>
        <v>#N/A</v>
      </c>
      <c r="G620" t="e">
        <f ca="1">IFERROR(计算区域!AD622,NA())</f>
        <v>#N/A</v>
      </c>
      <c r="H620" t="e">
        <f ca="1">IFERROR(计算区域!AE622,NA())</f>
        <v>#N/A</v>
      </c>
      <c r="I620" t="e">
        <f ca="1">IFERROR(计算区域!AF622,NA())</f>
        <v>#N/A</v>
      </c>
      <c r="J620" t="e">
        <f ca="1">IFERROR(计算区域!AG622,NA())</f>
        <v>#N/A</v>
      </c>
      <c r="L620" t="e">
        <f ca="1">IFERROR(计算区域!L622,NA())</f>
        <v>#N/A</v>
      </c>
      <c r="M620" t="e">
        <f ca="1">IFERROR(计算区域!M622,NA())</f>
        <v>#N/A</v>
      </c>
      <c r="N620" t="e">
        <f ca="1">IFERROR(计算区域!N622,NA())</f>
        <v>#N/A</v>
      </c>
      <c r="O620" t="e">
        <f ca="1">IFERROR(计算区域!O622,NA())</f>
        <v>#N/A</v>
      </c>
      <c r="Q620" t="e">
        <f ca="1">IFERROR(计算区域!R622,NA())</f>
        <v>#N/A</v>
      </c>
      <c r="R620" t="e">
        <f ca="1">IFERROR(计算区域!S622,NA())</f>
        <v>#N/A</v>
      </c>
      <c r="S620" t="e">
        <f ca="1">IFERROR(计算区域!T622,NA())</f>
        <v>#N/A</v>
      </c>
      <c r="T620" t="e">
        <f ca="1">IFERROR(计算区域!U622,NA())</f>
        <v>#N/A</v>
      </c>
      <c r="V620" t="e">
        <f ca="1">IFERROR(计算区域!X622,NA())</f>
        <v>#N/A</v>
      </c>
      <c r="W620" t="e">
        <f ca="1">IFERROR(计算区域!Y622,NA())</f>
        <v>#N/A</v>
      </c>
      <c r="X620" t="e">
        <f ca="1">IFERROR(计算区域!Z622,NA())</f>
        <v>#N/A</v>
      </c>
      <c r="Y620" t="e">
        <f ca="1">IFERROR(计算区域!AA622,NA())</f>
        <v>#N/A</v>
      </c>
    </row>
    <row r="621" spans="1:25" x14ac:dyDescent="0.2">
      <c r="A621" s="28">
        <f>计算区域!E623</f>
        <v>44540</v>
      </c>
      <c r="B621" t="e">
        <f ca="1">IFERROR(计算区域!AJ623,NA())</f>
        <v>#N/A</v>
      </c>
      <c r="C621" t="e">
        <f ca="1">IFERROR(计算区域!AK623,NA())</f>
        <v>#N/A</v>
      </c>
      <c r="D621" t="e">
        <f ca="1">IFERROR(计算区域!AL623,NA())</f>
        <v>#N/A</v>
      </c>
      <c r="E621" t="e">
        <f ca="1">IFERROR(计算区域!AM623,NA())</f>
        <v>#N/A</v>
      </c>
      <c r="G621" t="e">
        <f ca="1">IFERROR(计算区域!AD623,NA())</f>
        <v>#N/A</v>
      </c>
      <c r="H621" t="e">
        <f ca="1">IFERROR(计算区域!AE623,NA())</f>
        <v>#N/A</v>
      </c>
      <c r="I621" t="e">
        <f ca="1">IFERROR(计算区域!AF623,NA())</f>
        <v>#N/A</v>
      </c>
      <c r="J621" t="e">
        <f ca="1">IFERROR(计算区域!AG623,NA())</f>
        <v>#N/A</v>
      </c>
      <c r="L621" t="e">
        <f ca="1">IFERROR(计算区域!L623,NA())</f>
        <v>#N/A</v>
      </c>
      <c r="M621" t="e">
        <f ca="1">IFERROR(计算区域!M623,NA())</f>
        <v>#N/A</v>
      </c>
      <c r="N621" t="e">
        <f ca="1">IFERROR(计算区域!N623,NA())</f>
        <v>#N/A</v>
      </c>
      <c r="O621" t="e">
        <f ca="1">IFERROR(计算区域!O623,NA())</f>
        <v>#N/A</v>
      </c>
      <c r="Q621" t="e">
        <f ca="1">IFERROR(计算区域!R623,NA())</f>
        <v>#N/A</v>
      </c>
      <c r="R621" t="e">
        <f ca="1">IFERROR(计算区域!S623,NA())</f>
        <v>#N/A</v>
      </c>
      <c r="S621" t="e">
        <f ca="1">IFERROR(计算区域!T623,NA())</f>
        <v>#N/A</v>
      </c>
      <c r="T621" t="e">
        <f ca="1">IFERROR(计算区域!U623,NA())</f>
        <v>#N/A</v>
      </c>
      <c r="V621" t="e">
        <f ca="1">IFERROR(计算区域!X623,NA())</f>
        <v>#N/A</v>
      </c>
      <c r="W621" t="e">
        <f ca="1">IFERROR(计算区域!Y623,NA())</f>
        <v>#N/A</v>
      </c>
      <c r="X621" t="e">
        <f ca="1">IFERROR(计算区域!Z623,NA())</f>
        <v>#N/A</v>
      </c>
      <c r="Y621" t="e">
        <f ca="1">IFERROR(计算区域!AA623,NA())</f>
        <v>#N/A</v>
      </c>
    </row>
    <row r="622" spans="1:25" x14ac:dyDescent="0.2">
      <c r="A622" s="28">
        <f>计算区域!E624</f>
        <v>44539</v>
      </c>
      <c r="B622" t="e">
        <f ca="1">IFERROR(计算区域!AJ624,NA())</f>
        <v>#N/A</v>
      </c>
      <c r="C622" t="e">
        <f ca="1">IFERROR(计算区域!AK624,NA())</f>
        <v>#N/A</v>
      </c>
      <c r="D622" t="e">
        <f ca="1">IFERROR(计算区域!AL624,NA())</f>
        <v>#N/A</v>
      </c>
      <c r="E622" t="e">
        <f ca="1">IFERROR(计算区域!AM624,NA())</f>
        <v>#N/A</v>
      </c>
      <c r="G622" t="e">
        <f ca="1">IFERROR(计算区域!AD624,NA())</f>
        <v>#N/A</v>
      </c>
      <c r="H622" t="e">
        <f ca="1">IFERROR(计算区域!AE624,NA())</f>
        <v>#N/A</v>
      </c>
      <c r="I622" t="e">
        <f ca="1">IFERROR(计算区域!AF624,NA())</f>
        <v>#N/A</v>
      </c>
      <c r="J622" t="e">
        <f ca="1">IFERROR(计算区域!AG624,NA())</f>
        <v>#N/A</v>
      </c>
      <c r="L622" t="e">
        <f ca="1">IFERROR(计算区域!L624,NA())</f>
        <v>#N/A</v>
      </c>
      <c r="M622" t="e">
        <f ca="1">IFERROR(计算区域!M624,NA())</f>
        <v>#N/A</v>
      </c>
      <c r="N622" t="e">
        <f ca="1">IFERROR(计算区域!N624,NA())</f>
        <v>#N/A</v>
      </c>
      <c r="O622" t="e">
        <f ca="1">IFERROR(计算区域!O624,NA())</f>
        <v>#N/A</v>
      </c>
      <c r="Q622" t="e">
        <f ca="1">IFERROR(计算区域!R624,NA())</f>
        <v>#N/A</v>
      </c>
      <c r="R622" t="e">
        <f ca="1">IFERROR(计算区域!S624,NA())</f>
        <v>#N/A</v>
      </c>
      <c r="S622" t="e">
        <f ca="1">IFERROR(计算区域!T624,NA())</f>
        <v>#N/A</v>
      </c>
      <c r="T622" t="e">
        <f ca="1">IFERROR(计算区域!U624,NA())</f>
        <v>#N/A</v>
      </c>
      <c r="V622" t="e">
        <f ca="1">IFERROR(计算区域!X624,NA())</f>
        <v>#N/A</v>
      </c>
      <c r="W622" t="e">
        <f ca="1">IFERROR(计算区域!Y624,NA())</f>
        <v>#N/A</v>
      </c>
      <c r="X622" t="e">
        <f ca="1">IFERROR(计算区域!Z624,NA())</f>
        <v>#N/A</v>
      </c>
      <c r="Y622" t="e">
        <f ca="1">IFERROR(计算区域!AA624,NA())</f>
        <v>#N/A</v>
      </c>
    </row>
    <row r="623" spans="1:25" x14ac:dyDescent="0.2">
      <c r="A623" s="28">
        <f>计算区域!E625</f>
        <v>44538</v>
      </c>
      <c r="B623" t="e">
        <f ca="1">IFERROR(计算区域!AJ625,NA())</f>
        <v>#N/A</v>
      </c>
      <c r="C623" t="e">
        <f ca="1">IFERROR(计算区域!AK625,NA())</f>
        <v>#N/A</v>
      </c>
      <c r="D623" t="e">
        <f ca="1">IFERROR(计算区域!AL625,NA())</f>
        <v>#N/A</v>
      </c>
      <c r="E623" t="e">
        <f ca="1">IFERROR(计算区域!AM625,NA())</f>
        <v>#N/A</v>
      </c>
      <c r="G623" t="e">
        <f ca="1">IFERROR(计算区域!AD625,NA())</f>
        <v>#N/A</v>
      </c>
      <c r="H623" t="e">
        <f ca="1">IFERROR(计算区域!AE625,NA())</f>
        <v>#N/A</v>
      </c>
      <c r="I623" t="e">
        <f ca="1">IFERROR(计算区域!AF625,NA())</f>
        <v>#N/A</v>
      </c>
      <c r="J623" t="e">
        <f ca="1">IFERROR(计算区域!AG625,NA())</f>
        <v>#N/A</v>
      </c>
      <c r="L623" t="e">
        <f ca="1">IFERROR(计算区域!L625,NA())</f>
        <v>#N/A</v>
      </c>
      <c r="M623" t="e">
        <f ca="1">IFERROR(计算区域!M625,NA())</f>
        <v>#N/A</v>
      </c>
      <c r="N623" t="e">
        <f ca="1">IFERROR(计算区域!N625,NA())</f>
        <v>#N/A</v>
      </c>
      <c r="O623" t="e">
        <f ca="1">IFERROR(计算区域!O625,NA())</f>
        <v>#N/A</v>
      </c>
      <c r="Q623" t="e">
        <f ca="1">IFERROR(计算区域!R625,NA())</f>
        <v>#N/A</v>
      </c>
      <c r="R623" t="e">
        <f ca="1">IFERROR(计算区域!S625,NA())</f>
        <v>#N/A</v>
      </c>
      <c r="S623" t="e">
        <f ca="1">IFERROR(计算区域!T625,NA())</f>
        <v>#N/A</v>
      </c>
      <c r="T623" t="e">
        <f ca="1">IFERROR(计算区域!U625,NA())</f>
        <v>#N/A</v>
      </c>
      <c r="V623" t="e">
        <f ca="1">IFERROR(计算区域!X625,NA())</f>
        <v>#N/A</v>
      </c>
      <c r="W623" t="e">
        <f ca="1">IFERROR(计算区域!Y625,NA())</f>
        <v>#N/A</v>
      </c>
      <c r="X623" t="e">
        <f ca="1">IFERROR(计算区域!Z625,NA())</f>
        <v>#N/A</v>
      </c>
      <c r="Y623" t="e">
        <f ca="1">IFERROR(计算区域!AA625,NA())</f>
        <v>#N/A</v>
      </c>
    </row>
    <row r="624" spans="1:25" x14ac:dyDescent="0.2">
      <c r="A624" s="28">
        <f>计算区域!E626</f>
        <v>44537</v>
      </c>
      <c r="B624" t="e">
        <f ca="1">IFERROR(计算区域!AJ626,NA())</f>
        <v>#N/A</v>
      </c>
      <c r="C624" t="e">
        <f ca="1">IFERROR(计算区域!AK626,NA())</f>
        <v>#N/A</v>
      </c>
      <c r="D624" t="e">
        <f ca="1">IFERROR(计算区域!AL626,NA())</f>
        <v>#N/A</v>
      </c>
      <c r="E624" t="e">
        <f ca="1">IFERROR(计算区域!AM626,NA())</f>
        <v>#N/A</v>
      </c>
      <c r="G624" t="e">
        <f ca="1">IFERROR(计算区域!AD626,NA())</f>
        <v>#N/A</v>
      </c>
      <c r="H624" t="e">
        <f ca="1">IFERROR(计算区域!AE626,NA())</f>
        <v>#N/A</v>
      </c>
      <c r="I624" t="e">
        <f ca="1">IFERROR(计算区域!AF626,NA())</f>
        <v>#N/A</v>
      </c>
      <c r="J624" t="e">
        <f ca="1">IFERROR(计算区域!AG626,NA())</f>
        <v>#N/A</v>
      </c>
      <c r="L624" t="e">
        <f ca="1">IFERROR(计算区域!L626,NA())</f>
        <v>#N/A</v>
      </c>
      <c r="M624" t="e">
        <f ca="1">IFERROR(计算区域!M626,NA())</f>
        <v>#N/A</v>
      </c>
      <c r="N624" t="e">
        <f ca="1">IFERROR(计算区域!N626,NA())</f>
        <v>#N/A</v>
      </c>
      <c r="O624" t="e">
        <f ca="1">IFERROR(计算区域!O626,NA())</f>
        <v>#N/A</v>
      </c>
      <c r="Q624" t="e">
        <f ca="1">IFERROR(计算区域!R626,NA())</f>
        <v>#N/A</v>
      </c>
      <c r="R624" t="e">
        <f ca="1">IFERROR(计算区域!S626,NA())</f>
        <v>#N/A</v>
      </c>
      <c r="S624" t="e">
        <f ca="1">IFERROR(计算区域!T626,NA())</f>
        <v>#N/A</v>
      </c>
      <c r="T624" t="e">
        <f ca="1">IFERROR(计算区域!U626,NA())</f>
        <v>#N/A</v>
      </c>
      <c r="V624" t="e">
        <f ca="1">IFERROR(计算区域!X626,NA())</f>
        <v>#N/A</v>
      </c>
      <c r="W624" t="e">
        <f ca="1">IFERROR(计算区域!Y626,NA())</f>
        <v>#N/A</v>
      </c>
      <c r="X624" t="e">
        <f ca="1">IFERROR(计算区域!Z626,NA())</f>
        <v>#N/A</v>
      </c>
      <c r="Y624" t="e">
        <f ca="1">IFERROR(计算区域!AA626,NA())</f>
        <v>#N/A</v>
      </c>
    </row>
    <row r="625" spans="1:25" x14ac:dyDescent="0.2">
      <c r="A625" s="28">
        <f>计算区域!E627</f>
        <v>44536</v>
      </c>
      <c r="B625" t="e">
        <f ca="1">IFERROR(计算区域!AJ627,NA())</f>
        <v>#N/A</v>
      </c>
      <c r="C625" t="e">
        <f ca="1">IFERROR(计算区域!AK627,NA())</f>
        <v>#N/A</v>
      </c>
      <c r="D625" t="e">
        <f ca="1">IFERROR(计算区域!AL627,NA())</f>
        <v>#N/A</v>
      </c>
      <c r="E625" t="e">
        <f ca="1">IFERROR(计算区域!AM627,NA())</f>
        <v>#N/A</v>
      </c>
      <c r="G625" t="e">
        <f ca="1">IFERROR(计算区域!AD627,NA())</f>
        <v>#N/A</v>
      </c>
      <c r="H625" t="e">
        <f ca="1">IFERROR(计算区域!AE627,NA())</f>
        <v>#N/A</v>
      </c>
      <c r="I625" t="e">
        <f ca="1">IFERROR(计算区域!AF627,NA())</f>
        <v>#N/A</v>
      </c>
      <c r="J625" t="e">
        <f ca="1">IFERROR(计算区域!AG627,NA())</f>
        <v>#N/A</v>
      </c>
      <c r="L625" t="e">
        <f ca="1">IFERROR(计算区域!L627,NA())</f>
        <v>#N/A</v>
      </c>
      <c r="M625" t="e">
        <f ca="1">IFERROR(计算区域!M627,NA())</f>
        <v>#N/A</v>
      </c>
      <c r="N625" t="e">
        <f ca="1">IFERROR(计算区域!N627,NA())</f>
        <v>#N/A</v>
      </c>
      <c r="O625" t="e">
        <f ca="1">IFERROR(计算区域!O627,NA())</f>
        <v>#N/A</v>
      </c>
      <c r="Q625" t="e">
        <f ca="1">IFERROR(计算区域!R627,NA())</f>
        <v>#N/A</v>
      </c>
      <c r="R625" t="e">
        <f ca="1">IFERROR(计算区域!S627,NA())</f>
        <v>#N/A</v>
      </c>
      <c r="S625" t="e">
        <f ca="1">IFERROR(计算区域!T627,NA())</f>
        <v>#N/A</v>
      </c>
      <c r="T625" t="e">
        <f ca="1">IFERROR(计算区域!U627,NA())</f>
        <v>#N/A</v>
      </c>
      <c r="V625" t="e">
        <f ca="1">IFERROR(计算区域!X627,NA())</f>
        <v>#N/A</v>
      </c>
      <c r="W625" t="e">
        <f ca="1">IFERROR(计算区域!Y627,NA())</f>
        <v>#N/A</v>
      </c>
      <c r="X625" t="e">
        <f ca="1">IFERROR(计算区域!Z627,NA())</f>
        <v>#N/A</v>
      </c>
      <c r="Y625" t="e">
        <f ca="1">IFERROR(计算区域!AA627,NA())</f>
        <v>#N/A</v>
      </c>
    </row>
    <row r="626" spans="1:25" x14ac:dyDescent="0.2">
      <c r="A626" s="28">
        <f>计算区域!E628</f>
        <v>44533</v>
      </c>
      <c r="B626" t="e">
        <f ca="1">IFERROR(计算区域!AJ628,NA())</f>
        <v>#N/A</v>
      </c>
      <c r="C626" t="e">
        <f ca="1">IFERROR(计算区域!AK628,NA())</f>
        <v>#N/A</v>
      </c>
      <c r="D626" t="e">
        <f ca="1">IFERROR(计算区域!AL628,NA())</f>
        <v>#N/A</v>
      </c>
      <c r="E626" t="e">
        <f ca="1">IFERROR(计算区域!AM628,NA())</f>
        <v>#N/A</v>
      </c>
      <c r="G626" t="e">
        <f ca="1">IFERROR(计算区域!AD628,NA())</f>
        <v>#N/A</v>
      </c>
      <c r="H626" t="e">
        <f ca="1">IFERROR(计算区域!AE628,NA())</f>
        <v>#N/A</v>
      </c>
      <c r="I626" t="e">
        <f ca="1">IFERROR(计算区域!AF628,NA())</f>
        <v>#N/A</v>
      </c>
      <c r="J626" t="e">
        <f ca="1">IFERROR(计算区域!AG628,NA())</f>
        <v>#N/A</v>
      </c>
      <c r="L626" t="e">
        <f ca="1">IFERROR(计算区域!L628,NA())</f>
        <v>#N/A</v>
      </c>
      <c r="M626" t="e">
        <f ca="1">IFERROR(计算区域!M628,NA())</f>
        <v>#N/A</v>
      </c>
      <c r="N626" t="e">
        <f ca="1">IFERROR(计算区域!N628,NA())</f>
        <v>#N/A</v>
      </c>
      <c r="O626" t="e">
        <f ca="1">IFERROR(计算区域!O628,NA())</f>
        <v>#N/A</v>
      </c>
      <c r="Q626" t="e">
        <f ca="1">IFERROR(计算区域!R628,NA())</f>
        <v>#N/A</v>
      </c>
      <c r="R626" t="e">
        <f ca="1">IFERROR(计算区域!S628,NA())</f>
        <v>#N/A</v>
      </c>
      <c r="S626" t="e">
        <f ca="1">IFERROR(计算区域!T628,NA())</f>
        <v>#N/A</v>
      </c>
      <c r="T626" t="e">
        <f ca="1">IFERROR(计算区域!U628,NA())</f>
        <v>#N/A</v>
      </c>
      <c r="V626" t="e">
        <f ca="1">IFERROR(计算区域!X628,NA())</f>
        <v>#N/A</v>
      </c>
      <c r="W626" t="e">
        <f ca="1">IFERROR(计算区域!Y628,NA())</f>
        <v>#N/A</v>
      </c>
      <c r="X626" t="e">
        <f ca="1">IFERROR(计算区域!Z628,NA())</f>
        <v>#N/A</v>
      </c>
      <c r="Y626" t="e">
        <f ca="1">IFERROR(计算区域!AA628,NA())</f>
        <v>#N/A</v>
      </c>
    </row>
    <row r="627" spans="1:25" x14ac:dyDescent="0.2">
      <c r="A627" s="28">
        <f>计算区域!E629</f>
        <v>44532</v>
      </c>
      <c r="B627" t="e">
        <f ca="1">IFERROR(计算区域!AJ629,NA())</f>
        <v>#N/A</v>
      </c>
      <c r="C627" t="e">
        <f ca="1">IFERROR(计算区域!AK629,NA())</f>
        <v>#N/A</v>
      </c>
      <c r="D627" t="e">
        <f ca="1">IFERROR(计算区域!AL629,NA())</f>
        <v>#N/A</v>
      </c>
      <c r="E627" t="e">
        <f ca="1">IFERROR(计算区域!AM629,NA())</f>
        <v>#N/A</v>
      </c>
      <c r="G627" t="e">
        <f ca="1">IFERROR(计算区域!AD629,NA())</f>
        <v>#N/A</v>
      </c>
      <c r="H627" t="e">
        <f ca="1">IFERROR(计算区域!AE629,NA())</f>
        <v>#N/A</v>
      </c>
      <c r="I627" t="e">
        <f ca="1">IFERROR(计算区域!AF629,NA())</f>
        <v>#N/A</v>
      </c>
      <c r="J627" t="e">
        <f ca="1">IFERROR(计算区域!AG629,NA())</f>
        <v>#N/A</v>
      </c>
      <c r="L627" t="e">
        <f ca="1">IFERROR(计算区域!L629,NA())</f>
        <v>#N/A</v>
      </c>
      <c r="M627" t="e">
        <f ca="1">IFERROR(计算区域!M629,NA())</f>
        <v>#N/A</v>
      </c>
      <c r="N627" t="e">
        <f ca="1">IFERROR(计算区域!N629,NA())</f>
        <v>#N/A</v>
      </c>
      <c r="O627" t="e">
        <f ca="1">IFERROR(计算区域!O629,NA())</f>
        <v>#N/A</v>
      </c>
      <c r="Q627" t="e">
        <f ca="1">IFERROR(计算区域!R629,NA())</f>
        <v>#N/A</v>
      </c>
      <c r="R627" t="e">
        <f ca="1">IFERROR(计算区域!S629,NA())</f>
        <v>#N/A</v>
      </c>
      <c r="S627" t="e">
        <f ca="1">IFERROR(计算区域!T629,NA())</f>
        <v>#N/A</v>
      </c>
      <c r="T627" t="e">
        <f ca="1">IFERROR(计算区域!U629,NA())</f>
        <v>#N/A</v>
      </c>
      <c r="V627" t="e">
        <f ca="1">IFERROR(计算区域!X629,NA())</f>
        <v>#N/A</v>
      </c>
      <c r="W627" t="e">
        <f ca="1">IFERROR(计算区域!Y629,NA())</f>
        <v>#N/A</v>
      </c>
      <c r="X627" t="e">
        <f ca="1">IFERROR(计算区域!Z629,NA())</f>
        <v>#N/A</v>
      </c>
      <c r="Y627" t="e">
        <f ca="1">IFERROR(计算区域!AA629,NA())</f>
        <v>#N/A</v>
      </c>
    </row>
    <row r="628" spans="1:25" x14ac:dyDescent="0.2">
      <c r="A628" s="28">
        <f>计算区域!E630</f>
        <v>44531</v>
      </c>
      <c r="B628" t="e">
        <f ca="1">IFERROR(计算区域!AJ630,NA())</f>
        <v>#N/A</v>
      </c>
      <c r="C628" t="e">
        <f ca="1">IFERROR(计算区域!AK630,NA())</f>
        <v>#N/A</v>
      </c>
      <c r="D628" t="e">
        <f ca="1">IFERROR(计算区域!AL630,NA())</f>
        <v>#N/A</v>
      </c>
      <c r="E628" t="e">
        <f ca="1">IFERROR(计算区域!AM630,NA())</f>
        <v>#N/A</v>
      </c>
      <c r="G628" t="e">
        <f ca="1">IFERROR(计算区域!AD630,NA())</f>
        <v>#N/A</v>
      </c>
      <c r="H628" t="e">
        <f ca="1">IFERROR(计算区域!AE630,NA())</f>
        <v>#N/A</v>
      </c>
      <c r="I628" t="e">
        <f ca="1">IFERROR(计算区域!AF630,NA())</f>
        <v>#N/A</v>
      </c>
      <c r="J628" t="e">
        <f ca="1">IFERROR(计算区域!AG630,NA())</f>
        <v>#N/A</v>
      </c>
      <c r="L628" t="e">
        <f ca="1">IFERROR(计算区域!L630,NA())</f>
        <v>#N/A</v>
      </c>
      <c r="M628" t="e">
        <f ca="1">IFERROR(计算区域!M630,NA())</f>
        <v>#N/A</v>
      </c>
      <c r="N628" t="e">
        <f ca="1">IFERROR(计算区域!N630,NA())</f>
        <v>#N/A</v>
      </c>
      <c r="O628" t="e">
        <f ca="1">IFERROR(计算区域!O630,NA())</f>
        <v>#N/A</v>
      </c>
      <c r="Q628" t="e">
        <f ca="1">IFERROR(计算区域!R630,NA())</f>
        <v>#N/A</v>
      </c>
      <c r="R628" t="e">
        <f ca="1">IFERROR(计算区域!S630,NA())</f>
        <v>#N/A</v>
      </c>
      <c r="S628" t="e">
        <f ca="1">IFERROR(计算区域!T630,NA())</f>
        <v>#N/A</v>
      </c>
      <c r="T628" t="e">
        <f ca="1">IFERROR(计算区域!U630,NA())</f>
        <v>#N/A</v>
      </c>
      <c r="V628" t="e">
        <f ca="1">IFERROR(计算区域!X630,NA())</f>
        <v>#N/A</v>
      </c>
      <c r="W628" t="e">
        <f ca="1">IFERROR(计算区域!Y630,NA())</f>
        <v>#N/A</v>
      </c>
      <c r="X628" t="e">
        <f ca="1">IFERROR(计算区域!Z630,NA())</f>
        <v>#N/A</v>
      </c>
      <c r="Y628" t="e">
        <f ca="1">IFERROR(计算区域!AA630,NA())</f>
        <v>#N/A</v>
      </c>
    </row>
    <row r="629" spans="1:25" x14ac:dyDescent="0.2">
      <c r="A629" s="28">
        <f>计算区域!E631</f>
        <v>44530</v>
      </c>
      <c r="B629" t="e">
        <f ca="1">IFERROR(计算区域!AJ631,NA())</f>
        <v>#N/A</v>
      </c>
      <c r="C629" t="e">
        <f ca="1">IFERROR(计算区域!AK631,NA())</f>
        <v>#N/A</v>
      </c>
      <c r="D629" t="e">
        <f ca="1">IFERROR(计算区域!AL631,NA())</f>
        <v>#N/A</v>
      </c>
      <c r="E629" t="e">
        <f ca="1">IFERROR(计算区域!AM631,NA())</f>
        <v>#N/A</v>
      </c>
      <c r="G629" t="e">
        <f ca="1">IFERROR(计算区域!AD631,NA())</f>
        <v>#N/A</v>
      </c>
      <c r="H629" t="e">
        <f ca="1">IFERROR(计算区域!AE631,NA())</f>
        <v>#N/A</v>
      </c>
      <c r="I629" t="e">
        <f ca="1">IFERROR(计算区域!AF631,NA())</f>
        <v>#N/A</v>
      </c>
      <c r="J629" t="e">
        <f ca="1">IFERROR(计算区域!AG631,NA())</f>
        <v>#N/A</v>
      </c>
      <c r="L629" t="e">
        <f ca="1">IFERROR(计算区域!L631,NA())</f>
        <v>#N/A</v>
      </c>
      <c r="M629" t="e">
        <f ca="1">IFERROR(计算区域!M631,NA())</f>
        <v>#N/A</v>
      </c>
      <c r="N629" t="e">
        <f ca="1">IFERROR(计算区域!N631,NA())</f>
        <v>#N/A</v>
      </c>
      <c r="O629" t="e">
        <f ca="1">IFERROR(计算区域!O631,NA())</f>
        <v>#N/A</v>
      </c>
      <c r="Q629" t="e">
        <f ca="1">IFERROR(计算区域!R631,NA())</f>
        <v>#N/A</v>
      </c>
      <c r="R629" t="e">
        <f ca="1">IFERROR(计算区域!S631,NA())</f>
        <v>#N/A</v>
      </c>
      <c r="S629" t="e">
        <f ca="1">IFERROR(计算区域!T631,NA())</f>
        <v>#N/A</v>
      </c>
      <c r="T629" t="e">
        <f ca="1">IFERROR(计算区域!U631,NA())</f>
        <v>#N/A</v>
      </c>
      <c r="V629" t="e">
        <f ca="1">IFERROR(计算区域!X631,NA())</f>
        <v>#N/A</v>
      </c>
      <c r="W629" t="e">
        <f ca="1">IFERROR(计算区域!Y631,NA())</f>
        <v>#N/A</v>
      </c>
      <c r="X629" t="e">
        <f ca="1">IFERROR(计算区域!Z631,NA())</f>
        <v>#N/A</v>
      </c>
      <c r="Y629" t="e">
        <f ca="1">IFERROR(计算区域!AA631,NA())</f>
        <v>#N/A</v>
      </c>
    </row>
    <row r="630" spans="1:25" x14ac:dyDescent="0.2">
      <c r="A630" s="28">
        <f>计算区域!E632</f>
        <v>44529</v>
      </c>
      <c r="B630" t="e">
        <f ca="1">IFERROR(计算区域!AJ632,NA())</f>
        <v>#N/A</v>
      </c>
      <c r="C630" t="e">
        <f ca="1">IFERROR(计算区域!AK632,NA())</f>
        <v>#N/A</v>
      </c>
      <c r="D630" t="e">
        <f ca="1">IFERROR(计算区域!AL632,NA())</f>
        <v>#N/A</v>
      </c>
      <c r="E630" t="e">
        <f ca="1">IFERROR(计算区域!AM632,NA())</f>
        <v>#N/A</v>
      </c>
      <c r="G630" t="e">
        <f ca="1">IFERROR(计算区域!AD632,NA())</f>
        <v>#N/A</v>
      </c>
      <c r="H630" t="e">
        <f ca="1">IFERROR(计算区域!AE632,NA())</f>
        <v>#N/A</v>
      </c>
      <c r="I630" t="e">
        <f ca="1">IFERROR(计算区域!AF632,NA())</f>
        <v>#N/A</v>
      </c>
      <c r="J630" t="e">
        <f ca="1">IFERROR(计算区域!AG632,NA())</f>
        <v>#N/A</v>
      </c>
      <c r="L630" t="e">
        <f ca="1">IFERROR(计算区域!L632,NA())</f>
        <v>#N/A</v>
      </c>
      <c r="M630" t="e">
        <f ca="1">IFERROR(计算区域!M632,NA())</f>
        <v>#N/A</v>
      </c>
      <c r="N630" t="e">
        <f ca="1">IFERROR(计算区域!N632,NA())</f>
        <v>#N/A</v>
      </c>
      <c r="O630" t="e">
        <f ca="1">IFERROR(计算区域!O632,NA())</f>
        <v>#N/A</v>
      </c>
      <c r="Q630" t="e">
        <f ca="1">IFERROR(计算区域!R632,NA())</f>
        <v>#N/A</v>
      </c>
      <c r="R630" t="e">
        <f ca="1">IFERROR(计算区域!S632,NA())</f>
        <v>#N/A</v>
      </c>
      <c r="S630" t="e">
        <f ca="1">IFERROR(计算区域!T632,NA())</f>
        <v>#N/A</v>
      </c>
      <c r="T630" t="e">
        <f ca="1">IFERROR(计算区域!U632,NA())</f>
        <v>#N/A</v>
      </c>
      <c r="V630" t="e">
        <f ca="1">IFERROR(计算区域!X632,NA())</f>
        <v>#N/A</v>
      </c>
      <c r="W630" t="e">
        <f ca="1">IFERROR(计算区域!Y632,NA())</f>
        <v>#N/A</v>
      </c>
      <c r="X630" t="e">
        <f ca="1">IFERROR(计算区域!Z632,NA())</f>
        <v>#N/A</v>
      </c>
      <c r="Y630" t="e">
        <f ca="1">IFERROR(计算区域!AA632,NA())</f>
        <v>#N/A</v>
      </c>
    </row>
    <row r="631" spans="1:25" x14ac:dyDescent="0.2">
      <c r="A631" s="28">
        <f>计算区域!E633</f>
        <v>44526</v>
      </c>
      <c r="B631" t="e">
        <f ca="1">IFERROR(计算区域!AJ633,NA())</f>
        <v>#N/A</v>
      </c>
      <c r="C631" t="e">
        <f ca="1">IFERROR(计算区域!AK633,NA())</f>
        <v>#N/A</v>
      </c>
      <c r="D631" t="e">
        <f ca="1">IFERROR(计算区域!AL633,NA())</f>
        <v>#N/A</v>
      </c>
      <c r="E631" t="e">
        <f ca="1">IFERROR(计算区域!AM633,NA())</f>
        <v>#N/A</v>
      </c>
      <c r="G631" t="e">
        <f ca="1">IFERROR(计算区域!AD633,NA())</f>
        <v>#N/A</v>
      </c>
      <c r="H631" t="e">
        <f ca="1">IFERROR(计算区域!AE633,NA())</f>
        <v>#N/A</v>
      </c>
      <c r="I631" t="e">
        <f ca="1">IFERROR(计算区域!AF633,NA())</f>
        <v>#N/A</v>
      </c>
      <c r="J631" t="e">
        <f ca="1">IFERROR(计算区域!AG633,NA())</f>
        <v>#N/A</v>
      </c>
      <c r="L631" t="e">
        <f ca="1">IFERROR(计算区域!L633,NA())</f>
        <v>#N/A</v>
      </c>
      <c r="M631" t="e">
        <f ca="1">IFERROR(计算区域!M633,NA())</f>
        <v>#N/A</v>
      </c>
      <c r="N631" t="e">
        <f ca="1">IFERROR(计算区域!N633,NA())</f>
        <v>#N/A</v>
      </c>
      <c r="O631" t="e">
        <f ca="1">IFERROR(计算区域!O633,NA())</f>
        <v>#N/A</v>
      </c>
      <c r="Q631" t="e">
        <f ca="1">IFERROR(计算区域!R633,NA())</f>
        <v>#N/A</v>
      </c>
      <c r="R631" t="e">
        <f ca="1">IFERROR(计算区域!S633,NA())</f>
        <v>#N/A</v>
      </c>
      <c r="S631" t="e">
        <f ca="1">IFERROR(计算区域!T633,NA())</f>
        <v>#N/A</v>
      </c>
      <c r="T631" t="e">
        <f ca="1">IFERROR(计算区域!U633,NA())</f>
        <v>#N/A</v>
      </c>
      <c r="V631" t="e">
        <f ca="1">IFERROR(计算区域!X633,NA())</f>
        <v>#N/A</v>
      </c>
      <c r="W631" t="e">
        <f ca="1">IFERROR(计算区域!Y633,NA())</f>
        <v>#N/A</v>
      </c>
      <c r="X631" t="e">
        <f ca="1">IFERROR(计算区域!Z633,NA())</f>
        <v>#N/A</v>
      </c>
      <c r="Y631" t="e">
        <f ca="1">IFERROR(计算区域!AA633,NA())</f>
        <v>#N/A</v>
      </c>
    </row>
    <row r="632" spans="1:25" x14ac:dyDescent="0.2">
      <c r="A632" s="28">
        <f>计算区域!E634</f>
        <v>44525</v>
      </c>
      <c r="B632" t="e">
        <f ca="1">IFERROR(计算区域!AJ634,NA())</f>
        <v>#N/A</v>
      </c>
      <c r="C632" t="e">
        <f ca="1">IFERROR(计算区域!AK634,NA())</f>
        <v>#N/A</v>
      </c>
      <c r="D632" t="e">
        <f ca="1">IFERROR(计算区域!AL634,NA())</f>
        <v>#N/A</v>
      </c>
      <c r="E632" t="e">
        <f ca="1">IFERROR(计算区域!AM634,NA())</f>
        <v>#N/A</v>
      </c>
      <c r="G632" t="e">
        <f ca="1">IFERROR(计算区域!AD634,NA())</f>
        <v>#N/A</v>
      </c>
      <c r="H632" t="e">
        <f ca="1">IFERROR(计算区域!AE634,NA())</f>
        <v>#N/A</v>
      </c>
      <c r="I632" t="e">
        <f ca="1">IFERROR(计算区域!AF634,NA())</f>
        <v>#N/A</v>
      </c>
      <c r="J632" t="e">
        <f ca="1">IFERROR(计算区域!AG634,NA())</f>
        <v>#N/A</v>
      </c>
      <c r="L632" t="e">
        <f ca="1">IFERROR(计算区域!L634,NA())</f>
        <v>#N/A</v>
      </c>
      <c r="M632" t="e">
        <f ca="1">IFERROR(计算区域!M634,NA())</f>
        <v>#N/A</v>
      </c>
      <c r="N632" t="e">
        <f ca="1">IFERROR(计算区域!N634,NA())</f>
        <v>#N/A</v>
      </c>
      <c r="O632" t="e">
        <f ca="1">IFERROR(计算区域!O634,NA())</f>
        <v>#N/A</v>
      </c>
      <c r="Q632" t="e">
        <f ca="1">IFERROR(计算区域!R634,NA())</f>
        <v>#N/A</v>
      </c>
      <c r="R632" t="e">
        <f ca="1">IFERROR(计算区域!S634,NA())</f>
        <v>#N/A</v>
      </c>
      <c r="S632" t="e">
        <f ca="1">IFERROR(计算区域!T634,NA())</f>
        <v>#N/A</v>
      </c>
      <c r="T632" t="e">
        <f ca="1">IFERROR(计算区域!U634,NA())</f>
        <v>#N/A</v>
      </c>
      <c r="V632" t="e">
        <f ca="1">IFERROR(计算区域!X634,NA())</f>
        <v>#N/A</v>
      </c>
      <c r="W632" t="e">
        <f ca="1">IFERROR(计算区域!Y634,NA())</f>
        <v>#N/A</v>
      </c>
      <c r="X632" t="e">
        <f ca="1">IFERROR(计算区域!Z634,NA())</f>
        <v>#N/A</v>
      </c>
      <c r="Y632" t="e">
        <f ca="1">IFERROR(计算区域!AA634,NA())</f>
        <v>#N/A</v>
      </c>
    </row>
    <row r="633" spans="1:25" x14ac:dyDescent="0.2">
      <c r="A633" s="28">
        <f>计算区域!E635</f>
        <v>44524</v>
      </c>
      <c r="B633" t="e">
        <f ca="1">IFERROR(计算区域!AJ635,NA())</f>
        <v>#N/A</v>
      </c>
      <c r="C633" t="e">
        <f ca="1">IFERROR(计算区域!AK635,NA())</f>
        <v>#N/A</v>
      </c>
      <c r="D633" t="e">
        <f ca="1">IFERROR(计算区域!AL635,NA())</f>
        <v>#N/A</v>
      </c>
      <c r="E633" t="e">
        <f ca="1">IFERROR(计算区域!AM635,NA())</f>
        <v>#N/A</v>
      </c>
      <c r="G633" t="e">
        <f ca="1">IFERROR(计算区域!AD635,NA())</f>
        <v>#N/A</v>
      </c>
      <c r="H633" t="e">
        <f ca="1">IFERROR(计算区域!AE635,NA())</f>
        <v>#N/A</v>
      </c>
      <c r="I633" t="e">
        <f ca="1">IFERROR(计算区域!AF635,NA())</f>
        <v>#N/A</v>
      </c>
      <c r="J633" t="e">
        <f ca="1">IFERROR(计算区域!AG635,NA())</f>
        <v>#N/A</v>
      </c>
      <c r="L633" t="e">
        <f ca="1">IFERROR(计算区域!L635,NA())</f>
        <v>#N/A</v>
      </c>
      <c r="M633" t="e">
        <f ca="1">IFERROR(计算区域!M635,NA())</f>
        <v>#N/A</v>
      </c>
      <c r="N633" t="e">
        <f ca="1">IFERROR(计算区域!N635,NA())</f>
        <v>#N/A</v>
      </c>
      <c r="O633" t="e">
        <f ca="1">IFERROR(计算区域!O635,NA())</f>
        <v>#N/A</v>
      </c>
      <c r="Q633" t="e">
        <f ca="1">IFERROR(计算区域!R635,NA())</f>
        <v>#N/A</v>
      </c>
      <c r="R633" t="e">
        <f ca="1">IFERROR(计算区域!S635,NA())</f>
        <v>#N/A</v>
      </c>
      <c r="S633" t="e">
        <f ca="1">IFERROR(计算区域!T635,NA())</f>
        <v>#N/A</v>
      </c>
      <c r="T633" t="e">
        <f ca="1">IFERROR(计算区域!U635,NA())</f>
        <v>#N/A</v>
      </c>
      <c r="V633" t="e">
        <f ca="1">IFERROR(计算区域!X635,NA())</f>
        <v>#N/A</v>
      </c>
      <c r="W633" t="e">
        <f ca="1">IFERROR(计算区域!Y635,NA())</f>
        <v>#N/A</v>
      </c>
      <c r="X633" t="e">
        <f ca="1">IFERROR(计算区域!Z635,NA())</f>
        <v>#N/A</v>
      </c>
      <c r="Y633" t="e">
        <f ca="1">IFERROR(计算区域!AA635,NA())</f>
        <v>#N/A</v>
      </c>
    </row>
    <row r="634" spans="1:25" x14ac:dyDescent="0.2">
      <c r="A634" s="28">
        <f>计算区域!E636</f>
        <v>44523</v>
      </c>
      <c r="B634" t="e">
        <f ca="1">IFERROR(计算区域!AJ636,NA())</f>
        <v>#N/A</v>
      </c>
      <c r="C634" t="e">
        <f ca="1">IFERROR(计算区域!AK636,NA())</f>
        <v>#N/A</v>
      </c>
      <c r="D634" t="e">
        <f ca="1">IFERROR(计算区域!AL636,NA())</f>
        <v>#N/A</v>
      </c>
      <c r="E634" t="e">
        <f ca="1">IFERROR(计算区域!AM636,NA())</f>
        <v>#N/A</v>
      </c>
      <c r="G634" t="e">
        <f ca="1">IFERROR(计算区域!AD636,NA())</f>
        <v>#N/A</v>
      </c>
      <c r="H634" t="e">
        <f ca="1">IFERROR(计算区域!AE636,NA())</f>
        <v>#N/A</v>
      </c>
      <c r="I634" t="e">
        <f ca="1">IFERROR(计算区域!AF636,NA())</f>
        <v>#N/A</v>
      </c>
      <c r="J634" t="e">
        <f ca="1">IFERROR(计算区域!AG636,NA())</f>
        <v>#N/A</v>
      </c>
      <c r="L634" t="e">
        <f ca="1">IFERROR(计算区域!L636,NA())</f>
        <v>#N/A</v>
      </c>
      <c r="M634" t="e">
        <f ca="1">IFERROR(计算区域!M636,NA())</f>
        <v>#N/A</v>
      </c>
      <c r="N634" t="e">
        <f ca="1">IFERROR(计算区域!N636,NA())</f>
        <v>#N/A</v>
      </c>
      <c r="O634" t="e">
        <f ca="1">IFERROR(计算区域!O636,NA())</f>
        <v>#N/A</v>
      </c>
      <c r="Q634" t="e">
        <f ca="1">IFERROR(计算区域!R636,NA())</f>
        <v>#N/A</v>
      </c>
      <c r="R634" t="e">
        <f ca="1">IFERROR(计算区域!S636,NA())</f>
        <v>#N/A</v>
      </c>
      <c r="S634" t="e">
        <f ca="1">IFERROR(计算区域!T636,NA())</f>
        <v>#N/A</v>
      </c>
      <c r="T634" t="e">
        <f ca="1">IFERROR(计算区域!U636,NA())</f>
        <v>#N/A</v>
      </c>
      <c r="V634" t="e">
        <f ca="1">IFERROR(计算区域!X636,NA())</f>
        <v>#N/A</v>
      </c>
      <c r="W634" t="e">
        <f ca="1">IFERROR(计算区域!Y636,NA())</f>
        <v>#N/A</v>
      </c>
      <c r="X634" t="e">
        <f ca="1">IFERROR(计算区域!Z636,NA())</f>
        <v>#N/A</v>
      </c>
      <c r="Y634" t="e">
        <f ca="1">IFERROR(计算区域!AA636,NA())</f>
        <v>#N/A</v>
      </c>
    </row>
    <row r="635" spans="1:25" x14ac:dyDescent="0.2">
      <c r="A635" s="28">
        <f>计算区域!E637</f>
        <v>44522</v>
      </c>
      <c r="B635" t="e">
        <f ca="1">IFERROR(计算区域!AJ637,NA())</f>
        <v>#N/A</v>
      </c>
      <c r="C635" t="e">
        <f ca="1">IFERROR(计算区域!AK637,NA())</f>
        <v>#N/A</v>
      </c>
      <c r="D635" t="e">
        <f ca="1">IFERROR(计算区域!AL637,NA())</f>
        <v>#N/A</v>
      </c>
      <c r="E635" t="e">
        <f ca="1">IFERROR(计算区域!AM637,NA())</f>
        <v>#N/A</v>
      </c>
      <c r="G635" t="e">
        <f ca="1">IFERROR(计算区域!AD637,NA())</f>
        <v>#N/A</v>
      </c>
      <c r="H635" t="e">
        <f ca="1">IFERROR(计算区域!AE637,NA())</f>
        <v>#N/A</v>
      </c>
      <c r="I635" t="e">
        <f ca="1">IFERROR(计算区域!AF637,NA())</f>
        <v>#N/A</v>
      </c>
      <c r="J635" t="e">
        <f ca="1">IFERROR(计算区域!AG637,NA())</f>
        <v>#N/A</v>
      </c>
      <c r="L635" t="e">
        <f ca="1">IFERROR(计算区域!L637,NA())</f>
        <v>#N/A</v>
      </c>
      <c r="M635" t="e">
        <f ca="1">IFERROR(计算区域!M637,NA())</f>
        <v>#N/A</v>
      </c>
      <c r="N635" t="e">
        <f ca="1">IFERROR(计算区域!N637,NA())</f>
        <v>#N/A</v>
      </c>
      <c r="O635" t="e">
        <f ca="1">IFERROR(计算区域!O637,NA())</f>
        <v>#N/A</v>
      </c>
      <c r="Q635" t="e">
        <f ca="1">IFERROR(计算区域!R637,NA())</f>
        <v>#N/A</v>
      </c>
      <c r="R635" t="e">
        <f ca="1">IFERROR(计算区域!S637,NA())</f>
        <v>#N/A</v>
      </c>
      <c r="S635" t="e">
        <f ca="1">IFERROR(计算区域!T637,NA())</f>
        <v>#N/A</v>
      </c>
      <c r="T635" t="e">
        <f ca="1">IFERROR(计算区域!U637,NA())</f>
        <v>#N/A</v>
      </c>
      <c r="V635" t="e">
        <f ca="1">IFERROR(计算区域!X637,NA())</f>
        <v>#N/A</v>
      </c>
      <c r="W635" t="e">
        <f ca="1">IFERROR(计算区域!Y637,NA())</f>
        <v>#N/A</v>
      </c>
      <c r="X635" t="e">
        <f ca="1">IFERROR(计算区域!Z637,NA())</f>
        <v>#N/A</v>
      </c>
      <c r="Y635" t="e">
        <f ca="1">IFERROR(计算区域!AA637,NA())</f>
        <v>#N/A</v>
      </c>
    </row>
    <row r="636" spans="1:25" x14ac:dyDescent="0.2">
      <c r="A636" s="28">
        <f>计算区域!E638</f>
        <v>44519</v>
      </c>
      <c r="B636" t="e">
        <f ca="1">IFERROR(计算区域!AJ638,NA())</f>
        <v>#N/A</v>
      </c>
      <c r="C636" t="e">
        <f ca="1">IFERROR(计算区域!AK638,NA())</f>
        <v>#N/A</v>
      </c>
      <c r="D636" t="e">
        <f ca="1">IFERROR(计算区域!AL638,NA())</f>
        <v>#N/A</v>
      </c>
      <c r="E636" t="e">
        <f ca="1">IFERROR(计算区域!AM638,NA())</f>
        <v>#N/A</v>
      </c>
      <c r="G636" t="e">
        <f ca="1">IFERROR(计算区域!AD638,NA())</f>
        <v>#N/A</v>
      </c>
      <c r="H636" t="e">
        <f ca="1">IFERROR(计算区域!AE638,NA())</f>
        <v>#N/A</v>
      </c>
      <c r="I636" t="e">
        <f ca="1">IFERROR(计算区域!AF638,NA())</f>
        <v>#N/A</v>
      </c>
      <c r="J636" t="e">
        <f ca="1">IFERROR(计算区域!AG638,NA())</f>
        <v>#N/A</v>
      </c>
      <c r="L636" t="e">
        <f ca="1">IFERROR(计算区域!L638,NA())</f>
        <v>#N/A</v>
      </c>
      <c r="M636" t="e">
        <f ca="1">IFERROR(计算区域!M638,NA())</f>
        <v>#N/A</v>
      </c>
      <c r="N636" t="e">
        <f ca="1">IFERROR(计算区域!N638,NA())</f>
        <v>#N/A</v>
      </c>
      <c r="O636" t="e">
        <f ca="1">IFERROR(计算区域!O638,NA())</f>
        <v>#N/A</v>
      </c>
      <c r="Q636" t="e">
        <f ca="1">IFERROR(计算区域!R638,NA())</f>
        <v>#N/A</v>
      </c>
      <c r="R636" t="e">
        <f ca="1">IFERROR(计算区域!S638,NA())</f>
        <v>#N/A</v>
      </c>
      <c r="S636" t="e">
        <f ca="1">IFERROR(计算区域!T638,NA())</f>
        <v>#N/A</v>
      </c>
      <c r="T636" t="e">
        <f ca="1">IFERROR(计算区域!U638,NA())</f>
        <v>#N/A</v>
      </c>
      <c r="V636" t="e">
        <f ca="1">IFERROR(计算区域!X638,NA())</f>
        <v>#N/A</v>
      </c>
      <c r="W636" t="e">
        <f ca="1">IFERROR(计算区域!Y638,NA())</f>
        <v>#N/A</v>
      </c>
      <c r="X636" t="e">
        <f ca="1">IFERROR(计算区域!Z638,NA())</f>
        <v>#N/A</v>
      </c>
      <c r="Y636" t="e">
        <f ca="1">IFERROR(计算区域!AA638,NA())</f>
        <v>#N/A</v>
      </c>
    </row>
    <row r="637" spans="1:25" x14ac:dyDescent="0.2">
      <c r="A637" s="28">
        <f>计算区域!E639</f>
        <v>44518</v>
      </c>
      <c r="B637" t="e">
        <f ca="1">IFERROR(计算区域!AJ639,NA())</f>
        <v>#N/A</v>
      </c>
      <c r="C637" t="e">
        <f ca="1">IFERROR(计算区域!AK639,NA())</f>
        <v>#N/A</v>
      </c>
      <c r="D637" t="e">
        <f ca="1">IFERROR(计算区域!AL639,NA())</f>
        <v>#N/A</v>
      </c>
      <c r="E637" t="e">
        <f ca="1">IFERROR(计算区域!AM639,NA())</f>
        <v>#N/A</v>
      </c>
      <c r="G637" t="e">
        <f ca="1">IFERROR(计算区域!AD639,NA())</f>
        <v>#N/A</v>
      </c>
      <c r="H637" t="e">
        <f ca="1">IFERROR(计算区域!AE639,NA())</f>
        <v>#N/A</v>
      </c>
      <c r="I637" t="e">
        <f ca="1">IFERROR(计算区域!AF639,NA())</f>
        <v>#N/A</v>
      </c>
      <c r="J637" t="e">
        <f ca="1">IFERROR(计算区域!AG639,NA())</f>
        <v>#N/A</v>
      </c>
      <c r="L637" t="e">
        <f ca="1">IFERROR(计算区域!L639,NA())</f>
        <v>#N/A</v>
      </c>
      <c r="M637" t="e">
        <f ca="1">IFERROR(计算区域!M639,NA())</f>
        <v>#N/A</v>
      </c>
      <c r="N637" t="e">
        <f ca="1">IFERROR(计算区域!N639,NA())</f>
        <v>#N/A</v>
      </c>
      <c r="O637" t="e">
        <f ca="1">IFERROR(计算区域!O639,NA())</f>
        <v>#N/A</v>
      </c>
      <c r="Q637" t="e">
        <f ca="1">IFERROR(计算区域!R639,NA())</f>
        <v>#N/A</v>
      </c>
      <c r="R637" t="e">
        <f ca="1">IFERROR(计算区域!S639,NA())</f>
        <v>#N/A</v>
      </c>
      <c r="S637" t="e">
        <f ca="1">IFERROR(计算区域!T639,NA())</f>
        <v>#N/A</v>
      </c>
      <c r="T637" t="e">
        <f ca="1">IFERROR(计算区域!U639,NA())</f>
        <v>#N/A</v>
      </c>
      <c r="V637" t="e">
        <f ca="1">IFERROR(计算区域!X639,NA())</f>
        <v>#N/A</v>
      </c>
      <c r="W637" t="e">
        <f ca="1">IFERROR(计算区域!Y639,NA())</f>
        <v>#N/A</v>
      </c>
      <c r="X637" t="e">
        <f ca="1">IFERROR(计算区域!Z639,NA())</f>
        <v>#N/A</v>
      </c>
      <c r="Y637" t="e">
        <f ca="1">IFERROR(计算区域!AA639,NA())</f>
        <v>#N/A</v>
      </c>
    </row>
    <row r="638" spans="1:25" x14ac:dyDescent="0.2">
      <c r="A638" s="28">
        <f>计算区域!E640</f>
        <v>44517</v>
      </c>
      <c r="B638" t="e">
        <f ca="1">IFERROR(计算区域!AJ640,NA())</f>
        <v>#N/A</v>
      </c>
      <c r="C638" t="e">
        <f ca="1">IFERROR(计算区域!AK640,NA())</f>
        <v>#N/A</v>
      </c>
      <c r="D638" t="e">
        <f ca="1">IFERROR(计算区域!AL640,NA())</f>
        <v>#N/A</v>
      </c>
      <c r="E638" t="e">
        <f ca="1">IFERROR(计算区域!AM640,NA())</f>
        <v>#N/A</v>
      </c>
      <c r="G638" t="e">
        <f ca="1">IFERROR(计算区域!AD640,NA())</f>
        <v>#N/A</v>
      </c>
      <c r="H638" t="e">
        <f ca="1">IFERROR(计算区域!AE640,NA())</f>
        <v>#N/A</v>
      </c>
      <c r="I638" t="e">
        <f ca="1">IFERROR(计算区域!AF640,NA())</f>
        <v>#N/A</v>
      </c>
      <c r="J638" t="e">
        <f ca="1">IFERROR(计算区域!AG640,NA())</f>
        <v>#N/A</v>
      </c>
      <c r="L638" t="e">
        <f ca="1">IFERROR(计算区域!L640,NA())</f>
        <v>#N/A</v>
      </c>
      <c r="M638" t="e">
        <f ca="1">IFERROR(计算区域!M640,NA())</f>
        <v>#N/A</v>
      </c>
      <c r="N638" t="e">
        <f ca="1">IFERROR(计算区域!N640,NA())</f>
        <v>#N/A</v>
      </c>
      <c r="O638" t="e">
        <f ca="1">IFERROR(计算区域!O640,NA())</f>
        <v>#N/A</v>
      </c>
      <c r="Q638" t="e">
        <f ca="1">IFERROR(计算区域!R640,NA())</f>
        <v>#N/A</v>
      </c>
      <c r="R638" t="e">
        <f ca="1">IFERROR(计算区域!S640,NA())</f>
        <v>#N/A</v>
      </c>
      <c r="S638" t="e">
        <f ca="1">IFERROR(计算区域!T640,NA())</f>
        <v>#N/A</v>
      </c>
      <c r="T638" t="e">
        <f ca="1">IFERROR(计算区域!U640,NA())</f>
        <v>#N/A</v>
      </c>
      <c r="V638" t="e">
        <f ca="1">IFERROR(计算区域!X640,NA())</f>
        <v>#N/A</v>
      </c>
      <c r="W638" t="e">
        <f ca="1">IFERROR(计算区域!Y640,NA())</f>
        <v>#N/A</v>
      </c>
      <c r="X638" t="e">
        <f ca="1">IFERROR(计算区域!Z640,NA())</f>
        <v>#N/A</v>
      </c>
      <c r="Y638" t="e">
        <f ca="1">IFERROR(计算区域!AA640,NA())</f>
        <v>#N/A</v>
      </c>
    </row>
    <row r="639" spans="1:25" x14ac:dyDescent="0.2">
      <c r="A639" s="28">
        <f>计算区域!E641</f>
        <v>44516</v>
      </c>
      <c r="B639" t="e">
        <f ca="1">IFERROR(计算区域!AJ641,NA())</f>
        <v>#N/A</v>
      </c>
      <c r="C639" t="e">
        <f ca="1">IFERROR(计算区域!AK641,NA())</f>
        <v>#N/A</v>
      </c>
      <c r="D639" t="e">
        <f ca="1">IFERROR(计算区域!AL641,NA())</f>
        <v>#N/A</v>
      </c>
      <c r="E639" t="e">
        <f ca="1">IFERROR(计算区域!AM641,NA())</f>
        <v>#N/A</v>
      </c>
      <c r="G639" t="e">
        <f ca="1">IFERROR(计算区域!AD641,NA())</f>
        <v>#N/A</v>
      </c>
      <c r="H639" t="e">
        <f ca="1">IFERROR(计算区域!AE641,NA())</f>
        <v>#N/A</v>
      </c>
      <c r="I639" t="e">
        <f ca="1">IFERROR(计算区域!AF641,NA())</f>
        <v>#N/A</v>
      </c>
      <c r="J639" t="e">
        <f ca="1">IFERROR(计算区域!AG641,NA())</f>
        <v>#N/A</v>
      </c>
      <c r="L639" t="e">
        <f ca="1">IFERROR(计算区域!L641,NA())</f>
        <v>#N/A</v>
      </c>
      <c r="M639" t="e">
        <f ca="1">IFERROR(计算区域!M641,NA())</f>
        <v>#N/A</v>
      </c>
      <c r="N639" t="e">
        <f ca="1">IFERROR(计算区域!N641,NA())</f>
        <v>#N/A</v>
      </c>
      <c r="O639" t="e">
        <f ca="1">IFERROR(计算区域!O641,NA())</f>
        <v>#N/A</v>
      </c>
      <c r="Q639" t="e">
        <f ca="1">IFERROR(计算区域!R641,NA())</f>
        <v>#N/A</v>
      </c>
      <c r="R639" t="e">
        <f ca="1">IFERROR(计算区域!S641,NA())</f>
        <v>#N/A</v>
      </c>
      <c r="S639" t="e">
        <f ca="1">IFERROR(计算区域!T641,NA())</f>
        <v>#N/A</v>
      </c>
      <c r="T639" t="e">
        <f ca="1">IFERROR(计算区域!U641,NA())</f>
        <v>#N/A</v>
      </c>
      <c r="V639" t="e">
        <f ca="1">IFERROR(计算区域!X641,NA())</f>
        <v>#N/A</v>
      </c>
      <c r="W639" t="e">
        <f ca="1">IFERROR(计算区域!Y641,NA())</f>
        <v>#N/A</v>
      </c>
      <c r="X639" t="e">
        <f ca="1">IFERROR(计算区域!Z641,NA())</f>
        <v>#N/A</v>
      </c>
      <c r="Y639" t="e">
        <f ca="1">IFERROR(计算区域!AA641,NA())</f>
        <v>#N/A</v>
      </c>
    </row>
    <row r="640" spans="1:25" x14ac:dyDescent="0.2">
      <c r="A640" s="28">
        <f>计算区域!E642</f>
        <v>44515</v>
      </c>
      <c r="B640" t="e">
        <f ca="1">IFERROR(计算区域!AJ642,NA())</f>
        <v>#N/A</v>
      </c>
      <c r="C640" t="e">
        <f ca="1">IFERROR(计算区域!AK642,NA())</f>
        <v>#N/A</v>
      </c>
      <c r="D640" t="e">
        <f ca="1">IFERROR(计算区域!AL642,NA())</f>
        <v>#N/A</v>
      </c>
      <c r="E640" t="e">
        <f ca="1">IFERROR(计算区域!AM642,NA())</f>
        <v>#N/A</v>
      </c>
      <c r="G640" t="e">
        <f ca="1">IFERROR(计算区域!AD642,NA())</f>
        <v>#N/A</v>
      </c>
      <c r="H640" t="e">
        <f ca="1">IFERROR(计算区域!AE642,NA())</f>
        <v>#N/A</v>
      </c>
      <c r="I640" t="e">
        <f ca="1">IFERROR(计算区域!AF642,NA())</f>
        <v>#N/A</v>
      </c>
      <c r="J640" t="e">
        <f ca="1">IFERROR(计算区域!AG642,NA())</f>
        <v>#N/A</v>
      </c>
      <c r="L640" t="e">
        <f ca="1">IFERROR(计算区域!L642,NA())</f>
        <v>#N/A</v>
      </c>
      <c r="M640" t="e">
        <f ca="1">IFERROR(计算区域!M642,NA())</f>
        <v>#N/A</v>
      </c>
      <c r="N640" t="e">
        <f ca="1">IFERROR(计算区域!N642,NA())</f>
        <v>#N/A</v>
      </c>
      <c r="O640" t="e">
        <f ca="1">IFERROR(计算区域!O642,NA())</f>
        <v>#N/A</v>
      </c>
      <c r="Q640" t="e">
        <f ca="1">IFERROR(计算区域!R642,NA())</f>
        <v>#N/A</v>
      </c>
      <c r="R640" t="e">
        <f ca="1">IFERROR(计算区域!S642,NA())</f>
        <v>#N/A</v>
      </c>
      <c r="S640" t="e">
        <f ca="1">IFERROR(计算区域!T642,NA())</f>
        <v>#N/A</v>
      </c>
      <c r="T640" t="e">
        <f ca="1">IFERROR(计算区域!U642,NA())</f>
        <v>#N/A</v>
      </c>
      <c r="V640" t="e">
        <f ca="1">IFERROR(计算区域!X642,NA())</f>
        <v>#N/A</v>
      </c>
      <c r="W640" t="e">
        <f ca="1">IFERROR(计算区域!Y642,NA())</f>
        <v>#N/A</v>
      </c>
      <c r="X640" t="e">
        <f ca="1">IFERROR(计算区域!Z642,NA())</f>
        <v>#N/A</v>
      </c>
      <c r="Y640" t="e">
        <f ca="1">IFERROR(计算区域!AA642,NA())</f>
        <v>#N/A</v>
      </c>
    </row>
    <row r="641" spans="1:25" x14ac:dyDescent="0.2">
      <c r="A641" s="28">
        <f>计算区域!E643</f>
        <v>44512</v>
      </c>
      <c r="B641" t="e">
        <f ca="1">IFERROR(计算区域!AJ643,NA())</f>
        <v>#N/A</v>
      </c>
      <c r="C641" t="e">
        <f ca="1">IFERROR(计算区域!AK643,NA())</f>
        <v>#N/A</v>
      </c>
      <c r="D641" t="e">
        <f ca="1">IFERROR(计算区域!AL643,NA())</f>
        <v>#N/A</v>
      </c>
      <c r="E641" t="e">
        <f ca="1">IFERROR(计算区域!AM643,NA())</f>
        <v>#N/A</v>
      </c>
      <c r="G641" t="e">
        <f ca="1">IFERROR(计算区域!AD643,NA())</f>
        <v>#N/A</v>
      </c>
      <c r="H641" t="e">
        <f ca="1">IFERROR(计算区域!AE643,NA())</f>
        <v>#N/A</v>
      </c>
      <c r="I641" t="e">
        <f ca="1">IFERROR(计算区域!AF643,NA())</f>
        <v>#N/A</v>
      </c>
      <c r="J641" t="e">
        <f ca="1">IFERROR(计算区域!AG643,NA())</f>
        <v>#N/A</v>
      </c>
      <c r="L641" t="e">
        <f ca="1">IFERROR(计算区域!L643,NA())</f>
        <v>#N/A</v>
      </c>
      <c r="M641" t="e">
        <f ca="1">IFERROR(计算区域!M643,NA())</f>
        <v>#N/A</v>
      </c>
      <c r="N641" t="e">
        <f ca="1">IFERROR(计算区域!N643,NA())</f>
        <v>#N/A</v>
      </c>
      <c r="O641" t="e">
        <f ca="1">IFERROR(计算区域!O643,NA())</f>
        <v>#N/A</v>
      </c>
      <c r="Q641" t="e">
        <f ca="1">IFERROR(计算区域!R643,NA())</f>
        <v>#N/A</v>
      </c>
      <c r="R641" t="e">
        <f ca="1">IFERROR(计算区域!S643,NA())</f>
        <v>#N/A</v>
      </c>
      <c r="S641" t="e">
        <f ca="1">IFERROR(计算区域!T643,NA())</f>
        <v>#N/A</v>
      </c>
      <c r="T641" t="e">
        <f ca="1">IFERROR(计算区域!U643,NA())</f>
        <v>#N/A</v>
      </c>
      <c r="V641" t="e">
        <f ca="1">IFERROR(计算区域!X643,NA())</f>
        <v>#N/A</v>
      </c>
      <c r="W641" t="e">
        <f ca="1">IFERROR(计算区域!Y643,NA())</f>
        <v>#N/A</v>
      </c>
      <c r="X641" t="e">
        <f ca="1">IFERROR(计算区域!Z643,NA())</f>
        <v>#N/A</v>
      </c>
      <c r="Y641" t="e">
        <f ca="1">IFERROR(计算区域!AA643,NA())</f>
        <v>#N/A</v>
      </c>
    </row>
    <row r="642" spans="1:25" x14ac:dyDescent="0.2">
      <c r="A642" s="28">
        <f>计算区域!E644</f>
        <v>44511</v>
      </c>
      <c r="B642" t="e">
        <f ca="1">IFERROR(计算区域!AJ644,NA())</f>
        <v>#N/A</v>
      </c>
      <c r="C642" t="e">
        <f ca="1">IFERROR(计算区域!AK644,NA())</f>
        <v>#N/A</v>
      </c>
      <c r="D642" t="e">
        <f ca="1">IFERROR(计算区域!AL644,NA())</f>
        <v>#N/A</v>
      </c>
      <c r="E642" t="e">
        <f ca="1">IFERROR(计算区域!AM644,NA())</f>
        <v>#N/A</v>
      </c>
      <c r="G642" t="e">
        <f ca="1">IFERROR(计算区域!AD644,NA())</f>
        <v>#N/A</v>
      </c>
      <c r="H642" t="e">
        <f ca="1">IFERROR(计算区域!AE644,NA())</f>
        <v>#N/A</v>
      </c>
      <c r="I642" t="e">
        <f ca="1">IFERROR(计算区域!AF644,NA())</f>
        <v>#N/A</v>
      </c>
      <c r="J642" t="e">
        <f ca="1">IFERROR(计算区域!AG644,NA())</f>
        <v>#N/A</v>
      </c>
      <c r="L642" t="e">
        <f ca="1">IFERROR(计算区域!L644,NA())</f>
        <v>#N/A</v>
      </c>
      <c r="M642" t="e">
        <f ca="1">IFERROR(计算区域!M644,NA())</f>
        <v>#N/A</v>
      </c>
      <c r="N642" t="e">
        <f ca="1">IFERROR(计算区域!N644,NA())</f>
        <v>#N/A</v>
      </c>
      <c r="O642" t="e">
        <f ca="1">IFERROR(计算区域!O644,NA())</f>
        <v>#N/A</v>
      </c>
      <c r="Q642" t="e">
        <f ca="1">IFERROR(计算区域!R644,NA())</f>
        <v>#N/A</v>
      </c>
      <c r="R642" t="e">
        <f ca="1">IFERROR(计算区域!S644,NA())</f>
        <v>#N/A</v>
      </c>
      <c r="S642" t="e">
        <f ca="1">IFERROR(计算区域!T644,NA())</f>
        <v>#N/A</v>
      </c>
      <c r="T642" t="e">
        <f ca="1">IFERROR(计算区域!U644,NA())</f>
        <v>#N/A</v>
      </c>
      <c r="V642" t="e">
        <f ca="1">IFERROR(计算区域!X644,NA())</f>
        <v>#N/A</v>
      </c>
      <c r="W642" t="e">
        <f ca="1">IFERROR(计算区域!Y644,NA())</f>
        <v>#N/A</v>
      </c>
      <c r="X642" t="e">
        <f ca="1">IFERROR(计算区域!Z644,NA())</f>
        <v>#N/A</v>
      </c>
      <c r="Y642" t="e">
        <f ca="1">IFERROR(计算区域!AA644,NA())</f>
        <v>#N/A</v>
      </c>
    </row>
    <row r="643" spans="1:25" x14ac:dyDescent="0.2">
      <c r="A643" s="28">
        <f>计算区域!E645</f>
        <v>44510</v>
      </c>
      <c r="B643" t="e">
        <f ca="1">IFERROR(计算区域!AJ645,NA())</f>
        <v>#N/A</v>
      </c>
      <c r="C643" t="e">
        <f ca="1">IFERROR(计算区域!AK645,NA())</f>
        <v>#N/A</v>
      </c>
      <c r="D643" t="e">
        <f ca="1">IFERROR(计算区域!AL645,NA())</f>
        <v>#N/A</v>
      </c>
      <c r="E643" t="e">
        <f ca="1">IFERROR(计算区域!AM645,NA())</f>
        <v>#N/A</v>
      </c>
      <c r="G643" t="e">
        <f ca="1">IFERROR(计算区域!AD645,NA())</f>
        <v>#N/A</v>
      </c>
      <c r="H643" t="e">
        <f ca="1">IFERROR(计算区域!AE645,NA())</f>
        <v>#N/A</v>
      </c>
      <c r="I643" t="e">
        <f ca="1">IFERROR(计算区域!AF645,NA())</f>
        <v>#N/A</v>
      </c>
      <c r="J643" t="e">
        <f ca="1">IFERROR(计算区域!AG645,NA())</f>
        <v>#N/A</v>
      </c>
      <c r="L643" t="e">
        <f ca="1">IFERROR(计算区域!L645,NA())</f>
        <v>#N/A</v>
      </c>
      <c r="M643" t="e">
        <f ca="1">IFERROR(计算区域!M645,NA())</f>
        <v>#N/A</v>
      </c>
      <c r="N643" t="e">
        <f ca="1">IFERROR(计算区域!N645,NA())</f>
        <v>#N/A</v>
      </c>
      <c r="O643" t="e">
        <f ca="1">IFERROR(计算区域!O645,NA())</f>
        <v>#N/A</v>
      </c>
      <c r="Q643" t="e">
        <f ca="1">IFERROR(计算区域!R645,NA())</f>
        <v>#N/A</v>
      </c>
      <c r="R643" t="e">
        <f ca="1">IFERROR(计算区域!S645,NA())</f>
        <v>#N/A</v>
      </c>
      <c r="S643" t="e">
        <f ca="1">IFERROR(计算区域!T645,NA())</f>
        <v>#N/A</v>
      </c>
      <c r="T643" t="e">
        <f ca="1">IFERROR(计算区域!U645,NA())</f>
        <v>#N/A</v>
      </c>
      <c r="V643" t="e">
        <f ca="1">IFERROR(计算区域!X645,NA())</f>
        <v>#N/A</v>
      </c>
      <c r="W643" t="e">
        <f ca="1">IFERROR(计算区域!Y645,NA())</f>
        <v>#N/A</v>
      </c>
      <c r="X643" t="e">
        <f ca="1">IFERROR(计算区域!Z645,NA())</f>
        <v>#N/A</v>
      </c>
      <c r="Y643" t="e">
        <f ca="1">IFERROR(计算区域!AA645,NA())</f>
        <v>#N/A</v>
      </c>
    </row>
    <row r="644" spans="1:25" x14ac:dyDescent="0.2">
      <c r="A644" s="28">
        <f>计算区域!E646</f>
        <v>44509</v>
      </c>
      <c r="B644" t="e">
        <f ca="1">IFERROR(计算区域!AJ646,NA())</f>
        <v>#N/A</v>
      </c>
      <c r="C644" t="e">
        <f ca="1">IFERROR(计算区域!AK646,NA())</f>
        <v>#N/A</v>
      </c>
      <c r="D644" t="e">
        <f ca="1">IFERROR(计算区域!AL646,NA())</f>
        <v>#N/A</v>
      </c>
      <c r="E644" t="e">
        <f ca="1">IFERROR(计算区域!AM646,NA())</f>
        <v>#N/A</v>
      </c>
      <c r="G644" t="e">
        <f ca="1">IFERROR(计算区域!AD646,NA())</f>
        <v>#N/A</v>
      </c>
      <c r="H644" t="e">
        <f ca="1">IFERROR(计算区域!AE646,NA())</f>
        <v>#N/A</v>
      </c>
      <c r="I644" t="e">
        <f ca="1">IFERROR(计算区域!AF646,NA())</f>
        <v>#N/A</v>
      </c>
      <c r="J644" t="e">
        <f ca="1">IFERROR(计算区域!AG646,NA())</f>
        <v>#N/A</v>
      </c>
      <c r="L644" t="e">
        <f ca="1">IFERROR(计算区域!L646,NA())</f>
        <v>#N/A</v>
      </c>
      <c r="M644" t="e">
        <f ca="1">IFERROR(计算区域!M646,NA())</f>
        <v>#N/A</v>
      </c>
      <c r="N644" t="e">
        <f ca="1">IFERROR(计算区域!N646,NA())</f>
        <v>#N/A</v>
      </c>
      <c r="O644" t="e">
        <f ca="1">IFERROR(计算区域!O646,NA())</f>
        <v>#N/A</v>
      </c>
      <c r="Q644" t="e">
        <f ca="1">IFERROR(计算区域!R646,NA())</f>
        <v>#N/A</v>
      </c>
      <c r="R644" t="e">
        <f ca="1">IFERROR(计算区域!S646,NA())</f>
        <v>#N/A</v>
      </c>
      <c r="S644" t="e">
        <f ca="1">IFERROR(计算区域!T646,NA())</f>
        <v>#N/A</v>
      </c>
      <c r="T644" t="e">
        <f ca="1">IFERROR(计算区域!U646,NA())</f>
        <v>#N/A</v>
      </c>
      <c r="V644" t="e">
        <f ca="1">IFERROR(计算区域!X646,NA())</f>
        <v>#N/A</v>
      </c>
      <c r="W644" t="e">
        <f ca="1">IFERROR(计算区域!Y646,NA())</f>
        <v>#N/A</v>
      </c>
      <c r="X644" t="e">
        <f ca="1">IFERROR(计算区域!Z646,NA())</f>
        <v>#N/A</v>
      </c>
      <c r="Y644" t="e">
        <f ca="1">IFERROR(计算区域!AA646,NA())</f>
        <v>#N/A</v>
      </c>
    </row>
    <row r="645" spans="1:25" x14ac:dyDescent="0.2">
      <c r="A645" s="28">
        <f>计算区域!E647</f>
        <v>44508</v>
      </c>
      <c r="B645" t="e">
        <f ca="1">IFERROR(计算区域!AJ647,NA())</f>
        <v>#N/A</v>
      </c>
      <c r="C645" t="e">
        <f ca="1">IFERROR(计算区域!AK647,NA())</f>
        <v>#N/A</v>
      </c>
      <c r="D645" t="e">
        <f ca="1">IFERROR(计算区域!AL647,NA())</f>
        <v>#N/A</v>
      </c>
      <c r="E645" t="e">
        <f ca="1">IFERROR(计算区域!AM647,NA())</f>
        <v>#N/A</v>
      </c>
      <c r="G645" t="e">
        <f ca="1">IFERROR(计算区域!AD647,NA())</f>
        <v>#N/A</v>
      </c>
      <c r="H645" t="e">
        <f ca="1">IFERROR(计算区域!AE647,NA())</f>
        <v>#N/A</v>
      </c>
      <c r="I645" t="e">
        <f ca="1">IFERROR(计算区域!AF647,NA())</f>
        <v>#N/A</v>
      </c>
      <c r="J645" t="e">
        <f ca="1">IFERROR(计算区域!AG647,NA())</f>
        <v>#N/A</v>
      </c>
      <c r="L645" t="e">
        <f ca="1">IFERROR(计算区域!L647,NA())</f>
        <v>#N/A</v>
      </c>
      <c r="M645" t="e">
        <f ca="1">IFERROR(计算区域!M647,NA())</f>
        <v>#N/A</v>
      </c>
      <c r="N645" t="e">
        <f ca="1">IFERROR(计算区域!N647,NA())</f>
        <v>#N/A</v>
      </c>
      <c r="O645" t="e">
        <f ca="1">IFERROR(计算区域!O647,NA())</f>
        <v>#N/A</v>
      </c>
      <c r="Q645" t="e">
        <f ca="1">IFERROR(计算区域!R647,NA())</f>
        <v>#N/A</v>
      </c>
      <c r="R645" t="e">
        <f ca="1">IFERROR(计算区域!S647,NA())</f>
        <v>#N/A</v>
      </c>
      <c r="S645" t="e">
        <f ca="1">IFERROR(计算区域!T647,NA())</f>
        <v>#N/A</v>
      </c>
      <c r="T645" t="e">
        <f ca="1">IFERROR(计算区域!U647,NA())</f>
        <v>#N/A</v>
      </c>
      <c r="V645" t="e">
        <f ca="1">IFERROR(计算区域!X647,NA())</f>
        <v>#N/A</v>
      </c>
      <c r="W645" t="e">
        <f ca="1">IFERROR(计算区域!Y647,NA())</f>
        <v>#N/A</v>
      </c>
      <c r="X645" t="e">
        <f ca="1">IFERROR(计算区域!Z647,NA())</f>
        <v>#N/A</v>
      </c>
      <c r="Y645" t="e">
        <f ca="1">IFERROR(计算区域!AA647,NA())</f>
        <v>#N/A</v>
      </c>
    </row>
    <row r="646" spans="1:25" x14ac:dyDescent="0.2">
      <c r="A646" s="28">
        <f>计算区域!E648</f>
        <v>44505</v>
      </c>
      <c r="B646" t="e">
        <f ca="1">IFERROR(计算区域!AJ648,NA())</f>
        <v>#N/A</v>
      </c>
      <c r="C646" t="e">
        <f ca="1">IFERROR(计算区域!AK648,NA())</f>
        <v>#N/A</v>
      </c>
      <c r="D646" t="e">
        <f ca="1">IFERROR(计算区域!AL648,NA())</f>
        <v>#N/A</v>
      </c>
      <c r="E646" t="e">
        <f ca="1">IFERROR(计算区域!AM648,NA())</f>
        <v>#N/A</v>
      </c>
      <c r="G646" t="e">
        <f ca="1">IFERROR(计算区域!AD648,NA())</f>
        <v>#N/A</v>
      </c>
      <c r="H646" t="e">
        <f ca="1">IFERROR(计算区域!AE648,NA())</f>
        <v>#N/A</v>
      </c>
      <c r="I646" t="e">
        <f ca="1">IFERROR(计算区域!AF648,NA())</f>
        <v>#N/A</v>
      </c>
      <c r="J646" t="e">
        <f ca="1">IFERROR(计算区域!AG648,NA())</f>
        <v>#N/A</v>
      </c>
      <c r="L646" t="e">
        <f ca="1">IFERROR(计算区域!L648,NA())</f>
        <v>#N/A</v>
      </c>
      <c r="M646" t="e">
        <f ca="1">IFERROR(计算区域!M648,NA())</f>
        <v>#N/A</v>
      </c>
      <c r="N646" t="e">
        <f ca="1">IFERROR(计算区域!N648,NA())</f>
        <v>#N/A</v>
      </c>
      <c r="O646" t="e">
        <f ca="1">IFERROR(计算区域!O648,NA())</f>
        <v>#N/A</v>
      </c>
      <c r="Q646" t="e">
        <f ca="1">IFERROR(计算区域!R648,NA())</f>
        <v>#N/A</v>
      </c>
      <c r="R646" t="e">
        <f ca="1">IFERROR(计算区域!S648,NA())</f>
        <v>#N/A</v>
      </c>
      <c r="S646" t="e">
        <f ca="1">IFERROR(计算区域!T648,NA())</f>
        <v>#N/A</v>
      </c>
      <c r="T646" t="e">
        <f ca="1">IFERROR(计算区域!U648,NA())</f>
        <v>#N/A</v>
      </c>
      <c r="V646" t="e">
        <f ca="1">IFERROR(计算区域!X648,NA())</f>
        <v>#N/A</v>
      </c>
      <c r="W646" t="e">
        <f ca="1">IFERROR(计算区域!Y648,NA())</f>
        <v>#N/A</v>
      </c>
      <c r="X646" t="e">
        <f ca="1">IFERROR(计算区域!Z648,NA())</f>
        <v>#N/A</v>
      </c>
      <c r="Y646" t="e">
        <f ca="1">IFERROR(计算区域!AA648,NA())</f>
        <v>#N/A</v>
      </c>
    </row>
    <row r="647" spans="1:25" x14ac:dyDescent="0.2">
      <c r="A647" s="28">
        <f>计算区域!E649</f>
        <v>44504</v>
      </c>
      <c r="B647" t="e">
        <f ca="1">IFERROR(计算区域!AJ649,NA())</f>
        <v>#N/A</v>
      </c>
      <c r="C647" t="e">
        <f ca="1">IFERROR(计算区域!AK649,NA())</f>
        <v>#N/A</v>
      </c>
      <c r="D647" t="e">
        <f ca="1">IFERROR(计算区域!AL649,NA())</f>
        <v>#N/A</v>
      </c>
      <c r="E647" t="e">
        <f ca="1">IFERROR(计算区域!AM649,NA())</f>
        <v>#N/A</v>
      </c>
      <c r="G647" t="e">
        <f ca="1">IFERROR(计算区域!AD649,NA())</f>
        <v>#N/A</v>
      </c>
      <c r="H647" t="e">
        <f ca="1">IFERROR(计算区域!AE649,NA())</f>
        <v>#N/A</v>
      </c>
      <c r="I647" t="e">
        <f ca="1">IFERROR(计算区域!AF649,NA())</f>
        <v>#N/A</v>
      </c>
      <c r="J647" t="e">
        <f ca="1">IFERROR(计算区域!AG649,NA())</f>
        <v>#N/A</v>
      </c>
      <c r="L647" t="e">
        <f ca="1">IFERROR(计算区域!L649,NA())</f>
        <v>#N/A</v>
      </c>
      <c r="M647" t="e">
        <f ca="1">IFERROR(计算区域!M649,NA())</f>
        <v>#N/A</v>
      </c>
      <c r="N647" t="e">
        <f ca="1">IFERROR(计算区域!N649,NA())</f>
        <v>#N/A</v>
      </c>
      <c r="O647" t="e">
        <f ca="1">IFERROR(计算区域!O649,NA())</f>
        <v>#N/A</v>
      </c>
      <c r="Q647" t="e">
        <f ca="1">IFERROR(计算区域!R649,NA())</f>
        <v>#N/A</v>
      </c>
      <c r="R647" t="e">
        <f ca="1">IFERROR(计算区域!S649,NA())</f>
        <v>#N/A</v>
      </c>
      <c r="S647" t="e">
        <f ca="1">IFERROR(计算区域!T649,NA())</f>
        <v>#N/A</v>
      </c>
      <c r="T647" t="e">
        <f ca="1">IFERROR(计算区域!U649,NA())</f>
        <v>#N/A</v>
      </c>
      <c r="V647" t="e">
        <f ca="1">IFERROR(计算区域!X649,NA())</f>
        <v>#N/A</v>
      </c>
      <c r="W647" t="e">
        <f ca="1">IFERROR(计算区域!Y649,NA())</f>
        <v>#N/A</v>
      </c>
      <c r="X647" t="e">
        <f ca="1">IFERROR(计算区域!Z649,NA())</f>
        <v>#N/A</v>
      </c>
      <c r="Y647" t="e">
        <f ca="1">IFERROR(计算区域!AA649,NA())</f>
        <v>#N/A</v>
      </c>
    </row>
    <row r="648" spans="1:25" x14ac:dyDescent="0.2">
      <c r="A648" s="28">
        <f>计算区域!E650</f>
        <v>44503</v>
      </c>
      <c r="B648" t="e">
        <f ca="1">IFERROR(计算区域!AJ650,NA())</f>
        <v>#N/A</v>
      </c>
      <c r="C648" t="e">
        <f ca="1">IFERROR(计算区域!AK650,NA())</f>
        <v>#N/A</v>
      </c>
      <c r="D648" t="e">
        <f ca="1">IFERROR(计算区域!AL650,NA())</f>
        <v>#N/A</v>
      </c>
      <c r="E648" t="e">
        <f ca="1">IFERROR(计算区域!AM650,NA())</f>
        <v>#N/A</v>
      </c>
      <c r="G648" t="e">
        <f ca="1">IFERROR(计算区域!AD650,NA())</f>
        <v>#N/A</v>
      </c>
      <c r="H648" t="e">
        <f ca="1">IFERROR(计算区域!AE650,NA())</f>
        <v>#N/A</v>
      </c>
      <c r="I648" t="e">
        <f ca="1">IFERROR(计算区域!AF650,NA())</f>
        <v>#N/A</v>
      </c>
      <c r="J648" t="e">
        <f ca="1">IFERROR(计算区域!AG650,NA())</f>
        <v>#N/A</v>
      </c>
      <c r="L648" t="e">
        <f ca="1">IFERROR(计算区域!L650,NA())</f>
        <v>#N/A</v>
      </c>
      <c r="M648" t="e">
        <f ca="1">IFERROR(计算区域!M650,NA())</f>
        <v>#N/A</v>
      </c>
      <c r="N648" t="e">
        <f ca="1">IFERROR(计算区域!N650,NA())</f>
        <v>#N/A</v>
      </c>
      <c r="O648" t="e">
        <f ca="1">IFERROR(计算区域!O650,NA())</f>
        <v>#N/A</v>
      </c>
      <c r="Q648" t="e">
        <f ca="1">IFERROR(计算区域!R650,NA())</f>
        <v>#N/A</v>
      </c>
      <c r="R648" t="e">
        <f ca="1">IFERROR(计算区域!S650,NA())</f>
        <v>#N/A</v>
      </c>
      <c r="S648" t="e">
        <f ca="1">IFERROR(计算区域!T650,NA())</f>
        <v>#N/A</v>
      </c>
      <c r="T648" t="e">
        <f ca="1">IFERROR(计算区域!U650,NA())</f>
        <v>#N/A</v>
      </c>
      <c r="V648" t="e">
        <f ca="1">IFERROR(计算区域!X650,NA())</f>
        <v>#N/A</v>
      </c>
      <c r="W648" t="e">
        <f ca="1">IFERROR(计算区域!Y650,NA())</f>
        <v>#N/A</v>
      </c>
      <c r="X648" t="e">
        <f ca="1">IFERROR(计算区域!Z650,NA())</f>
        <v>#N/A</v>
      </c>
      <c r="Y648" t="e">
        <f ca="1">IFERROR(计算区域!AA650,NA())</f>
        <v>#N/A</v>
      </c>
    </row>
    <row r="649" spans="1:25" x14ac:dyDescent="0.2">
      <c r="A649" s="28">
        <f>计算区域!E651</f>
        <v>44502</v>
      </c>
      <c r="B649" t="e">
        <f ca="1">IFERROR(计算区域!AJ651,NA())</f>
        <v>#N/A</v>
      </c>
      <c r="C649" t="e">
        <f ca="1">IFERROR(计算区域!AK651,NA())</f>
        <v>#N/A</v>
      </c>
      <c r="D649" t="e">
        <f ca="1">IFERROR(计算区域!AL651,NA())</f>
        <v>#N/A</v>
      </c>
      <c r="E649" t="e">
        <f ca="1">IFERROR(计算区域!AM651,NA())</f>
        <v>#N/A</v>
      </c>
      <c r="G649" t="e">
        <f ca="1">IFERROR(计算区域!AD651,NA())</f>
        <v>#N/A</v>
      </c>
      <c r="H649" t="e">
        <f ca="1">IFERROR(计算区域!AE651,NA())</f>
        <v>#N/A</v>
      </c>
      <c r="I649" t="e">
        <f ca="1">IFERROR(计算区域!AF651,NA())</f>
        <v>#N/A</v>
      </c>
      <c r="J649" t="e">
        <f ca="1">IFERROR(计算区域!AG651,NA())</f>
        <v>#N/A</v>
      </c>
      <c r="L649" t="e">
        <f ca="1">IFERROR(计算区域!L651,NA())</f>
        <v>#N/A</v>
      </c>
      <c r="M649" t="e">
        <f ca="1">IFERROR(计算区域!M651,NA())</f>
        <v>#N/A</v>
      </c>
      <c r="N649" t="e">
        <f ca="1">IFERROR(计算区域!N651,NA())</f>
        <v>#N/A</v>
      </c>
      <c r="O649" t="e">
        <f ca="1">IFERROR(计算区域!O651,NA())</f>
        <v>#N/A</v>
      </c>
      <c r="Q649" t="e">
        <f ca="1">IFERROR(计算区域!R651,NA())</f>
        <v>#N/A</v>
      </c>
      <c r="R649" t="e">
        <f ca="1">IFERROR(计算区域!S651,NA())</f>
        <v>#N/A</v>
      </c>
      <c r="S649" t="e">
        <f ca="1">IFERROR(计算区域!T651,NA())</f>
        <v>#N/A</v>
      </c>
      <c r="T649" t="e">
        <f ca="1">IFERROR(计算区域!U651,NA())</f>
        <v>#N/A</v>
      </c>
      <c r="V649" t="e">
        <f ca="1">IFERROR(计算区域!X651,NA())</f>
        <v>#N/A</v>
      </c>
      <c r="W649" t="e">
        <f ca="1">IFERROR(计算区域!Y651,NA())</f>
        <v>#N/A</v>
      </c>
      <c r="X649" t="e">
        <f ca="1">IFERROR(计算区域!Z651,NA())</f>
        <v>#N/A</v>
      </c>
      <c r="Y649" t="e">
        <f ca="1">IFERROR(计算区域!AA651,NA())</f>
        <v>#N/A</v>
      </c>
    </row>
    <row r="650" spans="1:25" x14ac:dyDescent="0.2">
      <c r="A650" s="28">
        <f>计算区域!E652</f>
        <v>44501</v>
      </c>
      <c r="B650" t="e">
        <f ca="1">IFERROR(计算区域!AJ652,NA())</f>
        <v>#N/A</v>
      </c>
      <c r="C650" t="e">
        <f ca="1">IFERROR(计算区域!AK652,NA())</f>
        <v>#N/A</v>
      </c>
      <c r="D650" t="e">
        <f ca="1">IFERROR(计算区域!AL652,NA())</f>
        <v>#N/A</v>
      </c>
      <c r="E650" t="e">
        <f ca="1">IFERROR(计算区域!AM652,NA())</f>
        <v>#N/A</v>
      </c>
      <c r="G650" t="e">
        <f ca="1">IFERROR(计算区域!AD652,NA())</f>
        <v>#N/A</v>
      </c>
      <c r="H650" t="e">
        <f ca="1">IFERROR(计算区域!AE652,NA())</f>
        <v>#N/A</v>
      </c>
      <c r="I650" t="e">
        <f ca="1">IFERROR(计算区域!AF652,NA())</f>
        <v>#N/A</v>
      </c>
      <c r="J650" t="e">
        <f ca="1">IFERROR(计算区域!AG652,NA())</f>
        <v>#N/A</v>
      </c>
      <c r="L650" t="e">
        <f ca="1">IFERROR(计算区域!L652,NA())</f>
        <v>#N/A</v>
      </c>
      <c r="M650" t="e">
        <f ca="1">IFERROR(计算区域!M652,NA())</f>
        <v>#N/A</v>
      </c>
      <c r="N650" t="e">
        <f ca="1">IFERROR(计算区域!N652,NA())</f>
        <v>#N/A</v>
      </c>
      <c r="O650" t="e">
        <f ca="1">IFERROR(计算区域!O652,NA())</f>
        <v>#N/A</v>
      </c>
      <c r="Q650" t="e">
        <f ca="1">IFERROR(计算区域!R652,NA())</f>
        <v>#N/A</v>
      </c>
      <c r="R650" t="e">
        <f ca="1">IFERROR(计算区域!S652,NA())</f>
        <v>#N/A</v>
      </c>
      <c r="S650" t="e">
        <f ca="1">IFERROR(计算区域!T652,NA())</f>
        <v>#N/A</v>
      </c>
      <c r="T650" t="e">
        <f ca="1">IFERROR(计算区域!U652,NA())</f>
        <v>#N/A</v>
      </c>
      <c r="V650" t="e">
        <f ca="1">IFERROR(计算区域!X652,NA())</f>
        <v>#N/A</v>
      </c>
      <c r="W650" t="e">
        <f ca="1">IFERROR(计算区域!Y652,NA())</f>
        <v>#N/A</v>
      </c>
      <c r="X650" t="e">
        <f ca="1">IFERROR(计算区域!Z652,NA())</f>
        <v>#N/A</v>
      </c>
      <c r="Y650" t="e">
        <f ca="1">IFERROR(计算区域!AA652,NA())</f>
        <v>#N/A</v>
      </c>
    </row>
    <row r="651" spans="1:25" x14ac:dyDescent="0.2">
      <c r="A651" s="28">
        <f>计算区域!E653</f>
        <v>44498</v>
      </c>
      <c r="B651" t="e">
        <f ca="1">IFERROR(计算区域!AJ653,NA())</f>
        <v>#N/A</v>
      </c>
      <c r="C651" t="e">
        <f ca="1">IFERROR(计算区域!AK653,NA())</f>
        <v>#N/A</v>
      </c>
      <c r="D651" t="e">
        <f ca="1">IFERROR(计算区域!AL653,NA())</f>
        <v>#N/A</v>
      </c>
      <c r="E651" t="e">
        <f ca="1">IFERROR(计算区域!AM653,NA())</f>
        <v>#N/A</v>
      </c>
      <c r="G651" t="e">
        <f ca="1">IFERROR(计算区域!AD653,NA())</f>
        <v>#N/A</v>
      </c>
      <c r="H651" t="e">
        <f ca="1">IFERROR(计算区域!AE653,NA())</f>
        <v>#N/A</v>
      </c>
      <c r="I651" t="e">
        <f ca="1">IFERROR(计算区域!AF653,NA())</f>
        <v>#N/A</v>
      </c>
      <c r="J651" t="e">
        <f ca="1">IFERROR(计算区域!AG653,NA())</f>
        <v>#N/A</v>
      </c>
      <c r="L651" t="e">
        <f ca="1">IFERROR(计算区域!L653,NA())</f>
        <v>#N/A</v>
      </c>
      <c r="M651" t="e">
        <f ca="1">IFERROR(计算区域!M653,NA())</f>
        <v>#N/A</v>
      </c>
      <c r="N651" t="e">
        <f ca="1">IFERROR(计算区域!N653,NA())</f>
        <v>#N/A</v>
      </c>
      <c r="O651" t="e">
        <f ca="1">IFERROR(计算区域!O653,NA())</f>
        <v>#N/A</v>
      </c>
      <c r="Q651" t="e">
        <f ca="1">IFERROR(计算区域!R653,NA())</f>
        <v>#N/A</v>
      </c>
      <c r="R651" t="e">
        <f ca="1">IFERROR(计算区域!S653,NA())</f>
        <v>#N/A</v>
      </c>
      <c r="S651" t="e">
        <f ca="1">IFERROR(计算区域!T653,NA())</f>
        <v>#N/A</v>
      </c>
      <c r="T651" t="e">
        <f ca="1">IFERROR(计算区域!U653,NA())</f>
        <v>#N/A</v>
      </c>
      <c r="V651" t="e">
        <f ca="1">IFERROR(计算区域!X653,NA())</f>
        <v>#N/A</v>
      </c>
      <c r="W651" t="e">
        <f ca="1">IFERROR(计算区域!Y653,NA())</f>
        <v>#N/A</v>
      </c>
      <c r="X651" t="e">
        <f ca="1">IFERROR(计算区域!Z653,NA())</f>
        <v>#N/A</v>
      </c>
      <c r="Y651" t="e">
        <f ca="1">IFERROR(计算区域!AA653,NA())</f>
        <v>#N/A</v>
      </c>
    </row>
    <row r="652" spans="1:25" x14ac:dyDescent="0.2">
      <c r="A652" s="28">
        <f>计算区域!E654</f>
        <v>44497</v>
      </c>
      <c r="B652" t="e">
        <f ca="1">IFERROR(计算区域!AJ654,NA())</f>
        <v>#N/A</v>
      </c>
      <c r="C652" t="e">
        <f ca="1">IFERROR(计算区域!AK654,NA())</f>
        <v>#N/A</v>
      </c>
      <c r="D652" t="e">
        <f ca="1">IFERROR(计算区域!AL654,NA())</f>
        <v>#N/A</v>
      </c>
      <c r="E652" t="e">
        <f ca="1">IFERROR(计算区域!AM654,NA())</f>
        <v>#N/A</v>
      </c>
      <c r="G652" t="e">
        <f ca="1">IFERROR(计算区域!AD654,NA())</f>
        <v>#N/A</v>
      </c>
      <c r="H652" t="e">
        <f ca="1">IFERROR(计算区域!AE654,NA())</f>
        <v>#N/A</v>
      </c>
      <c r="I652" t="e">
        <f ca="1">IFERROR(计算区域!AF654,NA())</f>
        <v>#N/A</v>
      </c>
      <c r="J652" t="e">
        <f ca="1">IFERROR(计算区域!AG654,NA())</f>
        <v>#N/A</v>
      </c>
      <c r="L652" t="e">
        <f ca="1">IFERROR(计算区域!L654,NA())</f>
        <v>#N/A</v>
      </c>
      <c r="M652" t="e">
        <f ca="1">IFERROR(计算区域!M654,NA())</f>
        <v>#N/A</v>
      </c>
      <c r="N652" t="e">
        <f ca="1">IFERROR(计算区域!N654,NA())</f>
        <v>#N/A</v>
      </c>
      <c r="O652" t="e">
        <f ca="1">IFERROR(计算区域!O654,NA())</f>
        <v>#N/A</v>
      </c>
      <c r="Q652" t="e">
        <f ca="1">IFERROR(计算区域!R654,NA())</f>
        <v>#N/A</v>
      </c>
      <c r="R652" t="e">
        <f ca="1">IFERROR(计算区域!S654,NA())</f>
        <v>#N/A</v>
      </c>
      <c r="S652" t="e">
        <f ca="1">IFERROR(计算区域!T654,NA())</f>
        <v>#N/A</v>
      </c>
      <c r="T652" t="e">
        <f ca="1">IFERROR(计算区域!U654,NA())</f>
        <v>#N/A</v>
      </c>
      <c r="V652" t="e">
        <f ca="1">IFERROR(计算区域!X654,NA())</f>
        <v>#N/A</v>
      </c>
      <c r="W652" t="e">
        <f ca="1">IFERROR(计算区域!Y654,NA())</f>
        <v>#N/A</v>
      </c>
      <c r="X652" t="e">
        <f ca="1">IFERROR(计算区域!Z654,NA())</f>
        <v>#N/A</v>
      </c>
      <c r="Y652" t="e">
        <f ca="1">IFERROR(计算区域!AA654,NA())</f>
        <v>#N/A</v>
      </c>
    </row>
    <row r="653" spans="1:25" x14ac:dyDescent="0.2">
      <c r="A653" s="28">
        <f>计算区域!E655</f>
        <v>44496</v>
      </c>
      <c r="B653" t="e">
        <f ca="1">IFERROR(计算区域!AJ655,NA())</f>
        <v>#N/A</v>
      </c>
      <c r="C653" t="e">
        <f ca="1">IFERROR(计算区域!AK655,NA())</f>
        <v>#N/A</v>
      </c>
      <c r="D653" t="e">
        <f ca="1">IFERROR(计算区域!AL655,NA())</f>
        <v>#N/A</v>
      </c>
      <c r="E653" t="e">
        <f ca="1">IFERROR(计算区域!AM655,NA())</f>
        <v>#N/A</v>
      </c>
      <c r="G653" t="e">
        <f ca="1">IFERROR(计算区域!AD655,NA())</f>
        <v>#N/A</v>
      </c>
      <c r="H653" t="e">
        <f ca="1">IFERROR(计算区域!AE655,NA())</f>
        <v>#N/A</v>
      </c>
      <c r="I653" t="e">
        <f ca="1">IFERROR(计算区域!AF655,NA())</f>
        <v>#N/A</v>
      </c>
      <c r="J653" t="e">
        <f ca="1">IFERROR(计算区域!AG655,NA())</f>
        <v>#N/A</v>
      </c>
      <c r="L653" t="e">
        <f ca="1">IFERROR(计算区域!L655,NA())</f>
        <v>#N/A</v>
      </c>
      <c r="M653" t="e">
        <f ca="1">IFERROR(计算区域!M655,NA())</f>
        <v>#N/A</v>
      </c>
      <c r="N653" t="e">
        <f ca="1">IFERROR(计算区域!N655,NA())</f>
        <v>#N/A</v>
      </c>
      <c r="O653" t="e">
        <f ca="1">IFERROR(计算区域!O655,NA())</f>
        <v>#N/A</v>
      </c>
      <c r="Q653" t="e">
        <f ca="1">IFERROR(计算区域!R655,NA())</f>
        <v>#N/A</v>
      </c>
      <c r="R653" t="e">
        <f ca="1">IFERROR(计算区域!S655,NA())</f>
        <v>#N/A</v>
      </c>
      <c r="S653" t="e">
        <f ca="1">IFERROR(计算区域!T655,NA())</f>
        <v>#N/A</v>
      </c>
      <c r="T653" t="e">
        <f ca="1">IFERROR(计算区域!U655,NA())</f>
        <v>#N/A</v>
      </c>
      <c r="V653" t="e">
        <f ca="1">IFERROR(计算区域!X655,NA())</f>
        <v>#N/A</v>
      </c>
      <c r="W653" t="e">
        <f ca="1">IFERROR(计算区域!Y655,NA())</f>
        <v>#N/A</v>
      </c>
      <c r="X653" t="e">
        <f ca="1">IFERROR(计算区域!Z655,NA())</f>
        <v>#N/A</v>
      </c>
      <c r="Y653" t="e">
        <f ca="1">IFERROR(计算区域!AA655,NA())</f>
        <v>#N/A</v>
      </c>
    </row>
    <row r="654" spans="1:25" x14ac:dyDescent="0.2">
      <c r="A654" s="28">
        <f>计算区域!E656</f>
        <v>44495</v>
      </c>
      <c r="B654" t="e">
        <f ca="1">IFERROR(计算区域!AJ656,NA())</f>
        <v>#N/A</v>
      </c>
      <c r="C654" t="e">
        <f ca="1">IFERROR(计算区域!AK656,NA())</f>
        <v>#N/A</v>
      </c>
      <c r="D654" t="e">
        <f ca="1">IFERROR(计算区域!AL656,NA())</f>
        <v>#N/A</v>
      </c>
      <c r="E654" t="e">
        <f ca="1">IFERROR(计算区域!AM656,NA())</f>
        <v>#N/A</v>
      </c>
      <c r="G654" t="e">
        <f ca="1">IFERROR(计算区域!AD656,NA())</f>
        <v>#N/A</v>
      </c>
      <c r="H654" t="e">
        <f ca="1">IFERROR(计算区域!AE656,NA())</f>
        <v>#N/A</v>
      </c>
      <c r="I654" t="e">
        <f ca="1">IFERROR(计算区域!AF656,NA())</f>
        <v>#N/A</v>
      </c>
      <c r="J654" t="e">
        <f ca="1">IFERROR(计算区域!AG656,NA())</f>
        <v>#N/A</v>
      </c>
      <c r="L654" t="e">
        <f ca="1">IFERROR(计算区域!L656,NA())</f>
        <v>#N/A</v>
      </c>
      <c r="M654" t="e">
        <f ca="1">IFERROR(计算区域!M656,NA())</f>
        <v>#N/A</v>
      </c>
      <c r="N654" t="e">
        <f ca="1">IFERROR(计算区域!N656,NA())</f>
        <v>#N/A</v>
      </c>
      <c r="O654" t="e">
        <f ca="1">IFERROR(计算区域!O656,NA())</f>
        <v>#N/A</v>
      </c>
      <c r="Q654" t="e">
        <f ca="1">IFERROR(计算区域!R656,NA())</f>
        <v>#N/A</v>
      </c>
      <c r="R654" t="e">
        <f ca="1">IFERROR(计算区域!S656,NA())</f>
        <v>#N/A</v>
      </c>
      <c r="S654" t="e">
        <f ca="1">IFERROR(计算区域!T656,NA())</f>
        <v>#N/A</v>
      </c>
      <c r="T654" t="e">
        <f ca="1">IFERROR(计算区域!U656,NA())</f>
        <v>#N/A</v>
      </c>
      <c r="V654" t="e">
        <f ca="1">IFERROR(计算区域!X656,NA())</f>
        <v>#N/A</v>
      </c>
      <c r="W654" t="e">
        <f ca="1">IFERROR(计算区域!Y656,NA())</f>
        <v>#N/A</v>
      </c>
      <c r="X654" t="e">
        <f ca="1">IFERROR(计算区域!Z656,NA())</f>
        <v>#N/A</v>
      </c>
      <c r="Y654" t="e">
        <f ca="1">IFERROR(计算区域!AA656,NA())</f>
        <v>#N/A</v>
      </c>
    </row>
    <row r="655" spans="1:25" x14ac:dyDescent="0.2">
      <c r="A655" s="28">
        <f>计算区域!E657</f>
        <v>44494</v>
      </c>
      <c r="B655" t="e">
        <f ca="1">IFERROR(计算区域!AJ657,NA())</f>
        <v>#N/A</v>
      </c>
      <c r="C655" t="e">
        <f ca="1">IFERROR(计算区域!AK657,NA())</f>
        <v>#N/A</v>
      </c>
      <c r="D655" t="e">
        <f ca="1">IFERROR(计算区域!AL657,NA())</f>
        <v>#N/A</v>
      </c>
      <c r="E655" t="e">
        <f ca="1">IFERROR(计算区域!AM657,NA())</f>
        <v>#N/A</v>
      </c>
      <c r="G655" t="e">
        <f ca="1">IFERROR(计算区域!AD657,NA())</f>
        <v>#N/A</v>
      </c>
      <c r="H655" t="e">
        <f ca="1">IFERROR(计算区域!AE657,NA())</f>
        <v>#N/A</v>
      </c>
      <c r="I655" t="e">
        <f ca="1">IFERROR(计算区域!AF657,NA())</f>
        <v>#N/A</v>
      </c>
      <c r="J655" t="e">
        <f ca="1">IFERROR(计算区域!AG657,NA())</f>
        <v>#N/A</v>
      </c>
      <c r="L655" t="e">
        <f ca="1">IFERROR(计算区域!L657,NA())</f>
        <v>#N/A</v>
      </c>
      <c r="M655" t="e">
        <f ca="1">IFERROR(计算区域!M657,NA())</f>
        <v>#N/A</v>
      </c>
      <c r="N655" t="e">
        <f ca="1">IFERROR(计算区域!N657,NA())</f>
        <v>#N/A</v>
      </c>
      <c r="O655" t="e">
        <f ca="1">IFERROR(计算区域!O657,NA())</f>
        <v>#N/A</v>
      </c>
      <c r="Q655" t="e">
        <f ca="1">IFERROR(计算区域!R657,NA())</f>
        <v>#N/A</v>
      </c>
      <c r="R655" t="e">
        <f ca="1">IFERROR(计算区域!S657,NA())</f>
        <v>#N/A</v>
      </c>
      <c r="S655" t="e">
        <f ca="1">IFERROR(计算区域!T657,NA())</f>
        <v>#N/A</v>
      </c>
      <c r="T655" t="e">
        <f ca="1">IFERROR(计算区域!U657,NA())</f>
        <v>#N/A</v>
      </c>
      <c r="V655" t="e">
        <f ca="1">IFERROR(计算区域!X657,NA())</f>
        <v>#N/A</v>
      </c>
      <c r="W655" t="e">
        <f ca="1">IFERROR(计算区域!Y657,NA())</f>
        <v>#N/A</v>
      </c>
      <c r="X655" t="e">
        <f ca="1">IFERROR(计算区域!Z657,NA())</f>
        <v>#N/A</v>
      </c>
      <c r="Y655" t="e">
        <f ca="1">IFERROR(计算区域!AA657,NA())</f>
        <v>#N/A</v>
      </c>
    </row>
    <row r="656" spans="1:25" x14ac:dyDescent="0.2">
      <c r="A656" s="28">
        <f>计算区域!E658</f>
        <v>44491</v>
      </c>
      <c r="B656" t="e">
        <f ca="1">IFERROR(计算区域!AJ658,NA())</f>
        <v>#N/A</v>
      </c>
      <c r="C656" t="e">
        <f ca="1">IFERROR(计算区域!AK658,NA())</f>
        <v>#N/A</v>
      </c>
      <c r="D656" t="e">
        <f ca="1">IFERROR(计算区域!AL658,NA())</f>
        <v>#N/A</v>
      </c>
      <c r="E656" t="e">
        <f ca="1">IFERROR(计算区域!AM658,NA())</f>
        <v>#N/A</v>
      </c>
      <c r="G656" t="e">
        <f ca="1">IFERROR(计算区域!AD658,NA())</f>
        <v>#N/A</v>
      </c>
      <c r="H656" t="e">
        <f ca="1">IFERROR(计算区域!AE658,NA())</f>
        <v>#N/A</v>
      </c>
      <c r="I656" t="e">
        <f ca="1">IFERROR(计算区域!AF658,NA())</f>
        <v>#N/A</v>
      </c>
      <c r="J656" t="e">
        <f ca="1">IFERROR(计算区域!AG658,NA())</f>
        <v>#N/A</v>
      </c>
      <c r="L656" t="e">
        <f ca="1">IFERROR(计算区域!L658,NA())</f>
        <v>#N/A</v>
      </c>
      <c r="M656" t="e">
        <f ca="1">IFERROR(计算区域!M658,NA())</f>
        <v>#N/A</v>
      </c>
      <c r="N656" t="e">
        <f ca="1">IFERROR(计算区域!N658,NA())</f>
        <v>#N/A</v>
      </c>
      <c r="O656" t="e">
        <f ca="1">IFERROR(计算区域!O658,NA())</f>
        <v>#N/A</v>
      </c>
      <c r="Q656" t="e">
        <f ca="1">IFERROR(计算区域!R658,NA())</f>
        <v>#N/A</v>
      </c>
      <c r="R656" t="e">
        <f ca="1">IFERROR(计算区域!S658,NA())</f>
        <v>#N/A</v>
      </c>
      <c r="S656" t="e">
        <f ca="1">IFERROR(计算区域!T658,NA())</f>
        <v>#N/A</v>
      </c>
      <c r="T656" t="e">
        <f ca="1">IFERROR(计算区域!U658,NA())</f>
        <v>#N/A</v>
      </c>
      <c r="V656" t="e">
        <f ca="1">IFERROR(计算区域!X658,NA())</f>
        <v>#N/A</v>
      </c>
      <c r="W656" t="e">
        <f ca="1">IFERROR(计算区域!Y658,NA())</f>
        <v>#N/A</v>
      </c>
      <c r="X656" t="e">
        <f ca="1">IFERROR(计算区域!Z658,NA())</f>
        <v>#N/A</v>
      </c>
      <c r="Y656" t="e">
        <f ca="1">IFERROR(计算区域!AA658,NA())</f>
        <v>#N/A</v>
      </c>
    </row>
    <row r="657" spans="1:25" x14ac:dyDescent="0.2">
      <c r="A657" s="28">
        <f>计算区域!E659</f>
        <v>44490</v>
      </c>
      <c r="B657" t="e">
        <f ca="1">IFERROR(计算区域!AJ659,NA())</f>
        <v>#N/A</v>
      </c>
      <c r="C657" t="e">
        <f ca="1">IFERROR(计算区域!AK659,NA())</f>
        <v>#N/A</v>
      </c>
      <c r="D657" t="e">
        <f ca="1">IFERROR(计算区域!AL659,NA())</f>
        <v>#N/A</v>
      </c>
      <c r="E657" t="e">
        <f ca="1">IFERROR(计算区域!AM659,NA())</f>
        <v>#N/A</v>
      </c>
      <c r="G657" t="e">
        <f ca="1">IFERROR(计算区域!AD659,NA())</f>
        <v>#N/A</v>
      </c>
      <c r="H657" t="e">
        <f ca="1">IFERROR(计算区域!AE659,NA())</f>
        <v>#N/A</v>
      </c>
      <c r="I657" t="e">
        <f ca="1">IFERROR(计算区域!AF659,NA())</f>
        <v>#N/A</v>
      </c>
      <c r="J657" t="e">
        <f ca="1">IFERROR(计算区域!AG659,NA())</f>
        <v>#N/A</v>
      </c>
      <c r="L657" t="e">
        <f ca="1">IFERROR(计算区域!L659,NA())</f>
        <v>#N/A</v>
      </c>
      <c r="M657" t="e">
        <f ca="1">IFERROR(计算区域!M659,NA())</f>
        <v>#N/A</v>
      </c>
      <c r="N657" t="e">
        <f ca="1">IFERROR(计算区域!N659,NA())</f>
        <v>#N/A</v>
      </c>
      <c r="O657" t="e">
        <f ca="1">IFERROR(计算区域!O659,NA())</f>
        <v>#N/A</v>
      </c>
      <c r="Q657" t="e">
        <f ca="1">IFERROR(计算区域!R659,NA())</f>
        <v>#N/A</v>
      </c>
      <c r="R657" t="e">
        <f ca="1">IFERROR(计算区域!S659,NA())</f>
        <v>#N/A</v>
      </c>
      <c r="S657" t="e">
        <f ca="1">IFERROR(计算区域!T659,NA())</f>
        <v>#N/A</v>
      </c>
      <c r="T657" t="e">
        <f ca="1">IFERROR(计算区域!U659,NA())</f>
        <v>#N/A</v>
      </c>
      <c r="V657" t="e">
        <f ca="1">IFERROR(计算区域!X659,NA())</f>
        <v>#N/A</v>
      </c>
      <c r="W657" t="e">
        <f ca="1">IFERROR(计算区域!Y659,NA())</f>
        <v>#N/A</v>
      </c>
      <c r="X657" t="e">
        <f ca="1">IFERROR(计算区域!Z659,NA())</f>
        <v>#N/A</v>
      </c>
      <c r="Y657" t="e">
        <f ca="1">IFERROR(计算区域!AA659,NA())</f>
        <v>#N/A</v>
      </c>
    </row>
    <row r="658" spans="1:25" x14ac:dyDescent="0.2">
      <c r="A658" s="28">
        <f>计算区域!E660</f>
        <v>44489</v>
      </c>
      <c r="B658" t="e">
        <f ca="1">IFERROR(计算区域!AJ660,NA())</f>
        <v>#N/A</v>
      </c>
      <c r="C658" t="e">
        <f ca="1">IFERROR(计算区域!AK660,NA())</f>
        <v>#N/A</v>
      </c>
      <c r="D658" t="e">
        <f ca="1">IFERROR(计算区域!AL660,NA())</f>
        <v>#N/A</v>
      </c>
      <c r="E658" t="e">
        <f ca="1">IFERROR(计算区域!AM660,NA())</f>
        <v>#N/A</v>
      </c>
      <c r="G658" t="e">
        <f ca="1">IFERROR(计算区域!AD660,NA())</f>
        <v>#N/A</v>
      </c>
      <c r="H658" t="e">
        <f ca="1">IFERROR(计算区域!AE660,NA())</f>
        <v>#N/A</v>
      </c>
      <c r="I658" t="e">
        <f ca="1">IFERROR(计算区域!AF660,NA())</f>
        <v>#N/A</v>
      </c>
      <c r="J658" t="e">
        <f ca="1">IFERROR(计算区域!AG660,NA())</f>
        <v>#N/A</v>
      </c>
      <c r="L658" t="e">
        <f ca="1">IFERROR(计算区域!L660,NA())</f>
        <v>#N/A</v>
      </c>
      <c r="M658" t="e">
        <f ca="1">IFERROR(计算区域!M660,NA())</f>
        <v>#N/A</v>
      </c>
      <c r="N658" t="e">
        <f ca="1">IFERROR(计算区域!N660,NA())</f>
        <v>#N/A</v>
      </c>
      <c r="O658" t="e">
        <f ca="1">IFERROR(计算区域!O660,NA())</f>
        <v>#N/A</v>
      </c>
      <c r="Q658" t="e">
        <f ca="1">IFERROR(计算区域!R660,NA())</f>
        <v>#N/A</v>
      </c>
      <c r="R658" t="e">
        <f ca="1">IFERROR(计算区域!S660,NA())</f>
        <v>#N/A</v>
      </c>
      <c r="S658" t="e">
        <f ca="1">IFERROR(计算区域!T660,NA())</f>
        <v>#N/A</v>
      </c>
      <c r="T658" t="e">
        <f ca="1">IFERROR(计算区域!U660,NA())</f>
        <v>#N/A</v>
      </c>
      <c r="V658" t="e">
        <f ca="1">IFERROR(计算区域!X660,NA())</f>
        <v>#N/A</v>
      </c>
      <c r="W658" t="e">
        <f ca="1">IFERROR(计算区域!Y660,NA())</f>
        <v>#N/A</v>
      </c>
      <c r="X658" t="e">
        <f ca="1">IFERROR(计算区域!Z660,NA())</f>
        <v>#N/A</v>
      </c>
      <c r="Y658" t="e">
        <f ca="1">IFERROR(计算区域!AA660,NA())</f>
        <v>#N/A</v>
      </c>
    </row>
    <row r="659" spans="1:25" x14ac:dyDescent="0.2">
      <c r="A659" s="28">
        <f>计算区域!E661</f>
        <v>44488</v>
      </c>
      <c r="B659" t="e">
        <f ca="1">IFERROR(计算区域!AJ661,NA())</f>
        <v>#N/A</v>
      </c>
      <c r="C659" t="e">
        <f ca="1">IFERROR(计算区域!AK661,NA())</f>
        <v>#N/A</v>
      </c>
      <c r="D659" t="e">
        <f ca="1">IFERROR(计算区域!AL661,NA())</f>
        <v>#N/A</v>
      </c>
      <c r="E659" t="e">
        <f ca="1">IFERROR(计算区域!AM661,NA())</f>
        <v>#N/A</v>
      </c>
      <c r="G659" t="e">
        <f ca="1">IFERROR(计算区域!AD661,NA())</f>
        <v>#N/A</v>
      </c>
      <c r="H659" t="e">
        <f ca="1">IFERROR(计算区域!AE661,NA())</f>
        <v>#N/A</v>
      </c>
      <c r="I659" t="e">
        <f ca="1">IFERROR(计算区域!AF661,NA())</f>
        <v>#N/A</v>
      </c>
      <c r="J659" t="e">
        <f ca="1">IFERROR(计算区域!AG661,NA())</f>
        <v>#N/A</v>
      </c>
      <c r="L659" t="e">
        <f ca="1">IFERROR(计算区域!L661,NA())</f>
        <v>#N/A</v>
      </c>
      <c r="M659" t="e">
        <f ca="1">IFERROR(计算区域!M661,NA())</f>
        <v>#N/A</v>
      </c>
      <c r="N659" t="e">
        <f ca="1">IFERROR(计算区域!N661,NA())</f>
        <v>#N/A</v>
      </c>
      <c r="O659" t="e">
        <f ca="1">IFERROR(计算区域!O661,NA())</f>
        <v>#N/A</v>
      </c>
      <c r="Q659" t="e">
        <f ca="1">IFERROR(计算区域!R661,NA())</f>
        <v>#N/A</v>
      </c>
      <c r="R659" t="e">
        <f ca="1">IFERROR(计算区域!S661,NA())</f>
        <v>#N/A</v>
      </c>
      <c r="S659" t="e">
        <f ca="1">IFERROR(计算区域!T661,NA())</f>
        <v>#N/A</v>
      </c>
      <c r="T659" t="e">
        <f ca="1">IFERROR(计算区域!U661,NA())</f>
        <v>#N/A</v>
      </c>
      <c r="V659" t="e">
        <f ca="1">IFERROR(计算区域!X661,NA())</f>
        <v>#N/A</v>
      </c>
      <c r="W659" t="e">
        <f ca="1">IFERROR(计算区域!Y661,NA())</f>
        <v>#N/A</v>
      </c>
      <c r="X659" t="e">
        <f ca="1">IFERROR(计算区域!Z661,NA())</f>
        <v>#N/A</v>
      </c>
      <c r="Y659" t="e">
        <f ca="1">IFERROR(计算区域!AA661,NA())</f>
        <v>#N/A</v>
      </c>
    </row>
    <row r="660" spans="1:25" x14ac:dyDescent="0.2">
      <c r="A660" s="28">
        <f>计算区域!E662</f>
        <v>44487</v>
      </c>
      <c r="B660" t="e">
        <f ca="1">IFERROR(计算区域!AJ662,NA())</f>
        <v>#N/A</v>
      </c>
      <c r="C660" t="e">
        <f ca="1">IFERROR(计算区域!AK662,NA())</f>
        <v>#N/A</v>
      </c>
      <c r="D660" t="e">
        <f ca="1">IFERROR(计算区域!AL662,NA())</f>
        <v>#N/A</v>
      </c>
      <c r="E660" t="e">
        <f ca="1">IFERROR(计算区域!AM662,NA())</f>
        <v>#N/A</v>
      </c>
      <c r="G660" t="e">
        <f ca="1">IFERROR(计算区域!AD662,NA())</f>
        <v>#N/A</v>
      </c>
      <c r="H660" t="e">
        <f ca="1">IFERROR(计算区域!AE662,NA())</f>
        <v>#N/A</v>
      </c>
      <c r="I660" t="e">
        <f ca="1">IFERROR(计算区域!AF662,NA())</f>
        <v>#N/A</v>
      </c>
      <c r="J660" t="e">
        <f ca="1">IFERROR(计算区域!AG662,NA())</f>
        <v>#N/A</v>
      </c>
      <c r="L660" t="e">
        <f ca="1">IFERROR(计算区域!L662,NA())</f>
        <v>#N/A</v>
      </c>
      <c r="M660" t="e">
        <f ca="1">IFERROR(计算区域!M662,NA())</f>
        <v>#N/A</v>
      </c>
      <c r="N660" t="e">
        <f ca="1">IFERROR(计算区域!N662,NA())</f>
        <v>#N/A</v>
      </c>
      <c r="O660" t="e">
        <f ca="1">IFERROR(计算区域!O662,NA())</f>
        <v>#N/A</v>
      </c>
      <c r="Q660" t="e">
        <f ca="1">IFERROR(计算区域!R662,NA())</f>
        <v>#N/A</v>
      </c>
      <c r="R660" t="e">
        <f ca="1">IFERROR(计算区域!S662,NA())</f>
        <v>#N/A</v>
      </c>
      <c r="S660" t="e">
        <f ca="1">IFERROR(计算区域!T662,NA())</f>
        <v>#N/A</v>
      </c>
      <c r="T660" t="e">
        <f ca="1">IFERROR(计算区域!U662,NA())</f>
        <v>#N/A</v>
      </c>
      <c r="V660" t="e">
        <f ca="1">IFERROR(计算区域!X662,NA())</f>
        <v>#N/A</v>
      </c>
      <c r="W660" t="e">
        <f ca="1">IFERROR(计算区域!Y662,NA())</f>
        <v>#N/A</v>
      </c>
      <c r="X660" t="e">
        <f ca="1">IFERROR(计算区域!Z662,NA())</f>
        <v>#N/A</v>
      </c>
      <c r="Y660" t="e">
        <f ca="1">IFERROR(计算区域!AA662,NA())</f>
        <v>#N/A</v>
      </c>
    </row>
    <row r="661" spans="1:25" x14ac:dyDescent="0.2">
      <c r="A661" s="28">
        <f>计算区域!E663</f>
        <v>44484</v>
      </c>
      <c r="B661" t="e">
        <f ca="1">IFERROR(计算区域!AJ663,NA())</f>
        <v>#N/A</v>
      </c>
      <c r="C661" t="e">
        <f ca="1">IFERROR(计算区域!AK663,NA())</f>
        <v>#N/A</v>
      </c>
      <c r="D661" t="e">
        <f ca="1">IFERROR(计算区域!AL663,NA())</f>
        <v>#N/A</v>
      </c>
      <c r="E661" t="e">
        <f ca="1">IFERROR(计算区域!AM663,NA())</f>
        <v>#N/A</v>
      </c>
      <c r="G661" t="e">
        <f ca="1">IFERROR(计算区域!AD663,NA())</f>
        <v>#N/A</v>
      </c>
      <c r="H661" t="e">
        <f ca="1">IFERROR(计算区域!AE663,NA())</f>
        <v>#N/A</v>
      </c>
      <c r="I661" t="e">
        <f ca="1">IFERROR(计算区域!AF663,NA())</f>
        <v>#N/A</v>
      </c>
      <c r="J661" t="e">
        <f ca="1">IFERROR(计算区域!AG663,NA())</f>
        <v>#N/A</v>
      </c>
      <c r="L661" t="e">
        <f ca="1">IFERROR(计算区域!L663,NA())</f>
        <v>#N/A</v>
      </c>
      <c r="M661" t="e">
        <f ca="1">IFERROR(计算区域!M663,NA())</f>
        <v>#N/A</v>
      </c>
      <c r="N661" t="e">
        <f ca="1">IFERROR(计算区域!N663,NA())</f>
        <v>#N/A</v>
      </c>
      <c r="O661" t="e">
        <f ca="1">IFERROR(计算区域!O663,NA())</f>
        <v>#N/A</v>
      </c>
      <c r="Q661" t="e">
        <f ca="1">IFERROR(计算区域!R663,NA())</f>
        <v>#N/A</v>
      </c>
      <c r="R661" t="e">
        <f ca="1">IFERROR(计算区域!S663,NA())</f>
        <v>#N/A</v>
      </c>
      <c r="S661" t="e">
        <f ca="1">IFERROR(计算区域!T663,NA())</f>
        <v>#N/A</v>
      </c>
      <c r="T661" t="e">
        <f ca="1">IFERROR(计算区域!U663,NA())</f>
        <v>#N/A</v>
      </c>
      <c r="V661" t="e">
        <f ca="1">IFERROR(计算区域!X663,NA())</f>
        <v>#N/A</v>
      </c>
      <c r="W661" t="e">
        <f ca="1">IFERROR(计算区域!Y663,NA())</f>
        <v>#N/A</v>
      </c>
      <c r="X661" t="e">
        <f ca="1">IFERROR(计算区域!Z663,NA())</f>
        <v>#N/A</v>
      </c>
      <c r="Y661" t="e">
        <f ca="1">IFERROR(计算区域!AA663,NA())</f>
        <v>#N/A</v>
      </c>
    </row>
    <row r="662" spans="1:25" x14ac:dyDescent="0.2">
      <c r="A662" s="28">
        <f>计算区域!E664</f>
        <v>44483</v>
      </c>
      <c r="B662" t="e">
        <f ca="1">IFERROR(计算区域!AJ664,NA())</f>
        <v>#N/A</v>
      </c>
      <c r="C662" t="e">
        <f ca="1">IFERROR(计算区域!AK664,NA())</f>
        <v>#N/A</v>
      </c>
      <c r="D662" t="e">
        <f ca="1">IFERROR(计算区域!AL664,NA())</f>
        <v>#N/A</v>
      </c>
      <c r="E662" t="e">
        <f ca="1">IFERROR(计算区域!AM664,NA())</f>
        <v>#N/A</v>
      </c>
      <c r="G662" t="e">
        <f ca="1">IFERROR(计算区域!AD664,NA())</f>
        <v>#N/A</v>
      </c>
      <c r="H662" t="e">
        <f ca="1">IFERROR(计算区域!AE664,NA())</f>
        <v>#N/A</v>
      </c>
      <c r="I662" t="e">
        <f ca="1">IFERROR(计算区域!AF664,NA())</f>
        <v>#N/A</v>
      </c>
      <c r="J662" t="e">
        <f ca="1">IFERROR(计算区域!AG664,NA())</f>
        <v>#N/A</v>
      </c>
      <c r="L662" t="e">
        <f ca="1">IFERROR(计算区域!L664,NA())</f>
        <v>#N/A</v>
      </c>
      <c r="M662" t="e">
        <f ca="1">IFERROR(计算区域!M664,NA())</f>
        <v>#N/A</v>
      </c>
      <c r="N662" t="e">
        <f ca="1">IFERROR(计算区域!N664,NA())</f>
        <v>#N/A</v>
      </c>
      <c r="O662" t="e">
        <f ca="1">IFERROR(计算区域!O664,NA())</f>
        <v>#N/A</v>
      </c>
      <c r="Q662" t="e">
        <f ca="1">IFERROR(计算区域!R664,NA())</f>
        <v>#N/A</v>
      </c>
      <c r="R662" t="e">
        <f ca="1">IFERROR(计算区域!S664,NA())</f>
        <v>#N/A</v>
      </c>
      <c r="S662" t="e">
        <f ca="1">IFERROR(计算区域!T664,NA())</f>
        <v>#N/A</v>
      </c>
      <c r="T662" t="e">
        <f ca="1">IFERROR(计算区域!U664,NA())</f>
        <v>#N/A</v>
      </c>
      <c r="V662" t="e">
        <f ca="1">IFERROR(计算区域!X664,NA())</f>
        <v>#N/A</v>
      </c>
      <c r="W662" t="e">
        <f ca="1">IFERROR(计算区域!Y664,NA())</f>
        <v>#N/A</v>
      </c>
      <c r="X662" t="e">
        <f ca="1">IFERROR(计算区域!Z664,NA())</f>
        <v>#N/A</v>
      </c>
      <c r="Y662" t="e">
        <f ca="1">IFERROR(计算区域!AA664,NA())</f>
        <v>#N/A</v>
      </c>
    </row>
    <row r="663" spans="1:25" x14ac:dyDescent="0.2">
      <c r="A663" s="28">
        <f>计算区域!E665</f>
        <v>44482</v>
      </c>
      <c r="B663" t="e">
        <f ca="1">IFERROR(计算区域!AJ665,NA())</f>
        <v>#N/A</v>
      </c>
      <c r="C663" t="e">
        <f ca="1">IFERROR(计算区域!AK665,NA())</f>
        <v>#N/A</v>
      </c>
      <c r="D663" t="e">
        <f ca="1">IFERROR(计算区域!AL665,NA())</f>
        <v>#N/A</v>
      </c>
      <c r="E663" t="e">
        <f ca="1">IFERROR(计算区域!AM665,NA())</f>
        <v>#N/A</v>
      </c>
      <c r="G663" t="e">
        <f ca="1">IFERROR(计算区域!AD665,NA())</f>
        <v>#N/A</v>
      </c>
      <c r="H663" t="e">
        <f ca="1">IFERROR(计算区域!AE665,NA())</f>
        <v>#N/A</v>
      </c>
      <c r="I663" t="e">
        <f ca="1">IFERROR(计算区域!AF665,NA())</f>
        <v>#N/A</v>
      </c>
      <c r="J663" t="e">
        <f ca="1">IFERROR(计算区域!AG665,NA())</f>
        <v>#N/A</v>
      </c>
      <c r="L663" t="e">
        <f ca="1">IFERROR(计算区域!L665,NA())</f>
        <v>#N/A</v>
      </c>
      <c r="M663" t="e">
        <f ca="1">IFERROR(计算区域!M665,NA())</f>
        <v>#N/A</v>
      </c>
      <c r="N663" t="e">
        <f ca="1">IFERROR(计算区域!N665,NA())</f>
        <v>#N/A</v>
      </c>
      <c r="O663" t="e">
        <f ca="1">IFERROR(计算区域!O665,NA())</f>
        <v>#N/A</v>
      </c>
      <c r="Q663" t="e">
        <f ca="1">IFERROR(计算区域!R665,NA())</f>
        <v>#N/A</v>
      </c>
      <c r="R663" t="e">
        <f ca="1">IFERROR(计算区域!S665,NA())</f>
        <v>#N/A</v>
      </c>
      <c r="S663" t="e">
        <f ca="1">IFERROR(计算区域!T665,NA())</f>
        <v>#N/A</v>
      </c>
      <c r="T663" t="e">
        <f ca="1">IFERROR(计算区域!U665,NA())</f>
        <v>#N/A</v>
      </c>
      <c r="V663" t="e">
        <f ca="1">IFERROR(计算区域!X665,NA())</f>
        <v>#N/A</v>
      </c>
      <c r="W663" t="e">
        <f ca="1">IFERROR(计算区域!Y665,NA())</f>
        <v>#N/A</v>
      </c>
      <c r="X663" t="e">
        <f ca="1">IFERROR(计算区域!Z665,NA())</f>
        <v>#N/A</v>
      </c>
      <c r="Y663" t="e">
        <f ca="1">IFERROR(计算区域!AA665,NA())</f>
        <v>#N/A</v>
      </c>
    </row>
    <row r="664" spans="1:25" x14ac:dyDescent="0.2">
      <c r="A664" s="28">
        <f>计算区域!E666</f>
        <v>44481</v>
      </c>
      <c r="B664" t="e">
        <f ca="1">IFERROR(计算区域!AJ666,NA())</f>
        <v>#N/A</v>
      </c>
      <c r="C664" t="e">
        <f ca="1">IFERROR(计算区域!AK666,NA())</f>
        <v>#N/A</v>
      </c>
      <c r="D664" t="e">
        <f ca="1">IFERROR(计算区域!AL666,NA())</f>
        <v>#N/A</v>
      </c>
      <c r="E664" t="e">
        <f ca="1">IFERROR(计算区域!AM666,NA())</f>
        <v>#N/A</v>
      </c>
      <c r="G664" t="e">
        <f ca="1">IFERROR(计算区域!AD666,NA())</f>
        <v>#N/A</v>
      </c>
      <c r="H664" t="e">
        <f ca="1">IFERROR(计算区域!AE666,NA())</f>
        <v>#N/A</v>
      </c>
      <c r="I664" t="e">
        <f ca="1">IFERROR(计算区域!AF666,NA())</f>
        <v>#N/A</v>
      </c>
      <c r="J664" t="e">
        <f ca="1">IFERROR(计算区域!AG666,NA())</f>
        <v>#N/A</v>
      </c>
      <c r="L664" t="e">
        <f ca="1">IFERROR(计算区域!L666,NA())</f>
        <v>#N/A</v>
      </c>
      <c r="M664" t="e">
        <f ca="1">IFERROR(计算区域!M666,NA())</f>
        <v>#N/A</v>
      </c>
      <c r="N664" t="e">
        <f ca="1">IFERROR(计算区域!N666,NA())</f>
        <v>#N/A</v>
      </c>
      <c r="O664" t="e">
        <f ca="1">IFERROR(计算区域!O666,NA())</f>
        <v>#N/A</v>
      </c>
      <c r="Q664" t="e">
        <f ca="1">IFERROR(计算区域!R666,NA())</f>
        <v>#N/A</v>
      </c>
      <c r="R664" t="e">
        <f ca="1">IFERROR(计算区域!S666,NA())</f>
        <v>#N/A</v>
      </c>
      <c r="S664" t="e">
        <f ca="1">IFERROR(计算区域!T666,NA())</f>
        <v>#N/A</v>
      </c>
      <c r="T664" t="e">
        <f ca="1">IFERROR(计算区域!U666,NA())</f>
        <v>#N/A</v>
      </c>
      <c r="V664" t="e">
        <f ca="1">IFERROR(计算区域!X666,NA())</f>
        <v>#N/A</v>
      </c>
      <c r="W664" t="e">
        <f ca="1">IFERROR(计算区域!Y666,NA())</f>
        <v>#N/A</v>
      </c>
      <c r="X664" t="e">
        <f ca="1">IFERROR(计算区域!Z666,NA())</f>
        <v>#N/A</v>
      </c>
      <c r="Y664" t="e">
        <f ca="1">IFERROR(计算区域!AA666,NA())</f>
        <v>#N/A</v>
      </c>
    </row>
    <row r="665" spans="1:25" x14ac:dyDescent="0.2">
      <c r="A665" s="28">
        <f>计算区域!E667</f>
        <v>44480</v>
      </c>
      <c r="B665" t="e">
        <f ca="1">IFERROR(计算区域!AJ667,NA())</f>
        <v>#N/A</v>
      </c>
      <c r="C665" t="e">
        <f ca="1">IFERROR(计算区域!AK667,NA())</f>
        <v>#N/A</v>
      </c>
      <c r="D665" t="e">
        <f ca="1">IFERROR(计算区域!AL667,NA())</f>
        <v>#N/A</v>
      </c>
      <c r="E665" t="e">
        <f ca="1">IFERROR(计算区域!AM667,NA())</f>
        <v>#N/A</v>
      </c>
      <c r="G665" t="e">
        <f ca="1">IFERROR(计算区域!AD667,NA())</f>
        <v>#N/A</v>
      </c>
      <c r="H665" t="e">
        <f ca="1">IFERROR(计算区域!AE667,NA())</f>
        <v>#N/A</v>
      </c>
      <c r="I665" t="e">
        <f ca="1">IFERROR(计算区域!AF667,NA())</f>
        <v>#N/A</v>
      </c>
      <c r="J665" t="e">
        <f ca="1">IFERROR(计算区域!AG667,NA())</f>
        <v>#N/A</v>
      </c>
      <c r="L665" t="e">
        <f ca="1">IFERROR(计算区域!L667,NA())</f>
        <v>#N/A</v>
      </c>
      <c r="M665" t="e">
        <f ca="1">IFERROR(计算区域!M667,NA())</f>
        <v>#N/A</v>
      </c>
      <c r="N665" t="e">
        <f ca="1">IFERROR(计算区域!N667,NA())</f>
        <v>#N/A</v>
      </c>
      <c r="O665" t="e">
        <f ca="1">IFERROR(计算区域!O667,NA())</f>
        <v>#N/A</v>
      </c>
      <c r="Q665" t="e">
        <f ca="1">IFERROR(计算区域!R667,NA())</f>
        <v>#N/A</v>
      </c>
      <c r="R665" t="e">
        <f ca="1">IFERROR(计算区域!S667,NA())</f>
        <v>#N/A</v>
      </c>
      <c r="S665" t="e">
        <f ca="1">IFERROR(计算区域!T667,NA())</f>
        <v>#N/A</v>
      </c>
      <c r="T665" t="e">
        <f ca="1">IFERROR(计算区域!U667,NA())</f>
        <v>#N/A</v>
      </c>
      <c r="V665" t="e">
        <f ca="1">IFERROR(计算区域!X667,NA())</f>
        <v>#N/A</v>
      </c>
      <c r="W665" t="e">
        <f ca="1">IFERROR(计算区域!Y667,NA())</f>
        <v>#N/A</v>
      </c>
      <c r="X665" t="e">
        <f ca="1">IFERROR(计算区域!Z667,NA())</f>
        <v>#N/A</v>
      </c>
      <c r="Y665" t="e">
        <f ca="1">IFERROR(计算区域!AA667,NA())</f>
        <v>#N/A</v>
      </c>
    </row>
    <row r="666" spans="1:25" x14ac:dyDescent="0.2">
      <c r="A666" s="28">
        <f>计算区域!E668</f>
        <v>44477</v>
      </c>
      <c r="B666" t="e">
        <f ca="1">IFERROR(计算区域!AJ668,NA())</f>
        <v>#N/A</v>
      </c>
      <c r="C666" t="e">
        <f ca="1">IFERROR(计算区域!AK668,NA())</f>
        <v>#N/A</v>
      </c>
      <c r="D666" t="e">
        <f ca="1">IFERROR(计算区域!AL668,NA())</f>
        <v>#N/A</v>
      </c>
      <c r="E666" t="e">
        <f ca="1">IFERROR(计算区域!AM668,NA())</f>
        <v>#N/A</v>
      </c>
      <c r="G666" t="e">
        <f ca="1">IFERROR(计算区域!AD668,NA())</f>
        <v>#N/A</v>
      </c>
      <c r="H666" t="e">
        <f ca="1">IFERROR(计算区域!AE668,NA())</f>
        <v>#N/A</v>
      </c>
      <c r="I666" t="e">
        <f ca="1">IFERROR(计算区域!AF668,NA())</f>
        <v>#N/A</v>
      </c>
      <c r="J666" t="e">
        <f ca="1">IFERROR(计算区域!AG668,NA())</f>
        <v>#N/A</v>
      </c>
      <c r="L666" t="e">
        <f ca="1">IFERROR(计算区域!L668,NA())</f>
        <v>#N/A</v>
      </c>
      <c r="M666" t="e">
        <f ca="1">IFERROR(计算区域!M668,NA())</f>
        <v>#N/A</v>
      </c>
      <c r="N666" t="e">
        <f ca="1">IFERROR(计算区域!N668,NA())</f>
        <v>#N/A</v>
      </c>
      <c r="O666" t="e">
        <f ca="1">IFERROR(计算区域!O668,NA())</f>
        <v>#N/A</v>
      </c>
      <c r="Q666" t="e">
        <f ca="1">IFERROR(计算区域!R668,NA())</f>
        <v>#N/A</v>
      </c>
      <c r="R666" t="e">
        <f ca="1">IFERROR(计算区域!S668,NA())</f>
        <v>#N/A</v>
      </c>
      <c r="S666" t="e">
        <f ca="1">IFERROR(计算区域!T668,NA())</f>
        <v>#N/A</v>
      </c>
      <c r="T666" t="e">
        <f ca="1">IFERROR(计算区域!U668,NA())</f>
        <v>#N/A</v>
      </c>
      <c r="V666" t="e">
        <f ca="1">IFERROR(计算区域!X668,NA())</f>
        <v>#N/A</v>
      </c>
      <c r="W666" t="e">
        <f ca="1">IFERROR(计算区域!Y668,NA())</f>
        <v>#N/A</v>
      </c>
      <c r="X666" t="e">
        <f ca="1">IFERROR(计算区域!Z668,NA())</f>
        <v>#N/A</v>
      </c>
      <c r="Y666" t="e">
        <f ca="1">IFERROR(计算区域!AA668,NA())</f>
        <v>#N/A</v>
      </c>
    </row>
    <row r="667" spans="1:25" x14ac:dyDescent="0.2">
      <c r="A667" s="28">
        <f>计算区域!E669</f>
        <v>44469</v>
      </c>
      <c r="B667" t="e">
        <f ca="1">IFERROR(计算区域!AJ669,NA())</f>
        <v>#N/A</v>
      </c>
      <c r="C667" t="e">
        <f ca="1">IFERROR(计算区域!AK669,NA())</f>
        <v>#N/A</v>
      </c>
      <c r="D667" t="e">
        <f ca="1">IFERROR(计算区域!AL669,NA())</f>
        <v>#N/A</v>
      </c>
      <c r="E667" t="e">
        <f ca="1">IFERROR(计算区域!AM669,NA())</f>
        <v>#N/A</v>
      </c>
      <c r="G667" t="e">
        <f ca="1">IFERROR(计算区域!AD669,NA())</f>
        <v>#N/A</v>
      </c>
      <c r="H667" t="e">
        <f ca="1">IFERROR(计算区域!AE669,NA())</f>
        <v>#N/A</v>
      </c>
      <c r="I667" t="e">
        <f ca="1">IFERROR(计算区域!AF669,NA())</f>
        <v>#N/A</v>
      </c>
      <c r="J667" t="e">
        <f ca="1">IFERROR(计算区域!AG669,NA())</f>
        <v>#N/A</v>
      </c>
      <c r="L667" t="e">
        <f ca="1">IFERROR(计算区域!L669,NA())</f>
        <v>#N/A</v>
      </c>
      <c r="M667" t="e">
        <f ca="1">IFERROR(计算区域!M669,NA())</f>
        <v>#N/A</v>
      </c>
      <c r="N667" t="e">
        <f ca="1">IFERROR(计算区域!N669,NA())</f>
        <v>#N/A</v>
      </c>
      <c r="O667" t="e">
        <f ca="1">IFERROR(计算区域!O669,NA())</f>
        <v>#N/A</v>
      </c>
      <c r="Q667" t="e">
        <f ca="1">IFERROR(计算区域!R669,NA())</f>
        <v>#N/A</v>
      </c>
      <c r="R667" t="e">
        <f ca="1">IFERROR(计算区域!S669,NA())</f>
        <v>#N/A</v>
      </c>
      <c r="S667" t="e">
        <f ca="1">IFERROR(计算区域!T669,NA())</f>
        <v>#N/A</v>
      </c>
      <c r="T667" t="e">
        <f ca="1">IFERROR(计算区域!U669,NA())</f>
        <v>#N/A</v>
      </c>
      <c r="V667" t="e">
        <f ca="1">IFERROR(计算区域!X669,NA())</f>
        <v>#N/A</v>
      </c>
      <c r="W667" t="e">
        <f ca="1">IFERROR(计算区域!Y669,NA())</f>
        <v>#N/A</v>
      </c>
      <c r="X667" t="e">
        <f ca="1">IFERROR(计算区域!Z669,NA())</f>
        <v>#N/A</v>
      </c>
      <c r="Y667" t="e">
        <f ca="1">IFERROR(计算区域!AA669,NA())</f>
        <v>#N/A</v>
      </c>
    </row>
    <row r="668" spans="1:25" x14ac:dyDescent="0.2">
      <c r="A668" s="28">
        <f>计算区域!E670</f>
        <v>44468</v>
      </c>
      <c r="B668" t="e">
        <f ca="1">IFERROR(计算区域!AJ670,NA())</f>
        <v>#N/A</v>
      </c>
      <c r="C668" t="e">
        <f ca="1">IFERROR(计算区域!AK670,NA())</f>
        <v>#N/A</v>
      </c>
      <c r="D668" t="e">
        <f ca="1">IFERROR(计算区域!AL670,NA())</f>
        <v>#N/A</v>
      </c>
      <c r="E668" t="e">
        <f ca="1">IFERROR(计算区域!AM670,NA())</f>
        <v>#N/A</v>
      </c>
      <c r="G668" t="e">
        <f ca="1">IFERROR(计算区域!AD670,NA())</f>
        <v>#N/A</v>
      </c>
      <c r="H668" t="e">
        <f ca="1">IFERROR(计算区域!AE670,NA())</f>
        <v>#N/A</v>
      </c>
      <c r="I668" t="e">
        <f ca="1">IFERROR(计算区域!AF670,NA())</f>
        <v>#N/A</v>
      </c>
      <c r="J668" t="e">
        <f ca="1">IFERROR(计算区域!AG670,NA())</f>
        <v>#N/A</v>
      </c>
      <c r="L668" t="e">
        <f ca="1">IFERROR(计算区域!L670,NA())</f>
        <v>#N/A</v>
      </c>
      <c r="M668" t="e">
        <f ca="1">IFERROR(计算区域!M670,NA())</f>
        <v>#N/A</v>
      </c>
      <c r="N668" t="e">
        <f ca="1">IFERROR(计算区域!N670,NA())</f>
        <v>#N/A</v>
      </c>
      <c r="O668" t="e">
        <f ca="1">IFERROR(计算区域!O670,NA())</f>
        <v>#N/A</v>
      </c>
      <c r="Q668" t="e">
        <f ca="1">IFERROR(计算区域!R670,NA())</f>
        <v>#N/A</v>
      </c>
      <c r="R668" t="e">
        <f ca="1">IFERROR(计算区域!S670,NA())</f>
        <v>#N/A</v>
      </c>
      <c r="S668" t="e">
        <f ca="1">IFERROR(计算区域!T670,NA())</f>
        <v>#N/A</v>
      </c>
      <c r="T668" t="e">
        <f ca="1">IFERROR(计算区域!U670,NA())</f>
        <v>#N/A</v>
      </c>
      <c r="V668" t="e">
        <f ca="1">IFERROR(计算区域!X670,NA())</f>
        <v>#N/A</v>
      </c>
      <c r="W668" t="e">
        <f ca="1">IFERROR(计算区域!Y670,NA())</f>
        <v>#N/A</v>
      </c>
      <c r="X668" t="e">
        <f ca="1">IFERROR(计算区域!Z670,NA())</f>
        <v>#N/A</v>
      </c>
      <c r="Y668" t="e">
        <f ca="1">IFERROR(计算区域!AA670,NA())</f>
        <v>#N/A</v>
      </c>
    </row>
    <row r="669" spans="1:25" x14ac:dyDescent="0.2">
      <c r="A669" s="28">
        <f>计算区域!E671</f>
        <v>44467</v>
      </c>
      <c r="B669" t="e">
        <f ca="1">IFERROR(计算区域!AJ671,NA())</f>
        <v>#N/A</v>
      </c>
      <c r="C669" t="e">
        <f ca="1">IFERROR(计算区域!AK671,NA())</f>
        <v>#N/A</v>
      </c>
      <c r="D669" t="e">
        <f ca="1">IFERROR(计算区域!AL671,NA())</f>
        <v>#N/A</v>
      </c>
      <c r="E669" t="e">
        <f ca="1">IFERROR(计算区域!AM671,NA())</f>
        <v>#N/A</v>
      </c>
      <c r="G669" t="e">
        <f ca="1">IFERROR(计算区域!AD671,NA())</f>
        <v>#N/A</v>
      </c>
      <c r="H669" t="e">
        <f ca="1">IFERROR(计算区域!AE671,NA())</f>
        <v>#N/A</v>
      </c>
      <c r="I669" t="e">
        <f ca="1">IFERROR(计算区域!AF671,NA())</f>
        <v>#N/A</v>
      </c>
      <c r="J669" t="e">
        <f ca="1">IFERROR(计算区域!AG671,NA())</f>
        <v>#N/A</v>
      </c>
      <c r="L669" t="e">
        <f ca="1">IFERROR(计算区域!L671,NA())</f>
        <v>#N/A</v>
      </c>
      <c r="M669" t="e">
        <f ca="1">IFERROR(计算区域!M671,NA())</f>
        <v>#N/A</v>
      </c>
      <c r="N669" t="e">
        <f ca="1">IFERROR(计算区域!N671,NA())</f>
        <v>#N/A</v>
      </c>
      <c r="O669" t="e">
        <f ca="1">IFERROR(计算区域!O671,NA())</f>
        <v>#N/A</v>
      </c>
      <c r="Q669" t="e">
        <f ca="1">IFERROR(计算区域!R671,NA())</f>
        <v>#N/A</v>
      </c>
      <c r="R669" t="e">
        <f ca="1">IFERROR(计算区域!S671,NA())</f>
        <v>#N/A</v>
      </c>
      <c r="S669" t="e">
        <f ca="1">IFERROR(计算区域!T671,NA())</f>
        <v>#N/A</v>
      </c>
      <c r="T669" t="e">
        <f ca="1">IFERROR(计算区域!U671,NA())</f>
        <v>#N/A</v>
      </c>
      <c r="V669" t="e">
        <f ca="1">IFERROR(计算区域!X671,NA())</f>
        <v>#N/A</v>
      </c>
      <c r="W669" t="e">
        <f ca="1">IFERROR(计算区域!Y671,NA())</f>
        <v>#N/A</v>
      </c>
      <c r="X669" t="e">
        <f ca="1">IFERROR(计算区域!Z671,NA())</f>
        <v>#N/A</v>
      </c>
      <c r="Y669" t="e">
        <f ca="1">IFERROR(计算区域!AA671,NA())</f>
        <v>#N/A</v>
      </c>
    </row>
    <row r="670" spans="1:25" x14ac:dyDescent="0.2">
      <c r="A670" s="28">
        <f>计算区域!E672</f>
        <v>44466</v>
      </c>
      <c r="B670" t="e">
        <f ca="1">IFERROR(计算区域!AJ672,NA())</f>
        <v>#N/A</v>
      </c>
      <c r="C670" t="e">
        <f ca="1">IFERROR(计算区域!AK672,NA())</f>
        <v>#N/A</v>
      </c>
      <c r="D670" t="e">
        <f ca="1">IFERROR(计算区域!AL672,NA())</f>
        <v>#N/A</v>
      </c>
      <c r="E670" t="e">
        <f ca="1">IFERROR(计算区域!AM672,NA())</f>
        <v>#N/A</v>
      </c>
      <c r="G670" t="e">
        <f ca="1">IFERROR(计算区域!AD672,NA())</f>
        <v>#N/A</v>
      </c>
      <c r="H670" t="e">
        <f ca="1">IFERROR(计算区域!AE672,NA())</f>
        <v>#N/A</v>
      </c>
      <c r="I670" t="e">
        <f ca="1">IFERROR(计算区域!AF672,NA())</f>
        <v>#N/A</v>
      </c>
      <c r="J670" t="e">
        <f ca="1">IFERROR(计算区域!AG672,NA())</f>
        <v>#N/A</v>
      </c>
      <c r="L670" t="e">
        <f ca="1">IFERROR(计算区域!L672,NA())</f>
        <v>#N/A</v>
      </c>
      <c r="M670" t="e">
        <f ca="1">IFERROR(计算区域!M672,NA())</f>
        <v>#N/A</v>
      </c>
      <c r="N670" t="e">
        <f ca="1">IFERROR(计算区域!N672,NA())</f>
        <v>#N/A</v>
      </c>
      <c r="O670" t="e">
        <f ca="1">IFERROR(计算区域!O672,NA())</f>
        <v>#N/A</v>
      </c>
      <c r="Q670" t="e">
        <f ca="1">IFERROR(计算区域!R672,NA())</f>
        <v>#N/A</v>
      </c>
      <c r="R670" t="e">
        <f ca="1">IFERROR(计算区域!S672,NA())</f>
        <v>#N/A</v>
      </c>
      <c r="S670" t="e">
        <f ca="1">IFERROR(计算区域!T672,NA())</f>
        <v>#N/A</v>
      </c>
      <c r="T670" t="e">
        <f ca="1">IFERROR(计算区域!U672,NA())</f>
        <v>#N/A</v>
      </c>
      <c r="V670" t="e">
        <f ca="1">IFERROR(计算区域!X672,NA())</f>
        <v>#N/A</v>
      </c>
      <c r="W670" t="e">
        <f ca="1">IFERROR(计算区域!Y672,NA())</f>
        <v>#N/A</v>
      </c>
      <c r="X670" t="e">
        <f ca="1">IFERROR(计算区域!Z672,NA())</f>
        <v>#N/A</v>
      </c>
      <c r="Y670" t="e">
        <f ca="1">IFERROR(计算区域!AA672,NA())</f>
        <v>#N/A</v>
      </c>
    </row>
    <row r="671" spans="1:25" x14ac:dyDescent="0.2">
      <c r="A671" s="28">
        <f>计算区域!E673</f>
        <v>44463</v>
      </c>
      <c r="B671" t="e">
        <f ca="1">IFERROR(计算区域!AJ673,NA())</f>
        <v>#N/A</v>
      </c>
      <c r="C671" t="e">
        <f ca="1">IFERROR(计算区域!AK673,NA())</f>
        <v>#N/A</v>
      </c>
      <c r="D671" t="e">
        <f ca="1">IFERROR(计算区域!AL673,NA())</f>
        <v>#N/A</v>
      </c>
      <c r="E671" t="e">
        <f ca="1">IFERROR(计算区域!AM673,NA())</f>
        <v>#N/A</v>
      </c>
      <c r="G671" t="e">
        <f ca="1">IFERROR(计算区域!AD673,NA())</f>
        <v>#N/A</v>
      </c>
      <c r="H671" t="e">
        <f ca="1">IFERROR(计算区域!AE673,NA())</f>
        <v>#N/A</v>
      </c>
      <c r="I671" t="e">
        <f ca="1">IFERROR(计算区域!AF673,NA())</f>
        <v>#N/A</v>
      </c>
      <c r="J671" t="e">
        <f ca="1">IFERROR(计算区域!AG673,NA())</f>
        <v>#N/A</v>
      </c>
      <c r="L671" t="e">
        <f ca="1">IFERROR(计算区域!L673,NA())</f>
        <v>#N/A</v>
      </c>
      <c r="M671" t="e">
        <f ca="1">IFERROR(计算区域!M673,NA())</f>
        <v>#N/A</v>
      </c>
      <c r="N671" t="e">
        <f ca="1">IFERROR(计算区域!N673,NA())</f>
        <v>#N/A</v>
      </c>
      <c r="O671" t="e">
        <f ca="1">IFERROR(计算区域!O673,NA())</f>
        <v>#N/A</v>
      </c>
      <c r="Q671" t="e">
        <f ca="1">IFERROR(计算区域!R673,NA())</f>
        <v>#N/A</v>
      </c>
      <c r="R671" t="e">
        <f ca="1">IFERROR(计算区域!S673,NA())</f>
        <v>#N/A</v>
      </c>
      <c r="S671" t="e">
        <f ca="1">IFERROR(计算区域!T673,NA())</f>
        <v>#N/A</v>
      </c>
      <c r="T671" t="e">
        <f ca="1">IFERROR(计算区域!U673,NA())</f>
        <v>#N/A</v>
      </c>
      <c r="V671" t="e">
        <f ca="1">IFERROR(计算区域!X673,NA())</f>
        <v>#N/A</v>
      </c>
      <c r="W671" t="e">
        <f ca="1">IFERROR(计算区域!Y673,NA())</f>
        <v>#N/A</v>
      </c>
      <c r="X671" t="e">
        <f ca="1">IFERROR(计算区域!Z673,NA())</f>
        <v>#N/A</v>
      </c>
      <c r="Y671" t="e">
        <f ca="1">IFERROR(计算区域!AA673,NA())</f>
        <v>#N/A</v>
      </c>
    </row>
    <row r="672" spans="1:25" x14ac:dyDescent="0.2">
      <c r="A672" s="28">
        <f>计算区域!E674</f>
        <v>44462</v>
      </c>
      <c r="B672" t="e">
        <f ca="1">IFERROR(计算区域!AJ674,NA())</f>
        <v>#N/A</v>
      </c>
      <c r="C672" t="e">
        <f ca="1">IFERROR(计算区域!AK674,NA())</f>
        <v>#N/A</v>
      </c>
      <c r="D672" t="e">
        <f ca="1">IFERROR(计算区域!AL674,NA())</f>
        <v>#N/A</v>
      </c>
      <c r="E672" t="e">
        <f ca="1">IFERROR(计算区域!AM674,NA())</f>
        <v>#N/A</v>
      </c>
      <c r="G672" t="e">
        <f ca="1">IFERROR(计算区域!AD674,NA())</f>
        <v>#N/A</v>
      </c>
      <c r="H672" t="e">
        <f ca="1">IFERROR(计算区域!AE674,NA())</f>
        <v>#N/A</v>
      </c>
      <c r="I672" t="e">
        <f ca="1">IFERROR(计算区域!AF674,NA())</f>
        <v>#N/A</v>
      </c>
      <c r="J672" t="e">
        <f ca="1">IFERROR(计算区域!AG674,NA())</f>
        <v>#N/A</v>
      </c>
      <c r="L672" t="e">
        <f ca="1">IFERROR(计算区域!L674,NA())</f>
        <v>#N/A</v>
      </c>
      <c r="M672" t="e">
        <f ca="1">IFERROR(计算区域!M674,NA())</f>
        <v>#N/A</v>
      </c>
      <c r="N672" t="e">
        <f ca="1">IFERROR(计算区域!N674,NA())</f>
        <v>#N/A</v>
      </c>
      <c r="O672" t="e">
        <f ca="1">IFERROR(计算区域!O674,NA())</f>
        <v>#N/A</v>
      </c>
      <c r="Q672" t="e">
        <f ca="1">IFERROR(计算区域!R674,NA())</f>
        <v>#N/A</v>
      </c>
      <c r="R672" t="e">
        <f ca="1">IFERROR(计算区域!S674,NA())</f>
        <v>#N/A</v>
      </c>
      <c r="S672" t="e">
        <f ca="1">IFERROR(计算区域!T674,NA())</f>
        <v>#N/A</v>
      </c>
      <c r="T672" t="e">
        <f ca="1">IFERROR(计算区域!U674,NA())</f>
        <v>#N/A</v>
      </c>
      <c r="V672" t="e">
        <f ca="1">IFERROR(计算区域!X674,NA())</f>
        <v>#N/A</v>
      </c>
      <c r="W672" t="e">
        <f ca="1">IFERROR(计算区域!Y674,NA())</f>
        <v>#N/A</v>
      </c>
      <c r="X672" t="e">
        <f ca="1">IFERROR(计算区域!Z674,NA())</f>
        <v>#N/A</v>
      </c>
      <c r="Y672" t="e">
        <f ca="1">IFERROR(计算区域!AA674,NA())</f>
        <v>#N/A</v>
      </c>
    </row>
    <row r="673" spans="1:25" x14ac:dyDescent="0.2">
      <c r="A673" s="28">
        <f>计算区域!E675</f>
        <v>44461</v>
      </c>
      <c r="B673" t="e">
        <f ca="1">IFERROR(计算区域!AJ675,NA())</f>
        <v>#N/A</v>
      </c>
      <c r="C673" t="e">
        <f ca="1">IFERROR(计算区域!AK675,NA())</f>
        <v>#N/A</v>
      </c>
      <c r="D673" t="e">
        <f ca="1">IFERROR(计算区域!AL675,NA())</f>
        <v>#N/A</v>
      </c>
      <c r="E673" t="e">
        <f ca="1">IFERROR(计算区域!AM675,NA())</f>
        <v>#N/A</v>
      </c>
      <c r="G673" t="e">
        <f ca="1">IFERROR(计算区域!AD675,NA())</f>
        <v>#N/A</v>
      </c>
      <c r="H673" t="e">
        <f ca="1">IFERROR(计算区域!AE675,NA())</f>
        <v>#N/A</v>
      </c>
      <c r="I673" t="e">
        <f ca="1">IFERROR(计算区域!AF675,NA())</f>
        <v>#N/A</v>
      </c>
      <c r="J673" t="e">
        <f ca="1">IFERROR(计算区域!AG675,NA())</f>
        <v>#N/A</v>
      </c>
      <c r="L673" t="e">
        <f ca="1">IFERROR(计算区域!L675,NA())</f>
        <v>#N/A</v>
      </c>
      <c r="M673" t="e">
        <f ca="1">IFERROR(计算区域!M675,NA())</f>
        <v>#N/A</v>
      </c>
      <c r="N673" t="e">
        <f ca="1">IFERROR(计算区域!N675,NA())</f>
        <v>#N/A</v>
      </c>
      <c r="O673" t="e">
        <f ca="1">IFERROR(计算区域!O675,NA())</f>
        <v>#N/A</v>
      </c>
      <c r="Q673" t="e">
        <f ca="1">IFERROR(计算区域!R675,NA())</f>
        <v>#N/A</v>
      </c>
      <c r="R673" t="e">
        <f ca="1">IFERROR(计算区域!S675,NA())</f>
        <v>#N/A</v>
      </c>
      <c r="S673" t="e">
        <f ca="1">IFERROR(计算区域!T675,NA())</f>
        <v>#N/A</v>
      </c>
      <c r="T673" t="e">
        <f ca="1">IFERROR(计算区域!U675,NA())</f>
        <v>#N/A</v>
      </c>
      <c r="V673" t="e">
        <f ca="1">IFERROR(计算区域!X675,NA())</f>
        <v>#N/A</v>
      </c>
      <c r="W673" t="e">
        <f ca="1">IFERROR(计算区域!Y675,NA())</f>
        <v>#N/A</v>
      </c>
      <c r="X673" t="e">
        <f ca="1">IFERROR(计算区域!Z675,NA())</f>
        <v>#N/A</v>
      </c>
      <c r="Y673" t="e">
        <f ca="1">IFERROR(计算区域!AA675,NA())</f>
        <v>#N/A</v>
      </c>
    </row>
    <row r="674" spans="1:25" x14ac:dyDescent="0.2">
      <c r="A674" s="28">
        <f>计算区域!E676</f>
        <v>44456</v>
      </c>
      <c r="B674" t="e">
        <f ca="1">IFERROR(计算区域!AJ676,NA())</f>
        <v>#N/A</v>
      </c>
      <c r="C674" t="e">
        <f ca="1">IFERROR(计算区域!AK676,NA())</f>
        <v>#N/A</v>
      </c>
      <c r="D674" t="e">
        <f ca="1">IFERROR(计算区域!AL676,NA())</f>
        <v>#N/A</v>
      </c>
      <c r="E674" t="e">
        <f ca="1">IFERROR(计算区域!AM676,NA())</f>
        <v>#N/A</v>
      </c>
      <c r="G674" t="e">
        <f ca="1">IFERROR(计算区域!AD676,NA())</f>
        <v>#N/A</v>
      </c>
      <c r="H674" t="e">
        <f ca="1">IFERROR(计算区域!AE676,NA())</f>
        <v>#N/A</v>
      </c>
      <c r="I674" t="e">
        <f ca="1">IFERROR(计算区域!AF676,NA())</f>
        <v>#N/A</v>
      </c>
      <c r="J674" t="e">
        <f ca="1">IFERROR(计算区域!AG676,NA())</f>
        <v>#N/A</v>
      </c>
      <c r="L674" t="e">
        <f ca="1">IFERROR(计算区域!L676,NA())</f>
        <v>#N/A</v>
      </c>
      <c r="M674" t="e">
        <f ca="1">IFERROR(计算区域!M676,NA())</f>
        <v>#N/A</v>
      </c>
      <c r="N674" t="e">
        <f ca="1">IFERROR(计算区域!N676,NA())</f>
        <v>#N/A</v>
      </c>
      <c r="O674" t="e">
        <f ca="1">IFERROR(计算区域!O676,NA())</f>
        <v>#N/A</v>
      </c>
      <c r="Q674" t="e">
        <f ca="1">IFERROR(计算区域!R676,NA())</f>
        <v>#N/A</v>
      </c>
      <c r="R674" t="e">
        <f ca="1">IFERROR(计算区域!S676,NA())</f>
        <v>#N/A</v>
      </c>
      <c r="S674" t="e">
        <f ca="1">IFERROR(计算区域!T676,NA())</f>
        <v>#N/A</v>
      </c>
      <c r="T674" t="e">
        <f ca="1">IFERROR(计算区域!U676,NA())</f>
        <v>#N/A</v>
      </c>
      <c r="V674" t="e">
        <f ca="1">IFERROR(计算区域!X676,NA())</f>
        <v>#N/A</v>
      </c>
      <c r="W674" t="e">
        <f ca="1">IFERROR(计算区域!Y676,NA())</f>
        <v>#N/A</v>
      </c>
      <c r="X674" t="e">
        <f ca="1">IFERROR(计算区域!Z676,NA())</f>
        <v>#N/A</v>
      </c>
      <c r="Y674" t="e">
        <f ca="1">IFERROR(计算区域!AA676,NA())</f>
        <v>#N/A</v>
      </c>
    </row>
    <row r="675" spans="1:25" x14ac:dyDescent="0.2">
      <c r="A675" s="28">
        <f>计算区域!E677</f>
        <v>44455</v>
      </c>
      <c r="B675" t="e">
        <f ca="1">IFERROR(计算区域!AJ677,NA())</f>
        <v>#N/A</v>
      </c>
      <c r="C675" t="e">
        <f ca="1">IFERROR(计算区域!AK677,NA())</f>
        <v>#N/A</v>
      </c>
      <c r="D675" t="e">
        <f ca="1">IFERROR(计算区域!AL677,NA())</f>
        <v>#N/A</v>
      </c>
      <c r="E675" t="e">
        <f ca="1">IFERROR(计算区域!AM677,NA())</f>
        <v>#N/A</v>
      </c>
      <c r="G675" t="e">
        <f ca="1">IFERROR(计算区域!AD677,NA())</f>
        <v>#N/A</v>
      </c>
      <c r="H675" t="e">
        <f ca="1">IFERROR(计算区域!AE677,NA())</f>
        <v>#N/A</v>
      </c>
      <c r="I675" t="e">
        <f ca="1">IFERROR(计算区域!AF677,NA())</f>
        <v>#N/A</v>
      </c>
      <c r="J675" t="e">
        <f ca="1">IFERROR(计算区域!AG677,NA())</f>
        <v>#N/A</v>
      </c>
      <c r="L675" t="e">
        <f ca="1">IFERROR(计算区域!L677,NA())</f>
        <v>#N/A</v>
      </c>
      <c r="M675" t="e">
        <f ca="1">IFERROR(计算区域!M677,NA())</f>
        <v>#N/A</v>
      </c>
      <c r="N675" t="e">
        <f ca="1">IFERROR(计算区域!N677,NA())</f>
        <v>#N/A</v>
      </c>
      <c r="O675" t="e">
        <f ca="1">IFERROR(计算区域!O677,NA())</f>
        <v>#N/A</v>
      </c>
      <c r="Q675" t="e">
        <f ca="1">IFERROR(计算区域!R677,NA())</f>
        <v>#N/A</v>
      </c>
      <c r="R675" t="e">
        <f ca="1">IFERROR(计算区域!S677,NA())</f>
        <v>#N/A</v>
      </c>
      <c r="S675" t="e">
        <f ca="1">IFERROR(计算区域!T677,NA())</f>
        <v>#N/A</v>
      </c>
      <c r="T675" t="e">
        <f ca="1">IFERROR(计算区域!U677,NA())</f>
        <v>#N/A</v>
      </c>
      <c r="V675" t="e">
        <f ca="1">IFERROR(计算区域!X677,NA())</f>
        <v>#N/A</v>
      </c>
      <c r="W675" t="e">
        <f ca="1">IFERROR(计算区域!Y677,NA())</f>
        <v>#N/A</v>
      </c>
      <c r="X675" t="e">
        <f ca="1">IFERROR(计算区域!Z677,NA())</f>
        <v>#N/A</v>
      </c>
      <c r="Y675" t="e">
        <f ca="1">IFERROR(计算区域!AA677,NA())</f>
        <v>#N/A</v>
      </c>
    </row>
    <row r="676" spans="1:25" x14ac:dyDescent="0.2">
      <c r="A676" s="28">
        <f>计算区域!E678</f>
        <v>44454</v>
      </c>
      <c r="B676" t="e">
        <f ca="1">IFERROR(计算区域!AJ678,NA())</f>
        <v>#N/A</v>
      </c>
      <c r="C676" t="e">
        <f ca="1">IFERROR(计算区域!AK678,NA())</f>
        <v>#N/A</v>
      </c>
      <c r="D676" t="e">
        <f ca="1">IFERROR(计算区域!AL678,NA())</f>
        <v>#N/A</v>
      </c>
      <c r="E676" t="e">
        <f ca="1">IFERROR(计算区域!AM678,NA())</f>
        <v>#N/A</v>
      </c>
      <c r="G676" t="e">
        <f ca="1">IFERROR(计算区域!AD678,NA())</f>
        <v>#N/A</v>
      </c>
      <c r="H676" t="e">
        <f ca="1">IFERROR(计算区域!AE678,NA())</f>
        <v>#N/A</v>
      </c>
      <c r="I676" t="e">
        <f ca="1">IFERROR(计算区域!AF678,NA())</f>
        <v>#N/A</v>
      </c>
      <c r="J676" t="e">
        <f ca="1">IFERROR(计算区域!AG678,NA())</f>
        <v>#N/A</v>
      </c>
      <c r="L676" t="e">
        <f ca="1">IFERROR(计算区域!L678,NA())</f>
        <v>#N/A</v>
      </c>
      <c r="M676" t="e">
        <f ca="1">IFERROR(计算区域!M678,NA())</f>
        <v>#N/A</v>
      </c>
      <c r="N676" t="e">
        <f ca="1">IFERROR(计算区域!N678,NA())</f>
        <v>#N/A</v>
      </c>
      <c r="O676" t="e">
        <f ca="1">IFERROR(计算区域!O678,NA())</f>
        <v>#N/A</v>
      </c>
      <c r="Q676" t="e">
        <f ca="1">IFERROR(计算区域!R678,NA())</f>
        <v>#N/A</v>
      </c>
      <c r="R676" t="e">
        <f ca="1">IFERROR(计算区域!S678,NA())</f>
        <v>#N/A</v>
      </c>
      <c r="S676" t="e">
        <f ca="1">IFERROR(计算区域!T678,NA())</f>
        <v>#N/A</v>
      </c>
      <c r="T676" t="e">
        <f ca="1">IFERROR(计算区域!U678,NA())</f>
        <v>#N/A</v>
      </c>
      <c r="V676" t="e">
        <f ca="1">IFERROR(计算区域!X678,NA())</f>
        <v>#N/A</v>
      </c>
      <c r="W676" t="e">
        <f ca="1">IFERROR(计算区域!Y678,NA())</f>
        <v>#N/A</v>
      </c>
      <c r="X676" t="e">
        <f ca="1">IFERROR(计算区域!Z678,NA())</f>
        <v>#N/A</v>
      </c>
      <c r="Y676" t="e">
        <f ca="1">IFERROR(计算区域!AA678,NA())</f>
        <v>#N/A</v>
      </c>
    </row>
    <row r="677" spans="1:25" x14ac:dyDescent="0.2">
      <c r="A677" s="28">
        <f>计算区域!E679</f>
        <v>44453</v>
      </c>
      <c r="B677" t="e">
        <f ca="1">IFERROR(计算区域!AJ679,NA())</f>
        <v>#N/A</v>
      </c>
      <c r="C677" t="e">
        <f ca="1">IFERROR(计算区域!AK679,NA())</f>
        <v>#N/A</v>
      </c>
      <c r="D677" t="e">
        <f ca="1">IFERROR(计算区域!AL679,NA())</f>
        <v>#N/A</v>
      </c>
      <c r="E677" t="e">
        <f ca="1">IFERROR(计算区域!AM679,NA())</f>
        <v>#N/A</v>
      </c>
      <c r="G677" t="e">
        <f ca="1">IFERROR(计算区域!AD679,NA())</f>
        <v>#N/A</v>
      </c>
      <c r="H677" t="e">
        <f ca="1">IFERROR(计算区域!AE679,NA())</f>
        <v>#N/A</v>
      </c>
      <c r="I677" t="e">
        <f ca="1">IFERROR(计算区域!AF679,NA())</f>
        <v>#N/A</v>
      </c>
      <c r="J677" t="e">
        <f ca="1">IFERROR(计算区域!AG679,NA())</f>
        <v>#N/A</v>
      </c>
      <c r="L677" t="e">
        <f ca="1">IFERROR(计算区域!L679,NA())</f>
        <v>#N/A</v>
      </c>
      <c r="M677" t="e">
        <f ca="1">IFERROR(计算区域!M679,NA())</f>
        <v>#N/A</v>
      </c>
      <c r="N677" t="e">
        <f ca="1">IFERROR(计算区域!N679,NA())</f>
        <v>#N/A</v>
      </c>
      <c r="O677" t="e">
        <f ca="1">IFERROR(计算区域!O679,NA())</f>
        <v>#N/A</v>
      </c>
      <c r="Q677" t="e">
        <f ca="1">IFERROR(计算区域!R679,NA())</f>
        <v>#N/A</v>
      </c>
      <c r="R677" t="e">
        <f ca="1">IFERROR(计算区域!S679,NA())</f>
        <v>#N/A</v>
      </c>
      <c r="S677" t="e">
        <f ca="1">IFERROR(计算区域!T679,NA())</f>
        <v>#N/A</v>
      </c>
      <c r="T677" t="e">
        <f ca="1">IFERROR(计算区域!U679,NA())</f>
        <v>#N/A</v>
      </c>
      <c r="V677" t="e">
        <f ca="1">IFERROR(计算区域!X679,NA())</f>
        <v>#N/A</v>
      </c>
      <c r="W677" t="e">
        <f ca="1">IFERROR(计算区域!Y679,NA())</f>
        <v>#N/A</v>
      </c>
      <c r="X677" t="e">
        <f ca="1">IFERROR(计算区域!Z679,NA())</f>
        <v>#N/A</v>
      </c>
      <c r="Y677" t="e">
        <f ca="1">IFERROR(计算区域!AA679,NA())</f>
        <v>#N/A</v>
      </c>
    </row>
    <row r="678" spans="1:25" x14ac:dyDescent="0.2">
      <c r="A678" s="28">
        <f>计算区域!E680</f>
        <v>44452</v>
      </c>
      <c r="B678" t="e">
        <f ca="1">IFERROR(计算区域!AJ680,NA())</f>
        <v>#N/A</v>
      </c>
      <c r="C678" t="e">
        <f ca="1">IFERROR(计算区域!AK680,NA())</f>
        <v>#N/A</v>
      </c>
      <c r="D678" t="e">
        <f ca="1">IFERROR(计算区域!AL680,NA())</f>
        <v>#N/A</v>
      </c>
      <c r="E678" t="e">
        <f ca="1">IFERROR(计算区域!AM680,NA())</f>
        <v>#N/A</v>
      </c>
      <c r="G678" t="e">
        <f ca="1">IFERROR(计算区域!AD680,NA())</f>
        <v>#N/A</v>
      </c>
      <c r="H678" t="e">
        <f ca="1">IFERROR(计算区域!AE680,NA())</f>
        <v>#N/A</v>
      </c>
      <c r="I678" t="e">
        <f ca="1">IFERROR(计算区域!AF680,NA())</f>
        <v>#N/A</v>
      </c>
      <c r="J678" t="e">
        <f ca="1">IFERROR(计算区域!AG680,NA())</f>
        <v>#N/A</v>
      </c>
      <c r="L678" t="e">
        <f ca="1">IFERROR(计算区域!L680,NA())</f>
        <v>#N/A</v>
      </c>
      <c r="M678" t="e">
        <f ca="1">IFERROR(计算区域!M680,NA())</f>
        <v>#N/A</v>
      </c>
      <c r="N678" t="e">
        <f ca="1">IFERROR(计算区域!N680,NA())</f>
        <v>#N/A</v>
      </c>
      <c r="O678" t="e">
        <f ca="1">IFERROR(计算区域!O680,NA())</f>
        <v>#N/A</v>
      </c>
      <c r="Q678" t="e">
        <f ca="1">IFERROR(计算区域!R680,NA())</f>
        <v>#N/A</v>
      </c>
      <c r="R678" t="e">
        <f ca="1">IFERROR(计算区域!S680,NA())</f>
        <v>#N/A</v>
      </c>
      <c r="S678" t="e">
        <f ca="1">IFERROR(计算区域!T680,NA())</f>
        <v>#N/A</v>
      </c>
      <c r="T678" t="e">
        <f ca="1">IFERROR(计算区域!U680,NA())</f>
        <v>#N/A</v>
      </c>
      <c r="V678" t="e">
        <f ca="1">IFERROR(计算区域!X680,NA())</f>
        <v>#N/A</v>
      </c>
      <c r="W678" t="e">
        <f ca="1">IFERROR(计算区域!Y680,NA())</f>
        <v>#N/A</v>
      </c>
      <c r="X678" t="e">
        <f ca="1">IFERROR(计算区域!Z680,NA())</f>
        <v>#N/A</v>
      </c>
      <c r="Y678" t="e">
        <f ca="1">IFERROR(计算区域!AA680,NA())</f>
        <v>#N/A</v>
      </c>
    </row>
    <row r="679" spans="1:25" x14ac:dyDescent="0.2">
      <c r="A679" s="28">
        <f>计算区域!E681</f>
        <v>44449</v>
      </c>
      <c r="B679" t="e">
        <f ca="1">IFERROR(计算区域!AJ681,NA())</f>
        <v>#N/A</v>
      </c>
      <c r="C679" t="e">
        <f ca="1">IFERROR(计算区域!AK681,NA())</f>
        <v>#N/A</v>
      </c>
      <c r="D679" t="e">
        <f ca="1">IFERROR(计算区域!AL681,NA())</f>
        <v>#N/A</v>
      </c>
      <c r="E679" t="e">
        <f ca="1">IFERROR(计算区域!AM681,NA())</f>
        <v>#N/A</v>
      </c>
      <c r="G679" t="e">
        <f ca="1">IFERROR(计算区域!AD681,NA())</f>
        <v>#N/A</v>
      </c>
      <c r="H679" t="e">
        <f ca="1">IFERROR(计算区域!AE681,NA())</f>
        <v>#N/A</v>
      </c>
      <c r="I679" t="e">
        <f ca="1">IFERROR(计算区域!AF681,NA())</f>
        <v>#N/A</v>
      </c>
      <c r="J679" t="e">
        <f ca="1">IFERROR(计算区域!AG681,NA())</f>
        <v>#N/A</v>
      </c>
      <c r="L679" t="e">
        <f ca="1">IFERROR(计算区域!L681,NA())</f>
        <v>#N/A</v>
      </c>
      <c r="M679" t="e">
        <f ca="1">IFERROR(计算区域!M681,NA())</f>
        <v>#N/A</v>
      </c>
      <c r="N679" t="e">
        <f ca="1">IFERROR(计算区域!N681,NA())</f>
        <v>#N/A</v>
      </c>
      <c r="O679" t="e">
        <f ca="1">IFERROR(计算区域!O681,NA())</f>
        <v>#N/A</v>
      </c>
      <c r="Q679" t="e">
        <f ca="1">IFERROR(计算区域!R681,NA())</f>
        <v>#N/A</v>
      </c>
      <c r="R679" t="e">
        <f ca="1">IFERROR(计算区域!S681,NA())</f>
        <v>#N/A</v>
      </c>
      <c r="S679" t="e">
        <f ca="1">IFERROR(计算区域!T681,NA())</f>
        <v>#N/A</v>
      </c>
      <c r="T679" t="e">
        <f ca="1">IFERROR(计算区域!U681,NA())</f>
        <v>#N/A</v>
      </c>
      <c r="V679" t="e">
        <f ca="1">IFERROR(计算区域!X681,NA())</f>
        <v>#N/A</v>
      </c>
      <c r="W679" t="e">
        <f ca="1">IFERROR(计算区域!Y681,NA())</f>
        <v>#N/A</v>
      </c>
      <c r="X679" t="e">
        <f ca="1">IFERROR(计算区域!Z681,NA())</f>
        <v>#N/A</v>
      </c>
      <c r="Y679" t="e">
        <f ca="1">IFERROR(计算区域!AA681,NA())</f>
        <v>#N/A</v>
      </c>
    </row>
    <row r="680" spans="1:25" x14ac:dyDescent="0.2">
      <c r="A680" s="28">
        <f>计算区域!E682</f>
        <v>44448</v>
      </c>
      <c r="B680" t="e">
        <f ca="1">IFERROR(计算区域!AJ682,NA())</f>
        <v>#N/A</v>
      </c>
      <c r="C680" t="e">
        <f ca="1">IFERROR(计算区域!AK682,NA())</f>
        <v>#N/A</v>
      </c>
      <c r="D680" t="e">
        <f ca="1">IFERROR(计算区域!AL682,NA())</f>
        <v>#N/A</v>
      </c>
      <c r="E680" t="e">
        <f ca="1">IFERROR(计算区域!AM682,NA())</f>
        <v>#N/A</v>
      </c>
      <c r="G680" t="e">
        <f ca="1">IFERROR(计算区域!AD682,NA())</f>
        <v>#N/A</v>
      </c>
      <c r="H680" t="e">
        <f ca="1">IFERROR(计算区域!AE682,NA())</f>
        <v>#N/A</v>
      </c>
      <c r="I680" t="e">
        <f ca="1">IFERROR(计算区域!AF682,NA())</f>
        <v>#N/A</v>
      </c>
      <c r="J680" t="e">
        <f ca="1">IFERROR(计算区域!AG682,NA())</f>
        <v>#N/A</v>
      </c>
      <c r="L680" t="e">
        <f ca="1">IFERROR(计算区域!L682,NA())</f>
        <v>#N/A</v>
      </c>
      <c r="M680" t="e">
        <f ca="1">IFERROR(计算区域!M682,NA())</f>
        <v>#N/A</v>
      </c>
      <c r="N680" t="e">
        <f ca="1">IFERROR(计算区域!N682,NA())</f>
        <v>#N/A</v>
      </c>
      <c r="O680" t="e">
        <f ca="1">IFERROR(计算区域!O682,NA())</f>
        <v>#N/A</v>
      </c>
      <c r="Q680" t="e">
        <f ca="1">IFERROR(计算区域!R682,NA())</f>
        <v>#N/A</v>
      </c>
      <c r="R680" t="e">
        <f ca="1">IFERROR(计算区域!S682,NA())</f>
        <v>#N/A</v>
      </c>
      <c r="S680" t="e">
        <f ca="1">IFERROR(计算区域!T682,NA())</f>
        <v>#N/A</v>
      </c>
      <c r="T680" t="e">
        <f ca="1">IFERROR(计算区域!U682,NA())</f>
        <v>#N/A</v>
      </c>
      <c r="V680" t="e">
        <f ca="1">IFERROR(计算区域!X682,NA())</f>
        <v>#N/A</v>
      </c>
      <c r="W680" t="e">
        <f ca="1">IFERROR(计算区域!Y682,NA())</f>
        <v>#N/A</v>
      </c>
      <c r="X680" t="e">
        <f ca="1">IFERROR(计算区域!Z682,NA())</f>
        <v>#N/A</v>
      </c>
      <c r="Y680" t="e">
        <f ca="1">IFERROR(计算区域!AA682,NA())</f>
        <v>#N/A</v>
      </c>
    </row>
    <row r="681" spans="1:25" x14ac:dyDescent="0.2">
      <c r="A681" s="28">
        <f>计算区域!E683</f>
        <v>44447</v>
      </c>
      <c r="B681" t="e">
        <f ca="1">IFERROR(计算区域!AJ683,NA())</f>
        <v>#N/A</v>
      </c>
      <c r="C681" t="e">
        <f ca="1">IFERROR(计算区域!AK683,NA())</f>
        <v>#N/A</v>
      </c>
      <c r="D681" t="e">
        <f ca="1">IFERROR(计算区域!AL683,NA())</f>
        <v>#N/A</v>
      </c>
      <c r="E681" t="e">
        <f ca="1">IFERROR(计算区域!AM683,NA())</f>
        <v>#N/A</v>
      </c>
      <c r="G681" t="e">
        <f ca="1">IFERROR(计算区域!AD683,NA())</f>
        <v>#N/A</v>
      </c>
      <c r="H681" t="e">
        <f ca="1">IFERROR(计算区域!AE683,NA())</f>
        <v>#N/A</v>
      </c>
      <c r="I681" t="e">
        <f ca="1">IFERROR(计算区域!AF683,NA())</f>
        <v>#N/A</v>
      </c>
      <c r="J681" t="e">
        <f ca="1">IFERROR(计算区域!AG683,NA())</f>
        <v>#N/A</v>
      </c>
      <c r="L681" t="e">
        <f ca="1">IFERROR(计算区域!L683,NA())</f>
        <v>#N/A</v>
      </c>
      <c r="M681" t="e">
        <f ca="1">IFERROR(计算区域!M683,NA())</f>
        <v>#N/A</v>
      </c>
      <c r="N681" t="e">
        <f ca="1">IFERROR(计算区域!N683,NA())</f>
        <v>#N/A</v>
      </c>
      <c r="O681" t="e">
        <f ca="1">IFERROR(计算区域!O683,NA())</f>
        <v>#N/A</v>
      </c>
      <c r="Q681" t="e">
        <f ca="1">IFERROR(计算区域!R683,NA())</f>
        <v>#N/A</v>
      </c>
      <c r="R681" t="e">
        <f ca="1">IFERROR(计算区域!S683,NA())</f>
        <v>#N/A</v>
      </c>
      <c r="S681" t="e">
        <f ca="1">IFERROR(计算区域!T683,NA())</f>
        <v>#N/A</v>
      </c>
      <c r="T681" t="e">
        <f ca="1">IFERROR(计算区域!U683,NA())</f>
        <v>#N/A</v>
      </c>
      <c r="V681" t="e">
        <f ca="1">IFERROR(计算区域!X683,NA())</f>
        <v>#N/A</v>
      </c>
      <c r="W681" t="e">
        <f ca="1">IFERROR(计算区域!Y683,NA())</f>
        <v>#N/A</v>
      </c>
      <c r="X681" t="e">
        <f ca="1">IFERROR(计算区域!Z683,NA())</f>
        <v>#N/A</v>
      </c>
      <c r="Y681" t="e">
        <f ca="1">IFERROR(计算区域!AA683,NA())</f>
        <v>#N/A</v>
      </c>
    </row>
    <row r="682" spans="1:25" x14ac:dyDescent="0.2">
      <c r="A682" s="28">
        <f>计算区域!E684</f>
        <v>44446</v>
      </c>
      <c r="B682" t="e">
        <f ca="1">IFERROR(计算区域!AJ684,NA())</f>
        <v>#N/A</v>
      </c>
      <c r="C682" t="e">
        <f ca="1">IFERROR(计算区域!AK684,NA())</f>
        <v>#N/A</v>
      </c>
      <c r="D682" t="e">
        <f ca="1">IFERROR(计算区域!AL684,NA())</f>
        <v>#N/A</v>
      </c>
      <c r="E682" t="e">
        <f ca="1">IFERROR(计算区域!AM684,NA())</f>
        <v>#N/A</v>
      </c>
      <c r="G682" t="e">
        <f ca="1">IFERROR(计算区域!AD684,NA())</f>
        <v>#N/A</v>
      </c>
      <c r="H682" t="e">
        <f ca="1">IFERROR(计算区域!AE684,NA())</f>
        <v>#N/A</v>
      </c>
      <c r="I682" t="e">
        <f ca="1">IFERROR(计算区域!AF684,NA())</f>
        <v>#N/A</v>
      </c>
      <c r="J682" t="e">
        <f ca="1">IFERROR(计算区域!AG684,NA())</f>
        <v>#N/A</v>
      </c>
      <c r="L682" t="e">
        <f ca="1">IFERROR(计算区域!L684,NA())</f>
        <v>#N/A</v>
      </c>
      <c r="M682" t="e">
        <f ca="1">IFERROR(计算区域!M684,NA())</f>
        <v>#N/A</v>
      </c>
      <c r="N682" t="e">
        <f ca="1">IFERROR(计算区域!N684,NA())</f>
        <v>#N/A</v>
      </c>
      <c r="O682" t="e">
        <f ca="1">IFERROR(计算区域!O684,NA())</f>
        <v>#N/A</v>
      </c>
      <c r="Q682" t="e">
        <f ca="1">IFERROR(计算区域!R684,NA())</f>
        <v>#N/A</v>
      </c>
      <c r="R682" t="e">
        <f ca="1">IFERROR(计算区域!S684,NA())</f>
        <v>#N/A</v>
      </c>
      <c r="S682" t="e">
        <f ca="1">IFERROR(计算区域!T684,NA())</f>
        <v>#N/A</v>
      </c>
      <c r="T682" t="e">
        <f ca="1">IFERROR(计算区域!U684,NA())</f>
        <v>#N/A</v>
      </c>
      <c r="V682" t="e">
        <f ca="1">IFERROR(计算区域!X684,NA())</f>
        <v>#N/A</v>
      </c>
      <c r="W682" t="e">
        <f ca="1">IFERROR(计算区域!Y684,NA())</f>
        <v>#N/A</v>
      </c>
      <c r="X682" t="e">
        <f ca="1">IFERROR(计算区域!Z684,NA())</f>
        <v>#N/A</v>
      </c>
      <c r="Y682" t="e">
        <f ca="1">IFERROR(计算区域!AA684,NA())</f>
        <v>#N/A</v>
      </c>
    </row>
    <row r="683" spans="1:25" x14ac:dyDescent="0.2">
      <c r="A683" s="28">
        <f>计算区域!E685</f>
        <v>44445</v>
      </c>
      <c r="B683" t="e">
        <f ca="1">IFERROR(计算区域!AJ685,NA())</f>
        <v>#N/A</v>
      </c>
      <c r="C683" t="e">
        <f ca="1">IFERROR(计算区域!AK685,NA())</f>
        <v>#N/A</v>
      </c>
      <c r="D683" t="e">
        <f ca="1">IFERROR(计算区域!AL685,NA())</f>
        <v>#N/A</v>
      </c>
      <c r="E683" t="e">
        <f ca="1">IFERROR(计算区域!AM685,NA())</f>
        <v>#N/A</v>
      </c>
      <c r="G683" t="e">
        <f ca="1">IFERROR(计算区域!AD685,NA())</f>
        <v>#N/A</v>
      </c>
      <c r="H683" t="e">
        <f ca="1">IFERROR(计算区域!AE685,NA())</f>
        <v>#N/A</v>
      </c>
      <c r="I683" t="e">
        <f ca="1">IFERROR(计算区域!AF685,NA())</f>
        <v>#N/A</v>
      </c>
      <c r="J683" t="e">
        <f ca="1">IFERROR(计算区域!AG685,NA())</f>
        <v>#N/A</v>
      </c>
      <c r="L683" t="e">
        <f ca="1">IFERROR(计算区域!L685,NA())</f>
        <v>#N/A</v>
      </c>
      <c r="M683" t="e">
        <f ca="1">IFERROR(计算区域!M685,NA())</f>
        <v>#N/A</v>
      </c>
      <c r="N683" t="e">
        <f ca="1">IFERROR(计算区域!N685,NA())</f>
        <v>#N/A</v>
      </c>
      <c r="O683" t="e">
        <f ca="1">IFERROR(计算区域!O685,NA())</f>
        <v>#N/A</v>
      </c>
      <c r="Q683" t="e">
        <f ca="1">IFERROR(计算区域!R685,NA())</f>
        <v>#N/A</v>
      </c>
      <c r="R683" t="e">
        <f ca="1">IFERROR(计算区域!S685,NA())</f>
        <v>#N/A</v>
      </c>
      <c r="S683" t="e">
        <f ca="1">IFERROR(计算区域!T685,NA())</f>
        <v>#N/A</v>
      </c>
      <c r="T683" t="e">
        <f ca="1">IFERROR(计算区域!U685,NA())</f>
        <v>#N/A</v>
      </c>
      <c r="V683" t="e">
        <f ca="1">IFERROR(计算区域!X685,NA())</f>
        <v>#N/A</v>
      </c>
      <c r="W683" t="e">
        <f ca="1">IFERROR(计算区域!Y685,NA())</f>
        <v>#N/A</v>
      </c>
      <c r="X683" t="e">
        <f ca="1">IFERROR(计算区域!Z685,NA())</f>
        <v>#N/A</v>
      </c>
      <c r="Y683" t="e">
        <f ca="1">IFERROR(计算区域!AA685,NA())</f>
        <v>#N/A</v>
      </c>
    </row>
    <row r="684" spans="1:25" x14ac:dyDescent="0.2">
      <c r="A684" s="28">
        <f>计算区域!E686</f>
        <v>44442</v>
      </c>
      <c r="B684" t="e">
        <f ca="1">IFERROR(计算区域!AJ686,NA())</f>
        <v>#N/A</v>
      </c>
      <c r="C684" t="e">
        <f ca="1">IFERROR(计算区域!AK686,NA())</f>
        <v>#N/A</v>
      </c>
      <c r="D684" t="e">
        <f ca="1">IFERROR(计算区域!AL686,NA())</f>
        <v>#N/A</v>
      </c>
      <c r="E684" t="e">
        <f ca="1">IFERROR(计算区域!AM686,NA())</f>
        <v>#N/A</v>
      </c>
      <c r="G684" t="e">
        <f ca="1">IFERROR(计算区域!AD686,NA())</f>
        <v>#N/A</v>
      </c>
      <c r="H684" t="e">
        <f ca="1">IFERROR(计算区域!AE686,NA())</f>
        <v>#N/A</v>
      </c>
      <c r="I684" t="e">
        <f ca="1">IFERROR(计算区域!AF686,NA())</f>
        <v>#N/A</v>
      </c>
      <c r="J684" t="e">
        <f ca="1">IFERROR(计算区域!AG686,NA())</f>
        <v>#N/A</v>
      </c>
      <c r="L684" t="e">
        <f ca="1">IFERROR(计算区域!L686,NA())</f>
        <v>#N/A</v>
      </c>
      <c r="M684" t="e">
        <f ca="1">IFERROR(计算区域!M686,NA())</f>
        <v>#N/A</v>
      </c>
      <c r="N684" t="e">
        <f ca="1">IFERROR(计算区域!N686,NA())</f>
        <v>#N/A</v>
      </c>
      <c r="O684" t="e">
        <f ca="1">IFERROR(计算区域!O686,NA())</f>
        <v>#N/A</v>
      </c>
      <c r="Q684" t="e">
        <f ca="1">IFERROR(计算区域!R686,NA())</f>
        <v>#N/A</v>
      </c>
      <c r="R684" t="e">
        <f ca="1">IFERROR(计算区域!S686,NA())</f>
        <v>#N/A</v>
      </c>
      <c r="S684" t="e">
        <f ca="1">IFERROR(计算区域!T686,NA())</f>
        <v>#N/A</v>
      </c>
      <c r="T684" t="e">
        <f ca="1">IFERROR(计算区域!U686,NA())</f>
        <v>#N/A</v>
      </c>
      <c r="V684" t="e">
        <f ca="1">IFERROR(计算区域!X686,NA())</f>
        <v>#N/A</v>
      </c>
      <c r="W684" t="e">
        <f ca="1">IFERROR(计算区域!Y686,NA())</f>
        <v>#N/A</v>
      </c>
      <c r="X684" t="e">
        <f ca="1">IFERROR(计算区域!Z686,NA())</f>
        <v>#N/A</v>
      </c>
      <c r="Y684" t="e">
        <f ca="1">IFERROR(计算区域!AA686,NA())</f>
        <v>#N/A</v>
      </c>
    </row>
    <row r="685" spans="1:25" x14ac:dyDescent="0.2">
      <c r="A685" s="28">
        <f>计算区域!E687</f>
        <v>44441</v>
      </c>
      <c r="B685" t="e">
        <f ca="1">IFERROR(计算区域!AJ687,NA())</f>
        <v>#N/A</v>
      </c>
      <c r="C685" t="e">
        <f ca="1">IFERROR(计算区域!AK687,NA())</f>
        <v>#N/A</v>
      </c>
      <c r="D685" t="e">
        <f ca="1">IFERROR(计算区域!AL687,NA())</f>
        <v>#N/A</v>
      </c>
      <c r="E685" t="e">
        <f ca="1">IFERROR(计算区域!AM687,NA())</f>
        <v>#N/A</v>
      </c>
      <c r="G685" t="e">
        <f ca="1">IFERROR(计算区域!AD687,NA())</f>
        <v>#N/A</v>
      </c>
      <c r="H685" t="e">
        <f ca="1">IFERROR(计算区域!AE687,NA())</f>
        <v>#N/A</v>
      </c>
      <c r="I685" t="e">
        <f ca="1">IFERROR(计算区域!AF687,NA())</f>
        <v>#N/A</v>
      </c>
      <c r="J685" t="e">
        <f ca="1">IFERROR(计算区域!AG687,NA())</f>
        <v>#N/A</v>
      </c>
      <c r="L685" t="e">
        <f ca="1">IFERROR(计算区域!L687,NA())</f>
        <v>#N/A</v>
      </c>
      <c r="M685" t="e">
        <f ca="1">IFERROR(计算区域!M687,NA())</f>
        <v>#N/A</v>
      </c>
      <c r="N685" t="e">
        <f ca="1">IFERROR(计算区域!N687,NA())</f>
        <v>#N/A</v>
      </c>
      <c r="O685" t="e">
        <f ca="1">IFERROR(计算区域!O687,NA())</f>
        <v>#N/A</v>
      </c>
      <c r="Q685" t="e">
        <f ca="1">IFERROR(计算区域!R687,NA())</f>
        <v>#N/A</v>
      </c>
      <c r="R685" t="e">
        <f ca="1">IFERROR(计算区域!S687,NA())</f>
        <v>#N/A</v>
      </c>
      <c r="S685" t="e">
        <f ca="1">IFERROR(计算区域!T687,NA())</f>
        <v>#N/A</v>
      </c>
      <c r="T685" t="e">
        <f ca="1">IFERROR(计算区域!U687,NA())</f>
        <v>#N/A</v>
      </c>
      <c r="V685" t="e">
        <f ca="1">IFERROR(计算区域!X687,NA())</f>
        <v>#N/A</v>
      </c>
      <c r="W685" t="e">
        <f ca="1">IFERROR(计算区域!Y687,NA())</f>
        <v>#N/A</v>
      </c>
      <c r="X685" t="e">
        <f ca="1">IFERROR(计算区域!Z687,NA())</f>
        <v>#N/A</v>
      </c>
      <c r="Y685" t="e">
        <f ca="1">IFERROR(计算区域!AA687,NA())</f>
        <v>#N/A</v>
      </c>
    </row>
    <row r="686" spans="1:25" x14ac:dyDescent="0.2">
      <c r="A686" s="28">
        <f>计算区域!E688</f>
        <v>44440</v>
      </c>
      <c r="B686" t="e">
        <f ca="1">IFERROR(计算区域!AJ688,NA())</f>
        <v>#N/A</v>
      </c>
      <c r="C686" t="e">
        <f ca="1">IFERROR(计算区域!AK688,NA())</f>
        <v>#N/A</v>
      </c>
      <c r="D686" t="e">
        <f ca="1">IFERROR(计算区域!AL688,NA())</f>
        <v>#N/A</v>
      </c>
      <c r="E686" t="e">
        <f ca="1">IFERROR(计算区域!AM688,NA())</f>
        <v>#N/A</v>
      </c>
      <c r="G686" t="e">
        <f ca="1">IFERROR(计算区域!AD688,NA())</f>
        <v>#N/A</v>
      </c>
      <c r="H686" t="e">
        <f ca="1">IFERROR(计算区域!AE688,NA())</f>
        <v>#N/A</v>
      </c>
      <c r="I686" t="e">
        <f ca="1">IFERROR(计算区域!AF688,NA())</f>
        <v>#N/A</v>
      </c>
      <c r="J686" t="e">
        <f ca="1">IFERROR(计算区域!AG688,NA())</f>
        <v>#N/A</v>
      </c>
      <c r="L686" t="e">
        <f ca="1">IFERROR(计算区域!L688,NA())</f>
        <v>#N/A</v>
      </c>
      <c r="M686" t="e">
        <f ca="1">IFERROR(计算区域!M688,NA())</f>
        <v>#N/A</v>
      </c>
      <c r="N686" t="e">
        <f ca="1">IFERROR(计算区域!N688,NA())</f>
        <v>#N/A</v>
      </c>
      <c r="O686" t="e">
        <f ca="1">IFERROR(计算区域!O688,NA())</f>
        <v>#N/A</v>
      </c>
      <c r="Q686" t="e">
        <f ca="1">IFERROR(计算区域!R688,NA())</f>
        <v>#N/A</v>
      </c>
      <c r="R686" t="e">
        <f ca="1">IFERROR(计算区域!S688,NA())</f>
        <v>#N/A</v>
      </c>
      <c r="S686" t="e">
        <f ca="1">IFERROR(计算区域!T688,NA())</f>
        <v>#N/A</v>
      </c>
      <c r="T686" t="e">
        <f ca="1">IFERROR(计算区域!U688,NA())</f>
        <v>#N/A</v>
      </c>
      <c r="V686" t="e">
        <f ca="1">IFERROR(计算区域!X688,NA())</f>
        <v>#N/A</v>
      </c>
      <c r="W686" t="e">
        <f ca="1">IFERROR(计算区域!Y688,NA())</f>
        <v>#N/A</v>
      </c>
      <c r="X686" t="e">
        <f ca="1">IFERROR(计算区域!Z688,NA())</f>
        <v>#N/A</v>
      </c>
      <c r="Y686" t="e">
        <f ca="1">IFERROR(计算区域!AA688,NA())</f>
        <v>#N/A</v>
      </c>
    </row>
    <row r="687" spans="1:25" x14ac:dyDescent="0.2">
      <c r="A687" s="28">
        <f>计算区域!E689</f>
        <v>44439</v>
      </c>
      <c r="B687" t="e">
        <f ca="1">IFERROR(计算区域!AJ689,NA())</f>
        <v>#N/A</v>
      </c>
      <c r="C687" t="e">
        <f ca="1">IFERROR(计算区域!AK689,NA())</f>
        <v>#N/A</v>
      </c>
      <c r="D687" t="e">
        <f ca="1">IFERROR(计算区域!AL689,NA())</f>
        <v>#N/A</v>
      </c>
      <c r="E687" t="e">
        <f ca="1">IFERROR(计算区域!AM689,NA())</f>
        <v>#N/A</v>
      </c>
      <c r="G687" t="e">
        <f ca="1">IFERROR(计算区域!AD689,NA())</f>
        <v>#N/A</v>
      </c>
      <c r="H687" t="e">
        <f ca="1">IFERROR(计算区域!AE689,NA())</f>
        <v>#N/A</v>
      </c>
      <c r="I687" t="e">
        <f ca="1">IFERROR(计算区域!AF689,NA())</f>
        <v>#N/A</v>
      </c>
      <c r="J687" t="e">
        <f ca="1">IFERROR(计算区域!AG689,NA())</f>
        <v>#N/A</v>
      </c>
      <c r="L687" t="e">
        <f ca="1">IFERROR(计算区域!L689,NA())</f>
        <v>#N/A</v>
      </c>
      <c r="M687" t="e">
        <f ca="1">IFERROR(计算区域!M689,NA())</f>
        <v>#N/A</v>
      </c>
      <c r="N687" t="e">
        <f ca="1">IFERROR(计算区域!N689,NA())</f>
        <v>#N/A</v>
      </c>
      <c r="O687" t="e">
        <f ca="1">IFERROR(计算区域!O689,NA())</f>
        <v>#N/A</v>
      </c>
      <c r="Q687" t="e">
        <f ca="1">IFERROR(计算区域!R689,NA())</f>
        <v>#N/A</v>
      </c>
      <c r="R687" t="e">
        <f ca="1">IFERROR(计算区域!S689,NA())</f>
        <v>#N/A</v>
      </c>
      <c r="S687" t="e">
        <f ca="1">IFERROR(计算区域!T689,NA())</f>
        <v>#N/A</v>
      </c>
      <c r="T687" t="e">
        <f ca="1">IFERROR(计算区域!U689,NA())</f>
        <v>#N/A</v>
      </c>
      <c r="V687" t="e">
        <f ca="1">IFERROR(计算区域!X689,NA())</f>
        <v>#N/A</v>
      </c>
      <c r="W687" t="e">
        <f ca="1">IFERROR(计算区域!Y689,NA())</f>
        <v>#N/A</v>
      </c>
      <c r="X687" t="e">
        <f ca="1">IFERROR(计算区域!Z689,NA())</f>
        <v>#N/A</v>
      </c>
      <c r="Y687" t="e">
        <f ca="1">IFERROR(计算区域!AA689,NA())</f>
        <v>#N/A</v>
      </c>
    </row>
    <row r="688" spans="1:25" x14ac:dyDescent="0.2">
      <c r="A688" s="28">
        <f>计算区域!E690</f>
        <v>44438</v>
      </c>
      <c r="B688" t="e">
        <f ca="1">IFERROR(计算区域!AJ690,NA())</f>
        <v>#N/A</v>
      </c>
      <c r="C688" t="e">
        <f ca="1">IFERROR(计算区域!AK690,NA())</f>
        <v>#N/A</v>
      </c>
      <c r="D688" t="e">
        <f ca="1">IFERROR(计算区域!AL690,NA())</f>
        <v>#N/A</v>
      </c>
      <c r="E688" t="e">
        <f ca="1">IFERROR(计算区域!AM690,NA())</f>
        <v>#N/A</v>
      </c>
      <c r="G688" t="e">
        <f ca="1">IFERROR(计算区域!AD690,NA())</f>
        <v>#N/A</v>
      </c>
      <c r="H688" t="e">
        <f ca="1">IFERROR(计算区域!AE690,NA())</f>
        <v>#N/A</v>
      </c>
      <c r="I688" t="e">
        <f ca="1">IFERROR(计算区域!AF690,NA())</f>
        <v>#N/A</v>
      </c>
      <c r="J688" t="e">
        <f ca="1">IFERROR(计算区域!AG690,NA())</f>
        <v>#N/A</v>
      </c>
      <c r="L688" t="e">
        <f ca="1">IFERROR(计算区域!L690,NA())</f>
        <v>#N/A</v>
      </c>
      <c r="M688" t="e">
        <f ca="1">IFERROR(计算区域!M690,NA())</f>
        <v>#N/A</v>
      </c>
      <c r="N688" t="e">
        <f ca="1">IFERROR(计算区域!N690,NA())</f>
        <v>#N/A</v>
      </c>
      <c r="O688" t="e">
        <f ca="1">IFERROR(计算区域!O690,NA())</f>
        <v>#N/A</v>
      </c>
      <c r="Q688" t="e">
        <f ca="1">IFERROR(计算区域!R690,NA())</f>
        <v>#N/A</v>
      </c>
      <c r="R688" t="e">
        <f ca="1">IFERROR(计算区域!S690,NA())</f>
        <v>#N/A</v>
      </c>
      <c r="S688" t="e">
        <f ca="1">IFERROR(计算区域!T690,NA())</f>
        <v>#N/A</v>
      </c>
      <c r="T688" t="e">
        <f ca="1">IFERROR(计算区域!U690,NA())</f>
        <v>#N/A</v>
      </c>
      <c r="V688" t="e">
        <f ca="1">IFERROR(计算区域!X690,NA())</f>
        <v>#N/A</v>
      </c>
      <c r="W688" t="e">
        <f ca="1">IFERROR(计算区域!Y690,NA())</f>
        <v>#N/A</v>
      </c>
      <c r="X688" t="e">
        <f ca="1">IFERROR(计算区域!Z690,NA())</f>
        <v>#N/A</v>
      </c>
      <c r="Y688" t="e">
        <f ca="1">IFERROR(计算区域!AA690,NA())</f>
        <v>#N/A</v>
      </c>
    </row>
    <row r="689" spans="1:25" x14ac:dyDescent="0.2">
      <c r="A689" s="28">
        <f>计算区域!E691</f>
        <v>44435</v>
      </c>
      <c r="B689" t="e">
        <f ca="1">IFERROR(计算区域!AJ691,NA())</f>
        <v>#N/A</v>
      </c>
      <c r="C689" t="e">
        <f ca="1">IFERROR(计算区域!AK691,NA())</f>
        <v>#N/A</v>
      </c>
      <c r="D689" t="e">
        <f ca="1">IFERROR(计算区域!AL691,NA())</f>
        <v>#N/A</v>
      </c>
      <c r="E689" t="e">
        <f ca="1">IFERROR(计算区域!AM691,NA())</f>
        <v>#N/A</v>
      </c>
      <c r="G689" t="e">
        <f ca="1">IFERROR(计算区域!AD691,NA())</f>
        <v>#N/A</v>
      </c>
      <c r="H689" t="e">
        <f ca="1">IFERROR(计算区域!AE691,NA())</f>
        <v>#N/A</v>
      </c>
      <c r="I689" t="e">
        <f ca="1">IFERROR(计算区域!AF691,NA())</f>
        <v>#N/A</v>
      </c>
      <c r="J689" t="e">
        <f ca="1">IFERROR(计算区域!AG691,NA())</f>
        <v>#N/A</v>
      </c>
      <c r="L689" t="e">
        <f ca="1">IFERROR(计算区域!L691,NA())</f>
        <v>#N/A</v>
      </c>
      <c r="M689" t="e">
        <f ca="1">IFERROR(计算区域!M691,NA())</f>
        <v>#N/A</v>
      </c>
      <c r="N689" t="e">
        <f ca="1">IFERROR(计算区域!N691,NA())</f>
        <v>#N/A</v>
      </c>
      <c r="O689" t="e">
        <f ca="1">IFERROR(计算区域!O691,NA())</f>
        <v>#N/A</v>
      </c>
      <c r="Q689" t="e">
        <f ca="1">IFERROR(计算区域!R691,NA())</f>
        <v>#N/A</v>
      </c>
      <c r="R689" t="e">
        <f ca="1">IFERROR(计算区域!S691,NA())</f>
        <v>#N/A</v>
      </c>
      <c r="S689" t="e">
        <f ca="1">IFERROR(计算区域!T691,NA())</f>
        <v>#N/A</v>
      </c>
      <c r="T689" t="e">
        <f ca="1">IFERROR(计算区域!U691,NA())</f>
        <v>#N/A</v>
      </c>
      <c r="V689" t="e">
        <f ca="1">IFERROR(计算区域!X691,NA())</f>
        <v>#N/A</v>
      </c>
      <c r="W689" t="e">
        <f ca="1">IFERROR(计算区域!Y691,NA())</f>
        <v>#N/A</v>
      </c>
      <c r="X689" t="e">
        <f ca="1">IFERROR(计算区域!Z691,NA())</f>
        <v>#N/A</v>
      </c>
      <c r="Y689" t="e">
        <f ca="1">IFERROR(计算区域!AA691,NA())</f>
        <v>#N/A</v>
      </c>
    </row>
    <row r="690" spans="1:25" x14ac:dyDescent="0.2">
      <c r="A690" s="28">
        <f>计算区域!E692</f>
        <v>44434</v>
      </c>
      <c r="B690" t="e">
        <f ca="1">IFERROR(计算区域!AJ692,NA())</f>
        <v>#N/A</v>
      </c>
      <c r="C690" t="e">
        <f ca="1">IFERROR(计算区域!AK692,NA())</f>
        <v>#N/A</v>
      </c>
      <c r="D690" t="e">
        <f ca="1">IFERROR(计算区域!AL692,NA())</f>
        <v>#N/A</v>
      </c>
      <c r="E690" t="e">
        <f ca="1">IFERROR(计算区域!AM692,NA())</f>
        <v>#N/A</v>
      </c>
      <c r="G690" t="e">
        <f ca="1">IFERROR(计算区域!AD692,NA())</f>
        <v>#N/A</v>
      </c>
      <c r="H690" t="e">
        <f ca="1">IFERROR(计算区域!AE692,NA())</f>
        <v>#N/A</v>
      </c>
      <c r="I690" t="e">
        <f ca="1">IFERROR(计算区域!AF692,NA())</f>
        <v>#N/A</v>
      </c>
      <c r="J690" t="e">
        <f ca="1">IFERROR(计算区域!AG692,NA())</f>
        <v>#N/A</v>
      </c>
      <c r="L690" t="e">
        <f ca="1">IFERROR(计算区域!L692,NA())</f>
        <v>#N/A</v>
      </c>
      <c r="M690" t="e">
        <f ca="1">IFERROR(计算区域!M692,NA())</f>
        <v>#N/A</v>
      </c>
      <c r="N690" t="e">
        <f ca="1">IFERROR(计算区域!N692,NA())</f>
        <v>#N/A</v>
      </c>
      <c r="O690" t="e">
        <f ca="1">IFERROR(计算区域!O692,NA())</f>
        <v>#N/A</v>
      </c>
      <c r="Q690" t="e">
        <f ca="1">IFERROR(计算区域!R692,NA())</f>
        <v>#N/A</v>
      </c>
      <c r="R690" t="e">
        <f ca="1">IFERROR(计算区域!S692,NA())</f>
        <v>#N/A</v>
      </c>
      <c r="S690" t="e">
        <f ca="1">IFERROR(计算区域!T692,NA())</f>
        <v>#N/A</v>
      </c>
      <c r="T690" t="e">
        <f ca="1">IFERROR(计算区域!U692,NA())</f>
        <v>#N/A</v>
      </c>
      <c r="V690" t="e">
        <f ca="1">IFERROR(计算区域!X692,NA())</f>
        <v>#N/A</v>
      </c>
      <c r="W690" t="e">
        <f ca="1">IFERROR(计算区域!Y692,NA())</f>
        <v>#N/A</v>
      </c>
      <c r="X690" t="e">
        <f ca="1">IFERROR(计算区域!Z692,NA())</f>
        <v>#N/A</v>
      </c>
      <c r="Y690" t="e">
        <f ca="1">IFERROR(计算区域!AA692,NA())</f>
        <v>#N/A</v>
      </c>
    </row>
    <row r="691" spans="1:25" x14ac:dyDescent="0.2">
      <c r="A691" s="28">
        <f>计算区域!E693</f>
        <v>44433</v>
      </c>
      <c r="B691" t="e">
        <f ca="1">IFERROR(计算区域!AJ693,NA())</f>
        <v>#N/A</v>
      </c>
      <c r="C691" t="e">
        <f ca="1">IFERROR(计算区域!AK693,NA())</f>
        <v>#N/A</v>
      </c>
      <c r="D691" t="e">
        <f ca="1">IFERROR(计算区域!AL693,NA())</f>
        <v>#N/A</v>
      </c>
      <c r="E691" t="e">
        <f ca="1">IFERROR(计算区域!AM693,NA())</f>
        <v>#N/A</v>
      </c>
      <c r="G691" t="e">
        <f ca="1">IFERROR(计算区域!AD693,NA())</f>
        <v>#N/A</v>
      </c>
      <c r="H691" t="e">
        <f ca="1">IFERROR(计算区域!AE693,NA())</f>
        <v>#N/A</v>
      </c>
      <c r="I691" t="e">
        <f ca="1">IFERROR(计算区域!AF693,NA())</f>
        <v>#N/A</v>
      </c>
      <c r="J691" t="e">
        <f ca="1">IFERROR(计算区域!AG693,NA())</f>
        <v>#N/A</v>
      </c>
      <c r="L691" t="e">
        <f ca="1">IFERROR(计算区域!L693,NA())</f>
        <v>#N/A</v>
      </c>
      <c r="M691" t="e">
        <f ca="1">IFERROR(计算区域!M693,NA())</f>
        <v>#N/A</v>
      </c>
      <c r="N691" t="e">
        <f ca="1">IFERROR(计算区域!N693,NA())</f>
        <v>#N/A</v>
      </c>
      <c r="O691" t="e">
        <f ca="1">IFERROR(计算区域!O693,NA())</f>
        <v>#N/A</v>
      </c>
      <c r="Q691" t="e">
        <f ca="1">IFERROR(计算区域!R693,NA())</f>
        <v>#N/A</v>
      </c>
      <c r="R691" t="e">
        <f ca="1">IFERROR(计算区域!S693,NA())</f>
        <v>#N/A</v>
      </c>
      <c r="S691" t="e">
        <f ca="1">IFERROR(计算区域!T693,NA())</f>
        <v>#N/A</v>
      </c>
      <c r="T691" t="e">
        <f ca="1">IFERROR(计算区域!U693,NA())</f>
        <v>#N/A</v>
      </c>
      <c r="V691" t="e">
        <f ca="1">IFERROR(计算区域!X693,NA())</f>
        <v>#N/A</v>
      </c>
      <c r="W691" t="e">
        <f ca="1">IFERROR(计算区域!Y693,NA())</f>
        <v>#N/A</v>
      </c>
      <c r="X691" t="e">
        <f ca="1">IFERROR(计算区域!Z693,NA())</f>
        <v>#N/A</v>
      </c>
      <c r="Y691" t="e">
        <f ca="1">IFERROR(计算区域!AA693,NA())</f>
        <v>#N/A</v>
      </c>
    </row>
    <row r="692" spans="1:25" x14ac:dyDescent="0.2">
      <c r="A692" s="28">
        <f>计算区域!E694</f>
        <v>44432</v>
      </c>
      <c r="B692" t="e">
        <f ca="1">IFERROR(计算区域!AJ694,NA())</f>
        <v>#N/A</v>
      </c>
      <c r="C692" t="e">
        <f ca="1">IFERROR(计算区域!AK694,NA())</f>
        <v>#N/A</v>
      </c>
      <c r="D692" t="e">
        <f ca="1">IFERROR(计算区域!AL694,NA())</f>
        <v>#N/A</v>
      </c>
      <c r="E692" t="e">
        <f ca="1">IFERROR(计算区域!AM694,NA())</f>
        <v>#N/A</v>
      </c>
      <c r="G692" t="e">
        <f ca="1">IFERROR(计算区域!AD694,NA())</f>
        <v>#N/A</v>
      </c>
      <c r="H692" t="e">
        <f ca="1">IFERROR(计算区域!AE694,NA())</f>
        <v>#N/A</v>
      </c>
      <c r="I692" t="e">
        <f ca="1">IFERROR(计算区域!AF694,NA())</f>
        <v>#N/A</v>
      </c>
      <c r="J692" t="e">
        <f ca="1">IFERROR(计算区域!AG694,NA())</f>
        <v>#N/A</v>
      </c>
      <c r="L692" t="e">
        <f ca="1">IFERROR(计算区域!L694,NA())</f>
        <v>#N/A</v>
      </c>
      <c r="M692" t="e">
        <f ca="1">IFERROR(计算区域!M694,NA())</f>
        <v>#N/A</v>
      </c>
      <c r="N692" t="e">
        <f ca="1">IFERROR(计算区域!N694,NA())</f>
        <v>#N/A</v>
      </c>
      <c r="O692" t="e">
        <f ca="1">IFERROR(计算区域!O694,NA())</f>
        <v>#N/A</v>
      </c>
      <c r="Q692" t="e">
        <f ca="1">IFERROR(计算区域!R694,NA())</f>
        <v>#N/A</v>
      </c>
      <c r="R692" t="e">
        <f ca="1">IFERROR(计算区域!S694,NA())</f>
        <v>#N/A</v>
      </c>
      <c r="S692" t="e">
        <f ca="1">IFERROR(计算区域!T694,NA())</f>
        <v>#N/A</v>
      </c>
      <c r="T692" t="e">
        <f ca="1">IFERROR(计算区域!U694,NA())</f>
        <v>#N/A</v>
      </c>
      <c r="V692" t="e">
        <f ca="1">IFERROR(计算区域!X694,NA())</f>
        <v>#N/A</v>
      </c>
      <c r="W692" t="e">
        <f ca="1">IFERROR(计算区域!Y694,NA())</f>
        <v>#N/A</v>
      </c>
      <c r="X692" t="e">
        <f ca="1">IFERROR(计算区域!Z694,NA())</f>
        <v>#N/A</v>
      </c>
      <c r="Y692" t="e">
        <f ca="1">IFERROR(计算区域!AA694,NA())</f>
        <v>#N/A</v>
      </c>
    </row>
    <row r="693" spans="1:25" x14ac:dyDescent="0.2">
      <c r="A693" s="28">
        <f>计算区域!E695</f>
        <v>44431</v>
      </c>
      <c r="B693" t="e">
        <f ca="1">IFERROR(计算区域!AJ695,NA())</f>
        <v>#N/A</v>
      </c>
      <c r="C693" t="e">
        <f ca="1">IFERROR(计算区域!AK695,NA())</f>
        <v>#N/A</v>
      </c>
      <c r="D693" t="e">
        <f ca="1">IFERROR(计算区域!AL695,NA())</f>
        <v>#N/A</v>
      </c>
      <c r="E693" t="e">
        <f ca="1">IFERROR(计算区域!AM695,NA())</f>
        <v>#N/A</v>
      </c>
      <c r="G693" t="e">
        <f ca="1">IFERROR(计算区域!AD695,NA())</f>
        <v>#N/A</v>
      </c>
      <c r="H693" t="e">
        <f ca="1">IFERROR(计算区域!AE695,NA())</f>
        <v>#N/A</v>
      </c>
      <c r="I693" t="e">
        <f ca="1">IFERROR(计算区域!AF695,NA())</f>
        <v>#N/A</v>
      </c>
      <c r="J693" t="e">
        <f ca="1">IFERROR(计算区域!AG695,NA())</f>
        <v>#N/A</v>
      </c>
      <c r="L693" t="e">
        <f ca="1">IFERROR(计算区域!L695,NA())</f>
        <v>#N/A</v>
      </c>
      <c r="M693" t="e">
        <f ca="1">IFERROR(计算区域!M695,NA())</f>
        <v>#N/A</v>
      </c>
      <c r="N693" t="e">
        <f ca="1">IFERROR(计算区域!N695,NA())</f>
        <v>#N/A</v>
      </c>
      <c r="O693" t="e">
        <f ca="1">IFERROR(计算区域!O695,NA())</f>
        <v>#N/A</v>
      </c>
      <c r="Q693" t="e">
        <f ca="1">IFERROR(计算区域!R695,NA())</f>
        <v>#N/A</v>
      </c>
      <c r="R693" t="e">
        <f ca="1">IFERROR(计算区域!S695,NA())</f>
        <v>#N/A</v>
      </c>
      <c r="S693" t="e">
        <f ca="1">IFERROR(计算区域!T695,NA())</f>
        <v>#N/A</v>
      </c>
      <c r="T693" t="e">
        <f ca="1">IFERROR(计算区域!U695,NA())</f>
        <v>#N/A</v>
      </c>
      <c r="V693" t="e">
        <f ca="1">IFERROR(计算区域!X695,NA())</f>
        <v>#N/A</v>
      </c>
      <c r="W693" t="e">
        <f ca="1">IFERROR(计算区域!Y695,NA())</f>
        <v>#N/A</v>
      </c>
      <c r="X693" t="e">
        <f ca="1">IFERROR(计算区域!Z695,NA())</f>
        <v>#N/A</v>
      </c>
      <c r="Y693" t="e">
        <f ca="1">IFERROR(计算区域!AA695,NA())</f>
        <v>#N/A</v>
      </c>
    </row>
    <row r="694" spans="1:25" x14ac:dyDescent="0.2">
      <c r="A694" s="28">
        <f>计算区域!E696</f>
        <v>44428</v>
      </c>
      <c r="B694" t="e">
        <f ca="1">IFERROR(计算区域!AJ696,NA())</f>
        <v>#N/A</v>
      </c>
      <c r="C694" t="e">
        <f ca="1">IFERROR(计算区域!AK696,NA())</f>
        <v>#N/A</v>
      </c>
      <c r="D694" t="e">
        <f ca="1">IFERROR(计算区域!AL696,NA())</f>
        <v>#N/A</v>
      </c>
      <c r="E694" t="e">
        <f ca="1">IFERROR(计算区域!AM696,NA())</f>
        <v>#N/A</v>
      </c>
      <c r="G694" t="e">
        <f ca="1">IFERROR(计算区域!AD696,NA())</f>
        <v>#N/A</v>
      </c>
      <c r="H694" t="e">
        <f ca="1">IFERROR(计算区域!AE696,NA())</f>
        <v>#N/A</v>
      </c>
      <c r="I694" t="e">
        <f ca="1">IFERROR(计算区域!AF696,NA())</f>
        <v>#N/A</v>
      </c>
      <c r="J694" t="e">
        <f ca="1">IFERROR(计算区域!AG696,NA())</f>
        <v>#N/A</v>
      </c>
      <c r="L694" t="e">
        <f ca="1">IFERROR(计算区域!L696,NA())</f>
        <v>#N/A</v>
      </c>
      <c r="M694" t="e">
        <f ca="1">IFERROR(计算区域!M696,NA())</f>
        <v>#N/A</v>
      </c>
      <c r="N694" t="e">
        <f ca="1">IFERROR(计算区域!N696,NA())</f>
        <v>#N/A</v>
      </c>
      <c r="O694" t="e">
        <f ca="1">IFERROR(计算区域!O696,NA())</f>
        <v>#N/A</v>
      </c>
      <c r="Q694" t="e">
        <f ca="1">IFERROR(计算区域!R696,NA())</f>
        <v>#N/A</v>
      </c>
      <c r="R694" t="e">
        <f ca="1">IFERROR(计算区域!S696,NA())</f>
        <v>#N/A</v>
      </c>
      <c r="S694" t="e">
        <f ca="1">IFERROR(计算区域!T696,NA())</f>
        <v>#N/A</v>
      </c>
      <c r="T694" t="e">
        <f ca="1">IFERROR(计算区域!U696,NA())</f>
        <v>#N/A</v>
      </c>
      <c r="V694" t="e">
        <f ca="1">IFERROR(计算区域!X696,NA())</f>
        <v>#N/A</v>
      </c>
      <c r="W694" t="e">
        <f ca="1">IFERROR(计算区域!Y696,NA())</f>
        <v>#N/A</v>
      </c>
      <c r="X694" t="e">
        <f ca="1">IFERROR(计算区域!Z696,NA())</f>
        <v>#N/A</v>
      </c>
      <c r="Y694" t="e">
        <f ca="1">IFERROR(计算区域!AA696,NA())</f>
        <v>#N/A</v>
      </c>
    </row>
    <row r="695" spans="1:25" x14ac:dyDescent="0.2">
      <c r="A695" s="28">
        <f>计算区域!E697</f>
        <v>44427</v>
      </c>
      <c r="B695" t="e">
        <f ca="1">IFERROR(计算区域!AJ697,NA())</f>
        <v>#N/A</v>
      </c>
      <c r="C695" t="e">
        <f ca="1">IFERROR(计算区域!AK697,NA())</f>
        <v>#N/A</v>
      </c>
      <c r="D695" t="e">
        <f ca="1">IFERROR(计算区域!AL697,NA())</f>
        <v>#N/A</v>
      </c>
      <c r="E695" t="e">
        <f ca="1">IFERROR(计算区域!AM697,NA())</f>
        <v>#N/A</v>
      </c>
      <c r="G695" t="e">
        <f ca="1">IFERROR(计算区域!AD697,NA())</f>
        <v>#N/A</v>
      </c>
      <c r="H695" t="e">
        <f ca="1">IFERROR(计算区域!AE697,NA())</f>
        <v>#N/A</v>
      </c>
      <c r="I695" t="e">
        <f ca="1">IFERROR(计算区域!AF697,NA())</f>
        <v>#N/A</v>
      </c>
      <c r="J695" t="e">
        <f ca="1">IFERROR(计算区域!AG697,NA())</f>
        <v>#N/A</v>
      </c>
      <c r="L695" t="e">
        <f ca="1">IFERROR(计算区域!L697,NA())</f>
        <v>#N/A</v>
      </c>
      <c r="M695" t="e">
        <f ca="1">IFERROR(计算区域!M697,NA())</f>
        <v>#N/A</v>
      </c>
      <c r="N695" t="e">
        <f ca="1">IFERROR(计算区域!N697,NA())</f>
        <v>#N/A</v>
      </c>
      <c r="O695" t="e">
        <f ca="1">IFERROR(计算区域!O697,NA())</f>
        <v>#N/A</v>
      </c>
      <c r="Q695" t="e">
        <f ca="1">IFERROR(计算区域!R697,NA())</f>
        <v>#N/A</v>
      </c>
      <c r="R695" t="e">
        <f ca="1">IFERROR(计算区域!S697,NA())</f>
        <v>#N/A</v>
      </c>
      <c r="S695" t="e">
        <f ca="1">IFERROR(计算区域!T697,NA())</f>
        <v>#N/A</v>
      </c>
      <c r="T695" t="e">
        <f ca="1">IFERROR(计算区域!U697,NA())</f>
        <v>#N/A</v>
      </c>
      <c r="V695" t="e">
        <f ca="1">IFERROR(计算区域!X697,NA())</f>
        <v>#N/A</v>
      </c>
      <c r="W695" t="e">
        <f ca="1">IFERROR(计算区域!Y697,NA())</f>
        <v>#N/A</v>
      </c>
      <c r="X695" t="e">
        <f ca="1">IFERROR(计算区域!Z697,NA())</f>
        <v>#N/A</v>
      </c>
      <c r="Y695" t="e">
        <f ca="1">IFERROR(计算区域!AA697,NA())</f>
        <v>#N/A</v>
      </c>
    </row>
    <row r="696" spans="1:25" x14ac:dyDescent="0.2">
      <c r="A696" s="28">
        <f>计算区域!E698</f>
        <v>44426</v>
      </c>
      <c r="B696" t="e">
        <f ca="1">IFERROR(计算区域!AJ698,NA())</f>
        <v>#N/A</v>
      </c>
      <c r="C696" t="e">
        <f ca="1">IFERROR(计算区域!AK698,NA())</f>
        <v>#N/A</v>
      </c>
      <c r="D696" t="e">
        <f ca="1">IFERROR(计算区域!AL698,NA())</f>
        <v>#N/A</v>
      </c>
      <c r="E696" t="e">
        <f ca="1">IFERROR(计算区域!AM698,NA())</f>
        <v>#N/A</v>
      </c>
      <c r="G696" t="e">
        <f ca="1">IFERROR(计算区域!AD698,NA())</f>
        <v>#N/A</v>
      </c>
      <c r="H696" t="e">
        <f ca="1">IFERROR(计算区域!AE698,NA())</f>
        <v>#N/A</v>
      </c>
      <c r="I696" t="e">
        <f ca="1">IFERROR(计算区域!AF698,NA())</f>
        <v>#N/A</v>
      </c>
      <c r="J696" t="e">
        <f ca="1">IFERROR(计算区域!AG698,NA())</f>
        <v>#N/A</v>
      </c>
      <c r="L696" t="e">
        <f ca="1">IFERROR(计算区域!L698,NA())</f>
        <v>#N/A</v>
      </c>
      <c r="M696" t="e">
        <f ca="1">IFERROR(计算区域!M698,NA())</f>
        <v>#N/A</v>
      </c>
      <c r="N696" t="e">
        <f ca="1">IFERROR(计算区域!N698,NA())</f>
        <v>#N/A</v>
      </c>
      <c r="O696" t="e">
        <f ca="1">IFERROR(计算区域!O698,NA())</f>
        <v>#N/A</v>
      </c>
      <c r="Q696" t="e">
        <f ca="1">IFERROR(计算区域!R698,NA())</f>
        <v>#N/A</v>
      </c>
      <c r="R696" t="e">
        <f ca="1">IFERROR(计算区域!S698,NA())</f>
        <v>#N/A</v>
      </c>
      <c r="S696" t="e">
        <f ca="1">IFERROR(计算区域!T698,NA())</f>
        <v>#N/A</v>
      </c>
      <c r="T696" t="e">
        <f ca="1">IFERROR(计算区域!U698,NA())</f>
        <v>#N/A</v>
      </c>
      <c r="V696" t="e">
        <f ca="1">IFERROR(计算区域!X698,NA())</f>
        <v>#N/A</v>
      </c>
      <c r="W696" t="e">
        <f ca="1">IFERROR(计算区域!Y698,NA())</f>
        <v>#N/A</v>
      </c>
      <c r="X696" t="e">
        <f ca="1">IFERROR(计算区域!Z698,NA())</f>
        <v>#N/A</v>
      </c>
      <c r="Y696" t="e">
        <f ca="1">IFERROR(计算区域!AA698,NA())</f>
        <v>#N/A</v>
      </c>
    </row>
    <row r="697" spans="1:25" x14ac:dyDescent="0.2">
      <c r="A697" s="28">
        <f>计算区域!E699</f>
        <v>44425</v>
      </c>
      <c r="B697" t="e">
        <f ca="1">IFERROR(计算区域!AJ699,NA())</f>
        <v>#N/A</v>
      </c>
      <c r="C697" t="e">
        <f ca="1">IFERROR(计算区域!AK699,NA())</f>
        <v>#N/A</v>
      </c>
      <c r="D697" t="e">
        <f ca="1">IFERROR(计算区域!AL699,NA())</f>
        <v>#N/A</v>
      </c>
      <c r="E697" t="e">
        <f ca="1">IFERROR(计算区域!AM699,NA())</f>
        <v>#N/A</v>
      </c>
      <c r="G697" t="e">
        <f ca="1">IFERROR(计算区域!AD699,NA())</f>
        <v>#N/A</v>
      </c>
      <c r="H697" t="e">
        <f ca="1">IFERROR(计算区域!AE699,NA())</f>
        <v>#N/A</v>
      </c>
      <c r="I697" t="e">
        <f ca="1">IFERROR(计算区域!AF699,NA())</f>
        <v>#N/A</v>
      </c>
      <c r="J697" t="e">
        <f ca="1">IFERROR(计算区域!AG699,NA())</f>
        <v>#N/A</v>
      </c>
      <c r="L697" t="e">
        <f ca="1">IFERROR(计算区域!L699,NA())</f>
        <v>#N/A</v>
      </c>
      <c r="M697" t="e">
        <f ca="1">IFERROR(计算区域!M699,NA())</f>
        <v>#N/A</v>
      </c>
      <c r="N697" t="e">
        <f ca="1">IFERROR(计算区域!N699,NA())</f>
        <v>#N/A</v>
      </c>
      <c r="O697" t="e">
        <f ca="1">IFERROR(计算区域!O699,NA())</f>
        <v>#N/A</v>
      </c>
      <c r="Q697" t="e">
        <f ca="1">IFERROR(计算区域!R699,NA())</f>
        <v>#N/A</v>
      </c>
      <c r="R697" t="e">
        <f ca="1">IFERROR(计算区域!S699,NA())</f>
        <v>#N/A</v>
      </c>
      <c r="S697" t="e">
        <f ca="1">IFERROR(计算区域!T699,NA())</f>
        <v>#N/A</v>
      </c>
      <c r="T697" t="e">
        <f ca="1">IFERROR(计算区域!U699,NA())</f>
        <v>#N/A</v>
      </c>
      <c r="V697" t="e">
        <f ca="1">IFERROR(计算区域!X699,NA())</f>
        <v>#N/A</v>
      </c>
      <c r="W697" t="e">
        <f ca="1">IFERROR(计算区域!Y699,NA())</f>
        <v>#N/A</v>
      </c>
      <c r="X697" t="e">
        <f ca="1">IFERROR(计算区域!Z699,NA())</f>
        <v>#N/A</v>
      </c>
      <c r="Y697" t="e">
        <f ca="1">IFERROR(计算区域!AA699,NA())</f>
        <v>#N/A</v>
      </c>
    </row>
    <row r="698" spans="1:25" x14ac:dyDescent="0.2">
      <c r="A698" s="28">
        <f>计算区域!E700</f>
        <v>44424</v>
      </c>
      <c r="B698" t="e">
        <f ca="1">IFERROR(计算区域!AJ700,NA())</f>
        <v>#N/A</v>
      </c>
      <c r="C698" t="e">
        <f ca="1">IFERROR(计算区域!AK700,NA())</f>
        <v>#N/A</v>
      </c>
      <c r="D698" t="e">
        <f ca="1">IFERROR(计算区域!AL700,NA())</f>
        <v>#N/A</v>
      </c>
      <c r="E698" t="e">
        <f ca="1">IFERROR(计算区域!AM700,NA())</f>
        <v>#N/A</v>
      </c>
      <c r="G698" t="e">
        <f ca="1">IFERROR(计算区域!AD700,NA())</f>
        <v>#N/A</v>
      </c>
      <c r="H698" t="e">
        <f ca="1">IFERROR(计算区域!AE700,NA())</f>
        <v>#N/A</v>
      </c>
      <c r="I698" t="e">
        <f ca="1">IFERROR(计算区域!AF700,NA())</f>
        <v>#N/A</v>
      </c>
      <c r="J698" t="e">
        <f ca="1">IFERROR(计算区域!AG700,NA())</f>
        <v>#N/A</v>
      </c>
      <c r="L698" t="e">
        <f ca="1">IFERROR(计算区域!L700,NA())</f>
        <v>#N/A</v>
      </c>
      <c r="M698" t="e">
        <f ca="1">IFERROR(计算区域!M700,NA())</f>
        <v>#N/A</v>
      </c>
      <c r="N698" t="e">
        <f ca="1">IFERROR(计算区域!N700,NA())</f>
        <v>#N/A</v>
      </c>
      <c r="O698" t="e">
        <f ca="1">IFERROR(计算区域!O700,NA())</f>
        <v>#N/A</v>
      </c>
      <c r="Q698" t="e">
        <f ca="1">IFERROR(计算区域!R700,NA())</f>
        <v>#N/A</v>
      </c>
      <c r="R698" t="e">
        <f ca="1">IFERROR(计算区域!S700,NA())</f>
        <v>#N/A</v>
      </c>
      <c r="S698" t="e">
        <f ca="1">IFERROR(计算区域!T700,NA())</f>
        <v>#N/A</v>
      </c>
      <c r="T698" t="e">
        <f ca="1">IFERROR(计算区域!U700,NA())</f>
        <v>#N/A</v>
      </c>
      <c r="V698" t="e">
        <f ca="1">IFERROR(计算区域!X700,NA())</f>
        <v>#N/A</v>
      </c>
      <c r="W698" t="e">
        <f ca="1">IFERROR(计算区域!Y700,NA())</f>
        <v>#N/A</v>
      </c>
      <c r="X698" t="e">
        <f ca="1">IFERROR(计算区域!Z700,NA())</f>
        <v>#N/A</v>
      </c>
      <c r="Y698" t="e">
        <f ca="1">IFERROR(计算区域!AA700,NA())</f>
        <v>#N/A</v>
      </c>
    </row>
    <row r="699" spans="1:25" x14ac:dyDescent="0.2">
      <c r="A699" s="28">
        <f>计算区域!E701</f>
        <v>44421</v>
      </c>
      <c r="B699" t="e">
        <f ca="1">IFERROR(计算区域!AJ701,NA())</f>
        <v>#N/A</v>
      </c>
      <c r="C699" t="e">
        <f ca="1">IFERROR(计算区域!AK701,NA())</f>
        <v>#N/A</v>
      </c>
      <c r="D699" t="e">
        <f ca="1">IFERROR(计算区域!AL701,NA())</f>
        <v>#N/A</v>
      </c>
      <c r="E699" t="e">
        <f ca="1">IFERROR(计算区域!AM701,NA())</f>
        <v>#N/A</v>
      </c>
      <c r="G699" t="e">
        <f ca="1">IFERROR(计算区域!AD701,NA())</f>
        <v>#N/A</v>
      </c>
      <c r="H699" t="e">
        <f ca="1">IFERROR(计算区域!AE701,NA())</f>
        <v>#N/A</v>
      </c>
      <c r="I699" t="e">
        <f ca="1">IFERROR(计算区域!AF701,NA())</f>
        <v>#N/A</v>
      </c>
      <c r="J699" t="e">
        <f ca="1">IFERROR(计算区域!AG701,NA())</f>
        <v>#N/A</v>
      </c>
      <c r="L699" t="e">
        <f ca="1">IFERROR(计算区域!L701,NA())</f>
        <v>#N/A</v>
      </c>
      <c r="M699" t="e">
        <f ca="1">IFERROR(计算区域!M701,NA())</f>
        <v>#N/A</v>
      </c>
      <c r="N699" t="e">
        <f ca="1">IFERROR(计算区域!N701,NA())</f>
        <v>#N/A</v>
      </c>
      <c r="O699" t="e">
        <f ca="1">IFERROR(计算区域!O701,NA())</f>
        <v>#N/A</v>
      </c>
      <c r="Q699" t="e">
        <f ca="1">IFERROR(计算区域!R701,NA())</f>
        <v>#N/A</v>
      </c>
      <c r="R699" t="e">
        <f ca="1">IFERROR(计算区域!S701,NA())</f>
        <v>#N/A</v>
      </c>
      <c r="S699" t="e">
        <f ca="1">IFERROR(计算区域!T701,NA())</f>
        <v>#N/A</v>
      </c>
      <c r="T699" t="e">
        <f ca="1">IFERROR(计算区域!U701,NA())</f>
        <v>#N/A</v>
      </c>
      <c r="V699" t="e">
        <f ca="1">IFERROR(计算区域!X701,NA())</f>
        <v>#N/A</v>
      </c>
      <c r="W699" t="e">
        <f ca="1">IFERROR(计算区域!Y701,NA())</f>
        <v>#N/A</v>
      </c>
      <c r="X699" t="e">
        <f ca="1">IFERROR(计算区域!Z701,NA())</f>
        <v>#N/A</v>
      </c>
      <c r="Y699" t="e">
        <f ca="1">IFERROR(计算区域!AA701,NA())</f>
        <v>#N/A</v>
      </c>
    </row>
    <row r="700" spans="1:25" x14ac:dyDescent="0.2">
      <c r="A700" s="28">
        <f>计算区域!E702</f>
        <v>44420</v>
      </c>
      <c r="B700" t="e">
        <f ca="1">IFERROR(计算区域!AJ702,NA())</f>
        <v>#N/A</v>
      </c>
      <c r="C700" t="e">
        <f ca="1">IFERROR(计算区域!AK702,NA())</f>
        <v>#N/A</v>
      </c>
      <c r="D700" t="e">
        <f ca="1">IFERROR(计算区域!AL702,NA())</f>
        <v>#N/A</v>
      </c>
      <c r="E700" t="e">
        <f ca="1">IFERROR(计算区域!AM702,NA())</f>
        <v>#N/A</v>
      </c>
      <c r="G700" t="e">
        <f ca="1">IFERROR(计算区域!AD702,NA())</f>
        <v>#N/A</v>
      </c>
      <c r="H700" t="e">
        <f ca="1">IFERROR(计算区域!AE702,NA())</f>
        <v>#N/A</v>
      </c>
      <c r="I700" t="e">
        <f ca="1">IFERROR(计算区域!AF702,NA())</f>
        <v>#N/A</v>
      </c>
      <c r="J700" t="e">
        <f ca="1">IFERROR(计算区域!AG702,NA())</f>
        <v>#N/A</v>
      </c>
      <c r="L700" t="e">
        <f ca="1">IFERROR(计算区域!L702,NA())</f>
        <v>#N/A</v>
      </c>
      <c r="M700" t="e">
        <f ca="1">IFERROR(计算区域!M702,NA())</f>
        <v>#N/A</v>
      </c>
      <c r="N700" t="e">
        <f ca="1">IFERROR(计算区域!N702,NA())</f>
        <v>#N/A</v>
      </c>
      <c r="O700" t="e">
        <f ca="1">IFERROR(计算区域!O702,NA())</f>
        <v>#N/A</v>
      </c>
      <c r="Q700" t="e">
        <f ca="1">IFERROR(计算区域!R702,NA())</f>
        <v>#N/A</v>
      </c>
      <c r="R700" t="e">
        <f ca="1">IFERROR(计算区域!S702,NA())</f>
        <v>#N/A</v>
      </c>
      <c r="S700" t="e">
        <f ca="1">IFERROR(计算区域!T702,NA())</f>
        <v>#N/A</v>
      </c>
      <c r="T700" t="e">
        <f ca="1">IFERROR(计算区域!U702,NA())</f>
        <v>#N/A</v>
      </c>
      <c r="V700" t="e">
        <f ca="1">IFERROR(计算区域!X702,NA())</f>
        <v>#N/A</v>
      </c>
      <c r="W700" t="e">
        <f ca="1">IFERROR(计算区域!Y702,NA())</f>
        <v>#N/A</v>
      </c>
      <c r="X700" t="e">
        <f ca="1">IFERROR(计算区域!Z702,NA())</f>
        <v>#N/A</v>
      </c>
      <c r="Y700" t="e">
        <f ca="1">IFERROR(计算区域!AA702,NA())</f>
        <v>#N/A</v>
      </c>
    </row>
    <row r="701" spans="1:25" x14ac:dyDescent="0.2">
      <c r="A701" s="28">
        <f>计算区域!E703</f>
        <v>44419</v>
      </c>
      <c r="B701" t="e">
        <f ca="1">IFERROR(计算区域!AJ703,NA())</f>
        <v>#N/A</v>
      </c>
      <c r="C701" t="e">
        <f ca="1">IFERROR(计算区域!AK703,NA())</f>
        <v>#N/A</v>
      </c>
      <c r="D701" t="e">
        <f ca="1">IFERROR(计算区域!AL703,NA())</f>
        <v>#N/A</v>
      </c>
      <c r="E701" t="e">
        <f ca="1">IFERROR(计算区域!AM703,NA())</f>
        <v>#N/A</v>
      </c>
      <c r="G701" t="e">
        <f ca="1">IFERROR(计算区域!AD703,NA())</f>
        <v>#N/A</v>
      </c>
      <c r="H701" t="e">
        <f ca="1">IFERROR(计算区域!AE703,NA())</f>
        <v>#N/A</v>
      </c>
      <c r="I701" t="e">
        <f ca="1">IFERROR(计算区域!AF703,NA())</f>
        <v>#N/A</v>
      </c>
      <c r="J701" t="e">
        <f ca="1">IFERROR(计算区域!AG703,NA())</f>
        <v>#N/A</v>
      </c>
      <c r="L701" t="e">
        <f ca="1">IFERROR(计算区域!L703,NA())</f>
        <v>#N/A</v>
      </c>
      <c r="M701" t="e">
        <f ca="1">IFERROR(计算区域!M703,NA())</f>
        <v>#N/A</v>
      </c>
      <c r="N701" t="e">
        <f ca="1">IFERROR(计算区域!N703,NA())</f>
        <v>#N/A</v>
      </c>
      <c r="O701" t="e">
        <f ca="1">IFERROR(计算区域!O703,NA())</f>
        <v>#N/A</v>
      </c>
      <c r="Q701" t="e">
        <f ca="1">IFERROR(计算区域!R703,NA())</f>
        <v>#N/A</v>
      </c>
      <c r="R701" t="e">
        <f ca="1">IFERROR(计算区域!S703,NA())</f>
        <v>#N/A</v>
      </c>
      <c r="S701" t="e">
        <f ca="1">IFERROR(计算区域!T703,NA())</f>
        <v>#N/A</v>
      </c>
      <c r="T701" t="e">
        <f ca="1">IFERROR(计算区域!U703,NA())</f>
        <v>#N/A</v>
      </c>
      <c r="V701" t="e">
        <f ca="1">IFERROR(计算区域!X703,NA())</f>
        <v>#N/A</v>
      </c>
      <c r="W701" t="e">
        <f ca="1">IFERROR(计算区域!Y703,NA())</f>
        <v>#N/A</v>
      </c>
      <c r="X701" t="e">
        <f ca="1">IFERROR(计算区域!Z703,NA())</f>
        <v>#N/A</v>
      </c>
      <c r="Y701" t="e">
        <f ca="1">IFERROR(计算区域!AA703,NA())</f>
        <v>#N/A</v>
      </c>
    </row>
    <row r="702" spans="1:25" x14ac:dyDescent="0.2">
      <c r="A702" s="28">
        <f>计算区域!E704</f>
        <v>44418</v>
      </c>
      <c r="B702" t="e">
        <f ca="1">IFERROR(计算区域!AJ704,NA())</f>
        <v>#N/A</v>
      </c>
      <c r="C702" t="e">
        <f ca="1">IFERROR(计算区域!AK704,NA())</f>
        <v>#N/A</v>
      </c>
      <c r="D702" t="e">
        <f ca="1">IFERROR(计算区域!AL704,NA())</f>
        <v>#N/A</v>
      </c>
      <c r="E702" t="e">
        <f ca="1">IFERROR(计算区域!AM704,NA())</f>
        <v>#N/A</v>
      </c>
      <c r="G702" t="e">
        <f ca="1">IFERROR(计算区域!AD704,NA())</f>
        <v>#N/A</v>
      </c>
      <c r="H702" t="e">
        <f ca="1">IFERROR(计算区域!AE704,NA())</f>
        <v>#N/A</v>
      </c>
      <c r="I702" t="e">
        <f ca="1">IFERROR(计算区域!AF704,NA())</f>
        <v>#N/A</v>
      </c>
      <c r="J702" t="e">
        <f ca="1">IFERROR(计算区域!AG704,NA())</f>
        <v>#N/A</v>
      </c>
      <c r="L702" t="e">
        <f ca="1">IFERROR(计算区域!L704,NA())</f>
        <v>#N/A</v>
      </c>
      <c r="M702" t="e">
        <f ca="1">IFERROR(计算区域!M704,NA())</f>
        <v>#N/A</v>
      </c>
      <c r="N702" t="e">
        <f ca="1">IFERROR(计算区域!N704,NA())</f>
        <v>#N/A</v>
      </c>
      <c r="O702" t="e">
        <f ca="1">IFERROR(计算区域!O704,NA())</f>
        <v>#N/A</v>
      </c>
      <c r="Q702" t="e">
        <f ca="1">IFERROR(计算区域!R704,NA())</f>
        <v>#N/A</v>
      </c>
      <c r="R702" t="e">
        <f ca="1">IFERROR(计算区域!S704,NA())</f>
        <v>#N/A</v>
      </c>
      <c r="S702" t="e">
        <f ca="1">IFERROR(计算区域!T704,NA())</f>
        <v>#N/A</v>
      </c>
      <c r="T702" t="e">
        <f ca="1">IFERROR(计算区域!U704,NA())</f>
        <v>#N/A</v>
      </c>
      <c r="V702" t="e">
        <f ca="1">IFERROR(计算区域!X704,NA())</f>
        <v>#N/A</v>
      </c>
      <c r="W702" t="e">
        <f ca="1">IFERROR(计算区域!Y704,NA())</f>
        <v>#N/A</v>
      </c>
      <c r="X702" t="e">
        <f ca="1">IFERROR(计算区域!Z704,NA())</f>
        <v>#N/A</v>
      </c>
      <c r="Y702" t="e">
        <f ca="1">IFERROR(计算区域!AA704,NA())</f>
        <v>#N/A</v>
      </c>
    </row>
    <row r="703" spans="1:25" x14ac:dyDescent="0.2">
      <c r="A703" s="28">
        <f>计算区域!E705</f>
        <v>44417</v>
      </c>
      <c r="B703" t="e">
        <f ca="1">IFERROR(计算区域!AJ705,NA())</f>
        <v>#N/A</v>
      </c>
      <c r="C703" t="e">
        <f ca="1">IFERROR(计算区域!AK705,NA())</f>
        <v>#N/A</v>
      </c>
      <c r="D703" t="e">
        <f ca="1">IFERROR(计算区域!AL705,NA())</f>
        <v>#N/A</v>
      </c>
      <c r="E703" t="e">
        <f ca="1">IFERROR(计算区域!AM705,NA())</f>
        <v>#N/A</v>
      </c>
      <c r="G703" t="e">
        <f ca="1">IFERROR(计算区域!AD705,NA())</f>
        <v>#N/A</v>
      </c>
      <c r="H703" t="e">
        <f ca="1">IFERROR(计算区域!AE705,NA())</f>
        <v>#N/A</v>
      </c>
      <c r="I703" t="e">
        <f ca="1">IFERROR(计算区域!AF705,NA())</f>
        <v>#N/A</v>
      </c>
      <c r="J703" t="e">
        <f ca="1">IFERROR(计算区域!AG705,NA())</f>
        <v>#N/A</v>
      </c>
      <c r="L703" t="e">
        <f ca="1">IFERROR(计算区域!L705,NA())</f>
        <v>#N/A</v>
      </c>
      <c r="M703" t="e">
        <f ca="1">IFERROR(计算区域!M705,NA())</f>
        <v>#N/A</v>
      </c>
      <c r="N703" t="e">
        <f ca="1">IFERROR(计算区域!N705,NA())</f>
        <v>#N/A</v>
      </c>
      <c r="O703" t="e">
        <f ca="1">IFERROR(计算区域!O705,NA())</f>
        <v>#N/A</v>
      </c>
      <c r="Q703" t="e">
        <f ca="1">IFERROR(计算区域!R705,NA())</f>
        <v>#N/A</v>
      </c>
      <c r="R703" t="e">
        <f ca="1">IFERROR(计算区域!S705,NA())</f>
        <v>#N/A</v>
      </c>
      <c r="S703" t="e">
        <f ca="1">IFERROR(计算区域!T705,NA())</f>
        <v>#N/A</v>
      </c>
      <c r="T703" t="e">
        <f ca="1">IFERROR(计算区域!U705,NA())</f>
        <v>#N/A</v>
      </c>
      <c r="V703" t="e">
        <f ca="1">IFERROR(计算区域!X705,NA())</f>
        <v>#N/A</v>
      </c>
      <c r="W703" t="e">
        <f ca="1">IFERROR(计算区域!Y705,NA())</f>
        <v>#N/A</v>
      </c>
      <c r="X703" t="e">
        <f ca="1">IFERROR(计算区域!Z705,NA())</f>
        <v>#N/A</v>
      </c>
      <c r="Y703" t="e">
        <f ca="1">IFERROR(计算区域!AA705,NA())</f>
        <v>#N/A</v>
      </c>
    </row>
    <row r="704" spans="1:25" x14ac:dyDescent="0.2">
      <c r="A704" s="28">
        <f>计算区域!E706</f>
        <v>44414</v>
      </c>
      <c r="B704" t="e">
        <f ca="1">IFERROR(计算区域!AJ706,NA())</f>
        <v>#N/A</v>
      </c>
      <c r="C704" t="e">
        <f ca="1">IFERROR(计算区域!AK706,NA())</f>
        <v>#N/A</v>
      </c>
      <c r="D704" t="e">
        <f ca="1">IFERROR(计算区域!AL706,NA())</f>
        <v>#N/A</v>
      </c>
      <c r="E704" t="e">
        <f ca="1">IFERROR(计算区域!AM706,NA())</f>
        <v>#N/A</v>
      </c>
      <c r="G704" t="e">
        <f ca="1">IFERROR(计算区域!AD706,NA())</f>
        <v>#N/A</v>
      </c>
      <c r="H704" t="e">
        <f ca="1">IFERROR(计算区域!AE706,NA())</f>
        <v>#N/A</v>
      </c>
      <c r="I704" t="e">
        <f ca="1">IFERROR(计算区域!AF706,NA())</f>
        <v>#N/A</v>
      </c>
      <c r="J704" t="e">
        <f ca="1">IFERROR(计算区域!AG706,NA())</f>
        <v>#N/A</v>
      </c>
      <c r="L704" t="e">
        <f ca="1">IFERROR(计算区域!L706,NA())</f>
        <v>#N/A</v>
      </c>
      <c r="M704" t="e">
        <f ca="1">IFERROR(计算区域!M706,NA())</f>
        <v>#N/A</v>
      </c>
      <c r="N704" t="e">
        <f ca="1">IFERROR(计算区域!N706,NA())</f>
        <v>#N/A</v>
      </c>
      <c r="O704" t="e">
        <f ca="1">IFERROR(计算区域!O706,NA())</f>
        <v>#N/A</v>
      </c>
      <c r="Q704" t="e">
        <f ca="1">IFERROR(计算区域!R706,NA())</f>
        <v>#N/A</v>
      </c>
      <c r="R704" t="e">
        <f ca="1">IFERROR(计算区域!S706,NA())</f>
        <v>#N/A</v>
      </c>
      <c r="S704" t="e">
        <f ca="1">IFERROR(计算区域!T706,NA())</f>
        <v>#N/A</v>
      </c>
      <c r="T704" t="e">
        <f ca="1">IFERROR(计算区域!U706,NA())</f>
        <v>#N/A</v>
      </c>
      <c r="V704" t="e">
        <f ca="1">IFERROR(计算区域!X706,NA())</f>
        <v>#N/A</v>
      </c>
      <c r="W704" t="e">
        <f ca="1">IFERROR(计算区域!Y706,NA())</f>
        <v>#N/A</v>
      </c>
      <c r="X704" t="e">
        <f ca="1">IFERROR(计算区域!Z706,NA())</f>
        <v>#N/A</v>
      </c>
      <c r="Y704" t="e">
        <f ca="1">IFERROR(计算区域!AA706,NA())</f>
        <v>#N/A</v>
      </c>
    </row>
    <row r="705" spans="1:25" x14ac:dyDescent="0.2">
      <c r="A705" s="28">
        <f>计算区域!E707</f>
        <v>44413</v>
      </c>
      <c r="B705" t="e">
        <f ca="1">IFERROR(计算区域!AJ707,NA())</f>
        <v>#N/A</v>
      </c>
      <c r="C705" t="e">
        <f ca="1">IFERROR(计算区域!AK707,NA())</f>
        <v>#N/A</v>
      </c>
      <c r="D705" t="e">
        <f ca="1">IFERROR(计算区域!AL707,NA())</f>
        <v>#N/A</v>
      </c>
      <c r="E705" t="e">
        <f ca="1">IFERROR(计算区域!AM707,NA())</f>
        <v>#N/A</v>
      </c>
      <c r="G705" t="e">
        <f ca="1">IFERROR(计算区域!AD707,NA())</f>
        <v>#N/A</v>
      </c>
      <c r="H705" t="e">
        <f ca="1">IFERROR(计算区域!AE707,NA())</f>
        <v>#N/A</v>
      </c>
      <c r="I705" t="e">
        <f ca="1">IFERROR(计算区域!AF707,NA())</f>
        <v>#N/A</v>
      </c>
      <c r="J705" t="e">
        <f ca="1">IFERROR(计算区域!AG707,NA())</f>
        <v>#N/A</v>
      </c>
      <c r="L705" t="e">
        <f ca="1">IFERROR(计算区域!L707,NA())</f>
        <v>#N/A</v>
      </c>
      <c r="M705" t="e">
        <f ca="1">IFERROR(计算区域!M707,NA())</f>
        <v>#N/A</v>
      </c>
      <c r="N705" t="e">
        <f ca="1">IFERROR(计算区域!N707,NA())</f>
        <v>#N/A</v>
      </c>
      <c r="O705" t="e">
        <f ca="1">IFERROR(计算区域!O707,NA())</f>
        <v>#N/A</v>
      </c>
      <c r="Q705" t="e">
        <f ca="1">IFERROR(计算区域!R707,NA())</f>
        <v>#N/A</v>
      </c>
      <c r="R705" t="e">
        <f ca="1">IFERROR(计算区域!S707,NA())</f>
        <v>#N/A</v>
      </c>
      <c r="S705" t="e">
        <f ca="1">IFERROR(计算区域!T707,NA())</f>
        <v>#N/A</v>
      </c>
      <c r="T705" t="e">
        <f ca="1">IFERROR(计算区域!U707,NA())</f>
        <v>#N/A</v>
      </c>
      <c r="V705" t="e">
        <f ca="1">IFERROR(计算区域!X707,NA())</f>
        <v>#N/A</v>
      </c>
      <c r="W705" t="e">
        <f ca="1">IFERROR(计算区域!Y707,NA())</f>
        <v>#N/A</v>
      </c>
      <c r="X705" t="e">
        <f ca="1">IFERROR(计算区域!Z707,NA())</f>
        <v>#N/A</v>
      </c>
      <c r="Y705" t="e">
        <f ca="1">IFERROR(计算区域!AA707,NA())</f>
        <v>#N/A</v>
      </c>
    </row>
    <row r="706" spans="1:25" x14ac:dyDescent="0.2">
      <c r="A706" s="28">
        <f>计算区域!E708</f>
        <v>44412</v>
      </c>
      <c r="B706" t="e">
        <f ca="1">IFERROR(计算区域!AJ708,NA())</f>
        <v>#N/A</v>
      </c>
      <c r="C706" t="e">
        <f ca="1">IFERROR(计算区域!AK708,NA())</f>
        <v>#N/A</v>
      </c>
      <c r="D706" t="e">
        <f ca="1">IFERROR(计算区域!AL708,NA())</f>
        <v>#N/A</v>
      </c>
      <c r="E706" t="e">
        <f ca="1">IFERROR(计算区域!AM708,NA())</f>
        <v>#N/A</v>
      </c>
      <c r="G706" t="e">
        <f ca="1">IFERROR(计算区域!AD708,NA())</f>
        <v>#N/A</v>
      </c>
      <c r="H706" t="e">
        <f ca="1">IFERROR(计算区域!AE708,NA())</f>
        <v>#N/A</v>
      </c>
      <c r="I706" t="e">
        <f ca="1">IFERROR(计算区域!AF708,NA())</f>
        <v>#N/A</v>
      </c>
      <c r="J706" t="e">
        <f ca="1">IFERROR(计算区域!AG708,NA())</f>
        <v>#N/A</v>
      </c>
      <c r="L706" t="e">
        <f ca="1">IFERROR(计算区域!L708,NA())</f>
        <v>#N/A</v>
      </c>
      <c r="M706" t="e">
        <f ca="1">IFERROR(计算区域!M708,NA())</f>
        <v>#N/A</v>
      </c>
      <c r="N706" t="e">
        <f ca="1">IFERROR(计算区域!N708,NA())</f>
        <v>#N/A</v>
      </c>
      <c r="O706" t="e">
        <f ca="1">IFERROR(计算区域!O708,NA())</f>
        <v>#N/A</v>
      </c>
      <c r="Q706" t="e">
        <f ca="1">IFERROR(计算区域!R708,NA())</f>
        <v>#N/A</v>
      </c>
      <c r="R706" t="e">
        <f ca="1">IFERROR(计算区域!S708,NA())</f>
        <v>#N/A</v>
      </c>
      <c r="S706" t="e">
        <f ca="1">IFERROR(计算区域!T708,NA())</f>
        <v>#N/A</v>
      </c>
      <c r="T706" t="e">
        <f ca="1">IFERROR(计算区域!U708,NA())</f>
        <v>#N/A</v>
      </c>
      <c r="V706" t="e">
        <f ca="1">IFERROR(计算区域!X708,NA())</f>
        <v>#N/A</v>
      </c>
      <c r="W706" t="e">
        <f ca="1">IFERROR(计算区域!Y708,NA())</f>
        <v>#N/A</v>
      </c>
      <c r="X706" t="e">
        <f ca="1">IFERROR(计算区域!Z708,NA())</f>
        <v>#N/A</v>
      </c>
      <c r="Y706" t="e">
        <f ca="1">IFERROR(计算区域!AA708,NA())</f>
        <v>#N/A</v>
      </c>
    </row>
    <row r="707" spans="1:25" x14ac:dyDescent="0.2">
      <c r="A707" s="28">
        <f>计算区域!E709</f>
        <v>44411</v>
      </c>
      <c r="B707" t="e">
        <f ca="1">IFERROR(计算区域!AJ709,NA())</f>
        <v>#N/A</v>
      </c>
      <c r="C707" t="e">
        <f ca="1">IFERROR(计算区域!AK709,NA())</f>
        <v>#N/A</v>
      </c>
      <c r="D707" t="e">
        <f ca="1">IFERROR(计算区域!AL709,NA())</f>
        <v>#N/A</v>
      </c>
      <c r="E707" t="e">
        <f ca="1">IFERROR(计算区域!AM709,NA())</f>
        <v>#N/A</v>
      </c>
      <c r="G707" t="e">
        <f ca="1">IFERROR(计算区域!AD709,NA())</f>
        <v>#N/A</v>
      </c>
      <c r="H707" t="e">
        <f ca="1">IFERROR(计算区域!AE709,NA())</f>
        <v>#N/A</v>
      </c>
      <c r="I707" t="e">
        <f ca="1">IFERROR(计算区域!AF709,NA())</f>
        <v>#N/A</v>
      </c>
      <c r="J707" t="e">
        <f ca="1">IFERROR(计算区域!AG709,NA())</f>
        <v>#N/A</v>
      </c>
      <c r="L707" t="e">
        <f ca="1">IFERROR(计算区域!L709,NA())</f>
        <v>#N/A</v>
      </c>
      <c r="M707" t="e">
        <f ca="1">IFERROR(计算区域!M709,NA())</f>
        <v>#N/A</v>
      </c>
      <c r="N707" t="e">
        <f ca="1">IFERROR(计算区域!N709,NA())</f>
        <v>#N/A</v>
      </c>
      <c r="O707" t="e">
        <f ca="1">IFERROR(计算区域!O709,NA())</f>
        <v>#N/A</v>
      </c>
      <c r="Q707" t="e">
        <f ca="1">IFERROR(计算区域!R709,NA())</f>
        <v>#N/A</v>
      </c>
      <c r="R707" t="e">
        <f ca="1">IFERROR(计算区域!S709,NA())</f>
        <v>#N/A</v>
      </c>
      <c r="S707" t="e">
        <f ca="1">IFERROR(计算区域!T709,NA())</f>
        <v>#N/A</v>
      </c>
      <c r="T707" t="e">
        <f ca="1">IFERROR(计算区域!U709,NA())</f>
        <v>#N/A</v>
      </c>
      <c r="V707" t="e">
        <f ca="1">IFERROR(计算区域!X709,NA())</f>
        <v>#N/A</v>
      </c>
      <c r="W707" t="e">
        <f ca="1">IFERROR(计算区域!Y709,NA())</f>
        <v>#N/A</v>
      </c>
      <c r="X707" t="e">
        <f ca="1">IFERROR(计算区域!Z709,NA())</f>
        <v>#N/A</v>
      </c>
      <c r="Y707" t="e">
        <f ca="1">IFERROR(计算区域!AA709,NA())</f>
        <v>#N/A</v>
      </c>
    </row>
    <row r="708" spans="1:25" x14ac:dyDescent="0.2">
      <c r="A708" s="28">
        <f>计算区域!E710</f>
        <v>44410</v>
      </c>
      <c r="B708" t="e">
        <f ca="1">IFERROR(计算区域!AJ710,NA())</f>
        <v>#N/A</v>
      </c>
      <c r="C708" t="e">
        <f ca="1">IFERROR(计算区域!AK710,NA())</f>
        <v>#N/A</v>
      </c>
      <c r="D708" t="e">
        <f ca="1">IFERROR(计算区域!AL710,NA())</f>
        <v>#N/A</v>
      </c>
      <c r="E708" t="e">
        <f ca="1">IFERROR(计算区域!AM710,NA())</f>
        <v>#N/A</v>
      </c>
      <c r="G708" t="e">
        <f ca="1">IFERROR(计算区域!AD710,NA())</f>
        <v>#N/A</v>
      </c>
      <c r="H708" t="e">
        <f ca="1">IFERROR(计算区域!AE710,NA())</f>
        <v>#N/A</v>
      </c>
      <c r="I708" t="e">
        <f ca="1">IFERROR(计算区域!AF710,NA())</f>
        <v>#N/A</v>
      </c>
      <c r="J708" t="e">
        <f ca="1">IFERROR(计算区域!AG710,NA())</f>
        <v>#N/A</v>
      </c>
      <c r="L708" t="e">
        <f ca="1">IFERROR(计算区域!L710,NA())</f>
        <v>#N/A</v>
      </c>
      <c r="M708" t="e">
        <f ca="1">IFERROR(计算区域!M710,NA())</f>
        <v>#N/A</v>
      </c>
      <c r="N708" t="e">
        <f ca="1">IFERROR(计算区域!N710,NA())</f>
        <v>#N/A</v>
      </c>
      <c r="O708" t="e">
        <f ca="1">IFERROR(计算区域!O710,NA())</f>
        <v>#N/A</v>
      </c>
      <c r="Q708" t="e">
        <f ca="1">IFERROR(计算区域!R710,NA())</f>
        <v>#N/A</v>
      </c>
      <c r="R708" t="e">
        <f ca="1">IFERROR(计算区域!S710,NA())</f>
        <v>#N/A</v>
      </c>
      <c r="S708" t="e">
        <f ca="1">IFERROR(计算区域!T710,NA())</f>
        <v>#N/A</v>
      </c>
      <c r="T708" t="e">
        <f ca="1">IFERROR(计算区域!U710,NA())</f>
        <v>#N/A</v>
      </c>
      <c r="V708" t="e">
        <f ca="1">IFERROR(计算区域!X710,NA())</f>
        <v>#N/A</v>
      </c>
      <c r="W708" t="e">
        <f ca="1">IFERROR(计算区域!Y710,NA())</f>
        <v>#N/A</v>
      </c>
      <c r="X708" t="e">
        <f ca="1">IFERROR(计算区域!Z710,NA())</f>
        <v>#N/A</v>
      </c>
      <c r="Y708" t="e">
        <f ca="1">IFERROR(计算区域!AA710,NA())</f>
        <v>#N/A</v>
      </c>
    </row>
    <row r="709" spans="1:25" x14ac:dyDescent="0.2">
      <c r="A709" s="28">
        <f>计算区域!E711</f>
        <v>44407</v>
      </c>
      <c r="B709" t="e">
        <f ca="1">IFERROR(计算区域!AJ711,NA())</f>
        <v>#N/A</v>
      </c>
      <c r="C709" t="e">
        <f ca="1">IFERROR(计算区域!AK711,NA())</f>
        <v>#N/A</v>
      </c>
      <c r="D709" t="e">
        <f ca="1">IFERROR(计算区域!AL711,NA())</f>
        <v>#N/A</v>
      </c>
      <c r="E709" t="e">
        <f ca="1">IFERROR(计算区域!AM711,NA())</f>
        <v>#N/A</v>
      </c>
      <c r="G709" t="e">
        <f ca="1">IFERROR(计算区域!AD711,NA())</f>
        <v>#N/A</v>
      </c>
      <c r="H709" t="e">
        <f ca="1">IFERROR(计算区域!AE711,NA())</f>
        <v>#N/A</v>
      </c>
      <c r="I709" t="e">
        <f ca="1">IFERROR(计算区域!AF711,NA())</f>
        <v>#N/A</v>
      </c>
      <c r="J709" t="e">
        <f ca="1">IFERROR(计算区域!AG711,NA())</f>
        <v>#N/A</v>
      </c>
      <c r="L709" t="e">
        <f ca="1">IFERROR(计算区域!L711,NA())</f>
        <v>#N/A</v>
      </c>
      <c r="M709" t="e">
        <f ca="1">IFERROR(计算区域!M711,NA())</f>
        <v>#N/A</v>
      </c>
      <c r="N709" t="e">
        <f ca="1">IFERROR(计算区域!N711,NA())</f>
        <v>#N/A</v>
      </c>
      <c r="O709" t="e">
        <f ca="1">IFERROR(计算区域!O711,NA())</f>
        <v>#N/A</v>
      </c>
      <c r="Q709" t="e">
        <f ca="1">IFERROR(计算区域!R711,NA())</f>
        <v>#N/A</v>
      </c>
      <c r="R709" t="e">
        <f ca="1">IFERROR(计算区域!S711,NA())</f>
        <v>#N/A</v>
      </c>
      <c r="S709" t="e">
        <f ca="1">IFERROR(计算区域!T711,NA())</f>
        <v>#N/A</v>
      </c>
      <c r="T709" t="e">
        <f ca="1">IFERROR(计算区域!U711,NA())</f>
        <v>#N/A</v>
      </c>
      <c r="V709" t="e">
        <f ca="1">IFERROR(计算区域!X711,NA())</f>
        <v>#N/A</v>
      </c>
      <c r="W709" t="e">
        <f ca="1">IFERROR(计算区域!Y711,NA())</f>
        <v>#N/A</v>
      </c>
      <c r="X709" t="e">
        <f ca="1">IFERROR(计算区域!Z711,NA())</f>
        <v>#N/A</v>
      </c>
      <c r="Y709" t="e">
        <f ca="1">IFERROR(计算区域!AA711,NA())</f>
        <v>#N/A</v>
      </c>
    </row>
    <row r="710" spans="1:25" x14ac:dyDescent="0.2">
      <c r="A710" s="28">
        <f>计算区域!E712</f>
        <v>44406</v>
      </c>
      <c r="B710" t="e">
        <f ca="1">IFERROR(计算区域!AJ712,NA())</f>
        <v>#N/A</v>
      </c>
      <c r="C710" t="e">
        <f ca="1">IFERROR(计算区域!AK712,NA())</f>
        <v>#N/A</v>
      </c>
      <c r="D710" t="e">
        <f ca="1">IFERROR(计算区域!AL712,NA())</f>
        <v>#N/A</v>
      </c>
      <c r="E710" t="e">
        <f ca="1">IFERROR(计算区域!AM712,NA())</f>
        <v>#N/A</v>
      </c>
      <c r="G710" t="e">
        <f ca="1">IFERROR(计算区域!AD712,NA())</f>
        <v>#N/A</v>
      </c>
      <c r="H710" t="e">
        <f ca="1">IFERROR(计算区域!AE712,NA())</f>
        <v>#N/A</v>
      </c>
      <c r="I710" t="e">
        <f ca="1">IFERROR(计算区域!AF712,NA())</f>
        <v>#N/A</v>
      </c>
      <c r="J710" t="e">
        <f ca="1">IFERROR(计算区域!AG712,NA())</f>
        <v>#N/A</v>
      </c>
      <c r="L710" t="e">
        <f ca="1">IFERROR(计算区域!L712,NA())</f>
        <v>#N/A</v>
      </c>
      <c r="M710" t="e">
        <f ca="1">IFERROR(计算区域!M712,NA())</f>
        <v>#N/A</v>
      </c>
      <c r="N710" t="e">
        <f ca="1">IFERROR(计算区域!N712,NA())</f>
        <v>#N/A</v>
      </c>
      <c r="O710" t="e">
        <f ca="1">IFERROR(计算区域!O712,NA())</f>
        <v>#N/A</v>
      </c>
      <c r="Q710" t="e">
        <f ca="1">IFERROR(计算区域!R712,NA())</f>
        <v>#N/A</v>
      </c>
      <c r="R710" t="e">
        <f ca="1">IFERROR(计算区域!S712,NA())</f>
        <v>#N/A</v>
      </c>
      <c r="S710" t="e">
        <f ca="1">IFERROR(计算区域!T712,NA())</f>
        <v>#N/A</v>
      </c>
      <c r="T710" t="e">
        <f ca="1">IFERROR(计算区域!U712,NA())</f>
        <v>#N/A</v>
      </c>
      <c r="V710" t="e">
        <f ca="1">IFERROR(计算区域!X712,NA())</f>
        <v>#N/A</v>
      </c>
      <c r="W710" t="e">
        <f ca="1">IFERROR(计算区域!Y712,NA())</f>
        <v>#N/A</v>
      </c>
      <c r="X710" t="e">
        <f ca="1">IFERROR(计算区域!Z712,NA())</f>
        <v>#N/A</v>
      </c>
      <c r="Y710" t="e">
        <f ca="1">IFERROR(计算区域!AA712,NA())</f>
        <v>#N/A</v>
      </c>
    </row>
    <row r="711" spans="1:25" x14ac:dyDescent="0.2">
      <c r="A711" s="28">
        <f>计算区域!E713</f>
        <v>44405</v>
      </c>
      <c r="B711" t="e">
        <f ca="1">IFERROR(计算区域!AJ713,NA())</f>
        <v>#N/A</v>
      </c>
      <c r="C711" t="e">
        <f ca="1">IFERROR(计算区域!AK713,NA())</f>
        <v>#N/A</v>
      </c>
      <c r="D711" t="e">
        <f ca="1">IFERROR(计算区域!AL713,NA())</f>
        <v>#N/A</v>
      </c>
      <c r="E711" t="e">
        <f ca="1">IFERROR(计算区域!AM713,NA())</f>
        <v>#N/A</v>
      </c>
      <c r="G711" t="e">
        <f ca="1">IFERROR(计算区域!AD713,NA())</f>
        <v>#N/A</v>
      </c>
      <c r="H711" t="e">
        <f ca="1">IFERROR(计算区域!AE713,NA())</f>
        <v>#N/A</v>
      </c>
      <c r="I711" t="e">
        <f ca="1">IFERROR(计算区域!AF713,NA())</f>
        <v>#N/A</v>
      </c>
      <c r="J711" t="e">
        <f ca="1">IFERROR(计算区域!AG713,NA())</f>
        <v>#N/A</v>
      </c>
      <c r="L711" t="e">
        <f ca="1">IFERROR(计算区域!L713,NA())</f>
        <v>#N/A</v>
      </c>
      <c r="M711" t="e">
        <f ca="1">IFERROR(计算区域!M713,NA())</f>
        <v>#N/A</v>
      </c>
      <c r="N711" t="e">
        <f ca="1">IFERROR(计算区域!N713,NA())</f>
        <v>#N/A</v>
      </c>
      <c r="O711" t="e">
        <f ca="1">IFERROR(计算区域!O713,NA())</f>
        <v>#N/A</v>
      </c>
      <c r="Q711" t="e">
        <f ca="1">IFERROR(计算区域!R713,NA())</f>
        <v>#N/A</v>
      </c>
      <c r="R711" t="e">
        <f ca="1">IFERROR(计算区域!S713,NA())</f>
        <v>#N/A</v>
      </c>
      <c r="S711" t="e">
        <f ca="1">IFERROR(计算区域!T713,NA())</f>
        <v>#N/A</v>
      </c>
      <c r="T711" t="e">
        <f ca="1">IFERROR(计算区域!U713,NA())</f>
        <v>#N/A</v>
      </c>
      <c r="V711" t="e">
        <f ca="1">IFERROR(计算区域!X713,NA())</f>
        <v>#N/A</v>
      </c>
      <c r="W711" t="e">
        <f ca="1">IFERROR(计算区域!Y713,NA())</f>
        <v>#N/A</v>
      </c>
      <c r="X711" t="e">
        <f ca="1">IFERROR(计算区域!Z713,NA())</f>
        <v>#N/A</v>
      </c>
      <c r="Y711" t="e">
        <f ca="1">IFERROR(计算区域!AA713,NA())</f>
        <v>#N/A</v>
      </c>
    </row>
    <row r="712" spans="1:25" x14ac:dyDescent="0.2">
      <c r="A712" s="28">
        <f>计算区域!E714</f>
        <v>44404</v>
      </c>
      <c r="B712" t="e">
        <f ca="1">IFERROR(计算区域!AJ714,NA())</f>
        <v>#N/A</v>
      </c>
      <c r="C712" t="e">
        <f ca="1">IFERROR(计算区域!AK714,NA())</f>
        <v>#N/A</v>
      </c>
      <c r="D712" t="e">
        <f ca="1">IFERROR(计算区域!AL714,NA())</f>
        <v>#N/A</v>
      </c>
      <c r="E712" t="e">
        <f ca="1">IFERROR(计算区域!AM714,NA())</f>
        <v>#N/A</v>
      </c>
      <c r="G712" t="e">
        <f ca="1">IFERROR(计算区域!AD714,NA())</f>
        <v>#N/A</v>
      </c>
      <c r="H712" t="e">
        <f ca="1">IFERROR(计算区域!AE714,NA())</f>
        <v>#N/A</v>
      </c>
      <c r="I712" t="e">
        <f ca="1">IFERROR(计算区域!AF714,NA())</f>
        <v>#N/A</v>
      </c>
      <c r="J712" t="e">
        <f ca="1">IFERROR(计算区域!AG714,NA())</f>
        <v>#N/A</v>
      </c>
      <c r="L712" t="e">
        <f ca="1">IFERROR(计算区域!L714,NA())</f>
        <v>#N/A</v>
      </c>
      <c r="M712" t="e">
        <f ca="1">IFERROR(计算区域!M714,NA())</f>
        <v>#N/A</v>
      </c>
      <c r="N712" t="e">
        <f ca="1">IFERROR(计算区域!N714,NA())</f>
        <v>#N/A</v>
      </c>
      <c r="O712" t="e">
        <f ca="1">IFERROR(计算区域!O714,NA())</f>
        <v>#N/A</v>
      </c>
      <c r="Q712" t="e">
        <f ca="1">IFERROR(计算区域!R714,NA())</f>
        <v>#N/A</v>
      </c>
      <c r="R712" t="e">
        <f ca="1">IFERROR(计算区域!S714,NA())</f>
        <v>#N/A</v>
      </c>
      <c r="S712" t="e">
        <f ca="1">IFERROR(计算区域!T714,NA())</f>
        <v>#N/A</v>
      </c>
      <c r="T712" t="e">
        <f ca="1">IFERROR(计算区域!U714,NA())</f>
        <v>#N/A</v>
      </c>
      <c r="V712" t="e">
        <f ca="1">IFERROR(计算区域!X714,NA())</f>
        <v>#N/A</v>
      </c>
      <c r="W712" t="e">
        <f ca="1">IFERROR(计算区域!Y714,NA())</f>
        <v>#N/A</v>
      </c>
      <c r="X712" t="e">
        <f ca="1">IFERROR(计算区域!Z714,NA())</f>
        <v>#N/A</v>
      </c>
      <c r="Y712" t="e">
        <f ca="1">IFERROR(计算区域!AA714,NA())</f>
        <v>#N/A</v>
      </c>
    </row>
    <row r="713" spans="1:25" x14ac:dyDescent="0.2">
      <c r="A713" s="28">
        <f>计算区域!E715</f>
        <v>44403</v>
      </c>
      <c r="B713" t="e">
        <f ca="1">IFERROR(计算区域!AJ715,NA())</f>
        <v>#N/A</v>
      </c>
      <c r="C713" t="e">
        <f ca="1">IFERROR(计算区域!AK715,NA())</f>
        <v>#N/A</v>
      </c>
      <c r="D713" t="e">
        <f ca="1">IFERROR(计算区域!AL715,NA())</f>
        <v>#N/A</v>
      </c>
      <c r="E713" t="e">
        <f ca="1">IFERROR(计算区域!AM715,NA())</f>
        <v>#N/A</v>
      </c>
      <c r="G713" t="e">
        <f ca="1">IFERROR(计算区域!AD715,NA())</f>
        <v>#N/A</v>
      </c>
      <c r="H713" t="e">
        <f ca="1">IFERROR(计算区域!AE715,NA())</f>
        <v>#N/A</v>
      </c>
      <c r="I713" t="e">
        <f ca="1">IFERROR(计算区域!AF715,NA())</f>
        <v>#N/A</v>
      </c>
      <c r="J713" t="e">
        <f ca="1">IFERROR(计算区域!AG715,NA())</f>
        <v>#N/A</v>
      </c>
      <c r="L713" t="e">
        <f ca="1">IFERROR(计算区域!L715,NA())</f>
        <v>#N/A</v>
      </c>
      <c r="M713" t="e">
        <f ca="1">IFERROR(计算区域!M715,NA())</f>
        <v>#N/A</v>
      </c>
      <c r="N713" t="e">
        <f ca="1">IFERROR(计算区域!N715,NA())</f>
        <v>#N/A</v>
      </c>
      <c r="O713" t="e">
        <f ca="1">IFERROR(计算区域!O715,NA())</f>
        <v>#N/A</v>
      </c>
      <c r="Q713" t="e">
        <f ca="1">IFERROR(计算区域!R715,NA())</f>
        <v>#N/A</v>
      </c>
      <c r="R713" t="e">
        <f ca="1">IFERROR(计算区域!S715,NA())</f>
        <v>#N/A</v>
      </c>
      <c r="S713" t="e">
        <f ca="1">IFERROR(计算区域!T715,NA())</f>
        <v>#N/A</v>
      </c>
      <c r="T713" t="e">
        <f ca="1">IFERROR(计算区域!U715,NA())</f>
        <v>#N/A</v>
      </c>
      <c r="V713" t="e">
        <f ca="1">IFERROR(计算区域!X715,NA())</f>
        <v>#N/A</v>
      </c>
      <c r="W713" t="e">
        <f ca="1">IFERROR(计算区域!Y715,NA())</f>
        <v>#N/A</v>
      </c>
      <c r="X713" t="e">
        <f ca="1">IFERROR(计算区域!Z715,NA())</f>
        <v>#N/A</v>
      </c>
      <c r="Y713" t="e">
        <f ca="1">IFERROR(计算区域!AA715,NA())</f>
        <v>#N/A</v>
      </c>
    </row>
    <row r="714" spans="1:25" x14ac:dyDescent="0.2">
      <c r="A714" s="28">
        <f>计算区域!E716</f>
        <v>44400</v>
      </c>
      <c r="B714" t="e">
        <f ca="1">IFERROR(计算区域!AJ716,NA())</f>
        <v>#N/A</v>
      </c>
      <c r="C714" t="e">
        <f ca="1">IFERROR(计算区域!AK716,NA())</f>
        <v>#N/A</v>
      </c>
      <c r="D714" t="e">
        <f ca="1">IFERROR(计算区域!AL716,NA())</f>
        <v>#N/A</v>
      </c>
      <c r="E714" t="e">
        <f ca="1">IFERROR(计算区域!AM716,NA())</f>
        <v>#N/A</v>
      </c>
      <c r="G714" t="e">
        <f ca="1">IFERROR(计算区域!AD716,NA())</f>
        <v>#N/A</v>
      </c>
      <c r="H714" t="e">
        <f ca="1">IFERROR(计算区域!AE716,NA())</f>
        <v>#N/A</v>
      </c>
      <c r="I714" t="e">
        <f ca="1">IFERROR(计算区域!AF716,NA())</f>
        <v>#N/A</v>
      </c>
      <c r="J714" t="e">
        <f ca="1">IFERROR(计算区域!AG716,NA())</f>
        <v>#N/A</v>
      </c>
      <c r="L714" t="e">
        <f ca="1">IFERROR(计算区域!L716,NA())</f>
        <v>#N/A</v>
      </c>
      <c r="M714" t="e">
        <f ca="1">IFERROR(计算区域!M716,NA())</f>
        <v>#N/A</v>
      </c>
      <c r="N714" t="e">
        <f ca="1">IFERROR(计算区域!N716,NA())</f>
        <v>#N/A</v>
      </c>
      <c r="O714" t="e">
        <f ca="1">IFERROR(计算区域!O716,NA())</f>
        <v>#N/A</v>
      </c>
      <c r="Q714" t="e">
        <f ca="1">IFERROR(计算区域!R716,NA())</f>
        <v>#N/A</v>
      </c>
      <c r="R714" t="e">
        <f ca="1">IFERROR(计算区域!S716,NA())</f>
        <v>#N/A</v>
      </c>
      <c r="S714" t="e">
        <f ca="1">IFERROR(计算区域!T716,NA())</f>
        <v>#N/A</v>
      </c>
      <c r="T714" t="e">
        <f ca="1">IFERROR(计算区域!U716,NA())</f>
        <v>#N/A</v>
      </c>
      <c r="V714" t="e">
        <f ca="1">IFERROR(计算区域!X716,NA())</f>
        <v>#N/A</v>
      </c>
      <c r="W714" t="e">
        <f ca="1">IFERROR(计算区域!Y716,NA())</f>
        <v>#N/A</v>
      </c>
      <c r="X714" t="e">
        <f ca="1">IFERROR(计算区域!Z716,NA())</f>
        <v>#N/A</v>
      </c>
      <c r="Y714" t="e">
        <f ca="1">IFERROR(计算区域!AA716,NA())</f>
        <v>#N/A</v>
      </c>
    </row>
    <row r="715" spans="1:25" x14ac:dyDescent="0.2">
      <c r="A715" s="28">
        <f>计算区域!E717</f>
        <v>44399</v>
      </c>
      <c r="B715" t="e">
        <f ca="1">IFERROR(计算区域!AJ717,NA())</f>
        <v>#N/A</v>
      </c>
      <c r="C715" t="e">
        <f ca="1">IFERROR(计算区域!AK717,NA())</f>
        <v>#N/A</v>
      </c>
      <c r="D715" t="e">
        <f ca="1">IFERROR(计算区域!AL717,NA())</f>
        <v>#N/A</v>
      </c>
      <c r="E715" t="e">
        <f ca="1">IFERROR(计算区域!AM717,NA())</f>
        <v>#N/A</v>
      </c>
      <c r="G715" t="e">
        <f ca="1">IFERROR(计算区域!AD717,NA())</f>
        <v>#N/A</v>
      </c>
      <c r="H715" t="e">
        <f ca="1">IFERROR(计算区域!AE717,NA())</f>
        <v>#N/A</v>
      </c>
      <c r="I715" t="e">
        <f ca="1">IFERROR(计算区域!AF717,NA())</f>
        <v>#N/A</v>
      </c>
      <c r="J715" t="e">
        <f ca="1">IFERROR(计算区域!AG717,NA())</f>
        <v>#N/A</v>
      </c>
      <c r="L715" t="e">
        <f ca="1">IFERROR(计算区域!L717,NA())</f>
        <v>#N/A</v>
      </c>
      <c r="M715" t="e">
        <f ca="1">IFERROR(计算区域!M717,NA())</f>
        <v>#N/A</v>
      </c>
      <c r="N715" t="e">
        <f ca="1">IFERROR(计算区域!N717,NA())</f>
        <v>#N/A</v>
      </c>
      <c r="O715" t="e">
        <f ca="1">IFERROR(计算区域!O717,NA())</f>
        <v>#N/A</v>
      </c>
      <c r="Q715" t="e">
        <f ca="1">IFERROR(计算区域!R717,NA())</f>
        <v>#N/A</v>
      </c>
      <c r="R715" t="e">
        <f ca="1">IFERROR(计算区域!S717,NA())</f>
        <v>#N/A</v>
      </c>
      <c r="S715" t="e">
        <f ca="1">IFERROR(计算区域!T717,NA())</f>
        <v>#N/A</v>
      </c>
      <c r="T715" t="e">
        <f ca="1">IFERROR(计算区域!U717,NA())</f>
        <v>#N/A</v>
      </c>
      <c r="V715" t="e">
        <f ca="1">IFERROR(计算区域!X717,NA())</f>
        <v>#N/A</v>
      </c>
      <c r="W715" t="e">
        <f ca="1">IFERROR(计算区域!Y717,NA())</f>
        <v>#N/A</v>
      </c>
      <c r="X715" t="e">
        <f ca="1">IFERROR(计算区域!Z717,NA())</f>
        <v>#N/A</v>
      </c>
      <c r="Y715" t="e">
        <f ca="1">IFERROR(计算区域!AA717,NA())</f>
        <v>#N/A</v>
      </c>
    </row>
    <row r="716" spans="1:25" x14ac:dyDescent="0.2">
      <c r="A716" s="28">
        <f>计算区域!E718</f>
        <v>44398</v>
      </c>
      <c r="B716" t="e">
        <f ca="1">IFERROR(计算区域!AJ718,NA())</f>
        <v>#N/A</v>
      </c>
      <c r="C716" t="e">
        <f ca="1">IFERROR(计算区域!AK718,NA())</f>
        <v>#N/A</v>
      </c>
      <c r="D716" t="e">
        <f ca="1">IFERROR(计算区域!AL718,NA())</f>
        <v>#N/A</v>
      </c>
      <c r="E716" t="e">
        <f ca="1">IFERROR(计算区域!AM718,NA())</f>
        <v>#N/A</v>
      </c>
      <c r="G716" t="e">
        <f ca="1">IFERROR(计算区域!AD718,NA())</f>
        <v>#N/A</v>
      </c>
      <c r="H716" t="e">
        <f ca="1">IFERROR(计算区域!AE718,NA())</f>
        <v>#N/A</v>
      </c>
      <c r="I716" t="e">
        <f ca="1">IFERROR(计算区域!AF718,NA())</f>
        <v>#N/A</v>
      </c>
      <c r="J716" t="e">
        <f ca="1">IFERROR(计算区域!AG718,NA())</f>
        <v>#N/A</v>
      </c>
      <c r="L716" t="e">
        <f ca="1">IFERROR(计算区域!L718,NA())</f>
        <v>#N/A</v>
      </c>
      <c r="M716" t="e">
        <f ca="1">IFERROR(计算区域!M718,NA())</f>
        <v>#N/A</v>
      </c>
      <c r="N716" t="e">
        <f ca="1">IFERROR(计算区域!N718,NA())</f>
        <v>#N/A</v>
      </c>
      <c r="O716" t="e">
        <f ca="1">IFERROR(计算区域!O718,NA())</f>
        <v>#N/A</v>
      </c>
      <c r="Q716" t="e">
        <f ca="1">IFERROR(计算区域!R718,NA())</f>
        <v>#N/A</v>
      </c>
      <c r="R716" t="e">
        <f ca="1">IFERROR(计算区域!S718,NA())</f>
        <v>#N/A</v>
      </c>
      <c r="S716" t="e">
        <f ca="1">IFERROR(计算区域!T718,NA())</f>
        <v>#N/A</v>
      </c>
      <c r="T716" t="e">
        <f ca="1">IFERROR(计算区域!U718,NA())</f>
        <v>#N/A</v>
      </c>
      <c r="V716" t="e">
        <f ca="1">IFERROR(计算区域!X718,NA())</f>
        <v>#N/A</v>
      </c>
      <c r="W716" t="e">
        <f ca="1">IFERROR(计算区域!Y718,NA())</f>
        <v>#N/A</v>
      </c>
      <c r="X716" t="e">
        <f ca="1">IFERROR(计算区域!Z718,NA())</f>
        <v>#N/A</v>
      </c>
      <c r="Y716" t="e">
        <f ca="1">IFERROR(计算区域!AA718,NA())</f>
        <v>#N/A</v>
      </c>
    </row>
    <row r="717" spans="1:25" x14ac:dyDescent="0.2">
      <c r="A717" s="28">
        <f>计算区域!E719</f>
        <v>44397</v>
      </c>
      <c r="B717" t="e">
        <f ca="1">IFERROR(计算区域!AJ719,NA())</f>
        <v>#N/A</v>
      </c>
      <c r="C717" t="e">
        <f ca="1">IFERROR(计算区域!AK719,NA())</f>
        <v>#N/A</v>
      </c>
      <c r="D717" t="e">
        <f ca="1">IFERROR(计算区域!AL719,NA())</f>
        <v>#N/A</v>
      </c>
      <c r="E717" t="e">
        <f ca="1">IFERROR(计算区域!AM719,NA())</f>
        <v>#N/A</v>
      </c>
      <c r="G717" t="e">
        <f ca="1">IFERROR(计算区域!AD719,NA())</f>
        <v>#N/A</v>
      </c>
      <c r="H717" t="e">
        <f ca="1">IFERROR(计算区域!AE719,NA())</f>
        <v>#N/A</v>
      </c>
      <c r="I717" t="e">
        <f ca="1">IFERROR(计算区域!AF719,NA())</f>
        <v>#N/A</v>
      </c>
      <c r="J717" t="e">
        <f ca="1">IFERROR(计算区域!AG719,NA())</f>
        <v>#N/A</v>
      </c>
      <c r="L717" t="e">
        <f ca="1">IFERROR(计算区域!L719,NA())</f>
        <v>#N/A</v>
      </c>
      <c r="M717" t="e">
        <f ca="1">IFERROR(计算区域!M719,NA())</f>
        <v>#N/A</v>
      </c>
      <c r="N717" t="e">
        <f ca="1">IFERROR(计算区域!N719,NA())</f>
        <v>#N/A</v>
      </c>
      <c r="O717" t="e">
        <f ca="1">IFERROR(计算区域!O719,NA())</f>
        <v>#N/A</v>
      </c>
      <c r="Q717" t="e">
        <f ca="1">IFERROR(计算区域!R719,NA())</f>
        <v>#N/A</v>
      </c>
      <c r="R717" t="e">
        <f ca="1">IFERROR(计算区域!S719,NA())</f>
        <v>#N/A</v>
      </c>
      <c r="S717" t="e">
        <f ca="1">IFERROR(计算区域!T719,NA())</f>
        <v>#N/A</v>
      </c>
      <c r="T717" t="e">
        <f ca="1">IFERROR(计算区域!U719,NA())</f>
        <v>#N/A</v>
      </c>
      <c r="V717" t="e">
        <f ca="1">IFERROR(计算区域!X719,NA())</f>
        <v>#N/A</v>
      </c>
      <c r="W717" t="e">
        <f ca="1">IFERROR(计算区域!Y719,NA())</f>
        <v>#N/A</v>
      </c>
      <c r="X717" t="e">
        <f ca="1">IFERROR(计算区域!Z719,NA())</f>
        <v>#N/A</v>
      </c>
      <c r="Y717" t="e">
        <f ca="1">IFERROR(计算区域!AA719,NA())</f>
        <v>#N/A</v>
      </c>
    </row>
    <row r="718" spans="1:25" x14ac:dyDescent="0.2">
      <c r="A718" s="28">
        <f>计算区域!E720</f>
        <v>44396</v>
      </c>
      <c r="B718" t="e">
        <f ca="1">IFERROR(计算区域!AJ720,NA())</f>
        <v>#N/A</v>
      </c>
      <c r="C718" t="e">
        <f ca="1">IFERROR(计算区域!AK720,NA())</f>
        <v>#N/A</v>
      </c>
      <c r="D718" t="e">
        <f ca="1">IFERROR(计算区域!AL720,NA())</f>
        <v>#N/A</v>
      </c>
      <c r="E718" t="e">
        <f ca="1">IFERROR(计算区域!AM720,NA())</f>
        <v>#N/A</v>
      </c>
      <c r="G718" t="e">
        <f ca="1">IFERROR(计算区域!AD720,NA())</f>
        <v>#N/A</v>
      </c>
      <c r="H718" t="e">
        <f ca="1">IFERROR(计算区域!AE720,NA())</f>
        <v>#N/A</v>
      </c>
      <c r="I718" t="e">
        <f ca="1">IFERROR(计算区域!AF720,NA())</f>
        <v>#N/A</v>
      </c>
      <c r="J718" t="e">
        <f ca="1">IFERROR(计算区域!AG720,NA())</f>
        <v>#N/A</v>
      </c>
      <c r="L718" t="e">
        <f ca="1">IFERROR(计算区域!L720,NA())</f>
        <v>#N/A</v>
      </c>
      <c r="M718" t="e">
        <f ca="1">IFERROR(计算区域!M720,NA())</f>
        <v>#N/A</v>
      </c>
      <c r="N718" t="e">
        <f ca="1">IFERROR(计算区域!N720,NA())</f>
        <v>#N/A</v>
      </c>
      <c r="O718" t="e">
        <f ca="1">IFERROR(计算区域!O720,NA())</f>
        <v>#N/A</v>
      </c>
      <c r="Q718" t="e">
        <f ca="1">IFERROR(计算区域!R720,NA())</f>
        <v>#N/A</v>
      </c>
      <c r="R718" t="e">
        <f ca="1">IFERROR(计算区域!S720,NA())</f>
        <v>#N/A</v>
      </c>
      <c r="S718" t="e">
        <f ca="1">IFERROR(计算区域!T720,NA())</f>
        <v>#N/A</v>
      </c>
      <c r="T718" t="e">
        <f ca="1">IFERROR(计算区域!U720,NA())</f>
        <v>#N/A</v>
      </c>
      <c r="V718" t="e">
        <f ca="1">IFERROR(计算区域!X720,NA())</f>
        <v>#N/A</v>
      </c>
      <c r="W718" t="e">
        <f ca="1">IFERROR(计算区域!Y720,NA())</f>
        <v>#N/A</v>
      </c>
      <c r="X718" t="e">
        <f ca="1">IFERROR(计算区域!Z720,NA())</f>
        <v>#N/A</v>
      </c>
      <c r="Y718" t="e">
        <f ca="1">IFERROR(计算区域!AA720,NA())</f>
        <v>#N/A</v>
      </c>
    </row>
    <row r="719" spans="1:25" x14ac:dyDescent="0.2">
      <c r="A719" s="28">
        <f>计算区域!E721</f>
        <v>44393</v>
      </c>
      <c r="B719" t="e">
        <f ca="1">IFERROR(计算区域!AJ721,NA())</f>
        <v>#N/A</v>
      </c>
      <c r="C719" t="e">
        <f ca="1">IFERROR(计算区域!AK721,NA())</f>
        <v>#N/A</v>
      </c>
      <c r="D719" t="e">
        <f ca="1">IFERROR(计算区域!AL721,NA())</f>
        <v>#N/A</v>
      </c>
      <c r="E719" t="e">
        <f ca="1">IFERROR(计算区域!AM721,NA())</f>
        <v>#N/A</v>
      </c>
      <c r="G719" t="e">
        <f ca="1">IFERROR(计算区域!AD721,NA())</f>
        <v>#N/A</v>
      </c>
      <c r="H719" t="e">
        <f ca="1">IFERROR(计算区域!AE721,NA())</f>
        <v>#N/A</v>
      </c>
      <c r="I719" t="e">
        <f ca="1">IFERROR(计算区域!AF721,NA())</f>
        <v>#N/A</v>
      </c>
      <c r="J719" t="e">
        <f ca="1">IFERROR(计算区域!AG721,NA())</f>
        <v>#N/A</v>
      </c>
      <c r="L719" t="e">
        <f ca="1">IFERROR(计算区域!L721,NA())</f>
        <v>#N/A</v>
      </c>
      <c r="M719" t="e">
        <f ca="1">IFERROR(计算区域!M721,NA())</f>
        <v>#N/A</v>
      </c>
      <c r="N719" t="e">
        <f ca="1">IFERROR(计算区域!N721,NA())</f>
        <v>#N/A</v>
      </c>
      <c r="O719" t="e">
        <f ca="1">IFERROR(计算区域!O721,NA())</f>
        <v>#N/A</v>
      </c>
      <c r="Q719" t="e">
        <f ca="1">IFERROR(计算区域!R721,NA())</f>
        <v>#N/A</v>
      </c>
      <c r="R719" t="e">
        <f ca="1">IFERROR(计算区域!S721,NA())</f>
        <v>#N/A</v>
      </c>
      <c r="S719" t="e">
        <f ca="1">IFERROR(计算区域!T721,NA())</f>
        <v>#N/A</v>
      </c>
      <c r="T719" t="e">
        <f ca="1">IFERROR(计算区域!U721,NA())</f>
        <v>#N/A</v>
      </c>
      <c r="V719" t="e">
        <f ca="1">IFERROR(计算区域!X721,NA())</f>
        <v>#N/A</v>
      </c>
      <c r="W719" t="e">
        <f ca="1">IFERROR(计算区域!Y721,NA())</f>
        <v>#N/A</v>
      </c>
      <c r="X719" t="e">
        <f ca="1">IFERROR(计算区域!Z721,NA())</f>
        <v>#N/A</v>
      </c>
      <c r="Y719" t="e">
        <f ca="1">IFERROR(计算区域!AA721,NA())</f>
        <v>#N/A</v>
      </c>
    </row>
    <row r="720" spans="1:25" x14ac:dyDescent="0.2">
      <c r="A720" s="28">
        <f>计算区域!E722</f>
        <v>44392</v>
      </c>
      <c r="B720" t="e">
        <f ca="1">IFERROR(计算区域!AJ722,NA())</f>
        <v>#N/A</v>
      </c>
      <c r="C720" t="e">
        <f ca="1">IFERROR(计算区域!AK722,NA())</f>
        <v>#N/A</v>
      </c>
      <c r="D720" t="e">
        <f ca="1">IFERROR(计算区域!AL722,NA())</f>
        <v>#N/A</v>
      </c>
      <c r="E720" t="e">
        <f ca="1">IFERROR(计算区域!AM722,NA())</f>
        <v>#N/A</v>
      </c>
      <c r="G720" t="e">
        <f ca="1">IFERROR(计算区域!AD722,NA())</f>
        <v>#N/A</v>
      </c>
      <c r="H720" t="e">
        <f ca="1">IFERROR(计算区域!AE722,NA())</f>
        <v>#N/A</v>
      </c>
      <c r="I720" t="e">
        <f ca="1">IFERROR(计算区域!AF722,NA())</f>
        <v>#N/A</v>
      </c>
      <c r="J720" t="e">
        <f ca="1">IFERROR(计算区域!AG722,NA())</f>
        <v>#N/A</v>
      </c>
      <c r="L720" t="e">
        <f ca="1">IFERROR(计算区域!L722,NA())</f>
        <v>#N/A</v>
      </c>
      <c r="M720" t="e">
        <f ca="1">IFERROR(计算区域!M722,NA())</f>
        <v>#N/A</v>
      </c>
      <c r="N720" t="e">
        <f ca="1">IFERROR(计算区域!N722,NA())</f>
        <v>#N/A</v>
      </c>
      <c r="O720" t="e">
        <f ca="1">IFERROR(计算区域!O722,NA())</f>
        <v>#N/A</v>
      </c>
      <c r="Q720" t="e">
        <f ca="1">IFERROR(计算区域!R722,NA())</f>
        <v>#N/A</v>
      </c>
      <c r="R720" t="e">
        <f ca="1">IFERROR(计算区域!S722,NA())</f>
        <v>#N/A</v>
      </c>
      <c r="S720" t="e">
        <f ca="1">IFERROR(计算区域!T722,NA())</f>
        <v>#N/A</v>
      </c>
      <c r="T720" t="e">
        <f ca="1">IFERROR(计算区域!U722,NA())</f>
        <v>#N/A</v>
      </c>
      <c r="V720" t="e">
        <f ca="1">IFERROR(计算区域!X722,NA())</f>
        <v>#N/A</v>
      </c>
      <c r="W720" t="e">
        <f ca="1">IFERROR(计算区域!Y722,NA())</f>
        <v>#N/A</v>
      </c>
      <c r="X720" t="e">
        <f ca="1">IFERROR(计算区域!Z722,NA())</f>
        <v>#N/A</v>
      </c>
      <c r="Y720" t="e">
        <f ca="1">IFERROR(计算区域!AA722,NA())</f>
        <v>#N/A</v>
      </c>
    </row>
    <row r="721" spans="1:25" x14ac:dyDescent="0.2">
      <c r="A721" s="28">
        <f>计算区域!E723</f>
        <v>44391</v>
      </c>
      <c r="B721" t="e">
        <f ca="1">IFERROR(计算区域!AJ723,NA())</f>
        <v>#N/A</v>
      </c>
      <c r="C721" t="e">
        <f ca="1">IFERROR(计算区域!AK723,NA())</f>
        <v>#N/A</v>
      </c>
      <c r="D721" t="e">
        <f ca="1">IFERROR(计算区域!AL723,NA())</f>
        <v>#N/A</v>
      </c>
      <c r="E721" t="e">
        <f ca="1">IFERROR(计算区域!AM723,NA())</f>
        <v>#N/A</v>
      </c>
      <c r="G721" t="e">
        <f ca="1">IFERROR(计算区域!AD723,NA())</f>
        <v>#N/A</v>
      </c>
      <c r="H721" t="e">
        <f ca="1">IFERROR(计算区域!AE723,NA())</f>
        <v>#N/A</v>
      </c>
      <c r="I721" t="e">
        <f ca="1">IFERROR(计算区域!AF723,NA())</f>
        <v>#N/A</v>
      </c>
      <c r="J721" t="e">
        <f ca="1">IFERROR(计算区域!AG723,NA())</f>
        <v>#N/A</v>
      </c>
      <c r="L721" t="e">
        <f ca="1">IFERROR(计算区域!L723,NA())</f>
        <v>#N/A</v>
      </c>
      <c r="M721" t="e">
        <f ca="1">IFERROR(计算区域!M723,NA())</f>
        <v>#N/A</v>
      </c>
      <c r="N721" t="e">
        <f ca="1">IFERROR(计算区域!N723,NA())</f>
        <v>#N/A</v>
      </c>
      <c r="O721" t="e">
        <f ca="1">IFERROR(计算区域!O723,NA())</f>
        <v>#N/A</v>
      </c>
      <c r="Q721" t="e">
        <f ca="1">IFERROR(计算区域!R723,NA())</f>
        <v>#N/A</v>
      </c>
      <c r="R721" t="e">
        <f ca="1">IFERROR(计算区域!S723,NA())</f>
        <v>#N/A</v>
      </c>
      <c r="S721" t="e">
        <f ca="1">IFERROR(计算区域!T723,NA())</f>
        <v>#N/A</v>
      </c>
      <c r="T721" t="e">
        <f ca="1">IFERROR(计算区域!U723,NA())</f>
        <v>#N/A</v>
      </c>
      <c r="V721" t="e">
        <f ca="1">IFERROR(计算区域!X723,NA())</f>
        <v>#N/A</v>
      </c>
      <c r="W721" t="e">
        <f ca="1">IFERROR(计算区域!Y723,NA())</f>
        <v>#N/A</v>
      </c>
      <c r="X721" t="e">
        <f ca="1">IFERROR(计算区域!Z723,NA())</f>
        <v>#N/A</v>
      </c>
      <c r="Y721" t="e">
        <f ca="1">IFERROR(计算区域!AA723,NA())</f>
        <v>#N/A</v>
      </c>
    </row>
    <row r="722" spans="1:25" x14ac:dyDescent="0.2">
      <c r="A722" s="28">
        <f>计算区域!E724</f>
        <v>44390</v>
      </c>
      <c r="B722" t="e">
        <f ca="1">IFERROR(计算区域!AJ724,NA())</f>
        <v>#N/A</v>
      </c>
      <c r="C722" t="e">
        <f ca="1">IFERROR(计算区域!AK724,NA())</f>
        <v>#N/A</v>
      </c>
      <c r="D722" t="e">
        <f ca="1">IFERROR(计算区域!AL724,NA())</f>
        <v>#N/A</v>
      </c>
      <c r="E722" t="e">
        <f ca="1">IFERROR(计算区域!AM724,NA())</f>
        <v>#N/A</v>
      </c>
      <c r="G722" t="e">
        <f ca="1">IFERROR(计算区域!AD724,NA())</f>
        <v>#N/A</v>
      </c>
      <c r="H722" t="e">
        <f ca="1">IFERROR(计算区域!AE724,NA())</f>
        <v>#N/A</v>
      </c>
      <c r="I722" t="e">
        <f ca="1">IFERROR(计算区域!AF724,NA())</f>
        <v>#N/A</v>
      </c>
      <c r="J722" t="e">
        <f ca="1">IFERROR(计算区域!AG724,NA())</f>
        <v>#N/A</v>
      </c>
      <c r="L722" t="e">
        <f ca="1">IFERROR(计算区域!L724,NA())</f>
        <v>#N/A</v>
      </c>
      <c r="M722" t="e">
        <f ca="1">IFERROR(计算区域!M724,NA())</f>
        <v>#N/A</v>
      </c>
      <c r="N722" t="e">
        <f ca="1">IFERROR(计算区域!N724,NA())</f>
        <v>#N/A</v>
      </c>
      <c r="O722" t="e">
        <f ca="1">IFERROR(计算区域!O724,NA())</f>
        <v>#N/A</v>
      </c>
      <c r="Q722" t="e">
        <f ca="1">IFERROR(计算区域!R724,NA())</f>
        <v>#N/A</v>
      </c>
      <c r="R722" t="e">
        <f ca="1">IFERROR(计算区域!S724,NA())</f>
        <v>#N/A</v>
      </c>
      <c r="S722" t="e">
        <f ca="1">IFERROR(计算区域!T724,NA())</f>
        <v>#N/A</v>
      </c>
      <c r="T722" t="e">
        <f ca="1">IFERROR(计算区域!U724,NA())</f>
        <v>#N/A</v>
      </c>
      <c r="V722" t="e">
        <f ca="1">IFERROR(计算区域!X724,NA())</f>
        <v>#N/A</v>
      </c>
      <c r="W722" t="e">
        <f ca="1">IFERROR(计算区域!Y724,NA())</f>
        <v>#N/A</v>
      </c>
      <c r="X722" t="e">
        <f ca="1">IFERROR(计算区域!Z724,NA())</f>
        <v>#N/A</v>
      </c>
      <c r="Y722" t="e">
        <f ca="1">IFERROR(计算区域!AA724,NA())</f>
        <v>#N/A</v>
      </c>
    </row>
    <row r="723" spans="1:25" x14ac:dyDescent="0.2">
      <c r="A723" s="28">
        <f>计算区域!E725</f>
        <v>44389</v>
      </c>
      <c r="B723" t="e">
        <f ca="1">IFERROR(计算区域!AJ725,NA())</f>
        <v>#N/A</v>
      </c>
      <c r="C723" t="e">
        <f ca="1">IFERROR(计算区域!AK725,NA())</f>
        <v>#N/A</v>
      </c>
      <c r="D723" t="e">
        <f ca="1">IFERROR(计算区域!AL725,NA())</f>
        <v>#N/A</v>
      </c>
      <c r="E723" t="e">
        <f ca="1">IFERROR(计算区域!AM725,NA())</f>
        <v>#N/A</v>
      </c>
      <c r="G723" t="e">
        <f ca="1">IFERROR(计算区域!AD725,NA())</f>
        <v>#N/A</v>
      </c>
      <c r="H723" t="e">
        <f ca="1">IFERROR(计算区域!AE725,NA())</f>
        <v>#N/A</v>
      </c>
      <c r="I723" t="e">
        <f ca="1">IFERROR(计算区域!AF725,NA())</f>
        <v>#N/A</v>
      </c>
      <c r="J723" t="e">
        <f ca="1">IFERROR(计算区域!AG725,NA())</f>
        <v>#N/A</v>
      </c>
      <c r="L723" t="e">
        <f ca="1">IFERROR(计算区域!L725,NA())</f>
        <v>#N/A</v>
      </c>
      <c r="M723" t="e">
        <f ca="1">IFERROR(计算区域!M725,NA())</f>
        <v>#N/A</v>
      </c>
      <c r="N723" t="e">
        <f ca="1">IFERROR(计算区域!N725,NA())</f>
        <v>#N/A</v>
      </c>
      <c r="O723" t="e">
        <f ca="1">IFERROR(计算区域!O725,NA())</f>
        <v>#N/A</v>
      </c>
      <c r="Q723" t="e">
        <f ca="1">IFERROR(计算区域!R725,NA())</f>
        <v>#N/A</v>
      </c>
      <c r="R723" t="e">
        <f ca="1">IFERROR(计算区域!S725,NA())</f>
        <v>#N/A</v>
      </c>
      <c r="S723" t="e">
        <f ca="1">IFERROR(计算区域!T725,NA())</f>
        <v>#N/A</v>
      </c>
      <c r="T723" t="e">
        <f ca="1">IFERROR(计算区域!U725,NA())</f>
        <v>#N/A</v>
      </c>
      <c r="V723" t="e">
        <f ca="1">IFERROR(计算区域!X725,NA())</f>
        <v>#N/A</v>
      </c>
      <c r="W723" t="e">
        <f ca="1">IFERROR(计算区域!Y725,NA())</f>
        <v>#N/A</v>
      </c>
      <c r="X723" t="e">
        <f ca="1">IFERROR(计算区域!Z725,NA())</f>
        <v>#N/A</v>
      </c>
      <c r="Y723" t="e">
        <f ca="1">IFERROR(计算区域!AA725,NA())</f>
        <v>#N/A</v>
      </c>
    </row>
    <row r="724" spans="1:25" x14ac:dyDescent="0.2">
      <c r="A724" s="28">
        <f>计算区域!E726</f>
        <v>44386</v>
      </c>
      <c r="B724" t="e">
        <f ca="1">IFERROR(计算区域!AJ726,NA())</f>
        <v>#N/A</v>
      </c>
      <c r="C724" t="e">
        <f ca="1">IFERROR(计算区域!AK726,NA())</f>
        <v>#N/A</v>
      </c>
      <c r="D724" t="e">
        <f ca="1">IFERROR(计算区域!AL726,NA())</f>
        <v>#N/A</v>
      </c>
      <c r="E724" t="e">
        <f ca="1">IFERROR(计算区域!AM726,NA())</f>
        <v>#N/A</v>
      </c>
      <c r="G724" t="e">
        <f ca="1">IFERROR(计算区域!AD726,NA())</f>
        <v>#N/A</v>
      </c>
      <c r="H724" t="e">
        <f ca="1">IFERROR(计算区域!AE726,NA())</f>
        <v>#N/A</v>
      </c>
      <c r="I724" t="e">
        <f ca="1">IFERROR(计算区域!AF726,NA())</f>
        <v>#N/A</v>
      </c>
      <c r="J724" t="e">
        <f ca="1">IFERROR(计算区域!AG726,NA())</f>
        <v>#N/A</v>
      </c>
      <c r="L724" t="e">
        <f ca="1">IFERROR(计算区域!L726,NA())</f>
        <v>#N/A</v>
      </c>
      <c r="M724" t="e">
        <f ca="1">IFERROR(计算区域!M726,NA())</f>
        <v>#N/A</v>
      </c>
      <c r="N724" t="e">
        <f ca="1">IFERROR(计算区域!N726,NA())</f>
        <v>#N/A</v>
      </c>
      <c r="O724" t="e">
        <f ca="1">IFERROR(计算区域!O726,NA())</f>
        <v>#N/A</v>
      </c>
      <c r="Q724" t="e">
        <f ca="1">IFERROR(计算区域!R726,NA())</f>
        <v>#N/A</v>
      </c>
      <c r="R724" t="e">
        <f ca="1">IFERROR(计算区域!S726,NA())</f>
        <v>#N/A</v>
      </c>
      <c r="S724" t="e">
        <f ca="1">IFERROR(计算区域!T726,NA())</f>
        <v>#N/A</v>
      </c>
      <c r="T724" t="e">
        <f ca="1">IFERROR(计算区域!U726,NA())</f>
        <v>#N/A</v>
      </c>
      <c r="V724" t="e">
        <f ca="1">IFERROR(计算区域!X726,NA())</f>
        <v>#N/A</v>
      </c>
      <c r="W724" t="e">
        <f ca="1">IFERROR(计算区域!Y726,NA())</f>
        <v>#N/A</v>
      </c>
      <c r="X724" t="e">
        <f ca="1">IFERROR(计算区域!Z726,NA())</f>
        <v>#N/A</v>
      </c>
      <c r="Y724" t="e">
        <f ca="1">IFERROR(计算区域!AA726,NA())</f>
        <v>#N/A</v>
      </c>
    </row>
    <row r="725" spans="1:25" x14ac:dyDescent="0.2">
      <c r="A725" s="28">
        <f>计算区域!E727</f>
        <v>44385</v>
      </c>
      <c r="B725" t="e">
        <f ca="1">IFERROR(计算区域!AJ727,NA())</f>
        <v>#N/A</v>
      </c>
      <c r="C725" t="e">
        <f ca="1">IFERROR(计算区域!AK727,NA())</f>
        <v>#N/A</v>
      </c>
      <c r="D725" t="e">
        <f ca="1">IFERROR(计算区域!AL727,NA())</f>
        <v>#N/A</v>
      </c>
      <c r="E725" t="e">
        <f ca="1">IFERROR(计算区域!AM727,NA())</f>
        <v>#N/A</v>
      </c>
      <c r="G725" t="e">
        <f ca="1">IFERROR(计算区域!AD727,NA())</f>
        <v>#N/A</v>
      </c>
      <c r="H725" t="e">
        <f ca="1">IFERROR(计算区域!AE727,NA())</f>
        <v>#N/A</v>
      </c>
      <c r="I725" t="e">
        <f ca="1">IFERROR(计算区域!AF727,NA())</f>
        <v>#N/A</v>
      </c>
      <c r="J725" t="e">
        <f ca="1">IFERROR(计算区域!AG727,NA())</f>
        <v>#N/A</v>
      </c>
      <c r="L725" t="e">
        <f ca="1">IFERROR(计算区域!L727,NA())</f>
        <v>#N/A</v>
      </c>
      <c r="M725" t="e">
        <f ca="1">IFERROR(计算区域!M727,NA())</f>
        <v>#N/A</v>
      </c>
      <c r="N725" t="e">
        <f ca="1">IFERROR(计算区域!N727,NA())</f>
        <v>#N/A</v>
      </c>
      <c r="O725" t="e">
        <f ca="1">IFERROR(计算区域!O727,NA())</f>
        <v>#N/A</v>
      </c>
      <c r="Q725" t="e">
        <f ca="1">IFERROR(计算区域!R727,NA())</f>
        <v>#N/A</v>
      </c>
      <c r="R725" t="e">
        <f ca="1">IFERROR(计算区域!S727,NA())</f>
        <v>#N/A</v>
      </c>
      <c r="S725" t="e">
        <f ca="1">IFERROR(计算区域!T727,NA())</f>
        <v>#N/A</v>
      </c>
      <c r="T725" t="e">
        <f ca="1">IFERROR(计算区域!U727,NA())</f>
        <v>#N/A</v>
      </c>
      <c r="V725" t="e">
        <f ca="1">IFERROR(计算区域!X727,NA())</f>
        <v>#N/A</v>
      </c>
      <c r="W725" t="e">
        <f ca="1">IFERROR(计算区域!Y727,NA())</f>
        <v>#N/A</v>
      </c>
      <c r="X725" t="e">
        <f ca="1">IFERROR(计算区域!Z727,NA())</f>
        <v>#N/A</v>
      </c>
      <c r="Y725" t="e">
        <f ca="1">IFERROR(计算区域!AA727,NA())</f>
        <v>#N/A</v>
      </c>
    </row>
    <row r="726" spans="1:25" x14ac:dyDescent="0.2">
      <c r="A726" s="28">
        <f>计算区域!E728</f>
        <v>44384</v>
      </c>
      <c r="B726" t="e">
        <f ca="1">IFERROR(计算区域!AJ728,NA())</f>
        <v>#N/A</v>
      </c>
      <c r="C726" t="e">
        <f ca="1">IFERROR(计算区域!AK728,NA())</f>
        <v>#N/A</v>
      </c>
      <c r="D726" t="e">
        <f ca="1">IFERROR(计算区域!AL728,NA())</f>
        <v>#N/A</v>
      </c>
      <c r="E726" t="e">
        <f ca="1">IFERROR(计算区域!AM728,NA())</f>
        <v>#N/A</v>
      </c>
      <c r="G726" t="e">
        <f ca="1">IFERROR(计算区域!AD728,NA())</f>
        <v>#N/A</v>
      </c>
      <c r="H726" t="e">
        <f ca="1">IFERROR(计算区域!AE728,NA())</f>
        <v>#N/A</v>
      </c>
      <c r="I726" t="e">
        <f ca="1">IFERROR(计算区域!AF728,NA())</f>
        <v>#N/A</v>
      </c>
      <c r="J726" t="e">
        <f ca="1">IFERROR(计算区域!AG728,NA())</f>
        <v>#N/A</v>
      </c>
      <c r="L726" t="e">
        <f ca="1">IFERROR(计算区域!L728,NA())</f>
        <v>#N/A</v>
      </c>
      <c r="M726" t="e">
        <f ca="1">IFERROR(计算区域!M728,NA())</f>
        <v>#N/A</v>
      </c>
      <c r="N726" t="e">
        <f ca="1">IFERROR(计算区域!N728,NA())</f>
        <v>#N/A</v>
      </c>
      <c r="O726" t="e">
        <f ca="1">IFERROR(计算区域!O728,NA())</f>
        <v>#N/A</v>
      </c>
      <c r="Q726" t="e">
        <f ca="1">IFERROR(计算区域!R728,NA())</f>
        <v>#N/A</v>
      </c>
      <c r="R726" t="e">
        <f ca="1">IFERROR(计算区域!S728,NA())</f>
        <v>#N/A</v>
      </c>
      <c r="S726" t="e">
        <f ca="1">IFERROR(计算区域!T728,NA())</f>
        <v>#N/A</v>
      </c>
      <c r="T726" t="e">
        <f ca="1">IFERROR(计算区域!U728,NA())</f>
        <v>#N/A</v>
      </c>
      <c r="V726" t="e">
        <f ca="1">IFERROR(计算区域!X728,NA())</f>
        <v>#N/A</v>
      </c>
      <c r="W726" t="e">
        <f ca="1">IFERROR(计算区域!Y728,NA())</f>
        <v>#N/A</v>
      </c>
      <c r="X726" t="e">
        <f ca="1">IFERROR(计算区域!Z728,NA())</f>
        <v>#N/A</v>
      </c>
      <c r="Y726" t="e">
        <f ca="1">IFERROR(计算区域!AA728,NA())</f>
        <v>#N/A</v>
      </c>
    </row>
    <row r="727" spans="1:25" x14ac:dyDescent="0.2">
      <c r="A727" s="28">
        <f>计算区域!E729</f>
        <v>44383</v>
      </c>
      <c r="B727" t="e">
        <f ca="1">IFERROR(计算区域!AJ729,NA())</f>
        <v>#N/A</v>
      </c>
      <c r="C727" t="e">
        <f ca="1">IFERROR(计算区域!AK729,NA())</f>
        <v>#N/A</v>
      </c>
      <c r="D727" t="e">
        <f ca="1">IFERROR(计算区域!AL729,NA())</f>
        <v>#N/A</v>
      </c>
      <c r="E727" t="e">
        <f ca="1">IFERROR(计算区域!AM729,NA())</f>
        <v>#N/A</v>
      </c>
      <c r="G727" t="e">
        <f ca="1">IFERROR(计算区域!AD729,NA())</f>
        <v>#N/A</v>
      </c>
      <c r="H727" t="e">
        <f ca="1">IFERROR(计算区域!AE729,NA())</f>
        <v>#N/A</v>
      </c>
      <c r="I727" t="e">
        <f ca="1">IFERROR(计算区域!AF729,NA())</f>
        <v>#N/A</v>
      </c>
      <c r="J727" t="e">
        <f ca="1">IFERROR(计算区域!AG729,NA())</f>
        <v>#N/A</v>
      </c>
      <c r="L727" t="e">
        <f ca="1">IFERROR(计算区域!L729,NA())</f>
        <v>#N/A</v>
      </c>
      <c r="M727" t="e">
        <f ca="1">IFERROR(计算区域!M729,NA())</f>
        <v>#N/A</v>
      </c>
      <c r="N727" t="e">
        <f ca="1">IFERROR(计算区域!N729,NA())</f>
        <v>#N/A</v>
      </c>
      <c r="O727" t="e">
        <f ca="1">IFERROR(计算区域!O729,NA())</f>
        <v>#N/A</v>
      </c>
      <c r="Q727" t="e">
        <f ca="1">IFERROR(计算区域!R729,NA())</f>
        <v>#N/A</v>
      </c>
      <c r="R727" t="e">
        <f ca="1">IFERROR(计算区域!S729,NA())</f>
        <v>#N/A</v>
      </c>
      <c r="S727" t="e">
        <f ca="1">IFERROR(计算区域!T729,NA())</f>
        <v>#N/A</v>
      </c>
      <c r="T727" t="e">
        <f ca="1">IFERROR(计算区域!U729,NA())</f>
        <v>#N/A</v>
      </c>
      <c r="V727" t="e">
        <f ca="1">IFERROR(计算区域!X729,NA())</f>
        <v>#N/A</v>
      </c>
      <c r="W727" t="e">
        <f ca="1">IFERROR(计算区域!Y729,NA())</f>
        <v>#N/A</v>
      </c>
      <c r="X727" t="e">
        <f ca="1">IFERROR(计算区域!Z729,NA())</f>
        <v>#N/A</v>
      </c>
      <c r="Y727" t="e">
        <f ca="1">IFERROR(计算区域!AA729,NA())</f>
        <v>#N/A</v>
      </c>
    </row>
    <row r="728" spans="1:25" x14ac:dyDescent="0.2">
      <c r="A728" s="28">
        <f>计算区域!E730</f>
        <v>44382</v>
      </c>
      <c r="B728" t="e">
        <f ca="1">IFERROR(计算区域!AJ730,NA())</f>
        <v>#N/A</v>
      </c>
      <c r="C728" t="e">
        <f ca="1">IFERROR(计算区域!AK730,NA())</f>
        <v>#N/A</v>
      </c>
      <c r="D728" t="e">
        <f ca="1">IFERROR(计算区域!AL730,NA())</f>
        <v>#N/A</v>
      </c>
      <c r="E728" t="e">
        <f ca="1">IFERROR(计算区域!AM730,NA())</f>
        <v>#N/A</v>
      </c>
      <c r="G728" t="e">
        <f ca="1">IFERROR(计算区域!AD730,NA())</f>
        <v>#N/A</v>
      </c>
      <c r="H728" t="e">
        <f ca="1">IFERROR(计算区域!AE730,NA())</f>
        <v>#N/A</v>
      </c>
      <c r="I728" t="e">
        <f ca="1">IFERROR(计算区域!AF730,NA())</f>
        <v>#N/A</v>
      </c>
      <c r="J728" t="e">
        <f ca="1">IFERROR(计算区域!AG730,NA())</f>
        <v>#N/A</v>
      </c>
      <c r="L728" t="e">
        <f ca="1">IFERROR(计算区域!L730,NA())</f>
        <v>#N/A</v>
      </c>
      <c r="M728" t="e">
        <f ca="1">IFERROR(计算区域!M730,NA())</f>
        <v>#N/A</v>
      </c>
      <c r="N728" t="e">
        <f ca="1">IFERROR(计算区域!N730,NA())</f>
        <v>#N/A</v>
      </c>
      <c r="O728" t="e">
        <f ca="1">IFERROR(计算区域!O730,NA())</f>
        <v>#N/A</v>
      </c>
      <c r="Q728" t="e">
        <f ca="1">IFERROR(计算区域!R730,NA())</f>
        <v>#N/A</v>
      </c>
      <c r="R728" t="e">
        <f ca="1">IFERROR(计算区域!S730,NA())</f>
        <v>#N/A</v>
      </c>
      <c r="S728" t="e">
        <f ca="1">IFERROR(计算区域!T730,NA())</f>
        <v>#N/A</v>
      </c>
      <c r="T728" t="e">
        <f ca="1">IFERROR(计算区域!U730,NA())</f>
        <v>#N/A</v>
      </c>
      <c r="V728" t="e">
        <f ca="1">IFERROR(计算区域!X730,NA())</f>
        <v>#N/A</v>
      </c>
      <c r="W728" t="e">
        <f ca="1">IFERROR(计算区域!Y730,NA())</f>
        <v>#N/A</v>
      </c>
      <c r="X728" t="e">
        <f ca="1">IFERROR(计算区域!Z730,NA())</f>
        <v>#N/A</v>
      </c>
      <c r="Y728" t="e">
        <f ca="1">IFERROR(计算区域!AA730,NA())</f>
        <v>#N/A</v>
      </c>
    </row>
    <row r="729" spans="1:25" x14ac:dyDescent="0.2">
      <c r="A729" s="28">
        <f>计算区域!E731</f>
        <v>44379</v>
      </c>
      <c r="B729" t="e">
        <f ca="1">IFERROR(计算区域!AJ731,NA())</f>
        <v>#N/A</v>
      </c>
      <c r="C729" t="e">
        <f ca="1">IFERROR(计算区域!AK731,NA())</f>
        <v>#N/A</v>
      </c>
      <c r="D729" t="e">
        <f ca="1">IFERROR(计算区域!AL731,NA())</f>
        <v>#N/A</v>
      </c>
      <c r="E729" t="e">
        <f ca="1">IFERROR(计算区域!AM731,NA())</f>
        <v>#N/A</v>
      </c>
      <c r="G729" t="e">
        <f ca="1">IFERROR(计算区域!AD731,NA())</f>
        <v>#N/A</v>
      </c>
      <c r="H729" t="e">
        <f ca="1">IFERROR(计算区域!AE731,NA())</f>
        <v>#N/A</v>
      </c>
      <c r="I729" t="e">
        <f ca="1">IFERROR(计算区域!AF731,NA())</f>
        <v>#N/A</v>
      </c>
      <c r="J729" t="e">
        <f ca="1">IFERROR(计算区域!AG731,NA())</f>
        <v>#N/A</v>
      </c>
      <c r="L729" t="e">
        <f ca="1">IFERROR(计算区域!L731,NA())</f>
        <v>#N/A</v>
      </c>
      <c r="M729" t="e">
        <f ca="1">IFERROR(计算区域!M731,NA())</f>
        <v>#N/A</v>
      </c>
      <c r="N729" t="e">
        <f ca="1">IFERROR(计算区域!N731,NA())</f>
        <v>#N/A</v>
      </c>
      <c r="O729" t="e">
        <f ca="1">IFERROR(计算区域!O731,NA())</f>
        <v>#N/A</v>
      </c>
      <c r="Q729" t="e">
        <f ca="1">IFERROR(计算区域!R731,NA())</f>
        <v>#N/A</v>
      </c>
      <c r="R729" t="e">
        <f ca="1">IFERROR(计算区域!S731,NA())</f>
        <v>#N/A</v>
      </c>
      <c r="S729" t="e">
        <f ca="1">IFERROR(计算区域!T731,NA())</f>
        <v>#N/A</v>
      </c>
      <c r="T729" t="e">
        <f ca="1">IFERROR(计算区域!U731,NA())</f>
        <v>#N/A</v>
      </c>
      <c r="V729" t="e">
        <f ca="1">IFERROR(计算区域!X731,NA())</f>
        <v>#N/A</v>
      </c>
      <c r="W729" t="e">
        <f ca="1">IFERROR(计算区域!Y731,NA())</f>
        <v>#N/A</v>
      </c>
      <c r="X729" t="e">
        <f ca="1">IFERROR(计算区域!Z731,NA())</f>
        <v>#N/A</v>
      </c>
      <c r="Y729" t="e">
        <f ca="1">IFERROR(计算区域!AA731,NA())</f>
        <v>#N/A</v>
      </c>
    </row>
    <row r="730" spans="1:25" x14ac:dyDescent="0.2">
      <c r="A730" s="28">
        <f>计算区域!E732</f>
        <v>44378</v>
      </c>
      <c r="B730" t="e">
        <f ca="1">IFERROR(计算区域!AJ732,NA())</f>
        <v>#N/A</v>
      </c>
      <c r="C730" t="e">
        <f ca="1">IFERROR(计算区域!AK732,NA())</f>
        <v>#N/A</v>
      </c>
      <c r="D730" t="e">
        <f ca="1">IFERROR(计算区域!AL732,NA())</f>
        <v>#N/A</v>
      </c>
      <c r="E730" t="e">
        <f ca="1">IFERROR(计算区域!AM732,NA())</f>
        <v>#N/A</v>
      </c>
      <c r="G730" t="e">
        <f ca="1">IFERROR(计算区域!AD732,NA())</f>
        <v>#N/A</v>
      </c>
      <c r="H730" t="e">
        <f ca="1">IFERROR(计算区域!AE732,NA())</f>
        <v>#N/A</v>
      </c>
      <c r="I730" t="e">
        <f ca="1">IFERROR(计算区域!AF732,NA())</f>
        <v>#N/A</v>
      </c>
      <c r="J730" t="e">
        <f ca="1">IFERROR(计算区域!AG732,NA())</f>
        <v>#N/A</v>
      </c>
      <c r="L730" t="e">
        <f ca="1">IFERROR(计算区域!L732,NA())</f>
        <v>#N/A</v>
      </c>
      <c r="M730" t="e">
        <f ca="1">IFERROR(计算区域!M732,NA())</f>
        <v>#N/A</v>
      </c>
      <c r="N730" t="e">
        <f ca="1">IFERROR(计算区域!N732,NA())</f>
        <v>#N/A</v>
      </c>
      <c r="O730" t="e">
        <f ca="1">IFERROR(计算区域!O732,NA())</f>
        <v>#N/A</v>
      </c>
      <c r="Q730" t="e">
        <f ca="1">IFERROR(计算区域!R732,NA())</f>
        <v>#N/A</v>
      </c>
      <c r="R730" t="e">
        <f ca="1">IFERROR(计算区域!S732,NA())</f>
        <v>#N/A</v>
      </c>
      <c r="S730" t="e">
        <f ca="1">IFERROR(计算区域!T732,NA())</f>
        <v>#N/A</v>
      </c>
      <c r="T730" t="e">
        <f ca="1">IFERROR(计算区域!U732,NA())</f>
        <v>#N/A</v>
      </c>
      <c r="V730" t="e">
        <f ca="1">IFERROR(计算区域!X732,NA())</f>
        <v>#N/A</v>
      </c>
      <c r="W730" t="e">
        <f ca="1">IFERROR(计算区域!Y732,NA())</f>
        <v>#N/A</v>
      </c>
      <c r="X730" t="e">
        <f ca="1">IFERROR(计算区域!Z732,NA())</f>
        <v>#N/A</v>
      </c>
      <c r="Y730" t="e">
        <f ca="1">IFERROR(计算区域!AA732,NA())</f>
        <v>#N/A</v>
      </c>
    </row>
    <row r="731" spans="1:25" x14ac:dyDescent="0.2">
      <c r="A731" s="28">
        <f>计算区域!E733</f>
        <v>44377</v>
      </c>
      <c r="B731" t="e">
        <f ca="1">IFERROR(计算区域!AJ733,NA())</f>
        <v>#N/A</v>
      </c>
      <c r="C731" t="e">
        <f ca="1">IFERROR(计算区域!AK733,NA())</f>
        <v>#N/A</v>
      </c>
      <c r="D731" t="e">
        <f ca="1">IFERROR(计算区域!AL733,NA())</f>
        <v>#N/A</v>
      </c>
      <c r="E731" t="e">
        <f ca="1">IFERROR(计算区域!AM733,NA())</f>
        <v>#N/A</v>
      </c>
      <c r="G731" t="e">
        <f ca="1">IFERROR(计算区域!AD733,NA())</f>
        <v>#N/A</v>
      </c>
      <c r="H731" t="e">
        <f ca="1">IFERROR(计算区域!AE733,NA())</f>
        <v>#N/A</v>
      </c>
      <c r="I731" t="e">
        <f ca="1">IFERROR(计算区域!AF733,NA())</f>
        <v>#N/A</v>
      </c>
      <c r="J731" t="e">
        <f ca="1">IFERROR(计算区域!AG733,NA())</f>
        <v>#N/A</v>
      </c>
      <c r="L731" t="e">
        <f ca="1">IFERROR(计算区域!L733,NA())</f>
        <v>#N/A</v>
      </c>
      <c r="M731" t="e">
        <f ca="1">IFERROR(计算区域!M733,NA())</f>
        <v>#N/A</v>
      </c>
      <c r="N731" t="e">
        <f ca="1">IFERROR(计算区域!N733,NA())</f>
        <v>#N/A</v>
      </c>
      <c r="O731" t="e">
        <f ca="1">IFERROR(计算区域!O733,NA())</f>
        <v>#N/A</v>
      </c>
      <c r="Q731" t="e">
        <f ca="1">IFERROR(计算区域!R733,NA())</f>
        <v>#N/A</v>
      </c>
      <c r="R731" t="e">
        <f ca="1">IFERROR(计算区域!S733,NA())</f>
        <v>#N/A</v>
      </c>
      <c r="S731" t="e">
        <f ca="1">IFERROR(计算区域!T733,NA())</f>
        <v>#N/A</v>
      </c>
      <c r="T731" t="e">
        <f ca="1">IFERROR(计算区域!U733,NA())</f>
        <v>#N/A</v>
      </c>
      <c r="V731" t="e">
        <f ca="1">IFERROR(计算区域!X733,NA())</f>
        <v>#N/A</v>
      </c>
      <c r="W731" t="e">
        <f ca="1">IFERROR(计算区域!Y733,NA())</f>
        <v>#N/A</v>
      </c>
      <c r="X731" t="e">
        <f ca="1">IFERROR(计算区域!Z733,NA())</f>
        <v>#N/A</v>
      </c>
      <c r="Y731" t="e">
        <f ca="1">IFERROR(计算区域!AA733,NA())</f>
        <v>#N/A</v>
      </c>
    </row>
    <row r="732" spans="1:25" x14ac:dyDescent="0.2">
      <c r="A732" s="28">
        <f>计算区域!E734</f>
        <v>44376</v>
      </c>
      <c r="B732" t="e">
        <f ca="1">IFERROR(计算区域!AJ734,NA())</f>
        <v>#N/A</v>
      </c>
      <c r="C732" t="e">
        <f ca="1">IFERROR(计算区域!AK734,NA())</f>
        <v>#N/A</v>
      </c>
      <c r="D732" t="e">
        <f ca="1">IFERROR(计算区域!AL734,NA())</f>
        <v>#N/A</v>
      </c>
      <c r="E732" t="e">
        <f ca="1">IFERROR(计算区域!AM734,NA())</f>
        <v>#N/A</v>
      </c>
      <c r="G732" t="e">
        <f ca="1">IFERROR(计算区域!AD734,NA())</f>
        <v>#N/A</v>
      </c>
      <c r="H732" t="e">
        <f ca="1">IFERROR(计算区域!AE734,NA())</f>
        <v>#N/A</v>
      </c>
      <c r="I732" t="e">
        <f ca="1">IFERROR(计算区域!AF734,NA())</f>
        <v>#N/A</v>
      </c>
      <c r="J732" t="e">
        <f ca="1">IFERROR(计算区域!AG734,NA())</f>
        <v>#N/A</v>
      </c>
      <c r="L732" t="e">
        <f ca="1">IFERROR(计算区域!L734,NA())</f>
        <v>#N/A</v>
      </c>
      <c r="M732" t="e">
        <f ca="1">IFERROR(计算区域!M734,NA())</f>
        <v>#N/A</v>
      </c>
      <c r="N732" t="e">
        <f ca="1">IFERROR(计算区域!N734,NA())</f>
        <v>#N/A</v>
      </c>
      <c r="O732" t="e">
        <f ca="1">IFERROR(计算区域!O734,NA())</f>
        <v>#N/A</v>
      </c>
      <c r="Q732" t="e">
        <f ca="1">IFERROR(计算区域!R734,NA())</f>
        <v>#N/A</v>
      </c>
      <c r="R732" t="e">
        <f ca="1">IFERROR(计算区域!S734,NA())</f>
        <v>#N/A</v>
      </c>
      <c r="S732" t="e">
        <f ca="1">IFERROR(计算区域!T734,NA())</f>
        <v>#N/A</v>
      </c>
      <c r="T732" t="e">
        <f ca="1">IFERROR(计算区域!U734,NA())</f>
        <v>#N/A</v>
      </c>
      <c r="V732" t="e">
        <f ca="1">IFERROR(计算区域!X734,NA())</f>
        <v>#N/A</v>
      </c>
      <c r="W732" t="e">
        <f ca="1">IFERROR(计算区域!Y734,NA())</f>
        <v>#N/A</v>
      </c>
      <c r="X732" t="e">
        <f ca="1">IFERROR(计算区域!Z734,NA())</f>
        <v>#N/A</v>
      </c>
      <c r="Y732" t="e">
        <f ca="1">IFERROR(计算区域!AA734,NA())</f>
        <v>#N/A</v>
      </c>
    </row>
    <row r="733" spans="1:25" x14ac:dyDescent="0.2">
      <c r="A733" s="28">
        <f>计算区域!E735</f>
        <v>44375</v>
      </c>
      <c r="B733" t="e">
        <f ca="1">IFERROR(计算区域!AJ735,NA())</f>
        <v>#N/A</v>
      </c>
      <c r="C733" t="e">
        <f ca="1">IFERROR(计算区域!AK735,NA())</f>
        <v>#N/A</v>
      </c>
      <c r="D733" t="e">
        <f ca="1">IFERROR(计算区域!AL735,NA())</f>
        <v>#N/A</v>
      </c>
      <c r="E733" t="e">
        <f ca="1">IFERROR(计算区域!AM735,NA())</f>
        <v>#N/A</v>
      </c>
      <c r="G733" t="e">
        <f ca="1">IFERROR(计算区域!AD735,NA())</f>
        <v>#N/A</v>
      </c>
      <c r="H733" t="e">
        <f ca="1">IFERROR(计算区域!AE735,NA())</f>
        <v>#N/A</v>
      </c>
      <c r="I733" t="e">
        <f ca="1">IFERROR(计算区域!AF735,NA())</f>
        <v>#N/A</v>
      </c>
      <c r="J733" t="e">
        <f ca="1">IFERROR(计算区域!AG735,NA())</f>
        <v>#N/A</v>
      </c>
      <c r="L733" t="e">
        <f ca="1">IFERROR(计算区域!L735,NA())</f>
        <v>#N/A</v>
      </c>
      <c r="M733" t="e">
        <f ca="1">IFERROR(计算区域!M735,NA())</f>
        <v>#N/A</v>
      </c>
      <c r="N733" t="e">
        <f ca="1">IFERROR(计算区域!N735,NA())</f>
        <v>#N/A</v>
      </c>
      <c r="O733" t="e">
        <f ca="1">IFERROR(计算区域!O735,NA())</f>
        <v>#N/A</v>
      </c>
      <c r="Q733" t="e">
        <f ca="1">IFERROR(计算区域!R735,NA())</f>
        <v>#N/A</v>
      </c>
      <c r="R733" t="e">
        <f ca="1">IFERROR(计算区域!S735,NA())</f>
        <v>#N/A</v>
      </c>
      <c r="S733" t="e">
        <f ca="1">IFERROR(计算区域!T735,NA())</f>
        <v>#N/A</v>
      </c>
      <c r="T733" t="e">
        <f ca="1">IFERROR(计算区域!U735,NA())</f>
        <v>#N/A</v>
      </c>
      <c r="V733" t="e">
        <f ca="1">IFERROR(计算区域!X735,NA())</f>
        <v>#N/A</v>
      </c>
      <c r="W733" t="e">
        <f ca="1">IFERROR(计算区域!Y735,NA())</f>
        <v>#N/A</v>
      </c>
      <c r="X733" t="e">
        <f ca="1">IFERROR(计算区域!Z735,NA())</f>
        <v>#N/A</v>
      </c>
      <c r="Y733" t="e">
        <f ca="1">IFERROR(计算区域!AA735,NA())</f>
        <v>#N/A</v>
      </c>
    </row>
    <row r="734" spans="1:25" x14ac:dyDescent="0.2">
      <c r="A734" s="28">
        <f>计算区域!E736</f>
        <v>44372</v>
      </c>
      <c r="B734" t="e">
        <f ca="1">IFERROR(计算区域!AJ736,NA())</f>
        <v>#N/A</v>
      </c>
      <c r="C734" t="e">
        <f ca="1">IFERROR(计算区域!AK736,NA())</f>
        <v>#N/A</v>
      </c>
      <c r="D734" t="e">
        <f ca="1">IFERROR(计算区域!AL736,NA())</f>
        <v>#N/A</v>
      </c>
      <c r="E734" t="e">
        <f ca="1">IFERROR(计算区域!AM736,NA())</f>
        <v>#N/A</v>
      </c>
      <c r="G734" t="e">
        <f ca="1">IFERROR(计算区域!AD736,NA())</f>
        <v>#N/A</v>
      </c>
      <c r="H734" t="e">
        <f ca="1">IFERROR(计算区域!AE736,NA())</f>
        <v>#N/A</v>
      </c>
      <c r="I734" t="e">
        <f ca="1">IFERROR(计算区域!AF736,NA())</f>
        <v>#N/A</v>
      </c>
      <c r="J734" t="e">
        <f ca="1">IFERROR(计算区域!AG736,NA())</f>
        <v>#N/A</v>
      </c>
      <c r="L734" t="e">
        <f ca="1">IFERROR(计算区域!L736,NA())</f>
        <v>#N/A</v>
      </c>
      <c r="M734" t="e">
        <f ca="1">IFERROR(计算区域!M736,NA())</f>
        <v>#N/A</v>
      </c>
      <c r="N734" t="e">
        <f ca="1">IFERROR(计算区域!N736,NA())</f>
        <v>#N/A</v>
      </c>
      <c r="O734" t="e">
        <f ca="1">IFERROR(计算区域!O736,NA())</f>
        <v>#N/A</v>
      </c>
      <c r="Q734" t="e">
        <f ca="1">IFERROR(计算区域!R736,NA())</f>
        <v>#N/A</v>
      </c>
      <c r="R734" t="e">
        <f ca="1">IFERROR(计算区域!S736,NA())</f>
        <v>#N/A</v>
      </c>
      <c r="S734" t="e">
        <f ca="1">IFERROR(计算区域!T736,NA())</f>
        <v>#N/A</v>
      </c>
      <c r="T734" t="e">
        <f ca="1">IFERROR(计算区域!U736,NA())</f>
        <v>#N/A</v>
      </c>
      <c r="V734" t="e">
        <f ca="1">IFERROR(计算区域!X736,NA())</f>
        <v>#N/A</v>
      </c>
      <c r="W734" t="e">
        <f ca="1">IFERROR(计算区域!Y736,NA())</f>
        <v>#N/A</v>
      </c>
      <c r="X734" t="e">
        <f ca="1">IFERROR(计算区域!Z736,NA())</f>
        <v>#N/A</v>
      </c>
      <c r="Y734" t="e">
        <f ca="1">IFERROR(计算区域!AA736,NA())</f>
        <v>#N/A</v>
      </c>
    </row>
    <row r="735" spans="1:25" x14ac:dyDescent="0.2">
      <c r="A735" s="28">
        <f>计算区域!E737</f>
        <v>44371</v>
      </c>
      <c r="B735" t="e">
        <f ca="1">IFERROR(计算区域!AJ737,NA())</f>
        <v>#N/A</v>
      </c>
      <c r="C735" t="e">
        <f ca="1">IFERROR(计算区域!AK737,NA())</f>
        <v>#N/A</v>
      </c>
      <c r="D735" t="e">
        <f ca="1">IFERROR(计算区域!AL737,NA())</f>
        <v>#N/A</v>
      </c>
      <c r="E735" t="e">
        <f ca="1">IFERROR(计算区域!AM737,NA())</f>
        <v>#N/A</v>
      </c>
      <c r="G735" t="e">
        <f ca="1">IFERROR(计算区域!AD737,NA())</f>
        <v>#N/A</v>
      </c>
      <c r="H735" t="e">
        <f ca="1">IFERROR(计算区域!AE737,NA())</f>
        <v>#N/A</v>
      </c>
      <c r="I735" t="e">
        <f ca="1">IFERROR(计算区域!AF737,NA())</f>
        <v>#N/A</v>
      </c>
      <c r="J735" t="e">
        <f ca="1">IFERROR(计算区域!AG737,NA())</f>
        <v>#N/A</v>
      </c>
      <c r="L735" t="e">
        <f ca="1">IFERROR(计算区域!L737,NA())</f>
        <v>#N/A</v>
      </c>
      <c r="M735" t="e">
        <f ca="1">IFERROR(计算区域!M737,NA())</f>
        <v>#N/A</v>
      </c>
      <c r="N735" t="e">
        <f ca="1">IFERROR(计算区域!N737,NA())</f>
        <v>#N/A</v>
      </c>
      <c r="O735" t="e">
        <f ca="1">IFERROR(计算区域!O737,NA())</f>
        <v>#N/A</v>
      </c>
      <c r="Q735" t="e">
        <f ca="1">IFERROR(计算区域!R737,NA())</f>
        <v>#N/A</v>
      </c>
      <c r="R735" t="e">
        <f ca="1">IFERROR(计算区域!S737,NA())</f>
        <v>#N/A</v>
      </c>
      <c r="S735" t="e">
        <f ca="1">IFERROR(计算区域!T737,NA())</f>
        <v>#N/A</v>
      </c>
      <c r="T735" t="e">
        <f ca="1">IFERROR(计算区域!U737,NA())</f>
        <v>#N/A</v>
      </c>
      <c r="V735" t="e">
        <f ca="1">IFERROR(计算区域!X737,NA())</f>
        <v>#N/A</v>
      </c>
      <c r="W735" t="e">
        <f ca="1">IFERROR(计算区域!Y737,NA())</f>
        <v>#N/A</v>
      </c>
      <c r="X735" t="e">
        <f ca="1">IFERROR(计算区域!Z737,NA())</f>
        <v>#N/A</v>
      </c>
      <c r="Y735" t="e">
        <f ca="1">IFERROR(计算区域!AA737,NA())</f>
        <v>#N/A</v>
      </c>
    </row>
    <row r="736" spans="1:25" x14ac:dyDescent="0.2">
      <c r="A736" s="28">
        <f>计算区域!E738</f>
        <v>44370</v>
      </c>
      <c r="B736" t="e">
        <f ca="1">IFERROR(计算区域!AJ738,NA())</f>
        <v>#N/A</v>
      </c>
      <c r="C736" t="e">
        <f ca="1">IFERROR(计算区域!AK738,NA())</f>
        <v>#N/A</v>
      </c>
      <c r="D736" t="e">
        <f ca="1">IFERROR(计算区域!AL738,NA())</f>
        <v>#N/A</v>
      </c>
      <c r="E736" t="e">
        <f ca="1">IFERROR(计算区域!AM738,NA())</f>
        <v>#N/A</v>
      </c>
      <c r="G736" t="e">
        <f ca="1">IFERROR(计算区域!AD738,NA())</f>
        <v>#N/A</v>
      </c>
      <c r="H736" t="e">
        <f ca="1">IFERROR(计算区域!AE738,NA())</f>
        <v>#N/A</v>
      </c>
      <c r="I736" t="e">
        <f ca="1">IFERROR(计算区域!AF738,NA())</f>
        <v>#N/A</v>
      </c>
      <c r="J736" t="e">
        <f ca="1">IFERROR(计算区域!AG738,NA())</f>
        <v>#N/A</v>
      </c>
      <c r="L736" t="e">
        <f ca="1">IFERROR(计算区域!L738,NA())</f>
        <v>#N/A</v>
      </c>
      <c r="M736" t="e">
        <f ca="1">IFERROR(计算区域!M738,NA())</f>
        <v>#N/A</v>
      </c>
      <c r="N736" t="e">
        <f ca="1">IFERROR(计算区域!N738,NA())</f>
        <v>#N/A</v>
      </c>
      <c r="O736" t="e">
        <f ca="1">IFERROR(计算区域!O738,NA())</f>
        <v>#N/A</v>
      </c>
      <c r="Q736" t="e">
        <f ca="1">IFERROR(计算区域!R738,NA())</f>
        <v>#N/A</v>
      </c>
      <c r="R736" t="e">
        <f ca="1">IFERROR(计算区域!S738,NA())</f>
        <v>#N/A</v>
      </c>
      <c r="S736" t="e">
        <f ca="1">IFERROR(计算区域!T738,NA())</f>
        <v>#N/A</v>
      </c>
      <c r="T736" t="e">
        <f ca="1">IFERROR(计算区域!U738,NA())</f>
        <v>#N/A</v>
      </c>
      <c r="V736" t="e">
        <f ca="1">IFERROR(计算区域!X738,NA())</f>
        <v>#N/A</v>
      </c>
      <c r="W736" t="e">
        <f ca="1">IFERROR(计算区域!Y738,NA())</f>
        <v>#N/A</v>
      </c>
      <c r="X736" t="e">
        <f ca="1">IFERROR(计算区域!Z738,NA())</f>
        <v>#N/A</v>
      </c>
      <c r="Y736" t="e">
        <f ca="1">IFERROR(计算区域!AA738,NA())</f>
        <v>#N/A</v>
      </c>
    </row>
    <row r="737" spans="1:25" x14ac:dyDescent="0.2">
      <c r="A737" s="28">
        <f>计算区域!E739</f>
        <v>44369</v>
      </c>
      <c r="B737" t="e">
        <f ca="1">IFERROR(计算区域!AJ739,NA())</f>
        <v>#N/A</v>
      </c>
      <c r="C737" t="e">
        <f ca="1">IFERROR(计算区域!AK739,NA())</f>
        <v>#N/A</v>
      </c>
      <c r="D737" t="e">
        <f ca="1">IFERROR(计算区域!AL739,NA())</f>
        <v>#N/A</v>
      </c>
      <c r="E737" t="e">
        <f ca="1">IFERROR(计算区域!AM739,NA())</f>
        <v>#N/A</v>
      </c>
      <c r="G737" t="e">
        <f ca="1">IFERROR(计算区域!AD739,NA())</f>
        <v>#N/A</v>
      </c>
      <c r="H737" t="e">
        <f ca="1">IFERROR(计算区域!AE739,NA())</f>
        <v>#N/A</v>
      </c>
      <c r="I737" t="e">
        <f ca="1">IFERROR(计算区域!AF739,NA())</f>
        <v>#N/A</v>
      </c>
      <c r="J737" t="e">
        <f ca="1">IFERROR(计算区域!AG739,NA())</f>
        <v>#N/A</v>
      </c>
      <c r="L737" t="e">
        <f ca="1">IFERROR(计算区域!L739,NA())</f>
        <v>#N/A</v>
      </c>
      <c r="M737" t="e">
        <f ca="1">IFERROR(计算区域!M739,NA())</f>
        <v>#N/A</v>
      </c>
      <c r="N737" t="e">
        <f ca="1">IFERROR(计算区域!N739,NA())</f>
        <v>#N/A</v>
      </c>
      <c r="O737" t="e">
        <f ca="1">IFERROR(计算区域!O739,NA())</f>
        <v>#N/A</v>
      </c>
      <c r="Q737" t="e">
        <f ca="1">IFERROR(计算区域!R739,NA())</f>
        <v>#N/A</v>
      </c>
      <c r="R737" t="e">
        <f ca="1">IFERROR(计算区域!S739,NA())</f>
        <v>#N/A</v>
      </c>
      <c r="S737" t="e">
        <f ca="1">IFERROR(计算区域!T739,NA())</f>
        <v>#N/A</v>
      </c>
      <c r="T737" t="e">
        <f ca="1">IFERROR(计算区域!U739,NA())</f>
        <v>#N/A</v>
      </c>
      <c r="V737" t="e">
        <f ca="1">IFERROR(计算区域!X739,NA())</f>
        <v>#N/A</v>
      </c>
      <c r="W737" t="e">
        <f ca="1">IFERROR(计算区域!Y739,NA())</f>
        <v>#N/A</v>
      </c>
      <c r="X737" t="e">
        <f ca="1">IFERROR(计算区域!Z739,NA())</f>
        <v>#N/A</v>
      </c>
      <c r="Y737" t="e">
        <f ca="1">IFERROR(计算区域!AA739,NA())</f>
        <v>#N/A</v>
      </c>
    </row>
    <row r="738" spans="1:25" x14ac:dyDescent="0.2">
      <c r="A738" s="28">
        <f>计算区域!E740</f>
        <v>44368</v>
      </c>
      <c r="B738" t="e">
        <f ca="1">IFERROR(计算区域!AJ740,NA())</f>
        <v>#N/A</v>
      </c>
      <c r="C738" t="e">
        <f ca="1">IFERROR(计算区域!AK740,NA())</f>
        <v>#N/A</v>
      </c>
      <c r="D738" t="e">
        <f ca="1">IFERROR(计算区域!AL740,NA())</f>
        <v>#N/A</v>
      </c>
      <c r="E738" t="e">
        <f ca="1">IFERROR(计算区域!AM740,NA())</f>
        <v>#N/A</v>
      </c>
      <c r="G738" t="e">
        <f ca="1">IFERROR(计算区域!AD740,NA())</f>
        <v>#N/A</v>
      </c>
      <c r="H738" t="e">
        <f ca="1">IFERROR(计算区域!AE740,NA())</f>
        <v>#N/A</v>
      </c>
      <c r="I738" t="e">
        <f ca="1">IFERROR(计算区域!AF740,NA())</f>
        <v>#N/A</v>
      </c>
      <c r="J738" t="e">
        <f ca="1">IFERROR(计算区域!AG740,NA())</f>
        <v>#N/A</v>
      </c>
      <c r="L738" t="e">
        <f ca="1">IFERROR(计算区域!L740,NA())</f>
        <v>#N/A</v>
      </c>
      <c r="M738" t="e">
        <f ca="1">IFERROR(计算区域!M740,NA())</f>
        <v>#N/A</v>
      </c>
      <c r="N738" t="e">
        <f ca="1">IFERROR(计算区域!N740,NA())</f>
        <v>#N/A</v>
      </c>
      <c r="O738" t="e">
        <f ca="1">IFERROR(计算区域!O740,NA())</f>
        <v>#N/A</v>
      </c>
      <c r="Q738" t="e">
        <f ca="1">IFERROR(计算区域!R740,NA())</f>
        <v>#N/A</v>
      </c>
      <c r="R738" t="e">
        <f ca="1">IFERROR(计算区域!S740,NA())</f>
        <v>#N/A</v>
      </c>
      <c r="S738" t="e">
        <f ca="1">IFERROR(计算区域!T740,NA())</f>
        <v>#N/A</v>
      </c>
      <c r="T738" t="e">
        <f ca="1">IFERROR(计算区域!U740,NA())</f>
        <v>#N/A</v>
      </c>
      <c r="V738" t="e">
        <f ca="1">IFERROR(计算区域!X740,NA())</f>
        <v>#N/A</v>
      </c>
      <c r="W738" t="e">
        <f ca="1">IFERROR(计算区域!Y740,NA())</f>
        <v>#N/A</v>
      </c>
      <c r="X738" t="e">
        <f ca="1">IFERROR(计算区域!Z740,NA())</f>
        <v>#N/A</v>
      </c>
      <c r="Y738" t="e">
        <f ca="1">IFERROR(计算区域!AA740,NA())</f>
        <v>#N/A</v>
      </c>
    </row>
    <row r="739" spans="1:25" x14ac:dyDescent="0.2">
      <c r="A739" s="28">
        <f>计算区域!E741</f>
        <v>44365</v>
      </c>
      <c r="B739" t="e">
        <f ca="1">IFERROR(计算区域!AJ741,NA())</f>
        <v>#N/A</v>
      </c>
      <c r="C739" t="e">
        <f ca="1">IFERROR(计算区域!AK741,NA())</f>
        <v>#N/A</v>
      </c>
      <c r="D739" t="e">
        <f ca="1">IFERROR(计算区域!AL741,NA())</f>
        <v>#N/A</v>
      </c>
      <c r="E739" t="e">
        <f ca="1">IFERROR(计算区域!AM741,NA())</f>
        <v>#N/A</v>
      </c>
      <c r="G739" t="e">
        <f ca="1">IFERROR(计算区域!AD741,NA())</f>
        <v>#N/A</v>
      </c>
      <c r="H739" t="e">
        <f ca="1">IFERROR(计算区域!AE741,NA())</f>
        <v>#N/A</v>
      </c>
      <c r="I739" t="e">
        <f ca="1">IFERROR(计算区域!AF741,NA())</f>
        <v>#N/A</v>
      </c>
      <c r="J739" t="e">
        <f ca="1">IFERROR(计算区域!AG741,NA())</f>
        <v>#N/A</v>
      </c>
      <c r="L739" t="e">
        <f ca="1">IFERROR(计算区域!L741,NA())</f>
        <v>#N/A</v>
      </c>
      <c r="M739" t="e">
        <f ca="1">IFERROR(计算区域!M741,NA())</f>
        <v>#N/A</v>
      </c>
      <c r="N739" t="e">
        <f ca="1">IFERROR(计算区域!N741,NA())</f>
        <v>#N/A</v>
      </c>
      <c r="O739" t="e">
        <f ca="1">IFERROR(计算区域!O741,NA())</f>
        <v>#N/A</v>
      </c>
      <c r="Q739" t="e">
        <f ca="1">IFERROR(计算区域!R741,NA())</f>
        <v>#N/A</v>
      </c>
      <c r="R739" t="e">
        <f ca="1">IFERROR(计算区域!S741,NA())</f>
        <v>#N/A</v>
      </c>
      <c r="S739" t="e">
        <f ca="1">IFERROR(计算区域!T741,NA())</f>
        <v>#N/A</v>
      </c>
      <c r="T739" t="e">
        <f ca="1">IFERROR(计算区域!U741,NA())</f>
        <v>#N/A</v>
      </c>
      <c r="V739" t="e">
        <f ca="1">IFERROR(计算区域!X741,NA())</f>
        <v>#N/A</v>
      </c>
      <c r="W739" t="e">
        <f ca="1">IFERROR(计算区域!Y741,NA())</f>
        <v>#N/A</v>
      </c>
      <c r="X739" t="e">
        <f ca="1">IFERROR(计算区域!Z741,NA())</f>
        <v>#N/A</v>
      </c>
      <c r="Y739" t="e">
        <f ca="1">IFERROR(计算区域!AA741,NA())</f>
        <v>#N/A</v>
      </c>
    </row>
    <row r="740" spans="1:25" x14ac:dyDescent="0.2">
      <c r="A740" s="28">
        <f>计算区域!E742</f>
        <v>44364</v>
      </c>
      <c r="B740" t="e">
        <f ca="1">IFERROR(计算区域!AJ742,NA())</f>
        <v>#N/A</v>
      </c>
      <c r="C740" t="e">
        <f ca="1">IFERROR(计算区域!AK742,NA())</f>
        <v>#N/A</v>
      </c>
      <c r="D740" t="e">
        <f ca="1">IFERROR(计算区域!AL742,NA())</f>
        <v>#N/A</v>
      </c>
      <c r="E740" t="e">
        <f ca="1">IFERROR(计算区域!AM742,NA())</f>
        <v>#N/A</v>
      </c>
      <c r="G740" t="e">
        <f ca="1">IFERROR(计算区域!AD742,NA())</f>
        <v>#N/A</v>
      </c>
      <c r="H740" t="e">
        <f ca="1">IFERROR(计算区域!AE742,NA())</f>
        <v>#N/A</v>
      </c>
      <c r="I740" t="e">
        <f ca="1">IFERROR(计算区域!AF742,NA())</f>
        <v>#N/A</v>
      </c>
      <c r="J740" t="e">
        <f ca="1">IFERROR(计算区域!AG742,NA())</f>
        <v>#N/A</v>
      </c>
      <c r="L740" t="e">
        <f ca="1">IFERROR(计算区域!L742,NA())</f>
        <v>#N/A</v>
      </c>
      <c r="M740" t="e">
        <f ca="1">IFERROR(计算区域!M742,NA())</f>
        <v>#N/A</v>
      </c>
      <c r="N740" t="e">
        <f ca="1">IFERROR(计算区域!N742,NA())</f>
        <v>#N/A</v>
      </c>
      <c r="O740" t="e">
        <f ca="1">IFERROR(计算区域!O742,NA())</f>
        <v>#N/A</v>
      </c>
      <c r="Q740" t="e">
        <f ca="1">IFERROR(计算区域!R742,NA())</f>
        <v>#N/A</v>
      </c>
      <c r="R740" t="e">
        <f ca="1">IFERROR(计算区域!S742,NA())</f>
        <v>#N/A</v>
      </c>
      <c r="S740" t="e">
        <f ca="1">IFERROR(计算区域!T742,NA())</f>
        <v>#N/A</v>
      </c>
      <c r="T740" t="e">
        <f ca="1">IFERROR(计算区域!U742,NA())</f>
        <v>#N/A</v>
      </c>
      <c r="V740" t="e">
        <f ca="1">IFERROR(计算区域!X742,NA())</f>
        <v>#N/A</v>
      </c>
      <c r="W740" t="e">
        <f ca="1">IFERROR(计算区域!Y742,NA())</f>
        <v>#N/A</v>
      </c>
      <c r="X740" t="e">
        <f ca="1">IFERROR(计算区域!Z742,NA())</f>
        <v>#N/A</v>
      </c>
      <c r="Y740" t="e">
        <f ca="1">IFERROR(计算区域!AA742,NA())</f>
        <v>#N/A</v>
      </c>
    </row>
    <row r="741" spans="1:25" x14ac:dyDescent="0.2">
      <c r="A741" s="28">
        <f>计算区域!E743</f>
        <v>44363</v>
      </c>
      <c r="B741" t="e">
        <f ca="1">IFERROR(计算区域!AJ743,NA())</f>
        <v>#N/A</v>
      </c>
      <c r="C741" t="e">
        <f ca="1">IFERROR(计算区域!AK743,NA())</f>
        <v>#N/A</v>
      </c>
      <c r="D741" t="e">
        <f ca="1">IFERROR(计算区域!AL743,NA())</f>
        <v>#N/A</v>
      </c>
      <c r="E741" t="e">
        <f ca="1">IFERROR(计算区域!AM743,NA())</f>
        <v>#N/A</v>
      </c>
      <c r="G741" t="e">
        <f ca="1">IFERROR(计算区域!AD743,NA())</f>
        <v>#N/A</v>
      </c>
      <c r="H741" t="e">
        <f ca="1">IFERROR(计算区域!AE743,NA())</f>
        <v>#N/A</v>
      </c>
      <c r="I741" t="e">
        <f ca="1">IFERROR(计算区域!AF743,NA())</f>
        <v>#N/A</v>
      </c>
      <c r="J741" t="e">
        <f ca="1">IFERROR(计算区域!AG743,NA())</f>
        <v>#N/A</v>
      </c>
      <c r="L741" t="e">
        <f ca="1">IFERROR(计算区域!L743,NA())</f>
        <v>#N/A</v>
      </c>
      <c r="M741" t="e">
        <f ca="1">IFERROR(计算区域!M743,NA())</f>
        <v>#N/A</v>
      </c>
      <c r="N741" t="e">
        <f ca="1">IFERROR(计算区域!N743,NA())</f>
        <v>#N/A</v>
      </c>
      <c r="O741" t="e">
        <f ca="1">IFERROR(计算区域!O743,NA())</f>
        <v>#N/A</v>
      </c>
      <c r="Q741" t="e">
        <f ca="1">IFERROR(计算区域!R743,NA())</f>
        <v>#N/A</v>
      </c>
      <c r="R741" t="e">
        <f ca="1">IFERROR(计算区域!S743,NA())</f>
        <v>#N/A</v>
      </c>
      <c r="S741" t="e">
        <f ca="1">IFERROR(计算区域!T743,NA())</f>
        <v>#N/A</v>
      </c>
      <c r="T741" t="e">
        <f ca="1">IFERROR(计算区域!U743,NA())</f>
        <v>#N/A</v>
      </c>
      <c r="V741" t="e">
        <f ca="1">IFERROR(计算区域!X743,NA())</f>
        <v>#N/A</v>
      </c>
      <c r="W741" t="e">
        <f ca="1">IFERROR(计算区域!Y743,NA())</f>
        <v>#N/A</v>
      </c>
      <c r="X741" t="e">
        <f ca="1">IFERROR(计算区域!Z743,NA())</f>
        <v>#N/A</v>
      </c>
      <c r="Y741" t="e">
        <f ca="1">IFERROR(计算区域!AA743,NA())</f>
        <v>#N/A</v>
      </c>
    </row>
    <row r="742" spans="1:25" x14ac:dyDescent="0.2">
      <c r="A742" s="28">
        <f>计算区域!E744</f>
        <v>44362</v>
      </c>
      <c r="B742" t="e">
        <f ca="1">IFERROR(计算区域!AJ744,NA())</f>
        <v>#N/A</v>
      </c>
      <c r="C742" t="e">
        <f ca="1">IFERROR(计算区域!AK744,NA())</f>
        <v>#N/A</v>
      </c>
      <c r="D742" t="e">
        <f ca="1">IFERROR(计算区域!AL744,NA())</f>
        <v>#N/A</v>
      </c>
      <c r="E742" t="e">
        <f ca="1">IFERROR(计算区域!AM744,NA())</f>
        <v>#N/A</v>
      </c>
      <c r="G742" t="e">
        <f ca="1">IFERROR(计算区域!AD744,NA())</f>
        <v>#N/A</v>
      </c>
      <c r="H742" t="e">
        <f ca="1">IFERROR(计算区域!AE744,NA())</f>
        <v>#N/A</v>
      </c>
      <c r="I742" t="e">
        <f ca="1">IFERROR(计算区域!AF744,NA())</f>
        <v>#N/A</v>
      </c>
      <c r="J742" t="e">
        <f ca="1">IFERROR(计算区域!AG744,NA())</f>
        <v>#N/A</v>
      </c>
      <c r="L742" t="e">
        <f ca="1">IFERROR(计算区域!L744,NA())</f>
        <v>#N/A</v>
      </c>
      <c r="M742" t="e">
        <f ca="1">IFERROR(计算区域!M744,NA())</f>
        <v>#N/A</v>
      </c>
      <c r="N742" t="e">
        <f ca="1">IFERROR(计算区域!N744,NA())</f>
        <v>#N/A</v>
      </c>
      <c r="O742" t="e">
        <f ca="1">IFERROR(计算区域!O744,NA())</f>
        <v>#N/A</v>
      </c>
      <c r="Q742" t="e">
        <f ca="1">IFERROR(计算区域!R744,NA())</f>
        <v>#N/A</v>
      </c>
      <c r="R742" t="e">
        <f ca="1">IFERROR(计算区域!S744,NA())</f>
        <v>#N/A</v>
      </c>
      <c r="S742" t="e">
        <f ca="1">IFERROR(计算区域!T744,NA())</f>
        <v>#N/A</v>
      </c>
      <c r="T742" t="e">
        <f ca="1">IFERROR(计算区域!U744,NA())</f>
        <v>#N/A</v>
      </c>
      <c r="V742" t="e">
        <f ca="1">IFERROR(计算区域!X744,NA())</f>
        <v>#N/A</v>
      </c>
      <c r="W742" t="e">
        <f ca="1">IFERROR(计算区域!Y744,NA())</f>
        <v>#N/A</v>
      </c>
      <c r="X742" t="e">
        <f ca="1">IFERROR(计算区域!Z744,NA())</f>
        <v>#N/A</v>
      </c>
      <c r="Y742" t="e">
        <f ca="1">IFERROR(计算区域!AA744,NA())</f>
        <v>#N/A</v>
      </c>
    </row>
    <row r="743" spans="1:25" x14ac:dyDescent="0.2">
      <c r="A743" s="28">
        <f>计算区域!E745</f>
        <v>44358</v>
      </c>
      <c r="B743" t="e">
        <f ca="1">IFERROR(计算区域!AJ745,NA())</f>
        <v>#N/A</v>
      </c>
      <c r="C743" t="e">
        <f ca="1">IFERROR(计算区域!AK745,NA())</f>
        <v>#N/A</v>
      </c>
      <c r="D743" t="e">
        <f ca="1">IFERROR(计算区域!AL745,NA())</f>
        <v>#N/A</v>
      </c>
      <c r="E743" t="e">
        <f ca="1">IFERROR(计算区域!AM745,NA())</f>
        <v>#N/A</v>
      </c>
      <c r="G743" t="e">
        <f ca="1">IFERROR(计算区域!AD745,NA())</f>
        <v>#N/A</v>
      </c>
      <c r="H743" t="e">
        <f ca="1">IFERROR(计算区域!AE745,NA())</f>
        <v>#N/A</v>
      </c>
      <c r="I743" t="e">
        <f ca="1">IFERROR(计算区域!AF745,NA())</f>
        <v>#N/A</v>
      </c>
      <c r="J743" t="e">
        <f ca="1">IFERROR(计算区域!AG745,NA())</f>
        <v>#N/A</v>
      </c>
      <c r="L743" t="e">
        <f ca="1">IFERROR(计算区域!L745,NA())</f>
        <v>#N/A</v>
      </c>
      <c r="M743" t="e">
        <f ca="1">IFERROR(计算区域!M745,NA())</f>
        <v>#N/A</v>
      </c>
      <c r="N743" t="e">
        <f ca="1">IFERROR(计算区域!N745,NA())</f>
        <v>#N/A</v>
      </c>
      <c r="O743" t="e">
        <f ca="1">IFERROR(计算区域!O745,NA())</f>
        <v>#N/A</v>
      </c>
      <c r="Q743" t="e">
        <f ca="1">IFERROR(计算区域!R745,NA())</f>
        <v>#N/A</v>
      </c>
      <c r="R743" t="e">
        <f ca="1">IFERROR(计算区域!S745,NA())</f>
        <v>#N/A</v>
      </c>
      <c r="S743" t="e">
        <f ca="1">IFERROR(计算区域!T745,NA())</f>
        <v>#N/A</v>
      </c>
      <c r="T743" t="e">
        <f ca="1">IFERROR(计算区域!U745,NA())</f>
        <v>#N/A</v>
      </c>
      <c r="V743" t="e">
        <f ca="1">IFERROR(计算区域!X745,NA())</f>
        <v>#N/A</v>
      </c>
      <c r="W743" t="e">
        <f ca="1">IFERROR(计算区域!Y745,NA())</f>
        <v>#N/A</v>
      </c>
      <c r="X743" t="e">
        <f ca="1">IFERROR(计算区域!Z745,NA())</f>
        <v>#N/A</v>
      </c>
      <c r="Y743" t="e">
        <f ca="1">IFERROR(计算区域!AA745,NA())</f>
        <v>#N/A</v>
      </c>
    </row>
    <row r="744" spans="1:25" x14ac:dyDescent="0.2">
      <c r="A744" s="28">
        <f>计算区域!E746</f>
        <v>44357</v>
      </c>
      <c r="B744" t="e">
        <f ca="1">IFERROR(计算区域!AJ746,NA())</f>
        <v>#N/A</v>
      </c>
      <c r="C744" t="e">
        <f ca="1">IFERROR(计算区域!AK746,NA())</f>
        <v>#N/A</v>
      </c>
      <c r="D744" t="e">
        <f ca="1">IFERROR(计算区域!AL746,NA())</f>
        <v>#N/A</v>
      </c>
      <c r="E744" t="e">
        <f ca="1">IFERROR(计算区域!AM746,NA())</f>
        <v>#N/A</v>
      </c>
      <c r="G744" t="e">
        <f ca="1">IFERROR(计算区域!AD746,NA())</f>
        <v>#N/A</v>
      </c>
      <c r="H744" t="e">
        <f ca="1">IFERROR(计算区域!AE746,NA())</f>
        <v>#N/A</v>
      </c>
      <c r="I744" t="e">
        <f ca="1">IFERROR(计算区域!AF746,NA())</f>
        <v>#N/A</v>
      </c>
      <c r="J744" t="e">
        <f ca="1">IFERROR(计算区域!AG746,NA())</f>
        <v>#N/A</v>
      </c>
      <c r="L744" t="e">
        <f ca="1">IFERROR(计算区域!L746,NA())</f>
        <v>#N/A</v>
      </c>
      <c r="M744" t="e">
        <f ca="1">IFERROR(计算区域!M746,NA())</f>
        <v>#N/A</v>
      </c>
      <c r="N744" t="e">
        <f ca="1">IFERROR(计算区域!N746,NA())</f>
        <v>#N/A</v>
      </c>
      <c r="O744" t="e">
        <f ca="1">IFERROR(计算区域!O746,NA())</f>
        <v>#N/A</v>
      </c>
      <c r="Q744" t="e">
        <f ca="1">IFERROR(计算区域!R746,NA())</f>
        <v>#N/A</v>
      </c>
      <c r="R744" t="e">
        <f ca="1">IFERROR(计算区域!S746,NA())</f>
        <v>#N/A</v>
      </c>
      <c r="S744" t="e">
        <f ca="1">IFERROR(计算区域!T746,NA())</f>
        <v>#N/A</v>
      </c>
      <c r="T744" t="e">
        <f ca="1">IFERROR(计算区域!U746,NA())</f>
        <v>#N/A</v>
      </c>
      <c r="V744" t="e">
        <f ca="1">IFERROR(计算区域!X746,NA())</f>
        <v>#N/A</v>
      </c>
      <c r="W744" t="e">
        <f ca="1">IFERROR(计算区域!Y746,NA())</f>
        <v>#N/A</v>
      </c>
      <c r="X744" t="e">
        <f ca="1">IFERROR(计算区域!Z746,NA())</f>
        <v>#N/A</v>
      </c>
      <c r="Y744" t="e">
        <f ca="1">IFERROR(计算区域!AA746,NA())</f>
        <v>#N/A</v>
      </c>
    </row>
    <row r="745" spans="1:25" x14ac:dyDescent="0.2">
      <c r="A745" s="28">
        <f>计算区域!E747</f>
        <v>44356</v>
      </c>
      <c r="B745" t="e">
        <f ca="1">IFERROR(计算区域!AJ747,NA())</f>
        <v>#N/A</v>
      </c>
      <c r="C745" t="e">
        <f ca="1">IFERROR(计算区域!AK747,NA())</f>
        <v>#N/A</v>
      </c>
      <c r="D745" t="e">
        <f ca="1">IFERROR(计算区域!AL747,NA())</f>
        <v>#N/A</v>
      </c>
      <c r="E745" t="e">
        <f ca="1">IFERROR(计算区域!AM747,NA())</f>
        <v>#N/A</v>
      </c>
      <c r="G745" t="e">
        <f ca="1">IFERROR(计算区域!AD747,NA())</f>
        <v>#N/A</v>
      </c>
      <c r="H745" t="e">
        <f ca="1">IFERROR(计算区域!AE747,NA())</f>
        <v>#N/A</v>
      </c>
      <c r="I745" t="e">
        <f ca="1">IFERROR(计算区域!AF747,NA())</f>
        <v>#N/A</v>
      </c>
      <c r="J745" t="e">
        <f ca="1">IFERROR(计算区域!AG747,NA())</f>
        <v>#N/A</v>
      </c>
      <c r="L745" t="e">
        <f ca="1">IFERROR(计算区域!L747,NA())</f>
        <v>#N/A</v>
      </c>
      <c r="M745" t="e">
        <f ca="1">IFERROR(计算区域!M747,NA())</f>
        <v>#N/A</v>
      </c>
      <c r="N745" t="e">
        <f ca="1">IFERROR(计算区域!N747,NA())</f>
        <v>#N/A</v>
      </c>
      <c r="O745" t="e">
        <f ca="1">IFERROR(计算区域!O747,NA())</f>
        <v>#N/A</v>
      </c>
      <c r="Q745" t="e">
        <f ca="1">IFERROR(计算区域!R747,NA())</f>
        <v>#N/A</v>
      </c>
      <c r="R745" t="e">
        <f ca="1">IFERROR(计算区域!S747,NA())</f>
        <v>#N/A</v>
      </c>
      <c r="S745" t="e">
        <f ca="1">IFERROR(计算区域!T747,NA())</f>
        <v>#N/A</v>
      </c>
      <c r="T745" t="e">
        <f ca="1">IFERROR(计算区域!U747,NA())</f>
        <v>#N/A</v>
      </c>
      <c r="V745" t="e">
        <f ca="1">IFERROR(计算区域!X747,NA())</f>
        <v>#N/A</v>
      </c>
      <c r="W745" t="e">
        <f ca="1">IFERROR(计算区域!Y747,NA())</f>
        <v>#N/A</v>
      </c>
      <c r="X745" t="e">
        <f ca="1">IFERROR(计算区域!Z747,NA())</f>
        <v>#N/A</v>
      </c>
      <c r="Y745" t="e">
        <f ca="1">IFERROR(计算区域!AA747,NA())</f>
        <v>#N/A</v>
      </c>
    </row>
    <row r="746" spans="1:25" x14ac:dyDescent="0.2">
      <c r="A746" s="28">
        <f>计算区域!E748</f>
        <v>44355</v>
      </c>
      <c r="B746" t="e">
        <f ca="1">IFERROR(计算区域!AJ748,NA())</f>
        <v>#N/A</v>
      </c>
      <c r="C746" t="e">
        <f ca="1">IFERROR(计算区域!AK748,NA())</f>
        <v>#N/A</v>
      </c>
      <c r="D746" t="e">
        <f ca="1">IFERROR(计算区域!AL748,NA())</f>
        <v>#N/A</v>
      </c>
      <c r="E746" t="e">
        <f ca="1">IFERROR(计算区域!AM748,NA())</f>
        <v>#N/A</v>
      </c>
      <c r="G746" t="e">
        <f ca="1">IFERROR(计算区域!AD748,NA())</f>
        <v>#N/A</v>
      </c>
      <c r="H746" t="e">
        <f ca="1">IFERROR(计算区域!AE748,NA())</f>
        <v>#N/A</v>
      </c>
      <c r="I746" t="e">
        <f ca="1">IFERROR(计算区域!AF748,NA())</f>
        <v>#N/A</v>
      </c>
      <c r="J746" t="e">
        <f ca="1">IFERROR(计算区域!AG748,NA())</f>
        <v>#N/A</v>
      </c>
      <c r="L746" t="e">
        <f ca="1">IFERROR(计算区域!L748,NA())</f>
        <v>#N/A</v>
      </c>
      <c r="M746" t="e">
        <f ca="1">IFERROR(计算区域!M748,NA())</f>
        <v>#N/A</v>
      </c>
      <c r="N746" t="e">
        <f ca="1">IFERROR(计算区域!N748,NA())</f>
        <v>#N/A</v>
      </c>
      <c r="O746" t="e">
        <f ca="1">IFERROR(计算区域!O748,NA())</f>
        <v>#N/A</v>
      </c>
      <c r="Q746" t="e">
        <f ca="1">IFERROR(计算区域!R748,NA())</f>
        <v>#N/A</v>
      </c>
      <c r="R746" t="e">
        <f ca="1">IFERROR(计算区域!S748,NA())</f>
        <v>#N/A</v>
      </c>
      <c r="S746" t="e">
        <f ca="1">IFERROR(计算区域!T748,NA())</f>
        <v>#N/A</v>
      </c>
      <c r="T746" t="e">
        <f ca="1">IFERROR(计算区域!U748,NA())</f>
        <v>#N/A</v>
      </c>
      <c r="V746" t="e">
        <f ca="1">IFERROR(计算区域!X748,NA())</f>
        <v>#N/A</v>
      </c>
      <c r="W746" t="e">
        <f ca="1">IFERROR(计算区域!Y748,NA())</f>
        <v>#N/A</v>
      </c>
      <c r="X746" t="e">
        <f ca="1">IFERROR(计算区域!Z748,NA())</f>
        <v>#N/A</v>
      </c>
      <c r="Y746" t="e">
        <f ca="1">IFERROR(计算区域!AA748,NA())</f>
        <v>#N/A</v>
      </c>
    </row>
    <row r="747" spans="1:25" x14ac:dyDescent="0.2">
      <c r="A747" s="28">
        <f>计算区域!E749</f>
        <v>44354</v>
      </c>
      <c r="B747" t="e">
        <f ca="1">IFERROR(计算区域!AJ749,NA())</f>
        <v>#N/A</v>
      </c>
      <c r="C747" t="e">
        <f ca="1">IFERROR(计算区域!AK749,NA())</f>
        <v>#N/A</v>
      </c>
      <c r="D747" t="e">
        <f ca="1">IFERROR(计算区域!AL749,NA())</f>
        <v>#N/A</v>
      </c>
      <c r="E747" t="e">
        <f ca="1">IFERROR(计算区域!AM749,NA())</f>
        <v>#N/A</v>
      </c>
      <c r="G747" t="e">
        <f ca="1">IFERROR(计算区域!AD749,NA())</f>
        <v>#N/A</v>
      </c>
      <c r="H747" t="e">
        <f ca="1">IFERROR(计算区域!AE749,NA())</f>
        <v>#N/A</v>
      </c>
      <c r="I747" t="e">
        <f ca="1">IFERROR(计算区域!AF749,NA())</f>
        <v>#N/A</v>
      </c>
      <c r="J747" t="e">
        <f ca="1">IFERROR(计算区域!AG749,NA())</f>
        <v>#N/A</v>
      </c>
      <c r="L747" t="e">
        <f ca="1">IFERROR(计算区域!L749,NA())</f>
        <v>#N/A</v>
      </c>
      <c r="M747" t="e">
        <f ca="1">IFERROR(计算区域!M749,NA())</f>
        <v>#N/A</v>
      </c>
      <c r="N747" t="e">
        <f ca="1">IFERROR(计算区域!N749,NA())</f>
        <v>#N/A</v>
      </c>
      <c r="O747" t="e">
        <f ca="1">IFERROR(计算区域!O749,NA())</f>
        <v>#N/A</v>
      </c>
      <c r="Q747" t="e">
        <f ca="1">IFERROR(计算区域!R749,NA())</f>
        <v>#N/A</v>
      </c>
      <c r="R747" t="e">
        <f ca="1">IFERROR(计算区域!S749,NA())</f>
        <v>#N/A</v>
      </c>
      <c r="S747" t="e">
        <f ca="1">IFERROR(计算区域!T749,NA())</f>
        <v>#N/A</v>
      </c>
      <c r="T747" t="e">
        <f ca="1">IFERROR(计算区域!U749,NA())</f>
        <v>#N/A</v>
      </c>
      <c r="V747" t="e">
        <f ca="1">IFERROR(计算区域!X749,NA())</f>
        <v>#N/A</v>
      </c>
      <c r="W747" t="e">
        <f ca="1">IFERROR(计算区域!Y749,NA())</f>
        <v>#N/A</v>
      </c>
      <c r="X747" t="e">
        <f ca="1">IFERROR(计算区域!Z749,NA())</f>
        <v>#N/A</v>
      </c>
      <c r="Y747" t="e">
        <f ca="1">IFERROR(计算区域!AA749,NA())</f>
        <v>#N/A</v>
      </c>
    </row>
    <row r="748" spans="1:25" x14ac:dyDescent="0.2">
      <c r="A748" s="28">
        <f>计算区域!E750</f>
        <v>44351</v>
      </c>
      <c r="B748" t="e">
        <f ca="1">IFERROR(计算区域!AJ750,NA())</f>
        <v>#N/A</v>
      </c>
      <c r="C748" t="e">
        <f ca="1">IFERROR(计算区域!AK750,NA())</f>
        <v>#N/A</v>
      </c>
      <c r="D748" t="e">
        <f ca="1">IFERROR(计算区域!AL750,NA())</f>
        <v>#N/A</v>
      </c>
      <c r="E748" t="e">
        <f ca="1">IFERROR(计算区域!AM750,NA())</f>
        <v>#N/A</v>
      </c>
      <c r="G748" t="e">
        <f ca="1">IFERROR(计算区域!AD750,NA())</f>
        <v>#N/A</v>
      </c>
      <c r="H748" t="e">
        <f ca="1">IFERROR(计算区域!AE750,NA())</f>
        <v>#N/A</v>
      </c>
      <c r="I748" t="e">
        <f ca="1">IFERROR(计算区域!AF750,NA())</f>
        <v>#N/A</v>
      </c>
      <c r="J748" t="e">
        <f ca="1">IFERROR(计算区域!AG750,NA())</f>
        <v>#N/A</v>
      </c>
      <c r="L748" t="e">
        <f ca="1">IFERROR(计算区域!L750,NA())</f>
        <v>#N/A</v>
      </c>
      <c r="M748" t="e">
        <f ca="1">IFERROR(计算区域!M750,NA())</f>
        <v>#N/A</v>
      </c>
      <c r="N748" t="e">
        <f ca="1">IFERROR(计算区域!N750,NA())</f>
        <v>#N/A</v>
      </c>
      <c r="O748" t="e">
        <f ca="1">IFERROR(计算区域!O750,NA())</f>
        <v>#N/A</v>
      </c>
      <c r="Q748" t="e">
        <f ca="1">IFERROR(计算区域!R750,NA())</f>
        <v>#N/A</v>
      </c>
      <c r="R748" t="e">
        <f ca="1">IFERROR(计算区域!S750,NA())</f>
        <v>#N/A</v>
      </c>
      <c r="S748" t="e">
        <f ca="1">IFERROR(计算区域!T750,NA())</f>
        <v>#N/A</v>
      </c>
      <c r="T748" t="e">
        <f ca="1">IFERROR(计算区域!U750,NA())</f>
        <v>#N/A</v>
      </c>
      <c r="V748" t="e">
        <f ca="1">IFERROR(计算区域!X750,NA())</f>
        <v>#N/A</v>
      </c>
      <c r="W748" t="e">
        <f ca="1">IFERROR(计算区域!Y750,NA())</f>
        <v>#N/A</v>
      </c>
      <c r="X748" t="e">
        <f ca="1">IFERROR(计算区域!Z750,NA())</f>
        <v>#N/A</v>
      </c>
      <c r="Y748" t="e">
        <f ca="1">IFERROR(计算区域!AA750,NA())</f>
        <v>#N/A</v>
      </c>
    </row>
    <row r="749" spans="1:25" x14ac:dyDescent="0.2">
      <c r="A749" s="28">
        <f>计算区域!E751</f>
        <v>44350</v>
      </c>
      <c r="B749" t="e">
        <f ca="1">IFERROR(计算区域!AJ751,NA())</f>
        <v>#N/A</v>
      </c>
      <c r="C749" t="e">
        <f ca="1">IFERROR(计算区域!AK751,NA())</f>
        <v>#N/A</v>
      </c>
      <c r="D749" t="e">
        <f ca="1">IFERROR(计算区域!AL751,NA())</f>
        <v>#N/A</v>
      </c>
      <c r="E749" t="e">
        <f ca="1">IFERROR(计算区域!AM751,NA())</f>
        <v>#N/A</v>
      </c>
      <c r="G749" t="e">
        <f ca="1">IFERROR(计算区域!AD751,NA())</f>
        <v>#N/A</v>
      </c>
      <c r="H749" t="e">
        <f ca="1">IFERROR(计算区域!AE751,NA())</f>
        <v>#N/A</v>
      </c>
      <c r="I749" t="e">
        <f ca="1">IFERROR(计算区域!AF751,NA())</f>
        <v>#N/A</v>
      </c>
      <c r="J749" t="e">
        <f ca="1">IFERROR(计算区域!AG751,NA())</f>
        <v>#N/A</v>
      </c>
      <c r="L749" t="e">
        <f ca="1">IFERROR(计算区域!L751,NA())</f>
        <v>#N/A</v>
      </c>
      <c r="M749" t="e">
        <f ca="1">IFERROR(计算区域!M751,NA())</f>
        <v>#N/A</v>
      </c>
      <c r="N749" t="e">
        <f ca="1">IFERROR(计算区域!N751,NA())</f>
        <v>#N/A</v>
      </c>
      <c r="O749" t="e">
        <f ca="1">IFERROR(计算区域!O751,NA())</f>
        <v>#N/A</v>
      </c>
      <c r="Q749" t="e">
        <f ca="1">IFERROR(计算区域!R751,NA())</f>
        <v>#N/A</v>
      </c>
      <c r="R749" t="e">
        <f ca="1">IFERROR(计算区域!S751,NA())</f>
        <v>#N/A</v>
      </c>
      <c r="S749" t="e">
        <f ca="1">IFERROR(计算区域!T751,NA())</f>
        <v>#N/A</v>
      </c>
      <c r="T749" t="e">
        <f ca="1">IFERROR(计算区域!U751,NA())</f>
        <v>#N/A</v>
      </c>
      <c r="V749" t="e">
        <f ca="1">IFERROR(计算区域!X751,NA())</f>
        <v>#N/A</v>
      </c>
      <c r="W749" t="e">
        <f ca="1">IFERROR(计算区域!Y751,NA())</f>
        <v>#N/A</v>
      </c>
      <c r="X749" t="e">
        <f ca="1">IFERROR(计算区域!Z751,NA())</f>
        <v>#N/A</v>
      </c>
      <c r="Y749" t="e">
        <f ca="1">IFERROR(计算区域!AA751,NA())</f>
        <v>#N/A</v>
      </c>
    </row>
    <row r="750" spans="1:25" x14ac:dyDescent="0.2">
      <c r="A750" s="28">
        <f>计算区域!E752</f>
        <v>44349</v>
      </c>
      <c r="B750" t="e">
        <f ca="1">IFERROR(计算区域!AJ752,NA())</f>
        <v>#N/A</v>
      </c>
      <c r="C750" t="e">
        <f ca="1">IFERROR(计算区域!AK752,NA())</f>
        <v>#N/A</v>
      </c>
      <c r="D750" t="e">
        <f ca="1">IFERROR(计算区域!AL752,NA())</f>
        <v>#N/A</v>
      </c>
      <c r="E750" t="e">
        <f ca="1">IFERROR(计算区域!AM752,NA())</f>
        <v>#N/A</v>
      </c>
      <c r="G750" t="e">
        <f ca="1">IFERROR(计算区域!AD752,NA())</f>
        <v>#N/A</v>
      </c>
      <c r="H750" t="e">
        <f ca="1">IFERROR(计算区域!AE752,NA())</f>
        <v>#N/A</v>
      </c>
      <c r="I750" t="e">
        <f ca="1">IFERROR(计算区域!AF752,NA())</f>
        <v>#N/A</v>
      </c>
      <c r="J750" t="e">
        <f ca="1">IFERROR(计算区域!AG752,NA())</f>
        <v>#N/A</v>
      </c>
      <c r="L750" t="e">
        <f ca="1">IFERROR(计算区域!L752,NA())</f>
        <v>#N/A</v>
      </c>
      <c r="M750" t="e">
        <f ca="1">IFERROR(计算区域!M752,NA())</f>
        <v>#N/A</v>
      </c>
      <c r="N750" t="e">
        <f ca="1">IFERROR(计算区域!N752,NA())</f>
        <v>#N/A</v>
      </c>
      <c r="O750" t="e">
        <f ca="1">IFERROR(计算区域!O752,NA())</f>
        <v>#N/A</v>
      </c>
      <c r="Q750" t="e">
        <f ca="1">IFERROR(计算区域!R752,NA())</f>
        <v>#N/A</v>
      </c>
      <c r="R750" t="e">
        <f ca="1">IFERROR(计算区域!S752,NA())</f>
        <v>#N/A</v>
      </c>
      <c r="S750" t="e">
        <f ca="1">IFERROR(计算区域!T752,NA())</f>
        <v>#N/A</v>
      </c>
      <c r="T750" t="e">
        <f ca="1">IFERROR(计算区域!U752,NA())</f>
        <v>#N/A</v>
      </c>
      <c r="V750" t="e">
        <f ca="1">IFERROR(计算区域!X752,NA())</f>
        <v>#N/A</v>
      </c>
      <c r="W750" t="e">
        <f ca="1">IFERROR(计算区域!Y752,NA())</f>
        <v>#N/A</v>
      </c>
      <c r="X750" t="e">
        <f ca="1">IFERROR(计算区域!Z752,NA())</f>
        <v>#N/A</v>
      </c>
      <c r="Y750" t="e">
        <f ca="1">IFERROR(计算区域!AA752,NA())</f>
        <v>#N/A</v>
      </c>
    </row>
    <row r="751" spans="1:25" x14ac:dyDescent="0.2">
      <c r="A751" s="28">
        <f>计算区域!E753</f>
        <v>44348</v>
      </c>
      <c r="B751" t="e">
        <f ca="1">IFERROR(计算区域!AJ753,NA())</f>
        <v>#N/A</v>
      </c>
      <c r="C751" t="e">
        <f ca="1">IFERROR(计算区域!AK753,NA())</f>
        <v>#N/A</v>
      </c>
      <c r="D751" t="e">
        <f ca="1">IFERROR(计算区域!AL753,NA())</f>
        <v>#N/A</v>
      </c>
      <c r="E751" t="e">
        <f ca="1">IFERROR(计算区域!AM753,NA())</f>
        <v>#N/A</v>
      </c>
      <c r="G751" t="e">
        <f ca="1">IFERROR(计算区域!AD753,NA())</f>
        <v>#N/A</v>
      </c>
      <c r="H751" t="e">
        <f ca="1">IFERROR(计算区域!AE753,NA())</f>
        <v>#N/A</v>
      </c>
      <c r="I751" t="e">
        <f ca="1">IFERROR(计算区域!AF753,NA())</f>
        <v>#N/A</v>
      </c>
      <c r="J751" t="e">
        <f ca="1">IFERROR(计算区域!AG753,NA())</f>
        <v>#N/A</v>
      </c>
      <c r="L751" t="e">
        <f ca="1">IFERROR(计算区域!L753,NA())</f>
        <v>#N/A</v>
      </c>
      <c r="M751" t="e">
        <f ca="1">IFERROR(计算区域!M753,NA())</f>
        <v>#N/A</v>
      </c>
      <c r="N751" t="e">
        <f ca="1">IFERROR(计算区域!N753,NA())</f>
        <v>#N/A</v>
      </c>
      <c r="O751" t="e">
        <f ca="1">IFERROR(计算区域!O753,NA())</f>
        <v>#N/A</v>
      </c>
      <c r="Q751" t="e">
        <f ca="1">IFERROR(计算区域!R753,NA())</f>
        <v>#N/A</v>
      </c>
      <c r="R751" t="e">
        <f ca="1">IFERROR(计算区域!S753,NA())</f>
        <v>#N/A</v>
      </c>
      <c r="S751" t="e">
        <f ca="1">IFERROR(计算区域!T753,NA())</f>
        <v>#N/A</v>
      </c>
      <c r="T751" t="e">
        <f ca="1">IFERROR(计算区域!U753,NA())</f>
        <v>#N/A</v>
      </c>
      <c r="V751" t="e">
        <f ca="1">IFERROR(计算区域!X753,NA())</f>
        <v>#N/A</v>
      </c>
      <c r="W751" t="e">
        <f ca="1">IFERROR(计算区域!Y753,NA())</f>
        <v>#N/A</v>
      </c>
      <c r="X751" t="e">
        <f ca="1">IFERROR(计算区域!Z753,NA())</f>
        <v>#N/A</v>
      </c>
      <c r="Y751" t="e">
        <f ca="1">IFERROR(计算区域!AA753,NA())</f>
        <v>#N/A</v>
      </c>
    </row>
    <row r="752" spans="1:25" x14ac:dyDescent="0.2">
      <c r="A752" s="28">
        <f>计算区域!E754</f>
        <v>44347</v>
      </c>
      <c r="B752" t="e">
        <f ca="1">IFERROR(计算区域!AJ754,NA())</f>
        <v>#N/A</v>
      </c>
      <c r="C752" t="e">
        <f ca="1">IFERROR(计算区域!AK754,NA())</f>
        <v>#N/A</v>
      </c>
      <c r="D752" t="e">
        <f ca="1">IFERROR(计算区域!AL754,NA())</f>
        <v>#N/A</v>
      </c>
      <c r="E752" t="e">
        <f ca="1">IFERROR(计算区域!AM754,NA())</f>
        <v>#N/A</v>
      </c>
      <c r="G752" t="e">
        <f ca="1">IFERROR(计算区域!AD754,NA())</f>
        <v>#N/A</v>
      </c>
      <c r="H752" t="e">
        <f ca="1">IFERROR(计算区域!AE754,NA())</f>
        <v>#N/A</v>
      </c>
      <c r="I752" t="e">
        <f ca="1">IFERROR(计算区域!AF754,NA())</f>
        <v>#N/A</v>
      </c>
      <c r="J752" t="e">
        <f ca="1">IFERROR(计算区域!AG754,NA())</f>
        <v>#N/A</v>
      </c>
      <c r="L752" t="e">
        <f ca="1">IFERROR(计算区域!L754,NA())</f>
        <v>#N/A</v>
      </c>
      <c r="M752" t="e">
        <f ca="1">IFERROR(计算区域!M754,NA())</f>
        <v>#N/A</v>
      </c>
      <c r="N752" t="e">
        <f ca="1">IFERROR(计算区域!N754,NA())</f>
        <v>#N/A</v>
      </c>
      <c r="O752" t="e">
        <f ca="1">IFERROR(计算区域!O754,NA())</f>
        <v>#N/A</v>
      </c>
      <c r="Q752" t="e">
        <f ca="1">IFERROR(计算区域!R754,NA())</f>
        <v>#N/A</v>
      </c>
      <c r="R752" t="e">
        <f ca="1">IFERROR(计算区域!S754,NA())</f>
        <v>#N/A</v>
      </c>
      <c r="S752" t="e">
        <f ca="1">IFERROR(计算区域!T754,NA())</f>
        <v>#N/A</v>
      </c>
      <c r="T752" t="e">
        <f ca="1">IFERROR(计算区域!U754,NA())</f>
        <v>#N/A</v>
      </c>
      <c r="V752" t="e">
        <f ca="1">IFERROR(计算区域!X754,NA())</f>
        <v>#N/A</v>
      </c>
      <c r="W752" t="e">
        <f ca="1">IFERROR(计算区域!Y754,NA())</f>
        <v>#N/A</v>
      </c>
      <c r="X752" t="e">
        <f ca="1">IFERROR(计算区域!Z754,NA())</f>
        <v>#N/A</v>
      </c>
      <c r="Y752" t="e">
        <f ca="1">IFERROR(计算区域!AA754,NA())</f>
        <v>#N/A</v>
      </c>
    </row>
    <row r="753" spans="1:25" x14ac:dyDescent="0.2">
      <c r="A753" s="28">
        <f>计算区域!E755</f>
        <v>44344</v>
      </c>
      <c r="B753" t="e">
        <f ca="1">IFERROR(计算区域!AJ755,NA())</f>
        <v>#N/A</v>
      </c>
      <c r="C753" t="e">
        <f ca="1">IFERROR(计算区域!AK755,NA())</f>
        <v>#N/A</v>
      </c>
      <c r="D753" t="e">
        <f ca="1">IFERROR(计算区域!AL755,NA())</f>
        <v>#N/A</v>
      </c>
      <c r="E753" t="e">
        <f ca="1">IFERROR(计算区域!AM755,NA())</f>
        <v>#N/A</v>
      </c>
      <c r="G753" t="e">
        <f ca="1">IFERROR(计算区域!AD755,NA())</f>
        <v>#N/A</v>
      </c>
      <c r="H753" t="e">
        <f ca="1">IFERROR(计算区域!AE755,NA())</f>
        <v>#N/A</v>
      </c>
      <c r="I753" t="e">
        <f ca="1">IFERROR(计算区域!AF755,NA())</f>
        <v>#N/A</v>
      </c>
      <c r="J753" t="e">
        <f ca="1">IFERROR(计算区域!AG755,NA())</f>
        <v>#N/A</v>
      </c>
      <c r="L753" t="e">
        <f ca="1">IFERROR(计算区域!L755,NA())</f>
        <v>#N/A</v>
      </c>
      <c r="M753" t="e">
        <f ca="1">IFERROR(计算区域!M755,NA())</f>
        <v>#N/A</v>
      </c>
      <c r="N753" t="e">
        <f ca="1">IFERROR(计算区域!N755,NA())</f>
        <v>#N/A</v>
      </c>
      <c r="O753" t="e">
        <f ca="1">IFERROR(计算区域!O755,NA())</f>
        <v>#N/A</v>
      </c>
      <c r="Q753" t="e">
        <f ca="1">IFERROR(计算区域!R755,NA())</f>
        <v>#N/A</v>
      </c>
      <c r="R753" t="e">
        <f ca="1">IFERROR(计算区域!S755,NA())</f>
        <v>#N/A</v>
      </c>
      <c r="S753" t="e">
        <f ca="1">IFERROR(计算区域!T755,NA())</f>
        <v>#N/A</v>
      </c>
      <c r="T753" t="e">
        <f ca="1">IFERROR(计算区域!U755,NA())</f>
        <v>#N/A</v>
      </c>
      <c r="V753" t="e">
        <f ca="1">IFERROR(计算区域!X755,NA())</f>
        <v>#N/A</v>
      </c>
      <c r="W753" t="e">
        <f ca="1">IFERROR(计算区域!Y755,NA())</f>
        <v>#N/A</v>
      </c>
      <c r="X753" t="e">
        <f ca="1">IFERROR(计算区域!Z755,NA())</f>
        <v>#N/A</v>
      </c>
      <c r="Y753" t="e">
        <f ca="1">IFERROR(计算区域!AA755,NA())</f>
        <v>#N/A</v>
      </c>
    </row>
    <row r="754" spans="1:25" x14ac:dyDescent="0.2">
      <c r="A754" s="28">
        <f>计算区域!E756</f>
        <v>44343</v>
      </c>
      <c r="B754" t="e">
        <f ca="1">IFERROR(计算区域!AJ756,NA())</f>
        <v>#N/A</v>
      </c>
      <c r="C754" t="e">
        <f ca="1">IFERROR(计算区域!AK756,NA())</f>
        <v>#N/A</v>
      </c>
      <c r="D754" t="e">
        <f ca="1">IFERROR(计算区域!AL756,NA())</f>
        <v>#N/A</v>
      </c>
      <c r="E754" t="e">
        <f ca="1">IFERROR(计算区域!AM756,NA())</f>
        <v>#N/A</v>
      </c>
      <c r="G754" t="e">
        <f ca="1">IFERROR(计算区域!AD756,NA())</f>
        <v>#N/A</v>
      </c>
      <c r="H754" t="e">
        <f ca="1">IFERROR(计算区域!AE756,NA())</f>
        <v>#N/A</v>
      </c>
      <c r="I754" t="e">
        <f ca="1">IFERROR(计算区域!AF756,NA())</f>
        <v>#N/A</v>
      </c>
      <c r="J754" t="e">
        <f ca="1">IFERROR(计算区域!AG756,NA())</f>
        <v>#N/A</v>
      </c>
      <c r="L754" t="e">
        <f ca="1">IFERROR(计算区域!L756,NA())</f>
        <v>#N/A</v>
      </c>
      <c r="M754" t="e">
        <f ca="1">IFERROR(计算区域!M756,NA())</f>
        <v>#N/A</v>
      </c>
      <c r="N754" t="e">
        <f ca="1">IFERROR(计算区域!N756,NA())</f>
        <v>#N/A</v>
      </c>
      <c r="O754" t="e">
        <f ca="1">IFERROR(计算区域!O756,NA())</f>
        <v>#N/A</v>
      </c>
      <c r="Q754" t="e">
        <f ca="1">IFERROR(计算区域!R756,NA())</f>
        <v>#N/A</v>
      </c>
      <c r="R754" t="e">
        <f ca="1">IFERROR(计算区域!S756,NA())</f>
        <v>#N/A</v>
      </c>
      <c r="S754" t="e">
        <f ca="1">IFERROR(计算区域!T756,NA())</f>
        <v>#N/A</v>
      </c>
      <c r="T754" t="e">
        <f ca="1">IFERROR(计算区域!U756,NA())</f>
        <v>#N/A</v>
      </c>
      <c r="V754" t="e">
        <f ca="1">IFERROR(计算区域!X756,NA())</f>
        <v>#N/A</v>
      </c>
      <c r="W754" t="e">
        <f ca="1">IFERROR(计算区域!Y756,NA())</f>
        <v>#N/A</v>
      </c>
      <c r="X754" t="e">
        <f ca="1">IFERROR(计算区域!Z756,NA())</f>
        <v>#N/A</v>
      </c>
      <c r="Y754" t="e">
        <f ca="1">IFERROR(计算区域!AA756,NA())</f>
        <v>#N/A</v>
      </c>
    </row>
    <row r="755" spans="1:25" x14ac:dyDescent="0.2">
      <c r="A755" s="28">
        <f>计算区域!E757</f>
        <v>44342</v>
      </c>
      <c r="B755" t="e">
        <f ca="1">IFERROR(计算区域!AJ757,NA())</f>
        <v>#N/A</v>
      </c>
      <c r="C755" t="e">
        <f ca="1">IFERROR(计算区域!AK757,NA())</f>
        <v>#N/A</v>
      </c>
      <c r="D755" t="e">
        <f ca="1">IFERROR(计算区域!AL757,NA())</f>
        <v>#N/A</v>
      </c>
      <c r="E755" t="e">
        <f ca="1">IFERROR(计算区域!AM757,NA())</f>
        <v>#N/A</v>
      </c>
      <c r="G755" t="e">
        <f ca="1">IFERROR(计算区域!AD757,NA())</f>
        <v>#N/A</v>
      </c>
      <c r="H755" t="e">
        <f ca="1">IFERROR(计算区域!AE757,NA())</f>
        <v>#N/A</v>
      </c>
      <c r="I755" t="e">
        <f ca="1">IFERROR(计算区域!AF757,NA())</f>
        <v>#N/A</v>
      </c>
      <c r="J755" t="e">
        <f ca="1">IFERROR(计算区域!AG757,NA())</f>
        <v>#N/A</v>
      </c>
      <c r="L755" t="e">
        <f ca="1">IFERROR(计算区域!L757,NA())</f>
        <v>#N/A</v>
      </c>
      <c r="M755" t="e">
        <f ca="1">IFERROR(计算区域!M757,NA())</f>
        <v>#N/A</v>
      </c>
      <c r="N755" t="e">
        <f ca="1">IFERROR(计算区域!N757,NA())</f>
        <v>#N/A</v>
      </c>
      <c r="O755" t="e">
        <f ca="1">IFERROR(计算区域!O757,NA())</f>
        <v>#N/A</v>
      </c>
      <c r="Q755" t="e">
        <f ca="1">IFERROR(计算区域!R757,NA())</f>
        <v>#N/A</v>
      </c>
      <c r="R755" t="e">
        <f ca="1">IFERROR(计算区域!S757,NA())</f>
        <v>#N/A</v>
      </c>
      <c r="S755" t="e">
        <f ca="1">IFERROR(计算区域!T757,NA())</f>
        <v>#N/A</v>
      </c>
      <c r="T755" t="e">
        <f ca="1">IFERROR(计算区域!U757,NA())</f>
        <v>#N/A</v>
      </c>
      <c r="V755" t="e">
        <f ca="1">IFERROR(计算区域!X757,NA())</f>
        <v>#N/A</v>
      </c>
      <c r="W755" t="e">
        <f ca="1">IFERROR(计算区域!Y757,NA())</f>
        <v>#N/A</v>
      </c>
      <c r="X755" t="e">
        <f ca="1">IFERROR(计算区域!Z757,NA())</f>
        <v>#N/A</v>
      </c>
      <c r="Y755" t="e">
        <f ca="1">IFERROR(计算区域!AA757,NA())</f>
        <v>#N/A</v>
      </c>
    </row>
    <row r="756" spans="1:25" x14ac:dyDescent="0.2">
      <c r="A756" s="28">
        <f>计算区域!E758</f>
        <v>44341</v>
      </c>
      <c r="B756" t="e">
        <f ca="1">IFERROR(计算区域!AJ758,NA())</f>
        <v>#N/A</v>
      </c>
      <c r="C756" t="e">
        <f ca="1">IFERROR(计算区域!AK758,NA())</f>
        <v>#N/A</v>
      </c>
      <c r="D756" t="e">
        <f ca="1">IFERROR(计算区域!AL758,NA())</f>
        <v>#N/A</v>
      </c>
      <c r="E756" t="e">
        <f ca="1">IFERROR(计算区域!AM758,NA())</f>
        <v>#N/A</v>
      </c>
      <c r="G756" t="e">
        <f ca="1">IFERROR(计算区域!AD758,NA())</f>
        <v>#N/A</v>
      </c>
      <c r="H756" t="e">
        <f ca="1">IFERROR(计算区域!AE758,NA())</f>
        <v>#N/A</v>
      </c>
      <c r="I756" t="e">
        <f ca="1">IFERROR(计算区域!AF758,NA())</f>
        <v>#N/A</v>
      </c>
      <c r="J756" t="e">
        <f ca="1">IFERROR(计算区域!AG758,NA())</f>
        <v>#N/A</v>
      </c>
      <c r="L756" t="e">
        <f ca="1">IFERROR(计算区域!L758,NA())</f>
        <v>#N/A</v>
      </c>
      <c r="M756" t="e">
        <f ca="1">IFERROR(计算区域!M758,NA())</f>
        <v>#N/A</v>
      </c>
      <c r="N756" t="e">
        <f ca="1">IFERROR(计算区域!N758,NA())</f>
        <v>#N/A</v>
      </c>
      <c r="O756" t="e">
        <f ca="1">IFERROR(计算区域!O758,NA())</f>
        <v>#N/A</v>
      </c>
      <c r="Q756" t="e">
        <f ca="1">IFERROR(计算区域!R758,NA())</f>
        <v>#N/A</v>
      </c>
      <c r="R756" t="e">
        <f ca="1">IFERROR(计算区域!S758,NA())</f>
        <v>#N/A</v>
      </c>
      <c r="S756" t="e">
        <f ca="1">IFERROR(计算区域!T758,NA())</f>
        <v>#N/A</v>
      </c>
      <c r="T756" t="e">
        <f ca="1">IFERROR(计算区域!U758,NA())</f>
        <v>#N/A</v>
      </c>
      <c r="V756" t="e">
        <f ca="1">IFERROR(计算区域!X758,NA())</f>
        <v>#N/A</v>
      </c>
      <c r="W756" t="e">
        <f ca="1">IFERROR(计算区域!Y758,NA())</f>
        <v>#N/A</v>
      </c>
      <c r="X756" t="e">
        <f ca="1">IFERROR(计算区域!Z758,NA())</f>
        <v>#N/A</v>
      </c>
      <c r="Y756" t="e">
        <f ca="1">IFERROR(计算区域!AA758,NA())</f>
        <v>#N/A</v>
      </c>
    </row>
    <row r="757" spans="1:25" x14ac:dyDescent="0.2">
      <c r="A757" s="28">
        <f>计算区域!E759</f>
        <v>44340</v>
      </c>
      <c r="B757" t="e">
        <f ca="1">IFERROR(计算区域!AJ759,NA())</f>
        <v>#N/A</v>
      </c>
      <c r="C757" t="e">
        <f ca="1">IFERROR(计算区域!AK759,NA())</f>
        <v>#N/A</v>
      </c>
      <c r="D757" t="e">
        <f ca="1">IFERROR(计算区域!AL759,NA())</f>
        <v>#N/A</v>
      </c>
      <c r="E757" t="e">
        <f ca="1">IFERROR(计算区域!AM759,NA())</f>
        <v>#N/A</v>
      </c>
      <c r="G757" t="e">
        <f ca="1">IFERROR(计算区域!AD759,NA())</f>
        <v>#N/A</v>
      </c>
      <c r="H757" t="e">
        <f ca="1">IFERROR(计算区域!AE759,NA())</f>
        <v>#N/A</v>
      </c>
      <c r="I757" t="e">
        <f ca="1">IFERROR(计算区域!AF759,NA())</f>
        <v>#N/A</v>
      </c>
      <c r="J757" t="e">
        <f ca="1">IFERROR(计算区域!AG759,NA())</f>
        <v>#N/A</v>
      </c>
      <c r="L757" t="e">
        <f ca="1">IFERROR(计算区域!L759,NA())</f>
        <v>#N/A</v>
      </c>
      <c r="M757" t="e">
        <f ca="1">IFERROR(计算区域!M759,NA())</f>
        <v>#N/A</v>
      </c>
      <c r="N757" t="e">
        <f ca="1">IFERROR(计算区域!N759,NA())</f>
        <v>#N/A</v>
      </c>
      <c r="O757" t="e">
        <f ca="1">IFERROR(计算区域!O759,NA())</f>
        <v>#N/A</v>
      </c>
      <c r="Q757" t="e">
        <f ca="1">IFERROR(计算区域!R759,NA())</f>
        <v>#N/A</v>
      </c>
      <c r="R757" t="e">
        <f ca="1">IFERROR(计算区域!S759,NA())</f>
        <v>#N/A</v>
      </c>
      <c r="S757" t="e">
        <f ca="1">IFERROR(计算区域!T759,NA())</f>
        <v>#N/A</v>
      </c>
      <c r="T757" t="e">
        <f ca="1">IFERROR(计算区域!U759,NA())</f>
        <v>#N/A</v>
      </c>
      <c r="V757" t="e">
        <f ca="1">IFERROR(计算区域!X759,NA())</f>
        <v>#N/A</v>
      </c>
      <c r="W757" t="e">
        <f ca="1">IFERROR(计算区域!Y759,NA())</f>
        <v>#N/A</v>
      </c>
      <c r="X757" t="e">
        <f ca="1">IFERROR(计算区域!Z759,NA())</f>
        <v>#N/A</v>
      </c>
      <c r="Y757" t="e">
        <f ca="1">IFERROR(计算区域!AA759,NA())</f>
        <v>#N/A</v>
      </c>
    </row>
    <row r="758" spans="1:25" x14ac:dyDescent="0.2">
      <c r="A758" s="28">
        <f>计算区域!E760</f>
        <v>44337</v>
      </c>
      <c r="B758" t="e">
        <f ca="1">IFERROR(计算区域!AJ760,NA())</f>
        <v>#N/A</v>
      </c>
      <c r="C758" t="e">
        <f ca="1">IFERROR(计算区域!AK760,NA())</f>
        <v>#N/A</v>
      </c>
      <c r="D758" t="e">
        <f ca="1">IFERROR(计算区域!AL760,NA())</f>
        <v>#N/A</v>
      </c>
      <c r="E758" t="e">
        <f ca="1">IFERROR(计算区域!AM760,NA())</f>
        <v>#N/A</v>
      </c>
      <c r="G758" t="e">
        <f ca="1">IFERROR(计算区域!AD760,NA())</f>
        <v>#N/A</v>
      </c>
      <c r="H758" t="e">
        <f ca="1">IFERROR(计算区域!AE760,NA())</f>
        <v>#N/A</v>
      </c>
      <c r="I758" t="e">
        <f ca="1">IFERROR(计算区域!AF760,NA())</f>
        <v>#N/A</v>
      </c>
      <c r="J758" t="e">
        <f ca="1">IFERROR(计算区域!AG760,NA())</f>
        <v>#N/A</v>
      </c>
      <c r="L758" t="e">
        <f ca="1">IFERROR(计算区域!L760,NA())</f>
        <v>#N/A</v>
      </c>
      <c r="M758" t="e">
        <f ca="1">IFERROR(计算区域!M760,NA())</f>
        <v>#N/A</v>
      </c>
      <c r="N758" t="e">
        <f ca="1">IFERROR(计算区域!N760,NA())</f>
        <v>#N/A</v>
      </c>
      <c r="O758" t="e">
        <f ca="1">IFERROR(计算区域!O760,NA())</f>
        <v>#N/A</v>
      </c>
      <c r="Q758" t="e">
        <f ca="1">IFERROR(计算区域!R760,NA())</f>
        <v>#N/A</v>
      </c>
      <c r="R758" t="e">
        <f ca="1">IFERROR(计算区域!S760,NA())</f>
        <v>#N/A</v>
      </c>
      <c r="S758" t="e">
        <f ca="1">IFERROR(计算区域!T760,NA())</f>
        <v>#N/A</v>
      </c>
      <c r="T758" t="e">
        <f ca="1">IFERROR(计算区域!U760,NA())</f>
        <v>#N/A</v>
      </c>
      <c r="V758" t="e">
        <f ca="1">IFERROR(计算区域!X760,NA())</f>
        <v>#N/A</v>
      </c>
      <c r="W758" t="e">
        <f ca="1">IFERROR(计算区域!Y760,NA())</f>
        <v>#N/A</v>
      </c>
      <c r="X758" t="e">
        <f ca="1">IFERROR(计算区域!Z760,NA())</f>
        <v>#N/A</v>
      </c>
      <c r="Y758" t="e">
        <f ca="1">IFERROR(计算区域!AA760,NA())</f>
        <v>#N/A</v>
      </c>
    </row>
    <row r="759" spans="1:25" x14ac:dyDescent="0.2">
      <c r="A759" s="28">
        <f>计算区域!E761</f>
        <v>44336</v>
      </c>
      <c r="B759" t="e">
        <f ca="1">IFERROR(计算区域!AJ761,NA())</f>
        <v>#N/A</v>
      </c>
      <c r="C759" t="e">
        <f ca="1">IFERROR(计算区域!AK761,NA())</f>
        <v>#N/A</v>
      </c>
      <c r="D759" t="e">
        <f ca="1">IFERROR(计算区域!AL761,NA())</f>
        <v>#N/A</v>
      </c>
      <c r="E759" t="e">
        <f ca="1">IFERROR(计算区域!AM761,NA())</f>
        <v>#N/A</v>
      </c>
      <c r="G759" t="e">
        <f ca="1">IFERROR(计算区域!AD761,NA())</f>
        <v>#N/A</v>
      </c>
      <c r="H759" t="e">
        <f ca="1">IFERROR(计算区域!AE761,NA())</f>
        <v>#N/A</v>
      </c>
      <c r="I759" t="e">
        <f ca="1">IFERROR(计算区域!AF761,NA())</f>
        <v>#N/A</v>
      </c>
      <c r="J759" t="e">
        <f ca="1">IFERROR(计算区域!AG761,NA())</f>
        <v>#N/A</v>
      </c>
      <c r="L759" t="e">
        <f ca="1">IFERROR(计算区域!L761,NA())</f>
        <v>#N/A</v>
      </c>
      <c r="M759" t="e">
        <f ca="1">IFERROR(计算区域!M761,NA())</f>
        <v>#N/A</v>
      </c>
      <c r="N759" t="e">
        <f ca="1">IFERROR(计算区域!N761,NA())</f>
        <v>#N/A</v>
      </c>
      <c r="O759" t="e">
        <f ca="1">IFERROR(计算区域!O761,NA())</f>
        <v>#N/A</v>
      </c>
      <c r="Q759" t="e">
        <f ca="1">IFERROR(计算区域!R761,NA())</f>
        <v>#N/A</v>
      </c>
      <c r="R759" t="e">
        <f ca="1">IFERROR(计算区域!S761,NA())</f>
        <v>#N/A</v>
      </c>
      <c r="S759" t="e">
        <f ca="1">IFERROR(计算区域!T761,NA())</f>
        <v>#N/A</v>
      </c>
      <c r="T759" t="e">
        <f ca="1">IFERROR(计算区域!U761,NA())</f>
        <v>#N/A</v>
      </c>
      <c r="V759" t="e">
        <f ca="1">IFERROR(计算区域!X761,NA())</f>
        <v>#N/A</v>
      </c>
      <c r="W759" t="e">
        <f ca="1">IFERROR(计算区域!Y761,NA())</f>
        <v>#N/A</v>
      </c>
      <c r="X759" t="e">
        <f ca="1">IFERROR(计算区域!Z761,NA())</f>
        <v>#N/A</v>
      </c>
      <c r="Y759" t="e">
        <f ca="1">IFERROR(计算区域!AA761,NA())</f>
        <v>#N/A</v>
      </c>
    </row>
    <row r="760" spans="1:25" x14ac:dyDescent="0.2">
      <c r="A760" s="28">
        <f>计算区域!E762</f>
        <v>44335</v>
      </c>
      <c r="B760" t="e">
        <f ca="1">IFERROR(计算区域!AJ762,NA())</f>
        <v>#N/A</v>
      </c>
      <c r="C760" t="e">
        <f ca="1">IFERROR(计算区域!AK762,NA())</f>
        <v>#N/A</v>
      </c>
      <c r="D760" t="e">
        <f ca="1">IFERROR(计算区域!AL762,NA())</f>
        <v>#N/A</v>
      </c>
      <c r="E760" t="e">
        <f ca="1">IFERROR(计算区域!AM762,NA())</f>
        <v>#N/A</v>
      </c>
      <c r="G760" t="e">
        <f ca="1">IFERROR(计算区域!AD762,NA())</f>
        <v>#N/A</v>
      </c>
      <c r="H760" t="e">
        <f ca="1">IFERROR(计算区域!AE762,NA())</f>
        <v>#N/A</v>
      </c>
      <c r="I760" t="e">
        <f ca="1">IFERROR(计算区域!AF762,NA())</f>
        <v>#N/A</v>
      </c>
      <c r="J760" t="e">
        <f ca="1">IFERROR(计算区域!AG762,NA())</f>
        <v>#N/A</v>
      </c>
      <c r="L760" t="e">
        <f ca="1">IFERROR(计算区域!L762,NA())</f>
        <v>#N/A</v>
      </c>
      <c r="M760" t="e">
        <f ca="1">IFERROR(计算区域!M762,NA())</f>
        <v>#N/A</v>
      </c>
      <c r="N760" t="e">
        <f ca="1">IFERROR(计算区域!N762,NA())</f>
        <v>#N/A</v>
      </c>
      <c r="O760" t="e">
        <f ca="1">IFERROR(计算区域!O762,NA())</f>
        <v>#N/A</v>
      </c>
      <c r="Q760" t="e">
        <f ca="1">IFERROR(计算区域!R762,NA())</f>
        <v>#N/A</v>
      </c>
      <c r="R760" t="e">
        <f ca="1">IFERROR(计算区域!S762,NA())</f>
        <v>#N/A</v>
      </c>
      <c r="S760" t="e">
        <f ca="1">IFERROR(计算区域!T762,NA())</f>
        <v>#N/A</v>
      </c>
      <c r="T760" t="e">
        <f ca="1">IFERROR(计算区域!U762,NA())</f>
        <v>#N/A</v>
      </c>
      <c r="V760" t="e">
        <f ca="1">IFERROR(计算区域!X762,NA())</f>
        <v>#N/A</v>
      </c>
      <c r="W760" t="e">
        <f ca="1">IFERROR(计算区域!Y762,NA())</f>
        <v>#N/A</v>
      </c>
      <c r="X760" t="e">
        <f ca="1">IFERROR(计算区域!Z762,NA())</f>
        <v>#N/A</v>
      </c>
      <c r="Y760" t="e">
        <f ca="1">IFERROR(计算区域!AA762,NA())</f>
        <v>#N/A</v>
      </c>
    </row>
    <row r="761" spans="1:25" x14ac:dyDescent="0.2">
      <c r="A761" s="28">
        <f>计算区域!E763</f>
        <v>44334</v>
      </c>
      <c r="B761" t="e">
        <f ca="1">IFERROR(计算区域!AJ763,NA())</f>
        <v>#N/A</v>
      </c>
      <c r="C761" t="e">
        <f ca="1">IFERROR(计算区域!AK763,NA())</f>
        <v>#N/A</v>
      </c>
      <c r="D761" t="e">
        <f ca="1">IFERROR(计算区域!AL763,NA())</f>
        <v>#N/A</v>
      </c>
      <c r="E761" t="e">
        <f ca="1">IFERROR(计算区域!AM763,NA())</f>
        <v>#N/A</v>
      </c>
      <c r="G761" t="e">
        <f ca="1">IFERROR(计算区域!AD763,NA())</f>
        <v>#N/A</v>
      </c>
      <c r="H761" t="e">
        <f ca="1">IFERROR(计算区域!AE763,NA())</f>
        <v>#N/A</v>
      </c>
      <c r="I761" t="e">
        <f ca="1">IFERROR(计算区域!AF763,NA())</f>
        <v>#N/A</v>
      </c>
      <c r="J761" t="e">
        <f ca="1">IFERROR(计算区域!AG763,NA())</f>
        <v>#N/A</v>
      </c>
      <c r="L761" t="e">
        <f ca="1">IFERROR(计算区域!L763,NA())</f>
        <v>#N/A</v>
      </c>
      <c r="M761" t="e">
        <f ca="1">IFERROR(计算区域!M763,NA())</f>
        <v>#N/A</v>
      </c>
      <c r="N761" t="e">
        <f ca="1">IFERROR(计算区域!N763,NA())</f>
        <v>#N/A</v>
      </c>
      <c r="O761" t="e">
        <f ca="1">IFERROR(计算区域!O763,NA())</f>
        <v>#N/A</v>
      </c>
      <c r="Q761" t="e">
        <f ca="1">IFERROR(计算区域!R763,NA())</f>
        <v>#N/A</v>
      </c>
      <c r="R761" t="e">
        <f ca="1">IFERROR(计算区域!S763,NA())</f>
        <v>#N/A</v>
      </c>
      <c r="S761" t="e">
        <f ca="1">IFERROR(计算区域!T763,NA())</f>
        <v>#N/A</v>
      </c>
      <c r="T761" t="e">
        <f ca="1">IFERROR(计算区域!U763,NA())</f>
        <v>#N/A</v>
      </c>
      <c r="V761" t="e">
        <f ca="1">IFERROR(计算区域!X763,NA())</f>
        <v>#N/A</v>
      </c>
      <c r="W761" t="e">
        <f ca="1">IFERROR(计算区域!Y763,NA())</f>
        <v>#N/A</v>
      </c>
      <c r="X761" t="e">
        <f ca="1">IFERROR(计算区域!Z763,NA())</f>
        <v>#N/A</v>
      </c>
      <c r="Y761" t="e">
        <f ca="1">IFERROR(计算区域!AA763,NA())</f>
        <v>#N/A</v>
      </c>
    </row>
    <row r="762" spans="1:25" x14ac:dyDescent="0.2">
      <c r="A762" s="28">
        <f>计算区域!E764</f>
        <v>44333</v>
      </c>
      <c r="B762" t="e">
        <f ca="1">IFERROR(计算区域!AJ764,NA())</f>
        <v>#N/A</v>
      </c>
      <c r="C762" t="e">
        <f ca="1">IFERROR(计算区域!AK764,NA())</f>
        <v>#N/A</v>
      </c>
      <c r="D762" t="e">
        <f ca="1">IFERROR(计算区域!AL764,NA())</f>
        <v>#N/A</v>
      </c>
      <c r="E762" t="e">
        <f ca="1">IFERROR(计算区域!AM764,NA())</f>
        <v>#N/A</v>
      </c>
      <c r="G762" t="e">
        <f ca="1">IFERROR(计算区域!AD764,NA())</f>
        <v>#N/A</v>
      </c>
      <c r="H762" t="e">
        <f ca="1">IFERROR(计算区域!AE764,NA())</f>
        <v>#N/A</v>
      </c>
      <c r="I762" t="e">
        <f ca="1">IFERROR(计算区域!AF764,NA())</f>
        <v>#N/A</v>
      </c>
      <c r="J762" t="e">
        <f ca="1">IFERROR(计算区域!AG764,NA())</f>
        <v>#N/A</v>
      </c>
      <c r="L762" t="e">
        <f ca="1">IFERROR(计算区域!L764,NA())</f>
        <v>#N/A</v>
      </c>
      <c r="M762" t="e">
        <f ca="1">IFERROR(计算区域!M764,NA())</f>
        <v>#N/A</v>
      </c>
      <c r="N762" t="e">
        <f ca="1">IFERROR(计算区域!N764,NA())</f>
        <v>#N/A</v>
      </c>
      <c r="O762" t="e">
        <f ca="1">IFERROR(计算区域!O764,NA())</f>
        <v>#N/A</v>
      </c>
      <c r="Q762" t="e">
        <f ca="1">IFERROR(计算区域!R764,NA())</f>
        <v>#N/A</v>
      </c>
      <c r="R762" t="e">
        <f ca="1">IFERROR(计算区域!S764,NA())</f>
        <v>#N/A</v>
      </c>
      <c r="S762" t="e">
        <f ca="1">IFERROR(计算区域!T764,NA())</f>
        <v>#N/A</v>
      </c>
      <c r="T762" t="e">
        <f ca="1">IFERROR(计算区域!U764,NA())</f>
        <v>#N/A</v>
      </c>
      <c r="V762" t="e">
        <f ca="1">IFERROR(计算区域!X764,NA())</f>
        <v>#N/A</v>
      </c>
      <c r="W762" t="e">
        <f ca="1">IFERROR(计算区域!Y764,NA())</f>
        <v>#N/A</v>
      </c>
      <c r="X762" t="e">
        <f ca="1">IFERROR(计算区域!Z764,NA())</f>
        <v>#N/A</v>
      </c>
      <c r="Y762" t="e">
        <f ca="1">IFERROR(计算区域!AA764,NA())</f>
        <v>#N/A</v>
      </c>
    </row>
    <row r="763" spans="1:25" x14ac:dyDescent="0.2">
      <c r="A763" s="28">
        <f>计算区域!E765</f>
        <v>44330</v>
      </c>
      <c r="B763" t="e">
        <f ca="1">IFERROR(计算区域!AJ765,NA())</f>
        <v>#N/A</v>
      </c>
      <c r="C763" t="e">
        <f ca="1">IFERROR(计算区域!AK765,NA())</f>
        <v>#N/A</v>
      </c>
      <c r="D763" t="e">
        <f ca="1">IFERROR(计算区域!AL765,NA())</f>
        <v>#N/A</v>
      </c>
      <c r="E763" t="e">
        <f ca="1">IFERROR(计算区域!AM765,NA())</f>
        <v>#N/A</v>
      </c>
      <c r="G763" t="e">
        <f ca="1">IFERROR(计算区域!AD765,NA())</f>
        <v>#N/A</v>
      </c>
      <c r="H763" t="e">
        <f ca="1">IFERROR(计算区域!AE765,NA())</f>
        <v>#N/A</v>
      </c>
      <c r="I763" t="e">
        <f ca="1">IFERROR(计算区域!AF765,NA())</f>
        <v>#N/A</v>
      </c>
      <c r="J763" t="e">
        <f ca="1">IFERROR(计算区域!AG765,NA())</f>
        <v>#N/A</v>
      </c>
      <c r="L763" t="e">
        <f ca="1">IFERROR(计算区域!L765,NA())</f>
        <v>#N/A</v>
      </c>
      <c r="M763" t="e">
        <f ca="1">IFERROR(计算区域!M765,NA())</f>
        <v>#N/A</v>
      </c>
      <c r="N763" t="e">
        <f ca="1">IFERROR(计算区域!N765,NA())</f>
        <v>#N/A</v>
      </c>
      <c r="O763" t="e">
        <f ca="1">IFERROR(计算区域!O765,NA())</f>
        <v>#N/A</v>
      </c>
      <c r="Q763" t="e">
        <f ca="1">IFERROR(计算区域!R765,NA())</f>
        <v>#N/A</v>
      </c>
      <c r="R763" t="e">
        <f ca="1">IFERROR(计算区域!S765,NA())</f>
        <v>#N/A</v>
      </c>
      <c r="S763" t="e">
        <f ca="1">IFERROR(计算区域!T765,NA())</f>
        <v>#N/A</v>
      </c>
      <c r="T763" t="e">
        <f ca="1">IFERROR(计算区域!U765,NA())</f>
        <v>#N/A</v>
      </c>
      <c r="V763" t="e">
        <f ca="1">IFERROR(计算区域!X765,NA())</f>
        <v>#N/A</v>
      </c>
      <c r="W763" t="e">
        <f ca="1">IFERROR(计算区域!Y765,NA())</f>
        <v>#N/A</v>
      </c>
      <c r="X763" t="e">
        <f ca="1">IFERROR(计算区域!Z765,NA())</f>
        <v>#N/A</v>
      </c>
      <c r="Y763" t="e">
        <f ca="1">IFERROR(计算区域!AA765,NA())</f>
        <v>#N/A</v>
      </c>
    </row>
    <row r="764" spans="1:25" x14ac:dyDescent="0.2">
      <c r="A764" s="28">
        <f>计算区域!E766</f>
        <v>44329</v>
      </c>
      <c r="B764" t="e">
        <f ca="1">IFERROR(计算区域!AJ766,NA())</f>
        <v>#N/A</v>
      </c>
      <c r="C764" t="e">
        <f ca="1">IFERROR(计算区域!AK766,NA())</f>
        <v>#N/A</v>
      </c>
      <c r="D764" t="e">
        <f ca="1">IFERROR(计算区域!AL766,NA())</f>
        <v>#N/A</v>
      </c>
      <c r="E764" t="e">
        <f ca="1">IFERROR(计算区域!AM766,NA())</f>
        <v>#N/A</v>
      </c>
      <c r="G764" t="e">
        <f ca="1">IFERROR(计算区域!AD766,NA())</f>
        <v>#N/A</v>
      </c>
      <c r="H764" t="e">
        <f ca="1">IFERROR(计算区域!AE766,NA())</f>
        <v>#N/A</v>
      </c>
      <c r="I764" t="e">
        <f ca="1">IFERROR(计算区域!AF766,NA())</f>
        <v>#N/A</v>
      </c>
      <c r="J764" t="e">
        <f ca="1">IFERROR(计算区域!AG766,NA())</f>
        <v>#N/A</v>
      </c>
      <c r="L764" t="e">
        <f ca="1">IFERROR(计算区域!L766,NA())</f>
        <v>#N/A</v>
      </c>
      <c r="M764" t="e">
        <f ca="1">IFERROR(计算区域!M766,NA())</f>
        <v>#N/A</v>
      </c>
      <c r="N764" t="e">
        <f ca="1">IFERROR(计算区域!N766,NA())</f>
        <v>#N/A</v>
      </c>
      <c r="O764" t="e">
        <f ca="1">IFERROR(计算区域!O766,NA())</f>
        <v>#N/A</v>
      </c>
      <c r="Q764" t="e">
        <f ca="1">IFERROR(计算区域!R766,NA())</f>
        <v>#N/A</v>
      </c>
      <c r="R764" t="e">
        <f ca="1">IFERROR(计算区域!S766,NA())</f>
        <v>#N/A</v>
      </c>
      <c r="S764" t="e">
        <f ca="1">IFERROR(计算区域!T766,NA())</f>
        <v>#N/A</v>
      </c>
      <c r="T764" t="e">
        <f ca="1">IFERROR(计算区域!U766,NA())</f>
        <v>#N/A</v>
      </c>
      <c r="V764" t="e">
        <f ca="1">IFERROR(计算区域!X766,NA())</f>
        <v>#N/A</v>
      </c>
      <c r="W764" t="e">
        <f ca="1">IFERROR(计算区域!Y766,NA())</f>
        <v>#N/A</v>
      </c>
      <c r="X764" t="e">
        <f ca="1">IFERROR(计算区域!Z766,NA())</f>
        <v>#N/A</v>
      </c>
      <c r="Y764" t="e">
        <f ca="1">IFERROR(计算区域!AA766,NA())</f>
        <v>#N/A</v>
      </c>
    </row>
    <row r="765" spans="1:25" x14ac:dyDescent="0.2">
      <c r="A765" s="28">
        <f>计算区域!E767</f>
        <v>44328</v>
      </c>
      <c r="B765" t="e">
        <f ca="1">IFERROR(计算区域!AJ767,NA())</f>
        <v>#N/A</v>
      </c>
      <c r="C765" t="e">
        <f ca="1">IFERROR(计算区域!AK767,NA())</f>
        <v>#N/A</v>
      </c>
      <c r="D765" t="e">
        <f ca="1">IFERROR(计算区域!AL767,NA())</f>
        <v>#N/A</v>
      </c>
      <c r="E765" t="e">
        <f ca="1">IFERROR(计算区域!AM767,NA())</f>
        <v>#N/A</v>
      </c>
      <c r="G765" t="e">
        <f ca="1">IFERROR(计算区域!AD767,NA())</f>
        <v>#N/A</v>
      </c>
      <c r="H765" t="e">
        <f ca="1">IFERROR(计算区域!AE767,NA())</f>
        <v>#N/A</v>
      </c>
      <c r="I765" t="e">
        <f ca="1">IFERROR(计算区域!AF767,NA())</f>
        <v>#N/A</v>
      </c>
      <c r="J765" t="e">
        <f ca="1">IFERROR(计算区域!AG767,NA())</f>
        <v>#N/A</v>
      </c>
      <c r="L765" t="e">
        <f ca="1">IFERROR(计算区域!L767,NA())</f>
        <v>#N/A</v>
      </c>
      <c r="M765" t="e">
        <f ca="1">IFERROR(计算区域!M767,NA())</f>
        <v>#N/A</v>
      </c>
      <c r="N765" t="e">
        <f ca="1">IFERROR(计算区域!N767,NA())</f>
        <v>#N/A</v>
      </c>
      <c r="O765" t="e">
        <f ca="1">IFERROR(计算区域!O767,NA())</f>
        <v>#N/A</v>
      </c>
      <c r="Q765" t="e">
        <f ca="1">IFERROR(计算区域!R767,NA())</f>
        <v>#N/A</v>
      </c>
      <c r="R765" t="e">
        <f ca="1">IFERROR(计算区域!S767,NA())</f>
        <v>#N/A</v>
      </c>
      <c r="S765" t="e">
        <f ca="1">IFERROR(计算区域!T767,NA())</f>
        <v>#N/A</v>
      </c>
      <c r="T765" t="e">
        <f ca="1">IFERROR(计算区域!U767,NA())</f>
        <v>#N/A</v>
      </c>
      <c r="V765" t="e">
        <f ca="1">IFERROR(计算区域!X767,NA())</f>
        <v>#N/A</v>
      </c>
      <c r="W765" t="e">
        <f ca="1">IFERROR(计算区域!Y767,NA())</f>
        <v>#N/A</v>
      </c>
      <c r="X765" t="e">
        <f ca="1">IFERROR(计算区域!Z767,NA())</f>
        <v>#N/A</v>
      </c>
      <c r="Y765" t="e">
        <f ca="1">IFERROR(计算区域!AA767,NA())</f>
        <v>#N/A</v>
      </c>
    </row>
    <row r="766" spans="1:25" x14ac:dyDescent="0.2">
      <c r="A766" s="28">
        <f>计算区域!E768</f>
        <v>44327</v>
      </c>
      <c r="B766" t="e">
        <f ca="1">IFERROR(计算区域!AJ768,NA())</f>
        <v>#N/A</v>
      </c>
      <c r="C766" t="e">
        <f ca="1">IFERROR(计算区域!AK768,NA())</f>
        <v>#N/A</v>
      </c>
      <c r="D766" t="e">
        <f ca="1">IFERROR(计算区域!AL768,NA())</f>
        <v>#N/A</v>
      </c>
      <c r="E766" t="e">
        <f ca="1">IFERROR(计算区域!AM768,NA())</f>
        <v>#N/A</v>
      </c>
      <c r="G766" t="e">
        <f ca="1">IFERROR(计算区域!AD768,NA())</f>
        <v>#N/A</v>
      </c>
      <c r="H766" t="e">
        <f ca="1">IFERROR(计算区域!AE768,NA())</f>
        <v>#N/A</v>
      </c>
      <c r="I766" t="e">
        <f ca="1">IFERROR(计算区域!AF768,NA())</f>
        <v>#N/A</v>
      </c>
      <c r="J766" t="e">
        <f ca="1">IFERROR(计算区域!AG768,NA())</f>
        <v>#N/A</v>
      </c>
      <c r="L766" t="e">
        <f ca="1">IFERROR(计算区域!L768,NA())</f>
        <v>#N/A</v>
      </c>
      <c r="M766" t="e">
        <f ca="1">IFERROR(计算区域!M768,NA())</f>
        <v>#N/A</v>
      </c>
      <c r="N766" t="e">
        <f ca="1">IFERROR(计算区域!N768,NA())</f>
        <v>#N/A</v>
      </c>
      <c r="O766" t="e">
        <f ca="1">IFERROR(计算区域!O768,NA())</f>
        <v>#N/A</v>
      </c>
      <c r="Q766" t="e">
        <f ca="1">IFERROR(计算区域!R768,NA())</f>
        <v>#N/A</v>
      </c>
      <c r="R766" t="e">
        <f ca="1">IFERROR(计算区域!S768,NA())</f>
        <v>#N/A</v>
      </c>
      <c r="S766" t="e">
        <f ca="1">IFERROR(计算区域!T768,NA())</f>
        <v>#N/A</v>
      </c>
      <c r="T766" t="e">
        <f ca="1">IFERROR(计算区域!U768,NA())</f>
        <v>#N/A</v>
      </c>
      <c r="V766" t="e">
        <f ca="1">IFERROR(计算区域!X768,NA())</f>
        <v>#N/A</v>
      </c>
      <c r="W766" t="e">
        <f ca="1">IFERROR(计算区域!Y768,NA())</f>
        <v>#N/A</v>
      </c>
      <c r="X766" t="e">
        <f ca="1">IFERROR(计算区域!Z768,NA())</f>
        <v>#N/A</v>
      </c>
      <c r="Y766" t="e">
        <f ca="1">IFERROR(计算区域!AA768,NA())</f>
        <v>#N/A</v>
      </c>
    </row>
    <row r="767" spans="1:25" x14ac:dyDescent="0.2">
      <c r="A767" s="28">
        <f>计算区域!E769</f>
        <v>44326</v>
      </c>
      <c r="B767" t="e">
        <f ca="1">IFERROR(计算区域!AJ769,NA())</f>
        <v>#N/A</v>
      </c>
      <c r="C767" t="e">
        <f ca="1">IFERROR(计算区域!AK769,NA())</f>
        <v>#N/A</v>
      </c>
      <c r="D767" t="e">
        <f ca="1">IFERROR(计算区域!AL769,NA())</f>
        <v>#N/A</v>
      </c>
      <c r="E767" t="e">
        <f ca="1">IFERROR(计算区域!AM769,NA())</f>
        <v>#N/A</v>
      </c>
      <c r="G767" t="e">
        <f ca="1">IFERROR(计算区域!AD769,NA())</f>
        <v>#N/A</v>
      </c>
      <c r="H767" t="e">
        <f ca="1">IFERROR(计算区域!AE769,NA())</f>
        <v>#N/A</v>
      </c>
      <c r="I767" t="e">
        <f ca="1">IFERROR(计算区域!AF769,NA())</f>
        <v>#N/A</v>
      </c>
      <c r="J767" t="e">
        <f ca="1">IFERROR(计算区域!AG769,NA())</f>
        <v>#N/A</v>
      </c>
      <c r="L767" t="e">
        <f ca="1">IFERROR(计算区域!L769,NA())</f>
        <v>#N/A</v>
      </c>
      <c r="M767" t="e">
        <f ca="1">IFERROR(计算区域!M769,NA())</f>
        <v>#N/A</v>
      </c>
      <c r="N767" t="e">
        <f ca="1">IFERROR(计算区域!N769,NA())</f>
        <v>#N/A</v>
      </c>
      <c r="O767" t="e">
        <f ca="1">IFERROR(计算区域!O769,NA())</f>
        <v>#N/A</v>
      </c>
      <c r="Q767" t="e">
        <f ca="1">IFERROR(计算区域!R769,NA())</f>
        <v>#N/A</v>
      </c>
      <c r="R767" t="e">
        <f ca="1">IFERROR(计算区域!S769,NA())</f>
        <v>#N/A</v>
      </c>
      <c r="S767" t="e">
        <f ca="1">IFERROR(计算区域!T769,NA())</f>
        <v>#N/A</v>
      </c>
      <c r="T767" t="e">
        <f ca="1">IFERROR(计算区域!U769,NA())</f>
        <v>#N/A</v>
      </c>
      <c r="V767" t="e">
        <f ca="1">IFERROR(计算区域!X769,NA())</f>
        <v>#N/A</v>
      </c>
      <c r="W767" t="e">
        <f ca="1">IFERROR(计算区域!Y769,NA())</f>
        <v>#N/A</v>
      </c>
      <c r="X767" t="e">
        <f ca="1">IFERROR(计算区域!Z769,NA())</f>
        <v>#N/A</v>
      </c>
      <c r="Y767" t="e">
        <f ca="1">IFERROR(计算区域!AA769,NA())</f>
        <v>#N/A</v>
      </c>
    </row>
    <row r="768" spans="1:25" x14ac:dyDescent="0.2">
      <c r="A768" s="28">
        <f>计算区域!E770</f>
        <v>44323</v>
      </c>
      <c r="B768" t="e">
        <f ca="1">IFERROR(计算区域!AJ770,NA())</f>
        <v>#N/A</v>
      </c>
      <c r="C768" t="e">
        <f ca="1">IFERROR(计算区域!AK770,NA())</f>
        <v>#N/A</v>
      </c>
      <c r="D768" t="e">
        <f ca="1">IFERROR(计算区域!AL770,NA())</f>
        <v>#N/A</v>
      </c>
      <c r="E768" t="e">
        <f ca="1">IFERROR(计算区域!AM770,NA())</f>
        <v>#N/A</v>
      </c>
      <c r="G768" t="e">
        <f ca="1">IFERROR(计算区域!AD770,NA())</f>
        <v>#N/A</v>
      </c>
      <c r="H768" t="e">
        <f ca="1">IFERROR(计算区域!AE770,NA())</f>
        <v>#N/A</v>
      </c>
      <c r="I768" t="e">
        <f ca="1">IFERROR(计算区域!AF770,NA())</f>
        <v>#N/A</v>
      </c>
      <c r="J768" t="e">
        <f ca="1">IFERROR(计算区域!AG770,NA())</f>
        <v>#N/A</v>
      </c>
      <c r="L768" t="e">
        <f ca="1">IFERROR(计算区域!L770,NA())</f>
        <v>#N/A</v>
      </c>
      <c r="M768" t="e">
        <f ca="1">IFERROR(计算区域!M770,NA())</f>
        <v>#N/A</v>
      </c>
      <c r="N768" t="e">
        <f ca="1">IFERROR(计算区域!N770,NA())</f>
        <v>#N/A</v>
      </c>
      <c r="O768" t="e">
        <f ca="1">IFERROR(计算区域!O770,NA())</f>
        <v>#N/A</v>
      </c>
      <c r="Q768" t="e">
        <f ca="1">IFERROR(计算区域!R770,NA())</f>
        <v>#N/A</v>
      </c>
      <c r="R768" t="e">
        <f ca="1">IFERROR(计算区域!S770,NA())</f>
        <v>#N/A</v>
      </c>
      <c r="S768" t="e">
        <f ca="1">IFERROR(计算区域!T770,NA())</f>
        <v>#N/A</v>
      </c>
      <c r="T768" t="e">
        <f ca="1">IFERROR(计算区域!U770,NA())</f>
        <v>#N/A</v>
      </c>
      <c r="V768" t="e">
        <f ca="1">IFERROR(计算区域!X770,NA())</f>
        <v>#N/A</v>
      </c>
      <c r="W768" t="e">
        <f ca="1">IFERROR(计算区域!Y770,NA())</f>
        <v>#N/A</v>
      </c>
      <c r="X768" t="e">
        <f ca="1">IFERROR(计算区域!Z770,NA())</f>
        <v>#N/A</v>
      </c>
      <c r="Y768" t="e">
        <f ca="1">IFERROR(计算区域!AA770,NA())</f>
        <v>#N/A</v>
      </c>
    </row>
    <row r="769" spans="1:25" x14ac:dyDescent="0.2">
      <c r="A769" s="28">
        <f>计算区域!E771</f>
        <v>44322</v>
      </c>
      <c r="B769" t="e">
        <f ca="1">IFERROR(计算区域!AJ771,NA())</f>
        <v>#N/A</v>
      </c>
      <c r="C769" t="e">
        <f ca="1">IFERROR(计算区域!AK771,NA())</f>
        <v>#N/A</v>
      </c>
      <c r="D769" t="e">
        <f ca="1">IFERROR(计算区域!AL771,NA())</f>
        <v>#N/A</v>
      </c>
      <c r="E769" t="e">
        <f ca="1">IFERROR(计算区域!AM771,NA())</f>
        <v>#N/A</v>
      </c>
      <c r="G769" t="e">
        <f ca="1">IFERROR(计算区域!AD771,NA())</f>
        <v>#N/A</v>
      </c>
      <c r="H769" t="e">
        <f ca="1">IFERROR(计算区域!AE771,NA())</f>
        <v>#N/A</v>
      </c>
      <c r="I769" t="e">
        <f ca="1">IFERROR(计算区域!AF771,NA())</f>
        <v>#N/A</v>
      </c>
      <c r="J769" t="e">
        <f ca="1">IFERROR(计算区域!AG771,NA())</f>
        <v>#N/A</v>
      </c>
      <c r="L769" t="e">
        <f ca="1">IFERROR(计算区域!L771,NA())</f>
        <v>#N/A</v>
      </c>
      <c r="M769" t="e">
        <f ca="1">IFERROR(计算区域!M771,NA())</f>
        <v>#N/A</v>
      </c>
      <c r="N769" t="e">
        <f ca="1">IFERROR(计算区域!N771,NA())</f>
        <v>#N/A</v>
      </c>
      <c r="O769" t="e">
        <f ca="1">IFERROR(计算区域!O771,NA())</f>
        <v>#N/A</v>
      </c>
      <c r="Q769" t="e">
        <f ca="1">IFERROR(计算区域!R771,NA())</f>
        <v>#N/A</v>
      </c>
      <c r="R769" t="e">
        <f ca="1">IFERROR(计算区域!S771,NA())</f>
        <v>#N/A</v>
      </c>
      <c r="S769" t="e">
        <f ca="1">IFERROR(计算区域!T771,NA())</f>
        <v>#N/A</v>
      </c>
      <c r="T769" t="e">
        <f ca="1">IFERROR(计算区域!U771,NA())</f>
        <v>#N/A</v>
      </c>
      <c r="V769" t="e">
        <f ca="1">IFERROR(计算区域!X771,NA())</f>
        <v>#N/A</v>
      </c>
      <c r="W769" t="e">
        <f ca="1">IFERROR(计算区域!Y771,NA())</f>
        <v>#N/A</v>
      </c>
      <c r="X769" t="e">
        <f ca="1">IFERROR(计算区域!Z771,NA())</f>
        <v>#N/A</v>
      </c>
      <c r="Y769" t="e">
        <f ca="1">IFERROR(计算区域!AA771,NA())</f>
        <v>#N/A</v>
      </c>
    </row>
    <row r="770" spans="1:25" x14ac:dyDescent="0.2">
      <c r="A770" s="28">
        <f>计算区域!E772</f>
        <v>44316</v>
      </c>
      <c r="B770" t="e">
        <f ca="1">IFERROR(计算区域!AJ772,NA())</f>
        <v>#N/A</v>
      </c>
      <c r="C770" t="e">
        <f ca="1">IFERROR(计算区域!AK772,NA())</f>
        <v>#N/A</v>
      </c>
      <c r="D770" t="e">
        <f ca="1">IFERROR(计算区域!AL772,NA())</f>
        <v>#N/A</v>
      </c>
      <c r="E770" t="e">
        <f ca="1">IFERROR(计算区域!AM772,NA())</f>
        <v>#N/A</v>
      </c>
      <c r="G770" t="e">
        <f ca="1">IFERROR(计算区域!AD772,NA())</f>
        <v>#N/A</v>
      </c>
      <c r="H770" t="e">
        <f ca="1">IFERROR(计算区域!AE772,NA())</f>
        <v>#N/A</v>
      </c>
      <c r="I770" t="e">
        <f ca="1">IFERROR(计算区域!AF772,NA())</f>
        <v>#N/A</v>
      </c>
      <c r="J770" t="e">
        <f ca="1">IFERROR(计算区域!AG772,NA())</f>
        <v>#N/A</v>
      </c>
      <c r="L770" t="e">
        <f ca="1">IFERROR(计算区域!L772,NA())</f>
        <v>#N/A</v>
      </c>
      <c r="M770" t="e">
        <f ca="1">IFERROR(计算区域!M772,NA())</f>
        <v>#N/A</v>
      </c>
      <c r="N770" t="e">
        <f ca="1">IFERROR(计算区域!N772,NA())</f>
        <v>#N/A</v>
      </c>
      <c r="O770" t="e">
        <f ca="1">IFERROR(计算区域!O772,NA())</f>
        <v>#N/A</v>
      </c>
      <c r="Q770" t="e">
        <f ca="1">IFERROR(计算区域!R772,NA())</f>
        <v>#N/A</v>
      </c>
      <c r="R770" t="e">
        <f ca="1">IFERROR(计算区域!S772,NA())</f>
        <v>#N/A</v>
      </c>
      <c r="S770" t="e">
        <f ca="1">IFERROR(计算区域!T772,NA())</f>
        <v>#N/A</v>
      </c>
      <c r="T770" t="e">
        <f ca="1">IFERROR(计算区域!U772,NA())</f>
        <v>#N/A</v>
      </c>
      <c r="V770" t="e">
        <f ca="1">IFERROR(计算区域!X772,NA())</f>
        <v>#N/A</v>
      </c>
      <c r="W770" t="e">
        <f ca="1">IFERROR(计算区域!Y772,NA())</f>
        <v>#N/A</v>
      </c>
      <c r="X770" t="e">
        <f ca="1">IFERROR(计算区域!Z772,NA())</f>
        <v>#N/A</v>
      </c>
      <c r="Y770" t="e">
        <f ca="1">IFERROR(计算区域!AA772,NA())</f>
        <v>#N/A</v>
      </c>
    </row>
    <row r="771" spans="1:25" x14ac:dyDescent="0.2">
      <c r="A771" s="28">
        <f>计算区域!E773</f>
        <v>44315</v>
      </c>
      <c r="B771" t="e">
        <f ca="1">IFERROR(计算区域!AJ773,NA())</f>
        <v>#N/A</v>
      </c>
      <c r="C771" t="e">
        <f ca="1">IFERROR(计算区域!AK773,NA())</f>
        <v>#N/A</v>
      </c>
      <c r="D771" t="e">
        <f ca="1">IFERROR(计算区域!AL773,NA())</f>
        <v>#N/A</v>
      </c>
      <c r="E771" t="e">
        <f ca="1">IFERROR(计算区域!AM773,NA())</f>
        <v>#N/A</v>
      </c>
      <c r="G771" t="e">
        <f ca="1">IFERROR(计算区域!AD773,NA())</f>
        <v>#N/A</v>
      </c>
      <c r="H771" t="e">
        <f ca="1">IFERROR(计算区域!AE773,NA())</f>
        <v>#N/A</v>
      </c>
      <c r="I771" t="e">
        <f ca="1">IFERROR(计算区域!AF773,NA())</f>
        <v>#N/A</v>
      </c>
      <c r="J771" t="e">
        <f ca="1">IFERROR(计算区域!AG773,NA())</f>
        <v>#N/A</v>
      </c>
      <c r="L771" t="e">
        <f ca="1">IFERROR(计算区域!L773,NA())</f>
        <v>#N/A</v>
      </c>
      <c r="M771" t="e">
        <f ca="1">IFERROR(计算区域!M773,NA())</f>
        <v>#N/A</v>
      </c>
      <c r="N771" t="e">
        <f ca="1">IFERROR(计算区域!N773,NA())</f>
        <v>#N/A</v>
      </c>
      <c r="O771" t="e">
        <f ca="1">IFERROR(计算区域!O773,NA())</f>
        <v>#N/A</v>
      </c>
      <c r="Q771" t="e">
        <f ca="1">IFERROR(计算区域!R773,NA())</f>
        <v>#N/A</v>
      </c>
      <c r="R771" t="e">
        <f ca="1">IFERROR(计算区域!S773,NA())</f>
        <v>#N/A</v>
      </c>
      <c r="S771" t="e">
        <f ca="1">IFERROR(计算区域!T773,NA())</f>
        <v>#N/A</v>
      </c>
      <c r="T771" t="e">
        <f ca="1">IFERROR(计算区域!U773,NA())</f>
        <v>#N/A</v>
      </c>
      <c r="V771" t="e">
        <f ca="1">IFERROR(计算区域!X773,NA())</f>
        <v>#N/A</v>
      </c>
      <c r="W771" t="e">
        <f ca="1">IFERROR(计算区域!Y773,NA())</f>
        <v>#N/A</v>
      </c>
      <c r="X771" t="e">
        <f ca="1">IFERROR(计算区域!Z773,NA())</f>
        <v>#N/A</v>
      </c>
      <c r="Y771" t="e">
        <f ca="1">IFERROR(计算区域!AA773,NA())</f>
        <v>#N/A</v>
      </c>
    </row>
    <row r="772" spans="1:25" x14ac:dyDescent="0.2">
      <c r="A772" s="28">
        <f>计算区域!E774</f>
        <v>44314</v>
      </c>
      <c r="B772" t="e">
        <f ca="1">IFERROR(计算区域!AJ774,NA())</f>
        <v>#N/A</v>
      </c>
      <c r="C772" t="e">
        <f ca="1">IFERROR(计算区域!AK774,NA())</f>
        <v>#N/A</v>
      </c>
      <c r="D772" t="e">
        <f ca="1">IFERROR(计算区域!AL774,NA())</f>
        <v>#N/A</v>
      </c>
      <c r="E772" t="e">
        <f ca="1">IFERROR(计算区域!AM774,NA())</f>
        <v>#N/A</v>
      </c>
      <c r="G772" t="e">
        <f ca="1">IFERROR(计算区域!AD774,NA())</f>
        <v>#N/A</v>
      </c>
      <c r="H772" t="e">
        <f ca="1">IFERROR(计算区域!AE774,NA())</f>
        <v>#N/A</v>
      </c>
      <c r="I772" t="e">
        <f ca="1">IFERROR(计算区域!AF774,NA())</f>
        <v>#N/A</v>
      </c>
      <c r="J772" t="e">
        <f ca="1">IFERROR(计算区域!AG774,NA())</f>
        <v>#N/A</v>
      </c>
      <c r="L772" t="e">
        <f ca="1">IFERROR(计算区域!L774,NA())</f>
        <v>#N/A</v>
      </c>
      <c r="M772" t="e">
        <f ca="1">IFERROR(计算区域!M774,NA())</f>
        <v>#N/A</v>
      </c>
      <c r="N772" t="e">
        <f ca="1">IFERROR(计算区域!N774,NA())</f>
        <v>#N/A</v>
      </c>
      <c r="O772" t="e">
        <f ca="1">IFERROR(计算区域!O774,NA())</f>
        <v>#N/A</v>
      </c>
      <c r="Q772" t="e">
        <f ca="1">IFERROR(计算区域!R774,NA())</f>
        <v>#N/A</v>
      </c>
      <c r="R772" t="e">
        <f ca="1">IFERROR(计算区域!S774,NA())</f>
        <v>#N/A</v>
      </c>
      <c r="S772" t="e">
        <f ca="1">IFERROR(计算区域!T774,NA())</f>
        <v>#N/A</v>
      </c>
      <c r="T772" t="e">
        <f ca="1">IFERROR(计算区域!U774,NA())</f>
        <v>#N/A</v>
      </c>
      <c r="V772" t="e">
        <f ca="1">IFERROR(计算区域!X774,NA())</f>
        <v>#N/A</v>
      </c>
      <c r="W772" t="e">
        <f ca="1">IFERROR(计算区域!Y774,NA())</f>
        <v>#N/A</v>
      </c>
      <c r="X772" t="e">
        <f ca="1">IFERROR(计算区域!Z774,NA())</f>
        <v>#N/A</v>
      </c>
      <c r="Y772" t="e">
        <f ca="1">IFERROR(计算区域!AA774,NA())</f>
        <v>#N/A</v>
      </c>
    </row>
    <row r="773" spans="1:25" x14ac:dyDescent="0.2">
      <c r="A773" s="28">
        <f>计算区域!E775</f>
        <v>44313</v>
      </c>
      <c r="B773" t="e">
        <f ca="1">IFERROR(计算区域!AJ775,NA())</f>
        <v>#N/A</v>
      </c>
      <c r="C773" t="e">
        <f ca="1">IFERROR(计算区域!AK775,NA())</f>
        <v>#N/A</v>
      </c>
      <c r="D773" t="e">
        <f ca="1">IFERROR(计算区域!AL775,NA())</f>
        <v>#N/A</v>
      </c>
      <c r="E773" t="e">
        <f ca="1">IFERROR(计算区域!AM775,NA())</f>
        <v>#N/A</v>
      </c>
      <c r="G773" t="e">
        <f ca="1">IFERROR(计算区域!AD775,NA())</f>
        <v>#N/A</v>
      </c>
      <c r="H773" t="e">
        <f ca="1">IFERROR(计算区域!AE775,NA())</f>
        <v>#N/A</v>
      </c>
      <c r="I773" t="e">
        <f ca="1">IFERROR(计算区域!AF775,NA())</f>
        <v>#N/A</v>
      </c>
      <c r="J773" t="e">
        <f ca="1">IFERROR(计算区域!AG775,NA())</f>
        <v>#N/A</v>
      </c>
      <c r="L773" t="e">
        <f ca="1">IFERROR(计算区域!L775,NA())</f>
        <v>#N/A</v>
      </c>
      <c r="M773" t="e">
        <f ca="1">IFERROR(计算区域!M775,NA())</f>
        <v>#N/A</v>
      </c>
      <c r="N773" t="e">
        <f ca="1">IFERROR(计算区域!N775,NA())</f>
        <v>#N/A</v>
      </c>
      <c r="O773" t="e">
        <f ca="1">IFERROR(计算区域!O775,NA())</f>
        <v>#N/A</v>
      </c>
      <c r="Q773" t="e">
        <f ca="1">IFERROR(计算区域!R775,NA())</f>
        <v>#N/A</v>
      </c>
      <c r="R773" t="e">
        <f ca="1">IFERROR(计算区域!S775,NA())</f>
        <v>#N/A</v>
      </c>
      <c r="S773" t="e">
        <f ca="1">IFERROR(计算区域!T775,NA())</f>
        <v>#N/A</v>
      </c>
      <c r="T773" t="e">
        <f ca="1">IFERROR(计算区域!U775,NA())</f>
        <v>#N/A</v>
      </c>
      <c r="V773" t="e">
        <f ca="1">IFERROR(计算区域!X775,NA())</f>
        <v>#N/A</v>
      </c>
      <c r="W773" t="e">
        <f ca="1">IFERROR(计算区域!Y775,NA())</f>
        <v>#N/A</v>
      </c>
      <c r="X773" t="e">
        <f ca="1">IFERROR(计算区域!Z775,NA())</f>
        <v>#N/A</v>
      </c>
      <c r="Y773" t="e">
        <f ca="1">IFERROR(计算区域!AA775,NA())</f>
        <v>#N/A</v>
      </c>
    </row>
    <row r="774" spans="1:25" x14ac:dyDescent="0.2">
      <c r="A774" s="28">
        <f>计算区域!E776</f>
        <v>44312</v>
      </c>
      <c r="B774" t="e">
        <f ca="1">IFERROR(计算区域!AJ776,NA())</f>
        <v>#N/A</v>
      </c>
      <c r="C774" t="e">
        <f ca="1">IFERROR(计算区域!AK776,NA())</f>
        <v>#N/A</v>
      </c>
      <c r="D774" t="e">
        <f ca="1">IFERROR(计算区域!AL776,NA())</f>
        <v>#N/A</v>
      </c>
      <c r="E774" t="e">
        <f ca="1">IFERROR(计算区域!AM776,NA())</f>
        <v>#N/A</v>
      </c>
      <c r="G774" t="e">
        <f ca="1">IFERROR(计算区域!AD776,NA())</f>
        <v>#N/A</v>
      </c>
      <c r="H774" t="e">
        <f ca="1">IFERROR(计算区域!AE776,NA())</f>
        <v>#N/A</v>
      </c>
      <c r="I774" t="e">
        <f ca="1">IFERROR(计算区域!AF776,NA())</f>
        <v>#N/A</v>
      </c>
      <c r="J774" t="e">
        <f ca="1">IFERROR(计算区域!AG776,NA())</f>
        <v>#N/A</v>
      </c>
      <c r="L774" t="e">
        <f ca="1">IFERROR(计算区域!L776,NA())</f>
        <v>#N/A</v>
      </c>
      <c r="M774" t="e">
        <f ca="1">IFERROR(计算区域!M776,NA())</f>
        <v>#N/A</v>
      </c>
      <c r="N774" t="e">
        <f ca="1">IFERROR(计算区域!N776,NA())</f>
        <v>#N/A</v>
      </c>
      <c r="O774" t="e">
        <f ca="1">IFERROR(计算区域!O776,NA())</f>
        <v>#N/A</v>
      </c>
      <c r="Q774" t="e">
        <f ca="1">IFERROR(计算区域!R776,NA())</f>
        <v>#N/A</v>
      </c>
      <c r="R774" t="e">
        <f ca="1">IFERROR(计算区域!S776,NA())</f>
        <v>#N/A</v>
      </c>
      <c r="S774" t="e">
        <f ca="1">IFERROR(计算区域!T776,NA())</f>
        <v>#N/A</v>
      </c>
      <c r="T774" t="e">
        <f ca="1">IFERROR(计算区域!U776,NA())</f>
        <v>#N/A</v>
      </c>
      <c r="V774" t="e">
        <f ca="1">IFERROR(计算区域!X776,NA())</f>
        <v>#N/A</v>
      </c>
      <c r="W774" t="e">
        <f ca="1">IFERROR(计算区域!Y776,NA())</f>
        <v>#N/A</v>
      </c>
      <c r="X774" t="e">
        <f ca="1">IFERROR(计算区域!Z776,NA())</f>
        <v>#N/A</v>
      </c>
      <c r="Y774" t="e">
        <f ca="1">IFERROR(计算区域!AA776,NA())</f>
        <v>#N/A</v>
      </c>
    </row>
    <row r="775" spans="1:25" x14ac:dyDescent="0.2">
      <c r="A775" s="28">
        <f>计算区域!E777</f>
        <v>44309</v>
      </c>
      <c r="B775" t="e">
        <f ca="1">IFERROR(计算区域!AJ777,NA())</f>
        <v>#N/A</v>
      </c>
      <c r="C775" t="e">
        <f ca="1">IFERROR(计算区域!AK777,NA())</f>
        <v>#N/A</v>
      </c>
      <c r="D775" t="e">
        <f ca="1">IFERROR(计算区域!AL777,NA())</f>
        <v>#N/A</v>
      </c>
      <c r="E775" t="e">
        <f ca="1">IFERROR(计算区域!AM777,NA())</f>
        <v>#N/A</v>
      </c>
      <c r="G775" t="e">
        <f ca="1">IFERROR(计算区域!AD777,NA())</f>
        <v>#N/A</v>
      </c>
      <c r="H775" t="e">
        <f ca="1">IFERROR(计算区域!AE777,NA())</f>
        <v>#N/A</v>
      </c>
      <c r="I775" t="e">
        <f ca="1">IFERROR(计算区域!AF777,NA())</f>
        <v>#N/A</v>
      </c>
      <c r="J775" t="e">
        <f ca="1">IFERROR(计算区域!AG777,NA())</f>
        <v>#N/A</v>
      </c>
      <c r="L775" t="e">
        <f ca="1">IFERROR(计算区域!L777,NA())</f>
        <v>#N/A</v>
      </c>
      <c r="M775" t="e">
        <f ca="1">IFERROR(计算区域!M777,NA())</f>
        <v>#N/A</v>
      </c>
      <c r="N775" t="e">
        <f ca="1">IFERROR(计算区域!N777,NA())</f>
        <v>#N/A</v>
      </c>
      <c r="O775" t="e">
        <f ca="1">IFERROR(计算区域!O777,NA())</f>
        <v>#N/A</v>
      </c>
      <c r="Q775" t="e">
        <f ca="1">IFERROR(计算区域!R777,NA())</f>
        <v>#N/A</v>
      </c>
      <c r="R775" t="e">
        <f ca="1">IFERROR(计算区域!S777,NA())</f>
        <v>#N/A</v>
      </c>
      <c r="S775" t="e">
        <f ca="1">IFERROR(计算区域!T777,NA())</f>
        <v>#N/A</v>
      </c>
      <c r="T775" t="e">
        <f ca="1">IFERROR(计算区域!U777,NA())</f>
        <v>#N/A</v>
      </c>
      <c r="V775" t="e">
        <f ca="1">IFERROR(计算区域!X777,NA())</f>
        <v>#N/A</v>
      </c>
      <c r="W775" t="e">
        <f ca="1">IFERROR(计算区域!Y777,NA())</f>
        <v>#N/A</v>
      </c>
      <c r="X775" t="e">
        <f ca="1">IFERROR(计算区域!Z777,NA())</f>
        <v>#N/A</v>
      </c>
      <c r="Y775" t="e">
        <f ca="1">IFERROR(计算区域!AA777,NA())</f>
        <v>#N/A</v>
      </c>
    </row>
    <row r="776" spans="1:25" x14ac:dyDescent="0.2">
      <c r="A776" s="28">
        <f>计算区域!E778</f>
        <v>44308</v>
      </c>
      <c r="B776" t="e">
        <f ca="1">IFERROR(计算区域!AJ778,NA())</f>
        <v>#N/A</v>
      </c>
      <c r="C776" t="e">
        <f ca="1">IFERROR(计算区域!AK778,NA())</f>
        <v>#N/A</v>
      </c>
      <c r="D776" t="e">
        <f ca="1">IFERROR(计算区域!AL778,NA())</f>
        <v>#N/A</v>
      </c>
      <c r="E776" t="e">
        <f ca="1">IFERROR(计算区域!AM778,NA())</f>
        <v>#N/A</v>
      </c>
      <c r="G776" t="e">
        <f ca="1">IFERROR(计算区域!AD778,NA())</f>
        <v>#N/A</v>
      </c>
      <c r="H776" t="e">
        <f ca="1">IFERROR(计算区域!AE778,NA())</f>
        <v>#N/A</v>
      </c>
      <c r="I776" t="e">
        <f ca="1">IFERROR(计算区域!AF778,NA())</f>
        <v>#N/A</v>
      </c>
      <c r="J776" t="e">
        <f ca="1">IFERROR(计算区域!AG778,NA())</f>
        <v>#N/A</v>
      </c>
      <c r="L776" t="e">
        <f ca="1">IFERROR(计算区域!L778,NA())</f>
        <v>#N/A</v>
      </c>
      <c r="M776" t="e">
        <f ca="1">IFERROR(计算区域!M778,NA())</f>
        <v>#N/A</v>
      </c>
      <c r="N776" t="e">
        <f ca="1">IFERROR(计算区域!N778,NA())</f>
        <v>#N/A</v>
      </c>
      <c r="O776" t="e">
        <f ca="1">IFERROR(计算区域!O778,NA())</f>
        <v>#N/A</v>
      </c>
      <c r="Q776" t="e">
        <f ca="1">IFERROR(计算区域!R778,NA())</f>
        <v>#N/A</v>
      </c>
      <c r="R776" t="e">
        <f ca="1">IFERROR(计算区域!S778,NA())</f>
        <v>#N/A</v>
      </c>
      <c r="S776" t="e">
        <f ca="1">IFERROR(计算区域!T778,NA())</f>
        <v>#N/A</v>
      </c>
      <c r="T776" t="e">
        <f ca="1">IFERROR(计算区域!U778,NA())</f>
        <v>#N/A</v>
      </c>
      <c r="V776" t="e">
        <f ca="1">IFERROR(计算区域!X778,NA())</f>
        <v>#N/A</v>
      </c>
      <c r="W776" t="e">
        <f ca="1">IFERROR(计算区域!Y778,NA())</f>
        <v>#N/A</v>
      </c>
      <c r="X776" t="e">
        <f ca="1">IFERROR(计算区域!Z778,NA())</f>
        <v>#N/A</v>
      </c>
      <c r="Y776" t="e">
        <f ca="1">IFERROR(计算区域!AA778,NA())</f>
        <v>#N/A</v>
      </c>
    </row>
    <row r="777" spans="1:25" x14ac:dyDescent="0.2">
      <c r="A777" s="28">
        <f>计算区域!E779</f>
        <v>44307</v>
      </c>
      <c r="B777" t="e">
        <f ca="1">IFERROR(计算区域!AJ779,NA())</f>
        <v>#N/A</v>
      </c>
      <c r="C777" t="e">
        <f ca="1">IFERROR(计算区域!AK779,NA())</f>
        <v>#N/A</v>
      </c>
      <c r="D777" t="e">
        <f ca="1">IFERROR(计算区域!AL779,NA())</f>
        <v>#N/A</v>
      </c>
      <c r="E777" t="e">
        <f ca="1">IFERROR(计算区域!AM779,NA())</f>
        <v>#N/A</v>
      </c>
      <c r="G777" t="e">
        <f ca="1">IFERROR(计算区域!AD779,NA())</f>
        <v>#N/A</v>
      </c>
      <c r="H777" t="e">
        <f ca="1">IFERROR(计算区域!AE779,NA())</f>
        <v>#N/A</v>
      </c>
      <c r="I777" t="e">
        <f ca="1">IFERROR(计算区域!AF779,NA())</f>
        <v>#N/A</v>
      </c>
      <c r="J777" t="e">
        <f ca="1">IFERROR(计算区域!AG779,NA())</f>
        <v>#N/A</v>
      </c>
      <c r="L777" t="e">
        <f ca="1">IFERROR(计算区域!L779,NA())</f>
        <v>#N/A</v>
      </c>
      <c r="M777" t="e">
        <f ca="1">IFERROR(计算区域!M779,NA())</f>
        <v>#N/A</v>
      </c>
      <c r="N777" t="e">
        <f ca="1">IFERROR(计算区域!N779,NA())</f>
        <v>#N/A</v>
      </c>
      <c r="O777" t="e">
        <f ca="1">IFERROR(计算区域!O779,NA())</f>
        <v>#N/A</v>
      </c>
      <c r="Q777" t="e">
        <f ca="1">IFERROR(计算区域!R779,NA())</f>
        <v>#N/A</v>
      </c>
      <c r="R777" t="e">
        <f ca="1">IFERROR(计算区域!S779,NA())</f>
        <v>#N/A</v>
      </c>
      <c r="S777" t="e">
        <f ca="1">IFERROR(计算区域!T779,NA())</f>
        <v>#N/A</v>
      </c>
      <c r="T777" t="e">
        <f ca="1">IFERROR(计算区域!U779,NA())</f>
        <v>#N/A</v>
      </c>
      <c r="V777" t="e">
        <f ca="1">IFERROR(计算区域!X779,NA())</f>
        <v>#N/A</v>
      </c>
      <c r="W777" t="e">
        <f ca="1">IFERROR(计算区域!Y779,NA())</f>
        <v>#N/A</v>
      </c>
      <c r="X777" t="e">
        <f ca="1">IFERROR(计算区域!Z779,NA())</f>
        <v>#N/A</v>
      </c>
      <c r="Y777" t="e">
        <f ca="1">IFERROR(计算区域!AA779,NA())</f>
        <v>#N/A</v>
      </c>
    </row>
    <row r="778" spans="1:25" x14ac:dyDescent="0.2">
      <c r="A778" s="28">
        <f>计算区域!E780</f>
        <v>44306</v>
      </c>
      <c r="B778" t="e">
        <f ca="1">IFERROR(计算区域!AJ780,NA())</f>
        <v>#N/A</v>
      </c>
      <c r="C778" t="e">
        <f ca="1">IFERROR(计算区域!AK780,NA())</f>
        <v>#N/A</v>
      </c>
      <c r="D778" t="e">
        <f ca="1">IFERROR(计算区域!AL780,NA())</f>
        <v>#N/A</v>
      </c>
      <c r="E778" t="e">
        <f ca="1">IFERROR(计算区域!AM780,NA())</f>
        <v>#N/A</v>
      </c>
      <c r="G778" t="e">
        <f ca="1">IFERROR(计算区域!AD780,NA())</f>
        <v>#N/A</v>
      </c>
      <c r="H778" t="e">
        <f ca="1">IFERROR(计算区域!AE780,NA())</f>
        <v>#N/A</v>
      </c>
      <c r="I778" t="e">
        <f ca="1">IFERROR(计算区域!AF780,NA())</f>
        <v>#N/A</v>
      </c>
      <c r="J778" t="e">
        <f ca="1">IFERROR(计算区域!AG780,NA())</f>
        <v>#N/A</v>
      </c>
      <c r="L778" t="e">
        <f ca="1">IFERROR(计算区域!L780,NA())</f>
        <v>#N/A</v>
      </c>
      <c r="M778" t="e">
        <f ca="1">IFERROR(计算区域!M780,NA())</f>
        <v>#N/A</v>
      </c>
      <c r="N778" t="e">
        <f ca="1">IFERROR(计算区域!N780,NA())</f>
        <v>#N/A</v>
      </c>
      <c r="O778" t="e">
        <f ca="1">IFERROR(计算区域!O780,NA())</f>
        <v>#N/A</v>
      </c>
      <c r="Q778" t="e">
        <f ca="1">IFERROR(计算区域!R780,NA())</f>
        <v>#N/A</v>
      </c>
      <c r="R778" t="e">
        <f ca="1">IFERROR(计算区域!S780,NA())</f>
        <v>#N/A</v>
      </c>
      <c r="S778" t="e">
        <f ca="1">IFERROR(计算区域!T780,NA())</f>
        <v>#N/A</v>
      </c>
      <c r="T778" t="e">
        <f ca="1">IFERROR(计算区域!U780,NA())</f>
        <v>#N/A</v>
      </c>
      <c r="V778" t="e">
        <f ca="1">IFERROR(计算区域!X780,NA())</f>
        <v>#N/A</v>
      </c>
      <c r="W778" t="e">
        <f ca="1">IFERROR(计算区域!Y780,NA())</f>
        <v>#N/A</v>
      </c>
      <c r="X778" t="e">
        <f ca="1">IFERROR(计算区域!Z780,NA())</f>
        <v>#N/A</v>
      </c>
      <c r="Y778" t="e">
        <f ca="1">IFERROR(计算区域!AA780,NA())</f>
        <v>#N/A</v>
      </c>
    </row>
    <row r="779" spans="1:25" x14ac:dyDescent="0.2">
      <c r="A779" s="28">
        <f>计算区域!E781</f>
        <v>44305</v>
      </c>
      <c r="B779" t="e">
        <f ca="1">IFERROR(计算区域!AJ781,NA())</f>
        <v>#N/A</v>
      </c>
      <c r="C779" t="e">
        <f ca="1">IFERROR(计算区域!AK781,NA())</f>
        <v>#N/A</v>
      </c>
      <c r="D779" t="e">
        <f ca="1">IFERROR(计算区域!AL781,NA())</f>
        <v>#N/A</v>
      </c>
      <c r="E779" t="e">
        <f ca="1">IFERROR(计算区域!AM781,NA())</f>
        <v>#N/A</v>
      </c>
      <c r="G779" t="e">
        <f ca="1">IFERROR(计算区域!AD781,NA())</f>
        <v>#N/A</v>
      </c>
      <c r="H779" t="e">
        <f ca="1">IFERROR(计算区域!AE781,NA())</f>
        <v>#N/A</v>
      </c>
      <c r="I779" t="e">
        <f ca="1">IFERROR(计算区域!AF781,NA())</f>
        <v>#N/A</v>
      </c>
      <c r="J779" t="e">
        <f ca="1">IFERROR(计算区域!AG781,NA())</f>
        <v>#N/A</v>
      </c>
      <c r="L779" t="e">
        <f ca="1">IFERROR(计算区域!L781,NA())</f>
        <v>#N/A</v>
      </c>
      <c r="M779" t="e">
        <f ca="1">IFERROR(计算区域!M781,NA())</f>
        <v>#N/A</v>
      </c>
      <c r="N779" t="e">
        <f ca="1">IFERROR(计算区域!N781,NA())</f>
        <v>#N/A</v>
      </c>
      <c r="O779" t="e">
        <f ca="1">IFERROR(计算区域!O781,NA())</f>
        <v>#N/A</v>
      </c>
      <c r="Q779" t="e">
        <f ca="1">IFERROR(计算区域!R781,NA())</f>
        <v>#N/A</v>
      </c>
      <c r="R779" t="e">
        <f ca="1">IFERROR(计算区域!S781,NA())</f>
        <v>#N/A</v>
      </c>
      <c r="S779" t="e">
        <f ca="1">IFERROR(计算区域!T781,NA())</f>
        <v>#N/A</v>
      </c>
      <c r="T779" t="e">
        <f ca="1">IFERROR(计算区域!U781,NA())</f>
        <v>#N/A</v>
      </c>
      <c r="V779" t="e">
        <f ca="1">IFERROR(计算区域!X781,NA())</f>
        <v>#N/A</v>
      </c>
      <c r="W779" t="e">
        <f ca="1">IFERROR(计算区域!Y781,NA())</f>
        <v>#N/A</v>
      </c>
      <c r="X779" t="e">
        <f ca="1">IFERROR(计算区域!Z781,NA())</f>
        <v>#N/A</v>
      </c>
      <c r="Y779" t="e">
        <f ca="1">IFERROR(计算区域!AA781,NA())</f>
        <v>#N/A</v>
      </c>
    </row>
    <row r="780" spans="1:25" x14ac:dyDescent="0.2">
      <c r="A780" s="28">
        <f>计算区域!E782</f>
        <v>44302</v>
      </c>
      <c r="B780" t="e">
        <f ca="1">IFERROR(计算区域!AJ782,NA())</f>
        <v>#N/A</v>
      </c>
      <c r="C780" t="e">
        <f ca="1">IFERROR(计算区域!AK782,NA())</f>
        <v>#N/A</v>
      </c>
      <c r="D780" t="e">
        <f ca="1">IFERROR(计算区域!AL782,NA())</f>
        <v>#N/A</v>
      </c>
      <c r="E780" t="e">
        <f ca="1">IFERROR(计算区域!AM782,NA())</f>
        <v>#N/A</v>
      </c>
      <c r="G780" t="e">
        <f ca="1">IFERROR(计算区域!AD782,NA())</f>
        <v>#N/A</v>
      </c>
      <c r="H780" t="e">
        <f ca="1">IFERROR(计算区域!AE782,NA())</f>
        <v>#N/A</v>
      </c>
      <c r="I780" t="e">
        <f ca="1">IFERROR(计算区域!AF782,NA())</f>
        <v>#N/A</v>
      </c>
      <c r="J780" t="e">
        <f ca="1">IFERROR(计算区域!AG782,NA())</f>
        <v>#N/A</v>
      </c>
      <c r="L780" t="e">
        <f ca="1">IFERROR(计算区域!L782,NA())</f>
        <v>#N/A</v>
      </c>
      <c r="M780" t="e">
        <f ca="1">IFERROR(计算区域!M782,NA())</f>
        <v>#N/A</v>
      </c>
      <c r="N780" t="e">
        <f ca="1">IFERROR(计算区域!N782,NA())</f>
        <v>#N/A</v>
      </c>
      <c r="O780" t="e">
        <f ca="1">IFERROR(计算区域!O782,NA())</f>
        <v>#N/A</v>
      </c>
      <c r="Q780" t="e">
        <f ca="1">IFERROR(计算区域!R782,NA())</f>
        <v>#N/A</v>
      </c>
      <c r="R780" t="e">
        <f ca="1">IFERROR(计算区域!S782,NA())</f>
        <v>#N/A</v>
      </c>
      <c r="S780" t="e">
        <f ca="1">IFERROR(计算区域!T782,NA())</f>
        <v>#N/A</v>
      </c>
      <c r="T780" t="e">
        <f ca="1">IFERROR(计算区域!U782,NA())</f>
        <v>#N/A</v>
      </c>
      <c r="V780" t="e">
        <f ca="1">IFERROR(计算区域!X782,NA())</f>
        <v>#N/A</v>
      </c>
      <c r="W780" t="e">
        <f ca="1">IFERROR(计算区域!Y782,NA())</f>
        <v>#N/A</v>
      </c>
      <c r="X780" t="e">
        <f ca="1">IFERROR(计算区域!Z782,NA())</f>
        <v>#N/A</v>
      </c>
      <c r="Y780" t="e">
        <f ca="1">IFERROR(计算区域!AA782,NA())</f>
        <v>#N/A</v>
      </c>
    </row>
    <row r="781" spans="1:25" x14ac:dyDescent="0.2">
      <c r="A781" s="28">
        <f>计算区域!E783</f>
        <v>44301</v>
      </c>
      <c r="B781" t="e">
        <f ca="1">IFERROR(计算区域!AJ783,NA())</f>
        <v>#N/A</v>
      </c>
      <c r="C781" t="e">
        <f ca="1">IFERROR(计算区域!AK783,NA())</f>
        <v>#N/A</v>
      </c>
      <c r="D781" t="e">
        <f ca="1">IFERROR(计算区域!AL783,NA())</f>
        <v>#N/A</v>
      </c>
      <c r="E781" t="e">
        <f ca="1">IFERROR(计算区域!AM783,NA())</f>
        <v>#N/A</v>
      </c>
      <c r="G781" t="e">
        <f ca="1">IFERROR(计算区域!AD783,NA())</f>
        <v>#N/A</v>
      </c>
      <c r="H781" t="e">
        <f ca="1">IFERROR(计算区域!AE783,NA())</f>
        <v>#N/A</v>
      </c>
      <c r="I781" t="e">
        <f ca="1">IFERROR(计算区域!AF783,NA())</f>
        <v>#N/A</v>
      </c>
      <c r="J781" t="e">
        <f ca="1">IFERROR(计算区域!AG783,NA())</f>
        <v>#N/A</v>
      </c>
      <c r="L781" t="e">
        <f ca="1">IFERROR(计算区域!L783,NA())</f>
        <v>#N/A</v>
      </c>
      <c r="M781" t="e">
        <f ca="1">IFERROR(计算区域!M783,NA())</f>
        <v>#N/A</v>
      </c>
      <c r="N781" t="e">
        <f ca="1">IFERROR(计算区域!N783,NA())</f>
        <v>#N/A</v>
      </c>
      <c r="O781" t="e">
        <f ca="1">IFERROR(计算区域!O783,NA())</f>
        <v>#N/A</v>
      </c>
      <c r="Q781" t="e">
        <f ca="1">IFERROR(计算区域!R783,NA())</f>
        <v>#N/A</v>
      </c>
      <c r="R781" t="e">
        <f ca="1">IFERROR(计算区域!S783,NA())</f>
        <v>#N/A</v>
      </c>
      <c r="S781" t="e">
        <f ca="1">IFERROR(计算区域!T783,NA())</f>
        <v>#N/A</v>
      </c>
      <c r="T781" t="e">
        <f ca="1">IFERROR(计算区域!U783,NA())</f>
        <v>#N/A</v>
      </c>
      <c r="V781" t="e">
        <f ca="1">IFERROR(计算区域!X783,NA())</f>
        <v>#N/A</v>
      </c>
      <c r="W781" t="e">
        <f ca="1">IFERROR(计算区域!Y783,NA())</f>
        <v>#N/A</v>
      </c>
      <c r="X781" t="e">
        <f ca="1">IFERROR(计算区域!Z783,NA())</f>
        <v>#N/A</v>
      </c>
      <c r="Y781" t="e">
        <f ca="1">IFERROR(计算区域!AA783,NA())</f>
        <v>#N/A</v>
      </c>
    </row>
    <row r="782" spans="1:25" x14ac:dyDescent="0.2">
      <c r="A782" s="28">
        <f>计算区域!E784</f>
        <v>44300</v>
      </c>
      <c r="B782" t="e">
        <f ca="1">IFERROR(计算区域!AJ784,NA())</f>
        <v>#N/A</v>
      </c>
      <c r="C782" t="e">
        <f ca="1">IFERROR(计算区域!AK784,NA())</f>
        <v>#N/A</v>
      </c>
      <c r="D782" t="e">
        <f ca="1">IFERROR(计算区域!AL784,NA())</f>
        <v>#N/A</v>
      </c>
      <c r="E782" t="e">
        <f ca="1">IFERROR(计算区域!AM784,NA())</f>
        <v>#N/A</v>
      </c>
      <c r="G782" t="e">
        <f ca="1">IFERROR(计算区域!AD784,NA())</f>
        <v>#N/A</v>
      </c>
      <c r="H782" t="e">
        <f ca="1">IFERROR(计算区域!AE784,NA())</f>
        <v>#N/A</v>
      </c>
      <c r="I782" t="e">
        <f ca="1">IFERROR(计算区域!AF784,NA())</f>
        <v>#N/A</v>
      </c>
      <c r="J782" t="e">
        <f ca="1">IFERROR(计算区域!AG784,NA())</f>
        <v>#N/A</v>
      </c>
      <c r="L782" t="e">
        <f ca="1">IFERROR(计算区域!L784,NA())</f>
        <v>#N/A</v>
      </c>
      <c r="M782" t="e">
        <f ca="1">IFERROR(计算区域!M784,NA())</f>
        <v>#N/A</v>
      </c>
      <c r="N782" t="e">
        <f ca="1">IFERROR(计算区域!N784,NA())</f>
        <v>#N/A</v>
      </c>
      <c r="O782" t="e">
        <f ca="1">IFERROR(计算区域!O784,NA())</f>
        <v>#N/A</v>
      </c>
      <c r="Q782" t="e">
        <f ca="1">IFERROR(计算区域!R784,NA())</f>
        <v>#N/A</v>
      </c>
      <c r="R782" t="e">
        <f ca="1">IFERROR(计算区域!S784,NA())</f>
        <v>#N/A</v>
      </c>
      <c r="S782" t="e">
        <f ca="1">IFERROR(计算区域!T784,NA())</f>
        <v>#N/A</v>
      </c>
      <c r="T782" t="e">
        <f ca="1">IFERROR(计算区域!U784,NA())</f>
        <v>#N/A</v>
      </c>
      <c r="V782" t="e">
        <f ca="1">IFERROR(计算区域!X784,NA())</f>
        <v>#N/A</v>
      </c>
      <c r="W782" t="e">
        <f ca="1">IFERROR(计算区域!Y784,NA())</f>
        <v>#N/A</v>
      </c>
      <c r="X782" t="e">
        <f ca="1">IFERROR(计算区域!Z784,NA())</f>
        <v>#N/A</v>
      </c>
      <c r="Y782" t="e">
        <f ca="1">IFERROR(计算区域!AA784,NA())</f>
        <v>#N/A</v>
      </c>
    </row>
    <row r="783" spans="1:25" x14ac:dyDescent="0.2">
      <c r="A783" s="28">
        <f>计算区域!E785</f>
        <v>44299</v>
      </c>
      <c r="B783" t="e">
        <f ca="1">IFERROR(计算区域!AJ785,NA())</f>
        <v>#N/A</v>
      </c>
      <c r="C783" t="e">
        <f ca="1">IFERROR(计算区域!AK785,NA())</f>
        <v>#N/A</v>
      </c>
      <c r="D783" t="e">
        <f ca="1">IFERROR(计算区域!AL785,NA())</f>
        <v>#N/A</v>
      </c>
      <c r="E783" t="e">
        <f ca="1">IFERROR(计算区域!AM785,NA())</f>
        <v>#N/A</v>
      </c>
      <c r="G783" t="e">
        <f ca="1">IFERROR(计算区域!AD785,NA())</f>
        <v>#N/A</v>
      </c>
      <c r="H783" t="e">
        <f ca="1">IFERROR(计算区域!AE785,NA())</f>
        <v>#N/A</v>
      </c>
      <c r="I783" t="e">
        <f ca="1">IFERROR(计算区域!AF785,NA())</f>
        <v>#N/A</v>
      </c>
      <c r="J783" t="e">
        <f ca="1">IFERROR(计算区域!AG785,NA())</f>
        <v>#N/A</v>
      </c>
      <c r="L783" t="e">
        <f ca="1">IFERROR(计算区域!L785,NA())</f>
        <v>#N/A</v>
      </c>
      <c r="M783" t="e">
        <f ca="1">IFERROR(计算区域!M785,NA())</f>
        <v>#N/A</v>
      </c>
      <c r="N783" t="e">
        <f ca="1">IFERROR(计算区域!N785,NA())</f>
        <v>#N/A</v>
      </c>
      <c r="O783" t="e">
        <f ca="1">IFERROR(计算区域!O785,NA())</f>
        <v>#N/A</v>
      </c>
      <c r="Q783" t="e">
        <f ca="1">IFERROR(计算区域!R785,NA())</f>
        <v>#N/A</v>
      </c>
      <c r="R783" t="e">
        <f ca="1">IFERROR(计算区域!S785,NA())</f>
        <v>#N/A</v>
      </c>
      <c r="S783" t="e">
        <f ca="1">IFERROR(计算区域!T785,NA())</f>
        <v>#N/A</v>
      </c>
      <c r="T783" t="e">
        <f ca="1">IFERROR(计算区域!U785,NA())</f>
        <v>#N/A</v>
      </c>
      <c r="V783" t="e">
        <f ca="1">IFERROR(计算区域!X785,NA())</f>
        <v>#N/A</v>
      </c>
      <c r="W783" t="e">
        <f ca="1">IFERROR(计算区域!Y785,NA())</f>
        <v>#N/A</v>
      </c>
      <c r="X783" t="e">
        <f ca="1">IFERROR(计算区域!Z785,NA())</f>
        <v>#N/A</v>
      </c>
      <c r="Y783" t="e">
        <f ca="1">IFERROR(计算区域!AA785,NA())</f>
        <v>#N/A</v>
      </c>
    </row>
    <row r="784" spans="1:25" x14ac:dyDescent="0.2">
      <c r="A784" s="28">
        <f>计算区域!E786</f>
        <v>44298</v>
      </c>
      <c r="B784" t="e">
        <f ca="1">IFERROR(计算区域!AJ786,NA())</f>
        <v>#N/A</v>
      </c>
      <c r="C784" t="e">
        <f ca="1">IFERROR(计算区域!AK786,NA())</f>
        <v>#N/A</v>
      </c>
      <c r="D784" t="e">
        <f ca="1">IFERROR(计算区域!AL786,NA())</f>
        <v>#N/A</v>
      </c>
      <c r="E784" t="e">
        <f ca="1">IFERROR(计算区域!AM786,NA())</f>
        <v>#N/A</v>
      </c>
      <c r="G784" t="e">
        <f ca="1">IFERROR(计算区域!AD786,NA())</f>
        <v>#N/A</v>
      </c>
      <c r="H784" t="e">
        <f ca="1">IFERROR(计算区域!AE786,NA())</f>
        <v>#N/A</v>
      </c>
      <c r="I784" t="e">
        <f ca="1">IFERROR(计算区域!AF786,NA())</f>
        <v>#N/A</v>
      </c>
      <c r="J784" t="e">
        <f ca="1">IFERROR(计算区域!AG786,NA())</f>
        <v>#N/A</v>
      </c>
      <c r="L784" t="e">
        <f ca="1">IFERROR(计算区域!L786,NA())</f>
        <v>#N/A</v>
      </c>
      <c r="M784" t="e">
        <f ca="1">IFERROR(计算区域!M786,NA())</f>
        <v>#N/A</v>
      </c>
      <c r="N784" t="e">
        <f ca="1">IFERROR(计算区域!N786,NA())</f>
        <v>#N/A</v>
      </c>
      <c r="O784" t="e">
        <f ca="1">IFERROR(计算区域!O786,NA())</f>
        <v>#N/A</v>
      </c>
      <c r="Q784" t="e">
        <f ca="1">IFERROR(计算区域!R786,NA())</f>
        <v>#N/A</v>
      </c>
      <c r="R784" t="e">
        <f ca="1">IFERROR(计算区域!S786,NA())</f>
        <v>#N/A</v>
      </c>
      <c r="S784" t="e">
        <f ca="1">IFERROR(计算区域!T786,NA())</f>
        <v>#N/A</v>
      </c>
      <c r="T784" t="e">
        <f ca="1">IFERROR(计算区域!U786,NA())</f>
        <v>#N/A</v>
      </c>
      <c r="V784" t="e">
        <f ca="1">IFERROR(计算区域!X786,NA())</f>
        <v>#N/A</v>
      </c>
      <c r="W784" t="e">
        <f ca="1">IFERROR(计算区域!Y786,NA())</f>
        <v>#N/A</v>
      </c>
      <c r="X784" t="e">
        <f ca="1">IFERROR(计算区域!Z786,NA())</f>
        <v>#N/A</v>
      </c>
      <c r="Y784" t="e">
        <f ca="1">IFERROR(计算区域!AA786,NA())</f>
        <v>#N/A</v>
      </c>
    </row>
    <row r="785" spans="1:25" x14ac:dyDescent="0.2">
      <c r="A785" s="28">
        <f>计算区域!E787</f>
        <v>44295</v>
      </c>
      <c r="B785" t="e">
        <f ca="1">IFERROR(计算区域!AJ787,NA())</f>
        <v>#N/A</v>
      </c>
      <c r="C785" t="e">
        <f ca="1">IFERROR(计算区域!AK787,NA())</f>
        <v>#N/A</v>
      </c>
      <c r="D785" t="e">
        <f ca="1">IFERROR(计算区域!AL787,NA())</f>
        <v>#N/A</v>
      </c>
      <c r="E785" t="e">
        <f ca="1">IFERROR(计算区域!AM787,NA())</f>
        <v>#N/A</v>
      </c>
      <c r="G785" t="e">
        <f ca="1">IFERROR(计算区域!AD787,NA())</f>
        <v>#N/A</v>
      </c>
      <c r="H785" t="e">
        <f ca="1">IFERROR(计算区域!AE787,NA())</f>
        <v>#N/A</v>
      </c>
      <c r="I785" t="e">
        <f ca="1">IFERROR(计算区域!AF787,NA())</f>
        <v>#N/A</v>
      </c>
      <c r="J785" t="e">
        <f ca="1">IFERROR(计算区域!AG787,NA())</f>
        <v>#N/A</v>
      </c>
      <c r="L785" t="e">
        <f ca="1">IFERROR(计算区域!L787,NA())</f>
        <v>#N/A</v>
      </c>
      <c r="M785" t="e">
        <f ca="1">IFERROR(计算区域!M787,NA())</f>
        <v>#N/A</v>
      </c>
      <c r="N785" t="e">
        <f ca="1">IFERROR(计算区域!N787,NA())</f>
        <v>#N/A</v>
      </c>
      <c r="O785" t="e">
        <f ca="1">IFERROR(计算区域!O787,NA())</f>
        <v>#N/A</v>
      </c>
      <c r="Q785" t="e">
        <f ca="1">IFERROR(计算区域!R787,NA())</f>
        <v>#N/A</v>
      </c>
      <c r="R785" t="e">
        <f ca="1">IFERROR(计算区域!S787,NA())</f>
        <v>#N/A</v>
      </c>
      <c r="S785" t="e">
        <f ca="1">IFERROR(计算区域!T787,NA())</f>
        <v>#N/A</v>
      </c>
      <c r="T785" t="e">
        <f ca="1">IFERROR(计算区域!U787,NA())</f>
        <v>#N/A</v>
      </c>
      <c r="V785" t="e">
        <f ca="1">IFERROR(计算区域!X787,NA())</f>
        <v>#N/A</v>
      </c>
      <c r="W785" t="e">
        <f ca="1">IFERROR(计算区域!Y787,NA())</f>
        <v>#N/A</v>
      </c>
      <c r="X785" t="e">
        <f ca="1">IFERROR(计算区域!Z787,NA())</f>
        <v>#N/A</v>
      </c>
      <c r="Y785" t="e">
        <f ca="1">IFERROR(计算区域!AA787,NA())</f>
        <v>#N/A</v>
      </c>
    </row>
    <row r="786" spans="1:25" x14ac:dyDescent="0.2">
      <c r="A786" s="28">
        <f>计算区域!E788</f>
        <v>44294</v>
      </c>
      <c r="B786" t="e">
        <f ca="1">IFERROR(计算区域!AJ788,NA())</f>
        <v>#N/A</v>
      </c>
      <c r="C786" t="e">
        <f ca="1">IFERROR(计算区域!AK788,NA())</f>
        <v>#N/A</v>
      </c>
      <c r="D786" t="e">
        <f ca="1">IFERROR(计算区域!AL788,NA())</f>
        <v>#N/A</v>
      </c>
      <c r="E786" t="e">
        <f ca="1">IFERROR(计算区域!AM788,NA())</f>
        <v>#N/A</v>
      </c>
      <c r="G786" t="e">
        <f ca="1">IFERROR(计算区域!AD788,NA())</f>
        <v>#N/A</v>
      </c>
      <c r="H786" t="e">
        <f ca="1">IFERROR(计算区域!AE788,NA())</f>
        <v>#N/A</v>
      </c>
      <c r="I786" t="e">
        <f ca="1">IFERROR(计算区域!AF788,NA())</f>
        <v>#N/A</v>
      </c>
      <c r="J786" t="e">
        <f ca="1">IFERROR(计算区域!AG788,NA())</f>
        <v>#N/A</v>
      </c>
      <c r="L786" t="e">
        <f ca="1">IFERROR(计算区域!L788,NA())</f>
        <v>#N/A</v>
      </c>
      <c r="M786" t="e">
        <f ca="1">IFERROR(计算区域!M788,NA())</f>
        <v>#N/A</v>
      </c>
      <c r="N786" t="e">
        <f ca="1">IFERROR(计算区域!N788,NA())</f>
        <v>#N/A</v>
      </c>
      <c r="O786" t="e">
        <f ca="1">IFERROR(计算区域!O788,NA())</f>
        <v>#N/A</v>
      </c>
      <c r="Q786" t="e">
        <f ca="1">IFERROR(计算区域!R788,NA())</f>
        <v>#N/A</v>
      </c>
      <c r="R786" t="e">
        <f ca="1">IFERROR(计算区域!S788,NA())</f>
        <v>#N/A</v>
      </c>
      <c r="S786" t="e">
        <f ca="1">IFERROR(计算区域!T788,NA())</f>
        <v>#N/A</v>
      </c>
      <c r="T786" t="e">
        <f ca="1">IFERROR(计算区域!U788,NA())</f>
        <v>#N/A</v>
      </c>
      <c r="V786" t="e">
        <f ca="1">IFERROR(计算区域!X788,NA())</f>
        <v>#N/A</v>
      </c>
      <c r="W786" t="e">
        <f ca="1">IFERROR(计算区域!Y788,NA())</f>
        <v>#N/A</v>
      </c>
      <c r="X786" t="e">
        <f ca="1">IFERROR(计算区域!Z788,NA())</f>
        <v>#N/A</v>
      </c>
      <c r="Y786" t="e">
        <f ca="1">IFERROR(计算区域!AA788,NA())</f>
        <v>#N/A</v>
      </c>
    </row>
    <row r="787" spans="1:25" x14ac:dyDescent="0.2">
      <c r="A787" s="28">
        <f>计算区域!E789</f>
        <v>44293</v>
      </c>
      <c r="B787" t="e">
        <f ca="1">IFERROR(计算区域!AJ789,NA())</f>
        <v>#N/A</v>
      </c>
      <c r="C787" t="e">
        <f ca="1">IFERROR(计算区域!AK789,NA())</f>
        <v>#N/A</v>
      </c>
      <c r="D787" t="e">
        <f ca="1">IFERROR(计算区域!AL789,NA())</f>
        <v>#N/A</v>
      </c>
      <c r="E787" t="e">
        <f ca="1">IFERROR(计算区域!AM789,NA())</f>
        <v>#N/A</v>
      </c>
      <c r="G787" t="e">
        <f ca="1">IFERROR(计算区域!AD789,NA())</f>
        <v>#N/A</v>
      </c>
      <c r="H787" t="e">
        <f ca="1">IFERROR(计算区域!AE789,NA())</f>
        <v>#N/A</v>
      </c>
      <c r="I787" t="e">
        <f ca="1">IFERROR(计算区域!AF789,NA())</f>
        <v>#N/A</v>
      </c>
      <c r="J787" t="e">
        <f ca="1">IFERROR(计算区域!AG789,NA())</f>
        <v>#N/A</v>
      </c>
      <c r="L787" t="e">
        <f ca="1">IFERROR(计算区域!L789,NA())</f>
        <v>#N/A</v>
      </c>
      <c r="M787" t="e">
        <f ca="1">IFERROR(计算区域!M789,NA())</f>
        <v>#N/A</v>
      </c>
      <c r="N787" t="e">
        <f ca="1">IFERROR(计算区域!N789,NA())</f>
        <v>#N/A</v>
      </c>
      <c r="O787" t="e">
        <f ca="1">IFERROR(计算区域!O789,NA())</f>
        <v>#N/A</v>
      </c>
      <c r="Q787" t="e">
        <f ca="1">IFERROR(计算区域!R789,NA())</f>
        <v>#N/A</v>
      </c>
      <c r="R787" t="e">
        <f ca="1">IFERROR(计算区域!S789,NA())</f>
        <v>#N/A</v>
      </c>
      <c r="S787" t="e">
        <f ca="1">IFERROR(计算区域!T789,NA())</f>
        <v>#N/A</v>
      </c>
      <c r="T787" t="e">
        <f ca="1">IFERROR(计算区域!U789,NA())</f>
        <v>#N/A</v>
      </c>
      <c r="V787" t="e">
        <f ca="1">IFERROR(计算区域!X789,NA())</f>
        <v>#N/A</v>
      </c>
      <c r="W787" t="e">
        <f ca="1">IFERROR(计算区域!Y789,NA())</f>
        <v>#N/A</v>
      </c>
      <c r="X787" t="e">
        <f ca="1">IFERROR(计算区域!Z789,NA())</f>
        <v>#N/A</v>
      </c>
      <c r="Y787" t="e">
        <f ca="1">IFERROR(计算区域!AA789,NA())</f>
        <v>#N/A</v>
      </c>
    </row>
    <row r="788" spans="1:25" x14ac:dyDescent="0.2">
      <c r="A788" s="28">
        <f>计算区域!E790</f>
        <v>44292</v>
      </c>
      <c r="B788" t="e">
        <f ca="1">IFERROR(计算区域!AJ790,NA())</f>
        <v>#N/A</v>
      </c>
      <c r="C788" t="e">
        <f ca="1">IFERROR(计算区域!AK790,NA())</f>
        <v>#N/A</v>
      </c>
      <c r="D788" t="e">
        <f ca="1">IFERROR(计算区域!AL790,NA())</f>
        <v>#N/A</v>
      </c>
      <c r="E788" t="e">
        <f ca="1">IFERROR(计算区域!AM790,NA())</f>
        <v>#N/A</v>
      </c>
      <c r="G788" t="e">
        <f ca="1">IFERROR(计算区域!AD790,NA())</f>
        <v>#N/A</v>
      </c>
      <c r="H788" t="e">
        <f ca="1">IFERROR(计算区域!AE790,NA())</f>
        <v>#N/A</v>
      </c>
      <c r="I788" t="e">
        <f ca="1">IFERROR(计算区域!AF790,NA())</f>
        <v>#N/A</v>
      </c>
      <c r="J788" t="e">
        <f ca="1">IFERROR(计算区域!AG790,NA())</f>
        <v>#N/A</v>
      </c>
      <c r="L788" t="e">
        <f ca="1">IFERROR(计算区域!L790,NA())</f>
        <v>#N/A</v>
      </c>
      <c r="M788" t="e">
        <f ca="1">IFERROR(计算区域!M790,NA())</f>
        <v>#N/A</v>
      </c>
      <c r="N788" t="e">
        <f ca="1">IFERROR(计算区域!N790,NA())</f>
        <v>#N/A</v>
      </c>
      <c r="O788" t="e">
        <f ca="1">IFERROR(计算区域!O790,NA())</f>
        <v>#N/A</v>
      </c>
      <c r="Q788" t="e">
        <f ca="1">IFERROR(计算区域!R790,NA())</f>
        <v>#N/A</v>
      </c>
      <c r="R788" t="e">
        <f ca="1">IFERROR(计算区域!S790,NA())</f>
        <v>#N/A</v>
      </c>
      <c r="S788" t="e">
        <f ca="1">IFERROR(计算区域!T790,NA())</f>
        <v>#N/A</v>
      </c>
      <c r="T788" t="e">
        <f ca="1">IFERROR(计算区域!U790,NA())</f>
        <v>#N/A</v>
      </c>
      <c r="V788" t="e">
        <f ca="1">IFERROR(计算区域!X790,NA())</f>
        <v>#N/A</v>
      </c>
      <c r="W788" t="e">
        <f ca="1">IFERROR(计算区域!Y790,NA())</f>
        <v>#N/A</v>
      </c>
      <c r="X788" t="e">
        <f ca="1">IFERROR(计算区域!Z790,NA())</f>
        <v>#N/A</v>
      </c>
      <c r="Y788" t="e">
        <f ca="1">IFERROR(计算区域!AA790,NA())</f>
        <v>#N/A</v>
      </c>
    </row>
    <row r="789" spans="1:25" x14ac:dyDescent="0.2">
      <c r="A789" s="28">
        <f>计算区域!E791</f>
        <v>44288</v>
      </c>
      <c r="B789" t="e">
        <f ca="1">IFERROR(计算区域!AJ791,NA())</f>
        <v>#N/A</v>
      </c>
      <c r="C789" t="e">
        <f ca="1">IFERROR(计算区域!AK791,NA())</f>
        <v>#N/A</v>
      </c>
      <c r="D789" t="e">
        <f ca="1">IFERROR(计算区域!AL791,NA())</f>
        <v>#N/A</v>
      </c>
      <c r="E789" t="e">
        <f ca="1">IFERROR(计算区域!AM791,NA())</f>
        <v>#N/A</v>
      </c>
      <c r="G789" t="e">
        <f ca="1">IFERROR(计算区域!AD791,NA())</f>
        <v>#N/A</v>
      </c>
      <c r="H789" t="e">
        <f ca="1">IFERROR(计算区域!AE791,NA())</f>
        <v>#N/A</v>
      </c>
      <c r="I789" t="e">
        <f ca="1">IFERROR(计算区域!AF791,NA())</f>
        <v>#N/A</v>
      </c>
      <c r="J789" t="e">
        <f ca="1">IFERROR(计算区域!AG791,NA())</f>
        <v>#N/A</v>
      </c>
      <c r="L789" t="e">
        <f ca="1">IFERROR(计算区域!L791,NA())</f>
        <v>#N/A</v>
      </c>
      <c r="M789" t="e">
        <f ca="1">IFERROR(计算区域!M791,NA())</f>
        <v>#N/A</v>
      </c>
      <c r="N789" t="e">
        <f ca="1">IFERROR(计算区域!N791,NA())</f>
        <v>#N/A</v>
      </c>
      <c r="O789" t="e">
        <f ca="1">IFERROR(计算区域!O791,NA())</f>
        <v>#N/A</v>
      </c>
      <c r="Q789" t="e">
        <f ca="1">IFERROR(计算区域!R791,NA())</f>
        <v>#N/A</v>
      </c>
      <c r="R789" t="e">
        <f ca="1">IFERROR(计算区域!S791,NA())</f>
        <v>#N/A</v>
      </c>
      <c r="S789" t="e">
        <f ca="1">IFERROR(计算区域!T791,NA())</f>
        <v>#N/A</v>
      </c>
      <c r="T789" t="e">
        <f ca="1">IFERROR(计算区域!U791,NA())</f>
        <v>#N/A</v>
      </c>
      <c r="V789" t="e">
        <f ca="1">IFERROR(计算区域!X791,NA())</f>
        <v>#N/A</v>
      </c>
      <c r="W789" t="e">
        <f ca="1">IFERROR(计算区域!Y791,NA())</f>
        <v>#N/A</v>
      </c>
      <c r="X789" t="e">
        <f ca="1">IFERROR(计算区域!Z791,NA())</f>
        <v>#N/A</v>
      </c>
      <c r="Y789" t="e">
        <f ca="1">IFERROR(计算区域!AA791,NA())</f>
        <v>#N/A</v>
      </c>
    </row>
    <row r="790" spans="1:25" x14ac:dyDescent="0.2">
      <c r="A790" s="28">
        <f>计算区域!E792</f>
        <v>44287</v>
      </c>
      <c r="B790" t="e">
        <f ca="1">IFERROR(计算区域!AJ792,NA())</f>
        <v>#N/A</v>
      </c>
      <c r="C790" t="e">
        <f ca="1">IFERROR(计算区域!AK792,NA())</f>
        <v>#N/A</v>
      </c>
      <c r="D790" t="e">
        <f ca="1">IFERROR(计算区域!AL792,NA())</f>
        <v>#N/A</v>
      </c>
      <c r="E790" t="e">
        <f ca="1">IFERROR(计算区域!AM792,NA())</f>
        <v>#N/A</v>
      </c>
      <c r="G790" t="e">
        <f ca="1">IFERROR(计算区域!AD792,NA())</f>
        <v>#N/A</v>
      </c>
      <c r="H790" t="e">
        <f ca="1">IFERROR(计算区域!AE792,NA())</f>
        <v>#N/A</v>
      </c>
      <c r="I790" t="e">
        <f ca="1">IFERROR(计算区域!AF792,NA())</f>
        <v>#N/A</v>
      </c>
      <c r="J790" t="e">
        <f ca="1">IFERROR(计算区域!AG792,NA())</f>
        <v>#N/A</v>
      </c>
      <c r="L790" t="e">
        <f ca="1">IFERROR(计算区域!L792,NA())</f>
        <v>#N/A</v>
      </c>
      <c r="M790" t="e">
        <f ca="1">IFERROR(计算区域!M792,NA())</f>
        <v>#N/A</v>
      </c>
      <c r="N790" t="e">
        <f ca="1">IFERROR(计算区域!N792,NA())</f>
        <v>#N/A</v>
      </c>
      <c r="O790" t="e">
        <f ca="1">IFERROR(计算区域!O792,NA())</f>
        <v>#N/A</v>
      </c>
      <c r="Q790" t="e">
        <f ca="1">IFERROR(计算区域!R792,NA())</f>
        <v>#N/A</v>
      </c>
      <c r="R790" t="e">
        <f ca="1">IFERROR(计算区域!S792,NA())</f>
        <v>#N/A</v>
      </c>
      <c r="S790" t="e">
        <f ca="1">IFERROR(计算区域!T792,NA())</f>
        <v>#N/A</v>
      </c>
      <c r="T790" t="e">
        <f ca="1">IFERROR(计算区域!U792,NA())</f>
        <v>#N/A</v>
      </c>
      <c r="V790" t="e">
        <f ca="1">IFERROR(计算区域!X792,NA())</f>
        <v>#N/A</v>
      </c>
      <c r="W790" t="e">
        <f ca="1">IFERROR(计算区域!Y792,NA())</f>
        <v>#N/A</v>
      </c>
      <c r="X790" t="e">
        <f ca="1">IFERROR(计算区域!Z792,NA())</f>
        <v>#N/A</v>
      </c>
      <c r="Y790" t="e">
        <f ca="1">IFERROR(计算区域!AA792,NA())</f>
        <v>#N/A</v>
      </c>
    </row>
    <row r="791" spans="1:25" x14ac:dyDescent="0.2">
      <c r="A791" s="28">
        <f>计算区域!E793</f>
        <v>44286</v>
      </c>
      <c r="B791" t="e">
        <f ca="1">IFERROR(计算区域!AJ793,NA())</f>
        <v>#N/A</v>
      </c>
      <c r="C791" t="e">
        <f ca="1">IFERROR(计算区域!AK793,NA())</f>
        <v>#N/A</v>
      </c>
      <c r="D791" t="e">
        <f ca="1">IFERROR(计算区域!AL793,NA())</f>
        <v>#N/A</v>
      </c>
      <c r="E791" t="e">
        <f ca="1">IFERROR(计算区域!AM793,NA())</f>
        <v>#N/A</v>
      </c>
      <c r="G791" t="e">
        <f ca="1">IFERROR(计算区域!AD793,NA())</f>
        <v>#N/A</v>
      </c>
      <c r="H791" t="e">
        <f ca="1">IFERROR(计算区域!AE793,NA())</f>
        <v>#N/A</v>
      </c>
      <c r="I791" t="e">
        <f ca="1">IFERROR(计算区域!AF793,NA())</f>
        <v>#N/A</v>
      </c>
      <c r="J791" t="e">
        <f ca="1">IFERROR(计算区域!AG793,NA())</f>
        <v>#N/A</v>
      </c>
      <c r="L791" t="e">
        <f ca="1">IFERROR(计算区域!L793,NA())</f>
        <v>#N/A</v>
      </c>
      <c r="M791" t="e">
        <f ca="1">IFERROR(计算区域!M793,NA())</f>
        <v>#N/A</v>
      </c>
      <c r="N791" t="e">
        <f ca="1">IFERROR(计算区域!N793,NA())</f>
        <v>#N/A</v>
      </c>
      <c r="O791" t="e">
        <f ca="1">IFERROR(计算区域!O793,NA())</f>
        <v>#N/A</v>
      </c>
      <c r="Q791" t="e">
        <f ca="1">IFERROR(计算区域!R793,NA())</f>
        <v>#N/A</v>
      </c>
      <c r="R791" t="e">
        <f ca="1">IFERROR(计算区域!S793,NA())</f>
        <v>#N/A</v>
      </c>
      <c r="S791" t="e">
        <f ca="1">IFERROR(计算区域!T793,NA())</f>
        <v>#N/A</v>
      </c>
      <c r="T791" t="e">
        <f ca="1">IFERROR(计算区域!U793,NA())</f>
        <v>#N/A</v>
      </c>
      <c r="V791" t="e">
        <f ca="1">IFERROR(计算区域!X793,NA())</f>
        <v>#N/A</v>
      </c>
      <c r="W791" t="e">
        <f ca="1">IFERROR(计算区域!Y793,NA())</f>
        <v>#N/A</v>
      </c>
      <c r="X791" t="e">
        <f ca="1">IFERROR(计算区域!Z793,NA())</f>
        <v>#N/A</v>
      </c>
      <c r="Y791" t="e">
        <f ca="1">IFERROR(计算区域!AA793,NA())</f>
        <v>#N/A</v>
      </c>
    </row>
    <row r="792" spans="1:25" x14ac:dyDescent="0.2">
      <c r="A792" s="28">
        <f>计算区域!E794</f>
        <v>44285</v>
      </c>
      <c r="B792" t="e">
        <f ca="1">IFERROR(计算区域!AJ794,NA())</f>
        <v>#N/A</v>
      </c>
      <c r="C792" t="e">
        <f ca="1">IFERROR(计算区域!AK794,NA())</f>
        <v>#N/A</v>
      </c>
      <c r="D792" t="e">
        <f ca="1">IFERROR(计算区域!AL794,NA())</f>
        <v>#N/A</v>
      </c>
      <c r="E792" t="e">
        <f ca="1">IFERROR(计算区域!AM794,NA())</f>
        <v>#N/A</v>
      </c>
      <c r="G792" t="e">
        <f ca="1">IFERROR(计算区域!AD794,NA())</f>
        <v>#N/A</v>
      </c>
      <c r="H792" t="e">
        <f ca="1">IFERROR(计算区域!AE794,NA())</f>
        <v>#N/A</v>
      </c>
      <c r="I792" t="e">
        <f ca="1">IFERROR(计算区域!AF794,NA())</f>
        <v>#N/A</v>
      </c>
      <c r="J792" t="e">
        <f ca="1">IFERROR(计算区域!AG794,NA())</f>
        <v>#N/A</v>
      </c>
      <c r="L792" t="e">
        <f ca="1">IFERROR(计算区域!L794,NA())</f>
        <v>#N/A</v>
      </c>
      <c r="M792" t="e">
        <f ca="1">IFERROR(计算区域!M794,NA())</f>
        <v>#N/A</v>
      </c>
      <c r="N792" t="e">
        <f ca="1">IFERROR(计算区域!N794,NA())</f>
        <v>#N/A</v>
      </c>
      <c r="O792" t="e">
        <f ca="1">IFERROR(计算区域!O794,NA())</f>
        <v>#N/A</v>
      </c>
      <c r="Q792" t="e">
        <f ca="1">IFERROR(计算区域!R794,NA())</f>
        <v>#N/A</v>
      </c>
      <c r="R792" t="e">
        <f ca="1">IFERROR(计算区域!S794,NA())</f>
        <v>#N/A</v>
      </c>
      <c r="S792" t="e">
        <f ca="1">IFERROR(计算区域!T794,NA())</f>
        <v>#N/A</v>
      </c>
      <c r="T792" t="e">
        <f ca="1">IFERROR(计算区域!U794,NA())</f>
        <v>#N/A</v>
      </c>
      <c r="V792" t="e">
        <f ca="1">IFERROR(计算区域!X794,NA())</f>
        <v>#N/A</v>
      </c>
      <c r="W792" t="e">
        <f ca="1">IFERROR(计算区域!Y794,NA())</f>
        <v>#N/A</v>
      </c>
      <c r="X792" t="e">
        <f ca="1">IFERROR(计算区域!Z794,NA())</f>
        <v>#N/A</v>
      </c>
      <c r="Y792" t="e">
        <f ca="1">IFERROR(计算区域!AA794,NA())</f>
        <v>#N/A</v>
      </c>
    </row>
    <row r="793" spans="1:25" x14ac:dyDescent="0.2">
      <c r="A793" s="28">
        <f>计算区域!E795</f>
        <v>44284</v>
      </c>
      <c r="B793" t="e">
        <f ca="1">IFERROR(计算区域!AJ795,NA())</f>
        <v>#N/A</v>
      </c>
      <c r="C793" t="e">
        <f ca="1">IFERROR(计算区域!AK795,NA())</f>
        <v>#N/A</v>
      </c>
      <c r="D793" t="e">
        <f ca="1">IFERROR(计算区域!AL795,NA())</f>
        <v>#N/A</v>
      </c>
      <c r="E793" t="e">
        <f ca="1">IFERROR(计算区域!AM795,NA())</f>
        <v>#N/A</v>
      </c>
      <c r="G793" t="e">
        <f ca="1">IFERROR(计算区域!AD795,NA())</f>
        <v>#N/A</v>
      </c>
      <c r="H793" t="e">
        <f ca="1">IFERROR(计算区域!AE795,NA())</f>
        <v>#N/A</v>
      </c>
      <c r="I793" t="e">
        <f ca="1">IFERROR(计算区域!AF795,NA())</f>
        <v>#N/A</v>
      </c>
      <c r="J793" t="e">
        <f ca="1">IFERROR(计算区域!AG795,NA())</f>
        <v>#N/A</v>
      </c>
      <c r="L793" t="e">
        <f ca="1">IFERROR(计算区域!L795,NA())</f>
        <v>#N/A</v>
      </c>
      <c r="M793" t="e">
        <f ca="1">IFERROR(计算区域!M795,NA())</f>
        <v>#N/A</v>
      </c>
      <c r="N793" t="e">
        <f ca="1">IFERROR(计算区域!N795,NA())</f>
        <v>#N/A</v>
      </c>
      <c r="O793" t="e">
        <f ca="1">IFERROR(计算区域!O795,NA())</f>
        <v>#N/A</v>
      </c>
      <c r="Q793" t="e">
        <f ca="1">IFERROR(计算区域!R795,NA())</f>
        <v>#N/A</v>
      </c>
      <c r="R793" t="e">
        <f ca="1">IFERROR(计算区域!S795,NA())</f>
        <v>#N/A</v>
      </c>
      <c r="S793" t="e">
        <f ca="1">IFERROR(计算区域!T795,NA())</f>
        <v>#N/A</v>
      </c>
      <c r="T793" t="e">
        <f ca="1">IFERROR(计算区域!U795,NA())</f>
        <v>#N/A</v>
      </c>
      <c r="V793" t="e">
        <f ca="1">IFERROR(计算区域!X795,NA())</f>
        <v>#N/A</v>
      </c>
      <c r="W793" t="e">
        <f ca="1">IFERROR(计算区域!Y795,NA())</f>
        <v>#N/A</v>
      </c>
      <c r="X793" t="e">
        <f ca="1">IFERROR(计算区域!Z795,NA())</f>
        <v>#N/A</v>
      </c>
      <c r="Y793" t="e">
        <f ca="1">IFERROR(计算区域!AA795,NA())</f>
        <v>#N/A</v>
      </c>
    </row>
    <row r="794" spans="1:25" x14ac:dyDescent="0.2">
      <c r="A794" s="28">
        <f>计算区域!E796</f>
        <v>44281</v>
      </c>
      <c r="B794" t="e">
        <f ca="1">IFERROR(计算区域!AJ796,NA())</f>
        <v>#N/A</v>
      </c>
      <c r="C794" t="e">
        <f ca="1">IFERROR(计算区域!AK796,NA())</f>
        <v>#N/A</v>
      </c>
      <c r="D794" t="e">
        <f ca="1">IFERROR(计算区域!AL796,NA())</f>
        <v>#N/A</v>
      </c>
      <c r="E794" t="e">
        <f ca="1">IFERROR(计算区域!AM796,NA())</f>
        <v>#N/A</v>
      </c>
      <c r="G794" t="e">
        <f ca="1">IFERROR(计算区域!AD796,NA())</f>
        <v>#N/A</v>
      </c>
      <c r="H794" t="e">
        <f ca="1">IFERROR(计算区域!AE796,NA())</f>
        <v>#N/A</v>
      </c>
      <c r="I794" t="e">
        <f ca="1">IFERROR(计算区域!AF796,NA())</f>
        <v>#N/A</v>
      </c>
      <c r="J794" t="e">
        <f ca="1">IFERROR(计算区域!AG796,NA())</f>
        <v>#N/A</v>
      </c>
      <c r="L794" t="e">
        <f ca="1">IFERROR(计算区域!L796,NA())</f>
        <v>#N/A</v>
      </c>
      <c r="M794" t="e">
        <f ca="1">IFERROR(计算区域!M796,NA())</f>
        <v>#N/A</v>
      </c>
      <c r="N794" t="e">
        <f ca="1">IFERROR(计算区域!N796,NA())</f>
        <v>#N/A</v>
      </c>
      <c r="O794" t="e">
        <f ca="1">IFERROR(计算区域!O796,NA())</f>
        <v>#N/A</v>
      </c>
      <c r="Q794" t="e">
        <f ca="1">IFERROR(计算区域!R796,NA())</f>
        <v>#N/A</v>
      </c>
      <c r="R794" t="e">
        <f ca="1">IFERROR(计算区域!S796,NA())</f>
        <v>#N/A</v>
      </c>
      <c r="S794" t="e">
        <f ca="1">IFERROR(计算区域!T796,NA())</f>
        <v>#N/A</v>
      </c>
      <c r="T794" t="e">
        <f ca="1">IFERROR(计算区域!U796,NA())</f>
        <v>#N/A</v>
      </c>
      <c r="V794" t="e">
        <f ca="1">IFERROR(计算区域!X796,NA())</f>
        <v>#N/A</v>
      </c>
      <c r="W794" t="e">
        <f ca="1">IFERROR(计算区域!Y796,NA())</f>
        <v>#N/A</v>
      </c>
      <c r="X794" t="e">
        <f ca="1">IFERROR(计算区域!Z796,NA())</f>
        <v>#N/A</v>
      </c>
      <c r="Y794" t="e">
        <f ca="1">IFERROR(计算区域!AA796,NA())</f>
        <v>#N/A</v>
      </c>
    </row>
    <row r="795" spans="1:25" x14ac:dyDescent="0.2">
      <c r="A795" s="28">
        <f>计算区域!E797</f>
        <v>44280</v>
      </c>
      <c r="B795" t="e">
        <f ca="1">IFERROR(计算区域!AJ797,NA())</f>
        <v>#N/A</v>
      </c>
      <c r="C795" t="e">
        <f ca="1">IFERROR(计算区域!AK797,NA())</f>
        <v>#N/A</v>
      </c>
      <c r="D795" t="e">
        <f ca="1">IFERROR(计算区域!AL797,NA())</f>
        <v>#N/A</v>
      </c>
      <c r="E795" t="e">
        <f ca="1">IFERROR(计算区域!AM797,NA())</f>
        <v>#N/A</v>
      </c>
      <c r="G795" t="e">
        <f ca="1">IFERROR(计算区域!AD797,NA())</f>
        <v>#N/A</v>
      </c>
      <c r="H795" t="e">
        <f ca="1">IFERROR(计算区域!AE797,NA())</f>
        <v>#N/A</v>
      </c>
      <c r="I795" t="e">
        <f ca="1">IFERROR(计算区域!AF797,NA())</f>
        <v>#N/A</v>
      </c>
      <c r="J795" t="e">
        <f ca="1">IFERROR(计算区域!AG797,NA())</f>
        <v>#N/A</v>
      </c>
      <c r="L795" t="e">
        <f ca="1">IFERROR(计算区域!L797,NA())</f>
        <v>#N/A</v>
      </c>
      <c r="M795" t="e">
        <f ca="1">IFERROR(计算区域!M797,NA())</f>
        <v>#N/A</v>
      </c>
      <c r="N795" t="e">
        <f ca="1">IFERROR(计算区域!N797,NA())</f>
        <v>#N/A</v>
      </c>
      <c r="O795" t="e">
        <f ca="1">IFERROR(计算区域!O797,NA())</f>
        <v>#N/A</v>
      </c>
      <c r="Q795" t="e">
        <f ca="1">IFERROR(计算区域!R797,NA())</f>
        <v>#N/A</v>
      </c>
      <c r="R795" t="e">
        <f ca="1">IFERROR(计算区域!S797,NA())</f>
        <v>#N/A</v>
      </c>
      <c r="S795" t="e">
        <f ca="1">IFERROR(计算区域!T797,NA())</f>
        <v>#N/A</v>
      </c>
      <c r="T795" t="e">
        <f ca="1">IFERROR(计算区域!U797,NA())</f>
        <v>#N/A</v>
      </c>
      <c r="V795" t="e">
        <f ca="1">IFERROR(计算区域!X797,NA())</f>
        <v>#N/A</v>
      </c>
      <c r="W795" t="e">
        <f ca="1">IFERROR(计算区域!Y797,NA())</f>
        <v>#N/A</v>
      </c>
      <c r="X795" t="e">
        <f ca="1">IFERROR(计算区域!Z797,NA())</f>
        <v>#N/A</v>
      </c>
      <c r="Y795" t="e">
        <f ca="1">IFERROR(计算区域!AA797,NA())</f>
        <v>#N/A</v>
      </c>
    </row>
    <row r="796" spans="1:25" x14ac:dyDescent="0.2">
      <c r="A796" s="28">
        <f>计算区域!E798</f>
        <v>44279</v>
      </c>
      <c r="B796" t="e">
        <f ca="1">IFERROR(计算区域!AJ798,NA())</f>
        <v>#N/A</v>
      </c>
      <c r="C796" t="e">
        <f ca="1">IFERROR(计算区域!AK798,NA())</f>
        <v>#N/A</v>
      </c>
      <c r="D796" t="e">
        <f ca="1">IFERROR(计算区域!AL798,NA())</f>
        <v>#N/A</v>
      </c>
      <c r="E796" t="e">
        <f ca="1">IFERROR(计算区域!AM798,NA())</f>
        <v>#N/A</v>
      </c>
      <c r="G796" t="e">
        <f ca="1">IFERROR(计算区域!AD798,NA())</f>
        <v>#N/A</v>
      </c>
      <c r="H796" t="e">
        <f ca="1">IFERROR(计算区域!AE798,NA())</f>
        <v>#N/A</v>
      </c>
      <c r="I796" t="e">
        <f ca="1">IFERROR(计算区域!AF798,NA())</f>
        <v>#N/A</v>
      </c>
      <c r="J796" t="e">
        <f ca="1">IFERROR(计算区域!AG798,NA())</f>
        <v>#N/A</v>
      </c>
      <c r="L796" t="e">
        <f ca="1">IFERROR(计算区域!L798,NA())</f>
        <v>#N/A</v>
      </c>
      <c r="M796" t="e">
        <f ca="1">IFERROR(计算区域!M798,NA())</f>
        <v>#N/A</v>
      </c>
      <c r="N796" t="e">
        <f ca="1">IFERROR(计算区域!N798,NA())</f>
        <v>#N/A</v>
      </c>
      <c r="O796" t="e">
        <f ca="1">IFERROR(计算区域!O798,NA())</f>
        <v>#N/A</v>
      </c>
      <c r="Q796" t="e">
        <f ca="1">IFERROR(计算区域!R798,NA())</f>
        <v>#N/A</v>
      </c>
      <c r="R796" t="e">
        <f ca="1">IFERROR(计算区域!S798,NA())</f>
        <v>#N/A</v>
      </c>
      <c r="S796" t="e">
        <f ca="1">IFERROR(计算区域!T798,NA())</f>
        <v>#N/A</v>
      </c>
      <c r="T796" t="e">
        <f ca="1">IFERROR(计算区域!U798,NA())</f>
        <v>#N/A</v>
      </c>
      <c r="V796" t="e">
        <f ca="1">IFERROR(计算区域!X798,NA())</f>
        <v>#N/A</v>
      </c>
      <c r="W796" t="e">
        <f ca="1">IFERROR(计算区域!Y798,NA())</f>
        <v>#N/A</v>
      </c>
      <c r="X796" t="e">
        <f ca="1">IFERROR(计算区域!Z798,NA())</f>
        <v>#N/A</v>
      </c>
      <c r="Y796" t="e">
        <f ca="1">IFERROR(计算区域!AA798,NA())</f>
        <v>#N/A</v>
      </c>
    </row>
    <row r="797" spans="1:25" x14ac:dyDescent="0.2">
      <c r="A797" s="28">
        <f>计算区域!E799</f>
        <v>44278</v>
      </c>
      <c r="B797" t="e">
        <f ca="1">IFERROR(计算区域!AJ799,NA())</f>
        <v>#N/A</v>
      </c>
      <c r="C797" t="e">
        <f ca="1">IFERROR(计算区域!AK799,NA())</f>
        <v>#N/A</v>
      </c>
      <c r="D797" t="e">
        <f ca="1">IFERROR(计算区域!AL799,NA())</f>
        <v>#N/A</v>
      </c>
      <c r="E797" t="e">
        <f ca="1">IFERROR(计算区域!AM799,NA())</f>
        <v>#N/A</v>
      </c>
      <c r="G797" t="e">
        <f ca="1">IFERROR(计算区域!AD799,NA())</f>
        <v>#N/A</v>
      </c>
      <c r="H797" t="e">
        <f ca="1">IFERROR(计算区域!AE799,NA())</f>
        <v>#N/A</v>
      </c>
      <c r="I797" t="e">
        <f ca="1">IFERROR(计算区域!AF799,NA())</f>
        <v>#N/A</v>
      </c>
      <c r="J797" t="e">
        <f ca="1">IFERROR(计算区域!AG799,NA())</f>
        <v>#N/A</v>
      </c>
      <c r="L797" t="e">
        <f ca="1">IFERROR(计算区域!L799,NA())</f>
        <v>#N/A</v>
      </c>
      <c r="M797" t="e">
        <f ca="1">IFERROR(计算区域!M799,NA())</f>
        <v>#N/A</v>
      </c>
      <c r="N797" t="e">
        <f ca="1">IFERROR(计算区域!N799,NA())</f>
        <v>#N/A</v>
      </c>
      <c r="O797" t="e">
        <f ca="1">IFERROR(计算区域!O799,NA())</f>
        <v>#N/A</v>
      </c>
      <c r="Q797" t="e">
        <f ca="1">IFERROR(计算区域!R799,NA())</f>
        <v>#N/A</v>
      </c>
      <c r="R797" t="e">
        <f ca="1">IFERROR(计算区域!S799,NA())</f>
        <v>#N/A</v>
      </c>
      <c r="S797" t="e">
        <f ca="1">IFERROR(计算区域!T799,NA())</f>
        <v>#N/A</v>
      </c>
      <c r="T797" t="e">
        <f ca="1">IFERROR(计算区域!U799,NA())</f>
        <v>#N/A</v>
      </c>
      <c r="V797" t="e">
        <f ca="1">IFERROR(计算区域!X799,NA())</f>
        <v>#N/A</v>
      </c>
      <c r="W797" t="e">
        <f ca="1">IFERROR(计算区域!Y799,NA())</f>
        <v>#N/A</v>
      </c>
      <c r="X797" t="e">
        <f ca="1">IFERROR(计算区域!Z799,NA())</f>
        <v>#N/A</v>
      </c>
      <c r="Y797" t="e">
        <f ca="1">IFERROR(计算区域!AA799,NA())</f>
        <v>#N/A</v>
      </c>
    </row>
    <row r="798" spans="1:25" x14ac:dyDescent="0.2">
      <c r="A798" s="28">
        <f>计算区域!E800</f>
        <v>44277</v>
      </c>
      <c r="B798" t="e">
        <f ca="1">IFERROR(计算区域!AJ800,NA())</f>
        <v>#N/A</v>
      </c>
      <c r="C798" t="e">
        <f ca="1">IFERROR(计算区域!AK800,NA())</f>
        <v>#N/A</v>
      </c>
      <c r="D798" t="e">
        <f ca="1">IFERROR(计算区域!AL800,NA())</f>
        <v>#N/A</v>
      </c>
      <c r="E798" t="e">
        <f ca="1">IFERROR(计算区域!AM800,NA())</f>
        <v>#N/A</v>
      </c>
      <c r="G798" t="e">
        <f ca="1">IFERROR(计算区域!AD800,NA())</f>
        <v>#N/A</v>
      </c>
      <c r="H798" t="e">
        <f ca="1">IFERROR(计算区域!AE800,NA())</f>
        <v>#N/A</v>
      </c>
      <c r="I798" t="e">
        <f ca="1">IFERROR(计算区域!AF800,NA())</f>
        <v>#N/A</v>
      </c>
      <c r="J798" t="e">
        <f ca="1">IFERROR(计算区域!AG800,NA())</f>
        <v>#N/A</v>
      </c>
      <c r="L798" t="e">
        <f ca="1">IFERROR(计算区域!L800,NA())</f>
        <v>#N/A</v>
      </c>
      <c r="M798" t="e">
        <f ca="1">IFERROR(计算区域!M800,NA())</f>
        <v>#N/A</v>
      </c>
      <c r="N798" t="e">
        <f ca="1">IFERROR(计算区域!N800,NA())</f>
        <v>#N/A</v>
      </c>
      <c r="O798" t="e">
        <f ca="1">IFERROR(计算区域!O800,NA())</f>
        <v>#N/A</v>
      </c>
      <c r="Q798" t="e">
        <f ca="1">IFERROR(计算区域!R800,NA())</f>
        <v>#N/A</v>
      </c>
      <c r="R798" t="e">
        <f ca="1">IFERROR(计算区域!S800,NA())</f>
        <v>#N/A</v>
      </c>
      <c r="S798" t="e">
        <f ca="1">IFERROR(计算区域!T800,NA())</f>
        <v>#N/A</v>
      </c>
      <c r="T798" t="e">
        <f ca="1">IFERROR(计算区域!U800,NA())</f>
        <v>#N/A</v>
      </c>
      <c r="V798" t="e">
        <f ca="1">IFERROR(计算区域!X800,NA())</f>
        <v>#N/A</v>
      </c>
      <c r="W798" t="e">
        <f ca="1">IFERROR(计算区域!Y800,NA())</f>
        <v>#N/A</v>
      </c>
      <c r="X798" t="e">
        <f ca="1">IFERROR(计算区域!Z800,NA())</f>
        <v>#N/A</v>
      </c>
      <c r="Y798" t="e">
        <f ca="1">IFERROR(计算区域!AA800,NA())</f>
        <v>#N/A</v>
      </c>
    </row>
    <row r="799" spans="1:25" x14ac:dyDescent="0.2">
      <c r="A799" s="28">
        <f>计算区域!E801</f>
        <v>44274</v>
      </c>
      <c r="B799" t="e">
        <f ca="1">IFERROR(计算区域!AJ801,NA())</f>
        <v>#N/A</v>
      </c>
      <c r="C799" t="e">
        <f ca="1">IFERROR(计算区域!AK801,NA())</f>
        <v>#N/A</v>
      </c>
      <c r="D799" t="e">
        <f ca="1">IFERROR(计算区域!AL801,NA())</f>
        <v>#N/A</v>
      </c>
      <c r="E799" t="e">
        <f ca="1">IFERROR(计算区域!AM801,NA())</f>
        <v>#N/A</v>
      </c>
      <c r="G799" t="e">
        <f ca="1">IFERROR(计算区域!AD801,NA())</f>
        <v>#N/A</v>
      </c>
      <c r="H799" t="e">
        <f ca="1">IFERROR(计算区域!AE801,NA())</f>
        <v>#N/A</v>
      </c>
      <c r="I799" t="e">
        <f ca="1">IFERROR(计算区域!AF801,NA())</f>
        <v>#N/A</v>
      </c>
      <c r="J799" t="e">
        <f ca="1">IFERROR(计算区域!AG801,NA())</f>
        <v>#N/A</v>
      </c>
      <c r="L799" t="e">
        <f ca="1">IFERROR(计算区域!L801,NA())</f>
        <v>#N/A</v>
      </c>
      <c r="M799" t="e">
        <f ca="1">IFERROR(计算区域!M801,NA())</f>
        <v>#N/A</v>
      </c>
      <c r="N799" t="e">
        <f ca="1">IFERROR(计算区域!N801,NA())</f>
        <v>#N/A</v>
      </c>
      <c r="O799" t="e">
        <f ca="1">IFERROR(计算区域!O801,NA())</f>
        <v>#N/A</v>
      </c>
      <c r="Q799" t="e">
        <f ca="1">IFERROR(计算区域!R801,NA())</f>
        <v>#N/A</v>
      </c>
      <c r="R799" t="e">
        <f ca="1">IFERROR(计算区域!S801,NA())</f>
        <v>#N/A</v>
      </c>
      <c r="S799" t="e">
        <f ca="1">IFERROR(计算区域!T801,NA())</f>
        <v>#N/A</v>
      </c>
      <c r="T799" t="e">
        <f ca="1">IFERROR(计算区域!U801,NA())</f>
        <v>#N/A</v>
      </c>
      <c r="V799" t="e">
        <f ca="1">IFERROR(计算区域!X801,NA())</f>
        <v>#N/A</v>
      </c>
      <c r="W799" t="e">
        <f ca="1">IFERROR(计算区域!Y801,NA())</f>
        <v>#N/A</v>
      </c>
      <c r="X799" t="e">
        <f ca="1">IFERROR(计算区域!Z801,NA())</f>
        <v>#N/A</v>
      </c>
      <c r="Y799" t="e">
        <f ca="1">IFERROR(计算区域!AA801,NA())</f>
        <v>#N/A</v>
      </c>
    </row>
    <row r="800" spans="1:25" x14ac:dyDescent="0.2">
      <c r="A800" s="28">
        <f>计算区域!E802</f>
        <v>44273</v>
      </c>
      <c r="B800" t="e">
        <f ca="1">IFERROR(计算区域!AJ802,NA())</f>
        <v>#N/A</v>
      </c>
      <c r="C800" t="e">
        <f ca="1">IFERROR(计算区域!AK802,NA())</f>
        <v>#N/A</v>
      </c>
      <c r="D800" t="e">
        <f ca="1">IFERROR(计算区域!AL802,NA())</f>
        <v>#N/A</v>
      </c>
      <c r="E800" t="e">
        <f ca="1">IFERROR(计算区域!AM802,NA())</f>
        <v>#N/A</v>
      </c>
      <c r="G800" t="e">
        <f ca="1">IFERROR(计算区域!AD802,NA())</f>
        <v>#N/A</v>
      </c>
      <c r="H800" t="e">
        <f ca="1">IFERROR(计算区域!AE802,NA())</f>
        <v>#N/A</v>
      </c>
      <c r="I800" t="e">
        <f ca="1">IFERROR(计算区域!AF802,NA())</f>
        <v>#N/A</v>
      </c>
      <c r="J800" t="e">
        <f ca="1">IFERROR(计算区域!AG802,NA())</f>
        <v>#N/A</v>
      </c>
      <c r="L800" t="e">
        <f ca="1">IFERROR(计算区域!L802,NA())</f>
        <v>#N/A</v>
      </c>
      <c r="M800" t="e">
        <f ca="1">IFERROR(计算区域!M802,NA())</f>
        <v>#N/A</v>
      </c>
      <c r="N800" t="e">
        <f ca="1">IFERROR(计算区域!N802,NA())</f>
        <v>#N/A</v>
      </c>
      <c r="O800" t="e">
        <f ca="1">IFERROR(计算区域!O802,NA())</f>
        <v>#N/A</v>
      </c>
      <c r="Q800" t="e">
        <f ca="1">IFERROR(计算区域!R802,NA())</f>
        <v>#N/A</v>
      </c>
      <c r="R800" t="e">
        <f ca="1">IFERROR(计算区域!S802,NA())</f>
        <v>#N/A</v>
      </c>
      <c r="S800" t="e">
        <f ca="1">IFERROR(计算区域!T802,NA())</f>
        <v>#N/A</v>
      </c>
      <c r="T800" t="e">
        <f ca="1">IFERROR(计算区域!U802,NA())</f>
        <v>#N/A</v>
      </c>
      <c r="V800" t="e">
        <f ca="1">IFERROR(计算区域!X802,NA())</f>
        <v>#N/A</v>
      </c>
      <c r="W800" t="e">
        <f ca="1">IFERROR(计算区域!Y802,NA())</f>
        <v>#N/A</v>
      </c>
      <c r="X800" t="e">
        <f ca="1">IFERROR(计算区域!Z802,NA())</f>
        <v>#N/A</v>
      </c>
      <c r="Y800" t="e">
        <f ca="1">IFERROR(计算区域!AA802,NA())</f>
        <v>#N/A</v>
      </c>
    </row>
    <row r="801" spans="1:25" x14ac:dyDescent="0.2">
      <c r="A801" s="28">
        <f>计算区域!E803</f>
        <v>44272</v>
      </c>
      <c r="B801" t="e">
        <f ca="1">IFERROR(计算区域!AJ803,NA())</f>
        <v>#N/A</v>
      </c>
      <c r="C801" t="e">
        <f ca="1">IFERROR(计算区域!AK803,NA())</f>
        <v>#N/A</v>
      </c>
      <c r="D801" t="e">
        <f ca="1">IFERROR(计算区域!AL803,NA())</f>
        <v>#N/A</v>
      </c>
      <c r="E801" t="e">
        <f ca="1">IFERROR(计算区域!AM803,NA())</f>
        <v>#N/A</v>
      </c>
      <c r="G801" t="e">
        <f ca="1">IFERROR(计算区域!AD803,NA())</f>
        <v>#N/A</v>
      </c>
      <c r="H801" t="e">
        <f ca="1">IFERROR(计算区域!AE803,NA())</f>
        <v>#N/A</v>
      </c>
      <c r="I801" t="e">
        <f ca="1">IFERROR(计算区域!AF803,NA())</f>
        <v>#N/A</v>
      </c>
      <c r="J801" t="e">
        <f ca="1">IFERROR(计算区域!AG803,NA())</f>
        <v>#N/A</v>
      </c>
      <c r="L801" t="e">
        <f ca="1">IFERROR(计算区域!L803,NA())</f>
        <v>#N/A</v>
      </c>
      <c r="M801" t="e">
        <f ca="1">IFERROR(计算区域!M803,NA())</f>
        <v>#N/A</v>
      </c>
      <c r="N801" t="e">
        <f ca="1">IFERROR(计算区域!N803,NA())</f>
        <v>#N/A</v>
      </c>
      <c r="O801" t="e">
        <f ca="1">IFERROR(计算区域!O803,NA())</f>
        <v>#N/A</v>
      </c>
      <c r="Q801" t="e">
        <f ca="1">IFERROR(计算区域!R803,NA())</f>
        <v>#N/A</v>
      </c>
      <c r="R801" t="e">
        <f ca="1">IFERROR(计算区域!S803,NA())</f>
        <v>#N/A</v>
      </c>
      <c r="S801" t="e">
        <f ca="1">IFERROR(计算区域!T803,NA())</f>
        <v>#N/A</v>
      </c>
      <c r="T801" t="e">
        <f ca="1">IFERROR(计算区域!U803,NA())</f>
        <v>#N/A</v>
      </c>
      <c r="V801" t="e">
        <f ca="1">IFERROR(计算区域!X803,NA())</f>
        <v>#N/A</v>
      </c>
      <c r="W801" t="e">
        <f ca="1">IFERROR(计算区域!Y803,NA())</f>
        <v>#N/A</v>
      </c>
      <c r="X801" t="e">
        <f ca="1">IFERROR(计算区域!Z803,NA())</f>
        <v>#N/A</v>
      </c>
      <c r="Y801" t="e">
        <f ca="1">IFERROR(计算区域!AA803,NA())</f>
        <v>#N/A</v>
      </c>
    </row>
    <row r="802" spans="1:25" x14ac:dyDescent="0.2">
      <c r="A802" s="28">
        <f>计算区域!E804</f>
        <v>44271</v>
      </c>
      <c r="B802" t="e">
        <f ca="1">IFERROR(计算区域!AJ804,NA())</f>
        <v>#N/A</v>
      </c>
      <c r="C802" t="e">
        <f ca="1">IFERROR(计算区域!AK804,NA())</f>
        <v>#N/A</v>
      </c>
      <c r="D802" t="e">
        <f ca="1">IFERROR(计算区域!AL804,NA())</f>
        <v>#N/A</v>
      </c>
      <c r="E802" t="e">
        <f ca="1">IFERROR(计算区域!AM804,NA())</f>
        <v>#N/A</v>
      </c>
      <c r="G802" t="e">
        <f ca="1">IFERROR(计算区域!AD804,NA())</f>
        <v>#N/A</v>
      </c>
      <c r="H802" t="e">
        <f ca="1">IFERROR(计算区域!AE804,NA())</f>
        <v>#N/A</v>
      </c>
      <c r="I802" t="e">
        <f ca="1">IFERROR(计算区域!AF804,NA())</f>
        <v>#N/A</v>
      </c>
      <c r="J802" t="e">
        <f ca="1">IFERROR(计算区域!AG804,NA())</f>
        <v>#N/A</v>
      </c>
      <c r="L802" t="e">
        <f ca="1">IFERROR(计算区域!L804,NA())</f>
        <v>#N/A</v>
      </c>
      <c r="M802" t="e">
        <f ca="1">IFERROR(计算区域!M804,NA())</f>
        <v>#N/A</v>
      </c>
      <c r="N802" t="e">
        <f ca="1">IFERROR(计算区域!N804,NA())</f>
        <v>#N/A</v>
      </c>
      <c r="O802" t="e">
        <f ca="1">IFERROR(计算区域!O804,NA())</f>
        <v>#N/A</v>
      </c>
      <c r="Q802" t="e">
        <f ca="1">IFERROR(计算区域!R804,NA())</f>
        <v>#N/A</v>
      </c>
      <c r="R802" t="e">
        <f ca="1">IFERROR(计算区域!S804,NA())</f>
        <v>#N/A</v>
      </c>
      <c r="S802" t="e">
        <f ca="1">IFERROR(计算区域!T804,NA())</f>
        <v>#N/A</v>
      </c>
      <c r="T802" t="e">
        <f ca="1">IFERROR(计算区域!U804,NA())</f>
        <v>#N/A</v>
      </c>
      <c r="V802" t="e">
        <f ca="1">IFERROR(计算区域!X804,NA())</f>
        <v>#N/A</v>
      </c>
      <c r="W802" t="e">
        <f ca="1">IFERROR(计算区域!Y804,NA())</f>
        <v>#N/A</v>
      </c>
      <c r="X802" t="e">
        <f ca="1">IFERROR(计算区域!Z804,NA())</f>
        <v>#N/A</v>
      </c>
      <c r="Y802" t="e">
        <f ca="1">IFERROR(计算区域!AA804,NA())</f>
        <v>#N/A</v>
      </c>
    </row>
    <row r="803" spans="1:25" x14ac:dyDescent="0.2">
      <c r="A803" s="28">
        <f>计算区域!E805</f>
        <v>44270</v>
      </c>
      <c r="B803" t="e">
        <f ca="1">IFERROR(计算区域!AJ805,NA())</f>
        <v>#N/A</v>
      </c>
      <c r="C803" t="e">
        <f ca="1">IFERROR(计算区域!AK805,NA())</f>
        <v>#N/A</v>
      </c>
      <c r="D803" t="e">
        <f ca="1">IFERROR(计算区域!AL805,NA())</f>
        <v>#N/A</v>
      </c>
      <c r="E803" t="e">
        <f ca="1">IFERROR(计算区域!AM805,NA())</f>
        <v>#N/A</v>
      </c>
      <c r="G803" t="e">
        <f ca="1">IFERROR(计算区域!AD805,NA())</f>
        <v>#N/A</v>
      </c>
      <c r="H803" t="e">
        <f ca="1">IFERROR(计算区域!AE805,NA())</f>
        <v>#N/A</v>
      </c>
      <c r="I803" t="e">
        <f ca="1">IFERROR(计算区域!AF805,NA())</f>
        <v>#N/A</v>
      </c>
      <c r="J803" t="e">
        <f ca="1">IFERROR(计算区域!AG805,NA())</f>
        <v>#N/A</v>
      </c>
      <c r="L803" t="e">
        <f ca="1">IFERROR(计算区域!L805,NA())</f>
        <v>#N/A</v>
      </c>
      <c r="M803" t="e">
        <f ca="1">IFERROR(计算区域!M805,NA())</f>
        <v>#N/A</v>
      </c>
      <c r="N803" t="e">
        <f ca="1">IFERROR(计算区域!N805,NA())</f>
        <v>#N/A</v>
      </c>
      <c r="O803" t="e">
        <f ca="1">IFERROR(计算区域!O805,NA())</f>
        <v>#N/A</v>
      </c>
      <c r="Q803" t="e">
        <f ca="1">IFERROR(计算区域!R805,NA())</f>
        <v>#N/A</v>
      </c>
      <c r="R803" t="e">
        <f ca="1">IFERROR(计算区域!S805,NA())</f>
        <v>#N/A</v>
      </c>
      <c r="S803" t="e">
        <f ca="1">IFERROR(计算区域!T805,NA())</f>
        <v>#N/A</v>
      </c>
      <c r="T803" t="e">
        <f ca="1">IFERROR(计算区域!U805,NA())</f>
        <v>#N/A</v>
      </c>
      <c r="V803" t="e">
        <f ca="1">IFERROR(计算区域!X805,NA())</f>
        <v>#N/A</v>
      </c>
      <c r="W803" t="e">
        <f ca="1">IFERROR(计算区域!Y805,NA())</f>
        <v>#N/A</v>
      </c>
      <c r="X803" t="e">
        <f ca="1">IFERROR(计算区域!Z805,NA())</f>
        <v>#N/A</v>
      </c>
      <c r="Y803" t="e">
        <f ca="1">IFERROR(计算区域!AA805,NA())</f>
        <v>#N/A</v>
      </c>
    </row>
    <row r="804" spans="1:25" x14ac:dyDescent="0.2">
      <c r="A804" s="28">
        <f>计算区域!E806</f>
        <v>44267</v>
      </c>
      <c r="B804" t="e">
        <f ca="1">IFERROR(计算区域!AJ806,NA())</f>
        <v>#N/A</v>
      </c>
      <c r="C804" t="e">
        <f ca="1">IFERROR(计算区域!AK806,NA())</f>
        <v>#N/A</v>
      </c>
      <c r="D804" t="e">
        <f ca="1">IFERROR(计算区域!AL806,NA())</f>
        <v>#N/A</v>
      </c>
      <c r="E804" t="e">
        <f ca="1">IFERROR(计算区域!AM806,NA())</f>
        <v>#N/A</v>
      </c>
      <c r="G804" t="e">
        <f ca="1">IFERROR(计算区域!AD806,NA())</f>
        <v>#N/A</v>
      </c>
      <c r="H804" t="e">
        <f ca="1">IFERROR(计算区域!AE806,NA())</f>
        <v>#N/A</v>
      </c>
      <c r="I804" t="e">
        <f ca="1">IFERROR(计算区域!AF806,NA())</f>
        <v>#N/A</v>
      </c>
      <c r="J804" t="e">
        <f ca="1">IFERROR(计算区域!AG806,NA())</f>
        <v>#N/A</v>
      </c>
      <c r="L804" t="e">
        <f ca="1">IFERROR(计算区域!L806,NA())</f>
        <v>#N/A</v>
      </c>
      <c r="M804" t="e">
        <f ca="1">IFERROR(计算区域!M806,NA())</f>
        <v>#N/A</v>
      </c>
      <c r="N804" t="e">
        <f ca="1">IFERROR(计算区域!N806,NA())</f>
        <v>#N/A</v>
      </c>
      <c r="O804" t="e">
        <f ca="1">IFERROR(计算区域!O806,NA())</f>
        <v>#N/A</v>
      </c>
      <c r="Q804" t="e">
        <f ca="1">IFERROR(计算区域!R806,NA())</f>
        <v>#N/A</v>
      </c>
      <c r="R804" t="e">
        <f ca="1">IFERROR(计算区域!S806,NA())</f>
        <v>#N/A</v>
      </c>
      <c r="S804" t="e">
        <f ca="1">IFERROR(计算区域!T806,NA())</f>
        <v>#N/A</v>
      </c>
      <c r="T804" t="e">
        <f ca="1">IFERROR(计算区域!U806,NA())</f>
        <v>#N/A</v>
      </c>
      <c r="V804" t="e">
        <f ca="1">IFERROR(计算区域!X806,NA())</f>
        <v>#N/A</v>
      </c>
      <c r="W804" t="e">
        <f ca="1">IFERROR(计算区域!Y806,NA())</f>
        <v>#N/A</v>
      </c>
      <c r="X804" t="e">
        <f ca="1">IFERROR(计算区域!Z806,NA())</f>
        <v>#N/A</v>
      </c>
      <c r="Y804" t="e">
        <f ca="1">IFERROR(计算区域!AA806,NA())</f>
        <v>#N/A</v>
      </c>
    </row>
    <row r="805" spans="1:25" x14ac:dyDescent="0.2">
      <c r="A805" s="28">
        <f>计算区域!E807</f>
        <v>44266</v>
      </c>
      <c r="B805" t="e">
        <f ca="1">IFERROR(计算区域!AJ807,NA())</f>
        <v>#N/A</v>
      </c>
      <c r="C805" t="e">
        <f ca="1">IFERROR(计算区域!AK807,NA())</f>
        <v>#N/A</v>
      </c>
      <c r="D805" t="e">
        <f ca="1">IFERROR(计算区域!AL807,NA())</f>
        <v>#N/A</v>
      </c>
      <c r="E805" t="e">
        <f ca="1">IFERROR(计算区域!AM807,NA())</f>
        <v>#N/A</v>
      </c>
      <c r="G805" t="e">
        <f ca="1">IFERROR(计算区域!AD807,NA())</f>
        <v>#N/A</v>
      </c>
      <c r="H805" t="e">
        <f ca="1">IFERROR(计算区域!AE807,NA())</f>
        <v>#N/A</v>
      </c>
      <c r="I805" t="e">
        <f ca="1">IFERROR(计算区域!AF807,NA())</f>
        <v>#N/A</v>
      </c>
      <c r="J805" t="e">
        <f ca="1">IFERROR(计算区域!AG807,NA())</f>
        <v>#N/A</v>
      </c>
      <c r="L805" t="e">
        <f ca="1">IFERROR(计算区域!L807,NA())</f>
        <v>#N/A</v>
      </c>
      <c r="M805" t="e">
        <f ca="1">IFERROR(计算区域!M807,NA())</f>
        <v>#N/A</v>
      </c>
      <c r="N805" t="e">
        <f ca="1">IFERROR(计算区域!N807,NA())</f>
        <v>#N/A</v>
      </c>
      <c r="O805" t="e">
        <f ca="1">IFERROR(计算区域!O807,NA())</f>
        <v>#N/A</v>
      </c>
      <c r="Q805" t="e">
        <f ca="1">IFERROR(计算区域!R807,NA())</f>
        <v>#N/A</v>
      </c>
      <c r="R805" t="e">
        <f ca="1">IFERROR(计算区域!S807,NA())</f>
        <v>#N/A</v>
      </c>
      <c r="S805" t="e">
        <f ca="1">IFERROR(计算区域!T807,NA())</f>
        <v>#N/A</v>
      </c>
      <c r="T805" t="e">
        <f ca="1">IFERROR(计算区域!U807,NA())</f>
        <v>#N/A</v>
      </c>
      <c r="V805" t="e">
        <f ca="1">IFERROR(计算区域!X807,NA())</f>
        <v>#N/A</v>
      </c>
      <c r="W805" t="e">
        <f ca="1">IFERROR(计算区域!Y807,NA())</f>
        <v>#N/A</v>
      </c>
      <c r="X805" t="e">
        <f ca="1">IFERROR(计算区域!Z807,NA())</f>
        <v>#N/A</v>
      </c>
      <c r="Y805" t="e">
        <f ca="1">IFERROR(计算区域!AA807,NA())</f>
        <v>#N/A</v>
      </c>
    </row>
    <row r="806" spans="1:25" x14ac:dyDescent="0.2">
      <c r="A806" s="28">
        <f>计算区域!E808</f>
        <v>44265</v>
      </c>
      <c r="B806" t="e">
        <f ca="1">IFERROR(计算区域!AJ808,NA())</f>
        <v>#N/A</v>
      </c>
      <c r="C806" t="e">
        <f ca="1">IFERROR(计算区域!AK808,NA())</f>
        <v>#N/A</v>
      </c>
      <c r="D806" t="e">
        <f ca="1">IFERROR(计算区域!AL808,NA())</f>
        <v>#N/A</v>
      </c>
      <c r="E806" t="e">
        <f ca="1">IFERROR(计算区域!AM808,NA())</f>
        <v>#N/A</v>
      </c>
      <c r="G806" t="e">
        <f ca="1">IFERROR(计算区域!AD808,NA())</f>
        <v>#N/A</v>
      </c>
      <c r="H806" t="e">
        <f ca="1">IFERROR(计算区域!AE808,NA())</f>
        <v>#N/A</v>
      </c>
      <c r="I806" t="e">
        <f ca="1">IFERROR(计算区域!AF808,NA())</f>
        <v>#N/A</v>
      </c>
      <c r="J806" t="e">
        <f ca="1">IFERROR(计算区域!AG808,NA())</f>
        <v>#N/A</v>
      </c>
      <c r="L806" t="e">
        <f ca="1">IFERROR(计算区域!L808,NA())</f>
        <v>#N/A</v>
      </c>
      <c r="M806" t="e">
        <f ca="1">IFERROR(计算区域!M808,NA())</f>
        <v>#N/A</v>
      </c>
      <c r="N806" t="e">
        <f ca="1">IFERROR(计算区域!N808,NA())</f>
        <v>#N/A</v>
      </c>
      <c r="O806" t="e">
        <f ca="1">IFERROR(计算区域!O808,NA())</f>
        <v>#N/A</v>
      </c>
      <c r="Q806" t="e">
        <f ca="1">IFERROR(计算区域!R808,NA())</f>
        <v>#N/A</v>
      </c>
      <c r="R806" t="e">
        <f ca="1">IFERROR(计算区域!S808,NA())</f>
        <v>#N/A</v>
      </c>
      <c r="S806" t="e">
        <f ca="1">IFERROR(计算区域!T808,NA())</f>
        <v>#N/A</v>
      </c>
      <c r="T806" t="e">
        <f ca="1">IFERROR(计算区域!U808,NA())</f>
        <v>#N/A</v>
      </c>
      <c r="V806" t="e">
        <f ca="1">IFERROR(计算区域!X808,NA())</f>
        <v>#N/A</v>
      </c>
      <c r="W806" t="e">
        <f ca="1">IFERROR(计算区域!Y808,NA())</f>
        <v>#N/A</v>
      </c>
      <c r="X806" t="e">
        <f ca="1">IFERROR(计算区域!Z808,NA())</f>
        <v>#N/A</v>
      </c>
      <c r="Y806" t="e">
        <f ca="1">IFERROR(计算区域!AA808,NA())</f>
        <v>#N/A</v>
      </c>
    </row>
    <row r="807" spans="1:25" x14ac:dyDescent="0.2">
      <c r="A807" s="28">
        <f>计算区域!E809</f>
        <v>44264</v>
      </c>
      <c r="B807" t="e">
        <f ca="1">IFERROR(计算区域!AJ809,NA())</f>
        <v>#N/A</v>
      </c>
      <c r="C807" t="e">
        <f ca="1">IFERROR(计算区域!AK809,NA())</f>
        <v>#N/A</v>
      </c>
      <c r="D807" t="e">
        <f ca="1">IFERROR(计算区域!AL809,NA())</f>
        <v>#N/A</v>
      </c>
      <c r="E807" t="e">
        <f ca="1">IFERROR(计算区域!AM809,NA())</f>
        <v>#N/A</v>
      </c>
      <c r="G807" t="e">
        <f ca="1">IFERROR(计算区域!AD809,NA())</f>
        <v>#N/A</v>
      </c>
      <c r="H807" t="e">
        <f ca="1">IFERROR(计算区域!AE809,NA())</f>
        <v>#N/A</v>
      </c>
      <c r="I807" t="e">
        <f ca="1">IFERROR(计算区域!AF809,NA())</f>
        <v>#N/A</v>
      </c>
      <c r="J807" t="e">
        <f ca="1">IFERROR(计算区域!AG809,NA())</f>
        <v>#N/A</v>
      </c>
      <c r="L807" t="e">
        <f ca="1">IFERROR(计算区域!L809,NA())</f>
        <v>#N/A</v>
      </c>
      <c r="M807" t="e">
        <f ca="1">IFERROR(计算区域!M809,NA())</f>
        <v>#N/A</v>
      </c>
      <c r="N807" t="e">
        <f ca="1">IFERROR(计算区域!N809,NA())</f>
        <v>#N/A</v>
      </c>
      <c r="O807" t="e">
        <f ca="1">IFERROR(计算区域!O809,NA())</f>
        <v>#N/A</v>
      </c>
      <c r="Q807" t="e">
        <f ca="1">IFERROR(计算区域!R809,NA())</f>
        <v>#N/A</v>
      </c>
      <c r="R807" t="e">
        <f ca="1">IFERROR(计算区域!S809,NA())</f>
        <v>#N/A</v>
      </c>
      <c r="S807" t="e">
        <f ca="1">IFERROR(计算区域!T809,NA())</f>
        <v>#N/A</v>
      </c>
      <c r="T807" t="e">
        <f ca="1">IFERROR(计算区域!U809,NA())</f>
        <v>#N/A</v>
      </c>
      <c r="V807" t="e">
        <f ca="1">IFERROR(计算区域!X809,NA())</f>
        <v>#N/A</v>
      </c>
      <c r="W807" t="e">
        <f ca="1">IFERROR(计算区域!Y809,NA())</f>
        <v>#N/A</v>
      </c>
      <c r="X807" t="e">
        <f ca="1">IFERROR(计算区域!Z809,NA())</f>
        <v>#N/A</v>
      </c>
      <c r="Y807" t="e">
        <f ca="1">IFERROR(计算区域!AA809,NA())</f>
        <v>#N/A</v>
      </c>
    </row>
    <row r="808" spans="1:25" x14ac:dyDescent="0.2">
      <c r="A808" s="28">
        <f>计算区域!E810</f>
        <v>44263</v>
      </c>
      <c r="B808" t="e">
        <f ca="1">IFERROR(计算区域!AJ810,NA())</f>
        <v>#N/A</v>
      </c>
      <c r="C808" t="e">
        <f ca="1">IFERROR(计算区域!AK810,NA())</f>
        <v>#N/A</v>
      </c>
      <c r="D808" t="e">
        <f ca="1">IFERROR(计算区域!AL810,NA())</f>
        <v>#N/A</v>
      </c>
      <c r="E808" t="e">
        <f ca="1">IFERROR(计算区域!AM810,NA())</f>
        <v>#N/A</v>
      </c>
      <c r="G808" t="e">
        <f ca="1">IFERROR(计算区域!AD810,NA())</f>
        <v>#N/A</v>
      </c>
      <c r="H808" t="e">
        <f ca="1">IFERROR(计算区域!AE810,NA())</f>
        <v>#N/A</v>
      </c>
      <c r="I808" t="e">
        <f ca="1">IFERROR(计算区域!AF810,NA())</f>
        <v>#N/A</v>
      </c>
      <c r="J808" t="e">
        <f ca="1">IFERROR(计算区域!AG810,NA())</f>
        <v>#N/A</v>
      </c>
      <c r="L808" t="e">
        <f ca="1">IFERROR(计算区域!L810,NA())</f>
        <v>#N/A</v>
      </c>
      <c r="M808" t="e">
        <f ca="1">IFERROR(计算区域!M810,NA())</f>
        <v>#N/A</v>
      </c>
      <c r="N808" t="e">
        <f ca="1">IFERROR(计算区域!N810,NA())</f>
        <v>#N/A</v>
      </c>
      <c r="O808" t="e">
        <f ca="1">IFERROR(计算区域!O810,NA())</f>
        <v>#N/A</v>
      </c>
      <c r="Q808" t="e">
        <f ca="1">IFERROR(计算区域!R810,NA())</f>
        <v>#N/A</v>
      </c>
      <c r="R808" t="e">
        <f ca="1">IFERROR(计算区域!S810,NA())</f>
        <v>#N/A</v>
      </c>
      <c r="S808" t="e">
        <f ca="1">IFERROR(计算区域!T810,NA())</f>
        <v>#N/A</v>
      </c>
      <c r="T808" t="e">
        <f ca="1">IFERROR(计算区域!U810,NA())</f>
        <v>#N/A</v>
      </c>
      <c r="V808" t="e">
        <f ca="1">IFERROR(计算区域!X810,NA())</f>
        <v>#N/A</v>
      </c>
      <c r="W808" t="e">
        <f ca="1">IFERROR(计算区域!Y810,NA())</f>
        <v>#N/A</v>
      </c>
      <c r="X808" t="e">
        <f ca="1">IFERROR(计算区域!Z810,NA())</f>
        <v>#N/A</v>
      </c>
      <c r="Y808" t="e">
        <f ca="1">IFERROR(计算区域!AA810,NA())</f>
        <v>#N/A</v>
      </c>
    </row>
    <row r="809" spans="1:25" x14ac:dyDescent="0.2">
      <c r="A809" s="28">
        <f>计算区域!E811</f>
        <v>44260</v>
      </c>
      <c r="B809" t="e">
        <f ca="1">IFERROR(计算区域!AJ811,NA())</f>
        <v>#N/A</v>
      </c>
      <c r="C809" t="e">
        <f ca="1">IFERROR(计算区域!AK811,NA())</f>
        <v>#N/A</v>
      </c>
      <c r="D809" t="e">
        <f ca="1">IFERROR(计算区域!AL811,NA())</f>
        <v>#N/A</v>
      </c>
      <c r="E809" t="e">
        <f ca="1">IFERROR(计算区域!AM811,NA())</f>
        <v>#N/A</v>
      </c>
      <c r="G809" t="e">
        <f ca="1">IFERROR(计算区域!AD811,NA())</f>
        <v>#N/A</v>
      </c>
      <c r="H809" t="e">
        <f ca="1">IFERROR(计算区域!AE811,NA())</f>
        <v>#N/A</v>
      </c>
      <c r="I809" t="e">
        <f ca="1">IFERROR(计算区域!AF811,NA())</f>
        <v>#N/A</v>
      </c>
      <c r="J809" t="e">
        <f ca="1">IFERROR(计算区域!AG811,NA())</f>
        <v>#N/A</v>
      </c>
      <c r="L809" t="e">
        <f ca="1">IFERROR(计算区域!L811,NA())</f>
        <v>#N/A</v>
      </c>
      <c r="M809" t="e">
        <f ca="1">IFERROR(计算区域!M811,NA())</f>
        <v>#N/A</v>
      </c>
      <c r="N809" t="e">
        <f ca="1">IFERROR(计算区域!N811,NA())</f>
        <v>#N/A</v>
      </c>
      <c r="O809" t="e">
        <f ca="1">IFERROR(计算区域!O811,NA())</f>
        <v>#N/A</v>
      </c>
      <c r="Q809" t="e">
        <f ca="1">IFERROR(计算区域!R811,NA())</f>
        <v>#N/A</v>
      </c>
      <c r="R809" t="e">
        <f ca="1">IFERROR(计算区域!S811,NA())</f>
        <v>#N/A</v>
      </c>
      <c r="S809" t="e">
        <f ca="1">IFERROR(计算区域!T811,NA())</f>
        <v>#N/A</v>
      </c>
      <c r="T809" t="e">
        <f ca="1">IFERROR(计算区域!U811,NA())</f>
        <v>#N/A</v>
      </c>
      <c r="V809" t="e">
        <f ca="1">IFERROR(计算区域!X811,NA())</f>
        <v>#N/A</v>
      </c>
      <c r="W809" t="e">
        <f ca="1">IFERROR(计算区域!Y811,NA())</f>
        <v>#N/A</v>
      </c>
      <c r="X809" t="e">
        <f ca="1">IFERROR(计算区域!Z811,NA())</f>
        <v>#N/A</v>
      </c>
      <c r="Y809" t="e">
        <f ca="1">IFERROR(计算区域!AA811,NA())</f>
        <v>#N/A</v>
      </c>
    </row>
    <row r="810" spans="1:25" x14ac:dyDescent="0.2">
      <c r="A810" s="28">
        <f>计算区域!E812</f>
        <v>44259</v>
      </c>
      <c r="B810" t="e">
        <f ca="1">IFERROR(计算区域!AJ812,NA())</f>
        <v>#N/A</v>
      </c>
      <c r="C810" t="e">
        <f ca="1">IFERROR(计算区域!AK812,NA())</f>
        <v>#N/A</v>
      </c>
      <c r="D810" t="e">
        <f ca="1">IFERROR(计算区域!AL812,NA())</f>
        <v>#N/A</v>
      </c>
      <c r="E810" t="e">
        <f ca="1">IFERROR(计算区域!AM812,NA())</f>
        <v>#N/A</v>
      </c>
      <c r="G810" t="e">
        <f ca="1">IFERROR(计算区域!AD812,NA())</f>
        <v>#N/A</v>
      </c>
      <c r="H810" t="e">
        <f ca="1">IFERROR(计算区域!AE812,NA())</f>
        <v>#N/A</v>
      </c>
      <c r="I810" t="e">
        <f ca="1">IFERROR(计算区域!AF812,NA())</f>
        <v>#N/A</v>
      </c>
      <c r="J810" t="e">
        <f ca="1">IFERROR(计算区域!AG812,NA())</f>
        <v>#N/A</v>
      </c>
      <c r="L810" t="e">
        <f ca="1">IFERROR(计算区域!L812,NA())</f>
        <v>#N/A</v>
      </c>
      <c r="M810" t="e">
        <f ca="1">IFERROR(计算区域!M812,NA())</f>
        <v>#N/A</v>
      </c>
      <c r="N810" t="e">
        <f ca="1">IFERROR(计算区域!N812,NA())</f>
        <v>#N/A</v>
      </c>
      <c r="O810" t="e">
        <f ca="1">IFERROR(计算区域!O812,NA())</f>
        <v>#N/A</v>
      </c>
      <c r="Q810" t="e">
        <f ca="1">IFERROR(计算区域!R812,NA())</f>
        <v>#N/A</v>
      </c>
      <c r="R810" t="e">
        <f ca="1">IFERROR(计算区域!S812,NA())</f>
        <v>#N/A</v>
      </c>
      <c r="S810" t="e">
        <f ca="1">IFERROR(计算区域!T812,NA())</f>
        <v>#N/A</v>
      </c>
      <c r="T810" t="e">
        <f ca="1">IFERROR(计算区域!U812,NA())</f>
        <v>#N/A</v>
      </c>
      <c r="V810" t="e">
        <f ca="1">IFERROR(计算区域!X812,NA())</f>
        <v>#N/A</v>
      </c>
      <c r="W810" t="e">
        <f ca="1">IFERROR(计算区域!Y812,NA())</f>
        <v>#N/A</v>
      </c>
      <c r="X810" t="e">
        <f ca="1">IFERROR(计算区域!Z812,NA())</f>
        <v>#N/A</v>
      </c>
      <c r="Y810" t="e">
        <f ca="1">IFERROR(计算区域!AA812,NA())</f>
        <v>#N/A</v>
      </c>
    </row>
    <row r="811" spans="1:25" x14ac:dyDescent="0.2">
      <c r="A811" s="28">
        <f>计算区域!E813</f>
        <v>44258</v>
      </c>
      <c r="B811" t="e">
        <f ca="1">IFERROR(计算区域!AJ813,NA())</f>
        <v>#N/A</v>
      </c>
      <c r="C811" t="e">
        <f ca="1">IFERROR(计算区域!AK813,NA())</f>
        <v>#N/A</v>
      </c>
      <c r="D811" t="e">
        <f ca="1">IFERROR(计算区域!AL813,NA())</f>
        <v>#N/A</v>
      </c>
      <c r="E811" t="e">
        <f ca="1">IFERROR(计算区域!AM813,NA())</f>
        <v>#N/A</v>
      </c>
      <c r="G811" t="e">
        <f ca="1">IFERROR(计算区域!AD813,NA())</f>
        <v>#N/A</v>
      </c>
      <c r="H811" t="e">
        <f ca="1">IFERROR(计算区域!AE813,NA())</f>
        <v>#N/A</v>
      </c>
      <c r="I811" t="e">
        <f ca="1">IFERROR(计算区域!AF813,NA())</f>
        <v>#N/A</v>
      </c>
      <c r="J811" t="e">
        <f ca="1">IFERROR(计算区域!AG813,NA())</f>
        <v>#N/A</v>
      </c>
      <c r="L811" t="e">
        <f ca="1">IFERROR(计算区域!L813,NA())</f>
        <v>#N/A</v>
      </c>
      <c r="M811" t="e">
        <f ca="1">IFERROR(计算区域!M813,NA())</f>
        <v>#N/A</v>
      </c>
      <c r="N811" t="e">
        <f ca="1">IFERROR(计算区域!N813,NA())</f>
        <v>#N/A</v>
      </c>
      <c r="O811" t="e">
        <f ca="1">IFERROR(计算区域!O813,NA())</f>
        <v>#N/A</v>
      </c>
      <c r="Q811" t="e">
        <f ca="1">IFERROR(计算区域!R813,NA())</f>
        <v>#N/A</v>
      </c>
      <c r="R811" t="e">
        <f ca="1">IFERROR(计算区域!S813,NA())</f>
        <v>#N/A</v>
      </c>
      <c r="S811" t="e">
        <f ca="1">IFERROR(计算区域!T813,NA())</f>
        <v>#N/A</v>
      </c>
      <c r="T811" t="e">
        <f ca="1">IFERROR(计算区域!U813,NA())</f>
        <v>#N/A</v>
      </c>
      <c r="V811" t="e">
        <f ca="1">IFERROR(计算区域!X813,NA())</f>
        <v>#N/A</v>
      </c>
      <c r="W811" t="e">
        <f ca="1">IFERROR(计算区域!Y813,NA())</f>
        <v>#N/A</v>
      </c>
      <c r="X811" t="e">
        <f ca="1">IFERROR(计算区域!Z813,NA())</f>
        <v>#N/A</v>
      </c>
      <c r="Y811" t="e">
        <f ca="1">IFERROR(计算区域!AA813,NA())</f>
        <v>#N/A</v>
      </c>
    </row>
    <row r="812" spans="1:25" x14ac:dyDescent="0.2">
      <c r="A812" s="28">
        <f>计算区域!E814</f>
        <v>44257</v>
      </c>
      <c r="B812" t="e">
        <f ca="1">IFERROR(计算区域!AJ814,NA())</f>
        <v>#N/A</v>
      </c>
      <c r="C812" t="e">
        <f ca="1">IFERROR(计算区域!AK814,NA())</f>
        <v>#N/A</v>
      </c>
      <c r="D812" t="e">
        <f ca="1">IFERROR(计算区域!AL814,NA())</f>
        <v>#N/A</v>
      </c>
      <c r="E812" t="e">
        <f ca="1">IFERROR(计算区域!AM814,NA())</f>
        <v>#N/A</v>
      </c>
      <c r="G812" t="e">
        <f ca="1">IFERROR(计算区域!AD814,NA())</f>
        <v>#N/A</v>
      </c>
      <c r="H812" t="e">
        <f ca="1">IFERROR(计算区域!AE814,NA())</f>
        <v>#N/A</v>
      </c>
      <c r="I812" t="e">
        <f ca="1">IFERROR(计算区域!AF814,NA())</f>
        <v>#N/A</v>
      </c>
      <c r="J812" t="e">
        <f ca="1">IFERROR(计算区域!AG814,NA())</f>
        <v>#N/A</v>
      </c>
      <c r="L812" t="e">
        <f ca="1">IFERROR(计算区域!L814,NA())</f>
        <v>#N/A</v>
      </c>
      <c r="M812" t="e">
        <f ca="1">IFERROR(计算区域!M814,NA())</f>
        <v>#N/A</v>
      </c>
      <c r="N812" t="e">
        <f ca="1">IFERROR(计算区域!N814,NA())</f>
        <v>#N/A</v>
      </c>
      <c r="O812" t="e">
        <f ca="1">IFERROR(计算区域!O814,NA())</f>
        <v>#N/A</v>
      </c>
      <c r="Q812" t="e">
        <f ca="1">IFERROR(计算区域!R814,NA())</f>
        <v>#N/A</v>
      </c>
      <c r="R812" t="e">
        <f ca="1">IFERROR(计算区域!S814,NA())</f>
        <v>#N/A</v>
      </c>
      <c r="S812" t="e">
        <f ca="1">IFERROR(计算区域!T814,NA())</f>
        <v>#N/A</v>
      </c>
      <c r="T812" t="e">
        <f ca="1">IFERROR(计算区域!U814,NA())</f>
        <v>#N/A</v>
      </c>
      <c r="V812" t="e">
        <f ca="1">IFERROR(计算区域!X814,NA())</f>
        <v>#N/A</v>
      </c>
      <c r="W812" t="e">
        <f ca="1">IFERROR(计算区域!Y814,NA())</f>
        <v>#N/A</v>
      </c>
      <c r="X812" t="e">
        <f ca="1">IFERROR(计算区域!Z814,NA())</f>
        <v>#N/A</v>
      </c>
      <c r="Y812" t="e">
        <f ca="1">IFERROR(计算区域!AA814,NA())</f>
        <v>#N/A</v>
      </c>
    </row>
    <row r="813" spans="1:25" x14ac:dyDescent="0.2">
      <c r="A813" s="28">
        <f>计算区域!E815</f>
        <v>44256</v>
      </c>
      <c r="B813" t="e">
        <f ca="1">IFERROR(计算区域!AJ815,NA())</f>
        <v>#N/A</v>
      </c>
      <c r="C813" t="e">
        <f ca="1">IFERROR(计算区域!AK815,NA())</f>
        <v>#N/A</v>
      </c>
      <c r="D813" t="e">
        <f ca="1">IFERROR(计算区域!AL815,NA())</f>
        <v>#N/A</v>
      </c>
      <c r="E813" t="e">
        <f ca="1">IFERROR(计算区域!AM815,NA())</f>
        <v>#N/A</v>
      </c>
      <c r="G813" t="e">
        <f ca="1">IFERROR(计算区域!AD815,NA())</f>
        <v>#N/A</v>
      </c>
      <c r="H813" t="e">
        <f ca="1">IFERROR(计算区域!AE815,NA())</f>
        <v>#N/A</v>
      </c>
      <c r="I813" t="e">
        <f ca="1">IFERROR(计算区域!AF815,NA())</f>
        <v>#N/A</v>
      </c>
      <c r="J813" t="e">
        <f ca="1">IFERROR(计算区域!AG815,NA())</f>
        <v>#N/A</v>
      </c>
      <c r="L813" t="e">
        <f ca="1">IFERROR(计算区域!L815,NA())</f>
        <v>#N/A</v>
      </c>
      <c r="M813" t="e">
        <f ca="1">IFERROR(计算区域!M815,NA())</f>
        <v>#N/A</v>
      </c>
      <c r="N813" t="e">
        <f ca="1">IFERROR(计算区域!N815,NA())</f>
        <v>#N/A</v>
      </c>
      <c r="O813" t="e">
        <f ca="1">IFERROR(计算区域!O815,NA())</f>
        <v>#N/A</v>
      </c>
      <c r="Q813" t="e">
        <f ca="1">IFERROR(计算区域!R815,NA())</f>
        <v>#N/A</v>
      </c>
      <c r="R813" t="e">
        <f ca="1">IFERROR(计算区域!S815,NA())</f>
        <v>#N/A</v>
      </c>
      <c r="S813" t="e">
        <f ca="1">IFERROR(计算区域!T815,NA())</f>
        <v>#N/A</v>
      </c>
      <c r="T813" t="e">
        <f ca="1">IFERROR(计算区域!U815,NA())</f>
        <v>#N/A</v>
      </c>
      <c r="V813" t="e">
        <f ca="1">IFERROR(计算区域!X815,NA())</f>
        <v>#N/A</v>
      </c>
      <c r="W813" t="e">
        <f ca="1">IFERROR(计算区域!Y815,NA())</f>
        <v>#N/A</v>
      </c>
      <c r="X813" t="e">
        <f ca="1">IFERROR(计算区域!Z815,NA())</f>
        <v>#N/A</v>
      </c>
      <c r="Y813" t="e">
        <f ca="1">IFERROR(计算区域!AA815,NA())</f>
        <v>#N/A</v>
      </c>
    </row>
    <row r="814" spans="1:25" x14ac:dyDescent="0.2">
      <c r="A814" s="28">
        <f>计算区域!E816</f>
        <v>44253</v>
      </c>
      <c r="B814" t="e">
        <f ca="1">IFERROR(计算区域!AJ816,NA())</f>
        <v>#N/A</v>
      </c>
      <c r="C814" t="e">
        <f ca="1">IFERROR(计算区域!AK816,NA())</f>
        <v>#N/A</v>
      </c>
      <c r="D814" t="e">
        <f ca="1">IFERROR(计算区域!AL816,NA())</f>
        <v>#N/A</v>
      </c>
      <c r="E814" t="e">
        <f ca="1">IFERROR(计算区域!AM816,NA())</f>
        <v>#N/A</v>
      </c>
      <c r="G814" t="e">
        <f ca="1">IFERROR(计算区域!AD816,NA())</f>
        <v>#N/A</v>
      </c>
      <c r="H814" t="e">
        <f ca="1">IFERROR(计算区域!AE816,NA())</f>
        <v>#N/A</v>
      </c>
      <c r="I814" t="e">
        <f ca="1">IFERROR(计算区域!AF816,NA())</f>
        <v>#N/A</v>
      </c>
      <c r="J814" t="e">
        <f ca="1">IFERROR(计算区域!AG816,NA())</f>
        <v>#N/A</v>
      </c>
      <c r="L814" t="e">
        <f ca="1">IFERROR(计算区域!L816,NA())</f>
        <v>#N/A</v>
      </c>
      <c r="M814" t="e">
        <f ca="1">IFERROR(计算区域!M816,NA())</f>
        <v>#N/A</v>
      </c>
      <c r="N814" t="e">
        <f ca="1">IFERROR(计算区域!N816,NA())</f>
        <v>#N/A</v>
      </c>
      <c r="O814" t="e">
        <f ca="1">IFERROR(计算区域!O816,NA())</f>
        <v>#N/A</v>
      </c>
      <c r="Q814" t="e">
        <f ca="1">IFERROR(计算区域!R816,NA())</f>
        <v>#N/A</v>
      </c>
      <c r="R814" t="e">
        <f ca="1">IFERROR(计算区域!S816,NA())</f>
        <v>#N/A</v>
      </c>
      <c r="S814" t="e">
        <f ca="1">IFERROR(计算区域!T816,NA())</f>
        <v>#N/A</v>
      </c>
      <c r="T814" t="e">
        <f ca="1">IFERROR(计算区域!U816,NA())</f>
        <v>#N/A</v>
      </c>
      <c r="V814" t="e">
        <f ca="1">IFERROR(计算区域!X816,NA())</f>
        <v>#N/A</v>
      </c>
      <c r="W814" t="e">
        <f ca="1">IFERROR(计算区域!Y816,NA())</f>
        <v>#N/A</v>
      </c>
      <c r="X814" t="e">
        <f ca="1">IFERROR(计算区域!Z816,NA())</f>
        <v>#N/A</v>
      </c>
      <c r="Y814" t="e">
        <f ca="1">IFERROR(计算区域!AA816,NA())</f>
        <v>#N/A</v>
      </c>
    </row>
    <row r="815" spans="1:25" x14ac:dyDescent="0.2">
      <c r="A815" s="28">
        <f>计算区域!E817</f>
        <v>44252</v>
      </c>
      <c r="B815" t="e">
        <f ca="1">IFERROR(计算区域!AJ817,NA())</f>
        <v>#N/A</v>
      </c>
      <c r="C815" t="e">
        <f ca="1">IFERROR(计算区域!AK817,NA())</f>
        <v>#N/A</v>
      </c>
      <c r="D815" t="e">
        <f ca="1">IFERROR(计算区域!AL817,NA())</f>
        <v>#N/A</v>
      </c>
      <c r="E815" t="e">
        <f ca="1">IFERROR(计算区域!AM817,NA())</f>
        <v>#N/A</v>
      </c>
      <c r="G815" t="e">
        <f ca="1">IFERROR(计算区域!AD817,NA())</f>
        <v>#N/A</v>
      </c>
      <c r="H815" t="e">
        <f ca="1">IFERROR(计算区域!AE817,NA())</f>
        <v>#N/A</v>
      </c>
      <c r="I815" t="e">
        <f ca="1">IFERROR(计算区域!AF817,NA())</f>
        <v>#N/A</v>
      </c>
      <c r="J815" t="e">
        <f ca="1">IFERROR(计算区域!AG817,NA())</f>
        <v>#N/A</v>
      </c>
      <c r="L815" t="e">
        <f ca="1">IFERROR(计算区域!L817,NA())</f>
        <v>#N/A</v>
      </c>
      <c r="M815" t="e">
        <f ca="1">IFERROR(计算区域!M817,NA())</f>
        <v>#N/A</v>
      </c>
      <c r="N815" t="e">
        <f ca="1">IFERROR(计算区域!N817,NA())</f>
        <v>#N/A</v>
      </c>
      <c r="O815" t="e">
        <f ca="1">IFERROR(计算区域!O817,NA())</f>
        <v>#N/A</v>
      </c>
      <c r="Q815" t="e">
        <f ca="1">IFERROR(计算区域!R817,NA())</f>
        <v>#N/A</v>
      </c>
      <c r="R815" t="e">
        <f ca="1">IFERROR(计算区域!S817,NA())</f>
        <v>#N/A</v>
      </c>
      <c r="S815" t="e">
        <f ca="1">IFERROR(计算区域!T817,NA())</f>
        <v>#N/A</v>
      </c>
      <c r="T815" t="e">
        <f ca="1">IFERROR(计算区域!U817,NA())</f>
        <v>#N/A</v>
      </c>
      <c r="V815" t="e">
        <f ca="1">IFERROR(计算区域!X817,NA())</f>
        <v>#N/A</v>
      </c>
      <c r="W815" t="e">
        <f ca="1">IFERROR(计算区域!Y817,NA())</f>
        <v>#N/A</v>
      </c>
      <c r="X815" t="e">
        <f ca="1">IFERROR(计算区域!Z817,NA())</f>
        <v>#N/A</v>
      </c>
      <c r="Y815" t="e">
        <f ca="1">IFERROR(计算区域!AA817,NA())</f>
        <v>#N/A</v>
      </c>
    </row>
    <row r="816" spans="1:25" x14ac:dyDescent="0.2">
      <c r="A816" s="28">
        <f>计算区域!E818</f>
        <v>44251</v>
      </c>
      <c r="B816" t="e">
        <f ca="1">IFERROR(计算区域!AJ818,NA())</f>
        <v>#N/A</v>
      </c>
      <c r="C816" t="e">
        <f ca="1">IFERROR(计算区域!AK818,NA())</f>
        <v>#N/A</v>
      </c>
      <c r="D816" t="e">
        <f ca="1">IFERROR(计算区域!AL818,NA())</f>
        <v>#N/A</v>
      </c>
      <c r="E816" t="e">
        <f ca="1">IFERROR(计算区域!AM818,NA())</f>
        <v>#N/A</v>
      </c>
      <c r="G816" t="e">
        <f ca="1">IFERROR(计算区域!AD818,NA())</f>
        <v>#N/A</v>
      </c>
      <c r="H816" t="e">
        <f ca="1">IFERROR(计算区域!AE818,NA())</f>
        <v>#N/A</v>
      </c>
      <c r="I816" t="e">
        <f ca="1">IFERROR(计算区域!AF818,NA())</f>
        <v>#N/A</v>
      </c>
      <c r="J816" t="e">
        <f ca="1">IFERROR(计算区域!AG818,NA())</f>
        <v>#N/A</v>
      </c>
      <c r="L816" t="e">
        <f ca="1">IFERROR(计算区域!L818,NA())</f>
        <v>#N/A</v>
      </c>
      <c r="M816" t="e">
        <f ca="1">IFERROR(计算区域!M818,NA())</f>
        <v>#N/A</v>
      </c>
      <c r="N816" t="e">
        <f ca="1">IFERROR(计算区域!N818,NA())</f>
        <v>#N/A</v>
      </c>
      <c r="O816" t="e">
        <f ca="1">IFERROR(计算区域!O818,NA())</f>
        <v>#N/A</v>
      </c>
      <c r="Q816" t="e">
        <f ca="1">IFERROR(计算区域!R818,NA())</f>
        <v>#N/A</v>
      </c>
      <c r="R816" t="e">
        <f ca="1">IFERROR(计算区域!S818,NA())</f>
        <v>#N/A</v>
      </c>
      <c r="S816" t="e">
        <f ca="1">IFERROR(计算区域!T818,NA())</f>
        <v>#N/A</v>
      </c>
      <c r="T816" t="e">
        <f ca="1">IFERROR(计算区域!U818,NA())</f>
        <v>#N/A</v>
      </c>
      <c r="V816" t="e">
        <f ca="1">IFERROR(计算区域!X818,NA())</f>
        <v>#N/A</v>
      </c>
      <c r="W816" t="e">
        <f ca="1">IFERROR(计算区域!Y818,NA())</f>
        <v>#N/A</v>
      </c>
      <c r="X816" t="e">
        <f ca="1">IFERROR(计算区域!Z818,NA())</f>
        <v>#N/A</v>
      </c>
      <c r="Y816" t="e">
        <f ca="1">IFERROR(计算区域!AA818,NA())</f>
        <v>#N/A</v>
      </c>
    </row>
    <row r="817" spans="1:25" x14ac:dyDescent="0.2">
      <c r="A817" s="28">
        <f>计算区域!E819</f>
        <v>44250</v>
      </c>
      <c r="B817" t="e">
        <f ca="1">IFERROR(计算区域!AJ819,NA())</f>
        <v>#N/A</v>
      </c>
      <c r="C817" t="e">
        <f ca="1">IFERROR(计算区域!AK819,NA())</f>
        <v>#N/A</v>
      </c>
      <c r="D817" t="e">
        <f ca="1">IFERROR(计算区域!AL819,NA())</f>
        <v>#N/A</v>
      </c>
      <c r="E817" t="e">
        <f ca="1">IFERROR(计算区域!AM819,NA())</f>
        <v>#N/A</v>
      </c>
      <c r="G817" t="e">
        <f ca="1">IFERROR(计算区域!AD819,NA())</f>
        <v>#N/A</v>
      </c>
      <c r="H817" t="e">
        <f ca="1">IFERROR(计算区域!AE819,NA())</f>
        <v>#N/A</v>
      </c>
      <c r="I817" t="e">
        <f ca="1">IFERROR(计算区域!AF819,NA())</f>
        <v>#N/A</v>
      </c>
      <c r="J817" t="e">
        <f ca="1">IFERROR(计算区域!AG819,NA())</f>
        <v>#N/A</v>
      </c>
      <c r="L817" t="e">
        <f ca="1">IFERROR(计算区域!L819,NA())</f>
        <v>#N/A</v>
      </c>
      <c r="M817" t="e">
        <f ca="1">IFERROR(计算区域!M819,NA())</f>
        <v>#N/A</v>
      </c>
      <c r="N817" t="e">
        <f ca="1">IFERROR(计算区域!N819,NA())</f>
        <v>#N/A</v>
      </c>
      <c r="O817" t="e">
        <f ca="1">IFERROR(计算区域!O819,NA())</f>
        <v>#N/A</v>
      </c>
      <c r="Q817" t="e">
        <f ca="1">IFERROR(计算区域!R819,NA())</f>
        <v>#N/A</v>
      </c>
      <c r="R817" t="e">
        <f ca="1">IFERROR(计算区域!S819,NA())</f>
        <v>#N/A</v>
      </c>
      <c r="S817" t="e">
        <f ca="1">IFERROR(计算区域!T819,NA())</f>
        <v>#N/A</v>
      </c>
      <c r="T817" t="e">
        <f ca="1">IFERROR(计算区域!U819,NA())</f>
        <v>#N/A</v>
      </c>
      <c r="V817" t="e">
        <f ca="1">IFERROR(计算区域!X819,NA())</f>
        <v>#N/A</v>
      </c>
      <c r="W817" t="e">
        <f ca="1">IFERROR(计算区域!Y819,NA())</f>
        <v>#N/A</v>
      </c>
      <c r="X817" t="e">
        <f ca="1">IFERROR(计算区域!Z819,NA())</f>
        <v>#N/A</v>
      </c>
      <c r="Y817" t="e">
        <f ca="1">IFERROR(计算区域!AA819,NA())</f>
        <v>#N/A</v>
      </c>
    </row>
    <row r="818" spans="1:25" x14ac:dyDescent="0.2">
      <c r="A818" s="28">
        <f>计算区域!E820</f>
        <v>44249</v>
      </c>
      <c r="B818" t="e">
        <f ca="1">IFERROR(计算区域!AJ820,NA())</f>
        <v>#N/A</v>
      </c>
      <c r="C818" t="e">
        <f ca="1">IFERROR(计算区域!AK820,NA())</f>
        <v>#N/A</v>
      </c>
      <c r="D818" t="e">
        <f ca="1">IFERROR(计算区域!AL820,NA())</f>
        <v>#N/A</v>
      </c>
      <c r="E818" t="e">
        <f ca="1">IFERROR(计算区域!AM820,NA())</f>
        <v>#N/A</v>
      </c>
      <c r="G818" t="e">
        <f ca="1">IFERROR(计算区域!AD820,NA())</f>
        <v>#N/A</v>
      </c>
      <c r="H818" t="e">
        <f ca="1">IFERROR(计算区域!AE820,NA())</f>
        <v>#N/A</v>
      </c>
      <c r="I818" t="e">
        <f ca="1">IFERROR(计算区域!AF820,NA())</f>
        <v>#N/A</v>
      </c>
      <c r="J818" t="e">
        <f ca="1">IFERROR(计算区域!AG820,NA())</f>
        <v>#N/A</v>
      </c>
      <c r="L818" t="e">
        <f ca="1">IFERROR(计算区域!L820,NA())</f>
        <v>#N/A</v>
      </c>
      <c r="M818" t="e">
        <f ca="1">IFERROR(计算区域!M820,NA())</f>
        <v>#N/A</v>
      </c>
      <c r="N818" t="e">
        <f ca="1">IFERROR(计算区域!N820,NA())</f>
        <v>#N/A</v>
      </c>
      <c r="O818" t="e">
        <f ca="1">IFERROR(计算区域!O820,NA())</f>
        <v>#N/A</v>
      </c>
      <c r="Q818" t="e">
        <f ca="1">IFERROR(计算区域!R820,NA())</f>
        <v>#N/A</v>
      </c>
      <c r="R818" t="e">
        <f ca="1">IFERROR(计算区域!S820,NA())</f>
        <v>#N/A</v>
      </c>
      <c r="S818" t="e">
        <f ca="1">IFERROR(计算区域!T820,NA())</f>
        <v>#N/A</v>
      </c>
      <c r="T818" t="e">
        <f ca="1">IFERROR(计算区域!U820,NA())</f>
        <v>#N/A</v>
      </c>
      <c r="V818" t="e">
        <f ca="1">IFERROR(计算区域!X820,NA())</f>
        <v>#N/A</v>
      </c>
      <c r="W818" t="e">
        <f ca="1">IFERROR(计算区域!Y820,NA())</f>
        <v>#N/A</v>
      </c>
      <c r="X818" t="e">
        <f ca="1">IFERROR(计算区域!Z820,NA())</f>
        <v>#N/A</v>
      </c>
      <c r="Y818" t="e">
        <f ca="1">IFERROR(计算区域!AA820,NA())</f>
        <v>#N/A</v>
      </c>
    </row>
    <row r="819" spans="1:25" x14ac:dyDescent="0.2">
      <c r="A819" s="28">
        <f>计算区域!E821</f>
        <v>44246</v>
      </c>
      <c r="B819" t="e">
        <f ca="1">IFERROR(计算区域!AJ821,NA())</f>
        <v>#N/A</v>
      </c>
      <c r="C819" t="e">
        <f ca="1">IFERROR(计算区域!AK821,NA())</f>
        <v>#N/A</v>
      </c>
      <c r="D819" t="e">
        <f ca="1">IFERROR(计算区域!AL821,NA())</f>
        <v>#N/A</v>
      </c>
      <c r="E819" t="e">
        <f ca="1">IFERROR(计算区域!AM821,NA())</f>
        <v>#N/A</v>
      </c>
      <c r="G819" t="e">
        <f ca="1">IFERROR(计算区域!AD821,NA())</f>
        <v>#N/A</v>
      </c>
      <c r="H819" t="e">
        <f ca="1">IFERROR(计算区域!AE821,NA())</f>
        <v>#N/A</v>
      </c>
      <c r="I819" t="e">
        <f ca="1">IFERROR(计算区域!AF821,NA())</f>
        <v>#N/A</v>
      </c>
      <c r="J819" t="e">
        <f ca="1">IFERROR(计算区域!AG821,NA())</f>
        <v>#N/A</v>
      </c>
      <c r="L819" t="e">
        <f ca="1">IFERROR(计算区域!L821,NA())</f>
        <v>#N/A</v>
      </c>
      <c r="M819" t="e">
        <f ca="1">IFERROR(计算区域!M821,NA())</f>
        <v>#N/A</v>
      </c>
      <c r="N819" t="e">
        <f ca="1">IFERROR(计算区域!N821,NA())</f>
        <v>#N/A</v>
      </c>
      <c r="O819" t="e">
        <f ca="1">IFERROR(计算区域!O821,NA())</f>
        <v>#N/A</v>
      </c>
      <c r="Q819" t="e">
        <f ca="1">IFERROR(计算区域!R821,NA())</f>
        <v>#N/A</v>
      </c>
      <c r="R819" t="e">
        <f ca="1">IFERROR(计算区域!S821,NA())</f>
        <v>#N/A</v>
      </c>
      <c r="S819" t="e">
        <f ca="1">IFERROR(计算区域!T821,NA())</f>
        <v>#N/A</v>
      </c>
      <c r="T819" t="e">
        <f ca="1">IFERROR(计算区域!U821,NA())</f>
        <v>#N/A</v>
      </c>
      <c r="V819" t="e">
        <f ca="1">IFERROR(计算区域!X821,NA())</f>
        <v>#N/A</v>
      </c>
      <c r="W819" t="e">
        <f ca="1">IFERROR(计算区域!Y821,NA())</f>
        <v>#N/A</v>
      </c>
      <c r="X819" t="e">
        <f ca="1">IFERROR(计算区域!Z821,NA())</f>
        <v>#N/A</v>
      </c>
      <c r="Y819" t="e">
        <f ca="1">IFERROR(计算区域!AA821,NA())</f>
        <v>#N/A</v>
      </c>
    </row>
    <row r="820" spans="1:25" x14ac:dyDescent="0.2">
      <c r="A820" s="28">
        <f>计算区域!E822</f>
        <v>44245</v>
      </c>
      <c r="B820" t="e">
        <f ca="1">IFERROR(计算区域!AJ822,NA())</f>
        <v>#N/A</v>
      </c>
      <c r="C820" t="e">
        <f ca="1">IFERROR(计算区域!AK822,NA())</f>
        <v>#N/A</v>
      </c>
      <c r="D820" t="e">
        <f ca="1">IFERROR(计算区域!AL822,NA())</f>
        <v>#N/A</v>
      </c>
      <c r="E820" t="e">
        <f ca="1">IFERROR(计算区域!AM822,NA())</f>
        <v>#N/A</v>
      </c>
      <c r="G820" t="e">
        <f ca="1">IFERROR(计算区域!AD822,NA())</f>
        <v>#N/A</v>
      </c>
      <c r="H820" t="e">
        <f ca="1">IFERROR(计算区域!AE822,NA())</f>
        <v>#N/A</v>
      </c>
      <c r="I820" t="e">
        <f ca="1">IFERROR(计算区域!AF822,NA())</f>
        <v>#N/A</v>
      </c>
      <c r="J820" t="e">
        <f ca="1">IFERROR(计算区域!AG822,NA())</f>
        <v>#N/A</v>
      </c>
      <c r="L820" t="e">
        <f ca="1">IFERROR(计算区域!L822,NA())</f>
        <v>#N/A</v>
      </c>
      <c r="M820" t="e">
        <f ca="1">IFERROR(计算区域!M822,NA())</f>
        <v>#N/A</v>
      </c>
      <c r="N820" t="e">
        <f ca="1">IFERROR(计算区域!N822,NA())</f>
        <v>#N/A</v>
      </c>
      <c r="O820" t="e">
        <f ca="1">IFERROR(计算区域!O822,NA())</f>
        <v>#N/A</v>
      </c>
      <c r="Q820" t="e">
        <f ca="1">IFERROR(计算区域!R822,NA())</f>
        <v>#N/A</v>
      </c>
      <c r="R820" t="e">
        <f ca="1">IFERROR(计算区域!S822,NA())</f>
        <v>#N/A</v>
      </c>
      <c r="S820" t="e">
        <f ca="1">IFERROR(计算区域!T822,NA())</f>
        <v>#N/A</v>
      </c>
      <c r="T820" t="e">
        <f ca="1">IFERROR(计算区域!U822,NA())</f>
        <v>#N/A</v>
      </c>
      <c r="V820" t="e">
        <f ca="1">IFERROR(计算区域!X822,NA())</f>
        <v>#N/A</v>
      </c>
      <c r="W820" t="e">
        <f ca="1">IFERROR(计算区域!Y822,NA())</f>
        <v>#N/A</v>
      </c>
      <c r="X820" t="e">
        <f ca="1">IFERROR(计算区域!Z822,NA())</f>
        <v>#N/A</v>
      </c>
      <c r="Y820" t="e">
        <f ca="1">IFERROR(计算区域!AA822,NA())</f>
        <v>#N/A</v>
      </c>
    </row>
    <row r="821" spans="1:25" x14ac:dyDescent="0.2">
      <c r="A821" s="28">
        <f>计算区域!E823</f>
        <v>44237</v>
      </c>
      <c r="B821" t="e">
        <f ca="1">IFERROR(计算区域!AJ823,NA())</f>
        <v>#N/A</v>
      </c>
      <c r="C821" t="e">
        <f ca="1">IFERROR(计算区域!AK823,NA())</f>
        <v>#N/A</v>
      </c>
      <c r="D821" t="e">
        <f ca="1">IFERROR(计算区域!AL823,NA())</f>
        <v>#N/A</v>
      </c>
      <c r="E821" t="e">
        <f ca="1">IFERROR(计算区域!AM823,NA())</f>
        <v>#N/A</v>
      </c>
      <c r="G821" t="e">
        <f ca="1">IFERROR(计算区域!AD823,NA())</f>
        <v>#N/A</v>
      </c>
      <c r="H821" t="e">
        <f ca="1">IFERROR(计算区域!AE823,NA())</f>
        <v>#N/A</v>
      </c>
      <c r="I821" t="e">
        <f ca="1">IFERROR(计算区域!AF823,NA())</f>
        <v>#N/A</v>
      </c>
      <c r="J821" t="e">
        <f ca="1">IFERROR(计算区域!AG823,NA())</f>
        <v>#N/A</v>
      </c>
      <c r="L821" t="e">
        <f ca="1">IFERROR(计算区域!L823,NA())</f>
        <v>#N/A</v>
      </c>
      <c r="M821" t="e">
        <f ca="1">IFERROR(计算区域!M823,NA())</f>
        <v>#N/A</v>
      </c>
      <c r="N821" t="e">
        <f ca="1">IFERROR(计算区域!N823,NA())</f>
        <v>#N/A</v>
      </c>
      <c r="O821" t="e">
        <f ca="1">IFERROR(计算区域!O823,NA())</f>
        <v>#N/A</v>
      </c>
      <c r="Q821" t="e">
        <f ca="1">IFERROR(计算区域!R823,NA())</f>
        <v>#N/A</v>
      </c>
      <c r="R821" t="e">
        <f ca="1">IFERROR(计算区域!S823,NA())</f>
        <v>#N/A</v>
      </c>
      <c r="S821" t="e">
        <f ca="1">IFERROR(计算区域!T823,NA())</f>
        <v>#N/A</v>
      </c>
      <c r="T821" t="e">
        <f ca="1">IFERROR(计算区域!U823,NA())</f>
        <v>#N/A</v>
      </c>
      <c r="V821" t="e">
        <f ca="1">IFERROR(计算区域!X823,NA())</f>
        <v>#N/A</v>
      </c>
      <c r="W821" t="e">
        <f ca="1">IFERROR(计算区域!Y823,NA())</f>
        <v>#N/A</v>
      </c>
      <c r="X821" t="e">
        <f ca="1">IFERROR(计算区域!Z823,NA())</f>
        <v>#N/A</v>
      </c>
      <c r="Y821" t="e">
        <f ca="1">IFERROR(计算区域!AA823,NA())</f>
        <v>#N/A</v>
      </c>
    </row>
    <row r="822" spans="1:25" x14ac:dyDescent="0.2">
      <c r="A822" s="28">
        <f>计算区域!E824</f>
        <v>44236</v>
      </c>
      <c r="B822" t="e">
        <f ca="1">IFERROR(计算区域!AJ824,NA())</f>
        <v>#N/A</v>
      </c>
      <c r="C822" t="e">
        <f ca="1">IFERROR(计算区域!AK824,NA())</f>
        <v>#N/A</v>
      </c>
      <c r="D822" t="e">
        <f ca="1">IFERROR(计算区域!AL824,NA())</f>
        <v>#N/A</v>
      </c>
      <c r="E822" t="e">
        <f ca="1">IFERROR(计算区域!AM824,NA())</f>
        <v>#N/A</v>
      </c>
      <c r="G822" t="e">
        <f ca="1">IFERROR(计算区域!AD824,NA())</f>
        <v>#N/A</v>
      </c>
      <c r="H822" t="e">
        <f ca="1">IFERROR(计算区域!AE824,NA())</f>
        <v>#N/A</v>
      </c>
      <c r="I822" t="e">
        <f ca="1">IFERROR(计算区域!AF824,NA())</f>
        <v>#N/A</v>
      </c>
      <c r="J822" t="e">
        <f ca="1">IFERROR(计算区域!AG824,NA())</f>
        <v>#N/A</v>
      </c>
      <c r="L822" t="e">
        <f ca="1">IFERROR(计算区域!L824,NA())</f>
        <v>#N/A</v>
      </c>
      <c r="M822" t="e">
        <f ca="1">IFERROR(计算区域!M824,NA())</f>
        <v>#N/A</v>
      </c>
      <c r="N822" t="e">
        <f ca="1">IFERROR(计算区域!N824,NA())</f>
        <v>#N/A</v>
      </c>
      <c r="O822" t="e">
        <f ca="1">IFERROR(计算区域!O824,NA())</f>
        <v>#N/A</v>
      </c>
      <c r="Q822" t="e">
        <f ca="1">IFERROR(计算区域!R824,NA())</f>
        <v>#N/A</v>
      </c>
      <c r="R822" t="e">
        <f ca="1">IFERROR(计算区域!S824,NA())</f>
        <v>#N/A</v>
      </c>
      <c r="S822" t="e">
        <f ca="1">IFERROR(计算区域!T824,NA())</f>
        <v>#N/A</v>
      </c>
      <c r="T822" t="e">
        <f ca="1">IFERROR(计算区域!U824,NA())</f>
        <v>#N/A</v>
      </c>
      <c r="V822" t="e">
        <f ca="1">IFERROR(计算区域!X824,NA())</f>
        <v>#N/A</v>
      </c>
      <c r="W822" t="e">
        <f ca="1">IFERROR(计算区域!Y824,NA())</f>
        <v>#N/A</v>
      </c>
      <c r="X822" t="e">
        <f ca="1">IFERROR(计算区域!Z824,NA())</f>
        <v>#N/A</v>
      </c>
      <c r="Y822" t="e">
        <f ca="1">IFERROR(计算区域!AA824,NA())</f>
        <v>#N/A</v>
      </c>
    </row>
    <row r="823" spans="1:25" x14ac:dyDescent="0.2">
      <c r="A823" s="28">
        <f>计算区域!E825</f>
        <v>44235</v>
      </c>
      <c r="B823" t="e">
        <f ca="1">IFERROR(计算区域!AJ825,NA())</f>
        <v>#N/A</v>
      </c>
      <c r="C823" t="e">
        <f ca="1">IFERROR(计算区域!AK825,NA())</f>
        <v>#N/A</v>
      </c>
      <c r="D823" t="e">
        <f ca="1">IFERROR(计算区域!AL825,NA())</f>
        <v>#N/A</v>
      </c>
      <c r="E823" t="e">
        <f ca="1">IFERROR(计算区域!AM825,NA())</f>
        <v>#N/A</v>
      </c>
      <c r="G823" t="e">
        <f ca="1">IFERROR(计算区域!AD825,NA())</f>
        <v>#N/A</v>
      </c>
      <c r="H823" t="e">
        <f ca="1">IFERROR(计算区域!AE825,NA())</f>
        <v>#N/A</v>
      </c>
      <c r="I823" t="e">
        <f ca="1">IFERROR(计算区域!AF825,NA())</f>
        <v>#N/A</v>
      </c>
      <c r="J823" t="e">
        <f ca="1">IFERROR(计算区域!AG825,NA())</f>
        <v>#N/A</v>
      </c>
      <c r="L823" t="e">
        <f ca="1">IFERROR(计算区域!L825,NA())</f>
        <v>#N/A</v>
      </c>
      <c r="M823" t="e">
        <f ca="1">IFERROR(计算区域!M825,NA())</f>
        <v>#N/A</v>
      </c>
      <c r="N823" t="e">
        <f ca="1">IFERROR(计算区域!N825,NA())</f>
        <v>#N/A</v>
      </c>
      <c r="O823" t="e">
        <f ca="1">IFERROR(计算区域!O825,NA())</f>
        <v>#N/A</v>
      </c>
      <c r="Q823" t="e">
        <f ca="1">IFERROR(计算区域!R825,NA())</f>
        <v>#N/A</v>
      </c>
      <c r="R823" t="e">
        <f ca="1">IFERROR(计算区域!S825,NA())</f>
        <v>#N/A</v>
      </c>
      <c r="S823" t="e">
        <f ca="1">IFERROR(计算区域!T825,NA())</f>
        <v>#N/A</v>
      </c>
      <c r="T823" t="e">
        <f ca="1">IFERROR(计算区域!U825,NA())</f>
        <v>#N/A</v>
      </c>
      <c r="V823" t="e">
        <f ca="1">IFERROR(计算区域!X825,NA())</f>
        <v>#N/A</v>
      </c>
      <c r="W823" t="e">
        <f ca="1">IFERROR(计算区域!Y825,NA())</f>
        <v>#N/A</v>
      </c>
      <c r="X823" t="e">
        <f ca="1">IFERROR(计算区域!Z825,NA())</f>
        <v>#N/A</v>
      </c>
      <c r="Y823" t="e">
        <f ca="1">IFERROR(计算区域!AA825,NA())</f>
        <v>#N/A</v>
      </c>
    </row>
    <row r="824" spans="1:25" x14ac:dyDescent="0.2">
      <c r="A824" s="28">
        <f>计算区域!E826</f>
        <v>44232</v>
      </c>
      <c r="B824" t="e">
        <f ca="1">IFERROR(计算区域!AJ826,NA())</f>
        <v>#N/A</v>
      </c>
      <c r="C824" t="e">
        <f ca="1">IFERROR(计算区域!AK826,NA())</f>
        <v>#N/A</v>
      </c>
      <c r="D824" t="e">
        <f ca="1">IFERROR(计算区域!AL826,NA())</f>
        <v>#N/A</v>
      </c>
      <c r="E824" t="e">
        <f ca="1">IFERROR(计算区域!AM826,NA())</f>
        <v>#N/A</v>
      </c>
      <c r="G824" t="e">
        <f ca="1">IFERROR(计算区域!AD826,NA())</f>
        <v>#N/A</v>
      </c>
      <c r="H824" t="e">
        <f ca="1">IFERROR(计算区域!AE826,NA())</f>
        <v>#N/A</v>
      </c>
      <c r="I824" t="e">
        <f ca="1">IFERROR(计算区域!AF826,NA())</f>
        <v>#N/A</v>
      </c>
      <c r="J824" t="e">
        <f ca="1">IFERROR(计算区域!AG826,NA())</f>
        <v>#N/A</v>
      </c>
      <c r="L824" t="e">
        <f ca="1">IFERROR(计算区域!L826,NA())</f>
        <v>#N/A</v>
      </c>
      <c r="M824" t="e">
        <f ca="1">IFERROR(计算区域!M826,NA())</f>
        <v>#N/A</v>
      </c>
      <c r="N824" t="e">
        <f ca="1">IFERROR(计算区域!N826,NA())</f>
        <v>#N/A</v>
      </c>
      <c r="O824" t="e">
        <f ca="1">IFERROR(计算区域!O826,NA())</f>
        <v>#N/A</v>
      </c>
      <c r="Q824" t="e">
        <f ca="1">IFERROR(计算区域!R826,NA())</f>
        <v>#N/A</v>
      </c>
      <c r="R824" t="e">
        <f ca="1">IFERROR(计算区域!S826,NA())</f>
        <v>#N/A</v>
      </c>
      <c r="S824" t="e">
        <f ca="1">IFERROR(计算区域!T826,NA())</f>
        <v>#N/A</v>
      </c>
      <c r="T824" t="e">
        <f ca="1">IFERROR(计算区域!U826,NA())</f>
        <v>#N/A</v>
      </c>
      <c r="V824" t="e">
        <f ca="1">IFERROR(计算区域!X826,NA())</f>
        <v>#N/A</v>
      </c>
      <c r="W824" t="e">
        <f ca="1">IFERROR(计算区域!Y826,NA())</f>
        <v>#N/A</v>
      </c>
      <c r="X824" t="e">
        <f ca="1">IFERROR(计算区域!Z826,NA())</f>
        <v>#N/A</v>
      </c>
      <c r="Y824" t="e">
        <f ca="1">IFERROR(计算区域!AA826,NA())</f>
        <v>#N/A</v>
      </c>
    </row>
    <row r="825" spans="1:25" x14ac:dyDescent="0.2">
      <c r="A825" s="28">
        <f>计算区域!E827</f>
        <v>44231</v>
      </c>
      <c r="B825" t="e">
        <f ca="1">IFERROR(计算区域!AJ827,NA())</f>
        <v>#N/A</v>
      </c>
      <c r="C825" t="e">
        <f ca="1">IFERROR(计算区域!AK827,NA())</f>
        <v>#N/A</v>
      </c>
      <c r="D825" t="e">
        <f ca="1">IFERROR(计算区域!AL827,NA())</f>
        <v>#N/A</v>
      </c>
      <c r="E825" t="e">
        <f ca="1">IFERROR(计算区域!AM827,NA())</f>
        <v>#N/A</v>
      </c>
      <c r="G825" t="e">
        <f ca="1">IFERROR(计算区域!AD827,NA())</f>
        <v>#N/A</v>
      </c>
      <c r="H825" t="e">
        <f ca="1">IFERROR(计算区域!AE827,NA())</f>
        <v>#N/A</v>
      </c>
      <c r="I825" t="e">
        <f ca="1">IFERROR(计算区域!AF827,NA())</f>
        <v>#N/A</v>
      </c>
      <c r="J825" t="e">
        <f ca="1">IFERROR(计算区域!AG827,NA())</f>
        <v>#N/A</v>
      </c>
      <c r="L825" t="e">
        <f ca="1">IFERROR(计算区域!L827,NA())</f>
        <v>#N/A</v>
      </c>
      <c r="M825" t="e">
        <f ca="1">IFERROR(计算区域!M827,NA())</f>
        <v>#N/A</v>
      </c>
      <c r="N825" t="e">
        <f ca="1">IFERROR(计算区域!N827,NA())</f>
        <v>#N/A</v>
      </c>
      <c r="O825" t="e">
        <f ca="1">IFERROR(计算区域!O827,NA())</f>
        <v>#N/A</v>
      </c>
      <c r="Q825" t="e">
        <f ca="1">IFERROR(计算区域!R827,NA())</f>
        <v>#N/A</v>
      </c>
      <c r="R825" t="e">
        <f ca="1">IFERROR(计算区域!S827,NA())</f>
        <v>#N/A</v>
      </c>
      <c r="S825" t="e">
        <f ca="1">IFERROR(计算区域!T827,NA())</f>
        <v>#N/A</v>
      </c>
      <c r="T825" t="e">
        <f ca="1">IFERROR(计算区域!U827,NA())</f>
        <v>#N/A</v>
      </c>
      <c r="V825" t="e">
        <f ca="1">IFERROR(计算区域!X827,NA())</f>
        <v>#N/A</v>
      </c>
      <c r="W825" t="e">
        <f ca="1">IFERROR(计算区域!Y827,NA())</f>
        <v>#N/A</v>
      </c>
      <c r="X825" t="e">
        <f ca="1">IFERROR(计算区域!Z827,NA())</f>
        <v>#N/A</v>
      </c>
      <c r="Y825" t="e">
        <f ca="1">IFERROR(计算区域!AA827,NA())</f>
        <v>#N/A</v>
      </c>
    </row>
    <row r="826" spans="1:25" x14ac:dyDescent="0.2">
      <c r="A826" s="28">
        <f>计算区域!E828</f>
        <v>44230</v>
      </c>
      <c r="B826" t="e">
        <f ca="1">IFERROR(计算区域!AJ828,NA())</f>
        <v>#N/A</v>
      </c>
      <c r="C826" t="e">
        <f ca="1">IFERROR(计算区域!AK828,NA())</f>
        <v>#N/A</v>
      </c>
      <c r="D826" t="e">
        <f ca="1">IFERROR(计算区域!AL828,NA())</f>
        <v>#N/A</v>
      </c>
      <c r="E826" t="e">
        <f ca="1">IFERROR(计算区域!AM828,NA())</f>
        <v>#N/A</v>
      </c>
      <c r="G826" t="e">
        <f ca="1">IFERROR(计算区域!AD828,NA())</f>
        <v>#N/A</v>
      </c>
      <c r="H826" t="e">
        <f ca="1">IFERROR(计算区域!AE828,NA())</f>
        <v>#N/A</v>
      </c>
      <c r="I826" t="e">
        <f ca="1">IFERROR(计算区域!AF828,NA())</f>
        <v>#N/A</v>
      </c>
      <c r="J826" t="e">
        <f ca="1">IFERROR(计算区域!AG828,NA())</f>
        <v>#N/A</v>
      </c>
      <c r="L826" t="e">
        <f ca="1">IFERROR(计算区域!L828,NA())</f>
        <v>#N/A</v>
      </c>
      <c r="M826" t="e">
        <f ca="1">IFERROR(计算区域!M828,NA())</f>
        <v>#N/A</v>
      </c>
      <c r="N826" t="e">
        <f ca="1">IFERROR(计算区域!N828,NA())</f>
        <v>#N/A</v>
      </c>
      <c r="O826" t="e">
        <f ca="1">IFERROR(计算区域!O828,NA())</f>
        <v>#N/A</v>
      </c>
      <c r="Q826" t="e">
        <f ca="1">IFERROR(计算区域!R828,NA())</f>
        <v>#N/A</v>
      </c>
      <c r="R826" t="e">
        <f ca="1">IFERROR(计算区域!S828,NA())</f>
        <v>#N/A</v>
      </c>
      <c r="S826" t="e">
        <f ca="1">IFERROR(计算区域!T828,NA())</f>
        <v>#N/A</v>
      </c>
      <c r="T826" t="e">
        <f ca="1">IFERROR(计算区域!U828,NA())</f>
        <v>#N/A</v>
      </c>
      <c r="V826" t="e">
        <f ca="1">IFERROR(计算区域!X828,NA())</f>
        <v>#N/A</v>
      </c>
      <c r="W826" t="e">
        <f ca="1">IFERROR(计算区域!Y828,NA())</f>
        <v>#N/A</v>
      </c>
      <c r="X826" t="e">
        <f ca="1">IFERROR(计算区域!Z828,NA())</f>
        <v>#N/A</v>
      </c>
      <c r="Y826" t="e">
        <f ca="1">IFERROR(计算区域!AA828,NA())</f>
        <v>#N/A</v>
      </c>
    </row>
    <row r="827" spans="1:25" x14ac:dyDescent="0.2">
      <c r="A827" s="28">
        <f>计算区域!E829</f>
        <v>44229</v>
      </c>
      <c r="B827" t="e">
        <f ca="1">IFERROR(计算区域!AJ829,NA())</f>
        <v>#N/A</v>
      </c>
      <c r="C827" t="e">
        <f ca="1">IFERROR(计算区域!AK829,NA())</f>
        <v>#N/A</v>
      </c>
      <c r="D827" t="e">
        <f ca="1">IFERROR(计算区域!AL829,NA())</f>
        <v>#N/A</v>
      </c>
      <c r="E827" t="e">
        <f ca="1">IFERROR(计算区域!AM829,NA())</f>
        <v>#N/A</v>
      </c>
      <c r="G827" t="e">
        <f ca="1">IFERROR(计算区域!AD829,NA())</f>
        <v>#N/A</v>
      </c>
      <c r="H827" t="e">
        <f ca="1">IFERROR(计算区域!AE829,NA())</f>
        <v>#N/A</v>
      </c>
      <c r="I827" t="e">
        <f ca="1">IFERROR(计算区域!AF829,NA())</f>
        <v>#N/A</v>
      </c>
      <c r="J827" t="e">
        <f ca="1">IFERROR(计算区域!AG829,NA())</f>
        <v>#N/A</v>
      </c>
      <c r="L827" t="e">
        <f ca="1">IFERROR(计算区域!L829,NA())</f>
        <v>#N/A</v>
      </c>
      <c r="M827" t="e">
        <f ca="1">IFERROR(计算区域!M829,NA())</f>
        <v>#N/A</v>
      </c>
      <c r="N827" t="e">
        <f ca="1">IFERROR(计算区域!N829,NA())</f>
        <v>#N/A</v>
      </c>
      <c r="O827" t="e">
        <f ca="1">IFERROR(计算区域!O829,NA())</f>
        <v>#N/A</v>
      </c>
      <c r="Q827" t="e">
        <f ca="1">IFERROR(计算区域!R829,NA())</f>
        <v>#N/A</v>
      </c>
      <c r="R827" t="e">
        <f ca="1">IFERROR(计算区域!S829,NA())</f>
        <v>#N/A</v>
      </c>
      <c r="S827" t="e">
        <f ca="1">IFERROR(计算区域!T829,NA())</f>
        <v>#N/A</v>
      </c>
      <c r="T827" t="e">
        <f ca="1">IFERROR(计算区域!U829,NA())</f>
        <v>#N/A</v>
      </c>
      <c r="V827" t="e">
        <f ca="1">IFERROR(计算区域!X829,NA())</f>
        <v>#N/A</v>
      </c>
      <c r="W827" t="e">
        <f ca="1">IFERROR(计算区域!Y829,NA())</f>
        <v>#N/A</v>
      </c>
      <c r="X827" t="e">
        <f ca="1">IFERROR(计算区域!Z829,NA())</f>
        <v>#N/A</v>
      </c>
      <c r="Y827" t="e">
        <f ca="1">IFERROR(计算区域!AA829,NA())</f>
        <v>#N/A</v>
      </c>
    </row>
    <row r="828" spans="1:25" x14ac:dyDescent="0.2">
      <c r="A828" s="28">
        <f>计算区域!E830</f>
        <v>44228</v>
      </c>
      <c r="B828" t="e">
        <f ca="1">IFERROR(计算区域!AJ830,NA())</f>
        <v>#N/A</v>
      </c>
      <c r="C828" t="e">
        <f ca="1">IFERROR(计算区域!AK830,NA())</f>
        <v>#N/A</v>
      </c>
      <c r="D828" t="e">
        <f ca="1">IFERROR(计算区域!AL830,NA())</f>
        <v>#N/A</v>
      </c>
      <c r="E828" t="e">
        <f ca="1">IFERROR(计算区域!AM830,NA())</f>
        <v>#N/A</v>
      </c>
      <c r="G828" t="e">
        <f ca="1">IFERROR(计算区域!AD830,NA())</f>
        <v>#N/A</v>
      </c>
      <c r="H828" t="e">
        <f ca="1">IFERROR(计算区域!AE830,NA())</f>
        <v>#N/A</v>
      </c>
      <c r="I828" t="e">
        <f ca="1">IFERROR(计算区域!AF830,NA())</f>
        <v>#N/A</v>
      </c>
      <c r="J828" t="e">
        <f ca="1">IFERROR(计算区域!AG830,NA())</f>
        <v>#N/A</v>
      </c>
      <c r="L828" t="e">
        <f ca="1">IFERROR(计算区域!L830,NA())</f>
        <v>#N/A</v>
      </c>
      <c r="M828" t="e">
        <f ca="1">IFERROR(计算区域!M830,NA())</f>
        <v>#N/A</v>
      </c>
      <c r="N828" t="e">
        <f ca="1">IFERROR(计算区域!N830,NA())</f>
        <v>#N/A</v>
      </c>
      <c r="O828" t="e">
        <f ca="1">IFERROR(计算区域!O830,NA())</f>
        <v>#N/A</v>
      </c>
      <c r="Q828" t="e">
        <f ca="1">IFERROR(计算区域!R830,NA())</f>
        <v>#N/A</v>
      </c>
      <c r="R828" t="e">
        <f ca="1">IFERROR(计算区域!S830,NA())</f>
        <v>#N/A</v>
      </c>
      <c r="S828" t="e">
        <f ca="1">IFERROR(计算区域!T830,NA())</f>
        <v>#N/A</v>
      </c>
      <c r="T828" t="e">
        <f ca="1">IFERROR(计算区域!U830,NA())</f>
        <v>#N/A</v>
      </c>
      <c r="V828" t="e">
        <f ca="1">IFERROR(计算区域!X830,NA())</f>
        <v>#N/A</v>
      </c>
      <c r="W828" t="e">
        <f ca="1">IFERROR(计算区域!Y830,NA())</f>
        <v>#N/A</v>
      </c>
      <c r="X828" t="e">
        <f ca="1">IFERROR(计算区域!Z830,NA())</f>
        <v>#N/A</v>
      </c>
      <c r="Y828" t="e">
        <f ca="1">IFERROR(计算区域!AA830,NA())</f>
        <v>#N/A</v>
      </c>
    </row>
    <row r="829" spans="1:25" x14ac:dyDescent="0.2">
      <c r="A829" s="28">
        <f>计算区域!E831</f>
        <v>44225</v>
      </c>
      <c r="B829" t="e">
        <f ca="1">IFERROR(计算区域!AJ831,NA())</f>
        <v>#N/A</v>
      </c>
      <c r="C829" t="e">
        <f ca="1">IFERROR(计算区域!AK831,NA())</f>
        <v>#N/A</v>
      </c>
      <c r="D829" t="e">
        <f ca="1">IFERROR(计算区域!AL831,NA())</f>
        <v>#N/A</v>
      </c>
      <c r="E829" t="e">
        <f ca="1">IFERROR(计算区域!AM831,NA())</f>
        <v>#N/A</v>
      </c>
      <c r="G829" t="e">
        <f ca="1">IFERROR(计算区域!AD831,NA())</f>
        <v>#N/A</v>
      </c>
      <c r="H829" t="e">
        <f ca="1">IFERROR(计算区域!AE831,NA())</f>
        <v>#N/A</v>
      </c>
      <c r="I829" t="e">
        <f ca="1">IFERROR(计算区域!AF831,NA())</f>
        <v>#N/A</v>
      </c>
      <c r="J829" t="e">
        <f ca="1">IFERROR(计算区域!AG831,NA())</f>
        <v>#N/A</v>
      </c>
      <c r="L829" t="e">
        <f ca="1">IFERROR(计算区域!L831,NA())</f>
        <v>#N/A</v>
      </c>
      <c r="M829" t="e">
        <f ca="1">IFERROR(计算区域!M831,NA())</f>
        <v>#N/A</v>
      </c>
      <c r="N829" t="e">
        <f ca="1">IFERROR(计算区域!N831,NA())</f>
        <v>#N/A</v>
      </c>
      <c r="O829" t="e">
        <f ca="1">IFERROR(计算区域!O831,NA())</f>
        <v>#N/A</v>
      </c>
      <c r="Q829" t="e">
        <f ca="1">IFERROR(计算区域!R831,NA())</f>
        <v>#N/A</v>
      </c>
      <c r="R829" t="e">
        <f ca="1">IFERROR(计算区域!S831,NA())</f>
        <v>#N/A</v>
      </c>
      <c r="S829" t="e">
        <f ca="1">IFERROR(计算区域!T831,NA())</f>
        <v>#N/A</v>
      </c>
      <c r="T829" t="e">
        <f ca="1">IFERROR(计算区域!U831,NA())</f>
        <v>#N/A</v>
      </c>
      <c r="V829" t="e">
        <f ca="1">IFERROR(计算区域!X831,NA())</f>
        <v>#N/A</v>
      </c>
      <c r="W829" t="e">
        <f ca="1">IFERROR(计算区域!Y831,NA())</f>
        <v>#N/A</v>
      </c>
      <c r="X829" t="e">
        <f ca="1">IFERROR(计算区域!Z831,NA())</f>
        <v>#N/A</v>
      </c>
      <c r="Y829" t="e">
        <f ca="1">IFERROR(计算区域!AA831,NA())</f>
        <v>#N/A</v>
      </c>
    </row>
    <row r="830" spans="1:25" x14ac:dyDescent="0.2">
      <c r="A830" s="28">
        <f>计算区域!E832</f>
        <v>44224</v>
      </c>
      <c r="B830" t="e">
        <f ca="1">IFERROR(计算区域!AJ832,NA())</f>
        <v>#N/A</v>
      </c>
      <c r="C830" t="e">
        <f ca="1">IFERROR(计算区域!AK832,NA())</f>
        <v>#N/A</v>
      </c>
      <c r="D830" t="e">
        <f ca="1">IFERROR(计算区域!AL832,NA())</f>
        <v>#N/A</v>
      </c>
      <c r="E830" t="e">
        <f ca="1">IFERROR(计算区域!AM832,NA())</f>
        <v>#N/A</v>
      </c>
      <c r="G830" t="e">
        <f ca="1">IFERROR(计算区域!AD832,NA())</f>
        <v>#N/A</v>
      </c>
      <c r="H830" t="e">
        <f ca="1">IFERROR(计算区域!AE832,NA())</f>
        <v>#N/A</v>
      </c>
      <c r="I830" t="e">
        <f ca="1">IFERROR(计算区域!AF832,NA())</f>
        <v>#N/A</v>
      </c>
      <c r="J830" t="e">
        <f ca="1">IFERROR(计算区域!AG832,NA())</f>
        <v>#N/A</v>
      </c>
      <c r="L830" t="e">
        <f ca="1">IFERROR(计算区域!L832,NA())</f>
        <v>#N/A</v>
      </c>
      <c r="M830" t="e">
        <f ca="1">IFERROR(计算区域!M832,NA())</f>
        <v>#N/A</v>
      </c>
      <c r="N830" t="e">
        <f ca="1">IFERROR(计算区域!N832,NA())</f>
        <v>#N/A</v>
      </c>
      <c r="O830" t="e">
        <f ca="1">IFERROR(计算区域!O832,NA())</f>
        <v>#N/A</v>
      </c>
      <c r="Q830" t="e">
        <f ca="1">IFERROR(计算区域!R832,NA())</f>
        <v>#N/A</v>
      </c>
      <c r="R830" t="e">
        <f ca="1">IFERROR(计算区域!S832,NA())</f>
        <v>#N/A</v>
      </c>
      <c r="S830" t="e">
        <f ca="1">IFERROR(计算区域!T832,NA())</f>
        <v>#N/A</v>
      </c>
      <c r="T830" t="e">
        <f ca="1">IFERROR(计算区域!U832,NA())</f>
        <v>#N/A</v>
      </c>
      <c r="V830" t="e">
        <f ca="1">IFERROR(计算区域!X832,NA())</f>
        <v>#N/A</v>
      </c>
      <c r="W830" t="e">
        <f ca="1">IFERROR(计算区域!Y832,NA())</f>
        <v>#N/A</v>
      </c>
      <c r="X830" t="e">
        <f ca="1">IFERROR(计算区域!Z832,NA())</f>
        <v>#N/A</v>
      </c>
      <c r="Y830" t="e">
        <f ca="1">IFERROR(计算区域!AA832,NA())</f>
        <v>#N/A</v>
      </c>
    </row>
    <row r="831" spans="1:25" x14ac:dyDescent="0.2">
      <c r="A831" s="28">
        <f>计算区域!E833</f>
        <v>44223</v>
      </c>
      <c r="B831" t="e">
        <f ca="1">IFERROR(计算区域!AJ833,NA())</f>
        <v>#N/A</v>
      </c>
      <c r="C831" t="e">
        <f ca="1">IFERROR(计算区域!AK833,NA())</f>
        <v>#N/A</v>
      </c>
      <c r="D831" t="e">
        <f ca="1">IFERROR(计算区域!AL833,NA())</f>
        <v>#N/A</v>
      </c>
      <c r="E831" t="e">
        <f ca="1">IFERROR(计算区域!AM833,NA())</f>
        <v>#N/A</v>
      </c>
      <c r="G831" t="e">
        <f ca="1">IFERROR(计算区域!AD833,NA())</f>
        <v>#N/A</v>
      </c>
      <c r="H831" t="e">
        <f ca="1">IFERROR(计算区域!AE833,NA())</f>
        <v>#N/A</v>
      </c>
      <c r="I831" t="e">
        <f ca="1">IFERROR(计算区域!AF833,NA())</f>
        <v>#N/A</v>
      </c>
      <c r="J831" t="e">
        <f ca="1">IFERROR(计算区域!AG833,NA())</f>
        <v>#N/A</v>
      </c>
      <c r="L831" t="e">
        <f ca="1">IFERROR(计算区域!L833,NA())</f>
        <v>#N/A</v>
      </c>
      <c r="M831" t="e">
        <f ca="1">IFERROR(计算区域!M833,NA())</f>
        <v>#N/A</v>
      </c>
      <c r="N831" t="e">
        <f ca="1">IFERROR(计算区域!N833,NA())</f>
        <v>#N/A</v>
      </c>
      <c r="O831" t="e">
        <f ca="1">IFERROR(计算区域!O833,NA())</f>
        <v>#N/A</v>
      </c>
      <c r="Q831" t="e">
        <f ca="1">IFERROR(计算区域!R833,NA())</f>
        <v>#N/A</v>
      </c>
      <c r="R831" t="e">
        <f ca="1">IFERROR(计算区域!S833,NA())</f>
        <v>#N/A</v>
      </c>
      <c r="S831" t="e">
        <f ca="1">IFERROR(计算区域!T833,NA())</f>
        <v>#N/A</v>
      </c>
      <c r="T831" t="e">
        <f ca="1">IFERROR(计算区域!U833,NA())</f>
        <v>#N/A</v>
      </c>
      <c r="V831" t="e">
        <f ca="1">IFERROR(计算区域!X833,NA())</f>
        <v>#N/A</v>
      </c>
      <c r="W831" t="e">
        <f ca="1">IFERROR(计算区域!Y833,NA())</f>
        <v>#N/A</v>
      </c>
      <c r="X831" t="e">
        <f ca="1">IFERROR(计算区域!Z833,NA())</f>
        <v>#N/A</v>
      </c>
      <c r="Y831" t="e">
        <f ca="1">IFERROR(计算区域!AA833,NA())</f>
        <v>#N/A</v>
      </c>
    </row>
    <row r="832" spans="1:25" x14ac:dyDescent="0.2">
      <c r="A832" s="28">
        <f>计算区域!E834</f>
        <v>44222</v>
      </c>
      <c r="B832" t="e">
        <f ca="1">IFERROR(计算区域!AJ834,NA())</f>
        <v>#N/A</v>
      </c>
      <c r="C832" t="e">
        <f ca="1">IFERROR(计算区域!AK834,NA())</f>
        <v>#N/A</v>
      </c>
      <c r="D832" t="e">
        <f ca="1">IFERROR(计算区域!AL834,NA())</f>
        <v>#N/A</v>
      </c>
      <c r="E832" t="e">
        <f ca="1">IFERROR(计算区域!AM834,NA())</f>
        <v>#N/A</v>
      </c>
      <c r="G832" t="e">
        <f ca="1">IFERROR(计算区域!AD834,NA())</f>
        <v>#N/A</v>
      </c>
      <c r="H832" t="e">
        <f ca="1">IFERROR(计算区域!AE834,NA())</f>
        <v>#N/A</v>
      </c>
      <c r="I832" t="e">
        <f ca="1">IFERROR(计算区域!AF834,NA())</f>
        <v>#N/A</v>
      </c>
      <c r="J832" t="e">
        <f ca="1">IFERROR(计算区域!AG834,NA())</f>
        <v>#N/A</v>
      </c>
      <c r="L832" t="e">
        <f ca="1">IFERROR(计算区域!L834,NA())</f>
        <v>#N/A</v>
      </c>
      <c r="M832" t="e">
        <f ca="1">IFERROR(计算区域!M834,NA())</f>
        <v>#N/A</v>
      </c>
      <c r="N832" t="e">
        <f ca="1">IFERROR(计算区域!N834,NA())</f>
        <v>#N/A</v>
      </c>
      <c r="O832" t="e">
        <f ca="1">IFERROR(计算区域!O834,NA())</f>
        <v>#N/A</v>
      </c>
      <c r="Q832" t="e">
        <f ca="1">IFERROR(计算区域!R834,NA())</f>
        <v>#N/A</v>
      </c>
      <c r="R832" t="e">
        <f ca="1">IFERROR(计算区域!S834,NA())</f>
        <v>#N/A</v>
      </c>
      <c r="S832" t="e">
        <f ca="1">IFERROR(计算区域!T834,NA())</f>
        <v>#N/A</v>
      </c>
      <c r="T832" t="e">
        <f ca="1">IFERROR(计算区域!U834,NA())</f>
        <v>#N/A</v>
      </c>
      <c r="V832" t="e">
        <f ca="1">IFERROR(计算区域!X834,NA())</f>
        <v>#N/A</v>
      </c>
      <c r="W832" t="e">
        <f ca="1">IFERROR(计算区域!Y834,NA())</f>
        <v>#N/A</v>
      </c>
      <c r="X832" t="e">
        <f ca="1">IFERROR(计算区域!Z834,NA())</f>
        <v>#N/A</v>
      </c>
      <c r="Y832" t="e">
        <f ca="1">IFERROR(计算区域!AA834,NA())</f>
        <v>#N/A</v>
      </c>
    </row>
    <row r="833" spans="1:25" x14ac:dyDescent="0.2">
      <c r="A833" s="28">
        <f>计算区域!E835</f>
        <v>44221</v>
      </c>
      <c r="B833" t="e">
        <f ca="1">IFERROR(计算区域!AJ835,NA())</f>
        <v>#N/A</v>
      </c>
      <c r="C833" t="e">
        <f ca="1">IFERROR(计算区域!AK835,NA())</f>
        <v>#N/A</v>
      </c>
      <c r="D833" t="e">
        <f ca="1">IFERROR(计算区域!AL835,NA())</f>
        <v>#N/A</v>
      </c>
      <c r="E833" t="e">
        <f ca="1">IFERROR(计算区域!AM835,NA())</f>
        <v>#N/A</v>
      </c>
      <c r="G833" t="e">
        <f ca="1">IFERROR(计算区域!AD835,NA())</f>
        <v>#N/A</v>
      </c>
      <c r="H833" t="e">
        <f ca="1">IFERROR(计算区域!AE835,NA())</f>
        <v>#N/A</v>
      </c>
      <c r="I833" t="e">
        <f ca="1">IFERROR(计算区域!AF835,NA())</f>
        <v>#N/A</v>
      </c>
      <c r="J833" t="e">
        <f ca="1">IFERROR(计算区域!AG835,NA())</f>
        <v>#N/A</v>
      </c>
      <c r="L833" t="e">
        <f ca="1">IFERROR(计算区域!L835,NA())</f>
        <v>#N/A</v>
      </c>
      <c r="M833" t="e">
        <f ca="1">IFERROR(计算区域!M835,NA())</f>
        <v>#N/A</v>
      </c>
      <c r="N833" t="e">
        <f ca="1">IFERROR(计算区域!N835,NA())</f>
        <v>#N/A</v>
      </c>
      <c r="O833" t="e">
        <f ca="1">IFERROR(计算区域!O835,NA())</f>
        <v>#N/A</v>
      </c>
      <c r="Q833" t="e">
        <f ca="1">IFERROR(计算区域!R835,NA())</f>
        <v>#N/A</v>
      </c>
      <c r="R833" t="e">
        <f ca="1">IFERROR(计算区域!S835,NA())</f>
        <v>#N/A</v>
      </c>
      <c r="S833" t="e">
        <f ca="1">IFERROR(计算区域!T835,NA())</f>
        <v>#N/A</v>
      </c>
      <c r="T833" t="e">
        <f ca="1">IFERROR(计算区域!U835,NA())</f>
        <v>#N/A</v>
      </c>
      <c r="V833" t="e">
        <f ca="1">IFERROR(计算区域!X835,NA())</f>
        <v>#N/A</v>
      </c>
      <c r="W833" t="e">
        <f ca="1">IFERROR(计算区域!Y835,NA())</f>
        <v>#N/A</v>
      </c>
      <c r="X833" t="e">
        <f ca="1">IFERROR(计算区域!Z835,NA())</f>
        <v>#N/A</v>
      </c>
      <c r="Y833" t="e">
        <f ca="1">IFERROR(计算区域!AA835,NA())</f>
        <v>#N/A</v>
      </c>
    </row>
    <row r="834" spans="1:25" x14ac:dyDescent="0.2">
      <c r="A834" s="28">
        <f>计算区域!E836</f>
        <v>44218</v>
      </c>
      <c r="B834" t="e">
        <f ca="1">IFERROR(计算区域!AJ836,NA())</f>
        <v>#N/A</v>
      </c>
      <c r="C834" t="e">
        <f ca="1">IFERROR(计算区域!AK836,NA())</f>
        <v>#N/A</v>
      </c>
      <c r="D834" t="e">
        <f ca="1">IFERROR(计算区域!AL836,NA())</f>
        <v>#N/A</v>
      </c>
      <c r="E834" t="e">
        <f ca="1">IFERROR(计算区域!AM836,NA())</f>
        <v>#N/A</v>
      </c>
      <c r="G834" t="e">
        <f ca="1">IFERROR(计算区域!AD836,NA())</f>
        <v>#N/A</v>
      </c>
      <c r="H834" t="e">
        <f ca="1">IFERROR(计算区域!AE836,NA())</f>
        <v>#N/A</v>
      </c>
      <c r="I834" t="e">
        <f ca="1">IFERROR(计算区域!AF836,NA())</f>
        <v>#N/A</v>
      </c>
      <c r="J834" t="e">
        <f ca="1">IFERROR(计算区域!AG836,NA())</f>
        <v>#N/A</v>
      </c>
      <c r="L834" t="e">
        <f ca="1">IFERROR(计算区域!L836,NA())</f>
        <v>#N/A</v>
      </c>
      <c r="M834" t="e">
        <f ca="1">IFERROR(计算区域!M836,NA())</f>
        <v>#N/A</v>
      </c>
      <c r="N834" t="e">
        <f ca="1">IFERROR(计算区域!N836,NA())</f>
        <v>#N/A</v>
      </c>
      <c r="O834" t="e">
        <f ca="1">IFERROR(计算区域!O836,NA())</f>
        <v>#N/A</v>
      </c>
      <c r="Q834" t="e">
        <f ca="1">IFERROR(计算区域!R836,NA())</f>
        <v>#N/A</v>
      </c>
      <c r="R834" t="e">
        <f ca="1">IFERROR(计算区域!S836,NA())</f>
        <v>#N/A</v>
      </c>
      <c r="S834" t="e">
        <f ca="1">IFERROR(计算区域!T836,NA())</f>
        <v>#N/A</v>
      </c>
      <c r="T834" t="e">
        <f ca="1">IFERROR(计算区域!U836,NA())</f>
        <v>#N/A</v>
      </c>
      <c r="V834" t="e">
        <f ca="1">IFERROR(计算区域!X836,NA())</f>
        <v>#N/A</v>
      </c>
      <c r="W834" t="e">
        <f ca="1">IFERROR(计算区域!Y836,NA())</f>
        <v>#N/A</v>
      </c>
      <c r="X834" t="e">
        <f ca="1">IFERROR(计算区域!Z836,NA())</f>
        <v>#N/A</v>
      </c>
      <c r="Y834" t="e">
        <f ca="1">IFERROR(计算区域!AA836,NA())</f>
        <v>#N/A</v>
      </c>
    </row>
    <row r="835" spans="1:25" x14ac:dyDescent="0.2">
      <c r="A835" s="28">
        <f>计算区域!E837</f>
        <v>44217</v>
      </c>
      <c r="B835" t="e">
        <f ca="1">IFERROR(计算区域!AJ837,NA())</f>
        <v>#N/A</v>
      </c>
      <c r="C835" t="e">
        <f ca="1">IFERROR(计算区域!AK837,NA())</f>
        <v>#N/A</v>
      </c>
      <c r="D835" t="e">
        <f ca="1">IFERROR(计算区域!AL837,NA())</f>
        <v>#N/A</v>
      </c>
      <c r="E835" t="e">
        <f ca="1">IFERROR(计算区域!AM837,NA())</f>
        <v>#N/A</v>
      </c>
      <c r="G835" t="e">
        <f ca="1">IFERROR(计算区域!AD837,NA())</f>
        <v>#N/A</v>
      </c>
      <c r="H835" t="e">
        <f ca="1">IFERROR(计算区域!AE837,NA())</f>
        <v>#N/A</v>
      </c>
      <c r="I835" t="e">
        <f ca="1">IFERROR(计算区域!AF837,NA())</f>
        <v>#N/A</v>
      </c>
      <c r="J835" t="e">
        <f ca="1">IFERROR(计算区域!AG837,NA())</f>
        <v>#N/A</v>
      </c>
      <c r="L835" t="e">
        <f ca="1">IFERROR(计算区域!L837,NA())</f>
        <v>#N/A</v>
      </c>
      <c r="M835" t="e">
        <f ca="1">IFERROR(计算区域!M837,NA())</f>
        <v>#N/A</v>
      </c>
      <c r="N835" t="e">
        <f ca="1">IFERROR(计算区域!N837,NA())</f>
        <v>#N/A</v>
      </c>
      <c r="O835" t="e">
        <f ca="1">IFERROR(计算区域!O837,NA())</f>
        <v>#N/A</v>
      </c>
      <c r="Q835" t="e">
        <f ca="1">IFERROR(计算区域!R837,NA())</f>
        <v>#N/A</v>
      </c>
      <c r="R835" t="e">
        <f ca="1">IFERROR(计算区域!S837,NA())</f>
        <v>#N/A</v>
      </c>
      <c r="S835" t="e">
        <f ca="1">IFERROR(计算区域!T837,NA())</f>
        <v>#N/A</v>
      </c>
      <c r="T835" t="e">
        <f ca="1">IFERROR(计算区域!U837,NA())</f>
        <v>#N/A</v>
      </c>
      <c r="V835" t="e">
        <f ca="1">IFERROR(计算区域!X837,NA())</f>
        <v>#N/A</v>
      </c>
      <c r="W835" t="e">
        <f ca="1">IFERROR(计算区域!Y837,NA())</f>
        <v>#N/A</v>
      </c>
      <c r="X835" t="e">
        <f ca="1">IFERROR(计算区域!Z837,NA())</f>
        <v>#N/A</v>
      </c>
      <c r="Y835" t="e">
        <f ca="1">IFERROR(计算区域!AA837,NA())</f>
        <v>#N/A</v>
      </c>
    </row>
    <row r="836" spans="1:25" x14ac:dyDescent="0.2">
      <c r="A836" s="28">
        <f>计算区域!E838</f>
        <v>44216</v>
      </c>
      <c r="B836" t="e">
        <f ca="1">IFERROR(计算区域!AJ838,NA())</f>
        <v>#N/A</v>
      </c>
      <c r="C836" t="e">
        <f ca="1">IFERROR(计算区域!AK838,NA())</f>
        <v>#N/A</v>
      </c>
      <c r="D836" t="e">
        <f ca="1">IFERROR(计算区域!AL838,NA())</f>
        <v>#N/A</v>
      </c>
      <c r="E836" t="e">
        <f ca="1">IFERROR(计算区域!AM838,NA())</f>
        <v>#N/A</v>
      </c>
      <c r="G836" t="e">
        <f ca="1">IFERROR(计算区域!AD838,NA())</f>
        <v>#N/A</v>
      </c>
      <c r="H836" t="e">
        <f ca="1">IFERROR(计算区域!AE838,NA())</f>
        <v>#N/A</v>
      </c>
      <c r="I836" t="e">
        <f ca="1">IFERROR(计算区域!AF838,NA())</f>
        <v>#N/A</v>
      </c>
      <c r="J836" t="e">
        <f ca="1">IFERROR(计算区域!AG838,NA())</f>
        <v>#N/A</v>
      </c>
      <c r="L836" t="e">
        <f ca="1">IFERROR(计算区域!L838,NA())</f>
        <v>#N/A</v>
      </c>
      <c r="M836" t="e">
        <f ca="1">IFERROR(计算区域!M838,NA())</f>
        <v>#N/A</v>
      </c>
      <c r="N836" t="e">
        <f ca="1">IFERROR(计算区域!N838,NA())</f>
        <v>#N/A</v>
      </c>
      <c r="O836" t="e">
        <f ca="1">IFERROR(计算区域!O838,NA())</f>
        <v>#N/A</v>
      </c>
      <c r="Q836" t="e">
        <f ca="1">IFERROR(计算区域!R838,NA())</f>
        <v>#N/A</v>
      </c>
      <c r="R836" t="e">
        <f ca="1">IFERROR(计算区域!S838,NA())</f>
        <v>#N/A</v>
      </c>
      <c r="S836" t="e">
        <f ca="1">IFERROR(计算区域!T838,NA())</f>
        <v>#N/A</v>
      </c>
      <c r="T836" t="e">
        <f ca="1">IFERROR(计算区域!U838,NA())</f>
        <v>#N/A</v>
      </c>
      <c r="V836" t="e">
        <f ca="1">IFERROR(计算区域!X838,NA())</f>
        <v>#N/A</v>
      </c>
      <c r="W836" t="e">
        <f ca="1">IFERROR(计算区域!Y838,NA())</f>
        <v>#N/A</v>
      </c>
      <c r="X836" t="e">
        <f ca="1">IFERROR(计算区域!Z838,NA())</f>
        <v>#N/A</v>
      </c>
      <c r="Y836" t="e">
        <f ca="1">IFERROR(计算区域!AA838,NA())</f>
        <v>#N/A</v>
      </c>
    </row>
    <row r="837" spans="1:25" x14ac:dyDescent="0.2">
      <c r="A837" s="28">
        <f>计算区域!E839</f>
        <v>44215</v>
      </c>
      <c r="B837" t="e">
        <f ca="1">IFERROR(计算区域!AJ839,NA())</f>
        <v>#N/A</v>
      </c>
      <c r="C837" t="e">
        <f ca="1">IFERROR(计算区域!AK839,NA())</f>
        <v>#N/A</v>
      </c>
      <c r="D837" t="e">
        <f ca="1">IFERROR(计算区域!AL839,NA())</f>
        <v>#N/A</v>
      </c>
      <c r="E837" t="e">
        <f ca="1">IFERROR(计算区域!AM839,NA())</f>
        <v>#N/A</v>
      </c>
      <c r="G837" t="e">
        <f ca="1">IFERROR(计算区域!AD839,NA())</f>
        <v>#N/A</v>
      </c>
      <c r="H837" t="e">
        <f ca="1">IFERROR(计算区域!AE839,NA())</f>
        <v>#N/A</v>
      </c>
      <c r="I837" t="e">
        <f ca="1">IFERROR(计算区域!AF839,NA())</f>
        <v>#N/A</v>
      </c>
      <c r="J837" t="e">
        <f ca="1">IFERROR(计算区域!AG839,NA())</f>
        <v>#N/A</v>
      </c>
      <c r="L837" t="e">
        <f ca="1">IFERROR(计算区域!L839,NA())</f>
        <v>#N/A</v>
      </c>
      <c r="M837" t="e">
        <f ca="1">IFERROR(计算区域!M839,NA())</f>
        <v>#N/A</v>
      </c>
      <c r="N837" t="e">
        <f ca="1">IFERROR(计算区域!N839,NA())</f>
        <v>#N/A</v>
      </c>
      <c r="O837" t="e">
        <f ca="1">IFERROR(计算区域!O839,NA())</f>
        <v>#N/A</v>
      </c>
      <c r="Q837" t="e">
        <f ca="1">IFERROR(计算区域!R839,NA())</f>
        <v>#N/A</v>
      </c>
      <c r="R837" t="e">
        <f ca="1">IFERROR(计算区域!S839,NA())</f>
        <v>#N/A</v>
      </c>
      <c r="S837" t="e">
        <f ca="1">IFERROR(计算区域!T839,NA())</f>
        <v>#N/A</v>
      </c>
      <c r="T837" t="e">
        <f ca="1">IFERROR(计算区域!U839,NA())</f>
        <v>#N/A</v>
      </c>
      <c r="V837" t="e">
        <f ca="1">IFERROR(计算区域!X839,NA())</f>
        <v>#N/A</v>
      </c>
      <c r="W837" t="e">
        <f ca="1">IFERROR(计算区域!Y839,NA())</f>
        <v>#N/A</v>
      </c>
      <c r="X837" t="e">
        <f ca="1">IFERROR(计算区域!Z839,NA())</f>
        <v>#N/A</v>
      </c>
      <c r="Y837" t="e">
        <f ca="1">IFERROR(计算区域!AA839,NA())</f>
        <v>#N/A</v>
      </c>
    </row>
    <row r="838" spans="1:25" x14ac:dyDescent="0.2">
      <c r="A838" s="28">
        <f>计算区域!E840</f>
        <v>44214</v>
      </c>
      <c r="B838" t="e">
        <f ca="1">IFERROR(计算区域!AJ840,NA())</f>
        <v>#N/A</v>
      </c>
      <c r="C838" t="e">
        <f ca="1">IFERROR(计算区域!AK840,NA())</f>
        <v>#N/A</v>
      </c>
      <c r="D838" t="e">
        <f ca="1">IFERROR(计算区域!AL840,NA())</f>
        <v>#N/A</v>
      </c>
      <c r="E838" t="e">
        <f ca="1">IFERROR(计算区域!AM840,NA())</f>
        <v>#N/A</v>
      </c>
      <c r="G838" t="e">
        <f ca="1">IFERROR(计算区域!AD840,NA())</f>
        <v>#N/A</v>
      </c>
      <c r="H838" t="e">
        <f ca="1">IFERROR(计算区域!AE840,NA())</f>
        <v>#N/A</v>
      </c>
      <c r="I838" t="e">
        <f ca="1">IFERROR(计算区域!AF840,NA())</f>
        <v>#N/A</v>
      </c>
      <c r="J838" t="e">
        <f ca="1">IFERROR(计算区域!AG840,NA())</f>
        <v>#N/A</v>
      </c>
      <c r="L838" t="e">
        <f ca="1">IFERROR(计算区域!L840,NA())</f>
        <v>#N/A</v>
      </c>
      <c r="M838" t="e">
        <f ca="1">IFERROR(计算区域!M840,NA())</f>
        <v>#N/A</v>
      </c>
      <c r="N838" t="e">
        <f ca="1">IFERROR(计算区域!N840,NA())</f>
        <v>#N/A</v>
      </c>
      <c r="O838" t="e">
        <f ca="1">IFERROR(计算区域!O840,NA())</f>
        <v>#N/A</v>
      </c>
      <c r="Q838" t="e">
        <f ca="1">IFERROR(计算区域!R840,NA())</f>
        <v>#N/A</v>
      </c>
      <c r="R838" t="e">
        <f ca="1">IFERROR(计算区域!S840,NA())</f>
        <v>#N/A</v>
      </c>
      <c r="S838" t="e">
        <f ca="1">IFERROR(计算区域!T840,NA())</f>
        <v>#N/A</v>
      </c>
      <c r="T838" t="e">
        <f ca="1">IFERROR(计算区域!U840,NA())</f>
        <v>#N/A</v>
      </c>
      <c r="V838" t="e">
        <f ca="1">IFERROR(计算区域!X840,NA())</f>
        <v>#N/A</v>
      </c>
      <c r="W838" t="e">
        <f ca="1">IFERROR(计算区域!Y840,NA())</f>
        <v>#N/A</v>
      </c>
      <c r="X838" t="e">
        <f ca="1">IFERROR(计算区域!Z840,NA())</f>
        <v>#N/A</v>
      </c>
      <c r="Y838" t="e">
        <f ca="1">IFERROR(计算区域!AA840,NA())</f>
        <v>#N/A</v>
      </c>
    </row>
    <row r="839" spans="1:25" x14ac:dyDescent="0.2">
      <c r="A839" s="28">
        <f>计算区域!E841</f>
        <v>44211</v>
      </c>
      <c r="B839" t="e">
        <f ca="1">IFERROR(计算区域!AJ841,NA())</f>
        <v>#N/A</v>
      </c>
      <c r="C839" t="e">
        <f ca="1">IFERROR(计算区域!AK841,NA())</f>
        <v>#N/A</v>
      </c>
      <c r="D839" t="e">
        <f ca="1">IFERROR(计算区域!AL841,NA())</f>
        <v>#N/A</v>
      </c>
      <c r="E839" t="e">
        <f ca="1">IFERROR(计算区域!AM841,NA())</f>
        <v>#N/A</v>
      </c>
      <c r="G839" t="e">
        <f ca="1">IFERROR(计算区域!AD841,NA())</f>
        <v>#N/A</v>
      </c>
      <c r="H839" t="e">
        <f ca="1">IFERROR(计算区域!AE841,NA())</f>
        <v>#N/A</v>
      </c>
      <c r="I839" t="e">
        <f ca="1">IFERROR(计算区域!AF841,NA())</f>
        <v>#N/A</v>
      </c>
      <c r="J839" t="e">
        <f ca="1">IFERROR(计算区域!AG841,NA())</f>
        <v>#N/A</v>
      </c>
      <c r="L839" t="e">
        <f ca="1">IFERROR(计算区域!L841,NA())</f>
        <v>#N/A</v>
      </c>
      <c r="M839" t="e">
        <f ca="1">IFERROR(计算区域!M841,NA())</f>
        <v>#N/A</v>
      </c>
      <c r="N839" t="e">
        <f ca="1">IFERROR(计算区域!N841,NA())</f>
        <v>#N/A</v>
      </c>
      <c r="O839" t="e">
        <f ca="1">IFERROR(计算区域!O841,NA())</f>
        <v>#N/A</v>
      </c>
      <c r="Q839" t="e">
        <f ca="1">IFERROR(计算区域!R841,NA())</f>
        <v>#N/A</v>
      </c>
      <c r="R839" t="e">
        <f ca="1">IFERROR(计算区域!S841,NA())</f>
        <v>#N/A</v>
      </c>
      <c r="S839" t="e">
        <f ca="1">IFERROR(计算区域!T841,NA())</f>
        <v>#N/A</v>
      </c>
      <c r="T839" t="e">
        <f ca="1">IFERROR(计算区域!U841,NA())</f>
        <v>#N/A</v>
      </c>
      <c r="V839" t="e">
        <f ca="1">IFERROR(计算区域!X841,NA())</f>
        <v>#N/A</v>
      </c>
      <c r="W839" t="e">
        <f ca="1">IFERROR(计算区域!Y841,NA())</f>
        <v>#N/A</v>
      </c>
      <c r="X839" t="e">
        <f ca="1">IFERROR(计算区域!Z841,NA())</f>
        <v>#N/A</v>
      </c>
      <c r="Y839" t="e">
        <f ca="1">IFERROR(计算区域!AA841,NA())</f>
        <v>#N/A</v>
      </c>
    </row>
    <row r="840" spans="1:25" x14ac:dyDescent="0.2">
      <c r="A840" s="28">
        <f>计算区域!E842</f>
        <v>44210</v>
      </c>
      <c r="B840" t="e">
        <f ca="1">IFERROR(计算区域!AJ842,NA())</f>
        <v>#N/A</v>
      </c>
      <c r="C840" t="e">
        <f ca="1">IFERROR(计算区域!AK842,NA())</f>
        <v>#N/A</v>
      </c>
      <c r="D840" t="e">
        <f ca="1">IFERROR(计算区域!AL842,NA())</f>
        <v>#N/A</v>
      </c>
      <c r="E840" t="e">
        <f ca="1">IFERROR(计算区域!AM842,NA())</f>
        <v>#N/A</v>
      </c>
      <c r="G840" t="e">
        <f ca="1">IFERROR(计算区域!AD842,NA())</f>
        <v>#N/A</v>
      </c>
      <c r="H840" t="e">
        <f ca="1">IFERROR(计算区域!AE842,NA())</f>
        <v>#N/A</v>
      </c>
      <c r="I840" t="e">
        <f ca="1">IFERROR(计算区域!AF842,NA())</f>
        <v>#N/A</v>
      </c>
      <c r="J840" t="e">
        <f ca="1">IFERROR(计算区域!AG842,NA())</f>
        <v>#N/A</v>
      </c>
      <c r="L840" t="e">
        <f ca="1">IFERROR(计算区域!L842,NA())</f>
        <v>#N/A</v>
      </c>
      <c r="M840" t="e">
        <f ca="1">IFERROR(计算区域!M842,NA())</f>
        <v>#N/A</v>
      </c>
      <c r="N840" t="e">
        <f ca="1">IFERROR(计算区域!N842,NA())</f>
        <v>#N/A</v>
      </c>
      <c r="O840" t="e">
        <f ca="1">IFERROR(计算区域!O842,NA())</f>
        <v>#N/A</v>
      </c>
      <c r="Q840" t="e">
        <f ca="1">IFERROR(计算区域!R842,NA())</f>
        <v>#N/A</v>
      </c>
      <c r="R840" t="e">
        <f ca="1">IFERROR(计算区域!S842,NA())</f>
        <v>#N/A</v>
      </c>
      <c r="S840" t="e">
        <f ca="1">IFERROR(计算区域!T842,NA())</f>
        <v>#N/A</v>
      </c>
      <c r="T840" t="e">
        <f ca="1">IFERROR(计算区域!U842,NA())</f>
        <v>#N/A</v>
      </c>
      <c r="V840" t="e">
        <f ca="1">IFERROR(计算区域!X842,NA())</f>
        <v>#N/A</v>
      </c>
      <c r="W840" t="e">
        <f ca="1">IFERROR(计算区域!Y842,NA())</f>
        <v>#N/A</v>
      </c>
      <c r="X840" t="e">
        <f ca="1">IFERROR(计算区域!Z842,NA())</f>
        <v>#N/A</v>
      </c>
      <c r="Y840" t="e">
        <f ca="1">IFERROR(计算区域!AA842,NA())</f>
        <v>#N/A</v>
      </c>
    </row>
    <row r="841" spans="1:25" x14ac:dyDescent="0.2">
      <c r="A841" s="28">
        <f>计算区域!E843</f>
        <v>44209</v>
      </c>
      <c r="B841" t="e">
        <f ca="1">IFERROR(计算区域!AJ843,NA())</f>
        <v>#N/A</v>
      </c>
      <c r="C841" t="e">
        <f ca="1">IFERROR(计算区域!AK843,NA())</f>
        <v>#N/A</v>
      </c>
      <c r="D841" t="e">
        <f ca="1">IFERROR(计算区域!AL843,NA())</f>
        <v>#N/A</v>
      </c>
      <c r="E841" t="e">
        <f ca="1">IFERROR(计算区域!AM843,NA())</f>
        <v>#N/A</v>
      </c>
      <c r="G841" t="e">
        <f ca="1">IFERROR(计算区域!AD843,NA())</f>
        <v>#N/A</v>
      </c>
      <c r="H841" t="e">
        <f ca="1">IFERROR(计算区域!AE843,NA())</f>
        <v>#N/A</v>
      </c>
      <c r="I841" t="e">
        <f ca="1">IFERROR(计算区域!AF843,NA())</f>
        <v>#N/A</v>
      </c>
      <c r="J841" t="e">
        <f ca="1">IFERROR(计算区域!AG843,NA())</f>
        <v>#N/A</v>
      </c>
      <c r="L841" t="e">
        <f ca="1">IFERROR(计算区域!L843,NA())</f>
        <v>#N/A</v>
      </c>
      <c r="M841" t="e">
        <f ca="1">IFERROR(计算区域!M843,NA())</f>
        <v>#N/A</v>
      </c>
      <c r="N841" t="e">
        <f ca="1">IFERROR(计算区域!N843,NA())</f>
        <v>#N/A</v>
      </c>
      <c r="O841" t="e">
        <f ca="1">IFERROR(计算区域!O843,NA())</f>
        <v>#N/A</v>
      </c>
      <c r="Q841" t="e">
        <f ca="1">IFERROR(计算区域!R843,NA())</f>
        <v>#N/A</v>
      </c>
      <c r="R841" t="e">
        <f ca="1">IFERROR(计算区域!S843,NA())</f>
        <v>#N/A</v>
      </c>
      <c r="S841" t="e">
        <f ca="1">IFERROR(计算区域!T843,NA())</f>
        <v>#N/A</v>
      </c>
      <c r="T841" t="e">
        <f ca="1">IFERROR(计算区域!U843,NA())</f>
        <v>#N/A</v>
      </c>
      <c r="V841" t="e">
        <f ca="1">IFERROR(计算区域!X843,NA())</f>
        <v>#N/A</v>
      </c>
      <c r="W841" t="e">
        <f ca="1">IFERROR(计算区域!Y843,NA())</f>
        <v>#N/A</v>
      </c>
      <c r="X841" t="e">
        <f ca="1">IFERROR(计算区域!Z843,NA())</f>
        <v>#N/A</v>
      </c>
      <c r="Y841" t="e">
        <f ca="1">IFERROR(计算区域!AA843,NA())</f>
        <v>#N/A</v>
      </c>
    </row>
    <row r="842" spans="1:25" x14ac:dyDescent="0.2">
      <c r="A842" s="28">
        <f>计算区域!E844</f>
        <v>44208</v>
      </c>
      <c r="B842" t="e">
        <f ca="1">IFERROR(计算区域!AJ844,NA())</f>
        <v>#N/A</v>
      </c>
      <c r="C842" t="e">
        <f ca="1">IFERROR(计算区域!AK844,NA())</f>
        <v>#N/A</v>
      </c>
      <c r="D842" t="e">
        <f ca="1">IFERROR(计算区域!AL844,NA())</f>
        <v>#N/A</v>
      </c>
      <c r="E842" t="e">
        <f ca="1">IFERROR(计算区域!AM844,NA())</f>
        <v>#N/A</v>
      </c>
      <c r="G842" t="e">
        <f ca="1">IFERROR(计算区域!AD844,NA())</f>
        <v>#N/A</v>
      </c>
      <c r="H842" t="e">
        <f ca="1">IFERROR(计算区域!AE844,NA())</f>
        <v>#N/A</v>
      </c>
      <c r="I842" t="e">
        <f ca="1">IFERROR(计算区域!AF844,NA())</f>
        <v>#N/A</v>
      </c>
      <c r="J842" t="e">
        <f ca="1">IFERROR(计算区域!AG844,NA())</f>
        <v>#N/A</v>
      </c>
      <c r="L842" t="e">
        <f ca="1">IFERROR(计算区域!L844,NA())</f>
        <v>#N/A</v>
      </c>
      <c r="M842" t="e">
        <f ca="1">IFERROR(计算区域!M844,NA())</f>
        <v>#N/A</v>
      </c>
      <c r="N842" t="e">
        <f ca="1">IFERROR(计算区域!N844,NA())</f>
        <v>#N/A</v>
      </c>
      <c r="O842" t="e">
        <f ca="1">IFERROR(计算区域!O844,NA())</f>
        <v>#N/A</v>
      </c>
      <c r="Q842" t="e">
        <f ca="1">IFERROR(计算区域!R844,NA())</f>
        <v>#N/A</v>
      </c>
      <c r="R842" t="e">
        <f ca="1">IFERROR(计算区域!S844,NA())</f>
        <v>#N/A</v>
      </c>
      <c r="S842" t="e">
        <f ca="1">IFERROR(计算区域!T844,NA())</f>
        <v>#N/A</v>
      </c>
      <c r="T842" t="e">
        <f ca="1">IFERROR(计算区域!U844,NA())</f>
        <v>#N/A</v>
      </c>
      <c r="V842" t="e">
        <f ca="1">IFERROR(计算区域!X844,NA())</f>
        <v>#N/A</v>
      </c>
      <c r="W842" t="e">
        <f ca="1">IFERROR(计算区域!Y844,NA())</f>
        <v>#N/A</v>
      </c>
      <c r="X842" t="e">
        <f ca="1">IFERROR(计算区域!Z844,NA())</f>
        <v>#N/A</v>
      </c>
      <c r="Y842" t="e">
        <f ca="1">IFERROR(计算区域!AA844,NA())</f>
        <v>#N/A</v>
      </c>
    </row>
    <row r="843" spans="1:25" x14ac:dyDescent="0.2">
      <c r="A843" s="28">
        <f>计算区域!E845</f>
        <v>44207</v>
      </c>
      <c r="B843" t="e">
        <f ca="1">IFERROR(计算区域!AJ845,NA())</f>
        <v>#N/A</v>
      </c>
      <c r="C843" t="e">
        <f ca="1">IFERROR(计算区域!AK845,NA())</f>
        <v>#N/A</v>
      </c>
      <c r="D843" t="e">
        <f ca="1">IFERROR(计算区域!AL845,NA())</f>
        <v>#N/A</v>
      </c>
      <c r="E843" t="e">
        <f ca="1">IFERROR(计算区域!AM845,NA())</f>
        <v>#N/A</v>
      </c>
      <c r="G843" t="e">
        <f ca="1">IFERROR(计算区域!AD845,NA())</f>
        <v>#N/A</v>
      </c>
      <c r="H843" t="e">
        <f ca="1">IFERROR(计算区域!AE845,NA())</f>
        <v>#N/A</v>
      </c>
      <c r="I843" t="e">
        <f ca="1">IFERROR(计算区域!AF845,NA())</f>
        <v>#N/A</v>
      </c>
      <c r="J843" t="e">
        <f ca="1">IFERROR(计算区域!AG845,NA())</f>
        <v>#N/A</v>
      </c>
      <c r="L843" t="e">
        <f ca="1">IFERROR(计算区域!L845,NA())</f>
        <v>#N/A</v>
      </c>
      <c r="M843" t="e">
        <f ca="1">IFERROR(计算区域!M845,NA())</f>
        <v>#N/A</v>
      </c>
      <c r="N843" t="e">
        <f ca="1">IFERROR(计算区域!N845,NA())</f>
        <v>#N/A</v>
      </c>
      <c r="O843" t="e">
        <f ca="1">IFERROR(计算区域!O845,NA())</f>
        <v>#N/A</v>
      </c>
      <c r="Q843" t="e">
        <f ca="1">IFERROR(计算区域!R845,NA())</f>
        <v>#N/A</v>
      </c>
      <c r="R843" t="e">
        <f ca="1">IFERROR(计算区域!S845,NA())</f>
        <v>#N/A</v>
      </c>
      <c r="S843" t="e">
        <f ca="1">IFERROR(计算区域!T845,NA())</f>
        <v>#N/A</v>
      </c>
      <c r="T843" t="e">
        <f ca="1">IFERROR(计算区域!U845,NA())</f>
        <v>#N/A</v>
      </c>
      <c r="V843" t="e">
        <f ca="1">IFERROR(计算区域!X845,NA())</f>
        <v>#N/A</v>
      </c>
      <c r="W843" t="e">
        <f ca="1">IFERROR(计算区域!Y845,NA())</f>
        <v>#N/A</v>
      </c>
      <c r="X843" t="e">
        <f ca="1">IFERROR(计算区域!Z845,NA())</f>
        <v>#N/A</v>
      </c>
      <c r="Y843" t="e">
        <f ca="1">IFERROR(计算区域!AA845,NA())</f>
        <v>#N/A</v>
      </c>
    </row>
    <row r="844" spans="1:25" x14ac:dyDescent="0.2">
      <c r="A844" s="28">
        <f>计算区域!E846</f>
        <v>44204</v>
      </c>
      <c r="B844" t="e">
        <f ca="1">IFERROR(计算区域!AJ846,NA())</f>
        <v>#N/A</v>
      </c>
      <c r="C844" t="e">
        <f ca="1">IFERROR(计算区域!AK846,NA())</f>
        <v>#N/A</v>
      </c>
      <c r="D844" t="e">
        <f ca="1">IFERROR(计算区域!AL846,NA())</f>
        <v>#N/A</v>
      </c>
      <c r="E844" t="e">
        <f ca="1">IFERROR(计算区域!AM846,NA())</f>
        <v>#N/A</v>
      </c>
      <c r="G844" t="e">
        <f ca="1">IFERROR(计算区域!AD846,NA())</f>
        <v>#N/A</v>
      </c>
      <c r="H844" t="e">
        <f ca="1">IFERROR(计算区域!AE846,NA())</f>
        <v>#N/A</v>
      </c>
      <c r="I844" t="e">
        <f ca="1">IFERROR(计算区域!AF846,NA())</f>
        <v>#N/A</v>
      </c>
      <c r="J844" t="e">
        <f ca="1">IFERROR(计算区域!AG846,NA())</f>
        <v>#N/A</v>
      </c>
      <c r="L844" t="e">
        <f ca="1">IFERROR(计算区域!L846,NA())</f>
        <v>#N/A</v>
      </c>
      <c r="M844" t="e">
        <f ca="1">IFERROR(计算区域!M846,NA())</f>
        <v>#N/A</v>
      </c>
      <c r="N844" t="e">
        <f ca="1">IFERROR(计算区域!N846,NA())</f>
        <v>#N/A</v>
      </c>
      <c r="O844" t="e">
        <f ca="1">IFERROR(计算区域!O846,NA())</f>
        <v>#N/A</v>
      </c>
      <c r="Q844" t="e">
        <f ca="1">IFERROR(计算区域!R846,NA())</f>
        <v>#N/A</v>
      </c>
      <c r="R844" t="e">
        <f ca="1">IFERROR(计算区域!S846,NA())</f>
        <v>#N/A</v>
      </c>
      <c r="S844" t="e">
        <f ca="1">IFERROR(计算区域!T846,NA())</f>
        <v>#N/A</v>
      </c>
      <c r="T844" t="e">
        <f ca="1">IFERROR(计算区域!U846,NA())</f>
        <v>#N/A</v>
      </c>
      <c r="V844" t="e">
        <f ca="1">IFERROR(计算区域!X846,NA())</f>
        <v>#N/A</v>
      </c>
      <c r="W844" t="e">
        <f ca="1">IFERROR(计算区域!Y846,NA())</f>
        <v>#N/A</v>
      </c>
      <c r="X844" t="e">
        <f ca="1">IFERROR(计算区域!Z846,NA())</f>
        <v>#N/A</v>
      </c>
      <c r="Y844" t="e">
        <f ca="1">IFERROR(计算区域!AA846,NA())</f>
        <v>#N/A</v>
      </c>
    </row>
    <row r="845" spans="1:25" x14ac:dyDescent="0.2">
      <c r="A845" s="28">
        <f>计算区域!E847</f>
        <v>44203</v>
      </c>
      <c r="B845" t="e">
        <f ca="1">IFERROR(计算区域!AJ847,NA())</f>
        <v>#N/A</v>
      </c>
      <c r="C845" t="e">
        <f ca="1">IFERROR(计算区域!AK847,NA())</f>
        <v>#N/A</v>
      </c>
      <c r="D845" t="e">
        <f ca="1">IFERROR(计算区域!AL847,NA())</f>
        <v>#N/A</v>
      </c>
      <c r="E845" t="e">
        <f ca="1">IFERROR(计算区域!AM847,NA())</f>
        <v>#N/A</v>
      </c>
      <c r="G845" t="e">
        <f ca="1">IFERROR(计算区域!AD847,NA())</f>
        <v>#N/A</v>
      </c>
      <c r="H845" t="e">
        <f ca="1">IFERROR(计算区域!AE847,NA())</f>
        <v>#N/A</v>
      </c>
      <c r="I845" t="e">
        <f ca="1">IFERROR(计算区域!AF847,NA())</f>
        <v>#N/A</v>
      </c>
      <c r="J845" t="e">
        <f ca="1">IFERROR(计算区域!AG847,NA())</f>
        <v>#N/A</v>
      </c>
      <c r="L845" t="e">
        <f ca="1">IFERROR(计算区域!L847,NA())</f>
        <v>#N/A</v>
      </c>
      <c r="M845" t="e">
        <f ca="1">IFERROR(计算区域!M847,NA())</f>
        <v>#N/A</v>
      </c>
      <c r="N845" t="e">
        <f ca="1">IFERROR(计算区域!N847,NA())</f>
        <v>#N/A</v>
      </c>
      <c r="O845" t="e">
        <f ca="1">IFERROR(计算区域!O847,NA())</f>
        <v>#N/A</v>
      </c>
      <c r="Q845" t="e">
        <f ca="1">IFERROR(计算区域!R847,NA())</f>
        <v>#N/A</v>
      </c>
      <c r="R845" t="e">
        <f ca="1">IFERROR(计算区域!S847,NA())</f>
        <v>#N/A</v>
      </c>
      <c r="S845" t="e">
        <f ca="1">IFERROR(计算区域!T847,NA())</f>
        <v>#N/A</v>
      </c>
      <c r="T845" t="e">
        <f ca="1">IFERROR(计算区域!U847,NA())</f>
        <v>#N/A</v>
      </c>
      <c r="V845" t="e">
        <f ca="1">IFERROR(计算区域!X847,NA())</f>
        <v>#N/A</v>
      </c>
      <c r="W845" t="e">
        <f ca="1">IFERROR(计算区域!Y847,NA())</f>
        <v>#N/A</v>
      </c>
      <c r="X845" t="e">
        <f ca="1">IFERROR(计算区域!Z847,NA())</f>
        <v>#N/A</v>
      </c>
      <c r="Y845" t="e">
        <f ca="1">IFERROR(计算区域!AA847,NA())</f>
        <v>#N/A</v>
      </c>
    </row>
    <row r="846" spans="1:25" x14ac:dyDescent="0.2">
      <c r="A846" s="28">
        <f>计算区域!E848</f>
        <v>44202</v>
      </c>
      <c r="B846" t="e">
        <f ca="1">IFERROR(计算区域!AJ848,NA())</f>
        <v>#N/A</v>
      </c>
      <c r="C846" t="e">
        <f ca="1">IFERROR(计算区域!AK848,NA())</f>
        <v>#N/A</v>
      </c>
      <c r="D846" t="e">
        <f ca="1">IFERROR(计算区域!AL848,NA())</f>
        <v>#N/A</v>
      </c>
      <c r="E846" t="e">
        <f ca="1">IFERROR(计算区域!AM848,NA())</f>
        <v>#N/A</v>
      </c>
      <c r="G846" t="e">
        <f ca="1">IFERROR(计算区域!AD848,NA())</f>
        <v>#N/A</v>
      </c>
      <c r="H846" t="e">
        <f ca="1">IFERROR(计算区域!AE848,NA())</f>
        <v>#N/A</v>
      </c>
      <c r="I846" t="e">
        <f ca="1">IFERROR(计算区域!AF848,NA())</f>
        <v>#N/A</v>
      </c>
      <c r="J846" t="e">
        <f ca="1">IFERROR(计算区域!AG848,NA())</f>
        <v>#N/A</v>
      </c>
      <c r="L846" t="e">
        <f ca="1">IFERROR(计算区域!L848,NA())</f>
        <v>#N/A</v>
      </c>
      <c r="M846" t="e">
        <f ca="1">IFERROR(计算区域!M848,NA())</f>
        <v>#N/A</v>
      </c>
      <c r="N846" t="e">
        <f ca="1">IFERROR(计算区域!N848,NA())</f>
        <v>#N/A</v>
      </c>
      <c r="O846" t="e">
        <f ca="1">IFERROR(计算区域!O848,NA())</f>
        <v>#N/A</v>
      </c>
      <c r="Q846" t="e">
        <f ca="1">IFERROR(计算区域!R848,NA())</f>
        <v>#N/A</v>
      </c>
      <c r="R846" t="e">
        <f ca="1">IFERROR(计算区域!S848,NA())</f>
        <v>#N/A</v>
      </c>
      <c r="S846" t="e">
        <f ca="1">IFERROR(计算区域!T848,NA())</f>
        <v>#N/A</v>
      </c>
      <c r="T846" t="e">
        <f ca="1">IFERROR(计算区域!U848,NA())</f>
        <v>#N/A</v>
      </c>
      <c r="V846" t="e">
        <f ca="1">IFERROR(计算区域!X848,NA())</f>
        <v>#N/A</v>
      </c>
      <c r="W846" t="e">
        <f ca="1">IFERROR(计算区域!Y848,NA())</f>
        <v>#N/A</v>
      </c>
      <c r="X846" t="e">
        <f ca="1">IFERROR(计算区域!Z848,NA())</f>
        <v>#N/A</v>
      </c>
      <c r="Y846" t="e">
        <f ca="1">IFERROR(计算区域!AA848,NA())</f>
        <v>#N/A</v>
      </c>
    </row>
    <row r="847" spans="1:25" x14ac:dyDescent="0.2">
      <c r="A847" s="28">
        <f>计算区域!E849</f>
        <v>44201</v>
      </c>
      <c r="B847" t="e">
        <f ca="1">IFERROR(计算区域!AJ849,NA())</f>
        <v>#N/A</v>
      </c>
      <c r="C847" t="e">
        <f ca="1">IFERROR(计算区域!AK849,NA())</f>
        <v>#N/A</v>
      </c>
      <c r="D847" t="e">
        <f ca="1">IFERROR(计算区域!AL849,NA())</f>
        <v>#N/A</v>
      </c>
      <c r="E847" t="e">
        <f ca="1">IFERROR(计算区域!AM849,NA())</f>
        <v>#N/A</v>
      </c>
      <c r="G847" t="e">
        <f ca="1">IFERROR(计算区域!AD849,NA())</f>
        <v>#N/A</v>
      </c>
      <c r="H847" t="e">
        <f ca="1">IFERROR(计算区域!AE849,NA())</f>
        <v>#N/A</v>
      </c>
      <c r="I847" t="e">
        <f ca="1">IFERROR(计算区域!AF849,NA())</f>
        <v>#N/A</v>
      </c>
      <c r="J847" t="e">
        <f ca="1">IFERROR(计算区域!AG849,NA())</f>
        <v>#N/A</v>
      </c>
      <c r="L847" t="e">
        <f ca="1">IFERROR(计算区域!L849,NA())</f>
        <v>#N/A</v>
      </c>
      <c r="M847" t="e">
        <f ca="1">IFERROR(计算区域!M849,NA())</f>
        <v>#N/A</v>
      </c>
      <c r="N847" t="e">
        <f ca="1">IFERROR(计算区域!N849,NA())</f>
        <v>#N/A</v>
      </c>
      <c r="O847" t="e">
        <f ca="1">IFERROR(计算区域!O849,NA())</f>
        <v>#N/A</v>
      </c>
      <c r="Q847" t="e">
        <f ca="1">IFERROR(计算区域!R849,NA())</f>
        <v>#N/A</v>
      </c>
      <c r="R847" t="e">
        <f ca="1">IFERROR(计算区域!S849,NA())</f>
        <v>#N/A</v>
      </c>
      <c r="S847" t="e">
        <f ca="1">IFERROR(计算区域!T849,NA())</f>
        <v>#N/A</v>
      </c>
      <c r="T847" t="e">
        <f ca="1">IFERROR(计算区域!U849,NA())</f>
        <v>#N/A</v>
      </c>
      <c r="V847" t="e">
        <f ca="1">IFERROR(计算区域!X849,NA())</f>
        <v>#N/A</v>
      </c>
      <c r="W847" t="e">
        <f ca="1">IFERROR(计算区域!Y849,NA())</f>
        <v>#N/A</v>
      </c>
      <c r="X847" t="e">
        <f ca="1">IFERROR(计算区域!Z849,NA())</f>
        <v>#N/A</v>
      </c>
      <c r="Y847" t="e">
        <f ca="1">IFERROR(计算区域!AA849,NA())</f>
        <v>#N/A</v>
      </c>
    </row>
    <row r="848" spans="1:25" x14ac:dyDescent="0.2">
      <c r="A848" s="28">
        <f>计算区域!E850</f>
        <v>44200</v>
      </c>
      <c r="B848" t="e">
        <f ca="1">IFERROR(计算区域!AJ850,NA())</f>
        <v>#N/A</v>
      </c>
      <c r="C848" t="e">
        <f ca="1">IFERROR(计算区域!AK850,NA())</f>
        <v>#N/A</v>
      </c>
      <c r="D848" t="e">
        <f ca="1">IFERROR(计算区域!AL850,NA())</f>
        <v>#N/A</v>
      </c>
      <c r="E848" t="e">
        <f ca="1">IFERROR(计算区域!AM850,NA())</f>
        <v>#N/A</v>
      </c>
      <c r="G848" t="e">
        <f ca="1">IFERROR(计算区域!AD850,NA())</f>
        <v>#N/A</v>
      </c>
      <c r="H848" t="e">
        <f ca="1">IFERROR(计算区域!AE850,NA())</f>
        <v>#N/A</v>
      </c>
      <c r="I848" t="e">
        <f ca="1">IFERROR(计算区域!AF850,NA())</f>
        <v>#N/A</v>
      </c>
      <c r="J848" t="e">
        <f ca="1">IFERROR(计算区域!AG850,NA())</f>
        <v>#N/A</v>
      </c>
      <c r="L848" t="e">
        <f ca="1">IFERROR(计算区域!L850,NA())</f>
        <v>#N/A</v>
      </c>
      <c r="M848" t="e">
        <f ca="1">IFERROR(计算区域!M850,NA())</f>
        <v>#N/A</v>
      </c>
      <c r="N848" t="e">
        <f ca="1">IFERROR(计算区域!N850,NA())</f>
        <v>#N/A</v>
      </c>
      <c r="O848" t="e">
        <f ca="1">IFERROR(计算区域!O850,NA())</f>
        <v>#N/A</v>
      </c>
      <c r="Q848" t="e">
        <f ca="1">IFERROR(计算区域!R850,NA())</f>
        <v>#N/A</v>
      </c>
      <c r="R848" t="e">
        <f ca="1">IFERROR(计算区域!S850,NA())</f>
        <v>#N/A</v>
      </c>
      <c r="S848" t="e">
        <f ca="1">IFERROR(计算区域!T850,NA())</f>
        <v>#N/A</v>
      </c>
      <c r="T848" t="e">
        <f ca="1">IFERROR(计算区域!U850,NA())</f>
        <v>#N/A</v>
      </c>
      <c r="V848" t="e">
        <f ca="1">IFERROR(计算区域!X850,NA())</f>
        <v>#N/A</v>
      </c>
      <c r="W848" t="e">
        <f ca="1">IFERROR(计算区域!Y850,NA())</f>
        <v>#N/A</v>
      </c>
      <c r="X848" t="e">
        <f ca="1">IFERROR(计算区域!Z850,NA())</f>
        <v>#N/A</v>
      </c>
      <c r="Y848" t="e">
        <f ca="1">IFERROR(计算区域!AA850,NA())</f>
        <v>#N/A</v>
      </c>
    </row>
    <row r="849" spans="1:25" x14ac:dyDescent="0.2">
      <c r="A849" s="28">
        <f>计算区域!E851</f>
        <v>44196</v>
      </c>
      <c r="B849" t="e">
        <f ca="1">IFERROR(计算区域!AJ851,NA())</f>
        <v>#N/A</v>
      </c>
      <c r="C849" t="e">
        <f ca="1">IFERROR(计算区域!AK851,NA())</f>
        <v>#N/A</v>
      </c>
      <c r="D849" t="e">
        <f ca="1">IFERROR(计算区域!AL851,NA())</f>
        <v>#N/A</v>
      </c>
      <c r="E849" t="e">
        <f ca="1">IFERROR(计算区域!AM851,NA())</f>
        <v>#N/A</v>
      </c>
      <c r="G849" t="e">
        <f ca="1">IFERROR(计算区域!AD851,NA())</f>
        <v>#N/A</v>
      </c>
      <c r="H849" t="e">
        <f ca="1">IFERROR(计算区域!AE851,NA())</f>
        <v>#N/A</v>
      </c>
      <c r="I849" t="e">
        <f ca="1">IFERROR(计算区域!AF851,NA())</f>
        <v>#N/A</v>
      </c>
      <c r="J849" t="e">
        <f ca="1">IFERROR(计算区域!AG851,NA())</f>
        <v>#N/A</v>
      </c>
      <c r="L849" t="e">
        <f ca="1">IFERROR(计算区域!L851,NA())</f>
        <v>#N/A</v>
      </c>
      <c r="M849" t="e">
        <f ca="1">IFERROR(计算区域!M851,NA())</f>
        <v>#N/A</v>
      </c>
      <c r="N849" t="e">
        <f ca="1">IFERROR(计算区域!N851,NA())</f>
        <v>#N/A</v>
      </c>
      <c r="O849" t="e">
        <f ca="1">IFERROR(计算区域!O851,NA())</f>
        <v>#N/A</v>
      </c>
      <c r="Q849" t="e">
        <f ca="1">IFERROR(计算区域!R851,NA())</f>
        <v>#N/A</v>
      </c>
      <c r="R849" t="e">
        <f ca="1">IFERROR(计算区域!S851,NA())</f>
        <v>#N/A</v>
      </c>
      <c r="S849" t="e">
        <f ca="1">IFERROR(计算区域!T851,NA())</f>
        <v>#N/A</v>
      </c>
      <c r="T849" t="e">
        <f ca="1">IFERROR(计算区域!U851,NA())</f>
        <v>#N/A</v>
      </c>
      <c r="V849" t="e">
        <f ca="1">IFERROR(计算区域!X851,NA())</f>
        <v>#N/A</v>
      </c>
      <c r="W849" t="e">
        <f ca="1">IFERROR(计算区域!Y851,NA())</f>
        <v>#N/A</v>
      </c>
      <c r="X849" t="e">
        <f ca="1">IFERROR(计算区域!Z851,NA())</f>
        <v>#N/A</v>
      </c>
      <c r="Y849" t="e">
        <f ca="1">IFERROR(计算区域!AA851,NA())</f>
        <v>#N/A</v>
      </c>
    </row>
    <row r="850" spans="1:25" x14ac:dyDescent="0.2">
      <c r="A850" s="28">
        <f>计算区域!E852</f>
        <v>44195</v>
      </c>
      <c r="B850" t="e">
        <f ca="1">IFERROR(计算区域!AJ852,NA())</f>
        <v>#N/A</v>
      </c>
      <c r="C850" t="e">
        <f ca="1">IFERROR(计算区域!AK852,NA())</f>
        <v>#N/A</v>
      </c>
      <c r="D850" t="e">
        <f ca="1">IFERROR(计算区域!AL852,NA())</f>
        <v>#N/A</v>
      </c>
      <c r="E850" t="e">
        <f ca="1">IFERROR(计算区域!AM852,NA())</f>
        <v>#N/A</v>
      </c>
      <c r="G850" t="e">
        <f ca="1">IFERROR(计算区域!AD852,NA())</f>
        <v>#N/A</v>
      </c>
      <c r="H850" t="e">
        <f ca="1">IFERROR(计算区域!AE852,NA())</f>
        <v>#N/A</v>
      </c>
      <c r="I850" t="e">
        <f ca="1">IFERROR(计算区域!AF852,NA())</f>
        <v>#N/A</v>
      </c>
      <c r="J850" t="e">
        <f ca="1">IFERROR(计算区域!AG852,NA())</f>
        <v>#N/A</v>
      </c>
      <c r="L850" t="e">
        <f ca="1">IFERROR(计算区域!L852,NA())</f>
        <v>#N/A</v>
      </c>
      <c r="M850" t="e">
        <f ca="1">IFERROR(计算区域!M852,NA())</f>
        <v>#N/A</v>
      </c>
      <c r="N850" t="e">
        <f ca="1">IFERROR(计算区域!N852,NA())</f>
        <v>#N/A</v>
      </c>
      <c r="O850" t="e">
        <f ca="1">IFERROR(计算区域!O852,NA())</f>
        <v>#N/A</v>
      </c>
      <c r="Q850" t="e">
        <f ca="1">IFERROR(计算区域!R852,NA())</f>
        <v>#N/A</v>
      </c>
      <c r="R850" t="e">
        <f ca="1">IFERROR(计算区域!S852,NA())</f>
        <v>#N/A</v>
      </c>
      <c r="S850" t="e">
        <f ca="1">IFERROR(计算区域!T852,NA())</f>
        <v>#N/A</v>
      </c>
      <c r="T850" t="e">
        <f ca="1">IFERROR(计算区域!U852,NA())</f>
        <v>#N/A</v>
      </c>
      <c r="V850" t="e">
        <f ca="1">IFERROR(计算区域!X852,NA())</f>
        <v>#N/A</v>
      </c>
      <c r="W850" t="e">
        <f ca="1">IFERROR(计算区域!Y852,NA())</f>
        <v>#N/A</v>
      </c>
      <c r="X850" t="e">
        <f ca="1">IFERROR(计算区域!Z852,NA())</f>
        <v>#N/A</v>
      </c>
      <c r="Y850" t="e">
        <f ca="1">IFERROR(计算区域!AA852,NA())</f>
        <v>#N/A</v>
      </c>
    </row>
    <row r="851" spans="1:25" x14ac:dyDescent="0.2">
      <c r="A851" s="28">
        <f>计算区域!E853</f>
        <v>44194</v>
      </c>
      <c r="B851" t="e">
        <f ca="1">IFERROR(计算区域!AJ853,NA())</f>
        <v>#N/A</v>
      </c>
      <c r="C851" t="e">
        <f ca="1">IFERROR(计算区域!AK853,NA())</f>
        <v>#N/A</v>
      </c>
      <c r="D851" t="e">
        <f ca="1">IFERROR(计算区域!AL853,NA())</f>
        <v>#N/A</v>
      </c>
      <c r="E851" t="e">
        <f ca="1">IFERROR(计算区域!AM853,NA())</f>
        <v>#N/A</v>
      </c>
      <c r="G851" t="e">
        <f ca="1">IFERROR(计算区域!AD853,NA())</f>
        <v>#N/A</v>
      </c>
      <c r="H851" t="e">
        <f ca="1">IFERROR(计算区域!AE853,NA())</f>
        <v>#N/A</v>
      </c>
      <c r="I851" t="e">
        <f ca="1">IFERROR(计算区域!AF853,NA())</f>
        <v>#N/A</v>
      </c>
      <c r="J851" t="e">
        <f ca="1">IFERROR(计算区域!AG853,NA())</f>
        <v>#N/A</v>
      </c>
      <c r="L851" t="e">
        <f ca="1">IFERROR(计算区域!L853,NA())</f>
        <v>#N/A</v>
      </c>
      <c r="M851" t="e">
        <f ca="1">IFERROR(计算区域!M853,NA())</f>
        <v>#N/A</v>
      </c>
      <c r="N851" t="e">
        <f ca="1">IFERROR(计算区域!N853,NA())</f>
        <v>#N/A</v>
      </c>
      <c r="O851" t="e">
        <f ca="1">IFERROR(计算区域!O853,NA())</f>
        <v>#N/A</v>
      </c>
      <c r="Q851" t="e">
        <f ca="1">IFERROR(计算区域!R853,NA())</f>
        <v>#N/A</v>
      </c>
      <c r="R851" t="e">
        <f ca="1">IFERROR(计算区域!S853,NA())</f>
        <v>#N/A</v>
      </c>
      <c r="S851" t="e">
        <f ca="1">IFERROR(计算区域!T853,NA())</f>
        <v>#N/A</v>
      </c>
      <c r="T851" t="e">
        <f ca="1">IFERROR(计算区域!U853,NA())</f>
        <v>#N/A</v>
      </c>
      <c r="V851" t="e">
        <f ca="1">IFERROR(计算区域!X853,NA())</f>
        <v>#N/A</v>
      </c>
      <c r="W851" t="e">
        <f ca="1">IFERROR(计算区域!Y853,NA())</f>
        <v>#N/A</v>
      </c>
      <c r="X851" t="e">
        <f ca="1">IFERROR(计算区域!Z853,NA())</f>
        <v>#N/A</v>
      </c>
      <c r="Y851" t="e">
        <f ca="1">IFERROR(计算区域!AA853,NA())</f>
        <v>#N/A</v>
      </c>
    </row>
    <row r="852" spans="1:25" x14ac:dyDescent="0.2">
      <c r="A852" s="28">
        <f>计算区域!E854</f>
        <v>44193</v>
      </c>
      <c r="B852" t="e">
        <f ca="1">IFERROR(计算区域!AJ854,NA())</f>
        <v>#N/A</v>
      </c>
      <c r="C852" t="e">
        <f ca="1">IFERROR(计算区域!AK854,NA())</f>
        <v>#N/A</v>
      </c>
      <c r="D852" t="e">
        <f ca="1">IFERROR(计算区域!AL854,NA())</f>
        <v>#N/A</v>
      </c>
      <c r="E852" t="e">
        <f ca="1">IFERROR(计算区域!AM854,NA())</f>
        <v>#N/A</v>
      </c>
      <c r="G852" t="e">
        <f ca="1">IFERROR(计算区域!AD854,NA())</f>
        <v>#N/A</v>
      </c>
      <c r="H852" t="e">
        <f ca="1">IFERROR(计算区域!AE854,NA())</f>
        <v>#N/A</v>
      </c>
      <c r="I852" t="e">
        <f ca="1">IFERROR(计算区域!AF854,NA())</f>
        <v>#N/A</v>
      </c>
      <c r="J852" t="e">
        <f ca="1">IFERROR(计算区域!AG854,NA())</f>
        <v>#N/A</v>
      </c>
      <c r="L852" t="e">
        <f ca="1">IFERROR(计算区域!L854,NA())</f>
        <v>#N/A</v>
      </c>
      <c r="M852" t="e">
        <f ca="1">IFERROR(计算区域!M854,NA())</f>
        <v>#N/A</v>
      </c>
      <c r="N852" t="e">
        <f ca="1">IFERROR(计算区域!N854,NA())</f>
        <v>#N/A</v>
      </c>
      <c r="O852" t="e">
        <f ca="1">IFERROR(计算区域!O854,NA())</f>
        <v>#N/A</v>
      </c>
      <c r="Q852" t="e">
        <f ca="1">IFERROR(计算区域!R854,NA())</f>
        <v>#N/A</v>
      </c>
      <c r="R852" t="e">
        <f ca="1">IFERROR(计算区域!S854,NA())</f>
        <v>#N/A</v>
      </c>
      <c r="S852" t="e">
        <f ca="1">IFERROR(计算区域!T854,NA())</f>
        <v>#N/A</v>
      </c>
      <c r="T852" t="e">
        <f ca="1">IFERROR(计算区域!U854,NA())</f>
        <v>#N/A</v>
      </c>
      <c r="V852" t="e">
        <f ca="1">IFERROR(计算区域!X854,NA())</f>
        <v>#N/A</v>
      </c>
      <c r="W852" t="e">
        <f ca="1">IFERROR(计算区域!Y854,NA())</f>
        <v>#N/A</v>
      </c>
      <c r="X852" t="e">
        <f ca="1">IFERROR(计算区域!Z854,NA())</f>
        <v>#N/A</v>
      </c>
      <c r="Y852" t="e">
        <f ca="1">IFERROR(计算区域!AA854,NA())</f>
        <v>#N/A</v>
      </c>
    </row>
    <row r="853" spans="1:25" x14ac:dyDescent="0.2">
      <c r="A853" s="28">
        <f>计算区域!E855</f>
        <v>44190</v>
      </c>
      <c r="B853" t="e">
        <f ca="1">IFERROR(计算区域!AJ855,NA())</f>
        <v>#N/A</v>
      </c>
      <c r="C853" t="e">
        <f ca="1">IFERROR(计算区域!AK855,NA())</f>
        <v>#N/A</v>
      </c>
      <c r="D853" t="e">
        <f ca="1">IFERROR(计算区域!AL855,NA())</f>
        <v>#N/A</v>
      </c>
      <c r="E853" t="e">
        <f ca="1">IFERROR(计算区域!AM855,NA())</f>
        <v>#N/A</v>
      </c>
      <c r="G853" t="e">
        <f ca="1">IFERROR(计算区域!AD855,NA())</f>
        <v>#N/A</v>
      </c>
      <c r="H853" t="e">
        <f ca="1">IFERROR(计算区域!AE855,NA())</f>
        <v>#N/A</v>
      </c>
      <c r="I853" t="e">
        <f ca="1">IFERROR(计算区域!AF855,NA())</f>
        <v>#N/A</v>
      </c>
      <c r="J853" t="e">
        <f ca="1">IFERROR(计算区域!AG855,NA())</f>
        <v>#N/A</v>
      </c>
      <c r="L853" t="e">
        <f ca="1">IFERROR(计算区域!L855,NA())</f>
        <v>#N/A</v>
      </c>
      <c r="M853" t="e">
        <f ca="1">IFERROR(计算区域!M855,NA())</f>
        <v>#N/A</v>
      </c>
      <c r="N853" t="e">
        <f ca="1">IFERROR(计算区域!N855,NA())</f>
        <v>#N/A</v>
      </c>
      <c r="O853" t="e">
        <f ca="1">IFERROR(计算区域!O855,NA())</f>
        <v>#N/A</v>
      </c>
      <c r="Q853" t="e">
        <f ca="1">IFERROR(计算区域!R855,NA())</f>
        <v>#N/A</v>
      </c>
      <c r="R853" t="e">
        <f ca="1">IFERROR(计算区域!S855,NA())</f>
        <v>#N/A</v>
      </c>
      <c r="S853" t="e">
        <f ca="1">IFERROR(计算区域!T855,NA())</f>
        <v>#N/A</v>
      </c>
      <c r="T853" t="e">
        <f ca="1">IFERROR(计算区域!U855,NA())</f>
        <v>#N/A</v>
      </c>
      <c r="V853" t="e">
        <f ca="1">IFERROR(计算区域!X855,NA())</f>
        <v>#N/A</v>
      </c>
      <c r="W853" t="e">
        <f ca="1">IFERROR(计算区域!Y855,NA())</f>
        <v>#N/A</v>
      </c>
      <c r="X853" t="e">
        <f ca="1">IFERROR(计算区域!Z855,NA())</f>
        <v>#N/A</v>
      </c>
      <c r="Y853" t="e">
        <f ca="1">IFERROR(计算区域!AA855,NA())</f>
        <v>#N/A</v>
      </c>
    </row>
    <row r="854" spans="1:25" x14ac:dyDescent="0.2">
      <c r="A854" s="28">
        <f>计算区域!E856</f>
        <v>44189</v>
      </c>
      <c r="B854" t="e">
        <f ca="1">IFERROR(计算区域!AJ856,NA())</f>
        <v>#N/A</v>
      </c>
      <c r="C854" t="e">
        <f ca="1">IFERROR(计算区域!AK856,NA())</f>
        <v>#N/A</v>
      </c>
      <c r="D854" t="e">
        <f ca="1">IFERROR(计算区域!AL856,NA())</f>
        <v>#N/A</v>
      </c>
      <c r="E854" t="e">
        <f ca="1">IFERROR(计算区域!AM856,NA())</f>
        <v>#N/A</v>
      </c>
      <c r="G854" t="e">
        <f ca="1">IFERROR(计算区域!AD856,NA())</f>
        <v>#N/A</v>
      </c>
      <c r="H854" t="e">
        <f ca="1">IFERROR(计算区域!AE856,NA())</f>
        <v>#N/A</v>
      </c>
      <c r="I854" t="e">
        <f ca="1">IFERROR(计算区域!AF856,NA())</f>
        <v>#N/A</v>
      </c>
      <c r="J854" t="e">
        <f ca="1">IFERROR(计算区域!AG856,NA())</f>
        <v>#N/A</v>
      </c>
      <c r="L854" t="e">
        <f ca="1">IFERROR(计算区域!L856,NA())</f>
        <v>#N/A</v>
      </c>
      <c r="M854" t="e">
        <f ca="1">IFERROR(计算区域!M856,NA())</f>
        <v>#N/A</v>
      </c>
      <c r="N854" t="e">
        <f ca="1">IFERROR(计算区域!N856,NA())</f>
        <v>#N/A</v>
      </c>
      <c r="O854" t="e">
        <f ca="1">IFERROR(计算区域!O856,NA())</f>
        <v>#N/A</v>
      </c>
      <c r="Q854" t="e">
        <f ca="1">IFERROR(计算区域!R856,NA())</f>
        <v>#N/A</v>
      </c>
      <c r="R854" t="e">
        <f ca="1">IFERROR(计算区域!S856,NA())</f>
        <v>#N/A</v>
      </c>
      <c r="S854" t="e">
        <f ca="1">IFERROR(计算区域!T856,NA())</f>
        <v>#N/A</v>
      </c>
      <c r="T854" t="e">
        <f ca="1">IFERROR(计算区域!U856,NA())</f>
        <v>#N/A</v>
      </c>
      <c r="V854" t="e">
        <f ca="1">IFERROR(计算区域!X856,NA())</f>
        <v>#N/A</v>
      </c>
      <c r="W854" t="e">
        <f ca="1">IFERROR(计算区域!Y856,NA())</f>
        <v>#N/A</v>
      </c>
      <c r="X854" t="e">
        <f ca="1">IFERROR(计算区域!Z856,NA())</f>
        <v>#N/A</v>
      </c>
      <c r="Y854" t="e">
        <f ca="1">IFERROR(计算区域!AA856,NA())</f>
        <v>#N/A</v>
      </c>
    </row>
    <row r="855" spans="1:25" x14ac:dyDescent="0.2">
      <c r="A855" s="28">
        <f>计算区域!E857</f>
        <v>44188</v>
      </c>
      <c r="B855" t="e">
        <f ca="1">IFERROR(计算区域!AJ857,NA())</f>
        <v>#N/A</v>
      </c>
      <c r="C855" t="e">
        <f ca="1">IFERROR(计算区域!AK857,NA())</f>
        <v>#N/A</v>
      </c>
      <c r="D855" t="e">
        <f ca="1">IFERROR(计算区域!AL857,NA())</f>
        <v>#N/A</v>
      </c>
      <c r="E855" t="e">
        <f ca="1">IFERROR(计算区域!AM857,NA())</f>
        <v>#N/A</v>
      </c>
      <c r="G855" t="e">
        <f ca="1">IFERROR(计算区域!AD857,NA())</f>
        <v>#N/A</v>
      </c>
      <c r="H855" t="e">
        <f ca="1">IFERROR(计算区域!AE857,NA())</f>
        <v>#N/A</v>
      </c>
      <c r="I855" t="e">
        <f ca="1">IFERROR(计算区域!AF857,NA())</f>
        <v>#N/A</v>
      </c>
      <c r="J855" t="e">
        <f ca="1">IFERROR(计算区域!AG857,NA())</f>
        <v>#N/A</v>
      </c>
      <c r="L855" t="e">
        <f ca="1">IFERROR(计算区域!L857,NA())</f>
        <v>#N/A</v>
      </c>
      <c r="M855" t="e">
        <f ca="1">IFERROR(计算区域!M857,NA())</f>
        <v>#N/A</v>
      </c>
      <c r="N855" t="e">
        <f ca="1">IFERROR(计算区域!N857,NA())</f>
        <v>#N/A</v>
      </c>
      <c r="O855" t="e">
        <f ca="1">IFERROR(计算区域!O857,NA())</f>
        <v>#N/A</v>
      </c>
      <c r="Q855" t="e">
        <f ca="1">IFERROR(计算区域!R857,NA())</f>
        <v>#N/A</v>
      </c>
      <c r="R855" t="e">
        <f ca="1">IFERROR(计算区域!S857,NA())</f>
        <v>#N/A</v>
      </c>
      <c r="S855" t="e">
        <f ca="1">IFERROR(计算区域!T857,NA())</f>
        <v>#N/A</v>
      </c>
      <c r="T855" t="e">
        <f ca="1">IFERROR(计算区域!U857,NA())</f>
        <v>#N/A</v>
      </c>
      <c r="V855" t="e">
        <f ca="1">IFERROR(计算区域!X857,NA())</f>
        <v>#N/A</v>
      </c>
      <c r="W855" t="e">
        <f ca="1">IFERROR(计算区域!Y857,NA())</f>
        <v>#N/A</v>
      </c>
      <c r="X855" t="e">
        <f ca="1">IFERROR(计算区域!Z857,NA())</f>
        <v>#N/A</v>
      </c>
      <c r="Y855" t="e">
        <f ca="1">IFERROR(计算区域!AA857,NA())</f>
        <v>#N/A</v>
      </c>
    </row>
    <row r="856" spans="1:25" x14ac:dyDescent="0.2">
      <c r="A856" s="28">
        <f>计算区域!E858</f>
        <v>44187</v>
      </c>
      <c r="B856" t="e">
        <f ca="1">IFERROR(计算区域!AJ858,NA())</f>
        <v>#N/A</v>
      </c>
      <c r="C856" t="e">
        <f ca="1">IFERROR(计算区域!AK858,NA())</f>
        <v>#N/A</v>
      </c>
      <c r="D856" t="e">
        <f ca="1">IFERROR(计算区域!AL858,NA())</f>
        <v>#N/A</v>
      </c>
      <c r="E856" t="e">
        <f ca="1">IFERROR(计算区域!AM858,NA())</f>
        <v>#N/A</v>
      </c>
      <c r="G856" t="e">
        <f ca="1">IFERROR(计算区域!AD858,NA())</f>
        <v>#N/A</v>
      </c>
      <c r="H856" t="e">
        <f ca="1">IFERROR(计算区域!AE858,NA())</f>
        <v>#N/A</v>
      </c>
      <c r="I856" t="e">
        <f ca="1">IFERROR(计算区域!AF858,NA())</f>
        <v>#N/A</v>
      </c>
      <c r="J856" t="e">
        <f ca="1">IFERROR(计算区域!AG858,NA())</f>
        <v>#N/A</v>
      </c>
      <c r="L856" t="e">
        <f ca="1">IFERROR(计算区域!L858,NA())</f>
        <v>#N/A</v>
      </c>
      <c r="M856" t="e">
        <f ca="1">IFERROR(计算区域!M858,NA())</f>
        <v>#N/A</v>
      </c>
      <c r="N856" t="e">
        <f ca="1">IFERROR(计算区域!N858,NA())</f>
        <v>#N/A</v>
      </c>
      <c r="O856" t="e">
        <f ca="1">IFERROR(计算区域!O858,NA())</f>
        <v>#N/A</v>
      </c>
      <c r="Q856" t="e">
        <f ca="1">IFERROR(计算区域!R858,NA())</f>
        <v>#N/A</v>
      </c>
      <c r="R856" t="e">
        <f ca="1">IFERROR(计算区域!S858,NA())</f>
        <v>#N/A</v>
      </c>
      <c r="S856" t="e">
        <f ca="1">IFERROR(计算区域!T858,NA())</f>
        <v>#N/A</v>
      </c>
      <c r="T856" t="e">
        <f ca="1">IFERROR(计算区域!U858,NA())</f>
        <v>#N/A</v>
      </c>
      <c r="V856" t="e">
        <f ca="1">IFERROR(计算区域!X858,NA())</f>
        <v>#N/A</v>
      </c>
      <c r="W856" t="e">
        <f ca="1">IFERROR(计算区域!Y858,NA())</f>
        <v>#N/A</v>
      </c>
      <c r="X856" t="e">
        <f ca="1">IFERROR(计算区域!Z858,NA())</f>
        <v>#N/A</v>
      </c>
      <c r="Y856" t="e">
        <f ca="1">IFERROR(计算区域!AA858,NA())</f>
        <v>#N/A</v>
      </c>
    </row>
    <row r="857" spans="1:25" x14ac:dyDescent="0.2">
      <c r="A857" s="28">
        <f>计算区域!E859</f>
        <v>44186</v>
      </c>
      <c r="B857" t="e">
        <f ca="1">IFERROR(计算区域!AJ859,NA())</f>
        <v>#N/A</v>
      </c>
      <c r="C857" t="e">
        <f ca="1">IFERROR(计算区域!AK859,NA())</f>
        <v>#N/A</v>
      </c>
      <c r="D857" t="e">
        <f ca="1">IFERROR(计算区域!AL859,NA())</f>
        <v>#N/A</v>
      </c>
      <c r="E857" t="e">
        <f ca="1">IFERROR(计算区域!AM859,NA())</f>
        <v>#N/A</v>
      </c>
      <c r="G857" t="e">
        <f ca="1">IFERROR(计算区域!AD859,NA())</f>
        <v>#N/A</v>
      </c>
      <c r="H857" t="e">
        <f ca="1">IFERROR(计算区域!AE859,NA())</f>
        <v>#N/A</v>
      </c>
      <c r="I857" t="e">
        <f ca="1">IFERROR(计算区域!AF859,NA())</f>
        <v>#N/A</v>
      </c>
      <c r="J857" t="e">
        <f ca="1">IFERROR(计算区域!AG859,NA())</f>
        <v>#N/A</v>
      </c>
      <c r="L857" t="e">
        <f ca="1">IFERROR(计算区域!L859,NA())</f>
        <v>#N/A</v>
      </c>
      <c r="M857" t="e">
        <f ca="1">IFERROR(计算区域!M859,NA())</f>
        <v>#N/A</v>
      </c>
      <c r="N857" t="e">
        <f ca="1">IFERROR(计算区域!N859,NA())</f>
        <v>#N/A</v>
      </c>
      <c r="O857" t="e">
        <f ca="1">IFERROR(计算区域!O859,NA())</f>
        <v>#N/A</v>
      </c>
      <c r="Q857" t="e">
        <f ca="1">IFERROR(计算区域!R859,NA())</f>
        <v>#N/A</v>
      </c>
      <c r="R857" t="e">
        <f ca="1">IFERROR(计算区域!S859,NA())</f>
        <v>#N/A</v>
      </c>
      <c r="S857" t="e">
        <f ca="1">IFERROR(计算区域!T859,NA())</f>
        <v>#N/A</v>
      </c>
      <c r="T857" t="e">
        <f ca="1">IFERROR(计算区域!U859,NA())</f>
        <v>#N/A</v>
      </c>
      <c r="V857" t="e">
        <f ca="1">IFERROR(计算区域!X859,NA())</f>
        <v>#N/A</v>
      </c>
      <c r="W857" t="e">
        <f ca="1">IFERROR(计算区域!Y859,NA())</f>
        <v>#N/A</v>
      </c>
      <c r="X857" t="e">
        <f ca="1">IFERROR(计算区域!Z859,NA())</f>
        <v>#N/A</v>
      </c>
      <c r="Y857" t="e">
        <f ca="1">IFERROR(计算区域!AA859,NA())</f>
        <v>#N/A</v>
      </c>
    </row>
    <row r="858" spans="1:25" x14ac:dyDescent="0.2">
      <c r="A858" s="28">
        <f>计算区域!E860</f>
        <v>44183</v>
      </c>
      <c r="B858" t="e">
        <f ca="1">IFERROR(计算区域!AJ860,NA())</f>
        <v>#N/A</v>
      </c>
      <c r="C858" t="e">
        <f ca="1">IFERROR(计算区域!AK860,NA())</f>
        <v>#N/A</v>
      </c>
      <c r="D858" t="e">
        <f ca="1">IFERROR(计算区域!AL860,NA())</f>
        <v>#N/A</v>
      </c>
      <c r="E858" t="e">
        <f ca="1">IFERROR(计算区域!AM860,NA())</f>
        <v>#N/A</v>
      </c>
      <c r="G858" t="e">
        <f ca="1">IFERROR(计算区域!AD860,NA())</f>
        <v>#N/A</v>
      </c>
      <c r="H858" t="e">
        <f ca="1">IFERROR(计算区域!AE860,NA())</f>
        <v>#N/A</v>
      </c>
      <c r="I858" t="e">
        <f ca="1">IFERROR(计算区域!AF860,NA())</f>
        <v>#N/A</v>
      </c>
      <c r="J858" t="e">
        <f ca="1">IFERROR(计算区域!AG860,NA())</f>
        <v>#N/A</v>
      </c>
      <c r="L858" t="e">
        <f ca="1">IFERROR(计算区域!L860,NA())</f>
        <v>#N/A</v>
      </c>
      <c r="M858" t="e">
        <f ca="1">IFERROR(计算区域!M860,NA())</f>
        <v>#N/A</v>
      </c>
      <c r="N858" t="e">
        <f ca="1">IFERROR(计算区域!N860,NA())</f>
        <v>#N/A</v>
      </c>
      <c r="O858" t="e">
        <f ca="1">IFERROR(计算区域!O860,NA())</f>
        <v>#N/A</v>
      </c>
      <c r="Q858" t="e">
        <f ca="1">IFERROR(计算区域!R860,NA())</f>
        <v>#N/A</v>
      </c>
      <c r="R858" t="e">
        <f ca="1">IFERROR(计算区域!S860,NA())</f>
        <v>#N/A</v>
      </c>
      <c r="S858" t="e">
        <f ca="1">IFERROR(计算区域!T860,NA())</f>
        <v>#N/A</v>
      </c>
      <c r="T858" t="e">
        <f ca="1">IFERROR(计算区域!U860,NA())</f>
        <v>#N/A</v>
      </c>
      <c r="V858" t="e">
        <f ca="1">IFERROR(计算区域!X860,NA())</f>
        <v>#N/A</v>
      </c>
      <c r="W858" t="e">
        <f ca="1">IFERROR(计算区域!Y860,NA())</f>
        <v>#N/A</v>
      </c>
      <c r="X858" t="e">
        <f ca="1">IFERROR(计算区域!Z860,NA())</f>
        <v>#N/A</v>
      </c>
      <c r="Y858" t="e">
        <f ca="1">IFERROR(计算区域!AA860,NA())</f>
        <v>#N/A</v>
      </c>
    </row>
    <row r="859" spans="1:25" x14ac:dyDescent="0.2">
      <c r="A859" s="28">
        <f>计算区域!E861</f>
        <v>44182</v>
      </c>
      <c r="B859" t="e">
        <f ca="1">IFERROR(计算区域!AJ861,NA())</f>
        <v>#N/A</v>
      </c>
      <c r="C859" t="e">
        <f ca="1">IFERROR(计算区域!AK861,NA())</f>
        <v>#N/A</v>
      </c>
      <c r="D859" t="e">
        <f ca="1">IFERROR(计算区域!AL861,NA())</f>
        <v>#N/A</v>
      </c>
      <c r="E859" t="e">
        <f ca="1">IFERROR(计算区域!AM861,NA())</f>
        <v>#N/A</v>
      </c>
      <c r="G859" t="e">
        <f ca="1">IFERROR(计算区域!AD861,NA())</f>
        <v>#N/A</v>
      </c>
      <c r="H859" t="e">
        <f ca="1">IFERROR(计算区域!AE861,NA())</f>
        <v>#N/A</v>
      </c>
      <c r="I859" t="e">
        <f ca="1">IFERROR(计算区域!AF861,NA())</f>
        <v>#N/A</v>
      </c>
      <c r="J859" t="e">
        <f ca="1">IFERROR(计算区域!AG861,NA())</f>
        <v>#N/A</v>
      </c>
      <c r="L859" t="e">
        <f ca="1">IFERROR(计算区域!L861,NA())</f>
        <v>#N/A</v>
      </c>
      <c r="M859" t="e">
        <f ca="1">IFERROR(计算区域!M861,NA())</f>
        <v>#N/A</v>
      </c>
      <c r="N859" t="e">
        <f ca="1">IFERROR(计算区域!N861,NA())</f>
        <v>#N/A</v>
      </c>
      <c r="O859" t="e">
        <f ca="1">IFERROR(计算区域!O861,NA())</f>
        <v>#N/A</v>
      </c>
      <c r="Q859" t="e">
        <f ca="1">IFERROR(计算区域!R861,NA())</f>
        <v>#N/A</v>
      </c>
      <c r="R859" t="e">
        <f ca="1">IFERROR(计算区域!S861,NA())</f>
        <v>#N/A</v>
      </c>
      <c r="S859" t="e">
        <f ca="1">IFERROR(计算区域!T861,NA())</f>
        <v>#N/A</v>
      </c>
      <c r="T859" t="e">
        <f ca="1">IFERROR(计算区域!U861,NA())</f>
        <v>#N/A</v>
      </c>
      <c r="V859" t="e">
        <f ca="1">IFERROR(计算区域!X861,NA())</f>
        <v>#N/A</v>
      </c>
      <c r="W859" t="e">
        <f ca="1">IFERROR(计算区域!Y861,NA())</f>
        <v>#N/A</v>
      </c>
      <c r="X859" t="e">
        <f ca="1">IFERROR(计算区域!Z861,NA())</f>
        <v>#N/A</v>
      </c>
      <c r="Y859" t="e">
        <f ca="1">IFERROR(计算区域!AA861,NA())</f>
        <v>#N/A</v>
      </c>
    </row>
    <row r="860" spans="1:25" x14ac:dyDescent="0.2">
      <c r="A860" s="28">
        <f>计算区域!E862</f>
        <v>44181</v>
      </c>
      <c r="B860" t="e">
        <f ca="1">IFERROR(计算区域!AJ862,NA())</f>
        <v>#N/A</v>
      </c>
      <c r="C860" t="e">
        <f ca="1">IFERROR(计算区域!AK862,NA())</f>
        <v>#N/A</v>
      </c>
      <c r="D860" t="e">
        <f ca="1">IFERROR(计算区域!AL862,NA())</f>
        <v>#N/A</v>
      </c>
      <c r="E860" t="e">
        <f ca="1">IFERROR(计算区域!AM862,NA())</f>
        <v>#N/A</v>
      </c>
      <c r="G860" t="e">
        <f ca="1">IFERROR(计算区域!AD862,NA())</f>
        <v>#N/A</v>
      </c>
      <c r="H860" t="e">
        <f ca="1">IFERROR(计算区域!AE862,NA())</f>
        <v>#N/A</v>
      </c>
      <c r="I860" t="e">
        <f ca="1">IFERROR(计算区域!AF862,NA())</f>
        <v>#N/A</v>
      </c>
      <c r="J860" t="e">
        <f ca="1">IFERROR(计算区域!AG862,NA())</f>
        <v>#N/A</v>
      </c>
      <c r="L860" t="e">
        <f ca="1">IFERROR(计算区域!L862,NA())</f>
        <v>#N/A</v>
      </c>
      <c r="M860" t="e">
        <f ca="1">IFERROR(计算区域!M862,NA())</f>
        <v>#N/A</v>
      </c>
      <c r="N860" t="e">
        <f ca="1">IFERROR(计算区域!N862,NA())</f>
        <v>#N/A</v>
      </c>
      <c r="O860" t="e">
        <f ca="1">IFERROR(计算区域!O862,NA())</f>
        <v>#N/A</v>
      </c>
      <c r="Q860" t="e">
        <f ca="1">IFERROR(计算区域!R862,NA())</f>
        <v>#N/A</v>
      </c>
      <c r="R860" t="e">
        <f ca="1">IFERROR(计算区域!S862,NA())</f>
        <v>#N/A</v>
      </c>
      <c r="S860" t="e">
        <f ca="1">IFERROR(计算区域!T862,NA())</f>
        <v>#N/A</v>
      </c>
      <c r="T860" t="e">
        <f ca="1">IFERROR(计算区域!U862,NA())</f>
        <v>#N/A</v>
      </c>
      <c r="V860" t="e">
        <f ca="1">IFERROR(计算区域!X862,NA())</f>
        <v>#N/A</v>
      </c>
      <c r="W860" t="e">
        <f ca="1">IFERROR(计算区域!Y862,NA())</f>
        <v>#N/A</v>
      </c>
      <c r="X860" t="e">
        <f ca="1">IFERROR(计算区域!Z862,NA())</f>
        <v>#N/A</v>
      </c>
      <c r="Y860" t="e">
        <f ca="1">IFERROR(计算区域!AA862,NA())</f>
        <v>#N/A</v>
      </c>
    </row>
    <row r="861" spans="1:25" x14ac:dyDescent="0.2">
      <c r="A861" s="28">
        <f>计算区域!E863</f>
        <v>44180</v>
      </c>
      <c r="B861" t="e">
        <f ca="1">IFERROR(计算区域!AJ863,NA())</f>
        <v>#N/A</v>
      </c>
      <c r="C861" t="e">
        <f ca="1">IFERROR(计算区域!AK863,NA())</f>
        <v>#N/A</v>
      </c>
      <c r="D861" t="e">
        <f ca="1">IFERROR(计算区域!AL863,NA())</f>
        <v>#N/A</v>
      </c>
      <c r="E861" t="e">
        <f ca="1">IFERROR(计算区域!AM863,NA())</f>
        <v>#N/A</v>
      </c>
      <c r="G861" t="e">
        <f ca="1">IFERROR(计算区域!AD863,NA())</f>
        <v>#N/A</v>
      </c>
      <c r="H861" t="e">
        <f ca="1">IFERROR(计算区域!AE863,NA())</f>
        <v>#N/A</v>
      </c>
      <c r="I861" t="e">
        <f ca="1">IFERROR(计算区域!AF863,NA())</f>
        <v>#N/A</v>
      </c>
      <c r="J861" t="e">
        <f ca="1">IFERROR(计算区域!AG863,NA())</f>
        <v>#N/A</v>
      </c>
      <c r="L861" t="e">
        <f ca="1">IFERROR(计算区域!L863,NA())</f>
        <v>#N/A</v>
      </c>
      <c r="M861" t="e">
        <f ca="1">IFERROR(计算区域!M863,NA())</f>
        <v>#N/A</v>
      </c>
      <c r="N861" t="e">
        <f ca="1">IFERROR(计算区域!N863,NA())</f>
        <v>#N/A</v>
      </c>
      <c r="O861" t="e">
        <f ca="1">IFERROR(计算区域!O863,NA())</f>
        <v>#N/A</v>
      </c>
      <c r="Q861" t="e">
        <f ca="1">IFERROR(计算区域!R863,NA())</f>
        <v>#N/A</v>
      </c>
      <c r="R861" t="e">
        <f ca="1">IFERROR(计算区域!S863,NA())</f>
        <v>#N/A</v>
      </c>
      <c r="S861" t="e">
        <f ca="1">IFERROR(计算区域!T863,NA())</f>
        <v>#N/A</v>
      </c>
      <c r="T861" t="e">
        <f ca="1">IFERROR(计算区域!U863,NA())</f>
        <v>#N/A</v>
      </c>
      <c r="V861" t="e">
        <f ca="1">IFERROR(计算区域!X863,NA())</f>
        <v>#N/A</v>
      </c>
      <c r="W861" t="e">
        <f ca="1">IFERROR(计算区域!Y863,NA())</f>
        <v>#N/A</v>
      </c>
      <c r="X861" t="e">
        <f ca="1">IFERROR(计算区域!Z863,NA())</f>
        <v>#N/A</v>
      </c>
      <c r="Y861" t="e">
        <f ca="1">IFERROR(计算区域!AA863,NA())</f>
        <v>#N/A</v>
      </c>
    </row>
    <row r="862" spans="1:25" x14ac:dyDescent="0.2">
      <c r="A862" s="28">
        <f>计算区域!E864</f>
        <v>44179</v>
      </c>
      <c r="B862" t="e">
        <f ca="1">IFERROR(计算区域!AJ864,NA())</f>
        <v>#N/A</v>
      </c>
      <c r="C862" t="e">
        <f ca="1">IFERROR(计算区域!AK864,NA())</f>
        <v>#N/A</v>
      </c>
      <c r="D862" t="e">
        <f ca="1">IFERROR(计算区域!AL864,NA())</f>
        <v>#N/A</v>
      </c>
      <c r="E862" t="e">
        <f ca="1">IFERROR(计算区域!AM864,NA())</f>
        <v>#N/A</v>
      </c>
      <c r="G862" t="e">
        <f ca="1">IFERROR(计算区域!AD864,NA())</f>
        <v>#N/A</v>
      </c>
      <c r="H862" t="e">
        <f ca="1">IFERROR(计算区域!AE864,NA())</f>
        <v>#N/A</v>
      </c>
      <c r="I862" t="e">
        <f ca="1">IFERROR(计算区域!AF864,NA())</f>
        <v>#N/A</v>
      </c>
      <c r="J862" t="e">
        <f ca="1">IFERROR(计算区域!AG864,NA())</f>
        <v>#N/A</v>
      </c>
      <c r="L862" t="e">
        <f ca="1">IFERROR(计算区域!L864,NA())</f>
        <v>#N/A</v>
      </c>
      <c r="M862" t="e">
        <f ca="1">IFERROR(计算区域!M864,NA())</f>
        <v>#N/A</v>
      </c>
      <c r="N862" t="e">
        <f ca="1">IFERROR(计算区域!N864,NA())</f>
        <v>#N/A</v>
      </c>
      <c r="O862" t="e">
        <f ca="1">IFERROR(计算区域!O864,NA())</f>
        <v>#N/A</v>
      </c>
      <c r="Q862" t="e">
        <f ca="1">IFERROR(计算区域!R864,NA())</f>
        <v>#N/A</v>
      </c>
      <c r="R862" t="e">
        <f ca="1">IFERROR(计算区域!S864,NA())</f>
        <v>#N/A</v>
      </c>
      <c r="S862" t="e">
        <f ca="1">IFERROR(计算区域!T864,NA())</f>
        <v>#N/A</v>
      </c>
      <c r="T862" t="e">
        <f ca="1">IFERROR(计算区域!U864,NA())</f>
        <v>#N/A</v>
      </c>
      <c r="V862" t="e">
        <f ca="1">IFERROR(计算区域!X864,NA())</f>
        <v>#N/A</v>
      </c>
      <c r="W862" t="e">
        <f ca="1">IFERROR(计算区域!Y864,NA())</f>
        <v>#N/A</v>
      </c>
      <c r="X862" t="e">
        <f ca="1">IFERROR(计算区域!Z864,NA())</f>
        <v>#N/A</v>
      </c>
      <c r="Y862" t="e">
        <f ca="1">IFERROR(计算区域!AA864,NA())</f>
        <v>#N/A</v>
      </c>
    </row>
    <row r="863" spans="1:25" x14ac:dyDescent="0.2">
      <c r="A863" s="28">
        <f>计算区域!E865</f>
        <v>44176</v>
      </c>
      <c r="B863" t="e">
        <f ca="1">IFERROR(计算区域!AJ865,NA())</f>
        <v>#N/A</v>
      </c>
      <c r="C863" t="e">
        <f ca="1">IFERROR(计算区域!AK865,NA())</f>
        <v>#N/A</v>
      </c>
      <c r="D863" t="e">
        <f ca="1">IFERROR(计算区域!AL865,NA())</f>
        <v>#N/A</v>
      </c>
      <c r="E863" t="e">
        <f ca="1">IFERROR(计算区域!AM865,NA())</f>
        <v>#N/A</v>
      </c>
      <c r="G863" t="e">
        <f ca="1">IFERROR(计算区域!AD865,NA())</f>
        <v>#N/A</v>
      </c>
      <c r="H863" t="e">
        <f ca="1">IFERROR(计算区域!AE865,NA())</f>
        <v>#N/A</v>
      </c>
      <c r="I863" t="e">
        <f ca="1">IFERROR(计算区域!AF865,NA())</f>
        <v>#N/A</v>
      </c>
      <c r="J863" t="e">
        <f ca="1">IFERROR(计算区域!AG865,NA())</f>
        <v>#N/A</v>
      </c>
      <c r="L863" t="e">
        <f ca="1">IFERROR(计算区域!L865,NA())</f>
        <v>#N/A</v>
      </c>
      <c r="M863" t="e">
        <f ca="1">IFERROR(计算区域!M865,NA())</f>
        <v>#N/A</v>
      </c>
      <c r="N863" t="e">
        <f ca="1">IFERROR(计算区域!N865,NA())</f>
        <v>#N/A</v>
      </c>
      <c r="O863" t="e">
        <f ca="1">IFERROR(计算区域!O865,NA())</f>
        <v>#N/A</v>
      </c>
      <c r="Q863" t="e">
        <f ca="1">IFERROR(计算区域!R865,NA())</f>
        <v>#N/A</v>
      </c>
      <c r="R863" t="e">
        <f ca="1">IFERROR(计算区域!S865,NA())</f>
        <v>#N/A</v>
      </c>
      <c r="S863" t="e">
        <f ca="1">IFERROR(计算区域!T865,NA())</f>
        <v>#N/A</v>
      </c>
      <c r="T863" t="e">
        <f ca="1">IFERROR(计算区域!U865,NA())</f>
        <v>#N/A</v>
      </c>
      <c r="V863" t="e">
        <f ca="1">IFERROR(计算区域!X865,NA())</f>
        <v>#N/A</v>
      </c>
      <c r="W863" t="e">
        <f ca="1">IFERROR(计算区域!Y865,NA())</f>
        <v>#N/A</v>
      </c>
      <c r="X863" t="e">
        <f ca="1">IFERROR(计算区域!Z865,NA())</f>
        <v>#N/A</v>
      </c>
      <c r="Y863" t="e">
        <f ca="1">IFERROR(计算区域!AA865,NA())</f>
        <v>#N/A</v>
      </c>
    </row>
    <row r="864" spans="1:25" x14ac:dyDescent="0.2">
      <c r="A864" s="28">
        <f>计算区域!E866</f>
        <v>44175</v>
      </c>
      <c r="B864" t="e">
        <f ca="1">IFERROR(计算区域!AJ866,NA())</f>
        <v>#N/A</v>
      </c>
      <c r="C864" t="e">
        <f ca="1">IFERROR(计算区域!AK866,NA())</f>
        <v>#N/A</v>
      </c>
      <c r="D864" t="e">
        <f ca="1">IFERROR(计算区域!AL866,NA())</f>
        <v>#N/A</v>
      </c>
      <c r="E864" t="e">
        <f ca="1">IFERROR(计算区域!AM866,NA())</f>
        <v>#N/A</v>
      </c>
      <c r="G864" t="e">
        <f ca="1">IFERROR(计算区域!AD866,NA())</f>
        <v>#N/A</v>
      </c>
      <c r="H864" t="e">
        <f ca="1">IFERROR(计算区域!AE866,NA())</f>
        <v>#N/A</v>
      </c>
      <c r="I864" t="e">
        <f ca="1">IFERROR(计算区域!AF866,NA())</f>
        <v>#N/A</v>
      </c>
      <c r="J864" t="e">
        <f ca="1">IFERROR(计算区域!AG866,NA())</f>
        <v>#N/A</v>
      </c>
      <c r="L864" t="e">
        <f ca="1">IFERROR(计算区域!L866,NA())</f>
        <v>#N/A</v>
      </c>
      <c r="M864" t="e">
        <f ca="1">IFERROR(计算区域!M866,NA())</f>
        <v>#N/A</v>
      </c>
      <c r="N864" t="e">
        <f ca="1">IFERROR(计算区域!N866,NA())</f>
        <v>#N/A</v>
      </c>
      <c r="O864" t="e">
        <f ca="1">IFERROR(计算区域!O866,NA())</f>
        <v>#N/A</v>
      </c>
      <c r="Q864" t="e">
        <f ca="1">IFERROR(计算区域!R866,NA())</f>
        <v>#N/A</v>
      </c>
      <c r="R864" t="e">
        <f ca="1">IFERROR(计算区域!S866,NA())</f>
        <v>#N/A</v>
      </c>
      <c r="S864" t="e">
        <f ca="1">IFERROR(计算区域!T866,NA())</f>
        <v>#N/A</v>
      </c>
      <c r="T864" t="e">
        <f ca="1">IFERROR(计算区域!U866,NA())</f>
        <v>#N/A</v>
      </c>
      <c r="V864" t="e">
        <f ca="1">IFERROR(计算区域!X866,NA())</f>
        <v>#N/A</v>
      </c>
      <c r="W864" t="e">
        <f ca="1">IFERROR(计算区域!Y866,NA())</f>
        <v>#N/A</v>
      </c>
      <c r="X864" t="e">
        <f ca="1">IFERROR(计算区域!Z866,NA())</f>
        <v>#N/A</v>
      </c>
      <c r="Y864" t="e">
        <f ca="1">IFERROR(计算区域!AA866,NA())</f>
        <v>#N/A</v>
      </c>
    </row>
    <row r="865" spans="1:25" x14ac:dyDescent="0.2">
      <c r="A865" s="28">
        <f>计算区域!E867</f>
        <v>44174</v>
      </c>
      <c r="B865" t="e">
        <f ca="1">IFERROR(计算区域!AJ867,NA())</f>
        <v>#N/A</v>
      </c>
      <c r="C865" t="e">
        <f ca="1">IFERROR(计算区域!AK867,NA())</f>
        <v>#N/A</v>
      </c>
      <c r="D865" t="e">
        <f ca="1">IFERROR(计算区域!AL867,NA())</f>
        <v>#N/A</v>
      </c>
      <c r="E865" t="e">
        <f ca="1">IFERROR(计算区域!AM867,NA())</f>
        <v>#N/A</v>
      </c>
      <c r="G865" t="e">
        <f ca="1">IFERROR(计算区域!AD867,NA())</f>
        <v>#N/A</v>
      </c>
      <c r="H865" t="e">
        <f ca="1">IFERROR(计算区域!AE867,NA())</f>
        <v>#N/A</v>
      </c>
      <c r="I865" t="e">
        <f ca="1">IFERROR(计算区域!AF867,NA())</f>
        <v>#N/A</v>
      </c>
      <c r="J865" t="e">
        <f ca="1">IFERROR(计算区域!AG867,NA())</f>
        <v>#N/A</v>
      </c>
      <c r="L865" t="e">
        <f ca="1">IFERROR(计算区域!L867,NA())</f>
        <v>#N/A</v>
      </c>
      <c r="M865" t="e">
        <f ca="1">IFERROR(计算区域!M867,NA())</f>
        <v>#N/A</v>
      </c>
      <c r="N865" t="e">
        <f ca="1">IFERROR(计算区域!N867,NA())</f>
        <v>#N/A</v>
      </c>
      <c r="O865" t="e">
        <f ca="1">IFERROR(计算区域!O867,NA())</f>
        <v>#N/A</v>
      </c>
      <c r="Q865" t="e">
        <f ca="1">IFERROR(计算区域!R867,NA())</f>
        <v>#N/A</v>
      </c>
      <c r="R865" t="e">
        <f ca="1">IFERROR(计算区域!S867,NA())</f>
        <v>#N/A</v>
      </c>
      <c r="S865" t="e">
        <f ca="1">IFERROR(计算区域!T867,NA())</f>
        <v>#N/A</v>
      </c>
      <c r="T865" t="e">
        <f ca="1">IFERROR(计算区域!U867,NA())</f>
        <v>#N/A</v>
      </c>
      <c r="V865" t="e">
        <f ca="1">IFERROR(计算区域!X867,NA())</f>
        <v>#N/A</v>
      </c>
      <c r="W865" t="e">
        <f ca="1">IFERROR(计算区域!Y867,NA())</f>
        <v>#N/A</v>
      </c>
      <c r="X865" t="e">
        <f ca="1">IFERROR(计算区域!Z867,NA())</f>
        <v>#N/A</v>
      </c>
      <c r="Y865" t="e">
        <f ca="1">IFERROR(计算区域!AA867,NA())</f>
        <v>#N/A</v>
      </c>
    </row>
    <row r="866" spans="1:25" x14ac:dyDescent="0.2">
      <c r="A866" s="28">
        <f>计算区域!E868</f>
        <v>44173</v>
      </c>
      <c r="B866" t="e">
        <f ca="1">IFERROR(计算区域!AJ868,NA())</f>
        <v>#N/A</v>
      </c>
      <c r="C866" t="e">
        <f ca="1">IFERROR(计算区域!AK868,NA())</f>
        <v>#N/A</v>
      </c>
      <c r="D866" t="e">
        <f ca="1">IFERROR(计算区域!AL868,NA())</f>
        <v>#N/A</v>
      </c>
      <c r="E866" t="e">
        <f ca="1">IFERROR(计算区域!AM868,NA())</f>
        <v>#N/A</v>
      </c>
      <c r="G866" t="e">
        <f ca="1">IFERROR(计算区域!AD868,NA())</f>
        <v>#N/A</v>
      </c>
      <c r="H866" t="e">
        <f ca="1">IFERROR(计算区域!AE868,NA())</f>
        <v>#N/A</v>
      </c>
      <c r="I866" t="e">
        <f ca="1">IFERROR(计算区域!AF868,NA())</f>
        <v>#N/A</v>
      </c>
      <c r="J866" t="e">
        <f ca="1">IFERROR(计算区域!AG868,NA())</f>
        <v>#N/A</v>
      </c>
      <c r="L866" t="e">
        <f ca="1">IFERROR(计算区域!L868,NA())</f>
        <v>#N/A</v>
      </c>
      <c r="M866" t="e">
        <f ca="1">IFERROR(计算区域!M868,NA())</f>
        <v>#N/A</v>
      </c>
      <c r="N866" t="e">
        <f ca="1">IFERROR(计算区域!N868,NA())</f>
        <v>#N/A</v>
      </c>
      <c r="O866" t="e">
        <f ca="1">IFERROR(计算区域!O868,NA())</f>
        <v>#N/A</v>
      </c>
      <c r="Q866" t="e">
        <f ca="1">IFERROR(计算区域!R868,NA())</f>
        <v>#N/A</v>
      </c>
      <c r="R866" t="e">
        <f ca="1">IFERROR(计算区域!S868,NA())</f>
        <v>#N/A</v>
      </c>
      <c r="S866" t="e">
        <f ca="1">IFERROR(计算区域!T868,NA())</f>
        <v>#N/A</v>
      </c>
      <c r="T866" t="e">
        <f ca="1">IFERROR(计算区域!U868,NA())</f>
        <v>#N/A</v>
      </c>
      <c r="V866" t="e">
        <f ca="1">IFERROR(计算区域!X868,NA())</f>
        <v>#N/A</v>
      </c>
      <c r="W866" t="e">
        <f ca="1">IFERROR(计算区域!Y868,NA())</f>
        <v>#N/A</v>
      </c>
      <c r="X866" t="e">
        <f ca="1">IFERROR(计算区域!Z868,NA())</f>
        <v>#N/A</v>
      </c>
      <c r="Y866" t="e">
        <f ca="1">IFERROR(计算区域!AA868,NA())</f>
        <v>#N/A</v>
      </c>
    </row>
    <row r="867" spans="1:25" x14ac:dyDescent="0.2">
      <c r="A867" s="28">
        <f>计算区域!E869</f>
        <v>44172</v>
      </c>
      <c r="B867" t="e">
        <f ca="1">IFERROR(计算区域!AJ869,NA())</f>
        <v>#N/A</v>
      </c>
      <c r="C867" t="e">
        <f ca="1">IFERROR(计算区域!AK869,NA())</f>
        <v>#N/A</v>
      </c>
      <c r="D867" t="e">
        <f ca="1">IFERROR(计算区域!AL869,NA())</f>
        <v>#N/A</v>
      </c>
      <c r="E867" t="e">
        <f ca="1">IFERROR(计算区域!AM869,NA())</f>
        <v>#N/A</v>
      </c>
      <c r="G867" t="e">
        <f ca="1">IFERROR(计算区域!AD869,NA())</f>
        <v>#N/A</v>
      </c>
      <c r="H867" t="e">
        <f ca="1">IFERROR(计算区域!AE869,NA())</f>
        <v>#N/A</v>
      </c>
      <c r="I867" t="e">
        <f ca="1">IFERROR(计算区域!AF869,NA())</f>
        <v>#N/A</v>
      </c>
      <c r="J867" t="e">
        <f ca="1">IFERROR(计算区域!AG869,NA())</f>
        <v>#N/A</v>
      </c>
      <c r="L867" t="e">
        <f ca="1">IFERROR(计算区域!L869,NA())</f>
        <v>#N/A</v>
      </c>
      <c r="M867" t="e">
        <f ca="1">IFERROR(计算区域!M869,NA())</f>
        <v>#N/A</v>
      </c>
      <c r="N867" t="e">
        <f ca="1">IFERROR(计算区域!N869,NA())</f>
        <v>#N/A</v>
      </c>
      <c r="O867" t="e">
        <f ca="1">IFERROR(计算区域!O869,NA())</f>
        <v>#N/A</v>
      </c>
      <c r="Q867" t="e">
        <f ca="1">IFERROR(计算区域!R869,NA())</f>
        <v>#N/A</v>
      </c>
      <c r="R867" t="e">
        <f ca="1">IFERROR(计算区域!S869,NA())</f>
        <v>#N/A</v>
      </c>
      <c r="S867" t="e">
        <f ca="1">IFERROR(计算区域!T869,NA())</f>
        <v>#N/A</v>
      </c>
      <c r="T867" t="e">
        <f ca="1">IFERROR(计算区域!U869,NA())</f>
        <v>#N/A</v>
      </c>
      <c r="V867" t="e">
        <f ca="1">IFERROR(计算区域!X869,NA())</f>
        <v>#N/A</v>
      </c>
      <c r="W867" t="e">
        <f ca="1">IFERROR(计算区域!Y869,NA())</f>
        <v>#N/A</v>
      </c>
      <c r="X867" t="e">
        <f ca="1">IFERROR(计算区域!Z869,NA())</f>
        <v>#N/A</v>
      </c>
      <c r="Y867" t="e">
        <f ca="1">IFERROR(计算区域!AA869,NA())</f>
        <v>#N/A</v>
      </c>
    </row>
    <row r="868" spans="1:25" x14ac:dyDescent="0.2">
      <c r="A868" s="28">
        <f>计算区域!E870</f>
        <v>44169</v>
      </c>
      <c r="B868" t="e">
        <f ca="1">IFERROR(计算区域!AJ870,NA())</f>
        <v>#N/A</v>
      </c>
      <c r="C868" t="e">
        <f ca="1">IFERROR(计算区域!AK870,NA())</f>
        <v>#N/A</v>
      </c>
      <c r="D868" t="e">
        <f ca="1">IFERROR(计算区域!AL870,NA())</f>
        <v>#N/A</v>
      </c>
      <c r="E868" t="e">
        <f ca="1">IFERROR(计算区域!AM870,NA())</f>
        <v>#N/A</v>
      </c>
      <c r="G868" t="e">
        <f ca="1">IFERROR(计算区域!AD870,NA())</f>
        <v>#N/A</v>
      </c>
      <c r="H868" t="e">
        <f ca="1">IFERROR(计算区域!AE870,NA())</f>
        <v>#N/A</v>
      </c>
      <c r="I868" t="e">
        <f ca="1">IFERROR(计算区域!AF870,NA())</f>
        <v>#N/A</v>
      </c>
      <c r="J868" t="e">
        <f ca="1">IFERROR(计算区域!AG870,NA())</f>
        <v>#N/A</v>
      </c>
      <c r="L868" t="e">
        <f ca="1">IFERROR(计算区域!L870,NA())</f>
        <v>#N/A</v>
      </c>
      <c r="M868" t="e">
        <f ca="1">IFERROR(计算区域!M870,NA())</f>
        <v>#N/A</v>
      </c>
      <c r="N868" t="e">
        <f ca="1">IFERROR(计算区域!N870,NA())</f>
        <v>#N/A</v>
      </c>
      <c r="O868" t="e">
        <f ca="1">IFERROR(计算区域!O870,NA())</f>
        <v>#N/A</v>
      </c>
      <c r="Q868" t="e">
        <f ca="1">IFERROR(计算区域!R870,NA())</f>
        <v>#N/A</v>
      </c>
      <c r="R868" t="e">
        <f ca="1">IFERROR(计算区域!S870,NA())</f>
        <v>#N/A</v>
      </c>
      <c r="S868" t="e">
        <f ca="1">IFERROR(计算区域!T870,NA())</f>
        <v>#N/A</v>
      </c>
      <c r="T868" t="e">
        <f ca="1">IFERROR(计算区域!U870,NA())</f>
        <v>#N/A</v>
      </c>
      <c r="V868" t="e">
        <f ca="1">IFERROR(计算区域!X870,NA())</f>
        <v>#N/A</v>
      </c>
      <c r="W868" t="e">
        <f ca="1">IFERROR(计算区域!Y870,NA())</f>
        <v>#N/A</v>
      </c>
      <c r="X868" t="e">
        <f ca="1">IFERROR(计算区域!Z870,NA())</f>
        <v>#N/A</v>
      </c>
      <c r="Y868" t="e">
        <f ca="1">IFERROR(计算区域!AA870,NA())</f>
        <v>#N/A</v>
      </c>
    </row>
    <row r="869" spans="1:25" x14ac:dyDescent="0.2">
      <c r="A869" s="28">
        <f>计算区域!E871</f>
        <v>44168</v>
      </c>
      <c r="B869" t="e">
        <f ca="1">IFERROR(计算区域!AJ871,NA())</f>
        <v>#N/A</v>
      </c>
      <c r="C869" t="e">
        <f ca="1">IFERROR(计算区域!AK871,NA())</f>
        <v>#N/A</v>
      </c>
      <c r="D869" t="e">
        <f ca="1">IFERROR(计算区域!AL871,NA())</f>
        <v>#N/A</v>
      </c>
      <c r="E869" t="e">
        <f ca="1">IFERROR(计算区域!AM871,NA())</f>
        <v>#N/A</v>
      </c>
      <c r="G869" t="e">
        <f ca="1">IFERROR(计算区域!AD871,NA())</f>
        <v>#N/A</v>
      </c>
      <c r="H869" t="e">
        <f ca="1">IFERROR(计算区域!AE871,NA())</f>
        <v>#N/A</v>
      </c>
      <c r="I869" t="e">
        <f ca="1">IFERROR(计算区域!AF871,NA())</f>
        <v>#N/A</v>
      </c>
      <c r="J869" t="e">
        <f ca="1">IFERROR(计算区域!AG871,NA())</f>
        <v>#N/A</v>
      </c>
      <c r="L869" t="e">
        <f ca="1">IFERROR(计算区域!L871,NA())</f>
        <v>#N/A</v>
      </c>
      <c r="M869" t="e">
        <f ca="1">IFERROR(计算区域!M871,NA())</f>
        <v>#N/A</v>
      </c>
      <c r="N869" t="e">
        <f ca="1">IFERROR(计算区域!N871,NA())</f>
        <v>#N/A</v>
      </c>
      <c r="O869" t="e">
        <f ca="1">IFERROR(计算区域!O871,NA())</f>
        <v>#N/A</v>
      </c>
      <c r="Q869" t="e">
        <f ca="1">IFERROR(计算区域!R871,NA())</f>
        <v>#N/A</v>
      </c>
      <c r="R869" t="e">
        <f ca="1">IFERROR(计算区域!S871,NA())</f>
        <v>#N/A</v>
      </c>
      <c r="S869" t="e">
        <f ca="1">IFERROR(计算区域!T871,NA())</f>
        <v>#N/A</v>
      </c>
      <c r="T869" t="e">
        <f ca="1">IFERROR(计算区域!U871,NA())</f>
        <v>#N/A</v>
      </c>
      <c r="V869" t="e">
        <f ca="1">IFERROR(计算区域!X871,NA())</f>
        <v>#N/A</v>
      </c>
      <c r="W869" t="e">
        <f ca="1">IFERROR(计算区域!Y871,NA())</f>
        <v>#N/A</v>
      </c>
      <c r="X869" t="e">
        <f ca="1">IFERROR(计算区域!Z871,NA())</f>
        <v>#N/A</v>
      </c>
      <c r="Y869" t="e">
        <f ca="1">IFERROR(计算区域!AA871,NA())</f>
        <v>#N/A</v>
      </c>
    </row>
    <row r="870" spans="1:25" x14ac:dyDescent="0.2">
      <c r="A870" s="28">
        <f>计算区域!E872</f>
        <v>44167</v>
      </c>
      <c r="B870" t="e">
        <f ca="1">IFERROR(计算区域!AJ872,NA())</f>
        <v>#N/A</v>
      </c>
      <c r="C870" t="e">
        <f ca="1">IFERROR(计算区域!AK872,NA())</f>
        <v>#N/A</v>
      </c>
      <c r="D870" t="e">
        <f ca="1">IFERROR(计算区域!AL872,NA())</f>
        <v>#N/A</v>
      </c>
      <c r="E870" t="e">
        <f ca="1">IFERROR(计算区域!AM872,NA())</f>
        <v>#N/A</v>
      </c>
      <c r="G870" t="e">
        <f ca="1">IFERROR(计算区域!AD872,NA())</f>
        <v>#N/A</v>
      </c>
      <c r="H870" t="e">
        <f ca="1">IFERROR(计算区域!AE872,NA())</f>
        <v>#N/A</v>
      </c>
      <c r="I870" t="e">
        <f ca="1">IFERROR(计算区域!AF872,NA())</f>
        <v>#N/A</v>
      </c>
      <c r="J870" t="e">
        <f ca="1">IFERROR(计算区域!AG872,NA())</f>
        <v>#N/A</v>
      </c>
      <c r="L870" t="e">
        <f ca="1">IFERROR(计算区域!L872,NA())</f>
        <v>#N/A</v>
      </c>
      <c r="M870" t="e">
        <f ca="1">IFERROR(计算区域!M872,NA())</f>
        <v>#N/A</v>
      </c>
      <c r="N870" t="e">
        <f ca="1">IFERROR(计算区域!N872,NA())</f>
        <v>#N/A</v>
      </c>
      <c r="O870" t="e">
        <f ca="1">IFERROR(计算区域!O872,NA())</f>
        <v>#N/A</v>
      </c>
      <c r="Q870" t="e">
        <f ca="1">IFERROR(计算区域!R872,NA())</f>
        <v>#N/A</v>
      </c>
      <c r="R870" t="e">
        <f ca="1">IFERROR(计算区域!S872,NA())</f>
        <v>#N/A</v>
      </c>
      <c r="S870" t="e">
        <f ca="1">IFERROR(计算区域!T872,NA())</f>
        <v>#N/A</v>
      </c>
      <c r="T870" t="e">
        <f ca="1">IFERROR(计算区域!U872,NA())</f>
        <v>#N/A</v>
      </c>
      <c r="V870" t="e">
        <f ca="1">IFERROR(计算区域!X872,NA())</f>
        <v>#N/A</v>
      </c>
      <c r="W870" t="e">
        <f ca="1">IFERROR(计算区域!Y872,NA())</f>
        <v>#N/A</v>
      </c>
      <c r="X870" t="e">
        <f ca="1">IFERROR(计算区域!Z872,NA())</f>
        <v>#N/A</v>
      </c>
      <c r="Y870" t="e">
        <f ca="1">IFERROR(计算区域!AA872,NA())</f>
        <v>#N/A</v>
      </c>
    </row>
    <row r="871" spans="1:25" x14ac:dyDescent="0.2">
      <c r="A871" s="28">
        <f>计算区域!E873</f>
        <v>44166</v>
      </c>
      <c r="B871" t="e">
        <f ca="1">IFERROR(计算区域!AJ873,NA())</f>
        <v>#N/A</v>
      </c>
      <c r="C871" t="e">
        <f ca="1">IFERROR(计算区域!AK873,NA())</f>
        <v>#N/A</v>
      </c>
      <c r="D871" t="e">
        <f ca="1">IFERROR(计算区域!AL873,NA())</f>
        <v>#N/A</v>
      </c>
      <c r="E871" t="e">
        <f ca="1">IFERROR(计算区域!AM873,NA())</f>
        <v>#N/A</v>
      </c>
      <c r="G871" t="e">
        <f ca="1">IFERROR(计算区域!AD873,NA())</f>
        <v>#N/A</v>
      </c>
      <c r="H871" t="e">
        <f ca="1">IFERROR(计算区域!AE873,NA())</f>
        <v>#N/A</v>
      </c>
      <c r="I871" t="e">
        <f ca="1">IFERROR(计算区域!AF873,NA())</f>
        <v>#N/A</v>
      </c>
      <c r="J871" t="e">
        <f ca="1">IFERROR(计算区域!AG873,NA())</f>
        <v>#N/A</v>
      </c>
      <c r="L871" t="e">
        <f ca="1">IFERROR(计算区域!L873,NA())</f>
        <v>#N/A</v>
      </c>
      <c r="M871" t="e">
        <f ca="1">IFERROR(计算区域!M873,NA())</f>
        <v>#N/A</v>
      </c>
      <c r="N871" t="e">
        <f ca="1">IFERROR(计算区域!N873,NA())</f>
        <v>#N/A</v>
      </c>
      <c r="O871" t="e">
        <f ca="1">IFERROR(计算区域!O873,NA())</f>
        <v>#N/A</v>
      </c>
      <c r="Q871" t="e">
        <f ca="1">IFERROR(计算区域!R873,NA())</f>
        <v>#N/A</v>
      </c>
      <c r="R871" t="e">
        <f ca="1">IFERROR(计算区域!S873,NA())</f>
        <v>#N/A</v>
      </c>
      <c r="S871" t="e">
        <f ca="1">IFERROR(计算区域!T873,NA())</f>
        <v>#N/A</v>
      </c>
      <c r="T871" t="e">
        <f ca="1">IFERROR(计算区域!U873,NA())</f>
        <v>#N/A</v>
      </c>
      <c r="V871" t="e">
        <f ca="1">IFERROR(计算区域!X873,NA())</f>
        <v>#N/A</v>
      </c>
      <c r="W871" t="e">
        <f ca="1">IFERROR(计算区域!Y873,NA())</f>
        <v>#N/A</v>
      </c>
      <c r="X871" t="e">
        <f ca="1">IFERROR(计算区域!Z873,NA())</f>
        <v>#N/A</v>
      </c>
      <c r="Y871" t="e">
        <f ca="1">IFERROR(计算区域!AA873,NA())</f>
        <v>#N/A</v>
      </c>
    </row>
    <row r="872" spans="1:25" x14ac:dyDescent="0.2">
      <c r="A872" s="28">
        <f>计算区域!E874</f>
        <v>44165</v>
      </c>
      <c r="B872" t="e">
        <f ca="1">IFERROR(计算区域!AJ874,NA())</f>
        <v>#N/A</v>
      </c>
      <c r="C872" t="e">
        <f ca="1">IFERROR(计算区域!AK874,NA())</f>
        <v>#N/A</v>
      </c>
      <c r="D872" t="e">
        <f ca="1">IFERROR(计算区域!AL874,NA())</f>
        <v>#N/A</v>
      </c>
      <c r="E872" t="e">
        <f ca="1">IFERROR(计算区域!AM874,NA())</f>
        <v>#N/A</v>
      </c>
      <c r="G872" t="e">
        <f ca="1">IFERROR(计算区域!AD874,NA())</f>
        <v>#N/A</v>
      </c>
      <c r="H872" t="e">
        <f ca="1">IFERROR(计算区域!AE874,NA())</f>
        <v>#N/A</v>
      </c>
      <c r="I872" t="e">
        <f ca="1">IFERROR(计算区域!AF874,NA())</f>
        <v>#N/A</v>
      </c>
      <c r="J872" t="e">
        <f ca="1">IFERROR(计算区域!AG874,NA())</f>
        <v>#N/A</v>
      </c>
      <c r="L872" t="e">
        <f ca="1">IFERROR(计算区域!L874,NA())</f>
        <v>#N/A</v>
      </c>
      <c r="M872" t="e">
        <f ca="1">IFERROR(计算区域!M874,NA())</f>
        <v>#N/A</v>
      </c>
      <c r="N872" t="e">
        <f ca="1">IFERROR(计算区域!N874,NA())</f>
        <v>#N/A</v>
      </c>
      <c r="O872" t="e">
        <f ca="1">IFERROR(计算区域!O874,NA())</f>
        <v>#N/A</v>
      </c>
      <c r="Q872" t="e">
        <f ca="1">IFERROR(计算区域!R874,NA())</f>
        <v>#N/A</v>
      </c>
      <c r="R872" t="e">
        <f ca="1">IFERROR(计算区域!S874,NA())</f>
        <v>#N/A</v>
      </c>
      <c r="S872" t="e">
        <f ca="1">IFERROR(计算区域!T874,NA())</f>
        <v>#N/A</v>
      </c>
      <c r="T872" t="e">
        <f ca="1">IFERROR(计算区域!U874,NA())</f>
        <v>#N/A</v>
      </c>
      <c r="V872" t="e">
        <f ca="1">IFERROR(计算区域!X874,NA())</f>
        <v>#N/A</v>
      </c>
      <c r="W872" t="e">
        <f ca="1">IFERROR(计算区域!Y874,NA())</f>
        <v>#N/A</v>
      </c>
      <c r="X872" t="e">
        <f ca="1">IFERROR(计算区域!Z874,NA())</f>
        <v>#N/A</v>
      </c>
      <c r="Y872" t="e">
        <f ca="1">IFERROR(计算区域!AA874,NA())</f>
        <v>#N/A</v>
      </c>
    </row>
    <row r="873" spans="1:25" x14ac:dyDescent="0.2">
      <c r="A873" s="28">
        <f>计算区域!E875</f>
        <v>44162</v>
      </c>
      <c r="B873" t="e">
        <f ca="1">IFERROR(计算区域!AJ875,NA())</f>
        <v>#N/A</v>
      </c>
      <c r="C873" t="e">
        <f ca="1">IFERROR(计算区域!AK875,NA())</f>
        <v>#N/A</v>
      </c>
      <c r="D873" t="e">
        <f ca="1">IFERROR(计算区域!AL875,NA())</f>
        <v>#N/A</v>
      </c>
      <c r="E873" t="e">
        <f ca="1">IFERROR(计算区域!AM875,NA())</f>
        <v>#N/A</v>
      </c>
      <c r="G873" t="e">
        <f ca="1">IFERROR(计算区域!AD875,NA())</f>
        <v>#N/A</v>
      </c>
      <c r="H873" t="e">
        <f ca="1">IFERROR(计算区域!AE875,NA())</f>
        <v>#N/A</v>
      </c>
      <c r="I873" t="e">
        <f ca="1">IFERROR(计算区域!AF875,NA())</f>
        <v>#N/A</v>
      </c>
      <c r="J873" t="e">
        <f ca="1">IFERROR(计算区域!AG875,NA())</f>
        <v>#N/A</v>
      </c>
      <c r="L873" t="e">
        <f ca="1">IFERROR(计算区域!L875,NA())</f>
        <v>#N/A</v>
      </c>
      <c r="M873" t="e">
        <f ca="1">IFERROR(计算区域!M875,NA())</f>
        <v>#N/A</v>
      </c>
      <c r="N873" t="e">
        <f ca="1">IFERROR(计算区域!N875,NA())</f>
        <v>#N/A</v>
      </c>
      <c r="O873" t="e">
        <f ca="1">IFERROR(计算区域!O875,NA())</f>
        <v>#N/A</v>
      </c>
      <c r="Q873" t="e">
        <f ca="1">IFERROR(计算区域!R875,NA())</f>
        <v>#N/A</v>
      </c>
      <c r="R873" t="e">
        <f ca="1">IFERROR(计算区域!S875,NA())</f>
        <v>#N/A</v>
      </c>
      <c r="S873" t="e">
        <f ca="1">IFERROR(计算区域!T875,NA())</f>
        <v>#N/A</v>
      </c>
      <c r="T873" t="e">
        <f ca="1">IFERROR(计算区域!U875,NA())</f>
        <v>#N/A</v>
      </c>
      <c r="V873" t="e">
        <f ca="1">IFERROR(计算区域!X875,NA())</f>
        <v>#N/A</v>
      </c>
      <c r="W873" t="e">
        <f ca="1">IFERROR(计算区域!Y875,NA())</f>
        <v>#N/A</v>
      </c>
      <c r="X873" t="e">
        <f ca="1">IFERROR(计算区域!Z875,NA())</f>
        <v>#N/A</v>
      </c>
      <c r="Y873" t="e">
        <f ca="1">IFERROR(计算区域!AA875,NA())</f>
        <v>#N/A</v>
      </c>
    </row>
    <row r="874" spans="1:25" x14ac:dyDescent="0.2">
      <c r="A874" s="28">
        <f>计算区域!E876</f>
        <v>44161</v>
      </c>
      <c r="B874" t="e">
        <f ca="1">IFERROR(计算区域!AJ876,NA())</f>
        <v>#N/A</v>
      </c>
      <c r="C874" t="e">
        <f ca="1">IFERROR(计算区域!AK876,NA())</f>
        <v>#N/A</v>
      </c>
      <c r="D874" t="e">
        <f ca="1">IFERROR(计算区域!AL876,NA())</f>
        <v>#N/A</v>
      </c>
      <c r="E874" t="e">
        <f ca="1">IFERROR(计算区域!AM876,NA())</f>
        <v>#N/A</v>
      </c>
      <c r="G874" t="e">
        <f ca="1">IFERROR(计算区域!AD876,NA())</f>
        <v>#N/A</v>
      </c>
      <c r="H874" t="e">
        <f ca="1">IFERROR(计算区域!AE876,NA())</f>
        <v>#N/A</v>
      </c>
      <c r="I874" t="e">
        <f ca="1">IFERROR(计算区域!AF876,NA())</f>
        <v>#N/A</v>
      </c>
      <c r="J874" t="e">
        <f ca="1">IFERROR(计算区域!AG876,NA())</f>
        <v>#N/A</v>
      </c>
      <c r="L874" t="e">
        <f ca="1">IFERROR(计算区域!L876,NA())</f>
        <v>#N/A</v>
      </c>
      <c r="M874" t="e">
        <f ca="1">IFERROR(计算区域!M876,NA())</f>
        <v>#N/A</v>
      </c>
      <c r="N874" t="e">
        <f ca="1">IFERROR(计算区域!N876,NA())</f>
        <v>#N/A</v>
      </c>
      <c r="O874" t="e">
        <f ca="1">IFERROR(计算区域!O876,NA())</f>
        <v>#N/A</v>
      </c>
      <c r="Q874" t="e">
        <f ca="1">IFERROR(计算区域!R876,NA())</f>
        <v>#N/A</v>
      </c>
      <c r="R874" t="e">
        <f ca="1">IFERROR(计算区域!S876,NA())</f>
        <v>#N/A</v>
      </c>
      <c r="S874" t="e">
        <f ca="1">IFERROR(计算区域!T876,NA())</f>
        <v>#N/A</v>
      </c>
      <c r="T874" t="e">
        <f ca="1">IFERROR(计算区域!U876,NA())</f>
        <v>#N/A</v>
      </c>
      <c r="V874" t="e">
        <f ca="1">IFERROR(计算区域!X876,NA())</f>
        <v>#N/A</v>
      </c>
      <c r="W874" t="e">
        <f ca="1">IFERROR(计算区域!Y876,NA())</f>
        <v>#N/A</v>
      </c>
      <c r="X874" t="e">
        <f ca="1">IFERROR(计算区域!Z876,NA())</f>
        <v>#N/A</v>
      </c>
      <c r="Y874" t="e">
        <f ca="1">IFERROR(计算区域!AA876,NA())</f>
        <v>#N/A</v>
      </c>
    </row>
    <row r="875" spans="1:25" x14ac:dyDescent="0.2">
      <c r="A875" s="28">
        <f>计算区域!E877</f>
        <v>44160</v>
      </c>
      <c r="B875" t="e">
        <f ca="1">IFERROR(计算区域!AJ877,NA())</f>
        <v>#N/A</v>
      </c>
      <c r="C875" t="e">
        <f ca="1">IFERROR(计算区域!AK877,NA())</f>
        <v>#N/A</v>
      </c>
      <c r="D875" t="e">
        <f ca="1">IFERROR(计算区域!AL877,NA())</f>
        <v>#N/A</v>
      </c>
      <c r="E875" t="e">
        <f ca="1">IFERROR(计算区域!AM877,NA())</f>
        <v>#N/A</v>
      </c>
      <c r="G875" t="e">
        <f ca="1">IFERROR(计算区域!AD877,NA())</f>
        <v>#N/A</v>
      </c>
      <c r="H875" t="e">
        <f ca="1">IFERROR(计算区域!AE877,NA())</f>
        <v>#N/A</v>
      </c>
      <c r="I875" t="e">
        <f ca="1">IFERROR(计算区域!AF877,NA())</f>
        <v>#N/A</v>
      </c>
      <c r="J875" t="e">
        <f ca="1">IFERROR(计算区域!AG877,NA())</f>
        <v>#N/A</v>
      </c>
      <c r="L875" t="e">
        <f ca="1">IFERROR(计算区域!L877,NA())</f>
        <v>#N/A</v>
      </c>
      <c r="M875" t="e">
        <f ca="1">IFERROR(计算区域!M877,NA())</f>
        <v>#N/A</v>
      </c>
      <c r="N875" t="e">
        <f ca="1">IFERROR(计算区域!N877,NA())</f>
        <v>#N/A</v>
      </c>
      <c r="O875" t="e">
        <f ca="1">IFERROR(计算区域!O877,NA())</f>
        <v>#N/A</v>
      </c>
      <c r="Q875" t="e">
        <f ca="1">IFERROR(计算区域!R877,NA())</f>
        <v>#N/A</v>
      </c>
      <c r="R875" t="e">
        <f ca="1">IFERROR(计算区域!S877,NA())</f>
        <v>#N/A</v>
      </c>
      <c r="S875" t="e">
        <f ca="1">IFERROR(计算区域!T877,NA())</f>
        <v>#N/A</v>
      </c>
      <c r="T875" t="e">
        <f ca="1">IFERROR(计算区域!U877,NA())</f>
        <v>#N/A</v>
      </c>
      <c r="V875" t="e">
        <f ca="1">IFERROR(计算区域!X877,NA())</f>
        <v>#N/A</v>
      </c>
      <c r="W875" t="e">
        <f ca="1">IFERROR(计算区域!Y877,NA())</f>
        <v>#N/A</v>
      </c>
      <c r="X875" t="e">
        <f ca="1">IFERROR(计算区域!Z877,NA())</f>
        <v>#N/A</v>
      </c>
      <c r="Y875" t="e">
        <f ca="1">IFERROR(计算区域!AA877,NA())</f>
        <v>#N/A</v>
      </c>
    </row>
    <row r="876" spans="1:25" x14ac:dyDescent="0.2">
      <c r="A876" s="28">
        <f>计算区域!E878</f>
        <v>44159</v>
      </c>
      <c r="B876" t="e">
        <f ca="1">IFERROR(计算区域!AJ878,NA())</f>
        <v>#N/A</v>
      </c>
      <c r="C876" t="e">
        <f ca="1">IFERROR(计算区域!AK878,NA())</f>
        <v>#N/A</v>
      </c>
      <c r="D876" t="e">
        <f ca="1">IFERROR(计算区域!AL878,NA())</f>
        <v>#N/A</v>
      </c>
      <c r="E876" t="e">
        <f ca="1">IFERROR(计算区域!AM878,NA())</f>
        <v>#N/A</v>
      </c>
      <c r="G876" t="e">
        <f ca="1">IFERROR(计算区域!AD878,NA())</f>
        <v>#N/A</v>
      </c>
      <c r="H876" t="e">
        <f ca="1">IFERROR(计算区域!AE878,NA())</f>
        <v>#N/A</v>
      </c>
      <c r="I876" t="e">
        <f ca="1">IFERROR(计算区域!AF878,NA())</f>
        <v>#N/A</v>
      </c>
      <c r="J876" t="e">
        <f ca="1">IFERROR(计算区域!AG878,NA())</f>
        <v>#N/A</v>
      </c>
      <c r="L876" t="e">
        <f ca="1">IFERROR(计算区域!L878,NA())</f>
        <v>#N/A</v>
      </c>
      <c r="M876" t="e">
        <f ca="1">IFERROR(计算区域!M878,NA())</f>
        <v>#N/A</v>
      </c>
      <c r="N876" t="e">
        <f ca="1">IFERROR(计算区域!N878,NA())</f>
        <v>#N/A</v>
      </c>
      <c r="O876" t="e">
        <f ca="1">IFERROR(计算区域!O878,NA())</f>
        <v>#N/A</v>
      </c>
      <c r="Q876" t="e">
        <f ca="1">IFERROR(计算区域!R878,NA())</f>
        <v>#N/A</v>
      </c>
      <c r="R876" t="e">
        <f ca="1">IFERROR(计算区域!S878,NA())</f>
        <v>#N/A</v>
      </c>
      <c r="S876" t="e">
        <f ca="1">IFERROR(计算区域!T878,NA())</f>
        <v>#N/A</v>
      </c>
      <c r="T876" t="e">
        <f ca="1">IFERROR(计算区域!U878,NA())</f>
        <v>#N/A</v>
      </c>
      <c r="V876" t="e">
        <f ca="1">IFERROR(计算区域!X878,NA())</f>
        <v>#N/A</v>
      </c>
      <c r="W876" t="e">
        <f ca="1">IFERROR(计算区域!Y878,NA())</f>
        <v>#N/A</v>
      </c>
      <c r="X876" t="e">
        <f ca="1">IFERROR(计算区域!Z878,NA())</f>
        <v>#N/A</v>
      </c>
      <c r="Y876" t="e">
        <f ca="1">IFERROR(计算区域!AA878,NA())</f>
        <v>#N/A</v>
      </c>
    </row>
    <row r="877" spans="1:25" x14ac:dyDescent="0.2">
      <c r="A877" s="28">
        <f>计算区域!E879</f>
        <v>44158</v>
      </c>
      <c r="B877" t="e">
        <f ca="1">IFERROR(计算区域!AJ879,NA())</f>
        <v>#N/A</v>
      </c>
      <c r="C877" t="e">
        <f ca="1">IFERROR(计算区域!AK879,NA())</f>
        <v>#N/A</v>
      </c>
      <c r="D877" t="e">
        <f ca="1">IFERROR(计算区域!AL879,NA())</f>
        <v>#N/A</v>
      </c>
      <c r="E877" t="e">
        <f ca="1">IFERROR(计算区域!AM879,NA())</f>
        <v>#N/A</v>
      </c>
      <c r="G877" t="e">
        <f ca="1">IFERROR(计算区域!AD879,NA())</f>
        <v>#N/A</v>
      </c>
      <c r="H877" t="e">
        <f ca="1">IFERROR(计算区域!AE879,NA())</f>
        <v>#N/A</v>
      </c>
      <c r="I877" t="e">
        <f ca="1">IFERROR(计算区域!AF879,NA())</f>
        <v>#N/A</v>
      </c>
      <c r="J877" t="e">
        <f ca="1">IFERROR(计算区域!AG879,NA())</f>
        <v>#N/A</v>
      </c>
      <c r="L877" t="e">
        <f ca="1">IFERROR(计算区域!L879,NA())</f>
        <v>#N/A</v>
      </c>
      <c r="M877" t="e">
        <f ca="1">IFERROR(计算区域!M879,NA())</f>
        <v>#N/A</v>
      </c>
      <c r="N877" t="e">
        <f ca="1">IFERROR(计算区域!N879,NA())</f>
        <v>#N/A</v>
      </c>
      <c r="O877" t="e">
        <f ca="1">IFERROR(计算区域!O879,NA())</f>
        <v>#N/A</v>
      </c>
      <c r="Q877" t="e">
        <f ca="1">IFERROR(计算区域!R879,NA())</f>
        <v>#N/A</v>
      </c>
      <c r="R877" t="e">
        <f ca="1">IFERROR(计算区域!S879,NA())</f>
        <v>#N/A</v>
      </c>
      <c r="S877" t="e">
        <f ca="1">IFERROR(计算区域!T879,NA())</f>
        <v>#N/A</v>
      </c>
      <c r="T877" t="e">
        <f ca="1">IFERROR(计算区域!U879,NA())</f>
        <v>#N/A</v>
      </c>
      <c r="V877" t="e">
        <f ca="1">IFERROR(计算区域!X879,NA())</f>
        <v>#N/A</v>
      </c>
      <c r="W877" t="e">
        <f ca="1">IFERROR(计算区域!Y879,NA())</f>
        <v>#N/A</v>
      </c>
      <c r="X877" t="e">
        <f ca="1">IFERROR(计算区域!Z879,NA())</f>
        <v>#N/A</v>
      </c>
      <c r="Y877" t="e">
        <f ca="1">IFERROR(计算区域!AA879,NA())</f>
        <v>#N/A</v>
      </c>
    </row>
    <row r="878" spans="1:25" x14ac:dyDescent="0.2">
      <c r="A878" s="28">
        <f>计算区域!E880</f>
        <v>44155</v>
      </c>
      <c r="B878" t="e">
        <f ca="1">IFERROR(计算区域!AJ880,NA())</f>
        <v>#N/A</v>
      </c>
      <c r="C878" t="e">
        <f ca="1">IFERROR(计算区域!AK880,NA())</f>
        <v>#N/A</v>
      </c>
      <c r="D878" t="e">
        <f ca="1">IFERROR(计算区域!AL880,NA())</f>
        <v>#N/A</v>
      </c>
      <c r="E878" t="e">
        <f ca="1">IFERROR(计算区域!AM880,NA())</f>
        <v>#N/A</v>
      </c>
      <c r="G878" t="e">
        <f ca="1">IFERROR(计算区域!AD880,NA())</f>
        <v>#N/A</v>
      </c>
      <c r="H878" t="e">
        <f ca="1">IFERROR(计算区域!AE880,NA())</f>
        <v>#N/A</v>
      </c>
      <c r="I878" t="e">
        <f ca="1">IFERROR(计算区域!AF880,NA())</f>
        <v>#N/A</v>
      </c>
      <c r="J878" t="e">
        <f ca="1">IFERROR(计算区域!AG880,NA())</f>
        <v>#N/A</v>
      </c>
      <c r="L878" t="e">
        <f ca="1">IFERROR(计算区域!L880,NA())</f>
        <v>#N/A</v>
      </c>
      <c r="M878" t="e">
        <f ca="1">IFERROR(计算区域!M880,NA())</f>
        <v>#N/A</v>
      </c>
      <c r="N878" t="e">
        <f ca="1">IFERROR(计算区域!N880,NA())</f>
        <v>#N/A</v>
      </c>
      <c r="O878" t="e">
        <f ca="1">IFERROR(计算区域!O880,NA())</f>
        <v>#N/A</v>
      </c>
      <c r="Q878" t="e">
        <f ca="1">IFERROR(计算区域!R880,NA())</f>
        <v>#N/A</v>
      </c>
      <c r="R878" t="e">
        <f ca="1">IFERROR(计算区域!S880,NA())</f>
        <v>#N/A</v>
      </c>
      <c r="S878" t="e">
        <f ca="1">IFERROR(计算区域!T880,NA())</f>
        <v>#N/A</v>
      </c>
      <c r="T878" t="e">
        <f ca="1">IFERROR(计算区域!U880,NA())</f>
        <v>#N/A</v>
      </c>
      <c r="V878" t="e">
        <f ca="1">IFERROR(计算区域!X880,NA())</f>
        <v>#N/A</v>
      </c>
      <c r="W878" t="e">
        <f ca="1">IFERROR(计算区域!Y880,NA())</f>
        <v>#N/A</v>
      </c>
      <c r="X878" t="e">
        <f ca="1">IFERROR(计算区域!Z880,NA())</f>
        <v>#N/A</v>
      </c>
      <c r="Y878" t="e">
        <f ca="1">IFERROR(计算区域!AA880,NA())</f>
        <v>#N/A</v>
      </c>
    </row>
    <row r="879" spans="1:25" x14ac:dyDescent="0.2">
      <c r="A879" s="28">
        <f>计算区域!E881</f>
        <v>44154</v>
      </c>
      <c r="B879" t="e">
        <f ca="1">IFERROR(计算区域!AJ881,NA())</f>
        <v>#N/A</v>
      </c>
      <c r="C879" t="e">
        <f ca="1">IFERROR(计算区域!AK881,NA())</f>
        <v>#N/A</v>
      </c>
      <c r="D879" t="e">
        <f ca="1">IFERROR(计算区域!AL881,NA())</f>
        <v>#N/A</v>
      </c>
      <c r="E879" t="e">
        <f ca="1">IFERROR(计算区域!AM881,NA())</f>
        <v>#N/A</v>
      </c>
      <c r="G879" t="e">
        <f ca="1">IFERROR(计算区域!AD881,NA())</f>
        <v>#N/A</v>
      </c>
      <c r="H879" t="e">
        <f ca="1">IFERROR(计算区域!AE881,NA())</f>
        <v>#N/A</v>
      </c>
      <c r="I879" t="e">
        <f ca="1">IFERROR(计算区域!AF881,NA())</f>
        <v>#N/A</v>
      </c>
      <c r="J879" t="e">
        <f ca="1">IFERROR(计算区域!AG881,NA())</f>
        <v>#N/A</v>
      </c>
      <c r="L879" t="e">
        <f ca="1">IFERROR(计算区域!L881,NA())</f>
        <v>#N/A</v>
      </c>
      <c r="M879" t="e">
        <f ca="1">IFERROR(计算区域!M881,NA())</f>
        <v>#N/A</v>
      </c>
      <c r="N879" t="e">
        <f ca="1">IFERROR(计算区域!N881,NA())</f>
        <v>#N/A</v>
      </c>
      <c r="O879" t="e">
        <f ca="1">IFERROR(计算区域!O881,NA())</f>
        <v>#N/A</v>
      </c>
      <c r="Q879" t="e">
        <f ca="1">IFERROR(计算区域!R881,NA())</f>
        <v>#N/A</v>
      </c>
      <c r="R879" t="e">
        <f ca="1">IFERROR(计算区域!S881,NA())</f>
        <v>#N/A</v>
      </c>
      <c r="S879" t="e">
        <f ca="1">IFERROR(计算区域!T881,NA())</f>
        <v>#N/A</v>
      </c>
      <c r="T879" t="e">
        <f ca="1">IFERROR(计算区域!U881,NA())</f>
        <v>#N/A</v>
      </c>
      <c r="V879" t="e">
        <f ca="1">IFERROR(计算区域!X881,NA())</f>
        <v>#N/A</v>
      </c>
      <c r="W879" t="e">
        <f ca="1">IFERROR(计算区域!Y881,NA())</f>
        <v>#N/A</v>
      </c>
      <c r="X879" t="e">
        <f ca="1">IFERROR(计算区域!Z881,NA())</f>
        <v>#N/A</v>
      </c>
      <c r="Y879" t="e">
        <f ca="1">IFERROR(计算区域!AA881,NA())</f>
        <v>#N/A</v>
      </c>
    </row>
    <row r="880" spans="1:25" x14ac:dyDescent="0.2">
      <c r="A880" s="28">
        <f>计算区域!E882</f>
        <v>44153</v>
      </c>
      <c r="B880" t="e">
        <f ca="1">IFERROR(计算区域!AJ882,NA())</f>
        <v>#N/A</v>
      </c>
      <c r="C880" t="e">
        <f ca="1">IFERROR(计算区域!AK882,NA())</f>
        <v>#N/A</v>
      </c>
      <c r="D880" t="e">
        <f ca="1">IFERROR(计算区域!AL882,NA())</f>
        <v>#N/A</v>
      </c>
      <c r="E880" t="e">
        <f ca="1">IFERROR(计算区域!AM882,NA())</f>
        <v>#N/A</v>
      </c>
      <c r="G880" t="e">
        <f ca="1">IFERROR(计算区域!AD882,NA())</f>
        <v>#N/A</v>
      </c>
      <c r="H880" t="e">
        <f ca="1">IFERROR(计算区域!AE882,NA())</f>
        <v>#N/A</v>
      </c>
      <c r="I880" t="e">
        <f ca="1">IFERROR(计算区域!AF882,NA())</f>
        <v>#N/A</v>
      </c>
      <c r="J880" t="e">
        <f ca="1">IFERROR(计算区域!AG882,NA())</f>
        <v>#N/A</v>
      </c>
      <c r="L880" t="e">
        <f ca="1">IFERROR(计算区域!L882,NA())</f>
        <v>#N/A</v>
      </c>
      <c r="M880" t="e">
        <f ca="1">IFERROR(计算区域!M882,NA())</f>
        <v>#N/A</v>
      </c>
      <c r="N880" t="e">
        <f ca="1">IFERROR(计算区域!N882,NA())</f>
        <v>#N/A</v>
      </c>
      <c r="O880" t="e">
        <f ca="1">IFERROR(计算区域!O882,NA())</f>
        <v>#N/A</v>
      </c>
      <c r="Q880" t="e">
        <f ca="1">IFERROR(计算区域!R882,NA())</f>
        <v>#N/A</v>
      </c>
      <c r="R880" t="e">
        <f ca="1">IFERROR(计算区域!S882,NA())</f>
        <v>#N/A</v>
      </c>
      <c r="S880" t="e">
        <f ca="1">IFERROR(计算区域!T882,NA())</f>
        <v>#N/A</v>
      </c>
      <c r="T880" t="e">
        <f ca="1">IFERROR(计算区域!U882,NA())</f>
        <v>#N/A</v>
      </c>
      <c r="V880" t="e">
        <f ca="1">IFERROR(计算区域!X882,NA())</f>
        <v>#N/A</v>
      </c>
      <c r="W880" t="e">
        <f ca="1">IFERROR(计算区域!Y882,NA())</f>
        <v>#N/A</v>
      </c>
      <c r="X880" t="e">
        <f ca="1">IFERROR(计算区域!Z882,NA())</f>
        <v>#N/A</v>
      </c>
      <c r="Y880" t="e">
        <f ca="1">IFERROR(计算区域!AA882,NA())</f>
        <v>#N/A</v>
      </c>
    </row>
    <row r="881" spans="1:25" x14ac:dyDescent="0.2">
      <c r="A881" s="28">
        <f>计算区域!E883</f>
        <v>44152</v>
      </c>
      <c r="B881" t="e">
        <f ca="1">IFERROR(计算区域!AJ883,NA())</f>
        <v>#N/A</v>
      </c>
      <c r="C881" t="e">
        <f ca="1">IFERROR(计算区域!AK883,NA())</f>
        <v>#N/A</v>
      </c>
      <c r="D881" t="e">
        <f ca="1">IFERROR(计算区域!AL883,NA())</f>
        <v>#N/A</v>
      </c>
      <c r="E881" t="e">
        <f ca="1">IFERROR(计算区域!AM883,NA())</f>
        <v>#N/A</v>
      </c>
      <c r="G881" t="e">
        <f ca="1">IFERROR(计算区域!AD883,NA())</f>
        <v>#N/A</v>
      </c>
      <c r="H881" t="e">
        <f ca="1">IFERROR(计算区域!AE883,NA())</f>
        <v>#N/A</v>
      </c>
      <c r="I881" t="e">
        <f ca="1">IFERROR(计算区域!AF883,NA())</f>
        <v>#N/A</v>
      </c>
      <c r="J881" t="e">
        <f ca="1">IFERROR(计算区域!AG883,NA())</f>
        <v>#N/A</v>
      </c>
      <c r="L881" t="e">
        <f ca="1">IFERROR(计算区域!L883,NA())</f>
        <v>#N/A</v>
      </c>
      <c r="M881" t="e">
        <f ca="1">IFERROR(计算区域!M883,NA())</f>
        <v>#N/A</v>
      </c>
      <c r="N881" t="e">
        <f ca="1">IFERROR(计算区域!N883,NA())</f>
        <v>#N/A</v>
      </c>
      <c r="O881" t="e">
        <f ca="1">IFERROR(计算区域!O883,NA())</f>
        <v>#N/A</v>
      </c>
      <c r="Q881" t="e">
        <f ca="1">IFERROR(计算区域!R883,NA())</f>
        <v>#N/A</v>
      </c>
      <c r="R881" t="e">
        <f ca="1">IFERROR(计算区域!S883,NA())</f>
        <v>#N/A</v>
      </c>
      <c r="S881" t="e">
        <f ca="1">IFERROR(计算区域!T883,NA())</f>
        <v>#N/A</v>
      </c>
      <c r="T881" t="e">
        <f ca="1">IFERROR(计算区域!U883,NA())</f>
        <v>#N/A</v>
      </c>
      <c r="V881" t="e">
        <f ca="1">IFERROR(计算区域!X883,NA())</f>
        <v>#N/A</v>
      </c>
      <c r="W881" t="e">
        <f ca="1">IFERROR(计算区域!Y883,NA())</f>
        <v>#N/A</v>
      </c>
      <c r="X881" t="e">
        <f ca="1">IFERROR(计算区域!Z883,NA())</f>
        <v>#N/A</v>
      </c>
      <c r="Y881" t="e">
        <f ca="1">IFERROR(计算区域!AA883,NA())</f>
        <v>#N/A</v>
      </c>
    </row>
    <row r="882" spans="1:25" x14ac:dyDescent="0.2">
      <c r="A882" s="28">
        <f>计算区域!E884</f>
        <v>44151</v>
      </c>
      <c r="B882" t="e">
        <f ca="1">IFERROR(计算区域!AJ884,NA())</f>
        <v>#N/A</v>
      </c>
      <c r="C882" t="e">
        <f ca="1">IFERROR(计算区域!AK884,NA())</f>
        <v>#N/A</v>
      </c>
      <c r="D882" t="e">
        <f ca="1">IFERROR(计算区域!AL884,NA())</f>
        <v>#N/A</v>
      </c>
      <c r="E882" t="e">
        <f ca="1">IFERROR(计算区域!AM884,NA())</f>
        <v>#N/A</v>
      </c>
      <c r="G882" t="e">
        <f ca="1">IFERROR(计算区域!AD884,NA())</f>
        <v>#N/A</v>
      </c>
      <c r="H882" t="e">
        <f ca="1">IFERROR(计算区域!AE884,NA())</f>
        <v>#N/A</v>
      </c>
      <c r="I882" t="e">
        <f ca="1">IFERROR(计算区域!AF884,NA())</f>
        <v>#N/A</v>
      </c>
      <c r="J882" t="e">
        <f ca="1">IFERROR(计算区域!AG884,NA())</f>
        <v>#N/A</v>
      </c>
      <c r="L882" t="e">
        <f ca="1">IFERROR(计算区域!L884,NA())</f>
        <v>#N/A</v>
      </c>
      <c r="M882" t="e">
        <f ca="1">IFERROR(计算区域!M884,NA())</f>
        <v>#N/A</v>
      </c>
      <c r="N882" t="e">
        <f ca="1">IFERROR(计算区域!N884,NA())</f>
        <v>#N/A</v>
      </c>
      <c r="O882" t="e">
        <f ca="1">IFERROR(计算区域!O884,NA())</f>
        <v>#N/A</v>
      </c>
      <c r="Q882" t="e">
        <f ca="1">IFERROR(计算区域!R884,NA())</f>
        <v>#N/A</v>
      </c>
      <c r="R882" t="e">
        <f ca="1">IFERROR(计算区域!S884,NA())</f>
        <v>#N/A</v>
      </c>
      <c r="S882" t="e">
        <f ca="1">IFERROR(计算区域!T884,NA())</f>
        <v>#N/A</v>
      </c>
      <c r="T882" t="e">
        <f ca="1">IFERROR(计算区域!U884,NA())</f>
        <v>#N/A</v>
      </c>
      <c r="V882" t="e">
        <f ca="1">IFERROR(计算区域!X884,NA())</f>
        <v>#N/A</v>
      </c>
      <c r="W882" t="e">
        <f ca="1">IFERROR(计算区域!Y884,NA())</f>
        <v>#N/A</v>
      </c>
      <c r="X882" t="e">
        <f ca="1">IFERROR(计算区域!Z884,NA())</f>
        <v>#N/A</v>
      </c>
      <c r="Y882" t="e">
        <f ca="1">IFERROR(计算区域!AA884,NA())</f>
        <v>#N/A</v>
      </c>
    </row>
    <row r="883" spans="1:25" x14ac:dyDescent="0.2">
      <c r="A883" s="28">
        <f>计算区域!E885</f>
        <v>44148</v>
      </c>
      <c r="B883" t="e">
        <f ca="1">IFERROR(计算区域!AJ885,NA())</f>
        <v>#N/A</v>
      </c>
      <c r="C883" t="e">
        <f ca="1">IFERROR(计算区域!AK885,NA())</f>
        <v>#N/A</v>
      </c>
      <c r="D883" t="e">
        <f ca="1">IFERROR(计算区域!AL885,NA())</f>
        <v>#N/A</v>
      </c>
      <c r="E883" t="e">
        <f ca="1">IFERROR(计算区域!AM885,NA())</f>
        <v>#N/A</v>
      </c>
      <c r="G883" t="e">
        <f ca="1">IFERROR(计算区域!AD885,NA())</f>
        <v>#N/A</v>
      </c>
      <c r="H883" t="e">
        <f ca="1">IFERROR(计算区域!AE885,NA())</f>
        <v>#N/A</v>
      </c>
      <c r="I883" t="e">
        <f ca="1">IFERROR(计算区域!AF885,NA())</f>
        <v>#N/A</v>
      </c>
      <c r="J883" t="e">
        <f ca="1">IFERROR(计算区域!AG885,NA())</f>
        <v>#N/A</v>
      </c>
      <c r="L883" t="e">
        <f ca="1">IFERROR(计算区域!L885,NA())</f>
        <v>#N/A</v>
      </c>
      <c r="M883" t="e">
        <f ca="1">IFERROR(计算区域!M885,NA())</f>
        <v>#N/A</v>
      </c>
      <c r="N883" t="e">
        <f ca="1">IFERROR(计算区域!N885,NA())</f>
        <v>#N/A</v>
      </c>
      <c r="O883" t="e">
        <f ca="1">IFERROR(计算区域!O885,NA())</f>
        <v>#N/A</v>
      </c>
      <c r="Q883" t="e">
        <f ca="1">IFERROR(计算区域!R885,NA())</f>
        <v>#N/A</v>
      </c>
      <c r="R883" t="e">
        <f ca="1">IFERROR(计算区域!S885,NA())</f>
        <v>#N/A</v>
      </c>
      <c r="S883" t="e">
        <f ca="1">IFERROR(计算区域!T885,NA())</f>
        <v>#N/A</v>
      </c>
      <c r="T883" t="e">
        <f ca="1">IFERROR(计算区域!U885,NA())</f>
        <v>#N/A</v>
      </c>
      <c r="V883" t="e">
        <f ca="1">IFERROR(计算区域!X885,NA())</f>
        <v>#N/A</v>
      </c>
      <c r="W883" t="e">
        <f ca="1">IFERROR(计算区域!Y885,NA())</f>
        <v>#N/A</v>
      </c>
      <c r="X883" t="e">
        <f ca="1">IFERROR(计算区域!Z885,NA())</f>
        <v>#N/A</v>
      </c>
      <c r="Y883" t="e">
        <f ca="1">IFERROR(计算区域!AA885,NA())</f>
        <v>#N/A</v>
      </c>
    </row>
    <row r="884" spans="1:25" x14ac:dyDescent="0.2">
      <c r="A884" s="28">
        <f>计算区域!E886</f>
        <v>44147</v>
      </c>
      <c r="B884" t="e">
        <f ca="1">IFERROR(计算区域!AJ886,NA())</f>
        <v>#N/A</v>
      </c>
      <c r="C884" t="e">
        <f ca="1">IFERROR(计算区域!AK886,NA())</f>
        <v>#N/A</v>
      </c>
      <c r="D884" t="e">
        <f ca="1">IFERROR(计算区域!AL886,NA())</f>
        <v>#N/A</v>
      </c>
      <c r="E884" t="e">
        <f ca="1">IFERROR(计算区域!AM886,NA())</f>
        <v>#N/A</v>
      </c>
      <c r="G884" t="e">
        <f ca="1">IFERROR(计算区域!AD886,NA())</f>
        <v>#N/A</v>
      </c>
      <c r="H884" t="e">
        <f ca="1">IFERROR(计算区域!AE886,NA())</f>
        <v>#N/A</v>
      </c>
      <c r="I884" t="e">
        <f ca="1">IFERROR(计算区域!AF886,NA())</f>
        <v>#N/A</v>
      </c>
      <c r="J884" t="e">
        <f ca="1">IFERROR(计算区域!AG886,NA())</f>
        <v>#N/A</v>
      </c>
      <c r="L884" t="e">
        <f ca="1">IFERROR(计算区域!L886,NA())</f>
        <v>#N/A</v>
      </c>
      <c r="M884" t="e">
        <f ca="1">IFERROR(计算区域!M886,NA())</f>
        <v>#N/A</v>
      </c>
      <c r="N884" t="e">
        <f ca="1">IFERROR(计算区域!N886,NA())</f>
        <v>#N/A</v>
      </c>
      <c r="O884" t="e">
        <f ca="1">IFERROR(计算区域!O886,NA())</f>
        <v>#N/A</v>
      </c>
      <c r="Q884" t="e">
        <f ca="1">IFERROR(计算区域!R886,NA())</f>
        <v>#N/A</v>
      </c>
      <c r="R884" t="e">
        <f ca="1">IFERROR(计算区域!S886,NA())</f>
        <v>#N/A</v>
      </c>
      <c r="S884" t="e">
        <f ca="1">IFERROR(计算区域!T886,NA())</f>
        <v>#N/A</v>
      </c>
      <c r="T884" t="e">
        <f ca="1">IFERROR(计算区域!U886,NA())</f>
        <v>#N/A</v>
      </c>
      <c r="V884" t="e">
        <f ca="1">IFERROR(计算区域!X886,NA())</f>
        <v>#N/A</v>
      </c>
      <c r="W884" t="e">
        <f ca="1">IFERROR(计算区域!Y886,NA())</f>
        <v>#N/A</v>
      </c>
      <c r="X884" t="e">
        <f ca="1">IFERROR(计算区域!Z886,NA())</f>
        <v>#N/A</v>
      </c>
      <c r="Y884" t="e">
        <f ca="1">IFERROR(计算区域!AA886,NA())</f>
        <v>#N/A</v>
      </c>
    </row>
    <row r="885" spans="1:25" x14ac:dyDescent="0.2">
      <c r="A885" s="28">
        <f>计算区域!E887</f>
        <v>44146</v>
      </c>
      <c r="B885" t="e">
        <f ca="1">IFERROR(计算区域!AJ887,NA())</f>
        <v>#N/A</v>
      </c>
      <c r="C885" t="e">
        <f ca="1">IFERROR(计算区域!AK887,NA())</f>
        <v>#N/A</v>
      </c>
      <c r="D885" t="e">
        <f ca="1">IFERROR(计算区域!AL887,NA())</f>
        <v>#N/A</v>
      </c>
      <c r="E885" t="e">
        <f ca="1">IFERROR(计算区域!AM887,NA())</f>
        <v>#N/A</v>
      </c>
      <c r="G885" t="e">
        <f ca="1">IFERROR(计算区域!AD887,NA())</f>
        <v>#N/A</v>
      </c>
      <c r="H885" t="e">
        <f ca="1">IFERROR(计算区域!AE887,NA())</f>
        <v>#N/A</v>
      </c>
      <c r="I885" t="e">
        <f ca="1">IFERROR(计算区域!AF887,NA())</f>
        <v>#N/A</v>
      </c>
      <c r="J885" t="e">
        <f ca="1">IFERROR(计算区域!AG887,NA())</f>
        <v>#N/A</v>
      </c>
      <c r="L885" t="e">
        <f ca="1">IFERROR(计算区域!L887,NA())</f>
        <v>#N/A</v>
      </c>
      <c r="M885" t="e">
        <f ca="1">IFERROR(计算区域!M887,NA())</f>
        <v>#N/A</v>
      </c>
      <c r="N885" t="e">
        <f ca="1">IFERROR(计算区域!N887,NA())</f>
        <v>#N/A</v>
      </c>
      <c r="O885" t="e">
        <f ca="1">IFERROR(计算区域!O887,NA())</f>
        <v>#N/A</v>
      </c>
      <c r="Q885" t="e">
        <f ca="1">IFERROR(计算区域!R887,NA())</f>
        <v>#N/A</v>
      </c>
      <c r="R885" t="e">
        <f ca="1">IFERROR(计算区域!S887,NA())</f>
        <v>#N/A</v>
      </c>
      <c r="S885" t="e">
        <f ca="1">IFERROR(计算区域!T887,NA())</f>
        <v>#N/A</v>
      </c>
      <c r="T885" t="e">
        <f ca="1">IFERROR(计算区域!U887,NA())</f>
        <v>#N/A</v>
      </c>
      <c r="V885" t="e">
        <f ca="1">IFERROR(计算区域!X887,NA())</f>
        <v>#N/A</v>
      </c>
      <c r="W885" t="e">
        <f ca="1">IFERROR(计算区域!Y887,NA())</f>
        <v>#N/A</v>
      </c>
      <c r="X885" t="e">
        <f ca="1">IFERROR(计算区域!Z887,NA())</f>
        <v>#N/A</v>
      </c>
      <c r="Y885" t="e">
        <f ca="1">IFERROR(计算区域!AA887,NA())</f>
        <v>#N/A</v>
      </c>
    </row>
    <row r="886" spans="1:25" x14ac:dyDescent="0.2">
      <c r="A886" s="28">
        <f>计算区域!E888</f>
        <v>44145</v>
      </c>
      <c r="B886" t="e">
        <f ca="1">IFERROR(计算区域!AJ888,NA())</f>
        <v>#N/A</v>
      </c>
      <c r="C886" t="e">
        <f ca="1">IFERROR(计算区域!AK888,NA())</f>
        <v>#N/A</v>
      </c>
      <c r="D886" t="e">
        <f ca="1">IFERROR(计算区域!AL888,NA())</f>
        <v>#N/A</v>
      </c>
      <c r="E886" t="e">
        <f ca="1">IFERROR(计算区域!AM888,NA())</f>
        <v>#N/A</v>
      </c>
      <c r="G886" t="e">
        <f ca="1">IFERROR(计算区域!AD888,NA())</f>
        <v>#N/A</v>
      </c>
      <c r="H886" t="e">
        <f ca="1">IFERROR(计算区域!AE888,NA())</f>
        <v>#N/A</v>
      </c>
      <c r="I886" t="e">
        <f ca="1">IFERROR(计算区域!AF888,NA())</f>
        <v>#N/A</v>
      </c>
      <c r="J886" t="e">
        <f ca="1">IFERROR(计算区域!AG888,NA())</f>
        <v>#N/A</v>
      </c>
      <c r="L886" t="e">
        <f ca="1">IFERROR(计算区域!L888,NA())</f>
        <v>#N/A</v>
      </c>
      <c r="M886" t="e">
        <f ca="1">IFERROR(计算区域!M888,NA())</f>
        <v>#N/A</v>
      </c>
      <c r="N886" t="e">
        <f ca="1">IFERROR(计算区域!N888,NA())</f>
        <v>#N/A</v>
      </c>
      <c r="O886" t="e">
        <f ca="1">IFERROR(计算区域!O888,NA())</f>
        <v>#N/A</v>
      </c>
      <c r="Q886" t="e">
        <f ca="1">IFERROR(计算区域!R888,NA())</f>
        <v>#N/A</v>
      </c>
      <c r="R886" t="e">
        <f ca="1">IFERROR(计算区域!S888,NA())</f>
        <v>#N/A</v>
      </c>
      <c r="S886" t="e">
        <f ca="1">IFERROR(计算区域!T888,NA())</f>
        <v>#N/A</v>
      </c>
      <c r="T886" t="e">
        <f ca="1">IFERROR(计算区域!U888,NA())</f>
        <v>#N/A</v>
      </c>
      <c r="V886" t="e">
        <f ca="1">IFERROR(计算区域!X888,NA())</f>
        <v>#N/A</v>
      </c>
      <c r="W886" t="e">
        <f ca="1">IFERROR(计算区域!Y888,NA())</f>
        <v>#N/A</v>
      </c>
      <c r="X886" t="e">
        <f ca="1">IFERROR(计算区域!Z888,NA())</f>
        <v>#N/A</v>
      </c>
      <c r="Y886" t="e">
        <f ca="1">IFERROR(计算区域!AA888,NA())</f>
        <v>#N/A</v>
      </c>
    </row>
    <row r="887" spans="1:25" x14ac:dyDescent="0.2">
      <c r="A887" s="28">
        <f>计算区域!E889</f>
        <v>44144</v>
      </c>
      <c r="B887" t="e">
        <f ca="1">IFERROR(计算区域!AJ889,NA())</f>
        <v>#N/A</v>
      </c>
      <c r="C887" t="e">
        <f ca="1">IFERROR(计算区域!AK889,NA())</f>
        <v>#N/A</v>
      </c>
      <c r="D887" t="e">
        <f ca="1">IFERROR(计算区域!AL889,NA())</f>
        <v>#N/A</v>
      </c>
      <c r="E887" t="e">
        <f ca="1">IFERROR(计算区域!AM889,NA())</f>
        <v>#N/A</v>
      </c>
      <c r="G887" t="e">
        <f ca="1">IFERROR(计算区域!AD889,NA())</f>
        <v>#N/A</v>
      </c>
      <c r="H887" t="e">
        <f ca="1">IFERROR(计算区域!AE889,NA())</f>
        <v>#N/A</v>
      </c>
      <c r="I887" t="e">
        <f ca="1">IFERROR(计算区域!AF889,NA())</f>
        <v>#N/A</v>
      </c>
      <c r="J887" t="e">
        <f ca="1">IFERROR(计算区域!AG889,NA())</f>
        <v>#N/A</v>
      </c>
      <c r="L887" t="e">
        <f ca="1">IFERROR(计算区域!L889,NA())</f>
        <v>#N/A</v>
      </c>
      <c r="M887" t="e">
        <f ca="1">IFERROR(计算区域!M889,NA())</f>
        <v>#N/A</v>
      </c>
      <c r="N887" t="e">
        <f ca="1">IFERROR(计算区域!N889,NA())</f>
        <v>#N/A</v>
      </c>
      <c r="O887" t="e">
        <f ca="1">IFERROR(计算区域!O889,NA())</f>
        <v>#N/A</v>
      </c>
      <c r="Q887" t="e">
        <f ca="1">IFERROR(计算区域!R889,NA())</f>
        <v>#N/A</v>
      </c>
      <c r="R887" t="e">
        <f ca="1">IFERROR(计算区域!S889,NA())</f>
        <v>#N/A</v>
      </c>
      <c r="S887" t="e">
        <f ca="1">IFERROR(计算区域!T889,NA())</f>
        <v>#N/A</v>
      </c>
      <c r="T887" t="e">
        <f ca="1">IFERROR(计算区域!U889,NA())</f>
        <v>#N/A</v>
      </c>
      <c r="V887" t="e">
        <f ca="1">IFERROR(计算区域!X889,NA())</f>
        <v>#N/A</v>
      </c>
      <c r="W887" t="e">
        <f ca="1">IFERROR(计算区域!Y889,NA())</f>
        <v>#N/A</v>
      </c>
      <c r="X887" t="e">
        <f ca="1">IFERROR(计算区域!Z889,NA())</f>
        <v>#N/A</v>
      </c>
      <c r="Y887" t="e">
        <f ca="1">IFERROR(计算区域!AA889,NA())</f>
        <v>#N/A</v>
      </c>
    </row>
    <row r="888" spans="1:25" x14ac:dyDescent="0.2">
      <c r="A888" s="28">
        <f>计算区域!E890</f>
        <v>44141</v>
      </c>
      <c r="B888" t="e">
        <f ca="1">IFERROR(计算区域!AJ890,NA())</f>
        <v>#N/A</v>
      </c>
      <c r="C888" t="e">
        <f ca="1">IFERROR(计算区域!AK890,NA())</f>
        <v>#N/A</v>
      </c>
      <c r="D888" t="e">
        <f ca="1">IFERROR(计算区域!AL890,NA())</f>
        <v>#N/A</v>
      </c>
      <c r="E888" t="e">
        <f ca="1">IFERROR(计算区域!AM890,NA())</f>
        <v>#N/A</v>
      </c>
      <c r="G888" t="e">
        <f ca="1">IFERROR(计算区域!AD890,NA())</f>
        <v>#N/A</v>
      </c>
      <c r="H888" t="e">
        <f ca="1">IFERROR(计算区域!AE890,NA())</f>
        <v>#N/A</v>
      </c>
      <c r="I888" t="e">
        <f ca="1">IFERROR(计算区域!AF890,NA())</f>
        <v>#N/A</v>
      </c>
      <c r="J888" t="e">
        <f ca="1">IFERROR(计算区域!AG890,NA())</f>
        <v>#N/A</v>
      </c>
      <c r="L888" t="e">
        <f ca="1">IFERROR(计算区域!L890,NA())</f>
        <v>#N/A</v>
      </c>
      <c r="M888" t="e">
        <f ca="1">IFERROR(计算区域!M890,NA())</f>
        <v>#N/A</v>
      </c>
      <c r="N888" t="e">
        <f ca="1">IFERROR(计算区域!N890,NA())</f>
        <v>#N/A</v>
      </c>
      <c r="O888" t="e">
        <f ca="1">IFERROR(计算区域!O890,NA())</f>
        <v>#N/A</v>
      </c>
      <c r="Q888" t="e">
        <f ca="1">IFERROR(计算区域!R890,NA())</f>
        <v>#N/A</v>
      </c>
      <c r="R888" t="e">
        <f ca="1">IFERROR(计算区域!S890,NA())</f>
        <v>#N/A</v>
      </c>
      <c r="S888" t="e">
        <f ca="1">IFERROR(计算区域!T890,NA())</f>
        <v>#N/A</v>
      </c>
      <c r="T888" t="e">
        <f ca="1">IFERROR(计算区域!U890,NA())</f>
        <v>#N/A</v>
      </c>
      <c r="V888" t="e">
        <f ca="1">IFERROR(计算区域!X890,NA())</f>
        <v>#N/A</v>
      </c>
      <c r="W888" t="e">
        <f ca="1">IFERROR(计算区域!Y890,NA())</f>
        <v>#N/A</v>
      </c>
      <c r="X888" t="e">
        <f ca="1">IFERROR(计算区域!Z890,NA())</f>
        <v>#N/A</v>
      </c>
      <c r="Y888" t="e">
        <f ca="1">IFERROR(计算区域!AA890,NA())</f>
        <v>#N/A</v>
      </c>
    </row>
    <row r="889" spans="1:25" x14ac:dyDescent="0.2">
      <c r="A889" s="28">
        <f>计算区域!E891</f>
        <v>44140</v>
      </c>
      <c r="B889" t="e">
        <f ca="1">IFERROR(计算区域!AJ891,NA())</f>
        <v>#N/A</v>
      </c>
      <c r="C889" t="e">
        <f ca="1">IFERROR(计算区域!AK891,NA())</f>
        <v>#N/A</v>
      </c>
      <c r="D889" t="e">
        <f ca="1">IFERROR(计算区域!AL891,NA())</f>
        <v>#N/A</v>
      </c>
      <c r="E889" t="e">
        <f ca="1">IFERROR(计算区域!AM891,NA())</f>
        <v>#N/A</v>
      </c>
      <c r="G889" t="e">
        <f ca="1">IFERROR(计算区域!AD891,NA())</f>
        <v>#N/A</v>
      </c>
      <c r="H889" t="e">
        <f ca="1">IFERROR(计算区域!AE891,NA())</f>
        <v>#N/A</v>
      </c>
      <c r="I889" t="e">
        <f ca="1">IFERROR(计算区域!AF891,NA())</f>
        <v>#N/A</v>
      </c>
      <c r="J889" t="e">
        <f ca="1">IFERROR(计算区域!AG891,NA())</f>
        <v>#N/A</v>
      </c>
      <c r="L889" t="e">
        <f ca="1">IFERROR(计算区域!L891,NA())</f>
        <v>#N/A</v>
      </c>
      <c r="M889" t="e">
        <f ca="1">IFERROR(计算区域!M891,NA())</f>
        <v>#N/A</v>
      </c>
      <c r="N889" t="e">
        <f ca="1">IFERROR(计算区域!N891,NA())</f>
        <v>#N/A</v>
      </c>
      <c r="O889" t="e">
        <f ca="1">IFERROR(计算区域!O891,NA())</f>
        <v>#N/A</v>
      </c>
      <c r="Q889" t="e">
        <f ca="1">IFERROR(计算区域!R891,NA())</f>
        <v>#N/A</v>
      </c>
      <c r="R889" t="e">
        <f ca="1">IFERROR(计算区域!S891,NA())</f>
        <v>#N/A</v>
      </c>
      <c r="S889" t="e">
        <f ca="1">IFERROR(计算区域!T891,NA())</f>
        <v>#N/A</v>
      </c>
      <c r="T889" t="e">
        <f ca="1">IFERROR(计算区域!U891,NA())</f>
        <v>#N/A</v>
      </c>
      <c r="V889" t="e">
        <f ca="1">IFERROR(计算区域!X891,NA())</f>
        <v>#N/A</v>
      </c>
      <c r="W889" t="e">
        <f ca="1">IFERROR(计算区域!Y891,NA())</f>
        <v>#N/A</v>
      </c>
      <c r="X889" t="e">
        <f ca="1">IFERROR(计算区域!Z891,NA())</f>
        <v>#N/A</v>
      </c>
      <c r="Y889" t="e">
        <f ca="1">IFERROR(计算区域!AA891,NA())</f>
        <v>#N/A</v>
      </c>
    </row>
    <row r="890" spans="1:25" x14ac:dyDescent="0.2">
      <c r="A890" s="28">
        <f>计算区域!E892</f>
        <v>44139</v>
      </c>
      <c r="B890" t="e">
        <f ca="1">IFERROR(计算区域!AJ892,NA())</f>
        <v>#N/A</v>
      </c>
      <c r="C890" t="e">
        <f ca="1">IFERROR(计算区域!AK892,NA())</f>
        <v>#N/A</v>
      </c>
      <c r="D890" t="e">
        <f ca="1">IFERROR(计算区域!AL892,NA())</f>
        <v>#N/A</v>
      </c>
      <c r="E890" t="e">
        <f ca="1">IFERROR(计算区域!AM892,NA())</f>
        <v>#N/A</v>
      </c>
      <c r="G890" t="e">
        <f ca="1">IFERROR(计算区域!AD892,NA())</f>
        <v>#N/A</v>
      </c>
      <c r="H890" t="e">
        <f ca="1">IFERROR(计算区域!AE892,NA())</f>
        <v>#N/A</v>
      </c>
      <c r="I890" t="e">
        <f ca="1">IFERROR(计算区域!AF892,NA())</f>
        <v>#N/A</v>
      </c>
      <c r="J890" t="e">
        <f ca="1">IFERROR(计算区域!AG892,NA())</f>
        <v>#N/A</v>
      </c>
      <c r="L890" t="e">
        <f ca="1">IFERROR(计算区域!L892,NA())</f>
        <v>#N/A</v>
      </c>
      <c r="M890" t="e">
        <f ca="1">IFERROR(计算区域!M892,NA())</f>
        <v>#N/A</v>
      </c>
      <c r="N890" t="e">
        <f ca="1">IFERROR(计算区域!N892,NA())</f>
        <v>#N/A</v>
      </c>
      <c r="O890" t="e">
        <f ca="1">IFERROR(计算区域!O892,NA())</f>
        <v>#N/A</v>
      </c>
      <c r="Q890" t="e">
        <f ca="1">IFERROR(计算区域!R892,NA())</f>
        <v>#N/A</v>
      </c>
      <c r="R890" t="e">
        <f ca="1">IFERROR(计算区域!S892,NA())</f>
        <v>#N/A</v>
      </c>
      <c r="S890" t="e">
        <f ca="1">IFERROR(计算区域!T892,NA())</f>
        <v>#N/A</v>
      </c>
      <c r="T890" t="e">
        <f ca="1">IFERROR(计算区域!U892,NA())</f>
        <v>#N/A</v>
      </c>
      <c r="V890" t="e">
        <f ca="1">IFERROR(计算区域!X892,NA())</f>
        <v>#N/A</v>
      </c>
      <c r="W890" t="e">
        <f ca="1">IFERROR(计算区域!Y892,NA())</f>
        <v>#N/A</v>
      </c>
      <c r="X890" t="e">
        <f ca="1">IFERROR(计算区域!Z892,NA())</f>
        <v>#N/A</v>
      </c>
      <c r="Y890" t="e">
        <f ca="1">IFERROR(计算区域!AA892,NA())</f>
        <v>#N/A</v>
      </c>
    </row>
    <row r="891" spans="1:25" x14ac:dyDescent="0.2">
      <c r="A891" s="28">
        <f>计算区域!E893</f>
        <v>44138</v>
      </c>
      <c r="B891" t="e">
        <f ca="1">IFERROR(计算区域!AJ893,NA())</f>
        <v>#N/A</v>
      </c>
      <c r="C891" t="e">
        <f ca="1">IFERROR(计算区域!AK893,NA())</f>
        <v>#N/A</v>
      </c>
      <c r="D891" t="e">
        <f ca="1">IFERROR(计算区域!AL893,NA())</f>
        <v>#N/A</v>
      </c>
      <c r="E891" t="e">
        <f ca="1">IFERROR(计算区域!AM893,NA())</f>
        <v>#N/A</v>
      </c>
      <c r="G891" t="e">
        <f ca="1">IFERROR(计算区域!AD893,NA())</f>
        <v>#N/A</v>
      </c>
      <c r="H891" t="e">
        <f ca="1">IFERROR(计算区域!AE893,NA())</f>
        <v>#N/A</v>
      </c>
      <c r="I891" t="e">
        <f ca="1">IFERROR(计算区域!AF893,NA())</f>
        <v>#N/A</v>
      </c>
      <c r="J891" t="e">
        <f ca="1">IFERROR(计算区域!AG893,NA())</f>
        <v>#N/A</v>
      </c>
      <c r="L891" t="e">
        <f ca="1">IFERROR(计算区域!L893,NA())</f>
        <v>#N/A</v>
      </c>
      <c r="M891" t="e">
        <f ca="1">IFERROR(计算区域!M893,NA())</f>
        <v>#N/A</v>
      </c>
      <c r="N891" t="e">
        <f ca="1">IFERROR(计算区域!N893,NA())</f>
        <v>#N/A</v>
      </c>
      <c r="O891" t="e">
        <f ca="1">IFERROR(计算区域!O893,NA())</f>
        <v>#N/A</v>
      </c>
      <c r="Q891" t="e">
        <f ca="1">IFERROR(计算区域!R893,NA())</f>
        <v>#N/A</v>
      </c>
      <c r="R891" t="e">
        <f ca="1">IFERROR(计算区域!S893,NA())</f>
        <v>#N/A</v>
      </c>
      <c r="S891" t="e">
        <f ca="1">IFERROR(计算区域!T893,NA())</f>
        <v>#N/A</v>
      </c>
      <c r="T891" t="e">
        <f ca="1">IFERROR(计算区域!U893,NA())</f>
        <v>#N/A</v>
      </c>
      <c r="V891" t="e">
        <f ca="1">IFERROR(计算区域!X893,NA())</f>
        <v>#N/A</v>
      </c>
      <c r="W891" t="e">
        <f ca="1">IFERROR(计算区域!Y893,NA())</f>
        <v>#N/A</v>
      </c>
      <c r="X891" t="e">
        <f ca="1">IFERROR(计算区域!Z893,NA())</f>
        <v>#N/A</v>
      </c>
      <c r="Y891" t="e">
        <f ca="1">IFERROR(计算区域!AA893,NA())</f>
        <v>#N/A</v>
      </c>
    </row>
    <row r="892" spans="1:25" x14ac:dyDescent="0.2">
      <c r="A892" s="28">
        <f>计算区域!E894</f>
        <v>44137</v>
      </c>
      <c r="B892" t="e">
        <f ca="1">IFERROR(计算区域!AJ894,NA())</f>
        <v>#N/A</v>
      </c>
      <c r="C892" t="e">
        <f ca="1">IFERROR(计算区域!AK894,NA())</f>
        <v>#N/A</v>
      </c>
      <c r="D892" t="e">
        <f ca="1">IFERROR(计算区域!AL894,NA())</f>
        <v>#N/A</v>
      </c>
      <c r="E892" t="e">
        <f ca="1">IFERROR(计算区域!AM894,NA())</f>
        <v>#N/A</v>
      </c>
      <c r="G892" t="e">
        <f ca="1">IFERROR(计算区域!AD894,NA())</f>
        <v>#N/A</v>
      </c>
      <c r="H892" t="e">
        <f ca="1">IFERROR(计算区域!AE894,NA())</f>
        <v>#N/A</v>
      </c>
      <c r="I892" t="e">
        <f ca="1">IFERROR(计算区域!AF894,NA())</f>
        <v>#N/A</v>
      </c>
      <c r="J892" t="e">
        <f ca="1">IFERROR(计算区域!AG894,NA())</f>
        <v>#N/A</v>
      </c>
      <c r="L892" t="e">
        <f ca="1">IFERROR(计算区域!L894,NA())</f>
        <v>#N/A</v>
      </c>
      <c r="M892" t="e">
        <f ca="1">IFERROR(计算区域!M894,NA())</f>
        <v>#N/A</v>
      </c>
      <c r="N892" t="e">
        <f ca="1">IFERROR(计算区域!N894,NA())</f>
        <v>#N/A</v>
      </c>
      <c r="O892" t="e">
        <f ca="1">IFERROR(计算区域!O894,NA())</f>
        <v>#N/A</v>
      </c>
      <c r="Q892" t="e">
        <f ca="1">IFERROR(计算区域!R894,NA())</f>
        <v>#N/A</v>
      </c>
      <c r="R892" t="e">
        <f ca="1">IFERROR(计算区域!S894,NA())</f>
        <v>#N/A</v>
      </c>
      <c r="S892" t="e">
        <f ca="1">IFERROR(计算区域!T894,NA())</f>
        <v>#N/A</v>
      </c>
      <c r="T892" t="e">
        <f ca="1">IFERROR(计算区域!U894,NA())</f>
        <v>#N/A</v>
      </c>
      <c r="V892" t="e">
        <f ca="1">IFERROR(计算区域!X894,NA())</f>
        <v>#N/A</v>
      </c>
      <c r="W892" t="e">
        <f ca="1">IFERROR(计算区域!Y894,NA())</f>
        <v>#N/A</v>
      </c>
      <c r="X892" t="e">
        <f ca="1">IFERROR(计算区域!Z894,NA())</f>
        <v>#N/A</v>
      </c>
      <c r="Y892" t="e">
        <f ca="1">IFERROR(计算区域!AA894,NA())</f>
        <v>#N/A</v>
      </c>
    </row>
    <row r="893" spans="1:25" x14ac:dyDescent="0.2">
      <c r="A893" s="28">
        <f>计算区域!E895</f>
        <v>44134</v>
      </c>
      <c r="B893" t="e">
        <f ca="1">IFERROR(计算区域!AJ895,NA())</f>
        <v>#N/A</v>
      </c>
      <c r="C893" t="e">
        <f ca="1">IFERROR(计算区域!AK895,NA())</f>
        <v>#N/A</v>
      </c>
      <c r="D893" t="e">
        <f ca="1">IFERROR(计算区域!AL895,NA())</f>
        <v>#N/A</v>
      </c>
      <c r="E893" t="e">
        <f ca="1">IFERROR(计算区域!AM895,NA())</f>
        <v>#N/A</v>
      </c>
      <c r="G893" t="e">
        <f ca="1">IFERROR(计算区域!AD895,NA())</f>
        <v>#N/A</v>
      </c>
      <c r="H893" t="e">
        <f ca="1">IFERROR(计算区域!AE895,NA())</f>
        <v>#N/A</v>
      </c>
      <c r="I893" t="e">
        <f ca="1">IFERROR(计算区域!AF895,NA())</f>
        <v>#N/A</v>
      </c>
      <c r="J893" t="e">
        <f ca="1">IFERROR(计算区域!AG895,NA())</f>
        <v>#N/A</v>
      </c>
      <c r="L893" t="e">
        <f ca="1">IFERROR(计算区域!L895,NA())</f>
        <v>#N/A</v>
      </c>
      <c r="M893" t="e">
        <f ca="1">IFERROR(计算区域!M895,NA())</f>
        <v>#N/A</v>
      </c>
      <c r="N893" t="e">
        <f ca="1">IFERROR(计算区域!N895,NA())</f>
        <v>#N/A</v>
      </c>
      <c r="O893" t="e">
        <f ca="1">IFERROR(计算区域!O895,NA())</f>
        <v>#N/A</v>
      </c>
      <c r="Q893" t="e">
        <f ca="1">IFERROR(计算区域!R895,NA())</f>
        <v>#N/A</v>
      </c>
      <c r="R893" t="e">
        <f ca="1">IFERROR(计算区域!S895,NA())</f>
        <v>#N/A</v>
      </c>
      <c r="S893" t="e">
        <f ca="1">IFERROR(计算区域!T895,NA())</f>
        <v>#N/A</v>
      </c>
      <c r="T893" t="e">
        <f ca="1">IFERROR(计算区域!U895,NA())</f>
        <v>#N/A</v>
      </c>
      <c r="V893" t="e">
        <f ca="1">IFERROR(计算区域!X895,NA())</f>
        <v>#N/A</v>
      </c>
      <c r="W893" t="e">
        <f ca="1">IFERROR(计算区域!Y895,NA())</f>
        <v>#N/A</v>
      </c>
      <c r="X893" t="e">
        <f ca="1">IFERROR(计算区域!Z895,NA())</f>
        <v>#N/A</v>
      </c>
      <c r="Y893" t="e">
        <f ca="1">IFERROR(计算区域!AA895,NA())</f>
        <v>#N/A</v>
      </c>
    </row>
    <row r="894" spans="1:25" x14ac:dyDescent="0.2">
      <c r="A894" s="28">
        <f>计算区域!E896</f>
        <v>44133</v>
      </c>
      <c r="B894" t="e">
        <f ca="1">IFERROR(计算区域!AJ896,NA())</f>
        <v>#N/A</v>
      </c>
      <c r="C894" t="e">
        <f ca="1">IFERROR(计算区域!AK896,NA())</f>
        <v>#N/A</v>
      </c>
      <c r="D894" t="e">
        <f ca="1">IFERROR(计算区域!AL896,NA())</f>
        <v>#N/A</v>
      </c>
      <c r="E894" t="e">
        <f ca="1">IFERROR(计算区域!AM896,NA())</f>
        <v>#N/A</v>
      </c>
      <c r="G894" t="e">
        <f ca="1">IFERROR(计算区域!AD896,NA())</f>
        <v>#N/A</v>
      </c>
      <c r="H894" t="e">
        <f ca="1">IFERROR(计算区域!AE896,NA())</f>
        <v>#N/A</v>
      </c>
      <c r="I894" t="e">
        <f ca="1">IFERROR(计算区域!AF896,NA())</f>
        <v>#N/A</v>
      </c>
      <c r="J894" t="e">
        <f ca="1">IFERROR(计算区域!AG896,NA())</f>
        <v>#N/A</v>
      </c>
      <c r="L894" t="e">
        <f ca="1">IFERROR(计算区域!L896,NA())</f>
        <v>#N/A</v>
      </c>
      <c r="M894" t="e">
        <f ca="1">IFERROR(计算区域!M896,NA())</f>
        <v>#N/A</v>
      </c>
      <c r="N894" t="e">
        <f ca="1">IFERROR(计算区域!N896,NA())</f>
        <v>#N/A</v>
      </c>
      <c r="O894" t="e">
        <f ca="1">IFERROR(计算区域!O896,NA())</f>
        <v>#N/A</v>
      </c>
      <c r="Q894" t="e">
        <f ca="1">IFERROR(计算区域!R896,NA())</f>
        <v>#N/A</v>
      </c>
      <c r="R894" t="e">
        <f ca="1">IFERROR(计算区域!S896,NA())</f>
        <v>#N/A</v>
      </c>
      <c r="S894" t="e">
        <f ca="1">IFERROR(计算区域!T896,NA())</f>
        <v>#N/A</v>
      </c>
      <c r="T894" t="e">
        <f ca="1">IFERROR(计算区域!U896,NA())</f>
        <v>#N/A</v>
      </c>
      <c r="V894" t="e">
        <f ca="1">IFERROR(计算区域!X896,NA())</f>
        <v>#N/A</v>
      </c>
      <c r="W894" t="e">
        <f ca="1">IFERROR(计算区域!Y896,NA())</f>
        <v>#N/A</v>
      </c>
      <c r="X894" t="e">
        <f ca="1">IFERROR(计算区域!Z896,NA())</f>
        <v>#N/A</v>
      </c>
      <c r="Y894" t="e">
        <f ca="1">IFERROR(计算区域!AA896,NA())</f>
        <v>#N/A</v>
      </c>
    </row>
    <row r="895" spans="1:25" x14ac:dyDescent="0.2">
      <c r="A895" s="28">
        <f>计算区域!E897</f>
        <v>44132</v>
      </c>
      <c r="B895" t="e">
        <f ca="1">IFERROR(计算区域!AJ897,NA())</f>
        <v>#N/A</v>
      </c>
      <c r="C895" t="e">
        <f ca="1">IFERROR(计算区域!AK897,NA())</f>
        <v>#N/A</v>
      </c>
      <c r="D895" t="e">
        <f ca="1">IFERROR(计算区域!AL897,NA())</f>
        <v>#N/A</v>
      </c>
      <c r="E895" t="e">
        <f ca="1">IFERROR(计算区域!AM897,NA())</f>
        <v>#N/A</v>
      </c>
      <c r="G895" t="e">
        <f ca="1">IFERROR(计算区域!AD897,NA())</f>
        <v>#N/A</v>
      </c>
      <c r="H895" t="e">
        <f ca="1">IFERROR(计算区域!AE897,NA())</f>
        <v>#N/A</v>
      </c>
      <c r="I895" t="e">
        <f ca="1">IFERROR(计算区域!AF897,NA())</f>
        <v>#N/A</v>
      </c>
      <c r="J895" t="e">
        <f ca="1">IFERROR(计算区域!AG897,NA())</f>
        <v>#N/A</v>
      </c>
      <c r="L895" t="e">
        <f ca="1">IFERROR(计算区域!L897,NA())</f>
        <v>#N/A</v>
      </c>
      <c r="M895" t="e">
        <f ca="1">IFERROR(计算区域!M897,NA())</f>
        <v>#N/A</v>
      </c>
      <c r="N895" t="e">
        <f ca="1">IFERROR(计算区域!N897,NA())</f>
        <v>#N/A</v>
      </c>
      <c r="O895" t="e">
        <f ca="1">IFERROR(计算区域!O897,NA())</f>
        <v>#N/A</v>
      </c>
      <c r="Q895" t="e">
        <f ca="1">IFERROR(计算区域!R897,NA())</f>
        <v>#N/A</v>
      </c>
      <c r="R895" t="e">
        <f ca="1">IFERROR(计算区域!S897,NA())</f>
        <v>#N/A</v>
      </c>
      <c r="S895" t="e">
        <f ca="1">IFERROR(计算区域!T897,NA())</f>
        <v>#N/A</v>
      </c>
      <c r="T895" t="e">
        <f ca="1">IFERROR(计算区域!U897,NA())</f>
        <v>#N/A</v>
      </c>
      <c r="V895" t="e">
        <f ca="1">IFERROR(计算区域!X897,NA())</f>
        <v>#N/A</v>
      </c>
      <c r="W895" t="e">
        <f ca="1">IFERROR(计算区域!Y897,NA())</f>
        <v>#N/A</v>
      </c>
      <c r="X895" t="e">
        <f ca="1">IFERROR(计算区域!Z897,NA())</f>
        <v>#N/A</v>
      </c>
      <c r="Y895" t="e">
        <f ca="1">IFERROR(计算区域!AA897,NA())</f>
        <v>#N/A</v>
      </c>
    </row>
    <row r="896" spans="1:25" x14ac:dyDescent="0.2">
      <c r="A896" s="28">
        <f>计算区域!E898</f>
        <v>44131</v>
      </c>
      <c r="B896" t="e">
        <f ca="1">IFERROR(计算区域!AJ898,NA())</f>
        <v>#N/A</v>
      </c>
      <c r="C896" t="e">
        <f ca="1">IFERROR(计算区域!AK898,NA())</f>
        <v>#N/A</v>
      </c>
      <c r="D896" t="e">
        <f ca="1">IFERROR(计算区域!AL898,NA())</f>
        <v>#N/A</v>
      </c>
      <c r="E896" t="e">
        <f ca="1">IFERROR(计算区域!AM898,NA())</f>
        <v>#N/A</v>
      </c>
      <c r="G896" t="e">
        <f ca="1">IFERROR(计算区域!AD898,NA())</f>
        <v>#N/A</v>
      </c>
      <c r="H896" t="e">
        <f ca="1">IFERROR(计算区域!AE898,NA())</f>
        <v>#N/A</v>
      </c>
      <c r="I896" t="e">
        <f ca="1">IFERROR(计算区域!AF898,NA())</f>
        <v>#N/A</v>
      </c>
      <c r="J896" t="e">
        <f ca="1">IFERROR(计算区域!AG898,NA())</f>
        <v>#N/A</v>
      </c>
      <c r="L896" t="e">
        <f ca="1">IFERROR(计算区域!L898,NA())</f>
        <v>#N/A</v>
      </c>
      <c r="M896" t="e">
        <f ca="1">IFERROR(计算区域!M898,NA())</f>
        <v>#N/A</v>
      </c>
      <c r="N896" t="e">
        <f ca="1">IFERROR(计算区域!N898,NA())</f>
        <v>#N/A</v>
      </c>
      <c r="O896" t="e">
        <f ca="1">IFERROR(计算区域!O898,NA())</f>
        <v>#N/A</v>
      </c>
      <c r="Q896" t="e">
        <f ca="1">IFERROR(计算区域!R898,NA())</f>
        <v>#N/A</v>
      </c>
      <c r="R896" t="e">
        <f ca="1">IFERROR(计算区域!S898,NA())</f>
        <v>#N/A</v>
      </c>
      <c r="S896" t="e">
        <f ca="1">IFERROR(计算区域!T898,NA())</f>
        <v>#N/A</v>
      </c>
      <c r="T896" t="e">
        <f ca="1">IFERROR(计算区域!U898,NA())</f>
        <v>#N/A</v>
      </c>
      <c r="V896" t="e">
        <f ca="1">IFERROR(计算区域!X898,NA())</f>
        <v>#N/A</v>
      </c>
      <c r="W896" t="e">
        <f ca="1">IFERROR(计算区域!Y898,NA())</f>
        <v>#N/A</v>
      </c>
      <c r="X896" t="e">
        <f ca="1">IFERROR(计算区域!Z898,NA())</f>
        <v>#N/A</v>
      </c>
      <c r="Y896" t="e">
        <f ca="1">IFERROR(计算区域!AA898,NA())</f>
        <v>#N/A</v>
      </c>
    </row>
    <row r="897" spans="1:25" x14ac:dyDescent="0.2">
      <c r="A897" s="28">
        <f>计算区域!E899</f>
        <v>44130</v>
      </c>
      <c r="B897" t="e">
        <f ca="1">IFERROR(计算区域!AJ899,NA())</f>
        <v>#N/A</v>
      </c>
      <c r="C897" t="e">
        <f ca="1">IFERROR(计算区域!AK899,NA())</f>
        <v>#N/A</v>
      </c>
      <c r="D897" t="e">
        <f ca="1">IFERROR(计算区域!AL899,NA())</f>
        <v>#N/A</v>
      </c>
      <c r="E897" t="e">
        <f ca="1">IFERROR(计算区域!AM899,NA())</f>
        <v>#N/A</v>
      </c>
      <c r="G897" t="e">
        <f ca="1">IFERROR(计算区域!AD899,NA())</f>
        <v>#N/A</v>
      </c>
      <c r="H897" t="e">
        <f ca="1">IFERROR(计算区域!AE899,NA())</f>
        <v>#N/A</v>
      </c>
      <c r="I897" t="e">
        <f ca="1">IFERROR(计算区域!AF899,NA())</f>
        <v>#N/A</v>
      </c>
      <c r="J897" t="e">
        <f ca="1">IFERROR(计算区域!AG899,NA())</f>
        <v>#N/A</v>
      </c>
      <c r="L897" t="e">
        <f ca="1">IFERROR(计算区域!L899,NA())</f>
        <v>#N/A</v>
      </c>
      <c r="M897" t="e">
        <f ca="1">IFERROR(计算区域!M899,NA())</f>
        <v>#N/A</v>
      </c>
      <c r="N897" t="e">
        <f ca="1">IFERROR(计算区域!N899,NA())</f>
        <v>#N/A</v>
      </c>
      <c r="O897" t="e">
        <f ca="1">IFERROR(计算区域!O899,NA())</f>
        <v>#N/A</v>
      </c>
      <c r="Q897" t="e">
        <f ca="1">IFERROR(计算区域!R899,NA())</f>
        <v>#N/A</v>
      </c>
      <c r="R897" t="e">
        <f ca="1">IFERROR(计算区域!S899,NA())</f>
        <v>#N/A</v>
      </c>
      <c r="S897" t="e">
        <f ca="1">IFERROR(计算区域!T899,NA())</f>
        <v>#N/A</v>
      </c>
      <c r="T897" t="e">
        <f ca="1">IFERROR(计算区域!U899,NA())</f>
        <v>#N/A</v>
      </c>
      <c r="V897" t="e">
        <f ca="1">IFERROR(计算区域!X899,NA())</f>
        <v>#N/A</v>
      </c>
      <c r="W897" t="e">
        <f ca="1">IFERROR(计算区域!Y899,NA())</f>
        <v>#N/A</v>
      </c>
      <c r="X897" t="e">
        <f ca="1">IFERROR(计算区域!Z899,NA())</f>
        <v>#N/A</v>
      </c>
      <c r="Y897" t="e">
        <f ca="1">IFERROR(计算区域!AA899,NA())</f>
        <v>#N/A</v>
      </c>
    </row>
    <row r="898" spans="1:25" x14ac:dyDescent="0.2">
      <c r="A898" s="28">
        <f>计算区域!E900</f>
        <v>44127</v>
      </c>
      <c r="B898" t="e">
        <f ca="1">IFERROR(计算区域!AJ900,NA())</f>
        <v>#N/A</v>
      </c>
      <c r="C898" t="e">
        <f ca="1">IFERROR(计算区域!AK900,NA())</f>
        <v>#N/A</v>
      </c>
      <c r="D898" t="e">
        <f ca="1">IFERROR(计算区域!AL900,NA())</f>
        <v>#N/A</v>
      </c>
      <c r="E898" t="e">
        <f ca="1">IFERROR(计算区域!AM900,NA())</f>
        <v>#N/A</v>
      </c>
      <c r="G898" t="e">
        <f ca="1">IFERROR(计算区域!AD900,NA())</f>
        <v>#N/A</v>
      </c>
      <c r="H898" t="e">
        <f ca="1">IFERROR(计算区域!AE900,NA())</f>
        <v>#N/A</v>
      </c>
      <c r="I898" t="e">
        <f ca="1">IFERROR(计算区域!AF900,NA())</f>
        <v>#N/A</v>
      </c>
      <c r="J898" t="e">
        <f ca="1">IFERROR(计算区域!AG900,NA())</f>
        <v>#N/A</v>
      </c>
      <c r="L898" t="e">
        <f ca="1">IFERROR(计算区域!L900,NA())</f>
        <v>#N/A</v>
      </c>
      <c r="M898" t="e">
        <f ca="1">IFERROR(计算区域!M900,NA())</f>
        <v>#N/A</v>
      </c>
      <c r="N898" t="e">
        <f ca="1">IFERROR(计算区域!N900,NA())</f>
        <v>#N/A</v>
      </c>
      <c r="O898" t="e">
        <f ca="1">IFERROR(计算区域!O900,NA())</f>
        <v>#N/A</v>
      </c>
      <c r="Q898" t="e">
        <f ca="1">IFERROR(计算区域!R900,NA())</f>
        <v>#N/A</v>
      </c>
      <c r="R898" t="e">
        <f ca="1">IFERROR(计算区域!S900,NA())</f>
        <v>#N/A</v>
      </c>
      <c r="S898" t="e">
        <f ca="1">IFERROR(计算区域!T900,NA())</f>
        <v>#N/A</v>
      </c>
      <c r="T898" t="e">
        <f ca="1">IFERROR(计算区域!U900,NA())</f>
        <v>#N/A</v>
      </c>
      <c r="V898" t="e">
        <f ca="1">IFERROR(计算区域!X900,NA())</f>
        <v>#N/A</v>
      </c>
      <c r="W898" t="e">
        <f ca="1">IFERROR(计算区域!Y900,NA())</f>
        <v>#N/A</v>
      </c>
      <c r="X898" t="e">
        <f ca="1">IFERROR(计算区域!Z900,NA())</f>
        <v>#N/A</v>
      </c>
      <c r="Y898" t="e">
        <f ca="1">IFERROR(计算区域!AA900,NA())</f>
        <v>#N/A</v>
      </c>
    </row>
    <row r="899" spans="1:25" x14ac:dyDescent="0.2">
      <c r="A899" s="28">
        <f>计算区域!E901</f>
        <v>44126</v>
      </c>
      <c r="B899" t="e">
        <f ca="1">IFERROR(计算区域!AJ901,NA())</f>
        <v>#N/A</v>
      </c>
      <c r="C899" t="e">
        <f ca="1">IFERROR(计算区域!AK901,NA())</f>
        <v>#N/A</v>
      </c>
      <c r="D899" t="e">
        <f ca="1">IFERROR(计算区域!AL901,NA())</f>
        <v>#N/A</v>
      </c>
      <c r="E899" t="e">
        <f ca="1">IFERROR(计算区域!AM901,NA())</f>
        <v>#N/A</v>
      </c>
      <c r="G899" t="e">
        <f ca="1">IFERROR(计算区域!AD901,NA())</f>
        <v>#N/A</v>
      </c>
      <c r="H899" t="e">
        <f ca="1">IFERROR(计算区域!AE901,NA())</f>
        <v>#N/A</v>
      </c>
      <c r="I899" t="e">
        <f ca="1">IFERROR(计算区域!AF901,NA())</f>
        <v>#N/A</v>
      </c>
      <c r="J899" t="e">
        <f ca="1">IFERROR(计算区域!AG901,NA())</f>
        <v>#N/A</v>
      </c>
      <c r="L899" t="e">
        <f ca="1">IFERROR(计算区域!L901,NA())</f>
        <v>#N/A</v>
      </c>
      <c r="M899" t="e">
        <f ca="1">IFERROR(计算区域!M901,NA())</f>
        <v>#N/A</v>
      </c>
      <c r="N899" t="e">
        <f ca="1">IFERROR(计算区域!N901,NA())</f>
        <v>#N/A</v>
      </c>
      <c r="O899" t="e">
        <f ca="1">IFERROR(计算区域!O901,NA())</f>
        <v>#N/A</v>
      </c>
      <c r="Q899" t="e">
        <f ca="1">IFERROR(计算区域!R901,NA())</f>
        <v>#N/A</v>
      </c>
      <c r="R899" t="e">
        <f ca="1">IFERROR(计算区域!S901,NA())</f>
        <v>#N/A</v>
      </c>
      <c r="S899" t="e">
        <f ca="1">IFERROR(计算区域!T901,NA())</f>
        <v>#N/A</v>
      </c>
      <c r="T899" t="e">
        <f ca="1">IFERROR(计算区域!U901,NA())</f>
        <v>#N/A</v>
      </c>
      <c r="V899" t="e">
        <f ca="1">IFERROR(计算区域!X901,NA())</f>
        <v>#N/A</v>
      </c>
      <c r="W899" t="e">
        <f ca="1">IFERROR(计算区域!Y901,NA())</f>
        <v>#N/A</v>
      </c>
      <c r="X899" t="e">
        <f ca="1">IFERROR(计算区域!Z901,NA())</f>
        <v>#N/A</v>
      </c>
      <c r="Y899" t="e">
        <f ca="1">IFERROR(计算区域!AA901,NA())</f>
        <v>#N/A</v>
      </c>
    </row>
    <row r="900" spans="1:25" x14ac:dyDescent="0.2">
      <c r="A900" s="28">
        <f>计算区域!E902</f>
        <v>44125</v>
      </c>
      <c r="B900" t="e">
        <f ca="1">IFERROR(计算区域!AJ902,NA())</f>
        <v>#N/A</v>
      </c>
      <c r="C900" t="e">
        <f ca="1">IFERROR(计算区域!AK902,NA())</f>
        <v>#N/A</v>
      </c>
      <c r="D900" t="e">
        <f ca="1">IFERROR(计算区域!AL902,NA())</f>
        <v>#N/A</v>
      </c>
      <c r="E900" t="e">
        <f ca="1">IFERROR(计算区域!AM902,NA())</f>
        <v>#N/A</v>
      </c>
      <c r="G900" t="e">
        <f ca="1">IFERROR(计算区域!AD902,NA())</f>
        <v>#N/A</v>
      </c>
      <c r="H900" t="e">
        <f ca="1">IFERROR(计算区域!AE902,NA())</f>
        <v>#N/A</v>
      </c>
      <c r="I900" t="e">
        <f ca="1">IFERROR(计算区域!AF902,NA())</f>
        <v>#N/A</v>
      </c>
      <c r="J900" t="e">
        <f ca="1">IFERROR(计算区域!AG902,NA())</f>
        <v>#N/A</v>
      </c>
      <c r="L900" t="e">
        <f ca="1">IFERROR(计算区域!L902,NA())</f>
        <v>#N/A</v>
      </c>
      <c r="M900" t="e">
        <f ca="1">IFERROR(计算区域!M902,NA())</f>
        <v>#N/A</v>
      </c>
      <c r="N900" t="e">
        <f ca="1">IFERROR(计算区域!N902,NA())</f>
        <v>#N/A</v>
      </c>
      <c r="O900" t="e">
        <f ca="1">IFERROR(计算区域!O902,NA())</f>
        <v>#N/A</v>
      </c>
      <c r="Q900" t="e">
        <f ca="1">IFERROR(计算区域!R902,NA())</f>
        <v>#N/A</v>
      </c>
      <c r="R900" t="e">
        <f ca="1">IFERROR(计算区域!S902,NA())</f>
        <v>#N/A</v>
      </c>
      <c r="S900" t="e">
        <f ca="1">IFERROR(计算区域!T902,NA())</f>
        <v>#N/A</v>
      </c>
      <c r="T900" t="e">
        <f ca="1">IFERROR(计算区域!U902,NA())</f>
        <v>#N/A</v>
      </c>
      <c r="V900" t="e">
        <f ca="1">IFERROR(计算区域!X902,NA())</f>
        <v>#N/A</v>
      </c>
      <c r="W900" t="e">
        <f ca="1">IFERROR(计算区域!Y902,NA())</f>
        <v>#N/A</v>
      </c>
      <c r="X900" t="e">
        <f ca="1">IFERROR(计算区域!Z902,NA())</f>
        <v>#N/A</v>
      </c>
      <c r="Y900" t="e">
        <f ca="1">IFERROR(计算区域!AA902,NA())</f>
        <v>#N/A</v>
      </c>
    </row>
    <row r="901" spans="1:25" x14ac:dyDescent="0.2">
      <c r="A901" s="28">
        <f>计算区域!E903</f>
        <v>44124</v>
      </c>
      <c r="B901" t="e">
        <f ca="1">IFERROR(计算区域!AJ903,NA())</f>
        <v>#N/A</v>
      </c>
      <c r="C901" t="e">
        <f ca="1">IFERROR(计算区域!AK903,NA())</f>
        <v>#N/A</v>
      </c>
      <c r="D901" t="e">
        <f ca="1">IFERROR(计算区域!AL903,NA())</f>
        <v>#N/A</v>
      </c>
      <c r="E901" t="e">
        <f ca="1">IFERROR(计算区域!AM903,NA())</f>
        <v>#N/A</v>
      </c>
      <c r="G901" t="e">
        <f ca="1">IFERROR(计算区域!AD903,NA())</f>
        <v>#N/A</v>
      </c>
      <c r="H901" t="e">
        <f ca="1">IFERROR(计算区域!AE903,NA())</f>
        <v>#N/A</v>
      </c>
      <c r="I901" t="e">
        <f ca="1">IFERROR(计算区域!AF903,NA())</f>
        <v>#N/A</v>
      </c>
      <c r="J901" t="e">
        <f ca="1">IFERROR(计算区域!AG903,NA())</f>
        <v>#N/A</v>
      </c>
      <c r="L901" t="e">
        <f ca="1">IFERROR(计算区域!L903,NA())</f>
        <v>#N/A</v>
      </c>
      <c r="M901" t="e">
        <f ca="1">IFERROR(计算区域!M903,NA())</f>
        <v>#N/A</v>
      </c>
      <c r="N901" t="e">
        <f ca="1">IFERROR(计算区域!N903,NA())</f>
        <v>#N/A</v>
      </c>
      <c r="O901" t="e">
        <f ca="1">IFERROR(计算区域!O903,NA())</f>
        <v>#N/A</v>
      </c>
      <c r="Q901" t="e">
        <f ca="1">IFERROR(计算区域!R903,NA())</f>
        <v>#N/A</v>
      </c>
      <c r="R901" t="e">
        <f ca="1">IFERROR(计算区域!S903,NA())</f>
        <v>#N/A</v>
      </c>
      <c r="S901" t="e">
        <f ca="1">IFERROR(计算区域!T903,NA())</f>
        <v>#N/A</v>
      </c>
      <c r="T901" t="e">
        <f ca="1">IFERROR(计算区域!U903,NA())</f>
        <v>#N/A</v>
      </c>
      <c r="V901" t="e">
        <f ca="1">IFERROR(计算区域!X903,NA())</f>
        <v>#N/A</v>
      </c>
      <c r="W901" t="e">
        <f ca="1">IFERROR(计算区域!Y903,NA())</f>
        <v>#N/A</v>
      </c>
      <c r="X901" t="e">
        <f ca="1">IFERROR(计算区域!Z903,NA())</f>
        <v>#N/A</v>
      </c>
      <c r="Y901" t="e">
        <f ca="1">IFERROR(计算区域!AA903,NA())</f>
        <v>#N/A</v>
      </c>
    </row>
    <row r="902" spans="1:25" x14ac:dyDescent="0.2">
      <c r="A902" s="28">
        <f>计算区域!E904</f>
        <v>44123</v>
      </c>
      <c r="B902" t="e">
        <f ca="1">IFERROR(计算区域!AJ904,NA())</f>
        <v>#N/A</v>
      </c>
      <c r="C902" t="e">
        <f ca="1">IFERROR(计算区域!AK904,NA())</f>
        <v>#N/A</v>
      </c>
      <c r="D902" t="e">
        <f ca="1">IFERROR(计算区域!AL904,NA())</f>
        <v>#N/A</v>
      </c>
      <c r="E902" t="e">
        <f ca="1">IFERROR(计算区域!AM904,NA())</f>
        <v>#N/A</v>
      </c>
      <c r="G902" t="e">
        <f ca="1">IFERROR(计算区域!AD904,NA())</f>
        <v>#N/A</v>
      </c>
      <c r="H902" t="e">
        <f ca="1">IFERROR(计算区域!AE904,NA())</f>
        <v>#N/A</v>
      </c>
      <c r="I902" t="e">
        <f ca="1">IFERROR(计算区域!AF904,NA())</f>
        <v>#N/A</v>
      </c>
      <c r="J902" t="e">
        <f ca="1">IFERROR(计算区域!AG904,NA())</f>
        <v>#N/A</v>
      </c>
      <c r="L902" t="e">
        <f ca="1">IFERROR(计算区域!L904,NA())</f>
        <v>#N/A</v>
      </c>
      <c r="M902" t="e">
        <f ca="1">IFERROR(计算区域!M904,NA())</f>
        <v>#N/A</v>
      </c>
      <c r="N902" t="e">
        <f ca="1">IFERROR(计算区域!N904,NA())</f>
        <v>#N/A</v>
      </c>
      <c r="O902" t="e">
        <f ca="1">IFERROR(计算区域!O904,NA())</f>
        <v>#N/A</v>
      </c>
      <c r="Q902" t="e">
        <f ca="1">IFERROR(计算区域!R904,NA())</f>
        <v>#N/A</v>
      </c>
      <c r="R902" t="e">
        <f ca="1">IFERROR(计算区域!S904,NA())</f>
        <v>#N/A</v>
      </c>
      <c r="S902" t="e">
        <f ca="1">IFERROR(计算区域!T904,NA())</f>
        <v>#N/A</v>
      </c>
      <c r="T902" t="e">
        <f ca="1">IFERROR(计算区域!U904,NA())</f>
        <v>#N/A</v>
      </c>
      <c r="V902" t="e">
        <f ca="1">IFERROR(计算区域!X904,NA())</f>
        <v>#N/A</v>
      </c>
      <c r="W902" t="e">
        <f ca="1">IFERROR(计算区域!Y904,NA())</f>
        <v>#N/A</v>
      </c>
      <c r="X902" t="e">
        <f ca="1">IFERROR(计算区域!Z904,NA())</f>
        <v>#N/A</v>
      </c>
      <c r="Y902" t="e">
        <f ca="1">IFERROR(计算区域!AA904,NA())</f>
        <v>#N/A</v>
      </c>
    </row>
    <row r="903" spans="1:25" x14ac:dyDescent="0.2">
      <c r="A903" s="28">
        <f>计算区域!E905</f>
        <v>44120</v>
      </c>
      <c r="B903" t="e">
        <f ca="1">IFERROR(计算区域!AJ905,NA())</f>
        <v>#N/A</v>
      </c>
      <c r="C903" t="e">
        <f ca="1">IFERROR(计算区域!AK905,NA())</f>
        <v>#N/A</v>
      </c>
      <c r="D903" t="e">
        <f ca="1">IFERROR(计算区域!AL905,NA())</f>
        <v>#N/A</v>
      </c>
      <c r="E903" t="e">
        <f ca="1">IFERROR(计算区域!AM905,NA())</f>
        <v>#N/A</v>
      </c>
      <c r="G903" t="e">
        <f ca="1">IFERROR(计算区域!AD905,NA())</f>
        <v>#N/A</v>
      </c>
      <c r="H903" t="e">
        <f ca="1">IFERROR(计算区域!AE905,NA())</f>
        <v>#N/A</v>
      </c>
      <c r="I903" t="e">
        <f ca="1">IFERROR(计算区域!AF905,NA())</f>
        <v>#N/A</v>
      </c>
      <c r="J903" t="e">
        <f ca="1">IFERROR(计算区域!AG905,NA())</f>
        <v>#N/A</v>
      </c>
      <c r="L903" t="e">
        <f ca="1">IFERROR(计算区域!L905,NA())</f>
        <v>#N/A</v>
      </c>
      <c r="M903" t="e">
        <f ca="1">IFERROR(计算区域!M905,NA())</f>
        <v>#N/A</v>
      </c>
      <c r="N903" t="e">
        <f ca="1">IFERROR(计算区域!N905,NA())</f>
        <v>#N/A</v>
      </c>
      <c r="O903" t="e">
        <f ca="1">IFERROR(计算区域!O905,NA())</f>
        <v>#N/A</v>
      </c>
      <c r="Q903" t="e">
        <f ca="1">IFERROR(计算区域!R905,NA())</f>
        <v>#N/A</v>
      </c>
      <c r="R903" t="e">
        <f ca="1">IFERROR(计算区域!S905,NA())</f>
        <v>#N/A</v>
      </c>
      <c r="S903" t="e">
        <f ca="1">IFERROR(计算区域!T905,NA())</f>
        <v>#N/A</v>
      </c>
      <c r="T903" t="e">
        <f ca="1">IFERROR(计算区域!U905,NA())</f>
        <v>#N/A</v>
      </c>
      <c r="V903" t="e">
        <f ca="1">IFERROR(计算区域!X905,NA())</f>
        <v>#N/A</v>
      </c>
      <c r="W903" t="e">
        <f ca="1">IFERROR(计算区域!Y905,NA())</f>
        <v>#N/A</v>
      </c>
      <c r="X903" t="e">
        <f ca="1">IFERROR(计算区域!Z905,NA())</f>
        <v>#N/A</v>
      </c>
      <c r="Y903" t="e">
        <f ca="1">IFERROR(计算区域!AA905,NA())</f>
        <v>#N/A</v>
      </c>
    </row>
    <row r="904" spans="1:25" x14ac:dyDescent="0.2">
      <c r="A904" s="28">
        <f>计算区域!E906</f>
        <v>44119</v>
      </c>
      <c r="B904" t="e">
        <f ca="1">IFERROR(计算区域!AJ906,NA())</f>
        <v>#N/A</v>
      </c>
      <c r="C904" t="e">
        <f ca="1">IFERROR(计算区域!AK906,NA())</f>
        <v>#N/A</v>
      </c>
      <c r="D904" t="e">
        <f ca="1">IFERROR(计算区域!AL906,NA())</f>
        <v>#N/A</v>
      </c>
      <c r="E904" t="e">
        <f ca="1">IFERROR(计算区域!AM906,NA())</f>
        <v>#N/A</v>
      </c>
      <c r="G904" t="e">
        <f ca="1">IFERROR(计算区域!AD906,NA())</f>
        <v>#N/A</v>
      </c>
      <c r="H904" t="e">
        <f ca="1">IFERROR(计算区域!AE906,NA())</f>
        <v>#N/A</v>
      </c>
      <c r="I904" t="e">
        <f ca="1">IFERROR(计算区域!AF906,NA())</f>
        <v>#N/A</v>
      </c>
      <c r="J904" t="e">
        <f ca="1">IFERROR(计算区域!AG906,NA())</f>
        <v>#N/A</v>
      </c>
      <c r="L904" t="e">
        <f ca="1">IFERROR(计算区域!L906,NA())</f>
        <v>#N/A</v>
      </c>
      <c r="M904" t="e">
        <f ca="1">IFERROR(计算区域!M906,NA())</f>
        <v>#N/A</v>
      </c>
      <c r="N904" t="e">
        <f ca="1">IFERROR(计算区域!N906,NA())</f>
        <v>#N/A</v>
      </c>
      <c r="O904" t="e">
        <f ca="1">IFERROR(计算区域!O906,NA())</f>
        <v>#N/A</v>
      </c>
      <c r="Q904" t="e">
        <f ca="1">IFERROR(计算区域!R906,NA())</f>
        <v>#N/A</v>
      </c>
      <c r="R904" t="e">
        <f ca="1">IFERROR(计算区域!S906,NA())</f>
        <v>#N/A</v>
      </c>
      <c r="S904" t="e">
        <f ca="1">IFERROR(计算区域!T906,NA())</f>
        <v>#N/A</v>
      </c>
      <c r="T904" t="e">
        <f ca="1">IFERROR(计算区域!U906,NA())</f>
        <v>#N/A</v>
      </c>
      <c r="V904" t="e">
        <f ca="1">IFERROR(计算区域!X906,NA())</f>
        <v>#N/A</v>
      </c>
      <c r="W904" t="e">
        <f ca="1">IFERROR(计算区域!Y906,NA())</f>
        <v>#N/A</v>
      </c>
      <c r="X904" t="e">
        <f ca="1">IFERROR(计算区域!Z906,NA())</f>
        <v>#N/A</v>
      </c>
      <c r="Y904" t="e">
        <f ca="1">IFERROR(计算区域!AA906,NA())</f>
        <v>#N/A</v>
      </c>
    </row>
    <row r="905" spans="1:25" x14ac:dyDescent="0.2">
      <c r="A905" s="28">
        <f>计算区域!E907</f>
        <v>44118</v>
      </c>
      <c r="B905" t="e">
        <f ca="1">IFERROR(计算区域!AJ907,NA())</f>
        <v>#N/A</v>
      </c>
      <c r="C905" t="e">
        <f ca="1">IFERROR(计算区域!AK907,NA())</f>
        <v>#N/A</v>
      </c>
      <c r="D905" t="e">
        <f ca="1">IFERROR(计算区域!AL907,NA())</f>
        <v>#N/A</v>
      </c>
      <c r="E905" t="e">
        <f ca="1">IFERROR(计算区域!AM907,NA())</f>
        <v>#N/A</v>
      </c>
      <c r="G905" t="e">
        <f ca="1">IFERROR(计算区域!AD907,NA())</f>
        <v>#N/A</v>
      </c>
      <c r="H905" t="e">
        <f ca="1">IFERROR(计算区域!AE907,NA())</f>
        <v>#N/A</v>
      </c>
      <c r="I905" t="e">
        <f ca="1">IFERROR(计算区域!AF907,NA())</f>
        <v>#N/A</v>
      </c>
      <c r="J905" t="e">
        <f ca="1">IFERROR(计算区域!AG907,NA())</f>
        <v>#N/A</v>
      </c>
      <c r="L905" t="e">
        <f ca="1">IFERROR(计算区域!L907,NA())</f>
        <v>#N/A</v>
      </c>
      <c r="M905" t="e">
        <f ca="1">IFERROR(计算区域!M907,NA())</f>
        <v>#N/A</v>
      </c>
      <c r="N905" t="e">
        <f ca="1">IFERROR(计算区域!N907,NA())</f>
        <v>#N/A</v>
      </c>
      <c r="O905" t="e">
        <f ca="1">IFERROR(计算区域!O907,NA())</f>
        <v>#N/A</v>
      </c>
      <c r="Q905" t="e">
        <f ca="1">IFERROR(计算区域!R907,NA())</f>
        <v>#N/A</v>
      </c>
      <c r="R905" t="e">
        <f ca="1">IFERROR(计算区域!S907,NA())</f>
        <v>#N/A</v>
      </c>
      <c r="S905" t="e">
        <f ca="1">IFERROR(计算区域!T907,NA())</f>
        <v>#N/A</v>
      </c>
      <c r="T905" t="e">
        <f ca="1">IFERROR(计算区域!U907,NA())</f>
        <v>#N/A</v>
      </c>
      <c r="V905" t="e">
        <f ca="1">IFERROR(计算区域!X907,NA())</f>
        <v>#N/A</v>
      </c>
      <c r="W905" t="e">
        <f ca="1">IFERROR(计算区域!Y907,NA())</f>
        <v>#N/A</v>
      </c>
      <c r="X905" t="e">
        <f ca="1">IFERROR(计算区域!Z907,NA())</f>
        <v>#N/A</v>
      </c>
      <c r="Y905" t="e">
        <f ca="1">IFERROR(计算区域!AA907,NA())</f>
        <v>#N/A</v>
      </c>
    </row>
    <row r="906" spans="1:25" x14ac:dyDescent="0.2">
      <c r="A906" s="28">
        <f>计算区域!E908</f>
        <v>44117</v>
      </c>
      <c r="B906" t="e">
        <f ca="1">IFERROR(计算区域!AJ908,NA())</f>
        <v>#N/A</v>
      </c>
      <c r="C906" t="e">
        <f ca="1">IFERROR(计算区域!AK908,NA())</f>
        <v>#N/A</v>
      </c>
      <c r="D906" t="e">
        <f ca="1">IFERROR(计算区域!AL908,NA())</f>
        <v>#N/A</v>
      </c>
      <c r="E906" t="e">
        <f ca="1">IFERROR(计算区域!AM908,NA())</f>
        <v>#N/A</v>
      </c>
      <c r="G906" t="e">
        <f ca="1">IFERROR(计算区域!AD908,NA())</f>
        <v>#N/A</v>
      </c>
      <c r="H906" t="e">
        <f ca="1">IFERROR(计算区域!AE908,NA())</f>
        <v>#N/A</v>
      </c>
      <c r="I906" t="e">
        <f ca="1">IFERROR(计算区域!AF908,NA())</f>
        <v>#N/A</v>
      </c>
      <c r="J906" t="e">
        <f ca="1">IFERROR(计算区域!AG908,NA())</f>
        <v>#N/A</v>
      </c>
      <c r="L906" t="e">
        <f ca="1">IFERROR(计算区域!L908,NA())</f>
        <v>#N/A</v>
      </c>
      <c r="M906" t="e">
        <f ca="1">IFERROR(计算区域!M908,NA())</f>
        <v>#N/A</v>
      </c>
      <c r="N906" t="e">
        <f ca="1">IFERROR(计算区域!N908,NA())</f>
        <v>#N/A</v>
      </c>
      <c r="O906" t="e">
        <f ca="1">IFERROR(计算区域!O908,NA())</f>
        <v>#N/A</v>
      </c>
      <c r="Q906" t="e">
        <f ca="1">IFERROR(计算区域!R908,NA())</f>
        <v>#N/A</v>
      </c>
      <c r="R906" t="e">
        <f ca="1">IFERROR(计算区域!S908,NA())</f>
        <v>#N/A</v>
      </c>
      <c r="S906" t="e">
        <f ca="1">IFERROR(计算区域!T908,NA())</f>
        <v>#N/A</v>
      </c>
      <c r="T906" t="e">
        <f ca="1">IFERROR(计算区域!U908,NA())</f>
        <v>#N/A</v>
      </c>
      <c r="V906" t="e">
        <f ca="1">IFERROR(计算区域!X908,NA())</f>
        <v>#N/A</v>
      </c>
      <c r="W906" t="e">
        <f ca="1">IFERROR(计算区域!Y908,NA())</f>
        <v>#N/A</v>
      </c>
      <c r="X906" t="e">
        <f ca="1">IFERROR(计算区域!Z908,NA())</f>
        <v>#N/A</v>
      </c>
      <c r="Y906" t="e">
        <f ca="1">IFERROR(计算区域!AA908,NA())</f>
        <v>#N/A</v>
      </c>
    </row>
    <row r="907" spans="1:25" x14ac:dyDescent="0.2">
      <c r="A907" s="28">
        <f>计算区域!E909</f>
        <v>44116</v>
      </c>
      <c r="B907" t="e">
        <f ca="1">IFERROR(计算区域!AJ909,NA())</f>
        <v>#N/A</v>
      </c>
      <c r="C907" t="e">
        <f ca="1">IFERROR(计算区域!AK909,NA())</f>
        <v>#N/A</v>
      </c>
      <c r="D907" t="e">
        <f ca="1">IFERROR(计算区域!AL909,NA())</f>
        <v>#N/A</v>
      </c>
      <c r="E907" t="e">
        <f ca="1">IFERROR(计算区域!AM909,NA())</f>
        <v>#N/A</v>
      </c>
      <c r="G907" t="e">
        <f ca="1">IFERROR(计算区域!AD909,NA())</f>
        <v>#N/A</v>
      </c>
      <c r="H907" t="e">
        <f ca="1">IFERROR(计算区域!AE909,NA())</f>
        <v>#N/A</v>
      </c>
      <c r="I907" t="e">
        <f ca="1">IFERROR(计算区域!AF909,NA())</f>
        <v>#N/A</v>
      </c>
      <c r="J907" t="e">
        <f ca="1">IFERROR(计算区域!AG909,NA())</f>
        <v>#N/A</v>
      </c>
      <c r="L907" t="e">
        <f ca="1">IFERROR(计算区域!L909,NA())</f>
        <v>#N/A</v>
      </c>
      <c r="M907" t="e">
        <f ca="1">IFERROR(计算区域!M909,NA())</f>
        <v>#N/A</v>
      </c>
      <c r="N907" t="e">
        <f ca="1">IFERROR(计算区域!N909,NA())</f>
        <v>#N/A</v>
      </c>
      <c r="O907" t="e">
        <f ca="1">IFERROR(计算区域!O909,NA())</f>
        <v>#N/A</v>
      </c>
      <c r="Q907" t="e">
        <f ca="1">IFERROR(计算区域!R909,NA())</f>
        <v>#N/A</v>
      </c>
      <c r="R907" t="e">
        <f ca="1">IFERROR(计算区域!S909,NA())</f>
        <v>#N/A</v>
      </c>
      <c r="S907" t="e">
        <f ca="1">IFERROR(计算区域!T909,NA())</f>
        <v>#N/A</v>
      </c>
      <c r="T907" t="e">
        <f ca="1">IFERROR(计算区域!U909,NA())</f>
        <v>#N/A</v>
      </c>
      <c r="V907" t="e">
        <f ca="1">IFERROR(计算区域!X909,NA())</f>
        <v>#N/A</v>
      </c>
      <c r="W907" t="e">
        <f ca="1">IFERROR(计算区域!Y909,NA())</f>
        <v>#N/A</v>
      </c>
      <c r="X907" t="e">
        <f ca="1">IFERROR(计算区域!Z909,NA())</f>
        <v>#N/A</v>
      </c>
      <c r="Y907" t="e">
        <f ca="1">IFERROR(计算区域!AA909,NA())</f>
        <v>#N/A</v>
      </c>
    </row>
    <row r="908" spans="1:25" x14ac:dyDescent="0.2">
      <c r="A908" s="28">
        <f>计算区域!E910</f>
        <v>44113</v>
      </c>
      <c r="B908" t="e">
        <f ca="1">IFERROR(计算区域!AJ910,NA())</f>
        <v>#N/A</v>
      </c>
      <c r="C908" t="e">
        <f ca="1">IFERROR(计算区域!AK910,NA())</f>
        <v>#N/A</v>
      </c>
      <c r="D908" t="e">
        <f ca="1">IFERROR(计算区域!AL910,NA())</f>
        <v>#N/A</v>
      </c>
      <c r="E908" t="e">
        <f ca="1">IFERROR(计算区域!AM910,NA())</f>
        <v>#N/A</v>
      </c>
      <c r="G908" t="e">
        <f ca="1">IFERROR(计算区域!AD910,NA())</f>
        <v>#N/A</v>
      </c>
      <c r="H908" t="e">
        <f ca="1">IFERROR(计算区域!AE910,NA())</f>
        <v>#N/A</v>
      </c>
      <c r="I908" t="e">
        <f ca="1">IFERROR(计算区域!AF910,NA())</f>
        <v>#N/A</v>
      </c>
      <c r="J908" t="e">
        <f ca="1">IFERROR(计算区域!AG910,NA())</f>
        <v>#N/A</v>
      </c>
      <c r="L908" t="e">
        <f ca="1">IFERROR(计算区域!L910,NA())</f>
        <v>#N/A</v>
      </c>
      <c r="M908" t="e">
        <f ca="1">IFERROR(计算区域!M910,NA())</f>
        <v>#N/A</v>
      </c>
      <c r="N908" t="e">
        <f ca="1">IFERROR(计算区域!N910,NA())</f>
        <v>#N/A</v>
      </c>
      <c r="O908" t="e">
        <f ca="1">IFERROR(计算区域!O910,NA())</f>
        <v>#N/A</v>
      </c>
      <c r="Q908" t="e">
        <f ca="1">IFERROR(计算区域!R910,NA())</f>
        <v>#N/A</v>
      </c>
      <c r="R908" t="e">
        <f ca="1">IFERROR(计算区域!S910,NA())</f>
        <v>#N/A</v>
      </c>
      <c r="S908" t="e">
        <f ca="1">IFERROR(计算区域!T910,NA())</f>
        <v>#N/A</v>
      </c>
      <c r="T908" t="e">
        <f ca="1">IFERROR(计算区域!U910,NA())</f>
        <v>#N/A</v>
      </c>
      <c r="V908" t="e">
        <f ca="1">IFERROR(计算区域!X910,NA())</f>
        <v>#N/A</v>
      </c>
      <c r="W908" t="e">
        <f ca="1">IFERROR(计算区域!Y910,NA())</f>
        <v>#N/A</v>
      </c>
      <c r="X908" t="e">
        <f ca="1">IFERROR(计算区域!Z910,NA())</f>
        <v>#N/A</v>
      </c>
      <c r="Y908" t="e">
        <f ca="1">IFERROR(计算区域!AA910,NA())</f>
        <v>#N/A</v>
      </c>
    </row>
    <row r="909" spans="1:25" x14ac:dyDescent="0.2">
      <c r="A909" s="28">
        <f>计算区域!E911</f>
        <v>44104</v>
      </c>
      <c r="B909" t="e">
        <f ca="1">IFERROR(计算区域!AJ911,NA())</f>
        <v>#N/A</v>
      </c>
      <c r="C909" t="e">
        <f ca="1">IFERROR(计算区域!AK911,NA())</f>
        <v>#N/A</v>
      </c>
      <c r="D909" t="e">
        <f ca="1">IFERROR(计算区域!AL911,NA())</f>
        <v>#N/A</v>
      </c>
      <c r="E909" t="e">
        <f ca="1">IFERROR(计算区域!AM911,NA())</f>
        <v>#N/A</v>
      </c>
      <c r="G909" t="e">
        <f ca="1">IFERROR(计算区域!AD911,NA())</f>
        <v>#N/A</v>
      </c>
      <c r="H909" t="e">
        <f ca="1">IFERROR(计算区域!AE911,NA())</f>
        <v>#N/A</v>
      </c>
      <c r="I909" t="e">
        <f ca="1">IFERROR(计算区域!AF911,NA())</f>
        <v>#N/A</v>
      </c>
      <c r="J909" t="e">
        <f ca="1">IFERROR(计算区域!AG911,NA())</f>
        <v>#N/A</v>
      </c>
      <c r="L909" t="e">
        <f ca="1">IFERROR(计算区域!L911,NA())</f>
        <v>#N/A</v>
      </c>
      <c r="M909" t="e">
        <f ca="1">IFERROR(计算区域!M911,NA())</f>
        <v>#N/A</v>
      </c>
      <c r="N909" t="e">
        <f ca="1">IFERROR(计算区域!N911,NA())</f>
        <v>#N/A</v>
      </c>
      <c r="O909" t="e">
        <f ca="1">IFERROR(计算区域!O911,NA())</f>
        <v>#N/A</v>
      </c>
      <c r="Q909" t="e">
        <f ca="1">IFERROR(计算区域!R911,NA())</f>
        <v>#N/A</v>
      </c>
      <c r="R909" t="e">
        <f ca="1">IFERROR(计算区域!S911,NA())</f>
        <v>#N/A</v>
      </c>
      <c r="S909" t="e">
        <f ca="1">IFERROR(计算区域!T911,NA())</f>
        <v>#N/A</v>
      </c>
      <c r="T909" t="e">
        <f ca="1">IFERROR(计算区域!U911,NA())</f>
        <v>#N/A</v>
      </c>
      <c r="V909" t="e">
        <f ca="1">IFERROR(计算区域!X911,NA())</f>
        <v>#N/A</v>
      </c>
      <c r="W909" t="e">
        <f ca="1">IFERROR(计算区域!Y911,NA())</f>
        <v>#N/A</v>
      </c>
      <c r="X909" t="e">
        <f ca="1">IFERROR(计算区域!Z911,NA())</f>
        <v>#N/A</v>
      </c>
      <c r="Y909" t="e">
        <f ca="1">IFERROR(计算区域!AA911,NA())</f>
        <v>#N/A</v>
      </c>
    </row>
    <row r="910" spans="1:25" x14ac:dyDescent="0.2">
      <c r="A910" s="28">
        <f>计算区域!E912</f>
        <v>44103</v>
      </c>
      <c r="B910" t="e">
        <f ca="1">IFERROR(计算区域!AJ912,NA())</f>
        <v>#N/A</v>
      </c>
      <c r="C910" t="e">
        <f ca="1">IFERROR(计算区域!AK912,NA())</f>
        <v>#N/A</v>
      </c>
      <c r="D910" t="e">
        <f ca="1">IFERROR(计算区域!AL912,NA())</f>
        <v>#N/A</v>
      </c>
      <c r="E910" t="e">
        <f ca="1">IFERROR(计算区域!AM912,NA())</f>
        <v>#N/A</v>
      </c>
      <c r="G910" t="e">
        <f ca="1">IFERROR(计算区域!AD912,NA())</f>
        <v>#N/A</v>
      </c>
      <c r="H910" t="e">
        <f ca="1">IFERROR(计算区域!AE912,NA())</f>
        <v>#N/A</v>
      </c>
      <c r="I910" t="e">
        <f ca="1">IFERROR(计算区域!AF912,NA())</f>
        <v>#N/A</v>
      </c>
      <c r="J910" t="e">
        <f ca="1">IFERROR(计算区域!AG912,NA())</f>
        <v>#N/A</v>
      </c>
      <c r="L910" t="e">
        <f ca="1">IFERROR(计算区域!L912,NA())</f>
        <v>#N/A</v>
      </c>
      <c r="M910" t="e">
        <f ca="1">IFERROR(计算区域!M912,NA())</f>
        <v>#N/A</v>
      </c>
      <c r="N910" t="e">
        <f ca="1">IFERROR(计算区域!N912,NA())</f>
        <v>#N/A</v>
      </c>
      <c r="O910" t="e">
        <f ca="1">IFERROR(计算区域!O912,NA())</f>
        <v>#N/A</v>
      </c>
      <c r="Q910" t="e">
        <f ca="1">IFERROR(计算区域!R912,NA())</f>
        <v>#N/A</v>
      </c>
      <c r="R910" t="e">
        <f ca="1">IFERROR(计算区域!S912,NA())</f>
        <v>#N/A</v>
      </c>
      <c r="S910" t="e">
        <f ca="1">IFERROR(计算区域!T912,NA())</f>
        <v>#N/A</v>
      </c>
      <c r="T910" t="e">
        <f ca="1">IFERROR(计算区域!U912,NA())</f>
        <v>#N/A</v>
      </c>
      <c r="V910" t="e">
        <f ca="1">IFERROR(计算区域!X912,NA())</f>
        <v>#N/A</v>
      </c>
      <c r="W910" t="e">
        <f ca="1">IFERROR(计算区域!Y912,NA())</f>
        <v>#N/A</v>
      </c>
      <c r="X910" t="e">
        <f ca="1">IFERROR(计算区域!Z912,NA())</f>
        <v>#N/A</v>
      </c>
      <c r="Y910" t="e">
        <f ca="1">IFERROR(计算区域!AA912,NA())</f>
        <v>#N/A</v>
      </c>
    </row>
    <row r="911" spans="1:25" x14ac:dyDescent="0.2">
      <c r="A911" s="28">
        <f>计算区域!E913</f>
        <v>44102</v>
      </c>
      <c r="B911" t="e">
        <f ca="1">IFERROR(计算区域!AJ913,NA())</f>
        <v>#N/A</v>
      </c>
      <c r="C911" t="e">
        <f ca="1">IFERROR(计算区域!AK913,NA())</f>
        <v>#N/A</v>
      </c>
      <c r="D911" t="e">
        <f ca="1">IFERROR(计算区域!AL913,NA())</f>
        <v>#N/A</v>
      </c>
      <c r="E911" t="e">
        <f ca="1">IFERROR(计算区域!AM913,NA())</f>
        <v>#N/A</v>
      </c>
      <c r="G911" t="e">
        <f ca="1">IFERROR(计算区域!AD913,NA())</f>
        <v>#N/A</v>
      </c>
      <c r="H911" t="e">
        <f ca="1">IFERROR(计算区域!AE913,NA())</f>
        <v>#N/A</v>
      </c>
      <c r="I911" t="e">
        <f ca="1">IFERROR(计算区域!AF913,NA())</f>
        <v>#N/A</v>
      </c>
      <c r="J911" t="e">
        <f ca="1">IFERROR(计算区域!AG913,NA())</f>
        <v>#N/A</v>
      </c>
      <c r="L911" t="e">
        <f ca="1">IFERROR(计算区域!L913,NA())</f>
        <v>#N/A</v>
      </c>
      <c r="M911" t="e">
        <f ca="1">IFERROR(计算区域!M913,NA())</f>
        <v>#N/A</v>
      </c>
      <c r="N911" t="e">
        <f ca="1">IFERROR(计算区域!N913,NA())</f>
        <v>#N/A</v>
      </c>
      <c r="O911" t="e">
        <f ca="1">IFERROR(计算区域!O913,NA())</f>
        <v>#N/A</v>
      </c>
      <c r="Q911" t="e">
        <f ca="1">IFERROR(计算区域!R913,NA())</f>
        <v>#N/A</v>
      </c>
      <c r="R911" t="e">
        <f ca="1">IFERROR(计算区域!S913,NA())</f>
        <v>#N/A</v>
      </c>
      <c r="S911" t="e">
        <f ca="1">IFERROR(计算区域!T913,NA())</f>
        <v>#N/A</v>
      </c>
      <c r="T911" t="e">
        <f ca="1">IFERROR(计算区域!U913,NA())</f>
        <v>#N/A</v>
      </c>
      <c r="V911" t="e">
        <f ca="1">IFERROR(计算区域!X913,NA())</f>
        <v>#N/A</v>
      </c>
      <c r="W911" t="e">
        <f ca="1">IFERROR(计算区域!Y913,NA())</f>
        <v>#N/A</v>
      </c>
      <c r="X911" t="e">
        <f ca="1">IFERROR(计算区域!Z913,NA())</f>
        <v>#N/A</v>
      </c>
      <c r="Y911" t="e">
        <f ca="1">IFERROR(计算区域!AA913,NA())</f>
        <v>#N/A</v>
      </c>
    </row>
    <row r="912" spans="1:25" x14ac:dyDescent="0.2">
      <c r="A912" s="28">
        <f>计算区域!E914</f>
        <v>44099</v>
      </c>
      <c r="B912" t="e">
        <f ca="1">IFERROR(计算区域!AJ914,NA())</f>
        <v>#N/A</v>
      </c>
      <c r="C912" t="e">
        <f ca="1">IFERROR(计算区域!AK914,NA())</f>
        <v>#N/A</v>
      </c>
      <c r="D912" t="e">
        <f ca="1">IFERROR(计算区域!AL914,NA())</f>
        <v>#N/A</v>
      </c>
      <c r="E912" t="e">
        <f ca="1">IFERROR(计算区域!AM914,NA())</f>
        <v>#N/A</v>
      </c>
      <c r="G912" t="e">
        <f ca="1">IFERROR(计算区域!AD914,NA())</f>
        <v>#N/A</v>
      </c>
      <c r="H912" t="e">
        <f ca="1">IFERROR(计算区域!AE914,NA())</f>
        <v>#N/A</v>
      </c>
      <c r="I912" t="e">
        <f ca="1">IFERROR(计算区域!AF914,NA())</f>
        <v>#N/A</v>
      </c>
      <c r="J912" t="e">
        <f ca="1">IFERROR(计算区域!AG914,NA())</f>
        <v>#N/A</v>
      </c>
      <c r="L912" t="e">
        <f ca="1">IFERROR(计算区域!L914,NA())</f>
        <v>#N/A</v>
      </c>
      <c r="M912" t="e">
        <f ca="1">IFERROR(计算区域!M914,NA())</f>
        <v>#N/A</v>
      </c>
      <c r="N912" t="e">
        <f ca="1">IFERROR(计算区域!N914,NA())</f>
        <v>#N/A</v>
      </c>
      <c r="O912" t="e">
        <f ca="1">IFERROR(计算区域!O914,NA())</f>
        <v>#N/A</v>
      </c>
      <c r="Q912" t="e">
        <f ca="1">IFERROR(计算区域!R914,NA())</f>
        <v>#N/A</v>
      </c>
      <c r="R912" t="e">
        <f ca="1">IFERROR(计算区域!S914,NA())</f>
        <v>#N/A</v>
      </c>
      <c r="S912" t="e">
        <f ca="1">IFERROR(计算区域!T914,NA())</f>
        <v>#N/A</v>
      </c>
      <c r="T912" t="e">
        <f ca="1">IFERROR(计算区域!U914,NA())</f>
        <v>#N/A</v>
      </c>
      <c r="V912" t="e">
        <f ca="1">IFERROR(计算区域!X914,NA())</f>
        <v>#N/A</v>
      </c>
      <c r="W912" t="e">
        <f ca="1">IFERROR(计算区域!Y914,NA())</f>
        <v>#N/A</v>
      </c>
      <c r="X912" t="e">
        <f ca="1">IFERROR(计算区域!Z914,NA())</f>
        <v>#N/A</v>
      </c>
      <c r="Y912" t="e">
        <f ca="1">IFERROR(计算区域!AA914,NA())</f>
        <v>#N/A</v>
      </c>
    </row>
    <row r="913" spans="1:25" x14ac:dyDescent="0.2">
      <c r="A913" s="28">
        <f>计算区域!E915</f>
        <v>44098</v>
      </c>
      <c r="B913" t="e">
        <f ca="1">IFERROR(计算区域!AJ915,NA())</f>
        <v>#N/A</v>
      </c>
      <c r="C913" t="e">
        <f ca="1">IFERROR(计算区域!AK915,NA())</f>
        <v>#N/A</v>
      </c>
      <c r="D913" t="e">
        <f ca="1">IFERROR(计算区域!AL915,NA())</f>
        <v>#N/A</v>
      </c>
      <c r="E913" t="e">
        <f ca="1">IFERROR(计算区域!AM915,NA())</f>
        <v>#N/A</v>
      </c>
      <c r="G913" t="e">
        <f ca="1">IFERROR(计算区域!AD915,NA())</f>
        <v>#N/A</v>
      </c>
      <c r="H913" t="e">
        <f ca="1">IFERROR(计算区域!AE915,NA())</f>
        <v>#N/A</v>
      </c>
      <c r="I913" t="e">
        <f ca="1">IFERROR(计算区域!AF915,NA())</f>
        <v>#N/A</v>
      </c>
      <c r="J913" t="e">
        <f ca="1">IFERROR(计算区域!AG915,NA())</f>
        <v>#N/A</v>
      </c>
      <c r="L913" t="e">
        <f ca="1">IFERROR(计算区域!L915,NA())</f>
        <v>#N/A</v>
      </c>
      <c r="M913" t="e">
        <f ca="1">IFERROR(计算区域!M915,NA())</f>
        <v>#N/A</v>
      </c>
      <c r="N913" t="e">
        <f ca="1">IFERROR(计算区域!N915,NA())</f>
        <v>#N/A</v>
      </c>
      <c r="O913" t="e">
        <f ca="1">IFERROR(计算区域!O915,NA())</f>
        <v>#N/A</v>
      </c>
      <c r="Q913" t="e">
        <f ca="1">IFERROR(计算区域!R915,NA())</f>
        <v>#N/A</v>
      </c>
      <c r="R913" t="e">
        <f ca="1">IFERROR(计算区域!S915,NA())</f>
        <v>#N/A</v>
      </c>
      <c r="S913" t="e">
        <f ca="1">IFERROR(计算区域!T915,NA())</f>
        <v>#N/A</v>
      </c>
      <c r="T913" t="e">
        <f ca="1">IFERROR(计算区域!U915,NA())</f>
        <v>#N/A</v>
      </c>
      <c r="V913" t="e">
        <f ca="1">IFERROR(计算区域!X915,NA())</f>
        <v>#N/A</v>
      </c>
      <c r="W913" t="e">
        <f ca="1">IFERROR(计算区域!Y915,NA())</f>
        <v>#N/A</v>
      </c>
      <c r="X913" t="e">
        <f ca="1">IFERROR(计算区域!Z915,NA())</f>
        <v>#N/A</v>
      </c>
      <c r="Y913" t="e">
        <f ca="1">IFERROR(计算区域!AA915,NA())</f>
        <v>#N/A</v>
      </c>
    </row>
    <row r="914" spans="1:25" x14ac:dyDescent="0.2">
      <c r="A914" s="28">
        <f>计算区域!E916</f>
        <v>44097</v>
      </c>
      <c r="B914" t="e">
        <f ca="1">IFERROR(计算区域!AJ916,NA())</f>
        <v>#N/A</v>
      </c>
      <c r="C914" t="e">
        <f ca="1">IFERROR(计算区域!AK916,NA())</f>
        <v>#N/A</v>
      </c>
      <c r="D914" t="e">
        <f ca="1">IFERROR(计算区域!AL916,NA())</f>
        <v>#N/A</v>
      </c>
      <c r="E914" t="e">
        <f ca="1">IFERROR(计算区域!AM916,NA())</f>
        <v>#N/A</v>
      </c>
      <c r="G914" t="e">
        <f ca="1">IFERROR(计算区域!AD916,NA())</f>
        <v>#N/A</v>
      </c>
      <c r="H914" t="e">
        <f ca="1">IFERROR(计算区域!AE916,NA())</f>
        <v>#N/A</v>
      </c>
      <c r="I914" t="e">
        <f ca="1">IFERROR(计算区域!AF916,NA())</f>
        <v>#N/A</v>
      </c>
      <c r="J914" t="e">
        <f ca="1">IFERROR(计算区域!AG916,NA())</f>
        <v>#N/A</v>
      </c>
      <c r="L914" t="e">
        <f ca="1">IFERROR(计算区域!L916,NA())</f>
        <v>#N/A</v>
      </c>
      <c r="M914" t="e">
        <f ca="1">IFERROR(计算区域!M916,NA())</f>
        <v>#N/A</v>
      </c>
      <c r="N914" t="e">
        <f ca="1">IFERROR(计算区域!N916,NA())</f>
        <v>#N/A</v>
      </c>
      <c r="O914" t="e">
        <f ca="1">IFERROR(计算区域!O916,NA())</f>
        <v>#N/A</v>
      </c>
      <c r="Q914" t="e">
        <f ca="1">IFERROR(计算区域!R916,NA())</f>
        <v>#N/A</v>
      </c>
      <c r="R914" t="e">
        <f ca="1">IFERROR(计算区域!S916,NA())</f>
        <v>#N/A</v>
      </c>
      <c r="S914" t="e">
        <f ca="1">IFERROR(计算区域!T916,NA())</f>
        <v>#N/A</v>
      </c>
      <c r="T914" t="e">
        <f ca="1">IFERROR(计算区域!U916,NA())</f>
        <v>#N/A</v>
      </c>
      <c r="V914" t="e">
        <f ca="1">IFERROR(计算区域!X916,NA())</f>
        <v>#N/A</v>
      </c>
      <c r="W914" t="e">
        <f ca="1">IFERROR(计算区域!Y916,NA())</f>
        <v>#N/A</v>
      </c>
      <c r="X914" t="e">
        <f ca="1">IFERROR(计算区域!Z916,NA())</f>
        <v>#N/A</v>
      </c>
      <c r="Y914" t="e">
        <f ca="1">IFERROR(计算区域!AA916,NA())</f>
        <v>#N/A</v>
      </c>
    </row>
    <row r="915" spans="1:25" x14ac:dyDescent="0.2">
      <c r="A915" s="28">
        <f>计算区域!E917</f>
        <v>44096</v>
      </c>
      <c r="B915" t="e">
        <f ca="1">IFERROR(计算区域!AJ917,NA())</f>
        <v>#N/A</v>
      </c>
      <c r="C915" t="e">
        <f ca="1">IFERROR(计算区域!AK917,NA())</f>
        <v>#N/A</v>
      </c>
      <c r="D915" t="e">
        <f ca="1">IFERROR(计算区域!AL917,NA())</f>
        <v>#N/A</v>
      </c>
      <c r="E915" t="e">
        <f ca="1">IFERROR(计算区域!AM917,NA())</f>
        <v>#N/A</v>
      </c>
      <c r="G915" t="e">
        <f ca="1">IFERROR(计算区域!AD917,NA())</f>
        <v>#N/A</v>
      </c>
      <c r="H915" t="e">
        <f ca="1">IFERROR(计算区域!AE917,NA())</f>
        <v>#N/A</v>
      </c>
      <c r="I915" t="e">
        <f ca="1">IFERROR(计算区域!AF917,NA())</f>
        <v>#N/A</v>
      </c>
      <c r="J915" t="e">
        <f ca="1">IFERROR(计算区域!AG917,NA())</f>
        <v>#N/A</v>
      </c>
      <c r="L915" t="e">
        <f ca="1">IFERROR(计算区域!L917,NA())</f>
        <v>#N/A</v>
      </c>
      <c r="M915" t="e">
        <f ca="1">IFERROR(计算区域!M917,NA())</f>
        <v>#N/A</v>
      </c>
      <c r="N915" t="e">
        <f ca="1">IFERROR(计算区域!N917,NA())</f>
        <v>#N/A</v>
      </c>
      <c r="O915" t="e">
        <f ca="1">IFERROR(计算区域!O917,NA())</f>
        <v>#N/A</v>
      </c>
      <c r="Q915" t="e">
        <f ca="1">IFERROR(计算区域!R917,NA())</f>
        <v>#N/A</v>
      </c>
      <c r="R915" t="e">
        <f ca="1">IFERROR(计算区域!S917,NA())</f>
        <v>#N/A</v>
      </c>
      <c r="S915" t="e">
        <f ca="1">IFERROR(计算区域!T917,NA())</f>
        <v>#N/A</v>
      </c>
      <c r="T915" t="e">
        <f ca="1">IFERROR(计算区域!U917,NA())</f>
        <v>#N/A</v>
      </c>
      <c r="V915" t="e">
        <f ca="1">IFERROR(计算区域!X917,NA())</f>
        <v>#N/A</v>
      </c>
      <c r="W915" t="e">
        <f ca="1">IFERROR(计算区域!Y917,NA())</f>
        <v>#N/A</v>
      </c>
      <c r="X915" t="e">
        <f ca="1">IFERROR(计算区域!Z917,NA())</f>
        <v>#N/A</v>
      </c>
      <c r="Y915" t="e">
        <f ca="1">IFERROR(计算区域!AA917,NA())</f>
        <v>#N/A</v>
      </c>
    </row>
    <row r="916" spans="1:25" x14ac:dyDescent="0.2">
      <c r="A916" s="28">
        <f>计算区域!E918</f>
        <v>44095</v>
      </c>
      <c r="B916" t="e">
        <f ca="1">IFERROR(计算区域!AJ918,NA())</f>
        <v>#N/A</v>
      </c>
      <c r="C916" t="e">
        <f ca="1">IFERROR(计算区域!AK918,NA())</f>
        <v>#N/A</v>
      </c>
      <c r="D916" t="e">
        <f ca="1">IFERROR(计算区域!AL918,NA())</f>
        <v>#N/A</v>
      </c>
      <c r="E916" t="e">
        <f ca="1">IFERROR(计算区域!AM918,NA())</f>
        <v>#N/A</v>
      </c>
      <c r="G916" t="e">
        <f ca="1">IFERROR(计算区域!AD918,NA())</f>
        <v>#N/A</v>
      </c>
      <c r="H916" t="e">
        <f ca="1">IFERROR(计算区域!AE918,NA())</f>
        <v>#N/A</v>
      </c>
      <c r="I916" t="e">
        <f ca="1">IFERROR(计算区域!AF918,NA())</f>
        <v>#N/A</v>
      </c>
      <c r="J916" t="e">
        <f ca="1">IFERROR(计算区域!AG918,NA())</f>
        <v>#N/A</v>
      </c>
      <c r="L916" t="e">
        <f ca="1">IFERROR(计算区域!L918,NA())</f>
        <v>#N/A</v>
      </c>
      <c r="M916" t="e">
        <f ca="1">IFERROR(计算区域!M918,NA())</f>
        <v>#N/A</v>
      </c>
      <c r="N916" t="e">
        <f ca="1">IFERROR(计算区域!N918,NA())</f>
        <v>#N/A</v>
      </c>
      <c r="O916" t="e">
        <f ca="1">IFERROR(计算区域!O918,NA())</f>
        <v>#N/A</v>
      </c>
      <c r="Q916" t="e">
        <f ca="1">IFERROR(计算区域!R918,NA())</f>
        <v>#N/A</v>
      </c>
      <c r="R916" t="e">
        <f ca="1">IFERROR(计算区域!S918,NA())</f>
        <v>#N/A</v>
      </c>
      <c r="S916" t="e">
        <f ca="1">IFERROR(计算区域!T918,NA())</f>
        <v>#N/A</v>
      </c>
      <c r="T916" t="e">
        <f ca="1">IFERROR(计算区域!U918,NA())</f>
        <v>#N/A</v>
      </c>
      <c r="V916" t="e">
        <f ca="1">IFERROR(计算区域!X918,NA())</f>
        <v>#N/A</v>
      </c>
      <c r="W916" t="e">
        <f ca="1">IFERROR(计算区域!Y918,NA())</f>
        <v>#N/A</v>
      </c>
      <c r="X916" t="e">
        <f ca="1">IFERROR(计算区域!Z918,NA())</f>
        <v>#N/A</v>
      </c>
      <c r="Y916" t="e">
        <f ca="1">IFERROR(计算区域!AA918,NA())</f>
        <v>#N/A</v>
      </c>
    </row>
    <row r="917" spans="1:25" x14ac:dyDescent="0.2">
      <c r="A917" s="28">
        <f>计算区域!E919</f>
        <v>44092</v>
      </c>
      <c r="B917" t="e">
        <f ca="1">IFERROR(计算区域!AJ919,NA())</f>
        <v>#N/A</v>
      </c>
      <c r="C917" t="e">
        <f ca="1">IFERROR(计算区域!AK919,NA())</f>
        <v>#N/A</v>
      </c>
      <c r="D917" t="e">
        <f ca="1">IFERROR(计算区域!AL919,NA())</f>
        <v>#N/A</v>
      </c>
      <c r="E917" t="e">
        <f ca="1">IFERROR(计算区域!AM919,NA())</f>
        <v>#N/A</v>
      </c>
      <c r="G917" t="e">
        <f ca="1">IFERROR(计算区域!AD919,NA())</f>
        <v>#N/A</v>
      </c>
      <c r="H917" t="e">
        <f ca="1">IFERROR(计算区域!AE919,NA())</f>
        <v>#N/A</v>
      </c>
      <c r="I917" t="e">
        <f ca="1">IFERROR(计算区域!AF919,NA())</f>
        <v>#N/A</v>
      </c>
      <c r="J917" t="e">
        <f ca="1">IFERROR(计算区域!AG919,NA())</f>
        <v>#N/A</v>
      </c>
      <c r="L917" t="e">
        <f ca="1">IFERROR(计算区域!L919,NA())</f>
        <v>#N/A</v>
      </c>
      <c r="M917" t="e">
        <f ca="1">IFERROR(计算区域!M919,NA())</f>
        <v>#N/A</v>
      </c>
      <c r="N917" t="e">
        <f ca="1">IFERROR(计算区域!N919,NA())</f>
        <v>#N/A</v>
      </c>
      <c r="O917" t="e">
        <f ca="1">IFERROR(计算区域!O919,NA())</f>
        <v>#N/A</v>
      </c>
      <c r="Q917" t="e">
        <f ca="1">IFERROR(计算区域!R919,NA())</f>
        <v>#N/A</v>
      </c>
      <c r="R917" t="e">
        <f ca="1">IFERROR(计算区域!S919,NA())</f>
        <v>#N/A</v>
      </c>
      <c r="S917" t="e">
        <f ca="1">IFERROR(计算区域!T919,NA())</f>
        <v>#N/A</v>
      </c>
      <c r="T917" t="e">
        <f ca="1">IFERROR(计算区域!U919,NA())</f>
        <v>#N/A</v>
      </c>
      <c r="V917" t="e">
        <f ca="1">IFERROR(计算区域!X919,NA())</f>
        <v>#N/A</v>
      </c>
      <c r="W917" t="e">
        <f ca="1">IFERROR(计算区域!Y919,NA())</f>
        <v>#N/A</v>
      </c>
      <c r="X917" t="e">
        <f ca="1">IFERROR(计算区域!Z919,NA())</f>
        <v>#N/A</v>
      </c>
      <c r="Y917" t="e">
        <f ca="1">IFERROR(计算区域!AA919,NA())</f>
        <v>#N/A</v>
      </c>
    </row>
    <row r="918" spans="1:25" x14ac:dyDescent="0.2">
      <c r="A918" s="28">
        <f>计算区域!E920</f>
        <v>44091</v>
      </c>
      <c r="B918" t="e">
        <f ca="1">IFERROR(计算区域!AJ920,NA())</f>
        <v>#N/A</v>
      </c>
      <c r="C918" t="e">
        <f ca="1">IFERROR(计算区域!AK920,NA())</f>
        <v>#N/A</v>
      </c>
      <c r="D918" t="e">
        <f ca="1">IFERROR(计算区域!AL920,NA())</f>
        <v>#N/A</v>
      </c>
      <c r="E918" t="e">
        <f ca="1">IFERROR(计算区域!AM920,NA())</f>
        <v>#N/A</v>
      </c>
      <c r="G918" t="e">
        <f ca="1">IFERROR(计算区域!AD920,NA())</f>
        <v>#N/A</v>
      </c>
      <c r="H918" t="e">
        <f ca="1">IFERROR(计算区域!AE920,NA())</f>
        <v>#N/A</v>
      </c>
      <c r="I918" t="e">
        <f ca="1">IFERROR(计算区域!AF920,NA())</f>
        <v>#N/A</v>
      </c>
      <c r="J918" t="e">
        <f ca="1">IFERROR(计算区域!AG920,NA())</f>
        <v>#N/A</v>
      </c>
      <c r="L918" t="e">
        <f ca="1">IFERROR(计算区域!L920,NA())</f>
        <v>#N/A</v>
      </c>
      <c r="M918" t="e">
        <f ca="1">IFERROR(计算区域!M920,NA())</f>
        <v>#N/A</v>
      </c>
      <c r="N918" t="e">
        <f ca="1">IFERROR(计算区域!N920,NA())</f>
        <v>#N/A</v>
      </c>
      <c r="O918" t="e">
        <f ca="1">IFERROR(计算区域!O920,NA())</f>
        <v>#N/A</v>
      </c>
      <c r="Q918" t="e">
        <f ca="1">IFERROR(计算区域!R920,NA())</f>
        <v>#N/A</v>
      </c>
      <c r="R918" t="e">
        <f ca="1">IFERROR(计算区域!S920,NA())</f>
        <v>#N/A</v>
      </c>
      <c r="S918" t="e">
        <f ca="1">IFERROR(计算区域!T920,NA())</f>
        <v>#N/A</v>
      </c>
      <c r="T918" t="e">
        <f ca="1">IFERROR(计算区域!U920,NA())</f>
        <v>#N/A</v>
      </c>
      <c r="V918" t="e">
        <f ca="1">IFERROR(计算区域!X920,NA())</f>
        <v>#N/A</v>
      </c>
      <c r="W918" t="e">
        <f ca="1">IFERROR(计算区域!Y920,NA())</f>
        <v>#N/A</v>
      </c>
      <c r="X918" t="e">
        <f ca="1">IFERROR(计算区域!Z920,NA())</f>
        <v>#N/A</v>
      </c>
      <c r="Y918" t="e">
        <f ca="1">IFERROR(计算区域!AA920,NA())</f>
        <v>#N/A</v>
      </c>
    </row>
    <row r="919" spans="1:25" x14ac:dyDescent="0.2">
      <c r="A919" s="28">
        <f>计算区域!E921</f>
        <v>44090</v>
      </c>
      <c r="B919" t="e">
        <f ca="1">IFERROR(计算区域!AJ921,NA())</f>
        <v>#N/A</v>
      </c>
      <c r="C919" t="e">
        <f ca="1">IFERROR(计算区域!AK921,NA())</f>
        <v>#N/A</v>
      </c>
      <c r="D919" t="e">
        <f ca="1">IFERROR(计算区域!AL921,NA())</f>
        <v>#N/A</v>
      </c>
      <c r="E919" t="e">
        <f ca="1">IFERROR(计算区域!AM921,NA())</f>
        <v>#N/A</v>
      </c>
      <c r="G919" t="e">
        <f ca="1">IFERROR(计算区域!AD921,NA())</f>
        <v>#N/A</v>
      </c>
      <c r="H919" t="e">
        <f ca="1">IFERROR(计算区域!AE921,NA())</f>
        <v>#N/A</v>
      </c>
      <c r="I919" t="e">
        <f ca="1">IFERROR(计算区域!AF921,NA())</f>
        <v>#N/A</v>
      </c>
      <c r="J919" t="e">
        <f ca="1">IFERROR(计算区域!AG921,NA())</f>
        <v>#N/A</v>
      </c>
      <c r="L919" t="e">
        <f ca="1">IFERROR(计算区域!L921,NA())</f>
        <v>#N/A</v>
      </c>
      <c r="M919" t="e">
        <f ca="1">IFERROR(计算区域!M921,NA())</f>
        <v>#N/A</v>
      </c>
      <c r="N919" t="e">
        <f ca="1">IFERROR(计算区域!N921,NA())</f>
        <v>#N/A</v>
      </c>
      <c r="O919" t="e">
        <f ca="1">IFERROR(计算区域!O921,NA())</f>
        <v>#N/A</v>
      </c>
      <c r="Q919" t="e">
        <f ca="1">IFERROR(计算区域!R921,NA())</f>
        <v>#N/A</v>
      </c>
      <c r="R919" t="e">
        <f ca="1">IFERROR(计算区域!S921,NA())</f>
        <v>#N/A</v>
      </c>
      <c r="S919" t="e">
        <f ca="1">IFERROR(计算区域!T921,NA())</f>
        <v>#N/A</v>
      </c>
      <c r="T919" t="e">
        <f ca="1">IFERROR(计算区域!U921,NA())</f>
        <v>#N/A</v>
      </c>
      <c r="V919" t="e">
        <f ca="1">IFERROR(计算区域!X921,NA())</f>
        <v>#N/A</v>
      </c>
      <c r="W919" t="e">
        <f ca="1">IFERROR(计算区域!Y921,NA())</f>
        <v>#N/A</v>
      </c>
      <c r="X919" t="e">
        <f ca="1">IFERROR(计算区域!Z921,NA())</f>
        <v>#N/A</v>
      </c>
      <c r="Y919" t="e">
        <f ca="1">IFERROR(计算区域!AA921,NA())</f>
        <v>#N/A</v>
      </c>
    </row>
    <row r="920" spans="1:25" x14ac:dyDescent="0.2">
      <c r="A920" s="28">
        <f>计算区域!E922</f>
        <v>44089</v>
      </c>
      <c r="B920" t="e">
        <f ca="1">IFERROR(计算区域!AJ922,NA())</f>
        <v>#N/A</v>
      </c>
      <c r="C920" t="e">
        <f ca="1">IFERROR(计算区域!AK922,NA())</f>
        <v>#N/A</v>
      </c>
      <c r="D920" t="e">
        <f ca="1">IFERROR(计算区域!AL922,NA())</f>
        <v>#N/A</v>
      </c>
      <c r="E920" t="e">
        <f ca="1">IFERROR(计算区域!AM922,NA())</f>
        <v>#N/A</v>
      </c>
      <c r="G920" t="e">
        <f ca="1">IFERROR(计算区域!AD922,NA())</f>
        <v>#N/A</v>
      </c>
      <c r="H920" t="e">
        <f ca="1">IFERROR(计算区域!AE922,NA())</f>
        <v>#N/A</v>
      </c>
      <c r="I920" t="e">
        <f ca="1">IFERROR(计算区域!AF922,NA())</f>
        <v>#N/A</v>
      </c>
      <c r="J920" t="e">
        <f ca="1">IFERROR(计算区域!AG922,NA())</f>
        <v>#N/A</v>
      </c>
      <c r="L920" t="e">
        <f ca="1">IFERROR(计算区域!L922,NA())</f>
        <v>#N/A</v>
      </c>
      <c r="M920" t="e">
        <f ca="1">IFERROR(计算区域!M922,NA())</f>
        <v>#N/A</v>
      </c>
      <c r="N920" t="e">
        <f ca="1">IFERROR(计算区域!N922,NA())</f>
        <v>#N/A</v>
      </c>
      <c r="O920" t="e">
        <f ca="1">IFERROR(计算区域!O922,NA())</f>
        <v>#N/A</v>
      </c>
      <c r="Q920" t="e">
        <f ca="1">IFERROR(计算区域!R922,NA())</f>
        <v>#N/A</v>
      </c>
      <c r="R920" t="e">
        <f ca="1">IFERROR(计算区域!S922,NA())</f>
        <v>#N/A</v>
      </c>
      <c r="S920" t="e">
        <f ca="1">IFERROR(计算区域!T922,NA())</f>
        <v>#N/A</v>
      </c>
      <c r="T920" t="e">
        <f ca="1">IFERROR(计算区域!U922,NA())</f>
        <v>#N/A</v>
      </c>
      <c r="V920" t="e">
        <f ca="1">IFERROR(计算区域!X922,NA())</f>
        <v>#N/A</v>
      </c>
      <c r="W920" t="e">
        <f ca="1">IFERROR(计算区域!Y922,NA())</f>
        <v>#N/A</v>
      </c>
      <c r="X920" t="e">
        <f ca="1">IFERROR(计算区域!Z922,NA())</f>
        <v>#N/A</v>
      </c>
      <c r="Y920" t="e">
        <f ca="1">IFERROR(计算区域!AA922,NA())</f>
        <v>#N/A</v>
      </c>
    </row>
    <row r="921" spans="1:25" x14ac:dyDescent="0.2">
      <c r="A921" s="28">
        <f>计算区域!E923</f>
        <v>44088</v>
      </c>
      <c r="B921" t="e">
        <f ca="1">IFERROR(计算区域!AJ923,NA())</f>
        <v>#N/A</v>
      </c>
      <c r="C921" t="e">
        <f ca="1">IFERROR(计算区域!AK923,NA())</f>
        <v>#N/A</v>
      </c>
      <c r="D921" t="e">
        <f ca="1">IFERROR(计算区域!AL923,NA())</f>
        <v>#N/A</v>
      </c>
      <c r="E921" t="e">
        <f ca="1">IFERROR(计算区域!AM923,NA())</f>
        <v>#N/A</v>
      </c>
      <c r="G921" t="e">
        <f ca="1">IFERROR(计算区域!AD923,NA())</f>
        <v>#N/A</v>
      </c>
      <c r="H921" t="e">
        <f ca="1">IFERROR(计算区域!AE923,NA())</f>
        <v>#N/A</v>
      </c>
      <c r="I921" t="e">
        <f ca="1">IFERROR(计算区域!AF923,NA())</f>
        <v>#N/A</v>
      </c>
      <c r="J921" t="e">
        <f ca="1">IFERROR(计算区域!AG923,NA())</f>
        <v>#N/A</v>
      </c>
      <c r="L921" t="e">
        <f ca="1">IFERROR(计算区域!L923,NA())</f>
        <v>#N/A</v>
      </c>
      <c r="M921" t="e">
        <f ca="1">IFERROR(计算区域!M923,NA())</f>
        <v>#N/A</v>
      </c>
      <c r="N921" t="e">
        <f ca="1">IFERROR(计算区域!N923,NA())</f>
        <v>#N/A</v>
      </c>
      <c r="O921" t="e">
        <f ca="1">IFERROR(计算区域!O923,NA())</f>
        <v>#N/A</v>
      </c>
      <c r="Q921" t="e">
        <f ca="1">IFERROR(计算区域!R923,NA())</f>
        <v>#N/A</v>
      </c>
      <c r="R921" t="e">
        <f ca="1">IFERROR(计算区域!S923,NA())</f>
        <v>#N/A</v>
      </c>
      <c r="S921" t="e">
        <f ca="1">IFERROR(计算区域!T923,NA())</f>
        <v>#N/A</v>
      </c>
      <c r="T921" t="e">
        <f ca="1">IFERROR(计算区域!U923,NA())</f>
        <v>#N/A</v>
      </c>
      <c r="V921" t="e">
        <f ca="1">IFERROR(计算区域!X923,NA())</f>
        <v>#N/A</v>
      </c>
      <c r="W921" t="e">
        <f ca="1">IFERROR(计算区域!Y923,NA())</f>
        <v>#N/A</v>
      </c>
      <c r="X921" t="e">
        <f ca="1">IFERROR(计算区域!Z923,NA())</f>
        <v>#N/A</v>
      </c>
      <c r="Y921" t="e">
        <f ca="1">IFERROR(计算区域!AA923,NA())</f>
        <v>#N/A</v>
      </c>
    </row>
    <row r="922" spans="1:25" x14ac:dyDescent="0.2">
      <c r="A922" s="28">
        <f>计算区域!E924</f>
        <v>44085</v>
      </c>
      <c r="B922" t="e">
        <f ca="1">IFERROR(计算区域!AJ924,NA())</f>
        <v>#N/A</v>
      </c>
      <c r="C922" t="e">
        <f ca="1">IFERROR(计算区域!AK924,NA())</f>
        <v>#N/A</v>
      </c>
      <c r="D922" t="e">
        <f ca="1">IFERROR(计算区域!AL924,NA())</f>
        <v>#N/A</v>
      </c>
      <c r="E922" t="e">
        <f ca="1">IFERROR(计算区域!AM924,NA())</f>
        <v>#N/A</v>
      </c>
      <c r="G922" t="e">
        <f ca="1">IFERROR(计算区域!AD924,NA())</f>
        <v>#N/A</v>
      </c>
      <c r="H922" t="e">
        <f ca="1">IFERROR(计算区域!AE924,NA())</f>
        <v>#N/A</v>
      </c>
      <c r="I922" t="e">
        <f ca="1">IFERROR(计算区域!AF924,NA())</f>
        <v>#N/A</v>
      </c>
      <c r="J922" t="e">
        <f ca="1">IFERROR(计算区域!AG924,NA())</f>
        <v>#N/A</v>
      </c>
      <c r="L922" t="e">
        <f ca="1">IFERROR(计算区域!L924,NA())</f>
        <v>#N/A</v>
      </c>
      <c r="M922" t="e">
        <f ca="1">IFERROR(计算区域!M924,NA())</f>
        <v>#N/A</v>
      </c>
      <c r="N922" t="e">
        <f ca="1">IFERROR(计算区域!N924,NA())</f>
        <v>#N/A</v>
      </c>
      <c r="O922" t="e">
        <f ca="1">IFERROR(计算区域!O924,NA())</f>
        <v>#N/A</v>
      </c>
      <c r="Q922" t="e">
        <f ca="1">IFERROR(计算区域!R924,NA())</f>
        <v>#N/A</v>
      </c>
      <c r="R922" t="e">
        <f ca="1">IFERROR(计算区域!S924,NA())</f>
        <v>#N/A</v>
      </c>
      <c r="S922" t="e">
        <f ca="1">IFERROR(计算区域!T924,NA())</f>
        <v>#N/A</v>
      </c>
      <c r="T922" t="e">
        <f ca="1">IFERROR(计算区域!U924,NA())</f>
        <v>#N/A</v>
      </c>
      <c r="V922" t="e">
        <f ca="1">IFERROR(计算区域!X924,NA())</f>
        <v>#N/A</v>
      </c>
      <c r="W922" t="e">
        <f ca="1">IFERROR(计算区域!Y924,NA())</f>
        <v>#N/A</v>
      </c>
      <c r="X922" t="e">
        <f ca="1">IFERROR(计算区域!Z924,NA())</f>
        <v>#N/A</v>
      </c>
      <c r="Y922" t="e">
        <f ca="1">IFERROR(计算区域!AA924,NA())</f>
        <v>#N/A</v>
      </c>
    </row>
    <row r="923" spans="1:25" x14ac:dyDescent="0.2">
      <c r="A923" s="28">
        <f>计算区域!E925</f>
        <v>44084</v>
      </c>
      <c r="B923" t="e">
        <f ca="1">IFERROR(计算区域!AJ925,NA())</f>
        <v>#N/A</v>
      </c>
      <c r="C923" t="e">
        <f ca="1">IFERROR(计算区域!AK925,NA())</f>
        <v>#N/A</v>
      </c>
      <c r="D923" t="e">
        <f ca="1">IFERROR(计算区域!AL925,NA())</f>
        <v>#N/A</v>
      </c>
      <c r="E923" t="e">
        <f ca="1">IFERROR(计算区域!AM925,NA())</f>
        <v>#N/A</v>
      </c>
      <c r="G923" t="e">
        <f ca="1">IFERROR(计算区域!AD925,NA())</f>
        <v>#N/A</v>
      </c>
      <c r="H923" t="e">
        <f ca="1">IFERROR(计算区域!AE925,NA())</f>
        <v>#N/A</v>
      </c>
      <c r="I923" t="e">
        <f ca="1">IFERROR(计算区域!AF925,NA())</f>
        <v>#N/A</v>
      </c>
      <c r="J923" t="e">
        <f ca="1">IFERROR(计算区域!AG925,NA())</f>
        <v>#N/A</v>
      </c>
      <c r="L923" t="e">
        <f ca="1">IFERROR(计算区域!L925,NA())</f>
        <v>#N/A</v>
      </c>
      <c r="M923" t="e">
        <f ca="1">IFERROR(计算区域!M925,NA())</f>
        <v>#N/A</v>
      </c>
      <c r="N923" t="e">
        <f ca="1">IFERROR(计算区域!N925,NA())</f>
        <v>#N/A</v>
      </c>
      <c r="O923" t="e">
        <f ca="1">IFERROR(计算区域!O925,NA())</f>
        <v>#N/A</v>
      </c>
      <c r="Q923" t="e">
        <f ca="1">IFERROR(计算区域!R925,NA())</f>
        <v>#N/A</v>
      </c>
      <c r="R923" t="e">
        <f ca="1">IFERROR(计算区域!S925,NA())</f>
        <v>#N/A</v>
      </c>
      <c r="S923" t="e">
        <f ca="1">IFERROR(计算区域!T925,NA())</f>
        <v>#N/A</v>
      </c>
      <c r="T923" t="e">
        <f ca="1">IFERROR(计算区域!U925,NA())</f>
        <v>#N/A</v>
      </c>
      <c r="V923" t="e">
        <f ca="1">IFERROR(计算区域!X925,NA())</f>
        <v>#N/A</v>
      </c>
      <c r="W923" t="e">
        <f ca="1">IFERROR(计算区域!Y925,NA())</f>
        <v>#N/A</v>
      </c>
      <c r="X923" t="e">
        <f ca="1">IFERROR(计算区域!Z925,NA())</f>
        <v>#N/A</v>
      </c>
      <c r="Y923" t="e">
        <f ca="1">IFERROR(计算区域!AA925,NA())</f>
        <v>#N/A</v>
      </c>
    </row>
    <row r="924" spans="1:25" x14ac:dyDescent="0.2">
      <c r="A924" s="28">
        <f>计算区域!E926</f>
        <v>44083</v>
      </c>
      <c r="B924" t="e">
        <f ca="1">IFERROR(计算区域!AJ926,NA())</f>
        <v>#N/A</v>
      </c>
      <c r="C924" t="e">
        <f ca="1">IFERROR(计算区域!AK926,NA())</f>
        <v>#N/A</v>
      </c>
      <c r="D924" t="e">
        <f ca="1">IFERROR(计算区域!AL926,NA())</f>
        <v>#N/A</v>
      </c>
      <c r="E924" t="e">
        <f ca="1">IFERROR(计算区域!AM926,NA())</f>
        <v>#N/A</v>
      </c>
      <c r="G924" t="e">
        <f ca="1">IFERROR(计算区域!AD926,NA())</f>
        <v>#N/A</v>
      </c>
      <c r="H924" t="e">
        <f ca="1">IFERROR(计算区域!AE926,NA())</f>
        <v>#N/A</v>
      </c>
      <c r="I924" t="e">
        <f ca="1">IFERROR(计算区域!AF926,NA())</f>
        <v>#N/A</v>
      </c>
      <c r="J924" t="e">
        <f ca="1">IFERROR(计算区域!AG926,NA())</f>
        <v>#N/A</v>
      </c>
      <c r="L924" t="e">
        <f ca="1">IFERROR(计算区域!L926,NA())</f>
        <v>#N/A</v>
      </c>
      <c r="M924" t="e">
        <f ca="1">IFERROR(计算区域!M926,NA())</f>
        <v>#N/A</v>
      </c>
      <c r="N924" t="e">
        <f ca="1">IFERROR(计算区域!N926,NA())</f>
        <v>#N/A</v>
      </c>
      <c r="O924" t="e">
        <f ca="1">IFERROR(计算区域!O926,NA())</f>
        <v>#N/A</v>
      </c>
      <c r="Q924" t="e">
        <f ca="1">IFERROR(计算区域!R926,NA())</f>
        <v>#N/A</v>
      </c>
      <c r="R924" t="e">
        <f ca="1">IFERROR(计算区域!S926,NA())</f>
        <v>#N/A</v>
      </c>
      <c r="S924" t="e">
        <f ca="1">IFERROR(计算区域!T926,NA())</f>
        <v>#N/A</v>
      </c>
      <c r="T924" t="e">
        <f ca="1">IFERROR(计算区域!U926,NA())</f>
        <v>#N/A</v>
      </c>
      <c r="V924" t="e">
        <f ca="1">IFERROR(计算区域!X926,NA())</f>
        <v>#N/A</v>
      </c>
      <c r="W924" t="e">
        <f ca="1">IFERROR(计算区域!Y926,NA())</f>
        <v>#N/A</v>
      </c>
      <c r="X924" t="e">
        <f ca="1">IFERROR(计算区域!Z926,NA())</f>
        <v>#N/A</v>
      </c>
      <c r="Y924" t="e">
        <f ca="1">IFERROR(计算区域!AA926,NA())</f>
        <v>#N/A</v>
      </c>
    </row>
    <row r="925" spans="1:25" x14ac:dyDescent="0.2">
      <c r="A925" s="28">
        <f>计算区域!E927</f>
        <v>44082</v>
      </c>
      <c r="B925" t="e">
        <f ca="1">IFERROR(计算区域!AJ927,NA())</f>
        <v>#N/A</v>
      </c>
      <c r="C925" t="e">
        <f ca="1">IFERROR(计算区域!AK927,NA())</f>
        <v>#N/A</v>
      </c>
      <c r="D925" t="e">
        <f ca="1">IFERROR(计算区域!AL927,NA())</f>
        <v>#N/A</v>
      </c>
      <c r="E925" t="e">
        <f ca="1">IFERROR(计算区域!AM927,NA())</f>
        <v>#N/A</v>
      </c>
      <c r="G925" t="e">
        <f ca="1">IFERROR(计算区域!AD927,NA())</f>
        <v>#N/A</v>
      </c>
      <c r="H925" t="e">
        <f ca="1">IFERROR(计算区域!AE927,NA())</f>
        <v>#N/A</v>
      </c>
      <c r="I925" t="e">
        <f ca="1">IFERROR(计算区域!AF927,NA())</f>
        <v>#N/A</v>
      </c>
      <c r="J925" t="e">
        <f ca="1">IFERROR(计算区域!AG927,NA())</f>
        <v>#N/A</v>
      </c>
      <c r="L925" t="e">
        <f ca="1">IFERROR(计算区域!L927,NA())</f>
        <v>#N/A</v>
      </c>
      <c r="M925" t="e">
        <f ca="1">IFERROR(计算区域!M927,NA())</f>
        <v>#N/A</v>
      </c>
      <c r="N925" t="e">
        <f ca="1">IFERROR(计算区域!N927,NA())</f>
        <v>#N/A</v>
      </c>
      <c r="O925" t="e">
        <f ca="1">IFERROR(计算区域!O927,NA())</f>
        <v>#N/A</v>
      </c>
      <c r="Q925" t="e">
        <f ca="1">IFERROR(计算区域!R927,NA())</f>
        <v>#N/A</v>
      </c>
      <c r="R925" t="e">
        <f ca="1">IFERROR(计算区域!S927,NA())</f>
        <v>#N/A</v>
      </c>
      <c r="S925" t="e">
        <f ca="1">IFERROR(计算区域!T927,NA())</f>
        <v>#N/A</v>
      </c>
      <c r="T925" t="e">
        <f ca="1">IFERROR(计算区域!U927,NA())</f>
        <v>#N/A</v>
      </c>
      <c r="V925" t="e">
        <f ca="1">IFERROR(计算区域!X927,NA())</f>
        <v>#N/A</v>
      </c>
      <c r="W925" t="e">
        <f ca="1">IFERROR(计算区域!Y927,NA())</f>
        <v>#N/A</v>
      </c>
      <c r="X925" t="e">
        <f ca="1">IFERROR(计算区域!Z927,NA())</f>
        <v>#N/A</v>
      </c>
      <c r="Y925" t="e">
        <f ca="1">IFERROR(计算区域!AA927,NA())</f>
        <v>#N/A</v>
      </c>
    </row>
    <row r="926" spans="1:25" x14ac:dyDescent="0.2">
      <c r="A926" s="28">
        <f>计算区域!E928</f>
        <v>44081</v>
      </c>
      <c r="B926" t="e">
        <f ca="1">IFERROR(计算区域!AJ928,NA())</f>
        <v>#N/A</v>
      </c>
      <c r="C926" t="e">
        <f ca="1">IFERROR(计算区域!AK928,NA())</f>
        <v>#N/A</v>
      </c>
      <c r="D926" t="e">
        <f ca="1">IFERROR(计算区域!AL928,NA())</f>
        <v>#N/A</v>
      </c>
      <c r="E926" t="e">
        <f ca="1">IFERROR(计算区域!AM928,NA())</f>
        <v>#N/A</v>
      </c>
      <c r="G926" t="e">
        <f ca="1">IFERROR(计算区域!AD928,NA())</f>
        <v>#N/A</v>
      </c>
      <c r="H926" t="e">
        <f ca="1">IFERROR(计算区域!AE928,NA())</f>
        <v>#N/A</v>
      </c>
      <c r="I926" t="e">
        <f ca="1">IFERROR(计算区域!AF928,NA())</f>
        <v>#N/A</v>
      </c>
      <c r="J926" t="e">
        <f ca="1">IFERROR(计算区域!AG928,NA())</f>
        <v>#N/A</v>
      </c>
      <c r="L926" t="e">
        <f ca="1">IFERROR(计算区域!L928,NA())</f>
        <v>#N/A</v>
      </c>
      <c r="M926" t="e">
        <f ca="1">IFERROR(计算区域!M928,NA())</f>
        <v>#N/A</v>
      </c>
      <c r="N926" t="e">
        <f ca="1">IFERROR(计算区域!N928,NA())</f>
        <v>#N/A</v>
      </c>
      <c r="O926" t="e">
        <f ca="1">IFERROR(计算区域!O928,NA())</f>
        <v>#N/A</v>
      </c>
      <c r="Q926" t="e">
        <f ca="1">IFERROR(计算区域!R928,NA())</f>
        <v>#N/A</v>
      </c>
      <c r="R926" t="e">
        <f ca="1">IFERROR(计算区域!S928,NA())</f>
        <v>#N/A</v>
      </c>
      <c r="S926" t="e">
        <f ca="1">IFERROR(计算区域!T928,NA())</f>
        <v>#N/A</v>
      </c>
      <c r="T926" t="e">
        <f ca="1">IFERROR(计算区域!U928,NA())</f>
        <v>#N/A</v>
      </c>
      <c r="V926" t="e">
        <f ca="1">IFERROR(计算区域!X928,NA())</f>
        <v>#N/A</v>
      </c>
      <c r="W926" t="e">
        <f ca="1">IFERROR(计算区域!Y928,NA())</f>
        <v>#N/A</v>
      </c>
      <c r="X926" t="e">
        <f ca="1">IFERROR(计算区域!Z928,NA())</f>
        <v>#N/A</v>
      </c>
      <c r="Y926" t="e">
        <f ca="1">IFERROR(计算区域!AA928,NA())</f>
        <v>#N/A</v>
      </c>
    </row>
    <row r="927" spans="1:25" x14ac:dyDescent="0.2">
      <c r="A927" s="28">
        <f>计算区域!E929</f>
        <v>44078</v>
      </c>
      <c r="B927" t="e">
        <f ca="1">IFERROR(计算区域!AJ929,NA())</f>
        <v>#N/A</v>
      </c>
      <c r="C927" t="e">
        <f ca="1">IFERROR(计算区域!AK929,NA())</f>
        <v>#N/A</v>
      </c>
      <c r="D927" t="e">
        <f ca="1">IFERROR(计算区域!AL929,NA())</f>
        <v>#N/A</v>
      </c>
      <c r="E927" t="e">
        <f ca="1">IFERROR(计算区域!AM929,NA())</f>
        <v>#N/A</v>
      </c>
      <c r="G927" t="e">
        <f ca="1">IFERROR(计算区域!AD929,NA())</f>
        <v>#N/A</v>
      </c>
      <c r="H927" t="e">
        <f ca="1">IFERROR(计算区域!AE929,NA())</f>
        <v>#N/A</v>
      </c>
      <c r="I927" t="e">
        <f ca="1">IFERROR(计算区域!AF929,NA())</f>
        <v>#N/A</v>
      </c>
      <c r="J927" t="e">
        <f ca="1">IFERROR(计算区域!AG929,NA())</f>
        <v>#N/A</v>
      </c>
      <c r="L927" t="e">
        <f ca="1">IFERROR(计算区域!L929,NA())</f>
        <v>#N/A</v>
      </c>
      <c r="M927" t="e">
        <f ca="1">IFERROR(计算区域!M929,NA())</f>
        <v>#N/A</v>
      </c>
      <c r="N927" t="e">
        <f ca="1">IFERROR(计算区域!N929,NA())</f>
        <v>#N/A</v>
      </c>
      <c r="O927" t="e">
        <f ca="1">IFERROR(计算区域!O929,NA())</f>
        <v>#N/A</v>
      </c>
      <c r="Q927" t="e">
        <f ca="1">IFERROR(计算区域!R929,NA())</f>
        <v>#N/A</v>
      </c>
      <c r="R927" t="e">
        <f ca="1">IFERROR(计算区域!S929,NA())</f>
        <v>#N/A</v>
      </c>
      <c r="S927" t="e">
        <f ca="1">IFERROR(计算区域!T929,NA())</f>
        <v>#N/A</v>
      </c>
      <c r="T927" t="e">
        <f ca="1">IFERROR(计算区域!U929,NA())</f>
        <v>#N/A</v>
      </c>
      <c r="V927" t="e">
        <f ca="1">IFERROR(计算区域!X929,NA())</f>
        <v>#N/A</v>
      </c>
      <c r="W927" t="e">
        <f ca="1">IFERROR(计算区域!Y929,NA())</f>
        <v>#N/A</v>
      </c>
      <c r="X927" t="e">
        <f ca="1">IFERROR(计算区域!Z929,NA())</f>
        <v>#N/A</v>
      </c>
      <c r="Y927" t="e">
        <f ca="1">IFERROR(计算区域!AA929,NA())</f>
        <v>#N/A</v>
      </c>
    </row>
    <row r="928" spans="1:25" x14ac:dyDescent="0.2">
      <c r="A928" s="28">
        <f>计算区域!E930</f>
        <v>44077</v>
      </c>
      <c r="B928" t="e">
        <f ca="1">IFERROR(计算区域!AJ930,NA())</f>
        <v>#N/A</v>
      </c>
      <c r="C928" t="e">
        <f ca="1">IFERROR(计算区域!AK930,NA())</f>
        <v>#N/A</v>
      </c>
      <c r="D928" t="e">
        <f ca="1">IFERROR(计算区域!AL930,NA())</f>
        <v>#N/A</v>
      </c>
      <c r="E928" t="e">
        <f ca="1">IFERROR(计算区域!AM930,NA())</f>
        <v>#N/A</v>
      </c>
      <c r="G928" t="e">
        <f ca="1">IFERROR(计算区域!AD930,NA())</f>
        <v>#N/A</v>
      </c>
      <c r="H928" t="e">
        <f ca="1">IFERROR(计算区域!AE930,NA())</f>
        <v>#N/A</v>
      </c>
      <c r="I928" t="e">
        <f ca="1">IFERROR(计算区域!AF930,NA())</f>
        <v>#N/A</v>
      </c>
      <c r="J928" t="e">
        <f ca="1">IFERROR(计算区域!AG930,NA())</f>
        <v>#N/A</v>
      </c>
      <c r="L928" t="e">
        <f ca="1">IFERROR(计算区域!L930,NA())</f>
        <v>#N/A</v>
      </c>
      <c r="M928" t="e">
        <f ca="1">IFERROR(计算区域!M930,NA())</f>
        <v>#N/A</v>
      </c>
      <c r="N928" t="e">
        <f ca="1">IFERROR(计算区域!N930,NA())</f>
        <v>#N/A</v>
      </c>
      <c r="O928" t="e">
        <f ca="1">IFERROR(计算区域!O930,NA())</f>
        <v>#N/A</v>
      </c>
      <c r="Q928" t="e">
        <f ca="1">IFERROR(计算区域!R930,NA())</f>
        <v>#N/A</v>
      </c>
      <c r="R928" t="e">
        <f ca="1">IFERROR(计算区域!S930,NA())</f>
        <v>#N/A</v>
      </c>
      <c r="S928" t="e">
        <f ca="1">IFERROR(计算区域!T930,NA())</f>
        <v>#N/A</v>
      </c>
      <c r="T928" t="e">
        <f ca="1">IFERROR(计算区域!U930,NA())</f>
        <v>#N/A</v>
      </c>
      <c r="V928" t="e">
        <f ca="1">IFERROR(计算区域!X930,NA())</f>
        <v>#N/A</v>
      </c>
      <c r="W928" t="e">
        <f ca="1">IFERROR(计算区域!Y930,NA())</f>
        <v>#N/A</v>
      </c>
      <c r="X928" t="e">
        <f ca="1">IFERROR(计算区域!Z930,NA())</f>
        <v>#N/A</v>
      </c>
      <c r="Y928" t="e">
        <f ca="1">IFERROR(计算区域!AA930,NA())</f>
        <v>#N/A</v>
      </c>
    </row>
    <row r="929" spans="1:25" x14ac:dyDescent="0.2">
      <c r="A929" s="28">
        <f>计算区域!E931</f>
        <v>44076</v>
      </c>
      <c r="B929" t="e">
        <f ca="1">IFERROR(计算区域!AJ931,NA())</f>
        <v>#N/A</v>
      </c>
      <c r="C929" t="e">
        <f ca="1">IFERROR(计算区域!AK931,NA())</f>
        <v>#N/A</v>
      </c>
      <c r="D929" t="e">
        <f ca="1">IFERROR(计算区域!AL931,NA())</f>
        <v>#N/A</v>
      </c>
      <c r="E929" t="e">
        <f ca="1">IFERROR(计算区域!AM931,NA())</f>
        <v>#N/A</v>
      </c>
      <c r="G929" t="e">
        <f ca="1">IFERROR(计算区域!AD931,NA())</f>
        <v>#N/A</v>
      </c>
      <c r="H929" t="e">
        <f ca="1">IFERROR(计算区域!AE931,NA())</f>
        <v>#N/A</v>
      </c>
      <c r="I929" t="e">
        <f ca="1">IFERROR(计算区域!AF931,NA())</f>
        <v>#N/A</v>
      </c>
      <c r="J929" t="e">
        <f ca="1">IFERROR(计算区域!AG931,NA())</f>
        <v>#N/A</v>
      </c>
      <c r="L929" t="e">
        <f ca="1">IFERROR(计算区域!L931,NA())</f>
        <v>#N/A</v>
      </c>
      <c r="M929" t="e">
        <f ca="1">IFERROR(计算区域!M931,NA())</f>
        <v>#N/A</v>
      </c>
      <c r="N929" t="e">
        <f ca="1">IFERROR(计算区域!N931,NA())</f>
        <v>#N/A</v>
      </c>
      <c r="O929" t="e">
        <f ca="1">IFERROR(计算区域!O931,NA())</f>
        <v>#N/A</v>
      </c>
      <c r="Q929" t="e">
        <f ca="1">IFERROR(计算区域!R931,NA())</f>
        <v>#N/A</v>
      </c>
      <c r="R929" t="e">
        <f ca="1">IFERROR(计算区域!S931,NA())</f>
        <v>#N/A</v>
      </c>
      <c r="S929" t="e">
        <f ca="1">IFERROR(计算区域!T931,NA())</f>
        <v>#N/A</v>
      </c>
      <c r="T929" t="e">
        <f ca="1">IFERROR(计算区域!U931,NA())</f>
        <v>#N/A</v>
      </c>
      <c r="V929" t="e">
        <f ca="1">IFERROR(计算区域!X931,NA())</f>
        <v>#N/A</v>
      </c>
      <c r="W929" t="e">
        <f ca="1">IFERROR(计算区域!Y931,NA())</f>
        <v>#N/A</v>
      </c>
      <c r="X929" t="e">
        <f ca="1">IFERROR(计算区域!Z931,NA())</f>
        <v>#N/A</v>
      </c>
      <c r="Y929" t="e">
        <f ca="1">IFERROR(计算区域!AA931,NA())</f>
        <v>#N/A</v>
      </c>
    </row>
    <row r="930" spans="1:25" x14ac:dyDescent="0.2">
      <c r="A930" s="28">
        <f>计算区域!E932</f>
        <v>44075</v>
      </c>
      <c r="B930" t="e">
        <f ca="1">IFERROR(计算区域!AJ932,NA())</f>
        <v>#N/A</v>
      </c>
      <c r="C930" t="e">
        <f ca="1">IFERROR(计算区域!AK932,NA())</f>
        <v>#N/A</v>
      </c>
      <c r="D930" t="e">
        <f ca="1">IFERROR(计算区域!AL932,NA())</f>
        <v>#N/A</v>
      </c>
      <c r="E930" t="e">
        <f ca="1">IFERROR(计算区域!AM932,NA())</f>
        <v>#N/A</v>
      </c>
      <c r="G930" t="e">
        <f ca="1">IFERROR(计算区域!AD932,NA())</f>
        <v>#N/A</v>
      </c>
      <c r="H930" t="e">
        <f ca="1">IFERROR(计算区域!AE932,NA())</f>
        <v>#N/A</v>
      </c>
      <c r="I930" t="e">
        <f ca="1">IFERROR(计算区域!AF932,NA())</f>
        <v>#N/A</v>
      </c>
      <c r="J930" t="e">
        <f ca="1">IFERROR(计算区域!AG932,NA())</f>
        <v>#N/A</v>
      </c>
      <c r="L930" t="e">
        <f ca="1">IFERROR(计算区域!L932,NA())</f>
        <v>#N/A</v>
      </c>
      <c r="M930" t="e">
        <f ca="1">IFERROR(计算区域!M932,NA())</f>
        <v>#N/A</v>
      </c>
      <c r="N930" t="e">
        <f ca="1">IFERROR(计算区域!N932,NA())</f>
        <v>#N/A</v>
      </c>
      <c r="O930" t="e">
        <f ca="1">IFERROR(计算区域!O932,NA())</f>
        <v>#N/A</v>
      </c>
      <c r="Q930" t="e">
        <f ca="1">IFERROR(计算区域!R932,NA())</f>
        <v>#N/A</v>
      </c>
      <c r="R930" t="e">
        <f ca="1">IFERROR(计算区域!S932,NA())</f>
        <v>#N/A</v>
      </c>
      <c r="S930" t="e">
        <f ca="1">IFERROR(计算区域!T932,NA())</f>
        <v>#N/A</v>
      </c>
      <c r="T930" t="e">
        <f ca="1">IFERROR(计算区域!U932,NA())</f>
        <v>#N/A</v>
      </c>
      <c r="V930" t="e">
        <f ca="1">IFERROR(计算区域!X932,NA())</f>
        <v>#N/A</v>
      </c>
      <c r="W930" t="e">
        <f ca="1">IFERROR(计算区域!Y932,NA())</f>
        <v>#N/A</v>
      </c>
      <c r="X930" t="e">
        <f ca="1">IFERROR(计算区域!Z932,NA())</f>
        <v>#N/A</v>
      </c>
      <c r="Y930" t="e">
        <f ca="1">IFERROR(计算区域!AA932,NA())</f>
        <v>#N/A</v>
      </c>
    </row>
    <row r="931" spans="1:25" x14ac:dyDescent="0.2">
      <c r="A931" s="28">
        <f>计算区域!E933</f>
        <v>44074</v>
      </c>
      <c r="B931" t="e">
        <f ca="1">IFERROR(计算区域!AJ933,NA())</f>
        <v>#N/A</v>
      </c>
      <c r="C931" t="e">
        <f ca="1">IFERROR(计算区域!AK933,NA())</f>
        <v>#N/A</v>
      </c>
      <c r="D931" t="e">
        <f ca="1">IFERROR(计算区域!AL933,NA())</f>
        <v>#N/A</v>
      </c>
      <c r="E931" t="e">
        <f ca="1">IFERROR(计算区域!AM933,NA())</f>
        <v>#N/A</v>
      </c>
      <c r="G931" t="e">
        <f ca="1">IFERROR(计算区域!AD933,NA())</f>
        <v>#N/A</v>
      </c>
      <c r="H931" t="e">
        <f ca="1">IFERROR(计算区域!AE933,NA())</f>
        <v>#N/A</v>
      </c>
      <c r="I931" t="e">
        <f ca="1">IFERROR(计算区域!AF933,NA())</f>
        <v>#N/A</v>
      </c>
      <c r="J931" t="e">
        <f ca="1">IFERROR(计算区域!AG933,NA())</f>
        <v>#N/A</v>
      </c>
      <c r="L931" t="e">
        <f ca="1">IFERROR(计算区域!L933,NA())</f>
        <v>#N/A</v>
      </c>
      <c r="M931" t="e">
        <f ca="1">IFERROR(计算区域!M933,NA())</f>
        <v>#N/A</v>
      </c>
      <c r="N931" t="e">
        <f ca="1">IFERROR(计算区域!N933,NA())</f>
        <v>#N/A</v>
      </c>
      <c r="O931" t="e">
        <f ca="1">IFERROR(计算区域!O933,NA())</f>
        <v>#N/A</v>
      </c>
      <c r="Q931" t="e">
        <f ca="1">IFERROR(计算区域!R933,NA())</f>
        <v>#N/A</v>
      </c>
      <c r="R931" t="e">
        <f ca="1">IFERROR(计算区域!S933,NA())</f>
        <v>#N/A</v>
      </c>
      <c r="S931" t="e">
        <f ca="1">IFERROR(计算区域!T933,NA())</f>
        <v>#N/A</v>
      </c>
      <c r="T931" t="e">
        <f ca="1">IFERROR(计算区域!U933,NA())</f>
        <v>#N/A</v>
      </c>
      <c r="V931" t="e">
        <f ca="1">IFERROR(计算区域!X933,NA())</f>
        <v>#N/A</v>
      </c>
      <c r="W931" t="e">
        <f ca="1">IFERROR(计算区域!Y933,NA())</f>
        <v>#N/A</v>
      </c>
      <c r="X931" t="e">
        <f ca="1">IFERROR(计算区域!Z933,NA())</f>
        <v>#N/A</v>
      </c>
      <c r="Y931" t="e">
        <f ca="1">IFERROR(计算区域!AA933,NA())</f>
        <v>#N/A</v>
      </c>
    </row>
    <row r="932" spans="1:25" x14ac:dyDescent="0.2">
      <c r="A932" s="28">
        <f>计算区域!E934</f>
        <v>44071</v>
      </c>
      <c r="B932" t="e">
        <f ca="1">IFERROR(计算区域!AJ934,NA())</f>
        <v>#N/A</v>
      </c>
      <c r="C932" t="e">
        <f ca="1">IFERROR(计算区域!AK934,NA())</f>
        <v>#N/A</v>
      </c>
      <c r="D932" t="e">
        <f ca="1">IFERROR(计算区域!AL934,NA())</f>
        <v>#N/A</v>
      </c>
      <c r="E932" t="e">
        <f ca="1">IFERROR(计算区域!AM934,NA())</f>
        <v>#N/A</v>
      </c>
      <c r="G932" t="e">
        <f ca="1">IFERROR(计算区域!AD934,NA())</f>
        <v>#N/A</v>
      </c>
      <c r="H932" t="e">
        <f ca="1">IFERROR(计算区域!AE934,NA())</f>
        <v>#N/A</v>
      </c>
      <c r="I932" t="e">
        <f ca="1">IFERROR(计算区域!AF934,NA())</f>
        <v>#N/A</v>
      </c>
      <c r="J932" t="e">
        <f ca="1">IFERROR(计算区域!AG934,NA())</f>
        <v>#N/A</v>
      </c>
      <c r="L932" t="e">
        <f ca="1">IFERROR(计算区域!L934,NA())</f>
        <v>#N/A</v>
      </c>
      <c r="M932" t="e">
        <f ca="1">IFERROR(计算区域!M934,NA())</f>
        <v>#N/A</v>
      </c>
      <c r="N932" t="e">
        <f ca="1">IFERROR(计算区域!N934,NA())</f>
        <v>#N/A</v>
      </c>
      <c r="O932" t="e">
        <f ca="1">IFERROR(计算区域!O934,NA())</f>
        <v>#N/A</v>
      </c>
      <c r="Q932" t="e">
        <f ca="1">IFERROR(计算区域!R934,NA())</f>
        <v>#N/A</v>
      </c>
      <c r="R932" t="e">
        <f ca="1">IFERROR(计算区域!S934,NA())</f>
        <v>#N/A</v>
      </c>
      <c r="S932" t="e">
        <f ca="1">IFERROR(计算区域!T934,NA())</f>
        <v>#N/A</v>
      </c>
      <c r="T932" t="e">
        <f ca="1">IFERROR(计算区域!U934,NA())</f>
        <v>#N/A</v>
      </c>
      <c r="V932" t="e">
        <f ca="1">IFERROR(计算区域!X934,NA())</f>
        <v>#N/A</v>
      </c>
      <c r="W932" t="e">
        <f ca="1">IFERROR(计算区域!Y934,NA())</f>
        <v>#N/A</v>
      </c>
      <c r="X932" t="e">
        <f ca="1">IFERROR(计算区域!Z934,NA())</f>
        <v>#N/A</v>
      </c>
      <c r="Y932" t="e">
        <f ca="1">IFERROR(计算区域!AA934,NA())</f>
        <v>#N/A</v>
      </c>
    </row>
    <row r="933" spans="1:25" x14ac:dyDescent="0.2">
      <c r="A933" s="28">
        <f>计算区域!E935</f>
        <v>44070</v>
      </c>
      <c r="B933" t="e">
        <f ca="1">IFERROR(计算区域!AJ935,NA())</f>
        <v>#N/A</v>
      </c>
      <c r="C933" t="e">
        <f ca="1">IFERROR(计算区域!AK935,NA())</f>
        <v>#N/A</v>
      </c>
      <c r="D933" t="e">
        <f ca="1">IFERROR(计算区域!AL935,NA())</f>
        <v>#N/A</v>
      </c>
      <c r="E933" t="e">
        <f ca="1">IFERROR(计算区域!AM935,NA())</f>
        <v>#N/A</v>
      </c>
      <c r="G933" t="e">
        <f ca="1">IFERROR(计算区域!AD935,NA())</f>
        <v>#N/A</v>
      </c>
      <c r="H933" t="e">
        <f ca="1">IFERROR(计算区域!AE935,NA())</f>
        <v>#N/A</v>
      </c>
      <c r="I933" t="e">
        <f ca="1">IFERROR(计算区域!AF935,NA())</f>
        <v>#N/A</v>
      </c>
      <c r="J933" t="e">
        <f ca="1">IFERROR(计算区域!AG935,NA())</f>
        <v>#N/A</v>
      </c>
      <c r="L933" t="e">
        <f ca="1">IFERROR(计算区域!L935,NA())</f>
        <v>#N/A</v>
      </c>
      <c r="M933" t="e">
        <f ca="1">IFERROR(计算区域!M935,NA())</f>
        <v>#N/A</v>
      </c>
      <c r="N933" t="e">
        <f ca="1">IFERROR(计算区域!N935,NA())</f>
        <v>#N/A</v>
      </c>
      <c r="O933" t="e">
        <f ca="1">IFERROR(计算区域!O935,NA())</f>
        <v>#N/A</v>
      </c>
      <c r="Q933" t="e">
        <f ca="1">IFERROR(计算区域!R935,NA())</f>
        <v>#N/A</v>
      </c>
      <c r="R933" t="e">
        <f ca="1">IFERROR(计算区域!S935,NA())</f>
        <v>#N/A</v>
      </c>
      <c r="S933" t="e">
        <f ca="1">IFERROR(计算区域!T935,NA())</f>
        <v>#N/A</v>
      </c>
      <c r="T933" t="e">
        <f ca="1">IFERROR(计算区域!U935,NA())</f>
        <v>#N/A</v>
      </c>
      <c r="V933" t="e">
        <f ca="1">IFERROR(计算区域!X935,NA())</f>
        <v>#N/A</v>
      </c>
      <c r="W933" t="e">
        <f ca="1">IFERROR(计算区域!Y935,NA())</f>
        <v>#N/A</v>
      </c>
      <c r="X933" t="e">
        <f ca="1">IFERROR(计算区域!Z935,NA())</f>
        <v>#N/A</v>
      </c>
      <c r="Y933" t="e">
        <f ca="1">IFERROR(计算区域!AA935,NA())</f>
        <v>#N/A</v>
      </c>
    </row>
    <row r="934" spans="1:25" x14ac:dyDescent="0.2">
      <c r="A934" s="28">
        <f>计算区域!E936</f>
        <v>44069</v>
      </c>
      <c r="B934" t="e">
        <f ca="1">IFERROR(计算区域!AJ936,NA())</f>
        <v>#N/A</v>
      </c>
      <c r="C934" t="e">
        <f ca="1">IFERROR(计算区域!AK936,NA())</f>
        <v>#N/A</v>
      </c>
      <c r="D934" t="e">
        <f ca="1">IFERROR(计算区域!AL936,NA())</f>
        <v>#N/A</v>
      </c>
      <c r="E934" t="e">
        <f ca="1">IFERROR(计算区域!AM936,NA())</f>
        <v>#N/A</v>
      </c>
      <c r="G934" t="e">
        <f ca="1">IFERROR(计算区域!AD936,NA())</f>
        <v>#N/A</v>
      </c>
      <c r="H934" t="e">
        <f ca="1">IFERROR(计算区域!AE936,NA())</f>
        <v>#N/A</v>
      </c>
      <c r="I934" t="e">
        <f ca="1">IFERROR(计算区域!AF936,NA())</f>
        <v>#N/A</v>
      </c>
      <c r="J934" t="e">
        <f ca="1">IFERROR(计算区域!AG936,NA())</f>
        <v>#N/A</v>
      </c>
      <c r="L934" t="e">
        <f ca="1">IFERROR(计算区域!L936,NA())</f>
        <v>#N/A</v>
      </c>
      <c r="M934" t="e">
        <f ca="1">IFERROR(计算区域!M936,NA())</f>
        <v>#N/A</v>
      </c>
      <c r="N934" t="e">
        <f ca="1">IFERROR(计算区域!N936,NA())</f>
        <v>#N/A</v>
      </c>
      <c r="O934" t="e">
        <f ca="1">IFERROR(计算区域!O936,NA())</f>
        <v>#N/A</v>
      </c>
      <c r="Q934" t="e">
        <f ca="1">IFERROR(计算区域!R936,NA())</f>
        <v>#N/A</v>
      </c>
      <c r="R934" t="e">
        <f ca="1">IFERROR(计算区域!S936,NA())</f>
        <v>#N/A</v>
      </c>
      <c r="S934" t="e">
        <f ca="1">IFERROR(计算区域!T936,NA())</f>
        <v>#N/A</v>
      </c>
      <c r="T934" t="e">
        <f ca="1">IFERROR(计算区域!U936,NA())</f>
        <v>#N/A</v>
      </c>
      <c r="V934" t="e">
        <f ca="1">IFERROR(计算区域!X936,NA())</f>
        <v>#N/A</v>
      </c>
      <c r="W934" t="e">
        <f ca="1">IFERROR(计算区域!Y936,NA())</f>
        <v>#N/A</v>
      </c>
      <c r="X934" t="e">
        <f ca="1">IFERROR(计算区域!Z936,NA())</f>
        <v>#N/A</v>
      </c>
      <c r="Y934" t="e">
        <f ca="1">IFERROR(计算区域!AA936,NA())</f>
        <v>#N/A</v>
      </c>
    </row>
    <row r="935" spans="1:25" x14ac:dyDescent="0.2">
      <c r="A935" s="28">
        <f>计算区域!E937</f>
        <v>44068</v>
      </c>
      <c r="B935" t="e">
        <f ca="1">IFERROR(计算区域!AJ937,NA())</f>
        <v>#N/A</v>
      </c>
      <c r="C935" t="e">
        <f ca="1">IFERROR(计算区域!AK937,NA())</f>
        <v>#N/A</v>
      </c>
      <c r="D935" t="e">
        <f ca="1">IFERROR(计算区域!AL937,NA())</f>
        <v>#N/A</v>
      </c>
      <c r="E935" t="e">
        <f ca="1">IFERROR(计算区域!AM937,NA())</f>
        <v>#N/A</v>
      </c>
      <c r="G935" t="e">
        <f ca="1">IFERROR(计算区域!AD937,NA())</f>
        <v>#N/A</v>
      </c>
      <c r="H935" t="e">
        <f ca="1">IFERROR(计算区域!AE937,NA())</f>
        <v>#N/A</v>
      </c>
      <c r="I935" t="e">
        <f ca="1">IFERROR(计算区域!AF937,NA())</f>
        <v>#N/A</v>
      </c>
      <c r="J935" t="e">
        <f ca="1">IFERROR(计算区域!AG937,NA())</f>
        <v>#N/A</v>
      </c>
      <c r="L935" t="e">
        <f ca="1">IFERROR(计算区域!L937,NA())</f>
        <v>#N/A</v>
      </c>
      <c r="M935" t="e">
        <f ca="1">IFERROR(计算区域!M937,NA())</f>
        <v>#N/A</v>
      </c>
      <c r="N935" t="e">
        <f ca="1">IFERROR(计算区域!N937,NA())</f>
        <v>#N/A</v>
      </c>
      <c r="O935" t="e">
        <f ca="1">IFERROR(计算区域!O937,NA())</f>
        <v>#N/A</v>
      </c>
      <c r="Q935" t="e">
        <f ca="1">IFERROR(计算区域!R937,NA())</f>
        <v>#N/A</v>
      </c>
      <c r="R935" t="e">
        <f ca="1">IFERROR(计算区域!S937,NA())</f>
        <v>#N/A</v>
      </c>
      <c r="S935" t="e">
        <f ca="1">IFERROR(计算区域!T937,NA())</f>
        <v>#N/A</v>
      </c>
      <c r="T935" t="e">
        <f ca="1">IFERROR(计算区域!U937,NA())</f>
        <v>#N/A</v>
      </c>
      <c r="V935" t="e">
        <f ca="1">IFERROR(计算区域!X937,NA())</f>
        <v>#N/A</v>
      </c>
      <c r="W935" t="e">
        <f ca="1">IFERROR(计算区域!Y937,NA())</f>
        <v>#N/A</v>
      </c>
      <c r="X935" t="e">
        <f ca="1">IFERROR(计算区域!Z937,NA())</f>
        <v>#N/A</v>
      </c>
      <c r="Y935" t="e">
        <f ca="1">IFERROR(计算区域!AA937,NA())</f>
        <v>#N/A</v>
      </c>
    </row>
    <row r="936" spans="1:25" x14ac:dyDescent="0.2">
      <c r="A936" s="28">
        <f>计算区域!E938</f>
        <v>44067</v>
      </c>
      <c r="B936" t="e">
        <f ca="1">IFERROR(计算区域!AJ938,NA())</f>
        <v>#N/A</v>
      </c>
      <c r="C936" t="e">
        <f ca="1">IFERROR(计算区域!AK938,NA())</f>
        <v>#N/A</v>
      </c>
      <c r="D936" t="e">
        <f ca="1">IFERROR(计算区域!AL938,NA())</f>
        <v>#N/A</v>
      </c>
      <c r="E936" t="e">
        <f ca="1">IFERROR(计算区域!AM938,NA())</f>
        <v>#N/A</v>
      </c>
      <c r="G936" t="e">
        <f ca="1">IFERROR(计算区域!AD938,NA())</f>
        <v>#N/A</v>
      </c>
      <c r="H936" t="e">
        <f ca="1">IFERROR(计算区域!AE938,NA())</f>
        <v>#N/A</v>
      </c>
      <c r="I936" t="e">
        <f ca="1">IFERROR(计算区域!AF938,NA())</f>
        <v>#N/A</v>
      </c>
      <c r="J936" t="e">
        <f ca="1">IFERROR(计算区域!AG938,NA())</f>
        <v>#N/A</v>
      </c>
      <c r="L936" t="e">
        <f ca="1">IFERROR(计算区域!L938,NA())</f>
        <v>#N/A</v>
      </c>
      <c r="M936" t="e">
        <f ca="1">IFERROR(计算区域!M938,NA())</f>
        <v>#N/A</v>
      </c>
      <c r="N936" t="e">
        <f ca="1">IFERROR(计算区域!N938,NA())</f>
        <v>#N/A</v>
      </c>
      <c r="O936" t="e">
        <f ca="1">IFERROR(计算区域!O938,NA())</f>
        <v>#N/A</v>
      </c>
      <c r="Q936" t="e">
        <f ca="1">IFERROR(计算区域!R938,NA())</f>
        <v>#N/A</v>
      </c>
      <c r="R936" t="e">
        <f ca="1">IFERROR(计算区域!S938,NA())</f>
        <v>#N/A</v>
      </c>
      <c r="S936" t="e">
        <f ca="1">IFERROR(计算区域!T938,NA())</f>
        <v>#N/A</v>
      </c>
      <c r="T936" t="e">
        <f ca="1">IFERROR(计算区域!U938,NA())</f>
        <v>#N/A</v>
      </c>
      <c r="V936" t="e">
        <f ca="1">IFERROR(计算区域!X938,NA())</f>
        <v>#N/A</v>
      </c>
      <c r="W936" t="e">
        <f ca="1">IFERROR(计算区域!Y938,NA())</f>
        <v>#N/A</v>
      </c>
      <c r="X936" t="e">
        <f ca="1">IFERROR(计算区域!Z938,NA())</f>
        <v>#N/A</v>
      </c>
      <c r="Y936" t="e">
        <f ca="1">IFERROR(计算区域!AA938,NA())</f>
        <v>#N/A</v>
      </c>
    </row>
    <row r="937" spans="1:25" x14ac:dyDescent="0.2">
      <c r="A937" s="28">
        <f>计算区域!E939</f>
        <v>44064</v>
      </c>
      <c r="B937" t="e">
        <f ca="1">IFERROR(计算区域!AJ939,NA())</f>
        <v>#N/A</v>
      </c>
      <c r="C937" t="e">
        <f ca="1">IFERROR(计算区域!AK939,NA())</f>
        <v>#N/A</v>
      </c>
      <c r="D937" t="e">
        <f ca="1">IFERROR(计算区域!AL939,NA())</f>
        <v>#N/A</v>
      </c>
      <c r="E937" t="e">
        <f ca="1">IFERROR(计算区域!AM939,NA())</f>
        <v>#N/A</v>
      </c>
      <c r="G937" t="e">
        <f ca="1">IFERROR(计算区域!AD939,NA())</f>
        <v>#N/A</v>
      </c>
      <c r="H937" t="e">
        <f ca="1">IFERROR(计算区域!AE939,NA())</f>
        <v>#N/A</v>
      </c>
      <c r="I937" t="e">
        <f ca="1">IFERROR(计算区域!AF939,NA())</f>
        <v>#N/A</v>
      </c>
      <c r="J937" t="e">
        <f ca="1">IFERROR(计算区域!AG939,NA())</f>
        <v>#N/A</v>
      </c>
      <c r="L937" t="e">
        <f ca="1">IFERROR(计算区域!L939,NA())</f>
        <v>#N/A</v>
      </c>
      <c r="M937" t="e">
        <f ca="1">IFERROR(计算区域!M939,NA())</f>
        <v>#N/A</v>
      </c>
      <c r="N937" t="e">
        <f ca="1">IFERROR(计算区域!N939,NA())</f>
        <v>#N/A</v>
      </c>
      <c r="O937" t="e">
        <f ca="1">IFERROR(计算区域!O939,NA())</f>
        <v>#N/A</v>
      </c>
      <c r="Q937" t="e">
        <f ca="1">IFERROR(计算区域!R939,NA())</f>
        <v>#N/A</v>
      </c>
      <c r="R937" t="e">
        <f ca="1">IFERROR(计算区域!S939,NA())</f>
        <v>#N/A</v>
      </c>
      <c r="S937" t="e">
        <f ca="1">IFERROR(计算区域!T939,NA())</f>
        <v>#N/A</v>
      </c>
      <c r="T937" t="e">
        <f ca="1">IFERROR(计算区域!U939,NA())</f>
        <v>#N/A</v>
      </c>
      <c r="V937" t="e">
        <f ca="1">IFERROR(计算区域!X939,NA())</f>
        <v>#N/A</v>
      </c>
      <c r="W937" t="e">
        <f ca="1">IFERROR(计算区域!Y939,NA())</f>
        <v>#N/A</v>
      </c>
      <c r="X937" t="e">
        <f ca="1">IFERROR(计算区域!Z939,NA())</f>
        <v>#N/A</v>
      </c>
      <c r="Y937" t="e">
        <f ca="1">IFERROR(计算区域!AA939,NA())</f>
        <v>#N/A</v>
      </c>
    </row>
    <row r="938" spans="1:25" x14ac:dyDescent="0.2">
      <c r="A938" s="28">
        <f>计算区域!E940</f>
        <v>44063</v>
      </c>
      <c r="B938" t="e">
        <f ca="1">IFERROR(计算区域!AJ940,NA())</f>
        <v>#N/A</v>
      </c>
      <c r="C938" t="e">
        <f ca="1">IFERROR(计算区域!AK940,NA())</f>
        <v>#N/A</v>
      </c>
      <c r="D938" t="e">
        <f ca="1">IFERROR(计算区域!AL940,NA())</f>
        <v>#N/A</v>
      </c>
      <c r="E938" t="e">
        <f ca="1">IFERROR(计算区域!AM940,NA())</f>
        <v>#N/A</v>
      </c>
      <c r="G938" t="e">
        <f ca="1">IFERROR(计算区域!AD940,NA())</f>
        <v>#N/A</v>
      </c>
      <c r="H938" t="e">
        <f ca="1">IFERROR(计算区域!AE940,NA())</f>
        <v>#N/A</v>
      </c>
      <c r="I938" t="e">
        <f ca="1">IFERROR(计算区域!AF940,NA())</f>
        <v>#N/A</v>
      </c>
      <c r="J938" t="e">
        <f ca="1">IFERROR(计算区域!AG940,NA())</f>
        <v>#N/A</v>
      </c>
      <c r="L938" t="e">
        <f ca="1">IFERROR(计算区域!L940,NA())</f>
        <v>#N/A</v>
      </c>
      <c r="M938" t="e">
        <f ca="1">IFERROR(计算区域!M940,NA())</f>
        <v>#N/A</v>
      </c>
      <c r="N938" t="e">
        <f ca="1">IFERROR(计算区域!N940,NA())</f>
        <v>#N/A</v>
      </c>
      <c r="O938" t="e">
        <f ca="1">IFERROR(计算区域!O940,NA())</f>
        <v>#N/A</v>
      </c>
      <c r="Q938" t="e">
        <f ca="1">IFERROR(计算区域!R940,NA())</f>
        <v>#N/A</v>
      </c>
      <c r="R938" t="e">
        <f ca="1">IFERROR(计算区域!S940,NA())</f>
        <v>#N/A</v>
      </c>
      <c r="S938" t="e">
        <f ca="1">IFERROR(计算区域!T940,NA())</f>
        <v>#N/A</v>
      </c>
      <c r="T938" t="e">
        <f ca="1">IFERROR(计算区域!U940,NA())</f>
        <v>#N/A</v>
      </c>
      <c r="V938" t="e">
        <f ca="1">IFERROR(计算区域!X940,NA())</f>
        <v>#N/A</v>
      </c>
      <c r="W938" t="e">
        <f ca="1">IFERROR(计算区域!Y940,NA())</f>
        <v>#N/A</v>
      </c>
      <c r="X938" t="e">
        <f ca="1">IFERROR(计算区域!Z940,NA())</f>
        <v>#N/A</v>
      </c>
      <c r="Y938" t="e">
        <f ca="1">IFERROR(计算区域!AA940,NA())</f>
        <v>#N/A</v>
      </c>
    </row>
    <row r="939" spans="1:25" x14ac:dyDescent="0.2">
      <c r="A939" s="28">
        <f>计算区域!E941</f>
        <v>44062</v>
      </c>
      <c r="B939" t="e">
        <f ca="1">IFERROR(计算区域!AJ941,NA())</f>
        <v>#N/A</v>
      </c>
      <c r="C939" t="e">
        <f ca="1">IFERROR(计算区域!AK941,NA())</f>
        <v>#N/A</v>
      </c>
      <c r="D939" t="e">
        <f ca="1">IFERROR(计算区域!AL941,NA())</f>
        <v>#N/A</v>
      </c>
      <c r="E939" t="e">
        <f ca="1">IFERROR(计算区域!AM941,NA())</f>
        <v>#N/A</v>
      </c>
      <c r="G939" t="e">
        <f ca="1">IFERROR(计算区域!AD941,NA())</f>
        <v>#N/A</v>
      </c>
      <c r="H939" t="e">
        <f ca="1">IFERROR(计算区域!AE941,NA())</f>
        <v>#N/A</v>
      </c>
      <c r="I939" t="e">
        <f ca="1">IFERROR(计算区域!AF941,NA())</f>
        <v>#N/A</v>
      </c>
      <c r="J939" t="e">
        <f ca="1">IFERROR(计算区域!AG941,NA())</f>
        <v>#N/A</v>
      </c>
      <c r="L939" t="e">
        <f ca="1">IFERROR(计算区域!L941,NA())</f>
        <v>#N/A</v>
      </c>
      <c r="M939" t="e">
        <f ca="1">IFERROR(计算区域!M941,NA())</f>
        <v>#N/A</v>
      </c>
      <c r="N939" t="e">
        <f ca="1">IFERROR(计算区域!N941,NA())</f>
        <v>#N/A</v>
      </c>
      <c r="O939" t="e">
        <f ca="1">IFERROR(计算区域!O941,NA())</f>
        <v>#N/A</v>
      </c>
      <c r="Q939" t="e">
        <f ca="1">IFERROR(计算区域!R941,NA())</f>
        <v>#N/A</v>
      </c>
      <c r="R939" t="e">
        <f ca="1">IFERROR(计算区域!S941,NA())</f>
        <v>#N/A</v>
      </c>
      <c r="S939" t="e">
        <f ca="1">IFERROR(计算区域!T941,NA())</f>
        <v>#N/A</v>
      </c>
      <c r="T939" t="e">
        <f ca="1">IFERROR(计算区域!U941,NA())</f>
        <v>#N/A</v>
      </c>
      <c r="V939" t="e">
        <f ca="1">IFERROR(计算区域!X941,NA())</f>
        <v>#N/A</v>
      </c>
      <c r="W939" t="e">
        <f ca="1">IFERROR(计算区域!Y941,NA())</f>
        <v>#N/A</v>
      </c>
      <c r="X939" t="e">
        <f ca="1">IFERROR(计算区域!Z941,NA())</f>
        <v>#N/A</v>
      </c>
      <c r="Y939" t="e">
        <f ca="1">IFERROR(计算区域!AA941,NA())</f>
        <v>#N/A</v>
      </c>
    </row>
    <row r="940" spans="1:25" x14ac:dyDescent="0.2">
      <c r="A940" s="28">
        <f>计算区域!E942</f>
        <v>44061</v>
      </c>
      <c r="B940" t="e">
        <f ca="1">IFERROR(计算区域!AJ942,NA())</f>
        <v>#N/A</v>
      </c>
      <c r="C940" t="e">
        <f ca="1">IFERROR(计算区域!AK942,NA())</f>
        <v>#N/A</v>
      </c>
      <c r="D940" t="e">
        <f ca="1">IFERROR(计算区域!AL942,NA())</f>
        <v>#N/A</v>
      </c>
      <c r="E940" t="e">
        <f ca="1">IFERROR(计算区域!AM942,NA())</f>
        <v>#N/A</v>
      </c>
      <c r="G940" t="e">
        <f ca="1">IFERROR(计算区域!AD942,NA())</f>
        <v>#N/A</v>
      </c>
      <c r="H940" t="e">
        <f ca="1">IFERROR(计算区域!AE942,NA())</f>
        <v>#N/A</v>
      </c>
      <c r="I940" t="e">
        <f ca="1">IFERROR(计算区域!AF942,NA())</f>
        <v>#N/A</v>
      </c>
      <c r="J940" t="e">
        <f ca="1">IFERROR(计算区域!AG942,NA())</f>
        <v>#N/A</v>
      </c>
      <c r="L940" t="e">
        <f ca="1">IFERROR(计算区域!L942,NA())</f>
        <v>#N/A</v>
      </c>
      <c r="M940" t="e">
        <f ca="1">IFERROR(计算区域!M942,NA())</f>
        <v>#N/A</v>
      </c>
      <c r="N940" t="e">
        <f ca="1">IFERROR(计算区域!N942,NA())</f>
        <v>#N/A</v>
      </c>
      <c r="O940" t="e">
        <f ca="1">IFERROR(计算区域!O942,NA())</f>
        <v>#N/A</v>
      </c>
      <c r="Q940" t="e">
        <f ca="1">IFERROR(计算区域!R942,NA())</f>
        <v>#N/A</v>
      </c>
      <c r="R940" t="e">
        <f ca="1">IFERROR(计算区域!S942,NA())</f>
        <v>#N/A</v>
      </c>
      <c r="S940" t="e">
        <f ca="1">IFERROR(计算区域!T942,NA())</f>
        <v>#N/A</v>
      </c>
      <c r="T940" t="e">
        <f ca="1">IFERROR(计算区域!U942,NA())</f>
        <v>#N/A</v>
      </c>
      <c r="V940" t="e">
        <f ca="1">IFERROR(计算区域!X942,NA())</f>
        <v>#N/A</v>
      </c>
      <c r="W940" t="e">
        <f ca="1">IFERROR(计算区域!Y942,NA())</f>
        <v>#N/A</v>
      </c>
      <c r="X940" t="e">
        <f ca="1">IFERROR(计算区域!Z942,NA())</f>
        <v>#N/A</v>
      </c>
      <c r="Y940" t="e">
        <f ca="1">IFERROR(计算区域!AA942,NA())</f>
        <v>#N/A</v>
      </c>
    </row>
    <row r="941" spans="1:25" x14ac:dyDescent="0.2">
      <c r="A941" s="28">
        <f>计算区域!E943</f>
        <v>44060</v>
      </c>
      <c r="B941" t="e">
        <f ca="1">IFERROR(计算区域!AJ943,NA())</f>
        <v>#N/A</v>
      </c>
      <c r="C941" t="e">
        <f ca="1">IFERROR(计算区域!AK943,NA())</f>
        <v>#N/A</v>
      </c>
      <c r="D941" t="e">
        <f ca="1">IFERROR(计算区域!AL943,NA())</f>
        <v>#N/A</v>
      </c>
      <c r="E941" t="e">
        <f ca="1">IFERROR(计算区域!AM943,NA())</f>
        <v>#N/A</v>
      </c>
      <c r="G941" t="e">
        <f ca="1">IFERROR(计算区域!AD943,NA())</f>
        <v>#N/A</v>
      </c>
      <c r="H941" t="e">
        <f ca="1">IFERROR(计算区域!AE943,NA())</f>
        <v>#N/A</v>
      </c>
      <c r="I941" t="e">
        <f ca="1">IFERROR(计算区域!AF943,NA())</f>
        <v>#N/A</v>
      </c>
      <c r="J941" t="e">
        <f ca="1">IFERROR(计算区域!AG943,NA())</f>
        <v>#N/A</v>
      </c>
      <c r="L941" t="e">
        <f ca="1">IFERROR(计算区域!L943,NA())</f>
        <v>#N/A</v>
      </c>
      <c r="M941" t="e">
        <f ca="1">IFERROR(计算区域!M943,NA())</f>
        <v>#N/A</v>
      </c>
      <c r="N941" t="e">
        <f ca="1">IFERROR(计算区域!N943,NA())</f>
        <v>#N/A</v>
      </c>
      <c r="O941" t="e">
        <f ca="1">IFERROR(计算区域!O943,NA())</f>
        <v>#N/A</v>
      </c>
      <c r="Q941" t="e">
        <f ca="1">IFERROR(计算区域!R943,NA())</f>
        <v>#N/A</v>
      </c>
      <c r="R941" t="e">
        <f ca="1">IFERROR(计算区域!S943,NA())</f>
        <v>#N/A</v>
      </c>
      <c r="S941" t="e">
        <f ca="1">IFERROR(计算区域!T943,NA())</f>
        <v>#N/A</v>
      </c>
      <c r="T941" t="e">
        <f ca="1">IFERROR(计算区域!U943,NA())</f>
        <v>#N/A</v>
      </c>
      <c r="V941" t="e">
        <f ca="1">IFERROR(计算区域!X943,NA())</f>
        <v>#N/A</v>
      </c>
      <c r="W941" t="e">
        <f ca="1">IFERROR(计算区域!Y943,NA())</f>
        <v>#N/A</v>
      </c>
      <c r="X941" t="e">
        <f ca="1">IFERROR(计算区域!Z943,NA())</f>
        <v>#N/A</v>
      </c>
      <c r="Y941" t="e">
        <f ca="1">IFERROR(计算区域!AA943,NA())</f>
        <v>#N/A</v>
      </c>
    </row>
    <row r="942" spans="1:25" x14ac:dyDescent="0.2">
      <c r="A942" s="28">
        <f>计算区域!E944</f>
        <v>44057</v>
      </c>
      <c r="B942" t="e">
        <f ca="1">IFERROR(计算区域!AJ944,NA())</f>
        <v>#N/A</v>
      </c>
      <c r="C942" t="e">
        <f ca="1">IFERROR(计算区域!AK944,NA())</f>
        <v>#N/A</v>
      </c>
      <c r="D942" t="e">
        <f ca="1">IFERROR(计算区域!AL944,NA())</f>
        <v>#N/A</v>
      </c>
      <c r="E942" t="e">
        <f ca="1">IFERROR(计算区域!AM944,NA())</f>
        <v>#N/A</v>
      </c>
      <c r="G942" t="e">
        <f ca="1">IFERROR(计算区域!AD944,NA())</f>
        <v>#N/A</v>
      </c>
      <c r="H942" t="e">
        <f ca="1">IFERROR(计算区域!AE944,NA())</f>
        <v>#N/A</v>
      </c>
      <c r="I942" t="e">
        <f ca="1">IFERROR(计算区域!AF944,NA())</f>
        <v>#N/A</v>
      </c>
      <c r="J942" t="e">
        <f ca="1">IFERROR(计算区域!AG944,NA())</f>
        <v>#N/A</v>
      </c>
      <c r="L942" t="e">
        <f ca="1">IFERROR(计算区域!L944,NA())</f>
        <v>#N/A</v>
      </c>
      <c r="M942" t="e">
        <f ca="1">IFERROR(计算区域!M944,NA())</f>
        <v>#N/A</v>
      </c>
      <c r="N942" t="e">
        <f ca="1">IFERROR(计算区域!N944,NA())</f>
        <v>#N/A</v>
      </c>
      <c r="O942" t="e">
        <f ca="1">IFERROR(计算区域!O944,NA())</f>
        <v>#N/A</v>
      </c>
      <c r="Q942" t="e">
        <f ca="1">IFERROR(计算区域!R944,NA())</f>
        <v>#N/A</v>
      </c>
      <c r="R942" t="e">
        <f ca="1">IFERROR(计算区域!S944,NA())</f>
        <v>#N/A</v>
      </c>
      <c r="S942" t="e">
        <f ca="1">IFERROR(计算区域!T944,NA())</f>
        <v>#N/A</v>
      </c>
      <c r="T942" t="e">
        <f ca="1">IFERROR(计算区域!U944,NA())</f>
        <v>#N/A</v>
      </c>
      <c r="V942" t="e">
        <f ca="1">IFERROR(计算区域!X944,NA())</f>
        <v>#N/A</v>
      </c>
      <c r="W942" t="e">
        <f ca="1">IFERROR(计算区域!Y944,NA())</f>
        <v>#N/A</v>
      </c>
      <c r="X942" t="e">
        <f ca="1">IFERROR(计算区域!Z944,NA())</f>
        <v>#N/A</v>
      </c>
      <c r="Y942" t="e">
        <f ca="1">IFERROR(计算区域!AA944,NA())</f>
        <v>#N/A</v>
      </c>
    </row>
    <row r="943" spans="1:25" x14ac:dyDescent="0.2">
      <c r="A943" s="28">
        <f>计算区域!E945</f>
        <v>44056</v>
      </c>
      <c r="B943" t="e">
        <f ca="1">IFERROR(计算区域!AJ945,NA())</f>
        <v>#N/A</v>
      </c>
      <c r="C943" t="e">
        <f ca="1">IFERROR(计算区域!AK945,NA())</f>
        <v>#N/A</v>
      </c>
      <c r="D943" t="e">
        <f ca="1">IFERROR(计算区域!AL945,NA())</f>
        <v>#N/A</v>
      </c>
      <c r="E943" t="e">
        <f ca="1">IFERROR(计算区域!AM945,NA())</f>
        <v>#N/A</v>
      </c>
      <c r="G943" t="e">
        <f ca="1">IFERROR(计算区域!AD945,NA())</f>
        <v>#N/A</v>
      </c>
      <c r="H943" t="e">
        <f ca="1">IFERROR(计算区域!AE945,NA())</f>
        <v>#N/A</v>
      </c>
      <c r="I943" t="e">
        <f ca="1">IFERROR(计算区域!AF945,NA())</f>
        <v>#N/A</v>
      </c>
      <c r="J943" t="e">
        <f ca="1">IFERROR(计算区域!AG945,NA())</f>
        <v>#N/A</v>
      </c>
      <c r="L943" t="e">
        <f ca="1">IFERROR(计算区域!L945,NA())</f>
        <v>#N/A</v>
      </c>
      <c r="M943" t="e">
        <f ca="1">IFERROR(计算区域!M945,NA())</f>
        <v>#N/A</v>
      </c>
      <c r="N943" t="e">
        <f ca="1">IFERROR(计算区域!N945,NA())</f>
        <v>#N/A</v>
      </c>
      <c r="O943" t="e">
        <f ca="1">IFERROR(计算区域!O945,NA())</f>
        <v>#N/A</v>
      </c>
      <c r="Q943" t="e">
        <f ca="1">IFERROR(计算区域!R945,NA())</f>
        <v>#N/A</v>
      </c>
      <c r="R943" t="e">
        <f ca="1">IFERROR(计算区域!S945,NA())</f>
        <v>#N/A</v>
      </c>
      <c r="S943" t="e">
        <f ca="1">IFERROR(计算区域!T945,NA())</f>
        <v>#N/A</v>
      </c>
      <c r="T943" t="e">
        <f ca="1">IFERROR(计算区域!U945,NA())</f>
        <v>#N/A</v>
      </c>
      <c r="V943" t="e">
        <f ca="1">IFERROR(计算区域!X945,NA())</f>
        <v>#N/A</v>
      </c>
      <c r="W943" t="e">
        <f ca="1">IFERROR(计算区域!Y945,NA())</f>
        <v>#N/A</v>
      </c>
      <c r="X943" t="e">
        <f ca="1">IFERROR(计算区域!Z945,NA())</f>
        <v>#N/A</v>
      </c>
      <c r="Y943" t="e">
        <f ca="1">IFERROR(计算区域!AA945,NA())</f>
        <v>#N/A</v>
      </c>
    </row>
    <row r="944" spans="1:25" x14ac:dyDescent="0.2">
      <c r="A944" s="28">
        <f>计算区域!E946</f>
        <v>44055</v>
      </c>
      <c r="B944" t="e">
        <f ca="1">IFERROR(计算区域!AJ946,NA())</f>
        <v>#N/A</v>
      </c>
      <c r="C944" t="e">
        <f ca="1">IFERROR(计算区域!AK946,NA())</f>
        <v>#N/A</v>
      </c>
      <c r="D944" t="e">
        <f ca="1">IFERROR(计算区域!AL946,NA())</f>
        <v>#N/A</v>
      </c>
      <c r="E944" t="e">
        <f ca="1">IFERROR(计算区域!AM946,NA())</f>
        <v>#N/A</v>
      </c>
      <c r="G944" t="e">
        <f ca="1">IFERROR(计算区域!AD946,NA())</f>
        <v>#N/A</v>
      </c>
      <c r="H944" t="e">
        <f ca="1">IFERROR(计算区域!AE946,NA())</f>
        <v>#N/A</v>
      </c>
      <c r="I944" t="e">
        <f ca="1">IFERROR(计算区域!AF946,NA())</f>
        <v>#N/A</v>
      </c>
      <c r="J944" t="e">
        <f ca="1">IFERROR(计算区域!AG946,NA())</f>
        <v>#N/A</v>
      </c>
      <c r="L944" t="e">
        <f ca="1">IFERROR(计算区域!L946,NA())</f>
        <v>#N/A</v>
      </c>
      <c r="M944" t="e">
        <f ca="1">IFERROR(计算区域!M946,NA())</f>
        <v>#N/A</v>
      </c>
      <c r="N944" t="e">
        <f ca="1">IFERROR(计算区域!N946,NA())</f>
        <v>#N/A</v>
      </c>
      <c r="O944" t="e">
        <f ca="1">IFERROR(计算区域!O946,NA())</f>
        <v>#N/A</v>
      </c>
      <c r="Q944" t="e">
        <f ca="1">IFERROR(计算区域!R946,NA())</f>
        <v>#N/A</v>
      </c>
      <c r="R944" t="e">
        <f ca="1">IFERROR(计算区域!S946,NA())</f>
        <v>#N/A</v>
      </c>
      <c r="S944" t="e">
        <f ca="1">IFERROR(计算区域!T946,NA())</f>
        <v>#N/A</v>
      </c>
      <c r="T944" t="e">
        <f ca="1">IFERROR(计算区域!U946,NA())</f>
        <v>#N/A</v>
      </c>
      <c r="V944" t="e">
        <f ca="1">IFERROR(计算区域!X946,NA())</f>
        <v>#N/A</v>
      </c>
      <c r="W944" t="e">
        <f ca="1">IFERROR(计算区域!Y946,NA())</f>
        <v>#N/A</v>
      </c>
      <c r="X944" t="e">
        <f ca="1">IFERROR(计算区域!Z946,NA())</f>
        <v>#N/A</v>
      </c>
      <c r="Y944" t="e">
        <f ca="1">IFERROR(计算区域!AA946,NA())</f>
        <v>#N/A</v>
      </c>
    </row>
    <row r="945" spans="1:25" x14ac:dyDescent="0.2">
      <c r="A945" s="28">
        <f>计算区域!E947</f>
        <v>44054</v>
      </c>
      <c r="B945" t="e">
        <f ca="1">IFERROR(计算区域!AJ947,NA())</f>
        <v>#N/A</v>
      </c>
      <c r="C945" t="e">
        <f ca="1">IFERROR(计算区域!AK947,NA())</f>
        <v>#N/A</v>
      </c>
      <c r="D945" t="e">
        <f ca="1">IFERROR(计算区域!AL947,NA())</f>
        <v>#N/A</v>
      </c>
      <c r="E945" t="e">
        <f ca="1">IFERROR(计算区域!AM947,NA())</f>
        <v>#N/A</v>
      </c>
      <c r="G945" t="e">
        <f ca="1">IFERROR(计算区域!AD947,NA())</f>
        <v>#N/A</v>
      </c>
      <c r="H945" t="e">
        <f ca="1">IFERROR(计算区域!AE947,NA())</f>
        <v>#N/A</v>
      </c>
      <c r="I945" t="e">
        <f ca="1">IFERROR(计算区域!AF947,NA())</f>
        <v>#N/A</v>
      </c>
      <c r="J945" t="e">
        <f ca="1">IFERROR(计算区域!AG947,NA())</f>
        <v>#N/A</v>
      </c>
      <c r="L945" t="e">
        <f ca="1">IFERROR(计算区域!L947,NA())</f>
        <v>#N/A</v>
      </c>
      <c r="M945" t="e">
        <f ca="1">IFERROR(计算区域!M947,NA())</f>
        <v>#N/A</v>
      </c>
      <c r="N945" t="e">
        <f ca="1">IFERROR(计算区域!N947,NA())</f>
        <v>#N/A</v>
      </c>
      <c r="O945" t="e">
        <f ca="1">IFERROR(计算区域!O947,NA())</f>
        <v>#N/A</v>
      </c>
      <c r="Q945" t="e">
        <f ca="1">IFERROR(计算区域!R947,NA())</f>
        <v>#N/A</v>
      </c>
      <c r="R945" t="e">
        <f ca="1">IFERROR(计算区域!S947,NA())</f>
        <v>#N/A</v>
      </c>
      <c r="S945" t="e">
        <f ca="1">IFERROR(计算区域!T947,NA())</f>
        <v>#N/A</v>
      </c>
      <c r="T945" t="e">
        <f ca="1">IFERROR(计算区域!U947,NA())</f>
        <v>#N/A</v>
      </c>
      <c r="V945" t="e">
        <f ca="1">IFERROR(计算区域!X947,NA())</f>
        <v>#N/A</v>
      </c>
      <c r="W945" t="e">
        <f ca="1">IFERROR(计算区域!Y947,NA())</f>
        <v>#N/A</v>
      </c>
      <c r="X945" t="e">
        <f ca="1">IFERROR(计算区域!Z947,NA())</f>
        <v>#N/A</v>
      </c>
      <c r="Y945" t="e">
        <f ca="1">IFERROR(计算区域!AA947,NA())</f>
        <v>#N/A</v>
      </c>
    </row>
    <row r="946" spans="1:25" x14ac:dyDescent="0.2">
      <c r="A946" s="28">
        <f>计算区域!E948</f>
        <v>44053</v>
      </c>
      <c r="B946" t="e">
        <f ca="1">IFERROR(计算区域!AJ948,NA())</f>
        <v>#N/A</v>
      </c>
      <c r="C946" t="e">
        <f ca="1">IFERROR(计算区域!AK948,NA())</f>
        <v>#N/A</v>
      </c>
      <c r="D946" t="e">
        <f ca="1">IFERROR(计算区域!AL948,NA())</f>
        <v>#N/A</v>
      </c>
      <c r="E946" t="e">
        <f ca="1">IFERROR(计算区域!AM948,NA())</f>
        <v>#N/A</v>
      </c>
      <c r="G946" t="e">
        <f ca="1">IFERROR(计算区域!AD948,NA())</f>
        <v>#N/A</v>
      </c>
      <c r="H946" t="e">
        <f ca="1">IFERROR(计算区域!AE948,NA())</f>
        <v>#N/A</v>
      </c>
      <c r="I946" t="e">
        <f ca="1">IFERROR(计算区域!AF948,NA())</f>
        <v>#N/A</v>
      </c>
      <c r="J946" t="e">
        <f ca="1">IFERROR(计算区域!AG948,NA())</f>
        <v>#N/A</v>
      </c>
      <c r="L946" t="e">
        <f ca="1">IFERROR(计算区域!L948,NA())</f>
        <v>#N/A</v>
      </c>
      <c r="M946" t="e">
        <f ca="1">IFERROR(计算区域!M948,NA())</f>
        <v>#N/A</v>
      </c>
      <c r="N946" t="e">
        <f ca="1">IFERROR(计算区域!N948,NA())</f>
        <v>#N/A</v>
      </c>
      <c r="O946" t="e">
        <f ca="1">IFERROR(计算区域!O948,NA())</f>
        <v>#N/A</v>
      </c>
      <c r="Q946" t="e">
        <f ca="1">IFERROR(计算区域!R948,NA())</f>
        <v>#N/A</v>
      </c>
      <c r="R946" t="e">
        <f ca="1">IFERROR(计算区域!S948,NA())</f>
        <v>#N/A</v>
      </c>
      <c r="S946" t="e">
        <f ca="1">IFERROR(计算区域!T948,NA())</f>
        <v>#N/A</v>
      </c>
      <c r="T946" t="e">
        <f ca="1">IFERROR(计算区域!U948,NA())</f>
        <v>#N/A</v>
      </c>
      <c r="V946" t="e">
        <f ca="1">IFERROR(计算区域!X948,NA())</f>
        <v>#N/A</v>
      </c>
      <c r="W946" t="e">
        <f ca="1">IFERROR(计算区域!Y948,NA())</f>
        <v>#N/A</v>
      </c>
      <c r="X946" t="e">
        <f ca="1">IFERROR(计算区域!Z948,NA())</f>
        <v>#N/A</v>
      </c>
      <c r="Y946" t="e">
        <f ca="1">IFERROR(计算区域!AA948,NA())</f>
        <v>#N/A</v>
      </c>
    </row>
    <row r="947" spans="1:25" x14ac:dyDescent="0.2">
      <c r="A947" s="28">
        <f>计算区域!E949</f>
        <v>44050</v>
      </c>
      <c r="B947" t="e">
        <f ca="1">IFERROR(计算区域!AJ949,NA())</f>
        <v>#N/A</v>
      </c>
      <c r="C947" t="e">
        <f ca="1">IFERROR(计算区域!AK949,NA())</f>
        <v>#N/A</v>
      </c>
      <c r="D947" t="e">
        <f ca="1">IFERROR(计算区域!AL949,NA())</f>
        <v>#N/A</v>
      </c>
      <c r="E947" t="e">
        <f ca="1">IFERROR(计算区域!AM949,NA())</f>
        <v>#N/A</v>
      </c>
      <c r="G947" t="e">
        <f ca="1">IFERROR(计算区域!AD949,NA())</f>
        <v>#N/A</v>
      </c>
      <c r="H947" t="e">
        <f ca="1">IFERROR(计算区域!AE949,NA())</f>
        <v>#N/A</v>
      </c>
      <c r="I947" t="e">
        <f ca="1">IFERROR(计算区域!AF949,NA())</f>
        <v>#N/A</v>
      </c>
      <c r="J947" t="e">
        <f ca="1">IFERROR(计算区域!AG949,NA())</f>
        <v>#N/A</v>
      </c>
      <c r="L947" t="e">
        <f ca="1">IFERROR(计算区域!L949,NA())</f>
        <v>#N/A</v>
      </c>
      <c r="M947" t="e">
        <f ca="1">IFERROR(计算区域!M949,NA())</f>
        <v>#N/A</v>
      </c>
      <c r="N947" t="e">
        <f ca="1">IFERROR(计算区域!N949,NA())</f>
        <v>#N/A</v>
      </c>
      <c r="O947" t="e">
        <f ca="1">IFERROR(计算区域!O949,NA())</f>
        <v>#N/A</v>
      </c>
      <c r="Q947" t="e">
        <f ca="1">IFERROR(计算区域!R949,NA())</f>
        <v>#N/A</v>
      </c>
      <c r="R947" t="e">
        <f ca="1">IFERROR(计算区域!S949,NA())</f>
        <v>#N/A</v>
      </c>
      <c r="S947" t="e">
        <f ca="1">IFERROR(计算区域!T949,NA())</f>
        <v>#N/A</v>
      </c>
      <c r="T947" t="e">
        <f ca="1">IFERROR(计算区域!U949,NA())</f>
        <v>#N/A</v>
      </c>
      <c r="V947" t="e">
        <f ca="1">IFERROR(计算区域!X949,NA())</f>
        <v>#N/A</v>
      </c>
      <c r="W947" t="e">
        <f ca="1">IFERROR(计算区域!Y949,NA())</f>
        <v>#N/A</v>
      </c>
      <c r="X947" t="e">
        <f ca="1">IFERROR(计算区域!Z949,NA())</f>
        <v>#N/A</v>
      </c>
      <c r="Y947" t="e">
        <f ca="1">IFERROR(计算区域!AA949,NA())</f>
        <v>#N/A</v>
      </c>
    </row>
    <row r="948" spans="1:25" x14ac:dyDescent="0.2">
      <c r="A948" s="28">
        <f>计算区域!E950</f>
        <v>44049</v>
      </c>
      <c r="B948" t="e">
        <f ca="1">IFERROR(计算区域!AJ950,NA())</f>
        <v>#N/A</v>
      </c>
      <c r="C948" t="e">
        <f ca="1">IFERROR(计算区域!AK950,NA())</f>
        <v>#N/A</v>
      </c>
      <c r="D948" t="e">
        <f ca="1">IFERROR(计算区域!AL950,NA())</f>
        <v>#N/A</v>
      </c>
      <c r="E948" t="e">
        <f ca="1">IFERROR(计算区域!AM950,NA())</f>
        <v>#N/A</v>
      </c>
      <c r="G948" t="e">
        <f ca="1">IFERROR(计算区域!AD950,NA())</f>
        <v>#N/A</v>
      </c>
      <c r="H948" t="e">
        <f ca="1">IFERROR(计算区域!AE950,NA())</f>
        <v>#N/A</v>
      </c>
      <c r="I948" t="e">
        <f ca="1">IFERROR(计算区域!AF950,NA())</f>
        <v>#N/A</v>
      </c>
      <c r="J948" t="e">
        <f ca="1">IFERROR(计算区域!AG950,NA())</f>
        <v>#N/A</v>
      </c>
      <c r="L948" t="e">
        <f ca="1">IFERROR(计算区域!L950,NA())</f>
        <v>#N/A</v>
      </c>
      <c r="M948" t="e">
        <f ca="1">IFERROR(计算区域!M950,NA())</f>
        <v>#N/A</v>
      </c>
      <c r="N948" t="e">
        <f ca="1">IFERROR(计算区域!N950,NA())</f>
        <v>#N/A</v>
      </c>
      <c r="O948" t="e">
        <f ca="1">IFERROR(计算区域!O950,NA())</f>
        <v>#N/A</v>
      </c>
      <c r="Q948" t="e">
        <f ca="1">IFERROR(计算区域!R950,NA())</f>
        <v>#N/A</v>
      </c>
      <c r="R948" t="e">
        <f ca="1">IFERROR(计算区域!S950,NA())</f>
        <v>#N/A</v>
      </c>
      <c r="S948" t="e">
        <f ca="1">IFERROR(计算区域!T950,NA())</f>
        <v>#N/A</v>
      </c>
      <c r="T948" t="e">
        <f ca="1">IFERROR(计算区域!U950,NA())</f>
        <v>#N/A</v>
      </c>
      <c r="V948" t="e">
        <f ca="1">IFERROR(计算区域!X950,NA())</f>
        <v>#N/A</v>
      </c>
      <c r="W948" t="e">
        <f ca="1">IFERROR(计算区域!Y950,NA())</f>
        <v>#N/A</v>
      </c>
      <c r="X948" t="e">
        <f ca="1">IFERROR(计算区域!Z950,NA())</f>
        <v>#N/A</v>
      </c>
      <c r="Y948" t="e">
        <f ca="1">IFERROR(计算区域!AA950,NA())</f>
        <v>#N/A</v>
      </c>
    </row>
    <row r="949" spans="1:25" x14ac:dyDescent="0.2">
      <c r="A949" s="28">
        <f>计算区域!E951</f>
        <v>44048</v>
      </c>
      <c r="B949" t="e">
        <f ca="1">IFERROR(计算区域!AJ951,NA())</f>
        <v>#N/A</v>
      </c>
      <c r="C949" t="e">
        <f ca="1">IFERROR(计算区域!AK951,NA())</f>
        <v>#N/A</v>
      </c>
      <c r="D949" t="e">
        <f ca="1">IFERROR(计算区域!AL951,NA())</f>
        <v>#N/A</v>
      </c>
      <c r="E949" t="e">
        <f ca="1">IFERROR(计算区域!AM951,NA())</f>
        <v>#N/A</v>
      </c>
      <c r="G949" t="e">
        <f ca="1">IFERROR(计算区域!AD951,NA())</f>
        <v>#N/A</v>
      </c>
      <c r="H949" t="e">
        <f ca="1">IFERROR(计算区域!AE951,NA())</f>
        <v>#N/A</v>
      </c>
      <c r="I949" t="e">
        <f ca="1">IFERROR(计算区域!AF951,NA())</f>
        <v>#N/A</v>
      </c>
      <c r="J949" t="e">
        <f ca="1">IFERROR(计算区域!AG951,NA())</f>
        <v>#N/A</v>
      </c>
      <c r="L949" t="e">
        <f ca="1">IFERROR(计算区域!L951,NA())</f>
        <v>#N/A</v>
      </c>
      <c r="M949" t="e">
        <f ca="1">IFERROR(计算区域!M951,NA())</f>
        <v>#N/A</v>
      </c>
      <c r="N949" t="e">
        <f ca="1">IFERROR(计算区域!N951,NA())</f>
        <v>#N/A</v>
      </c>
      <c r="O949" t="e">
        <f ca="1">IFERROR(计算区域!O951,NA())</f>
        <v>#N/A</v>
      </c>
      <c r="Q949" t="e">
        <f ca="1">IFERROR(计算区域!R951,NA())</f>
        <v>#N/A</v>
      </c>
      <c r="R949" t="e">
        <f ca="1">IFERROR(计算区域!S951,NA())</f>
        <v>#N/A</v>
      </c>
      <c r="S949" t="e">
        <f ca="1">IFERROR(计算区域!T951,NA())</f>
        <v>#N/A</v>
      </c>
      <c r="T949" t="e">
        <f ca="1">IFERROR(计算区域!U951,NA())</f>
        <v>#N/A</v>
      </c>
      <c r="V949" t="e">
        <f ca="1">IFERROR(计算区域!X951,NA())</f>
        <v>#N/A</v>
      </c>
      <c r="W949" t="e">
        <f ca="1">IFERROR(计算区域!Y951,NA())</f>
        <v>#N/A</v>
      </c>
      <c r="X949" t="e">
        <f ca="1">IFERROR(计算区域!Z951,NA())</f>
        <v>#N/A</v>
      </c>
      <c r="Y949" t="e">
        <f ca="1">IFERROR(计算区域!AA951,NA())</f>
        <v>#N/A</v>
      </c>
    </row>
    <row r="950" spans="1:25" x14ac:dyDescent="0.2">
      <c r="A950" s="28">
        <f>计算区域!E952</f>
        <v>44047</v>
      </c>
      <c r="B950" t="e">
        <f ca="1">IFERROR(计算区域!AJ952,NA())</f>
        <v>#N/A</v>
      </c>
      <c r="C950" t="e">
        <f ca="1">IFERROR(计算区域!AK952,NA())</f>
        <v>#N/A</v>
      </c>
      <c r="D950" t="e">
        <f ca="1">IFERROR(计算区域!AL952,NA())</f>
        <v>#N/A</v>
      </c>
      <c r="E950" t="e">
        <f ca="1">IFERROR(计算区域!AM952,NA())</f>
        <v>#N/A</v>
      </c>
      <c r="G950" t="e">
        <f ca="1">IFERROR(计算区域!AD952,NA())</f>
        <v>#N/A</v>
      </c>
      <c r="H950" t="e">
        <f ca="1">IFERROR(计算区域!AE952,NA())</f>
        <v>#N/A</v>
      </c>
      <c r="I950" t="e">
        <f ca="1">IFERROR(计算区域!AF952,NA())</f>
        <v>#N/A</v>
      </c>
      <c r="J950" t="e">
        <f ca="1">IFERROR(计算区域!AG952,NA())</f>
        <v>#N/A</v>
      </c>
      <c r="L950" t="e">
        <f ca="1">IFERROR(计算区域!L952,NA())</f>
        <v>#N/A</v>
      </c>
      <c r="M950" t="e">
        <f ca="1">IFERROR(计算区域!M952,NA())</f>
        <v>#N/A</v>
      </c>
      <c r="N950" t="e">
        <f ca="1">IFERROR(计算区域!N952,NA())</f>
        <v>#N/A</v>
      </c>
      <c r="O950" t="e">
        <f ca="1">IFERROR(计算区域!O952,NA())</f>
        <v>#N/A</v>
      </c>
      <c r="Q950" t="e">
        <f ca="1">IFERROR(计算区域!R952,NA())</f>
        <v>#N/A</v>
      </c>
      <c r="R950" t="e">
        <f ca="1">IFERROR(计算区域!S952,NA())</f>
        <v>#N/A</v>
      </c>
      <c r="S950" t="e">
        <f ca="1">IFERROR(计算区域!T952,NA())</f>
        <v>#N/A</v>
      </c>
      <c r="T950" t="e">
        <f ca="1">IFERROR(计算区域!U952,NA())</f>
        <v>#N/A</v>
      </c>
      <c r="V950" t="e">
        <f ca="1">IFERROR(计算区域!X952,NA())</f>
        <v>#N/A</v>
      </c>
      <c r="W950" t="e">
        <f ca="1">IFERROR(计算区域!Y952,NA())</f>
        <v>#N/A</v>
      </c>
      <c r="X950" t="e">
        <f ca="1">IFERROR(计算区域!Z952,NA())</f>
        <v>#N/A</v>
      </c>
      <c r="Y950" t="e">
        <f ca="1">IFERROR(计算区域!AA952,NA())</f>
        <v>#N/A</v>
      </c>
    </row>
    <row r="951" spans="1:25" x14ac:dyDescent="0.2">
      <c r="A951" s="28">
        <f>计算区域!E953</f>
        <v>44046</v>
      </c>
      <c r="B951" t="e">
        <f ca="1">IFERROR(计算区域!AJ953,NA())</f>
        <v>#N/A</v>
      </c>
      <c r="C951" t="e">
        <f ca="1">IFERROR(计算区域!AK953,NA())</f>
        <v>#N/A</v>
      </c>
      <c r="D951" t="e">
        <f ca="1">IFERROR(计算区域!AL953,NA())</f>
        <v>#N/A</v>
      </c>
      <c r="E951" t="e">
        <f ca="1">IFERROR(计算区域!AM953,NA())</f>
        <v>#N/A</v>
      </c>
      <c r="G951" t="e">
        <f ca="1">IFERROR(计算区域!AD953,NA())</f>
        <v>#N/A</v>
      </c>
      <c r="H951" t="e">
        <f ca="1">IFERROR(计算区域!AE953,NA())</f>
        <v>#N/A</v>
      </c>
      <c r="I951" t="e">
        <f ca="1">IFERROR(计算区域!AF953,NA())</f>
        <v>#N/A</v>
      </c>
      <c r="J951" t="e">
        <f ca="1">IFERROR(计算区域!AG953,NA())</f>
        <v>#N/A</v>
      </c>
      <c r="L951" t="e">
        <f ca="1">IFERROR(计算区域!L953,NA())</f>
        <v>#N/A</v>
      </c>
      <c r="M951" t="e">
        <f ca="1">IFERROR(计算区域!M953,NA())</f>
        <v>#N/A</v>
      </c>
      <c r="N951" t="e">
        <f ca="1">IFERROR(计算区域!N953,NA())</f>
        <v>#N/A</v>
      </c>
      <c r="O951" t="e">
        <f ca="1">IFERROR(计算区域!O953,NA())</f>
        <v>#N/A</v>
      </c>
      <c r="Q951" t="e">
        <f ca="1">IFERROR(计算区域!R953,NA())</f>
        <v>#N/A</v>
      </c>
      <c r="R951" t="e">
        <f ca="1">IFERROR(计算区域!S953,NA())</f>
        <v>#N/A</v>
      </c>
      <c r="S951" t="e">
        <f ca="1">IFERROR(计算区域!T953,NA())</f>
        <v>#N/A</v>
      </c>
      <c r="T951" t="e">
        <f ca="1">IFERROR(计算区域!U953,NA())</f>
        <v>#N/A</v>
      </c>
      <c r="V951" t="e">
        <f ca="1">IFERROR(计算区域!X953,NA())</f>
        <v>#N/A</v>
      </c>
      <c r="W951" t="e">
        <f ca="1">IFERROR(计算区域!Y953,NA())</f>
        <v>#N/A</v>
      </c>
      <c r="X951" t="e">
        <f ca="1">IFERROR(计算区域!Z953,NA())</f>
        <v>#N/A</v>
      </c>
      <c r="Y951" t="e">
        <f ca="1">IFERROR(计算区域!AA953,NA())</f>
        <v>#N/A</v>
      </c>
    </row>
    <row r="952" spans="1:25" x14ac:dyDescent="0.2">
      <c r="A952" s="28">
        <f>计算区域!E954</f>
        <v>44043</v>
      </c>
      <c r="B952" t="e">
        <f ca="1">IFERROR(计算区域!AJ954,NA())</f>
        <v>#N/A</v>
      </c>
      <c r="C952" t="e">
        <f ca="1">IFERROR(计算区域!AK954,NA())</f>
        <v>#N/A</v>
      </c>
      <c r="D952" t="e">
        <f ca="1">IFERROR(计算区域!AL954,NA())</f>
        <v>#N/A</v>
      </c>
      <c r="E952" t="e">
        <f ca="1">IFERROR(计算区域!AM954,NA())</f>
        <v>#N/A</v>
      </c>
      <c r="G952" t="e">
        <f ca="1">IFERROR(计算区域!AD954,NA())</f>
        <v>#N/A</v>
      </c>
      <c r="H952" t="e">
        <f ca="1">IFERROR(计算区域!AE954,NA())</f>
        <v>#N/A</v>
      </c>
      <c r="I952" t="e">
        <f ca="1">IFERROR(计算区域!AF954,NA())</f>
        <v>#N/A</v>
      </c>
      <c r="J952" t="e">
        <f ca="1">IFERROR(计算区域!AG954,NA())</f>
        <v>#N/A</v>
      </c>
      <c r="L952" t="e">
        <f ca="1">IFERROR(计算区域!L954,NA())</f>
        <v>#N/A</v>
      </c>
      <c r="M952" t="e">
        <f ca="1">IFERROR(计算区域!M954,NA())</f>
        <v>#N/A</v>
      </c>
      <c r="N952" t="e">
        <f ca="1">IFERROR(计算区域!N954,NA())</f>
        <v>#N/A</v>
      </c>
      <c r="O952" t="e">
        <f ca="1">IFERROR(计算区域!O954,NA())</f>
        <v>#N/A</v>
      </c>
      <c r="Q952" t="e">
        <f ca="1">IFERROR(计算区域!R954,NA())</f>
        <v>#N/A</v>
      </c>
      <c r="R952" t="e">
        <f ca="1">IFERROR(计算区域!S954,NA())</f>
        <v>#N/A</v>
      </c>
      <c r="S952" t="e">
        <f ca="1">IFERROR(计算区域!T954,NA())</f>
        <v>#N/A</v>
      </c>
      <c r="T952" t="e">
        <f ca="1">IFERROR(计算区域!U954,NA())</f>
        <v>#N/A</v>
      </c>
      <c r="V952" t="e">
        <f ca="1">IFERROR(计算区域!X954,NA())</f>
        <v>#N/A</v>
      </c>
      <c r="W952" t="e">
        <f ca="1">IFERROR(计算区域!Y954,NA())</f>
        <v>#N/A</v>
      </c>
      <c r="X952" t="e">
        <f ca="1">IFERROR(计算区域!Z954,NA())</f>
        <v>#N/A</v>
      </c>
      <c r="Y952" t="e">
        <f ca="1">IFERROR(计算区域!AA954,NA())</f>
        <v>#N/A</v>
      </c>
    </row>
    <row r="953" spans="1:25" x14ac:dyDescent="0.2">
      <c r="A953" s="28">
        <f>计算区域!E955</f>
        <v>44042</v>
      </c>
      <c r="B953" t="e">
        <f ca="1">IFERROR(计算区域!AJ955,NA())</f>
        <v>#N/A</v>
      </c>
      <c r="C953" t="e">
        <f ca="1">IFERROR(计算区域!AK955,NA())</f>
        <v>#N/A</v>
      </c>
      <c r="D953" t="e">
        <f ca="1">IFERROR(计算区域!AL955,NA())</f>
        <v>#N/A</v>
      </c>
      <c r="E953" t="e">
        <f ca="1">IFERROR(计算区域!AM955,NA())</f>
        <v>#N/A</v>
      </c>
      <c r="G953" t="e">
        <f ca="1">IFERROR(计算区域!AD955,NA())</f>
        <v>#N/A</v>
      </c>
      <c r="H953" t="e">
        <f ca="1">IFERROR(计算区域!AE955,NA())</f>
        <v>#N/A</v>
      </c>
      <c r="I953" t="e">
        <f ca="1">IFERROR(计算区域!AF955,NA())</f>
        <v>#N/A</v>
      </c>
      <c r="J953" t="e">
        <f ca="1">IFERROR(计算区域!AG955,NA())</f>
        <v>#N/A</v>
      </c>
      <c r="L953" t="e">
        <f ca="1">IFERROR(计算区域!L955,NA())</f>
        <v>#N/A</v>
      </c>
      <c r="M953" t="e">
        <f ca="1">IFERROR(计算区域!M955,NA())</f>
        <v>#N/A</v>
      </c>
      <c r="N953" t="e">
        <f ca="1">IFERROR(计算区域!N955,NA())</f>
        <v>#N/A</v>
      </c>
      <c r="O953" t="e">
        <f ca="1">IFERROR(计算区域!O955,NA())</f>
        <v>#N/A</v>
      </c>
      <c r="Q953" t="e">
        <f ca="1">IFERROR(计算区域!R955,NA())</f>
        <v>#N/A</v>
      </c>
      <c r="R953" t="e">
        <f ca="1">IFERROR(计算区域!S955,NA())</f>
        <v>#N/A</v>
      </c>
      <c r="S953" t="e">
        <f ca="1">IFERROR(计算区域!T955,NA())</f>
        <v>#N/A</v>
      </c>
      <c r="T953" t="e">
        <f ca="1">IFERROR(计算区域!U955,NA())</f>
        <v>#N/A</v>
      </c>
      <c r="V953" t="e">
        <f ca="1">IFERROR(计算区域!X955,NA())</f>
        <v>#N/A</v>
      </c>
      <c r="W953" t="e">
        <f ca="1">IFERROR(计算区域!Y955,NA())</f>
        <v>#N/A</v>
      </c>
      <c r="X953" t="e">
        <f ca="1">IFERROR(计算区域!Z955,NA())</f>
        <v>#N/A</v>
      </c>
      <c r="Y953" t="e">
        <f ca="1">IFERROR(计算区域!AA955,NA())</f>
        <v>#N/A</v>
      </c>
    </row>
    <row r="954" spans="1:25" x14ac:dyDescent="0.2">
      <c r="A954" s="28">
        <f>计算区域!E956</f>
        <v>44041</v>
      </c>
      <c r="B954" t="e">
        <f ca="1">IFERROR(计算区域!AJ956,NA())</f>
        <v>#N/A</v>
      </c>
      <c r="C954" t="e">
        <f ca="1">IFERROR(计算区域!AK956,NA())</f>
        <v>#N/A</v>
      </c>
      <c r="D954" t="e">
        <f ca="1">IFERROR(计算区域!AL956,NA())</f>
        <v>#N/A</v>
      </c>
      <c r="E954" t="e">
        <f ca="1">IFERROR(计算区域!AM956,NA())</f>
        <v>#N/A</v>
      </c>
      <c r="G954" t="e">
        <f ca="1">IFERROR(计算区域!AD956,NA())</f>
        <v>#N/A</v>
      </c>
      <c r="H954" t="e">
        <f ca="1">IFERROR(计算区域!AE956,NA())</f>
        <v>#N/A</v>
      </c>
      <c r="I954" t="e">
        <f ca="1">IFERROR(计算区域!AF956,NA())</f>
        <v>#N/A</v>
      </c>
      <c r="J954" t="e">
        <f ca="1">IFERROR(计算区域!AG956,NA())</f>
        <v>#N/A</v>
      </c>
      <c r="L954" t="e">
        <f ca="1">IFERROR(计算区域!L956,NA())</f>
        <v>#N/A</v>
      </c>
      <c r="M954" t="e">
        <f ca="1">IFERROR(计算区域!M956,NA())</f>
        <v>#N/A</v>
      </c>
      <c r="N954" t="e">
        <f ca="1">IFERROR(计算区域!N956,NA())</f>
        <v>#N/A</v>
      </c>
      <c r="O954" t="e">
        <f ca="1">IFERROR(计算区域!O956,NA())</f>
        <v>#N/A</v>
      </c>
      <c r="Q954" t="e">
        <f ca="1">IFERROR(计算区域!R956,NA())</f>
        <v>#N/A</v>
      </c>
      <c r="R954" t="e">
        <f ca="1">IFERROR(计算区域!S956,NA())</f>
        <v>#N/A</v>
      </c>
      <c r="S954" t="e">
        <f ca="1">IFERROR(计算区域!T956,NA())</f>
        <v>#N/A</v>
      </c>
      <c r="T954" t="e">
        <f ca="1">IFERROR(计算区域!U956,NA())</f>
        <v>#N/A</v>
      </c>
      <c r="V954" t="e">
        <f ca="1">IFERROR(计算区域!X956,NA())</f>
        <v>#N/A</v>
      </c>
      <c r="W954" t="e">
        <f ca="1">IFERROR(计算区域!Y956,NA())</f>
        <v>#N/A</v>
      </c>
      <c r="X954" t="e">
        <f ca="1">IFERROR(计算区域!Z956,NA())</f>
        <v>#N/A</v>
      </c>
      <c r="Y954" t="e">
        <f ca="1">IFERROR(计算区域!AA956,NA())</f>
        <v>#N/A</v>
      </c>
    </row>
    <row r="955" spans="1:25" x14ac:dyDescent="0.2">
      <c r="A955" s="28">
        <f>计算区域!E957</f>
        <v>44040</v>
      </c>
      <c r="B955" t="e">
        <f ca="1">IFERROR(计算区域!AJ957,NA())</f>
        <v>#N/A</v>
      </c>
      <c r="C955" t="e">
        <f ca="1">IFERROR(计算区域!AK957,NA())</f>
        <v>#N/A</v>
      </c>
      <c r="D955" t="e">
        <f ca="1">IFERROR(计算区域!AL957,NA())</f>
        <v>#N/A</v>
      </c>
      <c r="E955" t="e">
        <f ca="1">IFERROR(计算区域!AM957,NA())</f>
        <v>#N/A</v>
      </c>
      <c r="G955" t="e">
        <f ca="1">IFERROR(计算区域!AD957,NA())</f>
        <v>#N/A</v>
      </c>
      <c r="H955" t="e">
        <f ca="1">IFERROR(计算区域!AE957,NA())</f>
        <v>#N/A</v>
      </c>
      <c r="I955" t="e">
        <f ca="1">IFERROR(计算区域!AF957,NA())</f>
        <v>#N/A</v>
      </c>
      <c r="J955" t="e">
        <f ca="1">IFERROR(计算区域!AG957,NA())</f>
        <v>#N/A</v>
      </c>
      <c r="L955" t="e">
        <f ca="1">IFERROR(计算区域!L957,NA())</f>
        <v>#N/A</v>
      </c>
      <c r="M955" t="e">
        <f ca="1">IFERROR(计算区域!M957,NA())</f>
        <v>#N/A</v>
      </c>
      <c r="N955" t="e">
        <f ca="1">IFERROR(计算区域!N957,NA())</f>
        <v>#N/A</v>
      </c>
      <c r="O955" t="e">
        <f ca="1">IFERROR(计算区域!O957,NA())</f>
        <v>#N/A</v>
      </c>
      <c r="Q955" t="e">
        <f ca="1">IFERROR(计算区域!R957,NA())</f>
        <v>#N/A</v>
      </c>
      <c r="R955" t="e">
        <f ca="1">IFERROR(计算区域!S957,NA())</f>
        <v>#N/A</v>
      </c>
      <c r="S955" t="e">
        <f ca="1">IFERROR(计算区域!T957,NA())</f>
        <v>#N/A</v>
      </c>
      <c r="T955" t="e">
        <f ca="1">IFERROR(计算区域!U957,NA())</f>
        <v>#N/A</v>
      </c>
      <c r="V955" t="e">
        <f ca="1">IFERROR(计算区域!X957,NA())</f>
        <v>#N/A</v>
      </c>
      <c r="W955" t="e">
        <f ca="1">IFERROR(计算区域!Y957,NA())</f>
        <v>#N/A</v>
      </c>
      <c r="X955" t="e">
        <f ca="1">IFERROR(计算区域!Z957,NA())</f>
        <v>#N/A</v>
      </c>
      <c r="Y955" t="e">
        <f ca="1">IFERROR(计算区域!AA957,NA())</f>
        <v>#N/A</v>
      </c>
    </row>
    <row r="956" spans="1:25" x14ac:dyDescent="0.2">
      <c r="A956" s="28">
        <f>计算区域!E958</f>
        <v>44039</v>
      </c>
      <c r="B956" t="e">
        <f ca="1">IFERROR(计算区域!AJ958,NA())</f>
        <v>#N/A</v>
      </c>
      <c r="C956" t="e">
        <f ca="1">IFERROR(计算区域!AK958,NA())</f>
        <v>#N/A</v>
      </c>
      <c r="D956" t="e">
        <f ca="1">IFERROR(计算区域!AL958,NA())</f>
        <v>#N/A</v>
      </c>
      <c r="E956" t="e">
        <f ca="1">IFERROR(计算区域!AM958,NA())</f>
        <v>#N/A</v>
      </c>
      <c r="G956" t="e">
        <f ca="1">IFERROR(计算区域!AD958,NA())</f>
        <v>#N/A</v>
      </c>
      <c r="H956" t="e">
        <f ca="1">IFERROR(计算区域!AE958,NA())</f>
        <v>#N/A</v>
      </c>
      <c r="I956" t="e">
        <f ca="1">IFERROR(计算区域!AF958,NA())</f>
        <v>#N/A</v>
      </c>
      <c r="J956" t="e">
        <f ca="1">IFERROR(计算区域!AG958,NA())</f>
        <v>#N/A</v>
      </c>
      <c r="L956" t="e">
        <f ca="1">IFERROR(计算区域!L958,NA())</f>
        <v>#N/A</v>
      </c>
      <c r="M956" t="e">
        <f ca="1">IFERROR(计算区域!M958,NA())</f>
        <v>#N/A</v>
      </c>
      <c r="N956" t="e">
        <f ca="1">IFERROR(计算区域!N958,NA())</f>
        <v>#N/A</v>
      </c>
      <c r="O956" t="e">
        <f ca="1">IFERROR(计算区域!O958,NA())</f>
        <v>#N/A</v>
      </c>
      <c r="Q956" t="e">
        <f ca="1">IFERROR(计算区域!R958,NA())</f>
        <v>#N/A</v>
      </c>
      <c r="R956" t="e">
        <f ca="1">IFERROR(计算区域!S958,NA())</f>
        <v>#N/A</v>
      </c>
      <c r="S956" t="e">
        <f ca="1">IFERROR(计算区域!T958,NA())</f>
        <v>#N/A</v>
      </c>
      <c r="T956" t="e">
        <f ca="1">IFERROR(计算区域!U958,NA())</f>
        <v>#N/A</v>
      </c>
      <c r="V956" t="e">
        <f ca="1">IFERROR(计算区域!X958,NA())</f>
        <v>#N/A</v>
      </c>
      <c r="W956" t="e">
        <f ca="1">IFERROR(计算区域!Y958,NA())</f>
        <v>#N/A</v>
      </c>
      <c r="X956" t="e">
        <f ca="1">IFERROR(计算区域!Z958,NA())</f>
        <v>#N/A</v>
      </c>
      <c r="Y956" t="e">
        <f ca="1">IFERROR(计算区域!AA958,NA())</f>
        <v>#N/A</v>
      </c>
    </row>
    <row r="957" spans="1:25" x14ac:dyDescent="0.2">
      <c r="A957" s="28">
        <f>计算区域!E959</f>
        <v>44036</v>
      </c>
      <c r="B957" t="e">
        <f ca="1">IFERROR(计算区域!AJ959,NA())</f>
        <v>#N/A</v>
      </c>
      <c r="C957" t="e">
        <f ca="1">IFERROR(计算区域!AK959,NA())</f>
        <v>#N/A</v>
      </c>
      <c r="D957" t="e">
        <f ca="1">IFERROR(计算区域!AL959,NA())</f>
        <v>#N/A</v>
      </c>
      <c r="E957" t="e">
        <f ca="1">IFERROR(计算区域!AM959,NA())</f>
        <v>#N/A</v>
      </c>
      <c r="G957" t="e">
        <f ca="1">IFERROR(计算区域!AD959,NA())</f>
        <v>#N/A</v>
      </c>
      <c r="H957" t="e">
        <f ca="1">IFERROR(计算区域!AE959,NA())</f>
        <v>#N/A</v>
      </c>
      <c r="I957" t="e">
        <f ca="1">IFERROR(计算区域!AF959,NA())</f>
        <v>#N/A</v>
      </c>
      <c r="J957" t="e">
        <f ca="1">IFERROR(计算区域!AG959,NA())</f>
        <v>#N/A</v>
      </c>
      <c r="L957" t="e">
        <f ca="1">IFERROR(计算区域!L959,NA())</f>
        <v>#N/A</v>
      </c>
      <c r="M957" t="e">
        <f ca="1">IFERROR(计算区域!M959,NA())</f>
        <v>#N/A</v>
      </c>
      <c r="N957" t="e">
        <f ca="1">IFERROR(计算区域!N959,NA())</f>
        <v>#N/A</v>
      </c>
      <c r="O957" t="e">
        <f ca="1">IFERROR(计算区域!O959,NA())</f>
        <v>#N/A</v>
      </c>
      <c r="Q957" t="e">
        <f ca="1">IFERROR(计算区域!R959,NA())</f>
        <v>#N/A</v>
      </c>
      <c r="R957" t="e">
        <f ca="1">IFERROR(计算区域!S959,NA())</f>
        <v>#N/A</v>
      </c>
      <c r="S957" t="e">
        <f ca="1">IFERROR(计算区域!T959,NA())</f>
        <v>#N/A</v>
      </c>
      <c r="T957" t="e">
        <f ca="1">IFERROR(计算区域!U959,NA())</f>
        <v>#N/A</v>
      </c>
      <c r="V957" t="e">
        <f ca="1">IFERROR(计算区域!X959,NA())</f>
        <v>#N/A</v>
      </c>
      <c r="W957" t="e">
        <f ca="1">IFERROR(计算区域!Y959,NA())</f>
        <v>#N/A</v>
      </c>
      <c r="X957" t="e">
        <f ca="1">IFERROR(计算区域!Z959,NA())</f>
        <v>#N/A</v>
      </c>
      <c r="Y957" t="e">
        <f ca="1">IFERROR(计算区域!AA959,NA())</f>
        <v>#N/A</v>
      </c>
    </row>
    <row r="958" spans="1:25" x14ac:dyDescent="0.2">
      <c r="A958" s="28">
        <f>计算区域!E960</f>
        <v>44035</v>
      </c>
      <c r="B958" t="e">
        <f ca="1">IFERROR(计算区域!AJ960,NA())</f>
        <v>#N/A</v>
      </c>
      <c r="C958" t="e">
        <f ca="1">IFERROR(计算区域!AK960,NA())</f>
        <v>#N/A</v>
      </c>
      <c r="D958" t="e">
        <f ca="1">IFERROR(计算区域!AL960,NA())</f>
        <v>#N/A</v>
      </c>
      <c r="E958" t="e">
        <f ca="1">IFERROR(计算区域!AM960,NA())</f>
        <v>#N/A</v>
      </c>
      <c r="G958" t="e">
        <f ca="1">IFERROR(计算区域!AD960,NA())</f>
        <v>#N/A</v>
      </c>
      <c r="H958" t="e">
        <f ca="1">IFERROR(计算区域!AE960,NA())</f>
        <v>#N/A</v>
      </c>
      <c r="I958" t="e">
        <f ca="1">IFERROR(计算区域!AF960,NA())</f>
        <v>#N/A</v>
      </c>
      <c r="J958" t="e">
        <f ca="1">IFERROR(计算区域!AG960,NA())</f>
        <v>#N/A</v>
      </c>
      <c r="L958" t="e">
        <f ca="1">IFERROR(计算区域!L960,NA())</f>
        <v>#N/A</v>
      </c>
      <c r="M958" t="e">
        <f ca="1">IFERROR(计算区域!M960,NA())</f>
        <v>#N/A</v>
      </c>
      <c r="N958" t="e">
        <f ca="1">IFERROR(计算区域!N960,NA())</f>
        <v>#N/A</v>
      </c>
      <c r="O958" t="e">
        <f ca="1">IFERROR(计算区域!O960,NA())</f>
        <v>#N/A</v>
      </c>
      <c r="Q958" t="e">
        <f ca="1">IFERROR(计算区域!R960,NA())</f>
        <v>#N/A</v>
      </c>
      <c r="R958" t="e">
        <f ca="1">IFERROR(计算区域!S960,NA())</f>
        <v>#N/A</v>
      </c>
      <c r="S958" t="e">
        <f ca="1">IFERROR(计算区域!T960,NA())</f>
        <v>#N/A</v>
      </c>
      <c r="T958" t="e">
        <f ca="1">IFERROR(计算区域!U960,NA())</f>
        <v>#N/A</v>
      </c>
      <c r="V958" t="e">
        <f ca="1">IFERROR(计算区域!X960,NA())</f>
        <v>#N/A</v>
      </c>
      <c r="W958" t="e">
        <f ca="1">IFERROR(计算区域!Y960,NA())</f>
        <v>#N/A</v>
      </c>
      <c r="X958" t="e">
        <f ca="1">IFERROR(计算区域!Z960,NA())</f>
        <v>#N/A</v>
      </c>
      <c r="Y958" t="e">
        <f ca="1">IFERROR(计算区域!AA960,NA())</f>
        <v>#N/A</v>
      </c>
    </row>
    <row r="959" spans="1:25" x14ac:dyDescent="0.2">
      <c r="A959" s="28">
        <f>计算区域!E961</f>
        <v>44034</v>
      </c>
      <c r="B959" t="e">
        <f ca="1">IFERROR(计算区域!AJ961,NA())</f>
        <v>#N/A</v>
      </c>
      <c r="C959" t="e">
        <f ca="1">IFERROR(计算区域!AK961,NA())</f>
        <v>#N/A</v>
      </c>
      <c r="D959" t="e">
        <f ca="1">IFERROR(计算区域!AL961,NA())</f>
        <v>#N/A</v>
      </c>
      <c r="E959" t="e">
        <f ca="1">IFERROR(计算区域!AM961,NA())</f>
        <v>#N/A</v>
      </c>
      <c r="G959" t="e">
        <f ca="1">IFERROR(计算区域!AD961,NA())</f>
        <v>#N/A</v>
      </c>
      <c r="H959" t="e">
        <f ca="1">IFERROR(计算区域!AE961,NA())</f>
        <v>#N/A</v>
      </c>
      <c r="I959" t="e">
        <f ca="1">IFERROR(计算区域!AF961,NA())</f>
        <v>#N/A</v>
      </c>
      <c r="J959" t="e">
        <f ca="1">IFERROR(计算区域!AG961,NA())</f>
        <v>#N/A</v>
      </c>
      <c r="L959" t="e">
        <f ca="1">IFERROR(计算区域!L961,NA())</f>
        <v>#N/A</v>
      </c>
      <c r="M959" t="e">
        <f ca="1">IFERROR(计算区域!M961,NA())</f>
        <v>#N/A</v>
      </c>
      <c r="N959" t="e">
        <f ca="1">IFERROR(计算区域!N961,NA())</f>
        <v>#N/A</v>
      </c>
      <c r="O959" t="e">
        <f ca="1">IFERROR(计算区域!O961,NA())</f>
        <v>#N/A</v>
      </c>
      <c r="Q959" t="e">
        <f ca="1">IFERROR(计算区域!R961,NA())</f>
        <v>#N/A</v>
      </c>
      <c r="R959" t="e">
        <f ca="1">IFERROR(计算区域!S961,NA())</f>
        <v>#N/A</v>
      </c>
      <c r="S959" t="e">
        <f ca="1">IFERROR(计算区域!T961,NA())</f>
        <v>#N/A</v>
      </c>
      <c r="T959" t="e">
        <f ca="1">IFERROR(计算区域!U961,NA())</f>
        <v>#N/A</v>
      </c>
      <c r="V959" t="e">
        <f ca="1">IFERROR(计算区域!X961,NA())</f>
        <v>#N/A</v>
      </c>
      <c r="W959" t="e">
        <f ca="1">IFERROR(计算区域!Y961,NA())</f>
        <v>#N/A</v>
      </c>
      <c r="X959" t="e">
        <f ca="1">IFERROR(计算区域!Z961,NA())</f>
        <v>#N/A</v>
      </c>
      <c r="Y959" t="e">
        <f ca="1">IFERROR(计算区域!AA961,NA())</f>
        <v>#N/A</v>
      </c>
    </row>
    <row r="960" spans="1:25" x14ac:dyDescent="0.2">
      <c r="A960" s="28">
        <f>计算区域!E962</f>
        <v>44033</v>
      </c>
      <c r="B960" t="e">
        <f ca="1">IFERROR(计算区域!AJ962,NA())</f>
        <v>#N/A</v>
      </c>
      <c r="C960" t="e">
        <f ca="1">IFERROR(计算区域!AK962,NA())</f>
        <v>#N/A</v>
      </c>
      <c r="D960" t="e">
        <f ca="1">IFERROR(计算区域!AL962,NA())</f>
        <v>#N/A</v>
      </c>
      <c r="E960" t="e">
        <f ca="1">IFERROR(计算区域!AM962,NA())</f>
        <v>#N/A</v>
      </c>
      <c r="G960" t="e">
        <f ca="1">IFERROR(计算区域!AD962,NA())</f>
        <v>#N/A</v>
      </c>
      <c r="H960" t="e">
        <f ca="1">IFERROR(计算区域!AE962,NA())</f>
        <v>#N/A</v>
      </c>
      <c r="I960" t="e">
        <f ca="1">IFERROR(计算区域!AF962,NA())</f>
        <v>#N/A</v>
      </c>
      <c r="J960" t="e">
        <f ca="1">IFERROR(计算区域!AG962,NA())</f>
        <v>#N/A</v>
      </c>
      <c r="L960" t="e">
        <f ca="1">IFERROR(计算区域!L962,NA())</f>
        <v>#N/A</v>
      </c>
      <c r="M960" t="e">
        <f ca="1">IFERROR(计算区域!M962,NA())</f>
        <v>#N/A</v>
      </c>
      <c r="N960" t="e">
        <f ca="1">IFERROR(计算区域!N962,NA())</f>
        <v>#N/A</v>
      </c>
      <c r="O960" t="e">
        <f ca="1">IFERROR(计算区域!O962,NA())</f>
        <v>#N/A</v>
      </c>
      <c r="Q960" t="e">
        <f ca="1">IFERROR(计算区域!R962,NA())</f>
        <v>#N/A</v>
      </c>
      <c r="R960" t="e">
        <f ca="1">IFERROR(计算区域!S962,NA())</f>
        <v>#N/A</v>
      </c>
      <c r="S960" t="e">
        <f ca="1">IFERROR(计算区域!T962,NA())</f>
        <v>#N/A</v>
      </c>
      <c r="T960" t="e">
        <f ca="1">IFERROR(计算区域!U962,NA())</f>
        <v>#N/A</v>
      </c>
      <c r="V960" t="e">
        <f ca="1">IFERROR(计算区域!X962,NA())</f>
        <v>#N/A</v>
      </c>
      <c r="W960" t="e">
        <f ca="1">IFERROR(计算区域!Y962,NA())</f>
        <v>#N/A</v>
      </c>
      <c r="X960" t="e">
        <f ca="1">IFERROR(计算区域!Z962,NA())</f>
        <v>#N/A</v>
      </c>
      <c r="Y960" t="e">
        <f ca="1">IFERROR(计算区域!AA962,NA())</f>
        <v>#N/A</v>
      </c>
    </row>
    <row r="961" spans="1:25" x14ac:dyDescent="0.2">
      <c r="A961" s="28">
        <f>计算区域!E963</f>
        <v>44032</v>
      </c>
      <c r="B961" t="e">
        <f ca="1">IFERROR(计算区域!AJ963,NA())</f>
        <v>#N/A</v>
      </c>
      <c r="C961" t="e">
        <f ca="1">IFERROR(计算区域!AK963,NA())</f>
        <v>#N/A</v>
      </c>
      <c r="D961" t="e">
        <f ca="1">IFERROR(计算区域!AL963,NA())</f>
        <v>#N/A</v>
      </c>
      <c r="E961" t="e">
        <f ca="1">IFERROR(计算区域!AM963,NA())</f>
        <v>#N/A</v>
      </c>
      <c r="G961" t="e">
        <f ca="1">IFERROR(计算区域!AD963,NA())</f>
        <v>#N/A</v>
      </c>
      <c r="H961" t="e">
        <f ca="1">IFERROR(计算区域!AE963,NA())</f>
        <v>#N/A</v>
      </c>
      <c r="I961" t="e">
        <f ca="1">IFERROR(计算区域!AF963,NA())</f>
        <v>#N/A</v>
      </c>
      <c r="J961" t="e">
        <f ca="1">IFERROR(计算区域!AG963,NA())</f>
        <v>#N/A</v>
      </c>
      <c r="L961" t="e">
        <f ca="1">IFERROR(计算区域!L963,NA())</f>
        <v>#N/A</v>
      </c>
      <c r="M961" t="e">
        <f ca="1">IFERROR(计算区域!M963,NA())</f>
        <v>#N/A</v>
      </c>
      <c r="N961" t="e">
        <f ca="1">IFERROR(计算区域!N963,NA())</f>
        <v>#N/A</v>
      </c>
      <c r="O961" t="e">
        <f ca="1">IFERROR(计算区域!O963,NA())</f>
        <v>#N/A</v>
      </c>
      <c r="Q961" t="e">
        <f ca="1">IFERROR(计算区域!R963,NA())</f>
        <v>#N/A</v>
      </c>
      <c r="R961" t="e">
        <f ca="1">IFERROR(计算区域!S963,NA())</f>
        <v>#N/A</v>
      </c>
      <c r="S961" t="e">
        <f ca="1">IFERROR(计算区域!T963,NA())</f>
        <v>#N/A</v>
      </c>
      <c r="T961" t="e">
        <f ca="1">IFERROR(计算区域!U963,NA())</f>
        <v>#N/A</v>
      </c>
      <c r="V961" t="e">
        <f ca="1">IFERROR(计算区域!X963,NA())</f>
        <v>#N/A</v>
      </c>
      <c r="W961" t="e">
        <f ca="1">IFERROR(计算区域!Y963,NA())</f>
        <v>#N/A</v>
      </c>
      <c r="X961" t="e">
        <f ca="1">IFERROR(计算区域!Z963,NA())</f>
        <v>#N/A</v>
      </c>
      <c r="Y961" t="e">
        <f ca="1">IFERROR(计算区域!AA963,NA())</f>
        <v>#N/A</v>
      </c>
    </row>
    <row r="962" spans="1:25" x14ac:dyDescent="0.2">
      <c r="A962" s="28">
        <f>计算区域!E964</f>
        <v>44029</v>
      </c>
      <c r="B962" t="e">
        <f ca="1">IFERROR(计算区域!AJ964,NA())</f>
        <v>#N/A</v>
      </c>
      <c r="C962" t="e">
        <f ca="1">IFERROR(计算区域!AK964,NA())</f>
        <v>#N/A</v>
      </c>
      <c r="D962" t="e">
        <f ca="1">IFERROR(计算区域!AL964,NA())</f>
        <v>#N/A</v>
      </c>
      <c r="E962" t="e">
        <f ca="1">IFERROR(计算区域!AM964,NA())</f>
        <v>#N/A</v>
      </c>
      <c r="G962" t="e">
        <f ca="1">IFERROR(计算区域!AD964,NA())</f>
        <v>#N/A</v>
      </c>
      <c r="H962" t="e">
        <f ca="1">IFERROR(计算区域!AE964,NA())</f>
        <v>#N/A</v>
      </c>
      <c r="I962" t="e">
        <f ca="1">IFERROR(计算区域!AF964,NA())</f>
        <v>#N/A</v>
      </c>
      <c r="J962" t="e">
        <f ca="1">IFERROR(计算区域!AG964,NA())</f>
        <v>#N/A</v>
      </c>
      <c r="L962" t="e">
        <f ca="1">IFERROR(计算区域!L964,NA())</f>
        <v>#N/A</v>
      </c>
      <c r="M962" t="e">
        <f ca="1">IFERROR(计算区域!M964,NA())</f>
        <v>#N/A</v>
      </c>
      <c r="N962" t="e">
        <f ca="1">IFERROR(计算区域!N964,NA())</f>
        <v>#N/A</v>
      </c>
      <c r="O962" t="e">
        <f ca="1">IFERROR(计算区域!O964,NA())</f>
        <v>#N/A</v>
      </c>
      <c r="Q962" t="e">
        <f ca="1">IFERROR(计算区域!R964,NA())</f>
        <v>#N/A</v>
      </c>
      <c r="R962" t="e">
        <f ca="1">IFERROR(计算区域!S964,NA())</f>
        <v>#N/A</v>
      </c>
      <c r="S962" t="e">
        <f ca="1">IFERROR(计算区域!T964,NA())</f>
        <v>#N/A</v>
      </c>
      <c r="T962" t="e">
        <f ca="1">IFERROR(计算区域!U964,NA())</f>
        <v>#N/A</v>
      </c>
      <c r="V962" t="e">
        <f ca="1">IFERROR(计算区域!X964,NA())</f>
        <v>#N/A</v>
      </c>
      <c r="W962" t="e">
        <f ca="1">IFERROR(计算区域!Y964,NA())</f>
        <v>#N/A</v>
      </c>
      <c r="X962" t="e">
        <f ca="1">IFERROR(计算区域!Z964,NA())</f>
        <v>#N/A</v>
      </c>
      <c r="Y962" t="e">
        <f ca="1">IFERROR(计算区域!AA964,NA())</f>
        <v>#N/A</v>
      </c>
    </row>
    <row r="963" spans="1:25" x14ac:dyDescent="0.2">
      <c r="A963" s="28">
        <f>计算区域!E965</f>
        <v>44028</v>
      </c>
      <c r="B963" t="e">
        <f ca="1">IFERROR(计算区域!AJ965,NA())</f>
        <v>#N/A</v>
      </c>
      <c r="C963" t="e">
        <f ca="1">IFERROR(计算区域!AK965,NA())</f>
        <v>#N/A</v>
      </c>
      <c r="D963" t="e">
        <f ca="1">IFERROR(计算区域!AL965,NA())</f>
        <v>#N/A</v>
      </c>
      <c r="E963" t="e">
        <f ca="1">IFERROR(计算区域!AM965,NA())</f>
        <v>#N/A</v>
      </c>
      <c r="G963" t="e">
        <f ca="1">IFERROR(计算区域!AD965,NA())</f>
        <v>#N/A</v>
      </c>
      <c r="H963" t="e">
        <f ca="1">IFERROR(计算区域!AE965,NA())</f>
        <v>#N/A</v>
      </c>
      <c r="I963" t="e">
        <f ca="1">IFERROR(计算区域!AF965,NA())</f>
        <v>#N/A</v>
      </c>
      <c r="J963" t="e">
        <f ca="1">IFERROR(计算区域!AG965,NA())</f>
        <v>#N/A</v>
      </c>
      <c r="L963" t="e">
        <f ca="1">IFERROR(计算区域!L965,NA())</f>
        <v>#N/A</v>
      </c>
      <c r="M963" t="e">
        <f ca="1">IFERROR(计算区域!M965,NA())</f>
        <v>#N/A</v>
      </c>
      <c r="N963" t="e">
        <f ca="1">IFERROR(计算区域!N965,NA())</f>
        <v>#N/A</v>
      </c>
      <c r="O963" t="e">
        <f ca="1">IFERROR(计算区域!O965,NA())</f>
        <v>#N/A</v>
      </c>
      <c r="Q963" t="e">
        <f ca="1">IFERROR(计算区域!R965,NA())</f>
        <v>#N/A</v>
      </c>
      <c r="R963" t="e">
        <f ca="1">IFERROR(计算区域!S965,NA())</f>
        <v>#N/A</v>
      </c>
      <c r="S963" t="e">
        <f ca="1">IFERROR(计算区域!T965,NA())</f>
        <v>#N/A</v>
      </c>
      <c r="T963" t="e">
        <f ca="1">IFERROR(计算区域!U965,NA())</f>
        <v>#N/A</v>
      </c>
      <c r="V963" t="e">
        <f ca="1">IFERROR(计算区域!X965,NA())</f>
        <v>#N/A</v>
      </c>
      <c r="W963" t="e">
        <f ca="1">IFERROR(计算区域!Y965,NA())</f>
        <v>#N/A</v>
      </c>
      <c r="X963" t="e">
        <f ca="1">IFERROR(计算区域!Z965,NA())</f>
        <v>#N/A</v>
      </c>
      <c r="Y963" t="e">
        <f ca="1">IFERROR(计算区域!AA965,NA())</f>
        <v>#N/A</v>
      </c>
    </row>
    <row r="964" spans="1:25" x14ac:dyDescent="0.2">
      <c r="A964" s="28">
        <f>计算区域!E966</f>
        <v>44027</v>
      </c>
      <c r="B964" t="e">
        <f ca="1">IFERROR(计算区域!AJ966,NA())</f>
        <v>#N/A</v>
      </c>
      <c r="C964" t="e">
        <f ca="1">IFERROR(计算区域!AK966,NA())</f>
        <v>#N/A</v>
      </c>
      <c r="D964" t="e">
        <f ca="1">IFERROR(计算区域!AL966,NA())</f>
        <v>#N/A</v>
      </c>
      <c r="E964" t="e">
        <f ca="1">IFERROR(计算区域!AM966,NA())</f>
        <v>#N/A</v>
      </c>
      <c r="G964" t="e">
        <f ca="1">IFERROR(计算区域!AD966,NA())</f>
        <v>#N/A</v>
      </c>
      <c r="H964" t="e">
        <f ca="1">IFERROR(计算区域!AE966,NA())</f>
        <v>#N/A</v>
      </c>
      <c r="I964" t="e">
        <f ca="1">IFERROR(计算区域!AF966,NA())</f>
        <v>#N/A</v>
      </c>
      <c r="J964" t="e">
        <f ca="1">IFERROR(计算区域!AG966,NA())</f>
        <v>#N/A</v>
      </c>
      <c r="L964" t="e">
        <f ca="1">IFERROR(计算区域!L966,NA())</f>
        <v>#N/A</v>
      </c>
      <c r="M964" t="e">
        <f ca="1">IFERROR(计算区域!M966,NA())</f>
        <v>#N/A</v>
      </c>
      <c r="N964" t="e">
        <f ca="1">IFERROR(计算区域!N966,NA())</f>
        <v>#N/A</v>
      </c>
      <c r="O964" t="e">
        <f ca="1">IFERROR(计算区域!O966,NA())</f>
        <v>#N/A</v>
      </c>
      <c r="Q964" t="e">
        <f ca="1">IFERROR(计算区域!R966,NA())</f>
        <v>#N/A</v>
      </c>
      <c r="R964" t="e">
        <f ca="1">IFERROR(计算区域!S966,NA())</f>
        <v>#N/A</v>
      </c>
      <c r="S964" t="e">
        <f ca="1">IFERROR(计算区域!T966,NA())</f>
        <v>#N/A</v>
      </c>
      <c r="T964" t="e">
        <f ca="1">IFERROR(计算区域!U966,NA())</f>
        <v>#N/A</v>
      </c>
      <c r="V964" t="e">
        <f ca="1">IFERROR(计算区域!X966,NA())</f>
        <v>#N/A</v>
      </c>
      <c r="W964" t="e">
        <f ca="1">IFERROR(计算区域!Y966,NA())</f>
        <v>#N/A</v>
      </c>
      <c r="X964" t="e">
        <f ca="1">IFERROR(计算区域!Z966,NA())</f>
        <v>#N/A</v>
      </c>
      <c r="Y964" t="e">
        <f ca="1">IFERROR(计算区域!AA966,NA())</f>
        <v>#N/A</v>
      </c>
    </row>
    <row r="965" spans="1:25" x14ac:dyDescent="0.2">
      <c r="A965" s="28">
        <f>计算区域!E967</f>
        <v>44026</v>
      </c>
      <c r="B965" t="e">
        <f ca="1">IFERROR(计算区域!AJ967,NA())</f>
        <v>#N/A</v>
      </c>
      <c r="C965" t="e">
        <f ca="1">IFERROR(计算区域!AK967,NA())</f>
        <v>#N/A</v>
      </c>
      <c r="D965" t="e">
        <f ca="1">IFERROR(计算区域!AL967,NA())</f>
        <v>#N/A</v>
      </c>
      <c r="E965" t="e">
        <f ca="1">IFERROR(计算区域!AM967,NA())</f>
        <v>#N/A</v>
      </c>
      <c r="G965" t="e">
        <f ca="1">IFERROR(计算区域!AD967,NA())</f>
        <v>#N/A</v>
      </c>
      <c r="H965" t="e">
        <f ca="1">IFERROR(计算区域!AE967,NA())</f>
        <v>#N/A</v>
      </c>
      <c r="I965" t="e">
        <f ca="1">IFERROR(计算区域!AF967,NA())</f>
        <v>#N/A</v>
      </c>
      <c r="J965" t="e">
        <f ca="1">IFERROR(计算区域!AG967,NA())</f>
        <v>#N/A</v>
      </c>
      <c r="L965" t="e">
        <f ca="1">IFERROR(计算区域!L967,NA())</f>
        <v>#N/A</v>
      </c>
      <c r="M965" t="e">
        <f ca="1">IFERROR(计算区域!M967,NA())</f>
        <v>#N/A</v>
      </c>
      <c r="N965" t="e">
        <f ca="1">IFERROR(计算区域!N967,NA())</f>
        <v>#N/A</v>
      </c>
      <c r="O965" t="e">
        <f ca="1">IFERROR(计算区域!O967,NA())</f>
        <v>#N/A</v>
      </c>
      <c r="Q965" t="e">
        <f ca="1">IFERROR(计算区域!R967,NA())</f>
        <v>#N/A</v>
      </c>
      <c r="R965" t="e">
        <f ca="1">IFERROR(计算区域!S967,NA())</f>
        <v>#N/A</v>
      </c>
      <c r="S965" t="e">
        <f ca="1">IFERROR(计算区域!T967,NA())</f>
        <v>#N/A</v>
      </c>
      <c r="T965" t="e">
        <f ca="1">IFERROR(计算区域!U967,NA())</f>
        <v>#N/A</v>
      </c>
      <c r="V965" t="e">
        <f ca="1">IFERROR(计算区域!X967,NA())</f>
        <v>#N/A</v>
      </c>
      <c r="W965" t="e">
        <f ca="1">IFERROR(计算区域!Y967,NA())</f>
        <v>#N/A</v>
      </c>
      <c r="X965" t="e">
        <f ca="1">IFERROR(计算区域!Z967,NA())</f>
        <v>#N/A</v>
      </c>
      <c r="Y965" t="e">
        <f ca="1">IFERROR(计算区域!AA967,NA())</f>
        <v>#N/A</v>
      </c>
    </row>
    <row r="966" spans="1:25" x14ac:dyDescent="0.2">
      <c r="A966" s="28">
        <f>计算区域!E968</f>
        <v>44025</v>
      </c>
      <c r="B966" t="e">
        <f ca="1">IFERROR(计算区域!AJ968,NA())</f>
        <v>#N/A</v>
      </c>
      <c r="C966" t="e">
        <f ca="1">IFERROR(计算区域!AK968,NA())</f>
        <v>#N/A</v>
      </c>
      <c r="D966" t="e">
        <f ca="1">IFERROR(计算区域!AL968,NA())</f>
        <v>#N/A</v>
      </c>
      <c r="E966" t="e">
        <f ca="1">IFERROR(计算区域!AM968,NA())</f>
        <v>#N/A</v>
      </c>
      <c r="G966" t="e">
        <f ca="1">IFERROR(计算区域!AD968,NA())</f>
        <v>#N/A</v>
      </c>
      <c r="H966" t="e">
        <f ca="1">IFERROR(计算区域!AE968,NA())</f>
        <v>#N/A</v>
      </c>
      <c r="I966" t="e">
        <f ca="1">IFERROR(计算区域!AF968,NA())</f>
        <v>#N/A</v>
      </c>
      <c r="J966" t="e">
        <f ca="1">IFERROR(计算区域!AG968,NA())</f>
        <v>#N/A</v>
      </c>
      <c r="L966" t="e">
        <f ca="1">IFERROR(计算区域!L968,NA())</f>
        <v>#N/A</v>
      </c>
      <c r="M966" t="e">
        <f ca="1">IFERROR(计算区域!M968,NA())</f>
        <v>#N/A</v>
      </c>
      <c r="N966" t="e">
        <f ca="1">IFERROR(计算区域!N968,NA())</f>
        <v>#N/A</v>
      </c>
      <c r="O966" t="e">
        <f ca="1">IFERROR(计算区域!O968,NA())</f>
        <v>#N/A</v>
      </c>
      <c r="Q966" t="e">
        <f ca="1">IFERROR(计算区域!R968,NA())</f>
        <v>#N/A</v>
      </c>
      <c r="R966" t="e">
        <f ca="1">IFERROR(计算区域!S968,NA())</f>
        <v>#N/A</v>
      </c>
      <c r="S966" t="e">
        <f ca="1">IFERROR(计算区域!T968,NA())</f>
        <v>#N/A</v>
      </c>
      <c r="T966" t="e">
        <f ca="1">IFERROR(计算区域!U968,NA())</f>
        <v>#N/A</v>
      </c>
      <c r="V966" t="e">
        <f ca="1">IFERROR(计算区域!X968,NA())</f>
        <v>#N/A</v>
      </c>
      <c r="W966" t="e">
        <f ca="1">IFERROR(计算区域!Y968,NA())</f>
        <v>#N/A</v>
      </c>
      <c r="X966" t="e">
        <f ca="1">IFERROR(计算区域!Z968,NA())</f>
        <v>#N/A</v>
      </c>
      <c r="Y966" t="e">
        <f ca="1">IFERROR(计算区域!AA968,NA())</f>
        <v>#N/A</v>
      </c>
    </row>
    <row r="967" spans="1:25" x14ac:dyDescent="0.2">
      <c r="A967" s="28">
        <f>计算区域!E969</f>
        <v>44022</v>
      </c>
      <c r="B967" t="e">
        <f ca="1">IFERROR(计算区域!AJ969,NA())</f>
        <v>#N/A</v>
      </c>
      <c r="C967" t="e">
        <f ca="1">IFERROR(计算区域!AK969,NA())</f>
        <v>#N/A</v>
      </c>
      <c r="D967" t="e">
        <f ca="1">IFERROR(计算区域!AL969,NA())</f>
        <v>#N/A</v>
      </c>
      <c r="E967" t="e">
        <f ca="1">IFERROR(计算区域!AM969,NA())</f>
        <v>#N/A</v>
      </c>
      <c r="G967" t="e">
        <f ca="1">IFERROR(计算区域!AD969,NA())</f>
        <v>#N/A</v>
      </c>
      <c r="H967" t="e">
        <f ca="1">IFERROR(计算区域!AE969,NA())</f>
        <v>#N/A</v>
      </c>
      <c r="I967" t="e">
        <f ca="1">IFERROR(计算区域!AF969,NA())</f>
        <v>#N/A</v>
      </c>
      <c r="J967" t="e">
        <f ca="1">IFERROR(计算区域!AG969,NA())</f>
        <v>#N/A</v>
      </c>
      <c r="L967" t="e">
        <f ca="1">IFERROR(计算区域!L969,NA())</f>
        <v>#N/A</v>
      </c>
      <c r="M967" t="e">
        <f ca="1">IFERROR(计算区域!M969,NA())</f>
        <v>#N/A</v>
      </c>
      <c r="N967" t="e">
        <f ca="1">IFERROR(计算区域!N969,NA())</f>
        <v>#N/A</v>
      </c>
      <c r="O967" t="e">
        <f ca="1">IFERROR(计算区域!O969,NA())</f>
        <v>#N/A</v>
      </c>
      <c r="Q967" t="e">
        <f ca="1">IFERROR(计算区域!R969,NA())</f>
        <v>#N/A</v>
      </c>
      <c r="R967" t="e">
        <f ca="1">IFERROR(计算区域!S969,NA())</f>
        <v>#N/A</v>
      </c>
      <c r="S967" t="e">
        <f ca="1">IFERROR(计算区域!T969,NA())</f>
        <v>#N/A</v>
      </c>
      <c r="T967" t="e">
        <f ca="1">IFERROR(计算区域!U969,NA())</f>
        <v>#N/A</v>
      </c>
      <c r="V967" t="e">
        <f ca="1">IFERROR(计算区域!X969,NA())</f>
        <v>#N/A</v>
      </c>
      <c r="W967" t="e">
        <f ca="1">IFERROR(计算区域!Y969,NA())</f>
        <v>#N/A</v>
      </c>
      <c r="X967" t="e">
        <f ca="1">IFERROR(计算区域!Z969,NA())</f>
        <v>#N/A</v>
      </c>
      <c r="Y967" t="e">
        <f ca="1">IFERROR(计算区域!AA969,NA())</f>
        <v>#N/A</v>
      </c>
    </row>
    <row r="968" spans="1:25" x14ac:dyDescent="0.2">
      <c r="A968" s="28">
        <f>计算区域!E970</f>
        <v>44021</v>
      </c>
      <c r="B968" t="e">
        <f ca="1">IFERROR(计算区域!AJ970,NA())</f>
        <v>#N/A</v>
      </c>
      <c r="C968" t="e">
        <f ca="1">IFERROR(计算区域!AK970,NA())</f>
        <v>#N/A</v>
      </c>
      <c r="D968" t="e">
        <f ca="1">IFERROR(计算区域!AL970,NA())</f>
        <v>#N/A</v>
      </c>
      <c r="E968" t="e">
        <f ca="1">IFERROR(计算区域!AM970,NA())</f>
        <v>#N/A</v>
      </c>
      <c r="G968" t="e">
        <f ca="1">IFERROR(计算区域!AD970,NA())</f>
        <v>#N/A</v>
      </c>
      <c r="H968" t="e">
        <f ca="1">IFERROR(计算区域!AE970,NA())</f>
        <v>#N/A</v>
      </c>
      <c r="I968" t="e">
        <f ca="1">IFERROR(计算区域!AF970,NA())</f>
        <v>#N/A</v>
      </c>
      <c r="J968" t="e">
        <f ca="1">IFERROR(计算区域!AG970,NA())</f>
        <v>#N/A</v>
      </c>
      <c r="L968" t="e">
        <f ca="1">IFERROR(计算区域!L970,NA())</f>
        <v>#N/A</v>
      </c>
      <c r="M968" t="e">
        <f ca="1">IFERROR(计算区域!M970,NA())</f>
        <v>#N/A</v>
      </c>
      <c r="N968" t="e">
        <f ca="1">IFERROR(计算区域!N970,NA())</f>
        <v>#N/A</v>
      </c>
      <c r="O968" t="e">
        <f ca="1">IFERROR(计算区域!O970,NA())</f>
        <v>#N/A</v>
      </c>
      <c r="Q968" t="e">
        <f ca="1">IFERROR(计算区域!R970,NA())</f>
        <v>#N/A</v>
      </c>
      <c r="R968" t="e">
        <f ca="1">IFERROR(计算区域!S970,NA())</f>
        <v>#N/A</v>
      </c>
      <c r="S968" t="e">
        <f ca="1">IFERROR(计算区域!T970,NA())</f>
        <v>#N/A</v>
      </c>
      <c r="T968" t="e">
        <f ca="1">IFERROR(计算区域!U970,NA())</f>
        <v>#N/A</v>
      </c>
      <c r="V968" t="e">
        <f ca="1">IFERROR(计算区域!X970,NA())</f>
        <v>#N/A</v>
      </c>
      <c r="W968" t="e">
        <f ca="1">IFERROR(计算区域!Y970,NA())</f>
        <v>#N/A</v>
      </c>
      <c r="X968" t="e">
        <f ca="1">IFERROR(计算区域!Z970,NA())</f>
        <v>#N/A</v>
      </c>
      <c r="Y968" t="e">
        <f ca="1">IFERROR(计算区域!AA970,NA())</f>
        <v>#N/A</v>
      </c>
    </row>
    <row r="969" spans="1:25" x14ac:dyDescent="0.2">
      <c r="A969" s="28">
        <f>计算区域!E971</f>
        <v>44020</v>
      </c>
      <c r="B969" t="e">
        <f ca="1">IFERROR(计算区域!AJ971,NA())</f>
        <v>#N/A</v>
      </c>
      <c r="C969" t="e">
        <f ca="1">IFERROR(计算区域!AK971,NA())</f>
        <v>#N/A</v>
      </c>
      <c r="D969" t="e">
        <f ca="1">IFERROR(计算区域!AL971,NA())</f>
        <v>#N/A</v>
      </c>
      <c r="E969" t="e">
        <f ca="1">IFERROR(计算区域!AM971,NA())</f>
        <v>#N/A</v>
      </c>
      <c r="G969" t="e">
        <f ca="1">IFERROR(计算区域!AD971,NA())</f>
        <v>#N/A</v>
      </c>
      <c r="H969" t="e">
        <f ca="1">IFERROR(计算区域!AE971,NA())</f>
        <v>#N/A</v>
      </c>
      <c r="I969" t="e">
        <f ca="1">IFERROR(计算区域!AF971,NA())</f>
        <v>#N/A</v>
      </c>
      <c r="J969" t="e">
        <f ca="1">IFERROR(计算区域!AG971,NA())</f>
        <v>#N/A</v>
      </c>
      <c r="L969" t="e">
        <f ca="1">IFERROR(计算区域!L971,NA())</f>
        <v>#N/A</v>
      </c>
      <c r="M969" t="e">
        <f ca="1">IFERROR(计算区域!M971,NA())</f>
        <v>#N/A</v>
      </c>
      <c r="N969" t="e">
        <f ca="1">IFERROR(计算区域!N971,NA())</f>
        <v>#N/A</v>
      </c>
      <c r="O969" t="e">
        <f ca="1">IFERROR(计算区域!O971,NA())</f>
        <v>#N/A</v>
      </c>
      <c r="Q969" t="e">
        <f ca="1">IFERROR(计算区域!R971,NA())</f>
        <v>#N/A</v>
      </c>
      <c r="R969" t="e">
        <f ca="1">IFERROR(计算区域!S971,NA())</f>
        <v>#N/A</v>
      </c>
      <c r="S969" t="e">
        <f ca="1">IFERROR(计算区域!T971,NA())</f>
        <v>#N/A</v>
      </c>
      <c r="T969" t="e">
        <f ca="1">IFERROR(计算区域!U971,NA())</f>
        <v>#N/A</v>
      </c>
      <c r="V969" t="e">
        <f ca="1">IFERROR(计算区域!X971,NA())</f>
        <v>#N/A</v>
      </c>
      <c r="W969" t="e">
        <f ca="1">IFERROR(计算区域!Y971,NA())</f>
        <v>#N/A</v>
      </c>
      <c r="X969" t="e">
        <f ca="1">IFERROR(计算区域!Z971,NA())</f>
        <v>#N/A</v>
      </c>
      <c r="Y969" t="e">
        <f ca="1">IFERROR(计算区域!AA971,NA())</f>
        <v>#N/A</v>
      </c>
    </row>
    <row r="970" spans="1:25" x14ac:dyDescent="0.2">
      <c r="A970" s="28">
        <f>计算区域!E972</f>
        <v>44019</v>
      </c>
      <c r="B970" t="e">
        <f ca="1">IFERROR(计算区域!AJ972,NA())</f>
        <v>#N/A</v>
      </c>
      <c r="C970" t="e">
        <f ca="1">IFERROR(计算区域!AK972,NA())</f>
        <v>#N/A</v>
      </c>
      <c r="D970" t="e">
        <f ca="1">IFERROR(计算区域!AL972,NA())</f>
        <v>#N/A</v>
      </c>
      <c r="E970" t="e">
        <f ca="1">IFERROR(计算区域!AM972,NA())</f>
        <v>#N/A</v>
      </c>
      <c r="G970" t="e">
        <f ca="1">IFERROR(计算区域!AD972,NA())</f>
        <v>#N/A</v>
      </c>
      <c r="H970" t="e">
        <f ca="1">IFERROR(计算区域!AE972,NA())</f>
        <v>#N/A</v>
      </c>
      <c r="I970" t="e">
        <f ca="1">IFERROR(计算区域!AF972,NA())</f>
        <v>#N/A</v>
      </c>
      <c r="J970" t="e">
        <f ca="1">IFERROR(计算区域!AG972,NA())</f>
        <v>#N/A</v>
      </c>
      <c r="L970" t="e">
        <f ca="1">IFERROR(计算区域!L972,NA())</f>
        <v>#N/A</v>
      </c>
      <c r="M970" t="e">
        <f ca="1">IFERROR(计算区域!M972,NA())</f>
        <v>#N/A</v>
      </c>
      <c r="N970" t="e">
        <f ca="1">IFERROR(计算区域!N972,NA())</f>
        <v>#N/A</v>
      </c>
      <c r="O970" t="e">
        <f ca="1">IFERROR(计算区域!O972,NA())</f>
        <v>#N/A</v>
      </c>
      <c r="Q970" t="e">
        <f ca="1">IFERROR(计算区域!R972,NA())</f>
        <v>#N/A</v>
      </c>
      <c r="R970" t="e">
        <f ca="1">IFERROR(计算区域!S972,NA())</f>
        <v>#N/A</v>
      </c>
      <c r="S970" t="e">
        <f ca="1">IFERROR(计算区域!T972,NA())</f>
        <v>#N/A</v>
      </c>
      <c r="T970" t="e">
        <f ca="1">IFERROR(计算区域!U972,NA())</f>
        <v>#N/A</v>
      </c>
      <c r="V970" t="e">
        <f ca="1">IFERROR(计算区域!X972,NA())</f>
        <v>#N/A</v>
      </c>
      <c r="W970" t="e">
        <f ca="1">IFERROR(计算区域!Y972,NA())</f>
        <v>#N/A</v>
      </c>
      <c r="X970" t="e">
        <f ca="1">IFERROR(计算区域!Z972,NA())</f>
        <v>#N/A</v>
      </c>
      <c r="Y970" t="e">
        <f ca="1">IFERROR(计算区域!AA972,NA())</f>
        <v>#N/A</v>
      </c>
    </row>
    <row r="971" spans="1:25" x14ac:dyDescent="0.2">
      <c r="A971" s="28">
        <f>计算区域!E973</f>
        <v>44018</v>
      </c>
      <c r="B971" t="e">
        <f ca="1">IFERROR(计算区域!AJ973,NA())</f>
        <v>#N/A</v>
      </c>
      <c r="C971" t="e">
        <f ca="1">IFERROR(计算区域!AK973,NA())</f>
        <v>#N/A</v>
      </c>
      <c r="D971" t="e">
        <f ca="1">IFERROR(计算区域!AL973,NA())</f>
        <v>#N/A</v>
      </c>
      <c r="E971" t="e">
        <f ca="1">IFERROR(计算区域!AM973,NA())</f>
        <v>#N/A</v>
      </c>
      <c r="G971" t="e">
        <f ca="1">IFERROR(计算区域!AD973,NA())</f>
        <v>#N/A</v>
      </c>
      <c r="H971" t="e">
        <f ca="1">IFERROR(计算区域!AE973,NA())</f>
        <v>#N/A</v>
      </c>
      <c r="I971" t="e">
        <f ca="1">IFERROR(计算区域!AF973,NA())</f>
        <v>#N/A</v>
      </c>
      <c r="J971" t="e">
        <f ca="1">IFERROR(计算区域!AG973,NA())</f>
        <v>#N/A</v>
      </c>
      <c r="L971" t="e">
        <f ca="1">IFERROR(计算区域!L973,NA())</f>
        <v>#N/A</v>
      </c>
      <c r="M971" t="e">
        <f ca="1">IFERROR(计算区域!M973,NA())</f>
        <v>#N/A</v>
      </c>
      <c r="N971" t="e">
        <f ca="1">IFERROR(计算区域!N973,NA())</f>
        <v>#N/A</v>
      </c>
      <c r="O971" t="e">
        <f ca="1">IFERROR(计算区域!O973,NA())</f>
        <v>#N/A</v>
      </c>
      <c r="Q971" t="e">
        <f ca="1">IFERROR(计算区域!R973,NA())</f>
        <v>#N/A</v>
      </c>
      <c r="R971" t="e">
        <f ca="1">IFERROR(计算区域!S973,NA())</f>
        <v>#N/A</v>
      </c>
      <c r="S971" t="e">
        <f ca="1">IFERROR(计算区域!T973,NA())</f>
        <v>#N/A</v>
      </c>
      <c r="T971" t="e">
        <f ca="1">IFERROR(计算区域!U973,NA())</f>
        <v>#N/A</v>
      </c>
      <c r="V971" t="e">
        <f ca="1">IFERROR(计算区域!X973,NA())</f>
        <v>#N/A</v>
      </c>
      <c r="W971" t="e">
        <f ca="1">IFERROR(计算区域!Y973,NA())</f>
        <v>#N/A</v>
      </c>
      <c r="X971" t="e">
        <f ca="1">IFERROR(计算区域!Z973,NA())</f>
        <v>#N/A</v>
      </c>
      <c r="Y971" t="e">
        <f ca="1">IFERROR(计算区域!AA973,NA())</f>
        <v>#N/A</v>
      </c>
    </row>
    <row r="972" spans="1:25" x14ac:dyDescent="0.2">
      <c r="A972" s="28">
        <f>计算区域!E974</f>
        <v>44015</v>
      </c>
      <c r="B972" t="e">
        <f ca="1">IFERROR(计算区域!AJ974,NA())</f>
        <v>#N/A</v>
      </c>
      <c r="C972" t="e">
        <f ca="1">IFERROR(计算区域!AK974,NA())</f>
        <v>#N/A</v>
      </c>
      <c r="D972" t="e">
        <f ca="1">IFERROR(计算区域!AL974,NA())</f>
        <v>#N/A</v>
      </c>
      <c r="E972" t="e">
        <f ca="1">IFERROR(计算区域!AM974,NA())</f>
        <v>#N/A</v>
      </c>
      <c r="G972" t="e">
        <f ca="1">IFERROR(计算区域!AD974,NA())</f>
        <v>#N/A</v>
      </c>
      <c r="H972" t="e">
        <f ca="1">IFERROR(计算区域!AE974,NA())</f>
        <v>#N/A</v>
      </c>
      <c r="I972" t="e">
        <f ca="1">IFERROR(计算区域!AF974,NA())</f>
        <v>#N/A</v>
      </c>
      <c r="J972" t="e">
        <f ca="1">IFERROR(计算区域!AG974,NA())</f>
        <v>#N/A</v>
      </c>
      <c r="L972" t="e">
        <f ca="1">IFERROR(计算区域!L974,NA())</f>
        <v>#N/A</v>
      </c>
      <c r="M972" t="e">
        <f ca="1">IFERROR(计算区域!M974,NA())</f>
        <v>#N/A</v>
      </c>
      <c r="N972" t="e">
        <f ca="1">IFERROR(计算区域!N974,NA())</f>
        <v>#N/A</v>
      </c>
      <c r="O972" t="e">
        <f ca="1">IFERROR(计算区域!O974,NA())</f>
        <v>#N/A</v>
      </c>
      <c r="Q972" t="e">
        <f ca="1">IFERROR(计算区域!R974,NA())</f>
        <v>#N/A</v>
      </c>
      <c r="R972" t="e">
        <f ca="1">IFERROR(计算区域!S974,NA())</f>
        <v>#N/A</v>
      </c>
      <c r="S972" t="e">
        <f ca="1">IFERROR(计算区域!T974,NA())</f>
        <v>#N/A</v>
      </c>
      <c r="T972" t="e">
        <f ca="1">IFERROR(计算区域!U974,NA())</f>
        <v>#N/A</v>
      </c>
      <c r="V972" t="e">
        <f ca="1">IFERROR(计算区域!X974,NA())</f>
        <v>#N/A</v>
      </c>
      <c r="W972" t="e">
        <f ca="1">IFERROR(计算区域!Y974,NA())</f>
        <v>#N/A</v>
      </c>
      <c r="X972" t="e">
        <f ca="1">IFERROR(计算区域!Z974,NA())</f>
        <v>#N/A</v>
      </c>
      <c r="Y972" t="e">
        <f ca="1">IFERROR(计算区域!AA974,NA())</f>
        <v>#N/A</v>
      </c>
    </row>
    <row r="973" spans="1:25" x14ac:dyDescent="0.2">
      <c r="A973" s="28">
        <f>计算区域!E975</f>
        <v>44014</v>
      </c>
      <c r="B973" t="e">
        <f ca="1">IFERROR(计算区域!AJ975,NA())</f>
        <v>#N/A</v>
      </c>
      <c r="C973" t="e">
        <f ca="1">IFERROR(计算区域!AK975,NA())</f>
        <v>#N/A</v>
      </c>
      <c r="D973" t="e">
        <f ca="1">IFERROR(计算区域!AL975,NA())</f>
        <v>#N/A</v>
      </c>
      <c r="E973" t="e">
        <f ca="1">IFERROR(计算区域!AM975,NA())</f>
        <v>#N/A</v>
      </c>
      <c r="G973" t="e">
        <f ca="1">IFERROR(计算区域!AD975,NA())</f>
        <v>#N/A</v>
      </c>
      <c r="H973" t="e">
        <f ca="1">IFERROR(计算区域!AE975,NA())</f>
        <v>#N/A</v>
      </c>
      <c r="I973" t="e">
        <f ca="1">IFERROR(计算区域!AF975,NA())</f>
        <v>#N/A</v>
      </c>
      <c r="J973" t="e">
        <f ca="1">IFERROR(计算区域!AG975,NA())</f>
        <v>#N/A</v>
      </c>
      <c r="L973" t="e">
        <f ca="1">IFERROR(计算区域!L975,NA())</f>
        <v>#N/A</v>
      </c>
      <c r="M973" t="e">
        <f ca="1">IFERROR(计算区域!M975,NA())</f>
        <v>#N/A</v>
      </c>
      <c r="N973" t="e">
        <f ca="1">IFERROR(计算区域!N975,NA())</f>
        <v>#N/A</v>
      </c>
      <c r="O973" t="e">
        <f ca="1">IFERROR(计算区域!O975,NA())</f>
        <v>#N/A</v>
      </c>
      <c r="Q973" t="e">
        <f ca="1">IFERROR(计算区域!R975,NA())</f>
        <v>#N/A</v>
      </c>
      <c r="R973" t="e">
        <f ca="1">IFERROR(计算区域!S975,NA())</f>
        <v>#N/A</v>
      </c>
      <c r="S973" t="e">
        <f ca="1">IFERROR(计算区域!T975,NA())</f>
        <v>#N/A</v>
      </c>
      <c r="T973" t="e">
        <f ca="1">IFERROR(计算区域!U975,NA())</f>
        <v>#N/A</v>
      </c>
      <c r="V973" t="e">
        <f ca="1">IFERROR(计算区域!X975,NA())</f>
        <v>#N/A</v>
      </c>
      <c r="W973" t="e">
        <f ca="1">IFERROR(计算区域!Y975,NA())</f>
        <v>#N/A</v>
      </c>
      <c r="X973" t="e">
        <f ca="1">IFERROR(计算区域!Z975,NA())</f>
        <v>#N/A</v>
      </c>
      <c r="Y973" t="e">
        <f ca="1">IFERROR(计算区域!AA975,NA())</f>
        <v>#N/A</v>
      </c>
    </row>
    <row r="974" spans="1:25" x14ac:dyDescent="0.2">
      <c r="A974" s="28">
        <f>计算区域!E976</f>
        <v>44013</v>
      </c>
      <c r="B974" t="e">
        <f ca="1">IFERROR(计算区域!AJ976,NA())</f>
        <v>#N/A</v>
      </c>
      <c r="C974" t="e">
        <f ca="1">IFERROR(计算区域!AK976,NA())</f>
        <v>#N/A</v>
      </c>
      <c r="D974" t="e">
        <f ca="1">IFERROR(计算区域!AL976,NA())</f>
        <v>#N/A</v>
      </c>
      <c r="E974" t="e">
        <f ca="1">IFERROR(计算区域!AM976,NA())</f>
        <v>#N/A</v>
      </c>
      <c r="G974" t="e">
        <f ca="1">IFERROR(计算区域!AD976,NA())</f>
        <v>#N/A</v>
      </c>
      <c r="H974" t="e">
        <f ca="1">IFERROR(计算区域!AE976,NA())</f>
        <v>#N/A</v>
      </c>
      <c r="I974" t="e">
        <f ca="1">IFERROR(计算区域!AF976,NA())</f>
        <v>#N/A</v>
      </c>
      <c r="J974" t="e">
        <f ca="1">IFERROR(计算区域!AG976,NA())</f>
        <v>#N/A</v>
      </c>
      <c r="L974" t="e">
        <f ca="1">IFERROR(计算区域!L976,NA())</f>
        <v>#N/A</v>
      </c>
      <c r="M974" t="e">
        <f ca="1">IFERROR(计算区域!M976,NA())</f>
        <v>#N/A</v>
      </c>
      <c r="N974" t="e">
        <f ca="1">IFERROR(计算区域!N976,NA())</f>
        <v>#N/A</v>
      </c>
      <c r="O974" t="e">
        <f ca="1">IFERROR(计算区域!O976,NA())</f>
        <v>#N/A</v>
      </c>
      <c r="Q974" t="e">
        <f ca="1">IFERROR(计算区域!R976,NA())</f>
        <v>#N/A</v>
      </c>
      <c r="R974" t="e">
        <f ca="1">IFERROR(计算区域!S976,NA())</f>
        <v>#N/A</v>
      </c>
      <c r="S974" t="e">
        <f ca="1">IFERROR(计算区域!T976,NA())</f>
        <v>#N/A</v>
      </c>
      <c r="T974" t="e">
        <f ca="1">IFERROR(计算区域!U976,NA())</f>
        <v>#N/A</v>
      </c>
      <c r="V974" t="e">
        <f ca="1">IFERROR(计算区域!X976,NA())</f>
        <v>#N/A</v>
      </c>
      <c r="W974" t="e">
        <f ca="1">IFERROR(计算区域!Y976,NA())</f>
        <v>#N/A</v>
      </c>
      <c r="X974" t="e">
        <f ca="1">IFERROR(计算区域!Z976,NA())</f>
        <v>#N/A</v>
      </c>
      <c r="Y974" t="e">
        <f ca="1">IFERROR(计算区域!AA976,NA())</f>
        <v>#N/A</v>
      </c>
    </row>
    <row r="975" spans="1:25" x14ac:dyDescent="0.2">
      <c r="A975" s="28">
        <f>计算区域!E977</f>
        <v>44012</v>
      </c>
      <c r="B975" t="e">
        <f ca="1">IFERROR(计算区域!AJ977,NA())</f>
        <v>#N/A</v>
      </c>
      <c r="C975" t="e">
        <f ca="1">IFERROR(计算区域!AK977,NA())</f>
        <v>#N/A</v>
      </c>
      <c r="D975" t="e">
        <f ca="1">IFERROR(计算区域!AL977,NA())</f>
        <v>#N/A</v>
      </c>
      <c r="E975" t="e">
        <f ca="1">IFERROR(计算区域!AM977,NA())</f>
        <v>#N/A</v>
      </c>
      <c r="G975" t="e">
        <f ca="1">IFERROR(计算区域!AD977,NA())</f>
        <v>#N/A</v>
      </c>
      <c r="H975" t="e">
        <f ca="1">IFERROR(计算区域!AE977,NA())</f>
        <v>#N/A</v>
      </c>
      <c r="I975" t="e">
        <f ca="1">IFERROR(计算区域!AF977,NA())</f>
        <v>#N/A</v>
      </c>
      <c r="J975" t="e">
        <f ca="1">IFERROR(计算区域!AG977,NA())</f>
        <v>#N/A</v>
      </c>
      <c r="L975" t="e">
        <f ca="1">IFERROR(计算区域!L977,NA())</f>
        <v>#N/A</v>
      </c>
      <c r="M975" t="e">
        <f ca="1">IFERROR(计算区域!M977,NA())</f>
        <v>#N/A</v>
      </c>
      <c r="N975" t="e">
        <f ca="1">IFERROR(计算区域!N977,NA())</f>
        <v>#N/A</v>
      </c>
      <c r="O975" t="e">
        <f ca="1">IFERROR(计算区域!O977,NA())</f>
        <v>#N/A</v>
      </c>
      <c r="Q975" t="e">
        <f ca="1">IFERROR(计算区域!R977,NA())</f>
        <v>#N/A</v>
      </c>
      <c r="R975" t="e">
        <f ca="1">IFERROR(计算区域!S977,NA())</f>
        <v>#N/A</v>
      </c>
      <c r="S975" t="e">
        <f ca="1">IFERROR(计算区域!T977,NA())</f>
        <v>#N/A</v>
      </c>
      <c r="T975" t="e">
        <f ca="1">IFERROR(计算区域!U977,NA())</f>
        <v>#N/A</v>
      </c>
      <c r="V975" t="e">
        <f ca="1">IFERROR(计算区域!X977,NA())</f>
        <v>#N/A</v>
      </c>
      <c r="W975" t="e">
        <f ca="1">IFERROR(计算区域!Y977,NA())</f>
        <v>#N/A</v>
      </c>
      <c r="X975" t="e">
        <f ca="1">IFERROR(计算区域!Z977,NA())</f>
        <v>#N/A</v>
      </c>
      <c r="Y975" t="e">
        <f ca="1">IFERROR(计算区域!AA977,NA())</f>
        <v>#N/A</v>
      </c>
    </row>
    <row r="976" spans="1:25" x14ac:dyDescent="0.2">
      <c r="A976" s="28">
        <f>计算区域!E978</f>
        <v>44011</v>
      </c>
      <c r="B976" t="e">
        <f ca="1">IFERROR(计算区域!AJ978,NA())</f>
        <v>#N/A</v>
      </c>
      <c r="C976" t="e">
        <f ca="1">IFERROR(计算区域!AK978,NA())</f>
        <v>#N/A</v>
      </c>
      <c r="D976" t="e">
        <f ca="1">IFERROR(计算区域!AL978,NA())</f>
        <v>#N/A</v>
      </c>
      <c r="E976" t="e">
        <f ca="1">IFERROR(计算区域!AM978,NA())</f>
        <v>#N/A</v>
      </c>
      <c r="G976" t="e">
        <f ca="1">IFERROR(计算区域!AD978,NA())</f>
        <v>#N/A</v>
      </c>
      <c r="H976" t="e">
        <f ca="1">IFERROR(计算区域!AE978,NA())</f>
        <v>#N/A</v>
      </c>
      <c r="I976" t="e">
        <f ca="1">IFERROR(计算区域!AF978,NA())</f>
        <v>#N/A</v>
      </c>
      <c r="J976" t="e">
        <f ca="1">IFERROR(计算区域!AG978,NA())</f>
        <v>#N/A</v>
      </c>
      <c r="L976" t="e">
        <f ca="1">IFERROR(计算区域!L978,NA())</f>
        <v>#N/A</v>
      </c>
      <c r="M976" t="e">
        <f ca="1">IFERROR(计算区域!M978,NA())</f>
        <v>#N/A</v>
      </c>
      <c r="N976" t="e">
        <f ca="1">IFERROR(计算区域!N978,NA())</f>
        <v>#N/A</v>
      </c>
      <c r="O976" t="e">
        <f ca="1">IFERROR(计算区域!O978,NA())</f>
        <v>#N/A</v>
      </c>
      <c r="Q976" t="e">
        <f ca="1">IFERROR(计算区域!R978,NA())</f>
        <v>#N/A</v>
      </c>
      <c r="R976" t="e">
        <f ca="1">IFERROR(计算区域!S978,NA())</f>
        <v>#N/A</v>
      </c>
      <c r="S976" t="e">
        <f ca="1">IFERROR(计算区域!T978,NA())</f>
        <v>#N/A</v>
      </c>
      <c r="T976" t="e">
        <f ca="1">IFERROR(计算区域!U978,NA())</f>
        <v>#N/A</v>
      </c>
      <c r="V976" t="e">
        <f ca="1">IFERROR(计算区域!X978,NA())</f>
        <v>#N/A</v>
      </c>
      <c r="W976" t="e">
        <f ca="1">IFERROR(计算区域!Y978,NA())</f>
        <v>#N/A</v>
      </c>
      <c r="X976" t="e">
        <f ca="1">IFERROR(计算区域!Z978,NA())</f>
        <v>#N/A</v>
      </c>
      <c r="Y976" t="e">
        <f ca="1">IFERROR(计算区域!AA978,NA())</f>
        <v>#N/A</v>
      </c>
    </row>
    <row r="977" spans="1:25" x14ac:dyDescent="0.2">
      <c r="A977" s="28">
        <f>计算区域!E979</f>
        <v>44006</v>
      </c>
      <c r="B977" t="e">
        <f ca="1">IFERROR(计算区域!AJ979,NA())</f>
        <v>#N/A</v>
      </c>
      <c r="C977" t="e">
        <f ca="1">IFERROR(计算区域!AK979,NA())</f>
        <v>#N/A</v>
      </c>
      <c r="D977" t="e">
        <f ca="1">IFERROR(计算区域!AL979,NA())</f>
        <v>#N/A</v>
      </c>
      <c r="E977" t="e">
        <f ca="1">IFERROR(计算区域!AM979,NA())</f>
        <v>#N/A</v>
      </c>
      <c r="G977" t="e">
        <f ca="1">IFERROR(计算区域!AD979,NA())</f>
        <v>#N/A</v>
      </c>
      <c r="H977" t="e">
        <f ca="1">IFERROR(计算区域!AE979,NA())</f>
        <v>#N/A</v>
      </c>
      <c r="I977" t="e">
        <f ca="1">IFERROR(计算区域!AF979,NA())</f>
        <v>#N/A</v>
      </c>
      <c r="J977" t="e">
        <f ca="1">IFERROR(计算区域!AG979,NA())</f>
        <v>#N/A</v>
      </c>
      <c r="L977" t="e">
        <f ca="1">IFERROR(计算区域!L979,NA())</f>
        <v>#N/A</v>
      </c>
      <c r="M977" t="e">
        <f ca="1">IFERROR(计算区域!M979,NA())</f>
        <v>#N/A</v>
      </c>
      <c r="N977" t="e">
        <f ca="1">IFERROR(计算区域!N979,NA())</f>
        <v>#N/A</v>
      </c>
      <c r="O977" t="e">
        <f ca="1">IFERROR(计算区域!O979,NA())</f>
        <v>#N/A</v>
      </c>
      <c r="Q977" t="e">
        <f ca="1">IFERROR(计算区域!R979,NA())</f>
        <v>#N/A</v>
      </c>
      <c r="R977" t="e">
        <f ca="1">IFERROR(计算区域!S979,NA())</f>
        <v>#N/A</v>
      </c>
      <c r="S977" t="e">
        <f ca="1">IFERROR(计算区域!T979,NA())</f>
        <v>#N/A</v>
      </c>
      <c r="T977" t="e">
        <f ca="1">IFERROR(计算区域!U979,NA())</f>
        <v>#N/A</v>
      </c>
      <c r="V977" t="e">
        <f ca="1">IFERROR(计算区域!X979,NA())</f>
        <v>#N/A</v>
      </c>
      <c r="W977" t="e">
        <f ca="1">IFERROR(计算区域!Y979,NA())</f>
        <v>#N/A</v>
      </c>
      <c r="X977" t="e">
        <f ca="1">IFERROR(计算区域!Z979,NA())</f>
        <v>#N/A</v>
      </c>
      <c r="Y977" t="e">
        <f ca="1">IFERROR(计算区域!AA979,NA())</f>
        <v>#N/A</v>
      </c>
    </row>
    <row r="978" spans="1:25" x14ac:dyDescent="0.2">
      <c r="A978" s="28">
        <f>计算区域!E980</f>
        <v>44005</v>
      </c>
      <c r="B978" t="e">
        <f ca="1">IFERROR(计算区域!AJ980,NA())</f>
        <v>#N/A</v>
      </c>
      <c r="C978" t="e">
        <f ca="1">IFERROR(计算区域!AK980,NA())</f>
        <v>#N/A</v>
      </c>
      <c r="D978" t="e">
        <f ca="1">IFERROR(计算区域!AL980,NA())</f>
        <v>#N/A</v>
      </c>
      <c r="E978" t="e">
        <f ca="1">IFERROR(计算区域!AM980,NA())</f>
        <v>#N/A</v>
      </c>
      <c r="G978" t="e">
        <f ca="1">IFERROR(计算区域!AD980,NA())</f>
        <v>#N/A</v>
      </c>
      <c r="H978" t="e">
        <f ca="1">IFERROR(计算区域!AE980,NA())</f>
        <v>#N/A</v>
      </c>
      <c r="I978" t="e">
        <f ca="1">IFERROR(计算区域!AF980,NA())</f>
        <v>#N/A</v>
      </c>
      <c r="J978" t="e">
        <f ca="1">IFERROR(计算区域!AG980,NA())</f>
        <v>#N/A</v>
      </c>
      <c r="L978" t="e">
        <f ca="1">IFERROR(计算区域!L980,NA())</f>
        <v>#N/A</v>
      </c>
      <c r="M978" t="e">
        <f ca="1">IFERROR(计算区域!M980,NA())</f>
        <v>#N/A</v>
      </c>
      <c r="N978" t="e">
        <f ca="1">IFERROR(计算区域!N980,NA())</f>
        <v>#N/A</v>
      </c>
      <c r="O978" t="e">
        <f ca="1">IFERROR(计算区域!O980,NA())</f>
        <v>#N/A</v>
      </c>
      <c r="Q978" t="e">
        <f ca="1">IFERROR(计算区域!R980,NA())</f>
        <v>#N/A</v>
      </c>
      <c r="R978" t="e">
        <f ca="1">IFERROR(计算区域!S980,NA())</f>
        <v>#N/A</v>
      </c>
      <c r="S978" t="e">
        <f ca="1">IFERROR(计算区域!T980,NA())</f>
        <v>#N/A</v>
      </c>
      <c r="T978" t="e">
        <f ca="1">IFERROR(计算区域!U980,NA())</f>
        <v>#N/A</v>
      </c>
      <c r="V978" t="e">
        <f ca="1">IFERROR(计算区域!X980,NA())</f>
        <v>#N/A</v>
      </c>
      <c r="W978" t="e">
        <f ca="1">IFERROR(计算区域!Y980,NA())</f>
        <v>#N/A</v>
      </c>
      <c r="X978" t="e">
        <f ca="1">IFERROR(计算区域!Z980,NA())</f>
        <v>#N/A</v>
      </c>
      <c r="Y978" t="e">
        <f ca="1">IFERROR(计算区域!AA980,NA())</f>
        <v>#N/A</v>
      </c>
    </row>
    <row r="979" spans="1:25" x14ac:dyDescent="0.2">
      <c r="A979" s="28">
        <f>计算区域!E981</f>
        <v>44004</v>
      </c>
      <c r="B979" t="e">
        <f ca="1">IFERROR(计算区域!AJ981,NA())</f>
        <v>#N/A</v>
      </c>
      <c r="C979" t="e">
        <f ca="1">IFERROR(计算区域!AK981,NA())</f>
        <v>#N/A</v>
      </c>
      <c r="D979" t="e">
        <f ca="1">IFERROR(计算区域!AL981,NA())</f>
        <v>#N/A</v>
      </c>
      <c r="E979" t="e">
        <f ca="1">IFERROR(计算区域!AM981,NA())</f>
        <v>#N/A</v>
      </c>
      <c r="G979" t="e">
        <f ca="1">IFERROR(计算区域!AD981,NA())</f>
        <v>#N/A</v>
      </c>
      <c r="H979" t="e">
        <f ca="1">IFERROR(计算区域!AE981,NA())</f>
        <v>#N/A</v>
      </c>
      <c r="I979" t="e">
        <f ca="1">IFERROR(计算区域!AF981,NA())</f>
        <v>#N/A</v>
      </c>
      <c r="J979" t="e">
        <f ca="1">IFERROR(计算区域!AG981,NA())</f>
        <v>#N/A</v>
      </c>
      <c r="L979" t="e">
        <f ca="1">IFERROR(计算区域!L981,NA())</f>
        <v>#N/A</v>
      </c>
      <c r="M979" t="e">
        <f ca="1">IFERROR(计算区域!M981,NA())</f>
        <v>#N/A</v>
      </c>
      <c r="N979" t="e">
        <f ca="1">IFERROR(计算区域!N981,NA())</f>
        <v>#N/A</v>
      </c>
      <c r="O979" t="e">
        <f ca="1">IFERROR(计算区域!O981,NA())</f>
        <v>#N/A</v>
      </c>
      <c r="Q979" t="e">
        <f ca="1">IFERROR(计算区域!R981,NA())</f>
        <v>#N/A</v>
      </c>
      <c r="R979" t="e">
        <f ca="1">IFERROR(计算区域!S981,NA())</f>
        <v>#N/A</v>
      </c>
      <c r="S979" t="e">
        <f ca="1">IFERROR(计算区域!T981,NA())</f>
        <v>#N/A</v>
      </c>
      <c r="T979" t="e">
        <f ca="1">IFERROR(计算区域!U981,NA())</f>
        <v>#N/A</v>
      </c>
      <c r="V979" t="e">
        <f ca="1">IFERROR(计算区域!X981,NA())</f>
        <v>#N/A</v>
      </c>
      <c r="W979" t="e">
        <f ca="1">IFERROR(计算区域!Y981,NA())</f>
        <v>#N/A</v>
      </c>
      <c r="X979" t="e">
        <f ca="1">IFERROR(计算区域!Z981,NA())</f>
        <v>#N/A</v>
      </c>
      <c r="Y979" t="e">
        <f ca="1">IFERROR(计算区域!AA981,NA())</f>
        <v>#N/A</v>
      </c>
    </row>
    <row r="980" spans="1:25" x14ac:dyDescent="0.2">
      <c r="A980" s="28">
        <f>计算区域!E982</f>
        <v>44001</v>
      </c>
      <c r="B980" t="e">
        <f ca="1">IFERROR(计算区域!AJ982,NA())</f>
        <v>#N/A</v>
      </c>
      <c r="C980" t="e">
        <f ca="1">IFERROR(计算区域!AK982,NA())</f>
        <v>#N/A</v>
      </c>
      <c r="D980" t="e">
        <f ca="1">IFERROR(计算区域!AL982,NA())</f>
        <v>#N/A</v>
      </c>
      <c r="E980" t="e">
        <f ca="1">IFERROR(计算区域!AM982,NA())</f>
        <v>#N/A</v>
      </c>
      <c r="G980" t="e">
        <f ca="1">IFERROR(计算区域!AD982,NA())</f>
        <v>#N/A</v>
      </c>
      <c r="H980" t="e">
        <f ca="1">IFERROR(计算区域!AE982,NA())</f>
        <v>#N/A</v>
      </c>
      <c r="I980" t="e">
        <f ca="1">IFERROR(计算区域!AF982,NA())</f>
        <v>#N/A</v>
      </c>
      <c r="J980" t="e">
        <f ca="1">IFERROR(计算区域!AG982,NA())</f>
        <v>#N/A</v>
      </c>
      <c r="L980" t="e">
        <f ca="1">IFERROR(计算区域!L982,NA())</f>
        <v>#N/A</v>
      </c>
      <c r="M980" t="e">
        <f ca="1">IFERROR(计算区域!M982,NA())</f>
        <v>#N/A</v>
      </c>
      <c r="N980" t="e">
        <f ca="1">IFERROR(计算区域!N982,NA())</f>
        <v>#N/A</v>
      </c>
      <c r="O980" t="e">
        <f ca="1">IFERROR(计算区域!O982,NA())</f>
        <v>#N/A</v>
      </c>
      <c r="Q980" t="e">
        <f ca="1">IFERROR(计算区域!R982,NA())</f>
        <v>#N/A</v>
      </c>
      <c r="R980" t="e">
        <f ca="1">IFERROR(计算区域!S982,NA())</f>
        <v>#N/A</v>
      </c>
      <c r="S980" t="e">
        <f ca="1">IFERROR(计算区域!T982,NA())</f>
        <v>#N/A</v>
      </c>
      <c r="T980" t="e">
        <f ca="1">IFERROR(计算区域!U982,NA())</f>
        <v>#N/A</v>
      </c>
      <c r="V980" t="e">
        <f ca="1">IFERROR(计算区域!X982,NA())</f>
        <v>#N/A</v>
      </c>
      <c r="W980" t="e">
        <f ca="1">IFERROR(计算区域!Y982,NA())</f>
        <v>#N/A</v>
      </c>
      <c r="X980" t="e">
        <f ca="1">IFERROR(计算区域!Z982,NA())</f>
        <v>#N/A</v>
      </c>
      <c r="Y980" t="e">
        <f ca="1">IFERROR(计算区域!AA982,NA())</f>
        <v>#N/A</v>
      </c>
    </row>
    <row r="981" spans="1:25" x14ac:dyDescent="0.2">
      <c r="A981" s="28">
        <f>计算区域!E983</f>
        <v>44000</v>
      </c>
      <c r="B981" t="e">
        <f ca="1">IFERROR(计算区域!AJ983,NA())</f>
        <v>#N/A</v>
      </c>
      <c r="C981" t="e">
        <f ca="1">IFERROR(计算区域!AK983,NA())</f>
        <v>#N/A</v>
      </c>
      <c r="D981" t="e">
        <f ca="1">IFERROR(计算区域!AL983,NA())</f>
        <v>#N/A</v>
      </c>
      <c r="E981" t="e">
        <f ca="1">IFERROR(计算区域!AM983,NA())</f>
        <v>#N/A</v>
      </c>
      <c r="G981" t="e">
        <f ca="1">IFERROR(计算区域!AD983,NA())</f>
        <v>#N/A</v>
      </c>
      <c r="H981" t="e">
        <f ca="1">IFERROR(计算区域!AE983,NA())</f>
        <v>#N/A</v>
      </c>
      <c r="I981" t="e">
        <f ca="1">IFERROR(计算区域!AF983,NA())</f>
        <v>#N/A</v>
      </c>
      <c r="J981" t="e">
        <f ca="1">IFERROR(计算区域!AG983,NA())</f>
        <v>#N/A</v>
      </c>
      <c r="L981" t="e">
        <f ca="1">IFERROR(计算区域!L983,NA())</f>
        <v>#N/A</v>
      </c>
      <c r="M981" t="e">
        <f ca="1">IFERROR(计算区域!M983,NA())</f>
        <v>#N/A</v>
      </c>
      <c r="N981" t="e">
        <f ca="1">IFERROR(计算区域!N983,NA())</f>
        <v>#N/A</v>
      </c>
      <c r="O981" t="e">
        <f ca="1">IFERROR(计算区域!O983,NA())</f>
        <v>#N/A</v>
      </c>
      <c r="Q981" t="e">
        <f ca="1">IFERROR(计算区域!R983,NA())</f>
        <v>#N/A</v>
      </c>
      <c r="R981" t="e">
        <f ca="1">IFERROR(计算区域!S983,NA())</f>
        <v>#N/A</v>
      </c>
      <c r="S981" t="e">
        <f ca="1">IFERROR(计算区域!T983,NA())</f>
        <v>#N/A</v>
      </c>
      <c r="T981" t="e">
        <f ca="1">IFERROR(计算区域!U983,NA())</f>
        <v>#N/A</v>
      </c>
      <c r="V981" t="e">
        <f ca="1">IFERROR(计算区域!X983,NA())</f>
        <v>#N/A</v>
      </c>
      <c r="W981" t="e">
        <f ca="1">IFERROR(计算区域!Y983,NA())</f>
        <v>#N/A</v>
      </c>
      <c r="X981" t="e">
        <f ca="1">IFERROR(计算区域!Z983,NA())</f>
        <v>#N/A</v>
      </c>
      <c r="Y981" t="e">
        <f ca="1">IFERROR(计算区域!AA983,NA())</f>
        <v>#N/A</v>
      </c>
    </row>
    <row r="982" spans="1:25" x14ac:dyDescent="0.2">
      <c r="A982" s="28">
        <f>计算区域!E984</f>
        <v>43999</v>
      </c>
      <c r="B982" t="e">
        <f ca="1">IFERROR(计算区域!AJ984,NA())</f>
        <v>#N/A</v>
      </c>
      <c r="C982" t="e">
        <f ca="1">IFERROR(计算区域!AK984,NA())</f>
        <v>#N/A</v>
      </c>
      <c r="D982" t="e">
        <f ca="1">IFERROR(计算区域!AL984,NA())</f>
        <v>#N/A</v>
      </c>
      <c r="E982" t="e">
        <f ca="1">IFERROR(计算区域!AM984,NA())</f>
        <v>#N/A</v>
      </c>
      <c r="G982" t="e">
        <f ca="1">IFERROR(计算区域!AD984,NA())</f>
        <v>#N/A</v>
      </c>
      <c r="H982" t="e">
        <f ca="1">IFERROR(计算区域!AE984,NA())</f>
        <v>#N/A</v>
      </c>
      <c r="I982" t="e">
        <f ca="1">IFERROR(计算区域!AF984,NA())</f>
        <v>#N/A</v>
      </c>
      <c r="J982" t="e">
        <f ca="1">IFERROR(计算区域!AG984,NA())</f>
        <v>#N/A</v>
      </c>
      <c r="L982" t="e">
        <f ca="1">IFERROR(计算区域!L984,NA())</f>
        <v>#N/A</v>
      </c>
      <c r="M982" t="e">
        <f ca="1">IFERROR(计算区域!M984,NA())</f>
        <v>#N/A</v>
      </c>
      <c r="N982" t="e">
        <f ca="1">IFERROR(计算区域!N984,NA())</f>
        <v>#N/A</v>
      </c>
      <c r="O982" t="e">
        <f ca="1">IFERROR(计算区域!O984,NA())</f>
        <v>#N/A</v>
      </c>
      <c r="Q982" t="e">
        <f ca="1">IFERROR(计算区域!R984,NA())</f>
        <v>#N/A</v>
      </c>
      <c r="R982" t="e">
        <f ca="1">IFERROR(计算区域!S984,NA())</f>
        <v>#N/A</v>
      </c>
      <c r="S982" t="e">
        <f ca="1">IFERROR(计算区域!T984,NA())</f>
        <v>#N/A</v>
      </c>
      <c r="T982" t="e">
        <f ca="1">IFERROR(计算区域!U984,NA())</f>
        <v>#N/A</v>
      </c>
      <c r="V982" t="e">
        <f ca="1">IFERROR(计算区域!X984,NA())</f>
        <v>#N/A</v>
      </c>
      <c r="W982" t="e">
        <f ca="1">IFERROR(计算区域!Y984,NA())</f>
        <v>#N/A</v>
      </c>
      <c r="X982" t="e">
        <f ca="1">IFERROR(计算区域!Z984,NA())</f>
        <v>#N/A</v>
      </c>
      <c r="Y982" t="e">
        <f ca="1">IFERROR(计算区域!AA984,NA())</f>
        <v>#N/A</v>
      </c>
    </row>
    <row r="983" spans="1:25" x14ac:dyDescent="0.2">
      <c r="A983" s="28">
        <f>计算区域!E985</f>
        <v>43998</v>
      </c>
      <c r="B983" t="e">
        <f ca="1">IFERROR(计算区域!AJ985,NA())</f>
        <v>#N/A</v>
      </c>
      <c r="C983" t="e">
        <f ca="1">IFERROR(计算区域!AK985,NA())</f>
        <v>#N/A</v>
      </c>
      <c r="D983" t="e">
        <f ca="1">IFERROR(计算区域!AL985,NA())</f>
        <v>#N/A</v>
      </c>
      <c r="E983" t="e">
        <f ca="1">IFERROR(计算区域!AM985,NA())</f>
        <v>#N/A</v>
      </c>
      <c r="G983" t="e">
        <f ca="1">IFERROR(计算区域!AD985,NA())</f>
        <v>#N/A</v>
      </c>
      <c r="H983" t="e">
        <f ca="1">IFERROR(计算区域!AE985,NA())</f>
        <v>#N/A</v>
      </c>
      <c r="I983" t="e">
        <f ca="1">IFERROR(计算区域!AF985,NA())</f>
        <v>#N/A</v>
      </c>
      <c r="J983" t="e">
        <f ca="1">IFERROR(计算区域!AG985,NA())</f>
        <v>#N/A</v>
      </c>
      <c r="L983" t="e">
        <f ca="1">IFERROR(计算区域!L985,NA())</f>
        <v>#N/A</v>
      </c>
      <c r="M983" t="e">
        <f ca="1">IFERROR(计算区域!M985,NA())</f>
        <v>#N/A</v>
      </c>
      <c r="N983" t="e">
        <f ca="1">IFERROR(计算区域!N985,NA())</f>
        <v>#N/A</v>
      </c>
      <c r="O983" t="e">
        <f ca="1">IFERROR(计算区域!O985,NA())</f>
        <v>#N/A</v>
      </c>
      <c r="Q983" t="e">
        <f ca="1">IFERROR(计算区域!R985,NA())</f>
        <v>#N/A</v>
      </c>
      <c r="R983" t="e">
        <f ca="1">IFERROR(计算区域!S985,NA())</f>
        <v>#N/A</v>
      </c>
      <c r="S983" t="e">
        <f ca="1">IFERROR(计算区域!T985,NA())</f>
        <v>#N/A</v>
      </c>
      <c r="T983" t="e">
        <f ca="1">IFERROR(计算区域!U985,NA())</f>
        <v>#N/A</v>
      </c>
      <c r="V983" t="e">
        <f ca="1">IFERROR(计算区域!X985,NA())</f>
        <v>#N/A</v>
      </c>
      <c r="W983" t="e">
        <f ca="1">IFERROR(计算区域!Y985,NA())</f>
        <v>#N/A</v>
      </c>
      <c r="X983" t="e">
        <f ca="1">IFERROR(计算区域!Z985,NA())</f>
        <v>#N/A</v>
      </c>
      <c r="Y983" t="e">
        <f ca="1">IFERROR(计算区域!AA985,NA())</f>
        <v>#N/A</v>
      </c>
    </row>
    <row r="984" spans="1:25" x14ac:dyDescent="0.2">
      <c r="A984" s="28">
        <f>计算区域!E986</f>
        <v>43997</v>
      </c>
      <c r="B984" t="e">
        <f ca="1">IFERROR(计算区域!AJ986,NA())</f>
        <v>#N/A</v>
      </c>
      <c r="C984" t="e">
        <f ca="1">IFERROR(计算区域!AK986,NA())</f>
        <v>#N/A</v>
      </c>
      <c r="D984" t="e">
        <f ca="1">IFERROR(计算区域!AL986,NA())</f>
        <v>#N/A</v>
      </c>
      <c r="E984" t="e">
        <f ca="1">IFERROR(计算区域!AM986,NA())</f>
        <v>#N/A</v>
      </c>
      <c r="G984" t="e">
        <f ca="1">IFERROR(计算区域!AD986,NA())</f>
        <v>#N/A</v>
      </c>
      <c r="H984" t="e">
        <f ca="1">IFERROR(计算区域!AE986,NA())</f>
        <v>#N/A</v>
      </c>
      <c r="I984" t="e">
        <f ca="1">IFERROR(计算区域!AF986,NA())</f>
        <v>#N/A</v>
      </c>
      <c r="J984" t="e">
        <f ca="1">IFERROR(计算区域!AG986,NA())</f>
        <v>#N/A</v>
      </c>
      <c r="L984" t="e">
        <f ca="1">IFERROR(计算区域!L986,NA())</f>
        <v>#N/A</v>
      </c>
      <c r="M984" t="e">
        <f ca="1">IFERROR(计算区域!M986,NA())</f>
        <v>#N/A</v>
      </c>
      <c r="N984" t="e">
        <f ca="1">IFERROR(计算区域!N986,NA())</f>
        <v>#N/A</v>
      </c>
      <c r="O984" t="e">
        <f ca="1">IFERROR(计算区域!O986,NA())</f>
        <v>#N/A</v>
      </c>
      <c r="Q984" t="e">
        <f ca="1">IFERROR(计算区域!R986,NA())</f>
        <v>#N/A</v>
      </c>
      <c r="R984" t="e">
        <f ca="1">IFERROR(计算区域!S986,NA())</f>
        <v>#N/A</v>
      </c>
      <c r="S984" t="e">
        <f ca="1">IFERROR(计算区域!T986,NA())</f>
        <v>#N/A</v>
      </c>
      <c r="T984" t="e">
        <f ca="1">IFERROR(计算区域!U986,NA())</f>
        <v>#N/A</v>
      </c>
      <c r="V984" t="e">
        <f ca="1">IFERROR(计算区域!X986,NA())</f>
        <v>#N/A</v>
      </c>
      <c r="W984" t="e">
        <f ca="1">IFERROR(计算区域!Y986,NA())</f>
        <v>#N/A</v>
      </c>
      <c r="X984" t="e">
        <f ca="1">IFERROR(计算区域!Z986,NA())</f>
        <v>#N/A</v>
      </c>
      <c r="Y984" t="e">
        <f ca="1">IFERROR(计算区域!AA986,NA())</f>
        <v>#N/A</v>
      </c>
    </row>
    <row r="985" spans="1:25" x14ac:dyDescent="0.2">
      <c r="A985" s="28">
        <f>计算区域!E987</f>
        <v>43994</v>
      </c>
      <c r="B985" t="e">
        <f ca="1">IFERROR(计算区域!AJ987,NA())</f>
        <v>#N/A</v>
      </c>
      <c r="C985" t="e">
        <f ca="1">IFERROR(计算区域!AK987,NA())</f>
        <v>#N/A</v>
      </c>
      <c r="D985" t="e">
        <f ca="1">IFERROR(计算区域!AL987,NA())</f>
        <v>#N/A</v>
      </c>
      <c r="E985" t="e">
        <f ca="1">IFERROR(计算区域!AM987,NA())</f>
        <v>#N/A</v>
      </c>
      <c r="G985" t="e">
        <f ca="1">IFERROR(计算区域!AD987,NA())</f>
        <v>#N/A</v>
      </c>
      <c r="H985" t="e">
        <f ca="1">IFERROR(计算区域!AE987,NA())</f>
        <v>#N/A</v>
      </c>
      <c r="I985" t="e">
        <f ca="1">IFERROR(计算区域!AF987,NA())</f>
        <v>#N/A</v>
      </c>
      <c r="J985" t="e">
        <f ca="1">IFERROR(计算区域!AG987,NA())</f>
        <v>#N/A</v>
      </c>
      <c r="L985" t="e">
        <f ca="1">IFERROR(计算区域!L987,NA())</f>
        <v>#N/A</v>
      </c>
      <c r="M985" t="e">
        <f ca="1">IFERROR(计算区域!M987,NA())</f>
        <v>#N/A</v>
      </c>
      <c r="N985" t="e">
        <f ca="1">IFERROR(计算区域!N987,NA())</f>
        <v>#N/A</v>
      </c>
      <c r="O985" t="e">
        <f ca="1">IFERROR(计算区域!O987,NA())</f>
        <v>#N/A</v>
      </c>
      <c r="Q985" t="e">
        <f ca="1">IFERROR(计算区域!R987,NA())</f>
        <v>#N/A</v>
      </c>
      <c r="R985" t="e">
        <f ca="1">IFERROR(计算区域!S987,NA())</f>
        <v>#N/A</v>
      </c>
      <c r="S985" t="e">
        <f ca="1">IFERROR(计算区域!T987,NA())</f>
        <v>#N/A</v>
      </c>
      <c r="T985" t="e">
        <f ca="1">IFERROR(计算区域!U987,NA())</f>
        <v>#N/A</v>
      </c>
      <c r="V985" t="e">
        <f ca="1">IFERROR(计算区域!X987,NA())</f>
        <v>#N/A</v>
      </c>
      <c r="W985" t="e">
        <f ca="1">IFERROR(计算区域!Y987,NA())</f>
        <v>#N/A</v>
      </c>
      <c r="X985" t="e">
        <f ca="1">IFERROR(计算区域!Z987,NA())</f>
        <v>#N/A</v>
      </c>
      <c r="Y985" t="e">
        <f ca="1">IFERROR(计算区域!AA987,NA())</f>
        <v>#N/A</v>
      </c>
    </row>
    <row r="986" spans="1:25" x14ac:dyDescent="0.2">
      <c r="A986" s="28">
        <f>计算区域!E988</f>
        <v>43993</v>
      </c>
      <c r="B986" t="e">
        <f ca="1">IFERROR(计算区域!AJ988,NA())</f>
        <v>#N/A</v>
      </c>
      <c r="C986" t="e">
        <f ca="1">IFERROR(计算区域!AK988,NA())</f>
        <v>#N/A</v>
      </c>
      <c r="D986" t="e">
        <f ca="1">IFERROR(计算区域!AL988,NA())</f>
        <v>#N/A</v>
      </c>
      <c r="E986" t="e">
        <f ca="1">IFERROR(计算区域!AM988,NA())</f>
        <v>#N/A</v>
      </c>
      <c r="G986" t="e">
        <f ca="1">IFERROR(计算区域!AD988,NA())</f>
        <v>#N/A</v>
      </c>
      <c r="H986" t="e">
        <f ca="1">IFERROR(计算区域!AE988,NA())</f>
        <v>#N/A</v>
      </c>
      <c r="I986" t="e">
        <f ca="1">IFERROR(计算区域!AF988,NA())</f>
        <v>#N/A</v>
      </c>
      <c r="J986" t="e">
        <f ca="1">IFERROR(计算区域!AG988,NA())</f>
        <v>#N/A</v>
      </c>
      <c r="L986" t="e">
        <f ca="1">IFERROR(计算区域!L988,NA())</f>
        <v>#N/A</v>
      </c>
      <c r="M986" t="e">
        <f ca="1">IFERROR(计算区域!M988,NA())</f>
        <v>#N/A</v>
      </c>
      <c r="N986" t="e">
        <f ca="1">IFERROR(计算区域!N988,NA())</f>
        <v>#N/A</v>
      </c>
      <c r="O986" t="e">
        <f ca="1">IFERROR(计算区域!O988,NA())</f>
        <v>#N/A</v>
      </c>
      <c r="Q986" t="e">
        <f ca="1">IFERROR(计算区域!R988,NA())</f>
        <v>#N/A</v>
      </c>
      <c r="R986" t="e">
        <f ca="1">IFERROR(计算区域!S988,NA())</f>
        <v>#N/A</v>
      </c>
      <c r="S986" t="e">
        <f ca="1">IFERROR(计算区域!T988,NA())</f>
        <v>#N/A</v>
      </c>
      <c r="T986" t="e">
        <f ca="1">IFERROR(计算区域!U988,NA())</f>
        <v>#N/A</v>
      </c>
      <c r="V986" t="e">
        <f ca="1">IFERROR(计算区域!X988,NA())</f>
        <v>#N/A</v>
      </c>
      <c r="W986" t="e">
        <f ca="1">IFERROR(计算区域!Y988,NA())</f>
        <v>#N/A</v>
      </c>
      <c r="X986" t="e">
        <f ca="1">IFERROR(计算区域!Z988,NA())</f>
        <v>#N/A</v>
      </c>
      <c r="Y986" t="e">
        <f ca="1">IFERROR(计算区域!AA988,NA())</f>
        <v>#N/A</v>
      </c>
    </row>
    <row r="987" spans="1:25" x14ac:dyDescent="0.2">
      <c r="A987" s="28">
        <f>计算区域!E989</f>
        <v>43992</v>
      </c>
      <c r="B987" t="e">
        <f ca="1">IFERROR(计算区域!AJ989,NA())</f>
        <v>#N/A</v>
      </c>
      <c r="C987" t="e">
        <f ca="1">IFERROR(计算区域!AK989,NA())</f>
        <v>#N/A</v>
      </c>
      <c r="D987" t="e">
        <f ca="1">IFERROR(计算区域!AL989,NA())</f>
        <v>#N/A</v>
      </c>
      <c r="E987" t="e">
        <f ca="1">IFERROR(计算区域!AM989,NA())</f>
        <v>#N/A</v>
      </c>
      <c r="G987" t="e">
        <f ca="1">IFERROR(计算区域!AD989,NA())</f>
        <v>#N/A</v>
      </c>
      <c r="H987" t="e">
        <f ca="1">IFERROR(计算区域!AE989,NA())</f>
        <v>#N/A</v>
      </c>
      <c r="I987" t="e">
        <f ca="1">IFERROR(计算区域!AF989,NA())</f>
        <v>#N/A</v>
      </c>
      <c r="J987" t="e">
        <f ca="1">IFERROR(计算区域!AG989,NA())</f>
        <v>#N/A</v>
      </c>
      <c r="L987" t="e">
        <f ca="1">IFERROR(计算区域!L989,NA())</f>
        <v>#N/A</v>
      </c>
      <c r="M987" t="e">
        <f ca="1">IFERROR(计算区域!M989,NA())</f>
        <v>#N/A</v>
      </c>
      <c r="N987" t="e">
        <f ca="1">IFERROR(计算区域!N989,NA())</f>
        <v>#N/A</v>
      </c>
      <c r="O987" t="e">
        <f ca="1">IFERROR(计算区域!O989,NA())</f>
        <v>#N/A</v>
      </c>
      <c r="Q987" t="e">
        <f ca="1">IFERROR(计算区域!R989,NA())</f>
        <v>#N/A</v>
      </c>
      <c r="R987" t="e">
        <f ca="1">IFERROR(计算区域!S989,NA())</f>
        <v>#N/A</v>
      </c>
      <c r="S987" t="e">
        <f ca="1">IFERROR(计算区域!T989,NA())</f>
        <v>#N/A</v>
      </c>
      <c r="T987" t="e">
        <f ca="1">IFERROR(计算区域!U989,NA())</f>
        <v>#N/A</v>
      </c>
      <c r="V987" t="e">
        <f ca="1">IFERROR(计算区域!X989,NA())</f>
        <v>#N/A</v>
      </c>
      <c r="W987" t="e">
        <f ca="1">IFERROR(计算区域!Y989,NA())</f>
        <v>#N/A</v>
      </c>
      <c r="X987" t="e">
        <f ca="1">IFERROR(计算区域!Z989,NA())</f>
        <v>#N/A</v>
      </c>
      <c r="Y987" t="e">
        <f ca="1">IFERROR(计算区域!AA989,NA())</f>
        <v>#N/A</v>
      </c>
    </row>
    <row r="988" spans="1:25" x14ac:dyDescent="0.2">
      <c r="A988" s="28">
        <f>计算区域!E990</f>
        <v>43991</v>
      </c>
      <c r="B988" t="e">
        <f ca="1">IFERROR(计算区域!AJ990,NA())</f>
        <v>#N/A</v>
      </c>
      <c r="C988" t="e">
        <f ca="1">IFERROR(计算区域!AK990,NA())</f>
        <v>#N/A</v>
      </c>
      <c r="D988" t="e">
        <f ca="1">IFERROR(计算区域!AL990,NA())</f>
        <v>#N/A</v>
      </c>
      <c r="E988" t="e">
        <f ca="1">IFERROR(计算区域!AM990,NA())</f>
        <v>#N/A</v>
      </c>
      <c r="G988" t="e">
        <f ca="1">IFERROR(计算区域!AD990,NA())</f>
        <v>#N/A</v>
      </c>
      <c r="H988" t="e">
        <f ca="1">IFERROR(计算区域!AE990,NA())</f>
        <v>#N/A</v>
      </c>
      <c r="I988" t="e">
        <f ca="1">IFERROR(计算区域!AF990,NA())</f>
        <v>#N/A</v>
      </c>
      <c r="J988" t="e">
        <f ca="1">IFERROR(计算区域!AG990,NA())</f>
        <v>#N/A</v>
      </c>
      <c r="L988" t="e">
        <f ca="1">IFERROR(计算区域!L990,NA())</f>
        <v>#N/A</v>
      </c>
      <c r="M988" t="e">
        <f ca="1">IFERROR(计算区域!M990,NA())</f>
        <v>#N/A</v>
      </c>
      <c r="N988" t="e">
        <f ca="1">IFERROR(计算区域!N990,NA())</f>
        <v>#N/A</v>
      </c>
      <c r="O988" t="e">
        <f ca="1">IFERROR(计算区域!O990,NA())</f>
        <v>#N/A</v>
      </c>
      <c r="Q988" t="e">
        <f ca="1">IFERROR(计算区域!R990,NA())</f>
        <v>#N/A</v>
      </c>
      <c r="R988" t="e">
        <f ca="1">IFERROR(计算区域!S990,NA())</f>
        <v>#N/A</v>
      </c>
      <c r="S988" t="e">
        <f ca="1">IFERROR(计算区域!T990,NA())</f>
        <v>#N/A</v>
      </c>
      <c r="T988" t="e">
        <f ca="1">IFERROR(计算区域!U990,NA())</f>
        <v>#N/A</v>
      </c>
      <c r="V988" t="e">
        <f ca="1">IFERROR(计算区域!X990,NA())</f>
        <v>#N/A</v>
      </c>
      <c r="W988" t="e">
        <f ca="1">IFERROR(计算区域!Y990,NA())</f>
        <v>#N/A</v>
      </c>
      <c r="X988" t="e">
        <f ca="1">IFERROR(计算区域!Z990,NA())</f>
        <v>#N/A</v>
      </c>
      <c r="Y988" t="e">
        <f ca="1">IFERROR(计算区域!AA990,NA())</f>
        <v>#N/A</v>
      </c>
    </row>
    <row r="989" spans="1:25" x14ac:dyDescent="0.2">
      <c r="A989" s="28">
        <f>计算区域!E991</f>
        <v>43990</v>
      </c>
      <c r="B989" t="e">
        <f ca="1">IFERROR(计算区域!AJ991,NA())</f>
        <v>#N/A</v>
      </c>
      <c r="C989" t="e">
        <f ca="1">IFERROR(计算区域!AK991,NA())</f>
        <v>#N/A</v>
      </c>
      <c r="D989" t="e">
        <f ca="1">IFERROR(计算区域!AL991,NA())</f>
        <v>#N/A</v>
      </c>
      <c r="E989" t="e">
        <f ca="1">IFERROR(计算区域!AM991,NA())</f>
        <v>#N/A</v>
      </c>
      <c r="G989" t="e">
        <f ca="1">IFERROR(计算区域!AD991,NA())</f>
        <v>#N/A</v>
      </c>
      <c r="H989" t="e">
        <f ca="1">IFERROR(计算区域!AE991,NA())</f>
        <v>#N/A</v>
      </c>
      <c r="I989" t="e">
        <f ca="1">IFERROR(计算区域!AF991,NA())</f>
        <v>#N/A</v>
      </c>
      <c r="J989" t="e">
        <f ca="1">IFERROR(计算区域!AG991,NA())</f>
        <v>#N/A</v>
      </c>
      <c r="L989" t="e">
        <f ca="1">IFERROR(计算区域!L991,NA())</f>
        <v>#N/A</v>
      </c>
      <c r="M989" t="e">
        <f ca="1">IFERROR(计算区域!M991,NA())</f>
        <v>#N/A</v>
      </c>
      <c r="N989" t="e">
        <f ca="1">IFERROR(计算区域!N991,NA())</f>
        <v>#N/A</v>
      </c>
      <c r="O989" t="e">
        <f ca="1">IFERROR(计算区域!O991,NA())</f>
        <v>#N/A</v>
      </c>
      <c r="Q989" t="e">
        <f ca="1">IFERROR(计算区域!R991,NA())</f>
        <v>#N/A</v>
      </c>
      <c r="R989" t="e">
        <f ca="1">IFERROR(计算区域!S991,NA())</f>
        <v>#N/A</v>
      </c>
      <c r="S989" t="e">
        <f ca="1">IFERROR(计算区域!T991,NA())</f>
        <v>#N/A</v>
      </c>
      <c r="T989" t="e">
        <f ca="1">IFERROR(计算区域!U991,NA())</f>
        <v>#N/A</v>
      </c>
      <c r="V989" t="e">
        <f ca="1">IFERROR(计算区域!X991,NA())</f>
        <v>#N/A</v>
      </c>
      <c r="W989" t="e">
        <f ca="1">IFERROR(计算区域!Y991,NA())</f>
        <v>#N/A</v>
      </c>
      <c r="X989" t="e">
        <f ca="1">IFERROR(计算区域!Z991,NA())</f>
        <v>#N/A</v>
      </c>
      <c r="Y989" t="e">
        <f ca="1">IFERROR(计算区域!AA991,NA())</f>
        <v>#N/A</v>
      </c>
    </row>
    <row r="990" spans="1:25" x14ac:dyDescent="0.2">
      <c r="A990" s="28">
        <f>计算区域!E992</f>
        <v>43987</v>
      </c>
      <c r="B990" t="e">
        <f ca="1">IFERROR(计算区域!AJ992,NA())</f>
        <v>#N/A</v>
      </c>
      <c r="C990" t="e">
        <f ca="1">IFERROR(计算区域!AK992,NA())</f>
        <v>#N/A</v>
      </c>
      <c r="D990" t="e">
        <f ca="1">IFERROR(计算区域!AL992,NA())</f>
        <v>#N/A</v>
      </c>
      <c r="E990" t="e">
        <f ca="1">IFERROR(计算区域!AM992,NA())</f>
        <v>#N/A</v>
      </c>
      <c r="G990" t="e">
        <f ca="1">IFERROR(计算区域!AD992,NA())</f>
        <v>#N/A</v>
      </c>
      <c r="H990" t="e">
        <f ca="1">IFERROR(计算区域!AE992,NA())</f>
        <v>#N/A</v>
      </c>
      <c r="I990" t="e">
        <f ca="1">IFERROR(计算区域!AF992,NA())</f>
        <v>#N/A</v>
      </c>
      <c r="J990" t="e">
        <f ca="1">IFERROR(计算区域!AG992,NA())</f>
        <v>#N/A</v>
      </c>
      <c r="L990" t="e">
        <f ca="1">IFERROR(计算区域!L992,NA())</f>
        <v>#N/A</v>
      </c>
      <c r="M990" t="e">
        <f ca="1">IFERROR(计算区域!M992,NA())</f>
        <v>#N/A</v>
      </c>
      <c r="N990" t="e">
        <f ca="1">IFERROR(计算区域!N992,NA())</f>
        <v>#N/A</v>
      </c>
      <c r="O990" t="e">
        <f ca="1">IFERROR(计算区域!O992,NA())</f>
        <v>#N/A</v>
      </c>
      <c r="Q990" t="e">
        <f ca="1">IFERROR(计算区域!R992,NA())</f>
        <v>#N/A</v>
      </c>
      <c r="R990" t="e">
        <f ca="1">IFERROR(计算区域!S992,NA())</f>
        <v>#N/A</v>
      </c>
      <c r="S990" t="e">
        <f ca="1">IFERROR(计算区域!T992,NA())</f>
        <v>#N/A</v>
      </c>
      <c r="T990" t="e">
        <f ca="1">IFERROR(计算区域!U992,NA())</f>
        <v>#N/A</v>
      </c>
      <c r="V990" t="e">
        <f ca="1">IFERROR(计算区域!X992,NA())</f>
        <v>#N/A</v>
      </c>
      <c r="W990" t="e">
        <f ca="1">IFERROR(计算区域!Y992,NA())</f>
        <v>#N/A</v>
      </c>
      <c r="X990" t="e">
        <f ca="1">IFERROR(计算区域!Z992,NA())</f>
        <v>#N/A</v>
      </c>
      <c r="Y990" t="e">
        <f ca="1">IFERROR(计算区域!AA992,NA())</f>
        <v>#N/A</v>
      </c>
    </row>
    <row r="991" spans="1:25" x14ac:dyDescent="0.2">
      <c r="A991" s="28">
        <f>计算区域!E993</f>
        <v>43986</v>
      </c>
      <c r="B991" t="e">
        <f ca="1">IFERROR(计算区域!AJ993,NA())</f>
        <v>#N/A</v>
      </c>
      <c r="C991" t="e">
        <f ca="1">IFERROR(计算区域!AK993,NA())</f>
        <v>#N/A</v>
      </c>
      <c r="D991" t="e">
        <f ca="1">IFERROR(计算区域!AL993,NA())</f>
        <v>#N/A</v>
      </c>
      <c r="E991" t="e">
        <f ca="1">IFERROR(计算区域!AM993,NA())</f>
        <v>#N/A</v>
      </c>
      <c r="G991" t="e">
        <f ca="1">IFERROR(计算区域!AD993,NA())</f>
        <v>#N/A</v>
      </c>
      <c r="H991" t="e">
        <f ca="1">IFERROR(计算区域!AE993,NA())</f>
        <v>#N/A</v>
      </c>
      <c r="I991" t="e">
        <f ca="1">IFERROR(计算区域!AF993,NA())</f>
        <v>#N/A</v>
      </c>
      <c r="J991" t="e">
        <f ca="1">IFERROR(计算区域!AG993,NA())</f>
        <v>#N/A</v>
      </c>
      <c r="L991" t="e">
        <f ca="1">IFERROR(计算区域!L993,NA())</f>
        <v>#N/A</v>
      </c>
      <c r="M991" t="e">
        <f ca="1">IFERROR(计算区域!M993,NA())</f>
        <v>#N/A</v>
      </c>
      <c r="N991" t="e">
        <f ca="1">IFERROR(计算区域!N993,NA())</f>
        <v>#N/A</v>
      </c>
      <c r="O991" t="e">
        <f ca="1">IFERROR(计算区域!O993,NA())</f>
        <v>#N/A</v>
      </c>
      <c r="Q991" t="e">
        <f ca="1">IFERROR(计算区域!R993,NA())</f>
        <v>#N/A</v>
      </c>
      <c r="R991" t="e">
        <f ca="1">IFERROR(计算区域!S993,NA())</f>
        <v>#N/A</v>
      </c>
      <c r="S991" t="e">
        <f ca="1">IFERROR(计算区域!T993,NA())</f>
        <v>#N/A</v>
      </c>
      <c r="T991" t="e">
        <f ca="1">IFERROR(计算区域!U993,NA())</f>
        <v>#N/A</v>
      </c>
      <c r="V991" t="e">
        <f ca="1">IFERROR(计算区域!X993,NA())</f>
        <v>#N/A</v>
      </c>
      <c r="W991" t="e">
        <f ca="1">IFERROR(计算区域!Y993,NA())</f>
        <v>#N/A</v>
      </c>
      <c r="X991" t="e">
        <f ca="1">IFERROR(计算区域!Z993,NA())</f>
        <v>#N/A</v>
      </c>
      <c r="Y991" t="e">
        <f ca="1">IFERROR(计算区域!AA993,NA())</f>
        <v>#N/A</v>
      </c>
    </row>
    <row r="992" spans="1:25" x14ac:dyDescent="0.2">
      <c r="A992" s="28">
        <f>计算区域!E994</f>
        <v>43985</v>
      </c>
      <c r="B992" t="e">
        <f ca="1">IFERROR(计算区域!AJ994,NA())</f>
        <v>#N/A</v>
      </c>
      <c r="C992" t="e">
        <f ca="1">IFERROR(计算区域!AK994,NA())</f>
        <v>#N/A</v>
      </c>
      <c r="D992" t="e">
        <f ca="1">IFERROR(计算区域!AL994,NA())</f>
        <v>#N/A</v>
      </c>
      <c r="E992" t="e">
        <f ca="1">IFERROR(计算区域!AM994,NA())</f>
        <v>#N/A</v>
      </c>
      <c r="G992" t="e">
        <f ca="1">IFERROR(计算区域!AD994,NA())</f>
        <v>#N/A</v>
      </c>
      <c r="H992" t="e">
        <f ca="1">IFERROR(计算区域!AE994,NA())</f>
        <v>#N/A</v>
      </c>
      <c r="I992" t="e">
        <f ca="1">IFERROR(计算区域!AF994,NA())</f>
        <v>#N/A</v>
      </c>
      <c r="J992" t="e">
        <f ca="1">IFERROR(计算区域!AG994,NA())</f>
        <v>#N/A</v>
      </c>
      <c r="L992" t="e">
        <f ca="1">IFERROR(计算区域!L994,NA())</f>
        <v>#N/A</v>
      </c>
      <c r="M992" t="e">
        <f ca="1">IFERROR(计算区域!M994,NA())</f>
        <v>#N/A</v>
      </c>
      <c r="N992" t="e">
        <f ca="1">IFERROR(计算区域!N994,NA())</f>
        <v>#N/A</v>
      </c>
      <c r="O992" t="e">
        <f ca="1">IFERROR(计算区域!O994,NA())</f>
        <v>#N/A</v>
      </c>
      <c r="Q992" t="e">
        <f ca="1">IFERROR(计算区域!R994,NA())</f>
        <v>#N/A</v>
      </c>
      <c r="R992" t="e">
        <f ca="1">IFERROR(计算区域!S994,NA())</f>
        <v>#N/A</v>
      </c>
      <c r="S992" t="e">
        <f ca="1">IFERROR(计算区域!T994,NA())</f>
        <v>#N/A</v>
      </c>
      <c r="T992" t="e">
        <f ca="1">IFERROR(计算区域!U994,NA())</f>
        <v>#N/A</v>
      </c>
      <c r="V992" t="e">
        <f ca="1">IFERROR(计算区域!X994,NA())</f>
        <v>#N/A</v>
      </c>
      <c r="W992" t="e">
        <f ca="1">IFERROR(计算区域!Y994,NA())</f>
        <v>#N/A</v>
      </c>
      <c r="X992" t="e">
        <f ca="1">IFERROR(计算区域!Z994,NA())</f>
        <v>#N/A</v>
      </c>
      <c r="Y992" t="e">
        <f ca="1">IFERROR(计算区域!AA994,NA())</f>
        <v>#N/A</v>
      </c>
    </row>
    <row r="993" spans="1:25" x14ac:dyDescent="0.2">
      <c r="A993" s="28">
        <f>计算区域!E995</f>
        <v>0</v>
      </c>
      <c r="B993" t="e">
        <f ca="1">IFERROR(计算区域!AJ995,NA())</f>
        <v>#N/A</v>
      </c>
      <c r="C993" t="e">
        <f ca="1">IFERROR(计算区域!AK995,NA())</f>
        <v>#N/A</v>
      </c>
      <c r="D993" t="e">
        <f ca="1">IFERROR(计算区域!AL995,NA())</f>
        <v>#N/A</v>
      </c>
      <c r="E993" t="e">
        <f ca="1">IFERROR(计算区域!AM995,NA())</f>
        <v>#N/A</v>
      </c>
      <c r="G993" t="e">
        <f ca="1">IFERROR(计算区域!AD995,NA())</f>
        <v>#N/A</v>
      </c>
      <c r="H993" t="e">
        <f ca="1">IFERROR(计算区域!AE995,NA())</f>
        <v>#N/A</v>
      </c>
      <c r="I993" t="e">
        <f ca="1">IFERROR(计算区域!AF995,NA())</f>
        <v>#N/A</v>
      </c>
      <c r="J993" t="e">
        <f ca="1">IFERROR(计算区域!AG995,NA())</f>
        <v>#N/A</v>
      </c>
      <c r="L993" t="e">
        <f ca="1">IFERROR(计算区域!L995,NA())</f>
        <v>#N/A</v>
      </c>
      <c r="M993" t="e">
        <f ca="1">IFERROR(计算区域!M995,NA())</f>
        <v>#N/A</v>
      </c>
      <c r="N993" t="e">
        <f ca="1">IFERROR(计算区域!N995,NA())</f>
        <v>#N/A</v>
      </c>
      <c r="O993" t="e">
        <f ca="1">IFERROR(计算区域!O995,NA())</f>
        <v>#N/A</v>
      </c>
      <c r="Q993" t="e">
        <f ca="1">IFERROR(计算区域!R995,NA())</f>
        <v>#N/A</v>
      </c>
      <c r="R993" t="e">
        <f ca="1">IFERROR(计算区域!S995,NA())</f>
        <v>#N/A</v>
      </c>
      <c r="S993" t="e">
        <f ca="1">IFERROR(计算区域!T995,NA())</f>
        <v>#N/A</v>
      </c>
      <c r="T993" t="e">
        <f ca="1">IFERROR(计算区域!U995,NA())</f>
        <v>#N/A</v>
      </c>
      <c r="V993" t="e">
        <f ca="1">IFERROR(计算区域!X995,NA())</f>
        <v>#N/A</v>
      </c>
      <c r="W993" t="e">
        <f ca="1">IFERROR(计算区域!Y995,NA())</f>
        <v>#N/A</v>
      </c>
      <c r="X993" t="e">
        <f ca="1">IFERROR(计算区域!Z995,NA())</f>
        <v>#N/A</v>
      </c>
      <c r="Y993" t="e">
        <f ca="1">IFERROR(计算区域!AA995,NA())</f>
        <v>#N/A</v>
      </c>
    </row>
    <row r="994" spans="1:25" x14ac:dyDescent="0.2">
      <c r="A994" s="28">
        <f>计算区域!E996</f>
        <v>0</v>
      </c>
      <c r="B994" t="e">
        <f ca="1">IFERROR(计算区域!AJ996,NA())</f>
        <v>#N/A</v>
      </c>
      <c r="C994" t="e">
        <f ca="1">IFERROR(计算区域!AK996,NA())</f>
        <v>#N/A</v>
      </c>
      <c r="D994" t="e">
        <f ca="1">IFERROR(计算区域!AL996,NA())</f>
        <v>#N/A</v>
      </c>
      <c r="E994" t="e">
        <f ca="1">IFERROR(计算区域!AM996,NA())</f>
        <v>#N/A</v>
      </c>
      <c r="G994" t="e">
        <f ca="1">IFERROR(计算区域!AD996,NA())</f>
        <v>#N/A</v>
      </c>
      <c r="H994" t="e">
        <f ca="1">IFERROR(计算区域!AE996,NA())</f>
        <v>#N/A</v>
      </c>
      <c r="I994" t="e">
        <f ca="1">IFERROR(计算区域!AF996,NA())</f>
        <v>#N/A</v>
      </c>
      <c r="J994" t="e">
        <f ca="1">IFERROR(计算区域!AG996,NA())</f>
        <v>#N/A</v>
      </c>
      <c r="L994" t="e">
        <f ca="1">IFERROR(计算区域!L996,NA())</f>
        <v>#N/A</v>
      </c>
      <c r="M994" t="e">
        <f ca="1">IFERROR(计算区域!M996,NA())</f>
        <v>#N/A</v>
      </c>
      <c r="N994" t="e">
        <f ca="1">IFERROR(计算区域!N996,NA())</f>
        <v>#N/A</v>
      </c>
      <c r="O994" t="e">
        <f ca="1">IFERROR(计算区域!O996,NA())</f>
        <v>#N/A</v>
      </c>
      <c r="Q994" t="e">
        <f ca="1">IFERROR(计算区域!R996,NA())</f>
        <v>#N/A</v>
      </c>
      <c r="R994" t="e">
        <f ca="1">IFERROR(计算区域!S996,NA())</f>
        <v>#N/A</v>
      </c>
      <c r="S994" t="e">
        <f ca="1">IFERROR(计算区域!T996,NA())</f>
        <v>#N/A</v>
      </c>
      <c r="T994" t="e">
        <f ca="1">IFERROR(计算区域!U996,NA())</f>
        <v>#N/A</v>
      </c>
      <c r="V994" t="e">
        <f ca="1">IFERROR(计算区域!X996,NA())</f>
        <v>#N/A</v>
      </c>
      <c r="W994" t="e">
        <f ca="1">IFERROR(计算区域!Y996,NA())</f>
        <v>#N/A</v>
      </c>
      <c r="X994" t="e">
        <f ca="1">IFERROR(计算区域!Z996,NA())</f>
        <v>#N/A</v>
      </c>
      <c r="Y994" t="e">
        <f ca="1">IFERROR(计算区域!AA996,NA())</f>
        <v>#N/A</v>
      </c>
    </row>
    <row r="995" spans="1:25" x14ac:dyDescent="0.2">
      <c r="A995" s="28">
        <f>计算区域!E997</f>
        <v>0</v>
      </c>
      <c r="B995" t="e">
        <f ca="1">IFERROR(计算区域!AJ997,NA())</f>
        <v>#N/A</v>
      </c>
      <c r="C995" t="e">
        <f ca="1">IFERROR(计算区域!AK997,NA())</f>
        <v>#N/A</v>
      </c>
      <c r="D995" t="e">
        <f ca="1">IFERROR(计算区域!AL997,NA())</f>
        <v>#N/A</v>
      </c>
      <c r="E995" t="e">
        <f ca="1">IFERROR(计算区域!AM997,NA())</f>
        <v>#N/A</v>
      </c>
      <c r="G995" t="e">
        <f ca="1">IFERROR(计算区域!AD997,NA())</f>
        <v>#N/A</v>
      </c>
      <c r="H995" t="e">
        <f ca="1">IFERROR(计算区域!AE997,NA())</f>
        <v>#N/A</v>
      </c>
      <c r="I995" t="e">
        <f ca="1">IFERROR(计算区域!AF997,NA())</f>
        <v>#N/A</v>
      </c>
      <c r="J995" t="e">
        <f ca="1">IFERROR(计算区域!AG997,NA())</f>
        <v>#N/A</v>
      </c>
      <c r="L995" t="e">
        <f ca="1">IFERROR(计算区域!L997,NA())</f>
        <v>#N/A</v>
      </c>
      <c r="M995" t="e">
        <f ca="1">IFERROR(计算区域!M997,NA())</f>
        <v>#N/A</v>
      </c>
      <c r="N995" t="e">
        <f ca="1">IFERROR(计算区域!N997,NA())</f>
        <v>#N/A</v>
      </c>
      <c r="O995" t="e">
        <f ca="1">IFERROR(计算区域!O997,NA())</f>
        <v>#N/A</v>
      </c>
      <c r="Q995" t="e">
        <f ca="1">IFERROR(计算区域!R997,NA())</f>
        <v>#N/A</v>
      </c>
      <c r="R995" t="e">
        <f ca="1">IFERROR(计算区域!S997,NA())</f>
        <v>#N/A</v>
      </c>
      <c r="S995" t="e">
        <f ca="1">IFERROR(计算区域!T997,NA())</f>
        <v>#N/A</v>
      </c>
      <c r="T995" t="e">
        <f ca="1">IFERROR(计算区域!U997,NA())</f>
        <v>#N/A</v>
      </c>
      <c r="V995" t="e">
        <f ca="1">IFERROR(计算区域!X997,NA())</f>
        <v>#N/A</v>
      </c>
      <c r="W995" t="e">
        <f ca="1">IFERROR(计算区域!Y997,NA())</f>
        <v>#N/A</v>
      </c>
      <c r="X995" t="e">
        <f ca="1">IFERROR(计算区域!Z997,NA())</f>
        <v>#N/A</v>
      </c>
      <c r="Y995" t="e">
        <f ca="1">IFERROR(计算区域!AA997,NA())</f>
        <v>#N/A</v>
      </c>
    </row>
    <row r="996" spans="1:25" x14ac:dyDescent="0.2">
      <c r="A996" s="28">
        <f>计算区域!E998</f>
        <v>0</v>
      </c>
      <c r="B996" t="e">
        <f ca="1">IFERROR(计算区域!AJ998,NA())</f>
        <v>#N/A</v>
      </c>
      <c r="C996" t="e">
        <f ca="1">IFERROR(计算区域!AK998,NA())</f>
        <v>#N/A</v>
      </c>
      <c r="D996" t="e">
        <f ca="1">IFERROR(计算区域!AL998,NA())</f>
        <v>#N/A</v>
      </c>
      <c r="E996" t="e">
        <f ca="1">IFERROR(计算区域!AM998,NA())</f>
        <v>#N/A</v>
      </c>
      <c r="G996" t="e">
        <f ca="1">IFERROR(计算区域!AD998,NA())</f>
        <v>#N/A</v>
      </c>
      <c r="H996" t="e">
        <f ca="1">IFERROR(计算区域!AE998,NA())</f>
        <v>#N/A</v>
      </c>
      <c r="I996" t="e">
        <f ca="1">IFERROR(计算区域!AF998,NA())</f>
        <v>#N/A</v>
      </c>
      <c r="J996" t="e">
        <f ca="1">IFERROR(计算区域!AG998,NA())</f>
        <v>#N/A</v>
      </c>
      <c r="L996" t="e">
        <f ca="1">IFERROR(计算区域!L998,NA())</f>
        <v>#N/A</v>
      </c>
      <c r="M996" t="e">
        <f ca="1">IFERROR(计算区域!M998,NA())</f>
        <v>#N/A</v>
      </c>
      <c r="N996" t="e">
        <f ca="1">IFERROR(计算区域!N998,NA())</f>
        <v>#N/A</v>
      </c>
      <c r="O996" t="e">
        <f ca="1">IFERROR(计算区域!O998,NA())</f>
        <v>#N/A</v>
      </c>
      <c r="Q996" t="e">
        <f ca="1">IFERROR(计算区域!R998,NA())</f>
        <v>#N/A</v>
      </c>
      <c r="R996" t="e">
        <f ca="1">IFERROR(计算区域!S998,NA())</f>
        <v>#N/A</v>
      </c>
      <c r="S996" t="e">
        <f ca="1">IFERROR(计算区域!T998,NA())</f>
        <v>#N/A</v>
      </c>
      <c r="T996" t="e">
        <f ca="1">IFERROR(计算区域!U998,NA())</f>
        <v>#N/A</v>
      </c>
      <c r="V996" t="e">
        <f ca="1">IFERROR(计算区域!X998,NA())</f>
        <v>#N/A</v>
      </c>
      <c r="W996" t="e">
        <f ca="1">IFERROR(计算区域!Y998,NA())</f>
        <v>#N/A</v>
      </c>
      <c r="X996" t="e">
        <f ca="1">IFERROR(计算区域!Z998,NA())</f>
        <v>#N/A</v>
      </c>
      <c r="Y996" t="e">
        <f ca="1">IFERROR(计算区域!AA998,NA())</f>
        <v>#N/A</v>
      </c>
    </row>
    <row r="997" spans="1:25" x14ac:dyDescent="0.2">
      <c r="A997" s="28">
        <f>计算区域!E999</f>
        <v>0</v>
      </c>
      <c r="B997" t="e">
        <f ca="1">IFERROR(计算区域!AJ999,NA())</f>
        <v>#N/A</v>
      </c>
      <c r="C997" t="e">
        <f ca="1">IFERROR(计算区域!AK999,NA())</f>
        <v>#N/A</v>
      </c>
      <c r="D997" t="e">
        <f ca="1">IFERROR(计算区域!AL999,NA())</f>
        <v>#N/A</v>
      </c>
      <c r="E997" t="e">
        <f ca="1">IFERROR(计算区域!AM999,NA())</f>
        <v>#N/A</v>
      </c>
      <c r="G997" t="e">
        <f ca="1">IFERROR(计算区域!AD999,NA())</f>
        <v>#N/A</v>
      </c>
      <c r="H997" t="e">
        <f ca="1">IFERROR(计算区域!AE999,NA())</f>
        <v>#N/A</v>
      </c>
      <c r="I997" t="e">
        <f ca="1">IFERROR(计算区域!AF999,NA())</f>
        <v>#N/A</v>
      </c>
      <c r="J997" t="e">
        <f ca="1">IFERROR(计算区域!AG999,NA())</f>
        <v>#N/A</v>
      </c>
      <c r="L997" t="e">
        <f ca="1">IFERROR(计算区域!L999,NA())</f>
        <v>#N/A</v>
      </c>
      <c r="M997" t="e">
        <f ca="1">IFERROR(计算区域!M999,NA())</f>
        <v>#N/A</v>
      </c>
      <c r="N997" t="e">
        <f ca="1">IFERROR(计算区域!N999,NA())</f>
        <v>#N/A</v>
      </c>
      <c r="O997" t="e">
        <f ca="1">IFERROR(计算区域!O999,NA())</f>
        <v>#N/A</v>
      </c>
      <c r="Q997" t="e">
        <f ca="1">IFERROR(计算区域!R999,NA())</f>
        <v>#N/A</v>
      </c>
      <c r="R997" t="e">
        <f ca="1">IFERROR(计算区域!S999,NA())</f>
        <v>#N/A</v>
      </c>
      <c r="S997" t="e">
        <f ca="1">IFERROR(计算区域!T999,NA())</f>
        <v>#N/A</v>
      </c>
      <c r="T997" t="e">
        <f ca="1">IFERROR(计算区域!U999,NA())</f>
        <v>#N/A</v>
      </c>
      <c r="V997" t="e">
        <f ca="1">IFERROR(计算区域!X999,NA())</f>
        <v>#N/A</v>
      </c>
      <c r="W997" t="e">
        <f ca="1">IFERROR(计算区域!Y999,NA())</f>
        <v>#N/A</v>
      </c>
      <c r="X997" t="e">
        <f ca="1">IFERROR(计算区域!Z999,NA())</f>
        <v>#N/A</v>
      </c>
      <c r="Y997" t="e">
        <f ca="1">IFERROR(计算区域!AA999,NA())</f>
        <v>#N/A</v>
      </c>
    </row>
    <row r="998" spans="1:25" x14ac:dyDescent="0.2">
      <c r="A998" s="28">
        <f>计算区域!E1000</f>
        <v>0</v>
      </c>
      <c r="B998" t="e">
        <f ca="1">IFERROR(计算区域!AJ1000,NA())</f>
        <v>#N/A</v>
      </c>
      <c r="C998" t="e">
        <f ca="1">IFERROR(计算区域!AK1000,NA())</f>
        <v>#N/A</v>
      </c>
      <c r="D998" t="e">
        <f ca="1">IFERROR(计算区域!AL1000,NA())</f>
        <v>#N/A</v>
      </c>
      <c r="E998" t="e">
        <f ca="1">IFERROR(计算区域!AM1000,NA())</f>
        <v>#N/A</v>
      </c>
      <c r="G998" t="e">
        <f ca="1">IFERROR(计算区域!AD1000,NA())</f>
        <v>#N/A</v>
      </c>
      <c r="H998" t="e">
        <f ca="1">IFERROR(计算区域!AE1000,NA())</f>
        <v>#N/A</v>
      </c>
      <c r="I998" t="e">
        <f ca="1">IFERROR(计算区域!AF1000,NA())</f>
        <v>#N/A</v>
      </c>
      <c r="J998" t="e">
        <f ca="1">IFERROR(计算区域!AG1000,NA())</f>
        <v>#N/A</v>
      </c>
      <c r="L998" t="e">
        <f ca="1">IFERROR(计算区域!L1000,NA())</f>
        <v>#N/A</v>
      </c>
      <c r="M998" t="e">
        <f ca="1">IFERROR(计算区域!M1000,NA())</f>
        <v>#N/A</v>
      </c>
      <c r="N998" t="e">
        <f ca="1">IFERROR(计算区域!N1000,NA())</f>
        <v>#N/A</v>
      </c>
      <c r="O998" t="e">
        <f ca="1">IFERROR(计算区域!O1000,NA())</f>
        <v>#N/A</v>
      </c>
      <c r="Q998" t="e">
        <f ca="1">IFERROR(计算区域!R1000,NA())</f>
        <v>#N/A</v>
      </c>
      <c r="R998" t="e">
        <f ca="1">IFERROR(计算区域!S1000,NA())</f>
        <v>#N/A</v>
      </c>
      <c r="S998" t="e">
        <f ca="1">IFERROR(计算区域!T1000,NA())</f>
        <v>#N/A</v>
      </c>
      <c r="T998" t="e">
        <f ca="1">IFERROR(计算区域!U1000,NA())</f>
        <v>#N/A</v>
      </c>
      <c r="V998" t="e">
        <f ca="1">IFERROR(计算区域!X1000,NA())</f>
        <v>#N/A</v>
      </c>
      <c r="W998" t="e">
        <f ca="1">IFERROR(计算区域!Y1000,NA())</f>
        <v>#N/A</v>
      </c>
      <c r="X998" t="e">
        <f ca="1">IFERROR(计算区域!Z1000,NA())</f>
        <v>#N/A</v>
      </c>
      <c r="Y998" t="e">
        <f ca="1">IFERROR(计算区域!AA1000,NA())</f>
        <v>#N/A</v>
      </c>
    </row>
    <row r="999" spans="1:25" x14ac:dyDescent="0.2">
      <c r="A999" s="28">
        <f>计算区域!E1001</f>
        <v>0</v>
      </c>
      <c r="B999" t="e">
        <f ca="1">IFERROR(计算区域!AJ1001,NA())</f>
        <v>#N/A</v>
      </c>
      <c r="C999" t="e">
        <f ca="1">IFERROR(计算区域!AK1001,NA())</f>
        <v>#N/A</v>
      </c>
      <c r="D999" t="e">
        <f ca="1">IFERROR(计算区域!AL1001,NA())</f>
        <v>#N/A</v>
      </c>
      <c r="E999" t="e">
        <f ca="1">IFERROR(计算区域!AM1001,NA())</f>
        <v>#N/A</v>
      </c>
      <c r="G999" t="e">
        <f ca="1">IFERROR(计算区域!AD1001,NA())</f>
        <v>#N/A</v>
      </c>
      <c r="H999" t="e">
        <f ca="1">IFERROR(计算区域!AE1001,NA())</f>
        <v>#N/A</v>
      </c>
      <c r="I999" t="e">
        <f ca="1">IFERROR(计算区域!AF1001,NA())</f>
        <v>#N/A</v>
      </c>
      <c r="J999" t="e">
        <f ca="1">IFERROR(计算区域!AG1001,NA())</f>
        <v>#N/A</v>
      </c>
      <c r="L999" t="e">
        <f ca="1">IFERROR(计算区域!L1001,NA())</f>
        <v>#N/A</v>
      </c>
      <c r="M999" t="e">
        <f ca="1">IFERROR(计算区域!M1001,NA())</f>
        <v>#N/A</v>
      </c>
      <c r="N999" t="e">
        <f ca="1">IFERROR(计算区域!N1001,NA())</f>
        <v>#N/A</v>
      </c>
      <c r="O999" t="e">
        <f ca="1">IFERROR(计算区域!O1001,NA())</f>
        <v>#N/A</v>
      </c>
      <c r="Q999" t="e">
        <f ca="1">IFERROR(计算区域!R1001,NA())</f>
        <v>#N/A</v>
      </c>
      <c r="R999" t="e">
        <f ca="1">IFERROR(计算区域!S1001,NA())</f>
        <v>#N/A</v>
      </c>
      <c r="S999" t="e">
        <f ca="1">IFERROR(计算区域!T1001,NA())</f>
        <v>#N/A</v>
      </c>
      <c r="T999" t="e">
        <f ca="1">IFERROR(计算区域!U1001,NA())</f>
        <v>#N/A</v>
      </c>
      <c r="V999" t="e">
        <f ca="1">IFERROR(计算区域!X1001,NA())</f>
        <v>#N/A</v>
      </c>
      <c r="W999" t="e">
        <f ca="1">IFERROR(计算区域!Y1001,NA())</f>
        <v>#N/A</v>
      </c>
      <c r="X999" t="e">
        <f ca="1">IFERROR(计算区域!Z1001,NA())</f>
        <v>#N/A</v>
      </c>
      <c r="Y999" t="e">
        <f ca="1">IFERROR(计算区域!AA1001,NA())</f>
        <v>#N/A</v>
      </c>
    </row>
    <row r="1000" spans="1:25" x14ac:dyDescent="0.2">
      <c r="A1000" s="28">
        <f>计算区域!E1002</f>
        <v>0</v>
      </c>
      <c r="B1000" t="e">
        <f ca="1">IFERROR(计算区域!AJ1002,NA())</f>
        <v>#N/A</v>
      </c>
      <c r="C1000" t="e">
        <f ca="1">IFERROR(计算区域!AK1002,NA())</f>
        <v>#N/A</v>
      </c>
      <c r="D1000" t="e">
        <f ca="1">IFERROR(计算区域!AL1002,NA())</f>
        <v>#N/A</v>
      </c>
      <c r="E1000" t="e">
        <f ca="1">IFERROR(计算区域!AM1002,NA())</f>
        <v>#N/A</v>
      </c>
      <c r="G1000" t="e">
        <f ca="1">IFERROR(计算区域!AD1002,NA())</f>
        <v>#N/A</v>
      </c>
      <c r="H1000" t="e">
        <f ca="1">IFERROR(计算区域!AE1002,NA())</f>
        <v>#N/A</v>
      </c>
      <c r="I1000" t="e">
        <f ca="1">IFERROR(计算区域!AF1002,NA())</f>
        <v>#N/A</v>
      </c>
      <c r="J1000" t="e">
        <f ca="1">IFERROR(计算区域!AG1002,NA())</f>
        <v>#N/A</v>
      </c>
      <c r="L1000" t="e">
        <f ca="1">IFERROR(计算区域!L1002,NA())</f>
        <v>#N/A</v>
      </c>
      <c r="M1000" t="e">
        <f ca="1">IFERROR(计算区域!M1002,NA())</f>
        <v>#N/A</v>
      </c>
      <c r="N1000" t="e">
        <f ca="1">IFERROR(计算区域!N1002,NA())</f>
        <v>#N/A</v>
      </c>
      <c r="O1000" t="e">
        <f ca="1">IFERROR(计算区域!O1002,NA())</f>
        <v>#N/A</v>
      </c>
      <c r="Q1000" t="e">
        <f ca="1">IFERROR(计算区域!R1002,NA())</f>
        <v>#N/A</v>
      </c>
      <c r="R1000" t="e">
        <f ca="1">IFERROR(计算区域!S1002,NA())</f>
        <v>#N/A</v>
      </c>
      <c r="S1000" t="e">
        <f ca="1">IFERROR(计算区域!T1002,NA())</f>
        <v>#N/A</v>
      </c>
      <c r="T1000" t="e">
        <f ca="1">IFERROR(计算区域!U1002,NA())</f>
        <v>#N/A</v>
      </c>
      <c r="V1000" t="e">
        <f ca="1">IFERROR(计算区域!X1002,NA())</f>
        <v>#N/A</v>
      </c>
      <c r="W1000" t="e">
        <f ca="1">IFERROR(计算区域!Y1002,NA())</f>
        <v>#N/A</v>
      </c>
      <c r="X1000" t="e">
        <f ca="1">IFERROR(计算区域!Z1002,NA())</f>
        <v>#N/A</v>
      </c>
      <c r="Y1000" t="e">
        <f ca="1">IFERROR(计算区域!AA1002,NA())</f>
        <v>#N/A</v>
      </c>
    </row>
    <row r="1001" spans="1:25" x14ac:dyDescent="0.2">
      <c r="A1001" s="28">
        <f>计算区域!E1003</f>
        <v>0</v>
      </c>
      <c r="B1001" t="e">
        <f ca="1">IFERROR(计算区域!AJ1003,NA())</f>
        <v>#N/A</v>
      </c>
      <c r="C1001" t="e">
        <f ca="1">IFERROR(计算区域!AK1003,NA())</f>
        <v>#N/A</v>
      </c>
      <c r="D1001" t="e">
        <f ca="1">IFERROR(计算区域!AL1003,NA())</f>
        <v>#N/A</v>
      </c>
      <c r="E1001" t="e">
        <f ca="1">IFERROR(计算区域!AM1003,NA())</f>
        <v>#N/A</v>
      </c>
      <c r="G1001" t="e">
        <f ca="1">IFERROR(计算区域!AD1003,NA())</f>
        <v>#N/A</v>
      </c>
      <c r="H1001" t="e">
        <f ca="1">IFERROR(计算区域!AE1003,NA())</f>
        <v>#N/A</v>
      </c>
      <c r="I1001" t="e">
        <f ca="1">IFERROR(计算区域!AF1003,NA())</f>
        <v>#N/A</v>
      </c>
      <c r="J1001" t="e">
        <f ca="1">IFERROR(计算区域!AG1003,NA())</f>
        <v>#N/A</v>
      </c>
      <c r="L1001" t="e">
        <f ca="1">IFERROR(计算区域!L1003,NA())</f>
        <v>#N/A</v>
      </c>
      <c r="M1001" t="e">
        <f ca="1">IFERROR(计算区域!M1003,NA())</f>
        <v>#N/A</v>
      </c>
      <c r="N1001" t="e">
        <f ca="1">IFERROR(计算区域!N1003,NA())</f>
        <v>#N/A</v>
      </c>
      <c r="O1001" t="e">
        <f ca="1">IFERROR(计算区域!O1003,NA())</f>
        <v>#N/A</v>
      </c>
      <c r="Q1001" t="e">
        <f ca="1">IFERROR(计算区域!R1003,NA())</f>
        <v>#N/A</v>
      </c>
      <c r="R1001" t="e">
        <f ca="1">IFERROR(计算区域!S1003,NA())</f>
        <v>#N/A</v>
      </c>
      <c r="S1001" t="e">
        <f ca="1">IFERROR(计算区域!T1003,NA())</f>
        <v>#N/A</v>
      </c>
      <c r="T1001" t="e">
        <f ca="1">IFERROR(计算区域!U1003,NA())</f>
        <v>#N/A</v>
      </c>
      <c r="V1001" t="e">
        <f ca="1">IFERROR(计算区域!X1003,NA())</f>
        <v>#N/A</v>
      </c>
      <c r="W1001" t="e">
        <f ca="1">IFERROR(计算区域!Y1003,NA())</f>
        <v>#N/A</v>
      </c>
      <c r="X1001" t="e">
        <f ca="1">IFERROR(计算区域!Z1003,NA())</f>
        <v>#N/A</v>
      </c>
      <c r="Y1001" t="e">
        <f ca="1">IFERROR(计算区域!AA1003,NA())</f>
        <v>#N/A</v>
      </c>
    </row>
    <row r="1002" spans="1:25" x14ac:dyDescent="0.2">
      <c r="A1002" s="28">
        <f>计算区域!E1004</f>
        <v>0</v>
      </c>
      <c r="B1002" t="e">
        <f ca="1">IFERROR(计算区域!AJ1004,NA())</f>
        <v>#N/A</v>
      </c>
      <c r="C1002" t="e">
        <f ca="1">IFERROR(计算区域!AK1004,NA())</f>
        <v>#N/A</v>
      </c>
      <c r="D1002" t="e">
        <f ca="1">IFERROR(计算区域!AL1004,NA())</f>
        <v>#N/A</v>
      </c>
      <c r="E1002" t="e">
        <f ca="1">IFERROR(计算区域!AM1004,NA())</f>
        <v>#N/A</v>
      </c>
      <c r="G1002" t="e">
        <f ca="1">IFERROR(计算区域!AD1004,NA())</f>
        <v>#N/A</v>
      </c>
      <c r="H1002" t="e">
        <f ca="1">IFERROR(计算区域!AE1004,NA())</f>
        <v>#N/A</v>
      </c>
      <c r="I1002" t="e">
        <f ca="1">IFERROR(计算区域!AF1004,NA())</f>
        <v>#N/A</v>
      </c>
      <c r="J1002" t="e">
        <f ca="1">IFERROR(计算区域!AG1004,NA())</f>
        <v>#N/A</v>
      </c>
      <c r="L1002" t="e">
        <f ca="1">IFERROR(计算区域!L1004,NA())</f>
        <v>#N/A</v>
      </c>
      <c r="M1002" t="e">
        <f ca="1">IFERROR(计算区域!M1004,NA())</f>
        <v>#N/A</v>
      </c>
      <c r="N1002" t="e">
        <f ca="1">IFERROR(计算区域!N1004,NA())</f>
        <v>#N/A</v>
      </c>
      <c r="O1002" t="e">
        <f ca="1">IFERROR(计算区域!O1004,NA())</f>
        <v>#N/A</v>
      </c>
      <c r="Q1002" t="e">
        <f ca="1">IFERROR(计算区域!R1004,NA())</f>
        <v>#N/A</v>
      </c>
      <c r="R1002" t="e">
        <f ca="1">IFERROR(计算区域!S1004,NA())</f>
        <v>#N/A</v>
      </c>
      <c r="S1002" t="e">
        <f ca="1">IFERROR(计算区域!T1004,NA())</f>
        <v>#N/A</v>
      </c>
      <c r="T1002" t="e">
        <f ca="1">IFERROR(计算区域!U1004,NA())</f>
        <v>#N/A</v>
      </c>
      <c r="V1002" t="e">
        <f ca="1">IFERROR(计算区域!X1004,NA())</f>
        <v>#N/A</v>
      </c>
      <c r="W1002" t="e">
        <f ca="1">IFERROR(计算区域!Y1004,NA())</f>
        <v>#N/A</v>
      </c>
      <c r="X1002" t="e">
        <f ca="1">IFERROR(计算区域!Z1004,NA())</f>
        <v>#N/A</v>
      </c>
      <c r="Y1002" t="e">
        <f ca="1">IFERROR(计算区域!AA1004,NA())</f>
        <v>#N/A</v>
      </c>
    </row>
    <row r="1003" spans="1:25" x14ac:dyDescent="0.2">
      <c r="A1003" s="28">
        <f>计算区域!E1005</f>
        <v>0</v>
      </c>
      <c r="B1003" t="e">
        <f ca="1">IFERROR(计算区域!AJ1005,NA())</f>
        <v>#N/A</v>
      </c>
      <c r="C1003" t="e">
        <f ca="1">IFERROR(计算区域!AK1005,NA())</f>
        <v>#N/A</v>
      </c>
      <c r="D1003" t="e">
        <f ca="1">IFERROR(计算区域!AL1005,NA())</f>
        <v>#N/A</v>
      </c>
      <c r="E1003" t="e">
        <f ca="1">IFERROR(计算区域!AM1005,NA())</f>
        <v>#N/A</v>
      </c>
      <c r="G1003" t="e">
        <f ca="1">IFERROR(计算区域!AD1005,NA())</f>
        <v>#N/A</v>
      </c>
      <c r="H1003" t="e">
        <f ca="1">IFERROR(计算区域!AE1005,NA())</f>
        <v>#N/A</v>
      </c>
      <c r="I1003" t="e">
        <f ca="1">IFERROR(计算区域!AF1005,NA())</f>
        <v>#N/A</v>
      </c>
      <c r="J1003" t="e">
        <f ca="1">IFERROR(计算区域!AG1005,NA())</f>
        <v>#N/A</v>
      </c>
      <c r="L1003" t="e">
        <f ca="1">IFERROR(计算区域!L1005,NA())</f>
        <v>#N/A</v>
      </c>
      <c r="M1003" t="e">
        <f ca="1">IFERROR(计算区域!M1005,NA())</f>
        <v>#N/A</v>
      </c>
      <c r="N1003" t="e">
        <f ca="1">IFERROR(计算区域!N1005,NA())</f>
        <v>#N/A</v>
      </c>
      <c r="O1003" t="e">
        <f ca="1">IFERROR(计算区域!O1005,NA())</f>
        <v>#N/A</v>
      </c>
      <c r="Q1003" t="e">
        <f ca="1">IFERROR(计算区域!R1005,NA())</f>
        <v>#N/A</v>
      </c>
      <c r="R1003" t="e">
        <f ca="1">IFERROR(计算区域!S1005,NA())</f>
        <v>#N/A</v>
      </c>
      <c r="S1003" t="e">
        <f ca="1">IFERROR(计算区域!T1005,NA())</f>
        <v>#N/A</v>
      </c>
      <c r="T1003" t="e">
        <f ca="1">IFERROR(计算区域!U1005,NA())</f>
        <v>#N/A</v>
      </c>
      <c r="V1003" t="e">
        <f ca="1">IFERROR(计算区域!X1005,NA())</f>
        <v>#N/A</v>
      </c>
      <c r="W1003" t="e">
        <f ca="1">IFERROR(计算区域!Y1005,NA())</f>
        <v>#N/A</v>
      </c>
      <c r="X1003" t="e">
        <f ca="1">IFERROR(计算区域!Z1005,NA())</f>
        <v>#N/A</v>
      </c>
      <c r="Y1003" t="e">
        <f ca="1">IFERROR(计算区域!AA1005,NA())</f>
        <v>#N/A</v>
      </c>
    </row>
    <row r="1004" spans="1:25" x14ac:dyDescent="0.2">
      <c r="A1004" s="28">
        <f>计算区域!E1006</f>
        <v>0</v>
      </c>
      <c r="B1004" t="e">
        <f ca="1">IFERROR(计算区域!AJ1006,NA())</f>
        <v>#N/A</v>
      </c>
      <c r="C1004" t="e">
        <f ca="1">IFERROR(计算区域!AK1006,NA())</f>
        <v>#N/A</v>
      </c>
      <c r="D1004" t="e">
        <f ca="1">IFERROR(计算区域!AL1006,NA())</f>
        <v>#N/A</v>
      </c>
      <c r="E1004" t="e">
        <f ca="1">IFERROR(计算区域!AM1006,NA())</f>
        <v>#N/A</v>
      </c>
      <c r="G1004" t="e">
        <f ca="1">IFERROR(计算区域!AD1006,NA())</f>
        <v>#N/A</v>
      </c>
      <c r="H1004" t="e">
        <f ca="1">IFERROR(计算区域!AE1006,NA())</f>
        <v>#N/A</v>
      </c>
      <c r="I1004" t="e">
        <f ca="1">IFERROR(计算区域!AF1006,NA())</f>
        <v>#N/A</v>
      </c>
      <c r="J1004" t="e">
        <f ca="1">IFERROR(计算区域!AG1006,NA())</f>
        <v>#N/A</v>
      </c>
      <c r="L1004" t="e">
        <f ca="1">IFERROR(计算区域!L1006,NA())</f>
        <v>#N/A</v>
      </c>
      <c r="M1004" t="e">
        <f ca="1">IFERROR(计算区域!M1006,NA())</f>
        <v>#N/A</v>
      </c>
      <c r="N1004" t="e">
        <f ca="1">IFERROR(计算区域!N1006,NA())</f>
        <v>#N/A</v>
      </c>
      <c r="O1004" t="e">
        <f ca="1">IFERROR(计算区域!O1006,NA())</f>
        <v>#N/A</v>
      </c>
      <c r="Q1004" t="e">
        <f ca="1">IFERROR(计算区域!R1006,NA())</f>
        <v>#N/A</v>
      </c>
      <c r="R1004" t="e">
        <f ca="1">IFERROR(计算区域!S1006,NA())</f>
        <v>#N/A</v>
      </c>
      <c r="S1004" t="e">
        <f ca="1">IFERROR(计算区域!T1006,NA())</f>
        <v>#N/A</v>
      </c>
      <c r="T1004" t="e">
        <f ca="1">IFERROR(计算区域!U1006,NA())</f>
        <v>#N/A</v>
      </c>
      <c r="V1004" t="e">
        <f ca="1">IFERROR(计算区域!X1006,NA())</f>
        <v>#N/A</v>
      </c>
      <c r="W1004" t="e">
        <f ca="1">IFERROR(计算区域!Y1006,NA())</f>
        <v>#N/A</v>
      </c>
      <c r="X1004" t="e">
        <f ca="1">IFERROR(计算区域!Z1006,NA())</f>
        <v>#N/A</v>
      </c>
      <c r="Y1004" t="e">
        <f ca="1">IFERROR(计算区域!AA1006,NA())</f>
        <v>#N/A</v>
      </c>
    </row>
    <row r="1005" spans="1:25" x14ac:dyDescent="0.2">
      <c r="A1005" s="28">
        <f>计算区域!E1007</f>
        <v>0</v>
      </c>
      <c r="B1005" t="e">
        <f ca="1">IFERROR(计算区域!AJ1007,NA())</f>
        <v>#N/A</v>
      </c>
      <c r="C1005" t="e">
        <f ca="1">IFERROR(计算区域!AK1007,NA())</f>
        <v>#N/A</v>
      </c>
      <c r="D1005" t="e">
        <f ca="1">IFERROR(计算区域!AL1007,NA())</f>
        <v>#N/A</v>
      </c>
      <c r="E1005" t="e">
        <f ca="1">IFERROR(计算区域!AM1007,NA())</f>
        <v>#N/A</v>
      </c>
      <c r="G1005" t="e">
        <f ca="1">IFERROR(计算区域!AD1007,NA())</f>
        <v>#N/A</v>
      </c>
      <c r="H1005" t="e">
        <f ca="1">IFERROR(计算区域!AE1007,NA())</f>
        <v>#N/A</v>
      </c>
      <c r="I1005" t="e">
        <f ca="1">IFERROR(计算区域!AF1007,NA())</f>
        <v>#N/A</v>
      </c>
      <c r="J1005" t="e">
        <f ca="1">IFERROR(计算区域!AG1007,NA())</f>
        <v>#N/A</v>
      </c>
      <c r="L1005" t="e">
        <f ca="1">IFERROR(计算区域!L1007,NA())</f>
        <v>#N/A</v>
      </c>
      <c r="M1005" t="e">
        <f ca="1">IFERROR(计算区域!M1007,NA())</f>
        <v>#N/A</v>
      </c>
      <c r="N1005" t="e">
        <f ca="1">IFERROR(计算区域!N1007,NA())</f>
        <v>#N/A</v>
      </c>
      <c r="O1005" t="e">
        <f ca="1">IFERROR(计算区域!O1007,NA())</f>
        <v>#N/A</v>
      </c>
      <c r="Q1005" t="e">
        <f ca="1">IFERROR(计算区域!R1007,NA())</f>
        <v>#N/A</v>
      </c>
      <c r="R1005" t="e">
        <f ca="1">IFERROR(计算区域!S1007,NA())</f>
        <v>#N/A</v>
      </c>
      <c r="S1005" t="e">
        <f ca="1">IFERROR(计算区域!T1007,NA())</f>
        <v>#N/A</v>
      </c>
      <c r="T1005" t="e">
        <f ca="1">IFERROR(计算区域!U1007,NA())</f>
        <v>#N/A</v>
      </c>
      <c r="V1005" t="e">
        <f ca="1">IFERROR(计算区域!X1007,NA())</f>
        <v>#N/A</v>
      </c>
      <c r="W1005" t="e">
        <f ca="1">IFERROR(计算区域!Y1007,NA())</f>
        <v>#N/A</v>
      </c>
      <c r="X1005" t="e">
        <f ca="1">IFERROR(计算区域!Z1007,NA())</f>
        <v>#N/A</v>
      </c>
      <c r="Y1005" t="e">
        <f ca="1">IFERROR(计算区域!AA1007,NA())</f>
        <v>#N/A</v>
      </c>
    </row>
    <row r="1006" spans="1:25" x14ac:dyDescent="0.2">
      <c r="A1006" s="28">
        <f>计算区域!E1008</f>
        <v>0</v>
      </c>
      <c r="B1006" t="e">
        <f ca="1">IFERROR(计算区域!AJ1008,NA())</f>
        <v>#N/A</v>
      </c>
      <c r="C1006" t="e">
        <f ca="1">IFERROR(计算区域!AK1008,NA())</f>
        <v>#N/A</v>
      </c>
      <c r="D1006" t="e">
        <f ca="1">IFERROR(计算区域!AL1008,NA())</f>
        <v>#N/A</v>
      </c>
      <c r="E1006" t="e">
        <f ca="1">IFERROR(计算区域!AM1008,NA())</f>
        <v>#N/A</v>
      </c>
      <c r="G1006" t="e">
        <f ca="1">IFERROR(计算区域!AD1008,NA())</f>
        <v>#N/A</v>
      </c>
      <c r="H1006" t="e">
        <f ca="1">IFERROR(计算区域!AE1008,NA())</f>
        <v>#N/A</v>
      </c>
      <c r="I1006" t="e">
        <f ca="1">IFERROR(计算区域!AF1008,NA())</f>
        <v>#N/A</v>
      </c>
      <c r="J1006" t="e">
        <f ca="1">IFERROR(计算区域!AG1008,NA())</f>
        <v>#N/A</v>
      </c>
      <c r="L1006" t="e">
        <f ca="1">IFERROR(计算区域!L1008,NA())</f>
        <v>#N/A</v>
      </c>
      <c r="M1006" t="e">
        <f ca="1">IFERROR(计算区域!M1008,NA())</f>
        <v>#N/A</v>
      </c>
      <c r="N1006" t="e">
        <f ca="1">IFERROR(计算区域!N1008,NA())</f>
        <v>#N/A</v>
      </c>
      <c r="O1006" t="e">
        <f ca="1">IFERROR(计算区域!O1008,NA())</f>
        <v>#N/A</v>
      </c>
      <c r="Q1006" t="e">
        <f ca="1">IFERROR(计算区域!R1008,NA())</f>
        <v>#N/A</v>
      </c>
      <c r="R1006" t="e">
        <f ca="1">IFERROR(计算区域!S1008,NA())</f>
        <v>#N/A</v>
      </c>
      <c r="S1006" t="e">
        <f ca="1">IFERROR(计算区域!T1008,NA())</f>
        <v>#N/A</v>
      </c>
      <c r="T1006" t="e">
        <f ca="1">IFERROR(计算区域!U1008,NA())</f>
        <v>#N/A</v>
      </c>
      <c r="V1006" t="e">
        <f ca="1">IFERROR(计算区域!X1008,NA())</f>
        <v>#N/A</v>
      </c>
      <c r="W1006" t="e">
        <f ca="1">IFERROR(计算区域!Y1008,NA())</f>
        <v>#N/A</v>
      </c>
      <c r="X1006" t="e">
        <f ca="1">IFERROR(计算区域!Z1008,NA())</f>
        <v>#N/A</v>
      </c>
      <c r="Y1006" t="e">
        <f ca="1">IFERROR(计算区域!AA1008,NA())</f>
        <v>#N/A</v>
      </c>
    </row>
    <row r="1007" spans="1:25" x14ac:dyDescent="0.2">
      <c r="A1007" s="28">
        <f>计算区域!E1009</f>
        <v>0</v>
      </c>
      <c r="B1007" t="e">
        <f ca="1">IFERROR(计算区域!AJ1009,NA())</f>
        <v>#N/A</v>
      </c>
      <c r="C1007" t="e">
        <f ca="1">IFERROR(计算区域!AK1009,NA())</f>
        <v>#N/A</v>
      </c>
      <c r="D1007" t="e">
        <f ca="1">IFERROR(计算区域!AL1009,NA())</f>
        <v>#N/A</v>
      </c>
      <c r="E1007" t="e">
        <f ca="1">IFERROR(计算区域!AM1009,NA())</f>
        <v>#N/A</v>
      </c>
      <c r="G1007" t="e">
        <f ca="1">IFERROR(计算区域!AD1009,NA())</f>
        <v>#N/A</v>
      </c>
      <c r="H1007" t="e">
        <f ca="1">IFERROR(计算区域!AE1009,NA())</f>
        <v>#N/A</v>
      </c>
      <c r="I1007" t="e">
        <f ca="1">IFERROR(计算区域!AF1009,NA())</f>
        <v>#N/A</v>
      </c>
      <c r="J1007" t="e">
        <f ca="1">IFERROR(计算区域!AG1009,NA())</f>
        <v>#N/A</v>
      </c>
      <c r="L1007" t="e">
        <f ca="1">IFERROR(计算区域!L1009,NA())</f>
        <v>#N/A</v>
      </c>
      <c r="M1007" t="e">
        <f ca="1">IFERROR(计算区域!M1009,NA())</f>
        <v>#N/A</v>
      </c>
      <c r="N1007" t="e">
        <f ca="1">IFERROR(计算区域!N1009,NA())</f>
        <v>#N/A</v>
      </c>
      <c r="O1007" t="e">
        <f ca="1">IFERROR(计算区域!O1009,NA())</f>
        <v>#N/A</v>
      </c>
      <c r="Q1007" t="e">
        <f ca="1">IFERROR(计算区域!R1009,NA())</f>
        <v>#N/A</v>
      </c>
      <c r="R1007" t="e">
        <f ca="1">IFERROR(计算区域!S1009,NA())</f>
        <v>#N/A</v>
      </c>
      <c r="S1007" t="e">
        <f ca="1">IFERROR(计算区域!T1009,NA())</f>
        <v>#N/A</v>
      </c>
      <c r="T1007" t="e">
        <f ca="1">IFERROR(计算区域!U1009,NA())</f>
        <v>#N/A</v>
      </c>
      <c r="V1007" t="e">
        <f ca="1">IFERROR(计算区域!X1009,NA())</f>
        <v>#N/A</v>
      </c>
      <c r="W1007" t="e">
        <f ca="1">IFERROR(计算区域!Y1009,NA())</f>
        <v>#N/A</v>
      </c>
      <c r="X1007" t="e">
        <f ca="1">IFERROR(计算区域!Z1009,NA())</f>
        <v>#N/A</v>
      </c>
      <c r="Y1007" t="e">
        <f ca="1">IFERROR(计算区域!AA1009,NA())</f>
        <v>#N/A</v>
      </c>
    </row>
    <row r="1008" spans="1:25" x14ac:dyDescent="0.2">
      <c r="A1008" s="28">
        <f>计算区域!E1010</f>
        <v>0</v>
      </c>
      <c r="B1008" t="e">
        <f ca="1">IFERROR(计算区域!AJ1010,NA())</f>
        <v>#N/A</v>
      </c>
      <c r="C1008" t="e">
        <f ca="1">IFERROR(计算区域!AK1010,NA())</f>
        <v>#N/A</v>
      </c>
      <c r="D1008" t="e">
        <f ca="1">IFERROR(计算区域!AL1010,NA())</f>
        <v>#N/A</v>
      </c>
      <c r="E1008" t="e">
        <f ca="1">IFERROR(计算区域!AM1010,NA())</f>
        <v>#N/A</v>
      </c>
      <c r="G1008" t="e">
        <f ca="1">IFERROR(计算区域!AD1010,NA())</f>
        <v>#N/A</v>
      </c>
      <c r="H1008" t="e">
        <f ca="1">IFERROR(计算区域!AE1010,NA())</f>
        <v>#N/A</v>
      </c>
      <c r="I1008" t="e">
        <f ca="1">IFERROR(计算区域!AF1010,NA())</f>
        <v>#N/A</v>
      </c>
      <c r="J1008" t="e">
        <f ca="1">IFERROR(计算区域!AG1010,NA())</f>
        <v>#N/A</v>
      </c>
      <c r="L1008" t="e">
        <f ca="1">IFERROR(计算区域!L1010,NA())</f>
        <v>#N/A</v>
      </c>
      <c r="M1008" t="e">
        <f ca="1">IFERROR(计算区域!M1010,NA())</f>
        <v>#N/A</v>
      </c>
      <c r="N1008" t="e">
        <f ca="1">IFERROR(计算区域!N1010,NA())</f>
        <v>#N/A</v>
      </c>
      <c r="O1008" t="e">
        <f ca="1">IFERROR(计算区域!O1010,NA())</f>
        <v>#N/A</v>
      </c>
      <c r="Q1008" t="e">
        <f ca="1">IFERROR(计算区域!R1010,NA())</f>
        <v>#N/A</v>
      </c>
      <c r="R1008" t="e">
        <f ca="1">IFERROR(计算区域!S1010,NA())</f>
        <v>#N/A</v>
      </c>
      <c r="S1008" t="e">
        <f ca="1">IFERROR(计算区域!T1010,NA())</f>
        <v>#N/A</v>
      </c>
      <c r="T1008" t="e">
        <f ca="1">IFERROR(计算区域!U1010,NA())</f>
        <v>#N/A</v>
      </c>
      <c r="V1008" t="e">
        <f ca="1">IFERROR(计算区域!X1010,NA())</f>
        <v>#N/A</v>
      </c>
      <c r="W1008" t="e">
        <f ca="1">IFERROR(计算区域!Y1010,NA())</f>
        <v>#N/A</v>
      </c>
      <c r="X1008" t="e">
        <f ca="1">IFERROR(计算区域!Z1010,NA())</f>
        <v>#N/A</v>
      </c>
      <c r="Y1008" t="e">
        <f ca="1">IFERROR(计算区域!AA1010,NA())</f>
        <v>#N/A</v>
      </c>
    </row>
    <row r="1009" spans="1:25" x14ac:dyDescent="0.2">
      <c r="A1009" s="28">
        <f>计算区域!E1011</f>
        <v>0</v>
      </c>
      <c r="B1009" t="e">
        <f ca="1">IFERROR(计算区域!AJ1011,NA())</f>
        <v>#N/A</v>
      </c>
      <c r="C1009" t="e">
        <f ca="1">IFERROR(计算区域!AK1011,NA())</f>
        <v>#N/A</v>
      </c>
      <c r="D1009" t="e">
        <f ca="1">IFERROR(计算区域!AL1011,NA())</f>
        <v>#N/A</v>
      </c>
      <c r="E1009" t="e">
        <f ca="1">IFERROR(计算区域!AM1011,NA())</f>
        <v>#N/A</v>
      </c>
      <c r="G1009" t="e">
        <f ca="1">IFERROR(计算区域!AD1011,NA())</f>
        <v>#N/A</v>
      </c>
      <c r="H1009" t="e">
        <f ca="1">IFERROR(计算区域!AE1011,NA())</f>
        <v>#N/A</v>
      </c>
      <c r="I1009" t="e">
        <f ca="1">IFERROR(计算区域!AF1011,NA())</f>
        <v>#N/A</v>
      </c>
      <c r="J1009" t="e">
        <f ca="1">IFERROR(计算区域!AG1011,NA())</f>
        <v>#N/A</v>
      </c>
      <c r="L1009" t="e">
        <f ca="1">IFERROR(计算区域!L1011,NA())</f>
        <v>#N/A</v>
      </c>
      <c r="M1009" t="e">
        <f ca="1">IFERROR(计算区域!M1011,NA())</f>
        <v>#N/A</v>
      </c>
      <c r="N1009" t="e">
        <f ca="1">IFERROR(计算区域!N1011,NA())</f>
        <v>#N/A</v>
      </c>
      <c r="O1009" t="e">
        <f ca="1">IFERROR(计算区域!O1011,NA())</f>
        <v>#N/A</v>
      </c>
      <c r="Q1009" t="e">
        <f ca="1">IFERROR(计算区域!R1011,NA())</f>
        <v>#N/A</v>
      </c>
      <c r="R1009" t="e">
        <f ca="1">IFERROR(计算区域!S1011,NA())</f>
        <v>#N/A</v>
      </c>
      <c r="S1009" t="e">
        <f ca="1">IFERROR(计算区域!T1011,NA())</f>
        <v>#N/A</v>
      </c>
      <c r="T1009" t="e">
        <f ca="1">IFERROR(计算区域!U1011,NA())</f>
        <v>#N/A</v>
      </c>
      <c r="V1009" t="e">
        <f ca="1">IFERROR(计算区域!X1011,NA())</f>
        <v>#N/A</v>
      </c>
      <c r="W1009" t="e">
        <f ca="1">IFERROR(计算区域!Y1011,NA())</f>
        <v>#N/A</v>
      </c>
      <c r="X1009" t="e">
        <f ca="1">IFERROR(计算区域!Z1011,NA())</f>
        <v>#N/A</v>
      </c>
      <c r="Y1009" t="e">
        <f ca="1">IFERROR(计算区域!AA1011,NA())</f>
        <v>#N/A</v>
      </c>
    </row>
    <row r="1010" spans="1:25" x14ac:dyDescent="0.2">
      <c r="A1010" s="28">
        <f>计算区域!E1012</f>
        <v>0</v>
      </c>
      <c r="B1010" t="e">
        <f ca="1">IFERROR(计算区域!AJ1012,NA())</f>
        <v>#N/A</v>
      </c>
      <c r="C1010" t="e">
        <f ca="1">IFERROR(计算区域!AK1012,NA())</f>
        <v>#N/A</v>
      </c>
      <c r="D1010" t="e">
        <f ca="1">IFERROR(计算区域!AL1012,NA())</f>
        <v>#N/A</v>
      </c>
      <c r="E1010" t="e">
        <f ca="1">IFERROR(计算区域!AM1012,NA())</f>
        <v>#N/A</v>
      </c>
      <c r="G1010" t="e">
        <f ca="1">IFERROR(计算区域!AD1012,NA())</f>
        <v>#N/A</v>
      </c>
      <c r="H1010" t="e">
        <f ca="1">IFERROR(计算区域!AE1012,NA())</f>
        <v>#N/A</v>
      </c>
      <c r="I1010" t="e">
        <f ca="1">IFERROR(计算区域!AF1012,NA())</f>
        <v>#N/A</v>
      </c>
      <c r="J1010" t="e">
        <f ca="1">IFERROR(计算区域!AG1012,NA())</f>
        <v>#N/A</v>
      </c>
      <c r="L1010" t="e">
        <f ca="1">IFERROR(计算区域!L1012,NA())</f>
        <v>#N/A</v>
      </c>
      <c r="M1010" t="e">
        <f ca="1">IFERROR(计算区域!M1012,NA())</f>
        <v>#N/A</v>
      </c>
      <c r="N1010" t="e">
        <f ca="1">IFERROR(计算区域!N1012,NA())</f>
        <v>#N/A</v>
      </c>
      <c r="O1010" t="e">
        <f ca="1">IFERROR(计算区域!O1012,NA())</f>
        <v>#N/A</v>
      </c>
      <c r="Q1010" t="e">
        <f ca="1">IFERROR(计算区域!R1012,NA())</f>
        <v>#N/A</v>
      </c>
      <c r="R1010" t="e">
        <f ca="1">IFERROR(计算区域!S1012,NA())</f>
        <v>#N/A</v>
      </c>
      <c r="S1010" t="e">
        <f ca="1">IFERROR(计算区域!T1012,NA())</f>
        <v>#N/A</v>
      </c>
      <c r="T1010" t="e">
        <f ca="1">IFERROR(计算区域!U1012,NA())</f>
        <v>#N/A</v>
      </c>
      <c r="V1010" t="e">
        <f ca="1">IFERROR(计算区域!X1012,NA())</f>
        <v>#N/A</v>
      </c>
      <c r="W1010" t="e">
        <f ca="1">IFERROR(计算区域!Y1012,NA())</f>
        <v>#N/A</v>
      </c>
      <c r="X1010" t="e">
        <f ca="1">IFERROR(计算区域!Z1012,NA())</f>
        <v>#N/A</v>
      </c>
      <c r="Y1010" t="e">
        <f ca="1">IFERROR(计算区域!AA1012,NA())</f>
        <v>#N/A</v>
      </c>
    </row>
    <row r="1011" spans="1:25" x14ac:dyDescent="0.2">
      <c r="A1011" s="28">
        <f>计算区域!E1013</f>
        <v>0</v>
      </c>
      <c r="B1011" t="e">
        <f ca="1">IFERROR(计算区域!AJ1013,NA())</f>
        <v>#N/A</v>
      </c>
      <c r="C1011" t="e">
        <f ca="1">IFERROR(计算区域!AK1013,NA())</f>
        <v>#N/A</v>
      </c>
      <c r="D1011" t="e">
        <f ca="1">IFERROR(计算区域!AL1013,NA())</f>
        <v>#N/A</v>
      </c>
      <c r="E1011" t="e">
        <f ca="1">IFERROR(计算区域!AM1013,NA())</f>
        <v>#N/A</v>
      </c>
      <c r="G1011" t="e">
        <f ca="1">IFERROR(计算区域!AD1013,NA())</f>
        <v>#N/A</v>
      </c>
      <c r="H1011" t="e">
        <f ca="1">IFERROR(计算区域!AE1013,NA())</f>
        <v>#N/A</v>
      </c>
      <c r="I1011" t="e">
        <f ca="1">IFERROR(计算区域!AF1013,NA())</f>
        <v>#N/A</v>
      </c>
      <c r="J1011" t="e">
        <f ca="1">IFERROR(计算区域!AG1013,NA())</f>
        <v>#N/A</v>
      </c>
      <c r="L1011" t="e">
        <f ca="1">IFERROR(计算区域!L1013,NA())</f>
        <v>#N/A</v>
      </c>
      <c r="M1011" t="e">
        <f ca="1">IFERROR(计算区域!M1013,NA())</f>
        <v>#N/A</v>
      </c>
      <c r="N1011" t="e">
        <f ca="1">IFERROR(计算区域!N1013,NA())</f>
        <v>#N/A</v>
      </c>
      <c r="O1011" t="e">
        <f ca="1">IFERROR(计算区域!O1013,NA())</f>
        <v>#N/A</v>
      </c>
      <c r="Q1011" t="e">
        <f ca="1">IFERROR(计算区域!R1013,NA())</f>
        <v>#N/A</v>
      </c>
      <c r="R1011" t="e">
        <f ca="1">IFERROR(计算区域!S1013,NA())</f>
        <v>#N/A</v>
      </c>
      <c r="S1011" t="e">
        <f ca="1">IFERROR(计算区域!T1013,NA())</f>
        <v>#N/A</v>
      </c>
      <c r="T1011" t="e">
        <f ca="1">IFERROR(计算区域!U1013,NA())</f>
        <v>#N/A</v>
      </c>
      <c r="V1011" t="e">
        <f ca="1">IFERROR(计算区域!X1013,NA())</f>
        <v>#N/A</v>
      </c>
      <c r="W1011" t="e">
        <f ca="1">IFERROR(计算区域!Y1013,NA())</f>
        <v>#N/A</v>
      </c>
      <c r="X1011" t="e">
        <f ca="1">IFERROR(计算区域!Z1013,NA())</f>
        <v>#N/A</v>
      </c>
      <c r="Y1011" t="e">
        <f ca="1">IFERROR(计算区域!AA1013,NA())</f>
        <v>#N/A</v>
      </c>
    </row>
    <row r="1012" spans="1:25" x14ac:dyDescent="0.2">
      <c r="A1012" s="28">
        <f>计算区域!E1014</f>
        <v>0</v>
      </c>
      <c r="B1012" t="e">
        <f ca="1">IFERROR(计算区域!AJ1014,NA())</f>
        <v>#N/A</v>
      </c>
      <c r="C1012" t="e">
        <f ca="1">IFERROR(计算区域!AK1014,NA())</f>
        <v>#N/A</v>
      </c>
      <c r="D1012" t="e">
        <f ca="1">IFERROR(计算区域!AL1014,NA())</f>
        <v>#N/A</v>
      </c>
      <c r="E1012" t="e">
        <f ca="1">IFERROR(计算区域!AM1014,NA())</f>
        <v>#N/A</v>
      </c>
      <c r="G1012" t="e">
        <f ca="1">IFERROR(计算区域!AD1014,NA())</f>
        <v>#N/A</v>
      </c>
      <c r="H1012" t="e">
        <f ca="1">IFERROR(计算区域!AE1014,NA())</f>
        <v>#N/A</v>
      </c>
      <c r="I1012" t="e">
        <f ca="1">IFERROR(计算区域!AF1014,NA())</f>
        <v>#N/A</v>
      </c>
      <c r="J1012" t="e">
        <f ca="1">IFERROR(计算区域!AG1014,NA())</f>
        <v>#N/A</v>
      </c>
      <c r="L1012" t="e">
        <f ca="1">IFERROR(计算区域!L1014,NA())</f>
        <v>#N/A</v>
      </c>
      <c r="M1012" t="e">
        <f ca="1">IFERROR(计算区域!M1014,NA())</f>
        <v>#N/A</v>
      </c>
      <c r="N1012" t="e">
        <f ca="1">IFERROR(计算区域!N1014,NA())</f>
        <v>#N/A</v>
      </c>
      <c r="O1012" t="e">
        <f ca="1">IFERROR(计算区域!O1014,NA())</f>
        <v>#N/A</v>
      </c>
      <c r="Q1012" t="e">
        <f ca="1">IFERROR(计算区域!R1014,NA())</f>
        <v>#N/A</v>
      </c>
      <c r="R1012" t="e">
        <f ca="1">IFERROR(计算区域!S1014,NA())</f>
        <v>#N/A</v>
      </c>
      <c r="S1012" t="e">
        <f ca="1">IFERROR(计算区域!T1014,NA())</f>
        <v>#N/A</v>
      </c>
      <c r="T1012" t="e">
        <f ca="1">IFERROR(计算区域!U1014,NA())</f>
        <v>#N/A</v>
      </c>
      <c r="V1012" t="e">
        <f ca="1">IFERROR(计算区域!X1014,NA())</f>
        <v>#N/A</v>
      </c>
      <c r="W1012" t="e">
        <f ca="1">IFERROR(计算区域!Y1014,NA())</f>
        <v>#N/A</v>
      </c>
      <c r="X1012" t="e">
        <f ca="1">IFERROR(计算区域!Z1014,NA())</f>
        <v>#N/A</v>
      </c>
      <c r="Y1012" t="e">
        <f ca="1">IFERROR(计算区域!AA1014,NA())</f>
        <v>#N/A</v>
      </c>
    </row>
    <row r="1013" spans="1:25" x14ac:dyDescent="0.2">
      <c r="A1013" s="28">
        <f>计算区域!E1015</f>
        <v>0</v>
      </c>
      <c r="B1013" t="e">
        <f ca="1">IFERROR(计算区域!AJ1015,NA())</f>
        <v>#N/A</v>
      </c>
      <c r="C1013" t="e">
        <f ca="1">IFERROR(计算区域!AK1015,NA())</f>
        <v>#N/A</v>
      </c>
      <c r="D1013" t="e">
        <f ca="1">IFERROR(计算区域!AL1015,NA())</f>
        <v>#N/A</v>
      </c>
      <c r="E1013" t="e">
        <f ca="1">IFERROR(计算区域!AM1015,NA())</f>
        <v>#N/A</v>
      </c>
      <c r="G1013" t="e">
        <f ca="1">IFERROR(计算区域!AD1015,NA())</f>
        <v>#N/A</v>
      </c>
      <c r="H1013" t="e">
        <f ca="1">IFERROR(计算区域!AE1015,NA())</f>
        <v>#N/A</v>
      </c>
      <c r="I1013" t="e">
        <f ca="1">IFERROR(计算区域!AF1015,NA())</f>
        <v>#N/A</v>
      </c>
      <c r="J1013" t="e">
        <f ca="1">IFERROR(计算区域!AG1015,NA())</f>
        <v>#N/A</v>
      </c>
      <c r="L1013" t="e">
        <f ca="1">IFERROR(计算区域!L1015,NA())</f>
        <v>#N/A</v>
      </c>
      <c r="M1013" t="e">
        <f ca="1">IFERROR(计算区域!M1015,NA())</f>
        <v>#N/A</v>
      </c>
      <c r="N1013" t="e">
        <f ca="1">IFERROR(计算区域!N1015,NA())</f>
        <v>#N/A</v>
      </c>
      <c r="O1013" t="e">
        <f ca="1">IFERROR(计算区域!O1015,NA())</f>
        <v>#N/A</v>
      </c>
      <c r="Q1013" t="e">
        <f ca="1">IFERROR(计算区域!R1015,NA())</f>
        <v>#N/A</v>
      </c>
      <c r="R1013" t="e">
        <f ca="1">IFERROR(计算区域!S1015,NA())</f>
        <v>#N/A</v>
      </c>
      <c r="S1013" t="e">
        <f ca="1">IFERROR(计算区域!T1015,NA())</f>
        <v>#N/A</v>
      </c>
      <c r="T1013" t="e">
        <f ca="1">IFERROR(计算区域!U1015,NA())</f>
        <v>#N/A</v>
      </c>
      <c r="V1013" t="e">
        <f ca="1">IFERROR(计算区域!X1015,NA())</f>
        <v>#N/A</v>
      </c>
      <c r="W1013" t="e">
        <f ca="1">IFERROR(计算区域!Y1015,NA())</f>
        <v>#N/A</v>
      </c>
      <c r="X1013" t="e">
        <f ca="1">IFERROR(计算区域!Z1015,NA())</f>
        <v>#N/A</v>
      </c>
      <c r="Y1013" t="e">
        <f ca="1">IFERROR(计算区域!AA1015,NA())</f>
        <v>#N/A</v>
      </c>
    </row>
    <row r="1014" spans="1:25" x14ac:dyDescent="0.2">
      <c r="A1014" s="28">
        <f>计算区域!E1016</f>
        <v>0</v>
      </c>
      <c r="B1014" t="e">
        <f ca="1">IFERROR(计算区域!AJ1016,NA())</f>
        <v>#N/A</v>
      </c>
      <c r="C1014" t="e">
        <f ca="1">IFERROR(计算区域!AK1016,NA())</f>
        <v>#N/A</v>
      </c>
      <c r="D1014" t="e">
        <f ca="1">IFERROR(计算区域!AL1016,NA())</f>
        <v>#N/A</v>
      </c>
      <c r="E1014" t="e">
        <f ca="1">IFERROR(计算区域!AM1016,NA())</f>
        <v>#N/A</v>
      </c>
      <c r="G1014" t="e">
        <f ca="1">IFERROR(计算区域!AD1016,NA())</f>
        <v>#N/A</v>
      </c>
      <c r="H1014" t="e">
        <f ca="1">IFERROR(计算区域!AE1016,NA())</f>
        <v>#N/A</v>
      </c>
      <c r="I1014" t="e">
        <f ca="1">IFERROR(计算区域!AF1016,NA())</f>
        <v>#N/A</v>
      </c>
      <c r="J1014" t="e">
        <f ca="1">IFERROR(计算区域!AG1016,NA())</f>
        <v>#N/A</v>
      </c>
      <c r="L1014" t="e">
        <f ca="1">IFERROR(计算区域!L1016,NA())</f>
        <v>#N/A</v>
      </c>
      <c r="M1014" t="e">
        <f ca="1">IFERROR(计算区域!M1016,NA())</f>
        <v>#N/A</v>
      </c>
      <c r="N1014" t="e">
        <f ca="1">IFERROR(计算区域!N1016,NA())</f>
        <v>#N/A</v>
      </c>
      <c r="O1014" t="e">
        <f ca="1">IFERROR(计算区域!O1016,NA())</f>
        <v>#N/A</v>
      </c>
      <c r="Q1014" t="e">
        <f ca="1">IFERROR(计算区域!R1016,NA())</f>
        <v>#N/A</v>
      </c>
      <c r="R1014" t="e">
        <f ca="1">IFERROR(计算区域!S1016,NA())</f>
        <v>#N/A</v>
      </c>
      <c r="S1014" t="e">
        <f ca="1">IFERROR(计算区域!T1016,NA())</f>
        <v>#N/A</v>
      </c>
      <c r="T1014" t="e">
        <f ca="1">IFERROR(计算区域!U1016,NA())</f>
        <v>#N/A</v>
      </c>
      <c r="V1014" t="e">
        <f ca="1">IFERROR(计算区域!X1016,NA())</f>
        <v>#N/A</v>
      </c>
      <c r="W1014" t="e">
        <f ca="1">IFERROR(计算区域!Y1016,NA())</f>
        <v>#N/A</v>
      </c>
      <c r="X1014" t="e">
        <f ca="1">IFERROR(计算区域!Z1016,NA())</f>
        <v>#N/A</v>
      </c>
      <c r="Y1014" t="e">
        <f ca="1">IFERROR(计算区域!AA1016,NA())</f>
        <v>#N/A</v>
      </c>
    </row>
    <row r="1015" spans="1:25" x14ac:dyDescent="0.2">
      <c r="A1015" s="28">
        <f>计算区域!E1017</f>
        <v>0</v>
      </c>
      <c r="B1015" t="e">
        <f ca="1">IFERROR(计算区域!AJ1017,NA())</f>
        <v>#N/A</v>
      </c>
      <c r="C1015" t="e">
        <f ca="1">IFERROR(计算区域!AK1017,NA())</f>
        <v>#N/A</v>
      </c>
      <c r="D1015" t="e">
        <f ca="1">IFERROR(计算区域!AL1017,NA())</f>
        <v>#N/A</v>
      </c>
      <c r="E1015" t="e">
        <f ca="1">IFERROR(计算区域!AM1017,NA())</f>
        <v>#N/A</v>
      </c>
      <c r="G1015" t="e">
        <f ca="1">IFERROR(计算区域!AD1017,NA())</f>
        <v>#N/A</v>
      </c>
      <c r="H1015" t="e">
        <f ca="1">IFERROR(计算区域!AE1017,NA())</f>
        <v>#N/A</v>
      </c>
      <c r="I1015" t="e">
        <f ca="1">IFERROR(计算区域!AF1017,NA())</f>
        <v>#N/A</v>
      </c>
      <c r="J1015" t="e">
        <f ca="1">IFERROR(计算区域!AG1017,NA())</f>
        <v>#N/A</v>
      </c>
      <c r="L1015" t="e">
        <f ca="1">IFERROR(计算区域!L1017,NA())</f>
        <v>#N/A</v>
      </c>
      <c r="M1015" t="e">
        <f ca="1">IFERROR(计算区域!M1017,NA())</f>
        <v>#N/A</v>
      </c>
      <c r="N1015" t="e">
        <f ca="1">IFERROR(计算区域!N1017,NA())</f>
        <v>#N/A</v>
      </c>
      <c r="O1015" t="e">
        <f ca="1">IFERROR(计算区域!O1017,NA())</f>
        <v>#N/A</v>
      </c>
      <c r="Q1015" t="e">
        <f ca="1">IFERROR(计算区域!R1017,NA())</f>
        <v>#N/A</v>
      </c>
      <c r="R1015" t="e">
        <f ca="1">IFERROR(计算区域!S1017,NA())</f>
        <v>#N/A</v>
      </c>
      <c r="S1015" t="e">
        <f ca="1">IFERROR(计算区域!T1017,NA())</f>
        <v>#N/A</v>
      </c>
      <c r="T1015" t="e">
        <f ca="1">IFERROR(计算区域!U1017,NA())</f>
        <v>#N/A</v>
      </c>
      <c r="V1015" t="e">
        <f ca="1">IFERROR(计算区域!X1017,NA())</f>
        <v>#N/A</v>
      </c>
      <c r="W1015" t="e">
        <f ca="1">IFERROR(计算区域!Y1017,NA())</f>
        <v>#N/A</v>
      </c>
      <c r="X1015" t="e">
        <f ca="1">IFERROR(计算区域!Z1017,NA())</f>
        <v>#N/A</v>
      </c>
      <c r="Y1015" t="e">
        <f ca="1">IFERROR(计算区域!AA1017,NA())</f>
        <v>#N/A</v>
      </c>
    </row>
    <row r="1016" spans="1:25" x14ac:dyDescent="0.2">
      <c r="A1016" s="28">
        <f>计算区域!E1018</f>
        <v>0</v>
      </c>
      <c r="B1016" t="e">
        <f ca="1">IFERROR(计算区域!AJ1018,NA())</f>
        <v>#N/A</v>
      </c>
      <c r="C1016" t="e">
        <f ca="1">IFERROR(计算区域!AK1018,NA())</f>
        <v>#N/A</v>
      </c>
      <c r="D1016" t="e">
        <f ca="1">IFERROR(计算区域!AL1018,NA())</f>
        <v>#N/A</v>
      </c>
      <c r="E1016" t="e">
        <f ca="1">IFERROR(计算区域!AM1018,NA())</f>
        <v>#N/A</v>
      </c>
      <c r="G1016" t="e">
        <f ca="1">IFERROR(计算区域!AD1018,NA())</f>
        <v>#N/A</v>
      </c>
      <c r="H1016" t="e">
        <f ca="1">IFERROR(计算区域!AE1018,NA())</f>
        <v>#N/A</v>
      </c>
      <c r="I1016" t="e">
        <f ca="1">IFERROR(计算区域!AF1018,NA())</f>
        <v>#N/A</v>
      </c>
      <c r="J1016" t="e">
        <f ca="1">IFERROR(计算区域!AG1018,NA())</f>
        <v>#N/A</v>
      </c>
      <c r="L1016" t="e">
        <f ca="1">IFERROR(计算区域!L1018,NA())</f>
        <v>#N/A</v>
      </c>
      <c r="M1016" t="e">
        <f ca="1">IFERROR(计算区域!M1018,NA())</f>
        <v>#N/A</v>
      </c>
      <c r="N1016" t="e">
        <f ca="1">IFERROR(计算区域!N1018,NA())</f>
        <v>#N/A</v>
      </c>
      <c r="O1016" t="e">
        <f ca="1">IFERROR(计算区域!O1018,NA())</f>
        <v>#N/A</v>
      </c>
      <c r="Q1016" t="e">
        <f ca="1">IFERROR(计算区域!R1018,NA())</f>
        <v>#N/A</v>
      </c>
      <c r="R1016" t="e">
        <f ca="1">IFERROR(计算区域!S1018,NA())</f>
        <v>#N/A</v>
      </c>
      <c r="S1016" t="e">
        <f ca="1">IFERROR(计算区域!T1018,NA())</f>
        <v>#N/A</v>
      </c>
      <c r="T1016" t="e">
        <f ca="1">IFERROR(计算区域!U1018,NA())</f>
        <v>#N/A</v>
      </c>
      <c r="V1016" t="e">
        <f ca="1">IFERROR(计算区域!X1018,NA())</f>
        <v>#N/A</v>
      </c>
      <c r="W1016" t="e">
        <f ca="1">IFERROR(计算区域!Y1018,NA())</f>
        <v>#N/A</v>
      </c>
      <c r="X1016" t="e">
        <f ca="1">IFERROR(计算区域!Z1018,NA())</f>
        <v>#N/A</v>
      </c>
      <c r="Y1016" t="e">
        <f ca="1">IFERROR(计算区域!AA1018,NA())</f>
        <v>#N/A</v>
      </c>
    </row>
    <row r="1017" spans="1:25" x14ac:dyDescent="0.2">
      <c r="A1017" s="28">
        <f>计算区域!E1019</f>
        <v>0</v>
      </c>
      <c r="B1017" t="e">
        <f ca="1">IFERROR(计算区域!AJ1019,NA())</f>
        <v>#N/A</v>
      </c>
      <c r="C1017" t="e">
        <f ca="1">IFERROR(计算区域!AK1019,NA())</f>
        <v>#N/A</v>
      </c>
      <c r="D1017" t="e">
        <f ca="1">IFERROR(计算区域!AL1019,NA())</f>
        <v>#N/A</v>
      </c>
      <c r="E1017" t="e">
        <f ca="1">IFERROR(计算区域!AM1019,NA())</f>
        <v>#N/A</v>
      </c>
      <c r="G1017" t="e">
        <f ca="1">IFERROR(计算区域!AD1019,NA())</f>
        <v>#N/A</v>
      </c>
      <c r="H1017" t="e">
        <f ca="1">IFERROR(计算区域!AE1019,NA())</f>
        <v>#N/A</v>
      </c>
      <c r="I1017" t="e">
        <f ca="1">IFERROR(计算区域!AF1019,NA())</f>
        <v>#N/A</v>
      </c>
      <c r="J1017" t="e">
        <f ca="1">IFERROR(计算区域!AG1019,NA())</f>
        <v>#N/A</v>
      </c>
      <c r="L1017" t="e">
        <f ca="1">IFERROR(计算区域!L1019,NA())</f>
        <v>#N/A</v>
      </c>
      <c r="M1017" t="e">
        <f ca="1">IFERROR(计算区域!M1019,NA())</f>
        <v>#N/A</v>
      </c>
      <c r="N1017" t="e">
        <f ca="1">IFERROR(计算区域!N1019,NA())</f>
        <v>#N/A</v>
      </c>
      <c r="O1017" t="e">
        <f ca="1">IFERROR(计算区域!O1019,NA())</f>
        <v>#N/A</v>
      </c>
      <c r="Q1017" t="e">
        <f ca="1">IFERROR(计算区域!R1019,NA())</f>
        <v>#N/A</v>
      </c>
      <c r="R1017" t="e">
        <f ca="1">IFERROR(计算区域!S1019,NA())</f>
        <v>#N/A</v>
      </c>
      <c r="S1017" t="e">
        <f ca="1">IFERROR(计算区域!T1019,NA())</f>
        <v>#N/A</v>
      </c>
      <c r="T1017" t="e">
        <f ca="1">IFERROR(计算区域!U1019,NA())</f>
        <v>#N/A</v>
      </c>
      <c r="V1017" t="e">
        <f ca="1">IFERROR(计算区域!X1019,NA())</f>
        <v>#N/A</v>
      </c>
      <c r="W1017" t="e">
        <f ca="1">IFERROR(计算区域!Y1019,NA())</f>
        <v>#N/A</v>
      </c>
      <c r="X1017" t="e">
        <f ca="1">IFERROR(计算区域!Z1019,NA())</f>
        <v>#N/A</v>
      </c>
      <c r="Y1017" t="e">
        <f ca="1">IFERROR(计算区域!AA1019,NA())</f>
        <v>#N/A</v>
      </c>
    </row>
    <row r="1018" spans="1:25" x14ac:dyDescent="0.2">
      <c r="A1018" s="28">
        <f>计算区域!E1020</f>
        <v>0</v>
      </c>
      <c r="B1018" t="e">
        <f ca="1">IFERROR(计算区域!AJ1020,NA())</f>
        <v>#N/A</v>
      </c>
      <c r="C1018" t="e">
        <f ca="1">IFERROR(计算区域!AK1020,NA())</f>
        <v>#N/A</v>
      </c>
      <c r="D1018" t="e">
        <f ca="1">IFERROR(计算区域!AL1020,NA())</f>
        <v>#N/A</v>
      </c>
      <c r="E1018" t="e">
        <f ca="1">IFERROR(计算区域!AM1020,NA())</f>
        <v>#N/A</v>
      </c>
      <c r="G1018" t="e">
        <f ca="1">IFERROR(计算区域!AD1020,NA())</f>
        <v>#N/A</v>
      </c>
      <c r="H1018" t="e">
        <f ca="1">IFERROR(计算区域!AE1020,NA())</f>
        <v>#N/A</v>
      </c>
      <c r="I1018" t="e">
        <f ca="1">IFERROR(计算区域!AF1020,NA())</f>
        <v>#N/A</v>
      </c>
      <c r="J1018" t="e">
        <f ca="1">IFERROR(计算区域!AG1020,NA())</f>
        <v>#N/A</v>
      </c>
      <c r="L1018" t="e">
        <f ca="1">IFERROR(计算区域!L1020,NA())</f>
        <v>#N/A</v>
      </c>
      <c r="M1018" t="e">
        <f ca="1">IFERROR(计算区域!M1020,NA())</f>
        <v>#N/A</v>
      </c>
      <c r="N1018" t="e">
        <f ca="1">IFERROR(计算区域!N1020,NA())</f>
        <v>#N/A</v>
      </c>
      <c r="O1018" t="e">
        <f ca="1">IFERROR(计算区域!O1020,NA())</f>
        <v>#N/A</v>
      </c>
      <c r="Q1018" t="e">
        <f ca="1">IFERROR(计算区域!R1020,NA())</f>
        <v>#N/A</v>
      </c>
      <c r="R1018" t="e">
        <f ca="1">IFERROR(计算区域!S1020,NA())</f>
        <v>#N/A</v>
      </c>
      <c r="S1018" t="e">
        <f ca="1">IFERROR(计算区域!T1020,NA())</f>
        <v>#N/A</v>
      </c>
      <c r="T1018" t="e">
        <f ca="1">IFERROR(计算区域!U1020,NA())</f>
        <v>#N/A</v>
      </c>
      <c r="V1018" t="e">
        <f ca="1">IFERROR(计算区域!X1020,NA())</f>
        <v>#N/A</v>
      </c>
      <c r="W1018" t="e">
        <f ca="1">IFERROR(计算区域!Y1020,NA())</f>
        <v>#N/A</v>
      </c>
      <c r="X1018" t="e">
        <f ca="1">IFERROR(计算区域!Z1020,NA())</f>
        <v>#N/A</v>
      </c>
      <c r="Y1018" t="e">
        <f ca="1">IFERROR(计算区域!AA1020,NA())</f>
        <v>#N/A</v>
      </c>
    </row>
    <row r="1019" spans="1:25" x14ac:dyDescent="0.2">
      <c r="A1019" s="28">
        <f>计算区域!E1021</f>
        <v>0</v>
      </c>
      <c r="B1019" t="e">
        <f ca="1">IFERROR(计算区域!AJ1021,NA())</f>
        <v>#N/A</v>
      </c>
      <c r="C1019" t="e">
        <f ca="1">IFERROR(计算区域!AK1021,NA())</f>
        <v>#N/A</v>
      </c>
      <c r="D1019" t="e">
        <f ca="1">IFERROR(计算区域!AL1021,NA())</f>
        <v>#N/A</v>
      </c>
      <c r="E1019" t="e">
        <f ca="1">IFERROR(计算区域!AM1021,NA())</f>
        <v>#N/A</v>
      </c>
      <c r="G1019" t="e">
        <f ca="1">IFERROR(计算区域!AD1021,NA())</f>
        <v>#N/A</v>
      </c>
      <c r="H1019" t="e">
        <f ca="1">IFERROR(计算区域!AE1021,NA())</f>
        <v>#N/A</v>
      </c>
      <c r="I1019" t="e">
        <f ca="1">IFERROR(计算区域!AF1021,NA())</f>
        <v>#N/A</v>
      </c>
      <c r="J1019" t="e">
        <f ca="1">IFERROR(计算区域!AG1021,NA())</f>
        <v>#N/A</v>
      </c>
      <c r="L1019" t="e">
        <f ca="1">IFERROR(计算区域!L1021,NA())</f>
        <v>#N/A</v>
      </c>
      <c r="M1019" t="e">
        <f ca="1">IFERROR(计算区域!M1021,NA())</f>
        <v>#N/A</v>
      </c>
      <c r="N1019" t="e">
        <f ca="1">IFERROR(计算区域!N1021,NA())</f>
        <v>#N/A</v>
      </c>
      <c r="O1019" t="e">
        <f ca="1">IFERROR(计算区域!O1021,NA())</f>
        <v>#N/A</v>
      </c>
      <c r="Q1019" t="e">
        <f ca="1">IFERROR(计算区域!R1021,NA())</f>
        <v>#N/A</v>
      </c>
      <c r="R1019" t="e">
        <f ca="1">IFERROR(计算区域!S1021,NA())</f>
        <v>#N/A</v>
      </c>
      <c r="S1019" t="e">
        <f ca="1">IFERROR(计算区域!T1021,NA())</f>
        <v>#N/A</v>
      </c>
      <c r="T1019" t="e">
        <f ca="1">IFERROR(计算区域!U1021,NA())</f>
        <v>#N/A</v>
      </c>
      <c r="V1019" t="e">
        <f ca="1">IFERROR(计算区域!X1021,NA())</f>
        <v>#N/A</v>
      </c>
      <c r="W1019" t="e">
        <f ca="1">IFERROR(计算区域!Y1021,NA())</f>
        <v>#N/A</v>
      </c>
      <c r="X1019" t="e">
        <f ca="1">IFERROR(计算区域!Z1021,NA())</f>
        <v>#N/A</v>
      </c>
      <c r="Y1019" t="e">
        <f ca="1">IFERROR(计算区域!AA1021,NA())</f>
        <v>#N/A</v>
      </c>
    </row>
    <row r="1020" spans="1:25" x14ac:dyDescent="0.2">
      <c r="A1020" s="28">
        <f>计算区域!E1022</f>
        <v>0</v>
      </c>
      <c r="B1020" t="e">
        <f ca="1">IFERROR(计算区域!AJ1022,NA())</f>
        <v>#N/A</v>
      </c>
      <c r="C1020" t="e">
        <f ca="1">IFERROR(计算区域!AK1022,NA())</f>
        <v>#N/A</v>
      </c>
      <c r="D1020" t="e">
        <f ca="1">IFERROR(计算区域!AL1022,NA())</f>
        <v>#N/A</v>
      </c>
      <c r="E1020" t="e">
        <f ca="1">IFERROR(计算区域!AM1022,NA())</f>
        <v>#N/A</v>
      </c>
      <c r="G1020" t="e">
        <f ca="1">IFERROR(计算区域!AD1022,NA())</f>
        <v>#N/A</v>
      </c>
      <c r="H1020" t="e">
        <f ca="1">IFERROR(计算区域!AE1022,NA())</f>
        <v>#N/A</v>
      </c>
      <c r="I1020" t="e">
        <f ca="1">IFERROR(计算区域!AF1022,NA())</f>
        <v>#N/A</v>
      </c>
      <c r="J1020" t="e">
        <f ca="1">IFERROR(计算区域!AG1022,NA())</f>
        <v>#N/A</v>
      </c>
      <c r="L1020" t="e">
        <f ca="1">IFERROR(计算区域!L1022,NA())</f>
        <v>#N/A</v>
      </c>
      <c r="M1020" t="e">
        <f ca="1">IFERROR(计算区域!M1022,NA())</f>
        <v>#N/A</v>
      </c>
      <c r="N1020" t="e">
        <f ca="1">IFERROR(计算区域!N1022,NA())</f>
        <v>#N/A</v>
      </c>
      <c r="O1020" t="e">
        <f ca="1">IFERROR(计算区域!O1022,NA())</f>
        <v>#N/A</v>
      </c>
      <c r="Q1020" t="e">
        <f ca="1">IFERROR(计算区域!R1022,NA())</f>
        <v>#N/A</v>
      </c>
      <c r="R1020" t="e">
        <f ca="1">IFERROR(计算区域!S1022,NA())</f>
        <v>#N/A</v>
      </c>
      <c r="S1020" t="e">
        <f ca="1">IFERROR(计算区域!T1022,NA())</f>
        <v>#N/A</v>
      </c>
      <c r="T1020" t="e">
        <f ca="1">IFERROR(计算区域!U1022,NA())</f>
        <v>#N/A</v>
      </c>
      <c r="V1020" t="e">
        <f ca="1">IFERROR(计算区域!X1022,NA())</f>
        <v>#N/A</v>
      </c>
      <c r="W1020" t="e">
        <f ca="1">IFERROR(计算区域!Y1022,NA())</f>
        <v>#N/A</v>
      </c>
      <c r="X1020" t="e">
        <f ca="1">IFERROR(计算区域!Z1022,NA())</f>
        <v>#N/A</v>
      </c>
      <c r="Y1020" t="e">
        <f ca="1">IFERROR(计算区域!AA1022,NA())</f>
        <v>#N/A</v>
      </c>
    </row>
    <row r="1021" spans="1:25" x14ac:dyDescent="0.2">
      <c r="A1021" s="28">
        <f>计算区域!E1023</f>
        <v>0</v>
      </c>
      <c r="B1021" t="e">
        <f ca="1">IFERROR(计算区域!AJ1023,NA())</f>
        <v>#N/A</v>
      </c>
      <c r="C1021" t="e">
        <f ca="1">IFERROR(计算区域!AK1023,NA())</f>
        <v>#N/A</v>
      </c>
      <c r="D1021" t="e">
        <f ca="1">IFERROR(计算区域!AL1023,NA())</f>
        <v>#N/A</v>
      </c>
      <c r="E1021" t="e">
        <f ca="1">IFERROR(计算区域!AM1023,NA())</f>
        <v>#N/A</v>
      </c>
      <c r="G1021" t="e">
        <f ca="1">IFERROR(计算区域!AD1023,NA())</f>
        <v>#N/A</v>
      </c>
      <c r="H1021" t="e">
        <f ca="1">IFERROR(计算区域!AE1023,NA())</f>
        <v>#N/A</v>
      </c>
      <c r="I1021" t="e">
        <f ca="1">IFERROR(计算区域!AF1023,NA())</f>
        <v>#N/A</v>
      </c>
      <c r="J1021" t="e">
        <f ca="1">IFERROR(计算区域!AG1023,NA())</f>
        <v>#N/A</v>
      </c>
      <c r="L1021" t="e">
        <f ca="1">IFERROR(计算区域!L1023,NA())</f>
        <v>#N/A</v>
      </c>
      <c r="M1021" t="e">
        <f ca="1">IFERROR(计算区域!M1023,NA())</f>
        <v>#N/A</v>
      </c>
      <c r="N1021" t="e">
        <f ca="1">IFERROR(计算区域!N1023,NA())</f>
        <v>#N/A</v>
      </c>
      <c r="O1021" t="e">
        <f ca="1">IFERROR(计算区域!O1023,NA())</f>
        <v>#N/A</v>
      </c>
      <c r="Q1021" t="e">
        <f ca="1">IFERROR(计算区域!R1023,NA())</f>
        <v>#N/A</v>
      </c>
      <c r="R1021" t="e">
        <f ca="1">IFERROR(计算区域!S1023,NA())</f>
        <v>#N/A</v>
      </c>
      <c r="S1021" t="e">
        <f ca="1">IFERROR(计算区域!T1023,NA())</f>
        <v>#N/A</v>
      </c>
      <c r="T1021" t="e">
        <f ca="1">IFERROR(计算区域!U1023,NA())</f>
        <v>#N/A</v>
      </c>
      <c r="V1021" t="e">
        <f ca="1">IFERROR(计算区域!X1023,NA())</f>
        <v>#N/A</v>
      </c>
      <c r="W1021" t="e">
        <f ca="1">IFERROR(计算区域!Y1023,NA())</f>
        <v>#N/A</v>
      </c>
      <c r="X1021" t="e">
        <f ca="1">IFERROR(计算区域!Z1023,NA())</f>
        <v>#N/A</v>
      </c>
      <c r="Y1021" t="e">
        <f ca="1">IFERROR(计算区域!AA1023,NA())</f>
        <v>#N/A</v>
      </c>
    </row>
    <row r="1022" spans="1:25" x14ac:dyDescent="0.2">
      <c r="A1022" s="28">
        <f>计算区域!E1024</f>
        <v>0</v>
      </c>
      <c r="B1022" t="e">
        <f ca="1">IFERROR(计算区域!AJ1024,NA())</f>
        <v>#N/A</v>
      </c>
      <c r="C1022" t="e">
        <f ca="1">IFERROR(计算区域!AK1024,NA())</f>
        <v>#N/A</v>
      </c>
      <c r="D1022" t="e">
        <f ca="1">IFERROR(计算区域!AL1024,NA())</f>
        <v>#N/A</v>
      </c>
      <c r="E1022" t="e">
        <f ca="1">IFERROR(计算区域!AM1024,NA())</f>
        <v>#N/A</v>
      </c>
      <c r="G1022" t="e">
        <f ca="1">IFERROR(计算区域!AD1024,NA())</f>
        <v>#N/A</v>
      </c>
      <c r="H1022" t="e">
        <f ca="1">IFERROR(计算区域!AE1024,NA())</f>
        <v>#N/A</v>
      </c>
      <c r="I1022" t="e">
        <f ca="1">IFERROR(计算区域!AF1024,NA())</f>
        <v>#N/A</v>
      </c>
      <c r="J1022" t="e">
        <f ca="1">IFERROR(计算区域!AG1024,NA())</f>
        <v>#N/A</v>
      </c>
      <c r="L1022" t="e">
        <f ca="1">IFERROR(计算区域!L1024,NA())</f>
        <v>#N/A</v>
      </c>
      <c r="M1022" t="e">
        <f ca="1">IFERROR(计算区域!M1024,NA())</f>
        <v>#N/A</v>
      </c>
      <c r="N1022" t="e">
        <f ca="1">IFERROR(计算区域!N1024,NA())</f>
        <v>#N/A</v>
      </c>
      <c r="O1022" t="e">
        <f ca="1">IFERROR(计算区域!O1024,NA())</f>
        <v>#N/A</v>
      </c>
      <c r="Q1022" t="e">
        <f ca="1">IFERROR(计算区域!R1024,NA())</f>
        <v>#N/A</v>
      </c>
      <c r="R1022" t="e">
        <f ca="1">IFERROR(计算区域!S1024,NA())</f>
        <v>#N/A</v>
      </c>
      <c r="S1022" t="e">
        <f ca="1">IFERROR(计算区域!T1024,NA())</f>
        <v>#N/A</v>
      </c>
      <c r="T1022" t="e">
        <f ca="1">IFERROR(计算区域!U1024,NA())</f>
        <v>#N/A</v>
      </c>
      <c r="V1022" t="e">
        <f ca="1">IFERROR(计算区域!X1024,NA())</f>
        <v>#N/A</v>
      </c>
      <c r="W1022" t="e">
        <f ca="1">IFERROR(计算区域!Y1024,NA())</f>
        <v>#N/A</v>
      </c>
      <c r="X1022" t="e">
        <f ca="1">IFERROR(计算区域!Z1024,NA())</f>
        <v>#N/A</v>
      </c>
      <c r="Y1022" t="e">
        <f ca="1">IFERROR(计算区域!AA1024,NA())</f>
        <v>#N/A</v>
      </c>
    </row>
    <row r="1023" spans="1:25" x14ac:dyDescent="0.2">
      <c r="A1023" s="28">
        <f>计算区域!E1025</f>
        <v>0</v>
      </c>
      <c r="B1023" t="e">
        <f ca="1">IFERROR(计算区域!AJ1025,NA())</f>
        <v>#N/A</v>
      </c>
      <c r="C1023" t="e">
        <f ca="1">IFERROR(计算区域!AK1025,NA())</f>
        <v>#N/A</v>
      </c>
      <c r="D1023" t="e">
        <f ca="1">IFERROR(计算区域!AL1025,NA())</f>
        <v>#N/A</v>
      </c>
      <c r="E1023" t="e">
        <f ca="1">IFERROR(计算区域!AM1025,NA())</f>
        <v>#N/A</v>
      </c>
      <c r="G1023" t="e">
        <f ca="1">IFERROR(计算区域!AD1025,NA())</f>
        <v>#N/A</v>
      </c>
      <c r="H1023" t="e">
        <f ca="1">IFERROR(计算区域!AE1025,NA())</f>
        <v>#N/A</v>
      </c>
      <c r="I1023" t="e">
        <f ca="1">IFERROR(计算区域!AF1025,NA())</f>
        <v>#N/A</v>
      </c>
      <c r="J1023" t="e">
        <f ca="1">IFERROR(计算区域!AG1025,NA())</f>
        <v>#N/A</v>
      </c>
      <c r="L1023" t="e">
        <f ca="1">IFERROR(计算区域!L1025,NA())</f>
        <v>#N/A</v>
      </c>
      <c r="M1023" t="e">
        <f ca="1">IFERROR(计算区域!M1025,NA())</f>
        <v>#N/A</v>
      </c>
      <c r="N1023" t="e">
        <f ca="1">IFERROR(计算区域!N1025,NA())</f>
        <v>#N/A</v>
      </c>
      <c r="O1023" t="e">
        <f ca="1">IFERROR(计算区域!O1025,NA())</f>
        <v>#N/A</v>
      </c>
      <c r="Q1023" t="e">
        <f ca="1">IFERROR(计算区域!R1025,NA())</f>
        <v>#N/A</v>
      </c>
      <c r="R1023" t="e">
        <f ca="1">IFERROR(计算区域!S1025,NA())</f>
        <v>#N/A</v>
      </c>
      <c r="S1023" t="e">
        <f ca="1">IFERROR(计算区域!T1025,NA())</f>
        <v>#N/A</v>
      </c>
      <c r="T1023" t="e">
        <f ca="1">IFERROR(计算区域!U1025,NA())</f>
        <v>#N/A</v>
      </c>
      <c r="V1023" t="e">
        <f ca="1">IFERROR(计算区域!X1025,NA())</f>
        <v>#N/A</v>
      </c>
      <c r="W1023" t="e">
        <f ca="1">IFERROR(计算区域!Y1025,NA())</f>
        <v>#N/A</v>
      </c>
      <c r="X1023" t="e">
        <f ca="1">IFERROR(计算区域!Z1025,NA())</f>
        <v>#N/A</v>
      </c>
      <c r="Y1023" t="e">
        <f ca="1">IFERROR(计算区域!AA1025,NA())</f>
        <v>#N/A</v>
      </c>
    </row>
    <row r="1024" spans="1:25" x14ac:dyDescent="0.2">
      <c r="A1024" s="28">
        <f>计算区域!E1026</f>
        <v>0</v>
      </c>
      <c r="B1024" t="e">
        <f ca="1">IFERROR(计算区域!AJ1026,NA())</f>
        <v>#N/A</v>
      </c>
      <c r="C1024" t="e">
        <f ca="1">IFERROR(计算区域!AK1026,NA())</f>
        <v>#N/A</v>
      </c>
      <c r="D1024" t="e">
        <f ca="1">IFERROR(计算区域!AL1026,NA())</f>
        <v>#N/A</v>
      </c>
      <c r="E1024" t="e">
        <f ca="1">IFERROR(计算区域!AM1026,NA())</f>
        <v>#N/A</v>
      </c>
      <c r="G1024" t="e">
        <f ca="1">IFERROR(计算区域!AD1026,NA())</f>
        <v>#N/A</v>
      </c>
      <c r="H1024" t="e">
        <f ca="1">IFERROR(计算区域!AE1026,NA())</f>
        <v>#N/A</v>
      </c>
      <c r="I1024" t="e">
        <f ca="1">IFERROR(计算区域!AF1026,NA())</f>
        <v>#N/A</v>
      </c>
      <c r="J1024" t="e">
        <f ca="1">IFERROR(计算区域!AG1026,NA())</f>
        <v>#N/A</v>
      </c>
      <c r="L1024" t="e">
        <f ca="1">IFERROR(计算区域!L1026,NA())</f>
        <v>#N/A</v>
      </c>
      <c r="M1024" t="e">
        <f ca="1">IFERROR(计算区域!M1026,NA())</f>
        <v>#N/A</v>
      </c>
      <c r="N1024" t="e">
        <f ca="1">IFERROR(计算区域!N1026,NA())</f>
        <v>#N/A</v>
      </c>
      <c r="O1024" t="e">
        <f ca="1">IFERROR(计算区域!O1026,NA())</f>
        <v>#N/A</v>
      </c>
      <c r="Q1024" t="e">
        <f ca="1">IFERROR(计算区域!R1026,NA())</f>
        <v>#N/A</v>
      </c>
      <c r="R1024" t="e">
        <f ca="1">IFERROR(计算区域!S1026,NA())</f>
        <v>#N/A</v>
      </c>
      <c r="S1024" t="e">
        <f ca="1">IFERROR(计算区域!T1026,NA())</f>
        <v>#N/A</v>
      </c>
      <c r="T1024" t="e">
        <f ca="1">IFERROR(计算区域!U1026,NA())</f>
        <v>#N/A</v>
      </c>
      <c r="V1024" t="e">
        <f ca="1">IFERROR(计算区域!X1026,NA())</f>
        <v>#N/A</v>
      </c>
      <c r="W1024" t="e">
        <f ca="1">IFERROR(计算区域!Y1026,NA())</f>
        <v>#N/A</v>
      </c>
      <c r="X1024" t="e">
        <f ca="1">IFERROR(计算区域!Z1026,NA())</f>
        <v>#N/A</v>
      </c>
      <c r="Y1024" t="e">
        <f ca="1">IFERROR(计算区域!AA1026,NA())</f>
        <v>#N/A</v>
      </c>
    </row>
    <row r="1025" spans="1:25" x14ac:dyDescent="0.2">
      <c r="A1025" s="28">
        <f>计算区域!E1027</f>
        <v>0</v>
      </c>
      <c r="B1025" t="e">
        <f ca="1">IFERROR(计算区域!AJ1027,NA())</f>
        <v>#N/A</v>
      </c>
      <c r="C1025" t="e">
        <f ca="1">IFERROR(计算区域!AK1027,NA())</f>
        <v>#N/A</v>
      </c>
      <c r="D1025" t="e">
        <f ca="1">IFERROR(计算区域!AL1027,NA())</f>
        <v>#N/A</v>
      </c>
      <c r="E1025" t="e">
        <f ca="1">IFERROR(计算区域!AM1027,NA())</f>
        <v>#N/A</v>
      </c>
      <c r="G1025" t="e">
        <f ca="1">IFERROR(计算区域!AD1027,NA())</f>
        <v>#N/A</v>
      </c>
      <c r="H1025" t="e">
        <f ca="1">IFERROR(计算区域!AE1027,NA())</f>
        <v>#N/A</v>
      </c>
      <c r="I1025" t="e">
        <f ca="1">IFERROR(计算区域!AF1027,NA())</f>
        <v>#N/A</v>
      </c>
      <c r="J1025" t="e">
        <f ca="1">IFERROR(计算区域!AG1027,NA())</f>
        <v>#N/A</v>
      </c>
      <c r="L1025" t="e">
        <f ca="1">IFERROR(计算区域!L1027,NA())</f>
        <v>#N/A</v>
      </c>
      <c r="M1025" t="e">
        <f ca="1">IFERROR(计算区域!M1027,NA())</f>
        <v>#N/A</v>
      </c>
      <c r="N1025" t="e">
        <f ca="1">IFERROR(计算区域!N1027,NA())</f>
        <v>#N/A</v>
      </c>
      <c r="O1025" t="e">
        <f ca="1">IFERROR(计算区域!O1027,NA())</f>
        <v>#N/A</v>
      </c>
      <c r="Q1025" t="e">
        <f ca="1">IFERROR(计算区域!R1027,NA())</f>
        <v>#N/A</v>
      </c>
      <c r="R1025" t="e">
        <f ca="1">IFERROR(计算区域!S1027,NA())</f>
        <v>#N/A</v>
      </c>
      <c r="S1025" t="e">
        <f ca="1">IFERROR(计算区域!T1027,NA())</f>
        <v>#N/A</v>
      </c>
      <c r="T1025" t="e">
        <f ca="1">IFERROR(计算区域!U1027,NA())</f>
        <v>#N/A</v>
      </c>
      <c r="V1025" t="e">
        <f ca="1">IFERROR(计算区域!X1027,NA())</f>
        <v>#N/A</v>
      </c>
      <c r="W1025" t="e">
        <f ca="1">IFERROR(计算区域!Y1027,NA())</f>
        <v>#N/A</v>
      </c>
      <c r="X1025" t="e">
        <f ca="1">IFERROR(计算区域!Z1027,NA())</f>
        <v>#N/A</v>
      </c>
      <c r="Y1025" t="e">
        <f ca="1">IFERROR(计算区域!AA1027,NA())</f>
        <v>#N/A</v>
      </c>
    </row>
    <row r="1026" spans="1:25" x14ac:dyDescent="0.2">
      <c r="A1026" s="28">
        <f>计算区域!E1028</f>
        <v>0</v>
      </c>
      <c r="B1026" t="e">
        <f ca="1">IFERROR(计算区域!AJ1028,NA())</f>
        <v>#N/A</v>
      </c>
      <c r="C1026" t="e">
        <f ca="1">IFERROR(计算区域!AK1028,NA())</f>
        <v>#N/A</v>
      </c>
      <c r="D1026" t="e">
        <f ca="1">IFERROR(计算区域!AL1028,NA())</f>
        <v>#N/A</v>
      </c>
      <c r="E1026" t="e">
        <f ca="1">IFERROR(计算区域!AM1028,NA())</f>
        <v>#N/A</v>
      </c>
      <c r="G1026" t="e">
        <f ca="1">IFERROR(计算区域!AD1028,NA())</f>
        <v>#N/A</v>
      </c>
      <c r="H1026" t="e">
        <f ca="1">IFERROR(计算区域!AE1028,NA())</f>
        <v>#N/A</v>
      </c>
      <c r="I1026" t="e">
        <f ca="1">IFERROR(计算区域!AF1028,NA())</f>
        <v>#N/A</v>
      </c>
      <c r="J1026" t="e">
        <f ca="1">IFERROR(计算区域!AG1028,NA())</f>
        <v>#N/A</v>
      </c>
      <c r="L1026" t="e">
        <f ca="1">IFERROR(计算区域!L1028,NA())</f>
        <v>#N/A</v>
      </c>
      <c r="M1026" t="e">
        <f ca="1">IFERROR(计算区域!M1028,NA())</f>
        <v>#N/A</v>
      </c>
      <c r="N1026" t="e">
        <f ca="1">IFERROR(计算区域!N1028,NA())</f>
        <v>#N/A</v>
      </c>
      <c r="O1026" t="e">
        <f ca="1">IFERROR(计算区域!O1028,NA())</f>
        <v>#N/A</v>
      </c>
      <c r="Q1026" t="e">
        <f ca="1">IFERROR(计算区域!R1028,NA())</f>
        <v>#N/A</v>
      </c>
      <c r="R1026" t="e">
        <f ca="1">IFERROR(计算区域!S1028,NA())</f>
        <v>#N/A</v>
      </c>
      <c r="S1026" t="e">
        <f ca="1">IFERROR(计算区域!T1028,NA())</f>
        <v>#N/A</v>
      </c>
      <c r="T1026" t="e">
        <f ca="1">IFERROR(计算区域!U1028,NA())</f>
        <v>#N/A</v>
      </c>
      <c r="V1026" t="e">
        <f ca="1">IFERROR(计算区域!X1028,NA())</f>
        <v>#N/A</v>
      </c>
      <c r="W1026" t="e">
        <f ca="1">IFERROR(计算区域!Y1028,NA())</f>
        <v>#N/A</v>
      </c>
      <c r="X1026" t="e">
        <f ca="1">IFERROR(计算区域!Z1028,NA())</f>
        <v>#N/A</v>
      </c>
      <c r="Y1026" t="e">
        <f ca="1">IFERROR(计算区域!AA1028,NA())</f>
        <v>#N/A</v>
      </c>
    </row>
    <row r="1027" spans="1:25" x14ac:dyDescent="0.2">
      <c r="A1027" s="28">
        <f>计算区域!E1029</f>
        <v>0</v>
      </c>
      <c r="B1027" t="e">
        <f ca="1">IFERROR(计算区域!AJ1029,NA())</f>
        <v>#N/A</v>
      </c>
      <c r="C1027" t="e">
        <f ca="1">IFERROR(计算区域!AK1029,NA())</f>
        <v>#N/A</v>
      </c>
      <c r="D1027" t="e">
        <f ca="1">IFERROR(计算区域!AL1029,NA())</f>
        <v>#N/A</v>
      </c>
      <c r="E1027" t="e">
        <f ca="1">IFERROR(计算区域!AM1029,NA())</f>
        <v>#N/A</v>
      </c>
      <c r="G1027" t="e">
        <f ca="1">IFERROR(计算区域!AD1029,NA())</f>
        <v>#N/A</v>
      </c>
      <c r="H1027" t="e">
        <f ca="1">IFERROR(计算区域!AE1029,NA())</f>
        <v>#N/A</v>
      </c>
      <c r="I1027" t="e">
        <f ca="1">IFERROR(计算区域!AF1029,NA())</f>
        <v>#N/A</v>
      </c>
      <c r="J1027" t="e">
        <f ca="1">IFERROR(计算区域!AG1029,NA())</f>
        <v>#N/A</v>
      </c>
      <c r="L1027" t="e">
        <f ca="1">IFERROR(计算区域!L1029,NA())</f>
        <v>#N/A</v>
      </c>
      <c r="M1027" t="e">
        <f ca="1">IFERROR(计算区域!M1029,NA())</f>
        <v>#N/A</v>
      </c>
      <c r="N1027" t="e">
        <f ca="1">IFERROR(计算区域!N1029,NA())</f>
        <v>#N/A</v>
      </c>
      <c r="O1027" t="e">
        <f ca="1">IFERROR(计算区域!O1029,NA())</f>
        <v>#N/A</v>
      </c>
      <c r="Q1027" t="e">
        <f ca="1">IFERROR(计算区域!R1029,NA())</f>
        <v>#N/A</v>
      </c>
      <c r="R1027" t="e">
        <f ca="1">IFERROR(计算区域!S1029,NA())</f>
        <v>#N/A</v>
      </c>
      <c r="S1027" t="e">
        <f ca="1">IFERROR(计算区域!T1029,NA())</f>
        <v>#N/A</v>
      </c>
      <c r="T1027" t="e">
        <f ca="1">IFERROR(计算区域!U1029,NA())</f>
        <v>#N/A</v>
      </c>
      <c r="V1027" t="e">
        <f ca="1">IFERROR(计算区域!X1029,NA())</f>
        <v>#N/A</v>
      </c>
      <c r="W1027" t="e">
        <f ca="1">IFERROR(计算区域!Y1029,NA())</f>
        <v>#N/A</v>
      </c>
      <c r="X1027" t="e">
        <f ca="1">IFERROR(计算区域!Z1029,NA())</f>
        <v>#N/A</v>
      </c>
      <c r="Y1027" t="e">
        <f ca="1">IFERROR(计算区域!AA1029,NA())</f>
        <v>#N/A</v>
      </c>
    </row>
    <row r="1028" spans="1:25" x14ac:dyDescent="0.2">
      <c r="A1028" s="28">
        <f>计算区域!E1030</f>
        <v>0</v>
      </c>
      <c r="B1028" t="e">
        <f ca="1">IFERROR(计算区域!AJ1030,NA())</f>
        <v>#N/A</v>
      </c>
      <c r="C1028" t="e">
        <f ca="1">IFERROR(计算区域!AK1030,NA())</f>
        <v>#N/A</v>
      </c>
      <c r="D1028" t="e">
        <f ca="1">IFERROR(计算区域!AL1030,NA())</f>
        <v>#N/A</v>
      </c>
      <c r="E1028" t="e">
        <f ca="1">IFERROR(计算区域!AM1030,NA())</f>
        <v>#N/A</v>
      </c>
      <c r="G1028" t="e">
        <f ca="1">IFERROR(计算区域!AD1030,NA())</f>
        <v>#N/A</v>
      </c>
      <c r="H1028" t="e">
        <f ca="1">IFERROR(计算区域!AE1030,NA())</f>
        <v>#N/A</v>
      </c>
      <c r="I1028" t="e">
        <f ca="1">IFERROR(计算区域!AF1030,NA())</f>
        <v>#N/A</v>
      </c>
      <c r="J1028" t="e">
        <f ca="1">IFERROR(计算区域!AG1030,NA())</f>
        <v>#N/A</v>
      </c>
      <c r="L1028" t="e">
        <f ca="1">IFERROR(计算区域!L1030,NA())</f>
        <v>#N/A</v>
      </c>
      <c r="M1028" t="e">
        <f ca="1">IFERROR(计算区域!M1030,NA())</f>
        <v>#N/A</v>
      </c>
      <c r="N1028" t="e">
        <f ca="1">IFERROR(计算区域!N1030,NA())</f>
        <v>#N/A</v>
      </c>
      <c r="O1028" t="e">
        <f ca="1">IFERROR(计算区域!O1030,NA())</f>
        <v>#N/A</v>
      </c>
      <c r="Q1028" t="e">
        <f ca="1">IFERROR(计算区域!R1030,NA())</f>
        <v>#N/A</v>
      </c>
      <c r="R1028" t="e">
        <f ca="1">IFERROR(计算区域!S1030,NA())</f>
        <v>#N/A</v>
      </c>
      <c r="S1028" t="e">
        <f ca="1">IFERROR(计算区域!T1030,NA())</f>
        <v>#N/A</v>
      </c>
      <c r="T1028" t="e">
        <f ca="1">IFERROR(计算区域!U1030,NA())</f>
        <v>#N/A</v>
      </c>
      <c r="V1028" t="e">
        <f ca="1">IFERROR(计算区域!X1030,NA())</f>
        <v>#N/A</v>
      </c>
      <c r="W1028" t="e">
        <f ca="1">IFERROR(计算区域!Y1030,NA())</f>
        <v>#N/A</v>
      </c>
      <c r="X1028" t="e">
        <f ca="1">IFERROR(计算区域!Z1030,NA())</f>
        <v>#N/A</v>
      </c>
      <c r="Y1028" t="e">
        <f ca="1">IFERROR(计算区域!AA1030,NA())</f>
        <v>#N/A</v>
      </c>
    </row>
    <row r="1029" spans="1:25" x14ac:dyDescent="0.2">
      <c r="A1029" s="28">
        <f>计算区域!E1031</f>
        <v>0</v>
      </c>
      <c r="B1029" t="e">
        <f ca="1">IFERROR(计算区域!AJ1031,NA())</f>
        <v>#N/A</v>
      </c>
      <c r="C1029" t="e">
        <f ca="1">IFERROR(计算区域!AK1031,NA())</f>
        <v>#N/A</v>
      </c>
      <c r="D1029" t="e">
        <f ca="1">IFERROR(计算区域!AL1031,NA())</f>
        <v>#N/A</v>
      </c>
      <c r="E1029" t="e">
        <f ca="1">IFERROR(计算区域!AM1031,NA())</f>
        <v>#N/A</v>
      </c>
      <c r="G1029" t="e">
        <f ca="1">IFERROR(计算区域!AD1031,NA())</f>
        <v>#N/A</v>
      </c>
      <c r="H1029" t="e">
        <f ca="1">IFERROR(计算区域!AE1031,NA())</f>
        <v>#N/A</v>
      </c>
      <c r="I1029" t="e">
        <f ca="1">IFERROR(计算区域!AF1031,NA())</f>
        <v>#N/A</v>
      </c>
      <c r="J1029" t="e">
        <f ca="1">IFERROR(计算区域!AG1031,NA())</f>
        <v>#N/A</v>
      </c>
      <c r="L1029" t="e">
        <f ca="1">IFERROR(计算区域!L1031,NA())</f>
        <v>#N/A</v>
      </c>
      <c r="M1029" t="e">
        <f ca="1">IFERROR(计算区域!M1031,NA())</f>
        <v>#N/A</v>
      </c>
      <c r="N1029" t="e">
        <f ca="1">IFERROR(计算区域!N1031,NA())</f>
        <v>#N/A</v>
      </c>
      <c r="O1029" t="e">
        <f ca="1">IFERROR(计算区域!O1031,NA())</f>
        <v>#N/A</v>
      </c>
      <c r="Q1029" t="e">
        <f ca="1">IFERROR(计算区域!R1031,NA())</f>
        <v>#N/A</v>
      </c>
      <c r="R1029" t="e">
        <f ca="1">IFERROR(计算区域!S1031,NA())</f>
        <v>#N/A</v>
      </c>
      <c r="S1029" t="e">
        <f ca="1">IFERROR(计算区域!T1031,NA())</f>
        <v>#N/A</v>
      </c>
      <c r="T1029" t="e">
        <f ca="1">IFERROR(计算区域!U1031,NA())</f>
        <v>#N/A</v>
      </c>
      <c r="V1029" t="e">
        <f ca="1">IFERROR(计算区域!X1031,NA())</f>
        <v>#N/A</v>
      </c>
      <c r="W1029" t="e">
        <f ca="1">IFERROR(计算区域!Y1031,NA())</f>
        <v>#N/A</v>
      </c>
      <c r="X1029" t="e">
        <f ca="1">IFERROR(计算区域!Z1031,NA())</f>
        <v>#N/A</v>
      </c>
      <c r="Y1029" t="e">
        <f ca="1">IFERROR(计算区域!AA1031,NA())</f>
        <v>#N/A</v>
      </c>
    </row>
    <row r="1030" spans="1:25" x14ac:dyDescent="0.2">
      <c r="A1030" s="28">
        <f>计算区域!E1032</f>
        <v>0</v>
      </c>
      <c r="B1030" t="e">
        <f ca="1">IFERROR(计算区域!AJ1032,NA())</f>
        <v>#N/A</v>
      </c>
      <c r="C1030" t="e">
        <f ca="1">IFERROR(计算区域!AK1032,NA())</f>
        <v>#N/A</v>
      </c>
      <c r="D1030" t="e">
        <f ca="1">IFERROR(计算区域!AL1032,NA())</f>
        <v>#N/A</v>
      </c>
      <c r="E1030" t="e">
        <f ca="1">IFERROR(计算区域!AM1032,NA())</f>
        <v>#N/A</v>
      </c>
      <c r="G1030" t="e">
        <f ca="1">IFERROR(计算区域!AD1032,NA())</f>
        <v>#N/A</v>
      </c>
      <c r="H1030" t="e">
        <f ca="1">IFERROR(计算区域!AE1032,NA())</f>
        <v>#N/A</v>
      </c>
      <c r="I1030" t="e">
        <f ca="1">IFERROR(计算区域!AF1032,NA())</f>
        <v>#N/A</v>
      </c>
      <c r="J1030" t="e">
        <f ca="1">IFERROR(计算区域!AG1032,NA())</f>
        <v>#N/A</v>
      </c>
      <c r="L1030" t="e">
        <f ca="1">IFERROR(计算区域!L1032,NA())</f>
        <v>#N/A</v>
      </c>
      <c r="M1030" t="e">
        <f ca="1">IFERROR(计算区域!M1032,NA())</f>
        <v>#N/A</v>
      </c>
      <c r="N1030" t="e">
        <f ca="1">IFERROR(计算区域!N1032,NA())</f>
        <v>#N/A</v>
      </c>
      <c r="O1030" t="e">
        <f ca="1">IFERROR(计算区域!O1032,NA())</f>
        <v>#N/A</v>
      </c>
      <c r="Q1030" t="e">
        <f ca="1">IFERROR(计算区域!R1032,NA())</f>
        <v>#N/A</v>
      </c>
      <c r="R1030" t="e">
        <f ca="1">IFERROR(计算区域!S1032,NA())</f>
        <v>#N/A</v>
      </c>
      <c r="S1030" t="e">
        <f ca="1">IFERROR(计算区域!T1032,NA())</f>
        <v>#N/A</v>
      </c>
      <c r="T1030" t="e">
        <f ca="1">IFERROR(计算区域!U1032,NA())</f>
        <v>#N/A</v>
      </c>
      <c r="V1030" t="e">
        <f ca="1">IFERROR(计算区域!X1032,NA())</f>
        <v>#N/A</v>
      </c>
      <c r="W1030" t="e">
        <f ca="1">IFERROR(计算区域!Y1032,NA())</f>
        <v>#N/A</v>
      </c>
      <c r="X1030" t="e">
        <f ca="1">IFERROR(计算区域!Z1032,NA())</f>
        <v>#N/A</v>
      </c>
      <c r="Y1030" t="e">
        <f ca="1">IFERROR(计算区域!AA1032,NA())</f>
        <v>#N/A</v>
      </c>
    </row>
    <row r="1031" spans="1:25" x14ac:dyDescent="0.2">
      <c r="A1031" s="28">
        <f>计算区域!E1033</f>
        <v>0</v>
      </c>
      <c r="B1031" t="e">
        <f ca="1">IFERROR(计算区域!AJ1033,NA())</f>
        <v>#N/A</v>
      </c>
      <c r="C1031" t="e">
        <f ca="1">IFERROR(计算区域!AK1033,NA())</f>
        <v>#N/A</v>
      </c>
      <c r="D1031" t="e">
        <f ca="1">IFERROR(计算区域!AL1033,NA())</f>
        <v>#N/A</v>
      </c>
      <c r="E1031" t="e">
        <f ca="1">IFERROR(计算区域!AM1033,NA())</f>
        <v>#N/A</v>
      </c>
      <c r="G1031" t="e">
        <f ca="1">IFERROR(计算区域!AD1033,NA())</f>
        <v>#N/A</v>
      </c>
      <c r="H1031" t="e">
        <f ca="1">IFERROR(计算区域!AE1033,NA())</f>
        <v>#N/A</v>
      </c>
      <c r="I1031" t="e">
        <f ca="1">IFERROR(计算区域!AF1033,NA())</f>
        <v>#N/A</v>
      </c>
      <c r="J1031" t="e">
        <f ca="1">IFERROR(计算区域!AG1033,NA())</f>
        <v>#N/A</v>
      </c>
      <c r="L1031" t="e">
        <f ca="1">IFERROR(计算区域!L1033,NA())</f>
        <v>#N/A</v>
      </c>
      <c r="M1031" t="e">
        <f ca="1">IFERROR(计算区域!M1033,NA())</f>
        <v>#N/A</v>
      </c>
      <c r="N1031" t="e">
        <f ca="1">IFERROR(计算区域!N1033,NA())</f>
        <v>#N/A</v>
      </c>
      <c r="O1031" t="e">
        <f ca="1">IFERROR(计算区域!O1033,NA())</f>
        <v>#N/A</v>
      </c>
      <c r="Q1031" t="e">
        <f ca="1">IFERROR(计算区域!R1033,NA())</f>
        <v>#N/A</v>
      </c>
      <c r="R1031" t="e">
        <f ca="1">IFERROR(计算区域!S1033,NA())</f>
        <v>#N/A</v>
      </c>
      <c r="S1031" t="e">
        <f ca="1">IFERROR(计算区域!T1033,NA())</f>
        <v>#N/A</v>
      </c>
      <c r="T1031" t="e">
        <f ca="1">IFERROR(计算区域!U1033,NA())</f>
        <v>#N/A</v>
      </c>
      <c r="V1031" t="e">
        <f ca="1">IFERROR(计算区域!X1033,NA())</f>
        <v>#N/A</v>
      </c>
      <c r="W1031" t="e">
        <f ca="1">IFERROR(计算区域!Y1033,NA())</f>
        <v>#N/A</v>
      </c>
      <c r="X1031" t="e">
        <f ca="1">IFERROR(计算区域!Z1033,NA())</f>
        <v>#N/A</v>
      </c>
      <c r="Y1031" t="e">
        <f ca="1">IFERROR(计算区域!AA1033,NA())</f>
        <v>#N/A</v>
      </c>
    </row>
    <row r="1032" spans="1:25" x14ac:dyDescent="0.2">
      <c r="A1032" s="28">
        <f>计算区域!E1034</f>
        <v>0</v>
      </c>
      <c r="B1032" t="e">
        <f ca="1">IFERROR(计算区域!AJ1034,NA())</f>
        <v>#N/A</v>
      </c>
      <c r="C1032" t="e">
        <f ca="1">IFERROR(计算区域!AK1034,NA())</f>
        <v>#N/A</v>
      </c>
      <c r="D1032" t="e">
        <f ca="1">IFERROR(计算区域!AL1034,NA())</f>
        <v>#N/A</v>
      </c>
      <c r="E1032" t="e">
        <f ca="1">IFERROR(计算区域!AM1034,NA())</f>
        <v>#N/A</v>
      </c>
      <c r="G1032" t="e">
        <f ca="1">IFERROR(计算区域!AD1034,NA())</f>
        <v>#N/A</v>
      </c>
      <c r="H1032" t="e">
        <f ca="1">IFERROR(计算区域!AE1034,NA())</f>
        <v>#N/A</v>
      </c>
      <c r="I1032" t="e">
        <f ca="1">IFERROR(计算区域!AF1034,NA())</f>
        <v>#N/A</v>
      </c>
      <c r="J1032" t="e">
        <f ca="1">IFERROR(计算区域!AG1034,NA())</f>
        <v>#N/A</v>
      </c>
      <c r="L1032" t="e">
        <f ca="1">IFERROR(计算区域!L1034,NA())</f>
        <v>#N/A</v>
      </c>
      <c r="M1032" t="e">
        <f ca="1">IFERROR(计算区域!M1034,NA())</f>
        <v>#N/A</v>
      </c>
      <c r="N1032" t="e">
        <f ca="1">IFERROR(计算区域!N1034,NA())</f>
        <v>#N/A</v>
      </c>
      <c r="O1032" t="e">
        <f ca="1">IFERROR(计算区域!O1034,NA())</f>
        <v>#N/A</v>
      </c>
      <c r="Q1032" t="e">
        <f ca="1">IFERROR(计算区域!R1034,NA())</f>
        <v>#N/A</v>
      </c>
      <c r="R1032" t="e">
        <f ca="1">IFERROR(计算区域!S1034,NA())</f>
        <v>#N/A</v>
      </c>
      <c r="S1032" t="e">
        <f ca="1">IFERROR(计算区域!T1034,NA())</f>
        <v>#N/A</v>
      </c>
      <c r="T1032" t="e">
        <f ca="1">IFERROR(计算区域!U1034,NA())</f>
        <v>#N/A</v>
      </c>
      <c r="V1032" t="e">
        <f ca="1">IFERROR(计算区域!X1034,NA())</f>
        <v>#N/A</v>
      </c>
      <c r="W1032" t="e">
        <f ca="1">IFERROR(计算区域!Y1034,NA())</f>
        <v>#N/A</v>
      </c>
      <c r="X1032" t="e">
        <f ca="1">IFERROR(计算区域!Z1034,NA())</f>
        <v>#N/A</v>
      </c>
      <c r="Y1032" t="e">
        <f ca="1">IFERROR(计算区域!AA1034,NA())</f>
        <v>#N/A</v>
      </c>
    </row>
    <row r="1033" spans="1:25" x14ac:dyDescent="0.2">
      <c r="A1033" s="28">
        <f>计算区域!E1035</f>
        <v>0</v>
      </c>
      <c r="B1033" t="e">
        <f ca="1">IFERROR(计算区域!AJ1035,NA())</f>
        <v>#N/A</v>
      </c>
      <c r="C1033" t="e">
        <f ca="1">IFERROR(计算区域!AK1035,NA())</f>
        <v>#N/A</v>
      </c>
      <c r="D1033" t="e">
        <f ca="1">IFERROR(计算区域!AL1035,NA())</f>
        <v>#N/A</v>
      </c>
      <c r="E1033" t="e">
        <f ca="1">IFERROR(计算区域!AM1035,NA())</f>
        <v>#N/A</v>
      </c>
      <c r="G1033" t="e">
        <f ca="1">IFERROR(计算区域!AD1035,NA())</f>
        <v>#N/A</v>
      </c>
      <c r="H1033" t="e">
        <f ca="1">IFERROR(计算区域!AE1035,NA())</f>
        <v>#N/A</v>
      </c>
      <c r="I1033" t="e">
        <f ca="1">IFERROR(计算区域!AF1035,NA())</f>
        <v>#N/A</v>
      </c>
      <c r="J1033" t="e">
        <f ca="1">IFERROR(计算区域!AG1035,NA())</f>
        <v>#N/A</v>
      </c>
      <c r="L1033" t="e">
        <f ca="1">IFERROR(计算区域!L1035,NA())</f>
        <v>#N/A</v>
      </c>
      <c r="M1033" t="e">
        <f ca="1">IFERROR(计算区域!M1035,NA())</f>
        <v>#N/A</v>
      </c>
      <c r="N1033" t="e">
        <f ca="1">IFERROR(计算区域!N1035,NA())</f>
        <v>#N/A</v>
      </c>
      <c r="O1033" t="e">
        <f ca="1">IFERROR(计算区域!O1035,NA())</f>
        <v>#N/A</v>
      </c>
      <c r="Q1033" t="e">
        <f ca="1">IFERROR(计算区域!R1035,NA())</f>
        <v>#N/A</v>
      </c>
      <c r="R1033" t="e">
        <f ca="1">IFERROR(计算区域!S1035,NA())</f>
        <v>#N/A</v>
      </c>
      <c r="S1033" t="e">
        <f ca="1">IFERROR(计算区域!T1035,NA())</f>
        <v>#N/A</v>
      </c>
      <c r="T1033" t="e">
        <f ca="1">IFERROR(计算区域!U1035,NA())</f>
        <v>#N/A</v>
      </c>
      <c r="V1033" t="e">
        <f ca="1">IFERROR(计算区域!X1035,NA())</f>
        <v>#N/A</v>
      </c>
      <c r="W1033" t="e">
        <f ca="1">IFERROR(计算区域!Y1035,NA())</f>
        <v>#N/A</v>
      </c>
      <c r="X1033" t="e">
        <f ca="1">IFERROR(计算区域!Z1035,NA())</f>
        <v>#N/A</v>
      </c>
      <c r="Y1033" t="e">
        <f ca="1">IFERROR(计算区域!AA1035,NA())</f>
        <v>#N/A</v>
      </c>
    </row>
    <row r="1034" spans="1:25" x14ac:dyDescent="0.2">
      <c r="A1034" s="28">
        <f>计算区域!E1036</f>
        <v>0</v>
      </c>
      <c r="B1034" t="e">
        <f ca="1">IFERROR(计算区域!AJ1036,NA())</f>
        <v>#N/A</v>
      </c>
      <c r="C1034" t="e">
        <f ca="1">IFERROR(计算区域!AK1036,NA())</f>
        <v>#N/A</v>
      </c>
      <c r="D1034" t="e">
        <f ca="1">IFERROR(计算区域!AL1036,NA())</f>
        <v>#N/A</v>
      </c>
      <c r="E1034" t="e">
        <f ca="1">IFERROR(计算区域!AM1036,NA())</f>
        <v>#N/A</v>
      </c>
      <c r="G1034" t="e">
        <f ca="1">IFERROR(计算区域!AD1036,NA())</f>
        <v>#N/A</v>
      </c>
      <c r="H1034" t="e">
        <f ca="1">IFERROR(计算区域!AE1036,NA())</f>
        <v>#N/A</v>
      </c>
      <c r="I1034" t="e">
        <f ca="1">IFERROR(计算区域!AF1036,NA())</f>
        <v>#N/A</v>
      </c>
      <c r="J1034" t="e">
        <f ca="1">IFERROR(计算区域!AG1036,NA())</f>
        <v>#N/A</v>
      </c>
      <c r="L1034" t="e">
        <f ca="1">IFERROR(计算区域!L1036,NA())</f>
        <v>#N/A</v>
      </c>
      <c r="M1034" t="e">
        <f ca="1">IFERROR(计算区域!M1036,NA())</f>
        <v>#N/A</v>
      </c>
      <c r="N1034" t="e">
        <f ca="1">IFERROR(计算区域!N1036,NA())</f>
        <v>#N/A</v>
      </c>
      <c r="O1034" t="e">
        <f ca="1">IFERROR(计算区域!O1036,NA())</f>
        <v>#N/A</v>
      </c>
      <c r="Q1034" t="e">
        <f ca="1">IFERROR(计算区域!R1036,NA())</f>
        <v>#N/A</v>
      </c>
      <c r="R1034" t="e">
        <f ca="1">IFERROR(计算区域!S1036,NA())</f>
        <v>#N/A</v>
      </c>
      <c r="S1034" t="e">
        <f ca="1">IFERROR(计算区域!T1036,NA())</f>
        <v>#N/A</v>
      </c>
      <c r="T1034" t="e">
        <f ca="1">IFERROR(计算区域!U1036,NA())</f>
        <v>#N/A</v>
      </c>
      <c r="V1034" t="e">
        <f ca="1">IFERROR(计算区域!X1036,NA())</f>
        <v>#N/A</v>
      </c>
      <c r="W1034" t="e">
        <f ca="1">IFERROR(计算区域!Y1036,NA())</f>
        <v>#N/A</v>
      </c>
      <c r="X1034" t="e">
        <f ca="1">IFERROR(计算区域!Z1036,NA())</f>
        <v>#N/A</v>
      </c>
      <c r="Y1034" t="e">
        <f ca="1">IFERROR(计算区域!AA1036,NA())</f>
        <v>#N/A</v>
      </c>
    </row>
    <row r="1035" spans="1:25" x14ac:dyDescent="0.2">
      <c r="A1035" s="28">
        <f>计算区域!E1037</f>
        <v>0</v>
      </c>
      <c r="B1035" t="e">
        <f ca="1">IFERROR(计算区域!AJ1037,NA())</f>
        <v>#N/A</v>
      </c>
      <c r="C1035" t="e">
        <f ca="1">IFERROR(计算区域!AK1037,NA())</f>
        <v>#N/A</v>
      </c>
      <c r="D1035" t="e">
        <f ca="1">IFERROR(计算区域!AL1037,NA())</f>
        <v>#N/A</v>
      </c>
      <c r="E1035" t="e">
        <f ca="1">IFERROR(计算区域!AM1037,NA())</f>
        <v>#N/A</v>
      </c>
      <c r="G1035" t="e">
        <f ca="1">IFERROR(计算区域!AD1037,NA())</f>
        <v>#N/A</v>
      </c>
      <c r="H1035" t="e">
        <f ca="1">IFERROR(计算区域!AE1037,NA())</f>
        <v>#N/A</v>
      </c>
      <c r="I1035" t="e">
        <f ca="1">IFERROR(计算区域!AF1037,NA())</f>
        <v>#N/A</v>
      </c>
      <c r="J1035" t="e">
        <f ca="1">IFERROR(计算区域!AG1037,NA())</f>
        <v>#N/A</v>
      </c>
      <c r="L1035" t="e">
        <f ca="1">IFERROR(计算区域!L1037,NA())</f>
        <v>#N/A</v>
      </c>
      <c r="M1035" t="e">
        <f ca="1">IFERROR(计算区域!M1037,NA())</f>
        <v>#N/A</v>
      </c>
      <c r="N1035" t="e">
        <f ca="1">IFERROR(计算区域!N1037,NA())</f>
        <v>#N/A</v>
      </c>
      <c r="O1035" t="e">
        <f ca="1">IFERROR(计算区域!O1037,NA())</f>
        <v>#N/A</v>
      </c>
      <c r="Q1035" t="e">
        <f ca="1">IFERROR(计算区域!R1037,NA())</f>
        <v>#N/A</v>
      </c>
      <c r="R1035" t="e">
        <f ca="1">IFERROR(计算区域!S1037,NA())</f>
        <v>#N/A</v>
      </c>
      <c r="S1035" t="e">
        <f ca="1">IFERROR(计算区域!T1037,NA())</f>
        <v>#N/A</v>
      </c>
      <c r="T1035" t="e">
        <f ca="1">IFERROR(计算区域!U1037,NA())</f>
        <v>#N/A</v>
      </c>
      <c r="V1035" t="e">
        <f ca="1">IFERROR(计算区域!X1037,NA())</f>
        <v>#N/A</v>
      </c>
      <c r="W1035" t="e">
        <f ca="1">IFERROR(计算区域!Y1037,NA())</f>
        <v>#N/A</v>
      </c>
      <c r="X1035" t="e">
        <f ca="1">IFERROR(计算区域!Z1037,NA())</f>
        <v>#N/A</v>
      </c>
      <c r="Y1035" t="e">
        <f ca="1">IFERROR(计算区域!AA1037,NA())</f>
        <v>#N/A</v>
      </c>
    </row>
    <row r="1036" spans="1:25" x14ac:dyDescent="0.2">
      <c r="A1036" s="28">
        <f>计算区域!E1038</f>
        <v>0</v>
      </c>
      <c r="B1036" t="e">
        <f ca="1">IFERROR(计算区域!AJ1038,NA())</f>
        <v>#N/A</v>
      </c>
      <c r="C1036" t="e">
        <f ca="1">IFERROR(计算区域!AK1038,NA())</f>
        <v>#N/A</v>
      </c>
      <c r="D1036" t="e">
        <f ca="1">IFERROR(计算区域!AL1038,NA())</f>
        <v>#N/A</v>
      </c>
      <c r="E1036" t="e">
        <f ca="1">IFERROR(计算区域!AM1038,NA())</f>
        <v>#N/A</v>
      </c>
      <c r="G1036" t="e">
        <f ca="1">IFERROR(计算区域!AD1038,NA())</f>
        <v>#N/A</v>
      </c>
      <c r="H1036" t="e">
        <f ca="1">IFERROR(计算区域!AE1038,NA())</f>
        <v>#N/A</v>
      </c>
      <c r="I1036" t="e">
        <f ca="1">IFERROR(计算区域!AF1038,NA())</f>
        <v>#N/A</v>
      </c>
      <c r="J1036" t="e">
        <f ca="1">IFERROR(计算区域!AG1038,NA())</f>
        <v>#N/A</v>
      </c>
      <c r="L1036" t="e">
        <f ca="1">IFERROR(计算区域!L1038,NA())</f>
        <v>#N/A</v>
      </c>
      <c r="M1036" t="e">
        <f ca="1">IFERROR(计算区域!M1038,NA())</f>
        <v>#N/A</v>
      </c>
      <c r="N1036" t="e">
        <f ca="1">IFERROR(计算区域!N1038,NA())</f>
        <v>#N/A</v>
      </c>
      <c r="O1036" t="e">
        <f ca="1">IFERROR(计算区域!O1038,NA())</f>
        <v>#N/A</v>
      </c>
      <c r="Q1036" t="e">
        <f ca="1">IFERROR(计算区域!R1038,NA())</f>
        <v>#N/A</v>
      </c>
      <c r="R1036" t="e">
        <f ca="1">IFERROR(计算区域!S1038,NA())</f>
        <v>#N/A</v>
      </c>
      <c r="S1036" t="e">
        <f ca="1">IFERROR(计算区域!T1038,NA())</f>
        <v>#N/A</v>
      </c>
      <c r="T1036" t="e">
        <f ca="1">IFERROR(计算区域!U1038,NA())</f>
        <v>#N/A</v>
      </c>
      <c r="V1036" t="e">
        <f ca="1">IFERROR(计算区域!X1038,NA())</f>
        <v>#N/A</v>
      </c>
      <c r="W1036" t="e">
        <f ca="1">IFERROR(计算区域!Y1038,NA())</f>
        <v>#N/A</v>
      </c>
      <c r="X1036" t="e">
        <f ca="1">IFERROR(计算区域!Z1038,NA())</f>
        <v>#N/A</v>
      </c>
      <c r="Y1036" t="e">
        <f ca="1">IFERROR(计算区域!AA1038,NA())</f>
        <v>#N/A</v>
      </c>
    </row>
    <row r="1037" spans="1:25" x14ac:dyDescent="0.2">
      <c r="A1037" s="28">
        <f>计算区域!E1039</f>
        <v>0</v>
      </c>
      <c r="B1037" t="e">
        <f ca="1">IFERROR(计算区域!AJ1039,NA())</f>
        <v>#N/A</v>
      </c>
      <c r="C1037" t="e">
        <f ca="1">IFERROR(计算区域!AK1039,NA())</f>
        <v>#N/A</v>
      </c>
      <c r="D1037" t="e">
        <f ca="1">IFERROR(计算区域!AL1039,NA())</f>
        <v>#N/A</v>
      </c>
      <c r="E1037" t="e">
        <f ca="1">IFERROR(计算区域!AM1039,NA())</f>
        <v>#N/A</v>
      </c>
      <c r="G1037" t="e">
        <f ca="1">IFERROR(计算区域!AD1039,NA())</f>
        <v>#N/A</v>
      </c>
      <c r="H1037" t="e">
        <f ca="1">IFERROR(计算区域!AE1039,NA())</f>
        <v>#N/A</v>
      </c>
      <c r="I1037" t="e">
        <f ca="1">IFERROR(计算区域!AF1039,NA())</f>
        <v>#N/A</v>
      </c>
      <c r="J1037" t="e">
        <f ca="1">IFERROR(计算区域!AG1039,NA())</f>
        <v>#N/A</v>
      </c>
      <c r="L1037" t="e">
        <f ca="1">IFERROR(计算区域!L1039,NA())</f>
        <v>#N/A</v>
      </c>
      <c r="M1037" t="e">
        <f ca="1">IFERROR(计算区域!M1039,NA())</f>
        <v>#N/A</v>
      </c>
      <c r="N1037" t="e">
        <f ca="1">IFERROR(计算区域!N1039,NA())</f>
        <v>#N/A</v>
      </c>
      <c r="O1037" t="e">
        <f ca="1">IFERROR(计算区域!O1039,NA())</f>
        <v>#N/A</v>
      </c>
      <c r="Q1037" t="e">
        <f ca="1">IFERROR(计算区域!R1039,NA())</f>
        <v>#N/A</v>
      </c>
      <c r="R1037" t="e">
        <f ca="1">IFERROR(计算区域!S1039,NA())</f>
        <v>#N/A</v>
      </c>
      <c r="S1037" t="e">
        <f ca="1">IFERROR(计算区域!T1039,NA())</f>
        <v>#N/A</v>
      </c>
      <c r="T1037" t="e">
        <f ca="1">IFERROR(计算区域!U1039,NA())</f>
        <v>#N/A</v>
      </c>
      <c r="V1037" t="e">
        <f ca="1">IFERROR(计算区域!X1039,NA())</f>
        <v>#N/A</v>
      </c>
      <c r="W1037" t="e">
        <f ca="1">IFERROR(计算区域!Y1039,NA())</f>
        <v>#N/A</v>
      </c>
      <c r="X1037" t="e">
        <f ca="1">IFERROR(计算区域!Z1039,NA())</f>
        <v>#N/A</v>
      </c>
      <c r="Y1037" t="e">
        <f ca="1">IFERROR(计算区域!AA1039,NA())</f>
        <v>#N/A</v>
      </c>
    </row>
    <row r="1038" spans="1:25" x14ac:dyDescent="0.2">
      <c r="A1038" s="28">
        <f>计算区域!E1040</f>
        <v>0</v>
      </c>
      <c r="B1038" t="e">
        <f ca="1">IFERROR(计算区域!AJ1040,NA())</f>
        <v>#N/A</v>
      </c>
      <c r="C1038" t="e">
        <f ca="1">IFERROR(计算区域!AK1040,NA())</f>
        <v>#N/A</v>
      </c>
      <c r="D1038" t="e">
        <f ca="1">IFERROR(计算区域!AL1040,NA())</f>
        <v>#N/A</v>
      </c>
      <c r="E1038" t="e">
        <f ca="1">IFERROR(计算区域!AM1040,NA())</f>
        <v>#N/A</v>
      </c>
      <c r="G1038" t="e">
        <f ca="1">IFERROR(计算区域!AD1040,NA())</f>
        <v>#N/A</v>
      </c>
      <c r="H1038" t="e">
        <f ca="1">IFERROR(计算区域!AE1040,NA())</f>
        <v>#N/A</v>
      </c>
      <c r="I1038" t="e">
        <f ca="1">IFERROR(计算区域!AF1040,NA())</f>
        <v>#N/A</v>
      </c>
      <c r="J1038" t="e">
        <f ca="1">IFERROR(计算区域!AG1040,NA())</f>
        <v>#N/A</v>
      </c>
      <c r="L1038" t="e">
        <f ca="1">IFERROR(计算区域!L1040,NA())</f>
        <v>#N/A</v>
      </c>
      <c r="M1038" t="e">
        <f ca="1">IFERROR(计算区域!M1040,NA())</f>
        <v>#N/A</v>
      </c>
      <c r="N1038" t="e">
        <f ca="1">IFERROR(计算区域!N1040,NA())</f>
        <v>#N/A</v>
      </c>
      <c r="O1038" t="e">
        <f ca="1">IFERROR(计算区域!O1040,NA())</f>
        <v>#N/A</v>
      </c>
      <c r="Q1038" t="e">
        <f ca="1">IFERROR(计算区域!R1040,NA())</f>
        <v>#N/A</v>
      </c>
      <c r="R1038" t="e">
        <f ca="1">IFERROR(计算区域!S1040,NA())</f>
        <v>#N/A</v>
      </c>
      <c r="S1038" t="e">
        <f ca="1">IFERROR(计算区域!T1040,NA())</f>
        <v>#N/A</v>
      </c>
      <c r="T1038" t="e">
        <f ca="1">IFERROR(计算区域!U1040,NA())</f>
        <v>#N/A</v>
      </c>
      <c r="V1038" t="e">
        <f ca="1">IFERROR(计算区域!X1040,NA())</f>
        <v>#N/A</v>
      </c>
      <c r="W1038" t="e">
        <f ca="1">IFERROR(计算区域!Y1040,NA())</f>
        <v>#N/A</v>
      </c>
      <c r="X1038" t="e">
        <f ca="1">IFERROR(计算区域!Z1040,NA())</f>
        <v>#N/A</v>
      </c>
      <c r="Y1038" t="e">
        <f ca="1">IFERROR(计算区域!AA1040,NA())</f>
        <v>#N/A</v>
      </c>
    </row>
    <row r="1039" spans="1:25" x14ac:dyDescent="0.2">
      <c r="A1039" s="28">
        <f>计算区域!E1041</f>
        <v>0</v>
      </c>
      <c r="B1039" t="e">
        <f ca="1">IFERROR(计算区域!AJ1041,NA())</f>
        <v>#N/A</v>
      </c>
      <c r="C1039" t="e">
        <f ca="1">IFERROR(计算区域!AK1041,NA())</f>
        <v>#N/A</v>
      </c>
      <c r="D1039" t="e">
        <f ca="1">IFERROR(计算区域!AL1041,NA())</f>
        <v>#N/A</v>
      </c>
      <c r="E1039" t="e">
        <f ca="1">IFERROR(计算区域!AM1041,NA())</f>
        <v>#N/A</v>
      </c>
      <c r="G1039" t="e">
        <f ca="1">IFERROR(计算区域!AD1041,NA())</f>
        <v>#N/A</v>
      </c>
      <c r="H1039" t="e">
        <f ca="1">IFERROR(计算区域!AE1041,NA())</f>
        <v>#N/A</v>
      </c>
      <c r="I1039" t="e">
        <f ca="1">IFERROR(计算区域!AF1041,NA())</f>
        <v>#N/A</v>
      </c>
      <c r="J1039" t="e">
        <f ca="1">IFERROR(计算区域!AG1041,NA())</f>
        <v>#N/A</v>
      </c>
      <c r="L1039" t="e">
        <f ca="1">IFERROR(计算区域!L1041,NA())</f>
        <v>#N/A</v>
      </c>
      <c r="M1039" t="e">
        <f ca="1">IFERROR(计算区域!M1041,NA())</f>
        <v>#N/A</v>
      </c>
      <c r="N1039" t="e">
        <f ca="1">IFERROR(计算区域!N1041,NA())</f>
        <v>#N/A</v>
      </c>
      <c r="O1039" t="e">
        <f ca="1">IFERROR(计算区域!O1041,NA())</f>
        <v>#N/A</v>
      </c>
      <c r="Q1039" t="e">
        <f ca="1">IFERROR(计算区域!R1041,NA())</f>
        <v>#N/A</v>
      </c>
      <c r="R1039" t="e">
        <f ca="1">IFERROR(计算区域!S1041,NA())</f>
        <v>#N/A</v>
      </c>
      <c r="S1039" t="e">
        <f ca="1">IFERROR(计算区域!T1041,NA())</f>
        <v>#N/A</v>
      </c>
      <c r="T1039" t="e">
        <f ca="1">IFERROR(计算区域!U1041,NA())</f>
        <v>#N/A</v>
      </c>
      <c r="V1039" t="e">
        <f ca="1">IFERROR(计算区域!X1041,NA())</f>
        <v>#N/A</v>
      </c>
      <c r="W1039" t="e">
        <f ca="1">IFERROR(计算区域!Y1041,NA())</f>
        <v>#N/A</v>
      </c>
      <c r="X1039" t="e">
        <f ca="1">IFERROR(计算区域!Z1041,NA())</f>
        <v>#N/A</v>
      </c>
      <c r="Y1039" t="e">
        <f ca="1">IFERROR(计算区域!AA1041,NA())</f>
        <v>#N/A</v>
      </c>
    </row>
    <row r="1040" spans="1:25" x14ac:dyDescent="0.2">
      <c r="A1040" s="28">
        <f>计算区域!E1042</f>
        <v>0</v>
      </c>
      <c r="B1040" t="e">
        <f ca="1">IFERROR(计算区域!AJ1042,NA())</f>
        <v>#N/A</v>
      </c>
      <c r="C1040" t="e">
        <f ca="1">IFERROR(计算区域!AK1042,NA())</f>
        <v>#N/A</v>
      </c>
      <c r="D1040" t="e">
        <f ca="1">IFERROR(计算区域!AL1042,NA())</f>
        <v>#N/A</v>
      </c>
      <c r="E1040" t="e">
        <f ca="1">IFERROR(计算区域!AM1042,NA())</f>
        <v>#N/A</v>
      </c>
      <c r="G1040" t="e">
        <f ca="1">IFERROR(计算区域!AD1042,NA())</f>
        <v>#N/A</v>
      </c>
      <c r="H1040" t="e">
        <f ca="1">IFERROR(计算区域!AE1042,NA())</f>
        <v>#N/A</v>
      </c>
      <c r="I1040" t="e">
        <f ca="1">IFERROR(计算区域!AF1042,NA())</f>
        <v>#N/A</v>
      </c>
      <c r="J1040" t="e">
        <f ca="1">IFERROR(计算区域!AG1042,NA())</f>
        <v>#N/A</v>
      </c>
      <c r="L1040" t="e">
        <f ca="1">IFERROR(计算区域!L1042,NA())</f>
        <v>#N/A</v>
      </c>
      <c r="M1040" t="e">
        <f ca="1">IFERROR(计算区域!M1042,NA())</f>
        <v>#N/A</v>
      </c>
      <c r="N1040" t="e">
        <f ca="1">IFERROR(计算区域!N1042,NA())</f>
        <v>#N/A</v>
      </c>
      <c r="O1040" t="e">
        <f ca="1">IFERROR(计算区域!O1042,NA())</f>
        <v>#N/A</v>
      </c>
      <c r="Q1040" t="e">
        <f ca="1">IFERROR(计算区域!R1042,NA())</f>
        <v>#N/A</v>
      </c>
      <c r="R1040" t="e">
        <f ca="1">IFERROR(计算区域!S1042,NA())</f>
        <v>#N/A</v>
      </c>
      <c r="S1040" t="e">
        <f ca="1">IFERROR(计算区域!T1042,NA())</f>
        <v>#N/A</v>
      </c>
      <c r="T1040" t="e">
        <f ca="1">IFERROR(计算区域!U1042,NA())</f>
        <v>#N/A</v>
      </c>
      <c r="V1040" t="e">
        <f ca="1">IFERROR(计算区域!X1042,NA())</f>
        <v>#N/A</v>
      </c>
      <c r="W1040" t="e">
        <f ca="1">IFERROR(计算区域!Y1042,NA())</f>
        <v>#N/A</v>
      </c>
      <c r="X1040" t="e">
        <f ca="1">IFERROR(计算区域!Z1042,NA())</f>
        <v>#N/A</v>
      </c>
      <c r="Y1040" t="e">
        <f ca="1">IFERROR(计算区域!AA1042,NA())</f>
        <v>#N/A</v>
      </c>
    </row>
    <row r="1041" spans="1:25" x14ac:dyDescent="0.2">
      <c r="A1041" s="28">
        <f>计算区域!E1043</f>
        <v>0</v>
      </c>
      <c r="B1041" t="e">
        <f ca="1">IFERROR(计算区域!AJ1043,NA())</f>
        <v>#N/A</v>
      </c>
      <c r="C1041" t="e">
        <f ca="1">IFERROR(计算区域!AK1043,NA())</f>
        <v>#N/A</v>
      </c>
      <c r="D1041" t="e">
        <f ca="1">IFERROR(计算区域!AL1043,NA())</f>
        <v>#N/A</v>
      </c>
      <c r="E1041" t="e">
        <f ca="1">IFERROR(计算区域!AM1043,NA())</f>
        <v>#N/A</v>
      </c>
      <c r="G1041" t="e">
        <f ca="1">IFERROR(计算区域!AD1043,NA())</f>
        <v>#N/A</v>
      </c>
      <c r="H1041" t="e">
        <f ca="1">IFERROR(计算区域!AE1043,NA())</f>
        <v>#N/A</v>
      </c>
      <c r="I1041" t="e">
        <f ca="1">IFERROR(计算区域!AF1043,NA())</f>
        <v>#N/A</v>
      </c>
      <c r="J1041" t="e">
        <f ca="1">IFERROR(计算区域!AG1043,NA())</f>
        <v>#N/A</v>
      </c>
      <c r="L1041" t="e">
        <f ca="1">IFERROR(计算区域!L1043,NA())</f>
        <v>#N/A</v>
      </c>
      <c r="M1041" t="e">
        <f ca="1">IFERROR(计算区域!M1043,NA())</f>
        <v>#N/A</v>
      </c>
      <c r="N1041" t="e">
        <f ca="1">IFERROR(计算区域!N1043,NA())</f>
        <v>#N/A</v>
      </c>
      <c r="O1041" t="e">
        <f ca="1">IFERROR(计算区域!O1043,NA())</f>
        <v>#N/A</v>
      </c>
      <c r="Q1041" t="e">
        <f ca="1">IFERROR(计算区域!R1043,NA())</f>
        <v>#N/A</v>
      </c>
      <c r="R1041" t="e">
        <f ca="1">IFERROR(计算区域!S1043,NA())</f>
        <v>#N/A</v>
      </c>
      <c r="S1041" t="e">
        <f ca="1">IFERROR(计算区域!T1043,NA())</f>
        <v>#N/A</v>
      </c>
      <c r="T1041" t="e">
        <f ca="1">IFERROR(计算区域!U1043,NA())</f>
        <v>#N/A</v>
      </c>
      <c r="V1041" t="e">
        <f ca="1">IFERROR(计算区域!X1043,NA())</f>
        <v>#N/A</v>
      </c>
      <c r="W1041" t="e">
        <f ca="1">IFERROR(计算区域!Y1043,NA())</f>
        <v>#N/A</v>
      </c>
      <c r="X1041" t="e">
        <f ca="1">IFERROR(计算区域!Z1043,NA())</f>
        <v>#N/A</v>
      </c>
      <c r="Y1041" t="e">
        <f ca="1">IFERROR(计算区域!AA1043,NA())</f>
        <v>#N/A</v>
      </c>
    </row>
    <row r="1042" spans="1:25" x14ac:dyDescent="0.2">
      <c r="A1042" s="28">
        <f>计算区域!E1044</f>
        <v>0</v>
      </c>
      <c r="B1042" t="e">
        <f ca="1">IFERROR(计算区域!AJ1044,NA())</f>
        <v>#N/A</v>
      </c>
      <c r="C1042" t="e">
        <f ca="1">IFERROR(计算区域!AK1044,NA())</f>
        <v>#N/A</v>
      </c>
      <c r="D1042" t="e">
        <f ca="1">IFERROR(计算区域!AL1044,NA())</f>
        <v>#N/A</v>
      </c>
      <c r="E1042" t="e">
        <f ca="1">IFERROR(计算区域!AM1044,NA())</f>
        <v>#N/A</v>
      </c>
      <c r="G1042" t="e">
        <f ca="1">IFERROR(计算区域!AD1044,NA())</f>
        <v>#N/A</v>
      </c>
      <c r="H1042" t="e">
        <f ca="1">IFERROR(计算区域!AE1044,NA())</f>
        <v>#N/A</v>
      </c>
      <c r="I1042" t="e">
        <f ca="1">IFERROR(计算区域!AF1044,NA())</f>
        <v>#N/A</v>
      </c>
      <c r="J1042" t="e">
        <f ca="1">IFERROR(计算区域!AG1044,NA())</f>
        <v>#N/A</v>
      </c>
      <c r="L1042" t="e">
        <f ca="1">IFERROR(计算区域!L1044,NA())</f>
        <v>#N/A</v>
      </c>
      <c r="M1042" t="e">
        <f ca="1">IFERROR(计算区域!M1044,NA())</f>
        <v>#N/A</v>
      </c>
      <c r="N1042" t="e">
        <f ca="1">IFERROR(计算区域!N1044,NA())</f>
        <v>#N/A</v>
      </c>
      <c r="O1042" t="e">
        <f ca="1">IFERROR(计算区域!O1044,NA())</f>
        <v>#N/A</v>
      </c>
      <c r="Q1042" t="e">
        <f ca="1">IFERROR(计算区域!R1044,NA())</f>
        <v>#N/A</v>
      </c>
      <c r="R1042" t="e">
        <f ca="1">IFERROR(计算区域!S1044,NA())</f>
        <v>#N/A</v>
      </c>
      <c r="S1042" t="e">
        <f ca="1">IFERROR(计算区域!T1044,NA())</f>
        <v>#N/A</v>
      </c>
      <c r="T1042" t="e">
        <f ca="1">IFERROR(计算区域!U1044,NA())</f>
        <v>#N/A</v>
      </c>
      <c r="V1042" t="e">
        <f ca="1">IFERROR(计算区域!X1044,NA())</f>
        <v>#N/A</v>
      </c>
      <c r="W1042" t="e">
        <f ca="1">IFERROR(计算区域!Y1044,NA())</f>
        <v>#N/A</v>
      </c>
      <c r="X1042" t="e">
        <f ca="1">IFERROR(计算区域!Z1044,NA())</f>
        <v>#N/A</v>
      </c>
      <c r="Y1042" t="e">
        <f ca="1">IFERROR(计算区域!AA1044,NA())</f>
        <v>#N/A</v>
      </c>
    </row>
    <row r="1043" spans="1:25" x14ac:dyDescent="0.2">
      <c r="A1043" s="28">
        <f>计算区域!E1045</f>
        <v>0</v>
      </c>
      <c r="B1043" t="e">
        <f ca="1">IFERROR(计算区域!AJ1045,NA())</f>
        <v>#N/A</v>
      </c>
      <c r="C1043" t="e">
        <f ca="1">IFERROR(计算区域!AK1045,NA())</f>
        <v>#N/A</v>
      </c>
      <c r="D1043" t="e">
        <f ca="1">IFERROR(计算区域!AL1045,NA())</f>
        <v>#N/A</v>
      </c>
      <c r="E1043" t="e">
        <f ca="1">IFERROR(计算区域!AM1045,NA())</f>
        <v>#N/A</v>
      </c>
      <c r="G1043" t="e">
        <f ca="1">IFERROR(计算区域!AD1045,NA())</f>
        <v>#N/A</v>
      </c>
      <c r="H1043" t="e">
        <f ca="1">IFERROR(计算区域!AE1045,NA())</f>
        <v>#N/A</v>
      </c>
      <c r="I1043" t="e">
        <f ca="1">IFERROR(计算区域!AF1045,NA())</f>
        <v>#N/A</v>
      </c>
      <c r="J1043" t="e">
        <f ca="1">IFERROR(计算区域!AG1045,NA())</f>
        <v>#N/A</v>
      </c>
      <c r="L1043" t="e">
        <f ca="1">IFERROR(计算区域!L1045,NA())</f>
        <v>#N/A</v>
      </c>
      <c r="M1043" t="e">
        <f ca="1">IFERROR(计算区域!M1045,NA())</f>
        <v>#N/A</v>
      </c>
      <c r="N1043" t="e">
        <f ca="1">IFERROR(计算区域!N1045,NA())</f>
        <v>#N/A</v>
      </c>
      <c r="O1043" t="e">
        <f ca="1">IFERROR(计算区域!O1045,NA())</f>
        <v>#N/A</v>
      </c>
      <c r="Q1043" t="e">
        <f ca="1">IFERROR(计算区域!R1045,NA())</f>
        <v>#N/A</v>
      </c>
      <c r="R1043" t="e">
        <f ca="1">IFERROR(计算区域!S1045,NA())</f>
        <v>#N/A</v>
      </c>
      <c r="S1043" t="e">
        <f ca="1">IFERROR(计算区域!T1045,NA())</f>
        <v>#N/A</v>
      </c>
      <c r="T1043" t="e">
        <f ca="1">IFERROR(计算区域!U1045,NA())</f>
        <v>#N/A</v>
      </c>
      <c r="V1043" t="e">
        <f ca="1">IFERROR(计算区域!X1045,NA())</f>
        <v>#N/A</v>
      </c>
      <c r="W1043" t="e">
        <f ca="1">IFERROR(计算区域!Y1045,NA())</f>
        <v>#N/A</v>
      </c>
      <c r="X1043" t="e">
        <f ca="1">IFERROR(计算区域!Z1045,NA())</f>
        <v>#N/A</v>
      </c>
      <c r="Y1043" t="e">
        <f ca="1">IFERROR(计算区域!AA1045,NA())</f>
        <v>#N/A</v>
      </c>
    </row>
    <row r="1044" spans="1:25" x14ac:dyDescent="0.2">
      <c r="A1044" s="28">
        <f>计算区域!E1046</f>
        <v>0</v>
      </c>
      <c r="B1044" t="e">
        <f ca="1">IFERROR(计算区域!AJ1046,NA())</f>
        <v>#N/A</v>
      </c>
      <c r="C1044" t="e">
        <f ca="1">IFERROR(计算区域!AK1046,NA())</f>
        <v>#N/A</v>
      </c>
      <c r="D1044" t="e">
        <f ca="1">IFERROR(计算区域!AL1046,NA())</f>
        <v>#N/A</v>
      </c>
      <c r="E1044" t="e">
        <f ca="1">IFERROR(计算区域!AM1046,NA())</f>
        <v>#N/A</v>
      </c>
      <c r="G1044" t="e">
        <f ca="1">IFERROR(计算区域!AD1046,NA())</f>
        <v>#N/A</v>
      </c>
      <c r="H1044" t="e">
        <f ca="1">IFERROR(计算区域!AE1046,NA())</f>
        <v>#N/A</v>
      </c>
      <c r="I1044" t="e">
        <f ca="1">IFERROR(计算区域!AF1046,NA())</f>
        <v>#N/A</v>
      </c>
      <c r="J1044" t="e">
        <f ca="1">IFERROR(计算区域!AG1046,NA())</f>
        <v>#N/A</v>
      </c>
      <c r="L1044" t="e">
        <f ca="1">IFERROR(计算区域!L1046,NA())</f>
        <v>#N/A</v>
      </c>
      <c r="M1044" t="e">
        <f ca="1">IFERROR(计算区域!M1046,NA())</f>
        <v>#N/A</v>
      </c>
      <c r="N1044" t="e">
        <f ca="1">IFERROR(计算区域!N1046,NA())</f>
        <v>#N/A</v>
      </c>
      <c r="O1044" t="e">
        <f ca="1">IFERROR(计算区域!O1046,NA())</f>
        <v>#N/A</v>
      </c>
      <c r="Q1044" t="e">
        <f ca="1">IFERROR(计算区域!R1046,NA())</f>
        <v>#N/A</v>
      </c>
      <c r="R1044" t="e">
        <f ca="1">IFERROR(计算区域!S1046,NA())</f>
        <v>#N/A</v>
      </c>
      <c r="S1044" t="e">
        <f ca="1">IFERROR(计算区域!T1046,NA())</f>
        <v>#N/A</v>
      </c>
      <c r="T1044" t="e">
        <f ca="1">IFERROR(计算区域!U1046,NA())</f>
        <v>#N/A</v>
      </c>
      <c r="V1044" t="e">
        <f ca="1">IFERROR(计算区域!X1046,NA())</f>
        <v>#N/A</v>
      </c>
      <c r="W1044" t="e">
        <f ca="1">IFERROR(计算区域!Y1046,NA())</f>
        <v>#N/A</v>
      </c>
      <c r="X1044" t="e">
        <f ca="1">IFERROR(计算区域!Z1046,NA())</f>
        <v>#N/A</v>
      </c>
      <c r="Y1044" t="e">
        <f ca="1">IFERROR(计算区域!AA1046,NA())</f>
        <v>#N/A</v>
      </c>
    </row>
    <row r="1045" spans="1:25" x14ac:dyDescent="0.2">
      <c r="A1045" s="28">
        <f>计算区域!E1047</f>
        <v>0</v>
      </c>
      <c r="B1045" t="e">
        <f ca="1">IFERROR(计算区域!AJ1047,NA())</f>
        <v>#N/A</v>
      </c>
      <c r="C1045" t="e">
        <f ca="1">IFERROR(计算区域!AK1047,NA())</f>
        <v>#N/A</v>
      </c>
      <c r="D1045" t="e">
        <f ca="1">IFERROR(计算区域!AL1047,NA())</f>
        <v>#N/A</v>
      </c>
      <c r="E1045" t="e">
        <f ca="1">IFERROR(计算区域!AM1047,NA())</f>
        <v>#N/A</v>
      </c>
      <c r="G1045" t="e">
        <f ca="1">IFERROR(计算区域!AD1047,NA())</f>
        <v>#N/A</v>
      </c>
      <c r="H1045" t="e">
        <f ca="1">IFERROR(计算区域!AE1047,NA())</f>
        <v>#N/A</v>
      </c>
      <c r="I1045" t="e">
        <f ca="1">IFERROR(计算区域!AF1047,NA())</f>
        <v>#N/A</v>
      </c>
      <c r="J1045" t="e">
        <f ca="1">IFERROR(计算区域!AG1047,NA())</f>
        <v>#N/A</v>
      </c>
      <c r="L1045" t="e">
        <f ca="1">IFERROR(计算区域!L1047,NA())</f>
        <v>#N/A</v>
      </c>
      <c r="M1045" t="e">
        <f ca="1">IFERROR(计算区域!M1047,NA())</f>
        <v>#N/A</v>
      </c>
      <c r="N1045" t="e">
        <f ca="1">IFERROR(计算区域!N1047,NA())</f>
        <v>#N/A</v>
      </c>
      <c r="O1045" t="e">
        <f ca="1">IFERROR(计算区域!O1047,NA())</f>
        <v>#N/A</v>
      </c>
      <c r="Q1045" t="e">
        <f ca="1">IFERROR(计算区域!R1047,NA())</f>
        <v>#N/A</v>
      </c>
      <c r="R1045" t="e">
        <f ca="1">IFERROR(计算区域!S1047,NA())</f>
        <v>#N/A</v>
      </c>
      <c r="S1045" t="e">
        <f ca="1">IFERROR(计算区域!T1047,NA())</f>
        <v>#N/A</v>
      </c>
      <c r="T1045" t="e">
        <f ca="1">IFERROR(计算区域!U1047,NA())</f>
        <v>#N/A</v>
      </c>
      <c r="V1045" t="e">
        <f ca="1">IFERROR(计算区域!X1047,NA())</f>
        <v>#N/A</v>
      </c>
      <c r="W1045" t="e">
        <f ca="1">IFERROR(计算区域!Y1047,NA())</f>
        <v>#N/A</v>
      </c>
      <c r="X1045" t="e">
        <f ca="1">IFERROR(计算区域!Z1047,NA())</f>
        <v>#N/A</v>
      </c>
      <c r="Y1045" t="e">
        <f ca="1">IFERROR(计算区域!AA1047,NA())</f>
        <v>#N/A</v>
      </c>
    </row>
    <row r="1046" spans="1:25" x14ac:dyDescent="0.2">
      <c r="A1046" s="28">
        <f>计算区域!E1048</f>
        <v>0</v>
      </c>
      <c r="B1046" t="e">
        <f ca="1">IFERROR(计算区域!AJ1048,NA())</f>
        <v>#N/A</v>
      </c>
      <c r="C1046" t="e">
        <f ca="1">IFERROR(计算区域!AK1048,NA())</f>
        <v>#N/A</v>
      </c>
      <c r="D1046" t="e">
        <f ca="1">IFERROR(计算区域!AL1048,NA())</f>
        <v>#N/A</v>
      </c>
      <c r="E1046" t="e">
        <f ca="1">IFERROR(计算区域!AM1048,NA())</f>
        <v>#N/A</v>
      </c>
      <c r="G1046" t="e">
        <f ca="1">IFERROR(计算区域!AD1048,NA())</f>
        <v>#N/A</v>
      </c>
      <c r="H1046" t="e">
        <f ca="1">IFERROR(计算区域!AE1048,NA())</f>
        <v>#N/A</v>
      </c>
      <c r="I1046" t="e">
        <f ca="1">IFERROR(计算区域!AF1048,NA())</f>
        <v>#N/A</v>
      </c>
      <c r="J1046" t="e">
        <f ca="1">IFERROR(计算区域!AG1048,NA())</f>
        <v>#N/A</v>
      </c>
      <c r="L1046" t="e">
        <f ca="1">IFERROR(计算区域!L1048,NA())</f>
        <v>#N/A</v>
      </c>
      <c r="M1046" t="e">
        <f ca="1">IFERROR(计算区域!M1048,NA())</f>
        <v>#N/A</v>
      </c>
      <c r="N1046" t="e">
        <f ca="1">IFERROR(计算区域!N1048,NA())</f>
        <v>#N/A</v>
      </c>
      <c r="O1046" t="e">
        <f ca="1">IFERROR(计算区域!O1048,NA())</f>
        <v>#N/A</v>
      </c>
      <c r="Q1046" t="e">
        <f ca="1">IFERROR(计算区域!R1048,NA())</f>
        <v>#N/A</v>
      </c>
      <c r="R1046" t="e">
        <f ca="1">IFERROR(计算区域!S1048,NA())</f>
        <v>#N/A</v>
      </c>
      <c r="S1046" t="e">
        <f ca="1">IFERROR(计算区域!T1048,NA())</f>
        <v>#N/A</v>
      </c>
      <c r="T1046" t="e">
        <f ca="1">IFERROR(计算区域!U1048,NA())</f>
        <v>#N/A</v>
      </c>
      <c r="V1046" t="e">
        <f ca="1">IFERROR(计算区域!X1048,NA())</f>
        <v>#N/A</v>
      </c>
      <c r="W1046" t="e">
        <f ca="1">IFERROR(计算区域!Y1048,NA())</f>
        <v>#N/A</v>
      </c>
      <c r="X1046" t="e">
        <f ca="1">IFERROR(计算区域!Z1048,NA())</f>
        <v>#N/A</v>
      </c>
      <c r="Y1046" t="e">
        <f ca="1">IFERROR(计算区域!AA1048,NA())</f>
        <v>#N/A</v>
      </c>
    </row>
    <row r="1047" spans="1:25" x14ac:dyDescent="0.2">
      <c r="A1047" s="28">
        <f>计算区域!E1049</f>
        <v>0</v>
      </c>
      <c r="B1047" t="e">
        <f ca="1">IFERROR(计算区域!AJ1049,NA())</f>
        <v>#N/A</v>
      </c>
      <c r="C1047" t="e">
        <f ca="1">IFERROR(计算区域!AK1049,NA())</f>
        <v>#N/A</v>
      </c>
      <c r="D1047" t="e">
        <f ca="1">IFERROR(计算区域!AL1049,NA())</f>
        <v>#N/A</v>
      </c>
      <c r="E1047" t="e">
        <f ca="1">IFERROR(计算区域!AM1049,NA())</f>
        <v>#N/A</v>
      </c>
      <c r="G1047" t="e">
        <f ca="1">IFERROR(计算区域!AD1049,NA())</f>
        <v>#N/A</v>
      </c>
      <c r="H1047" t="e">
        <f ca="1">IFERROR(计算区域!AE1049,NA())</f>
        <v>#N/A</v>
      </c>
      <c r="I1047" t="e">
        <f ca="1">IFERROR(计算区域!AF1049,NA())</f>
        <v>#N/A</v>
      </c>
      <c r="J1047" t="e">
        <f ca="1">IFERROR(计算区域!AG1049,NA())</f>
        <v>#N/A</v>
      </c>
      <c r="L1047" t="e">
        <f ca="1">IFERROR(计算区域!L1049,NA())</f>
        <v>#N/A</v>
      </c>
      <c r="M1047" t="e">
        <f ca="1">IFERROR(计算区域!M1049,NA())</f>
        <v>#N/A</v>
      </c>
      <c r="N1047" t="e">
        <f ca="1">IFERROR(计算区域!N1049,NA())</f>
        <v>#N/A</v>
      </c>
      <c r="O1047" t="e">
        <f ca="1">IFERROR(计算区域!O1049,NA())</f>
        <v>#N/A</v>
      </c>
      <c r="Q1047" t="e">
        <f ca="1">IFERROR(计算区域!R1049,NA())</f>
        <v>#N/A</v>
      </c>
      <c r="R1047" t="e">
        <f ca="1">IFERROR(计算区域!S1049,NA())</f>
        <v>#N/A</v>
      </c>
      <c r="S1047" t="e">
        <f ca="1">IFERROR(计算区域!T1049,NA())</f>
        <v>#N/A</v>
      </c>
      <c r="T1047" t="e">
        <f ca="1">IFERROR(计算区域!U1049,NA())</f>
        <v>#N/A</v>
      </c>
      <c r="V1047" t="e">
        <f ca="1">IFERROR(计算区域!X1049,NA())</f>
        <v>#N/A</v>
      </c>
      <c r="W1047" t="e">
        <f ca="1">IFERROR(计算区域!Y1049,NA())</f>
        <v>#N/A</v>
      </c>
      <c r="X1047" t="e">
        <f ca="1">IFERROR(计算区域!Z1049,NA())</f>
        <v>#N/A</v>
      </c>
      <c r="Y1047" t="e">
        <f ca="1">IFERROR(计算区域!AA1049,NA())</f>
        <v>#N/A</v>
      </c>
    </row>
    <row r="1048" spans="1:25" x14ac:dyDescent="0.2">
      <c r="A1048" s="28">
        <f>计算区域!E1050</f>
        <v>0</v>
      </c>
      <c r="B1048" t="e">
        <f ca="1">IFERROR(计算区域!AJ1050,NA())</f>
        <v>#N/A</v>
      </c>
      <c r="C1048" t="e">
        <f ca="1">IFERROR(计算区域!AK1050,NA())</f>
        <v>#N/A</v>
      </c>
      <c r="D1048" t="e">
        <f ca="1">IFERROR(计算区域!AL1050,NA())</f>
        <v>#N/A</v>
      </c>
      <c r="E1048" t="e">
        <f ca="1">IFERROR(计算区域!AM1050,NA())</f>
        <v>#N/A</v>
      </c>
      <c r="G1048" t="e">
        <f ca="1">IFERROR(计算区域!AD1050,NA())</f>
        <v>#N/A</v>
      </c>
      <c r="H1048" t="e">
        <f ca="1">IFERROR(计算区域!AE1050,NA())</f>
        <v>#N/A</v>
      </c>
      <c r="I1048" t="e">
        <f ca="1">IFERROR(计算区域!AF1050,NA())</f>
        <v>#N/A</v>
      </c>
      <c r="J1048" t="e">
        <f ca="1">IFERROR(计算区域!AG1050,NA())</f>
        <v>#N/A</v>
      </c>
      <c r="L1048" t="e">
        <f ca="1">IFERROR(计算区域!L1050,NA())</f>
        <v>#N/A</v>
      </c>
      <c r="M1048" t="e">
        <f ca="1">IFERROR(计算区域!M1050,NA())</f>
        <v>#N/A</v>
      </c>
      <c r="N1048" t="e">
        <f ca="1">IFERROR(计算区域!N1050,NA())</f>
        <v>#N/A</v>
      </c>
      <c r="O1048" t="e">
        <f ca="1">IFERROR(计算区域!O1050,NA())</f>
        <v>#N/A</v>
      </c>
      <c r="Q1048" t="e">
        <f ca="1">IFERROR(计算区域!R1050,NA())</f>
        <v>#N/A</v>
      </c>
      <c r="R1048" t="e">
        <f ca="1">IFERROR(计算区域!S1050,NA())</f>
        <v>#N/A</v>
      </c>
      <c r="S1048" t="e">
        <f ca="1">IFERROR(计算区域!T1050,NA())</f>
        <v>#N/A</v>
      </c>
      <c r="T1048" t="e">
        <f ca="1">IFERROR(计算区域!U1050,NA())</f>
        <v>#N/A</v>
      </c>
      <c r="V1048" t="e">
        <f ca="1">IFERROR(计算区域!X1050,NA())</f>
        <v>#N/A</v>
      </c>
      <c r="W1048" t="e">
        <f ca="1">IFERROR(计算区域!Y1050,NA())</f>
        <v>#N/A</v>
      </c>
      <c r="X1048" t="e">
        <f ca="1">IFERROR(计算区域!Z1050,NA())</f>
        <v>#N/A</v>
      </c>
      <c r="Y1048" t="e">
        <f ca="1">IFERROR(计算区域!AA1050,NA())</f>
        <v>#N/A</v>
      </c>
    </row>
    <row r="1049" spans="1:25" x14ac:dyDescent="0.2">
      <c r="A1049" s="28">
        <f>计算区域!E1051</f>
        <v>0</v>
      </c>
      <c r="B1049" t="e">
        <f ca="1">IFERROR(计算区域!AJ1051,NA())</f>
        <v>#N/A</v>
      </c>
      <c r="C1049" t="e">
        <f ca="1">IFERROR(计算区域!AK1051,NA())</f>
        <v>#N/A</v>
      </c>
      <c r="D1049" t="e">
        <f ca="1">IFERROR(计算区域!AL1051,NA())</f>
        <v>#N/A</v>
      </c>
      <c r="E1049" t="e">
        <f ca="1">IFERROR(计算区域!AM1051,NA())</f>
        <v>#N/A</v>
      </c>
      <c r="G1049" t="e">
        <f ca="1">IFERROR(计算区域!AD1051,NA())</f>
        <v>#N/A</v>
      </c>
      <c r="H1049" t="e">
        <f ca="1">IFERROR(计算区域!AE1051,NA())</f>
        <v>#N/A</v>
      </c>
      <c r="I1049" t="e">
        <f ca="1">IFERROR(计算区域!AF1051,NA())</f>
        <v>#N/A</v>
      </c>
      <c r="J1049" t="e">
        <f ca="1">IFERROR(计算区域!AG1051,NA())</f>
        <v>#N/A</v>
      </c>
      <c r="L1049" t="e">
        <f ca="1">IFERROR(计算区域!L1051,NA())</f>
        <v>#N/A</v>
      </c>
      <c r="M1049" t="e">
        <f ca="1">IFERROR(计算区域!M1051,NA())</f>
        <v>#N/A</v>
      </c>
      <c r="N1049" t="e">
        <f ca="1">IFERROR(计算区域!N1051,NA())</f>
        <v>#N/A</v>
      </c>
      <c r="O1049" t="e">
        <f ca="1">IFERROR(计算区域!O1051,NA())</f>
        <v>#N/A</v>
      </c>
      <c r="Q1049" t="e">
        <f ca="1">IFERROR(计算区域!R1051,NA())</f>
        <v>#N/A</v>
      </c>
      <c r="R1049" t="e">
        <f ca="1">IFERROR(计算区域!S1051,NA())</f>
        <v>#N/A</v>
      </c>
      <c r="S1049" t="e">
        <f ca="1">IFERROR(计算区域!T1051,NA())</f>
        <v>#N/A</v>
      </c>
      <c r="T1049" t="e">
        <f ca="1">IFERROR(计算区域!U1051,NA())</f>
        <v>#N/A</v>
      </c>
      <c r="V1049" t="e">
        <f ca="1">IFERROR(计算区域!X1051,NA())</f>
        <v>#N/A</v>
      </c>
      <c r="W1049" t="e">
        <f ca="1">IFERROR(计算区域!Y1051,NA())</f>
        <v>#N/A</v>
      </c>
      <c r="X1049" t="e">
        <f ca="1">IFERROR(计算区域!Z1051,NA())</f>
        <v>#N/A</v>
      </c>
      <c r="Y1049" t="e">
        <f ca="1">IFERROR(计算区域!AA1051,NA())</f>
        <v>#N/A</v>
      </c>
    </row>
    <row r="1050" spans="1:25" x14ac:dyDescent="0.2">
      <c r="A1050" s="28">
        <f>计算区域!E1052</f>
        <v>0</v>
      </c>
      <c r="B1050" t="e">
        <f ca="1">IFERROR(计算区域!AJ1052,NA())</f>
        <v>#N/A</v>
      </c>
      <c r="C1050" t="e">
        <f ca="1">IFERROR(计算区域!AK1052,NA())</f>
        <v>#N/A</v>
      </c>
      <c r="D1050" t="e">
        <f ca="1">IFERROR(计算区域!AL1052,NA())</f>
        <v>#N/A</v>
      </c>
      <c r="E1050" t="e">
        <f ca="1">IFERROR(计算区域!AM1052,NA())</f>
        <v>#N/A</v>
      </c>
      <c r="G1050" t="e">
        <f ca="1">IFERROR(计算区域!AD1052,NA())</f>
        <v>#N/A</v>
      </c>
      <c r="H1050" t="e">
        <f ca="1">IFERROR(计算区域!AE1052,NA())</f>
        <v>#N/A</v>
      </c>
      <c r="I1050" t="e">
        <f ca="1">IFERROR(计算区域!AF1052,NA())</f>
        <v>#N/A</v>
      </c>
      <c r="J1050" t="e">
        <f ca="1">IFERROR(计算区域!AG1052,NA())</f>
        <v>#N/A</v>
      </c>
      <c r="L1050" t="e">
        <f ca="1">IFERROR(计算区域!L1052,NA())</f>
        <v>#N/A</v>
      </c>
      <c r="M1050" t="e">
        <f ca="1">IFERROR(计算区域!M1052,NA())</f>
        <v>#N/A</v>
      </c>
      <c r="N1050" t="e">
        <f ca="1">IFERROR(计算区域!N1052,NA())</f>
        <v>#N/A</v>
      </c>
      <c r="O1050" t="e">
        <f ca="1">IFERROR(计算区域!O1052,NA())</f>
        <v>#N/A</v>
      </c>
      <c r="Q1050" t="e">
        <f ca="1">IFERROR(计算区域!R1052,NA())</f>
        <v>#N/A</v>
      </c>
      <c r="R1050" t="e">
        <f ca="1">IFERROR(计算区域!S1052,NA())</f>
        <v>#N/A</v>
      </c>
      <c r="S1050" t="e">
        <f ca="1">IFERROR(计算区域!T1052,NA())</f>
        <v>#N/A</v>
      </c>
      <c r="T1050" t="e">
        <f ca="1">IFERROR(计算区域!U1052,NA())</f>
        <v>#N/A</v>
      </c>
      <c r="V1050" t="e">
        <f ca="1">IFERROR(计算区域!X1052,NA())</f>
        <v>#N/A</v>
      </c>
      <c r="W1050" t="e">
        <f ca="1">IFERROR(计算区域!Y1052,NA())</f>
        <v>#N/A</v>
      </c>
      <c r="X1050" t="e">
        <f ca="1">IFERROR(计算区域!Z1052,NA())</f>
        <v>#N/A</v>
      </c>
      <c r="Y1050" t="e">
        <f ca="1">IFERROR(计算区域!AA1052,NA())</f>
        <v>#N/A</v>
      </c>
    </row>
    <row r="1051" spans="1:25" x14ac:dyDescent="0.2">
      <c r="A1051" s="28">
        <f>计算区域!E1053</f>
        <v>0</v>
      </c>
      <c r="B1051" t="e">
        <f ca="1">IFERROR(计算区域!AJ1053,NA())</f>
        <v>#N/A</v>
      </c>
      <c r="C1051" t="e">
        <f ca="1">IFERROR(计算区域!AK1053,NA())</f>
        <v>#N/A</v>
      </c>
      <c r="D1051" t="e">
        <f ca="1">IFERROR(计算区域!AL1053,NA())</f>
        <v>#N/A</v>
      </c>
      <c r="E1051" t="e">
        <f ca="1">IFERROR(计算区域!AM1053,NA())</f>
        <v>#N/A</v>
      </c>
      <c r="G1051" t="e">
        <f ca="1">IFERROR(计算区域!AD1053,NA())</f>
        <v>#N/A</v>
      </c>
      <c r="H1051" t="e">
        <f ca="1">IFERROR(计算区域!AE1053,NA())</f>
        <v>#N/A</v>
      </c>
      <c r="I1051" t="e">
        <f ca="1">IFERROR(计算区域!AF1053,NA())</f>
        <v>#N/A</v>
      </c>
      <c r="J1051" t="e">
        <f ca="1">IFERROR(计算区域!AG1053,NA())</f>
        <v>#N/A</v>
      </c>
      <c r="L1051" t="e">
        <f ca="1">IFERROR(计算区域!L1053,NA())</f>
        <v>#N/A</v>
      </c>
      <c r="M1051" t="e">
        <f ca="1">IFERROR(计算区域!M1053,NA())</f>
        <v>#N/A</v>
      </c>
      <c r="N1051" t="e">
        <f ca="1">IFERROR(计算区域!N1053,NA())</f>
        <v>#N/A</v>
      </c>
      <c r="O1051" t="e">
        <f ca="1">IFERROR(计算区域!O1053,NA())</f>
        <v>#N/A</v>
      </c>
      <c r="Q1051" t="e">
        <f ca="1">IFERROR(计算区域!R1053,NA())</f>
        <v>#N/A</v>
      </c>
      <c r="R1051" t="e">
        <f ca="1">IFERROR(计算区域!S1053,NA())</f>
        <v>#N/A</v>
      </c>
      <c r="S1051" t="e">
        <f ca="1">IFERROR(计算区域!T1053,NA())</f>
        <v>#N/A</v>
      </c>
      <c r="T1051" t="e">
        <f ca="1">IFERROR(计算区域!U1053,NA())</f>
        <v>#N/A</v>
      </c>
      <c r="V1051" t="e">
        <f ca="1">IFERROR(计算区域!X1053,NA())</f>
        <v>#N/A</v>
      </c>
      <c r="W1051" t="e">
        <f ca="1">IFERROR(计算区域!Y1053,NA())</f>
        <v>#N/A</v>
      </c>
      <c r="X1051" t="e">
        <f ca="1">IFERROR(计算区域!Z1053,NA())</f>
        <v>#N/A</v>
      </c>
      <c r="Y1051" t="e">
        <f ca="1">IFERROR(计算区域!AA1053,NA())</f>
        <v>#N/A</v>
      </c>
    </row>
    <row r="1052" spans="1:25" x14ac:dyDescent="0.2">
      <c r="A1052" s="28">
        <f>计算区域!E1054</f>
        <v>0</v>
      </c>
      <c r="B1052" t="e">
        <f ca="1">IFERROR(计算区域!AJ1054,NA())</f>
        <v>#N/A</v>
      </c>
      <c r="C1052" t="e">
        <f ca="1">IFERROR(计算区域!AK1054,NA())</f>
        <v>#N/A</v>
      </c>
      <c r="D1052" t="e">
        <f ca="1">IFERROR(计算区域!AL1054,NA())</f>
        <v>#N/A</v>
      </c>
      <c r="E1052" t="e">
        <f ca="1">IFERROR(计算区域!AM1054,NA())</f>
        <v>#N/A</v>
      </c>
      <c r="G1052" t="e">
        <f ca="1">IFERROR(计算区域!AD1054,NA())</f>
        <v>#N/A</v>
      </c>
      <c r="H1052" t="e">
        <f ca="1">IFERROR(计算区域!AE1054,NA())</f>
        <v>#N/A</v>
      </c>
      <c r="I1052" t="e">
        <f ca="1">IFERROR(计算区域!AF1054,NA())</f>
        <v>#N/A</v>
      </c>
      <c r="J1052" t="e">
        <f ca="1">IFERROR(计算区域!AG1054,NA())</f>
        <v>#N/A</v>
      </c>
      <c r="L1052" t="e">
        <f ca="1">IFERROR(计算区域!L1054,NA())</f>
        <v>#N/A</v>
      </c>
      <c r="M1052" t="e">
        <f ca="1">IFERROR(计算区域!M1054,NA())</f>
        <v>#N/A</v>
      </c>
      <c r="N1052" t="e">
        <f ca="1">IFERROR(计算区域!N1054,NA())</f>
        <v>#N/A</v>
      </c>
      <c r="O1052" t="e">
        <f ca="1">IFERROR(计算区域!O1054,NA())</f>
        <v>#N/A</v>
      </c>
      <c r="Q1052" t="e">
        <f ca="1">IFERROR(计算区域!R1054,NA())</f>
        <v>#N/A</v>
      </c>
      <c r="R1052" t="e">
        <f ca="1">IFERROR(计算区域!S1054,NA())</f>
        <v>#N/A</v>
      </c>
      <c r="S1052" t="e">
        <f ca="1">IFERROR(计算区域!T1054,NA())</f>
        <v>#N/A</v>
      </c>
      <c r="T1052" t="e">
        <f ca="1">IFERROR(计算区域!U1054,NA())</f>
        <v>#N/A</v>
      </c>
      <c r="V1052" t="e">
        <f ca="1">IFERROR(计算区域!X1054,NA())</f>
        <v>#N/A</v>
      </c>
      <c r="W1052" t="e">
        <f ca="1">IFERROR(计算区域!Y1054,NA())</f>
        <v>#N/A</v>
      </c>
      <c r="X1052" t="e">
        <f ca="1">IFERROR(计算区域!Z1054,NA())</f>
        <v>#N/A</v>
      </c>
      <c r="Y1052" t="e">
        <f ca="1">IFERROR(计算区域!AA1054,NA())</f>
        <v>#N/A</v>
      </c>
    </row>
    <row r="1053" spans="1:25" x14ac:dyDescent="0.2">
      <c r="A1053" s="28">
        <f>计算区域!E1055</f>
        <v>0</v>
      </c>
      <c r="B1053" t="e">
        <f ca="1">IFERROR(计算区域!AJ1055,NA())</f>
        <v>#N/A</v>
      </c>
      <c r="C1053" t="e">
        <f ca="1">IFERROR(计算区域!AK1055,NA())</f>
        <v>#N/A</v>
      </c>
      <c r="D1053" t="e">
        <f ca="1">IFERROR(计算区域!AL1055,NA())</f>
        <v>#N/A</v>
      </c>
      <c r="E1053" t="e">
        <f ca="1">IFERROR(计算区域!AM1055,NA())</f>
        <v>#N/A</v>
      </c>
      <c r="G1053" t="e">
        <f ca="1">IFERROR(计算区域!AD1055,NA())</f>
        <v>#N/A</v>
      </c>
      <c r="H1053" t="e">
        <f ca="1">IFERROR(计算区域!AE1055,NA())</f>
        <v>#N/A</v>
      </c>
      <c r="I1053" t="e">
        <f ca="1">IFERROR(计算区域!AF1055,NA())</f>
        <v>#N/A</v>
      </c>
      <c r="J1053" t="e">
        <f ca="1">IFERROR(计算区域!AG1055,NA())</f>
        <v>#N/A</v>
      </c>
      <c r="L1053" t="e">
        <f ca="1">IFERROR(计算区域!L1055,NA())</f>
        <v>#N/A</v>
      </c>
      <c r="M1053" t="e">
        <f ca="1">IFERROR(计算区域!M1055,NA())</f>
        <v>#N/A</v>
      </c>
      <c r="N1053" t="e">
        <f ca="1">IFERROR(计算区域!N1055,NA())</f>
        <v>#N/A</v>
      </c>
      <c r="O1053" t="e">
        <f ca="1">IFERROR(计算区域!O1055,NA())</f>
        <v>#N/A</v>
      </c>
      <c r="Q1053" t="e">
        <f ca="1">IFERROR(计算区域!R1055,NA())</f>
        <v>#N/A</v>
      </c>
      <c r="R1053" t="e">
        <f ca="1">IFERROR(计算区域!S1055,NA())</f>
        <v>#N/A</v>
      </c>
      <c r="S1053" t="e">
        <f ca="1">IFERROR(计算区域!T1055,NA())</f>
        <v>#N/A</v>
      </c>
      <c r="T1053" t="e">
        <f ca="1">IFERROR(计算区域!U1055,NA())</f>
        <v>#N/A</v>
      </c>
      <c r="V1053" t="e">
        <f ca="1">IFERROR(计算区域!X1055,NA())</f>
        <v>#N/A</v>
      </c>
      <c r="W1053" t="e">
        <f ca="1">IFERROR(计算区域!Y1055,NA())</f>
        <v>#N/A</v>
      </c>
      <c r="X1053" t="e">
        <f ca="1">IFERROR(计算区域!Z1055,NA())</f>
        <v>#N/A</v>
      </c>
      <c r="Y1053" t="e">
        <f ca="1">IFERROR(计算区域!AA1055,NA())</f>
        <v>#N/A</v>
      </c>
    </row>
    <row r="1054" spans="1:25" x14ac:dyDescent="0.2">
      <c r="A1054" s="28">
        <f>计算区域!E1056</f>
        <v>0</v>
      </c>
      <c r="B1054" t="e">
        <f ca="1">IFERROR(计算区域!AJ1056,NA())</f>
        <v>#N/A</v>
      </c>
      <c r="C1054" t="e">
        <f ca="1">IFERROR(计算区域!AK1056,NA())</f>
        <v>#N/A</v>
      </c>
      <c r="D1054" t="e">
        <f ca="1">IFERROR(计算区域!AL1056,NA())</f>
        <v>#N/A</v>
      </c>
      <c r="E1054" t="e">
        <f ca="1">IFERROR(计算区域!AM1056,NA())</f>
        <v>#N/A</v>
      </c>
      <c r="G1054" t="e">
        <f ca="1">IFERROR(计算区域!AD1056,NA())</f>
        <v>#N/A</v>
      </c>
      <c r="H1054" t="e">
        <f ca="1">IFERROR(计算区域!AE1056,NA())</f>
        <v>#N/A</v>
      </c>
      <c r="I1054" t="e">
        <f ca="1">IFERROR(计算区域!AF1056,NA())</f>
        <v>#N/A</v>
      </c>
      <c r="J1054" t="e">
        <f ca="1">IFERROR(计算区域!AG1056,NA())</f>
        <v>#N/A</v>
      </c>
      <c r="L1054" t="e">
        <f ca="1">IFERROR(计算区域!L1056,NA())</f>
        <v>#N/A</v>
      </c>
      <c r="M1054" t="e">
        <f ca="1">IFERROR(计算区域!M1056,NA())</f>
        <v>#N/A</v>
      </c>
      <c r="N1054" t="e">
        <f ca="1">IFERROR(计算区域!N1056,NA())</f>
        <v>#N/A</v>
      </c>
      <c r="O1054" t="e">
        <f ca="1">IFERROR(计算区域!O1056,NA())</f>
        <v>#N/A</v>
      </c>
      <c r="Q1054" t="e">
        <f ca="1">IFERROR(计算区域!R1056,NA())</f>
        <v>#N/A</v>
      </c>
      <c r="R1054" t="e">
        <f ca="1">IFERROR(计算区域!S1056,NA())</f>
        <v>#N/A</v>
      </c>
      <c r="S1054" t="e">
        <f ca="1">IFERROR(计算区域!T1056,NA())</f>
        <v>#N/A</v>
      </c>
      <c r="T1054" t="e">
        <f ca="1">IFERROR(计算区域!U1056,NA())</f>
        <v>#N/A</v>
      </c>
      <c r="V1054" t="e">
        <f ca="1">IFERROR(计算区域!X1056,NA())</f>
        <v>#N/A</v>
      </c>
      <c r="W1054" t="e">
        <f ca="1">IFERROR(计算区域!Y1056,NA())</f>
        <v>#N/A</v>
      </c>
      <c r="X1054" t="e">
        <f ca="1">IFERROR(计算区域!Z1056,NA())</f>
        <v>#N/A</v>
      </c>
      <c r="Y1054" t="e">
        <f ca="1">IFERROR(计算区域!AA1056,NA())</f>
        <v>#N/A</v>
      </c>
    </row>
    <row r="1055" spans="1:25" x14ac:dyDescent="0.2">
      <c r="A1055" s="28">
        <f>计算区域!E1057</f>
        <v>0</v>
      </c>
      <c r="B1055" t="e">
        <f ca="1">IFERROR(计算区域!AJ1057,NA())</f>
        <v>#N/A</v>
      </c>
      <c r="C1055" t="e">
        <f ca="1">IFERROR(计算区域!AK1057,NA())</f>
        <v>#N/A</v>
      </c>
      <c r="D1055" t="e">
        <f ca="1">IFERROR(计算区域!AL1057,NA())</f>
        <v>#N/A</v>
      </c>
      <c r="E1055" t="e">
        <f ca="1">IFERROR(计算区域!AM1057,NA())</f>
        <v>#N/A</v>
      </c>
      <c r="G1055" t="e">
        <f ca="1">IFERROR(计算区域!AD1057,NA())</f>
        <v>#N/A</v>
      </c>
      <c r="H1055" t="e">
        <f ca="1">IFERROR(计算区域!AE1057,NA())</f>
        <v>#N/A</v>
      </c>
      <c r="I1055" t="e">
        <f ca="1">IFERROR(计算区域!AF1057,NA())</f>
        <v>#N/A</v>
      </c>
      <c r="J1055" t="e">
        <f ca="1">IFERROR(计算区域!AG1057,NA())</f>
        <v>#N/A</v>
      </c>
      <c r="L1055" t="e">
        <f ca="1">IFERROR(计算区域!L1057,NA())</f>
        <v>#N/A</v>
      </c>
      <c r="M1055" t="e">
        <f ca="1">IFERROR(计算区域!M1057,NA())</f>
        <v>#N/A</v>
      </c>
      <c r="N1055" t="e">
        <f ca="1">IFERROR(计算区域!N1057,NA())</f>
        <v>#N/A</v>
      </c>
      <c r="O1055" t="e">
        <f ca="1">IFERROR(计算区域!O1057,NA())</f>
        <v>#N/A</v>
      </c>
      <c r="Q1055" t="e">
        <f ca="1">IFERROR(计算区域!R1057,NA())</f>
        <v>#N/A</v>
      </c>
      <c r="R1055" t="e">
        <f ca="1">IFERROR(计算区域!S1057,NA())</f>
        <v>#N/A</v>
      </c>
      <c r="S1055" t="e">
        <f ca="1">IFERROR(计算区域!T1057,NA())</f>
        <v>#N/A</v>
      </c>
      <c r="T1055" t="e">
        <f ca="1">IFERROR(计算区域!U1057,NA())</f>
        <v>#N/A</v>
      </c>
      <c r="V1055" t="e">
        <f ca="1">IFERROR(计算区域!X1057,NA())</f>
        <v>#N/A</v>
      </c>
      <c r="W1055" t="e">
        <f ca="1">IFERROR(计算区域!Y1057,NA())</f>
        <v>#N/A</v>
      </c>
      <c r="X1055" t="e">
        <f ca="1">IFERROR(计算区域!Z1057,NA())</f>
        <v>#N/A</v>
      </c>
      <c r="Y1055" t="e">
        <f ca="1">IFERROR(计算区域!AA1057,NA())</f>
        <v>#N/A</v>
      </c>
    </row>
    <row r="1056" spans="1:25" x14ac:dyDescent="0.2">
      <c r="A1056" s="28">
        <f>计算区域!E1058</f>
        <v>0</v>
      </c>
      <c r="B1056" t="e">
        <f ca="1">IFERROR(计算区域!AJ1058,NA())</f>
        <v>#N/A</v>
      </c>
      <c r="C1056" t="e">
        <f ca="1">IFERROR(计算区域!AK1058,NA())</f>
        <v>#N/A</v>
      </c>
      <c r="D1056" t="e">
        <f ca="1">IFERROR(计算区域!AL1058,NA())</f>
        <v>#N/A</v>
      </c>
      <c r="E1056" t="e">
        <f ca="1">IFERROR(计算区域!AM1058,NA())</f>
        <v>#N/A</v>
      </c>
      <c r="G1056" t="e">
        <f ca="1">IFERROR(计算区域!AD1058,NA())</f>
        <v>#N/A</v>
      </c>
      <c r="H1056" t="e">
        <f ca="1">IFERROR(计算区域!AE1058,NA())</f>
        <v>#N/A</v>
      </c>
      <c r="I1056" t="e">
        <f ca="1">IFERROR(计算区域!AF1058,NA())</f>
        <v>#N/A</v>
      </c>
      <c r="J1056" t="e">
        <f ca="1">IFERROR(计算区域!AG1058,NA())</f>
        <v>#N/A</v>
      </c>
      <c r="L1056" t="e">
        <f ca="1">IFERROR(计算区域!L1058,NA())</f>
        <v>#N/A</v>
      </c>
      <c r="M1056" t="e">
        <f ca="1">IFERROR(计算区域!M1058,NA())</f>
        <v>#N/A</v>
      </c>
      <c r="N1056" t="e">
        <f ca="1">IFERROR(计算区域!N1058,NA())</f>
        <v>#N/A</v>
      </c>
      <c r="O1056" t="e">
        <f ca="1">IFERROR(计算区域!O1058,NA())</f>
        <v>#N/A</v>
      </c>
      <c r="Q1056" t="e">
        <f ca="1">IFERROR(计算区域!R1058,NA())</f>
        <v>#N/A</v>
      </c>
      <c r="R1056" t="e">
        <f ca="1">IFERROR(计算区域!S1058,NA())</f>
        <v>#N/A</v>
      </c>
      <c r="S1056" t="e">
        <f ca="1">IFERROR(计算区域!T1058,NA())</f>
        <v>#N/A</v>
      </c>
      <c r="T1056" t="e">
        <f ca="1">IFERROR(计算区域!U1058,NA())</f>
        <v>#N/A</v>
      </c>
      <c r="V1056" t="e">
        <f ca="1">IFERROR(计算区域!X1058,NA())</f>
        <v>#N/A</v>
      </c>
      <c r="W1056" t="e">
        <f ca="1">IFERROR(计算区域!Y1058,NA())</f>
        <v>#N/A</v>
      </c>
      <c r="X1056" t="e">
        <f ca="1">IFERROR(计算区域!Z1058,NA())</f>
        <v>#N/A</v>
      </c>
      <c r="Y1056" t="e">
        <f ca="1">IFERROR(计算区域!AA1058,NA())</f>
        <v>#N/A</v>
      </c>
    </row>
    <row r="1057" spans="1:25" x14ac:dyDescent="0.2">
      <c r="A1057" s="28">
        <f>计算区域!E1059</f>
        <v>0</v>
      </c>
      <c r="B1057" t="e">
        <f ca="1">IFERROR(计算区域!AJ1059,NA())</f>
        <v>#N/A</v>
      </c>
      <c r="C1057" t="e">
        <f ca="1">IFERROR(计算区域!AK1059,NA())</f>
        <v>#N/A</v>
      </c>
      <c r="D1057" t="e">
        <f ca="1">IFERROR(计算区域!AL1059,NA())</f>
        <v>#N/A</v>
      </c>
      <c r="E1057" t="e">
        <f ca="1">IFERROR(计算区域!AM1059,NA())</f>
        <v>#N/A</v>
      </c>
      <c r="G1057" t="e">
        <f ca="1">IFERROR(计算区域!AD1059,NA())</f>
        <v>#N/A</v>
      </c>
      <c r="H1057" t="e">
        <f ca="1">IFERROR(计算区域!AE1059,NA())</f>
        <v>#N/A</v>
      </c>
      <c r="I1057" t="e">
        <f ca="1">IFERROR(计算区域!AF1059,NA())</f>
        <v>#N/A</v>
      </c>
      <c r="J1057" t="e">
        <f ca="1">IFERROR(计算区域!AG1059,NA())</f>
        <v>#N/A</v>
      </c>
      <c r="L1057" t="e">
        <f ca="1">IFERROR(计算区域!L1059,NA())</f>
        <v>#N/A</v>
      </c>
      <c r="M1057" t="e">
        <f ca="1">IFERROR(计算区域!M1059,NA())</f>
        <v>#N/A</v>
      </c>
      <c r="N1057" t="e">
        <f ca="1">IFERROR(计算区域!N1059,NA())</f>
        <v>#N/A</v>
      </c>
      <c r="O1057" t="e">
        <f ca="1">IFERROR(计算区域!O1059,NA())</f>
        <v>#N/A</v>
      </c>
      <c r="Q1057" t="e">
        <f ca="1">IFERROR(计算区域!R1059,NA())</f>
        <v>#N/A</v>
      </c>
      <c r="R1057" t="e">
        <f ca="1">IFERROR(计算区域!S1059,NA())</f>
        <v>#N/A</v>
      </c>
      <c r="S1057" t="e">
        <f ca="1">IFERROR(计算区域!T1059,NA())</f>
        <v>#N/A</v>
      </c>
      <c r="T1057" t="e">
        <f ca="1">IFERROR(计算区域!U1059,NA())</f>
        <v>#N/A</v>
      </c>
      <c r="V1057" t="e">
        <f ca="1">IFERROR(计算区域!X1059,NA())</f>
        <v>#N/A</v>
      </c>
      <c r="W1057" t="e">
        <f ca="1">IFERROR(计算区域!Y1059,NA())</f>
        <v>#N/A</v>
      </c>
      <c r="X1057" t="e">
        <f ca="1">IFERROR(计算区域!Z1059,NA())</f>
        <v>#N/A</v>
      </c>
      <c r="Y1057" t="e">
        <f ca="1">IFERROR(计算区域!AA1059,NA())</f>
        <v>#N/A</v>
      </c>
    </row>
    <row r="1058" spans="1:25" x14ac:dyDescent="0.2">
      <c r="A1058" s="28">
        <f>计算区域!E1060</f>
        <v>0</v>
      </c>
      <c r="B1058" t="e">
        <f ca="1">IFERROR(计算区域!AJ1060,NA())</f>
        <v>#N/A</v>
      </c>
      <c r="C1058" t="e">
        <f ca="1">IFERROR(计算区域!AK1060,NA())</f>
        <v>#N/A</v>
      </c>
      <c r="D1058" t="e">
        <f ca="1">IFERROR(计算区域!AL1060,NA())</f>
        <v>#N/A</v>
      </c>
      <c r="E1058" t="e">
        <f ca="1">IFERROR(计算区域!AM1060,NA())</f>
        <v>#N/A</v>
      </c>
      <c r="G1058" t="e">
        <f ca="1">IFERROR(计算区域!AD1060,NA())</f>
        <v>#N/A</v>
      </c>
      <c r="H1058" t="e">
        <f ca="1">IFERROR(计算区域!AE1060,NA())</f>
        <v>#N/A</v>
      </c>
      <c r="I1058" t="e">
        <f ca="1">IFERROR(计算区域!AF1060,NA())</f>
        <v>#N/A</v>
      </c>
      <c r="J1058" t="e">
        <f ca="1">IFERROR(计算区域!AG1060,NA())</f>
        <v>#N/A</v>
      </c>
      <c r="L1058" t="e">
        <f ca="1">IFERROR(计算区域!L1060,NA())</f>
        <v>#N/A</v>
      </c>
      <c r="M1058" t="e">
        <f ca="1">IFERROR(计算区域!M1060,NA())</f>
        <v>#N/A</v>
      </c>
      <c r="N1058" t="e">
        <f ca="1">IFERROR(计算区域!N1060,NA())</f>
        <v>#N/A</v>
      </c>
      <c r="O1058" t="e">
        <f ca="1">IFERROR(计算区域!O1060,NA())</f>
        <v>#N/A</v>
      </c>
      <c r="Q1058" t="e">
        <f ca="1">IFERROR(计算区域!R1060,NA())</f>
        <v>#N/A</v>
      </c>
      <c r="R1058" t="e">
        <f ca="1">IFERROR(计算区域!S1060,NA())</f>
        <v>#N/A</v>
      </c>
      <c r="S1058" t="e">
        <f ca="1">IFERROR(计算区域!T1060,NA())</f>
        <v>#N/A</v>
      </c>
      <c r="T1058" t="e">
        <f ca="1">IFERROR(计算区域!U1060,NA())</f>
        <v>#N/A</v>
      </c>
      <c r="V1058" t="e">
        <f ca="1">IFERROR(计算区域!X1060,NA())</f>
        <v>#N/A</v>
      </c>
      <c r="W1058" t="e">
        <f ca="1">IFERROR(计算区域!Y1060,NA())</f>
        <v>#N/A</v>
      </c>
      <c r="X1058" t="e">
        <f ca="1">IFERROR(计算区域!Z1060,NA())</f>
        <v>#N/A</v>
      </c>
      <c r="Y1058" t="e">
        <f ca="1">IFERROR(计算区域!AA1060,NA())</f>
        <v>#N/A</v>
      </c>
    </row>
    <row r="1059" spans="1:25" x14ac:dyDescent="0.2">
      <c r="A1059" s="28">
        <f>计算区域!E1061</f>
        <v>0</v>
      </c>
      <c r="B1059" t="e">
        <f ca="1">IFERROR(计算区域!AJ1061,NA())</f>
        <v>#N/A</v>
      </c>
      <c r="C1059" t="e">
        <f ca="1">IFERROR(计算区域!AK1061,NA())</f>
        <v>#N/A</v>
      </c>
      <c r="D1059" t="e">
        <f ca="1">IFERROR(计算区域!AL1061,NA())</f>
        <v>#N/A</v>
      </c>
      <c r="E1059" t="e">
        <f ca="1">IFERROR(计算区域!AM1061,NA())</f>
        <v>#N/A</v>
      </c>
      <c r="G1059" t="e">
        <f ca="1">IFERROR(计算区域!AD1061,NA())</f>
        <v>#N/A</v>
      </c>
      <c r="H1059" t="e">
        <f ca="1">IFERROR(计算区域!AE1061,NA())</f>
        <v>#N/A</v>
      </c>
      <c r="I1059" t="e">
        <f ca="1">IFERROR(计算区域!AF1061,NA())</f>
        <v>#N/A</v>
      </c>
      <c r="J1059" t="e">
        <f ca="1">IFERROR(计算区域!AG1061,NA())</f>
        <v>#N/A</v>
      </c>
      <c r="L1059" t="e">
        <f ca="1">IFERROR(计算区域!L1061,NA())</f>
        <v>#N/A</v>
      </c>
      <c r="M1059" t="e">
        <f ca="1">IFERROR(计算区域!M1061,NA())</f>
        <v>#N/A</v>
      </c>
      <c r="N1059" t="e">
        <f ca="1">IFERROR(计算区域!N1061,NA())</f>
        <v>#N/A</v>
      </c>
      <c r="O1059" t="e">
        <f ca="1">IFERROR(计算区域!O1061,NA())</f>
        <v>#N/A</v>
      </c>
      <c r="Q1059" t="e">
        <f ca="1">IFERROR(计算区域!R1061,NA())</f>
        <v>#N/A</v>
      </c>
      <c r="R1059" t="e">
        <f ca="1">IFERROR(计算区域!S1061,NA())</f>
        <v>#N/A</v>
      </c>
      <c r="S1059" t="e">
        <f ca="1">IFERROR(计算区域!T1061,NA())</f>
        <v>#N/A</v>
      </c>
      <c r="T1059" t="e">
        <f ca="1">IFERROR(计算区域!U1061,NA())</f>
        <v>#N/A</v>
      </c>
      <c r="V1059" t="e">
        <f ca="1">IFERROR(计算区域!X1061,NA())</f>
        <v>#N/A</v>
      </c>
      <c r="W1059" t="e">
        <f ca="1">IFERROR(计算区域!Y1061,NA())</f>
        <v>#N/A</v>
      </c>
      <c r="X1059" t="e">
        <f ca="1">IFERROR(计算区域!Z1061,NA())</f>
        <v>#N/A</v>
      </c>
      <c r="Y1059" t="e">
        <f ca="1">IFERROR(计算区域!AA1061,NA())</f>
        <v>#N/A</v>
      </c>
    </row>
    <row r="1060" spans="1:25" x14ac:dyDescent="0.2">
      <c r="A1060" s="28">
        <f>计算区域!E1062</f>
        <v>0</v>
      </c>
      <c r="B1060" t="e">
        <f ca="1">IFERROR(计算区域!AJ1062,NA())</f>
        <v>#N/A</v>
      </c>
      <c r="C1060" t="e">
        <f ca="1">IFERROR(计算区域!AK1062,NA())</f>
        <v>#N/A</v>
      </c>
      <c r="D1060" t="e">
        <f ca="1">IFERROR(计算区域!AL1062,NA())</f>
        <v>#N/A</v>
      </c>
      <c r="E1060" t="e">
        <f ca="1">IFERROR(计算区域!AM1062,NA())</f>
        <v>#N/A</v>
      </c>
      <c r="G1060" t="e">
        <f ca="1">IFERROR(计算区域!AD1062,NA())</f>
        <v>#N/A</v>
      </c>
      <c r="H1060" t="e">
        <f ca="1">IFERROR(计算区域!AE1062,NA())</f>
        <v>#N/A</v>
      </c>
      <c r="I1060" t="e">
        <f ca="1">IFERROR(计算区域!AF1062,NA())</f>
        <v>#N/A</v>
      </c>
      <c r="J1060" t="e">
        <f ca="1">IFERROR(计算区域!AG1062,NA())</f>
        <v>#N/A</v>
      </c>
      <c r="L1060" t="e">
        <f ca="1">IFERROR(计算区域!L1062,NA())</f>
        <v>#N/A</v>
      </c>
      <c r="M1060" t="e">
        <f ca="1">IFERROR(计算区域!M1062,NA())</f>
        <v>#N/A</v>
      </c>
      <c r="N1060" t="e">
        <f ca="1">IFERROR(计算区域!N1062,NA())</f>
        <v>#N/A</v>
      </c>
      <c r="O1060" t="e">
        <f ca="1">IFERROR(计算区域!O1062,NA())</f>
        <v>#N/A</v>
      </c>
      <c r="Q1060" t="e">
        <f ca="1">IFERROR(计算区域!R1062,NA())</f>
        <v>#N/A</v>
      </c>
      <c r="R1060" t="e">
        <f ca="1">IFERROR(计算区域!S1062,NA())</f>
        <v>#N/A</v>
      </c>
      <c r="S1060" t="e">
        <f ca="1">IFERROR(计算区域!T1062,NA())</f>
        <v>#N/A</v>
      </c>
      <c r="T1060" t="e">
        <f ca="1">IFERROR(计算区域!U1062,NA())</f>
        <v>#N/A</v>
      </c>
      <c r="V1060" t="e">
        <f ca="1">IFERROR(计算区域!X1062,NA())</f>
        <v>#N/A</v>
      </c>
      <c r="W1060" t="e">
        <f ca="1">IFERROR(计算区域!Y1062,NA())</f>
        <v>#N/A</v>
      </c>
      <c r="X1060" t="e">
        <f ca="1">IFERROR(计算区域!Z1062,NA())</f>
        <v>#N/A</v>
      </c>
      <c r="Y1060" t="e">
        <f ca="1">IFERROR(计算区域!AA1062,NA())</f>
        <v>#N/A</v>
      </c>
    </row>
    <row r="1061" spans="1:25" x14ac:dyDescent="0.2">
      <c r="A1061" s="28">
        <f>计算区域!E1063</f>
        <v>0</v>
      </c>
      <c r="B1061" t="e">
        <f ca="1">IFERROR(计算区域!AJ1063,NA())</f>
        <v>#N/A</v>
      </c>
      <c r="C1061" t="e">
        <f ca="1">IFERROR(计算区域!AK1063,NA())</f>
        <v>#N/A</v>
      </c>
      <c r="D1061" t="e">
        <f ca="1">IFERROR(计算区域!AL1063,NA())</f>
        <v>#N/A</v>
      </c>
      <c r="E1061" t="e">
        <f ca="1">IFERROR(计算区域!AM1063,NA())</f>
        <v>#N/A</v>
      </c>
      <c r="G1061" t="e">
        <f ca="1">IFERROR(计算区域!AD1063,NA())</f>
        <v>#N/A</v>
      </c>
      <c r="H1061" t="e">
        <f ca="1">IFERROR(计算区域!AE1063,NA())</f>
        <v>#N/A</v>
      </c>
      <c r="I1061" t="e">
        <f ca="1">IFERROR(计算区域!AF1063,NA())</f>
        <v>#N/A</v>
      </c>
      <c r="J1061" t="e">
        <f ca="1">IFERROR(计算区域!AG1063,NA())</f>
        <v>#N/A</v>
      </c>
      <c r="L1061" t="e">
        <f ca="1">IFERROR(计算区域!L1063,NA())</f>
        <v>#N/A</v>
      </c>
      <c r="M1061" t="e">
        <f ca="1">IFERROR(计算区域!M1063,NA())</f>
        <v>#N/A</v>
      </c>
      <c r="N1061" t="e">
        <f ca="1">IFERROR(计算区域!N1063,NA())</f>
        <v>#N/A</v>
      </c>
      <c r="O1061" t="e">
        <f ca="1">IFERROR(计算区域!O1063,NA())</f>
        <v>#N/A</v>
      </c>
      <c r="Q1061" t="e">
        <f ca="1">IFERROR(计算区域!R1063,NA())</f>
        <v>#N/A</v>
      </c>
      <c r="R1061" t="e">
        <f ca="1">IFERROR(计算区域!S1063,NA())</f>
        <v>#N/A</v>
      </c>
      <c r="S1061" t="e">
        <f ca="1">IFERROR(计算区域!T1063,NA())</f>
        <v>#N/A</v>
      </c>
      <c r="T1061" t="e">
        <f ca="1">IFERROR(计算区域!U1063,NA())</f>
        <v>#N/A</v>
      </c>
      <c r="V1061" t="e">
        <f ca="1">IFERROR(计算区域!X1063,NA())</f>
        <v>#N/A</v>
      </c>
      <c r="W1061" t="e">
        <f ca="1">IFERROR(计算区域!Y1063,NA())</f>
        <v>#N/A</v>
      </c>
      <c r="X1061" t="e">
        <f ca="1">IFERROR(计算区域!Z1063,NA())</f>
        <v>#N/A</v>
      </c>
      <c r="Y1061" t="e">
        <f ca="1">IFERROR(计算区域!AA1063,NA())</f>
        <v>#N/A</v>
      </c>
    </row>
    <row r="1062" spans="1:25" x14ac:dyDescent="0.2">
      <c r="A1062" s="28">
        <f>计算区域!E1064</f>
        <v>0</v>
      </c>
      <c r="B1062" t="e">
        <f ca="1">IFERROR(计算区域!AJ1064,NA())</f>
        <v>#N/A</v>
      </c>
      <c r="C1062" t="e">
        <f ca="1">IFERROR(计算区域!AK1064,NA())</f>
        <v>#N/A</v>
      </c>
      <c r="D1062" t="e">
        <f ca="1">IFERROR(计算区域!AL1064,NA())</f>
        <v>#N/A</v>
      </c>
      <c r="E1062" t="e">
        <f ca="1">IFERROR(计算区域!AM1064,NA())</f>
        <v>#N/A</v>
      </c>
      <c r="G1062" t="e">
        <f ca="1">IFERROR(计算区域!AD1064,NA())</f>
        <v>#N/A</v>
      </c>
      <c r="H1062" t="e">
        <f ca="1">IFERROR(计算区域!AE1064,NA())</f>
        <v>#N/A</v>
      </c>
      <c r="I1062" t="e">
        <f ca="1">IFERROR(计算区域!AF1064,NA())</f>
        <v>#N/A</v>
      </c>
      <c r="J1062" t="e">
        <f ca="1">IFERROR(计算区域!AG1064,NA())</f>
        <v>#N/A</v>
      </c>
      <c r="L1062" t="e">
        <f ca="1">IFERROR(计算区域!L1064,NA())</f>
        <v>#N/A</v>
      </c>
      <c r="M1062" t="e">
        <f ca="1">IFERROR(计算区域!M1064,NA())</f>
        <v>#N/A</v>
      </c>
      <c r="N1062" t="e">
        <f ca="1">IFERROR(计算区域!N1064,NA())</f>
        <v>#N/A</v>
      </c>
      <c r="O1062" t="e">
        <f ca="1">IFERROR(计算区域!O1064,NA())</f>
        <v>#N/A</v>
      </c>
      <c r="Q1062" t="e">
        <f ca="1">IFERROR(计算区域!R1064,NA())</f>
        <v>#N/A</v>
      </c>
      <c r="R1062" t="e">
        <f ca="1">IFERROR(计算区域!S1064,NA())</f>
        <v>#N/A</v>
      </c>
      <c r="S1062" t="e">
        <f ca="1">IFERROR(计算区域!T1064,NA())</f>
        <v>#N/A</v>
      </c>
      <c r="T1062" t="e">
        <f ca="1">IFERROR(计算区域!U1064,NA())</f>
        <v>#N/A</v>
      </c>
      <c r="V1062" t="e">
        <f ca="1">IFERROR(计算区域!X1064,NA())</f>
        <v>#N/A</v>
      </c>
      <c r="W1062" t="e">
        <f ca="1">IFERROR(计算区域!Y1064,NA())</f>
        <v>#N/A</v>
      </c>
      <c r="X1062" t="e">
        <f ca="1">IFERROR(计算区域!Z1064,NA())</f>
        <v>#N/A</v>
      </c>
      <c r="Y1062" t="e">
        <f ca="1">IFERROR(计算区域!AA1064,NA())</f>
        <v>#N/A</v>
      </c>
    </row>
    <row r="1063" spans="1:25" x14ac:dyDescent="0.2">
      <c r="A1063" s="28">
        <f>计算区域!E1065</f>
        <v>0</v>
      </c>
      <c r="B1063" t="e">
        <f ca="1">IFERROR(计算区域!AJ1065,NA())</f>
        <v>#N/A</v>
      </c>
      <c r="C1063" t="e">
        <f ca="1">IFERROR(计算区域!AK1065,NA())</f>
        <v>#N/A</v>
      </c>
      <c r="D1063" t="e">
        <f ca="1">IFERROR(计算区域!AL1065,NA())</f>
        <v>#N/A</v>
      </c>
      <c r="E1063" t="e">
        <f ca="1">IFERROR(计算区域!AM1065,NA())</f>
        <v>#N/A</v>
      </c>
      <c r="G1063" t="e">
        <f ca="1">IFERROR(计算区域!AD1065,NA())</f>
        <v>#N/A</v>
      </c>
      <c r="H1063" t="e">
        <f ca="1">IFERROR(计算区域!AE1065,NA())</f>
        <v>#N/A</v>
      </c>
      <c r="I1063" t="e">
        <f ca="1">IFERROR(计算区域!AF1065,NA())</f>
        <v>#N/A</v>
      </c>
      <c r="J1063" t="e">
        <f ca="1">IFERROR(计算区域!AG1065,NA())</f>
        <v>#N/A</v>
      </c>
      <c r="L1063" t="e">
        <f ca="1">IFERROR(计算区域!L1065,NA())</f>
        <v>#N/A</v>
      </c>
      <c r="M1063" t="e">
        <f ca="1">IFERROR(计算区域!M1065,NA())</f>
        <v>#N/A</v>
      </c>
      <c r="N1063" t="e">
        <f ca="1">IFERROR(计算区域!N1065,NA())</f>
        <v>#N/A</v>
      </c>
      <c r="O1063" t="e">
        <f ca="1">IFERROR(计算区域!O1065,NA())</f>
        <v>#N/A</v>
      </c>
      <c r="Q1063" t="e">
        <f ca="1">IFERROR(计算区域!R1065,NA())</f>
        <v>#N/A</v>
      </c>
      <c r="R1063" t="e">
        <f ca="1">IFERROR(计算区域!S1065,NA())</f>
        <v>#N/A</v>
      </c>
      <c r="S1063" t="e">
        <f ca="1">IFERROR(计算区域!T1065,NA())</f>
        <v>#N/A</v>
      </c>
      <c r="T1063" t="e">
        <f ca="1">IFERROR(计算区域!U1065,NA())</f>
        <v>#N/A</v>
      </c>
      <c r="V1063" t="e">
        <f ca="1">IFERROR(计算区域!X1065,NA())</f>
        <v>#N/A</v>
      </c>
      <c r="W1063" t="e">
        <f ca="1">IFERROR(计算区域!Y1065,NA())</f>
        <v>#N/A</v>
      </c>
      <c r="X1063" t="e">
        <f ca="1">IFERROR(计算区域!Z1065,NA())</f>
        <v>#N/A</v>
      </c>
      <c r="Y1063" t="e">
        <f ca="1">IFERROR(计算区域!AA1065,NA())</f>
        <v>#N/A</v>
      </c>
    </row>
    <row r="1064" spans="1:25" x14ac:dyDescent="0.2">
      <c r="A1064" s="28">
        <f>计算区域!E1066</f>
        <v>0</v>
      </c>
      <c r="B1064" t="e">
        <f ca="1">IFERROR(计算区域!AJ1066,NA())</f>
        <v>#N/A</v>
      </c>
      <c r="C1064" t="e">
        <f ca="1">IFERROR(计算区域!AK1066,NA())</f>
        <v>#N/A</v>
      </c>
      <c r="D1064" t="e">
        <f ca="1">IFERROR(计算区域!AL1066,NA())</f>
        <v>#N/A</v>
      </c>
      <c r="E1064" t="e">
        <f ca="1">IFERROR(计算区域!AM1066,NA())</f>
        <v>#N/A</v>
      </c>
      <c r="G1064" t="e">
        <f ca="1">IFERROR(计算区域!AD1066,NA())</f>
        <v>#N/A</v>
      </c>
      <c r="H1064" t="e">
        <f ca="1">IFERROR(计算区域!AE1066,NA())</f>
        <v>#N/A</v>
      </c>
      <c r="I1064" t="e">
        <f ca="1">IFERROR(计算区域!AF1066,NA())</f>
        <v>#N/A</v>
      </c>
      <c r="J1064" t="e">
        <f ca="1">IFERROR(计算区域!AG1066,NA())</f>
        <v>#N/A</v>
      </c>
      <c r="L1064" t="e">
        <f ca="1">IFERROR(计算区域!L1066,NA())</f>
        <v>#N/A</v>
      </c>
      <c r="M1064" t="e">
        <f ca="1">IFERROR(计算区域!M1066,NA())</f>
        <v>#N/A</v>
      </c>
      <c r="N1064" t="e">
        <f ca="1">IFERROR(计算区域!N1066,NA())</f>
        <v>#N/A</v>
      </c>
      <c r="O1064" t="e">
        <f ca="1">IFERROR(计算区域!O1066,NA())</f>
        <v>#N/A</v>
      </c>
      <c r="Q1064" t="e">
        <f ca="1">IFERROR(计算区域!R1066,NA())</f>
        <v>#N/A</v>
      </c>
      <c r="R1064" t="e">
        <f ca="1">IFERROR(计算区域!S1066,NA())</f>
        <v>#N/A</v>
      </c>
      <c r="S1064" t="e">
        <f ca="1">IFERROR(计算区域!T1066,NA())</f>
        <v>#N/A</v>
      </c>
      <c r="T1064" t="e">
        <f ca="1">IFERROR(计算区域!U1066,NA())</f>
        <v>#N/A</v>
      </c>
      <c r="V1064" t="e">
        <f ca="1">IFERROR(计算区域!X1066,NA())</f>
        <v>#N/A</v>
      </c>
      <c r="W1064" t="e">
        <f ca="1">IFERROR(计算区域!Y1066,NA())</f>
        <v>#N/A</v>
      </c>
      <c r="X1064" t="e">
        <f ca="1">IFERROR(计算区域!Z1066,NA())</f>
        <v>#N/A</v>
      </c>
      <c r="Y1064" t="e">
        <f ca="1">IFERROR(计算区域!AA1066,NA())</f>
        <v>#N/A</v>
      </c>
    </row>
    <row r="1065" spans="1:25" x14ac:dyDescent="0.2">
      <c r="A1065" s="28">
        <f>计算区域!E1067</f>
        <v>0</v>
      </c>
      <c r="B1065" t="e">
        <f ca="1">IFERROR(计算区域!AJ1067,NA())</f>
        <v>#N/A</v>
      </c>
      <c r="C1065" t="e">
        <f ca="1">IFERROR(计算区域!AK1067,NA())</f>
        <v>#N/A</v>
      </c>
      <c r="D1065" t="e">
        <f ca="1">IFERROR(计算区域!AL1067,NA())</f>
        <v>#N/A</v>
      </c>
      <c r="E1065" t="e">
        <f ca="1">IFERROR(计算区域!AM1067,NA())</f>
        <v>#N/A</v>
      </c>
      <c r="G1065" t="e">
        <f ca="1">IFERROR(计算区域!AD1067,NA())</f>
        <v>#N/A</v>
      </c>
      <c r="H1065" t="e">
        <f ca="1">IFERROR(计算区域!AE1067,NA())</f>
        <v>#N/A</v>
      </c>
      <c r="I1065" t="e">
        <f ca="1">IFERROR(计算区域!AF1067,NA())</f>
        <v>#N/A</v>
      </c>
      <c r="J1065" t="e">
        <f ca="1">IFERROR(计算区域!AG1067,NA())</f>
        <v>#N/A</v>
      </c>
      <c r="L1065" t="e">
        <f ca="1">IFERROR(计算区域!L1067,NA())</f>
        <v>#N/A</v>
      </c>
      <c r="M1065" t="e">
        <f ca="1">IFERROR(计算区域!M1067,NA())</f>
        <v>#N/A</v>
      </c>
      <c r="N1065" t="e">
        <f ca="1">IFERROR(计算区域!N1067,NA())</f>
        <v>#N/A</v>
      </c>
      <c r="O1065" t="e">
        <f ca="1">IFERROR(计算区域!O1067,NA())</f>
        <v>#N/A</v>
      </c>
      <c r="Q1065" t="e">
        <f ca="1">IFERROR(计算区域!R1067,NA())</f>
        <v>#N/A</v>
      </c>
      <c r="R1065" t="e">
        <f ca="1">IFERROR(计算区域!S1067,NA())</f>
        <v>#N/A</v>
      </c>
      <c r="S1065" t="e">
        <f ca="1">IFERROR(计算区域!T1067,NA())</f>
        <v>#N/A</v>
      </c>
      <c r="T1065" t="e">
        <f ca="1">IFERROR(计算区域!U1067,NA())</f>
        <v>#N/A</v>
      </c>
      <c r="V1065" t="e">
        <f ca="1">IFERROR(计算区域!X1067,NA())</f>
        <v>#N/A</v>
      </c>
      <c r="W1065" t="e">
        <f ca="1">IFERROR(计算区域!Y1067,NA())</f>
        <v>#N/A</v>
      </c>
      <c r="X1065" t="e">
        <f ca="1">IFERROR(计算区域!Z1067,NA())</f>
        <v>#N/A</v>
      </c>
      <c r="Y1065" t="e">
        <f ca="1">IFERROR(计算区域!AA1067,NA())</f>
        <v>#N/A</v>
      </c>
    </row>
    <row r="1066" spans="1:25" x14ac:dyDescent="0.2">
      <c r="A1066" s="28">
        <f>计算区域!E1068</f>
        <v>0</v>
      </c>
      <c r="B1066" t="e">
        <f ca="1">IFERROR(计算区域!AJ1068,NA())</f>
        <v>#N/A</v>
      </c>
      <c r="C1066" t="e">
        <f ca="1">IFERROR(计算区域!AK1068,NA())</f>
        <v>#N/A</v>
      </c>
      <c r="D1066" t="e">
        <f ca="1">IFERROR(计算区域!AL1068,NA())</f>
        <v>#N/A</v>
      </c>
      <c r="E1066" t="e">
        <f ca="1">IFERROR(计算区域!AM1068,NA())</f>
        <v>#N/A</v>
      </c>
      <c r="G1066" t="e">
        <f ca="1">IFERROR(计算区域!AD1068,NA())</f>
        <v>#N/A</v>
      </c>
      <c r="H1066" t="e">
        <f ca="1">IFERROR(计算区域!AE1068,NA())</f>
        <v>#N/A</v>
      </c>
      <c r="I1066" t="e">
        <f ca="1">IFERROR(计算区域!AF1068,NA())</f>
        <v>#N/A</v>
      </c>
      <c r="J1066" t="e">
        <f ca="1">IFERROR(计算区域!AG1068,NA())</f>
        <v>#N/A</v>
      </c>
      <c r="L1066" t="e">
        <f ca="1">IFERROR(计算区域!L1068,NA())</f>
        <v>#N/A</v>
      </c>
      <c r="M1066" t="e">
        <f ca="1">IFERROR(计算区域!M1068,NA())</f>
        <v>#N/A</v>
      </c>
      <c r="N1066" t="e">
        <f ca="1">IFERROR(计算区域!N1068,NA())</f>
        <v>#N/A</v>
      </c>
      <c r="O1066" t="e">
        <f ca="1">IFERROR(计算区域!O1068,NA())</f>
        <v>#N/A</v>
      </c>
      <c r="Q1066" t="e">
        <f ca="1">IFERROR(计算区域!R1068,NA())</f>
        <v>#N/A</v>
      </c>
      <c r="R1066" t="e">
        <f ca="1">IFERROR(计算区域!S1068,NA())</f>
        <v>#N/A</v>
      </c>
      <c r="S1066" t="e">
        <f ca="1">IFERROR(计算区域!T1068,NA())</f>
        <v>#N/A</v>
      </c>
      <c r="T1066" t="e">
        <f ca="1">IFERROR(计算区域!U1068,NA())</f>
        <v>#N/A</v>
      </c>
      <c r="V1066" t="e">
        <f ca="1">IFERROR(计算区域!X1068,NA())</f>
        <v>#N/A</v>
      </c>
      <c r="W1066" t="e">
        <f ca="1">IFERROR(计算区域!Y1068,NA())</f>
        <v>#N/A</v>
      </c>
      <c r="X1066" t="e">
        <f ca="1">IFERROR(计算区域!Z1068,NA())</f>
        <v>#N/A</v>
      </c>
      <c r="Y1066" t="e">
        <f ca="1">IFERROR(计算区域!AA1068,NA())</f>
        <v>#N/A</v>
      </c>
    </row>
    <row r="1067" spans="1:25" x14ac:dyDescent="0.2">
      <c r="A1067" s="28">
        <f>计算区域!E1069</f>
        <v>0</v>
      </c>
      <c r="B1067" t="e">
        <f ca="1">IFERROR(计算区域!AJ1069,NA())</f>
        <v>#N/A</v>
      </c>
      <c r="C1067" t="e">
        <f ca="1">IFERROR(计算区域!AK1069,NA())</f>
        <v>#N/A</v>
      </c>
      <c r="D1067" t="e">
        <f ca="1">IFERROR(计算区域!AL1069,NA())</f>
        <v>#N/A</v>
      </c>
      <c r="E1067" t="e">
        <f ca="1">IFERROR(计算区域!AM1069,NA())</f>
        <v>#N/A</v>
      </c>
      <c r="G1067" t="e">
        <f ca="1">IFERROR(计算区域!AD1069,NA())</f>
        <v>#N/A</v>
      </c>
      <c r="H1067" t="e">
        <f ca="1">IFERROR(计算区域!AE1069,NA())</f>
        <v>#N/A</v>
      </c>
      <c r="I1067" t="e">
        <f ca="1">IFERROR(计算区域!AF1069,NA())</f>
        <v>#N/A</v>
      </c>
      <c r="J1067" t="e">
        <f ca="1">IFERROR(计算区域!AG1069,NA())</f>
        <v>#N/A</v>
      </c>
      <c r="L1067" t="e">
        <f ca="1">IFERROR(计算区域!L1069,NA())</f>
        <v>#N/A</v>
      </c>
      <c r="M1067" t="e">
        <f ca="1">IFERROR(计算区域!M1069,NA())</f>
        <v>#N/A</v>
      </c>
      <c r="N1067" t="e">
        <f ca="1">IFERROR(计算区域!N1069,NA())</f>
        <v>#N/A</v>
      </c>
      <c r="O1067" t="e">
        <f ca="1">IFERROR(计算区域!O1069,NA())</f>
        <v>#N/A</v>
      </c>
      <c r="Q1067" t="e">
        <f ca="1">IFERROR(计算区域!R1069,NA())</f>
        <v>#N/A</v>
      </c>
      <c r="R1067" t="e">
        <f ca="1">IFERROR(计算区域!S1069,NA())</f>
        <v>#N/A</v>
      </c>
      <c r="S1067" t="e">
        <f ca="1">IFERROR(计算区域!T1069,NA())</f>
        <v>#N/A</v>
      </c>
      <c r="T1067" t="e">
        <f ca="1">IFERROR(计算区域!U1069,NA())</f>
        <v>#N/A</v>
      </c>
      <c r="V1067" t="e">
        <f ca="1">IFERROR(计算区域!X1069,NA())</f>
        <v>#N/A</v>
      </c>
      <c r="W1067" t="e">
        <f ca="1">IFERROR(计算区域!Y1069,NA())</f>
        <v>#N/A</v>
      </c>
      <c r="X1067" t="e">
        <f ca="1">IFERROR(计算区域!Z1069,NA())</f>
        <v>#N/A</v>
      </c>
      <c r="Y1067" t="e">
        <f ca="1">IFERROR(计算区域!AA1069,NA())</f>
        <v>#N/A</v>
      </c>
    </row>
    <row r="1068" spans="1:25" x14ac:dyDescent="0.2">
      <c r="A1068" s="28">
        <f>计算区域!E1070</f>
        <v>0</v>
      </c>
      <c r="B1068" t="e">
        <f ca="1">IFERROR(计算区域!AJ1070,NA())</f>
        <v>#N/A</v>
      </c>
      <c r="C1068" t="e">
        <f ca="1">IFERROR(计算区域!AK1070,NA())</f>
        <v>#N/A</v>
      </c>
      <c r="D1068" t="e">
        <f ca="1">IFERROR(计算区域!AL1070,NA())</f>
        <v>#N/A</v>
      </c>
      <c r="E1068" t="e">
        <f ca="1">IFERROR(计算区域!AM1070,NA())</f>
        <v>#N/A</v>
      </c>
      <c r="G1068" t="e">
        <f ca="1">IFERROR(计算区域!AD1070,NA())</f>
        <v>#N/A</v>
      </c>
      <c r="H1068" t="e">
        <f ca="1">IFERROR(计算区域!AE1070,NA())</f>
        <v>#N/A</v>
      </c>
      <c r="I1068" t="e">
        <f ca="1">IFERROR(计算区域!AF1070,NA())</f>
        <v>#N/A</v>
      </c>
      <c r="J1068" t="e">
        <f ca="1">IFERROR(计算区域!AG1070,NA())</f>
        <v>#N/A</v>
      </c>
      <c r="L1068" t="e">
        <f ca="1">IFERROR(计算区域!L1070,NA())</f>
        <v>#N/A</v>
      </c>
      <c r="M1068" t="e">
        <f ca="1">IFERROR(计算区域!M1070,NA())</f>
        <v>#N/A</v>
      </c>
      <c r="N1068" t="e">
        <f ca="1">IFERROR(计算区域!N1070,NA())</f>
        <v>#N/A</v>
      </c>
      <c r="O1068" t="e">
        <f ca="1">IFERROR(计算区域!O1070,NA())</f>
        <v>#N/A</v>
      </c>
      <c r="Q1068" t="e">
        <f ca="1">IFERROR(计算区域!R1070,NA())</f>
        <v>#N/A</v>
      </c>
      <c r="R1068" t="e">
        <f ca="1">IFERROR(计算区域!S1070,NA())</f>
        <v>#N/A</v>
      </c>
      <c r="S1068" t="e">
        <f ca="1">IFERROR(计算区域!T1070,NA())</f>
        <v>#N/A</v>
      </c>
      <c r="T1068" t="e">
        <f ca="1">IFERROR(计算区域!U1070,NA())</f>
        <v>#N/A</v>
      </c>
      <c r="V1068" t="e">
        <f ca="1">IFERROR(计算区域!X1070,NA())</f>
        <v>#N/A</v>
      </c>
      <c r="W1068" t="e">
        <f ca="1">IFERROR(计算区域!Y1070,NA())</f>
        <v>#N/A</v>
      </c>
      <c r="X1068" t="e">
        <f ca="1">IFERROR(计算区域!Z1070,NA())</f>
        <v>#N/A</v>
      </c>
      <c r="Y1068" t="e">
        <f ca="1">IFERROR(计算区域!AA1070,NA())</f>
        <v>#N/A</v>
      </c>
    </row>
    <row r="1069" spans="1:25" x14ac:dyDescent="0.2">
      <c r="A1069" s="28">
        <f>计算区域!E1071</f>
        <v>0</v>
      </c>
      <c r="B1069" t="e">
        <f ca="1">IFERROR(计算区域!AJ1071,NA())</f>
        <v>#N/A</v>
      </c>
      <c r="C1069" t="e">
        <f ca="1">IFERROR(计算区域!AK1071,NA())</f>
        <v>#N/A</v>
      </c>
      <c r="D1069" t="e">
        <f ca="1">IFERROR(计算区域!AL1071,NA())</f>
        <v>#N/A</v>
      </c>
      <c r="E1069" t="e">
        <f ca="1">IFERROR(计算区域!AM1071,NA())</f>
        <v>#N/A</v>
      </c>
      <c r="G1069" t="e">
        <f ca="1">IFERROR(计算区域!AD1071,NA())</f>
        <v>#N/A</v>
      </c>
      <c r="H1069" t="e">
        <f ca="1">IFERROR(计算区域!AE1071,NA())</f>
        <v>#N/A</v>
      </c>
      <c r="I1069" t="e">
        <f ca="1">IFERROR(计算区域!AF1071,NA())</f>
        <v>#N/A</v>
      </c>
      <c r="J1069" t="e">
        <f ca="1">IFERROR(计算区域!AG1071,NA())</f>
        <v>#N/A</v>
      </c>
      <c r="L1069" t="e">
        <f ca="1">IFERROR(计算区域!L1071,NA())</f>
        <v>#N/A</v>
      </c>
      <c r="M1069" t="e">
        <f ca="1">IFERROR(计算区域!M1071,NA())</f>
        <v>#N/A</v>
      </c>
      <c r="N1069" t="e">
        <f ca="1">IFERROR(计算区域!N1071,NA())</f>
        <v>#N/A</v>
      </c>
      <c r="O1069" t="e">
        <f ca="1">IFERROR(计算区域!O1071,NA())</f>
        <v>#N/A</v>
      </c>
      <c r="Q1069" t="e">
        <f ca="1">IFERROR(计算区域!R1071,NA())</f>
        <v>#N/A</v>
      </c>
      <c r="R1069" t="e">
        <f ca="1">IFERROR(计算区域!S1071,NA())</f>
        <v>#N/A</v>
      </c>
      <c r="S1069" t="e">
        <f ca="1">IFERROR(计算区域!T1071,NA())</f>
        <v>#N/A</v>
      </c>
      <c r="T1069" t="e">
        <f ca="1">IFERROR(计算区域!U1071,NA())</f>
        <v>#N/A</v>
      </c>
      <c r="V1069" t="e">
        <f ca="1">IFERROR(计算区域!X1071,NA())</f>
        <v>#N/A</v>
      </c>
      <c r="W1069" t="e">
        <f ca="1">IFERROR(计算区域!Y1071,NA())</f>
        <v>#N/A</v>
      </c>
      <c r="X1069" t="e">
        <f ca="1">IFERROR(计算区域!Z1071,NA())</f>
        <v>#N/A</v>
      </c>
      <c r="Y1069" t="e">
        <f ca="1">IFERROR(计算区域!AA1071,NA())</f>
        <v>#N/A</v>
      </c>
    </row>
    <row r="1070" spans="1:25" x14ac:dyDescent="0.2">
      <c r="A1070" s="28">
        <f>计算区域!E1072</f>
        <v>0</v>
      </c>
      <c r="B1070" t="e">
        <f ca="1">IFERROR(计算区域!AJ1072,NA())</f>
        <v>#N/A</v>
      </c>
      <c r="C1070" t="e">
        <f ca="1">IFERROR(计算区域!AK1072,NA())</f>
        <v>#N/A</v>
      </c>
      <c r="D1070" t="e">
        <f ca="1">IFERROR(计算区域!AL1072,NA())</f>
        <v>#N/A</v>
      </c>
      <c r="E1070" t="e">
        <f ca="1">IFERROR(计算区域!AM1072,NA())</f>
        <v>#N/A</v>
      </c>
      <c r="G1070" t="e">
        <f ca="1">IFERROR(计算区域!AD1072,NA())</f>
        <v>#N/A</v>
      </c>
      <c r="H1070" t="e">
        <f ca="1">IFERROR(计算区域!AE1072,NA())</f>
        <v>#N/A</v>
      </c>
      <c r="I1070" t="e">
        <f ca="1">IFERROR(计算区域!AF1072,NA())</f>
        <v>#N/A</v>
      </c>
      <c r="J1070" t="e">
        <f ca="1">IFERROR(计算区域!AG1072,NA())</f>
        <v>#N/A</v>
      </c>
      <c r="L1070" t="e">
        <f ca="1">IFERROR(计算区域!L1072,NA())</f>
        <v>#N/A</v>
      </c>
      <c r="M1070" t="e">
        <f ca="1">IFERROR(计算区域!M1072,NA())</f>
        <v>#N/A</v>
      </c>
      <c r="N1070" t="e">
        <f ca="1">IFERROR(计算区域!N1072,NA())</f>
        <v>#N/A</v>
      </c>
      <c r="O1070" t="e">
        <f ca="1">IFERROR(计算区域!O1072,NA())</f>
        <v>#N/A</v>
      </c>
      <c r="Q1070" t="e">
        <f ca="1">IFERROR(计算区域!R1072,NA())</f>
        <v>#N/A</v>
      </c>
      <c r="R1070" t="e">
        <f ca="1">IFERROR(计算区域!S1072,NA())</f>
        <v>#N/A</v>
      </c>
      <c r="S1070" t="e">
        <f ca="1">IFERROR(计算区域!T1072,NA())</f>
        <v>#N/A</v>
      </c>
      <c r="T1070" t="e">
        <f ca="1">IFERROR(计算区域!U1072,NA())</f>
        <v>#N/A</v>
      </c>
      <c r="V1070" t="e">
        <f ca="1">IFERROR(计算区域!X1072,NA())</f>
        <v>#N/A</v>
      </c>
      <c r="W1070" t="e">
        <f ca="1">IFERROR(计算区域!Y1072,NA())</f>
        <v>#N/A</v>
      </c>
      <c r="X1070" t="e">
        <f ca="1">IFERROR(计算区域!Z1072,NA())</f>
        <v>#N/A</v>
      </c>
      <c r="Y1070" t="e">
        <f ca="1">IFERROR(计算区域!AA1072,NA())</f>
        <v>#N/A</v>
      </c>
    </row>
    <row r="1071" spans="1:25" x14ac:dyDescent="0.2">
      <c r="A1071" s="28">
        <f>计算区域!E1073</f>
        <v>0</v>
      </c>
      <c r="B1071" t="e">
        <f ca="1">IFERROR(计算区域!AJ1073,NA())</f>
        <v>#N/A</v>
      </c>
      <c r="C1071" t="e">
        <f ca="1">IFERROR(计算区域!AK1073,NA())</f>
        <v>#N/A</v>
      </c>
      <c r="D1071" t="e">
        <f ca="1">IFERROR(计算区域!AL1073,NA())</f>
        <v>#N/A</v>
      </c>
      <c r="E1071" t="e">
        <f ca="1">IFERROR(计算区域!AM1073,NA())</f>
        <v>#N/A</v>
      </c>
      <c r="G1071" t="e">
        <f ca="1">IFERROR(计算区域!AD1073,NA())</f>
        <v>#N/A</v>
      </c>
      <c r="H1071" t="e">
        <f ca="1">IFERROR(计算区域!AE1073,NA())</f>
        <v>#N/A</v>
      </c>
      <c r="I1071" t="e">
        <f ca="1">IFERROR(计算区域!AF1073,NA())</f>
        <v>#N/A</v>
      </c>
      <c r="J1071" t="e">
        <f ca="1">IFERROR(计算区域!AG1073,NA())</f>
        <v>#N/A</v>
      </c>
      <c r="L1071" t="e">
        <f ca="1">IFERROR(计算区域!L1073,NA())</f>
        <v>#N/A</v>
      </c>
      <c r="M1071" t="e">
        <f ca="1">IFERROR(计算区域!M1073,NA())</f>
        <v>#N/A</v>
      </c>
      <c r="N1071" t="e">
        <f ca="1">IFERROR(计算区域!N1073,NA())</f>
        <v>#N/A</v>
      </c>
      <c r="O1071" t="e">
        <f ca="1">IFERROR(计算区域!O1073,NA())</f>
        <v>#N/A</v>
      </c>
      <c r="Q1071" t="e">
        <f ca="1">IFERROR(计算区域!R1073,NA())</f>
        <v>#N/A</v>
      </c>
      <c r="R1071" t="e">
        <f ca="1">IFERROR(计算区域!S1073,NA())</f>
        <v>#N/A</v>
      </c>
      <c r="S1071" t="e">
        <f ca="1">IFERROR(计算区域!T1073,NA())</f>
        <v>#N/A</v>
      </c>
      <c r="T1071" t="e">
        <f ca="1">IFERROR(计算区域!U1073,NA())</f>
        <v>#N/A</v>
      </c>
      <c r="V1071" t="e">
        <f ca="1">IFERROR(计算区域!X1073,NA())</f>
        <v>#N/A</v>
      </c>
      <c r="W1071" t="e">
        <f ca="1">IFERROR(计算区域!Y1073,NA())</f>
        <v>#N/A</v>
      </c>
      <c r="X1071" t="e">
        <f ca="1">IFERROR(计算区域!Z1073,NA())</f>
        <v>#N/A</v>
      </c>
      <c r="Y1071" t="e">
        <f ca="1">IFERROR(计算区域!AA1073,NA())</f>
        <v>#N/A</v>
      </c>
    </row>
    <row r="1072" spans="1:25" x14ac:dyDescent="0.2">
      <c r="A1072" s="28">
        <f>计算区域!E1074</f>
        <v>0</v>
      </c>
      <c r="B1072" t="e">
        <f ca="1">IFERROR(计算区域!AJ1074,NA())</f>
        <v>#N/A</v>
      </c>
      <c r="C1072" t="e">
        <f ca="1">IFERROR(计算区域!AK1074,NA())</f>
        <v>#N/A</v>
      </c>
      <c r="D1072" t="e">
        <f ca="1">IFERROR(计算区域!AL1074,NA())</f>
        <v>#N/A</v>
      </c>
      <c r="E1072" t="e">
        <f ca="1">IFERROR(计算区域!AM1074,NA())</f>
        <v>#N/A</v>
      </c>
      <c r="G1072" t="e">
        <f ca="1">IFERROR(计算区域!AD1074,NA())</f>
        <v>#N/A</v>
      </c>
      <c r="H1072" t="e">
        <f ca="1">IFERROR(计算区域!AE1074,NA())</f>
        <v>#N/A</v>
      </c>
      <c r="I1072" t="e">
        <f ca="1">IFERROR(计算区域!AF1074,NA())</f>
        <v>#N/A</v>
      </c>
      <c r="J1072" t="e">
        <f ca="1">IFERROR(计算区域!AG1074,NA())</f>
        <v>#N/A</v>
      </c>
      <c r="L1072" t="e">
        <f ca="1">IFERROR(计算区域!L1074,NA())</f>
        <v>#N/A</v>
      </c>
      <c r="M1072" t="e">
        <f ca="1">IFERROR(计算区域!M1074,NA())</f>
        <v>#N/A</v>
      </c>
      <c r="N1072" t="e">
        <f ca="1">IFERROR(计算区域!N1074,NA())</f>
        <v>#N/A</v>
      </c>
      <c r="O1072" t="e">
        <f ca="1">IFERROR(计算区域!O1074,NA())</f>
        <v>#N/A</v>
      </c>
      <c r="Q1072" t="e">
        <f ca="1">IFERROR(计算区域!R1074,NA())</f>
        <v>#N/A</v>
      </c>
      <c r="R1072" t="e">
        <f ca="1">IFERROR(计算区域!S1074,NA())</f>
        <v>#N/A</v>
      </c>
      <c r="S1072" t="e">
        <f ca="1">IFERROR(计算区域!T1074,NA())</f>
        <v>#N/A</v>
      </c>
      <c r="T1072" t="e">
        <f ca="1">IFERROR(计算区域!U1074,NA())</f>
        <v>#N/A</v>
      </c>
      <c r="V1072" t="e">
        <f ca="1">IFERROR(计算区域!X1074,NA())</f>
        <v>#N/A</v>
      </c>
      <c r="W1072" t="e">
        <f ca="1">IFERROR(计算区域!Y1074,NA())</f>
        <v>#N/A</v>
      </c>
      <c r="X1072" t="e">
        <f ca="1">IFERROR(计算区域!Z1074,NA())</f>
        <v>#N/A</v>
      </c>
      <c r="Y1072" t="e">
        <f ca="1">IFERROR(计算区域!AA1074,NA())</f>
        <v>#N/A</v>
      </c>
    </row>
    <row r="1073" spans="1:25" x14ac:dyDescent="0.2">
      <c r="A1073" s="28">
        <f>计算区域!E1075</f>
        <v>0</v>
      </c>
      <c r="B1073" t="e">
        <f ca="1">IFERROR(计算区域!AJ1075,NA())</f>
        <v>#N/A</v>
      </c>
      <c r="C1073" t="e">
        <f ca="1">IFERROR(计算区域!AK1075,NA())</f>
        <v>#N/A</v>
      </c>
      <c r="D1073" t="e">
        <f ca="1">IFERROR(计算区域!AL1075,NA())</f>
        <v>#N/A</v>
      </c>
      <c r="E1073" t="e">
        <f ca="1">IFERROR(计算区域!AM1075,NA())</f>
        <v>#N/A</v>
      </c>
      <c r="G1073" t="e">
        <f ca="1">IFERROR(计算区域!AD1075,NA())</f>
        <v>#N/A</v>
      </c>
      <c r="H1073" t="e">
        <f ca="1">IFERROR(计算区域!AE1075,NA())</f>
        <v>#N/A</v>
      </c>
      <c r="I1073" t="e">
        <f ca="1">IFERROR(计算区域!AF1075,NA())</f>
        <v>#N/A</v>
      </c>
      <c r="J1073" t="e">
        <f ca="1">IFERROR(计算区域!AG1075,NA())</f>
        <v>#N/A</v>
      </c>
      <c r="L1073" t="e">
        <f ca="1">IFERROR(计算区域!L1075,NA())</f>
        <v>#N/A</v>
      </c>
      <c r="M1073" t="e">
        <f ca="1">IFERROR(计算区域!M1075,NA())</f>
        <v>#N/A</v>
      </c>
      <c r="N1073" t="e">
        <f ca="1">IFERROR(计算区域!N1075,NA())</f>
        <v>#N/A</v>
      </c>
      <c r="O1073" t="e">
        <f ca="1">IFERROR(计算区域!O1075,NA())</f>
        <v>#N/A</v>
      </c>
      <c r="Q1073" t="e">
        <f ca="1">IFERROR(计算区域!R1075,NA())</f>
        <v>#N/A</v>
      </c>
      <c r="R1073" t="e">
        <f ca="1">IFERROR(计算区域!S1075,NA())</f>
        <v>#N/A</v>
      </c>
      <c r="S1073" t="e">
        <f ca="1">IFERROR(计算区域!T1075,NA())</f>
        <v>#N/A</v>
      </c>
      <c r="T1073" t="e">
        <f ca="1">IFERROR(计算区域!U1075,NA())</f>
        <v>#N/A</v>
      </c>
      <c r="V1073" t="e">
        <f ca="1">IFERROR(计算区域!X1075,NA())</f>
        <v>#N/A</v>
      </c>
      <c r="W1073" t="e">
        <f ca="1">IFERROR(计算区域!Y1075,NA())</f>
        <v>#N/A</v>
      </c>
      <c r="X1073" t="e">
        <f ca="1">IFERROR(计算区域!Z1075,NA())</f>
        <v>#N/A</v>
      </c>
      <c r="Y1073" t="e">
        <f ca="1">IFERROR(计算区域!AA1075,NA())</f>
        <v>#N/A</v>
      </c>
    </row>
    <row r="1074" spans="1:25" x14ac:dyDescent="0.2">
      <c r="A1074" s="28">
        <f>计算区域!E1076</f>
        <v>0</v>
      </c>
      <c r="B1074" t="e">
        <f ca="1">IFERROR(计算区域!AJ1076,NA())</f>
        <v>#N/A</v>
      </c>
      <c r="C1074" t="e">
        <f ca="1">IFERROR(计算区域!AK1076,NA())</f>
        <v>#N/A</v>
      </c>
      <c r="D1074" t="e">
        <f ca="1">IFERROR(计算区域!AL1076,NA())</f>
        <v>#N/A</v>
      </c>
      <c r="E1074" t="e">
        <f ca="1">IFERROR(计算区域!AM1076,NA())</f>
        <v>#N/A</v>
      </c>
      <c r="G1074" t="e">
        <f ca="1">IFERROR(计算区域!AD1076,NA())</f>
        <v>#N/A</v>
      </c>
      <c r="H1074" t="e">
        <f ca="1">IFERROR(计算区域!AE1076,NA())</f>
        <v>#N/A</v>
      </c>
      <c r="I1074" t="e">
        <f ca="1">IFERROR(计算区域!AF1076,NA())</f>
        <v>#N/A</v>
      </c>
      <c r="J1074" t="e">
        <f ca="1">IFERROR(计算区域!AG1076,NA())</f>
        <v>#N/A</v>
      </c>
      <c r="L1074" t="e">
        <f ca="1">IFERROR(计算区域!L1076,NA())</f>
        <v>#N/A</v>
      </c>
      <c r="M1074" t="e">
        <f ca="1">IFERROR(计算区域!M1076,NA())</f>
        <v>#N/A</v>
      </c>
      <c r="N1074" t="e">
        <f ca="1">IFERROR(计算区域!N1076,NA())</f>
        <v>#N/A</v>
      </c>
      <c r="O1074" t="e">
        <f ca="1">IFERROR(计算区域!O1076,NA())</f>
        <v>#N/A</v>
      </c>
      <c r="Q1074" t="e">
        <f ca="1">IFERROR(计算区域!R1076,NA())</f>
        <v>#N/A</v>
      </c>
      <c r="R1074" t="e">
        <f ca="1">IFERROR(计算区域!S1076,NA())</f>
        <v>#N/A</v>
      </c>
      <c r="S1074" t="e">
        <f ca="1">IFERROR(计算区域!T1076,NA())</f>
        <v>#N/A</v>
      </c>
      <c r="T1074" t="e">
        <f ca="1">IFERROR(计算区域!U1076,NA())</f>
        <v>#N/A</v>
      </c>
      <c r="V1074" t="e">
        <f ca="1">IFERROR(计算区域!X1076,NA())</f>
        <v>#N/A</v>
      </c>
      <c r="W1074" t="e">
        <f ca="1">IFERROR(计算区域!Y1076,NA())</f>
        <v>#N/A</v>
      </c>
      <c r="X1074" t="e">
        <f ca="1">IFERROR(计算区域!Z1076,NA())</f>
        <v>#N/A</v>
      </c>
      <c r="Y1074" t="e">
        <f ca="1">IFERROR(计算区域!AA1076,NA())</f>
        <v>#N/A</v>
      </c>
    </row>
    <row r="1075" spans="1:25" x14ac:dyDescent="0.2">
      <c r="A1075" s="28">
        <f>计算区域!E1077</f>
        <v>0</v>
      </c>
      <c r="B1075" t="e">
        <f ca="1">IFERROR(计算区域!AJ1077,NA())</f>
        <v>#N/A</v>
      </c>
      <c r="C1075" t="e">
        <f ca="1">IFERROR(计算区域!AK1077,NA())</f>
        <v>#N/A</v>
      </c>
      <c r="D1075" t="e">
        <f ca="1">IFERROR(计算区域!AL1077,NA())</f>
        <v>#N/A</v>
      </c>
      <c r="E1075" t="e">
        <f ca="1">IFERROR(计算区域!AM1077,NA())</f>
        <v>#N/A</v>
      </c>
      <c r="G1075" t="e">
        <f ca="1">IFERROR(计算区域!AD1077,NA())</f>
        <v>#N/A</v>
      </c>
      <c r="H1075" t="e">
        <f ca="1">IFERROR(计算区域!AE1077,NA())</f>
        <v>#N/A</v>
      </c>
      <c r="I1075" t="e">
        <f ca="1">IFERROR(计算区域!AF1077,NA())</f>
        <v>#N/A</v>
      </c>
      <c r="J1075" t="e">
        <f ca="1">IFERROR(计算区域!AG1077,NA())</f>
        <v>#N/A</v>
      </c>
      <c r="L1075" t="e">
        <f ca="1">IFERROR(计算区域!L1077,NA())</f>
        <v>#N/A</v>
      </c>
      <c r="M1075" t="e">
        <f ca="1">IFERROR(计算区域!M1077,NA())</f>
        <v>#N/A</v>
      </c>
      <c r="N1075" t="e">
        <f ca="1">IFERROR(计算区域!N1077,NA())</f>
        <v>#N/A</v>
      </c>
      <c r="O1075" t="e">
        <f ca="1">IFERROR(计算区域!O1077,NA())</f>
        <v>#N/A</v>
      </c>
      <c r="Q1075" t="e">
        <f ca="1">IFERROR(计算区域!R1077,NA())</f>
        <v>#N/A</v>
      </c>
      <c r="R1075" t="e">
        <f ca="1">IFERROR(计算区域!S1077,NA())</f>
        <v>#N/A</v>
      </c>
      <c r="S1075" t="e">
        <f ca="1">IFERROR(计算区域!T1077,NA())</f>
        <v>#N/A</v>
      </c>
      <c r="T1075" t="e">
        <f ca="1">IFERROR(计算区域!U1077,NA())</f>
        <v>#N/A</v>
      </c>
      <c r="V1075" t="e">
        <f ca="1">IFERROR(计算区域!X1077,NA())</f>
        <v>#N/A</v>
      </c>
      <c r="W1075" t="e">
        <f ca="1">IFERROR(计算区域!Y1077,NA())</f>
        <v>#N/A</v>
      </c>
      <c r="X1075" t="e">
        <f ca="1">IFERROR(计算区域!Z1077,NA())</f>
        <v>#N/A</v>
      </c>
      <c r="Y1075" t="e">
        <f ca="1">IFERROR(计算区域!AA1077,NA())</f>
        <v>#N/A</v>
      </c>
    </row>
    <row r="1076" spans="1:25" x14ac:dyDescent="0.2">
      <c r="A1076" s="28">
        <f>计算区域!E1078</f>
        <v>0</v>
      </c>
      <c r="B1076" t="e">
        <f ca="1">IFERROR(计算区域!AJ1078,NA())</f>
        <v>#N/A</v>
      </c>
      <c r="C1076" t="e">
        <f ca="1">IFERROR(计算区域!AK1078,NA())</f>
        <v>#N/A</v>
      </c>
      <c r="D1076" t="e">
        <f ca="1">IFERROR(计算区域!AL1078,NA())</f>
        <v>#N/A</v>
      </c>
      <c r="E1076" t="e">
        <f ca="1">IFERROR(计算区域!AM1078,NA())</f>
        <v>#N/A</v>
      </c>
      <c r="G1076" t="e">
        <f ca="1">IFERROR(计算区域!AD1078,NA())</f>
        <v>#N/A</v>
      </c>
      <c r="H1076" t="e">
        <f ca="1">IFERROR(计算区域!AE1078,NA())</f>
        <v>#N/A</v>
      </c>
      <c r="I1076" t="e">
        <f ca="1">IFERROR(计算区域!AF1078,NA())</f>
        <v>#N/A</v>
      </c>
      <c r="J1076" t="e">
        <f ca="1">IFERROR(计算区域!AG1078,NA())</f>
        <v>#N/A</v>
      </c>
      <c r="L1076" t="e">
        <f ca="1">IFERROR(计算区域!L1078,NA())</f>
        <v>#N/A</v>
      </c>
      <c r="M1076" t="e">
        <f ca="1">IFERROR(计算区域!M1078,NA())</f>
        <v>#N/A</v>
      </c>
      <c r="N1076" t="e">
        <f ca="1">IFERROR(计算区域!N1078,NA())</f>
        <v>#N/A</v>
      </c>
      <c r="O1076" t="e">
        <f ca="1">IFERROR(计算区域!O1078,NA())</f>
        <v>#N/A</v>
      </c>
      <c r="Q1076" t="e">
        <f ca="1">IFERROR(计算区域!R1078,NA())</f>
        <v>#N/A</v>
      </c>
      <c r="R1076" t="e">
        <f ca="1">IFERROR(计算区域!S1078,NA())</f>
        <v>#N/A</v>
      </c>
      <c r="S1076" t="e">
        <f ca="1">IFERROR(计算区域!T1078,NA())</f>
        <v>#N/A</v>
      </c>
      <c r="T1076" t="e">
        <f ca="1">IFERROR(计算区域!U1078,NA())</f>
        <v>#N/A</v>
      </c>
      <c r="V1076" t="e">
        <f ca="1">IFERROR(计算区域!X1078,NA())</f>
        <v>#N/A</v>
      </c>
      <c r="W1076" t="e">
        <f ca="1">IFERROR(计算区域!Y1078,NA())</f>
        <v>#N/A</v>
      </c>
      <c r="X1076" t="e">
        <f ca="1">IFERROR(计算区域!Z1078,NA())</f>
        <v>#N/A</v>
      </c>
      <c r="Y1076" t="e">
        <f ca="1">IFERROR(计算区域!AA1078,NA())</f>
        <v>#N/A</v>
      </c>
    </row>
    <row r="1077" spans="1:25" x14ac:dyDescent="0.2">
      <c r="A1077" s="28">
        <f>计算区域!E1079</f>
        <v>0</v>
      </c>
      <c r="B1077" t="e">
        <f ca="1">IFERROR(计算区域!AJ1079,NA())</f>
        <v>#N/A</v>
      </c>
      <c r="C1077" t="e">
        <f ca="1">IFERROR(计算区域!AK1079,NA())</f>
        <v>#N/A</v>
      </c>
      <c r="D1077" t="e">
        <f ca="1">IFERROR(计算区域!AL1079,NA())</f>
        <v>#N/A</v>
      </c>
      <c r="E1077" t="e">
        <f ca="1">IFERROR(计算区域!AM1079,NA())</f>
        <v>#N/A</v>
      </c>
      <c r="G1077" t="e">
        <f ca="1">IFERROR(计算区域!AD1079,NA())</f>
        <v>#N/A</v>
      </c>
      <c r="H1077" t="e">
        <f ca="1">IFERROR(计算区域!AE1079,NA())</f>
        <v>#N/A</v>
      </c>
      <c r="I1077" t="e">
        <f ca="1">IFERROR(计算区域!AF1079,NA())</f>
        <v>#N/A</v>
      </c>
      <c r="J1077" t="e">
        <f ca="1">IFERROR(计算区域!AG1079,NA())</f>
        <v>#N/A</v>
      </c>
      <c r="L1077" t="e">
        <f ca="1">IFERROR(计算区域!L1079,NA())</f>
        <v>#N/A</v>
      </c>
      <c r="M1077" t="e">
        <f ca="1">IFERROR(计算区域!M1079,NA())</f>
        <v>#N/A</v>
      </c>
      <c r="N1077" t="e">
        <f ca="1">IFERROR(计算区域!N1079,NA())</f>
        <v>#N/A</v>
      </c>
      <c r="O1077" t="e">
        <f ca="1">IFERROR(计算区域!O1079,NA())</f>
        <v>#N/A</v>
      </c>
      <c r="Q1077" t="e">
        <f ca="1">IFERROR(计算区域!R1079,NA())</f>
        <v>#N/A</v>
      </c>
      <c r="R1077" t="e">
        <f ca="1">IFERROR(计算区域!S1079,NA())</f>
        <v>#N/A</v>
      </c>
      <c r="S1077" t="e">
        <f ca="1">IFERROR(计算区域!T1079,NA())</f>
        <v>#N/A</v>
      </c>
      <c r="T1077" t="e">
        <f ca="1">IFERROR(计算区域!U1079,NA())</f>
        <v>#N/A</v>
      </c>
      <c r="V1077" t="e">
        <f ca="1">IFERROR(计算区域!X1079,NA())</f>
        <v>#N/A</v>
      </c>
      <c r="W1077" t="e">
        <f ca="1">IFERROR(计算区域!Y1079,NA())</f>
        <v>#N/A</v>
      </c>
      <c r="X1077" t="e">
        <f ca="1">IFERROR(计算区域!Z1079,NA())</f>
        <v>#N/A</v>
      </c>
      <c r="Y1077" t="e">
        <f ca="1">IFERROR(计算区域!AA1079,NA())</f>
        <v>#N/A</v>
      </c>
    </row>
    <row r="1078" spans="1:25" x14ac:dyDescent="0.2">
      <c r="A1078" s="28">
        <f>计算区域!E1080</f>
        <v>0</v>
      </c>
      <c r="B1078" t="e">
        <f ca="1">IFERROR(计算区域!AJ1080,NA())</f>
        <v>#N/A</v>
      </c>
      <c r="C1078" t="e">
        <f ca="1">IFERROR(计算区域!AK1080,NA())</f>
        <v>#N/A</v>
      </c>
      <c r="D1078" t="e">
        <f ca="1">IFERROR(计算区域!AL1080,NA())</f>
        <v>#N/A</v>
      </c>
      <c r="E1078" t="e">
        <f ca="1">IFERROR(计算区域!AM1080,NA())</f>
        <v>#N/A</v>
      </c>
      <c r="G1078" t="e">
        <f ca="1">IFERROR(计算区域!AD1080,NA())</f>
        <v>#N/A</v>
      </c>
      <c r="H1078" t="e">
        <f ca="1">IFERROR(计算区域!AE1080,NA())</f>
        <v>#N/A</v>
      </c>
      <c r="I1078" t="e">
        <f ca="1">IFERROR(计算区域!AF1080,NA())</f>
        <v>#N/A</v>
      </c>
      <c r="J1078" t="e">
        <f ca="1">IFERROR(计算区域!AG1080,NA())</f>
        <v>#N/A</v>
      </c>
      <c r="L1078" t="e">
        <f ca="1">IFERROR(计算区域!L1080,NA())</f>
        <v>#N/A</v>
      </c>
      <c r="M1078" t="e">
        <f ca="1">IFERROR(计算区域!M1080,NA())</f>
        <v>#N/A</v>
      </c>
      <c r="N1078" t="e">
        <f ca="1">IFERROR(计算区域!N1080,NA())</f>
        <v>#N/A</v>
      </c>
      <c r="O1078" t="e">
        <f ca="1">IFERROR(计算区域!O1080,NA())</f>
        <v>#N/A</v>
      </c>
      <c r="Q1078" t="e">
        <f ca="1">IFERROR(计算区域!R1080,NA())</f>
        <v>#N/A</v>
      </c>
      <c r="R1078" t="e">
        <f ca="1">IFERROR(计算区域!S1080,NA())</f>
        <v>#N/A</v>
      </c>
      <c r="S1078" t="e">
        <f ca="1">IFERROR(计算区域!T1080,NA())</f>
        <v>#N/A</v>
      </c>
      <c r="T1078" t="e">
        <f ca="1">IFERROR(计算区域!U1080,NA())</f>
        <v>#N/A</v>
      </c>
      <c r="V1078" t="e">
        <f ca="1">IFERROR(计算区域!X1080,NA())</f>
        <v>#N/A</v>
      </c>
      <c r="W1078" t="e">
        <f ca="1">IFERROR(计算区域!Y1080,NA())</f>
        <v>#N/A</v>
      </c>
      <c r="X1078" t="e">
        <f ca="1">IFERROR(计算区域!Z1080,NA())</f>
        <v>#N/A</v>
      </c>
      <c r="Y1078" t="e">
        <f ca="1">IFERROR(计算区域!AA1080,NA())</f>
        <v>#N/A</v>
      </c>
    </row>
    <row r="1079" spans="1:25" x14ac:dyDescent="0.2">
      <c r="A1079" s="28">
        <f>计算区域!E1081</f>
        <v>0</v>
      </c>
      <c r="B1079" t="e">
        <f ca="1">IFERROR(计算区域!AJ1081,NA())</f>
        <v>#N/A</v>
      </c>
      <c r="C1079" t="e">
        <f ca="1">IFERROR(计算区域!AK1081,NA())</f>
        <v>#N/A</v>
      </c>
      <c r="D1079" t="e">
        <f ca="1">IFERROR(计算区域!AL1081,NA())</f>
        <v>#N/A</v>
      </c>
      <c r="E1079" t="e">
        <f ca="1">IFERROR(计算区域!AM1081,NA())</f>
        <v>#N/A</v>
      </c>
      <c r="G1079" t="e">
        <f ca="1">IFERROR(计算区域!AD1081,NA())</f>
        <v>#N/A</v>
      </c>
      <c r="H1079" t="e">
        <f ca="1">IFERROR(计算区域!AE1081,NA())</f>
        <v>#N/A</v>
      </c>
      <c r="I1079" t="e">
        <f ca="1">IFERROR(计算区域!AF1081,NA())</f>
        <v>#N/A</v>
      </c>
      <c r="J1079" t="e">
        <f ca="1">IFERROR(计算区域!AG1081,NA())</f>
        <v>#N/A</v>
      </c>
      <c r="L1079" t="e">
        <f ca="1">IFERROR(计算区域!L1081,NA())</f>
        <v>#N/A</v>
      </c>
      <c r="M1079" t="e">
        <f ca="1">IFERROR(计算区域!M1081,NA())</f>
        <v>#N/A</v>
      </c>
      <c r="N1079" t="e">
        <f ca="1">IFERROR(计算区域!N1081,NA())</f>
        <v>#N/A</v>
      </c>
      <c r="O1079" t="e">
        <f ca="1">IFERROR(计算区域!O1081,NA())</f>
        <v>#N/A</v>
      </c>
      <c r="Q1079" t="e">
        <f ca="1">IFERROR(计算区域!R1081,NA())</f>
        <v>#N/A</v>
      </c>
      <c r="R1079" t="e">
        <f ca="1">IFERROR(计算区域!S1081,NA())</f>
        <v>#N/A</v>
      </c>
      <c r="S1079" t="e">
        <f ca="1">IFERROR(计算区域!T1081,NA())</f>
        <v>#N/A</v>
      </c>
      <c r="T1079" t="e">
        <f ca="1">IFERROR(计算区域!U1081,NA())</f>
        <v>#N/A</v>
      </c>
      <c r="V1079" t="e">
        <f ca="1">IFERROR(计算区域!X1081,NA())</f>
        <v>#N/A</v>
      </c>
      <c r="W1079" t="e">
        <f ca="1">IFERROR(计算区域!Y1081,NA())</f>
        <v>#N/A</v>
      </c>
      <c r="X1079" t="e">
        <f ca="1">IFERROR(计算区域!Z1081,NA())</f>
        <v>#N/A</v>
      </c>
      <c r="Y1079" t="e">
        <f ca="1">IFERROR(计算区域!AA1081,NA())</f>
        <v>#N/A</v>
      </c>
    </row>
    <row r="1080" spans="1:25" x14ac:dyDescent="0.2">
      <c r="A1080" s="28">
        <f>计算区域!E1082</f>
        <v>0</v>
      </c>
      <c r="B1080" t="e">
        <f ca="1">IFERROR(计算区域!AJ1082,NA())</f>
        <v>#N/A</v>
      </c>
      <c r="C1080" t="e">
        <f ca="1">IFERROR(计算区域!AK1082,NA())</f>
        <v>#N/A</v>
      </c>
      <c r="D1080" t="e">
        <f ca="1">IFERROR(计算区域!AL1082,NA())</f>
        <v>#N/A</v>
      </c>
      <c r="E1080" t="e">
        <f ca="1">IFERROR(计算区域!AM1082,NA())</f>
        <v>#N/A</v>
      </c>
      <c r="G1080" t="e">
        <f ca="1">IFERROR(计算区域!AD1082,NA())</f>
        <v>#N/A</v>
      </c>
      <c r="H1080" t="e">
        <f ca="1">IFERROR(计算区域!AE1082,NA())</f>
        <v>#N/A</v>
      </c>
      <c r="I1080" t="e">
        <f ca="1">IFERROR(计算区域!AF1082,NA())</f>
        <v>#N/A</v>
      </c>
      <c r="J1080" t="e">
        <f ca="1">IFERROR(计算区域!AG1082,NA())</f>
        <v>#N/A</v>
      </c>
      <c r="L1080" t="e">
        <f ca="1">IFERROR(计算区域!L1082,NA())</f>
        <v>#N/A</v>
      </c>
      <c r="M1080" t="e">
        <f ca="1">IFERROR(计算区域!M1082,NA())</f>
        <v>#N/A</v>
      </c>
      <c r="N1080" t="e">
        <f ca="1">IFERROR(计算区域!N1082,NA())</f>
        <v>#N/A</v>
      </c>
      <c r="O1080" t="e">
        <f ca="1">IFERROR(计算区域!O1082,NA())</f>
        <v>#N/A</v>
      </c>
      <c r="Q1080" t="e">
        <f ca="1">IFERROR(计算区域!R1082,NA())</f>
        <v>#N/A</v>
      </c>
      <c r="R1080" t="e">
        <f ca="1">IFERROR(计算区域!S1082,NA())</f>
        <v>#N/A</v>
      </c>
      <c r="S1080" t="e">
        <f ca="1">IFERROR(计算区域!T1082,NA())</f>
        <v>#N/A</v>
      </c>
      <c r="T1080" t="e">
        <f ca="1">IFERROR(计算区域!U1082,NA())</f>
        <v>#N/A</v>
      </c>
      <c r="V1080" t="e">
        <f ca="1">IFERROR(计算区域!X1082,NA())</f>
        <v>#N/A</v>
      </c>
      <c r="W1080" t="e">
        <f ca="1">IFERROR(计算区域!Y1082,NA())</f>
        <v>#N/A</v>
      </c>
      <c r="X1080" t="e">
        <f ca="1">IFERROR(计算区域!Z1082,NA())</f>
        <v>#N/A</v>
      </c>
      <c r="Y1080" t="e">
        <f ca="1">IFERROR(计算区域!AA1082,NA())</f>
        <v>#N/A</v>
      </c>
    </row>
    <row r="1081" spans="1:25" x14ac:dyDescent="0.2">
      <c r="A1081" s="28">
        <f>计算区域!E1083</f>
        <v>0</v>
      </c>
      <c r="B1081" t="e">
        <f ca="1">IFERROR(计算区域!AJ1083,NA())</f>
        <v>#N/A</v>
      </c>
      <c r="C1081" t="e">
        <f ca="1">IFERROR(计算区域!AK1083,NA())</f>
        <v>#N/A</v>
      </c>
      <c r="D1081" t="e">
        <f ca="1">IFERROR(计算区域!AL1083,NA())</f>
        <v>#N/A</v>
      </c>
      <c r="E1081" t="e">
        <f ca="1">IFERROR(计算区域!AM1083,NA())</f>
        <v>#N/A</v>
      </c>
      <c r="G1081" t="e">
        <f ca="1">IFERROR(计算区域!AD1083,NA())</f>
        <v>#N/A</v>
      </c>
      <c r="H1081" t="e">
        <f ca="1">IFERROR(计算区域!AE1083,NA())</f>
        <v>#N/A</v>
      </c>
      <c r="I1081" t="e">
        <f ca="1">IFERROR(计算区域!AF1083,NA())</f>
        <v>#N/A</v>
      </c>
      <c r="J1081" t="e">
        <f ca="1">IFERROR(计算区域!AG1083,NA())</f>
        <v>#N/A</v>
      </c>
      <c r="L1081" t="e">
        <f ca="1">IFERROR(计算区域!L1083,NA())</f>
        <v>#N/A</v>
      </c>
      <c r="M1081" t="e">
        <f ca="1">IFERROR(计算区域!M1083,NA())</f>
        <v>#N/A</v>
      </c>
      <c r="N1081" t="e">
        <f ca="1">IFERROR(计算区域!N1083,NA())</f>
        <v>#N/A</v>
      </c>
      <c r="O1081" t="e">
        <f ca="1">IFERROR(计算区域!O1083,NA())</f>
        <v>#N/A</v>
      </c>
      <c r="Q1081" t="e">
        <f ca="1">IFERROR(计算区域!R1083,NA())</f>
        <v>#N/A</v>
      </c>
      <c r="R1081" t="e">
        <f ca="1">IFERROR(计算区域!S1083,NA())</f>
        <v>#N/A</v>
      </c>
      <c r="S1081" t="e">
        <f ca="1">IFERROR(计算区域!T1083,NA())</f>
        <v>#N/A</v>
      </c>
      <c r="T1081" t="e">
        <f ca="1">IFERROR(计算区域!U1083,NA())</f>
        <v>#N/A</v>
      </c>
      <c r="V1081" t="e">
        <f ca="1">IFERROR(计算区域!X1083,NA())</f>
        <v>#N/A</v>
      </c>
      <c r="W1081" t="e">
        <f ca="1">IFERROR(计算区域!Y1083,NA())</f>
        <v>#N/A</v>
      </c>
      <c r="X1081" t="e">
        <f ca="1">IFERROR(计算区域!Z1083,NA())</f>
        <v>#N/A</v>
      </c>
      <c r="Y1081" t="e">
        <f ca="1">IFERROR(计算区域!AA1083,NA())</f>
        <v>#N/A</v>
      </c>
    </row>
    <row r="1082" spans="1:25" x14ac:dyDescent="0.2">
      <c r="A1082" s="28">
        <f>计算区域!E1084</f>
        <v>0</v>
      </c>
      <c r="B1082" t="e">
        <f ca="1">IFERROR(计算区域!AJ1084,NA())</f>
        <v>#N/A</v>
      </c>
      <c r="C1082" t="e">
        <f ca="1">IFERROR(计算区域!AK1084,NA())</f>
        <v>#N/A</v>
      </c>
      <c r="D1082" t="e">
        <f ca="1">IFERROR(计算区域!AL1084,NA())</f>
        <v>#N/A</v>
      </c>
      <c r="E1082" t="e">
        <f ca="1">IFERROR(计算区域!AM1084,NA())</f>
        <v>#N/A</v>
      </c>
      <c r="G1082" t="e">
        <f ca="1">IFERROR(计算区域!AD1084,NA())</f>
        <v>#N/A</v>
      </c>
      <c r="H1082" t="e">
        <f ca="1">IFERROR(计算区域!AE1084,NA())</f>
        <v>#N/A</v>
      </c>
      <c r="I1082" t="e">
        <f ca="1">IFERROR(计算区域!AF1084,NA())</f>
        <v>#N/A</v>
      </c>
      <c r="J1082" t="e">
        <f ca="1">IFERROR(计算区域!AG1084,NA())</f>
        <v>#N/A</v>
      </c>
      <c r="L1082" t="e">
        <f ca="1">IFERROR(计算区域!L1084,NA())</f>
        <v>#N/A</v>
      </c>
      <c r="M1082" t="e">
        <f ca="1">IFERROR(计算区域!M1084,NA())</f>
        <v>#N/A</v>
      </c>
      <c r="N1082" t="e">
        <f ca="1">IFERROR(计算区域!N1084,NA())</f>
        <v>#N/A</v>
      </c>
      <c r="O1082" t="e">
        <f ca="1">IFERROR(计算区域!O1084,NA())</f>
        <v>#N/A</v>
      </c>
      <c r="Q1082" t="e">
        <f ca="1">IFERROR(计算区域!R1084,NA())</f>
        <v>#N/A</v>
      </c>
      <c r="R1082" t="e">
        <f ca="1">IFERROR(计算区域!S1084,NA())</f>
        <v>#N/A</v>
      </c>
      <c r="S1082" t="e">
        <f ca="1">IFERROR(计算区域!T1084,NA())</f>
        <v>#N/A</v>
      </c>
      <c r="T1082" t="e">
        <f ca="1">IFERROR(计算区域!U1084,NA())</f>
        <v>#N/A</v>
      </c>
      <c r="V1082" t="e">
        <f ca="1">IFERROR(计算区域!X1084,NA())</f>
        <v>#N/A</v>
      </c>
      <c r="W1082" t="e">
        <f ca="1">IFERROR(计算区域!Y1084,NA())</f>
        <v>#N/A</v>
      </c>
      <c r="X1082" t="e">
        <f ca="1">IFERROR(计算区域!Z1084,NA())</f>
        <v>#N/A</v>
      </c>
      <c r="Y1082" t="e">
        <f ca="1">IFERROR(计算区域!AA1084,NA())</f>
        <v>#N/A</v>
      </c>
    </row>
    <row r="1083" spans="1:25" x14ac:dyDescent="0.2">
      <c r="A1083" s="28">
        <f>计算区域!E1085</f>
        <v>0</v>
      </c>
      <c r="B1083" t="e">
        <f ca="1">IFERROR(计算区域!AJ1085,NA())</f>
        <v>#N/A</v>
      </c>
      <c r="C1083" t="e">
        <f ca="1">IFERROR(计算区域!AK1085,NA())</f>
        <v>#N/A</v>
      </c>
      <c r="D1083" t="e">
        <f ca="1">IFERROR(计算区域!AL1085,NA())</f>
        <v>#N/A</v>
      </c>
      <c r="E1083" t="e">
        <f ca="1">IFERROR(计算区域!AM1085,NA())</f>
        <v>#N/A</v>
      </c>
      <c r="G1083" t="e">
        <f ca="1">IFERROR(计算区域!AD1085,NA())</f>
        <v>#N/A</v>
      </c>
      <c r="H1083" t="e">
        <f ca="1">IFERROR(计算区域!AE1085,NA())</f>
        <v>#N/A</v>
      </c>
      <c r="I1083" t="e">
        <f ca="1">IFERROR(计算区域!AF1085,NA())</f>
        <v>#N/A</v>
      </c>
      <c r="J1083" t="e">
        <f ca="1">IFERROR(计算区域!AG1085,NA())</f>
        <v>#N/A</v>
      </c>
      <c r="L1083" t="e">
        <f ca="1">IFERROR(计算区域!L1085,NA())</f>
        <v>#N/A</v>
      </c>
      <c r="M1083" t="e">
        <f ca="1">IFERROR(计算区域!M1085,NA())</f>
        <v>#N/A</v>
      </c>
      <c r="N1083" t="e">
        <f ca="1">IFERROR(计算区域!N1085,NA())</f>
        <v>#N/A</v>
      </c>
      <c r="O1083" t="e">
        <f ca="1">IFERROR(计算区域!O1085,NA())</f>
        <v>#N/A</v>
      </c>
      <c r="Q1083" t="e">
        <f ca="1">IFERROR(计算区域!R1085,NA())</f>
        <v>#N/A</v>
      </c>
      <c r="R1083" t="e">
        <f ca="1">IFERROR(计算区域!S1085,NA())</f>
        <v>#N/A</v>
      </c>
      <c r="S1083" t="e">
        <f ca="1">IFERROR(计算区域!T1085,NA())</f>
        <v>#N/A</v>
      </c>
      <c r="T1083" t="e">
        <f ca="1">IFERROR(计算区域!U1085,NA())</f>
        <v>#N/A</v>
      </c>
      <c r="V1083" t="e">
        <f ca="1">IFERROR(计算区域!X1085,NA())</f>
        <v>#N/A</v>
      </c>
      <c r="W1083" t="e">
        <f ca="1">IFERROR(计算区域!Y1085,NA())</f>
        <v>#N/A</v>
      </c>
      <c r="X1083" t="e">
        <f ca="1">IFERROR(计算区域!Z1085,NA())</f>
        <v>#N/A</v>
      </c>
      <c r="Y1083" t="e">
        <f ca="1">IFERROR(计算区域!AA1085,NA())</f>
        <v>#N/A</v>
      </c>
    </row>
    <row r="1084" spans="1:25" x14ac:dyDescent="0.2">
      <c r="A1084" s="28">
        <f>计算区域!E1086</f>
        <v>0</v>
      </c>
      <c r="B1084" t="e">
        <f ca="1">IFERROR(计算区域!AJ1086,NA())</f>
        <v>#N/A</v>
      </c>
      <c r="C1084" t="e">
        <f ca="1">IFERROR(计算区域!AK1086,NA())</f>
        <v>#N/A</v>
      </c>
      <c r="D1084" t="e">
        <f ca="1">IFERROR(计算区域!AL1086,NA())</f>
        <v>#N/A</v>
      </c>
      <c r="E1084" t="e">
        <f ca="1">IFERROR(计算区域!AM1086,NA())</f>
        <v>#N/A</v>
      </c>
      <c r="G1084" t="e">
        <f ca="1">IFERROR(计算区域!AD1086,NA())</f>
        <v>#N/A</v>
      </c>
      <c r="H1084" t="e">
        <f ca="1">IFERROR(计算区域!AE1086,NA())</f>
        <v>#N/A</v>
      </c>
      <c r="I1084" t="e">
        <f ca="1">IFERROR(计算区域!AF1086,NA())</f>
        <v>#N/A</v>
      </c>
      <c r="J1084" t="e">
        <f ca="1">IFERROR(计算区域!AG1086,NA())</f>
        <v>#N/A</v>
      </c>
      <c r="L1084" t="e">
        <f ca="1">IFERROR(计算区域!L1086,NA())</f>
        <v>#N/A</v>
      </c>
      <c r="M1084" t="e">
        <f ca="1">IFERROR(计算区域!M1086,NA())</f>
        <v>#N/A</v>
      </c>
      <c r="N1084" t="e">
        <f ca="1">IFERROR(计算区域!N1086,NA())</f>
        <v>#N/A</v>
      </c>
      <c r="O1084" t="e">
        <f ca="1">IFERROR(计算区域!O1086,NA())</f>
        <v>#N/A</v>
      </c>
      <c r="Q1084" t="e">
        <f ca="1">IFERROR(计算区域!R1086,NA())</f>
        <v>#N/A</v>
      </c>
      <c r="R1084" t="e">
        <f ca="1">IFERROR(计算区域!S1086,NA())</f>
        <v>#N/A</v>
      </c>
      <c r="S1084" t="e">
        <f ca="1">IFERROR(计算区域!T1086,NA())</f>
        <v>#N/A</v>
      </c>
      <c r="T1084" t="e">
        <f ca="1">IFERROR(计算区域!U1086,NA())</f>
        <v>#N/A</v>
      </c>
      <c r="V1084" t="e">
        <f ca="1">IFERROR(计算区域!X1086,NA())</f>
        <v>#N/A</v>
      </c>
      <c r="W1084" t="e">
        <f ca="1">IFERROR(计算区域!Y1086,NA())</f>
        <v>#N/A</v>
      </c>
      <c r="X1084" t="e">
        <f ca="1">IFERROR(计算区域!Z1086,NA())</f>
        <v>#N/A</v>
      </c>
      <c r="Y1084" t="e">
        <f ca="1">IFERROR(计算区域!AA1086,NA())</f>
        <v>#N/A</v>
      </c>
    </row>
    <row r="1085" spans="1:25" x14ac:dyDescent="0.2">
      <c r="A1085" s="28">
        <f>计算区域!E1087</f>
        <v>0</v>
      </c>
      <c r="B1085" t="e">
        <f ca="1">IFERROR(计算区域!AJ1087,NA())</f>
        <v>#N/A</v>
      </c>
      <c r="C1085" t="e">
        <f ca="1">IFERROR(计算区域!AK1087,NA())</f>
        <v>#N/A</v>
      </c>
      <c r="D1085" t="e">
        <f ca="1">IFERROR(计算区域!AL1087,NA())</f>
        <v>#N/A</v>
      </c>
      <c r="E1085" t="e">
        <f ca="1">IFERROR(计算区域!AM1087,NA())</f>
        <v>#N/A</v>
      </c>
      <c r="G1085" t="e">
        <f ca="1">IFERROR(计算区域!AD1087,NA())</f>
        <v>#N/A</v>
      </c>
      <c r="H1085" t="e">
        <f ca="1">IFERROR(计算区域!AE1087,NA())</f>
        <v>#N/A</v>
      </c>
      <c r="I1085" t="e">
        <f ca="1">IFERROR(计算区域!AF1087,NA())</f>
        <v>#N/A</v>
      </c>
      <c r="J1085" t="e">
        <f ca="1">IFERROR(计算区域!AG1087,NA())</f>
        <v>#N/A</v>
      </c>
      <c r="L1085" t="e">
        <f ca="1">IFERROR(计算区域!L1087,NA())</f>
        <v>#N/A</v>
      </c>
      <c r="M1085" t="e">
        <f ca="1">IFERROR(计算区域!M1087,NA())</f>
        <v>#N/A</v>
      </c>
      <c r="N1085" t="e">
        <f ca="1">IFERROR(计算区域!N1087,NA())</f>
        <v>#N/A</v>
      </c>
      <c r="O1085" t="e">
        <f ca="1">IFERROR(计算区域!O1087,NA())</f>
        <v>#N/A</v>
      </c>
      <c r="Q1085" t="e">
        <f ca="1">IFERROR(计算区域!R1087,NA())</f>
        <v>#N/A</v>
      </c>
      <c r="R1085" t="e">
        <f ca="1">IFERROR(计算区域!S1087,NA())</f>
        <v>#N/A</v>
      </c>
      <c r="S1085" t="e">
        <f ca="1">IFERROR(计算区域!T1087,NA())</f>
        <v>#N/A</v>
      </c>
      <c r="T1085" t="e">
        <f ca="1">IFERROR(计算区域!U1087,NA())</f>
        <v>#N/A</v>
      </c>
      <c r="V1085" t="e">
        <f ca="1">IFERROR(计算区域!X1087,NA())</f>
        <v>#N/A</v>
      </c>
      <c r="W1085" t="e">
        <f ca="1">IFERROR(计算区域!Y1087,NA())</f>
        <v>#N/A</v>
      </c>
      <c r="X1085" t="e">
        <f ca="1">IFERROR(计算区域!Z1087,NA())</f>
        <v>#N/A</v>
      </c>
      <c r="Y1085" t="e">
        <f ca="1">IFERROR(计算区域!AA1087,NA())</f>
        <v>#N/A</v>
      </c>
    </row>
    <row r="1086" spans="1:25" x14ac:dyDescent="0.2">
      <c r="A1086" s="28">
        <f>计算区域!E1088</f>
        <v>0</v>
      </c>
      <c r="B1086" t="e">
        <f ca="1">IFERROR(计算区域!AJ1088,NA())</f>
        <v>#N/A</v>
      </c>
      <c r="C1086" t="e">
        <f ca="1">IFERROR(计算区域!AK1088,NA())</f>
        <v>#N/A</v>
      </c>
      <c r="D1086" t="e">
        <f ca="1">IFERROR(计算区域!AL1088,NA())</f>
        <v>#N/A</v>
      </c>
      <c r="E1086" t="e">
        <f ca="1">IFERROR(计算区域!AM1088,NA())</f>
        <v>#N/A</v>
      </c>
      <c r="G1086" t="e">
        <f ca="1">IFERROR(计算区域!AD1088,NA())</f>
        <v>#N/A</v>
      </c>
      <c r="H1086" t="e">
        <f ca="1">IFERROR(计算区域!AE1088,NA())</f>
        <v>#N/A</v>
      </c>
      <c r="I1086" t="e">
        <f ca="1">IFERROR(计算区域!AF1088,NA())</f>
        <v>#N/A</v>
      </c>
      <c r="J1086" t="e">
        <f ca="1">IFERROR(计算区域!AG1088,NA())</f>
        <v>#N/A</v>
      </c>
      <c r="L1086" t="e">
        <f ca="1">IFERROR(计算区域!L1088,NA())</f>
        <v>#N/A</v>
      </c>
      <c r="M1086" t="e">
        <f ca="1">IFERROR(计算区域!M1088,NA())</f>
        <v>#N/A</v>
      </c>
      <c r="N1086" t="e">
        <f ca="1">IFERROR(计算区域!N1088,NA())</f>
        <v>#N/A</v>
      </c>
      <c r="O1086" t="e">
        <f ca="1">IFERROR(计算区域!O1088,NA())</f>
        <v>#N/A</v>
      </c>
      <c r="Q1086" t="e">
        <f ca="1">IFERROR(计算区域!R1088,NA())</f>
        <v>#N/A</v>
      </c>
      <c r="R1086" t="e">
        <f ca="1">IFERROR(计算区域!S1088,NA())</f>
        <v>#N/A</v>
      </c>
      <c r="S1086" t="e">
        <f ca="1">IFERROR(计算区域!T1088,NA())</f>
        <v>#N/A</v>
      </c>
      <c r="T1086" t="e">
        <f ca="1">IFERROR(计算区域!U1088,NA())</f>
        <v>#N/A</v>
      </c>
      <c r="V1086" t="e">
        <f ca="1">IFERROR(计算区域!X1088,NA())</f>
        <v>#N/A</v>
      </c>
      <c r="W1086" t="e">
        <f ca="1">IFERROR(计算区域!Y1088,NA())</f>
        <v>#N/A</v>
      </c>
      <c r="X1086" t="e">
        <f ca="1">IFERROR(计算区域!Z1088,NA())</f>
        <v>#N/A</v>
      </c>
      <c r="Y1086" t="e">
        <f ca="1">IFERROR(计算区域!AA1088,NA())</f>
        <v>#N/A</v>
      </c>
    </row>
    <row r="1087" spans="1:25" x14ac:dyDescent="0.2">
      <c r="A1087" s="28">
        <f>计算区域!E1089</f>
        <v>0</v>
      </c>
      <c r="B1087" t="e">
        <f ca="1">IFERROR(计算区域!AJ1089,NA())</f>
        <v>#N/A</v>
      </c>
      <c r="C1087" t="e">
        <f ca="1">IFERROR(计算区域!AK1089,NA())</f>
        <v>#N/A</v>
      </c>
      <c r="D1087" t="e">
        <f ca="1">IFERROR(计算区域!AL1089,NA())</f>
        <v>#N/A</v>
      </c>
      <c r="E1087" t="e">
        <f ca="1">IFERROR(计算区域!AM1089,NA())</f>
        <v>#N/A</v>
      </c>
      <c r="G1087" t="e">
        <f ca="1">IFERROR(计算区域!AD1089,NA())</f>
        <v>#N/A</v>
      </c>
      <c r="H1087" t="e">
        <f ca="1">IFERROR(计算区域!AE1089,NA())</f>
        <v>#N/A</v>
      </c>
      <c r="I1087" t="e">
        <f ca="1">IFERROR(计算区域!AF1089,NA())</f>
        <v>#N/A</v>
      </c>
      <c r="J1087" t="e">
        <f ca="1">IFERROR(计算区域!AG1089,NA())</f>
        <v>#N/A</v>
      </c>
      <c r="L1087" t="e">
        <f ca="1">IFERROR(计算区域!L1089,NA())</f>
        <v>#N/A</v>
      </c>
      <c r="M1087" t="e">
        <f ca="1">IFERROR(计算区域!M1089,NA())</f>
        <v>#N/A</v>
      </c>
      <c r="N1087" t="e">
        <f ca="1">IFERROR(计算区域!N1089,NA())</f>
        <v>#N/A</v>
      </c>
      <c r="O1087" t="e">
        <f ca="1">IFERROR(计算区域!O1089,NA())</f>
        <v>#N/A</v>
      </c>
      <c r="Q1087" t="e">
        <f ca="1">IFERROR(计算区域!R1089,NA())</f>
        <v>#N/A</v>
      </c>
      <c r="R1087" t="e">
        <f ca="1">IFERROR(计算区域!S1089,NA())</f>
        <v>#N/A</v>
      </c>
      <c r="S1087" t="e">
        <f ca="1">IFERROR(计算区域!T1089,NA())</f>
        <v>#N/A</v>
      </c>
      <c r="T1087" t="e">
        <f ca="1">IFERROR(计算区域!U1089,NA())</f>
        <v>#N/A</v>
      </c>
      <c r="V1087" t="e">
        <f ca="1">IFERROR(计算区域!X1089,NA())</f>
        <v>#N/A</v>
      </c>
      <c r="W1087" t="e">
        <f ca="1">IFERROR(计算区域!Y1089,NA())</f>
        <v>#N/A</v>
      </c>
      <c r="X1087" t="e">
        <f ca="1">IFERROR(计算区域!Z1089,NA())</f>
        <v>#N/A</v>
      </c>
      <c r="Y1087" t="e">
        <f ca="1">IFERROR(计算区域!AA1089,NA())</f>
        <v>#N/A</v>
      </c>
    </row>
    <row r="1088" spans="1:25" x14ac:dyDescent="0.2">
      <c r="A1088" s="28">
        <f>计算区域!E1090</f>
        <v>0</v>
      </c>
      <c r="B1088" t="e">
        <f ca="1">IFERROR(计算区域!AJ1090,NA())</f>
        <v>#N/A</v>
      </c>
      <c r="C1088" t="e">
        <f ca="1">IFERROR(计算区域!AK1090,NA())</f>
        <v>#N/A</v>
      </c>
      <c r="D1088" t="e">
        <f ca="1">IFERROR(计算区域!AL1090,NA())</f>
        <v>#N/A</v>
      </c>
      <c r="E1088" t="e">
        <f ca="1">IFERROR(计算区域!AM1090,NA())</f>
        <v>#N/A</v>
      </c>
      <c r="G1088" t="e">
        <f ca="1">IFERROR(计算区域!AD1090,NA())</f>
        <v>#N/A</v>
      </c>
      <c r="H1088" t="e">
        <f ca="1">IFERROR(计算区域!AE1090,NA())</f>
        <v>#N/A</v>
      </c>
      <c r="I1088" t="e">
        <f ca="1">IFERROR(计算区域!AF1090,NA())</f>
        <v>#N/A</v>
      </c>
      <c r="J1088" t="e">
        <f ca="1">IFERROR(计算区域!AG1090,NA())</f>
        <v>#N/A</v>
      </c>
      <c r="L1088" t="e">
        <f ca="1">IFERROR(计算区域!L1090,NA())</f>
        <v>#N/A</v>
      </c>
      <c r="M1088" t="e">
        <f ca="1">IFERROR(计算区域!M1090,NA())</f>
        <v>#N/A</v>
      </c>
      <c r="N1088" t="e">
        <f ca="1">IFERROR(计算区域!N1090,NA())</f>
        <v>#N/A</v>
      </c>
      <c r="O1088" t="e">
        <f ca="1">IFERROR(计算区域!O1090,NA())</f>
        <v>#N/A</v>
      </c>
      <c r="Q1088" t="e">
        <f ca="1">IFERROR(计算区域!R1090,NA())</f>
        <v>#N/A</v>
      </c>
      <c r="R1088" t="e">
        <f ca="1">IFERROR(计算区域!S1090,NA())</f>
        <v>#N/A</v>
      </c>
      <c r="S1088" t="e">
        <f ca="1">IFERROR(计算区域!T1090,NA())</f>
        <v>#N/A</v>
      </c>
      <c r="T1088" t="e">
        <f ca="1">IFERROR(计算区域!U1090,NA())</f>
        <v>#N/A</v>
      </c>
      <c r="V1088" t="e">
        <f ca="1">IFERROR(计算区域!X1090,NA())</f>
        <v>#N/A</v>
      </c>
      <c r="W1088" t="e">
        <f ca="1">IFERROR(计算区域!Y1090,NA())</f>
        <v>#N/A</v>
      </c>
      <c r="X1088" t="e">
        <f ca="1">IFERROR(计算区域!Z1090,NA())</f>
        <v>#N/A</v>
      </c>
      <c r="Y1088" t="e">
        <f ca="1">IFERROR(计算区域!AA1090,NA())</f>
        <v>#N/A</v>
      </c>
    </row>
    <row r="1089" spans="1:25" x14ac:dyDescent="0.2">
      <c r="A1089" s="28">
        <f>计算区域!E1091</f>
        <v>0</v>
      </c>
      <c r="B1089" t="e">
        <f ca="1">IFERROR(计算区域!AJ1091,NA())</f>
        <v>#N/A</v>
      </c>
      <c r="C1089" t="e">
        <f ca="1">IFERROR(计算区域!AK1091,NA())</f>
        <v>#N/A</v>
      </c>
      <c r="D1089" t="e">
        <f ca="1">IFERROR(计算区域!AL1091,NA())</f>
        <v>#N/A</v>
      </c>
      <c r="E1089" t="e">
        <f ca="1">IFERROR(计算区域!AM1091,NA())</f>
        <v>#N/A</v>
      </c>
      <c r="G1089" t="e">
        <f ca="1">IFERROR(计算区域!AD1091,NA())</f>
        <v>#N/A</v>
      </c>
      <c r="H1089" t="e">
        <f ca="1">IFERROR(计算区域!AE1091,NA())</f>
        <v>#N/A</v>
      </c>
      <c r="I1089" t="e">
        <f ca="1">IFERROR(计算区域!AF1091,NA())</f>
        <v>#N/A</v>
      </c>
      <c r="J1089" t="e">
        <f ca="1">IFERROR(计算区域!AG1091,NA())</f>
        <v>#N/A</v>
      </c>
      <c r="L1089" t="e">
        <f ca="1">IFERROR(计算区域!L1091,NA())</f>
        <v>#N/A</v>
      </c>
      <c r="M1089" t="e">
        <f ca="1">IFERROR(计算区域!M1091,NA())</f>
        <v>#N/A</v>
      </c>
      <c r="N1089" t="e">
        <f ca="1">IFERROR(计算区域!N1091,NA())</f>
        <v>#N/A</v>
      </c>
      <c r="O1089" t="e">
        <f ca="1">IFERROR(计算区域!O1091,NA())</f>
        <v>#N/A</v>
      </c>
      <c r="Q1089" t="e">
        <f ca="1">IFERROR(计算区域!R1091,NA())</f>
        <v>#N/A</v>
      </c>
      <c r="R1089" t="e">
        <f ca="1">IFERROR(计算区域!S1091,NA())</f>
        <v>#N/A</v>
      </c>
      <c r="S1089" t="e">
        <f ca="1">IFERROR(计算区域!T1091,NA())</f>
        <v>#N/A</v>
      </c>
      <c r="T1089" t="e">
        <f ca="1">IFERROR(计算区域!U1091,NA())</f>
        <v>#N/A</v>
      </c>
      <c r="V1089" t="e">
        <f ca="1">IFERROR(计算区域!X1091,NA())</f>
        <v>#N/A</v>
      </c>
      <c r="W1089" t="e">
        <f ca="1">IFERROR(计算区域!Y1091,NA())</f>
        <v>#N/A</v>
      </c>
      <c r="X1089" t="e">
        <f ca="1">IFERROR(计算区域!Z1091,NA())</f>
        <v>#N/A</v>
      </c>
      <c r="Y1089" t="e">
        <f ca="1">IFERROR(计算区域!AA1091,NA())</f>
        <v>#N/A</v>
      </c>
    </row>
    <row r="1090" spans="1:25" x14ac:dyDescent="0.2">
      <c r="A1090" s="28">
        <f>计算区域!E1092</f>
        <v>0</v>
      </c>
      <c r="B1090" t="e">
        <f ca="1">IFERROR(计算区域!AJ1092,NA())</f>
        <v>#N/A</v>
      </c>
      <c r="C1090" t="e">
        <f ca="1">IFERROR(计算区域!AK1092,NA())</f>
        <v>#N/A</v>
      </c>
      <c r="D1090" t="e">
        <f ca="1">IFERROR(计算区域!AL1092,NA())</f>
        <v>#N/A</v>
      </c>
      <c r="E1090" t="e">
        <f ca="1">IFERROR(计算区域!AM1092,NA())</f>
        <v>#N/A</v>
      </c>
      <c r="G1090" t="e">
        <f ca="1">IFERROR(计算区域!AD1092,NA())</f>
        <v>#N/A</v>
      </c>
      <c r="H1090" t="e">
        <f ca="1">IFERROR(计算区域!AE1092,NA())</f>
        <v>#N/A</v>
      </c>
      <c r="I1090" t="e">
        <f ca="1">IFERROR(计算区域!AF1092,NA())</f>
        <v>#N/A</v>
      </c>
      <c r="J1090" t="e">
        <f ca="1">IFERROR(计算区域!AG1092,NA())</f>
        <v>#N/A</v>
      </c>
      <c r="L1090" t="e">
        <f ca="1">IFERROR(计算区域!L1092,NA())</f>
        <v>#N/A</v>
      </c>
      <c r="M1090" t="e">
        <f ca="1">IFERROR(计算区域!M1092,NA())</f>
        <v>#N/A</v>
      </c>
      <c r="N1090" t="e">
        <f ca="1">IFERROR(计算区域!N1092,NA())</f>
        <v>#N/A</v>
      </c>
      <c r="O1090" t="e">
        <f ca="1">IFERROR(计算区域!O1092,NA())</f>
        <v>#N/A</v>
      </c>
      <c r="Q1090" t="e">
        <f ca="1">IFERROR(计算区域!R1092,NA())</f>
        <v>#N/A</v>
      </c>
      <c r="R1090" t="e">
        <f ca="1">IFERROR(计算区域!S1092,NA())</f>
        <v>#N/A</v>
      </c>
      <c r="S1090" t="e">
        <f ca="1">IFERROR(计算区域!T1092,NA())</f>
        <v>#N/A</v>
      </c>
      <c r="T1090" t="e">
        <f ca="1">IFERROR(计算区域!U1092,NA())</f>
        <v>#N/A</v>
      </c>
      <c r="V1090" t="e">
        <f ca="1">IFERROR(计算区域!X1092,NA())</f>
        <v>#N/A</v>
      </c>
      <c r="W1090" t="e">
        <f ca="1">IFERROR(计算区域!Y1092,NA())</f>
        <v>#N/A</v>
      </c>
      <c r="X1090" t="e">
        <f ca="1">IFERROR(计算区域!Z1092,NA())</f>
        <v>#N/A</v>
      </c>
      <c r="Y1090" t="e">
        <f ca="1">IFERROR(计算区域!AA1092,NA())</f>
        <v>#N/A</v>
      </c>
    </row>
    <row r="1091" spans="1:25" x14ac:dyDescent="0.2">
      <c r="A1091" s="28">
        <f>计算区域!E1093</f>
        <v>0</v>
      </c>
      <c r="B1091" t="e">
        <f ca="1">IFERROR(计算区域!AJ1093,NA())</f>
        <v>#N/A</v>
      </c>
      <c r="C1091" t="e">
        <f ca="1">IFERROR(计算区域!AK1093,NA())</f>
        <v>#N/A</v>
      </c>
      <c r="D1091" t="e">
        <f ca="1">IFERROR(计算区域!AL1093,NA())</f>
        <v>#N/A</v>
      </c>
      <c r="E1091" t="e">
        <f ca="1">IFERROR(计算区域!AM1093,NA())</f>
        <v>#N/A</v>
      </c>
      <c r="G1091" t="e">
        <f ca="1">IFERROR(计算区域!AD1093,NA())</f>
        <v>#N/A</v>
      </c>
      <c r="H1091" t="e">
        <f ca="1">IFERROR(计算区域!AE1093,NA())</f>
        <v>#N/A</v>
      </c>
      <c r="I1091" t="e">
        <f ca="1">IFERROR(计算区域!AF1093,NA())</f>
        <v>#N/A</v>
      </c>
      <c r="J1091" t="e">
        <f ca="1">IFERROR(计算区域!AG1093,NA())</f>
        <v>#N/A</v>
      </c>
      <c r="L1091" t="e">
        <f ca="1">IFERROR(计算区域!L1093,NA())</f>
        <v>#N/A</v>
      </c>
      <c r="M1091" t="e">
        <f ca="1">IFERROR(计算区域!M1093,NA())</f>
        <v>#N/A</v>
      </c>
      <c r="N1091" t="e">
        <f ca="1">IFERROR(计算区域!N1093,NA())</f>
        <v>#N/A</v>
      </c>
      <c r="O1091" t="e">
        <f ca="1">IFERROR(计算区域!O1093,NA())</f>
        <v>#N/A</v>
      </c>
      <c r="Q1091" t="e">
        <f ca="1">IFERROR(计算区域!R1093,NA())</f>
        <v>#N/A</v>
      </c>
      <c r="R1091" t="e">
        <f ca="1">IFERROR(计算区域!S1093,NA())</f>
        <v>#N/A</v>
      </c>
      <c r="S1091" t="e">
        <f ca="1">IFERROR(计算区域!T1093,NA())</f>
        <v>#N/A</v>
      </c>
      <c r="T1091" t="e">
        <f ca="1">IFERROR(计算区域!U1093,NA())</f>
        <v>#N/A</v>
      </c>
      <c r="V1091" t="e">
        <f ca="1">IFERROR(计算区域!X1093,NA())</f>
        <v>#N/A</v>
      </c>
      <c r="W1091" t="e">
        <f ca="1">IFERROR(计算区域!Y1093,NA())</f>
        <v>#N/A</v>
      </c>
      <c r="X1091" t="e">
        <f ca="1">IFERROR(计算区域!Z1093,NA())</f>
        <v>#N/A</v>
      </c>
      <c r="Y1091" t="e">
        <f ca="1">IFERROR(计算区域!AA1093,NA())</f>
        <v>#N/A</v>
      </c>
    </row>
    <row r="1092" spans="1:25" x14ac:dyDescent="0.2">
      <c r="A1092" s="28">
        <f>计算区域!E1094</f>
        <v>0</v>
      </c>
      <c r="B1092" t="e">
        <f ca="1">IFERROR(计算区域!AJ1094,NA())</f>
        <v>#N/A</v>
      </c>
      <c r="C1092" t="e">
        <f ca="1">IFERROR(计算区域!AK1094,NA())</f>
        <v>#N/A</v>
      </c>
      <c r="D1092" t="e">
        <f ca="1">IFERROR(计算区域!AL1094,NA())</f>
        <v>#N/A</v>
      </c>
      <c r="E1092" t="e">
        <f ca="1">IFERROR(计算区域!AM1094,NA())</f>
        <v>#N/A</v>
      </c>
      <c r="G1092" t="e">
        <f ca="1">IFERROR(计算区域!AD1094,NA())</f>
        <v>#N/A</v>
      </c>
      <c r="H1092" t="e">
        <f ca="1">IFERROR(计算区域!AE1094,NA())</f>
        <v>#N/A</v>
      </c>
      <c r="I1092" t="e">
        <f ca="1">IFERROR(计算区域!AF1094,NA())</f>
        <v>#N/A</v>
      </c>
      <c r="J1092" t="e">
        <f ca="1">IFERROR(计算区域!AG1094,NA())</f>
        <v>#N/A</v>
      </c>
      <c r="L1092" t="e">
        <f ca="1">IFERROR(计算区域!L1094,NA())</f>
        <v>#N/A</v>
      </c>
      <c r="M1092" t="e">
        <f ca="1">IFERROR(计算区域!M1094,NA())</f>
        <v>#N/A</v>
      </c>
      <c r="N1092" t="e">
        <f ca="1">IFERROR(计算区域!N1094,NA())</f>
        <v>#N/A</v>
      </c>
      <c r="O1092" t="e">
        <f ca="1">IFERROR(计算区域!O1094,NA())</f>
        <v>#N/A</v>
      </c>
      <c r="Q1092" t="e">
        <f ca="1">IFERROR(计算区域!R1094,NA())</f>
        <v>#N/A</v>
      </c>
      <c r="R1092" t="e">
        <f ca="1">IFERROR(计算区域!S1094,NA())</f>
        <v>#N/A</v>
      </c>
      <c r="S1092" t="e">
        <f ca="1">IFERROR(计算区域!T1094,NA())</f>
        <v>#N/A</v>
      </c>
      <c r="T1092" t="e">
        <f ca="1">IFERROR(计算区域!U1094,NA())</f>
        <v>#N/A</v>
      </c>
      <c r="V1092" t="e">
        <f ca="1">IFERROR(计算区域!X1094,NA())</f>
        <v>#N/A</v>
      </c>
      <c r="W1092" t="e">
        <f ca="1">IFERROR(计算区域!Y1094,NA())</f>
        <v>#N/A</v>
      </c>
      <c r="X1092" t="e">
        <f ca="1">IFERROR(计算区域!Z1094,NA())</f>
        <v>#N/A</v>
      </c>
      <c r="Y1092" t="e">
        <f ca="1">IFERROR(计算区域!AA1094,NA())</f>
        <v>#N/A</v>
      </c>
    </row>
    <row r="1093" spans="1:25" x14ac:dyDescent="0.2">
      <c r="A1093" s="28">
        <f>计算区域!E1095</f>
        <v>0</v>
      </c>
      <c r="B1093" t="e">
        <f ca="1">IFERROR(计算区域!AJ1095,NA())</f>
        <v>#N/A</v>
      </c>
      <c r="C1093" t="e">
        <f ca="1">IFERROR(计算区域!AK1095,NA())</f>
        <v>#N/A</v>
      </c>
      <c r="D1093" t="e">
        <f ca="1">IFERROR(计算区域!AL1095,NA())</f>
        <v>#N/A</v>
      </c>
      <c r="E1093" t="e">
        <f ca="1">IFERROR(计算区域!AM1095,NA())</f>
        <v>#N/A</v>
      </c>
      <c r="G1093" t="e">
        <f ca="1">IFERROR(计算区域!AD1095,NA())</f>
        <v>#N/A</v>
      </c>
      <c r="H1093" t="e">
        <f ca="1">IFERROR(计算区域!AE1095,NA())</f>
        <v>#N/A</v>
      </c>
      <c r="I1093" t="e">
        <f ca="1">IFERROR(计算区域!AF1095,NA())</f>
        <v>#N/A</v>
      </c>
      <c r="J1093" t="e">
        <f ca="1">IFERROR(计算区域!AG1095,NA())</f>
        <v>#N/A</v>
      </c>
      <c r="L1093" t="e">
        <f ca="1">IFERROR(计算区域!L1095,NA())</f>
        <v>#N/A</v>
      </c>
      <c r="M1093" t="e">
        <f ca="1">IFERROR(计算区域!M1095,NA())</f>
        <v>#N/A</v>
      </c>
      <c r="N1093" t="e">
        <f ca="1">IFERROR(计算区域!N1095,NA())</f>
        <v>#N/A</v>
      </c>
      <c r="O1093" t="e">
        <f ca="1">IFERROR(计算区域!O1095,NA())</f>
        <v>#N/A</v>
      </c>
      <c r="Q1093" t="e">
        <f ca="1">IFERROR(计算区域!R1095,NA())</f>
        <v>#N/A</v>
      </c>
      <c r="R1093" t="e">
        <f ca="1">IFERROR(计算区域!S1095,NA())</f>
        <v>#N/A</v>
      </c>
      <c r="S1093" t="e">
        <f ca="1">IFERROR(计算区域!T1095,NA())</f>
        <v>#N/A</v>
      </c>
      <c r="T1093" t="e">
        <f ca="1">IFERROR(计算区域!U1095,NA())</f>
        <v>#N/A</v>
      </c>
      <c r="V1093" t="e">
        <f ca="1">IFERROR(计算区域!X1095,NA())</f>
        <v>#N/A</v>
      </c>
      <c r="W1093" t="e">
        <f ca="1">IFERROR(计算区域!Y1095,NA())</f>
        <v>#N/A</v>
      </c>
      <c r="X1093" t="e">
        <f ca="1">IFERROR(计算区域!Z1095,NA())</f>
        <v>#N/A</v>
      </c>
      <c r="Y1093" t="e">
        <f ca="1">IFERROR(计算区域!AA1095,NA())</f>
        <v>#N/A</v>
      </c>
    </row>
    <row r="1094" spans="1:25" x14ac:dyDescent="0.2">
      <c r="A1094" s="28">
        <f>计算区域!E1096</f>
        <v>0</v>
      </c>
      <c r="B1094" t="e">
        <f ca="1">IFERROR(计算区域!AJ1096,NA())</f>
        <v>#N/A</v>
      </c>
      <c r="C1094" t="e">
        <f ca="1">IFERROR(计算区域!AK1096,NA())</f>
        <v>#N/A</v>
      </c>
      <c r="D1094" t="e">
        <f ca="1">IFERROR(计算区域!AL1096,NA())</f>
        <v>#N/A</v>
      </c>
      <c r="E1094" t="e">
        <f ca="1">IFERROR(计算区域!AM1096,NA())</f>
        <v>#N/A</v>
      </c>
      <c r="G1094" t="e">
        <f ca="1">IFERROR(计算区域!AD1096,NA())</f>
        <v>#N/A</v>
      </c>
      <c r="H1094" t="e">
        <f ca="1">IFERROR(计算区域!AE1096,NA())</f>
        <v>#N/A</v>
      </c>
      <c r="I1094" t="e">
        <f ca="1">IFERROR(计算区域!AF1096,NA())</f>
        <v>#N/A</v>
      </c>
      <c r="J1094" t="e">
        <f ca="1">IFERROR(计算区域!AG1096,NA())</f>
        <v>#N/A</v>
      </c>
      <c r="L1094" t="e">
        <f ca="1">IFERROR(计算区域!L1096,NA())</f>
        <v>#N/A</v>
      </c>
      <c r="M1094" t="e">
        <f ca="1">IFERROR(计算区域!M1096,NA())</f>
        <v>#N/A</v>
      </c>
      <c r="N1094" t="e">
        <f ca="1">IFERROR(计算区域!N1096,NA())</f>
        <v>#N/A</v>
      </c>
      <c r="O1094" t="e">
        <f ca="1">IFERROR(计算区域!O1096,NA())</f>
        <v>#N/A</v>
      </c>
      <c r="Q1094" t="e">
        <f ca="1">IFERROR(计算区域!R1096,NA())</f>
        <v>#N/A</v>
      </c>
      <c r="R1094" t="e">
        <f ca="1">IFERROR(计算区域!S1096,NA())</f>
        <v>#N/A</v>
      </c>
      <c r="S1094" t="e">
        <f ca="1">IFERROR(计算区域!T1096,NA())</f>
        <v>#N/A</v>
      </c>
      <c r="T1094" t="e">
        <f ca="1">IFERROR(计算区域!U1096,NA())</f>
        <v>#N/A</v>
      </c>
      <c r="V1094" t="e">
        <f ca="1">IFERROR(计算区域!X1096,NA())</f>
        <v>#N/A</v>
      </c>
      <c r="W1094" t="e">
        <f ca="1">IFERROR(计算区域!Y1096,NA())</f>
        <v>#N/A</v>
      </c>
      <c r="X1094" t="e">
        <f ca="1">IFERROR(计算区域!Z1096,NA())</f>
        <v>#N/A</v>
      </c>
      <c r="Y1094" t="e">
        <f ca="1">IFERROR(计算区域!AA1096,NA())</f>
        <v>#N/A</v>
      </c>
    </row>
    <row r="1095" spans="1:25" x14ac:dyDescent="0.2">
      <c r="A1095" s="28">
        <f>计算区域!E1097</f>
        <v>0</v>
      </c>
      <c r="B1095" t="e">
        <f ca="1">IFERROR(计算区域!AJ1097,NA())</f>
        <v>#N/A</v>
      </c>
      <c r="C1095" t="e">
        <f ca="1">IFERROR(计算区域!AK1097,NA())</f>
        <v>#N/A</v>
      </c>
      <c r="D1095" t="e">
        <f ca="1">IFERROR(计算区域!AL1097,NA())</f>
        <v>#N/A</v>
      </c>
      <c r="E1095" t="e">
        <f ca="1">IFERROR(计算区域!AM1097,NA())</f>
        <v>#N/A</v>
      </c>
      <c r="G1095" t="e">
        <f ca="1">IFERROR(计算区域!AD1097,NA())</f>
        <v>#N/A</v>
      </c>
      <c r="H1095" t="e">
        <f ca="1">IFERROR(计算区域!AE1097,NA())</f>
        <v>#N/A</v>
      </c>
      <c r="I1095" t="e">
        <f ca="1">IFERROR(计算区域!AF1097,NA())</f>
        <v>#N/A</v>
      </c>
      <c r="J1095" t="e">
        <f ca="1">IFERROR(计算区域!AG1097,NA())</f>
        <v>#N/A</v>
      </c>
      <c r="L1095" t="e">
        <f ca="1">IFERROR(计算区域!L1097,NA())</f>
        <v>#N/A</v>
      </c>
      <c r="M1095" t="e">
        <f ca="1">IFERROR(计算区域!M1097,NA())</f>
        <v>#N/A</v>
      </c>
      <c r="N1095" t="e">
        <f ca="1">IFERROR(计算区域!N1097,NA())</f>
        <v>#N/A</v>
      </c>
      <c r="O1095" t="e">
        <f ca="1">IFERROR(计算区域!O1097,NA())</f>
        <v>#N/A</v>
      </c>
      <c r="Q1095" t="e">
        <f ca="1">IFERROR(计算区域!R1097,NA())</f>
        <v>#N/A</v>
      </c>
      <c r="R1095" t="e">
        <f ca="1">IFERROR(计算区域!S1097,NA())</f>
        <v>#N/A</v>
      </c>
      <c r="S1095" t="e">
        <f ca="1">IFERROR(计算区域!T1097,NA())</f>
        <v>#N/A</v>
      </c>
      <c r="T1095" t="e">
        <f ca="1">IFERROR(计算区域!U1097,NA())</f>
        <v>#N/A</v>
      </c>
      <c r="V1095" t="e">
        <f ca="1">IFERROR(计算区域!X1097,NA())</f>
        <v>#N/A</v>
      </c>
      <c r="W1095" t="e">
        <f ca="1">IFERROR(计算区域!Y1097,NA())</f>
        <v>#N/A</v>
      </c>
      <c r="X1095" t="e">
        <f ca="1">IFERROR(计算区域!Z1097,NA())</f>
        <v>#N/A</v>
      </c>
      <c r="Y1095" t="e">
        <f ca="1">IFERROR(计算区域!AA1097,NA())</f>
        <v>#N/A</v>
      </c>
    </row>
    <row r="1096" spans="1:25" x14ac:dyDescent="0.2">
      <c r="A1096" s="28">
        <f>计算区域!E1098</f>
        <v>0</v>
      </c>
      <c r="B1096" t="e">
        <f ca="1">IFERROR(计算区域!AJ1098,NA())</f>
        <v>#N/A</v>
      </c>
      <c r="C1096" t="e">
        <f ca="1">IFERROR(计算区域!AK1098,NA())</f>
        <v>#N/A</v>
      </c>
      <c r="D1096" t="e">
        <f ca="1">IFERROR(计算区域!AL1098,NA())</f>
        <v>#N/A</v>
      </c>
      <c r="E1096" t="e">
        <f ca="1">IFERROR(计算区域!AM1098,NA())</f>
        <v>#N/A</v>
      </c>
      <c r="G1096" t="e">
        <f ca="1">IFERROR(计算区域!AD1098,NA())</f>
        <v>#N/A</v>
      </c>
      <c r="H1096" t="e">
        <f ca="1">IFERROR(计算区域!AE1098,NA())</f>
        <v>#N/A</v>
      </c>
      <c r="I1096" t="e">
        <f ca="1">IFERROR(计算区域!AF1098,NA())</f>
        <v>#N/A</v>
      </c>
      <c r="J1096" t="e">
        <f ca="1">IFERROR(计算区域!AG1098,NA())</f>
        <v>#N/A</v>
      </c>
      <c r="L1096" t="e">
        <f ca="1">IFERROR(计算区域!L1098,NA())</f>
        <v>#N/A</v>
      </c>
      <c r="M1096" t="e">
        <f ca="1">IFERROR(计算区域!M1098,NA())</f>
        <v>#N/A</v>
      </c>
      <c r="N1096" t="e">
        <f ca="1">IFERROR(计算区域!N1098,NA())</f>
        <v>#N/A</v>
      </c>
      <c r="O1096" t="e">
        <f ca="1">IFERROR(计算区域!O1098,NA())</f>
        <v>#N/A</v>
      </c>
      <c r="Q1096" t="e">
        <f ca="1">IFERROR(计算区域!R1098,NA())</f>
        <v>#N/A</v>
      </c>
      <c r="R1096" t="e">
        <f ca="1">IFERROR(计算区域!S1098,NA())</f>
        <v>#N/A</v>
      </c>
      <c r="S1096" t="e">
        <f ca="1">IFERROR(计算区域!T1098,NA())</f>
        <v>#N/A</v>
      </c>
      <c r="T1096" t="e">
        <f ca="1">IFERROR(计算区域!U1098,NA())</f>
        <v>#N/A</v>
      </c>
      <c r="V1096" t="e">
        <f ca="1">IFERROR(计算区域!X1098,NA())</f>
        <v>#N/A</v>
      </c>
      <c r="W1096" t="e">
        <f ca="1">IFERROR(计算区域!Y1098,NA())</f>
        <v>#N/A</v>
      </c>
      <c r="X1096" t="e">
        <f ca="1">IFERROR(计算区域!Z1098,NA())</f>
        <v>#N/A</v>
      </c>
      <c r="Y1096" t="e">
        <f ca="1">IFERROR(计算区域!AA1098,NA())</f>
        <v>#N/A</v>
      </c>
    </row>
    <row r="1097" spans="1:25" x14ac:dyDescent="0.2">
      <c r="A1097" s="28">
        <f>计算区域!E1099</f>
        <v>0</v>
      </c>
      <c r="B1097" t="e">
        <f ca="1">IFERROR(计算区域!AJ1099,NA())</f>
        <v>#N/A</v>
      </c>
      <c r="C1097" t="e">
        <f ca="1">IFERROR(计算区域!AK1099,NA())</f>
        <v>#N/A</v>
      </c>
      <c r="D1097" t="e">
        <f ca="1">IFERROR(计算区域!AL1099,NA())</f>
        <v>#N/A</v>
      </c>
      <c r="E1097" t="e">
        <f ca="1">IFERROR(计算区域!AM1099,NA())</f>
        <v>#N/A</v>
      </c>
      <c r="G1097" t="e">
        <f ca="1">IFERROR(计算区域!AD1099,NA())</f>
        <v>#N/A</v>
      </c>
      <c r="H1097" t="e">
        <f ca="1">IFERROR(计算区域!AE1099,NA())</f>
        <v>#N/A</v>
      </c>
      <c r="I1097" t="e">
        <f ca="1">IFERROR(计算区域!AF1099,NA())</f>
        <v>#N/A</v>
      </c>
      <c r="J1097" t="e">
        <f ca="1">IFERROR(计算区域!AG1099,NA())</f>
        <v>#N/A</v>
      </c>
      <c r="L1097" t="e">
        <f ca="1">IFERROR(计算区域!L1099,NA())</f>
        <v>#N/A</v>
      </c>
      <c r="M1097" t="e">
        <f ca="1">IFERROR(计算区域!M1099,NA())</f>
        <v>#N/A</v>
      </c>
      <c r="N1097" t="e">
        <f ca="1">IFERROR(计算区域!N1099,NA())</f>
        <v>#N/A</v>
      </c>
      <c r="O1097" t="e">
        <f ca="1">IFERROR(计算区域!O1099,NA())</f>
        <v>#N/A</v>
      </c>
      <c r="Q1097" t="e">
        <f ca="1">IFERROR(计算区域!R1099,NA())</f>
        <v>#N/A</v>
      </c>
      <c r="R1097" t="e">
        <f ca="1">IFERROR(计算区域!S1099,NA())</f>
        <v>#N/A</v>
      </c>
      <c r="S1097" t="e">
        <f ca="1">IFERROR(计算区域!T1099,NA())</f>
        <v>#N/A</v>
      </c>
      <c r="T1097" t="e">
        <f ca="1">IFERROR(计算区域!U1099,NA())</f>
        <v>#N/A</v>
      </c>
      <c r="V1097" t="e">
        <f ca="1">IFERROR(计算区域!X1099,NA())</f>
        <v>#N/A</v>
      </c>
      <c r="W1097" t="e">
        <f ca="1">IFERROR(计算区域!Y1099,NA())</f>
        <v>#N/A</v>
      </c>
      <c r="X1097" t="e">
        <f ca="1">IFERROR(计算区域!Z1099,NA())</f>
        <v>#N/A</v>
      </c>
      <c r="Y1097" t="e">
        <f ca="1">IFERROR(计算区域!AA1099,NA())</f>
        <v>#N/A</v>
      </c>
    </row>
    <row r="1098" spans="1:25" x14ac:dyDescent="0.2">
      <c r="A1098" s="28">
        <f>计算区域!E1100</f>
        <v>0</v>
      </c>
      <c r="B1098" t="e">
        <f ca="1">IFERROR(计算区域!AJ1100,NA())</f>
        <v>#N/A</v>
      </c>
      <c r="C1098" t="e">
        <f ca="1">IFERROR(计算区域!AK1100,NA())</f>
        <v>#N/A</v>
      </c>
      <c r="D1098" t="e">
        <f ca="1">IFERROR(计算区域!AL1100,NA())</f>
        <v>#N/A</v>
      </c>
      <c r="E1098" t="e">
        <f ca="1">IFERROR(计算区域!AM1100,NA())</f>
        <v>#N/A</v>
      </c>
      <c r="G1098" t="e">
        <f ca="1">IFERROR(计算区域!AD1100,NA())</f>
        <v>#N/A</v>
      </c>
      <c r="H1098" t="e">
        <f ca="1">IFERROR(计算区域!AE1100,NA())</f>
        <v>#N/A</v>
      </c>
      <c r="I1098" t="e">
        <f ca="1">IFERROR(计算区域!AF1100,NA())</f>
        <v>#N/A</v>
      </c>
      <c r="J1098" t="e">
        <f ca="1">IFERROR(计算区域!AG1100,NA())</f>
        <v>#N/A</v>
      </c>
      <c r="L1098" t="e">
        <f ca="1">IFERROR(计算区域!L1100,NA())</f>
        <v>#N/A</v>
      </c>
      <c r="M1098" t="e">
        <f ca="1">IFERROR(计算区域!M1100,NA())</f>
        <v>#N/A</v>
      </c>
      <c r="N1098" t="e">
        <f ca="1">IFERROR(计算区域!N1100,NA())</f>
        <v>#N/A</v>
      </c>
      <c r="O1098" t="e">
        <f ca="1">IFERROR(计算区域!O1100,NA())</f>
        <v>#N/A</v>
      </c>
      <c r="Q1098" t="e">
        <f ca="1">IFERROR(计算区域!R1100,NA())</f>
        <v>#N/A</v>
      </c>
      <c r="R1098" t="e">
        <f ca="1">IFERROR(计算区域!S1100,NA())</f>
        <v>#N/A</v>
      </c>
      <c r="S1098" t="e">
        <f ca="1">IFERROR(计算区域!T1100,NA())</f>
        <v>#N/A</v>
      </c>
      <c r="T1098" t="e">
        <f ca="1">IFERROR(计算区域!U1100,NA())</f>
        <v>#N/A</v>
      </c>
      <c r="V1098" t="e">
        <f ca="1">IFERROR(计算区域!X1100,NA())</f>
        <v>#N/A</v>
      </c>
      <c r="W1098" t="e">
        <f ca="1">IFERROR(计算区域!Y1100,NA())</f>
        <v>#N/A</v>
      </c>
      <c r="X1098" t="e">
        <f ca="1">IFERROR(计算区域!Z1100,NA())</f>
        <v>#N/A</v>
      </c>
      <c r="Y1098" t="e">
        <f ca="1">IFERROR(计算区域!AA1100,NA())</f>
        <v>#N/A</v>
      </c>
    </row>
    <row r="1099" spans="1:25" x14ac:dyDescent="0.2">
      <c r="A1099" s="28">
        <f>计算区域!E1101</f>
        <v>0</v>
      </c>
      <c r="B1099" t="e">
        <f ca="1">IFERROR(计算区域!AJ1101,NA())</f>
        <v>#N/A</v>
      </c>
      <c r="C1099" t="e">
        <f ca="1">IFERROR(计算区域!AK1101,NA())</f>
        <v>#N/A</v>
      </c>
      <c r="D1099" t="e">
        <f ca="1">IFERROR(计算区域!AL1101,NA())</f>
        <v>#N/A</v>
      </c>
      <c r="E1099" t="e">
        <f ca="1">IFERROR(计算区域!AM1101,NA())</f>
        <v>#N/A</v>
      </c>
      <c r="G1099" t="e">
        <f ca="1">IFERROR(计算区域!AD1101,NA())</f>
        <v>#N/A</v>
      </c>
      <c r="H1099" t="e">
        <f ca="1">IFERROR(计算区域!AE1101,NA())</f>
        <v>#N/A</v>
      </c>
      <c r="I1099" t="e">
        <f ca="1">IFERROR(计算区域!AF1101,NA())</f>
        <v>#N/A</v>
      </c>
      <c r="J1099" t="e">
        <f ca="1">IFERROR(计算区域!AG1101,NA())</f>
        <v>#N/A</v>
      </c>
      <c r="L1099" t="e">
        <f ca="1">IFERROR(计算区域!L1101,NA())</f>
        <v>#N/A</v>
      </c>
      <c r="M1099" t="e">
        <f ca="1">IFERROR(计算区域!M1101,NA())</f>
        <v>#N/A</v>
      </c>
      <c r="N1099" t="e">
        <f ca="1">IFERROR(计算区域!N1101,NA())</f>
        <v>#N/A</v>
      </c>
      <c r="O1099" t="e">
        <f ca="1">IFERROR(计算区域!O1101,NA())</f>
        <v>#N/A</v>
      </c>
      <c r="Q1099" t="e">
        <f ca="1">IFERROR(计算区域!R1101,NA())</f>
        <v>#N/A</v>
      </c>
      <c r="R1099" t="e">
        <f ca="1">IFERROR(计算区域!S1101,NA())</f>
        <v>#N/A</v>
      </c>
      <c r="S1099" t="e">
        <f ca="1">IFERROR(计算区域!T1101,NA())</f>
        <v>#N/A</v>
      </c>
      <c r="T1099" t="e">
        <f ca="1">IFERROR(计算区域!U1101,NA())</f>
        <v>#N/A</v>
      </c>
      <c r="V1099" t="e">
        <f ca="1">IFERROR(计算区域!X1101,NA())</f>
        <v>#N/A</v>
      </c>
      <c r="W1099" t="e">
        <f ca="1">IFERROR(计算区域!Y1101,NA())</f>
        <v>#N/A</v>
      </c>
      <c r="X1099" t="e">
        <f ca="1">IFERROR(计算区域!Z1101,NA())</f>
        <v>#N/A</v>
      </c>
      <c r="Y1099" t="e">
        <f ca="1">IFERROR(计算区域!AA1101,NA())</f>
        <v>#N/A</v>
      </c>
    </row>
    <row r="1100" spans="1:25" x14ac:dyDescent="0.2">
      <c r="A1100" s="28">
        <f>计算区域!E1102</f>
        <v>0</v>
      </c>
      <c r="B1100" t="e">
        <f ca="1">IFERROR(计算区域!AJ1102,NA())</f>
        <v>#N/A</v>
      </c>
      <c r="C1100" t="e">
        <f ca="1">IFERROR(计算区域!AK1102,NA())</f>
        <v>#N/A</v>
      </c>
      <c r="D1100" t="e">
        <f ca="1">IFERROR(计算区域!AL1102,NA())</f>
        <v>#N/A</v>
      </c>
      <c r="E1100" t="e">
        <f ca="1">IFERROR(计算区域!AM1102,NA())</f>
        <v>#N/A</v>
      </c>
      <c r="G1100" t="e">
        <f ca="1">IFERROR(计算区域!AD1102,NA())</f>
        <v>#N/A</v>
      </c>
      <c r="H1100" t="e">
        <f ca="1">IFERROR(计算区域!AE1102,NA())</f>
        <v>#N/A</v>
      </c>
      <c r="I1100" t="e">
        <f ca="1">IFERROR(计算区域!AF1102,NA())</f>
        <v>#N/A</v>
      </c>
      <c r="J1100" t="e">
        <f ca="1">IFERROR(计算区域!AG1102,NA())</f>
        <v>#N/A</v>
      </c>
      <c r="L1100" t="e">
        <f ca="1">IFERROR(计算区域!L1102,NA())</f>
        <v>#N/A</v>
      </c>
      <c r="M1100" t="e">
        <f ca="1">IFERROR(计算区域!M1102,NA())</f>
        <v>#N/A</v>
      </c>
      <c r="N1100" t="e">
        <f ca="1">IFERROR(计算区域!N1102,NA())</f>
        <v>#N/A</v>
      </c>
      <c r="O1100" t="e">
        <f ca="1">IFERROR(计算区域!O1102,NA())</f>
        <v>#N/A</v>
      </c>
      <c r="Q1100" t="e">
        <f ca="1">IFERROR(计算区域!R1102,NA())</f>
        <v>#N/A</v>
      </c>
      <c r="R1100" t="e">
        <f ca="1">IFERROR(计算区域!S1102,NA())</f>
        <v>#N/A</v>
      </c>
      <c r="S1100" t="e">
        <f ca="1">IFERROR(计算区域!T1102,NA())</f>
        <v>#N/A</v>
      </c>
      <c r="T1100" t="e">
        <f ca="1">IFERROR(计算区域!U1102,NA())</f>
        <v>#N/A</v>
      </c>
      <c r="V1100" t="e">
        <f ca="1">IFERROR(计算区域!X1102,NA())</f>
        <v>#N/A</v>
      </c>
      <c r="W1100" t="e">
        <f ca="1">IFERROR(计算区域!Y1102,NA())</f>
        <v>#N/A</v>
      </c>
      <c r="X1100" t="e">
        <f ca="1">IFERROR(计算区域!Z1102,NA())</f>
        <v>#N/A</v>
      </c>
      <c r="Y1100" t="e">
        <f ca="1">IFERROR(计算区域!AA1102,NA())</f>
        <v>#N/A</v>
      </c>
    </row>
    <row r="1101" spans="1:25" x14ac:dyDescent="0.2">
      <c r="A1101" s="28">
        <f>计算区域!E1103</f>
        <v>0</v>
      </c>
      <c r="B1101" t="e">
        <f ca="1">IFERROR(计算区域!AJ1103,NA())</f>
        <v>#N/A</v>
      </c>
      <c r="C1101" t="e">
        <f ca="1">IFERROR(计算区域!AK1103,NA())</f>
        <v>#N/A</v>
      </c>
      <c r="D1101" t="e">
        <f ca="1">IFERROR(计算区域!AL1103,NA())</f>
        <v>#N/A</v>
      </c>
      <c r="E1101" t="e">
        <f ca="1">IFERROR(计算区域!AM1103,NA())</f>
        <v>#N/A</v>
      </c>
      <c r="G1101" t="e">
        <f ca="1">IFERROR(计算区域!AD1103,NA())</f>
        <v>#N/A</v>
      </c>
      <c r="H1101" t="e">
        <f ca="1">IFERROR(计算区域!AE1103,NA())</f>
        <v>#N/A</v>
      </c>
      <c r="I1101" t="e">
        <f ca="1">IFERROR(计算区域!AF1103,NA())</f>
        <v>#N/A</v>
      </c>
      <c r="J1101" t="e">
        <f ca="1">IFERROR(计算区域!AG1103,NA())</f>
        <v>#N/A</v>
      </c>
      <c r="L1101" t="e">
        <f ca="1">IFERROR(计算区域!L1103,NA())</f>
        <v>#N/A</v>
      </c>
      <c r="M1101" t="e">
        <f ca="1">IFERROR(计算区域!M1103,NA())</f>
        <v>#N/A</v>
      </c>
      <c r="N1101" t="e">
        <f ca="1">IFERROR(计算区域!N1103,NA())</f>
        <v>#N/A</v>
      </c>
      <c r="O1101" t="e">
        <f ca="1">IFERROR(计算区域!O1103,NA())</f>
        <v>#N/A</v>
      </c>
      <c r="Q1101" t="e">
        <f ca="1">IFERROR(计算区域!R1103,NA())</f>
        <v>#N/A</v>
      </c>
      <c r="R1101" t="e">
        <f ca="1">IFERROR(计算区域!S1103,NA())</f>
        <v>#N/A</v>
      </c>
      <c r="S1101" t="e">
        <f ca="1">IFERROR(计算区域!T1103,NA())</f>
        <v>#N/A</v>
      </c>
      <c r="T1101" t="e">
        <f ca="1">IFERROR(计算区域!U1103,NA())</f>
        <v>#N/A</v>
      </c>
      <c r="V1101" t="e">
        <f ca="1">IFERROR(计算区域!X1103,NA())</f>
        <v>#N/A</v>
      </c>
      <c r="W1101" t="e">
        <f ca="1">IFERROR(计算区域!Y1103,NA())</f>
        <v>#N/A</v>
      </c>
      <c r="X1101" t="e">
        <f ca="1">IFERROR(计算区域!Z1103,NA())</f>
        <v>#N/A</v>
      </c>
      <c r="Y1101" t="e">
        <f ca="1">IFERROR(计算区域!AA1103,NA())</f>
        <v>#N/A</v>
      </c>
    </row>
    <row r="1102" spans="1:25" x14ac:dyDescent="0.2">
      <c r="A1102" s="28">
        <f>计算区域!E1104</f>
        <v>0</v>
      </c>
      <c r="B1102" t="e">
        <f ca="1">IFERROR(计算区域!AJ1104,NA())</f>
        <v>#N/A</v>
      </c>
      <c r="C1102" t="e">
        <f ca="1">IFERROR(计算区域!AK1104,NA())</f>
        <v>#N/A</v>
      </c>
      <c r="D1102" t="e">
        <f ca="1">IFERROR(计算区域!AL1104,NA())</f>
        <v>#N/A</v>
      </c>
      <c r="E1102" t="e">
        <f ca="1">IFERROR(计算区域!AM1104,NA())</f>
        <v>#N/A</v>
      </c>
      <c r="G1102" t="e">
        <f ca="1">IFERROR(计算区域!AD1104,NA())</f>
        <v>#N/A</v>
      </c>
      <c r="H1102" t="e">
        <f ca="1">IFERROR(计算区域!AE1104,NA())</f>
        <v>#N/A</v>
      </c>
      <c r="I1102" t="e">
        <f ca="1">IFERROR(计算区域!AF1104,NA())</f>
        <v>#N/A</v>
      </c>
      <c r="J1102" t="e">
        <f ca="1">IFERROR(计算区域!AG1104,NA())</f>
        <v>#N/A</v>
      </c>
      <c r="L1102" t="e">
        <f ca="1">IFERROR(计算区域!L1104,NA())</f>
        <v>#N/A</v>
      </c>
      <c r="M1102" t="e">
        <f ca="1">IFERROR(计算区域!M1104,NA())</f>
        <v>#N/A</v>
      </c>
      <c r="N1102" t="e">
        <f ca="1">IFERROR(计算区域!N1104,NA())</f>
        <v>#N/A</v>
      </c>
      <c r="O1102" t="e">
        <f ca="1">IFERROR(计算区域!O1104,NA())</f>
        <v>#N/A</v>
      </c>
      <c r="Q1102" t="e">
        <f ca="1">IFERROR(计算区域!R1104,NA())</f>
        <v>#N/A</v>
      </c>
      <c r="R1102" t="e">
        <f ca="1">IFERROR(计算区域!S1104,NA())</f>
        <v>#N/A</v>
      </c>
      <c r="S1102" t="e">
        <f ca="1">IFERROR(计算区域!T1104,NA())</f>
        <v>#N/A</v>
      </c>
      <c r="T1102" t="e">
        <f ca="1">IFERROR(计算区域!U1104,NA())</f>
        <v>#N/A</v>
      </c>
      <c r="V1102" t="e">
        <f ca="1">IFERROR(计算区域!X1104,NA())</f>
        <v>#N/A</v>
      </c>
      <c r="W1102" t="e">
        <f ca="1">IFERROR(计算区域!Y1104,NA())</f>
        <v>#N/A</v>
      </c>
      <c r="X1102" t="e">
        <f ca="1">IFERROR(计算区域!Z1104,NA())</f>
        <v>#N/A</v>
      </c>
      <c r="Y1102" t="e">
        <f ca="1">IFERROR(计算区域!AA1104,NA())</f>
        <v>#N/A</v>
      </c>
    </row>
    <row r="1103" spans="1:25" x14ac:dyDescent="0.2">
      <c r="A1103" s="28">
        <f>计算区域!E1105</f>
        <v>0</v>
      </c>
      <c r="B1103" t="e">
        <f ca="1">IFERROR(计算区域!AJ1105,NA())</f>
        <v>#N/A</v>
      </c>
      <c r="C1103" t="e">
        <f ca="1">IFERROR(计算区域!AK1105,NA())</f>
        <v>#N/A</v>
      </c>
      <c r="D1103" t="e">
        <f ca="1">IFERROR(计算区域!AL1105,NA())</f>
        <v>#N/A</v>
      </c>
      <c r="E1103" t="e">
        <f ca="1">IFERROR(计算区域!AM1105,NA())</f>
        <v>#N/A</v>
      </c>
      <c r="G1103" t="e">
        <f ca="1">IFERROR(计算区域!AD1105,NA())</f>
        <v>#N/A</v>
      </c>
      <c r="H1103" t="e">
        <f ca="1">IFERROR(计算区域!AE1105,NA())</f>
        <v>#N/A</v>
      </c>
      <c r="I1103" t="e">
        <f ca="1">IFERROR(计算区域!AF1105,NA())</f>
        <v>#N/A</v>
      </c>
      <c r="J1103" t="e">
        <f ca="1">IFERROR(计算区域!AG1105,NA())</f>
        <v>#N/A</v>
      </c>
      <c r="L1103" t="e">
        <f ca="1">IFERROR(计算区域!L1105,NA())</f>
        <v>#N/A</v>
      </c>
      <c r="M1103" t="e">
        <f ca="1">IFERROR(计算区域!M1105,NA())</f>
        <v>#N/A</v>
      </c>
      <c r="N1103" t="e">
        <f ca="1">IFERROR(计算区域!N1105,NA())</f>
        <v>#N/A</v>
      </c>
      <c r="O1103" t="e">
        <f ca="1">IFERROR(计算区域!O1105,NA())</f>
        <v>#N/A</v>
      </c>
      <c r="Q1103" t="e">
        <f ca="1">IFERROR(计算区域!R1105,NA())</f>
        <v>#N/A</v>
      </c>
      <c r="R1103" t="e">
        <f ca="1">IFERROR(计算区域!S1105,NA())</f>
        <v>#N/A</v>
      </c>
      <c r="S1103" t="e">
        <f ca="1">IFERROR(计算区域!T1105,NA())</f>
        <v>#N/A</v>
      </c>
      <c r="T1103" t="e">
        <f ca="1">IFERROR(计算区域!U1105,NA())</f>
        <v>#N/A</v>
      </c>
      <c r="V1103" t="e">
        <f ca="1">IFERROR(计算区域!X1105,NA())</f>
        <v>#N/A</v>
      </c>
      <c r="W1103" t="e">
        <f ca="1">IFERROR(计算区域!Y1105,NA())</f>
        <v>#N/A</v>
      </c>
      <c r="X1103" t="e">
        <f ca="1">IFERROR(计算区域!Z1105,NA())</f>
        <v>#N/A</v>
      </c>
      <c r="Y1103" t="e">
        <f ca="1">IFERROR(计算区域!AA1105,NA())</f>
        <v>#N/A</v>
      </c>
    </row>
    <row r="1104" spans="1:25" x14ac:dyDescent="0.2">
      <c r="A1104" s="28">
        <f>计算区域!E1106</f>
        <v>0</v>
      </c>
      <c r="B1104" t="e">
        <f ca="1">IFERROR(计算区域!AJ1106,NA())</f>
        <v>#N/A</v>
      </c>
      <c r="C1104" t="e">
        <f ca="1">IFERROR(计算区域!AK1106,NA())</f>
        <v>#N/A</v>
      </c>
      <c r="D1104" t="e">
        <f ca="1">IFERROR(计算区域!AL1106,NA())</f>
        <v>#N/A</v>
      </c>
      <c r="E1104" t="e">
        <f ca="1">IFERROR(计算区域!AM1106,NA())</f>
        <v>#N/A</v>
      </c>
      <c r="G1104" t="e">
        <f ca="1">IFERROR(计算区域!AD1106,NA())</f>
        <v>#N/A</v>
      </c>
      <c r="H1104" t="e">
        <f ca="1">IFERROR(计算区域!AE1106,NA())</f>
        <v>#N/A</v>
      </c>
      <c r="I1104" t="e">
        <f ca="1">IFERROR(计算区域!AF1106,NA())</f>
        <v>#N/A</v>
      </c>
      <c r="J1104" t="e">
        <f ca="1">IFERROR(计算区域!AG1106,NA())</f>
        <v>#N/A</v>
      </c>
      <c r="L1104" t="e">
        <f ca="1">IFERROR(计算区域!L1106,NA())</f>
        <v>#N/A</v>
      </c>
      <c r="M1104" t="e">
        <f ca="1">IFERROR(计算区域!M1106,NA())</f>
        <v>#N/A</v>
      </c>
      <c r="N1104" t="e">
        <f ca="1">IFERROR(计算区域!N1106,NA())</f>
        <v>#N/A</v>
      </c>
      <c r="O1104" t="e">
        <f ca="1">IFERROR(计算区域!O1106,NA())</f>
        <v>#N/A</v>
      </c>
      <c r="Q1104" t="e">
        <f ca="1">IFERROR(计算区域!R1106,NA())</f>
        <v>#N/A</v>
      </c>
      <c r="R1104" t="e">
        <f ca="1">IFERROR(计算区域!S1106,NA())</f>
        <v>#N/A</v>
      </c>
      <c r="S1104" t="e">
        <f ca="1">IFERROR(计算区域!T1106,NA())</f>
        <v>#N/A</v>
      </c>
      <c r="T1104" t="e">
        <f ca="1">IFERROR(计算区域!U1106,NA())</f>
        <v>#N/A</v>
      </c>
      <c r="V1104" t="e">
        <f ca="1">IFERROR(计算区域!X1106,NA())</f>
        <v>#N/A</v>
      </c>
      <c r="W1104" t="e">
        <f ca="1">IFERROR(计算区域!Y1106,NA())</f>
        <v>#N/A</v>
      </c>
      <c r="X1104" t="e">
        <f ca="1">IFERROR(计算区域!Z1106,NA())</f>
        <v>#N/A</v>
      </c>
      <c r="Y1104" t="e">
        <f ca="1">IFERROR(计算区域!AA1106,NA())</f>
        <v>#N/A</v>
      </c>
    </row>
    <row r="1105" spans="1:25" x14ac:dyDescent="0.2">
      <c r="A1105" s="28">
        <f>计算区域!E1107</f>
        <v>0</v>
      </c>
      <c r="B1105" t="e">
        <f ca="1">IFERROR(计算区域!AJ1107,NA())</f>
        <v>#N/A</v>
      </c>
      <c r="C1105" t="e">
        <f ca="1">IFERROR(计算区域!AK1107,NA())</f>
        <v>#N/A</v>
      </c>
      <c r="D1105" t="e">
        <f ca="1">IFERROR(计算区域!AL1107,NA())</f>
        <v>#N/A</v>
      </c>
      <c r="E1105" t="e">
        <f ca="1">IFERROR(计算区域!AM1107,NA())</f>
        <v>#N/A</v>
      </c>
      <c r="G1105" t="e">
        <f ca="1">IFERROR(计算区域!AD1107,NA())</f>
        <v>#N/A</v>
      </c>
      <c r="H1105" t="e">
        <f ca="1">IFERROR(计算区域!AE1107,NA())</f>
        <v>#N/A</v>
      </c>
      <c r="I1105" t="e">
        <f ca="1">IFERROR(计算区域!AF1107,NA())</f>
        <v>#N/A</v>
      </c>
      <c r="J1105" t="e">
        <f ca="1">IFERROR(计算区域!AG1107,NA())</f>
        <v>#N/A</v>
      </c>
      <c r="L1105" t="e">
        <f ca="1">IFERROR(计算区域!L1107,NA())</f>
        <v>#N/A</v>
      </c>
      <c r="M1105" t="e">
        <f ca="1">IFERROR(计算区域!M1107,NA())</f>
        <v>#N/A</v>
      </c>
      <c r="N1105" t="e">
        <f ca="1">IFERROR(计算区域!N1107,NA())</f>
        <v>#N/A</v>
      </c>
      <c r="O1105" t="e">
        <f ca="1">IFERROR(计算区域!O1107,NA())</f>
        <v>#N/A</v>
      </c>
      <c r="Q1105" t="e">
        <f ca="1">IFERROR(计算区域!R1107,NA())</f>
        <v>#N/A</v>
      </c>
      <c r="R1105" t="e">
        <f ca="1">IFERROR(计算区域!S1107,NA())</f>
        <v>#N/A</v>
      </c>
      <c r="S1105" t="e">
        <f ca="1">IFERROR(计算区域!T1107,NA())</f>
        <v>#N/A</v>
      </c>
      <c r="T1105" t="e">
        <f ca="1">IFERROR(计算区域!U1107,NA())</f>
        <v>#N/A</v>
      </c>
      <c r="V1105" t="e">
        <f ca="1">IFERROR(计算区域!X1107,NA())</f>
        <v>#N/A</v>
      </c>
      <c r="W1105" t="e">
        <f ca="1">IFERROR(计算区域!Y1107,NA())</f>
        <v>#N/A</v>
      </c>
      <c r="X1105" t="e">
        <f ca="1">IFERROR(计算区域!Z1107,NA())</f>
        <v>#N/A</v>
      </c>
      <c r="Y1105" t="e">
        <f ca="1">IFERROR(计算区域!AA1107,NA())</f>
        <v>#N/A</v>
      </c>
    </row>
    <row r="1106" spans="1:25" x14ac:dyDescent="0.2">
      <c r="A1106" s="28">
        <f>计算区域!E1108</f>
        <v>0</v>
      </c>
      <c r="B1106" t="e">
        <f ca="1">IFERROR(计算区域!AJ1108,NA())</f>
        <v>#N/A</v>
      </c>
      <c r="C1106" t="e">
        <f ca="1">IFERROR(计算区域!AK1108,NA())</f>
        <v>#N/A</v>
      </c>
      <c r="D1106" t="e">
        <f ca="1">IFERROR(计算区域!AL1108,NA())</f>
        <v>#N/A</v>
      </c>
      <c r="E1106" t="e">
        <f ca="1">IFERROR(计算区域!AM1108,NA())</f>
        <v>#N/A</v>
      </c>
      <c r="G1106" t="e">
        <f ca="1">IFERROR(计算区域!AD1108,NA())</f>
        <v>#N/A</v>
      </c>
      <c r="H1106" t="e">
        <f ca="1">IFERROR(计算区域!AE1108,NA())</f>
        <v>#N/A</v>
      </c>
      <c r="I1106" t="e">
        <f ca="1">IFERROR(计算区域!AF1108,NA())</f>
        <v>#N/A</v>
      </c>
      <c r="J1106" t="e">
        <f ca="1">IFERROR(计算区域!AG1108,NA())</f>
        <v>#N/A</v>
      </c>
      <c r="L1106" t="e">
        <f ca="1">IFERROR(计算区域!L1108,NA())</f>
        <v>#N/A</v>
      </c>
      <c r="M1106" t="e">
        <f ca="1">IFERROR(计算区域!M1108,NA())</f>
        <v>#N/A</v>
      </c>
      <c r="N1106" t="e">
        <f ca="1">IFERROR(计算区域!N1108,NA())</f>
        <v>#N/A</v>
      </c>
      <c r="O1106" t="e">
        <f ca="1">IFERROR(计算区域!O1108,NA())</f>
        <v>#N/A</v>
      </c>
      <c r="Q1106" t="e">
        <f ca="1">IFERROR(计算区域!R1108,NA())</f>
        <v>#N/A</v>
      </c>
      <c r="R1106" t="e">
        <f ca="1">IFERROR(计算区域!S1108,NA())</f>
        <v>#N/A</v>
      </c>
      <c r="S1106" t="e">
        <f ca="1">IFERROR(计算区域!T1108,NA())</f>
        <v>#N/A</v>
      </c>
      <c r="T1106" t="e">
        <f ca="1">IFERROR(计算区域!U1108,NA())</f>
        <v>#N/A</v>
      </c>
      <c r="V1106" t="e">
        <f ca="1">IFERROR(计算区域!X1108,NA())</f>
        <v>#N/A</v>
      </c>
      <c r="W1106" t="e">
        <f ca="1">IFERROR(计算区域!Y1108,NA())</f>
        <v>#N/A</v>
      </c>
      <c r="X1106" t="e">
        <f ca="1">IFERROR(计算区域!Z1108,NA())</f>
        <v>#N/A</v>
      </c>
      <c r="Y1106" t="e">
        <f ca="1">IFERROR(计算区域!AA1108,NA())</f>
        <v>#N/A</v>
      </c>
    </row>
    <row r="1107" spans="1:25" x14ac:dyDescent="0.2">
      <c r="A1107" s="28">
        <f>计算区域!E1109</f>
        <v>0</v>
      </c>
      <c r="B1107" t="e">
        <f ca="1">IFERROR(计算区域!AJ1109,NA())</f>
        <v>#N/A</v>
      </c>
      <c r="C1107" t="e">
        <f ca="1">IFERROR(计算区域!AK1109,NA())</f>
        <v>#N/A</v>
      </c>
      <c r="D1107" t="e">
        <f ca="1">IFERROR(计算区域!AL1109,NA())</f>
        <v>#N/A</v>
      </c>
      <c r="E1107" t="e">
        <f ca="1">IFERROR(计算区域!AM1109,NA())</f>
        <v>#N/A</v>
      </c>
      <c r="G1107" t="e">
        <f ca="1">IFERROR(计算区域!AD1109,NA())</f>
        <v>#N/A</v>
      </c>
      <c r="H1107" t="e">
        <f ca="1">IFERROR(计算区域!AE1109,NA())</f>
        <v>#N/A</v>
      </c>
      <c r="I1107" t="e">
        <f ca="1">IFERROR(计算区域!AF1109,NA())</f>
        <v>#N/A</v>
      </c>
      <c r="J1107" t="e">
        <f ca="1">IFERROR(计算区域!AG1109,NA())</f>
        <v>#N/A</v>
      </c>
      <c r="L1107" t="e">
        <f ca="1">IFERROR(计算区域!L1109,NA())</f>
        <v>#N/A</v>
      </c>
      <c r="M1107" t="e">
        <f ca="1">IFERROR(计算区域!M1109,NA())</f>
        <v>#N/A</v>
      </c>
      <c r="N1107" t="e">
        <f ca="1">IFERROR(计算区域!N1109,NA())</f>
        <v>#N/A</v>
      </c>
      <c r="O1107" t="e">
        <f ca="1">IFERROR(计算区域!O1109,NA())</f>
        <v>#N/A</v>
      </c>
      <c r="Q1107" t="e">
        <f ca="1">IFERROR(计算区域!R1109,NA())</f>
        <v>#N/A</v>
      </c>
      <c r="R1107" t="e">
        <f ca="1">IFERROR(计算区域!S1109,NA())</f>
        <v>#N/A</v>
      </c>
      <c r="S1107" t="e">
        <f ca="1">IFERROR(计算区域!T1109,NA())</f>
        <v>#N/A</v>
      </c>
      <c r="T1107" t="e">
        <f ca="1">IFERROR(计算区域!U1109,NA())</f>
        <v>#N/A</v>
      </c>
      <c r="V1107" t="e">
        <f ca="1">IFERROR(计算区域!X1109,NA())</f>
        <v>#N/A</v>
      </c>
      <c r="W1107" t="e">
        <f ca="1">IFERROR(计算区域!Y1109,NA())</f>
        <v>#N/A</v>
      </c>
      <c r="X1107" t="e">
        <f ca="1">IFERROR(计算区域!Z1109,NA())</f>
        <v>#N/A</v>
      </c>
      <c r="Y1107" t="e">
        <f ca="1">IFERROR(计算区域!AA1109,NA())</f>
        <v>#N/A</v>
      </c>
    </row>
    <row r="1108" spans="1:25" x14ac:dyDescent="0.2">
      <c r="A1108" s="28">
        <f>计算区域!E1110</f>
        <v>0</v>
      </c>
      <c r="B1108" t="e">
        <f ca="1">IFERROR(计算区域!AJ1110,NA())</f>
        <v>#N/A</v>
      </c>
      <c r="C1108" t="e">
        <f ca="1">IFERROR(计算区域!AK1110,NA())</f>
        <v>#N/A</v>
      </c>
      <c r="D1108" t="e">
        <f ca="1">IFERROR(计算区域!AL1110,NA())</f>
        <v>#N/A</v>
      </c>
      <c r="E1108" t="e">
        <f ca="1">IFERROR(计算区域!AM1110,NA())</f>
        <v>#N/A</v>
      </c>
      <c r="G1108" t="e">
        <f ca="1">IFERROR(计算区域!AD1110,NA())</f>
        <v>#N/A</v>
      </c>
      <c r="H1108" t="e">
        <f ca="1">IFERROR(计算区域!AE1110,NA())</f>
        <v>#N/A</v>
      </c>
      <c r="I1108" t="e">
        <f ca="1">IFERROR(计算区域!AF1110,NA())</f>
        <v>#N/A</v>
      </c>
      <c r="J1108" t="e">
        <f ca="1">IFERROR(计算区域!AG1110,NA())</f>
        <v>#N/A</v>
      </c>
      <c r="L1108" t="e">
        <f ca="1">IFERROR(计算区域!L1110,NA())</f>
        <v>#N/A</v>
      </c>
      <c r="M1108" t="e">
        <f ca="1">IFERROR(计算区域!M1110,NA())</f>
        <v>#N/A</v>
      </c>
      <c r="N1108" t="e">
        <f ca="1">IFERROR(计算区域!N1110,NA())</f>
        <v>#N/A</v>
      </c>
      <c r="O1108" t="e">
        <f ca="1">IFERROR(计算区域!O1110,NA())</f>
        <v>#N/A</v>
      </c>
      <c r="Q1108" t="e">
        <f ca="1">IFERROR(计算区域!R1110,NA())</f>
        <v>#N/A</v>
      </c>
      <c r="R1108" t="e">
        <f ca="1">IFERROR(计算区域!S1110,NA())</f>
        <v>#N/A</v>
      </c>
      <c r="S1108" t="e">
        <f ca="1">IFERROR(计算区域!T1110,NA())</f>
        <v>#N/A</v>
      </c>
      <c r="T1108" t="e">
        <f ca="1">IFERROR(计算区域!U1110,NA())</f>
        <v>#N/A</v>
      </c>
      <c r="V1108" t="e">
        <f ca="1">IFERROR(计算区域!X1110,NA())</f>
        <v>#N/A</v>
      </c>
      <c r="W1108" t="e">
        <f ca="1">IFERROR(计算区域!Y1110,NA())</f>
        <v>#N/A</v>
      </c>
      <c r="X1108" t="e">
        <f ca="1">IFERROR(计算区域!Z1110,NA())</f>
        <v>#N/A</v>
      </c>
      <c r="Y1108" t="e">
        <f ca="1">IFERROR(计算区域!AA1110,NA())</f>
        <v>#N/A</v>
      </c>
    </row>
    <row r="1109" spans="1:25" x14ac:dyDescent="0.2">
      <c r="A1109" s="28">
        <f>计算区域!E1111</f>
        <v>0</v>
      </c>
      <c r="B1109" t="e">
        <f ca="1">IFERROR(计算区域!AJ1111,NA())</f>
        <v>#N/A</v>
      </c>
      <c r="C1109" t="e">
        <f ca="1">IFERROR(计算区域!AK1111,NA())</f>
        <v>#N/A</v>
      </c>
      <c r="D1109" t="e">
        <f ca="1">IFERROR(计算区域!AL1111,NA())</f>
        <v>#N/A</v>
      </c>
      <c r="E1109" t="e">
        <f ca="1">IFERROR(计算区域!AM1111,NA())</f>
        <v>#N/A</v>
      </c>
      <c r="G1109" t="e">
        <f ca="1">IFERROR(计算区域!AD1111,NA())</f>
        <v>#N/A</v>
      </c>
      <c r="H1109" t="e">
        <f ca="1">IFERROR(计算区域!AE1111,NA())</f>
        <v>#N/A</v>
      </c>
      <c r="I1109" t="e">
        <f ca="1">IFERROR(计算区域!AF1111,NA())</f>
        <v>#N/A</v>
      </c>
      <c r="J1109" t="e">
        <f ca="1">IFERROR(计算区域!AG1111,NA())</f>
        <v>#N/A</v>
      </c>
      <c r="L1109" t="e">
        <f ca="1">IFERROR(计算区域!L1111,NA())</f>
        <v>#N/A</v>
      </c>
      <c r="M1109" t="e">
        <f ca="1">IFERROR(计算区域!M1111,NA())</f>
        <v>#N/A</v>
      </c>
      <c r="N1109" t="e">
        <f ca="1">IFERROR(计算区域!N1111,NA())</f>
        <v>#N/A</v>
      </c>
      <c r="O1109" t="e">
        <f ca="1">IFERROR(计算区域!O1111,NA())</f>
        <v>#N/A</v>
      </c>
      <c r="Q1109" t="e">
        <f ca="1">IFERROR(计算区域!R1111,NA())</f>
        <v>#N/A</v>
      </c>
      <c r="R1109" t="e">
        <f ca="1">IFERROR(计算区域!S1111,NA())</f>
        <v>#N/A</v>
      </c>
      <c r="S1109" t="e">
        <f ca="1">IFERROR(计算区域!T1111,NA())</f>
        <v>#N/A</v>
      </c>
      <c r="T1109" t="e">
        <f ca="1">IFERROR(计算区域!U1111,NA())</f>
        <v>#N/A</v>
      </c>
      <c r="V1109" t="e">
        <f ca="1">IFERROR(计算区域!X1111,NA())</f>
        <v>#N/A</v>
      </c>
      <c r="W1109" t="e">
        <f ca="1">IFERROR(计算区域!Y1111,NA())</f>
        <v>#N/A</v>
      </c>
      <c r="X1109" t="e">
        <f ca="1">IFERROR(计算区域!Z1111,NA())</f>
        <v>#N/A</v>
      </c>
      <c r="Y1109" t="e">
        <f ca="1">IFERROR(计算区域!AA1111,NA())</f>
        <v>#N/A</v>
      </c>
    </row>
    <row r="1110" spans="1:25" x14ac:dyDescent="0.2">
      <c r="A1110" s="28">
        <f>计算区域!E1112</f>
        <v>0</v>
      </c>
      <c r="B1110" t="e">
        <f ca="1">IFERROR(计算区域!AJ1112,NA())</f>
        <v>#N/A</v>
      </c>
      <c r="C1110" t="e">
        <f ca="1">IFERROR(计算区域!AK1112,NA())</f>
        <v>#N/A</v>
      </c>
      <c r="D1110" t="e">
        <f ca="1">IFERROR(计算区域!AL1112,NA())</f>
        <v>#N/A</v>
      </c>
      <c r="E1110" t="e">
        <f ca="1">IFERROR(计算区域!AM1112,NA())</f>
        <v>#N/A</v>
      </c>
      <c r="G1110" t="e">
        <f ca="1">IFERROR(计算区域!AD1112,NA())</f>
        <v>#N/A</v>
      </c>
      <c r="H1110" t="e">
        <f ca="1">IFERROR(计算区域!AE1112,NA())</f>
        <v>#N/A</v>
      </c>
      <c r="I1110" t="e">
        <f ca="1">IFERROR(计算区域!AF1112,NA())</f>
        <v>#N/A</v>
      </c>
      <c r="J1110" t="e">
        <f ca="1">IFERROR(计算区域!AG1112,NA())</f>
        <v>#N/A</v>
      </c>
      <c r="L1110" t="e">
        <f ca="1">IFERROR(计算区域!L1112,NA())</f>
        <v>#N/A</v>
      </c>
      <c r="M1110" t="e">
        <f ca="1">IFERROR(计算区域!M1112,NA())</f>
        <v>#N/A</v>
      </c>
      <c r="N1110" t="e">
        <f ca="1">IFERROR(计算区域!N1112,NA())</f>
        <v>#N/A</v>
      </c>
      <c r="O1110" t="e">
        <f ca="1">IFERROR(计算区域!O1112,NA())</f>
        <v>#N/A</v>
      </c>
      <c r="Q1110" t="e">
        <f ca="1">IFERROR(计算区域!R1112,NA())</f>
        <v>#N/A</v>
      </c>
      <c r="R1110" t="e">
        <f ca="1">IFERROR(计算区域!S1112,NA())</f>
        <v>#N/A</v>
      </c>
      <c r="S1110" t="e">
        <f ca="1">IFERROR(计算区域!T1112,NA())</f>
        <v>#N/A</v>
      </c>
      <c r="T1110" t="e">
        <f ca="1">IFERROR(计算区域!U1112,NA())</f>
        <v>#N/A</v>
      </c>
      <c r="V1110" t="e">
        <f ca="1">IFERROR(计算区域!X1112,NA())</f>
        <v>#N/A</v>
      </c>
      <c r="W1110" t="e">
        <f ca="1">IFERROR(计算区域!Y1112,NA())</f>
        <v>#N/A</v>
      </c>
      <c r="X1110" t="e">
        <f ca="1">IFERROR(计算区域!Z1112,NA())</f>
        <v>#N/A</v>
      </c>
      <c r="Y1110" t="e">
        <f ca="1">IFERROR(计算区域!AA1112,NA())</f>
        <v>#N/A</v>
      </c>
    </row>
    <row r="1111" spans="1:25" x14ac:dyDescent="0.2">
      <c r="A1111" s="28">
        <f>计算区域!E1113</f>
        <v>0</v>
      </c>
      <c r="B1111" t="e">
        <f ca="1">IFERROR(计算区域!AJ1113,NA())</f>
        <v>#N/A</v>
      </c>
      <c r="C1111" t="e">
        <f ca="1">IFERROR(计算区域!AK1113,NA())</f>
        <v>#N/A</v>
      </c>
      <c r="D1111" t="e">
        <f ca="1">IFERROR(计算区域!AL1113,NA())</f>
        <v>#N/A</v>
      </c>
      <c r="E1111" t="e">
        <f ca="1">IFERROR(计算区域!AM1113,NA())</f>
        <v>#N/A</v>
      </c>
      <c r="G1111" t="e">
        <f ca="1">IFERROR(计算区域!AD1113,NA())</f>
        <v>#N/A</v>
      </c>
      <c r="H1111" t="e">
        <f ca="1">IFERROR(计算区域!AE1113,NA())</f>
        <v>#N/A</v>
      </c>
      <c r="I1111" t="e">
        <f ca="1">IFERROR(计算区域!AF1113,NA())</f>
        <v>#N/A</v>
      </c>
      <c r="J1111" t="e">
        <f ca="1">IFERROR(计算区域!AG1113,NA())</f>
        <v>#N/A</v>
      </c>
      <c r="L1111" t="e">
        <f ca="1">IFERROR(计算区域!L1113,NA())</f>
        <v>#N/A</v>
      </c>
      <c r="M1111" t="e">
        <f ca="1">IFERROR(计算区域!M1113,NA())</f>
        <v>#N/A</v>
      </c>
      <c r="N1111" t="e">
        <f ca="1">IFERROR(计算区域!N1113,NA())</f>
        <v>#N/A</v>
      </c>
      <c r="O1111" t="e">
        <f ca="1">IFERROR(计算区域!O1113,NA())</f>
        <v>#N/A</v>
      </c>
      <c r="Q1111" t="e">
        <f ca="1">IFERROR(计算区域!R1113,NA())</f>
        <v>#N/A</v>
      </c>
      <c r="R1111" t="e">
        <f ca="1">IFERROR(计算区域!S1113,NA())</f>
        <v>#N/A</v>
      </c>
      <c r="S1111" t="e">
        <f ca="1">IFERROR(计算区域!T1113,NA())</f>
        <v>#N/A</v>
      </c>
      <c r="T1111" t="e">
        <f ca="1">IFERROR(计算区域!U1113,NA())</f>
        <v>#N/A</v>
      </c>
      <c r="V1111" t="e">
        <f ca="1">IFERROR(计算区域!X1113,NA())</f>
        <v>#N/A</v>
      </c>
      <c r="W1111" t="e">
        <f ca="1">IFERROR(计算区域!Y1113,NA())</f>
        <v>#N/A</v>
      </c>
      <c r="X1111" t="e">
        <f ca="1">IFERROR(计算区域!Z1113,NA())</f>
        <v>#N/A</v>
      </c>
      <c r="Y1111" t="e">
        <f ca="1">IFERROR(计算区域!AA1113,NA())</f>
        <v>#N/A</v>
      </c>
    </row>
    <row r="1112" spans="1:25" x14ac:dyDescent="0.2">
      <c r="A1112" s="28">
        <f>计算区域!E1114</f>
        <v>0</v>
      </c>
      <c r="B1112" t="e">
        <f ca="1">IFERROR(计算区域!AJ1114,NA())</f>
        <v>#N/A</v>
      </c>
      <c r="C1112" t="e">
        <f ca="1">IFERROR(计算区域!AK1114,NA())</f>
        <v>#N/A</v>
      </c>
      <c r="D1112" t="e">
        <f ca="1">IFERROR(计算区域!AL1114,NA())</f>
        <v>#N/A</v>
      </c>
      <c r="E1112" t="e">
        <f ca="1">IFERROR(计算区域!AM1114,NA())</f>
        <v>#N/A</v>
      </c>
      <c r="G1112" t="e">
        <f ca="1">IFERROR(计算区域!AD1114,NA())</f>
        <v>#N/A</v>
      </c>
      <c r="H1112" t="e">
        <f ca="1">IFERROR(计算区域!AE1114,NA())</f>
        <v>#N/A</v>
      </c>
      <c r="I1112" t="e">
        <f ca="1">IFERROR(计算区域!AF1114,NA())</f>
        <v>#N/A</v>
      </c>
      <c r="J1112" t="e">
        <f ca="1">IFERROR(计算区域!AG1114,NA())</f>
        <v>#N/A</v>
      </c>
      <c r="L1112" t="e">
        <f ca="1">IFERROR(计算区域!L1114,NA())</f>
        <v>#N/A</v>
      </c>
      <c r="M1112" t="e">
        <f ca="1">IFERROR(计算区域!M1114,NA())</f>
        <v>#N/A</v>
      </c>
      <c r="N1112" t="e">
        <f ca="1">IFERROR(计算区域!N1114,NA())</f>
        <v>#N/A</v>
      </c>
      <c r="O1112" t="e">
        <f ca="1">IFERROR(计算区域!O1114,NA())</f>
        <v>#N/A</v>
      </c>
      <c r="Q1112" t="e">
        <f ca="1">IFERROR(计算区域!R1114,NA())</f>
        <v>#N/A</v>
      </c>
      <c r="R1112" t="e">
        <f ca="1">IFERROR(计算区域!S1114,NA())</f>
        <v>#N/A</v>
      </c>
      <c r="S1112" t="e">
        <f ca="1">IFERROR(计算区域!T1114,NA())</f>
        <v>#N/A</v>
      </c>
      <c r="T1112" t="e">
        <f ca="1">IFERROR(计算区域!U1114,NA())</f>
        <v>#N/A</v>
      </c>
      <c r="V1112" t="e">
        <f ca="1">IFERROR(计算区域!X1114,NA())</f>
        <v>#N/A</v>
      </c>
      <c r="W1112" t="e">
        <f ca="1">IFERROR(计算区域!Y1114,NA())</f>
        <v>#N/A</v>
      </c>
      <c r="X1112" t="e">
        <f ca="1">IFERROR(计算区域!Z1114,NA())</f>
        <v>#N/A</v>
      </c>
      <c r="Y1112" t="e">
        <f ca="1">IFERROR(计算区域!AA1114,NA())</f>
        <v>#N/A</v>
      </c>
    </row>
    <row r="1113" spans="1:25" x14ac:dyDescent="0.2">
      <c r="A1113" s="28">
        <f>计算区域!E1115</f>
        <v>0</v>
      </c>
      <c r="B1113" t="e">
        <f ca="1">IFERROR(计算区域!AJ1115,NA())</f>
        <v>#N/A</v>
      </c>
      <c r="C1113" t="e">
        <f ca="1">IFERROR(计算区域!AK1115,NA())</f>
        <v>#N/A</v>
      </c>
      <c r="D1113" t="e">
        <f ca="1">IFERROR(计算区域!AL1115,NA())</f>
        <v>#N/A</v>
      </c>
      <c r="E1113" t="e">
        <f ca="1">IFERROR(计算区域!AM1115,NA())</f>
        <v>#N/A</v>
      </c>
      <c r="G1113" t="e">
        <f ca="1">IFERROR(计算区域!AD1115,NA())</f>
        <v>#N/A</v>
      </c>
      <c r="H1113" t="e">
        <f ca="1">IFERROR(计算区域!AE1115,NA())</f>
        <v>#N/A</v>
      </c>
      <c r="I1113" t="e">
        <f ca="1">IFERROR(计算区域!AF1115,NA())</f>
        <v>#N/A</v>
      </c>
      <c r="J1113" t="e">
        <f ca="1">IFERROR(计算区域!AG1115,NA())</f>
        <v>#N/A</v>
      </c>
      <c r="L1113" t="e">
        <f ca="1">IFERROR(计算区域!L1115,NA())</f>
        <v>#N/A</v>
      </c>
      <c r="M1113" t="e">
        <f ca="1">IFERROR(计算区域!M1115,NA())</f>
        <v>#N/A</v>
      </c>
      <c r="N1113" t="e">
        <f ca="1">IFERROR(计算区域!N1115,NA())</f>
        <v>#N/A</v>
      </c>
      <c r="O1113" t="e">
        <f ca="1">IFERROR(计算区域!O1115,NA())</f>
        <v>#N/A</v>
      </c>
      <c r="Q1113" t="e">
        <f ca="1">IFERROR(计算区域!R1115,NA())</f>
        <v>#N/A</v>
      </c>
      <c r="R1113" t="e">
        <f ca="1">IFERROR(计算区域!S1115,NA())</f>
        <v>#N/A</v>
      </c>
      <c r="S1113" t="e">
        <f ca="1">IFERROR(计算区域!T1115,NA())</f>
        <v>#N/A</v>
      </c>
      <c r="T1113" t="e">
        <f ca="1">IFERROR(计算区域!U1115,NA())</f>
        <v>#N/A</v>
      </c>
      <c r="V1113" t="e">
        <f ca="1">IFERROR(计算区域!X1115,NA())</f>
        <v>#N/A</v>
      </c>
      <c r="W1113" t="e">
        <f ca="1">IFERROR(计算区域!Y1115,NA())</f>
        <v>#N/A</v>
      </c>
      <c r="X1113" t="e">
        <f ca="1">IFERROR(计算区域!Z1115,NA())</f>
        <v>#N/A</v>
      </c>
      <c r="Y1113" t="e">
        <f ca="1">IFERROR(计算区域!AA1115,NA())</f>
        <v>#N/A</v>
      </c>
    </row>
    <row r="1114" spans="1:25" x14ac:dyDescent="0.2">
      <c r="A1114" s="28">
        <f>计算区域!E1116</f>
        <v>0</v>
      </c>
      <c r="B1114" t="e">
        <f ca="1">IFERROR(计算区域!AJ1116,NA())</f>
        <v>#N/A</v>
      </c>
      <c r="C1114" t="e">
        <f ca="1">IFERROR(计算区域!AK1116,NA())</f>
        <v>#N/A</v>
      </c>
      <c r="D1114" t="e">
        <f ca="1">IFERROR(计算区域!AL1116,NA())</f>
        <v>#N/A</v>
      </c>
      <c r="E1114" t="e">
        <f ca="1">IFERROR(计算区域!AM1116,NA())</f>
        <v>#N/A</v>
      </c>
      <c r="G1114" t="e">
        <f ca="1">IFERROR(计算区域!AD1116,NA())</f>
        <v>#N/A</v>
      </c>
      <c r="H1114" t="e">
        <f ca="1">IFERROR(计算区域!AE1116,NA())</f>
        <v>#N/A</v>
      </c>
      <c r="I1114" t="e">
        <f ca="1">IFERROR(计算区域!AF1116,NA())</f>
        <v>#N/A</v>
      </c>
      <c r="J1114" t="e">
        <f ca="1">IFERROR(计算区域!AG1116,NA())</f>
        <v>#N/A</v>
      </c>
      <c r="L1114" t="e">
        <f ca="1">IFERROR(计算区域!L1116,NA())</f>
        <v>#N/A</v>
      </c>
      <c r="M1114" t="e">
        <f ca="1">IFERROR(计算区域!M1116,NA())</f>
        <v>#N/A</v>
      </c>
      <c r="N1114" t="e">
        <f ca="1">IFERROR(计算区域!N1116,NA())</f>
        <v>#N/A</v>
      </c>
      <c r="O1114" t="e">
        <f ca="1">IFERROR(计算区域!O1116,NA())</f>
        <v>#N/A</v>
      </c>
      <c r="Q1114" t="e">
        <f ca="1">IFERROR(计算区域!R1116,NA())</f>
        <v>#N/A</v>
      </c>
      <c r="R1114" t="e">
        <f ca="1">IFERROR(计算区域!S1116,NA())</f>
        <v>#N/A</v>
      </c>
      <c r="S1114" t="e">
        <f ca="1">IFERROR(计算区域!T1116,NA())</f>
        <v>#N/A</v>
      </c>
      <c r="T1114" t="e">
        <f ca="1">IFERROR(计算区域!U1116,NA())</f>
        <v>#N/A</v>
      </c>
      <c r="V1114" t="e">
        <f ca="1">IFERROR(计算区域!X1116,NA())</f>
        <v>#N/A</v>
      </c>
      <c r="W1114" t="e">
        <f ca="1">IFERROR(计算区域!Y1116,NA())</f>
        <v>#N/A</v>
      </c>
      <c r="X1114" t="e">
        <f ca="1">IFERROR(计算区域!Z1116,NA())</f>
        <v>#N/A</v>
      </c>
      <c r="Y1114" t="e">
        <f ca="1">IFERROR(计算区域!AA1116,NA())</f>
        <v>#N/A</v>
      </c>
    </row>
    <row r="1115" spans="1:25" x14ac:dyDescent="0.2">
      <c r="A1115" s="28">
        <f>计算区域!E1117</f>
        <v>0</v>
      </c>
      <c r="B1115" t="e">
        <f ca="1">IFERROR(计算区域!AJ1117,NA())</f>
        <v>#N/A</v>
      </c>
      <c r="C1115" t="e">
        <f ca="1">IFERROR(计算区域!AK1117,NA())</f>
        <v>#N/A</v>
      </c>
      <c r="D1115" t="e">
        <f ca="1">IFERROR(计算区域!AL1117,NA())</f>
        <v>#N/A</v>
      </c>
      <c r="E1115" t="e">
        <f ca="1">IFERROR(计算区域!AM1117,NA())</f>
        <v>#N/A</v>
      </c>
      <c r="G1115" t="e">
        <f ca="1">IFERROR(计算区域!AD1117,NA())</f>
        <v>#N/A</v>
      </c>
      <c r="H1115" t="e">
        <f ca="1">IFERROR(计算区域!AE1117,NA())</f>
        <v>#N/A</v>
      </c>
      <c r="I1115" t="e">
        <f ca="1">IFERROR(计算区域!AF1117,NA())</f>
        <v>#N/A</v>
      </c>
      <c r="J1115" t="e">
        <f ca="1">IFERROR(计算区域!AG1117,NA())</f>
        <v>#N/A</v>
      </c>
      <c r="L1115" t="e">
        <f ca="1">IFERROR(计算区域!L1117,NA())</f>
        <v>#N/A</v>
      </c>
      <c r="M1115" t="e">
        <f ca="1">IFERROR(计算区域!M1117,NA())</f>
        <v>#N/A</v>
      </c>
      <c r="N1115" t="e">
        <f ca="1">IFERROR(计算区域!N1117,NA())</f>
        <v>#N/A</v>
      </c>
      <c r="O1115" t="e">
        <f ca="1">IFERROR(计算区域!O1117,NA())</f>
        <v>#N/A</v>
      </c>
      <c r="Q1115" t="e">
        <f ca="1">IFERROR(计算区域!R1117,NA())</f>
        <v>#N/A</v>
      </c>
      <c r="R1115" t="e">
        <f ca="1">IFERROR(计算区域!S1117,NA())</f>
        <v>#N/A</v>
      </c>
      <c r="S1115" t="e">
        <f ca="1">IFERROR(计算区域!T1117,NA())</f>
        <v>#N/A</v>
      </c>
      <c r="T1115" t="e">
        <f ca="1">IFERROR(计算区域!U1117,NA())</f>
        <v>#N/A</v>
      </c>
      <c r="V1115" t="e">
        <f ca="1">IFERROR(计算区域!X1117,NA())</f>
        <v>#N/A</v>
      </c>
      <c r="W1115" t="e">
        <f ca="1">IFERROR(计算区域!Y1117,NA())</f>
        <v>#N/A</v>
      </c>
      <c r="X1115" t="e">
        <f ca="1">IFERROR(计算区域!Z1117,NA())</f>
        <v>#N/A</v>
      </c>
      <c r="Y1115" t="e">
        <f ca="1">IFERROR(计算区域!AA1117,NA())</f>
        <v>#N/A</v>
      </c>
    </row>
    <row r="1116" spans="1:25" x14ac:dyDescent="0.2">
      <c r="A1116" s="28">
        <f>计算区域!E1118</f>
        <v>0</v>
      </c>
      <c r="B1116" t="e">
        <f ca="1">IFERROR(计算区域!AJ1118,NA())</f>
        <v>#N/A</v>
      </c>
      <c r="C1116" t="e">
        <f ca="1">IFERROR(计算区域!AK1118,NA())</f>
        <v>#N/A</v>
      </c>
      <c r="D1116" t="e">
        <f ca="1">IFERROR(计算区域!AL1118,NA())</f>
        <v>#N/A</v>
      </c>
      <c r="E1116" t="e">
        <f ca="1">IFERROR(计算区域!AM1118,NA())</f>
        <v>#N/A</v>
      </c>
      <c r="G1116" t="e">
        <f ca="1">IFERROR(计算区域!AD1118,NA())</f>
        <v>#N/A</v>
      </c>
      <c r="H1116" t="e">
        <f ca="1">IFERROR(计算区域!AE1118,NA())</f>
        <v>#N/A</v>
      </c>
      <c r="I1116" t="e">
        <f ca="1">IFERROR(计算区域!AF1118,NA())</f>
        <v>#N/A</v>
      </c>
      <c r="J1116" t="e">
        <f ca="1">IFERROR(计算区域!AG1118,NA())</f>
        <v>#N/A</v>
      </c>
      <c r="L1116" t="e">
        <f ca="1">IFERROR(计算区域!L1118,NA())</f>
        <v>#N/A</v>
      </c>
      <c r="M1116" t="e">
        <f ca="1">IFERROR(计算区域!M1118,NA())</f>
        <v>#N/A</v>
      </c>
      <c r="N1116" t="e">
        <f ca="1">IFERROR(计算区域!N1118,NA())</f>
        <v>#N/A</v>
      </c>
      <c r="O1116" t="e">
        <f ca="1">IFERROR(计算区域!O1118,NA())</f>
        <v>#N/A</v>
      </c>
      <c r="Q1116" t="e">
        <f ca="1">IFERROR(计算区域!R1118,NA())</f>
        <v>#N/A</v>
      </c>
      <c r="R1116" t="e">
        <f ca="1">IFERROR(计算区域!S1118,NA())</f>
        <v>#N/A</v>
      </c>
      <c r="S1116" t="e">
        <f ca="1">IFERROR(计算区域!T1118,NA())</f>
        <v>#N/A</v>
      </c>
      <c r="T1116" t="e">
        <f ca="1">IFERROR(计算区域!U1118,NA())</f>
        <v>#N/A</v>
      </c>
      <c r="V1116" t="e">
        <f ca="1">IFERROR(计算区域!X1118,NA())</f>
        <v>#N/A</v>
      </c>
      <c r="W1116" t="e">
        <f ca="1">IFERROR(计算区域!Y1118,NA())</f>
        <v>#N/A</v>
      </c>
      <c r="X1116" t="e">
        <f ca="1">IFERROR(计算区域!Z1118,NA())</f>
        <v>#N/A</v>
      </c>
      <c r="Y1116" t="e">
        <f ca="1">IFERROR(计算区域!AA1118,NA())</f>
        <v>#N/A</v>
      </c>
    </row>
    <row r="1117" spans="1:25" x14ac:dyDescent="0.2">
      <c r="A1117" s="28">
        <f>计算区域!E1119</f>
        <v>0</v>
      </c>
      <c r="B1117" t="e">
        <f ca="1">IFERROR(计算区域!AJ1119,NA())</f>
        <v>#N/A</v>
      </c>
      <c r="C1117" t="e">
        <f ca="1">IFERROR(计算区域!AK1119,NA())</f>
        <v>#N/A</v>
      </c>
      <c r="D1117" t="e">
        <f ca="1">IFERROR(计算区域!AL1119,NA())</f>
        <v>#N/A</v>
      </c>
      <c r="E1117" t="e">
        <f ca="1">IFERROR(计算区域!AM1119,NA())</f>
        <v>#N/A</v>
      </c>
      <c r="G1117" t="e">
        <f ca="1">IFERROR(计算区域!AD1119,NA())</f>
        <v>#N/A</v>
      </c>
      <c r="H1117" t="e">
        <f ca="1">IFERROR(计算区域!AE1119,NA())</f>
        <v>#N/A</v>
      </c>
      <c r="I1117" t="e">
        <f ca="1">IFERROR(计算区域!AF1119,NA())</f>
        <v>#N/A</v>
      </c>
      <c r="J1117" t="e">
        <f ca="1">IFERROR(计算区域!AG1119,NA())</f>
        <v>#N/A</v>
      </c>
      <c r="L1117" t="e">
        <f ca="1">IFERROR(计算区域!L1119,NA())</f>
        <v>#N/A</v>
      </c>
      <c r="M1117" t="e">
        <f ca="1">IFERROR(计算区域!M1119,NA())</f>
        <v>#N/A</v>
      </c>
      <c r="N1117" t="e">
        <f ca="1">IFERROR(计算区域!N1119,NA())</f>
        <v>#N/A</v>
      </c>
      <c r="O1117" t="e">
        <f ca="1">IFERROR(计算区域!O1119,NA())</f>
        <v>#N/A</v>
      </c>
      <c r="Q1117" t="e">
        <f ca="1">IFERROR(计算区域!R1119,NA())</f>
        <v>#N/A</v>
      </c>
      <c r="R1117" t="e">
        <f ca="1">IFERROR(计算区域!S1119,NA())</f>
        <v>#N/A</v>
      </c>
      <c r="S1117" t="e">
        <f ca="1">IFERROR(计算区域!T1119,NA())</f>
        <v>#N/A</v>
      </c>
      <c r="T1117" t="e">
        <f ca="1">IFERROR(计算区域!U1119,NA())</f>
        <v>#N/A</v>
      </c>
      <c r="V1117" t="e">
        <f ca="1">IFERROR(计算区域!X1119,NA())</f>
        <v>#N/A</v>
      </c>
      <c r="W1117" t="e">
        <f ca="1">IFERROR(计算区域!Y1119,NA())</f>
        <v>#N/A</v>
      </c>
      <c r="X1117" t="e">
        <f ca="1">IFERROR(计算区域!Z1119,NA())</f>
        <v>#N/A</v>
      </c>
      <c r="Y1117" t="e">
        <f ca="1">IFERROR(计算区域!AA1119,NA())</f>
        <v>#N/A</v>
      </c>
    </row>
    <row r="1118" spans="1:25" x14ac:dyDescent="0.2">
      <c r="A1118" s="28">
        <f>计算区域!E1120</f>
        <v>0</v>
      </c>
      <c r="B1118" t="e">
        <f ca="1">IFERROR(计算区域!AJ1120,NA())</f>
        <v>#N/A</v>
      </c>
      <c r="C1118" t="e">
        <f ca="1">IFERROR(计算区域!AK1120,NA())</f>
        <v>#N/A</v>
      </c>
      <c r="D1118" t="e">
        <f ca="1">IFERROR(计算区域!AL1120,NA())</f>
        <v>#N/A</v>
      </c>
      <c r="E1118" t="e">
        <f ca="1">IFERROR(计算区域!AM1120,NA())</f>
        <v>#N/A</v>
      </c>
      <c r="G1118" t="e">
        <f ca="1">IFERROR(计算区域!AD1120,NA())</f>
        <v>#N/A</v>
      </c>
      <c r="H1118" t="e">
        <f ca="1">IFERROR(计算区域!AE1120,NA())</f>
        <v>#N/A</v>
      </c>
      <c r="I1118" t="e">
        <f ca="1">IFERROR(计算区域!AF1120,NA())</f>
        <v>#N/A</v>
      </c>
      <c r="J1118" t="e">
        <f ca="1">IFERROR(计算区域!AG1120,NA())</f>
        <v>#N/A</v>
      </c>
      <c r="L1118" t="e">
        <f ca="1">IFERROR(计算区域!L1120,NA())</f>
        <v>#N/A</v>
      </c>
      <c r="M1118" t="e">
        <f ca="1">IFERROR(计算区域!M1120,NA())</f>
        <v>#N/A</v>
      </c>
      <c r="N1118" t="e">
        <f ca="1">IFERROR(计算区域!N1120,NA())</f>
        <v>#N/A</v>
      </c>
      <c r="O1118" t="e">
        <f ca="1">IFERROR(计算区域!O1120,NA())</f>
        <v>#N/A</v>
      </c>
      <c r="Q1118" t="e">
        <f ca="1">IFERROR(计算区域!R1120,NA())</f>
        <v>#N/A</v>
      </c>
      <c r="R1118" t="e">
        <f ca="1">IFERROR(计算区域!S1120,NA())</f>
        <v>#N/A</v>
      </c>
      <c r="S1118" t="e">
        <f ca="1">IFERROR(计算区域!T1120,NA())</f>
        <v>#N/A</v>
      </c>
      <c r="T1118" t="e">
        <f ca="1">IFERROR(计算区域!U1120,NA())</f>
        <v>#N/A</v>
      </c>
      <c r="V1118" t="e">
        <f ca="1">IFERROR(计算区域!X1120,NA())</f>
        <v>#N/A</v>
      </c>
      <c r="W1118" t="e">
        <f ca="1">IFERROR(计算区域!Y1120,NA())</f>
        <v>#N/A</v>
      </c>
      <c r="X1118" t="e">
        <f ca="1">IFERROR(计算区域!Z1120,NA())</f>
        <v>#N/A</v>
      </c>
      <c r="Y1118" t="e">
        <f ca="1">IFERROR(计算区域!AA1120,NA())</f>
        <v>#N/A</v>
      </c>
    </row>
    <row r="1119" spans="1:25" x14ac:dyDescent="0.2">
      <c r="A1119" s="28">
        <f>计算区域!E1121</f>
        <v>0</v>
      </c>
      <c r="B1119" t="e">
        <f ca="1">IFERROR(计算区域!AJ1121,NA())</f>
        <v>#N/A</v>
      </c>
      <c r="C1119" t="e">
        <f ca="1">IFERROR(计算区域!AK1121,NA())</f>
        <v>#N/A</v>
      </c>
      <c r="D1119" t="e">
        <f ca="1">IFERROR(计算区域!AL1121,NA())</f>
        <v>#N/A</v>
      </c>
      <c r="E1119" t="e">
        <f ca="1">IFERROR(计算区域!AM1121,NA())</f>
        <v>#N/A</v>
      </c>
      <c r="G1119" t="e">
        <f ca="1">IFERROR(计算区域!AD1121,NA())</f>
        <v>#N/A</v>
      </c>
      <c r="H1119" t="e">
        <f ca="1">IFERROR(计算区域!AE1121,NA())</f>
        <v>#N/A</v>
      </c>
      <c r="I1119" t="e">
        <f ca="1">IFERROR(计算区域!AF1121,NA())</f>
        <v>#N/A</v>
      </c>
      <c r="J1119" t="e">
        <f ca="1">IFERROR(计算区域!AG1121,NA())</f>
        <v>#N/A</v>
      </c>
      <c r="L1119" t="e">
        <f ca="1">IFERROR(计算区域!L1121,NA())</f>
        <v>#N/A</v>
      </c>
      <c r="M1119" t="e">
        <f ca="1">IFERROR(计算区域!M1121,NA())</f>
        <v>#N/A</v>
      </c>
      <c r="N1119" t="e">
        <f ca="1">IFERROR(计算区域!N1121,NA())</f>
        <v>#N/A</v>
      </c>
      <c r="O1119" t="e">
        <f ca="1">IFERROR(计算区域!O1121,NA())</f>
        <v>#N/A</v>
      </c>
      <c r="Q1119" t="e">
        <f ca="1">IFERROR(计算区域!R1121,NA())</f>
        <v>#N/A</v>
      </c>
      <c r="R1119" t="e">
        <f ca="1">IFERROR(计算区域!S1121,NA())</f>
        <v>#N/A</v>
      </c>
      <c r="S1119" t="e">
        <f ca="1">IFERROR(计算区域!T1121,NA())</f>
        <v>#N/A</v>
      </c>
      <c r="T1119" t="e">
        <f ca="1">IFERROR(计算区域!U1121,NA())</f>
        <v>#N/A</v>
      </c>
      <c r="V1119" t="e">
        <f ca="1">IFERROR(计算区域!X1121,NA())</f>
        <v>#N/A</v>
      </c>
      <c r="W1119" t="e">
        <f ca="1">IFERROR(计算区域!Y1121,NA())</f>
        <v>#N/A</v>
      </c>
      <c r="X1119" t="e">
        <f ca="1">IFERROR(计算区域!Z1121,NA())</f>
        <v>#N/A</v>
      </c>
      <c r="Y1119" t="e">
        <f ca="1">IFERROR(计算区域!AA1121,NA())</f>
        <v>#N/A</v>
      </c>
    </row>
    <row r="1120" spans="1:25" x14ac:dyDescent="0.2">
      <c r="A1120" s="28">
        <f>计算区域!E1122</f>
        <v>0</v>
      </c>
      <c r="B1120" t="e">
        <f ca="1">IFERROR(计算区域!AJ1122,NA())</f>
        <v>#N/A</v>
      </c>
      <c r="C1120" t="e">
        <f ca="1">IFERROR(计算区域!AK1122,NA())</f>
        <v>#N/A</v>
      </c>
      <c r="D1120" t="e">
        <f ca="1">IFERROR(计算区域!AL1122,NA())</f>
        <v>#N/A</v>
      </c>
      <c r="E1120" t="e">
        <f ca="1">IFERROR(计算区域!AM1122,NA())</f>
        <v>#N/A</v>
      </c>
      <c r="G1120" t="e">
        <f ca="1">IFERROR(计算区域!AD1122,NA())</f>
        <v>#N/A</v>
      </c>
      <c r="H1120" t="e">
        <f ca="1">IFERROR(计算区域!AE1122,NA())</f>
        <v>#N/A</v>
      </c>
      <c r="I1120" t="e">
        <f ca="1">IFERROR(计算区域!AF1122,NA())</f>
        <v>#N/A</v>
      </c>
      <c r="J1120" t="e">
        <f ca="1">IFERROR(计算区域!AG1122,NA())</f>
        <v>#N/A</v>
      </c>
      <c r="L1120" t="e">
        <f ca="1">IFERROR(计算区域!L1122,NA())</f>
        <v>#N/A</v>
      </c>
      <c r="M1120" t="e">
        <f ca="1">IFERROR(计算区域!M1122,NA())</f>
        <v>#N/A</v>
      </c>
      <c r="N1120" t="e">
        <f ca="1">IFERROR(计算区域!N1122,NA())</f>
        <v>#N/A</v>
      </c>
      <c r="O1120" t="e">
        <f ca="1">IFERROR(计算区域!O1122,NA())</f>
        <v>#N/A</v>
      </c>
      <c r="Q1120" t="e">
        <f ca="1">IFERROR(计算区域!R1122,NA())</f>
        <v>#N/A</v>
      </c>
      <c r="R1120" t="e">
        <f ca="1">IFERROR(计算区域!S1122,NA())</f>
        <v>#N/A</v>
      </c>
      <c r="S1120" t="e">
        <f ca="1">IFERROR(计算区域!T1122,NA())</f>
        <v>#N/A</v>
      </c>
      <c r="T1120" t="e">
        <f ca="1">IFERROR(计算区域!U1122,NA())</f>
        <v>#N/A</v>
      </c>
      <c r="V1120" t="e">
        <f ca="1">IFERROR(计算区域!X1122,NA())</f>
        <v>#N/A</v>
      </c>
      <c r="W1120" t="e">
        <f ca="1">IFERROR(计算区域!Y1122,NA())</f>
        <v>#N/A</v>
      </c>
      <c r="X1120" t="e">
        <f ca="1">IFERROR(计算区域!Z1122,NA())</f>
        <v>#N/A</v>
      </c>
      <c r="Y1120" t="e">
        <f ca="1">IFERROR(计算区域!AA1122,NA())</f>
        <v>#N/A</v>
      </c>
    </row>
    <row r="1121" spans="1:25" x14ac:dyDescent="0.2">
      <c r="A1121" s="28">
        <f>计算区域!E1123</f>
        <v>0</v>
      </c>
      <c r="B1121" t="e">
        <f ca="1">IFERROR(计算区域!AJ1123,NA())</f>
        <v>#N/A</v>
      </c>
      <c r="C1121" t="e">
        <f ca="1">IFERROR(计算区域!AK1123,NA())</f>
        <v>#N/A</v>
      </c>
      <c r="D1121" t="e">
        <f ca="1">IFERROR(计算区域!AL1123,NA())</f>
        <v>#N/A</v>
      </c>
      <c r="E1121" t="e">
        <f ca="1">IFERROR(计算区域!AM1123,NA())</f>
        <v>#N/A</v>
      </c>
      <c r="G1121" t="e">
        <f ca="1">IFERROR(计算区域!AD1123,NA())</f>
        <v>#N/A</v>
      </c>
      <c r="H1121" t="e">
        <f ca="1">IFERROR(计算区域!AE1123,NA())</f>
        <v>#N/A</v>
      </c>
      <c r="I1121" t="e">
        <f ca="1">IFERROR(计算区域!AF1123,NA())</f>
        <v>#N/A</v>
      </c>
      <c r="J1121" t="e">
        <f ca="1">IFERROR(计算区域!AG1123,NA())</f>
        <v>#N/A</v>
      </c>
      <c r="L1121" t="e">
        <f ca="1">IFERROR(计算区域!L1123,NA())</f>
        <v>#N/A</v>
      </c>
      <c r="M1121" t="e">
        <f ca="1">IFERROR(计算区域!M1123,NA())</f>
        <v>#N/A</v>
      </c>
      <c r="N1121" t="e">
        <f ca="1">IFERROR(计算区域!N1123,NA())</f>
        <v>#N/A</v>
      </c>
      <c r="O1121" t="e">
        <f ca="1">IFERROR(计算区域!O1123,NA())</f>
        <v>#N/A</v>
      </c>
      <c r="Q1121" t="e">
        <f ca="1">IFERROR(计算区域!R1123,NA())</f>
        <v>#N/A</v>
      </c>
      <c r="R1121" t="e">
        <f ca="1">IFERROR(计算区域!S1123,NA())</f>
        <v>#N/A</v>
      </c>
      <c r="S1121" t="e">
        <f ca="1">IFERROR(计算区域!T1123,NA())</f>
        <v>#N/A</v>
      </c>
      <c r="T1121" t="e">
        <f ca="1">IFERROR(计算区域!U1123,NA())</f>
        <v>#N/A</v>
      </c>
      <c r="V1121" t="e">
        <f ca="1">IFERROR(计算区域!X1123,NA())</f>
        <v>#N/A</v>
      </c>
      <c r="W1121" t="e">
        <f ca="1">IFERROR(计算区域!Y1123,NA())</f>
        <v>#N/A</v>
      </c>
      <c r="X1121" t="e">
        <f ca="1">IFERROR(计算区域!Z1123,NA())</f>
        <v>#N/A</v>
      </c>
      <c r="Y1121" t="e">
        <f ca="1">IFERROR(计算区域!AA1123,NA())</f>
        <v>#N/A</v>
      </c>
    </row>
    <row r="1122" spans="1:25" x14ac:dyDescent="0.2">
      <c r="A1122" s="28">
        <f>计算区域!E1124</f>
        <v>0</v>
      </c>
      <c r="B1122" t="e">
        <f ca="1">IFERROR(计算区域!AJ1124,NA())</f>
        <v>#N/A</v>
      </c>
      <c r="C1122" t="e">
        <f ca="1">IFERROR(计算区域!AK1124,NA())</f>
        <v>#N/A</v>
      </c>
      <c r="D1122" t="e">
        <f ca="1">IFERROR(计算区域!AL1124,NA())</f>
        <v>#N/A</v>
      </c>
      <c r="E1122" t="e">
        <f ca="1">IFERROR(计算区域!AM1124,NA())</f>
        <v>#N/A</v>
      </c>
      <c r="G1122" t="e">
        <f ca="1">IFERROR(计算区域!AD1124,NA())</f>
        <v>#N/A</v>
      </c>
      <c r="H1122" t="e">
        <f ca="1">IFERROR(计算区域!AE1124,NA())</f>
        <v>#N/A</v>
      </c>
      <c r="I1122" t="e">
        <f ca="1">IFERROR(计算区域!AF1124,NA())</f>
        <v>#N/A</v>
      </c>
      <c r="J1122" t="e">
        <f ca="1">IFERROR(计算区域!AG1124,NA())</f>
        <v>#N/A</v>
      </c>
      <c r="L1122" t="e">
        <f ca="1">IFERROR(计算区域!L1124,NA())</f>
        <v>#N/A</v>
      </c>
      <c r="M1122" t="e">
        <f ca="1">IFERROR(计算区域!M1124,NA())</f>
        <v>#N/A</v>
      </c>
      <c r="N1122" t="e">
        <f ca="1">IFERROR(计算区域!N1124,NA())</f>
        <v>#N/A</v>
      </c>
      <c r="O1122" t="e">
        <f ca="1">IFERROR(计算区域!O1124,NA())</f>
        <v>#N/A</v>
      </c>
      <c r="Q1122" t="e">
        <f ca="1">IFERROR(计算区域!R1124,NA())</f>
        <v>#N/A</v>
      </c>
      <c r="R1122" t="e">
        <f ca="1">IFERROR(计算区域!S1124,NA())</f>
        <v>#N/A</v>
      </c>
      <c r="S1122" t="e">
        <f ca="1">IFERROR(计算区域!T1124,NA())</f>
        <v>#N/A</v>
      </c>
      <c r="T1122" t="e">
        <f ca="1">IFERROR(计算区域!U1124,NA())</f>
        <v>#N/A</v>
      </c>
      <c r="V1122" t="e">
        <f ca="1">IFERROR(计算区域!X1124,NA())</f>
        <v>#N/A</v>
      </c>
      <c r="W1122" t="e">
        <f ca="1">IFERROR(计算区域!Y1124,NA())</f>
        <v>#N/A</v>
      </c>
      <c r="X1122" t="e">
        <f ca="1">IFERROR(计算区域!Z1124,NA())</f>
        <v>#N/A</v>
      </c>
      <c r="Y1122" t="e">
        <f ca="1">IFERROR(计算区域!AA1124,NA())</f>
        <v>#N/A</v>
      </c>
    </row>
    <row r="1123" spans="1:25" x14ac:dyDescent="0.2">
      <c r="A1123" s="28">
        <f>计算区域!E1125</f>
        <v>0</v>
      </c>
      <c r="B1123" t="e">
        <f ca="1">IFERROR(计算区域!AJ1125,NA())</f>
        <v>#N/A</v>
      </c>
      <c r="C1123" t="e">
        <f ca="1">IFERROR(计算区域!AK1125,NA())</f>
        <v>#N/A</v>
      </c>
      <c r="D1123" t="e">
        <f ca="1">IFERROR(计算区域!AL1125,NA())</f>
        <v>#N/A</v>
      </c>
      <c r="E1123" t="e">
        <f ca="1">IFERROR(计算区域!AM1125,NA())</f>
        <v>#N/A</v>
      </c>
      <c r="G1123" t="e">
        <f ca="1">IFERROR(计算区域!AD1125,NA())</f>
        <v>#N/A</v>
      </c>
      <c r="H1123" t="e">
        <f ca="1">IFERROR(计算区域!AE1125,NA())</f>
        <v>#N/A</v>
      </c>
      <c r="I1123" t="e">
        <f ca="1">IFERROR(计算区域!AF1125,NA())</f>
        <v>#N/A</v>
      </c>
      <c r="J1123" t="e">
        <f ca="1">IFERROR(计算区域!AG1125,NA())</f>
        <v>#N/A</v>
      </c>
      <c r="L1123" t="e">
        <f ca="1">IFERROR(计算区域!L1125,NA())</f>
        <v>#N/A</v>
      </c>
      <c r="M1123" t="e">
        <f ca="1">IFERROR(计算区域!M1125,NA())</f>
        <v>#N/A</v>
      </c>
      <c r="N1123" t="e">
        <f ca="1">IFERROR(计算区域!N1125,NA())</f>
        <v>#N/A</v>
      </c>
      <c r="O1123" t="e">
        <f ca="1">IFERROR(计算区域!O1125,NA())</f>
        <v>#N/A</v>
      </c>
      <c r="Q1123" t="e">
        <f ca="1">IFERROR(计算区域!R1125,NA())</f>
        <v>#N/A</v>
      </c>
      <c r="R1123" t="e">
        <f ca="1">IFERROR(计算区域!S1125,NA())</f>
        <v>#N/A</v>
      </c>
      <c r="S1123" t="e">
        <f ca="1">IFERROR(计算区域!T1125,NA())</f>
        <v>#N/A</v>
      </c>
      <c r="T1123" t="e">
        <f ca="1">IFERROR(计算区域!U1125,NA())</f>
        <v>#N/A</v>
      </c>
      <c r="V1123" t="e">
        <f ca="1">IFERROR(计算区域!X1125,NA())</f>
        <v>#N/A</v>
      </c>
      <c r="W1123" t="e">
        <f ca="1">IFERROR(计算区域!Y1125,NA())</f>
        <v>#N/A</v>
      </c>
      <c r="X1123" t="e">
        <f ca="1">IFERROR(计算区域!Z1125,NA())</f>
        <v>#N/A</v>
      </c>
      <c r="Y1123" t="e">
        <f ca="1">IFERROR(计算区域!AA1125,NA())</f>
        <v>#N/A</v>
      </c>
    </row>
    <row r="1124" spans="1:25" x14ac:dyDescent="0.2">
      <c r="A1124" s="28">
        <f>计算区域!E1126</f>
        <v>0</v>
      </c>
      <c r="B1124" t="e">
        <f ca="1">IFERROR(计算区域!AJ1126,NA())</f>
        <v>#N/A</v>
      </c>
      <c r="C1124" t="e">
        <f ca="1">IFERROR(计算区域!AK1126,NA())</f>
        <v>#N/A</v>
      </c>
      <c r="D1124" t="e">
        <f ca="1">IFERROR(计算区域!AL1126,NA())</f>
        <v>#N/A</v>
      </c>
      <c r="E1124" t="e">
        <f ca="1">IFERROR(计算区域!AM1126,NA())</f>
        <v>#N/A</v>
      </c>
      <c r="G1124" t="e">
        <f ca="1">IFERROR(计算区域!AD1126,NA())</f>
        <v>#N/A</v>
      </c>
      <c r="H1124" t="e">
        <f ca="1">IFERROR(计算区域!AE1126,NA())</f>
        <v>#N/A</v>
      </c>
      <c r="I1124" t="e">
        <f ca="1">IFERROR(计算区域!AF1126,NA())</f>
        <v>#N/A</v>
      </c>
      <c r="J1124" t="e">
        <f ca="1">IFERROR(计算区域!AG1126,NA())</f>
        <v>#N/A</v>
      </c>
      <c r="L1124" t="e">
        <f ca="1">IFERROR(计算区域!L1126,NA())</f>
        <v>#N/A</v>
      </c>
      <c r="M1124" t="e">
        <f ca="1">IFERROR(计算区域!M1126,NA())</f>
        <v>#N/A</v>
      </c>
      <c r="N1124" t="e">
        <f ca="1">IFERROR(计算区域!N1126,NA())</f>
        <v>#N/A</v>
      </c>
      <c r="O1124" t="e">
        <f ca="1">IFERROR(计算区域!O1126,NA())</f>
        <v>#N/A</v>
      </c>
      <c r="Q1124" t="e">
        <f ca="1">IFERROR(计算区域!R1126,NA())</f>
        <v>#N/A</v>
      </c>
      <c r="R1124" t="e">
        <f ca="1">IFERROR(计算区域!S1126,NA())</f>
        <v>#N/A</v>
      </c>
      <c r="S1124" t="e">
        <f ca="1">IFERROR(计算区域!T1126,NA())</f>
        <v>#N/A</v>
      </c>
      <c r="T1124" t="e">
        <f ca="1">IFERROR(计算区域!U1126,NA())</f>
        <v>#N/A</v>
      </c>
      <c r="V1124" t="e">
        <f ca="1">IFERROR(计算区域!X1126,NA())</f>
        <v>#N/A</v>
      </c>
      <c r="W1124" t="e">
        <f ca="1">IFERROR(计算区域!Y1126,NA())</f>
        <v>#N/A</v>
      </c>
      <c r="X1124" t="e">
        <f ca="1">IFERROR(计算区域!Z1126,NA())</f>
        <v>#N/A</v>
      </c>
      <c r="Y1124" t="e">
        <f ca="1">IFERROR(计算区域!AA1126,NA())</f>
        <v>#N/A</v>
      </c>
    </row>
    <row r="1125" spans="1:25" x14ac:dyDescent="0.2">
      <c r="A1125" s="28">
        <f>计算区域!E1127</f>
        <v>0</v>
      </c>
      <c r="B1125" t="e">
        <f ca="1">IFERROR(计算区域!AJ1127,NA())</f>
        <v>#N/A</v>
      </c>
      <c r="C1125" t="e">
        <f ca="1">IFERROR(计算区域!AK1127,NA())</f>
        <v>#N/A</v>
      </c>
      <c r="D1125" t="e">
        <f ca="1">IFERROR(计算区域!AL1127,NA())</f>
        <v>#N/A</v>
      </c>
      <c r="E1125" t="e">
        <f ca="1">IFERROR(计算区域!AM1127,NA())</f>
        <v>#N/A</v>
      </c>
      <c r="G1125" t="e">
        <f ca="1">IFERROR(计算区域!AD1127,NA())</f>
        <v>#N/A</v>
      </c>
      <c r="H1125" t="e">
        <f ca="1">IFERROR(计算区域!AE1127,NA())</f>
        <v>#N/A</v>
      </c>
      <c r="I1125" t="e">
        <f ca="1">IFERROR(计算区域!AF1127,NA())</f>
        <v>#N/A</v>
      </c>
      <c r="J1125" t="e">
        <f ca="1">IFERROR(计算区域!AG1127,NA())</f>
        <v>#N/A</v>
      </c>
      <c r="L1125" t="e">
        <f ca="1">IFERROR(计算区域!L1127,NA())</f>
        <v>#N/A</v>
      </c>
      <c r="M1125" t="e">
        <f ca="1">IFERROR(计算区域!M1127,NA())</f>
        <v>#N/A</v>
      </c>
      <c r="N1125" t="e">
        <f ca="1">IFERROR(计算区域!N1127,NA())</f>
        <v>#N/A</v>
      </c>
      <c r="O1125" t="e">
        <f ca="1">IFERROR(计算区域!O1127,NA())</f>
        <v>#N/A</v>
      </c>
      <c r="Q1125" t="e">
        <f ca="1">IFERROR(计算区域!R1127,NA())</f>
        <v>#N/A</v>
      </c>
      <c r="R1125" t="e">
        <f ca="1">IFERROR(计算区域!S1127,NA())</f>
        <v>#N/A</v>
      </c>
      <c r="S1125" t="e">
        <f ca="1">IFERROR(计算区域!T1127,NA())</f>
        <v>#N/A</v>
      </c>
      <c r="T1125" t="e">
        <f ca="1">IFERROR(计算区域!U1127,NA())</f>
        <v>#N/A</v>
      </c>
      <c r="V1125" t="e">
        <f ca="1">IFERROR(计算区域!X1127,NA())</f>
        <v>#N/A</v>
      </c>
      <c r="W1125" t="e">
        <f ca="1">IFERROR(计算区域!Y1127,NA())</f>
        <v>#N/A</v>
      </c>
      <c r="X1125" t="e">
        <f ca="1">IFERROR(计算区域!Z1127,NA())</f>
        <v>#N/A</v>
      </c>
      <c r="Y1125" t="e">
        <f ca="1">IFERROR(计算区域!AA1127,NA())</f>
        <v>#N/A</v>
      </c>
    </row>
    <row r="1126" spans="1:25" x14ac:dyDescent="0.2">
      <c r="A1126" s="28">
        <f>计算区域!E1128</f>
        <v>0</v>
      </c>
      <c r="B1126" t="e">
        <f ca="1">IFERROR(计算区域!AJ1128,NA())</f>
        <v>#N/A</v>
      </c>
      <c r="C1126" t="e">
        <f ca="1">IFERROR(计算区域!AK1128,NA())</f>
        <v>#N/A</v>
      </c>
      <c r="D1126" t="e">
        <f ca="1">IFERROR(计算区域!AL1128,NA())</f>
        <v>#N/A</v>
      </c>
      <c r="E1126" t="e">
        <f ca="1">IFERROR(计算区域!AM1128,NA())</f>
        <v>#N/A</v>
      </c>
      <c r="G1126" t="e">
        <f ca="1">IFERROR(计算区域!AD1128,NA())</f>
        <v>#N/A</v>
      </c>
      <c r="H1126" t="e">
        <f ca="1">IFERROR(计算区域!AE1128,NA())</f>
        <v>#N/A</v>
      </c>
      <c r="I1126" t="e">
        <f ca="1">IFERROR(计算区域!AF1128,NA())</f>
        <v>#N/A</v>
      </c>
      <c r="J1126" t="e">
        <f ca="1">IFERROR(计算区域!AG1128,NA())</f>
        <v>#N/A</v>
      </c>
      <c r="L1126" t="e">
        <f ca="1">IFERROR(计算区域!L1128,NA())</f>
        <v>#N/A</v>
      </c>
      <c r="M1126" t="e">
        <f ca="1">IFERROR(计算区域!M1128,NA())</f>
        <v>#N/A</v>
      </c>
      <c r="N1126" t="e">
        <f ca="1">IFERROR(计算区域!N1128,NA())</f>
        <v>#N/A</v>
      </c>
      <c r="O1126" t="e">
        <f ca="1">IFERROR(计算区域!O1128,NA())</f>
        <v>#N/A</v>
      </c>
      <c r="Q1126" t="e">
        <f ca="1">IFERROR(计算区域!R1128,NA())</f>
        <v>#N/A</v>
      </c>
      <c r="R1126" t="e">
        <f ca="1">IFERROR(计算区域!S1128,NA())</f>
        <v>#N/A</v>
      </c>
      <c r="S1126" t="e">
        <f ca="1">IFERROR(计算区域!T1128,NA())</f>
        <v>#N/A</v>
      </c>
      <c r="T1126" t="e">
        <f ca="1">IFERROR(计算区域!U1128,NA())</f>
        <v>#N/A</v>
      </c>
      <c r="V1126" t="e">
        <f ca="1">IFERROR(计算区域!X1128,NA())</f>
        <v>#N/A</v>
      </c>
      <c r="W1126" t="e">
        <f ca="1">IFERROR(计算区域!Y1128,NA())</f>
        <v>#N/A</v>
      </c>
      <c r="X1126" t="e">
        <f ca="1">IFERROR(计算区域!Z1128,NA())</f>
        <v>#N/A</v>
      </c>
      <c r="Y1126" t="e">
        <f ca="1">IFERROR(计算区域!AA1128,NA())</f>
        <v>#N/A</v>
      </c>
    </row>
    <row r="1127" spans="1:25" x14ac:dyDescent="0.2">
      <c r="A1127" s="28">
        <f>计算区域!E1129</f>
        <v>0</v>
      </c>
      <c r="B1127" t="e">
        <f ca="1">IFERROR(计算区域!AJ1129,NA())</f>
        <v>#N/A</v>
      </c>
      <c r="C1127" t="e">
        <f ca="1">IFERROR(计算区域!AK1129,NA())</f>
        <v>#N/A</v>
      </c>
      <c r="D1127" t="e">
        <f ca="1">IFERROR(计算区域!AL1129,NA())</f>
        <v>#N/A</v>
      </c>
      <c r="E1127" t="e">
        <f ca="1">IFERROR(计算区域!AM1129,NA())</f>
        <v>#N/A</v>
      </c>
      <c r="G1127" t="e">
        <f ca="1">IFERROR(计算区域!AD1129,NA())</f>
        <v>#N/A</v>
      </c>
      <c r="H1127" t="e">
        <f ca="1">IFERROR(计算区域!AE1129,NA())</f>
        <v>#N/A</v>
      </c>
      <c r="I1127" t="e">
        <f ca="1">IFERROR(计算区域!AF1129,NA())</f>
        <v>#N/A</v>
      </c>
      <c r="J1127" t="e">
        <f ca="1">IFERROR(计算区域!AG1129,NA())</f>
        <v>#N/A</v>
      </c>
      <c r="L1127" t="e">
        <f ca="1">IFERROR(计算区域!L1129,NA())</f>
        <v>#N/A</v>
      </c>
      <c r="M1127" t="e">
        <f ca="1">IFERROR(计算区域!M1129,NA())</f>
        <v>#N/A</v>
      </c>
      <c r="N1127" t="e">
        <f ca="1">IFERROR(计算区域!N1129,NA())</f>
        <v>#N/A</v>
      </c>
      <c r="O1127" t="e">
        <f ca="1">IFERROR(计算区域!O1129,NA())</f>
        <v>#N/A</v>
      </c>
      <c r="Q1127" t="e">
        <f ca="1">IFERROR(计算区域!R1129,NA())</f>
        <v>#N/A</v>
      </c>
      <c r="R1127" t="e">
        <f ca="1">IFERROR(计算区域!S1129,NA())</f>
        <v>#N/A</v>
      </c>
      <c r="S1127" t="e">
        <f ca="1">IFERROR(计算区域!T1129,NA())</f>
        <v>#N/A</v>
      </c>
      <c r="T1127" t="e">
        <f ca="1">IFERROR(计算区域!U1129,NA())</f>
        <v>#N/A</v>
      </c>
      <c r="V1127" t="e">
        <f ca="1">IFERROR(计算区域!X1129,NA())</f>
        <v>#N/A</v>
      </c>
      <c r="W1127" t="e">
        <f ca="1">IFERROR(计算区域!Y1129,NA())</f>
        <v>#N/A</v>
      </c>
      <c r="X1127" t="e">
        <f ca="1">IFERROR(计算区域!Z1129,NA())</f>
        <v>#N/A</v>
      </c>
      <c r="Y1127" t="e">
        <f ca="1">IFERROR(计算区域!AA1129,NA())</f>
        <v>#N/A</v>
      </c>
    </row>
    <row r="1128" spans="1:25" x14ac:dyDescent="0.2">
      <c r="A1128" s="28">
        <f>计算区域!E1130</f>
        <v>0</v>
      </c>
      <c r="B1128" t="e">
        <f ca="1">IFERROR(计算区域!AJ1130,NA())</f>
        <v>#N/A</v>
      </c>
      <c r="C1128" t="e">
        <f ca="1">IFERROR(计算区域!AK1130,NA())</f>
        <v>#N/A</v>
      </c>
      <c r="D1128" t="e">
        <f ca="1">IFERROR(计算区域!AL1130,NA())</f>
        <v>#N/A</v>
      </c>
      <c r="E1128" t="e">
        <f ca="1">IFERROR(计算区域!AM1130,NA())</f>
        <v>#N/A</v>
      </c>
      <c r="G1128" t="e">
        <f ca="1">IFERROR(计算区域!AD1130,NA())</f>
        <v>#N/A</v>
      </c>
      <c r="H1128" t="e">
        <f ca="1">IFERROR(计算区域!AE1130,NA())</f>
        <v>#N/A</v>
      </c>
      <c r="I1128" t="e">
        <f ca="1">IFERROR(计算区域!AF1130,NA())</f>
        <v>#N/A</v>
      </c>
      <c r="J1128" t="e">
        <f ca="1">IFERROR(计算区域!AG1130,NA())</f>
        <v>#N/A</v>
      </c>
      <c r="L1128" t="e">
        <f ca="1">IFERROR(计算区域!L1130,NA())</f>
        <v>#N/A</v>
      </c>
      <c r="M1128" t="e">
        <f ca="1">IFERROR(计算区域!M1130,NA())</f>
        <v>#N/A</v>
      </c>
      <c r="N1128" t="e">
        <f ca="1">IFERROR(计算区域!N1130,NA())</f>
        <v>#N/A</v>
      </c>
      <c r="O1128" t="e">
        <f ca="1">IFERROR(计算区域!O1130,NA())</f>
        <v>#N/A</v>
      </c>
      <c r="Q1128" t="e">
        <f ca="1">IFERROR(计算区域!R1130,NA())</f>
        <v>#N/A</v>
      </c>
      <c r="R1128" t="e">
        <f ca="1">IFERROR(计算区域!S1130,NA())</f>
        <v>#N/A</v>
      </c>
      <c r="S1128" t="e">
        <f ca="1">IFERROR(计算区域!T1130,NA())</f>
        <v>#N/A</v>
      </c>
      <c r="T1128" t="e">
        <f ca="1">IFERROR(计算区域!U1130,NA())</f>
        <v>#N/A</v>
      </c>
      <c r="V1128" t="e">
        <f ca="1">IFERROR(计算区域!X1130,NA())</f>
        <v>#N/A</v>
      </c>
      <c r="W1128" t="e">
        <f ca="1">IFERROR(计算区域!Y1130,NA())</f>
        <v>#N/A</v>
      </c>
      <c r="X1128" t="e">
        <f ca="1">IFERROR(计算区域!Z1130,NA())</f>
        <v>#N/A</v>
      </c>
      <c r="Y1128" t="e">
        <f ca="1">IFERROR(计算区域!AA1130,NA())</f>
        <v>#N/A</v>
      </c>
    </row>
    <row r="1129" spans="1:25" x14ac:dyDescent="0.2">
      <c r="A1129" s="28">
        <f>计算区域!E1131</f>
        <v>0</v>
      </c>
      <c r="B1129" t="e">
        <f ca="1">IFERROR(计算区域!AJ1131,NA())</f>
        <v>#N/A</v>
      </c>
      <c r="C1129" t="e">
        <f ca="1">IFERROR(计算区域!AK1131,NA())</f>
        <v>#N/A</v>
      </c>
      <c r="D1129" t="e">
        <f ca="1">IFERROR(计算区域!AL1131,NA())</f>
        <v>#N/A</v>
      </c>
      <c r="E1129" t="e">
        <f ca="1">IFERROR(计算区域!AM1131,NA())</f>
        <v>#N/A</v>
      </c>
      <c r="G1129" t="e">
        <f ca="1">IFERROR(计算区域!AD1131,NA())</f>
        <v>#N/A</v>
      </c>
      <c r="H1129" t="e">
        <f ca="1">IFERROR(计算区域!AE1131,NA())</f>
        <v>#N/A</v>
      </c>
      <c r="I1129" t="e">
        <f ca="1">IFERROR(计算区域!AF1131,NA())</f>
        <v>#N/A</v>
      </c>
      <c r="J1129" t="e">
        <f ca="1">IFERROR(计算区域!AG1131,NA())</f>
        <v>#N/A</v>
      </c>
      <c r="L1129" t="e">
        <f ca="1">IFERROR(计算区域!L1131,NA())</f>
        <v>#N/A</v>
      </c>
      <c r="M1129" t="e">
        <f ca="1">IFERROR(计算区域!M1131,NA())</f>
        <v>#N/A</v>
      </c>
      <c r="N1129" t="e">
        <f ca="1">IFERROR(计算区域!N1131,NA())</f>
        <v>#N/A</v>
      </c>
      <c r="O1129" t="e">
        <f ca="1">IFERROR(计算区域!O1131,NA())</f>
        <v>#N/A</v>
      </c>
      <c r="Q1129" t="e">
        <f ca="1">IFERROR(计算区域!R1131,NA())</f>
        <v>#N/A</v>
      </c>
      <c r="R1129" t="e">
        <f ca="1">IFERROR(计算区域!S1131,NA())</f>
        <v>#N/A</v>
      </c>
      <c r="S1129" t="e">
        <f ca="1">IFERROR(计算区域!T1131,NA())</f>
        <v>#N/A</v>
      </c>
      <c r="T1129" t="e">
        <f ca="1">IFERROR(计算区域!U1131,NA())</f>
        <v>#N/A</v>
      </c>
      <c r="V1129" t="e">
        <f ca="1">IFERROR(计算区域!X1131,NA())</f>
        <v>#N/A</v>
      </c>
      <c r="W1129" t="e">
        <f ca="1">IFERROR(计算区域!Y1131,NA())</f>
        <v>#N/A</v>
      </c>
      <c r="X1129" t="e">
        <f ca="1">IFERROR(计算区域!Z1131,NA())</f>
        <v>#N/A</v>
      </c>
      <c r="Y1129" t="e">
        <f ca="1">IFERROR(计算区域!AA1131,NA())</f>
        <v>#N/A</v>
      </c>
    </row>
    <row r="1130" spans="1:25" x14ac:dyDescent="0.2">
      <c r="A1130" s="28">
        <f>计算区域!E1132</f>
        <v>0</v>
      </c>
      <c r="B1130" t="e">
        <f ca="1">IFERROR(计算区域!AJ1132,NA())</f>
        <v>#N/A</v>
      </c>
      <c r="C1130" t="e">
        <f ca="1">IFERROR(计算区域!AK1132,NA())</f>
        <v>#N/A</v>
      </c>
      <c r="D1130" t="e">
        <f ca="1">IFERROR(计算区域!AL1132,NA())</f>
        <v>#N/A</v>
      </c>
      <c r="E1130" t="e">
        <f ca="1">IFERROR(计算区域!AM1132,NA())</f>
        <v>#N/A</v>
      </c>
      <c r="G1130" t="e">
        <f ca="1">IFERROR(计算区域!AD1132,NA())</f>
        <v>#N/A</v>
      </c>
      <c r="H1130" t="e">
        <f ca="1">IFERROR(计算区域!AE1132,NA())</f>
        <v>#N/A</v>
      </c>
      <c r="I1130" t="e">
        <f ca="1">IFERROR(计算区域!AF1132,NA())</f>
        <v>#N/A</v>
      </c>
      <c r="J1130" t="e">
        <f ca="1">IFERROR(计算区域!AG1132,NA())</f>
        <v>#N/A</v>
      </c>
      <c r="L1130" t="e">
        <f ca="1">IFERROR(计算区域!L1132,NA())</f>
        <v>#N/A</v>
      </c>
      <c r="M1130" t="e">
        <f ca="1">IFERROR(计算区域!M1132,NA())</f>
        <v>#N/A</v>
      </c>
      <c r="N1130" t="e">
        <f ca="1">IFERROR(计算区域!N1132,NA())</f>
        <v>#N/A</v>
      </c>
      <c r="O1130" t="e">
        <f ca="1">IFERROR(计算区域!O1132,NA())</f>
        <v>#N/A</v>
      </c>
      <c r="Q1130" t="e">
        <f ca="1">IFERROR(计算区域!R1132,NA())</f>
        <v>#N/A</v>
      </c>
      <c r="R1130" t="e">
        <f ca="1">IFERROR(计算区域!S1132,NA())</f>
        <v>#N/A</v>
      </c>
      <c r="S1130" t="e">
        <f ca="1">IFERROR(计算区域!T1132,NA())</f>
        <v>#N/A</v>
      </c>
      <c r="T1130" t="e">
        <f ca="1">IFERROR(计算区域!U1132,NA())</f>
        <v>#N/A</v>
      </c>
      <c r="V1130" t="e">
        <f ca="1">IFERROR(计算区域!X1132,NA())</f>
        <v>#N/A</v>
      </c>
      <c r="W1130" t="e">
        <f ca="1">IFERROR(计算区域!Y1132,NA())</f>
        <v>#N/A</v>
      </c>
      <c r="X1130" t="e">
        <f ca="1">IFERROR(计算区域!Z1132,NA())</f>
        <v>#N/A</v>
      </c>
      <c r="Y1130" t="e">
        <f ca="1">IFERROR(计算区域!AA1132,NA())</f>
        <v>#N/A</v>
      </c>
    </row>
    <row r="1131" spans="1:25" x14ac:dyDescent="0.2">
      <c r="A1131" s="28">
        <f>计算区域!E1133</f>
        <v>0</v>
      </c>
      <c r="B1131" t="e">
        <f ca="1">IFERROR(计算区域!AJ1133,NA())</f>
        <v>#N/A</v>
      </c>
      <c r="C1131" t="e">
        <f ca="1">IFERROR(计算区域!AK1133,NA())</f>
        <v>#N/A</v>
      </c>
      <c r="D1131" t="e">
        <f ca="1">IFERROR(计算区域!AL1133,NA())</f>
        <v>#N/A</v>
      </c>
      <c r="E1131" t="e">
        <f ca="1">IFERROR(计算区域!AM1133,NA())</f>
        <v>#N/A</v>
      </c>
      <c r="G1131" t="e">
        <f ca="1">IFERROR(计算区域!AD1133,NA())</f>
        <v>#N/A</v>
      </c>
      <c r="H1131" t="e">
        <f ca="1">IFERROR(计算区域!AE1133,NA())</f>
        <v>#N/A</v>
      </c>
      <c r="I1131" t="e">
        <f ca="1">IFERROR(计算区域!AF1133,NA())</f>
        <v>#N/A</v>
      </c>
      <c r="J1131" t="e">
        <f ca="1">IFERROR(计算区域!AG1133,NA())</f>
        <v>#N/A</v>
      </c>
      <c r="L1131" t="e">
        <f ca="1">IFERROR(计算区域!L1133,NA())</f>
        <v>#N/A</v>
      </c>
      <c r="M1131" t="e">
        <f ca="1">IFERROR(计算区域!M1133,NA())</f>
        <v>#N/A</v>
      </c>
      <c r="N1131" t="e">
        <f ca="1">IFERROR(计算区域!N1133,NA())</f>
        <v>#N/A</v>
      </c>
      <c r="O1131" t="e">
        <f ca="1">IFERROR(计算区域!O1133,NA())</f>
        <v>#N/A</v>
      </c>
      <c r="Q1131" t="e">
        <f ca="1">IFERROR(计算区域!R1133,NA())</f>
        <v>#N/A</v>
      </c>
      <c r="R1131" t="e">
        <f ca="1">IFERROR(计算区域!S1133,NA())</f>
        <v>#N/A</v>
      </c>
      <c r="S1131" t="e">
        <f ca="1">IFERROR(计算区域!T1133,NA())</f>
        <v>#N/A</v>
      </c>
      <c r="T1131" t="e">
        <f ca="1">IFERROR(计算区域!U1133,NA())</f>
        <v>#N/A</v>
      </c>
      <c r="V1131" t="e">
        <f ca="1">IFERROR(计算区域!X1133,NA())</f>
        <v>#N/A</v>
      </c>
      <c r="W1131" t="e">
        <f ca="1">IFERROR(计算区域!Y1133,NA())</f>
        <v>#N/A</v>
      </c>
      <c r="X1131" t="e">
        <f ca="1">IFERROR(计算区域!Z1133,NA())</f>
        <v>#N/A</v>
      </c>
      <c r="Y1131" t="e">
        <f ca="1">IFERROR(计算区域!AA1133,NA())</f>
        <v>#N/A</v>
      </c>
    </row>
    <row r="1132" spans="1:25" x14ac:dyDescent="0.2">
      <c r="A1132" s="28">
        <f>计算区域!E1134</f>
        <v>0</v>
      </c>
      <c r="B1132" t="e">
        <f ca="1">IFERROR(计算区域!AJ1134,NA())</f>
        <v>#N/A</v>
      </c>
      <c r="C1132" t="e">
        <f ca="1">IFERROR(计算区域!AK1134,NA())</f>
        <v>#N/A</v>
      </c>
      <c r="D1132" t="e">
        <f ca="1">IFERROR(计算区域!AL1134,NA())</f>
        <v>#N/A</v>
      </c>
      <c r="E1132" t="e">
        <f ca="1">IFERROR(计算区域!AM1134,NA())</f>
        <v>#N/A</v>
      </c>
      <c r="G1132" t="e">
        <f ca="1">IFERROR(计算区域!AD1134,NA())</f>
        <v>#N/A</v>
      </c>
      <c r="H1132" t="e">
        <f ca="1">IFERROR(计算区域!AE1134,NA())</f>
        <v>#N/A</v>
      </c>
      <c r="I1132" t="e">
        <f ca="1">IFERROR(计算区域!AF1134,NA())</f>
        <v>#N/A</v>
      </c>
      <c r="J1132" t="e">
        <f ca="1">IFERROR(计算区域!AG1134,NA())</f>
        <v>#N/A</v>
      </c>
      <c r="L1132" t="e">
        <f ca="1">IFERROR(计算区域!L1134,NA())</f>
        <v>#N/A</v>
      </c>
      <c r="M1132" t="e">
        <f ca="1">IFERROR(计算区域!M1134,NA())</f>
        <v>#N/A</v>
      </c>
      <c r="N1132" t="e">
        <f ca="1">IFERROR(计算区域!N1134,NA())</f>
        <v>#N/A</v>
      </c>
      <c r="O1132" t="e">
        <f ca="1">IFERROR(计算区域!O1134,NA())</f>
        <v>#N/A</v>
      </c>
      <c r="Q1132" t="e">
        <f ca="1">IFERROR(计算区域!R1134,NA())</f>
        <v>#N/A</v>
      </c>
      <c r="R1132" t="e">
        <f ca="1">IFERROR(计算区域!S1134,NA())</f>
        <v>#N/A</v>
      </c>
      <c r="S1132" t="e">
        <f ca="1">IFERROR(计算区域!T1134,NA())</f>
        <v>#N/A</v>
      </c>
      <c r="T1132" t="e">
        <f ca="1">IFERROR(计算区域!U1134,NA())</f>
        <v>#N/A</v>
      </c>
      <c r="V1132" t="e">
        <f ca="1">IFERROR(计算区域!X1134,NA())</f>
        <v>#N/A</v>
      </c>
      <c r="W1132" t="e">
        <f ca="1">IFERROR(计算区域!Y1134,NA())</f>
        <v>#N/A</v>
      </c>
      <c r="X1132" t="e">
        <f ca="1">IFERROR(计算区域!Z1134,NA())</f>
        <v>#N/A</v>
      </c>
      <c r="Y1132" t="e">
        <f ca="1">IFERROR(计算区域!AA1134,NA())</f>
        <v>#N/A</v>
      </c>
    </row>
    <row r="1133" spans="1:25" x14ac:dyDescent="0.2">
      <c r="A1133" s="28">
        <f>计算区域!E1135</f>
        <v>0</v>
      </c>
      <c r="B1133" t="e">
        <f ca="1">IFERROR(计算区域!AJ1135,NA())</f>
        <v>#N/A</v>
      </c>
      <c r="C1133" t="e">
        <f ca="1">IFERROR(计算区域!AK1135,NA())</f>
        <v>#N/A</v>
      </c>
      <c r="D1133" t="e">
        <f ca="1">IFERROR(计算区域!AL1135,NA())</f>
        <v>#N/A</v>
      </c>
      <c r="E1133" t="e">
        <f ca="1">IFERROR(计算区域!AM1135,NA())</f>
        <v>#N/A</v>
      </c>
      <c r="G1133" t="e">
        <f ca="1">IFERROR(计算区域!AD1135,NA())</f>
        <v>#N/A</v>
      </c>
      <c r="H1133" t="e">
        <f ca="1">IFERROR(计算区域!AE1135,NA())</f>
        <v>#N/A</v>
      </c>
      <c r="I1133" t="e">
        <f ca="1">IFERROR(计算区域!AF1135,NA())</f>
        <v>#N/A</v>
      </c>
      <c r="J1133" t="e">
        <f ca="1">IFERROR(计算区域!AG1135,NA())</f>
        <v>#N/A</v>
      </c>
      <c r="L1133" t="e">
        <f ca="1">IFERROR(计算区域!L1135,NA())</f>
        <v>#N/A</v>
      </c>
      <c r="M1133" t="e">
        <f ca="1">IFERROR(计算区域!M1135,NA())</f>
        <v>#N/A</v>
      </c>
      <c r="N1133" t="e">
        <f ca="1">IFERROR(计算区域!N1135,NA())</f>
        <v>#N/A</v>
      </c>
      <c r="O1133" t="e">
        <f ca="1">IFERROR(计算区域!O1135,NA())</f>
        <v>#N/A</v>
      </c>
      <c r="Q1133" t="e">
        <f ca="1">IFERROR(计算区域!R1135,NA())</f>
        <v>#N/A</v>
      </c>
      <c r="R1133" t="e">
        <f ca="1">IFERROR(计算区域!S1135,NA())</f>
        <v>#N/A</v>
      </c>
      <c r="S1133" t="e">
        <f ca="1">IFERROR(计算区域!T1135,NA())</f>
        <v>#N/A</v>
      </c>
      <c r="T1133" t="e">
        <f ca="1">IFERROR(计算区域!U1135,NA())</f>
        <v>#N/A</v>
      </c>
      <c r="V1133" t="e">
        <f ca="1">IFERROR(计算区域!X1135,NA())</f>
        <v>#N/A</v>
      </c>
      <c r="W1133" t="e">
        <f ca="1">IFERROR(计算区域!Y1135,NA())</f>
        <v>#N/A</v>
      </c>
      <c r="X1133" t="e">
        <f ca="1">IFERROR(计算区域!Z1135,NA())</f>
        <v>#N/A</v>
      </c>
      <c r="Y1133" t="e">
        <f ca="1">IFERROR(计算区域!AA1135,NA())</f>
        <v>#N/A</v>
      </c>
    </row>
    <row r="1134" spans="1:25" x14ac:dyDescent="0.2">
      <c r="A1134" s="28">
        <f>计算区域!E1136</f>
        <v>0</v>
      </c>
      <c r="B1134" t="e">
        <f ca="1">IFERROR(计算区域!AJ1136,NA())</f>
        <v>#N/A</v>
      </c>
      <c r="C1134" t="e">
        <f ca="1">IFERROR(计算区域!AK1136,NA())</f>
        <v>#N/A</v>
      </c>
      <c r="D1134" t="e">
        <f ca="1">IFERROR(计算区域!AL1136,NA())</f>
        <v>#N/A</v>
      </c>
      <c r="E1134" t="e">
        <f ca="1">IFERROR(计算区域!AM1136,NA())</f>
        <v>#N/A</v>
      </c>
      <c r="G1134" t="e">
        <f ca="1">IFERROR(计算区域!AD1136,NA())</f>
        <v>#N/A</v>
      </c>
      <c r="H1134" t="e">
        <f ca="1">IFERROR(计算区域!AE1136,NA())</f>
        <v>#N/A</v>
      </c>
      <c r="I1134" t="e">
        <f ca="1">IFERROR(计算区域!AF1136,NA())</f>
        <v>#N/A</v>
      </c>
      <c r="J1134" t="e">
        <f ca="1">IFERROR(计算区域!AG1136,NA())</f>
        <v>#N/A</v>
      </c>
      <c r="L1134" t="e">
        <f ca="1">IFERROR(计算区域!L1136,NA())</f>
        <v>#N/A</v>
      </c>
      <c r="M1134" t="e">
        <f ca="1">IFERROR(计算区域!M1136,NA())</f>
        <v>#N/A</v>
      </c>
      <c r="N1134" t="e">
        <f ca="1">IFERROR(计算区域!N1136,NA())</f>
        <v>#N/A</v>
      </c>
      <c r="O1134" t="e">
        <f ca="1">IFERROR(计算区域!O1136,NA())</f>
        <v>#N/A</v>
      </c>
      <c r="Q1134" t="e">
        <f ca="1">IFERROR(计算区域!R1136,NA())</f>
        <v>#N/A</v>
      </c>
      <c r="R1134" t="e">
        <f ca="1">IFERROR(计算区域!S1136,NA())</f>
        <v>#N/A</v>
      </c>
      <c r="S1134" t="e">
        <f ca="1">IFERROR(计算区域!T1136,NA())</f>
        <v>#N/A</v>
      </c>
      <c r="T1134" t="e">
        <f ca="1">IFERROR(计算区域!U1136,NA())</f>
        <v>#N/A</v>
      </c>
      <c r="V1134" t="e">
        <f ca="1">IFERROR(计算区域!X1136,NA())</f>
        <v>#N/A</v>
      </c>
      <c r="W1134" t="e">
        <f ca="1">IFERROR(计算区域!Y1136,NA())</f>
        <v>#N/A</v>
      </c>
      <c r="X1134" t="e">
        <f ca="1">IFERROR(计算区域!Z1136,NA())</f>
        <v>#N/A</v>
      </c>
      <c r="Y1134" t="e">
        <f ca="1">IFERROR(计算区域!AA1136,NA())</f>
        <v>#N/A</v>
      </c>
    </row>
    <row r="1135" spans="1:25" x14ac:dyDescent="0.2">
      <c r="A1135" s="28">
        <f>计算区域!E1137</f>
        <v>0</v>
      </c>
      <c r="B1135" t="e">
        <f ca="1">IFERROR(计算区域!AJ1137,NA())</f>
        <v>#N/A</v>
      </c>
      <c r="C1135" t="e">
        <f ca="1">IFERROR(计算区域!AK1137,NA())</f>
        <v>#N/A</v>
      </c>
      <c r="D1135" t="e">
        <f ca="1">IFERROR(计算区域!AL1137,NA())</f>
        <v>#N/A</v>
      </c>
      <c r="E1135" t="e">
        <f ca="1">IFERROR(计算区域!AM1137,NA())</f>
        <v>#N/A</v>
      </c>
      <c r="G1135" t="e">
        <f ca="1">IFERROR(计算区域!AD1137,NA())</f>
        <v>#N/A</v>
      </c>
      <c r="H1135" t="e">
        <f ca="1">IFERROR(计算区域!AE1137,NA())</f>
        <v>#N/A</v>
      </c>
      <c r="I1135" t="e">
        <f ca="1">IFERROR(计算区域!AF1137,NA())</f>
        <v>#N/A</v>
      </c>
      <c r="J1135" t="e">
        <f ca="1">IFERROR(计算区域!AG1137,NA())</f>
        <v>#N/A</v>
      </c>
      <c r="L1135" t="e">
        <f ca="1">IFERROR(计算区域!L1137,NA())</f>
        <v>#N/A</v>
      </c>
      <c r="M1135" t="e">
        <f ca="1">IFERROR(计算区域!M1137,NA())</f>
        <v>#N/A</v>
      </c>
      <c r="N1135" t="e">
        <f ca="1">IFERROR(计算区域!N1137,NA())</f>
        <v>#N/A</v>
      </c>
      <c r="O1135" t="e">
        <f ca="1">IFERROR(计算区域!O1137,NA())</f>
        <v>#N/A</v>
      </c>
      <c r="Q1135" t="e">
        <f ca="1">IFERROR(计算区域!R1137,NA())</f>
        <v>#N/A</v>
      </c>
      <c r="R1135" t="e">
        <f ca="1">IFERROR(计算区域!S1137,NA())</f>
        <v>#N/A</v>
      </c>
      <c r="S1135" t="e">
        <f ca="1">IFERROR(计算区域!T1137,NA())</f>
        <v>#N/A</v>
      </c>
      <c r="T1135" t="e">
        <f ca="1">IFERROR(计算区域!U1137,NA())</f>
        <v>#N/A</v>
      </c>
      <c r="V1135" t="e">
        <f ca="1">IFERROR(计算区域!X1137,NA())</f>
        <v>#N/A</v>
      </c>
      <c r="W1135" t="e">
        <f ca="1">IFERROR(计算区域!Y1137,NA())</f>
        <v>#N/A</v>
      </c>
      <c r="X1135" t="e">
        <f ca="1">IFERROR(计算区域!Z1137,NA())</f>
        <v>#N/A</v>
      </c>
      <c r="Y1135" t="e">
        <f ca="1">IFERROR(计算区域!AA1137,NA())</f>
        <v>#N/A</v>
      </c>
    </row>
    <row r="1136" spans="1:25" x14ac:dyDescent="0.2">
      <c r="A1136" s="28">
        <f>计算区域!E1138</f>
        <v>0</v>
      </c>
      <c r="B1136" t="e">
        <f ca="1">IFERROR(计算区域!AJ1138,NA())</f>
        <v>#N/A</v>
      </c>
      <c r="C1136" t="e">
        <f ca="1">IFERROR(计算区域!AK1138,NA())</f>
        <v>#N/A</v>
      </c>
      <c r="D1136" t="e">
        <f ca="1">IFERROR(计算区域!AL1138,NA())</f>
        <v>#N/A</v>
      </c>
      <c r="E1136" t="e">
        <f ca="1">IFERROR(计算区域!AM1138,NA())</f>
        <v>#N/A</v>
      </c>
      <c r="G1136" t="e">
        <f ca="1">IFERROR(计算区域!AD1138,NA())</f>
        <v>#N/A</v>
      </c>
      <c r="H1136" t="e">
        <f ca="1">IFERROR(计算区域!AE1138,NA())</f>
        <v>#N/A</v>
      </c>
      <c r="I1136" t="e">
        <f ca="1">IFERROR(计算区域!AF1138,NA())</f>
        <v>#N/A</v>
      </c>
      <c r="J1136" t="e">
        <f ca="1">IFERROR(计算区域!AG1138,NA())</f>
        <v>#N/A</v>
      </c>
      <c r="L1136" t="e">
        <f ca="1">IFERROR(计算区域!L1138,NA())</f>
        <v>#N/A</v>
      </c>
      <c r="M1136" t="e">
        <f ca="1">IFERROR(计算区域!M1138,NA())</f>
        <v>#N/A</v>
      </c>
      <c r="N1136" t="e">
        <f ca="1">IFERROR(计算区域!N1138,NA())</f>
        <v>#N/A</v>
      </c>
      <c r="O1136" t="e">
        <f ca="1">IFERROR(计算区域!O1138,NA())</f>
        <v>#N/A</v>
      </c>
      <c r="Q1136" t="e">
        <f ca="1">IFERROR(计算区域!R1138,NA())</f>
        <v>#N/A</v>
      </c>
      <c r="R1136" t="e">
        <f ca="1">IFERROR(计算区域!S1138,NA())</f>
        <v>#N/A</v>
      </c>
      <c r="S1136" t="e">
        <f ca="1">IFERROR(计算区域!T1138,NA())</f>
        <v>#N/A</v>
      </c>
      <c r="T1136" t="e">
        <f ca="1">IFERROR(计算区域!U1138,NA())</f>
        <v>#N/A</v>
      </c>
      <c r="V1136" t="e">
        <f ca="1">IFERROR(计算区域!X1138,NA())</f>
        <v>#N/A</v>
      </c>
      <c r="W1136" t="e">
        <f ca="1">IFERROR(计算区域!Y1138,NA())</f>
        <v>#N/A</v>
      </c>
      <c r="X1136" t="e">
        <f ca="1">IFERROR(计算区域!Z1138,NA())</f>
        <v>#N/A</v>
      </c>
      <c r="Y1136" t="e">
        <f ca="1">IFERROR(计算区域!AA1138,NA())</f>
        <v>#N/A</v>
      </c>
    </row>
    <row r="1137" spans="1:25" x14ac:dyDescent="0.2">
      <c r="A1137" s="28">
        <f>计算区域!E1139</f>
        <v>0</v>
      </c>
      <c r="B1137" t="e">
        <f ca="1">IFERROR(计算区域!AJ1139,NA())</f>
        <v>#N/A</v>
      </c>
      <c r="C1137" t="e">
        <f ca="1">IFERROR(计算区域!AK1139,NA())</f>
        <v>#N/A</v>
      </c>
      <c r="D1137" t="e">
        <f ca="1">IFERROR(计算区域!AL1139,NA())</f>
        <v>#N/A</v>
      </c>
      <c r="E1137" t="e">
        <f ca="1">IFERROR(计算区域!AM1139,NA())</f>
        <v>#N/A</v>
      </c>
      <c r="G1137" t="e">
        <f ca="1">IFERROR(计算区域!AD1139,NA())</f>
        <v>#N/A</v>
      </c>
      <c r="H1137" t="e">
        <f ca="1">IFERROR(计算区域!AE1139,NA())</f>
        <v>#N/A</v>
      </c>
      <c r="I1137" t="e">
        <f ca="1">IFERROR(计算区域!AF1139,NA())</f>
        <v>#N/A</v>
      </c>
      <c r="J1137" t="e">
        <f ca="1">IFERROR(计算区域!AG1139,NA())</f>
        <v>#N/A</v>
      </c>
      <c r="L1137" t="e">
        <f ca="1">IFERROR(计算区域!L1139,NA())</f>
        <v>#N/A</v>
      </c>
      <c r="M1137" t="e">
        <f ca="1">IFERROR(计算区域!M1139,NA())</f>
        <v>#N/A</v>
      </c>
      <c r="N1137" t="e">
        <f ca="1">IFERROR(计算区域!N1139,NA())</f>
        <v>#N/A</v>
      </c>
      <c r="O1137" t="e">
        <f ca="1">IFERROR(计算区域!O1139,NA())</f>
        <v>#N/A</v>
      </c>
      <c r="Q1137" t="e">
        <f ca="1">IFERROR(计算区域!R1139,NA())</f>
        <v>#N/A</v>
      </c>
      <c r="R1137" t="e">
        <f ca="1">IFERROR(计算区域!S1139,NA())</f>
        <v>#N/A</v>
      </c>
      <c r="S1137" t="e">
        <f ca="1">IFERROR(计算区域!T1139,NA())</f>
        <v>#N/A</v>
      </c>
      <c r="T1137" t="e">
        <f ca="1">IFERROR(计算区域!U1139,NA())</f>
        <v>#N/A</v>
      </c>
      <c r="V1137" t="e">
        <f ca="1">IFERROR(计算区域!X1139,NA())</f>
        <v>#N/A</v>
      </c>
      <c r="W1137" t="e">
        <f ca="1">IFERROR(计算区域!Y1139,NA())</f>
        <v>#N/A</v>
      </c>
      <c r="X1137" t="e">
        <f ca="1">IFERROR(计算区域!Z1139,NA())</f>
        <v>#N/A</v>
      </c>
      <c r="Y1137" t="e">
        <f ca="1">IFERROR(计算区域!AA1139,NA())</f>
        <v>#N/A</v>
      </c>
    </row>
    <row r="1138" spans="1:25" x14ac:dyDescent="0.2">
      <c r="A1138" s="28">
        <f>计算区域!E1140</f>
        <v>0</v>
      </c>
      <c r="B1138" t="e">
        <f ca="1">IFERROR(计算区域!AJ1140,NA())</f>
        <v>#N/A</v>
      </c>
      <c r="C1138" t="e">
        <f ca="1">IFERROR(计算区域!AK1140,NA())</f>
        <v>#N/A</v>
      </c>
      <c r="D1138" t="e">
        <f ca="1">IFERROR(计算区域!AL1140,NA())</f>
        <v>#N/A</v>
      </c>
      <c r="E1138" t="e">
        <f ca="1">IFERROR(计算区域!AM1140,NA())</f>
        <v>#N/A</v>
      </c>
      <c r="G1138" t="e">
        <f ca="1">IFERROR(计算区域!AD1140,NA())</f>
        <v>#N/A</v>
      </c>
      <c r="H1138" t="e">
        <f ca="1">IFERROR(计算区域!AE1140,NA())</f>
        <v>#N/A</v>
      </c>
      <c r="I1138" t="e">
        <f ca="1">IFERROR(计算区域!AF1140,NA())</f>
        <v>#N/A</v>
      </c>
      <c r="J1138" t="e">
        <f ca="1">IFERROR(计算区域!AG1140,NA())</f>
        <v>#N/A</v>
      </c>
      <c r="L1138" t="e">
        <f ca="1">IFERROR(计算区域!L1140,NA())</f>
        <v>#N/A</v>
      </c>
      <c r="M1138" t="e">
        <f ca="1">IFERROR(计算区域!M1140,NA())</f>
        <v>#N/A</v>
      </c>
      <c r="N1138" t="e">
        <f ca="1">IFERROR(计算区域!N1140,NA())</f>
        <v>#N/A</v>
      </c>
      <c r="O1138" t="e">
        <f ca="1">IFERROR(计算区域!O1140,NA())</f>
        <v>#N/A</v>
      </c>
      <c r="Q1138" t="e">
        <f ca="1">IFERROR(计算区域!R1140,NA())</f>
        <v>#N/A</v>
      </c>
      <c r="R1138" t="e">
        <f ca="1">IFERROR(计算区域!S1140,NA())</f>
        <v>#N/A</v>
      </c>
      <c r="S1138" t="e">
        <f ca="1">IFERROR(计算区域!T1140,NA())</f>
        <v>#N/A</v>
      </c>
      <c r="T1138" t="e">
        <f ca="1">IFERROR(计算区域!U1140,NA())</f>
        <v>#N/A</v>
      </c>
      <c r="V1138" t="e">
        <f ca="1">IFERROR(计算区域!X1140,NA())</f>
        <v>#N/A</v>
      </c>
      <c r="W1138" t="e">
        <f ca="1">IFERROR(计算区域!Y1140,NA())</f>
        <v>#N/A</v>
      </c>
      <c r="X1138" t="e">
        <f ca="1">IFERROR(计算区域!Z1140,NA())</f>
        <v>#N/A</v>
      </c>
      <c r="Y1138" t="e">
        <f ca="1">IFERROR(计算区域!AA1140,NA())</f>
        <v>#N/A</v>
      </c>
    </row>
    <row r="1139" spans="1:25" x14ac:dyDescent="0.2">
      <c r="A1139" s="28">
        <f>计算区域!E1141</f>
        <v>0</v>
      </c>
      <c r="B1139" t="e">
        <f ca="1">IFERROR(计算区域!AJ1141,NA())</f>
        <v>#N/A</v>
      </c>
      <c r="C1139" t="e">
        <f ca="1">IFERROR(计算区域!AK1141,NA())</f>
        <v>#N/A</v>
      </c>
      <c r="D1139" t="e">
        <f ca="1">IFERROR(计算区域!AL1141,NA())</f>
        <v>#N/A</v>
      </c>
      <c r="E1139" t="e">
        <f ca="1">IFERROR(计算区域!AM1141,NA())</f>
        <v>#N/A</v>
      </c>
      <c r="G1139" t="e">
        <f ca="1">IFERROR(计算区域!AD1141,NA())</f>
        <v>#N/A</v>
      </c>
      <c r="H1139" t="e">
        <f ca="1">IFERROR(计算区域!AE1141,NA())</f>
        <v>#N/A</v>
      </c>
      <c r="I1139" t="e">
        <f ca="1">IFERROR(计算区域!AF1141,NA())</f>
        <v>#N/A</v>
      </c>
      <c r="J1139" t="e">
        <f ca="1">IFERROR(计算区域!AG1141,NA())</f>
        <v>#N/A</v>
      </c>
      <c r="L1139" t="e">
        <f ca="1">IFERROR(计算区域!L1141,NA())</f>
        <v>#N/A</v>
      </c>
      <c r="M1139" t="e">
        <f ca="1">IFERROR(计算区域!M1141,NA())</f>
        <v>#N/A</v>
      </c>
      <c r="N1139" t="e">
        <f ca="1">IFERROR(计算区域!N1141,NA())</f>
        <v>#N/A</v>
      </c>
      <c r="O1139" t="e">
        <f ca="1">IFERROR(计算区域!O1141,NA())</f>
        <v>#N/A</v>
      </c>
      <c r="Q1139" t="e">
        <f ca="1">IFERROR(计算区域!R1141,NA())</f>
        <v>#N/A</v>
      </c>
      <c r="R1139" t="e">
        <f ca="1">IFERROR(计算区域!S1141,NA())</f>
        <v>#N/A</v>
      </c>
      <c r="S1139" t="e">
        <f ca="1">IFERROR(计算区域!T1141,NA())</f>
        <v>#N/A</v>
      </c>
      <c r="T1139" t="e">
        <f ca="1">IFERROR(计算区域!U1141,NA())</f>
        <v>#N/A</v>
      </c>
      <c r="V1139" t="e">
        <f ca="1">IFERROR(计算区域!X1141,NA())</f>
        <v>#N/A</v>
      </c>
      <c r="W1139" t="e">
        <f ca="1">IFERROR(计算区域!Y1141,NA())</f>
        <v>#N/A</v>
      </c>
      <c r="X1139" t="e">
        <f ca="1">IFERROR(计算区域!Z1141,NA())</f>
        <v>#N/A</v>
      </c>
      <c r="Y1139" t="e">
        <f ca="1">IFERROR(计算区域!AA1141,NA())</f>
        <v>#N/A</v>
      </c>
    </row>
    <row r="1140" spans="1:25" x14ac:dyDescent="0.2">
      <c r="A1140" s="28">
        <f>计算区域!E1142</f>
        <v>0</v>
      </c>
      <c r="B1140" t="e">
        <f ca="1">IFERROR(计算区域!AJ1142,NA())</f>
        <v>#N/A</v>
      </c>
      <c r="C1140" t="e">
        <f ca="1">IFERROR(计算区域!AK1142,NA())</f>
        <v>#N/A</v>
      </c>
      <c r="D1140" t="e">
        <f ca="1">IFERROR(计算区域!AL1142,NA())</f>
        <v>#N/A</v>
      </c>
      <c r="E1140" t="e">
        <f ca="1">IFERROR(计算区域!AM1142,NA())</f>
        <v>#N/A</v>
      </c>
      <c r="G1140" t="e">
        <f ca="1">IFERROR(计算区域!AD1142,NA())</f>
        <v>#N/A</v>
      </c>
      <c r="H1140" t="e">
        <f ca="1">IFERROR(计算区域!AE1142,NA())</f>
        <v>#N/A</v>
      </c>
      <c r="I1140" t="e">
        <f ca="1">IFERROR(计算区域!AF1142,NA())</f>
        <v>#N/A</v>
      </c>
      <c r="J1140" t="e">
        <f ca="1">IFERROR(计算区域!AG1142,NA())</f>
        <v>#N/A</v>
      </c>
      <c r="L1140" t="e">
        <f ca="1">IFERROR(计算区域!L1142,NA())</f>
        <v>#N/A</v>
      </c>
      <c r="M1140" t="e">
        <f ca="1">IFERROR(计算区域!M1142,NA())</f>
        <v>#N/A</v>
      </c>
      <c r="N1140" t="e">
        <f ca="1">IFERROR(计算区域!N1142,NA())</f>
        <v>#N/A</v>
      </c>
      <c r="O1140" t="e">
        <f ca="1">IFERROR(计算区域!O1142,NA())</f>
        <v>#N/A</v>
      </c>
      <c r="Q1140" t="e">
        <f ca="1">IFERROR(计算区域!R1142,NA())</f>
        <v>#N/A</v>
      </c>
      <c r="R1140" t="e">
        <f ca="1">IFERROR(计算区域!S1142,NA())</f>
        <v>#N/A</v>
      </c>
      <c r="S1140" t="e">
        <f ca="1">IFERROR(计算区域!T1142,NA())</f>
        <v>#N/A</v>
      </c>
      <c r="T1140" t="e">
        <f ca="1">IFERROR(计算区域!U1142,NA())</f>
        <v>#N/A</v>
      </c>
      <c r="V1140" t="e">
        <f ca="1">IFERROR(计算区域!X1142,NA())</f>
        <v>#N/A</v>
      </c>
      <c r="W1140" t="e">
        <f ca="1">IFERROR(计算区域!Y1142,NA())</f>
        <v>#N/A</v>
      </c>
      <c r="X1140" t="e">
        <f ca="1">IFERROR(计算区域!Z1142,NA())</f>
        <v>#N/A</v>
      </c>
      <c r="Y1140" t="e">
        <f ca="1">IFERROR(计算区域!AA1142,NA())</f>
        <v>#N/A</v>
      </c>
    </row>
    <row r="1141" spans="1:25" x14ac:dyDescent="0.2">
      <c r="A1141" s="28">
        <f>计算区域!E1143</f>
        <v>0</v>
      </c>
      <c r="B1141" t="e">
        <f ca="1">IFERROR(计算区域!AJ1143,NA())</f>
        <v>#N/A</v>
      </c>
      <c r="C1141" t="e">
        <f ca="1">IFERROR(计算区域!AK1143,NA())</f>
        <v>#N/A</v>
      </c>
      <c r="D1141" t="e">
        <f ca="1">IFERROR(计算区域!AL1143,NA())</f>
        <v>#N/A</v>
      </c>
      <c r="E1141" t="e">
        <f ca="1">IFERROR(计算区域!AM1143,NA())</f>
        <v>#N/A</v>
      </c>
      <c r="G1141" t="e">
        <f ca="1">IFERROR(计算区域!AD1143,NA())</f>
        <v>#N/A</v>
      </c>
      <c r="H1141" t="e">
        <f ca="1">IFERROR(计算区域!AE1143,NA())</f>
        <v>#N/A</v>
      </c>
      <c r="I1141" t="e">
        <f ca="1">IFERROR(计算区域!AF1143,NA())</f>
        <v>#N/A</v>
      </c>
      <c r="J1141" t="e">
        <f ca="1">IFERROR(计算区域!AG1143,NA())</f>
        <v>#N/A</v>
      </c>
      <c r="L1141" t="e">
        <f ca="1">IFERROR(计算区域!L1143,NA())</f>
        <v>#N/A</v>
      </c>
      <c r="M1141" t="e">
        <f ca="1">IFERROR(计算区域!M1143,NA())</f>
        <v>#N/A</v>
      </c>
      <c r="N1141" t="e">
        <f ca="1">IFERROR(计算区域!N1143,NA())</f>
        <v>#N/A</v>
      </c>
      <c r="O1141" t="e">
        <f ca="1">IFERROR(计算区域!O1143,NA())</f>
        <v>#N/A</v>
      </c>
      <c r="Q1141" t="e">
        <f ca="1">IFERROR(计算区域!R1143,NA())</f>
        <v>#N/A</v>
      </c>
      <c r="R1141" t="e">
        <f ca="1">IFERROR(计算区域!S1143,NA())</f>
        <v>#N/A</v>
      </c>
      <c r="S1141" t="e">
        <f ca="1">IFERROR(计算区域!T1143,NA())</f>
        <v>#N/A</v>
      </c>
      <c r="T1141" t="e">
        <f ca="1">IFERROR(计算区域!U1143,NA())</f>
        <v>#N/A</v>
      </c>
      <c r="V1141" t="e">
        <f ca="1">IFERROR(计算区域!X1143,NA())</f>
        <v>#N/A</v>
      </c>
      <c r="W1141" t="e">
        <f ca="1">IFERROR(计算区域!Y1143,NA())</f>
        <v>#N/A</v>
      </c>
      <c r="X1141" t="e">
        <f ca="1">IFERROR(计算区域!Z1143,NA())</f>
        <v>#N/A</v>
      </c>
      <c r="Y1141" t="e">
        <f ca="1">IFERROR(计算区域!AA1143,NA())</f>
        <v>#N/A</v>
      </c>
    </row>
    <row r="1142" spans="1:25" x14ac:dyDescent="0.2">
      <c r="A1142" s="28">
        <f>计算区域!E1144</f>
        <v>0</v>
      </c>
      <c r="B1142" t="e">
        <f ca="1">IFERROR(计算区域!AJ1144,NA())</f>
        <v>#N/A</v>
      </c>
      <c r="C1142" t="e">
        <f ca="1">IFERROR(计算区域!AK1144,NA())</f>
        <v>#N/A</v>
      </c>
      <c r="D1142" t="e">
        <f ca="1">IFERROR(计算区域!AL1144,NA())</f>
        <v>#N/A</v>
      </c>
      <c r="E1142" t="e">
        <f ca="1">IFERROR(计算区域!AM1144,NA())</f>
        <v>#N/A</v>
      </c>
      <c r="G1142" t="e">
        <f ca="1">IFERROR(计算区域!AD1144,NA())</f>
        <v>#N/A</v>
      </c>
      <c r="H1142" t="e">
        <f ca="1">IFERROR(计算区域!AE1144,NA())</f>
        <v>#N/A</v>
      </c>
      <c r="I1142" t="e">
        <f ca="1">IFERROR(计算区域!AF1144,NA())</f>
        <v>#N/A</v>
      </c>
      <c r="J1142" t="e">
        <f ca="1">IFERROR(计算区域!AG1144,NA())</f>
        <v>#N/A</v>
      </c>
      <c r="L1142" t="e">
        <f ca="1">IFERROR(计算区域!L1144,NA())</f>
        <v>#N/A</v>
      </c>
      <c r="M1142" t="e">
        <f ca="1">IFERROR(计算区域!M1144,NA())</f>
        <v>#N/A</v>
      </c>
      <c r="N1142" t="e">
        <f ca="1">IFERROR(计算区域!N1144,NA())</f>
        <v>#N/A</v>
      </c>
      <c r="O1142" t="e">
        <f ca="1">IFERROR(计算区域!O1144,NA())</f>
        <v>#N/A</v>
      </c>
      <c r="Q1142" t="e">
        <f ca="1">IFERROR(计算区域!R1144,NA())</f>
        <v>#N/A</v>
      </c>
      <c r="R1142" t="e">
        <f ca="1">IFERROR(计算区域!S1144,NA())</f>
        <v>#N/A</v>
      </c>
      <c r="S1142" t="e">
        <f ca="1">IFERROR(计算区域!T1144,NA())</f>
        <v>#N/A</v>
      </c>
      <c r="T1142" t="e">
        <f ca="1">IFERROR(计算区域!U1144,NA())</f>
        <v>#N/A</v>
      </c>
      <c r="V1142" t="e">
        <f ca="1">IFERROR(计算区域!X1144,NA())</f>
        <v>#N/A</v>
      </c>
      <c r="W1142" t="e">
        <f ca="1">IFERROR(计算区域!Y1144,NA())</f>
        <v>#N/A</v>
      </c>
      <c r="X1142" t="e">
        <f ca="1">IFERROR(计算区域!Z1144,NA())</f>
        <v>#N/A</v>
      </c>
      <c r="Y1142" t="e">
        <f ca="1">IFERROR(计算区域!AA1144,NA())</f>
        <v>#N/A</v>
      </c>
    </row>
    <row r="1143" spans="1:25" x14ac:dyDescent="0.2">
      <c r="A1143" s="28">
        <f>计算区域!E1145</f>
        <v>0</v>
      </c>
      <c r="B1143" t="e">
        <f ca="1">IFERROR(计算区域!AJ1145,NA())</f>
        <v>#N/A</v>
      </c>
      <c r="C1143" t="e">
        <f ca="1">IFERROR(计算区域!AK1145,NA())</f>
        <v>#N/A</v>
      </c>
      <c r="D1143" t="e">
        <f ca="1">IFERROR(计算区域!AL1145,NA())</f>
        <v>#N/A</v>
      </c>
      <c r="E1143" t="e">
        <f ca="1">IFERROR(计算区域!AM1145,NA())</f>
        <v>#N/A</v>
      </c>
      <c r="G1143" t="e">
        <f ca="1">IFERROR(计算区域!AD1145,NA())</f>
        <v>#N/A</v>
      </c>
      <c r="H1143" t="e">
        <f ca="1">IFERROR(计算区域!AE1145,NA())</f>
        <v>#N/A</v>
      </c>
      <c r="I1143" t="e">
        <f ca="1">IFERROR(计算区域!AF1145,NA())</f>
        <v>#N/A</v>
      </c>
      <c r="J1143" t="e">
        <f ca="1">IFERROR(计算区域!AG1145,NA())</f>
        <v>#N/A</v>
      </c>
      <c r="L1143" t="e">
        <f ca="1">IFERROR(计算区域!L1145,NA())</f>
        <v>#N/A</v>
      </c>
      <c r="M1143" t="e">
        <f ca="1">IFERROR(计算区域!M1145,NA())</f>
        <v>#N/A</v>
      </c>
      <c r="N1143" t="e">
        <f ca="1">IFERROR(计算区域!N1145,NA())</f>
        <v>#N/A</v>
      </c>
      <c r="O1143" t="e">
        <f ca="1">IFERROR(计算区域!O1145,NA())</f>
        <v>#N/A</v>
      </c>
      <c r="Q1143" t="e">
        <f ca="1">IFERROR(计算区域!R1145,NA())</f>
        <v>#N/A</v>
      </c>
      <c r="R1143" t="e">
        <f ca="1">IFERROR(计算区域!S1145,NA())</f>
        <v>#N/A</v>
      </c>
      <c r="S1143" t="e">
        <f ca="1">IFERROR(计算区域!T1145,NA())</f>
        <v>#N/A</v>
      </c>
      <c r="T1143" t="e">
        <f ca="1">IFERROR(计算区域!U1145,NA())</f>
        <v>#N/A</v>
      </c>
      <c r="V1143" t="e">
        <f ca="1">IFERROR(计算区域!X1145,NA())</f>
        <v>#N/A</v>
      </c>
      <c r="W1143" t="e">
        <f ca="1">IFERROR(计算区域!Y1145,NA())</f>
        <v>#N/A</v>
      </c>
      <c r="X1143" t="e">
        <f ca="1">IFERROR(计算区域!Z1145,NA())</f>
        <v>#N/A</v>
      </c>
      <c r="Y1143" t="e">
        <f ca="1">IFERROR(计算区域!AA1145,NA())</f>
        <v>#N/A</v>
      </c>
    </row>
    <row r="1144" spans="1:25" x14ac:dyDescent="0.2">
      <c r="A1144" s="28">
        <f>计算区域!E1146</f>
        <v>0</v>
      </c>
      <c r="B1144" t="e">
        <f ca="1">IFERROR(计算区域!AJ1146,NA())</f>
        <v>#N/A</v>
      </c>
      <c r="C1144" t="e">
        <f ca="1">IFERROR(计算区域!AK1146,NA())</f>
        <v>#N/A</v>
      </c>
      <c r="D1144" t="e">
        <f ca="1">IFERROR(计算区域!AL1146,NA())</f>
        <v>#N/A</v>
      </c>
      <c r="E1144" t="e">
        <f ca="1">IFERROR(计算区域!AM1146,NA())</f>
        <v>#N/A</v>
      </c>
      <c r="G1144" t="e">
        <f ca="1">IFERROR(计算区域!AD1146,NA())</f>
        <v>#N/A</v>
      </c>
      <c r="H1144" t="e">
        <f ca="1">IFERROR(计算区域!AE1146,NA())</f>
        <v>#N/A</v>
      </c>
      <c r="I1144" t="e">
        <f ca="1">IFERROR(计算区域!AF1146,NA())</f>
        <v>#N/A</v>
      </c>
      <c r="J1144" t="e">
        <f ca="1">IFERROR(计算区域!AG1146,NA())</f>
        <v>#N/A</v>
      </c>
      <c r="L1144" t="e">
        <f ca="1">IFERROR(计算区域!L1146,NA())</f>
        <v>#N/A</v>
      </c>
      <c r="M1144" t="e">
        <f ca="1">IFERROR(计算区域!M1146,NA())</f>
        <v>#N/A</v>
      </c>
      <c r="N1144" t="e">
        <f ca="1">IFERROR(计算区域!N1146,NA())</f>
        <v>#N/A</v>
      </c>
      <c r="O1144" t="e">
        <f ca="1">IFERROR(计算区域!O1146,NA())</f>
        <v>#N/A</v>
      </c>
      <c r="Q1144" t="e">
        <f ca="1">IFERROR(计算区域!R1146,NA())</f>
        <v>#N/A</v>
      </c>
      <c r="R1144" t="e">
        <f ca="1">IFERROR(计算区域!S1146,NA())</f>
        <v>#N/A</v>
      </c>
      <c r="S1144" t="e">
        <f ca="1">IFERROR(计算区域!T1146,NA())</f>
        <v>#N/A</v>
      </c>
      <c r="T1144" t="e">
        <f ca="1">IFERROR(计算区域!U1146,NA())</f>
        <v>#N/A</v>
      </c>
      <c r="V1144" t="e">
        <f ca="1">IFERROR(计算区域!X1146,NA())</f>
        <v>#N/A</v>
      </c>
      <c r="W1144" t="e">
        <f ca="1">IFERROR(计算区域!Y1146,NA())</f>
        <v>#N/A</v>
      </c>
      <c r="X1144" t="e">
        <f ca="1">IFERROR(计算区域!Z1146,NA())</f>
        <v>#N/A</v>
      </c>
      <c r="Y1144" t="e">
        <f ca="1">IFERROR(计算区域!AA1146,NA())</f>
        <v>#N/A</v>
      </c>
    </row>
    <row r="1145" spans="1:25" x14ac:dyDescent="0.2">
      <c r="A1145" s="28">
        <f>计算区域!E1147</f>
        <v>0</v>
      </c>
      <c r="B1145" t="e">
        <f ca="1">IFERROR(计算区域!AJ1147,NA())</f>
        <v>#N/A</v>
      </c>
      <c r="C1145" t="e">
        <f ca="1">IFERROR(计算区域!AK1147,NA())</f>
        <v>#N/A</v>
      </c>
      <c r="D1145" t="e">
        <f ca="1">IFERROR(计算区域!AL1147,NA())</f>
        <v>#N/A</v>
      </c>
      <c r="E1145" t="e">
        <f ca="1">IFERROR(计算区域!AM1147,NA())</f>
        <v>#N/A</v>
      </c>
      <c r="G1145" t="e">
        <f ca="1">IFERROR(计算区域!AD1147,NA())</f>
        <v>#N/A</v>
      </c>
      <c r="H1145" t="e">
        <f ca="1">IFERROR(计算区域!AE1147,NA())</f>
        <v>#N/A</v>
      </c>
      <c r="I1145" t="e">
        <f ca="1">IFERROR(计算区域!AF1147,NA())</f>
        <v>#N/A</v>
      </c>
      <c r="J1145" t="e">
        <f ca="1">IFERROR(计算区域!AG1147,NA())</f>
        <v>#N/A</v>
      </c>
      <c r="L1145" t="e">
        <f ca="1">IFERROR(计算区域!L1147,NA())</f>
        <v>#N/A</v>
      </c>
      <c r="M1145" t="e">
        <f ca="1">IFERROR(计算区域!M1147,NA())</f>
        <v>#N/A</v>
      </c>
      <c r="N1145" t="e">
        <f ca="1">IFERROR(计算区域!N1147,NA())</f>
        <v>#N/A</v>
      </c>
      <c r="O1145" t="e">
        <f ca="1">IFERROR(计算区域!O1147,NA())</f>
        <v>#N/A</v>
      </c>
      <c r="Q1145" t="e">
        <f ca="1">IFERROR(计算区域!R1147,NA())</f>
        <v>#N/A</v>
      </c>
      <c r="R1145" t="e">
        <f ca="1">IFERROR(计算区域!S1147,NA())</f>
        <v>#N/A</v>
      </c>
      <c r="S1145" t="e">
        <f ca="1">IFERROR(计算区域!T1147,NA())</f>
        <v>#N/A</v>
      </c>
      <c r="T1145" t="e">
        <f ca="1">IFERROR(计算区域!U1147,NA())</f>
        <v>#N/A</v>
      </c>
      <c r="V1145" t="e">
        <f ca="1">IFERROR(计算区域!X1147,NA())</f>
        <v>#N/A</v>
      </c>
      <c r="W1145" t="e">
        <f ca="1">IFERROR(计算区域!Y1147,NA())</f>
        <v>#N/A</v>
      </c>
      <c r="X1145" t="e">
        <f ca="1">IFERROR(计算区域!Z1147,NA())</f>
        <v>#N/A</v>
      </c>
      <c r="Y1145" t="e">
        <f ca="1">IFERROR(计算区域!AA1147,NA())</f>
        <v>#N/A</v>
      </c>
    </row>
    <row r="1146" spans="1:25" x14ac:dyDescent="0.2">
      <c r="A1146" s="28">
        <f>计算区域!E1148</f>
        <v>0</v>
      </c>
      <c r="B1146" t="e">
        <f ca="1">IFERROR(计算区域!AJ1148,NA())</f>
        <v>#N/A</v>
      </c>
      <c r="C1146" t="e">
        <f ca="1">IFERROR(计算区域!AK1148,NA())</f>
        <v>#N/A</v>
      </c>
      <c r="D1146" t="e">
        <f ca="1">IFERROR(计算区域!AL1148,NA())</f>
        <v>#N/A</v>
      </c>
      <c r="E1146" t="e">
        <f ca="1">IFERROR(计算区域!AM1148,NA())</f>
        <v>#N/A</v>
      </c>
      <c r="G1146" t="e">
        <f ca="1">IFERROR(计算区域!AD1148,NA())</f>
        <v>#N/A</v>
      </c>
      <c r="H1146" t="e">
        <f ca="1">IFERROR(计算区域!AE1148,NA())</f>
        <v>#N/A</v>
      </c>
      <c r="I1146" t="e">
        <f ca="1">IFERROR(计算区域!AF1148,NA())</f>
        <v>#N/A</v>
      </c>
      <c r="J1146" t="e">
        <f ca="1">IFERROR(计算区域!AG1148,NA())</f>
        <v>#N/A</v>
      </c>
      <c r="L1146" t="e">
        <f ca="1">IFERROR(计算区域!L1148,NA())</f>
        <v>#N/A</v>
      </c>
      <c r="M1146" t="e">
        <f ca="1">IFERROR(计算区域!M1148,NA())</f>
        <v>#N/A</v>
      </c>
      <c r="N1146" t="e">
        <f ca="1">IFERROR(计算区域!N1148,NA())</f>
        <v>#N/A</v>
      </c>
      <c r="O1146" t="e">
        <f ca="1">IFERROR(计算区域!O1148,NA())</f>
        <v>#N/A</v>
      </c>
      <c r="Q1146" t="e">
        <f ca="1">IFERROR(计算区域!R1148,NA())</f>
        <v>#N/A</v>
      </c>
      <c r="R1146" t="e">
        <f ca="1">IFERROR(计算区域!S1148,NA())</f>
        <v>#N/A</v>
      </c>
      <c r="S1146" t="e">
        <f ca="1">IFERROR(计算区域!T1148,NA())</f>
        <v>#N/A</v>
      </c>
      <c r="T1146" t="e">
        <f ca="1">IFERROR(计算区域!U1148,NA())</f>
        <v>#N/A</v>
      </c>
      <c r="V1146" t="e">
        <f ca="1">IFERROR(计算区域!X1148,NA())</f>
        <v>#N/A</v>
      </c>
      <c r="W1146" t="e">
        <f ca="1">IFERROR(计算区域!Y1148,NA())</f>
        <v>#N/A</v>
      </c>
      <c r="X1146" t="e">
        <f ca="1">IFERROR(计算区域!Z1148,NA())</f>
        <v>#N/A</v>
      </c>
      <c r="Y1146" t="e">
        <f ca="1">IFERROR(计算区域!AA1148,NA())</f>
        <v>#N/A</v>
      </c>
    </row>
    <row r="1147" spans="1:25" x14ac:dyDescent="0.2">
      <c r="A1147" s="28">
        <f>计算区域!E1149</f>
        <v>0</v>
      </c>
      <c r="B1147" t="e">
        <f ca="1">IFERROR(计算区域!AJ1149,NA())</f>
        <v>#N/A</v>
      </c>
      <c r="C1147" t="e">
        <f ca="1">IFERROR(计算区域!AK1149,NA())</f>
        <v>#N/A</v>
      </c>
      <c r="D1147" t="e">
        <f ca="1">IFERROR(计算区域!AL1149,NA())</f>
        <v>#N/A</v>
      </c>
      <c r="E1147" t="e">
        <f ca="1">IFERROR(计算区域!AM1149,NA())</f>
        <v>#N/A</v>
      </c>
      <c r="G1147" t="e">
        <f ca="1">IFERROR(计算区域!AD1149,NA())</f>
        <v>#N/A</v>
      </c>
      <c r="H1147" t="e">
        <f ca="1">IFERROR(计算区域!AE1149,NA())</f>
        <v>#N/A</v>
      </c>
      <c r="I1147" t="e">
        <f ca="1">IFERROR(计算区域!AF1149,NA())</f>
        <v>#N/A</v>
      </c>
      <c r="J1147" t="e">
        <f ca="1">IFERROR(计算区域!AG1149,NA())</f>
        <v>#N/A</v>
      </c>
      <c r="L1147" t="e">
        <f ca="1">IFERROR(计算区域!L1149,NA())</f>
        <v>#N/A</v>
      </c>
      <c r="M1147" t="e">
        <f ca="1">IFERROR(计算区域!M1149,NA())</f>
        <v>#N/A</v>
      </c>
      <c r="N1147" t="e">
        <f ca="1">IFERROR(计算区域!N1149,NA())</f>
        <v>#N/A</v>
      </c>
      <c r="O1147" t="e">
        <f ca="1">IFERROR(计算区域!O1149,NA())</f>
        <v>#N/A</v>
      </c>
      <c r="Q1147" t="e">
        <f ca="1">IFERROR(计算区域!R1149,NA())</f>
        <v>#N/A</v>
      </c>
      <c r="R1147" t="e">
        <f ca="1">IFERROR(计算区域!S1149,NA())</f>
        <v>#N/A</v>
      </c>
      <c r="S1147" t="e">
        <f ca="1">IFERROR(计算区域!T1149,NA())</f>
        <v>#N/A</v>
      </c>
      <c r="T1147" t="e">
        <f ca="1">IFERROR(计算区域!U1149,NA())</f>
        <v>#N/A</v>
      </c>
      <c r="V1147" t="e">
        <f ca="1">IFERROR(计算区域!X1149,NA())</f>
        <v>#N/A</v>
      </c>
      <c r="W1147" t="e">
        <f ca="1">IFERROR(计算区域!Y1149,NA())</f>
        <v>#N/A</v>
      </c>
      <c r="X1147" t="e">
        <f ca="1">IFERROR(计算区域!Z1149,NA())</f>
        <v>#N/A</v>
      </c>
      <c r="Y1147" t="e">
        <f ca="1">IFERROR(计算区域!AA1149,NA())</f>
        <v>#N/A</v>
      </c>
    </row>
    <row r="1148" spans="1:25" x14ac:dyDescent="0.2">
      <c r="A1148" s="28">
        <f>计算区域!E1150</f>
        <v>0</v>
      </c>
      <c r="B1148" t="e">
        <f ca="1">IFERROR(计算区域!AJ1150,NA())</f>
        <v>#N/A</v>
      </c>
      <c r="C1148" t="e">
        <f ca="1">IFERROR(计算区域!AK1150,NA())</f>
        <v>#N/A</v>
      </c>
      <c r="D1148" t="e">
        <f ca="1">IFERROR(计算区域!AL1150,NA())</f>
        <v>#N/A</v>
      </c>
      <c r="E1148" t="e">
        <f ca="1">IFERROR(计算区域!AM1150,NA())</f>
        <v>#N/A</v>
      </c>
      <c r="G1148" t="e">
        <f ca="1">IFERROR(计算区域!AD1150,NA())</f>
        <v>#N/A</v>
      </c>
      <c r="H1148" t="e">
        <f ca="1">IFERROR(计算区域!AE1150,NA())</f>
        <v>#N/A</v>
      </c>
      <c r="I1148" t="e">
        <f ca="1">IFERROR(计算区域!AF1150,NA())</f>
        <v>#N/A</v>
      </c>
      <c r="J1148" t="e">
        <f ca="1">IFERROR(计算区域!AG1150,NA())</f>
        <v>#N/A</v>
      </c>
      <c r="L1148" t="e">
        <f ca="1">IFERROR(计算区域!L1150,NA())</f>
        <v>#N/A</v>
      </c>
      <c r="M1148" t="e">
        <f ca="1">IFERROR(计算区域!M1150,NA())</f>
        <v>#N/A</v>
      </c>
      <c r="N1148" t="e">
        <f ca="1">IFERROR(计算区域!N1150,NA())</f>
        <v>#N/A</v>
      </c>
      <c r="O1148" t="e">
        <f ca="1">IFERROR(计算区域!O1150,NA())</f>
        <v>#N/A</v>
      </c>
      <c r="Q1148" t="e">
        <f ca="1">IFERROR(计算区域!R1150,NA())</f>
        <v>#N/A</v>
      </c>
      <c r="R1148" t="e">
        <f ca="1">IFERROR(计算区域!S1150,NA())</f>
        <v>#N/A</v>
      </c>
      <c r="S1148" t="e">
        <f ca="1">IFERROR(计算区域!T1150,NA())</f>
        <v>#N/A</v>
      </c>
      <c r="T1148" t="e">
        <f ca="1">IFERROR(计算区域!U1150,NA())</f>
        <v>#N/A</v>
      </c>
      <c r="V1148" t="e">
        <f ca="1">IFERROR(计算区域!X1150,NA())</f>
        <v>#N/A</v>
      </c>
      <c r="W1148" t="e">
        <f ca="1">IFERROR(计算区域!Y1150,NA())</f>
        <v>#N/A</v>
      </c>
      <c r="X1148" t="e">
        <f ca="1">IFERROR(计算区域!Z1150,NA())</f>
        <v>#N/A</v>
      </c>
      <c r="Y1148" t="e">
        <f ca="1">IFERROR(计算区域!AA1150,NA())</f>
        <v>#N/A</v>
      </c>
    </row>
    <row r="1149" spans="1:25" x14ac:dyDescent="0.2">
      <c r="A1149" s="28">
        <f>计算区域!E1151</f>
        <v>0</v>
      </c>
      <c r="B1149" t="e">
        <f ca="1">IFERROR(计算区域!AJ1151,NA())</f>
        <v>#N/A</v>
      </c>
      <c r="C1149" t="e">
        <f ca="1">IFERROR(计算区域!AK1151,NA())</f>
        <v>#N/A</v>
      </c>
      <c r="D1149" t="e">
        <f ca="1">IFERROR(计算区域!AL1151,NA())</f>
        <v>#N/A</v>
      </c>
      <c r="E1149" t="e">
        <f ca="1">IFERROR(计算区域!AM1151,NA())</f>
        <v>#N/A</v>
      </c>
      <c r="G1149" t="e">
        <f ca="1">IFERROR(计算区域!AD1151,NA())</f>
        <v>#N/A</v>
      </c>
      <c r="H1149" t="e">
        <f ca="1">IFERROR(计算区域!AE1151,NA())</f>
        <v>#N/A</v>
      </c>
      <c r="I1149" t="e">
        <f ca="1">IFERROR(计算区域!AF1151,NA())</f>
        <v>#N/A</v>
      </c>
      <c r="J1149" t="e">
        <f ca="1">IFERROR(计算区域!AG1151,NA())</f>
        <v>#N/A</v>
      </c>
      <c r="L1149" t="e">
        <f ca="1">IFERROR(计算区域!L1151,NA())</f>
        <v>#N/A</v>
      </c>
      <c r="M1149" t="e">
        <f ca="1">IFERROR(计算区域!M1151,NA())</f>
        <v>#N/A</v>
      </c>
      <c r="N1149" t="e">
        <f ca="1">IFERROR(计算区域!N1151,NA())</f>
        <v>#N/A</v>
      </c>
      <c r="O1149" t="e">
        <f ca="1">IFERROR(计算区域!O1151,NA())</f>
        <v>#N/A</v>
      </c>
      <c r="Q1149" t="e">
        <f ca="1">IFERROR(计算区域!R1151,NA())</f>
        <v>#N/A</v>
      </c>
      <c r="R1149" t="e">
        <f ca="1">IFERROR(计算区域!S1151,NA())</f>
        <v>#N/A</v>
      </c>
      <c r="S1149" t="e">
        <f ca="1">IFERROR(计算区域!T1151,NA())</f>
        <v>#N/A</v>
      </c>
      <c r="T1149" t="e">
        <f ca="1">IFERROR(计算区域!U1151,NA())</f>
        <v>#N/A</v>
      </c>
      <c r="V1149" t="e">
        <f ca="1">IFERROR(计算区域!X1151,NA())</f>
        <v>#N/A</v>
      </c>
      <c r="W1149" t="e">
        <f ca="1">IFERROR(计算区域!Y1151,NA())</f>
        <v>#N/A</v>
      </c>
      <c r="X1149" t="e">
        <f ca="1">IFERROR(计算区域!Z1151,NA())</f>
        <v>#N/A</v>
      </c>
      <c r="Y1149" t="e">
        <f ca="1">IFERROR(计算区域!AA1151,NA())</f>
        <v>#N/A</v>
      </c>
    </row>
    <row r="1150" spans="1:25" x14ac:dyDescent="0.2">
      <c r="A1150" s="28">
        <f>计算区域!E1152</f>
        <v>0</v>
      </c>
      <c r="B1150" t="e">
        <f ca="1">IFERROR(计算区域!AJ1152,NA())</f>
        <v>#N/A</v>
      </c>
      <c r="C1150" t="e">
        <f ca="1">IFERROR(计算区域!AK1152,NA())</f>
        <v>#N/A</v>
      </c>
      <c r="D1150" t="e">
        <f ca="1">IFERROR(计算区域!AL1152,NA())</f>
        <v>#N/A</v>
      </c>
      <c r="E1150" t="e">
        <f ca="1">IFERROR(计算区域!AM1152,NA())</f>
        <v>#N/A</v>
      </c>
      <c r="G1150" t="e">
        <f ca="1">IFERROR(计算区域!AD1152,NA())</f>
        <v>#N/A</v>
      </c>
      <c r="H1150" t="e">
        <f ca="1">IFERROR(计算区域!AE1152,NA())</f>
        <v>#N/A</v>
      </c>
      <c r="I1150" t="e">
        <f ca="1">IFERROR(计算区域!AF1152,NA())</f>
        <v>#N/A</v>
      </c>
      <c r="J1150" t="e">
        <f ca="1">IFERROR(计算区域!AG1152,NA())</f>
        <v>#N/A</v>
      </c>
      <c r="L1150" t="e">
        <f ca="1">IFERROR(计算区域!L1152,NA())</f>
        <v>#N/A</v>
      </c>
      <c r="M1150" t="e">
        <f ca="1">IFERROR(计算区域!M1152,NA())</f>
        <v>#N/A</v>
      </c>
      <c r="N1150" t="e">
        <f ca="1">IFERROR(计算区域!N1152,NA())</f>
        <v>#N/A</v>
      </c>
      <c r="O1150" t="e">
        <f ca="1">IFERROR(计算区域!O1152,NA())</f>
        <v>#N/A</v>
      </c>
      <c r="Q1150" t="e">
        <f ca="1">IFERROR(计算区域!R1152,NA())</f>
        <v>#N/A</v>
      </c>
      <c r="R1150" t="e">
        <f ca="1">IFERROR(计算区域!S1152,NA())</f>
        <v>#N/A</v>
      </c>
      <c r="S1150" t="e">
        <f ca="1">IFERROR(计算区域!T1152,NA())</f>
        <v>#N/A</v>
      </c>
      <c r="T1150" t="e">
        <f ca="1">IFERROR(计算区域!U1152,NA())</f>
        <v>#N/A</v>
      </c>
      <c r="V1150" t="e">
        <f ca="1">IFERROR(计算区域!X1152,NA())</f>
        <v>#N/A</v>
      </c>
      <c r="W1150" t="e">
        <f ca="1">IFERROR(计算区域!Y1152,NA())</f>
        <v>#N/A</v>
      </c>
      <c r="X1150" t="e">
        <f ca="1">IFERROR(计算区域!Z1152,NA())</f>
        <v>#N/A</v>
      </c>
      <c r="Y1150" t="e">
        <f ca="1">IFERROR(计算区域!AA1152,NA())</f>
        <v>#N/A</v>
      </c>
    </row>
    <row r="1151" spans="1:25" x14ac:dyDescent="0.2">
      <c r="A1151" s="28">
        <f>计算区域!E1153</f>
        <v>0</v>
      </c>
      <c r="B1151" t="e">
        <f ca="1">IFERROR(计算区域!AJ1153,NA())</f>
        <v>#N/A</v>
      </c>
      <c r="C1151" t="e">
        <f ca="1">IFERROR(计算区域!AK1153,NA())</f>
        <v>#N/A</v>
      </c>
      <c r="D1151" t="e">
        <f ca="1">IFERROR(计算区域!AL1153,NA())</f>
        <v>#N/A</v>
      </c>
      <c r="E1151" t="e">
        <f ca="1">IFERROR(计算区域!AM1153,NA())</f>
        <v>#N/A</v>
      </c>
      <c r="G1151" t="e">
        <f ca="1">IFERROR(计算区域!AD1153,NA())</f>
        <v>#N/A</v>
      </c>
      <c r="H1151" t="e">
        <f ca="1">IFERROR(计算区域!AE1153,NA())</f>
        <v>#N/A</v>
      </c>
      <c r="I1151" t="e">
        <f ca="1">IFERROR(计算区域!AF1153,NA())</f>
        <v>#N/A</v>
      </c>
      <c r="J1151" t="e">
        <f ca="1">IFERROR(计算区域!AG1153,NA())</f>
        <v>#N/A</v>
      </c>
      <c r="L1151" t="e">
        <f ca="1">IFERROR(计算区域!L1153,NA())</f>
        <v>#N/A</v>
      </c>
      <c r="M1151" t="e">
        <f ca="1">IFERROR(计算区域!M1153,NA())</f>
        <v>#N/A</v>
      </c>
      <c r="N1151" t="e">
        <f ca="1">IFERROR(计算区域!N1153,NA())</f>
        <v>#N/A</v>
      </c>
      <c r="O1151" t="e">
        <f ca="1">IFERROR(计算区域!O1153,NA())</f>
        <v>#N/A</v>
      </c>
      <c r="Q1151" t="e">
        <f ca="1">IFERROR(计算区域!R1153,NA())</f>
        <v>#N/A</v>
      </c>
      <c r="R1151" t="e">
        <f ca="1">IFERROR(计算区域!S1153,NA())</f>
        <v>#N/A</v>
      </c>
      <c r="S1151" t="e">
        <f ca="1">IFERROR(计算区域!T1153,NA())</f>
        <v>#N/A</v>
      </c>
      <c r="T1151" t="e">
        <f ca="1">IFERROR(计算区域!U1153,NA())</f>
        <v>#N/A</v>
      </c>
      <c r="V1151" t="e">
        <f ca="1">IFERROR(计算区域!X1153,NA())</f>
        <v>#N/A</v>
      </c>
      <c r="W1151" t="e">
        <f ca="1">IFERROR(计算区域!Y1153,NA())</f>
        <v>#N/A</v>
      </c>
      <c r="X1151" t="e">
        <f ca="1">IFERROR(计算区域!Z1153,NA())</f>
        <v>#N/A</v>
      </c>
      <c r="Y1151" t="e">
        <f ca="1">IFERROR(计算区域!AA1153,NA())</f>
        <v>#N/A</v>
      </c>
    </row>
    <row r="1152" spans="1:25" x14ac:dyDescent="0.2">
      <c r="A1152" s="28">
        <f>计算区域!E1154</f>
        <v>0</v>
      </c>
      <c r="B1152" t="e">
        <f ca="1">IFERROR(计算区域!AJ1154,NA())</f>
        <v>#N/A</v>
      </c>
      <c r="C1152" t="e">
        <f ca="1">IFERROR(计算区域!AK1154,NA())</f>
        <v>#N/A</v>
      </c>
      <c r="D1152" t="e">
        <f ca="1">IFERROR(计算区域!AL1154,NA())</f>
        <v>#N/A</v>
      </c>
      <c r="E1152" t="e">
        <f ca="1">IFERROR(计算区域!AM1154,NA())</f>
        <v>#N/A</v>
      </c>
      <c r="G1152" t="e">
        <f ca="1">IFERROR(计算区域!AD1154,NA())</f>
        <v>#N/A</v>
      </c>
      <c r="H1152" t="e">
        <f ca="1">IFERROR(计算区域!AE1154,NA())</f>
        <v>#N/A</v>
      </c>
      <c r="I1152" t="e">
        <f ca="1">IFERROR(计算区域!AF1154,NA())</f>
        <v>#N/A</v>
      </c>
      <c r="J1152" t="e">
        <f ca="1">IFERROR(计算区域!AG1154,NA())</f>
        <v>#N/A</v>
      </c>
      <c r="L1152" t="e">
        <f ca="1">IFERROR(计算区域!L1154,NA())</f>
        <v>#N/A</v>
      </c>
      <c r="M1152" t="e">
        <f ca="1">IFERROR(计算区域!M1154,NA())</f>
        <v>#N/A</v>
      </c>
      <c r="N1152" t="e">
        <f ca="1">IFERROR(计算区域!N1154,NA())</f>
        <v>#N/A</v>
      </c>
      <c r="O1152" t="e">
        <f ca="1">IFERROR(计算区域!O1154,NA())</f>
        <v>#N/A</v>
      </c>
      <c r="Q1152" t="e">
        <f ca="1">IFERROR(计算区域!R1154,NA())</f>
        <v>#N/A</v>
      </c>
      <c r="R1152" t="e">
        <f ca="1">IFERROR(计算区域!S1154,NA())</f>
        <v>#N/A</v>
      </c>
      <c r="S1152" t="e">
        <f ca="1">IFERROR(计算区域!T1154,NA())</f>
        <v>#N/A</v>
      </c>
      <c r="T1152" t="e">
        <f ca="1">IFERROR(计算区域!U1154,NA())</f>
        <v>#N/A</v>
      </c>
      <c r="V1152" t="e">
        <f ca="1">IFERROR(计算区域!X1154,NA())</f>
        <v>#N/A</v>
      </c>
      <c r="W1152" t="e">
        <f ca="1">IFERROR(计算区域!Y1154,NA())</f>
        <v>#N/A</v>
      </c>
      <c r="X1152" t="e">
        <f ca="1">IFERROR(计算区域!Z1154,NA())</f>
        <v>#N/A</v>
      </c>
      <c r="Y1152" t="e">
        <f ca="1">IFERROR(计算区域!AA1154,NA())</f>
        <v>#N/A</v>
      </c>
    </row>
    <row r="1153" spans="1:25" x14ac:dyDescent="0.2">
      <c r="A1153" s="28">
        <f>计算区域!E1155</f>
        <v>0</v>
      </c>
      <c r="B1153" t="e">
        <f ca="1">IFERROR(计算区域!AJ1155,NA())</f>
        <v>#N/A</v>
      </c>
      <c r="C1153" t="e">
        <f ca="1">IFERROR(计算区域!AK1155,NA())</f>
        <v>#N/A</v>
      </c>
      <c r="D1153" t="e">
        <f ca="1">IFERROR(计算区域!AL1155,NA())</f>
        <v>#N/A</v>
      </c>
      <c r="E1153" t="e">
        <f ca="1">IFERROR(计算区域!AM1155,NA())</f>
        <v>#N/A</v>
      </c>
      <c r="G1153" t="e">
        <f ca="1">IFERROR(计算区域!AD1155,NA())</f>
        <v>#N/A</v>
      </c>
      <c r="H1153" t="e">
        <f ca="1">IFERROR(计算区域!AE1155,NA())</f>
        <v>#N/A</v>
      </c>
      <c r="I1153" t="e">
        <f ca="1">IFERROR(计算区域!AF1155,NA())</f>
        <v>#N/A</v>
      </c>
      <c r="J1153" t="e">
        <f ca="1">IFERROR(计算区域!AG1155,NA())</f>
        <v>#N/A</v>
      </c>
      <c r="L1153" t="e">
        <f ca="1">IFERROR(计算区域!L1155,NA())</f>
        <v>#N/A</v>
      </c>
      <c r="M1153" t="e">
        <f ca="1">IFERROR(计算区域!M1155,NA())</f>
        <v>#N/A</v>
      </c>
      <c r="N1153" t="e">
        <f ca="1">IFERROR(计算区域!N1155,NA())</f>
        <v>#N/A</v>
      </c>
      <c r="O1153" t="e">
        <f ca="1">IFERROR(计算区域!O1155,NA())</f>
        <v>#N/A</v>
      </c>
      <c r="Q1153" t="e">
        <f ca="1">IFERROR(计算区域!R1155,NA())</f>
        <v>#N/A</v>
      </c>
      <c r="R1153" t="e">
        <f ca="1">IFERROR(计算区域!S1155,NA())</f>
        <v>#N/A</v>
      </c>
      <c r="S1153" t="e">
        <f ca="1">IFERROR(计算区域!T1155,NA())</f>
        <v>#N/A</v>
      </c>
      <c r="T1153" t="e">
        <f ca="1">IFERROR(计算区域!U1155,NA())</f>
        <v>#N/A</v>
      </c>
      <c r="V1153" t="e">
        <f ca="1">IFERROR(计算区域!X1155,NA())</f>
        <v>#N/A</v>
      </c>
      <c r="W1153" t="e">
        <f ca="1">IFERROR(计算区域!Y1155,NA())</f>
        <v>#N/A</v>
      </c>
      <c r="X1153" t="e">
        <f ca="1">IFERROR(计算区域!Z1155,NA())</f>
        <v>#N/A</v>
      </c>
      <c r="Y1153" t="e">
        <f ca="1">IFERROR(计算区域!AA1155,NA())</f>
        <v>#N/A</v>
      </c>
    </row>
    <row r="1154" spans="1:25" x14ac:dyDescent="0.2">
      <c r="A1154" s="28">
        <f>计算区域!E1156</f>
        <v>0</v>
      </c>
      <c r="B1154" t="e">
        <f ca="1">IFERROR(计算区域!AJ1156,NA())</f>
        <v>#N/A</v>
      </c>
      <c r="C1154" t="e">
        <f ca="1">IFERROR(计算区域!AK1156,NA())</f>
        <v>#N/A</v>
      </c>
      <c r="D1154" t="e">
        <f ca="1">IFERROR(计算区域!AL1156,NA())</f>
        <v>#N/A</v>
      </c>
      <c r="E1154" t="e">
        <f ca="1">IFERROR(计算区域!AM1156,NA())</f>
        <v>#N/A</v>
      </c>
      <c r="G1154" t="e">
        <f ca="1">IFERROR(计算区域!AD1156,NA())</f>
        <v>#N/A</v>
      </c>
      <c r="H1154" t="e">
        <f ca="1">IFERROR(计算区域!AE1156,NA())</f>
        <v>#N/A</v>
      </c>
      <c r="I1154" t="e">
        <f ca="1">IFERROR(计算区域!AF1156,NA())</f>
        <v>#N/A</v>
      </c>
      <c r="J1154" t="e">
        <f ca="1">IFERROR(计算区域!AG1156,NA())</f>
        <v>#N/A</v>
      </c>
      <c r="L1154" t="e">
        <f ca="1">IFERROR(计算区域!L1156,NA())</f>
        <v>#N/A</v>
      </c>
      <c r="M1154" t="e">
        <f ca="1">IFERROR(计算区域!M1156,NA())</f>
        <v>#N/A</v>
      </c>
      <c r="N1154" t="e">
        <f ca="1">IFERROR(计算区域!N1156,NA())</f>
        <v>#N/A</v>
      </c>
      <c r="O1154" t="e">
        <f ca="1">IFERROR(计算区域!O1156,NA())</f>
        <v>#N/A</v>
      </c>
      <c r="Q1154" t="e">
        <f ca="1">IFERROR(计算区域!R1156,NA())</f>
        <v>#N/A</v>
      </c>
      <c r="R1154" t="e">
        <f ca="1">IFERROR(计算区域!S1156,NA())</f>
        <v>#N/A</v>
      </c>
      <c r="S1154" t="e">
        <f ca="1">IFERROR(计算区域!T1156,NA())</f>
        <v>#N/A</v>
      </c>
      <c r="T1154" t="e">
        <f ca="1">IFERROR(计算区域!U1156,NA())</f>
        <v>#N/A</v>
      </c>
      <c r="V1154" t="e">
        <f ca="1">IFERROR(计算区域!X1156,NA())</f>
        <v>#N/A</v>
      </c>
      <c r="W1154" t="e">
        <f ca="1">IFERROR(计算区域!Y1156,NA())</f>
        <v>#N/A</v>
      </c>
      <c r="X1154" t="e">
        <f ca="1">IFERROR(计算区域!Z1156,NA())</f>
        <v>#N/A</v>
      </c>
      <c r="Y1154" t="e">
        <f ca="1">IFERROR(计算区域!AA1156,NA())</f>
        <v>#N/A</v>
      </c>
    </row>
    <row r="1155" spans="1:25" x14ac:dyDescent="0.2">
      <c r="A1155" s="28">
        <f>计算区域!E1157</f>
        <v>0</v>
      </c>
      <c r="B1155" t="e">
        <f ca="1">IFERROR(计算区域!AJ1157,NA())</f>
        <v>#N/A</v>
      </c>
      <c r="C1155" t="e">
        <f ca="1">IFERROR(计算区域!AK1157,NA())</f>
        <v>#N/A</v>
      </c>
      <c r="D1155" t="e">
        <f ca="1">IFERROR(计算区域!AL1157,NA())</f>
        <v>#N/A</v>
      </c>
      <c r="E1155" t="e">
        <f ca="1">IFERROR(计算区域!AM1157,NA())</f>
        <v>#N/A</v>
      </c>
      <c r="G1155" t="e">
        <f ca="1">IFERROR(计算区域!AD1157,NA())</f>
        <v>#N/A</v>
      </c>
      <c r="H1155" t="e">
        <f ca="1">IFERROR(计算区域!AE1157,NA())</f>
        <v>#N/A</v>
      </c>
      <c r="I1155" t="e">
        <f ca="1">IFERROR(计算区域!AF1157,NA())</f>
        <v>#N/A</v>
      </c>
      <c r="J1155" t="e">
        <f ca="1">IFERROR(计算区域!AG1157,NA())</f>
        <v>#N/A</v>
      </c>
      <c r="L1155" t="e">
        <f ca="1">IFERROR(计算区域!L1157,NA())</f>
        <v>#N/A</v>
      </c>
      <c r="M1155" t="e">
        <f ca="1">IFERROR(计算区域!M1157,NA())</f>
        <v>#N/A</v>
      </c>
      <c r="N1155" t="e">
        <f ca="1">IFERROR(计算区域!N1157,NA())</f>
        <v>#N/A</v>
      </c>
      <c r="O1155" t="e">
        <f ca="1">IFERROR(计算区域!O1157,NA())</f>
        <v>#N/A</v>
      </c>
      <c r="Q1155" t="e">
        <f ca="1">IFERROR(计算区域!R1157,NA())</f>
        <v>#N/A</v>
      </c>
      <c r="R1155" t="e">
        <f ca="1">IFERROR(计算区域!S1157,NA())</f>
        <v>#N/A</v>
      </c>
      <c r="S1155" t="e">
        <f ca="1">IFERROR(计算区域!T1157,NA())</f>
        <v>#N/A</v>
      </c>
      <c r="T1155" t="e">
        <f ca="1">IFERROR(计算区域!U1157,NA())</f>
        <v>#N/A</v>
      </c>
      <c r="V1155" t="e">
        <f ca="1">IFERROR(计算区域!X1157,NA())</f>
        <v>#N/A</v>
      </c>
      <c r="W1155" t="e">
        <f ca="1">IFERROR(计算区域!Y1157,NA())</f>
        <v>#N/A</v>
      </c>
      <c r="X1155" t="e">
        <f ca="1">IFERROR(计算区域!Z1157,NA())</f>
        <v>#N/A</v>
      </c>
      <c r="Y1155" t="e">
        <f ca="1">IFERROR(计算区域!AA1157,NA())</f>
        <v>#N/A</v>
      </c>
    </row>
    <row r="1156" spans="1:25" x14ac:dyDescent="0.2">
      <c r="A1156" s="28">
        <f>计算区域!E1158</f>
        <v>0</v>
      </c>
      <c r="B1156" t="e">
        <f ca="1">IFERROR(计算区域!AJ1158,NA())</f>
        <v>#N/A</v>
      </c>
      <c r="C1156" t="e">
        <f ca="1">IFERROR(计算区域!AK1158,NA())</f>
        <v>#N/A</v>
      </c>
      <c r="D1156" t="e">
        <f ca="1">IFERROR(计算区域!AL1158,NA())</f>
        <v>#N/A</v>
      </c>
      <c r="E1156" t="e">
        <f ca="1">IFERROR(计算区域!AM1158,NA())</f>
        <v>#N/A</v>
      </c>
      <c r="G1156" t="e">
        <f ca="1">IFERROR(计算区域!AD1158,NA())</f>
        <v>#N/A</v>
      </c>
      <c r="H1156" t="e">
        <f ca="1">IFERROR(计算区域!AE1158,NA())</f>
        <v>#N/A</v>
      </c>
      <c r="I1156" t="e">
        <f ca="1">IFERROR(计算区域!AF1158,NA())</f>
        <v>#N/A</v>
      </c>
      <c r="J1156" t="e">
        <f ca="1">IFERROR(计算区域!AG1158,NA())</f>
        <v>#N/A</v>
      </c>
      <c r="L1156" t="e">
        <f ca="1">IFERROR(计算区域!L1158,NA())</f>
        <v>#N/A</v>
      </c>
      <c r="M1156" t="e">
        <f ca="1">IFERROR(计算区域!M1158,NA())</f>
        <v>#N/A</v>
      </c>
      <c r="N1156" t="e">
        <f ca="1">IFERROR(计算区域!N1158,NA())</f>
        <v>#N/A</v>
      </c>
      <c r="O1156" t="e">
        <f ca="1">IFERROR(计算区域!O1158,NA())</f>
        <v>#N/A</v>
      </c>
      <c r="Q1156" t="e">
        <f ca="1">IFERROR(计算区域!R1158,NA())</f>
        <v>#N/A</v>
      </c>
      <c r="R1156" t="e">
        <f ca="1">IFERROR(计算区域!S1158,NA())</f>
        <v>#N/A</v>
      </c>
      <c r="S1156" t="e">
        <f ca="1">IFERROR(计算区域!T1158,NA())</f>
        <v>#N/A</v>
      </c>
      <c r="T1156" t="e">
        <f ca="1">IFERROR(计算区域!U1158,NA())</f>
        <v>#N/A</v>
      </c>
      <c r="V1156" t="e">
        <f ca="1">IFERROR(计算区域!X1158,NA())</f>
        <v>#N/A</v>
      </c>
      <c r="W1156" t="e">
        <f ca="1">IFERROR(计算区域!Y1158,NA())</f>
        <v>#N/A</v>
      </c>
      <c r="X1156" t="e">
        <f ca="1">IFERROR(计算区域!Z1158,NA())</f>
        <v>#N/A</v>
      </c>
      <c r="Y1156" t="e">
        <f ca="1">IFERROR(计算区域!AA1158,NA())</f>
        <v>#N/A</v>
      </c>
    </row>
    <row r="1157" spans="1:25" x14ac:dyDescent="0.2">
      <c r="A1157" s="28">
        <f>计算区域!E1159</f>
        <v>0</v>
      </c>
      <c r="B1157" t="e">
        <f ca="1">IFERROR(计算区域!AJ1159,NA())</f>
        <v>#N/A</v>
      </c>
      <c r="C1157" t="e">
        <f ca="1">IFERROR(计算区域!AK1159,NA())</f>
        <v>#N/A</v>
      </c>
      <c r="D1157" t="e">
        <f ca="1">IFERROR(计算区域!AL1159,NA())</f>
        <v>#N/A</v>
      </c>
      <c r="E1157" t="e">
        <f ca="1">IFERROR(计算区域!AM1159,NA())</f>
        <v>#N/A</v>
      </c>
      <c r="G1157" t="e">
        <f ca="1">IFERROR(计算区域!AD1159,NA())</f>
        <v>#N/A</v>
      </c>
      <c r="H1157" t="e">
        <f ca="1">IFERROR(计算区域!AE1159,NA())</f>
        <v>#N/A</v>
      </c>
      <c r="I1157" t="e">
        <f ca="1">IFERROR(计算区域!AF1159,NA())</f>
        <v>#N/A</v>
      </c>
      <c r="J1157" t="e">
        <f ca="1">IFERROR(计算区域!AG1159,NA())</f>
        <v>#N/A</v>
      </c>
      <c r="L1157" t="e">
        <f ca="1">IFERROR(计算区域!L1159,NA())</f>
        <v>#N/A</v>
      </c>
      <c r="M1157" t="e">
        <f ca="1">IFERROR(计算区域!M1159,NA())</f>
        <v>#N/A</v>
      </c>
      <c r="N1157" t="e">
        <f ca="1">IFERROR(计算区域!N1159,NA())</f>
        <v>#N/A</v>
      </c>
      <c r="O1157" t="e">
        <f ca="1">IFERROR(计算区域!O1159,NA())</f>
        <v>#N/A</v>
      </c>
      <c r="Q1157" t="e">
        <f ca="1">IFERROR(计算区域!R1159,NA())</f>
        <v>#N/A</v>
      </c>
      <c r="R1157" t="e">
        <f ca="1">IFERROR(计算区域!S1159,NA())</f>
        <v>#N/A</v>
      </c>
      <c r="S1157" t="e">
        <f ca="1">IFERROR(计算区域!T1159,NA())</f>
        <v>#N/A</v>
      </c>
      <c r="T1157" t="e">
        <f ca="1">IFERROR(计算区域!U1159,NA())</f>
        <v>#N/A</v>
      </c>
      <c r="V1157" t="e">
        <f ca="1">IFERROR(计算区域!X1159,NA())</f>
        <v>#N/A</v>
      </c>
      <c r="W1157" t="e">
        <f ca="1">IFERROR(计算区域!Y1159,NA())</f>
        <v>#N/A</v>
      </c>
      <c r="X1157" t="e">
        <f ca="1">IFERROR(计算区域!Z1159,NA())</f>
        <v>#N/A</v>
      </c>
      <c r="Y1157" t="e">
        <f ca="1">IFERROR(计算区域!AA1159,NA())</f>
        <v>#N/A</v>
      </c>
    </row>
    <row r="1158" spans="1:25" x14ac:dyDescent="0.2">
      <c r="A1158" s="28">
        <f>计算区域!E1160</f>
        <v>0</v>
      </c>
      <c r="B1158" t="e">
        <f ca="1">IFERROR(计算区域!AJ1160,NA())</f>
        <v>#N/A</v>
      </c>
      <c r="C1158" t="e">
        <f ca="1">IFERROR(计算区域!AK1160,NA())</f>
        <v>#N/A</v>
      </c>
      <c r="D1158" t="e">
        <f ca="1">IFERROR(计算区域!AL1160,NA())</f>
        <v>#N/A</v>
      </c>
      <c r="E1158" t="e">
        <f ca="1">IFERROR(计算区域!AM1160,NA())</f>
        <v>#N/A</v>
      </c>
      <c r="G1158" t="e">
        <f ca="1">IFERROR(计算区域!AD1160,NA())</f>
        <v>#N/A</v>
      </c>
      <c r="H1158" t="e">
        <f ca="1">IFERROR(计算区域!AE1160,NA())</f>
        <v>#N/A</v>
      </c>
      <c r="I1158" t="e">
        <f ca="1">IFERROR(计算区域!AF1160,NA())</f>
        <v>#N/A</v>
      </c>
      <c r="J1158" t="e">
        <f ca="1">IFERROR(计算区域!AG1160,NA())</f>
        <v>#N/A</v>
      </c>
      <c r="L1158" t="e">
        <f ca="1">IFERROR(计算区域!L1160,NA())</f>
        <v>#N/A</v>
      </c>
      <c r="M1158" t="e">
        <f ca="1">IFERROR(计算区域!M1160,NA())</f>
        <v>#N/A</v>
      </c>
      <c r="N1158" t="e">
        <f ca="1">IFERROR(计算区域!N1160,NA())</f>
        <v>#N/A</v>
      </c>
      <c r="O1158" t="e">
        <f ca="1">IFERROR(计算区域!O1160,NA())</f>
        <v>#N/A</v>
      </c>
      <c r="Q1158" t="e">
        <f ca="1">IFERROR(计算区域!R1160,NA())</f>
        <v>#N/A</v>
      </c>
      <c r="R1158" t="e">
        <f ca="1">IFERROR(计算区域!S1160,NA())</f>
        <v>#N/A</v>
      </c>
      <c r="S1158" t="e">
        <f ca="1">IFERROR(计算区域!T1160,NA())</f>
        <v>#N/A</v>
      </c>
      <c r="T1158" t="e">
        <f ca="1">IFERROR(计算区域!U1160,NA())</f>
        <v>#N/A</v>
      </c>
      <c r="V1158" t="e">
        <f ca="1">IFERROR(计算区域!X1160,NA())</f>
        <v>#N/A</v>
      </c>
      <c r="W1158" t="e">
        <f ca="1">IFERROR(计算区域!Y1160,NA())</f>
        <v>#N/A</v>
      </c>
      <c r="X1158" t="e">
        <f ca="1">IFERROR(计算区域!Z1160,NA())</f>
        <v>#N/A</v>
      </c>
      <c r="Y1158" t="e">
        <f ca="1">IFERROR(计算区域!AA1160,NA())</f>
        <v>#N/A</v>
      </c>
    </row>
    <row r="1159" spans="1:25" x14ac:dyDescent="0.2">
      <c r="A1159" s="28">
        <f>计算区域!E1161</f>
        <v>0</v>
      </c>
      <c r="B1159" t="e">
        <f ca="1">IFERROR(计算区域!AJ1161,NA())</f>
        <v>#N/A</v>
      </c>
      <c r="C1159" t="e">
        <f ca="1">IFERROR(计算区域!AK1161,NA())</f>
        <v>#N/A</v>
      </c>
      <c r="D1159" t="e">
        <f ca="1">IFERROR(计算区域!AL1161,NA())</f>
        <v>#N/A</v>
      </c>
      <c r="E1159" t="e">
        <f ca="1">IFERROR(计算区域!AM1161,NA())</f>
        <v>#N/A</v>
      </c>
      <c r="G1159" t="e">
        <f ca="1">IFERROR(计算区域!AD1161,NA())</f>
        <v>#N/A</v>
      </c>
      <c r="H1159" t="e">
        <f ca="1">IFERROR(计算区域!AE1161,NA())</f>
        <v>#N/A</v>
      </c>
      <c r="I1159" t="e">
        <f ca="1">IFERROR(计算区域!AF1161,NA())</f>
        <v>#N/A</v>
      </c>
      <c r="J1159" t="e">
        <f ca="1">IFERROR(计算区域!AG1161,NA())</f>
        <v>#N/A</v>
      </c>
      <c r="L1159" t="e">
        <f ca="1">IFERROR(计算区域!L1161,NA())</f>
        <v>#N/A</v>
      </c>
      <c r="M1159" t="e">
        <f ca="1">IFERROR(计算区域!M1161,NA())</f>
        <v>#N/A</v>
      </c>
      <c r="N1159" t="e">
        <f ca="1">IFERROR(计算区域!N1161,NA())</f>
        <v>#N/A</v>
      </c>
      <c r="O1159" t="e">
        <f ca="1">IFERROR(计算区域!O1161,NA())</f>
        <v>#N/A</v>
      </c>
      <c r="Q1159" t="e">
        <f ca="1">IFERROR(计算区域!R1161,NA())</f>
        <v>#N/A</v>
      </c>
      <c r="R1159" t="e">
        <f ca="1">IFERROR(计算区域!S1161,NA())</f>
        <v>#N/A</v>
      </c>
      <c r="S1159" t="e">
        <f ca="1">IFERROR(计算区域!T1161,NA())</f>
        <v>#N/A</v>
      </c>
      <c r="T1159" t="e">
        <f ca="1">IFERROR(计算区域!U1161,NA())</f>
        <v>#N/A</v>
      </c>
      <c r="V1159" t="e">
        <f ca="1">IFERROR(计算区域!X1161,NA())</f>
        <v>#N/A</v>
      </c>
      <c r="W1159" t="e">
        <f ca="1">IFERROR(计算区域!Y1161,NA())</f>
        <v>#N/A</v>
      </c>
      <c r="X1159" t="e">
        <f ca="1">IFERROR(计算区域!Z1161,NA())</f>
        <v>#N/A</v>
      </c>
      <c r="Y1159" t="e">
        <f ca="1">IFERROR(计算区域!AA1161,NA())</f>
        <v>#N/A</v>
      </c>
    </row>
    <row r="1160" spans="1:25" x14ac:dyDescent="0.2">
      <c r="A1160" s="28">
        <f>计算区域!E1162</f>
        <v>0</v>
      </c>
      <c r="B1160" t="e">
        <f ca="1">IFERROR(计算区域!AJ1162,NA())</f>
        <v>#N/A</v>
      </c>
      <c r="C1160" t="e">
        <f ca="1">IFERROR(计算区域!AK1162,NA())</f>
        <v>#N/A</v>
      </c>
      <c r="D1160" t="e">
        <f ca="1">IFERROR(计算区域!AL1162,NA())</f>
        <v>#N/A</v>
      </c>
      <c r="E1160" t="e">
        <f ca="1">IFERROR(计算区域!AM1162,NA())</f>
        <v>#N/A</v>
      </c>
      <c r="G1160" t="e">
        <f ca="1">IFERROR(计算区域!AD1162,NA())</f>
        <v>#N/A</v>
      </c>
      <c r="H1160" t="e">
        <f ca="1">IFERROR(计算区域!AE1162,NA())</f>
        <v>#N/A</v>
      </c>
      <c r="I1160" t="e">
        <f ca="1">IFERROR(计算区域!AF1162,NA())</f>
        <v>#N/A</v>
      </c>
      <c r="J1160" t="e">
        <f ca="1">IFERROR(计算区域!AG1162,NA())</f>
        <v>#N/A</v>
      </c>
      <c r="L1160" t="e">
        <f ca="1">IFERROR(计算区域!L1162,NA())</f>
        <v>#N/A</v>
      </c>
      <c r="M1160" t="e">
        <f ca="1">IFERROR(计算区域!M1162,NA())</f>
        <v>#N/A</v>
      </c>
      <c r="N1160" t="e">
        <f ca="1">IFERROR(计算区域!N1162,NA())</f>
        <v>#N/A</v>
      </c>
      <c r="O1160" t="e">
        <f ca="1">IFERROR(计算区域!O1162,NA())</f>
        <v>#N/A</v>
      </c>
      <c r="Q1160" t="e">
        <f ca="1">IFERROR(计算区域!R1162,NA())</f>
        <v>#N/A</v>
      </c>
      <c r="R1160" t="e">
        <f ca="1">IFERROR(计算区域!S1162,NA())</f>
        <v>#N/A</v>
      </c>
      <c r="S1160" t="e">
        <f ca="1">IFERROR(计算区域!T1162,NA())</f>
        <v>#N/A</v>
      </c>
      <c r="T1160" t="e">
        <f ca="1">IFERROR(计算区域!U1162,NA())</f>
        <v>#N/A</v>
      </c>
      <c r="V1160" t="e">
        <f ca="1">IFERROR(计算区域!X1162,NA())</f>
        <v>#N/A</v>
      </c>
      <c r="W1160" t="e">
        <f ca="1">IFERROR(计算区域!Y1162,NA())</f>
        <v>#N/A</v>
      </c>
      <c r="X1160" t="e">
        <f ca="1">IFERROR(计算区域!Z1162,NA())</f>
        <v>#N/A</v>
      </c>
      <c r="Y1160" t="e">
        <f ca="1">IFERROR(计算区域!AA1162,NA())</f>
        <v>#N/A</v>
      </c>
    </row>
    <row r="1161" spans="1:25" x14ac:dyDescent="0.2">
      <c r="A1161" s="28">
        <f>计算区域!E1163</f>
        <v>0</v>
      </c>
      <c r="B1161" t="e">
        <f ca="1">IFERROR(计算区域!AJ1163,NA())</f>
        <v>#N/A</v>
      </c>
      <c r="C1161" t="e">
        <f ca="1">IFERROR(计算区域!AK1163,NA())</f>
        <v>#N/A</v>
      </c>
      <c r="D1161" t="e">
        <f ca="1">IFERROR(计算区域!AL1163,NA())</f>
        <v>#N/A</v>
      </c>
      <c r="E1161" t="e">
        <f ca="1">IFERROR(计算区域!AM1163,NA())</f>
        <v>#N/A</v>
      </c>
      <c r="G1161" t="e">
        <f ca="1">IFERROR(计算区域!AD1163,NA())</f>
        <v>#N/A</v>
      </c>
      <c r="H1161" t="e">
        <f ca="1">IFERROR(计算区域!AE1163,NA())</f>
        <v>#N/A</v>
      </c>
      <c r="I1161" t="e">
        <f ca="1">IFERROR(计算区域!AF1163,NA())</f>
        <v>#N/A</v>
      </c>
      <c r="J1161" t="e">
        <f ca="1">IFERROR(计算区域!AG1163,NA())</f>
        <v>#N/A</v>
      </c>
      <c r="L1161" t="e">
        <f ca="1">IFERROR(计算区域!L1163,NA())</f>
        <v>#N/A</v>
      </c>
      <c r="M1161" t="e">
        <f ca="1">IFERROR(计算区域!M1163,NA())</f>
        <v>#N/A</v>
      </c>
      <c r="N1161" t="e">
        <f ca="1">IFERROR(计算区域!N1163,NA())</f>
        <v>#N/A</v>
      </c>
      <c r="O1161" t="e">
        <f ca="1">IFERROR(计算区域!O1163,NA())</f>
        <v>#N/A</v>
      </c>
      <c r="Q1161" t="e">
        <f ca="1">IFERROR(计算区域!R1163,NA())</f>
        <v>#N/A</v>
      </c>
      <c r="R1161" t="e">
        <f ca="1">IFERROR(计算区域!S1163,NA())</f>
        <v>#N/A</v>
      </c>
      <c r="S1161" t="e">
        <f ca="1">IFERROR(计算区域!T1163,NA())</f>
        <v>#N/A</v>
      </c>
      <c r="T1161" t="e">
        <f ca="1">IFERROR(计算区域!U1163,NA())</f>
        <v>#N/A</v>
      </c>
      <c r="V1161" t="e">
        <f ca="1">IFERROR(计算区域!X1163,NA())</f>
        <v>#N/A</v>
      </c>
      <c r="W1161" t="e">
        <f ca="1">IFERROR(计算区域!Y1163,NA())</f>
        <v>#N/A</v>
      </c>
      <c r="X1161" t="e">
        <f ca="1">IFERROR(计算区域!Z1163,NA())</f>
        <v>#N/A</v>
      </c>
      <c r="Y1161" t="e">
        <f ca="1">IFERROR(计算区域!AA1163,NA())</f>
        <v>#N/A</v>
      </c>
    </row>
    <row r="1162" spans="1:25" x14ac:dyDescent="0.2">
      <c r="A1162" s="28">
        <f>计算区域!E1164</f>
        <v>0</v>
      </c>
      <c r="B1162" t="e">
        <f ca="1">IFERROR(计算区域!AJ1164,NA())</f>
        <v>#N/A</v>
      </c>
      <c r="C1162" t="e">
        <f ca="1">IFERROR(计算区域!AK1164,NA())</f>
        <v>#N/A</v>
      </c>
      <c r="D1162" t="e">
        <f ca="1">IFERROR(计算区域!AL1164,NA())</f>
        <v>#N/A</v>
      </c>
      <c r="E1162" t="e">
        <f ca="1">IFERROR(计算区域!AM1164,NA())</f>
        <v>#N/A</v>
      </c>
      <c r="G1162" t="e">
        <f ca="1">IFERROR(计算区域!AD1164,NA())</f>
        <v>#N/A</v>
      </c>
      <c r="H1162" t="e">
        <f ca="1">IFERROR(计算区域!AE1164,NA())</f>
        <v>#N/A</v>
      </c>
      <c r="I1162" t="e">
        <f ca="1">IFERROR(计算区域!AF1164,NA())</f>
        <v>#N/A</v>
      </c>
      <c r="J1162" t="e">
        <f ca="1">IFERROR(计算区域!AG1164,NA())</f>
        <v>#N/A</v>
      </c>
      <c r="L1162" t="e">
        <f ca="1">IFERROR(计算区域!L1164,NA())</f>
        <v>#N/A</v>
      </c>
      <c r="M1162" t="e">
        <f ca="1">IFERROR(计算区域!M1164,NA())</f>
        <v>#N/A</v>
      </c>
      <c r="N1162" t="e">
        <f ca="1">IFERROR(计算区域!N1164,NA())</f>
        <v>#N/A</v>
      </c>
      <c r="O1162" t="e">
        <f ca="1">IFERROR(计算区域!O1164,NA())</f>
        <v>#N/A</v>
      </c>
      <c r="Q1162" t="e">
        <f ca="1">IFERROR(计算区域!R1164,NA())</f>
        <v>#N/A</v>
      </c>
      <c r="R1162" t="e">
        <f ca="1">IFERROR(计算区域!S1164,NA())</f>
        <v>#N/A</v>
      </c>
      <c r="S1162" t="e">
        <f ca="1">IFERROR(计算区域!T1164,NA())</f>
        <v>#N/A</v>
      </c>
      <c r="T1162" t="e">
        <f ca="1">IFERROR(计算区域!U1164,NA())</f>
        <v>#N/A</v>
      </c>
      <c r="V1162" t="e">
        <f ca="1">IFERROR(计算区域!X1164,NA())</f>
        <v>#N/A</v>
      </c>
      <c r="W1162" t="e">
        <f ca="1">IFERROR(计算区域!Y1164,NA())</f>
        <v>#N/A</v>
      </c>
      <c r="X1162" t="e">
        <f ca="1">IFERROR(计算区域!Z1164,NA())</f>
        <v>#N/A</v>
      </c>
      <c r="Y1162" t="e">
        <f ca="1">IFERROR(计算区域!AA1164,NA())</f>
        <v>#N/A</v>
      </c>
    </row>
    <row r="1163" spans="1:25" x14ac:dyDescent="0.2">
      <c r="A1163" s="28">
        <f>计算区域!E1165</f>
        <v>0</v>
      </c>
      <c r="B1163" t="e">
        <f ca="1">IFERROR(计算区域!AJ1165,NA())</f>
        <v>#N/A</v>
      </c>
      <c r="C1163" t="e">
        <f ca="1">IFERROR(计算区域!AK1165,NA())</f>
        <v>#N/A</v>
      </c>
      <c r="D1163" t="e">
        <f ca="1">IFERROR(计算区域!AL1165,NA())</f>
        <v>#N/A</v>
      </c>
      <c r="E1163" t="e">
        <f ca="1">IFERROR(计算区域!AM1165,NA())</f>
        <v>#N/A</v>
      </c>
      <c r="G1163" t="e">
        <f ca="1">IFERROR(计算区域!AD1165,NA())</f>
        <v>#N/A</v>
      </c>
      <c r="H1163" t="e">
        <f ca="1">IFERROR(计算区域!AE1165,NA())</f>
        <v>#N/A</v>
      </c>
      <c r="I1163" t="e">
        <f ca="1">IFERROR(计算区域!AF1165,NA())</f>
        <v>#N/A</v>
      </c>
      <c r="J1163" t="e">
        <f ca="1">IFERROR(计算区域!AG1165,NA())</f>
        <v>#N/A</v>
      </c>
      <c r="L1163" t="e">
        <f ca="1">IFERROR(计算区域!L1165,NA())</f>
        <v>#N/A</v>
      </c>
      <c r="M1163" t="e">
        <f ca="1">IFERROR(计算区域!M1165,NA())</f>
        <v>#N/A</v>
      </c>
      <c r="N1163" t="e">
        <f ca="1">IFERROR(计算区域!N1165,NA())</f>
        <v>#N/A</v>
      </c>
      <c r="O1163" t="e">
        <f ca="1">IFERROR(计算区域!O1165,NA())</f>
        <v>#N/A</v>
      </c>
      <c r="Q1163" t="e">
        <f ca="1">IFERROR(计算区域!R1165,NA())</f>
        <v>#N/A</v>
      </c>
      <c r="R1163" t="e">
        <f ca="1">IFERROR(计算区域!S1165,NA())</f>
        <v>#N/A</v>
      </c>
      <c r="S1163" t="e">
        <f ca="1">IFERROR(计算区域!T1165,NA())</f>
        <v>#N/A</v>
      </c>
      <c r="T1163" t="e">
        <f ca="1">IFERROR(计算区域!U1165,NA())</f>
        <v>#N/A</v>
      </c>
      <c r="V1163" t="e">
        <f ca="1">IFERROR(计算区域!X1165,NA())</f>
        <v>#N/A</v>
      </c>
      <c r="W1163" t="e">
        <f ca="1">IFERROR(计算区域!Y1165,NA())</f>
        <v>#N/A</v>
      </c>
      <c r="X1163" t="e">
        <f ca="1">IFERROR(计算区域!Z1165,NA())</f>
        <v>#N/A</v>
      </c>
      <c r="Y1163" t="e">
        <f ca="1">IFERROR(计算区域!AA1165,NA())</f>
        <v>#N/A</v>
      </c>
    </row>
    <row r="1164" spans="1:25" x14ac:dyDescent="0.2">
      <c r="A1164" s="28">
        <f>计算区域!E1166</f>
        <v>0</v>
      </c>
      <c r="B1164" t="e">
        <f ca="1">IFERROR(计算区域!AJ1166,NA())</f>
        <v>#N/A</v>
      </c>
      <c r="C1164" t="e">
        <f ca="1">IFERROR(计算区域!AK1166,NA())</f>
        <v>#N/A</v>
      </c>
      <c r="D1164" t="e">
        <f ca="1">IFERROR(计算区域!AL1166,NA())</f>
        <v>#N/A</v>
      </c>
      <c r="E1164" t="e">
        <f ca="1">IFERROR(计算区域!AM1166,NA())</f>
        <v>#N/A</v>
      </c>
      <c r="G1164" t="e">
        <f ca="1">IFERROR(计算区域!AD1166,NA())</f>
        <v>#N/A</v>
      </c>
      <c r="H1164" t="e">
        <f ca="1">IFERROR(计算区域!AE1166,NA())</f>
        <v>#N/A</v>
      </c>
      <c r="I1164" t="e">
        <f ca="1">IFERROR(计算区域!AF1166,NA())</f>
        <v>#N/A</v>
      </c>
      <c r="J1164" t="e">
        <f ca="1">IFERROR(计算区域!AG1166,NA())</f>
        <v>#N/A</v>
      </c>
      <c r="L1164" t="e">
        <f ca="1">IFERROR(计算区域!L1166,NA())</f>
        <v>#N/A</v>
      </c>
      <c r="M1164" t="e">
        <f ca="1">IFERROR(计算区域!M1166,NA())</f>
        <v>#N/A</v>
      </c>
      <c r="N1164" t="e">
        <f ca="1">IFERROR(计算区域!N1166,NA())</f>
        <v>#N/A</v>
      </c>
      <c r="O1164" t="e">
        <f ca="1">IFERROR(计算区域!O1166,NA())</f>
        <v>#N/A</v>
      </c>
      <c r="Q1164" t="e">
        <f ca="1">IFERROR(计算区域!R1166,NA())</f>
        <v>#N/A</v>
      </c>
      <c r="R1164" t="e">
        <f ca="1">IFERROR(计算区域!S1166,NA())</f>
        <v>#N/A</v>
      </c>
      <c r="S1164" t="e">
        <f ca="1">IFERROR(计算区域!T1166,NA())</f>
        <v>#N/A</v>
      </c>
      <c r="T1164" t="e">
        <f ca="1">IFERROR(计算区域!U1166,NA())</f>
        <v>#N/A</v>
      </c>
      <c r="V1164" t="e">
        <f ca="1">IFERROR(计算区域!X1166,NA())</f>
        <v>#N/A</v>
      </c>
      <c r="W1164" t="e">
        <f ca="1">IFERROR(计算区域!Y1166,NA())</f>
        <v>#N/A</v>
      </c>
      <c r="X1164" t="e">
        <f ca="1">IFERROR(计算区域!Z1166,NA())</f>
        <v>#N/A</v>
      </c>
      <c r="Y1164" t="e">
        <f ca="1">IFERROR(计算区域!AA1166,NA())</f>
        <v>#N/A</v>
      </c>
    </row>
    <row r="1165" spans="1:25" x14ac:dyDescent="0.2">
      <c r="A1165" s="28">
        <f>计算区域!E1167</f>
        <v>0</v>
      </c>
      <c r="B1165" t="e">
        <f ca="1">IFERROR(计算区域!AJ1167,NA())</f>
        <v>#N/A</v>
      </c>
      <c r="C1165" t="e">
        <f ca="1">IFERROR(计算区域!AK1167,NA())</f>
        <v>#N/A</v>
      </c>
      <c r="D1165" t="e">
        <f ca="1">IFERROR(计算区域!AL1167,NA())</f>
        <v>#N/A</v>
      </c>
      <c r="E1165" t="e">
        <f ca="1">IFERROR(计算区域!AM1167,NA())</f>
        <v>#N/A</v>
      </c>
      <c r="G1165" t="e">
        <f ca="1">IFERROR(计算区域!AD1167,NA())</f>
        <v>#N/A</v>
      </c>
      <c r="H1165" t="e">
        <f ca="1">IFERROR(计算区域!AE1167,NA())</f>
        <v>#N/A</v>
      </c>
      <c r="I1165" t="e">
        <f ca="1">IFERROR(计算区域!AF1167,NA())</f>
        <v>#N/A</v>
      </c>
      <c r="J1165" t="e">
        <f ca="1">IFERROR(计算区域!AG1167,NA())</f>
        <v>#N/A</v>
      </c>
      <c r="L1165" t="e">
        <f ca="1">IFERROR(计算区域!L1167,NA())</f>
        <v>#N/A</v>
      </c>
      <c r="M1165" t="e">
        <f ca="1">IFERROR(计算区域!M1167,NA())</f>
        <v>#N/A</v>
      </c>
      <c r="N1165" t="e">
        <f ca="1">IFERROR(计算区域!N1167,NA())</f>
        <v>#N/A</v>
      </c>
      <c r="O1165" t="e">
        <f ca="1">IFERROR(计算区域!O1167,NA())</f>
        <v>#N/A</v>
      </c>
      <c r="Q1165" t="e">
        <f ca="1">IFERROR(计算区域!R1167,NA())</f>
        <v>#N/A</v>
      </c>
      <c r="R1165" t="e">
        <f ca="1">IFERROR(计算区域!S1167,NA())</f>
        <v>#N/A</v>
      </c>
      <c r="S1165" t="e">
        <f ca="1">IFERROR(计算区域!T1167,NA())</f>
        <v>#N/A</v>
      </c>
      <c r="T1165" t="e">
        <f ca="1">IFERROR(计算区域!U1167,NA())</f>
        <v>#N/A</v>
      </c>
      <c r="V1165" t="e">
        <f ca="1">IFERROR(计算区域!X1167,NA())</f>
        <v>#N/A</v>
      </c>
      <c r="W1165" t="e">
        <f ca="1">IFERROR(计算区域!Y1167,NA())</f>
        <v>#N/A</v>
      </c>
      <c r="X1165" t="e">
        <f ca="1">IFERROR(计算区域!Z1167,NA())</f>
        <v>#N/A</v>
      </c>
      <c r="Y1165" t="e">
        <f ca="1">IFERROR(计算区域!AA1167,NA())</f>
        <v>#N/A</v>
      </c>
    </row>
    <row r="1166" spans="1:25" x14ac:dyDescent="0.2">
      <c r="A1166" s="28">
        <f>计算区域!E1168</f>
        <v>0</v>
      </c>
      <c r="B1166" t="e">
        <f ca="1">IFERROR(计算区域!AJ1168,NA())</f>
        <v>#N/A</v>
      </c>
      <c r="C1166" t="e">
        <f ca="1">IFERROR(计算区域!AK1168,NA())</f>
        <v>#N/A</v>
      </c>
      <c r="D1166" t="e">
        <f ca="1">IFERROR(计算区域!AL1168,NA())</f>
        <v>#N/A</v>
      </c>
      <c r="E1166" t="e">
        <f ca="1">IFERROR(计算区域!AM1168,NA())</f>
        <v>#N/A</v>
      </c>
      <c r="G1166" t="e">
        <f ca="1">IFERROR(计算区域!AD1168,NA())</f>
        <v>#N/A</v>
      </c>
      <c r="H1166" t="e">
        <f ca="1">IFERROR(计算区域!AE1168,NA())</f>
        <v>#N/A</v>
      </c>
      <c r="I1166" t="e">
        <f ca="1">IFERROR(计算区域!AF1168,NA())</f>
        <v>#N/A</v>
      </c>
      <c r="J1166" t="e">
        <f ca="1">IFERROR(计算区域!AG1168,NA())</f>
        <v>#N/A</v>
      </c>
      <c r="L1166" t="e">
        <f ca="1">IFERROR(计算区域!L1168,NA())</f>
        <v>#N/A</v>
      </c>
      <c r="M1166" t="e">
        <f ca="1">IFERROR(计算区域!M1168,NA())</f>
        <v>#N/A</v>
      </c>
      <c r="N1166" t="e">
        <f ca="1">IFERROR(计算区域!N1168,NA())</f>
        <v>#N/A</v>
      </c>
      <c r="O1166" t="e">
        <f ca="1">IFERROR(计算区域!O1168,NA())</f>
        <v>#N/A</v>
      </c>
      <c r="Q1166" t="e">
        <f ca="1">IFERROR(计算区域!R1168,NA())</f>
        <v>#N/A</v>
      </c>
      <c r="R1166" t="e">
        <f ca="1">IFERROR(计算区域!S1168,NA())</f>
        <v>#N/A</v>
      </c>
      <c r="S1166" t="e">
        <f ca="1">IFERROR(计算区域!T1168,NA())</f>
        <v>#N/A</v>
      </c>
      <c r="T1166" t="e">
        <f ca="1">IFERROR(计算区域!U1168,NA())</f>
        <v>#N/A</v>
      </c>
      <c r="V1166" t="e">
        <f ca="1">IFERROR(计算区域!X1168,NA())</f>
        <v>#N/A</v>
      </c>
      <c r="W1166" t="e">
        <f ca="1">IFERROR(计算区域!Y1168,NA())</f>
        <v>#N/A</v>
      </c>
      <c r="X1166" t="e">
        <f ca="1">IFERROR(计算区域!Z1168,NA())</f>
        <v>#N/A</v>
      </c>
      <c r="Y1166" t="e">
        <f ca="1">IFERROR(计算区域!AA1168,NA())</f>
        <v>#N/A</v>
      </c>
    </row>
    <row r="1167" spans="1:25" x14ac:dyDescent="0.2">
      <c r="A1167" s="28">
        <f>计算区域!E1169</f>
        <v>0</v>
      </c>
      <c r="B1167" t="e">
        <f ca="1">IFERROR(计算区域!AJ1169,NA())</f>
        <v>#N/A</v>
      </c>
      <c r="C1167" t="e">
        <f ca="1">IFERROR(计算区域!AK1169,NA())</f>
        <v>#N/A</v>
      </c>
      <c r="D1167" t="e">
        <f ca="1">IFERROR(计算区域!AL1169,NA())</f>
        <v>#N/A</v>
      </c>
      <c r="E1167" t="e">
        <f ca="1">IFERROR(计算区域!AM1169,NA())</f>
        <v>#N/A</v>
      </c>
      <c r="G1167" t="e">
        <f ca="1">IFERROR(计算区域!AD1169,NA())</f>
        <v>#N/A</v>
      </c>
      <c r="H1167" t="e">
        <f ca="1">IFERROR(计算区域!AE1169,NA())</f>
        <v>#N/A</v>
      </c>
      <c r="I1167" t="e">
        <f ca="1">IFERROR(计算区域!AF1169,NA())</f>
        <v>#N/A</v>
      </c>
      <c r="J1167" t="e">
        <f ca="1">IFERROR(计算区域!AG1169,NA())</f>
        <v>#N/A</v>
      </c>
      <c r="L1167" t="e">
        <f ca="1">IFERROR(计算区域!L1169,NA())</f>
        <v>#N/A</v>
      </c>
      <c r="M1167" t="e">
        <f ca="1">IFERROR(计算区域!M1169,NA())</f>
        <v>#N/A</v>
      </c>
      <c r="N1167" t="e">
        <f ca="1">IFERROR(计算区域!N1169,NA())</f>
        <v>#N/A</v>
      </c>
      <c r="O1167" t="e">
        <f ca="1">IFERROR(计算区域!O1169,NA())</f>
        <v>#N/A</v>
      </c>
      <c r="Q1167" t="e">
        <f ca="1">IFERROR(计算区域!R1169,NA())</f>
        <v>#N/A</v>
      </c>
      <c r="R1167" t="e">
        <f ca="1">IFERROR(计算区域!S1169,NA())</f>
        <v>#N/A</v>
      </c>
      <c r="S1167" t="e">
        <f ca="1">IFERROR(计算区域!T1169,NA())</f>
        <v>#N/A</v>
      </c>
      <c r="T1167" t="e">
        <f ca="1">IFERROR(计算区域!U1169,NA())</f>
        <v>#N/A</v>
      </c>
      <c r="V1167" t="e">
        <f ca="1">IFERROR(计算区域!X1169,NA())</f>
        <v>#N/A</v>
      </c>
      <c r="W1167" t="e">
        <f ca="1">IFERROR(计算区域!Y1169,NA())</f>
        <v>#N/A</v>
      </c>
      <c r="X1167" t="e">
        <f ca="1">IFERROR(计算区域!Z1169,NA())</f>
        <v>#N/A</v>
      </c>
      <c r="Y1167" t="e">
        <f ca="1">IFERROR(计算区域!AA1169,NA())</f>
        <v>#N/A</v>
      </c>
    </row>
    <row r="1168" spans="1:25" x14ac:dyDescent="0.2">
      <c r="A1168" s="28">
        <f>计算区域!E1170</f>
        <v>0</v>
      </c>
      <c r="B1168" t="e">
        <f ca="1">IFERROR(计算区域!AJ1170,NA())</f>
        <v>#N/A</v>
      </c>
      <c r="C1168" t="e">
        <f ca="1">IFERROR(计算区域!AK1170,NA())</f>
        <v>#N/A</v>
      </c>
      <c r="D1168" t="e">
        <f ca="1">IFERROR(计算区域!AL1170,NA())</f>
        <v>#N/A</v>
      </c>
      <c r="E1168" t="e">
        <f ca="1">IFERROR(计算区域!AM1170,NA())</f>
        <v>#N/A</v>
      </c>
      <c r="G1168" t="e">
        <f ca="1">IFERROR(计算区域!AD1170,NA())</f>
        <v>#N/A</v>
      </c>
      <c r="H1168" t="e">
        <f ca="1">IFERROR(计算区域!AE1170,NA())</f>
        <v>#N/A</v>
      </c>
      <c r="I1168" t="e">
        <f ca="1">IFERROR(计算区域!AF1170,NA())</f>
        <v>#N/A</v>
      </c>
      <c r="J1168" t="e">
        <f ca="1">IFERROR(计算区域!AG1170,NA())</f>
        <v>#N/A</v>
      </c>
      <c r="L1168" t="e">
        <f ca="1">IFERROR(计算区域!L1170,NA())</f>
        <v>#N/A</v>
      </c>
      <c r="M1168" t="e">
        <f ca="1">IFERROR(计算区域!M1170,NA())</f>
        <v>#N/A</v>
      </c>
      <c r="N1168" t="e">
        <f ca="1">IFERROR(计算区域!N1170,NA())</f>
        <v>#N/A</v>
      </c>
      <c r="O1168" t="e">
        <f ca="1">IFERROR(计算区域!O1170,NA())</f>
        <v>#N/A</v>
      </c>
      <c r="Q1168" t="e">
        <f ca="1">IFERROR(计算区域!R1170,NA())</f>
        <v>#N/A</v>
      </c>
      <c r="R1168" t="e">
        <f ca="1">IFERROR(计算区域!S1170,NA())</f>
        <v>#N/A</v>
      </c>
      <c r="S1168" t="e">
        <f ca="1">IFERROR(计算区域!T1170,NA())</f>
        <v>#N/A</v>
      </c>
      <c r="T1168" t="e">
        <f ca="1">IFERROR(计算区域!U1170,NA())</f>
        <v>#N/A</v>
      </c>
      <c r="V1168" t="e">
        <f ca="1">IFERROR(计算区域!X1170,NA())</f>
        <v>#N/A</v>
      </c>
      <c r="W1168" t="e">
        <f ca="1">IFERROR(计算区域!Y1170,NA())</f>
        <v>#N/A</v>
      </c>
      <c r="X1168" t="e">
        <f ca="1">IFERROR(计算区域!Z1170,NA())</f>
        <v>#N/A</v>
      </c>
      <c r="Y1168" t="e">
        <f ca="1">IFERROR(计算区域!AA1170,NA())</f>
        <v>#N/A</v>
      </c>
    </row>
    <row r="1169" spans="1:25" x14ac:dyDescent="0.2">
      <c r="A1169" s="28">
        <f>计算区域!E1171</f>
        <v>0</v>
      </c>
      <c r="B1169" t="e">
        <f ca="1">IFERROR(计算区域!AJ1171,NA())</f>
        <v>#N/A</v>
      </c>
      <c r="C1169" t="e">
        <f ca="1">IFERROR(计算区域!AK1171,NA())</f>
        <v>#N/A</v>
      </c>
      <c r="D1169" t="e">
        <f ca="1">IFERROR(计算区域!AL1171,NA())</f>
        <v>#N/A</v>
      </c>
      <c r="E1169" t="e">
        <f ca="1">IFERROR(计算区域!AM1171,NA())</f>
        <v>#N/A</v>
      </c>
      <c r="G1169" t="e">
        <f ca="1">IFERROR(计算区域!AD1171,NA())</f>
        <v>#N/A</v>
      </c>
      <c r="H1169" t="e">
        <f ca="1">IFERROR(计算区域!AE1171,NA())</f>
        <v>#N/A</v>
      </c>
      <c r="I1169" t="e">
        <f ca="1">IFERROR(计算区域!AF1171,NA())</f>
        <v>#N/A</v>
      </c>
      <c r="J1169" t="e">
        <f ca="1">IFERROR(计算区域!AG1171,NA())</f>
        <v>#N/A</v>
      </c>
      <c r="L1169" t="e">
        <f ca="1">IFERROR(计算区域!L1171,NA())</f>
        <v>#N/A</v>
      </c>
      <c r="M1169" t="e">
        <f ca="1">IFERROR(计算区域!M1171,NA())</f>
        <v>#N/A</v>
      </c>
      <c r="N1169" t="e">
        <f ca="1">IFERROR(计算区域!N1171,NA())</f>
        <v>#N/A</v>
      </c>
      <c r="O1169" t="e">
        <f ca="1">IFERROR(计算区域!O1171,NA())</f>
        <v>#N/A</v>
      </c>
      <c r="Q1169" t="e">
        <f ca="1">IFERROR(计算区域!R1171,NA())</f>
        <v>#N/A</v>
      </c>
      <c r="R1169" t="e">
        <f ca="1">IFERROR(计算区域!S1171,NA())</f>
        <v>#N/A</v>
      </c>
      <c r="S1169" t="e">
        <f ca="1">IFERROR(计算区域!T1171,NA())</f>
        <v>#N/A</v>
      </c>
      <c r="T1169" t="e">
        <f ca="1">IFERROR(计算区域!U1171,NA())</f>
        <v>#N/A</v>
      </c>
      <c r="V1169" t="e">
        <f ca="1">IFERROR(计算区域!X1171,NA())</f>
        <v>#N/A</v>
      </c>
      <c r="W1169" t="e">
        <f ca="1">IFERROR(计算区域!Y1171,NA())</f>
        <v>#N/A</v>
      </c>
      <c r="X1169" t="e">
        <f ca="1">IFERROR(计算区域!Z1171,NA())</f>
        <v>#N/A</v>
      </c>
      <c r="Y1169" t="e">
        <f ca="1">IFERROR(计算区域!AA1171,NA())</f>
        <v>#N/A</v>
      </c>
    </row>
    <row r="1170" spans="1:25" x14ac:dyDescent="0.2">
      <c r="A1170" s="28">
        <f>计算区域!E1172</f>
        <v>0</v>
      </c>
      <c r="B1170" t="e">
        <f ca="1">IFERROR(计算区域!AJ1172,NA())</f>
        <v>#N/A</v>
      </c>
      <c r="C1170" t="e">
        <f ca="1">IFERROR(计算区域!AK1172,NA())</f>
        <v>#N/A</v>
      </c>
      <c r="D1170" t="e">
        <f ca="1">IFERROR(计算区域!AL1172,NA())</f>
        <v>#N/A</v>
      </c>
      <c r="E1170" t="e">
        <f ca="1">IFERROR(计算区域!AM1172,NA())</f>
        <v>#N/A</v>
      </c>
      <c r="G1170" t="e">
        <f ca="1">IFERROR(计算区域!AD1172,NA())</f>
        <v>#N/A</v>
      </c>
      <c r="H1170" t="e">
        <f ca="1">IFERROR(计算区域!AE1172,NA())</f>
        <v>#N/A</v>
      </c>
      <c r="I1170" t="e">
        <f ca="1">IFERROR(计算区域!AF1172,NA())</f>
        <v>#N/A</v>
      </c>
      <c r="J1170" t="e">
        <f ca="1">IFERROR(计算区域!AG1172,NA())</f>
        <v>#N/A</v>
      </c>
      <c r="L1170" t="e">
        <f ca="1">IFERROR(计算区域!L1172,NA())</f>
        <v>#N/A</v>
      </c>
      <c r="M1170" t="e">
        <f ca="1">IFERROR(计算区域!M1172,NA())</f>
        <v>#N/A</v>
      </c>
      <c r="N1170" t="e">
        <f ca="1">IFERROR(计算区域!N1172,NA())</f>
        <v>#N/A</v>
      </c>
      <c r="O1170" t="e">
        <f ca="1">IFERROR(计算区域!O1172,NA())</f>
        <v>#N/A</v>
      </c>
      <c r="Q1170" t="e">
        <f ca="1">IFERROR(计算区域!R1172,NA())</f>
        <v>#N/A</v>
      </c>
      <c r="R1170" t="e">
        <f ca="1">IFERROR(计算区域!S1172,NA())</f>
        <v>#N/A</v>
      </c>
      <c r="S1170" t="e">
        <f ca="1">IFERROR(计算区域!T1172,NA())</f>
        <v>#N/A</v>
      </c>
      <c r="T1170" t="e">
        <f ca="1">IFERROR(计算区域!U1172,NA())</f>
        <v>#N/A</v>
      </c>
      <c r="V1170" t="e">
        <f ca="1">IFERROR(计算区域!X1172,NA())</f>
        <v>#N/A</v>
      </c>
      <c r="W1170" t="e">
        <f ca="1">IFERROR(计算区域!Y1172,NA())</f>
        <v>#N/A</v>
      </c>
      <c r="X1170" t="e">
        <f ca="1">IFERROR(计算区域!Z1172,NA())</f>
        <v>#N/A</v>
      </c>
      <c r="Y1170" t="e">
        <f ca="1">IFERROR(计算区域!AA1172,NA())</f>
        <v>#N/A</v>
      </c>
    </row>
    <row r="1171" spans="1:25" x14ac:dyDescent="0.2">
      <c r="A1171" s="28">
        <f>计算区域!E1173</f>
        <v>0</v>
      </c>
      <c r="B1171" t="e">
        <f ca="1">IFERROR(计算区域!AJ1173,NA())</f>
        <v>#N/A</v>
      </c>
      <c r="C1171" t="e">
        <f ca="1">IFERROR(计算区域!AK1173,NA())</f>
        <v>#N/A</v>
      </c>
      <c r="D1171" t="e">
        <f ca="1">IFERROR(计算区域!AL1173,NA())</f>
        <v>#N/A</v>
      </c>
      <c r="E1171" t="e">
        <f ca="1">IFERROR(计算区域!AM1173,NA())</f>
        <v>#N/A</v>
      </c>
      <c r="G1171" t="e">
        <f ca="1">IFERROR(计算区域!AD1173,NA())</f>
        <v>#N/A</v>
      </c>
      <c r="H1171" t="e">
        <f ca="1">IFERROR(计算区域!AE1173,NA())</f>
        <v>#N/A</v>
      </c>
      <c r="I1171" t="e">
        <f ca="1">IFERROR(计算区域!AF1173,NA())</f>
        <v>#N/A</v>
      </c>
      <c r="J1171" t="e">
        <f ca="1">IFERROR(计算区域!AG1173,NA())</f>
        <v>#N/A</v>
      </c>
      <c r="L1171" t="e">
        <f ca="1">IFERROR(计算区域!L1173,NA())</f>
        <v>#N/A</v>
      </c>
      <c r="M1171" t="e">
        <f ca="1">IFERROR(计算区域!M1173,NA())</f>
        <v>#N/A</v>
      </c>
      <c r="N1171" t="e">
        <f ca="1">IFERROR(计算区域!N1173,NA())</f>
        <v>#N/A</v>
      </c>
      <c r="O1171" t="e">
        <f ca="1">IFERROR(计算区域!O1173,NA())</f>
        <v>#N/A</v>
      </c>
      <c r="Q1171" t="e">
        <f ca="1">IFERROR(计算区域!R1173,NA())</f>
        <v>#N/A</v>
      </c>
      <c r="R1171" t="e">
        <f ca="1">IFERROR(计算区域!S1173,NA())</f>
        <v>#N/A</v>
      </c>
      <c r="S1171" t="e">
        <f ca="1">IFERROR(计算区域!T1173,NA())</f>
        <v>#N/A</v>
      </c>
      <c r="T1171" t="e">
        <f ca="1">IFERROR(计算区域!U1173,NA())</f>
        <v>#N/A</v>
      </c>
      <c r="V1171" t="e">
        <f ca="1">IFERROR(计算区域!X1173,NA())</f>
        <v>#N/A</v>
      </c>
      <c r="W1171" t="e">
        <f ca="1">IFERROR(计算区域!Y1173,NA())</f>
        <v>#N/A</v>
      </c>
      <c r="X1171" t="e">
        <f ca="1">IFERROR(计算区域!Z1173,NA())</f>
        <v>#N/A</v>
      </c>
      <c r="Y1171" t="e">
        <f ca="1">IFERROR(计算区域!AA1173,NA())</f>
        <v>#N/A</v>
      </c>
    </row>
    <row r="1172" spans="1:25" x14ac:dyDescent="0.2">
      <c r="A1172" s="28">
        <f>计算区域!E1174</f>
        <v>0</v>
      </c>
      <c r="B1172" t="e">
        <f ca="1">IFERROR(计算区域!AJ1174,NA())</f>
        <v>#N/A</v>
      </c>
      <c r="C1172" t="e">
        <f ca="1">IFERROR(计算区域!AK1174,NA())</f>
        <v>#N/A</v>
      </c>
      <c r="D1172" t="e">
        <f ca="1">IFERROR(计算区域!AL1174,NA())</f>
        <v>#N/A</v>
      </c>
      <c r="E1172" t="e">
        <f ca="1">IFERROR(计算区域!AM1174,NA())</f>
        <v>#N/A</v>
      </c>
      <c r="G1172" t="e">
        <f ca="1">IFERROR(计算区域!AD1174,NA())</f>
        <v>#N/A</v>
      </c>
      <c r="H1172" t="e">
        <f ca="1">IFERROR(计算区域!AE1174,NA())</f>
        <v>#N/A</v>
      </c>
      <c r="I1172" t="e">
        <f ca="1">IFERROR(计算区域!AF1174,NA())</f>
        <v>#N/A</v>
      </c>
      <c r="J1172" t="e">
        <f ca="1">IFERROR(计算区域!AG1174,NA())</f>
        <v>#N/A</v>
      </c>
      <c r="L1172" t="e">
        <f ca="1">IFERROR(计算区域!L1174,NA())</f>
        <v>#N/A</v>
      </c>
      <c r="M1172" t="e">
        <f ca="1">IFERROR(计算区域!M1174,NA())</f>
        <v>#N/A</v>
      </c>
      <c r="N1172" t="e">
        <f ca="1">IFERROR(计算区域!N1174,NA())</f>
        <v>#N/A</v>
      </c>
      <c r="O1172" t="e">
        <f ca="1">IFERROR(计算区域!O1174,NA())</f>
        <v>#N/A</v>
      </c>
      <c r="Q1172" t="e">
        <f ca="1">IFERROR(计算区域!R1174,NA())</f>
        <v>#N/A</v>
      </c>
      <c r="R1172" t="e">
        <f ca="1">IFERROR(计算区域!S1174,NA())</f>
        <v>#N/A</v>
      </c>
      <c r="S1172" t="e">
        <f ca="1">IFERROR(计算区域!T1174,NA())</f>
        <v>#N/A</v>
      </c>
      <c r="T1172" t="e">
        <f ca="1">IFERROR(计算区域!U1174,NA())</f>
        <v>#N/A</v>
      </c>
      <c r="V1172" t="e">
        <f ca="1">IFERROR(计算区域!X1174,NA())</f>
        <v>#N/A</v>
      </c>
      <c r="W1172" t="e">
        <f ca="1">IFERROR(计算区域!Y1174,NA())</f>
        <v>#N/A</v>
      </c>
      <c r="X1172" t="e">
        <f ca="1">IFERROR(计算区域!Z1174,NA())</f>
        <v>#N/A</v>
      </c>
      <c r="Y1172" t="e">
        <f ca="1">IFERROR(计算区域!AA1174,NA())</f>
        <v>#N/A</v>
      </c>
    </row>
    <row r="1173" spans="1:25" x14ac:dyDescent="0.2">
      <c r="A1173" s="28">
        <f>计算区域!E1175</f>
        <v>0</v>
      </c>
      <c r="B1173" t="e">
        <f ca="1">IFERROR(计算区域!AJ1175,NA())</f>
        <v>#N/A</v>
      </c>
      <c r="C1173" t="e">
        <f ca="1">IFERROR(计算区域!AK1175,NA())</f>
        <v>#N/A</v>
      </c>
      <c r="D1173" t="e">
        <f ca="1">IFERROR(计算区域!AL1175,NA())</f>
        <v>#N/A</v>
      </c>
      <c r="E1173" t="e">
        <f ca="1">IFERROR(计算区域!AM1175,NA())</f>
        <v>#N/A</v>
      </c>
      <c r="G1173" t="e">
        <f ca="1">IFERROR(计算区域!AD1175,NA())</f>
        <v>#N/A</v>
      </c>
      <c r="H1173" t="e">
        <f ca="1">IFERROR(计算区域!AE1175,NA())</f>
        <v>#N/A</v>
      </c>
      <c r="I1173" t="e">
        <f ca="1">IFERROR(计算区域!AF1175,NA())</f>
        <v>#N/A</v>
      </c>
      <c r="J1173" t="e">
        <f ca="1">IFERROR(计算区域!AG1175,NA())</f>
        <v>#N/A</v>
      </c>
      <c r="L1173" t="e">
        <f ca="1">IFERROR(计算区域!L1175,NA())</f>
        <v>#N/A</v>
      </c>
      <c r="M1173" t="e">
        <f ca="1">IFERROR(计算区域!M1175,NA())</f>
        <v>#N/A</v>
      </c>
      <c r="N1173" t="e">
        <f ca="1">IFERROR(计算区域!N1175,NA())</f>
        <v>#N/A</v>
      </c>
      <c r="O1173" t="e">
        <f ca="1">IFERROR(计算区域!O1175,NA())</f>
        <v>#N/A</v>
      </c>
      <c r="Q1173" t="e">
        <f ca="1">IFERROR(计算区域!R1175,NA())</f>
        <v>#N/A</v>
      </c>
      <c r="R1173" t="e">
        <f ca="1">IFERROR(计算区域!S1175,NA())</f>
        <v>#N/A</v>
      </c>
      <c r="S1173" t="e">
        <f ca="1">IFERROR(计算区域!T1175,NA())</f>
        <v>#N/A</v>
      </c>
      <c r="T1173" t="e">
        <f ca="1">IFERROR(计算区域!U1175,NA())</f>
        <v>#N/A</v>
      </c>
      <c r="V1173" t="e">
        <f ca="1">IFERROR(计算区域!X1175,NA())</f>
        <v>#N/A</v>
      </c>
      <c r="W1173" t="e">
        <f ca="1">IFERROR(计算区域!Y1175,NA())</f>
        <v>#N/A</v>
      </c>
      <c r="X1173" t="e">
        <f ca="1">IFERROR(计算区域!Z1175,NA())</f>
        <v>#N/A</v>
      </c>
      <c r="Y1173" t="e">
        <f ca="1">IFERROR(计算区域!AA1175,NA())</f>
        <v>#N/A</v>
      </c>
    </row>
    <row r="1174" spans="1:25" x14ac:dyDescent="0.2">
      <c r="A1174" s="28">
        <f>计算区域!E1176</f>
        <v>0</v>
      </c>
      <c r="B1174" t="e">
        <f ca="1">IFERROR(计算区域!AJ1176,NA())</f>
        <v>#N/A</v>
      </c>
      <c r="C1174" t="e">
        <f ca="1">IFERROR(计算区域!AK1176,NA())</f>
        <v>#N/A</v>
      </c>
      <c r="D1174" t="e">
        <f ca="1">IFERROR(计算区域!AL1176,NA())</f>
        <v>#N/A</v>
      </c>
      <c r="E1174" t="e">
        <f ca="1">IFERROR(计算区域!AM1176,NA())</f>
        <v>#N/A</v>
      </c>
      <c r="G1174" t="e">
        <f ca="1">IFERROR(计算区域!AD1176,NA())</f>
        <v>#N/A</v>
      </c>
      <c r="H1174" t="e">
        <f ca="1">IFERROR(计算区域!AE1176,NA())</f>
        <v>#N/A</v>
      </c>
      <c r="I1174" t="e">
        <f ca="1">IFERROR(计算区域!AF1176,NA())</f>
        <v>#N/A</v>
      </c>
      <c r="J1174" t="e">
        <f ca="1">IFERROR(计算区域!AG1176,NA())</f>
        <v>#N/A</v>
      </c>
      <c r="L1174" t="e">
        <f ca="1">IFERROR(计算区域!L1176,NA())</f>
        <v>#N/A</v>
      </c>
      <c r="M1174" t="e">
        <f ca="1">IFERROR(计算区域!M1176,NA())</f>
        <v>#N/A</v>
      </c>
      <c r="N1174" t="e">
        <f ca="1">IFERROR(计算区域!N1176,NA())</f>
        <v>#N/A</v>
      </c>
      <c r="O1174" t="e">
        <f ca="1">IFERROR(计算区域!O1176,NA())</f>
        <v>#N/A</v>
      </c>
      <c r="Q1174" t="e">
        <f ca="1">IFERROR(计算区域!R1176,NA())</f>
        <v>#N/A</v>
      </c>
      <c r="R1174" t="e">
        <f ca="1">IFERROR(计算区域!S1176,NA())</f>
        <v>#N/A</v>
      </c>
      <c r="S1174" t="e">
        <f ca="1">IFERROR(计算区域!T1176,NA())</f>
        <v>#N/A</v>
      </c>
      <c r="T1174" t="e">
        <f ca="1">IFERROR(计算区域!U1176,NA())</f>
        <v>#N/A</v>
      </c>
      <c r="V1174" t="e">
        <f ca="1">IFERROR(计算区域!X1176,NA())</f>
        <v>#N/A</v>
      </c>
      <c r="W1174" t="e">
        <f ca="1">IFERROR(计算区域!Y1176,NA())</f>
        <v>#N/A</v>
      </c>
      <c r="X1174" t="e">
        <f ca="1">IFERROR(计算区域!Z1176,NA())</f>
        <v>#N/A</v>
      </c>
      <c r="Y1174" t="e">
        <f ca="1">IFERROR(计算区域!AA1176,NA())</f>
        <v>#N/A</v>
      </c>
    </row>
    <row r="1175" spans="1:25" x14ac:dyDescent="0.2">
      <c r="A1175" s="28">
        <f>计算区域!E1177</f>
        <v>0</v>
      </c>
      <c r="B1175" t="e">
        <f ca="1">IFERROR(计算区域!AJ1177,NA())</f>
        <v>#N/A</v>
      </c>
      <c r="C1175" t="e">
        <f ca="1">IFERROR(计算区域!AK1177,NA())</f>
        <v>#N/A</v>
      </c>
      <c r="D1175" t="e">
        <f ca="1">IFERROR(计算区域!AL1177,NA())</f>
        <v>#N/A</v>
      </c>
      <c r="E1175" t="e">
        <f ca="1">IFERROR(计算区域!AM1177,NA())</f>
        <v>#N/A</v>
      </c>
      <c r="G1175" t="e">
        <f ca="1">IFERROR(计算区域!AD1177,NA())</f>
        <v>#N/A</v>
      </c>
      <c r="H1175" t="e">
        <f ca="1">IFERROR(计算区域!AE1177,NA())</f>
        <v>#N/A</v>
      </c>
      <c r="I1175" t="e">
        <f ca="1">IFERROR(计算区域!AF1177,NA())</f>
        <v>#N/A</v>
      </c>
      <c r="J1175" t="e">
        <f ca="1">IFERROR(计算区域!AG1177,NA())</f>
        <v>#N/A</v>
      </c>
      <c r="L1175" t="e">
        <f ca="1">IFERROR(计算区域!L1177,NA())</f>
        <v>#N/A</v>
      </c>
      <c r="M1175" t="e">
        <f ca="1">IFERROR(计算区域!M1177,NA())</f>
        <v>#N/A</v>
      </c>
      <c r="N1175" t="e">
        <f ca="1">IFERROR(计算区域!N1177,NA())</f>
        <v>#N/A</v>
      </c>
      <c r="O1175" t="e">
        <f ca="1">IFERROR(计算区域!O1177,NA())</f>
        <v>#N/A</v>
      </c>
      <c r="Q1175" t="e">
        <f ca="1">IFERROR(计算区域!R1177,NA())</f>
        <v>#N/A</v>
      </c>
      <c r="R1175" t="e">
        <f ca="1">IFERROR(计算区域!S1177,NA())</f>
        <v>#N/A</v>
      </c>
      <c r="S1175" t="e">
        <f ca="1">IFERROR(计算区域!T1177,NA())</f>
        <v>#N/A</v>
      </c>
      <c r="T1175" t="e">
        <f ca="1">IFERROR(计算区域!U1177,NA())</f>
        <v>#N/A</v>
      </c>
      <c r="V1175" t="e">
        <f ca="1">IFERROR(计算区域!X1177,NA())</f>
        <v>#N/A</v>
      </c>
      <c r="W1175" t="e">
        <f ca="1">IFERROR(计算区域!Y1177,NA())</f>
        <v>#N/A</v>
      </c>
      <c r="X1175" t="e">
        <f ca="1">IFERROR(计算区域!Z1177,NA())</f>
        <v>#N/A</v>
      </c>
      <c r="Y1175" t="e">
        <f ca="1">IFERROR(计算区域!AA1177,NA())</f>
        <v>#N/A</v>
      </c>
    </row>
    <row r="1176" spans="1:25" x14ac:dyDescent="0.2">
      <c r="A1176" s="28">
        <f>计算区域!E1178</f>
        <v>0</v>
      </c>
      <c r="B1176" t="e">
        <f ca="1">IFERROR(计算区域!AJ1178,NA())</f>
        <v>#N/A</v>
      </c>
      <c r="C1176" t="e">
        <f ca="1">IFERROR(计算区域!AK1178,NA())</f>
        <v>#N/A</v>
      </c>
      <c r="D1176" t="e">
        <f ca="1">IFERROR(计算区域!AL1178,NA())</f>
        <v>#N/A</v>
      </c>
      <c r="E1176" t="e">
        <f ca="1">IFERROR(计算区域!AM1178,NA())</f>
        <v>#N/A</v>
      </c>
      <c r="G1176" t="e">
        <f ca="1">IFERROR(计算区域!AD1178,NA())</f>
        <v>#N/A</v>
      </c>
      <c r="H1176" t="e">
        <f ca="1">IFERROR(计算区域!AE1178,NA())</f>
        <v>#N/A</v>
      </c>
      <c r="I1176" t="e">
        <f ca="1">IFERROR(计算区域!AF1178,NA())</f>
        <v>#N/A</v>
      </c>
      <c r="J1176" t="e">
        <f ca="1">IFERROR(计算区域!AG1178,NA())</f>
        <v>#N/A</v>
      </c>
      <c r="L1176" t="e">
        <f ca="1">IFERROR(计算区域!L1178,NA())</f>
        <v>#N/A</v>
      </c>
      <c r="M1176" t="e">
        <f ca="1">IFERROR(计算区域!M1178,NA())</f>
        <v>#N/A</v>
      </c>
      <c r="N1176" t="e">
        <f ca="1">IFERROR(计算区域!N1178,NA())</f>
        <v>#N/A</v>
      </c>
      <c r="O1176" t="e">
        <f ca="1">IFERROR(计算区域!O1178,NA())</f>
        <v>#N/A</v>
      </c>
      <c r="Q1176" t="e">
        <f ca="1">IFERROR(计算区域!R1178,NA())</f>
        <v>#N/A</v>
      </c>
      <c r="R1176" t="e">
        <f ca="1">IFERROR(计算区域!S1178,NA())</f>
        <v>#N/A</v>
      </c>
      <c r="S1176" t="e">
        <f ca="1">IFERROR(计算区域!T1178,NA())</f>
        <v>#N/A</v>
      </c>
      <c r="T1176" t="e">
        <f ca="1">IFERROR(计算区域!U1178,NA())</f>
        <v>#N/A</v>
      </c>
      <c r="V1176" t="e">
        <f ca="1">IFERROR(计算区域!X1178,NA())</f>
        <v>#N/A</v>
      </c>
      <c r="W1176" t="e">
        <f ca="1">IFERROR(计算区域!Y1178,NA())</f>
        <v>#N/A</v>
      </c>
      <c r="X1176" t="e">
        <f ca="1">IFERROR(计算区域!Z1178,NA())</f>
        <v>#N/A</v>
      </c>
      <c r="Y1176" t="e">
        <f ca="1">IFERROR(计算区域!AA1178,NA())</f>
        <v>#N/A</v>
      </c>
    </row>
    <row r="1177" spans="1:25" x14ac:dyDescent="0.2">
      <c r="A1177" s="28">
        <f>计算区域!E1179</f>
        <v>0</v>
      </c>
      <c r="B1177" t="e">
        <f ca="1">IFERROR(计算区域!AJ1179,NA())</f>
        <v>#N/A</v>
      </c>
      <c r="C1177" t="e">
        <f ca="1">IFERROR(计算区域!AK1179,NA())</f>
        <v>#N/A</v>
      </c>
      <c r="D1177" t="e">
        <f ca="1">IFERROR(计算区域!AL1179,NA())</f>
        <v>#N/A</v>
      </c>
      <c r="E1177" t="e">
        <f ca="1">IFERROR(计算区域!AM1179,NA())</f>
        <v>#N/A</v>
      </c>
      <c r="G1177" t="e">
        <f ca="1">IFERROR(计算区域!AD1179,NA())</f>
        <v>#N/A</v>
      </c>
      <c r="H1177" t="e">
        <f ca="1">IFERROR(计算区域!AE1179,NA())</f>
        <v>#N/A</v>
      </c>
      <c r="I1177" t="e">
        <f ca="1">IFERROR(计算区域!AF1179,NA())</f>
        <v>#N/A</v>
      </c>
      <c r="J1177" t="e">
        <f ca="1">IFERROR(计算区域!AG1179,NA())</f>
        <v>#N/A</v>
      </c>
      <c r="L1177" t="e">
        <f ca="1">IFERROR(计算区域!L1179,NA())</f>
        <v>#N/A</v>
      </c>
      <c r="M1177" t="e">
        <f ca="1">IFERROR(计算区域!M1179,NA())</f>
        <v>#N/A</v>
      </c>
      <c r="N1177" t="e">
        <f ca="1">IFERROR(计算区域!N1179,NA())</f>
        <v>#N/A</v>
      </c>
      <c r="O1177" t="e">
        <f ca="1">IFERROR(计算区域!O1179,NA())</f>
        <v>#N/A</v>
      </c>
      <c r="Q1177" t="e">
        <f ca="1">IFERROR(计算区域!R1179,NA())</f>
        <v>#N/A</v>
      </c>
      <c r="R1177" t="e">
        <f ca="1">IFERROR(计算区域!S1179,NA())</f>
        <v>#N/A</v>
      </c>
      <c r="S1177" t="e">
        <f ca="1">IFERROR(计算区域!T1179,NA())</f>
        <v>#N/A</v>
      </c>
      <c r="T1177" t="e">
        <f ca="1">IFERROR(计算区域!U1179,NA())</f>
        <v>#N/A</v>
      </c>
      <c r="V1177" t="e">
        <f ca="1">IFERROR(计算区域!X1179,NA())</f>
        <v>#N/A</v>
      </c>
      <c r="W1177" t="e">
        <f ca="1">IFERROR(计算区域!Y1179,NA())</f>
        <v>#N/A</v>
      </c>
      <c r="X1177" t="e">
        <f ca="1">IFERROR(计算区域!Z1179,NA())</f>
        <v>#N/A</v>
      </c>
      <c r="Y1177" t="e">
        <f ca="1">IFERROR(计算区域!AA1179,NA())</f>
        <v>#N/A</v>
      </c>
    </row>
    <row r="1178" spans="1:25" x14ac:dyDescent="0.2">
      <c r="A1178" s="28">
        <f>计算区域!E1180</f>
        <v>0</v>
      </c>
      <c r="B1178" t="e">
        <f ca="1">IFERROR(计算区域!AJ1180,NA())</f>
        <v>#N/A</v>
      </c>
      <c r="C1178" t="e">
        <f ca="1">IFERROR(计算区域!AK1180,NA())</f>
        <v>#N/A</v>
      </c>
      <c r="D1178" t="e">
        <f ca="1">IFERROR(计算区域!AL1180,NA())</f>
        <v>#N/A</v>
      </c>
      <c r="E1178" t="e">
        <f ca="1">IFERROR(计算区域!AM1180,NA())</f>
        <v>#N/A</v>
      </c>
      <c r="G1178" t="e">
        <f ca="1">IFERROR(计算区域!AD1180,NA())</f>
        <v>#N/A</v>
      </c>
      <c r="H1178" t="e">
        <f ca="1">IFERROR(计算区域!AE1180,NA())</f>
        <v>#N/A</v>
      </c>
      <c r="I1178" t="e">
        <f ca="1">IFERROR(计算区域!AF1180,NA())</f>
        <v>#N/A</v>
      </c>
      <c r="J1178" t="e">
        <f ca="1">IFERROR(计算区域!AG1180,NA())</f>
        <v>#N/A</v>
      </c>
      <c r="L1178" t="e">
        <f ca="1">IFERROR(计算区域!L1180,NA())</f>
        <v>#N/A</v>
      </c>
      <c r="M1178" t="e">
        <f ca="1">IFERROR(计算区域!M1180,NA())</f>
        <v>#N/A</v>
      </c>
      <c r="N1178" t="e">
        <f ca="1">IFERROR(计算区域!N1180,NA())</f>
        <v>#N/A</v>
      </c>
      <c r="O1178" t="e">
        <f ca="1">IFERROR(计算区域!O1180,NA())</f>
        <v>#N/A</v>
      </c>
      <c r="Q1178" t="e">
        <f ca="1">IFERROR(计算区域!R1180,NA())</f>
        <v>#N/A</v>
      </c>
      <c r="R1178" t="e">
        <f ca="1">IFERROR(计算区域!S1180,NA())</f>
        <v>#N/A</v>
      </c>
      <c r="S1178" t="e">
        <f ca="1">IFERROR(计算区域!T1180,NA())</f>
        <v>#N/A</v>
      </c>
      <c r="T1178" t="e">
        <f ca="1">IFERROR(计算区域!U1180,NA())</f>
        <v>#N/A</v>
      </c>
      <c r="V1178" t="e">
        <f ca="1">IFERROR(计算区域!X1180,NA())</f>
        <v>#N/A</v>
      </c>
      <c r="W1178" t="e">
        <f ca="1">IFERROR(计算区域!Y1180,NA())</f>
        <v>#N/A</v>
      </c>
      <c r="X1178" t="e">
        <f ca="1">IFERROR(计算区域!Z1180,NA())</f>
        <v>#N/A</v>
      </c>
      <c r="Y1178" t="e">
        <f ca="1">IFERROR(计算区域!AA1180,NA())</f>
        <v>#N/A</v>
      </c>
    </row>
    <row r="1179" spans="1:25" x14ac:dyDescent="0.2">
      <c r="A1179" s="28">
        <f>计算区域!E1181</f>
        <v>0</v>
      </c>
      <c r="B1179" t="e">
        <f ca="1">IFERROR(计算区域!AJ1181,NA())</f>
        <v>#N/A</v>
      </c>
      <c r="C1179" t="e">
        <f ca="1">IFERROR(计算区域!AK1181,NA())</f>
        <v>#N/A</v>
      </c>
      <c r="D1179" t="e">
        <f ca="1">IFERROR(计算区域!AL1181,NA())</f>
        <v>#N/A</v>
      </c>
      <c r="E1179" t="e">
        <f ca="1">IFERROR(计算区域!AM1181,NA())</f>
        <v>#N/A</v>
      </c>
      <c r="G1179" t="e">
        <f ca="1">IFERROR(计算区域!AD1181,NA())</f>
        <v>#N/A</v>
      </c>
      <c r="H1179" t="e">
        <f ca="1">IFERROR(计算区域!AE1181,NA())</f>
        <v>#N/A</v>
      </c>
      <c r="I1179" t="e">
        <f ca="1">IFERROR(计算区域!AF1181,NA())</f>
        <v>#N/A</v>
      </c>
      <c r="J1179" t="e">
        <f ca="1">IFERROR(计算区域!AG1181,NA())</f>
        <v>#N/A</v>
      </c>
      <c r="L1179" t="e">
        <f ca="1">IFERROR(计算区域!L1181,NA())</f>
        <v>#N/A</v>
      </c>
      <c r="M1179" t="e">
        <f ca="1">IFERROR(计算区域!M1181,NA())</f>
        <v>#N/A</v>
      </c>
      <c r="N1179" t="e">
        <f ca="1">IFERROR(计算区域!N1181,NA())</f>
        <v>#N/A</v>
      </c>
      <c r="O1179" t="e">
        <f ca="1">IFERROR(计算区域!O1181,NA())</f>
        <v>#N/A</v>
      </c>
      <c r="Q1179" t="e">
        <f ca="1">IFERROR(计算区域!R1181,NA())</f>
        <v>#N/A</v>
      </c>
      <c r="R1179" t="e">
        <f ca="1">IFERROR(计算区域!S1181,NA())</f>
        <v>#N/A</v>
      </c>
      <c r="S1179" t="e">
        <f ca="1">IFERROR(计算区域!T1181,NA())</f>
        <v>#N/A</v>
      </c>
      <c r="T1179" t="e">
        <f ca="1">IFERROR(计算区域!U1181,NA())</f>
        <v>#N/A</v>
      </c>
      <c r="V1179" t="e">
        <f ca="1">IFERROR(计算区域!X1181,NA())</f>
        <v>#N/A</v>
      </c>
      <c r="W1179" t="e">
        <f ca="1">IFERROR(计算区域!Y1181,NA())</f>
        <v>#N/A</v>
      </c>
      <c r="X1179" t="e">
        <f ca="1">IFERROR(计算区域!Z1181,NA())</f>
        <v>#N/A</v>
      </c>
      <c r="Y1179" t="e">
        <f ca="1">IFERROR(计算区域!AA1181,NA())</f>
        <v>#N/A</v>
      </c>
    </row>
    <row r="1180" spans="1:25" x14ac:dyDescent="0.2">
      <c r="A1180" s="28">
        <f>计算区域!E1182</f>
        <v>0</v>
      </c>
      <c r="B1180" t="e">
        <f ca="1">IFERROR(计算区域!AJ1182,NA())</f>
        <v>#N/A</v>
      </c>
      <c r="C1180" t="e">
        <f ca="1">IFERROR(计算区域!AK1182,NA())</f>
        <v>#N/A</v>
      </c>
      <c r="D1180" t="e">
        <f ca="1">IFERROR(计算区域!AL1182,NA())</f>
        <v>#N/A</v>
      </c>
      <c r="E1180" t="e">
        <f ca="1">IFERROR(计算区域!AM1182,NA())</f>
        <v>#N/A</v>
      </c>
      <c r="G1180" t="e">
        <f ca="1">IFERROR(计算区域!AD1182,NA())</f>
        <v>#N/A</v>
      </c>
      <c r="H1180" t="e">
        <f ca="1">IFERROR(计算区域!AE1182,NA())</f>
        <v>#N/A</v>
      </c>
      <c r="I1180" t="e">
        <f ca="1">IFERROR(计算区域!AF1182,NA())</f>
        <v>#N/A</v>
      </c>
      <c r="J1180" t="e">
        <f ca="1">IFERROR(计算区域!AG1182,NA())</f>
        <v>#N/A</v>
      </c>
      <c r="L1180" t="e">
        <f ca="1">IFERROR(计算区域!L1182,NA())</f>
        <v>#N/A</v>
      </c>
      <c r="M1180" t="e">
        <f ca="1">IFERROR(计算区域!M1182,NA())</f>
        <v>#N/A</v>
      </c>
      <c r="N1180" t="e">
        <f ca="1">IFERROR(计算区域!N1182,NA())</f>
        <v>#N/A</v>
      </c>
      <c r="O1180" t="e">
        <f ca="1">IFERROR(计算区域!O1182,NA())</f>
        <v>#N/A</v>
      </c>
      <c r="Q1180" t="e">
        <f ca="1">IFERROR(计算区域!R1182,NA())</f>
        <v>#N/A</v>
      </c>
      <c r="R1180" t="e">
        <f ca="1">IFERROR(计算区域!S1182,NA())</f>
        <v>#N/A</v>
      </c>
      <c r="S1180" t="e">
        <f ca="1">IFERROR(计算区域!T1182,NA())</f>
        <v>#N/A</v>
      </c>
      <c r="T1180" t="e">
        <f ca="1">IFERROR(计算区域!U1182,NA())</f>
        <v>#N/A</v>
      </c>
      <c r="V1180" t="e">
        <f ca="1">IFERROR(计算区域!X1182,NA())</f>
        <v>#N/A</v>
      </c>
      <c r="W1180" t="e">
        <f ca="1">IFERROR(计算区域!Y1182,NA())</f>
        <v>#N/A</v>
      </c>
      <c r="X1180" t="e">
        <f ca="1">IFERROR(计算区域!Z1182,NA())</f>
        <v>#N/A</v>
      </c>
      <c r="Y1180" t="e">
        <f ca="1">IFERROR(计算区域!AA1182,NA())</f>
        <v>#N/A</v>
      </c>
    </row>
    <row r="1181" spans="1:25" x14ac:dyDescent="0.2">
      <c r="A1181" s="28">
        <f>计算区域!E1183</f>
        <v>0</v>
      </c>
      <c r="B1181" t="e">
        <f ca="1">IFERROR(计算区域!AJ1183,NA())</f>
        <v>#N/A</v>
      </c>
      <c r="C1181" t="e">
        <f ca="1">IFERROR(计算区域!AK1183,NA())</f>
        <v>#N/A</v>
      </c>
      <c r="D1181" t="e">
        <f ca="1">IFERROR(计算区域!AL1183,NA())</f>
        <v>#N/A</v>
      </c>
      <c r="E1181" t="e">
        <f ca="1">IFERROR(计算区域!AM1183,NA())</f>
        <v>#N/A</v>
      </c>
      <c r="G1181" t="e">
        <f ca="1">IFERROR(计算区域!AD1183,NA())</f>
        <v>#N/A</v>
      </c>
      <c r="H1181" t="e">
        <f ca="1">IFERROR(计算区域!AE1183,NA())</f>
        <v>#N/A</v>
      </c>
      <c r="I1181" t="e">
        <f ca="1">IFERROR(计算区域!AF1183,NA())</f>
        <v>#N/A</v>
      </c>
      <c r="J1181" t="e">
        <f ca="1">IFERROR(计算区域!AG1183,NA())</f>
        <v>#N/A</v>
      </c>
      <c r="L1181" t="e">
        <f ca="1">IFERROR(计算区域!L1183,NA())</f>
        <v>#N/A</v>
      </c>
      <c r="M1181" t="e">
        <f ca="1">IFERROR(计算区域!M1183,NA())</f>
        <v>#N/A</v>
      </c>
      <c r="N1181" t="e">
        <f ca="1">IFERROR(计算区域!N1183,NA())</f>
        <v>#N/A</v>
      </c>
      <c r="O1181" t="e">
        <f ca="1">IFERROR(计算区域!O1183,NA())</f>
        <v>#N/A</v>
      </c>
      <c r="Q1181" t="e">
        <f ca="1">IFERROR(计算区域!R1183,NA())</f>
        <v>#N/A</v>
      </c>
      <c r="R1181" t="e">
        <f ca="1">IFERROR(计算区域!S1183,NA())</f>
        <v>#N/A</v>
      </c>
      <c r="S1181" t="e">
        <f ca="1">IFERROR(计算区域!T1183,NA())</f>
        <v>#N/A</v>
      </c>
      <c r="T1181" t="e">
        <f ca="1">IFERROR(计算区域!U1183,NA())</f>
        <v>#N/A</v>
      </c>
      <c r="V1181" t="e">
        <f ca="1">IFERROR(计算区域!X1183,NA())</f>
        <v>#N/A</v>
      </c>
      <c r="W1181" t="e">
        <f ca="1">IFERROR(计算区域!Y1183,NA())</f>
        <v>#N/A</v>
      </c>
      <c r="X1181" t="e">
        <f ca="1">IFERROR(计算区域!Z1183,NA())</f>
        <v>#N/A</v>
      </c>
      <c r="Y1181" t="e">
        <f ca="1">IFERROR(计算区域!AA1183,NA())</f>
        <v>#N/A</v>
      </c>
    </row>
    <row r="1182" spans="1:25" x14ac:dyDescent="0.2">
      <c r="A1182" s="28">
        <f>计算区域!E1184</f>
        <v>0</v>
      </c>
      <c r="B1182" t="e">
        <f ca="1">IFERROR(计算区域!AJ1184,NA())</f>
        <v>#N/A</v>
      </c>
      <c r="C1182" t="e">
        <f ca="1">IFERROR(计算区域!AK1184,NA())</f>
        <v>#N/A</v>
      </c>
      <c r="D1182" t="e">
        <f ca="1">IFERROR(计算区域!AL1184,NA())</f>
        <v>#N/A</v>
      </c>
      <c r="E1182" t="e">
        <f ca="1">IFERROR(计算区域!AM1184,NA())</f>
        <v>#N/A</v>
      </c>
      <c r="G1182" t="e">
        <f ca="1">IFERROR(计算区域!AD1184,NA())</f>
        <v>#N/A</v>
      </c>
      <c r="H1182" t="e">
        <f ca="1">IFERROR(计算区域!AE1184,NA())</f>
        <v>#N/A</v>
      </c>
      <c r="I1182" t="e">
        <f ca="1">IFERROR(计算区域!AF1184,NA())</f>
        <v>#N/A</v>
      </c>
      <c r="J1182" t="e">
        <f ca="1">IFERROR(计算区域!AG1184,NA())</f>
        <v>#N/A</v>
      </c>
      <c r="L1182" t="e">
        <f ca="1">IFERROR(计算区域!L1184,NA())</f>
        <v>#N/A</v>
      </c>
      <c r="M1182" t="e">
        <f ca="1">IFERROR(计算区域!M1184,NA())</f>
        <v>#N/A</v>
      </c>
      <c r="N1182" t="e">
        <f ca="1">IFERROR(计算区域!N1184,NA())</f>
        <v>#N/A</v>
      </c>
      <c r="O1182" t="e">
        <f ca="1">IFERROR(计算区域!O1184,NA())</f>
        <v>#N/A</v>
      </c>
      <c r="Q1182" t="e">
        <f ca="1">IFERROR(计算区域!R1184,NA())</f>
        <v>#N/A</v>
      </c>
      <c r="R1182" t="e">
        <f ca="1">IFERROR(计算区域!S1184,NA())</f>
        <v>#N/A</v>
      </c>
      <c r="S1182" t="e">
        <f ca="1">IFERROR(计算区域!T1184,NA())</f>
        <v>#N/A</v>
      </c>
      <c r="T1182" t="e">
        <f ca="1">IFERROR(计算区域!U1184,NA())</f>
        <v>#N/A</v>
      </c>
      <c r="V1182" t="e">
        <f ca="1">IFERROR(计算区域!X1184,NA())</f>
        <v>#N/A</v>
      </c>
      <c r="W1182" t="e">
        <f ca="1">IFERROR(计算区域!Y1184,NA())</f>
        <v>#N/A</v>
      </c>
      <c r="X1182" t="e">
        <f ca="1">IFERROR(计算区域!Z1184,NA())</f>
        <v>#N/A</v>
      </c>
      <c r="Y1182" t="e">
        <f ca="1">IFERROR(计算区域!AA1184,NA())</f>
        <v>#N/A</v>
      </c>
    </row>
    <row r="1183" spans="1:25" x14ac:dyDescent="0.2">
      <c r="A1183" s="28">
        <f>计算区域!E1185</f>
        <v>0</v>
      </c>
      <c r="B1183" t="e">
        <f ca="1">IFERROR(计算区域!AJ1185,NA())</f>
        <v>#N/A</v>
      </c>
      <c r="C1183" t="e">
        <f ca="1">IFERROR(计算区域!AK1185,NA())</f>
        <v>#N/A</v>
      </c>
      <c r="D1183" t="e">
        <f ca="1">IFERROR(计算区域!AL1185,NA())</f>
        <v>#N/A</v>
      </c>
      <c r="E1183" t="e">
        <f ca="1">IFERROR(计算区域!AM1185,NA())</f>
        <v>#N/A</v>
      </c>
      <c r="G1183" t="e">
        <f ca="1">IFERROR(计算区域!AD1185,NA())</f>
        <v>#N/A</v>
      </c>
      <c r="H1183" t="e">
        <f ca="1">IFERROR(计算区域!AE1185,NA())</f>
        <v>#N/A</v>
      </c>
      <c r="I1183" t="e">
        <f ca="1">IFERROR(计算区域!AF1185,NA())</f>
        <v>#N/A</v>
      </c>
      <c r="J1183" t="e">
        <f ca="1">IFERROR(计算区域!AG1185,NA())</f>
        <v>#N/A</v>
      </c>
      <c r="L1183" t="e">
        <f ca="1">IFERROR(计算区域!L1185,NA())</f>
        <v>#N/A</v>
      </c>
      <c r="M1183" t="e">
        <f ca="1">IFERROR(计算区域!M1185,NA())</f>
        <v>#N/A</v>
      </c>
      <c r="N1183" t="e">
        <f ca="1">IFERROR(计算区域!N1185,NA())</f>
        <v>#N/A</v>
      </c>
      <c r="O1183" t="e">
        <f ca="1">IFERROR(计算区域!O1185,NA())</f>
        <v>#N/A</v>
      </c>
      <c r="Q1183" t="e">
        <f ca="1">IFERROR(计算区域!R1185,NA())</f>
        <v>#N/A</v>
      </c>
      <c r="R1183" t="e">
        <f ca="1">IFERROR(计算区域!S1185,NA())</f>
        <v>#N/A</v>
      </c>
      <c r="S1183" t="e">
        <f ca="1">IFERROR(计算区域!T1185,NA())</f>
        <v>#N/A</v>
      </c>
      <c r="T1183" t="e">
        <f ca="1">IFERROR(计算区域!U1185,NA())</f>
        <v>#N/A</v>
      </c>
      <c r="V1183" t="e">
        <f ca="1">IFERROR(计算区域!X1185,NA())</f>
        <v>#N/A</v>
      </c>
      <c r="W1183" t="e">
        <f ca="1">IFERROR(计算区域!Y1185,NA())</f>
        <v>#N/A</v>
      </c>
      <c r="X1183" t="e">
        <f ca="1">IFERROR(计算区域!Z1185,NA())</f>
        <v>#N/A</v>
      </c>
      <c r="Y1183" t="e">
        <f ca="1">IFERROR(计算区域!AA1185,NA())</f>
        <v>#N/A</v>
      </c>
    </row>
    <row r="1184" spans="1:25" x14ac:dyDescent="0.2">
      <c r="A1184" s="28">
        <f>计算区域!E1186</f>
        <v>0</v>
      </c>
      <c r="B1184" t="e">
        <f ca="1">IFERROR(计算区域!AJ1186,NA())</f>
        <v>#N/A</v>
      </c>
      <c r="C1184" t="e">
        <f ca="1">IFERROR(计算区域!AK1186,NA())</f>
        <v>#N/A</v>
      </c>
      <c r="D1184" t="e">
        <f ca="1">IFERROR(计算区域!AL1186,NA())</f>
        <v>#N/A</v>
      </c>
      <c r="E1184" t="e">
        <f ca="1">IFERROR(计算区域!AM1186,NA())</f>
        <v>#N/A</v>
      </c>
      <c r="G1184" t="e">
        <f ca="1">IFERROR(计算区域!AD1186,NA())</f>
        <v>#N/A</v>
      </c>
      <c r="H1184" t="e">
        <f ca="1">IFERROR(计算区域!AE1186,NA())</f>
        <v>#N/A</v>
      </c>
      <c r="I1184" t="e">
        <f ca="1">IFERROR(计算区域!AF1186,NA())</f>
        <v>#N/A</v>
      </c>
      <c r="J1184" t="e">
        <f ca="1">IFERROR(计算区域!AG1186,NA())</f>
        <v>#N/A</v>
      </c>
      <c r="L1184" t="e">
        <f ca="1">IFERROR(计算区域!L1186,NA())</f>
        <v>#N/A</v>
      </c>
      <c r="M1184" t="e">
        <f ca="1">IFERROR(计算区域!M1186,NA())</f>
        <v>#N/A</v>
      </c>
      <c r="N1184" t="e">
        <f ca="1">IFERROR(计算区域!N1186,NA())</f>
        <v>#N/A</v>
      </c>
      <c r="O1184" t="e">
        <f ca="1">IFERROR(计算区域!O1186,NA())</f>
        <v>#N/A</v>
      </c>
      <c r="Q1184" t="e">
        <f ca="1">IFERROR(计算区域!R1186,NA())</f>
        <v>#N/A</v>
      </c>
      <c r="R1184" t="e">
        <f ca="1">IFERROR(计算区域!S1186,NA())</f>
        <v>#N/A</v>
      </c>
      <c r="S1184" t="e">
        <f ca="1">IFERROR(计算区域!T1186,NA())</f>
        <v>#N/A</v>
      </c>
      <c r="T1184" t="e">
        <f ca="1">IFERROR(计算区域!U1186,NA())</f>
        <v>#N/A</v>
      </c>
      <c r="V1184" t="e">
        <f ca="1">IFERROR(计算区域!X1186,NA())</f>
        <v>#N/A</v>
      </c>
      <c r="W1184" t="e">
        <f ca="1">IFERROR(计算区域!Y1186,NA())</f>
        <v>#N/A</v>
      </c>
      <c r="X1184" t="e">
        <f ca="1">IFERROR(计算区域!Z1186,NA())</f>
        <v>#N/A</v>
      </c>
      <c r="Y1184" t="e">
        <f ca="1">IFERROR(计算区域!AA1186,NA())</f>
        <v>#N/A</v>
      </c>
    </row>
    <row r="1185" spans="1:25" x14ac:dyDescent="0.2">
      <c r="A1185" s="28">
        <f>计算区域!E1187</f>
        <v>0</v>
      </c>
      <c r="B1185" t="e">
        <f ca="1">IFERROR(计算区域!AJ1187,NA())</f>
        <v>#N/A</v>
      </c>
      <c r="C1185" t="e">
        <f ca="1">IFERROR(计算区域!AK1187,NA())</f>
        <v>#N/A</v>
      </c>
      <c r="D1185" t="e">
        <f ca="1">IFERROR(计算区域!AL1187,NA())</f>
        <v>#N/A</v>
      </c>
      <c r="E1185" t="e">
        <f ca="1">IFERROR(计算区域!AM1187,NA())</f>
        <v>#N/A</v>
      </c>
      <c r="G1185" t="e">
        <f ca="1">IFERROR(计算区域!AD1187,NA())</f>
        <v>#N/A</v>
      </c>
      <c r="H1185" t="e">
        <f ca="1">IFERROR(计算区域!AE1187,NA())</f>
        <v>#N/A</v>
      </c>
      <c r="I1185" t="e">
        <f ca="1">IFERROR(计算区域!AF1187,NA())</f>
        <v>#N/A</v>
      </c>
      <c r="J1185" t="e">
        <f ca="1">IFERROR(计算区域!AG1187,NA())</f>
        <v>#N/A</v>
      </c>
      <c r="L1185" t="e">
        <f ca="1">IFERROR(计算区域!L1187,NA())</f>
        <v>#N/A</v>
      </c>
      <c r="M1185" t="e">
        <f ca="1">IFERROR(计算区域!M1187,NA())</f>
        <v>#N/A</v>
      </c>
      <c r="N1185" t="e">
        <f ca="1">IFERROR(计算区域!N1187,NA())</f>
        <v>#N/A</v>
      </c>
      <c r="O1185" t="e">
        <f ca="1">IFERROR(计算区域!O1187,NA())</f>
        <v>#N/A</v>
      </c>
      <c r="Q1185" t="e">
        <f ca="1">IFERROR(计算区域!R1187,NA())</f>
        <v>#N/A</v>
      </c>
      <c r="R1185" t="e">
        <f ca="1">IFERROR(计算区域!S1187,NA())</f>
        <v>#N/A</v>
      </c>
      <c r="S1185" t="e">
        <f ca="1">IFERROR(计算区域!T1187,NA())</f>
        <v>#N/A</v>
      </c>
      <c r="T1185" t="e">
        <f ca="1">IFERROR(计算区域!U1187,NA())</f>
        <v>#N/A</v>
      </c>
      <c r="V1185" t="e">
        <f ca="1">IFERROR(计算区域!X1187,NA())</f>
        <v>#N/A</v>
      </c>
      <c r="W1185" t="e">
        <f ca="1">IFERROR(计算区域!Y1187,NA())</f>
        <v>#N/A</v>
      </c>
      <c r="X1185" t="e">
        <f ca="1">IFERROR(计算区域!Z1187,NA())</f>
        <v>#N/A</v>
      </c>
      <c r="Y1185" t="e">
        <f ca="1">IFERROR(计算区域!AA1187,NA())</f>
        <v>#N/A</v>
      </c>
    </row>
    <row r="1186" spans="1:25" x14ac:dyDescent="0.2">
      <c r="A1186" s="28">
        <f>计算区域!E1188</f>
        <v>0</v>
      </c>
      <c r="B1186" t="e">
        <f ca="1">IFERROR(计算区域!AJ1188,NA())</f>
        <v>#N/A</v>
      </c>
      <c r="C1186" t="e">
        <f ca="1">IFERROR(计算区域!AK1188,NA())</f>
        <v>#N/A</v>
      </c>
      <c r="D1186" t="e">
        <f ca="1">IFERROR(计算区域!AL1188,NA())</f>
        <v>#N/A</v>
      </c>
      <c r="E1186" t="e">
        <f ca="1">IFERROR(计算区域!AM1188,NA())</f>
        <v>#N/A</v>
      </c>
      <c r="G1186" t="e">
        <f ca="1">IFERROR(计算区域!AD1188,NA())</f>
        <v>#N/A</v>
      </c>
      <c r="H1186" t="e">
        <f ca="1">IFERROR(计算区域!AE1188,NA())</f>
        <v>#N/A</v>
      </c>
      <c r="I1186" t="e">
        <f ca="1">IFERROR(计算区域!AF1188,NA())</f>
        <v>#N/A</v>
      </c>
      <c r="J1186" t="e">
        <f ca="1">IFERROR(计算区域!AG1188,NA())</f>
        <v>#N/A</v>
      </c>
      <c r="L1186" t="e">
        <f ca="1">IFERROR(计算区域!L1188,NA())</f>
        <v>#N/A</v>
      </c>
      <c r="M1186" t="e">
        <f ca="1">IFERROR(计算区域!M1188,NA())</f>
        <v>#N/A</v>
      </c>
      <c r="N1186" t="e">
        <f ca="1">IFERROR(计算区域!N1188,NA())</f>
        <v>#N/A</v>
      </c>
      <c r="O1186" t="e">
        <f ca="1">IFERROR(计算区域!O1188,NA())</f>
        <v>#N/A</v>
      </c>
      <c r="Q1186" t="e">
        <f ca="1">IFERROR(计算区域!R1188,NA())</f>
        <v>#N/A</v>
      </c>
      <c r="R1186" t="e">
        <f ca="1">IFERROR(计算区域!S1188,NA())</f>
        <v>#N/A</v>
      </c>
      <c r="S1186" t="e">
        <f ca="1">IFERROR(计算区域!T1188,NA())</f>
        <v>#N/A</v>
      </c>
      <c r="T1186" t="e">
        <f ca="1">IFERROR(计算区域!U1188,NA())</f>
        <v>#N/A</v>
      </c>
      <c r="V1186" t="e">
        <f ca="1">IFERROR(计算区域!X1188,NA())</f>
        <v>#N/A</v>
      </c>
      <c r="W1186" t="e">
        <f ca="1">IFERROR(计算区域!Y1188,NA())</f>
        <v>#N/A</v>
      </c>
      <c r="X1186" t="e">
        <f ca="1">IFERROR(计算区域!Z1188,NA())</f>
        <v>#N/A</v>
      </c>
      <c r="Y1186" t="e">
        <f ca="1">IFERROR(计算区域!AA1188,NA())</f>
        <v>#N/A</v>
      </c>
    </row>
    <row r="1187" spans="1:25" x14ac:dyDescent="0.2">
      <c r="A1187" s="28">
        <f>计算区域!E1189</f>
        <v>0</v>
      </c>
      <c r="B1187" t="e">
        <f ca="1">IFERROR(计算区域!AJ1189,NA())</f>
        <v>#N/A</v>
      </c>
      <c r="C1187" t="e">
        <f ca="1">IFERROR(计算区域!AK1189,NA())</f>
        <v>#N/A</v>
      </c>
      <c r="D1187" t="e">
        <f ca="1">IFERROR(计算区域!AL1189,NA())</f>
        <v>#N/A</v>
      </c>
      <c r="E1187" t="e">
        <f ca="1">IFERROR(计算区域!AM1189,NA())</f>
        <v>#N/A</v>
      </c>
      <c r="G1187" t="e">
        <f ca="1">IFERROR(计算区域!AD1189,NA())</f>
        <v>#N/A</v>
      </c>
      <c r="H1187" t="e">
        <f ca="1">IFERROR(计算区域!AE1189,NA())</f>
        <v>#N/A</v>
      </c>
      <c r="I1187" t="e">
        <f ca="1">IFERROR(计算区域!AF1189,NA())</f>
        <v>#N/A</v>
      </c>
      <c r="J1187" t="e">
        <f ca="1">IFERROR(计算区域!AG1189,NA())</f>
        <v>#N/A</v>
      </c>
      <c r="L1187" t="e">
        <f ca="1">IFERROR(计算区域!L1189,NA())</f>
        <v>#N/A</v>
      </c>
      <c r="M1187" t="e">
        <f ca="1">IFERROR(计算区域!M1189,NA())</f>
        <v>#N/A</v>
      </c>
      <c r="N1187" t="e">
        <f ca="1">IFERROR(计算区域!N1189,NA())</f>
        <v>#N/A</v>
      </c>
      <c r="O1187" t="e">
        <f ca="1">IFERROR(计算区域!O1189,NA())</f>
        <v>#N/A</v>
      </c>
      <c r="Q1187" t="e">
        <f ca="1">IFERROR(计算区域!R1189,NA())</f>
        <v>#N/A</v>
      </c>
      <c r="R1187" t="e">
        <f ca="1">IFERROR(计算区域!S1189,NA())</f>
        <v>#N/A</v>
      </c>
      <c r="S1187" t="e">
        <f ca="1">IFERROR(计算区域!T1189,NA())</f>
        <v>#N/A</v>
      </c>
      <c r="T1187" t="e">
        <f ca="1">IFERROR(计算区域!U1189,NA())</f>
        <v>#N/A</v>
      </c>
      <c r="V1187" t="e">
        <f ca="1">IFERROR(计算区域!X1189,NA())</f>
        <v>#N/A</v>
      </c>
      <c r="W1187" t="e">
        <f ca="1">IFERROR(计算区域!Y1189,NA())</f>
        <v>#N/A</v>
      </c>
      <c r="X1187" t="e">
        <f ca="1">IFERROR(计算区域!Z1189,NA())</f>
        <v>#N/A</v>
      </c>
      <c r="Y1187" t="e">
        <f ca="1">IFERROR(计算区域!AA1189,NA())</f>
        <v>#N/A</v>
      </c>
    </row>
    <row r="1188" spans="1:25" x14ac:dyDescent="0.2">
      <c r="A1188" s="28">
        <f>计算区域!E1190</f>
        <v>0</v>
      </c>
      <c r="B1188" t="e">
        <f ca="1">IFERROR(计算区域!AJ1190,NA())</f>
        <v>#N/A</v>
      </c>
      <c r="C1188" t="e">
        <f ca="1">IFERROR(计算区域!AK1190,NA())</f>
        <v>#N/A</v>
      </c>
      <c r="D1188" t="e">
        <f ca="1">IFERROR(计算区域!AL1190,NA())</f>
        <v>#N/A</v>
      </c>
      <c r="E1188" t="e">
        <f ca="1">IFERROR(计算区域!AM1190,NA())</f>
        <v>#N/A</v>
      </c>
      <c r="G1188" t="e">
        <f ca="1">IFERROR(计算区域!AD1190,NA())</f>
        <v>#N/A</v>
      </c>
      <c r="H1188" t="e">
        <f ca="1">IFERROR(计算区域!AE1190,NA())</f>
        <v>#N/A</v>
      </c>
      <c r="I1188" t="e">
        <f ca="1">IFERROR(计算区域!AF1190,NA())</f>
        <v>#N/A</v>
      </c>
      <c r="J1188" t="e">
        <f ca="1">IFERROR(计算区域!AG1190,NA())</f>
        <v>#N/A</v>
      </c>
      <c r="L1188" t="e">
        <f ca="1">IFERROR(计算区域!L1190,NA())</f>
        <v>#N/A</v>
      </c>
      <c r="M1188" t="e">
        <f ca="1">IFERROR(计算区域!M1190,NA())</f>
        <v>#N/A</v>
      </c>
      <c r="N1188" t="e">
        <f ca="1">IFERROR(计算区域!N1190,NA())</f>
        <v>#N/A</v>
      </c>
      <c r="O1188" t="e">
        <f ca="1">IFERROR(计算区域!O1190,NA())</f>
        <v>#N/A</v>
      </c>
      <c r="Q1188" t="e">
        <f ca="1">IFERROR(计算区域!R1190,NA())</f>
        <v>#N/A</v>
      </c>
      <c r="R1188" t="e">
        <f ca="1">IFERROR(计算区域!S1190,NA())</f>
        <v>#N/A</v>
      </c>
      <c r="S1188" t="e">
        <f ca="1">IFERROR(计算区域!T1190,NA())</f>
        <v>#N/A</v>
      </c>
      <c r="T1188" t="e">
        <f ca="1">IFERROR(计算区域!U1190,NA())</f>
        <v>#N/A</v>
      </c>
      <c r="V1188" t="e">
        <f ca="1">IFERROR(计算区域!X1190,NA())</f>
        <v>#N/A</v>
      </c>
      <c r="W1188" t="e">
        <f ca="1">IFERROR(计算区域!Y1190,NA())</f>
        <v>#N/A</v>
      </c>
      <c r="X1188" t="e">
        <f ca="1">IFERROR(计算区域!Z1190,NA())</f>
        <v>#N/A</v>
      </c>
      <c r="Y1188" t="e">
        <f ca="1">IFERROR(计算区域!AA1190,NA())</f>
        <v>#N/A</v>
      </c>
    </row>
    <row r="1189" spans="1:25" x14ac:dyDescent="0.2">
      <c r="A1189" s="28">
        <f>计算区域!E1191</f>
        <v>0</v>
      </c>
      <c r="B1189" t="e">
        <f ca="1">IFERROR(计算区域!AJ1191,NA())</f>
        <v>#N/A</v>
      </c>
      <c r="C1189" t="e">
        <f ca="1">IFERROR(计算区域!AK1191,NA())</f>
        <v>#N/A</v>
      </c>
      <c r="D1189" t="e">
        <f ca="1">IFERROR(计算区域!AL1191,NA())</f>
        <v>#N/A</v>
      </c>
      <c r="E1189" t="e">
        <f ca="1">IFERROR(计算区域!AM1191,NA())</f>
        <v>#N/A</v>
      </c>
      <c r="G1189" t="e">
        <f ca="1">IFERROR(计算区域!AD1191,NA())</f>
        <v>#N/A</v>
      </c>
      <c r="H1189" t="e">
        <f ca="1">IFERROR(计算区域!AE1191,NA())</f>
        <v>#N/A</v>
      </c>
      <c r="I1189" t="e">
        <f ca="1">IFERROR(计算区域!AF1191,NA())</f>
        <v>#N/A</v>
      </c>
      <c r="J1189" t="e">
        <f ca="1">IFERROR(计算区域!AG1191,NA())</f>
        <v>#N/A</v>
      </c>
      <c r="L1189" t="e">
        <f ca="1">IFERROR(计算区域!L1191,NA())</f>
        <v>#N/A</v>
      </c>
      <c r="M1189" t="e">
        <f ca="1">IFERROR(计算区域!M1191,NA())</f>
        <v>#N/A</v>
      </c>
      <c r="N1189" t="e">
        <f ca="1">IFERROR(计算区域!N1191,NA())</f>
        <v>#N/A</v>
      </c>
      <c r="O1189" t="e">
        <f ca="1">IFERROR(计算区域!O1191,NA())</f>
        <v>#N/A</v>
      </c>
      <c r="Q1189" t="e">
        <f ca="1">IFERROR(计算区域!R1191,NA())</f>
        <v>#N/A</v>
      </c>
      <c r="R1189" t="e">
        <f ca="1">IFERROR(计算区域!S1191,NA())</f>
        <v>#N/A</v>
      </c>
      <c r="S1189" t="e">
        <f ca="1">IFERROR(计算区域!T1191,NA())</f>
        <v>#N/A</v>
      </c>
      <c r="T1189" t="e">
        <f ca="1">IFERROR(计算区域!U1191,NA())</f>
        <v>#N/A</v>
      </c>
      <c r="V1189" t="e">
        <f ca="1">IFERROR(计算区域!X1191,NA())</f>
        <v>#N/A</v>
      </c>
      <c r="W1189" t="e">
        <f ca="1">IFERROR(计算区域!Y1191,NA())</f>
        <v>#N/A</v>
      </c>
      <c r="X1189" t="e">
        <f ca="1">IFERROR(计算区域!Z1191,NA())</f>
        <v>#N/A</v>
      </c>
      <c r="Y1189" t="e">
        <f ca="1">IFERROR(计算区域!AA1191,NA())</f>
        <v>#N/A</v>
      </c>
    </row>
    <row r="1190" spans="1:25" x14ac:dyDescent="0.2">
      <c r="A1190" s="28">
        <f>计算区域!E1192</f>
        <v>0</v>
      </c>
      <c r="B1190" t="e">
        <f ca="1">IFERROR(计算区域!AJ1192,NA())</f>
        <v>#N/A</v>
      </c>
      <c r="C1190" t="e">
        <f ca="1">IFERROR(计算区域!AK1192,NA())</f>
        <v>#N/A</v>
      </c>
      <c r="D1190" t="e">
        <f ca="1">IFERROR(计算区域!AL1192,NA())</f>
        <v>#N/A</v>
      </c>
      <c r="E1190" t="e">
        <f ca="1">IFERROR(计算区域!AM1192,NA())</f>
        <v>#N/A</v>
      </c>
      <c r="G1190" t="e">
        <f ca="1">IFERROR(计算区域!AD1192,NA())</f>
        <v>#N/A</v>
      </c>
      <c r="H1190" t="e">
        <f ca="1">IFERROR(计算区域!AE1192,NA())</f>
        <v>#N/A</v>
      </c>
      <c r="I1190" t="e">
        <f ca="1">IFERROR(计算区域!AF1192,NA())</f>
        <v>#N/A</v>
      </c>
      <c r="J1190" t="e">
        <f ca="1">IFERROR(计算区域!AG1192,NA())</f>
        <v>#N/A</v>
      </c>
      <c r="L1190" t="e">
        <f ca="1">IFERROR(计算区域!L1192,NA())</f>
        <v>#N/A</v>
      </c>
      <c r="M1190" t="e">
        <f ca="1">IFERROR(计算区域!M1192,NA())</f>
        <v>#N/A</v>
      </c>
      <c r="N1190" t="e">
        <f ca="1">IFERROR(计算区域!N1192,NA())</f>
        <v>#N/A</v>
      </c>
      <c r="O1190" t="e">
        <f ca="1">IFERROR(计算区域!O1192,NA())</f>
        <v>#N/A</v>
      </c>
      <c r="Q1190" t="e">
        <f ca="1">IFERROR(计算区域!R1192,NA())</f>
        <v>#N/A</v>
      </c>
      <c r="R1190" t="e">
        <f ca="1">IFERROR(计算区域!S1192,NA())</f>
        <v>#N/A</v>
      </c>
      <c r="S1190" t="e">
        <f ca="1">IFERROR(计算区域!T1192,NA())</f>
        <v>#N/A</v>
      </c>
      <c r="T1190" t="e">
        <f ca="1">IFERROR(计算区域!U1192,NA())</f>
        <v>#N/A</v>
      </c>
      <c r="V1190" t="e">
        <f ca="1">IFERROR(计算区域!X1192,NA())</f>
        <v>#N/A</v>
      </c>
      <c r="W1190" t="e">
        <f ca="1">IFERROR(计算区域!Y1192,NA())</f>
        <v>#N/A</v>
      </c>
      <c r="X1190" t="e">
        <f ca="1">IFERROR(计算区域!Z1192,NA())</f>
        <v>#N/A</v>
      </c>
      <c r="Y1190" t="e">
        <f ca="1">IFERROR(计算区域!AA1192,NA())</f>
        <v>#N/A</v>
      </c>
    </row>
    <row r="1191" spans="1:25" x14ac:dyDescent="0.2">
      <c r="A1191" s="28">
        <f>计算区域!E1193</f>
        <v>0</v>
      </c>
      <c r="B1191" t="e">
        <f ca="1">IFERROR(计算区域!AJ1193,NA())</f>
        <v>#N/A</v>
      </c>
      <c r="C1191" t="e">
        <f ca="1">IFERROR(计算区域!AK1193,NA())</f>
        <v>#N/A</v>
      </c>
      <c r="D1191" t="e">
        <f ca="1">IFERROR(计算区域!AL1193,NA())</f>
        <v>#N/A</v>
      </c>
      <c r="E1191" t="e">
        <f ca="1">IFERROR(计算区域!AM1193,NA())</f>
        <v>#N/A</v>
      </c>
      <c r="G1191" t="e">
        <f ca="1">IFERROR(计算区域!AD1193,NA())</f>
        <v>#N/A</v>
      </c>
      <c r="H1191" t="e">
        <f ca="1">IFERROR(计算区域!AE1193,NA())</f>
        <v>#N/A</v>
      </c>
      <c r="I1191" t="e">
        <f ca="1">IFERROR(计算区域!AF1193,NA())</f>
        <v>#N/A</v>
      </c>
      <c r="J1191" t="e">
        <f ca="1">IFERROR(计算区域!AG1193,NA())</f>
        <v>#N/A</v>
      </c>
      <c r="L1191" t="e">
        <f ca="1">IFERROR(计算区域!L1193,NA())</f>
        <v>#N/A</v>
      </c>
      <c r="M1191" t="e">
        <f ca="1">IFERROR(计算区域!M1193,NA())</f>
        <v>#N/A</v>
      </c>
      <c r="N1191" t="e">
        <f ca="1">IFERROR(计算区域!N1193,NA())</f>
        <v>#N/A</v>
      </c>
      <c r="O1191" t="e">
        <f ca="1">IFERROR(计算区域!O1193,NA())</f>
        <v>#N/A</v>
      </c>
      <c r="Q1191" t="e">
        <f ca="1">IFERROR(计算区域!R1193,NA())</f>
        <v>#N/A</v>
      </c>
      <c r="R1191" t="e">
        <f ca="1">IFERROR(计算区域!S1193,NA())</f>
        <v>#N/A</v>
      </c>
      <c r="S1191" t="e">
        <f ca="1">IFERROR(计算区域!T1193,NA())</f>
        <v>#N/A</v>
      </c>
      <c r="T1191" t="e">
        <f ca="1">IFERROR(计算区域!U1193,NA())</f>
        <v>#N/A</v>
      </c>
      <c r="V1191" t="e">
        <f ca="1">IFERROR(计算区域!X1193,NA())</f>
        <v>#N/A</v>
      </c>
      <c r="W1191" t="e">
        <f ca="1">IFERROR(计算区域!Y1193,NA())</f>
        <v>#N/A</v>
      </c>
      <c r="X1191" t="e">
        <f ca="1">IFERROR(计算区域!Z1193,NA())</f>
        <v>#N/A</v>
      </c>
      <c r="Y1191" t="e">
        <f ca="1">IFERROR(计算区域!AA1193,NA())</f>
        <v>#N/A</v>
      </c>
    </row>
    <row r="1192" spans="1:25" x14ac:dyDescent="0.2">
      <c r="A1192" s="28">
        <f>计算区域!E1194</f>
        <v>0</v>
      </c>
      <c r="B1192" t="e">
        <f ca="1">IFERROR(计算区域!AJ1194,NA())</f>
        <v>#N/A</v>
      </c>
      <c r="C1192" t="e">
        <f ca="1">IFERROR(计算区域!AK1194,NA())</f>
        <v>#N/A</v>
      </c>
      <c r="D1192" t="e">
        <f ca="1">IFERROR(计算区域!AL1194,NA())</f>
        <v>#N/A</v>
      </c>
      <c r="E1192" t="e">
        <f ca="1">IFERROR(计算区域!AM1194,NA())</f>
        <v>#N/A</v>
      </c>
      <c r="G1192" t="e">
        <f ca="1">IFERROR(计算区域!AD1194,NA())</f>
        <v>#N/A</v>
      </c>
      <c r="H1192" t="e">
        <f ca="1">IFERROR(计算区域!AE1194,NA())</f>
        <v>#N/A</v>
      </c>
      <c r="I1192" t="e">
        <f ca="1">IFERROR(计算区域!AF1194,NA())</f>
        <v>#N/A</v>
      </c>
      <c r="J1192" t="e">
        <f ca="1">IFERROR(计算区域!AG1194,NA())</f>
        <v>#N/A</v>
      </c>
      <c r="L1192" t="e">
        <f ca="1">IFERROR(计算区域!L1194,NA())</f>
        <v>#N/A</v>
      </c>
      <c r="M1192" t="e">
        <f ca="1">IFERROR(计算区域!M1194,NA())</f>
        <v>#N/A</v>
      </c>
      <c r="N1192" t="e">
        <f ca="1">IFERROR(计算区域!N1194,NA())</f>
        <v>#N/A</v>
      </c>
      <c r="O1192" t="e">
        <f ca="1">IFERROR(计算区域!O1194,NA())</f>
        <v>#N/A</v>
      </c>
      <c r="Q1192" t="e">
        <f ca="1">IFERROR(计算区域!R1194,NA())</f>
        <v>#N/A</v>
      </c>
      <c r="R1192" t="e">
        <f ca="1">IFERROR(计算区域!S1194,NA())</f>
        <v>#N/A</v>
      </c>
      <c r="S1192" t="e">
        <f ca="1">IFERROR(计算区域!T1194,NA())</f>
        <v>#N/A</v>
      </c>
      <c r="T1192" t="e">
        <f ca="1">IFERROR(计算区域!U1194,NA())</f>
        <v>#N/A</v>
      </c>
      <c r="V1192" t="e">
        <f ca="1">IFERROR(计算区域!X1194,NA())</f>
        <v>#N/A</v>
      </c>
      <c r="W1192" t="e">
        <f ca="1">IFERROR(计算区域!Y1194,NA())</f>
        <v>#N/A</v>
      </c>
      <c r="X1192" t="e">
        <f ca="1">IFERROR(计算区域!Z1194,NA())</f>
        <v>#N/A</v>
      </c>
      <c r="Y1192" t="e">
        <f ca="1">IFERROR(计算区域!AA1194,NA())</f>
        <v>#N/A</v>
      </c>
    </row>
    <row r="1193" spans="1:25" x14ac:dyDescent="0.2">
      <c r="A1193" s="28">
        <f>计算区域!E1195</f>
        <v>0</v>
      </c>
      <c r="B1193" t="e">
        <f ca="1">IFERROR(计算区域!AJ1195,NA())</f>
        <v>#N/A</v>
      </c>
      <c r="C1193" t="e">
        <f ca="1">IFERROR(计算区域!AK1195,NA())</f>
        <v>#N/A</v>
      </c>
      <c r="D1193" t="e">
        <f ca="1">IFERROR(计算区域!AL1195,NA())</f>
        <v>#N/A</v>
      </c>
      <c r="E1193" t="e">
        <f ca="1">IFERROR(计算区域!AM1195,NA())</f>
        <v>#N/A</v>
      </c>
      <c r="G1193" t="e">
        <f ca="1">IFERROR(计算区域!AD1195,NA())</f>
        <v>#N/A</v>
      </c>
      <c r="H1193" t="e">
        <f ca="1">IFERROR(计算区域!AE1195,NA())</f>
        <v>#N/A</v>
      </c>
      <c r="I1193" t="e">
        <f ca="1">IFERROR(计算区域!AF1195,NA())</f>
        <v>#N/A</v>
      </c>
      <c r="J1193" t="e">
        <f ca="1">IFERROR(计算区域!AG1195,NA())</f>
        <v>#N/A</v>
      </c>
      <c r="L1193" t="e">
        <f ca="1">IFERROR(计算区域!L1195,NA())</f>
        <v>#N/A</v>
      </c>
      <c r="M1193" t="e">
        <f ca="1">IFERROR(计算区域!M1195,NA())</f>
        <v>#N/A</v>
      </c>
      <c r="N1193" t="e">
        <f ca="1">IFERROR(计算区域!N1195,NA())</f>
        <v>#N/A</v>
      </c>
      <c r="O1193" t="e">
        <f ca="1">IFERROR(计算区域!O1195,NA())</f>
        <v>#N/A</v>
      </c>
      <c r="Q1193" t="e">
        <f ca="1">IFERROR(计算区域!R1195,NA())</f>
        <v>#N/A</v>
      </c>
      <c r="R1193" t="e">
        <f ca="1">IFERROR(计算区域!S1195,NA())</f>
        <v>#N/A</v>
      </c>
      <c r="S1193" t="e">
        <f ca="1">IFERROR(计算区域!T1195,NA())</f>
        <v>#N/A</v>
      </c>
      <c r="T1193" t="e">
        <f ca="1">IFERROR(计算区域!U1195,NA())</f>
        <v>#N/A</v>
      </c>
      <c r="V1193" t="e">
        <f ca="1">IFERROR(计算区域!X1195,NA())</f>
        <v>#N/A</v>
      </c>
      <c r="W1193" t="e">
        <f ca="1">IFERROR(计算区域!Y1195,NA())</f>
        <v>#N/A</v>
      </c>
      <c r="X1193" t="e">
        <f ca="1">IFERROR(计算区域!Z1195,NA())</f>
        <v>#N/A</v>
      </c>
      <c r="Y1193" t="e">
        <f ca="1">IFERROR(计算区域!AA1195,NA())</f>
        <v>#N/A</v>
      </c>
    </row>
    <row r="1194" spans="1:25" x14ac:dyDescent="0.2">
      <c r="A1194" s="28">
        <f>计算区域!E1196</f>
        <v>0</v>
      </c>
      <c r="B1194" t="e">
        <f ca="1">IFERROR(计算区域!AJ1196,NA())</f>
        <v>#N/A</v>
      </c>
      <c r="C1194" t="e">
        <f ca="1">IFERROR(计算区域!AK1196,NA())</f>
        <v>#N/A</v>
      </c>
      <c r="D1194" t="e">
        <f ca="1">IFERROR(计算区域!AL1196,NA())</f>
        <v>#N/A</v>
      </c>
      <c r="E1194" t="e">
        <f ca="1">IFERROR(计算区域!AM1196,NA())</f>
        <v>#N/A</v>
      </c>
      <c r="G1194" t="e">
        <f ca="1">IFERROR(计算区域!AD1196,NA())</f>
        <v>#N/A</v>
      </c>
      <c r="H1194" t="e">
        <f ca="1">IFERROR(计算区域!AE1196,NA())</f>
        <v>#N/A</v>
      </c>
      <c r="I1194" t="e">
        <f ca="1">IFERROR(计算区域!AF1196,NA())</f>
        <v>#N/A</v>
      </c>
      <c r="J1194" t="e">
        <f ca="1">IFERROR(计算区域!AG1196,NA())</f>
        <v>#N/A</v>
      </c>
      <c r="L1194" t="e">
        <f ca="1">IFERROR(计算区域!L1196,NA())</f>
        <v>#N/A</v>
      </c>
      <c r="M1194" t="e">
        <f ca="1">IFERROR(计算区域!M1196,NA())</f>
        <v>#N/A</v>
      </c>
      <c r="N1194" t="e">
        <f ca="1">IFERROR(计算区域!N1196,NA())</f>
        <v>#N/A</v>
      </c>
      <c r="O1194" t="e">
        <f ca="1">IFERROR(计算区域!O1196,NA())</f>
        <v>#N/A</v>
      </c>
      <c r="Q1194" t="e">
        <f ca="1">IFERROR(计算区域!R1196,NA())</f>
        <v>#N/A</v>
      </c>
      <c r="R1194" t="e">
        <f ca="1">IFERROR(计算区域!S1196,NA())</f>
        <v>#N/A</v>
      </c>
      <c r="S1194" t="e">
        <f ca="1">IFERROR(计算区域!T1196,NA())</f>
        <v>#N/A</v>
      </c>
      <c r="T1194" t="e">
        <f ca="1">IFERROR(计算区域!U1196,NA())</f>
        <v>#N/A</v>
      </c>
      <c r="V1194" t="e">
        <f ca="1">IFERROR(计算区域!X1196,NA())</f>
        <v>#N/A</v>
      </c>
      <c r="W1194" t="e">
        <f ca="1">IFERROR(计算区域!Y1196,NA())</f>
        <v>#N/A</v>
      </c>
      <c r="X1194" t="e">
        <f ca="1">IFERROR(计算区域!Z1196,NA())</f>
        <v>#N/A</v>
      </c>
      <c r="Y1194" t="e">
        <f ca="1">IFERROR(计算区域!AA1196,NA())</f>
        <v>#N/A</v>
      </c>
    </row>
    <row r="1195" spans="1:25" x14ac:dyDescent="0.2">
      <c r="A1195" s="28">
        <f>计算区域!E1197</f>
        <v>0</v>
      </c>
      <c r="B1195" t="e">
        <f ca="1">IFERROR(计算区域!AJ1197,NA())</f>
        <v>#N/A</v>
      </c>
      <c r="C1195" t="e">
        <f ca="1">IFERROR(计算区域!AK1197,NA())</f>
        <v>#N/A</v>
      </c>
      <c r="D1195" t="e">
        <f ca="1">IFERROR(计算区域!AL1197,NA())</f>
        <v>#N/A</v>
      </c>
      <c r="E1195" t="e">
        <f ca="1">IFERROR(计算区域!AM1197,NA())</f>
        <v>#N/A</v>
      </c>
      <c r="G1195" t="e">
        <f ca="1">IFERROR(计算区域!AD1197,NA())</f>
        <v>#N/A</v>
      </c>
      <c r="H1195" t="e">
        <f ca="1">IFERROR(计算区域!AE1197,NA())</f>
        <v>#N/A</v>
      </c>
      <c r="I1195" t="e">
        <f ca="1">IFERROR(计算区域!AF1197,NA())</f>
        <v>#N/A</v>
      </c>
      <c r="J1195" t="e">
        <f ca="1">IFERROR(计算区域!AG1197,NA())</f>
        <v>#N/A</v>
      </c>
      <c r="L1195" t="e">
        <f ca="1">IFERROR(计算区域!L1197,NA())</f>
        <v>#N/A</v>
      </c>
      <c r="M1195" t="e">
        <f ca="1">IFERROR(计算区域!M1197,NA())</f>
        <v>#N/A</v>
      </c>
      <c r="N1195" t="e">
        <f ca="1">IFERROR(计算区域!N1197,NA())</f>
        <v>#N/A</v>
      </c>
      <c r="O1195" t="e">
        <f ca="1">IFERROR(计算区域!O1197,NA())</f>
        <v>#N/A</v>
      </c>
      <c r="Q1195" t="e">
        <f ca="1">IFERROR(计算区域!R1197,NA())</f>
        <v>#N/A</v>
      </c>
      <c r="R1195" t="e">
        <f ca="1">IFERROR(计算区域!S1197,NA())</f>
        <v>#N/A</v>
      </c>
      <c r="S1195" t="e">
        <f ca="1">IFERROR(计算区域!T1197,NA())</f>
        <v>#N/A</v>
      </c>
      <c r="T1195" t="e">
        <f ca="1">IFERROR(计算区域!U1197,NA())</f>
        <v>#N/A</v>
      </c>
      <c r="V1195" t="e">
        <f ca="1">IFERROR(计算区域!X1197,NA())</f>
        <v>#N/A</v>
      </c>
      <c r="W1195" t="e">
        <f ca="1">IFERROR(计算区域!Y1197,NA())</f>
        <v>#N/A</v>
      </c>
      <c r="X1195" t="e">
        <f ca="1">IFERROR(计算区域!Z1197,NA())</f>
        <v>#N/A</v>
      </c>
      <c r="Y1195" t="e">
        <f ca="1">IFERROR(计算区域!AA1197,NA())</f>
        <v>#N/A</v>
      </c>
    </row>
    <row r="1196" spans="1:25" x14ac:dyDescent="0.2">
      <c r="A1196" s="28">
        <f>计算区域!E1198</f>
        <v>0</v>
      </c>
      <c r="B1196" t="e">
        <f ca="1">IFERROR(计算区域!AJ1198,NA())</f>
        <v>#N/A</v>
      </c>
      <c r="C1196" t="e">
        <f ca="1">IFERROR(计算区域!AK1198,NA())</f>
        <v>#N/A</v>
      </c>
      <c r="D1196" t="e">
        <f ca="1">IFERROR(计算区域!AL1198,NA())</f>
        <v>#N/A</v>
      </c>
      <c r="E1196" t="e">
        <f ca="1">IFERROR(计算区域!AM1198,NA())</f>
        <v>#N/A</v>
      </c>
      <c r="G1196" t="e">
        <f ca="1">IFERROR(计算区域!AD1198,NA())</f>
        <v>#N/A</v>
      </c>
      <c r="H1196" t="e">
        <f ca="1">IFERROR(计算区域!AE1198,NA())</f>
        <v>#N/A</v>
      </c>
      <c r="I1196" t="e">
        <f ca="1">IFERROR(计算区域!AF1198,NA())</f>
        <v>#N/A</v>
      </c>
      <c r="J1196" t="e">
        <f ca="1">IFERROR(计算区域!AG1198,NA())</f>
        <v>#N/A</v>
      </c>
      <c r="L1196" t="e">
        <f ca="1">IFERROR(计算区域!L1198,NA())</f>
        <v>#N/A</v>
      </c>
      <c r="M1196" t="e">
        <f ca="1">IFERROR(计算区域!M1198,NA())</f>
        <v>#N/A</v>
      </c>
      <c r="N1196" t="e">
        <f ca="1">IFERROR(计算区域!N1198,NA())</f>
        <v>#N/A</v>
      </c>
      <c r="O1196" t="e">
        <f ca="1">IFERROR(计算区域!O1198,NA())</f>
        <v>#N/A</v>
      </c>
      <c r="Q1196" t="e">
        <f ca="1">IFERROR(计算区域!R1198,NA())</f>
        <v>#N/A</v>
      </c>
      <c r="R1196" t="e">
        <f ca="1">IFERROR(计算区域!S1198,NA())</f>
        <v>#N/A</v>
      </c>
      <c r="S1196" t="e">
        <f ca="1">IFERROR(计算区域!T1198,NA())</f>
        <v>#N/A</v>
      </c>
      <c r="T1196" t="e">
        <f ca="1">IFERROR(计算区域!U1198,NA())</f>
        <v>#N/A</v>
      </c>
      <c r="V1196" t="e">
        <f ca="1">IFERROR(计算区域!X1198,NA())</f>
        <v>#N/A</v>
      </c>
      <c r="W1196" t="e">
        <f ca="1">IFERROR(计算区域!Y1198,NA())</f>
        <v>#N/A</v>
      </c>
      <c r="X1196" t="e">
        <f ca="1">IFERROR(计算区域!Z1198,NA())</f>
        <v>#N/A</v>
      </c>
      <c r="Y1196" t="e">
        <f ca="1">IFERROR(计算区域!AA1198,NA())</f>
        <v>#N/A</v>
      </c>
    </row>
    <row r="1197" spans="1:25" x14ac:dyDescent="0.2">
      <c r="A1197" s="28">
        <f>计算区域!E1199</f>
        <v>0</v>
      </c>
      <c r="B1197" t="e">
        <f ca="1">IFERROR(计算区域!AJ1199,NA())</f>
        <v>#N/A</v>
      </c>
      <c r="C1197" t="e">
        <f ca="1">IFERROR(计算区域!AK1199,NA())</f>
        <v>#N/A</v>
      </c>
      <c r="D1197" t="e">
        <f ca="1">IFERROR(计算区域!AL1199,NA())</f>
        <v>#N/A</v>
      </c>
      <c r="E1197" t="e">
        <f ca="1">IFERROR(计算区域!AM1199,NA())</f>
        <v>#N/A</v>
      </c>
      <c r="G1197" t="e">
        <f ca="1">IFERROR(计算区域!AD1199,NA())</f>
        <v>#N/A</v>
      </c>
      <c r="H1197" t="e">
        <f ca="1">IFERROR(计算区域!AE1199,NA())</f>
        <v>#N/A</v>
      </c>
      <c r="I1197" t="e">
        <f ca="1">IFERROR(计算区域!AF1199,NA())</f>
        <v>#N/A</v>
      </c>
      <c r="J1197" t="e">
        <f ca="1">IFERROR(计算区域!AG1199,NA())</f>
        <v>#N/A</v>
      </c>
      <c r="L1197" t="e">
        <f ca="1">IFERROR(计算区域!L1199,NA())</f>
        <v>#N/A</v>
      </c>
      <c r="M1197" t="e">
        <f ca="1">IFERROR(计算区域!M1199,NA())</f>
        <v>#N/A</v>
      </c>
      <c r="N1197" t="e">
        <f ca="1">IFERROR(计算区域!N1199,NA())</f>
        <v>#N/A</v>
      </c>
      <c r="O1197" t="e">
        <f ca="1">IFERROR(计算区域!O1199,NA())</f>
        <v>#N/A</v>
      </c>
      <c r="Q1197" t="e">
        <f ca="1">IFERROR(计算区域!R1199,NA())</f>
        <v>#N/A</v>
      </c>
      <c r="R1197" t="e">
        <f ca="1">IFERROR(计算区域!S1199,NA())</f>
        <v>#N/A</v>
      </c>
      <c r="S1197" t="e">
        <f ca="1">IFERROR(计算区域!T1199,NA())</f>
        <v>#N/A</v>
      </c>
      <c r="T1197" t="e">
        <f ca="1">IFERROR(计算区域!U1199,NA())</f>
        <v>#N/A</v>
      </c>
      <c r="V1197" t="e">
        <f ca="1">IFERROR(计算区域!X1199,NA())</f>
        <v>#N/A</v>
      </c>
      <c r="W1197" t="e">
        <f ca="1">IFERROR(计算区域!Y1199,NA())</f>
        <v>#N/A</v>
      </c>
      <c r="X1197" t="e">
        <f ca="1">IFERROR(计算区域!Z1199,NA())</f>
        <v>#N/A</v>
      </c>
      <c r="Y1197" t="e">
        <f ca="1">IFERROR(计算区域!AA1199,NA())</f>
        <v>#N/A</v>
      </c>
    </row>
    <row r="1198" spans="1:25" x14ac:dyDescent="0.2">
      <c r="A1198" s="28">
        <f>计算区域!E1200</f>
        <v>0</v>
      </c>
      <c r="B1198" t="e">
        <f ca="1">IFERROR(计算区域!AJ1200,NA())</f>
        <v>#N/A</v>
      </c>
      <c r="C1198" t="e">
        <f ca="1">IFERROR(计算区域!AK1200,NA())</f>
        <v>#N/A</v>
      </c>
      <c r="D1198" t="e">
        <f ca="1">IFERROR(计算区域!AL1200,NA())</f>
        <v>#N/A</v>
      </c>
      <c r="E1198" t="e">
        <f ca="1">IFERROR(计算区域!AM1200,NA())</f>
        <v>#N/A</v>
      </c>
      <c r="G1198" t="e">
        <f ca="1">IFERROR(计算区域!AD1200,NA())</f>
        <v>#N/A</v>
      </c>
      <c r="H1198" t="e">
        <f ca="1">IFERROR(计算区域!AE1200,NA())</f>
        <v>#N/A</v>
      </c>
      <c r="I1198" t="e">
        <f ca="1">IFERROR(计算区域!AF1200,NA())</f>
        <v>#N/A</v>
      </c>
      <c r="J1198" t="e">
        <f ca="1">IFERROR(计算区域!AG1200,NA())</f>
        <v>#N/A</v>
      </c>
      <c r="L1198" t="e">
        <f ca="1">IFERROR(计算区域!L1200,NA())</f>
        <v>#N/A</v>
      </c>
      <c r="M1198" t="e">
        <f ca="1">IFERROR(计算区域!M1200,NA())</f>
        <v>#N/A</v>
      </c>
      <c r="N1198" t="e">
        <f ca="1">IFERROR(计算区域!N1200,NA())</f>
        <v>#N/A</v>
      </c>
      <c r="O1198" t="e">
        <f ca="1">IFERROR(计算区域!O1200,NA())</f>
        <v>#N/A</v>
      </c>
      <c r="Q1198" t="e">
        <f ca="1">IFERROR(计算区域!R1200,NA())</f>
        <v>#N/A</v>
      </c>
      <c r="R1198" t="e">
        <f ca="1">IFERROR(计算区域!S1200,NA())</f>
        <v>#N/A</v>
      </c>
      <c r="S1198" t="e">
        <f ca="1">IFERROR(计算区域!T1200,NA())</f>
        <v>#N/A</v>
      </c>
      <c r="T1198" t="e">
        <f ca="1">IFERROR(计算区域!U1200,NA())</f>
        <v>#N/A</v>
      </c>
      <c r="V1198" t="e">
        <f ca="1">IFERROR(计算区域!X1200,NA())</f>
        <v>#N/A</v>
      </c>
      <c r="W1198" t="e">
        <f ca="1">IFERROR(计算区域!Y1200,NA())</f>
        <v>#N/A</v>
      </c>
      <c r="X1198" t="e">
        <f ca="1">IFERROR(计算区域!Z1200,NA())</f>
        <v>#N/A</v>
      </c>
      <c r="Y1198" t="e">
        <f ca="1">IFERROR(计算区域!AA1200,NA())</f>
        <v>#N/A</v>
      </c>
    </row>
    <row r="1199" spans="1:25" x14ac:dyDescent="0.2">
      <c r="A1199" s="28">
        <f>计算区域!E1201</f>
        <v>0</v>
      </c>
      <c r="B1199" t="e">
        <f ca="1">IFERROR(计算区域!AJ1201,NA())</f>
        <v>#N/A</v>
      </c>
      <c r="C1199" t="e">
        <f ca="1">IFERROR(计算区域!AK1201,NA())</f>
        <v>#N/A</v>
      </c>
      <c r="D1199" t="e">
        <f ca="1">IFERROR(计算区域!AL1201,NA())</f>
        <v>#N/A</v>
      </c>
      <c r="E1199" t="e">
        <f ca="1">IFERROR(计算区域!AM1201,NA())</f>
        <v>#N/A</v>
      </c>
      <c r="G1199" t="e">
        <f ca="1">IFERROR(计算区域!AD1201,NA())</f>
        <v>#N/A</v>
      </c>
      <c r="H1199" t="e">
        <f ca="1">IFERROR(计算区域!AE1201,NA())</f>
        <v>#N/A</v>
      </c>
      <c r="I1199" t="e">
        <f ca="1">IFERROR(计算区域!AF1201,NA())</f>
        <v>#N/A</v>
      </c>
      <c r="J1199" t="e">
        <f ca="1">IFERROR(计算区域!AG1201,NA())</f>
        <v>#N/A</v>
      </c>
      <c r="L1199" t="e">
        <f ca="1">IFERROR(计算区域!L1201,NA())</f>
        <v>#N/A</v>
      </c>
      <c r="M1199" t="e">
        <f ca="1">IFERROR(计算区域!M1201,NA())</f>
        <v>#N/A</v>
      </c>
      <c r="N1199" t="e">
        <f ca="1">IFERROR(计算区域!N1201,NA())</f>
        <v>#N/A</v>
      </c>
      <c r="O1199" t="e">
        <f ca="1">IFERROR(计算区域!O1201,NA())</f>
        <v>#N/A</v>
      </c>
      <c r="Q1199" t="e">
        <f ca="1">IFERROR(计算区域!R1201,NA())</f>
        <v>#N/A</v>
      </c>
      <c r="R1199" t="e">
        <f ca="1">IFERROR(计算区域!S1201,NA())</f>
        <v>#N/A</v>
      </c>
      <c r="S1199" t="e">
        <f ca="1">IFERROR(计算区域!T1201,NA())</f>
        <v>#N/A</v>
      </c>
      <c r="T1199" t="e">
        <f ca="1">IFERROR(计算区域!U1201,NA())</f>
        <v>#N/A</v>
      </c>
      <c r="V1199" t="e">
        <f ca="1">IFERROR(计算区域!X1201,NA())</f>
        <v>#N/A</v>
      </c>
      <c r="W1199" t="e">
        <f ca="1">IFERROR(计算区域!Y1201,NA())</f>
        <v>#N/A</v>
      </c>
      <c r="X1199" t="e">
        <f ca="1">IFERROR(计算区域!Z1201,NA())</f>
        <v>#N/A</v>
      </c>
      <c r="Y1199" t="e">
        <f ca="1">IFERROR(计算区域!AA1201,NA())</f>
        <v>#N/A</v>
      </c>
    </row>
    <row r="1200" spans="1:25" x14ac:dyDescent="0.2">
      <c r="A1200" s="28">
        <f>计算区域!E1202</f>
        <v>0</v>
      </c>
      <c r="B1200" t="e">
        <f ca="1">IFERROR(计算区域!AJ1202,NA())</f>
        <v>#N/A</v>
      </c>
      <c r="C1200" t="e">
        <f ca="1">IFERROR(计算区域!AK1202,NA())</f>
        <v>#N/A</v>
      </c>
      <c r="D1200" t="e">
        <f ca="1">IFERROR(计算区域!AL1202,NA())</f>
        <v>#N/A</v>
      </c>
      <c r="E1200" t="e">
        <f ca="1">IFERROR(计算区域!AM1202,NA())</f>
        <v>#N/A</v>
      </c>
      <c r="G1200" t="e">
        <f ca="1">IFERROR(计算区域!AD1202,NA())</f>
        <v>#N/A</v>
      </c>
      <c r="H1200" t="e">
        <f ca="1">IFERROR(计算区域!AE1202,NA())</f>
        <v>#N/A</v>
      </c>
      <c r="I1200" t="e">
        <f ca="1">IFERROR(计算区域!AF1202,NA())</f>
        <v>#N/A</v>
      </c>
      <c r="J1200" t="e">
        <f ca="1">IFERROR(计算区域!AG1202,NA())</f>
        <v>#N/A</v>
      </c>
      <c r="L1200" t="e">
        <f ca="1">IFERROR(计算区域!L1202,NA())</f>
        <v>#N/A</v>
      </c>
      <c r="M1200" t="e">
        <f ca="1">IFERROR(计算区域!M1202,NA())</f>
        <v>#N/A</v>
      </c>
      <c r="N1200" t="e">
        <f ca="1">IFERROR(计算区域!N1202,NA())</f>
        <v>#N/A</v>
      </c>
      <c r="O1200" t="e">
        <f ca="1">IFERROR(计算区域!O1202,NA())</f>
        <v>#N/A</v>
      </c>
      <c r="Q1200" t="e">
        <f ca="1">IFERROR(计算区域!R1202,NA())</f>
        <v>#N/A</v>
      </c>
      <c r="R1200" t="e">
        <f ca="1">IFERROR(计算区域!S1202,NA())</f>
        <v>#N/A</v>
      </c>
      <c r="S1200" t="e">
        <f ca="1">IFERROR(计算区域!T1202,NA())</f>
        <v>#N/A</v>
      </c>
      <c r="T1200" t="e">
        <f ca="1">IFERROR(计算区域!U1202,NA())</f>
        <v>#N/A</v>
      </c>
      <c r="V1200" t="e">
        <f ca="1">IFERROR(计算区域!X1202,NA())</f>
        <v>#N/A</v>
      </c>
      <c r="W1200" t="e">
        <f ca="1">IFERROR(计算区域!Y1202,NA())</f>
        <v>#N/A</v>
      </c>
      <c r="X1200" t="e">
        <f ca="1">IFERROR(计算区域!Z1202,NA())</f>
        <v>#N/A</v>
      </c>
      <c r="Y1200" t="e">
        <f ca="1">IFERROR(计算区域!AA1202,NA())</f>
        <v>#N/A</v>
      </c>
    </row>
    <row r="1201" spans="1:25" x14ac:dyDescent="0.2">
      <c r="A1201" s="28">
        <f>计算区域!E1203</f>
        <v>0</v>
      </c>
      <c r="B1201" t="e">
        <f ca="1">IFERROR(计算区域!AJ1203,NA())</f>
        <v>#N/A</v>
      </c>
      <c r="C1201" t="e">
        <f ca="1">IFERROR(计算区域!AK1203,NA())</f>
        <v>#N/A</v>
      </c>
      <c r="D1201" t="e">
        <f ca="1">IFERROR(计算区域!AL1203,NA())</f>
        <v>#N/A</v>
      </c>
      <c r="E1201" t="e">
        <f ca="1">IFERROR(计算区域!AM1203,NA())</f>
        <v>#N/A</v>
      </c>
      <c r="G1201" t="e">
        <f ca="1">IFERROR(计算区域!AD1203,NA())</f>
        <v>#N/A</v>
      </c>
      <c r="H1201" t="e">
        <f ca="1">IFERROR(计算区域!AE1203,NA())</f>
        <v>#N/A</v>
      </c>
      <c r="I1201" t="e">
        <f ca="1">IFERROR(计算区域!AF1203,NA())</f>
        <v>#N/A</v>
      </c>
      <c r="J1201" t="e">
        <f ca="1">IFERROR(计算区域!AG1203,NA())</f>
        <v>#N/A</v>
      </c>
      <c r="L1201" t="e">
        <f ca="1">IFERROR(计算区域!L1203,NA())</f>
        <v>#N/A</v>
      </c>
      <c r="M1201" t="e">
        <f ca="1">IFERROR(计算区域!M1203,NA())</f>
        <v>#N/A</v>
      </c>
      <c r="N1201" t="e">
        <f ca="1">IFERROR(计算区域!N1203,NA())</f>
        <v>#N/A</v>
      </c>
      <c r="O1201" t="e">
        <f ca="1">IFERROR(计算区域!O1203,NA())</f>
        <v>#N/A</v>
      </c>
      <c r="Q1201" t="e">
        <f ca="1">IFERROR(计算区域!R1203,NA())</f>
        <v>#N/A</v>
      </c>
      <c r="R1201" t="e">
        <f ca="1">IFERROR(计算区域!S1203,NA())</f>
        <v>#N/A</v>
      </c>
      <c r="S1201" t="e">
        <f ca="1">IFERROR(计算区域!T1203,NA())</f>
        <v>#N/A</v>
      </c>
      <c r="T1201" t="e">
        <f ca="1">IFERROR(计算区域!U1203,NA())</f>
        <v>#N/A</v>
      </c>
      <c r="V1201" t="e">
        <f ca="1">IFERROR(计算区域!X1203,NA())</f>
        <v>#N/A</v>
      </c>
      <c r="W1201" t="e">
        <f ca="1">IFERROR(计算区域!Y1203,NA())</f>
        <v>#N/A</v>
      </c>
      <c r="X1201" t="e">
        <f ca="1">IFERROR(计算区域!Z1203,NA())</f>
        <v>#N/A</v>
      </c>
      <c r="Y1201" t="e">
        <f ca="1">IFERROR(计算区域!AA1203,NA())</f>
        <v>#N/A</v>
      </c>
    </row>
    <row r="1202" spans="1:25" x14ac:dyDescent="0.2">
      <c r="A1202" s="28">
        <f>计算区域!E1204</f>
        <v>0</v>
      </c>
      <c r="B1202" t="e">
        <f ca="1">IFERROR(计算区域!AJ1204,NA())</f>
        <v>#N/A</v>
      </c>
      <c r="C1202" t="e">
        <f ca="1">IFERROR(计算区域!AK1204,NA())</f>
        <v>#N/A</v>
      </c>
      <c r="D1202" t="e">
        <f ca="1">IFERROR(计算区域!AL1204,NA())</f>
        <v>#N/A</v>
      </c>
      <c r="E1202" t="e">
        <f ca="1">IFERROR(计算区域!AM1204,NA())</f>
        <v>#N/A</v>
      </c>
      <c r="G1202" t="e">
        <f ca="1">IFERROR(计算区域!AD1204,NA())</f>
        <v>#N/A</v>
      </c>
      <c r="H1202" t="e">
        <f ca="1">IFERROR(计算区域!AE1204,NA())</f>
        <v>#N/A</v>
      </c>
      <c r="I1202" t="e">
        <f ca="1">IFERROR(计算区域!AF1204,NA())</f>
        <v>#N/A</v>
      </c>
      <c r="J1202" t="e">
        <f ca="1">IFERROR(计算区域!AG1204,NA())</f>
        <v>#N/A</v>
      </c>
      <c r="L1202" t="e">
        <f ca="1">IFERROR(计算区域!L1204,NA())</f>
        <v>#N/A</v>
      </c>
      <c r="M1202" t="e">
        <f ca="1">IFERROR(计算区域!M1204,NA())</f>
        <v>#N/A</v>
      </c>
      <c r="N1202" t="e">
        <f ca="1">IFERROR(计算区域!N1204,NA())</f>
        <v>#N/A</v>
      </c>
      <c r="O1202" t="e">
        <f ca="1">IFERROR(计算区域!O1204,NA())</f>
        <v>#N/A</v>
      </c>
      <c r="Q1202" t="e">
        <f ca="1">IFERROR(计算区域!R1204,NA())</f>
        <v>#N/A</v>
      </c>
      <c r="R1202" t="e">
        <f ca="1">IFERROR(计算区域!S1204,NA())</f>
        <v>#N/A</v>
      </c>
      <c r="S1202" t="e">
        <f ca="1">IFERROR(计算区域!T1204,NA())</f>
        <v>#N/A</v>
      </c>
      <c r="T1202" t="e">
        <f ca="1">IFERROR(计算区域!U1204,NA())</f>
        <v>#N/A</v>
      </c>
      <c r="V1202" t="e">
        <f ca="1">IFERROR(计算区域!X1204,NA())</f>
        <v>#N/A</v>
      </c>
      <c r="W1202" t="e">
        <f ca="1">IFERROR(计算区域!Y1204,NA())</f>
        <v>#N/A</v>
      </c>
      <c r="X1202" t="e">
        <f ca="1">IFERROR(计算区域!Z1204,NA())</f>
        <v>#N/A</v>
      </c>
      <c r="Y1202" t="e">
        <f ca="1">IFERROR(计算区域!AA1204,NA())</f>
        <v>#N/A</v>
      </c>
    </row>
    <row r="1203" spans="1:25" x14ac:dyDescent="0.2">
      <c r="A1203" s="28">
        <f>计算区域!E1205</f>
        <v>0</v>
      </c>
      <c r="B1203" t="e">
        <f ca="1">IFERROR(计算区域!AJ1205,NA())</f>
        <v>#N/A</v>
      </c>
      <c r="C1203" t="e">
        <f ca="1">IFERROR(计算区域!AK1205,NA())</f>
        <v>#N/A</v>
      </c>
      <c r="D1203" t="e">
        <f ca="1">IFERROR(计算区域!AL1205,NA())</f>
        <v>#N/A</v>
      </c>
      <c r="E1203" t="e">
        <f ca="1">IFERROR(计算区域!AM1205,NA())</f>
        <v>#N/A</v>
      </c>
      <c r="G1203" t="e">
        <f ca="1">IFERROR(计算区域!AD1205,NA())</f>
        <v>#N/A</v>
      </c>
      <c r="H1203" t="e">
        <f ca="1">IFERROR(计算区域!AE1205,NA())</f>
        <v>#N/A</v>
      </c>
      <c r="I1203" t="e">
        <f ca="1">IFERROR(计算区域!AF1205,NA())</f>
        <v>#N/A</v>
      </c>
      <c r="J1203" t="e">
        <f ca="1">IFERROR(计算区域!AG1205,NA())</f>
        <v>#N/A</v>
      </c>
      <c r="L1203" t="e">
        <f ca="1">IFERROR(计算区域!L1205,NA())</f>
        <v>#N/A</v>
      </c>
      <c r="M1203" t="e">
        <f ca="1">IFERROR(计算区域!M1205,NA())</f>
        <v>#N/A</v>
      </c>
      <c r="N1203" t="e">
        <f ca="1">IFERROR(计算区域!N1205,NA())</f>
        <v>#N/A</v>
      </c>
      <c r="O1203" t="e">
        <f ca="1">IFERROR(计算区域!O1205,NA())</f>
        <v>#N/A</v>
      </c>
      <c r="Q1203" t="e">
        <f ca="1">IFERROR(计算区域!R1205,NA())</f>
        <v>#N/A</v>
      </c>
      <c r="R1203" t="e">
        <f ca="1">IFERROR(计算区域!S1205,NA())</f>
        <v>#N/A</v>
      </c>
      <c r="S1203" t="e">
        <f ca="1">IFERROR(计算区域!T1205,NA())</f>
        <v>#N/A</v>
      </c>
      <c r="T1203" t="e">
        <f ca="1">IFERROR(计算区域!U1205,NA())</f>
        <v>#N/A</v>
      </c>
      <c r="V1203" t="e">
        <f ca="1">IFERROR(计算区域!X1205,NA())</f>
        <v>#N/A</v>
      </c>
      <c r="W1203" t="e">
        <f ca="1">IFERROR(计算区域!Y1205,NA())</f>
        <v>#N/A</v>
      </c>
      <c r="X1203" t="e">
        <f ca="1">IFERROR(计算区域!Z1205,NA())</f>
        <v>#N/A</v>
      </c>
      <c r="Y1203" t="e">
        <f ca="1">IFERROR(计算区域!AA1205,NA())</f>
        <v>#N/A</v>
      </c>
    </row>
    <row r="1204" spans="1:25" x14ac:dyDescent="0.2">
      <c r="A1204" s="28">
        <f>计算区域!E1206</f>
        <v>0</v>
      </c>
      <c r="B1204" t="e">
        <f ca="1">IFERROR(计算区域!AJ1206,NA())</f>
        <v>#N/A</v>
      </c>
      <c r="C1204" t="e">
        <f ca="1">IFERROR(计算区域!AK1206,NA())</f>
        <v>#N/A</v>
      </c>
      <c r="D1204" t="e">
        <f ca="1">IFERROR(计算区域!AL1206,NA())</f>
        <v>#N/A</v>
      </c>
      <c r="E1204" t="e">
        <f ca="1">IFERROR(计算区域!AM1206,NA())</f>
        <v>#N/A</v>
      </c>
      <c r="G1204" t="e">
        <f ca="1">IFERROR(计算区域!AD1206,NA())</f>
        <v>#N/A</v>
      </c>
      <c r="H1204" t="e">
        <f ca="1">IFERROR(计算区域!AE1206,NA())</f>
        <v>#N/A</v>
      </c>
      <c r="I1204" t="e">
        <f ca="1">IFERROR(计算区域!AF1206,NA())</f>
        <v>#N/A</v>
      </c>
      <c r="J1204" t="e">
        <f ca="1">IFERROR(计算区域!AG1206,NA())</f>
        <v>#N/A</v>
      </c>
      <c r="L1204" t="e">
        <f ca="1">IFERROR(计算区域!L1206,NA())</f>
        <v>#N/A</v>
      </c>
      <c r="M1204" t="e">
        <f ca="1">IFERROR(计算区域!M1206,NA())</f>
        <v>#N/A</v>
      </c>
      <c r="N1204" t="e">
        <f ca="1">IFERROR(计算区域!N1206,NA())</f>
        <v>#N/A</v>
      </c>
      <c r="O1204" t="e">
        <f ca="1">IFERROR(计算区域!O1206,NA())</f>
        <v>#N/A</v>
      </c>
      <c r="Q1204" t="e">
        <f ca="1">IFERROR(计算区域!R1206,NA())</f>
        <v>#N/A</v>
      </c>
      <c r="R1204" t="e">
        <f ca="1">IFERROR(计算区域!S1206,NA())</f>
        <v>#N/A</v>
      </c>
      <c r="S1204" t="e">
        <f ca="1">IFERROR(计算区域!T1206,NA())</f>
        <v>#N/A</v>
      </c>
      <c r="T1204" t="e">
        <f ca="1">IFERROR(计算区域!U1206,NA())</f>
        <v>#N/A</v>
      </c>
      <c r="V1204" t="e">
        <f ca="1">IFERROR(计算区域!X1206,NA())</f>
        <v>#N/A</v>
      </c>
      <c r="W1204" t="e">
        <f ca="1">IFERROR(计算区域!Y1206,NA())</f>
        <v>#N/A</v>
      </c>
      <c r="X1204" t="e">
        <f ca="1">IFERROR(计算区域!Z1206,NA())</f>
        <v>#N/A</v>
      </c>
      <c r="Y1204" t="e">
        <f ca="1">IFERROR(计算区域!AA1206,NA())</f>
        <v>#N/A</v>
      </c>
    </row>
    <row r="1205" spans="1:25" x14ac:dyDescent="0.2">
      <c r="A1205" s="28">
        <f>计算区域!E1207</f>
        <v>0</v>
      </c>
      <c r="B1205" t="e">
        <f ca="1">IFERROR(计算区域!AJ1207,NA())</f>
        <v>#N/A</v>
      </c>
      <c r="C1205" t="e">
        <f ca="1">IFERROR(计算区域!AK1207,NA())</f>
        <v>#N/A</v>
      </c>
      <c r="D1205" t="e">
        <f ca="1">IFERROR(计算区域!AL1207,NA())</f>
        <v>#N/A</v>
      </c>
      <c r="E1205" t="e">
        <f ca="1">IFERROR(计算区域!AM1207,NA())</f>
        <v>#N/A</v>
      </c>
      <c r="G1205" t="e">
        <f ca="1">IFERROR(计算区域!AD1207,NA())</f>
        <v>#N/A</v>
      </c>
      <c r="H1205" t="e">
        <f ca="1">IFERROR(计算区域!AE1207,NA())</f>
        <v>#N/A</v>
      </c>
      <c r="I1205" t="e">
        <f ca="1">IFERROR(计算区域!AF1207,NA())</f>
        <v>#N/A</v>
      </c>
      <c r="J1205" t="e">
        <f ca="1">IFERROR(计算区域!AG1207,NA())</f>
        <v>#N/A</v>
      </c>
      <c r="L1205" t="e">
        <f ca="1">IFERROR(计算区域!L1207,NA())</f>
        <v>#N/A</v>
      </c>
      <c r="M1205" t="e">
        <f ca="1">IFERROR(计算区域!M1207,NA())</f>
        <v>#N/A</v>
      </c>
      <c r="N1205" t="e">
        <f ca="1">IFERROR(计算区域!N1207,NA())</f>
        <v>#N/A</v>
      </c>
      <c r="O1205" t="e">
        <f ca="1">IFERROR(计算区域!O1207,NA())</f>
        <v>#N/A</v>
      </c>
      <c r="Q1205" t="e">
        <f ca="1">IFERROR(计算区域!R1207,NA())</f>
        <v>#N/A</v>
      </c>
      <c r="R1205" t="e">
        <f ca="1">IFERROR(计算区域!S1207,NA())</f>
        <v>#N/A</v>
      </c>
      <c r="S1205" t="e">
        <f ca="1">IFERROR(计算区域!T1207,NA())</f>
        <v>#N/A</v>
      </c>
      <c r="T1205" t="e">
        <f ca="1">IFERROR(计算区域!U1207,NA())</f>
        <v>#N/A</v>
      </c>
      <c r="V1205" t="e">
        <f ca="1">IFERROR(计算区域!X1207,NA())</f>
        <v>#N/A</v>
      </c>
      <c r="W1205" t="e">
        <f ca="1">IFERROR(计算区域!Y1207,NA())</f>
        <v>#N/A</v>
      </c>
      <c r="X1205" t="e">
        <f ca="1">IFERROR(计算区域!Z1207,NA())</f>
        <v>#N/A</v>
      </c>
      <c r="Y1205" t="e">
        <f ca="1">IFERROR(计算区域!AA1207,NA())</f>
        <v>#N/A</v>
      </c>
    </row>
    <row r="1206" spans="1:25" x14ac:dyDescent="0.2">
      <c r="A1206" s="28">
        <f>计算区域!E1208</f>
        <v>0</v>
      </c>
      <c r="B1206" t="e">
        <f ca="1">IFERROR(计算区域!AJ1208,NA())</f>
        <v>#N/A</v>
      </c>
      <c r="C1206" t="e">
        <f ca="1">IFERROR(计算区域!AK1208,NA())</f>
        <v>#N/A</v>
      </c>
      <c r="D1206" t="e">
        <f ca="1">IFERROR(计算区域!AL1208,NA())</f>
        <v>#N/A</v>
      </c>
      <c r="E1206" t="e">
        <f ca="1">IFERROR(计算区域!AM1208,NA())</f>
        <v>#N/A</v>
      </c>
      <c r="G1206" t="e">
        <f ca="1">IFERROR(计算区域!AD1208,NA())</f>
        <v>#N/A</v>
      </c>
      <c r="H1206" t="e">
        <f ca="1">IFERROR(计算区域!AE1208,NA())</f>
        <v>#N/A</v>
      </c>
      <c r="I1206" t="e">
        <f ca="1">IFERROR(计算区域!AF1208,NA())</f>
        <v>#N/A</v>
      </c>
      <c r="J1206" t="e">
        <f ca="1">IFERROR(计算区域!AG1208,NA())</f>
        <v>#N/A</v>
      </c>
      <c r="L1206" t="e">
        <f ca="1">IFERROR(计算区域!L1208,NA())</f>
        <v>#N/A</v>
      </c>
      <c r="M1206" t="e">
        <f ca="1">IFERROR(计算区域!M1208,NA())</f>
        <v>#N/A</v>
      </c>
      <c r="N1206" t="e">
        <f ca="1">IFERROR(计算区域!N1208,NA())</f>
        <v>#N/A</v>
      </c>
      <c r="O1206" t="e">
        <f ca="1">IFERROR(计算区域!O1208,NA())</f>
        <v>#N/A</v>
      </c>
      <c r="Q1206" t="e">
        <f ca="1">IFERROR(计算区域!R1208,NA())</f>
        <v>#N/A</v>
      </c>
      <c r="R1206" t="e">
        <f ca="1">IFERROR(计算区域!S1208,NA())</f>
        <v>#N/A</v>
      </c>
      <c r="S1206" t="e">
        <f ca="1">IFERROR(计算区域!T1208,NA())</f>
        <v>#N/A</v>
      </c>
      <c r="T1206" t="e">
        <f ca="1">IFERROR(计算区域!U1208,NA())</f>
        <v>#N/A</v>
      </c>
      <c r="V1206" t="e">
        <f ca="1">IFERROR(计算区域!X1208,NA())</f>
        <v>#N/A</v>
      </c>
      <c r="W1206" t="e">
        <f ca="1">IFERROR(计算区域!Y1208,NA())</f>
        <v>#N/A</v>
      </c>
      <c r="X1206" t="e">
        <f ca="1">IFERROR(计算区域!Z1208,NA())</f>
        <v>#N/A</v>
      </c>
      <c r="Y1206" t="e">
        <f ca="1">IFERROR(计算区域!AA1208,NA())</f>
        <v>#N/A</v>
      </c>
    </row>
    <row r="1207" spans="1:25" x14ac:dyDescent="0.2">
      <c r="A1207" s="28">
        <f>计算区域!E1209</f>
        <v>0</v>
      </c>
      <c r="B1207" t="e">
        <f ca="1">IFERROR(计算区域!AJ1209,NA())</f>
        <v>#N/A</v>
      </c>
      <c r="C1207" t="e">
        <f ca="1">IFERROR(计算区域!AK1209,NA())</f>
        <v>#N/A</v>
      </c>
      <c r="D1207" t="e">
        <f ca="1">IFERROR(计算区域!AL1209,NA())</f>
        <v>#N/A</v>
      </c>
      <c r="E1207" t="e">
        <f ca="1">IFERROR(计算区域!AM1209,NA())</f>
        <v>#N/A</v>
      </c>
      <c r="G1207" t="e">
        <f ca="1">IFERROR(计算区域!AD1209,NA())</f>
        <v>#N/A</v>
      </c>
      <c r="H1207" t="e">
        <f ca="1">IFERROR(计算区域!AE1209,NA())</f>
        <v>#N/A</v>
      </c>
      <c r="I1207" t="e">
        <f ca="1">IFERROR(计算区域!AF1209,NA())</f>
        <v>#N/A</v>
      </c>
      <c r="J1207" t="e">
        <f ca="1">IFERROR(计算区域!AG1209,NA())</f>
        <v>#N/A</v>
      </c>
      <c r="L1207" t="e">
        <f ca="1">IFERROR(计算区域!L1209,NA())</f>
        <v>#N/A</v>
      </c>
      <c r="M1207" t="e">
        <f ca="1">IFERROR(计算区域!M1209,NA())</f>
        <v>#N/A</v>
      </c>
      <c r="N1207" t="e">
        <f ca="1">IFERROR(计算区域!N1209,NA())</f>
        <v>#N/A</v>
      </c>
      <c r="O1207" t="e">
        <f ca="1">IFERROR(计算区域!O1209,NA())</f>
        <v>#N/A</v>
      </c>
      <c r="Q1207" t="e">
        <f ca="1">IFERROR(计算区域!R1209,NA())</f>
        <v>#N/A</v>
      </c>
      <c r="R1207" t="e">
        <f ca="1">IFERROR(计算区域!S1209,NA())</f>
        <v>#N/A</v>
      </c>
      <c r="S1207" t="e">
        <f ca="1">IFERROR(计算区域!T1209,NA())</f>
        <v>#N/A</v>
      </c>
      <c r="T1207" t="e">
        <f ca="1">IFERROR(计算区域!U1209,NA())</f>
        <v>#N/A</v>
      </c>
      <c r="V1207" t="e">
        <f ca="1">IFERROR(计算区域!X1209,NA())</f>
        <v>#N/A</v>
      </c>
      <c r="W1207" t="e">
        <f ca="1">IFERROR(计算区域!Y1209,NA())</f>
        <v>#N/A</v>
      </c>
      <c r="X1207" t="e">
        <f ca="1">IFERROR(计算区域!Z1209,NA())</f>
        <v>#N/A</v>
      </c>
      <c r="Y1207" t="e">
        <f ca="1">IFERROR(计算区域!AA1209,NA())</f>
        <v>#N/A</v>
      </c>
    </row>
    <row r="1208" spans="1:25" x14ac:dyDescent="0.2">
      <c r="A1208" s="28">
        <f>计算区域!E1210</f>
        <v>0</v>
      </c>
      <c r="B1208" t="e">
        <f ca="1">IFERROR(计算区域!AJ1210,NA())</f>
        <v>#N/A</v>
      </c>
      <c r="C1208" t="e">
        <f ca="1">IFERROR(计算区域!AK1210,NA())</f>
        <v>#N/A</v>
      </c>
      <c r="D1208" t="e">
        <f ca="1">IFERROR(计算区域!AL1210,NA())</f>
        <v>#N/A</v>
      </c>
      <c r="E1208" t="e">
        <f ca="1">IFERROR(计算区域!AM1210,NA())</f>
        <v>#N/A</v>
      </c>
      <c r="G1208" t="e">
        <f ca="1">IFERROR(计算区域!AD1210,NA())</f>
        <v>#N/A</v>
      </c>
      <c r="H1208" t="e">
        <f ca="1">IFERROR(计算区域!AE1210,NA())</f>
        <v>#N/A</v>
      </c>
      <c r="I1208" t="e">
        <f ca="1">IFERROR(计算区域!AF1210,NA())</f>
        <v>#N/A</v>
      </c>
      <c r="J1208" t="e">
        <f ca="1">IFERROR(计算区域!AG1210,NA())</f>
        <v>#N/A</v>
      </c>
      <c r="L1208" t="e">
        <f ca="1">IFERROR(计算区域!L1210,NA())</f>
        <v>#N/A</v>
      </c>
      <c r="M1208" t="e">
        <f ca="1">IFERROR(计算区域!M1210,NA())</f>
        <v>#N/A</v>
      </c>
      <c r="N1208" t="e">
        <f ca="1">IFERROR(计算区域!N1210,NA())</f>
        <v>#N/A</v>
      </c>
      <c r="O1208" t="e">
        <f ca="1">IFERROR(计算区域!O1210,NA())</f>
        <v>#N/A</v>
      </c>
      <c r="Q1208" t="e">
        <f ca="1">IFERROR(计算区域!R1210,NA())</f>
        <v>#N/A</v>
      </c>
      <c r="R1208" t="e">
        <f ca="1">IFERROR(计算区域!S1210,NA())</f>
        <v>#N/A</v>
      </c>
      <c r="S1208" t="e">
        <f ca="1">IFERROR(计算区域!T1210,NA())</f>
        <v>#N/A</v>
      </c>
      <c r="T1208" t="e">
        <f ca="1">IFERROR(计算区域!U1210,NA())</f>
        <v>#N/A</v>
      </c>
      <c r="V1208" t="e">
        <f ca="1">IFERROR(计算区域!X1210,NA())</f>
        <v>#N/A</v>
      </c>
      <c r="W1208" t="e">
        <f ca="1">IFERROR(计算区域!Y1210,NA())</f>
        <v>#N/A</v>
      </c>
      <c r="X1208" t="e">
        <f ca="1">IFERROR(计算区域!Z1210,NA())</f>
        <v>#N/A</v>
      </c>
      <c r="Y1208" t="e">
        <f ca="1">IFERROR(计算区域!AA1210,NA())</f>
        <v>#N/A</v>
      </c>
    </row>
    <row r="1209" spans="1:25" x14ac:dyDescent="0.2">
      <c r="A1209" s="28">
        <f>计算区域!E1211</f>
        <v>0</v>
      </c>
      <c r="B1209" t="e">
        <f ca="1">IFERROR(计算区域!AJ1211,NA())</f>
        <v>#N/A</v>
      </c>
      <c r="C1209" t="e">
        <f ca="1">IFERROR(计算区域!AK1211,NA())</f>
        <v>#N/A</v>
      </c>
      <c r="D1209" t="e">
        <f ca="1">IFERROR(计算区域!AL1211,NA())</f>
        <v>#N/A</v>
      </c>
      <c r="E1209" t="e">
        <f ca="1">IFERROR(计算区域!AM1211,NA())</f>
        <v>#N/A</v>
      </c>
      <c r="G1209" t="e">
        <f ca="1">IFERROR(计算区域!AD1211,NA())</f>
        <v>#N/A</v>
      </c>
      <c r="H1209" t="e">
        <f ca="1">IFERROR(计算区域!AE1211,NA())</f>
        <v>#N/A</v>
      </c>
      <c r="I1209" t="e">
        <f ca="1">IFERROR(计算区域!AF1211,NA())</f>
        <v>#N/A</v>
      </c>
      <c r="J1209" t="e">
        <f ca="1">IFERROR(计算区域!AG1211,NA())</f>
        <v>#N/A</v>
      </c>
      <c r="L1209" t="e">
        <f ca="1">IFERROR(计算区域!L1211,NA())</f>
        <v>#N/A</v>
      </c>
      <c r="M1209" t="e">
        <f ca="1">IFERROR(计算区域!M1211,NA())</f>
        <v>#N/A</v>
      </c>
      <c r="N1209" t="e">
        <f ca="1">IFERROR(计算区域!N1211,NA())</f>
        <v>#N/A</v>
      </c>
      <c r="O1209" t="e">
        <f ca="1">IFERROR(计算区域!O1211,NA())</f>
        <v>#N/A</v>
      </c>
      <c r="Q1209" t="e">
        <f ca="1">IFERROR(计算区域!R1211,NA())</f>
        <v>#N/A</v>
      </c>
      <c r="R1209" t="e">
        <f ca="1">IFERROR(计算区域!S1211,NA())</f>
        <v>#N/A</v>
      </c>
      <c r="S1209" t="e">
        <f ca="1">IFERROR(计算区域!T1211,NA())</f>
        <v>#N/A</v>
      </c>
      <c r="T1209" t="e">
        <f ca="1">IFERROR(计算区域!U1211,NA())</f>
        <v>#N/A</v>
      </c>
      <c r="V1209" t="e">
        <f ca="1">IFERROR(计算区域!X1211,NA())</f>
        <v>#N/A</v>
      </c>
      <c r="W1209" t="e">
        <f ca="1">IFERROR(计算区域!Y1211,NA())</f>
        <v>#N/A</v>
      </c>
      <c r="X1209" t="e">
        <f ca="1">IFERROR(计算区域!Z1211,NA())</f>
        <v>#N/A</v>
      </c>
      <c r="Y1209" t="e">
        <f ca="1">IFERROR(计算区域!AA1211,NA())</f>
        <v>#N/A</v>
      </c>
    </row>
    <row r="1210" spans="1:25" x14ac:dyDescent="0.2">
      <c r="A1210" s="28">
        <f>计算区域!E1212</f>
        <v>0</v>
      </c>
      <c r="B1210" t="e">
        <f ca="1">IFERROR(计算区域!AJ1212,NA())</f>
        <v>#N/A</v>
      </c>
      <c r="C1210" t="e">
        <f ca="1">IFERROR(计算区域!AK1212,NA())</f>
        <v>#N/A</v>
      </c>
      <c r="D1210" t="e">
        <f ca="1">IFERROR(计算区域!AL1212,NA())</f>
        <v>#N/A</v>
      </c>
      <c r="E1210" t="e">
        <f ca="1">IFERROR(计算区域!AM1212,NA())</f>
        <v>#N/A</v>
      </c>
      <c r="G1210" t="e">
        <f ca="1">IFERROR(计算区域!AD1212,NA())</f>
        <v>#N/A</v>
      </c>
      <c r="H1210" t="e">
        <f ca="1">IFERROR(计算区域!AE1212,NA())</f>
        <v>#N/A</v>
      </c>
      <c r="I1210" t="e">
        <f ca="1">IFERROR(计算区域!AF1212,NA())</f>
        <v>#N/A</v>
      </c>
      <c r="J1210" t="e">
        <f ca="1">IFERROR(计算区域!AG1212,NA())</f>
        <v>#N/A</v>
      </c>
      <c r="L1210" t="e">
        <f ca="1">IFERROR(计算区域!L1212,NA())</f>
        <v>#N/A</v>
      </c>
      <c r="M1210" t="e">
        <f ca="1">IFERROR(计算区域!M1212,NA())</f>
        <v>#N/A</v>
      </c>
      <c r="N1210" t="e">
        <f ca="1">IFERROR(计算区域!N1212,NA())</f>
        <v>#N/A</v>
      </c>
      <c r="O1210" t="e">
        <f ca="1">IFERROR(计算区域!O1212,NA())</f>
        <v>#N/A</v>
      </c>
      <c r="Q1210" t="e">
        <f ca="1">IFERROR(计算区域!R1212,NA())</f>
        <v>#N/A</v>
      </c>
      <c r="R1210" t="e">
        <f ca="1">IFERROR(计算区域!S1212,NA())</f>
        <v>#N/A</v>
      </c>
      <c r="S1210" t="e">
        <f ca="1">IFERROR(计算区域!T1212,NA())</f>
        <v>#N/A</v>
      </c>
      <c r="T1210" t="e">
        <f ca="1">IFERROR(计算区域!U1212,NA())</f>
        <v>#N/A</v>
      </c>
      <c r="V1210" t="e">
        <f ca="1">IFERROR(计算区域!X1212,NA())</f>
        <v>#N/A</v>
      </c>
      <c r="W1210" t="e">
        <f ca="1">IFERROR(计算区域!Y1212,NA())</f>
        <v>#N/A</v>
      </c>
      <c r="X1210" t="e">
        <f ca="1">IFERROR(计算区域!Z1212,NA())</f>
        <v>#N/A</v>
      </c>
      <c r="Y1210" t="e">
        <f ca="1">IFERROR(计算区域!AA1212,NA())</f>
        <v>#N/A</v>
      </c>
    </row>
    <row r="1211" spans="1:25" x14ac:dyDescent="0.2">
      <c r="A1211" s="28">
        <f>计算区域!E1213</f>
        <v>0</v>
      </c>
      <c r="B1211" t="e">
        <f ca="1">IFERROR(计算区域!AJ1213,NA())</f>
        <v>#N/A</v>
      </c>
      <c r="C1211" t="e">
        <f ca="1">IFERROR(计算区域!AK1213,NA())</f>
        <v>#N/A</v>
      </c>
      <c r="D1211" t="e">
        <f ca="1">IFERROR(计算区域!AL1213,NA())</f>
        <v>#N/A</v>
      </c>
      <c r="E1211" t="e">
        <f ca="1">IFERROR(计算区域!AM1213,NA())</f>
        <v>#N/A</v>
      </c>
      <c r="G1211" t="e">
        <f ca="1">IFERROR(计算区域!AD1213,NA())</f>
        <v>#N/A</v>
      </c>
      <c r="H1211" t="e">
        <f ca="1">IFERROR(计算区域!AE1213,NA())</f>
        <v>#N/A</v>
      </c>
      <c r="I1211" t="e">
        <f ca="1">IFERROR(计算区域!AF1213,NA())</f>
        <v>#N/A</v>
      </c>
      <c r="J1211" t="e">
        <f ca="1">IFERROR(计算区域!AG1213,NA())</f>
        <v>#N/A</v>
      </c>
      <c r="L1211" t="e">
        <f ca="1">IFERROR(计算区域!L1213,NA())</f>
        <v>#N/A</v>
      </c>
      <c r="M1211" t="e">
        <f ca="1">IFERROR(计算区域!M1213,NA())</f>
        <v>#N/A</v>
      </c>
      <c r="N1211" t="e">
        <f ca="1">IFERROR(计算区域!N1213,NA())</f>
        <v>#N/A</v>
      </c>
      <c r="O1211" t="e">
        <f ca="1">IFERROR(计算区域!O1213,NA())</f>
        <v>#N/A</v>
      </c>
      <c r="Q1211" t="e">
        <f ca="1">IFERROR(计算区域!R1213,NA())</f>
        <v>#N/A</v>
      </c>
      <c r="R1211" t="e">
        <f ca="1">IFERROR(计算区域!S1213,NA())</f>
        <v>#N/A</v>
      </c>
      <c r="S1211" t="e">
        <f ca="1">IFERROR(计算区域!T1213,NA())</f>
        <v>#N/A</v>
      </c>
      <c r="T1211" t="e">
        <f ca="1">IFERROR(计算区域!U1213,NA())</f>
        <v>#N/A</v>
      </c>
      <c r="V1211" t="e">
        <f ca="1">IFERROR(计算区域!X1213,NA())</f>
        <v>#N/A</v>
      </c>
      <c r="W1211" t="e">
        <f ca="1">IFERROR(计算区域!Y1213,NA())</f>
        <v>#N/A</v>
      </c>
      <c r="X1211" t="e">
        <f ca="1">IFERROR(计算区域!Z1213,NA())</f>
        <v>#N/A</v>
      </c>
      <c r="Y1211" t="e">
        <f ca="1">IFERROR(计算区域!AA1213,NA())</f>
        <v>#N/A</v>
      </c>
    </row>
    <row r="1212" spans="1:25" x14ac:dyDescent="0.2">
      <c r="A1212" s="28">
        <f>计算区域!E1214</f>
        <v>0</v>
      </c>
      <c r="B1212" t="e">
        <f ca="1">IFERROR(计算区域!AJ1214,NA())</f>
        <v>#N/A</v>
      </c>
      <c r="C1212" t="e">
        <f ca="1">IFERROR(计算区域!AK1214,NA())</f>
        <v>#N/A</v>
      </c>
      <c r="D1212" t="e">
        <f ca="1">IFERROR(计算区域!AL1214,NA())</f>
        <v>#N/A</v>
      </c>
      <c r="E1212" t="e">
        <f ca="1">IFERROR(计算区域!AM1214,NA())</f>
        <v>#N/A</v>
      </c>
      <c r="G1212" t="e">
        <f ca="1">IFERROR(计算区域!AD1214,NA())</f>
        <v>#N/A</v>
      </c>
      <c r="H1212" t="e">
        <f ca="1">IFERROR(计算区域!AE1214,NA())</f>
        <v>#N/A</v>
      </c>
      <c r="I1212" t="e">
        <f ca="1">IFERROR(计算区域!AF1214,NA())</f>
        <v>#N/A</v>
      </c>
      <c r="J1212" t="e">
        <f ca="1">IFERROR(计算区域!AG1214,NA())</f>
        <v>#N/A</v>
      </c>
      <c r="L1212" t="e">
        <f ca="1">IFERROR(计算区域!L1214,NA())</f>
        <v>#N/A</v>
      </c>
      <c r="M1212" t="e">
        <f ca="1">IFERROR(计算区域!M1214,NA())</f>
        <v>#N/A</v>
      </c>
      <c r="N1212" t="e">
        <f ca="1">IFERROR(计算区域!N1214,NA())</f>
        <v>#N/A</v>
      </c>
      <c r="O1212" t="e">
        <f ca="1">IFERROR(计算区域!O1214,NA())</f>
        <v>#N/A</v>
      </c>
      <c r="Q1212" t="e">
        <f ca="1">IFERROR(计算区域!R1214,NA())</f>
        <v>#N/A</v>
      </c>
      <c r="R1212" t="e">
        <f ca="1">IFERROR(计算区域!S1214,NA())</f>
        <v>#N/A</v>
      </c>
      <c r="S1212" t="e">
        <f ca="1">IFERROR(计算区域!T1214,NA())</f>
        <v>#N/A</v>
      </c>
      <c r="T1212" t="e">
        <f ca="1">IFERROR(计算区域!U1214,NA())</f>
        <v>#N/A</v>
      </c>
      <c r="V1212" t="e">
        <f ca="1">IFERROR(计算区域!X1214,NA())</f>
        <v>#N/A</v>
      </c>
      <c r="W1212" t="e">
        <f ca="1">IFERROR(计算区域!Y1214,NA())</f>
        <v>#N/A</v>
      </c>
      <c r="X1212" t="e">
        <f ca="1">IFERROR(计算区域!Z1214,NA())</f>
        <v>#N/A</v>
      </c>
      <c r="Y1212" t="e">
        <f ca="1">IFERROR(计算区域!AA1214,NA())</f>
        <v>#N/A</v>
      </c>
    </row>
    <row r="1213" spans="1:25" x14ac:dyDescent="0.2">
      <c r="A1213" s="28">
        <f>计算区域!E1215</f>
        <v>0</v>
      </c>
      <c r="B1213" t="e">
        <f ca="1">IFERROR(计算区域!AJ1215,NA())</f>
        <v>#N/A</v>
      </c>
      <c r="C1213" t="e">
        <f ca="1">IFERROR(计算区域!AK1215,NA())</f>
        <v>#N/A</v>
      </c>
      <c r="D1213" t="e">
        <f ca="1">IFERROR(计算区域!AL1215,NA())</f>
        <v>#N/A</v>
      </c>
      <c r="E1213" t="e">
        <f ca="1">IFERROR(计算区域!AM1215,NA())</f>
        <v>#N/A</v>
      </c>
      <c r="G1213" t="e">
        <f ca="1">IFERROR(计算区域!AD1215,NA())</f>
        <v>#N/A</v>
      </c>
      <c r="H1213" t="e">
        <f ca="1">IFERROR(计算区域!AE1215,NA())</f>
        <v>#N/A</v>
      </c>
      <c r="I1213" t="e">
        <f ca="1">IFERROR(计算区域!AF1215,NA())</f>
        <v>#N/A</v>
      </c>
      <c r="J1213" t="e">
        <f ca="1">IFERROR(计算区域!AG1215,NA())</f>
        <v>#N/A</v>
      </c>
      <c r="L1213" t="e">
        <f ca="1">IFERROR(计算区域!L1215,NA())</f>
        <v>#N/A</v>
      </c>
      <c r="M1213" t="e">
        <f ca="1">IFERROR(计算区域!M1215,NA())</f>
        <v>#N/A</v>
      </c>
      <c r="N1213" t="e">
        <f ca="1">IFERROR(计算区域!N1215,NA())</f>
        <v>#N/A</v>
      </c>
      <c r="O1213" t="e">
        <f ca="1">IFERROR(计算区域!O1215,NA())</f>
        <v>#N/A</v>
      </c>
      <c r="Q1213" t="e">
        <f ca="1">IFERROR(计算区域!R1215,NA())</f>
        <v>#N/A</v>
      </c>
      <c r="R1213" t="e">
        <f ca="1">IFERROR(计算区域!S1215,NA())</f>
        <v>#N/A</v>
      </c>
      <c r="S1213" t="e">
        <f ca="1">IFERROR(计算区域!T1215,NA())</f>
        <v>#N/A</v>
      </c>
      <c r="T1213" t="e">
        <f ca="1">IFERROR(计算区域!U1215,NA())</f>
        <v>#N/A</v>
      </c>
      <c r="V1213" t="e">
        <f ca="1">IFERROR(计算区域!X1215,NA())</f>
        <v>#N/A</v>
      </c>
      <c r="W1213" t="e">
        <f ca="1">IFERROR(计算区域!Y1215,NA())</f>
        <v>#N/A</v>
      </c>
      <c r="X1213" t="e">
        <f ca="1">IFERROR(计算区域!Z1215,NA())</f>
        <v>#N/A</v>
      </c>
      <c r="Y1213" t="e">
        <f ca="1">IFERROR(计算区域!AA1215,NA())</f>
        <v>#N/A</v>
      </c>
    </row>
    <row r="1214" spans="1:25" x14ac:dyDescent="0.2">
      <c r="A1214" s="28">
        <f>计算区域!E1216</f>
        <v>0</v>
      </c>
      <c r="B1214" t="e">
        <f ca="1">IFERROR(计算区域!AJ1216,NA())</f>
        <v>#N/A</v>
      </c>
      <c r="C1214" t="e">
        <f ca="1">IFERROR(计算区域!AK1216,NA())</f>
        <v>#N/A</v>
      </c>
      <c r="D1214" t="e">
        <f ca="1">IFERROR(计算区域!AL1216,NA())</f>
        <v>#N/A</v>
      </c>
      <c r="E1214" t="e">
        <f ca="1">IFERROR(计算区域!AM1216,NA())</f>
        <v>#N/A</v>
      </c>
      <c r="G1214" t="e">
        <f ca="1">IFERROR(计算区域!AD1216,NA())</f>
        <v>#N/A</v>
      </c>
      <c r="H1214" t="e">
        <f ca="1">IFERROR(计算区域!AE1216,NA())</f>
        <v>#N/A</v>
      </c>
      <c r="I1214" t="e">
        <f ca="1">IFERROR(计算区域!AF1216,NA())</f>
        <v>#N/A</v>
      </c>
      <c r="J1214" t="e">
        <f ca="1">IFERROR(计算区域!AG1216,NA())</f>
        <v>#N/A</v>
      </c>
      <c r="L1214" t="e">
        <f ca="1">IFERROR(计算区域!L1216,NA())</f>
        <v>#N/A</v>
      </c>
      <c r="M1214" t="e">
        <f ca="1">IFERROR(计算区域!M1216,NA())</f>
        <v>#N/A</v>
      </c>
      <c r="N1214" t="e">
        <f ca="1">IFERROR(计算区域!N1216,NA())</f>
        <v>#N/A</v>
      </c>
      <c r="O1214" t="e">
        <f ca="1">IFERROR(计算区域!O1216,NA())</f>
        <v>#N/A</v>
      </c>
      <c r="Q1214" t="e">
        <f ca="1">IFERROR(计算区域!R1216,NA())</f>
        <v>#N/A</v>
      </c>
      <c r="R1214" t="e">
        <f ca="1">IFERROR(计算区域!S1216,NA())</f>
        <v>#N/A</v>
      </c>
      <c r="S1214" t="e">
        <f ca="1">IFERROR(计算区域!T1216,NA())</f>
        <v>#N/A</v>
      </c>
      <c r="T1214" t="e">
        <f ca="1">IFERROR(计算区域!U1216,NA())</f>
        <v>#N/A</v>
      </c>
      <c r="V1214" t="e">
        <f ca="1">IFERROR(计算区域!X1216,NA())</f>
        <v>#N/A</v>
      </c>
      <c r="W1214" t="e">
        <f ca="1">IFERROR(计算区域!Y1216,NA())</f>
        <v>#N/A</v>
      </c>
      <c r="X1214" t="e">
        <f ca="1">IFERROR(计算区域!Z1216,NA())</f>
        <v>#N/A</v>
      </c>
      <c r="Y1214" t="e">
        <f ca="1">IFERROR(计算区域!AA1216,NA())</f>
        <v>#N/A</v>
      </c>
    </row>
    <row r="1215" spans="1:25" x14ac:dyDescent="0.2">
      <c r="A1215" s="28">
        <f>计算区域!E1217</f>
        <v>0</v>
      </c>
      <c r="B1215" t="e">
        <f ca="1">IFERROR(计算区域!AJ1217,NA())</f>
        <v>#N/A</v>
      </c>
      <c r="C1215" t="e">
        <f ca="1">IFERROR(计算区域!AK1217,NA())</f>
        <v>#N/A</v>
      </c>
      <c r="D1215" t="e">
        <f ca="1">IFERROR(计算区域!AL1217,NA())</f>
        <v>#N/A</v>
      </c>
      <c r="E1215" t="e">
        <f ca="1">IFERROR(计算区域!AM1217,NA())</f>
        <v>#N/A</v>
      </c>
      <c r="G1215" t="e">
        <f ca="1">IFERROR(计算区域!AD1217,NA())</f>
        <v>#N/A</v>
      </c>
      <c r="H1215" t="e">
        <f ca="1">IFERROR(计算区域!AE1217,NA())</f>
        <v>#N/A</v>
      </c>
      <c r="I1215" t="e">
        <f ca="1">IFERROR(计算区域!AF1217,NA())</f>
        <v>#N/A</v>
      </c>
      <c r="J1215" t="e">
        <f ca="1">IFERROR(计算区域!AG1217,NA())</f>
        <v>#N/A</v>
      </c>
      <c r="L1215" t="e">
        <f ca="1">IFERROR(计算区域!L1217,NA())</f>
        <v>#N/A</v>
      </c>
      <c r="M1215" t="e">
        <f ca="1">IFERROR(计算区域!M1217,NA())</f>
        <v>#N/A</v>
      </c>
      <c r="N1215" t="e">
        <f ca="1">IFERROR(计算区域!N1217,NA())</f>
        <v>#N/A</v>
      </c>
      <c r="O1215" t="e">
        <f ca="1">IFERROR(计算区域!O1217,NA())</f>
        <v>#N/A</v>
      </c>
      <c r="Q1215" t="e">
        <f ca="1">IFERROR(计算区域!R1217,NA())</f>
        <v>#N/A</v>
      </c>
      <c r="R1215" t="e">
        <f ca="1">IFERROR(计算区域!S1217,NA())</f>
        <v>#N/A</v>
      </c>
      <c r="S1215" t="e">
        <f ca="1">IFERROR(计算区域!T1217,NA())</f>
        <v>#N/A</v>
      </c>
      <c r="T1215" t="e">
        <f ca="1">IFERROR(计算区域!U1217,NA())</f>
        <v>#N/A</v>
      </c>
      <c r="V1215" t="e">
        <f ca="1">IFERROR(计算区域!X1217,NA())</f>
        <v>#N/A</v>
      </c>
      <c r="W1215" t="e">
        <f ca="1">IFERROR(计算区域!Y1217,NA())</f>
        <v>#N/A</v>
      </c>
      <c r="X1215" t="e">
        <f ca="1">IFERROR(计算区域!Z1217,NA())</f>
        <v>#N/A</v>
      </c>
      <c r="Y1215" t="e">
        <f ca="1">IFERROR(计算区域!AA1217,NA())</f>
        <v>#N/A</v>
      </c>
    </row>
    <row r="1216" spans="1:25" x14ac:dyDescent="0.2">
      <c r="A1216" s="28">
        <f>计算区域!E1218</f>
        <v>0</v>
      </c>
      <c r="B1216" t="e">
        <f ca="1">IFERROR(计算区域!AJ1218,NA())</f>
        <v>#N/A</v>
      </c>
      <c r="C1216" t="e">
        <f ca="1">IFERROR(计算区域!AK1218,NA())</f>
        <v>#N/A</v>
      </c>
      <c r="D1216" t="e">
        <f ca="1">IFERROR(计算区域!AL1218,NA())</f>
        <v>#N/A</v>
      </c>
      <c r="E1216" t="e">
        <f ca="1">IFERROR(计算区域!AM1218,NA())</f>
        <v>#N/A</v>
      </c>
      <c r="G1216" t="e">
        <f ca="1">IFERROR(计算区域!AD1218,NA())</f>
        <v>#N/A</v>
      </c>
      <c r="H1216" t="e">
        <f ca="1">IFERROR(计算区域!AE1218,NA())</f>
        <v>#N/A</v>
      </c>
      <c r="I1216" t="e">
        <f ca="1">IFERROR(计算区域!AF1218,NA())</f>
        <v>#N/A</v>
      </c>
      <c r="J1216" t="e">
        <f ca="1">IFERROR(计算区域!AG1218,NA())</f>
        <v>#N/A</v>
      </c>
      <c r="L1216" t="e">
        <f ca="1">IFERROR(计算区域!L1218,NA())</f>
        <v>#N/A</v>
      </c>
      <c r="M1216" t="e">
        <f ca="1">IFERROR(计算区域!M1218,NA())</f>
        <v>#N/A</v>
      </c>
      <c r="N1216" t="e">
        <f ca="1">IFERROR(计算区域!N1218,NA())</f>
        <v>#N/A</v>
      </c>
      <c r="O1216" t="e">
        <f ca="1">IFERROR(计算区域!O1218,NA())</f>
        <v>#N/A</v>
      </c>
      <c r="Q1216" t="e">
        <f ca="1">IFERROR(计算区域!R1218,NA())</f>
        <v>#N/A</v>
      </c>
      <c r="R1216" t="e">
        <f ca="1">IFERROR(计算区域!S1218,NA())</f>
        <v>#N/A</v>
      </c>
      <c r="S1216" t="e">
        <f ca="1">IFERROR(计算区域!T1218,NA())</f>
        <v>#N/A</v>
      </c>
      <c r="T1216" t="e">
        <f ca="1">IFERROR(计算区域!U1218,NA())</f>
        <v>#N/A</v>
      </c>
      <c r="V1216" t="e">
        <f ca="1">IFERROR(计算区域!X1218,NA())</f>
        <v>#N/A</v>
      </c>
      <c r="W1216" t="e">
        <f ca="1">IFERROR(计算区域!Y1218,NA())</f>
        <v>#N/A</v>
      </c>
      <c r="X1216" t="e">
        <f ca="1">IFERROR(计算区域!Z1218,NA())</f>
        <v>#N/A</v>
      </c>
      <c r="Y1216" t="e">
        <f ca="1">IFERROR(计算区域!AA1218,NA())</f>
        <v>#N/A</v>
      </c>
    </row>
    <row r="1217" spans="1:25" x14ac:dyDescent="0.2">
      <c r="A1217" s="28">
        <f>计算区域!E1219</f>
        <v>0</v>
      </c>
      <c r="B1217" t="e">
        <f ca="1">IFERROR(计算区域!AJ1219,NA())</f>
        <v>#N/A</v>
      </c>
      <c r="C1217" t="e">
        <f ca="1">IFERROR(计算区域!AK1219,NA())</f>
        <v>#N/A</v>
      </c>
      <c r="D1217" t="e">
        <f ca="1">IFERROR(计算区域!AL1219,NA())</f>
        <v>#N/A</v>
      </c>
      <c r="E1217" t="e">
        <f ca="1">IFERROR(计算区域!AM1219,NA())</f>
        <v>#N/A</v>
      </c>
      <c r="G1217" t="e">
        <f ca="1">IFERROR(计算区域!AD1219,NA())</f>
        <v>#N/A</v>
      </c>
      <c r="H1217" t="e">
        <f ca="1">IFERROR(计算区域!AE1219,NA())</f>
        <v>#N/A</v>
      </c>
      <c r="I1217" t="e">
        <f ca="1">IFERROR(计算区域!AF1219,NA())</f>
        <v>#N/A</v>
      </c>
      <c r="J1217" t="e">
        <f ca="1">IFERROR(计算区域!AG1219,NA())</f>
        <v>#N/A</v>
      </c>
      <c r="L1217" t="e">
        <f ca="1">IFERROR(计算区域!L1219,NA())</f>
        <v>#N/A</v>
      </c>
      <c r="M1217" t="e">
        <f ca="1">IFERROR(计算区域!M1219,NA())</f>
        <v>#N/A</v>
      </c>
      <c r="N1217" t="e">
        <f ca="1">IFERROR(计算区域!N1219,NA())</f>
        <v>#N/A</v>
      </c>
      <c r="O1217" t="e">
        <f ca="1">IFERROR(计算区域!O1219,NA())</f>
        <v>#N/A</v>
      </c>
      <c r="Q1217" t="e">
        <f ca="1">IFERROR(计算区域!R1219,NA())</f>
        <v>#N/A</v>
      </c>
      <c r="R1217" t="e">
        <f ca="1">IFERROR(计算区域!S1219,NA())</f>
        <v>#N/A</v>
      </c>
      <c r="S1217" t="e">
        <f ca="1">IFERROR(计算区域!T1219,NA())</f>
        <v>#N/A</v>
      </c>
      <c r="T1217" t="e">
        <f ca="1">IFERROR(计算区域!U1219,NA())</f>
        <v>#N/A</v>
      </c>
      <c r="V1217" t="e">
        <f ca="1">IFERROR(计算区域!X1219,NA())</f>
        <v>#N/A</v>
      </c>
      <c r="W1217" t="e">
        <f ca="1">IFERROR(计算区域!Y1219,NA())</f>
        <v>#N/A</v>
      </c>
      <c r="X1217" t="e">
        <f ca="1">IFERROR(计算区域!Z1219,NA())</f>
        <v>#N/A</v>
      </c>
      <c r="Y1217" t="e">
        <f ca="1">IFERROR(计算区域!AA1219,NA())</f>
        <v>#N/A</v>
      </c>
    </row>
    <row r="1218" spans="1:25" x14ac:dyDescent="0.2">
      <c r="A1218" s="28">
        <f>计算区域!E1220</f>
        <v>0</v>
      </c>
      <c r="B1218" t="e">
        <f ca="1">IFERROR(计算区域!AJ1220,NA())</f>
        <v>#N/A</v>
      </c>
      <c r="C1218" t="e">
        <f ca="1">IFERROR(计算区域!AK1220,NA())</f>
        <v>#N/A</v>
      </c>
      <c r="D1218" t="e">
        <f ca="1">IFERROR(计算区域!AL1220,NA())</f>
        <v>#N/A</v>
      </c>
      <c r="E1218" t="e">
        <f ca="1">IFERROR(计算区域!AM1220,NA())</f>
        <v>#N/A</v>
      </c>
      <c r="G1218" t="e">
        <f ca="1">IFERROR(计算区域!AD1220,NA())</f>
        <v>#N/A</v>
      </c>
      <c r="H1218" t="e">
        <f ca="1">IFERROR(计算区域!AE1220,NA())</f>
        <v>#N/A</v>
      </c>
      <c r="I1218" t="e">
        <f ca="1">IFERROR(计算区域!AF1220,NA())</f>
        <v>#N/A</v>
      </c>
      <c r="J1218" t="e">
        <f ca="1">IFERROR(计算区域!AG1220,NA())</f>
        <v>#N/A</v>
      </c>
      <c r="L1218" t="e">
        <f ca="1">IFERROR(计算区域!L1220,NA())</f>
        <v>#N/A</v>
      </c>
      <c r="M1218" t="e">
        <f ca="1">IFERROR(计算区域!M1220,NA())</f>
        <v>#N/A</v>
      </c>
      <c r="N1218" t="e">
        <f ca="1">IFERROR(计算区域!N1220,NA())</f>
        <v>#N/A</v>
      </c>
      <c r="O1218" t="e">
        <f ca="1">IFERROR(计算区域!O1220,NA())</f>
        <v>#N/A</v>
      </c>
      <c r="Q1218" t="e">
        <f ca="1">IFERROR(计算区域!R1220,NA())</f>
        <v>#N/A</v>
      </c>
      <c r="R1218" t="e">
        <f ca="1">IFERROR(计算区域!S1220,NA())</f>
        <v>#N/A</v>
      </c>
      <c r="S1218" t="e">
        <f ca="1">IFERROR(计算区域!T1220,NA())</f>
        <v>#N/A</v>
      </c>
      <c r="T1218" t="e">
        <f ca="1">IFERROR(计算区域!U1220,NA())</f>
        <v>#N/A</v>
      </c>
      <c r="V1218" t="e">
        <f ca="1">IFERROR(计算区域!X1220,NA())</f>
        <v>#N/A</v>
      </c>
      <c r="W1218" t="e">
        <f ca="1">IFERROR(计算区域!Y1220,NA())</f>
        <v>#N/A</v>
      </c>
      <c r="X1218" t="e">
        <f ca="1">IFERROR(计算区域!Z1220,NA())</f>
        <v>#N/A</v>
      </c>
      <c r="Y1218" t="e">
        <f ca="1">IFERROR(计算区域!AA1220,NA())</f>
        <v>#N/A</v>
      </c>
    </row>
    <row r="1219" spans="1:25" x14ac:dyDescent="0.2">
      <c r="A1219" s="28">
        <f>计算区域!E1221</f>
        <v>0</v>
      </c>
      <c r="B1219" t="e">
        <f ca="1">IFERROR(计算区域!AJ1221,NA())</f>
        <v>#N/A</v>
      </c>
      <c r="C1219" t="e">
        <f ca="1">IFERROR(计算区域!AK1221,NA())</f>
        <v>#N/A</v>
      </c>
      <c r="D1219" t="e">
        <f ca="1">IFERROR(计算区域!AL1221,NA())</f>
        <v>#N/A</v>
      </c>
      <c r="E1219" t="e">
        <f ca="1">IFERROR(计算区域!AM1221,NA())</f>
        <v>#N/A</v>
      </c>
      <c r="G1219" t="e">
        <f ca="1">IFERROR(计算区域!AD1221,NA())</f>
        <v>#N/A</v>
      </c>
      <c r="H1219" t="e">
        <f ca="1">IFERROR(计算区域!AE1221,NA())</f>
        <v>#N/A</v>
      </c>
      <c r="I1219" t="e">
        <f ca="1">IFERROR(计算区域!AF1221,NA())</f>
        <v>#N/A</v>
      </c>
      <c r="J1219" t="e">
        <f ca="1">IFERROR(计算区域!AG1221,NA())</f>
        <v>#N/A</v>
      </c>
      <c r="L1219" t="e">
        <f ca="1">IFERROR(计算区域!L1221,NA())</f>
        <v>#N/A</v>
      </c>
      <c r="M1219" t="e">
        <f ca="1">IFERROR(计算区域!M1221,NA())</f>
        <v>#N/A</v>
      </c>
      <c r="N1219" t="e">
        <f ca="1">IFERROR(计算区域!N1221,NA())</f>
        <v>#N/A</v>
      </c>
      <c r="O1219" t="e">
        <f ca="1">IFERROR(计算区域!O1221,NA())</f>
        <v>#N/A</v>
      </c>
      <c r="Q1219" t="e">
        <f ca="1">IFERROR(计算区域!R1221,NA())</f>
        <v>#N/A</v>
      </c>
      <c r="R1219" t="e">
        <f ca="1">IFERROR(计算区域!S1221,NA())</f>
        <v>#N/A</v>
      </c>
      <c r="S1219" t="e">
        <f ca="1">IFERROR(计算区域!T1221,NA())</f>
        <v>#N/A</v>
      </c>
      <c r="T1219" t="e">
        <f ca="1">IFERROR(计算区域!U1221,NA())</f>
        <v>#N/A</v>
      </c>
      <c r="V1219" t="e">
        <f ca="1">IFERROR(计算区域!X1221,NA())</f>
        <v>#N/A</v>
      </c>
      <c r="W1219" t="e">
        <f ca="1">IFERROR(计算区域!Y1221,NA())</f>
        <v>#N/A</v>
      </c>
      <c r="X1219" t="e">
        <f ca="1">IFERROR(计算区域!Z1221,NA())</f>
        <v>#N/A</v>
      </c>
      <c r="Y1219" t="e">
        <f ca="1">IFERROR(计算区域!AA1221,NA())</f>
        <v>#N/A</v>
      </c>
    </row>
    <row r="1220" spans="1:25" x14ac:dyDescent="0.2">
      <c r="A1220" s="28">
        <f>计算区域!E1222</f>
        <v>0</v>
      </c>
      <c r="B1220" t="e">
        <f ca="1">IFERROR(计算区域!AJ1222,NA())</f>
        <v>#N/A</v>
      </c>
      <c r="C1220" t="e">
        <f ca="1">IFERROR(计算区域!AK1222,NA())</f>
        <v>#N/A</v>
      </c>
      <c r="D1220" t="e">
        <f ca="1">IFERROR(计算区域!AL1222,NA())</f>
        <v>#N/A</v>
      </c>
      <c r="E1220" t="e">
        <f ca="1">IFERROR(计算区域!AM1222,NA())</f>
        <v>#N/A</v>
      </c>
      <c r="G1220" t="e">
        <f ca="1">IFERROR(计算区域!AD1222,NA())</f>
        <v>#N/A</v>
      </c>
      <c r="H1220" t="e">
        <f ca="1">IFERROR(计算区域!AE1222,NA())</f>
        <v>#N/A</v>
      </c>
      <c r="I1220" t="e">
        <f ca="1">IFERROR(计算区域!AF1222,NA())</f>
        <v>#N/A</v>
      </c>
      <c r="J1220" t="e">
        <f ca="1">IFERROR(计算区域!AG1222,NA())</f>
        <v>#N/A</v>
      </c>
      <c r="L1220" t="e">
        <f ca="1">IFERROR(计算区域!L1222,NA())</f>
        <v>#N/A</v>
      </c>
      <c r="M1220" t="e">
        <f ca="1">IFERROR(计算区域!M1222,NA())</f>
        <v>#N/A</v>
      </c>
      <c r="N1220" t="e">
        <f ca="1">IFERROR(计算区域!N1222,NA())</f>
        <v>#N/A</v>
      </c>
      <c r="O1220" t="e">
        <f ca="1">IFERROR(计算区域!O1222,NA())</f>
        <v>#N/A</v>
      </c>
      <c r="Q1220" t="e">
        <f ca="1">IFERROR(计算区域!R1222,NA())</f>
        <v>#N/A</v>
      </c>
      <c r="R1220" t="e">
        <f ca="1">IFERROR(计算区域!S1222,NA())</f>
        <v>#N/A</v>
      </c>
      <c r="S1220" t="e">
        <f ca="1">IFERROR(计算区域!T1222,NA())</f>
        <v>#N/A</v>
      </c>
      <c r="T1220" t="e">
        <f ca="1">IFERROR(计算区域!U1222,NA())</f>
        <v>#N/A</v>
      </c>
      <c r="V1220" t="e">
        <f ca="1">IFERROR(计算区域!X1222,NA())</f>
        <v>#N/A</v>
      </c>
      <c r="W1220" t="e">
        <f ca="1">IFERROR(计算区域!Y1222,NA())</f>
        <v>#N/A</v>
      </c>
      <c r="X1220" t="e">
        <f ca="1">IFERROR(计算区域!Z1222,NA())</f>
        <v>#N/A</v>
      </c>
      <c r="Y1220" t="e">
        <f ca="1">IFERROR(计算区域!AA1222,NA())</f>
        <v>#N/A</v>
      </c>
    </row>
    <row r="1221" spans="1:25" x14ac:dyDescent="0.2">
      <c r="A1221" s="28">
        <f>计算区域!E1223</f>
        <v>0</v>
      </c>
      <c r="B1221" t="e">
        <f ca="1">IFERROR(计算区域!AJ1223,NA())</f>
        <v>#N/A</v>
      </c>
      <c r="C1221" t="e">
        <f ca="1">IFERROR(计算区域!AK1223,NA())</f>
        <v>#N/A</v>
      </c>
      <c r="D1221" t="e">
        <f ca="1">IFERROR(计算区域!AL1223,NA())</f>
        <v>#N/A</v>
      </c>
      <c r="E1221" t="e">
        <f ca="1">IFERROR(计算区域!AM1223,NA())</f>
        <v>#N/A</v>
      </c>
      <c r="G1221" t="e">
        <f ca="1">IFERROR(计算区域!AD1223,NA())</f>
        <v>#N/A</v>
      </c>
      <c r="H1221" t="e">
        <f ca="1">IFERROR(计算区域!AE1223,NA())</f>
        <v>#N/A</v>
      </c>
      <c r="I1221" t="e">
        <f ca="1">IFERROR(计算区域!AF1223,NA())</f>
        <v>#N/A</v>
      </c>
      <c r="J1221" t="e">
        <f ca="1">IFERROR(计算区域!AG1223,NA())</f>
        <v>#N/A</v>
      </c>
      <c r="L1221" t="e">
        <f ca="1">IFERROR(计算区域!L1223,NA())</f>
        <v>#N/A</v>
      </c>
      <c r="M1221" t="e">
        <f ca="1">IFERROR(计算区域!M1223,NA())</f>
        <v>#N/A</v>
      </c>
      <c r="N1221" t="e">
        <f ca="1">IFERROR(计算区域!N1223,NA())</f>
        <v>#N/A</v>
      </c>
      <c r="O1221" t="e">
        <f ca="1">IFERROR(计算区域!O1223,NA())</f>
        <v>#N/A</v>
      </c>
      <c r="Q1221" t="e">
        <f ca="1">IFERROR(计算区域!R1223,NA())</f>
        <v>#N/A</v>
      </c>
      <c r="R1221" t="e">
        <f ca="1">IFERROR(计算区域!S1223,NA())</f>
        <v>#N/A</v>
      </c>
      <c r="S1221" t="e">
        <f ca="1">IFERROR(计算区域!T1223,NA())</f>
        <v>#N/A</v>
      </c>
      <c r="T1221" t="e">
        <f ca="1">IFERROR(计算区域!U1223,NA())</f>
        <v>#N/A</v>
      </c>
      <c r="V1221" t="e">
        <f ca="1">IFERROR(计算区域!X1223,NA())</f>
        <v>#N/A</v>
      </c>
      <c r="W1221" t="e">
        <f ca="1">IFERROR(计算区域!Y1223,NA())</f>
        <v>#N/A</v>
      </c>
      <c r="X1221" t="e">
        <f ca="1">IFERROR(计算区域!Z1223,NA())</f>
        <v>#N/A</v>
      </c>
      <c r="Y1221" t="e">
        <f ca="1">IFERROR(计算区域!AA1223,NA())</f>
        <v>#N/A</v>
      </c>
    </row>
    <row r="1222" spans="1:25" x14ac:dyDescent="0.2">
      <c r="A1222" s="28">
        <f>计算区域!E1224</f>
        <v>0</v>
      </c>
      <c r="B1222" t="e">
        <f ca="1">IFERROR(计算区域!AJ1224,NA())</f>
        <v>#N/A</v>
      </c>
      <c r="C1222" t="e">
        <f ca="1">IFERROR(计算区域!AK1224,NA())</f>
        <v>#N/A</v>
      </c>
      <c r="D1222" t="e">
        <f ca="1">IFERROR(计算区域!AL1224,NA())</f>
        <v>#N/A</v>
      </c>
      <c r="E1222" t="e">
        <f ca="1">IFERROR(计算区域!AM1224,NA())</f>
        <v>#N/A</v>
      </c>
      <c r="G1222" t="e">
        <f ca="1">IFERROR(计算区域!AD1224,NA())</f>
        <v>#N/A</v>
      </c>
      <c r="H1222" t="e">
        <f ca="1">IFERROR(计算区域!AE1224,NA())</f>
        <v>#N/A</v>
      </c>
      <c r="I1222" t="e">
        <f ca="1">IFERROR(计算区域!AF1224,NA())</f>
        <v>#N/A</v>
      </c>
      <c r="J1222" t="e">
        <f ca="1">IFERROR(计算区域!AG1224,NA())</f>
        <v>#N/A</v>
      </c>
      <c r="L1222" t="e">
        <f ca="1">IFERROR(计算区域!L1224,NA())</f>
        <v>#N/A</v>
      </c>
      <c r="M1222" t="e">
        <f ca="1">IFERROR(计算区域!M1224,NA())</f>
        <v>#N/A</v>
      </c>
      <c r="N1222" t="e">
        <f ca="1">IFERROR(计算区域!N1224,NA())</f>
        <v>#N/A</v>
      </c>
      <c r="O1222" t="e">
        <f ca="1">IFERROR(计算区域!O1224,NA())</f>
        <v>#N/A</v>
      </c>
      <c r="Q1222" t="e">
        <f ca="1">IFERROR(计算区域!R1224,NA())</f>
        <v>#N/A</v>
      </c>
      <c r="R1222" t="e">
        <f ca="1">IFERROR(计算区域!S1224,NA())</f>
        <v>#N/A</v>
      </c>
      <c r="S1222" t="e">
        <f ca="1">IFERROR(计算区域!T1224,NA())</f>
        <v>#N/A</v>
      </c>
      <c r="T1222" t="e">
        <f ca="1">IFERROR(计算区域!U1224,NA())</f>
        <v>#N/A</v>
      </c>
      <c r="V1222" t="e">
        <f ca="1">IFERROR(计算区域!X1224,NA())</f>
        <v>#N/A</v>
      </c>
      <c r="W1222" t="e">
        <f ca="1">IFERROR(计算区域!Y1224,NA())</f>
        <v>#N/A</v>
      </c>
      <c r="X1222" t="e">
        <f ca="1">IFERROR(计算区域!Z1224,NA())</f>
        <v>#N/A</v>
      </c>
      <c r="Y1222" t="e">
        <f ca="1">IFERROR(计算区域!AA1224,NA())</f>
        <v>#N/A</v>
      </c>
    </row>
    <row r="1223" spans="1:25" x14ac:dyDescent="0.2">
      <c r="A1223" s="28">
        <f>计算区域!E1225</f>
        <v>0</v>
      </c>
      <c r="B1223" t="e">
        <f ca="1">IFERROR(计算区域!AJ1225,NA())</f>
        <v>#N/A</v>
      </c>
      <c r="C1223" t="e">
        <f ca="1">IFERROR(计算区域!AK1225,NA())</f>
        <v>#N/A</v>
      </c>
      <c r="D1223" t="e">
        <f ca="1">IFERROR(计算区域!AL1225,NA())</f>
        <v>#N/A</v>
      </c>
      <c r="E1223" t="e">
        <f ca="1">IFERROR(计算区域!AM1225,NA())</f>
        <v>#N/A</v>
      </c>
      <c r="G1223" t="e">
        <f ca="1">IFERROR(计算区域!AD1225,NA())</f>
        <v>#N/A</v>
      </c>
      <c r="H1223" t="e">
        <f ca="1">IFERROR(计算区域!AE1225,NA())</f>
        <v>#N/A</v>
      </c>
      <c r="I1223" t="e">
        <f ca="1">IFERROR(计算区域!AF1225,NA())</f>
        <v>#N/A</v>
      </c>
      <c r="J1223" t="e">
        <f ca="1">IFERROR(计算区域!AG1225,NA())</f>
        <v>#N/A</v>
      </c>
      <c r="L1223" t="e">
        <f ca="1">IFERROR(计算区域!L1225,NA())</f>
        <v>#N/A</v>
      </c>
      <c r="M1223" t="e">
        <f ca="1">IFERROR(计算区域!M1225,NA())</f>
        <v>#N/A</v>
      </c>
      <c r="N1223" t="e">
        <f ca="1">IFERROR(计算区域!N1225,NA())</f>
        <v>#N/A</v>
      </c>
      <c r="O1223" t="e">
        <f ca="1">IFERROR(计算区域!O1225,NA())</f>
        <v>#N/A</v>
      </c>
      <c r="Q1223" t="e">
        <f ca="1">IFERROR(计算区域!R1225,NA())</f>
        <v>#N/A</v>
      </c>
      <c r="R1223" t="e">
        <f ca="1">IFERROR(计算区域!S1225,NA())</f>
        <v>#N/A</v>
      </c>
      <c r="S1223" t="e">
        <f ca="1">IFERROR(计算区域!T1225,NA())</f>
        <v>#N/A</v>
      </c>
      <c r="T1223" t="e">
        <f ca="1">IFERROR(计算区域!U1225,NA())</f>
        <v>#N/A</v>
      </c>
      <c r="V1223" t="e">
        <f ca="1">IFERROR(计算区域!X1225,NA())</f>
        <v>#N/A</v>
      </c>
      <c r="W1223" t="e">
        <f ca="1">IFERROR(计算区域!Y1225,NA())</f>
        <v>#N/A</v>
      </c>
      <c r="X1223" t="e">
        <f ca="1">IFERROR(计算区域!Z1225,NA())</f>
        <v>#N/A</v>
      </c>
      <c r="Y1223" t="e">
        <f ca="1">IFERROR(计算区域!AA1225,NA())</f>
        <v>#N/A</v>
      </c>
    </row>
    <row r="1224" spans="1:25" x14ac:dyDescent="0.2">
      <c r="A1224" s="28">
        <f>计算区域!E1226</f>
        <v>0</v>
      </c>
      <c r="B1224" t="e">
        <f ca="1">IFERROR(计算区域!AJ1226,NA())</f>
        <v>#N/A</v>
      </c>
      <c r="C1224" t="e">
        <f ca="1">IFERROR(计算区域!AK1226,NA())</f>
        <v>#N/A</v>
      </c>
      <c r="D1224" t="e">
        <f ca="1">IFERROR(计算区域!AL1226,NA())</f>
        <v>#N/A</v>
      </c>
      <c r="E1224" t="e">
        <f ca="1">IFERROR(计算区域!AM1226,NA())</f>
        <v>#N/A</v>
      </c>
      <c r="G1224" t="e">
        <f ca="1">IFERROR(计算区域!AD1226,NA())</f>
        <v>#N/A</v>
      </c>
      <c r="H1224" t="e">
        <f ca="1">IFERROR(计算区域!AE1226,NA())</f>
        <v>#N/A</v>
      </c>
      <c r="I1224" t="e">
        <f ca="1">IFERROR(计算区域!AF1226,NA())</f>
        <v>#N/A</v>
      </c>
      <c r="J1224" t="e">
        <f ca="1">IFERROR(计算区域!AG1226,NA())</f>
        <v>#N/A</v>
      </c>
      <c r="L1224" t="e">
        <f ca="1">IFERROR(计算区域!L1226,NA())</f>
        <v>#N/A</v>
      </c>
      <c r="M1224" t="e">
        <f ca="1">IFERROR(计算区域!M1226,NA())</f>
        <v>#N/A</v>
      </c>
      <c r="N1224" t="e">
        <f ca="1">IFERROR(计算区域!N1226,NA())</f>
        <v>#N/A</v>
      </c>
      <c r="O1224" t="e">
        <f ca="1">IFERROR(计算区域!O1226,NA())</f>
        <v>#N/A</v>
      </c>
      <c r="Q1224" t="e">
        <f ca="1">IFERROR(计算区域!R1226,NA())</f>
        <v>#N/A</v>
      </c>
      <c r="R1224" t="e">
        <f ca="1">IFERROR(计算区域!S1226,NA())</f>
        <v>#N/A</v>
      </c>
      <c r="S1224" t="e">
        <f ca="1">IFERROR(计算区域!T1226,NA())</f>
        <v>#N/A</v>
      </c>
      <c r="T1224" t="e">
        <f ca="1">IFERROR(计算区域!U1226,NA())</f>
        <v>#N/A</v>
      </c>
      <c r="V1224" t="e">
        <f ca="1">IFERROR(计算区域!X1226,NA())</f>
        <v>#N/A</v>
      </c>
      <c r="W1224" t="e">
        <f ca="1">IFERROR(计算区域!Y1226,NA())</f>
        <v>#N/A</v>
      </c>
      <c r="X1224" t="e">
        <f ca="1">IFERROR(计算区域!Z1226,NA())</f>
        <v>#N/A</v>
      </c>
      <c r="Y1224" t="e">
        <f ca="1">IFERROR(计算区域!AA1226,NA())</f>
        <v>#N/A</v>
      </c>
    </row>
    <row r="1225" spans="1:25" x14ac:dyDescent="0.2">
      <c r="A1225" s="28">
        <f>计算区域!E1227</f>
        <v>0</v>
      </c>
      <c r="B1225" t="e">
        <f ca="1">IFERROR(计算区域!AJ1227,NA())</f>
        <v>#N/A</v>
      </c>
      <c r="C1225" t="e">
        <f ca="1">IFERROR(计算区域!AK1227,NA())</f>
        <v>#N/A</v>
      </c>
      <c r="D1225" t="e">
        <f ca="1">IFERROR(计算区域!AL1227,NA())</f>
        <v>#N/A</v>
      </c>
      <c r="E1225" t="e">
        <f ca="1">IFERROR(计算区域!AM1227,NA())</f>
        <v>#N/A</v>
      </c>
      <c r="G1225" t="e">
        <f ca="1">IFERROR(计算区域!AD1227,NA())</f>
        <v>#N/A</v>
      </c>
      <c r="H1225" t="e">
        <f ca="1">IFERROR(计算区域!AE1227,NA())</f>
        <v>#N/A</v>
      </c>
      <c r="I1225" t="e">
        <f ca="1">IFERROR(计算区域!AF1227,NA())</f>
        <v>#N/A</v>
      </c>
      <c r="J1225" t="e">
        <f ca="1">IFERROR(计算区域!AG1227,NA())</f>
        <v>#N/A</v>
      </c>
      <c r="L1225" t="e">
        <f ca="1">IFERROR(计算区域!L1227,NA())</f>
        <v>#N/A</v>
      </c>
      <c r="M1225" t="e">
        <f ca="1">IFERROR(计算区域!M1227,NA())</f>
        <v>#N/A</v>
      </c>
      <c r="N1225" t="e">
        <f ca="1">IFERROR(计算区域!N1227,NA())</f>
        <v>#N/A</v>
      </c>
      <c r="O1225" t="e">
        <f ca="1">IFERROR(计算区域!O1227,NA())</f>
        <v>#N/A</v>
      </c>
      <c r="Q1225" t="e">
        <f ca="1">IFERROR(计算区域!R1227,NA())</f>
        <v>#N/A</v>
      </c>
      <c r="R1225" t="e">
        <f ca="1">IFERROR(计算区域!S1227,NA())</f>
        <v>#N/A</v>
      </c>
      <c r="S1225" t="e">
        <f ca="1">IFERROR(计算区域!T1227,NA())</f>
        <v>#N/A</v>
      </c>
      <c r="T1225" t="e">
        <f ca="1">IFERROR(计算区域!U1227,NA())</f>
        <v>#N/A</v>
      </c>
      <c r="V1225" t="e">
        <f ca="1">IFERROR(计算区域!X1227,NA())</f>
        <v>#N/A</v>
      </c>
      <c r="W1225" t="e">
        <f ca="1">IFERROR(计算区域!Y1227,NA())</f>
        <v>#N/A</v>
      </c>
      <c r="X1225" t="e">
        <f ca="1">IFERROR(计算区域!Z1227,NA())</f>
        <v>#N/A</v>
      </c>
      <c r="Y1225" t="e">
        <f ca="1">IFERROR(计算区域!AA1227,NA())</f>
        <v>#N/A</v>
      </c>
    </row>
    <row r="1226" spans="1:25" x14ac:dyDescent="0.2">
      <c r="A1226" s="28">
        <f>计算区域!E1228</f>
        <v>0</v>
      </c>
      <c r="B1226" t="e">
        <f ca="1">IFERROR(计算区域!AJ1228,NA())</f>
        <v>#N/A</v>
      </c>
      <c r="C1226" t="e">
        <f ca="1">IFERROR(计算区域!AK1228,NA())</f>
        <v>#N/A</v>
      </c>
      <c r="D1226" t="e">
        <f ca="1">IFERROR(计算区域!AL1228,NA())</f>
        <v>#N/A</v>
      </c>
      <c r="E1226" t="e">
        <f ca="1">IFERROR(计算区域!AM1228,NA())</f>
        <v>#N/A</v>
      </c>
      <c r="G1226" t="e">
        <f ca="1">IFERROR(计算区域!AD1228,NA())</f>
        <v>#N/A</v>
      </c>
      <c r="H1226" t="e">
        <f ca="1">IFERROR(计算区域!AE1228,NA())</f>
        <v>#N/A</v>
      </c>
      <c r="I1226" t="e">
        <f ca="1">IFERROR(计算区域!AF1228,NA())</f>
        <v>#N/A</v>
      </c>
      <c r="J1226" t="e">
        <f ca="1">IFERROR(计算区域!AG1228,NA())</f>
        <v>#N/A</v>
      </c>
      <c r="L1226" t="e">
        <f ca="1">IFERROR(计算区域!L1228,NA())</f>
        <v>#N/A</v>
      </c>
      <c r="M1226" t="e">
        <f ca="1">IFERROR(计算区域!M1228,NA())</f>
        <v>#N/A</v>
      </c>
      <c r="N1226" t="e">
        <f ca="1">IFERROR(计算区域!N1228,NA())</f>
        <v>#N/A</v>
      </c>
      <c r="O1226" t="e">
        <f ca="1">IFERROR(计算区域!O1228,NA())</f>
        <v>#N/A</v>
      </c>
      <c r="Q1226" t="e">
        <f ca="1">IFERROR(计算区域!R1228,NA())</f>
        <v>#N/A</v>
      </c>
      <c r="R1226" t="e">
        <f ca="1">IFERROR(计算区域!S1228,NA())</f>
        <v>#N/A</v>
      </c>
      <c r="S1226" t="e">
        <f ca="1">IFERROR(计算区域!T1228,NA())</f>
        <v>#N/A</v>
      </c>
      <c r="T1226" t="e">
        <f ca="1">IFERROR(计算区域!U1228,NA())</f>
        <v>#N/A</v>
      </c>
      <c r="V1226" t="e">
        <f ca="1">IFERROR(计算区域!X1228,NA())</f>
        <v>#N/A</v>
      </c>
      <c r="W1226" t="e">
        <f ca="1">IFERROR(计算区域!Y1228,NA())</f>
        <v>#N/A</v>
      </c>
      <c r="X1226" t="e">
        <f ca="1">IFERROR(计算区域!Z1228,NA())</f>
        <v>#N/A</v>
      </c>
      <c r="Y1226" t="e">
        <f ca="1">IFERROR(计算区域!AA1228,NA())</f>
        <v>#N/A</v>
      </c>
    </row>
    <row r="1227" spans="1:25" x14ac:dyDescent="0.2">
      <c r="A1227" s="28">
        <f>计算区域!E1229</f>
        <v>0</v>
      </c>
      <c r="B1227" t="e">
        <f ca="1">IFERROR(计算区域!AJ1229,NA())</f>
        <v>#N/A</v>
      </c>
      <c r="C1227" t="e">
        <f ca="1">IFERROR(计算区域!AK1229,NA())</f>
        <v>#N/A</v>
      </c>
      <c r="D1227" t="e">
        <f ca="1">IFERROR(计算区域!AL1229,NA())</f>
        <v>#N/A</v>
      </c>
      <c r="E1227" t="e">
        <f ca="1">IFERROR(计算区域!AM1229,NA())</f>
        <v>#N/A</v>
      </c>
      <c r="G1227" t="e">
        <f ca="1">IFERROR(计算区域!AD1229,NA())</f>
        <v>#N/A</v>
      </c>
      <c r="H1227" t="e">
        <f ca="1">IFERROR(计算区域!AE1229,NA())</f>
        <v>#N/A</v>
      </c>
      <c r="I1227" t="e">
        <f ca="1">IFERROR(计算区域!AF1229,NA())</f>
        <v>#N/A</v>
      </c>
      <c r="J1227" t="e">
        <f ca="1">IFERROR(计算区域!AG1229,NA())</f>
        <v>#N/A</v>
      </c>
      <c r="L1227" t="e">
        <f ca="1">IFERROR(计算区域!L1229,NA())</f>
        <v>#N/A</v>
      </c>
      <c r="M1227" t="e">
        <f ca="1">IFERROR(计算区域!M1229,NA())</f>
        <v>#N/A</v>
      </c>
      <c r="N1227" t="e">
        <f ca="1">IFERROR(计算区域!N1229,NA())</f>
        <v>#N/A</v>
      </c>
      <c r="O1227" t="e">
        <f ca="1">IFERROR(计算区域!O1229,NA())</f>
        <v>#N/A</v>
      </c>
      <c r="Q1227" t="e">
        <f ca="1">IFERROR(计算区域!R1229,NA())</f>
        <v>#N/A</v>
      </c>
      <c r="R1227" t="e">
        <f ca="1">IFERROR(计算区域!S1229,NA())</f>
        <v>#N/A</v>
      </c>
      <c r="S1227" t="e">
        <f ca="1">IFERROR(计算区域!T1229,NA())</f>
        <v>#N/A</v>
      </c>
      <c r="T1227" t="e">
        <f ca="1">IFERROR(计算区域!U1229,NA())</f>
        <v>#N/A</v>
      </c>
      <c r="V1227" t="e">
        <f ca="1">IFERROR(计算区域!X1229,NA())</f>
        <v>#N/A</v>
      </c>
      <c r="W1227" t="e">
        <f ca="1">IFERROR(计算区域!Y1229,NA())</f>
        <v>#N/A</v>
      </c>
      <c r="X1227" t="e">
        <f ca="1">IFERROR(计算区域!Z1229,NA())</f>
        <v>#N/A</v>
      </c>
      <c r="Y1227" t="e">
        <f ca="1">IFERROR(计算区域!AA1229,NA())</f>
        <v>#N/A</v>
      </c>
    </row>
    <row r="1228" spans="1:25" x14ac:dyDescent="0.2">
      <c r="A1228" s="28">
        <f>计算区域!E1230</f>
        <v>0</v>
      </c>
      <c r="B1228" t="e">
        <f ca="1">IFERROR(计算区域!AJ1230,NA())</f>
        <v>#N/A</v>
      </c>
      <c r="C1228" t="e">
        <f ca="1">IFERROR(计算区域!AK1230,NA())</f>
        <v>#N/A</v>
      </c>
      <c r="D1228" t="e">
        <f ca="1">IFERROR(计算区域!AL1230,NA())</f>
        <v>#N/A</v>
      </c>
      <c r="E1228" t="e">
        <f ca="1">IFERROR(计算区域!AM1230,NA())</f>
        <v>#N/A</v>
      </c>
      <c r="G1228" t="e">
        <f ca="1">IFERROR(计算区域!AD1230,NA())</f>
        <v>#N/A</v>
      </c>
      <c r="H1228" t="e">
        <f ca="1">IFERROR(计算区域!AE1230,NA())</f>
        <v>#N/A</v>
      </c>
      <c r="I1228" t="e">
        <f ca="1">IFERROR(计算区域!AF1230,NA())</f>
        <v>#N/A</v>
      </c>
      <c r="J1228" t="e">
        <f ca="1">IFERROR(计算区域!AG1230,NA())</f>
        <v>#N/A</v>
      </c>
      <c r="L1228" t="e">
        <f ca="1">IFERROR(计算区域!L1230,NA())</f>
        <v>#N/A</v>
      </c>
      <c r="M1228" t="e">
        <f ca="1">IFERROR(计算区域!M1230,NA())</f>
        <v>#N/A</v>
      </c>
      <c r="N1228" t="e">
        <f ca="1">IFERROR(计算区域!N1230,NA())</f>
        <v>#N/A</v>
      </c>
      <c r="O1228" t="e">
        <f ca="1">IFERROR(计算区域!O1230,NA())</f>
        <v>#N/A</v>
      </c>
      <c r="Q1228" t="e">
        <f ca="1">IFERROR(计算区域!R1230,NA())</f>
        <v>#N/A</v>
      </c>
      <c r="R1228" t="e">
        <f ca="1">IFERROR(计算区域!S1230,NA())</f>
        <v>#N/A</v>
      </c>
      <c r="S1228" t="e">
        <f ca="1">IFERROR(计算区域!T1230,NA())</f>
        <v>#N/A</v>
      </c>
      <c r="T1228" t="e">
        <f ca="1">IFERROR(计算区域!U1230,NA())</f>
        <v>#N/A</v>
      </c>
      <c r="V1228" t="e">
        <f ca="1">IFERROR(计算区域!X1230,NA())</f>
        <v>#N/A</v>
      </c>
      <c r="W1228" t="e">
        <f ca="1">IFERROR(计算区域!Y1230,NA())</f>
        <v>#N/A</v>
      </c>
      <c r="X1228" t="e">
        <f ca="1">IFERROR(计算区域!Z1230,NA())</f>
        <v>#N/A</v>
      </c>
      <c r="Y1228" t="e">
        <f ca="1">IFERROR(计算区域!AA1230,NA())</f>
        <v>#N/A</v>
      </c>
    </row>
    <row r="1229" spans="1:25" x14ac:dyDescent="0.2">
      <c r="A1229" s="28">
        <f>计算区域!E1231</f>
        <v>0</v>
      </c>
      <c r="B1229" t="e">
        <f ca="1">IFERROR(计算区域!AJ1231,NA())</f>
        <v>#N/A</v>
      </c>
      <c r="C1229" t="e">
        <f ca="1">IFERROR(计算区域!AK1231,NA())</f>
        <v>#N/A</v>
      </c>
      <c r="D1229" t="e">
        <f ca="1">IFERROR(计算区域!AL1231,NA())</f>
        <v>#N/A</v>
      </c>
      <c r="E1229" t="e">
        <f ca="1">IFERROR(计算区域!AM1231,NA())</f>
        <v>#N/A</v>
      </c>
      <c r="G1229" t="e">
        <f ca="1">IFERROR(计算区域!AD1231,NA())</f>
        <v>#N/A</v>
      </c>
      <c r="H1229" t="e">
        <f ca="1">IFERROR(计算区域!AE1231,NA())</f>
        <v>#N/A</v>
      </c>
      <c r="I1229" t="e">
        <f ca="1">IFERROR(计算区域!AF1231,NA())</f>
        <v>#N/A</v>
      </c>
      <c r="J1229" t="e">
        <f ca="1">IFERROR(计算区域!AG1231,NA())</f>
        <v>#N/A</v>
      </c>
      <c r="L1229" t="e">
        <f ca="1">IFERROR(计算区域!L1231,NA())</f>
        <v>#N/A</v>
      </c>
      <c r="M1229" t="e">
        <f ca="1">IFERROR(计算区域!M1231,NA())</f>
        <v>#N/A</v>
      </c>
      <c r="N1229" t="e">
        <f ca="1">IFERROR(计算区域!N1231,NA())</f>
        <v>#N/A</v>
      </c>
      <c r="O1229" t="e">
        <f ca="1">IFERROR(计算区域!O1231,NA())</f>
        <v>#N/A</v>
      </c>
      <c r="Q1229" t="e">
        <f ca="1">IFERROR(计算区域!R1231,NA())</f>
        <v>#N/A</v>
      </c>
      <c r="R1229" t="e">
        <f ca="1">IFERROR(计算区域!S1231,NA())</f>
        <v>#N/A</v>
      </c>
      <c r="S1229" t="e">
        <f ca="1">IFERROR(计算区域!T1231,NA())</f>
        <v>#N/A</v>
      </c>
      <c r="T1229" t="e">
        <f ca="1">IFERROR(计算区域!U1231,NA())</f>
        <v>#N/A</v>
      </c>
      <c r="V1229" t="e">
        <f ca="1">IFERROR(计算区域!X1231,NA())</f>
        <v>#N/A</v>
      </c>
      <c r="W1229" t="e">
        <f ca="1">IFERROR(计算区域!Y1231,NA())</f>
        <v>#N/A</v>
      </c>
      <c r="X1229" t="e">
        <f ca="1">IFERROR(计算区域!Z1231,NA())</f>
        <v>#N/A</v>
      </c>
      <c r="Y1229" t="e">
        <f ca="1">IFERROR(计算区域!AA1231,NA())</f>
        <v>#N/A</v>
      </c>
    </row>
    <row r="1230" spans="1:25" x14ac:dyDescent="0.2">
      <c r="A1230" s="28">
        <f>计算区域!E1232</f>
        <v>0</v>
      </c>
      <c r="B1230" t="e">
        <f ca="1">IFERROR(计算区域!AJ1232,NA())</f>
        <v>#N/A</v>
      </c>
      <c r="C1230" t="e">
        <f ca="1">IFERROR(计算区域!AK1232,NA())</f>
        <v>#N/A</v>
      </c>
      <c r="D1230" t="e">
        <f ca="1">IFERROR(计算区域!AL1232,NA())</f>
        <v>#N/A</v>
      </c>
      <c r="E1230" t="e">
        <f ca="1">IFERROR(计算区域!AM1232,NA())</f>
        <v>#N/A</v>
      </c>
      <c r="G1230" t="e">
        <f ca="1">IFERROR(计算区域!AD1232,NA())</f>
        <v>#N/A</v>
      </c>
      <c r="H1230" t="e">
        <f ca="1">IFERROR(计算区域!AE1232,NA())</f>
        <v>#N/A</v>
      </c>
      <c r="I1230" t="e">
        <f ca="1">IFERROR(计算区域!AF1232,NA())</f>
        <v>#N/A</v>
      </c>
      <c r="J1230" t="e">
        <f ca="1">IFERROR(计算区域!AG1232,NA())</f>
        <v>#N/A</v>
      </c>
      <c r="L1230" t="e">
        <f ca="1">IFERROR(计算区域!L1232,NA())</f>
        <v>#N/A</v>
      </c>
      <c r="M1230" t="e">
        <f ca="1">IFERROR(计算区域!M1232,NA())</f>
        <v>#N/A</v>
      </c>
      <c r="N1230" t="e">
        <f ca="1">IFERROR(计算区域!N1232,NA())</f>
        <v>#N/A</v>
      </c>
      <c r="O1230" t="e">
        <f ca="1">IFERROR(计算区域!O1232,NA())</f>
        <v>#N/A</v>
      </c>
      <c r="Q1230" t="e">
        <f ca="1">IFERROR(计算区域!R1232,NA())</f>
        <v>#N/A</v>
      </c>
      <c r="R1230" t="e">
        <f ca="1">IFERROR(计算区域!S1232,NA())</f>
        <v>#N/A</v>
      </c>
      <c r="S1230" t="e">
        <f ca="1">IFERROR(计算区域!T1232,NA())</f>
        <v>#N/A</v>
      </c>
      <c r="T1230" t="e">
        <f ca="1">IFERROR(计算区域!U1232,NA())</f>
        <v>#N/A</v>
      </c>
      <c r="V1230" t="e">
        <f ca="1">IFERROR(计算区域!X1232,NA())</f>
        <v>#N/A</v>
      </c>
      <c r="W1230" t="e">
        <f ca="1">IFERROR(计算区域!Y1232,NA())</f>
        <v>#N/A</v>
      </c>
      <c r="X1230" t="e">
        <f ca="1">IFERROR(计算区域!Z1232,NA())</f>
        <v>#N/A</v>
      </c>
      <c r="Y1230" t="e">
        <f ca="1">IFERROR(计算区域!AA1232,NA())</f>
        <v>#N/A</v>
      </c>
    </row>
    <row r="1231" spans="1:25" x14ac:dyDescent="0.2">
      <c r="A1231" s="28">
        <f>计算区域!E1233</f>
        <v>0</v>
      </c>
      <c r="B1231" t="e">
        <f ca="1">IFERROR(计算区域!AJ1233,NA())</f>
        <v>#N/A</v>
      </c>
      <c r="C1231" t="e">
        <f ca="1">IFERROR(计算区域!AK1233,NA())</f>
        <v>#N/A</v>
      </c>
      <c r="D1231" t="e">
        <f ca="1">IFERROR(计算区域!AL1233,NA())</f>
        <v>#N/A</v>
      </c>
      <c r="E1231" t="e">
        <f ca="1">IFERROR(计算区域!AM1233,NA())</f>
        <v>#N/A</v>
      </c>
      <c r="G1231" t="e">
        <f ca="1">IFERROR(计算区域!AD1233,NA())</f>
        <v>#N/A</v>
      </c>
      <c r="H1231" t="e">
        <f ca="1">IFERROR(计算区域!AE1233,NA())</f>
        <v>#N/A</v>
      </c>
      <c r="I1231" t="e">
        <f ca="1">IFERROR(计算区域!AF1233,NA())</f>
        <v>#N/A</v>
      </c>
      <c r="J1231" t="e">
        <f ca="1">IFERROR(计算区域!AG1233,NA())</f>
        <v>#N/A</v>
      </c>
      <c r="L1231" t="e">
        <f ca="1">IFERROR(计算区域!L1233,NA())</f>
        <v>#N/A</v>
      </c>
      <c r="M1231" t="e">
        <f ca="1">IFERROR(计算区域!M1233,NA())</f>
        <v>#N/A</v>
      </c>
      <c r="N1231" t="e">
        <f ca="1">IFERROR(计算区域!N1233,NA())</f>
        <v>#N/A</v>
      </c>
      <c r="O1231" t="e">
        <f ca="1">IFERROR(计算区域!O1233,NA())</f>
        <v>#N/A</v>
      </c>
      <c r="Q1231" t="e">
        <f ca="1">IFERROR(计算区域!R1233,NA())</f>
        <v>#N/A</v>
      </c>
      <c r="R1231" t="e">
        <f ca="1">IFERROR(计算区域!S1233,NA())</f>
        <v>#N/A</v>
      </c>
      <c r="S1231" t="e">
        <f ca="1">IFERROR(计算区域!T1233,NA())</f>
        <v>#N/A</v>
      </c>
      <c r="T1231" t="e">
        <f ca="1">IFERROR(计算区域!U1233,NA())</f>
        <v>#N/A</v>
      </c>
      <c r="V1231" t="e">
        <f ca="1">IFERROR(计算区域!X1233,NA())</f>
        <v>#N/A</v>
      </c>
      <c r="W1231" t="e">
        <f ca="1">IFERROR(计算区域!Y1233,NA())</f>
        <v>#N/A</v>
      </c>
      <c r="X1231" t="e">
        <f ca="1">IFERROR(计算区域!Z1233,NA())</f>
        <v>#N/A</v>
      </c>
      <c r="Y1231" t="e">
        <f ca="1">IFERROR(计算区域!AA1233,NA())</f>
        <v>#N/A</v>
      </c>
    </row>
    <row r="1232" spans="1:25" x14ac:dyDescent="0.2">
      <c r="A1232" s="28">
        <f>计算区域!E1234</f>
        <v>0</v>
      </c>
      <c r="B1232" t="e">
        <f ca="1">IFERROR(计算区域!AJ1234,NA())</f>
        <v>#N/A</v>
      </c>
      <c r="C1232" t="e">
        <f ca="1">IFERROR(计算区域!AK1234,NA())</f>
        <v>#N/A</v>
      </c>
      <c r="D1232" t="e">
        <f ca="1">IFERROR(计算区域!AL1234,NA())</f>
        <v>#N/A</v>
      </c>
      <c r="E1232" t="e">
        <f ca="1">IFERROR(计算区域!AM1234,NA())</f>
        <v>#N/A</v>
      </c>
      <c r="G1232" t="e">
        <f ca="1">IFERROR(计算区域!AD1234,NA())</f>
        <v>#N/A</v>
      </c>
      <c r="H1232" t="e">
        <f ca="1">IFERROR(计算区域!AE1234,NA())</f>
        <v>#N/A</v>
      </c>
      <c r="I1232" t="e">
        <f ca="1">IFERROR(计算区域!AF1234,NA())</f>
        <v>#N/A</v>
      </c>
      <c r="J1232" t="e">
        <f ca="1">IFERROR(计算区域!AG1234,NA())</f>
        <v>#N/A</v>
      </c>
      <c r="L1232" t="e">
        <f ca="1">IFERROR(计算区域!L1234,NA())</f>
        <v>#N/A</v>
      </c>
      <c r="M1232" t="e">
        <f ca="1">IFERROR(计算区域!M1234,NA())</f>
        <v>#N/A</v>
      </c>
      <c r="N1232" t="e">
        <f ca="1">IFERROR(计算区域!N1234,NA())</f>
        <v>#N/A</v>
      </c>
      <c r="O1232" t="e">
        <f ca="1">IFERROR(计算区域!O1234,NA())</f>
        <v>#N/A</v>
      </c>
      <c r="Q1232" t="e">
        <f ca="1">IFERROR(计算区域!R1234,NA())</f>
        <v>#N/A</v>
      </c>
      <c r="R1232" t="e">
        <f ca="1">IFERROR(计算区域!S1234,NA())</f>
        <v>#N/A</v>
      </c>
      <c r="S1232" t="e">
        <f ca="1">IFERROR(计算区域!T1234,NA())</f>
        <v>#N/A</v>
      </c>
      <c r="T1232" t="e">
        <f ca="1">IFERROR(计算区域!U1234,NA())</f>
        <v>#N/A</v>
      </c>
      <c r="V1232" t="e">
        <f ca="1">IFERROR(计算区域!X1234,NA())</f>
        <v>#N/A</v>
      </c>
      <c r="W1232" t="e">
        <f ca="1">IFERROR(计算区域!Y1234,NA())</f>
        <v>#N/A</v>
      </c>
      <c r="X1232" t="e">
        <f ca="1">IFERROR(计算区域!Z1234,NA())</f>
        <v>#N/A</v>
      </c>
      <c r="Y1232" t="e">
        <f ca="1">IFERROR(计算区域!AA1234,NA())</f>
        <v>#N/A</v>
      </c>
    </row>
    <row r="1233" spans="1:25" x14ac:dyDescent="0.2">
      <c r="A1233" s="28">
        <f>计算区域!E1235</f>
        <v>0</v>
      </c>
      <c r="B1233" t="e">
        <f ca="1">IFERROR(计算区域!AJ1235,NA())</f>
        <v>#N/A</v>
      </c>
      <c r="C1233" t="e">
        <f ca="1">IFERROR(计算区域!AK1235,NA())</f>
        <v>#N/A</v>
      </c>
      <c r="D1233" t="e">
        <f ca="1">IFERROR(计算区域!AL1235,NA())</f>
        <v>#N/A</v>
      </c>
      <c r="E1233" t="e">
        <f ca="1">IFERROR(计算区域!AM1235,NA())</f>
        <v>#N/A</v>
      </c>
      <c r="G1233" t="e">
        <f ca="1">IFERROR(计算区域!AD1235,NA())</f>
        <v>#N/A</v>
      </c>
      <c r="H1233" t="e">
        <f ca="1">IFERROR(计算区域!AE1235,NA())</f>
        <v>#N/A</v>
      </c>
      <c r="I1233" t="e">
        <f ca="1">IFERROR(计算区域!AF1235,NA())</f>
        <v>#N/A</v>
      </c>
      <c r="J1233" t="e">
        <f ca="1">IFERROR(计算区域!AG1235,NA())</f>
        <v>#N/A</v>
      </c>
      <c r="L1233" t="e">
        <f ca="1">IFERROR(计算区域!L1235,NA())</f>
        <v>#N/A</v>
      </c>
      <c r="M1233" t="e">
        <f ca="1">IFERROR(计算区域!M1235,NA())</f>
        <v>#N/A</v>
      </c>
      <c r="N1233" t="e">
        <f ca="1">IFERROR(计算区域!N1235,NA())</f>
        <v>#N/A</v>
      </c>
      <c r="O1233" t="e">
        <f ca="1">IFERROR(计算区域!O1235,NA())</f>
        <v>#N/A</v>
      </c>
      <c r="Q1233" t="e">
        <f ca="1">IFERROR(计算区域!R1235,NA())</f>
        <v>#N/A</v>
      </c>
      <c r="R1233" t="e">
        <f ca="1">IFERROR(计算区域!S1235,NA())</f>
        <v>#N/A</v>
      </c>
      <c r="S1233" t="e">
        <f ca="1">IFERROR(计算区域!T1235,NA())</f>
        <v>#N/A</v>
      </c>
      <c r="T1233" t="e">
        <f ca="1">IFERROR(计算区域!U1235,NA())</f>
        <v>#N/A</v>
      </c>
      <c r="V1233" t="e">
        <f ca="1">IFERROR(计算区域!X1235,NA())</f>
        <v>#N/A</v>
      </c>
      <c r="W1233" t="e">
        <f ca="1">IFERROR(计算区域!Y1235,NA())</f>
        <v>#N/A</v>
      </c>
      <c r="X1233" t="e">
        <f ca="1">IFERROR(计算区域!Z1235,NA())</f>
        <v>#N/A</v>
      </c>
      <c r="Y1233" t="e">
        <f ca="1">IFERROR(计算区域!AA1235,NA())</f>
        <v>#N/A</v>
      </c>
    </row>
    <row r="1234" spans="1:25" x14ac:dyDescent="0.2">
      <c r="A1234" s="28">
        <f>计算区域!E1236</f>
        <v>0</v>
      </c>
      <c r="B1234" t="e">
        <f ca="1">IFERROR(计算区域!AJ1236,NA())</f>
        <v>#N/A</v>
      </c>
      <c r="C1234" t="e">
        <f ca="1">IFERROR(计算区域!AK1236,NA())</f>
        <v>#N/A</v>
      </c>
      <c r="D1234" t="e">
        <f ca="1">IFERROR(计算区域!AL1236,NA())</f>
        <v>#N/A</v>
      </c>
      <c r="E1234" t="e">
        <f ca="1">IFERROR(计算区域!AM1236,NA())</f>
        <v>#N/A</v>
      </c>
      <c r="G1234" t="e">
        <f ca="1">IFERROR(计算区域!AD1236,NA())</f>
        <v>#N/A</v>
      </c>
      <c r="H1234" t="e">
        <f ca="1">IFERROR(计算区域!AE1236,NA())</f>
        <v>#N/A</v>
      </c>
      <c r="I1234" t="e">
        <f ca="1">IFERROR(计算区域!AF1236,NA())</f>
        <v>#N/A</v>
      </c>
      <c r="J1234" t="e">
        <f ca="1">IFERROR(计算区域!AG1236,NA())</f>
        <v>#N/A</v>
      </c>
      <c r="L1234" t="e">
        <f ca="1">IFERROR(计算区域!L1236,NA())</f>
        <v>#N/A</v>
      </c>
      <c r="M1234" t="e">
        <f ca="1">IFERROR(计算区域!M1236,NA())</f>
        <v>#N/A</v>
      </c>
      <c r="N1234" t="e">
        <f ca="1">IFERROR(计算区域!N1236,NA())</f>
        <v>#N/A</v>
      </c>
      <c r="O1234" t="e">
        <f ca="1">IFERROR(计算区域!O1236,NA())</f>
        <v>#N/A</v>
      </c>
      <c r="Q1234" t="e">
        <f ca="1">IFERROR(计算区域!R1236,NA())</f>
        <v>#N/A</v>
      </c>
      <c r="R1234" t="e">
        <f ca="1">IFERROR(计算区域!S1236,NA())</f>
        <v>#N/A</v>
      </c>
      <c r="S1234" t="e">
        <f ca="1">IFERROR(计算区域!T1236,NA())</f>
        <v>#N/A</v>
      </c>
      <c r="T1234" t="e">
        <f ca="1">IFERROR(计算区域!U1236,NA())</f>
        <v>#N/A</v>
      </c>
      <c r="V1234" t="e">
        <f ca="1">IFERROR(计算区域!X1236,NA())</f>
        <v>#N/A</v>
      </c>
      <c r="W1234" t="e">
        <f ca="1">IFERROR(计算区域!Y1236,NA())</f>
        <v>#N/A</v>
      </c>
      <c r="X1234" t="e">
        <f ca="1">IFERROR(计算区域!Z1236,NA())</f>
        <v>#N/A</v>
      </c>
      <c r="Y1234" t="e">
        <f ca="1">IFERROR(计算区域!AA1236,NA())</f>
        <v>#N/A</v>
      </c>
    </row>
    <row r="1235" spans="1:25" x14ac:dyDescent="0.2">
      <c r="A1235" s="28">
        <f>计算区域!E1237</f>
        <v>0</v>
      </c>
      <c r="B1235" t="e">
        <f ca="1">IFERROR(计算区域!AJ1237,NA())</f>
        <v>#N/A</v>
      </c>
      <c r="C1235" t="e">
        <f ca="1">IFERROR(计算区域!AK1237,NA())</f>
        <v>#N/A</v>
      </c>
      <c r="D1235" t="e">
        <f ca="1">IFERROR(计算区域!AL1237,NA())</f>
        <v>#N/A</v>
      </c>
      <c r="E1235" t="e">
        <f ca="1">IFERROR(计算区域!AM1237,NA())</f>
        <v>#N/A</v>
      </c>
      <c r="G1235" t="e">
        <f ca="1">IFERROR(计算区域!AD1237,NA())</f>
        <v>#N/A</v>
      </c>
      <c r="H1235" t="e">
        <f ca="1">IFERROR(计算区域!AE1237,NA())</f>
        <v>#N/A</v>
      </c>
      <c r="I1235" t="e">
        <f ca="1">IFERROR(计算区域!AF1237,NA())</f>
        <v>#N/A</v>
      </c>
      <c r="J1235" t="e">
        <f ca="1">IFERROR(计算区域!AG1237,NA())</f>
        <v>#N/A</v>
      </c>
      <c r="L1235" t="e">
        <f ca="1">IFERROR(计算区域!L1237,NA())</f>
        <v>#N/A</v>
      </c>
      <c r="M1235" t="e">
        <f ca="1">IFERROR(计算区域!M1237,NA())</f>
        <v>#N/A</v>
      </c>
      <c r="N1235" t="e">
        <f ca="1">IFERROR(计算区域!N1237,NA())</f>
        <v>#N/A</v>
      </c>
      <c r="O1235" t="e">
        <f ca="1">IFERROR(计算区域!O1237,NA())</f>
        <v>#N/A</v>
      </c>
      <c r="Q1235" t="e">
        <f ca="1">IFERROR(计算区域!R1237,NA())</f>
        <v>#N/A</v>
      </c>
      <c r="R1235" t="e">
        <f ca="1">IFERROR(计算区域!S1237,NA())</f>
        <v>#N/A</v>
      </c>
      <c r="S1235" t="e">
        <f ca="1">IFERROR(计算区域!T1237,NA())</f>
        <v>#N/A</v>
      </c>
      <c r="T1235" t="e">
        <f ca="1">IFERROR(计算区域!U1237,NA())</f>
        <v>#N/A</v>
      </c>
      <c r="V1235" t="e">
        <f ca="1">IFERROR(计算区域!X1237,NA())</f>
        <v>#N/A</v>
      </c>
      <c r="W1235" t="e">
        <f ca="1">IFERROR(计算区域!Y1237,NA())</f>
        <v>#N/A</v>
      </c>
      <c r="X1235" t="e">
        <f ca="1">IFERROR(计算区域!Z1237,NA())</f>
        <v>#N/A</v>
      </c>
      <c r="Y1235" t="e">
        <f ca="1">IFERROR(计算区域!AA1237,NA())</f>
        <v>#N/A</v>
      </c>
    </row>
    <row r="1236" spans="1:25" x14ac:dyDescent="0.2">
      <c r="A1236" s="28">
        <f>计算区域!E1238</f>
        <v>0</v>
      </c>
      <c r="B1236" t="e">
        <f ca="1">IFERROR(计算区域!AJ1238,NA())</f>
        <v>#N/A</v>
      </c>
      <c r="C1236" t="e">
        <f ca="1">IFERROR(计算区域!AK1238,NA())</f>
        <v>#N/A</v>
      </c>
      <c r="D1236" t="e">
        <f ca="1">IFERROR(计算区域!AL1238,NA())</f>
        <v>#N/A</v>
      </c>
      <c r="E1236" t="e">
        <f ca="1">IFERROR(计算区域!AM1238,NA())</f>
        <v>#N/A</v>
      </c>
      <c r="G1236" t="e">
        <f ca="1">IFERROR(计算区域!AD1238,NA())</f>
        <v>#N/A</v>
      </c>
      <c r="H1236" t="e">
        <f ca="1">IFERROR(计算区域!AE1238,NA())</f>
        <v>#N/A</v>
      </c>
      <c r="I1236" t="e">
        <f ca="1">IFERROR(计算区域!AF1238,NA())</f>
        <v>#N/A</v>
      </c>
      <c r="J1236" t="e">
        <f ca="1">IFERROR(计算区域!AG1238,NA())</f>
        <v>#N/A</v>
      </c>
      <c r="L1236" t="e">
        <f ca="1">IFERROR(计算区域!L1238,NA())</f>
        <v>#N/A</v>
      </c>
      <c r="M1236" t="e">
        <f ca="1">IFERROR(计算区域!M1238,NA())</f>
        <v>#N/A</v>
      </c>
      <c r="N1236" t="e">
        <f ca="1">IFERROR(计算区域!N1238,NA())</f>
        <v>#N/A</v>
      </c>
      <c r="O1236" t="e">
        <f ca="1">IFERROR(计算区域!O1238,NA())</f>
        <v>#N/A</v>
      </c>
      <c r="Q1236" t="e">
        <f ca="1">IFERROR(计算区域!R1238,NA())</f>
        <v>#N/A</v>
      </c>
      <c r="R1236" t="e">
        <f ca="1">IFERROR(计算区域!S1238,NA())</f>
        <v>#N/A</v>
      </c>
      <c r="S1236" t="e">
        <f ca="1">IFERROR(计算区域!T1238,NA())</f>
        <v>#N/A</v>
      </c>
      <c r="T1236" t="e">
        <f ca="1">IFERROR(计算区域!U1238,NA())</f>
        <v>#N/A</v>
      </c>
      <c r="V1236" t="e">
        <f ca="1">IFERROR(计算区域!X1238,NA())</f>
        <v>#N/A</v>
      </c>
      <c r="W1236" t="e">
        <f ca="1">IFERROR(计算区域!Y1238,NA())</f>
        <v>#N/A</v>
      </c>
      <c r="X1236" t="e">
        <f ca="1">IFERROR(计算区域!Z1238,NA())</f>
        <v>#N/A</v>
      </c>
      <c r="Y1236" t="e">
        <f ca="1">IFERROR(计算区域!AA1238,NA())</f>
        <v>#N/A</v>
      </c>
    </row>
    <row r="1237" spans="1:25" x14ac:dyDescent="0.2">
      <c r="A1237" s="28">
        <f>计算区域!E1239</f>
        <v>0</v>
      </c>
      <c r="B1237" t="e">
        <f ca="1">IFERROR(计算区域!AJ1239,NA())</f>
        <v>#N/A</v>
      </c>
      <c r="C1237" t="e">
        <f ca="1">IFERROR(计算区域!AK1239,NA())</f>
        <v>#N/A</v>
      </c>
      <c r="D1237" t="e">
        <f ca="1">IFERROR(计算区域!AL1239,NA())</f>
        <v>#N/A</v>
      </c>
      <c r="E1237" t="e">
        <f ca="1">IFERROR(计算区域!AM1239,NA())</f>
        <v>#N/A</v>
      </c>
      <c r="G1237" t="e">
        <f ca="1">IFERROR(计算区域!AD1239,NA())</f>
        <v>#N/A</v>
      </c>
      <c r="H1237" t="e">
        <f ca="1">IFERROR(计算区域!AE1239,NA())</f>
        <v>#N/A</v>
      </c>
      <c r="I1237" t="e">
        <f ca="1">IFERROR(计算区域!AF1239,NA())</f>
        <v>#N/A</v>
      </c>
      <c r="J1237" t="e">
        <f ca="1">IFERROR(计算区域!AG1239,NA())</f>
        <v>#N/A</v>
      </c>
      <c r="L1237" t="e">
        <f ca="1">IFERROR(计算区域!L1239,NA())</f>
        <v>#N/A</v>
      </c>
      <c r="M1237" t="e">
        <f ca="1">IFERROR(计算区域!M1239,NA())</f>
        <v>#N/A</v>
      </c>
      <c r="N1237" t="e">
        <f ca="1">IFERROR(计算区域!N1239,NA())</f>
        <v>#N/A</v>
      </c>
      <c r="O1237" t="e">
        <f ca="1">IFERROR(计算区域!O1239,NA())</f>
        <v>#N/A</v>
      </c>
      <c r="Q1237" t="e">
        <f ca="1">IFERROR(计算区域!R1239,NA())</f>
        <v>#N/A</v>
      </c>
      <c r="R1237" t="e">
        <f ca="1">IFERROR(计算区域!S1239,NA())</f>
        <v>#N/A</v>
      </c>
      <c r="S1237" t="e">
        <f ca="1">IFERROR(计算区域!T1239,NA())</f>
        <v>#N/A</v>
      </c>
      <c r="T1237" t="e">
        <f ca="1">IFERROR(计算区域!U1239,NA())</f>
        <v>#N/A</v>
      </c>
      <c r="V1237" t="e">
        <f ca="1">IFERROR(计算区域!X1239,NA())</f>
        <v>#N/A</v>
      </c>
      <c r="W1237" t="e">
        <f ca="1">IFERROR(计算区域!Y1239,NA())</f>
        <v>#N/A</v>
      </c>
      <c r="X1237" t="e">
        <f ca="1">IFERROR(计算区域!Z1239,NA())</f>
        <v>#N/A</v>
      </c>
      <c r="Y1237" t="e">
        <f ca="1">IFERROR(计算区域!AA1239,NA())</f>
        <v>#N/A</v>
      </c>
    </row>
    <row r="1238" spans="1:25" x14ac:dyDescent="0.2">
      <c r="A1238" s="28">
        <f>计算区域!E1240</f>
        <v>0</v>
      </c>
      <c r="B1238" t="e">
        <f ca="1">IFERROR(计算区域!AJ1240,NA())</f>
        <v>#N/A</v>
      </c>
      <c r="C1238" t="e">
        <f ca="1">IFERROR(计算区域!AK1240,NA())</f>
        <v>#N/A</v>
      </c>
      <c r="D1238" t="e">
        <f ca="1">IFERROR(计算区域!AL1240,NA())</f>
        <v>#N/A</v>
      </c>
      <c r="E1238" t="e">
        <f ca="1">IFERROR(计算区域!AM1240,NA())</f>
        <v>#N/A</v>
      </c>
      <c r="G1238" t="e">
        <f ca="1">IFERROR(计算区域!AD1240,NA())</f>
        <v>#N/A</v>
      </c>
      <c r="H1238" t="e">
        <f ca="1">IFERROR(计算区域!AE1240,NA())</f>
        <v>#N/A</v>
      </c>
      <c r="I1238" t="e">
        <f ca="1">IFERROR(计算区域!AF1240,NA())</f>
        <v>#N/A</v>
      </c>
      <c r="J1238" t="e">
        <f ca="1">IFERROR(计算区域!AG1240,NA())</f>
        <v>#N/A</v>
      </c>
      <c r="L1238" t="e">
        <f ca="1">IFERROR(计算区域!L1240,NA())</f>
        <v>#N/A</v>
      </c>
      <c r="M1238" t="e">
        <f ca="1">IFERROR(计算区域!M1240,NA())</f>
        <v>#N/A</v>
      </c>
      <c r="N1238" t="e">
        <f ca="1">IFERROR(计算区域!N1240,NA())</f>
        <v>#N/A</v>
      </c>
      <c r="O1238" t="e">
        <f ca="1">IFERROR(计算区域!O1240,NA())</f>
        <v>#N/A</v>
      </c>
      <c r="Q1238" t="e">
        <f ca="1">IFERROR(计算区域!R1240,NA())</f>
        <v>#N/A</v>
      </c>
      <c r="R1238" t="e">
        <f ca="1">IFERROR(计算区域!S1240,NA())</f>
        <v>#N/A</v>
      </c>
      <c r="S1238" t="e">
        <f ca="1">IFERROR(计算区域!T1240,NA())</f>
        <v>#N/A</v>
      </c>
      <c r="T1238" t="e">
        <f ca="1">IFERROR(计算区域!U1240,NA())</f>
        <v>#N/A</v>
      </c>
      <c r="V1238" t="e">
        <f ca="1">IFERROR(计算区域!X1240,NA())</f>
        <v>#N/A</v>
      </c>
      <c r="W1238" t="e">
        <f ca="1">IFERROR(计算区域!Y1240,NA())</f>
        <v>#N/A</v>
      </c>
      <c r="X1238" t="e">
        <f ca="1">IFERROR(计算区域!Z1240,NA())</f>
        <v>#N/A</v>
      </c>
      <c r="Y1238" t="e">
        <f ca="1">IFERROR(计算区域!AA1240,NA())</f>
        <v>#N/A</v>
      </c>
    </row>
    <row r="1239" spans="1:25" x14ac:dyDescent="0.2">
      <c r="A1239" s="28">
        <f>计算区域!E1241</f>
        <v>0</v>
      </c>
      <c r="B1239" t="e">
        <f ca="1">IFERROR(计算区域!AJ1241,NA())</f>
        <v>#N/A</v>
      </c>
      <c r="C1239" t="e">
        <f ca="1">IFERROR(计算区域!AK1241,NA())</f>
        <v>#N/A</v>
      </c>
      <c r="D1239" t="e">
        <f ca="1">IFERROR(计算区域!AL1241,NA())</f>
        <v>#N/A</v>
      </c>
      <c r="E1239" t="e">
        <f ca="1">IFERROR(计算区域!AM1241,NA())</f>
        <v>#N/A</v>
      </c>
      <c r="G1239" t="e">
        <f ca="1">IFERROR(计算区域!AD1241,NA())</f>
        <v>#N/A</v>
      </c>
      <c r="H1239" t="e">
        <f ca="1">IFERROR(计算区域!AE1241,NA())</f>
        <v>#N/A</v>
      </c>
      <c r="I1239" t="e">
        <f ca="1">IFERROR(计算区域!AF1241,NA())</f>
        <v>#N/A</v>
      </c>
      <c r="J1239" t="e">
        <f ca="1">IFERROR(计算区域!AG1241,NA())</f>
        <v>#N/A</v>
      </c>
      <c r="L1239" t="e">
        <f ca="1">IFERROR(计算区域!L1241,NA())</f>
        <v>#N/A</v>
      </c>
      <c r="M1239" t="e">
        <f ca="1">IFERROR(计算区域!M1241,NA())</f>
        <v>#N/A</v>
      </c>
      <c r="N1239" t="e">
        <f ca="1">IFERROR(计算区域!N1241,NA())</f>
        <v>#N/A</v>
      </c>
      <c r="O1239" t="e">
        <f ca="1">IFERROR(计算区域!O1241,NA())</f>
        <v>#N/A</v>
      </c>
      <c r="Q1239" t="e">
        <f ca="1">IFERROR(计算区域!R1241,NA())</f>
        <v>#N/A</v>
      </c>
      <c r="R1239" t="e">
        <f ca="1">IFERROR(计算区域!S1241,NA())</f>
        <v>#N/A</v>
      </c>
      <c r="S1239" t="e">
        <f ca="1">IFERROR(计算区域!T1241,NA())</f>
        <v>#N/A</v>
      </c>
      <c r="T1239" t="e">
        <f ca="1">IFERROR(计算区域!U1241,NA())</f>
        <v>#N/A</v>
      </c>
      <c r="V1239" t="e">
        <f ca="1">IFERROR(计算区域!X1241,NA())</f>
        <v>#N/A</v>
      </c>
      <c r="W1239" t="e">
        <f ca="1">IFERROR(计算区域!Y1241,NA())</f>
        <v>#N/A</v>
      </c>
      <c r="X1239" t="e">
        <f ca="1">IFERROR(计算区域!Z1241,NA())</f>
        <v>#N/A</v>
      </c>
      <c r="Y1239" t="e">
        <f ca="1">IFERROR(计算区域!AA1241,NA())</f>
        <v>#N/A</v>
      </c>
    </row>
    <row r="1240" spans="1:25" x14ac:dyDescent="0.2">
      <c r="A1240" s="28">
        <f>计算区域!E1242</f>
        <v>0</v>
      </c>
      <c r="B1240" t="e">
        <f ca="1">IFERROR(计算区域!AJ1242,NA())</f>
        <v>#N/A</v>
      </c>
      <c r="C1240" t="e">
        <f ca="1">IFERROR(计算区域!AK1242,NA())</f>
        <v>#N/A</v>
      </c>
      <c r="D1240" t="e">
        <f ca="1">IFERROR(计算区域!AL1242,NA())</f>
        <v>#N/A</v>
      </c>
      <c r="E1240" t="e">
        <f ca="1">IFERROR(计算区域!AM1242,NA())</f>
        <v>#N/A</v>
      </c>
      <c r="G1240" t="e">
        <f ca="1">IFERROR(计算区域!AD1242,NA())</f>
        <v>#N/A</v>
      </c>
      <c r="H1240" t="e">
        <f ca="1">IFERROR(计算区域!AE1242,NA())</f>
        <v>#N/A</v>
      </c>
      <c r="I1240" t="e">
        <f ca="1">IFERROR(计算区域!AF1242,NA())</f>
        <v>#N/A</v>
      </c>
      <c r="J1240" t="e">
        <f ca="1">IFERROR(计算区域!AG1242,NA())</f>
        <v>#N/A</v>
      </c>
      <c r="L1240" t="e">
        <f ca="1">IFERROR(计算区域!L1242,NA())</f>
        <v>#N/A</v>
      </c>
      <c r="M1240" t="e">
        <f ca="1">IFERROR(计算区域!M1242,NA())</f>
        <v>#N/A</v>
      </c>
      <c r="N1240" t="e">
        <f ca="1">IFERROR(计算区域!N1242,NA())</f>
        <v>#N/A</v>
      </c>
      <c r="O1240" t="e">
        <f ca="1">IFERROR(计算区域!O1242,NA())</f>
        <v>#N/A</v>
      </c>
      <c r="Q1240" t="e">
        <f ca="1">IFERROR(计算区域!R1242,NA())</f>
        <v>#N/A</v>
      </c>
      <c r="R1240" t="e">
        <f ca="1">IFERROR(计算区域!S1242,NA())</f>
        <v>#N/A</v>
      </c>
      <c r="S1240" t="e">
        <f ca="1">IFERROR(计算区域!T1242,NA())</f>
        <v>#N/A</v>
      </c>
      <c r="T1240" t="e">
        <f ca="1">IFERROR(计算区域!U1242,NA())</f>
        <v>#N/A</v>
      </c>
      <c r="V1240" t="e">
        <f ca="1">IFERROR(计算区域!X1242,NA())</f>
        <v>#N/A</v>
      </c>
      <c r="W1240" t="e">
        <f ca="1">IFERROR(计算区域!Y1242,NA())</f>
        <v>#N/A</v>
      </c>
      <c r="X1240" t="e">
        <f ca="1">IFERROR(计算区域!Z1242,NA())</f>
        <v>#N/A</v>
      </c>
      <c r="Y1240" t="e">
        <f ca="1">IFERROR(计算区域!AA1242,NA())</f>
        <v>#N/A</v>
      </c>
    </row>
    <row r="1241" spans="1:25" x14ac:dyDescent="0.2">
      <c r="A1241" s="28">
        <f>计算区域!E1243</f>
        <v>0</v>
      </c>
      <c r="B1241" t="e">
        <f ca="1">IFERROR(计算区域!AJ1243,NA())</f>
        <v>#N/A</v>
      </c>
      <c r="C1241" t="e">
        <f ca="1">IFERROR(计算区域!AK1243,NA())</f>
        <v>#N/A</v>
      </c>
      <c r="D1241" t="e">
        <f ca="1">IFERROR(计算区域!AL1243,NA())</f>
        <v>#N/A</v>
      </c>
      <c r="E1241" t="e">
        <f ca="1">IFERROR(计算区域!AM1243,NA())</f>
        <v>#N/A</v>
      </c>
      <c r="G1241" t="e">
        <f ca="1">IFERROR(计算区域!AD1243,NA())</f>
        <v>#N/A</v>
      </c>
      <c r="H1241" t="e">
        <f ca="1">IFERROR(计算区域!AE1243,NA())</f>
        <v>#N/A</v>
      </c>
      <c r="I1241" t="e">
        <f ca="1">IFERROR(计算区域!AF1243,NA())</f>
        <v>#N/A</v>
      </c>
      <c r="J1241" t="e">
        <f ca="1">IFERROR(计算区域!AG1243,NA())</f>
        <v>#N/A</v>
      </c>
      <c r="L1241" t="e">
        <f ca="1">IFERROR(计算区域!L1243,NA())</f>
        <v>#N/A</v>
      </c>
      <c r="M1241" t="e">
        <f ca="1">IFERROR(计算区域!M1243,NA())</f>
        <v>#N/A</v>
      </c>
      <c r="N1241" t="e">
        <f ca="1">IFERROR(计算区域!N1243,NA())</f>
        <v>#N/A</v>
      </c>
      <c r="O1241" t="e">
        <f ca="1">IFERROR(计算区域!O1243,NA())</f>
        <v>#N/A</v>
      </c>
      <c r="Q1241" t="e">
        <f ca="1">IFERROR(计算区域!R1243,NA())</f>
        <v>#N/A</v>
      </c>
      <c r="R1241" t="e">
        <f ca="1">IFERROR(计算区域!S1243,NA())</f>
        <v>#N/A</v>
      </c>
      <c r="S1241" t="e">
        <f ca="1">IFERROR(计算区域!T1243,NA())</f>
        <v>#N/A</v>
      </c>
      <c r="T1241" t="e">
        <f ca="1">IFERROR(计算区域!U1243,NA())</f>
        <v>#N/A</v>
      </c>
      <c r="V1241" t="e">
        <f ca="1">IFERROR(计算区域!X1243,NA())</f>
        <v>#N/A</v>
      </c>
      <c r="W1241" t="e">
        <f ca="1">IFERROR(计算区域!Y1243,NA())</f>
        <v>#N/A</v>
      </c>
      <c r="X1241" t="e">
        <f ca="1">IFERROR(计算区域!Z1243,NA())</f>
        <v>#N/A</v>
      </c>
      <c r="Y1241" t="e">
        <f ca="1">IFERROR(计算区域!AA1243,NA())</f>
        <v>#N/A</v>
      </c>
    </row>
    <row r="1242" spans="1:25" x14ac:dyDescent="0.2">
      <c r="A1242" s="28">
        <f>计算区域!E1244</f>
        <v>0</v>
      </c>
      <c r="B1242" t="e">
        <f ca="1">IFERROR(计算区域!AJ1244,NA())</f>
        <v>#N/A</v>
      </c>
      <c r="C1242" t="e">
        <f ca="1">IFERROR(计算区域!AK1244,NA())</f>
        <v>#N/A</v>
      </c>
      <c r="D1242" t="e">
        <f ca="1">IFERROR(计算区域!AL1244,NA())</f>
        <v>#N/A</v>
      </c>
      <c r="E1242" t="e">
        <f ca="1">IFERROR(计算区域!AM1244,NA())</f>
        <v>#N/A</v>
      </c>
      <c r="G1242" t="e">
        <f ca="1">IFERROR(计算区域!AD1244,NA())</f>
        <v>#N/A</v>
      </c>
      <c r="H1242" t="e">
        <f ca="1">IFERROR(计算区域!AE1244,NA())</f>
        <v>#N/A</v>
      </c>
      <c r="I1242" t="e">
        <f ca="1">IFERROR(计算区域!AF1244,NA())</f>
        <v>#N/A</v>
      </c>
      <c r="J1242" t="e">
        <f ca="1">IFERROR(计算区域!AG1244,NA())</f>
        <v>#N/A</v>
      </c>
      <c r="L1242" t="e">
        <f ca="1">IFERROR(计算区域!L1244,NA())</f>
        <v>#N/A</v>
      </c>
      <c r="M1242" t="e">
        <f ca="1">IFERROR(计算区域!M1244,NA())</f>
        <v>#N/A</v>
      </c>
      <c r="N1242" t="e">
        <f ca="1">IFERROR(计算区域!N1244,NA())</f>
        <v>#N/A</v>
      </c>
      <c r="O1242" t="e">
        <f ca="1">IFERROR(计算区域!O1244,NA())</f>
        <v>#N/A</v>
      </c>
      <c r="Q1242" t="e">
        <f ca="1">IFERROR(计算区域!R1244,NA())</f>
        <v>#N/A</v>
      </c>
      <c r="R1242" t="e">
        <f ca="1">IFERROR(计算区域!S1244,NA())</f>
        <v>#N/A</v>
      </c>
      <c r="S1242" t="e">
        <f ca="1">IFERROR(计算区域!T1244,NA())</f>
        <v>#N/A</v>
      </c>
      <c r="T1242" t="e">
        <f ca="1">IFERROR(计算区域!U1244,NA())</f>
        <v>#N/A</v>
      </c>
      <c r="V1242" t="e">
        <f ca="1">IFERROR(计算区域!X1244,NA())</f>
        <v>#N/A</v>
      </c>
      <c r="W1242" t="e">
        <f ca="1">IFERROR(计算区域!Y1244,NA())</f>
        <v>#N/A</v>
      </c>
      <c r="X1242" t="e">
        <f ca="1">IFERROR(计算区域!Z1244,NA())</f>
        <v>#N/A</v>
      </c>
      <c r="Y1242" t="e">
        <f ca="1">IFERROR(计算区域!AA1244,NA())</f>
        <v>#N/A</v>
      </c>
    </row>
    <row r="1243" spans="1:25" x14ac:dyDescent="0.2">
      <c r="A1243" s="28">
        <f>计算区域!E1245</f>
        <v>0</v>
      </c>
      <c r="B1243" t="e">
        <f ca="1">IFERROR(计算区域!AJ1245,NA())</f>
        <v>#N/A</v>
      </c>
      <c r="C1243" t="e">
        <f ca="1">IFERROR(计算区域!AK1245,NA())</f>
        <v>#N/A</v>
      </c>
      <c r="D1243" t="e">
        <f ca="1">IFERROR(计算区域!AL1245,NA())</f>
        <v>#N/A</v>
      </c>
      <c r="E1243" t="e">
        <f ca="1">IFERROR(计算区域!AM1245,NA())</f>
        <v>#N/A</v>
      </c>
      <c r="G1243" t="e">
        <f ca="1">IFERROR(计算区域!AD1245,NA())</f>
        <v>#N/A</v>
      </c>
      <c r="H1243" t="e">
        <f ca="1">IFERROR(计算区域!AE1245,NA())</f>
        <v>#N/A</v>
      </c>
      <c r="I1243" t="e">
        <f ca="1">IFERROR(计算区域!AF1245,NA())</f>
        <v>#N/A</v>
      </c>
      <c r="J1243" t="e">
        <f ca="1">IFERROR(计算区域!AG1245,NA())</f>
        <v>#N/A</v>
      </c>
      <c r="L1243" t="e">
        <f ca="1">IFERROR(计算区域!L1245,NA())</f>
        <v>#N/A</v>
      </c>
      <c r="M1243" t="e">
        <f ca="1">IFERROR(计算区域!M1245,NA())</f>
        <v>#N/A</v>
      </c>
      <c r="N1243" t="e">
        <f ca="1">IFERROR(计算区域!N1245,NA())</f>
        <v>#N/A</v>
      </c>
      <c r="O1243" t="e">
        <f ca="1">IFERROR(计算区域!O1245,NA())</f>
        <v>#N/A</v>
      </c>
      <c r="Q1243" t="e">
        <f ca="1">IFERROR(计算区域!R1245,NA())</f>
        <v>#N/A</v>
      </c>
      <c r="R1243" t="e">
        <f ca="1">IFERROR(计算区域!S1245,NA())</f>
        <v>#N/A</v>
      </c>
      <c r="S1243" t="e">
        <f ca="1">IFERROR(计算区域!T1245,NA())</f>
        <v>#N/A</v>
      </c>
      <c r="T1243" t="e">
        <f ca="1">IFERROR(计算区域!U1245,NA())</f>
        <v>#N/A</v>
      </c>
      <c r="V1243" t="e">
        <f ca="1">IFERROR(计算区域!X1245,NA())</f>
        <v>#N/A</v>
      </c>
      <c r="W1243" t="e">
        <f ca="1">IFERROR(计算区域!Y1245,NA())</f>
        <v>#N/A</v>
      </c>
      <c r="X1243" t="e">
        <f ca="1">IFERROR(计算区域!Z1245,NA())</f>
        <v>#N/A</v>
      </c>
      <c r="Y1243" t="e">
        <f ca="1">IFERROR(计算区域!AA1245,NA())</f>
        <v>#N/A</v>
      </c>
    </row>
    <row r="1244" spans="1:25" x14ac:dyDescent="0.2">
      <c r="A1244" s="28">
        <f>计算区域!E1246</f>
        <v>0</v>
      </c>
      <c r="B1244" t="e">
        <f ca="1">IFERROR(计算区域!AJ1246,NA())</f>
        <v>#N/A</v>
      </c>
      <c r="C1244" t="e">
        <f ca="1">IFERROR(计算区域!AK1246,NA())</f>
        <v>#N/A</v>
      </c>
      <c r="D1244" t="e">
        <f ca="1">IFERROR(计算区域!AL1246,NA())</f>
        <v>#N/A</v>
      </c>
      <c r="E1244" t="e">
        <f ca="1">IFERROR(计算区域!AM1246,NA())</f>
        <v>#N/A</v>
      </c>
      <c r="G1244" t="e">
        <f ca="1">IFERROR(计算区域!AD1246,NA())</f>
        <v>#N/A</v>
      </c>
      <c r="H1244" t="e">
        <f ca="1">IFERROR(计算区域!AE1246,NA())</f>
        <v>#N/A</v>
      </c>
      <c r="I1244" t="e">
        <f ca="1">IFERROR(计算区域!AF1246,NA())</f>
        <v>#N/A</v>
      </c>
      <c r="J1244" t="e">
        <f ca="1">IFERROR(计算区域!AG1246,NA())</f>
        <v>#N/A</v>
      </c>
      <c r="L1244" t="e">
        <f ca="1">IFERROR(计算区域!L1246,NA())</f>
        <v>#N/A</v>
      </c>
      <c r="M1244" t="e">
        <f ca="1">IFERROR(计算区域!M1246,NA())</f>
        <v>#N/A</v>
      </c>
      <c r="N1244" t="e">
        <f ca="1">IFERROR(计算区域!N1246,NA())</f>
        <v>#N/A</v>
      </c>
      <c r="O1244" t="e">
        <f ca="1">IFERROR(计算区域!O1246,NA())</f>
        <v>#N/A</v>
      </c>
      <c r="Q1244" t="e">
        <f ca="1">IFERROR(计算区域!R1246,NA())</f>
        <v>#N/A</v>
      </c>
      <c r="R1244" t="e">
        <f ca="1">IFERROR(计算区域!S1246,NA())</f>
        <v>#N/A</v>
      </c>
      <c r="S1244" t="e">
        <f ca="1">IFERROR(计算区域!T1246,NA())</f>
        <v>#N/A</v>
      </c>
      <c r="T1244" t="e">
        <f ca="1">IFERROR(计算区域!U1246,NA())</f>
        <v>#N/A</v>
      </c>
      <c r="V1244" t="e">
        <f ca="1">IFERROR(计算区域!X1246,NA())</f>
        <v>#N/A</v>
      </c>
      <c r="W1244" t="e">
        <f ca="1">IFERROR(计算区域!Y1246,NA())</f>
        <v>#N/A</v>
      </c>
      <c r="X1244" t="e">
        <f ca="1">IFERROR(计算区域!Z1246,NA())</f>
        <v>#N/A</v>
      </c>
      <c r="Y1244" t="e">
        <f ca="1">IFERROR(计算区域!AA1246,NA())</f>
        <v>#N/A</v>
      </c>
    </row>
    <row r="1245" spans="1:25" x14ac:dyDescent="0.2">
      <c r="A1245" s="28">
        <f>计算区域!E1247</f>
        <v>0</v>
      </c>
      <c r="B1245" t="e">
        <f ca="1">IFERROR(计算区域!AJ1247,NA())</f>
        <v>#N/A</v>
      </c>
      <c r="C1245" t="e">
        <f ca="1">IFERROR(计算区域!AK1247,NA())</f>
        <v>#N/A</v>
      </c>
      <c r="D1245" t="e">
        <f ca="1">IFERROR(计算区域!AL1247,NA())</f>
        <v>#N/A</v>
      </c>
      <c r="E1245" t="e">
        <f ca="1">IFERROR(计算区域!AM1247,NA())</f>
        <v>#N/A</v>
      </c>
      <c r="G1245" t="e">
        <f ca="1">IFERROR(计算区域!AD1247,NA())</f>
        <v>#N/A</v>
      </c>
      <c r="H1245" t="e">
        <f ca="1">IFERROR(计算区域!AE1247,NA())</f>
        <v>#N/A</v>
      </c>
      <c r="I1245" t="e">
        <f ca="1">IFERROR(计算区域!AF1247,NA())</f>
        <v>#N/A</v>
      </c>
      <c r="J1245" t="e">
        <f ca="1">IFERROR(计算区域!AG1247,NA())</f>
        <v>#N/A</v>
      </c>
      <c r="L1245" t="e">
        <f ca="1">IFERROR(计算区域!L1247,NA())</f>
        <v>#N/A</v>
      </c>
      <c r="M1245" t="e">
        <f ca="1">IFERROR(计算区域!M1247,NA())</f>
        <v>#N/A</v>
      </c>
      <c r="N1245" t="e">
        <f ca="1">IFERROR(计算区域!N1247,NA())</f>
        <v>#N/A</v>
      </c>
      <c r="O1245" t="e">
        <f ca="1">IFERROR(计算区域!O1247,NA())</f>
        <v>#N/A</v>
      </c>
      <c r="Q1245" t="e">
        <f ca="1">IFERROR(计算区域!R1247,NA())</f>
        <v>#N/A</v>
      </c>
      <c r="R1245" t="e">
        <f ca="1">IFERROR(计算区域!S1247,NA())</f>
        <v>#N/A</v>
      </c>
      <c r="S1245" t="e">
        <f ca="1">IFERROR(计算区域!T1247,NA())</f>
        <v>#N/A</v>
      </c>
      <c r="T1245" t="e">
        <f ca="1">IFERROR(计算区域!U1247,NA())</f>
        <v>#N/A</v>
      </c>
      <c r="V1245" t="e">
        <f ca="1">IFERROR(计算区域!X1247,NA())</f>
        <v>#N/A</v>
      </c>
      <c r="W1245" t="e">
        <f ca="1">IFERROR(计算区域!Y1247,NA())</f>
        <v>#N/A</v>
      </c>
      <c r="X1245" t="e">
        <f ca="1">IFERROR(计算区域!Z1247,NA())</f>
        <v>#N/A</v>
      </c>
      <c r="Y1245" t="e">
        <f ca="1">IFERROR(计算区域!AA1247,NA())</f>
        <v>#N/A</v>
      </c>
    </row>
    <row r="1246" spans="1:25" x14ac:dyDescent="0.2">
      <c r="A1246" s="28">
        <f>计算区域!E1248</f>
        <v>0</v>
      </c>
      <c r="B1246" t="e">
        <f ca="1">IFERROR(计算区域!AJ1248,NA())</f>
        <v>#N/A</v>
      </c>
      <c r="C1246" t="e">
        <f ca="1">IFERROR(计算区域!AK1248,NA())</f>
        <v>#N/A</v>
      </c>
      <c r="D1246" t="e">
        <f ca="1">IFERROR(计算区域!AL1248,NA())</f>
        <v>#N/A</v>
      </c>
      <c r="E1246" t="e">
        <f ca="1">IFERROR(计算区域!AM1248,NA())</f>
        <v>#N/A</v>
      </c>
      <c r="G1246" t="e">
        <f ca="1">IFERROR(计算区域!AD1248,NA())</f>
        <v>#N/A</v>
      </c>
      <c r="H1246" t="e">
        <f ca="1">IFERROR(计算区域!AE1248,NA())</f>
        <v>#N/A</v>
      </c>
      <c r="I1246" t="e">
        <f ca="1">IFERROR(计算区域!AF1248,NA())</f>
        <v>#N/A</v>
      </c>
      <c r="J1246" t="e">
        <f ca="1">IFERROR(计算区域!AG1248,NA())</f>
        <v>#N/A</v>
      </c>
      <c r="L1246" t="e">
        <f ca="1">IFERROR(计算区域!L1248,NA())</f>
        <v>#N/A</v>
      </c>
      <c r="M1246" t="e">
        <f ca="1">IFERROR(计算区域!M1248,NA())</f>
        <v>#N/A</v>
      </c>
      <c r="N1246" t="e">
        <f ca="1">IFERROR(计算区域!N1248,NA())</f>
        <v>#N/A</v>
      </c>
      <c r="O1246" t="e">
        <f ca="1">IFERROR(计算区域!O1248,NA())</f>
        <v>#N/A</v>
      </c>
      <c r="Q1246" t="e">
        <f ca="1">IFERROR(计算区域!R1248,NA())</f>
        <v>#N/A</v>
      </c>
      <c r="R1246" t="e">
        <f ca="1">IFERROR(计算区域!S1248,NA())</f>
        <v>#N/A</v>
      </c>
      <c r="S1246" t="e">
        <f ca="1">IFERROR(计算区域!T1248,NA())</f>
        <v>#N/A</v>
      </c>
      <c r="T1246" t="e">
        <f ca="1">IFERROR(计算区域!U1248,NA())</f>
        <v>#N/A</v>
      </c>
      <c r="V1246" t="e">
        <f ca="1">IFERROR(计算区域!X1248,NA())</f>
        <v>#N/A</v>
      </c>
      <c r="W1246" t="e">
        <f ca="1">IFERROR(计算区域!Y1248,NA())</f>
        <v>#N/A</v>
      </c>
      <c r="X1246" t="e">
        <f ca="1">IFERROR(计算区域!Z1248,NA())</f>
        <v>#N/A</v>
      </c>
      <c r="Y1246" t="e">
        <f ca="1">IFERROR(计算区域!AA1248,NA())</f>
        <v>#N/A</v>
      </c>
    </row>
    <row r="1247" spans="1:25" x14ac:dyDescent="0.2">
      <c r="A1247" s="28">
        <f>计算区域!E1249</f>
        <v>0</v>
      </c>
      <c r="B1247" t="e">
        <f ca="1">IFERROR(计算区域!AJ1249,NA())</f>
        <v>#N/A</v>
      </c>
      <c r="C1247" t="e">
        <f ca="1">IFERROR(计算区域!AK1249,NA())</f>
        <v>#N/A</v>
      </c>
      <c r="D1247" t="e">
        <f ca="1">IFERROR(计算区域!AL1249,NA())</f>
        <v>#N/A</v>
      </c>
      <c r="E1247" t="e">
        <f ca="1">IFERROR(计算区域!AM1249,NA())</f>
        <v>#N/A</v>
      </c>
      <c r="G1247" t="e">
        <f ca="1">IFERROR(计算区域!AD1249,NA())</f>
        <v>#N/A</v>
      </c>
      <c r="H1247" t="e">
        <f ca="1">IFERROR(计算区域!AE1249,NA())</f>
        <v>#N/A</v>
      </c>
      <c r="I1247" t="e">
        <f ca="1">IFERROR(计算区域!AF1249,NA())</f>
        <v>#N/A</v>
      </c>
      <c r="J1247" t="e">
        <f ca="1">IFERROR(计算区域!AG1249,NA())</f>
        <v>#N/A</v>
      </c>
      <c r="L1247" t="e">
        <f ca="1">IFERROR(计算区域!L1249,NA())</f>
        <v>#N/A</v>
      </c>
      <c r="M1247" t="e">
        <f ca="1">IFERROR(计算区域!M1249,NA())</f>
        <v>#N/A</v>
      </c>
      <c r="N1247" t="e">
        <f ca="1">IFERROR(计算区域!N1249,NA())</f>
        <v>#N/A</v>
      </c>
      <c r="O1247" t="e">
        <f ca="1">IFERROR(计算区域!O1249,NA())</f>
        <v>#N/A</v>
      </c>
      <c r="Q1247" t="e">
        <f ca="1">IFERROR(计算区域!R1249,NA())</f>
        <v>#N/A</v>
      </c>
      <c r="R1247" t="e">
        <f ca="1">IFERROR(计算区域!S1249,NA())</f>
        <v>#N/A</v>
      </c>
      <c r="S1247" t="e">
        <f ca="1">IFERROR(计算区域!T1249,NA())</f>
        <v>#N/A</v>
      </c>
      <c r="T1247" t="e">
        <f ca="1">IFERROR(计算区域!U1249,NA())</f>
        <v>#N/A</v>
      </c>
      <c r="V1247" t="e">
        <f ca="1">IFERROR(计算区域!X1249,NA())</f>
        <v>#N/A</v>
      </c>
      <c r="W1247" t="e">
        <f ca="1">IFERROR(计算区域!Y1249,NA())</f>
        <v>#N/A</v>
      </c>
      <c r="X1247" t="e">
        <f ca="1">IFERROR(计算区域!Z1249,NA())</f>
        <v>#N/A</v>
      </c>
      <c r="Y1247" t="e">
        <f ca="1">IFERROR(计算区域!AA1249,NA())</f>
        <v>#N/A</v>
      </c>
    </row>
    <row r="1248" spans="1:25" x14ac:dyDescent="0.2">
      <c r="A1248" s="28">
        <f>计算区域!E1250</f>
        <v>0</v>
      </c>
      <c r="B1248" t="e">
        <f ca="1">IFERROR(计算区域!AJ1250,NA())</f>
        <v>#N/A</v>
      </c>
      <c r="C1248" t="e">
        <f ca="1">IFERROR(计算区域!AK1250,NA())</f>
        <v>#N/A</v>
      </c>
      <c r="D1248" t="e">
        <f ca="1">IFERROR(计算区域!AL1250,NA())</f>
        <v>#N/A</v>
      </c>
      <c r="E1248" t="e">
        <f ca="1">IFERROR(计算区域!AM1250,NA())</f>
        <v>#N/A</v>
      </c>
      <c r="G1248" t="e">
        <f ca="1">IFERROR(计算区域!AD1250,NA())</f>
        <v>#N/A</v>
      </c>
      <c r="H1248" t="e">
        <f ca="1">IFERROR(计算区域!AE1250,NA())</f>
        <v>#N/A</v>
      </c>
      <c r="I1248" t="e">
        <f ca="1">IFERROR(计算区域!AF1250,NA())</f>
        <v>#N/A</v>
      </c>
      <c r="J1248" t="e">
        <f ca="1">IFERROR(计算区域!AG1250,NA())</f>
        <v>#N/A</v>
      </c>
      <c r="L1248" t="e">
        <f ca="1">IFERROR(计算区域!L1250,NA())</f>
        <v>#N/A</v>
      </c>
      <c r="M1248" t="e">
        <f ca="1">IFERROR(计算区域!M1250,NA())</f>
        <v>#N/A</v>
      </c>
      <c r="N1248" t="e">
        <f ca="1">IFERROR(计算区域!N1250,NA())</f>
        <v>#N/A</v>
      </c>
      <c r="O1248" t="e">
        <f ca="1">IFERROR(计算区域!O1250,NA())</f>
        <v>#N/A</v>
      </c>
      <c r="Q1248" t="e">
        <f ca="1">IFERROR(计算区域!R1250,NA())</f>
        <v>#N/A</v>
      </c>
      <c r="R1248" t="e">
        <f ca="1">IFERROR(计算区域!S1250,NA())</f>
        <v>#N/A</v>
      </c>
      <c r="S1248" t="e">
        <f ca="1">IFERROR(计算区域!T1250,NA())</f>
        <v>#N/A</v>
      </c>
      <c r="T1248" t="e">
        <f ca="1">IFERROR(计算区域!U1250,NA())</f>
        <v>#N/A</v>
      </c>
      <c r="V1248" t="e">
        <f ca="1">IFERROR(计算区域!X1250,NA())</f>
        <v>#N/A</v>
      </c>
      <c r="W1248" t="e">
        <f ca="1">IFERROR(计算区域!Y1250,NA())</f>
        <v>#N/A</v>
      </c>
      <c r="X1248" t="e">
        <f ca="1">IFERROR(计算区域!Z1250,NA())</f>
        <v>#N/A</v>
      </c>
      <c r="Y1248" t="e">
        <f ca="1">IFERROR(计算区域!AA1250,NA())</f>
        <v>#N/A</v>
      </c>
    </row>
    <row r="1249" spans="1:25" x14ac:dyDescent="0.2">
      <c r="A1249" s="28">
        <f>计算区域!E1251</f>
        <v>0</v>
      </c>
      <c r="B1249" t="e">
        <f ca="1">IFERROR(计算区域!AJ1251,NA())</f>
        <v>#N/A</v>
      </c>
      <c r="C1249" t="e">
        <f ca="1">IFERROR(计算区域!AK1251,NA())</f>
        <v>#N/A</v>
      </c>
      <c r="D1249" t="e">
        <f ca="1">IFERROR(计算区域!AL1251,NA())</f>
        <v>#N/A</v>
      </c>
      <c r="E1249" t="e">
        <f ca="1">IFERROR(计算区域!AM1251,NA())</f>
        <v>#N/A</v>
      </c>
      <c r="G1249" t="e">
        <f ca="1">IFERROR(计算区域!AD1251,NA())</f>
        <v>#N/A</v>
      </c>
      <c r="H1249" t="e">
        <f ca="1">IFERROR(计算区域!AE1251,NA())</f>
        <v>#N/A</v>
      </c>
      <c r="I1249" t="e">
        <f ca="1">IFERROR(计算区域!AF1251,NA())</f>
        <v>#N/A</v>
      </c>
      <c r="J1249" t="e">
        <f ca="1">IFERROR(计算区域!AG1251,NA())</f>
        <v>#N/A</v>
      </c>
      <c r="L1249" t="e">
        <f ca="1">IFERROR(计算区域!L1251,NA())</f>
        <v>#N/A</v>
      </c>
      <c r="M1249" t="e">
        <f ca="1">IFERROR(计算区域!M1251,NA())</f>
        <v>#N/A</v>
      </c>
      <c r="N1249" t="e">
        <f ca="1">IFERROR(计算区域!N1251,NA())</f>
        <v>#N/A</v>
      </c>
      <c r="O1249" t="e">
        <f ca="1">IFERROR(计算区域!O1251,NA())</f>
        <v>#N/A</v>
      </c>
      <c r="Q1249" t="e">
        <f ca="1">IFERROR(计算区域!R1251,NA())</f>
        <v>#N/A</v>
      </c>
      <c r="R1249" t="e">
        <f ca="1">IFERROR(计算区域!S1251,NA())</f>
        <v>#N/A</v>
      </c>
      <c r="S1249" t="e">
        <f ca="1">IFERROR(计算区域!T1251,NA())</f>
        <v>#N/A</v>
      </c>
      <c r="T1249" t="e">
        <f ca="1">IFERROR(计算区域!U1251,NA())</f>
        <v>#N/A</v>
      </c>
      <c r="V1249" t="e">
        <f ca="1">IFERROR(计算区域!X1251,NA())</f>
        <v>#N/A</v>
      </c>
      <c r="W1249" t="e">
        <f ca="1">IFERROR(计算区域!Y1251,NA())</f>
        <v>#N/A</v>
      </c>
      <c r="X1249" t="e">
        <f ca="1">IFERROR(计算区域!Z1251,NA())</f>
        <v>#N/A</v>
      </c>
      <c r="Y1249" t="e">
        <f ca="1">IFERROR(计算区域!AA1251,NA())</f>
        <v>#N/A</v>
      </c>
    </row>
    <row r="1250" spans="1:25" x14ac:dyDescent="0.2">
      <c r="A1250" s="28">
        <f>计算区域!E1252</f>
        <v>0</v>
      </c>
      <c r="B1250" t="e">
        <f ca="1">IFERROR(计算区域!AJ1252,NA())</f>
        <v>#N/A</v>
      </c>
      <c r="C1250" t="e">
        <f ca="1">IFERROR(计算区域!AK1252,NA())</f>
        <v>#N/A</v>
      </c>
      <c r="D1250" t="e">
        <f ca="1">IFERROR(计算区域!AL1252,NA())</f>
        <v>#N/A</v>
      </c>
      <c r="E1250" t="e">
        <f ca="1">IFERROR(计算区域!AM1252,NA())</f>
        <v>#N/A</v>
      </c>
      <c r="G1250" t="e">
        <f ca="1">IFERROR(计算区域!AD1252,NA())</f>
        <v>#N/A</v>
      </c>
      <c r="H1250" t="e">
        <f ca="1">IFERROR(计算区域!AE1252,NA())</f>
        <v>#N/A</v>
      </c>
      <c r="I1250" t="e">
        <f ca="1">IFERROR(计算区域!AF1252,NA())</f>
        <v>#N/A</v>
      </c>
      <c r="J1250" t="e">
        <f ca="1">IFERROR(计算区域!AG1252,NA())</f>
        <v>#N/A</v>
      </c>
      <c r="L1250" t="e">
        <f ca="1">IFERROR(计算区域!L1252,NA())</f>
        <v>#N/A</v>
      </c>
      <c r="M1250" t="e">
        <f ca="1">IFERROR(计算区域!M1252,NA())</f>
        <v>#N/A</v>
      </c>
      <c r="N1250" t="e">
        <f ca="1">IFERROR(计算区域!N1252,NA())</f>
        <v>#N/A</v>
      </c>
      <c r="O1250" t="e">
        <f ca="1">IFERROR(计算区域!O1252,NA())</f>
        <v>#N/A</v>
      </c>
      <c r="Q1250" t="e">
        <f ca="1">IFERROR(计算区域!R1252,NA())</f>
        <v>#N/A</v>
      </c>
      <c r="R1250" t="e">
        <f ca="1">IFERROR(计算区域!S1252,NA())</f>
        <v>#N/A</v>
      </c>
      <c r="S1250" t="e">
        <f ca="1">IFERROR(计算区域!T1252,NA())</f>
        <v>#N/A</v>
      </c>
      <c r="T1250" t="e">
        <f ca="1">IFERROR(计算区域!U1252,NA())</f>
        <v>#N/A</v>
      </c>
      <c r="V1250" t="e">
        <f ca="1">IFERROR(计算区域!X1252,NA())</f>
        <v>#N/A</v>
      </c>
      <c r="W1250" t="e">
        <f ca="1">IFERROR(计算区域!Y1252,NA())</f>
        <v>#N/A</v>
      </c>
      <c r="X1250" t="e">
        <f ca="1">IFERROR(计算区域!Z1252,NA())</f>
        <v>#N/A</v>
      </c>
      <c r="Y1250" t="e">
        <f ca="1">IFERROR(计算区域!AA1252,NA())</f>
        <v>#N/A</v>
      </c>
    </row>
    <row r="1251" spans="1:25" x14ac:dyDescent="0.2">
      <c r="A1251" s="28">
        <f>计算区域!E1253</f>
        <v>0</v>
      </c>
      <c r="B1251" t="e">
        <f ca="1">IFERROR(计算区域!AJ1253,NA())</f>
        <v>#N/A</v>
      </c>
      <c r="C1251" t="e">
        <f ca="1">IFERROR(计算区域!AK1253,NA())</f>
        <v>#N/A</v>
      </c>
      <c r="D1251" t="e">
        <f ca="1">IFERROR(计算区域!AL1253,NA())</f>
        <v>#N/A</v>
      </c>
      <c r="E1251" t="e">
        <f ca="1">IFERROR(计算区域!AM1253,NA())</f>
        <v>#N/A</v>
      </c>
      <c r="G1251" t="e">
        <f ca="1">IFERROR(计算区域!AD1253,NA())</f>
        <v>#N/A</v>
      </c>
      <c r="H1251" t="e">
        <f ca="1">IFERROR(计算区域!AE1253,NA())</f>
        <v>#N/A</v>
      </c>
      <c r="I1251" t="e">
        <f ca="1">IFERROR(计算区域!AF1253,NA())</f>
        <v>#N/A</v>
      </c>
      <c r="J1251" t="e">
        <f ca="1">IFERROR(计算区域!AG1253,NA())</f>
        <v>#N/A</v>
      </c>
      <c r="L1251" t="e">
        <f ca="1">IFERROR(计算区域!L1253,NA())</f>
        <v>#N/A</v>
      </c>
      <c r="M1251" t="e">
        <f ca="1">IFERROR(计算区域!M1253,NA())</f>
        <v>#N/A</v>
      </c>
      <c r="N1251" t="e">
        <f ca="1">IFERROR(计算区域!N1253,NA())</f>
        <v>#N/A</v>
      </c>
      <c r="O1251" t="e">
        <f ca="1">IFERROR(计算区域!O1253,NA())</f>
        <v>#N/A</v>
      </c>
      <c r="Q1251" t="e">
        <f ca="1">IFERROR(计算区域!R1253,NA())</f>
        <v>#N/A</v>
      </c>
      <c r="R1251" t="e">
        <f ca="1">IFERROR(计算区域!S1253,NA())</f>
        <v>#N/A</v>
      </c>
      <c r="S1251" t="e">
        <f ca="1">IFERROR(计算区域!T1253,NA())</f>
        <v>#N/A</v>
      </c>
      <c r="T1251" t="e">
        <f ca="1">IFERROR(计算区域!U1253,NA())</f>
        <v>#N/A</v>
      </c>
      <c r="V1251" t="e">
        <f ca="1">IFERROR(计算区域!X1253,NA())</f>
        <v>#N/A</v>
      </c>
      <c r="W1251" t="e">
        <f ca="1">IFERROR(计算区域!Y1253,NA())</f>
        <v>#N/A</v>
      </c>
      <c r="X1251" t="e">
        <f ca="1">IFERROR(计算区域!Z1253,NA())</f>
        <v>#N/A</v>
      </c>
      <c r="Y1251" t="e">
        <f ca="1">IFERROR(计算区域!AA1253,NA())</f>
        <v>#N/A</v>
      </c>
    </row>
    <row r="1252" spans="1:25" x14ac:dyDescent="0.2">
      <c r="A1252" s="28">
        <f>计算区域!E1254</f>
        <v>0</v>
      </c>
      <c r="B1252" t="e">
        <f ca="1">IFERROR(计算区域!AJ1254,NA())</f>
        <v>#N/A</v>
      </c>
      <c r="C1252" t="e">
        <f ca="1">IFERROR(计算区域!AK1254,NA())</f>
        <v>#N/A</v>
      </c>
      <c r="D1252" t="e">
        <f ca="1">IFERROR(计算区域!AL1254,NA())</f>
        <v>#N/A</v>
      </c>
      <c r="E1252" t="e">
        <f ca="1">IFERROR(计算区域!AM1254,NA())</f>
        <v>#N/A</v>
      </c>
      <c r="G1252" t="e">
        <f ca="1">IFERROR(计算区域!AD1254,NA())</f>
        <v>#N/A</v>
      </c>
      <c r="H1252" t="e">
        <f ca="1">IFERROR(计算区域!AE1254,NA())</f>
        <v>#N/A</v>
      </c>
      <c r="I1252" t="e">
        <f ca="1">IFERROR(计算区域!AF1254,NA())</f>
        <v>#N/A</v>
      </c>
      <c r="J1252" t="e">
        <f ca="1">IFERROR(计算区域!AG1254,NA())</f>
        <v>#N/A</v>
      </c>
      <c r="L1252" t="e">
        <f ca="1">IFERROR(计算区域!L1254,NA())</f>
        <v>#N/A</v>
      </c>
      <c r="M1252" t="e">
        <f ca="1">IFERROR(计算区域!M1254,NA())</f>
        <v>#N/A</v>
      </c>
      <c r="N1252" t="e">
        <f ca="1">IFERROR(计算区域!N1254,NA())</f>
        <v>#N/A</v>
      </c>
      <c r="O1252" t="e">
        <f ca="1">IFERROR(计算区域!O1254,NA())</f>
        <v>#N/A</v>
      </c>
      <c r="Q1252" t="e">
        <f ca="1">IFERROR(计算区域!R1254,NA())</f>
        <v>#N/A</v>
      </c>
      <c r="R1252" t="e">
        <f ca="1">IFERROR(计算区域!S1254,NA())</f>
        <v>#N/A</v>
      </c>
      <c r="S1252" t="e">
        <f ca="1">IFERROR(计算区域!T1254,NA())</f>
        <v>#N/A</v>
      </c>
      <c r="T1252" t="e">
        <f ca="1">IFERROR(计算区域!U1254,NA())</f>
        <v>#N/A</v>
      </c>
      <c r="V1252" t="e">
        <f ca="1">IFERROR(计算区域!X1254,NA())</f>
        <v>#N/A</v>
      </c>
      <c r="W1252" t="e">
        <f ca="1">IFERROR(计算区域!Y1254,NA())</f>
        <v>#N/A</v>
      </c>
      <c r="X1252" t="e">
        <f ca="1">IFERROR(计算区域!Z1254,NA())</f>
        <v>#N/A</v>
      </c>
      <c r="Y1252" t="e">
        <f ca="1">IFERROR(计算区域!AA1254,NA())</f>
        <v>#N/A</v>
      </c>
    </row>
    <row r="1253" spans="1:25" x14ac:dyDescent="0.2">
      <c r="A1253" s="28">
        <f>计算区域!E1255</f>
        <v>0</v>
      </c>
      <c r="B1253" t="e">
        <f ca="1">IFERROR(计算区域!AJ1255,NA())</f>
        <v>#N/A</v>
      </c>
      <c r="C1253" t="e">
        <f ca="1">IFERROR(计算区域!AK1255,NA())</f>
        <v>#N/A</v>
      </c>
      <c r="D1253" t="e">
        <f ca="1">IFERROR(计算区域!AL1255,NA())</f>
        <v>#N/A</v>
      </c>
      <c r="E1253" t="e">
        <f ca="1">IFERROR(计算区域!AM1255,NA())</f>
        <v>#N/A</v>
      </c>
      <c r="G1253" t="e">
        <f ca="1">IFERROR(计算区域!AD1255,NA())</f>
        <v>#N/A</v>
      </c>
      <c r="H1253" t="e">
        <f ca="1">IFERROR(计算区域!AE1255,NA())</f>
        <v>#N/A</v>
      </c>
      <c r="I1253" t="e">
        <f ca="1">IFERROR(计算区域!AF1255,NA())</f>
        <v>#N/A</v>
      </c>
      <c r="J1253" t="e">
        <f ca="1">IFERROR(计算区域!AG1255,NA())</f>
        <v>#N/A</v>
      </c>
      <c r="L1253" t="e">
        <f ca="1">IFERROR(计算区域!L1255,NA())</f>
        <v>#N/A</v>
      </c>
      <c r="M1253" t="e">
        <f ca="1">IFERROR(计算区域!M1255,NA())</f>
        <v>#N/A</v>
      </c>
      <c r="N1253" t="e">
        <f ca="1">IFERROR(计算区域!N1255,NA())</f>
        <v>#N/A</v>
      </c>
      <c r="O1253" t="e">
        <f ca="1">IFERROR(计算区域!O1255,NA())</f>
        <v>#N/A</v>
      </c>
      <c r="Q1253" t="e">
        <f ca="1">IFERROR(计算区域!R1255,NA())</f>
        <v>#N/A</v>
      </c>
      <c r="R1253" t="e">
        <f ca="1">IFERROR(计算区域!S1255,NA())</f>
        <v>#N/A</v>
      </c>
      <c r="S1253" t="e">
        <f ca="1">IFERROR(计算区域!T1255,NA())</f>
        <v>#N/A</v>
      </c>
      <c r="T1253" t="e">
        <f ca="1">IFERROR(计算区域!U1255,NA())</f>
        <v>#N/A</v>
      </c>
      <c r="V1253" t="e">
        <f ca="1">IFERROR(计算区域!X1255,NA())</f>
        <v>#N/A</v>
      </c>
      <c r="W1253" t="e">
        <f ca="1">IFERROR(计算区域!Y1255,NA())</f>
        <v>#N/A</v>
      </c>
      <c r="X1253" t="e">
        <f ca="1">IFERROR(计算区域!Z1255,NA())</f>
        <v>#N/A</v>
      </c>
      <c r="Y1253" t="e">
        <f ca="1">IFERROR(计算区域!AA1255,NA())</f>
        <v>#N/A</v>
      </c>
    </row>
    <row r="1254" spans="1:25" x14ac:dyDescent="0.2">
      <c r="A1254" s="28">
        <f>计算区域!E1256</f>
        <v>0</v>
      </c>
      <c r="B1254" t="e">
        <f ca="1">IFERROR(计算区域!AJ1256,NA())</f>
        <v>#N/A</v>
      </c>
      <c r="C1254" t="e">
        <f ca="1">IFERROR(计算区域!AK1256,NA())</f>
        <v>#N/A</v>
      </c>
      <c r="D1254" t="e">
        <f ca="1">IFERROR(计算区域!AL1256,NA())</f>
        <v>#N/A</v>
      </c>
      <c r="E1254" t="e">
        <f ca="1">IFERROR(计算区域!AM1256,NA())</f>
        <v>#N/A</v>
      </c>
      <c r="G1254" t="e">
        <f ca="1">IFERROR(计算区域!AD1256,NA())</f>
        <v>#N/A</v>
      </c>
      <c r="H1254" t="e">
        <f ca="1">IFERROR(计算区域!AE1256,NA())</f>
        <v>#N/A</v>
      </c>
      <c r="I1254" t="e">
        <f ca="1">IFERROR(计算区域!AF1256,NA())</f>
        <v>#N/A</v>
      </c>
      <c r="J1254" t="e">
        <f ca="1">IFERROR(计算区域!AG1256,NA())</f>
        <v>#N/A</v>
      </c>
      <c r="L1254" t="e">
        <f ca="1">IFERROR(计算区域!L1256,NA())</f>
        <v>#N/A</v>
      </c>
      <c r="M1254" t="e">
        <f ca="1">IFERROR(计算区域!M1256,NA())</f>
        <v>#N/A</v>
      </c>
      <c r="N1254" t="e">
        <f ca="1">IFERROR(计算区域!N1256,NA())</f>
        <v>#N/A</v>
      </c>
      <c r="O1254" t="e">
        <f ca="1">IFERROR(计算区域!O1256,NA())</f>
        <v>#N/A</v>
      </c>
      <c r="Q1254" t="e">
        <f ca="1">IFERROR(计算区域!R1256,NA())</f>
        <v>#N/A</v>
      </c>
      <c r="R1254" t="e">
        <f ca="1">IFERROR(计算区域!S1256,NA())</f>
        <v>#N/A</v>
      </c>
      <c r="S1254" t="e">
        <f ca="1">IFERROR(计算区域!T1256,NA())</f>
        <v>#N/A</v>
      </c>
      <c r="T1254" t="e">
        <f ca="1">IFERROR(计算区域!U1256,NA())</f>
        <v>#N/A</v>
      </c>
      <c r="V1254" t="e">
        <f ca="1">IFERROR(计算区域!X1256,NA())</f>
        <v>#N/A</v>
      </c>
      <c r="W1254" t="e">
        <f ca="1">IFERROR(计算区域!Y1256,NA())</f>
        <v>#N/A</v>
      </c>
      <c r="X1254" t="e">
        <f ca="1">IFERROR(计算区域!Z1256,NA())</f>
        <v>#N/A</v>
      </c>
      <c r="Y1254" t="e">
        <f ca="1">IFERROR(计算区域!AA1256,NA())</f>
        <v>#N/A</v>
      </c>
    </row>
    <row r="1255" spans="1:25" x14ac:dyDescent="0.2">
      <c r="A1255" s="28">
        <f>计算区域!E1257</f>
        <v>0</v>
      </c>
      <c r="B1255" t="e">
        <f ca="1">IFERROR(计算区域!AJ1257,NA())</f>
        <v>#N/A</v>
      </c>
      <c r="C1255" t="e">
        <f ca="1">IFERROR(计算区域!AK1257,NA())</f>
        <v>#N/A</v>
      </c>
      <c r="D1255" t="e">
        <f ca="1">IFERROR(计算区域!AL1257,NA())</f>
        <v>#N/A</v>
      </c>
      <c r="E1255" t="e">
        <f ca="1">IFERROR(计算区域!AM1257,NA())</f>
        <v>#N/A</v>
      </c>
      <c r="G1255" t="e">
        <f ca="1">IFERROR(计算区域!AD1257,NA())</f>
        <v>#N/A</v>
      </c>
      <c r="H1255" t="e">
        <f ca="1">IFERROR(计算区域!AE1257,NA())</f>
        <v>#N/A</v>
      </c>
      <c r="I1255" t="e">
        <f ca="1">IFERROR(计算区域!AF1257,NA())</f>
        <v>#N/A</v>
      </c>
      <c r="J1255" t="e">
        <f ca="1">IFERROR(计算区域!AG1257,NA())</f>
        <v>#N/A</v>
      </c>
      <c r="L1255" t="e">
        <f ca="1">IFERROR(计算区域!L1257,NA())</f>
        <v>#N/A</v>
      </c>
      <c r="M1255" t="e">
        <f ca="1">IFERROR(计算区域!M1257,NA())</f>
        <v>#N/A</v>
      </c>
      <c r="N1255" t="e">
        <f ca="1">IFERROR(计算区域!N1257,NA())</f>
        <v>#N/A</v>
      </c>
      <c r="O1255" t="e">
        <f ca="1">IFERROR(计算区域!O1257,NA())</f>
        <v>#N/A</v>
      </c>
      <c r="Q1255" t="e">
        <f ca="1">IFERROR(计算区域!R1257,NA())</f>
        <v>#N/A</v>
      </c>
      <c r="R1255" t="e">
        <f ca="1">IFERROR(计算区域!S1257,NA())</f>
        <v>#N/A</v>
      </c>
      <c r="S1255" t="e">
        <f ca="1">IFERROR(计算区域!T1257,NA())</f>
        <v>#N/A</v>
      </c>
      <c r="T1255" t="e">
        <f ca="1">IFERROR(计算区域!U1257,NA())</f>
        <v>#N/A</v>
      </c>
      <c r="V1255" t="e">
        <f ca="1">IFERROR(计算区域!X1257,NA())</f>
        <v>#N/A</v>
      </c>
      <c r="W1255" t="e">
        <f ca="1">IFERROR(计算区域!Y1257,NA())</f>
        <v>#N/A</v>
      </c>
      <c r="X1255" t="e">
        <f ca="1">IFERROR(计算区域!Z1257,NA())</f>
        <v>#N/A</v>
      </c>
      <c r="Y1255" t="e">
        <f ca="1">IFERROR(计算区域!AA1257,NA())</f>
        <v>#N/A</v>
      </c>
    </row>
    <row r="1256" spans="1:25" x14ac:dyDescent="0.2">
      <c r="A1256" s="28">
        <f>计算区域!E1258</f>
        <v>0</v>
      </c>
      <c r="B1256" t="e">
        <f ca="1">IFERROR(计算区域!AJ1258,NA())</f>
        <v>#N/A</v>
      </c>
      <c r="C1256" t="e">
        <f ca="1">IFERROR(计算区域!AK1258,NA())</f>
        <v>#N/A</v>
      </c>
      <c r="D1256" t="e">
        <f ca="1">IFERROR(计算区域!AL1258,NA())</f>
        <v>#N/A</v>
      </c>
      <c r="E1256" t="e">
        <f ca="1">IFERROR(计算区域!AM1258,NA())</f>
        <v>#N/A</v>
      </c>
      <c r="G1256" t="e">
        <f ca="1">IFERROR(计算区域!AD1258,NA())</f>
        <v>#N/A</v>
      </c>
      <c r="H1256" t="e">
        <f ca="1">IFERROR(计算区域!AE1258,NA())</f>
        <v>#N/A</v>
      </c>
      <c r="I1256" t="e">
        <f ca="1">IFERROR(计算区域!AF1258,NA())</f>
        <v>#N/A</v>
      </c>
      <c r="J1256" t="e">
        <f ca="1">IFERROR(计算区域!AG1258,NA())</f>
        <v>#N/A</v>
      </c>
      <c r="L1256" t="e">
        <f ca="1">IFERROR(计算区域!L1258,NA())</f>
        <v>#N/A</v>
      </c>
      <c r="M1256" t="e">
        <f ca="1">IFERROR(计算区域!M1258,NA())</f>
        <v>#N/A</v>
      </c>
      <c r="N1256" t="e">
        <f ca="1">IFERROR(计算区域!N1258,NA())</f>
        <v>#N/A</v>
      </c>
      <c r="O1256" t="e">
        <f ca="1">IFERROR(计算区域!O1258,NA())</f>
        <v>#N/A</v>
      </c>
      <c r="Q1256" t="e">
        <f ca="1">IFERROR(计算区域!R1258,NA())</f>
        <v>#N/A</v>
      </c>
      <c r="R1256" t="e">
        <f ca="1">IFERROR(计算区域!S1258,NA())</f>
        <v>#N/A</v>
      </c>
      <c r="S1256" t="e">
        <f ca="1">IFERROR(计算区域!T1258,NA())</f>
        <v>#N/A</v>
      </c>
      <c r="T1256" t="e">
        <f ca="1">IFERROR(计算区域!U1258,NA())</f>
        <v>#N/A</v>
      </c>
      <c r="V1256" t="e">
        <f ca="1">IFERROR(计算区域!X1258,NA())</f>
        <v>#N/A</v>
      </c>
      <c r="W1256" t="e">
        <f ca="1">IFERROR(计算区域!Y1258,NA())</f>
        <v>#N/A</v>
      </c>
      <c r="X1256" t="e">
        <f ca="1">IFERROR(计算区域!Z1258,NA())</f>
        <v>#N/A</v>
      </c>
      <c r="Y1256" t="e">
        <f ca="1">IFERROR(计算区域!AA1258,NA())</f>
        <v>#N/A</v>
      </c>
    </row>
    <row r="1257" spans="1:25" x14ac:dyDescent="0.2">
      <c r="A1257" s="28">
        <f>计算区域!E1259</f>
        <v>0</v>
      </c>
      <c r="B1257" t="e">
        <f ca="1">IFERROR(计算区域!AJ1259,NA())</f>
        <v>#N/A</v>
      </c>
      <c r="C1257" t="e">
        <f ca="1">IFERROR(计算区域!AK1259,NA())</f>
        <v>#N/A</v>
      </c>
      <c r="D1257" t="e">
        <f ca="1">IFERROR(计算区域!AL1259,NA())</f>
        <v>#N/A</v>
      </c>
      <c r="E1257" t="e">
        <f ca="1">IFERROR(计算区域!AM1259,NA())</f>
        <v>#N/A</v>
      </c>
      <c r="G1257" t="e">
        <f ca="1">IFERROR(计算区域!AD1259,NA())</f>
        <v>#N/A</v>
      </c>
      <c r="H1257" t="e">
        <f ca="1">IFERROR(计算区域!AE1259,NA())</f>
        <v>#N/A</v>
      </c>
      <c r="I1257" t="e">
        <f ca="1">IFERROR(计算区域!AF1259,NA())</f>
        <v>#N/A</v>
      </c>
      <c r="J1257" t="e">
        <f ca="1">IFERROR(计算区域!AG1259,NA())</f>
        <v>#N/A</v>
      </c>
      <c r="L1257" t="e">
        <f ca="1">IFERROR(计算区域!L1259,NA())</f>
        <v>#N/A</v>
      </c>
      <c r="M1257" t="e">
        <f ca="1">IFERROR(计算区域!M1259,NA())</f>
        <v>#N/A</v>
      </c>
      <c r="N1257" t="e">
        <f ca="1">IFERROR(计算区域!N1259,NA())</f>
        <v>#N/A</v>
      </c>
      <c r="O1257" t="e">
        <f ca="1">IFERROR(计算区域!O1259,NA())</f>
        <v>#N/A</v>
      </c>
      <c r="Q1257" t="e">
        <f ca="1">IFERROR(计算区域!R1259,NA())</f>
        <v>#N/A</v>
      </c>
      <c r="R1257" t="e">
        <f ca="1">IFERROR(计算区域!S1259,NA())</f>
        <v>#N/A</v>
      </c>
      <c r="S1257" t="e">
        <f ca="1">IFERROR(计算区域!T1259,NA())</f>
        <v>#N/A</v>
      </c>
      <c r="T1257" t="e">
        <f ca="1">IFERROR(计算区域!U1259,NA())</f>
        <v>#N/A</v>
      </c>
      <c r="V1257" t="e">
        <f ca="1">IFERROR(计算区域!X1259,NA())</f>
        <v>#N/A</v>
      </c>
      <c r="W1257" t="e">
        <f ca="1">IFERROR(计算区域!Y1259,NA())</f>
        <v>#N/A</v>
      </c>
      <c r="X1257" t="e">
        <f ca="1">IFERROR(计算区域!Z1259,NA())</f>
        <v>#N/A</v>
      </c>
      <c r="Y1257" t="e">
        <f ca="1">IFERROR(计算区域!AA1259,NA())</f>
        <v>#N/A</v>
      </c>
    </row>
    <row r="1258" spans="1:25" x14ac:dyDescent="0.2">
      <c r="A1258" s="28">
        <f>计算区域!E1260</f>
        <v>0</v>
      </c>
      <c r="B1258" t="e">
        <f ca="1">IFERROR(计算区域!AJ1260,NA())</f>
        <v>#N/A</v>
      </c>
      <c r="C1258" t="e">
        <f ca="1">IFERROR(计算区域!AK1260,NA())</f>
        <v>#N/A</v>
      </c>
      <c r="D1258" t="e">
        <f ca="1">IFERROR(计算区域!AL1260,NA())</f>
        <v>#N/A</v>
      </c>
      <c r="E1258" t="e">
        <f ca="1">IFERROR(计算区域!AM1260,NA())</f>
        <v>#N/A</v>
      </c>
      <c r="G1258" t="e">
        <f ca="1">IFERROR(计算区域!AD1260,NA())</f>
        <v>#N/A</v>
      </c>
      <c r="H1258" t="e">
        <f ca="1">IFERROR(计算区域!AE1260,NA())</f>
        <v>#N/A</v>
      </c>
      <c r="I1258" t="e">
        <f ca="1">IFERROR(计算区域!AF1260,NA())</f>
        <v>#N/A</v>
      </c>
      <c r="J1258" t="e">
        <f ca="1">IFERROR(计算区域!AG1260,NA())</f>
        <v>#N/A</v>
      </c>
      <c r="L1258" t="e">
        <f ca="1">IFERROR(计算区域!L1260,NA())</f>
        <v>#N/A</v>
      </c>
      <c r="M1258" t="e">
        <f ca="1">IFERROR(计算区域!M1260,NA())</f>
        <v>#N/A</v>
      </c>
      <c r="N1258" t="e">
        <f ca="1">IFERROR(计算区域!N1260,NA())</f>
        <v>#N/A</v>
      </c>
      <c r="O1258" t="e">
        <f ca="1">IFERROR(计算区域!O1260,NA())</f>
        <v>#N/A</v>
      </c>
      <c r="Q1258" t="e">
        <f ca="1">IFERROR(计算区域!R1260,NA())</f>
        <v>#N/A</v>
      </c>
      <c r="R1258" t="e">
        <f ca="1">IFERROR(计算区域!S1260,NA())</f>
        <v>#N/A</v>
      </c>
      <c r="S1258" t="e">
        <f ca="1">IFERROR(计算区域!T1260,NA())</f>
        <v>#N/A</v>
      </c>
      <c r="T1258" t="e">
        <f ca="1">IFERROR(计算区域!U1260,NA())</f>
        <v>#N/A</v>
      </c>
      <c r="V1258" t="e">
        <f ca="1">IFERROR(计算区域!X1260,NA())</f>
        <v>#N/A</v>
      </c>
      <c r="W1258" t="e">
        <f ca="1">IFERROR(计算区域!Y1260,NA())</f>
        <v>#N/A</v>
      </c>
      <c r="X1258" t="e">
        <f ca="1">IFERROR(计算区域!Z1260,NA())</f>
        <v>#N/A</v>
      </c>
      <c r="Y1258" t="e">
        <f ca="1">IFERROR(计算区域!AA1260,NA())</f>
        <v>#N/A</v>
      </c>
    </row>
    <row r="1259" spans="1:25" x14ac:dyDescent="0.2">
      <c r="A1259" s="28">
        <f>计算区域!E1261</f>
        <v>0</v>
      </c>
      <c r="B1259" t="e">
        <f ca="1">IFERROR(计算区域!AJ1261,NA())</f>
        <v>#N/A</v>
      </c>
      <c r="C1259" t="e">
        <f ca="1">IFERROR(计算区域!AK1261,NA())</f>
        <v>#N/A</v>
      </c>
      <c r="D1259" t="e">
        <f ca="1">IFERROR(计算区域!AL1261,NA())</f>
        <v>#N/A</v>
      </c>
      <c r="E1259" t="e">
        <f ca="1">IFERROR(计算区域!AM1261,NA())</f>
        <v>#N/A</v>
      </c>
      <c r="G1259" t="e">
        <f ca="1">IFERROR(计算区域!AD1261,NA())</f>
        <v>#N/A</v>
      </c>
      <c r="H1259" t="e">
        <f ca="1">IFERROR(计算区域!AE1261,NA())</f>
        <v>#N/A</v>
      </c>
      <c r="I1259" t="e">
        <f ca="1">IFERROR(计算区域!AF1261,NA())</f>
        <v>#N/A</v>
      </c>
      <c r="J1259" t="e">
        <f ca="1">IFERROR(计算区域!AG1261,NA())</f>
        <v>#N/A</v>
      </c>
      <c r="L1259" t="e">
        <f ca="1">IFERROR(计算区域!L1261,NA())</f>
        <v>#N/A</v>
      </c>
      <c r="M1259" t="e">
        <f ca="1">IFERROR(计算区域!M1261,NA())</f>
        <v>#N/A</v>
      </c>
      <c r="N1259" t="e">
        <f ca="1">IFERROR(计算区域!N1261,NA())</f>
        <v>#N/A</v>
      </c>
      <c r="O1259" t="e">
        <f ca="1">IFERROR(计算区域!O1261,NA())</f>
        <v>#N/A</v>
      </c>
      <c r="Q1259" t="e">
        <f ca="1">IFERROR(计算区域!R1261,NA())</f>
        <v>#N/A</v>
      </c>
      <c r="R1259" t="e">
        <f ca="1">IFERROR(计算区域!S1261,NA())</f>
        <v>#N/A</v>
      </c>
      <c r="S1259" t="e">
        <f ca="1">IFERROR(计算区域!T1261,NA())</f>
        <v>#N/A</v>
      </c>
      <c r="T1259" t="e">
        <f ca="1">IFERROR(计算区域!U1261,NA())</f>
        <v>#N/A</v>
      </c>
      <c r="V1259" t="e">
        <f ca="1">IFERROR(计算区域!X1261,NA())</f>
        <v>#N/A</v>
      </c>
      <c r="W1259" t="e">
        <f ca="1">IFERROR(计算区域!Y1261,NA())</f>
        <v>#N/A</v>
      </c>
      <c r="X1259" t="e">
        <f ca="1">IFERROR(计算区域!Z1261,NA())</f>
        <v>#N/A</v>
      </c>
      <c r="Y1259" t="e">
        <f ca="1">IFERROR(计算区域!AA1261,NA())</f>
        <v>#N/A</v>
      </c>
    </row>
    <row r="1260" spans="1:25" x14ac:dyDescent="0.2">
      <c r="A1260" s="28">
        <f>计算区域!E1262</f>
        <v>0</v>
      </c>
      <c r="B1260" t="e">
        <f ca="1">IFERROR(计算区域!AJ1262,NA())</f>
        <v>#N/A</v>
      </c>
      <c r="C1260" t="e">
        <f ca="1">IFERROR(计算区域!AK1262,NA())</f>
        <v>#N/A</v>
      </c>
      <c r="D1260" t="e">
        <f ca="1">IFERROR(计算区域!AL1262,NA())</f>
        <v>#N/A</v>
      </c>
      <c r="E1260" t="e">
        <f ca="1">IFERROR(计算区域!AM1262,NA())</f>
        <v>#N/A</v>
      </c>
      <c r="G1260" t="e">
        <f ca="1">IFERROR(计算区域!AD1262,NA())</f>
        <v>#N/A</v>
      </c>
      <c r="H1260" t="e">
        <f ca="1">IFERROR(计算区域!AE1262,NA())</f>
        <v>#N/A</v>
      </c>
      <c r="I1260" t="e">
        <f ca="1">IFERROR(计算区域!AF1262,NA())</f>
        <v>#N/A</v>
      </c>
      <c r="J1260" t="e">
        <f ca="1">IFERROR(计算区域!AG1262,NA())</f>
        <v>#N/A</v>
      </c>
      <c r="L1260" t="e">
        <f ca="1">IFERROR(计算区域!L1262,NA())</f>
        <v>#N/A</v>
      </c>
      <c r="M1260" t="e">
        <f ca="1">IFERROR(计算区域!M1262,NA())</f>
        <v>#N/A</v>
      </c>
      <c r="N1260" t="e">
        <f ca="1">IFERROR(计算区域!N1262,NA())</f>
        <v>#N/A</v>
      </c>
      <c r="O1260" t="e">
        <f ca="1">IFERROR(计算区域!O1262,NA())</f>
        <v>#N/A</v>
      </c>
      <c r="Q1260" t="e">
        <f ca="1">IFERROR(计算区域!R1262,NA())</f>
        <v>#N/A</v>
      </c>
      <c r="R1260" t="e">
        <f ca="1">IFERROR(计算区域!S1262,NA())</f>
        <v>#N/A</v>
      </c>
      <c r="S1260" t="e">
        <f ca="1">IFERROR(计算区域!T1262,NA())</f>
        <v>#N/A</v>
      </c>
      <c r="T1260" t="e">
        <f ca="1">IFERROR(计算区域!U1262,NA())</f>
        <v>#N/A</v>
      </c>
      <c r="V1260" t="e">
        <f ca="1">IFERROR(计算区域!X1262,NA())</f>
        <v>#N/A</v>
      </c>
      <c r="W1260" t="e">
        <f ca="1">IFERROR(计算区域!Y1262,NA())</f>
        <v>#N/A</v>
      </c>
      <c r="X1260" t="e">
        <f ca="1">IFERROR(计算区域!Z1262,NA())</f>
        <v>#N/A</v>
      </c>
      <c r="Y1260" t="e">
        <f ca="1">IFERROR(计算区域!AA1262,NA())</f>
        <v>#N/A</v>
      </c>
    </row>
    <row r="1261" spans="1:25" x14ac:dyDescent="0.2">
      <c r="A1261" s="28">
        <f>计算区域!E1263</f>
        <v>0</v>
      </c>
      <c r="B1261" t="e">
        <f ca="1">IFERROR(计算区域!AJ1263,NA())</f>
        <v>#N/A</v>
      </c>
      <c r="C1261" t="e">
        <f ca="1">IFERROR(计算区域!AK1263,NA())</f>
        <v>#N/A</v>
      </c>
      <c r="D1261" t="e">
        <f ca="1">IFERROR(计算区域!AL1263,NA())</f>
        <v>#N/A</v>
      </c>
      <c r="E1261" t="e">
        <f ca="1">IFERROR(计算区域!AM1263,NA())</f>
        <v>#N/A</v>
      </c>
      <c r="G1261" t="e">
        <f ca="1">IFERROR(计算区域!AD1263,NA())</f>
        <v>#N/A</v>
      </c>
      <c r="H1261" t="e">
        <f ca="1">IFERROR(计算区域!AE1263,NA())</f>
        <v>#N/A</v>
      </c>
      <c r="I1261" t="e">
        <f ca="1">IFERROR(计算区域!AF1263,NA())</f>
        <v>#N/A</v>
      </c>
      <c r="J1261" t="e">
        <f ca="1">IFERROR(计算区域!AG1263,NA())</f>
        <v>#N/A</v>
      </c>
      <c r="L1261" t="e">
        <f ca="1">IFERROR(计算区域!L1263,NA())</f>
        <v>#N/A</v>
      </c>
      <c r="M1261" t="e">
        <f ca="1">IFERROR(计算区域!M1263,NA())</f>
        <v>#N/A</v>
      </c>
      <c r="N1261" t="e">
        <f ca="1">IFERROR(计算区域!N1263,NA())</f>
        <v>#N/A</v>
      </c>
      <c r="O1261" t="e">
        <f ca="1">IFERROR(计算区域!O1263,NA())</f>
        <v>#N/A</v>
      </c>
      <c r="Q1261" t="e">
        <f ca="1">IFERROR(计算区域!R1263,NA())</f>
        <v>#N/A</v>
      </c>
      <c r="R1261" t="e">
        <f ca="1">IFERROR(计算区域!S1263,NA())</f>
        <v>#N/A</v>
      </c>
      <c r="S1261" t="e">
        <f ca="1">IFERROR(计算区域!T1263,NA())</f>
        <v>#N/A</v>
      </c>
      <c r="T1261" t="e">
        <f ca="1">IFERROR(计算区域!U1263,NA())</f>
        <v>#N/A</v>
      </c>
      <c r="V1261" t="e">
        <f ca="1">IFERROR(计算区域!X1263,NA())</f>
        <v>#N/A</v>
      </c>
      <c r="W1261" t="e">
        <f ca="1">IFERROR(计算区域!Y1263,NA())</f>
        <v>#N/A</v>
      </c>
      <c r="X1261" t="e">
        <f ca="1">IFERROR(计算区域!Z1263,NA())</f>
        <v>#N/A</v>
      </c>
      <c r="Y1261" t="e">
        <f ca="1">IFERROR(计算区域!AA1263,NA())</f>
        <v>#N/A</v>
      </c>
    </row>
    <row r="1262" spans="1:25" x14ac:dyDescent="0.2">
      <c r="A1262" s="28">
        <f>计算区域!E1264</f>
        <v>0</v>
      </c>
      <c r="B1262" t="e">
        <f ca="1">IFERROR(计算区域!AJ1264,NA())</f>
        <v>#N/A</v>
      </c>
      <c r="C1262" t="e">
        <f ca="1">IFERROR(计算区域!AK1264,NA())</f>
        <v>#N/A</v>
      </c>
      <c r="D1262" t="e">
        <f ca="1">IFERROR(计算区域!AL1264,NA())</f>
        <v>#N/A</v>
      </c>
      <c r="E1262" t="e">
        <f ca="1">IFERROR(计算区域!AM1264,NA())</f>
        <v>#N/A</v>
      </c>
      <c r="G1262" t="e">
        <f ca="1">IFERROR(计算区域!AD1264,NA())</f>
        <v>#N/A</v>
      </c>
      <c r="H1262" t="e">
        <f ca="1">IFERROR(计算区域!AE1264,NA())</f>
        <v>#N/A</v>
      </c>
      <c r="I1262" t="e">
        <f ca="1">IFERROR(计算区域!AF1264,NA())</f>
        <v>#N/A</v>
      </c>
      <c r="J1262" t="e">
        <f ca="1">IFERROR(计算区域!AG1264,NA())</f>
        <v>#N/A</v>
      </c>
      <c r="L1262" t="e">
        <f ca="1">IFERROR(计算区域!L1264,NA())</f>
        <v>#N/A</v>
      </c>
      <c r="M1262" t="e">
        <f ca="1">IFERROR(计算区域!M1264,NA())</f>
        <v>#N/A</v>
      </c>
      <c r="N1262" t="e">
        <f ca="1">IFERROR(计算区域!N1264,NA())</f>
        <v>#N/A</v>
      </c>
      <c r="O1262" t="e">
        <f ca="1">IFERROR(计算区域!O1264,NA())</f>
        <v>#N/A</v>
      </c>
      <c r="Q1262" t="e">
        <f ca="1">IFERROR(计算区域!R1264,NA())</f>
        <v>#N/A</v>
      </c>
      <c r="R1262" t="e">
        <f ca="1">IFERROR(计算区域!S1264,NA())</f>
        <v>#N/A</v>
      </c>
      <c r="S1262" t="e">
        <f ca="1">IFERROR(计算区域!T1264,NA())</f>
        <v>#N/A</v>
      </c>
      <c r="T1262" t="e">
        <f ca="1">IFERROR(计算区域!U1264,NA())</f>
        <v>#N/A</v>
      </c>
      <c r="V1262" t="e">
        <f ca="1">IFERROR(计算区域!X1264,NA())</f>
        <v>#N/A</v>
      </c>
      <c r="W1262" t="e">
        <f ca="1">IFERROR(计算区域!Y1264,NA())</f>
        <v>#N/A</v>
      </c>
      <c r="X1262" t="e">
        <f ca="1">IFERROR(计算区域!Z1264,NA())</f>
        <v>#N/A</v>
      </c>
      <c r="Y1262" t="e">
        <f ca="1">IFERROR(计算区域!AA1264,NA())</f>
        <v>#N/A</v>
      </c>
    </row>
    <row r="1263" spans="1:25" x14ac:dyDescent="0.2">
      <c r="A1263" s="28">
        <f>计算区域!E1265</f>
        <v>0</v>
      </c>
      <c r="B1263" t="e">
        <f ca="1">IFERROR(计算区域!AJ1265,NA())</f>
        <v>#N/A</v>
      </c>
      <c r="C1263" t="e">
        <f ca="1">IFERROR(计算区域!AK1265,NA())</f>
        <v>#N/A</v>
      </c>
      <c r="D1263" t="e">
        <f ca="1">IFERROR(计算区域!AL1265,NA())</f>
        <v>#N/A</v>
      </c>
      <c r="E1263" t="e">
        <f ca="1">IFERROR(计算区域!AM1265,NA())</f>
        <v>#N/A</v>
      </c>
      <c r="G1263" t="e">
        <f ca="1">IFERROR(计算区域!AD1265,NA())</f>
        <v>#N/A</v>
      </c>
      <c r="H1263" t="e">
        <f ca="1">IFERROR(计算区域!AE1265,NA())</f>
        <v>#N/A</v>
      </c>
      <c r="I1263" t="e">
        <f ca="1">IFERROR(计算区域!AF1265,NA())</f>
        <v>#N/A</v>
      </c>
      <c r="J1263" t="e">
        <f ca="1">IFERROR(计算区域!AG1265,NA())</f>
        <v>#N/A</v>
      </c>
      <c r="L1263" t="e">
        <f ca="1">IFERROR(计算区域!L1265,NA())</f>
        <v>#N/A</v>
      </c>
      <c r="M1263" t="e">
        <f ca="1">IFERROR(计算区域!M1265,NA())</f>
        <v>#N/A</v>
      </c>
      <c r="N1263" t="e">
        <f ca="1">IFERROR(计算区域!N1265,NA())</f>
        <v>#N/A</v>
      </c>
      <c r="O1263" t="e">
        <f ca="1">IFERROR(计算区域!O1265,NA())</f>
        <v>#N/A</v>
      </c>
      <c r="Q1263" t="e">
        <f ca="1">IFERROR(计算区域!R1265,NA())</f>
        <v>#N/A</v>
      </c>
      <c r="R1263" t="e">
        <f ca="1">IFERROR(计算区域!S1265,NA())</f>
        <v>#N/A</v>
      </c>
      <c r="S1263" t="e">
        <f ca="1">IFERROR(计算区域!T1265,NA())</f>
        <v>#N/A</v>
      </c>
      <c r="T1263" t="e">
        <f ca="1">IFERROR(计算区域!U1265,NA())</f>
        <v>#N/A</v>
      </c>
      <c r="V1263" t="e">
        <f ca="1">IFERROR(计算区域!X1265,NA())</f>
        <v>#N/A</v>
      </c>
      <c r="W1263" t="e">
        <f ca="1">IFERROR(计算区域!Y1265,NA())</f>
        <v>#N/A</v>
      </c>
      <c r="X1263" t="e">
        <f ca="1">IFERROR(计算区域!Z1265,NA())</f>
        <v>#N/A</v>
      </c>
      <c r="Y1263" t="e">
        <f ca="1">IFERROR(计算区域!AA1265,NA())</f>
        <v>#N/A</v>
      </c>
    </row>
    <row r="1264" spans="1:25" x14ac:dyDescent="0.2">
      <c r="A1264" s="28">
        <f>计算区域!E1266</f>
        <v>0</v>
      </c>
      <c r="B1264" t="e">
        <f ca="1">IFERROR(计算区域!AJ1266,NA())</f>
        <v>#N/A</v>
      </c>
      <c r="C1264" t="e">
        <f ca="1">IFERROR(计算区域!AK1266,NA())</f>
        <v>#N/A</v>
      </c>
      <c r="D1264" t="e">
        <f ca="1">IFERROR(计算区域!AL1266,NA())</f>
        <v>#N/A</v>
      </c>
      <c r="E1264" t="e">
        <f ca="1">IFERROR(计算区域!AM1266,NA())</f>
        <v>#N/A</v>
      </c>
      <c r="G1264" t="e">
        <f ca="1">IFERROR(计算区域!AD1266,NA())</f>
        <v>#N/A</v>
      </c>
      <c r="H1264" t="e">
        <f ca="1">IFERROR(计算区域!AE1266,NA())</f>
        <v>#N/A</v>
      </c>
      <c r="I1264" t="e">
        <f ca="1">IFERROR(计算区域!AF1266,NA())</f>
        <v>#N/A</v>
      </c>
      <c r="J1264" t="e">
        <f ca="1">IFERROR(计算区域!AG1266,NA())</f>
        <v>#N/A</v>
      </c>
      <c r="L1264" t="e">
        <f ca="1">IFERROR(计算区域!L1266,NA())</f>
        <v>#N/A</v>
      </c>
      <c r="M1264" t="e">
        <f ca="1">IFERROR(计算区域!M1266,NA())</f>
        <v>#N/A</v>
      </c>
      <c r="N1264" t="e">
        <f ca="1">IFERROR(计算区域!N1266,NA())</f>
        <v>#N/A</v>
      </c>
      <c r="O1264" t="e">
        <f ca="1">IFERROR(计算区域!O1266,NA())</f>
        <v>#N/A</v>
      </c>
      <c r="Q1264" t="e">
        <f ca="1">IFERROR(计算区域!R1266,NA())</f>
        <v>#N/A</v>
      </c>
      <c r="R1264" t="e">
        <f ca="1">IFERROR(计算区域!S1266,NA())</f>
        <v>#N/A</v>
      </c>
      <c r="S1264" t="e">
        <f ca="1">IFERROR(计算区域!T1266,NA())</f>
        <v>#N/A</v>
      </c>
      <c r="T1264" t="e">
        <f ca="1">IFERROR(计算区域!U1266,NA())</f>
        <v>#N/A</v>
      </c>
      <c r="V1264" t="e">
        <f ca="1">IFERROR(计算区域!X1266,NA())</f>
        <v>#N/A</v>
      </c>
      <c r="W1264" t="e">
        <f ca="1">IFERROR(计算区域!Y1266,NA())</f>
        <v>#N/A</v>
      </c>
      <c r="X1264" t="e">
        <f ca="1">IFERROR(计算区域!Z1266,NA())</f>
        <v>#N/A</v>
      </c>
      <c r="Y1264" t="e">
        <f ca="1">IFERROR(计算区域!AA1266,NA())</f>
        <v>#N/A</v>
      </c>
    </row>
    <row r="1265" spans="1:25" x14ac:dyDescent="0.2">
      <c r="A1265" s="28">
        <f>计算区域!E1267</f>
        <v>0</v>
      </c>
      <c r="B1265" t="e">
        <f ca="1">IFERROR(计算区域!AJ1267,NA())</f>
        <v>#N/A</v>
      </c>
      <c r="C1265" t="e">
        <f ca="1">IFERROR(计算区域!AK1267,NA())</f>
        <v>#N/A</v>
      </c>
      <c r="D1265" t="e">
        <f ca="1">IFERROR(计算区域!AL1267,NA())</f>
        <v>#N/A</v>
      </c>
      <c r="E1265" t="e">
        <f ca="1">IFERROR(计算区域!AM1267,NA())</f>
        <v>#N/A</v>
      </c>
      <c r="G1265" t="e">
        <f ca="1">IFERROR(计算区域!AD1267,NA())</f>
        <v>#N/A</v>
      </c>
      <c r="H1265" t="e">
        <f ca="1">IFERROR(计算区域!AE1267,NA())</f>
        <v>#N/A</v>
      </c>
      <c r="I1265" t="e">
        <f ca="1">IFERROR(计算区域!AF1267,NA())</f>
        <v>#N/A</v>
      </c>
      <c r="J1265" t="e">
        <f ca="1">IFERROR(计算区域!AG1267,NA())</f>
        <v>#N/A</v>
      </c>
      <c r="L1265" t="e">
        <f ca="1">IFERROR(计算区域!L1267,NA())</f>
        <v>#N/A</v>
      </c>
      <c r="M1265" t="e">
        <f ca="1">IFERROR(计算区域!M1267,NA())</f>
        <v>#N/A</v>
      </c>
      <c r="N1265" t="e">
        <f ca="1">IFERROR(计算区域!N1267,NA())</f>
        <v>#N/A</v>
      </c>
      <c r="O1265" t="e">
        <f ca="1">IFERROR(计算区域!O1267,NA())</f>
        <v>#N/A</v>
      </c>
      <c r="Q1265" t="e">
        <f ca="1">IFERROR(计算区域!R1267,NA())</f>
        <v>#N/A</v>
      </c>
      <c r="R1265" t="e">
        <f ca="1">IFERROR(计算区域!S1267,NA())</f>
        <v>#N/A</v>
      </c>
      <c r="S1265" t="e">
        <f ca="1">IFERROR(计算区域!T1267,NA())</f>
        <v>#N/A</v>
      </c>
      <c r="T1265" t="e">
        <f ca="1">IFERROR(计算区域!U1267,NA())</f>
        <v>#N/A</v>
      </c>
      <c r="V1265" t="e">
        <f ca="1">IFERROR(计算区域!X1267,NA())</f>
        <v>#N/A</v>
      </c>
      <c r="W1265" t="e">
        <f ca="1">IFERROR(计算区域!Y1267,NA())</f>
        <v>#N/A</v>
      </c>
      <c r="X1265" t="e">
        <f ca="1">IFERROR(计算区域!Z1267,NA())</f>
        <v>#N/A</v>
      </c>
      <c r="Y1265" t="e">
        <f ca="1">IFERROR(计算区域!AA1267,NA())</f>
        <v>#N/A</v>
      </c>
    </row>
    <row r="1266" spans="1:25" x14ac:dyDescent="0.2">
      <c r="A1266" s="28">
        <f>计算区域!E1268</f>
        <v>0</v>
      </c>
      <c r="B1266" t="e">
        <f ca="1">IFERROR(计算区域!AJ1268,NA())</f>
        <v>#N/A</v>
      </c>
      <c r="C1266" t="e">
        <f ca="1">IFERROR(计算区域!AK1268,NA())</f>
        <v>#N/A</v>
      </c>
      <c r="D1266" t="e">
        <f ca="1">IFERROR(计算区域!AL1268,NA())</f>
        <v>#N/A</v>
      </c>
      <c r="E1266" t="e">
        <f ca="1">IFERROR(计算区域!AM1268,NA())</f>
        <v>#N/A</v>
      </c>
      <c r="G1266" t="e">
        <f ca="1">IFERROR(计算区域!AD1268,NA())</f>
        <v>#N/A</v>
      </c>
      <c r="H1266" t="e">
        <f ca="1">IFERROR(计算区域!AE1268,NA())</f>
        <v>#N/A</v>
      </c>
      <c r="I1266" t="e">
        <f ca="1">IFERROR(计算区域!AF1268,NA())</f>
        <v>#N/A</v>
      </c>
      <c r="J1266" t="e">
        <f ca="1">IFERROR(计算区域!AG1268,NA())</f>
        <v>#N/A</v>
      </c>
      <c r="L1266" t="e">
        <f ca="1">IFERROR(计算区域!L1268,NA())</f>
        <v>#N/A</v>
      </c>
      <c r="M1266" t="e">
        <f ca="1">IFERROR(计算区域!M1268,NA())</f>
        <v>#N/A</v>
      </c>
      <c r="N1266" t="e">
        <f ca="1">IFERROR(计算区域!N1268,NA())</f>
        <v>#N/A</v>
      </c>
      <c r="O1266" t="e">
        <f ca="1">IFERROR(计算区域!O1268,NA())</f>
        <v>#N/A</v>
      </c>
      <c r="Q1266" t="e">
        <f ca="1">IFERROR(计算区域!R1268,NA())</f>
        <v>#N/A</v>
      </c>
      <c r="R1266" t="e">
        <f ca="1">IFERROR(计算区域!S1268,NA())</f>
        <v>#N/A</v>
      </c>
      <c r="S1266" t="e">
        <f ca="1">IFERROR(计算区域!T1268,NA())</f>
        <v>#N/A</v>
      </c>
      <c r="T1266" t="e">
        <f ca="1">IFERROR(计算区域!U1268,NA())</f>
        <v>#N/A</v>
      </c>
      <c r="V1266" t="e">
        <f ca="1">IFERROR(计算区域!X1268,NA())</f>
        <v>#N/A</v>
      </c>
      <c r="W1266" t="e">
        <f ca="1">IFERROR(计算区域!Y1268,NA())</f>
        <v>#N/A</v>
      </c>
      <c r="X1266" t="e">
        <f ca="1">IFERROR(计算区域!Z1268,NA())</f>
        <v>#N/A</v>
      </c>
      <c r="Y1266" t="e">
        <f ca="1">IFERROR(计算区域!AA1268,NA())</f>
        <v>#N/A</v>
      </c>
    </row>
    <row r="1267" spans="1:25" x14ac:dyDescent="0.2">
      <c r="A1267" s="28">
        <f>计算区域!E1269</f>
        <v>0</v>
      </c>
      <c r="B1267" t="e">
        <f ca="1">IFERROR(计算区域!AJ1269,NA())</f>
        <v>#N/A</v>
      </c>
      <c r="C1267" t="e">
        <f ca="1">IFERROR(计算区域!AK1269,NA())</f>
        <v>#N/A</v>
      </c>
      <c r="D1267" t="e">
        <f ca="1">IFERROR(计算区域!AL1269,NA())</f>
        <v>#N/A</v>
      </c>
      <c r="E1267" t="e">
        <f ca="1">IFERROR(计算区域!AM1269,NA())</f>
        <v>#N/A</v>
      </c>
      <c r="G1267" t="e">
        <f ca="1">IFERROR(计算区域!AD1269,NA())</f>
        <v>#N/A</v>
      </c>
      <c r="H1267" t="e">
        <f ca="1">IFERROR(计算区域!AE1269,NA())</f>
        <v>#N/A</v>
      </c>
      <c r="I1267" t="e">
        <f ca="1">IFERROR(计算区域!AF1269,NA())</f>
        <v>#N/A</v>
      </c>
      <c r="J1267" t="e">
        <f ca="1">IFERROR(计算区域!AG1269,NA())</f>
        <v>#N/A</v>
      </c>
      <c r="L1267" t="e">
        <f ca="1">IFERROR(计算区域!L1269,NA())</f>
        <v>#N/A</v>
      </c>
      <c r="M1267" t="e">
        <f ca="1">IFERROR(计算区域!M1269,NA())</f>
        <v>#N/A</v>
      </c>
      <c r="N1267" t="e">
        <f ca="1">IFERROR(计算区域!N1269,NA())</f>
        <v>#N/A</v>
      </c>
      <c r="O1267" t="e">
        <f ca="1">IFERROR(计算区域!O1269,NA())</f>
        <v>#N/A</v>
      </c>
      <c r="Q1267" t="e">
        <f ca="1">IFERROR(计算区域!R1269,NA())</f>
        <v>#N/A</v>
      </c>
      <c r="R1267" t="e">
        <f ca="1">IFERROR(计算区域!S1269,NA())</f>
        <v>#N/A</v>
      </c>
      <c r="S1267" t="e">
        <f ca="1">IFERROR(计算区域!T1269,NA())</f>
        <v>#N/A</v>
      </c>
      <c r="T1267" t="e">
        <f ca="1">IFERROR(计算区域!U1269,NA())</f>
        <v>#N/A</v>
      </c>
      <c r="V1267" t="e">
        <f ca="1">IFERROR(计算区域!X1269,NA())</f>
        <v>#N/A</v>
      </c>
      <c r="W1267" t="e">
        <f ca="1">IFERROR(计算区域!Y1269,NA())</f>
        <v>#N/A</v>
      </c>
      <c r="X1267" t="e">
        <f ca="1">IFERROR(计算区域!Z1269,NA())</f>
        <v>#N/A</v>
      </c>
      <c r="Y1267" t="e">
        <f ca="1">IFERROR(计算区域!AA1269,NA())</f>
        <v>#N/A</v>
      </c>
    </row>
    <row r="1268" spans="1:25" x14ac:dyDescent="0.2">
      <c r="A1268" s="28">
        <f>计算区域!E1270</f>
        <v>0</v>
      </c>
      <c r="B1268" t="e">
        <f ca="1">IFERROR(计算区域!AJ1270,NA())</f>
        <v>#N/A</v>
      </c>
      <c r="C1268" t="e">
        <f ca="1">IFERROR(计算区域!AK1270,NA())</f>
        <v>#N/A</v>
      </c>
      <c r="D1268" t="e">
        <f ca="1">IFERROR(计算区域!AL1270,NA())</f>
        <v>#N/A</v>
      </c>
      <c r="E1268" t="e">
        <f ca="1">IFERROR(计算区域!AM1270,NA())</f>
        <v>#N/A</v>
      </c>
      <c r="G1268" t="e">
        <f ca="1">IFERROR(计算区域!AD1270,NA())</f>
        <v>#N/A</v>
      </c>
      <c r="H1268" t="e">
        <f ca="1">IFERROR(计算区域!AE1270,NA())</f>
        <v>#N/A</v>
      </c>
      <c r="I1268" t="e">
        <f ca="1">IFERROR(计算区域!AF1270,NA())</f>
        <v>#N/A</v>
      </c>
      <c r="J1268" t="e">
        <f ca="1">IFERROR(计算区域!AG1270,NA())</f>
        <v>#N/A</v>
      </c>
      <c r="L1268" t="e">
        <f ca="1">IFERROR(计算区域!L1270,NA())</f>
        <v>#N/A</v>
      </c>
      <c r="M1268" t="e">
        <f ca="1">IFERROR(计算区域!M1270,NA())</f>
        <v>#N/A</v>
      </c>
      <c r="N1268" t="e">
        <f ca="1">IFERROR(计算区域!N1270,NA())</f>
        <v>#N/A</v>
      </c>
      <c r="O1268" t="e">
        <f ca="1">IFERROR(计算区域!O1270,NA())</f>
        <v>#N/A</v>
      </c>
      <c r="Q1268" t="e">
        <f ca="1">IFERROR(计算区域!R1270,NA())</f>
        <v>#N/A</v>
      </c>
      <c r="R1268" t="e">
        <f ca="1">IFERROR(计算区域!S1270,NA())</f>
        <v>#N/A</v>
      </c>
      <c r="S1268" t="e">
        <f ca="1">IFERROR(计算区域!T1270,NA())</f>
        <v>#N/A</v>
      </c>
      <c r="T1268" t="e">
        <f ca="1">IFERROR(计算区域!U1270,NA())</f>
        <v>#N/A</v>
      </c>
      <c r="V1268" t="e">
        <f ca="1">IFERROR(计算区域!X1270,NA())</f>
        <v>#N/A</v>
      </c>
      <c r="W1268" t="e">
        <f ca="1">IFERROR(计算区域!Y1270,NA())</f>
        <v>#N/A</v>
      </c>
      <c r="X1268" t="e">
        <f ca="1">IFERROR(计算区域!Z1270,NA())</f>
        <v>#N/A</v>
      </c>
      <c r="Y1268" t="e">
        <f ca="1">IFERROR(计算区域!AA1270,NA())</f>
        <v>#N/A</v>
      </c>
    </row>
    <row r="1269" spans="1:25" x14ac:dyDescent="0.2">
      <c r="A1269" s="28">
        <f>计算区域!E1271</f>
        <v>0</v>
      </c>
      <c r="B1269" t="e">
        <f ca="1">IFERROR(计算区域!AJ1271,NA())</f>
        <v>#N/A</v>
      </c>
      <c r="C1269" t="e">
        <f ca="1">IFERROR(计算区域!AK1271,NA())</f>
        <v>#N/A</v>
      </c>
      <c r="D1269" t="e">
        <f ca="1">IFERROR(计算区域!AL1271,NA())</f>
        <v>#N/A</v>
      </c>
      <c r="E1269" t="e">
        <f ca="1">IFERROR(计算区域!AM1271,NA())</f>
        <v>#N/A</v>
      </c>
      <c r="G1269" t="e">
        <f ca="1">IFERROR(计算区域!AD1271,NA())</f>
        <v>#N/A</v>
      </c>
      <c r="H1269" t="e">
        <f ca="1">IFERROR(计算区域!AE1271,NA())</f>
        <v>#N/A</v>
      </c>
      <c r="I1269" t="e">
        <f ca="1">IFERROR(计算区域!AF1271,NA())</f>
        <v>#N/A</v>
      </c>
      <c r="J1269" t="e">
        <f ca="1">IFERROR(计算区域!AG1271,NA())</f>
        <v>#N/A</v>
      </c>
      <c r="L1269" t="e">
        <f ca="1">IFERROR(计算区域!L1271,NA())</f>
        <v>#N/A</v>
      </c>
      <c r="M1269" t="e">
        <f ca="1">IFERROR(计算区域!M1271,NA())</f>
        <v>#N/A</v>
      </c>
      <c r="N1269" t="e">
        <f ca="1">IFERROR(计算区域!N1271,NA())</f>
        <v>#N/A</v>
      </c>
      <c r="O1269" t="e">
        <f ca="1">IFERROR(计算区域!O1271,NA())</f>
        <v>#N/A</v>
      </c>
      <c r="Q1269" t="e">
        <f ca="1">IFERROR(计算区域!R1271,NA())</f>
        <v>#N/A</v>
      </c>
      <c r="R1269" t="e">
        <f ca="1">IFERROR(计算区域!S1271,NA())</f>
        <v>#N/A</v>
      </c>
      <c r="S1269" t="e">
        <f ca="1">IFERROR(计算区域!T1271,NA())</f>
        <v>#N/A</v>
      </c>
      <c r="T1269" t="e">
        <f ca="1">IFERROR(计算区域!U1271,NA())</f>
        <v>#N/A</v>
      </c>
      <c r="V1269" t="e">
        <f ca="1">IFERROR(计算区域!X1271,NA())</f>
        <v>#N/A</v>
      </c>
      <c r="W1269" t="e">
        <f ca="1">IFERROR(计算区域!Y1271,NA())</f>
        <v>#N/A</v>
      </c>
      <c r="X1269" t="e">
        <f ca="1">IFERROR(计算区域!Z1271,NA())</f>
        <v>#N/A</v>
      </c>
      <c r="Y1269" t="e">
        <f ca="1">IFERROR(计算区域!AA1271,NA())</f>
        <v>#N/A</v>
      </c>
    </row>
    <row r="1270" spans="1:25" x14ac:dyDescent="0.2">
      <c r="A1270" s="28">
        <f>计算区域!E1272</f>
        <v>0</v>
      </c>
      <c r="B1270" t="e">
        <f ca="1">IFERROR(计算区域!AJ1272,NA())</f>
        <v>#N/A</v>
      </c>
      <c r="C1270" t="e">
        <f ca="1">IFERROR(计算区域!AK1272,NA())</f>
        <v>#N/A</v>
      </c>
      <c r="D1270" t="e">
        <f ca="1">IFERROR(计算区域!AL1272,NA())</f>
        <v>#N/A</v>
      </c>
      <c r="E1270" t="e">
        <f ca="1">IFERROR(计算区域!AM1272,NA())</f>
        <v>#N/A</v>
      </c>
      <c r="G1270" t="e">
        <f ca="1">IFERROR(计算区域!AD1272,NA())</f>
        <v>#N/A</v>
      </c>
      <c r="H1270" t="e">
        <f ca="1">IFERROR(计算区域!AE1272,NA())</f>
        <v>#N/A</v>
      </c>
      <c r="I1270" t="e">
        <f ca="1">IFERROR(计算区域!AF1272,NA())</f>
        <v>#N/A</v>
      </c>
      <c r="J1270" t="e">
        <f ca="1">IFERROR(计算区域!AG1272,NA())</f>
        <v>#N/A</v>
      </c>
      <c r="L1270" t="e">
        <f ca="1">IFERROR(计算区域!L1272,NA())</f>
        <v>#N/A</v>
      </c>
      <c r="M1270" t="e">
        <f ca="1">IFERROR(计算区域!M1272,NA())</f>
        <v>#N/A</v>
      </c>
      <c r="N1270" t="e">
        <f ca="1">IFERROR(计算区域!N1272,NA())</f>
        <v>#N/A</v>
      </c>
      <c r="O1270" t="e">
        <f ca="1">IFERROR(计算区域!O1272,NA())</f>
        <v>#N/A</v>
      </c>
      <c r="Q1270" t="e">
        <f ca="1">IFERROR(计算区域!R1272,NA())</f>
        <v>#N/A</v>
      </c>
      <c r="R1270" t="e">
        <f ca="1">IFERROR(计算区域!S1272,NA())</f>
        <v>#N/A</v>
      </c>
      <c r="S1270" t="e">
        <f ca="1">IFERROR(计算区域!T1272,NA())</f>
        <v>#N/A</v>
      </c>
      <c r="T1270" t="e">
        <f ca="1">IFERROR(计算区域!U1272,NA())</f>
        <v>#N/A</v>
      </c>
      <c r="V1270" t="e">
        <f ca="1">IFERROR(计算区域!X1272,NA())</f>
        <v>#N/A</v>
      </c>
      <c r="W1270" t="e">
        <f ca="1">IFERROR(计算区域!Y1272,NA())</f>
        <v>#N/A</v>
      </c>
      <c r="X1270" t="e">
        <f ca="1">IFERROR(计算区域!Z1272,NA())</f>
        <v>#N/A</v>
      </c>
      <c r="Y1270" t="e">
        <f ca="1">IFERROR(计算区域!AA1272,NA())</f>
        <v>#N/A</v>
      </c>
    </row>
    <row r="1271" spans="1:25" x14ac:dyDescent="0.2">
      <c r="A1271" s="28">
        <f>计算区域!E1273</f>
        <v>0</v>
      </c>
      <c r="B1271" t="e">
        <f ca="1">IFERROR(计算区域!AJ1273,NA())</f>
        <v>#N/A</v>
      </c>
      <c r="C1271" t="e">
        <f ca="1">IFERROR(计算区域!AK1273,NA())</f>
        <v>#N/A</v>
      </c>
      <c r="D1271" t="e">
        <f ca="1">IFERROR(计算区域!AL1273,NA())</f>
        <v>#N/A</v>
      </c>
      <c r="E1271" t="e">
        <f ca="1">IFERROR(计算区域!AM1273,NA())</f>
        <v>#N/A</v>
      </c>
      <c r="G1271" t="e">
        <f ca="1">IFERROR(计算区域!AD1273,NA())</f>
        <v>#N/A</v>
      </c>
      <c r="H1271" t="e">
        <f ca="1">IFERROR(计算区域!AE1273,NA())</f>
        <v>#N/A</v>
      </c>
      <c r="I1271" t="e">
        <f ca="1">IFERROR(计算区域!AF1273,NA())</f>
        <v>#N/A</v>
      </c>
      <c r="J1271" t="e">
        <f ca="1">IFERROR(计算区域!AG1273,NA())</f>
        <v>#N/A</v>
      </c>
      <c r="L1271" t="e">
        <f ca="1">IFERROR(计算区域!L1273,NA())</f>
        <v>#N/A</v>
      </c>
      <c r="M1271" t="e">
        <f ca="1">IFERROR(计算区域!M1273,NA())</f>
        <v>#N/A</v>
      </c>
      <c r="N1271" t="e">
        <f ca="1">IFERROR(计算区域!N1273,NA())</f>
        <v>#N/A</v>
      </c>
      <c r="O1271" t="e">
        <f ca="1">IFERROR(计算区域!O1273,NA())</f>
        <v>#N/A</v>
      </c>
      <c r="Q1271" t="e">
        <f ca="1">IFERROR(计算区域!R1273,NA())</f>
        <v>#N/A</v>
      </c>
      <c r="R1271" t="e">
        <f ca="1">IFERROR(计算区域!S1273,NA())</f>
        <v>#N/A</v>
      </c>
      <c r="S1271" t="e">
        <f ca="1">IFERROR(计算区域!T1273,NA())</f>
        <v>#N/A</v>
      </c>
      <c r="T1271" t="e">
        <f ca="1">IFERROR(计算区域!U1273,NA())</f>
        <v>#N/A</v>
      </c>
      <c r="V1271" t="e">
        <f ca="1">IFERROR(计算区域!X1273,NA())</f>
        <v>#N/A</v>
      </c>
      <c r="W1271" t="e">
        <f ca="1">IFERROR(计算区域!Y1273,NA())</f>
        <v>#N/A</v>
      </c>
      <c r="X1271" t="e">
        <f ca="1">IFERROR(计算区域!Z1273,NA())</f>
        <v>#N/A</v>
      </c>
      <c r="Y1271" t="e">
        <f ca="1">IFERROR(计算区域!AA1273,NA())</f>
        <v>#N/A</v>
      </c>
    </row>
    <row r="1272" spans="1:25" x14ac:dyDescent="0.2">
      <c r="A1272" s="28">
        <f>计算区域!E1274</f>
        <v>0</v>
      </c>
      <c r="B1272" t="e">
        <f ca="1">IFERROR(计算区域!AJ1274,NA())</f>
        <v>#N/A</v>
      </c>
      <c r="C1272" t="e">
        <f ca="1">IFERROR(计算区域!AK1274,NA())</f>
        <v>#N/A</v>
      </c>
      <c r="D1272" t="e">
        <f ca="1">IFERROR(计算区域!AL1274,NA())</f>
        <v>#N/A</v>
      </c>
      <c r="E1272" t="e">
        <f ca="1">IFERROR(计算区域!AM1274,NA())</f>
        <v>#N/A</v>
      </c>
      <c r="G1272" t="e">
        <f ca="1">IFERROR(计算区域!AD1274,NA())</f>
        <v>#N/A</v>
      </c>
      <c r="H1272" t="e">
        <f ca="1">IFERROR(计算区域!AE1274,NA())</f>
        <v>#N/A</v>
      </c>
      <c r="I1272" t="e">
        <f ca="1">IFERROR(计算区域!AF1274,NA())</f>
        <v>#N/A</v>
      </c>
      <c r="J1272" t="e">
        <f ca="1">IFERROR(计算区域!AG1274,NA())</f>
        <v>#N/A</v>
      </c>
      <c r="L1272" t="e">
        <f ca="1">IFERROR(计算区域!L1274,NA())</f>
        <v>#N/A</v>
      </c>
      <c r="M1272" t="e">
        <f ca="1">IFERROR(计算区域!M1274,NA())</f>
        <v>#N/A</v>
      </c>
      <c r="N1272" t="e">
        <f ca="1">IFERROR(计算区域!N1274,NA())</f>
        <v>#N/A</v>
      </c>
      <c r="O1272" t="e">
        <f ca="1">IFERROR(计算区域!O1274,NA())</f>
        <v>#N/A</v>
      </c>
      <c r="Q1272" t="e">
        <f ca="1">IFERROR(计算区域!R1274,NA())</f>
        <v>#N/A</v>
      </c>
      <c r="R1272" t="e">
        <f ca="1">IFERROR(计算区域!S1274,NA())</f>
        <v>#N/A</v>
      </c>
      <c r="S1272" t="e">
        <f ca="1">IFERROR(计算区域!T1274,NA())</f>
        <v>#N/A</v>
      </c>
      <c r="T1272" t="e">
        <f ca="1">IFERROR(计算区域!U1274,NA())</f>
        <v>#N/A</v>
      </c>
      <c r="V1272" t="e">
        <f ca="1">IFERROR(计算区域!X1274,NA())</f>
        <v>#N/A</v>
      </c>
      <c r="W1272" t="e">
        <f ca="1">IFERROR(计算区域!Y1274,NA())</f>
        <v>#N/A</v>
      </c>
      <c r="X1272" t="e">
        <f ca="1">IFERROR(计算区域!Z1274,NA())</f>
        <v>#N/A</v>
      </c>
      <c r="Y1272" t="e">
        <f ca="1">IFERROR(计算区域!AA1274,NA())</f>
        <v>#N/A</v>
      </c>
    </row>
    <row r="1273" spans="1:25" x14ac:dyDescent="0.2">
      <c r="A1273" s="28">
        <f>计算区域!E1275</f>
        <v>0</v>
      </c>
      <c r="B1273" t="e">
        <f ca="1">IFERROR(计算区域!AJ1275,NA())</f>
        <v>#N/A</v>
      </c>
      <c r="C1273" t="e">
        <f ca="1">IFERROR(计算区域!AK1275,NA())</f>
        <v>#N/A</v>
      </c>
      <c r="D1273" t="e">
        <f ca="1">IFERROR(计算区域!AL1275,NA())</f>
        <v>#N/A</v>
      </c>
      <c r="E1273" t="e">
        <f ca="1">IFERROR(计算区域!AM1275,NA())</f>
        <v>#N/A</v>
      </c>
      <c r="G1273" t="e">
        <f ca="1">IFERROR(计算区域!AD1275,NA())</f>
        <v>#N/A</v>
      </c>
      <c r="H1273" t="e">
        <f ca="1">IFERROR(计算区域!AE1275,NA())</f>
        <v>#N/A</v>
      </c>
      <c r="I1273" t="e">
        <f ca="1">IFERROR(计算区域!AF1275,NA())</f>
        <v>#N/A</v>
      </c>
      <c r="J1273" t="e">
        <f ca="1">IFERROR(计算区域!AG1275,NA())</f>
        <v>#N/A</v>
      </c>
      <c r="L1273" t="e">
        <f ca="1">IFERROR(计算区域!L1275,NA())</f>
        <v>#N/A</v>
      </c>
      <c r="M1273" t="e">
        <f ca="1">IFERROR(计算区域!M1275,NA())</f>
        <v>#N/A</v>
      </c>
      <c r="N1273" t="e">
        <f ca="1">IFERROR(计算区域!N1275,NA())</f>
        <v>#N/A</v>
      </c>
      <c r="O1273" t="e">
        <f ca="1">IFERROR(计算区域!O1275,NA())</f>
        <v>#N/A</v>
      </c>
      <c r="Q1273" t="e">
        <f ca="1">IFERROR(计算区域!R1275,NA())</f>
        <v>#N/A</v>
      </c>
      <c r="R1273" t="e">
        <f ca="1">IFERROR(计算区域!S1275,NA())</f>
        <v>#N/A</v>
      </c>
      <c r="S1273" t="e">
        <f ca="1">IFERROR(计算区域!T1275,NA())</f>
        <v>#N/A</v>
      </c>
      <c r="T1273" t="e">
        <f ca="1">IFERROR(计算区域!U1275,NA())</f>
        <v>#N/A</v>
      </c>
      <c r="V1273" t="e">
        <f ca="1">IFERROR(计算区域!X1275,NA())</f>
        <v>#N/A</v>
      </c>
      <c r="W1273" t="e">
        <f ca="1">IFERROR(计算区域!Y1275,NA())</f>
        <v>#N/A</v>
      </c>
      <c r="X1273" t="e">
        <f ca="1">IFERROR(计算区域!Z1275,NA())</f>
        <v>#N/A</v>
      </c>
      <c r="Y1273" t="e">
        <f ca="1">IFERROR(计算区域!AA1275,NA())</f>
        <v>#N/A</v>
      </c>
    </row>
    <row r="1274" spans="1:25" x14ac:dyDescent="0.2">
      <c r="A1274" s="28">
        <f>计算区域!E1276</f>
        <v>0</v>
      </c>
      <c r="B1274" t="e">
        <f ca="1">IFERROR(计算区域!AJ1276,NA())</f>
        <v>#N/A</v>
      </c>
      <c r="C1274" t="e">
        <f ca="1">IFERROR(计算区域!AK1276,NA())</f>
        <v>#N/A</v>
      </c>
      <c r="D1274" t="e">
        <f ca="1">IFERROR(计算区域!AL1276,NA())</f>
        <v>#N/A</v>
      </c>
      <c r="E1274" t="e">
        <f ca="1">IFERROR(计算区域!AM1276,NA())</f>
        <v>#N/A</v>
      </c>
      <c r="G1274" t="e">
        <f ca="1">IFERROR(计算区域!AD1276,NA())</f>
        <v>#N/A</v>
      </c>
      <c r="H1274" t="e">
        <f ca="1">IFERROR(计算区域!AE1276,NA())</f>
        <v>#N/A</v>
      </c>
      <c r="I1274" t="e">
        <f ca="1">IFERROR(计算区域!AF1276,NA())</f>
        <v>#N/A</v>
      </c>
      <c r="J1274" t="e">
        <f ca="1">IFERROR(计算区域!AG1276,NA())</f>
        <v>#N/A</v>
      </c>
      <c r="L1274" t="e">
        <f ca="1">IFERROR(计算区域!L1276,NA())</f>
        <v>#N/A</v>
      </c>
      <c r="M1274" t="e">
        <f ca="1">IFERROR(计算区域!M1276,NA())</f>
        <v>#N/A</v>
      </c>
      <c r="N1274" t="e">
        <f ca="1">IFERROR(计算区域!N1276,NA())</f>
        <v>#N/A</v>
      </c>
      <c r="O1274" t="e">
        <f ca="1">IFERROR(计算区域!O1276,NA())</f>
        <v>#N/A</v>
      </c>
      <c r="Q1274" t="e">
        <f ca="1">IFERROR(计算区域!R1276,NA())</f>
        <v>#N/A</v>
      </c>
      <c r="R1274" t="e">
        <f ca="1">IFERROR(计算区域!S1276,NA())</f>
        <v>#N/A</v>
      </c>
      <c r="S1274" t="e">
        <f ca="1">IFERROR(计算区域!T1276,NA())</f>
        <v>#N/A</v>
      </c>
      <c r="T1274" t="e">
        <f ca="1">IFERROR(计算区域!U1276,NA())</f>
        <v>#N/A</v>
      </c>
      <c r="V1274" t="e">
        <f ca="1">IFERROR(计算区域!X1276,NA())</f>
        <v>#N/A</v>
      </c>
      <c r="W1274" t="e">
        <f ca="1">IFERROR(计算区域!Y1276,NA())</f>
        <v>#N/A</v>
      </c>
      <c r="X1274" t="e">
        <f ca="1">IFERROR(计算区域!Z1276,NA())</f>
        <v>#N/A</v>
      </c>
      <c r="Y1274" t="e">
        <f ca="1">IFERROR(计算区域!AA1276,NA())</f>
        <v>#N/A</v>
      </c>
    </row>
    <row r="1275" spans="1:25" x14ac:dyDescent="0.2">
      <c r="A1275" s="28">
        <f>计算区域!E1277</f>
        <v>0</v>
      </c>
      <c r="B1275" t="e">
        <f ca="1">IFERROR(计算区域!AJ1277,NA())</f>
        <v>#N/A</v>
      </c>
      <c r="C1275" t="e">
        <f ca="1">IFERROR(计算区域!AK1277,NA())</f>
        <v>#N/A</v>
      </c>
      <c r="D1275" t="e">
        <f ca="1">IFERROR(计算区域!AL1277,NA())</f>
        <v>#N/A</v>
      </c>
      <c r="E1275" t="e">
        <f ca="1">IFERROR(计算区域!AM1277,NA())</f>
        <v>#N/A</v>
      </c>
      <c r="G1275" t="e">
        <f ca="1">IFERROR(计算区域!AD1277,NA())</f>
        <v>#N/A</v>
      </c>
      <c r="H1275" t="e">
        <f ca="1">IFERROR(计算区域!AE1277,NA())</f>
        <v>#N/A</v>
      </c>
      <c r="I1275" t="e">
        <f ca="1">IFERROR(计算区域!AF1277,NA())</f>
        <v>#N/A</v>
      </c>
      <c r="J1275" t="e">
        <f ca="1">IFERROR(计算区域!AG1277,NA())</f>
        <v>#N/A</v>
      </c>
      <c r="L1275" t="e">
        <f ca="1">IFERROR(计算区域!L1277,NA())</f>
        <v>#N/A</v>
      </c>
      <c r="M1275" t="e">
        <f ca="1">IFERROR(计算区域!M1277,NA())</f>
        <v>#N/A</v>
      </c>
      <c r="N1275" t="e">
        <f ca="1">IFERROR(计算区域!N1277,NA())</f>
        <v>#N/A</v>
      </c>
      <c r="O1275" t="e">
        <f ca="1">IFERROR(计算区域!O1277,NA())</f>
        <v>#N/A</v>
      </c>
      <c r="Q1275" t="e">
        <f ca="1">IFERROR(计算区域!R1277,NA())</f>
        <v>#N/A</v>
      </c>
      <c r="R1275" t="e">
        <f ca="1">IFERROR(计算区域!S1277,NA())</f>
        <v>#N/A</v>
      </c>
      <c r="S1275" t="e">
        <f ca="1">IFERROR(计算区域!T1277,NA())</f>
        <v>#N/A</v>
      </c>
      <c r="T1275" t="e">
        <f ca="1">IFERROR(计算区域!U1277,NA())</f>
        <v>#N/A</v>
      </c>
      <c r="V1275" t="e">
        <f ca="1">IFERROR(计算区域!X1277,NA())</f>
        <v>#N/A</v>
      </c>
      <c r="W1275" t="e">
        <f ca="1">IFERROR(计算区域!Y1277,NA())</f>
        <v>#N/A</v>
      </c>
      <c r="X1275" t="e">
        <f ca="1">IFERROR(计算区域!Z1277,NA())</f>
        <v>#N/A</v>
      </c>
      <c r="Y1275" t="e">
        <f ca="1">IFERROR(计算区域!AA1277,NA())</f>
        <v>#N/A</v>
      </c>
    </row>
    <row r="1276" spans="1:25" x14ac:dyDescent="0.2">
      <c r="A1276" s="28">
        <f>计算区域!E1278</f>
        <v>0</v>
      </c>
      <c r="B1276" t="e">
        <f ca="1">IFERROR(计算区域!AJ1278,NA())</f>
        <v>#N/A</v>
      </c>
      <c r="C1276" t="e">
        <f ca="1">IFERROR(计算区域!AK1278,NA())</f>
        <v>#N/A</v>
      </c>
      <c r="D1276" t="e">
        <f ca="1">IFERROR(计算区域!AL1278,NA())</f>
        <v>#N/A</v>
      </c>
      <c r="E1276" t="e">
        <f ca="1">IFERROR(计算区域!AM1278,NA())</f>
        <v>#N/A</v>
      </c>
      <c r="G1276" t="e">
        <f ca="1">IFERROR(计算区域!AD1278,NA())</f>
        <v>#N/A</v>
      </c>
      <c r="H1276" t="e">
        <f ca="1">IFERROR(计算区域!AE1278,NA())</f>
        <v>#N/A</v>
      </c>
      <c r="I1276" t="e">
        <f ca="1">IFERROR(计算区域!AF1278,NA())</f>
        <v>#N/A</v>
      </c>
      <c r="J1276" t="e">
        <f ca="1">IFERROR(计算区域!AG1278,NA())</f>
        <v>#N/A</v>
      </c>
      <c r="L1276" t="e">
        <f ca="1">IFERROR(计算区域!L1278,NA())</f>
        <v>#N/A</v>
      </c>
      <c r="M1276" t="e">
        <f ca="1">IFERROR(计算区域!M1278,NA())</f>
        <v>#N/A</v>
      </c>
      <c r="N1276" t="e">
        <f ca="1">IFERROR(计算区域!N1278,NA())</f>
        <v>#N/A</v>
      </c>
      <c r="O1276" t="e">
        <f ca="1">IFERROR(计算区域!O1278,NA())</f>
        <v>#N/A</v>
      </c>
      <c r="Q1276" t="e">
        <f ca="1">IFERROR(计算区域!R1278,NA())</f>
        <v>#N/A</v>
      </c>
      <c r="R1276" t="e">
        <f ca="1">IFERROR(计算区域!S1278,NA())</f>
        <v>#N/A</v>
      </c>
      <c r="S1276" t="e">
        <f ca="1">IFERROR(计算区域!T1278,NA())</f>
        <v>#N/A</v>
      </c>
      <c r="T1276" t="e">
        <f ca="1">IFERROR(计算区域!U1278,NA())</f>
        <v>#N/A</v>
      </c>
      <c r="V1276" t="e">
        <f ca="1">IFERROR(计算区域!X1278,NA())</f>
        <v>#N/A</v>
      </c>
      <c r="W1276" t="e">
        <f ca="1">IFERROR(计算区域!Y1278,NA())</f>
        <v>#N/A</v>
      </c>
      <c r="X1276" t="e">
        <f ca="1">IFERROR(计算区域!Z1278,NA())</f>
        <v>#N/A</v>
      </c>
      <c r="Y1276" t="e">
        <f ca="1">IFERROR(计算区域!AA1278,NA())</f>
        <v>#N/A</v>
      </c>
    </row>
    <row r="1277" spans="1:25" x14ac:dyDescent="0.2">
      <c r="A1277" s="28">
        <f>计算区域!E1279</f>
        <v>0</v>
      </c>
      <c r="B1277" t="e">
        <f ca="1">IFERROR(计算区域!AJ1279,NA())</f>
        <v>#N/A</v>
      </c>
      <c r="C1277" t="e">
        <f ca="1">IFERROR(计算区域!AK1279,NA())</f>
        <v>#N/A</v>
      </c>
      <c r="D1277" t="e">
        <f ca="1">IFERROR(计算区域!AL1279,NA())</f>
        <v>#N/A</v>
      </c>
      <c r="E1277" t="e">
        <f ca="1">IFERROR(计算区域!AM1279,NA())</f>
        <v>#N/A</v>
      </c>
      <c r="G1277" t="e">
        <f ca="1">IFERROR(计算区域!AD1279,NA())</f>
        <v>#N/A</v>
      </c>
      <c r="H1277" t="e">
        <f ca="1">IFERROR(计算区域!AE1279,NA())</f>
        <v>#N/A</v>
      </c>
      <c r="I1277" t="e">
        <f ca="1">IFERROR(计算区域!AF1279,NA())</f>
        <v>#N/A</v>
      </c>
      <c r="J1277" t="e">
        <f ca="1">IFERROR(计算区域!AG1279,NA())</f>
        <v>#N/A</v>
      </c>
      <c r="L1277" t="e">
        <f ca="1">IFERROR(计算区域!L1279,NA())</f>
        <v>#N/A</v>
      </c>
      <c r="M1277" t="e">
        <f ca="1">IFERROR(计算区域!M1279,NA())</f>
        <v>#N/A</v>
      </c>
      <c r="N1277" t="e">
        <f ca="1">IFERROR(计算区域!N1279,NA())</f>
        <v>#N/A</v>
      </c>
      <c r="O1277" t="e">
        <f ca="1">IFERROR(计算区域!O1279,NA())</f>
        <v>#N/A</v>
      </c>
      <c r="Q1277" t="e">
        <f ca="1">IFERROR(计算区域!R1279,NA())</f>
        <v>#N/A</v>
      </c>
      <c r="R1277" t="e">
        <f ca="1">IFERROR(计算区域!S1279,NA())</f>
        <v>#N/A</v>
      </c>
      <c r="S1277" t="e">
        <f ca="1">IFERROR(计算区域!T1279,NA())</f>
        <v>#N/A</v>
      </c>
      <c r="T1277" t="e">
        <f ca="1">IFERROR(计算区域!U1279,NA())</f>
        <v>#N/A</v>
      </c>
      <c r="V1277" t="e">
        <f ca="1">IFERROR(计算区域!X1279,NA())</f>
        <v>#N/A</v>
      </c>
      <c r="W1277" t="e">
        <f ca="1">IFERROR(计算区域!Y1279,NA())</f>
        <v>#N/A</v>
      </c>
      <c r="X1277" t="e">
        <f ca="1">IFERROR(计算区域!Z1279,NA())</f>
        <v>#N/A</v>
      </c>
      <c r="Y1277" t="e">
        <f ca="1">IFERROR(计算区域!AA1279,NA())</f>
        <v>#N/A</v>
      </c>
    </row>
    <row r="1278" spans="1:25" x14ac:dyDescent="0.2">
      <c r="A1278" s="28">
        <f>计算区域!E1280</f>
        <v>0</v>
      </c>
      <c r="B1278" t="e">
        <f ca="1">IFERROR(计算区域!AJ1280,NA())</f>
        <v>#N/A</v>
      </c>
      <c r="C1278" t="e">
        <f ca="1">IFERROR(计算区域!AK1280,NA())</f>
        <v>#N/A</v>
      </c>
      <c r="D1278" t="e">
        <f ca="1">IFERROR(计算区域!AL1280,NA())</f>
        <v>#N/A</v>
      </c>
      <c r="E1278" t="e">
        <f ca="1">IFERROR(计算区域!AM1280,NA())</f>
        <v>#N/A</v>
      </c>
      <c r="G1278" t="e">
        <f ca="1">IFERROR(计算区域!AD1280,NA())</f>
        <v>#N/A</v>
      </c>
      <c r="H1278" t="e">
        <f ca="1">IFERROR(计算区域!AE1280,NA())</f>
        <v>#N/A</v>
      </c>
      <c r="I1278" t="e">
        <f ca="1">IFERROR(计算区域!AF1280,NA())</f>
        <v>#N/A</v>
      </c>
      <c r="J1278" t="e">
        <f ca="1">IFERROR(计算区域!AG1280,NA())</f>
        <v>#N/A</v>
      </c>
      <c r="L1278" t="e">
        <f ca="1">IFERROR(计算区域!L1280,NA())</f>
        <v>#N/A</v>
      </c>
      <c r="M1278" t="e">
        <f ca="1">IFERROR(计算区域!M1280,NA())</f>
        <v>#N/A</v>
      </c>
      <c r="N1278" t="e">
        <f ca="1">IFERROR(计算区域!N1280,NA())</f>
        <v>#N/A</v>
      </c>
      <c r="O1278" t="e">
        <f ca="1">IFERROR(计算区域!O1280,NA())</f>
        <v>#N/A</v>
      </c>
      <c r="Q1278" t="e">
        <f ca="1">IFERROR(计算区域!R1280,NA())</f>
        <v>#N/A</v>
      </c>
      <c r="R1278" t="e">
        <f ca="1">IFERROR(计算区域!S1280,NA())</f>
        <v>#N/A</v>
      </c>
      <c r="S1278" t="e">
        <f ca="1">IFERROR(计算区域!T1280,NA())</f>
        <v>#N/A</v>
      </c>
      <c r="T1278" t="e">
        <f ca="1">IFERROR(计算区域!U1280,NA())</f>
        <v>#N/A</v>
      </c>
      <c r="V1278" t="e">
        <f ca="1">IFERROR(计算区域!X1280,NA())</f>
        <v>#N/A</v>
      </c>
      <c r="W1278" t="e">
        <f ca="1">IFERROR(计算区域!Y1280,NA())</f>
        <v>#N/A</v>
      </c>
      <c r="X1278" t="e">
        <f ca="1">IFERROR(计算区域!Z1280,NA())</f>
        <v>#N/A</v>
      </c>
      <c r="Y1278" t="e">
        <f ca="1">IFERROR(计算区域!AA1280,NA())</f>
        <v>#N/A</v>
      </c>
    </row>
    <row r="1279" spans="1:25" x14ac:dyDescent="0.2">
      <c r="A1279" s="28">
        <f>计算区域!E1281</f>
        <v>0</v>
      </c>
      <c r="B1279" t="e">
        <f ca="1">IFERROR(计算区域!AJ1281,NA())</f>
        <v>#N/A</v>
      </c>
      <c r="C1279" t="e">
        <f ca="1">IFERROR(计算区域!AK1281,NA())</f>
        <v>#N/A</v>
      </c>
      <c r="D1279" t="e">
        <f ca="1">IFERROR(计算区域!AL1281,NA())</f>
        <v>#N/A</v>
      </c>
      <c r="E1279" t="e">
        <f ca="1">IFERROR(计算区域!AM1281,NA())</f>
        <v>#N/A</v>
      </c>
      <c r="G1279" t="e">
        <f ca="1">IFERROR(计算区域!AD1281,NA())</f>
        <v>#N/A</v>
      </c>
      <c r="H1279" t="e">
        <f ca="1">IFERROR(计算区域!AE1281,NA())</f>
        <v>#N/A</v>
      </c>
      <c r="I1279" t="e">
        <f ca="1">IFERROR(计算区域!AF1281,NA())</f>
        <v>#N/A</v>
      </c>
      <c r="J1279" t="e">
        <f ca="1">IFERROR(计算区域!AG1281,NA())</f>
        <v>#N/A</v>
      </c>
      <c r="L1279" t="e">
        <f ca="1">IFERROR(计算区域!L1281,NA())</f>
        <v>#N/A</v>
      </c>
      <c r="M1279" t="e">
        <f ca="1">IFERROR(计算区域!M1281,NA())</f>
        <v>#N/A</v>
      </c>
      <c r="N1279" t="e">
        <f ca="1">IFERROR(计算区域!N1281,NA())</f>
        <v>#N/A</v>
      </c>
      <c r="O1279" t="e">
        <f ca="1">IFERROR(计算区域!O1281,NA())</f>
        <v>#N/A</v>
      </c>
      <c r="Q1279" t="e">
        <f ca="1">IFERROR(计算区域!R1281,NA())</f>
        <v>#N/A</v>
      </c>
      <c r="R1279" t="e">
        <f ca="1">IFERROR(计算区域!S1281,NA())</f>
        <v>#N/A</v>
      </c>
      <c r="S1279" t="e">
        <f ca="1">IFERROR(计算区域!T1281,NA())</f>
        <v>#N/A</v>
      </c>
      <c r="T1279" t="e">
        <f ca="1">IFERROR(计算区域!U1281,NA())</f>
        <v>#N/A</v>
      </c>
      <c r="V1279" t="e">
        <f ca="1">IFERROR(计算区域!X1281,NA())</f>
        <v>#N/A</v>
      </c>
      <c r="W1279" t="e">
        <f ca="1">IFERROR(计算区域!Y1281,NA())</f>
        <v>#N/A</v>
      </c>
      <c r="X1279" t="e">
        <f ca="1">IFERROR(计算区域!Z1281,NA())</f>
        <v>#N/A</v>
      </c>
      <c r="Y1279" t="e">
        <f ca="1">IFERROR(计算区域!AA1281,NA())</f>
        <v>#N/A</v>
      </c>
    </row>
    <row r="1280" spans="1:25" x14ac:dyDescent="0.2">
      <c r="A1280" s="28">
        <f>计算区域!E1282</f>
        <v>0</v>
      </c>
      <c r="B1280" t="e">
        <f ca="1">IFERROR(计算区域!AJ1282,NA())</f>
        <v>#N/A</v>
      </c>
      <c r="C1280" t="e">
        <f ca="1">IFERROR(计算区域!AK1282,NA())</f>
        <v>#N/A</v>
      </c>
      <c r="D1280" t="e">
        <f ca="1">IFERROR(计算区域!AL1282,NA())</f>
        <v>#N/A</v>
      </c>
      <c r="E1280" t="e">
        <f ca="1">IFERROR(计算区域!AM1282,NA())</f>
        <v>#N/A</v>
      </c>
      <c r="G1280" t="e">
        <f ca="1">IFERROR(计算区域!AD1282,NA())</f>
        <v>#N/A</v>
      </c>
      <c r="H1280" t="e">
        <f ca="1">IFERROR(计算区域!AE1282,NA())</f>
        <v>#N/A</v>
      </c>
      <c r="I1280" t="e">
        <f ca="1">IFERROR(计算区域!AF1282,NA())</f>
        <v>#N/A</v>
      </c>
      <c r="J1280" t="e">
        <f ca="1">IFERROR(计算区域!AG1282,NA())</f>
        <v>#N/A</v>
      </c>
      <c r="L1280" t="e">
        <f ca="1">IFERROR(计算区域!L1282,NA())</f>
        <v>#N/A</v>
      </c>
      <c r="M1280" t="e">
        <f ca="1">IFERROR(计算区域!M1282,NA())</f>
        <v>#N/A</v>
      </c>
      <c r="N1280" t="e">
        <f ca="1">IFERROR(计算区域!N1282,NA())</f>
        <v>#N/A</v>
      </c>
      <c r="O1280" t="e">
        <f ca="1">IFERROR(计算区域!O1282,NA())</f>
        <v>#N/A</v>
      </c>
      <c r="Q1280" t="e">
        <f ca="1">IFERROR(计算区域!R1282,NA())</f>
        <v>#N/A</v>
      </c>
      <c r="R1280" t="e">
        <f ca="1">IFERROR(计算区域!S1282,NA())</f>
        <v>#N/A</v>
      </c>
      <c r="S1280" t="e">
        <f ca="1">IFERROR(计算区域!T1282,NA())</f>
        <v>#N/A</v>
      </c>
      <c r="T1280" t="e">
        <f ca="1">IFERROR(计算区域!U1282,NA())</f>
        <v>#N/A</v>
      </c>
      <c r="V1280" t="e">
        <f ca="1">IFERROR(计算区域!X1282,NA())</f>
        <v>#N/A</v>
      </c>
      <c r="W1280" t="e">
        <f ca="1">IFERROR(计算区域!Y1282,NA())</f>
        <v>#N/A</v>
      </c>
      <c r="X1280" t="e">
        <f ca="1">IFERROR(计算区域!Z1282,NA())</f>
        <v>#N/A</v>
      </c>
      <c r="Y1280" t="e">
        <f ca="1">IFERROR(计算区域!AA1282,NA())</f>
        <v>#N/A</v>
      </c>
    </row>
    <row r="1281" spans="1:25" x14ac:dyDescent="0.2">
      <c r="A1281" s="28">
        <f>计算区域!E1283</f>
        <v>0</v>
      </c>
      <c r="B1281" t="e">
        <f ca="1">IFERROR(计算区域!AJ1283,NA())</f>
        <v>#N/A</v>
      </c>
      <c r="C1281" t="e">
        <f ca="1">IFERROR(计算区域!AK1283,NA())</f>
        <v>#N/A</v>
      </c>
      <c r="D1281" t="e">
        <f ca="1">IFERROR(计算区域!AL1283,NA())</f>
        <v>#N/A</v>
      </c>
      <c r="E1281" t="e">
        <f ca="1">IFERROR(计算区域!AM1283,NA())</f>
        <v>#N/A</v>
      </c>
      <c r="G1281" t="e">
        <f ca="1">IFERROR(计算区域!AD1283,NA())</f>
        <v>#N/A</v>
      </c>
      <c r="H1281" t="e">
        <f ca="1">IFERROR(计算区域!AE1283,NA())</f>
        <v>#N/A</v>
      </c>
      <c r="I1281" t="e">
        <f ca="1">IFERROR(计算区域!AF1283,NA())</f>
        <v>#N/A</v>
      </c>
      <c r="J1281" t="e">
        <f ca="1">IFERROR(计算区域!AG1283,NA())</f>
        <v>#N/A</v>
      </c>
      <c r="L1281" t="e">
        <f ca="1">IFERROR(计算区域!L1283,NA())</f>
        <v>#N/A</v>
      </c>
      <c r="M1281" t="e">
        <f ca="1">IFERROR(计算区域!M1283,NA())</f>
        <v>#N/A</v>
      </c>
      <c r="N1281" t="e">
        <f ca="1">IFERROR(计算区域!N1283,NA())</f>
        <v>#N/A</v>
      </c>
      <c r="O1281" t="e">
        <f ca="1">IFERROR(计算区域!O1283,NA())</f>
        <v>#N/A</v>
      </c>
      <c r="Q1281" t="e">
        <f ca="1">IFERROR(计算区域!R1283,NA())</f>
        <v>#N/A</v>
      </c>
      <c r="R1281" t="e">
        <f ca="1">IFERROR(计算区域!S1283,NA())</f>
        <v>#N/A</v>
      </c>
      <c r="S1281" t="e">
        <f ca="1">IFERROR(计算区域!T1283,NA())</f>
        <v>#N/A</v>
      </c>
      <c r="T1281" t="e">
        <f ca="1">IFERROR(计算区域!U1283,NA())</f>
        <v>#N/A</v>
      </c>
      <c r="V1281" t="e">
        <f ca="1">IFERROR(计算区域!X1283,NA())</f>
        <v>#N/A</v>
      </c>
      <c r="W1281" t="e">
        <f ca="1">IFERROR(计算区域!Y1283,NA())</f>
        <v>#N/A</v>
      </c>
      <c r="X1281" t="e">
        <f ca="1">IFERROR(计算区域!Z1283,NA())</f>
        <v>#N/A</v>
      </c>
      <c r="Y1281" t="e">
        <f ca="1">IFERROR(计算区域!AA1283,NA())</f>
        <v>#N/A</v>
      </c>
    </row>
    <row r="1282" spans="1:25" x14ac:dyDescent="0.2">
      <c r="A1282" s="28">
        <f>计算区域!E1284</f>
        <v>0</v>
      </c>
      <c r="B1282" t="e">
        <f ca="1">IFERROR(计算区域!AJ1284,NA())</f>
        <v>#N/A</v>
      </c>
      <c r="C1282" t="e">
        <f ca="1">IFERROR(计算区域!AK1284,NA())</f>
        <v>#N/A</v>
      </c>
      <c r="D1282" t="e">
        <f ca="1">IFERROR(计算区域!AL1284,NA())</f>
        <v>#N/A</v>
      </c>
      <c r="E1282" t="e">
        <f ca="1">IFERROR(计算区域!AM1284,NA())</f>
        <v>#N/A</v>
      </c>
      <c r="G1282" t="e">
        <f ca="1">IFERROR(计算区域!AD1284,NA())</f>
        <v>#N/A</v>
      </c>
      <c r="H1282" t="e">
        <f ca="1">IFERROR(计算区域!AE1284,NA())</f>
        <v>#N/A</v>
      </c>
      <c r="I1282" t="e">
        <f ca="1">IFERROR(计算区域!AF1284,NA())</f>
        <v>#N/A</v>
      </c>
      <c r="J1282" t="e">
        <f ca="1">IFERROR(计算区域!AG1284,NA())</f>
        <v>#N/A</v>
      </c>
      <c r="L1282" t="e">
        <f ca="1">IFERROR(计算区域!L1284,NA())</f>
        <v>#N/A</v>
      </c>
      <c r="M1282" t="e">
        <f ca="1">IFERROR(计算区域!M1284,NA())</f>
        <v>#N/A</v>
      </c>
      <c r="N1282" t="e">
        <f ca="1">IFERROR(计算区域!N1284,NA())</f>
        <v>#N/A</v>
      </c>
      <c r="O1282" t="e">
        <f ca="1">IFERROR(计算区域!O1284,NA())</f>
        <v>#N/A</v>
      </c>
      <c r="Q1282" t="e">
        <f ca="1">IFERROR(计算区域!R1284,NA())</f>
        <v>#N/A</v>
      </c>
      <c r="R1282" t="e">
        <f ca="1">IFERROR(计算区域!S1284,NA())</f>
        <v>#N/A</v>
      </c>
      <c r="S1282" t="e">
        <f ca="1">IFERROR(计算区域!T1284,NA())</f>
        <v>#N/A</v>
      </c>
      <c r="T1282" t="e">
        <f ca="1">IFERROR(计算区域!U1284,NA())</f>
        <v>#N/A</v>
      </c>
      <c r="V1282" t="e">
        <f ca="1">IFERROR(计算区域!X1284,NA())</f>
        <v>#N/A</v>
      </c>
      <c r="W1282" t="e">
        <f ca="1">IFERROR(计算区域!Y1284,NA())</f>
        <v>#N/A</v>
      </c>
      <c r="X1282" t="e">
        <f ca="1">IFERROR(计算区域!Z1284,NA())</f>
        <v>#N/A</v>
      </c>
      <c r="Y1282" t="e">
        <f ca="1">IFERROR(计算区域!AA1284,NA())</f>
        <v>#N/A</v>
      </c>
    </row>
    <row r="1283" spans="1:25" x14ac:dyDescent="0.2">
      <c r="A1283" s="28">
        <f>计算区域!E1285</f>
        <v>0</v>
      </c>
      <c r="B1283" t="e">
        <f ca="1">IFERROR(计算区域!AJ1285,NA())</f>
        <v>#N/A</v>
      </c>
      <c r="C1283" t="e">
        <f ca="1">IFERROR(计算区域!AK1285,NA())</f>
        <v>#N/A</v>
      </c>
      <c r="D1283" t="e">
        <f ca="1">IFERROR(计算区域!AL1285,NA())</f>
        <v>#N/A</v>
      </c>
      <c r="E1283" t="e">
        <f ca="1">IFERROR(计算区域!AM1285,NA())</f>
        <v>#N/A</v>
      </c>
      <c r="G1283" t="e">
        <f ca="1">IFERROR(计算区域!AD1285,NA())</f>
        <v>#N/A</v>
      </c>
      <c r="H1283" t="e">
        <f ca="1">IFERROR(计算区域!AE1285,NA())</f>
        <v>#N/A</v>
      </c>
      <c r="I1283" t="e">
        <f ca="1">IFERROR(计算区域!AF1285,NA())</f>
        <v>#N/A</v>
      </c>
      <c r="J1283" t="e">
        <f ca="1">IFERROR(计算区域!AG1285,NA())</f>
        <v>#N/A</v>
      </c>
      <c r="L1283" t="e">
        <f ca="1">IFERROR(计算区域!L1285,NA())</f>
        <v>#N/A</v>
      </c>
      <c r="M1283" t="e">
        <f ca="1">IFERROR(计算区域!M1285,NA())</f>
        <v>#N/A</v>
      </c>
      <c r="N1283" t="e">
        <f ca="1">IFERROR(计算区域!N1285,NA())</f>
        <v>#N/A</v>
      </c>
      <c r="O1283" t="e">
        <f ca="1">IFERROR(计算区域!O1285,NA())</f>
        <v>#N/A</v>
      </c>
      <c r="Q1283" t="e">
        <f ca="1">IFERROR(计算区域!R1285,NA())</f>
        <v>#N/A</v>
      </c>
      <c r="R1283" t="e">
        <f ca="1">IFERROR(计算区域!S1285,NA())</f>
        <v>#N/A</v>
      </c>
      <c r="S1283" t="e">
        <f ca="1">IFERROR(计算区域!T1285,NA())</f>
        <v>#N/A</v>
      </c>
      <c r="T1283" t="e">
        <f ca="1">IFERROR(计算区域!U1285,NA())</f>
        <v>#N/A</v>
      </c>
      <c r="V1283" t="e">
        <f ca="1">IFERROR(计算区域!X1285,NA())</f>
        <v>#N/A</v>
      </c>
      <c r="W1283" t="e">
        <f ca="1">IFERROR(计算区域!Y1285,NA())</f>
        <v>#N/A</v>
      </c>
      <c r="X1283" t="e">
        <f ca="1">IFERROR(计算区域!Z1285,NA())</f>
        <v>#N/A</v>
      </c>
      <c r="Y1283" t="e">
        <f ca="1">IFERROR(计算区域!AA1285,NA())</f>
        <v>#N/A</v>
      </c>
    </row>
    <row r="1284" spans="1:25" x14ac:dyDescent="0.2">
      <c r="A1284" s="28">
        <f>计算区域!E1286</f>
        <v>0</v>
      </c>
      <c r="B1284" t="e">
        <f ca="1">IFERROR(计算区域!AJ1286,NA())</f>
        <v>#N/A</v>
      </c>
      <c r="C1284" t="e">
        <f ca="1">IFERROR(计算区域!AK1286,NA())</f>
        <v>#N/A</v>
      </c>
      <c r="D1284" t="e">
        <f ca="1">IFERROR(计算区域!AL1286,NA())</f>
        <v>#N/A</v>
      </c>
      <c r="E1284" t="e">
        <f ca="1">IFERROR(计算区域!AM1286,NA())</f>
        <v>#N/A</v>
      </c>
      <c r="G1284" t="e">
        <f ca="1">IFERROR(计算区域!AD1286,NA())</f>
        <v>#N/A</v>
      </c>
      <c r="H1284" t="e">
        <f ca="1">IFERROR(计算区域!AE1286,NA())</f>
        <v>#N/A</v>
      </c>
      <c r="I1284" t="e">
        <f ca="1">IFERROR(计算区域!AF1286,NA())</f>
        <v>#N/A</v>
      </c>
      <c r="J1284" t="e">
        <f ca="1">IFERROR(计算区域!AG1286,NA())</f>
        <v>#N/A</v>
      </c>
      <c r="L1284" t="e">
        <f ca="1">IFERROR(计算区域!L1286,NA())</f>
        <v>#N/A</v>
      </c>
      <c r="M1284" t="e">
        <f ca="1">IFERROR(计算区域!M1286,NA())</f>
        <v>#N/A</v>
      </c>
      <c r="N1284" t="e">
        <f ca="1">IFERROR(计算区域!N1286,NA())</f>
        <v>#N/A</v>
      </c>
      <c r="O1284" t="e">
        <f ca="1">IFERROR(计算区域!O1286,NA())</f>
        <v>#N/A</v>
      </c>
      <c r="Q1284" t="e">
        <f ca="1">IFERROR(计算区域!R1286,NA())</f>
        <v>#N/A</v>
      </c>
      <c r="R1284" t="e">
        <f ca="1">IFERROR(计算区域!S1286,NA())</f>
        <v>#N/A</v>
      </c>
      <c r="S1284" t="e">
        <f ca="1">IFERROR(计算区域!T1286,NA())</f>
        <v>#N/A</v>
      </c>
      <c r="T1284" t="e">
        <f ca="1">IFERROR(计算区域!U1286,NA())</f>
        <v>#N/A</v>
      </c>
      <c r="V1284" t="e">
        <f ca="1">IFERROR(计算区域!X1286,NA())</f>
        <v>#N/A</v>
      </c>
      <c r="W1284" t="e">
        <f ca="1">IFERROR(计算区域!Y1286,NA())</f>
        <v>#N/A</v>
      </c>
      <c r="X1284" t="e">
        <f ca="1">IFERROR(计算区域!Z1286,NA())</f>
        <v>#N/A</v>
      </c>
      <c r="Y1284" t="e">
        <f ca="1">IFERROR(计算区域!AA1286,NA())</f>
        <v>#N/A</v>
      </c>
    </row>
    <row r="1285" spans="1:25" x14ac:dyDescent="0.2">
      <c r="A1285" s="28">
        <f>计算区域!E1287</f>
        <v>0</v>
      </c>
      <c r="B1285" t="e">
        <f ca="1">IFERROR(计算区域!AJ1287,NA())</f>
        <v>#N/A</v>
      </c>
      <c r="C1285" t="e">
        <f ca="1">IFERROR(计算区域!AK1287,NA())</f>
        <v>#N/A</v>
      </c>
      <c r="D1285" t="e">
        <f ca="1">IFERROR(计算区域!AL1287,NA())</f>
        <v>#N/A</v>
      </c>
      <c r="E1285" t="e">
        <f ca="1">IFERROR(计算区域!AM1287,NA())</f>
        <v>#N/A</v>
      </c>
      <c r="G1285" t="e">
        <f ca="1">IFERROR(计算区域!AD1287,NA())</f>
        <v>#N/A</v>
      </c>
      <c r="H1285" t="e">
        <f ca="1">IFERROR(计算区域!AE1287,NA())</f>
        <v>#N/A</v>
      </c>
      <c r="I1285" t="e">
        <f ca="1">IFERROR(计算区域!AF1287,NA())</f>
        <v>#N/A</v>
      </c>
      <c r="J1285" t="e">
        <f ca="1">IFERROR(计算区域!AG1287,NA())</f>
        <v>#N/A</v>
      </c>
      <c r="L1285" t="e">
        <f ca="1">IFERROR(计算区域!L1287,NA())</f>
        <v>#N/A</v>
      </c>
      <c r="M1285" t="e">
        <f ca="1">IFERROR(计算区域!M1287,NA())</f>
        <v>#N/A</v>
      </c>
      <c r="N1285" t="e">
        <f ca="1">IFERROR(计算区域!N1287,NA())</f>
        <v>#N/A</v>
      </c>
      <c r="O1285" t="e">
        <f ca="1">IFERROR(计算区域!O1287,NA())</f>
        <v>#N/A</v>
      </c>
      <c r="Q1285" t="e">
        <f ca="1">IFERROR(计算区域!R1287,NA())</f>
        <v>#N/A</v>
      </c>
      <c r="R1285" t="e">
        <f ca="1">IFERROR(计算区域!S1287,NA())</f>
        <v>#N/A</v>
      </c>
      <c r="S1285" t="e">
        <f ca="1">IFERROR(计算区域!T1287,NA())</f>
        <v>#N/A</v>
      </c>
      <c r="T1285" t="e">
        <f ca="1">IFERROR(计算区域!U1287,NA())</f>
        <v>#N/A</v>
      </c>
      <c r="V1285" t="e">
        <f ca="1">IFERROR(计算区域!X1287,NA())</f>
        <v>#N/A</v>
      </c>
      <c r="W1285" t="e">
        <f ca="1">IFERROR(计算区域!Y1287,NA())</f>
        <v>#N/A</v>
      </c>
      <c r="X1285" t="e">
        <f ca="1">IFERROR(计算区域!Z1287,NA())</f>
        <v>#N/A</v>
      </c>
      <c r="Y1285" t="e">
        <f ca="1">IFERROR(计算区域!AA1287,NA())</f>
        <v>#N/A</v>
      </c>
    </row>
    <row r="1286" spans="1:25" x14ac:dyDescent="0.2">
      <c r="A1286" s="28">
        <f>计算区域!E1288</f>
        <v>0</v>
      </c>
      <c r="B1286" t="e">
        <f ca="1">IFERROR(计算区域!AJ1288,NA())</f>
        <v>#N/A</v>
      </c>
      <c r="C1286" t="e">
        <f ca="1">IFERROR(计算区域!AK1288,NA())</f>
        <v>#N/A</v>
      </c>
      <c r="D1286" t="e">
        <f ca="1">IFERROR(计算区域!AL1288,NA())</f>
        <v>#N/A</v>
      </c>
      <c r="E1286" t="e">
        <f ca="1">IFERROR(计算区域!AM1288,NA())</f>
        <v>#N/A</v>
      </c>
      <c r="G1286" t="e">
        <f ca="1">IFERROR(计算区域!AD1288,NA())</f>
        <v>#N/A</v>
      </c>
      <c r="H1286" t="e">
        <f ca="1">IFERROR(计算区域!AE1288,NA())</f>
        <v>#N/A</v>
      </c>
      <c r="I1286" t="e">
        <f ca="1">IFERROR(计算区域!AF1288,NA())</f>
        <v>#N/A</v>
      </c>
      <c r="J1286" t="e">
        <f ca="1">IFERROR(计算区域!AG1288,NA())</f>
        <v>#N/A</v>
      </c>
      <c r="L1286" t="e">
        <f ca="1">IFERROR(计算区域!L1288,NA())</f>
        <v>#N/A</v>
      </c>
      <c r="M1286" t="e">
        <f ca="1">IFERROR(计算区域!M1288,NA())</f>
        <v>#N/A</v>
      </c>
      <c r="N1286" t="e">
        <f ca="1">IFERROR(计算区域!N1288,NA())</f>
        <v>#N/A</v>
      </c>
      <c r="O1286" t="e">
        <f ca="1">IFERROR(计算区域!O1288,NA())</f>
        <v>#N/A</v>
      </c>
      <c r="Q1286" t="e">
        <f ca="1">IFERROR(计算区域!R1288,NA())</f>
        <v>#N/A</v>
      </c>
      <c r="R1286" t="e">
        <f ca="1">IFERROR(计算区域!S1288,NA())</f>
        <v>#N/A</v>
      </c>
      <c r="S1286" t="e">
        <f ca="1">IFERROR(计算区域!T1288,NA())</f>
        <v>#N/A</v>
      </c>
      <c r="T1286" t="e">
        <f ca="1">IFERROR(计算区域!U1288,NA())</f>
        <v>#N/A</v>
      </c>
      <c r="V1286" t="e">
        <f ca="1">IFERROR(计算区域!X1288,NA())</f>
        <v>#N/A</v>
      </c>
      <c r="W1286" t="e">
        <f ca="1">IFERROR(计算区域!Y1288,NA())</f>
        <v>#N/A</v>
      </c>
      <c r="X1286" t="e">
        <f ca="1">IFERROR(计算区域!Z1288,NA())</f>
        <v>#N/A</v>
      </c>
      <c r="Y1286" t="e">
        <f ca="1">IFERROR(计算区域!AA1288,NA())</f>
        <v>#N/A</v>
      </c>
    </row>
    <row r="1287" spans="1:25" x14ac:dyDescent="0.2">
      <c r="A1287" s="28">
        <f>计算区域!E1289</f>
        <v>0</v>
      </c>
      <c r="B1287" t="e">
        <f ca="1">IFERROR(计算区域!AJ1289,NA())</f>
        <v>#N/A</v>
      </c>
      <c r="C1287" t="e">
        <f ca="1">IFERROR(计算区域!AK1289,NA())</f>
        <v>#N/A</v>
      </c>
      <c r="D1287" t="e">
        <f ca="1">IFERROR(计算区域!AL1289,NA())</f>
        <v>#N/A</v>
      </c>
      <c r="E1287" t="e">
        <f ca="1">IFERROR(计算区域!AM1289,NA())</f>
        <v>#N/A</v>
      </c>
      <c r="G1287" t="e">
        <f ca="1">IFERROR(计算区域!AD1289,NA())</f>
        <v>#N/A</v>
      </c>
      <c r="H1287" t="e">
        <f ca="1">IFERROR(计算区域!AE1289,NA())</f>
        <v>#N/A</v>
      </c>
      <c r="I1287" t="e">
        <f ca="1">IFERROR(计算区域!AF1289,NA())</f>
        <v>#N/A</v>
      </c>
      <c r="J1287" t="e">
        <f ca="1">IFERROR(计算区域!AG1289,NA())</f>
        <v>#N/A</v>
      </c>
      <c r="L1287" t="e">
        <f ca="1">IFERROR(计算区域!L1289,NA())</f>
        <v>#N/A</v>
      </c>
      <c r="M1287" t="e">
        <f ca="1">IFERROR(计算区域!M1289,NA())</f>
        <v>#N/A</v>
      </c>
      <c r="N1287" t="e">
        <f ca="1">IFERROR(计算区域!N1289,NA())</f>
        <v>#N/A</v>
      </c>
      <c r="O1287" t="e">
        <f ca="1">IFERROR(计算区域!O1289,NA())</f>
        <v>#N/A</v>
      </c>
      <c r="Q1287" t="e">
        <f ca="1">IFERROR(计算区域!R1289,NA())</f>
        <v>#N/A</v>
      </c>
      <c r="R1287" t="e">
        <f ca="1">IFERROR(计算区域!S1289,NA())</f>
        <v>#N/A</v>
      </c>
      <c r="S1287" t="e">
        <f ca="1">IFERROR(计算区域!T1289,NA())</f>
        <v>#N/A</v>
      </c>
      <c r="T1287" t="e">
        <f ca="1">IFERROR(计算区域!U1289,NA())</f>
        <v>#N/A</v>
      </c>
      <c r="V1287" t="e">
        <f ca="1">IFERROR(计算区域!X1289,NA())</f>
        <v>#N/A</v>
      </c>
      <c r="W1287" t="e">
        <f ca="1">IFERROR(计算区域!Y1289,NA())</f>
        <v>#N/A</v>
      </c>
      <c r="X1287" t="e">
        <f ca="1">IFERROR(计算区域!Z1289,NA())</f>
        <v>#N/A</v>
      </c>
      <c r="Y1287" t="e">
        <f ca="1">IFERROR(计算区域!AA1289,NA())</f>
        <v>#N/A</v>
      </c>
    </row>
    <row r="1288" spans="1:25" x14ac:dyDescent="0.2">
      <c r="A1288" s="28">
        <f>计算区域!E1290</f>
        <v>0</v>
      </c>
      <c r="B1288" t="e">
        <f ca="1">IFERROR(计算区域!AJ1290,NA())</f>
        <v>#N/A</v>
      </c>
      <c r="C1288" t="e">
        <f ca="1">IFERROR(计算区域!AK1290,NA())</f>
        <v>#N/A</v>
      </c>
      <c r="D1288" t="e">
        <f ca="1">IFERROR(计算区域!AL1290,NA())</f>
        <v>#N/A</v>
      </c>
      <c r="E1288" t="e">
        <f ca="1">IFERROR(计算区域!AM1290,NA())</f>
        <v>#N/A</v>
      </c>
      <c r="G1288" t="e">
        <f ca="1">IFERROR(计算区域!AD1290,NA())</f>
        <v>#N/A</v>
      </c>
      <c r="H1288" t="e">
        <f ca="1">IFERROR(计算区域!AE1290,NA())</f>
        <v>#N/A</v>
      </c>
      <c r="I1288" t="e">
        <f ca="1">IFERROR(计算区域!AF1290,NA())</f>
        <v>#N/A</v>
      </c>
      <c r="J1288" t="e">
        <f ca="1">IFERROR(计算区域!AG1290,NA())</f>
        <v>#N/A</v>
      </c>
      <c r="L1288" t="e">
        <f ca="1">IFERROR(计算区域!L1290,NA())</f>
        <v>#N/A</v>
      </c>
      <c r="M1288" t="e">
        <f ca="1">IFERROR(计算区域!M1290,NA())</f>
        <v>#N/A</v>
      </c>
      <c r="N1288" t="e">
        <f ca="1">IFERROR(计算区域!N1290,NA())</f>
        <v>#N/A</v>
      </c>
      <c r="O1288" t="e">
        <f ca="1">IFERROR(计算区域!O1290,NA())</f>
        <v>#N/A</v>
      </c>
      <c r="Q1288" t="e">
        <f ca="1">IFERROR(计算区域!R1290,NA())</f>
        <v>#N/A</v>
      </c>
      <c r="R1288" t="e">
        <f ca="1">IFERROR(计算区域!S1290,NA())</f>
        <v>#N/A</v>
      </c>
      <c r="S1288" t="e">
        <f ca="1">IFERROR(计算区域!T1290,NA())</f>
        <v>#N/A</v>
      </c>
      <c r="T1288" t="e">
        <f ca="1">IFERROR(计算区域!U1290,NA())</f>
        <v>#N/A</v>
      </c>
      <c r="V1288" t="e">
        <f ca="1">IFERROR(计算区域!X1290,NA())</f>
        <v>#N/A</v>
      </c>
      <c r="W1288" t="e">
        <f ca="1">IFERROR(计算区域!Y1290,NA())</f>
        <v>#N/A</v>
      </c>
      <c r="X1288" t="e">
        <f ca="1">IFERROR(计算区域!Z1290,NA())</f>
        <v>#N/A</v>
      </c>
      <c r="Y1288" t="e">
        <f ca="1">IFERROR(计算区域!AA1290,NA())</f>
        <v>#N/A</v>
      </c>
    </row>
    <row r="1289" spans="1:25" x14ac:dyDescent="0.2">
      <c r="A1289" s="28">
        <f>计算区域!E1291</f>
        <v>0</v>
      </c>
      <c r="B1289" t="e">
        <f ca="1">IFERROR(计算区域!AJ1291,NA())</f>
        <v>#N/A</v>
      </c>
      <c r="C1289" t="e">
        <f ca="1">IFERROR(计算区域!AK1291,NA())</f>
        <v>#N/A</v>
      </c>
      <c r="D1289" t="e">
        <f ca="1">IFERROR(计算区域!AL1291,NA())</f>
        <v>#N/A</v>
      </c>
      <c r="E1289" t="e">
        <f ca="1">IFERROR(计算区域!AM1291,NA())</f>
        <v>#N/A</v>
      </c>
      <c r="G1289" t="e">
        <f ca="1">IFERROR(计算区域!AD1291,NA())</f>
        <v>#N/A</v>
      </c>
      <c r="H1289" t="e">
        <f ca="1">IFERROR(计算区域!AE1291,NA())</f>
        <v>#N/A</v>
      </c>
      <c r="I1289" t="e">
        <f ca="1">IFERROR(计算区域!AF1291,NA())</f>
        <v>#N/A</v>
      </c>
      <c r="J1289" t="e">
        <f ca="1">IFERROR(计算区域!AG1291,NA())</f>
        <v>#N/A</v>
      </c>
      <c r="L1289" t="e">
        <f ca="1">IFERROR(计算区域!L1291,NA())</f>
        <v>#N/A</v>
      </c>
      <c r="M1289" t="e">
        <f ca="1">IFERROR(计算区域!M1291,NA())</f>
        <v>#N/A</v>
      </c>
      <c r="N1289" t="e">
        <f ca="1">IFERROR(计算区域!N1291,NA())</f>
        <v>#N/A</v>
      </c>
      <c r="O1289" t="e">
        <f ca="1">IFERROR(计算区域!O1291,NA())</f>
        <v>#N/A</v>
      </c>
      <c r="Q1289" t="e">
        <f ca="1">IFERROR(计算区域!R1291,NA())</f>
        <v>#N/A</v>
      </c>
      <c r="R1289" t="e">
        <f ca="1">IFERROR(计算区域!S1291,NA())</f>
        <v>#N/A</v>
      </c>
      <c r="S1289" t="e">
        <f ca="1">IFERROR(计算区域!T1291,NA())</f>
        <v>#N/A</v>
      </c>
      <c r="T1289" t="e">
        <f ca="1">IFERROR(计算区域!U1291,NA())</f>
        <v>#N/A</v>
      </c>
      <c r="V1289" t="e">
        <f ca="1">IFERROR(计算区域!X1291,NA())</f>
        <v>#N/A</v>
      </c>
      <c r="W1289" t="e">
        <f ca="1">IFERROR(计算区域!Y1291,NA())</f>
        <v>#N/A</v>
      </c>
      <c r="X1289" t="e">
        <f ca="1">IFERROR(计算区域!Z1291,NA())</f>
        <v>#N/A</v>
      </c>
      <c r="Y1289" t="e">
        <f ca="1">IFERROR(计算区域!AA1291,NA())</f>
        <v>#N/A</v>
      </c>
    </row>
    <row r="1290" spans="1:25" x14ac:dyDescent="0.2">
      <c r="A1290" s="28">
        <f>计算区域!E1292</f>
        <v>0</v>
      </c>
      <c r="B1290" t="e">
        <f ca="1">IFERROR(计算区域!AJ1292,NA())</f>
        <v>#N/A</v>
      </c>
      <c r="C1290" t="e">
        <f ca="1">IFERROR(计算区域!AK1292,NA())</f>
        <v>#N/A</v>
      </c>
      <c r="D1290" t="e">
        <f ca="1">IFERROR(计算区域!AL1292,NA())</f>
        <v>#N/A</v>
      </c>
      <c r="E1290" t="e">
        <f ca="1">IFERROR(计算区域!AM1292,NA())</f>
        <v>#N/A</v>
      </c>
      <c r="G1290" t="e">
        <f ca="1">IFERROR(计算区域!AD1292,NA())</f>
        <v>#N/A</v>
      </c>
      <c r="H1290" t="e">
        <f ca="1">IFERROR(计算区域!AE1292,NA())</f>
        <v>#N/A</v>
      </c>
      <c r="I1290" t="e">
        <f ca="1">IFERROR(计算区域!AF1292,NA())</f>
        <v>#N/A</v>
      </c>
      <c r="J1290" t="e">
        <f ca="1">IFERROR(计算区域!AG1292,NA())</f>
        <v>#N/A</v>
      </c>
      <c r="L1290" t="e">
        <f ca="1">IFERROR(计算区域!L1292,NA())</f>
        <v>#N/A</v>
      </c>
      <c r="M1290" t="e">
        <f ca="1">IFERROR(计算区域!M1292,NA())</f>
        <v>#N/A</v>
      </c>
      <c r="N1290" t="e">
        <f ca="1">IFERROR(计算区域!N1292,NA())</f>
        <v>#N/A</v>
      </c>
      <c r="O1290" t="e">
        <f ca="1">IFERROR(计算区域!O1292,NA())</f>
        <v>#N/A</v>
      </c>
      <c r="Q1290" t="e">
        <f ca="1">IFERROR(计算区域!R1292,NA())</f>
        <v>#N/A</v>
      </c>
      <c r="R1290" t="e">
        <f ca="1">IFERROR(计算区域!S1292,NA())</f>
        <v>#N/A</v>
      </c>
      <c r="S1290" t="e">
        <f ca="1">IFERROR(计算区域!T1292,NA())</f>
        <v>#N/A</v>
      </c>
      <c r="T1290" t="e">
        <f ca="1">IFERROR(计算区域!U1292,NA())</f>
        <v>#N/A</v>
      </c>
      <c r="V1290" t="e">
        <f ca="1">IFERROR(计算区域!X1292,NA())</f>
        <v>#N/A</v>
      </c>
      <c r="W1290" t="e">
        <f ca="1">IFERROR(计算区域!Y1292,NA())</f>
        <v>#N/A</v>
      </c>
      <c r="X1290" t="e">
        <f ca="1">IFERROR(计算区域!Z1292,NA())</f>
        <v>#N/A</v>
      </c>
      <c r="Y1290" t="e">
        <f ca="1">IFERROR(计算区域!AA1292,NA())</f>
        <v>#N/A</v>
      </c>
    </row>
    <row r="1291" spans="1:25" x14ac:dyDescent="0.2">
      <c r="A1291" s="28">
        <f>计算区域!E1293</f>
        <v>0</v>
      </c>
      <c r="B1291" t="e">
        <f ca="1">IFERROR(计算区域!AJ1293,NA())</f>
        <v>#N/A</v>
      </c>
      <c r="C1291" t="e">
        <f ca="1">IFERROR(计算区域!AK1293,NA())</f>
        <v>#N/A</v>
      </c>
      <c r="D1291" t="e">
        <f ca="1">IFERROR(计算区域!AL1293,NA())</f>
        <v>#N/A</v>
      </c>
      <c r="E1291" t="e">
        <f ca="1">IFERROR(计算区域!AM1293,NA())</f>
        <v>#N/A</v>
      </c>
      <c r="G1291" t="e">
        <f ca="1">IFERROR(计算区域!AD1293,NA())</f>
        <v>#N/A</v>
      </c>
      <c r="H1291" t="e">
        <f ca="1">IFERROR(计算区域!AE1293,NA())</f>
        <v>#N/A</v>
      </c>
      <c r="I1291" t="e">
        <f ca="1">IFERROR(计算区域!AF1293,NA())</f>
        <v>#N/A</v>
      </c>
      <c r="J1291" t="e">
        <f ca="1">IFERROR(计算区域!AG1293,NA())</f>
        <v>#N/A</v>
      </c>
      <c r="L1291" t="e">
        <f ca="1">IFERROR(计算区域!L1293,NA())</f>
        <v>#N/A</v>
      </c>
      <c r="M1291" t="e">
        <f ca="1">IFERROR(计算区域!M1293,NA())</f>
        <v>#N/A</v>
      </c>
      <c r="N1291" t="e">
        <f ca="1">IFERROR(计算区域!N1293,NA())</f>
        <v>#N/A</v>
      </c>
      <c r="O1291" t="e">
        <f ca="1">IFERROR(计算区域!O1293,NA())</f>
        <v>#N/A</v>
      </c>
      <c r="Q1291" t="e">
        <f ca="1">IFERROR(计算区域!R1293,NA())</f>
        <v>#N/A</v>
      </c>
      <c r="R1291" t="e">
        <f ca="1">IFERROR(计算区域!S1293,NA())</f>
        <v>#N/A</v>
      </c>
      <c r="S1291" t="e">
        <f ca="1">IFERROR(计算区域!T1293,NA())</f>
        <v>#N/A</v>
      </c>
      <c r="T1291" t="e">
        <f ca="1">IFERROR(计算区域!U1293,NA())</f>
        <v>#N/A</v>
      </c>
      <c r="V1291" t="e">
        <f ca="1">IFERROR(计算区域!X1293,NA())</f>
        <v>#N/A</v>
      </c>
      <c r="W1291" t="e">
        <f ca="1">IFERROR(计算区域!Y1293,NA())</f>
        <v>#N/A</v>
      </c>
      <c r="X1291" t="e">
        <f ca="1">IFERROR(计算区域!Z1293,NA())</f>
        <v>#N/A</v>
      </c>
      <c r="Y1291" t="e">
        <f ca="1">IFERROR(计算区域!AA1293,NA())</f>
        <v>#N/A</v>
      </c>
    </row>
    <row r="1292" spans="1:25" x14ac:dyDescent="0.2">
      <c r="A1292" s="28">
        <f>计算区域!E1294</f>
        <v>0</v>
      </c>
      <c r="B1292" t="e">
        <f ca="1">IFERROR(计算区域!AJ1294,NA())</f>
        <v>#N/A</v>
      </c>
      <c r="C1292" t="e">
        <f ca="1">IFERROR(计算区域!AK1294,NA())</f>
        <v>#N/A</v>
      </c>
      <c r="D1292" t="e">
        <f ca="1">IFERROR(计算区域!AL1294,NA())</f>
        <v>#N/A</v>
      </c>
      <c r="E1292" t="e">
        <f ca="1">IFERROR(计算区域!AM1294,NA())</f>
        <v>#N/A</v>
      </c>
      <c r="G1292" t="e">
        <f ca="1">IFERROR(计算区域!AD1294,NA())</f>
        <v>#N/A</v>
      </c>
      <c r="H1292" t="e">
        <f ca="1">IFERROR(计算区域!AE1294,NA())</f>
        <v>#N/A</v>
      </c>
      <c r="I1292" t="e">
        <f ca="1">IFERROR(计算区域!AF1294,NA())</f>
        <v>#N/A</v>
      </c>
      <c r="J1292" t="e">
        <f ca="1">IFERROR(计算区域!AG1294,NA())</f>
        <v>#N/A</v>
      </c>
      <c r="L1292" t="e">
        <f ca="1">IFERROR(计算区域!L1294,NA())</f>
        <v>#N/A</v>
      </c>
      <c r="M1292" t="e">
        <f ca="1">IFERROR(计算区域!M1294,NA())</f>
        <v>#N/A</v>
      </c>
      <c r="N1292" t="e">
        <f ca="1">IFERROR(计算区域!N1294,NA())</f>
        <v>#N/A</v>
      </c>
      <c r="O1292" t="e">
        <f ca="1">IFERROR(计算区域!O1294,NA())</f>
        <v>#N/A</v>
      </c>
      <c r="Q1292" t="e">
        <f ca="1">IFERROR(计算区域!R1294,NA())</f>
        <v>#N/A</v>
      </c>
      <c r="R1292" t="e">
        <f ca="1">IFERROR(计算区域!S1294,NA())</f>
        <v>#N/A</v>
      </c>
      <c r="S1292" t="e">
        <f ca="1">IFERROR(计算区域!T1294,NA())</f>
        <v>#N/A</v>
      </c>
      <c r="T1292" t="e">
        <f ca="1">IFERROR(计算区域!U1294,NA())</f>
        <v>#N/A</v>
      </c>
      <c r="V1292" t="e">
        <f ca="1">IFERROR(计算区域!X1294,NA())</f>
        <v>#N/A</v>
      </c>
      <c r="W1292" t="e">
        <f ca="1">IFERROR(计算区域!Y1294,NA())</f>
        <v>#N/A</v>
      </c>
      <c r="X1292" t="e">
        <f ca="1">IFERROR(计算区域!Z1294,NA())</f>
        <v>#N/A</v>
      </c>
      <c r="Y1292" t="e">
        <f ca="1">IFERROR(计算区域!AA1294,NA())</f>
        <v>#N/A</v>
      </c>
    </row>
    <row r="1293" spans="1:25" x14ac:dyDescent="0.2">
      <c r="A1293" s="28">
        <f>计算区域!E1295</f>
        <v>0</v>
      </c>
      <c r="B1293" t="e">
        <f ca="1">IFERROR(计算区域!AJ1295,NA())</f>
        <v>#N/A</v>
      </c>
      <c r="C1293" t="e">
        <f ca="1">IFERROR(计算区域!AK1295,NA())</f>
        <v>#N/A</v>
      </c>
      <c r="D1293" t="e">
        <f ca="1">IFERROR(计算区域!AL1295,NA())</f>
        <v>#N/A</v>
      </c>
      <c r="E1293" t="e">
        <f ca="1">IFERROR(计算区域!AM1295,NA())</f>
        <v>#N/A</v>
      </c>
      <c r="G1293" t="e">
        <f ca="1">IFERROR(计算区域!AD1295,NA())</f>
        <v>#N/A</v>
      </c>
      <c r="H1293" t="e">
        <f ca="1">IFERROR(计算区域!AE1295,NA())</f>
        <v>#N/A</v>
      </c>
      <c r="I1293" t="e">
        <f ca="1">IFERROR(计算区域!AF1295,NA())</f>
        <v>#N/A</v>
      </c>
      <c r="J1293" t="e">
        <f ca="1">IFERROR(计算区域!AG1295,NA())</f>
        <v>#N/A</v>
      </c>
      <c r="L1293" t="e">
        <f ca="1">IFERROR(计算区域!L1295,NA())</f>
        <v>#N/A</v>
      </c>
      <c r="M1293" t="e">
        <f ca="1">IFERROR(计算区域!M1295,NA())</f>
        <v>#N/A</v>
      </c>
      <c r="N1293" t="e">
        <f ca="1">IFERROR(计算区域!N1295,NA())</f>
        <v>#N/A</v>
      </c>
      <c r="O1293" t="e">
        <f ca="1">IFERROR(计算区域!O1295,NA())</f>
        <v>#N/A</v>
      </c>
      <c r="Q1293" t="e">
        <f ca="1">IFERROR(计算区域!R1295,NA())</f>
        <v>#N/A</v>
      </c>
      <c r="R1293" t="e">
        <f ca="1">IFERROR(计算区域!S1295,NA())</f>
        <v>#N/A</v>
      </c>
      <c r="S1293" t="e">
        <f ca="1">IFERROR(计算区域!T1295,NA())</f>
        <v>#N/A</v>
      </c>
      <c r="T1293" t="e">
        <f ca="1">IFERROR(计算区域!U1295,NA())</f>
        <v>#N/A</v>
      </c>
      <c r="V1293" t="e">
        <f ca="1">IFERROR(计算区域!X1295,NA())</f>
        <v>#N/A</v>
      </c>
      <c r="W1293" t="e">
        <f ca="1">IFERROR(计算区域!Y1295,NA())</f>
        <v>#N/A</v>
      </c>
      <c r="X1293" t="e">
        <f ca="1">IFERROR(计算区域!Z1295,NA())</f>
        <v>#N/A</v>
      </c>
      <c r="Y1293" t="e">
        <f ca="1">IFERROR(计算区域!AA1295,NA())</f>
        <v>#N/A</v>
      </c>
    </row>
    <row r="1294" spans="1:25" x14ac:dyDescent="0.2">
      <c r="A1294" s="28">
        <f>计算区域!E1296</f>
        <v>0</v>
      </c>
      <c r="B1294" t="e">
        <f ca="1">IFERROR(计算区域!AJ1296,NA())</f>
        <v>#N/A</v>
      </c>
      <c r="C1294" t="e">
        <f ca="1">IFERROR(计算区域!AK1296,NA())</f>
        <v>#N/A</v>
      </c>
      <c r="D1294" t="e">
        <f ca="1">IFERROR(计算区域!AL1296,NA())</f>
        <v>#N/A</v>
      </c>
      <c r="E1294" t="e">
        <f ca="1">IFERROR(计算区域!AM1296,NA())</f>
        <v>#N/A</v>
      </c>
      <c r="G1294" t="e">
        <f ca="1">IFERROR(计算区域!AD1296,NA())</f>
        <v>#N/A</v>
      </c>
      <c r="H1294" t="e">
        <f ca="1">IFERROR(计算区域!AE1296,NA())</f>
        <v>#N/A</v>
      </c>
      <c r="I1294" t="e">
        <f ca="1">IFERROR(计算区域!AF1296,NA())</f>
        <v>#N/A</v>
      </c>
      <c r="J1294" t="e">
        <f ca="1">IFERROR(计算区域!AG1296,NA())</f>
        <v>#N/A</v>
      </c>
      <c r="L1294" t="e">
        <f ca="1">IFERROR(计算区域!L1296,NA())</f>
        <v>#N/A</v>
      </c>
      <c r="M1294" t="e">
        <f ca="1">IFERROR(计算区域!M1296,NA())</f>
        <v>#N/A</v>
      </c>
      <c r="N1294" t="e">
        <f ca="1">IFERROR(计算区域!N1296,NA())</f>
        <v>#N/A</v>
      </c>
      <c r="O1294" t="e">
        <f ca="1">IFERROR(计算区域!O1296,NA())</f>
        <v>#N/A</v>
      </c>
      <c r="Q1294" t="e">
        <f ca="1">IFERROR(计算区域!R1296,NA())</f>
        <v>#N/A</v>
      </c>
      <c r="R1294" t="e">
        <f ca="1">IFERROR(计算区域!S1296,NA())</f>
        <v>#N/A</v>
      </c>
      <c r="S1294" t="e">
        <f ca="1">IFERROR(计算区域!T1296,NA())</f>
        <v>#N/A</v>
      </c>
      <c r="T1294" t="e">
        <f ca="1">IFERROR(计算区域!U1296,NA())</f>
        <v>#N/A</v>
      </c>
      <c r="V1294" t="e">
        <f ca="1">IFERROR(计算区域!X1296,NA())</f>
        <v>#N/A</v>
      </c>
      <c r="W1294" t="e">
        <f ca="1">IFERROR(计算区域!Y1296,NA())</f>
        <v>#N/A</v>
      </c>
      <c r="X1294" t="e">
        <f ca="1">IFERROR(计算区域!Z1296,NA())</f>
        <v>#N/A</v>
      </c>
      <c r="Y1294" t="e">
        <f ca="1">IFERROR(计算区域!AA1296,NA())</f>
        <v>#N/A</v>
      </c>
    </row>
    <row r="1295" spans="1:25" x14ac:dyDescent="0.2">
      <c r="A1295" s="28">
        <f>计算区域!E1297</f>
        <v>0</v>
      </c>
      <c r="B1295" t="e">
        <f ca="1">IFERROR(计算区域!AJ1297,NA())</f>
        <v>#N/A</v>
      </c>
      <c r="C1295" t="e">
        <f ca="1">IFERROR(计算区域!AK1297,NA())</f>
        <v>#N/A</v>
      </c>
      <c r="D1295" t="e">
        <f ca="1">IFERROR(计算区域!AL1297,NA())</f>
        <v>#N/A</v>
      </c>
      <c r="E1295" t="e">
        <f ca="1">IFERROR(计算区域!AM1297,NA())</f>
        <v>#N/A</v>
      </c>
      <c r="G1295" t="e">
        <f ca="1">IFERROR(计算区域!AD1297,NA())</f>
        <v>#N/A</v>
      </c>
      <c r="H1295" t="e">
        <f ca="1">IFERROR(计算区域!AE1297,NA())</f>
        <v>#N/A</v>
      </c>
      <c r="I1295" t="e">
        <f ca="1">IFERROR(计算区域!AF1297,NA())</f>
        <v>#N/A</v>
      </c>
      <c r="J1295" t="e">
        <f ca="1">IFERROR(计算区域!AG1297,NA())</f>
        <v>#N/A</v>
      </c>
      <c r="L1295" t="e">
        <f ca="1">IFERROR(计算区域!L1297,NA())</f>
        <v>#N/A</v>
      </c>
      <c r="M1295" t="e">
        <f ca="1">IFERROR(计算区域!M1297,NA())</f>
        <v>#N/A</v>
      </c>
      <c r="N1295" t="e">
        <f ca="1">IFERROR(计算区域!N1297,NA())</f>
        <v>#N/A</v>
      </c>
      <c r="O1295" t="e">
        <f ca="1">IFERROR(计算区域!O1297,NA())</f>
        <v>#N/A</v>
      </c>
      <c r="Q1295" t="e">
        <f ca="1">IFERROR(计算区域!R1297,NA())</f>
        <v>#N/A</v>
      </c>
      <c r="R1295" t="e">
        <f ca="1">IFERROR(计算区域!S1297,NA())</f>
        <v>#N/A</v>
      </c>
      <c r="S1295" t="e">
        <f ca="1">IFERROR(计算区域!T1297,NA())</f>
        <v>#N/A</v>
      </c>
      <c r="T1295" t="e">
        <f ca="1">IFERROR(计算区域!U1297,NA())</f>
        <v>#N/A</v>
      </c>
      <c r="V1295" t="e">
        <f ca="1">IFERROR(计算区域!X1297,NA())</f>
        <v>#N/A</v>
      </c>
      <c r="W1295" t="e">
        <f ca="1">IFERROR(计算区域!Y1297,NA())</f>
        <v>#N/A</v>
      </c>
      <c r="X1295" t="e">
        <f ca="1">IFERROR(计算区域!Z1297,NA())</f>
        <v>#N/A</v>
      </c>
      <c r="Y1295" t="e">
        <f ca="1">IFERROR(计算区域!AA1297,NA())</f>
        <v>#N/A</v>
      </c>
    </row>
    <row r="1296" spans="1:25" x14ac:dyDescent="0.2">
      <c r="A1296" s="28">
        <f>计算区域!E1298</f>
        <v>0</v>
      </c>
      <c r="B1296" t="e">
        <f ca="1">IFERROR(计算区域!AJ1298,NA())</f>
        <v>#N/A</v>
      </c>
      <c r="C1296" t="e">
        <f ca="1">IFERROR(计算区域!AK1298,NA())</f>
        <v>#N/A</v>
      </c>
      <c r="D1296" t="e">
        <f ca="1">IFERROR(计算区域!AL1298,NA())</f>
        <v>#N/A</v>
      </c>
      <c r="E1296" t="e">
        <f ca="1">IFERROR(计算区域!AM1298,NA())</f>
        <v>#N/A</v>
      </c>
      <c r="G1296" t="e">
        <f ca="1">IFERROR(计算区域!AD1298,NA())</f>
        <v>#N/A</v>
      </c>
      <c r="H1296" t="e">
        <f ca="1">IFERROR(计算区域!AE1298,NA())</f>
        <v>#N/A</v>
      </c>
      <c r="I1296" t="e">
        <f ca="1">IFERROR(计算区域!AF1298,NA())</f>
        <v>#N/A</v>
      </c>
      <c r="J1296" t="e">
        <f ca="1">IFERROR(计算区域!AG1298,NA())</f>
        <v>#N/A</v>
      </c>
      <c r="L1296" t="e">
        <f ca="1">IFERROR(计算区域!L1298,NA())</f>
        <v>#N/A</v>
      </c>
      <c r="M1296" t="e">
        <f ca="1">IFERROR(计算区域!M1298,NA())</f>
        <v>#N/A</v>
      </c>
      <c r="N1296" t="e">
        <f ca="1">IFERROR(计算区域!N1298,NA())</f>
        <v>#N/A</v>
      </c>
      <c r="O1296" t="e">
        <f ca="1">IFERROR(计算区域!O1298,NA())</f>
        <v>#N/A</v>
      </c>
      <c r="Q1296" t="e">
        <f ca="1">IFERROR(计算区域!R1298,NA())</f>
        <v>#N/A</v>
      </c>
      <c r="R1296" t="e">
        <f ca="1">IFERROR(计算区域!S1298,NA())</f>
        <v>#N/A</v>
      </c>
      <c r="S1296" t="e">
        <f ca="1">IFERROR(计算区域!T1298,NA())</f>
        <v>#N/A</v>
      </c>
      <c r="T1296" t="e">
        <f ca="1">IFERROR(计算区域!U1298,NA())</f>
        <v>#N/A</v>
      </c>
      <c r="V1296" t="e">
        <f ca="1">IFERROR(计算区域!X1298,NA())</f>
        <v>#N/A</v>
      </c>
      <c r="W1296" t="e">
        <f ca="1">IFERROR(计算区域!Y1298,NA())</f>
        <v>#N/A</v>
      </c>
      <c r="X1296" t="e">
        <f ca="1">IFERROR(计算区域!Z1298,NA())</f>
        <v>#N/A</v>
      </c>
      <c r="Y1296" t="e">
        <f ca="1">IFERROR(计算区域!AA1298,NA())</f>
        <v>#N/A</v>
      </c>
    </row>
    <row r="1297" spans="1:25" x14ac:dyDescent="0.2">
      <c r="A1297" s="28">
        <f>计算区域!E1299</f>
        <v>0</v>
      </c>
      <c r="B1297" t="e">
        <f ca="1">IFERROR(计算区域!AJ1299,NA())</f>
        <v>#N/A</v>
      </c>
      <c r="C1297" t="e">
        <f ca="1">IFERROR(计算区域!AK1299,NA())</f>
        <v>#N/A</v>
      </c>
      <c r="D1297" t="e">
        <f ca="1">IFERROR(计算区域!AL1299,NA())</f>
        <v>#N/A</v>
      </c>
      <c r="E1297" t="e">
        <f ca="1">IFERROR(计算区域!AM1299,NA())</f>
        <v>#N/A</v>
      </c>
      <c r="G1297" t="e">
        <f ca="1">IFERROR(计算区域!AD1299,NA())</f>
        <v>#N/A</v>
      </c>
      <c r="H1297" t="e">
        <f ca="1">IFERROR(计算区域!AE1299,NA())</f>
        <v>#N/A</v>
      </c>
      <c r="I1297" t="e">
        <f ca="1">IFERROR(计算区域!AF1299,NA())</f>
        <v>#N/A</v>
      </c>
      <c r="J1297" t="e">
        <f ca="1">IFERROR(计算区域!AG1299,NA())</f>
        <v>#N/A</v>
      </c>
      <c r="L1297" t="e">
        <f ca="1">IFERROR(计算区域!L1299,NA())</f>
        <v>#N/A</v>
      </c>
      <c r="M1297" t="e">
        <f ca="1">IFERROR(计算区域!M1299,NA())</f>
        <v>#N/A</v>
      </c>
      <c r="N1297" t="e">
        <f ca="1">IFERROR(计算区域!N1299,NA())</f>
        <v>#N/A</v>
      </c>
      <c r="O1297" t="e">
        <f ca="1">IFERROR(计算区域!O1299,NA())</f>
        <v>#N/A</v>
      </c>
      <c r="Q1297" t="e">
        <f ca="1">IFERROR(计算区域!R1299,NA())</f>
        <v>#N/A</v>
      </c>
      <c r="R1297" t="e">
        <f ca="1">IFERROR(计算区域!S1299,NA())</f>
        <v>#N/A</v>
      </c>
      <c r="S1297" t="e">
        <f ca="1">IFERROR(计算区域!T1299,NA())</f>
        <v>#N/A</v>
      </c>
      <c r="T1297" t="e">
        <f ca="1">IFERROR(计算区域!U1299,NA())</f>
        <v>#N/A</v>
      </c>
      <c r="V1297" t="e">
        <f ca="1">IFERROR(计算区域!X1299,NA())</f>
        <v>#N/A</v>
      </c>
      <c r="W1297" t="e">
        <f ca="1">IFERROR(计算区域!Y1299,NA())</f>
        <v>#N/A</v>
      </c>
      <c r="X1297" t="e">
        <f ca="1">IFERROR(计算区域!Z1299,NA())</f>
        <v>#N/A</v>
      </c>
      <c r="Y1297" t="e">
        <f ca="1">IFERROR(计算区域!AA1299,NA())</f>
        <v>#N/A</v>
      </c>
    </row>
    <row r="1298" spans="1:25" x14ac:dyDescent="0.2">
      <c r="A1298" s="28">
        <f>计算区域!E1300</f>
        <v>0</v>
      </c>
      <c r="B1298" t="e">
        <f ca="1">IFERROR(计算区域!AJ1300,NA())</f>
        <v>#N/A</v>
      </c>
      <c r="C1298" t="e">
        <f ca="1">IFERROR(计算区域!AK1300,NA())</f>
        <v>#N/A</v>
      </c>
      <c r="D1298" t="e">
        <f ca="1">IFERROR(计算区域!AL1300,NA())</f>
        <v>#N/A</v>
      </c>
      <c r="E1298" t="e">
        <f ca="1">IFERROR(计算区域!AM1300,NA())</f>
        <v>#N/A</v>
      </c>
      <c r="G1298" t="e">
        <f ca="1">IFERROR(计算区域!AD1300,NA())</f>
        <v>#N/A</v>
      </c>
      <c r="H1298" t="e">
        <f ca="1">IFERROR(计算区域!AE1300,NA())</f>
        <v>#N/A</v>
      </c>
      <c r="I1298" t="e">
        <f ca="1">IFERROR(计算区域!AF1300,NA())</f>
        <v>#N/A</v>
      </c>
      <c r="J1298" t="e">
        <f ca="1">IFERROR(计算区域!AG1300,NA())</f>
        <v>#N/A</v>
      </c>
      <c r="L1298" t="e">
        <f ca="1">IFERROR(计算区域!L1300,NA())</f>
        <v>#N/A</v>
      </c>
      <c r="M1298" t="e">
        <f ca="1">IFERROR(计算区域!M1300,NA())</f>
        <v>#N/A</v>
      </c>
      <c r="N1298" t="e">
        <f ca="1">IFERROR(计算区域!N1300,NA())</f>
        <v>#N/A</v>
      </c>
      <c r="O1298" t="e">
        <f ca="1">IFERROR(计算区域!O1300,NA())</f>
        <v>#N/A</v>
      </c>
      <c r="Q1298" t="e">
        <f ca="1">IFERROR(计算区域!R1300,NA())</f>
        <v>#N/A</v>
      </c>
      <c r="R1298" t="e">
        <f ca="1">IFERROR(计算区域!S1300,NA())</f>
        <v>#N/A</v>
      </c>
      <c r="S1298" t="e">
        <f ca="1">IFERROR(计算区域!T1300,NA())</f>
        <v>#N/A</v>
      </c>
      <c r="T1298" t="e">
        <f ca="1">IFERROR(计算区域!U1300,NA())</f>
        <v>#N/A</v>
      </c>
      <c r="V1298" t="e">
        <f ca="1">IFERROR(计算区域!X1300,NA())</f>
        <v>#N/A</v>
      </c>
      <c r="W1298" t="e">
        <f ca="1">IFERROR(计算区域!Y1300,NA())</f>
        <v>#N/A</v>
      </c>
      <c r="X1298" t="e">
        <f ca="1">IFERROR(计算区域!Z1300,NA())</f>
        <v>#N/A</v>
      </c>
      <c r="Y1298" t="e">
        <f ca="1">IFERROR(计算区域!AA1300,NA())</f>
        <v>#N/A</v>
      </c>
    </row>
    <row r="1299" spans="1:25" x14ac:dyDescent="0.2">
      <c r="A1299" s="28">
        <f>计算区域!E1301</f>
        <v>0</v>
      </c>
      <c r="B1299" t="e">
        <f ca="1">IFERROR(计算区域!AJ1301,NA())</f>
        <v>#N/A</v>
      </c>
      <c r="C1299" t="e">
        <f ca="1">IFERROR(计算区域!AK1301,NA())</f>
        <v>#N/A</v>
      </c>
      <c r="D1299" t="e">
        <f ca="1">IFERROR(计算区域!AL1301,NA())</f>
        <v>#N/A</v>
      </c>
      <c r="E1299" t="e">
        <f ca="1">IFERROR(计算区域!AM1301,NA())</f>
        <v>#N/A</v>
      </c>
      <c r="G1299" t="e">
        <f ca="1">IFERROR(计算区域!AD1301,NA())</f>
        <v>#N/A</v>
      </c>
      <c r="H1299" t="e">
        <f ca="1">IFERROR(计算区域!AE1301,NA())</f>
        <v>#N/A</v>
      </c>
      <c r="I1299" t="e">
        <f ca="1">IFERROR(计算区域!AF1301,NA())</f>
        <v>#N/A</v>
      </c>
      <c r="J1299" t="e">
        <f ca="1">IFERROR(计算区域!AG1301,NA())</f>
        <v>#N/A</v>
      </c>
      <c r="L1299" t="e">
        <f ca="1">IFERROR(计算区域!L1301,NA())</f>
        <v>#N/A</v>
      </c>
      <c r="M1299" t="e">
        <f ca="1">IFERROR(计算区域!M1301,NA())</f>
        <v>#N/A</v>
      </c>
      <c r="N1299" t="e">
        <f ca="1">IFERROR(计算区域!N1301,NA())</f>
        <v>#N/A</v>
      </c>
      <c r="O1299" t="e">
        <f ca="1">IFERROR(计算区域!O1301,NA())</f>
        <v>#N/A</v>
      </c>
      <c r="Q1299" t="e">
        <f ca="1">IFERROR(计算区域!R1301,NA())</f>
        <v>#N/A</v>
      </c>
      <c r="R1299" t="e">
        <f ca="1">IFERROR(计算区域!S1301,NA())</f>
        <v>#N/A</v>
      </c>
      <c r="S1299" t="e">
        <f ca="1">IFERROR(计算区域!T1301,NA())</f>
        <v>#N/A</v>
      </c>
      <c r="T1299" t="e">
        <f ca="1">IFERROR(计算区域!U1301,NA())</f>
        <v>#N/A</v>
      </c>
      <c r="V1299" t="e">
        <f ca="1">IFERROR(计算区域!X1301,NA())</f>
        <v>#N/A</v>
      </c>
      <c r="W1299" t="e">
        <f ca="1">IFERROR(计算区域!Y1301,NA())</f>
        <v>#N/A</v>
      </c>
      <c r="X1299" t="e">
        <f ca="1">IFERROR(计算区域!Z1301,NA())</f>
        <v>#N/A</v>
      </c>
      <c r="Y1299" t="e">
        <f ca="1">IFERROR(计算区域!AA1301,NA())</f>
        <v>#N/A</v>
      </c>
    </row>
    <row r="1300" spans="1:25" x14ac:dyDescent="0.2">
      <c r="A1300" s="28">
        <f>计算区域!E1302</f>
        <v>0</v>
      </c>
      <c r="B1300" t="e">
        <f ca="1">IFERROR(计算区域!AJ1302,NA())</f>
        <v>#N/A</v>
      </c>
      <c r="C1300" t="e">
        <f ca="1">IFERROR(计算区域!AK1302,NA())</f>
        <v>#N/A</v>
      </c>
      <c r="D1300" t="e">
        <f ca="1">IFERROR(计算区域!AL1302,NA())</f>
        <v>#N/A</v>
      </c>
      <c r="E1300" t="e">
        <f ca="1">IFERROR(计算区域!AM1302,NA())</f>
        <v>#N/A</v>
      </c>
      <c r="G1300" t="e">
        <f ca="1">IFERROR(计算区域!AD1302,NA())</f>
        <v>#N/A</v>
      </c>
      <c r="H1300" t="e">
        <f ca="1">IFERROR(计算区域!AE1302,NA())</f>
        <v>#N/A</v>
      </c>
      <c r="I1300" t="e">
        <f ca="1">IFERROR(计算区域!AF1302,NA())</f>
        <v>#N/A</v>
      </c>
      <c r="J1300" t="e">
        <f ca="1">IFERROR(计算区域!AG1302,NA())</f>
        <v>#N/A</v>
      </c>
      <c r="L1300" t="e">
        <f ca="1">IFERROR(计算区域!L1302,NA())</f>
        <v>#N/A</v>
      </c>
      <c r="M1300" t="e">
        <f ca="1">IFERROR(计算区域!M1302,NA())</f>
        <v>#N/A</v>
      </c>
      <c r="N1300" t="e">
        <f ca="1">IFERROR(计算区域!N1302,NA())</f>
        <v>#N/A</v>
      </c>
      <c r="O1300" t="e">
        <f ca="1">IFERROR(计算区域!O1302,NA())</f>
        <v>#N/A</v>
      </c>
      <c r="Q1300" t="e">
        <f ca="1">IFERROR(计算区域!R1302,NA())</f>
        <v>#N/A</v>
      </c>
      <c r="R1300" t="e">
        <f ca="1">IFERROR(计算区域!S1302,NA())</f>
        <v>#N/A</v>
      </c>
      <c r="S1300" t="e">
        <f ca="1">IFERROR(计算区域!T1302,NA())</f>
        <v>#N/A</v>
      </c>
      <c r="T1300" t="e">
        <f ca="1">IFERROR(计算区域!U1302,NA())</f>
        <v>#N/A</v>
      </c>
      <c r="V1300" t="e">
        <f ca="1">IFERROR(计算区域!X1302,NA())</f>
        <v>#N/A</v>
      </c>
      <c r="W1300" t="e">
        <f ca="1">IFERROR(计算区域!Y1302,NA())</f>
        <v>#N/A</v>
      </c>
      <c r="X1300" t="e">
        <f ca="1">IFERROR(计算区域!Z1302,NA())</f>
        <v>#N/A</v>
      </c>
      <c r="Y1300" t="e">
        <f ca="1">IFERROR(计算区域!AA1302,NA())</f>
        <v>#N/A</v>
      </c>
    </row>
    <row r="1301" spans="1:25" x14ac:dyDescent="0.2">
      <c r="A1301" s="28">
        <f>计算区域!E1303</f>
        <v>0</v>
      </c>
      <c r="B1301" t="e">
        <f ca="1">IFERROR(计算区域!AJ1303,NA())</f>
        <v>#N/A</v>
      </c>
      <c r="C1301" t="e">
        <f ca="1">IFERROR(计算区域!AK1303,NA())</f>
        <v>#N/A</v>
      </c>
      <c r="D1301" t="e">
        <f ca="1">IFERROR(计算区域!AL1303,NA())</f>
        <v>#N/A</v>
      </c>
      <c r="E1301" t="e">
        <f ca="1">IFERROR(计算区域!AM1303,NA())</f>
        <v>#N/A</v>
      </c>
      <c r="G1301" t="e">
        <f ca="1">IFERROR(计算区域!AD1303,NA())</f>
        <v>#N/A</v>
      </c>
      <c r="H1301" t="e">
        <f ca="1">IFERROR(计算区域!AE1303,NA())</f>
        <v>#N/A</v>
      </c>
      <c r="I1301" t="e">
        <f ca="1">IFERROR(计算区域!AF1303,NA())</f>
        <v>#N/A</v>
      </c>
      <c r="J1301" t="e">
        <f ca="1">IFERROR(计算区域!AG1303,NA())</f>
        <v>#N/A</v>
      </c>
      <c r="L1301" t="e">
        <f ca="1">IFERROR(计算区域!L1303,NA())</f>
        <v>#N/A</v>
      </c>
      <c r="M1301" t="e">
        <f ca="1">IFERROR(计算区域!M1303,NA())</f>
        <v>#N/A</v>
      </c>
      <c r="N1301" t="e">
        <f ca="1">IFERROR(计算区域!N1303,NA())</f>
        <v>#N/A</v>
      </c>
      <c r="O1301" t="e">
        <f ca="1">IFERROR(计算区域!O1303,NA())</f>
        <v>#N/A</v>
      </c>
      <c r="Q1301" t="e">
        <f ca="1">IFERROR(计算区域!R1303,NA())</f>
        <v>#N/A</v>
      </c>
      <c r="R1301" t="e">
        <f ca="1">IFERROR(计算区域!S1303,NA())</f>
        <v>#N/A</v>
      </c>
      <c r="S1301" t="e">
        <f ca="1">IFERROR(计算区域!T1303,NA())</f>
        <v>#N/A</v>
      </c>
      <c r="T1301" t="e">
        <f ca="1">IFERROR(计算区域!U1303,NA())</f>
        <v>#N/A</v>
      </c>
      <c r="V1301" t="e">
        <f ca="1">IFERROR(计算区域!X1303,NA())</f>
        <v>#N/A</v>
      </c>
      <c r="W1301" t="e">
        <f ca="1">IFERROR(计算区域!Y1303,NA())</f>
        <v>#N/A</v>
      </c>
      <c r="X1301" t="e">
        <f ca="1">IFERROR(计算区域!Z1303,NA())</f>
        <v>#N/A</v>
      </c>
      <c r="Y1301" t="e">
        <f ca="1">IFERROR(计算区域!AA1303,NA())</f>
        <v>#N/A</v>
      </c>
    </row>
    <row r="1302" spans="1:25" x14ac:dyDescent="0.2">
      <c r="A1302" s="28">
        <f>计算区域!E1304</f>
        <v>0</v>
      </c>
      <c r="B1302" t="e">
        <f ca="1">IFERROR(计算区域!AJ1304,NA())</f>
        <v>#N/A</v>
      </c>
      <c r="C1302" t="e">
        <f ca="1">IFERROR(计算区域!AK1304,NA())</f>
        <v>#N/A</v>
      </c>
      <c r="D1302" t="e">
        <f ca="1">IFERROR(计算区域!AL1304,NA())</f>
        <v>#N/A</v>
      </c>
      <c r="E1302" t="e">
        <f ca="1">IFERROR(计算区域!AM1304,NA())</f>
        <v>#N/A</v>
      </c>
      <c r="G1302" t="e">
        <f ca="1">IFERROR(计算区域!AD1304,NA())</f>
        <v>#N/A</v>
      </c>
      <c r="H1302" t="e">
        <f ca="1">IFERROR(计算区域!AE1304,NA())</f>
        <v>#N/A</v>
      </c>
      <c r="I1302" t="e">
        <f ca="1">IFERROR(计算区域!AF1304,NA())</f>
        <v>#N/A</v>
      </c>
      <c r="J1302" t="e">
        <f ca="1">IFERROR(计算区域!AG1304,NA())</f>
        <v>#N/A</v>
      </c>
      <c r="L1302" t="e">
        <f ca="1">IFERROR(计算区域!L1304,NA())</f>
        <v>#N/A</v>
      </c>
      <c r="M1302" t="e">
        <f ca="1">IFERROR(计算区域!M1304,NA())</f>
        <v>#N/A</v>
      </c>
      <c r="N1302" t="e">
        <f ca="1">IFERROR(计算区域!N1304,NA())</f>
        <v>#N/A</v>
      </c>
      <c r="O1302" t="e">
        <f ca="1">IFERROR(计算区域!O1304,NA())</f>
        <v>#N/A</v>
      </c>
      <c r="Q1302" t="e">
        <f ca="1">IFERROR(计算区域!R1304,NA())</f>
        <v>#N/A</v>
      </c>
      <c r="R1302" t="e">
        <f ca="1">IFERROR(计算区域!S1304,NA())</f>
        <v>#N/A</v>
      </c>
      <c r="S1302" t="e">
        <f ca="1">IFERROR(计算区域!T1304,NA())</f>
        <v>#N/A</v>
      </c>
      <c r="T1302" t="e">
        <f ca="1">IFERROR(计算区域!U1304,NA())</f>
        <v>#N/A</v>
      </c>
      <c r="V1302" t="e">
        <f ca="1">IFERROR(计算区域!X1304,NA())</f>
        <v>#N/A</v>
      </c>
      <c r="W1302" t="e">
        <f ca="1">IFERROR(计算区域!Y1304,NA())</f>
        <v>#N/A</v>
      </c>
      <c r="X1302" t="e">
        <f ca="1">IFERROR(计算区域!Z1304,NA())</f>
        <v>#N/A</v>
      </c>
      <c r="Y1302" t="e">
        <f ca="1">IFERROR(计算区域!AA1304,NA())</f>
        <v>#N/A</v>
      </c>
    </row>
    <row r="1303" spans="1:25" x14ac:dyDescent="0.2">
      <c r="A1303" s="28">
        <f>计算区域!E1305</f>
        <v>0</v>
      </c>
      <c r="B1303" t="e">
        <f ca="1">IFERROR(计算区域!AJ1305,NA())</f>
        <v>#N/A</v>
      </c>
      <c r="C1303" t="e">
        <f ca="1">IFERROR(计算区域!AK1305,NA())</f>
        <v>#N/A</v>
      </c>
      <c r="D1303" t="e">
        <f ca="1">IFERROR(计算区域!AL1305,NA())</f>
        <v>#N/A</v>
      </c>
      <c r="E1303" t="e">
        <f ca="1">IFERROR(计算区域!AM1305,NA())</f>
        <v>#N/A</v>
      </c>
      <c r="G1303" t="e">
        <f ca="1">IFERROR(计算区域!AD1305,NA())</f>
        <v>#N/A</v>
      </c>
      <c r="H1303" t="e">
        <f ca="1">IFERROR(计算区域!AE1305,NA())</f>
        <v>#N/A</v>
      </c>
      <c r="I1303" t="e">
        <f ca="1">IFERROR(计算区域!AF1305,NA())</f>
        <v>#N/A</v>
      </c>
      <c r="J1303" t="e">
        <f ca="1">IFERROR(计算区域!AG1305,NA())</f>
        <v>#N/A</v>
      </c>
      <c r="L1303" t="e">
        <f ca="1">IFERROR(计算区域!L1305,NA())</f>
        <v>#N/A</v>
      </c>
      <c r="M1303" t="e">
        <f ca="1">IFERROR(计算区域!M1305,NA())</f>
        <v>#N/A</v>
      </c>
      <c r="N1303" t="e">
        <f ca="1">IFERROR(计算区域!N1305,NA())</f>
        <v>#N/A</v>
      </c>
      <c r="O1303" t="e">
        <f ca="1">IFERROR(计算区域!O1305,NA())</f>
        <v>#N/A</v>
      </c>
      <c r="Q1303" t="e">
        <f ca="1">IFERROR(计算区域!R1305,NA())</f>
        <v>#N/A</v>
      </c>
      <c r="R1303" t="e">
        <f ca="1">IFERROR(计算区域!S1305,NA())</f>
        <v>#N/A</v>
      </c>
      <c r="S1303" t="e">
        <f ca="1">IFERROR(计算区域!T1305,NA())</f>
        <v>#N/A</v>
      </c>
      <c r="T1303" t="e">
        <f ca="1">IFERROR(计算区域!U1305,NA())</f>
        <v>#N/A</v>
      </c>
      <c r="V1303" t="e">
        <f ca="1">IFERROR(计算区域!X1305,NA())</f>
        <v>#N/A</v>
      </c>
      <c r="W1303" t="e">
        <f ca="1">IFERROR(计算区域!Y1305,NA())</f>
        <v>#N/A</v>
      </c>
      <c r="X1303" t="e">
        <f ca="1">IFERROR(计算区域!Z1305,NA())</f>
        <v>#N/A</v>
      </c>
      <c r="Y1303" t="e">
        <f ca="1">IFERROR(计算区域!AA1305,NA())</f>
        <v>#N/A</v>
      </c>
    </row>
    <row r="1304" spans="1:25" x14ac:dyDescent="0.2">
      <c r="A1304" s="28">
        <f>计算区域!E1306</f>
        <v>0</v>
      </c>
      <c r="B1304" t="e">
        <f ca="1">IFERROR(计算区域!AJ1306,NA())</f>
        <v>#N/A</v>
      </c>
      <c r="C1304" t="e">
        <f ca="1">IFERROR(计算区域!AK1306,NA())</f>
        <v>#N/A</v>
      </c>
      <c r="D1304" t="e">
        <f ca="1">IFERROR(计算区域!AL1306,NA())</f>
        <v>#N/A</v>
      </c>
      <c r="E1304" t="e">
        <f ca="1">IFERROR(计算区域!AM1306,NA())</f>
        <v>#N/A</v>
      </c>
      <c r="G1304" t="e">
        <f ca="1">IFERROR(计算区域!AD1306,NA())</f>
        <v>#N/A</v>
      </c>
      <c r="H1304" t="e">
        <f ca="1">IFERROR(计算区域!AE1306,NA())</f>
        <v>#N/A</v>
      </c>
      <c r="I1304" t="e">
        <f ca="1">IFERROR(计算区域!AF1306,NA())</f>
        <v>#N/A</v>
      </c>
      <c r="J1304" t="e">
        <f ca="1">IFERROR(计算区域!AG1306,NA())</f>
        <v>#N/A</v>
      </c>
      <c r="L1304" t="e">
        <f ca="1">IFERROR(计算区域!L1306,NA())</f>
        <v>#N/A</v>
      </c>
      <c r="M1304" t="e">
        <f ca="1">IFERROR(计算区域!M1306,NA())</f>
        <v>#N/A</v>
      </c>
      <c r="N1304" t="e">
        <f ca="1">IFERROR(计算区域!N1306,NA())</f>
        <v>#N/A</v>
      </c>
      <c r="O1304" t="e">
        <f ca="1">IFERROR(计算区域!O1306,NA())</f>
        <v>#N/A</v>
      </c>
      <c r="Q1304" t="e">
        <f ca="1">IFERROR(计算区域!R1306,NA())</f>
        <v>#N/A</v>
      </c>
      <c r="R1304" t="e">
        <f ca="1">IFERROR(计算区域!S1306,NA())</f>
        <v>#N/A</v>
      </c>
      <c r="S1304" t="e">
        <f ca="1">IFERROR(计算区域!T1306,NA())</f>
        <v>#N/A</v>
      </c>
      <c r="T1304" t="e">
        <f ca="1">IFERROR(计算区域!U1306,NA())</f>
        <v>#N/A</v>
      </c>
      <c r="V1304" t="e">
        <f ca="1">IFERROR(计算区域!X1306,NA())</f>
        <v>#N/A</v>
      </c>
      <c r="W1304" t="e">
        <f ca="1">IFERROR(计算区域!Y1306,NA())</f>
        <v>#N/A</v>
      </c>
      <c r="X1304" t="e">
        <f ca="1">IFERROR(计算区域!Z1306,NA())</f>
        <v>#N/A</v>
      </c>
      <c r="Y1304" t="e">
        <f ca="1">IFERROR(计算区域!AA1306,NA())</f>
        <v>#N/A</v>
      </c>
    </row>
    <row r="1305" spans="1:25" x14ac:dyDescent="0.2">
      <c r="A1305" s="28">
        <f>计算区域!E1307</f>
        <v>0</v>
      </c>
      <c r="B1305" t="e">
        <f ca="1">IFERROR(计算区域!AJ1307,NA())</f>
        <v>#N/A</v>
      </c>
      <c r="C1305" t="e">
        <f ca="1">IFERROR(计算区域!AK1307,NA())</f>
        <v>#N/A</v>
      </c>
      <c r="D1305" t="e">
        <f ca="1">IFERROR(计算区域!AL1307,NA())</f>
        <v>#N/A</v>
      </c>
      <c r="E1305" t="e">
        <f ca="1">IFERROR(计算区域!AM1307,NA())</f>
        <v>#N/A</v>
      </c>
      <c r="G1305" t="e">
        <f ca="1">IFERROR(计算区域!AD1307,NA())</f>
        <v>#N/A</v>
      </c>
      <c r="H1305" t="e">
        <f ca="1">IFERROR(计算区域!AE1307,NA())</f>
        <v>#N/A</v>
      </c>
      <c r="I1305" t="e">
        <f ca="1">IFERROR(计算区域!AF1307,NA())</f>
        <v>#N/A</v>
      </c>
      <c r="J1305" t="e">
        <f ca="1">IFERROR(计算区域!AG1307,NA())</f>
        <v>#N/A</v>
      </c>
      <c r="L1305" t="e">
        <f ca="1">IFERROR(计算区域!L1307,NA())</f>
        <v>#N/A</v>
      </c>
      <c r="M1305" t="e">
        <f ca="1">IFERROR(计算区域!M1307,NA())</f>
        <v>#N/A</v>
      </c>
      <c r="N1305" t="e">
        <f ca="1">IFERROR(计算区域!N1307,NA())</f>
        <v>#N/A</v>
      </c>
      <c r="O1305" t="e">
        <f ca="1">IFERROR(计算区域!O1307,NA())</f>
        <v>#N/A</v>
      </c>
      <c r="Q1305" t="e">
        <f ca="1">IFERROR(计算区域!R1307,NA())</f>
        <v>#N/A</v>
      </c>
      <c r="R1305" t="e">
        <f ca="1">IFERROR(计算区域!S1307,NA())</f>
        <v>#N/A</v>
      </c>
      <c r="S1305" t="e">
        <f ca="1">IFERROR(计算区域!T1307,NA())</f>
        <v>#N/A</v>
      </c>
      <c r="T1305" t="e">
        <f ca="1">IFERROR(计算区域!U1307,NA())</f>
        <v>#N/A</v>
      </c>
      <c r="V1305" t="e">
        <f ca="1">IFERROR(计算区域!X1307,NA())</f>
        <v>#N/A</v>
      </c>
      <c r="W1305" t="e">
        <f ca="1">IFERROR(计算区域!Y1307,NA())</f>
        <v>#N/A</v>
      </c>
      <c r="X1305" t="e">
        <f ca="1">IFERROR(计算区域!Z1307,NA())</f>
        <v>#N/A</v>
      </c>
      <c r="Y1305" t="e">
        <f ca="1">IFERROR(计算区域!AA1307,NA())</f>
        <v>#N/A</v>
      </c>
    </row>
    <row r="1306" spans="1:25" x14ac:dyDescent="0.2">
      <c r="A1306" s="28">
        <f>计算区域!E1308</f>
        <v>0</v>
      </c>
      <c r="B1306" t="e">
        <f ca="1">IFERROR(计算区域!AJ1308,NA())</f>
        <v>#N/A</v>
      </c>
      <c r="C1306" t="e">
        <f ca="1">IFERROR(计算区域!AK1308,NA())</f>
        <v>#N/A</v>
      </c>
      <c r="D1306" t="e">
        <f ca="1">IFERROR(计算区域!AL1308,NA())</f>
        <v>#N/A</v>
      </c>
      <c r="E1306" t="e">
        <f ca="1">IFERROR(计算区域!AM1308,NA())</f>
        <v>#N/A</v>
      </c>
      <c r="G1306" t="e">
        <f ca="1">IFERROR(计算区域!AD1308,NA())</f>
        <v>#N/A</v>
      </c>
      <c r="H1306" t="e">
        <f ca="1">IFERROR(计算区域!AE1308,NA())</f>
        <v>#N/A</v>
      </c>
      <c r="I1306" t="e">
        <f ca="1">IFERROR(计算区域!AF1308,NA())</f>
        <v>#N/A</v>
      </c>
      <c r="J1306" t="e">
        <f ca="1">IFERROR(计算区域!AG1308,NA())</f>
        <v>#N/A</v>
      </c>
      <c r="L1306" t="e">
        <f ca="1">IFERROR(计算区域!L1308,NA())</f>
        <v>#N/A</v>
      </c>
      <c r="M1306" t="e">
        <f ca="1">IFERROR(计算区域!M1308,NA())</f>
        <v>#N/A</v>
      </c>
      <c r="N1306" t="e">
        <f ca="1">IFERROR(计算区域!N1308,NA())</f>
        <v>#N/A</v>
      </c>
      <c r="O1306" t="e">
        <f ca="1">IFERROR(计算区域!O1308,NA())</f>
        <v>#N/A</v>
      </c>
      <c r="Q1306" t="e">
        <f ca="1">IFERROR(计算区域!R1308,NA())</f>
        <v>#N/A</v>
      </c>
      <c r="R1306" t="e">
        <f ca="1">IFERROR(计算区域!S1308,NA())</f>
        <v>#N/A</v>
      </c>
      <c r="S1306" t="e">
        <f ca="1">IFERROR(计算区域!T1308,NA())</f>
        <v>#N/A</v>
      </c>
      <c r="T1306" t="e">
        <f ca="1">IFERROR(计算区域!U1308,NA())</f>
        <v>#N/A</v>
      </c>
      <c r="V1306" t="e">
        <f ca="1">IFERROR(计算区域!X1308,NA())</f>
        <v>#N/A</v>
      </c>
      <c r="W1306" t="e">
        <f ca="1">IFERROR(计算区域!Y1308,NA())</f>
        <v>#N/A</v>
      </c>
      <c r="X1306" t="e">
        <f ca="1">IFERROR(计算区域!Z1308,NA())</f>
        <v>#N/A</v>
      </c>
      <c r="Y1306" t="e">
        <f ca="1">IFERROR(计算区域!AA1308,NA())</f>
        <v>#N/A</v>
      </c>
    </row>
    <row r="1307" spans="1:25" x14ac:dyDescent="0.2">
      <c r="A1307" s="28">
        <f>计算区域!E1309</f>
        <v>0</v>
      </c>
      <c r="B1307" t="e">
        <f ca="1">IFERROR(计算区域!AJ1309,NA())</f>
        <v>#N/A</v>
      </c>
      <c r="C1307" t="e">
        <f ca="1">IFERROR(计算区域!AK1309,NA())</f>
        <v>#N/A</v>
      </c>
      <c r="D1307" t="e">
        <f ca="1">IFERROR(计算区域!AL1309,NA())</f>
        <v>#N/A</v>
      </c>
      <c r="E1307" t="e">
        <f ca="1">IFERROR(计算区域!AM1309,NA())</f>
        <v>#N/A</v>
      </c>
      <c r="G1307" t="e">
        <f ca="1">IFERROR(计算区域!AD1309,NA())</f>
        <v>#N/A</v>
      </c>
      <c r="H1307" t="e">
        <f ca="1">IFERROR(计算区域!AE1309,NA())</f>
        <v>#N/A</v>
      </c>
      <c r="I1307" t="e">
        <f ca="1">IFERROR(计算区域!AF1309,NA())</f>
        <v>#N/A</v>
      </c>
      <c r="J1307" t="e">
        <f ca="1">IFERROR(计算区域!AG1309,NA())</f>
        <v>#N/A</v>
      </c>
      <c r="L1307" t="e">
        <f ca="1">IFERROR(计算区域!L1309,NA())</f>
        <v>#N/A</v>
      </c>
      <c r="M1307" t="e">
        <f ca="1">IFERROR(计算区域!M1309,NA())</f>
        <v>#N/A</v>
      </c>
      <c r="N1307" t="e">
        <f ca="1">IFERROR(计算区域!N1309,NA())</f>
        <v>#N/A</v>
      </c>
      <c r="O1307" t="e">
        <f ca="1">IFERROR(计算区域!O1309,NA())</f>
        <v>#N/A</v>
      </c>
      <c r="Q1307" t="e">
        <f ca="1">IFERROR(计算区域!R1309,NA())</f>
        <v>#N/A</v>
      </c>
      <c r="R1307" t="e">
        <f ca="1">IFERROR(计算区域!S1309,NA())</f>
        <v>#N/A</v>
      </c>
      <c r="S1307" t="e">
        <f ca="1">IFERROR(计算区域!T1309,NA())</f>
        <v>#N/A</v>
      </c>
      <c r="T1307" t="e">
        <f ca="1">IFERROR(计算区域!U1309,NA())</f>
        <v>#N/A</v>
      </c>
      <c r="V1307" t="e">
        <f ca="1">IFERROR(计算区域!X1309,NA())</f>
        <v>#N/A</v>
      </c>
      <c r="W1307" t="e">
        <f ca="1">IFERROR(计算区域!Y1309,NA())</f>
        <v>#N/A</v>
      </c>
      <c r="X1307" t="e">
        <f ca="1">IFERROR(计算区域!Z1309,NA())</f>
        <v>#N/A</v>
      </c>
      <c r="Y1307" t="e">
        <f ca="1">IFERROR(计算区域!AA1309,NA())</f>
        <v>#N/A</v>
      </c>
    </row>
    <row r="1308" spans="1:25" x14ac:dyDescent="0.2">
      <c r="A1308" s="28">
        <f>计算区域!E1310</f>
        <v>0</v>
      </c>
      <c r="B1308" t="e">
        <f ca="1">IFERROR(计算区域!AJ1310,NA())</f>
        <v>#N/A</v>
      </c>
      <c r="C1308" t="e">
        <f ca="1">IFERROR(计算区域!AK1310,NA())</f>
        <v>#N/A</v>
      </c>
      <c r="D1308" t="e">
        <f ca="1">IFERROR(计算区域!AL1310,NA())</f>
        <v>#N/A</v>
      </c>
      <c r="E1308" t="e">
        <f ca="1">IFERROR(计算区域!AM1310,NA())</f>
        <v>#N/A</v>
      </c>
      <c r="G1308" t="e">
        <f ca="1">IFERROR(计算区域!AD1310,NA())</f>
        <v>#N/A</v>
      </c>
      <c r="H1308" t="e">
        <f ca="1">IFERROR(计算区域!AE1310,NA())</f>
        <v>#N/A</v>
      </c>
      <c r="I1308" t="e">
        <f ca="1">IFERROR(计算区域!AF1310,NA())</f>
        <v>#N/A</v>
      </c>
      <c r="J1308" t="e">
        <f ca="1">IFERROR(计算区域!AG1310,NA())</f>
        <v>#N/A</v>
      </c>
      <c r="L1308" t="e">
        <f ca="1">IFERROR(计算区域!L1310,NA())</f>
        <v>#N/A</v>
      </c>
      <c r="M1308" t="e">
        <f ca="1">IFERROR(计算区域!M1310,NA())</f>
        <v>#N/A</v>
      </c>
      <c r="N1308" t="e">
        <f ca="1">IFERROR(计算区域!N1310,NA())</f>
        <v>#N/A</v>
      </c>
      <c r="O1308" t="e">
        <f ca="1">IFERROR(计算区域!O1310,NA())</f>
        <v>#N/A</v>
      </c>
      <c r="Q1308" t="e">
        <f ca="1">IFERROR(计算区域!R1310,NA())</f>
        <v>#N/A</v>
      </c>
      <c r="R1308" t="e">
        <f ca="1">IFERROR(计算区域!S1310,NA())</f>
        <v>#N/A</v>
      </c>
      <c r="S1308" t="e">
        <f ca="1">IFERROR(计算区域!T1310,NA())</f>
        <v>#N/A</v>
      </c>
      <c r="T1308" t="e">
        <f ca="1">IFERROR(计算区域!U1310,NA())</f>
        <v>#N/A</v>
      </c>
      <c r="V1308" t="e">
        <f ca="1">IFERROR(计算区域!X1310,NA())</f>
        <v>#N/A</v>
      </c>
      <c r="W1308" t="e">
        <f ca="1">IFERROR(计算区域!Y1310,NA())</f>
        <v>#N/A</v>
      </c>
      <c r="X1308" t="e">
        <f ca="1">IFERROR(计算区域!Z1310,NA())</f>
        <v>#N/A</v>
      </c>
      <c r="Y1308" t="e">
        <f ca="1">IFERROR(计算区域!AA1310,NA())</f>
        <v>#N/A</v>
      </c>
    </row>
    <row r="1309" spans="1:25" x14ac:dyDescent="0.2">
      <c r="A1309" s="28">
        <f>计算区域!E1311</f>
        <v>0</v>
      </c>
      <c r="B1309" t="e">
        <f ca="1">IFERROR(计算区域!AJ1311,NA())</f>
        <v>#N/A</v>
      </c>
      <c r="C1309" t="e">
        <f ca="1">IFERROR(计算区域!AK1311,NA())</f>
        <v>#N/A</v>
      </c>
      <c r="D1309" t="e">
        <f ca="1">IFERROR(计算区域!AL1311,NA())</f>
        <v>#N/A</v>
      </c>
      <c r="E1309" t="e">
        <f ca="1">IFERROR(计算区域!AM1311,NA())</f>
        <v>#N/A</v>
      </c>
      <c r="G1309" t="e">
        <f ca="1">IFERROR(计算区域!AD1311,NA())</f>
        <v>#N/A</v>
      </c>
      <c r="H1309" t="e">
        <f ca="1">IFERROR(计算区域!AE1311,NA())</f>
        <v>#N/A</v>
      </c>
      <c r="I1309" t="e">
        <f ca="1">IFERROR(计算区域!AF1311,NA())</f>
        <v>#N/A</v>
      </c>
      <c r="J1309" t="e">
        <f ca="1">IFERROR(计算区域!AG1311,NA())</f>
        <v>#N/A</v>
      </c>
      <c r="L1309" t="e">
        <f ca="1">IFERROR(计算区域!L1311,NA())</f>
        <v>#N/A</v>
      </c>
      <c r="M1309" t="e">
        <f ca="1">IFERROR(计算区域!M1311,NA())</f>
        <v>#N/A</v>
      </c>
      <c r="N1309" t="e">
        <f ca="1">IFERROR(计算区域!N1311,NA())</f>
        <v>#N/A</v>
      </c>
      <c r="O1309" t="e">
        <f ca="1">IFERROR(计算区域!O1311,NA())</f>
        <v>#N/A</v>
      </c>
      <c r="Q1309" t="e">
        <f ca="1">IFERROR(计算区域!R1311,NA())</f>
        <v>#N/A</v>
      </c>
      <c r="R1309" t="e">
        <f ca="1">IFERROR(计算区域!S1311,NA())</f>
        <v>#N/A</v>
      </c>
      <c r="S1309" t="e">
        <f ca="1">IFERROR(计算区域!T1311,NA())</f>
        <v>#N/A</v>
      </c>
      <c r="T1309" t="e">
        <f ca="1">IFERROR(计算区域!U1311,NA())</f>
        <v>#N/A</v>
      </c>
      <c r="V1309" t="e">
        <f ca="1">IFERROR(计算区域!X1311,NA())</f>
        <v>#N/A</v>
      </c>
      <c r="W1309" t="e">
        <f ca="1">IFERROR(计算区域!Y1311,NA())</f>
        <v>#N/A</v>
      </c>
      <c r="X1309" t="e">
        <f ca="1">IFERROR(计算区域!Z1311,NA())</f>
        <v>#N/A</v>
      </c>
      <c r="Y1309" t="e">
        <f ca="1">IFERROR(计算区域!AA1311,NA())</f>
        <v>#N/A</v>
      </c>
    </row>
    <row r="1310" spans="1:25" x14ac:dyDescent="0.2">
      <c r="A1310" s="28">
        <f>计算区域!E1312</f>
        <v>0</v>
      </c>
      <c r="B1310" t="e">
        <f ca="1">IFERROR(计算区域!AJ1312,NA())</f>
        <v>#N/A</v>
      </c>
      <c r="C1310" t="e">
        <f ca="1">IFERROR(计算区域!AK1312,NA())</f>
        <v>#N/A</v>
      </c>
      <c r="D1310" t="e">
        <f ca="1">IFERROR(计算区域!AL1312,NA())</f>
        <v>#N/A</v>
      </c>
      <c r="E1310" t="e">
        <f ca="1">IFERROR(计算区域!AM1312,NA())</f>
        <v>#N/A</v>
      </c>
      <c r="G1310" t="e">
        <f ca="1">IFERROR(计算区域!AD1312,NA())</f>
        <v>#N/A</v>
      </c>
      <c r="H1310" t="e">
        <f ca="1">IFERROR(计算区域!AE1312,NA())</f>
        <v>#N/A</v>
      </c>
      <c r="I1310" t="e">
        <f ca="1">IFERROR(计算区域!AF1312,NA())</f>
        <v>#N/A</v>
      </c>
      <c r="J1310" t="e">
        <f ca="1">IFERROR(计算区域!AG1312,NA())</f>
        <v>#N/A</v>
      </c>
      <c r="L1310" t="e">
        <f ca="1">IFERROR(计算区域!L1312,NA())</f>
        <v>#N/A</v>
      </c>
      <c r="M1310" t="e">
        <f ca="1">IFERROR(计算区域!M1312,NA())</f>
        <v>#N/A</v>
      </c>
      <c r="N1310" t="e">
        <f ca="1">IFERROR(计算区域!N1312,NA())</f>
        <v>#N/A</v>
      </c>
      <c r="O1310" t="e">
        <f ca="1">IFERROR(计算区域!O1312,NA())</f>
        <v>#N/A</v>
      </c>
      <c r="Q1310" t="e">
        <f ca="1">IFERROR(计算区域!R1312,NA())</f>
        <v>#N/A</v>
      </c>
      <c r="R1310" t="e">
        <f ca="1">IFERROR(计算区域!S1312,NA())</f>
        <v>#N/A</v>
      </c>
      <c r="S1310" t="e">
        <f ca="1">IFERROR(计算区域!T1312,NA())</f>
        <v>#N/A</v>
      </c>
      <c r="T1310" t="e">
        <f ca="1">IFERROR(计算区域!U1312,NA())</f>
        <v>#N/A</v>
      </c>
      <c r="V1310" t="e">
        <f ca="1">IFERROR(计算区域!X1312,NA())</f>
        <v>#N/A</v>
      </c>
      <c r="W1310" t="e">
        <f ca="1">IFERROR(计算区域!Y1312,NA())</f>
        <v>#N/A</v>
      </c>
      <c r="X1310" t="e">
        <f ca="1">IFERROR(计算区域!Z1312,NA())</f>
        <v>#N/A</v>
      </c>
      <c r="Y1310" t="e">
        <f ca="1">IFERROR(计算区域!AA1312,NA())</f>
        <v>#N/A</v>
      </c>
    </row>
    <row r="1311" spans="1:25" x14ac:dyDescent="0.2">
      <c r="A1311" s="28">
        <f>计算区域!E1313</f>
        <v>0</v>
      </c>
      <c r="B1311" t="e">
        <f ca="1">IFERROR(计算区域!AJ1313,NA())</f>
        <v>#N/A</v>
      </c>
      <c r="C1311" t="e">
        <f ca="1">IFERROR(计算区域!AK1313,NA())</f>
        <v>#N/A</v>
      </c>
      <c r="D1311" t="e">
        <f ca="1">IFERROR(计算区域!AL1313,NA())</f>
        <v>#N/A</v>
      </c>
      <c r="E1311" t="e">
        <f ca="1">IFERROR(计算区域!AM1313,NA())</f>
        <v>#N/A</v>
      </c>
      <c r="G1311" t="e">
        <f ca="1">IFERROR(计算区域!AD1313,NA())</f>
        <v>#N/A</v>
      </c>
      <c r="H1311" t="e">
        <f ca="1">IFERROR(计算区域!AE1313,NA())</f>
        <v>#N/A</v>
      </c>
      <c r="I1311" t="e">
        <f ca="1">IFERROR(计算区域!AF1313,NA())</f>
        <v>#N/A</v>
      </c>
      <c r="J1311" t="e">
        <f ca="1">IFERROR(计算区域!AG1313,NA())</f>
        <v>#N/A</v>
      </c>
      <c r="L1311" t="e">
        <f ca="1">IFERROR(计算区域!L1313,NA())</f>
        <v>#N/A</v>
      </c>
      <c r="M1311" t="e">
        <f ca="1">IFERROR(计算区域!M1313,NA())</f>
        <v>#N/A</v>
      </c>
      <c r="N1311" t="e">
        <f ca="1">IFERROR(计算区域!N1313,NA())</f>
        <v>#N/A</v>
      </c>
      <c r="O1311" t="e">
        <f ca="1">IFERROR(计算区域!O1313,NA())</f>
        <v>#N/A</v>
      </c>
      <c r="Q1311" t="e">
        <f ca="1">IFERROR(计算区域!R1313,NA())</f>
        <v>#N/A</v>
      </c>
      <c r="R1311" t="e">
        <f ca="1">IFERROR(计算区域!S1313,NA())</f>
        <v>#N/A</v>
      </c>
      <c r="S1311" t="e">
        <f ca="1">IFERROR(计算区域!T1313,NA())</f>
        <v>#N/A</v>
      </c>
      <c r="T1311" t="e">
        <f ca="1">IFERROR(计算区域!U1313,NA())</f>
        <v>#N/A</v>
      </c>
      <c r="V1311" t="e">
        <f ca="1">IFERROR(计算区域!X1313,NA())</f>
        <v>#N/A</v>
      </c>
      <c r="W1311" t="e">
        <f ca="1">IFERROR(计算区域!Y1313,NA())</f>
        <v>#N/A</v>
      </c>
      <c r="X1311" t="e">
        <f ca="1">IFERROR(计算区域!Z1313,NA())</f>
        <v>#N/A</v>
      </c>
      <c r="Y1311" t="e">
        <f ca="1">IFERROR(计算区域!AA1313,NA())</f>
        <v>#N/A</v>
      </c>
    </row>
    <row r="1312" spans="1:25" x14ac:dyDescent="0.2">
      <c r="A1312" s="28">
        <f>计算区域!E1314</f>
        <v>0</v>
      </c>
      <c r="B1312" t="e">
        <f ca="1">IFERROR(计算区域!AJ1314,NA())</f>
        <v>#N/A</v>
      </c>
      <c r="C1312" t="e">
        <f ca="1">IFERROR(计算区域!AK1314,NA())</f>
        <v>#N/A</v>
      </c>
      <c r="D1312" t="e">
        <f ca="1">IFERROR(计算区域!AL1314,NA())</f>
        <v>#N/A</v>
      </c>
      <c r="E1312" t="e">
        <f ca="1">IFERROR(计算区域!AM1314,NA())</f>
        <v>#N/A</v>
      </c>
      <c r="G1312" t="e">
        <f ca="1">IFERROR(计算区域!AD1314,NA())</f>
        <v>#N/A</v>
      </c>
      <c r="H1312" t="e">
        <f ca="1">IFERROR(计算区域!AE1314,NA())</f>
        <v>#N/A</v>
      </c>
      <c r="I1312" t="e">
        <f ca="1">IFERROR(计算区域!AF1314,NA())</f>
        <v>#N/A</v>
      </c>
      <c r="J1312" t="e">
        <f ca="1">IFERROR(计算区域!AG1314,NA())</f>
        <v>#N/A</v>
      </c>
      <c r="L1312" t="e">
        <f ca="1">IFERROR(计算区域!L1314,NA())</f>
        <v>#N/A</v>
      </c>
      <c r="M1312" t="e">
        <f ca="1">IFERROR(计算区域!M1314,NA())</f>
        <v>#N/A</v>
      </c>
      <c r="N1312" t="e">
        <f ca="1">IFERROR(计算区域!N1314,NA())</f>
        <v>#N/A</v>
      </c>
      <c r="O1312" t="e">
        <f ca="1">IFERROR(计算区域!O1314,NA())</f>
        <v>#N/A</v>
      </c>
      <c r="Q1312" t="e">
        <f ca="1">IFERROR(计算区域!R1314,NA())</f>
        <v>#N/A</v>
      </c>
      <c r="R1312" t="e">
        <f ca="1">IFERROR(计算区域!S1314,NA())</f>
        <v>#N/A</v>
      </c>
      <c r="S1312" t="e">
        <f ca="1">IFERROR(计算区域!T1314,NA())</f>
        <v>#N/A</v>
      </c>
      <c r="T1312" t="e">
        <f ca="1">IFERROR(计算区域!U1314,NA())</f>
        <v>#N/A</v>
      </c>
      <c r="V1312" t="e">
        <f ca="1">IFERROR(计算区域!X1314,NA())</f>
        <v>#N/A</v>
      </c>
      <c r="W1312" t="e">
        <f ca="1">IFERROR(计算区域!Y1314,NA())</f>
        <v>#N/A</v>
      </c>
      <c r="X1312" t="e">
        <f ca="1">IFERROR(计算区域!Z1314,NA())</f>
        <v>#N/A</v>
      </c>
      <c r="Y1312" t="e">
        <f ca="1">IFERROR(计算区域!AA1314,NA())</f>
        <v>#N/A</v>
      </c>
    </row>
    <row r="1313" spans="1:25" x14ac:dyDescent="0.2">
      <c r="A1313" s="28">
        <f>计算区域!E1315</f>
        <v>0</v>
      </c>
      <c r="B1313" t="e">
        <f ca="1">IFERROR(计算区域!AJ1315,NA())</f>
        <v>#N/A</v>
      </c>
      <c r="C1313" t="e">
        <f ca="1">IFERROR(计算区域!AK1315,NA())</f>
        <v>#N/A</v>
      </c>
      <c r="D1313" t="e">
        <f ca="1">IFERROR(计算区域!AL1315,NA())</f>
        <v>#N/A</v>
      </c>
      <c r="E1313" t="e">
        <f ca="1">IFERROR(计算区域!AM1315,NA())</f>
        <v>#N/A</v>
      </c>
      <c r="G1313" t="e">
        <f ca="1">IFERROR(计算区域!AD1315,NA())</f>
        <v>#N/A</v>
      </c>
      <c r="H1313" t="e">
        <f ca="1">IFERROR(计算区域!AE1315,NA())</f>
        <v>#N/A</v>
      </c>
      <c r="I1313" t="e">
        <f ca="1">IFERROR(计算区域!AF1315,NA())</f>
        <v>#N/A</v>
      </c>
      <c r="J1313" t="e">
        <f ca="1">IFERROR(计算区域!AG1315,NA())</f>
        <v>#N/A</v>
      </c>
      <c r="L1313" t="e">
        <f ca="1">IFERROR(计算区域!L1315,NA())</f>
        <v>#N/A</v>
      </c>
      <c r="M1313" t="e">
        <f ca="1">IFERROR(计算区域!M1315,NA())</f>
        <v>#N/A</v>
      </c>
      <c r="N1313" t="e">
        <f ca="1">IFERROR(计算区域!N1315,NA())</f>
        <v>#N/A</v>
      </c>
      <c r="O1313" t="e">
        <f ca="1">IFERROR(计算区域!O1315,NA())</f>
        <v>#N/A</v>
      </c>
      <c r="Q1313" t="e">
        <f ca="1">IFERROR(计算区域!R1315,NA())</f>
        <v>#N/A</v>
      </c>
      <c r="R1313" t="e">
        <f ca="1">IFERROR(计算区域!S1315,NA())</f>
        <v>#N/A</v>
      </c>
      <c r="S1313" t="e">
        <f ca="1">IFERROR(计算区域!T1315,NA())</f>
        <v>#N/A</v>
      </c>
      <c r="T1313" t="e">
        <f ca="1">IFERROR(计算区域!U1315,NA())</f>
        <v>#N/A</v>
      </c>
      <c r="V1313" t="e">
        <f ca="1">IFERROR(计算区域!X1315,NA())</f>
        <v>#N/A</v>
      </c>
      <c r="W1313" t="e">
        <f ca="1">IFERROR(计算区域!Y1315,NA())</f>
        <v>#N/A</v>
      </c>
      <c r="X1313" t="e">
        <f ca="1">IFERROR(计算区域!Z1315,NA())</f>
        <v>#N/A</v>
      </c>
      <c r="Y1313" t="e">
        <f ca="1">IFERROR(计算区域!AA1315,NA())</f>
        <v>#N/A</v>
      </c>
    </row>
    <row r="1314" spans="1:25" x14ac:dyDescent="0.2">
      <c r="A1314" s="28">
        <f>计算区域!E1316</f>
        <v>0</v>
      </c>
      <c r="B1314" t="e">
        <f ca="1">IFERROR(计算区域!AJ1316,NA())</f>
        <v>#N/A</v>
      </c>
      <c r="C1314" t="e">
        <f ca="1">IFERROR(计算区域!AK1316,NA())</f>
        <v>#N/A</v>
      </c>
      <c r="D1314" t="e">
        <f ca="1">IFERROR(计算区域!AL1316,NA())</f>
        <v>#N/A</v>
      </c>
      <c r="E1314" t="e">
        <f ca="1">IFERROR(计算区域!AM1316,NA())</f>
        <v>#N/A</v>
      </c>
      <c r="G1314" t="e">
        <f ca="1">IFERROR(计算区域!AD1316,NA())</f>
        <v>#N/A</v>
      </c>
      <c r="H1314" t="e">
        <f ca="1">IFERROR(计算区域!AE1316,NA())</f>
        <v>#N/A</v>
      </c>
      <c r="I1314" t="e">
        <f ca="1">IFERROR(计算区域!AF1316,NA())</f>
        <v>#N/A</v>
      </c>
      <c r="J1314" t="e">
        <f ca="1">IFERROR(计算区域!AG1316,NA())</f>
        <v>#N/A</v>
      </c>
      <c r="L1314" t="e">
        <f ca="1">IFERROR(计算区域!L1316,NA())</f>
        <v>#N/A</v>
      </c>
      <c r="M1314" t="e">
        <f ca="1">IFERROR(计算区域!M1316,NA())</f>
        <v>#N/A</v>
      </c>
      <c r="N1314" t="e">
        <f ca="1">IFERROR(计算区域!N1316,NA())</f>
        <v>#N/A</v>
      </c>
      <c r="O1314" t="e">
        <f ca="1">IFERROR(计算区域!O1316,NA())</f>
        <v>#N/A</v>
      </c>
      <c r="Q1314" t="e">
        <f ca="1">IFERROR(计算区域!R1316,NA())</f>
        <v>#N/A</v>
      </c>
      <c r="R1314" t="e">
        <f ca="1">IFERROR(计算区域!S1316,NA())</f>
        <v>#N/A</v>
      </c>
      <c r="S1314" t="e">
        <f ca="1">IFERROR(计算区域!T1316,NA())</f>
        <v>#N/A</v>
      </c>
      <c r="T1314" t="e">
        <f ca="1">IFERROR(计算区域!U1316,NA())</f>
        <v>#N/A</v>
      </c>
      <c r="V1314" t="e">
        <f ca="1">IFERROR(计算区域!X1316,NA())</f>
        <v>#N/A</v>
      </c>
      <c r="W1314" t="e">
        <f ca="1">IFERROR(计算区域!Y1316,NA())</f>
        <v>#N/A</v>
      </c>
      <c r="X1314" t="e">
        <f ca="1">IFERROR(计算区域!Z1316,NA())</f>
        <v>#N/A</v>
      </c>
      <c r="Y1314" t="e">
        <f ca="1">IFERROR(计算区域!AA1316,NA())</f>
        <v>#N/A</v>
      </c>
    </row>
    <row r="1315" spans="1:25" x14ac:dyDescent="0.2">
      <c r="A1315" s="28">
        <f>计算区域!E1317</f>
        <v>0</v>
      </c>
      <c r="B1315" t="e">
        <f ca="1">IFERROR(计算区域!AJ1317,NA())</f>
        <v>#N/A</v>
      </c>
      <c r="C1315" t="e">
        <f ca="1">IFERROR(计算区域!AK1317,NA())</f>
        <v>#N/A</v>
      </c>
      <c r="D1315" t="e">
        <f ca="1">IFERROR(计算区域!AL1317,NA())</f>
        <v>#N/A</v>
      </c>
      <c r="E1315" t="e">
        <f ca="1">IFERROR(计算区域!AM1317,NA())</f>
        <v>#N/A</v>
      </c>
      <c r="G1315" t="e">
        <f ca="1">IFERROR(计算区域!AD1317,NA())</f>
        <v>#N/A</v>
      </c>
      <c r="H1315" t="e">
        <f ca="1">IFERROR(计算区域!AE1317,NA())</f>
        <v>#N/A</v>
      </c>
      <c r="I1315" t="e">
        <f ca="1">IFERROR(计算区域!AF1317,NA())</f>
        <v>#N/A</v>
      </c>
      <c r="J1315" t="e">
        <f ca="1">IFERROR(计算区域!AG1317,NA())</f>
        <v>#N/A</v>
      </c>
      <c r="L1315" t="e">
        <f ca="1">IFERROR(计算区域!L1317,NA())</f>
        <v>#N/A</v>
      </c>
      <c r="M1315" t="e">
        <f ca="1">IFERROR(计算区域!M1317,NA())</f>
        <v>#N/A</v>
      </c>
      <c r="N1315" t="e">
        <f ca="1">IFERROR(计算区域!N1317,NA())</f>
        <v>#N/A</v>
      </c>
      <c r="O1315" t="e">
        <f ca="1">IFERROR(计算区域!O1317,NA())</f>
        <v>#N/A</v>
      </c>
      <c r="Q1315" t="e">
        <f ca="1">IFERROR(计算区域!R1317,NA())</f>
        <v>#N/A</v>
      </c>
      <c r="R1315" t="e">
        <f ca="1">IFERROR(计算区域!S1317,NA())</f>
        <v>#N/A</v>
      </c>
      <c r="S1315" t="e">
        <f ca="1">IFERROR(计算区域!T1317,NA())</f>
        <v>#N/A</v>
      </c>
      <c r="T1315" t="e">
        <f ca="1">IFERROR(计算区域!U1317,NA())</f>
        <v>#N/A</v>
      </c>
      <c r="V1315" t="e">
        <f ca="1">IFERROR(计算区域!X1317,NA())</f>
        <v>#N/A</v>
      </c>
      <c r="W1315" t="e">
        <f ca="1">IFERROR(计算区域!Y1317,NA())</f>
        <v>#N/A</v>
      </c>
      <c r="X1315" t="e">
        <f ca="1">IFERROR(计算区域!Z1317,NA())</f>
        <v>#N/A</v>
      </c>
      <c r="Y1315" t="e">
        <f ca="1">IFERROR(计算区域!AA1317,NA())</f>
        <v>#N/A</v>
      </c>
    </row>
    <row r="1316" spans="1:25" x14ac:dyDescent="0.2">
      <c r="A1316" s="28">
        <f>计算区域!E1318</f>
        <v>0</v>
      </c>
      <c r="B1316" t="e">
        <f ca="1">IFERROR(计算区域!AJ1318,NA())</f>
        <v>#N/A</v>
      </c>
      <c r="C1316" t="e">
        <f ca="1">IFERROR(计算区域!AK1318,NA())</f>
        <v>#N/A</v>
      </c>
      <c r="D1316" t="e">
        <f ca="1">IFERROR(计算区域!AL1318,NA())</f>
        <v>#N/A</v>
      </c>
      <c r="E1316" t="e">
        <f ca="1">IFERROR(计算区域!AM1318,NA())</f>
        <v>#N/A</v>
      </c>
      <c r="G1316" t="e">
        <f ca="1">IFERROR(计算区域!AD1318,NA())</f>
        <v>#N/A</v>
      </c>
      <c r="H1316" t="e">
        <f ca="1">IFERROR(计算区域!AE1318,NA())</f>
        <v>#N/A</v>
      </c>
      <c r="I1316" t="e">
        <f ca="1">IFERROR(计算区域!AF1318,NA())</f>
        <v>#N/A</v>
      </c>
      <c r="J1316" t="e">
        <f ca="1">IFERROR(计算区域!AG1318,NA())</f>
        <v>#N/A</v>
      </c>
      <c r="L1316" t="e">
        <f ca="1">IFERROR(计算区域!L1318,NA())</f>
        <v>#N/A</v>
      </c>
      <c r="M1316" t="e">
        <f ca="1">IFERROR(计算区域!M1318,NA())</f>
        <v>#N/A</v>
      </c>
      <c r="N1316" t="e">
        <f ca="1">IFERROR(计算区域!N1318,NA())</f>
        <v>#N/A</v>
      </c>
      <c r="O1316" t="e">
        <f ca="1">IFERROR(计算区域!O1318,NA())</f>
        <v>#N/A</v>
      </c>
      <c r="Q1316" t="e">
        <f ca="1">IFERROR(计算区域!R1318,NA())</f>
        <v>#N/A</v>
      </c>
      <c r="R1316" t="e">
        <f ca="1">IFERROR(计算区域!S1318,NA())</f>
        <v>#N/A</v>
      </c>
      <c r="S1316" t="e">
        <f ca="1">IFERROR(计算区域!T1318,NA())</f>
        <v>#N/A</v>
      </c>
      <c r="T1316" t="e">
        <f ca="1">IFERROR(计算区域!U1318,NA())</f>
        <v>#N/A</v>
      </c>
      <c r="V1316" t="e">
        <f ca="1">IFERROR(计算区域!X1318,NA())</f>
        <v>#N/A</v>
      </c>
      <c r="W1316" t="e">
        <f ca="1">IFERROR(计算区域!Y1318,NA())</f>
        <v>#N/A</v>
      </c>
      <c r="X1316" t="e">
        <f ca="1">IFERROR(计算区域!Z1318,NA())</f>
        <v>#N/A</v>
      </c>
      <c r="Y1316" t="e">
        <f ca="1">IFERROR(计算区域!AA1318,NA())</f>
        <v>#N/A</v>
      </c>
    </row>
    <row r="1317" spans="1:25" x14ac:dyDescent="0.2">
      <c r="A1317" s="28">
        <f>计算区域!E1319</f>
        <v>0</v>
      </c>
      <c r="B1317" t="e">
        <f ca="1">IFERROR(计算区域!AJ1319,NA())</f>
        <v>#N/A</v>
      </c>
      <c r="C1317" t="e">
        <f ca="1">IFERROR(计算区域!AK1319,NA())</f>
        <v>#N/A</v>
      </c>
      <c r="D1317" t="e">
        <f ca="1">IFERROR(计算区域!AL1319,NA())</f>
        <v>#N/A</v>
      </c>
      <c r="E1317" t="e">
        <f ca="1">IFERROR(计算区域!AM1319,NA())</f>
        <v>#N/A</v>
      </c>
      <c r="G1317" t="e">
        <f ca="1">IFERROR(计算区域!AD1319,NA())</f>
        <v>#N/A</v>
      </c>
      <c r="H1317" t="e">
        <f ca="1">IFERROR(计算区域!AE1319,NA())</f>
        <v>#N/A</v>
      </c>
      <c r="I1317" t="e">
        <f ca="1">IFERROR(计算区域!AF1319,NA())</f>
        <v>#N/A</v>
      </c>
      <c r="J1317" t="e">
        <f ca="1">IFERROR(计算区域!AG1319,NA())</f>
        <v>#N/A</v>
      </c>
      <c r="L1317" t="e">
        <f ca="1">IFERROR(计算区域!L1319,NA())</f>
        <v>#N/A</v>
      </c>
      <c r="M1317" t="e">
        <f ca="1">IFERROR(计算区域!M1319,NA())</f>
        <v>#N/A</v>
      </c>
      <c r="N1317" t="e">
        <f ca="1">IFERROR(计算区域!N1319,NA())</f>
        <v>#N/A</v>
      </c>
      <c r="O1317" t="e">
        <f ca="1">IFERROR(计算区域!O1319,NA())</f>
        <v>#N/A</v>
      </c>
      <c r="Q1317" t="e">
        <f ca="1">IFERROR(计算区域!R1319,NA())</f>
        <v>#N/A</v>
      </c>
      <c r="R1317" t="e">
        <f ca="1">IFERROR(计算区域!S1319,NA())</f>
        <v>#N/A</v>
      </c>
      <c r="S1317" t="e">
        <f ca="1">IFERROR(计算区域!T1319,NA())</f>
        <v>#N/A</v>
      </c>
      <c r="T1317" t="e">
        <f ca="1">IFERROR(计算区域!U1319,NA())</f>
        <v>#N/A</v>
      </c>
      <c r="V1317" t="e">
        <f ca="1">IFERROR(计算区域!X1319,NA())</f>
        <v>#N/A</v>
      </c>
      <c r="W1317" t="e">
        <f ca="1">IFERROR(计算区域!Y1319,NA())</f>
        <v>#N/A</v>
      </c>
      <c r="X1317" t="e">
        <f ca="1">IFERROR(计算区域!Z1319,NA())</f>
        <v>#N/A</v>
      </c>
      <c r="Y1317" t="e">
        <f ca="1">IFERROR(计算区域!AA1319,NA())</f>
        <v>#N/A</v>
      </c>
    </row>
    <row r="1318" spans="1:25" x14ac:dyDescent="0.2">
      <c r="A1318" s="28">
        <f>计算区域!E1320</f>
        <v>0</v>
      </c>
      <c r="B1318" t="e">
        <f ca="1">IFERROR(计算区域!AJ1320,NA())</f>
        <v>#N/A</v>
      </c>
      <c r="C1318" t="e">
        <f ca="1">IFERROR(计算区域!AK1320,NA())</f>
        <v>#N/A</v>
      </c>
      <c r="D1318" t="e">
        <f ca="1">IFERROR(计算区域!AL1320,NA())</f>
        <v>#N/A</v>
      </c>
      <c r="E1318" t="e">
        <f ca="1">IFERROR(计算区域!AM1320,NA())</f>
        <v>#N/A</v>
      </c>
      <c r="G1318" t="e">
        <f ca="1">IFERROR(计算区域!AD1320,NA())</f>
        <v>#N/A</v>
      </c>
      <c r="H1318" t="e">
        <f ca="1">IFERROR(计算区域!AE1320,NA())</f>
        <v>#N/A</v>
      </c>
      <c r="I1318" t="e">
        <f ca="1">IFERROR(计算区域!AF1320,NA())</f>
        <v>#N/A</v>
      </c>
      <c r="J1318" t="e">
        <f ca="1">IFERROR(计算区域!AG1320,NA())</f>
        <v>#N/A</v>
      </c>
      <c r="L1318" t="e">
        <f ca="1">IFERROR(计算区域!L1320,NA())</f>
        <v>#N/A</v>
      </c>
      <c r="M1318" t="e">
        <f ca="1">IFERROR(计算区域!M1320,NA())</f>
        <v>#N/A</v>
      </c>
      <c r="N1318" t="e">
        <f ca="1">IFERROR(计算区域!N1320,NA())</f>
        <v>#N/A</v>
      </c>
      <c r="O1318" t="e">
        <f ca="1">IFERROR(计算区域!O1320,NA())</f>
        <v>#N/A</v>
      </c>
      <c r="Q1318" t="e">
        <f ca="1">IFERROR(计算区域!R1320,NA())</f>
        <v>#N/A</v>
      </c>
      <c r="R1318" t="e">
        <f ca="1">IFERROR(计算区域!S1320,NA())</f>
        <v>#N/A</v>
      </c>
      <c r="S1318" t="e">
        <f ca="1">IFERROR(计算区域!T1320,NA())</f>
        <v>#N/A</v>
      </c>
      <c r="T1318" t="e">
        <f ca="1">IFERROR(计算区域!U1320,NA())</f>
        <v>#N/A</v>
      </c>
      <c r="V1318" t="e">
        <f ca="1">IFERROR(计算区域!X1320,NA())</f>
        <v>#N/A</v>
      </c>
      <c r="W1318" t="e">
        <f ca="1">IFERROR(计算区域!Y1320,NA())</f>
        <v>#N/A</v>
      </c>
      <c r="X1318" t="e">
        <f ca="1">IFERROR(计算区域!Z1320,NA())</f>
        <v>#N/A</v>
      </c>
      <c r="Y1318" t="e">
        <f ca="1">IFERROR(计算区域!AA1320,NA())</f>
        <v>#N/A</v>
      </c>
    </row>
    <row r="1319" spans="1:25" x14ac:dyDescent="0.2">
      <c r="A1319" s="28">
        <f>计算区域!E1321</f>
        <v>0</v>
      </c>
      <c r="B1319" t="e">
        <f ca="1">IFERROR(计算区域!AJ1321,NA())</f>
        <v>#N/A</v>
      </c>
      <c r="C1319" t="e">
        <f ca="1">IFERROR(计算区域!AK1321,NA())</f>
        <v>#N/A</v>
      </c>
      <c r="D1319" t="e">
        <f ca="1">IFERROR(计算区域!AL1321,NA())</f>
        <v>#N/A</v>
      </c>
      <c r="E1319" t="e">
        <f ca="1">IFERROR(计算区域!AM1321,NA())</f>
        <v>#N/A</v>
      </c>
      <c r="G1319" t="e">
        <f ca="1">IFERROR(计算区域!AD1321,NA())</f>
        <v>#N/A</v>
      </c>
      <c r="H1319" t="e">
        <f ca="1">IFERROR(计算区域!AE1321,NA())</f>
        <v>#N/A</v>
      </c>
      <c r="I1319" t="e">
        <f ca="1">IFERROR(计算区域!AF1321,NA())</f>
        <v>#N/A</v>
      </c>
      <c r="J1319" t="e">
        <f ca="1">IFERROR(计算区域!AG1321,NA())</f>
        <v>#N/A</v>
      </c>
      <c r="L1319" t="e">
        <f ca="1">IFERROR(计算区域!L1321,NA())</f>
        <v>#N/A</v>
      </c>
      <c r="M1319" t="e">
        <f ca="1">IFERROR(计算区域!M1321,NA())</f>
        <v>#N/A</v>
      </c>
      <c r="N1319" t="e">
        <f ca="1">IFERROR(计算区域!N1321,NA())</f>
        <v>#N/A</v>
      </c>
      <c r="O1319" t="e">
        <f ca="1">IFERROR(计算区域!O1321,NA())</f>
        <v>#N/A</v>
      </c>
      <c r="Q1319" t="e">
        <f ca="1">IFERROR(计算区域!R1321,NA())</f>
        <v>#N/A</v>
      </c>
      <c r="R1319" t="e">
        <f ca="1">IFERROR(计算区域!S1321,NA())</f>
        <v>#N/A</v>
      </c>
      <c r="S1319" t="e">
        <f ca="1">IFERROR(计算区域!T1321,NA())</f>
        <v>#N/A</v>
      </c>
      <c r="T1319" t="e">
        <f ca="1">IFERROR(计算区域!U1321,NA())</f>
        <v>#N/A</v>
      </c>
      <c r="V1319" t="e">
        <f ca="1">IFERROR(计算区域!X1321,NA())</f>
        <v>#N/A</v>
      </c>
      <c r="W1319" t="e">
        <f ca="1">IFERROR(计算区域!Y1321,NA())</f>
        <v>#N/A</v>
      </c>
      <c r="X1319" t="e">
        <f ca="1">IFERROR(计算区域!Z1321,NA())</f>
        <v>#N/A</v>
      </c>
      <c r="Y1319" t="e">
        <f ca="1">IFERROR(计算区域!AA1321,NA())</f>
        <v>#N/A</v>
      </c>
    </row>
    <row r="1320" spans="1:25" x14ac:dyDescent="0.2">
      <c r="A1320" s="28">
        <f>计算区域!E1322</f>
        <v>0</v>
      </c>
      <c r="B1320" t="e">
        <f ca="1">IFERROR(计算区域!AJ1322,NA())</f>
        <v>#N/A</v>
      </c>
      <c r="C1320" t="e">
        <f ca="1">IFERROR(计算区域!AK1322,NA())</f>
        <v>#N/A</v>
      </c>
      <c r="D1320" t="e">
        <f ca="1">IFERROR(计算区域!AL1322,NA())</f>
        <v>#N/A</v>
      </c>
      <c r="E1320" t="e">
        <f ca="1">IFERROR(计算区域!AM1322,NA())</f>
        <v>#N/A</v>
      </c>
      <c r="G1320" t="e">
        <f ca="1">IFERROR(计算区域!AD1322,NA())</f>
        <v>#N/A</v>
      </c>
      <c r="H1320" t="e">
        <f ca="1">IFERROR(计算区域!AE1322,NA())</f>
        <v>#N/A</v>
      </c>
      <c r="I1320" t="e">
        <f ca="1">IFERROR(计算区域!AF1322,NA())</f>
        <v>#N/A</v>
      </c>
      <c r="J1320" t="e">
        <f ca="1">IFERROR(计算区域!AG1322,NA())</f>
        <v>#N/A</v>
      </c>
      <c r="L1320" t="e">
        <f ca="1">IFERROR(计算区域!L1322,NA())</f>
        <v>#N/A</v>
      </c>
      <c r="M1320" t="e">
        <f ca="1">IFERROR(计算区域!M1322,NA())</f>
        <v>#N/A</v>
      </c>
      <c r="N1320" t="e">
        <f ca="1">IFERROR(计算区域!N1322,NA())</f>
        <v>#N/A</v>
      </c>
      <c r="O1320" t="e">
        <f ca="1">IFERROR(计算区域!O1322,NA())</f>
        <v>#N/A</v>
      </c>
      <c r="Q1320" t="e">
        <f ca="1">IFERROR(计算区域!R1322,NA())</f>
        <v>#N/A</v>
      </c>
      <c r="R1320" t="e">
        <f ca="1">IFERROR(计算区域!S1322,NA())</f>
        <v>#N/A</v>
      </c>
      <c r="S1320" t="e">
        <f ca="1">IFERROR(计算区域!T1322,NA())</f>
        <v>#N/A</v>
      </c>
      <c r="T1320" t="e">
        <f ca="1">IFERROR(计算区域!U1322,NA())</f>
        <v>#N/A</v>
      </c>
      <c r="V1320" t="e">
        <f ca="1">IFERROR(计算区域!X1322,NA())</f>
        <v>#N/A</v>
      </c>
      <c r="W1320" t="e">
        <f ca="1">IFERROR(计算区域!Y1322,NA())</f>
        <v>#N/A</v>
      </c>
      <c r="X1320" t="e">
        <f ca="1">IFERROR(计算区域!Z1322,NA())</f>
        <v>#N/A</v>
      </c>
      <c r="Y1320" t="e">
        <f ca="1">IFERROR(计算区域!AA1322,NA())</f>
        <v>#N/A</v>
      </c>
    </row>
    <row r="1321" spans="1:25" x14ac:dyDescent="0.2">
      <c r="A1321" s="28">
        <f>计算区域!E1323</f>
        <v>0</v>
      </c>
      <c r="B1321" t="e">
        <f ca="1">IFERROR(计算区域!AJ1323,NA())</f>
        <v>#N/A</v>
      </c>
      <c r="C1321" t="e">
        <f ca="1">IFERROR(计算区域!AK1323,NA())</f>
        <v>#N/A</v>
      </c>
      <c r="D1321" t="e">
        <f ca="1">IFERROR(计算区域!AL1323,NA())</f>
        <v>#N/A</v>
      </c>
      <c r="E1321" t="e">
        <f ca="1">IFERROR(计算区域!AM1323,NA())</f>
        <v>#N/A</v>
      </c>
      <c r="G1321" t="e">
        <f ca="1">IFERROR(计算区域!AD1323,NA())</f>
        <v>#N/A</v>
      </c>
      <c r="H1321" t="e">
        <f ca="1">IFERROR(计算区域!AE1323,NA())</f>
        <v>#N/A</v>
      </c>
      <c r="I1321" t="e">
        <f ca="1">IFERROR(计算区域!AF1323,NA())</f>
        <v>#N/A</v>
      </c>
      <c r="J1321" t="e">
        <f ca="1">IFERROR(计算区域!AG1323,NA())</f>
        <v>#N/A</v>
      </c>
      <c r="L1321" t="e">
        <f ca="1">IFERROR(计算区域!L1323,NA())</f>
        <v>#N/A</v>
      </c>
      <c r="M1321" t="e">
        <f ca="1">IFERROR(计算区域!M1323,NA())</f>
        <v>#N/A</v>
      </c>
      <c r="N1321" t="e">
        <f ca="1">IFERROR(计算区域!N1323,NA())</f>
        <v>#N/A</v>
      </c>
      <c r="O1321" t="e">
        <f ca="1">IFERROR(计算区域!O1323,NA())</f>
        <v>#N/A</v>
      </c>
      <c r="Q1321" t="e">
        <f ca="1">IFERROR(计算区域!R1323,NA())</f>
        <v>#N/A</v>
      </c>
      <c r="R1321" t="e">
        <f ca="1">IFERROR(计算区域!S1323,NA())</f>
        <v>#N/A</v>
      </c>
      <c r="S1321" t="e">
        <f ca="1">IFERROR(计算区域!T1323,NA())</f>
        <v>#N/A</v>
      </c>
      <c r="T1321" t="e">
        <f ca="1">IFERROR(计算区域!U1323,NA())</f>
        <v>#N/A</v>
      </c>
      <c r="V1321" t="e">
        <f ca="1">IFERROR(计算区域!X1323,NA())</f>
        <v>#N/A</v>
      </c>
      <c r="W1321" t="e">
        <f ca="1">IFERROR(计算区域!Y1323,NA())</f>
        <v>#N/A</v>
      </c>
      <c r="X1321" t="e">
        <f ca="1">IFERROR(计算区域!Z1323,NA())</f>
        <v>#N/A</v>
      </c>
      <c r="Y1321" t="e">
        <f ca="1">IFERROR(计算区域!AA1323,NA())</f>
        <v>#N/A</v>
      </c>
    </row>
    <row r="1322" spans="1:25" x14ac:dyDescent="0.2">
      <c r="A1322" s="28">
        <f>计算区域!E1324</f>
        <v>0</v>
      </c>
      <c r="B1322" t="e">
        <f ca="1">IFERROR(计算区域!AJ1324,NA())</f>
        <v>#N/A</v>
      </c>
      <c r="C1322" t="e">
        <f ca="1">IFERROR(计算区域!AK1324,NA())</f>
        <v>#N/A</v>
      </c>
      <c r="D1322" t="e">
        <f ca="1">IFERROR(计算区域!AL1324,NA())</f>
        <v>#N/A</v>
      </c>
      <c r="E1322" t="e">
        <f ca="1">IFERROR(计算区域!AM1324,NA())</f>
        <v>#N/A</v>
      </c>
      <c r="G1322" t="e">
        <f ca="1">IFERROR(计算区域!AD1324,NA())</f>
        <v>#N/A</v>
      </c>
      <c r="H1322" t="e">
        <f ca="1">IFERROR(计算区域!AE1324,NA())</f>
        <v>#N/A</v>
      </c>
      <c r="I1322" t="e">
        <f ca="1">IFERROR(计算区域!AF1324,NA())</f>
        <v>#N/A</v>
      </c>
      <c r="J1322" t="e">
        <f ca="1">IFERROR(计算区域!AG1324,NA())</f>
        <v>#N/A</v>
      </c>
      <c r="L1322" t="e">
        <f ca="1">IFERROR(计算区域!L1324,NA())</f>
        <v>#N/A</v>
      </c>
      <c r="M1322" t="e">
        <f ca="1">IFERROR(计算区域!M1324,NA())</f>
        <v>#N/A</v>
      </c>
      <c r="N1322" t="e">
        <f ca="1">IFERROR(计算区域!N1324,NA())</f>
        <v>#N/A</v>
      </c>
      <c r="O1322" t="e">
        <f ca="1">IFERROR(计算区域!O1324,NA())</f>
        <v>#N/A</v>
      </c>
      <c r="Q1322" t="e">
        <f ca="1">IFERROR(计算区域!R1324,NA())</f>
        <v>#N/A</v>
      </c>
      <c r="R1322" t="e">
        <f ca="1">IFERROR(计算区域!S1324,NA())</f>
        <v>#N/A</v>
      </c>
      <c r="S1322" t="e">
        <f ca="1">IFERROR(计算区域!T1324,NA())</f>
        <v>#N/A</v>
      </c>
      <c r="T1322" t="e">
        <f ca="1">IFERROR(计算区域!U1324,NA())</f>
        <v>#N/A</v>
      </c>
      <c r="V1322" t="e">
        <f ca="1">IFERROR(计算区域!X1324,NA())</f>
        <v>#N/A</v>
      </c>
      <c r="W1322" t="e">
        <f ca="1">IFERROR(计算区域!Y1324,NA())</f>
        <v>#N/A</v>
      </c>
      <c r="X1322" t="e">
        <f ca="1">IFERROR(计算区域!Z1324,NA())</f>
        <v>#N/A</v>
      </c>
      <c r="Y1322" t="e">
        <f ca="1">IFERROR(计算区域!AA1324,NA())</f>
        <v>#N/A</v>
      </c>
    </row>
    <row r="1323" spans="1:25" x14ac:dyDescent="0.2">
      <c r="A1323" s="28">
        <f>计算区域!E1325</f>
        <v>0</v>
      </c>
      <c r="B1323" t="e">
        <f ca="1">IFERROR(计算区域!AJ1325,NA())</f>
        <v>#N/A</v>
      </c>
      <c r="C1323" t="e">
        <f ca="1">IFERROR(计算区域!AK1325,NA())</f>
        <v>#N/A</v>
      </c>
      <c r="D1323" t="e">
        <f ca="1">IFERROR(计算区域!AL1325,NA())</f>
        <v>#N/A</v>
      </c>
      <c r="E1323" t="e">
        <f ca="1">IFERROR(计算区域!AM1325,NA())</f>
        <v>#N/A</v>
      </c>
      <c r="G1323" t="e">
        <f ca="1">IFERROR(计算区域!AD1325,NA())</f>
        <v>#N/A</v>
      </c>
      <c r="H1323" t="e">
        <f ca="1">IFERROR(计算区域!AE1325,NA())</f>
        <v>#N/A</v>
      </c>
      <c r="I1323" t="e">
        <f ca="1">IFERROR(计算区域!AF1325,NA())</f>
        <v>#N/A</v>
      </c>
      <c r="J1323" t="e">
        <f ca="1">IFERROR(计算区域!AG1325,NA())</f>
        <v>#N/A</v>
      </c>
      <c r="L1323" t="e">
        <f ca="1">IFERROR(计算区域!L1325,NA())</f>
        <v>#N/A</v>
      </c>
      <c r="M1323" t="e">
        <f ca="1">IFERROR(计算区域!M1325,NA())</f>
        <v>#N/A</v>
      </c>
      <c r="N1323" t="e">
        <f ca="1">IFERROR(计算区域!N1325,NA())</f>
        <v>#N/A</v>
      </c>
      <c r="O1323" t="e">
        <f ca="1">IFERROR(计算区域!O1325,NA())</f>
        <v>#N/A</v>
      </c>
      <c r="Q1323" t="e">
        <f ca="1">IFERROR(计算区域!R1325,NA())</f>
        <v>#N/A</v>
      </c>
      <c r="R1323" t="e">
        <f ca="1">IFERROR(计算区域!S1325,NA())</f>
        <v>#N/A</v>
      </c>
      <c r="S1323" t="e">
        <f ca="1">IFERROR(计算区域!T1325,NA())</f>
        <v>#N/A</v>
      </c>
      <c r="T1323" t="e">
        <f ca="1">IFERROR(计算区域!U1325,NA())</f>
        <v>#N/A</v>
      </c>
      <c r="V1323" t="e">
        <f ca="1">IFERROR(计算区域!X1325,NA())</f>
        <v>#N/A</v>
      </c>
      <c r="W1323" t="e">
        <f ca="1">IFERROR(计算区域!Y1325,NA())</f>
        <v>#N/A</v>
      </c>
      <c r="X1323" t="e">
        <f ca="1">IFERROR(计算区域!Z1325,NA())</f>
        <v>#N/A</v>
      </c>
      <c r="Y1323" t="e">
        <f ca="1">IFERROR(计算区域!AA1325,NA())</f>
        <v>#N/A</v>
      </c>
    </row>
    <row r="1324" spans="1:25" x14ac:dyDescent="0.2">
      <c r="A1324" s="28">
        <f>计算区域!E1326</f>
        <v>0</v>
      </c>
      <c r="B1324" t="e">
        <f ca="1">IFERROR(计算区域!AJ1326,NA())</f>
        <v>#N/A</v>
      </c>
      <c r="C1324" t="e">
        <f ca="1">IFERROR(计算区域!AK1326,NA())</f>
        <v>#N/A</v>
      </c>
      <c r="D1324" t="e">
        <f ca="1">IFERROR(计算区域!AL1326,NA())</f>
        <v>#N/A</v>
      </c>
      <c r="E1324" t="e">
        <f ca="1">IFERROR(计算区域!AM1326,NA())</f>
        <v>#N/A</v>
      </c>
      <c r="G1324" t="e">
        <f ca="1">IFERROR(计算区域!AD1326,NA())</f>
        <v>#N/A</v>
      </c>
      <c r="H1324" t="e">
        <f ca="1">IFERROR(计算区域!AE1326,NA())</f>
        <v>#N/A</v>
      </c>
      <c r="I1324" t="e">
        <f ca="1">IFERROR(计算区域!AF1326,NA())</f>
        <v>#N/A</v>
      </c>
      <c r="J1324" t="e">
        <f ca="1">IFERROR(计算区域!AG1326,NA())</f>
        <v>#N/A</v>
      </c>
      <c r="L1324" t="e">
        <f ca="1">IFERROR(计算区域!L1326,NA())</f>
        <v>#N/A</v>
      </c>
      <c r="M1324" t="e">
        <f ca="1">IFERROR(计算区域!M1326,NA())</f>
        <v>#N/A</v>
      </c>
      <c r="N1324" t="e">
        <f ca="1">IFERROR(计算区域!N1326,NA())</f>
        <v>#N/A</v>
      </c>
      <c r="O1324" t="e">
        <f ca="1">IFERROR(计算区域!O1326,NA())</f>
        <v>#N/A</v>
      </c>
      <c r="Q1324" t="e">
        <f ca="1">IFERROR(计算区域!R1326,NA())</f>
        <v>#N/A</v>
      </c>
      <c r="R1324" t="e">
        <f ca="1">IFERROR(计算区域!S1326,NA())</f>
        <v>#N/A</v>
      </c>
      <c r="S1324" t="e">
        <f ca="1">IFERROR(计算区域!T1326,NA())</f>
        <v>#N/A</v>
      </c>
      <c r="T1324" t="e">
        <f ca="1">IFERROR(计算区域!U1326,NA())</f>
        <v>#N/A</v>
      </c>
      <c r="V1324" t="e">
        <f ca="1">IFERROR(计算区域!X1326,NA())</f>
        <v>#N/A</v>
      </c>
      <c r="W1324" t="e">
        <f ca="1">IFERROR(计算区域!Y1326,NA())</f>
        <v>#N/A</v>
      </c>
      <c r="X1324" t="e">
        <f ca="1">IFERROR(计算区域!Z1326,NA())</f>
        <v>#N/A</v>
      </c>
      <c r="Y1324" t="e">
        <f ca="1">IFERROR(计算区域!AA1326,NA())</f>
        <v>#N/A</v>
      </c>
    </row>
    <row r="1325" spans="1:25" x14ac:dyDescent="0.2">
      <c r="A1325" s="28">
        <f>计算区域!E1327</f>
        <v>0</v>
      </c>
      <c r="B1325" t="e">
        <f ca="1">IFERROR(计算区域!AJ1327,NA())</f>
        <v>#N/A</v>
      </c>
      <c r="C1325" t="e">
        <f ca="1">IFERROR(计算区域!AK1327,NA())</f>
        <v>#N/A</v>
      </c>
      <c r="D1325" t="e">
        <f ca="1">IFERROR(计算区域!AL1327,NA())</f>
        <v>#N/A</v>
      </c>
      <c r="E1325" t="e">
        <f ca="1">IFERROR(计算区域!AM1327,NA())</f>
        <v>#N/A</v>
      </c>
      <c r="G1325" t="e">
        <f ca="1">IFERROR(计算区域!AD1327,NA())</f>
        <v>#N/A</v>
      </c>
      <c r="H1325" t="e">
        <f ca="1">IFERROR(计算区域!AE1327,NA())</f>
        <v>#N/A</v>
      </c>
      <c r="I1325" t="e">
        <f ca="1">IFERROR(计算区域!AF1327,NA())</f>
        <v>#N/A</v>
      </c>
      <c r="J1325" t="e">
        <f ca="1">IFERROR(计算区域!AG1327,NA())</f>
        <v>#N/A</v>
      </c>
      <c r="L1325" t="e">
        <f ca="1">IFERROR(计算区域!L1327,NA())</f>
        <v>#N/A</v>
      </c>
      <c r="M1325" t="e">
        <f ca="1">IFERROR(计算区域!M1327,NA())</f>
        <v>#N/A</v>
      </c>
      <c r="N1325" t="e">
        <f ca="1">IFERROR(计算区域!N1327,NA())</f>
        <v>#N/A</v>
      </c>
      <c r="O1325" t="e">
        <f ca="1">IFERROR(计算区域!O1327,NA())</f>
        <v>#N/A</v>
      </c>
      <c r="Q1325" t="e">
        <f ca="1">IFERROR(计算区域!R1327,NA())</f>
        <v>#N/A</v>
      </c>
      <c r="R1325" t="e">
        <f ca="1">IFERROR(计算区域!S1327,NA())</f>
        <v>#N/A</v>
      </c>
      <c r="S1325" t="e">
        <f ca="1">IFERROR(计算区域!T1327,NA())</f>
        <v>#N/A</v>
      </c>
      <c r="T1325" t="e">
        <f ca="1">IFERROR(计算区域!U1327,NA())</f>
        <v>#N/A</v>
      </c>
      <c r="V1325" t="e">
        <f ca="1">IFERROR(计算区域!X1327,NA())</f>
        <v>#N/A</v>
      </c>
      <c r="W1325" t="e">
        <f ca="1">IFERROR(计算区域!Y1327,NA())</f>
        <v>#N/A</v>
      </c>
      <c r="X1325" t="e">
        <f ca="1">IFERROR(计算区域!Z1327,NA())</f>
        <v>#N/A</v>
      </c>
      <c r="Y1325" t="e">
        <f ca="1">IFERROR(计算区域!AA1327,NA())</f>
        <v>#N/A</v>
      </c>
    </row>
    <row r="1326" spans="1:25" x14ac:dyDescent="0.2">
      <c r="A1326" s="28">
        <f>计算区域!E1328</f>
        <v>0</v>
      </c>
      <c r="B1326" t="e">
        <f ca="1">IFERROR(计算区域!AJ1328,NA())</f>
        <v>#N/A</v>
      </c>
      <c r="C1326" t="e">
        <f ca="1">IFERROR(计算区域!AK1328,NA())</f>
        <v>#N/A</v>
      </c>
      <c r="D1326" t="e">
        <f ca="1">IFERROR(计算区域!AL1328,NA())</f>
        <v>#N/A</v>
      </c>
      <c r="E1326" t="e">
        <f ca="1">IFERROR(计算区域!AM1328,NA())</f>
        <v>#N/A</v>
      </c>
      <c r="G1326" t="e">
        <f ca="1">IFERROR(计算区域!AD1328,NA())</f>
        <v>#N/A</v>
      </c>
      <c r="H1326" t="e">
        <f ca="1">IFERROR(计算区域!AE1328,NA())</f>
        <v>#N/A</v>
      </c>
      <c r="I1326" t="e">
        <f ca="1">IFERROR(计算区域!AF1328,NA())</f>
        <v>#N/A</v>
      </c>
      <c r="J1326" t="e">
        <f ca="1">IFERROR(计算区域!AG1328,NA())</f>
        <v>#N/A</v>
      </c>
      <c r="L1326" t="e">
        <f ca="1">IFERROR(计算区域!L1328,NA())</f>
        <v>#N/A</v>
      </c>
      <c r="M1326" t="e">
        <f ca="1">IFERROR(计算区域!M1328,NA())</f>
        <v>#N/A</v>
      </c>
      <c r="N1326" t="e">
        <f ca="1">IFERROR(计算区域!N1328,NA())</f>
        <v>#N/A</v>
      </c>
      <c r="O1326" t="e">
        <f ca="1">IFERROR(计算区域!O1328,NA())</f>
        <v>#N/A</v>
      </c>
      <c r="Q1326" t="e">
        <f ca="1">IFERROR(计算区域!R1328,NA())</f>
        <v>#N/A</v>
      </c>
      <c r="R1326" t="e">
        <f ca="1">IFERROR(计算区域!S1328,NA())</f>
        <v>#N/A</v>
      </c>
      <c r="S1326" t="e">
        <f ca="1">IFERROR(计算区域!T1328,NA())</f>
        <v>#N/A</v>
      </c>
      <c r="T1326" t="e">
        <f ca="1">IFERROR(计算区域!U1328,NA())</f>
        <v>#N/A</v>
      </c>
      <c r="V1326" t="e">
        <f ca="1">IFERROR(计算区域!X1328,NA())</f>
        <v>#N/A</v>
      </c>
      <c r="W1326" t="e">
        <f ca="1">IFERROR(计算区域!Y1328,NA())</f>
        <v>#N/A</v>
      </c>
      <c r="X1326" t="e">
        <f ca="1">IFERROR(计算区域!Z1328,NA())</f>
        <v>#N/A</v>
      </c>
      <c r="Y1326" t="e">
        <f ca="1">IFERROR(计算区域!AA1328,NA())</f>
        <v>#N/A</v>
      </c>
    </row>
    <row r="1327" spans="1:25" x14ac:dyDescent="0.2">
      <c r="A1327" s="28">
        <f>计算区域!E1329</f>
        <v>0</v>
      </c>
      <c r="B1327" t="e">
        <f ca="1">IFERROR(计算区域!AJ1329,NA())</f>
        <v>#N/A</v>
      </c>
      <c r="C1327" t="e">
        <f ca="1">IFERROR(计算区域!AK1329,NA())</f>
        <v>#N/A</v>
      </c>
      <c r="D1327" t="e">
        <f ca="1">IFERROR(计算区域!AL1329,NA())</f>
        <v>#N/A</v>
      </c>
      <c r="E1327" t="e">
        <f ca="1">IFERROR(计算区域!AM1329,NA())</f>
        <v>#N/A</v>
      </c>
      <c r="G1327" t="e">
        <f ca="1">IFERROR(计算区域!AD1329,NA())</f>
        <v>#N/A</v>
      </c>
      <c r="H1327" t="e">
        <f ca="1">IFERROR(计算区域!AE1329,NA())</f>
        <v>#N/A</v>
      </c>
      <c r="I1327" t="e">
        <f ca="1">IFERROR(计算区域!AF1329,NA())</f>
        <v>#N/A</v>
      </c>
      <c r="J1327" t="e">
        <f ca="1">IFERROR(计算区域!AG1329,NA())</f>
        <v>#N/A</v>
      </c>
      <c r="L1327" t="e">
        <f ca="1">IFERROR(计算区域!L1329,NA())</f>
        <v>#N/A</v>
      </c>
      <c r="M1327" t="e">
        <f ca="1">IFERROR(计算区域!M1329,NA())</f>
        <v>#N/A</v>
      </c>
      <c r="N1327" t="e">
        <f ca="1">IFERROR(计算区域!N1329,NA())</f>
        <v>#N/A</v>
      </c>
      <c r="O1327" t="e">
        <f ca="1">IFERROR(计算区域!O1329,NA())</f>
        <v>#N/A</v>
      </c>
      <c r="Q1327" t="e">
        <f ca="1">IFERROR(计算区域!R1329,NA())</f>
        <v>#N/A</v>
      </c>
      <c r="R1327" t="e">
        <f ca="1">IFERROR(计算区域!S1329,NA())</f>
        <v>#N/A</v>
      </c>
      <c r="S1327" t="e">
        <f ca="1">IFERROR(计算区域!T1329,NA())</f>
        <v>#N/A</v>
      </c>
      <c r="T1327" t="e">
        <f ca="1">IFERROR(计算区域!U1329,NA())</f>
        <v>#N/A</v>
      </c>
      <c r="V1327" t="e">
        <f ca="1">IFERROR(计算区域!X1329,NA())</f>
        <v>#N/A</v>
      </c>
      <c r="W1327" t="e">
        <f ca="1">IFERROR(计算区域!Y1329,NA())</f>
        <v>#N/A</v>
      </c>
      <c r="X1327" t="e">
        <f ca="1">IFERROR(计算区域!Z1329,NA())</f>
        <v>#N/A</v>
      </c>
      <c r="Y1327" t="e">
        <f ca="1">IFERROR(计算区域!AA1329,NA())</f>
        <v>#N/A</v>
      </c>
    </row>
    <row r="1328" spans="1:25" x14ac:dyDescent="0.2">
      <c r="A1328" s="28">
        <f>计算区域!E1330</f>
        <v>0</v>
      </c>
      <c r="B1328" t="e">
        <f ca="1">IFERROR(计算区域!AJ1330,NA())</f>
        <v>#N/A</v>
      </c>
      <c r="C1328" t="e">
        <f ca="1">IFERROR(计算区域!AK1330,NA())</f>
        <v>#N/A</v>
      </c>
      <c r="D1328" t="e">
        <f ca="1">IFERROR(计算区域!AL1330,NA())</f>
        <v>#N/A</v>
      </c>
      <c r="E1328" t="e">
        <f ca="1">IFERROR(计算区域!AM1330,NA())</f>
        <v>#N/A</v>
      </c>
      <c r="G1328" t="e">
        <f ca="1">IFERROR(计算区域!AD1330,NA())</f>
        <v>#N/A</v>
      </c>
      <c r="H1328" t="e">
        <f ca="1">IFERROR(计算区域!AE1330,NA())</f>
        <v>#N/A</v>
      </c>
      <c r="I1328" t="e">
        <f ca="1">IFERROR(计算区域!AF1330,NA())</f>
        <v>#N/A</v>
      </c>
      <c r="J1328" t="e">
        <f ca="1">IFERROR(计算区域!AG1330,NA())</f>
        <v>#N/A</v>
      </c>
      <c r="L1328" t="e">
        <f ca="1">IFERROR(计算区域!L1330,NA())</f>
        <v>#N/A</v>
      </c>
      <c r="M1328" t="e">
        <f ca="1">IFERROR(计算区域!M1330,NA())</f>
        <v>#N/A</v>
      </c>
      <c r="N1328" t="e">
        <f ca="1">IFERROR(计算区域!N1330,NA())</f>
        <v>#N/A</v>
      </c>
      <c r="O1328" t="e">
        <f ca="1">IFERROR(计算区域!O1330,NA())</f>
        <v>#N/A</v>
      </c>
      <c r="Q1328" t="e">
        <f ca="1">IFERROR(计算区域!R1330,NA())</f>
        <v>#N/A</v>
      </c>
      <c r="R1328" t="e">
        <f ca="1">IFERROR(计算区域!S1330,NA())</f>
        <v>#N/A</v>
      </c>
      <c r="S1328" t="e">
        <f ca="1">IFERROR(计算区域!T1330,NA())</f>
        <v>#N/A</v>
      </c>
      <c r="T1328" t="e">
        <f ca="1">IFERROR(计算区域!U1330,NA())</f>
        <v>#N/A</v>
      </c>
      <c r="V1328" t="e">
        <f ca="1">IFERROR(计算区域!X1330,NA())</f>
        <v>#N/A</v>
      </c>
      <c r="W1328" t="e">
        <f ca="1">IFERROR(计算区域!Y1330,NA())</f>
        <v>#N/A</v>
      </c>
      <c r="X1328" t="e">
        <f ca="1">IFERROR(计算区域!Z1330,NA())</f>
        <v>#N/A</v>
      </c>
      <c r="Y1328" t="e">
        <f ca="1">IFERROR(计算区域!AA1330,NA())</f>
        <v>#N/A</v>
      </c>
    </row>
    <row r="1329" spans="1:25" x14ac:dyDescent="0.2">
      <c r="A1329" s="28">
        <f>计算区域!E1331</f>
        <v>0</v>
      </c>
      <c r="B1329" t="e">
        <f ca="1">IFERROR(计算区域!AJ1331,NA())</f>
        <v>#N/A</v>
      </c>
      <c r="C1329" t="e">
        <f ca="1">IFERROR(计算区域!AK1331,NA())</f>
        <v>#N/A</v>
      </c>
      <c r="D1329" t="e">
        <f ca="1">IFERROR(计算区域!AL1331,NA())</f>
        <v>#N/A</v>
      </c>
      <c r="E1329" t="e">
        <f ca="1">IFERROR(计算区域!AM1331,NA())</f>
        <v>#N/A</v>
      </c>
      <c r="G1329" t="e">
        <f ca="1">IFERROR(计算区域!AD1331,NA())</f>
        <v>#N/A</v>
      </c>
      <c r="H1329" t="e">
        <f ca="1">IFERROR(计算区域!AE1331,NA())</f>
        <v>#N/A</v>
      </c>
      <c r="I1329" t="e">
        <f ca="1">IFERROR(计算区域!AF1331,NA())</f>
        <v>#N/A</v>
      </c>
      <c r="J1329" t="e">
        <f ca="1">IFERROR(计算区域!AG1331,NA())</f>
        <v>#N/A</v>
      </c>
      <c r="L1329" t="e">
        <f ca="1">IFERROR(计算区域!L1331,NA())</f>
        <v>#N/A</v>
      </c>
      <c r="M1329" t="e">
        <f ca="1">IFERROR(计算区域!M1331,NA())</f>
        <v>#N/A</v>
      </c>
      <c r="N1329" t="e">
        <f ca="1">IFERROR(计算区域!N1331,NA())</f>
        <v>#N/A</v>
      </c>
      <c r="O1329" t="e">
        <f ca="1">IFERROR(计算区域!O1331,NA())</f>
        <v>#N/A</v>
      </c>
      <c r="Q1329" t="e">
        <f ca="1">IFERROR(计算区域!R1331,NA())</f>
        <v>#N/A</v>
      </c>
      <c r="R1329" t="e">
        <f ca="1">IFERROR(计算区域!S1331,NA())</f>
        <v>#N/A</v>
      </c>
      <c r="S1329" t="e">
        <f ca="1">IFERROR(计算区域!T1331,NA())</f>
        <v>#N/A</v>
      </c>
      <c r="T1329" t="e">
        <f ca="1">IFERROR(计算区域!U1331,NA())</f>
        <v>#N/A</v>
      </c>
      <c r="V1329" t="e">
        <f ca="1">IFERROR(计算区域!X1331,NA())</f>
        <v>#N/A</v>
      </c>
      <c r="W1329" t="e">
        <f ca="1">IFERROR(计算区域!Y1331,NA())</f>
        <v>#N/A</v>
      </c>
      <c r="X1329" t="e">
        <f ca="1">IFERROR(计算区域!Z1331,NA())</f>
        <v>#N/A</v>
      </c>
      <c r="Y1329" t="e">
        <f ca="1">IFERROR(计算区域!AA1331,NA())</f>
        <v>#N/A</v>
      </c>
    </row>
    <row r="1330" spans="1:25" x14ac:dyDescent="0.2">
      <c r="A1330" s="28">
        <f>计算区域!E1332</f>
        <v>0</v>
      </c>
      <c r="B1330" t="e">
        <f ca="1">IFERROR(计算区域!AJ1332,NA())</f>
        <v>#N/A</v>
      </c>
      <c r="C1330" t="e">
        <f ca="1">IFERROR(计算区域!AK1332,NA())</f>
        <v>#N/A</v>
      </c>
      <c r="D1330" t="e">
        <f ca="1">IFERROR(计算区域!AL1332,NA())</f>
        <v>#N/A</v>
      </c>
      <c r="E1330" t="e">
        <f ca="1">IFERROR(计算区域!AM1332,NA())</f>
        <v>#N/A</v>
      </c>
      <c r="G1330" t="e">
        <f ca="1">IFERROR(计算区域!AD1332,NA())</f>
        <v>#N/A</v>
      </c>
      <c r="H1330" t="e">
        <f ca="1">IFERROR(计算区域!AE1332,NA())</f>
        <v>#N/A</v>
      </c>
      <c r="I1330" t="e">
        <f ca="1">IFERROR(计算区域!AF1332,NA())</f>
        <v>#N/A</v>
      </c>
      <c r="J1330" t="e">
        <f ca="1">IFERROR(计算区域!AG1332,NA())</f>
        <v>#N/A</v>
      </c>
      <c r="L1330" t="e">
        <f ca="1">IFERROR(计算区域!L1332,NA())</f>
        <v>#N/A</v>
      </c>
      <c r="M1330" t="e">
        <f ca="1">IFERROR(计算区域!M1332,NA())</f>
        <v>#N/A</v>
      </c>
      <c r="N1330" t="e">
        <f ca="1">IFERROR(计算区域!N1332,NA())</f>
        <v>#N/A</v>
      </c>
      <c r="O1330" t="e">
        <f ca="1">IFERROR(计算区域!O1332,NA())</f>
        <v>#N/A</v>
      </c>
      <c r="Q1330" t="e">
        <f ca="1">IFERROR(计算区域!R1332,NA())</f>
        <v>#N/A</v>
      </c>
      <c r="R1330" t="e">
        <f ca="1">IFERROR(计算区域!S1332,NA())</f>
        <v>#N/A</v>
      </c>
      <c r="S1330" t="e">
        <f ca="1">IFERROR(计算区域!T1332,NA())</f>
        <v>#N/A</v>
      </c>
      <c r="T1330" t="e">
        <f ca="1">IFERROR(计算区域!U1332,NA())</f>
        <v>#N/A</v>
      </c>
      <c r="V1330" t="e">
        <f ca="1">IFERROR(计算区域!X1332,NA())</f>
        <v>#N/A</v>
      </c>
      <c r="W1330" t="e">
        <f ca="1">IFERROR(计算区域!Y1332,NA())</f>
        <v>#N/A</v>
      </c>
      <c r="X1330" t="e">
        <f ca="1">IFERROR(计算区域!Z1332,NA())</f>
        <v>#N/A</v>
      </c>
      <c r="Y1330" t="e">
        <f ca="1">IFERROR(计算区域!AA1332,NA())</f>
        <v>#N/A</v>
      </c>
    </row>
    <row r="1331" spans="1:25" x14ac:dyDescent="0.2">
      <c r="A1331" s="28">
        <f>计算区域!E1333</f>
        <v>0</v>
      </c>
      <c r="B1331" t="e">
        <f ca="1">IFERROR(计算区域!AJ1333,NA())</f>
        <v>#N/A</v>
      </c>
      <c r="C1331" t="e">
        <f ca="1">IFERROR(计算区域!AK1333,NA())</f>
        <v>#N/A</v>
      </c>
      <c r="D1331" t="e">
        <f ca="1">IFERROR(计算区域!AL1333,NA())</f>
        <v>#N/A</v>
      </c>
      <c r="E1331" t="e">
        <f ca="1">IFERROR(计算区域!AM1333,NA())</f>
        <v>#N/A</v>
      </c>
      <c r="G1331" t="e">
        <f ca="1">IFERROR(计算区域!AD1333,NA())</f>
        <v>#N/A</v>
      </c>
      <c r="H1331" t="e">
        <f ca="1">IFERROR(计算区域!AE1333,NA())</f>
        <v>#N/A</v>
      </c>
      <c r="I1331" t="e">
        <f ca="1">IFERROR(计算区域!AF1333,NA())</f>
        <v>#N/A</v>
      </c>
      <c r="J1331" t="e">
        <f ca="1">IFERROR(计算区域!AG1333,NA())</f>
        <v>#N/A</v>
      </c>
      <c r="L1331" t="e">
        <f ca="1">IFERROR(计算区域!L1333,NA())</f>
        <v>#N/A</v>
      </c>
      <c r="M1331" t="e">
        <f ca="1">IFERROR(计算区域!M1333,NA())</f>
        <v>#N/A</v>
      </c>
      <c r="N1331" t="e">
        <f ca="1">IFERROR(计算区域!N1333,NA())</f>
        <v>#N/A</v>
      </c>
      <c r="O1331" t="e">
        <f ca="1">IFERROR(计算区域!O1333,NA())</f>
        <v>#N/A</v>
      </c>
      <c r="Q1331" t="e">
        <f ca="1">IFERROR(计算区域!R1333,NA())</f>
        <v>#N/A</v>
      </c>
      <c r="R1331" t="e">
        <f ca="1">IFERROR(计算区域!S1333,NA())</f>
        <v>#N/A</v>
      </c>
      <c r="S1331" t="e">
        <f ca="1">IFERROR(计算区域!T1333,NA())</f>
        <v>#N/A</v>
      </c>
      <c r="T1331" t="e">
        <f ca="1">IFERROR(计算区域!U1333,NA())</f>
        <v>#N/A</v>
      </c>
      <c r="V1331" t="e">
        <f ca="1">IFERROR(计算区域!X1333,NA())</f>
        <v>#N/A</v>
      </c>
      <c r="W1331" t="e">
        <f ca="1">IFERROR(计算区域!Y1333,NA())</f>
        <v>#N/A</v>
      </c>
      <c r="X1331" t="e">
        <f ca="1">IFERROR(计算区域!Z1333,NA())</f>
        <v>#N/A</v>
      </c>
      <c r="Y1331" t="e">
        <f ca="1">IFERROR(计算区域!AA1333,NA())</f>
        <v>#N/A</v>
      </c>
    </row>
    <row r="1332" spans="1:25" x14ac:dyDescent="0.2">
      <c r="A1332" s="28">
        <f>计算区域!E1334</f>
        <v>0</v>
      </c>
      <c r="B1332" t="e">
        <f ca="1">IFERROR(计算区域!AJ1334,NA())</f>
        <v>#N/A</v>
      </c>
      <c r="C1332" t="e">
        <f ca="1">IFERROR(计算区域!AK1334,NA())</f>
        <v>#N/A</v>
      </c>
      <c r="D1332" t="e">
        <f ca="1">IFERROR(计算区域!AL1334,NA())</f>
        <v>#N/A</v>
      </c>
      <c r="E1332" t="e">
        <f ca="1">IFERROR(计算区域!AM1334,NA())</f>
        <v>#N/A</v>
      </c>
      <c r="G1332" t="e">
        <f ca="1">IFERROR(计算区域!AD1334,NA())</f>
        <v>#N/A</v>
      </c>
      <c r="H1332" t="e">
        <f ca="1">IFERROR(计算区域!AE1334,NA())</f>
        <v>#N/A</v>
      </c>
      <c r="I1332" t="e">
        <f ca="1">IFERROR(计算区域!AF1334,NA())</f>
        <v>#N/A</v>
      </c>
      <c r="J1332" t="e">
        <f ca="1">IFERROR(计算区域!AG1334,NA())</f>
        <v>#N/A</v>
      </c>
      <c r="L1332" t="e">
        <f ca="1">IFERROR(计算区域!L1334,NA())</f>
        <v>#N/A</v>
      </c>
      <c r="M1332" t="e">
        <f ca="1">IFERROR(计算区域!M1334,NA())</f>
        <v>#N/A</v>
      </c>
      <c r="N1332" t="e">
        <f ca="1">IFERROR(计算区域!N1334,NA())</f>
        <v>#N/A</v>
      </c>
      <c r="O1332" t="e">
        <f ca="1">IFERROR(计算区域!O1334,NA())</f>
        <v>#N/A</v>
      </c>
      <c r="Q1332" t="e">
        <f ca="1">IFERROR(计算区域!R1334,NA())</f>
        <v>#N/A</v>
      </c>
      <c r="R1332" t="e">
        <f ca="1">IFERROR(计算区域!S1334,NA())</f>
        <v>#N/A</v>
      </c>
      <c r="S1332" t="e">
        <f ca="1">IFERROR(计算区域!T1334,NA())</f>
        <v>#N/A</v>
      </c>
      <c r="T1332" t="e">
        <f ca="1">IFERROR(计算区域!U1334,NA())</f>
        <v>#N/A</v>
      </c>
      <c r="V1332" t="e">
        <f ca="1">IFERROR(计算区域!X1334,NA())</f>
        <v>#N/A</v>
      </c>
      <c r="W1332" t="e">
        <f ca="1">IFERROR(计算区域!Y1334,NA())</f>
        <v>#N/A</v>
      </c>
      <c r="X1332" t="e">
        <f ca="1">IFERROR(计算区域!Z1334,NA())</f>
        <v>#N/A</v>
      </c>
      <c r="Y1332" t="e">
        <f ca="1">IFERROR(计算区域!AA1334,NA())</f>
        <v>#N/A</v>
      </c>
    </row>
    <row r="1333" spans="1:25" x14ac:dyDescent="0.2">
      <c r="A1333" s="28">
        <f>计算区域!E1335</f>
        <v>0</v>
      </c>
      <c r="B1333" t="e">
        <f ca="1">IFERROR(计算区域!AJ1335,NA())</f>
        <v>#N/A</v>
      </c>
      <c r="C1333" t="e">
        <f ca="1">IFERROR(计算区域!AK1335,NA())</f>
        <v>#N/A</v>
      </c>
      <c r="D1333" t="e">
        <f ca="1">IFERROR(计算区域!AL1335,NA())</f>
        <v>#N/A</v>
      </c>
      <c r="E1333" t="e">
        <f ca="1">IFERROR(计算区域!AM1335,NA())</f>
        <v>#N/A</v>
      </c>
      <c r="G1333" t="e">
        <f ca="1">IFERROR(计算区域!AD1335,NA())</f>
        <v>#N/A</v>
      </c>
      <c r="H1333" t="e">
        <f ca="1">IFERROR(计算区域!AE1335,NA())</f>
        <v>#N/A</v>
      </c>
      <c r="I1333" t="e">
        <f ca="1">IFERROR(计算区域!AF1335,NA())</f>
        <v>#N/A</v>
      </c>
      <c r="J1333" t="e">
        <f ca="1">IFERROR(计算区域!AG1335,NA())</f>
        <v>#N/A</v>
      </c>
      <c r="L1333" t="e">
        <f ca="1">IFERROR(计算区域!L1335,NA())</f>
        <v>#N/A</v>
      </c>
      <c r="M1333" t="e">
        <f ca="1">IFERROR(计算区域!M1335,NA())</f>
        <v>#N/A</v>
      </c>
      <c r="N1333" t="e">
        <f ca="1">IFERROR(计算区域!N1335,NA())</f>
        <v>#N/A</v>
      </c>
      <c r="O1333" t="e">
        <f ca="1">IFERROR(计算区域!O1335,NA())</f>
        <v>#N/A</v>
      </c>
      <c r="Q1333" t="e">
        <f ca="1">IFERROR(计算区域!R1335,NA())</f>
        <v>#N/A</v>
      </c>
      <c r="R1333" t="e">
        <f ca="1">IFERROR(计算区域!S1335,NA())</f>
        <v>#N/A</v>
      </c>
      <c r="S1333" t="e">
        <f ca="1">IFERROR(计算区域!T1335,NA())</f>
        <v>#N/A</v>
      </c>
      <c r="T1333" t="e">
        <f ca="1">IFERROR(计算区域!U1335,NA())</f>
        <v>#N/A</v>
      </c>
      <c r="V1333" t="e">
        <f ca="1">IFERROR(计算区域!X1335,NA())</f>
        <v>#N/A</v>
      </c>
      <c r="W1333" t="e">
        <f ca="1">IFERROR(计算区域!Y1335,NA())</f>
        <v>#N/A</v>
      </c>
      <c r="X1333" t="e">
        <f ca="1">IFERROR(计算区域!Z1335,NA())</f>
        <v>#N/A</v>
      </c>
      <c r="Y1333" t="e">
        <f ca="1">IFERROR(计算区域!AA1335,NA())</f>
        <v>#N/A</v>
      </c>
    </row>
    <row r="1334" spans="1:25" x14ac:dyDescent="0.2">
      <c r="A1334" s="28">
        <f>计算区域!E1336</f>
        <v>0</v>
      </c>
      <c r="B1334" t="e">
        <f ca="1">IFERROR(计算区域!AJ1336,NA())</f>
        <v>#N/A</v>
      </c>
      <c r="C1334" t="e">
        <f ca="1">IFERROR(计算区域!AK1336,NA())</f>
        <v>#N/A</v>
      </c>
      <c r="D1334" t="e">
        <f ca="1">IFERROR(计算区域!AL1336,NA())</f>
        <v>#N/A</v>
      </c>
      <c r="E1334" t="e">
        <f ca="1">IFERROR(计算区域!AM1336,NA())</f>
        <v>#N/A</v>
      </c>
      <c r="G1334" t="e">
        <f ca="1">IFERROR(计算区域!AD1336,NA())</f>
        <v>#N/A</v>
      </c>
      <c r="H1334" t="e">
        <f ca="1">IFERROR(计算区域!AE1336,NA())</f>
        <v>#N/A</v>
      </c>
      <c r="I1334" t="e">
        <f ca="1">IFERROR(计算区域!AF1336,NA())</f>
        <v>#N/A</v>
      </c>
      <c r="J1334" t="e">
        <f ca="1">IFERROR(计算区域!AG1336,NA())</f>
        <v>#N/A</v>
      </c>
      <c r="L1334" t="e">
        <f ca="1">IFERROR(计算区域!L1336,NA())</f>
        <v>#N/A</v>
      </c>
      <c r="M1334" t="e">
        <f ca="1">IFERROR(计算区域!M1336,NA())</f>
        <v>#N/A</v>
      </c>
      <c r="N1334" t="e">
        <f ca="1">IFERROR(计算区域!N1336,NA())</f>
        <v>#N/A</v>
      </c>
      <c r="O1334" t="e">
        <f ca="1">IFERROR(计算区域!O1336,NA())</f>
        <v>#N/A</v>
      </c>
      <c r="Q1334" t="e">
        <f ca="1">IFERROR(计算区域!R1336,NA())</f>
        <v>#N/A</v>
      </c>
      <c r="R1334" t="e">
        <f ca="1">IFERROR(计算区域!S1336,NA())</f>
        <v>#N/A</v>
      </c>
      <c r="S1334" t="e">
        <f ca="1">IFERROR(计算区域!T1336,NA())</f>
        <v>#N/A</v>
      </c>
      <c r="T1334" t="e">
        <f ca="1">IFERROR(计算区域!U1336,NA())</f>
        <v>#N/A</v>
      </c>
      <c r="V1334" t="e">
        <f ca="1">IFERROR(计算区域!X1336,NA())</f>
        <v>#N/A</v>
      </c>
      <c r="W1334" t="e">
        <f ca="1">IFERROR(计算区域!Y1336,NA())</f>
        <v>#N/A</v>
      </c>
      <c r="X1334" t="e">
        <f ca="1">IFERROR(计算区域!Z1336,NA())</f>
        <v>#N/A</v>
      </c>
      <c r="Y1334" t="e">
        <f ca="1">IFERROR(计算区域!AA1336,NA())</f>
        <v>#N/A</v>
      </c>
    </row>
    <row r="1335" spans="1:25" x14ac:dyDescent="0.2">
      <c r="A1335" s="28">
        <f>计算区域!E1337</f>
        <v>0</v>
      </c>
      <c r="B1335" t="e">
        <f ca="1">IFERROR(计算区域!AJ1337,NA())</f>
        <v>#N/A</v>
      </c>
      <c r="C1335" t="e">
        <f ca="1">IFERROR(计算区域!AK1337,NA())</f>
        <v>#N/A</v>
      </c>
      <c r="D1335" t="e">
        <f ca="1">IFERROR(计算区域!AL1337,NA())</f>
        <v>#N/A</v>
      </c>
      <c r="E1335" t="e">
        <f ca="1">IFERROR(计算区域!AM1337,NA())</f>
        <v>#N/A</v>
      </c>
      <c r="G1335" t="e">
        <f ca="1">IFERROR(计算区域!AD1337,NA())</f>
        <v>#N/A</v>
      </c>
      <c r="H1335" t="e">
        <f ca="1">IFERROR(计算区域!AE1337,NA())</f>
        <v>#N/A</v>
      </c>
      <c r="I1335" t="e">
        <f ca="1">IFERROR(计算区域!AF1337,NA())</f>
        <v>#N/A</v>
      </c>
      <c r="J1335" t="e">
        <f ca="1">IFERROR(计算区域!AG1337,NA())</f>
        <v>#N/A</v>
      </c>
      <c r="L1335" t="e">
        <f ca="1">IFERROR(计算区域!L1337,NA())</f>
        <v>#N/A</v>
      </c>
      <c r="M1335" t="e">
        <f ca="1">IFERROR(计算区域!M1337,NA())</f>
        <v>#N/A</v>
      </c>
      <c r="N1335" t="e">
        <f ca="1">IFERROR(计算区域!N1337,NA())</f>
        <v>#N/A</v>
      </c>
      <c r="O1335" t="e">
        <f ca="1">IFERROR(计算区域!O1337,NA())</f>
        <v>#N/A</v>
      </c>
      <c r="Q1335" t="e">
        <f ca="1">IFERROR(计算区域!R1337,NA())</f>
        <v>#N/A</v>
      </c>
      <c r="R1335" t="e">
        <f ca="1">IFERROR(计算区域!S1337,NA())</f>
        <v>#N/A</v>
      </c>
      <c r="S1335" t="e">
        <f ca="1">IFERROR(计算区域!T1337,NA())</f>
        <v>#N/A</v>
      </c>
      <c r="T1335" t="e">
        <f ca="1">IFERROR(计算区域!U1337,NA())</f>
        <v>#N/A</v>
      </c>
      <c r="V1335" t="e">
        <f ca="1">IFERROR(计算区域!X1337,NA())</f>
        <v>#N/A</v>
      </c>
      <c r="W1335" t="e">
        <f ca="1">IFERROR(计算区域!Y1337,NA())</f>
        <v>#N/A</v>
      </c>
      <c r="X1335" t="e">
        <f ca="1">IFERROR(计算区域!Z1337,NA())</f>
        <v>#N/A</v>
      </c>
      <c r="Y1335" t="e">
        <f ca="1">IFERROR(计算区域!AA1337,NA())</f>
        <v>#N/A</v>
      </c>
    </row>
    <row r="1336" spans="1:25" x14ac:dyDescent="0.2">
      <c r="A1336" s="28">
        <f>计算区域!E1338</f>
        <v>0</v>
      </c>
      <c r="B1336" t="e">
        <f ca="1">IFERROR(计算区域!AJ1338,NA())</f>
        <v>#N/A</v>
      </c>
      <c r="C1336" t="e">
        <f ca="1">IFERROR(计算区域!AK1338,NA())</f>
        <v>#N/A</v>
      </c>
      <c r="D1336" t="e">
        <f ca="1">IFERROR(计算区域!AL1338,NA())</f>
        <v>#N/A</v>
      </c>
      <c r="E1336" t="e">
        <f ca="1">IFERROR(计算区域!AM1338,NA())</f>
        <v>#N/A</v>
      </c>
      <c r="G1336" t="e">
        <f ca="1">IFERROR(计算区域!AD1338,NA())</f>
        <v>#N/A</v>
      </c>
      <c r="H1336" t="e">
        <f ca="1">IFERROR(计算区域!AE1338,NA())</f>
        <v>#N/A</v>
      </c>
      <c r="I1336" t="e">
        <f ca="1">IFERROR(计算区域!AF1338,NA())</f>
        <v>#N/A</v>
      </c>
      <c r="J1336" t="e">
        <f ca="1">IFERROR(计算区域!AG1338,NA())</f>
        <v>#N/A</v>
      </c>
      <c r="L1336" t="e">
        <f ca="1">IFERROR(计算区域!L1338,NA())</f>
        <v>#N/A</v>
      </c>
      <c r="M1336" t="e">
        <f ca="1">IFERROR(计算区域!M1338,NA())</f>
        <v>#N/A</v>
      </c>
      <c r="N1336" t="e">
        <f ca="1">IFERROR(计算区域!N1338,NA())</f>
        <v>#N/A</v>
      </c>
      <c r="O1336" t="e">
        <f ca="1">IFERROR(计算区域!O1338,NA())</f>
        <v>#N/A</v>
      </c>
      <c r="Q1336" t="e">
        <f ca="1">IFERROR(计算区域!R1338,NA())</f>
        <v>#N/A</v>
      </c>
      <c r="R1336" t="e">
        <f ca="1">IFERROR(计算区域!S1338,NA())</f>
        <v>#N/A</v>
      </c>
      <c r="S1336" t="e">
        <f ca="1">IFERROR(计算区域!T1338,NA())</f>
        <v>#N/A</v>
      </c>
      <c r="T1336" t="e">
        <f ca="1">IFERROR(计算区域!U1338,NA())</f>
        <v>#N/A</v>
      </c>
      <c r="V1336" t="e">
        <f ca="1">IFERROR(计算区域!X1338,NA())</f>
        <v>#N/A</v>
      </c>
      <c r="W1336" t="e">
        <f ca="1">IFERROR(计算区域!Y1338,NA())</f>
        <v>#N/A</v>
      </c>
      <c r="X1336" t="e">
        <f ca="1">IFERROR(计算区域!Z1338,NA())</f>
        <v>#N/A</v>
      </c>
      <c r="Y1336" t="e">
        <f ca="1">IFERROR(计算区域!AA1338,NA())</f>
        <v>#N/A</v>
      </c>
    </row>
    <row r="1337" spans="1:25" x14ac:dyDescent="0.2">
      <c r="A1337" s="28">
        <f>计算区域!E1339</f>
        <v>0</v>
      </c>
      <c r="B1337" t="e">
        <f ca="1">IFERROR(计算区域!AJ1339,NA())</f>
        <v>#N/A</v>
      </c>
      <c r="C1337" t="e">
        <f ca="1">IFERROR(计算区域!AK1339,NA())</f>
        <v>#N/A</v>
      </c>
      <c r="D1337" t="e">
        <f ca="1">IFERROR(计算区域!AL1339,NA())</f>
        <v>#N/A</v>
      </c>
      <c r="E1337" t="e">
        <f ca="1">IFERROR(计算区域!AM1339,NA())</f>
        <v>#N/A</v>
      </c>
      <c r="G1337" t="e">
        <f ca="1">IFERROR(计算区域!AD1339,NA())</f>
        <v>#N/A</v>
      </c>
      <c r="H1337" t="e">
        <f ca="1">IFERROR(计算区域!AE1339,NA())</f>
        <v>#N/A</v>
      </c>
      <c r="I1337" t="e">
        <f ca="1">IFERROR(计算区域!AF1339,NA())</f>
        <v>#N/A</v>
      </c>
      <c r="J1337" t="e">
        <f ca="1">IFERROR(计算区域!AG1339,NA())</f>
        <v>#N/A</v>
      </c>
      <c r="L1337" t="e">
        <f ca="1">IFERROR(计算区域!L1339,NA())</f>
        <v>#N/A</v>
      </c>
      <c r="M1337" t="e">
        <f ca="1">IFERROR(计算区域!M1339,NA())</f>
        <v>#N/A</v>
      </c>
      <c r="N1337" t="e">
        <f ca="1">IFERROR(计算区域!N1339,NA())</f>
        <v>#N/A</v>
      </c>
      <c r="O1337" t="e">
        <f ca="1">IFERROR(计算区域!O1339,NA())</f>
        <v>#N/A</v>
      </c>
      <c r="Q1337" t="e">
        <f ca="1">IFERROR(计算区域!R1339,NA())</f>
        <v>#N/A</v>
      </c>
      <c r="R1337" t="e">
        <f ca="1">IFERROR(计算区域!S1339,NA())</f>
        <v>#N/A</v>
      </c>
      <c r="S1337" t="e">
        <f ca="1">IFERROR(计算区域!T1339,NA())</f>
        <v>#N/A</v>
      </c>
      <c r="T1337" t="e">
        <f ca="1">IFERROR(计算区域!U1339,NA())</f>
        <v>#N/A</v>
      </c>
      <c r="V1337" t="e">
        <f ca="1">IFERROR(计算区域!X1339,NA())</f>
        <v>#N/A</v>
      </c>
      <c r="W1337" t="e">
        <f ca="1">IFERROR(计算区域!Y1339,NA())</f>
        <v>#N/A</v>
      </c>
      <c r="X1337" t="e">
        <f ca="1">IFERROR(计算区域!Z1339,NA())</f>
        <v>#N/A</v>
      </c>
      <c r="Y1337" t="e">
        <f ca="1">IFERROR(计算区域!AA1339,NA())</f>
        <v>#N/A</v>
      </c>
    </row>
    <row r="1338" spans="1:25" x14ac:dyDescent="0.2">
      <c r="A1338" s="28">
        <f>计算区域!E1340</f>
        <v>0</v>
      </c>
      <c r="B1338" t="e">
        <f ca="1">IFERROR(计算区域!AJ1340,NA())</f>
        <v>#N/A</v>
      </c>
      <c r="C1338" t="e">
        <f ca="1">IFERROR(计算区域!AK1340,NA())</f>
        <v>#N/A</v>
      </c>
      <c r="D1338" t="e">
        <f ca="1">IFERROR(计算区域!AL1340,NA())</f>
        <v>#N/A</v>
      </c>
      <c r="E1338" t="e">
        <f ca="1">IFERROR(计算区域!AM1340,NA())</f>
        <v>#N/A</v>
      </c>
      <c r="G1338" t="e">
        <f ca="1">IFERROR(计算区域!AD1340,NA())</f>
        <v>#N/A</v>
      </c>
      <c r="H1338" t="e">
        <f ca="1">IFERROR(计算区域!AE1340,NA())</f>
        <v>#N/A</v>
      </c>
      <c r="I1338" t="e">
        <f ca="1">IFERROR(计算区域!AF1340,NA())</f>
        <v>#N/A</v>
      </c>
      <c r="J1338" t="e">
        <f ca="1">IFERROR(计算区域!AG1340,NA())</f>
        <v>#N/A</v>
      </c>
      <c r="L1338" t="e">
        <f ca="1">IFERROR(计算区域!L1340,NA())</f>
        <v>#N/A</v>
      </c>
      <c r="M1338" t="e">
        <f ca="1">IFERROR(计算区域!M1340,NA())</f>
        <v>#N/A</v>
      </c>
      <c r="N1338" t="e">
        <f ca="1">IFERROR(计算区域!N1340,NA())</f>
        <v>#N/A</v>
      </c>
      <c r="O1338" t="e">
        <f ca="1">IFERROR(计算区域!O1340,NA())</f>
        <v>#N/A</v>
      </c>
      <c r="Q1338" t="e">
        <f ca="1">IFERROR(计算区域!R1340,NA())</f>
        <v>#N/A</v>
      </c>
      <c r="R1338" t="e">
        <f ca="1">IFERROR(计算区域!S1340,NA())</f>
        <v>#N/A</v>
      </c>
      <c r="S1338" t="e">
        <f ca="1">IFERROR(计算区域!T1340,NA())</f>
        <v>#N/A</v>
      </c>
      <c r="T1338" t="e">
        <f ca="1">IFERROR(计算区域!U1340,NA())</f>
        <v>#N/A</v>
      </c>
      <c r="V1338" t="e">
        <f ca="1">IFERROR(计算区域!X1340,NA())</f>
        <v>#N/A</v>
      </c>
      <c r="W1338" t="e">
        <f ca="1">IFERROR(计算区域!Y1340,NA())</f>
        <v>#N/A</v>
      </c>
      <c r="X1338" t="e">
        <f ca="1">IFERROR(计算区域!Z1340,NA())</f>
        <v>#N/A</v>
      </c>
      <c r="Y1338" t="e">
        <f ca="1">IFERROR(计算区域!AA1340,NA())</f>
        <v>#N/A</v>
      </c>
    </row>
    <row r="1339" spans="1:25" x14ac:dyDescent="0.2">
      <c r="A1339" s="28">
        <f>计算区域!E1341</f>
        <v>0</v>
      </c>
      <c r="B1339" t="e">
        <f ca="1">IFERROR(计算区域!AJ1341,NA())</f>
        <v>#N/A</v>
      </c>
      <c r="C1339" t="e">
        <f ca="1">IFERROR(计算区域!AK1341,NA())</f>
        <v>#N/A</v>
      </c>
      <c r="D1339" t="e">
        <f ca="1">IFERROR(计算区域!AL1341,NA())</f>
        <v>#N/A</v>
      </c>
      <c r="E1339" t="e">
        <f ca="1">IFERROR(计算区域!AM1341,NA())</f>
        <v>#N/A</v>
      </c>
      <c r="G1339" t="e">
        <f ca="1">IFERROR(计算区域!AD1341,NA())</f>
        <v>#N/A</v>
      </c>
      <c r="H1339" t="e">
        <f ca="1">IFERROR(计算区域!AE1341,NA())</f>
        <v>#N/A</v>
      </c>
      <c r="I1339" t="e">
        <f ca="1">IFERROR(计算区域!AF1341,NA())</f>
        <v>#N/A</v>
      </c>
      <c r="J1339" t="e">
        <f ca="1">IFERROR(计算区域!AG1341,NA())</f>
        <v>#N/A</v>
      </c>
      <c r="L1339" t="e">
        <f ca="1">IFERROR(计算区域!L1341,NA())</f>
        <v>#N/A</v>
      </c>
      <c r="M1339" t="e">
        <f ca="1">IFERROR(计算区域!M1341,NA())</f>
        <v>#N/A</v>
      </c>
      <c r="N1339" t="e">
        <f ca="1">IFERROR(计算区域!N1341,NA())</f>
        <v>#N/A</v>
      </c>
      <c r="O1339" t="e">
        <f ca="1">IFERROR(计算区域!O1341,NA())</f>
        <v>#N/A</v>
      </c>
      <c r="Q1339" t="e">
        <f ca="1">IFERROR(计算区域!R1341,NA())</f>
        <v>#N/A</v>
      </c>
      <c r="R1339" t="e">
        <f ca="1">IFERROR(计算区域!S1341,NA())</f>
        <v>#N/A</v>
      </c>
      <c r="S1339" t="e">
        <f ca="1">IFERROR(计算区域!T1341,NA())</f>
        <v>#N/A</v>
      </c>
      <c r="T1339" t="e">
        <f ca="1">IFERROR(计算区域!U1341,NA())</f>
        <v>#N/A</v>
      </c>
      <c r="V1339" t="e">
        <f ca="1">IFERROR(计算区域!X1341,NA())</f>
        <v>#N/A</v>
      </c>
      <c r="W1339" t="e">
        <f ca="1">IFERROR(计算区域!Y1341,NA())</f>
        <v>#N/A</v>
      </c>
      <c r="X1339" t="e">
        <f ca="1">IFERROR(计算区域!Z1341,NA())</f>
        <v>#N/A</v>
      </c>
      <c r="Y1339" t="e">
        <f ca="1">IFERROR(计算区域!AA1341,NA())</f>
        <v>#N/A</v>
      </c>
    </row>
    <row r="1340" spans="1:25" x14ac:dyDescent="0.2">
      <c r="A1340" s="28">
        <f>计算区域!E1342</f>
        <v>0</v>
      </c>
      <c r="B1340" t="e">
        <f ca="1">IFERROR(计算区域!AJ1342,NA())</f>
        <v>#N/A</v>
      </c>
      <c r="C1340" t="e">
        <f ca="1">IFERROR(计算区域!AK1342,NA())</f>
        <v>#N/A</v>
      </c>
      <c r="D1340" t="e">
        <f ca="1">IFERROR(计算区域!AL1342,NA())</f>
        <v>#N/A</v>
      </c>
      <c r="E1340" t="e">
        <f ca="1">IFERROR(计算区域!AM1342,NA())</f>
        <v>#N/A</v>
      </c>
      <c r="G1340" t="e">
        <f ca="1">IFERROR(计算区域!AD1342,NA())</f>
        <v>#N/A</v>
      </c>
      <c r="H1340" t="e">
        <f ca="1">IFERROR(计算区域!AE1342,NA())</f>
        <v>#N/A</v>
      </c>
      <c r="I1340" t="e">
        <f ca="1">IFERROR(计算区域!AF1342,NA())</f>
        <v>#N/A</v>
      </c>
      <c r="J1340" t="e">
        <f ca="1">IFERROR(计算区域!AG1342,NA())</f>
        <v>#N/A</v>
      </c>
      <c r="L1340" t="e">
        <f ca="1">IFERROR(计算区域!L1342,NA())</f>
        <v>#N/A</v>
      </c>
      <c r="M1340" t="e">
        <f ca="1">IFERROR(计算区域!M1342,NA())</f>
        <v>#N/A</v>
      </c>
      <c r="N1340" t="e">
        <f ca="1">IFERROR(计算区域!N1342,NA())</f>
        <v>#N/A</v>
      </c>
      <c r="O1340" t="e">
        <f ca="1">IFERROR(计算区域!O1342,NA())</f>
        <v>#N/A</v>
      </c>
      <c r="Q1340" t="e">
        <f ca="1">IFERROR(计算区域!R1342,NA())</f>
        <v>#N/A</v>
      </c>
      <c r="R1340" t="e">
        <f ca="1">IFERROR(计算区域!S1342,NA())</f>
        <v>#N/A</v>
      </c>
      <c r="S1340" t="e">
        <f ca="1">IFERROR(计算区域!T1342,NA())</f>
        <v>#N/A</v>
      </c>
      <c r="T1340" t="e">
        <f ca="1">IFERROR(计算区域!U1342,NA())</f>
        <v>#N/A</v>
      </c>
      <c r="V1340" t="e">
        <f ca="1">IFERROR(计算区域!X1342,NA())</f>
        <v>#N/A</v>
      </c>
      <c r="W1340" t="e">
        <f ca="1">IFERROR(计算区域!Y1342,NA())</f>
        <v>#N/A</v>
      </c>
      <c r="X1340" t="e">
        <f ca="1">IFERROR(计算区域!Z1342,NA())</f>
        <v>#N/A</v>
      </c>
      <c r="Y1340" t="e">
        <f ca="1">IFERROR(计算区域!AA1342,NA())</f>
        <v>#N/A</v>
      </c>
    </row>
    <row r="1341" spans="1:25" x14ac:dyDescent="0.2">
      <c r="A1341" s="28">
        <f>计算区域!E1343</f>
        <v>0</v>
      </c>
      <c r="B1341" t="e">
        <f ca="1">IFERROR(计算区域!AJ1343,NA())</f>
        <v>#N/A</v>
      </c>
      <c r="C1341" t="e">
        <f ca="1">IFERROR(计算区域!AK1343,NA())</f>
        <v>#N/A</v>
      </c>
      <c r="D1341" t="e">
        <f ca="1">IFERROR(计算区域!AL1343,NA())</f>
        <v>#N/A</v>
      </c>
      <c r="E1341" t="e">
        <f ca="1">IFERROR(计算区域!AM1343,NA())</f>
        <v>#N/A</v>
      </c>
      <c r="G1341" t="e">
        <f ca="1">IFERROR(计算区域!AD1343,NA())</f>
        <v>#N/A</v>
      </c>
      <c r="H1341" t="e">
        <f ca="1">IFERROR(计算区域!AE1343,NA())</f>
        <v>#N/A</v>
      </c>
      <c r="I1341" t="e">
        <f ca="1">IFERROR(计算区域!AF1343,NA())</f>
        <v>#N/A</v>
      </c>
      <c r="J1341" t="e">
        <f ca="1">IFERROR(计算区域!AG1343,NA())</f>
        <v>#N/A</v>
      </c>
      <c r="L1341" t="e">
        <f ca="1">IFERROR(计算区域!L1343,NA())</f>
        <v>#N/A</v>
      </c>
      <c r="M1341" t="e">
        <f ca="1">IFERROR(计算区域!M1343,NA())</f>
        <v>#N/A</v>
      </c>
      <c r="N1341" t="e">
        <f ca="1">IFERROR(计算区域!N1343,NA())</f>
        <v>#N/A</v>
      </c>
      <c r="O1341" t="e">
        <f ca="1">IFERROR(计算区域!O1343,NA())</f>
        <v>#N/A</v>
      </c>
      <c r="Q1341" t="e">
        <f ca="1">IFERROR(计算区域!R1343,NA())</f>
        <v>#N/A</v>
      </c>
      <c r="R1341" t="e">
        <f ca="1">IFERROR(计算区域!S1343,NA())</f>
        <v>#N/A</v>
      </c>
      <c r="S1341" t="e">
        <f ca="1">IFERROR(计算区域!T1343,NA())</f>
        <v>#N/A</v>
      </c>
      <c r="T1341" t="e">
        <f ca="1">IFERROR(计算区域!U1343,NA())</f>
        <v>#N/A</v>
      </c>
      <c r="V1341" t="e">
        <f ca="1">IFERROR(计算区域!X1343,NA())</f>
        <v>#N/A</v>
      </c>
      <c r="W1341" t="e">
        <f ca="1">IFERROR(计算区域!Y1343,NA())</f>
        <v>#N/A</v>
      </c>
      <c r="X1341" t="e">
        <f ca="1">IFERROR(计算区域!Z1343,NA())</f>
        <v>#N/A</v>
      </c>
      <c r="Y1341" t="e">
        <f ca="1">IFERROR(计算区域!AA1343,NA())</f>
        <v>#N/A</v>
      </c>
    </row>
    <row r="1342" spans="1:25" x14ac:dyDescent="0.2">
      <c r="A1342" s="28">
        <f>计算区域!E1344</f>
        <v>0</v>
      </c>
      <c r="B1342" t="e">
        <f ca="1">IFERROR(计算区域!AJ1344,NA())</f>
        <v>#N/A</v>
      </c>
      <c r="C1342" t="e">
        <f ca="1">IFERROR(计算区域!AK1344,NA())</f>
        <v>#N/A</v>
      </c>
      <c r="D1342" t="e">
        <f ca="1">IFERROR(计算区域!AL1344,NA())</f>
        <v>#N/A</v>
      </c>
      <c r="E1342" t="e">
        <f ca="1">IFERROR(计算区域!AM1344,NA())</f>
        <v>#N/A</v>
      </c>
      <c r="G1342" t="e">
        <f ca="1">IFERROR(计算区域!AD1344,NA())</f>
        <v>#N/A</v>
      </c>
      <c r="H1342" t="e">
        <f ca="1">IFERROR(计算区域!AE1344,NA())</f>
        <v>#N/A</v>
      </c>
      <c r="I1342" t="e">
        <f ca="1">IFERROR(计算区域!AF1344,NA())</f>
        <v>#N/A</v>
      </c>
      <c r="J1342" t="e">
        <f ca="1">IFERROR(计算区域!AG1344,NA())</f>
        <v>#N/A</v>
      </c>
      <c r="L1342" t="e">
        <f ca="1">IFERROR(计算区域!L1344,NA())</f>
        <v>#N/A</v>
      </c>
      <c r="M1342" t="e">
        <f ca="1">IFERROR(计算区域!M1344,NA())</f>
        <v>#N/A</v>
      </c>
      <c r="N1342" t="e">
        <f ca="1">IFERROR(计算区域!N1344,NA())</f>
        <v>#N/A</v>
      </c>
      <c r="O1342" t="e">
        <f ca="1">IFERROR(计算区域!O1344,NA())</f>
        <v>#N/A</v>
      </c>
      <c r="Q1342" t="e">
        <f ca="1">IFERROR(计算区域!R1344,NA())</f>
        <v>#N/A</v>
      </c>
      <c r="R1342" t="e">
        <f ca="1">IFERROR(计算区域!S1344,NA())</f>
        <v>#N/A</v>
      </c>
      <c r="S1342" t="e">
        <f ca="1">IFERROR(计算区域!T1344,NA())</f>
        <v>#N/A</v>
      </c>
      <c r="T1342" t="e">
        <f ca="1">IFERROR(计算区域!U1344,NA())</f>
        <v>#N/A</v>
      </c>
      <c r="V1342" t="e">
        <f ca="1">IFERROR(计算区域!X1344,NA())</f>
        <v>#N/A</v>
      </c>
      <c r="W1342" t="e">
        <f ca="1">IFERROR(计算区域!Y1344,NA())</f>
        <v>#N/A</v>
      </c>
      <c r="X1342" t="e">
        <f ca="1">IFERROR(计算区域!Z1344,NA())</f>
        <v>#N/A</v>
      </c>
      <c r="Y1342" t="e">
        <f ca="1">IFERROR(计算区域!AA1344,NA())</f>
        <v>#N/A</v>
      </c>
    </row>
    <row r="1343" spans="1:25" x14ac:dyDescent="0.2">
      <c r="A1343" s="28">
        <f>计算区域!E1345</f>
        <v>0</v>
      </c>
      <c r="B1343" t="e">
        <f ca="1">IFERROR(计算区域!AJ1345,NA())</f>
        <v>#N/A</v>
      </c>
      <c r="C1343" t="e">
        <f ca="1">IFERROR(计算区域!AK1345,NA())</f>
        <v>#N/A</v>
      </c>
      <c r="D1343" t="e">
        <f ca="1">IFERROR(计算区域!AL1345,NA())</f>
        <v>#N/A</v>
      </c>
      <c r="E1343" t="e">
        <f ca="1">IFERROR(计算区域!AM1345,NA())</f>
        <v>#N/A</v>
      </c>
      <c r="G1343" t="e">
        <f ca="1">IFERROR(计算区域!AD1345,NA())</f>
        <v>#N/A</v>
      </c>
      <c r="H1343" t="e">
        <f ca="1">IFERROR(计算区域!AE1345,NA())</f>
        <v>#N/A</v>
      </c>
      <c r="I1343" t="e">
        <f ca="1">IFERROR(计算区域!AF1345,NA())</f>
        <v>#N/A</v>
      </c>
      <c r="J1343" t="e">
        <f ca="1">IFERROR(计算区域!AG1345,NA())</f>
        <v>#N/A</v>
      </c>
      <c r="L1343" t="e">
        <f ca="1">IFERROR(计算区域!L1345,NA())</f>
        <v>#N/A</v>
      </c>
      <c r="M1343" t="e">
        <f ca="1">IFERROR(计算区域!M1345,NA())</f>
        <v>#N/A</v>
      </c>
      <c r="N1343" t="e">
        <f ca="1">IFERROR(计算区域!N1345,NA())</f>
        <v>#N/A</v>
      </c>
      <c r="O1343" t="e">
        <f ca="1">IFERROR(计算区域!O1345,NA())</f>
        <v>#N/A</v>
      </c>
      <c r="Q1343" t="e">
        <f ca="1">IFERROR(计算区域!R1345,NA())</f>
        <v>#N/A</v>
      </c>
      <c r="R1343" t="e">
        <f ca="1">IFERROR(计算区域!S1345,NA())</f>
        <v>#N/A</v>
      </c>
      <c r="S1343" t="e">
        <f ca="1">IFERROR(计算区域!T1345,NA())</f>
        <v>#N/A</v>
      </c>
      <c r="T1343" t="e">
        <f ca="1">IFERROR(计算区域!U1345,NA())</f>
        <v>#N/A</v>
      </c>
      <c r="V1343" t="e">
        <f ca="1">IFERROR(计算区域!X1345,NA())</f>
        <v>#N/A</v>
      </c>
      <c r="W1343" t="e">
        <f ca="1">IFERROR(计算区域!Y1345,NA())</f>
        <v>#N/A</v>
      </c>
      <c r="X1343" t="e">
        <f ca="1">IFERROR(计算区域!Z1345,NA())</f>
        <v>#N/A</v>
      </c>
      <c r="Y1343" t="e">
        <f ca="1">IFERROR(计算区域!AA1345,NA())</f>
        <v>#N/A</v>
      </c>
    </row>
    <row r="1344" spans="1:25" x14ac:dyDescent="0.2">
      <c r="A1344" s="28">
        <f>计算区域!E1346</f>
        <v>0</v>
      </c>
      <c r="B1344" t="e">
        <f ca="1">IFERROR(计算区域!AJ1346,NA())</f>
        <v>#N/A</v>
      </c>
      <c r="C1344" t="e">
        <f ca="1">IFERROR(计算区域!AK1346,NA())</f>
        <v>#N/A</v>
      </c>
      <c r="D1344" t="e">
        <f ca="1">IFERROR(计算区域!AL1346,NA())</f>
        <v>#N/A</v>
      </c>
      <c r="E1344" t="e">
        <f ca="1">IFERROR(计算区域!AM1346,NA())</f>
        <v>#N/A</v>
      </c>
      <c r="G1344" t="e">
        <f ca="1">IFERROR(计算区域!AD1346,NA())</f>
        <v>#N/A</v>
      </c>
      <c r="H1344" t="e">
        <f ca="1">IFERROR(计算区域!AE1346,NA())</f>
        <v>#N/A</v>
      </c>
      <c r="I1344" t="e">
        <f ca="1">IFERROR(计算区域!AF1346,NA())</f>
        <v>#N/A</v>
      </c>
      <c r="J1344" t="e">
        <f ca="1">IFERROR(计算区域!AG1346,NA())</f>
        <v>#N/A</v>
      </c>
      <c r="L1344" t="e">
        <f ca="1">IFERROR(计算区域!L1346,NA())</f>
        <v>#N/A</v>
      </c>
      <c r="M1344" t="e">
        <f ca="1">IFERROR(计算区域!M1346,NA())</f>
        <v>#N/A</v>
      </c>
      <c r="N1344" t="e">
        <f ca="1">IFERROR(计算区域!N1346,NA())</f>
        <v>#N/A</v>
      </c>
      <c r="O1344" t="e">
        <f ca="1">IFERROR(计算区域!O1346,NA())</f>
        <v>#N/A</v>
      </c>
      <c r="Q1344" t="e">
        <f ca="1">IFERROR(计算区域!R1346,NA())</f>
        <v>#N/A</v>
      </c>
      <c r="R1344" t="e">
        <f ca="1">IFERROR(计算区域!S1346,NA())</f>
        <v>#N/A</v>
      </c>
      <c r="S1344" t="e">
        <f ca="1">IFERROR(计算区域!T1346,NA())</f>
        <v>#N/A</v>
      </c>
      <c r="T1344" t="e">
        <f ca="1">IFERROR(计算区域!U1346,NA())</f>
        <v>#N/A</v>
      </c>
      <c r="V1344" t="e">
        <f ca="1">IFERROR(计算区域!X1346,NA())</f>
        <v>#N/A</v>
      </c>
      <c r="W1344" t="e">
        <f ca="1">IFERROR(计算区域!Y1346,NA())</f>
        <v>#N/A</v>
      </c>
      <c r="X1344" t="e">
        <f ca="1">IFERROR(计算区域!Z1346,NA())</f>
        <v>#N/A</v>
      </c>
      <c r="Y1344" t="e">
        <f ca="1">IFERROR(计算区域!AA1346,NA())</f>
        <v>#N/A</v>
      </c>
    </row>
    <row r="1345" spans="1:25" x14ac:dyDescent="0.2">
      <c r="A1345" s="28">
        <f>计算区域!E1347</f>
        <v>0</v>
      </c>
      <c r="B1345" t="e">
        <f ca="1">IFERROR(计算区域!AJ1347,NA())</f>
        <v>#N/A</v>
      </c>
      <c r="C1345" t="e">
        <f ca="1">IFERROR(计算区域!AK1347,NA())</f>
        <v>#N/A</v>
      </c>
      <c r="D1345" t="e">
        <f ca="1">IFERROR(计算区域!AL1347,NA())</f>
        <v>#N/A</v>
      </c>
      <c r="E1345" t="e">
        <f ca="1">IFERROR(计算区域!AM1347,NA())</f>
        <v>#N/A</v>
      </c>
      <c r="G1345" t="e">
        <f ca="1">IFERROR(计算区域!AD1347,NA())</f>
        <v>#N/A</v>
      </c>
      <c r="H1345" t="e">
        <f ca="1">IFERROR(计算区域!AE1347,NA())</f>
        <v>#N/A</v>
      </c>
      <c r="I1345" t="e">
        <f ca="1">IFERROR(计算区域!AF1347,NA())</f>
        <v>#N/A</v>
      </c>
      <c r="J1345" t="e">
        <f ca="1">IFERROR(计算区域!AG1347,NA())</f>
        <v>#N/A</v>
      </c>
      <c r="L1345" t="e">
        <f ca="1">IFERROR(计算区域!L1347,NA())</f>
        <v>#N/A</v>
      </c>
      <c r="M1345" t="e">
        <f ca="1">IFERROR(计算区域!M1347,NA())</f>
        <v>#N/A</v>
      </c>
      <c r="N1345" t="e">
        <f ca="1">IFERROR(计算区域!N1347,NA())</f>
        <v>#N/A</v>
      </c>
      <c r="O1345" t="e">
        <f ca="1">IFERROR(计算区域!O1347,NA())</f>
        <v>#N/A</v>
      </c>
      <c r="Q1345" t="e">
        <f ca="1">IFERROR(计算区域!R1347,NA())</f>
        <v>#N/A</v>
      </c>
      <c r="R1345" t="e">
        <f ca="1">IFERROR(计算区域!S1347,NA())</f>
        <v>#N/A</v>
      </c>
      <c r="S1345" t="e">
        <f ca="1">IFERROR(计算区域!T1347,NA())</f>
        <v>#N/A</v>
      </c>
      <c r="T1345" t="e">
        <f ca="1">IFERROR(计算区域!U1347,NA())</f>
        <v>#N/A</v>
      </c>
      <c r="V1345" t="e">
        <f ca="1">IFERROR(计算区域!X1347,NA())</f>
        <v>#N/A</v>
      </c>
      <c r="W1345" t="e">
        <f ca="1">IFERROR(计算区域!Y1347,NA())</f>
        <v>#N/A</v>
      </c>
      <c r="X1345" t="e">
        <f ca="1">IFERROR(计算区域!Z1347,NA())</f>
        <v>#N/A</v>
      </c>
      <c r="Y1345" t="e">
        <f ca="1">IFERROR(计算区域!AA1347,NA())</f>
        <v>#N/A</v>
      </c>
    </row>
    <row r="1346" spans="1:25" x14ac:dyDescent="0.2">
      <c r="A1346" s="28">
        <f>计算区域!E1348</f>
        <v>0</v>
      </c>
      <c r="B1346" t="e">
        <f ca="1">IFERROR(计算区域!AJ1348,NA())</f>
        <v>#N/A</v>
      </c>
      <c r="C1346" t="e">
        <f ca="1">IFERROR(计算区域!AK1348,NA())</f>
        <v>#N/A</v>
      </c>
      <c r="D1346" t="e">
        <f ca="1">IFERROR(计算区域!AL1348,NA())</f>
        <v>#N/A</v>
      </c>
      <c r="E1346" t="e">
        <f ca="1">IFERROR(计算区域!AM1348,NA())</f>
        <v>#N/A</v>
      </c>
      <c r="G1346" t="e">
        <f ca="1">IFERROR(计算区域!AD1348,NA())</f>
        <v>#N/A</v>
      </c>
      <c r="H1346" t="e">
        <f ca="1">IFERROR(计算区域!AE1348,NA())</f>
        <v>#N/A</v>
      </c>
      <c r="I1346" t="e">
        <f ca="1">IFERROR(计算区域!AF1348,NA())</f>
        <v>#N/A</v>
      </c>
      <c r="J1346" t="e">
        <f ca="1">IFERROR(计算区域!AG1348,NA())</f>
        <v>#N/A</v>
      </c>
      <c r="L1346" t="e">
        <f ca="1">IFERROR(计算区域!L1348,NA())</f>
        <v>#N/A</v>
      </c>
      <c r="M1346" t="e">
        <f ca="1">IFERROR(计算区域!M1348,NA())</f>
        <v>#N/A</v>
      </c>
      <c r="N1346" t="e">
        <f ca="1">IFERROR(计算区域!N1348,NA())</f>
        <v>#N/A</v>
      </c>
      <c r="O1346" t="e">
        <f ca="1">IFERROR(计算区域!O1348,NA())</f>
        <v>#N/A</v>
      </c>
      <c r="Q1346" t="e">
        <f ca="1">IFERROR(计算区域!R1348,NA())</f>
        <v>#N/A</v>
      </c>
      <c r="R1346" t="e">
        <f ca="1">IFERROR(计算区域!S1348,NA())</f>
        <v>#N/A</v>
      </c>
      <c r="S1346" t="e">
        <f ca="1">IFERROR(计算区域!T1348,NA())</f>
        <v>#N/A</v>
      </c>
      <c r="T1346" t="e">
        <f ca="1">IFERROR(计算区域!U1348,NA())</f>
        <v>#N/A</v>
      </c>
      <c r="V1346" t="e">
        <f ca="1">IFERROR(计算区域!X1348,NA())</f>
        <v>#N/A</v>
      </c>
      <c r="W1346" t="e">
        <f ca="1">IFERROR(计算区域!Y1348,NA())</f>
        <v>#N/A</v>
      </c>
      <c r="X1346" t="e">
        <f ca="1">IFERROR(计算区域!Z1348,NA())</f>
        <v>#N/A</v>
      </c>
      <c r="Y1346" t="e">
        <f ca="1">IFERROR(计算区域!AA1348,NA())</f>
        <v>#N/A</v>
      </c>
    </row>
    <row r="1347" spans="1:25" x14ac:dyDescent="0.2">
      <c r="A1347" s="28">
        <f>计算区域!E1349</f>
        <v>0</v>
      </c>
      <c r="B1347" t="e">
        <f ca="1">IFERROR(计算区域!AJ1349,NA())</f>
        <v>#N/A</v>
      </c>
      <c r="C1347" t="e">
        <f ca="1">IFERROR(计算区域!AK1349,NA())</f>
        <v>#N/A</v>
      </c>
      <c r="D1347" t="e">
        <f ca="1">IFERROR(计算区域!AL1349,NA())</f>
        <v>#N/A</v>
      </c>
      <c r="E1347" t="e">
        <f ca="1">IFERROR(计算区域!AM1349,NA())</f>
        <v>#N/A</v>
      </c>
      <c r="G1347" t="e">
        <f ca="1">IFERROR(计算区域!AD1349,NA())</f>
        <v>#N/A</v>
      </c>
      <c r="H1347" t="e">
        <f ca="1">IFERROR(计算区域!AE1349,NA())</f>
        <v>#N/A</v>
      </c>
      <c r="I1347" t="e">
        <f ca="1">IFERROR(计算区域!AF1349,NA())</f>
        <v>#N/A</v>
      </c>
      <c r="J1347" t="e">
        <f ca="1">IFERROR(计算区域!AG1349,NA())</f>
        <v>#N/A</v>
      </c>
      <c r="L1347" t="e">
        <f ca="1">IFERROR(计算区域!L1349,NA())</f>
        <v>#N/A</v>
      </c>
      <c r="M1347" t="e">
        <f ca="1">IFERROR(计算区域!M1349,NA())</f>
        <v>#N/A</v>
      </c>
      <c r="N1347" t="e">
        <f ca="1">IFERROR(计算区域!N1349,NA())</f>
        <v>#N/A</v>
      </c>
      <c r="O1347" t="e">
        <f ca="1">IFERROR(计算区域!O1349,NA())</f>
        <v>#N/A</v>
      </c>
      <c r="Q1347" t="e">
        <f ca="1">IFERROR(计算区域!R1349,NA())</f>
        <v>#N/A</v>
      </c>
      <c r="R1347" t="e">
        <f ca="1">IFERROR(计算区域!S1349,NA())</f>
        <v>#N/A</v>
      </c>
      <c r="S1347" t="e">
        <f ca="1">IFERROR(计算区域!T1349,NA())</f>
        <v>#N/A</v>
      </c>
      <c r="T1347" t="e">
        <f ca="1">IFERROR(计算区域!U1349,NA())</f>
        <v>#N/A</v>
      </c>
      <c r="V1347" t="e">
        <f ca="1">IFERROR(计算区域!X1349,NA())</f>
        <v>#N/A</v>
      </c>
      <c r="W1347" t="e">
        <f ca="1">IFERROR(计算区域!Y1349,NA())</f>
        <v>#N/A</v>
      </c>
      <c r="X1347" t="e">
        <f ca="1">IFERROR(计算区域!Z1349,NA())</f>
        <v>#N/A</v>
      </c>
      <c r="Y1347" t="e">
        <f ca="1">IFERROR(计算区域!AA1349,NA())</f>
        <v>#N/A</v>
      </c>
    </row>
    <row r="1348" spans="1:25" x14ac:dyDescent="0.2">
      <c r="A1348" s="28">
        <f>计算区域!E1350</f>
        <v>0</v>
      </c>
      <c r="B1348" t="e">
        <f ca="1">IFERROR(计算区域!AJ1350,NA())</f>
        <v>#N/A</v>
      </c>
      <c r="C1348" t="e">
        <f ca="1">IFERROR(计算区域!AK1350,NA())</f>
        <v>#N/A</v>
      </c>
      <c r="D1348" t="e">
        <f ca="1">IFERROR(计算区域!AL1350,NA())</f>
        <v>#N/A</v>
      </c>
      <c r="E1348" t="e">
        <f ca="1">IFERROR(计算区域!AM1350,NA())</f>
        <v>#N/A</v>
      </c>
      <c r="G1348" t="e">
        <f ca="1">IFERROR(计算区域!AD1350,NA())</f>
        <v>#N/A</v>
      </c>
      <c r="H1348" t="e">
        <f ca="1">IFERROR(计算区域!AE1350,NA())</f>
        <v>#N/A</v>
      </c>
      <c r="I1348" t="e">
        <f ca="1">IFERROR(计算区域!AF1350,NA())</f>
        <v>#N/A</v>
      </c>
      <c r="J1348" t="e">
        <f ca="1">IFERROR(计算区域!AG1350,NA())</f>
        <v>#N/A</v>
      </c>
      <c r="L1348" t="e">
        <f ca="1">IFERROR(计算区域!L1350,NA())</f>
        <v>#N/A</v>
      </c>
      <c r="M1348" t="e">
        <f ca="1">IFERROR(计算区域!M1350,NA())</f>
        <v>#N/A</v>
      </c>
      <c r="N1348" t="e">
        <f ca="1">IFERROR(计算区域!N1350,NA())</f>
        <v>#N/A</v>
      </c>
      <c r="O1348" t="e">
        <f ca="1">IFERROR(计算区域!O1350,NA())</f>
        <v>#N/A</v>
      </c>
      <c r="Q1348" t="e">
        <f ca="1">IFERROR(计算区域!R1350,NA())</f>
        <v>#N/A</v>
      </c>
      <c r="R1348" t="e">
        <f ca="1">IFERROR(计算区域!S1350,NA())</f>
        <v>#N/A</v>
      </c>
      <c r="S1348" t="e">
        <f ca="1">IFERROR(计算区域!T1350,NA())</f>
        <v>#N/A</v>
      </c>
      <c r="T1348" t="e">
        <f ca="1">IFERROR(计算区域!U1350,NA())</f>
        <v>#N/A</v>
      </c>
      <c r="V1348" t="e">
        <f ca="1">IFERROR(计算区域!X1350,NA())</f>
        <v>#N/A</v>
      </c>
      <c r="W1348" t="e">
        <f ca="1">IFERROR(计算区域!Y1350,NA())</f>
        <v>#N/A</v>
      </c>
      <c r="X1348" t="e">
        <f ca="1">IFERROR(计算区域!Z1350,NA())</f>
        <v>#N/A</v>
      </c>
      <c r="Y1348" t="e">
        <f ca="1">IFERROR(计算区域!AA1350,NA())</f>
        <v>#N/A</v>
      </c>
    </row>
    <row r="1349" spans="1:25" x14ac:dyDescent="0.2">
      <c r="A1349" s="28">
        <f>计算区域!E1351</f>
        <v>0</v>
      </c>
      <c r="B1349" t="e">
        <f ca="1">IFERROR(计算区域!AJ1351,NA())</f>
        <v>#N/A</v>
      </c>
      <c r="C1349" t="e">
        <f ca="1">IFERROR(计算区域!AK1351,NA())</f>
        <v>#N/A</v>
      </c>
      <c r="D1349" t="e">
        <f ca="1">IFERROR(计算区域!AL1351,NA())</f>
        <v>#N/A</v>
      </c>
      <c r="E1349" t="e">
        <f ca="1">IFERROR(计算区域!AM1351,NA())</f>
        <v>#N/A</v>
      </c>
      <c r="G1349" t="e">
        <f ca="1">IFERROR(计算区域!AD1351,NA())</f>
        <v>#N/A</v>
      </c>
      <c r="H1349" t="e">
        <f ca="1">IFERROR(计算区域!AE1351,NA())</f>
        <v>#N/A</v>
      </c>
      <c r="I1349" t="e">
        <f ca="1">IFERROR(计算区域!AF1351,NA())</f>
        <v>#N/A</v>
      </c>
      <c r="J1349" t="e">
        <f ca="1">IFERROR(计算区域!AG1351,NA())</f>
        <v>#N/A</v>
      </c>
      <c r="L1349" t="e">
        <f ca="1">IFERROR(计算区域!L1351,NA())</f>
        <v>#N/A</v>
      </c>
      <c r="M1349" t="e">
        <f ca="1">IFERROR(计算区域!M1351,NA())</f>
        <v>#N/A</v>
      </c>
      <c r="N1349" t="e">
        <f ca="1">IFERROR(计算区域!N1351,NA())</f>
        <v>#N/A</v>
      </c>
      <c r="O1349" t="e">
        <f ca="1">IFERROR(计算区域!O1351,NA())</f>
        <v>#N/A</v>
      </c>
      <c r="Q1349" t="e">
        <f ca="1">IFERROR(计算区域!R1351,NA())</f>
        <v>#N/A</v>
      </c>
      <c r="R1349" t="e">
        <f ca="1">IFERROR(计算区域!S1351,NA())</f>
        <v>#N/A</v>
      </c>
      <c r="S1349" t="e">
        <f ca="1">IFERROR(计算区域!T1351,NA())</f>
        <v>#N/A</v>
      </c>
      <c r="T1349" t="e">
        <f ca="1">IFERROR(计算区域!U1351,NA())</f>
        <v>#N/A</v>
      </c>
      <c r="V1349" t="e">
        <f ca="1">IFERROR(计算区域!X1351,NA())</f>
        <v>#N/A</v>
      </c>
      <c r="W1349" t="e">
        <f ca="1">IFERROR(计算区域!Y1351,NA())</f>
        <v>#N/A</v>
      </c>
      <c r="X1349" t="e">
        <f ca="1">IFERROR(计算区域!Z1351,NA())</f>
        <v>#N/A</v>
      </c>
      <c r="Y1349" t="e">
        <f ca="1">IFERROR(计算区域!AA1351,NA())</f>
        <v>#N/A</v>
      </c>
    </row>
    <row r="1350" spans="1:25" x14ac:dyDescent="0.2">
      <c r="A1350" s="28">
        <f>计算区域!E1352</f>
        <v>0</v>
      </c>
      <c r="B1350" t="e">
        <f ca="1">IFERROR(计算区域!AJ1352,NA())</f>
        <v>#N/A</v>
      </c>
      <c r="C1350" t="e">
        <f ca="1">IFERROR(计算区域!AK1352,NA())</f>
        <v>#N/A</v>
      </c>
      <c r="D1350" t="e">
        <f ca="1">IFERROR(计算区域!AL1352,NA())</f>
        <v>#N/A</v>
      </c>
      <c r="E1350" t="e">
        <f ca="1">IFERROR(计算区域!AM1352,NA())</f>
        <v>#N/A</v>
      </c>
      <c r="G1350" t="e">
        <f ca="1">IFERROR(计算区域!AD1352,NA())</f>
        <v>#N/A</v>
      </c>
      <c r="H1350" t="e">
        <f ca="1">IFERROR(计算区域!AE1352,NA())</f>
        <v>#N/A</v>
      </c>
      <c r="I1350" t="e">
        <f ca="1">IFERROR(计算区域!AF1352,NA())</f>
        <v>#N/A</v>
      </c>
      <c r="J1350" t="e">
        <f ca="1">IFERROR(计算区域!AG1352,NA())</f>
        <v>#N/A</v>
      </c>
      <c r="L1350" t="e">
        <f ca="1">IFERROR(计算区域!L1352,NA())</f>
        <v>#N/A</v>
      </c>
      <c r="M1350" t="e">
        <f ca="1">IFERROR(计算区域!M1352,NA())</f>
        <v>#N/A</v>
      </c>
      <c r="N1350" t="e">
        <f ca="1">IFERROR(计算区域!N1352,NA())</f>
        <v>#N/A</v>
      </c>
      <c r="O1350" t="e">
        <f ca="1">IFERROR(计算区域!O1352,NA())</f>
        <v>#N/A</v>
      </c>
      <c r="Q1350" t="e">
        <f ca="1">IFERROR(计算区域!R1352,NA())</f>
        <v>#N/A</v>
      </c>
      <c r="R1350" t="e">
        <f ca="1">IFERROR(计算区域!S1352,NA())</f>
        <v>#N/A</v>
      </c>
      <c r="S1350" t="e">
        <f ca="1">IFERROR(计算区域!T1352,NA())</f>
        <v>#N/A</v>
      </c>
      <c r="T1350" t="e">
        <f ca="1">IFERROR(计算区域!U1352,NA())</f>
        <v>#N/A</v>
      </c>
      <c r="V1350" t="e">
        <f ca="1">IFERROR(计算区域!X1352,NA())</f>
        <v>#N/A</v>
      </c>
      <c r="W1350" t="e">
        <f ca="1">IFERROR(计算区域!Y1352,NA())</f>
        <v>#N/A</v>
      </c>
      <c r="X1350" t="e">
        <f ca="1">IFERROR(计算区域!Z1352,NA())</f>
        <v>#N/A</v>
      </c>
      <c r="Y1350" t="e">
        <f ca="1">IFERROR(计算区域!AA1352,NA())</f>
        <v>#N/A</v>
      </c>
    </row>
    <row r="1351" spans="1:25" x14ac:dyDescent="0.2">
      <c r="A1351" s="28">
        <f>计算区域!E1353</f>
        <v>0</v>
      </c>
      <c r="B1351" t="e">
        <f ca="1">IFERROR(计算区域!AJ1353,NA())</f>
        <v>#N/A</v>
      </c>
      <c r="C1351" t="e">
        <f ca="1">IFERROR(计算区域!AK1353,NA())</f>
        <v>#N/A</v>
      </c>
      <c r="D1351" t="e">
        <f ca="1">IFERROR(计算区域!AL1353,NA())</f>
        <v>#N/A</v>
      </c>
      <c r="E1351" t="e">
        <f ca="1">IFERROR(计算区域!AM1353,NA())</f>
        <v>#N/A</v>
      </c>
      <c r="G1351" t="e">
        <f ca="1">IFERROR(计算区域!AD1353,NA())</f>
        <v>#N/A</v>
      </c>
      <c r="H1351" t="e">
        <f ca="1">IFERROR(计算区域!AE1353,NA())</f>
        <v>#N/A</v>
      </c>
      <c r="I1351" t="e">
        <f ca="1">IFERROR(计算区域!AF1353,NA())</f>
        <v>#N/A</v>
      </c>
      <c r="J1351" t="e">
        <f ca="1">IFERROR(计算区域!AG1353,NA())</f>
        <v>#N/A</v>
      </c>
      <c r="L1351" t="e">
        <f ca="1">IFERROR(计算区域!L1353,NA())</f>
        <v>#N/A</v>
      </c>
      <c r="M1351" t="e">
        <f ca="1">IFERROR(计算区域!M1353,NA())</f>
        <v>#N/A</v>
      </c>
      <c r="N1351" t="e">
        <f ca="1">IFERROR(计算区域!N1353,NA())</f>
        <v>#N/A</v>
      </c>
      <c r="O1351" t="e">
        <f ca="1">IFERROR(计算区域!O1353,NA())</f>
        <v>#N/A</v>
      </c>
      <c r="Q1351" t="e">
        <f ca="1">IFERROR(计算区域!R1353,NA())</f>
        <v>#N/A</v>
      </c>
      <c r="R1351" t="e">
        <f ca="1">IFERROR(计算区域!S1353,NA())</f>
        <v>#N/A</v>
      </c>
      <c r="S1351" t="e">
        <f ca="1">IFERROR(计算区域!T1353,NA())</f>
        <v>#N/A</v>
      </c>
      <c r="T1351" t="e">
        <f ca="1">IFERROR(计算区域!U1353,NA())</f>
        <v>#N/A</v>
      </c>
      <c r="V1351" t="e">
        <f ca="1">IFERROR(计算区域!X1353,NA())</f>
        <v>#N/A</v>
      </c>
      <c r="W1351" t="e">
        <f ca="1">IFERROR(计算区域!Y1353,NA())</f>
        <v>#N/A</v>
      </c>
      <c r="X1351" t="e">
        <f ca="1">IFERROR(计算区域!Z1353,NA())</f>
        <v>#N/A</v>
      </c>
      <c r="Y1351" t="e">
        <f ca="1">IFERROR(计算区域!AA1353,NA())</f>
        <v>#N/A</v>
      </c>
    </row>
    <row r="1352" spans="1:25" x14ac:dyDescent="0.2">
      <c r="A1352" s="28">
        <f>计算区域!E1354</f>
        <v>0</v>
      </c>
      <c r="B1352" t="e">
        <f ca="1">IFERROR(计算区域!AJ1354,NA())</f>
        <v>#N/A</v>
      </c>
      <c r="C1352" t="e">
        <f ca="1">IFERROR(计算区域!AK1354,NA())</f>
        <v>#N/A</v>
      </c>
      <c r="D1352" t="e">
        <f ca="1">IFERROR(计算区域!AL1354,NA())</f>
        <v>#N/A</v>
      </c>
      <c r="E1352" t="e">
        <f ca="1">IFERROR(计算区域!AM1354,NA())</f>
        <v>#N/A</v>
      </c>
      <c r="G1352" t="e">
        <f ca="1">IFERROR(计算区域!AD1354,NA())</f>
        <v>#N/A</v>
      </c>
      <c r="H1352" t="e">
        <f ca="1">IFERROR(计算区域!AE1354,NA())</f>
        <v>#N/A</v>
      </c>
      <c r="I1352" t="e">
        <f ca="1">IFERROR(计算区域!AF1354,NA())</f>
        <v>#N/A</v>
      </c>
      <c r="J1352" t="e">
        <f ca="1">IFERROR(计算区域!AG1354,NA())</f>
        <v>#N/A</v>
      </c>
      <c r="L1352" t="e">
        <f ca="1">IFERROR(计算区域!L1354,NA())</f>
        <v>#N/A</v>
      </c>
      <c r="M1352" t="e">
        <f ca="1">IFERROR(计算区域!M1354,NA())</f>
        <v>#N/A</v>
      </c>
      <c r="N1352" t="e">
        <f ca="1">IFERROR(计算区域!N1354,NA())</f>
        <v>#N/A</v>
      </c>
      <c r="O1352" t="e">
        <f ca="1">IFERROR(计算区域!O1354,NA())</f>
        <v>#N/A</v>
      </c>
      <c r="Q1352" t="e">
        <f ca="1">IFERROR(计算区域!R1354,NA())</f>
        <v>#N/A</v>
      </c>
      <c r="R1352" t="e">
        <f ca="1">IFERROR(计算区域!S1354,NA())</f>
        <v>#N/A</v>
      </c>
      <c r="S1352" t="e">
        <f ca="1">IFERROR(计算区域!T1354,NA())</f>
        <v>#N/A</v>
      </c>
      <c r="T1352" t="e">
        <f ca="1">IFERROR(计算区域!U1354,NA())</f>
        <v>#N/A</v>
      </c>
      <c r="V1352" t="e">
        <f ca="1">IFERROR(计算区域!X1354,NA())</f>
        <v>#N/A</v>
      </c>
      <c r="W1352" t="e">
        <f ca="1">IFERROR(计算区域!Y1354,NA())</f>
        <v>#N/A</v>
      </c>
      <c r="X1352" t="e">
        <f ca="1">IFERROR(计算区域!Z1354,NA())</f>
        <v>#N/A</v>
      </c>
      <c r="Y1352" t="e">
        <f ca="1">IFERROR(计算区域!AA1354,NA())</f>
        <v>#N/A</v>
      </c>
    </row>
    <row r="1353" spans="1:25" x14ac:dyDescent="0.2">
      <c r="A1353" s="28">
        <f>计算区域!E1355</f>
        <v>0</v>
      </c>
      <c r="B1353" t="e">
        <f ca="1">IFERROR(计算区域!AJ1355,NA())</f>
        <v>#N/A</v>
      </c>
      <c r="C1353" t="e">
        <f ca="1">IFERROR(计算区域!AK1355,NA())</f>
        <v>#N/A</v>
      </c>
      <c r="D1353" t="e">
        <f ca="1">IFERROR(计算区域!AL1355,NA())</f>
        <v>#N/A</v>
      </c>
      <c r="E1353" t="e">
        <f ca="1">IFERROR(计算区域!AM1355,NA())</f>
        <v>#N/A</v>
      </c>
      <c r="G1353" t="e">
        <f ca="1">IFERROR(计算区域!AD1355,NA())</f>
        <v>#N/A</v>
      </c>
      <c r="H1353" t="e">
        <f ca="1">IFERROR(计算区域!AE1355,NA())</f>
        <v>#N/A</v>
      </c>
      <c r="I1353" t="e">
        <f ca="1">IFERROR(计算区域!AF1355,NA())</f>
        <v>#N/A</v>
      </c>
      <c r="J1353" t="e">
        <f ca="1">IFERROR(计算区域!AG1355,NA())</f>
        <v>#N/A</v>
      </c>
      <c r="L1353" t="e">
        <f ca="1">IFERROR(计算区域!L1355,NA())</f>
        <v>#N/A</v>
      </c>
      <c r="M1353" t="e">
        <f ca="1">IFERROR(计算区域!M1355,NA())</f>
        <v>#N/A</v>
      </c>
      <c r="N1353" t="e">
        <f ca="1">IFERROR(计算区域!N1355,NA())</f>
        <v>#N/A</v>
      </c>
      <c r="O1353" t="e">
        <f ca="1">IFERROR(计算区域!O1355,NA())</f>
        <v>#N/A</v>
      </c>
      <c r="Q1353" t="e">
        <f ca="1">IFERROR(计算区域!R1355,NA())</f>
        <v>#N/A</v>
      </c>
      <c r="R1353" t="e">
        <f ca="1">IFERROR(计算区域!S1355,NA())</f>
        <v>#N/A</v>
      </c>
      <c r="S1353" t="e">
        <f ca="1">IFERROR(计算区域!T1355,NA())</f>
        <v>#N/A</v>
      </c>
      <c r="T1353" t="e">
        <f ca="1">IFERROR(计算区域!U1355,NA())</f>
        <v>#N/A</v>
      </c>
      <c r="V1353" t="e">
        <f ca="1">IFERROR(计算区域!X1355,NA())</f>
        <v>#N/A</v>
      </c>
      <c r="W1353" t="e">
        <f ca="1">IFERROR(计算区域!Y1355,NA())</f>
        <v>#N/A</v>
      </c>
      <c r="X1353" t="e">
        <f ca="1">IFERROR(计算区域!Z1355,NA())</f>
        <v>#N/A</v>
      </c>
      <c r="Y1353" t="e">
        <f ca="1">IFERROR(计算区域!AA1355,NA())</f>
        <v>#N/A</v>
      </c>
    </row>
    <row r="1354" spans="1:25" x14ac:dyDescent="0.2">
      <c r="A1354" s="28">
        <f>计算区域!E1356</f>
        <v>0</v>
      </c>
      <c r="B1354" t="e">
        <f ca="1">IFERROR(计算区域!AJ1356,NA())</f>
        <v>#N/A</v>
      </c>
      <c r="C1354" t="e">
        <f ca="1">IFERROR(计算区域!AK1356,NA())</f>
        <v>#N/A</v>
      </c>
      <c r="D1354" t="e">
        <f ca="1">IFERROR(计算区域!AL1356,NA())</f>
        <v>#N/A</v>
      </c>
      <c r="E1354" t="e">
        <f ca="1">IFERROR(计算区域!AM1356,NA())</f>
        <v>#N/A</v>
      </c>
      <c r="G1354" t="e">
        <f ca="1">IFERROR(计算区域!AD1356,NA())</f>
        <v>#N/A</v>
      </c>
      <c r="H1354" t="e">
        <f ca="1">IFERROR(计算区域!AE1356,NA())</f>
        <v>#N/A</v>
      </c>
      <c r="I1354" t="e">
        <f ca="1">IFERROR(计算区域!AF1356,NA())</f>
        <v>#N/A</v>
      </c>
      <c r="J1354" t="e">
        <f ca="1">IFERROR(计算区域!AG1356,NA())</f>
        <v>#N/A</v>
      </c>
      <c r="L1354" t="e">
        <f ca="1">IFERROR(计算区域!L1356,NA())</f>
        <v>#N/A</v>
      </c>
      <c r="M1354" t="e">
        <f ca="1">IFERROR(计算区域!M1356,NA())</f>
        <v>#N/A</v>
      </c>
      <c r="N1354" t="e">
        <f ca="1">IFERROR(计算区域!N1356,NA())</f>
        <v>#N/A</v>
      </c>
      <c r="O1354" t="e">
        <f ca="1">IFERROR(计算区域!O1356,NA())</f>
        <v>#N/A</v>
      </c>
      <c r="Q1354" t="e">
        <f ca="1">IFERROR(计算区域!R1356,NA())</f>
        <v>#N/A</v>
      </c>
      <c r="R1354" t="e">
        <f ca="1">IFERROR(计算区域!S1356,NA())</f>
        <v>#N/A</v>
      </c>
      <c r="S1354" t="e">
        <f ca="1">IFERROR(计算区域!T1356,NA())</f>
        <v>#N/A</v>
      </c>
      <c r="T1354" t="e">
        <f ca="1">IFERROR(计算区域!U1356,NA())</f>
        <v>#N/A</v>
      </c>
      <c r="V1354" t="e">
        <f ca="1">IFERROR(计算区域!X1356,NA())</f>
        <v>#N/A</v>
      </c>
      <c r="W1354" t="e">
        <f ca="1">IFERROR(计算区域!Y1356,NA())</f>
        <v>#N/A</v>
      </c>
      <c r="X1354" t="e">
        <f ca="1">IFERROR(计算区域!Z1356,NA())</f>
        <v>#N/A</v>
      </c>
      <c r="Y1354" t="e">
        <f ca="1">IFERROR(计算区域!AA1356,NA())</f>
        <v>#N/A</v>
      </c>
    </row>
    <row r="1355" spans="1:25" x14ac:dyDescent="0.2">
      <c r="A1355" s="28">
        <f>计算区域!E1357</f>
        <v>0</v>
      </c>
      <c r="B1355" t="e">
        <f ca="1">IFERROR(计算区域!AJ1357,NA())</f>
        <v>#N/A</v>
      </c>
      <c r="C1355" t="e">
        <f ca="1">IFERROR(计算区域!AK1357,NA())</f>
        <v>#N/A</v>
      </c>
      <c r="D1355" t="e">
        <f ca="1">IFERROR(计算区域!AL1357,NA())</f>
        <v>#N/A</v>
      </c>
      <c r="E1355" t="e">
        <f ca="1">IFERROR(计算区域!AM1357,NA())</f>
        <v>#N/A</v>
      </c>
      <c r="G1355" t="e">
        <f ca="1">IFERROR(计算区域!AD1357,NA())</f>
        <v>#N/A</v>
      </c>
      <c r="H1355" t="e">
        <f ca="1">IFERROR(计算区域!AE1357,NA())</f>
        <v>#N/A</v>
      </c>
      <c r="I1355" t="e">
        <f ca="1">IFERROR(计算区域!AF1357,NA())</f>
        <v>#N/A</v>
      </c>
      <c r="J1355" t="e">
        <f ca="1">IFERROR(计算区域!AG1357,NA())</f>
        <v>#N/A</v>
      </c>
      <c r="L1355" t="e">
        <f ca="1">IFERROR(计算区域!L1357,NA())</f>
        <v>#N/A</v>
      </c>
      <c r="M1355" t="e">
        <f ca="1">IFERROR(计算区域!M1357,NA())</f>
        <v>#N/A</v>
      </c>
      <c r="N1355" t="e">
        <f ca="1">IFERROR(计算区域!N1357,NA())</f>
        <v>#N/A</v>
      </c>
      <c r="O1355" t="e">
        <f ca="1">IFERROR(计算区域!O1357,NA())</f>
        <v>#N/A</v>
      </c>
      <c r="Q1355" t="e">
        <f ca="1">IFERROR(计算区域!R1357,NA())</f>
        <v>#N/A</v>
      </c>
      <c r="R1355" t="e">
        <f ca="1">IFERROR(计算区域!S1357,NA())</f>
        <v>#N/A</v>
      </c>
      <c r="S1355" t="e">
        <f ca="1">IFERROR(计算区域!T1357,NA())</f>
        <v>#N/A</v>
      </c>
      <c r="T1355" t="e">
        <f ca="1">IFERROR(计算区域!U1357,NA())</f>
        <v>#N/A</v>
      </c>
      <c r="V1355" t="e">
        <f ca="1">IFERROR(计算区域!X1357,NA())</f>
        <v>#N/A</v>
      </c>
      <c r="W1355" t="e">
        <f ca="1">IFERROR(计算区域!Y1357,NA())</f>
        <v>#N/A</v>
      </c>
      <c r="X1355" t="e">
        <f ca="1">IFERROR(计算区域!Z1357,NA())</f>
        <v>#N/A</v>
      </c>
      <c r="Y1355" t="e">
        <f ca="1">IFERROR(计算区域!AA1357,NA())</f>
        <v>#N/A</v>
      </c>
    </row>
    <row r="1356" spans="1:25" x14ac:dyDescent="0.2">
      <c r="A1356" s="28">
        <f>计算区域!E1358</f>
        <v>0</v>
      </c>
      <c r="B1356" t="e">
        <f ca="1">IFERROR(计算区域!AJ1358,NA())</f>
        <v>#N/A</v>
      </c>
      <c r="C1356" t="e">
        <f ca="1">IFERROR(计算区域!AK1358,NA())</f>
        <v>#N/A</v>
      </c>
      <c r="D1356" t="e">
        <f ca="1">IFERROR(计算区域!AL1358,NA())</f>
        <v>#N/A</v>
      </c>
      <c r="E1356" t="e">
        <f ca="1">IFERROR(计算区域!AM1358,NA())</f>
        <v>#N/A</v>
      </c>
      <c r="G1356" t="e">
        <f ca="1">IFERROR(计算区域!AD1358,NA())</f>
        <v>#N/A</v>
      </c>
      <c r="H1356" t="e">
        <f ca="1">IFERROR(计算区域!AE1358,NA())</f>
        <v>#N/A</v>
      </c>
      <c r="I1356" t="e">
        <f ca="1">IFERROR(计算区域!AF1358,NA())</f>
        <v>#N/A</v>
      </c>
      <c r="J1356" t="e">
        <f ca="1">IFERROR(计算区域!AG1358,NA())</f>
        <v>#N/A</v>
      </c>
      <c r="L1356" t="e">
        <f ca="1">IFERROR(计算区域!L1358,NA())</f>
        <v>#N/A</v>
      </c>
      <c r="M1356" t="e">
        <f ca="1">IFERROR(计算区域!M1358,NA())</f>
        <v>#N/A</v>
      </c>
      <c r="N1356" t="e">
        <f ca="1">IFERROR(计算区域!N1358,NA())</f>
        <v>#N/A</v>
      </c>
      <c r="O1356" t="e">
        <f ca="1">IFERROR(计算区域!O1358,NA())</f>
        <v>#N/A</v>
      </c>
      <c r="Q1356" t="e">
        <f ca="1">IFERROR(计算区域!R1358,NA())</f>
        <v>#N/A</v>
      </c>
      <c r="R1356" t="e">
        <f ca="1">IFERROR(计算区域!S1358,NA())</f>
        <v>#N/A</v>
      </c>
      <c r="S1356" t="e">
        <f ca="1">IFERROR(计算区域!T1358,NA())</f>
        <v>#N/A</v>
      </c>
      <c r="T1356" t="e">
        <f ca="1">IFERROR(计算区域!U1358,NA())</f>
        <v>#N/A</v>
      </c>
      <c r="V1356" t="e">
        <f ca="1">IFERROR(计算区域!X1358,NA())</f>
        <v>#N/A</v>
      </c>
      <c r="W1356" t="e">
        <f ca="1">IFERROR(计算区域!Y1358,NA())</f>
        <v>#N/A</v>
      </c>
      <c r="X1356" t="e">
        <f ca="1">IFERROR(计算区域!Z1358,NA())</f>
        <v>#N/A</v>
      </c>
      <c r="Y1356" t="e">
        <f ca="1">IFERROR(计算区域!AA1358,NA())</f>
        <v>#N/A</v>
      </c>
    </row>
    <row r="1357" spans="1:25" x14ac:dyDescent="0.2">
      <c r="A1357" s="28">
        <f>计算区域!E1359</f>
        <v>0</v>
      </c>
      <c r="B1357" t="e">
        <f ca="1">IFERROR(计算区域!AJ1359,NA())</f>
        <v>#N/A</v>
      </c>
      <c r="C1357" t="e">
        <f ca="1">IFERROR(计算区域!AK1359,NA())</f>
        <v>#N/A</v>
      </c>
      <c r="D1357" t="e">
        <f ca="1">IFERROR(计算区域!AL1359,NA())</f>
        <v>#N/A</v>
      </c>
      <c r="E1357" t="e">
        <f ca="1">IFERROR(计算区域!AM1359,NA())</f>
        <v>#N/A</v>
      </c>
      <c r="G1357" t="e">
        <f ca="1">IFERROR(计算区域!AD1359,NA())</f>
        <v>#N/A</v>
      </c>
      <c r="H1357" t="e">
        <f ca="1">IFERROR(计算区域!AE1359,NA())</f>
        <v>#N/A</v>
      </c>
      <c r="I1357" t="e">
        <f ca="1">IFERROR(计算区域!AF1359,NA())</f>
        <v>#N/A</v>
      </c>
      <c r="J1357" t="e">
        <f ca="1">IFERROR(计算区域!AG1359,NA())</f>
        <v>#N/A</v>
      </c>
      <c r="L1357" t="e">
        <f ca="1">IFERROR(计算区域!L1359,NA())</f>
        <v>#N/A</v>
      </c>
      <c r="M1357" t="e">
        <f ca="1">IFERROR(计算区域!M1359,NA())</f>
        <v>#N/A</v>
      </c>
      <c r="N1357" t="e">
        <f ca="1">IFERROR(计算区域!N1359,NA())</f>
        <v>#N/A</v>
      </c>
      <c r="O1357" t="e">
        <f ca="1">IFERROR(计算区域!O1359,NA())</f>
        <v>#N/A</v>
      </c>
      <c r="Q1357" t="e">
        <f ca="1">IFERROR(计算区域!R1359,NA())</f>
        <v>#N/A</v>
      </c>
      <c r="R1357" t="e">
        <f ca="1">IFERROR(计算区域!S1359,NA())</f>
        <v>#N/A</v>
      </c>
      <c r="S1357" t="e">
        <f ca="1">IFERROR(计算区域!T1359,NA())</f>
        <v>#N/A</v>
      </c>
      <c r="T1357" t="e">
        <f ca="1">IFERROR(计算区域!U1359,NA())</f>
        <v>#N/A</v>
      </c>
      <c r="V1357" t="e">
        <f ca="1">IFERROR(计算区域!X1359,NA())</f>
        <v>#N/A</v>
      </c>
      <c r="W1357" t="e">
        <f ca="1">IFERROR(计算区域!Y1359,NA())</f>
        <v>#N/A</v>
      </c>
      <c r="X1357" t="e">
        <f ca="1">IFERROR(计算区域!Z1359,NA())</f>
        <v>#N/A</v>
      </c>
      <c r="Y1357" t="e">
        <f ca="1">IFERROR(计算区域!AA1359,NA())</f>
        <v>#N/A</v>
      </c>
    </row>
    <row r="1358" spans="1:25" x14ac:dyDescent="0.2">
      <c r="A1358" s="28">
        <f>计算区域!E1360</f>
        <v>0</v>
      </c>
      <c r="B1358" t="e">
        <f ca="1">IFERROR(计算区域!AJ1360,NA())</f>
        <v>#N/A</v>
      </c>
      <c r="C1358" t="e">
        <f ca="1">IFERROR(计算区域!AK1360,NA())</f>
        <v>#N/A</v>
      </c>
      <c r="D1358" t="e">
        <f ca="1">IFERROR(计算区域!AL1360,NA())</f>
        <v>#N/A</v>
      </c>
      <c r="E1358" t="e">
        <f ca="1">IFERROR(计算区域!AM1360,NA())</f>
        <v>#N/A</v>
      </c>
      <c r="G1358" t="e">
        <f ca="1">IFERROR(计算区域!AD1360,NA())</f>
        <v>#N/A</v>
      </c>
      <c r="H1358" t="e">
        <f ca="1">IFERROR(计算区域!AE1360,NA())</f>
        <v>#N/A</v>
      </c>
      <c r="I1358" t="e">
        <f ca="1">IFERROR(计算区域!AF1360,NA())</f>
        <v>#N/A</v>
      </c>
      <c r="J1358" t="e">
        <f ca="1">IFERROR(计算区域!AG1360,NA())</f>
        <v>#N/A</v>
      </c>
      <c r="L1358" t="e">
        <f ca="1">IFERROR(计算区域!L1360,NA())</f>
        <v>#N/A</v>
      </c>
      <c r="M1358" t="e">
        <f ca="1">IFERROR(计算区域!M1360,NA())</f>
        <v>#N/A</v>
      </c>
      <c r="N1358" t="e">
        <f ca="1">IFERROR(计算区域!N1360,NA())</f>
        <v>#N/A</v>
      </c>
      <c r="O1358" t="e">
        <f ca="1">IFERROR(计算区域!O1360,NA())</f>
        <v>#N/A</v>
      </c>
      <c r="Q1358" t="e">
        <f ca="1">IFERROR(计算区域!R1360,NA())</f>
        <v>#N/A</v>
      </c>
      <c r="R1358" t="e">
        <f ca="1">IFERROR(计算区域!S1360,NA())</f>
        <v>#N/A</v>
      </c>
      <c r="S1358" t="e">
        <f ca="1">IFERROR(计算区域!T1360,NA())</f>
        <v>#N/A</v>
      </c>
      <c r="T1358" t="e">
        <f ca="1">IFERROR(计算区域!U1360,NA())</f>
        <v>#N/A</v>
      </c>
      <c r="V1358" t="e">
        <f ca="1">IFERROR(计算区域!X1360,NA())</f>
        <v>#N/A</v>
      </c>
      <c r="W1358" t="e">
        <f ca="1">IFERROR(计算区域!Y1360,NA())</f>
        <v>#N/A</v>
      </c>
      <c r="X1358" t="e">
        <f ca="1">IFERROR(计算区域!Z1360,NA())</f>
        <v>#N/A</v>
      </c>
      <c r="Y1358" t="e">
        <f ca="1">IFERROR(计算区域!AA1360,NA())</f>
        <v>#N/A</v>
      </c>
    </row>
    <row r="1359" spans="1:25" x14ac:dyDescent="0.2">
      <c r="A1359" s="28">
        <f>计算区域!E1361</f>
        <v>0</v>
      </c>
      <c r="B1359" t="e">
        <f ca="1">IFERROR(计算区域!AJ1361,NA())</f>
        <v>#N/A</v>
      </c>
      <c r="C1359" t="e">
        <f ca="1">IFERROR(计算区域!AK1361,NA())</f>
        <v>#N/A</v>
      </c>
      <c r="D1359" t="e">
        <f ca="1">IFERROR(计算区域!AL1361,NA())</f>
        <v>#N/A</v>
      </c>
      <c r="E1359" t="e">
        <f ca="1">IFERROR(计算区域!AM1361,NA())</f>
        <v>#N/A</v>
      </c>
      <c r="G1359" t="e">
        <f ca="1">IFERROR(计算区域!AD1361,NA())</f>
        <v>#N/A</v>
      </c>
      <c r="H1359" t="e">
        <f ca="1">IFERROR(计算区域!AE1361,NA())</f>
        <v>#N/A</v>
      </c>
      <c r="I1359" t="e">
        <f ca="1">IFERROR(计算区域!AF1361,NA())</f>
        <v>#N/A</v>
      </c>
      <c r="J1359" t="e">
        <f ca="1">IFERROR(计算区域!AG1361,NA())</f>
        <v>#N/A</v>
      </c>
      <c r="L1359" t="e">
        <f ca="1">IFERROR(计算区域!L1361,NA())</f>
        <v>#N/A</v>
      </c>
      <c r="M1359" t="e">
        <f ca="1">IFERROR(计算区域!M1361,NA())</f>
        <v>#N/A</v>
      </c>
      <c r="N1359" t="e">
        <f ca="1">IFERROR(计算区域!N1361,NA())</f>
        <v>#N/A</v>
      </c>
      <c r="O1359" t="e">
        <f ca="1">IFERROR(计算区域!O1361,NA())</f>
        <v>#N/A</v>
      </c>
      <c r="Q1359" t="e">
        <f ca="1">IFERROR(计算区域!R1361,NA())</f>
        <v>#N/A</v>
      </c>
      <c r="R1359" t="e">
        <f ca="1">IFERROR(计算区域!S1361,NA())</f>
        <v>#N/A</v>
      </c>
      <c r="S1359" t="e">
        <f ca="1">IFERROR(计算区域!T1361,NA())</f>
        <v>#N/A</v>
      </c>
      <c r="T1359" t="e">
        <f ca="1">IFERROR(计算区域!U1361,NA())</f>
        <v>#N/A</v>
      </c>
      <c r="V1359" t="e">
        <f ca="1">IFERROR(计算区域!X1361,NA())</f>
        <v>#N/A</v>
      </c>
      <c r="W1359" t="e">
        <f ca="1">IFERROR(计算区域!Y1361,NA())</f>
        <v>#N/A</v>
      </c>
      <c r="X1359" t="e">
        <f ca="1">IFERROR(计算区域!Z1361,NA())</f>
        <v>#N/A</v>
      </c>
      <c r="Y1359" t="e">
        <f ca="1">IFERROR(计算区域!AA1361,NA())</f>
        <v>#N/A</v>
      </c>
    </row>
    <row r="1360" spans="1:25" x14ac:dyDescent="0.2">
      <c r="A1360" s="28">
        <f>计算区域!E1362</f>
        <v>0</v>
      </c>
      <c r="B1360" t="e">
        <f ca="1">IFERROR(计算区域!AJ1362,NA())</f>
        <v>#N/A</v>
      </c>
      <c r="C1360" t="e">
        <f ca="1">IFERROR(计算区域!AK1362,NA())</f>
        <v>#N/A</v>
      </c>
      <c r="D1360" t="e">
        <f ca="1">IFERROR(计算区域!AL1362,NA())</f>
        <v>#N/A</v>
      </c>
      <c r="E1360" t="e">
        <f ca="1">IFERROR(计算区域!AM1362,NA())</f>
        <v>#N/A</v>
      </c>
      <c r="G1360" t="e">
        <f ca="1">IFERROR(计算区域!AD1362,NA())</f>
        <v>#N/A</v>
      </c>
      <c r="H1360" t="e">
        <f ca="1">IFERROR(计算区域!AE1362,NA())</f>
        <v>#N/A</v>
      </c>
      <c r="I1360" t="e">
        <f ca="1">IFERROR(计算区域!AF1362,NA())</f>
        <v>#N/A</v>
      </c>
      <c r="J1360" t="e">
        <f ca="1">IFERROR(计算区域!AG1362,NA())</f>
        <v>#N/A</v>
      </c>
      <c r="L1360" t="e">
        <f ca="1">IFERROR(计算区域!L1362,NA())</f>
        <v>#N/A</v>
      </c>
      <c r="M1360" t="e">
        <f ca="1">IFERROR(计算区域!M1362,NA())</f>
        <v>#N/A</v>
      </c>
      <c r="N1360" t="e">
        <f ca="1">IFERROR(计算区域!N1362,NA())</f>
        <v>#N/A</v>
      </c>
      <c r="O1360" t="e">
        <f ca="1">IFERROR(计算区域!O1362,NA())</f>
        <v>#N/A</v>
      </c>
      <c r="Q1360" t="e">
        <f ca="1">IFERROR(计算区域!R1362,NA())</f>
        <v>#N/A</v>
      </c>
      <c r="R1360" t="e">
        <f ca="1">IFERROR(计算区域!S1362,NA())</f>
        <v>#N/A</v>
      </c>
      <c r="S1360" t="e">
        <f ca="1">IFERROR(计算区域!T1362,NA())</f>
        <v>#N/A</v>
      </c>
      <c r="T1360" t="e">
        <f ca="1">IFERROR(计算区域!U1362,NA())</f>
        <v>#N/A</v>
      </c>
      <c r="V1360" t="e">
        <f ca="1">IFERROR(计算区域!X1362,NA())</f>
        <v>#N/A</v>
      </c>
      <c r="W1360" t="e">
        <f ca="1">IFERROR(计算区域!Y1362,NA())</f>
        <v>#N/A</v>
      </c>
      <c r="X1360" t="e">
        <f ca="1">IFERROR(计算区域!Z1362,NA())</f>
        <v>#N/A</v>
      </c>
      <c r="Y1360" t="e">
        <f ca="1">IFERROR(计算区域!AA1362,NA())</f>
        <v>#N/A</v>
      </c>
    </row>
    <row r="1361" spans="1:25" x14ac:dyDescent="0.2">
      <c r="A1361" s="28">
        <f>计算区域!E1363</f>
        <v>0</v>
      </c>
      <c r="B1361" t="e">
        <f ca="1">IFERROR(计算区域!AJ1363,NA())</f>
        <v>#N/A</v>
      </c>
      <c r="C1361" t="e">
        <f ca="1">IFERROR(计算区域!AK1363,NA())</f>
        <v>#N/A</v>
      </c>
      <c r="D1361" t="e">
        <f ca="1">IFERROR(计算区域!AL1363,NA())</f>
        <v>#N/A</v>
      </c>
      <c r="E1361" t="e">
        <f ca="1">IFERROR(计算区域!AM1363,NA())</f>
        <v>#N/A</v>
      </c>
      <c r="G1361" t="e">
        <f ca="1">IFERROR(计算区域!AD1363,NA())</f>
        <v>#N/A</v>
      </c>
      <c r="H1361" t="e">
        <f ca="1">IFERROR(计算区域!AE1363,NA())</f>
        <v>#N/A</v>
      </c>
      <c r="I1361" t="e">
        <f ca="1">IFERROR(计算区域!AF1363,NA())</f>
        <v>#N/A</v>
      </c>
      <c r="J1361" t="e">
        <f ca="1">IFERROR(计算区域!AG1363,NA())</f>
        <v>#N/A</v>
      </c>
      <c r="L1361" t="e">
        <f ca="1">IFERROR(计算区域!L1363,NA())</f>
        <v>#N/A</v>
      </c>
      <c r="M1361" t="e">
        <f ca="1">IFERROR(计算区域!M1363,NA())</f>
        <v>#N/A</v>
      </c>
      <c r="N1361" t="e">
        <f ca="1">IFERROR(计算区域!N1363,NA())</f>
        <v>#N/A</v>
      </c>
      <c r="O1361" t="e">
        <f ca="1">IFERROR(计算区域!O1363,NA())</f>
        <v>#N/A</v>
      </c>
      <c r="Q1361" t="e">
        <f ca="1">IFERROR(计算区域!R1363,NA())</f>
        <v>#N/A</v>
      </c>
      <c r="R1361" t="e">
        <f ca="1">IFERROR(计算区域!S1363,NA())</f>
        <v>#N/A</v>
      </c>
      <c r="S1361" t="e">
        <f ca="1">IFERROR(计算区域!T1363,NA())</f>
        <v>#N/A</v>
      </c>
      <c r="T1361" t="e">
        <f ca="1">IFERROR(计算区域!U1363,NA())</f>
        <v>#N/A</v>
      </c>
      <c r="V1361" t="e">
        <f ca="1">IFERROR(计算区域!X1363,NA())</f>
        <v>#N/A</v>
      </c>
      <c r="W1361" t="e">
        <f ca="1">IFERROR(计算区域!Y1363,NA())</f>
        <v>#N/A</v>
      </c>
      <c r="X1361" t="e">
        <f ca="1">IFERROR(计算区域!Z1363,NA())</f>
        <v>#N/A</v>
      </c>
      <c r="Y1361" t="e">
        <f ca="1">IFERROR(计算区域!AA1363,NA())</f>
        <v>#N/A</v>
      </c>
    </row>
    <row r="1362" spans="1:25" x14ac:dyDescent="0.2">
      <c r="A1362" s="28">
        <f>计算区域!E1364</f>
        <v>0</v>
      </c>
      <c r="B1362" t="e">
        <f ca="1">IFERROR(计算区域!AJ1364,NA())</f>
        <v>#N/A</v>
      </c>
      <c r="C1362" t="e">
        <f ca="1">IFERROR(计算区域!AK1364,NA())</f>
        <v>#N/A</v>
      </c>
      <c r="D1362" t="e">
        <f ca="1">IFERROR(计算区域!AL1364,NA())</f>
        <v>#N/A</v>
      </c>
      <c r="E1362" t="e">
        <f ca="1">IFERROR(计算区域!AM1364,NA())</f>
        <v>#N/A</v>
      </c>
      <c r="G1362" t="e">
        <f ca="1">IFERROR(计算区域!AD1364,NA())</f>
        <v>#N/A</v>
      </c>
      <c r="H1362" t="e">
        <f ca="1">IFERROR(计算区域!AE1364,NA())</f>
        <v>#N/A</v>
      </c>
      <c r="I1362" t="e">
        <f ca="1">IFERROR(计算区域!AF1364,NA())</f>
        <v>#N/A</v>
      </c>
      <c r="J1362" t="e">
        <f ca="1">IFERROR(计算区域!AG1364,NA())</f>
        <v>#N/A</v>
      </c>
      <c r="L1362" t="e">
        <f ca="1">IFERROR(计算区域!L1364,NA())</f>
        <v>#N/A</v>
      </c>
      <c r="M1362" t="e">
        <f ca="1">IFERROR(计算区域!M1364,NA())</f>
        <v>#N/A</v>
      </c>
      <c r="N1362" t="e">
        <f ca="1">IFERROR(计算区域!N1364,NA())</f>
        <v>#N/A</v>
      </c>
      <c r="O1362" t="e">
        <f ca="1">IFERROR(计算区域!O1364,NA())</f>
        <v>#N/A</v>
      </c>
      <c r="Q1362" t="e">
        <f ca="1">IFERROR(计算区域!R1364,NA())</f>
        <v>#N/A</v>
      </c>
      <c r="R1362" t="e">
        <f ca="1">IFERROR(计算区域!S1364,NA())</f>
        <v>#N/A</v>
      </c>
      <c r="S1362" t="e">
        <f ca="1">IFERROR(计算区域!T1364,NA())</f>
        <v>#N/A</v>
      </c>
      <c r="T1362" t="e">
        <f ca="1">IFERROR(计算区域!U1364,NA())</f>
        <v>#N/A</v>
      </c>
      <c r="V1362" t="e">
        <f ca="1">IFERROR(计算区域!X1364,NA())</f>
        <v>#N/A</v>
      </c>
      <c r="W1362" t="e">
        <f ca="1">IFERROR(计算区域!Y1364,NA())</f>
        <v>#N/A</v>
      </c>
      <c r="X1362" t="e">
        <f ca="1">IFERROR(计算区域!Z1364,NA())</f>
        <v>#N/A</v>
      </c>
      <c r="Y1362" t="e">
        <f ca="1">IFERROR(计算区域!AA1364,NA())</f>
        <v>#N/A</v>
      </c>
    </row>
    <row r="1363" spans="1:25" x14ac:dyDescent="0.2">
      <c r="A1363" s="28">
        <f>计算区域!E1365</f>
        <v>0</v>
      </c>
      <c r="B1363" t="e">
        <f ca="1">IFERROR(计算区域!AJ1365,NA())</f>
        <v>#N/A</v>
      </c>
      <c r="C1363" t="e">
        <f ca="1">IFERROR(计算区域!AK1365,NA())</f>
        <v>#N/A</v>
      </c>
      <c r="D1363" t="e">
        <f ca="1">IFERROR(计算区域!AL1365,NA())</f>
        <v>#N/A</v>
      </c>
      <c r="E1363" t="e">
        <f ca="1">IFERROR(计算区域!AM1365,NA())</f>
        <v>#N/A</v>
      </c>
      <c r="G1363" t="e">
        <f ca="1">IFERROR(计算区域!AD1365,NA())</f>
        <v>#N/A</v>
      </c>
      <c r="H1363" t="e">
        <f ca="1">IFERROR(计算区域!AE1365,NA())</f>
        <v>#N/A</v>
      </c>
      <c r="I1363" t="e">
        <f ca="1">IFERROR(计算区域!AF1365,NA())</f>
        <v>#N/A</v>
      </c>
      <c r="J1363" t="e">
        <f ca="1">IFERROR(计算区域!AG1365,NA())</f>
        <v>#N/A</v>
      </c>
      <c r="L1363" t="e">
        <f ca="1">IFERROR(计算区域!L1365,NA())</f>
        <v>#N/A</v>
      </c>
      <c r="M1363" t="e">
        <f ca="1">IFERROR(计算区域!M1365,NA())</f>
        <v>#N/A</v>
      </c>
      <c r="N1363" t="e">
        <f ca="1">IFERROR(计算区域!N1365,NA())</f>
        <v>#N/A</v>
      </c>
      <c r="O1363" t="e">
        <f ca="1">IFERROR(计算区域!O1365,NA())</f>
        <v>#N/A</v>
      </c>
      <c r="Q1363" t="e">
        <f ca="1">IFERROR(计算区域!R1365,NA())</f>
        <v>#N/A</v>
      </c>
      <c r="R1363" t="e">
        <f ca="1">IFERROR(计算区域!S1365,NA())</f>
        <v>#N/A</v>
      </c>
      <c r="S1363" t="e">
        <f ca="1">IFERROR(计算区域!T1365,NA())</f>
        <v>#N/A</v>
      </c>
      <c r="T1363" t="e">
        <f ca="1">IFERROR(计算区域!U1365,NA())</f>
        <v>#N/A</v>
      </c>
      <c r="V1363" t="e">
        <f ca="1">IFERROR(计算区域!X1365,NA())</f>
        <v>#N/A</v>
      </c>
      <c r="W1363" t="e">
        <f ca="1">IFERROR(计算区域!Y1365,NA())</f>
        <v>#N/A</v>
      </c>
      <c r="X1363" t="e">
        <f ca="1">IFERROR(计算区域!Z1365,NA())</f>
        <v>#N/A</v>
      </c>
      <c r="Y1363" t="e">
        <f ca="1">IFERROR(计算区域!AA1365,NA())</f>
        <v>#N/A</v>
      </c>
    </row>
    <row r="1364" spans="1:25" x14ac:dyDescent="0.2">
      <c r="A1364" s="28">
        <f>计算区域!E1366</f>
        <v>0</v>
      </c>
      <c r="B1364" t="e">
        <f ca="1">IFERROR(计算区域!AJ1366,NA())</f>
        <v>#N/A</v>
      </c>
      <c r="C1364" t="e">
        <f ca="1">IFERROR(计算区域!AK1366,NA())</f>
        <v>#N/A</v>
      </c>
      <c r="D1364" t="e">
        <f ca="1">IFERROR(计算区域!AL1366,NA())</f>
        <v>#N/A</v>
      </c>
      <c r="E1364" t="e">
        <f ca="1">IFERROR(计算区域!AM1366,NA())</f>
        <v>#N/A</v>
      </c>
      <c r="G1364" t="e">
        <f ca="1">IFERROR(计算区域!AD1366,NA())</f>
        <v>#N/A</v>
      </c>
      <c r="H1364" t="e">
        <f ca="1">IFERROR(计算区域!AE1366,NA())</f>
        <v>#N/A</v>
      </c>
      <c r="I1364" t="e">
        <f ca="1">IFERROR(计算区域!AF1366,NA())</f>
        <v>#N/A</v>
      </c>
      <c r="J1364" t="e">
        <f ca="1">IFERROR(计算区域!AG1366,NA())</f>
        <v>#N/A</v>
      </c>
      <c r="L1364" t="e">
        <f ca="1">IFERROR(计算区域!L1366,NA())</f>
        <v>#N/A</v>
      </c>
      <c r="M1364" t="e">
        <f ca="1">IFERROR(计算区域!M1366,NA())</f>
        <v>#N/A</v>
      </c>
      <c r="N1364" t="e">
        <f ca="1">IFERROR(计算区域!N1366,NA())</f>
        <v>#N/A</v>
      </c>
      <c r="O1364" t="e">
        <f ca="1">IFERROR(计算区域!O1366,NA())</f>
        <v>#N/A</v>
      </c>
      <c r="Q1364" t="e">
        <f ca="1">IFERROR(计算区域!R1366,NA())</f>
        <v>#N/A</v>
      </c>
      <c r="R1364" t="e">
        <f ca="1">IFERROR(计算区域!S1366,NA())</f>
        <v>#N/A</v>
      </c>
      <c r="S1364" t="e">
        <f ca="1">IFERROR(计算区域!T1366,NA())</f>
        <v>#N/A</v>
      </c>
      <c r="T1364" t="e">
        <f ca="1">IFERROR(计算区域!U1366,NA())</f>
        <v>#N/A</v>
      </c>
      <c r="V1364" t="e">
        <f ca="1">IFERROR(计算区域!X1366,NA())</f>
        <v>#N/A</v>
      </c>
      <c r="W1364" t="e">
        <f ca="1">IFERROR(计算区域!Y1366,NA())</f>
        <v>#N/A</v>
      </c>
      <c r="X1364" t="e">
        <f ca="1">IFERROR(计算区域!Z1366,NA())</f>
        <v>#N/A</v>
      </c>
      <c r="Y1364" t="e">
        <f ca="1">IFERROR(计算区域!AA1366,NA())</f>
        <v>#N/A</v>
      </c>
    </row>
    <row r="1365" spans="1:25" x14ac:dyDescent="0.2">
      <c r="A1365" s="28">
        <f>计算区域!E1367</f>
        <v>0</v>
      </c>
      <c r="B1365" t="e">
        <f ca="1">IFERROR(计算区域!AJ1367,NA())</f>
        <v>#N/A</v>
      </c>
      <c r="C1365" t="e">
        <f ca="1">IFERROR(计算区域!AK1367,NA())</f>
        <v>#N/A</v>
      </c>
      <c r="D1365" t="e">
        <f ca="1">IFERROR(计算区域!AL1367,NA())</f>
        <v>#N/A</v>
      </c>
      <c r="E1365" t="e">
        <f ca="1">IFERROR(计算区域!AM1367,NA())</f>
        <v>#N/A</v>
      </c>
      <c r="G1365" t="e">
        <f ca="1">IFERROR(计算区域!AD1367,NA())</f>
        <v>#N/A</v>
      </c>
      <c r="H1365" t="e">
        <f ca="1">IFERROR(计算区域!AE1367,NA())</f>
        <v>#N/A</v>
      </c>
      <c r="I1365" t="e">
        <f ca="1">IFERROR(计算区域!AF1367,NA())</f>
        <v>#N/A</v>
      </c>
      <c r="J1365" t="e">
        <f ca="1">IFERROR(计算区域!AG1367,NA())</f>
        <v>#N/A</v>
      </c>
      <c r="L1365" t="e">
        <f ca="1">IFERROR(计算区域!L1367,NA())</f>
        <v>#N/A</v>
      </c>
      <c r="M1365" t="e">
        <f ca="1">IFERROR(计算区域!M1367,NA())</f>
        <v>#N/A</v>
      </c>
      <c r="N1365" t="e">
        <f ca="1">IFERROR(计算区域!N1367,NA())</f>
        <v>#N/A</v>
      </c>
      <c r="O1365" t="e">
        <f ca="1">IFERROR(计算区域!O1367,NA())</f>
        <v>#N/A</v>
      </c>
      <c r="Q1365" t="e">
        <f ca="1">IFERROR(计算区域!R1367,NA())</f>
        <v>#N/A</v>
      </c>
      <c r="R1365" t="e">
        <f ca="1">IFERROR(计算区域!S1367,NA())</f>
        <v>#N/A</v>
      </c>
      <c r="S1365" t="e">
        <f ca="1">IFERROR(计算区域!T1367,NA())</f>
        <v>#N/A</v>
      </c>
      <c r="T1365" t="e">
        <f ca="1">IFERROR(计算区域!U1367,NA())</f>
        <v>#N/A</v>
      </c>
      <c r="V1365" t="e">
        <f ca="1">IFERROR(计算区域!X1367,NA())</f>
        <v>#N/A</v>
      </c>
      <c r="W1365" t="e">
        <f ca="1">IFERROR(计算区域!Y1367,NA())</f>
        <v>#N/A</v>
      </c>
      <c r="X1365" t="e">
        <f ca="1">IFERROR(计算区域!Z1367,NA())</f>
        <v>#N/A</v>
      </c>
      <c r="Y1365" t="e">
        <f ca="1">IFERROR(计算区域!AA1367,NA())</f>
        <v>#N/A</v>
      </c>
    </row>
    <row r="1366" spans="1:25" x14ac:dyDescent="0.2">
      <c r="A1366" s="28">
        <f>计算区域!E1368</f>
        <v>0</v>
      </c>
      <c r="B1366" t="e">
        <f ca="1">IFERROR(计算区域!AJ1368,NA())</f>
        <v>#N/A</v>
      </c>
      <c r="C1366" t="e">
        <f ca="1">IFERROR(计算区域!AK1368,NA())</f>
        <v>#N/A</v>
      </c>
      <c r="D1366" t="e">
        <f ca="1">IFERROR(计算区域!AL1368,NA())</f>
        <v>#N/A</v>
      </c>
      <c r="E1366" t="e">
        <f ca="1">IFERROR(计算区域!AM1368,NA())</f>
        <v>#N/A</v>
      </c>
      <c r="G1366" t="e">
        <f ca="1">IFERROR(计算区域!AD1368,NA())</f>
        <v>#N/A</v>
      </c>
      <c r="H1366" t="e">
        <f ca="1">IFERROR(计算区域!AE1368,NA())</f>
        <v>#N/A</v>
      </c>
      <c r="I1366" t="e">
        <f ca="1">IFERROR(计算区域!AF1368,NA())</f>
        <v>#N/A</v>
      </c>
      <c r="J1366" t="e">
        <f ca="1">IFERROR(计算区域!AG1368,NA())</f>
        <v>#N/A</v>
      </c>
      <c r="L1366" t="e">
        <f ca="1">IFERROR(计算区域!L1368,NA())</f>
        <v>#N/A</v>
      </c>
      <c r="M1366" t="e">
        <f ca="1">IFERROR(计算区域!M1368,NA())</f>
        <v>#N/A</v>
      </c>
      <c r="N1366" t="e">
        <f ca="1">IFERROR(计算区域!N1368,NA())</f>
        <v>#N/A</v>
      </c>
      <c r="O1366" t="e">
        <f ca="1">IFERROR(计算区域!O1368,NA())</f>
        <v>#N/A</v>
      </c>
      <c r="Q1366" t="e">
        <f ca="1">IFERROR(计算区域!R1368,NA())</f>
        <v>#N/A</v>
      </c>
      <c r="R1366" t="e">
        <f ca="1">IFERROR(计算区域!S1368,NA())</f>
        <v>#N/A</v>
      </c>
      <c r="S1366" t="e">
        <f ca="1">IFERROR(计算区域!T1368,NA())</f>
        <v>#N/A</v>
      </c>
      <c r="T1366" t="e">
        <f ca="1">IFERROR(计算区域!U1368,NA())</f>
        <v>#N/A</v>
      </c>
      <c r="V1366" t="e">
        <f ca="1">IFERROR(计算区域!X1368,NA())</f>
        <v>#N/A</v>
      </c>
      <c r="W1366" t="e">
        <f ca="1">IFERROR(计算区域!Y1368,NA())</f>
        <v>#N/A</v>
      </c>
      <c r="X1366" t="e">
        <f ca="1">IFERROR(计算区域!Z1368,NA())</f>
        <v>#N/A</v>
      </c>
      <c r="Y1366" t="e">
        <f ca="1">IFERROR(计算区域!AA1368,NA())</f>
        <v>#N/A</v>
      </c>
    </row>
    <row r="1367" spans="1:25" x14ac:dyDescent="0.2">
      <c r="A1367" s="28">
        <f>计算区域!E1369</f>
        <v>0</v>
      </c>
      <c r="B1367" t="e">
        <f ca="1">IFERROR(计算区域!AJ1369,NA())</f>
        <v>#N/A</v>
      </c>
      <c r="C1367" t="e">
        <f ca="1">IFERROR(计算区域!AK1369,NA())</f>
        <v>#N/A</v>
      </c>
      <c r="D1367" t="e">
        <f ca="1">IFERROR(计算区域!AL1369,NA())</f>
        <v>#N/A</v>
      </c>
      <c r="E1367" t="e">
        <f ca="1">IFERROR(计算区域!AM1369,NA())</f>
        <v>#N/A</v>
      </c>
      <c r="G1367" t="e">
        <f ca="1">IFERROR(计算区域!AD1369,NA())</f>
        <v>#N/A</v>
      </c>
      <c r="H1367" t="e">
        <f ca="1">IFERROR(计算区域!AE1369,NA())</f>
        <v>#N/A</v>
      </c>
      <c r="I1367" t="e">
        <f ca="1">IFERROR(计算区域!AF1369,NA())</f>
        <v>#N/A</v>
      </c>
      <c r="J1367" t="e">
        <f ca="1">IFERROR(计算区域!AG1369,NA())</f>
        <v>#N/A</v>
      </c>
      <c r="L1367" t="e">
        <f ca="1">IFERROR(计算区域!L1369,NA())</f>
        <v>#N/A</v>
      </c>
      <c r="M1367" t="e">
        <f ca="1">IFERROR(计算区域!M1369,NA())</f>
        <v>#N/A</v>
      </c>
      <c r="N1367" t="e">
        <f ca="1">IFERROR(计算区域!N1369,NA())</f>
        <v>#N/A</v>
      </c>
      <c r="O1367" t="e">
        <f ca="1">IFERROR(计算区域!O1369,NA())</f>
        <v>#N/A</v>
      </c>
      <c r="Q1367" t="e">
        <f ca="1">IFERROR(计算区域!R1369,NA())</f>
        <v>#N/A</v>
      </c>
      <c r="R1367" t="e">
        <f ca="1">IFERROR(计算区域!S1369,NA())</f>
        <v>#N/A</v>
      </c>
      <c r="S1367" t="e">
        <f ca="1">IFERROR(计算区域!T1369,NA())</f>
        <v>#N/A</v>
      </c>
      <c r="T1367" t="e">
        <f ca="1">IFERROR(计算区域!U1369,NA())</f>
        <v>#N/A</v>
      </c>
      <c r="V1367" t="e">
        <f ca="1">IFERROR(计算区域!X1369,NA())</f>
        <v>#N/A</v>
      </c>
      <c r="W1367" t="e">
        <f ca="1">IFERROR(计算区域!Y1369,NA())</f>
        <v>#N/A</v>
      </c>
      <c r="X1367" t="e">
        <f ca="1">IFERROR(计算区域!Z1369,NA())</f>
        <v>#N/A</v>
      </c>
      <c r="Y1367" t="e">
        <f ca="1">IFERROR(计算区域!AA1369,NA())</f>
        <v>#N/A</v>
      </c>
    </row>
    <row r="1368" spans="1:25" x14ac:dyDescent="0.2">
      <c r="A1368" s="28">
        <f>计算区域!E1370</f>
        <v>0</v>
      </c>
      <c r="B1368" t="e">
        <f ca="1">IFERROR(计算区域!AJ1370,NA())</f>
        <v>#N/A</v>
      </c>
      <c r="C1368" t="e">
        <f ca="1">IFERROR(计算区域!AK1370,NA())</f>
        <v>#N/A</v>
      </c>
      <c r="D1368" t="e">
        <f ca="1">IFERROR(计算区域!AL1370,NA())</f>
        <v>#N/A</v>
      </c>
      <c r="E1368" t="e">
        <f ca="1">IFERROR(计算区域!AM1370,NA())</f>
        <v>#N/A</v>
      </c>
      <c r="G1368" t="e">
        <f ca="1">IFERROR(计算区域!AD1370,NA())</f>
        <v>#N/A</v>
      </c>
      <c r="H1368" t="e">
        <f ca="1">IFERROR(计算区域!AE1370,NA())</f>
        <v>#N/A</v>
      </c>
      <c r="I1368" t="e">
        <f ca="1">IFERROR(计算区域!AF1370,NA())</f>
        <v>#N/A</v>
      </c>
      <c r="J1368" t="e">
        <f ca="1">IFERROR(计算区域!AG1370,NA())</f>
        <v>#N/A</v>
      </c>
      <c r="L1368" t="e">
        <f ca="1">IFERROR(计算区域!L1370,NA())</f>
        <v>#N/A</v>
      </c>
      <c r="M1368" t="e">
        <f ca="1">IFERROR(计算区域!M1370,NA())</f>
        <v>#N/A</v>
      </c>
      <c r="N1368" t="e">
        <f ca="1">IFERROR(计算区域!N1370,NA())</f>
        <v>#N/A</v>
      </c>
      <c r="O1368" t="e">
        <f ca="1">IFERROR(计算区域!O1370,NA())</f>
        <v>#N/A</v>
      </c>
      <c r="Q1368" t="e">
        <f ca="1">IFERROR(计算区域!R1370,NA())</f>
        <v>#N/A</v>
      </c>
      <c r="R1368" t="e">
        <f ca="1">IFERROR(计算区域!S1370,NA())</f>
        <v>#N/A</v>
      </c>
      <c r="S1368" t="e">
        <f ca="1">IFERROR(计算区域!T1370,NA())</f>
        <v>#N/A</v>
      </c>
      <c r="T1368" t="e">
        <f ca="1">IFERROR(计算区域!U1370,NA())</f>
        <v>#N/A</v>
      </c>
      <c r="V1368" t="e">
        <f ca="1">IFERROR(计算区域!X1370,NA())</f>
        <v>#N/A</v>
      </c>
      <c r="W1368" t="e">
        <f ca="1">IFERROR(计算区域!Y1370,NA())</f>
        <v>#N/A</v>
      </c>
      <c r="X1368" t="e">
        <f ca="1">IFERROR(计算区域!Z1370,NA())</f>
        <v>#N/A</v>
      </c>
      <c r="Y1368" t="e">
        <f ca="1">IFERROR(计算区域!AA1370,NA())</f>
        <v>#N/A</v>
      </c>
    </row>
    <row r="1369" spans="1:25" x14ac:dyDescent="0.2">
      <c r="A1369" s="28">
        <f>计算区域!E1371</f>
        <v>0</v>
      </c>
      <c r="B1369" t="e">
        <f ca="1">IFERROR(计算区域!AJ1371,NA())</f>
        <v>#N/A</v>
      </c>
      <c r="C1369" t="e">
        <f ca="1">IFERROR(计算区域!AK1371,NA())</f>
        <v>#N/A</v>
      </c>
      <c r="D1369" t="e">
        <f ca="1">IFERROR(计算区域!AL1371,NA())</f>
        <v>#N/A</v>
      </c>
      <c r="E1369" t="e">
        <f ca="1">IFERROR(计算区域!AM1371,NA())</f>
        <v>#N/A</v>
      </c>
      <c r="G1369" t="e">
        <f ca="1">IFERROR(计算区域!AD1371,NA())</f>
        <v>#N/A</v>
      </c>
      <c r="H1369" t="e">
        <f ca="1">IFERROR(计算区域!AE1371,NA())</f>
        <v>#N/A</v>
      </c>
      <c r="I1369" t="e">
        <f ca="1">IFERROR(计算区域!AF1371,NA())</f>
        <v>#N/A</v>
      </c>
      <c r="J1369" t="e">
        <f ca="1">IFERROR(计算区域!AG1371,NA())</f>
        <v>#N/A</v>
      </c>
      <c r="L1369" t="e">
        <f ca="1">IFERROR(计算区域!L1371,NA())</f>
        <v>#N/A</v>
      </c>
      <c r="M1369" t="e">
        <f ca="1">IFERROR(计算区域!M1371,NA())</f>
        <v>#N/A</v>
      </c>
      <c r="N1369" t="e">
        <f ca="1">IFERROR(计算区域!N1371,NA())</f>
        <v>#N/A</v>
      </c>
      <c r="O1369" t="e">
        <f ca="1">IFERROR(计算区域!O1371,NA())</f>
        <v>#N/A</v>
      </c>
      <c r="Q1369" t="e">
        <f ca="1">IFERROR(计算区域!R1371,NA())</f>
        <v>#N/A</v>
      </c>
      <c r="R1369" t="e">
        <f ca="1">IFERROR(计算区域!S1371,NA())</f>
        <v>#N/A</v>
      </c>
      <c r="S1369" t="e">
        <f ca="1">IFERROR(计算区域!T1371,NA())</f>
        <v>#N/A</v>
      </c>
      <c r="T1369" t="e">
        <f ca="1">IFERROR(计算区域!U1371,NA())</f>
        <v>#N/A</v>
      </c>
      <c r="V1369" t="e">
        <f ca="1">IFERROR(计算区域!X1371,NA())</f>
        <v>#N/A</v>
      </c>
      <c r="W1369" t="e">
        <f ca="1">IFERROR(计算区域!Y1371,NA())</f>
        <v>#N/A</v>
      </c>
      <c r="X1369" t="e">
        <f ca="1">IFERROR(计算区域!Z1371,NA())</f>
        <v>#N/A</v>
      </c>
      <c r="Y1369" t="e">
        <f ca="1">IFERROR(计算区域!AA1371,NA())</f>
        <v>#N/A</v>
      </c>
    </row>
    <row r="1370" spans="1:25" x14ac:dyDescent="0.2">
      <c r="A1370" s="28">
        <f>计算区域!E1372</f>
        <v>0</v>
      </c>
      <c r="B1370" t="e">
        <f ca="1">IFERROR(计算区域!AJ1372,NA())</f>
        <v>#N/A</v>
      </c>
      <c r="C1370" t="e">
        <f ca="1">IFERROR(计算区域!AK1372,NA())</f>
        <v>#N/A</v>
      </c>
      <c r="D1370" t="e">
        <f ca="1">IFERROR(计算区域!AL1372,NA())</f>
        <v>#N/A</v>
      </c>
      <c r="E1370" t="e">
        <f ca="1">IFERROR(计算区域!AM1372,NA())</f>
        <v>#N/A</v>
      </c>
      <c r="G1370" t="e">
        <f ca="1">IFERROR(计算区域!AD1372,NA())</f>
        <v>#N/A</v>
      </c>
      <c r="H1370" t="e">
        <f ca="1">IFERROR(计算区域!AE1372,NA())</f>
        <v>#N/A</v>
      </c>
      <c r="I1370" t="e">
        <f ca="1">IFERROR(计算区域!AF1372,NA())</f>
        <v>#N/A</v>
      </c>
      <c r="J1370" t="e">
        <f ca="1">IFERROR(计算区域!AG1372,NA())</f>
        <v>#N/A</v>
      </c>
      <c r="L1370" t="e">
        <f ca="1">IFERROR(计算区域!L1372,NA())</f>
        <v>#N/A</v>
      </c>
      <c r="M1370" t="e">
        <f ca="1">IFERROR(计算区域!M1372,NA())</f>
        <v>#N/A</v>
      </c>
      <c r="N1370" t="e">
        <f ca="1">IFERROR(计算区域!N1372,NA())</f>
        <v>#N/A</v>
      </c>
      <c r="O1370" t="e">
        <f ca="1">IFERROR(计算区域!O1372,NA())</f>
        <v>#N/A</v>
      </c>
      <c r="Q1370" t="e">
        <f ca="1">IFERROR(计算区域!R1372,NA())</f>
        <v>#N/A</v>
      </c>
      <c r="R1370" t="e">
        <f ca="1">IFERROR(计算区域!S1372,NA())</f>
        <v>#N/A</v>
      </c>
      <c r="S1370" t="e">
        <f ca="1">IFERROR(计算区域!T1372,NA())</f>
        <v>#N/A</v>
      </c>
      <c r="T1370" t="e">
        <f ca="1">IFERROR(计算区域!U1372,NA())</f>
        <v>#N/A</v>
      </c>
      <c r="V1370" t="e">
        <f ca="1">IFERROR(计算区域!X1372,NA())</f>
        <v>#N/A</v>
      </c>
      <c r="W1370" t="e">
        <f ca="1">IFERROR(计算区域!Y1372,NA())</f>
        <v>#N/A</v>
      </c>
      <c r="X1370" t="e">
        <f ca="1">IFERROR(计算区域!Z1372,NA())</f>
        <v>#N/A</v>
      </c>
      <c r="Y1370" t="e">
        <f ca="1">IFERROR(计算区域!AA1372,NA())</f>
        <v>#N/A</v>
      </c>
    </row>
    <row r="1371" spans="1:25" x14ac:dyDescent="0.2">
      <c r="A1371" s="28">
        <f>计算区域!E1373</f>
        <v>0</v>
      </c>
      <c r="B1371" t="e">
        <f ca="1">IFERROR(计算区域!AJ1373,NA())</f>
        <v>#N/A</v>
      </c>
      <c r="C1371" t="e">
        <f ca="1">IFERROR(计算区域!AK1373,NA())</f>
        <v>#N/A</v>
      </c>
      <c r="D1371" t="e">
        <f ca="1">IFERROR(计算区域!AL1373,NA())</f>
        <v>#N/A</v>
      </c>
      <c r="E1371" t="e">
        <f ca="1">IFERROR(计算区域!AM1373,NA())</f>
        <v>#N/A</v>
      </c>
      <c r="G1371" t="e">
        <f ca="1">IFERROR(计算区域!AD1373,NA())</f>
        <v>#N/A</v>
      </c>
      <c r="H1371" t="e">
        <f ca="1">IFERROR(计算区域!AE1373,NA())</f>
        <v>#N/A</v>
      </c>
      <c r="I1371" t="e">
        <f ca="1">IFERROR(计算区域!AF1373,NA())</f>
        <v>#N/A</v>
      </c>
      <c r="J1371" t="e">
        <f ca="1">IFERROR(计算区域!AG1373,NA())</f>
        <v>#N/A</v>
      </c>
      <c r="L1371" t="e">
        <f ca="1">IFERROR(计算区域!L1373,NA())</f>
        <v>#N/A</v>
      </c>
      <c r="M1371" t="e">
        <f ca="1">IFERROR(计算区域!M1373,NA())</f>
        <v>#N/A</v>
      </c>
      <c r="N1371" t="e">
        <f ca="1">IFERROR(计算区域!N1373,NA())</f>
        <v>#N/A</v>
      </c>
      <c r="O1371" t="e">
        <f ca="1">IFERROR(计算区域!O1373,NA())</f>
        <v>#N/A</v>
      </c>
      <c r="Q1371" t="e">
        <f ca="1">IFERROR(计算区域!R1373,NA())</f>
        <v>#N/A</v>
      </c>
      <c r="R1371" t="e">
        <f ca="1">IFERROR(计算区域!S1373,NA())</f>
        <v>#N/A</v>
      </c>
      <c r="S1371" t="e">
        <f ca="1">IFERROR(计算区域!T1373,NA())</f>
        <v>#N/A</v>
      </c>
      <c r="T1371" t="e">
        <f ca="1">IFERROR(计算区域!U1373,NA())</f>
        <v>#N/A</v>
      </c>
      <c r="V1371" t="e">
        <f ca="1">IFERROR(计算区域!X1373,NA())</f>
        <v>#N/A</v>
      </c>
      <c r="W1371" t="e">
        <f ca="1">IFERROR(计算区域!Y1373,NA())</f>
        <v>#N/A</v>
      </c>
      <c r="X1371" t="e">
        <f ca="1">IFERROR(计算区域!Z1373,NA())</f>
        <v>#N/A</v>
      </c>
      <c r="Y1371" t="e">
        <f ca="1">IFERROR(计算区域!AA1373,NA())</f>
        <v>#N/A</v>
      </c>
    </row>
    <row r="1372" spans="1:25" x14ac:dyDescent="0.2">
      <c r="A1372" s="28">
        <f>计算区域!E1374</f>
        <v>0</v>
      </c>
      <c r="B1372" t="e">
        <f ca="1">IFERROR(计算区域!AJ1374,NA())</f>
        <v>#N/A</v>
      </c>
      <c r="C1372" t="e">
        <f ca="1">IFERROR(计算区域!AK1374,NA())</f>
        <v>#N/A</v>
      </c>
      <c r="D1372" t="e">
        <f ca="1">IFERROR(计算区域!AL1374,NA())</f>
        <v>#N/A</v>
      </c>
      <c r="E1372" t="e">
        <f ca="1">IFERROR(计算区域!AM1374,NA())</f>
        <v>#N/A</v>
      </c>
      <c r="G1372" t="e">
        <f ca="1">IFERROR(计算区域!AD1374,NA())</f>
        <v>#N/A</v>
      </c>
      <c r="H1372" t="e">
        <f ca="1">IFERROR(计算区域!AE1374,NA())</f>
        <v>#N/A</v>
      </c>
      <c r="I1372" t="e">
        <f ca="1">IFERROR(计算区域!AF1374,NA())</f>
        <v>#N/A</v>
      </c>
      <c r="J1372" t="e">
        <f ca="1">IFERROR(计算区域!AG1374,NA())</f>
        <v>#N/A</v>
      </c>
      <c r="L1372" t="e">
        <f ca="1">IFERROR(计算区域!L1374,NA())</f>
        <v>#N/A</v>
      </c>
      <c r="M1372" t="e">
        <f ca="1">IFERROR(计算区域!M1374,NA())</f>
        <v>#N/A</v>
      </c>
      <c r="N1372" t="e">
        <f ca="1">IFERROR(计算区域!N1374,NA())</f>
        <v>#N/A</v>
      </c>
      <c r="O1372" t="e">
        <f ca="1">IFERROR(计算区域!O1374,NA())</f>
        <v>#N/A</v>
      </c>
      <c r="Q1372" t="e">
        <f ca="1">IFERROR(计算区域!R1374,NA())</f>
        <v>#N/A</v>
      </c>
      <c r="R1372" t="e">
        <f ca="1">IFERROR(计算区域!S1374,NA())</f>
        <v>#N/A</v>
      </c>
      <c r="S1372" t="e">
        <f ca="1">IFERROR(计算区域!T1374,NA())</f>
        <v>#N/A</v>
      </c>
      <c r="T1372" t="e">
        <f ca="1">IFERROR(计算区域!U1374,NA())</f>
        <v>#N/A</v>
      </c>
      <c r="V1372" t="e">
        <f ca="1">IFERROR(计算区域!X1374,NA())</f>
        <v>#N/A</v>
      </c>
      <c r="W1372" t="e">
        <f ca="1">IFERROR(计算区域!Y1374,NA())</f>
        <v>#N/A</v>
      </c>
      <c r="X1372" t="e">
        <f ca="1">IFERROR(计算区域!Z1374,NA())</f>
        <v>#N/A</v>
      </c>
      <c r="Y1372" t="e">
        <f ca="1">IFERROR(计算区域!AA1374,NA())</f>
        <v>#N/A</v>
      </c>
    </row>
    <row r="1373" spans="1:25" x14ac:dyDescent="0.2">
      <c r="A1373" s="28">
        <f>计算区域!E1375</f>
        <v>0</v>
      </c>
      <c r="B1373" t="e">
        <f ca="1">IFERROR(计算区域!AJ1375,NA())</f>
        <v>#N/A</v>
      </c>
      <c r="C1373" t="e">
        <f ca="1">IFERROR(计算区域!AK1375,NA())</f>
        <v>#N/A</v>
      </c>
      <c r="D1373" t="e">
        <f ca="1">IFERROR(计算区域!AL1375,NA())</f>
        <v>#N/A</v>
      </c>
      <c r="E1373" t="e">
        <f ca="1">IFERROR(计算区域!AM1375,NA())</f>
        <v>#N/A</v>
      </c>
      <c r="G1373" t="e">
        <f ca="1">IFERROR(计算区域!AD1375,NA())</f>
        <v>#N/A</v>
      </c>
      <c r="H1373" t="e">
        <f ca="1">IFERROR(计算区域!AE1375,NA())</f>
        <v>#N/A</v>
      </c>
      <c r="I1373" t="e">
        <f ca="1">IFERROR(计算区域!AF1375,NA())</f>
        <v>#N/A</v>
      </c>
      <c r="J1373" t="e">
        <f ca="1">IFERROR(计算区域!AG1375,NA())</f>
        <v>#N/A</v>
      </c>
      <c r="L1373" t="e">
        <f ca="1">IFERROR(计算区域!L1375,NA())</f>
        <v>#N/A</v>
      </c>
      <c r="M1373" t="e">
        <f ca="1">IFERROR(计算区域!M1375,NA())</f>
        <v>#N/A</v>
      </c>
      <c r="N1373" t="e">
        <f ca="1">IFERROR(计算区域!N1375,NA())</f>
        <v>#N/A</v>
      </c>
      <c r="O1373" t="e">
        <f ca="1">IFERROR(计算区域!O1375,NA())</f>
        <v>#N/A</v>
      </c>
      <c r="Q1373" t="e">
        <f ca="1">IFERROR(计算区域!R1375,NA())</f>
        <v>#N/A</v>
      </c>
      <c r="R1373" t="e">
        <f ca="1">IFERROR(计算区域!S1375,NA())</f>
        <v>#N/A</v>
      </c>
      <c r="S1373" t="e">
        <f ca="1">IFERROR(计算区域!T1375,NA())</f>
        <v>#N/A</v>
      </c>
      <c r="T1373" t="e">
        <f ca="1">IFERROR(计算区域!U1375,NA())</f>
        <v>#N/A</v>
      </c>
      <c r="V1373" t="e">
        <f ca="1">IFERROR(计算区域!X1375,NA())</f>
        <v>#N/A</v>
      </c>
      <c r="W1373" t="e">
        <f ca="1">IFERROR(计算区域!Y1375,NA())</f>
        <v>#N/A</v>
      </c>
      <c r="X1373" t="e">
        <f ca="1">IFERROR(计算区域!Z1375,NA())</f>
        <v>#N/A</v>
      </c>
      <c r="Y1373" t="e">
        <f ca="1">IFERROR(计算区域!AA1375,NA())</f>
        <v>#N/A</v>
      </c>
    </row>
    <row r="1374" spans="1:25" x14ac:dyDescent="0.2">
      <c r="A1374" s="28">
        <f>计算区域!E1376</f>
        <v>0</v>
      </c>
      <c r="B1374" t="e">
        <f ca="1">IFERROR(计算区域!AJ1376,NA())</f>
        <v>#N/A</v>
      </c>
      <c r="C1374" t="e">
        <f ca="1">IFERROR(计算区域!AK1376,NA())</f>
        <v>#N/A</v>
      </c>
      <c r="D1374" t="e">
        <f ca="1">IFERROR(计算区域!AL1376,NA())</f>
        <v>#N/A</v>
      </c>
      <c r="E1374" t="e">
        <f ca="1">IFERROR(计算区域!AM1376,NA())</f>
        <v>#N/A</v>
      </c>
      <c r="G1374" t="e">
        <f ca="1">IFERROR(计算区域!AD1376,NA())</f>
        <v>#N/A</v>
      </c>
      <c r="H1374" t="e">
        <f ca="1">IFERROR(计算区域!AE1376,NA())</f>
        <v>#N/A</v>
      </c>
      <c r="I1374" t="e">
        <f ca="1">IFERROR(计算区域!AF1376,NA())</f>
        <v>#N/A</v>
      </c>
      <c r="J1374" t="e">
        <f ca="1">IFERROR(计算区域!AG1376,NA())</f>
        <v>#N/A</v>
      </c>
      <c r="L1374" t="e">
        <f ca="1">IFERROR(计算区域!L1376,NA())</f>
        <v>#N/A</v>
      </c>
      <c r="M1374" t="e">
        <f ca="1">IFERROR(计算区域!M1376,NA())</f>
        <v>#N/A</v>
      </c>
      <c r="N1374" t="e">
        <f ca="1">IFERROR(计算区域!N1376,NA())</f>
        <v>#N/A</v>
      </c>
      <c r="O1374" t="e">
        <f ca="1">IFERROR(计算区域!O1376,NA())</f>
        <v>#N/A</v>
      </c>
      <c r="Q1374" t="e">
        <f ca="1">IFERROR(计算区域!R1376,NA())</f>
        <v>#N/A</v>
      </c>
      <c r="R1374" t="e">
        <f ca="1">IFERROR(计算区域!S1376,NA())</f>
        <v>#N/A</v>
      </c>
      <c r="S1374" t="e">
        <f ca="1">IFERROR(计算区域!T1376,NA())</f>
        <v>#N/A</v>
      </c>
      <c r="T1374" t="e">
        <f ca="1">IFERROR(计算区域!U1376,NA())</f>
        <v>#N/A</v>
      </c>
      <c r="V1374" t="e">
        <f ca="1">IFERROR(计算区域!X1376,NA())</f>
        <v>#N/A</v>
      </c>
      <c r="W1374" t="e">
        <f ca="1">IFERROR(计算区域!Y1376,NA())</f>
        <v>#N/A</v>
      </c>
      <c r="X1374" t="e">
        <f ca="1">IFERROR(计算区域!Z1376,NA())</f>
        <v>#N/A</v>
      </c>
      <c r="Y1374" t="e">
        <f ca="1">IFERROR(计算区域!AA1376,NA())</f>
        <v>#N/A</v>
      </c>
    </row>
    <row r="1375" spans="1:25" x14ac:dyDescent="0.2">
      <c r="A1375" s="28">
        <f>计算区域!E1377</f>
        <v>0</v>
      </c>
      <c r="B1375" t="e">
        <f ca="1">IFERROR(计算区域!AJ1377,NA())</f>
        <v>#N/A</v>
      </c>
      <c r="C1375" t="e">
        <f ca="1">IFERROR(计算区域!AK1377,NA())</f>
        <v>#N/A</v>
      </c>
      <c r="D1375" t="e">
        <f ca="1">IFERROR(计算区域!AL1377,NA())</f>
        <v>#N/A</v>
      </c>
      <c r="E1375" t="e">
        <f ca="1">IFERROR(计算区域!AM1377,NA())</f>
        <v>#N/A</v>
      </c>
      <c r="G1375" t="e">
        <f ca="1">IFERROR(计算区域!AD1377,NA())</f>
        <v>#N/A</v>
      </c>
      <c r="H1375" t="e">
        <f ca="1">IFERROR(计算区域!AE1377,NA())</f>
        <v>#N/A</v>
      </c>
      <c r="I1375" t="e">
        <f ca="1">IFERROR(计算区域!AF1377,NA())</f>
        <v>#N/A</v>
      </c>
      <c r="J1375" t="e">
        <f ca="1">IFERROR(计算区域!AG1377,NA())</f>
        <v>#N/A</v>
      </c>
      <c r="L1375" t="e">
        <f ca="1">IFERROR(计算区域!L1377,NA())</f>
        <v>#N/A</v>
      </c>
      <c r="M1375" t="e">
        <f ca="1">IFERROR(计算区域!M1377,NA())</f>
        <v>#N/A</v>
      </c>
      <c r="N1375" t="e">
        <f ca="1">IFERROR(计算区域!N1377,NA())</f>
        <v>#N/A</v>
      </c>
      <c r="O1375" t="e">
        <f ca="1">IFERROR(计算区域!O1377,NA())</f>
        <v>#N/A</v>
      </c>
      <c r="Q1375" t="e">
        <f ca="1">IFERROR(计算区域!R1377,NA())</f>
        <v>#N/A</v>
      </c>
      <c r="R1375" t="e">
        <f ca="1">IFERROR(计算区域!S1377,NA())</f>
        <v>#N/A</v>
      </c>
      <c r="S1375" t="e">
        <f ca="1">IFERROR(计算区域!T1377,NA())</f>
        <v>#N/A</v>
      </c>
      <c r="T1375" t="e">
        <f ca="1">IFERROR(计算区域!U1377,NA())</f>
        <v>#N/A</v>
      </c>
      <c r="V1375" t="e">
        <f ca="1">IFERROR(计算区域!X1377,NA())</f>
        <v>#N/A</v>
      </c>
      <c r="W1375" t="e">
        <f ca="1">IFERROR(计算区域!Y1377,NA())</f>
        <v>#N/A</v>
      </c>
      <c r="X1375" t="e">
        <f ca="1">IFERROR(计算区域!Z1377,NA())</f>
        <v>#N/A</v>
      </c>
      <c r="Y1375" t="e">
        <f ca="1">IFERROR(计算区域!AA1377,NA())</f>
        <v>#N/A</v>
      </c>
    </row>
    <row r="1376" spans="1:25" x14ac:dyDescent="0.2">
      <c r="A1376" s="28">
        <f>计算区域!E1378</f>
        <v>0</v>
      </c>
      <c r="B1376" t="e">
        <f ca="1">IFERROR(计算区域!AJ1378,NA())</f>
        <v>#N/A</v>
      </c>
      <c r="C1376" t="e">
        <f ca="1">IFERROR(计算区域!AK1378,NA())</f>
        <v>#N/A</v>
      </c>
      <c r="D1376" t="e">
        <f ca="1">IFERROR(计算区域!AL1378,NA())</f>
        <v>#N/A</v>
      </c>
      <c r="E1376" t="e">
        <f ca="1">IFERROR(计算区域!AM1378,NA())</f>
        <v>#N/A</v>
      </c>
      <c r="G1376" t="e">
        <f ca="1">IFERROR(计算区域!AD1378,NA())</f>
        <v>#N/A</v>
      </c>
      <c r="H1376" t="e">
        <f ca="1">IFERROR(计算区域!AE1378,NA())</f>
        <v>#N/A</v>
      </c>
      <c r="I1376" t="e">
        <f ca="1">IFERROR(计算区域!AF1378,NA())</f>
        <v>#N/A</v>
      </c>
      <c r="J1376" t="e">
        <f ca="1">IFERROR(计算区域!AG1378,NA())</f>
        <v>#N/A</v>
      </c>
      <c r="L1376" t="e">
        <f ca="1">IFERROR(计算区域!L1378,NA())</f>
        <v>#N/A</v>
      </c>
      <c r="M1376" t="e">
        <f ca="1">IFERROR(计算区域!M1378,NA())</f>
        <v>#N/A</v>
      </c>
      <c r="N1376" t="e">
        <f ca="1">IFERROR(计算区域!N1378,NA())</f>
        <v>#N/A</v>
      </c>
      <c r="O1376" t="e">
        <f ca="1">IFERROR(计算区域!O1378,NA())</f>
        <v>#N/A</v>
      </c>
      <c r="Q1376" t="e">
        <f ca="1">IFERROR(计算区域!R1378,NA())</f>
        <v>#N/A</v>
      </c>
      <c r="R1376" t="e">
        <f ca="1">IFERROR(计算区域!S1378,NA())</f>
        <v>#N/A</v>
      </c>
      <c r="S1376" t="e">
        <f ca="1">IFERROR(计算区域!T1378,NA())</f>
        <v>#N/A</v>
      </c>
      <c r="T1376" t="e">
        <f ca="1">IFERROR(计算区域!U1378,NA())</f>
        <v>#N/A</v>
      </c>
      <c r="V1376" t="e">
        <f ca="1">IFERROR(计算区域!X1378,NA())</f>
        <v>#N/A</v>
      </c>
      <c r="W1376" t="e">
        <f ca="1">IFERROR(计算区域!Y1378,NA())</f>
        <v>#N/A</v>
      </c>
      <c r="X1376" t="e">
        <f ca="1">IFERROR(计算区域!Z1378,NA())</f>
        <v>#N/A</v>
      </c>
      <c r="Y1376" t="e">
        <f ca="1">IFERROR(计算区域!AA1378,NA())</f>
        <v>#N/A</v>
      </c>
    </row>
    <row r="1377" spans="1:25" x14ac:dyDescent="0.2">
      <c r="A1377" s="28">
        <f>计算区域!E1379</f>
        <v>0</v>
      </c>
      <c r="B1377" t="e">
        <f ca="1">IFERROR(计算区域!AJ1379,NA())</f>
        <v>#N/A</v>
      </c>
      <c r="C1377" t="e">
        <f ca="1">IFERROR(计算区域!AK1379,NA())</f>
        <v>#N/A</v>
      </c>
      <c r="D1377" t="e">
        <f ca="1">IFERROR(计算区域!AL1379,NA())</f>
        <v>#N/A</v>
      </c>
      <c r="E1377" t="e">
        <f ca="1">IFERROR(计算区域!AM1379,NA())</f>
        <v>#N/A</v>
      </c>
      <c r="G1377" t="e">
        <f ca="1">IFERROR(计算区域!AD1379,NA())</f>
        <v>#N/A</v>
      </c>
      <c r="H1377" t="e">
        <f ca="1">IFERROR(计算区域!AE1379,NA())</f>
        <v>#N/A</v>
      </c>
      <c r="I1377" t="e">
        <f ca="1">IFERROR(计算区域!AF1379,NA())</f>
        <v>#N/A</v>
      </c>
      <c r="J1377" t="e">
        <f ca="1">IFERROR(计算区域!AG1379,NA())</f>
        <v>#N/A</v>
      </c>
      <c r="L1377" t="e">
        <f ca="1">IFERROR(计算区域!L1379,NA())</f>
        <v>#N/A</v>
      </c>
      <c r="M1377" t="e">
        <f ca="1">IFERROR(计算区域!M1379,NA())</f>
        <v>#N/A</v>
      </c>
      <c r="N1377" t="e">
        <f ca="1">IFERROR(计算区域!N1379,NA())</f>
        <v>#N/A</v>
      </c>
      <c r="O1377" t="e">
        <f ca="1">IFERROR(计算区域!O1379,NA())</f>
        <v>#N/A</v>
      </c>
      <c r="Q1377" t="e">
        <f ca="1">IFERROR(计算区域!R1379,NA())</f>
        <v>#N/A</v>
      </c>
      <c r="R1377" t="e">
        <f ca="1">IFERROR(计算区域!S1379,NA())</f>
        <v>#N/A</v>
      </c>
      <c r="S1377" t="e">
        <f ca="1">IFERROR(计算区域!T1379,NA())</f>
        <v>#N/A</v>
      </c>
      <c r="T1377" t="e">
        <f ca="1">IFERROR(计算区域!U1379,NA())</f>
        <v>#N/A</v>
      </c>
      <c r="V1377" t="e">
        <f ca="1">IFERROR(计算区域!X1379,NA())</f>
        <v>#N/A</v>
      </c>
      <c r="W1377" t="e">
        <f ca="1">IFERROR(计算区域!Y1379,NA())</f>
        <v>#N/A</v>
      </c>
      <c r="X1377" t="e">
        <f ca="1">IFERROR(计算区域!Z1379,NA())</f>
        <v>#N/A</v>
      </c>
      <c r="Y1377" t="e">
        <f ca="1">IFERROR(计算区域!AA1379,NA())</f>
        <v>#N/A</v>
      </c>
    </row>
    <row r="1378" spans="1:25" x14ac:dyDescent="0.2">
      <c r="A1378" s="28">
        <f>计算区域!E1380</f>
        <v>0</v>
      </c>
      <c r="B1378" t="e">
        <f ca="1">IFERROR(计算区域!AJ1380,NA())</f>
        <v>#N/A</v>
      </c>
      <c r="C1378" t="e">
        <f ca="1">IFERROR(计算区域!AK1380,NA())</f>
        <v>#N/A</v>
      </c>
      <c r="D1378" t="e">
        <f ca="1">IFERROR(计算区域!AL1380,NA())</f>
        <v>#N/A</v>
      </c>
      <c r="E1378" t="e">
        <f ca="1">IFERROR(计算区域!AM1380,NA())</f>
        <v>#N/A</v>
      </c>
      <c r="G1378" t="e">
        <f ca="1">IFERROR(计算区域!AD1380,NA())</f>
        <v>#N/A</v>
      </c>
      <c r="H1378" t="e">
        <f ca="1">IFERROR(计算区域!AE1380,NA())</f>
        <v>#N/A</v>
      </c>
      <c r="I1378" t="e">
        <f ca="1">IFERROR(计算区域!AF1380,NA())</f>
        <v>#N/A</v>
      </c>
      <c r="J1378" t="e">
        <f ca="1">IFERROR(计算区域!AG1380,NA())</f>
        <v>#N/A</v>
      </c>
      <c r="L1378" t="e">
        <f ca="1">IFERROR(计算区域!L1380,NA())</f>
        <v>#N/A</v>
      </c>
      <c r="M1378" t="e">
        <f ca="1">IFERROR(计算区域!M1380,NA())</f>
        <v>#N/A</v>
      </c>
      <c r="N1378" t="e">
        <f ca="1">IFERROR(计算区域!N1380,NA())</f>
        <v>#N/A</v>
      </c>
      <c r="O1378" t="e">
        <f ca="1">IFERROR(计算区域!O1380,NA())</f>
        <v>#N/A</v>
      </c>
      <c r="Q1378" t="e">
        <f ca="1">IFERROR(计算区域!R1380,NA())</f>
        <v>#N/A</v>
      </c>
      <c r="R1378" t="e">
        <f ca="1">IFERROR(计算区域!S1380,NA())</f>
        <v>#N/A</v>
      </c>
      <c r="S1378" t="e">
        <f ca="1">IFERROR(计算区域!T1380,NA())</f>
        <v>#N/A</v>
      </c>
      <c r="T1378" t="e">
        <f ca="1">IFERROR(计算区域!U1380,NA())</f>
        <v>#N/A</v>
      </c>
      <c r="V1378" t="e">
        <f ca="1">IFERROR(计算区域!X1380,NA())</f>
        <v>#N/A</v>
      </c>
      <c r="W1378" t="e">
        <f ca="1">IFERROR(计算区域!Y1380,NA())</f>
        <v>#N/A</v>
      </c>
      <c r="X1378" t="e">
        <f ca="1">IFERROR(计算区域!Z1380,NA())</f>
        <v>#N/A</v>
      </c>
      <c r="Y1378" t="e">
        <f ca="1">IFERROR(计算区域!AA1380,NA())</f>
        <v>#N/A</v>
      </c>
    </row>
    <row r="1379" spans="1:25" x14ac:dyDescent="0.2">
      <c r="A1379" s="28">
        <f>计算区域!E1381</f>
        <v>0</v>
      </c>
      <c r="B1379" t="e">
        <f ca="1">IFERROR(计算区域!AJ1381,NA())</f>
        <v>#N/A</v>
      </c>
      <c r="C1379" t="e">
        <f ca="1">IFERROR(计算区域!AK1381,NA())</f>
        <v>#N/A</v>
      </c>
      <c r="D1379" t="e">
        <f ca="1">IFERROR(计算区域!AL1381,NA())</f>
        <v>#N/A</v>
      </c>
      <c r="E1379" t="e">
        <f ca="1">IFERROR(计算区域!AM1381,NA())</f>
        <v>#N/A</v>
      </c>
      <c r="G1379" t="e">
        <f ca="1">IFERROR(计算区域!AD1381,NA())</f>
        <v>#N/A</v>
      </c>
      <c r="H1379" t="e">
        <f ca="1">IFERROR(计算区域!AE1381,NA())</f>
        <v>#N/A</v>
      </c>
      <c r="I1379" t="e">
        <f ca="1">IFERROR(计算区域!AF1381,NA())</f>
        <v>#N/A</v>
      </c>
      <c r="J1379" t="e">
        <f ca="1">IFERROR(计算区域!AG1381,NA())</f>
        <v>#N/A</v>
      </c>
      <c r="L1379" t="e">
        <f ca="1">IFERROR(计算区域!L1381,NA())</f>
        <v>#N/A</v>
      </c>
      <c r="M1379" t="e">
        <f ca="1">IFERROR(计算区域!M1381,NA())</f>
        <v>#N/A</v>
      </c>
      <c r="N1379" t="e">
        <f ca="1">IFERROR(计算区域!N1381,NA())</f>
        <v>#N/A</v>
      </c>
      <c r="O1379" t="e">
        <f ca="1">IFERROR(计算区域!O1381,NA())</f>
        <v>#N/A</v>
      </c>
      <c r="Q1379" t="e">
        <f ca="1">IFERROR(计算区域!R1381,NA())</f>
        <v>#N/A</v>
      </c>
      <c r="R1379" t="e">
        <f ca="1">IFERROR(计算区域!S1381,NA())</f>
        <v>#N/A</v>
      </c>
      <c r="S1379" t="e">
        <f ca="1">IFERROR(计算区域!T1381,NA())</f>
        <v>#N/A</v>
      </c>
      <c r="T1379" t="e">
        <f ca="1">IFERROR(计算区域!U1381,NA())</f>
        <v>#N/A</v>
      </c>
      <c r="V1379" t="e">
        <f ca="1">IFERROR(计算区域!X1381,NA())</f>
        <v>#N/A</v>
      </c>
      <c r="W1379" t="e">
        <f ca="1">IFERROR(计算区域!Y1381,NA())</f>
        <v>#N/A</v>
      </c>
      <c r="X1379" t="e">
        <f ca="1">IFERROR(计算区域!Z1381,NA())</f>
        <v>#N/A</v>
      </c>
      <c r="Y1379" t="e">
        <f ca="1">IFERROR(计算区域!AA1381,NA())</f>
        <v>#N/A</v>
      </c>
    </row>
    <row r="1380" spans="1:25" x14ac:dyDescent="0.2">
      <c r="A1380" s="28">
        <f>计算区域!E1382</f>
        <v>0</v>
      </c>
      <c r="B1380" t="e">
        <f ca="1">IFERROR(计算区域!AJ1382,NA())</f>
        <v>#N/A</v>
      </c>
      <c r="C1380" t="e">
        <f ca="1">IFERROR(计算区域!AK1382,NA())</f>
        <v>#N/A</v>
      </c>
      <c r="D1380" t="e">
        <f ca="1">IFERROR(计算区域!AL1382,NA())</f>
        <v>#N/A</v>
      </c>
      <c r="E1380" t="e">
        <f ca="1">IFERROR(计算区域!AM1382,NA())</f>
        <v>#N/A</v>
      </c>
      <c r="G1380" t="e">
        <f ca="1">IFERROR(计算区域!AD1382,NA())</f>
        <v>#N/A</v>
      </c>
      <c r="H1380" t="e">
        <f ca="1">IFERROR(计算区域!AE1382,NA())</f>
        <v>#N/A</v>
      </c>
      <c r="I1380" t="e">
        <f ca="1">IFERROR(计算区域!AF1382,NA())</f>
        <v>#N/A</v>
      </c>
      <c r="J1380" t="e">
        <f ca="1">IFERROR(计算区域!AG1382,NA())</f>
        <v>#N/A</v>
      </c>
      <c r="L1380" t="e">
        <f ca="1">IFERROR(计算区域!L1382,NA())</f>
        <v>#N/A</v>
      </c>
      <c r="M1380" t="e">
        <f ca="1">IFERROR(计算区域!M1382,NA())</f>
        <v>#N/A</v>
      </c>
      <c r="N1380" t="e">
        <f ca="1">IFERROR(计算区域!N1382,NA())</f>
        <v>#N/A</v>
      </c>
      <c r="O1380" t="e">
        <f ca="1">IFERROR(计算区域!O1382,NA())</f>
        <v>#N/A</v>
      </c>
      <c r="Q1380" t="e">
        <f ca="1">IFERROR(计算区域!R1382,NA())</f>
        <v>#N/A</v>
      </c>
      <c r="R1380" t="e">
        <f ca="1">IFERROR(计算区域!S1382,NA())</f>
        <v>#N/A</v>
      </c>
      <c r="S1380" t="e">
        <f ca="1">IFERROR(计算区域!T1382,NA())</f>
        <v>#N/A</v>
      </c>
      <c r="T1380" t="e">
        <f ca="1">IFERROR(计算区域!U1382,NA())</f>
        <v>#N/A</v>
      </c>
      <c r="V1380" t="e">
        <f ca="1">IFERROR(计算区域!X1382,NA())</f>
        <v>#N/A</v>
      </c>
      <c r="W1380" t="e">
        <f ca="1">IFERROR(计算区域!Y1382,NA())</f>
        <v>#N/A</v>
      </c>
      <c r="X1380" t="e">
        <f ca="1">IFERROR(计算区域!Z1382,NA())</f>
        <v>#N/A</v>
      </c>
      <c r="Y1380" t="e">
        <f ca="1">IFERROR(计算区域!AA1382,NA())</f>
        <v>#N/A</v>
      </c>
    </row>
    <row r="1381" spans="1:25" x14ac:dyDescent="0.2">
      <c r="A1381" s="28">
        <f>计算区域!E1383</f>
        <v>0</v>
      </c>
      <c r="B1381" t="e">
        <f ca="1">IFERROR(计算区域!AJ1383,NA())</f>
        <v>#N/A</v>
      </c>
      <c r="C1381" t="e">
        <f ca="1">IFERROR(计算区域!AK1383,NA())</f>
        <v>#N/A</v>
      </c>
      <c r="D1381" t="e">
        <f ca="1">IFERROR(计算区域!AL1383,NA())</f>
        <v>#N/A</v>
      </c>
      <c r="E1381" t="e">
        <f ca="1">IFERROR(计算区域!AM1383,NA())</f>
        <v>#N/A</v>
      </c>
      <c r="G1381" t="e">
        <f ca="1">IFERROR(计算区域!AD1383,NA())</f>
        <v>#N/A</v>
      </c>
      <c r="H1381" t="e">
        <f ca="1">IFERROR(计算区域!AE1383,NA())</f>
        <v>#N/A</v>
      </c>
      <c r="I1381" t="e">
        <f ca="1">IFERROR(计算区域!AF1383,NA())</f>
        <v>#N/A</v>
      </c>
      <c r="J1381" t="e">
        <f ca="1">IFERROR(计算区域!AG1383,NA())</f>
        <v>#N/A</v>
      </c>
      <c r="L1381" t="e">
        <f ca="1">IFERROR(计算区域!L1383,NA())</f>
        <v>#N/A</v>
      </c>
      <c r="M1381" t="e">
        <f ca="1">IFERROR(计算区域!M1383,NA())</f>
        <v>#N/A</v>
      </c>
      <c r="N1381" t="e">
        <f ca="1">IFERROR(计算区域!N1383,NA())</f>
        <v>#N/A</v>
      </c>
      <c r="O1381" t="e">
        <f ca="1">IFERROR(计算区域!O1383,NA())</f>
        <v>#N/A</v>
      </c>
      <c r="Q1381" t="e">
        <f ca="1">IFERROR(计算区域!R1383,NA())</f>
        <v>#N/A</v>
      </c>
      <c r="R1381" t="e">
        <f ca="1">IFERROR(计算区域!S1383,NA())</f>
        <v>#N/A</v>
      </c>
      <c r="S1381" t="e">
        <f ca="1">IFERROR(计算区域!T1383,NA())</f>
        <v>#N/A</v>
      </c>
      <c r="T1381" t="e">
        <f ca="1">IFERROR(计算区域!U1383,NA())</f>
        <v>#N/A</v>
      </c>
      <c r="V1381" t="e">
        <f ca="1">IFERROR(计算区域!X1383,NA())</f>
        <v>#N/A</v>
      </c>
      <c r="W1381" t="e">
        <f ca="1">IFERROR(计算区域!Y1383,NA())</f>
        <v>#N/A</v>
      </c>
      <c r="X1381" t="e">
        <f ca="1">IFERROR(计算区域!Z1383,NA())</f>
        <v>#N/A</v>
      </c>
      <c r="Y1381" t="e">
        <f ca="1">IFERROR(计算区域!AA1383,NA())</f>
        <v>#N/A</v>
      </c>
    </row>
    <row r="1382" spans="1:25" x14ac:dyDescent="0.2">
      <c r="A1382" s="28">
        <f>计算区域!E1384</f>
        <v>0</v>
      </c>
      <c r="B1382" t="e">
        <f ca="1">IFERROR(计算区域!AJ1384,NA())</f>
        <v>#N/A</v>
      </c>
      <c r="C1382" t="e">
        <f ca="1">IFERROR(计算区域!AK1384,NA())</f>
        <v>#N/A</v>
      </c>
      <c r="D1382" t="e">
        <f ca="1">IFERROR(计算区域!AL1384,NA())</f>
        <v>#N/A</v>
      </c>
      <c r="E1382" t="e">
        <f ca="1">IFERROR(计算区域!AM1384,NA())</f>
        <v>#N/A</v>
      </c>
      <c r="G1382" t="e">
        <f ca="1">IFERROR(计算区域!AD1384,NA())</f>
        <v>#N/A</v>
      </c>
      <c r="H1382" t="e">
        <f ca="1">IFERROR(计算区域!AE1384,NA())</f>
        <v>#N/A</v>
      </c>
      <c r="I1382" t="e">
        <f ca="1">IFERROR(计算区域!AF1384,NA())</f>
        <v>#N/A</v>
      </c>
      <c r="J1382" t="e">
        <f ca="1">IFERROR(计算区域!AG1384,NA())</f>
        <v>#N/A</v>
      </c>
      <c r="L1382" t="e">
        <f ca="1">IFERROR(计算区域!L1384,NA())</f>
        <v>#N/A</v>
      </c>
      <c r="M1382" t="e">
        <f ca="1">IFERROR(计算区域!M1384,NA())</f>
        <v>#N/A</v>
      </c>
      <c r="N1382" t="e">
        <f ca="1">IFERROR(计算区域!N1384,NA())</f>
        <v>#N/A</v>
      </c>
      <c r="O1382" t="e">
        <f ca="1">IFERROR(计算区域!O1384,NA())</f>
        <v>#N/A</v>
      </c>
      <c r="Q1382" t="e">
        <f ca="1">IFERROR(计算区域!R1384,NA())</f>
        <v>#N/A</v>
      </c>
      <c r="R1382" t="e">
        <f ca="1">IFERROR(计算区域!S1384,NA())</f>
        <v>#N/A</v>
      </c>
      <c r="S1382" t="e">
        <f ca="1">IFERROR(计算区域!T1384,NA())</f>
        <v>#N/A</v>
      </c>
      <c r="T1382" t="e">
        <f ca="1">IFERROR(计算区域!U1384,NA())</f>
        <v>#N/A</v>
      </c>
      <c r="V1382" t="e">
        <f ca="1">IFERROR(计算区域!X1384,NA())</f>
        <v>#N/A</v>
      </c>
      <c r="W1382" t="e">
        <f ca="1">IFERROR(计算区域!Y1384,NA())</f>
        <v>#N/A</v>
      </c>
      <c r="X1382" t="e">
        <f ca="1">IFERROR(计算区域!Z1384,NA())</f>
        <v>#N/A</v>
      </c>
      <c r="Y1382" t="e">
        <f ca="1">IFERROR(计算区域!AA1384,NA())</f>
        <v>#N/A</v>
      </c>
    </row>
    <row r="1383" spans="1:25" x14ac:dyDescent="0.2">
      <c r="A1383" s="28">
        <f>计算区域!E1385</f>
        <v>0</v>
      </c>
      <c r="B1383" t="e">
        <f ca="1">IFERROR(计算区域!AJ1385,NA())</f>
        <v>#N/A</v>
      </c>
      <c r="C1383" t="e">
        <f ca="1">IFERROR(计算区域!AK1385,NA())</f>
        <v>#N/A</v>
      </c>
      <c r="D1383" t="e">
        <f ca="1">IFERROR(计算区域!AL1385,NA())</f>
        <v>#N/A</v>
      </c>
      <c r="E1383" t="e">
        <f ca="1">IFERROR(计算区域!AM1385,NA())</f>
        <v>#N/A</v>
      </c>
      <c r="G1383" t="e">
        <f ca="1">IFERROR(计算区域!AD1385,NA())</f>
        <v>#N/A</v>
      </c>
      <c r="H1383" t="e">
        <f ca="1">IFERROR(计算区域!AE1385,NA())</f>
        <v>#N/A</v>
      </c>
      <c r="I1383" t="e">
        <f ca="1">IFERROR(计算区域!AF1385,NA())</f>
        <v>#N/A</v>
      </c>
      <c r="J1383" t="e">
        <f ca="1">IFERROR(计算区域!AG1385,NA())</f>
        <v>#N/A</v>
      </c>
      <c r="L1383" t="e">
        <f ca="1">IFERROR(计算区域!L1385,NA())</f>
        <v>#N/A</v>
      </c>
      <c r="M1383" t="e">
        <f ca="1">IFERROR(计算区域!M1385,NA())</f>
        <v>#N/A</v>
      </c>
      <c r="N1383" t="e">
        <f ca="1">IFERROR(计算区域!N1385,NA())</f>
        <v>#N/A</v>
      </c>
      <c r="O1383" t="e">
        <f ca="1">IFERROR(计算区域!O1385,NA())</f>
        <v>#N/A</v>
      </c>
      <c r="Q1383" t="e">
        <f ca="1">IFERROR(计算区域!R1385,NA())</f>
        <v>#N/A</v>
      </c>
      <c r="R1383" t="e">
        <f ca="1">IFERROR(计算区域!S1385,NA())</f>
        <v>#N/A</v>
      </c>
      <c r="S1383" t="e">
        <f ca="1">IFERROR(计算区域!T1385,NA())</f>
        <v>#N/A</v>
      </c>
      <c r="T1383" t="e">
        <f ca="1">IFERROR(计算区域!U1385,NA())</f>
        <v>#N/A</v>
      </c>
      <c r="V1383" t="e">
        <f ca="1">IFERROR(计算区域!X1385,NA())</f>
        <v>#N/A</v>
      </c>
      <c r="W1383" t="e">
        <f ca="1">IFERROR(计算区域!Y1385,NA())</f>
        <v>#N/A</v>
      </c>
      <c r="X1383" t="e">
        <f ca="1">IFERROR(计算区域!Z1385,NA())</f>
        <v>#N/A</v>
      </c>
      <c r="Y1383" t="e">
        <f ca="1">IFERROR(计算区域!AA1385,NA())</f>
        <v>#N/A</v>
      </c>
    </row>
    <row r="1384" spans="1:25" x14ac:dyDescent="0.2">
      <c r="A1384" s="28">
        <f>计算区域!E1386</f>
        <v>0</v>
      </c>
      <c r="B1384" t="e">
        <f ca="1">IFERROR(计算区域!AJ1386,NA())</f>
        <v>#N/A</v>
      </c>
      <c r="C1384" t="e">
        <f ca="1">IFERROR(计算区域!AK1386,NA())</f>
        <v>#N/A</v>
      </c>
      <c r="D1384" t="e">
        <f ca="1">IFERROR(计算区域!AL1386,NA())</f>
        <v>#N/A</v>
      </c>
      <c r="E1384" t="e">
        <f ca="1">IFERROR(计算区域!AM1386,NA())</f>
        <v>#N/A</v>
      </c>
      <c r="G1384" t="e">
        <f ca="1">IFERROR(计算区域!AD1386,NA())</f>
        <v>#N/A</v>
      </c>
      <c r="H1384" t="e">
        <f ca="1">IFERROR(计算区域!AE1386,NA())</f>
        <v>#N/A</v>
      </c>
      <c r="I1384" t="e">
        <f ca="1">IFERROR(计算区域!AF1386,NA())</f>
        <v>#N/A</v>
      </c>
      <c r="J1384" t="e">
        <f ca="1">IFERROR(计算区域!AG1386,NA())</f>
        <v>#N/A</v>
      </c>
      <c r="L1384" t="e">
        <f ca="1">IFERROR(计算区域!L1386,NA())</f>
        <v>#N/A</v>
      </c>
      <c r="M1384" t="e">
        <f ca="1">IFERROR(计算区域!M1386,NA())</f>
        <v>#N/A</v>
      </c>
      <c r="N1384" t="e">
        <f ca="1">IFERROR(计算区域!N1386,NA())</f>
        <v>#N/A</v>
      </c>
      <c r="O1384" t="e">
        <f ca="1">IFERROR(计算区域!O1386,NA())</f>
        <v>#N/A</v>
      </c>
      <c r="Q1384" t="e">
        <f ca="1">IFERROR(计算区域!R1386,NA())</f>
        <v>#N/A</v>
      </c>
      <c r="R1384" t="e">
        <f ca="1">IFERROR(计算区域!S1386,NA())</f>
        <v>#N/A</v>
      </c>
      <c r="S1384" t="e">
        <f ca="1">IFERROR(计算区域!T1386,NA())</f>
        <v>#N/A</v>
      </c>
      <c r="T1384" t="e">
        <f ca="1">IFERROR(计算区域!U1386,NA())</f>
        <v>#N/A</v>
      </c>
      <c r="V1384" t="e">
        <f ca="1">IFERROR(计算区域!X1386,NA())</f>
        <v>#N/A</v>
      </c>
      <c r="W1384" t="e">
        <f ca="1">IFERROR(计算区域!Y1386,NA())</f>
        <v>#N/A</v>
      </c>
      <c r="X1384" t="e">
        <f ca="1">IFERROR(计算区域!Z1386,NA())</f>
        <v>#N/A</v>
      </c>
      <c r="Y1384" t="e">
        <f ca="1">IFERROR(计算区域!AA1386,NA())</f>
        <v>#N/A</v>
      </c>
    </row>
    <row r="1385" spans="1:25" x14ac:dyDescent="0.2">
      <c r="A1385" s="28">
        <f>计算区域!E1387</f>
        <v>0</v>
      </c>
      <c r="B1385" t="e">
        <f ca="1">IFERROR(计算区域!AJ1387,NA())</f>
        <v>#N/A</v>
      </c>
      <c r="C1385" t="e">
        <f ca="1">IFERROR(计算区域!AK1387,NA())</f>
        <v>#N/A</v>
      </c>
      <c r="D1385" t="e">
        <f ca="1">IFERROR(计算区域!AL1387,NA())</f>
        <v>#N/A</v>
      </c>
      <c r="E1385" t="e">
        <f ca="1">IFERROR(计算区域!AM1387,NA())</f>
        <v>#N/A</v>
      </c>
      <c r="G1385" t="e">
        <f ca="1">IFERROR(计算区域!AD1387,NA())</f>
        <v>#N/A</v>
      </c>
      <c r="H1385" t="e">
        <f ca="1">IFERROR(计算区域!AE1387,NA())</f>
        <v>#N/A</v>
      </c>
      <c r="I1385" t="e">
        <f ca="1">IFERROR(计算区域!AF1387,NA())</f>
        <v>#N/A</v>
      </c>
      <c r="J1385" t="e">
        <f ca="1">IFERROR(计算区域!AG1387,NA())</f>
        <v>#N/A</v>
      </c>
      <c r="L1385" t="e">
        <f ca="1">IFERROR(计算区域!L1387,NA())</f>
        <v>#N/A</v>
      </c>
      <c r="M1385" t="e">
        <f ca="1">IFERROR(计算区域!M1387,NA())</f>
        <v>#N/A</v>
      </c>
      <c r="N1385" t="e">
        <f ca="1">IFERROR(计算区域!N1387,NA())</f>
        <v>#N/A</v>
      </c>
      <c r="O1385" t="e">
        <f ca="1">IFERROR(计算区域!O1387,NA())</f>
        <v>#N/A</v>
      </c>
      <c r="Q1385" t="e">
        <f ca="1">IFERROR(计算区域!R1387,NA())</f>
        <v>#N/A</v>
      </c>
      <c r="R1385" t="e">
        <f ca="1">IFERROR(计算区域!S1387,NA())</f>
        <v>#N/A</v>
      </c>
      <c r="S1385" t="e">
        <f ca="1">IFERROR(计算区域!T1387,NA())</f>
        <v>#N/A</v>
      </c>
      <c r="T1385" t="e">
        <f ca="1">IFERROR(计算区域!U1387,NA())</f>
        <v>#N/A</v>
      </c>
      <c r="V1385" t="e">
        <f ca="1">IFERROR(计算区域!X1387,NA())</f>
        <v>#N/A</v>
      </c>
      <c r="W1385" t="e">
        <f ca="1">IFERROR(计算区域!Y1387,NA())</f>
        <v>#N/A</v>
      </c>
      <c r="X1385" t="e">
        <f ca="1">IFERROR(计算区域!Z1387,NA())</f>
        <v>#N/A</v>
      </c>
      <c r="Y1385" t="e">
        <f ca="1">IFERROR(计算区域!AA1387,NA())</f>
        <v>#N/A</v>
      </c>
    </row>
    <row r="1386" spans="1:25" x14ac:dyDescent="0.2">
      <c r="A1386" s="28">
        <f>计算区域!E1388</f>
        <v>0</v>
      </c>
      <c r="B1386" t="e">
        <f ca="1">IFERROR(计算区域!AJ1388,NA())</f>
        <v>#N/A</v>
      </c>
      <c r="C1386" t="e">
        <f ca="1">IFERROR(计算区域!AK1388,NA())</f>
        <v>#N/A</v>
      </c>
      <c r="D1386" t="e">
        <f ca="1">IFERROR(计算区域!AL1388,NA())</f>
        <v>#N/A</v>
      </c>
      <c r="E1386" t="e">
        <f ca="1">IFERROR(计算区域!AM1388,NA())</f>
        <v>#N/A</v>
      </c>
      <c r="G1386" t="e">
        <f ca="1">IFERROR(计算区域!AD1388,NA())</f>
        <v>#N/A</v>
      </c>
      <c r="H1386" t="e">
        <f ca="1">IFERROR(计算区域!AE1388,NA())</f>
        <v>#N/A</v>
      </c>
      <c r="I1386" t="e">
        <f ca="1">IFERROR(计算区域!AF1388,NA())</f>
        <v>#N/A</v>
      </c>
      <c r="J1386" t="e">
        <f ca="1">IFERROR(计算区域!AG1388,NA())</f>
        <v>#N/A</v>
      </c>
      <c r="L1386" t="e">
        <f ca="1">IFERROR(计算区域!L1388,NA())</f>
        <v>#N/A</v>
      </c>
      <c r="M1386" t="e">
        <f ca="1">IFERROR(计算区域!M1388,NA())</f>
        <v>#N/A</v>
      </c>
      <c r="N1386" t="e">
        <f ca="1">IFERROR(计算区域!N1388,NA())</f>
        <v>#N/A</v>
      </c>
      <c r="O1386" t="e">
        <f ca="1">IFERROR(计算区域!O1388,NA())</f>
        <v>#N/A</v>
      </c>
      <c r="Q1386" t="e">
        <f ca="1">IFERROR(计算区域!R1388,NA())</f>
        <v>#N/A</v>
      </c>
      <c r="R1386" t="e">
        <f ca="1">IFERROR(计算区域!S1388,NA())</f>
        <v>#N/A</v>
      </c>
      <c r="S1386" t="e">
        <f ca="1">IFERROR(计算区域!T1388,NA())</f>
        <v>#N/A</v>
      </c>
      <c r="T1386" t="e">
        <f ca="1">IFERROR(计算区域!U1388,NA())</f>
        <v>#N/A</v>
      </c>
      <c r="V1386" t="e">
        <f ca="1">IFERROR(计算区域!X1388,NA())</f>
        <v>#N/A</v>
      </c>
      <c r="W1386" t="e">
        <f ca="1">IFERROR(计算区域!Y1388,NA())</f>
        <v>#N/A</v>
      </c>
      <c r="X1386" t="e">
        <f ca="1">IFERROR(计算区域!Z1388,NA())</f>
        <v>#N/A</v>
      </c>
      <c r="Y1386" t="e">
        <f ca="1">IFERROR(计算区域!AA1388,NA())</f>
        <v>#N/A</v>
      </c>
    </row>
    <row r="1387" spans="1:25" x14ac:dyDescent="0.2">
      <c r="A1387" s="28">
        <f>计算区域!E1389</f>
        <v>0</v>
      </c>
      <c r="B1387" t="e">
        <f ca="1">IFERROR(计算区域!AJ1389,NA())</f>
        <v>#N/A</v>
      </c>
      <c r="C1387" t="e">
        <f ca="1">IFERROR(计算区域!AK1389,NA())</f>
        <v>#N/A</v>
      </c>
      <c r="D1387" t="e">
        <f ca="1">IFERROR(计算区域!AL1389,NA())</f>
        <v>#N/A</v>
      </c>
      <c r="E1387" t="e">
        <f ca="1">IFERROR(计算区域!AM1389,NA())</f>
        <v>#N/A</v>
      </c>
      <c r="G1387" t="e">
        <f ca="1">IFERROR(计算区域!AD1389,NA())</f>
        <v>#N/A</v>
      </c>
      <c r="H1387" t="e">
        <f ca="1">IFERROR(计算区域!AE1389,NA())</f>
        <v>#N/A</v>
      </c>
      <c r="I1387" t="e">
        <f ca="1">IFERROR(计算区域!AF1389,NA())</f>
        <v>#N/A</v>
      </c>
      <c r="J1387" t="e">
        <f ca="1">IFERROR(计算区域!AG1389,NA())</f>
        <v>#N/A</v>
      </c>
      <c r="L1387" t="e">
        <f ca="1">IFERROR(计算区域!L1389,NA())</f>
        <v>#N/A</v>
      </c>
      <c r="M1387" t="e">
        <f ca="1">IFERROR(计算区域!M1389,NA())</f>
        <v>#N/A</v>
      </c>
      <c r="N1387" t="e">
        <f ca="1">IFERROR(计算区域!N1389,NA())</f>
        <v>#N/A</v>
      </c>
      <c r="O1387" t="e">
        <f ca="1">IFERROR(计算区域!O1389,NA())</f>
        <v>#N/A</v>
      </c>
      <c r="Q1387" t="e">
        <f ca="1">IFERROR(计算区域!R1389,NA())</f>
        <v>#N/A</v>
      </c>
      <c r="R1387" t="e">
        <f ca="1">IFERROR(计算区域!S1389,NA())</f>
        <v>#N/A</v>
      </c>
      <c r="S1387" t="e">
        <f ca="1">IFERROR(计算区域!T1389,NA())</f>
        <v>#N/A</v>
      </c>
      <c r="T1387" t="e">
        <f ca="1">IFERROR(计算区域!U1389,NA())</f>
        <v>#N/A</v>
      </c>
      <c r="V1387" t="e">
        <f ca="1">IFERROR(计算区域!X1389,NA())</f>
        <v>#N/A</v>
      </c>
      <c r="W1387" t="e">
        <f ca="1">IFERROR(计算区域!Y1389,NA())</f>
        <v>#N/A</v>
      </c>
      <c r="X1387" t="e">
        <f ca="1">IFERROR(计算区域!Z1389,NA())</f>
        <v>#N/A</v>
      </c>
      <c r="Y1387" t="e">
        <f ca="1">IFERROR(计算区域!AA1389,NA())</f>
        <v>#N/A</v>
      </c>
    </row>
    <row r="1388" spans="1:25" x14ac:dyDescent="0.2">
      <c r="A1388" s="28">
        <f>计算区域!E1390</f>
        <v>0</v>
      </c>
      <c r="B1388" t="e">
        <f ca="1">IFERROR(计算区域!AJ1390,NA())</f>
        <v>#N/A</v>
      </c>
      <c r="C1388" t="e">
        <f ca="1">IFERROR(计算区域!AK1390,NA())</f>
        <v>#N/A</v>
      </c>
      <c r="D1388" t="e">
        <f ca="1">IFERROR(计算区域!AL1390,NA())</f>
        <v>#N/A</v>
      </c>
      <c r="E1388" t="e">
        <f ca="1">IFERROR(计算区域!AM1390,NA())</f>
        <v>#N/A</v>
      </c>
      <c r="G1388" t="e">
        <f ca="1">IFERROR(计算区域!AD1390,NA())</f>
        <v>#N/A</v>
      </c>
      <c r="H1388" t="e">
        <f ca="1">IFERROR(计算区域!AE1390,NA())</f>
        <v>#N/A</v>
      </c>
      <c r="I1388" t="e">
        <f ca="1">IFERROR(计算区域!AF1390,NA())</f>
        <v>#N/A</v>
      </c>
      <c r="J1388" t="e">
        <f ca="1">IFERROR(计算区域!AG1390,NA())</f>
        <v>#N/A</v>
      </c>
      <c r="L1388" t="e">
        <f ca="1">IFERROR(计算区域!L1390,NA())</f>
        <v>#N/A</v>
      </c>
      <c r="M1388" t="e">
        <f ca="1">IFERROR(计算区域!M1390,NA())</f>
        <v>#N/A</v>
      </c>
      <c r="N1388" t="e">
        <f ca="1">IFERROR(计算区域!N1390,NA())</f>
        <v>#N/A</v>
      </c>
      <c r="O1388" t="e">
        <f ca="1">IFERROR(计算区域!O1390,NA())</f>
        <v>#N/A</v>
      </c>
      <c r="Q1388" t="e">
        <f ca="1">IFERROR(计算区域!R1390,NA())</f>
        <v>#N/A</v>
      </c>
      <c r="R1388" t="e">
        <f ca="1">IFERROR(计算区域!S1390,NA())</f>
        <v>#N/A</v>
      </c>
      <c r="S1388" t="e">
        <f ca="1">IFERROR(计算区域!T1390,NA())</f>
        <v>#N/A</v>
      </c>
      <c r="T1388" t="e">
        <f ca="1">IFERROR(计算区域!U1390,NA())</f>
        <v>#N/A</v>
      </c>
      <c r="V1388" t="e">
        <f ca="1">IFERROR(计算区域!X1390,NA())</f>
        <v>#N/A</v>
      </c>
      <c r="W1388" t="e">
        <f ca="1">IFERROR(计算区域!Y1390,NA())</f>
        <v>#N/A</v>
      </c>
      <c r="X1388" t="e">
        <f ca="1">IFERROR(计算区域!Z1390,NA())</f>
        <v>#N/A</v>
      </c>
      <c r="Y1388" t="e">
        <f ca="1">IFERROR(计算区域!AA1390,NA())</f>
        <v>#N/A</v>
      </c>
    </row>
    <row r="1389" spans="1:25" x14ac:dyDescent="0.2">
      <c r="A1389" s="28">
        <f>计算区域!E1391</f>
        <v>0</v>
      </c>
      <c r="B1389" t="e">
        <f ca="1">IFERROR(计算区域!AJ1391,NA())</f>
        <v>#N/A</v>
      </c>
      <c r="C1389" t="e">
        <f ca="1">IFERROR(计算区域!AK1391,NA())</f>
        <v>#N/A</v>
      </c>
      <c r="D1389" t="e">
        <f ca="1">IFERROR(计算区域!AL1391,NA())</f>
        <v>#N/A</v>
      </c>
      <c r="E1389" t="e">
        <f ca="1">IFERROR(计算区域!AM1391,NA())</f>
        <v>#N/A</v>
      </c>
      <c r="G1389" t="e">
        <f ca="1">IFERROR(计算区域!AD1391,NA())</f>
        <v>#N/A</v>
      </c>
      <c r="H1389" t="e">
        <f ca="1">IFERROR(计算区域!AE1391,NA())</f>
        <v>#N/A</v>
      </c>
      <c r="I1389" t="e">
        <f ca="1">IFERROR(计算区域!AF1391,NA())</f>
        <v>#N/A</v>
      </c>
      <c r="J1389" t="e">
        <f ca="1">IFERROR(计算区域!AG1391,NA())</f>
        <v>#N/A</v>
      </c>
      <c r="L1389" t="e">
        <f ca="1">IFERROR(计算区域!L1391,NA())</f>
        <v>#N/A</v>
      </c>
      <c r="M1389" t="e">
        <f ca="1">IFERROR(计算区域!M1391,NA())</f>
        <v>#N/A</v>
      </c>
      <c r="N1389" t="e">
        <f ca="1">IFERROR(计算区域!N1391,NA())</f>
        <v>#N/A</v>
      </c>
      <c r="O1389" t="e">
        <f ca="1">IFERROR(计算区域!O1391,NA())</f>
        <v>#N/A</v>
      </c>
      <c r="Q1389" t="e">
        <f ca="1">IFERROR(计算区域!R1391,NA())</f>
        <v>#N/A</v>
      </c>
      <c r="R1389" t="e">
        <f ca="1">IFERROR(计算区域!S1391,NA())</f>
        <v>#N/A</v>
      </c>
      <c r="S1389" t="e">
        <f ca="1">IFERROR(计算区域!T1391,NA())</f>
        <v>#N/A</v>
      </c>
      <c r="T1389" t="e">
        <f ca="1">IFERROR(计算区域!U1391,NA())</f>
        <v>#N/A</v>
      </c>
      <c r="V1389" t="e">
        <f ca="1">IFERROR(计算区域!X1391,NA())</f>
        <v>#N/A</v>
      </c>
      <c r="W1389" t="e">
        <f ca="1">IFERROR(计算区域!Y1391,NA())</f>
        <v>#N/A</v>
      </c>
      <c r="X1389" t="e">
        <f ca="1">IFERROR(计算区域!Z1391,NA())</f>
        <v>#N/A</v>
      </c>
      <c r="Y1389" t="e">
        <f ca="1">IFERROR(计算区域!AA1391,NA())</f>
        <v>#N/A</v>
      </c>
    </row>
    <row r="1390" spans="1:25" x14ac:dyDescent="0.2">
      <c r="A1390" s="28">
        <f>计算区域!E1392</f>
        <v>0</v>
      </c>
      <c r="B1390" t="e">
        <f ca="1">IFERROR(计算区域!AJ1392,NA())</f>
        <v>#N/A</v>
      </c>
      <c r="C1390" t="e">
        <f ca="1">IFERROR(计算区域!AK1392,NA())</f>
        <v>#N/A</v>
      </c>
      <c r="D1390" t="e">
        <f ca="1">IFERROR(计算区域!AL1392,NA())</f>
        <v>#N/A</v>
      </c>
      <c r="E1390" t="e">
        <f ca="1">IFERROR(计算区域!AM1392,NA())</f>
        <v>#N/A</v>
      </c>
      <c r="G1390" t="e">
        <f ca="1">IFERROR(计算区域!AD1392,NA())</f>
        <v>#N/A</v>
      </c>
      <c r="H1390" t="e">
        <f ca="1">IFERROR(计算区域!AE1392,NA())</f>
        <v>#N/A</v>
      </c>
      <c r="I1390" t="e">
        <f ca="1">IFERROR(计算区域!AF1392,NA())</f>
        <v>#N/A</v>
      </c>
      <c r="J1390" t="e">
        <f ca="1">IFERROR(计算区域!AG1392,NA())</f>
        <v>#N/A</v>
      </c>
      <c r="L1390" t="e">
        <f ca="1">IFERROR(计算区域!L1392,NA())</f>
        <v>#N/A</v>
      </c>
      <c r="M1390" t="e">
        <f ca="1">IFERROR(计算区域!M1392,NA())</f>
        <v>#N/A</v>
      </c>
      <c r="N1390" t="e">
        <f ca="1">IFERROR(计算区域!N1392,NA())</f>
        <v>#N/A</v>
      </c>
      <c r="O1390" t="e">
        <f ca="1">IFERROR(计算区域!O1392,NA())</f>
        <v>#N/A</v>
      </c>
      <c r="Q1390" t="e">
        <f ca="1">IFERROR(计算区域!R1392,NA())</f>
        <v>#N/A</v>
      </c>
      <c r="R1390" t="e">
        <f ca="1">IFERROR(计算区域!S1392,NA())</f>
        <v>#N/A</v>
      </c>
      <c r="S1390" t="e">
        <f ca="1">IFERROR(计算区域!T1392,NA())</f>
        <v>#N/A</v>
      </c>
      <c r="T1390" t="e">
        <f ca="1">IFERROR(计算区域!U1392,NA())</f>
        <v>#N/A</v>
      </c>
      <c r="V1390" t="e">
        <f ca="1">IFERROR(计算区域!X1392,NA())</f>
        <v>#N/A</v>
      </c>
      <c r="W1390" t="e">
        <f ca="1">IFERROR(计算区域!Y1392,NA())</f>
        <v>#N/A</v>
      </c>
      <c r="X1390" t="e">
        <f ca="1">IFERROR(计算区域!Z1392,NA())</f>
        <v>#N/A</v>
      </c>
      <c r="Y1390" t="e">
        <f ca="1">IFERROR(计算区域!AA1392,NA())</f>
        <v>#N/A</v>
      </c>
    </row>
    <row r="1391" spans="1:25" x14ac:dyDescent="0.2">
      <c r="A1391" s="28">
        <f>计算区域!E1393</f>
        <v>0</v>
      </c>
      <c r="B1391" t="e">
        <f ca="1">IFERROR(计算区域!AJ1393,NA())</f>
        <v>#N/A</v>
      </c>
      <c r="C1391" t="e">
        <f ca="1">IFERROR(计算区域!AK1393,NA())</f>
        <v>#N/A</v>
      </c>
      <c r="D1391" t="e">
        <f ca="1">IFERROR(计算区域!AL1393,NA())</f>
        <v>#N/A</v>
      </c>
      <c r="E1391" t="e">
        <f ca="1">IFERROR(计算区域!AM1393,NA())</f>
        <v>#N/A</v>
      </c>
      <c r="G1391" t="e">
        <f ca="1">IFERROR(计算区域!AD1393,NA())</f>
        <v>#N/A</v>
      </c>
      <c r="H1391" t="e">
        <f ca="1">IFERROR(计算区域!AE1393,NA())</f>
        <v>#N/A</v>
      </c>
      <c r="I1391" t="e">
        <f ca="1">IFERROR(计算区域!AF1393,NA())</f>
        <v>#N/A</v>
      </c>
      <c r="J1391" t="e">
        <f ca="1">IFERROR(计算区域!AG1393,NA())</f>
        <v>#N/A</v>
      </c>
      <c r="L1391" t="e">
        <f ca="1">IFERROR(计算区域!L1393,NA())</f>
        <v>#N/A</v>
      </c>
      <c r="M1391" t="e">
        <f ca="1">IFERROR(计算区域!M1393,NA())</f>
        <v>#N/A</v>
      </c>
      <c r="N1391" t="e">
        <f ca="1">IFERROR(计算区域!N1393,NA())</f>
        <v>#N/A</v>
      </c>
      <c r="O1391" t="e">
        <f ca="1">IFERROR(计算区域!O1393,NA())</f>
        <v>#N/A</v>
      </c>
      <c r="Q1391" t="e">
        <f ca="1">IFERROR(计算区域!R1393,NA())</f>
        <v>#N/A</v>
      </c>
      <c r="R1391" t="e">
        <f ca="1">IFERROR(计算区域!S1393,NA())</f>
        <v>#N/A</v>
      </c>
      <c r="S1391" t="e">
        <f ca="1">IFERROR(计算区域!T1393,NA())</f>
        <v>#N/A</v>
      </c>
      <c r="T1391" t="e">
        <f ca="1">IFERROR(计算区域!U1393,NA())</f>
        <v>#N/A</v>
      </c>
      <c r="V1391" t="e">
        <f ca="1">IFERROR(计算区域!X1393,NA())</f>
        <v>#N/A</v>
      </c>
      <c r="W1391" t="e">
        <f ca="1">IFERROR(计算区域!Y1393,NA())</f>
        <v>#N/A</v>
      </c>
      <c r="X1391" t="e">
        <f ca="1">IFERROR(计算区域!Z1393,NA())</f>
        <v>#N/A</v>
      </c>
      <c r="Y1391" t="e">
        <f ca="1">IFERROR(计算区域!AA1393,NA())</f>
        <v>#N/A</v>
      </c>
    </row>
    <row r="1392" spans="1:25" x14ac:dyDescent="0.2">
      <c r="A1392" s="28">
        <f>计算区域!E1394</f>
        <v>0</v>
      </c>
      <c r="B1392" t="e">
        <f ca="1">IFERROR(计算区域!AJ1394,NA())</f>
        <v>#N/A</v>
      </c>
      <c r="C1392" t="e">
        <f ca="1">IFERROR(计算区域!AK1394,NA())</f>
        <v>#N/A</v>
      </c>
      <c r="D1392" t="e">
        <f ca="1">IFERROR(计算区域!AL1394,NA())</f>
        <v>#N/A</v>
      </c>
      <c r="E1392" t="e">
        <f ca="1">IFERROR(计算区域!AM1394,NA())</f>
        <v>#N/A</v>
      </c>
      <c r="G1392" t="e">
        <f ca="1">IFERROR(计算区域!AD1394,NA())</f>
        <v>#N/A</v>
      </c>
      <c r="H1392" t="e">
        <f ca="1">IFERROR(计算区域!AE1394,NA())</f>
        <v>#N/A</v>
      </c>
      <c r="I1392" t="e">
        <f ca="1">IFERROR(计算区域!AF1394,NA())</f>
        <v>#N/A</v>
      </c>
      <c r="J1392" t="e">
        <f ca="1">IFERROR(计算区域!AG1394,NA())</f>
        <v>#N/A</v>
      </c>
      <c r="L1392" t="e">
        <f ca="1">IFERROR(计算区域!L1394,NA())</f>
        <v>#N/A</v>
      </c>
      <c r="M1392" t="e">
        <f ca="1">IFERROR(计算区域!M1394,NA())</f>
        <v>#N/A</v>
      </c>
      <c r="N1392" t="e">
        <f ca="1">IFERROR(计算区域!N1394,NA())</f>
        <v>#N/A</v>
      </c>
      <c r="O1392" t="e">
        <f ca="1">IFERROR(计算区域!O1394,NA())</f>
        <v>#N/A</v>
      </c>
      <c r="Q1392" t="e">
        <f ca="1">IFERROR(计算区域!R1394,NA())</f>
        <v>#N/A</v>
      </c>
      <c r="R1392" t="e">
        <f ca="1">IFERROR(计算区域!S1394,NA())</f>
        <v>#N/A</v>
      </c>
      <c r="S1392" t="e">
        <f ca="1">IFERROR(计算区域!T1394,NA())</f>
        <v>#N/A</v>
      </c>
      <c r="T1392" t="e">
        <f ca="1">IFERROR(计算区域!U1394,NA())</f>
        <v>#N/A</v>
      </c>
      <c r="V1392" t="e">
        <f ca="1">IFERROR(计算区域!X1394,NA())</f>
        <v>#N/A</v>
      </c>
      <c r="W1392" t="e">
        <f ca="1">IFERROR(计算区域!Y1394,NA())</f>
        <v>#N/A</v>
      </c>
      <c r="X1392" t="e">
        <f ca="1">IFERROR(计算区域!Z1394,NA())</f>
        <v>#N/A</v>
      </c>
      <c r="Y1392" t="e">
        <f ca="1">IFERROR(计算区域!AA1394,NA())</f>
        <v>#N/A</v>
      </c>
    </row>
    <row r="1393" spans="1:25" x14ac:dyDescent="0.2">
      <c r="A1393" s="28">
        <f>计算区域!E1395</f>
        <v>0</v>
      </c>
      <c r="B1393" t="e">
        <f ca="1">IFERROR(计算区域!AJ1395,NA())</f>
        <v>#N/A</v>
      </c>
      <c r="C1393" t="e">
        <f ca="1">IFERROR(计算区域!AK1395,NA())</f>
        <v>#N/A</v>
      </c>
      <c r="D1393" t="e">
        <f ca="1">IFERROR(计算区域!AL1395,NA())</f>
        <v>#N/A</v>
      </c>
      <c r="E1393" t="e">
        <f ca="1">IFERROR(计算区域!AM1395,NA())</f>
        <v>#N/A</v>
      </c>
      <c r="G1393" t="e">
        <f ca="1">IFERROR(计算区域!AD1395,NA())</f>
        <v>#N/A</v>
      </c>
      <c r="H1393" t="e">
        <f ca="1">IFERROR(计算区域!AE1395,NA())</f>
        <v>#N/A</v>
      </c>
      <c r="I1393" t="e">
        <f ca="1">IFERROR(计算区域!AF1395,NA())</f>
        <v>#N/A</v>
      </c>
      <c r="J1393" t="e">
        <f ca="1">IFERROR(计算区域!AG1395,NA())</f>
        <v>#N/A</v>
      </c>
      <c r="L1393" t="e">
        <f ca="1">IFERROR(计算区域!L1395,NA())</f>
        <v>#N/A</v>
      </c>
      <c r="M1393" t="e">
        <f ca="1">IFERROR(计算区域!M1395,NA())</f>
        <v>#N/A</v>
      </c>
      <c r="N1393" t="e">
        <f ca="1">IFERROR(计算区域!N1395,NA())</f>
        <v>#N/A</v>
      </c>
      <c r="O1393" t="e">
        <f ca="1">IFERROR(计算区域!O1395,NA())</f>
        <v>#N/A</v>
      </c>
      <c r="Q1393" t="e">
        <f ca="1">IFERROR(计算区域!R1395,NA())</f>
        <v>#N/A</v>
      </c>
      <c r="R1393" t="e">
        <f ca="1">IFERROR(计算区域!S1395,NA())</f>
        <v>#N/A</v>
      </c>
      <c r="S1393" t="e">
        <f ca="1">IFERROR(计算区域!T1395,NA())</f>
        <v>#N/A</v>
      </c>
      <c r="T1393" t="e">
        <f ca="1">IFERROR(计算区域!U1395,NA())</f>
        <v>#N/A</v>
      </c>
      <c r="V1393" t="e">
        <f ca="1">IFERROR(计算区域!X1395,NA())</f>
        <v>#N/A</v>
      </c>
      <c r="W1393" t="e">
        <f ca="1">IFERROR(计算区域!Y1395,NA())</f>
        <v>#N/A</v>
      </c>
      <c r="X1393" t="e">
        <f ca="1">IFERROR(计算区域!Z1395,NA())</f>
        <v>#N/A</v>
      </c>
      <c r="Y1393" t="e">
        <f ca="1">IFERROR(计算区域!AA1395,NA())</f>
        <v>#N/A</v>
      </c>
    </row>
    <row r="1394" spans="1:25" x14ac:dyDescent="0.2">
      <c r="A1394" s="28">
        <f>计算区域!E1396</f>
        <v>0</v>
      </c>
      <c r="B1394" t="e">
        <f ca="1">IFERROR(计算区域!AJ1396,NA())</f>
        <v>#N/A</v>
      </c>
      <c r="C1394" t="e">
        <f ca="1">IFERROR(计算区域!AK1396,NA())</f>
        <v>#N/A</v>
      </c>
      <c r="D1394" t="e">
        <f ca="1">IFERROR(计算区域!AL1396,NA())</f>
        <v>#N/A</v>
      </c>
      <c r="E1394" t="e">
        <f ca="1">IFERROR(计算区域!AM1396,NA())</f>
        <v>#N/A</v>
      </c>
      <c r="G1394" t="e">
        <f ca="1">IFERROR(计算区域!AD1396,NA())</f>
        <v>#N/A</v>
      </c>
      <c r="H1394" t="e">
        <f ca="1">IFERROR(计算区域!AE1396,NA())</f>
        <v>#N/A</v>
      </c>
      <c r="I1394" t="e">
        <f ca="1">IFERROR(计算区域!AF1396,NA())</f>
        <v>#N/A</v>
      </c>
      <c r="J1394" t="e">
        <f ca="1">IFERROR(计算区域!AG1396,NA())</f>
        <v>#N/A</v>
      </c>
      <c r="L1394" t="e">
        <f ca="1">IFERROR(计算区域!L1396,NA())</f>
        <v>#N/A</v>
      </c>
      <c r="M1394" t="e">
        <f ca="1">IFERROR(计算区域!M1396,NA())</f>
        <v>#N/A</v>
      </c>
      <c r="N1394" t="e">
        <f ca="1">IFERROR(计算区域!N1396,NA())</f>
        <v>#N/A</v>
      </c>
      <c r="O1394" t="e">
        <f ca="1">IFERROR(计算区域!O1396,NA())</f>
        <v>#N/A</v>
      </c>
      <c r="Q1394" t="e">
        <f ca="1">IFERROR(计算区域!R1396,NA())</f>
        <v>#N/A</v>
      </c>
      <c r="R1394" t="e">
        <f ca="1">IFERROR(计算区域!S1396,NA())</f>
        <v>#N/A</v>
      </c>
      <c r="S1394" t="e">
        <f ca="1">IFERROR(计算区域!T1396,NA())</f>
        <v>#N/A</v>
      </c>
      <c r="T1394" t="e">
        <f ca="1">IFERROR(计算区域!U1396,NA())</f>
        <v>#N/A</v>
      </c>
      <c r="V1394" t="e">
        <f ca="1">IFERROR(计算区域!X1396,NA())</f>
        <v>#N/A</v>
      </c>
      <c r="W1394" t="e">
        <f ca="1">IFERROR(计算区域!Y1396,NA())</f>
        <v>#N/A</v>
      </c>
      <c r="X1394" t="e">
        <f ca="1">IFERROR(计算区域!Z1396,NA())</f>
        <v>#N/A</v>
      </c>
      <c r="Y1394" t="e">
        <f ca="1">IFERROR(计算区域!AA1396,NA())</f>
        <v>#N/A</v>
      </c>
    </row>
    <row r="1395" spans="1:25" x14ac:dyDescent="0.2">
      <c r="A1395" s="28">
        <f>计算区域!E1397</f>
        <v>0</v>
      </c>
      <c r="B1395" t="e">
        <f ca="1">IFERROR(计算区域!AJ1397,NA())</f>
        <v>#N/A</v>
      </c>
      <c r="C1395" t="e">
        <f ca="1">IFERROR(计算区域!AK1397,NA())</f>
        <v>#N/A</v>
      </c>
      <c r="D1395" t="e">
        <f ca="1">IFERROR(计算区域!AL1397,NA())</f>
        <v>#N/A</v>
      </c>
      <c r="E1395" t="e">
        <f ca="1">IFERROR(计算区域!AM1397,NA())</f>
        <v>#N/A</v>
      </c>
      <c r="G1395" t="e">
        <f ca="1">IFERROR(计算区域!AD1397,NA())</f>
        <v>#N/A</v>
      </c>
      <c r="H1395" t="e">
        <f ca="1">IFERROR(计算区域!AE1397,NA())</f>
        <v>#N/A</v>
      </c>
      <c r="I1395" t="e">
        <f ca="1">IFERROR(计算区域!AF1397,NA())</f>
        <v>#N/A</v>
      </c>
      <c r="J1395" t="e">
        <f ca="1">IFERROR(计算区域!AG1397,NA())</f>
        <v>#N/A</v>
      </c>
      <c r="L1395" t="e">
        <f ca="1">IFERROR(计算区域!L1397,NA())</f>
        <v>#N/A</v>
      </c>
      <c r="M1395" t="e">
        <f ca="1">IFERROR(计算区域!M1397,NA())</f>
        <v>#N/A</v>
      </c>
      <c r="N1395" t="e">
        <f ca="1">IFERROR(计算区域!N1397,NA())</f>
        <v>#N/A</v>
      </c>
      <c r="O1395" t="e">
        <f ca="1">IFERROR(计算区域!O1397,NA())</f>
        <v>#N/A</v>
      </c>
      <c r="Q1395" t="e">
        <f ca="1">IFERROR(计算区域!R1397,NA())</f>
        <v>#N/A</v>
      </c>
      <c r="R1395" t="e">
        <f ca="1">IFERROR(计算区域!S1397,NA())</f>
        <v>#N/A</v>
      </c>
      <c r="S1395" t="e">
        <f ca="1">IFERROR(计算区域!T1397,NA())</f>
        <v>#N/A</v>
      </c>
      <c r="T1395" t="e">
        <f ca="1">IFERROR(计算区域!U1397,NA())</f>
        <v>#N/A</v>
      </c>
      <c r="V1395" t="e">
        <f ca="1">IFERROR(计算区域!X1397,NA())</f>
        <v>#N/A</v>
      </c>
      <c r="W1395" t="e">
        <f ca="1">IFERROR(计算区域!Y1397,NA())</f>
        <v>#N/A</v>
      </c>
      <c r="X1395" t="e">
        <f ca="1">IFERROR(计算区域!Z1397,NA())</f>
        <v>#N/A</v>
      </c>
      <c r="Y1395" t="e">
        <f ca="1">IFERROR(计算区域!AA1397,NA())</f>
        <v>#N/A</v>
      </c>
    </row>
    <row r="1396" spans="1:25" x14ac:dyDescent="0.2">
      <c r="A1396" s="28">
        <f>计算区域!E1398</f>
        <v>0</v>
      </c>
      <c r="B1396" t="e">
        <f ca="1">IFERROR(计算区域!AJ1398,NA())</f>
        <v>#N/A</v>
      </c>
      <c r="C1396" t="e">
        <f ca="1">IFERROR(计算区域!AK1398,NA())</f>
        <v>#N/A</v>
      </c>
      <c r="D1396" t="e">
        <f ca="1">IFERROR(计算区域!AL1398,NA())</f>
        <v>#N/A</v>
      </c>
      <c r="E1396" t="e">
        <f ca="1">IFERROR(计算区域!AM1398,NA())</f>
        <v>#N/A</v>
      </c>
      <c r="G1396" t="e">
        <f ca="1">IFERROR(计算区域!AD1398,NA())</f>
        <v>#N/A</v>
      </c>
      <c r="H1396" t="e">
        <f ca="1">IFERROR(计算区域!AE1398,NA())</f>
        <v>#N/A</v>
      </c>
      <c r="I1396" t="e">
        <f ca="1">IFERROR(计算区域!AF1398,NA())</f>
        <v>#N/A</v>
      </c>
      <c r="J1396" t="e">
        <f ca="1">IFERROR(计算区域!AG1398,NA())</f>
        <v>#N/A</v>
      </c>
      <c r="L1396" t="e">
        <f ca="1">IFERROR(计算区域!L1398,NA())</f>
        <v>#N/A</v>
      </c>
      <c r="M1396" t="e">
        <f ca="1">IFERROR(计算区域!M1398,NA())</f>
        <v>#N/A</v>
      </c>
      <c r="N1396" t="e">
        <f ca="1">IFERROR(计算区域!N1398,NA())</f>
        <v>#N/A</v>
      </c>
      <c r="O1396" t="e">
        <f ca="1">IFERROR(计算区域!O1398,NA())</f>
        <v>#N/A</v>
      </c>
      <c r="Q1396" t="e">
        <f ca="1">IFERROR(计算区域!R1398,NA())</f>
        <v>#N/A</v>
      </c>
      <c r="R1396" t="e">
        <f ca="1">IFERROR(计算区域!S1398,NA())</f>
        <v>#N/A</v>
      </c>
      <c r="S1396" t="e">
        <f ca="1">IFERROR(计算区域!T1398,NA())</f>
        <v>#N/A</v>
      </c>
      <c r="T1396" t="e">
        <f ca="1">IFERROR(计算区域!U1398,NA())</f>
        <v>#N/A</v>
      </c>
      <c r="V1396" t="e">
        <f ca="1">IFERROR(计算区域!X1398,NA())</f>
        <v>#N/A</v>
      </c>
      <c r="W1396" t="e">
        <f ca="1">IFERROR(计算区域!Y1398,NA())</f>
        <v>#N/A</v>
      </c>
      <c r="X1396" t="e">
        <f ca="1">IFERROR(计算区域!Z1398,NA())</f>
        <v>#N/A</v>
      </c>
      <c r="Y1396" t="e">
        <f ca="1">IFERROR(计算区域!AA1398,NA())</f>
        <v>#N/A</v>
      </c>
    </row>
    <row r="1397" spans="1:25" x14ac:dyDescent="0.2">
      <c r="A1397" s="28">
        <f>计算区域!E1399</f>
        <v>0</v>
      </c>
      <c r="B1397" t="e">
        <f ca="1">IFERROR(计算区域!AJ1399,NA())</f>
        <v>#N/A</v>
      </c>
      <c r="C1397" t="e">
        <f ca="1">IFERROR(计算区域!AK1399,NA())</f>
        <v>#N/A</v>
      </c>
      <c r="D1397" t="e">
        <f ca="1">IFERROR(计算区域!AL1399,NA())</f>
        <v>#N/A</v>
      </c>
      <c r="E1397" t="e">
        <f ca="1">IFERROR(计算区域!AM1399,NA())</f>
        <v>#N/A</v>
      </c>
      <c r="G1397" t="e">
        <f ca="1">IFERROR(计算区域!AD1399,NA())</f>
        <v>#N/A</v>
      </c>
      <c r="H1397" t="e">
        <f ca="1">IFERROR(计算区域!AE1399,NA())</f>
        <v>#N/A</v>
      </c>
      <c r="I1397" t="e">
        <f ca="1">IFERROR(计算区域!AF1399,NA())</f>
        <v>#N/A</v>
      </c>
      <c r="J1397" t="e">
        <f ca="1">IFERROR(计算区域!AG1399,NA())</f>
        <v>#N/A</v>
      </c>
      <c r="L1397" t="e">
        <f ca="1">IFERROR(计算区域!L1399,NA())</f>
        <v>#N/A</v>
      </c>
      <c r="M1397" t="e">
        <f ca="1">IFERROR(计算区域!M1399,NA())</f>
        <v>#N/A</v>
      </c>
      <c r="N1397" t="e">
        <f ca="1">IFERROR(计算区域!N1399,NA())</f>
        <v>#N/A</v>
      </c>
      <c r="O1397" t="e">
        <f ca="1">IFERROR(计算区域!O1399,NA())</f>
        <v>#N/A</v>
      </c>
      <c r="Q1397" t="e">
        <f ca="1">IFERROR(计算区域!R1399,NA())</f>
        <v>#N/A</v>
      </c>
      <c r="R1397" t="e">
        <f ca="1">IFERROR(计算区域!S1399,NA())</f>
        <v>#N/A</v>
      </c>
      <c r="S1397" t="e">
        <f ca="1">IFERROR(计算区域!T1399,NA())</f>
        <v>#N/A</v>
      </c>
      <c r="T1397" t="e">
        <f ca="1">IFERROR(计算区域!U1399,NA())</f>
        <v>#N/A</v>
      </c>
      <c r="V1397" t="e">
        <f ca="1">IFERROR(计算区域!X1399,NA())</f>
        <v>#N/A</v>
      </c>
      <c r="W1397" t="e">
        <f ca="1">IFERROR(计算区域!Y1399,NA())</f>
        <v>#N/A</v>
      </c>
      <c r="X1397" t="e">
        <f ca="1">IFERROR(计算区域!Z1399,NA())</f>
        <v>#N/A</v>
      </c>
      <c r="Y1397" t="e">
        <f ca="1">IFERROR(计算区域!AA1399,NA())</f>
        <v>#N/A</v>
      </c>
    </row>
    <row r="1398" spans="1:25" x14ac:dyDescent="0.2">
      <c r="A1398" s="28">
        <f>计算区域!E1400</f>
        <v>0</v>
      </c>
      <c r="B1398" t="e">
        <f ca="1">IFERROR(计算区域!AJ1400,NA())</f>
        <v>#N/A</v>
      </c>
      <c r="C1398" t="e">
        <f ca="1">IFERROR(计算区域!AK1400,NA())</f>
        <v>#N/A</v>
      </c>
      <c r="D1398" t="e">
        <f ca="1">IFERROR(计算区域!AL1400,NA())</f>
        <v>#N/A</v>
      </c>
      <c r="E1398" t="e">
        <f ca="1">IFERROR(计算区域!AM1400,NA())</f>
        <v>#N/A</v>
      </c>
      <c r="G1398" t="e">
        <f ca="1">IFERROR(计算区域!AD1400,NA())</f>
        <v>#N/A</v>
      </c>
      <c r="H1398" t="e">
        <f ca="1">IFERROR(计算区域!AE1400,NA())</f>
        <v>#N/A</v>
      </c>
      <c r="I1398" t="e">
        <f ca="1">IFERROR(计算区域!AF1400,NA())</f>
        <v>#N/A</v>
      </c>
      <c r="J1398" t="e">
        <f ca="1">IFERROR(计算区域!AG1400,NA())</f>
        <v>#N/A</v>
      </c>
      <c r="L1398" t="e">
        <f ca="1">IFERROR(计算区域!L1400,NA())</f>
        <v>#N/A</v>
      </c>
      <c r="M1398" t="e">
        <f ca="1">IFERROR(计算区域!M1400,NA())</f>
        <v>#N/A</v>
      </c>
      <c r="N1398" t="e">
        <f ca="1">IFERROR(计算区域!N1400,NA())</f>
        <v>#N/A</v>
      </c>
      <c r="O1398" t="e">
        <f ca="1">IFERROR(计算区域!O1400,NA())</f>
        <v>#N/A</v>
      </c>
      <c r="Q1398" t="e">
        <f ca="1">IFERROR(计算区域!R1400,NA())</f>
        <v>#N/A</v>
      </c>
      <c r="R1398" t="e">
        <f ca="1">IFERROR(计算区域!S1400,NA())</f>
        <v>#N/A</v>
      </c>
      <c r="S1398" t="e">
        <f ca="1">IFERROR(计算区域!T1400,NA())</f>
        <v>#N/A</v>
      </c>
      <c r="T1398" t="e">
        <f ca="1">IFERROR(计算区域!U1400,NA())</f>
        <v>#N/A</v>
      </c>
      <c r="V1398" t="e">
        <f ca="1">IFERROR(计算区域!X1400,NA())</f>
        <v>#N/A</v>
      </c>
      <c r="W1398" t="e">
        <f ca="1">IFERROR(计算区域!Y1400,NA())</f>
        <v>#N/A</v>
      </c>
      <c r="X1398" t="e">
        <f ca="1">IFERROR(计算区域!Z1400,NA())</f>
        <v>#N/A</v>
      </c>
      <c r="Y1398" t="e">
        <f ca="1">IFERROR(计算区域!AA1400,NA())</f>
        <v>#N/A</v>
      </c>
    </row>
    <row r="1399" spans="1:25" x14ac:dyDescent="0.2">
      <c r="A1399" s="28">
        <f>计算区域!E1401</f>
        <v>0</v>
      </c>
      <c r="B1399" t="e">
        <f ca="1">IFERROR(计算区域!AJ1401,NA())</f>
        <v>#N/A</v>
      </c>
      <c r="C1399" t="e">
        <f ca="1">IFERROR(计算区域!AK1401,NA())</f>
        <v>#N/A</v>
      </c>
      <c r="D1399" t="e">
        <f ca="1">IFERROR(计算区域!AL1401,NA())</f>
        <v>#N/A</v>
      </c>
      <c r="E1399" t="e">
        <f ca="1">IFERROR(计算区域!AM1401,NA())</f>
        <v>#N/A</v>
      </c>
      <c r="G1399" t="e">
        <f ca="1">IFERROR(计算区域!AD1401,NA())</f>
        <v>#N/A</v>
      </c>
      <c r="H1399" t="e">
        <f ca="1">IFERROR(计算区域!AE1401,NA())</f>
        <v>#N/A</v>
      </c>
      <c r="I1399" t="e">
        <f ca="1">IFERROR(计算区域!AF1401,NA())</f>
        <v>#N/A</v>
      </c>
      <c r="J1399" t="e">
        <f ca="1">IFERROR(计算区域!AG1401,NA())</f>
        <v>#N/A</v>
      </c>
      <c r="L1399" t="e">
        <f ca="1">IFERROR(计算区域!L1401,NA())</f>
        <v>#N/A</v>
      </c>
      <c r="M1399" t="e">
        <f ca="1">IFERROR(计算区域!M1401,NA())</f>
        <v>#N/A</v>
      </c>
      <c r="N1399" t="e">
        <f ca="1">IFERROR(计算区域!N1401,NA())</f>
        <v>#N/A</v>
      </c>
      <c r="O1399" t="e">
        <f ca="1">IFERROR(计算区域!O1401,NA())</f>
        <v>#N/A</v>
      </c>
      <c r="Q1399" t="e">
        <f ca="1">IFERROR(计算区域!R1401,NA())</f>
        <v>#N/A</v>
      </c>
      <c r="R1399" t="e">
        <f ca="1">IFERROR(计算区域!S1401,NA())</f>
        <v>#N/A</v>
      </c>
      <c r="S1399" t="e">
        <f ca="1">IFERROR(计算区域!T1401,NA())</f>
        <v>#N/A</v>
      </c>
      <c r="T1399" t="e">
        <f ca="1">IFERROR(计算区域!U1401,NA())</f>
        <v>#N/A</v>
      </c>
      <c r="V1399" t="e">
        <f ca="1">IFERROR(计算区域!X1401,NA())</f>
        <v>#N/A</v>
      </c>
      <c r="W1399" t="e">
        <f ca="1">IFERROR(计算区域!Y1401,NA())</f>
        <v>#N/A</v>
      </c>
      <c r="X1399" t="e">
        <f ca="1">IFERROR(计算区域!Z1401,NA())</f>
        <v>#N/A</v>
      </c>
      <c r="Y1399" t="e">
        <f ca="1">IFERROR(计算区域!AA1401,NA())</f>
        <v>#N/A</v>
      </c>
    </row>
    <row r="1400" spans="1:25" x14ac:dyDescent="0.2">
      <c r="A1400" s="28">
        <f>计算区域!E1402</f>
        <v>0</v>
      </c>
      <c r="B1400" t="e">
        <f ca="1">IFERROR(计算区域!AJ1402,NA())</f>
        <v>#N/A</v>
      </c>
      <c r="C1400" t="e">
        <f ca="1">IFERROR(计算区域!AK1402,NA())</f>
        <v>#N/A</v>
      </c>
      <c r="D1400" t="e">
        <f ca="1">IFERROR(计算区域!AL1402,NA())</f>
        <v>#N/A</v>
      </c>
      <c r="E1400" t="e">
        <f ca="1">IFERROR(计算区域!AM1402,NA())</f>
        <v>#N/A</v>
      </c>
      <c r="G1400" t="e">
        <f ca="1">IFERROR(计算区域!AD1402,NA())</f>
        <v>#N/A</v>
      </c>
      <c r="H1400" t="e">
        <f ca="1">IFERROR(计算区域!AE1402,NA())</f>
        <v>#N/A</v>
      </c>
      <c r="I1400" t="e">
        <f ca="1">IFERROR(计算区域!AF1402,NA())</f>
        <v>#N/A</v>
      </c>
      <c r="J1400" t="e">
        <f ca="1">IFERROR(计算区域!AG1402,NA())</f>
        <v>#N/A</v>
      </c>
      <c r="L1400" t="e">
        <f ca="1">IFERROR(计算区域!L1402,NA())</f>
        <v>#N/A</v>
      </c>
      <c r="M1400" t="e">
        <f ca="1">IFERROR(计算区域!M1402,NA())</f>
        <v>#N/A</v>
      </c>
      <c r="N1400" t="e">
        <f ca="1">IFERROR(计算区域!N1402,NA())</f>
        <v>#N/A</v>
      </c>
      <c r="O1400" t="e">
        <f ca="1">IFERROR(计算区域!O1402,NA())</f>
        <v>#N/A</v>
      </c>
      <c r="Q1400" t="e">
        <f ca="1">IFERROR(计算区域!R1402,NA())</f>
        <v>#N/A</v>
      </c>
      <c r="R1400" t="e">
        <f ca="1">IFERROR(计算区域!S1402,NA())</f>
        <v>#N/A</v>
      </c>
      <c r="S1400" t="e">
        <f ca="1">IFERROR(计算区域!T1402,NA())</f>
        <v>#N/A</v>
      </c>
      <c r="T1400" t="e">
        <f ca="1">IFERROR(计算区域!U1402,NA())</f>
        <v>#N/A</v>
      </c>
      <c r="V1400" t="e">
        <f ca="1">IFERROR(计算区域!X1402,NA())</f>
        <v>#N/A</v>
      </c>
      <c r="W1400" t="e">
        <f ca="1">IFERROR(计算区域!Y1402,NA())</f>
        <v>#N/A</v>
      </c>
      <c r="X1400" t="e">
        <f ca="1">IFERROR(计算区域!Z1402,NA())</f>
        <v>#N/A</v>
      </c>
      <c r="Y1400" t="e">
        <f ca="1">IFERROR(计算区域!AA1402,NA())</f>
        <v>#N/A</v>
      </c>
    </row>
    <row r="1401" spans="1:25" x14ac:dyDescent="0.2">
      <c r="A1401" s="28">
        <f>计算区域!E1403</f>
        <v>0</v>
      </c>
      <c r="B1401" t="e">
        <f ca="1">IFERROR(计算区域!AJ1403,NA())</f>
        <v>#N/A</v>
      </c>
      <c r="C1401" t="e">
        <f ca="1">IFERROR(计算区域!AK1403,NA())</f>
        <v>#N/A</v>
      </c>
      <c r="D1401" t="e">
        <f ca="1">IFERROR(计算区域!AL1403,NA())</f>
        <v>#N/A</v>
      </c>
      <c r="E1401" t="e">
        <f ca="1">IFERROR(计算区域!AM1403,NA())</f>
        <v>#N/A</v>
      </c>
      <c r="G1401" t="e">
        <f ca="1">IFERROR(计算区域!AD1403,NA())</f>
        <v>#N/A</v>
      </c>
      <c r="H1401" t="e">
        <f ca="1">IFERROR(计算区域!AE1403,NA())</f>
        <v>#N/A</v>
      </c>
      <c r="I1401" t="e">
        <f ca="1">IFERROR(计算区域!AF1403,NA())</f>
        <v>#N/A</v>
      </c>
      <c r="J1401" t="e">
        <f ca="1">IFERROR(计算区域!AG1403,NA())</f>
        <v>#N/A</v>
      </c>
      <c r="L1401" t="e">
        <f ca="1">IFERROR(计算区域!L1403,NA())</f>
        <v>#N/A</v>
      </c>
      <c r="M1401" t="e">
        <f ca="1">IFERROR(计算区域!M1403,NA())</f>
        <v>#N/A</v>
      </c>
      <c r="N1401" t="e">
        <f ca="1">IFERROR(计算区域!N1403,NA())</f>
        <v>#N/A</v>
      </c>
      <c r="O1401" t="e">
        <f ca="1">IFERROR(计算区域!O1403,NA())</f>
        <v>#N/A</v>
      </c>
      <c r="Q1401" t="e">
        <f ca="1">IFERROR(计算区域!R1403,NA())</f>
        <v>#N/A</v>
      </c>
      <c r="R1401" t="e">
        <f ca="1">IFERROR(计算区域!S1403,NA())</f>
        <v>#N/A</v>
      </c>
      <c r="S1401" t="e">
        <f ca="1">IFERROR(计算区域!T1403,NA())</f>
        <v>#N/A</v>
      </c>
      <c r="T1401" t="e">
        <f ca="1">IFERROR(计算区域!U1403,NA())</f>
        <v>#N/A</v>
      </c>
      <c r="V1401" t="e">
        <f ca="1">IFERROR(计算区域!X1403,NA())</f>
        <v>#N/A</v>
      </c>
      <c r="W1401" t="e">
        <f ca="1">IFERROR(计算区域!Y1403,NA())</f>
        <v>#N/A</v>
      </c>
      <c r="X1401" t="e">
        <f ca="1">IFERROR(计算区域!Z1403,NA())</f>
        <v>#N/A</v>
      </c>
      <c r="Y1401" t="e">
        <f ca="1">IFERROR(计算区域!AA1403,NA())</f>
        <v>#N/A</v>
      </c>
    </row>
    <row r="1402" spans="1:25" x14ac:dyDescent="0.2">
      <c r="A1402" s="28">
        <f>计算区域!E1404</f>
        <v>0</v>
      </c>
      <c r="B1402" t="e">
        <f ca="1">IFERROR(计算区域!AJ1404,NA())</f>
        <v>#N/A</v>
      </c>
      <c r="C1402" t="e">
        <f ca="1">IFERROR(计算区域!AK1404,NA())</f>
        <v>#N/A</v>
      </c>
      <c r="D1402" t="e">
        <f ca="1">IFERROR(计算区域!AL1404,NA())</f>
        <v>#N/A</v>
      </c>
      <c r="E1402" t="e">
        <f ca="1">IFERROR(计算区域!AM1404,NA())</f>
        <v>#N/A</v>
      </c>
      <c r="G1402" t="e">
        <f ca="1">IFERROR(计算区域!AD1404,NA())</f>
        <v>#N/A</v>
      </c>
      <c r="H1402" t="e">
        <f ca="1">IFERROR(计算区域!AE1404,NA())</f>
        <v>#N/A</v>
      </c>
      <c r="I1402" t="e">
        <f ca="1">IFERROR(计算区域!AF1404,NA())</f>
        <v>#N/A</v>
      </c>
      <c r="J1402" t="e">
        <f ca="1">IFERROR(计算区域!AG1404,NA())</f>
        <v>#N/A</v>
      </c>
      <c r="L1402" t="e">
        <f ca="1">IFERROR(计算区域!L1404,NA())</f>
        <v>#N/A</v>
      </c>
      <c r="M1402" t="e">
        <f ca="1">IFERROR(计算区域!M1404,NA())</f>
        <v>#N/A</v>
      </c>
      <c r="N1402" t="e">
        <f ca="1">IFERROR(计算区域!N1404,NA())</f>
        <v>#N/A</v>
      </c>
      <c r="O1402" t="e">
        <f ca="1">IFERROR(计算区域!O1404,NA())</f>
        <v>#N/A</v>
      </c>
      <c r="Q1402" t="e">
        <f ca="1">IFERROR(计算区域!R1404,NA())</f>
        <v>#N/A</v>
      </c>
      <c r="R1402" t="e">
        <f ca="1">IFERROR(计算区域!S1404,NA())</f>
        <v>#N/A</v>
      </c>
      <c r="S1402" t="e">
        <f ca="1">IFERROR(计算区域!T1404,NA())</f>
        <v>#N/A</v>
      </c>
      <c r="T1402" t="e">
        <f ca="1">IFERROR(计算区域!U1404,NA())</f>
        <v>#N/A</v>
      </c>
      <c r="V1402" t="e">
        <f ca="1">IFERROR(计算区域!X1404,NA())</f>
        <v>#N/A</v>
      </c>
      <c r="W1402" t="e">
        <f ca="1">IFERROR(计算区域!Y1404,NA())</f>
        <v>#N/A</v>
      </c>
      <c r="X1402" t="e">
        <f ca="1">IFERROR(计算区域!Z1404,NA())</f>
        <v>#N/A</v>
      </c>
      <c r="Y1402" t="e">
        <f ca="1">IFERROR(计算区域!AA1404,NA())</f>
        <v>#N/A</v>
      </c>
    </row>
    <row r="1403" spans="1:25" x14ac:dyDescent="0.2">
      <c r="A1403" s="28">
        <f>计算区域!E1405</f>
        <v>0</v>
      </c>
      <c r="B1403" t="e">
        <f ca="1">IFERROR(计算区域!AJ1405,NA())</f>
        <v>#N/A</v>
      </c>
      <c r="C1403" t="e">
        <f ca="1">IFERROR(计算区域!AK1405,NA())</f>
        <v>#N/A</v>
      </c>
      <c r="D1403" t="e">
        <f ca="1">IFERROR(计算区域!AL1405,NA())</f>
        <v>#N/A</v>
      </c>
      <c r="E1403" t="e">
        <f ca="1">IFERROR(计算区域!AM1405,NA())</f>
        <v>#N/A</v>
      </c>
      <c r="G1403" t="e">
        <f ca="1">IFERROR(计算区域!AD1405,NA())</f>
        <v>#N/A</v>
      </c>
      <c r="H1403" t="e">
        <f ca="1">IFERROR(计算区域!AE1405,NA())</f>
        <v>#N/A</v>
      </c>
      <c r="I1403" t="e">
        <f ca="1">IFERROR(计算区域!AF1405,NA())</f>
        <v>#N/A</v>
      </c>
      <c r="J1403" t="e">
        <f ca="1">IFERROR(计算区域!AG1405,NA())</f>
        <v>#N/A</v>
      </c>
      <c r="L1403" t="e">
        <f ca="1">IFERROR(计算区域!L1405,NA())</f>
        <v>#N/A</v>
      </c>
      <c r="M1403" t="e">
        <f ca="1">IFERROR(计算区域!M1405,NA())</f>
        <v>#N/A</v>
      </c>
      <c r="N1403" t="e">
        <f ca="1">IFERROR(计算区域!N1405,NA())</f>
        <v>#N/A</v>
      </c>
      <c r="O1403" t="e">
        <f ca="1">IFERROR(计算区域!O1405,NA())</f>
        <v>#N/A</v>
      </c>
      <c r="Q1403" t="e">
        <f ca="1">IFERROR(计算区域!R1405,NA())</f>
        <v>#N/A</v>
      </c>
      <c r="R1403" t="e">
        <f ca="1">IFERROR(计算区域!S1405,NA())</f>
        <v>#N/A</v>
      </c>
      <c r="S1403" t="e">
        <f ca="1">IFERROR(计算区域!T1405,NA())</f>
        <v>#N/A</v>
      </c>
      <c r="T1403" t="e">
        <f ca="1">IFERROR(计算区域!U1405,NA())</f>
        <v>#N/A</v>
      </c>
      <c r="V1403" t="e">
        <f ca="1">IFERROR(计算区域!X1405,NA())</f>
        <v>#N/A</v>
      </c>
      <c r="W1403" t="e">
        <f ca="1">IFERROR(计算区域!Y1405,NA())</f>
        <v>#N/A</v>
      </c>
      <c r="X1403" t="e">
        <f ca="1">IFERROR(计算区域!Z1405,NA())</f>
        <v>#N/A</v>
      </c>
      <c r="Y1403" t="e">
        <f ca="1">IFERROR(计算区域!AA1405,NA())</f>
        <v>#N/A</v>
      </c>
    </row>
    <row r="1404" spans="1:25" x14ac:dyDescent="0.2">
      <c r="A1404" s="28">
        <f>计算区域!E1406</f>
        <v>0</v>
      </c>
      <c r="B1404" t="e">
        <f ca="1">IFERROR(计算区域!AJ1406,NA())</f>
        <v>#N/A</v>
      </c>
      <c r="C1404" t="e">
        <f ca="1">IFERROR(计算区域!AK1406,NA())</f>
        <v>#N/A</v>
      </c>
      <c r="D1404" t="e">
        <f ca="1">IFERROR(计算区域!AL1406,NA())</f>
        <v>#N/A</v>
      </c>
      <c r="E1404" t="e">
        <f ca="1">IFERROR(计算区域!AM1406,NA())</f>
        <v>#N/A</v>
      </c>
      <c r="G1404" t="e">
        <f ca="1">IFERROR(计算区域!AD1406,NA())</f>
        <v>#N/A</v>
      </c>
      <c r="H1404" t="e">
        <f ca="1">IFERROR(计算区域!AE1406,NA())</f>
        <v>#N/A</v>
      </c>
      <c r="I1404" t="e">
        <f ca="1">IFERROR(计算区域!AF1406,NA())</f>
        <v>#N/A</v>
      </c>
      <c r="J1404" t="e">
        <f ca="1">IFERROR(计算区域!AG1406,NA())</f>
        <v>#N/A</v>
      </c>
      <c r="L1404" t="e">
        <f ca="1">IFERROR(计算区域!L1406,NA())</f>
        <v>#N/A</v>
      </c>
      <c r="M1404" t="e">
        <f ca="1">IFERROR(计算区域!M1406,NA())</f>
        <v>#N/A</v>
      </c>
      <c r="N1404" t="e">
        <f ca="1">IFERROR(计算区域!N1406,NA())</f>
        <v>#N/A</v>
      </c>
      <c r="O1404" t="e">
        <f ca="1">IFERROR(计算区域!O1406,NA())</f>
        <v>#N/A</v>
      </c>
      <c r="Q1404" t="e">
        <f ca="1">IFERROR(计算区域!R1406,NA())</f>
        <v>#N/A</v>
      </c>
      <c r="R1404" t="e">
        <f ca="1">IFERROR(计算区域!S1406,NA())</f>
        <v>#N/A</v>
      </c>
      <c r="S1404" t="e">
        <f ca="1">IFERROR(计算区域!T1406,NA())</f>
        <v>#N/A</v>
      </c>
      <c r="T1404" t="e">
        <f ca="1">IFERROR(计算区域!U1406,NA())</f>
        <v>#N/A</v>
      </c>
      <c r="V1404" t="e">
        <f ca="1">IFERROR(计算区域!X1406,NA())</f>
        <v>#N/A</v>
      </c>
      <c r="W1404" t="e">
        <f ca="1">IFERROR(计算区域!Y1406,NA())</f>
        <v>#N/A</v>
      </c>
      <c r="X1404" t="e">
        <f ca="1">IFERROR(计算区域!Z1406,NA())</f>
        <v>#N/A</v>
      </c>
      <c r="Y1404" t="e">
        <f ca="1">IFERROR(计算区域!AA1406,NA())</f>
        <v>#N/A</v>
      </c>
    </row>
    <row r="1405" spans="1:25" x14ac:dyDescent="0.2">
      <c r="A1405" s="28">
        <f>计算区域!E1407</f>
        <v>0</v>
      </c>
      <c r="B1405" t="e">
        <f ca="1">IFERROR(计算区域!AJ1407,NA())</f>
        <v>#N/A</v>
      </c>
      <c r="C1405" t="e">
        <f ca="1">IFERROR(计算区域!AK1407,NA())</f>
        <v>#N/A</v>
      </c>
      <c r="D1405" t="e">
        <f ca="1">IFERROR(计算区域!AL1407,NA())</f>
        <v>#N/A</v>
      </c>
      <c r="E1405" t="e">
        <f ca="1">IFERROR(计算区域!AM1407,NA())</f>
        <v>#N/A</v>
      </c>
      <c r="G1405" t="e">
        <f ca="1">IFERROR(计算区域!AD1407,NA())</f>
        <v>#N/A</v>
      </c>
      <c r="H1405" t="e">
        <f ca="1">IFERROR(计算区域!AE1407,NA())</f>
        <v>#N/A</v>
      </c>
      <c r="I1405" t="e">
        <f ca="1">IFERROR(计算区域!AF1407,NA())</f>
        <v>#N/A</v>
      </c>
      <c r="J1405" t="e">
        <f ca="1">IFERROR(计算区域!AG1407,NA())</f>
        <v>#N/A</v>
      </c>
      <c r="L1405" t="e">
        <f ca="1">IFERROR(计算区域!L1407,NA())</f>
        <v>#N/A</v>
      </c>
      <c r="M1405" t="e">
        <f ca="1">IFERROR(计算区域!M1407,NA())</f>
        <v>#N/A</v>
      </c>
      <c r="N1405" t="e">
        <f ca="1">IFERROR(计算区域!N1407,NA())</f>
        <v>#N/A</v>
      </c>
      <c r="O1405" t="e">
        <f ca="1">IFERROR(计算区域!O1407,NA())</f>
        <v>#N/A</v>
      </c>
      <c r="Q1405" t="e">
        <f ca="1">IFERROR(计算区域!R1407,NA())</f>
        <v>#N/A</v>
      </c>
      <c r="R1405" t="e">
        <f ca="1">IFERROR(计算区域!S1407,NA())</f>
        <v>#N/A</v>
      </c>
      <c r="S1405" t="e">
        <f ca="1">IFERROR(计算区域!T1407,NA())</f>
        <v>#N/A</v>
      </c>
      <c r="T1405" t="e">
        <f ca="1">IFERROR(计算区域!U1407,NA())</f>
        <v>#N/A</v>
      </c>
      <c r="V1405" t="e">
        <f ca="1">IFERROR(计算区域!X1407,NA())</f>
        <v>#N/A</v>
      </c>
      <c r="W1405" t="e">
        <f ca="1">IFERROR(计算区域!Y1407,NA())</f>
        <v>#N/A</v>
      </c>
      <c r="X1405" t="e">
        <f ca="1">IFERROR(计算区域!Z1407,NA())</f>
        <v>#N/A</v>
      </c>
      <c r="Y1405" t="e">
        <f ca="1">IFERROR(计算区域!AA1407,NA())</f>
        <v>#N/A</v>
      </c>
    </row>
    <row r="1406" spans="1:25" x14ac:dyDescent="0.2">
      <c r="A1406" s="28">
        <f>计算区域!E1408</f>
        <v>0</v>
      </c>
      <c r="B1406" t="e">
        <f ca="1">IFERROR(计算区域!AJ1408,NA())</f>
        <v>#N/A</v>
      </c>
      <c r="C1406" t="e">
        <f ca="1">IFERROR(计算区域!AK1408,NA())</f>
        <v>#N/A</v>
      </c>
      <c r="D1406" t="e">
        <f ca="1">IFERROR(计算区域!AL1408,NA())</f>
        <v>#N/A</v>
      </c>
      <c r="E1406" t="e">
        <f ca="1">IFERROR(计算区域!AM1408,NA())</f>
        <v>#N/A</v>
      </c>
      <c r="G1406" t="e">
        <f ca="1">IFERROR(计算区域!AD1408,NA())</f>
        <v>#N/A</v>
      </c>
      <c r="H1406" t="e">
        <f ca="1">IFERROR(计算区域!AE1408,NA())</f>
        <v>#N/A</v>
      </c>
      <c r="I1406" t="e">
        <f ca="1">IFERROR(计算区域!AF1408,NA())</f>
        <v>#N/A</v>
      </c>
      <c r="J1406" t="e">
        <f ca="1">IFERROR(计算区域!AG1408,NA())</f>
        <v>#N/A</v>
      </c>
      <c r="L1406" t="e">
        <f ca="1">IFERROR(计算区域!L1408,NA())</f>
        <v>#N/A</v>
      </c>
      <c r="M1406" t="e">
        <f ca="1">IFERROR(计算区域!M1408,NA())</f>
        <v>#N/A</v>
      </c>
      <c r="N1406" t="e">
        <f ca="1">IFERROR(计算区域!N1408,NA())</f>
        <v>#N/A</v>
      </c>
      <c r="O1406" t="e">
        <f ca="1">IFERROR(计算区域!O1408,NA())</f>
        <v>#N/A</v>
      </c>
      <c r="Q1406" t="e">
        <f ca="1">IFERROR(计算区域!R1408,NA())</f>
        <v>#N/A</v>
      </c>
      <c r="R1406" t="e">
        <f ca="1">IFERROR(计算区域!S1408,NA())</f>
        <v>#N/A</v>
      </c>
      <c r="S1406" t="e">
        <f ca="1">IFERROR(计算区域!T1408,NA())</f>
        <v>#N/A</v>
      </c>
      <c r="T1406" t="e">
        <f ca="1">IFERROR(计算区域!U1408,NA())</f>
        <v>#N/A</v>
      </c>
      <c r="V1406" t="e">
        <f ca="1">IFERROR(计算区域!X1408,NA())</f>
        <v>#N/A</v>
      </c>
      <c r="W1406" t="e">
        <f ca="1">IFERROR(计算区域!Y1408,NA())</f>
        <v>#N/A</v>
      </c>
      <c r="X1406" t="e">
        <f ca="1">IFERROR(计算区域!Z1408,NA())</f>
        <v>#N/A</v>
      </c>
      <c r="Y1406" t="e">
        <f ca="1">IFERROR(计算区域!AA1408,NA())</f>
        <v>#N/A</v>
      </c>
    </row>
    <row r="1407" spans="1:25" x14ac:dyDescent="0.2">
      <c r="A1407" s="28">
        <f>计算区域!E1409</f>
        <v>0</v>
      </c>
      <c r="B1407" t="e">
        <f ca="1">IFERROR(计算区域!AJ1409,NA())</f>
        <v>#N/A</v>
      </c>
      <c r="C1407" t="e">
        <f ca="1">IFERROR(计算区域!AK1409,NA())</f>
        <v>#N/A</v>
      </c>
      <c r="D1407" t="e">
        <f ca="1">IFERROR(计算区域!AL1409,NA())</f>
        <v>#N/A</v>
      </c>
      <c r="E1407" t="e">
        <f ca="1">IFERROR(计算区域!AM1409,NA())</f>
        <v>#N/A</v>
      </c>
      <c r="G1407" t="e">
        <f ca="1">IFERROR(计算区域!AD1409,NA())</f>
        <v>#N/A</v>
      </c>
      <c r="H1407" t="e">
        <f ca="1">IFERROR(计算区域!AE1409,NA())</f>
        <v>#N/A</v>
      </c>
      <c r="I1407" t="e">
        <f ca="1">IFERROR(计算区域!AF1409,NA())</f>
        <v>#N/A</v>
      </c>
      <c r="J1407" t="e">
        <f ca="1">IFERROR(计算区域!AG1409,NA())</f>
        <v>#N/A</v>
      </c>
      <c r="L1407" t="e">
        <f ca="1">IFERROR(计算区域!L1409,NA())</f>
        <v>#N/A</v>
      </c>
      <c r="M1407" t="e">
        <f ca="1">IFERROR(计算区域!M1409,NA())</f>
        <v>#N/A</v>
      </c>
      <c r="N1407" t="e">
        <f ca="1">IFERROR(计算区域!N1409,NA())</f>
        <v>#N/A</v>
      </c>
      <c r="O1407" t="e">
        <f ca="1">IFERROR(计算区域!O1409,NA())</f>
        <v>#N/A</v>
      </c>
      <c r="Q1407" t="e">
        <f ca="1">IFERROR(计算区域!R1409,NA())</f>
        <v>#N/A</v>
      </c>
      <c r="R1407" t="e">
        <f ca="1">IFERROR(计算区域!S1409,NA())</f>
        <v>#N/A</v>
      </c>
      <c r="S1407" t="e">
        <f ca="1">IFERROR(计算区域!T1409,NA())</f>
        <v>#N/A</v>
      </c>
      <c r="T1407" t="e">
        <f ca="1">IFERROR(计算区域!U1409,NA())</f>
        <v>#N/A</v>
      </c>
      <c r="V1407" t="e">
        <f ca="1">IFERROR(计算区域!X1409,NA())</f>
        <v>#N/A</v>
      </c>
      <c r="W1407" t="e">
        <f ca="1">IFERROR(计算区域!Y1409,NA())</f>
        <v>#N/A</v>
      </c>
      <c r="X1407" t="e">
        <f ca="1">IFERROR(计算区域!Z1409,NA())</f>
        <v>#N/A</v>
      </c>
      <c r="Y1407" t="e">
        <f ca="1">IFERROR(计算区域!AA1409,NA())</f>
        <v>#N/A</v>
      </c>
    </row>
    <row r="1408" spans="1:25" x14ac:dyDescent="0.2">
      <c r="A1408" s="28">
        <f>计算区域!E1410</f>
        <v>0</v>
      </c>
      <c r="B1408" t="e">
        <f ca="1">IFERROR(计算区域!AJ1410,NA())</f>
        <v>#N/A</v>
      </c>
      <c r="C1408" t="e">
        <f ca="1">IFERROR(计算区域!AK1410,NA())</f>
        <v>#N/A</v>
      </c>
      <c r="D1408" t="e">
        <f ca="1">IFERROR(计算区域!AL1410,NA())</f>
        <v>#N/A</v>
      </c>
      <c r="E1408" t="e">
        <f ca="1">IFERROR(计算区域!AM1410,NA())</f>
        <v>#N/A</v>
      </c>
      <c r="G1408" t="e">
        <f ca="1">IFERROR(计算区域!AD1410,NA())</f>
        <v>#N/A</v>
      </c>
      <c r="H1408" t="e">
        <f ca="1">IFERROR(计算区域!AE1410,NA())</f>
        <v>#N/A</v>
      </c>
      <c r="I1408" t="e">
        <f ca="1">IFERROR(计算区域!AF1410,NA())</f>
        <v>#N/A</v>
      </c>
      <c r="J1408" t="e">
        <f ca="1">IFERROR(计算区域!AG1410,NA())</f>
        <v>#N/A</v>
      </c>
      <c r="L1408" t="e">
        <f ca="1">IFERROR(计算区域!L1410,NA())</f>
        <v>#N/A</v>
      </c>
      <c r="M1408" t="e">
        <f ca="1">IFERROR(计算区域!M1410,NA())</f>
        <v>#N/A</v>
      </c>
      <c r="N1408" t="e">
        <f ca="1">IFERROR(计算区域!N1410,NA())</f>
        <v>#N/A</v>
      </c>
      <c r="O1408" t="e">
        <f ca="1">IFERROR(计算区域!O1410,NA())</f>
        <v>#N/A</v>
      </c>
      <c r="Q1408" t="e">
        <f ca="1">IFERROR(计算区域!R1410,NA())</f>
        <v>#N/A</v>
      </c>
      <c r="R1408" t="e">
        <f ca="1">IFERROR(计算区域!S1410,NA())</f>
        <v>#N/A</v>
      </c>
      <c r="S1408" t="e">
        <f ca="1">IFERROR(计算区域!T1410,NA())</f>
        <v>#N/A</v>
      </c>
      <c r="T1408" t="e">
        <f ca="1">IFERROR(计算区域!U1410,NA())</f>
        <v>#N/A</v>
      </c>
      <c r="V1408" t="e">
        <f ca="1">IFERROR(计算区域!X1410,NA())</f>
        <v>#N/A</v>
      </c>
      <c r="W1408" t="e">
        <f ca="1">IFERROR(计算区域!Y1410,NA())</f>
        <v>#N/A</v>
      </c>
      <c r="X1408" t="e">
        <f ca="1">IFERROR(计算区域!Z1410,NA())</f>
        <v>#N/A</v>
      </c>
      <c r="Y1408" t="e">
        <f ca="1">IFERROR(计算区域!AA1410,NA())</f>
        <v>#N/A</v>
      </c>
    </row>
    <row r="1409" spans="1:25" x14ac:dyDescent="0.2">
      <c r="A1409" s="28">
        <f>计算区域!E1411</f>
        <v>0</v>
      </c>
      <c r="B1409" t="e">
        <f ca="1">IFERROR(计算区域!AJ1411,NA())</f>
        <v>#N/A</v>
      </c>
      <c r="C1409" t="e">
        <f ca="1">IFERROR(计算区域!AK1411,NA())</f>
        <v>#N/A</v>
      </c>
      <c r="D1409" t="e">
        <f ca="1">IFERROR(计算区域!AL1411,NA())</f>
        <v>#N/A</v>
      </c>
      <c r="E1409" t="e">
        <f ca="1">IFERROR(计算区域!AM1411,NA())</f>
        <v>#N/A</v>
      </c>
      <c r="G1409" t="e">
        <f ca="1">IFERROR(计算区域!AD1411,NA())</f>
        <v>#N/A</v>
      </c>
      <c r="H1409" t="e">
        <f ca="1">IFERROR(计算区域!AE1411,NA())</f>
        <v>#N/A</v>
      </c>
      <c r="I1409" t="e">
        <f ca="1">IFERROR(计算区域!AF1411,NA())</f>
        <v>#N/A</v>
      </c>
      <c r="J1409" t="e">
        <f ca="1">IFERROR(计算区域!AG1411,NA())</f>
        <v>#N/A</v>
      </c>
      <c r="L1409" t="e">
        <f ca="1">IFERROR(计算区域!L1411,NA())</f>
        <v>#N/A</v>
      </c>
      <c r="M1409" t="e">
        <f ca="1">IFERROR(计算区域!M1411,NA())</f>
        <v>#N/A</v>
      </c>
      <c r="N1409" t="e">
        <f ca="1">IFERROR(计算区域!N1411,NA())</f>
        <v>#N/A</v>
      </c>
      <c r="O1409" t="e">
        <f ca="1">IFERROR(计算区域!O1411,NA())</f>
        <v>#N/A</v>
      </c>
      <c r="Q1409" t="e">
        <f ca="1">IFERROR(计算区域!R1411,NA())</f>
        <v>#N/A</v>
      </c>
      <c r="R1409" t="e">
        <f ca="1">IFERROR(计算区域!S1411,NA())</f>
        <v>#N/A</v>
      </c>
      <c r="S1409" t="e">
        <f ca="1">IFERROR(计算区域!T1411,NA())</f>
        <v>#N/A</v>
      </c>
      <c r="T1409" t="e">
        <f ca="1">IFERROR(计算区域!U1411,NA())</f>
        <v>#N/A</v>
      </c>
      <c r="V1409" t="e">
        <f ca="1">IFERROR(计算区域!X1411,NA())</f>
        <v>#N/A</v>
      </c>
      <c r="W1409" t="e">
        <f ca="1">IFERROR(计算区域!Y1411,NA())</f>
        <v>#N/A</v>
      </c>
      <c r="X1409" t="e">
        <f ca="1">IFERROR(计算区域!Z1411,NA())</f>
        <v>#N/A</v>
      </c>
      <c r="Y1409" t="e">
        <f ca="1">IFERROR(计算区域!AA1411,NA())</f>
        <v>#N/A</v>
      </c>
    </row>
    <row r="1410" spans="1:25" x14ac:dyDescent="0.2">
      <c r="A1410" s="28">
        <f>计算区域!E1412</f>
        <v>0</v>
      </c>
      <c r="B1410" t="e">
        <f ca="1">IFERROR(计算区域!AJ1412,NA())</f>
        <v>#N/A</v>
      </c>
      <c r="C1410" t="e">
        <f ca="1">IFERROR(计算区域!AK1412,NA())</f>
        <v>#N/A</v>
      </c>
      <c r="D1410" t="e">
        <f ca="1">IFERROR(计算区域!AL1412,NA())</f>
        <v>#N/A</v>
      </c>
      <c r="E1410" t="e">
        <f ca="1">IFERROR(计算区域!AM1412,NA())</f>
        <v>#N/A</v>
      </c>
      <c r="G1410" t="e">
        <f ca="1">IFERROR(计算区域!AD1412,NA())</f>
        <v>#N/A</v>
      </c>
      <c r="H1410" t="e">
        <f ca="1">IFERROR(计算区域!AE1412,NA())</f>
        <v>#N/A</v>
      </c>
      <c r="I1410" t="e">
        <f ca="1">IFERROR(计算区域!AF1412,NA())</f>
        <v>#N/A</v>
      </c>
      <c r="J1410" t="e">
        <f ca="1">IFERROR(计算区域!AG1412,NA())</f>
        <v>#N/A</v>
      </c>
      <c r="L1410" t="e">
        <f ca="1">IFERROR(计算区域!L1412,NA())</f>
        <v>#N/A</v>
      </c>
      <c r="M1410" t="e">
        <f ca="1">IFERROR(计算区域!M1412,NA())</f>
        <v>#N/A</v>
      </c>
      <c r="N1410" t="e">
        <f ca="1">IFERROR(计算区域!N1412,NA())</f>
        <v>#N/A</v>
      </c>
      <c r="O1410" t="e">
        <f ca="1">IFERROR(计算区域!O1412,NA())</f>
        <v>#N/A</v>
      </c>
      <c r="Q1410" t="e">
        <f ca="1">IFERROR(计算区域!R1412,NA())</f>
        <v>#N/A</v>
      </c>
      <c r="R1410" t="e">
        <f ca="1">IFERROR(计算区域!S1412,NA())</f>
        <v>#N/A</v>
      </c>
      <c r="S1410" t="e">
        <f ca="1">IFERROR(计算区域!T1412,NA())</f>
        <v>#N/A</v>
      </c>
      <c r="T1410" t="e">
        <f ca="1">IFERROR(计算区域!U1412,NA())</f>
        <v>#N/A</v>
      </c>
      <c r="V1410" t="e">
        <f ca="1">IFERROR(计算区域!X1412,NA())</f>
        <v>#N/A</v>
      </c>
      <c r="W1410" t="e">
        <f ca="1">IFERROR(计算区域!Y1412,NA())</f>
        <v>#N/A</v>
      </c>
      <c r="X1410" t="e">
        <f ca="1">IFERROR(计算区域!Z1412,NA())</f>
        <v>#N/A</v>
      </c>
      <c r="Y1410" t="e">
        <f ca="1">IFERROR(计算区域!AA1412,NA())</f>
        <v>#N/A</v>
      </c>
    </row>
    <row r="1411" spans="1:25" x14ac:dyDescent="0.2">
      <c r="A1411" s="28">
        <f>计算区域!E1413</f>
        <v>0</v>
      </c>
      <c r="B1411" t="e">
        <f ca="1">IFERROR(计算区域!AJ1413,NA())</f>
        <v>#N/A</v>
      </c>
      <c r="C1411" t="e">
        <f ca="1">IFERROR(计算区域!AK1413,NA())</f>
        <v>#N/A</v>
      </c>
      <c r="D1411" t="e">
        <f ca="1">IFERROR(计算区域!AL1413,NA())</f>
        <v>#N/A</v>
      </c>
      <c r="E1411" t="e">
        <f ca="1">IFERROR(计算区域!AM1413,NA())</f>
        <v>#N/A</v>
      </c>
      <c r="G1411" t="e">
        <f ca="1">IFERROR(计算区域!AD1413,NA())</f>
        <v>#N/A</v>
      </c>
      <c r="H1411" t="e">
        <f ca="1">IFERROR(计算区域!AE1413,NA())</f>
        <v>#N/A</v>
      </c>
      <c r="I1411" t="e">
        <f ca="1">IFERROR(计算区域!AF1413,NA())</f>
        <v>#N/A</v>
      </c>
      <c r="J1411" t="e">
        <f ca="1">IFERROR(计算区域!AG1413,NA())</f>
        <v>#N/A</v>
      </c>
      <c r="L1411" t="e">
        <f ca="1">IFERROR(计算区域!L1413,NA())</f>
        <v>#N/A</v>
      </c>
      <c r="M1411" t="e">
        <f ca="1">IFERROR(计算区域!M1413,NA())</f>
        <v>#N/A</v>
      </c>
      <c r="N1411" t="e">
        <f ca="1">IFERROR(计算区域!N1413,NA())</f>
        <v>#N/A</v>
      </c>
      <c r="O1411" t="e">
        <f ca="1">IFERROR(计算区域!O1413,NA())</f>
        <v>#N/A</v>
      </c>
      <c r="Q1411" t="e">
        <f ca="1">IFERROR(计算区域!R1413,NA())</f>
        <v>#N/A</v>
      </c>
      <c r="R1411" t="e">
        <f ca="1">IFERROR(计算区域!S1413,NA())</f>
        <v>#N/A</v>
      </c>
      <c r="S1411" t="e">
        <f ca="1">IFERROR(计算区域!T1413,NA())</f>
        <v>#N/A</v>
      </c>
      <c r="T1411" t="e">
        <f ca="1">IFERROR(计算区域!U1413,NA())</f>
        <v>#N/A</v>
      </c>
      <c r="V1411" t="e">
        <f ca="1">IFERROR(计算区域!X1413,NA())</f>
        <v>#N/A</v>
      </c>
      <c r="W1411" t="e">
        <f ca="1">IFERROR(计算区域!Y1413,NA())</f>
        <v>#N/A</v>
      </c>
      <c r="X1411" t="e">
        <f ca="1">IFERROR(计算区域!Z1413,NA())</f>
        <v>#N/A</v>
      </c>
      <c r="Y1411" t="e">
        <f ca="1">IFERROR(计算区域!AA1413,NA())</f>
        <v>#N/A</v>
      </c>
    </row>
    <row r="1412" spans="1:25" x14ac:dyDescent="0.2">
      <c r="A1412" s="28">
        <f>计算区域!E1414</f>
        <v>0</v>
      </c>
      <c r="B1412" t="e">
        <f ca="1">IFERROR(计算区域!AJ1414,NA())</f>
        <v>#N/A</v>
      </c>
      <c r="C1412" t="e">
        <f ca="1">IFERROR(计算区域!AK1414,NA())</f>
        <v>#N/A</v>
      </c>
      <c r="D1412" t="e">
        <f ca="1">IFERROR(计算区域!AL1414,NA())</f>
        <v>#N/A</v>
      </c>
      <c r="E1412" t="e">
        <f ca="1">IFERROR(计算区域!AM1414,NA())</f>
        <v>#N/A</v>
      </c>
      <c r="G1412" t="e">
        <f ca="1">IFERROR(计算区域!AD1414,NA())</f>
        <v>#N/A</v>
      </c>
      <c r="H1412" t="e">
        <f ca="1">IFERROR(计算区域!AE1414,NA())</f>
        <v>#N/A</v>
      </c>
      <c r="I1412" t="e">
        <f ca="1">IFERROR(计算区域!AF1414,NA())</f>
        <v>#N/A</v>
      </c>
      <c r="J1412" t="e">
        <f ca="1">IFERROR(计算区域!AG1414,NA())</f>
        <v>#N/A</v>
      </c>
      <c r="L1412" t="e">
        <f ca="1">IFERROR(计算区域!L1414,NA())</f>
        <v>#N/A</v>
      </c>
      <c r="M1412" t="e">
        <f ca="1">IFERROR(计算区域!M1414,NA())</f>
        <v>#N/A</v>
      </c>
      <c r="N1412" t="e">
        <f ca="1">IFERROR(计算区域!N1414,NA())</f>
        <v>#N/A</v>
      </c>
      <c r="O1412" t="e">
        <f ca="1">IFERROR(计算区域!O1414,NA())</f>
        <v>#N/A</v>
      </c>
      <c r="Q1412" t="e">
        <f ca="1">IFERROR(计算区域!R1414,NA())</f>
        <v>#N/A</v>
      </c>
      <c r="R1412" t="e">
        <f ca="1">IFERROR(计算区域!S1414,NA())</f>
        <v>#N/A</v>
      </c>
      <c r="S1412" t="e">
        <f ca="1">IFERROR(计算区域!T1414,NA())</f>
        <v>#N/A</v>
      </c>
      <c r="T1412" t="e">
        <f ca="1">IFERROR(计算区域!U1414,NA())</f>
        <v>#N/A</v>
      </c>
      <c r="V1412" t="e">
        <f ca="1">IFERROR(计算区域!X1414,NA())</f>
        <v>#N/A</v>
      </c>
      <c r="W1412" t="e">
        <f ca="1">IFERROR(计算区域!Y1414,NA())</f>
        <v>#N/A</v>
      </c>
      <c r="X1412" t="e">
        <f ca="1">IFERROR(计算区域!Z1414,NA())</f>
        <v>#N/A</v>
      </c>
      <c r="Y1412" t="e">
        <f ca="1">IFERROR(计算区域!AA1414,NA())</f>
        <v>#N/A</v>
      </c>
    </row>
    <row r="1413" spans="1:25" x14ac:dyDescent="0.2">
      <c r="A1413" s="28">
        <f>计算区域!E1415</f>
        <v>0</v>
      </c>
      <c r="B1413" t="e">
        <f ca="1">IFERROR(计算区域!AJ1415,NA())</f>
        <v>#N/A</v>
      </c>
      <c r="C1413" t="e">
        <f ca="1">IFERROR(计算区域!AK1415,NA())</f>
        <v>#N/A</v>
      </c>
      <c r="D1413" t="e">
        <f ca="1">IFERROR(计算区域!AL1415,NA())</f>
        <v>#N/A</v>
      </c>
      <c r="E1413" t="e">
        <f ca="1">IFERROR(计算区域!AM1415,NA())</f>
        <v>#N/A</v>
      </c>
      <c r="G1413" t="e">
        <f ca="1">IFERROR(计算区域!AD1415,NA())</f>
        <v>#N/A</v>
      </c>
      <c r="H1413" t="e">
        <f ca="1">IFERROR(计算区域!AE1415,NA())</f>
        <v>#N/A</v>
      </c>
      <c r="I1413" t="e">
        <f ca="1">IFERROR(计算区域!AF1415,NA())</f>
        <v>#N/A</v>
      </c>
      <c r="J1413" t="e">
        <f ca="1">IFERROR(计算区域!AG1415,NA())</f>
        <v>#N/A</v>
      </c>
      <c r="L1413" t="e">
        <f ca="1">IFERROR(计算区域!L1415,NA())</f>
        <v>#N/A</v>
      </c>
      <c r="M1413" t="e">
        <f ca="1">IFERROR(计算区域!M1415,NA())</f>
        <v>#N/A</v>
      </c>
      <c r="N1413" t="e">
        <f ca="1">IFERROR(计算区域!N1415,NA())</f>
        <v>#N/A</v>
      </c>
      <c r="O1413" t="e">
        <f ca="1">IFERROR(计算区域!O1415,NA())</f>
        <v>#N/A</v>
      </c>
      <c r="Q1413" t="e">
        <f ca="1">IFERROR(计算区域!R1415,NA())</f>
        <v>#N/A</v>
      </c>
      <c r="R1413" t="e">
        <f ca="1">IFERROR(计算区域!S1415,NA())</f>
        <v>#N/A</v>
      </c>
      <c r="S1413" t="e">
        <f ca="1">IFERROR(计算区域!T1415,NA())</f>
        <v>#N/A</v>
      </c>
      <c r="T1413" t="e">
        <f ca="1">IFERROR(计算区域!U1415,NA())</f>
        <v>#N/A</v>
      </c>
      <c r="V1413" t="e">
        <f ca="1">IFERROR(计算区域!X1415,NA())</f>
        <v>#N/A</v>
      </c>
      <c r="W1413" t="e">
        <f ca="1">IFERROR(计算区域!Y1415,NA())</f>
        <v>#N/A</v>
      </c>
      <c r="X1413" t="e">
        <f ca="1">IFERROR(计算区域!Z1415,NA())</f>
        <v>#N/A</v>
      </c>
      <c r="Y1413" t="e">
        <f ca="1">IFERROR(计算区域!AA1415,NA())</f>
        <v>#N/A</v>
      </c>
    </row>
    <row r="1414" spans="1:25" x14ac:dyDescent="0.2">
      <c r="A1414" s="28">
        <f>计算区域!E1416</f>
        <v>0</v>
      </c>
      <c r="B1414" t="e">
        <f ca="1">IFERROR(计算区域!AJ1416,NA())</f>
        <v>#N/A</v>
      </c>
      <c r="C1414" t="e">
        <f ca="1">IFERROR(计算区域!AK1416,NA())</f>
        <v>#N/A</v>
      </c>
      <c r="D1414" t="e">
        <f ca="1">IFERROR(计算区域!AL1416,NA())</f>
        <v>#N/A</v>
      </c>
      <c r="E1414" t="e">
        <f ca="1">IFERROR(计算区域!AM1416,NA())</f>
        <v>#N/A</v>
      </c>
      <c r="G1414" t="e">
        <f ca="1">IFERROR(计算区域!AD1416,NA())</f>
        <v>#N/A</v>
      </c>
      <c r="H1414" t="e">
        <f ca="1">IFERROR(计算区域!AE1416,NA())</f>
        <v>#N/A</v>
      </c>
      <c r="I1414" t="e">
        <f ca="1">IFERROR(计算区域!AF1416,NA())</f>
        <v>#N/A</v>
      </c>
      <c r="J1414" t="e">
        <f ca="1">IFERROR(计算区域!AG1416,NA())</f>
        <v>#N/A</v>
      </c>
      <c r="L1414" t="e">
        <f ca="1">IFERROR(计算区域!L1416,NA())</f>
        <v>#N/A</v>
      </c>
      <c r="M1414" t="e">
        <f ca="1">IFERROR(计算区域!M1416,NA())</f>
        <v>#N/A</v>
      </c>
      <c r="N1414" t="e">
        <f ca="1">IFERROR(计算区域!N1416,NA())</f>
        <v>#N/A</v>
      </c>
      <c r="O1414" t="e">
        <f ca="1">IFERROR(计算区域!O1416,NA())</f>
        <v>#N/A</v>
      </c>
      <c r="Q1414" t="e">
        <f ca="1">IFERROR(计算区域!R1416,NA())</f>
        <v>#N/A</v>
      </c>
      <c r="R1414" t="e">
        <f ca="1">IFERROR(计算区域!S1416,NA())</f>
        <v>#N/A</v>
      </c>
      <c r="S1414" t="e">
        <f ca="1">IFERROR(计算区域!T1416,NA())</f>
        <v>#N/A</v>
      </c>
      <c r="T1414" t="e">
        <f ca="1">IFERROR(计算区域!U1416,NA())</f>
        <v>#N/A</v>
      </c>
      <c r="V1414" t="e">
        <f ca="1">IFERROR(计算区域!X1416,NA())</f>
        <v>#N/A</v>
      </c>
      <c r="W1414" t="e">
        <f ca="1">IFERROR(计算区域!Y1416,NA())</f>
        <v>#N/A</v>
      </c>
      <c r="X1414" t="e">
        <f ca="1">IFERROR(计算区域!Z1416,NA())</f>
        <v>#N/A</v>
      </c>
      <c r="Y1414" t="e">
        <f ca="1">IFERROR(计算区域!AA1416,NA())</f>
        <v>#N/A</v>
      </c>
    </row>
    <row r="1415" spans="1:25" x14ac:dyDescent="0.2">
      <c r="A1415" s="28">
        <f>计算区域!E1417</f>
        <v>0</v>
      </c>
      <c r="B1415" t="e">
        <f ca="1">IFERROR(计算区域!AJ1417,NA())</f>
        <v>#N/A</v>
      </c>
      <c r="C1415" t="e">
        <f ca="1">IFERROR(计算区域!AK1417,NA())</f>
        <v>#N/A</v>
      </c>
      <c r="D1415" t="e">
        <f ca="1">IFERROR(计算区域!AL1417,NA())</f>
        <v>#N/A</v>
      </c>
      <c r="E1415" t="e">
        <f ca="1">IFERROR(计算区域!AM1417,NA())</f>
        <v>#N/A</v>
      </c>
      <c r="G1415" t="e">
        <f ca="1">IFERROR(计算区域!AD1417,NA())</f>
        <v>#N/A</v>
      </c>
      <c r="H1415" t="e">
        <f ca="1">IFERROR(计算区域!AE1417,NA())</f>
        <v>#N/A</v>
      </c>
      <c r="I1415" t="e">
        <f ca="1">IFERROR(计算区域!AF1417,NA())</f>
        <v>#N/A</v>
      </c>
      <c r="J1415" t="e">
        <f ca="1">IFERROR(计算区域!AG1417,NA())</f>
        <v>#N/A</v>
      </c>
      <c r="L1415" t="e">
        <f ca="1">IFERROR(计算区域!L1417,NA())</f>
        <v>#N/A</v>
      </c>
      <c r="M1415" t="e">
        <f ca="1">IFERROR(计算区域!M1417,NA())</f>
        <v>#N/A</v>
      </c>
      <c r="N1415" t="e">
        <f ca="1">IFERROR(计算区域!N1417,NA())</f>
        <v>#N/A</v>
      </c>
      <c r="O1415" t="e">
        <f ca="1">IFERROR(计算区域!O1417,NA())</f>
        <v>#N/A</v>
      </c>
      <c r="Q1415" t="e">
        <f ca="1">IFERROR(计算区域!R1417,NA())</f>
        <v>#N/A</v>
      </c>
      <c r="R1415" t="e">
        <f ca="1">IFERROR(计算区域!S1417,NA())</f>
        <v>#N/A</v>
      </c>
      <c r="S1415" t="e">
        <f ca="1">IFERROR(计算区域!T1417,NA())</f>
        <v>#N/A</v>
      </c>
      <c r="T1415" t="e">
        <f ca="1">IFERROR(计算区域!U1417,NA())</f>
        <v>#N/A</v>
      </c>
      <c r="V1415" t="e">
        <f ca="1">IFERROR(计算区域!X1417,NA())</f>
        <v>#N/A</v>
      </c>
      <c r="W1415" t="e">
        <f ca="1">IFERROR(计算区域!Y1417,NA())</f>
        <v>#N/A</v>
      </c>
      <c r="X1415" t="e">
        <f ca="1">IFERROR(计算区域!Z1417,NA())</f>
        <v>#N/A</v>
      </c>
      <c r="Y1415" t="e">
        <f ca="1">IFERROR(计算区域!AA1417,NA())</f>
        <v>#N/A</v>
      </c>
    </row>
    <row r="1416" spans="1:25" x14ac:dyDescent="0.2">
      <c r="A1416" s="28">
        <f>计算区域!E1418</f>
        <v>0</v>
      </c>
      <c r="B1416" t="e">
        <f ca="1">IFERROR(计算区域!AJ1418,NA())</f>
        <v>#N/A</v>
      </c>
      <c r="C1416" t="e">
        <f ca="1">IFERROR(计算区域!AK1418,NA())</f>
        <v>#N/A</v>
      </c>
      <c r="D1416" t="e">
        <f ca="1">IFERROR(计算区域!AL1418,NA())</f>
        <v>#N/A</v>
      </c>
      <c r="E1416" t="e">
        <f ca="1">IFERROR(计算区域!AM1418,NA())</f>
        <v>#N/A</v>
      </c>
      <c r="G1416" t="e">
        <f ca="1">IFERROR(计算区域!AD1418,NA())</f>
        <v>#N/A</v>
      </c>
      <c r="H1416" t="e">
        <f ca="1">IFERROR(计算区域!AE1418,NA())</f>
        <v>#N/A</v>
      </c>
      <c r="I1416" t="e">
        <f ca="1">IFERROR(计算区域!AF1418,NA())</f>
        <v>#N/A</v>
      </c>
      <c r="J1416" t="e">
        <f ca="1">IFERROR(计算区域!AG1418,NA())</f>
        <v>#N/A</v>
      </c>
      <c r="L1416" t="e">
        <f ca="1">IFERROR(计算区域!L1418,NA())</f>
        <v>#N/A</v>
      </c>
      <c r="M1416" t="e">
        <f ca="1">IFERROR(计算区域!M1418,NA())</f>
        <v>#N/A</v>
      </c>
      <c r="N1416" t="e">
        <f ca="1">IFERROR(计算区域!N1418,NA())</f>
        <v>#N/A</v>
      </c>
      <c r="O1416" t="e">
        <f ca="1">IFERROR(计算区域!O1418,NA())</f>
        <v>#N/A</v>
      </c>
      <c r="Q1416" t="e">
        <f ca="1">IFERROR(计算区域!R1418,NA())</f>
        <v>#N/A</v>
      </c>
      <c r="R1416" t="e">
        <f ca="1">IFERROR(计算区域!S1418,NA())</f>
        <v>#N/A</v>
      </c>
      <c r="S1416" t="e">
        <f ca="1">IFERROR(计算区域!T1418,NA())</f>
        <v>#N/A</v>
      </c>
      <c r="T1416" t="e">
        <f ca="1">IFERROR(计算区域!U1418,NA())</f>
        <v>#N/A</v>
      </c>
      <c r="V1416" t="e">
        <f ca="1">IFERROR(计算区域!X1418,NA())</f>
        <v>#N/A</v>
      </c>
      <c r="W1416" t="e">
        <f ca="1">IFERROR(计算区域!Y1418,NA())</f>
        <v>#N/A</v>
      </c>
      <c r="X1416" t="e">
        <f ca="1">IFERROR(计算区域!Z1418,NA())</f>
        <v>#N/A</v>
      </c>
      <c r="Y1416" t="e">
        <f ca="1">IFERROR(计算区域!AA1418,NA())</f>
        <v>#N/A</v>
      </c>
    </row>
    <row r="1417" spans="1:25" x14ac:dyDescent="0.2">
      <c r="A1417" s="28">
        <f>计算区域!E1419</f>
        <v>0</v>
      </c>
      <c r="B1417" t="e">
        <f ca="1">IFERROR(计算区域!AJ1419,NA())</f>
        <v>#N/A</v>
      </c>
      <c r="C1417" t="e">
        <f ca="1">IFERROR(计算区域!AK1419,NA())</f>
        <v>#N/A</v>
      </c>
      <c r="D1417" t="e">
        <f ca="1">IFERROR(计算区域!AL1419,NA())</f>
        <v>#N/A</v>
      </c>
      <c r="E1417" t="e">
        <f ca="1">IFERROR(计算区域!AM1419,NA())</f>
        <v>#N/A</v>
      </c>
      <c r="G1417" t="e">
        <f ca="1">IFERROR(计算区域!AD1419,NA())</f>
        <v>#N/A</v>
      </c>
      <c r="H1417" t="e">
        <f ca="1">IFERROR(计算区域!AE1419,NA())</f>
        <v>#N/A</v>
      </c>
      <c r="I1417" t="e">
        <f ca="1">IFERROR(计算区域!AF1419,NA())</f>
        <v>#N/A</v>
      </c>
      <c r="J1417" t="e">
        <f ca="1">IFERROR(计算区域!AG1419,NA())</f>
        <v>#N/A</v>
      </c>
      <c r="L1417" t="e">
        <f ca="1">IFERROR(计算区域!L1419,NA())</f>
        <v>#N/A</v>
      </c>
      <c r="M1417" t="e">
        <f ca="1">IFERROR(计算区域!M1419,NA())</f>
        <v>#N/A</v>
      </c>
      <c r="N1417" t="e">
        <f ca="1">IFERROR(计算区域!N1419,NA())</f>
        <v>#N/A</v>
      </c>
      <c r="O1417" t="e">
        <f ca="1">IFERROR(计算区域!O1419,NA())</f>
        <v>#N/A</v>
      </c>
      <c r="Q1417" t="e">
        <f ca="1">IFERROR(计算区域!R1419,NA())</f>
        <v>#N/A</v>
      </c>
      <c r="R1417" t="e">
        <f ca="1">IFERROR(计算区域!S1419,NA())</f>
        <v>#N/A</v>
      </c>
      <c r="S1417" t="e">
        <f ca="1">IFERROR(计算区域!T1419,NA())</f>
        <v>#N/A</v>
      </c>
      <c r="T1417" t="e">
        <f ca="1">IFERROR(计算区域!U1419,NA())</f>
        <v>#N/A</v>
      </c>
      <c r="V1417" t="e">
        <f ca="1">IFERROR(计算区域!X1419,NA())</f>
        <v>#N/A</v>
      </c>
      <c r="W1417" t="e">
        <f ca="1">IFERROR(计算区域!Y1419,NA())</f>
        <v>#N/A</v>
      </c>
      <c r="X1417" t="e">
        <f ca="1">IFERROR(计算区域!Z1419,NA())</f>
        <v>#N/A</v>
      </c>
      <c r="Y1417" t="e">
        <f ca="1">IFERROR(计算区域!AA1419,NA())</f>
        <v>#N/A</v>
      </c>
    </row>
    <row r="1418" spans="1:25" x14ac:dyDescent="0.2">
      <c r="A1418" s="28">
        <f>计算区域!E1420</f>
        <v>0</v>
      </c>
      <c r="B1418" t="e">
        <f ca="1">IFERROR(计算区域!AJ1420,NA())</f>
        <v>#N/A</v>
      </c>
      <c r="C1418" t="e">
        <f ca="1">IFERROR(计算区域!AK1420,NA())</f>
        <v>#N/A</v>
      </c>
      <c r="D1418" t="e">
        <f ca="1">IFERROR(计算区域!AL1420,NA())</f>
        <v>#N/A</v>
      </c>
      <c r="E1418" t="e">
        <f ca="1">IFERROR(计算区域!AM1420,NA())</f>
        <v>#N/A</v>
      </c>
      <c r="G1418" t="e">
        <f ca="1">IFERROR(计算区域!AD1420,NA())</f>
        <v>#N/A</v>
      </c>
      <c r="H1418" t="e">
        <f ca="1">IFERROR(计算区域!AE1420,NA())</f>
        <v>#N/A</v>
      </c>
      <c r="I1418" t="e">
        <f ca="1">IFERROR(计算区域!AF1420,NA())</f>
        <v>#N/A</v>
      </c>
      <c r="J1418" t="e">
        <f ca="1">IFERROR(计算区域!AG1420,NA())</f>
        <v>#N/A</v>
      </c>
      <c r="L1418" t="e">
        <f ca="1">IFERROR(计算区域!L1420,NA())</f>
        <v>#N/A</v>
      </c>
      <c r="M1418" t="e">
        <f ca="1">IFERROR(计算区域!M1420,NA())</f>
        <v>#N/A</v>
      </c>
      <c r="N1418" t="e">
        <f ca="1">IFERROR(计算区域!N1420,NA())</f>
        <v>#N/A</v>
      </c>
      <c r="O1418" t="e">
        <f ca="1">IFERROR(计算区域!O1420,NA())</f>
        <v>#N/A</v>
      </c>
      <c r="Q1418" t="e">
        <f ca="1">IFERROR(计算区域!R1420,NA())</f>
        <v>#N/A</v>
      </c>
      <c r="R1418" t="e">
        <f ca="1">IFERROR(计算区域!S1420,NA())</f>
        <v>#N/A</v>
      </c>
      <c r="S1418" t="e">
        <f ca="1">IFERROR(计算区域!T1420,NA())</f>
        <v>#N/A</v>
      </c>
      <c r="T1418" t="e">
        <f ca="1">IFERROR(计算区域!U1420,NA())</f>
        <v>#N/A</v>
      </c>
      <c r="V1418" t="e">
        <f ca="1">IFERROR(计算区域!X1420,NA())</f>
        <v>#N/A</v>
      </c>
      <c r="W1418" t="e">
        <f ca="1">IFERROR(计算区域!Y1420,NA())</f>
        <v>#N/A</v>
      </c>
      <c r="X1418" t="e">
        <f ca="1">IFERROR(计算区域!Z1420,NA())</f>
        <v>#N/A</v>
      </c>
      <c r="Y1418" t="e">
        <f ca="1">IFERROR(计算区域!AA1420,NA())</f>
        <v>#N/A</v>
      </c>
    </row>
    <row r="1419" spans="1:25" x14ac:dyDescent="0.2">
      <c r="A1419" s="28">
        <f>计算区域!E1421</f>
        <v>0</v>
      </c>
      <c r="B1419" t="e">
        <f ca="1">IFERROR(计算区域!AJ1421,NA())</f>
        <v>#N/A</v>
      </c>
      <c r="C1419" t="e">
        <f ca="1">IFERROR(计算区域!AK1421,NA())</f>
        <v>#N/A</v>
      </c>
      <c r="D1419" t="e">
        <f ca="1">IFERROR(计算区域!AL1421,NA())</f>
        <v>#N/A</v>
      </c>
      <c r="E1419" t="e">
        <f ca="1">IFERROR(计算区域!AM1421,NA())</f>
        <v>#N/A</v>
      </c>
      <c r="G1419" t="e">
        <f ca="1">IFERROR(计算区域!AD1421,NA())</f>
        <v>#N/A</v>
      </c>
      <c r="H1419" t="e">
        <f ca="1">IFERROR(计算区域!AE1421,NA())</f>
        <v>#N/A</v>
      </c>
      <c r="I1419" t="e">
        <f ca="1">IFERROR(计算区域!AF1421,NA())</f>
        <v>#N/A</v>
      </c>
      <c r="J1419" t="e">
        <f ca="1">IFERROR(计算区域!AG1421,NA())</f>
        <v>#N/A</v>
      </c>
      <c r="L1419" t="e">
        <f ca="1">IFERROR(计算区域!L1421,NA())</f>
        <v>#N/A</v>
      </c>
      <c r="M1419" t="e">
        <f ca="1">IFERROR(计算区域!M1421,NA())</f>
        <v>#N/A</v>
      </c>
      <c r="N1419" t="e">
        <f ca="1">IFERROR(计算区域!N1421,NA())</f>
        <v>#N/A</v>
      </c>
      <c r="O1419" t="e">
        <f ca="1">IFERROR(计算区域!O1421,NA())</f>
        <v>#N/A</v>
      </c>
      <c r="Q1419" t="e">
        <f ca="1">IFERROR(计算区域!R1421,NA())</f>
        <v>#N/A</v>
      </c>
      <c r="R1419" t="e">
        <f ca="1">IFERROR(计算区域!S1421,NA())</f>
        <v>#N/A</v>
      </c>
      <c r="S1419" t="e">
        <f ca="1">IFERROR(计算区域!T1421,NA())</f>
        <v>#N/A</v>
      </c>
      <c r="T1419" t="e">
        <f ca="1">IFERROR(计算区域!U1421,NA())</f>
        <v>#N/A</v>
      </c>
      <c r="V1419" t="e">
        <f ca="1">IFERROR(计算区域!X1421,NA())</f>
        <v>#N/A</v>
      </c>
      <c r="W1419" t="e">
        <f ca="1">IFERROR(计算区域!Y1421,NA())</f>
        <v>#N/A</v>
      </c>
      <c r="X1419" t="e">
        <f ca="1">IFERROR(计算区域!Z1421,NA())</f>
        <v>#N/A</v>
      </c>
      <c r="Y1419" t="e">
        <f ca="1">IFERROR(计算区域!AA1421,NA())</f>
        <v>#N/A</v>
      </c>
    </row>
    <row r="1420" spans="1:25" x14ac:dyDescent="0.2">
      <c r="A1420" s="28">
        <f>计算区域!E1422</f>
        <v>0</v>
      </c>
      <c r="B1420" t="e">
        <f ca="1">IFERROR(计算区域!AJ1422,NA())</f>
        <v>#N/A</v>
      </c>
      <c r="C1420" t="e">
        <f ca="1">IFERROR(计算区域!AK1422,NA())</f>
        <v>#N/A</v>
      </c>
      <c r="D1420" t="e">
        <f ca="1">IFERROR(计算区域!AL1422,NA())</f>
        <v>#N/A</v>
      </c>
      <c r="E1420" t="e">
        <f ca="1">IFERROR(计算区域!AM1422,NA())</f>
        <v>#N/A</v>
      </c>
      <c r="G1420" t="e">
        <f ca="1">IFERROR(计算区域!AD1422,NA())</f>
        <v>#N/A</v>
      </c>
      <c r="H1420" t="e">
        <f ca="1">IFERROR(计算区域!AE1422,NA())</f>
        <v>#N/A</v>
      </c>
      <c r="I1420" t="e">
        <f ca="1">IFERROR(计算区域!AF1422,NA())</f>
        <v>#N/A</v>
      </c>
      <c r="J1420" t="e">
        <f ca="1">IFERROR(计算区域!AG1422,NA())</f>
        <v>#N/A</v>
      </c>
      <c r="L1420" t="e">
        <f ca="1">IFERROR(计算区域!L1422,NA())</f>
        <v>#N/A</v>
      </c>
      <c r="M1420" t="e">
        <f ca="1">IFERROR(计算区域!M1422,NA())</f>
        <v>#N/A</v>
      </c>
      <c r="N1420" t="e">
        <f ca="1">IFERROR(计算区域!N1422,NA())</f>
        <v>#N/A</v>
      </c>
      <c r="O1420" t="e">
        <f ca="1">IFERROR(计算区域!O1422,NA())</f>
        <v>#N/A</v>
      </c>
      <c r="Q1420" t="e">
        <f ca="1">IFERROR(计算区域!R1422,NA())</f>
        <v>#N/A</v>
      </c>
      <c r="R1420" t="e">
        <f ca="1">IFERROR(计算区域!S1422,NA())</f>
        <v>#N/A</v>
      </c>
      <c r="S1420" t="e">
        <f ca="1">IFERROR(计算区域!T1422,NA())</f>
        <v>#N/A</v>
      </c>
      <c r="T1420" t="e">
        <f ca="1">IFERROR(计算区域!U1422,NA())</f>
        <v>#N/A</v>
      </c>
      <c r="V1420" t="e">
        <f ca="1">IFERROR(计算区域!X1422,NA())</f>
        <v>#N/A</v>
      </c>
      <c r="W1420" t="e">
        <f ca="1">IFERROR(计算区域!Y1422,NA())</f>
        <v>#N/A</v>
      </c>
      <c r="X1420" t="e">
        <f ca="1">IFERROR(计算区域!Z1422,NA())</f>
        <v>#N/A</v>
      </c>
      <c r="Y1420" t="e">
        <f ca="1">IFERROR(计算区域!AA1422,NA())</f>
        <v>#N/A</v>
      </c>
    </row>
    <row r="1421" spans="1:25" x14ac:dyDescent="0.2">
      <c r="A1421" s="28">
        <f>计算区域!E1423</f>
        <v>0</v>
      </c>
      <c r="B1421" t="e">
        <f ca="1">IFERROR(计算区域!AJ1423,NA())</f>
        <v>#N/A</v>
      </c>
      <c r="C1421" t="e">
        <f ca="1">IFERROR(计算区域!AK1423,NA())</f>
        <v>#N/A</v>
      </c>
      <c r="D1421" t="e">
        <f ca="1">IFERROR(计算区域!AL1423,NA())</f>
        <v>#N/A</v>
      </c>
      <c r="E1421" t="e">
        <f ca="1">IFERROR(计算区域!AM1423,NA())</f>
        <v>#N/A</v>
      </c>
      <c r="G1421" t="e">
        <f ca="1">IFERROR(计算区域!AD1423,NA())</f>
        <v>#N/A</v>
      </c>
      <c r="H1421" t="e">
        <f ca="1">IFERROR(计算区域!AE1423,NA())</f>
        <v>#N/A</v>
      </c>
      <c r="I1421" t="e">
        <f ca="1">IFERROR(计算区域!AF1423,NA())</f>
        <v>#N/A</v>
      </c>
      <c r="J1421" t="e">
        <f ca="1">IFERROR(计算区域!AG1423,NA())</f>
        <v>#N/A</v>
      </c>
      <c r="L1421" t="e">
        <f ca="1">IFERROR(计算区域!L1423,NA())</f>
        <v>#N/A</v>
      </c>
      <c r="M1421" t="e">
        <f ca="1">IFERROR(计算区域!M1423,NA())</f>
        <v>#N/A</v>
      </c>
      <c r="N1421" t="e">
        <f ca="1">IFERROR(计算区域!N1423,NA())</f>
        <v>#N/A</v>
      </c>
      <c r="O1421" t="e">
        <f ca="1">IFERROR(计算区域!O1423,NA())</f>
        <v>#N/A</v>
      </c>
      <c r="Q1421" t="e">
        <f ca="1">IFERROR(计算区域!R1423,NA())</f>
        <v>#N/A</v>
      </c>
      <c r="R1421" t="e">
        <f ca="1">IFERROR(计算区域!S1423,NA())</f>
        <v>#N/A</v>
      </c>
      <c r="S1421" t="e">
        <f ca="1">IFERROR(计算区域!T1423,NA())</f>
        <v>#N/A</v>
      </c>
      <c r="T1421" t="e">
        <f ca="1">IFERROR(计算区域!U1423,NA())</f>
        <v>#N/A</v>
      </c>
      <c r="V1421" t="e">
        <f ca="1">IFERROR(计算区域!X1423,NA())</f>
        <v>#N/A</v>
      </c>
      <c r="W1421" t="e">
        <f ca="1">IFERROR(计算区域!Y1423,NA())</f>
        <v>#N/A</v>
      </c>
      <c r="X1421" t="e">
        <f ca="1">IFERROR(计算区域!Z1423,NA())</f>
        <v>#N/A</v>
      </c>
      <c r="Y1421" t="e">
        <f ca="1">IFERROR(计算区域!AA1423,NA())</f>
        <v>#N/A</v>
      </c>
    </row>
    <row r="1422" spans="1:25" x14ac:dyDescent="0.2">
      <c r="A1422" s="28">
        <f>计算区域!E1424</f>
        <v>0</v>
      </c>
      <c r="B1422" t="e">
        <f ca="1">IFERROR(计算区域!AJ1424,NA())</f>
        <v>#N/A</v>
      </c>
      <c r="C1422" t="e">
        <f ca="1">IFERROR(计算区域!AK1424,NA())</f>
        <v>#N/A</v>
      </c>
      <c r="D1422" t="e">
        <f ca="1">IFERROR(计算区域!AL1424,NA())</f>
        <v>#N/A</v>
      </c>
      <c r="E1422" t="e">
        <f ca="1">IFERROR(计算区域!AM1424,NA())</f>
        <v>#N/A</v>
      </c>
      <c r="G1422" t="e">
        <f ca="1">IFERROR(计算区域!AD1424,NA())</f>
        <v>#N/A</v>
      </c>
      <c r="H1422" t="e">
        <f ca="1">IFERROR(计算区域!AE1424,NA())</f>
        <v>#N/A</v>
      </c>
      <c r="I1422" t="e">
        <f ca="1">IFERROR(计算区域!AF1424,NA())</f>
        <v>#N/A</v>
      </c>
      <c r="J1422" t="e">
        <f ca="1">IFERROR(计算区域!AG1424,NA())</f>
        <v>#N/A</v>
      </c>
      <c r="L1422" t="e">
        <f ca="1">IFERROR(计算区域!L1424,NA())</f>
        <v>#N/A</v>
      </c>
      <c r="M1422" t="e">
        <f ca="1">IFERROR(计算区域!M1424,NA())</f>
        <v>#N/A</v>
      </c>
      <c r="N1422" t="e">
        <f ca="1">IFERROR(计算区域!N1424,NA())</f>
        <v>#N/A</v>
      </c>
      <c r="O1422" t="e">
        <f ca="1">IFERROR(计算区域!O1424,NA())</f>
        <v>#N/A</v>
      </c>
      <c r="Q1422" t="e">
        <f ca="1">IFERROR(计算区域!R1424,NA())</f>
        <v>#N/A</v>
      </c>
      <c r="R1422" t="e">
        <f ca="1">IFERROR(计算区域!S1424,NA())</f>
        <v>#N/A</v>
      </c>
      <c r="S1422" t="e">
        <f ca="1">IFERROR(计算区域!T1424,NA())</f>
        <v>#N/A</v>
      </c>
      <c r="T1422" t="e">
        <f ca="1">IFERROR(计算区域!U1424,NA())</f>
        <v>#N/A</v>
      </c>
      <c r="V1422" t="e">
        <f ca="1">IFERROR(计算区域!X1424,NA())</f>
        <v>#N/A</v>
      </c>
      <c r="W1422" t="e">
        <f ca="1">IFERROR(计算区域!Y1424,NA())</f>
        <v>#N/A</v>
      </c>
      <c r="X1422" t="e">
        <f ca="1">IFERROR(计算区域!Z1424,NA())</f>
        <v>#N/A</v>
      </c>
      <c r="Y1422" t="e">
        <f ca="1">IFERROR(计算区域!AA1424,NA())</f>
        <v>#N/A</v>
      </c>
    </row>
    <row r="1423" spans="1:25" x14ac:dyDescent="0.2">
      <c r="A1423" s="28">
        <f>计算区域!E1425</f>
        <v>0</v>
      </c>
      <c r="B1423" t="e">
        <f ca="1">IFERROR(计算区域!AJ1425,NA())</f>
        <v>#N/A</v>
      </c>
      <c r="C1423" t="e">
        <f ca="1">IFERROR(计算区域!AK1425,NA())</f>
        <v>#N/A</v>
      </c>
      <c r="D1423" t="e">
        <f ca="1">IFERROR(计算区域!AL1425,NA())</f>
        <v>#N/A</v>
      </c>
      <c r="E1423" t="e">
        <f ca="1">IFERROR(计算区域!AM1425,NA())</f>
        <v>#N/A</v>
      </c>
      <c r="G1423" t="e">
        <f ca="1">IFERROR(计算区域!AD1425,NA())</f>
        <v>#N/A</v>
      </c>
      <c r="H1423" t="e">
        <f ca="1">IFERROR(计算区域!AE1425,NA())</f>
        <v>#N/A</v>
      </c>
      <c r="I1423" t="e">
        <f ca="1">IFERROR(计算区域!AF1425,NA())</f>
        <v>#N/A</v>
      </c>
      <c r="J1423" t="e">
        <f ca="1">IFERROR(计算区域!AG1425,NA())</f>
        <v>#N/A</v>
      </c>
      <c r="L1423" t="e">
        <f ca="1">IFERROR(计算区域!L1425,NA())</f>
        <v>#N/A</v>
      </c>
      <c r="M1423" t="e">
        <f ca="1">IFERROR(计算区域!M1425,NA())</f>
        <v>#N/A</v>
      </c>
      <c r="N1423" t="e">
        <f ca="1">IFERROR(计算区域!N1425,NA())</f>
        <v>#N/A</v>
      </c>
      <c r="O1423" t="e">
        <f ca="1">IFERROR(计算区域!O1425,NA())</f>
        <v>#N/A</v>
      </c>
      <c r="Q1423" t="e">
        <f ca="1">IFERROR(计算区域!R1425,NA())</f>
        <v>#N/A</v>
      </c>
      <c r="R1423" t="e">
        <f ca="1">IFERROR(计算区域!S1425,NA())</f>
        <v>#N/A</v>
      </c>
      <c r="S1423" t="e">
        <f ca="1">IFERROR(计算区域!T1425,NA())</f>
        <v>#N/A</v>
      </c>
      <c r="T1423" t="e">
        <f ca="1">IFERROR(计算区域!U1425,NA())</f>
        <v>#N/A</v>
      </c>
      <c r="V1423" t="e">
        <f ca="1">IFERROR(计算区域!X1425,NA())</f>
        <v>#N/A</v>
      </c>
      <c r="W1423" t="e">
        <f ca="1">IFERROR(计算区域!Y1425,NA())</f>
        <v>#N/A</v>
      </c>
      <c r="X1423" t="e">
        <f ca="1">IFERROR(计算区域!Z1425,NA())</f>
        <v>#N/A</v>
      </c>
      <c r="Y1423" t="e">
        <f ca="1">IFERROR(计算区域!AA1425,NA())</f>
        <v>#N/A</v>
      </c>
    </row>
    <row r="1424" spans="1:25" x14ac:dyDescent="0.2">
      <c r="A1424" s="28">
        <f>计算区域!E1426</f>
        <v>0</v>
      </c>
      <c r="B1424" t="e">
        <f ca="1">IFERROR(计算区域!AJ1426,NA())</f>
        <v>#N/A</v>
      </c>
      <c r="C1424" t="e">
        <f ca="1">IFERROR(计算区域!AK1426,NA())</f>
        <v>#N/A</v>
      </c>
      <c r="D1424" t="e">
        <f ca="1">IFERROR(计算区域!AL1426,NA())</f>
        <v>#N/A</v>
      </c>
      <c r="E1424" t="e">
        <f ca="1">IFERROR(计算区域!AM1426,NA())</f>
        <v>#N/A</v>
      </c>
      <c r="G1424" t="e">
        <f ca="1">IFERROR(计算区域!AD1426,NA())</f>
        <v>#N/A</v>
      </c>
      <c r="H1424" t="e">
        <f ca="1">IFERROR(计算区域!AE1426,NA())</f>
        <v>#N/A</v>
      </c>
      <c r="I1424" t="e">
        <f ca="1">IFERROR(计算区域!AF1426,NA())</f>
        <v>#N/A</v>
      </c>
      <c r="J1424" t="e">
        <f ca="1">IFERROR(计算区域!AG1426,NA())</f>
        <v>#N/A</v>
      </c>
      <c r="L1424" t="e">
        <f ca="1">IFERROR(计算区域!L1426,NA())</f>
        <v>#N/A</v>
      </c>
      <c r="M1424" t="e">
        <f ca="1">IFERROR(计算区域!M1426,NA())</f>
        <v>#N/A</v>
      </c>
      <c r="N1424" t="e">
        <f ca="1">IFERROR(计算区域!N1426,NA())</f>
        <v>#N/A</v>
      </c>
      <c r="O1424" t="e">
        <f ca="1">IFERROR(计算区域!O1426,NA())</f>
        <v>#N/A</v>
      </c>
      <c r="Q1424" t="e">
        <f ca="1">IFERROR(计算区域!R1426,NA())</f>
        <v>#N/A</v>
      </c>
      <c r="R1424" t="e">
        <f ca="1">IFERROR(计算区域!S1426,NA())</f>
        <v>#N/A</v>
      </c>
      <c r="S1424" t="e">
        <f ca="1">IFERROR(计算区域!T1426,NA())</f>
        <v>#N/A</v>
      </c>
      <c r="T1424" t="e">
        <f ca="1">IFERROR(计算区域!U1426,NA())</f>
        <v>#N/A</v>
      </c>
      <c r="V1424" t="e">
        <f ca="1">IFERROR(计算区域!X1426,NA())</f>
        <v>#N/A</v>
      </c>
      <c r="W1424" t="e">
        <f ca="1">IFERROR(计算区域!Y1426,NA())</f>
        <v>#N/A</v>
      </c>
      <c r="X1424" t="e">
        <f ca="1">IFERROR(计算区域!Z1426,NA())</f>
        <v>#N/A</v>
      </c>
      <c r="Y1424" t="e">
        <f ca="1">IFERROR(计算区域!AA1426,NA())</f>
        <v>#N/A</v>
      </c>
    </row>
    <row r="1425" spans="1:25" x14ac:dyDescent="0.2">
      <c r="A1425" s="28">
        <f>计算区域!E1427</f>
        <v>0</v>
      </c>
      <c r="B1425" t="e">
        <f ca="1">IFERROR(计算区域!AJ1427,NA())</f>
        <v>#N/A</v>
      </c>
      <c r="C1425" t="e">
        <f ca="1">IFERROR(计算区域!AK1427,NA())</f>
        <v>#N/A</v>
      </c>
      <c r="D1425" t="e">
        <f ca="1">IFERROR(计算区域!AL1427,NA())</f>
        <v>#N/A</v>
      </c>
      <c r="E1425" t="e">
        <f ca="1">IFERROR(计算区域!AM1427,NA())</f>
        <v>#N/A</v>
      </c>
      <c r="G1425" t="e">
        <f ca="1">IFERROR(计算区域!AD1427,NA())</f>
        <v>#N/A</v>
      </c>
      <c r="H1425" t="e">
        <f ca="1">IFERROR(计算区域!AE1427,NA())</f>
        <v>#N/A</v>
      </c>
      <c r="I1425" t="e">
        <f ca="1">IFERROR(计算区域!AF1427,NA())</f>
        <v>#N/A</v>
      </c>
      <c r="J1425" t="e">
        <f ca="1">IFERROR(计算区域!AG1427,NA())</f>
        <v>#N/A</v>
      </c>
      <c r="L1425" t="e">
        <f ca="1">IFERROR(计算区域!L1427,NA())</f>
        <v>#N/A</v>
      </c>
      <c r="M1425" t="e">
        <f ca="1">IFERROR(计算区域!M1427,NA())</f>
        <v>#N/A</v>
      </c>
      <c r="N1425" t="e">
        <f ca="1">IFERROR(计算区域!N1427,NA())</f>
        <v>#N/A</v>
      </c>
      <c r="O1425" t="e">
        <f ca="1">IFERROR(计算区域!O1427,NA())</f>
        <v>#N/A</v>
      </c>
      <c r="Q1425" t="e">
        <f ca="1">IFERROR(计算区域!R1427,NA())</f>
        <v>#N/A</v>
      </c>
      <c r="R1425" t="e">
        <f ca="1">IFERROR(计算区域!S1427,NA())</f>
        <v>#N/A</v>
      </c>
      <c r="S1425" t="e">
        <f ca="1">IFERROR(计算区域!T1427,NA())</f>
        <v>#N/A</v>
      </c>
      <c r="T1425" t="e">
        <f ca="1">IFERROR(计算区域!U1427,NA())</f>
        <v>#N/A</v>
      </c>
      <c r="V1425" t="e">
        <f ca="1">IFERROR(计算区域!X1427,NA())</f>
        <v>#N/A</v>
      </c>
      <c r="W1425" t="e">
        <f ca="1">IFERROR(计算区域!Y1427,NA())</f>
        <v>#N/A</v>
      </c>
      <c r="X1425" t="e">
        <f ca="1">IFERROR(计算区域!Z1427,NA())</f>
        <v>#N/A</v>
      </c>
      <c r="Y1425" t="e">
        <f ca="1">IFERROR(计算区域!AA1427,NA())</f>
        <v>#N/A</v>
      </c>
    </row>
    <row r="1426" spans="1:25" x14ac:dyDescent="0.2">
      <c r="A1426" s="28">
        <f>计算区域!E1428</f>
        <v>0</v>
      </c>
      <c r="B1426" t="e">
        <f ca="1">IFERROR(计算区域!AJ1428,NA())</f>
        <v>#N/A</v>
      </c>
      <c r="C1426" t="e">
        <f ca="1">IFERROR(计算区域!AK1428,NA())</f>
        <v>#N/A</v>
      </c>
      <c r="D1426" t="e">
        <f ca="1">IFERROR(计算区域!AL1428,NA())</f>
        <v>#N/A</v>
      </c>
      <c r="E1426" t="e">
        <f ca="1">IFERROR(计算区域!AM1428,NA())</f>
        <v>#N/A</v>
      </c>
      <c r="G1426" t="e">
        <f ca="1">IFERROR(计算区域!AD1428,NA())</f>
        <v>#N/A</v>
      </c>
      <c r="H1426" t="e">
        <f ca="1">IFERROR(计算区域!AE1428,NA())</f>
        <v>#N/A</v>
      </c>
      <c r="I1426" t="e">
        <f ca="1">IFERROR(计算区域!AF1428,NA())</f>
        <v>#N/A</v>
      </c>
      <c r="J1426" t="e">
        <f ca="1">IFERROR(计算区域!AG1428,NA())</f>
        <v>#N/A</v>
      </c>
      <c r="L1426" t="e">
        <f ca="1">IFERROR(计算区域!L1428,NA())</f>
        <v>#N/A</v>
      </c>
      <c r="M1426" t="e">
        <f ca="1">IFERROR(计算区域!M1428,NA())</f>
        <v>#N/A</v>
      </c>
      <c r="N1426" t="e">
        <f ca="1">IFERROR(计算区域!N1428,NA())</f>
        <v>#N/A</v>
      </c>
      <c r="O1426" t="e">
        <f ca="1">IFERROR(计算区域!O1428,NA())</f>
        <v>#N/A</v>
      </c>
      <c r="Q1426" t="e">
        <f ca="1">IFERROR(计算区域!R1428,NA())</f>
        <v>#N/A</v>
      </c>
      <c r="R1426" t="e">
        <f ca="1">IFERROR(计算区域!S1428,NA())</f>
        <v>#N/A</v>
      </c>
      <c r="S1426" t="e">
        <f ca="1">IFERROR(计算区域!T1428,NA())</f>
        <v>#N/A</v>
      </c>
      <c r="T1426" t="e">
        <f ca="1">IFERROR(计算区域!U1428,NA())</f>
        <v>#N/A</v>
      </c>
      <c r="V1426" t="e">
        <f ca="1">IFERROR(计算区域!X1428,NA())</f>
        <v>#N/A</v>
      </c>
      <c r="W1426" t="e">
        <f ca="1">IFERROR(计算区域!Y1428,NA())</f>
        <v>#N/A</v>
      </c>
      <c r="X1426" t="e">
        <f ca="1">IFERROR(计算区域!Z1428,NA())</f>
        <v>#N/A</v>
      </c>
      <c r="Y1426" t="e">
        <f ca="1">IFERROR(计算区域!AA1428,NA())</f>
        <v>#N/A</v>
      </c>
    </row>
    <row r="1427" spans="1:25" x14ac:dyDescent="0.2">
      <c r="A1427" s="28">
        <f>计算区域!E1429</f>
        <v>0</v>
      </c>
      <c r="B1427" t="e">
        <f ca="1">IFERROR(计算区域!AJ1429,NA())</f>
        <v>#N/A</v>
      </c>
      <c r="C1427" t="e">
        <f ca="1">IFERROR(计算区域!AK1429,NA())</f>
        <v>#N/A</v>
      </c>
      <c r="D1427" t="e">
        <f ca="1">IFERROR(计算区域!AL1429,NA())</f>
        <v>#N/A</v>
      </c>
      <c r="E1427" t="e">
        <f ca="1">IFERROR(计算区域!AM1429,NA())</f>
        <v>#N/A</v>
      </c>
      <c r="G1427" t="e">
        <f ca="1">IFERROR(计算区域!AD1429,NA())</f>
        <v>#N/A</v>
      </c>
      <c r="H1427" t="e">
        <f ca="1">IFERROR(计算区域!AE1429,NA())</f>
        <v>#N/A</v>
      </c>
      <c r="I1427" t="e">
        <f ca="1">IFERROR(计算区域!AF1429,NA())</f>
        <v>#N/A</v>
      </c>
      <c r="J1427" t="e">
        <f ca="1">IFERROR(计算区域!AG1429,NA())</f>
        <v>#N/A</v>
      </c>
      <c r="L1427" t="e">
        <f ca="1">IFERROR(计算区域!L1429,NA())</f>
        <v>#N/A</v>
      </c>
      <c r="M1427" t="e">
        <f ca="1">IFERROR(计算区域!M1429,NA())</f>
        <v>#N/A</v>
      </c>
      <c r="N1427" t="e">
        <f ca="1">IFERROR(计算区域!N1429,NA())</f>
        <v>#N/A</v>
      </c>
      <c r="O1427" t="e">
        <f ca="1">IFERROR(计算区域!O1429,NA())</f>
        <v>#N/A</v>
      </c>
      <c r="Q1427" t="e">
        <f ca="1">IFERROR(计算区域!R1429,NA())</f>
        <v>#N/A</v>
      </c>
      <c r="R1427" t="e">
        <f ca="1">IFERROR(计算区域!S1429,NA())</f>
        <v>#N/A</v>
      </c>
      <c r="S1427" t="e">
        <f ca="1">IFERROR(计算区域!T1429,NA())</f>
        <v>#N/A</v>
      </c>
      <c r="T1427" t="e">
        <f ca="1">IFERROR(计算区域!U1429,NA())</f>
        <v>#N/A</v>
      </c>
      <c r="V1427" t="e">
        <f ca="1">IFERROR(计算区域!X1429,NA())</f>
        <v>#N/A</v>
      </c>
      <c r="W1427" t="e">
        <f ca="1">IFERROR(计算区域!Y1429,NA())</f>
        <v>#N/A</v>
      </c>
      <c r="X1427" t="e">
        <f ca="1">IFERROR(计算区域!Z1429,NA())</f>
        <v>#N/A</v>
      </c>
      <c r="Y1427" t="e">
        <f ca="1">IFERROR(计算区域!AA1429,NA())</f>
        <v>#N/A</v>
      </c>
    </row>
    <row r="1428" spans="1:25" x14ac:dyDescent="0.2">
      <c r="A1428" s="28">
        <f>计算区域!E1430</f>
        <v>0</v>
      </c>
      <c r="B1428" t="e">
        <f ca="1">IFERROR(计算区域!AJ1430,NA())</f>
        <v>#N/A</v>
      </c>
      <c r="C1428" t="e">
        <f ca="1">IFERROR(计算区域!AK1430,NA())</f>
        <v>#N/A</v>
      </c>
      <c r="D1428" t="e">
        <f ca="1">IFERROR(计算区域!AL1430,NA())</f>
        <v>#N/A</v>
      </c>
      <c r="E1428" t="e">
        <f ca="1">IFERROR(计算区域!AM1430,NA())</f>
        <v>#N/A</v>
      </c>
      <c r="G1428" t="e">
        <f ca="1">IFERROR(计算区域!AD1430,NA())</f>
        <v>#N/A</v>
      </c>
      <c r="H1428" t="e">
        <f ca="1">IFERROR(计算区域!AE1430,NA())</f>
        <v>#N/A</v>
      </c>
      <c r="I1428" t="e">
        <f ca="1">IFERROR(计算区域!AF1430,NA())</f>
        <v>#N/A</v>
      </c>
      <c r="J1428" t="e">
        <f ca="1">IFERROR(计算区域!AG1430,NA())</f>
        <v>#N/A</v>
      </c>
      <c r="L1428" t="e">
        <f ca="1">IFERROR(计算区域!L1430,NA())</f>
        <v>#N/A</v>
      </c>
      <c r="M1428" t="e">
        <f ca="1">IFERROR(计算区域!M1430,NA())</f>
        <v>#N/A</v>
      </c>
      <c r="N1428" t="e">
        <f ca="1">IFERROR(计算区域!N1430,NA())</f>
        <v>#N/A</v>
      </c>
      <c r="O1428" t="e">
        <f ca="1">IFERROR(计算区域!O1430,NA())</f>
        <v>#N/A</v>
      </c>
      <c r="Q1428" t="e">
        <f ca="1">IFERROR(计算区域!R1430,NA())</f>
        <v>#N/A</v>
      </c>
      <c r="R1428" t="e">
        <f ca="1">IFERROR(计算区域!S1430,NA())</f>
        <v>#N/A</v>
      </c>
      <c r="S1428" t="e">
        <f ca="1">IFERROR(计算区域!T1430,NA())</f>
        <v>#N/A</v>
      </c>
      <c r="T1428" t="e">
        <f ca="1">IFERROR(计算区域!U1430,NA())</f>
        <v>#N/A</v>
      </c>
      <c r="V1428" t="e">
        <f ca="1">IFERROR(计算区域!X1430,NA())</f>
        <v>#N/A</v>
      </c>
      <c r="W1428" t="e">
        <f ca="1">IFERROR(计算区域!Y1430,NA())</f>
        <v>#N/A</v>
      </c>
      <c r="X1428" t="e">
        <f ca="1">IFERROR(计算区域!Z1430,NA())</f>
        <v>#N/A</v>
      </c>
      <c r="Y1428" t="e">
        <f ca="1">IFERROR(计算区域!AA1430,NA())</f>
        <v>#N/A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走势图</vt:lpstr>
      <vt:lpstr>计算区域</vt:lpstr>
      <vt:lpstr>作图数据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 Shuai</dc:creator>
  <cp:lastModifiedBy>Zhai Shuai</cp:lastModifiedBy>
  <dcterms:created xsi:type="dcterms:W3CDTF">2024-07-03T05:59:34Z</dcterms:created>
  <dcterms:modified xsi:type="dcterms:W3CDTF">2025-01-14T05:56:34Z</dcterms:modified>
</cp:coreProperties>
</file>